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EADME" sheetId="1" state="visible" r:id="rId3"/>
    <sheet name="Parameters" sheetId="2" state="visible" r:id="rId4"/>
    <sheet name="Upgrades" sheetId="3" state="visible" r:id="rId5"/>
    <sheet name="TimeBudget" sheetId="4" state="visible" r:id="rId6"/>
    <sheet name="UpgradeSim" sheetId="5" state="visible" r:id="rId7"/>
    <sheet name="Curv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Mass cost of the FIRST purchase. Subsequent purchases grow by Cost growth ^ level.</t>
        </r>
      </text>
    </comment>
    <comment ref="D5" authorId="0">
      <text>
        <r>
          <rPr>
            <sz val="10"/>
            <rFont val="Arial"/>
            <family val="2"/>
          </rPr>
          <t xml:space="preserve">Cost multiplier per level. 1.0 = flat (one-shots use this). 1.15+ = standard idle compounding.</t>
        </r>
      </text>
    </comment>
    <comment ref="E5" authorId="0">
      <text>
        <r>
          <rPr>
            <sz val="10"/>
            <rFont val="Arial"/>
            <family val="2"/>
          </rPr>
          <t xml:space="preserve">Cap on purchases. 1 = one-shot. 99 = effectively unlimited.</t>
        </r>
      </text>
    </comment>
    <comment ref="F5" authorId="0">
      <text>
        <r>
          <rPr>
            <sz val="10"/>
            <rFont val="Arial"/>
            <family val="2"/>
          </rPr>
          <t xml:space="preserve">Cohesion granted per purchase. Sums across all purchases — used to gate tier transitions.</t>
        </r>
      </text>
    </comment>
    <comment ref="G5" authorId="0">
      <text>
        <r>
          <rPr>
            <sz val="10"/>
            <rFont val="Arial"/>
            <family val="2"/>
          </rPr>
          <t xml:space="preserve">Base M/sec contribution when level ≥ 1, before any growth or multipliers.</t>
        </r>
      </text>
    </comment>
    <comment ref="H5" authorId="0">
      <text>
        <r>
          <rPr>
            <sz val="10"/>
            <rFont val="Arial"/>
            <family val="2"/>
          </rPr>
          <t xml:space="preserve">Additive M/sec per level. Pure linear growth lever.</t>
        </r>
      </text>
    </comment>
    <comment ref="I5" authorId="0">
      <text>
        <r>
          <rPr>
            <sz val="10"/>
            <rFont val="Arial"/>
            <family val="2"/>
          </rPr>
          <t xml:space="preserve">Self-multiplicative growth on THIS upgrade's M/sec only.</t>
        </r>
      </text>
    </comment>
    <comment ref="J5" authorId="0">
      <text>
        <r>
          <rPr>
            <sz val="10"/>
            <rFont val="Arial"/>
            <family val="2"/>
          </rPr>
          <t xml:space="preserve">Base M/click contribution when level ≥ 1.</t>
        </r>
      </text>
    </comment>
    <comment ref="K5" authorId="0">
      <text>
        <r>
          <rPr>
            <sz val="10"/>
            <rFont val="Arial"/>
            <family val="2"/>
          </rPr>
          <t xml:space="preserve">Additive M/click per level.</t>
        </r>
      </text>
    </comment>
    <comment ref="L5" authorId="0">
      <text>
        <r>
          <rPr>
            <sz val="10"/>
            <rFont val="Arial"/>
            <family val="2"/>
          </rPr>
          <t xml:space="preserve">Self-multiplicative growth on THIS upgrade's M/click only.</t>
        </r>
      </text>
    </comment>
    <comment ref="M5" authorId="0">
      <text>
        <r>
          <rPr>
            <sz val="10"/>
            <rFont val="Arial"/>
            <family val="2"/>
          </rPr>
          <t xml:space="preserve">Base AC/sec contribution when level ≥ 1.</t>
        </r>
      </text>
    </comment>
    <comment ref="N5" authorId="0">
      <text>
        <r>
          <rPr>
            <sz val="10"/>
            <rFont val="Arial"/>
            <family val="2"/>
          </rPr>
          <t xml:space="preserve">Additive autoclicks per second per level.</t>
        </r>
      </text>
    </comment>
    <comment ref="O5" authorId="0">
      <text>
        <r>
          <rPr>
            <sz val="10"/>
            <rFont val="Arial"/>
            <family val="2"/>
          </rPr>
          <t xml:space="preserve">Self-multiplicative growth on THIS upgrade's AC/sec.</t>
        </r>
      </text>
    </comment>
    <comment ref="P5" authorId="0">
      <text>
        <r>
          <rPr>
            <sz val="10"/>
            <rFont val="Arial"/>
            <family val="2"/>
          </rPr>
          <t xml:space="preserve">Per-level multiplier on ALL passive sources across all upgrades.</t>
        </r>
      </text>
    </comment>
    <comment ref="Q5" authorId="0">
      <text>
        <r>
          <rPr>
            <sz val="10"/>
            <rFont val="Arial"/>
            <family val="2"/>
          </rPr>
          <t xml:space="preserve">Per-level multiplier on ALL click value sources.</t>
        </r>
      </text>
    </comment>
    <comment ref="R5" authorId="0">
      <text>
        <r>
          <rPr>
            <sz val="10"/>
            <rFont val="Arial"/>
            <family val="2"/>
          </rPr>
          <t xml:space="preserve">Per-level multiplier on ALL autoclicker rates.</t>
        </r>
      </text>
    </comment>
    <comment ref="S5" authorId="0">
      <text>
        <r>
          <rPr>
            <sz val="10"/>
            <rFont val="Arial"/>
            <family val="2"/>
          </rPr>
          <t xml:space="preserve">1 = missable (max &lt; 99 AND cohesion = 0). Sim under 'completion path' won't transition until these are owned.</t>
        </r>
      </text>
    </comment>
    <comment ref="T5" authorId="0">
      <text>
        <r>
          <rPr>
            <sz val="10"/>
            <rFont val="Arial"/>
            <family val="2"/>
          </rPr>
          <t xml:space="preserve">Name of another upgrade whose self-contribution is multiplied by this upgrade. Empty = no synergy.</t>
        </r>
      </text>
    </comment>
    <comment ref="U5" authorId="0">
      <text>
        <r>
          <rPr>
            <sz val="10"/>
            <rFont val="Arial"/>
            <family val="2"/>
          </rPr>
          <t xml:space="preserve">Multiplier applied to the targeted upgrade. Raised to this upgrade's level (compounds with multiple levels of provider).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Real-time minutes target for this tier.</t>
        </r>
      </text>
    </comment>
    <comment ref="D4" authorId="0">
      <text>
        <r>
          <rPr>
            <sz val="10"/>
            <rFont val="Arial"/>
            <family val="2"/>
          </rPr>
          <t xml:space="preserve">Cumulative minutes through end of this tier.</t>
        </r>
      </text>
    </comment>
    <comment ref="E4" authorId="0">
      <text>
        <r>
          <rPr>
            <sz val="10"/>
            <rFont val="Arial"/>
            <family val="2"/>
          </rPr>
          <t xml:space="preserve">Diagnostic target — what fraction of income should come from active clicking.</t>
        </r>
      </text>
    </comment>
    <comment ref="F4" authorId="0">
      <text>
        <r>
          <rPr>
            <sz val="10"/>
            <rFont val="Arial"/>
            <family val="2"/>
          </rPr>
          <t xml:space="preserve">Cohesion needed to transition OUT of this tier.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Sim tick number. Each tick = 10 game seconds.</t>
        </r>
      </text>
    </comment>
    <comment ref="B4" authorId="0">
      <text>
        <r>
          <rPr>
            <sz val="10"/>
            <rFont val="Arial"/>
            <family val="2"/>
          </rPr>
          <t xml:space="preserve">Minutes elapsed from game start.</t>
        </r>
      </text>
    </comment>
    <comment ref="C4" authorId="0">
      <text>
        <r>
          <rPr>
            <sz val="10"/>
            <rFont val="Arial"/>
            <family val="2"/>
          </rPr>
          <t xml:space="preserve">Mass at start of tick.</t>
        </r>
      </text>
    </comment>
    <comment ref="D4" authorId="0">
      <text>
        <r>
          <rPr>
            <sz val="10"/>
            <rFont val="Arial"/>
            <family val="2"/>
          </rPr>
          <t xml:space="preserve">Cohesion at start of tick.</t>
        </r>
      </text>
    </comment>
    <comment ref="E4" authorId="0">
      <text>
        <r>
          <rPr>
            <sz val="10"/>
            <rFont val="Arial"/>
            <family val="2"/>
          </rPr>
          <t xml:space="preserve">Solar Wind levels.</t>
        </r>
      </text>
    </comment>
    <comment ref="F4" authorId="0">
      <text>
        <r>
          <rPr>
            <sz val="10"/>
            <rFont val="Arial"/>
            <family val="2"/>
          </rPr>
          <t xml:space="preserve">Asteroid Belt levels.</t>
        </r>
      </text>
    </comment>
    <comment ref="G4" authorId="0">
      <text>
        <r>
          <rPr>
            <sz val="10"/>
            <rFont val="Arial"/>
            <family val="2"/>
          </rPr>
          <t xml:space="preserve">Stellar Coupling levels.</t>
        </r>
      </text>
    </comment>
    <comment ref="H4" authorId="0">
      <text>
        <r>
          <rPr>
            <sz val="10"/>
            <rFont val="Arial"/>
            <family val="2"/>
          </rPr>
          <t xml:space="preserve">Magnetosphere levels (max 3).</t>
        </r>
      </text>
    </comment>
    <comment ref="I4" authorId="0">
      <text>
        <r>
          <rPr>
            <sz val="10"/>
            <rFont val="Arial"/>
            <family val="2"/>
          </rPr>
          <t xml:space="preserve">Orbital Resonance owned.</t>
        </r>
      </text>
    </comment>
    <comment ref="J4" authorId="0">
      <text>
        <r>
          <rPr>
            <sz val="10"/>
            <rFont val="Arial"/>
            <family val="2"/>
          </rPr>
          <t xml:space="preserve">Heliopause owned.</t>
        </r>
      </text>
    </comment>
    <comment ref="K4" authorId="0">
      <text>
        <r>
          <rPr>
            <sz val="10"/>
            <rFont val="Arial"/>
            <family val="2"/>
          </rPr>
          <t xml:space="preserve">First Photons owned.</t>
        </r>
      </text>
    </comment>
    <comment ref="L4" authorId="0">
      <text>
        <r>
          <rPr>
            <sz val="10"/>
            <rFont val="Arial"/>
            <family val="2"/>
          </rPr>
          <t xml:space="preserve">Transitioned to Tier 2.</t>
        </r>
      </text>
    </comment>
    <comment ref="M4" authorId="0">
      <text>
        <r>
          <rPr>
            <sz val="10"/>
            <rFont val="Arial"/>
            <family val="2"/>
          </rPr>
          <t xml:space="preserve">Mass per Click.</t>
        </r>
      </text>
    </comment>
    <comment ref="N4" authorId="0">
      <text>
        <r>
          <rPr>
            <sz val="10"/>
            <rFont val="Arial"/>
            <family val="2"/>
          </rPr>
          <t xml:space="preserve">Mass per Second (passive).</t>
        </r>
      </text>
    </comment>
    <comment ref="O4" authorId="0">
      <text>
        <r>
          <rPr>
            <sz val="10"/>
            <rFont val="Arial"/>
            <family val="2"/>
          </rPr>
          <t xml:space="preserve">Autoclicks per Second. Always 0 in T1.</t>
        </r>
      </text>
    </comment>
    <comment ref="P4" authorId="0">
      <text>
        <r>
          <rPr>
            <sz val="10"/>
            <rFont val="Arial"/>
            <family val="2"/>
          </rPr>
          <t xml:space="preserve">Active click income this tick (10s).</t>
        </r>
      </text>
    </comment>
    <comment ref="Q4" authorId="0">
      <text>
        <r>
          <rPr>
            <sz val="10"/>
            <rFont val="Arial"/>
            <family val="2"/>
          </rPr>
          <t xml:space="preserve">Autoclicker income this tick.</t>
        </r>
      </text>
    </comment>
    <comment ref="R4" authorId="0">
      <text>
        <r>
          <rPr>
            <sz val="10"/>
            <rFont val="Arial"/>
            <family val="2"/>
          </rPr>
          <t xml:space="preserve">Passive income this tick.</t>
        </r>
      </text>
    </comment>
    <comment ref="Y4" authorId="0">
      <text>
        <r>
          <rPr>
            <sz val="10"/>
            <rFont val="Arial"/>
            <family val="2"/>
          </rPr>
          <t xml:space="preserve">Implied mass-per-second rate at end of tick.</t>
        </r>
      </text>
    </comment>
    <comment ref="AA4" authorId="0">
      <text>
        <r>
          <rPr>
            <sz val="10"/>
            <rFont val="Arial"/>
            <family val="2"/>
          </rPr>
          <t xml:space="preserve">Solar Wind's contribution to total income, in Mass/min. Already includes any global multipliers.</t>
        </r>
      </text>
    </comment>
    <comment ref="AB4" authorId="0">
      <text>
        <r>
          <rPr>
            <sz val="10"/>
            <rFont val="Arial"/>
            <family val="2"/>
          </rPr>
          <t xml:space="preserve">Asteroid Belt's contribution in Mass/min. Already includes any global multipliers.</t>
        </r>
      </text>
    </comment>
    <comment ref="AC4" authorId="0">
      <text>
        <r>
          <rPr>
            <sz val="10"/>
            <rFont val="Arial"/>
            <family val="2"/>
          </rPr>
          <t xml:space="preserve">Stellar Coupling's contribution to active click income, in Mass/min.</t>
        </r>
      </text>
    </comment>
    <comment ref="AD4" authorId="0">
      <text>
        <r>
          <rPr>
            <sz val="10"/>
            <rFont val="Arial"/>
            <family val="2"/>
          </rPr>
          <t xml:space="preserve">Magnetosphere's contribution to passive income, in Mass/min. Already includes any global multipliers.</t>
        </r>
      </text>
    </comment>
    <comment ref="AE4" authorId="0">
      <text>
        <r>
          <rPr>
            <sz val="10"/>
            <rFont val="Arial"/>
            <family val="2"/>
          </rPr>
          <t xml:space="preserve">First Photons' direct M/min contribution (its base 0.5 M/sec). Its click multiplier effect is rolled into SC's column AND the Base column.</t>
        </r>
      </text>
    </comment>
    <comment ref="AF4" authorId="0">
      <text>
        <r>
          <rPr>
            <sz val="10"/>
            <rFont val="Arial"/>
            <family val="2"/>
          </rPr>
          <t xml:space="preserve">Income from the implicit base click value (1.0 mass/click), with all global multipliers applied. Includes both active clicks and autoclickers (autoclickers are 0 in T1). Adding all upgrade columns plus this Base column equals total income.</t>
        </r>
      </text>
    </comment>
  </commentList>
</comments>
</file>

<file path=xl/sharedStrings.xml><?xml version="1.0" encoding="utf-8"?>
<sst xmlns="http://schemas.openxmlformats.org/spreadsheetml/2006/main" count="236" uniqueCount="225">
  <si>
    <t xml:space="preserve">Dark Filaments — Simulator v1.2.1</t>
  </si>
  <si>
    <t xml:space="preserve">Strategy overhaul: greedy value-per-cost replaces balanced-build. Save mode threshold is dynamic based on VPC ratios. No schema changes from v1.2.</t>
  </si>
  <si>
    <t xml:space="preserve">The three core stats</t>
  </si>
  <si>
    <t xml:space="preserve">• MPC — Mass per Click — affects active click income AND autoclicker output</t>
  </si>
  <si>
    <t xml:space="preserve">• MPS — Mass per Second — passive income rate</t>
  </si>
  <si>
    <t xml:space="preserve">• APS — Autoclicks per Second — fake clicks per second from autoclickers</t>
  </si>
  <si>
    <t xml:space="preserve">Game tick = 1 second. Total income/sec = (cpm/60 × MPC × active) + (APS × MPC) + MPS.</t>
  </si>
  <si>
    <t xml:space="preserve">Simulator measures in 10-second chunks (10 game ticks per sim row).</t>
  </si>
  <si>
    <t xml:space="preserve">Unified upgrade schema</t>
  </si>
  <si>
    <t xml:space="preserve">Every upgrade has the same fields. Most fields will be 0 (additive) or 1.0 (multiplicative) for any given upgrade — only the ones that actually do something get filled in.</t>
  </si>
  <si>
    <t xml:space="preserve">Per-stat fields (one set each for M/sec, M/click, AC/sec):</t>
  </si>
  <si>
    <t xml:space="preserve">• Base — constant value when level ≥ 1, before any multipliers</t>
  </si>
  <si>
    <t xml:space="preserve">• + per lvl — linear growth: each level adds this amount</t>
  </si>
  <si>
    <t xml:space="preserve">• × self per lvl — exponential growth: each level multiplies THIS upgrade by this factor</t>
  </si>
  <si>
    <t xml:space="preserve">Global multiplier fields (apply to ALL upgrades' contributions of that type):</t>
  </si>
  <si>
    <t xml:space="preserve">• × all M/sec per lvl — buffs all passive sources</t>
  </si>
  <si>
    <t xml:space="preserve">• × all M/click per lvl — buffs all click value sources</t>
  </si>
  <si>
    <t xml:space="preserve">• × all AC speed per lvl — buffs all autoclicker rates</t>
  </si>
  <si>
    <t xml:space="preserve">Contribution formula:</t>
  </si>
  <si>
    <t xml:space="preserve">contribution(level N, upgrade U) = IF(N = 0, 0, (U.base + N × U.additive) × U.self_mult^N)</t>
  </si>
  <si>
    <t xml:space="preserve">Total stat = SUM(self contributions) × PRODUCT(global multipliers ^ levels)</t>
  </si>
  <si>
    <t xml:space="preserve">How current T1 maps to the schema</t>
  </si>
  <si>
    <t xml:space="preserve">• Solar Wind — additive M/sec only: + per lvl = 0.02. Pure linear passive.</t>
  </si>
  <si>
    <t xml:space="preserve">• Asteroid Belt — additive M/sec only: + per lvl = 0.07. Pure linear passive.</t>
  </si>
  <si>
    <t xml:space="preserve">• Stellar Coupling — additive M/click only: + per lvl = 0.32. Pure linear click.</t>
  </si>
  <si>
    <t xml:space="preserve">• Orbital Resonance — × all M/sec per lvl = 1.25, max levels = 1. One-shot global passive multiplier.</t>
  </si>
  <si>
    <t xml:space="preserve">• Heliopause — all effects 0/1.0, max levels = 1, cohesion 0.6. Pure cohesion contribution.</t>
  </si>
  <si>
    <t xml:space="preserve">Try a non-linear variant</t>
  </si>
  <si>
    <t xml:space="preserve">Want to test 'each Solar Wind level grows itself by 5%'? Set:</t>
  </si>
  <si>
    <t xml:space="preserve">  Solar Wind: base = 0.02, + per lvl = 0, × self M/sec per lvl = 1.05</t>
  </si>
  <si>
    <t xml:space="preserve">That makes level 5 produce (0.02 + 0) × 1.05^5 = 0.0255 M/sec — 27% more than linear at the same level.</t>
  </si>
  <si>
    <t xml:space="preserve">Or for a pure black-hole-style upgrade: base = 1.0, + per lvl = 0, × self per lvl = 1.10. Level 10 = 1.0 × 1.10^10 = 2.59 — slow start, runaway end.</t>
  </si>
  <si>
    <t xml:space="preserve">Tier transitions</t>
  </si>
  <si>
    <t xml:space="preserve">Cohesion-gated only. Available when cohesion ≥ tier_transition_cost. Player buys cohesion-rewarding one-shots in cheapest-first order until they have enough. No 'gates' field needed — the cohesion math takes care of ordering.</t>
  </si>
  <si>
    <t xml:space="preserve">Carryover model (locked, unchanged from v0.7+)</t>
  </si>
  <si>
    <t xml:space="preserve">Effects from earlier tiers persist forever. You cannot buy MORE of a previous tier's upgrades after transitioning. Each tier's purchase loop is self-contained.</t>
  </si>
  <si>
    <t xml:space="preserve">Tab guide</t>
  </si>
  <si>
    <t xml:space="preserve">Parameters    — Master knobs (simplified — value-target curve params dropped).</t>
  </si>
  <si>
    <t xml:space="preserve">Upgrades      — Per-upgrade definitions in the unified schema.</t>
  </si>
  <si>
    <t xml:space="preserve">TimeBudget    — Per-tier minute targets and click share targets (replaces TierPlan).</t>
  </si>
  <si>
    <t xml:space="preserve">UpgradeSim    — Tier 1 micro simulation.</t>
  </si>
  <si>
    <t xml:space="preserve">Curves        — Purchase cadence and click share diagnostics.</t>
  </si>
  <si>
    <t xml:space="preserve">What got dropped from earlier versions</t>
  </si>
  <si>
    <t xml:space="preserve">• income_ratio_total parameter (we never landed on a value that meant anything)</t>
  </si>
  <si>
    <t xml:space="preserve">• Macro income target curves on TierPlan (replaced by simpler TimeBudget)</t>
  </si>
  <si>
    <t xml:space="preserve">• Macro 1-min Simulation tab (was diagnostic for value targets we no longer track)</t>
  </si>
  <si>
    <t xml:space="preserve">• Events/min density parameters (was never properly defined as a metric)</t>
  </si>
  <si>
    <t xml:space="preserve">• Rigid upgrade type system (replaced by unified schema)</t>
  </si>
  <si>
    <t xml:space="preserve">• 'Gates' field on upgrades (cohesion-gating handles transitions instead)</t>
  </si>
  <si>
    <t xml:space="preserve">Color conventions</t>
  </si>
  <si>
    <t xml:space="preserve">Yellow = editable input. Light green = derived live calculation. Black text = formula. Green text = cross-tab reference.</t>
  </si>
  <si>
    <t xml:space="preserve">Parameters</t>
  </si>
  <si>
    <t xml:space="preserve">Edit yellow cells. Everything else updates automatically.</t>
  </si>
  <si>
    <t xml:space="preserve">Time budget</t>
  </si>
  <si>
    <t xml:space="preserve">Total target playtime (minutes)</t>
  </si>
  <si>
    <t xml:space="preserve">Casual pace at 45 cpm. 60 cpm players will finish closer to ~480 min.</t>
  </si>
  <si>
    <t xml:space="preserve">Number of tiers</t>
  </si>
  <si>
    <t xml:space="preserve">Solar System through Causal Horizon.</t>
  </si>
  <si>
    <t xml:space="preserve">Tier real-time growth rate</t>
  </si>
  <si>
    <t xml:space="preserve">Each tier takes this many times as long as the previous one.</t>
  </si>
  <si>
    <t xml:space="preserve">Click &amp; income</t>
  </si>
  <si>
    <t xml:space="preserve">Base click value (Mass per click, no upgrades)</t>
  </si>
  <si>
    <t xml:space="preserve">The unit of the economy. Each click yields this much Mass with zero upgrades.</t>
  </si>
  <si>
    <t xml:space="preserve">Average clicks per minute when active</t>
  </si>
  <si>
    <t xml:space="preserve">Reflects autoclicker / engaged play. Prototype dynamically reports actual cpm.</t>
  </si>
  <si>
    <t xml:space="preserve">Active play fraction (0–1)</t>
  </si>
  <si>
    <t xml:space="preserve">Prototype reports cpm in real time, so this stays at 1.0; AFK time is captured by cpm dropping.</t>
  </si>
  <si>
    <t xml:space="preserve">Click importance curve (U-shape, diagnostic only)</t>
  </si>
  <si>
    <t xml:space="preserve">Click share at Tier 1</t>
  </si>
  <si>
    <t xml:space="preserve">Clicks dominate at start.</t>
  </si>
  <si>
    <t xml:space="preserve">Click share minimum (Tier 5 dip)</t>
  </si>
  <si>
    <t xml:space="preserve">Crescendo — chain reactions handle nearly everything.</t>
  </si>
  <si>
    <t xml:space="preserve">Click share late game (Tier 9)</t>
  </si>
  <si>
    <t xml:space="preserve">'Hanging on.'</t>
  </si>
  <si>
    <t xml:space="preserve">Click share endgame (Tier 10)</t>
  </si>
  <si>
    <t xml:space="preserve">Click becomes ritual.</t>
  </si>
  <si>
    <t xml:space="preserve">Cohesion (gates tier transitions)</t>
  </si>
  <si>
    <t xml:space="preserve">Cohesion cost: T1 → T2 transition</t>
  </si>
  <si>
    <t xml:space="preserve">Tutorial-friendly.</t>
  </si>
  <si>
    <t xml:space="preserve">Cohesion cost growth per tier</t>
  </si>
  <si>
    <t xml:space="preserve">Geometric growth.</t>
  </si>
  <si>
    <t xml:space="preserve">Simulator strategy</t>
  </si>
  <si>
    <t xml:space="preserve">VPC save threshold</t>
  </si>
  <si>
    <t xml:space="preserve">Save mode triggers when next-target VPC &gt; (best-affordable VPC × this). Lower = saves harder.</t>
  </si>
  <si>
    <t xml:space="preserve">Offline progression</t>
  </si>
  <si>
    <t xml:space="preserve">Offline progression rate (1.0 = full)</t>
  </si>
  <si>
    <t xml:space="preserve">Full offline accumulation; queued events fire on return.</t>
  </si>
  <si>
    <t xml:space="preserve">Tier names</t>
  </si>
  <si>
    <t xml:space="preserve">Tier 1 name</t>
  </si>
  <si>
    <t xml:space="preserve">Solar System</t>
  </si>
  <si>
    <t xml:space="preserve">Tutorial.</t>
  </si>
  <si>
    <t xml:space="preserve">Tier 2 name</t>
  </si>
  <si>
    <t xml:space="preserve">Stellar Neighborhood</t>
  </si>
  <si>
    <t xml:space="preserve">First sense of scale. Introduces autoclickers.</t>
  </si>
  <si>
    <t xml:space="preserve">Tier 3 name</t>
  </si>
  <si>
    <t xml:space="preserve">Galactic Arm</t>
  </si>
  <si>
    <t xml:space="preserve">Tier 4 name</t>
  </si>
  <si>
    <t xml:space="preserve">Galaxy</t>
  </si>
  <si>
    <t xml:space="preserve">Tier 5 name</t>
  </si>
  <si>
    <t xml:space="preserve">Local Group</t>
  </si>
  <si>
    <t xml:space="preserve">PEAK. Crescendo.</t>
  </si>
  <si>
    <t xml:space="preserve">Tier 6 name</t>
  </si>
  <si>
    <t xml:space="preserve">Galactic Cluster</t>
  </si>
  <si>
    <t xml:space="preserve">Tier 7 name</t>
  </si>
  <si>
    <t xml:space="preserve">Supercluster</t>
  </si>
  <si>
    <t xml:space="preserve">Tier 8 name</t>
  </si>
  <si>
    <t xml:space="preserve">Filament</t>
  </si>
  <si>
    <t xml:space="preserve">Tier 9 name</t>
  </si>
  <si>
    <t xml:space="preserve">Cosmic Web</t>
  </si>
  <si>
    <t xml:space="preserve">Tier 10 name</t>
  </si>
  <si>
    <t xml:space="preserve">Causal Horizon</t>
  </si>
  <si>
    <t xml:space="preserve">Endgame.</t>
  </si>
  <si>
    <t xml:space="preserve">Upgrades — unified schema</t>
  </si>
  <si>
    <t xml:space="preserve">Each row is one upgrade. Yellow cells editable. Most cells will be 0 (additive) or 1.0 (multiplicative) — only the levers that actually do something get filled in. Completionist = missable upgrade. Synergy target/mult lets one upgrade buff another's self-contribution geometrically with level.</t>
  </si>
  <si>
    <t xml:space="preserve">Identity</t>
  </si>
  <si>
    <t xml:space="preserve">Cost &amp; limits</t>
  </si>
  <si>
    <t xml:space="preserve">Self M/sec</t>
  </si>
  <si>
    <t xml:space="preserve">Self M/click</t>
  </si>
  <si>
    <t xml:space="preserve">Self AC/sec</t>
  </si>
  <si>
    <t xml:space="preserve">Global multipliers</t>
  </si>
  <si>
    <t xml:space="preserve">Completion</t>
  </si>
  <si>
    <t xml:space="preserve">Synergy</t>
  </si>
  <si>
    <t xml:space="preserve">Description</t>
  </si>
  <si>
    <t xml:space="preserve">Tier</t>
  </si>
  <si>
    <t xml:space="preserve">Name</t>
  </si>
  <si>
    <t xml:space="preserve">Init cost</t>
  </si>
  <si>
    <t xml:space="preserve">Cost growth</t>
  </si>
  <si>
    <t xml:space="preserve">Max levels</t>
  </si>
  <si>
    <t xml:space="preserve">Cohesion +</t>
  </si>
  <si>
    <t xml:space="preserve">Base</t>
  </si>
  <si>
    <t xml:space="preserve">+ /lvl</t>
  </si>
  <si>
    <t xml:space="preserve">× self /lvl</t>
  </si>
  <si>
    <t xml:space="preserve">× all M/sec /lvl</t>
  </si>
  <si>
    <t xml:space="preserve">× all M/click /lvl</t>
  </si>
  <si>
    <t xml:space="preserve">× all AC speed /lvl</t>
  </si>
  <si>
    <t xml:space="preserve">Completionist?</t>
  </si>
  <si>
    <t xml:space="preserve">Synergy target</t>
  </si>
  <si>
    <t xml:space="preserve">Synergy mult/lvl</t>
  </si>
  <si>
    <t xml:space="preserve">Description voice</t>
  </si>
  <si>
    <t xml:space="preserve">Solar Wind</t>
  </si>
  <si>
    <t xml:space="preserve">Charged particles drift outward and return with company. We are pulling more than we used to.</t>
  </si>
  <si>
    <t xml:space="preserve">Asteroid Belt</t>
  </si>
  <si>
    <t xml:space="preserve">The belt yields. Iron, ice, the slow gravel of the early system. Each rock finds us.</t>
  </si>
  <si>
    <t xml:space="preserve">Stellar Coupling</t>
  </si>
  <si>
    <t xml:space="preserve">We pull harder. The center holds tighter.</t>
  </si>
  <si>
    <t xml:space="preserve">Magnetosphere</t>
  </si>
  <si>
    <t xml:space="preserve">The system's invisible shell. Charged particles arc and return. We catch what would have escaped.</t>
  </si>
  <si>
    <t xml:space="preserve">Orbital Resonance</t>
  </si>
  <si>
    <t xml:space="preserve">Periods align. The system breathes in time with us. Everything we touch becomes synchronous.</t>
  </si>
  <si>
    <t xml:space="preserve">Heliopause</t>
  </si>
  <si>
    <t xml:space="preserve">We have reached the edge of our influence. Beyond it, the rest of the galaxy waits.</t>
  </si>
  <si>
    <t xml:space="preserve">First Photons</t>
  </si>
  <si>
    <t xml:space="preserve">Light, finally. The first photons leave the surface and find us. Everything quickens.</t>
  </si>
  <si>
    <t xml:space="preserve">Time budget per tier</t>
  </si>
  <si>
    <t xml:space="preserve">Time targets and click share targets per tier. Derived from Parameters.</t>
  </si>
  <si>
    <t xml:space="preserve">Min/tier</t>
  </si>
  <si>
    <t xml:space="preserve">Cum min</t>
  </si>
  <si>
    <t xml:space="preserve">Click %</t>
  </si>
  <si>
    <t xml:space="preserve">Cohesion cost</t>
  </si>
  <si>
    <t xml:space="preserve">Notes</t>
  </si>
  <si>
    <t xml:space="preserve">Autoclickers introduced.</t>
  </si>
  <si>
    <t xml:space="preserve">PEAK.</t>
  </si>
  <si>
    <t xml:space="preserve">TOTAL</t>
  </si>
  <si>
    <t xml:space="preserve">UpgradeSim — Tier 1 (Solar System)</t>
  </si>
  <si>
    <t xml:space="preserve">10-second tick simulation. Game ticks every 1 second under the hood; sim runs the COMPLETION path. See row 3 for headline timing metrics.</t>
  </si>
  <si>
    <t xml:space="preserve">Earliest possible transition (cohesion ready):</t>
  </si>
  <si>
    <t xml:space="preserve">Actual transition (completion path):</t>
  </si>
  <si>
    <t xml:space="preserve">Tick</t>
  </si>
  <si>
    <t xml:space="preserve">Time (min)</t>
  </si>
  <si>
    <t xml:space="preserve">Mass start</t>
  </si>
  <si>
    <t xml:space="preserve">Cohesion</t>
  </si>
  <si>
    <t xml:space="preserve">SW</t>
  </si>
  <si>
    <t xml:space="preserve">AB</t>
  </si>
  <si>
    <t xml:space="preserve">SC</t>
  </si>
  <si>
    <t xml:space="preserve">Mag</t>
  </si>
  <si>
    <t xml:space="preserve">OR</t>
  </si>
  <si>
    <t xml:space="preserve">HP</t>
  </si>
  <si>
    <t xml:space="preserve">FP</t>
  </si>
  <si>
    <t xml:space="preserve">T2?</t>
  </si>
  <si>
    <t xml:space="preserve">MPC</t>
  </si>
  <si>
    <t xml:space="preserve">MPS</t>
  </si>
  <si>
    <t xml:space="preserve">APS</t>
  </si>
  <si>
    <t xml:space="preserve">Click inc</t>
  </si>
  <si>
    <t xml:space="preserve">Auto inc</t>
  </si>
  <si>
    <t xml:space="preserve">Pass inc</t>
  </si>
  <si>
    <t xml:space="preserve">Total inc</t>
  </si>
  <si>
    <t xml:space="preserve">Mass post-inc</t>
  </si>
  <si>
    <t xml:space="preserve">Buy?</t>
  </si>
  <si>
    <t xml:space="preserve">Cost</t>
  </si>
  <si>
    <t xml:space="preserve">Coh +</t>
  </si>
  <si>
    <t xml:space="preserve">Mass end</t>
  </si>
  <si>
    <t xml:space="preserve">M/sec</t>
  </si>
  <si>
    <t xml:space="preserve">Note</t>
  </si>
  <si>
    <t xml:space="preserve">SW M/min</t>
  </si>
  <si>
    <t xml:space="preserve">AB M/min</t>
  </si>
  <si>
    <t xml:space="preserve">SC M/min</t>
  </si>
  <si>
    <t xml:space="preserve">Mag M/min</t>
  </si>
  <si>
    <t xml:space="preserve">FP M/min</t>
  </si>
  <si>
    <t xml:space="preserve">Base M/min</t>
  </si>
  <si>
    <t xml:space="preserve">SW cost</t>
  </si>
  <si>
    <t xml:space="preserve">AB cost</t>
  </si>
  <si>
    <t xml:space="preserve">SC cost</t>
  </si>
  <si>
    <t xml:space="preserve">Mag cost</t>
  </si>
  <si>
    <t xml:space="preserve">OR cost</t>
  </si>
  <si>
    <t xml:space="preserve">HP cost</t>
  </si>
  <si>
    <t xml:space="preserve">FP cost</t>
  </si>
  <si>
    <t xml:space="preserve">Trans?</t>
  </si>
  <si>
    <t xml:space="preserve">Could-trans?</t>
  </si>
  <si>
    <t xml:space="preserve">Next OS cost</t>
  </si>
  <si>
    <t xml:space="preserve">Cheapest stack</t>
  </si>
  <si>
    <t xml:space="preserve">Save mode</t>
  </si>
  <si>
    <t xml:space="preserve">SW VPC</t>
  </si>
  <si>
    <t xml:space="preserve">AB VPC</t>
  </si>
  <si>
    <t xml:space="preserve">SC VPC</t>
  </si>
  <si>
    <t xml:space="preserve">Mag VPC</t>
  </si>
  <si>
    <t xml:space="preserve">Next OS VPC</t>
  </si>
  <si>
    <t xml:space="preserve">Action</t>
  </si>
  <si>
    <t xml:space="preserve">game start</t>
  </si>
  <si>
    <t xml:space="preserve">Curves</t>
  </si>
  <si>
    <t xml:space="preserve">Purchase cadence and click share diagnostics for T1.</t>
  </si>
  <si>
    <t xml:space="preserve">Minute</t>
  </si>
  <si>
    <t xml:space="preserve">Purchases</t>
  </si>
  <si>
    <t xml:space="preserve">Cum purchases</t>
  </si>
  <si>
    <t xml:space="preserve">Click share %</t>
  </si>
  <si>
    <t xml:space="preserve">Click share target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</si>
</sst>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.00"/>
    <numFmt numFmtId="167" formatCode="0%"/>
    <numFmt numFmtId="168" formatCode="0.0"/>
    <numFmt numFmtId="169" formatCode="0.0%"/>
    <numFmt numFmtId="170" formatCode="0.000"/>
    <numFmt numFmtId="171" formatCode="General"/>
    <numFmt numFmtId="172" formatCode="0.000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1182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1"/>
      <color rgb="FF374151"/>
      <name val="Arial"/>
      <family val="0"/>
      <charset val="1"/>
    </font>
    <font>
      <b val="true"/>
      <sz val="10"/>
      <color rgb="FF1E40A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sz val="10"/>
      <color rgb="FF047857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C2D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3F4F6"/>
        <bgColor rgb="FFF9F9F9"/>
      </patternFill>
    </fill>
    <fill>
      <patternFill patternType="solid">
        <fgColor rgb="FFFEF3C7"/>
        <bgColor rgb="FFF3F4F6"/>
      </patternFill>
    </fill>
    <fill>
      <patternFill patternType="solid">
        <fgColor rgb="FF1F2937"/>
        <bgColor rgb="FF111827"/>
      </patternFill>
    </fill>
    <fill>
      <patternFill patternType="solid">
        <fgColor rgb="FFECFDF5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D9D9D9"/>
      <rgbColor rgb="FF878787"/>
      <rgbColor rgb="FF9999FF"/>
      <rgbColor rgb="FFAA433F"/>
      <rgbColor rgb="FFFEF3C7"/>
      <rgbColor rgb="FFECFD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F9F9F9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B7280"/>
      <rgbColor rgb="FFCC8F8E"/>
      <rgbColor rgb="FF003366"/>
      <rgbColor rgb="FF339966"/>
      <rgbColor rgb="FF111827"/>
      <rgbColor rgb="FF374151"/>
      <rgbColor rgb="FF7C2D12"/>
      <rgbColor rgb="FF993366"/>
      <rgbColor rgb="FF1E40AF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T1 Purchases per Minute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Curves!B4</c:f>
              <c:strCache>
                <c:ptCount val="1"/>
                <c:pt idx="0">
                  <c:v>Purchases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Curves!$A$5:$A$34</c:f>
              <c:strCach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strCache>
            </c:strRef>
          </c:cat>
          <c:val>
            <c:numRef>
              <c:f>Curves!$B$5:$B$34</c:f>
              <c:numCache>
                <c:formatCode>0</c:formatCode>
                <c:ptCount val="30"/>
                <c:pt idx="0">
                  <c:v>4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gapWidth val="150"/>
        <c:overlap val="0"/>
        <c:axId val="87387153"/>
        <c:axId val="70168945"/>
      </c:barChart>
      <c:catAx>
        <c:axId val="873871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68945"/>
        <c:crosses val="autoZero"/>
        <c:auto val="1"/>
        <c:lblAlgn val="ctr"/>
        <c:lblOffset val="100"/>
        <c:noMultiLvlLbl val="0"/>
      </c:catAx>
      <c:valAx>
        <c:axId val="701689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Purchases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871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T1 Click Share — actual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Curves!D4</c:f>
              <c:strCache>
                <c:ptCount val="1"/>
                <c:pt idx="0">
                  <c:v>Click share %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Curves!$A$5:$A$34</c:f>
              <c:strCach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strCache>
            </c:strRef>
          </c:cat>
          <c:val>
            <c:numRef>
              <c:f>Curves!$D$5:$D$34</c:f>
              <c:numCache>
                <c:formatCode>0%</c:formatCode>
                <c:ptCount val="30"/>
                <c:pt idx="0">
                  <c:v>0.977121067683508</c:v>
                </c:pt>
                <c:pt idx="1">
                  <c:v>0.709219858156028</c:v>
                </c:pt>
                <c:pt idx="2">
                  <c:v>0.625</c:v>
                </c:pt>
                <c:pt idx="3">
                  <c:v>0.480769230769231</c:v>
                </c:pt>
                <c:pt idx="4">
                  <c:v>0.473282442748092</c:v>
                </c:pt>
                <c:pt idx="5">
                  <c:v>0.497005988023952</c:v>
                </c:pt>
                <c:pt idx="6">
                  <c:v>0.501510574018127</c:v>
                </c:pt>
                <c:pt idx="7">
                  <c:v>0.466292134831461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Curves!E4</c:f>
              <c:strCache>
                <c:ptCount val="1"/>
                <c:pt idx="0">
                  <c:v>Click share target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Curves!$A$5:$A$34</c:f>
              <c:strCach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strCache>
            </c:strRef>
          </c:cat>
          <c:val>
            <c:numRef>
              <c:f>Curves!$E$5:$E$34</c:f>
              <c:numCache>
                <c:formatCode>0%</c:formatCode>
                <c:ptCount val="30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2266"/>
        <c:axId val="74257969"/>
      </c:lineChart>
      <c:catAx>
        <c:axId val="9422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257969"/>
        <c:crosses val="autoZero"/>
        <c:auto val="1"/>
        <c:lblAlgn val="ctr"/>
        <c:lblOffset val="100"/>
        <c:noMultiLvlLbl val="0"/>
      </c:catAx>
      <c:valAx>
        <c:axId val="742579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Click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2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15</xdr:col>
      <xdr:colOff>256320</xdr:colOff>
      <xdr:row>19</xdr:row>
      <xdr:rowOff>132120</xdr:rowOff>
    </xdr:to>
    <xdr:graphicFrame>
      <xdr:nvGraphicFramePr>
        <xdr:cNvPr id="0" name="Chart 1"/>
        <xdr:cNvGraphicFramePr/>
      </xdr:nvGraphicFramePr>
      <xdr:xfrm>
        <a:off x="498168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22</xdr:row>
      <xdr:rowOff>131040</xdr:rowOff>
    </xdr:from>
    <xdr:to>
      <xdr:col>15</xdr:col>
      <xdr:colOff>256320</xdr:colOff>
      <xdr:row>39</xdr:row>
      <xdr:rowOff>132120</xdr:rowOff>
    </xdr:to>
    <xdr:graphicFrame>
      <xdr:nvGraphicFramePr>
        <xdr:cNvPr id="1" name="Chart 2"/>
        <xdr:cNvGraphicFramePr/>
      </xdr:nvGraphicFramePr>
      <xdr:xfrm>
        <a:off x="4981680" y="4381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</row>
    <row r="5" customFormat="false" ht="18" hidden="false" customHeight="true" outlineLevel="0" collapsed="false">
      <c r="A5" s="4" t="s">
        <v>3</v>
      </c>
    </row>
    <row r="6" customFormat="false" ht="18" hidden="false" customHeight="true" outlineLevel="0" collapsed="false">
      <c r="A6" s="4" t="s">
        <v>4</v>
      </c>
    </row>
    <row r="7" customFormat="false" ht="18" hidden="false" customHeight="true" outlineLevel="0" collapsed="false">
      <c r="A7" s="4" t="s">
        <v>5</v>
      </c>
    </row>
    <row r="8" customFormat="false" ht="18" hidden="false" customHeight="true" outlineLevel="0" collapsed="false">
      <c r="A8" s="4" t="s">
        <v>6</v>
      </c>
    </row>
    <row r="9" customFormat="false" ht="18" hidden="false" customHeight="true" outlineLevel="0" collapsed="false">
      <c r="A9" s="4" t="s">
        <v>7</v>
      </c>
    </row>
    <row r="11" customFormat="false" ht="21.75" hidden="false" customHeight="true" outlineLevel="0" collapsed="false">
      <c r="A11" s="3" t="s">
        <v>8</v>
      </c>
    </row>
    <row r="12" customFormat="false" ht="27.75" hidden="false" customHeight="true" outlineLevel="0" collapsed="false">
      <c r="A12" s="4" t="s">
        <v>9</v>
      </c>
    </row>
    <row r="14" customFormat="false" ht="18" hidden="false" customHeight="true" outlineLevel="0" collapsed="false">
      <c r="A14" s="5" t="s">
        <v>10</v>
      </c>
    </row>
    <row r="15" customFormat="false" ht="18" hidden="false" customHeight="true" outlineLevel="0" collapsed="false">
      <c r="A15" s="4" t="s">
        <v>11</v>
      </c>
    </row>
    <row r="16" customFormat="false" ht="18" hidden="false" customHeight="true" outlineLevel="0" collapsed="false">
      <c r="A16" s="4" t="s">
        <v>12</v>
      </c>
    </row>
    <row r="17" customFormat="false" ht="18" hidden="false" customHeight="true" outlineLevel="0" collapsed="false">
      <c r="A17" s="4" t="s">
        <v>13</v>
      </c>
    </row>
    <row r="19" customFormat="false" ht="18" hidden="false" customHeight="true" outlineLevel="0" collapsed="false">
      <c r="A19" s="5" t="s">
        <v>14</v>
      </c>
    </row>
    <row r="20" customFormat="false" ht="18" hidden="false" customHeight="true" outlineLevel="0" collapsed="false">
      <c r="A20" s="4" t="s">
        <v>15</v>
      </c>
    </row>
    <row r="21" customFormat="false" ht="18" hidden="false" customHeight="true" outlineLevel="0" collapsed="false">
      <c r="A21" s="4" t="s">
        <v>16</v>
      </c>
    </row>
    <row r="22" customFormat="false" ht="18" hidden="false" customHeight="true" outlineLevel="0" collapsed="false">
      <c r="A22" s="4" t="s">
        <v>17</v>
      </c>
    </row>
    <row r="24" customFormat="false" ht="18" hidden="false" customHeight="true" outlineLevel="0" collapsed="false">
      <c r="A24" s="5" t="s">
        <v>18</v>
      </c>
    </row>
    <row r="25" customFormat="false" ht="18" hidden="false" customHeight="true" outlineLevel="0" collapsed="false">
      <c r="A25" s="4" t="s">
        <v>19</v>
      </c>
    </row>
    <row r="26" customFormat="false" ht="18" hidden="false" customHeight="true" outlineLevel="0" collapsed="false">
      <c r="A26" s="4" t="s">
        <v>20</v>
      </c>
    </row>
    <row r="28" customFormat="false" ht="21.75" hidden="false" customHeight="true" outlineLevel="0" collapsed="false">
      <c r="A28" s="3" t="s">
        <v>21</v>
      </c>
    </row>
    <row r="29" customFormat="false" ht="18" hidden="false" customHeight="true" outlineLevel="0" collapsed="false">
      <c r="A29" s="4" t="s">
        <v>22</v>
      </c>
    </row>
    <row r="30" customFormat="false" ht="18" hidden="false" customHeight="true" outlineLevel="0" collapsed="false">
      <c r="A30" s="4" t="s">
        <v>23</v>
      </c>
    </row>
    <row r="31" customFormat="false" ht="18" hidden="false" customHeight="true" outlineLevel="0" collapsed="false">
      <c r="A31" s="4" t="s">
        <v>24</v>
      </c>
    </row>
    <row r="32" customFormat="false" ht="27.75" hidden="false" customHeight="true" outlineLevel="0" collapsed="false">
      <c r="A32" s="4" t="s">
        <v>25</v>
      </c>
    </row>
    <row r="33" customFormat="false" ht="18" hidden="false" customHeight="true" outlineLevel="0" collapsed="false">
      <c r="A33" s="4" t="s">
        <v>26</v>
      </c>
    </row>
    <row r="35" customFormat="false" ht="21.75" hidden="false" customHeight="true" outlineLevel="0" collapsed="false">
      <c r="A35" s="3" t="s">
        <v>27</v>
      </c>
    </row>
    <row r="36" customFormat="false" ht="18" hidden="false" customHeight="true" outlineLevel="0" collapsed="false">
      <c r="A36" s="4" t="s">
        <v>28</v>
      </c>
    </row>
    <row r="37" customFormat="false" ht="18" hidden="false" customHeight="true" outlineLevel="0" collapsed="false">
      <c r="A37" s="4" t="s">
        <v>29</v>
      </c>
    </row>
    <row r="38" customFormat="false" ht="27.75" hidden="false" customHeight="true" outlineLevel="0" collapsed="false">
      <c r="A38" s="4" t="s">
        <v>30</v>
      </c>
    </row>
    <row r="39" customFormat="false" ht="27.75" hidden="false" customHeight="true" outlineLevel="0" collapsed="false">
      <c r="A39" s="4" t="s">
        <v>31</v>
      </c>
    </row>
    <row r="41" customFormat="false" ht="21.75" hidden="false" customHeight="true" outlineLevel="0" collapsed="false">
      <c r="A41" s="3" t="s">
        <v>32</v>
      </c>
    </row>
    <row r="42" customFormat="false" ht="42" hidden="false" customHeight="true" outlineLevel="0" collapsed="false">
      <c r="A42" s="4" t="s">
        <v>33</v>
      </c>
    </row>
    <row r="44" customFormat="false" ht="21.75" hidden="false" customHeight="true" outlineLevel="0" collapsed="false">
      <c r="A44" s="3" t="s">
        <v>34</v>
      </c>
    </row>
    <row r="45" customFormat="false" ht="27.75" hidden="false" customHeight="true" outlineLevel="0" collapsed="false">
      <c r="A45" s="4" t="s">
        <v>35</v>
      </c>
    </row>
    <row r="47" customFormat="false" ht="21.75" hidden="false" customHeight="true" outlineLevel="0" collapsed="false">
      <c r="A47" s="3" t="s">
        <v>36</v>
      </c>
    </row>
    <row r="48" customFormat="false" ht="18" hidden="false" customHeight="true" outlineLevel="0" collapsed="false">
      <c r="A48" s="4" t="s">
        <v>37</v>
      </c>
    </row>
    <row r="49" customFormat="false" ht="18" hidden="false" customHeight="true" outlineLevel="0" collapsed="false">
      <c r="A49" s="4" t="s">
        <v>38</v>
      </c>
    </row>
    <row r="50" customFormat="false" ht="18" hidden="false" customHeight="true" outlineLevel="0" collapsed="false">
      <c r="A50" s="4" t="s">
        <v>39</v>
      </c>
    </row>
    <row r="51" customFormat="false" ht="18" hidden="false" customHeight="true" outlineLevel="0" collapsed="false">
      <c r="A51" s="4" t="s">
        <v>40</v>
      </c>
    </row>
    <row r="52" customFormat="false" ht="18" hidden="false" customHeight="true" outlineLevel="0" collapsed="false">
      <c r="A52" s="4" t="s">
        <v>41</v>
      </c>
    </row>
    <row r="54" customFormat="false" ht="21.75" hidden="false" customHeight="true" outlineLevel="0" collapsed="false">
      <c r="A54" s="3" t="s">
        <v>42</v>
      </c>
    </row>
    <row r="55" customFormat="false" ht="18" hidden="false" customHeight="true" outlineLevel="0" collapsed="false">
      <c r="A55" s="4" t="s">
        <v>43</v>
      </c>
    </row>
    <row r="56" customFormat="false" ht="18" hidden="false" customHeight="true" outlineLevel="0" collapsed="false">
      <c r="A56" s="4" t="s">
        <v>44</v>
      </c>
    </row>
    <row r="57" customFormat="false" ht="18" hidden="false" customHeight="true" outlineLevel="0" collapsed="false">
      <c r="A57" s="4" t="s">
        <v>45</v>
      </c>
    </row>
    <row r="58" customFormat="false" ht="18" hidden="false" customHeight="true" outlineLevel="0" collapsed="false">
      <c r="A58" s="4" t="s">
        <v>46</v>
      </c>
    </row>
    <row r="59" customFormat="false" ht="18" hidden="false" customHeight="true" outlineLevel="0" collapsed="false">
      <c r="A59" s="4" t="s">
        <v>47</v>
      </c>
    </row>
    <row r="60" customFormat="false" ht="18" hidden="false" customHeight="true" outlineLevel="0" collapsed="false">
      <c r="A60" s="4" t="s">
        <v>48</v>
      </c>
    </row>
    <row r="62" customFormat="false" ht="21.75" hidden="false" customHeight="true" outlineLevel="0" collapsed="false">
      <c r="A62" s="3" t="s">
        <v>49</v>
      </c>
    </row>
    <row r="63" customFormat="false" ht="27.75" hidden="false" customHeight="true" outlineLevel="0" collapsed="false">
      <c r="A63" s="4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15" hidden="false" customHeight="false" outlineLevel="0" collapsed="false">
      <c r="A4" s="6" t="s">
        <v>53</v>
      </c>
      <c r="B4" s="6"/>
      <c r="C4" s="6"/>
    </row>
    <row r="5" customFormat="false" ht="15" hidden="false" customHeight="false" outlineLevel="0" collapsed="false">
      <c r="A5" s="7" t="s">
        <v>54</v>
      </c>
      <c r="B5" s="8" t="n">
        <v>595</v>
      </c>
      <c r="C5" s="9" t="s">
        <v>55</v>
      </c>
    </row>
    <row r="6" customFormat="false" ht="15" hidden="false" customHeight="false" outlineLevel="0" collapsed="false">
      <c r="A6" s="7" t="s">
        <v>56</v>
      </c>
      <c r="B6" s="8" t="n">
        <v>10</v>
      </c>
      <c r="C6" s="9" t="s">
        <v>57</v>
      </c>
    </row>
    <row r="7" customFormat="false" ht="15" hidden="false" customHeight="false" outlineLevel="0" collapsed="false">
      <c r="A7" s="7" t="s">
        <v>58</v>
      </c>
      <c r="B7" s="10" t="n">
        <v>1.3</v>
      </c>
      <c r="C7" s="9" t="s">
        <v>59</v>
      </c>
    </row>
    <row r="8" customFormat="false" ht="15" hidden="false" customHeight="false" outlineLevel="0" collapsed="false">
      <c r="A8" s="6" t="s">
        <v>60</v>
      </c>
      <c r="B8" s="6"/>
      <c r="C8" s="6"/>
    </row>
    <row r="9" customFormat="false" ht="15" hidden="false" customHeight="false" outlineLevel="0" collapsed="false">
      <c r="A9" s="7" t="s">
        <v>61</v>
      </c>
      <c r="B9" s="10" t="n">
        <v>1</v>
      </c>
      <c r="C9" s="9" t="s">
        <v>62</v>
      </c>
    </row>
    <row r="10" customFormat="false" ht="15" hidden="false" customHeight="false" outlineLevel="0" collapsed="false">
      <c r="A10" s="7" t="s">
        <v>63</v>
      </c>
      <c r="B10" s="8" t="n">
        <v>100</v>
      </c>
      <c r="C10" s="9" t="s">
        <v>64</v>
      </c>
    </row>
    <row r="11" customFormat="false" ht="22.35" hidden="false" customHeight="false" outlineLevel="0" collapsed="false">
      <c r="A11" s="7" t="s">
        <v>65</v>
      </c>
      <c r="B11" s="10" t="n">
        <v>1</v>
      </c>
      <c r="C11" s="9" t="s">
        <v>66</v>
      </c>
    </row>
    <row r="12" customFormat="false" ht="15" hidden="false" customHeight="false" outlineLevel="0" collapsed="false">
      <c r="A12" s="6" t="s">
        <v>67</v>
      </c>
      <c r="B12" s="6"/>
      <c r="C12" s="6"/>
    </row>
    <row r="13" customFormat="false" ht="15" hidden="false" customHeight="false" outlineLevel="0" collapsed="false">
      <c r="A13" s="7" t="s">
        <v>68</v>
      </c>
      <c r="B13" s="11" t="n">
        <v>0.6</v>
      </c>
      <c r="C13" s="9" t="s">
        <v>69</v>
      </c>
    </row>
    <row r="14" customFormat="false" ht="15" hidden="false" customHeight="false" outlineLevel="0" collapsed="false">
      <c r="A14" s="7" t="s">
        <v>70</v>
      </c>
      <c r="B14" s="11" t="n">
        <v>0.05</v>
      </c>
      <c r="C14" s="9" t="s">
        <v>71</v>
      </c>
    </row>
    <row r="15" customFormat="false" ht="15" hidden="false" customHeight="false" outlineLevel="0" collapsed="false">
      <c r="A15" s="7" t="s">
        <v>72</v>
      </c>
      <c r="B15" s="11" t="n">
        <v>0.65</v>
      </c>
      <c r="C15" s="9" t="s">
        <v>73</v>
      </c>
    </row>
    <row r="16" customFormat="false" ht="15" hidden="false" customHeight="false" outlineLevel="0" collapsed="false">
      <c r="A16" s="7" t="s">
        <v>74</v>
      </c>
      <c r="B16" s="11" t="n">
        <v>0.7</v>
      </c>
      <c r="C16" s="9" t="s">
        <v>75</v>
      </c>
    </row>
    <row r="17" customFormat="false" ht="15" hidden="false" customHeight="false" outlineLevel="0" collapsed="false">
      <c r="A17" s="6" t="s">
        <v>76</v>
      </c>
      <c r="B17" s="6"/>
      <c r="C17" s="6"/>
    </row>
    <row r="18" customFormat="false" ht="15" hidden="false" customHeight="false" outlineLevel="0" collapsed="false">
      <c r="A18" s="7" t="s">
        <v>77</v>
      </c>
      <c r="B18" s="12" t="n">
        <v>1</v>
      </c>
      <c r="C18" s="9" t="s">
        <v>78</v>
      </c>
    </row>
    <row r="19" customFormat="false" ht="15" hidden="false" customHeight="false" outlineLevel="0" collapsed="false">
      <c r="A19" s="7" t="s">
        <v>79</v>
      </c>
      <c r="B19" s="10" t="n">
        <v>2.5</v>
      </c>
      <c r="C19" s="9" t="s">
        <v>80</v>
      </c>
    </row>
    <row r="20" customFormat="false" ht="15" hidden="false" customHeight="false" outlineLevel="0" collapsed="false">
      <c r="A20" s="6" t="s">
        <v>81</v>
      </c>
      <c r="B20" s="6"/>
      <c r="C20" s="6"/>
    </row>
    <row r="21" customFormat="false" ht="22.35" hidden="false" customHeight="false" outlineLevel="0" collapsed="false">
      <c r="A21" s="7" t="s">
        <v>82</v>
      </c>
      <c r="B21" s="12" t="n">
        <v>1.5</v>
      </c>
      <c r="C21" s="9" t="s">
        <v>83</v>
      </c>
    </row>
    <row r="22" customFormat="false" ht="15" hidden="false" customHeight="false" outlineLevel="0" collapsed="false">
      <c r="A22" s="6" t="s">
        <v>84</v>
      </c>
      <c r="B22" s="6"/>
      <c r="C22" s="6"/>
    </row>
    <row r="23" customFormat="false" ht="15" hidden="false" customHeight="false" outlineLevel="0" collapsed="false">
      <c r="A23" s="7" t="s">
        <v>85</v>
      </c>
      <c r="B23" s="13" t="n">
        <v>1</v>
      </c>
      <c r="C23" s="9" t="s">
        <v>86</v>
      </c>
    </row>
    <row r="24" customFormat="false" ht="15" hidden="false" customHeight="false" outlineLevel="0" collapsed="false">
      <c r="A24" s="6" t="s">
        <v>87</v>
      </c>
      <c r="B24" s="6"/>
      <c r="C24" s="6"/>
    </row>
    <row r="25" customFormat="false" ht="15" hidden="false" customHeight="false" outlineLevel="0" collapsed="false">
      <c r="A25" s="7" t="s">
        <v>88</v>
      </c>
      <c r="B25" s="14" t="s">
        <v>89</v>
      </c>
      <c r="C25" s="9" t="s">
        <v>90</v>
      </c>
    </row>
    <row r="26" customFormat="false" ht="15" hidden="false" customHeight="false" outlineLevel="0" collapsed="false">
      <c r="A26" s="7" t="s">
        <v>91</v>
      </c>
      <c r="B26" s="14" t="s">
        <v>92</v>
      </c>
      <c r="C26" s="9" t="s">
        <v>93</v>
      </c>
    </row>
    <row r="27" customFormat="false" ht="15" hidden="false" customHeight="false" outlineLevel="0" collapsed="false">
      <c r="A27" s="7" t="s">
        <v>94</v>
      </c>
      <c r="B27" s="14" t="s">
        <v>95</v>
      </c>
    </row>
    <row r="28" customFormat="false" ht="15" hidden="false" customHeight="false" outlineLevel="0" collapsed="false">
      <c r="A28" s="7" t="s">
        <v>96</v>
      </c>
      <c r="B28" s="14" t="s">
        <v>97</v>
      </c>
    </row>
    <row r="29" customFormat="false" ht="15" hidden="false" customHeight="false" outlineLevel="0" collapsed="false">
      <c r="A29" s="7" t="s">
        <v>98</v>
      </c>
      <c r="B29" s="14" t="s">
        <v>99</v>
      </c>
      <c r="C29" s="9" t="s">
        <v>100</v>
      </c>
    </row>
    <row r="30" customFormat="false" ht="15" hidden="false" customHeight="false" outlineLevel="0" collapsed="false">
      <c r="A30" s="7" t="s">
        <v>101</v>
      </c>
      <c r="B30" s="14" t="s">
        <v>102</v>
      </c>
    </row>
    <row r="31" customFormat="false" ht="15" hidden="false" customHeight="false" outlineLevel="0" collapsed="false">
      <c r="A31" s="7" t="s">
        <v>103</v>
      </c>
      <c r="B31" s="14" t="s">
        <v>104</v>
      </c>
    </row>
    <row r="32" customFormat="false" ht="15" hidden="false" customHeight="false" outlineLevel="0" collapsed="false">
      <c r="A32" s="7" t="s">
        <v>105</v>
      </c>
      <c r="B32" s="14" t="s">
        <v>106</v>
      </c>
    </row>
    <row r="33" customFormat="false" ht="15" hidden="false" customHeight="false" outlineLevel="0" collapsed="false">
      <c r="A33" s="7" t="s">
        <v>107</v>
      </c>
      <c r="B33" s="14" t="s">
        <v>108</v>
      </c>
    </row>
    <row r="34" customFormat="false" ht="15" hidden="false" customHeight="false" outlineLevel="0" collapsed="false">
      <c r="A34" s="7" t="s">
        <v>109</v>
      </c>
      <c r="B34" s="14" t="s">
        <v>110</v>
      </c>
      <c r="C34" s="9" t="s">
        <v>111</v>
      </c>
    </row>
  </sheetData>
  <mergeCells count="7">
    <mergeCell ref="A4:C4"/>
    <mergeCell ref="A8:C8"/>
    <mergeCell ref="A12:C12"/>
    <mergeCell ref="A17:C17"/>
    <mergeCell ref="A20:C20"/>
    <mergeCell ref="A22:C22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5" min="3" style="0" width="11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1" min="10" style="0" width="11"/>
    <col collapsed="false" customWidth="true" hidden="false" outlineLevel="0" max="12" min="12" style="0" width="13"/>
    <col collapsed="false" customWidth="true" hidden="false" outlineLevel="0" max="14" min="13" style="0" width="11"/>
    <col collapsed="false" customWidth="true" hidden="false" outlineLevel="0" max="19" min="15" style="0" width="13"/>
    <col collapsed="false" customWidth="true" hidden="false" outlineLevel="0" max="20" min="20" style="0" width="18"/>
    <col collapsed="false" customWidth="true" hidden="false" outlineLevel="0" max="21" min="21" style="0" width="13"/>
    <col collapsed="false" customWidth="true" hidden="false" outlineLevel="0" max="22" min="22" style="0" width="50"/>
  </cols>
  <sheetData>
    <row r="1" customFormat="false" ht="19.7" hidden="false" customHeight="false" outlineLevel="0" collapsed="false">
      <c r="A1" s="1" t="s">
        <v>112</v>
      </c>
    </row>
    <row r="2" customFormat="false" ht="18" hidden="false" customHeight="true" outlineLevel="0" collapsed="false">
      <c r="A2" s="2" t="s">
        <v>113</v>
      </c>
    </row>
    <row r="4" customFormat="false" ht="15" hidden="false" customHeight="false" outlineLevel="0" collapsed="false">
      <c r="A4" s="15" t="s">
        <v>114</v>
      </c>
      <c r="B4" s="15"/>
      <c r="C4" s="15" t="s">
        <v>115</v>
      </c>
      <c r="D4" s="15"/>
      <c r="E4" s="15"/>
      <c r="F4" s="15"/>
      <c r="G4" s="15" t="s">
        <v>116</v>
      </c>
      <c r="H4" s="15"/>
      <c r="I4" s="15"/>
      <c r="J4" s="15" t="s">
        <v>117</v>
      </c>
      <c r="K4" s="15"/>
      <c r="L4" s="15"/>
      <c r="M4" s="15" t="s">
        <v>118</v>
      </c>
      <c r="N4" s="15"/>
      <c r="O4" s="15"/>
      <c r="P4" s="15" t="s">
        <v>119</v>
      </c>
      <c r="Q4" s="15"/>
      <c r="R4" s="15"/>
      <c r="S4" s="15" t="s">
        <v>120</v>
      </c>
      <c r="T4" s="15" t="s">
        <v>121</v>
      </c>
      <c r="U4" s="15"/>
      <c r="V4" s="15" t="s">
        <v>122</v>
      </c>
    </row>
    <row r="5" customFormat="false" ht="15" hidden="false" customHeight="false" outlineLevel="0" collapsed="false">
      <c r="A5" s="16" t="s">
        <v>123</v>
      </c>
      <c r="B5" s="16" t="s">
        <v>124</v>
      </c>
      <c r="C5" s="16" t="s">
        <v>125</v>
      </c>
      <c r="D5" s="16" t="s">
        <v>126</v>
      </c>
      <c r="E5" s="16" t="s">
        <v>127</v>
      </c>
      <c r="F5" s="16" t="s">
        <v>128</v>
      </c>
      <c r="G5" s="16" t="s">
        <v>129</v>
      </c>
      <c r="H5" s="16" t="s">
        <v>130</v>
      </c>
      <c r="I5" s="16" t="s">
        <v>131</v>
      </c>
      <c r="J5" s="16" t="s">
        <v>129</v>
      </c>
      <c r="K5" s="16" t="s">
        <v>130</v>
      </c>
      <c r="L5" s="16" t="s">
        <v>131</v>
      </c>
      <c r="M5" s="16" t="s">
        <v>129</v>
      </c>
      <c r="N5" s="16" t="s">
        <v>130</v>
      </c>
      <c r="O5" s="16" t="s">
        <v>131</v>
      </c>
      <c r="P5" s="16" t="s">
        <v>132</v>
      </c>
      <c r="Q5" s="16" t="s">
        <v>133</v>
      </c>
      <c r="R5" s="16" t="s">
        <v>134</v>
      </c>
      <c r="S5" s="16" t="s">
        <v>135</v>
      </c>
      <c r="T5" s="16" t="s">
        <v>136</v>
      </c>
      <c r="U5" s="16" t="s">
        <v>137</v>
      </c>
      <c r="V5" s="16" t="s">
        <v>138</v>
      </c>
    </row>
    <row r="6" customFormat="false" ht="22.35" hidden="false" customHeight="false" outlineLevel="0" collapsed="false">
      <c r="A6" s="8" t="n">
        <v>1</v>
      </c>
      <c r="B6" s="17" t="s">
        <v>139</v>
      </c>
      <c r="C6" s="8" t="n">
        <v>7</v>
      </c>
      <c r="D6" s="10" t="n">
        <v>1.15</v>
      </c>
      <c r="E6" s="8" t="n">
        <v>99</v>
      </c>
      <c r="F6" s="10" t="n">
        <v>0</v>
      </c>
      <c r="G6" s="18" t="n">
        <v>0</v>
      </c>
      <c r="H6" s="18" t="n">
        <v>0.08</v>
      </c>
      <c r="I6" s="18" t="n">
        <v>1</v>
      </c>
      <c r="J6" s="18" t="n">
        <v>0</v>
      </c>
      <c r="K6" s="18" t="n">
        <v>0</v>
      </c>
      <c r="L6" s="18" t="n">
        <v>1</v>
      </c>
      <c r="M6" s="18" t="n">
        <v>0</v>
      </c>
      <c r="N6" s="18" t="n">
        <v>0</v>
      </c>
      <c r="O6" s="18" t="n">
        <v>1</v>
      </c>
      <c r="P6" s="18" t="n">
        <v>1</v>
      </c>
      <c r="Q6" s="18" t="n">
        <v>1</v>
      </c>
      <c r="R6" s="18" t="n">
        <v>1</v>
      </c>
      <c r="S6" s="8" t="n">
        <v>0</v>
      </c>
      <c r="T6" s="17"/>
      <c r="U6" s="18" t="n">
        <v>1</v>
      </c>
      <c r="V6" s="9" t="s">
        <v>140</v>
      </c>
    </row>
    <row r="7" customFormat="false" ht="22.35" hidden="false" customHeight="false" outlineLevel="0" collapsed="false">
      <c r="A7" s="8" t="n">
        <v>1</v>
      </c>
      <c r="B7" s="17" t="s">
        <v>141</v>
      </c>
      <c r="C7" s="8" t="n">
        <v>20</v>
      </c>
      <c r="D7" s="10" t="n">
        <v>1.15</v>
      </c>
      <c r="E7" s="8" t="n">
        <v>99</v>
      </c>
      <c r="F7" s="10" t="n">
        <v>0</v>
      </c>
      <c r="G7" s="18" t="n">
        <v>0</v>
      </c>
      <c r="H7" s="18" t="n">
        <v>0.2</v>
      </c>
      <c r="I7" s="18" t="n">
        <v>1</v>
      </c>
      <c r="J7" s="18" t="n">
        <v>0</v>
      </c>
      <c r="K7" s="18" t="n">
        <v>0</v>
      </c>
      <c r="L7" s="18" t="n">
        <v>1</v>
      </c>
      <c r="M7" s="18" t="n">
        <v>0</v>
      </c>
      <c r="N7" s="18" t="n">
        <v>0</v>
      </c>
      <c r="O7" s="18" t="n">
        <v>1</v>
      </c>
      <c r="P7" s="18" t="n">
        <v>1</v>
      </c>
      <c r="Q7" s="18" t="n">
        <v>1</v>
      </c>
      <c r="R7" s="18" t="n">
        <v>1</v>
      </c>
      <c r="S7" s="8" t="n">
        <v>0</v>
      </c>
      <c r="T7" s="17"/>
      <c r="U7" s="18" t="n">
        <v>1</v>
      </c>
      <c r="V7" s="9" t="s">
        <v>142</v>
      </c>
    </row>
    <row r="8" customFormat="false" ht="15" hidden="false" customHeight="false" outlineLevel="0" collapsed="false">
      <c r="A8" s="8" t="n">
        <v>1</v>
      </c>
      <c r="B8" s="17" t="s">
        <v>143</v>
      </c>
      <c r="C8" s="8" t="n">
        <v>22</v>
      </c>
      <c r="D8" s="10" t="n">
        <v>1.4</v>
      </c>
      <c r="E8" s="8" t="n">
        <v>99</v>
      </c>
      <c r="F8" s="10" t="n">
        <v>0</v>
      </c>
      <c r="G8" s="18" t="n">
        <v>0</v>
      </c>
      <c r="H8" s="18" t="n">
        <v>0</v>
      </c>
      <c r="I8" s="18" t="n">
        <v>1</v>
      </c>
      <c r="J8" s="18" t="n">
        <v>0</v>
      </c>
      <c r="K8" s="18" t="n">
        <v>0.35</v>
      </c>
      <c r="L8" s="18" t="n">
        <v>1</v>
      </c>
      <c r="M8" s="18" t="n">
        <v>0</v>
      </c>
      <c r="N8" s="18" t="n">
        <v>0</v>
      </c>
      <c r="O8" s="18" t="n">
        <v>1</v>
      </c>
      <c r="P8" s="18" t="n">
        <v>1</v>
      </c>
      <c r="Q8" s="18" t="n">
        <v>1</v>
      </c>
      <c r="R8" s="18" t="n">
        <v>1</v>
      </c>
      <c r="S8" s="8" t="n">
        <v>0</v>
      </c>
      <c r="T8" s="17"/>
      <c r="U8" s="18" t="n">
        <v>1</v>
      </c>
      <c r="V8" s="9" t="s">
        <v>144</v>
      </c>
    </row>
    <row r="9" customFormat="false" ht="22.35" hidden="false" customHeight="false" outlineLevel="0" collapsed="false">
      <c r="A9" s="8" t="n">
        <v>1</v>
      </c>
      <c r="B9" s="17" t="s">
        <v>145</v>
      </c>
      <c r="C9" s="8" t="n">
        <v>80</v>
      </c>
      <c r="D9" s="10" t="n">
        <v>2</v>
      </c>
      <c r="E9" s="8" t="n">
        <v>5</v>
      </c>
      <c r="F9" s="10" t="n">
        <v>0</v>
      </c>
      <c r="G9" s="18" t="n">
        <v>0</v>
      </c>
      <c r="H9" s="18" t="n">
        <v>1</v>
      </c>
      <c r="I9" s="18" t="n">
        <v>1</v>
      </c>
      <c r="J9" s="18" t="n">
        <v>0</v>
      </c>
      <c r="K9" s="18" t="n">
        <v>0</v>
      </c>
      <c r="L9" s="18" t="n">
        <v>1</v>
      </c>
      <c r="M9" s="18" t="n">
        <v>0</v>
      </c>
      <c r="N9" s="18" t="n">
        <v>0</v>
      </c>
      <c r="O9" s="18" t="n">
        <v>1</v>
      </c>
      <c r="P9" s="18" t="n">
        <v>1</v>
      </c>
      <c r="Q9" s="18" t="n">
        <v>1</v>
      </c>
      <c r="R9" s="18" t="n">
        <v>1</v>
      </c>
      <c r="S9" s="8" t="n">
        <v>1</v>
      </c>
      <c r="T9" s="17"/>
      <c r="U9" s="18" t="n">
        <v>1</v>
      </c>
      <c r="V9" s="9" t="s">
        <v>146</v>
      </c>
    </row>
    <row r="10" customFormat="false" ht="22.35" hidden="false" customHeight="false" outlineLevel="0" collapsed="false">
      <c r="A10" s="8" t="n">
        <v>1</v>
      </c>
      <c r="B10" s="17" t="s">
        <v>147</v>
      </c>
      <c r="C10" s="8" t="n">
        <v>240</v>
      </c>
      <c r="D10" s="10" t="n">
        <v>1</v>
      </c>
      <c r="E10" s="8" t="n">
        <v>1</v>
      </c>
      <c r="F10" s="10" t="n">
        <v>0.4</v>
      </c>
      <c r="G10" s="18" t="n">
        <v>0</v>
      </c>
      <c r="H10" s="18" t="n">
        <v>0</v>
      </c>
      <c r="I10" s="18" t="n">
        <v>1</v>
      </c>
      <c r="J10" s="18" t="n">
        <v>0</v>
      </c>
      <c r="K10" s="18" t="n">
        <v>0</v>
      </c>
      <c r="L10" s="18" t="n">
        <v>1</v>
      </c>
      <c r="M10" s="18" t="n">
        <v>0</v>
      </c>
      <c r="N10" s="18" t="n">
        <v>0</v>
      </c>
      <c r="O10" s="18" t="n">
        <v>1</v>
      </c>
      <c r="P10" s="18" t="n">
        <v>1.25</v>
      </c>
      <c r="Q10" s="18" t="n">
        <v>1</v>
      </c>
      <c r="R10" s="18" t="n">
        <v>1</v>
      </c>
      <c r="S10" s="8" t="n">
        <v>0</v>
      </c>
      <c r="T10" s="17"/>
      <c r="U10" s="18" t="n">
        <v>1</v>
      </c>
      <c r="V10" s="9" t="s">
        <v>148</v>
      </c>
    </row>
    <row r="11" customFormat="false" ht="22.35" hidden="false" customHeight="false" outlineLevel="0" collapsed="false">
      <c r="A11" s="8" t="n">
        <v>1</v>
      </c>
      <c r="B11" s="17" t="s">
        <v>149</v>
      </c>
      <c r="C11" s="8" t="n">
        <v>575</v>
      </c>
      <c r="D11" s="10" t="n">
        <v>1</v>
      </c>
      <c r="E11" s="8" t="n">
        <v>1</v>
      </c>
      <c r="F11" s="10" t="n">
        <v>0.6</v>
      </c>
      <c r="G11" s="18" t="n">
        <v>0</v>
      </c>
      <c r="H11" s="18" t="n">
        <v>0</v>
      </c>
      <c r="I11" s="18" t="n">
        <v>1</v>
      </c>
      <c r="J11" s="18" t="n">
        <v>0</v>
      </c>
      <c r="K11" s="18" t="n">
        <v>0</v>
      </c>
      <c r="L11" s="18" t="n">
        <v>1</v>
      </c>
      <c r="M11" s="18" t="n">
        <v>0</v>
      </c>
      <c r="N11" s="18" t="n">
        <v>0</v>
      </c>
      <c r="O11" s="18" t="n">
        <v>1</v>
      </c>
      <c r="P11" s="18" t="n">
        <v>1</v>
      </c>
      <c r="Q11" s="18" t="n">
        <v>1</v>
      </c>
      <c r="R11" s="18" t="n">
        <v>1</v>
      </c>
      <c r="S11" s="8" t="n">
        <v>0</v>
      </c>
      <c r="T11" s="17" t="s">
        <v>143</v>
      </c>
      <c r="U11" s="18" t="n">
        <v>1.5</v>
      </c>
      <c r="V11" s="9" t="s">
        <v>150</v>
      </c>
    </row>
    <row r="12" customFormat="false" ht="22.35" hidden="false" customHeight="false" outlineLevel="0" collapsed="false">
      <c r="A12" s="8" t="n">
        <v>1</v>
      </c>
      <c r="B12" s="17" t="s">
        <v>151</v>
      </c>
      <c r="C12" s="8" t="n">
        <v>850</v>
      </c>
      <c r="D12" s="10" t="n">
        <v>1</v>
      </c>
      <c r="E12" s="8" t="n">
        <v>1</v>
      </c>
      <c r="F12" s="10" t="n">
        <v>0</v>
      </c>
      <c r="G12" s="18" t="n">
        <v>1</v>
      </c>
      <c r="H12" s="18" t="n">
        <v>0</v>
      </c>
      <c r="I12" s="18" t="n">
        <v>1</v>
      </c>
      <c r="J12" s="18" t="n">
        <v>0</v>
      </c>
      <c r="K12" s="18" t="n">
        <v>0</v>
      </c>
      <c r="L12" s="18" t="n">
        <v>1</v>
      </c>
      <c r="M12" s="18" t="n">
        <v>0</v>
      </c>
      <c r="N12" s="18" t="n">
        <v>0</v>
      </c>
      <c r="O12" s="18" t="n">
        <v>1</v>
      </c>
      <c r="P12" s="18" t="n">
        <v>1</v>
      </c>
      <c r="Q12" s="18" t="n">
        <v>1.2</v>
      </c>
      <c r="R12" s="18" t="n">
        <v>1</v>
      </c>
      <c r="S12" s="8" t="n">
        <v>1</v>
      </c>
      <c r="T12" s="17"/>
      <c r="U12" s="18" t="n">
        <v>1</v>
      </c>
      <c r="V12" s="9" t="s">
        <v>152</v>
      </c>
    </row>
  </sheetData>
  <mergeCells count="7">
    <mergeCell ref="A4:B4"/>
    <mergeCell ref="C4:F4"/>
    <mergeCell ref="G4:I4"/>
    <mergeCell ref="J4:L4"/>
    <mergeCell ref="M4:O4"/>
    <mergeCell ref="P4:R4"/>
    <mergeCell ref="T4:U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36"/>
  </cols>
  <sheetData>
    <row r="1" customFormat="false" ht="19.7" hidden="false" customHeight="false" outlineLevel="0" collapsed="false">
      <c r="A1" s="1" t="s">
        <v>153</v>
      </c>
    </row>
    <row r="2" customFormat="false" ht="15" hidden="false" customHeight="false" outlineLevel="0" collapsed="false">
      <c r="A2" s="2" t="s">
        <v>154</v>
      </c>
    </row>
    <row r="4" customFormat="false" ht="15" hidden="false" customHeight="false" outlineLevel="0" collapsed="false">
      <c r="A4" s="16" t="s">
        <v>123</v>
      </c>
      <c r="B4" s="16" t="s">
        <v>124</v>
      </c>
      <c r="C4" s="16" t="s">
        <v>155</v>
      </c>
      <c r="D4" s="16" t="s">
        <v>156</v>
      </c>
      <c r="E4" s="16" t="s">
        <v>157</v>
      </c>
      <c r="F4" s="16" t="s">
        <v>158</v>
      </c>
      <c r="G4" s="16" t="s">
        <v>159</v>
      </c>
    </row>
    <row r="5" customFormat="false" ht="15" hidden="false" customHeight="false" outlineLevel="0" collapsed="false">
      <c r="A5" s="19" t="n">
        <v>1</v>
      </c>
      <c r="B5" s="20" t="str">
        <f aca="false">Parameters!$B$25</f>
        <v>Solar System</v>
      </c>
      <c r="C5" s="21" t="n">
        <f aca="false">Parameters!$B$5*POWER(Parameters!$B$7,A5-1)/IF(Parameters!$B$7=1,Parameters!$B$6,(POWER(Parameters!$B$7,Parameters!$B$6)-1)/(Parameters!$B$7-1))</f>
        <v>13.9607465580626</v>
      </c>
      <c r="D5" s="21" t="n">
        <f aca="false">SUM(C$5:C5)</f>
        <v>13.9607465580626</v>
      </c>
      <c r="E5" s="22" t="n">
        <f aca="false">IF(A5&lt;=5,Parameters!$B$13+(Parameters!$B$14-Parameters!$B$13)*POWER((A5-1)/4,2),IF(A5&lt;=9,Parameters!$B$14+(Parameters!$B$15-Parameters!$B$14)*POWER((A5-5)/4,2),Parameters!$B$16))</f>
        <v>0.6</v>
      </c>
      <c r="F5" s="21" t="n">
        <f aca="false">IF(A5&lt;Parameters!$B$6,Parameters!$B$18*POWER(Parameters!$B$19,A5-1),0)</f>
        <v>1</v>
      </c>
      <c r="G5" s="2" t="s">
        <v>90</v>
      </c>
    </row>
    <row r="6" customFormat="false" ht="15" hidden="false" customHeight="false" outlineLevel="0" collapsed="false">
      <c r="A6" s="19" t="n">
        <v>2</v>
      </c>
      <c r="B6" s="20" t="str">
        <f aca="false">Parameters!$B$26</f>
        <v>Stellar Neighborhood</v>
      </c>
      <c r="C6" s="21" t="n">
        <f aca="false">Parameters!$B$5*POWER(Parameters!$B$7,A6-1)/IF(Parameters!$B$7=1,Parameters!$B$6,(POWER(Parameters!$B$7,Parameters!$B$6)-1)/(Parameters!$B$7-1))</f>
        <v>18.1489705254814</v>
      </c>
      <c r="D6" s="21" t="n">
        <f aca="false">SUM(C$5:C6)</f>
        <v>32.1097170835439</v>
      </c>
      <c r="E6" s="22" t="n">
        <f aca="false">IF(A6&lt;=5,Parameters!$B$13+(Parameters!$B$14-Parameters!$B$13)*POWER((A6-1)/4,2),IF(A6&lt;=9,Parameters!$B$14+(Parameters!$B$15-Parameters!$B$14)*POWER((A6-5)/4,2),Parameters!$B$16))</f>
        <v>0.565625</v>
      </c>
      <c r="F6" s="21" t="n">
        <f aca="false">IF(A6&lt;Parameters!$B$6,Parameters!$B$18*POWER(Parameters!$B$19,A6-1),0)</f>
        <v>2.5</v>
      </c>
      <c r="G6" s="2" t="s">
        <v>160</v>
      </c>
    </row>
    <row r="7" customFormat="false" ht="15" hidden="false" customHeight="false" outlineLevel="0" collapsed="false">
      <c r="A7" s="19" t="n">
        <v>3</v>
      </c>
      <c r="B7" s="20" t="str">
        <f aca="false">Parameters!$B$27</f>
        <v>Galactic Arm</v>
      </c>
      <c r="C7" s="21" t="n">
        <f aca="false">Parameters!$B$5*POWER(Parameters!$B$7,A7-1)/IF(Parameters!$B$7=1,Parameters!$B$6,(POWER(Parameters!$B$7,Parameters!$B$6)-1)/(Parameters!$B$7-1))</f>
        <v>23.5936616831258</v>
      </c>
      <c r="D7" s="21" t="n">
        <f aca="false">SUM(C$5:C7)</f>
        <v>55.7033787666697</v>
      </c>
      <c r="E7" s="22" t="n">
        <f aca="false">IF(A7&lt;=5,Parameters!$B$13+(Parameters!$B$14-Parameters!$B$13)*POWER((A7-1)/4,2),IF(A7&lt;=9,Parameters!$B$14+(Parameters!$B$15-Parameters!$B$14)*POWER((A7-5)/4,2),Parameters!$B$16))</f>
        <v>0.4625</v>
      </c>
      <c r="F7" s="21" t="n">
        <f aca="false">IF(A7&lt;Parameters!$B$6,Parameters!$B$18*POWER(Parameters!$B$19,A7-1),0)</f>
        <v>6.25</v>
      </c>
      <c r="G7" s="2"/>
    </row>
    <row r="8" customFormat="false" ht="15" hidden="false" customHeight="false" outlineLevel="0" collapsed="false">
      <c r="A8" s="19" t="n">
        <v>4</v>
      </c>
      <c r="B8" s="20" t="str">
        <f aca="false">Parameters!$B$28</f>
        <v>Galaxy</v>
      </c>
      <c r="C8" s="21" t="n">
        <f aca="false">Parameters!$B$5*POWER(Parameters!$B$7,A8-1)/IF(Parameters!$B$7=1,Parameters!$B$6,(POWER(Parameters!$B$7,Parameters!$B$6)-1)/(Parameters!$B$7-1))</f>
        <v>30.6717601880635</v>
      </c>
      <c r="D8" s="21" t="n">
        <f aca="false">SUM(C$5:C8)</f>
        <v>86.3751389547332</v>
      </c>
      <c r="E8" s="22" t="n">
        <f aca="false">IF(A8&lt;=5,Parameters!$B$13+(Parameters!$B$14-Parameters!$B$13)*POWER((A8-1)/4,2),IF(A8&lt;=9,Parameters!$B$14+(Parameters!$B$15-Parameters!$B$14)*POWER((A8-5)/4,2),Parameters!$B$16))</f>
        <v>0.290625</v>
      </c>
      <c r="F8" s="21" t="n">
        <f aca="false">IF(A8&lt;Parameters!$B$6,Parameters!$B$18*POWER(Parameters!$B$19,A8-1),0)</f>
        <v>15.625</v>
      </c>
      <c r="G8" s="2"/>
    </row>
    <row r="9" customFormat="false" ht="15" hidden="false" customHeight="false" outlineLevel="0" collapsed="false">
      <c r="A9" s="19" t="n">
        <v>5</v>
      </c>
      <c r="B9" s="20" t="str">
        <f aca="false">Parameters!$B$29</f>
        <v>Local Group</v>
      </c>
      <c r="C9" s="21" t="n">
        <f aca="false">Parameters!$B$5*POWER(Parameters!$B$7,A9-1)/IF(Parameters!$B$7=1,Parameters!$B$6,(POWER(Parameters!$B$7,Parameters!$B$6)-1)/(Parameters!$B$7-1))</f>
        <v>39.8732882444826</v>
      </c>
      <c r="D9" s="21" t="n">
        <f aca="false">SUM(C$5:C9)</f>
        <v>126.248427199216</v>
      </c>
      <c r="E9" s="22" t="n">
        <f aca="false">IF(A9&lt;=5,Parameters!$B$13+(Parameters!$B$14-Parameters!$B$13)*POWER((A9-1)/4,2),IF(A9&lt;=9,Parameters!$B$14+(Parameters!$B$15-Parameters!$B$14)*POWER((A9-5)/4,2),Parameters!$B$16))</f>
        <v>0.05</v>
      </c>
      <c r="F9" s="21" t="n">
        <f aca="false">IF(A9&lt;Parameters!$B$6,Parameters!$B$18*POWER(Parameters!$B$19,A9-1),0)</f>
        <v>39.0625</v>
      </c>
      <c r="G9" s="2" t="s">
        <v>161</v>
      </c>
    </row>
    <row r="10" customFormat="false" ht="15" hidden="false" customHeight="false" outlineLevel="0" collapsed="false">
      <c r="A10" s="19" t="n">
        <v>6</v>
      </c>
      <c r="B10" s="20" t="str">
        <f aca="false">Parameters!$B$30</f>
        <v>Galactic Cluster</v>
      </c>
      <c r="C10" s="21" t="n">
        <f aca="false">Parameters!$B$5*POWER(Parameters!$B$7,A10-1)/IF(Parameters!$B$7=1,Parameters!$B$6,(POWER(Parameters!$B$7,Parameters!$B$6)-1)/(Parameters!$B$7-1))</f>
        <v>51.8352747178273</v>
      </c>
      <c r="D10" s="21" t="n">
        <f aca="false">SUM(C$5:C10)</f>
        <v>178.083701917043</v>
      </c>
      <c r="E10" s="22" t="n">
        <f aca="false">IF(A10&lt;=5,Parameters!$B$13+(Parameters!$B$14-Parameters!$B$13)*POWER((A10-1)/4,2),IF(A10&lt;=9,Parameters!$B$14+(Parameters!$B$15-Parameters!$B$14)*POWER((A10-5)/4,2),Parameters!$B$16))</f>
        <v>0.0875</v>
      </c>
      <c r="F10" s="21" t="n">
        <f aca="false">IF(A10&lt;Parameters!$B$6,Parameters!$B$18*POWER(Parameters!$B$19,A10-1),0)</f>
        <v>97.65625</v>
      </c>
      <c r="G10" s="2"/>
    </row>
    <row r="11" customFormat="false" ht="15" hidden="false" customHeight="false" outlineLevel="0" collapsed="false">
      <c r="A11" s="19" t="n">
        <v>7</v>
      </c>
      <c r="B11" s="20" t="str">
        <f aca="false">Parameters!$B$31</f>
        <v>Supercluster</v>
      </c>
      <c r="C11" s="21" t="n">
        <f aca="false">Parameters!$B$5*POWER(Parameters!$B$7,A11-1)/IF(Parameters!$B$7=1,Parameters!$B$6,(POWER(Parameters!$B$7,Parameters!$B$6)-1)/(Parameters!$B$7-1))</f>
        <v>67.3858571331755</v>
      </c>
      <c r="D11" s="21" t="n">
        <f aca="false">SUM(C$5:C11)</f>
        <v>245.469559050219</v>
      </c>
      <c r="E11" s="22" t="n">
        <f aca="false">IF(A11&lt;=5,Parameters!$B$13+(Parameters!$B$14-Parameters!$B$13)*POWER((A11-1)/4,2),IF(A11&lt;=9,Parameters!$B$14+(Parameters!$B$15-Parameters!$B$14)*POWER((A11-5)/4,2),Parameters!$B$16))</f>
        <v>0.2</v>
      </c>
      <c r="F11" s="21" t="n">
        <f aca="false">IF(A11&lt;Parameters!$B$6,Parameters!$B$18*POWER(Parameters!$B$19,A11-1),0)</f>
        <v>244.140625</v>
      </c>
      <c r="G11" s="2"/>
    </row>
    <row r="12" customFormat="false" ht="15" hidden="false" customHeight="false" outlineLevel="0" collapsed="false">
      <c r="A12" s="19" t="n">
        <v>8</v>
      </c>
      <c r="B12" s="20" t="str">
        <f aca="false">Parameters!$B$32</f>
        <v>Filament</v>
      </c>
      <c r="C12" s="21" t="n">
        <f aca="false">Parameters!$B$5*POWER(Parameters!$B$7,A12-1)/IF(Parameters!$B$7=1,Parameters!$B$6,(POWER(Parameters!$B$7,Parameters!$B$6)-1)/(Parameters!$B$7-1))</f>
        <v>87.6016142731282</v>
      </c>
      <c r="D12" s="21" t="n">
        <f aca="false">SUM(C$5:C12)</f>
        <v>333.071173323347</v>
      </c>
      <c r="E12" s="22" t="n">
        <f aca="false">IF(A12&lt;=5,Parameters!$B$13+(Parameters!$B$14-Parameters!$B$13)*POWER((A12-1)/4,2),IF(A12&lt;=9,Parameters!$B$14+(Parameters!$B$15-Parameters!$B$14)*POWER((A12-5)/4,2),Parameters!$B$16))</f>
        <v>0.3875</v>
      </c>
      <c r="F12" s="21" t="n">
        <f aca="false">IF(A12&lt;Parameters!$B$6,Parameters!$B$18*POWER(Parameters!$B$19,A12-1),0)</f>
        <v>610.3515625</v>
      </c>
      <c r="G12" s="2"/>
    </row>
    <row r="13" customFormat="false" ht="15" hidden="false" customHeight="false" outlineLevel="0" collapsed="false">
      <c r="A13" s="19" t="n">
        <v>9</v>
      </c>
      <c r="B13" s="20" t="str">
        <f aca="false">Parameters!$B$33</f>
        <v>Cosmic Web</v>
      </c>
      <c r="C13" s="21" t="n">
        <f aca="false">Parameters!$B$5*POWER(Parameters!$B$7,A13-1)/IF(Parameters!$B$7=1,Parameters!$B$6,(POWER(Parameters!$B$7,Parameters!$B$6)-1)/(Parameters!$B$7-1))</f>
        <v>113.882098555067</v>
      </c>
      <c r="D13" s="21" t="n">
        <f aca="false">SUM(C$5:C13)</f>
        <v>446.953271878413</v>
      </c>
      <c r="E13" s="22" t="n">
        <f aca="false">IF(A13&lt;=5,Parameters!$B$13+(Parameters!$B$14-Parameters!$B$13)*POWER((A13-1)/4,2),IF(A13&lt;=9,Parameters!$B$14+(Parameters!$B$15-Parameters!$B$14)*POWER((A13-5)/4,2),Parameters!$B$16))</f>
        <v>0.65</v>
      </c>
      <c r="F13" s="21" t="n">
        <f aca="false">IF(A13&lt;Parameters!$B$6,Parameters!$B$18*POWER(Parameters!$B$19,A13-1),0)</f>
        <v>1525.87890625</v>
      </c>
      <c r="G13" s="2"/>
    </row>
    <row r="14" customFormat="false" ht="15" hidden="false" customHeight="false" outlineLevel="0" collapsed="false">
      <c r="A14" s="19" t="n">
        <v>10</v>
      </c>
      <c r="B14" s="20" t="str">
        <f aca="false">Parameters!$B$34</f>
        <v>Causal Horizon</v>
      </c>
      <c r="C14" s="21" t="n">
        <f aca="false">Parameters!$B$5*POWER(Parameters!$B$7,A14-1)/IF(Parameters!$B$7=1,Parameters!$B$6,(POWER(Parameters!$B$7,Parameters!$B$6)-1)/(Parameters!$B$7-1))</f>
        <v>148.046728121587</v>
      </c>
      <c r="D14" s="21" t="n">
        <f aca="false">SUM(C$5:C14)</f>
        <v>595</v>
      </c>
      <c r="E14" s="22" t="n">
        <f aca="false">IF(A14&lt;=5,Parameters!$B$13+(Parameters!$B$14-Parameters!$B$13)*POWER((A14-1)/4,2),IF(A14&lt;=9,Parameters!$B$14+(Parameters!$B$15-Parameters!$B$14)*POWER((A14-5)/4,2),Parameters!$B$16))</f>
        <v>0.7</v>
      </c>
      <c r="F14" s="21" t="n">
        <f aca="false">IF(A14&lt;Parameters!$B$6,Parameters!$B$18*POWER(Parameters!$B$19,A14-1),0)</f>
        <v>0</v>
      </c>
      <c r="G14" s="2" t="s">
        <v>111</v>
      </c>
    </row>
    <row r="15" customFormat="false" ht="15" hidden="false" customHeight="false" outlineLevel="0" collapsed="false">
      <c r="A15" s="5" t="s">
        <v>162</v>
      </c>
      <c r="C15" s="23" t="n">
        <f aca="false">SUM(C5:C14)</f>
        <v>595</v>
      </c>
      <c r="F15" s="23" t="n">
        <f aca="false">SUM(F5:F14)</f>
        <v>2542.46484375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11" min="5" style="0" width="5"/>
    <col collapsed="false" customWidth="true" hidden="false" outlineLevel="0" max="12" min="12" style="0" width="6"/>
    <col collapsed="false" customWidth="true" hidden="false" outlineLevel="0" max="19" min="13" style="0" width="10"/>
    <col collapsed="false" customWidth="true" hidden="false" outlineLevel="0" max="20" min="20" style="0" width="12"/>
    <col collapsed="false" customWidth="true" hidden="false" outlineLevel="0" max="21" min="21" style="0" width="8"/>
    <col collapsed="false" customWidth="true" hidden="false" outlineLevel="0" max="22" min="22" style="0" width="10"/>
    <col collapsed="false" customWidth="true" hidden="false" outlineLevel="0" max="23" min="23" style="0" width="9"/>
    <col collapsed="false" customWidth="true" hidden="false" outlineLevel="0" max="24" min="24" style="0" width="12"/>
    <col collapsed="false" customWidth="true" hidden="false" outlineLevel="0" max="25" min="25" style="0" width="10"/>
    <col collapsed="false" customWidth="true" hidden="false" outlineLevel="0" max="26" min="26" style="0" width="28"/>
    <col collapsed="false" customWidth="true" hidden="false" outlineLevel="0" max="32" min="27" style="0" width="11"/>
    <col collapsed="false" customWidth="true" hidden="true" outlineLevel="0" max="39" min="33" style="0" width="9"/>
    <col collapsed="false" customWidth="true" hidden="true" outlineLevel="0" max="41" min="40" style="0" width="8"/>
    <col collapsed="false" customWidth="true" hidden="true" outlineLevel="0" max="43" min="42" style="0" width="11"/>
    <col collapsed="false" customWidth="true" hidden="true" outlineLevel="0" max="44" min="44" style="0" width="9"/>
    <col collapsed="false" customWidth="true" hidden="true" outlineLevel="0" max="49" min="45" style="0" width="12"/>
    <col collapsed="false" customWidth="true" hidden="true" outlineLevel="0" max="50" min="50" style="0" width="9"/>
  </cols>
  <sheetData>
    <row r="1" customFormat="false" ht="19.7" hidden="false" customHeight="false" outlineLevel="0" collapsed="false">
      <c r="A1" s="1" t="s">
        <v>163</v>
      </c>
    </row>
    <row r="2" customFormat="false" ht="15" hidden="false" customHeight="false" outlineLevel="0" collapsed="false">
      <c r="A2" s="2" t="s">
        <v>164</v>
      </c>
    </row>
    <row r="3" customFormat="false" ht="15" hidden="false" customHeight="false" outlineLevel="0" collapsed="false">
      <c r="A3" s="24" t="s">
        <v>165</v>
      </c>
      <c r="B3" s="24"/>
      <c r="C3" s="24"/>
      <c r="D3" s="24"/>
      <c r="E3" s="25" t="str">
        <f aca="false">IFERROR(INDEX(B:B,MATCH(1,AO:AO,0))&amp;" min","—")</f>
        <v>5.16666666666667 min</v>
      </c>
      <c r="H3" s="24" t="s">
        <v>166</v>
      </c>
      <c r="I3" s="24"/>
      <c r="J3" s="24"/>
      <c r="K3" s="24"/>
      <c r="L3" s="24"/>
      <c r="M3" s="25" t="str">
        <f aca="false">IFERROR(INDEX(B:B,MATCH("transition",U:U,0))&amp;" min","—")</f>
        <v>8.5 min</v>
      </c>
    </row>
    <row r="4" customFormat="false" ht="15" hidden="false" customHeight="false" outlineLevel="0" collapsed="false">
      <c r="A4" s="16" t="s">
        <v>167</v>
      </c>
      <c r="B4" s="16" t="s">
        <v>168</v>
      </c>
      <c r="C4" s="16" t="s">
        <v>169</v>
      </c>
      <c r="D4" s="16" t="s">
        <v>170</v>
      </c>
      <c r="E4" s="16" t="s">
        <v>171</v>
      </c>
      <c r="F4" s="16" t="s">
        <v>172</v>
      </c>
      <c r="G4" s="16" t="s">
        <v>173</v>
      </c>
      <c r="H4" s="16" t="s">
        <v>174</v>
      </c>
      <c r="I4" s="16" t="s">
        <v>175</v>
      </c>
      <c r="J4" s="16" t="s">
        <v>176</v>
      </c>
      <c r="K4" s="16" t="s">
        <v>177</v>
      </c>
      <c r="L4" s="16" t="s">
        <v>178</v>
      </c>
      <c r="M4" s="16" t="s">
        <v>179</v>
      </c>
      <c r="N4" s="16" t="s">
        <v>180</v>
      </c>
      <c r="O4" s="16" t="s">
        <v>181</v>
      </c>
      <c r="P4" s="16" t="s">
        <v>182</v>
      </c>
      <c r="Q4" s="16" t="s">
        <v>183</v>
      </c>
      <c r="R4" s="16" t="s">
        <v>184</v>
      </c>
      <c r="S4" s="16" t="s">
        <v>185</v>
      </c>
      <c r="T4" s="16" t="s">
        <v>186</v>
      </c>
      <c r="U4" s="16" t="s">
        <v>187</v>
      </c>
      <c r="V4" s="16" t="s">
        <v>188</v>
      </c>
      <c r="W4" s="16" t="s">
        <v>189</v>
      </c>
      <c r="X4" s="16" t="s">
        <v>190</v>
      </c>
      <c r="Y4" s="16" t="s">
        <v>191</v>
      </c>
      <c r="Z4" s="16" t="s">
        <v>192</v>
      </c>
      <c r="AA4" s="16" t="s">
        <v>193</v>
      </c>
      <c r="AB4" s="16" t="s">
        <v>194</v>
      </c>
      <c r="AC4" s="16" t="s">
        <v>195</v>
      </c>
      <c r="AD4" s="16" t="s">
        <v>196</v>
      </c>
      <c r="AE4" s="16" t="s">
        <v>197</v>
      </c>
      <c r="AF4" s="16" t="s">
        <v>198</v>
      </c>
      <c r="AG4" s="16" t="s">
        <v>199</v>
      </c>
      <c r="AH4" s="16" t="s">
        <v>200</v>
      </c>
      <c r="AI4" s="16" t="s">
        <v>201</v>
      </c>
      <c r="AJ4" s="16" t="s">
        <v>202</v>
      </c>
      <c r="AK4" s="16" t="s">
        <v>203</v>
      </c>
      <c r="AL4" s="16" t="s">
        <v>204</v>
      </c>
      <c r="AM4" s="16" t="s">
        <v>205</v>
      </c>
      <c r="AN4" s="16" t="s">
        <v>206</v>
      </c>
      <c r="AO4" s="16" t="s">
        <v>207</v>
      </c>
      <c r="AP4" s="16" t="s">
        <v>208</v>
      </c>
      <c r="AQ4" s="16" t="s">
        <v>209</v>
      </c>
      <c r="AR4" s="16" t="s">
        <v>210</v>
      </c>
      <c r="AS4" s="16" t="s">
        <v>211</v>
      </c>
      <c r="AT4" s="16" t="s">
        <v>212</v>
      </c>
      <c r="AU4" s="16" t="s">
        <v>213</v>
      </c>
      <c r="AV4" s="16" t="s">
        <v>214</v>
      </c>
      <c r="AW4" s="16" t="s">
        <v>215</v>
      </c>
      <c r="AX4" s="16" t="s">
        <v>216</v>
      </c>
    </row>
    <row r="5" customFormat="false" ht="15" hidden="false" customHeight="false" outlineLevel="0" collapsed="false">
      <c r="A5" s="26" t="n">
        <v>0</v>
      </c>
      <c r="B5" s="27" t="n">
        <v>0</v>
      </c>
      <c r="C5" s="21" t="n">
        <v>0</v>
      </c>
      <c r="D5" s="27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0</v>
      </c>
      <c r="J5" s="26" t="n">
        <v>0</v>
      </c>
      <c r="K5" s="26" t="n">
        <v>0</v>
      </c>
      <c r="L5" s="26" t="n">
        <v>0</v>
      </c>
      <c r="M5" s="28" t="n">
        <f aca="false">(Parameters!$B$9+(IF(E5=0,0,(Upgrades!$J$6+E5*Upgrades!$K$6)*POWER(Upgrades!$L$6,E5)))*(IF(Upgrades!$T$7="Solar Wind",POWER(Upgrades!$U$7,F5),1)*IF(Upgrades!$T$8="Solar Wind",POWER(Upgrades!$U$8,G5),1)*IF(Upgrades!$T$9="Solar Wind",POWER(Upgrades!$U$9,H5),1)*IF(Upgrades!$T$10="Solar Wind",POWER(Upgrades!$U$10,I5),1)*IF(Upgrades!$T$11="Solar Wind",POWER(Upgrades!$U$11,J5),1)*IF(Upgrades!$T$12="Solar Wind",POWER(Upgrades!$U$12,K5),1))+(IF(F5=0,0,(Upgrades!$J$7+F5*Upgrades!$K$7)*POWER(Upgrades!$L$7,F5)))*(IF(Upgrades!$T$6="Asteroid Belt",POWER(Upgrades!$U$6,E5),1)*IF(Upgrades!$T$8="Asteroid Belt",POWER(Upgrades!$U$8,G5),1)*IF(Upgrades!$T$9="Asteroid Belt",POWER(Upgrades!$U$9,H5),1)*IF(Upgrades!$T$10="Asteroid Belt",POWER(Upgrades!$U$10,I5),1)*IF(Upgrades!$T$11="Asteroid Belt",POWER(Upgrades!$U$11,J5),1)*IF(Upgrades!$T$12="Asteroid Belt",POWER(Upgrades!$U$12,K5),1))+(IF(G5=0,0,(Upgrades!$J$8+G5*Upgrades!$K$8)*POWER(Upgrades!$L$8,G5)))*(IF(Upgrades!$T$6="Stellar Coupling",POWER(Upgrades!$U$6,E5),1)*IF(Upgrades!$T$7="Stellar Coupling",POWER(Upgrades!$U$7,F5),1)*IF(Upgrades!$T$9="Stellar Coupling",POWER(Upgrades!$U$9,H5),1)*IF(Upgrades!$T$10="Stellar Coupling",POWER(Upgrades!$U$10,I5),1)*IF(Upgrades!$T$11="Stellar Coupling",POWER(Upgrades!$U$11,J5),1)*IF(Upgrades!$T$12="Stellar Coupling",POWER(Upgrades!$U$12,K5),1))+(IF(H5=0,0,(Upgrades!$J$9+H5*Upgrades!$K$9)*POWER(Upgrades!$L$9,H5)))*(IF(Upgrades!$T$6="Magnetosphere",POWER(Upgrades!$U$6,E5),1)*IF(Upgrades!$T$7="Magnetosphere",POWER(Upgrades!$U$7,F5),1)*IF(Upgrades!$T$8="Magnetosphere",POWER(Upgrades!$U$8,G5),1)*IF(Upgrades!$T$10="Magnetosphere",POWER(Upgrades!$U$10,I5),1)*IF(Upgrades!$T$11="Magnetosphere",POWER(Upgrades!$U$11,J5),1)*IF(Upgrades!$T$12="Magnetosphere",POWER(Upgrades!$U$12,K5),1))+(IF(I5=0,0,(Upgrades!$J$10+I5*Upgrades!$K$10)*POWER(Upgrades!$L$10,I5)))*(IF(Upgrades!$T$6="Orbital Resonance",POWER(Upgrades!$U$6,E5),1)*IF(Upgrades!$T$7="Orbital Resonance",POWER(Upgrades!$U$7,F5),1)*IF(Upgrades!$T$8="Orbital Resonance",POWER(Upgrades!$U$8,G5),1)*IF(Upgrades!$T$9="Orbital Resonance",POWER(Upgrades!$U$9,H5),1)*IF(Upgrades!$T$11="Orbital Resonance",POWER(Upgrades!$U$11,J5),1)*IF(Upgrades!$T$12="Orbital Resonance",POWER(Upgrades!$U$12,K5),1))+(IF(J5=0,0,(Upgrades!$J$11+J5*Upgrades!$K$11)*POWER(Upgrades!$L$11,J5)))*(IF(Upgrades!$T$6="Heliopause",POWER(Upgrades!$U$6,E5),1)*IF(Upgrades!$T$7="Heliopause",POWER(Upgrades!$U$7,F5),1)*IF(Upgrades!$T$8="Heliopause",POWER(Upgrades!$U$8,G5),1)*IF(Upgrades!$T$9="Heliopause",POWER(Upgrades!$U$9,H5),1)*IF(Upgrades!$T$10="Heliopause",POWER(Upgrades!$U$10,I5),1)*IF(Upgrades!$T$12="Heliopause",POWER(Upgrades!$U$12,K5),1))+(IF(K5=0,0,(Upgrades!$J$12+K5*Upgrades!$K$12)*POWER(Upgrades!$L$12,K5)))*(IF(Upgrades!$T$6="First Photons",POWER(Upgrades!$U$6,E5),1)*IF(Upgrades!$T$7="First Photons",POWER(Upgrades!$U$7,F5),1)*IF(Upgrades!$T$8="First Photons",POWER(Upgrades!$U$8,G5),1)*IF(Upgrades!$T$9="First Photons",POWER(Upgrades!$U$9,H5),1)*IF(Upgrades!$T$10="First Photons",POWER(Upgrades!$U$10,I5),1)*IF(Upgrades!$T$11="First Photons",POWER(Upgrades!$U$11,J5),1)))*POWER(Upgrades!$Q$6,E5)*POWER(Upgrades!$Q$7,F5)*POWER(Upgrades!$Q$8,G5)*POWER(Upgrades!$Q$9,H5)*POWER(Upgrades!$Q$10,I5)*POWER(Upgrades!$Q$11,J5)*POWER(Upgrades!$Q$12,K5)</f>
        <v>1</v>
      </c>
      <c r="N5" s="28" t="n">
        <f aca="false">((IF(E5=0,0,(Upgrades!$G$6+E5*Upgrades!$H$6)*POWER(Upgrades!$I$6,E5)))*(IF(Upgrades!$T$7="Solar Wind",POWER(Upgrades!$U$7,F5),1)*IF(Upgrades!$T$8="Solar Wind",POWER(Upgrades!$U$8,G5),1)*IF(Upgrades!$T$9="Solar Wind",POWER(Upgrades!$U$9,H5),1)*IF(Upgrades!$T$10="Solar Wind",POWER(Upgrades!$U$10,I5),1)*IF(Upgrades!$T$11="Solar Wind",POWER(Upgrades!$U$11,J5),1)*IF(Upgrades!$T$12="Solar Wind",POWER(Upgrades!$U$12,K5),1))+(IF(F5=0,0,(Upgrades!$G$7+F5*Upgrades!$H$7)*POWER(Upgrades!$I$7,F5)))*(IF(Upgrades!$T$6="Asteroid Belt",POWER(Upgrades!$U$6,E5),1)*IF(Upgrades!$T$8="Asteroid Belt",POWER(Upgrades!$U$8,G5),1)*IF(Upgrades!$T$9="Asteroid Belt",POWER(Upgrades!$U$9,H5),1)*IF(Upgrades!$T$10="Asteroid Belt",POWER(Upgrades!$U$10,I5),1)*IF(Upgrades!$T$11="Asteroid Belt",POWER(Upgrades!$U$11,J5),1)*IF(Upgrades!$T$12="Asteroid Belt",POWER(Upgrades!$U$12,K5),1))+(IF(G5=0,0,(Upgrades!$G$8+G5*Upgrades!$H$8)*POWER(Upgrades!$I$8,G5)))*(IF(Upgrades!$T$6="Stellar Coupling",POWER(Upgrades!$U$6,E5),1)*IF(Upgrades!$T$7="Stellar Coupling",POWER(Upgrades!$U$7,F5),1)*IF(Upgrades!$T$9="Stellar Coupling",POWER(Upgrades!$U$9,H5),1)*IF(Upgrades!$T$10="Stellar Coupling",POWER(Upgrades!$U$10,I5),1)*IF(Upgrades!$T$11="Stellar Coupling",POWER(Upgrades!$U$11,J5),1)*IF(Upgrades!$T$12="Stellar Coupling",POWER(Upgrades!$U$12,K5),1))+(IF(H5=0,0,(Upgrades!$G$9+H5*Upgrades!$H$9)*POWER(Upgrades!$I$9,H5)))*(IF(Upgrades!$T$6="Magnetosphere",POWER(Upgrades!$U$6,E5),1)*IF(Upgrades!$T$7="Magnetosphere",POWER(Upgrades!$U$7,F5),1)*IF(Upgrades!$T$8="Magnetosphere",POWER(Upgrades!$U$8,G5),1)*IF(Upgrades!$T$10="Magnetosphere",POWER(Upgrades!$U$10,I5),1)*IF(Upgrades!$T$11="Magnetosphere",POWER(Upgrades!$U$11,J5),1)*IF(Upgrades!$T$12="Magnetosphere",POWER(Upgrades!$U$12,K5),1))+(IF(I5=0,0,(Upgrades!$G$10+I5*Upgrades!$H$10)*POWER(Upgrades!$I$10,I5)))*(IF(Upgrades!$T$6="Orbital Resonance",POWER(Upgrades!$U$6,E5),1)*IF(Upgrades!$T$7="Orbital Resonance",POWER(Upgrades!$U$7,F5),1)*IF(Upgrades!$T$8="Orbital Resonance",POWER(Upgrades!$U$8,G5),1)*IF(Upgrades!$T$9="Orbital Resonance",POWER(Upgrades!$U$9,H5),1)*IF(Upgrades!$T$11="Orbital Resonance",POWER(Upgrades!$U$11,J5),1)*IF(Upgrades!$T$12="Orbital Resonance",POWER(Upgrades!$U$12,K5),1))+(IF(J5=0,0,(Upgrades!$G$11+J5*Upgrades!$H$11)*POWER(Upgrades!$I$11,J5)))*(IF(Upgrades!$T$6="Heliopause",POWER(Upgrades!$U$6,E5),1)*IF(Upgrades!$T$7="Heliopause",POWER(Upgrades!$U$7,F5),1)*IF(Upgrades!$T$8="Heliopause",POWER(Upgrades!$U$8,G5),1)*IF(Upgrades!$T$9="Heliopause",POWER(Upgrades!$U$9,H5),1)*IF(Upgrades!$T$10="Heliopause",POWER(Upgrades!$U$10,I5),1)*IF(Upgrades!$T$12="Heliopause",POWER(Upgrades!$U$12,K5),1))+(IF(K5=0,0,(Upgrades!$G$12+K5*Upgrades!$H$12)*POWER(Upgrades!$I$12,K5)))*(IF(Upgrades!$T$6="First Photons",POWER(Upgrades!$U$6,E5),1)*IF(Upgrades!$T$7="First Photons",POWER(Upgrades!$U$7,F5),1)*IF(Upgrades!$T$8="First Photons",POWER(Upgrades!$U$8,G5),1)*IF(Upgrades!$T$9="First Photons",POWER(Upgrades!$U$9,H5),1)*IF(Upgrades!$T$10="First Photons",POWER(Upgrades!$U$10,I5),1)*IF(Upgrades!$T$11="First Photons",POWER(Upgrades!$U$11,J5),1)))*POWER(Upgrades!$P$6,E5)*POWER(Upgrades!$P$7,F5)*POWER(Upgrades!$P$8,G5)*POWER(Upgrades!$P$9,H5)*POWER(Upgrades!$P$10,I5)*POWER(Upgrades!$P$11,J5)*POWER(Upgrades!$P$12,K5)</f>
        <v>0</v>
      </c>
      <c r="O5" s="28" t="n">
        <f aca="false">((IF(E5=0,0,(Upgrades!$M$6+E5*Upgrades!$N$6)*POWER(Upgrades!$O$6,E5)))*(IF(Upgrades!$T$7="Solar Wind",POWER(Upgrades!$U$7,F5),1)*IF(Upgrades!$T$8="Solar Wind",POWER(Upgrades!$U$8,G5),1)*IF(Upgrades!$T$9="Solar Wind",POWER(Upgrades!$U$9,H5),1)*IF(Upgrades!$T$10="Solar Wind",POWER(Upgrades!$U$10,I5),1)*IF(Upgrades!$T$11="Solar Wind",POWER(Upgrades!$U$11,J5),1)*IF(Upgrades!$T$12="Solar Wind",POWER(Upgrades!$U$12,K5),1))+(IF(F5=0,0,(Upgrades!$M$7+F5*Upgrades!$N$7)*POWER(Upgrades!$O$7,F5)))*(IF(Upgrades!$T$6="Asteroid Belt",POWER(Upgrades!$U$6,E5),1)*IF(Upgrades!$T$8="Asteroid Belt",POWER(Upgrades!$U$8,G5),1)*IF(Upgrades!$T$9="Asteroid Belt",POWER(Upgrades!$U$9,H5),1)*IF(Upgrades!$T$10="Asteroid Belt",POWER(Upgrades!$U$10,I5),1)*IF(Upgrades!$T$11="Asteroid Belt",POWER(Upgrades!$U$11,J5),1)*IF(Upgrades!$T$12="Asteroid Belt",POWER(Upgrades!$U$12,K5),1))+(IF(G5=0,0,(Upgrades!$M$8+G5*Upgrades!$N$8)*POWER(Upgrades!$O$8,G5)))*(IF(Upgrades!$T$6="Stellar Coupling",POWER(Upgrades!$U$6,E5),1)*IF(Upgrades!$T$7="Stellar Coupling",POWER(Upgrades!$U$7,F5),1)*IF(Upgrades!$T$9="Stellar Coupling",POWER(Upgrades!$U$9,H5),1)*IF(Upgrades!$T$10="Stellar Coupling",POWER(Upgrades!$U$10,I5),1)*IF(Upgrades!$T$11="Stellar Coupling",POWER(Upgrades!$U$11,J5),1)*IF(Upgrades!$T$12="Stellar Coupling",POWER(Upgrades!$U$12,K5),1))+(IF(H5=0,0,(Upgrades!$M$9+H5*Upgrades!$N$9)*POWER(Upgrades!$O$9,H5)))*(IF(Upgrades!$T$6="Magnetosphere",POWER(Upgrades!$U$6,E5),1)*IF(Upgrades!$T$7="Magnetosphere",POWER(Upgrades!$U$7,F5),1)*IF(Upgrades!$T$8="Magnetosphere",POWER(Upgrades!$U$8,G5),1)*IF(Upgrades!$T$10="Magnetosphere",POWER(Upgrades!$U$10,I5),1)*IF(Upgrades!$T$11="Magnetosphere",POWER(Upgrades!$U$11,J5),1)*IF(Upgrades!$T$12="Magnetosphere",POWER(Upgrades!$U$12,K5),1))+(IF(I5=0,0,(Upgrades!$M$10+I5*Upgrades!$N$10)*POWER(Upgrades!$O$10,I5)))*(IF(Upgrades!$T$6="Orbital Resonance",POWER(Upgrades!$U$6,E5),1)*IF(Upgrades!$T$7="Orbital Resonance",POWER(Upgrades!$U$7,F5),1)*IF(Upgrades!$T$8="Orbital Resonance",POWER(Upgrades!$U$8,G5),1)*IF(Upgrades!$T$9="Orbital Resonance",POWER(Upgrades!$U$9,H5),1)*IF(Upgrades!$T$11="Orbital Resonance",POWER(Upgrades!$U$11,J5),1)*IF(Upgrades!$T$12="Orbital Resonance",POWER(Upgrades!$U$12,K5),1))+(IF(J5=0,0,(Upgrades!$M$11+J5*Upgrades!$N$11)*POWER(Upgrades!$O$11,J5)))*(IF(Upgrades!$T$6="Heliopause",POWER(Upgrades!$U$6,E5),1)*IF(Upgrades!$T$7="Heliopause",POWER(Upgrades!$U$7,F5),1)*IF(Upgrades!$T$8="Heliopause",POWER(Upgrades!$U$8,G5),1)*IF(Upgrades!$T$9="Heliopause",POWER(Upgrades!$U$9,H5),1)*IF(Upgrades!$T$10="Heliopause",POWER(Upgrades!$U$10,I5),1)*IF(Upgrades!$T$12="Heliopause",POWER(Upgrades!$U$12,K5),1))+(IF(K5=0,0,(Upgrades!$M$12+K5*Upgrades!$N$12)*POWER(Upgrades!$O$12,K5)))*(IF(Upgrades!$T$6="First Photons",POWER(Upgrades!$U$6,E5),1)*IF(Upgrades!$T$7="First Photons",POWER(Upgrades!$U$7,F5),1)*IF(Upgrades!$T$8="First Photons",POWER(Upgrades!$U$8,G5),1)*IF(Upgrades!$T$9="First Photons",POWER(Upgrades!$U$9,H5),1)*IF(Upgrades!$T$10="First Photons",POWER(Upgrades!$U$10,I5),1)*IF(Upgrades!$T$11="First Photons",POWER(Upgrades!$U$11,J5),1)))*POWER(Upgrades!$R$6,E5)*POWER(Upgrades!$R$7,F5)*POWER(Upgrades!$R$8,G5)*POWER(Upgrades!$R$9,H5)*POWER(Upgrades!$R$10,I5)*POWER(Upgrades!$R$11,J5)*POWER(Upgrades!$R$12,K5)</f>
        <v>0</v>
      </c>
      <c r="P5" s="27" t="n">
        <v>0</v>
      </c>
      <c r="Q5" s="27" t="n">
        <v>0</v>
      </c>
      <c r="R5" s="27" t="n">
        <v>0</v>
      </c>
      <c r="S5" s="27" t="n">
        <v>0</v>
      </c>
      <c r="T5" s="21" t="n">
        <v>0</v>
      </c>
      <c r="U5" s="29"/>
      <c r="V5" s="21" t="n">
        <v>0</v>
      </c>
      <c r="W5" s="27" t="n">
        <v>0</v>
      </c>
      <c r="X5" s="21" t="n">
        <v>0</v>
      </c>
      <c r="Y5" s="30" t="n">
        <f aca="false">M5*Parameters!$B$10/60*Parameters!$B$11+O5*M5+N5</f>
        <v>1.66666666666667</v>
      </c>
      <c r="Z5" s="31" t="s">
        <v>217</v>
      </c>
      <c r="AA5" s="27" t="n">
        <f aca="false">(IF(E5=0,0,(Upgrades!$G$6+E5*Upgrades!$H$6)*POWER(Upgrades!$I$6,E5)))*(IF(Upgrades!$T$7="Solar Wind",POWER(Upgrades!$U$7,F5),1)*IF(Upgrades!$T$8="Solar Wind",POWER(Upgrades!$U$8,G5),1)*IF(Upgrades!$T$9="Solar Wind",POWER(Upgrades!$U$9,H5),1)*IF(Upgrades!$T$10="Solar Wind",POWER(Upgrades!$U$10,I5),1)*IF(Upgrades!$T$11="Solar Wind",POWER(Upgrades!$U$11,J5),1)*IF(Upgrades!$T$12="Solar Wind",POWER(Upgrades!$U$12,K5),1))*POWER(Upgrades!$P$6,E5)*POWER(Upgrades!$P$7,F5)*POWER(Upgrades!$P$8,G5)*POWER(Upgrades!$P$9,H5)*POWER(Upgrades!$P$10,I5)*POWER(Upgrades!$P$11,J5)*POWER(Upgrades!$P$12,K5)*60</f>
        <v>0</v>
      </c>
      <c r="AB5" s="27" t="n">
        <f aca="false">(IF(F5=0,0,(Upgrades!$G$7+F5*Upgrades!$H$7)*POWER(Upgrades!$I$7,F5)))*(IF(Upgrades!$T$6="Asteroid Belt",POWER(Upgrades!$U$6,E5),1)*IF(Upgrades!$T$8="Asteroid Belt",POWER(Upgrades!$U$8,G5),1)*IF(Upgrades!$T$9="Asteroid Belt",POWER(Upgrades!$U$9,H5),1)*IF(Upgrades!$T$10="Asteroid Belt",POWER(Upgrades!$U$10,I5),1)*IF(Upgrades!$T$11="Asteroid Belt",POWER(Upgrades!$U$11,J5),1)*IF(Upgrades!$T$12="Asteroid Belt",POWER(Upgrades!$U$12,K5),1))*POWER(Upgrades!$P$6,E5)*POWER(Upgrades!$P$7,F5)*POWER(Upgrades!$P$8,G5)*POWER(Upgrades!$P$9,H5)*POWER(Upgrades!$P$10,I5)*POWER(Upgrades!$P$11,J5)*POWER(Upgrades!$P$12,K5)*60</f>
        <v>0</v>
      </c>
      <c r="AC5" s="27" t="n">
        <f aca="false">(IF(G5=0,0,(Upgrades!$J$8+G5*Upgrades!$K$8)*POWER(Upgrades!$L$8,G5)))*(IF(Upgrades!$T$6="Stellar Coupling",POWER(Upgrades!$U$6,E5),1)*IF(Upgrades!$T$7="Stellar Coupling",POWER(Upgrades!$U$7,F5),1)*IF(Upgrades!$T$9="Stellar Coupling",POWER(Upgrades!$U$9,H5),1)*IF(Upgrades!$T$10="Stellar Coupling",POWER(Upgrades!$U$10,I5),1)*IF(Upgrades!$T$11="Stellar Coupling",POWER(Upgrades!$U$11,J5),1)*IF(Upgrades!$T$12="Stellar Coupling",POWER(Upgrades!$U$12,K5),1))*POWER(Upgrades!$Q$6,E5)*POWER(Upgrades!$Q$7,F5)*POWER(Upgrades!$Q$8,G5)*POWER(Upgrades!$Q$9,H5)*POWER(Upgrades!$Q$10,I5)*POWER(Upgrades!$Q$11,J5)*POWER(Upgrades!$Q$12,K5)*Parameters!$B$10*Parameters!$B$11</f>
        <v>0</v>
      </c>
      <c r="AD5" s="27" t="n">
        <f aca="false">(IF(H5=0,0,(Upgrades!$G$9+H5*Upgrades!$H$9)*POWER(Upgrades!$I$9,H5)))*(IF(Upgrades!$T$6="Magnetosphere",POWER(Upgrades!$U$6,E5),1)*IF(Upgrades!$T$7="Magnetosphere",POWER(Upgrades!$U$7,F5),1)*IF(Upgrades!$T$8="Magnetosphere",POWER(Upgrades!$U$8,G5),1)*IF(Upgrades!$T$10="Magnetosphere",POWER(Upgrades!$U$10,I5),1)*IF(Upgrades!$T$11="Magnetosphere",POWER(Upgrades!$U$11,J5),1)*IF(Upgrades!$T$12="Magnetosphere",POWER(Upgrades!$U$12,K5),1))*POWER(Upgrades!$P$6,E5)*POWER(Upgrades!$P$7,F5)*POWER(Upgrades!$P$8,G5)*POWER(Upgrades!$P$9,H5)*POWER(Upgrades!$P$10,I5)*POWER(Upgrades!$P$11,J5)*POWER(Upgrades!$P$12,K5)*60</f>
        <v>0</v>
      </c>
      <c r="AE5" s="27" t="n">
        <f aca="false">(IF(K5=0,0,(Upgrades!$G$12+K5*Upgrades!$H$12)*POWER(Upgrades!$I$12,K5)))*(IF(Upgrades!$T$6="First Photons",POWER(Upgrades!$U$6,E5),1)*IF(Upgrades!$T$7="First Photons",POWER(Upgrades!$U$7,F5),1)*IF(Upgrades!$T$8="First Photons",POWER(Upgrades!$U$8,G5),1)*IF(Upgrades!$T$9="First Photons",POWER(Upgrades!$U$9,H5),1)*IF(Upgrades!$T$10="First Photons",POWER(Upgrades!$U$10,I5),1)*IF(Upgrades!$T$11="First Photons",POWER(Upgrades!$U$11,J5),1))*POWER(Upgrades!$P$6,E5)*POWER(Upgrades!$P$7,F5)*POWER(Upgrades!$P$8,G5)*POWER(Upgrades!$P$9,H5)*POWER(Upgrades!$P$10,I5)*POWER(Upgrades!$P$11,J5)*POWER(Upgrades!$P$12,K5)*60</f>
        <v>0</v>
      </c>
      <c r="AF5" s="27" t="n">
        <f aca="false">Parameters!$B$9*POWER(Upgrades!$Q$6,E5)*POWER(Upgrades!$Q$7,F5)*POWER(Upgrades!$Q$8,G5)*POWER(Upgrades!$Q$9,H5)*POWER(Upgrades!$Q$10,I5)*POWER(Upgrades!$Q$11,J5)*POWER(Upgrades!$Q$12,K5)*(Parameters!$B$10*Parameters!$B$11+O5*60)</f>
        <v>100</v>
      </c>
      <c r="AG5" s="21" t="n">
        <f aca="false">IF(E5&gt;=Upgrades!$E$6,"",Upgrades!$C$6*POWER(Upgrades!$D$6,E5))</f>
        <v>7</v>
      </c>
      <c r="AH5" s="21" t="n">
        <f aca="false">IF(F5&gt;=Upgrades!$E$7,"",Upgrades!$C$7*POWER(Upgrades!$D$7,F5))</f>
        <v>20</v>
      </c>
      <c r="AI5" s="21" t="n">
        <f aca="false">IF(G5&gt;=Upgrades!$E$8,"",Upgrades!$C$8*POWER(Upgrades!$D$8,G5))</f>
        <v>22</v>
      </c>
      <c r="AJ5" s="21" t="n">
        <f aca="false">IF(H5&gt;=Upgrades!$E$9,"",Upgrades!$C$9*POWER(Upgrades!$D$9,H5))</f>
        <v>80</v>
      </c>
      <c r="AK5" s="21" t="n">
        <f aca="false">IF(I5&gt;=Upgrades!$E$10,"",Upgrades!$C$10*POWER(Upgrades!$D$10,I5))</f>
        <v>240</v>
      </c>
      <c r="AL5" s="21" t="n">
        <f aca="false">IF(J5&gt;=Upgrades!$E$11,"",Upgrades!$C$11*POWER(Upgrades!$D$11,J5))</f>
        <v>575</v>
      </c>
      <c r="AM5" s="21" t="n">
        <f aca="false">IF(K5&gt;=Upgrades!$E$12,"",Upgrades!$C$12*POWER(Upgrades!$D$12,K5))</f>
        <v>850</v>
      </c>
      <c r="AN5" s="26" t="str">
        <f aca="false">IF(AND(D5&gt;=Parameters!$B$18,(H5&gt;=Upgrades!$E$9)*(K5&gt;=Upgrades!$E$12)=1,L5=0),1,"")</f>
        <v/>
      </c>
      <c r="AO5" s="26" t="str">
        <f aca="false">IF(AND(D5&gt;=Parameters!$B$18,L5=0),1,"")</f>
        <v/>
      </c>
      <c r="AP5" s="21" t="n">
        <f aca="false">MIN(IF(ISNUMBER(AK5),AK5,9000000000000000),IF(ISNUMBER(AL5),AL5,9000000000000000),IF(ISNUMBER(AM5),AM5,9000000000000000))</f>
        <v>240</v>
      </c>
      <c r="AQ5" s="21" t="n">
        <f aca="false">MIN(IF(ISNUMBER(AG5),AG5,9000000000000000),IF(ISNUMBER(AH5),AH5,9000000000000000),IF(ISNUMBER(AI5),AI5,9000000000000000),IF(ISNUMBER(AJ5),AJ5,9000000000000000))</f>
        <v>7</v>
      </c>
      <c r="AR5" s="32" t="b">
        <f aca="false">FALSE()</f>
        <v>0</v>
      </c>
      <c r="AS5" s="33" t="n">
        <v>0</v>
      </c>
      <c r="AT5" s="33" t="n">
        <v>0</v>
      </c>
      <c r="AU5" s="33" t="n">
        <v>0</v>
      </c>
      <c r="AV5" s="33" t="n">
        <v>0</v>
      </c>
      <c r="AW5" s="33" t="n">
        <v>0</v>
      </c>
      <c r="AX5" s="29"/>
    </row>
    <row r="6" customFormat="false" ht="15" hidden="false" customHeight="false" outlineLevel="0" collapsed="false">
      <c r="A6" s="26" t="n">
        <v>1</v>
      </c>
      <c r="B6" s="27" t="n">
        <f aca="false">A6*10/60</f>
        <v>0.166666666666667</v>
      </c>
      <c r="C6" s="21" t="n">
        <f aca="false">X5</f>
        <v>0</v>
      </c>
      <c r="D6" s="27" t="n">
        <f aca="false">D5+W5</f>
        <v>0</v>
      </c>
      <c r="E6" s="26" t="n">
        <f aca="false">E5+IF(U5="SW",1,0)</f>
        <v>0</v>
      </c>
      <c r="F6" s="26" t="n">
        <f aca="false">F5+IF(U5="AB",1,0)</f>
        <v>0</v>
      </c>
      <c r="G6" s="26" t="n">
        <f aca="false">G5+IF(U5="SC",1,0)</f>
        <v>0</v>
      </c>
      <c r="H6" s="26" t="n">
        <f aca="false">H5+IF(U5="Mag",1,0)</f>
        <v>0</v>
      </c>
      <c r="I6" s="26" t="n">
        <f aca="false">MAX(I5,IF(U5="OR",1,0))</f>
        <v>0</v>
      </c>
      <c r="J6" s="26" t="n">
        <f aca="false">MAX(J5,IF(U5="HP",1,0))</f>
        <v>0</v>
      </c>
      <c r="K6" s="26" t="n">
        <f aca="false">MAX(K5,IF(U5="FP",1,0))</f>
        <v>0</v>
      </c>
      <c r="L6" s="26" t="n">
        <f aca="false">MAX(L5,IF(U5="transition",1,0))</f>
        <v>0</v>
      </c>
      <c r="M6" s="28" t="n">
        <f aca="false">(Parameters!$B$9+(IF(E6=0,0,(Upgrades!$J$6+E6*Upgrades!$K$6)*POWER(Upgrades!$L$6,E6)))*(IF(Upgrades!$T$7="Solar Wind",POWER(Upgrades!$U$7,F6),1)*IF(Upgrades!$T$8="Solar Wind",POWER(Upgrades!$U$8,G6),1)*IF(Upgrades!$T$9="Solar Wind",POWER(Upgrades!$U$9,H6),1)*IF(Upgrades!$T$10="Solar Wind",POWER(Upgrades!$U$10,I6),1)*IF(Upgrades!$T$11="Solar Wind",POWER(Upgrades!$U$11,J6),1)*IF(Upgrades!$T$12="Solar Wind",POWER(Upgrades!$U$12,K6),1))+(IF(F6=0,0,(Upgrades!$J$7+F6*Upgrades!$K$7)*POWER(Upgrades!$L$7,F6)))*(IF(Upgrades!$T$6="Asteroid Belt",POWER(Upgrades!$U$6,E6),1)*IF(Upgrades!$T$8="Asteroid Belt",POWER(Upgrades!$U$8,G6),1)*IF(Upgrades!$T$9="Asteroid Belt",POWER(Upgrades!$U$9,H6),1)*IF(Upgrades!$T$10="Asteroid Belt",POWER(Upgrades!$U$10,I6),1)*IF(Upgrades!$T$11="Asteroid Belt",POWER(Upgrades!$U$11,J6),1)*IF(Upgrades!$T$12="Asteroid Belt",POWER(Upgrades!$U$12,K6),1))+(IF(G6=0,0,(Upgrades!$J$8+G6*Upgrades!$K$8)*POWER(Upgrades!$L$8,G6)))*(IF(Upgrades!$T$6="Stellar Coupling",POWER(Upgrades!$U$6,E6),1)*IF(Upgrades!$T$7="Stellar Coupling",POWER(Upgrades!$U$7,F6),1)*IF(Upgrades!$T$9="Stellar Coupling",POWER(Upgrades!$U$9,H6),1)*IF(Upgrades!$T$10="Stellar Coupling",POWER(Upgrades!$U$10,I6),1)*IF(Upgrades!$T$11="Stellar Coupling",POWER(Upgrades!$U$11,J6),1)*IF(Upgrades!$T$12="Stellar Coupling",POWER(Upgrades!$U$12,K6),1))+(IF(H6=0,0,(Upgrades!$J$9+H6*Upgrades!$K$9)*POWER(Upgrades!$L$9,H6)))*(IF(Upgrades!$T$6="Magnetosphere",POWER(Upgrades!$U$6,E6),1)*IF(Upgrades!$T$7="Magnetosphere",POWER(Upgrades!$U$7,F6),1)*IF(Upgrades!$T$8="Magnetosphere",POWER(Upgrades!$U$8,G6),1)*IF(Upgrades!$T$10="Magnetosphere",POWER(Upgrades!$U$10,I6),1)*IF(Upgrades!$T$11="Magnetosphere",POWER(Upgrades!$U$11,J6),1)*IF(Upgrades!$T$12="Magnetosphere",POWER(Upgrades!$U$12,K6),1))+(IF(I6=0,0,(Upgrades!$J$10+I6*Upgrades!$K$10)*POWER(Upgrades!$L$10,I6)))*(IF(Upgrades!$T$6="Orbital Resonance",POWER(Upgrades!$U$6,E6),1)*IF(Upgrades!$T$7="Orbital Resonance",POWER(Upgrades!$U$7,F6),1)*IF(Upgrades!$T$8="Orbital Resonance",POWER(Upgrades!$U$8,G6),1)*IF(Upgrades!$T$9="Orbital Resonance",POWER(Upgrades!$U$9,H6),1)*IF(Upgrades!$T$11="Orbital Resonance",POWER(Upgrades!$U$11,J6),1)*IF(Upgrades!$T$12="Orbital Resonance",POWER(Upgrades!$U$12,K6),1))+(IF(J6=0,0,(Upgrades!$J$11+J6*Upgrades!$K$11)*POWER(Upgrades!$L$11,J6)))*(IF(Upgrades!$T$6="Heliopause",POWER(Upgrades!$U$6,E6),1)*IF(Upgrades!$T$7="Heliopause",POWER(Upgrades!$U$7,F6),1)*IF(Upgrades!$T$8="Heliopause",POWER(Upgrades!$U$8,G6),1)*IF(Upgrades!$T$9="Heliopause",POWER(Upgrades!$U$9,H6),1)*IF(Upgrades!$T$10="Heliopause",POWER(Upgrades!$U$10,I6),1)*IF(Upgrades!$T$12="Heliopause",POWER(Upgrades!$U$12,K6),1))+(IF(K6=0,0,(Upgrades!$J$12+K6*Upgrades!$K$12)*POWER(Upgrades!$L$12,K6)))*(IF(Upgrades!$T$6="First Photons",POWER(Upgrades!$U$6,E6),1)*IF(Upgrades!$T$7="First Photons",POWER(Upgrades!$U$7,F6),1)*IF(Upgrades!$T$8="First Photons",POWER(Upgrades!$U$8,G6),1)*IF(Upgrades!$T$9="First Photons",POWER(Upgrades!$U$9,H6),1)*IF(Upgrades!$T$10="First Photons",POWER(Upgrades!$U$10,I6),1)*IF(Upgrades!$T$11="First Photons",POWER(Upgrades!$U$11,J6),1)))*POWER(Upgrades!$Q$6,E6)*POWER(Upgrades!$Q$7,F6)*POWER(Upgrades!$Q$8,G6)*POWER(Upgrades!$Q$9,H6)*POWER(Upgrades!$Q$10,I6)*POWER(Upgrades!$Q$11,J6)*POWER(Upgrades!$Q$12,K6)</f>
        <v>1</v>
      </c>
      <c r="N6" s="28" t="n">
        <f aca="false">((IF(E6=0,0,(Upgrades!$G$6+E6*Upgrades!$H$6)*POWER(Upgrades!$I$6,E6)))*(IF(Upgrades!$T$7="Solar Wind",POWER(Upgrades!$U$7,F6),1)*IF(Upgrades!$T$8="Solar Wind",POWER(Upgrades!$U$8,G6),1)*IF(Upgrades!$T$9="Solar Wind",POWER(Upgrades!$U$9,H6),1)*IF(Upgrades!$T$10="Solar Wind",POWER(Upgrades!$U$10,I6),1)*IF(Upgrades!$T$11="Solar Wind",POWER(Upgrades!$U$11,J6),1)*IF(Upgrades!$T$12="Solar Wind",POWER(Upgrades!$U$12,K6),1))+(IF(F6=0,0,(Upgrades!$G$7+F6*Upgrades!$H$7)*POWER(Upgrades!$I$7,F6)))*(IF(Upgrades!$T$6="Asteroid Belt",POWER(Upgrades!$U$6,E6),1)*IF(Upgrades!$T$8="Asteroid Belt",POWER(Upgrades!$U$8,G6),1)*IF(Upgrades!$T$9="Asteroid Belt",POWER(Upgrades!$U$9,H6),1)*IF(Upgrades!$T$10="Asteroid Belt",POWER(Upgrades!$U$10,I6),1)*IF(Upgrades!$T$11="Asteroid Belt",POWER(Upgrades!$U$11,J6),1)*IF(Upgrades!$T$12="Asteroid Belt",POWER(Upgrades!$U$12,K6),1))+(IF(G6=0,0,(Upgrades!$G$8+G6*Upgrades!$H$8)*POWER(Upgrades!$I$8,G6)))*(IF(Upgrades!$T$6="Stellar Coupling",POWER(Upgrades!$U$6,E6),1)*IF(Upgrades!$T$7="Stellar Coupling",POWER(Upgrades!$U$7,F6),1)*IF(Upgrades!$T$9="Stellar Coupling",POWER(Upgrades!$U$9,H6),1)*IF(Upgrades!$T$10="Stellar Coupling",POWER(Upgrades!$U$10,I6),1)*IF(Upgrades!$T$11="Stellar Coupling",POWER(Upgrades!$U$11,J6),1)*IF(Upgrades!$T$12="Stellar Coupling",POWER(Upgrades!$U$12,K6),1))+(IF(H6=0,0,(Upgrades!$G$9+H6*Upgrades!$H$9)*POWER(Upgrades!$I$9,H6)))*(IF(Upgrades!$T$6="Magnetosphere",POWER(Upgrades!$U$6,E6),1)*IF(Upgrades!$T$7="Magnetosphere",POWER(Upgrades!$U$7,F6),1)*IF(Upgrades!$T$8="Magnetosphere",POWER(Upgrades!$U$8,G6),1)*IF(Upgrades!$T$10="Magnetosphere",POWER(Upgrades!$U$10,I6),1)*IF(Upgrades!$T$11="Magnetosphere",POWER(Upgrades!$U$11,J6),1)*IF(Upgrades!$T$12="Magnetosphere",POWER(Upgrades!$U$12,K6),1))+(IF(I6=0,0,(Upgrades!$G$10+I6*Upgrades!$H$10)*POWER(Upgrades!$I$10,I6)))*(IF(Upgrades!$T$6="Orbital Resonance",POWER(Upgrades!$U$6,E6),1)*IF(Upgrades!$T$7="Orbital Resonance",POWER(Upgrades!$U$7,F6),1)*IF(Upgrades!$T$8="Orbital Resonance",POWER(Upgrades!$U$8,G6),1)*IF(Upgrades!$T$9="Orbital Resonance",POWER(Upgrades!$U$9,H6),1)*IF(Upgrades!$T$11="Orbital Resonance",POWER(Upgrades!$U$11,J6),1)*IF(Upgrades!$T$12="Orbital Resonance",POWER(Upgrades!$U$12,K6),1))+(IF(J6=0,0,(Upgrades!$G$11+J6*Upgrades!$H$11)*POWER(Upgrades!$I$11,J6)))*(IF(Upgrades!$T$6="Heliopause",POWER(Upgrades!$U$6,E6),1)*IF(Upgrades!$T$7="Heliopause",POWER(Upgrades!$U$7,F6),1)*IF(Upgrades!$T$8="Heliopause",POWER(Upgrades!$U$8,G6),1)*IF(Upgrades!$T$9="Heliopause",POWER(Upgrades!$U$9,H6),1)*IF(Upgrades!$T$10="Heliopause",POWER(Upgrades!$U$10,I6),1)*IF(Upgrades!$T$12="Heliopause",POWER(Upgrades!$U$12,K6),1))+(IF(K6=0,0,(Upgrades!$G$12+K6*Upgrades!$H$12)*POWER(Upgrades!$I$12,K6)))*(IF(Upgrades!$T$6="First Photons",POWER(Upgrades!$U$6,E6),1)*IF(Upgrades!$T$7="First Photons",POWER(Upgrades!$U$7,F6),1)*IF(Upgrades!$T$8="First Photons",POWER(Upgrades!$U$8,G6),1)*IF(Upgrades!$T$9="First Photons",POWER(Upgrades!$U$9,H6),1)*IF(Upgrades!$T$10="First Photons",POWER(Upgrades!$U$10,I6),1)*IF(Upgrades!$T$11="First Photons",POWER(Upgrades!$U$11,J6),1)))*POWER(Upgrades!$P$6,E6)*POWER(Upgrades!$P$7,F6)*POWER(Upgrades!$P$8,G6)*POWER(Upgrades!$P$9,H6)*POWER(Upgrades!$P$10,I6)*POWER(Upgrades!$P$11,J6)*POWER(Upgrades!$P$12,K6)</f>
        <v>0</v>
      </c>
      <c r="O6" s="28" t="n">
        <f aca="false">((IF(E6=0,0,(Upgrades!$M$6+E6*Upgrades!$N$6)*POWER(Upgrades!$O$6,E6)))*(IF(Upgrades!$T$7="Solar Wind",POWER(Upgrades!$U$7,F6),1)*IF(Upgrades!$T$8="Solar Wind",POWER(Upgrades!$U$8,G6),1)*IF(Upgrades!$T$9="Solar Wind",POWER(Upgrades!$U$9,H6),1)*IF(Upgrades!$T$10="Solar Wind",POWER(Upgrades!$U$10,I6),1)*IF(Upgrades!$T$11="Solar Wind",POWER(Upgrades!$U$11,J6),1)*IF(Upgrades!$T$12="Solar Wind",POWER(Upgrades!$U$12,K6),1))+(IF(F6=0,0,(Upgrades!$M$7+F6*Upgrades!$N$7)*POWER(Upgrades!$O$7,F6)))*(IF(Upgrades!$T$6="Asteroid Belt",POWER(Upgrades!$U$6,E6),1)*IF(Upgrades!$T$8="Asteroid Belt",POWER(Upgrades!$U$8,G6),1)*IF(Upgrades!$T$9="Asteroid Belt",POWER(Upgrades!$U$9,H6),1)*IF(Upgrades!$T$10="Asteroid Belt",POWER(Upgrades!$U$10,I6),1)*IF(Upgrades!$T$11="Asteroid Belt",POWER(Upgrades!$U$11,J6),1)*IF(Upgrades!$T$12="Asteroid Belt",POWER(Upgrades!$U$12,K6),1))+(IF(G6=0,0,(Upgrades!$M$8+G6*Upgrades!$N$8)*POWER(Upgrades!$O$8,G6)))*(IF(Upgrades!$T$6="Stellar Coupling",POWER(Upgrades!$U$6,E6),1)*IF(Upgrades!$T$7="Stellar Coupling",POWER(Upgrades!$U$7,F6),1)*IF(Upgrades!$T$9="Stellar Coupling",POWER(Upgrades!$U$9,H6),1)*IF(Upgrades!$T$10="Stellar Coupling",POWER(Upgrades!$U$10,I6),1)*IF(Upgrades!$T$11="Stellar Coupling",POWER(Upgrades!$U$11,J6),1)*IF(Upgrades!$T$12="Stellar Coupling",POWER(Upgrades!$U$12,K6),1))+(IF(H6=0,0,(Upgrades!$M$9+H6*Upgrades!$N$9)*POWER(Upgrades!$O$9,H6)))*(IF(Upgrades!$T$6="Magnetosphere",POWER(Upgrades!$U$6,E6),1)*IF(Upgrades!$T$7="Magnetosphere",POWER(Upgrades!$U$7,F6),1)*IF(Upgrades!$T$8="Magnetosphere",POWER(Upgrades!$U$8,G6),1)*IF(Upgrades!$T$10="Magnetosphere",POWER(Upgrades!$U$10,I6),1)*IF(Upgrades!$T$11="Magnetosphere",POWER(Upgrades!$U$11,J6),1)*IF(Upgrades!$T$12="Magnetosphere",POWER(Upgrades!$U$12,K6),1))+(IF(I6=0,0,(Upgrades!$M$10+I6*Upgrades!$N$10)*POWER(Upgrades!$O$10,I6)))*(IF(Upgrades!$T$6="Orbital Resonance",POWER(Upgrades!$U$6,E6),1)*IF(Upgrades!$T$7="Orbital Resonance",POWER(Upgrades!$U$7,F6),1)*IF(Upgrades!$T$8="Orbital Resonance",POWER(Upgrades!$U$8,G6),1)*IF(Upgrades!$T$9="Orbital Resonance",POWER(Upgrades!$U$9,H6),1)*IF(Upgrades!$T$11="Orbital Resonance",POWER(Upgrades!$U$11,J6),1)*IF(Upgrades!$T$12="Orbital Resonance",POWER(Upgrades!$U$12,K6),1))+(IF(J6=0,0,(Upgrades!$M$11+J6*Upgrades!$N$11)*POWER(Upgrades!$O$11,J6)))*(IF(Upgrades!$T$6="Heliopause",POWER(Upgrades!$U$6,E6),1)*IF(Upgrades!$T$7="Heliopause",POWER(Upgrades!$U$7,F6),1)*IF(Upgrades!$T$8="Heliopause",POWER(Upgrades!$U$8,G6),1)*IF(Upgrades!$T$9="Heliopause",POWER(Upgrades!$U$9,H6),1)*IF(Upgrades!$T$10="Heliopause",POWER(Upgrades!$U$10,I6),1)*IF(Upgrades!$T$12="Heliopause",POWER(Upgrades!$U$12,K6),1))+(IF(K6=0,0,(Upgrades!$M$12+K6*Upgrades!$N$12)*POWER(Upgrades!$O$12,K6)))*(IF(Upgrades!$T$6="First Photons",POWER(Upgrades!$U$6,E6),1)*IF(Upgrades!$T$7="First Photons",POWER(Upgrades!$U$7,F6),1)*IF(Upgrades!$T$8="First Photons",POWER(Upgrades!$U$8,G6),1)*IF(Upgrades!$T$9="First Photons",POWER(Upgrades!$U$9,H6),1)*IF(Upgrades!$T$10="First Photons",POWER(Upgrades!$U$10,I6),1)*IF(Upgrades!$T$11="First Photons",POWER(Upgrades!$U$11,J6),1)))*POWER(Upgrades!$R$6,E6)*POWER(Upgrades!$R$7,F6)*POWER(Upgrades!$R$8,G6)*POWER(Upgrades!$R$9,H6)*POWER(Upgrades!$R$10,I6)*POWER(Upgrades!$R$11,J6)*POWER(Upgrades!$R$12,K6)</f>
        <v>0</v>
      </c>
      <c r="P6" s="27" t="n">
        <f aca="false">IF(L6=1,0,M6*Parameters!$B$10/60*Parameters!$B$11*10)</f>
        <v>16.6666666666667</v>
      </c>
      <c r="Q6" s="27" t="n">
        <f aca="false">IF(L6=1,0,O6*M6*10)</f>
        <v>0</v>
      </c>
      <c r="R6" s="27" t="n">
        <f aca="false">IF(L6=1,0,N6*10)</f>
        <v>0</v>
      </c>
      <c r="S6" s="27" t="n">
        <f aca="false">P6+Q6+R6</f>
        <v>16.6666666666667</v>
      </c>
      <c r="T6" s="21" t="n">
        <f aca="false">C6+S6</f>
        <v>16.6666666666667</v>
      </c>
      <c r="U6" s="34" t="str">
        <f aca="false">AX6</f>
        <v/>
      </c>
      <c r="V6" s="21" t="n">
        <f aca="false">IF(U6="",0,IF(U6="transition",0,IF(U6="SW",AG6,IF(U6="AB",AH6,IF(U6="SC",AI6,IF(U6="Mag",AJ6,IF(U6="OR",AK6,IF(U6="HP",AL6,IF(U6="FP",AM6,0)))))))))</f>
        <v>0</v>
      </c>
      <c r="W6" s="27" t="n">
        <f aca="false">IF(U6="OR",Upgrades!$F$10,IF(U6="HP",Upgrades!$F$11,IF(U6="transition",-Parameters!$B$18,0)))</f>
        <v>0</v>
      </c>
      <c r="X6" s="21" t="n">
        <f aca="false">T6-V6</f>
        <v>16.6666666666667</v>
      </c>
      <c r="Y6" s="30" t="n">
        <f aca="false">M6*Parameters!$B$10/60*Parameters!$B$11+O6*M6+N6</f>
        <v>1.66666666666667</v>
      </c>
      <c r="Z6" s="35" t="str">
        <f aca="false">IF(U6="transition","→ Tier 2 (Stellar Neighborhood)",IF(U6="FP","First Photons — light begins, system quickens",IF(U6="HP","Heliopause acquired",IF(U6="OR","Orbital Resonance — passive multiplier active",IF(AND(AO6=1,L6=0,AN6&lt;&gt;1),"Cohesion ready (waiting on completionist upgrades)","")))))</f>
        <v/>
      </c>
      <c r="AA6" s="27" t="n">
        <f aca="false">(IF(E6=0,0,(Upgrades!$G$6+E6*Upgrades!$H$6)*POWER(Upgrades!$I$6,E6)))*(IF(Upgrades!$T$7="Solar Wind",POWER(Upgrades!$U$7,F6),1)*IF(Upgrades!$T$8="Solar Wind",POWER(Upgrades!$U$8,G6),1)*IF(Upgrades!$T$9="Solar Wind",POWER(Upgrades!$U$9,H6),1)*IF(Upgrades!$T$10="Solar Wind",POWER(Upgrades!$U$10,I6),1)*IF(Upgrades!$T$11="Solar Wind",POWER(Upgrades!$U$11,J6),1)*IF(Upgrades!$T$12="Solar Wind",POWER(Upgrades!$U$12,K6),1))*POWER(Upgrades!$P$6,E6)*POWER(Upgrades!$P$7,F6)*POWER(Upgrades!$P$8,G6)*POWER(Upgrades!$P$9,H6)*POWER(Upgrades!$P$10,I6)*POWER(Upgrades!$P$11,J6)*POWER(Upgrades!$P$12,K6)*60</f>
        <v>0</v>
      </c>
      <c r="AB6" s="27" t="n">
        <f aca="false">(IF(F6=0,0,(Upgrades!$G$7+F6*Upgrades!$H$7)*POWER(Upgrades!$I$7,F6)))*(IF(Upgrades!$T$6="Asteroid Belt",POWER(Upgrades!$U$6,E6),1)*IF(Upgrades!$T$8="Asteroid Belt",POWER(Upgrades!$U$8,G6),1)*IF(Upgrades!$T$9="Asteroid Belt",POWER(Upgrades!$U$9,H6),1)*IF(Upgrades!$T$10="Asteroid Belt",POWER(Upgrades!$U$10,I6),1)*IF(Upgrades!$T$11="Asteroid Belt",POWER(Upgrades!$U$11,J6),1)*IF(Upgrades!$T$12="Asteroid Belt",POWER(Upgrades!$U$12,K6),1))*POWER(Upgrades!$P$6,E6)*POWER(Upgrades!$P$7,F6)*POWER(Upgrades!$P$8,G6)*POWER(Upgrades!$P$9,H6)*POWER(Upgrades!$P$10,I6)*POWER(Upgrades!$P$11,J6)*POWER(Upgrades!$P$12,K6)*60</f>
        <v>0</v>
      </c>
      <c r="AC6" s="27" t="n">
        <f aca="false">(IF(G6=0,0,(Upgrades!$J$8+G6*Upgrades!$K$8)*POWER(Upgrades!$L$8,G6)))*(IF(Upgrades!$T$6="Stellar Coupling",POWER(Upgrades!$U$6,E6),1)*IF(Upgrades!$T$7="Stellar Coupling",POWER(Upgrades!$U$7,F6),1)*IF(Upgrades!$T$9="Stellar Coupling",POWER(Upgrades!$U$9,H6),1)*IF(Upgrades!$T$10="Stellar Coupling",POWER(Upgrades!$U$10,I6),1)*IF(Upgrades!$T$11="Stellar Coupling",POWER(Upgrades!$U$11,J6),1)*IF(Upgrades!$T$12="Stellar Coupling",POWER(Upgrades!$U$12,K6),1))*POWER(Upgrades!$Q$6,E6)*POWER(Upgrades!$Q$7,F6)*POWER(Upgrades!$Q$8,G6)*POWER(Upgrades!$Q$9,H6)*POWER(Upgrades!$Q$10,I6)*POWER(Upgrades!$Q$11,J6)*POWER(Upgrades!$Q$12,K6)*Parameters!$B$10*Parameters!$B$11</f>
        <v>0</v>
      </c>
      <c r="AD6" s="27" t="n">
        <f aca="false">(IF(H6=0,0,(Upgrades!$G$9+H6*Upgrades!$H$9)*POWER(Upgrades!$I$9,H6)))*(IF(Upgrades!$T$6="Magnetosphere",POWER(Upgrades!$U$6,E6),1)*IF(Upgrades!$T$7="Magnetosphere",POWER(Upgrades!$U$7,F6),1)*IF(Upgrades!$T$8="Magnetosphere",POWER(Upgrades!$U$8,G6),1)*IF(Upgrades!$T$10="Magnetosphere",POWER(Upgrades!$U$10,I6),1)*IF(Upgrades!$T$11="Magnetosphere",POWER(Upgrades!$U$11,J6),1)*IF(Upgrades!$T$12="Magnetosphere",POWER(Upgrades!$U$12,K6),1))*POWER(Upgrades!$P$6,E6)*POWER(Upgrades!$P$7,F6)*POWER(Upgrades!$P$8,G6)*POWER(Upgrades!$P$9,H6)*POWER(Upgrades!$P$10,I6)*POWER(Upgrades!$P$11,J6)*POWER(Upgrades!$P$12,K6)*60</f>
        <v>0</v>
      </c>
      <c r="AE6" s="27" t="n">
        <f aca="false">(IF(K6=0,0,(Upgrades!$G$12+K6*Upgrades!$H$12)*POWER(Upgrades!$I$12,K6)))*(IF(Upgrades!$T$6="First Photons",POWER(Upgrades!$U$6,E6),1)*IF(Upgrades!$T$7="First Photons",POWER(Upgrades!$U$7,F6),1)*IF(Upgrades!$T$8="First Photons",POWER(Upgrades!$U$8,G6),1)*IF(Upgrades!$T$9="First Photons",POWER(Upgrades!$U$9,H6),1)*IF(Upgrades!$T$10="First Photons",POWER(Upgrades!$U$10,I6),1)*IF(Upgrades!$T$11="First Photons",POWER(Upgrades!$U$11,J6),1))*POWER(Upgrades!$P$6,E6)*POWER(Upgrades!$P$7,F6)*POWER(Upgrades!$P$8,G6)*POWER(Upgrades!$P$9,H6)*POWER(Upgrades!$P$10,I6)*POWER(Upgrades!$P$11,J6)*POWER(Upgrades!$P$12,K6)*60</f>
        <v>0</v>
      </c>
      <c r="AF6" s="27" t="n">
        <f aca="false">Parameters!$B$9*POWER(Upgrades!$Q$6,E6)*POWER(Upgrades!$Q$7,F6)*POWER(Upgrades!$Q$8,G6)*POWER(Upgrades!$Q$9,H6)*POWER(Upgrades!$Q$10,I6)*POWER(Upgrades!$Q$11,J6)*POWER(Upgrades!$Q$12,K6)*(Parameters!$B$10*Parameters!$B$11+O6*60)</f>
        <v>100</v>
      </c>
      <c r="AG6" s="21" t="n">
        <f aca="false">IF(E6&gt;=Upgrades!$E$6,"",Upgrades!$C$6*POWER(Upgrades!$D$6,E6))</f>
        <v>7</v>
      </c>
      <c r="AH6" s="21" t="n">
        <f aca="false">IF(F6&gt;=Upgrades!$E$7,"",Upgrades!$C$7*POWER(Upgrades!$D$7,F6))</f>
        <v>20</v>
      </c>
      <c r="AI6" s="21" t="n">
        <f aca="false">IF(G6&gt;=Upgrades!$E$8,"",Upgrades!$C$8*POWER(Upgrades!$D$8,G6))</f>
        <v>22</v>
      </c>
      <c r="AJ6" s="21" t="n">
        <f aca="false">IF(H6&gt;=Upgrades!$E$9,"",Upgrades!$C$9*POWER(Upgrades!$D$9,H6))</f>
        <v>80</v>
      </c>
      <c r="AK6" s="21" t="n">
        <f aca="false">IF(I6&gt;=Upgrades!$E$10,"",Upgrades!$C$10*POWER(Upgrades!$D$10,I6))</f>
        <v>240</v>
      </c>
      <c r="AL6" s="21" t="n">
        <f aca="false">IF(J6&gt;=Upgrades!$E$11,"",Upgrades!$C$11*POWER(Upgrades!$D$11,J6))</f>
        <v>575</v>
      </c>
      <c r="AM6" s="21" t="n">
        <f aca="false">IF(K6&gt;=Upgrades!$E$12,"",Upgrades!$C$12*POWER(Upgrades!$D$12,K6))</f>
        <v>850</v>
      </c>
      <c r="AN6" s="26" t="str">
        <f aca="false">IF(AND(D6&gt;=Parameters!$B$18,(H6&gt;=Upgrades!$E$9)*(K6&gt;=Upgrades!$E$12)=1,L6=0),1,"")</f>
        <v/>
      </c>
      <c r="AO6" s="26" t="str">
        <f aca="false">IF(AND(D6&gt;=Parameters!$B$18,L6=0),1,"")</f>
        <v/>
      </c>
      <c r="AP6" s="21" t="n">
        <f aca="false">MIN(IF(ISNUMBER(AK6),AK6,9000000000000000),IF(ISNUMBER(AL6),AL6,9000000000000000),IF(ISNUMBER(AM6),AM6,9000000000000000))</f>
        <v>240</v>
      </c>
      <c r="AQ6" s="21" t="n">
        <f aca="false">MIN(IF(ISNUMBER(AG6),AG6,9000000000000000),IF(ISNUMBER(AH6),AH6,9000000000000000),IF(ISNUMBER(AI6),AI6,9000000000000000),IF(ISNUMBER(AJ6),AJ6,9000000000000000))</f>
        <v>7</v>
      </c>
      <c r="AR6" s="32" t="b">
        <f aca="false">IF(AW6&gt;Parameters!$B$21*(MAX(IF(AND(NOT(AND(AO6=1,AN6&lt;&gt;1)),ISNUMBER(AG6),AG6&lt;=T6),AS6,0),IF(AND(NOT(AND(AO6=1,AN6&lt;&gt;1)),ISNUMBER(AH6),AH6&lt;=T6),AT6,0),IF(AND(NOT(AND(AO6=1,AN6&lt;&gt;1)),ISNUMBER(AI6),AI6&lt;=T6),AU6,0),IF(AND(ISNUMBER(AJ6),AJ6&lt;=T6),AV6,0))),TRUE(),FALSE())</f>
        <v>1</v>
      </c>
      <c r="AS6" s="33" t="n">
        <f aca="false">IFERROR(Upgrades!$H$6*(POWER(Upgrades!$P$6,E6)*POWER(Upgrades!$P$7,F6)*POWER(Upgrades!$P$8,G6)*POWER(Upgrades!$P$9,H6)*POWER(Upgrades!$P$10,I6)*POWER(Upgrades!$P$11,J6)*POWER(Upgrades!$P$12,K6))*(IF(Upgrades!$T$7="Solar Wind",POWER(Upgrades!$U$7,F6),1)*IF(Upgrades!$T$8="Solar Wind",POWER(Upgrades!$U$8,G6),1)*IF(Upgrades!$T$9="Solar Wind",POWER(Upgrades!$U$9,H6),1)*IF(Upgrades!$T$10="Solar Wind",POWER(Upgrades!$U$10,I6),1)*IF(Upgrades!$T$11="Solar Wind",POWER(Upgrades!$U$11,J6),1)*IF(Upgrades!$T$12="Solar Wind",POWER(Upgrades!$U$12,K6),1))/AG6,0)</f>
        <v>0.0114285714285714</v>
      </c>
      <c r="AT6" s="33" t="n">
        <f aca="false">IFERROR(Upgrades!$H$7*(POWER(Upgrades!$P$6,E6)*POWER(Upgrades!$P$7,F6)*POWER(Upgrades!$P$8,G6)*POWER(Upgrades!$P$9,H6)*POWER(Upgrades!$P$10,I6)*POWER(Upgrades!$P$11,J6)*POWER(Upgrades!$P$12,K6))*(IF(Upgrades!$T$6="Asteroid Belt",POWER(Upgrades!$U$6,E6),1)*IF(Upgrades!$T$8="Asteroid Belt",POWER(Upgrades!$U$8,G6),1)*IF(Upgrades!$T$9="Asteroid Belt",POWER(Upgrades!$U$9,H6),1)*IF(Upgrades!$T$10="Asteroid Belt",POWER(Upgrades!$U$10,I6),1)*IF(Upgrades!$T$11="Asteroid Belt",POWER(Upgrades!$U$11,J6),1)*IF(Upgrades!$T$12="Asteroid Belt",POWER(Upgrades!$U$12,K6),1))/AH6,0)</f>
        <v>0.01</v>
      </c>
      <c r="AU6" s="33" t="n">
        <f aca="false">IFERROR(Upgrades!$K$8*(POWER(Upgrades!$Q$6,E6)*POWER(Upgrades!$Q$7,F6)*POWER(Upgrades!$Q$8,G6)*POWER(Upgrades!$Q$9,H6)*POWER(Upgrades!$Q$10,I6)*POWER(Upgrades!$Q$11,J6)*POWER(Upgrades!$Q$12,K6))*(IF(Upgrades!$T$6="Stellar Coupling",POWER(Upgrades!$U$6,E6),1)*IF(Upgrades!$T$7="Stellar Coupling",POWER(Upgrades!$U$7,F6),1)*IF(Upgrades!$T$9="Stellar Coupling",POWER(Upgrades!$U$9,H6),1)*IF(Upgrades!$T$10="Stellar Coupling",POWER(Upgrades!$U$10,I6),1)*IF(Upgrades!$T$11="Stellar Coupling",POWER(Upgrades!$U$11,J6),1)*IF(Upgrades!$T$12="Stellar Coupling",POWER(Upgrades!$U$12,K6),1))*Parameters!$B$10*Parameters!$B$11/60/AI6,0)</f>
        <v>0.0265151515151515</v>
      </c>
      <c r="AV6" s="33" t="n">
        <f aca="false">IFERROR(Upgrades!$H$9*(POWER(Upgrades!$P$6,E6)*POWER(Upgrades!$P$7,F6)*POWER(Upgrades!$P$8,G6)*POWER(Upgrades!$P$9,H6)*POWER(Upgrades!$P$10,I6)*POWER(Upgrades!$P$11,J6)*POWER(Upgrades!$P$12,K6))*(IF(Upgrades!$T$6="Magnetosphere",POWER(Upgrades!$U$6,E6),1)*IF(Upgrades!$T$7="Magnetosphere",POWER(Upgrades!$U$7,F6),1)*IF(Upgrades!$T$8="Magnetosphere",POWER(Upgrades!$U$8,G6),1)*IF(Upgrades!$T$10="Magnetosphere",POWER(Upgrades!$U$10,I6),1)*IF(Upgrades!$T$11="Magnetosphere",POWER(Upgrades!$U$11,J6),1)*IF(Upgrades!$T$12="Magnetosphere",POWER(Upgrades!$U$12,K6),1))/AJ6,0)</f>
        <v>0.0125</v>
      </c>
      <c r="AW6" s="33" t="n">
        <f aca="false">MAX(IF(I6&gt;0,0,IFERROR(0.25*N6/Upgrades!$C$10,0)),IF(J6&gt;0,0,IFERROR(0.5*((IF(G6=0,0,(Upgrades!$J$8+G6*Upgrades!$K$8)*POWER(Upgrades!$L$8,G6)))*(IF(Upgrades!$T$6="Stellar Coupling",POWER(Upgrades!$U$6,E6),1)*IF(Upgrades!$T$7="Stellar Coupling",POWER(Upgrades!$U$7,F6),1)*IF(Upgrades!$T$9="Stellar Coupling",POWER(Upgrades!$U$9,H6),1)*IF(Upgrades!$T$10="Stellar Coupling",POWER(Upgrades!$U$10,I6),1)*IF(Upgrades!$T$11="Stellar Coupling",POWER(Upgrades!$U$11,J6),1)*IF(Upgrades!$T$12="Stellar Coupling",POWER(Upgrades!$U$12,K6),1))*(POWER(Upgrades!$Q$6,E6)*POWER(Upgrades!$Q$7,F6)*POWER(Upgrades!$Q$8,G6)*POWER(Upgrades!$Q$9,H6)*POWER(Upgrades!$Q$10,I6)*POWER(Upgrades!$Q$11,J6)*POWER(Upgrades!$Q$12,K6))*Parameters!$B$10*Parameters!$B$11/60)/Upgrades!$C$11,0)),IF(K6&gt;0,0,IFERROR((1*(POWER(Upgrades!$P$6,E6)*POWER(Upgrades!$P$7,F6)*POWER(Upgrades!$P$8,G6)*POWER(Upgrades!$P$9,H6)*POWER(Upgrades!$P$10,I6)*POWER(Upgrades!$P$11,J6)*POWER(Upgrades!$P$12,K6))+0.2*M6*Parameters!$B$10*Parameters!$B$11/60)/Upgrades!$C$12,0)),IF(AND(ISNUMBER(AG6),AG6&gt;T6),AS6,0),IF(AND(ISNUMBER(AH6),AH6&gt;T6),AT6,0),IF(AND(ISNUMBER(AI6),AI6&gt;T6),AU6,0),IF(AND(ISNUMBER(AJ6),AJ6&gt;T6),AV6,0))</f>
        <v>0.0265151515151515</v>
      </c>
      <c r="AX6" s="29" t="str">
        <f aca="false">IF(AN6=1,"transition",IF(MIN(IF(AND(I6=0,ISNUMBER(AK6),AK6&lt;=T6),AK6,9000000000000000),IF(AND(J6=0,ISNUMBER(AL6),AL6&lt;=T6),AL6,9000000000000000),IF(AND(K6=0,ISNUMBER(AM6),AM6&lt;=T6),AM6,9000000000000000))&lt;9000000000000000,IF(AND(AND(I6=0,ISNUMBER(AK6),AK6&lt;=T6),AK6=MIN(IF(AND(I6=0,ISNUMBER(AK6),AK6&lt;=T6),AK6,9000000000000000),IF(AND(J6=0,ISNUMBER(AL6),AL6&lt;=T6),AL6,9000000000000000),IF(AND(K6=0,ISNUMBER(AM6),AM6&lt;=T6),AM6,9000000000000000))),"OR",IF(AND(AND(J6=0,ISNUMBER(AL6),AL6&lt;=T6),AL6=MIN(IF(AND(I6=0,ISNUMBER(AK6),AK6&lt;=T6),AK6,9000000000000000),IF(AND(J6=0,ISNUMBER(AL6),AL6&lt;=T6),AL6,9000000000000000),IF(AND(K6=0,ISNUMBER(AM6),AM6&lt;=T6),AM6,9000000000000000))),"HP","FP")),IF(AR6=TRUE(),"",IF(MAX(IF(AND(NOT(AND(AO6=1,AN6&lt;&gt;1)),ISNUMBER(AG6),AG6&lt;=T6),AS6,0),IF(AND(NOT(AND(AO6=1,AN6&lt;&gt;1)),ISNUMBER(AH6),AH6&lt;=T6),AT6,0),IF(AND(NOT(AND(AO6=1,AN6&lt;&gt;1)),ISNUMBER(AI6),AI6&lt;=T6),AU6,0),IF(AND(ISNUMBER(AJ6),AJ6&lt;=T6),AV6,0))&lt;=0,"",IF(AND(IF(AND(NOT(AND(AO6=1,AN6&lt;&gt;1)),ISNUMBER(AG6),AG6&lt;=T6),AS6,0)&gt;0,IF(AND(NOT(AND(AO6=1,AN6&lt;&gt;1)),ISNUMBER(AG6),AG6&lt;=T6),AS6,0)=MAX(IF(AND(NOT(AND(AO6=1,AN6&lt;&gt;1)),ISNUMBER(AG6),AG6&lt;=T6),AS6,0),IF(AND(NOT(AND(AO6=1,AN6&lt;&gt;1)),ISNUMBER(AH6),AH6&lt;=T6),AT6,0),IF(AND(NOT(AND(AO6=1,AN6&lt;&gt;1)),ISNUMBER(AI6),AI6&lt;=T6),AU6,0),IF(AND(ISNUMBER(AJ6),AJ6&lt;=T6),AV6,0))),"SW",IF(AND(IF(AND(NOT(AND(AO6=1,AN6&lt;&gt;1)),ISNUMBER(AH6),AH6&lt;=T6),AT6,0)&gt;0,IF(AND(NOT(AND(AO6=1,AN6&lt;&gt;1)),ISNUMBER(AH6),AH6&lt;=T6),AT6,0)=MAX(IF(AND(NOT(AND(AO6=1,AN6&lt;&gt;1)),ISNUMBER(AG6),AG6&lt;=T6),AS6,0),IF(AND(NOT(AND(AO6=1,AN6&lt;&gt;1)),ISNUMBER(AH6),AH6&lt;=T6),AT6,0),IF(AND(NOT(AND(AO6=1,AN6&lt;&gt;1)),ISNUMBER(AI6),AI6&lt;=T6),AU6,0),IF(AND(ISNUMBER(AJ6),AJ6&lt;=T6),AV6,0))),"AB",IF(AND(IF(AND(NOT(AND(AO6=1,AN6&lt;&gt;1)),ISNUMBER(AI6),AI6&lt;=T6),AU6,0)&gt;0,IF(AND(NOT(AND(AO6=1,AN6&lt;&gt;1)),ISNUMBER(AI6),AI6&lt;=T6),AU6,0)=MAX(IF(AND(NOT(AND(AO6=1,AN6&lt;&gt;1)),ISNUMBER(AG6),AG6&lt;=T6),AS6,0),IF(AND(NOT(AND(AO6=1,AN6&lt;&gt;1)),ISNUMBER(AH6),AH6&lt;=T6),AT6,0),IF(AND(NOT(AND(AO6=1,AN6&lt;&gt;1)),ISNUMBER(AI6),AI6&lt;=T6),AU6,0),IF(AND(ISNUMBER(AJ6),AJ6&lt;=T6),AV6,0))),"SC","Mag")))))))</f>
        <v/>
      </c>
    </row>
    <row r="7" customFormat="false" ht="15" hidden="false" customHeight="false" outlineLevel="0" collapsed="false">
      <c r="A7" s="26" t="n">
        <v>2</v>
      </c>
      <c r="B7" s="27" t="n">
        <f aca="false">A7*10/60</f>
        <v>0.333333333333333</v>
      </c>
      <c r="C7" s="21" t="n">
        <f aca="false">X6</f>
        <v>16.6666666666667</v>
      </c>
      <c r="D7" s="27" t="n">
        <f aca="false">D6+W6</f>
        <v>0</v>
      </c>
      <c r="E7" s="26" t="n">
        <f aca="false">E6+IF(U6="SW",1,0)</f>
        <v>0</v>
      </c>
      <c r="F7" s="26" t="n">
        <f aca="false">F6+IF(U6="AB",1,0)</f>
        <v>0</v>
      </c>
      <c r="G7" s="26" t="n">
        <f aca="false">G6+IF(U6="SC",1,0)</f>
        <v>0</v>
      </c>
      <c r="H7" s="26" t="n">
        <f aca="false">H6+IF(U6="Mag",1,0)</f>
        <v>0</v>
      </c>
      <c r="I7" s="26" t="n">
        <f aca="false">MAX(I6,IF(U6="OR",1,0))</f>
        <v>0</v>
      </c>
      <c r="J7" s="26" t="n">
        <f aca="false">MAX(J6,IF(U6="HP",1,0))</f>
        <v>0</v>
      </c>
      <c r="K7" s="26" t="n">
        <f aca="false">MAX(K6,IF(U6="FP",1,0))</f>
        <v>0</v>
      </c>
      <c r="L7" s="26" t="n">
        <f aca="false">MAX(L6,IF(U6="transition",1,0))</f>
        <v>0</v>
      </c>
      <c r="M7" s="28" t="n">
        <f aca="false">(Parameters!$B$9+(IF(E7=0,0,(Upgrades!$J$6+E7*Upgrades!$K$6)*POWER(Upgrades!$L$6,E7)))*(IF(Upgrades!$T$7="Solar Wind",POWER(Upgrades!$U$7,F7),1)*IF(Upgrades!$T$8="Solar Wind",POWER(Upgrades!$U$8,G7),1)*IF(Upgrades!$T$9="Solar Wind",POWER(Upgrades!$U$9,H7),1)*IF(Upgrades!$T$10="Solar Wind",POWER(Upgrades!$U$10,I7),1)*IF(Upgrades!$T$11="Solar Wind",POWER(Upgrades!$U$11,J7),1)*IF(Upgrades!$T$12="Solar Wind",POWER(Upgrades!$U$12,K7),1))+(IF(F7=0,0,(Upgrades!$J$7+F7*Upgrades!$K$7)*POWER(Upgrades!$L$7,F7)))*(IF(Upgrades!$T$6="Asteroid Belt",POWER(Upgrades!$U$6,E7),1)*IF(Upgrades!$T$8="Asteroid Belt",POWER(Upgrades!$U$8,G7),1)*IF(Upgrades!$T$9="Asteroid Belt",POWER(Upgrades!$U$9,H7),1)*IF(Upgrades!$T$10="Asteroid Belt",POWER(Upgrades!$U$10,I7),1)*IF(Upgrades!$T$11="Asteroid Belt",POWER(Upgrades!$U$11,J7),1)*IF(Upgrades!$T$12="Asteroid Belt",POWER(Upgrades!$U$12,K7),1))+(IF(G7=0,0,(Upgrades!$J$8+G7*Upgrades!$K$8)*POWER(Upgrades!$L$8,G7)))*(IF(Upgrades!$T$6="Stellar Coupling",POWER(Upgrades!$U$6,E7),1)*IF(Upgrades!$T$7="Stellar Coupling",POWER(Upgrades!$U$7,F7),1)*IF(Upgrades!$T$9="Stellar Coupling",POWER(Upgrades!$U$9,H7),1)*IF(Upgrades!$T$10="Stellar Coupling",POWER(Upgrades!$U$10,I7),1)*IF(Upgrades!$T$11="Stellar Coupling",POWER(Upgrades!$U$11,J7),1)*IF(Upgrades!$T$12="Stellar Coupling",POWER(Upgrades!$U$12,K7),1))+(IF(H7=0,0,(Upgrades!$J$9+H7*Upgrades!$K$9)*POWER(Upgrades!$L$9,H7)))*(IF(Upgrades!$T$6="Magnetosphere",POWER(Upgrades!$U$6,E7),1)*IF(Upgrades!$T$7="Magnetosphere",POWER(Upgrades!$U$7,F7),1)*IF(Upgrades!$T$8="Magnetosphere",POWER(Upgrades!$U$8,G7),1)*IF(Upgrades!$T$10="Magnetosphere",POWER(Upgrades!$U$10,I7),1)*IF(Upgrades!$T$11="Magnetosphere",POWER(Upgrades!$U$11,J7),1)*IF(Upgrades!$T$12="Magnetosphere",POWER(Upgrades!$U$12,K7),1))+(IF(I7=0,0,(Upgrades!$J$10+I7*Upgrades!$K$10)*POWER(Upgrades!$L$10,I7)))*(IF(Upgrades!$T$6="Orbital Resonance",POWER(Upgrades!$U$6,E7),1)*IF(Upgrades!$T$7="Orbital Resonance",POWER(Upgrades!$U$7,F7),1)*IF(Upgrades!$T$8="Orbital Resonance",POWER(Upgrades!$U$8,G7),1)*IF(Upgrades!$T$9="Orbital Resonance",POWER(Upgrades!$U$9,H7),1)*IF(Upgrades!$T$11="Orbital Resonance",POWER(Upgrades!$U$11,J7),1)*IF(Upgrades!$T$12="Orbital Resonance",POWER(Upgrades!$U$12,K7),1))+(IF(J7=0,0,(Upgrades!$J$11+J7*Upgrades!$K$11)*POWER(Upgrades!$L$11,J7)))*(IF(Upgrades!$T$6="Heliopause",POWER(Upgrades!$U$6,E7),1)*IF(Upgrades!$T$7="Heliopause",POWER(Upgrades!$U$7,F7),1)*IF(Upgrades!$T$8="Heliopause",POWER(Upgrades!$U$8,G7),1)*IF(Upgrades!$T$9="Heliopause",POWER(Upgrades!$U$9,H7),1)*IF(Upgrades!$T$10="Heliopause",POWER(Upgrades!$U$10,I7),1)*IF(Upgrades!$T$12="Heliopause",POWER(Upgrades!$U$12,K7),1))+(IF(K7=0,0,(Upgrades!$J$12+K7*Upgrades!$K$12)*POWER(Upgrades!$L$12,K7)))*(IF(Upgrades!$T$6="First Photons",POWER(Upgrades!$U$6,E7),1)*IF(Upgrades!$T$7="First Photons",POWER(Upgrades!$U$7,F7),1)*IF(Upgrades!$T$8="First Photons",POWER(Upgrades!$U$8,G7),1)*IF(Upgrades!$T$9="First Photons",POWER(Upgrades!$U$9,H7),1)*IF(Upgrades!$T$10="First Photons",POWER(Upgrades!$U$10,I7),1)*IF(Upgrades!$T$11="First Photons",POWER(Upgrades!$U$11,J7),1)))*POWER(Upgrades!$Q$6,E7)*POWER(Upgrades!$Q$7,F7)*POWER(Upgrades!$Q$8,G7)*POWER(Upgrades!$Q$9,H7)*POWER(Upgrades!$Q$10,I7)*POWER(Upgrades!$Q$11,J7)*POWER(Upgrades!$Q$12,K7)</f>
        <v>1</v>
      </c>
      <c r="N7" s="28" t="n">
        <f aca="false">((IF(E7=0,0,(Upgrades!$G$6+E7*Upgrades!$H$6)*POWER(Upgrades!$I$6,E7)))*(IF(Upgrades!$T$7="Solar Wind",POWER(Upgrades!$U$7,F7),1)*IF(Upgrades!$T$8="Solar Wind",POWER(Upgrades!$U$8,G7),1)*IF(Upgrades!$T$9="Solar Wind",POWER(Upgrades!$U$9,H7),1)*IF(Upgrades!$T$10="Solar Wind",POWER(Upgrades!$U$10,I7),1)*IF(Upgrades!$T$11="Solar Wind",POWER(Upgrades!$U$11,J7),1)*IF(Upgrades!$T$12="Solar Wind",POWER(Upgrades!$U$12,K7),1))+(IF(F7=0,0,(Upgrades!$G$7+F7*Upgrades!$H$7)*POWER(Upgrades!$I$7,F7)))*(IF(Upgrades!$T$6="Asteroid Belt",POWER(Upgrades!$U$6,E7),1)*IF(Upgrades!$T$8="Asteroid Belt",POWER(Upgrades!$U$8,G7),1)*IF(Upgrades!$T$9="Asteroid Belt",POWER(Upgrades!$U$9,H7),1)*IF(Upgrades!$T$10="Asteroid Belt",POWER(Upgrades!$U$10,I7),1)*IF(Upgrades!$T$11="Asteroid Belt",POWER(Upgrades!$U$11,J7),1)*IF(Upgrades!$T$12="Asteroid Belt",POWER(Upgrades!$U$12,K7),1))+(IF(G7=0,0,(Upgrades!$G$8+G7*Upgrades!$H$8)*POWER(Upgrades!$I$8,G7)))*(IF(Upgrades!$T$6="Stellar Coupling",POWER(Upgrades!$U$6,E7),1)*IF(Upgrades!$T$7="Stellar Coupling",POWER(Upgrades!$U$7,F7),1)*IF(Upgrades!$T$9="Stellar Coupling",POWER(Upgrades!$U$9,H7),1)*IF(Upgrades!$T$10="Stellar Coupling",POWER(Upgrades!$U$10,I7),1)*IF(Upgrades!$T$11="Stellar Coupling",POWER(Upgrades!$U$11,J7),1)*IF(Upgrades!$T$12="Stellar Coupling",POWER(Upgrades!$U$12,K7),1))+(IF(H7=0,0,(Upgrades!$G$9+H7*Upgrades!$H$9)*POWER(Upgrades!$I$9,H7)))*(IF(Upgrades!$T$6="Magnetosphere",POWER(Upgrades!$U$6,E7),1)*IF(Upgrades!$T$7="Magnetosphere",POWER(Upgrades!$U$7,F7),1)*IF(Upgrades!$T$8="Magnetosphere",POWER(Upgrades!$U$8,G7),1)*IF(Upgrades!$T$10="Magnetosphere",POWER(Upgrades!$U$10,I7),1)*IF(Upgrades!$T$11="Magnetosphere",POWER(Upgrades!$U$11,J7),1)*IF(Upgrades!$T$12="Magnetosphere",POWER(Upgrades!$U$12,K7),1))+(IF(I7=0,0,(Upgrades!$G$10+I7*Upgrades!$H$10)*POWER(Upgrades!$I$10,I7)))*(IF(Upgrades!$T$6="Orbital Resonance",POWER(Upgrades!$U$6,E7),1)*IF(Upgrades!$T$7="Orbital Resonance",POWER(Upgrades!$U$7,F7),1)*IF(Upgrades!$T$8="Orbital Resonance",POWER(Upgrades!$U$8,G7),1)*IF(Upgrades!$T$9="Orbital Resonance",POWER(Upgrades!$U$9,H7),1)*IF(Upgrades!$T$11="Orbital Resonance",POWER(Upgrades!$U$11,J7),1)*IF(Upgrades!$T$12="Orbital Resonance",POWER(Upgrades!$U$12,K7),1))+(IF(J7=0,0,(Upgrades!$G$11+J7*Upgrades!$H$11)*POWER(Upgrades!$I$11,J7)))*(IF(Upgrades!$T$6="Heliopause",POWER(Upgrades!$U$6,E7),1)*IF(Upgrades!$T$7="Heliopause",POWER(Upgrades!$U$7,F7),1)*IF(Upgrades!$T$8="Heliopause",POWER(Upgrades!$U$8,G7),1)*IF(Upgrades!$T$9="Heliopause",POWER(Upgrades!$U$9,H7),1)*IF(Upgrades!$T$10="Heliopause",POWER(Upgrades!$U$10,I7),1)*IF(Upgrades!$T$12="Heliopause",POWER(Upgrades!$U$12,K7),1))+(IF(K7=0,0,(Upgrades!$G$12+K7*Upgrades!$H$12)*POWER(Upgrades!$I$12,K7)))*(IF(Upgrades!$T$6="First Photons",POWER(Upgrades!$U$6,E7),1)*IF(Upgrades!$T$7="First Photons",POWER(Upgrades!$U$7,F7),1)*IF(Upgrades!$T$8="First Photons",POWER(Upgrades!$U$8,G7),1)*IF(Upgrades!$T$9="First Photons",POWER(Upgrades!$U$9,H7),1)*IF(Upgrades!$T$10="First Photons",POWER(Upgrades!$U$10,I7),1)*IF(Upgrades!$T$11="First Photons",POWER(Upgrades!$U$11,J7),1)))*POWER(Upgrades!$P$6,E7)*POWER(Upgrades!$P$7,F7)*POWER(Upgrades!$P$8,G7)*POWER(Upgrades!$P$9,H7)*POWER(Upgrades!$P$10,I7)*POWER(Upgrades!$P$11,J7)*POWER(Upgrades!$P$12,K7)</f>
        <v>0</v>
      </c>
      <c r="O7" s="28" t="n">
        <f aca="false">((IF(E7=0,0,(Upgrades!$M$6+E7*Upgrades!$N$6)*POWER(Upgrades!$O$6,E7)))*(IF(Upgrades!$T$7="Solar Wind",POWER(Upgrades!$U$7,F7),1)*IF(Upgrades!$T$8="Solar Wind",POWER(Upgrades!$U$8,G7),1)*IF(Upgrades!$T$9="Solar Wind",POWER(Upgrades!$U$9,H7),1)*IF(Upgrades!$T$10="Solar Wind",POWER(Upgrades!$U$10,I7),1)*IF(Upgrades!$T$11="Solar Wind",POWER(Upgrades!$U$11,J7),1)*IF(Upgrades!$T$12="Solar Wind",POWER(Upgrades!$U$12,K7),1))+(IF(F7=0,0,(Upgrades!$M$7+F7*Upgrades!$N$7)*POWER(Upgrades!$O$7,F7)))*(IF(Upgrades!$T$6="Asteroid Belt",POWER(Upgrades!$U$6,E7),1)*IF(Upgrades!$T$8="Asteroid Belt",POWER(Upgrades!$U$8,G7),1)*IF(Upgrades!$T$9="Asteroid Belt",POWER(Upgrades!$U$9,H7),1)*IF(Upgrades!$T$10="Asteroid Belt",POWER(Upgrades!$U$10,I7),1)*IF(Upgrades!$T$11="Asteroid Belt",POWER(Upgrades!$U$11,J7),1)*IF(Upgrades!$T$12="Asteroid Belt",POWER(Upgrades!$U$12,K7),1))+(IF(G7=0,0,(Upgrades!$M$8+G7*Upgrades!$N$8)*POWER(Upgrades!$O$8,G7)))*(IF(Upgrades!$T$6="Stellar Coupling",POWER(Upgrades!$U$6,E7),1)*IF(Upgrades!$T$7="Stellar Coupling",POWER(Upgrades!$U$7,F7),1)*IF(Upgrades!$T$9="Stellar Coupling",POWER(Upgrades!$U$9,H7),1)*IF(Upgrades!$T$10="Stellar Coupling",POWER(Upgrades!$U$10,I7),1)*IF(Upgrades!$T$11="Stellar Coupling",POWER(Upgrades!$U$11,J7),1)*IF(Upgrades!$T$12="Stellar Coupling",POWER(Upgrades!$U$12,K7),1))+(IF(H7=0,0,(Upgrades!$M$9+H7*Upgrades!$N$9)*POWER(Upgrades!$O$9,H7)))*(IF(Upgrades!$T$6="Magnetosphere",POWER(Upgrades!$U$6,E7),1)*IF(Upgrades!$T$7="Magnetosphere",POWER(Upgrades!$U$7,F7),1)*IF(Upgrades!$T$8="Magnetosphere",POWER(Upgrades!$U$8,G7),1)*IF(Upgrades!$T$10="Magnetosphere",POWER(Upgrades!$U$10,I7),1)*IF(Upgrades!$T$11="Magnetosphere",POWER(Upgrades!$U$11,J7),1)*IF(Upgrades!$T$12="Magnetosphere",POWER(Upgrades!$U$12,K7),1))+(IF(I7=0,0,(Upgrades!$M$10+I7*Upgrades!$N$10)*POWER(Upgrades!$O$10,I7)))*(IF(Upgrades!$T$6="Orbital Resonance",POWER(Upgrades!$U$6,E7),1)*IF(Upgrades!$T$7="Orbital Resonance",POWER(Upgrades!$U$7,F7),1)*IF(Upgrades!$T$8="Orbital Resonance",POWER(Upgrades!$U$8,G7),1)*IF(Upgrades!$T$9="Orbital Resonance",POWER(Upgrades!$U$9,H7),1)*IF(Upgrades!$T$11="Orbital Resonance",POWER(Upgrades!$U$11,J7),1)*IF(Upgrades!$T$12="Orbital Resonance",POWER(Upgrades!$U$12,K7),1))+(IF(J7=0,0,(Upgrades!$M$11+J7*Upgrades!$N$11)*POWER(Upgrades!$O$11,J7)))*(IF(Upgrades!$T$6="Heliopause",POWER(Upgrades!$U$6,E7),1)*IF(Upgrades!$T$7="Heliopause",POWER(Upgrades!$U$7,F7),1)*IF(Upgrades!$T$8="Heliopause",POWER(Upgrades!$U$8,G7),1)*IF(Upgrades!$T$9="Heliopause",POWER(Upgrades!$U$9,H7),1)*IF(Upgrades!$T$10="Heliopause",POWER(Upgrades!$U$10,I7),1)*IF(Upgrades!$T$12="Heliopause",POWER(Upgrades!$U$12,K7),1))+(IF(K7=0,0,(Upgrades!$M$12+K7*Upgrades!$N$12)*POWER(Upgrades!$O$12,K7)))*(IF(Upgrades!$T$6="First Photons",POWER(Upgrades!$U$6,E7),1)*IF(Upgrades!$T$7="First Photons",POWER(Upgrades!$U$7,F7),1)*IF(Upgrades!$T$8="First Photons",POWER(Upgrades!$U$8,G7),1)*IF(Upgrades!$T$9="First Photons",POWER(Upgrades!$U$9,H7),1)*IF(Upgrades!$T$10="First Photons",POWER(Upgrades!$U$10,I7),1)*IF(Upgrades!$T$11="First Photons",POWER(Upgrades!$U$11,J7),1)))*POWER(Upgrades!$R$6,E7)*POWER(Upgrades!$R$7,F7)*POWER(Upgrades!$R$8,G7)*POWER(Upgrades!$R$9,H7)*POWER(Upgrades!$R$10,I7)*POWER(Upgrades!$R$11,J7)*POWER(Upgrades!$R$12,K7)</f>
        <v>0</v>
      </c>
      <c r="P7" s="27" t="n">
        <f aca="false">IF(L7=1,0,M7*Parameters!$B$10/60*Parameters!$B$11*10)</f>
        <v>16.6666666666667</v>
      </c>
      <c r="Q7" s="27" t="n">
        <f aca="false">IF(L7=1,0,O7*M7*10)</f>
        <v>0</v>
      </c>
      <c r="R7" s="27" t="n">
        <f aca="false">IF(L7=1,0,N7*10)</f>
        <v>0</v>
      </c>
      <c r="S7" s="27" t="n">
        <f aca="false">P7+Q7+R7</f>
        <v>16.6666666666667</v>
      </c>
      <c r="T7" s="21" t="n">
        <f aca="false">C7+S7</f>
        <v>33.3333333333333</v>
      </c>
      <c r="U7" s="34" t="str">
        <f aca="false">AX7</f>
        <v>SC</v>
      </c>
      <c r="V7" s="21" t="n">
        <f aca="false">IF(U7="",0,IF(U7="transition",0,IF(U7="SW",AG7,IF(U7="AB",AH7,IF(U7="SC",AI7,IF(U7="Mag",AJ7,IF(U7="OR",AK7,IF(U7="HP",AL7,IF(U7="FP",AM7,0)))))))))</f>
        <v>22</v>
      </c>
      <c r="W7" s="27" t="n">
        <f aca="false">IF(U7="OR",Upgrades!$F$10,IF(U7="HP",Upgrades!$F$11,IF(U7="transition",-Parameters!$B$18,0)))</f>
        <v>0</v>
      </c>
      <c r="X7" s="21" t="n">
        <f aca="false">T7-V7</f>
        <v>11.3333333333333</v>
      </c>
      <c r="Y7" s="30" t="n">
        <f aca="false">M7*Parameters!$B$10/60*Parameters!$B$11+O7*M7+N7</f>
        <v>1.66666666666667</v>
      </c>
      <c r="Z7" s="35" t="str">
        <f aca="false">IF(U7="transition","→ Tier 2 (Stellar Neighborhood)",IF(U7="FP","First Photons — light begins, system quickens",IF(U7="HP","Heliopause acquired",IF(U7="OR","Orbital Resonance — passive multiplier active",IF(AND(AO7=1,L7=0,AN7&lt;&gt;1),"Cohesion ready (waiting on completionist upgrades)","")))))</f>
        <v/>
      </c>
      <c r="AA7" s="27" t="n">
        <f aca="false">(IF(E7=0,0,(Upgrades!$G$6+E7*Upgrades!$H$6)*POWER(Upgrades!$I$6,E7)))*(IF(Upgrades!$T$7="Solar Wind",POWER(Upgrades!$U$7,F7),1)*IF(Upgrades!$T$8="Solar Wind",POWER(Upgrades!$U$8,G7),1)*IF(Upgrades!$T$9="Solar Wind",POWER(Upgrades!$U$9,H7),1)*IF(Upgrades!$T$10="Solar Wind",POWER(Upgrades!$U$10,I7),1)*IF(Upgrades!$T$11="Solar Wind",POWER(Upgrades!$U$11,J7),1)*IF(Upgrades!$T$12="Solar Wind",POWER(Upgrades!$U$12,K7),1))*POWER(Upgrades!$P$6,E7)*POWER(Upgrades!$P$7,F7)*POWER(Upgrades!$P$8,G7)*POWER(Upgrades!$P$9,H7)*POWER(Upgrades!$P$10,I7)*POWER(Upgrades!$P$11,J7)*POWER(Upgrades!$P$12,K7)*60</f>
        <v>0</v>
      </c>
      <c r="AB7" s="27" t="n">
        <f aca="false">(IF(F7=0,0,(Upgrades!$G$7+F7*Upgrades!$H$7)*POWER(Upgrades!$I$7,F7)))*(IF(Upgrades!$T$6="Asteroid Belt",POWER(Upgrades!$U$6,E7),1)*IF(Upgrades!$T$8="Asteroid Belt",POWER(Upgrades!$U$8,G7),1)*IF(Upgrades!$T$9="Asteroid Belt",POWER(Upgrades!$U$9,H7),1)*IF(Upgrades!$T$10="Asteroid Belt",POWER(Upgrades!$U$10,I7),1)*IF(Upgrades!$T$11="Asteroid Belt",POWER(Upgrades!$U$11,J7),1)*IF(Upgrades!$T$12="Asteroid Belt",POWER(Upgrades!$U$12,K7),1))*POWER(Upgrades!$P$6,E7)*POWER(Upgrades!$P$7,F7)*POWER(Upgrades!$P$8,G7)*POWER(Upgrades!$P$9,H7)*POWER(Upgrades!$P$10,I7)*POWER(Upgrades!$P$11,J7)*POWER(Upgrades!$P$12,K7)*60</f>
        <v>0</v>
      </c>
      <c r="AC7" s="27" t="n">
        <f aca="false">(IF(G7=0,0,(Upgrades!$J$8+G7*Upgrades!$K$8)*POWER(Upgrades!$L$8,G7)))*(IF(Upgrades!$T$6="Stellar Coupling",POWER(Upgrades!$U$6,E7),1)*IF(Upgrades!$T$7="Stellar Coupling",POWER(Upgrades!$U$7,F7),1)*IF(Upgrades!$T$9="Stellar Coupling",POWER(Upgrades!$U$9,H7),1)*IF(Upgrades!$T$10="Stellar Coupling",POWER(Upgrades!$U$10,I7),1)*IF(Upgrades!$T$11="Stellar Coupling",POWER(Upgrades!$U$11,J7),1)*IF(Upgrades!$T$12="Stellar Coupling",POWER(Upgrades!$U$12,K7),1))*POWER(Upgrades!$Q$6,E7)*POWER(Upgrades!$Q$7,F7)*POWER(Upgrades!$Q$8,G7)*POWER(Upgrades!$Q$9,H7)*POWER(Upgrades!$Q$10,I7)*POWER(Upgrades!$Q$11,J7)*POWER(Upgrades!$Q$12,K7)*Parameters!$B$10*Parameters!$B$11</f>
        <v>0</v>
      </c>
      <c r="AD7" s="27" t="n">
        <f aca="false">(IF(H7=0,0,(Upgrades!$G$9+H7*Upgrades!$H$9)*POWER(Upgrades!$I$9,H7)))*(IF(Upgrades!$T$6="Magnetosphere",POWER(Upgrades!$U$6,E7),1)*IF(Upgrades!$T$7="Magnetosphere",POWER(Upgrades!$U$7,F7),1)*IF(Upgrades!$T$8="Magnetosphere",POWER(Upgrades!$U$8,G7),1)*IF(Upgrades!$T$10="Magnetosphere",POWER(Upgrades!$U$10,I7),1)*IF(Upgrades!$T$11="Magnetosphere",POWER(Upgrades!$U$11,J7),1)*IF(Upgrades!$T$12="Magnetosphere",POWER(Upgrades!$U$12,K7),1))*POWER(Upgrades!$P$6,E7)*POWER(Upgrades!$P$7,F7)*POWER(Upgrades!$P$8,G7)*POWER(Upgrades!$P$9,H7)*POWER(Upgrades!$P$10,I7)*POWER(Upgrades!$P$11,J7)*POWER(Upgrades!$P$12,K7)*60</f>
        <v>0</v>
      </c>
      <c r="AE7" s="27" t="n">
        <f aca="false">(IF(K7=0,0,(Upgrades!$G$12+K7*Upgrades!$H$12)*POWER(Upgrades!$I$12,K7)))*(IF(Upgrades!$T$6="First Photons",POWER(Upgrades!$U$6,E7),1)*IF(Upgrades!$T$7="First Photons",POWER(Upgrades!$U$7,F7),1)*IF(Upgrades!$T$8="First Photons",POWER(Upgrades!$U$8,G7),1)*IF(Upgrades!$T$9="First Photons",POWER(Upgrades!$U$9,H7),1)*IF(Upgrades!$T$10="First Photons",POWER(Upgrades!$U$10,I7),1)*IF(Upgrades!$T$11="First Photons",POWER(Upgrades!$U$11,J7),1))*POWER(Upgrades!$P$6,E7)*POWER(Upgrades!$P$7,F7)*POWER(Upgrades!$P$8,G7)*POWER(Upgrades!$P$9,H7)*POWER(Upgrades!$P$10,I7)*POWER(Upgrades!$P$11,J7)*POWER(Upgrades!$P$12,K7)*60</f>
        <v>0</v>
      </c>
      <c r="AF7" s="27" t="n">
        <f aca="false">Parameters!$B$9*POWER(Upgrades!$Q$6,E7)*POWER(Upgrades!$Q$7,F7)*POWER(Upgrades!$Q$8,G7)*POWER(Upgrades!$Q$9,H7)*POWER(Upgrades!$Q$10,I7)*POWER(Upgrades!$Q$11,J7)*POWER(Upgrades!$Q$12,K7)*(Parameters!$B$10*Parameters!$B$11+O7*60)</f>
        <v>100</v>
      </c>
      <c r="AG7" s="21" t="n">
        <f aca="false">IF(E7&gt;=Upgrades!$E$6,"",Upgrades!$C$6*POWER(Upgrades!$D$6,E7))</f>
        <v>7</v>
      </c>
      <c r="AH7" s="21" t="n">
        <f aca="false">IF(F7&gt;=Upgrades!$E$7,"",Upgrades!$C$7*POWER(Upgrades!$D$7,F7))</f>
        <v>20</v>
      </c>
      <c r="AI7" s="21" t="n">
        <f aca="false">IF(G7&gt;=Upgrades!$E$8,"",Upgrades!$C$8*POWER(Upgrades!$D$8,G7))</f>
        <v>22</v>
      </c>
      <c r="AJ7" s="21" t="n">
        <f aca="false">IF(H7&gt;=Upgrades!$E$9,"",Upgrades!$C$9*POWER(Upgrades!$D$9,H7))</f>
        <v>80</v>
      </c>
      <c r="AK7" s="21" t="n">
        <f aca="false">IF(I7&gt;=Upgrades!$E$10,"",Upgrades!$C$10*POWER(Upgrades!$D$10,I7))</f>
        <v>240</v>
      </c>
      <c r="AL7" s="21" t="n">
        <f aca="false">IF(J7&gt;=Upgrades!$E$11,"",Upgrades!$C$11*POWER(Upgrades!$D$11,J7))</f>
        <v>575</v>
      </c>
      <c r="AM7" s="21" t="n">
        <f aca="false">IF(K7&gt;=Upgrades!$E$12,"",Upgrades!$C$12*POWER(Upgrades!$D$12,K7))</f>
        <v>850</v>
      </c>
      <c r="AN7" s="26" t="str">
        <f aca="false">IF(AND(D7&gt;=Parameters!$B$18,(H7&gt;=Upgrades!$E$9)*(K7&gt;=Upgrades!$E$12)=1,L7=0),1,"")</f>
        <v/>
      </c>
      <c r="AO7" s="26" t="str">
        <f aca="false">IF(AND(D7&gt;=Parameters!$B$18,L7=0),1,"")</f>
        <v/>
      </c>
      <c r="AP7" s="21" t="n">
        <f aca="false">MIN(IF(ISNUMBER(AK7),AK7,9000000000000000),IF(ISNUMBER(AL7),AL7,9000000000000000),IF(ISNUMBER(AM7),AM7,9000000000000000))</f>
        <v>240</v>
      </c>
      <c r="AQ7" s="21" t="n">
        <f aca="false">MIN(IF(ISNUMBER(AG7),AG7,9000000000000000),IF(ISNUMBER(AH7),AH7,9000000000000000),IF(ISNUMBER(AI7),AI7,9000000000000000),IF(ISNUMBER(AJ7),AJ7,9000000000000000))</f>
        <v>7</v>
      </c>
      <c r="AR7" s="32" t="b">
        <f aca="false">IF(AW7&gt;Parameters!$B$21*(MAX(IF(AND(NOT(AND(AO7=1,AN7&lt;&gt;1)),ISNUMBER(AG7),AG7&lt;=T7),AS7,0),IF(AND(NOT(AND(AO7=1,AN7&lt;&gt;1)),ISNUMBER(AH7),AH7&lt;=T7),AT7,0),IF(AND(NOT(AND(AO7=1,AN7&lt;&gt;1)),ISNUMBER(AI7),AI7&lt;=T7),AU7,0),IF(AND(ISNUMBER(AJ7),AJ7&lt;=T7),AV7,0))),TRUE(),FALSE())</f>
        <v>0</v>
      </c>
      <c r="AS7" s="33" t="n">
        <f aca="false">IFERROR(Upgrades!$H$6*(POWER(Upgrades!$P$6,E7)*POWER(Upgrades!$P$7,F7)*POWER(Upgrades!$P$8,G7)*POWER(Upgrades!$P$9,H7)*POWER(Upgrades!$P$10,I7)*POWER(Upgrades!$P$11,J7)*POWER(Upgrades!$P$12,K7))*(IF(Upgrades!$T$7="Solar Wind",POWER(Upgrades!$U$7,F7),1)*IF(Upgrades!$T$8="Solar Wind",POWER(Upgrades!$U$8,G7),1)*IF(Upgrades!$T$9="Solar Wind",POWER(Upgrades!$U$9,H7),1)*IF(Upgrades!$T$10="Solar Wind",POWER(Upgrades!$U$10,I7),1)*IF(Upgrades!$T$11="Solar Wind",POWER(Upgrades!$U$11,J7),1)*IF(Upgrades!$T$12="Solar Wind",POWER(Upgrades!$U$12,K7),1))/AG7,0)</f>
        <v>0.0114285714285714</v>
      </c>
      <c r="AT7" s="33" t="n">
        <f aca="false">IFERROR(Upgrades!$H$7*(POWER(Upgrades!$P$6,E7)*POWER(Upgrades!$P$7,F7)*POWER(Upgrades!$P$8,G7)*POWER(Upgrades!$P$9,H7)*POWER(Upgrades!$P$10,I7)*POWER(Upgrades!$P$11,J7)*POWER(Upgrades!$P$12,K7))*(IF(Upgrades!$T$6="Asteroid Belt",POWER(Upgrades!$U$6,E7),1)*IF(Upgrades!$T$8="Asteroid Belt",POWER(Upgrades!$U$8,G7),1)*IF(Upgrades!$T$9="Asteroid Belt",POWER(Upgrades!$U$9,H7),1)*IF(Upgrades!$T$10="Asteroid Belt",POWER(Upgrades!$U$10,I7),1)*IF(Upgrades!$T$11="Asteroid Belt",POWER(Upgrades!$U$11,J7),1)*IF(Upgrades!$T$12="Asteroid Belt",POWER(Upgrades!$U$12,K7),1))/AH7,0)</f>
        <v>0.01</v>
      </c>
      <c r="AU7" s="33" t="n">
        <f aca="false">IFERROR(Upgrades!$K$8*(POWER(Upgrades!$Q$6,E7)*POWER(Upgrades!$Q$7,F7)*POWER(Upgrades!$Q$8,G7)*POWER(Upgrades!$Q$9,H7)*POWER(Upgrades!$Q$10,I7)*POWER(Upgrades!$Q$11,J7)*POWER(Upgrades!$Q$12,K7))*(IF(Upgrades!$T$6="Stellar Coupling",POWER(Upgrades!$U$6,E7),1)*IF(Upgrades!$T$7="Stellar Coupling",POWER(Upgrades!$U$7,F7),1)*IF(Upgrades!$T$9="Stellar Coupling",POWER(Upgrades!$U$9,H7),1)*IF(Upgrades!$T$10="Stellar Coupling",POWER(Upgrades!$U$10,I7),1)*IF(Upgrades!$T$11="Stellar Coupling",POWER(Upgrades!$U$11,J7),1)*IF(Upgrades!$T$12="Stellar Coupling",POWER(Upgrades!$U$12,K7),1))*Parameters!$B$10*Parameters!$B$11/60/AI7,0)</f>
        <v>0.0265151515151515</v>
      </c>
      <c r="AV7" s="33" t="n">
        <f aca="false">IFERROR(Upgrades!$H$9*(POWER(Upgrades!$P$6,E7)*POWER(Upgrades!$P$7,F7)*POWER(Upgrades!$P$8,G7)*POWER(Upgrades!$P$9,H7)*POWER(Upgrades!$P$10,I7)*POWER(Upgrades!$P$11,J7)*POWER(Upgrades!$P$12,K7))*(IF(Upgrades!$T$6="Magnetosphere",POWER(Upgrades!$U$6,E7),1)*IF(Upgrades!$T$7="Magnetosphere",POWER(Upgrades!$U$7,F7),1)*IF(Upgrades!$T$8="Magnetosphere",POWER(Upgrades!$U$8,G7),1)*IF(Upgrades!$T$10="Magnetosphere",POWER(Upgrades!$U$10,I7),1)*IF(Upgrades!$T$11="Magnetosphere",POWER(Upgrades!$U$11,J7),1)*IF(Upgrades!$T$12="Magnetosphere",POWER(Upgrades!$U$12,K7),1))/AJ7,0)</f>
        <v>0.0125</v>
      </c>
      <c r="AW7" s="33" t="n">
        <f aca="false">MAX(IF(I7&gt;0,0,IFERROR(0.25*N7/Upgrades!$C$10,0)),IF(J7&gt;0,0,IFERROR(0.5*((IF(G7=0,0,(Upgrades!$J$8+G7*Upgrades!$K$8)*POWER(Upgrades!$L$8,G7)))*(IF(Upgrades!$T$6="Stellar Coupling",POWER(Upgrades!$U$6,E7),1)*IF(Upgrades!$T$7="Stellar Coupling",POWER(Upgrades!$U$7,F7),1)*IF(Upgrades!$T$9="Stellar Coupling",POWER(Upgrades!$U$9,H7),1)*IF(Upgrades!$T$10="Stellar Coupling",POWER(Upgrades!$U$10,I7),1)*IF(Upgrades!$T$11="Stellar Coupling",POWER(Upgrades!$U$11,J7),1)*IF(Upgrades!$T$12="Stellar Coupling",POWER(Upgrades!$U$12,K7),1))*(POWER(Upgrades!$Q$6,E7)*POWER(Upgrades!$Q$7,F7)*POWER(Upgrades!$Q$8,G7)*POWER(Upgrades!$Q$9,H7)*POWER(Upgrades!$Q$10,I7)*POWER(Upgrades!$Q$11,J7)*POWER(Upgrades!$Q$12,K7))*Parameters!$B$10*Parameters!$B$11/60)/Upgrades!$C$11,0)),IF(K7&gt;0,0,IFERROR((1*(POWER(Upgrades!$P$6,E7)*POWER(Upgrades!$P$7,F7)*POWER(Upgrades!$P$8,G7)*POWER(Upgrades!$P$9,H7)*POWER(Upgrades!$P$10,I7)*POWER(Upgrades!$P$11,J7)*POWER(Upgrades!$P$12,K7))+0.2*M7*Parameters!$B$10*Parameters!$B$11/60)/Upgrades!$C$12,0)),IF(AND(ISNUMBER(AG7),AG7&gt;T7),AS7,0),IF(AND(ISNUMBER(AH7),AH7&gt;T7),AT7,0),IF(AND(ISNUMBER(AI7),AI7&gt;T7),AU7,0),IF(AND(ISNUMBER(AJ7),AJ7&gt;T7),AV7,0))</f>
        <v>0.0125</v>
      </c>
      <c r="AX7" s="29" t="str">
        <f aca="false">IF(AN7=1,"transition",IF(MIN(IF(AND(I7=0,ISNUMBER(AK7),AK7&lt;=T7),AK7,9000000000000000),IF(AND(J7=0,ISNUMBER(AL7),AL7&lt;=T7),AL7,9000000000000000),IF(AND(K7=0,ISNUMBER(AM7),AM7&lt;=T7),AM7,9000000000000000))&lt;9000000000000000,IF(AND(AND(I7=0,ISNUMBER(AK7),AK7&lt;=T7),AK7=MIN(IF(AND(I7=0,ISNUMBER(AK7),AK7&lt;=T7),AK7,9000000000000000),IF(AND(J7=0,ISNUMBER(AL7),AL7&lt;=T7),AL7,9000000000000000),IF(AND(K7=0,ISNUMBER(AM7),AM7&lt;=T7),AM7,9000000000000000))),"OR",IF(AND(AND(J7=0,ISNUMBER(AL7),AL7&lt;=T7),AL7=MIN(IF(AND(I7=0,ISNUMBER(AK7),AK7&lt;=T7),AK7,9000000000000000),IF(AND(J7=0,ISNUMBER(AL7),AL7&lt;=T7),AL7,9000000000000000),IF(AND(K7=0,ISNUMBER(AM7),AM7&lt;=T7),AM7,9000000000000000))),"HP","FP")),IF(AR7=TRUE(),"",IF(MAX(IF(AND(NOT(AND(AO7=1,AN7&lt;&gt;1)),ISNUMBER(AG7),AG7&lt;=T7),AS7,0),IF(AND(NOT(AND(AO7=1,AN7&lt;&gt;1)),ISNUMBER(AH7),AH7&lt;=T7),AT7,0),IF(AND(NOT(AND(AO7=1,AN7&lt;&gt;1)),ISNUMBER(AI7),AI7&lt;=T7),AU7,0),IF(AND(ISNUMBER(AJ7),AJ7&lt;=T7),AV7,0))&lt;=0,"",IF(AND(IF(AND(NOT(AND(AO7=1,AN7&lt;&gt;1)),ISNUMBER(AG7),AG7&lt;=T7),AS7,0)&gt;0,IF(AND(NOT(AND(AO7=1,AN7&lt;&gt;1)),ISNUMBER(AG7),AG7&lt;=T7),AS7,0)=MAX(IF(AND(NOT(AND(AO7=1,AN7&lt;&gt;1)),ISNUMBER(AG7),AG7&lt;=T7),AS7,0),IF(AND(NOT(AND(AO7=1,AN7&lt;&gt;1)),ISNUMBER(AH7),AH7&lt;=T7),AT7,0),IF(AND(NOT(AND(AO7=1,AN7&lt;&gt;1)),ISNUMBER(AI7),AI7&lt;=T7),AU7,0),IF(AND(ISNUMBER(AJ7),AJ7&lt;=T7),AV7,0))),"SW",IF(AND(IF(AND(NOT(AND(AO7=1,AN7&lt;&gt;1)),ISNUMBER(AH7),AH7&lt;=T7),AT7,0)&gt;0,IF(AND(NOT(AND(AO7=1,AN7&lt;&gt;1)),ISNUMBER(AH7),AH7&lt;=T7),AT7,0)=MAX(IF(AND(NOT(AND(AO7=1,AN7&lt;&gt;1)),ISNUMBER(AG7),AG7&lt;=T7),AS7,0),IF(AND(NOT(AND(AO7=1,AN7&lt;&gt;1)),ISNUMBER(AH7),AH7&lt;=T7),AT7,0),IF(AND(NOT(AND(AO7=1,AN7&lt;&gt;1)),ISNUMBER(AI7),AI7&lt;=T7),AU7,0),IF(AND(ISNUMBER(AJ7),AJ7&lt;=T7),AV7,0))),"AB",IF(AND(IF(AND(NOT(AND(AO7=1,AN7&lt;&gt;1)),ISNUMBER(AI7),AI7&lt;=T7),AU7,0)&gt;0,IF(AND(NOT(AND(AO7=1,AN7&lt;&gt;1)),ISNUMBER(AI7),AI7&lt;=T7),AU7,0)=MAX(IF(AND(NOT(AND(AO7=1,AN7&lt;&gt;1)),ISNUMBER(AG7),AG7&lt;=T7),AS7,0),IF(AND(NOT(AND(AO7=1,AN7&lt;&gt;1)),ISNUMBER(AH7),AH7&lt;=T7),AT7,0),IF(AND(NOT(AND(AO7=1,AN7&lt;&gt;1)),ISNUMBER(AI7),AI7&lt;=T7),AU7,0),IF(AND(ISNUMBER(AJ7),AJ7&lt;=T7),AV7,0))),"SC","Mag")))))))</f>
        <v>SC</v>
      </c>
    </row>
    <row r="8" customFormat="false" ht="15" hidden="false" customHeight="false" outlineLevel="0" collapsed="false">
      <c r="A8" s="26" t="n">
        <v>3</v>
      </c>
      <c r="B8" s="27" t="n">
        <f aca="false">A8*10/60</f>
        <v>0.5</v>
      </c>
      <c r="C8" s="21" t="n">
        <f aca="false">X7</f>
        <v>11.3333333333333</v>
      </c>
      <c r="D8" s="27" t="n">
        <f aca="false">D7+W7</f>
        <v>0</v>
      </c>
      <c r="E8" s="26" t="n">
        <f aca="false">E7+IF(U7="SW",1,0)</f>
        <v>0</v>
      </c>
      <c r="F8" s="26" t="n">
        <f aca="false">F7+IF(U7="AB",1,0)</f>
        <v>0</v>
      </c>
      <c r="G8" s="26" t="n">
        <f aca="false">G7+IF(U7="SC",1,0)</f>
        <v>1</v>
      </c>
      <c r="H8" s="26" t="n">
        <f aca="false">H7+IF(U7="Mag",1,0)</f>
        <v>0</v>
      </c>
      <c r="I8" s="26" t="n">
        <f aca="false">MAX(I7,IF(U7="OR",1,0))</f>
        <v>0</v>
      </c>
      <c r="J8" s="26" t="n">
        <f aca="false">MAX(J7,IF(U7="HP",1,0))</f>
        <v>0</v>
      </c>
      <c r="K8" s="26" t="n">
        <f aca="false">MAX(K7,IF(U7="FP",1,0))</f>
        <v>0</v>
      </c>
      <c r="L8" s="26" t="n">
        <f aca="false">MAX(L7,IF(U7="transition",1,0))</f>
        <v>0</v>
      </c>
      <c r="M8" s="28" t="n">
        <f aca="false">(Parameters!$B$9+(IF(E8=0,0,(Upgrades!$J$6+E8*Upgrades!$K$6)*POWER(Upgrades!$L$6,E8)))*(IF(Upgrades!$T$7="Solar Wind",POWER(Upgrades!$U$7,F8),1)*IF(Upgrades!$T$8="Solar Wind",POWER(Upgrades!$U$8,G8),1)*IF(Upgrades!$T$9="Solar Wind",POWER(Upgrades!$U$9,H8),1)*IF(Upgrades!$T$10="Solar Wind",POWER(Upgrades!$U$10,I8),1)*IF(Upgrades!$T$11="Solar Wind",POWER(Upgrades!$U$11,J8),1)*IF(Upgrades!$T$12="Solar Wind",POWER(Upgrades!$U$12,K8),1))+(IF(F8=0,0,(Upgrades!$J$7+F8*Upgrades!$K$7)*POWER(Upgrades!$L$7,F8)))*(IF(Upgrades!$T$6="Asteroid Belt",POWER(Upgrades!$U$6,E8),1)*IF(Upgrades!$T$8="Asteroid Belt",POWER(Upgrades!$U$8,G8),1)*IF(Upgrades!$T$9="Asteroid Belt",POWER(Upgrades!$U$9,H8),1)*IF(Upgrades!$T$10="Asteroid Belt",POWER(Upgrades!$U$10,I8),1)*IF(Upgrades!$T$11="Asteroid Belt",POWER(Upgrades!$U$11,J8),1)*IF(Upgrades!$T$12="Asteroid Belt",POWER(Upgrades!$U$12,K8),1))+(IF(G8=0,0,(Upgrades!$J$8+G8*Upgrades!$K$8)*POWER(Upgrades!$L$8,G8)))*(IF(Upgrades!$T$6="Stellar Coupling",POWER(Upgrades!$U$6,E8),1)*IF(Upgrades!$T$7="Stellar Coupling",POWER(Upgrades!$U$7,F8),1)*IF(Upgrades!$T$9="Stellar Coupling",POWER(Upgrades!$U$9,H8),1)*IF(Upgrades!$T$10="Stellar Coupling",POWER(Upgrades!$U$10,I8),1)*IF(Upgrades!$T$11="Stellar Coupling",POWER(Upgrades!$U$11,J8),1)*IF(Upgrades!$T$12="Stellar Coupling",POWER(Upgrades!$U$12,K8),1))+(IF(H8=0,0,(Upgrades!$J$9+H8*Upgrades!$K$9)*POWER(Upgrades!$L$9,H8)))*(IF(Upgrades!$T$6="Magnetosphere",POWER(Upgrades!$U$6,E8),1)*IF(Upgrades!$T$7="Magnetosphere",POWER(Upgrades!$U$7,F8),1)*IF(Upgrades!$T$8="Magnetosphere",POWER(Upgrades!$U$8,G8),1)*IF(Upgrades!$T$10="Magnetosphere",POWER(Upgrades!$U$10,I8),1)*IF(Upgrades!$T$11="Magnetosphere",POWER(Upgrades!$U$11,J8),1)*IF(Upgrades!$T$12="Magnetosphere",POWER(Upgrades!$U$12,K8),1))+(IF(I8=0,0,(Upgrades!$J$10+I8*Upgrades!$K$10)*POWER(Upgrades!$L$10,I8)))*(IF(Upgrades!$T$6="Orbital Resonance",POWER(Upgrades!$U$6,E8),1)*IF(Upgrades!$T$7="Orbital Resonance",POWER(Upgrades!$U$7,F8),1)*IF(Upgrades!$T$8="Orbital Resonance",POWER(Upgrades!$U$8,G8),1)*IF(Upgrades!$T$9="Orbital Resonance",POWER(Upgrades!$U$9,H8),1)*IF(Upgrades!$T$11="Orbital Resonance",POWER(Upgrades!$U$11,J8),1)*IF(Upgrades!$T$12="Orbital Resonance",POWER(Upgrades!$U$12,K8),1))+(IF(J8=0,0,(Upgrades!$J$11+J8*Upgrades!$K$11)*POWER(Upgrades!$L$11,J8)))*(IF(Upgrades!$T$6="Heliopause",POWER(Upgrades!$U$6,E8),1)*IF(Upgrades!$T$7="Heliopause",POWER(Upgrades!$U$7,F8),1)*IF(Upgrades!$T$8="Heliopause",POWER(Upgrades!$U$8,G8),1)*IF(Upgrades!$T$9="Heliopause",POWER(Upgrades!$U$9,H8),1)*IF(Upgrades!$T$10="Heliopause",POWER(Upgrades!$U$10,I8),1)*IF(Upgrades!$T$12="Heliopause",POWER(Upgrades!$U$12,K8),1))+(IF(K8=0,0,(Upgrades!$J$12+K8*Upgrades!$K$12)*POWER(Upgrades!$L$12,K8)))*(IF(Upgrades!$T$6="First Photons",POWER(Upgrades!$U$6,E8),1)*IF(Upgrades!$T$7="First Photons",POWER(Upgrades!$U$7,F8),1)*IF(Upgrades!$T$8="First Photons",POWER(Upgrades!$U$8,G8),1)*IF(Upgrades!$T$9="First Photons",POWER(Upgrades!$U$9,H8),1)*IF(Upgrades!$T$10="First Photons",POWER(Upgrades!$U$10,I8),1)*IF(Upgrades!$T$11="First Photons",POWER(Upgrades!$U$11,J8),1)))*POWER(Upgrades!$Q$6,E8)*POWER(Upgrades!$Q$7,F8)*POWER(Upgrades!$Q$8,G8)*POWER(Upgrades!$Q$9,H8)*POWER(Upgrades!$Q$10,I8)*POWER(Upgrades!$Q$11,J8)*POWER(Upgrades!$Q$12,K8)</f>
        <v>1.35</v>
      </c>
      <c r="N8" s="28" t="n">
        <f aca="false">((IF(E8=0,0,(Upgrades!$G$6+E8*Upgrades!$H$6)*POWER(Upgrades!$I$6,E8)))*(IF(Upgrades!$T$7="Solar Wind",POWER(Upgrades!$U$7,F8),1)*IF(Upgrades!$T$8="Solar Wind",POWER(Upgrades!$U$8,G8),1)*IF(Upgrades!$T$9="Solar Wind",POWER(Upgrades!$U$9,H8),1)*IF(Upgrades!$T$10="Solar Wind",POWER(Upgrades!$U$10,I8),1)*IF(Upgrades!$T$11="Solar Wind",POWER(Upgrades!$U$11,J8),1)*IF(Upgrades!$T$12="Solar Wind",POWER(Upgrades!$U$12,K8),1))+(IF(F8=0,0,(Upgrades!$G$7+F8*Upgrades!$H$7)*POWER(Upgrades!$I$7,F8)))*(IF(Upgrades!$T$6="Asteroid Belt",POWER(Upgrades!$U$6,E8),1)*IF(Upgrades!$T$8="Asteroid Belt",POWER(Upgrades!$U$8,G8),1)*IF(Upgrades!$T$9="Asteroid Belt",POWER(Upgrades!$U$9,H8),1)*IF(Upgrades!$T$10="Asteroid Belt",POWER(Upgrades!$U$10,I8),1)*IF(Upgrades!$T$11="Asteroid Belt",POWER(Upgrades!$U$11,J8),1)*IF(Upgrades!$T$12="Asteroid Belt",POWER(Upgrades!$U$12,K8),1))+(IF(G8=0,0,(Upgrades!$G$8+G8*Upgrades!$H$8)*POWER(Upgrades!$I$8,G8)))*(IF(Upgrades!$T$6="Stellar Coupling",POWER(Upgrades!$U$6,E8),1)*IF(Upgrades!$T$7="Stellar Coupling",POWER(Upgrades!$U$7,F8),1)*IF(Upgrades!$T$9="Stellar Coupling",POWER(Upgrades!$U$9,H8),1)*IF(Upgrades!$T$10="Stellar Coupling",POWER(Upgrades!$U$10,I8),1)*IF(Upgrades!$T$11="Stellar Coupling",POWER(Upgrades!$U$11,J8),1)*IF(Upgrades!$T$12="Stellar Coupling",POWER(Upgrades!$U$12,K8),1))+(IF(H8=0,0,(Upgrades!$G$9+H8*Upgrades!$H$9)*POWER(Upgrades!$I$9,H8)))*(IF(Upgrades!$T$6="Magnetosphere",POWER(Upgrades!$U$6,E8),1)*IF(Upgrades!$T$7="Magnetosphere",POWER(Upgrades!$U$7,F8),1)*IF(Upgrades!$T$8="Magnetosphere",POWER(Upgrades!$U$8,G8),1)*IF(Upgrades!$T$10="Magnetosphere",POWER(Upgrades!$U$10,I8),1)*IF(Upgrades!$T$11="Magnetosphere",POWER(Upgrades!$U$11,J8),1)*IF(Upgrades!$T$12="Magnetosphere",POWER(Upgrades!$U$12,K8),1))+(IF(I8=0,0,(Upgrades!$G$10+I8*Upgrades!$H$10)*POWER(Upgrades!$I$10,I8)))*(IF(Upgrades!$T$6="Orbital Resonance",POWER(Upgrades!$U$6,E8),1)*IF(Upgrades!$T$7="Orbital Resonance",POWER(Upgrades!$U$7,F8),1)*IF(Upgrades!$T$8="Orbital Resonance",POWER(Upgrades!$U$8,G8),1)*IF(Upgrades!$T$9="Orbital Resonance",POWER(Upgrades!$U$9,H8),1)*IF(Upgrades!$T$11="Orbital Resonance",POWER(Upgrades!$U$11,J8),1)*IF(Upgrades!$T$12="Orbital Resonance",POWER(Upgrades!$U$12,K8),1))+(IF(J8=0,0,(Upgrades!$G$11+J8*Upgrades!$H$11)*POWER(Upgrades!$I$11,J8)))*(IF(Upgrades!$T$6="Heliopause",POWER(Upgrades!$U$6,E8),1)*IF(Upgrades!$T$7="Heliopause",POWER(Upgrades!$U$7,F8),1)*IF(Upgrades!$T$8="Heliopause",POWER(Upgrades!$U$8,G8),1)*IF(Upgrades!$T$9="Heliopause",POWER(Upgrades!$U$9,H8),1)*IF(Upgrades!$T$10="Heliopause",POWER(Upgrades!$U$10,I8),1)*IF(Upgrades!$T$12="Heliopause",POWER(Upgrades!$U$12,K8),1))+(IF(K8=0,0,(Upgrades!$G$12+K8*Upgrades!$H$12)*POWER(Upgrades!$I$12,K8)))*(IF(Upgrades!$T$6="First Photons",POWER(Upgrades!$U$6,E8),1)*IF(Upgrades!$T$7="First Photons",POWER(Upgrades!$U$7,F8),1)*IF(Upgrades!$T$8="First Photons",POWER(Upgrades!$U$8,G8),1)*IF(Upgrades!$T$9="First Photons",POWER(Upgrades!$U$9,H8),1)*IF(Upgrades!$T$10="First Photons",POWER(Upgrades!$U$10,I8),1)*IF(Upgrades!$T$11="First Photons",POWER(Upgrades!$U$11,J8),1)))*POWER(Upgrades!$P$6,E8)*POWER(Upgrades!$P$7,F8)*POWER(Upgrades!$P$8,G8)*POWER(Upgrades!$P$9,H8)*POWER(Upgrades!$P$10,I8)*POWER(Upgrades!$P$11,J8)*POWER(Upgrades!$P$12,K8)</f>
        <v>0</v>
      </c>
      <c r="O8" s="28" t="n">
        <f aca="false">((IF(E8=0,0,(Upgrades!$M$6+E8*Upgrades!$N$6)*POWER(Upgrades!$O$6,E8)))*(IF(Upgrades!$T$7="Solar Wind",POWER(Upgrades!$U$7,F8),1)*IF(Upgrades!$T$8="Solar Wind",POWER(Upgrades!$U$8,G8),1)*IF(Upgrades!$T$9="Solar Wind",POWER(Upgrades!$U$9,H8),1)*IF(Upgrades!$T$10="Solar Wind",POWER(Upgrades!$U$10,I8),1)*IF(Upgrades!$T$11="Solar Wind",POWER(Upgrades!$U$11,J8),1)*IF(Upgrades!$T$12="Solar Wind",POWER(Upgrades!$U$12,K8),1))+(IF(F8=0,0,(Upgrades!$M$7+F8*Upgrades!$N$7)*POWER(Upgrades!$O$7,F8)))*(IF(Upgrades!$T$6="Asteroid Belt",POWER(Upgrades!$U$6,E8),1)*IF(Upgrades!$T$8="Asteroid Belt",POWER(Upgrades!$U$8,G8),1)*IF(Upgrades!$T$9="Asteroid Belt",POWER(Upgrades!$U$9,H8),1)*IF(Upgrades!$T$10="Asteroid Belt",POWER(Upgrades!$U$10,I8),1)*IF(Upgrades!$T$11="Asteroid Belt",POWER(Upgrades!$U$11,J8),1)*IF(Upgrades!$T$12="Asteroid Belt",POWER(Upgrades!$U$12,K8),1))+(IF(G8=0,0,(Upgrades!$M$8+G8*Upgrades!$N$8)*POWER(Upgrades!$O$8,G8)))*(IF(Upgrades!$T$6="Stellar Coupling",POWER(Upgrades!$U$6,E8),1)*IF(Upgrades!$T$7="Stellar Coupling",POWER(Upgrades!$U$7,F8),1)*IF(Upgrades!$T$9="Stellar Coupling",POWER(Upgrades!$U$9,H8),1)*IF(Upgrades!$T$10="Stellar Coupling",POWER(Upgrades!$U$10,I8),1)*IF(Upgrades!$T$11="Stellar Coupling",POWER(Upgrades!$U$11,J8),1)*IF(Upgrades!$T$12="Stellar Coupling",POWER(Upgrades!$U$12,K8),1))+(IF(H8=0,0,(Upgrades!$M$9+H8*Upgrades!$N$9)*POWER(Upgrades!$O$9,H8)))*(IF(Upgrades!$T$6="Magnetosphere",POWER(Upgrades!$U$6,E8),1)*IF(Upgrades!$T$7="Magnetosphere",POWER(Upgrades!$U$7,F8),1)*IF(Upgrades!$T$8="Magnetosphere",POWER(Upgrades!$U$8,G8),1)*IF(Upgrades!$T$10="Magnetosphere",POWER(Upgrades!$U$10,I8),1)*IF(Upgrades!$T$11="Magnetosphere",POWER(Upgrades!$U$11,J8),1)*IF(Upgrades!$T$12="Magnetosphere",POWER(Upgrades!$U$12,K8),1))+(IF(I8=0,0,(Upgrades!$M$10+I8*Upgrades!$N$10)*POWER(Upgrades!$O$10,I8)))*(IF(Upgrades!$T$6="Orbital Resonance",POWER(Upgrades!$U$6,E8),1)*IF(Upgrades!$T$7="Orbital Resonance",POWER(Upgrades!$U$7,F8),1)*IF(Upgrades!$T$8="Orbital Resonance",POWER(Upgrades!$U$8,G8),1)*IF(Upgrades!$T$9="Orbital Resonance",POWER(Upgrades!$U$9,H8),1)*IF(Upgrades!$T$11="Orbital Resonance",POWER(Upgrades!$U$11,J8),1)*IF(Upgrades!$T$12="Orbital Resonance",POWER(Upgrades!$U$12,K8),1))+(IF(J8=0,0,(Upgrades!$M$11+J8*Upgrades!$N$11)*POWER(Upgrades!$O$11,J8)))*(IF(Upgrades!$T$6="Heliopause",POWER(Upgrades!$U$6,E8),1)*IF(Upgrades!$T$7="Heliopause",POWER(Upgrades!$U$7,F8),1)*IF(Upgrades!$T$8="Heliopause",POWER(Upgrades!$U$8,G8),1)*IF(Upgrades!$T$9="Heliopause",POWER(Upgrades!$U$9,H8),1)*IF(Upgrades!$T$10="Heliopause",POWER(Upgrades!$U$10,I8),1)*IF(Upgrades!$T$12="Heliopause",POWER(Upgrades!$U$12,K8),1))+(IF(K8=0,0,(Upgrades!$M$12+K8*Upgrades!$N$12)*POWER(Upgrades!$O$12,K8)))*(IF(Upgrades!$T$6="First Photons",POWER(Upgrades!$U$6,E8),1)*IF(Upgrades!$T$7="First Photons",POWER(Upgrades!$U$7,F8),1)*IF(Upgrades!$T$8="First Photons",POWER(Upgrades!$U$8,G8),1)*IF(Upgrades!$T$9="First Photons",POWER(Upgrades!$U$9,H8),1)*IF(Upgrades!$T$10="First Photons",POWER(Upgrades!$U$10,I8),1)*IF(Upgrades!$T$11="First Photons",POWER(Upgrades!$U$11,J8),1)))*POWER(Upgrades!$R$6,E8)*POWER(Upgrades!$R$7,F8)*POWER(Upgrades!$R$8,G8)*POWER(Upgrades!$R$9,H8)*POWER(Upgrades!$R$10,I8)*POWER(Upgrades!$R$11,J8)*POWER(Upgrades!$R$12,K8)</f>
        <v>0</v>
      </c>
      <c r="P8" s="27" t="n">
        <f aca="false">IF(L8=1,0,M8*Parameters!$B$10/60*Parameters!$B$11*10)</f>
        <v>22.5</v>
      </c>
      <c r="Q8" s="27" t="n">
        <f aca="false">IF(L8=1,0,O8*M8*10)</f>
        <v>0</v>
      </c>
      <c r="R8" s="27" t="n">
        <f aca="false">IF(L8=1,0,N8*10)</f>
        <v>0</v>
      </c>
      <c r="S8" s="27" t="n">
        <f aca="false">P8+Q8+R8</f>
        <v>22.5</v>
      </c>
      <c r="T8" s="21" t="n">
        <f aca="false">C8+S8</f>
        <v>33.8333333333333</v>
      </c>
      <c r="U8" s="34" t="str">
        <f aca="false">AX8</f>
        <v>SC</v>
      </c>
      <c r="V8" s="21" t="n">
        <f aca="false">IF(U8="",0,IF(U8="transition",0,IF(U8="SW",AG8,IF(U8="AB",AH8,IF(U8="SC",AI8,IF(U8="Mag",AJ8,IF(U8="OR",AK8,IF(U8="HP",AL8,IF(U8="FP",AM8,0)))))))))</f>
        <v>30.8</v>
      </c>
      <c r="W8" s="27" t="n">
        <f aca="false">IF(U8="OR",Upgrades!$F$10,IF(U8="HP",Upgrades!$F$11,IF(U8="transition",-Parameters!$B$18,0)))</f>
        <v>0</v>
      </c>
      <c r="X8" s="21" t="n">
        <f aca="false">T8-V8</f>
        <v>3.03333333333334</v>
      </c>
      <c r="Y8" s="30" t="n">
        <f aca="false">M8*Parameters!$B$10/60*Parameters!$B$11+O8*M8+N8</f>
        <v>2.25</v>
      </c>
      <c r="Z8" s="35" t="str">
        <f aca="false">IF(U8="transition","→ Tier 2 (Stellar Neighborhood)",IF(U8="FP","First Photons — light begins, system quickens",IF(U8="HP","Heliopause acquired",IF(U8="OR","Orbital Resonance — passive multiplier active",IF(AND(AO8=1,L8=0,AN8&lt;&gt;1),"Cohesion ready (waiting on completionist upgrades)","")))))</f>
        <v/>
      </c>
      <c r="AA8" s="27" t="n">
        <f aca="false">(IF(E8=0,0,(Upgrades!$G$6+E8*Upgrades!$H$6)*POWER(Upgrades!$I$6,E8)))*(IF(Upgrades!$T$7="Solar Wind",POWER(Upgrades!$U$7,F8),1)*IF(Upgrades!$T$8="Solar Wind",POWER(Upgrades!$U$8,G8),1)*IF(Upgrades!$T$9="Solar Wind",POWER(Upgrades!$U$9,H8),1)*IF(Upgrades!$T$10="Solar Wind",POWER(Upgrades!$U$10,I8),1)*IF(Upgrades!$T$11="Solar Wind",POWER(Upgrades!$U$11,J8),1)*IF(Upgrades!$T$12="Solar Wind",POWER(Upgrades!$U$12,K8),1))*POWER(Upgrades!$P$6,E8)*POWER(Upgrades!$P$7,F8)*POWER(Upgrades!$P$8,G8)*POWER(Upgrades!$P$9,H8)*POWER(Upgrades!$P$10,I8)*POWER(Upgrades!$P$11,J8)*POWER(Upgrades!$P$12,K8)*60</f>
        <v>0</v>
      </c>
      <c r="AB8" s="27" t="n">
        <f aca="false">(IF(F8=0,0,(Upgrades!$G$7+F8*Upgrades!$H$7)*POWER(Upgrades!$I$7,F8)))*(IF(Upgrades!$T$6="Asteroid Belt",POWER(Upgrades!$U$6,E8),1)*IF(Upgrades!$T$8="Asteroid Belt",POWER(Upgrades!$U$8,G8),1)*IF(Upgrades!$T$9="Asteroid Belt",POWER(Upgrades!$U$9,H8),1)*IF(Upgrades!$T$10="Asteroid Belt",POWER(Upgrades!$U$10,I8),1)*IF(Upgrades!$T$11="Asteroid Belt",POWER(Upgrades!$U$11,J8),1)*IF(Upgrades!$T$12="Asteroid Belt",POWER(Upgrades!$U$12,K8),1))*POWER(Upgrades!$P$6,E8)*POWER(Upgrades!$P$7,F8)*POWER(Upgrades!$P$8,G8)*POWER(Upgrades!$P$9,H8)*POWER(Upgrades!$P$10,I8)*POWER(Upgrades!$P$11,J8)*POWER(Upgrades!$P$12,K8)*60</f>
        <v>0</v>
      </c>
      <c r="AC8" s="27" t="n">
        <f aca="false">(IF(G8=0,0,(Upgrades!$J$8+G8*Upgrades!$K$8)*POWER(Upgrades!$L$8,G8)))*(IF(Upgrades!$T$6="Stellar Coupling",POWER(Upgrades!$U$6,E8),1)*IF(Upgrades!$T$7="Stellar Coupling",POWER(Upgrades!$U$7,F8),1)*IF(Upgrades!$T$9="Stellar Coupling",POWER(Upgrades!$U$9,H8),1)*IF(Upgrades!$T$10="Stellar Coupling",POWER(Upgrades!$U$10,I8),1)*IF(Upgrades!$T$11="Stellar Coupling",POWER(Upgrades!$U$11,J8),1)*IF(Upgrades!$T$12="Stellar Coupling",POWER(Upgrades!$U$12,K8),1))*POWER(Upgrades!$Q$6,E8)*POWER(Upgrades!$Q$7,F8)*POWER(Upgrades!$Q$8,G8)*POWER(Upgrades!$Q$9,H8)*POWER(Upgrades!$Q$10,I8)*POWER(Upgrades!$Q$11,J8)*POWER(Upgrades!$Q$12,K8)*Parameters!$B$10*Parameters!$B$11</f>
        <v>35</v>
      </c>
      <c r="AD8" s="27" t="n">
        <f aca="false">(IF(H8=0,0,(Upgrades!$G$9+H8*Upgrades!$H$9)*POWER(Upgrades!$I$9,H8)))*(IF(Upgrades!$T$6="Magnetosphere",POWER(Upgrades!$U$6,E8),1)*IF(Upgrades!$T$7="Magnetosphere",POWER(Upgrades!$U$7,F8),1)*IF(Upgrades!$T$8="Magnetosphere",POWER(Upgrades!$U$8,G8),1)*IF(Upgrades!$T$10="Magnetosphere",POWER(Upgrades!$U$10,I8),1)*IF(Upgrades!$T$11="Magnetosphere",POWER(Upgrades!$U$11,J8),1)*IF(Upgrades!$T$12="Magnetosphere",POWER(Upgrades!$U$12,K8),1))*POWER(Upgrades!$P$6,E8)*POWER(Upgrades!$P$7,F8)*POWER(Upgrades!$P$8,G8)*POWER(Upgrades!$P$9,H8)*POWER(Upgrades!$P$10,I8)*POWER(Upgrades!$P$11,J8)*POWER(Upgrades!$P$12,K8)*60</f>
        <v>0</v>
      </c>
      <c r="AE8" s="27" t="n">
        <f aca="false">(IF(K8=0,0,(Upgrades!$G$12+K8*Upgrades!$H$12)*POWER(Upgrades!$I$12,K8)))*(IF(Upgrades!$T$6="First Photons",POWER(Upgrades!$U$6,E8),1)*IF(Upgrades!$T$7="First Photons",POWER(Upgrades!$U$7,F8),1)*IF(Upgrades!$T$8="First Photons",POWER(Upgrades!$U$8,G8),1)*IF(Upgrades!$T$9="First Photons",POWER(Upgrades!$U$9,H8),1)*IF(Upgrades!$T$10="First Photons",POWER(Upgrades!$U$10,I8),1)*IF(Upgrades!$T$11="First Photons",POWER(Upgrades!$U$11,J8),1))*POWER(Upgrades!$P$6,E8)*POWER(Upgrades!$P$7,F8)*POWER(Upgrades!$P$8,G8)*POWER(Upgrades!$P$9,H8)*POWER(Upgrades!$P$10,I8)*POWER(Upgrades!$P$11,J8)*POWER(Upgrades!$P$12,K8)*60</f>
        <v>0</v>
      </c>
      <c r="AF8" s="27" t="n">
        <f aca="false">Parameters!$B$9*POWER(Upgrades!$Q$6,E8)*POWER(Upgrades!$Q$7,F8)*POWER(Upgrades!$Q$8,G8)*POWER(Upgrades!$Q$9,H8)*POWER(Upgrades!$Q$10,I8)*POWER(Upgrades!$Q$11,J8)*POWER(Upgrades!$Q$12,K8)*(Parameters!$B$10*Parameters!$B$11+O8*60)</f>
        <v>100</v>
      </c>
      <c r="AG8" s="21" t="n">
        <f aca="false">IF(E8&gt;=Upgrades!$E$6,"",Upgrades!$C$6*POWER(Upgrades!$D$6,E8))</f>
        <v>7</v>
      </c>
      <c r="AH8" s="21" t="n">
        <f aca="false">IF(F8&gt;=Upgrades!$E$7,"",Upgrades!$C$7*POWER(Upgrades!$D$7,F8))</f>
        <v>20</v>
      </c>
      <c r="AI8" s="21" t="n">
        <f aca="false">IF(G8&gt;=Upgrades!$E$8,"",Upgrades!$C$8*POWER(Upgrades!$D$8,G8))</f>
        <v>30.8</v>
      </c>
      <c r="AJ8" s="21" t="n">
        <f aca="false">IF(H8&gt;=Upgrades!$E$9,"",Upgrades!$C$9*POWER(Upgrades!$D$9,H8))</f>
        <v>80</v>
      </c>
      <c r="AK8" s="21" t="n">
        <f aca="false">IF(I8&gt;=Upgrades!$E$10,"",Upgrades!$C$10*POWER(Upgrades!$D$10,I8))</f>
        <v>240</v>
      </c>
      <c r="AL8" s="21" t="n">
        <f aca="false">IF(J8&gt;=Upgrades!$E$11,"",Upgrades!$C$11*POWER(Upgrades!$D$11,J8))</f>
        <v>575</v>
      </c>
      <c r="AM8" s="21" t="n">
        <f aca="false">IF(K8&gt;=Upgrades!$E$12,"",Upgrades!$C$12*POWER(Upgrades!$D$12,K8))</f>
        <v>850</v>
      </c>
      <c r="AN8" s="26" t="str">
        <f aca="false">IF(AND(D8&gt;=Parameters!$B$18,(H8&gt;=Upgrades!$E$9)*(K8&gt;=Upgrades!$E$12)=1,L8=0),1,"")</f>
        <v/>
      </c>
      <c r="AO8" s="26" t="str">
        <f aca="false">IF(AND(D8&gt;=Parameters!$B$18,L8=0),1,"")</f>
        <v/>
      </c>
      <c r="AP8" s="21" t="n">
        <f aca="false">MIN(IF(ISNUMBER(AK8),AK8,9000000000000000),IF(ISNUMBER(AL8),AL8,9000000000000000),IF(ISNUMBER(AM8),AM8,9000000000000000))</f>
        <v>240</v>
      </c>
      <c r="AQ8" s="21" t="n">
        <f aca="false">MIN(IF(ISNUMBER(AG8),AG8,9000000000000000),IF(ISNUMBER(AH8),AH8,9000000000000000),IF(ISNUMBER(AI8),AI8,9000000000000000),IF(ISNUMBER(AJ8),AJ8,9000000000000000))</f>
        <v>7</v>
      </c>
      <c r="AR8" s="32" t="b">
        <f aca="false">IF(AW8&gt;Parameters!$B$21*(MAX(IF(AND(NOT(AND(AO8=1,AN8&lt;&gt;1)),ISNUMBER(AG8),AG8&lt;=T8),AS8,0),IF(AND(NOT(AND(AO8=1,AN8&lt;&gt;1)),ISNUMBER(AH8),AH8&lt;=T8),AT8,0),IF(AND(NOT(AND(AO8=1,AN8&lt;&gt;1)),ISNUMBER(AI8),AI8&lt;=T8),AU8,0),IF(AND(ISNUMBER(AJ8),AJ8&lt;=T8),AV8,0))),TRUE(),FALSE())</f>
        <v>0</v>
      </c>
      <c r="AS8" s="33" t="n">
        <f aca="false">IFERROR(Upgrades!$H$6*(POWER(Upgrades!$P$6,E8)*POWER(Upgrades!$P$7,F8)*POWER(Upgrades!$P$8,G8)*POWER(Upgrades!$P$9,H8)*POWER(Upgrades!$P$10,I8)*POWER(Upgrades!$P$11,J8)*POWER(Upgrades!$P$12,K8))*(IF(Upgrades!$T$7="Solar Wind",POWER(Upgrades!$U$7,F8),1)*IF(Upgrades!$T$8="Solar Wind",POWER(Upgrades!$U$8,G8),1)*IF(Upgrades!$T$9="Solar Wind",POWER(Upgrades!$U$9,H8),1)*IF(Upgrades!$T$10="Solar Wind",POWER(Upgrades!$U$10,I8),1)*IF(Upgrades!$T$11="Solar Wind",POWER(Upgrades!$U$11,J8),1)*IF(Upgrades!$T$12="Solar Wind",POWER(Upgrades!$U$12,K8),1))/AG8,0)</f>
        <v>0.0114285714285714</v>
      </c>
      <c r="AT8" s="33" t="n">
        <f aca="false">IFERROR(Upgrades!$H$7*(POWER(Upgrades!$P$6,E8)*POWER(Upgrades!$P$7,F8)*POWER(Upgrades!$P$8,G8)*POWER(Upgrades!$P$9,H8)*POWER(Upgrades!$P$10,I8)*POWER(Upgrades!$P$11,J8)*POWER(Upgrades!$P$12,K8))*(IF(Upgrades!$T$6="Asteroid Belt",POWER(Upgrades!$U$6,E8),1)*IF(Upgrades!$T$8="Asteroid Belt",POWER(Upgrades!$U$8,G8),1)*IF(Upgrades!$T$9="Asteroid Belt",POWER(Upgrades!$U$9,H8),1)*IF(Upgrades!$T$10="Asteroid Belt",POWER(Upgrades!$U$10,I8),1)*IF(Upgrades!$T$11="Asteroid Belt",POWER(Upgrades!$U$11,J8),1)*IF(Upgrades!$T$12="Asteroid Belt",POWER(Upgrades!$U$12,K8),1))/AH8,0)</f>
        <v>0.01</v>
      </c>
      <c r="AU8" s="33" t="n">
        <f aca="false">IFERROR(Upgrades!$K$8*(POWER(Upgrades!$Q$6,E8)*POWER(Upgrades!$Q$7,F8)*POWER(Upgrades!$Q$8,G8)*POWER(Upgrades!$Q$9,H8)*POWER(Upgrades!$Q$10,I8)*POWER(Upgrades!$Q$11,J8)*POWER(Upgrades!$Q$12,K8))*(IF(Upgrades!$T$6="Stellar Coupling",POWER(Upgrades!$U$6,E8),1)*IF(Upgrades!$T$7="Stellar Coupling",POWER(Upgrades!$U$7,F8),1)*IF(Upgrades!$T$9="Stellar Coupling",POWER(Upgrades!$U$9,H8),1)*IF(Upgrades!$T$10="Stellar Coupling",POWER(Upgrades!$U$10,I8),1)*IF(Upgrades!$T$11="Stellar Coupling",POWER(Upgrades!$U$11,J8),1)*IF(Upgrades!$T$12="Stellar Coupling",POWER(Upgrades!$U$12,K8),1))*Parameters!$B$10*Parameters!$B$11/60/AI8,0)</f>
        <v>0.0189393939393939</v>
      </c>
      <c r="AV8" s="33" t="n">
        <f aca="false">IFERROR(Upgrades!$H$9*(POWER(Upgrades!$P$6,E8)*POWER(Upgrades!$P$7,F8)*POWER(Upgrades!$P$8,G8)*POWER(Upgrades!$P$9,H8)*POWER(Upgrades!$P$10,I8)*POWER(Upgrades!$P$11,J8)*POWER(Upgrades!$P$12,K8))*(IF(Upgrades!$T$6="Magnetosphere",POWER(Upgrades!$U$6,E8),1)*IF(Upgrades!$T$7="Magnetosphere",POWER(Upgrades!$U$7,F8),1)*IF(Upgrades!$T$8="Magnetosphere",POWER(Upgrades!$U$8,G8),1)*IF(Upgrades!$T$10="Magnetosphere",POWER(Upgrades!$U$10,I8),1)*IF(Upgrades!$T$11="Magnetosphere",POWER(Upgrades!$U$11,J8),1)*IF(Upgrades!$T$12="Magnetosphere",POWER(Upgrades!$U$12,K8),1))/AJ8,0)</f>
        <v>0.0125</v>
      </c>
      <c r="AW8" s="33" t="n">
        <f aca="false">MAX(IF(I8&gt;0,0,IFERROR(0.25*N8/Upgrades!$C$10,0)),IF(J8&gt;0,0,IFERROR(0.5*((IF(G8=0,0,(Upgrades!$J$8+G8*Upgrades!$K$8)*POWER(Upgrades!$L$8,G8)))*(IF(Upgrades!$T$6="Stellar Coupling",POWER(Upgrades!$U$6,E8),1)*IF(Upgrades!$T$7="Stellar Coupling",POWER(Upgrades!$U$7,F8),1)*IF(Upgrades!$T$9="Stellar Coupling",POWER(Upgrades!$U$9,H8),1)*IF(Upgrades!$T$10="Stellar Coupling",POWER(Upgrades!$U$10,I8),1)*IF(Upgrades!$T$11="Stellar Coupling",POWER(Upgrades!$U$11,J8),1)*IF(Upgrades!$T$12="Stellar Coupling",POWER(Upgrades!$U$12,K8),1))*(POWER(Upgrades!$Q$6,E8)*POWER(Upgrades!$Q$7,F8)*POWER(Upgrades!$Q$8,G8)*POWER(Upgrades!$Q$9,H8)*POWER(Upgrades!$Q$10,I8)*POWER(Upgrades!$Q$11,J8)*POWER(Upgrades!$Q$12,K8))*Parameters!$B$10*Parameters!$B$11/60)/Upgrades!$C$11,0)),IF(K8&gt;0,0,IFERROR((1*(POWER(Upgrades!$P$6,E8)*POWER(Upgrades!$P$7,F8)*POWER(Upgrades!$P$8,G8)*POWER(Upgrades!$P$9,H8)*POWER(Upgrades!$P$10,I8)*POWER(Upgrades!$P$11,J8)*POWER(Upgrades!$P$12,K8))+0.2*M8*Parameters!$B$10*Parameters!$B$11/60)/Upgrades!$C$12,0)),IF(AND(ISNUMBER(AG8),AG8&gt;T8),AS8,0),IF(AND(ISNUMBER(AH8),AH8&gt;T8),AT8,0),IF(AND(ISNUMBER(AI8),AI8&gt;T8),AU8,0),IF(AND(ISNUMBER(AJ8),AJ8&gt;T8),AV8,0))</f>
        <v>0.0125</v>
      </c>
      <c r="AX8" s="29" t="str">
        <f aca="false">IF(AN8=1,"transition",IF(MIN(IF(AND(I8=0,ISNUMBER(AK8),AK8&lt;=T8),AK8,9000000000000000),IF(AND(J8=0,ISNUMBER(AL8),AL8&lt;=T8),AL8,9000000000000000),IF(AND(K8=0,ISNUMBER(AM8),AM8&lt;=T8),AM8,9000000000000000))&lt;9000000000000000,IF(AND(AND(I8=0,ISNUMBER(AK8),AK8&lt;=T8),AK8=MIN(IF(AND(I8=0,ISNUMBER(AK8),AK8&lt;=T8),AK8,9000000000000000),IF(AND(J8=0,ISNUMBER(AL8),AL8&lt;=T8),AL8,9000000000000000),IF(AND(K8=0,ISNUMBER(AM8),AM8&lt;=T8),AM8,9000000000000000))),"OR",IF(AND(AND(J8=0,ISNUMBER(AL8),AL8&lt;=T8),AL8=MIN(IF(AND(I8=0,ISNUMBER(AK8),AK8&lt;=T8),AK8,9000000000000000),IF(AND(J8=0,ISNUMBER(AL8),AL8&lt;=T8),AL8,9000000000000000),IF(AND(K8=0,ISNUMBER(AM8),AM8&lt;=T8),AM8,9000000000000000))),"HP","FP")),IF(AR8=TRUE(),"",IF(MAX(IF(AND(NOT(AND(AO8=1,AN8&lt;&gt;1)),ISNUMBER(AG8),AG8&lt;=T8),AS8,0),IF(AND(NOT(AND(AO8=1,AN8&lt;&gt;1)),ISNUMBER(AH8),AH8&lt;=T8),AT8,0),IF(AND(NOT(AND(AO8=1,AN8&lt;&gt;1)),ISNUMBER(AI8),AI8&lt;=T8),AU8,0),IF(AND(ISNUMBER(AJ8),AJ8&lt;=T8),AV8,0))&lt;=0,"",IF(AND(IF(AND(NOT(AND(AO8=1,AN8&lt;&gt;1)),ISNUMBER(AG8),AG8&lt;=T8),AS8,0)&gt;0,IF(AND(NOT(AND(AO8=1,AN8&lt;&gt;1)),ISNUMBER(AG8),AG8&lt;=T8),AS8,0)=MAX(IF(AND(NOT(AND(AO8=1,AN8&lt;&gt;1)),ISNUMBER(AG8),AG8&lt;=T8),AS8,0),IF(AND(NOT(AND(AO8=1,AN8&lt;&gt;1)),ISNUMBER(AH8),AH8&lt;=T8),AT8,0),IF(AND(NOT(AND(AO8=1,AN8&lt;&gt;1)),ISNUMBER(AI8),AI8&lt;=T8),AU8,0),IF(AND(ISNUMBER(AJ8),AJ8&lt;=T8),AV8,0))),"SW",IF(AND(IF(AND(NOT(AND(AO8=1,AN8&lt;&gt;1)),ISNUMBER(AH8),AH8&lt;=T8),AT8,0)&gt;0,IF(AND(NOT(AND(AO8=1,AN8&lt;&gt;1)),ISNUMBER(AH8),AH8&lt;=T8),AT8,0)=MAX(IF(AND(NOT(AND(AO8=1,AN8&lt;&gt;1)),ISNUMBER(AG8),AG8&lt;=T8),AS8,0),IF(AND(NOT(AND(AO8=1,AN8&lt;&gt;1)),ISNUMBER(AH8),AH8&lt;=T8),AT8,0),IF(AND(NOT(AND(AO8=1,AN8&lt;&gt;1)),ISNUMBER(AI8),AI8&lt;=T8),AU8,0),IF(AND(ISNUMBER(AJ8),AJ8&lt;=T8),AV8,0))),"AB",IF(AND(IF(AND(NOT(AND(AO8=1,AN8&lt;&gt;1)),ISNUMBER(AI8),AI8&lt;=T8),AU8,0)&gt;0,IF(AND(NOT(AND(AO8=1,AN8&lt;&gt;1)),ISNUMBER(AI8),AI8&lt;=T8),AU8,0)=MAX(IF(AND(NOT(AND(AO8=1,AN8&lt;&gt;1)),ISNUMBER(AG8),AG8&lt;=T8),AS8,0),IF(AND(NOT(AND(AO8=1,AN8&lt;&gt;1)),ISNUMBER(AH8),AH8&lt;=T8),AT8,0),IF(AND(NOT(AND(AO8=1,AN8&lt;&gt;1)),ISNUMBER(AI8),AI8&lt;=T8),AU8,0),IF(AND(ISNUMBER(AJ8),AJ8&lt;=T8),AV8,0))),"SC","Mag")))))))</f>
        <v>SC</v>
      </c>
    </row>
    <row r="9" customFormat="false" ht="15" hidden="false" customHeight="false" outlineLevel="0" collapsed="false">
      <c r="A9" s="26" t="n">
        <v>4</v>
      </c>
      <c r="B9" s="27" t="n">
        <f aca="false">A9*10/60</f>
        <v>0.666666666666667</v>
      </c>
      <c r="C9" s="21" t="n">
        <f aca="false">X8</f>
        <v>3.03333333333334</v>
      </c>
      <c r="D9" s="27" t="n">
        <f aca="false">D8+W8</f>
        <v>0</v>
      </c>
      <c r="E9" s="26" t="n">
        <f aca="false">E8+IF(U8="SW",1,0)</f>
        <v>0</v>
      </c>
      <c r="F9" s="26" t="n">
        <f aca="false">F8+IF(U8="AB",1,0)</f>
        <v>0</v>
      </c>
      <c r="G9" s="26" t="n">
        <f aca="false">G8+IF(U8="SC",1,0)</f>
        <v>2</v>
      </c>
      <c r="H9" s="26" t="n">
        <f aca="false">H8+IF(U8="Mag",1,0)</f>
        <v>0</v>
      </c>
      <c r="I9" s="26" t="n">
        <f aca="false">MAX(I8,IF(U8="OR",1,0))</f>
        <v>0</v>
      </c>
      <c r="J9" s="26" t="n">
        <f aca="false">MAX(J8,IF(U8="HP",1,0))</f>
        <v>0</v>
      </c>
      <c r="K9" s="26" t="n">
        <f aca="false">MAX(K8,IF(U8="FP",1,0))</f>
        <v>0</v>
      </c>
      <c r="L9" s="26" t="n">
        <f aca="false">MAX(L8,IF(U8="transition",1,0))</f>
        <v>0</v>
      </c>
      <c r="M9" s="28" t="n">
        <f aca="false">(Parameters!$B$9+(IF(E9=0,0,(Upgrades!$J$6+E9*Upgrades!$K$6)*POWER(Upgrades!$L$6,E9)))*(IF(Upgrades!$T$7="Solar Wind",POWER(Upgrades!$U$7,F9),1)*IF(Upgrades!$T$8="Solar Wind",POWER(Upgrades!$U$8,G9),1)*IF(Upgrades!$T$9="Solar Wind",POWER(Upgrades!$U$9,H9),1)*IF(Upgrades!$T$10="Solar Wind",POWER(Upgrades!$U$10,I9),1)*IF(Upgrades!$T$11="Solar Wind",POWER(Upgrades!$U$11,J9),1)*IF(Upgrades!$T$12="Solar Wind",POWER(Upgrades!$U$12,K9),1))+(IF(F9=0,0,(Upgrades!$J$7+F9*Upgrades!$K$7)*POWER(Upgrades!$L$7,F9)))*(IF(Upgrades!$T$6="Asteroid Belt",POWER(Upgrades!$U$6,E9),1)*IF(Upgrades!$T$8="Asteroid Belt",POWER(Upgrades!$U$8,G9),1)*IF(Upgrades!$T$9="Asteroid Belt",POWER(Upgrades!$U$9,H9),1)*IF(Upgrades!$T$10="Asteroid Belt",POWER(Upgrades!$U$10,I9),1)*IF(Upgrades!$T$11="Asteroid Belt",POWER(Upgrades!$U$11,J9),1)*IF(Upgrades!$T$12="Asteroid Belt",POWER(Upgrades!$U$12,K9),1))+(IF(G9=0,0,(Upgrades!$J$8+G9*Upgrades!$K$8)*POWER(Upgrades!$L$8,G9)))*(IF(Upgrades!$T$6="Stellar Coupling",POWER(Upgrades!$U$6,E9),1)*IF(Upgrades!$T$7="Stellar Coupling",POWER(Upgrades!$U$7,F9),1)*IF(Upgrades!$T$9="Stellar Coupling",POWER(Upgrades!$U$9,H9),1)*IF(Upgrades!$T$10="Stellar Coupling",POWER(Upgrades!$U$10,I9),1)*IF(Upgrades!$T$11="Stellar Coupling",POWER(Upgrades!$U$11,J9),1)*IF(Upgrades!$T$12="Stellar Coupling",POWER(Upgrades!$U$12,K9),1))+(IF(H9=0,0,(Upgrades!$J$9+H9*Upgrades!$K$9)*POWER(Upgrades!$L$9,H9)))*(IF(Upgrades!$T$6="Magnetosphere",POWER(Upgrades!$U$6,E9),1)*IF(Upgrades!$T$7="Magnetosphere",POWER(Upgrades!$U$7,F9),1)*IF(Upgrades!$T$8="Magnetosphere",POWER(Upgrades!$U$8,G9),1)*IF(Upgrades!$T$10="Magnetosphere",POWER(Upgrades!$U$10,I9),1)*IF(Upgrades!$T$11="Magnetosphere",POWER(Upgrades!$U$11,J9),1)*IF(Upgrades!$T$12="Magnetosphere",POWER(Upgrades!$U$12,K9),1))+(IF(I9=0,0,(Upgrades!$J$10+I9*Upgrades!$K$10)*POWER(Upgrades!$L$10,I9)))*(IF(Upgrades!$T$6="Orbital Resonance",POWER(Upgrades!$U$6,E9),1)*IF(Upgrades!$T$7="Orbital Resonance",POWER(Upgrades!$U$7,F9),1)*IF(Upgrades!$T$8="Orbital Resonance",POWER(Upgrades!$U$8,G9),1)*IF(Upgrades!$T$9="Orbital Resonance",POWER(Upgrades!$U$9,H9),1)*IF(Upgrades!$T$11="Orbital Resonance",POWER(Upgrades!$U$11,J9),1)*IF(Upgrades!$T$12="Orbital Resonance",POWER(Upgrades!$U$12,K9),1))+(IF(J9=0,0,(Upgrades!$J$11+J9*Upgrades!$K$11)*POWER(Upgrades!$L$11,J9)))*(IF(Upgrades!$T$6="Heliopause",POWER(Upgrades!$U$6,E9),1)*IF(Upgrades!$T$7="Heliopause",POWER(Upgrades!$U$7,F9),1)*IF(Upgrades!$T$8="Heliopause",POWER(Upgrades!$U$8,G9),1)*IF(Upgrades!$T$9="Heliopause",POWER(Upgrades!$U$9,H9),1)*IF(Upgrades!$T$10="Heliopause",POWER(Upgrades!$U$10,I9),1)*IF(Upgrades!$T$12="Heliopause",POWER(Upgrades!$U$12,K9),1))+(IF(K9=0,0,(Upgrades!$J$12+K9*Upgrades!$K$12)*POWER(Upgrades!$L$12,K9)))*(IF(Upgrades!$T$6="First Photons",POWER(Upgrades!$U$6,E9),1)*IF(Upgrades!$T$7="First Photons",POWER(Upgrades!$U$7,F9),1)*IF(Upgrades!$T$8="First Photons",POWER(Upgrades!$U$8,G9),1)*IF(Upgrades!$T$9="First Photons",POWER(Upgrades!$U$9,H9),1)*IF(Upgrades!$T$10="First Photons",POWER(Upgrades!$U$10,I9),1)*IF(Upgrades!$T$11="First Photons",POWER(Upgrades!$U$11,J9),1)))*POWER(Upgrades!$Q$6,E9)*POWER(Upgrades!$Q$7,F9)*POWER(Upgrades!$Q$8,G9)*POWER(Upgrades!$Q$9,H9)*POWER(Upgrades!$Q$10,I9)*POWER(Upgrades!$Q$11,J9)*POWER(Upgrades!$Q$12,K9)</f>
        <v>1.7</v>
      </c>
      <c r="N9" s="28" t="n">
        <f aca="false">((IF(E9=0,0,(Upgrades!$G$6+E9*Upgrades!$H$6)*POWER(Upgrades!$I$6,E9)))*(IF(Upgrades!$T$7="Solar Wind",POWER(Upgrades!$U$7,F9),1)*IF(Upgrades!$T$8="Solar Wind",POWER(Upgrades!$U$8,G9),1)*IF(Upgrades!$T$9="Solar Wind",POWER(Upgrades!$U$9,H9),1)*IF(Upgrades!$T$10="Solar Wind",POWER(Upgrades!$U$10,I9),1)*IF(Upgrades!$T$11="Solar Wind",POWER(Upgrades!$U$11,J9),1)*IF(Upgrades!$T$12="Solar Wind",POWER(Upgrades!$U$12,K9),1))+(IF(F9=0,0,(Upgrades!$G$7+F9*Upgrades!$H$7)*POWER(Upgrades!$I$7,F9)))*(IF(Upgrades!$T$6="Asteroid Belt",POWER(Upgrades!$U$6,E9),1)*IF(Upgrades!$T$8="Asteroid Belt",POWER(Upgrades!$U$8,G9),1)*IF(Upgrades!$T$9="Asteroid Belt",POWER(Upgrades!$U$9,H9),1)*IF(Upgrades!$T$10="Asteroid Belt",POWER(Upgrades!$U$10,I9),1)*IF(Upgrades!$T$11="Asteroid Belt",POWER(Upgrades!$U$11,J9),1)*IF(Upgrades!$T$12="Asteroid Belt",POWER(Upgrades!$U$12,K9),1))+(IF(G9=0,0,(Upgrades!$G$8+G9*Upgrades!$H$8)*POWER(Upgrades!$I$8,G9)))*(IF(Upgrades!$T$6="Stellar Coupling",POWER(Upgrades!$U$6,E9),1)*IF(Upgrades!$T$7="Stellar Coupling",POWER(Upgrades!$U$7,F9),1)*IF(Upgrades!$T$9="Stellar Coupling",POWER(Upgrades!$U$9,H9),1)*IF(Upgrades!$T$10="Stellar Coupling",POWER(Upgrades!$U$10,I9),1)*IF(Upgrades!$T$11="Stellar Coupling",POWER(Upgrades!$U$11,J9),1)*IF(Upgrades!$T$12="Stellar Coupling",POWER(Upgrades!$U$12,K9),1))+(IF(H9=0,0,(Upgrades!$G$9+H9*Upgrades!$H$9)*POWER(Upgrades!$I$9,H9)))*(IF(Upgrades!$T$6="Magnetosphere",POWER(Upgrades!$U$6,E9),1)*IF(Upgrades!$T$7="Magnetosphere",POWER(Upgrades!$U$7,F9),1)*IF(Upgrades!$T$8="Magnetosphere",POWER(Upgrades!$U$8,G9),1)*IF(Upgrades!$T$10="Magnetosphere",POWER(Upgrades!$U$10,I9),1)*IF(Upgrades!$T$11="Magnetosphere",POWER(Upgrades!$U$11,J9),1)*IF(Upgrades!$T$12="Magnetosphere",POWER(Upgrades!$U$12,K9),1))+(IF(I9=0,0,(Upgrades!$G$10+I9*Upgrades!$H$10)*POWER(Upgrades!$I$10,I9)))*(IF(Upgrades!$T$6="Orbital Resonance",POWER(Upgrades!$U$6,E9),1)*IF(Upgrades!$T$7="Orbital Resonance",POWER(Upgrades!$U$7,F9),1)*IF(Upgrades!$T$8="Orbital Resonance",POWER(Upgrades!$U$8,G9),1)*IF(Upgrades!$T$9="Orbital Resonance",POWER(Upgrades!$U$9,H9),1)*IF(Upgrades!$T$11="Orbital Resonance",POWER(Upgrades!$U$11,J9),1)*IF(Upgrades!$T$12="Orbital Resonance",POWER(Upgrades!$U$12,K9),1))+(IF(J9=0,0,(Upgrades!$G$11+J9*Upgrades!$H$11)*POWER(Upgrades!$I$11,J9)))*(IF(Upgrades!$T$6="Heliopause",POWER(Upgrades!$U$6,E9),1)*IF(Upgrades!$T$7="Heliopause",POWER(Upgrades!$U$7,F9),1)*IF(Upgrades!$T$8="Heliopause",POWER(Upgrades!$U$8,G9),1)*IF(Upgrades!$T$9="Heliopause",POWER(Upgrades!$U$9,H9),1)*IF(Upgrades!$T$10="Heliopause",POWER(Upgrades!$U$10,I9),1)*IF(Upgrades!$T$12="Heliopause",POWER(Upgrades!$U$12,K9),1))+(IF(K9=0,0,(Upgrades!$G$12+K9*Upgrades!$H$12)*POWER(Upgrades!$I$12,K9)))*(IF(Upgrades!$T$6="First Photons",POWER(Upgrades!$U$6,E9),1)*IF(Upgrades!$T$7="First Photons",POWER(Upgrades!$U$7,F9),1)*IF(Upgrades!$T$8="First Photons",POWER(Upgrades!$U$8,G9),1)*IF(Upgrades!$T$9="First Photons",POWER(Upgrades!$U$9,H9),1)*IF(Upgrades!$T$10="First Photons",POWER(Upgrades!$U$10,I9),1)*IF(Upgrades!$T$11="First Photons",POWER(Upgrades!$U$11,J9),1)))*POWER(Upgrades!$P$6,E9)*POWER(Upgrades!$P$7,F9)*POWER(Upgrades!$P$8,G9)*POWER(Upgrades!$P$9,H9)*POWER(Upgrades!$P$10,I9)*POWER(Upgrades!$P$11,J9)*POWER(Upgrades!$P$12,K9)</f>
        <v>0</v>
      </c>
      <c r="O9" s="28" t="n">
        <f aca="false">((IF(E9=0,0,(Upgrades!$M$6+E9*Upgrades!$N$6)*POWER(Upgrades!$O$6,E9)))*(IF(Upgrades!$T$7="Solar Wind",POWER(Upgrades!$U$7,F9),1)*IF(Upgrades!$T$8="Solar Wind",POWER(Upgrades!$U$8,G9),1)*IF(Upgrades!$T$9="Solar Wind",POWER(Upgrades!$U$9,H9),1)*IF(Upgrades!$T$10="Solar Wind",POWER(Upgrades!$U$10,I9),1)*IF(Upgrades!$T$11="Solar Wind",POWER(Upgrades!$U$11,J9),1)*IF(Upgrades!$T$12="Solar Wind",POWER(Upgrades!$U$12,K9),1))+(IF(F9=0,0,(Upgrades!$M$7+F9*Upgrades!$N$7)*POWER(Upgrades!$O$7,F9)))*(IF(Upgrades!$T$6="Asteroid Belt",POWER(Upgrades!$U$6,E9),1)*IF(Upgrades!$T$8="Asteroid Belt",POWER(Upgrades!$U$8,G9),1)*IF(Upgrades!$T$9="Asteroid Belt",POWER(Upgrades!$U$9,H9),1)*IF(Upgrades!$T$10="Asteroid Belt",POWER(Upgrades!$U$10,I9),1)*IF(Upgrades!$T$11="Asteroid Belt",POWER(Upgrades!$U$11,J9),1)*IF(Upgrades!$T$12="Asteroid Belt",POWER(Upgrades!$U$12,K9),1))+(IF(G9=0,0,(Upgrades!$M$8+G9*Upgrades!$N$8)*POWER(Upgrades!$O$8,G9)))*(IF(Upgrades!$T$6="Stellar Coupling",POWER(Upgrades!$U$6,E9),1)*IF(Upgrades!$T$7="Stellar Coupling",POWER(Upgrades!$U$7,F9),1)*IF(Upgrades!$T$9="Stellar Coupling",POWER(Upgrades!$U$9,H9),1)*IF(Upgrades!$T$10="Stellar Coupling",POWER(Upgrades!$U$10,I9),1)*IF(Upgrades!$T$11="Stellar Coupling",POWER(Upgrades!$U$11,J9),1)*IF(Upgrades!$T$12="Stellar Coupling",POWER(Upgrades!$U$12,K9),1))+(IF(H9=0,0,(Upgrades!$M$9+H9*Upgrades!$N$9)*POWER(Upgrades!$O$9,H9)))*(IF(Upgrades!$T$6="Magnetosphere",POWER(Upgrades!$U$6,E9),1)*IF(Upgrades!$T$7="Magnetosphere",POWER(Upgrades!$U$7,F9),1)*IF(Upgrades!$T$8="Magnetosphere",POWER(Upgrades!$U$8,G9),1)*IF(Upgrades!$T$10="Magnetosphere",POWER(Upgrades!$U$10,I9),1)*IF(Upgrades!$T$11="Magnetosphere",POWER(Upgrades!$U$11,J9),1)*IF(Upgrades!$T$12="Magnetosphere",POWER(Upgrades!$U$12,K9),1))+(IF(I9=0,0,(Upgrades!$M$10+I9*Upgrades!$N$10)*POWER(Upgrades!$O$10,I9)))*(IF(Upgrades!$T$6="Orbital Resonance",POWER(Upgrades!$U$6,E9),1)*IF(Upgrades!$T$7="Orbital Resonance",POWER(Upgrades!$U$7,F9),1)*IF(Upgrades!$T$8="Orbital Resonance",POWER(Upgrades!$U$8,G9),1)*IF(Upgrades!$T$9="Orbital Resonance",POWER(Upgrades!$U$9,H9),1)*IF(Upgrades!$T$11="Orbital Resonance",POWER(Upgrades!$U$11,J9),1)*IF(Upgrades!$T$12="Orbital Resonance",POWER(Upgrades!$U$12,K9),1))+(IF(J9=0,0,(Upgrades!$M$11+J9*Upgrades!$N$11)*POWER(Upgrades!$O$11,J9)))*(IF(Upgrades!$T$6="Heliopause",POWER(Upgrades!$U$6,E9),1)*IF(Upgrades!$T$7="Heliopause",POWER(Upgrades!$U$7,F9),1)*IF(Upgrades!$T$8="Heliopause",POWER(Upgrades!$U$8,G9),1)*IF(Upgrades!$T$9="Heliopause",POWER(Upgrades!$U$9,H9),1)*IF(Upgrades!$T$10="Heliopause",POWER(Upgrades!$U$10,I9),1)*IF(Upgrades!$T$12="Heliopause",POWER(Upgrades!$U$12,K9),1))+(IF(K9=0,0,(Upgrades!$M$12+K9*Upgrades!$N$12)*POWER(Upgrades!$O$12,K9)))*(IF(Upgrades!$T$6="First Photons",POWER(Upgrades!$U$6,E9),1)*IF(Upgrades!$T$7="First Photons",POWER(Upgrades!$U$7,F9),1)*IF(Upgrades!$T$8="First Photons",POWER(Upgrades!$U$8,G9),1)*IF(Upgrades!$T$9="First Photons",POWER(Upgrades!$U$9,H9),1)*IF(Upgrades!$T$10="First Photons",POWER(Upgrades!$U$10,I9),1)*IF(Upgrades!$T$11="First Photons",POWER(Upgrades!$U$11,J9),1)))*POWER(Upgrades!$R$6,E9)*POWER(Upgrades!$R$7,F9)*POWER(Upgrades!$R$8,G9)*POWER(Upgrades!$R$9,H9)*POWER(Upgrades!$R$10,I9)*POWER(Upgrades!$R$11,J9)*POWER(Upgrades!$R$12,K9)</f>
        <v>0</v>
      </c>
      <c r="P9" s="27" t="n">
        <f aca="false">IF(L9=1,0,M9*Parameters!$B$10/60*Parameters!$B$11*10)</f>
        <v>28.3333333333333</v>
      </c>
      <c r="Q9" s="27" t="n">
        <f aca="false">IF(L9=1,0,O9*M9*10)</f>
        <v>0</v>
      </c>
      <c r="R9" s="27" t="n">
        <f aca="false">IF(L9=1,0,N9*10)</f>
        <v>0</v>
      </c>
      <c r="S9" s="27" t="n">
        <f aca="false">P9+Q9+R9</f>
        <v>28.3333333333333</v>
      </c>
      <c r="T9" s="21" t="n">
        <f aca="false">C9+S9</f>
        <v>31.3666666666667</v>
      </c>
      <c r="U9" s="34" t="str">
        <f aca="false">AX9</f>
        <v>SW</v>
      </c>
      <c r="V9" s="21" t="n">
        <f aca="false">IF(U9="",0,IF(U9="transition",0,IF(U9="SW",AG9,IF(U9="AB",AH9,IF(U9="SC",AI9,IF(U9="Mag",AJ9,IF(U9="OR",AK9,IF(U9="HP",AL9,IF(U9="FP",AM9,0)))))))))</f>
        <v>7</v>
      </c>
      <c r="W9" s="27" t="n">
        <f aca="false">IF(U9="OR",Upgrades!$F$10,IF(U9="HP",Upgrades!$F$11,IF(U9="transition",-Parameters!$B$18,0)))</f>
        <v>0</v>
      </c>
      <c r="X9" s="21" t="n">
        <f aca="false">T9-V9</f>
        <v>24.3666666666667</v>
      </c>
      <c r="Y9" s="30" t="n">
        <f aca="false">M9*Parameters!$B$10/60*Parameters!$B$11+O9*M9+N9</f>
        <v>2.83333333333333</v>
      </c>
      <c r="Z9" s="35" t="str">
        <f aca="false">IF(U9="transition","→ Tier 2 (Stellar Neighborhood)",IF(U9="FP","First Photons — light begins, system quickens",IF(U9="HP","Heliopause acquired",IF(U9="OR","Orbital Resonance — passive multiplier active",IF(AND(AO9=1,L9=0,AN9&lt;&gt;1),"Cohesion ready (waiting on completionist upgrades)","")))))</f>
        <v/>
      </c>
      <c r="AA9" s="27" t="n">
        <f aca="false">(IF(E9=0,0,(Upgrades!$G$6+E9*Upgrades!$H$6)*POWER(Upgrades!$I$6,E9)))*(IF(Upgrades!$T$7="Solar Wind",POWER(Upgrades!$U$7,F9),1)*IF(Upgrades!$T$8="Solar Wind",POWER(Upgrades!$U$8,G9),1)*IF(Upgrades!$T$9="Solar Wind",POWER(Upgrades!$U$9,H9),1)*IF(Upgrades!$T$10="Solar Wind",POWER(Upgrades!$U$10,I9),1)*IF(Upgrades!$T$11="Solar Wind",POWER(Upgrades!$U$11,J9),1)*IF(Upgrades!$T$12="Solar Wind",POWER(Upgrades!$U$12,K9),1))*POWER(Upgrades!$P$6,E9)*POWER(Upgrades!$P$7,F9)*POWER(Upgrades!$P$8,G9)*POWER(Upgrades!$P$9,H9)*POWER(Upgrades!$P$10,I9)*POWER(Upgrades!$P$11,J9)*POWER(Upgrades!$P$12,K9)*60</f>
        <v>0</v>
      </c>
      <c r="AB9" s="27" t="n">
        <f aca="false">(IF(F9=0,0,(Upgrades!$G$7+F9*Upgrades!$H$7)*POWER(Upgrades!$I$7,F9)))*(IF(Upgrades!$T$6="Asteroid Belt",POWER(Upgrades!$U$6,E9),1)*IF(Upgrades!$T$8="Asteroid Belt",POWER(Upgrades!$U$8,G9),1)*IF(Upgrades!$T$9="Asteroid Belt",POWER(Upgrades!$U$9,H9),1)*IF(Upgrades!$T$10="Asteroid Belt",POWER(Upgrades!$U$10,I9),1)*IF(Upgrades!$T$11="Asteroid Belt",POWER(Upgrades!$U$11,J9),1)*IF(Upgrades!$T$12="Asteroid Belt",POWER(Upgrades!$U$12,K9),1))*POWER(Upgrades!$P$6,E9)*POWER(Upgrades!$P$7,F9)*POWER(Upgrades!$P$8,G9)*POWER(Upgrades!$P$9,H9)*POWER(Upgrades!$P$10,I9)*POWER(Upgrades!$P$11,J9)*POWER(Upgrades!$P$12,K9)*60</f>
        <v>0</v>
      </c>
      <c r="AC9" s="27" t="n">
        <f aca="false">(IF(G9=0,0,(Upgrades!$J$8+G9*Upgrades!$K$8)*POWER(Upgrades!$L$8,G9)))*(IF(Upgrades!$T$6="Stellar Coupling",POWER(Upgrades!$U$6,E9),1)*IF(Upgrades!$T$7="Stellar Coupling",POWER(Upgrades!$U$7,F9),1)*IF(Upgrades!$T$9="Stellar Coupling",POWER(Upgrades!$U$9,H9),1)*IF(Upgrades!$T$10="Stellar Coupling",POWER(Upgrades!$U$10,I9),1)*IF(Upgrades!$T$11="Stellar Coupling",POWER(Upgrades!$U$11,J9),1)*IF(Upgrades!$T$12="Stellar Coupling",POWER(Upgrades!$U$12,K9),1))*POWER(Upgrades!$Q$6,E9)*POWER(Upgrades!$Q$7,F9)*POWER(Upgrades!$Q$8,G9)*POWER(Upgrades!$Q$9,H9)*POWER(Upgrades!$Q$10,I9)*POWER(Upgrades!$Q$11,J9)*POWER(Upgrades!$Q$12,K9)*Parameters!$B$10*Parameters!$B$11</f>
        <v>70</v>
      </c>
      <c r="AD9" s="27" t="n">
        <f aca="false">(IF(H9=0,0,(Upgrades!$G$9+H9*Upgrades!$H$9)*POWER(Upgrades!$I$9,H9)))*(IF(Upgrades!$T$6="Magnetosphere",POWER(Upgrades!$U$6,E9),1)*IF(Upgrades!$T$7="Magnetosphere",POWER(Upgrades!$U$7,F9),1)*IF(Upgrades!$T$8="Magnetosphere",POWER(Upgrades!$U$8,G9),1)*IF(Upgrades!$T$10="Magnetosphere",POWER(Upgrades!$U$10,I9),1)*IF(Upgrades!$T$11="Magnetosphere",POWER(Upgrades!$U$11,J9),1)*IF(Upgrades!$T$12="Magnetosphere",POWER(Upgrades!$U$12,K9),1))*POWER(Upgrades!$P$6,E9)*POWER(Upgrades!$P$7,F9)*POWER(Upgrades!$P$8,G9)*POWER(Upgrades!$P$9,H9)*POWER(Upgrades!$P$10,I9)*POWER(Upgrades!$P$11,J9)*POWER(Upgrades!$P$12,K9)*60</f>
        <v>0</v>
      </c>
      <c r="AE9" s="27" t="n">
        <f aca="false">(IF(K9=0,0,(Upgrades!$G$12+K9*Upgrades!$H$12)*POWER(Upgrades!$I$12,K9)))*(IF(Upgrades!$T$6="First Photons",POWER(Upgrades!$U$6,E9),1)*IF(Upgrades!$T$7="First Photons",POWER(Upgrades!$U$7,F9),1)*IF(Upgrades!$T$8="First Photons",POWER(Upgrades!$U$8,G9),1)*IF(Upgrades!$T$9="First Photons",POWER(Upgrades!$U$9,H9),1)*IF(Upgrades!$T$10="First Photons",POWER(Upgrades!$U$10,I9),1)*IF(Upgrades!$T$11="First Photons",POWER(Upgrades!$U$11,J9),1))*POWER(Upgrades!$P$6,E9)*POWER(Upgrades!$P$7,F9)*POWER(Upgrades!$P$8,G9)*POWER(Upgrades!$P$9,H9)*POWER(Upgrades!$P$10,I9)*POWER(Upgrades!$P$11,J9)*POWER(Upgrades!$P$12,K9)*60</f>
        <v>0</v>
      </c>
      <c r="AF9" s="27" t="n">
        <f aca="false">Parameters!$B$9*POWER(Upgrades!$Q$6,E9)*POWER(Upgrades!$Q$7,F9)*POWER(Upgrades!$Q$8,G9)*POWER(Upgrades!$Q$9,H9)*POWER(Upgrades!$Q$10,I9)*POWER(Upgrades!$Q$11,J9)*POWER(Upgrades!$Q$12,K9)*(Parameters!$B$10*Parameters!$B$11+O9*60)</f>
        <v>100</v>
      </c>
      <c r="AG9" s="21" t="n">
        <f aca="false">IF(E9&gt;=Upgrades!$E$6,"",Upgrades!$C$6*POWER(Upgrades!$D$6,E9))</f>
        <v>7</v>
      </c>
      <c r="AH9" s="21" t="n">
        <f aca="false">IF(F9&gt;=Upgrades!$E$7,"",Upgrades!$C$7*POWER(Upgrades!$D$7,F9))</f>
        <v>20</v>
      </c>
      <c r="AI9" s="21" t="n">
        <f aca="false">IF(G9&gt;=Upgrades!$E$8,"",Upgrades!$C$8*POWER(Upgrades!$D$8,G9))</f>
        <v>43.12</v>
      </c>
      <c r="AJ9" s="21" t="n">
        <f aca="false">IF(H9&gt;=Upgrades!$E$9,"",Upgrades!$C$9*POWER(Upgrades!$D$9,H9))</f>
        <v>80</v>
      </c>
      <c r="AK9" s="21" t="n">
        <f aca="false">IF(I9&gt;=Upgrades!$E$10,"",Upgrades!$C$10*POWER(Upgrades!$D$10,I9))</f>
        <v>240</v>
      </c>
      <c r="AL9" s="21" t="n">
        <f aca="false">IF(J9&gt;=Upgrades!$E$11,"",Upgrades!$C$11*POWER(Upgrades!$D$11,J9))</f>
        <v>575</v>
      </c>
      <c r="AM9" s="21" t="n">
        <f aca="false">IF(K9&gt;=Upgrades!$E$12,"",Upgrades!$C$12*POWER(Upgrades!$D$12,K9))</f>
        <v>850</v>
      </c>
      <c r="AN9" s="26" t="str">
        <f aca="false">IF(AND(D9&gt;=Parameters!$B$18,(H9&gt;=Upgrades!$E$9)*(K9&gt;=Upgrades!$E$12)=1,L9=0),1,"")</f>
        <v/>
      </c>
      <c r="AO9" s="26" t="str">
        <f aca="false">IF(AND(D9&gt;=Parameters!$B$18,L9=0),1,"")</f>
        <v/>
      </c>
      <c r="AP9" s="21" t="n">
        <f aca="false">MIN(IF(ISNUMBER(AK9),AK9,9000000000000000),IF(ISNUMBER(AL9),AL9,9000000000000000),IF(ISNUMBER(AM9),AM9,9000000000000000))</f>
        <v>240</v>
      </c>
      <c r="AQ9" s="21" t="n">
        <f aca="false">MIN(IF(ISNUMBER(AG9),AG9,9000000000000000),IF(ISNUMBER(AH9),AH9,9000000000000000),IF(ISNUMBER(AI9),AI9,9000000000000000),IF(ISNUMBER(AJ9),AJ9,9000000000000000))</f>
        <v>7</v>
      </c>
      <c r="AR9" s="32" t="b">
        <f aca="false">IF(AW9&gt;Parameters!$B$21*(MAX(IF(AND(NOT(AND(AO9=1,AN9&lt;&gt;1)),ISNUMBER(AG9),AG9&lt;=T9),AS9,0),IF(AND(NOT(AND(AO9=1,AN9&lt;&gt;1)),ISNUMBER(AH9),AH9&lt;=T9),AT9,0),IF(AND(NOT(AND(AO9=1,AN9&lt;&gt;1)),ISNUMBER(AI9),AI9&lt;=T9),AU9,0),IF(AND(ISNUMBER(AJ9),AJ9&lt;=T9),AV9,0))),TRUE(),FALSE())</f>
        <v>0</v>
      </c>
      <c r="AS9" s="33" t="n">
        <f aca="false">IFERROR(Upgrades!$H$6*(POWER(Upgrades!$P$6,E9)*POWER(Upgrades!$P$7,F9)*POWER(Upgrades!$P$8,G9)*POWER(Upgrades!$P$9,H9)*POWER(Upgrades!$P$10,I9)*POWER(Upgrades!$P$11,J9)*POWER(Upgrades!$P$12,K9))*(IF(Upgrades!$T$7="Solar Wind",POWER(Upgrades!$U$7,F9),1)*IF(Upgrades!$T$8="Solar Wind",POWER(Upgrades!$U$8,G9),1)*IF(Upgrades!$T$9="Solar Wind",POWER(Upgrades!$U$9,H9),1)*IF(Upgrades!$T$10="Solar Wind",POWER(Upgrades!$U$10,I9),1)*IF(Upgrades!$T$11="Solar Wind",POWER(Upgrades!$U$11,J9),1)*IF(Upgrades!$T$12="Solar Wind",POWER(Upgrades!$U$12,K9),1))/AG9,0)</f>
        <v>0.0114285714285714</v>
      </c>
      <c r="AT9" s="33" t="n">
        <f aca="false">IFERROR(Upgrades!$H$7*(POWER(Upgrades!$P$6,E9)*POWER(Upgrades!$P$7,F9)*POWER(Upgrades!$P$8,G9)*POWER(Upgrades!$P$9,H9)*POWER(Upgrades!$P$10,I9)*POWER(Upgrades!$P$11,J9)*POWER(Upgrades!$P$12,K9))*(IF(Upgrades!$T$6="Asteroid Belt",POWER(Upgrades!$U$6,E9),1)*IF(Upgrades!$T$8="Asteroid Belt",POWER(Upgrades!$U$8,G9),1)*IF(Upgrades!$T$9="Asteroid Belt",POWER(Upgrades!$U$9,H9),1)*IF(Upgrades!$T$10="Asteroid Belt",POWER(Upgrades!$U$10,I9),1)*IF(Upgrades!$T$11="Asteroid Belt",POWER(Upgrades!$U$11,J9),1)*IF(Upgrades!$T$12="Asteroid Belt",POWER(Upgrades!$U$12,K9),1))/AH9,0)</f>
        <v>0.01</v>
      </c>
      <c r="AU9" s="33" t="n">
        <f aca="false">IFERROR(Upgrades!$K$8*(POWER(Upgrades!$Q$6,E9)*POWER(Upgrades!$Q$7,F9)*POWER(Upgrades!$Q$8,G9)*POWER(Upgrades!$Q$9,H9)*POWER(Upgrades!$Q$10,I9)*POWER(Upgrades!$Q$11,J9)*POWER(Upgrades!$Q$12,K9))*(IF(Upgrades!$T$6="Stellar Coupling",POWER(Upgrades!$U$6,E9),1)*IF(Upgrades!$T$7="Stellar Coupling",POWER(Upgrades!$U$7,F9),1)*IF(Upgrades!$T$9="Stellar Coupling",POWER(Upgrades!$U$9,H9),1)*IF(Upgrades!$T$10="Stellar Coupling",POWER(Upgrades!$U$10,I9),1)*IF(Upgrades!$T$11="Stellar Coupling",POWER(Upgrades!$U$11,J9),1)*IF(Upgrades!$T$12="Stellar Coupling",POWER(Upgrades!$U$12,K9),1))*Parameters!$B$10*Parameters!$B$11/60/AI9,0)</f>
        <v>0.0135281385281385</v>
      </c>
      <c r="AV9" s="33" t="n">
        <f aca="false">IFERROR(Upgrades!$H$9*(POWER(Upgrades!$P$6,E9)*POWER(Upgrades!$P$7,F9)*POWER(Upgrades!$P$8,G9)*POWER(Upgrades!$P$9,H9)*POWER(Upgrades!$P$10,I9)*POWER(Upgrades!$P$11,J9)*POWER(Upgrades!$P$12,K9))*(IF(Upgrades!$T$6="Magnetosphere",POWER(Upgrades!$U$6,E9),1)*IF(Upgrades!$T$7="Magnetosphere",POWER(Upgrades!$U$7,F9),1)*IF(Upgrades!$T$8="Magnetosphere",POWER(Upgrades!$U$8,G9),1)*IF(Upgrades!$T$10="Magnetosphere",POWER(Upgrades!$U$10,I9),1)*IF(Upgrades!$T$11="Magnetosphere",POWER(Upgrades!$U$11,J9),1)*IF(Upgrades!$T$12="Magnetosphere",POWER(Upgrades!$U$12,K9),1))/AJ9,0)</f>
        <v>0.0125</v>
      </c>
      <c r="AW9" s="33" t="n">
        <f aca="false">MAX(IF(I9&gt;0,0,IFERROR(0.25*N9/Upgrades!$C$10,0)),IF(J9&gt;0,0,IFERROR(0.5*((IF(G9=0,0,(Upgrades!$J$8+G9*Upgrades!$K$8)*POWER(Upgrades!$L$8,G9)))*(IF(Upgrades!$T$6="Stellar Coupling",POWER(Upgrades!$U$6,E9),1)*IF(Upgrades!$T$7="Stellar Coupling",POWER(Upgrades!$U$7,F9),1)*IF(Upgrades!$T$9="Stellar Coupling",POWER(Upgrades!$U$9,H9),1)*IF(Upgrades!$T$10="Stellar Coupling",POWER(Upgrades!$U$10,I9),1)*IF(Upgrades!$T$11="Stellar Coupling",POWER(Upgrades!$U$11,J9),1)*IF(Upgrades!$T$12="Stellar Coupling",POWER(Upgrades!$U$12,K9),1))*(POWER(Upgrades!$Q$6,E9)*POWER(Upgrades!$Q$7,F9)*POWER(Upgrades!$Q$8,G9)*POWER(Upgrades!$Q$9,H9)*POWER(Upgrades!$Q$10,I9)*POWER(Upgrades!$Q$11,J9)*POWER(Upgrades!$Q$12,K9))*Parameters!$B$10*Parameters!$B$11/60)/Upgrades!$C$11,0)),IF(K9&gt;0,0,IFERROR((1*(POWER(Upgrades!$P$6,E9)*POWER(Upgrades!$P$7,F9)*POWER(Upgrades!$P$8,G9)*POWER(Upgrades!$P$9,H9)*POWER(Upgrades!$P$10,I9)*POWER(Upgrades!$P$11,J9)*POWER(Upgrades!$P$12,K9))+0.2*M9*Parameters!$B$10*Parameters!$B$11/60)/Upgrades!$C$12,0)),IF(AND(ISNUMBER(AG9),AG9&gt;T9),AS9,0),IF(AND(ISNUMBER(AH9),AH9&gt;T9),AT9,0),IF(AND(ISNUMBER(AI9),AI9&gt;T9),AU9,0),IF(AND(ISNUMBER(AJ9),AJ9&gt;T9),AV9,0))</f>
        <v>0.0135281385281385</v>
      </c>
      <c r="AX9" s="29" t="str">
        <f aca="false">IF(AN9=1,"transition",IF(MIN(IF(AND(I9=0,ISNUMBER(AK9),AK9&lt;=T9),AK9,9000000000000000),IF(AND(J9=0,ISNUMBER(AL9),AL9&lt;=T9),AL9,9000000000000000),IF(AND(K9=0,ISNUMBER(AM9),AM9&lt;=T9),AM9,9000000000000000))&lt;9000000000000000,IF(AND(AND(I9=0,ISNUMBER(AK9),AK9&lt;=T9),AK9=MIN(IF(AND(I9=0,ISNUMBER(AK9),AK9&lt;=T9),AK9,9000000000000000),IF(AND(J9=0,ISNUMBER(AL9),AL9&lt;=T9),AL9,9000000000000000),IF(AND(K9=0,ISNUMBER(AM9),AM9&lt;=T9),AM9,9000000000000000))),"OR",IF(AND(AND(J9=0,ISNUMBER(AL9),AL9&lt;=T9),AL9=MIN(IF(AND(I9=0,ISNUMBER(AK9),AK9&lt;=T9),AK9,9000000000000000),IF(AND(J9=0,ISNUMBER(AL9),AL9&lt;=T9),AL9,9000000000000000),IF(AND(K9=0,ISNUMBER(AM9),AM9&lt;=T9),AM9,9000000000000000))),"HP","FP")),IF(AR9=TRUE(),"",IF(MAX(IF(AND(NOT(AND(AO9=1,AN9&lt;&gt;1)),ISNUMBER(AG9),AG9&lt;=T9),AS9,0),IF(AND(NOT(AND(AO9=1,AN9&lt;&gt;1)),ISNUMBER(AH9),AH9&lt;=T9),AT9,0),IF(AND(NOT(AND(AO9=1,AN9&lt;&gt;1)),ISNUMBER(AI9),AI9&lt;=T9),AU9,0),IF(AND(ISNUMBER(AJ9),AJ9&lt;=T9),AV9,0))&lt;=0,"",IF(AND(IF(AND(NOT(AND(AO9=1,AN9&lt;&gt;1)),ISNUMBER(AG9),AG9&lt;=T9),AS9,0)&gt;0,IF(AND(NOT(AND(AO9=1,AN9&lt;&gt;1)),ISNUMBER(AG9),AG9&lt;=T9),AS9,0)=MAX(IF(AND(NOT(AND(AO9=1,AN9&lt;&gt;1)),ISNUMBER(AG9),AG9&lt;=T9),AS9,0),IF(AND(NOT(AND(AO9=1,AN9&lt;&gt;1)),ISNUMBER(AH9),AH9&lt;=T9),AT9,0),IF(AND(NOT(AND(AO9=1,AN9&lt;&gt;1)),ISNUMBER(AI9),AI9&lt;=T9),AU9,0),IF(AND(ISNUMBER(AJ9),AJ9&lt;=T9),AV9,0))),"SW",IF(AND(IF(AND(NOT(AND(AO9=1,AN9&lt;&gt;1)),ISNUMBER(AH9),AH9&lt;=T9),AT9,0)&gt;0,IF(AND(NOT(AND(AO9=1,AN9&lt;&gt;1)),ISNUMBER(AH9),AH9&lt;=T9),AT9,0)=MAX(IF(AND(NOT(AND(AO9=1,AN9&lt;&gt;1)),ISNUMBER(AG9),AG9&lt;=T9),AS9,0),IF(AND(NOT(AND(AO9=1,AN9&lt;&gt;1)),ISNUMBER(AH9),AH9&lt;=T9),AT9,0),IF(AND(NOT(AND(AO9=1,AN9&lt;&gt;1)),ISNUMBER(AI9),AI9&lt;=T9),AU9,0),IF(AND(ISNUMBER(AJ9),AJ9&lt;=T9),AV9,0))),"AB",IF(AND(IF(AND(NOT(AND(AO9=1,AN9&lt;&gt;1)),ISNUMBER(AI9),AI9&lt;=T9),AU9,0)&gt;0,IF(AND(NOT(AND(AO9=1,AN9&lt;&gt;1)),ISNUMBER(AI9),AI9&lt;=T9),AU9,0)=MAX(IF(AND(NOT(AND(AO9=1,AN9&lt;&gt;1)),ISNUMBER(AG9),AG9&lt;=T9),AS9,0),IF(AND(NOT(AND(AO9=1,AN9&lt;&gt;1)),ISNUMBER(AH9),AH9&lt;=T9),AT9,0),IF(AND(NOT(AND(AO9=1,AN9&lt;&gt;1)),ISNUMBER(AI9),AI9&lt;=T9),AU9,0),IF(AND(ISNUMBER(AJ9),AJ9&lt;=T9),AV9,0))),"SC","Mag")))))))</f>
        <v>SW</v>
      </c>
    </row>
    <row r="10" customFormat="false" ht="15" hidden="false" customHeight="false" outlineLevel="0" collapsed="false">
      <c r="A10" s="26" t="n">
        <v>5</v>
      </c>
      <c r="B10" s="27" t="n">
        <f aca="false">A10*10/60</f>
        <v>0.833333333333333</v>
      </c>
      <c r="C10" s="21" t="n">
        <f aca="false">X9</f>
        <v>24.3666666666667</v>
      </c>
      <c r="D10" s="27" t="n">
        <f aca="false">D9+W9</f>
        <v>0</v>
      </c>
      <c r="E10" s="26" t="n">
        <f aca="false">E9+IF(U9="SW",1,0)</f>
        <v>1</v>
      </c>
      <c r="F10" s="26" t="n">
        <f aca="false">F9+IF(U9="AB",1,0)</f>
        <v>0</v>
      </c>
      <c r="G10" s="26" t="n">
        <f aca="false">G9+IF(U9="SC",1,0)</f>
        <v>2</v>
      </c>
      <c r="H10" s="26" t="n">
        <f aca="false">H9+IF(U9="Mag",1,0)</f>
        <v>0</v>
      </c>
      <c r="I10" s="26" t="n">
        <f aca="false">MAX(I9,IF(U9="OR",1,0))</f>
        <v>0</v>
      </c>
      <c r="J10" s="26" t="n">
        <f aca="false">MAX(J9,IF(U9="HP",1,0))</f>
        <v>0</v>
      </c>
      <c r="K10" s="26" t="n">
        <f aca="false">MAX(K9,IF(U9="FP",1,0))</f>
        <v>0</v>
      </c>
      <c r="L10" s="26" t="n">
        <f aca="false">MAX(L9,IF(U9="transition",1,0))</f>
        <v>0</v>
      </c>
      <c r="M10" s="28" t="n">
        <f aca="false">(Parameters!$B$9+(IF(E10=0,0,(Upgrades!$J$6+E10*Upgrades!$K$6)*POWER(Upgrades!$L$6,E10)))*(IF(Upgrades!$T$7="Solar Wind",POWER(Upgrades!$U$7,F10),1)*IF(Upgrades!$T$8="Solar Wind",POWER(Upgrades!$U$8,G10),1)*IF(Upgrades!$T$9="Solar Wind",POWER(Upgrades!$U$9,H10),1)*IF(Upgrades!$T$10="Solar Wind",POWER(Upgrades!$U$10,I10),1)*IF(Upgrades!$T$11="Solar Wind",POWER(Upgrades!$U$11,J10),1)*IF(Upgrades!$T$12="Solar Wind",POWER(Upgrades!$U$12,K10),1))+(IF(F10=0,0,(Upgrades!$J$7+F10*Upgrades!$K$7)*POWER(Upgrades!$L$7,F10)))*(IF(Upgrades!$T$6="Asteroid Belt",POWER(Upgrades!$U$6,E10),1)*IF(Upgrades!$T$8="Asteroid Belt",POWER(Upgrades!$U$8,G10),1)*IF(Upgrades!$T$9="Asteroid Belt",POWER(Upgrades!$U$9,H10),1)*IF(Upgrades!$T$10="Asteroid Belt",POWER(Upgrades!$U$10,I10),1)*IF(Upgrades!$T$11="Asteroid Belt",POWER(Upgrades!$U$11,J10),1)*IF(Upgrades!$T$12="Asteroid Belt",POWER(Upgrades!$U$12,K10),1))+(IF(G10=0,0,(Upgrades!$J$8+G10*Upgrades!$K$8)*POWER(Upgrades!$L$8,G10)))*(IF(Upgrades!$T$6="Stellar Coupling",POWER(Upgrades!$U$6,E10),1)*IF(Upgrades!$T$7="Stellar Coupling",POWER(Upgrades!$U$7,F10),1)*IF(Upgrades!$T$9="Stellar Coupling",POWER(Upgrades!$U$9,H10),1)*IF(Upgrades!$T$10="Stellar Coupling",POWER(Upgrades!$U$10,I10),1)*IF(Upgrades!$T$11="Stellar Coupling",POWER(Upgrades!$U$11,J10),1)*IF(Upgrades!$T$12="Stellar Coupling",POWER(Upgrades!$U$12,K10),1))+(IF(H10=0,0,(Upgrades!$J$9+H10*Upgrades!$K$9)*POWER(Upgrades!$L$9,H10)))*(IF(Upgrades!$T$6="Magnetosphere",POWER(Upgrades!$U$6,E10),1)*IF(Upgrades!$T$7="Magnetosphere",POWER(Upgrades!$U$7,F10),1)*IF(Upgrades!$T$8="Magnetosphere",POWER(Upgrades!$U$8,G10),1)*IF(Upgrades!$T$10="Magnetosphere",POWER(Upgrades!$U$10,I10),1)*IF(Upgrades!$T$11="Magnetosphere",POWER(Upgrades!$U$11,J10),1)*IF(Upgrades!$T$12="Magnetosphere",POWER(Upgrades!$U$12,K10),1))+(IF(I10=0,0,(Upgrades!$J$10+I10*Upgrades!$K$10)*POWER(Upgrades!$L$10,I10)))*(IF(Upgrades!$T$6="Orbital Resonance",POWER(Upgrades!$U$6,E10),1)*IF(Upgrades!$T$7="Orbital Resonance",POWER(Upgrades!$U$7,F10),1)*IF(Upgrades!$T$8="Orbital Resonance",POWER(Upgrades!$U$8,G10),1)*IF(Upgrades!$T$9="Orbital Resonance",POWER(Upgrades!$U$9,H10),1)*IF(Upgrades!$T$11="Orbital Resonance",POWER(Upgrades!$U$11,J10),1)*IF(Upgrades!$T$12="Orbital Resonance",POWER(Upgrades!$U$12,K10),1))+(IF(J10=0,0,(Upgrades!$J$11+J10*Upgrades!$K$11)*POWER(Upgrades!$L$11,J10)))*(IF(Upgrades!$T$6="Heliopause",POWER(Upgrades!$U$6,E10),1)*IF(Upgrades!$T$7="Heliopause",POWER(Upgrades!$U$7,F10),1)*IF(Upgrades!$T$8="Heliopause",POWER(Upgrades!$U$8,G10),1)*IF(Upgrades!$T$9="Heliopause",POWER(Upgrades!$U$9,H10),1)*IF(Upgrades!$T$10="Heliopause",POWER(Upgrades!$U$10,I10),1)*IF(Upgrades!$T$12="Heliopause",POWER(Upgrades!$U$12,K10),1))+(IF(K10=0,0,(Upgrades!$J$12+K10*Upgrades!$K$12)*POWER(Upgrades!$L$12,K10)))*(IF(Upgrades!$T$6="First Photons",POWER(Upgrades!$U$6,E10),1)*IF(Upgrades!$T$7="First Photons",POWER(Upgrades!$U$7,F10),1)*IF(Upgrades!$T$8="First Photons",POWER(Upgrades!$U$8,G10),1)*IF(Upgrades!$T$9="First Photons",POWER(Upgrades!$U$9,H10),1)*IF(Upgrades!$T$10="First Photons",POWER(Upgrades!$U$10,I10),1)*IF(Upgrades!$T$11="First Photons",POWER(Upgrades!$U$11,J10),1)))*POWER(Upgrades!$Q$6,E10)*POWER(Upgrades!$Q$7,F10)*POWER(Upgrades!$Q$8,G10)*POWER(Upgrades!$Q$9,H10)*POWER(Upgrades!$Q$10,I10)*POWER(Upgrades!$Q$11,J10)*POWER(Upgrades!$Q$12,K10)</f>
        <v>1.7</v>
      </c>
      <c r="N10" s="28" t="n">
        <f aca="false">((IF(E10=0,0,(Upgrades!$G$6+E10*Upgrades!$H$6)*POWER(Upgrades!$I$6,E10)))*(IF(Upgrades!$T$7="Solar Wind",POWER(Upgrades!$U$7,F10),1)*IF(Upgrades!$T$8="Solar Wind",POWER(Upgrades!$U$8,G10),1)*IF(Upgrades!$T$9="Solar Wind",POWER(Upgrades!$U$9,H10),1)*IF(Upgrades!$T$10="Solar Wind",POWER(Upgrades!$U$10,I10),1)*IF(Upgrades!$T$11="Solar Wind",POWER(Upgrades!$U$11,J10),1)*IF(Upgrades!$T$12="Solar Wind",POWER(Upgrades!$U$12,K10),1))+(IF(F10=0,0,(Upgrades!$G$7+F10*Upgrades!$H$7)*POWER(Upgrades!$I$7,F10)))*(IF(Upgrades!$T$6="Asteroid Belt",POWER(Upgrades!$U$6,E10),1)*IF(Upgrades!$T$8="Asteroid Belt",POWER(Upgrades!$U$8,G10),1)*IF(Upgrades!$T$9="Asteroid Belt",POWER(Upgrades!$U$9,H10),1)*IF(Upgrades!$T$10="Asteroid Belt",POWER(Upgrades!$U$10,I10),1)*IF(Upgrades!$T$11="Asteroid Belt",POWER(Upgrades!$U$11,J10),1)*IF(Upgrades!$T$12="Asteroid Belt",POWER(Upgrades!$U$12,K10),1))+(IF(G10=0,0,(Upgrades!$G$8+G10*Upgrades!$H$8)*POWER(Upgrades!$I$8,G10)))*(IF(Upgrades!$T$6="Stellar Coupling",POWER(Upgrades!$U$6,E10),1)*IF(Upgrades!$T$7="Stellar Coupling",POWER(Upgrades!$U$7,F10),1)*IF(Upgrades!$T$9="Stellar Coupling",POWER(Upgrades!$U$9,H10),1)*IF(Upgrades!$T$10="Stellar Coupling",POWER(Upgrades!$U$10,I10),1)*IF(Upgrades!$T$11="Stellar Coupling",POWER(Upgrades!$U$11,J10),1)*IF(Upgrades!$T$12="Stellar Coupling",POWER(Upgrades!$U$12,K10),1))+(IF(H10=0,0,(Upgrades!$G$9+H10*Upgrades!$H$9)*POWER(Upgrades!$I$9,H10)))*(IF(Upgrades!$T$6="Magnetosphere",POWER(Upgrades!$U$6,E10),1)*IF(Upgrades!$T$7="Magnetosphere",POWER(Upgrades!$U$7,F10),1)*IF(Upgrades!$T$8="Magnetosphere",POWER(Upgrades!$U$8,G10),1)*IF(Upgrades!$T$10="Magnetosphere",POWER(Upgrades!$U$10,I10),1)*IF(Upgrades!$T$11="Magnetosphere",POWER(Upgrades!$U$11,J10),1)*IF(Upgrades!$T$12="Magnetosphere",POWER(Upgrades!$U$12,K10),1))+(IF(I10=0,0,(Upgrades!$G$10+I10*Upgrades!$H$10)*POWER(Upgrades!$I$10,I10)))*(IF(Upgrades!$T$6="Orbital Resonance",POWER(Upgrades!$U$6,E10),1)*IF(Upgrades!$T$7="Orbital Resonance",POWER(Upgrades!$U$7,F10),1)*IF(Upgrades!$T$8="Orbital Resonance",POWER(Upgrades!$U$8,G10),1)*IF(Upgrades!$T$9="Orbital Resonance",POWER(Upgrades!$U$9,H10),1)*IF(Upgrades!$T$11="Orbital Resonance",POWER(Upgrades!$U$11,J10),1)*IF(Upgrades!$T$12="Orbital Resonance",POWER(Upgrades!$U$12,K10),1))+(IF(J10=0,0,(Upgrades!$G$11+J10*Upgrades!$H$11)*POWER(Upgrades!$I$11,J10)))*(IF(Upgrades!$T$6="Heliopause",POWER(Upgrades!$U$6,E10),1)*IF(Upgrades!$T$7="Heliopause",POWER(Upgrades!$U$7,F10),1)*IF(Upgrades!$T$8="Heliopause",POWER(Upgrades!$U$8,G10),1)*IF(Upgrades!$T$9="Heliopause",POWER(Upgrades!$U$9,H10),1)*IF(Upgrades!$T$10="Heliopause",POWER(Upgrades!$U$10,I10),1)*IF(Upgrades!$T$12="Heliopause",POWER(Upgrades!$U$12,K10),1))+(IF(K10=0,0,(Upgrades!$G$12+K10*Upgrades!$H$12)*POWER(Upgrades!$I$12,K10)))*(IF(Upgrades!$T$6="First Photons",POWER(Upgrades!$U$6,E10),1)*IF(Upgrades!$T$7="First Photons",POWER(Upgrades!$U$7,F10),1)*IF(Upgrades!$T$8="First Photons",POWER(Upgrades!$U$8,G10),1)*IF(Upgrades!$T$9="First Photons",POWER(Upgrades!$U$9,H10),1)*IF(Upgrades!$T$10="First Photons",POWER(Upgrades!$U$10,I10),1)*IF(Upgrades!$T$11="First Photons",POWER(Upgrades!$U$11,J10),1)))*POWER(Upgrades!$P$6,E10)*POWER(Upgrades!$P$7,F10)*POWER(Upgrades!$P$8,G10)*POWER(Upgrades!$P$9,H10)*POWER(Upgrades!$P$10,I10)*POWER(Upgrades!$P$11,J10)*POWER(Upgrades!$P$12,K10)</f>
        <v>0.08</v>
      </c>
      <c r="O10" s="28" t="n">
        <f aca="false">((IF(E10=0,0,(Upgrades!$M$6+E10*Upgrades!$N$6)*POWER(Upgrades!$O$6,E10)))*(IF(Upgrades!$T$7="Solar Wind",POWER(Upgrades!$U$7,F10),1)*IF(Upgrades!$T$8="Solar Wind",POWER(Upgrades!$U$8,G10),1)*IF(Upgrades!$T$9="Solar Wind",POWER(Upgrades!$U$9,H10),1)*IF(Upgrades!$T$10="Solar Wind",POWER(Upgrades!$U$10,I10),1)*IF(Upgrades!$T$11="Solar Wind",POWER(Upgrades!$U$11,J10),1)*IF(Upgrades!$T$12="Solar Wind",POWER(Upgrades!$U$12,K10),1))+(IF(F10=0,0,(Upgrades!$M$7+F10*Upgrades!$N$7)*POWER(Upgrades!$O$7,F10)))*(IF(Upgrades!$T$6="Asteroid Belt",POWER(Upgrades!$U$6,E10),1)*IF(Upgrades!$T$8="Asteroid Belt",POWER(Upgrades!$U$8,G10),1)*IF(Upgrades!$T$9="Asteroid Belt",POWER(Upgrades!$U$9,H10),1)*IF(Upgrades!$T$10="Asteroid Belt",POWER(Upgrades!$U$10,I10),1)*IF(Upgrades!$T$11="Asteroid Belt",POWER(Upgrades!$U$11,J10),1)*IF(Upgrades!$T$12="Asteroid Belt",POWER(Upgrades!$U$12,K10),1))+(IF(G10=0,0,(Upgrades!$M$8+G10*Upgrades!$N$8)*POWER(Upgrades!$O$8,G10)))*(IF(Upgrades!$T$6="Stellar Coupling",POWER(Upgrades!$U$6,E10),1)*IF(Upgrades!$T$7="Stellar Coupling",POWER(Upgrades!$U$7,F10),1)*IF(Upgrades!$T$9="Stellar Coupling",POWER(Upgrades!$U$9,H10),1)*IF(Upgrades!$T$10="Stellar Coupling",POWER(Upgrades!$U$10,I10),1)*IF(Upgrades!$T$11="Stellar Coupling",POWER(Upgrades!$U$11,J10),1)*IF(Upgrades!$T$12="Stellar Coupling",POWER(Upgrades!$U$12,K10),1))+(IF(H10=0,0,(Upgrades!$M$9+H10*Upgrades!$N$9)*POWER(Upgrades!$O$9,H10)))*(IF(Upgrades!$T$6="Magnetosphere",POWER(Upgrades!$U$6,E10),1)*IF(Upgrades!$T$7="Magnetosphere",POWER(Upgrades!$U$7,F10),1)*IF(Upgrades!$T$8="Magnetosphere",POWER(Upgrades!$U$8,G10),1)*IF(Upgrades!$T$10="Magnetosphere",POWER(Upgrades!$U$10,I10),1)*IF(Upgrades!$T$11="Magnetosphere",POWER(Upgrades!$U$11,J10),1)*IF(Upgrades!$T$12="Magnetosphere",POWER(Upgrades!$U$12,K10),1))+(IF(I10=0,0,(Upgrades!$M$10+I10*Upgrades!$N$10)*POWER(Upgrades!$O$10,I10)))*(IF(Upgrades!$T$6="Orbital Resonance",POWER(Upgrades!$U$6,E10),1)*IF(Upgrades!$T$7="Orbital Resonance",POWER(Upgrades!$U$7,F10),1)*IF(Upgrades!$T$8="Orbital Resonance",POWER(Upgrades!$U$8,G10),1)*IF(Upgrades!$T$9="Orbital Resonance",POWER(Upgrades!$U$9,H10),1)*IF(Upgrades!$T$11="Orbital Resonance",POWER(Upgrades!$U$11,J10),1)*IF(Upgrades!$T$12="Orbital Resonance",POWER(Upgrades!$U$12,K10),1))+(IF(J10=0,0,(Upgrades!$M$11+J10*Upgrades!$N$11)*POWER(Upgrades!$O$11,J10)))*(IF(Upgrades!$T$6="Heliopause",POWER(Upgrades!$U$6,E10),1)*IF(Upgrades!$T$7="Heliopause",POWER(Upgrades!$U$7,F10),1)*IF(Upgrades!$T$8="Heliopause",POWER(Upgrades!$U$8,G10),1)*IF(Upgrades!$T$9="Heliopause",POWER(Upgrades!$U$9,H10),1)*IF(Upgrades!$T$10="Heliopause",POWER(Upgrades!$U$10,I10),1)*IF(Upgrades!$T$12="Heliopause",POWER(Upgrades!$U$12,K10),1))+(IF(K10=0,0,(Upgrades!$M$12+K10*Upgrades!$N$12)*POWER(Upgrades!$O$12,K10)))*(IF(Upgrades!$T$6="First Photons",POWER(Upgrades!$U$6,E10),1)*IF(Upgrades!$T$7="First Photons",POWER(Upgrades!$U$7,F10),1)*IF(Upgrades!$T$8="First Photons",POWER(Upgrades!$U$8,G10),1)*IF(Upgrades!$T$9="First Photons",POWER(Upgrades!$U$9,H10),1)*IF(Upgrades!$T$10="First Photons",POWER(Upgrades!$U$10,I10),1)*IF(Upgrades!$T$11="First Photons",POWER(Upgrades!$U$11,J10),1)))*POWER(Upgrades!$R$6,E10)*POWER(Upgrades!$R$7,F10)*POWER(Upgrades!$R$8,G10)*POWER(Upgrades!$R$9,H10)*POWER(Upgrades!$R$10,I10)*POWER(Upgrades!$R$11,J10)*POWER(Upgrades!$R$12,K10)</f>
        <v>0</v>
      </c>
      <c r="P10" s="27" t="n">
        <f aca="false">IF(L10=1,0,M10*Parameters!$B$10/60*Parameters!$B$11*10)</f>
        <v>28.3333333333333</v>
      </c>
      <c r="Q10" s="27" t="n">
        <f aca="false">IF(L10=1,0,O10*M10*10)</f>
        <v>0</v>
      </c>
      <c r="R10" s="27" t="n">
        <f aca="false">IF(L10=1,0,N10*10)</f>
        <v>0.8</v>
      </c>
      <c r="S10" s="27" t="n">
        <f aca="false">P10+Q10+R10</f>
        <v>29.1333333333333</v>
      </c>
      <c r="T10" s="21" t="n">
        <f aca="false">C10+S10</f>
        <v>53.5</v>
      </c>
      <c r="U10" s="34" t="str">
        <f aca="false">AX10</f>
        <v>SC</v>
      </c>
      <c r="V10" s="21" t="n">
        <f aca="false">IF(U10="",0,IF(U10="transition",0,IF(U10="SW",AG10,IF(U10="AB",AH10,IF(U10="SC",AI10,IF(U10="Mag",AJ10,IF(U10="OR",AK10,IF(U10="HP",AL10,IF(U10="FP",AM10,0)))))))))</f>
        <v>43.12</v>
      </c>
      <c r="W10" s="27" t="n">
        <f aca="false">IF(U10="OR",Upgrades!$F$10,IF(U10="HP",Upgrades!$F$11,IF(U10="transition",-Parameters!$B$18,0)))</f>
        <v>0</v>
      </c>
      <c r="X10" s="21" t="n">
        <f aca="false">T10-V10</f>
        <v>10.38</v>
      </c>
      <c r="Y10" s="30" t="n">
        <f aca="false">M10*Parameters!$B$10/60*Parameters!$B$11+O10*M10+N10</f>
        <v>2.91333333333333</v>
      </c>
      <c r="Z10" s="35" t="str">
        <f aca="false">IF(U10="transition","→ Tier 2 (Stellar Neighborhood)",IF(U10="FP","First Photons — light begins, system quickens",IF(U10="HP","Heliopause acquired",IF(U10="OR","Orbital Resonance — passive multiplier active",IF(AND(AO10=1,L10=0,AN10&lt;&gt;1),"Cohesion ready (waiting on completionist upgrades)","")))))</f>
        <v/>
      </c>
      <c r="AA10" s="27" t="n">
        <f aca="false">(IF(E10=0,0,(Upgrades!$G$6+E10*Upgrades!$H$6)*POWER(Upgrades!$I$6,E10)))*(IF(Upgrades!$T$7="Solar Wind",POWER(Upgrades!$U$7,F10),1)*IF(Upgrades!$T$8="Solar Wind",POWER(Upgrades!$U$8,G10),1)*IF(Upgrades!$T$9="Solar Wind",POWER(Upgrades!$U$9,H10),1)*IF(Upgrades!$T$10="Solar Wind",POWER(Upgrades!$U$10,I10),1)*IF(Upgrades!$T$11="Solar Wind",POWER(Upgrades!$U$11,J10),1)*IF(Upgrades!$T$12="Solar Wind",POWER(Upgrades!$U$12,K10),1))*POWER(Upgrades!$P$6,E10)*POWER(Upgrades!$P$7,F10)*POWER(Upgrades!$P$8,G10)*POWER(Upgrades!$P$9,H10)*POWER(Upgrades!$P$10,I10)*POWER(Upgrades!$P$11,J10)*POWER(Upgrades!$P$12,K10)*60</f>
        <v>4.8</v>
      </c>
      <c r="AB10" s="27" t="n">
        <f aca="false">(IF(F10=0,0,(Upgrades!$G$7+F10*Upgrades!$H$7)*POWER(Upgrades!$I$7,F10)))*(IF(Upgrades!$T$6="Asteroid Belt",POWER(Upgrades!$U$6,E10),1)*IF(Upgrades!$T$8="Asteroid Belt",POWER(Upgrades!$U$8,G10),1)*IF(Upgrades!$T$9="Asteroid Belt",POWER(Upgrades!$U$9,H10),1)*IF(Upgrades!$T$10="Asteroid Belt",POWER(Upgrades!$U$10,I10),1)*IF(Upgrades!$T$11="Asteroid Belt",POWER(Upgrades!$U$11,J10),1)*IF(Upgrades!$T$12="Asteroid Belt",POWER(Upgrades!$U$12,K10),1))*POWER(Upgrades!$P$6,E10)*POWER(Upgrades!$P$7,F10)*POWER(Upgrades!$P$8,G10)*POWER(Upgrades!$P$9,H10)*POWER(Upgrades!$P$10,I10)*POWER(Upgrades!$P$11,J10)*POWER(Upgrades!$P$12,K10)*60</f>
        <v>0</v>
      </c>
      <c r="AC10" s="27" t="n">
        <f aca="false">(IF(G10=0,0,(Upgrades!$J$8+G10*Upgrades!$K$8)*POWER(Upgrades!$L$8,G10)))*(IF(Upgrades!$T$6="Stellar Coupling",POWER(Upgrades!$U$6,E10),1)*IF(Upgrades!$T$7="Stellar Coupling",POWER(Upgrades!$U$7,F10),1)*IF(Upgrades!$T$9="Stellar Coupling",POWER(Upgrades!$U$9,H10),1)*IF(Upgrades!$T$10="Stellar Coupling",POWER(Upgrades!$U$10,I10),1)*IF(Upgrades!$T$11="Stellar Coupling",POWER(Upgrades!$U$11,J10),1)*IF(Upgrades!$T$12="Stellar Coupling",POWER(Upgrades!$U$12,K10),1))*POWER(Upgrades!$Q$6,E10)*POWER(Upgrades!$Q$7,F10)*POWER(Upgrades!$Q$8,G10)*POWER(Upgrades!$Q$9,H10)*POWER(Upgrades!$Q$10,I10)*POWER(Upgrades!$Q$11,J10)*POWER(Upgrades!$Q$12,K10)*Parameters!$B$10*Parameters!$B$11</f>
        <v>70</v>
      </c>
      <c r="AD10" s="27" t="n">
        <f aca="false">(IF(H10=0,0,(Upgrades!$G$9+H10*Upgrades!$H$9)*POWER(Upgrades!$I$9,H10)))*(IF(Upgrades!$T$6="Magnetosphere",POWER(Upgrades!$U$6,E10),1)*IF(Upgrades!$T$7="Magnetosphere",POWER(Upgrades!$U$7,F10),1)*IF(Upgrades!$T$8="Magnetosphere",POWER(Upgrades!$U$8,G10),1)*IF(Upgrades!$T$10="Magnetosphere",POWER(Upgrades!$U$10,I10),1)*IF(Upgrades!$T$11="Magnetosphere",POWER(Upgrades!$U$11,J10),1)*IF(Upgrades!$T$12="Magnetosphere",POWER(Upgrades!$U$12,K10),1))*POWER(Upgrades!$P$6,E10)*POWER(Upgrades!$P$7,F10)*POWER(Upgrades!$P$8,G10)*POWER(Upgrades!$P$9,H10)*POWER(Upgrades!$P$10,I10)*POWER(Upgrades!$P$11,J10)*POWER(Upgrades!$P$12,K10)*60</f>
        <v>0</v>
      </c>
      <c r="AE10" s="27" t="n">
        <f aca="false">(IF(K10=0,0,(Upgrades!$G$12+K10*Upgrades!$H$12)*POWER(Upgrades!$I$12,K10)))*(IF(Upgrades!$T$6="First Photons",POWER(Upgrades!$U$6,E10),1)*IF(Upgrades!$T$7="First Photons",POWER(Upgrades!$U$7,F10),1)*IF(Upgrades!$T$8="First Photons",POWER(Upgrades!$U$8,G10),1)*IF(Upgrades!$T$9="First Photons",POWER(Upgrades!$U$9,H10),1)*IF(Upgrades!$T$10="First Photons",POWER(Upgrades!$U$10,I10),1)*IF(Upgrades!$T$11="First Photons",POWER(Upgrades!$U$11,J10),1))*POWER(Upgrades!$P$6,E10)*POWER(Upgrades!$P$7,F10)*POWER(Upgrades!$P$8,G10)*POWER(Upgrades!$P$9,H10)*POWER(Upgrades!$P$10,I10)*POWER(Upgrades!$P$11,J10)*POWER(Upgrades!$P$12,K10)*60</f>
        <v>0</v>
      </c>
      <c r="AF10" s="27" t="n">
        <f aca="false">Parameters!$B$9*POWER(Upgrades!$Q$6,E10)*POWER(Upgrades!$Q$7,F10)*POWER(Upgrades!$Q$8,G10)*POWER(Upgrades!$Q$9,H10)*POWER(Upgrades!$Q$10,I10)*POWER(Upgrades!$Q$11,J10)*POWER(Upgrades!$Q$12,K10)*(Parameters!$B$10*Parameters!$B$11+O10*60)</f>
        <v>100</v>
      </c>
      <c r="AG10" s="21" t="n">
        <f aca="false">IF(E10&gt;=Upgrades!$E$6,"",Upgrades!$C$6*POWER(Upgrades!$D$6,E10))</f>
        <v>8.05</v>
      </c>
      <c r="AH10" s="21" t="n">
        <f aca="false">IF(F10&gt;=Upgrades!$E$7,"",Upgrades!$C$7*POWER(Upgrades!$D$7,F10))</f>
        <v>20</v>
      </c>
      <c r="AI10" s="21" t="n">
        <f aca="false">IF(G10&gt;=Upgrades!$E$8,"",Upgrades!$C$8*POWER(Upgrades!$D$8,G10))</f>
        <v>43.12</v>
      </c>
      <c r="AJ10" s="21" t="n">
        <f aca="false">IF(H10&gt;=Upgrades!$E$9,"",Upgrades!$C$9*POWER(Upgrades!$D$9,H10))</f>
        <v>80</v>
      </c>
      <c r="AK10" s="21" t="n">
        <f aca="false">IF(I10&gt;=Upgrades!$E$10,"",Upgrades!$C$10*POWER(Upgrades!$D$10,I10))</f>
        <v>240</v>
      </c>
      <c r="AL10" s="21" t="n">
        <f aca="false">IF(J10&gt;=Upgrades!$E$11,"",Upgrades!$C$11*POWER(Upgrades!$D$11,J10))</f>
        <v>575</v>
      </c>
      <c r="AM10" s="21" t="n">
        <f aca="false">IF(K10&gt;=Upgrades!$E$12,"",Upgrades!$C$12*POWER(Upgrades!$D$12,K10))</f>
        <v>850</v>
      </c>
      <c r="AN10" s="26" t="str">
        <f aca="false">IF(AND(D10&gt;=Parameters!$B$18,(H10&gt;=Upgrades!$E$9)*(K10&gt;=Upgrades!$E$12)=1,L10=0),1,"")</f>
        <v/>
      </c>
      <c r="AO10" s="26" t="str">
        <f aca="false">IF(AND(D10&gt;=Parameters!$B$18,L10=0),1,"")</f>
        <v/>
      </c>
      <c r="AP10" s="21" t="n">
        <f aca="false">MIN(IF(ISNUMBER(AK10),AK10,9000000000000000),IF(ISNUMBER(AL10),AL10,9000000000000000),IF(ISNUMBER(AM10),AM10,9000000000000000))</f>
        <v>240</v>
      </c>
      <c r="AQ10" s="21" t="n">
        <f aca="false">MIN(IF(ISNUMBER(AG10),AG10,9000000000000000),IF(ISNUMBER(AH10),AH10,9000000000000000),IF(ISNUMBER(AI10),AI10,9000000000000000),IF(ISNUMBER(AJ10),AJ10,9000000000000000))</f>
        <v>8.05</v>
      </c>
      <c r="AR10" s="32" t="b">
        <f aca="false">IF(AW10&gt;Parameters!$B$21*(MAX(IF(AND(NOT(AND(AO10=1,AN10&lt;&gt;1)),ISNUMBER(AG10),AG10&lt;=T10),AS10,0),IF(AND(NOT(AND(AO10=1,AN10&lt;&gt;1)),ISNUMBER(AH10),AH10&lt;=T10),AT10,0),IF(AND(NOT(AND(AO10=1,AN10&lt;&gt;1)),ISNUMBER(AI10),AI10&lt;=T10),AU10,0),IF(AND(ISNUMBER(AJ10),AJ10&lt;=T10),AV10,0))),TRUE(),FALSE())</f>
        <v>0</v>
      </c>
      <c r="AS10" s="33" t="n">
        <f aca="false">IFERROR(Upgrades!$H$6*(POWER(Upgrades!$P$6,E10)*POWER(Upgrades!$P$7,F10)*POWER(Upgrades!$P$8,G10)*POWER(Upgrades!$P$9,H10)*POWER(Upgrades!$P$10,I10)*POWER(Upgrades!$P$11,J10)*POWER(Upgrades!$P$12,K10))*(IF(Upgrades!$T$7="Solar Wind",POWER(Upgrades!$U$7,F10),1)*IF(Upgrades!$T$8="Solar Wind",POWER(Upgrades!$U$8,G10),1)*IF(Upgrades!$T$9="Solar Wind",POWER(Upgrades!$U$9,H10),1)*IF(Upgrades!$T$10="Solar Wind",POWER(Upgrades!$U$10,I10),1)*IF(Upgrades!$T$11="Solar Wind",POWER(Upgrades!$U$11,J10),1)*IF(Upgrades!$T$12="Solar Wind",POWER(Upgrades!$U$12,K10),1))/AG10,0)</f>
        <v>0.00993788819875777</v>
      </c>
      <c r="AT10" s="33" t="n">
        <f aca="false">IFERROR(Upgrades!$H$7*(POWER(Upgrades!$P$6,E10)*POWER(Upgrades!$P$7,F10)*POWER(Upgrades!$P$8,G10)*POWER(Upgrades!$P$9,H10)*POWER(Upgrades!$P$10,I10)*POWER(Upgrades!$P$11,J10)*POWER(Upgrades!$P$12,K10))*(IF(Upgrades!$T$6="Asteroid Belt",POWER(Upgrades!$U$6,E10),1)*IF(Upgrades!$T$8="Asteroid Belt",POWER(Upgrades!$U$8,G10),1)*IF(Upgrades!$T$9="Asteroid Belt",POWER(Upgrades!$U$9,H10),1)*IF(Upgrades!$T$10="Asteroid Belt",POWER(Upgrades!$U$10,I10),1)*IF(Upgrades!$T$11="Asteroid Belt",POWER(Upgrades!$U$11,J10),1)*IF(Upgrades!$T$12="Asteroid Belt",POWER(Upgrades!$U$12,K10),1))/AH10,0)</f>
        <v>0.01</v>
      </c>
      <c r="AU10" s="33" t="n">
        <f aca="false">IFERROR(Upgrades!$K$8*(POWER(Upgrades!$Q$6,E10)*POWER(Upgrades!$Q$7,F10)*POWER(Upgrades!$Q$8,G10)*POWER(Upgrades!$Q$9,H10)*POWER(Upgrades!$Q$10,I10)*POWER(Upgrades!$Q$11,J10)*POWER(Upgrades!$Q$12,K10))*(IF(Upgrades!$T$6="Stellar Coupling",POWER(Upgrades!$U$6,E10),1)*IF(Upgrades!$T$7="Stellar Coupling",POWER(Upgrades!$U$7,F10),1)*IF(Upgrades!$T$9="Stellar Coupling",POWER(Upgrades!$U$9,H10),1)*IF(Upgrades!$T$10="Stellar Coupling",POWER(Upgrades!$U$10,I10),1)*IF(Upgrades!$T$11="Stellar Coupling",POWER(Upgrades!$U$11,J10),1)*IF(Upgrades!$T$12="Stellar Coupling",POWER(Upgrades!$U$12,K10),1))*Parameters!$B$10*Parameters!$B$11/60/AI10,0)</f>
        <v>0.0135281385281385</v>
      </c>
      <c r="AV10" s="33" t="n">
        <f aca="false">IFERROR(Upgrades!$H$9*(POWER(Upgrades!$P$6,E10)*POWER(Upgrades!$P$7,F10)*POWER(Upgrades!$P$8,G10)*POWER(Upgrades!$P$9,H10)*POWER(Upgrades!$P$10,I10)*POWER(Upgrades!$P$11,J10)*POWER(Upgrades!$P$12,K10))*(IF(Upgrades!$T$6="Magnetosphere",POWER(Upgrades!$U$6,E10),1)*IF(Upgrades!$T$7="Magnetosphere",POWER(Upgrades!$U$7,F10),1)*IF(Upgrades!$T$8="Magnetosphere",POWER(Upgrades!$U$8,G10),1)*IF(Upgrades!$T$10="Magnetosphere",POWER(Upgrades!$U$10,I10),1)*IF(Upgrades!$T$11="Magnetosphere",POWER(Upgrades!$U$11,J10),1)*IF(Upgrades!$T$12="Magnetosphere",POWER(Upgrades!$U$12,K10),1))/AJ10,0)</f>
        <v>0.0125</v>
      </c>
      <c r="AW10" s="33" t="n">
        <f aca="false">MAX(IF(I10&gt;0,0,IFERROR(0.25*N10/Upgrades!$C$10,0)),IF(J10&gt;0,0,IFERROR(0.5*((IF(G10=0,0,(Upgrades!$J$8+G10*Upgrades!$K$8)*POWER(Upgrades!$L$8,G10)))*(IF(Upgrades!$T$6="Stellar Coupling",POWER(Upgrades!$U$6,E10),1)*IF(Upgrades!$T$7="Stellar Coupling",POWER(Upgrades!$U$7,F10),1)*IF(Upgrades!$T$9="Stellar Coupling",POWER(Upgrades!$U$9,H10),1)*IF(Upgrades!$T$10="Stellar Coupling",POWER(Upgrades!$U$10,I10),1)*IF(Upgrades!$T$11="Stellar Coupling",POWER(Upgrades!$U$11,J10),1)*IF(Upgrades!$T$12="Stellar Coupling",POWER(Upgrades!$U$12,K10),1))*(POWER(Upgrades!$Q$6,E10)*POWER(Upgrades!$Q$7,F10)*POWER(Upgrades!$Q$8,G10)*POWER(Upgrades!$Q$9,H10)*POWER(Upgrades!$Q$10,I10)*POWER(Upgrades!$Q$11,J10)*POWER(Upgrades!$Q$12,K10))*Parameters!$B$10*Parameters!$B$11/60)/Upgrades!$C$11,0)),IF(K10&gt;0,0,IFERROR((1*(POWER(Upgrades!$P$6,E10)*POWER(Upgrades!$P$7,F10)*POWER(Upgrades!$P$8,G10)*POWER(Upgrades!$P$9,H10)*POWER(Upgrades!$P$10,I10)*POWER(Upgrades!$P$11,J10)*POWER(Upgrades!$P$12,K10))+0.2*M10*Parameters!$B$10*Parameters!$B$11/60)/Upgrades!$C$12,0)),IF(AND(ISNUMBER(AG10),AG10&gt;T10),AS10,0),IF(AND(ISNUMBER(AH10),AH10&gt;T10),AT10,0),IF(AND(ISNUMBER(AI10),AI10&gt;T10),AU10,0),IF(AND(ISNUMBER(AJ10),AJ10&gt;T10),AV10,0))</f>
        <v>0.0125</v>
      </c>
      <c r="AX10" s="29" t="str">
        <f aca="false">IF(AN10=1,"transition",IF(MIN(IF(AND(I10=0,ISNUMBER(AK10),AK10&lt;=T10),AK10,9000000000000000),IF(AND(J10=0,ISNUMBER(AL10),AL10&lt;=T10),AL10,9000000000000000),IF(AND(K10=0,ISNUMBER(AM10),AM10&lt;=T10),AM10,9000000000000000))&lt;9000000000000000,IF(AND(AND(I10=0,ISNUMBER(AK10),AK10&lt;=T10),AK10=MIN(IF(AND(I10=0,ISNUMBER(AK10),AK10&lt;=T10),AK10,9000000000000000),IF(AND(J10=0,ISNUMBER(AL10),AL10&lt;=T10),AL10,9000000000000000),IF(AND(K10=0,ISNUMBER(AM10),AM10&lt;=T10),AM10,9000000000000000))),"OR",IF(AND(AND(J10=0,ISNUMBER(AL10),AL10&lt;=T10),AL10=MIN(IF(AND(I10=0,ISNUMBER(AK10),AK10&lt;=T10),AK10,9000000000000000),IF(AND(J10=0,ISNUMBER(AL10),AL10&lt;=T10),AL10,9000000000000000),IF(AND(K10=0,ISNUMBER(AM10),AM10&lt;=T10),AM10,9000000000000000))),"HP","FP")),IF(AR10=TRUE(),"",IF(MAX(IF(AND(NOT(AND(AO10=1,AN10&lt;&gt;1)),ISNUMBER(AG10),AG10&lt;=T10),AS10,0),IF(AND(NOT(AND(AO10=1,AN10&lt;&gt;1)),ISNUMBER(AH10),AH10&lt;=T10),AT10,0),IF(AND(NOT(AND(AO10=1,AN10&lt;&gt;1)),ISNUMBER(AI10),AI10&lt;=T10),AU10,0),IF(AND(ISNUMBER(AJ10),AJ10&lt;=T10),AV10,0))&lt;=0,"",IF(AND(IF(AND(NOT(AND(AO10=1,AN10&lt;&gt;1)),ISNUMBER(AG10),AG10&lt;=T10),AS10,0)&gt;0,IF(AND(NOT(AND(AO10=1,AN10&lt;&gt;1)),ISNUMBER(AG10),AG10&lt;=T10),AS10,0)=MAX(IF(AND(NOT(AND(AO10=1,AN10&lt;&gt;1)),ISNUMBER(AG10),AG10&lt;=T10),AS10,0),IF(AND(NOT(AND(AO10=1,AN10&lt;&gt;1)),ISNUMBER(AH10),AH10&lt;=T10),AT10,0),IF(AND(NOT(AND(AO10=1,AN10&lt;&gt;1)),ISNUMBER(AI10),AI10&lt;=T10),AU10,0),IF(AND(ISNUMBER(AJ10),AJ10&lt;=T10),AV10,0))),"SW",IF(AND(IF(AND(NOT(AND(AO10=1,AN10&lt;&gt;1)),ISNUMBER(AH10),AH10&lt;=T10),AT10,0)&gt;0,IF(AND(NOT(AND(AO10=1,AN10&lt;&gt;1)),ISNUMBER(AH10),AH10&lt;=T10),AT10,0)=MAX(IF(AND(NOT(AND(AO10=1,AN10&lt;&gt;1)),ISNUMBER(AG10),AG10&lt;=T10),AS10,0),IF(AND(NOT(AND(AO10=1,AN10&lt;&gt;1)),ISNUMBER(AH10),AH10&lt;=T10),AT10,0),IF(AND(NOT(AND(AO10=1,AN10&lt;&gt;1)),ISNUMBER(AI10),AI10&lt;=T10),AU10,0),IF(AND(ISNUMBER(AJ10),AJ10&lt;=T10),AV10,0))),"AB",IF(AND(IF(AND(NOT(AND(AO10=1,AN10&lt;&gt;1)),ISNUMBER(AI10),AI10&lt;=T10),AU10,0)&gt;0,IF(AND(NOT(AND(AO10=1,AN10&lt;&gt;1)),ISNUMBER(AI10),AI10&lt;=T10),AU10,0)=MAX(IF(AND(NOT(AND(AO10=1,AN10&lt;&gt;1)),ISNUMBER(AG10),AG10&lt;=T10),AS10,0),IF(AND(NOT(AND(AO10=1,AN10&lt;&gt;1)),ISNUMBER(AH10),AH10&lt;=T10),AT10,0),IF(AND(NOT(AND(AO10=1,AN10&lt;&gt;1)),ISNUMBER(AI10),AI10&lt;=T10),AU10,0),IF(AND(ISNUMBER(AJ10),AJ10&lt;=T10),AV10,0))),"SC","Mag")))))))</f>
        <v>SC</v>
      </c>
    </row>
    <row r="11" customFormat="false" ht="15" hidden="false" customHeight="false" outlineLevel="0" collapsed="false">
      <c r="A11" s="26" t="n">
        <v>6</v>
      </c>
      <c r="B11" s="27" t="n">
        <f aca="false">A11*10/60</f>
        <v>1</v>
      </c>
      <c r="C11" s="21" t="n">
        <f aca="false">X10</f>
        <v>10.38</v>
      </c>
      <c r="D11" s="27" t="n">
        <f aca="false">D10+W10</f>
        <v>0</v>
      </c>
      <c r="E11" s="26" t="n">
        <f aca="false">E10+IF(U10="SW",1,0)</f>
        <v>1</v>
      </c>
      <c r="F11" s="26" t="n">
        <f aca="false">F10+IF(U10="AB",1,0)</f>
        <v>0</v>
      </c>
      <c r="G11" s="26" t="n">
        <f aca="false">G10+IF(U10="SC",1,0)</f>
        <v>3</v>
      </c>
      <c r="H11" s="26" t="n">
        <f aca="false">H10+IF(U10="Mag",1,0)</f>
        <v>0</v>
      </c>
      <c r="I11" s="26" t="n">
        <f aca="false">MAX(I10,IF(U10="OR",1,0))</f>
        <v>0</v>
      </c>
      <c r="J11" s="26" t="n">
        <f aca="false">MAX(J10,IF(U10="HP",1,0))</f>
        <v>0</v>
      </c>
      <c r="K11" s="26" t="n">
        <f aca="false">MAX(K10,IF(U10="FP",1,0))</f>
        <v>0</v>
      </c>
      <c r="L11" s="26" t="n">
        <f aca="false">MAX(L10,IF(U10="transition",1,0))</f>
        <v>0</v>
      </c>
      <c r="M11" s="28" t="n">
        <f aca="false">(Parameters!$B$9+(IF(E11=0,0,(Upgrades!$J$6+E11*Upgrades!$K$6)*POWER(Upgrades!$L$6,E11)))*(IF(Upgrades!$T$7="Solar Wind",POWER(Upgrades!$U$7,F11),1)*IF(Upgrades!$T$8="Solar Wind",POWER(Upgrades!$U$8,G11),1)*IF(Upgrades!$T$9="Solar Wind",POWER(Upgrades!$U$9,H11),1)*IF(Upgrades!$T$10="Solar Wind",POWER(Upgrades!$U$10,I11),1)*IF(Upgrades!$T$11="Solar Wind",POWER(Upgrades!$U$11,J11),1)*IF(Upgrades!$T$12="Solar Wind",POWER(Upgrades!$U$12,K11),1))+(IF(F11=0,0,(Upgrades!$J$7+F11*Upgrades!$K$7)*POWER(Upgrades!$L$7,F11)))*(IF(Upgrades!$T$6="Asteroid Belt",POWER(Upgrades!$U$6,E11),1)*IF(Upgrades!$T$8="Asteroid Belt",POWER(Upgrades!$U$8,G11),1)*IF(Upgrades!$T$9="Asteroid Belt",POWER(Upgrades!$U$9,H11),1)*IF(Upgrades!$T$10="Asteroid Belt",POWER(Upgrades!$U$10,I11),1)*IF(Upgrades!$T$11="Asteroid Belt",POWER(Upgrades!$U$11,J11),1)*IF(Upgrades!$T$12="Asteroid Belt",POWER(Upgrades!$U$12,K11),1))+(IF(G11=0,0,(Upgrades!$J$8+G11*Upgrades!$K$8)*POWER(Upgrades!$L$8,G11)))*(IF(Upgrades!$T$6="Stellar Coupling",POWER(Upgrades!$U$6,E11),1)*IF(Upgrades!$T$7="Stellar Coupling",POWER(Upgrades!$U$7,F11),1)*IF(Upgrades!$T$9="Stellar Coupling",POWER(Upgrades!$U$9,H11),1)*IF(Upgrades!$T$10="Stellar Coupling",POWER(Upgrades!$U$10,I11),1)*IF(Upgrades!$T$11="Stellar Coupling",POWER(Upgrades!$U$11,J11),1)*IF(Upgrades!$T$12="Stellar Coupling",POWER(Upgrades!$U$12,K11),1))+(IF(H11=0,0,(Upgrades!$J$9+H11*Upgrades!$K$9)*POWER(Upgrades!$L$9,H11)))*(IF(Upgrades!$T$6="Magnetosphere",POWER(Upgrades!$U$6,E11),1)*IF(Upgrades!$T$7="Magnetosphere",POWER(Upgrades!$U$7,F11),1)*IF(Upgrades!$T$8="Magnetosphere",POWER(Upgrades!$U$8,G11),1)*IF(Upgrades!$T$10="Magnetosphere",POWER(Upgrades!$U$10,I11),1)*IF(Upgrades!$T$11="Magnetosphere",POWER(Upgrades!$U$11,J11),1)*IF(Upgrades!$T$12="Magnetosphere",POWER(Upgrades!$U$12,K11),1))+(IF(I11=0,0,(Upgrades!$J$10+I11*Upgrades!$K$10)*POWER(Upgrades!$L$10,I11)))*(IF(Upgrades!$T$6="Orbital Resonance",POWER(Upgrades!$U$6,E11),1)*IF(Upgrades!$T$7="Orbital Resonance",POWER(Upgrades!$U$7,F11),1)*IF(Upgrades!$T$8="Orbital Resonance",POWER(Upgrades!$U$8,G11),1)*IF(Upgrades!$T$9="Orbital Resonance",POWER(Upgrades!$U$9,H11),1)*IF(Upgrades!$T$11="Orbital Resonance",POWER(Upgrades!$U$11,J11),1)*IF(Upgrades!$T$12="Orbital Resonance",POWER(Upgrades!$U$12,K11),1))+(IF(J11=0,0,(Upgrades!$J$11+J11*Upgrades!$K$11)*POWER(Upgrades!$L$11,J11)))*(IF(Upgrades!$T$6="Heliopause",POWER(Upgrades!$U$6,E11),1)*IF(Upgrades!$T$7="Heliopause",POWER(Upgrades!$U$7,F11),1)*IF(Upgrades!$T$8="Heliopause",POWER(Upgrades!$U$8,G11),1)*IF(Upgrades!$T$9="Heliopause",POWER(Upgrades!$U$9,H11),1)*IF(Upgrades!$T$10="Heliopause",POWER(Upgrades!$U$10,I11),1)*IF(Upgrades!$T$12="Heliopause",POWER(Upgrades!$U$12,K11),1))+(IF(K11=0,0,(Upgrades!$J$12+K11*Upgrades!$K$12)*POWER(Upgrades!$L$12,K11)))*(IF(Upgrades!$T$6="First Photons",POWER(Upgrades!$U$6,E11),1)*IF(Upgrades!$T$7="First Photons",POWER(Upgrades!$U$7,F11),1)*IF(Upgrades!$T$8="First Photons",POWER(Upgrades!$U$8,G11),1)*IF(Upgrades!$T$9="First Photons",POWER(Upgrades!$U$9,H11),1)*IF(Upgrades!$T$10="First Photons",POWER(Upgrades!$U$10,I11),1)*IF(Upgrades!$T$11="First Photons",POWER(Upgrades!$U$11,J11),1)))*POWER(Upgrades!$Q$6,E11)*POWER(Upgrades!$Q$7,F11)*POWER(Upgrades!$Q$8,G11)*POWER(Upgrades!$Q$9,H11)*POWER(Upgrades!$Q$10,I11)*POWER(Upgrades!$Q$11,J11)*POWER(Upgrades!$Q$12,K11)</f>
        <v>2.05</v>
      </c>
      <c r="N11" s="28" t="n">
        <f aca="false">((IF(E11=0,0,(Upgrades!$G$6+E11*Upgrades!$H$6)*POWER(Upgrades!$I$6,E11)))*(IF(Upgrades!$T$7="Solar Wind",POWER(Upgrades!$U$7,F11),1)*IF(Upgrades!$T$8="Solar Wind",POWER(Upgrades!$U$8,G11),1)*IF(Upgrades!$T$9="Solar Wind",POWER(Upgrades!$U$9,H11),1)*IF(Upgrades!$T$10="Solar Wind",POWER(Upgrades!$U$10,I11),1)*IF(Upgrades!$T$11="Solar Wind",POWER(Upgrades!$U$11,J11),1)*IF(Upgrades!$T$12="Solar Wind",POWER(Upgrades!$U$12,K11),1))+(IF(F11=0,0,(Upgrades!$G$7+F11*Upgrades!$H$7)*POWER(Upgrades!$I$7,F11)))*(IF(Upgrades!$T$6="Asteroid Belt",POWER(Upgrades!$U$6,E11),1)*IF(Upgrades!$T$8="Asteroid Belt",POWER(Upgrades!$U$8,G11),1)*IF(Upgrades!$T$9="Asteroid Belt",POWER(Upgrades!$U$9,H11),1)*IF(Upgrades!$T$10="Asteroid Belt",POWER(Upgrades!$U$10,I11),1)*IF(Upgrades!$T$11="Asteroid Belt",POWER(Upgrades!$U$11,J11),1)*IF(Upgrades!$T$12="Asteroid Belt",POWER(Upgrades!$U$12,K11),1))+(IF(G11=0,0,(Upgrades!$G$8+G11*Upgrades!$H$8)*POWER(Upgrades!$I$8,G11)))*(IF(Upgrades!$T$6="Stellar Coupling",POWER(Upgrades!$U$6,E11),1)*IF(Upgrades!$T$7="Stellar Coupling",POWER(Upgrades!$U$7,F11),1)*IF(Upgrades!$T$9="Stellar Coupling",POWER(Upgrades!$U$9,H11),1)*IF(Upgrades!$T$10="Stellar Coupling",POWER(Upgrades!$U$10,I11),1)*IF(Upgrades!$T$11="Stellar Coupling",POWER(Upgrades!$U$11,J11),1)*IF(Upgrades!$T$12="Stellar Coupling",POWER(Upgrades!$U$12,K11),1))+(IF(H11=0,0,(Upgrades!$G$9+H11*Upgrades!$H$9)*POWER(Upgrades!$I$9,H11)))*(IF(Upgrades!$T$6="Magnetosphere",POWER(Upgrades!$U$6,E11),1)*IF(Upgrades!$T$7="Magnetosphere",POWER(Upgrades!$U$7,F11),1)*IF(Upgrades!$T$8="Magnetosphere",POWER(Upgrades!$U$8,G11),1)*IF(Upgrades!$T$10="Magnetosphere",POWER(Upgrades!$U$10,I11),1)*IF(Upgrades!$T$11="Magnetosphere",POWER(Upgrades!$U$11,J11),1)*IF(Upgrades!$T$12="Magnetosphere",POWER(Upgrades!$U$12,K11),1))+(IF(I11=0,0,(Upgrades!$G$10+I11*Upgrades!$H$10)*POWER(Upgrades!$I$10,I11)))*(IF(Upgrades!$T$6="Orbital Resonance",POWER(Upgrades!$U$6,E11),1)*IF(Upgrades!$T$7="Orbital Resonance",POWER(Upgrades!$U$7,F11),1)*IF(Upgrades!$T$8="Orbital Resonance",POWER(Upgrades!$U$8,G11),1)*IF(Upgrades!$T$9="Orbital Resonance",POWER(Upgrades!$U$9,H11),1)*IF(Upgrades!$T$11="Orbital Resonance",POWER(Upgrades!$U$11,J11),1)*IF(Upgrades!$T$12="Orbital Resonance",POWER(Upgrades!$U$12,K11),1))+(IF(J11=0,0,(Upgrades!$G$11+J11*Upgrades!$H$11)*POWER(Upgrades!$I$11,J11)))*(IF(Upgrades!$T$6="Heliopause",POWER(Upgrades!$U$6,E11),1)*IF(Upgrades!$T$7="Heliopause",POWER(Upgrades!$U$7,F11),1)*IF(Upgrades!$T$8="Heliopause",POWER(Upgrades!$U$8,G11),1)*IF(Upgrades!$T$9="Heliopause",POWER(Upgrades!$U$9,H11),1)*IF(Upgrades!$T$10="Heliopause",POWER(Upgrades!$U$10,I11),1)*IF(Upgrades!$T$12="Heliopause",POWER(Upgrades!$U$12,K11),1))+(IF(K11=0,0,(Upgrades!$G$12+K11*Upgrades!$H$12)*POWER(Upgrades!$I$12,K11)))*(IF(Upgrades!$T$6="First Photons",POWER(Upgrades!$U$6,E11),1)*IF(Upgrades!$T$7="First Photons",POWER(Upgrades!$U$7,F11),1)*IF(Upgrades!$T$8="First Photons",POWER(Upgrades!$U$8,G11),1)*IF(Upgrades!$T$9="First Photons",POWER(Upgrades!$U$9,H11),1)*IF(Upgrades!$T$10="First Photons",POWER(Upgrades!$U$10,I11),1)*IF(Upgrades!$T$11="First Photons",POWER(Upgrades!$U$11,J11),1)))*POWER(Upgrades!$P$6,E11)*POWER(Upgrades!$P$7,F11)*POWER(Upgrades!$P$8,G11)*POWER(Upgrades!$P$9,H11)*POWER(Upgrades!$P$10,I11)*POWER(Upgrades!$P$11,J11)*POWER(Upgrades!$P$12,K11)</f>
        <v>0.08</v>
      </c>
      <c r="O11" s="28" t="n">
        <f aca="false">((IF(E11=0,0,(Upgrades!$M$6+E11*Upgrades!$N$6)*POWER(Upgrades!$O$6,E11)))*(IF(Upgrades!$T$7="Solar Wind",POWER(Upgrades!$U$7,F11),1)*IF(Upgrades!$T$8="Solar Wind",POWER(Upgrades!$U$8,G11),1)*IF(Upgrades!$T$9="Solar Wind",POWER(Upgrades!$U$9,H11),1)*IF(Upgrades!$T$10="Solar Wind",POWER(Upgrades!$U$10,I11),1)*IF(Upgrades!$T$11="Solar Wind",POWER(Upgrades!$U$11,J11),1)*IF(Upgrades!$T$12="Solar Wind",POWER(Upgrades!$U$12,K11),1))+(IF(F11=0,0,(Upgrades!$M$7+F11*Upgrades!$N$7)*POWER(Upgrades!$O$7,F11)))*(IF(Upgrades!$T$6="Asteroid Belt",POWER(Upgrades!$U$6,E11),1)*IF(Upgrades!$T$8="Asteroid Belt",POWER(Upgrades!$U$8,G11),1)*IF(Upgrades!$T$9="Asteroid Belt",POWER(Upgrades!$U$9,H11),1)*IF(Upgrades!$T$10="Asteroid Belt",POWER(Upgrades!$U$10,I11),1)*IF(Upgrades!$T$11="Asteroid Belt",POWER(Upgrades!$U$11,J11),1)*IF(Upgrades!$T$12="Asteroid Belt",POWER(Upgrades!$U$12,K11),1))+(IF(G11=0,0,(Upgrades!$M$8+G11*Upgrades!$N$8)*POWER(Upgrades!$O$8,G11)))*(IF(Upgrades!$T$6="Stellar Coupling",POWER(Upgrades!$U$6,E11),1)*IF(Upgrades!$T$7="Stellar Coupling",POWER(Upgrades!$U$7,F11),1)*IF(Upgrades!$T$9="Stellar Coupling",POWER(Upgrades!$U$9,H11),1)*IF(Upgrades!$T$10="Stellar Coupling",POWER(Upgrades!$U$10,I11),1)*IF(Upgrades!$T$11="Stellar Coupling",POWER(Upgrades!$U$11,J11),1)*IF(Upgrades!$T$12="Stellar Coupling",POWER(Upgrades!$U$12,K11),1))+(IF(H11=0,0,(Upgrades!$M$9+H11*Upgrades!$N$9)*POWER(Upgrades!$O$9,H11)))*(IF(Upgrades!$T$6="Magnetosphere",POWER(Upgrades!$U$6,E11),1)*IF(Upgrades!$T$7="Magnetosphere",POWER(Upgrades!$U$7,F11),1)*IF(Upgrades!$T$8="Magnetosphere",POWER(Upgrades!$U$8,G11),1)*IF(Upgrades!$T$10="Magnetosphere",POWER(Upgrades!$U$10,I11),1)*IF(Upgrades!$T$11="Magnetosphere",POWER(Upgrades!$U$11,J11),1)*IF(Upgrades!$T$12="Magnetosphere",POWER(Upgrades!$U$12,K11),1))+(IF(I11=0,0,(Upgrades!$M$10+I11*Upgrades!$N$10)*POWER(Upgrades!$O$10,I11)))*(IF(Upgrades!$T$6="Orbital Resonance",POWER(Upgrades!$U$6,E11),1)*IF(Upgrades!$T$7="Orbital Resonance",POWER(Upgrades!$U$7,F11),1)*IF(Upgrades!$T$8="Orbital Resonance",POWER(Upgrades!$U$8,G11),1)*IF(Upgrades!$T$9="Orbital Resonance",POWER(Upgrades!$U$9,H11),1)*IF(Upgrades!$T$11="Orbital Resonance",POWER(Upgrades!$U$11,J11),1)*IF(Upgrades!$T$12="Orbital Resonance",POWER(Upgrades!$U$12,K11),1))+(IF(J11=0,0,(Upgrades!$M$11+J11*Upgrades!$N$11)*POWER(Upgrades!$O$11,J11)))*(IF(Upgrades!$T$6="Heliopause",POWER(Upgrades!$U$6,E11),1)*IF(Upgrades!$T$7="Heliopause",POWER(Upgrades!$U$7,F11),1)*IF(Upgrades!$T$8="Heliopause",POWER(Upgrades!$U$8,G11),1)*IF(Upgrades!$T$9="Heliopause",POWER(Upgrades!$U$9,H11),1)*IF(Upgrades!$T$10="Heliopause",POWER(Upgrades!$U$10,I11),1)*IF(Upgrades!$T$12="Heliopause",POWER(Upgrades!$U$12,K11),1))+(IF(K11=0,0,(Upgrades!$M$12+K11*Upgrades!$N$12)*POWER(Upgrades!$O$12,K11)))*(IF(Upgrades!$T$6="First Photons",POWER(Upgrades!$U$6,E11),1)*IF(Upgrades!$T$7="First Photons",POWER(Upgrades!$U$7,F11),1)*IF(Upgrades!$T$8="First Photons",POWER(Upgrades!$U$8,G11),1)*IF(Upgrades!$T$9="First Photons",POWER(Upgrades!$U$9,H11),1)*IF(Upgrades!$T$10="First Photons",POWER(Upgrades!$U$10,I11),1)*IF(Upgrades!$T$11="First Photons",POWER(Upgrades!$U$11,J11),1)))*POWER(Upgrades!$R$6,E11)*POWER(Upgrades!$R$7,F11)*POWER(Upgrades!$R$8,G11)*POWER(Upgrades!$R$9,H11)*POWER(Upgrades!$R$10,I11)*POWER(Upgrades!$R$11,J11)*POWER(Upgrades!$R$12,K11)</f>
        <v>0</v>
      </c>
      <c r="P11" s="27" t="n">
        <f aca="false">IF(L11=1,0,M11*Parameters!$B$10/60*Parameters!$B$11*10)</f>
        <v>34.1666666666667</v>
      </c>
      <c r="Q11" s="27" t="n">
        <f aca="false">IF(L11=1,0,O11*M11*10)</f>
        <v>0</v>
      </c>
      <c r="R11" s="27" t="n">
        <f aca="false">IF(L11=1,0,N11*10)</f>
        <v>0.8</v>
      </c>
      <c r="S11" s="27" t="n">
        <f aca="false">P11+Q11+R11</f>
        <v>34.9666666666667</v>
      </c>
      <c r="T11" s="21" t="n">
        <f aca="false">C11+S11</f>
        <v>45.3466666666667</v>
      </c>
      <c r="U11" s="34" t="str">
        <f aca="false">AX11</f>
        <v>AB</v>
      </c>
      <c r="V11" s="21" t="n">
        <f aca="false">IF(U11="",0,IF(U11="transition",0,IF(U11="SW",AG11,IF(U11="AB",AH11,IF(U11="SC",AI11,IF(U11="Mag",AJ11,IF(U11="OR",AK11,IF(U11="HP",AL11,IF(U11="FP",AM11,0)))))))))</f>
        <v>20</v>
      </c>
      <c r="W11" s="27" t="n">
        <f aca="false">IF(U11="OR",Upgrades!$F$10,IF(U11="HP",Upgrades!$F$11,IF(U11="transition",-Parameters!$B$18,0)))</f>
        <v>0</v>
      </c>
      <c r="X11" s="21" t="n">
        <f aca="false">T11-V11</f>
        <v>25.3466666666667</v>
      </c>
      <c r="Y11" s="30" t="n">
        <f aca="false">M11*Parameters!$B$10/60*Parameters!$B$11+O11*M11+N11</f>
        <v>3.49666666666667</v>
      </c>
      <c r="Z11" s="35" t="str">
        <f aca="false">IF(U11="transition","→ Tier 2 (Stellar Neighborhood)",IF(U11="FP","First Photons — light begins, system quickens",IF(U11="HP","Heliopause acquired",IF(U11="OR","Orbital Resonance — passive multiplier active",IF(AND(AO11=1,L11=0,AN11&lt;&gt;1),"Cohesion ready (waiting on completionist upgrades)","")))))</f>
        <v/>
      </c>
      <c r="AA11" s="27" t="n">
        <f aca="false">(IF(E11=0,0,(Upgrades!$G$6+E11*Upgrades!$H$6)*POWER(Upgrades!$I$6,E11)))*(IF(Upgrades!$T$7="Solar Wind",POWER(Upgrades!$U$7,F11),1)*IF(Upgrades!$T$8="Solar Wind",POWER(Upgrades!$U$8,G11),1)*IF(Upgrades!$T$9="Solar Wind",POWER(Upgrades!$U$9,H11),1)*IF(Upgrades!$T$10="Solar Wind",POWER(Upgrades!$U$10,I11),1)*IF(Upgrades!$T$11="Solar Wind",POWER(Upgrades!$U$11,J11),1)*IF(Upgrades!$T$12="Solar Wind",POWER(Upgrades!$U$12,K11),1))*POWER(Upgrades!$P$6,E11)*POWER(Upgrades!$P$7,F11)*POWER(Upgrades!$P$8,G11)*POWER(Upgrades!$P$9,H11)*POWER(Upgrades!$P$10,I11)*POWER(Upgrades!$P$11,J11)*POWER(Upgrades!$P$12,K11)*60</f>
        <v>4.8</v>
      </c>
      <c r="AB11" s="27" t="n">
        <f aca="false">(IF(F11=0,0,(Upgrades!$G$7+F11*Upgrades!$H$7)*POWER(Upgrades!$I$7,F11)))*(IF(Upgrades!$T$6="Asteroid Belt",POWER(Upgrades!$U$6,E11),1)*IF(Upgrades!$T$8="Asteroid Belt",POWER(Upgrades!$U$8,G11),1)*IF(Upgrades!$T$9="Asteroid Belt",POWER(Upgrades!$U$9,H11),1)*IF(Upgrades!$T$10="Asteroid Belt",POWER(Upgrades!$U$10,I11),1)*IF(Upgrades!$T$11="Asteroid Belt",POWER(Upgrades!$U$11,J11),1)*IF(Upgrades!$T$12="Asteroid Belt",POWER(Upgrades!$U$12,K11),1))*POWER(Upgrades!$P$6,E11)*POWER(Upgrades!$P$7,F11)*POWER(Upgrades!$P$8,G11)*POWER(Upgrades!$P$9,H11)*POWER(Upgrades!$P$10,I11)*POWER(Upgrades!$P$11,J11)*POWER(Upgrades!$P$12,K11)*60</f>
        <v>0</v>
      </c>
      <c r="AC11" s="27" t="n">
        <f aca="false">(IF(G11=0,0,(Upgrades!$J$8+G11*Upgrades!$K$8)*POWER(Upgrades!$L$8,G11)))*(IF(Upgrades!$T$6="Stellar Coupling",POWER(Upgrades!$U$6,E11),1)*IF(Upgrades!$T$7="Stellar Coupling",POWER(Upgrades!$U$7,F11),1)*IF(Upgrades!$T$9="Stellar Coupling",POWER(Upgrades!$U$9,H11),1)*IF(Upgrades!$T$10="Stellar Coupling",POWER(Upgrades!$U$10,I11),1)*IF(Upgrades!$T$11="Stellar Coupling",POWER(Upgrades!$U$11,J11),1)*IF(Upgrades!$T$12="Stellar Coupling",POWER(Upgrades!$U$12,K11),1))*POWER(Upgrades!$Q$6,E11)*POWER(Upgrades!$Q$7,F11)*POWER(Upgrades!$Q$8,G11)*POWER(Upgrades!$Q$9,H11)*POWER(Upgrades!$Q$10,I11)*POWER(Upgrades!$Q$11,J11)*POWER(Upgrades!$Q$12,K11)*Parameters!$B$10*Parameters!$B$11</f>
        <v>105</v>
      </c>
      <c r="AD11" s="27" t="n">
        <f aca="false">(IF(H11=0,0,(Upgrades!$G$9+H11*Upgrades!$H$9)*POWER(Upgrades!$I$9,H11)))*(IF(Upgrades!$T$6="Magnetosphere",POWER(Upgrades!$U$6,E11),1)*IF(Upgrades!$T$7="Magnetosphere",POWER(Upgrades!$U$7,F11),1)*IF(Upgrades!$T$8="Magnetosphere",POWER(Upgrades!$U$8,G11),1)*IF(Upgrades!$T$10="Magnetosphere",POWER(Upgrades!$U$10,I11),1)*IF(Upgrades!$T$11="Magnetosphere",POWER(Upgrades!$U$11,J11),1)*IF(Upgrades!$T$12="Magnetosphere",POWER(Upgrades!$U$12,K11),1))*POWER(Upgrades!$P$6,E11)*POWER(Upgrades!$P$7,F11)*POWER(Upgrades!$P$8,G11)*POWER(Upgrades!$P$9,H11)*POWER(Upgrades!$P$10,I11)*POWER(Upgrades!$P$11,J11)*POWER(Upgrades!$P$12,K11)*60</f>
        <v>0</v>
      </c>
      <c r="AE11" s="27" t="n">
        <f aca="false">(IF(K11=0,0,(Upgrades!$G$12+K11*Upgrades!$H$12)*POWER(Upgrades!$I$12,K11)))*(IF(Upgrades!$T$6="First Photons",POWER(Upgrades!$U$6,E11),1)*IF(Upgrades!$T$7="First Photons",POWER(Upgrades!$U$7,F11),1)*IF(Upgrades!$T$8="First Photons",POWER(Upgrades!$U$8,G11),1)*IF(Upgrades!$T$9="First Photons",POWER(Upgrades!$U$9,H11),1)*IF(Upgrades!$T$10="First Photons",POWER(Upgrades!$U$10,I11),1)*IF(Upgrades!$T$11="First Photons",POWER(Upgrades!$U$11,J11),1))*POWER(Upgrades!$P$6,E11)*POWER(Upgrades!$P$7,F11)*POWER(Upgrades!$P$8,G11)*POWER(Upgrades!$P$9,H11)*POWER(Upgrades!$P$10,I11)*POWER(Upgrades!$P$11,J11)*POWER(Upgrades!$P$12,K11)*60</f>
        <v>0</v>
      </c>
      <c r="AF11" s="27" t="n">
        <f aca="false">Parameters!$B$9*POWER(Upgrades!$Q$6,E11)*POWER(Upgrades!$Q$7,F11)*POWER(Upgrades!$Q$8,G11)*POWER(Upgrades!$Q$9,H11)*POWER(Upgrades!$Q$10,I11)*POWER(Upgrades!$Q$11,J11)*POWER(Upgrades!$Q$12,K11)*(Parameters!$B$10*Parameters!$B$11+O11*60)</f>
        <v>100</v>
      </c>
      <c r="AG11" s="21" t="n">
        <f aca="false">IF(E11&gt;=Upgrades!$E$6,"",Upgrades!$C$6*POWER(Upgrades!$D$6,E11))</f>
        <v>8.05</v>
      </c>
      <c r="AH11" s="21" t="n">
        <f aca="false">IF(F11&gt;=Upgrades!$E$7,"",Upgrades!$C$7*POWER(Upgrades!$D$7,F11))</f>
        <v>20</v>
      </c>
      <c r="AI11" s="21" t="n">
        <f aca="false">IF(G11&gt;=Upgrades!$E$8,"",Upgrades!$C$8*POWER(Upgrades!$D$8,G11))</f>
        <v>60.368</v>
      </c>
      <c r="AJ11" s="21" t="n">
        <f aca="false">IF(H11&gt;=Upgrades!$E$9,"",Upgrades!$C$9*POWER(Upgrades!$D$9,H11))</f>
        <v>80</v>
      </c>
      <c r="AK11" s="21" t="n">
        <f aca="false">IF(I11&gt;=Upgrades!$E$10,"",Upgrades!$C$10*POWER(Upgrades!$D$10,I11))</f>
        <v>240</v>
      </c>
      <c r="AL11" s="21" t="n">
        <f aca="false">IF(J11&gt;=Upgrades!$E$11,"",Upgrades!$C$11*POWER(Upgrades!$D$11,J11))</f>
        <v>575</v>
      </c>
      <c r="AM11" s="21" t="n">
        <f aca="false">IF(K11&gt;=Upgrades!$E$12,"",Upgrades!$C$12*POWER(Upgrades!$D$12,K11))</f>
        <v>850</v>
      </c>
      <c r="AN11" s="26" t="str">
        <f aca="false">IF(AND(D11&gt;=Parameters!$B$18,(H11&gt;=Upgrades!$E$9)*(K11&gt;=Upgrades!$E$12)=1,L11=0),1,"")</f>
        <v/>
      </c>
      <c r="AO11" s="26" t="str">
        <f aca="false">IF(AND(D11&gt;=Parameters!$B$18,L11=0),1,"")</f>
        <v/>
      </c>
      <c r="AP11" s="21" t="n">
        <f aca="false">MIN(IF(ISNUMBER(AK11),AK11,9000000000000000),IF(ISNUMBER(AL11),AL11,9000000000000000),IF(ISNUMBER(AM11),AM11,9000000000000000))</f>
        <v>240</v>
      </c>
      <c r="AQ11" s="21" t="n">
        <f aca="false">MIN(IF(ISNUMBER(AG11),AG11,9000000000000000),IF(ISNUMBER(AH11),AH11,9000000000000000),IF(ISNUMBER(AI11),AI11,9000000000000000),IF(ISNUMBER(AJ11),AJ11,9000000000000000))</f>
        <v>8.05</v>
      </c>
      <c r="AR11" s="32" t="b">
        <f aca="false">IF(AW11&gt;Parameters!$B$21*(MAX(IF(AND(NOT(AND(AO11=1,AN11&lt;&gt;1)),ISNUMBER(AG11),AG11&lt;=T11),AS11,0),IF(AND(NOT(AND(AO11=1,AN11&lt;&gt;1)),ISNUMBER(AH11),AH11&lt;=T11),AT11,0),IF(AND(NOT(AND(AO11=1,AN11&lt;&gt;1)),ISNUMBER(AI11),AI11&lt;=T11),AU11,0),IF(AND(ISNUMBER(AJ11),AJ11&lt;=T11),AV11,0))),TRUE(),FALSE())</f>
        <v>0</v>
      </c>
      <c r="AS11" s="33" t="n">
        <f aca="false">IFERROR(Upgrades!$H$6*(POWER(Upgrades!$P$6,E11)*POWER(Upgrades!$P$7,F11)*POWER(Upgrades!$P$8,G11)*POWER(Upgrades!$P$9,H11)*POWER(Upgrades!$P$10,I11)*POWER(Upgrades!$P$11,J11)*POWER(Upgrades!$P$12,K11))*(IF(Upgrades!$T$7="Solar Wind",POWER(Upgrades!$U$7,F11),1)*IF(Upgrades!$T$8="Solar Wind",POWER(Upgrades!$U$8,G11),1)*IF(Upgrades!$T$9="Solar Wind",POWER(Upgrades!$U$9,H11),1)*IF(Upgrades!$T$10="Solar Wind",POWER(Upgrades!$U$10,I11),1)*IF(Upgrades!$T$11="Solar Wind",POWER(Upgrades!$U$11,J11),1)*IF(Upgrades!$T$12="Solar Wind",POWER(Upgrades!$U$12,K11),1))/AG11,0)</f>
        <v>0.00993788819875777</v>
      </c>
      <c r="AT11" s="33" t="n">
        <f aca="false">IFERROR(Upgrades!$H$7*(POWER(Upgrades!$P$6,E11)*POWER(Upgrades!$P$7,F11)*POWER(Upgrades!$P$8,G11)*POWER(Upgrades!$P$9,H11)*POWER(Upgrades!$P$10,I11)*POWER(Upgrades!$P$11,J11)*POWER(Upgrades!$P$12,K11))*(IF(Upgrades!$T$6="Asteroid Belt",POWER(Upgrades!$U$6,E11),1)*IF(Upgrades!$T$8="Asteroid Belt",POWER(Upgrades!$U$8,G11),1)*IF(Upgrades!$T$9="Asteroid Belt",POWER(Upgrades!$U$9,H11),1)*IF(Upgrades!$T$10="Asteroid Belt",POWER(Upgrades!$U$10,I11),1)*IF(Upgrades!$T$11="Asteroid Belt",POWER(Upgrades!$U$11,J11),1)*IF(Upgrades!$T$12="Asteroid Belt",POWER(Upgrades!$U$12,K11),1))/AH11,0)</f>
        <v>0.01</v>
      </c>
      <c r="AU11" s="33" t="n">
        <f aca="false">IFERROR(Upgrades!$K$8*(POWER(Upgrades!$Q$6,E11)*POWER(Upgrades!$Q$7,F11)*POWER(Upgrades!$Q$8,G11)*POWER(Upgrades!$Q$9,H11)*POWER(Upgrades!$Q$10,I11)*POWER(Upgrades!$Q$11,J11)*POWER(Upgrades!$Q$12,K11))*(IF(Upgrades!$T$6="Stellar Coupling",POWER(Upgrades!$U$6,E11),1)*IF(Upgrades!$T$7="Stellar Coupling",POWER(Upgrades!$U$7,F11),1)*IF(Upgrades!$T$9="Stellar Coupling",POWER(Upgrades!$U$9,H11),1)*IF(Upgrades!$T$10="Stellar Coupling",POWER(Upgrades!$U$10,I11),1)*IF(Upgrades!$T$11="Stellar Coupling",POWER(Upgrades!$U$11,J11),1)*IF(Upgrades!$T$12="Stellar Coupling",POWER(Upgrades!$U$12,K11),1))*Parameters!$B$10*Parameters!$B$11/60/AI11,0)</f>
        <v>0.00966295609152752</v>
      </c>
      <c r="AV11" s="33" t="n">
        <f aca="false">IFERROR(Upgrades!$H$9*(POWER(Upgrades!$P$6,E11)*POWER(Upgrades!$P$7,F11)*POWER(Upgrades!$P$8,G11)*POWER(Upgrades!$P$9,H11)*POWER(Upgrades!$P$10,I11)*POWER(Upgrades!$P$11,J11)*POWER(Upgrades!$P$12,K11))*(IF(Upgrades!$T$6="Magnetosphere",POWER(Upgrades!$U$6,E11),1)*IF(Upgrades!$T$7="Magnetosphere",POWER(Upgrades!$U$7,F11),1)*IF(Upgrades!$T$8="Magnetosphere",POWER(Upgrades!$U$8,G11),1)*IF(Upgrades!$T$10="Magnetosphere",POWER(Upgrades!$U$10,I11),1)*IF(Upgrades!$T$11="Magnetosphere",POWER(Upgrades!$U$11,J11),1)*IF(Upgrades!$T$12="Magnetosphere",POWER(Upgrades!$U$12,K11),1))/AJ11,0)</f>
        <v>0.0125</v>
      </c>
      <c r="AW11" s="33" t="n">
        <f aca="false">MAX(IF(I11&gt;0,0,IFERROR(0.25*N11/Upgrades!$C$10,0)),IF(J11&gt;0,0,IFERROR(0.5*((IF(G11=0,0,(Upgrades!$J$8+G11*Upgrades!$K$8)*POWER(Upgrades!$L$8,G11)))*(IF(Upgrades!$T$6="Stellar Coupling",POWER(Upgrades!$U$6,E11),1)*IF(Upgrades!$T$7="Stellar Coupling",POWER(Upgrades!$U$7,F11),1)*IF(Upgrades!$T$9="Stellar Coupling",POWER(Upgrades!$U$9,H11),1)*IF(Upgrades!$T$10="Stellar Coupling",POWER(Upgrades!$U$10,I11),1)*IF(Upgrades!$T$11="Stellar Coupling",POWER(Upgrades!$U$11,J11),1)*IF(Upgrades!$T$12="Stellar Coupling",POWER(Upgrades!$U$12,K11),1))*(POWER(Upgrades!$Q$6,E11)*POWER(Upgrades!$Q$7,F11)*POWER(Upgrades!$Q$8,G11)*POWER(Upgrades!$Q$9,H11)*POWER(Upgrades!$Q$10,I11)*POWER(Upgrades!$Q$11,J11)*POWER(Upgrades!$Q$12,K11))*Parameters!$B$10*Parameters!$B$11/60)/Upgrades!$C$11,0)),IF(K11&gt;0,0,IFERROR((1*(POWER(Upgrades!$P$6,E11)*POWER(Upgrades!$P$7,F11)*POWER(Upgrades!$P$8,G11)*POWER(Upgrades!$P$9,H11)*POWER(Upgrades!$P$10,I11)*POWER(Upgrades!$P$11,J11)*POWER(Upgrades!$P$12,K11))+0.2*M11*Parameters!$B$10*Parameters!$B$11/60)/Upgrades!$C$12,0)),IF(AND(ISNUMBER(AG11),AG11&gt;T11),AS11,0),IF(AND(ISNUMBER(AH11),AH11&gt;T11),AT11,0),IF(AND(ISNUMBER(AI11),AI11&gt;T11),AU11,0),IF(AND(ISNUMBER(AJ11),AJ11&gt;T11),AV11,0))</f>
        <v>0.0125</v>
      </c>
      <c r="AX11" s="29" t="str">
        <f aca="false">IF(AN11=1,"transition",IF(MIN(IF(AND(I11=0,ISNUMBER(AK11),AK11&lt;=T11),AK11,9000000000000000),IF(AND(J11=0,ISNUMBER(AL11),AL11&lt;=T11),AL11,9000000000000000),IF(AND(K11=0,ISNUMBER(AM11),AM11&lt;=T11),AM11,9000000000000000))&lt;9000000000000000,IF(AND(AND(I11=0,ISNUMBER(AK11),AK11&lt;=T11),AK11=MIN(IF(AND(I11=0,ISNUMBER(AK11),AK11&lt;=T11),AK11,9000000000000000),IF(AND(J11=0,ISNUMBER(AL11),AL11&lt;=T11),AL11,9000000000000000),IF(AND(K11=0,ISNUMBER(AM11),AM11&lt;=T11),AM11,9000000000000000))),"OR",IF(AND(AND(J11=0,ISNUMBER(AL11),AL11&lt;=T11),AL11=MIN(IF(AND(I11=0,ISNUMBER(AK11),AK11&lt;=T11),AK11,9000000000000000),IF(AND(J11=0,ISNUMBER(AL11),AL11&lt;=T11),AL11,9000000000000000),IF(AND(K11=0,ISNUMBER(AM11),AM11&lt;=T11),AM11,9000000000000000))),"HP","FP")),IF(AR11=TRUE(),"",IF(MAX(IF(AND(NOT(AND(AO11=1,AN11&lt;&gt;1)),ISNUMBER(AG11),AG11&lt;=T11),AS11,0),IF(AND(NOT(AND(AO11=1,AN11&lt;&gt;1)),ISNUMBER(AH11),AH11&lt;=T11),AT11,0),IF(AND(NOT(AND(AO11=1,AN11&lt;&gt;1)),ISNUMBER(AI11),AI11&lt;=T11),AU11,0),IF(AND(ISNUMBER(AJ11),AJ11&lt;=T11),AV11,0))&lt;=0,"",IF(AND(IF(AND(NOT(AND(AO11=1,AN11&lt;&gt;1)),ISNUMBER(AG11),AG11&lt;=T11),AS11,0)&gt;0,IF(AND(NOT(AND(AO11=1,AN11&lt;&gt;1)),ISNUMBER(AG11),AG11&lt;=T11),AS11,0)=MAX(IF(AND(NOT(AND(AO11=1,AN11&lt;&gt;1)),ISNUMBER(AG11),AG11&lt;=T11),AS11,0),IF(AND(NOT(AND(AO11=1,AN11&lt;&gt;1)),ISNUMBER(AH11),AH11&lt;=T11),AT11,0),IF(AND(NOT(AND(AO11=1,AN11&lt;&gt;1)),ISNUMBER(AI11),AI11&lt;=T11),AU11,0),IF(AND(ISNUMBER(AJ11),AJ11&lt;=T11),AV11,0))),"SW",IF(AND(IF(AND(NOT(AND(AO11=1,AN11&lt;&gt;1)),ISNUMBER(AH11),AH11&lt;=T11),AT11,0)&gt;0,IF(AND(NOT(AND(AO11=1,AN11&lt;&gt;1)),ISNUMBER(AH11),AH11&lt;=T11),AT11,0)=MAX(IF(AND(NOT(AND(AO11=1,AN11&lt;&gt;1)),ISNUMBER(AG11),AG11&lt;=T11),AS11,0),IF(AND(NOT(AND(AO11=1,AN11&lt;&gt;1)),ISNUMBER(AH11),AH11&lt;=T11),AT11,0),IF(AND(NOT(AND(AO11=1,AN11&lt;&gt;1)),ISNUMBER(AI11),AI11&lt;=T11),AU11,0),IF(AND(ISNUMBER(AJ11),AJ11&lt;=T11),AV11,0))),"AB",IF(AND(IF(AND(NOT(AND(AO11=1,AN11&lt;&gt;1)),ISNUMBER(AI11),AI11&lt;=T11),AU11,0)&gt;0,IF(AND(NOT(AND(AO11=1,AN11&lt;&gt;1)),ISNUMBER(AI11),AI11&lt;=T11),AU11,0)=MAX(IF(AND(NOT(AND(AO11=1,AN11&lt;&gt;1)),ISNUMBER(AG11),AG11&lt;=T11),AS11,0),IF(AND(NOT(AND(AO11=1,AN11&lt;&gt;1)),ISNUMBER(AH11),AH11&lt;=T11),AT11,0),IF(AND(NOT(AND(AO11=1,AN11&lt;&gt;1)),ISNUMBER(AI11),AI11&lt;=T11),AU11,0),IF(AND(ISNUMBER(AJ11),AJ11&lt;=T11),AV11,0))),"SC","Mag")))))))</f>
        <v>AB</v>
      </c>
    </row>
    <row r="12" customFormat="false" ht="15" hidden="false" customHeight="false" outlineLevel="0" collapsed="false">
      <c r="A12" s="26" t="n">
        <v>7</v>
      </c>
      <c r="B12" s="27" t="n">
        <f aca="false">A12*10/60</f>
        <v>1.16666666666667</v>
      </c>
      <c r="C12" s="21" t="n">
        <f aca="false">X11</f>
        <v>25.3466666666667</v>
      </c>
      <c r="D12" s="27" t="n">
        <f aca="false">D11+W11</f>
        <v>0</v>
      </c>
      <c r="E12" s="26" t="n">
        <f aca="false">E11+IF(U11="SW",1,0)</f>
        <v>1</v>
      </c>
      <c r="F12" s="26" t="n">
        <f aca="false">F11+IF(U11="AB",1,0)</f>
        <v>1</v>
      </c>
      <c r="G12" s="26" t="n">
        <f aca="false">G11+IF(U11="SC",1,0)</f>
        <v>3</v>
      </c>
      <c r="H12" s="26" t="n">
        <f aca="false">H11+IF(U11="Mag",1,0)</f>
        <v>0</v>
      </c>
      <c r="I12" s="26" t="n">
        <f aca="false">MAX(I11,IF(U11="OR",1,0))</f>
        <v>0</v>
      </c>
      <c r="J12" s="26" t="n">
        <f aca="false">MAX(J11,IF(U11="HP",1,0))</f>
        <v>0</v>
      </c>
      <c r="K12" s="26" t="n">
        <f aca="false">MAX(K11,IF(U11="FP",1,0))</f>
        <v>0</v>
      </c>
      <c r="L12" s="26" t="n">
        <f aca="false">MAX(L11,IF(U11="transition",1,0))</f>
        <v>0</v>
      </c>
      <c r="M12" s="28" t="n">
        <f aca="false">(Parameters!$B$9+(IF(E12=0,0,(Upgrades!$J$6+E12*Upgrades!$K$6)*POWER(Upgrades!$L$6,E12)))*(IF(Upgrades!$T$7="Solar Wind",POWER(Upgrades!$U$7,F12),1)*IF(Upgrades!$T$8="Solar Wind",POWER(Upgrades!$U$8,G12),1)*IF(Upgrades!$T$9="Solar Wind",POWER(Upgrades!$U$9,H12),1)*IF(Upgrades!$T$10="Solar Wind",POWER(Upgrades!$U$10,I12),1)*IF(Upgrades!$T$11="Solar Wind",POWER(Upgrades!$U$11,J12),1)*IF(Upgrades!$T$12="Solar Wind",POWER(Upgrades!$U$12,K12),1))+(IF(F12=0,0,(Upgrades!$J$7+F12*Upgrades!$K$7)*POWER(Upgrades!$L$7,F12)))*(IF(Upgrades!$T$6="Asteroid Belt",POWER(Upgrades!$U$6,E12),1)*IF(Upgrades!$T$8="Asteroid Belt",POWER(Upgrades!$U$8,G12),1)*IF(Upgrades!$T$9="Asteroid Belt",POWER(Upgrades!$U$9,H12),1)*IF(Upgrades!$T$10="Asteroid Belt",POWER(Upgrades!$U$10,I12),1)*IF(Upgrades!$T$11="Asteroid Belt",POWER(Upgrades!$U$11,J12),1)*IF(Upgrades!$T$12="Asteroid Belt",POWER(Upgrades!$U$12,K12),1))+(IF(G12=0,0,(Upgrades!$J$8+G12*Upgrades!$K$8)*POWER(Upgrades!$L$8,G12)))*(IF(Upgrades!$T$6="Stellar Coupling",POWER(Upgrades!$U$6,E12),1)*IF(Upgrades!$T$7="Stellar Coupling",POWER(Upgrades!$U$7,F12),1)*IF(Upgrades!$T$9="Stellar Coupling",POWER(Upgrades!$U$9,H12),1)*IF(Upgrades!$T$10="Stellar Coupling",POWER(Upgrades!$U$10,I12),1)*IF(Upgrades!$T$11="Stellar Coupling",POWER(Upgrades!$U$11,J12),1)*IF(Upgrades!$T$12="Stellar Coupling",POWER(Upgrades!$U$12,K12),1))+(IF(H12=0,0,(Upgrades!$J$9+H12*Upgrades!$K$9)*POWER(Upgrades!$L$9,H12)))*(IF(Upgrades!$T$6="Magnetosphere",POWER(Upgrades!$U$6,E12),1)*IF(Upgrades!$T$7="Magnetosphere",POWER(Upgrades!$U$7,F12),1)*IF(Upgrades!$T$8="Magnetosphere",POWER(Upgrades!$U$8,G12),1)*IF(Upgrades!$T$10="Magnetosphere",POWER(Upgrades!$U$10,I12),1)*IF(Upgrades!$T$11="Magnetosphere",POWER(Upgrades!$U$11,J12),1)*IF(Upgrades!$T$12="Magnetosphere",POWER(Upgrades!$U$12,K12),1))+(IF(I12=0,0,(Upgrades!$J$10+I12*Upgrades!$K$10)*POWER(Upgrades!$L$10,I12)))*(IF(Upgrades!$T$6="Orbital Resonance",POWER(Upgrades!$U$6,E12),1)*IF(Upgrades!$T$7="Orbital Resonance",POWER(Upgrades!$U$7,F12),1)*IF(Upgrades!$T$8="Orbital Resonance",POWER(Upgrades!$U$8,G12),1)*IF(Upgrades!$T$9="Orbital Resonance",POWER(Upgrades!$U$9,H12),1)*IF(Upgrades!$T$11="Orbital Resonance",POWER(Upgrades!$U$11,J12),1)*IF(Upgrades!$T$12="Orbital Resonance",POWER(Upgrades!$U$12,K12),1))+(IF(J12=0,0,(Upgrades!$J$11+J12*Upgrades!$K$11)*POWER(Upgrades!$L$11,J12)))*(IF(Upgrades!$T$6="Heliopause",POWER(Upgrades!$U$6,E12),1)*IF(Upgrades!$T$7="Heliopause",POWER(Upgrades!$U$7,F12),1)*IF(Upgrades!$T$8="Heliopause",POWER(Upgrades!$U$8,G12),1)*IF(Upgrades!$T$9="Heliopause",POWER(Upgrades!$U$9,H12),1)*IF(Upgrades!$T$10="Heliopause",POWER(Upgrades!$U$10,I12),1)*IF(Upgrades!$T$12="Heliopause",POWER(Upgrades!$U$12,K12),1))+(IF(K12=0,0,(Upgrades!$J$12+K12*Upgrades!$K$12)*POWER(Upgrades!$L$12,K12)))*(IF(Upgrades!$T$6="First Photons",POWER(Upgrades!$U$6,E12),1)*IF(Upgrades!$T$7="First Photons",POWER(Upgrades!$U$7,F12),1)*IF(Upgrades!$T$8="First Photons",POWER(Upgrades!$U$8,G12),1)*IF(Upgrades!$T$9="First Photons",POWER(Upgrades!$U$9,H12),1)*IF(Upgrades!$T$10="First Photons",POWER(Upgrades!$U$10,I12),1)*IF(Upgrades!$T$11="First Photons",POWER(Upgrades!$U$11,J12),1)))*POWER(Upgrades!$Q$6,E12)*POWER(Upgrades!$Q$7,F12)*POWER(Upgrades!$Q$8,G12)*POWER(Upgrades!$Q$9,H12)*POWER(Upgrades!$Q$10,I12)*POWER(Upgrades!$Q$11,J12)*POWER(Upgrades!$Q$12,K12)</f>
        <v>2.05</v>
      </c>
      <c r="N12" s="28" t="n">
        <f aca="false">((IF(E12=0,0,(Upgrades!$G$6+E12*Upgrades!$H$6)*POWER(Upgrades!$I$6,E12)))*(IF(Upgrades!$T$7="Solar Wind",POWER(Upgrades!$U$7,F12),1)*IF(Upgrades!$T$8="Solar Wind",POWER(Upgrades!$U$8,G12),1)*IF(Upgrades!$T$9="Solar Wind",POWER(Upgrades!$U$9,H12),1)*IF(Upgrades!$T$10="Solar Wind",POWER(Upgrades!$U$10,I12),1)*IF(Upgrades!$T$11="Solar Wind",POWER(Upgrades!$U$11,J12),1)*IF(Upgrades!$T$12="Solar Wind",POWER(Upgrades!$U$12,K12),1))+(IF(F12=0,0,(Upgrades!$G$7+F12*Upgrades!$H$7)*POWER(Upgrades!$I$7,F12)))*(IF(Upgrades!$T$6="Asteroid Belt",POWER(Upgrades!$U$6,E12),1)*IF(Upgrades!$T$8="Asteroid Belt",POWER(Upgrades!$U$8,G12),1)*IF(Upgrades!$T$9="Asteroid Belt",POWER(Upgrades!$U$9,H12),1)*IF(Upgrades!$T$10="Asteroid Belt",POWER(Upgrades!$U$10,I12),1)*IF(Upgrades!$T$11="Asteroid Belt",POWER(Upgrades!$U$11,J12),1)*IF(Upgrades!$T$12="Asteroid Belt",POWER(Upgrades!$U$12,K12),1))+(IF(G12=0,0,(Upgrades!$G$8+G12*Upgrades!$H$8)*POWER(Upgrades!$I$8,G12)))*(IF(Upgrades!$T$6="Stellar Coupling",POWER(Upgrades!$U$6,E12),1)*IF(Upgrades!$T$7="Stellar Coupling",POWER(Upgrades!$U$7,F12),1)*IF(Upgrades!$T$9="Stellar Coupling",POWER(Upgrades!$U$9,H12),1)*IF(Upgrades!$T$10="Stellar Coupling",POWER(Upgrades!$U$10,I12),1)*IF(Upgrades!$T$11="Stellar Coupling",POWER(Upgrades!$U$11,J12),1)*IF(Upgrades!$T$12="Stellar Coupling",POWER(Upgrades!$U$12,K12),1))+(IF(H12=0,0,(Upgrades!$G$9+H12*Upgrades!$H$9)*POWER(Upgrades!$I$9,H12)))*(IF(Upgrades!$T$6="Magnetosphere",POWER(Upgrades!$U$6,E12),1)*IF(Upgrades!$T$7="Magnetosphere",POWER(Upgrades!$U$7,F12),1)*IF(Upgrades!$T$8="Magnetosphere",POWER(Upgrades!$U$8,G12),1)*IF(Upgrades!$T$10="Magnetosphere",POWER(Upgrades!$U$10,I12),1)*IF(Upgrades!$T$11="Magnetosphere",POWER(Upgrades!$U$11,J12),1)*IF(Upgrades!$T$12="Magnetosphere",POWER(Upgrades!$U$12,K12),1))+(IF(I12=0,0,(Upgrades!$G$10+I12*Upgrades!$H$10)*POWER(Upgrades!$I$10,I12)))*(IF(Upgrades!$T$6="Orbital Resonance",POWER(Upgrades!$U$6,E12),1)*IF(Upgrades!$T$7="Orbital Resonance",POWER(Upgrades!$U$7,F12),1)*IF(Upgrades!$T$8="Orbital Resonance",POWER(Upgrades!$U$8,G12),1)*IF(Upgrades!$T$9="Orbital Resonance",POWER(Upgrades!$U$9,H12),1)*IF(Upgrades!$T$11="Orbital Resonance",POWER(Upgrades!$U$11,J12),1)*IF(Upgrades!$T$12="Orbital Resonance",POWER(Upgrades!$U$12,K12),1))+(IF(J12=0,0,(Upgrades!$G$11+J12*Upgrades!$H$11)*POWER(Upgrades!$I$11,J12)))*(IF(Upgrades!$T$6="Heliopause",POWER(Upgrades!$U$6,E12),1)*IF(Upgrades!$T$7="Heliopause",POWER(Upgrades!$U$7,F12),1)*IF(Upgrades!$T$8="Heliopause",POWER(Upgrades!$U$8,G12),1)*IF(Upgrades!$T$9="Heliopause",POWER(Upgrades!$U$9,H12),1)*IF(Upgrades!$T$10="Heliopause",POWER(Upgrades!$U$10,I12),1)*IF(Upgrades!$T$12="Heliopause",POWER(Upgrades!$U$12,K12),1))+(IF(K12=0,0,(Upgrades!$G$12+K12*Upgrades!$H$12)*POWER(Upgrades!$I$12,K12)))*(IF(Upgrades!$T$6="First Photons",POWER(Upgrades!$U$6,E12),1)*IF(Upgrades!$T$7="First Photons",POWER(Upgrades!$U$7,F12),1)*IF(Upgrades!$T$8="First Photons",POWER(Upgrades!$U$8,G12),1)*IF(Upgrades!$T$9="First Photons",POWER(Upgrades!$U$9,H12),1)*IF(Upgrades!$T$10="First Photons",POWER(Upgrades!$U$10,I12),1)*IF(Upgrades!$T$11="First Photons",POWER(Upgrades!$U$11,J12),1)))*POWER(Upgrades!$P$6,E12)*POWER(Upgrades!$P$7,F12)*POWER(Upgrades!$P$8,G12)*POWER(Upgrades!$P$9,H12)*POWER(Upgrades!$P$10,I12)*POWER(Upgrades!$P$11,J12)*POWER(Upgrades!$P$12,K12)</f>
        <v>0.28</v>
      </c>
      <c r="O12" s="28" t="n">
        <f aca="false">((IF(E12=0,0,(Upgrades!$M$6+E12*Upgrades!$N$6)*POWER(Upgrades!$O$6,E12)))*(IF(Upgrades!$T$7="Solar Wind",POWER(Upgrades!$U$7,F12),1)*IF(Upgrades!$T$8="Solar Wind",POWER(Upgrades!$U$8,G12),1)*IF(Upgrades!$T$9="Solar Wind",POWER(Upgrades!$U$9,H12),1)*IF(Upgrades!$T$10="Solar Wind",POWER(Upgrades!$U$10,I12),1)*IF(Upgrades!$T$11="Solar Wind",POWER(Upgrades!$U$11,J12),1)*IF(Upgrades!$T$12="Solar Wind",POWER(Upgrades!$U$12,K12),1))+(IF(F12=0,0,(Upgrades!$M$7+F12*Upgrades!$N$7)*POWER(Upgrades!$O$7,F12)))*(IF(Upgrades!$T$6="Asteroid Belt",POWER(Upgrades!$U$6,E12),1)*IF(Upgrades!$T$8="Asteroid Belt",POWER(Upgrades!$U$8,G12),1)*IF(Upgrades!$T$9="Asteroid Belt",POWER(Upgrades!$U$9,H12),1)*IF(Upgrades!$T$10="Asteroid Belt",POWER(Upgrades!$U$10,I12),1)*IF(Upgrades!$T$11="Asteroid Belt",POWER(Upgrades!$U$11,J12),1)*IF(Upgrades!$T$12="Asteroid Belt",POWER(Upgrades!$U$12,K12),1))+(IF(G12=0,0,(Upgrades!$M$8+G12*Upgrades!$N$8)*POWER(Upgrades!$O$8,G12)))*(IF(Upgrades!$T$6="Stellar Coupling",POWER(Upgrades!$U$6,E12),1)*IF(Upgrades!$T$7="Stellar Coupling",POWER(Upgrades!$U$7,F12),1)*IF(Upgrades!$T$9="Stellar Coupling",POWER(Upgrades!$U$9,H12),1)*IF(Upgrades!$T$10="Stellar Coupling",POWER(Upgrades!$U$10,I12),1)*IF(Upgrades!$T$11="Stellar Coupling",POWER(Upgrades!$U$11,J12),1)*IF(Upgrades!$T$12="Stellar Coupling",POWER(Upgrades!$U$12,K12),1))+(IF(H12=0,0,(Upgrades!$M$9+H12*Upgrades!$N$9)*POWER(Upgrades!$O$9,H12)))*(IF(Upgrades!$T$6="Magnetosphere",POWER(Upgrades!$U$6,E12),1)*IF(Upgrades!$T$7="Magnetosphere",POWER(Upgrades!$U$7,F12),1)*IF(Upgrades!$T$8="Magnetosphere",POWER(Upgrades!$U$8,G12),1)*IF(Upgrades!$T$10="Magnetosphere",POWER(Upgrades!$U$10,I12),1)*IF(Upgrades!$T$11="Magnetosphere",POWER(Upgrades!$U$11,J12),1)*IF(Upgrades!$T$12="Magnetosphere",POWER(Upgrades!$U$12,K12),1))+(IF(I12=0,0,(Upgrades!$M$10+I12*Upgrades!$N$10)*POWER(Upgrades!$O$10,I12)))*(IF(Upgrades!$T$6="Orbital Resonance",POWER(Upgrades!$U$6,E12),1)*IF(Upgrades!$T$7="Orbital Resonance",POWER(Upgrades!$U$7,F12),1)*IF(Upgrades!$T$8="Orbital Resonance",POWER(Upgrades!$U$8,G12),1)*IF(Upgrades!$T$9="Orbital Resonance",POWER(Upgrades!$U$9,H12),1)*IF(Upgrades!$T$11="Orbital Resonance",POWER(Upgrades!$U$11,J12),1)*IF(Upgrades!$T$12="Orbital Resonance",POWER(Upgrades!$U$12,K12),1))+(IF(J12=0,0,(Upgrades!$M$11+J12*Upgrades!$N$11)*POWER(Upgrades!$O$11,J12)))*(IF(Upgrades!$T$6="Heliopause",POWER(Upgrades!$U$6,E12),1)*IF(Upgrades!$T$7="Heliopause",POWER(Upgrades!$U$7,F12),1)*IF(Upgrades!$T$8="Heliopause",POWER(Upgrades!$U$8,G12),1)*IF(Upgrades!$T$9="Heliopause",POWER(Upgrades!$U$9,H12),1)*IF(Upgrades!$T$10="Heliopause",POWER(Upgrades!$U$10,I12),1)*IF(Upgrades!$T$12="Heliopause",POWER(Upgrades!$U$12,K12),1))+(IF(K12=0,0,(Upgrades!$M$12+K12*Upgrades!$N$12)*POWER(Upgrades!$O$12,K12)))*(IF(Upgrades!$T$6="First Photons",POWER(Upgrades!$U$6,E12),1)*IF(Upgrades!$T$7="First Photons",POWER(Upgrades!$U$7,F12),1)*IF(Upgrades!$T$8="First Photons",POWER(Upgrades!$U$8,G12),1)*IF(Upgrades!$T$9="First Photons",POWER(Upgrades!$U$9,H12),1)*IF(Upgrades!$T$10="First Photons",POWER(Upgrades!$U$10,I12),1)*IF(Upgrades!$T$11="First Photons",POWER(Upgrades!$U$11,J12),1)))*POWER(Upgrades!$R$6,E12)*POWER(Upgrades!$R$7,F12)*POWER(Upgrades!$R$8,G12)*POWER(Upgrades!$R$9,H12)*POWER(Upgrades!$R$10,I12)*POWER(Upgrades!$R$11,J12)*POWER(Upgrades!$R$12,K12)</f>
        <v>0</v>
      </c>
      <c r="P12" s="27" t="n">
        <f aca="false">IF(L12=1,0,M12*Parameters!$B$10/60*Parameters!$B$11*10)</f>
        <v>34.1666666666667</v>
      </c>
      <c r="Q12" s="27" t="n">
        <f aca="false">IF(L12=1,0,O12*M12*10)</f>
        <v>0</v>
      </c>
      <c r="R12" s="27" t="n">
        <f aca="false">IF(L12=1,0,N12*10)</f>
        <v>2.8</v>
      </c>
      <c r="S12" s="27" t="n">
        <f aca="false">P12+Q12+R12</f>
        <v>36.9666666666667</v>
      </c>
      <c r="T12" s="21" t="n">
        <f aca="false">C12+S12</f>
        <v>62.3133333333333</v>
      </c>
      <c r="U12" s="34" t="str">
        <f aca="false">AX12</f>
        <v>SW</v>
      </c>
      <c r="V12" s="21" t="n">
        <f aca="false">IF(U12="",0,IF(U12="transition",0,IF(U12="SW",AG12,IF(U12="AB",AH12,IF(U12="SC",AI12,IF(U12="Mag",AJ12,IF(U12="OR",AK12,IF(U12="HP",AL12,IF(U12="FP",AM12,0)))))))))</f>
        <v>8.05</v>
      </c>
      <c r="W12" s="27" t="n">
        <f aca="false">IF(U12="OR",Upgrades!$F$10,IF(U12="HP",Upgrades!$F$11,IF(U12="transition",-Parameters!$B$18,0)))</f>
        <v>0</v>
      </c>
      <c r="X12" s="21" t="n">
        <f aca="false">T12-V12</f>
        <v>54.2633333333333</v>
      </c>
      <c r="Y12" s="30" t="n">
        <f aca="false">M12*Parameters!$B$10/60*Parameters!$B$11+O12*M12+N12</f>
        <v>3.69666666666667</v>
      </c>
      <c r="Z12" s="35" t="str">
        <f aca="false">IF(U12="transition","→ Tier 2 (Stellar Neighborhood)",IF(U12="FP","First Photons — light begins, system quickens",IF(U12="HP","Heliopause acquired",IF(U12="OR","Orbital Resonance — passive multiplier active",IF(AND(AO12=1,L12=0,AN12&lt;&gt;1),"Cohesion ready (waiting on completionist upgrades)","")))))</f>
        <v/>
      </c>
      <c r="AA12" s="27" t="n">
        <f aca="false">(IF(E12=0,0,(Upgrades!$G$6+E12*Upgrades!$H$6)*POWER(Upgrades!$I$6,E12)))*(IF(Upgrades!$T$7="Solar Wind",POWER(Upgrades!$U$7,F12),1)*IF(Upgrades!$T$8="Solar Wind",POWER(Upgrades!$U$8,G12),1)*IF(Upgrades!$T$9="Solar Wind",POWER(Upgrades!$U$9,H12),1)*IF(Upgrades!$T$10="Solar Wind",POWER(Upgrades!$U$10,I12),1)*IF(Upgrades!$T$11="Solar Wind",POWER(Upgrades!$U$11,J12),1)*IF(Upgrades!$T$12="Solar Wind",POWER(Upgrades!$U$12,K12),1))*POWER(Upgrades!$P$6,E12)*POWER(Upgrades!$P$7,F12)*POWER(Upgrades!$P$8,G12)*POWER(Upgrades!$P$9,H12)*POWER(Upgrades!$P$10,I12)*POWER(Upgrades!$P$11,J12)*POWER(Upgrades!$P$12,K12)*60</f>
        <v>4.8</v>
      </c>
      <c r="AB12" s="27" t="n">
        <f aca="false">(IF(F12=0,0,(Upgrades!$G$7+F12*Upgrades!$H$7)*POWER(Upgrades!$I$7,F12)))*(IF(Upgrades!$T$6="Asteroid Belt",POWER(Upgrades!$U$6,E12),1)*IF(Upgrades!$T$8="Asteroid Belt",POWER(Upgrades!$U$8,G12),1)*IF(Upgrades!$T$9="Asteroid Belt",POWER(Upgrades!$U$9,H12),1)*IF(Upgrades!$T$10="Asteroid Belt",POWER(Upgrades!$U$10,I12),1)*IF(Upgrades!$T$11="Asteroid Belt",POWER(Upgrades!$U$11,J12),1)*IF(Upgrades!$T$12="Asteroid Belt",POWER(Upgrades!$U$12,K12),1))*POWER(Upgrades!$P$6,E12)*POWER(Upgrades!$P$7,F12)*POWER(Upgrades!$P$8,G12)*POWER(Upgrades!$P$9,H12)*POWER(Upgrades!$P$10,I12)*POWER(Upgrades!$P$11,J12)*POWER(Upgrades!$P$12,K12)*60</f>
        <v>12</v>
      </c>
      <c r="AC12" s="27" t="n">
        <f aca="false">(IF(G12=0,0,(Upgrades!$J$8+G12*Upgrades!$K$8)*POWER(Upgrades!$L$8,G12)))*(IF(Upgrades!$T$6="Stellar Coupling",POWER(Upgrades!$U$6,E12),1)*IF(Upgrades!$T$7="Stellar Coupling",POWER(Upgrades!$U$7,F12),1)*IF(Upgrades!$T$9="Stellar Coupling",POWER(Upgrades!$U$9,H12),1)*IF(Upgrades!$T$10="Stellar Coupling",POWER(Upgrades!$U$10,I12),1)*IF(Upgrades!$T$11="Stellar Coupling",POWER(Upgrades!$U$11,J12),1)*IF(Upgrades!$T$12="Stellar Coupling",POWER(Upgrades!$U$12,K12),1))*POWER(Upgrades!$Q$6,E12)*POWER(Upgrades!$Q$7,F12)*POWER(Upgrades!$Q$8,G12)*POWER(Upgrades!$Q$9,H12)*POWER(Upgrades!$Q$10,I12)*POWER(Upgrades!$Q$11,J12)*POWER(Upgrades!$Q$12,K12)*Parameters!$B$10*Parameters!$B$11</f>
        <v>105</v>
      </c>
      <c r="AD12" s="27" t="n">
        <f aca="false">(IF(H12=0,0,(Upgrades!$G$9+H12*Upgrades!$H$9)*POWER(Upgrades!$I$9,H12)))*(IF(Upgrades!$T$6="Magnetosphere",POWER(Upgrades!$U$6,E12),1)*IF(Upgrades!$T$7="Magnetosphere",POWER(Upgrades!$U$7,F12),1)*IF(Upgrades!$T$8="Magnetosphere",POWER(Upgrades!$U$8,G12),1)*IF(Upgrades!$T$10="Magnetosphere",POWER(Upgrades!$U$10,I12),1)*IF(Upgrades!$T$11="Magnetosphere",POWER(Upgrades!$U$11,J12),1)*IF(Upgrades!$T$12="Magnetosphere",POWER(Upgrades!$U$12,K12),1))*POWER(Upgrades!$P$6,E12)*POWER(Upgrades!$P$7,F12)*POWER(Upgrades!$P$8,G12)*POWER(Upgrades!$P$9,H12)*POWER(Upgrades!$P$10,I12)*POWER(Upgrades!$P$11,J12)*POWER(Upgrades!$P$12,K12)*60</f>
        <v>0</v>
      </c>
      <c r="AE12" s="27" t="n">
        <f aca="false">(IF(K12=0,0,(Upgrades!$G$12+K12*Upgrades!$H$12)*POWER(Upgrades!$I$12,K12)))*(IF(Upgrades!$T$6="First Photons",POWER(Upgrades!$U$6,E12),1)*IF(Upgrades!$T$7="First Photons",POWER(Upgrades!$U$7,F12),1)*IF(Upgrades!$T$8="First Photons",POWER(Upgrades!$U$8,G12),1)*IF(Upgrades!$T$9="First Photons",POWER(Upgrades!$U$9,H12),1)*IF(Upgrades!$T$10="First Photons",POWER(Upgrades!$U$10,I12),1)*IF(Upgrades!$T$11="First Photons",POWER(Upgrades!$U$11,J12),1))*POWER(Upgrades!$P$6,E12)*POWER(Upgrades!$P$7,F12)*POWER(Upgrades!$P$8,G12)*POWER(Upgrades!$P$9,H12)*POWER(Upgrades!$P$10,I12)*POWER(Upgrades!$P$11,J12)*POWER(Upgrades!$P$12,K12)*60</f>
        <v>0</v>
      </c>
      <c r="AF12" s="27" t="n">
        <f aca="false">Parameters!$B$9*POWER(Upgrades!$Q$6,E12)*POWER(Upgrades!$Q$7,F12)*POWER(Upgrades!$Q$8,G12)*POWER(Upgrades!$Q$9,H12)*POWER(Upgrades!$Q$10,I12)*POWER(Upgrades!$Q$11,J12)*POWER(Upgrades!$Q$12,K12)*(Parameters!$B$10*Parameters!$B$11+O12*60)</f>
        <v>100</v>
      </c>
      <c r="AG12" s="21" t="n">
        <f aca="false">IF(E12&gt;=Upgrades!$E$6,"",Upgrades!$C$6*POWER(Upgrades!$D$6,E12))</f>
        <v>8.05</v>
      </c>
      <c r="AH12" s="21" t="n">
        <f aca="false">IF(F12&gt;=Upgrades!$E$7,"",Upgrades!$C$7*POWER(Upgrades!$D$7,F12))</f>
        <v>23</v>
      </c>
      <c r="AI12" s="21" t="n">
        <f aca="false">IF(G12&gt;=Upgrades!$E$8,"",Upgrades!$C$8*POWER(Upgrades!$D$8,G12))</f>
        <v>60.368</v>
      </c>
      <c r="AJ12" s="21" t="n">
        <f aca="false">IF(H12&gt;=Upgrades!$E$9,"",Upgrades!$C$9*POWER(Upgrades!$D$9,H12))</f>
        <v>80</v>
      </c>
      <c r="AK12" s="21" t="n">
        <f aca="false">IF(I12&gt;=Upgrades!$E$10,"",Upgrades!$C$10*POWER(Upgrades!$D$10,I12))</f>
        <v>240</v>
      </c>
      <c r="AL12" s="21" t="n">
        <f aca="false">IF(J12&gt;=Upgrades!$E$11,"",Upgrades!$C$11*POWER(Upgrades!$D$11,J12))</f>
        <v>575</v>
      </c>
      <c r="AM12" s="21" t="n">
        <f aca="false">IF(K12&gt;=Upgrades!$E$12,"",Upgrades!$C$12*POWER(Upgrades!$D$12,K12))</f>
        <v>850</v>
      </c>
      <c r="AN12" s="26" t="str">
        <f aca="false">IF(AND(D12&gt;=Parameters!$B$18,(H12&gt;=Upgrades!$E$9)*(K12&gt;=Upgrades!$E$12)=1,L12=0),1,"")</f>
        <v/>
      </c>
      <c r="AO12" s="26" t="str">
        <f aca="false">IF(AND(D12&gt;=Parameters!$B$18,L12=0),1,"")</f>
        <v/>
      </c>
      <c r="AP12" s="21" t="n">
        <f aca="false">MIN(IF(ISNUMBER(AK12),AK12,9000000000000000),IF(ISNUMBER(AL12),AL12,9000000000000000),IF(ISNUMBER(AM12),AM12,9000000000000000))</f>
        <v>240</v>
      </c>
      <c r="AQ12" s="21" t="n">
        <f aca="false">MIN(IF(ISNUMBER(AG12),AG12,9000000000000000),IF(ISNUMBER(AH12),AH12,9000000000000000),IF(ISNUMBER(AI12),AI12,9000000000000000),IF(ISNUMBER(AJ12),AJ12,9000000000000000))</f>
        <v>8.05</v>
      </c>
      <c r="AR12" s="32" t="b">
        <f aca="false">IF(AW12&gt;Parameters!$B$21*(MAX(IF(AND(NOT(AND(AO12=1,AN12&lt;&gt;1)),ISNUMBER(AG12),AG12&lt;=T12),AS12,0),IF(AND(NOT(AND(AO12=1,AN12&lt;&gt;1)),ISNUMBER(AH12),AH12&lt;=T12),AT12,0),IF(AND(NOT(AND(AO12=1,AN12&lt;&gt;1)),ISNUMBER(AI12),AI12&lt;=T12),AU12,0),IF(AND(ISNUMBER(AJ12),AJ12&lt;=T12),AV12,0))),TRUE(),FALSE())</f>
        <v>0</v>
      </c>
      <c r="AS12" s="33" t="n">
        <f aca="false">IFERROR(Upgrades!$H$6*(POWER(Upgrades!$P$6,E12)*POWER(Upgrades!$P$7,F12)*POWER(Upgrades!$P$8,G12)*POWER(Upgrades!$P$9,H12)*POWER(Upgrades!$P$10,I12)*POWER(Upgrades!$P$11,J12)*POWER(Upgrades!$P$12,K12))*(IF(Upgrades!$T$7="Solar Wind",POWER(Upgrades!$U$7,F12),1)*IF(Upgrades!$T$8="Solar Wind",POWER(Upgrades!$U$8,G12),1)*IF(Upgrades!$T$9="Solar Wind",POWER(Upgrades!$U$9,H12),1)*IF(Upgrades!$T$10="Solar Wind",POWER(Upgrades!$U$10,I12),1)*IF(Upgrades!$T$11="Solar Wind",POWER(Upgrades!$U$11,J12),1)*IF(Upgrades!$T$12="Solar Wind",POWER(Upgrades!$U$12,K12),1))/AG12,0)</f>
        <v>0.00993788819875777</v>
      </c>
      <c r="AT12" s="33" t="n">
        <f aca="false">IFERROR(Upgrades!$H$7*(POWER(Upgrades!$P$6,E12)*POWER(Upgrades!$P$7,F12)*POWER(Upgrades!$P$8,G12)*POWER(Upgrades!$P$9,H12)*POWER(Upgrades!$P$10,I12)*POWER(Upgrades!$P$11,J12)*POWER(Upgrades!$P$12,K12))*(IF(Upgrades!$T$6="Asteroid Belt",POWER(Upgrades!$U$6,E12),1)*IF(Upgrades!$T$8="Asteroid Belt",POWER(Upgrades!$U$8,G12),1)*IF(Upgrades!$T$9="Asteroid Belt",POWER(Upgrades!$U$9,H12),1)*IF(Upgrades!$T$10="Asteroid Belt",POWER(Upgrades!$U$10,I12),1)*IF(Upgrades!$T$11="Asteroid Belt",POWER(Upgrades!$U$11,J12),1)*IF(Upgrades!$T$12="Asteroid Belt",POWER(Upgrades!$U$12,K12),1))/AH12,0)</f>
        <v>0.00869565217391304</v>
      </c>
      <c r="AU12" s="33" t="n">
        <f aca="false">IFERROR(Upgrades!$K$8*(POWER(Upgrades!$Q$6,E12)*POWER(Upgrades!$Q$7,F12)*POWER(Upgrades!$Q$8,G12)*POWER(Upgrades!$Q$9,H12)*POWER(Upgrades!$Q$10,I12)*POWER(Upgrades!$Q$11,J12)*POWER(Upgrades!$Q$12,K12))*(IF(Upgrades!$T$6="Stellar Coupling",POWER(Upgrades!$U$6,E12),1)*IF(Upgrades!$T$7="Stellar Coupling",POWER(Upgrades!$U$7,F12),1)*IF(Upgrades!$T$9="Stellar Coupling",POWER(Upgrades!$U$9,H12),1)*IF(Upgrades!$T$10="Stellar Coupling",POWER(Upgrades!$U$10,I12),1)*IF(Upgrades!$T$11="Stellar Coupling",POWER(Upgrades!$U$11,J12),1)*IF(Upgrades!$T$12="Stellar Coupling",POWER(Upgrades!$U$12,K12),1))*Parameters!$B$10*Parameters!$B$11/60/AI12,0)</f>
        <v>0.00966295609152752</v>
      </c>
      <c r="AV12" s="33" t="n">
        <f aca="false">IFERROR(Upgrades!$H$9*(POWER(Upgrades!$P$6,E12)*POWER(Upgrades!$P$7,F12)*POWER(Upgrades!$P$8,G12)*POWER(Upgrades!$P$9,H12)*POWER(Upgrades!$P$10,I12)*POWER(Upgrades!$P$11,J12)*POWER(Upgrades!$P$12,K12))*(IF(Upgrades!$T$6="Magnetosphere",POWER(Upgrades!$U$6,E12),1)*IF(Upgrades!$T$7="Magnetosphere",POWER(Upgrades!$U$7,F12),1)*IF(Upgrades!$T$8="Magnetosphere",POWER(Upgrades!$U$8,G12),1)*IF(Upgrades!$T$10="Magnetosphere",POWER(Upgrades!$U$10,I12),1)*IF(Upgrades!$T$11="Magnetosphere",POWER(Upgrades!$U$11,J12),1)*IF(Upgrades!$T$12="Magnetosphere",POWER(Upgrades!$U$12,K12),1))/AJ12,0)</f>
        <v>0.0125</v>
      </c>
      <c r="AW12" s="33" t="n">
        <f aca="false">MAX(IF(I12&gt;0,0,IFERROR(0.25*N12/Upgrades!$C$10,0)),IF(J12&gt;0,0,IFERROR(0.5*((IF(G12=0,0,(Upgrades!$J$8+G12*Upgrades!$K$8)*POWER(Upgrades!$L$8,G12)))*(IF(Upgrades!$T$6="Stellar Coupling",POWER(Upgrades!$U$6,E12),1)*IF(Upgrades!$T$7="Stellar Coupling",POWER(Upgrades!$U$7,F12),1)*IF(Upgrades!$T$9="Stellar Coupling",POWER(Upgrades!$U$9,H12),1)*IF(Upgrades!$T$10="Stellar Coupling",POWER(Upgrades!$U$10,I12),1)*IF(Upgrades!$T$11="Stellar Coupling",POWER(Upgrades!$U$11,J12),1)*IF(Upgrades!$T$12="Stellar Coupling",POWER(Upgrades!$U$12,K12),1))*(POWER(Upgrades!$Q$6,E12)*POWER(Upgrades!$Q$7,F12)*POWER(Upgrades!$Q$8,G12)*POWER(Upgrades!$Q$9,H12)*POWER(Upgrades!$Q$10,I12)*POWER(Upgrades!$Q$11,J12)*POWER(Upgrades!$Q$12,K12))*Parameters!$B$10*Parameters!$B$11/60)/Upgrades!$C$11,0)),IF(K12&gt;0,0,IFERROR((1*(POWER(Upgrades!$P$6,E12)*POWER(Upgrades!$P$7,F12)*POWER(Upgrades!$P$8,G12)*POWER(Upgrades!$P$9,H12)*POWER(Upgrades!$P$10,I12)*POWER(Upgrades!$P$11,J12)*POWER(Upgrades!$P$12,K12))+0.2*M12*Parameters!$B$10*Parameters!$B$11/60)/Upgrades!$C$12,0)),IF(AND(ISNUMBER(AG12),AG12&gt;T12),AS12,0),IF(AND(ISNUMBER(AH12),AH12&gt;T12),AT12,0),IF(AND(ISNUMBER(AI12),AI12&gt;T12),AU12,0),IF(AND(ISNUMBER(AJ12),AJ12&gt;T12),AV12,0))</f>
        <v>0.0125</v>
      </c>
      <c r="AX12" s="29" t="str">
        <f aca="false">IF(AN12=1,"transition",IF(MIN(IF(AND(I12=0,ISNUMBER(AK12),AK12&lt;=T12),AK12,9000000000000000),IF(AND(J12=0,ISNUMBER(AL12),AL12&lt;=T12),AL12,9000000000000000),IF(AND(K12=0,ISNUMBER(AM12),AM12&lt;=T12),AM12,9000000000000000))&lt;9000000000000000,IF(AND(AND(I12=0,ISNUMBER(AK12),AK12&lt;=T12),AK12=MIN(IF(AND(I12=0,ISNUMBER(AK12),AK12&lt;=T12),AK12,9000000000000000),IF(AND(J12=0,ISNUMBER(AL12),AL12&lt;=T12),AL12,9000000000000000),IF(AND(K12=0,ISNUMBER(AM12),AM12&lt;=T12),AM12,9000000000000000))),"OR",IF(AND(AND(J12=0,ISNUMBER(AL12),AL12&lt;=T12),AL12=MIN(IF(AND(I12=0,ISNUMBER(AK12),AK12&lt;=T12),AK12,9000000000000000),IF(AND(J12=0,ISNUMBER(AL12),AL12&lt;=T12),AL12,9000000000000000),IF(AND(K12=0,ISNUMBER(AM12),AM12&lt;=T12),AM12,9000000000000000))),"HP","FP")),IF(AR12=TRUE(),"",IF(MAX(IF(AND(NOT(AND(AO12=1,AN12&lt;&gt;1)),ISNUMBER(AG12),AG12&lt;=T12),AS12,0),IF(AND(NOT(AND(AO12=1,AN12&lt;&gt;1)),ISNUMBER(AH12),AH12&lt;=T12),AT12,0),IF(AND(NOT(AND(AO12=1,AN12&lt;&gt;1)),ISNUMBER(AI12),AI12&lt;=T12),AU12,0),IF(AND(ISNUMBER(AJ12),AJ12&lt;=T12),AV12,0))&lt;=0,"",IF(AND(IF(AND(NOT(AND(AO12=1,AN12&lt;&gt;1)),ISNUMBER(AG12),AG12&lt;=T12),AS12,0)&gt;0,IF(AND(NOT(AND(AO12=1,AN12&lt;&gt;1)),ISNUMBER(AG12),AG12&lt;=T12),AS12,0)=MAX(IF(AND(NOT(AND(AO12=1,AN12&lt;&gt;1)),ISNUMBER(AG12),AG12&lt;=T12),AS12,0),IF(AND(NOT(AND(AO12=1,AN12&lt;&gt;1)),ISNUMBER(AH12),AH12&lt;=T12),AT12,0),IF(AND(NOT(AND(AO12=1,AN12&lt;&gt;1)),ISNUMBER(AI12),AI12&lt;=T12),AU12,0),IF(AND(ISNUMBER(AJ12),AJ12&lt;=T12),AV12,0))),"SW",IF(AND(IF(AND(NOT(AND(AO12=1,AN12&lt;&gt;1)),ISNUMBER(AH12),AH12&lt;=T12),AT12,0)&gt;0,IF(AND(NOT(AND(AO12=1,AN12&lt;&gt;1)),ISNUMBER(AH12),AH12&lt;=T12),AT12,0)=MAX(IF(AND(NOT(AND(AO12=1,AN12&lt;&gt;1)),ISNUMBER(AG12),AG12&lt;=T12),AS12,0),IF(AND(NOT(AND(AO12=1,AN12&lt;&gt;1)),ISNUMBER(AH12),AH12&lt;=T12),AT12,0),IF(AND(NOT(AND(AO12=1,AN12&lt;&gt;1)),ISNUMBER(AI12),AI12&lt;=T12),AU12,0),IF(AND(ISNUMBER(AJ12),AJ12&lt;=T12),AV12,0))),"AB",IF(AND(IF(AND(NOT(AND(AO12=1,AN12&lt;&gt;1)),ISNUMBER(AI12),AI12&lt;=T12),AU12,0)&gt;0,IF(AND(NOT(AND(AO12=1,AN12&lt;&gt;1)),ISNUMBER(AI12),AI12&lt;=T12),AU12,0)=MAX(IF(AND(NOT(AND(AO12=1,AN12&lt;&gt;1)),ISNUMBER(AG12),AG12&lt;=T12),AS12,0),IF(AND(NOT(AND(AO12=1,AN12&lt;&gt;1)),ISNUMBER(AH12),AH12&lt;=T12),AT12,0),IF(AND(NOT(AND(AO12=1,AN12&lt;&gt;1)),ISNUMBER(AI12),AI12&lt;=T12),AU12,0),IF(AND(ISNUMBER(AJ12),AJ12&lt;=T12),AV12,0))),"SC","Mag")))))))</f>
        <v>SW</v>
      </c>
    </row>
    <row r="13" customFormat="false" ht="15" hidden="false" customHeight="false" outlineLevel="0" collapsed="false">
      <c r="A13" s="26" t="n">
        <v>8</v>
      </c>
      <c r="B13" s="27" t="n">
        <f aca="false">A13*10/60</f>
        <v>1.33333333333333</v>
      </c>
      <c r="C13" s="21" t="n">
        <f aca="false">X12</f>
        <v>54.2633333333333</v>
      </c>
      <c r="D13" s="27" t="n">
        <f aca="false">D12+W12</f>
        <v>0</v>
      </c>
      <c r="E13" s="26" t="n">
        <f aca="false">E12+IF(U12="SW",1,0)</f>
        <v>2</v>
      </c>
      <c r="F13" s="26" t="n">
        <f aca="false">F12+IF(U12="AB",1,0)</f>
        <v>1</v>
      </c>
      <c r="G13" s="26" t="n">
        <f aca="false">G12+IF(U12="SC",1,0)</f>
        <v>3</v>
      </c>
      <c r="H13" s="26" t="n">
        <f aca="false">H12+IF(U12="Mag",1,0)</f>
        <v>0</v>
      </c>
      <c r="I13" s="26" t="n">
        <f aca="false">MAX(I12,IF(U12="OR",1,0))</f>
        <v>0</v>
      </c>
      <c r="J13" s="26" t="n">
        <f aca="false">MAX(J12,IF(U12="HP",1,0))</f>
        <v>0</v>
      </c>
      <c r="K13" s="26" t="n">
        <f aca="false">MAX(K12,IF(U12="FP",1,0))</f>
        <v>0</v>
      </c>
      <c r="L13" s="26" t="n">
        <f aca="false">MAX(L12,IF(U12="transition",1,0))</f>
        <v>0</v>
      </c>
      <c r="M13" s="28" t="n">
        <f aca="false">(Parameters!$B$9+(IF(E13=0,0,(Upgrades!$J$6+E13*Upgrades!$K$6)*POWER(Upgrades!$L$6,E13)))*(IF(Upgrades!$T$7="Solar Wind",POWER(Upgrades!$U$7,F13),1)*IF(Upgrades!$T$8="Solar Wind",POWER(Upgrades!$U$8,G13),1)*IF(Upgrades!$T$9="Solar Wind",POWER(Upgrades!$U$9,H13),1)*IF(Upgrades!$T$10="Solar Wind",POWER(Upgrades!$U$10,I13),1)*IF(Upgrades!$T$11="Solar Wind",POWER(Upgrades!$U$11,J13),1)*IF(Upgrades!$T$12="Solar Wind",POWER(Upgrades!$U$12,K13),1))+(IF(F13=0,0,(Upgrades!$J$7+F13*Upgrades!$K$7)*POWER(Upgrades!$L$7,F13)))*(IF(Upgrades!$T$6="Asteroid Belt",POWER(Upgrades!$U$6,E13),1)*IF(Upgrades!$T$8="Asteroid Belt",POWER(Upgrades!$U$8,G13),1)*IF(Upgrades!$T$9="Asteroid Belt",POWER(Upgrades!$U$9,H13),1)*IF(Upgrades!$T$10="Asteroid Belt",POWER(Upgrades!$U$10,I13),1)*IF(Upgrades!$T$11="Asteroid Belt",POWER(Upgrades!$U$11,J13),1)*IF(Upgrades!$T$12="Asteroid Belt",POWER(Upgrades!$U$12,K13),1))+(IF(G13=0,0,(Upgrades!$J$8+G13*Upgrades!$K$8)*POWER(Upgrades!$L$8,G13)))*(IF(Upgrades!$T$6="Stellar Coupling",POWER(Upgrades!$U$6,E13),1)*IF(Upgrades!$T$7="Stellar Coupling",POWER(Upgrades!$U$7,F13),1)*IF(Upgrades!$T$9="Stellar Coupling",POWER(Upgrades!$U$9,H13),1)*IF(Upgrades!$T$10="Stellar Coupling",POWER(Upgrades!$U$10,I13),1)*IF(Upgrades!$T$11="Stellar Coupling",POWER(Upgrades!$U$11,J13),1)*IF(Upgrades!$T$12="Stellar Coupling",POWER(Upgrades!$U$12,K13),1))+(IF(H13=0,0,(Upgrades!$J$9+H13*Upgrades!$K$9)*POWER(Upgrades!$L$9,H13)))*(IF(Upgrades!$T$6="Magnetosphere",POWER(Upgrades!$U$6,E13),1)*IF(Upgrades!$T$7="Magnetosphere",POWER(Upgrades!$U$7,F13),1)*IF(Upgrades!$T$8="Magnetosphere",POWER(Upgrades!$U$8,G13),1)*IF(Upgrades!$T$10="Magnetosphere",POWER(Upgrades!$U$10,I13),1)*IF(Upgrades!$T$11="Magnetosphere",POWER(Upgrades!$U$11,J13),1)*IF(Upgrades!$T$12="Magnetosphere",POWER(Upgrades!$U$12,K13),1))+(IF(I13=0,0,(Upgrades!$J$10+I13*Upgrades!$K$10)*POWER(Upgrades!$L$10,I13)))*(IF(Upgrades!$T$6="Orbital Resonance",POWER(Upgrades!$U$6,E13),1)*IF(Upgrades!$T$7="Orbital Resonance",POWER(Upgrades!$U$7,F13),1)*IF(Upgrades!$T$8="Orbital Resonance",POWER(Upgrades!$U$8,G13),1)*IF(Upgrades!$T$9="Orbital Resonance",POWER(Upgrades!$U$9,H13),1)*IF(Upgrades!$T$11="Orbital Resonance",POWER(Upgrades!$U$11,J13),1)*IF(Upgrades!$T$12="Orbital Resonance",POWER(Upgrades!$U$12,K13),1))+(IF(J13=0,0,(Upgrades!$J$11+J13*Upgrades!$K$11)*POWER(Upgrades!$L$11,J13)))*(IF(Upgrades!$T$6="Heliopause",POWER(Upgrades!$U$6,E13),1)*IF(Upgrades!$T$7="Heliopause",POWER(Upgrades!$U$7,F13),1)*IF(Upgrades!$T$8="Heliopause",POWER(Upgrades!$U$8,G13),1)*IF(Upgrades!$T$9="Heliopause",POWER(Upgrades!$U$9,H13),1)*IF(Upgrades!$T$10="Heliopause",POWER(Upgrades!$U$10,I13),1)*IF(Upgrades!$T$12="Heliopause",POWER(Upgrades!$U$12,K13),1))+(IF(K13=0,0,(Upgrades!$J$12+K13*Upgrades!$K$12)*POWER(Upgrades!$L$12,K13)))*(IF(Upgrades!$T$6="First Photons",POWER(Upgrades!$U$6,E13),1)*IF(Upgrades!$T$7="First Photons",POWER(Upgrades!$U$7,F13),1)*IF(Upgrades!$T$8="First Photons",POWER(Upgrades!$U$8,G13),1)*IF(Upgrades!$T$9="First Photons",POWER(Upgrades!$U$9,H13),1)*IF(Upgrades!$T$10="First Photons",POWER(Upgrades!$U$10,I13),1)*IF(Upgrades!$T$11="First Photons",POWER(Upgrades!$U$11,J13),1)))*POWER(Upgrades!$Q$6,E13)*POWER(Upgrades!$Q$7,F13)*POWER(Upgrades!$Q$8,G13)*POWER(Upgrades!$Q$9,H13)*POWER(Upgrades!$Q$10,I13)*POWER(Upgrades!$Q$11,J13)*POWER(Upgrades!$Q$12,K13)</f>
        <v>2.05</v>
      </c>
      <c r="N13" s="28" t="n">
        <f aca="false">((IF(E13=0,0,(Upgrades!$G$6+E13*Upgrades!$H$6)*POWER(Upgrades!$I$6,E13)))*(IF(Upgrades!$T$7="Solar Wind",POWER(Upgrades!$U$7,F13),1)*IF(Upgrades!$T$8="Solar Wind",POWER(Upgrades!$U$8,G13),1)*IF(Upgrades!$T$9="Solar Wind",POWER(Upgrades!$U$9,H13),1)*IF(Upgrades!$T$10="Solar Wind",POWER(Upgrades!$U$10,I13),1)*IF(Upgrades!$T$11="Solar Wind",POWER(Upgrades!$U$11,J13),1)*IF(Upgrades!$T$12="Solar Wind",POWER(Upgrades!$U$12,K13),1))+(IF(F13=0,0,(Upgrades!$G$7+F13*Upgrades!$H$7)*POWER(Upgrades!$I$7,F13)))*(IF(Upgrades!$T$6="Asteroid Belt",POWER(Upgrades!$U$6,E13),1)*IF(Upgrades!$T$8="Asteroid Belt",POWER(Upgrades!$U$8,G13),1)*IF(Upgrades!$T$9="Asteroid Belt",POWER(Upgrades!$U$9,H13),1)*IF(Upgrades!$T$10="Asteroid Belt",POWER(Upgrades!$U$10,I13),1)*IF(Upgrades!$T$11="Asteroid Belt",POWER(Upgrades!$U$11,J13),1)*IF(Upgrades!$T$12="Asteroid Belt",POWER(Upgrades!$U$12,K13),1))+(IF(G13=0,0,(Upgrades!$G$8+G13*Upgrades!$H$8)*POWER(Upgrades!$I$8,G13)))*(IF(Upgrades!$T$6="Stellar Coupling",POWER(Upgrades!$U$6,E13),1)*IF(Upgrades!$T$7="Stellar Coupling",POWER(Upgrades!$U$7,F13),1)*IF(Upgrades!$T$9="Stellar Coupling",POWER(Upgrades!$U$9,H13),1)*IF(Upgrades!$T$10="Stellar Coupling",POWER(Upgrades!$U$10,I13),1)*IF(Upgrades!$T$11="Stellar Coupling",POWER(Upgrades!$U$11,J13),1)*IF(Upgrades!$T$12="Stellar Coupling",POWER(Upgrades!$U$12,K13),1))+(IF(H13=0,0,(Upgrades!$G$9+H13*Upgrades!$H$9)*POWER(Upgrades!$I$9,H13)))*(IF(Upgrades!$T$6="Magnetosphere",POWER(Upgrades!$U$6,E13),1)*IF(Upgrades!$T$7="Magnetosphere",POWER(Upgrades!$U$7,F13),1)*IF(Upgrades!$T$8="Magnetosphere",POWER(Upgrades!$U$8,G13),1)*IF(Upgrades!$T$10="Magnetosphere",POWER(Upgrades!$U$10,I13),1)*IF(Upgrades!$T$11="Magnetosphere",POWER(Upgrades!$U$11,J13),1)*IF(Upgrades!$T$12="Magnetosphere",POWER(Upgrades!$U$12,K13),1))+(IF(I13=0,0,(Upgrades!$G$10+I13*Upgrades!$H$10)*POWER(Upgrades!$I$10,I13)))*(IF(Upgrades!$T$6="Orbital Resonance",POWER(Upgrades!$U$6,E13),1)*IF(Upgrades!$T$7="Orbital Resonance",POWER(Upgrades!$U$7,F13),1)*IF(Upgrades!$T$8="Orbital Resonance",POWER(Upgrades!$U$8,G13),1)*IF(Upgrades!$T$9="Orbital Resonance",POWER(Upgrades!$U$9,H13),1)*IF(Upgrades!$T$11="Orbital Resonance",POWER(Upgrades!$U$11,J13),1)*IF(Upgrades!$T$12="Orbital Resonance",POWER(Upgrades!$U$12,K13),1))+(IF(J13=0,0,(Upgrades!$G$11+J13*Upgrades!$H$11)*POWER(Upgrades!$I$11,J13)))*(IF(Upgrades!$T$6="Heliopause",POWER(Upgrades!$U$6,E13),1)*IF(Upgrades!$T$7="Heliopause",POWER(Upgrades!$U$7,F13),1)*IF(Upgrades!$T$8="Heliopause",POWER(Upgrades!$U$8,G13),1)*IF(Upgrades!$T$9="Heliopause",POWER(Upgrades!$U$9,H13),1)*IF(Upgrades!$T$10="Heliopause",POWER(Upgrades!$U$10,I13),1)*IF(Upgrades!$T$12="Heliopause",POWER(Upgrades!$U$12,K13),1))+(IF(K13=0,0,(Upgrades!$G$12+K13*Upgrades!$H$12)*POWER(Upgrades!$I$12,K13)))*(IF(Upgrades!$T$6="First Photons",POWER(Upgrades!$U$6,E13),1)*IF(Upgrades!$T$7="First Photons",POWER(Upgrades!$U$7,F13),1)*IF(Upgrades!$T$8="First Photons",POWER(Upgrades!$U$8,G13),1)*IF(Upgrades!$T$9="First Photons",POWER(Upgrades!$U$9,H13),1)*IF(Upgrades!$T$10="First Photons",POWER(Upgrades!$U$10,I13),1)*IF(Upgrades!$T$11="First Photons",POWER(Upgrades!$U$11,J13),1)))*POWER(Upgrades!$P$6,E13)*POWER(Upgrades!$P$7,F13)*POWER(Upgrades!$P$8,G13)*POWER(Upgrades!$P$9,H13)*POWER(Upgrades!$P$10,I13)*POWER(Upgrades!$P$11,J13)*POWER(Upgrades!$P$12,K13)</f>
        <v>0.36</v>
      </c>
      <c r="O13" s="28" t="n">
        <f aca="false">((IF(E13=0,0,(Upgrades!$M$6+E13*Upgrades!$N$6)*POWER(Upgrades!$O$6,E13)))*(IF(Upgrades!$T$7="Solar Wind",POWER(Upgrades!$U$7,F13),1)*IF(Upgrades!$T$8="Solar Wind",POWER(Upgrades!$U$8,G13),1)*IF(Upgrades!$T$9="Solar Wind",POWER(Upgrades!$U$9,H13),1)*IF(Upgrades!$T$10="Solar Wind",POWER(Upgrades!$U$10,I13),1)*IF(Upgrades!$T$11="Solar Wind",POWER(Upgrades!$U$11,J13),1)*IF(Upgrades!$T$12="Solar Wind",POWER(Upgrades!$U$12,K13),1))+(IF(F13=0,0,(Upgrades!$M$7+F13*Upgrades!$N$7)*POWER(Upgrades!$O$7,F13)))*(IF(Upgrades!$T$6="Asteroid Belt",POWER(Upgrades!$U$6,E13),1)*IF(Upgrades!$T$8="Asteroid Belt",POWER(Upgrades!$U$8,G13),1)*IF(Upgrades!$T$9="Asteroid Belt",POWER(Upgrades!$U$9,H13),1)*IF(Upgrades!$T$10="Asteroid Belt",POWER(Upgrades!$U$10,I13),1)*IF(Upgrades!$T$11="Asteroid Belt",POWER(Upgrades!$U$11,J13),1)*IF(Upgrades!$T$12="Asteroid Belt",POWER(Upgrades!$U$12,K13),1))+(IF(G13=0,0,(Upgrades!$M$8+G13*Upgrades!$N$8)*POWER(Upgrades!$O$8,G13)))*(IF(Upgrades!$T$6="Stellar Coupling",POWER(Upgrades!$U$6,E13),1)*IF(Upgrades!$T$7="Stellar Coupling",POWER(Upgrades!$U$7,F13),1)*IF(Upgrades!$T$9="Stellar Coupling",POWER(Upgrades!$U$9,H13),1)*IF(Upgrades!$T$10="Stellar Coupling",POWER(Upgrades!$U$10,I13),1)*IF(Upgrades!$T$11="Stellar Coupling",POWER(Upgrades!$U$11,J13),1)*IF(Upgrades!$T$12="Stellar Coupling",POWER(Upgrades!$U$12,K13),1))+(IF(H13=0,0,(Upgrades!$M$9+H13*Upgrades!$N$9)*POWER(Upgrades!$O$9,H13)))*(IF(Upgrades!$T$6="Magnetosphere",POWER(Upgrades!$U$6,E13),1)*IF(Upgrades!$T$7="Magnetosphere",POWER(Upgrades!$U$7,F13),1)*IF(Upgrades!$T$8="Magnetosphere",POWER(Upgrades!$U$8,G13),1)*IF(Upgrades!$T$10="Magnetosphere",POWER(Upgrades!$U$10,I13),1)*IF(Upgrades!$T$11="Magnetosphere",POWER(Upgrades!$U$11,J13),1)*IF(Upgrades!$T$12="Magnetosphere",POWER(Upgrades!$U$12,K13),1))+(IF(I13=0,0,(Upgrades!$M$10+I13*Upgrades!$N$10)*POWER(Upgrades!$O$10,I13)))*(IF(Upgrades!$T$6="Orbital Resonance",POWER(Upgrades!$U$6,E13),1)*IF(Upgrades!$T$7="Orbital Resonance",POWER(Upgrades!$U$7,F13),1)*IF(Upgrades!$T$8="Orbital Resonance",POWER(Upgrades!$U$8,G13),1)*IF(Upgrades!$T$9="Orbital Resonance",POWER(Upgrades!$U$9,H13),1)*IF(Upgrades!$T$11="Orbital Resonance",POWER(Upgrades!$U$11,J13),1)*IF(Upgrades!$T$12="Orbital Resonance",POWER(Upgrades!$U$12,K13),1))+(IF(J13=0,0,(Upgrades!$M$11+J13*Upgrades!$N$11)*POWER(Upgrades!$O$11,J13)))*(IF(Upgrades!$T$6="Heliopause",POWER(Upgrades!$U$6,E13),1)*IF(Upgrades!$T$7="Heliopause",POWER(Upgrades!$U$7,F13),1)*IF(Upgrades!$T$8="Heliopause",POWER(Upgrades!$U$8,G13),1)*IF(Upgrades!$T$9="Heliopause",POWER(Upgrades!$U$9,H13),1)*IF(Upgrades!$T$10="Heliopause",POWER(Upgrades!$U$10,I13),1)*IF(Upgrades!$T$12="Heliopause",POWER(Upgrades!$U$12,K13),1))+(IF(K13=0,0,(Upgrades!$M$12+K13*Upgrades!$N$12)*POWER(Upgrades!$O$12,K13)))*(IF(Upgrades!$T$6="First Photons",POWER(Upgrades!$U$6,E13),1)*IF(Upgrades!$T$7="First Photons",POWER(Upgrades!$U$7,F13),1)*IF(Upgrades!$T$8="First Photons",POWER(Upgrades!$U$8,G13),1)*IF(Upgrades!$T$9="First Photons",POWER(Upgrades!$U$9,H13),1)*IF(Upgrades!$T$10="First Photons",POWER(Upgrades!$U$10,I13),1)*IF(Upgrades!$T$11="First Photons",POWER(Upgrades!$U$11,J13),1)))*POWER(Upgrades!$R$6,E13)*POWER(Upgrades!$R$7,F13)*POWER(Upgrades!$R$8,G13)*POWER(Upgrades!$R$9,H13)*POWER(Upgrades!$R$10,I13)*POWER(Upgrades!$R$11,J13)*POWER(Upgrades!$R$12,K13)</f>
        <v>0</v>
      </c>
      <c r="P13" s="27" t="n">
        <f aca="false">IF(L13=1,0,M13*Parameters!$B$10/60*Parameters!$B$11*10)</f>
        <v>34.1666666666667</v>
      </c>
      <c r="Q13" s="27" t="n">
        <f aca="false">IF(L13=1,0,O13*M13*10)</f>
        <v>0</v>
      </c>
      <c r="R13" s="27" t="n">
        <f aca="false">IF(L13=1,0,N13*10)</f>
        <v>3.6</v>
      </c>
      <c r="S13" s="27" t="n">
        <f aca="false">P13+Q13+R13</f>
        <v>37.7666666666667</v>
      </c>
      <c r="T13" s="21" t="n">
        <f aca="false">C13+S13</f>
        <v>92.03</v>
      </c>
      <c r="U13" s="34" t="str">
        <f aca="false">AX13</f>
        <v>Mag</v>
      </c>
      <c r="V13" s="21" t="n">
        <f aca="false">IF(U13="",0,IF(U13="transition",0,IF(U13="SW",AG13,IF(U13="AB",AH13,IF(U13="SC",AI13,IF(U13="Mag",AJ13,IF(U13="OR",AK13,IF(U13="HP",AL13,IF(U13="FP",AM13,0)))))))))</f>
        <v>80</v>
      </c>
      <c r="W13" s="27" t="n">
        <f aca="false">IF(U13="OR",Upgrades!$F$10,IF(U13="HP",Upgrades!$F$11,IF(U13="transition",-Parameters!$B$18,0)))</f>
        <v>0</v>
      </c>
      <c r="X13" s="21" t="n">
        <f aca="false">T13-V13</f>
        <v>12.03</v>
      </c>
      <c r="Y13" s="30" t="n">
        <f aca="false">M13*Parameters!$B$10/60*Parameters!$B$11+O13*M13+N13</f>
        <v>3.77666666666667</v>
      </c>
      <c r="Z13" s="35" t="str">
        <f aca="false">IF(U13="transition","→ Tier 2 (Stellar Neighborhood)",IF(U13="FP","First Photons — light begins, system quickens",IF(U13="HP","Heliopause acquired",IF(U13="OR","Orbital Resonance — passive multiplier active",IF(AND(AO13=1,L13=0,AN13&lt;&gt;1),"Cohesion ready (waiting on completionist upgrades)","")))))</f>
        <v/>
      </c>
      <c r="AA13" s="27" t="n">
        <f aca="false">(IF(E13=0,0,(Upgrades!$G$6+E13*Upgrades!$H$6)*POWER(Upgrades!$I$6,E13)))*(IF(Upgrades!$T$7="Solar Wind",POWER(Upgrades!$U$7,F13),1)*IF(Upgrades!$T$8="Solar Wind",POWER(Upgrades!$U$8,G13),1)*IF(Upgrades!$T$9="Solar Wind",POWER(Upgrades!$U$9,H13),1)*IF(Upgrades!$T$10="Solar Wind",POWER(Upgrades!$U$10,I13),1)*IF(Upgrades!$T$11="Solar Wind",POWER(Upgrades!$U$11,J13),1)*IF(Upgrades!$T$12="Solar Wind",POWER(Upgrades!$U$12,K13),1))*POWER(Upgrades!$P$6,E13)*POWER(Upgrades!$P$7,F13)*POWER(Upgrades!$P$8,G13)*POWER(Upgrades!$P$9,H13)*POWER(Upgrades!$P$10,I13)*POWER(Upgrades!$P$11,J13)*POWER(Upgrades!$P$12,K13)*60</f>
        <v>9.6</v>
      </c>
      <c r="AB13" s="27" t="n">
        <f aca="false">(IF(F13=0,0,(Upgrades!$G$7+F13*Upgrades!$H$7)*POWER(Upgrades!$I$7,F13)))*(IF(Upgrades!$T$6="Asteroid Belt",POWER(Upgrades!$U$6,E13),1)*IF(Upgrades!$T$8="Asteroid Belt",POWER(Upgrades!$U$8,G13),1)*IF(Upgrades!$T$9="Asteroid Belt",POWER(Upgrades!$U$9,H13),1)*IF(Upgrades!$T$10="Asteroid Belt",POWER(Upgrades!$U$10,I13),1)*IF(Upgrades!$T$11="Asteroid Belt",POWER(Upgrades!$U$11,J13),1)*IF(Upgrades!$T$12="Asteroid Belt",POWER(Upgrades!$U$12,K13),1))*POWER(Upgrades!$P$6,E13)*POWER(Upgrades!$P$7,F13)*POWER(Upgrades!$P$8,G13)*POWER(Upgrades!$P$9,H13)*POWER(Upgrades!$P$10,I13)*POWER(Upgrades!$P$11,J13)*POWER(Upgrades!$P$12,K13)*60</f>
        <v>12</v>
      </c>
      <c r="AC13" s="27" t="n">
        <f aca="false">(IF(G13=0,0,(Upgrades!$J$8+G13*Upgrades!$K$8)*POWER(Upgrades!$L$8,G13)))*(IF(Upgrades!$T$6="Stellar Coupling",POWER(Upgrades!$U$6,E13),1)*IF(Upgrades!$T$7="Stellar Coupling",POWER(Upgrades!$U$7,F13),1)*IF(Upgrades!$T$9="Stellar Coupling",POWER(Upgrades!$U$9,H13),1)*IF(Upgrades!$T$10="Stellar Coupling",POWER(Upgrades!$U$10,I13),1)*IF(Upgrades!$T$11="Stellar Coupling",POWER(Upgrades!$U$11,J13),1)*IF(Upgrades!$T$12="Stellar Coupling",POWER(Upgrades!$U$12,K13),1))*POWER(Upgrades!$Q$6,E13)*POWER(Upgrades!$Q$7,F13)*POWER(Upgrades!$Q$8,G13)*POWER(Upgrades!$Q$9,H13)*POWER(Upgrades!$Q$10,I13)*POWER(Upgrades!$Q$11,J13)*POWER(Upgrades!$Q$12,K13)*Parameters!$B$10*Parameters!$B$11</f>
        <v>105</v>
      </c>
      <c r="AD13" s="27" t="n">
        <f aca="false">(IF(H13=0,0,(Upgrades!$G$9+H13*Upgrades!$H$9)*POWER(Upgrades!$I$9,H13)))*(IF(Upgrades!$T$6="Magnetosphere",POWER(Upgrades!$U$6,E13),1)*IF(Upgrades!$T$7="Magnetosphere",POWER(Upgrades!$U$7,F13),1)*IF(Upgrades!$T$8="Magnetosphere",POWER(Upgrades!$U$8,G13),1)*IF(Upgrades!$T$10="Magnetosphere",POWER(Upgrades!$U$10,I13),1)*IF(Upgrades!$T$11="Magnetosphere",POWER(Upgrades!$U$11,J13),1)*IF(Upgrades!$T$12="Magnetosphere",POWER(Upgrades!$U$12,K13),1))*POWER(Upgrades!$P$6,E13)*POWER(Upgrades!$P$7,F13)*POWER(Upgrades!$P$8,G13)*POWER(Upgrades!$P$9,H13)*POWER(Upgrades!$P$10,I13)*POWER(Upgrades!$P$11,J13)*POWER(Upgrades!$P$12,K13)*60</f>
        <v>0</v>
      </c>
      <c r="AE13" s="27" t="n">
        <f aca="false">(IF(K13=0,0,(Upgrades!$G$12+K13*Upgrades!$H$12)*POWER(Upgrades!$I$12,K13)))*(IF(Upgrades!$T$6="First Photons",POWER(Upgrades!$U$6,E13),1)*IF(Upgrades!$T$7="First Photons",POWER(Upgrades!$U$7,F13),1)*IF(Upgrades!$T$8="First Photons",POWER(Upgrades!$U$8,G13),1)*IF(Upgrades!$T$9="First Photons",POWER(Upgrades!$U$9,H13),1)*IF(Upgrades!$T$10="First Photons",POWER(Upgrades!$U$10,I13),1)*IF(Upgrades!$T$11="First Photons",POWER(Upgrades!$U$11,J13),1))*POWER(Upgrades!$P$6,E13)*POWER(Upgrades!$P$7,F13)*POWER(Upgrades!$P$8,G13)*POWER(Upgrades!$P$9,H13)*POWER(Upgrades!$P$10,I13)*POWER(Upgrades!$P$11,J13)*POWER(Upgrades!$P$12,K13)*60</f>
        <v>0</v>
      </c>
      <c r="AF13" s="27" t="n">
        <f aca="false">Parameters!$B$9*POWER(Upgrades!$Q$6,E13)*POWER(Upgrades!$Q$7,F13)*POWER(Upgrades!$Q$8,G13)*POWER(Upgrades!$Q$9,H13)*POWER(Upgrades!$Q$10,I13)*POWER(Upgrades!$Q$11,J13)*POWER(Upgrades!$Q$12,K13)*(Parameters!$B$10*Parameters!$B$11+O13*60)</f>
        <v>100</v>
      </c>
      <c r="AG13" s="21" t="n">
        <f aca="false">IF(E13&gt;=Upgrades!$E$6,"",Upgrades!$C$6*POWER(Upgrades!$D$6,E13))</f>
        <v>9.2575</v>
      </c>
      <c r="AH13" s="21" t="n">
        <f aca="false">IF(F13&gt;=Upgrades!$E$7,"",Upgrades!$C$7*POWER(Upgrades!$D$7,F13))</f>
        <v>23</v>
      </c>
      <c r="AI13" s="21" t="n">
        <f aca="false">IF(G13&gt;=Upgrades!$E$8,"",Upgrades!$C$8*POWER(Upgrades!$D$8,G13))</f>
        <v>60.368</v>
      </c>
      <c r="AJ13" s="21" t="n">
        <f aca="false">IF(H13&gt;=Upgrades!$E$9,"",Upgrades!$C$9*POWER(Upgrades!$D$9,H13))</f>
        <v>80</v>
      </c>
      <c r="AK13" s="21" t="n">
        <f aca="false">IF(I13&gt;=Upgrades!$E$10,"",Upgrades!$C$10*POWER(Upgrades!$D$10,I13))</f>
        <v>240</v>
      </c>
      <c r="AL13" s="21" t="n">
        <f aca="false">IF(J13&gt;=Upgrades!$E$11,"",Upgrades!$C$11*POWER(Upgrades!$D$11,J13))</f>
        <v>575</v>
      </c>
      <c r="AM13" s="21" t="n">
        <f aca="false">IF(K13&gt;=Upgrades!$E$12,"",Upgrades!$C$12*POWER(Upgrades!$D$12,K13))</f>
        <v>850</v>
      </c>
      <c r="AN13" s="26" t="str">
        <f aca="false">IF(AND(D13&gt;=Parameters!$B$18,(H13&gt;=Upgrades!$E$9)*(K13&gt;=Upgrades!$E$12)=1,L13=0),1,"")</f>
        <v/>
      </c>
      <c r="AO13" s="26" t="str">
        <f aca="false">IF(AND(D13&gt;=Parameters!$B$18,L13=0),1,"")</f>
        <v/>
      </c>
      <c r="AP13" s="21" t="n">
        <f aca="false">MIN(IF(ISNUMBER(AK13),AK13,9000000000000000),IF(ISNUMBER(AL13),AL13,9000000000000000),IF(ISNUMBER(AM13),AM13,9000000000000000))</f>
        <v>240</v>
      </c>
      <c r="AQ13" s="21" t="n">
        <f aca="false">MIN(IF(ISNUMBER(AG13),AG13,9000000000000000),IF(ISNUMBER(AH13),AH13,9000000000000000),IF(ISNUMBER(AI13),AI13,9000000000000000),IF(ISNUMBER(AJ13),AJ13,9000000000000000))</f>
        <v>9.2575</v>
      </c>
      <c r="AR13" s="32" t="b">
        <f aca="false">IF(AW13&gt;Parameters!$B$21*(MAX(IF(AND(NOT(AND(AO13=1,AN13&lt;&gt;1)),ISNUMBER(AG13),AG13&lt;=T13),AS13,0),IF(AND(NOT(AND(AO13=1,AN13&lt;&gt;1)),ISNUMBER(AH13),AH13&lt;=T13),AT13,0),IF(AND(NOT(AND(AO13=1,AN13&lt;&gt;1)),ISNUMBER(AI13),AI13&lt;=T13),AU13,0),IF(AND(ISNUMBER(AJ13),AJ13&lt;=T13),AV13,0))),TRUE(),FALSE())</f>
        <v>0</v>
      </c>
      <c r="AS13" s="33" t="n">
        <f aca="false">IFERROR(Upgrades!$H$6*(POWER(Upgrades!$P$6,E13)*POWER(Upgrades!$P$7,F13)*POWER(Upgrades!$P$8,G13)*POWER(Upgrades!$P$9,H13)*POWER(Upgrades!$P$10,I13)*POWER(Upgrades!$P$11,J13)*POWER(Upgrades!$P$12,K13))*(IF(Upgrades!$T$7="Solar Wind",POWER(Upgrades!$U$7,F13),1)*IF(Upgrades!$T$8="Solar Wind",POWER(Upgrades!$U$8,G13),1)*IF(Upgrades!$T$9="Solar Wind",POWER(Upgrades!$U$9,H13),1)*IF(Upgrades!$T$10="Solar Wind",POWER(Upgrades!$U$10,I13),1)*IF(Upgrades!$T$11="Solar Wind",POWER(Upgrades!$U$11,J13),1)*IF(Upgrades!$T$12="Solar Wind",POWER(Upgrades!$U$12,K13),1))/AG13,0)</f>
        <v>0.00864164191196327</v>
      </c>
      <c r="AT13" s="33" t="n">
        <f aca="false">IFERROR(Upgrades!$H$7*(POWER(Upgrades!$P$6,E13)*POWER(Upgrades!$P$7,F13)*POWER(Upgrades!$P$8,G13)*POWER(Upgrades!$P$9,H13)*POWER(Upgrades!$P$10,I13)*POWER(Upgrades!$P$11,J13)*POWER(Upgrades!$P$12,K13))*(IF(Upgrades!$T$6="Asteroid Belt",POWER(Upgrades!$U$6,E13),1)*IF(Upgrades!$T$8="Asteroid Belt",POWER(Upgrades!$U$8,G13),1)*IF(Upgrades!$T$9="Asteroid Belt",POWER(Upgrades!$U$9,H13),1)*IF(Upgrades!$T$10="Asteroid Belt",POWER(Upgrades!$U$10,I13),1)*IF(Upgrades!$T$11="Asteroid Belt",POWER(Upgrades!$U$11,J13),1)*IF(Upgrades!$T$12="Asteroid Belt",POWER(Upgrades!$U$12,K13),1))/AH13,0)</f>
        <v>0.00869565217391304</v>
      </c>
      <c r="AU13" s="33" t="n">
        <f aca="false">IFERROR(Upgrades!$K$8*(POWER(Upgrades!$Q$6,E13)*POWER(Upgrades!$Q$7,F13)*POWER(Upgrades!$Q$8,G13)*POWER(Upgrades!$Q$9,H13)*POWER(Upgrades!$Q$10,I13)*POWER(Upgrades!$Q$11,J13)*POWER(Upgrades!$Q$12,K13))*(IF(Upgrades!$T$6="Stellar Coupling",POWER(Upgrades!$U$6,E13),1)*IF(Upgrades!$T$7="Stellar Coupling",POWER(Upgrades!$U$7,F13),1)*IF(Upgrades!$T$9="Stellar Coupling",POWER(Upgrades!$U$9,H13),1)*IF(Upgrades!$T$10="Stellar Coupling",POWER(Upgrades!$U$10,I13),1)*IF(Upgrades!$T$11="Stellar Coupling",POWER(Upgrades!$U$11,J13),1)*IF(Upgrades!$T$12="Stellar Coupling",POWER(Upgrades!$U$12,K13),1))*Parameters!$B$10*Parameters!$B$11/60/AI13,0)</f>
        <v>0.00966295609152752</v>
      </c>
      <c r="AV13" s="33" t="n">
        <f aca="false">IFERROR(Upgrades!$H$9*(POWER(Upgrades!$P$6,E13)*POWER(Upgrades!$P$7,F13)*POWER(Upgrades!$P$8,G13)*POWER(Upgrades!$P$9,H13)*POWER(Upgrades!$P$10,I13)*POWER(Upgrades!$P$11,J13)*POWER(Upgrades!$P$12,K13))*(IF(Upgrades!$T$6="Magnetosphere",POWER(Upgrades!$U$6,E13),1)*IF(Upgrades!$T$7="Magnetosphere",POWER(Upgrades!$U$7,F13),1)*IF(Upgrades!$T$8="Magnetosphere",POWER(Upgrades!$U$8,G13),1)*IF(Upgrades!$T$10="Magnetosphere",POWER(Upgrades!$U$10,I13),1)*IF(Upgrades!$T$11="Magnetosphere",POWER(Upgrades!$U$11,J13),1)*IF(Upgrades!$T$12="Magnetosphere",POWER(Upgrades!$U$12,K13),1))/AJ13,0)</f>
        <v>0.0125</v>
      </c>
      <c r="AW13" s="33" t="n">
        <f aca="false">MAX(IF(I13&gt;0,0,IFERROR(0.25*N13/Upgrades!$C$10,0)),IF(J13&gt;0,0,IFERROR(0.5*((IF(G13=0,0,(Upgrades!$J$8+G13*Upgrades!$K$8)*POWER(Upgrades!$L$8,G13)))*(IF(Upgrades!$T$6="Stellar Coupling",POWER(Upgrades!$U$6,E13),1)*IF(Upgrades!$T$7="Stellar Coupling",POWER(Upgrades!$U$7,F13),1)*IF(Upgrades!$T$9="Stellar Coupling",POWER(Upgrades!$U$9,H13),1)*IF(Upgrades!$T$10="Stellar Coupling",POWER(Upgrades!$U$10,I13),1)*IF(Upgrades!$T$11="Stellar Coupling",POWER(Upgrades!$U$11,J13),1)*IF(Upgrades!$T$12="Stellar Coupling",POWER(Upgrades!$U$12,K13),1))*(POWER(Upgrades!$Q$6,E13)*POWER(Upgrades!$Q$7,F13)*POWER(Upgrades!$Q$8,G13)*POWER(Upgrades!$Q$9,H13)*POWER(Upgrades!$Q$10,I13)*POWER(Upgrades!$Q$11,J13)*POWER(Upgrades!$Q$12,K13))*Parameters!$B$10*Parameters!$B$11/60)/Upgrades!$C$11,0)),IF(K13&gt;0,0,IFERROR((1*(POWER(Upgrades!$P$6,E13)*POWER(Upgrades!$P$7,F13)*POWER(Upgrades!$P$8,G13)*POWER(Upgrades!$P$9,H13)*POWER(Upgrades!$P$10,I13)*POWER(Upgrades!$P$11,J13)*POWER(Upgrades!$P$12,K13))+0.2*M13*Parameters!$B$10*Parameters!$B$11/60)/Upgrades!$C$12,0)),IF(AND(ISNUMBER(AG13),AG13&gt;T13),AS13,0),IF(AND(ISNUMBER(AH13),AH13&gt;T13),AT13,0),IF(AND(ISNUMBER(AI13),AI13&gt;T13),AU13,0),IF(AND(ISNUMBER(AJ13),AJ13&gt;T13),AV13,0))</f>
        <v>0.00198039215686275</v>
      </c>
      <c r="AX13" s="29" t="str">
        <f aca="false">IF(AN13=1,"transition",IF(MIN(IF(AND(I13=0,ISNUMBER(AK13),AK13&lt;=T13),AK13,9000000000000000),IF(AND(J13=0,ISNUMBER(AL13),AL13&lt;=T13),AL13,9000000000000000),IF(AND(K13=0,ISNUMBER(AM13),AM13&lt;=T13),AM13,9000000000000000))&lt;9000000000000000,IF(AND(AND(I13=0,ISNUMBER(AK13),AK13&lt;=T13),AK13=MIN(IF(AND(I13=0,ISNUMBER(AK13),AK13&lt;=T13),AK13,9000000000000000),IF(AND(J13=0,ISNUMBER(AL13),AL13&lt;=T13),AL13,9000000000000000),IF(AND(K13=0,ISNUMBER(AM13),AM13&lt;=T13),AM13,9000000000000000))),"OR",IF(AND(AND(J13=0,ISNUMBER(AL13),AL13&lt;=T13),AL13=MIN(IF(AND(I13=0,ISNUMBER(AK13),AK13&lt;=T13),AK13,9000000000000000),IF(AND(J13=0,ISNUMBER(AL13),AL13&lt;=T13),AL13,9000000000000000),IF(AND(K13=0,ISNUMBER(AM13),AM13&lt;=T13),AM13,9000000000000000))),"HP","FP")),IF(AR13=TRUE(),"",IF(MAX(IF(AND(NOT(AND(AO13=1,AN13&lt;&gt;1)),ISNUMBER(AG13),AG13&lt;=T13),AS13,0),IF(AND(NOT(AND(AO13=1,AN13&lt;&gt;1)),ISNUMBER(AH13),AH13&lt;=T13),AT13,0),IF(AND(NOT(AND(AO13=1,AN13&lt;&gt;1)),ISNUMBER(AI13),AI13&lt;=T13),AU13,0),IF(AND(ISNUMBER(AJ13),AJ13&lt;=T13),AV13,0))&lt;=0,"",IF(AND(IF(AND(NOT(AND(AO13=1,AN13&lt;&gt;1)),ISNUMBER(AG13),AG13&lt;=T13),AS13,0)&gt;0,IF(AND(NOT(AND(AO13=1,AN13&lt;&gt;1)),ISNUMBER(AG13),AG13&lt;=T13),AS13,0)=MAX(IF(AND(NOT(AND(AO13=1,AN13&lt;&gt;1)),ISNUMBER(AG13),AG13&lt;=T13),AS13,0),IF(AND(NOT(AND(AO13=1,AN13&lt;&gt;1)),ISNUMBER(AH13),AH13&lt;=T13),AT13,0),IF(AND(NOT(AND(AO13=1,AN13&lt;&gt;1)),ISNUMBER(AI13),AI13&lt;=T13),AU13,0),IF(AND(ISNUMBER(AJ13),AJ13&lt;=T13),AV13,0))),"SW",IF(AND(IF(AND(NOT(AND(AO13=1,AN13&lt;&gt;1)),ISNUMBER(AH13),AH13&lt;=T13),AT13,0)&gt;0,IF(AND(NOT(AND(AO13=1,AN13&lt;&gt;1)),ISNUMBER(AH13),AH13&lt;=T13),AT13,0)=MAX(IF(AND(NOT(AND(AO13=1,AN13&lt;&gt;1)),ISNUMBER(AG13),AG13&lt;=T13),AS13,0),IF(AND(NOT(AND(AO13=1,AN13&lt;&gt;1)),ISNUMBER(AH13),AH13&lt;=T13),AT13,0),IF(AND(NOT(AND(AO13=1,AN13&lt;&gt;1)),ISNUMBER(AI13),AI13&lt;=T13),AU13,0),IF(AND(ISNUMBER(AJ13),AJ13&lt;=T13),AV13,0))),"AB",IF(AND(IF(AND(NOT(AND(AO13=1,AN13&lt;&gt;1)),ISNUMBER(AI13),AI13&lt;=T13),AU13,0)&gt;0,IF(AND(NOT(AND(AO13=1,AN13&lt;&gt;1)),ISNUMBER(AI13),AI13&lt;=T13),AU13,0)=MAX(IF(AND(NOT(AND(AO13=1,AN13&lt;&gt;1)),ISNUMBER(AG13),AG13&lt;=T13),AS13,0),IF(AND(NOT(AND(AO13=1,AN13&lt;&gt;1)),ISNUMBER(AH13),AH13&lt;=T13),AT13,0),IF(AND(NOT(AND(AO13=1,AN13&lt;&gt;1)),ISNUMBER(AI13),AI13&lt;=T13),AU13,0),IF(AND(ISNUMBER(AJ13),AJ13&lt;=T13),AV13,0))),"SC","Mag")))))))</f>
        <v>Mag</v>
      </c>
    </row>
    <row r="14" customFormat="false" ht="15" hidden="false" customHeight="false" outlineLevel="0" collapsed="false">
      <c r="A14" s="26" t="n">
        <v>9</v>
      </c>
      <c r="B14" s="27" t="n">
        <f aca="false">A14*10/60</f>
        <v>1.5</v>
      </c>
      <c r="C14" s="21" t="n">
        <f aca="false">X13</f>
        <v>12.03</v>
      </c>
      <c r="D14" s="27" t="n">
        <f aca="false">D13+W13</f>
        <v>0</v>
      </c>
      <c r="E14" s="26" t="n">
        <f aca="false">E13+IF(U13="SW",1,0)</f>
        <v>2</v>
      </c>
      <c r="F14" s="26" t="n">
        <f aca="false">F13+IF(U13="AB",1,0)</f>
        <v>1</v>
      </c>
      <c r="G14" s="26" t="n">
        <f aca="false">G13+IF(U13="SC",1,0)</f>
        <v>3</v>
      </c>
      <c r="H14" s="26" t="n">
        <f aca="false">H13+IF(U13="Mag",1,0)</f>
        <v>1</v>
      </c>
      <c r="I14" s="26" t="n">
        <f aca="false">MAX(I13,IF(U13="OR",1,0))</f>
        <v>0</v>
      </c>
      <c r="J14" s="26" t="n">
        <f aca="false">MAX(J13,IF(U13="HP",1,0))</f>
        <v>0</v>
      </c>
      <c r="K14" s="26" t="n">
        <f aca="false">MAX(K13,IF(U13="FP",1,0))</f>
        <v>0</v>
      </c>
      <c r="L14" s="26" t="n">
        <f aca="false">MAX(L13,IF(U13="transition",1,0))</f>
        <v>0</v>
      </c>
      <c r="M14" s="28" t="n">
        <f aca="false">(Parameters!$B$9+(IF(E14=0,0,(Upgrades!$J$6+E14*Upgrades!$K$6)*POWER(Upgrades!$L$6,E14)))*(IF(Upgrades!$T$7="Solar Wind",POWER(Upgrades!$U$7,F14),1)*IF(Upgrades!$T$8="Solar Wind",POWER(Upgrades!$U$8,G14),1)*IF(Upgrades!$T$9="Solar Wind",POWER(Upgrades!$U$9,H14),1)*IF(Upgrades!$T$10="Solar Wind",POWER(Upgrades!$U$10,I14),1)*IF(Upgrades!$T$11="Solar Wind",POWER(Upgrades!$U$11,J14),1)*IF(Upgrades!$T$12="Solar Wind",POWER(Upgrades!$U$12,K14),1))+(IF(F14=0,0,(Upgrades!$J$7+F14*Upgrades!$K$7)*POWER(Upgrades!$L$7,F14)))*(IF(Upgrades!$T$6="Asteroid Belt",POWER(Upgrades!$U$6,E14),1)*IF(Upgrades!$T$8="Asteroid Belt",POWER(Upgrades!$U$8,G14),1)*IF(Upgrades!$T$9="Asteroid Belt",POWER(Upgrades!$U$9,H14),1)*IF(Upgrades!$T$10="Asteroid Belt",POWER(Upgrades!$U$10,I14),1)*IF(Upgrades!$T$11="Asteroid Belt",POWER(Upgrades!$U$11,J14),1)*IF(Upgrades!$T$12="Asteroid Belt",POWER(Upgrades!$U$12,K14),1))+(IF(G14=0,0,(Upgrades!$J$8+G14*Upgrades!$K$8)*POWER(Upgrades!$L$8,G14)))*(IF(Upgrades!$T$6="Stellar Coupling",POWER(Upgrades!$U$6,E14),1)*IF(Upgrades!$T$7="Stellar Coupling",POWER(Upgrades!$U$7,F14),1)*IF(Upgrades!$T$9="Stellar Coupling",POWER(Upgrades!$U$9,H14),1)*IF(Upgrades!$T$10="Stellar Coupling",POWER(Upgrades!$U$10,I14),1)*IF(Upgrades!$T$11="Stellar Coupling",POWER(Upgrades!$U$11,J14),1)*IF(Upgrades!$T$12="Stellar Coupling",POWER(Upgrades!$U$12,K14),1))+(IF(H14=0,0,(Upgrades!$J$9+H14*Upgrades!$K$9)*POWER(Upgrades!$L$9,H14)))*(IF(Upgrades!$T$6="Magnetosphere",POWER(Upgrades!$U$6,E14),1)*IF(Upgrades!$T$7="Magnetosphere",POWER(Upgrades!$U$7,F14),1)*IF(Upgrades!$T$8="Magnetosphere",POWER(Upgrades!$U$8,G14),1)*IF(Upgrades!$T$10="Magnetosphere",POWER(Upgrades!$U$10,I14),1)*IF(Upgrades!$T$11="Magnetosphere",POWER(Upgrades!$U$11,J14),1)*IF(Upgrades!$T$12="Magnetosphere",POWER(Upgrades!$U$12,K14),1))+(IF(I14=0,0,(Upgrades!$J$10+I14*Upgrades!$K$10)*POWER(Upgrades!$L$10,I14)))*(IF(Upgrades!$T$6="Orbital Resonance",POWER(Upgrades!$U$6,E14),1)*IF(Upgrades!$T$7="Orbital Resonance",POWER(Upgrades!$U$7,F14),1)*IF(Upgrades!$T$8="Orbital Resonance",POWER(Upgrades!$U$8,G14),1)*IF(Upgrades!$T$9="Orbital Resonance",POWER(Upgrades!$U$9,H14),1)*IF(Upgrades!$T$11="Orbital Resonance",POWER(Upgrades!$U$11,J14),1)*IF(Upgrades!$T$12="Orbital Resonance",POWER(Upgrades!$U$12,K14),1))+(IF(J14=0,0,(Upgrades!$J$11+J14*Upgrades!$K$11)*POWER(Upgrades!$L$11,J14)))*(IF(Upgrades!$T$6="Heliopause",POWER(Upgrades!$U$6,E14),1)*IF(Upgrades!$T$7="Heliopause",POWER(Upgrades!$U$7,F14),1)*IF(Upgrades!$T$8="Heliopause",POWER(Upgrades!$U$8,G14),1)*IF(Upgrades!$T$9="Heliopause",POWER(Upgrades!$U$9,H14),1)*IF(Upgrades!$T$10="Heliopause",POWER(Upgrades!$U$10,I14),1)*IF(Upgrades!$T$12="Heliopause",POWER(Upgrades!$U$12,K14),1))+(IF(K14=0,0,(Upgrades!$J$12+K14*Upgrades!$K$12)*POWER(Upgrades!$L$12,K14)))*(IF(Upgrades!$T$6="First Photons",POWER(Upgrades!$U$6,E14),1)*IF(Upgrades!$T$7="First Photons",POWER(Upgrades!$U$7,F14),1)*IF(Upgrades!$T$8="First Photons",POWER(Upgrades!$U$8,G14),1)*IF(Upgrades!$T$9="First Photons",POWER(Upgrades!$U$9,H14),1)*IF(Upgrades!$T$10="First Photons",POWER(Upgrades!$U$10,I14),1)*IF(Upgrades!$T$11="First Photons",POWER(Upgrades!$U$11,J14),1)))*POWER(Upgrades!$Q$6,E14)*POWER(Upgrades!$Q$7,F14)*POWER(Upgrades!$Q$8,G14)*POWER(Upgrades!$Q$9,H14)*POWER(Upgrades!$Q$10,I14)*POWER(Upgrades!$Q$11,J14)*POWER(Upgrades!$Q$12,K14)</f>
        <v>2.05</v>
      </c>
      <c r="N14" s="28" t="n">
        <f aca="false">((IF(E14=0,0,(Upgrades!$G$6+E14*Upgrades!$H$6)*POWER(Upgrades!$I$6,E14)))*(IF(Upgrades!$T$7="Solar Wind",POWER(Upgrades!$U$7,F14),1)*IF(Upgrades!$T$8="Solar Wind",POWER(Upgrades!$U$8,G14),1)*IF(Upgrades!$T$9="Solar Wind",POWER(Upgrades!$U$9,H14),1)*IF(Upgrades!$T$10="Solar Wind",POWER(Upgrades!$U$10,I14),1)*IF(Upgrades!$T$11="Solar Wind",POWER(Upgrades!$U$11,J14),1)*IF(Upgrades!$T$12="Solar Wind",POWER(Upgrades!$U$12,K14),1))+(IF(F14=0,0,(Upgrades!$G$7+F14*Upgrades!$H$7)*POWER(Upgrades!$I$7,F14)))*(IF(Upgrades!$T$6="Asteroid Belt",POWER(Upgrades!$U$6,E14),1)*IF(Upgrades!$T$8="Asteroid Belt",POWER(Upgrades!$U$8,G14),1)*IF(Upgrades!$T$9="Asteroid Belt",POWER(Upgrades!$U$9,H14),1)*IF(Upgrades!$T$10="Asteroid Belt",POWER(Upgrades!$U$10,I14),1)*IF(Upgrades!$T$11="Asteroid Belt",POWER(Upgrades!$U$11,J14),1)*IF(Upgrades!$T$12="Asteroid Belt",POWER(Upgrades!$U$12,K14),1))+(IF(G14=0,0,(Upgrades!$G$8+G14*Upgrades!$H$8)*POWER(Upgrades!$I$8,G14)))*(IF(Upgrades!$T$6="Stellar Coupling",POWER(Upgrades!$U$6,E14),1)*IF(Upgrades!$T$7="Stellar Coupling",POWER(Upgrades!$U$7,F14),1)*IF(Upgrades!$T$9="Stellar Coupling",POWER(Upgrades!$U$9,H14),1)*IF(Upgrades!$T$10="Stellar Coupling",POWER(Upgrades!$U$10,I14),1)*IF(Upgrades!$T$11="Stellar Coupling",POWER(Upgrades!$U$11,J14),1)*IF(Upgrades!$T$12="Stellar Coupling",POWER(Upgrades!$U$12,K14),1))+(IF(H14=0,0,(Upgrades!$G$9+H14*Upgrades!$H$9)*POWER(Upgrades!$I$9,H14)))*(IF(Upgrades!$T$6="Magnetosphere",POWER(Upgrades!$U$6,E14),1)*IF(Upgrades!$T$7="Magnetosphere",POWER(Upgrades!$U$7,F14),1)*IF(Upgrades!$T$8="Magnetosphere",POWER(Upgrades!$U$8,G14),1)*IF(Upgrades!$T$10="Magnetosphere",POWER(Upgrades!$U$10,I14),1)*IF(Upgrades!$T$11="Magnetosphere",POWER(Upgrades!$U$11,J14),1)*IF(Upgrades!$T$12="Magnetosphere",POWER(Upgrades!$U$12,K14),1))+(IF(I14=0,0,(Upgrades!$G$10+I14*Upgrades!$H$10)*POWER(Upgrades!$I$10,I14)))*(IF(Upgrades!$T$6="Orbital Resonance",POWER(Upgrades!$U$6,E14),1)*IF(Upgrades!$T$7="Orbital Resonance",POWER(Upgrades!$U$7,F14),1)*IF(Upgrades!$T$8="Orbital Resonance",POWER(Upgrades!$U$8,G14),1)*IF(Upgrades!$T$9="Orbital Resonance",POWER(Upgrades!$U$9,H14),1)*IF(Upgrades!$T$11="Orbital Resonance",POWER(Upgrades!$U$11,J14),1)*IF(Upgrades!$T$12="Orbital Resonance",POWER(Upgrades!$U$12,K14),1))+(IF(J14=0,0,(Upgrades!$G$11+J14*Upgrades!$H$11)*POWER(Upgrades!$I$11,J14)))*(IF(Upgrades!$T$6="Heliopause",POWER(Upgrades!$U$6,E14),1)*IF(Upgrades!$T$7="Heliopause",POWER(Upgrades!$U$7,F14),1)*IF(Upgrades!$T$8="Heliopause",POWER(Upgrades!$U$8,G14),1)*IF(Upgrades!$T$9="Heliopause",POWER(Upgrades!$U$9,H14),1)*IF(Upgrades!$T$10="Heliopause",POWER(Upgrades!$U$10,I14),1)*IF(Upgrades!$T$12="Heliopause",POWER(Upgrades!$U$12,K14),1))+(IF(K14=0,0,(Upgrades!$G$12+K14*Upgrades!$H$12)*POWER(Upgrades!$I$12,K14)))*(IF(Upgrades!$T$6="First Photons",POWER(Upgrades!$U$6,E14),1)*IF(Upgrades!$T$7="First Photons",POWER(Upgrades!$U$7,F14),1)*IF(Upgrades!$T$8="First Photons",POWER(Upgrades!$U$8,G14),1)*IF(Upgrades!$T$9="First Photons",POWER(Upgrades!$U$9,H14),1)*IF(Upgrades!$T$10="First Photons",POWER(Upgrades!$U$10,I14),1)*IF(Upgrades!$T$11="First Photons",POWER(Upgrades!$U$11,J14),1)))*POWER(Upgrades!$P$6,E14)*POWER(Upgrades!$P$7,F14)*POWER(Upgrades!$P$8,G14)*POWER(Upgrades!$P$9,H14)*POWER(Upgrades!$P$10,I14)*POWER(Upgrades!$P$11,J14)*POWER(Upgrades!$P$12,K14)</f>
        <v>1.36</v>
      </c>
      <c r="O14" s="28" t="n">
        <f aca="false">((IF(E14=0,0,(Upgrades!$M$6+E14*Upgrades!$N$6)*POWER(Upgrades!$O$6,E14)))*(IF(Upgrades!$T$7="Solar Wind",POWER(Upgrades!$U$7,F14),1)*IF(Upgrades!$T$8="Solar Wind",POWER(Upgrades!$U$8,G14),1)*IF(Upgrades!$T$9="Solar Wind",POWER(Upgrades!$U$9,H14),1)*IF(Upgrades!$T$10="Solar Wind",POWER(Upgrades!$U$10,I14),1)*IF(Upgrades!$T$11="Solar Wind",POWER(Upgrades!$U$11,J14),1)*IF(Upgrades!$T$12="Solar Wind",POWER(Upgrades!$U$12,K14),1))+(IF(F14=0,0,(Upgrades!$M$7+F14*Upgrades!$N$7)*POWER(Upgrades!$O$7,F14)))*(IF(Upgrades!$T$6="Asteroid Belt",POWER(Upgrades!$U$6,E14),1)*IF(Upgrades!$T$8="Asteroid Belt",POWER(Upgrades!$U$8,G14),1)*IF(Upgrades!$T$9="Asteroid Belt",POWER(Upgrades!$U$9,H14),1)*IF(Upgrades!$T$10="Asteroid Belt",POWER(Upgrades!$U$10,I14),1)*IF(Upgrades!$T$11="Asteroid Belt",POWER(Upgrades!$U$11,J14),1)*IF(Upgrades!$T$12="Asteroid Belt",POWER(Upgrades!$U$12,K14),1))+(IF(G14=0,0,(Upgrades!$M$8+G14*Upgrades!$N$8)*POWER(Upgrades!$O$8,G14)))*(IF(Upgrades!$T$6="Stellar Coupling",POWER(Upgrades!$U$6,E14),1)*IF(Upgrades!$T$7="Stellar Coupling",POWER(Upgrades!$U$7,F14),1)*IF(Upgrades!$T$9="Stellar Coupling",POWER(Upgrades!$U$9,H14),1)*IF(Upgrades!$T$10="Stellar Coupling",POWER(Upgrades!$U$10,I14),1)*IF(Upgrades!$T$11="Stellar Coupling",POWER(Upgrades!$U$11,J14),1)*IF(Upgrades!$T$12="Stellar Coupling",POWER(Upgrades!$U$12,K14),1))+(IF(H14=0,0,(Upgrades!$M$9+H14*Upgrades!$N$9)*POWER(Upgrades!$O$9,H14)))*(IF(Upgrades!$T$6="Magnetosphere",POWER(Upgrades!$U$6,E14),1)*IF(Upgrades!$T$7="Magnetosphere",POWER(Upgrades!$U$7,F14),1)*IF(Upgrades!$T$8="Magnetosphere",POWER(Upgrades!$U$8,G14),1)*IF(Upgrades!$T$10="Magnetosphere",POWER(Upgrades!$U$10,I14),1)*IF(Upgrades!$T$11="Magnetosphere",POWER(Upgrades!$U$11,J14),1)*IF(Upgrades!$T$12="Magnetosphere",POWER(Upgrades!$U$12,K14),1))+(IF(I14=0,0,(Upgrades!$M$10+I14*Upgrades!$N$10)*POWER(Upgrades!$O$10,I14)))*(IF(Upgrades!$T$6="Orbital Resonance",POWER(Upgrades!$U$6,E14),1)*IF(Upgrades!$T$7="Orbital Resonance",POWER(Upgrades!$U$7,F14),1)*IF(Upgrades!$T$8="Orbital Resonance",POWER(Upgrades!$U$8,G14),1)*IF(Upgrades!$T$9="Orbital Resonance",POWER(Upgrades!$U$9,H14),1)*IF(Upgrades!$T$11="Orbital Resonance",POWER(Upgrades!$U$11,J14),1)*IF(Upgrades!$T$12="Orbital Resonance",POWER(Upgrades!$U$12,K14),1))+(IF(J14=0,0,(Upgrades!$M$11+J14*Upgrades!$N$11)*POWER(Upgrades!$O$11,J14)))*(IF(Upgrades!$T$6="Heliopause",POWER(Upgrades!$U$6,E14),1)*IF(Upgrades!$T$7="Heliopause",POWER(Upgrades!$U$7,F14),1)*IF(Upgrades!$T$8="Heliopause",POWER(Upgrades!$U$8,G14),1)*IF(Upgrades!$T$9="Heliopause",POWER(Upgrades!$U$9,H14),1)*IF(Upgrades!$T$10="Heliopause",POWER(Upgrades!$U$10,I14),1)*IF(Upgrades!$T$12="Heliopause",POWER(Upgrades!$U$12,K14),1))+(IF(K14=0,0,(Upgrades!$M$12+K14*Upgrades!$N$12)*POWER(Upgrades!$O$12,K14)))*(IF(Upgrades!$T$6="First Photons",POWER(Upgrades!$U$6,E14),1)*IF(Upgrades!$T$7="First Photons",POWER(Upgrades!$U$7,F14),1)*IF(Upgrades!$T$8="First Photons",POWER(Upgrades!$U$8,G14),1)*IF(Upgrades!$T$9="First Photons",POWER(Upgrades!$U$9,H14),1)*IF(Upgrades!$T$10="First Photons",POWER(Upgrades!$U$10,I14),1)*IF(Upgrades!$T$11="First Photons",POWER(Upgrades!$U$11,J14),1)))*POWER(Upgrades!$R$6,E14)*POWER(Upgrades!$R$7,F14)*POWER(Upgrades!$R$8,G14)*POWER(Upgrades!$R$9,H14)*POWER(Upgrades!$R$10,I14)*POWER(Upgrades!$R$11,J14)*POWER(Upgrades!$R$12,K14)</f>
        <v>0</v>
      </c>
      <c r="P14" s="27" t="n">
        <f aca="false">IF(L14=1,0,M14*Parameters!$B$10/60*Parameters!$B$11*10)</f>
        <v>34.1666666666667</v>
      </c>
      <c r="Q14" s="27" t="n">
        <f aca="false">IF(L14=1,0,O14*M14*10)</f>
        <v>0</v>
      </c>
      <c r="R14" s="27" t="n">
        <f aca="false">IF(L14=1,0,N14*10)</f>
        <v>13.6</v>
      </c>
      <c r="S14" s="27" t="n">
        <f aca="false">P14+Q14+R14</f>
        <v>47.7666666666667</v>
      </c>
      <c r="T14" s="21" t="n">
        <f aca="false">C14+S14</f>
        <v>59.7966666666666</v>
      </c>
      <c r="U14" s="34" t="str">
        <f aca="false">AX14</f>
        <v>AB</v>
      </c>
      <c r="V14" s="21" t="n">
        <f aca="false">IF(U14="",0,IF(U14="transition",0,IF(U14="SW",AG14,IF(U14="AB",AH14,IF(U14="SC",AI14,IF(U14="Mag",AJ14,IF(U14="OR",AK14,IF(U14="HP",AL14,IF(U14="FP",AM14,0)))))))))</f>
        <v>23</v>
      </c>
      <c r="W14" s="27" t="n">
        <f aca="false">IF(U14="OR",Upgrades!$F$10,IF(U14="HP",Upgrades!$F$11,IF(U14="transition",-Parameters!$B$18,0)))</f>
        <v>0</v>
      </c>
      <c r="X14" s="21" t="n">
        <f aca="false">T14-V14</f>
        <v>36.7966666666666</v>
      </c>
      <c r="Y14" s="30" t="n">
        <f aca="false">M14*Parameters!$B$10/60*Parameters!$B$11+O14*M14+N14</f>
        <v>4.77666666666667</v>
      </c>
      <c r="Z14" s="35" t="str">
        <f aca="false">IF(U14="transition","→ Tier 2 (Stellar Neighborhood)",IF(U14="FP","First Photons — light begins, system quickens",IF(U14="HP","Heliopause acquired",IF(U14="OR","Orbital Resonance — passive multiplier active",IF(AND(AO14=1,L14=0,AN14&lt;&gt;1),"Cohesion ready (waiting on completionist upgrades)","")))))</f>
        <v/>
      </c>
      <c r="AA14" s="27" t="n">
        <f aca="false">(IF(E14=0,0,(Upgrades!$G$6+E14*Upgrades!$H$6)*POWER(Upgrades!$I$6,E14)))*(IF(Upgrades!$T$7="Solar Wind",POWER(Upgrades!$U$7,F14),1)*IF(Upgrades!$T$8="Solar Wind",POWER(Upgrades!$U$8,G14),1)*IF(Upgrades!$T$9="Solar Wind",POWER(Upgrades!$U$9,H14),1)*IF(Upgrades!$T$10="Solar Wind",POWER(Upgrades!$U$10,I14),1)*IF(Upgrades!$T$11="Solar Wind",POWER(Upgrades!$U$11,J14),1)*IF(Upgrades!$T$12="Solar Wind",POWER(Upgrades!$U$12,K14),1))*POWER(Upgrades!$P$6,E14)*POWER(Upgrades!$P$7,F14)*POWER(Upgrades!$P$8,G14)*POWER(Upgrades!$P$9,H14)*POWER(Upgrades!$P$10,I14)*POWER(Upgrades!$P$11,J14)*POWER(Upgrades!$P$12,K14)*60</f>
        <v>9.6</v>
      </c>
      <c r="AB14" s="27" t="n">
        <f aca="false">(IF(F14=0,0,(Upgrades!$G$7+F14*Upgrades!$H$7)*POWER(Upgrades!$I$7,F14)))*(IF(Upgrades!$T$6="Asteroid Belt",POWER(Upgrades!$U$6,E14),1)*IF(Upgrades!$T$8="Asteroid Belt",POWER(Upgrades!$U$8,G14),1)*IF(Upgrades!$T$9="Asteroid Belt",POWER(Upgrades!$U$9,H14),1)*IF(Upgrades!$T$10="Asteroid Belt",POWER(Upgrades!$U$10,I14),1)*IF(Upgrades!$T$11="Asteroid Belt",POWER(Upgrades!$U$11,J14),1)*IF(Upgrades!$T$12="Asteroid Belt",POWER(Upgrades!$U$12,K14),1))*POWER(Upgrades!$P$6,E14)*POWER(Upgrades!$P$7,F14)*POWER(Upgrades!$P$8,G14)*POWER(Upgrades!$P$9,H14)*POWER(Upgrades!$P$10,I14)*POWER(Upgrades!$P$11,J14)*POWER(Upgrades!$P$12,K14)*60</f>
        <v>12</v>
      </c>
      <c r="AC14" s="27" t="n">
        <f aca="false">(IF(G14=0,0,(Upgrades!$J$8+G14*Upgrades!$K$8)*POWER(Upgrades!$L$8,G14)))*(IF(Upgrades!$T$6="Stellar Coupling",POWER(Upgrades!$U$6,E14),1)*IF(Upgrades!$T$7="Stellar Coupling",POWER(Upgrades!$U$7,F14),1)*IF(Upgrades!$T$9="Stellar Coupling",POWER(Upgrades!$U$9,H14),1)*IF(Upgrades!$T$10="Stellar Coupling",POWER(Upgrades!$U$10,I14),1)*IF(Upgrades!$T$11="Stellar Coupling",POWER(Upgrades!$U$11,J14),1)*IF(Upgrades!$T$12="Stellar Coupling",POWER(Upgrades!$U$12,K14),1))*POWER(Upgrades!$Q$6,E14)*POWER(Upgrades!$Q$7,F14)*POWER(Upgrades!$Q$8,G14)*POWER(Upgrades!$Q$9,H14)*POWER(Upgrades!$Q$10,I14)*POWER(Upgrades!$Q$11,J14)*POWER(Upgrades!$Q$12,K14)*Parameters!$B$10*Parameters!$B$11</f>
        <v>105</v>
      </c>
      <c r="AD14" s="27" t="n">
        <f aca="false">(IF(H14=0,0,(Upgrades!$G$9+H14*Upgrades!$H$9)*POWER(Upgrades!$I$9,H14)))*(IF(Upgrades!$T$6="Magnetosphere",POWER(Upgrades!$U$6,E14),1)*IF(Upgrades!$T$7="Magnetosphere",POWER(Upgrades!$U$7,F14),1)*IF(Upgrades!$T$8="Magnetosphere",POWER(Upgrades!$U$8,G14),1)*IF(Upgrades!$T$10="Magnetosphere",POWER(Upgrades!$U$10,I14),1)*IF(Upgrades!$T$11="Magnetosphere",POWER(Upgrades!$U$11,J14),1)*IF(Upgrades!$T$12="Magnetosphere",POWER(Upgrades!$U$12,K14),1))*POWER(Upgrades!$P$6,E14)*POWER(Upgrades!$P$7,F14)*POWER(Upgrades!$P$8,G14)*POWER(Upgrades!$P$9,H14)*POWER(Upgrades!$P$10,I14)*POWER(Upgrades!$P$11,J14)*POWER(Upgrades!$P$12,K14)*60</f>
        <v>60</v>
      </c>
      <c r="AE14" s="27" t="n">
        <f aca="false">(IF(K14=0,0,(Upgrades!$G$12+K14*Upgrades!$H$12)*POWER(Upgrades!$I$12,K14)))*(IF(Upgrades!$T$6="First Photons",POWER(Upgrades!$U$6,E14),1)*IF(Upgrades!$T$7="First Photons",POWER(Upgrades!$U$7,F14),1)*IF(Upgrades!$T$8="First Photons",POWER(Upgrades!$U$8,G14),1)*IF(Upgrades!$T$9="First Photons",POWER(Upgrades!$U$9,H14),1)*IF(Upgrades!$T$10="First Photons",POWER(Upgrades!$U$10,I14),1)*IF(Upgrades!$T$11="First Photons",POWER(Upgrades!$U$11,J14),1))*POWER(Upgrades!$P$6,E14)*POWER(Upgrades!$P$7,F14)*POWER(Upgrades!$P$8,G14)*POWER(Upgrades!$P$9,H14)*POWER(Upgrades!$P$10,I14)*POWER(Upgrades!$P$11,J14)*POWER(Upgrades!$P$12,K14)*60</f>
        <v>0</v>
      </c>
      <c r="AF14" s="27" t="n">
        <f aca="false">Parameters!$B$9*POWER(Upgrades!$Q$6,E14)*POWER(Upgrades!$Q$7,F14)*POWER(Upgrades!$Q$8,G14)*POWER(Upgrades!$Q$9,H14)*POWER(Upgrades!$Q$10,I14)*POWER(Upgrades!$Q$11,J14)*POWER(Upgrades!$Q$12,K14)*(Parameters!$B$10*Parameters!$B$11+O14*60)</f>
        <v>100</v>
      </c>
      <c r="AG14" s="21" t="n">
        <f aca="false">IF(E14&gt;=Upgrades!$E$6,"",Upgrades!$C$6*POWER(Upgrades!$D$6,E14))</f>
        <v>9.2575</v>
      </c>
      <c r="AH14" s="21" t="n">
        <f aca="false">IF(F14&gt;=Upgrades!$E$7,"",Upgrades!$C$7*POWER(Upgrades!$D$7,F14))</f>
        <v>23</v>
      </c>
      <c r="AI14" s="21" t="n">
        <f aca="false">IF(G14&gt;=Upgrades!$E$8,"",Upgrades!$C$8*POWER(Upgrades!$D$8,G14))</f>
        <v>60.368</v>
      </c>
      <c r="AJ14" s="21" t="n">
        <f aca="false">IF(H14&gt;=Upgrades!$E$9,"",Upgrades!$C$9*POWER(Upgrades!$D$9,H14))</f>
        <v>160</v>
      </c>
      <c r="AK14" s="21" t="n">
        <f aca="false">IF(I14&gt;=Upgrades!$E$10,"",Upgrades!$C$10*POWER(Upgrades!$D$10,I14))</f>
        <v>240</v>
      </c>
      <c r="AL14" s="21" t="n">
        <f aca="false">IF(J14&gt;=Upgrades!$E$11,"",Upgrades!$C$11*POWER(Upgrades!$D$11,J14))</f>
        <v>575</v>
      </c>
      <c r="AM14" s="21" t="n">
        <f aca="false">IF(K14&gt;=Upgrades!$E$12,"",Upgrades!$C$12*POWER(Upgrades!$D$12,K14))</f>
        <v>850</v>
      </c>
      <c r="AN14" s="26" t="str">
        <f aca="false">IF(AND(D14&gt;=Parameters!$B$18,(H14&gt;=Upgrades!$E$9)*(K14&gt;=Upgrades!$E$12)=1,L14=0),1,"")</f>
        <v/>
      </c>
      <c r="AO14" s="26" t="str">
        <f aca="false">IF(AND(D14&gt;=Parameters!$B$18,L14=0),1,"")</f>
        <v/>
      </c>
      <c r="AP14" s="21" t="n">
        <f aca="false">MIN(IF(ISNUMBER(AK14),AK14,9000000000000000),IF(ISNUMBER(AL14),AL14,9000000000000000),IF(ISNUMBER(AM14),AM14,9000000000000000))</f>
        <v>240</v>
      </c>
      <c r="AQ14" s="21" t="n">
        <f aca="false">MIN(IF(ISNUMBER(AG14),AG14,9000000000000000),IF(ISNUMBER(AH14),AH14,9000000000000000),IF(ISNUMBER(AI14),AI14,9000000000000000),IF(ISNUMBER(AJ14),AJ14,9000000000000000))</f>
        <v>9.2575</v>
      </c>
      <c r="AR14" s="32" t="b">
        <f aca="false">IF(AW14&gt;Parameters!$B$21*(MAX(IF(AND(NOT(AND(AO14=1,AN14&lt;&gt;1)),ISNUMBER(AG14),AG14&lt;=T14),AS14,0),IF(AND(NOT(AND(AO14=1,AN14&lt;&gt;1)),ISNUMBER(AH14),AH14&lt;=T14),AT14,0),IF(AND(NOT(AND(AO14=1,AN14&lt;&gt;1)),ISNUMBER(AI14),AI14&lt;=T14),AU14,0),IF(AND(ISNUMBER(AJ14),AJ14&lt;=T14),AV14,0))),TRUE(),FALSE())</f>
        <v>0</v>
      </c>
      <c r="AS14" s="33" t="n">
        <f aca="false">IFERROR(Upgrades!$H$6*(POWER(Upgrades!$P$6,E14)*POWER(Upgrades!$P$7,F14)*POWER(Upgrades!$P$8,G14)*POWER(Upgrades!$P$9,H14)*POWER(Upgrades!$P$10,I14)*POWER(Upgrades!$P$11,J14)*POWER(Upgrades!$P$12,K14))*(IF(Upgrades!$T$7="Solar Wind",POWER(Upgrades!$U$7,F14),1)*IF(Upgrades!$T$8="Solar Wind",POWER(Upgrades!$U$8,G14),1)*IF(Upgrades!$T$9="Solar Wind",POWER(Upgrades!$U$9,H14),1)*IF(Upgrades!$T$10="Solar Wind",POWER(Upgrades!$U$10,I14),1)*IF(Upgrades!$T$11="Solar Wind",POWER(Upgrades!$U$11,J14),1)*IF(Upgrades!$T$12="Solar Wind",POWER(Upgrades!$U$12,K14),1))/AG14,0)</f>
        <v>0.00864164191196327</v>
      </c>
      <c r="AT14" s="33" t="n">
        <f aca="false">IFERROR(Upgrades!$H$7*(POWER(Upgrades!$P$6,E14)*POWER(Upgrades!$P$7,F14)*POWER(Upgrades!$P$8,G14)*POWER(Upgrades!$P$9,H14)*POWER(Upgrades!$P$10,I14)*POWER(Upgrades!$P$11,J14)*POWER(Upgrades!$P$12,K14))*(IF(Upgrades!$T$6="Asteroid Belt",POWER(Upgrades!$U$6,E14),1)*IF(Upgrades!$T$8="Asteroid Belt",POWER(Upgrades!$U$8,G14),1)*IF(Upgrades!$T$9="Asteroid Belt",POWER(Upgrades!$U$9,H14),1)*IF(Upgrades!$T$10="Asteroid Belt",POWER(Upgrades!$U$10,I14),1)*IF(Upgrades!$T$11="Asteroid Belt",POWER(Upgrades!$U$11,J14),1)*IF(Upgrades!$T$12="Asteroid Belt",POWER(Upgrades!$U$12,K14),1))/AH14,0)</f>
        <v>0.00869565217391304</v>
      </c>
      <c r="AU14" s="33" t="n">
        <f aca="false">IFERROR(Upgrades!$K$8*(POWER(Upgrades!$Q$6,E14)*POWER(Upgrades!$Q$7,F14)*POWER(Upgrades!$Q$8,G14)*POWER(Upgrades!$Q$9,H14)*POWER(Upgrades!$Q$10,I14)*POWER(Upgrades!$Q$11,J14)*POWER(Upgrades!$Q$12,K14))*(IF(Upgrades!$T$6="Stellar Coupling",POWER(Upgrades!$U$6,E14),1)*IF(Upgrades!$T$7="Stellar Coupling",POWER(Upgrades!$U$7,F14),1)*IF(Upgrades!$T$9="Stellar Coupling",POWER(Upgrades!$U$9,H14),1)*IF(Upgrades!$T$10="Stellar Coupling",POWER(Upgrades!$U$10,I14),1)*IF(Upgrades!$T$11="Stellar Coupling",POWER(Upgrades!$U$11,J14),1)*IF(Upgrades!$T$12="Stellar Coupling",POWER(Upgrades!$U$12,K14),1))*Parameters!$B$10*Parameters!$B$11/60/AI14,0)</f>
        <v>0.00966295609152752</v>
      </c>
      <c r="AV14" s="33" t="n">
        <f aca="false">IFERROR(Upgrades!$H$9*(POWER(Upgrades!$P$6,E14)*POWER(Upgrades!$P$7,F14)*POWER(Upgrades!$P$8,G14)*POWER(Upgrades!$P$9,H14)*POWER(Upgrades!$P$10,I14)*POWER(Upgrades!$P$11,J14)*POWER(Upgrades!$P$12,K14))*(IF(Upgrades!$T$6="Magnetosphere",POWER(Upgrades!$U$6,E14),1)*IF(Upgrades!$T$7="Magnetosphere",POWER(Upgrades!$U$7,F14),1)*IF(Upgrades!$T$8="Magnetosphere",POWER(Upgrades!$U$8,G14),1)*IF(Upgrades!$T$10="Magnetosphere",POWER(Upgrades!$U$10,I14),1)*IF(Upgrades!$T$11="Magnetosphere",POWER(Upgrades!$U$11,J14),1)*IF(Upgrades!$T$12="Magnetosphere",POWER(Upgrades!$U$12,K14),1))/AJ14,0)</f>
        <v>0.00625</v>
      </c>
      <c r="AW14" s="33" t="n">
        <f aca="false">MAX(IF(I14&gt;0,0,IFERROR(0.25*N14/Upgrades!$C$10,0)),IF(J14&gt;0,0,IFERROR(0.5*((IF(G14=0,0,(Upgrades!$J$8+G14*Upgrades!$K$8)*POWER(Upgrades!$L$8,G14)))*(IF(Upgrades!$T$6="Stellar Coupling",POWER(Upgrades!$U$6,E14),1)*IF(Upgrades!$T$7="Stellar Coupling",POWER(Upgrades!$U$7,F14),1)*IF(Upgrades!$T$9="Stellar Coupling",POWER(Upgrades!$U$9,H14),1)*IF(Upgrades!$T$10="Stellar Coupling",POWER(Upgrades!$U$10,I14),1)*IF(Upgrades!$T$11="Stellar Coupling",POWER(Upgrades!$U$11,J14),1)*IF(Upgrades!$T$12="Stellar Coupling",POWER(Upgrades!$U$12,K14),1))*(POWER(Upgrades!$Q$6,E14)*POWER(Upgrades!$Q$7,F14)*POWER(Upgrades!$Q$8,G14)*POWER(Upgrades!$Q$9,H14)*POWER(Upgrades!$Q$10,I14)*POWER(Upgrades!$Q$11,J14)*POWER(Upgrades!$Q$12,K14))*Parameters!$B$10*Parameters!$B$11/60)/Upgrades!$C$11,0)),IF(K14&gt;0,0,IFERROR((1*(POWER(Upgrades!$P$6,E14)*POWER(Upgrades!$P$7,F14)*POWER(Upgrades!$P$8,G14)*POWER(Upgrades!$P$9,H14)*POWER(Upgrades!$P$10,I14)*POWER(Upgrades!$P$11,J14)*POWER(Upgrades!$P$12,K14))+0.2*M14*Parameters!$B$10*Parameters!$B$11/60)/Upgrades!$C$12,0)),IF(AND(ISNUMBER(AG14),AG14&gt;T14),AS14,0),IF(AND(ISNUMBER(AH14),AH14&gt;T14),AT14,0),IF(AND(ISNUMBER(AI14),AI14&gt;T14),AU14,0),IF(AND(ISNUMBER(AJ14),AJ14&gt;T14),AV14,0))</f>
        <v>0.00966295609152752</v>
      </c>
      <c r="AX14" s="29" t="str">
        <f aca="false">IF(AN14=1,"transition",IF(MIN(IF(AND(I14=0,ISNUMBER(AK14),AK14&lt;=T14),AK14,9000000000000000),IF(AND(J14=0,ISNUMBER(AL14),AL14&lt;=T14),AL14,9000000000000000),IF(AND(K14=0,ISNUMBER(AM14),AM14&lt;=T14),AM14,9000000000000000))&lt;9000000000000000,IF(AND(AND(I14=0,ISNUMBER(AK14),AK14&lt;=T14),AK14=MIN(IF(AND(I14=0,ISNUMBER(AK14),AK14&lt;=T14),AK14,9000000000000000),IF(AND(J14=0,ISNUMBER(AL14),AL14&lt;=T14),AL14,9000000000000000),IF(AND(K14=0,ISNUMBER(AM14),AM14&lt;=T14),AM14,9000000000000000))),"OR",IF(AND(AND(J14=0,ISNUMBER(AL14),AL14&lt;=T14),AL14=MIN(IF(AND(I14=0,ISNUMBER(AK14),AK14&lt;=T14),AK14,9000000000000000),IF(AND(J14=0,ISNUMBER(AL14),AL14&lt;=T14),AL14,9000000000000000),IF(AND(K14=0,ISNUMBER(AM14),AM14&lt;=T14),AM14,9000000000000000))),"HP","FP")),IF(AR14=TRUE(),"",IF(MAX(IF(AND(NOT(AND(AO14=1,AN14&lt;&gt;1)),ISNUMBER(AG14),AG14&lt;=T14),AS14,0),IF(AND(NOT(AND(AO14=1,AN14&lt;&gt;1)),ISNUMBER(AH14),AH14&lt;=T14),AT14,0),IF(AND(NOT(AND(AO14=1,AN14&lt;&gt;1)),ISNUMBER(AI14),AI14&lt;=T14),AU14,0),IF(AND(ISNUMBER(AJ14),AJ14&lt;=T14),AV14,0))&lt;=0,"",IF(AND(IF(AND(NOT(AND(AO14=1,AN14&lt;&gt;1)),ISNUMBER(AG14),AG14&lt;=T14),AS14,0)&gt;0,IF(AND(NOT(AND(AO14=1,AN14&lt;&gt;1)),ISNUMBER(AG14),AG14&lt;=T14),AS14,0)=MAX(IF(AND(NOT(AND(AO14=1,AN14&lt;&gt;1)),ISNUMBER(AG14),AG14&lt;=T14),AS14,0),IF(AND(NOT(AND(AO14=1,AN14&lt;&gt;1)),ISNUMBER(AH14),AH14&lt;=T14),AT14,0),IF(AND(NOT(AND(AO14=1,AN14&lt;&gt;1)),ISNUMBER(AI14),AI14&lt;=T14),AU14,0),IF(AND(ISNUMBER(AJ14),AJ14&lt;=T14),AV14,0))),"SW",IF(AND(IF(AND(NOT(AND(AO14=1,AN14&lt;&gt;1)),ISNUMBER(AH14),AH14&lt;=T14),AT14,0)&gt;0,IF(AND(NOT(AND(AO14=1,AN14&lt;&gt;1)),ISNUMBER(AH14),AH14&lt;=T14),AT14,0)=MAX(IF(AND(NOT(AND(AO14=1,AN14&lt;&gt;1)),ISNUMBER(AG14),AG14&lt;=T14),AS14,0),IF(AND(NOT(AND(AO14=1,AN14&lt;&gt;1)),ISNUMBER(AH14),AH14&lt;=T14),AT14,0),IF(AND(NOT(AND(AO14=1,AN14&lt;&gt;1)),ISNUMBER(AI14),AI14&lt;=T14),AU14,0),IF(AND(ISNUMBER(AJ14),AJ14&lt;=T14),AV14,0))),"AB",IF(AND(IF(AND(NOT(AND(AO14=1,AN14&lt;&gt;1)),ISNUMBER(AI14),AI14&lt;=T14),AU14,0)&gt;0,IF(AND(NOT(AND(AO14=1,AN14&lt;&gt;1)),ISNUMBER(AI14),AI14&lt;=T14),AU14,0)=MAX(IF(AND(NOT(AND(AO14=1,AN14&lt;&gt;1)),ISNUMBER(AG14),AG14&lt;=T14),AS14,0),IF(AND(NOT(AND(AO14=1,AN14&lt;&gt;1)),ISNUMBER(AH14),AH14&lt;=T14),AT14,0),IF(AND(NOT(AND(AO14=1,AN14&lt;&gt;1)),ISNUMBER(AI14),AI14&lt;=T14),AU14,0),IF(AND(ISNUMBER(AJ14),AJ14&lt;=T14),AV14,0))),"SC","Mag")))))))</f>
        <v>AB</v>
      </c>
    </row>
    <row r="15" customFormat="false" ht="15" hidden="false" customHeight="false" outlineLevel="0" collapsed="false">
      <c r="A15" s="26" t="n">
        <v>10</v>
      </c>
      <c r="B15" s="27" t="n">
        <f aca="false">A15*10/60</f>
        <v>1.66666666666667</v>
      </c>
      <c r="C15" s="21" t="n">
        <f aca="false">X14</f>
        <v>36.7966666666666</v>
      </c>
      <c r="D15" s="27" t="n">
        <f aca="false">D14+W14</f>
        <v>0</v>
      </c>
      <c r="E15" s="26" t="n">
        <f aca="false">E14+IF(U14="SW",1,0)</f>
        <v>2</v>
      </c>
      <c r="F15" s="26" t="n">
        <f aca="false">F14+IF(U14="AB",1,0)</f>
        <v>2</v>
      </c>
      <c r="G15" s="26" t="n">
        <f aca="false">G14+IF(U14="SC",1,0)</f>
        <v>3</v>
      </c>
      <c r="H15" s="26" t="n">
        <f aca="false">H14+IF(U14="Mag",1,0)</f>
        <v>1</v>
      </c>
      <c r="I15" s="26" t="n">
        <f aca="false">MAX(I14,IF(U14="OR",1,0))</f>
        <v>0</v>
      </c>
      <c r="J15" s="26" t="n">
        <f aca="false">MAX(J14,IF(U14="HP",1,0))</f>
        <v>0</v>
      </c>
      <c r="K15" s="26" t="n">
        <f aca="false">MAX(K14,IF(U14="FP",1,0))</f>
        <v>0</v>
      </c>
      <c r="L15" s="26" t="n">
        <f aca="false">MAX(L14,IF(U14="transition",1,0))</f>
        <v>0</v>
      </c>
      <c r="M15" s="28" t="n">
        <f aca="false">(Parameters!$B$9+(IF(E15=0,0,(Upgrades!$J$6+E15*Upgrades!$K$6)*POWER(Upgrades!$L$6,E15)))*(IF(Upgrades!$T$7="Solar Wind",POWER(Upgrades!$U$7,F15),1)*IF(Upgrades!$T$8="Solar Wind",POWER(Upgrades!$U$8,G15),1)*IF(Upgrades!$T$9="Solar Wind",POWER(Upgrades!$U$9,H15),1)*IF(Upgrades!$T$10="Solar Wind",POWER(Upgrades!$U$10,I15),1)*IF(Upgrades!$T$11="Solar Wind",POWER(Upgrades!$U$11,J15),1)*IF(Upgrades!$T$12="Solar Wind",POWER(Upgrades!$U$12,K15),1))+(IF(F15=0,0,(Upgrades!$J$7+F15*Upgrades!$K$7)*POWER(Upgrades!$L$7,F15)))*(IF(Upgrades!$T$6="Asteroid Belt",POWER(Upgrades!$U$6,E15),1)*IF(Upgrades!$T$8="Asteroid Belt",POWER(Upgrades!$U$8,G15),1)*IF(Upgrades!$T$9="Asteroid Belt",POWER(Upgrades!$U$9,H15),1)*IF(Upgrades!$T$10="Asteroid Belt",POWER(Upgrades!$U$10,I15),1)*IF(Upgrades!$T$11="Asteroid Belt",POWER(Upgrades!$U$11,J15),1)*IF(Upgrades!$T$12="Asteroid Belt",POWER(Upgrades!$U$12,K15),1))+(IF(G15=0,0,(Upgrades!$J$8+G15*Upgrades!$K$8)*POWER(Upgrades!$L$8,G15)))*(IF(Upgrades!$T$6="Stellar Coupling",POWER(Upgrades!$U$6,E15),1)*IF(Upgrades!$T$7="Stellar Coupling",POWER(Upgrades!$U$7,F15),1)*IF(Upgrades!$T$9="Stellar Coupling",POWER(Upgrades!$U$9,H15),1)*IF(Upgrades!$T$10="Stellar Coupling",POWER(Upgrades!$U$10,I15),1)*IF(Upgrades!$T$11="Stellar Coupling",POWER(Upgrades!$U$11,J15),1)*IF(Upgrades!$T$12="Stellar Coupling",POWER(Upgrades!$U$12,K15),1))+(IF(H15=0,0,(Upgrades!$J$9+H15*Upgrades!$K$9)*POWER(Upgrades!$L$9,H15)))*(IF(Upgrades!$T$6="Magnetosphere",POWER(Upgrades!$U$6,E15),1)*IF(Upgrades!$T$7="Magnetosphere",POWER(Upgrades!$U$7,F15),1)*IF(Upgrades!$T$8="Magnetosphere",POWER(Upgrades!$U$8,G15),1)*IF(Upgrades!$T$10="Magnetosphere",POWER(Upgrades!$U$10,I15),1)*IF(Upgrades!$T$11="Magnetosphere",POWER(Upgrades!$U$11,J15),1)*IF(Upgrades!$T$12="Magnetosphere",POWER(Upgrades!$U$12,K15),1))+(IF(I15=0,0,(Upgrades!$J$10+I15*Upgrades!$K$10)*POWER(Upgrades!$L$10,I15)))*(IF(Upgrades!$T$6="Orbital Resonance",POWER(Upgrades!$U$6,E15),1)*IF(Upgrades!$T$7="Orbital Resonance",POWER(Upgrades!$U$7,F15),1)*IF(Upgrades!$T$8="Orbital Resonance",POWER(Upgrades!$U$8,G15),1)*IF(Upgrades!$T$9="Orbital Resonance",POWER(Upgrades!$U$9,H15),1)*IF(Upgrades!$T$11="Orbital Resonance",POWER(Upgrades!$U$11,J15),1)*IF(Upgrades!$T$12="Orbital Resonance",POWER(Upgrades!$U$12,K15),1))+(IF(J15=0,0,(Upgrades!$J$11+J15*Upgrades!$K$11)*POWER(Upgrades!$L$11,J15)))*(IF(Upgrades!$T$6="Heliopause",POWER(Upgrades!$U$6,E15),1)*IF(Upgrades!$T$7="Heliopause",POWER(Upgrades!$U$7,F15),1)*IF(Upgrades!$T$8="Heliopause",POWER(Upgrades!$U$8,G15),1)*IF(Upgrades!$T$9="Heliopause",POWER(Upgrades!$U$9,H15),1)*IF(Upgrades!$T$10="Heliopause",POWER(Upgrades!$U$10,I15),1)*IF(Upgrades!$T$12="Heliopause",POWER(Upgrades!$U$12,K15),1))+(IF(K15=0,0,(Upgrades!$J$12+K15*Upgrades!$K$12)*POWER(Upgrades!$L$12,K15)))*(IF(Upgrades!$T$6="First Photons",POWER(Upgrades!$U$6,E15),1)*IF(Upgrades!$T$7="First Photons",POWER(Upgrades!$U$7,F15),1)*IF(Upgrades!$T$8="First Photons",POWER(Upgrades!$U$8,G15),1)*IF(Upgrades!$T$9="First Photons",POWER(Upgrades!$U$9,H15),1)*IF(Upgrades!$T$10="First Photons",POWER(Upgrades!$U$10,I15),1)*IF(Upgrades!$T$11="First Photons",POWER(Upgrades!$U$11,J15),1)))*POWER(Upgrades!$Q$6,E15)*POWER(Upgrades!$Q$7,F15)*POWER(Upgrades!$Q$8,G15)*POWER(Upgrades!$Q$9,H15)*POWER(Upgrades!$Q$10,I15)*POWER(Upgrades!$Q$11,J15)*POWER(Upgrades!$Q$12,K15)</f>
        <v>2.05</v>
      </c>
      <c r="N15" s="28" t="n">
        <f aca="false">((IF(E15=0,0,(Upgrades!$G$6+E15*Upgrades!$H$6)*POWER(Upgrades!$I$6,E15)))*(IF(Upgrades!$T$7="Solar Wind",POWER(Upgrades!$U$7,F15),1)*IF(Upgrades!$T$8="Solar Wind",POWER(Upgrades!$U$8,G15),1)*IF(Upgrades!$T$9="Solar Wind",POWER(Upgrades!$U$9,H15),1)*IF(Upgrades!$T$10="Solar Wind",POWER(Upgrades!$U$10,I15),1)*IF(Upgrades!$T$11="Solar Wind",POWER(Upgrades!$U$11,J15),1)*IF(Upgrades!$T$12="Solar Wind",POWER(Upgrades!$U$12,K15),1))+(IF(F15=0,0,(Upgrades!$G$7+F15*Upgrades!$H$7)*POWER(Upgrades!$I$7,F15)))*(IF(Upgrades!$T$6="Asteroid Belt",POWER(Upgrades!$U$6,E15),1)*IF(Upgrades!$T$8="Asteroid Belt",POWER(Upgrades!$U$8,G15),1)*IF(Upgrades!$T$9="Asteroid Belt",POWER(Upgrades!$U$9,H15),1)*IF(Upgrades!$T$10="Asteroid Belt",POWER(Upgrades!$U$10,I15),1)*IF(Upgrades!$T$11="Asteroid Belt",POWER(Upgrades!$U$11,J15),1)*IF(Upgrades!$T$12="Asteroid Belt",POWER(Upgrades!$U$12,K15),1))+(IF(G15=0,0,(Upgrades!$G$8+G15*Upgrades!$H$8)*POWER(Upgrades!$I$8,G15)))*(IF(Upgrades!$T$6="Stellar Coupling",POWER(Upgrades!$U$6,E15),1)*IF(Upgrades!$T$7="Stellar Coupling",POWER(Upgrades!$U$7,F15),1)*IF(Upgrades!$T$9="Stellar Coupling",POWER(Upgrades!$U$9,H15),1)*IF(Upgrades!$T$10="Stellar Coupling",POWER(Upgrades!$U$10,I15),1)*IF(Upgrades!$T$11="Stellar Coupling",POWER(Upgrades!$U$11,J15),1)*IF(Upgrades!$T$12="Stellar Coupling",POWER(Upgrades!$U$12,K15),1))+(IF(H15=0,0,(Upgrades!$G$9+H15*Upgrades!$H$9)*POWER(Upgrades!$I$9,H15)))*(IF(Upgrades!$T$6="Magnetosphere",POWER(Upgrades!$U$6,E15),1)*IF(Upgrades!$T$7="Magnetosphere",POWER(Upgrades!$U$7,F15),1)*IF(Upgrades!$T$8="Magnetosphere",POWER(Upgrades!$U$8,G15),1)*IF(Upgrades!$T$10="Magnetosphere",POWER(Upgrades!$U$10,I15),1)*IF(Upgrades!$T$11="Magnetosphere",POWER(Upgrades!$U$11,J15),1)*IF(Upgrades!$T$12="Magnetosphere",POWER(Upgrades!$U$12,K15),1))+(IF(I15=0,0,(Upgrades!$G$10+I15*Upgrades!$H$10)*POWER(Upgrades!$I$10,I15)))*(IF(Upgrades!$T$6="Orbital Resonance",POWER(Upgrades!$U$6,E15),1)*IF(Upgrades!$T$7="Orbital Resonance",POWER(Upgrades!$U$7,F15),1)*IF(Upgrades!$T$8="Orbital Resonance",POWER(Upgrades!$U$8,G15),1)*IF(Upgrades!$T$9="Orbital Resonance",POWER(Upgrades!$U$9,H15),1)*IF(Upgrades!$T$11="Orbital Resonance",POWER(Upgrades!$U$11,J15),1)*IF(Upgrades!$T$12="Orbital Resonance",POWER(Upgrades!$U$12,K15),1))+(IF(J15=0,0,(Upgrades!$G$11+J15*Upgrades!$H$11)*POWER(Upgrades!$I$11,J15)))*(IF(Upgrades!$T$6="Heliopause",POWER(Upgrades!$U$6,E15),1)*IF(Upgrades!$T$7="Heliopause",POWER(Upgrades!$U$7,F15),1)*IF(Upgrades!$T$8="Heliopause",POWER(Upgrades!$U$8,G15),1)*IF(Upgrades!$T$9="Heliopause",POWER(Upgrades!$U$9,H15),1)*IF(Upgrades!$T$10="Heliopause",POWER(Upgrades!$U$10,I15),1)*IF(Upgrades!$T$12="Heliopause",POWER(Upgrades!$U$12,K15),1))+(IF(K15=0,0,(Upgrades!$G$12+K15*Upgrades!$H$12)*POWER(Upgrades!$I$12,K15)))*(IF(Upgrades!$T$6="First Photons",POWER(Upgrades!$U$6,E15),1)*IF(Upgrades!$T$7="First Photons",POWER(Upgrades!$U$7,F15),1)*IF(Upgrades!$T$8="First Photons",POWER(Upgrades!$U$8,G15),1)*IF(Upgrades!$T$9="First Photons",POWER(Upgrades!$U$9,H15),1)*IF(Upgrades!$T$10="First Photons",POWER(Upgrades!$U$10,I15),1)*IF(Upgrades!$T$11="First Photons",POWER(Upgrades!$U$11,J15),1)))*POWER(Upgrades!$P$6,E15)*POWER(Upgrades!$P$7,F15)*POWER(Upgrades!$P$8,G15)*POWER(Upgrades!$P$9,H15)*POWER(Upgrades!$P$10,I15)*POWER(Upgrades!$P$11,J15)*POWER(Upgrades!$P$12,K15)</f>
        <v>1.56</v>
      </c>
      <c r="O15" s="28" t="n">
        <f aca="false">((IF(E15=0,0,(Upgrades!$M$6+E15*Upgrades!$N$6)*POWER(Upgrades!$O$6,E15)))*(IF(Upgrades!$T$7="Solar Wind",POWER(Upgrades!$U$7,F15),1)*IF(Upgrades!$T$8="Solar Wind",POWER(Upgrades!$U$8,G15),1)*IF(Upgrades!$T$9="Solar Wind",POWER(Upgrades!$U$9,H15),1)*IF(Upgrades!$T$10="Solar Wind",POWER(Upgrades!$U$10,I15),1)*IF(Upgrades!$T$11="Solar Wind",POWER(Upgrades!$U$11,J15),1)*IF(Upgrades!$T$12="Solar Wind",POWER(Upgrades!$U$12,K15),1))+(IF(F15=0,0,(Upgrades!$M$7+F15*Upgrades!$N$7)*POWER(Upgrades!$O$7,F15)))*(IF(Upgrades!$T$6="Asteroid Belt",POWER(Upgrades!$U$6,E15),1)*IF(Upgrades!$T$8="Asteroid Belt",POWER(Upgrades!$U$8,G15),1)*IF(Upgrades!$T$9="Asteroid Belt",POWER(Upgrades!$U$9,H15),1)*IF(Upgrades!$T$10="Asteroid Belt",POWER(Upgrades!$U$10,I15),1)*IF(Upgrades!$T$11="Asteroid Belt",POWER(Upgrades!$U$11,J15),1)*IF(Upgrades!$T$12="Asteroid Belt",POWER(Upgrades!$U$12,K15),1))+(IF(G15=0,0,(Upgrades!$M$8+G15*Upgrades!$N$8)*POWER(Upgrades!$O$8,G15)))*(IF(Upgrades!$T$6="Stellar Coupling",POWER(Upgrades!$U$6,E15),1)*IF(Upgrades!$T$7="Stellar Coupling",POWER(Upgrades!$U$7,F15),1)*IF(Upgrades!$T$9="Stellar Coupling",POWER(Upgrades!$U$9,H15),1)*IF(Upgrades!$T$10="Stellar Coupling",POWER(Upgrades!$U$10,I15),1)*IF(Upgrades!$T$11="Stellar Coupling",POWER(Upgrades!$U$11,J15),1)*IF(Upgrades!$T$12="Stellar Coupling",POWER(Upgrades!$U$12,K15),1))+(IF(H15=0,0,(Upgrades!$M$9+H15*Upgrades!$N$9)*POWER(Upgrades!$O$9,H15)))*(IF(Upgrades!$T$6="Magnetosphere",POWER(Upgrades!$U$6,E15),1)*IF(Upgrades!$T$7="Magnetosphere",POWER(Upgrades!$U$7,F15),1)*IF(Upgrades!$T$8="Magnetosphere",POWER(Upgrades!$U$8,G15),1)*IF(Upgrades!$T$10="Magnetosphere",POWER(Upgrades!$U$10,I15),1)*IF(Upgrades!$T$11="Magnetosphere",POWER(Upgrades!$U$11,J15),1)*IF(Upgrades!$T$12="Magnetosphere",POWER(Upgrades!$U$12,K15),1))+(IF(I15=0,0,(Upgrades!$M$10+I15*Upgrades!$N$10)*POWER(Upgrades!$O$10,I15)))*(IF(Upgrades!$T$6="Orbital Resonance",POWER(Upgrades!$U$6,E15),1)*IF(Upgrades!$T$7="Orbital Resonance",POWER(Upgrades!$U$7,F15),1)*IF(Upgrades!$T$8="Orbital Resonance",POWER(Upgrades!$U$8,G15),1)*IF(Upgrades!$T$9="Orbital Resonance",POWER(Upgrades!$U$9,H15),1)*IF(Upgrades!$T$11="Orbital Resonance",POWER(Upgrades!$U$11,J15),1)*IF(Upgrades!$T$12="Orbital Resonance",POWER(Upgrades!$U$12,K15),1))+(IF(J15=0,0,(Upgrades!$M$11+J15*Upgrades!$N$11)*POWER(Upgrades!$O$11,J15)))*(IF(Upgrades!$T$6="Heliopause",POWER(Upgrades!$U$6,E15),1)*IF(Upgrades!$T$7="Heliopause",POWER(Upgrades!$U$7,F15),1)*IF(Upgrades!$T$8="Heliopause",POWER(Upgrades!$U$8,G15),1)*IF(Upgrades!$T$9="Heliopause",POWER(Upgrades!$U$9,H15),1)*IF(Upgrades!$T$10="Heliopause",POWER(Upgrades!$U$10,I15),1)*IF(Upgrades!$T$12="Heliopause",POWER(Upgrades!$U$12,K15),1))+(IF(K15=0,0,(Upgrades!$M$12+K15*Upgrades!$N$12)*POWER(Upgrades!$O$12,K15)))*(IF(Upgrades!$T$6="First Photons",POWER(Upgrades!$U$6,E15),1)*IF(Upgrades!$T$7="First Photons",POWER(Upgrades!$U$7,F15),1)*IF(Upgrades!$T$8="First Photons",POWER(Upgrades!$U$8,G15),1)*IF(Upgrades!$T$9="First Photons",POWER(Upgrades!$U$9,H15),1)*IF(Upgrades!$T$10="First Photons",POWER(Upgrades!$U$10,I15),1)*IF(Upgrades!$T$11="First Photons",POWER(Upgrades!$U$11,J15),1)))*POWER(Upgrades!$R$6,E15)*POWER(Upgrades!$R$7,F15)*POWER(Upgrades!$R$8,G15)*POWER(Upgrades!$R$9,H15)*POWER(Upgrades!$R$10,I15)*POWER(Upgrades!$R$11,J15)*POWER(Upgrades!$R$12,K15)</f>
        <v>0</v>
      </c>
      <c r="P15" s="27" t="n">
        <f aca="false">IF(L15=1,0,M15*Parameters!$B$10/60*Parameters!$B$11*10)</f>
        <v>34.1666666666667</v>
      </c>
      <c r="Q15" s="27" t="n">
        <f aca="false">IF(L15=1,0,O15*M15*10)</f>
        <v>0</v>
      </c>
      <c r="R15" s="27" t="n">
        <f aca="false">IF(L15=1,0,N15*10)</f>
        <v>15.6</v>
      </c>
      <c r="S15" s="27" t="n">
        <f aca="false">P15+Q15+R15</f>
        <v>49.7666666666667</v>
      </c>
      <c r="T15" s="21" t="n">
        <f aca="false">C15+S15</f>
        <v>86.5633333333333</v>
      </c>
      <c r="U15" s="34" t="str">
        <f aca="false">AX15</f>
        <v>SC</v>
      </c>
      <c r="V15" s="21" t="n">
        <f aca="false">IF(U15="",0,IF(U15="transition",0,IF(U15="SW",AG15,IF(U15="AB",AH15,IF(U15="SC",AI15,IF(U15="Mag",AJ15,IF(U15="OR",AK15,IF(U15="HP",AL15,IF(U15="FP",AM15,0)))))))))</f>
        <v>60.368</v>
      </c>
      <c r="W15" s="27" t="n">
        <f aca="false">IF(U15="OR",Upgrades!$F$10,IF(U15="HP",Upgrades!$F$11,IF(U15="transition",-Parameters!$B$18,0)))</f>
        <v>0</v>
      </c>
      <c r="X15" s="21" t="n">
        <f aca="false">T15-V15</f>
        <v>26.1953333333333</v>
      </c>
      <c r="Y15" s="30" t="n">
        <f aca="false">M15*Parameters!$B$10/60*Parameters!$B$11+O15*M15+N15</f>
        <v>4.97666666666667</v>
      </c>
      <c r="Z15" s="35" t="str">
        <f aca="false">IF(U15="transition","→ Tier 2 (Stellar Neighborhood)",IF(U15="FP","First Photons — light begins, system quickens",IF(U15="HP","Heliopause acquired",IF(U15="OR","Orbital Resonance — passive multiplier active",IF(AND(AO15=1,L15=0,AN15&lt;&gt;1),"Cohesion ready (waiting on completionist upgrades)","")))))</f>
        <v/>
      </c>
      <c r="AA15" s="27" t="n">
        <f aca="false">(IF(E15=0,0,(Upgrades!$G$6+E15*Upgrades!$H$6)*POWER(Upgrades!$I$6,E15)))*(IF(Upgrades!$T$7="Solar Wind",POWER(Upgrades!$U$7,F15),1)*IF(Upgrades!$T$8="Solar Wind",POWER(Upgrades!$U$8,G15),1)*IF(Upgrades!$T$9="Solar Wind",POWER(Upgrades!$U$9,H15),1)*IF(Upgrades!$T$10="Solar Wind",POWER(Upgrades!$U$10,I15),1)*IF(Upgrades!$T$11="Solar Wind",POWER(Upgrades!$U$11,J15),1)*IF(Upgrades!$T$12="Solar Wind",POWER(Upgrades!$U$12,K15),1))*POWER(Upgrades!$P$6,E15)*POWER(Upgrades!$P$7,F15)*POWER(Upgrades!$P$8,G15)*POWER(Upgrades!$P$9,H15)*POWER(Upgrades!$P$10,I15)*POWER(Upgrades!$P$11,J15)*POWER(Upgrades!$P$12,K15)*60</f>
        <v>9.6</v>
      </c>
      <c r="AB15" s="27" t="n">
        <f aca="false">(IF(F15=0,0,(Upgrades!$G$7+F15*Upgrades!$H$7)*POWER(Upgrades!$I$7,F15)))*(IF(Upgrades!$T$6="Asteroid Belt",POWER(Upgrades!$U$6,E15),1)*IF(Upgrades!$T$8="Asteroid Belt",POWER(Upgrades!$U$8,G15),1)*IF(Upgrades!$T$9="Asteroid Belt",POWER(Upgrades!$U$9,H15),1)*IF(Upgrades!$T$10="Asteroid Belt",POWER(Upgrades!$U$10,I15),1)*IF(Upgrades!$T$11="Asteroid Belt",POWER(Upgrades!$U$11,J15),1)*IF(Upgrades!$T$12="Asteroid Belt",POWER(Upgrades!$U$12,K15),1))*POWER(Upgrades!$P$6,E15)*POWER(Upgrades!$P$7,F15)*POWER(Upgrades!$P$8,G15)*POWER(Upgrades!$P$9,H15)*POWER(Upgrades!$P$10,I15)*POWER(Upgrades!$P$11,J15)*POWER(Upgrades!$P$12,K15)*60</f>
        <v>24</v>
      </c>
      <c r="AC15" s="27" t="n">
        <f aca="false">(IF(G15=0,0,(Upgrades!$J$8+G15*Upgrades!$K$8)*POWER(Upgrades!$L$8,G15)))*(IF(Upgrades!$T$6="Stellar Coupling",POWER(Upgrades!$U$6,E15),1)*IF(Upgrades!$T$7="Stellar Coupling",POWER(Upgrades!$U$7,F15),1)*IF(Upgrades!$T$9="Stellar Coupling",POWER(Upgrades!$U$9,H15),1)*IF(Upgrades!$T$10="Stellar Coupling",POWER(Upgrades!$U$10,I15),1)*IF(Upgrades!$T$11="Stellar Coupling",POWER(Upgrades!$U$11,J15),1)*IF(Upgrades!$T$12="Stellar Coupling",POWER(Upgrades!$U$12,K15),1))*POWER(Upgrades!$Q$6,E15)*POWER(Upgrades!$Q$7,F15)*POWER(Upgrades!$Q$8,G15)*POWER(Upgrades!$Q$9,H15)*POWER(Upgrades!$Q$10,I15)*POWER(Upgrades!$Q$11,J15)*POWER(Upgrades!$Q$12,K15)*Parameters!$B$10*Parameters!$B$11</f>
        <v>105</v>
      </c>
      <c r="AD15" s="27" t="n">
        <f aca="false">(IF(H15=0,0,(Upgrades!$G$9+H15*Upgrades!$H$9)*POWER(Upgrades!$I$9,H15)))*(IF(Upgrades!$T$6="Magnetosphere",POWER(Upgrades!$U$6,E15),1)*IF(Upgrades!$T$7="Magnetosphere",POWER(Upgrades!$U$7,F15),1)*IF(Upgrades!$T$8="Magnetosphere",POWER(Upgrades!$U$8,G15),1)*IF(Upgrades!$T$10="Magnetosphere",POWER(Upgrades!$U$10,I15),1)*IF(Upgrades!$T$11="Magnetosphere",POWER(Upgrades!$U$11,J15),1)*IF(Upgrades!$T$12="Magnetosphere",POWER(Upgrades!$U$12,K15),1))*POWER(Upgrades!$P$6,E15)*POWER(Upgrades!$P$7,F15)*POWER(Upgrades!$P$8,G15)*POWER(Upgrades!$P$9,H15)*POWER(Upgrades!$P$10,I15)*POWER(Upgrades!$P$11,J15)*POWER(Upgrades!$P$12,K15)*60</f>
        <v>60</v>
      </c>
      <c r="AE15" s="27" t="n">
        <f aca="false">(IF(K15=0,0,(Upgrades!$G$12+K15*Upgrades!$H$12)*POWER(Upgrades!$I$12,K15)))*(IF(Upgrades!$T$6="First Photons",POWER(Upgrades!$U$6,E15),1)*IF(Upgrades!$T$7="First Photons",POWER(Upgrades!$U$7,F15),1)*IF(Upgrades!$T$8="First Photons",POWER(Upgrades!$U$8,G15),1)*IF(Upgrades!$T$9="First Photons",POWER(Upgrades!$U$9,H15),1)*IF(Upgrades!$T$10="First Photons",POWER(Upgrades!$U$10,I15),1)*IF(Upgrades!$T$11="First Photons",POWER(Upgrades!$U$11,J15),1))*POWER(Upgrades!$P$6,E15)*POWER(Upgrades!$P$7,F15)*POWER(Upgrades!$P$8,G15)*POWER(Upgrades!$P$9,H15)*POWER(Upgrades!$P$10,I15)*POWER(Upgrades!$P$11,J15)*POWER(Upgrades!$P$12,K15)*60</f>
        <v>0</v>
      </c>
      <c r="AF15" s="27" t="n">
        <f aca="false">Parameters!$B$9*POWER(Upgrades!$Q$6,E15)*POWER(Upgrades!$Q$7,F15)*POWER(Upgrades!$Q$8,G15)*POWER(Upgrades!$Q$9,H15)*POWER(Upgrades!$Q$10,I15)*POWER(Upgrades!$Q$11,J15)*POWER(Upgrades!$Q$12,K15)*(Parameters!$B$10*Parameters!$B$11+O15*60)</f>
        <v>100</v>
      </c>
      <c r="AG15" s="21" t="n">
        <f aca="false">IF(E15&gt;=Upgrades!$E$6,"",Upgrades!$C$6*POWER(Upgrades!$D$6,E15))</f>
        <v>9.2575</v>
      </c>
      <c r="AH15" s="21" t="n">
        <f aca="false">IF(F15&gt;=Upgrades!$E$7,"",Upgrades!$C$7*POWER(Upgrades!$D$7,F15))</f>
        <v>26.45</v>
      </c>
      <c r="AI15" s="21" t="n">
        <f aca="false">IF(G15&gt;=Upgrades!$E$8,"",Upgrades!$C$8*POWER(Upgrades!$D$8,G15))</f>
        <v>60.368</v>
      </c>
      <c r="AJ15" s="21" t="n">
        <f aca="false">IF(H15&gt;=Upgrades!$E$9,"",Upgrades!$C$9*POWER(Upgrades!$D$9,H15))</f>
        <v>160</v>
      </c>
      <c r="AK15" s="21" t="n">
        <f aca="false">IF(I15&gt;=Upgrades!$E$10,"",Upgrades!$C$10*POWER(Upgrades!$D$10,I15))</f>
        <v>240</v>
      </c>
      <c r="AL15" s="21" t="n">
        <f aca="false">IF(J15&gt;=Upgrades!$E$11,"",Upgrades!$C$11*POWER(Upgrades!$D$11,J15))</f>
        <v>575</v>
      </c>
      <c r="AM15" s="21" t="n">
        <f aca="false">IF(K15&gt;=Upgrades!$E$12,"",Upgrades!$C$12*POWER(Upgrades!$D$12,K15))</f>
        <v>850</v>
      </c>
      <c r="AN15" s="26" t="str">
        <f aca="false">IF(AND(D15&gt;=Parameters!$B$18,(H15&gt;=Upgrades!$E$9)*(K15&gt;=Upgrades!$E$12)=1,L15=0),1,"")</f>
        <v/>
      </c>
      <c r="AO15" s="26" t="str">
        <f aca="false">IF(AND(D15&gt;=Parameters!$B$18,L15=0),1,"")</f>
        <v/>
      </c>
      <c r="AP15" s="21" t="n">
        <f aca="false">MIN(IF(ISNUMBER(AK15),AK15,9000000000000000),IF(ISNUMBER(AL15),AL15,9000000000000000),IF(ISNUMBER(AM15),AM15,9000000000000000))</f>
        <v>240</v>
      </c>
      <c r="AQ15" s="21" t="n">
        <f aca="false">MIN(IF(ISNUMBER(AG15),AG15,9000000000000000),IF(ISNUMBER(AH15),AH15,9000000000000000),IF(ISNUMBER(AI15),AI15,9000000000000000),IF(ISNUMBER(AJ15),AJ15,9000000000000000))</f>
        <v>9.2575</v>
      </c>
      <c r="AR15" s="32" t="b">
        <f aca="false">IF(AW15&gt;Parameters!$B$21*(MAX(IF(AND(NOT(AND(AO15=1,AN15&lt;&gt;1)),ISNUMBER(AG15),AG15&lt;=T15),AS15,0),IF(AND(NOT(AND(AO15=1,AN15&lt;&gt;1)),ISNUMBER(AH15),AH15&lt;=T15),AT15,0),IF(AND(NOT(AND(AO15=1,AN15&lt;&gt;1)),ISNUMBER(AI15),AI15&lt;=T15),AU15,0),IF(AND(ISNUMBER(AJ15),AJ15&lt;=T15),AV15,0))),TRUE(),FALSE())</f>
        <v>0</v>
      </c>
      <c r="AS15" s="33" t="n">
        <f aca="false">IFERROR(Upgrades!$H$6*(POWER(Upgrades!$P$6,E15)*POWER(Upgrades!$P$7,F15)*POWER(Upgrades!$P$8,G15)*POWER(Upgrades!$P$9,H15)*POWER(Upgrades!$P$10,I15)*POWER(Upgrades!$P$11,J15)*POWER(Upgrades!$P$12,K15))*(IF(Upgrades!$T$7="Solar Wind",POWER(Upgrades!$U$7,F15),1)*IF(Upgrades!$T$8="Solar Wind",POWER(Upgrades!$U$8,G15),1)*IF(Upgrades!$T$9="Solar Wind",POWER(Upgrades!$U$9,H15),1)*IF(Upgrades!$T$10="Solar Wind",POWER(Upgrades!$U$10,I15),1)*IF(Upgrades!$T$11="Solar Wind",POWER(Upgrades!$U$11,J15),1)*IF(Upgrades!$T$12="Solar Wind",POWER(Upgrades!$U$12,K15),1))/AG15,0)</f>
        <v>0.00864164191196327</v>
      </c>
      <c r="AT15" s="33" t="n">
        <f aca="false">IFERROR(Upgrades!$H$7*(POWER(Upgrades!$P$6,E15)*POWER(Upgrades!$P$7,F15)*POWER(Upgrades!$P$8,G15)*POWER(Upgrades!$P$9,H15)*POWER(Upgrades!$P$10,I15)*POWER(Upgrades!$P$11,J15)*POWER(Upgrades!$P$12,K15))*(IF(Upgrades!$T$6="Asteroid Belt",POWER(Upgrades!$U$6,E15),1)*IF(Upgrades!$T$8="Asteroid Belt",POWER(Upgrades!$U$8,G15),1)*IF(Upgrades!$T$9="Asteroid Belt",POWER(Upgrades!$U$9,H15),1)*IF(Upgrades!$T$10="Asteroid Belt",POWER(Upgrades!$U$10,I15),1)*IF(Upgrades!$T$11="Asteroid Belt",POWER(Upgrades!$U$11,J15),1)*IF(Upgrades!$T$12="Asteroid Belt",POWER(Upgrades!$U$12,K15),1))/AH15,0)</f>
        <v>0.00756143667296787</v>
      </c>
      <c r="AU15" s="33" t="n">
        <f aca="false">IFERROR(Upgrades!$K$8*(POWER(Upgrades!$Q$6,E15)*POWER(Upgrades!$Q$7,F15)*POWER(Upgrades!$Q$8,G15)*POWER(Upgrades!$Q$9,H15)*POWER(Upgrades!$Q$10,I15)*POWER(Upgrades!$Q$11,J15)*POWER(Upgrades!$Q$12,K15))*(IF(Upgrades!$T$6="Stellar Coupling",POWER(Upgrades!$U$6,E15),1)*IF(Upgrades!$T$7="Stellar Coupling",POWER(Upgrades!$U$7,F15),1)*IF(Upgrades!$T$9="Stellar Coupling",POWER(Upgrades!$U$9,H15),1)*IF(Upgrades!$T$10="Stellar Coupling",POWER(Upgrades!$U$10,I15),1)*IF(Upgrades!$T$11="Stellar Coupling",POWER(Upgrades!$U$11,J15),1)*IF(Upgrades!$T$12="Stellar Coupling",POWER(Upgrades!$U$12,K15),1))*Parameters!$B$10*Parameters!$B$11/60/AI15,0)</f>
        <v>0.00966295609152752</v>
      </c>
      <c r="AV15" s="33" t="n">
        <f aca="false">IFERROR(Upgrades!$H$9*(POWER(Upgrades!$P$6,E15)*POWER(Upgrades!$P$7,F15)*POWER(Upgrades!$P$8,G15)*POWER(Upgrades!$P$9,H15)*POWER(Upgrades!$P$10,I15)*POWER(Upgrades!$P$11,J15)*POWER(Upgrades!$P$12,K15))*(IF(Upgrades!$T$6="Magnetosphere",POWER(Upgrades!$U$6,E15),1)*IF(Upgrades!$T$7="Magnetosphere",POWER(Upgrades!$U$7,F15),1)*IF(Upgrades!$T$8="Magnetosphere",POWER(Upgrades!$U$8,G15),1)*IF(Upgrades!$T$10="Magnetosphere",POWER(Upgrades!$U$10,I15),1)*IF(Upgrades!$T$11="Magnetosphere",POWER(Upgrades!$U$11,J15),1)*IF(Upgrades!$T$12="Magnetosphere",POWER(Upgrades!$U$12,K15),1))/AJ15,0)</f>
        <v>0.00625</v>
      </c>
      <c r="AW15" s="33" t="n">
        <f aca="false">MAX(IF(I15&gt;0,0,IFERROR(0.25*N15/Upgrades!$C$10,0)),IF(J15&gt;0,0,IFERROR(0.5*((IF(G15=0,0,(Upgrades!$J$8+G15*Upgrades!$K$8)*POWER(Upgrades!$L$8,G15)))*(IF(Upgrades!$T$6="Stellar Coupling",POWER(Upgrades!$U$6,E15),1)*IF(Upgrades!$T$7="Stellar Coupling",POWER(Upgrades!$U$7,F15),1)*IF(Upgrades!$T$9="Stellar Coupling",POWER(Upgrades!$U$9,H15),1)*IF(Upgrades!$T$10="Stellar Coupling",POWER(Upgrades!$U$10,I15),1)*IF(Upgrades!$T$11="Stellar Coupling",POWER(Upgrades!$U$11,J15),1)*IF(Upgrades!$T$12="Stellar Coupling",POWER(Upgrades!$U$12,K15),1))*(POWER(Upgrades!$Q$6,E15)*POWER(Upgrades!$Q$7,F15)*POWER(Upgrades!$Q$8,G15)*POWER(Upgrades!$Q$9,H15)*POWER(Upgrades!$Q$10,I15)*POWER(Upgrades!$Q$11,J15)*POWER(Upgrades!$Q$12,K15))*Parameters!$B$10*Parameters!$B$11/60)/Upgrades!$C$11,0)),IF(K15&gt;0,0,IFERROR((1*(POWER(Upgrades!$P$6,E15)*POWER(Upgrades!$P$7,F15)*POWER(Upgrades!$P$8,G15)*POWER(Upgrades!$P$9,H15)*POWER(Upgrades!$P$10,I15)*POWER(Upgrades!$P$11,J15)*POWER(Upgrades!$P$12,K15))+0.2*M15*Parameters!$B$10*Parameters!$B$11/60)/Upgrades!$C$12,0)),IF(AND(ISNUMBER(AG15),AG15&gt;T15),AS15,0),IF(AND(ISNUMBER(AH15),AH15&gt;T15),AT15,0),IF(AND(ISNUMBER(AI15),AI15&gt;T15),AU15,0),IF(AND(ISNUMBER(AJ15),AJ15&gt;T15),AV15,0))</f>
        <v>0.00625</v>
      </c>
      <c r="AX15" s="29" t="str">
        <f aca="false">IF(AN15=1,"transition",IF(MIN(IF(AND(I15=0,ISNUMBER(AK15),AK15&lt;=T15),AK15,9000000000000000),IF(AND(J15=0,ISNUMBER(AL15),AL15&lt;=T15),AL15,9000000000000000),IF(AND(K15=0,ISNUMBER(AM15),AM15&lt;=T15),AM15,9000000000000000))&lt;9000000000000000,IF(AND(AND(I15=0,ISNUMBER(AK15),AK15&lt;=T15),AK15=MIN(IF(AND(I15=0,ISNUMBER(AK15),AK15&lt;=T15),AK15,9000000000000000),IF(AND(J15=0,ISNUMBER(AL15),AL15&lt;=T15),AL15,9000000000000000),IF(AND(K15=0,ISNUMBER(AM15),AM15&lt;=T15),AM15,9000000000000000))),"OR",IF(AND(AND(J15=0,ISNUMBER(AL15),AL15&lt;=T15),AL15=MIN(IF(AND(I15=0,ISNUMBER(AK15),AK15&lt;=T15),AK15,9000000000000000),IF(AND(J15=0,ISNUMBER(AL15),AL15&lt;=T15),AL15,9000000000000000),IF(AND(K15=0,ISNUMBER(AM15),AM15&lt;=T15),AM15,9000000000000000))),"HP","FP")),IF(AR15=TRUE(),"",IF(MAX(IF(AND(NOT(AND(AO15=1,AN15&lt;&gt;1)),ISNUMBER(AG15),AG15&lt;=T15),AS15,0),IF(AND(NOT(AND(AO15=1,AN15&lt;&gt;1)),ISNUMBER(AH15),AH15&lt;=T15),AT15,0),IF(AND(NOT(AND(AO15=1,AN15&lt;&gt;1)),ISNUMBER(AI15),AI15&lt;=T15),AU15,0),IF(AND(ISNUMBER(AJ15),AJ15&lt;=T15),AV15,0))&lt;=0,"",IF(AND(IF(AND(NOT(AND(AO15=1,AN15&lt;&gt;1)),ISNUMBER(AG15),AG15&lt;=T15),AS15,0)&gt;0,IF(AND(NOT(AND(AO15=1,AN15&lt;&gt;1)),ISNUMBER(AG15),AG15&lt;=T15),AS15,0)=MAX(IF(AND(NOT(AND(AO15=1,AN15&lt;&gt;1)),ISNUMBER(AG15),AG15&lt;=T15),AS15,0),IF(AND(NOT(AND(AO15=1,AN15&lt;&gt;1)),ISNUMBER(AH15),AH15&lt;=T15),AT15,0),IF(AND(NOT(AND(AO15=1,AN15&lt;&gt;1)),ISNUMBER(AI15),AI15&lt;=T15),AU15,0),IF(AND(ISNUMBER(AJ15),AJ15&lt;=T15),AV15,0))),"SW",IF(AND(IF(AND(NOT(AND(AO15=1,AN15&lt;&gt;1)),ISNUMBER(AH15),AH15&lt;=T15),AT15,0)&gt;0,IF(AND(NOT(AND(AO15=1,AN15&lt;&gt;1)),ISNUMBER(AH15),AH15&lt;=T15),AT15,0)=MAX(IF(AND(NOT(AND(AO15=1,AN15&lt;&gt;1)),ISNUMBER(AG15),AG15&lt;=T15),AS15,0),IF(AND(NOT(AND(AO15=1,AN15&lt;&gt;1)),ISNUMBER(AH15),AH15&lt;=T15),AT15,0),IF(AND(NOT(AND(AO15=1,AN15&lt;&gt;1)),ISNUMBER(AI15),AI15&lt;=T15),AU15,0),IF(AND(ISNUMBER(AJ15),AJ15&lt;=T15),AV15,0))),"AB",IF(AND(IF(AND(NOT(AND(AO15=1,AN15&lt;&gt;1)),ISNUMBER(AI15),AI15&lt;=T15),AU15,0)&gt;0,IF(AND(NOT(AND(AO15=1,AN15&lt;&gt;1)),ISNUMBER(AI15),AI15&lt;=T15),AU15,0)=MAX(IF(AND(NOT(AND(AO15=1,AN15&lt;&gt;1)),ISNUMBER(AG15),AG15&lt;=T15),AS15,0),IF(AND(NOT(AND(AO15=1,AN15&lt;&gt;1)),ISNUMBER(AH15),AH15&lt;=T15),AT15,0),IF(AND(NOT(AND(AO15=1,AN15&lt;&gt;1)),ISNUMBER(AI15),AI15&lt;=T15),AU15,0),IF(AND(ISNUMBER(AJ15),AJ15&lt;=T15),AV15,0))),"SC","Mag")))))))</f>
        <v>SC</v>
      </c>
    </row>
    <row r="16" customFormat="false" ht="15" hidden="false" customHeight="false" outlineLevel="0" collapsed="false">
      <c r="A16" s="26" t="n">
        <v>11</v>
      </c>
      <c r="B16" s="27" t="n">
        <f aca="false">A16*10/60</f>
        <v>1.83333333333333</v>
      </c>
      <c r="C16" s="21" t="n">
        <f aca="false">X15</f>
        <v>26.1953333333333</v>
      </c>
      <c r="D16" s="27" t="n">
        <f aca="false">D15+W15</f>
        <v>0</v>
      </c>
      <c r="E16" s="26" t="n">
        <f aca="false">E15+IF(U15="SW",1,0)</f>
        <v>2</v>
      </c>
      <c r="F16" s="26" t="n">
        <f aca="false">F15+IF(U15="AB",1,0)</f>
        <v>2</v>
      </c>
      <c r="G16" s="26" t="n">
        <f aca="false">G15+IF(U15="SC",1,0)</f>
        <v>4</v>
      </c>
      <c r="H16" s="26" t="n">
        <f aca="false">H15+IF(U15="Mag",1,0)</f>
        <v>1</v>
      </c>
      <c r="I16" s="26" t="n">
        <f aca="false">MAX(I15,IF(U15="OR",1,0))</f>
        <v>0</v>
      </c>
      <c r="J16" s="26" t="n">
        <f aca="false">MAX(J15,IF(U15="HP",1,0))</f>
        <v>0</v>
      </c>
      <c r="K16" s="26" t="n">
        <f aca="false">MAX(K15,IF(U15="FP",1,0))</f>
        <v>0</v>
      </c>
      <c r="L16" s="26" t="n">
        <f aca="false">MAX(L15,IF(U15="transition",1,0))</f>
        <v>0</v>
      </c>
      <c r="M16" s="28" t="n">
        <f aca="false">(Parameters!$B$9+(IF(E16=0,0,(Upgrades!$J$6+E16*Upgrades!$K$6)*POWER(Upgrades!$L$6,E16)))*(IF(Upgrades!$T$7="Solar Wind",POWER(Upgrades!$U$7,F16),1)*IF(Upgrades!$T$8="Solar Wind",POWER(Upgrades!$U$8,G16),1)*IF(Upgrades!$T$9="Solar Wind",POWER(Upgrades!$U$9,H16),1)*IF(Upgrades!$T$10="Solar Wind",POWER(Upgrades!$U$10,I16),1)*IF(Upgrades!$T$11="Solar Wind",POWER(Upgrades!$U$11,J16),1)*IF(Upgrades!$T$12="Solar Wind",POWER(Upgrades!$U$12,K16),1))+(IF(F16=0,0,(Upgrades!$J$7+F16*Upgrades!$K$7)*POWER(Upgrades!$L$7,F16)))*(IF(Upgrades!$T$6="Asteroid Belt",POWER(Upgrades!$U$6,E16),1)*IF(Upgrades!$T$8="Asteroid Belt",POWER(Upgrades!$U$8,G16),1)*IF(Upgrades!$T$9="Asteroid Belt",POWER(Upgrades!$U$9,H16),1)*IF(Upgrades!$T$10="Asteroid Belt",POWER(Upgrades!$U$10,I16),1)*IF(Upgrades!$T$11="Asteroid Belt",POWER(Upgrades!$U$11,J16),1)*IF(Upgrades!$T$12="Asteroid Belt",POWER(Upgrades!$U$12,K16),1))+(IF(G16=0,0,(Upgrades!$J$8+G16*Upgrades!$K$8)*POWER(Upgrades!$L$8,G16)))*(IF(Upgrades!$T$6="Stellar Coupling",POWER(Upgrades!$U$6,E16),1)*IF(Upgrades!$T$7="Stellar Coupling",POWER(Upgrades!$U$7,F16),1)*IF(Upgrades!$T$9="Stellar Coupling",POWER(Upgrades!$U$9,H16),1)*IF(Upgrades!$T$10="Stellar Coupling",POWER(Upgrades!$U$10,I16),1)*IF(Upgrades!$T$11="Stellar Coupling",POWER(Upgrades!$U$11,J16),1)*IF(Upgrades!$T$12="Stellar Coupling",POWER(Upgrades!$U$12,K16),1))+(IF(H16=0,0,(Upgrades!$J$9+H16*Upgrades!$K$9)*POWER(Upgrades!$L$9,H16)))*(IF(Upgrades!$T$6="Magnetosphere",POWER(Upgrades!$U$6,E16),1)*IF(Upgrades!$T$7="Magnetosphere",POWER(Upgrades!$U$7,F16),1)*IF(Upgrades!$T$8="Magnetosphere",POWER(Upgrades!$U$8,G16),1)*IF(Upgrades!$T$10="Magnetosphere",POWER(Upgrades!$U$10,I16),1)*IF(Upgrades!$T$11="Magnetosphere",POWER(Upgrades!$U$11,J16),1)*IF(Upgrades!$T$12="Magnetosphere",POWER(Upgrades!$U$12,K16),1))+(IF(I16=0,0,(Upgrades!$J$10+I16*Upgrades!$K$10)*POWER(Upgrades!$L$10,I16)))*(IF(Upgrades!$T$6="Orbital Resonance",POWER(Upgrades!$U$6,E16),1)*IF(Upgrades!$T$7="Orbital Resonance",POWER(Upgrades!$U$7,F16),1)*IF(Upgrades!$T$8="Orbital Resonance",POWER(Upgrades!$U$8,G16),1)*IF(Upgrades!$T$9="Orbital Resonance",POWER(Upgrades!$U$9,H16),1)*IF(Upgrades!$T$11="Orbital Resonance",POWER(Upgrades!$U$11,J16),1)*IF(Upgrades!$T$12="Orbital Resonance",POWER(Upgrades!$U$12,K16),1))+(IF(J16=0,0,(Upgrades!$J$11+J16*Upgrades!$K$11)*POWER(Upgrades!$L$11,J16)))*(IF(Upgrades!$T$6="Heliopause",POWER(Upgrades!$U$6,E16),1)*IF(Upgrades!$T$7="Heliopause",POWER(Upgrades!$U$7,F16),1)*IF(Upgrades!$T$8="Heliopause",POWER(Upgrades!$U$8,G16),1)*IF(Upgrades!$T$9="Heliopause",POWER(Upgrades!$U$9,H16),1)*IF(Upgrades!$T$10="Heliopause",POWER(Upgrades!$U$10,I16),1)*IF(Upgrades!$T$12="Heliopause",POWER(Upgrades!$U$12,K16),1))+(IF(K16=0,0,(Upgrades!$J$12+K16*Upgrades!$K$12)*POWER(Upgrades!$L$12,K16)))*(IF(Upgrades!$T$6="First Photons",POWER(Upgrades!$U$6,E16),1)*IF(Upgrades!$T$7="First Photons",POWER(Upgrades!$U$7,F16),1)*IF(Upgrades!$T$8="First Photons",POWER(Upgrades!$U$8,G16),1)*IF(Upgrades!$T$9="First Photons",POWER(Upgrades!$U$9,H16),1)*IF(Upgrades!$T$10="First Photons",POWER(Upgrades!$U$10,I16),1)*IF(Upgrades!$T$11="First Photons",POWER(Upgrades!$U$11,J16),1)))*POWER(Upgrades!$Q$6,E16)*POWER(Upgrades!$Q$7,F16)*POWER(Upgrades!$Q$8,G16)*POWER(Upgrades!$Q$9,H16)*POWER(Upgrades!$Q$10,I16)*POWER(Upgrades!$Q$11,J16)*POWER(Upgrades!$Q$12,K16)</f>
        <v>2.4</v>
      </c>
      <c r="N16" s="28" t="n">
        <f aca="false">((IF(E16=0,0,(Upgrades!$G$6+E16*Upgrades!$H$6)*POWER(Upgrades!$I$6,E16)))*(IF(Upgrades!$T$7="Solar Wind",POWER(Upgrades!$U$7,F16),1)*IF(Upgrades!$T$8="Solar Wind",POWER(Upgrades!$U$8,G16),1)*IF(Upgrades!$T$9="Solar Wind",POWER(Upgrades!$U$9,H16),1)*IF(Upgrades!$T$10="Solar Wind",POWER(Upgrades!$U$10,I16),1)*IF(Upgrades!$T$11="Solar Wind",POWER(Upgrades!$U$11,J16),1)*IF(Upgrades!$T$12="Solar Wind",POWER(Upgrades!$U$12,K16),1))+(IF(F16=0,0,(Upgrades!$G$7+F16*Upgrades!$H$7)*POWER(Upgrades!$I$7,F16)))*(IF(Upgrades!$T$6="Asteroid Belt",POWER(Upgrades!$U$6,E16),1)*IF(Upgrades!$T$8="Asteroid Belt",POWER(Upgrades!$U$8,G16),1)*IF(Upgrades!$T$9="Asteroid Belt",POWER(Upgrades!$U$9,H16),1)*IF(Upgrades!$T$10="Asteroid Belt",POWER(Upgrades!$U$10,I16),1)*IF(Upgrades!$T$11="Asteroid Belt",POWER(Upgrades!$U$11,J16),1)*IF(Upgrades!$T$12="Asteroid Belt",POWER(Upgrades!$U$12,K16),1))+(IF(G16=0,0,(Upgrades!$G$8+G16*Upgrades!$H$8)*POWER(Upgrades!$I$8,G16)))*(IF(Upgrades!$T$6="Stellar Coupling",POWER(Upgrades!$U$6,E16),1)*IF(Upgrades!$T$7="Stellar Coupling",POWER(Upgrades!$U$7,F16),1)*IF(Upgrades!$T$9="Stellar Coupling",POWER(Upgrades!$U$9,H16),1)*IF(Upgrades!$T$10="Stellar Coupling",POWER(Upgrades!$U$10,I16),1)*IF(Upgrades!$T$11="Stellar Coupling",POWER(Upgrades!$U$11,J16),1)*IF(Upgrades!$T$12="Stellar Coupling",POWER(Upgrades!$U$12,K16),1))+(IF(H16=0,0,(Upgrades!$G$9+H16*Upgrades!$H$9)*POWER(Upgrades!$I$9,H16)))*(IF(Upgrades!$T$6="Magnetosphere",POWER(Upgrades!$U$6,E16),1)*IF(Upgrades!$T$7="Magnetosphere",POWER(Upgrades!$U$7,F16),1)*IF(Upgrades!$T$8="Magnetosphere",POWER(Upgrades!$U$8,G16),1)*IF(Upgrades!$T$10="Magnetosphere",POWER(Upgrades!$U$10,I16),1)*IF(Upgrades!$T$11="Magnetosphere",POWER(Upgrades!$U$11,J16),1)*IF(Upgrades!$T$12="Magnetosphere",POWER(Upgrades!$U$12,K16),1))+(IF(I16=0,0,(Upgrades!$G$10+I16*Upgrades!$H$10)*POWER(Upgrades!$I$10,I16)))*(IF(Upgrades!$T$6="Orbital Resonance",POWER(Upgrades!$U$6,E16),1)*IF(Upgrades!$T$7="Orbital Resonance",POWER(Upgrades!$U$7,F16),1)*IF(Upgrades!$T$8="Orbital Resonance",POWER(Upgrades!$U$8,G16),1)*IF(Upgrades!$T$9="Orbital Resonance",POWER(Upgrades!$U$9,H16),1)*IF(Upgrades!$T$11="Orbital Resonance",POWER(Upgrades!$U$11,J16),1)*IF(Upgrades!$T$12="Orbital Resonance",POWER(Upgrades!$U$12,K16),1))+(IF(J16=0,0,(Upgrades!$G$11+J16*Upgrades!$H$11)*POWER(Upgrades!$I$11,J16)))*(IF(Upgrades!$T$6="Heliopause",POWER(Upgrades!$U$6,E16),1)*IF(Upgrades!$T$7="Heliopause",POWER(Upgrades!$U$7,F16),1)*IF(Upgrades!$T$8="Heliopause",POWER(Upgrades!$U$8,G16),1)*IF(Upgrades!$T$9="Heliopause",POWER(Upgrades!$U$9,H16),1)*IF(Upgrades!$T$10="Heliopause",POWER(Upgrades!$U$10,I16),1)*IF(Upgrades!$T$12="Heliopause",POWER(Upgrades!$U$12,K16),1))+(IF(K16=0,0,(Upgrades!$G$12+K16*Upgrades!$H$12)*POWER(Upgrades!$I$12,K16)))*(IF(Upgrades!$T$6="First Photons",POWER(Upgrades!$U$6,E16),1)*IF(Upgrades!$T$7="First Photons",POWER(Upgrades!$U$7,F16),1)*IF(Upgrades!$T$8="First Photons",POWER(Upgrades!$U$8,G16),1)*IF(Upgrades!$T$9="First Photons",POWER(Upgrades!$U$9,H16),1)*IF(Upgrades!$T$10="First Photons",POWER(Upgrades!$U$10,I16),1)*IF(Upgrades!$T$11="First Photons",POWER(Upgrades!$U$11,J16),1)))*POWER(Upgrades!$P$6,E16)*POWER(Upgrades!$P$7,F16)*POWER(Upgrades!$P$8,G16)*POWER(Upgrades!$P$9,H16)*POWER(Upgrades!$P$10,I16)*POWER(Upgrades!$P$11,J16)*POWER(Upgrades!$P$12,K16)</f>
        <v>1.56</v>
      </c>
      <c r="O16" s="28" t="n">
        <f aca="false">((IF(E16=0,0,(Upgrades!$M$6+E16*Upgrades!$N$6)*POWER(Upgrades!$O$6,E16)))*(IF(Upgrades!$T$7="Solar Wind",POWER(Upgrades!$U$7,F16),1)*IF(Upgrades!$T$8="Solar Wind",POWER(Upgrades!$U$8,G16),1)*IF(Upgrades!$T$9="Solar Wind",POWER(Upgrades!$U$9,H16),1)*IF(Upgrades!$T$10="Solar Wind",POWER(Upgrades!$U$10,I16),1)*IF(Upgrades!$T$11="Solar Wind",POWER(Upgrades!$U$11,J16),1)*IF(Upgrades!$T$12="Solar Wind",POWER(Upgrades!$U$12,K16),1))+(IF(F16=0,0,(Upgrades!$M$7+F16*Upgrades!$N$7)*POWER(Upgrades!$O$7,F16)))*(IF(Upgrades!$T$6="Asteroid Belt",POWER(Upgrades!$U$6,E16),1)*IF(Upgrades!$T$8="Asteroid Belt",POWER(Upgrades!$U$8,G16),1)*IF(Upgrades!$T$9="Asteroid Belt",POWER(Upgrades!$U$9,H16),1)*IF(Upgrades!$T$10="Asteroid Belt",POWER(Upgrades!$U$10,I16),1)*IF(Upgrades!$T$11="Asteroid Belt",POWER(Upgrades!$U$11,J16),1)*IF(Upgrades!$T$12="Asteroid Belt",POWER(Upgrades!$U$12,K16),1))+(IF(G16=0,0,(Upgrades!$M$8+G16*Upgrades!$N$8)*POWER(Upgrades!$O$8,G16)))*(IF(Upgrades!$T$6="Stellar Coupling",POWER(Upgrades!$U$6,E16),1)*IF(Upgrades!$T$7="Stellar Coupling",POWER(Upgrades!$U$7,F16),1)*IF(Upgrades!$T$9="Stellar Coupling",POWER(Upgrades!$U$9,H16),1)*IF(Upgrades!$T$10="Stellar Coupling",POWER(Upgrades!$U$10,I16),1)*IF(Upgrades!$T$11="Stellar Coupling",POWER(Upgrades!$U$11,J16),1)*IF(Upgrades!$T$12="Stellar Coupling",POWER(Upgrades!$U$12,K16),1))+(IF(H16=0,0,(Upgrades!$M$9+H16*Upgrades!$N$9)*POWER(Upgrades!$O$9,H16)))*(IF(Upgrades!$T$6="Magnetosphere",POWER(Upgrades!$U$6,E16),1)*IF(Upgrades!$T$7="Magnetosphere",POWER(Upgrades!$U$7,F16),1)*IF(Upgrades!$T$8="Magnetosphere",POWER(Upgrades!$U$8,G16),1)*IF(Upgrades!$T$10="Magnetosphere",POWER(Upgrades!$U$10,I16),1)*IF(Upgrades!$T$11="Magnetosphere",POWER(Upgrades!$U$11,J16),1)*IF(Upgrades!$T$12="Magnetosphere",POWER(Upgrades!$U$12,K16),1))+(IF(I16=0,0,(Upgrades!$M$10+I16*Upgrades!$N$10)*POWER(Upgrades!$O$10,I16)))*(IF(Upgrades!$T$6="Orbital Resonance",POWER(Upgrades!$U$6,E16),1)*IF(Upgrades!$T$7="Orbital Resonance",POWER(Upgrades!$U$7,F16),1)*IF(Upgrades!$T$8="Orbital Resonance",POWER(Upgrades!$U$8,G16),1)*IF(Upgrades!$T$9="Orbital Resonance",POWER(Upgrades!$U$9,H16),1)*IF(Upgrades!$T$11="Orbital Resonance",POWER(Upgrades!$U$11,J16),1)*IF(Upgrades!$T$12="Orbital Resonance",POWER(Upgrades!$U$12,K16),1))+(IF(J16=0,0,(Upgrades!$M$11+J16*Upgrades!$N$11)*POWER(Upgrades!$O$11,J16)))*(IF(Upgrades!$T$6="Heliopause",POWER(Upgrades!$U$6,E16),1)*IF(Upgrades!$T$7="Heliopause",POWER(Upgrades!$U$7,F16),1)*IF(Upgrades!$T$8="Heliopause",POWER(Upgrades!$U$8,G16),1)*IF(Upgrades!$T$9="Heliopause",POWER(Upgrades!$U$9,H16),1)*IF(Upgrades!$T$10="Heliopause",POWER(Upgrades!$U$10,I16),1)*IF(Upgrades!$T$12="Heliopause",POWER(Upgrades!$U$12,K16),1))+(IF(K16=0,0,(Upgrades!$M$12+K16*Upgrades!$N$12)*POWER(Upgrades!$O$12,K16)))*(IF(Upgrades!$T$6="First Photons",POWER(Upgrades!$U$6,E16),1)*IF(Upgrades!$T$7="First Photons",POWER(Upgrades!$U$7,F16),1)*IF(Upgrades!$T$8="First Photons",POWER(Upgrades!$U$8,G16),1)*IF(Upgrades!$T$9="First Photons",POWER(Upgrades!$U$9,H16),1)*IF(Upgrades!$T$10="First Photons",POWER(Upgrades!$U$10,I16),1)*IF(Upgrades!$T$11="First Photons",POWER(Upgrades!$U$11,J16),1)))*POWER(Upgrades!$R$6,E16)*POWER(Upgrades!$R$7,F16)*POWER(Upgrades!$R$8,G16)*POWER(Upgrades!$R$9,H16)*POWER(Upgrades!$R$10,I16)*POWER(Upgrades!$R$11,J16)*POWER(Upgrades!$R$12,K16)</f>
        <v>0</v>
      </c>
      <c r="P16" s="27" t="n">
        <f aca="false">IF(L16=1,0,M16*Parameters!$B$10/60*Parameters!$B$11*10)</f>
        <v>40</v>
      </c>
      <c r="Q16" s="27" t="n">
        <f aca="false">IF(L16=1,0,O16*M16*10)</f>
        <v>0</v>
      </c>
      <c r="R16" s="27" t="n">
        <f aca="false">IF(L16=1,0,N16*10)</f>
        <v>15.6</v>
      </c>
      <c r="S16" s="27" t="n">
        <f aca="false">P16+Q16+R16</f>
        <v>55.6</v>
      </c>
      <c r="T16" s="21" t="n">
        <f aca="false">C16+S16</f>
        <v>81.7953333333333</v>
      </c>
      <c r="U16" s="34" t="str">
        <f aca="false">AX16</f>
        <v>SW</v>
      </c>
      <c r="V16" s="21" t="n">
        <f aca="false">IF(U16="",0,IF(U16="transition",0,IF(U16="SW",AG16,IF(U16="AB",AH16,IF(U16="SC",AI16,IF(U16="Mag",AJ16,IF(U16="OR",AK16,IF(U16="HP",AL16,IF(U16="FP",AM16,0)))))))))</f>
        <v>9.2575</v>
      </c>
      <c r="W16" s="27" t="n">
        <f aca="false">IF(U16="OR",Upgrades!$F$10,IF(U16="HP",Upgrades!$F$11,IF(U16="transition",-Parameters!$B$18,0)))</f>
        <v>0</v>
      </c>
      <c r="X16" s="21" t="n">
        <f aca="false">T16-V16</f>
        <v>72.5378333333333</v>
      </c>
      <c r="Y16" s="30" t="n">
        <f aca="false">M16*Parameters!$B$10/60*Parameters!$B$11+O16*M16+N16</f>
        <v>5.56</v>
      </c>
      <c r="Z16" s="35" t="str">
        <f aca="false">IF(U16="transition","→ Tier 2 (Stellar Neighborhood)",IF(U16="FP","First Photons — light begins, system quickens",IF(U16="HP","Heliopause acquired",IF(U16="OR","Orbital Resonance — passive multiplier active",IF(AND(AO16=1,L16=0,AN16&lt;&gt;1),"Cohesion ready (waiting on completionist upgrades)","")))))</f>
        <v/>
      </c>
      <c r="AA16" s="27" t="n">
        <f aca="false">(IF(E16=0,0,(Upgrades!$G$6+E16*Upgrades!$H$6)*POWER(Upgrades!$I$6,E16)))*(IF(Upgrades!$T$7="Solar Wind",POWER(Upgrades!$U$7,F16),1)*IF(Upgrades!$T$8="Solar Wind",POWER(Upgrades!$U$8,G16),1)*IF(Upgrades!$T$9="Solar Wind",POWER(Upgrades!$U$9,H16),1)*IF(Upgrades!$T$10="Solar Wind",POWER(Upgrades!$U$10,I16),1)*IF(Upgrades!$T$11="Solar Wind",POWER(Upgrades!$U$11,J16),1)*IF(Upgrades!$T$12="Solar Wind",POWER(Upgrades!$U$12,K16),1))*POWER(Upgrades!$P$6,E16)*POWER(Upgrades!$P$7,F16)*POWER(Upgrades!$P$8,G16)*POWER(Upgrades!$P$9,H16)*POWER(Upgrades!$P$10,I16)*POWER(Upgrades!$P$11,J16)*POWER(Upgrades!$P$12,K16)*60</f>
        <v>9.6</v>
      </c>
      <c r="AB16" s="27" t="n">
        <f aca="false">(IF(F16=0,0,(Upgrades!$G$7+F16*Upgrades!$H$7)*POWER(Upgrades!$I$7,F16)))*(IF(Upgrades!$T$6="Asteroid Belt",POWER(Upgrades!$U$6,E16),1)*IF(Upgrades!$T$8="Asteroid Belt",POWER(Upgrades!$U$8,G16),1)*IF(Upgrades!$T$9="Asteroid Belt",POWER(Upgrades!$U$9,H16),1)*IF(Upgrades!$T$10="Asteroid Belt",POWER(Upgrades!$U$10,I16),1)*IF(Upgrades!$T$11="Asteroid Belt",POWER(Upgrades!$U$11,J16),1)*IF(Upgrades!$T$12="Asteroid Belt",POWER(Upgrades!$U$12,K16),1))*POWER(Upgrades!$P$6,E16)*POWER(Upgrades!$P$7,F16)*POWER(Upgrades!$P$8,G16)*POWER(Upgrades!$P$9,H16)*POWER(Upgrades!$P$10,I16)*POWER(Upgrades!$P$11,J16)*POWER(Upgrades!$P$12,K16)*60</f>
        <v>24</v>
      </c>
      <c r="AC16" s="27" t="n">
        <f aca="false">(IF(G16=0,0,(Upgrades!$J$8+G16*Upgrades!$K$8)*POWER(Upgrades!$L$8,G16)))*(IF(Upgrades!$T$6="Stellar Coupling",POWER(Upgrades!$U$6,E16),1)*IF(Upgrades!$T$7="Stellar Coupling",POWER(Upgrades!$U$7,F16),1)*IF(Upgrades!$T$9="Stellar Coupling",POWER(Upgrades!$U$9,H16),1)*IF(Upgrades!$T$10="Stellar Coupling",POWER(Upgrades!$U$10,I16),1)*IF(Upgrades!$T$11="Stellar Coupling",POWER(Upgrades!$U$11,J16),1)*IF(Upgrades!$T$12="Stellar Coupling",POWER(Upgrades!$U$12,K16),1))*POWER(Upgrades!$Q$6,E16)*POWER(Upgrades!$Q$7,F16)*POWER(Upgrades!$Q$8,G16)*POWER(Upgrades!$Q$9,H16)*POWER(Upgrades!$Q$10,I16)*POWER(Upgrades!$Q$11,J16)*POWER(Upgrades!$Q$12,K16)*Parameters!$B$10*Parameters!$B$11</f>
        <v>140</v>
      </c>
      <c r="AD16" s="27" t="n">
        <f aca="false">(IF(H16=0,0,(Upgrades!$G$9+H16*Upgrades!$H$9)*POWER(Upgrades!$I$9,H16)))*(IF(Upgrades!$T$6="Magnetosphere",POWER(Upgrades!$U$6,E16),1)*IF(Upgrades!$T$7="Magnetosphere",POWER(Upgrades!$U$7,F16),1)*IF(Upgrades!$T$8="Magnetosphere",POWER(Upgrades!$U$8,G16),1)*IF(Upgrades!$T$10="Magnetosphere",POWER(Upgrades!$U$10,I16),1)*IF(Upgrades!$T$11="Magnetosphere",POWER(Upgrades!$U$11,J16),1)*IF(Upgrades!$T$12="Magnetosphere",POWER(Upgrades!$U$12,K16),1))*POWER(Upgrades!$P$6,E16)*POWER(Upgrades!$P$7,F16)*POWER(Upgrades!$P$8,G16)*POWER(Upgrades!$P$9,H16)*POWER(Upgrades!$P$10,I16)*POWER(Upgrades!$P$11,J16)*POWER(Upgrades!$P$12,K16)*60</f>
        <v>60</v>
      </c>
      <c r="AE16" s="27" t="n">
        <f aca="false">(IF(K16=0,0,(Upgrades!$G$12+K16*Upgrades!$H$12)*POWER(Upgrades!$I$12,K16)))*(IF(Upgrades!$T$6="First Photons",POWER(Upgrades!$U$6,E16),1)*IF(Upgrades!$T$7="First Photons",POWER(Upgrades!$U$7,F16),1)*IF(Upgrades!$T$8="First Photons",POWER(Upgrades!$U$8,G16),1)*IF(Upgrades!$T$9="First Photons",POWER(Upgrades!$U$9,H16),1)*IF(Upgrades!$T$10="First Photons",POWER(Upgrades!$U$10,I16),1)*IF(Upgrades!$T$11="First Photons",POWER(Upgrades!$U$11,J16),1))*POWER(Upgrades!$P$6,E16)*POWER(Upgrades!$P$7,F16)*POWER(Upgrades!$P$8,G16)*POWER(Upgrades!$P$9,H16)*POWER(Upgrades!$P$10,I16)*POWER(Upgrades!$P$11,J16)*POWER(Upgrades!$P$12,K16)*60</f>
        <v>0</v>
      </c>
      <c r="AF16" s="27" t="n">
        <f aca="false">Parameters!$B$9*POWER(Upgrades!$Q$6,E16)*POWER(Upgrades!$Q$7,F16)*POWER(Upgrades!$Q$8,G16)*POWER(Upgrades!$Q$9,H16)*POWER(Upgrades!$Q$10,I16)*POWER(Upgrades!$Q$11,J16)*POWER(Upgrades!$Q$12,K16)*(Parameters!$B$10*Parameters!$B$11+O16*60)</f>
        <v>100</v>
      </c>
      <c r="AG16" s="21" t="n">
        <f aca="false">IF(E16&gt;=Upgrades!$E$6,"",Upgrades!$C$6*POWER(Upgrades!$D$6,E16))</f>
        <v>9.2575</v>
      </c>
      <c r="AH16" s="21" t="n">
        <f aca="false">IF(F16&gt;=Upgrades!$E$7,"",Upgrades!$C$7*POWER(Upgrades!$D$7,F16))</f>
        <v>26.45</v>
      </c>
      <c r="AI16" s="21" t="n">
        <f aca="false">IF(G16&gt;=Upgrades!$E$8,"",Upgrades!$C$8*POWER(Upgrades!$D$8,G16))</f>
        <v>84.5152</v>
      </c>
      <c r="AJ16" s="21" t="n">
        <f aca="false">IF(H16&gt;=Upgrades!$E$9,"",Upgrades!$C$9*POWER(Upgrades!$D$9,H16))</f>
        <v>160</v>
      </c>
      <c r="AK16" s="21" t="n">
        <f aca="false">IF(I16&gt;=Upgrades!$E$10,"",Upgrades!$C$10*POWER(Upgrades!$D$10,I16))</f>
        <v>240</v>
      </c>
      <c r="AL16" s="21" t="n">
        <f aca="false">IF(J16&gt;=Upgrades!$E$11,"",Upgrades!$C$11*POWER(Upgrades!$D$11,J16))</f>
        <v>575</v>
      </c>
      <c r="AM16" s="21" t="n">
        <f aca="false">IF(K16&gt;=Upgrades!$E$12,"",Upgrades!$C$12*POWER(Upgrades!$D$12,K16))</f>
        <v>850</v>
      </c>
      <c r="AN16" s="26" t="str">
        <f aca="false">IF(AND(D16&gt;=Parameters!$B$18,(H16&gt;=Upgrades!$E$9)*(K16&gt;=Upgrades!$E$12)=1,L16=0),1,"")</f>
        <v/>
      </c>
      <c r="AO16" s="26" t="str">
        <f aca="false">IF(AND(D16&gt;=Parameters!$B$18,L16=0),1,"")</f>
        <v/>
      </c>
      <c r="AP16" s="21" t="n">
        <f aca="false">MIN(IF(ISNUMBER(AK16),AK16,9000000000000000),IF(ISNUMBER(AL16),AL16,9000000000000000),IF(ISNUMBER(AM16),AM16,9000000000000000))</f>
        <v>240</v>
      </c>
      <c r="AQ16" s="21" t="n">
        <f aca="false">MIN(IF(ISNUMBER(AG16),AG16,9000000000000000),IF(ISNUMBER(AH16),AH16,9000000000000000),IF(ISNUMBER(AI16),AI16,9000000000000000),IF(ISNUMBER(AJ16),AJ16,9000000000000000))</f>
        <v>9.2575</v>
      </c>
      <c r="AR16" s="32" t="b">
        <f aca="false">IF(AW16&gt;Parameters!$B$21*(MAX(IF(AND(NOT(AND(AO16=1,AN16&lt;&gt;1)),ISNUMBER(AG16),AG16&lt;=T16),AS16,0),IF(AND(NOT(AND(AO16=1,AN16&lt;&gt;1)),ISNUMBER(AH16),AH16&lt;=T16),AT16,0),IF(AND(NOT(AND(AO16=1,AN16&lt;&gt;1)),ISNUMBER(AI16),AI16&lt;=T16),AU16,0),IF(AND(ISNUMBER(AJ16),AJ16&lt;=T16),AV16,0))),TRUE(),FALSE())</f>
        <v>0</v>
      </c>
      <c r="AS16" s="33" t="n">
        <f aca="false">IFERROR(Upgrades!$H$6*(POWER(Upgrades!$P$6,E16)*POWER(Upgrades!$P$7,F16)*POWER(Upgrades!$P$8,G16)*POWER(Upgrades!$P$9,H16)*POWER(Upgrades!$P$10,I16)*POWER(Upgrades!$P$11,J16)*POWER(Upgrades!$P$12,K16))*(IF(Upgrades!$T$7="Solar Wind",POWER(Upgrades!$U$7,F16),1)*IF(Upgrades!$T$8="Solar Wind",POWER(Upgrades!$U$8,G16),1)*IF(Upgrades!$T$9="Solar Wind",POWER(Upgrades!$U$9,H16),1)*IF(Upgrades!$T$10="Solar Wind",POWER(Upgrades!$U$10,I16),1)*IF(Upgrades!$T$11="Solar Wind",POWER(Upgrades!$U$11,J16),1)*IF(Upgrades!$T$12="Solar Wind",POWER(Upgrades!$U$12,K16),1))/AG16,0)</f>
        <v>0.00864164191196327</v>
      </c>
      <c r="AT16" s="33" t="n">
        <f aca="false">IFERROR(Upgrades!$H$7*(POWER(Upgrades!$P$6,E16)*POWER(Upgrades!$P$7,F16)*POWER(Upgrades!$P$8,G16)*POWER(Upgrades!$P$9,H16)*POWER(Upgrades!$P$10,I16)*POWER(Upgrades!$P$11,J16)*POWER(Upgrades!$P$12,K16))*(IF(Upgrades!$T$6="Asteroid Belt",POWER(Upgrades!$U$6,E16),1)*IF(Upgrades!$T$8="Asteroid Belt",POWER(Upgrades!$U$8,G16),1)*IF(Upgrades!$T$9="Asteroid Belt",POWER(Upgrades!$U$9,H16),1)*IF(Upgrades!$T$10="Asteroid Belt",POWER(Upgrades!$U$10,I16),1)*IF(Upgrades!$T$11="Asteroid Belt",POWER(Upgrades!$U$11,J16),1)*IF(Upgrades!$T$12="Asteroid Belt",POWER(Upgrades!$U$12,K16),1))/AH16,0)</f>
        <v>0.00756143667296787</v>
      </c>
      <c r="AU16" s="33" t="n">
        <f aca="false">IFERROR(Upgrades!$K$8*(POWER(Upgrades!$Q$6,E16)*POWER(Upgrades!$Q$7,F16)*POWER(Upgrades!$Q$8,G16)*POWER(Upgrades!$Q$9,H16)*POWER(Upgrades!$Q$10,I16)*POWER(Upgrades!$Q$11,J16)*POWER(Upgrades!$Q$12,K16))*(IF(Upgrades!$T$6="Stellar Coupling",POWER(Upgrades!$U$6,E16),1)*IF(Upgrades!$T$7="Stellar Coupling",POWER(Upgrades!$U$7,F16),1)*IF(Upgrades!$T$9="Stellar Coupling",POWER(Upgrades!$U$9,H16),1)*IF(Upgrades!$T$10="Stellar Coupling",POWER(Upgrades!$U$10,I16),1)*IF(Upgrades!$T$11="Stellar Coupling",POWER(Upgrades!$U$11,J16),1)*IF(Upgrades!$T$12="Stellar Coupling",POWER(Upgrades!$U$12,K16),1))*Parameters!$B$10*Parameters!$B$11/60/AI16,0)</f>
        <v>0.00690211149394823</v>
      </c>
      <c r="AV16" s="33" t="n">
        <f aca="false">IFERROR(Upgrades!$H$9*(POWER(Upgrades!$P$6,E16)*POWER(Upgrades!$P$7,F16)*POWER(Upgrades!$P$8,G16)*POWER(Upgrades!$P$9,H16)*POWER(Upgrades!$P$10,I16)*POWER(Upgrades!$P$11,J16)*POWER(Upgrades!$P$12,K16))*(IF(Upgrades!$T$6="Magnetosphere",POWER(Upgrades!$U$6,E16),1)*IF(Upgrades!$T$7="Magnetosphere",POWER(Upgrades!$U$7,F16),1)*IF(Upgrades!$T$8="Magnetosphere",POWER(Upgrades!$U$8,G16),1)*IF(Upgrades!$T$10="Magnetosphere",POWER(Upgrades!$U$10,I16),1)*IF(Upgrades!$T$11="Magnetosphere",POWER(Upgrades!$U$11,J16),1)*IF(Upgrades!$T$12="Magnetosphere",POWER(Upgrades!$U$12,K16),1))/AJ16,0)</f>
        <v>0.00625</v>
      </c>
      <c r="AW16" s="33" t="n">
        <f aca="false">MAX(IF(I16&gt;0,0,IFERROR(0.25*N16/Upgrades!$C$10,0)),IF(J16&gt;0,0,IFERROR(0.5*((IF(G16=0,0,(Upgrades!$J$8+G16*Upgrades!$K$8)*POWER(Upgrades!$L$8,G16)))*(IF(Upgrades!$T$6="Stellar Coupling",POWER(Upgrades!$U$6,E16),1)*IF(Upgrades!$T$7="Stellar Coupling",POWER(Upgrades!$U$7,F16),1)*IF(Upgrades!$T$9="Stellar Coupling",POWER(Upgrades!$U$9,H16),1)*IF(Upgrades!$T$10="Stellar Coupling",POWER(Upgrades!$U$10,I16),1)*IF(Upgrades!$T$11="Stellar Coupling",POWER(Upgrades!$U$11,J16),1)*IF(Upgrades!$T$12="Stellar Coupling",POWER(Upgrades!$U$12,K16),1))*(POWER(Upgrades!$Q$6,E16)*POWER(Upgrades!$Q$7,F16)*POWER(Upgrades!$Q$8,G16)*POWER(Upgrades!$Q$9,H16)*POWER(Upgrades!$Q$10,I16)*POWER(Upgrades!$Q$11,J16)*POWER(Upgrades!$Q$12,K16))*Parameters!$B$10*Parameters!$B$11/60)/Upgrades!$C$11,0)),IF(K16&gt;0,0,IFERROR((1*(POWER(Upgrades!$P$6,E16)*POWER(Upgrades!$P$7,F16)*POWER(Upgrades!$P$8,G16)*POWER(Upgrades!$P$9,H16)*POWER(Upgrades!$P$10,I16)*POWER(Upgrades!$P$11,J16)*POWER(Upgrades!$P$12,K16))+0.2*M16*Parameters!$B$10*Parameters!$B$11/60)/Upgrades!$C$12,0)),IF(AND(ISNUMBER(AG16),AG16&gt;T16),AS16,0),IF(AND(ISNUMBER(AH16),AH16&gt;T16),AT16,0),IF(AND(ISNUMBER(AI16),AI16&gt;T16),AU16,0),IF(AND(ISNUMBER(AJ16),AJ16&gt;T16),AV16,0))</f>
        <v>0.00690211149394823</v>
      </c>
      <c r="AX16" s="29" t="str">
        <f aca="false">IF(AN16=1,"transition",IF(MIN(IF(AND(I16=0,ISNUMBER(AK16),AK16&lt;=T16),AK16,9000000000000000),IF(AND(J16=0,ISNUMBER(AL16),AL16&lt;=T16),AL16,9000000000000000),IF(AND(K16=0,ISNUMBER(AM16),AM16&lt;=T16),AM16,9000000000000000))&lt;9000000000000000,IF(AND(AND(I16=0,ISNUMBER(AK16),AK16&lt;=T16),AK16=MIN(IF(AND(I16=0,ISNUMBER(AK16),AK16&lt;=T16),AK16,9000000000000000),IF(AND(J16=0,ISNUMBER(AL16),AL16&lt;=T16),AL16,9000000000000000),IF(AND(K16=0,ISNUMBER(AM16),AM16&lt;=T16),AM16,9000000000000000))),"OR",IF(AND(AND(J16=0,ISNUMBER(AL16),AL16&lt;=T16),AL16=MIN(IF(AND(I16=0,ISNUMBER(AK16),AK16&lt;=T16),AK16,9000000000000000),IF(AND(J16=0,ISNUMBER(AL16),AL16&lt;=T16),AL16,9000000000000000),IF(AND(K16=0,ISNUMBER(AM16),AM16&lt;=T16),AM16,9000000000000000))),"HP","FP")),IF(AR16=TRUE(),"",IF(MAX(IF(AND(NOT(AND(AO16=1,AN16&lt;&gt;1)),ISNUMBER(AG16),AG16&lt;=T16),AS16,0),IF(AND(NOT(AND(AO16=1,AN16&lt;&gt;1)),ISNUMBER(AH16),AH16&lt;=T16),AT16,0),IF(AND(NOT(AND(AO16=1,AN16&lt;&gt;1)),ISNUMBER(AI16),AI16&lt;=T16),AU16,0),IF(AND(ISNUMBER(AJ16),AJ16&lt;=T16),AV16,0))&lt;=0,"",IF(AND(IF(AND(NOT(AND(AO16=1,AN16&lt;&gt;1)),ISNUMBER(AG16),AG16&lt;=T16),AS16,0)&gt;0,IF(AND(NOT(AND(AO16=1,AN16&lt;&gt;1)),ISNUMBER(AG16),AG16&lt;=T16),AS16,0)=MAX(IF(AND(NOT(AND(AO16=1,AN16&lt;&gt;1)),ISNUMBER(AG16),AG16&lt;=T16),AS16,0),IF(AND(NOT(AND(AO16=1,AN16&lt;&gt;1)),ISNUMBER(AH16),AH16&lt;=T16),AT16,0),IF(AND(NOT(AND(AO16=1,AN16&lt;&gt;1)),ISNUMBER(AI16),AI16&lt;=T16),AU16,0),IF(AND(ISNUMBER(AJ16),AJ16&lt;=T16),AV16,0))),"SW",IF(AND(IF(AND(NOT(AND(AO16=1,AN16&lt;&gt;1)),ISNUMBER(AH16),AH16&lt;=T16),AT16,0)&gt;0,IF(AND(NOT(AND(AO16=1,AN16&lt;&gt;1)),ISNUMBER(AH16),AH16&lt;=T16),AT16,0)=MAX(IF(AND(NOT(AND(AO16=1,AN16&lt;&gt;1)),ISNUMBER(AG16),AG16&lt;=T16),AS16,0),IF(AND(NOT(AND(AO16=1,AN16&lt;&gt;1)),ISNUMBER(AH16),AH16&lt;=T16),AT16,0),IF(AND(NOT(AND(AO16=1,AN16&lt;&gt;1)),ISNUMBER(AI16),AI16&lt;=T16),AU16,0),IF(AND(ISNUMBER(AJ16),AJ16&lt;=T16),AV16,0))),"AB",IF(AND(IF(AND(NOT(AND(AO16=1,AN16&lt;&gt;1)),ISNUMBER(AI16),AI16&lt;=T16),AU16,0)&gt;0,IF(AND(NOT(AND(AO16=1,AN16&lt;&gt;1)),ISNUMBER(AI16),AI16&lt;=T16),AU16,0)=MAX(IF(AND(NOT(AND(AO16=1,AN16&lt;&gt;1)),ISNUMBER(AG16),AG16&lt;=T16),AS16,0),IF(AND(NOT(AND(AO16=1,AN16&lt;&gt;1)),ISNUMBER(AH16),AH16&lt;=T16),AT16,0),IF(AND(NOT(AND(AO16=1,AN16&lt;&gt;1)),ISNUMBER(AI16),AI16&lt;=T16),AU16,0),IF(AND(ISNUMBER(AJ16),AJ16&lt;=T16),AV16,0))),"SC","Mag")))))))</f>
        <v>SW</v>
      </c>
    </row>
    <row r="17" customFormat="false" ht="15" hidden="false" customHeight="false" outlineLevel="0" collapsed="false">
      <c r="A17" s="26" t="n">
        <v>12</v>
      </c>
      <c r="B17" s="27" t="n">
        <f aca="false">A17*10/60</f>
        <v>2</v>
      </c>
      <c r="C17" s="21" t="n">
        <f aca="false">X16</f>
        <v>72.5378333333333</v>
      </c>
      <c r="D17" s="27" t="n">
        <f aca="false">D16+W16</f>
        <v>0</v>
      </c>
      <c r="E17" s="26" t="n">
        <f aca="false">E16+IF(U16="SW",1,0)</f>
        <v>3</v>
      </c>
      <c r="F17" s="26" t="n">
        <f aca="false">F16+IF(U16="AB",1,0)</f>
        <v>2</v>
      </c>
      <c r="G17" s="26" t="n">
        <f aca="false">G16+IF(U16="SC",1,0)</f>
        <v>4</v>
      </c>
      <c r="H17" s="26" t="n">
        <f aca="false">H16+IF(U16="Mag",1,0)</f>
        <v>1</v>
      </c>
      <c r="I17" s="26" t="n">
        <f aca="false">MAX(I16,IF(U16="OR",1,0))</f>
        <v>0</v>
      </c>
      <c r="J17" s="26" t="n">
        <f aca="false">MAX(J16,IF(U16="HP",1,0))</f>
        <v>0</v>
      </c>
      <c r="K17" s="26" t="n">
        <f aca="false">MAX(K16,IF(U16="FP",1,0))</f>
        <v>0</v>
      </c>
      <c r="L17" s="26" t="n">
        <f aca="false">MAX(L16,IF(U16="transition",1,0))</f>
        <v>0</v>
      </c>
      <c r="M17" s="28" t="n">
        <f aca="false">(Parameters!$B$9+(IF(E17=0,0,(Upgrades!$J$6+E17*Upgrades!$K$6)*POWER(Upgrades!$L$6,E17)))*(IF(Upgrades!$T$7="Solar Wind",POWER(Upgrades!$U$7,F17),1)*IF(Upgrades!$T$8="Solar Wind",POWER(Upgrades!$U$8,G17),1)*IF(Upgrades!$T$9="Solar Wind",POWER(Upgrades!$U$9,H17),1)*IF(Upgrades!$T$10="Solar Wind",POWER(Upgrades!$U$10,I17),1)*IF(Upgrades!$T$11="Solar Wind",POWER(Upgrades!$U$11,J17),1)*IF(Upgrades!$T$12="Solar Wind",POWER(Upgrades!$U$12,K17),1))+(IF(F17=0,0,(Upgrades!$J$7+F17*Upgrades!$K$7)*POWER(Upgrades!$L$7,F17)))*(IF(Upgrades!$T$6="Asteroid Belt",POWER(Upgrades!$U$6,E17),1)*IF(Upgrades!$T$8="Asteroid Belt",POWER(Upgrades!$U$8,G17),1)*IF(Upgrades!$T$9="Asteroid Belt",POWER(Upgrades!$U$9,H17),1)*IF(Upgrades!$T$10="Asteroid Belt",POWER(Upgrades!$U$10,I17),1)*IF(Upgrades!$T$11="Asteroid Belt",POWER(Upgrades!$U$11,J17),1)*IF(Upgrades!$T$12="Asteroid Belt",POWER(Upgrades!$U$12,K17),1))+(IF(G17=0,0,(Upgrades!$J$8+G17*Upgrades!$K$8)*POWER(Upgrades!$L$8,G17)))*(IF(Upgrades!$T$6="Stellar Coupling",POWER(Upgrades!$U$6,E17),1)*IF(Upgrades!$T$7="Stellar Coupling",POWER(Upgrades!$U$7,F17),1)*IF(Upgrades!$T$9="Stellar Coupling",POWER(Upgrades!$U$9,H17),1)*IF(Upgrades!$T$10="Stellar Coupling",POWER(Upgrades!$U$10,I17),1)*IF(Upgrades!$T$11="Stellar Coupling",POWER(Upgrades!$U$11,J17),1)*IF(Upgrades!$T$12="Stellar Coupling",POWER(Upgrades!$U$12,K17),1))+(IF(H17=0,0,(Upgrades!$J$9+H17*Upgrades!$K$9)*POWER(Upgrades!$L$9,H17)))*(IF(Upgrades!$T$6="Magnetosphere",POWER(Upgrades!$U$6,E17),1)*IF(Upgrades!$T$7="Magnetosphere",POWER(Upgrades!$U$7,F17),1)*IF(Upgrades!$T$8="Magnetosphere",POWER(Upgrades!$U$8,G17),1)*IF(Upgrades!$T$10="Magnetosphere",POWER(Upgrades!$U$10,I17),1)*IF(Upgrades!$T$11="Magnetosphere",POWER(Upgrades!$U$11,J17),1)*IF(Upgrades!$T$12="Magnetosphere",POWER(Upgrades!$U$12,K17),1))+(IF(I17=0,0,(Upgrades!$J$10+I17*Upgrades!$K$10)*POWER(Upgrades!$L$10,I17)))*(IF(Upgrades!$T$6="Orbital Resonance",POWER(Upgrades!$U$6,E17),1)*IF(Upgrades!$T$7="Orbital Resonance",POWER(Upgrades!$U$7,F17),1)*IF(Upgrades!$T$8="Orbital Resonance",POWER(Upgrades!$U$8,G17),1)*IF(Upgrades!$T$9="Orbital Resonance",POWER(Upgrades!$U$9,H17),1)*IF(Upgrades!$T$11="Orbital Resonance",POWER(Upgrades!$U$11,J17),1)*IF(Upgrades!$T$12="Orbital Resonance",POWER(Upgrades!$U$12,K17),1))+(IF(J17=0,0,(Upgrades!$J$11+J17*Upgrades!$K$11)*POWER(Upgrades!$L$11,J17)))*(IF(Upgrades!$T$6="Heliopause",POWER(Upgrades!$U$6,E17),1)*IF(Upgrades!$T$7="Heliopause",POWER(Upgrades!$U$7,F17),1)*IF(Upgrades!$T$8="Heliopause",POWER(Upgrades!$U$8,G17),1)*IF(Upgrades!$T$9="Heliopause",POWER(Upgrades!$U$9,H17),1)*IF(Upgrades!$T$10="Heliopause",POWER(Upgrades!$U$10,I17),1)*IF(Upgrades!$T$12="Heliopause",POWER(Upgrades!$U$12,K17),1))+(IF(K17=0,0,(Upgrades!$J$12+K17*Upgrades!$K$12)*POWER(Upgrades!$L$12,K17)))*(IF(Upgrades!$T$6="First Photons",POWER(Upgrades!$U$6,E17),1)*IF(Upgrades!$T$7="First Photons",POWER(Upgrades!$U$7,F17),1)*IF(Upgrades!$T$8="First Photons",POWER(Upgrades!$U$8,G17),1)*IF(Upgrades!$T$9="First Photons",POWER(Upgrades!$U$9,H17),1)*IF(Upgrades!$T$10="First Photons",POWER(Upgrades!$U$10,I17),1)*IF(Upgrades!$T$11="First Photons",POWER(Upgrades!$U$11,J17),1)))*POWER(Upgrades!$Q$6,E17)*POWER(Upgrades!$Q$7,F17)*POWER(Upgrades!$Q$8,G17)*POWER(Upgrades!$Q$9,H17)*POWER(Upgrades!$Q$10,I17)*POWER(Upgrades!$Q$11,J17)*POWER(Upgrades!$Q$12,K17)</f>
        <v>2.4</v>
      </c>
      <c r="N17" s="28" t="n">
        <f aca="false">((IF(E17=0,0,(Upgrades!$G$6+E17*Upgrades!$H$6)*POWER(Upgrades!$I$6,E17)))*(IF(Upgrades!$T$7="Solar Wind",POWER(Upgrades!$U$7,F17),1)*IF(Upgrades!$T$8="Solar Wind",POWER(Upgrades!$U$8,G17),1)*IF(Upgrades!$T$9="Solar Wind",POWER(Upgrades!$U$9,H17),1)*IF(Upgrades!$T$10="Solar Wind",POWER(Upgrades!$U$10,I17),1)*IF(Upgrades!$T$11="Solar Wind",POWER(Upgrades!$U$11,J17),1)*IF(Upgrades!$T$12="Solar Wind",POWER(Upgrades!$U$12,K17),1))+(IF(F17=0,0,(Upgrades!$G$7+F17*Upgrades!$H$7)*POWER(Upgrades!$I$7,F17)))*(IF(Upgrades!$T$6="Asteroid Belt",POWER(Upgrades!$U$6,E17),1)*IF(Upgrades!$T$8="Asteroid Belt",POWER(Upgrades!$U$8,G17),1)*IF(Upgrades!$T$9="Asteroid Belt",POWER(Upgrades!$U$9,H17),1)*IF(Upgrades!$T$10="Asteroid Belt",POWER(Upgrades!$U$10,I17),1)*IF(Upgrades!$T$11="Asteroid Belt",POWER(Upgrades!$U$11,J17),1)*IF(Upgrades!$T$12="Asteroid Belt",POWER(Upgrades!$U$12,K17),1))+(IF(G17=0,0,(Upgrades!$G$8+G17*Upgrades!$H$8)*POWER(Upgrades!$I$8,G17)))*(IF(Upgrades!$T$6="Stellar Coupling",POWER(Upgrades!$U$6,E17),1)*IF(Upgrades!$T$7="Stellar Coupling",POWER(Upgrades!$U$7,F17),1)*IF(Upgrades!$T$9="Stellar Coupling",POWER(Upgrades!$U$9,H17),1)*IF(Upgrades!$T$10="Stellar Coupling",POWER(Upgrades!$U$10,I17),1)*IF(Upgrades!$T$11="Stellar Coupling",POWER(Upgrades!$U$11,J17),1)*IF(Upgrades!$T$12="Stellar Coupling",POWER(Upgrades!$U$12,K17),1))+(IF(H17=0,0,(Upgrades!$G$9+H17*Upgrades!$H$9)*POWER(Upgrades!$I$9,H17)))*(IF(Upgrades!$T$6="Magnetosphere",POWER(Upgrades!$U$6,E17),1)*IF(Upgrades!$T$7="Magnetosphere",POWER(Upgrades!$U$7,F17),1)*IF(Upgrades!$T$8="Magnetosphere",POWER(Upgrades!$U$8,G17),1)*IF(Upgrades!$T$10="Magnetosphere",POWER(Upgrades!$U$10,I17),1)*IF(Upgrades!$T$11="Magnetosphere",POWER(Upgrades!$U$11,J17),1)*IF(Upgrades!$T$12="Magnetosphere",POWER(Upgrades!$U$12,K17),1))+(IF(I17=0,0,(Upgrades!$G$10+I17*Upgrades!$H$10)*POWER(Upgrades!$I$10,I17)))*(IF(Upgrades!$T$6="Orbital Resonance",POWER(Upgrades!$U$6,E17),1)*IF(Upgrades!$T$7="Orbital Resonance",POWER(Upgrades!$U$7,F17),1)*IF(Upgrades!$T$8="Orbital Resonance",POWER(Upgrades!$U$8,G17),1)*IF(Upgrades!$T$9="Orbital Resonance",POWER(Upgrades!$U$9,H17),1)*IF(Upgrades!$T$11="Orbital Resonance",POWER(Upgrades!$U$11,J17),1)*IF(Upgrades!$T$12="Orbital Resonance",POWER(Upgrades!$U$12,K17),1))+(IF(J17=0,0,(Upgrades!$G$11+J17*Upgrades!$H$11)*POWER(Upgrades!$I$11,J17)))*(IF(Upgrades!$T$6="Heliopause",POWER(Upgrades!$U$6,E17),1)*IF(Upgrades!$T$7="Heliopause",POWER(Upgrades!$U$7,F17),1)*IF(Upgrades!$T$8="Heliopause",POWER(Upgrades!$U$8,G17),1)*IF(Upgrades!$T$9="Heliopause",POWER(Upgrades!$U$9,H17),1)*IF(Upgrades!$T$10="Heliopause",POWER(Upgrades!$U$10,I17),1)*IF(Upgrades!$T$12="Heliopause",POWER(Upgrades!$U$12,K17),1))+(IF(K17=0,0,(Upgrades!$G$12+K17*Upgrades!$H$12)*POWER(Upgrades!$I$12,K17)))*(IF(Upgrades!$T$6="First Photons",POWER(Upgrades!$U$6,E17),1)*IF(Upgrades!$T$7="First Photons",POWER(Upgrades!$U$7,F17),1)*IF(Upgrades!$T$8="First Photons",POWER(Upgrades!$U$8,G17),1)*IF(Upgrades!$T$9="First Photons",POWER(Upgrades!$U$9,H17),1)*IF(Upgrades!$T$10="First Photons",POWER(Upgrades!$U$10,I17),1)*IF(Upgrades!$T$11="First Photons",POWER(Upgrades!$U$11,J17),1)))*POWER(Upgrades!$P$6,E17)*POWER(Upgrades!$P$7,F17)*POWER(Upgrades!$P$8,G17)*POWER(Upgrades!$P$9,H17)*POWER(Upgrades!$P$10,I17)*POWER(Upgrades!$P$11,J17)*POWER(Upgrades!$P$12,K17)</f>
        <v>1.64</v>
      </c>
      <c r="O17" s="28" t="n">
        <f aca="false">((IF(E17=0,0,(Upgrades!$M$6+E17*Upgrades!$N$6)*POWER(Upgrades!$O$6,E17)))*(IF(Upgrades!$T$7="Solar Wind",POWER(Upgrades!$U$7,F17),1)*IF(Upgrades!$T$8="Solar Wind",POWER(Upgrades!$U$8,G17),1)*IF(Upgrades!$T$9="Solar Wind",POWER(Upgrades!$U$9,H17),1)*IF(Upgrades!$T$10="Solar Wind",POWER(Upgrades!$U$10,I17),1)*IF(Upgrades!$T$11="Solar Wind",POWER(Upgrades!$U$11,J17),1)*IF(Upgrades!$T$12="Solar Wind",POWER(Upgrades!$U$12,K17),1))+(IF(F17=0,0,(Upgrades!$M$7+F17*Upgrades!$N$7)*POWER(Upgrades!$O$7,F17)))*(IF(Upgrades!$T$6="Asteroid Belt",POWER(Upgrades!$U$6,E17),1)*IF(Upgrades!$T$8="Asteroid Belt",POWER(Upgrades!$U$8,G17),1)*IF(Upgrades!$T$9="Asteroid Belt",POWER(Upgrades!$U$9,H17),1)*IF(Upgrades!$T$10="Asteroid Belt",POWER(Upgrades!$U$10,I17),1)*IF(Upgrades!$T$11="Asteroid Belt",POWER(Upgrades!$U$11,J17),1)*IF(Upgrades!$T$12="Asteroid Belt",POWER(Upgrades!$U$12,K17),1))+(IF(G17=0,0,(Upgrades!$M$8+G17*Upgrades!$N$8)*POWER(Upgrades!$O$8,G17)))*(IF(Upgrades!$T$6="Stellar Coupling",POWER(Upgrades!$U$6,E17),1)*IF(Upgrades!$T$7="Stellar Coupling",POWER(Upgrades!$U$7,F17),1)*IF(Upgrades!$T$9="Stellar Coupling",POWER(Upgrades!$U$9,H17),1)*IF(Upgrades!$T$10="Stellar Coupling",POWER(Upgrades!$U$10,I17),1)*IF(Upgrades!$T$11="Stellar Coupling",POWER(Upgrades!$U$11,J17),1)*IF(Upgrades!$T$12="Stellar Coupling",POWER(Upgrades!$U$12,K17),1))+(IF(H17=0,0,(Upgrades!$M$9+H17*Upgrades!$N$9)*POWER(Upgrades!$O$9,H17)))*(IF(Upgrades!$T$6="Magnetosphere",POWER(Upgrades!$U$6,E17),1)*IF(Upgrades!$T$7="Magnetosphere",POWER(Upgrades!$U$7,F17),1)*IF(Upgrades!$T$8="Magnetosphere",POWER(Upgrades!$U$8,G17),1)*IF(Upgrades!$T$10="Magnetosphere",POWER(Upgrades!$U$10,I17),1)*IF(Upgrades!$T$11="Magnetosphere",POWER(Upgrades!$U$11,J17),1)*IF(Upgrades!$T$12="Magnetosphere",POWER(Upgrades!$U$12,K17),1))+(IF(I17=0,0,(Upgrades!$M$10+I17*Upgrades!$N$10)*POWER(Upgrades!$O$10,I17)))*(IF(Upgrades!$T$6="Orbital Resonance",POWER(Upgrades!$U$6,E17),1)*IF(Upgrades!$T$7="Orbital Resonance",POWER(Upgrades!$U$7,F17),1)*IF(Upgrades!$T$8="Orbital Resonance",POWER(Upgrades!$U$8,G17),1)*IF(Upgrades!$T$9="Orbital Resonance",POWER(Upgrades!$U$9,H17),1)*IF(Upgrades!$T$11="Orbital Resonance",POWER(Upgrades!$U$11,J17),1)*IF(Upgrades!$T$12="Orbital Resonance",POWER(Upgrades!$U$12,K17),1))+(IF(J17=0,0,(Upgrades!$M$11+J17*Upgrades!$N$11)*POWER(Upgrades!$O$11,J17)))*(IF(Upgrades!$T$6="Heliopause",POWER(Upgrades!$U$6,E17),1)*IF(Upgrades!$T$7="Heliopause",POWER(Upgrades!$U$7,F17),1)*IF(Upgrades!$T$8="Heliopause",POWER(Upgrades!$U$8,G17),1)*IF(Upgrades!$T$9="Heliopause",POWER(Upgrades!$U$9,H17),1)*IF(Upgrades!$T$10="Heliopause",POWER(Upgrades!$U$10,I17),1)*IF(Upgrades!$T$12="Heliopause",POWER(Upgrades!$U$12,K17),1))+(IF(K17=0,0,(Upgrades!$M$12+K17*Upgrades!$N$12)*POWER(Upgrades!$O$12,K17)))*(IF(Upgrades!$T$6="First Photons",POWER(Upgrades!$U$6,E17),1)*IF(Upgrades!$T$7="First Photons",POWER(Upgrades!$U$7,F17),1)*IF(Upgrades!$T$8="First Photons",POWER(Upgrades!$U$8,G17),1)*IF(Upgrades!$T$9="First Photons",POWER(Upgrades!$U$9,H17),1)*IF(Upgrades!$T$10="First Photons",POWER(Upgrades!$U$10,I17),1)*IF(Upgrades!$T$11="First Photons",POWER(Upgrades!$U$11,J17),1)))*POWER(Upgrades!$R$6,E17)*POWER(Upgrades!$R$7,F17)*POWER(Upgrades!$R$8,G17)*POWER(Upgrades!$R$9,H17)*POWER(Upgrades!$R$10,I17)*POWER(Upgrades!$R$11,J17)*POWER(Upgrades!$R$12,K17)</f>
        <v>0</v>
      </c>
      <c r="P17" s="27" t="n">
        <f aca="false">IF(L17=1,0,M17*Parameters!$B$10/60*Parameters!$B$11*10)</f>
        <v>40</v>
      </c>
      <c r="Q17" s="27" t="n">
        <f aca="false">IF(L17=1,0,O17*M17*10)</f>
        <v>0</v>
      </c>
      <c r="R17" s="27" t="n">
        <f aca="false">IF(L17=1,0,N17*10)</f>
        <v>16.4</v>
      </c>
      <c r="S17" s="27" t="n">
        <f aca="false">P17+Q17+R17</f>
        <v>56.4</v>
      </c>
      <c r="T17" s="21" t="n">
        <f aca="false">C17+S17</f>
        <v>128.937833333333</v>
      </c>
      <c r="U17" s="34" t="str">
        <f aca="false">AX17</f>
        <v>AB</v>
      </c>
      <c r="V17" s="21" t="n">
        <f aca="false">IF(U17="",0,IF(U17="transition",0,IF(U17="SW",AG17,IF(U17="AB",AH17,IF(U17="SC",AI17,IF(U17="Mag",AJ17,IF(U17="OR",AK17,IF(U17="HP",AL17,IF(U17="FP",AM17,0)))))))))</f>
        <v>26.45</v>
      </c>
      <c r="W17" s="27" t="n">
        <f aca="false">IF(U17="OR",Upgrades!$F$10,IF(U17="HP",Upgrades!$F$11,IF(U17="transition",-Parameters!$B$18,0)))</f>
        <v>0</v>
      </c>
      <c r="X17" s="21" t="n">
        <f aca="false">T17-V17</f>
        <v>102.487833333333</v>
      </c>
      <c r="Y17" s="30" t="n">
        <f aca="false">M17*Parameters!$B$10/60*Parameters!$B$11+O17*M17+N17</f>
        <v>5.64</v>
      </c>
      <c r="Z17" s="35" t="str">
        <f aca="false">IF(U17="transition","→ Tier 2 (Stellar Neighborhood)",IF(U17="FP","First Photons — light begins, system quickens",IF(U17="HP","Heliopause acquired",IF(U17="OR","Orbital Resonance — passive multiplier active",IF(AND(AO17=1,L17=0,AN17&lt;&gt;1),"Cohesion ready (waiting on completionist upgrades)","")))))</f>
        <v/>
      </c>
      <c r="AA17" s="27" t="n">
        <f aca="false">(IF(E17=0,0,(Upgrades!$G$6+E17*Upgrades!$H$6)*POWER(Upgrades!$I$6,E17)))*(IF(Upgrades!$T$7="Solar Wind",POWER(Upgrades!$U$7,F17),1)*IF(Upgrades!$T$8="Solar Wind",POWER(Upgrades!$U$8,G17),1)*IF(Upgrades!$T$9="Solar Wind",POWER(Upgrades!$U$9,H17),1)*IF(Upgrades!$T$10="Solar Wind",POWER(Upgrades!$U$10,I17),1)*IF(Upgrades!$T$11="Solar Wind",POWER(Upgrades!$U$11,J17),1)*IF(Upgrades!$T$12="Solar Wind",POWER(Upgrades!$U$12,K17),1))*POWER(Upgrades!$P$6,E17)*POWER(Upgrades!$P$7,F17)*POWER(Upgrades!$P$8,G17)*POWER(Upgrades!$P$9,H17)*POWER(Upgrades!$P$10,I17)*POWER(Upgrades!$P$11,J17)*POWER(Upgrades!$P$12,K17)*60</f>
        <v>14.4</v>
      </c>
      <c r="AB17" s="27" t="n">
        <f aca="false">(IF(F17=0,0,(Upgrades!$G$7+F17*Upgrades!$H$7)*POWER(Upgrades!$I$7,F17)))*(IF(Upgrades!$T$6="Asteroid Belt",POWER(Upgrades!$U$6,E17),1)*IF(Upgrades!$T$8="Asteroid Belt",POWER(Upgrades!$U$8,G17),1)*IF(Upgrades!$T$9="Asteroid Belt",POWER(Upgrades!$U$9,H17),1)*IF(Upgrades!$T$10="Asteroid Belt",POWER(Upgrades!$U$10,I17),1)*IF(Upgrades!$T$11="Asteroid Belt",POWER(Upgrades!$U$11,J17),1)*IF(Upgrades!$T$12="Asteroid Belt",POWER(Upgrades!$U$12,K17),1))*POWER(Upgrades!$P$6,E17)*POWER(Upgrades!$P$7,F17)*POWER(Upgrades!$P$8,G17)*POWER(Upgrades!$P$9,H17)*POWER(Upgrades!$P$10,I17)*POWER(Upgrades!$P$11,J17)*POWER(Upgrades!$P$12,K17)*60</f>
        <v>24</v>
      </c>
      <c r="AC17" s="27" t="n">
        <f aca="false">(IF(G17=0,0,(Upgrades!$J$8+G17*Upgrades!$K$8)*POWER(Upgrades!$L$8,G17)))*(IF(Upgrades!$T$6="Stellar Coupling",POWER(Upgrades!$U$6,E17),1)*IF(Upgrades!$T$7="Stellar Coupling",POWER(Upgrades!$U$7,F17),1)*IF(Upgrades!$T$9="Stellar Coupling",POWER(Upgrades!$U$9,H17),1)*IF(Upgrades!$T$10="Stellar Coupling",POWER(Upgrades!$U$10,I17),1)*IF(Upgrades!$T$11="Stellar Coupling",POWER(Upgrades!$U$11,J17),1)*IF(Upgrades!$T$12="Stellar Coupling",POWER(Upgrades!$U$12,K17),1))*POWER(Upgrades!$Q$6,E17)*POWER(Upgrades!$Q$7,F17)*POWER(Upgrades!$Q$8,G17)*POWER(Upgrades!$Q$9,H17)*POWER(Upgrades!$Q$10,I17)*POWER(Upgrades!$Q$11,J17)*POWER(Upgrades!$Q$12,K17)*Parameters!$B$10*Parameters!$B$11</f>
        <v>140</v>
      </c>
      <c r="AD17" s="27" t="n">
        <f aca="false">(IF(H17=0,0,(Upgrades!$G$9+H17*Upgrades!$H$9)*POWER(Upgrades!$I$9,H17)))*(IF(Upgrades!$T$6="Magnetosphere",POWER(Upgrades!$U$6,E17),1)*IF(Upgrades!$T$7="Magnetosphere",POWER(Upgrades!$U$7,F17),1)*IF(Upgrades!$T$8="Magnetosphere",POWER(Upgrades!$U$8,G17),1)*IF(Upgrades!$T$10="Magnetosphere",POWER(Upgrades!$U$10,I17),1)*IF(Upgrades!$T$11="Magnetosphere",POWER(Upgrades!$U$11,J17),1)*IF(Upgrades!$T$12="Magnetosphere",POWER(Upgrades!$U$12,K17),1))*POWER(Upgrades!$P$6,E17)*POWER(Upgrades!$P$7,F17)*POWER(Upgrades!$P$8,G17)*POWER(Upgrades!$P$9,H17)*POWER(Upgrades!$P$10,I17)*POWER(Upgrades!$P$11,J17)*POWER(Upgrades!$P$12,K17)*60</f>
        <v>60</v>
      </c>
      <c r="AE17" s="27" t="n">
        <f aca="false">(IF(K17=0,0,(Upgrades!$G$12+K17*Upgrades!$H$12)*POWER(Upgrades!$I$12,K17)))*(IF(Upgrades!$T$6="First Photons",POWER(Upgrades!$U$6,E17),1)*IF(Upgrades!$T$7="First Photons",POWER(Upgrades!$U$7,F17),1)*IF(Upgrades!$T$8="First Photons",POWER(Upgrades!$U$8,G17),1)*IF(Upgrades!$T$9="First Photons",POWER(Upgrades!$U$9,H17),1)*IF(Upgrades!$T$10="First Photons",POWER(Upgrades!$U$10,I17),1)*IF(Upgrades!$T$11="First Photons",POWER(Upgrades!$U$11,J17),1))*POWER(Upgrades!$P$6,E17)*POWER(Upgrades!$P$7,F17)*POWER(Upgrades!$P$8,G17)*POWER(Upgrades!$P$9,H17)*POWER(Upgrades!$P$10,I17)*POWER(Upgrades!$P$11,J17)*POWER(Upgrades!$P$12,K17)*60</f>
        <v>0</v>
      </c>
      <c r="AF17" s="27" t="n">
        <f aca="false">Parameters!$B$9*POWER(Upgrades!$Q$6,E17)*POWER(Upgrades!$Q$7,F17)*POWER(Upgrades!$Q$8,G17)*POWER(Upgrades!$Q$9,H17)*POWER(Upgrades!$Q$10,I17)*POWER(Upgrades!$Q$11,J17)*POWER(Upgrades!$Q$12,K17)*(Parameters!$B$10*Parameters!$B$11+O17*60)</f>
        <v>100</v>
      </c>
      <c r="AG17" s="21" t="n">
        <f aca="false">IF(E17&gt;=Upgrades!$E$6,"",Upgrades!$C$6*POWER(Upgrades!$D$6,E17))</f>
        <v>10.646125</v>
      </c>
      <c r="AH17" s="21" t="n">
        <f aca="false">IF(F17&gt;=Upgrades!$E$7,"",Upgrades!$C$7*POWER(Upgrades!$D$7,F17))</f>
        <v>26.45</v>
      </c>
      <c r="AI17" s="21" t="n">
        <f aca="false">IF(G17&gt;=Upgrades!$E$8,"",Upgrades!$C$8*POWER(Upgrades!$D$8,G17))</f>
        <v>84.5152</v>
      </c>
      <c r="AJ17" s="21" t="n">
        <f aca="false">IF(H17&gt;=Upgrades!$E$9,"",Upgrades!$C$9*POWER(Upgrades!$D$9,H17))</f>
        <v>160</v>
      </c>
      <c r="AK17" s="21" t="n">
        <f aca="false">IF(I17&gt;=Upgrades!$E$10,"",Upgrades!$C$10*POWER(Upgrades!$D$10,I17))</f>
        <v>240</v>
      </c>
      <c r="AL17" s="21" t="n">
        <f aca="false">IF(J17&gt;=Upgrades!$E$11,"",Upgrades!$C$11*POWER(Upgrades!$D$11,J17))</f>
        <v>575</v>
      </c>
      <c r="AM17" s="21" t="n">
        <f aca="false">IF(K17&gt;=Upgrades!$E$12,"",Upgrades!$C$12*POWER(Upgrades!$D$12,K17))</f>
        <v>850</v>
      </c>
      <c r="AN17" s="26" t="str">
        <f aca="false">IF(AND(D17&gt;=Parameters!$B$18,(H17&gt;=Upgrades!$E$9)*(K17&gt;=Upgrades!$E$12)=1,L17=0),1,"")</f>
        <v/>
      </c>
      <c r="AO17" s="26" t="str">
        <f aca="false">IF(AND(D17&gt;=Parameters!$B$18,L17=0),1,"")</f>
        <v/>
      </c>
      <c r="AP17" s="21" t="n">
        <f aca="false">MIN(IF(ISNUMBER(AK17),AK17,9000000000000000),IF(ISNUMBER(AL17),AL17,9000000000000000),IF(ISNUMBER(AM17),AM17,9000000000000000))</f>
        <v>240</v>
      </c>
      <c r="AQ17" s="21" t="n">
        <f aca="false">MIN(IF(ISNUMBER(AG17),AG17,9000000000000000),IF(ISNUMBER(AH17),AH17,9000000000000000),IF(ISNUMBER(AI17),AI17,9000000000000000),IF(ISNUMBER(AJ17),AJ17,9000000000000000))</f>
        <v>10.646125</v>
      </c>
      <c r="AR17" s="32" t="b">
        <f aca="false">IF(AW17&gt;Parameters!$B$21*(MAX(IF(AND(NOT(AND(AO17=1,AN17&lt;&gt;1)),ISNUMBER(AG17),AG17&lt;=T17),AS17,0),IF(AND(NOT(AND(AO17=1,AN17&lt;&gt;1)),ISNUMBER(AH17),AH17&lt;=T17),AT17,0),IF(AND(NOT(AND(AO17=1,AN17&lt;&gt;1)),ISNUMBER(AI17),AI17&lt;=T17),AU17,0),IF(AND(ISNUMBER(AJ17),AJ17&lt;=T17),AV17,0))),TRUE(),FALSE())</f>
        <v>0</v>
      </c>
      <c r="AS17" s="33" t="n">
        <f aca="false">IFERROR(Upgrades!$H$6*(POWER(Upgrades!$P$6,E17)*POWER(Upgrades!$P$7,F17)*POWER(Upgrades!$P$8,G17)*POWER(Upgrades!$P$9,H17)*POWER(Upgrades!$P$10,I17)*POWER(Upgrades!$P$11,J17)*POWER(Upgrades!$P$12,K17))*(IF(Upgrades!$T$7="Solar Wind",POWER(Upgrades!$U$7,F17),1)*IF(Upgrades!$T$8="Solar Wind",POWER(Upgrades!$U$8,G17),1)*IF(Upgrades!$T$9="Solar Wind",POWER(Upgrades!$U$9,H17),1)*IF(Upgrades!$T$10="Solar Wind",POWER(Upgrades!$U$10,I17),1)*IF(Upgrades!$T$11="Solar Wind",POWER(Upgrades!$U$11,J17),1)*IF(Upgrades!$T$12="Solar Wind",POWER(Upgrades!$U$12,K17),1))/AG17,0)</f>
        <v>0.00751447122779415</v>
      </c>
      <c r="AT17" s="33" t="n">
        <f aca="false">IFERROR(Upgrades!$H$7*(POWER(Upgrades!$P$6,E17)*POWER(Upgrades!$P$7,F17)*POWER(Upgrades!$P$8,G17)*POWER(Upgrades!$P$9,H17)*POWER(Upgrades!$P$10,I17)*POWER(Upgrades!$P$11,J17)*POWER(Upgrades!$P$12,K17))*(IF(Upgrades!$T$6="Asteroid Belt",POWER(Upgrades!$U$6,E17),1)*IF(Upgrades!$T$8="Asteroid Belt",POWER(Upgrades!$U$8,G17),1)*IF(Upgrades!$T$9="Asteroid Belt",POWER(Upgrades!$U$9,H17),1)*IF(Upgrades!$T$10="Asteroid Belt",POWER(Upgrades!$U$10,I17),1)*IF(Upgrades!$T$11="Asteroid Belt",POWER(Upgrades!$U$11,J17),1)*IF(Upgrades!$T$12="Asteroid Belt",POWER(Upgrades!$U$12,K17),1))/AH17,0)</f>
        <v>0.00756143667296787</v>
      </c>
      <c r="AU17" s="33" t="n">
        <f aca="false">IFERROR(Upgrades!$K$8*(POWER(Upgrades!$Q$6,E17)*POWER(Upgrades!$Q$7,F17)*POWER(Upgrades!$Q$8,G17)*POWER(Upgrades!$Q$9,H17)*POWER(Upgrades!$Q$10,I17)*POWER(Upgrades!$Q$11,J17)*POWER(Upgrades!$Q$12,K17))*(IF(Upgrades!$T$6="Stellar Coupling",POWER(Upgrades!$U$6,E17),1)*IF(Upgrades!$T$7="Stellar Coupling",POWER(Upgrades!$U$7,F17),1)*IF(Upgrades!$T$9="Stellar Coupling",POWER(Upgrades!$U$9,H17),1)*IF(Upgrades!$T$10="Stellar Coupling",POWER(Upgrades!$U$10,I17),1)*IF(Upgrades!$T$11="Stellar Coupling",POWER(Upgrades!$U$11,J17),1)*IF(Upgrades!$T$12="Stellar Coupling",POWER(Upgrades!$U$12,K17),1))*Parameters!$B$10*Parameters!$B$11/60/AI17,0)</f>
        <v>0.00690211149394823</v>
      </c>
      <c r="AV17" s="33" t="n">
        <f aca="false">IFERROR(Upgrades!$H$9*(POWER(Upgrades!$P$6,E17)*POWER(Upgrades!$P$7,F17)*POWER(Upgrades!$P$8,G17)*POWER(Upgrades!$P$9,H17)*POWER(Upgrades!$P$10,I17)*POWER(Upgrades!$P$11,J17)*POWER(Upgrades!$P$12,K17))*(IF(Upgrades!$T$6="Magnetosphere",POWER(Upgrades!$U$6,E17),1)*IF(Upgrades!$T$7="Magnetosphere",POWER(Upgrades!$U$7,F17),1)*IF(Upgrades!$T$8="Magnetosphere",POWER(Upgrades!$U$8,G17),1)*IF(Upgrades!$T$10="Magnetosphere",POWER(Upgrades!$U$10,I17),1)*IF(Upgrades!$T$11="Magnetosphere",POWER(Upgrades!$U$11,J17),1)*IF(Upgrades!$T$12="Magnetosphere",POWER(Upgrades!$U$12,K17),1))/AJ17,0)</f>
        <v>0.00625</v>
      </c>
      <c r="AW17" s="33" t="n">
        <f aca="false">MAX(IF(I17&gt;0,0,IFERROR(0.25*N17/Upgrades!$C$10,0)),IF(J17&gt;0,0,IFERROR(0.5*((IF(G17=0,0,(Upgrades!$J$8+G17*Upgrades!$K$8)*POWER(Upgrades!$L$8,G17)))*(IF(Upgrades!$T$6="Stellar Coupling",POWER(Upgrades!$U$6,E17),1)*IF(Upgrades!$T$7="Stellar Coupling",POWER(Upgrades!$U$7,F17),1)*IF(Upgrades!$T$9="Stellar Coupling",POWER(Upgrades!$U$9,H17),1)*IF(Upgrades!$T$10="Stellar Coupling",POWER(Upgrades!$U$10,I17),1)*IF(Upgrades!$T$11="Stellar Coupling",POWER(Upgrades!$U$11,J17),1)*IF(Upgrades!$T$12="Stellar Coupling",POWER(Upgrades!$U$12,K17),1))*(POWER(Upgrades!$Q$6,E17)*POWER(Upgrades!$Q$7,F17)*POWER(Upgrades!$Q$8,G17)*POWER(Upgrades!$Q$9,H17)*POWER(Upgrades!$Q$10,I17)*POWER(Upgrades!$Q$11,J17)*POWER(Upgrades!$Q$12,K17))*Parameters!$B$10*Parameters!$B$11/60)/Upgrades!$C$11,0)),IF(K17&gt;0,0,IFERROR((1*(POWER(Upgrades!$P$6,E17)*POWER(Upgrades!$P$7,F17)*POWER(Upgrades!$P$8,G17)*POWER(Upgrades!$P$9,H17)*POWER(Upgrades!$P$10,I17)*POWER(Upgrades!$P$11,J17)*POWER(Upgrades!$P$12,K17))+0.2*M17*Parameters!$B$10*Parameters!$B$11/60)/Upgrades!$C$12,0)),IF(AND(ISNUMBER(AG17),AG17&gt;T17),AS17,0),IF(AND(ISNUMBER(AH17),AH17&gt;T17),AT17,0),IF(AND(ISNUMBER(AI17),AI17&gt;T17),AU17,0),IF(AND(ISNUMBER(AJ17),AJ17&gt;T17),AV17,0))</f>
        <v>0.00625</v>
      </c>
      <c r="AX17" s="29" t="str">
        <f aca="false">IF(AN17=1,"transition",IF(MIN(IF(AND(I17=0,ISNUMBER(AK17),AK17&lt;=T17),AK17,9000000000000000),IF(AND(J17=0,ISNUMBER(AL17),AL17&lt;=T17),AL17,9000000000000000),IF(AND(K17=0,ISNUMBER(AM17),AM17&lt;=T17),AM17,9000000000000000))&lt;9000000000000000,IF(AND(AND(I17=0,ISNUMBER(AK17),AK17&lt;=T17),AK17=MIN(IF(AND(I17=0,ISNUMBER(AK17),AK17&lt;=T17),AK17,9000000000000000),IF(AND(J17=0,ISNUMBER(AL17),AL17&lt;=T17),AL17,9000000000000000),IF(AND(K17=0,ISNUMBER(AM17),AM17&lt;=T17),AM17,9000000000000000))),"OR",IF(AND(AND(J17=0,ISNUMBER(AL17),AL17&lt;=T17),AL17=MIN(IF(AND(I17=0,ISNUMBER(AK17),AK17&lt;=T17),AK17,9000000000000000),IF(AND(J17=0,ISNUMBER(AL17),AL17&lt;=T17),AL17,9000000000000000),IF(AND(K17=0,ISNUMBER(AM17),AM17&lt;=T17),AM17,9000000000000000))),"HP","FP")),IF(AR17=TRUE(),"",IF(MAX(IF(AND(NOT(AND(AO17=1,AN17&lt;&gt;1)),ISNUMBER(AG17),AG17&lt;=T17),AS17,0),IF(AND(NOT(AND(AO17=1,AN17&lt;&gt;1)),ISNUMBER(AH17),AH17&lt;=T17),AT17,0),IF(AND(NOT(AND(AO17=1,AN17&lt;&gt;1)),ISNUMBER(AI17),AI17&lt;=T17),AU17,0),IF(AND(ISNUMBER(AJ17),AJ17&lt;=T17),AV17,0))&lt;=0,"",IF(AND(IF(AND(NOT(AND(AO17=1,AN17&lt;&gt;1)),ISNUMBER(AG17),AG17&lt;=T17),AS17,0)&gt;0,IF(AND(NOT(AND(AO17=1,AN17&lt;&gt;1)),ISNUMBER(AG17),AG17&lt;=T17),AS17,0)=MAX(IF(AND(NOT(AND(AO17=1,AN17&lt;&gt;1)),ISNUMBER(AG17),AG17&lt;=T17),AS17,0),IF(AND(NOT(AND(AO17=1,AN17&lt;&gt;1)),ISNUMBER(AH17),AH17&lt;=T17),AT17,0),IF(AND(NOT(AND(AO17=1,AN17&lt;&gt;1)),ISNUMBER(AI17),AI17&lt;=T17),AU17,0),IF(AND(ISNUMBER(AJ17),AJ17&lt;=T17),AV17,0))),"SW",IF(AND(IF(AND(NOT(AND(AO17=1,AN17&lt;&gt;1)),ISNUMBER(AH17),AH17&lt;=T17),AT17,0)&gt;0,IF(AND(NOT(AND(AO17=1,AN17&lt;&gt;1)),ISNUMBER(AH17),AH17&lt;=T17),AT17,0)=MAX(IF(AND(NOT(AND(AO17=1,AN17&lt;&gt;1)),ISNUMBER(AG17),AG17&lt;=T17),AS17,0),IF(AND(NOT(AND(AO17=1,AN17&lt;&gt;1)),ISNUMBER(AH17),AH17&lt;=T17),AT17,0),IF(AND(NOT(AND(AO17=1,AN17&lt;&gt;1)),ISNUMBER(AI17),AI17&lt;=T17),AU17,0),IF(AND(ISNUMBER(AJ17),AJ17&lt;=T17),AV17,0))),"AB",IF(AND(IF(AND(NOT(AND(AO17=1,AN17&lt;&gt;1)),ISNUMBER(AI17),AI17&lt;=T17),AU17,0)&gt;0,IF(AND(NOT(AND(AO17=1,AN17&lt;&gt;1)),ISNUMBER(AI17),AI17&lt;=T17),AU17,0)=MAX(IF(AND(NOT(AND(AO17=1,AN17&lt;&gt;1)),ISNUMBER(AG17),AG17&lt;=T17),AS17,0),IF(AND(NOT(AND(AO17=1,AN17&lt;&gt;1)),ISNUMBER(AH17),AH17&lt;=T17),AT17,0),IF(AND(NOT(AND(AO17=1,AN17&lt;&gt;1)),ISNUMBER(AI17),AI17&lt;=T17),AU17,0),IF(AND(ISNUMBER(AJ17),AJ17&lt;=T17),AV17,0))),"SC","Mag")))))))</f>
        <v>AB</v>
      </c>
    </row>
    <row r="18" customFormat="false" ht="15" hidden="false" customHeight="false" outlineLevel="0" collapsed="false">
      <c r="A18" s="26" t="n">
        <v>13</v>
      </c>
      <c r="B18" s="27" t="n">
        <f aca="false">A18*10/60</f>
        <v>2.16666666666667</v>
      </c>
      <c r="C18" s="21" t="n">
        <f aca="false">X17</f>
        <v>102.487833333333</v>
      </c>
      <c r="D18" s="27" t="n">
        <f aca="false">D17+W17</f>
        <v>0</v>
      </c>
      <c r="E18" s="26" t="n">
        <f aca="false">E17+IF(U17="SW",1,0)</f>
        <v>3</v>
      </c>
      <c r="F18" s="26" t="n">
        <f aca="false">F17+IF(U17="AB",1,0)</f>
        <v>3</v>
      </c>
      <c r="G18" s="26" t="n">
        <f aca="false">G17+IF(U17="SC",1,0)</f>
        <v>4</v>
      </c>
      <c r="H18" s="26" t="n">
        <f aca="false">H17+IF(U17="Mag",1,0)</f>
        <v>1</v>
      </c>
      <c r="I18" s="26" t="n">
        <f aca="false">MAX(I17,IF(U17="OR",1,0))</f>
        <v>0</v>
      </c>
      <c r="J18" s="26" t="n">
        <f aca="false">MAX(J17,IF(U17="HP",1,0))</f>
        <v>0</v>
      </c>
      <c r="K18" s="26" t="n">
        <f aca="false">MAX(K17,IF(U17="FP",1,0))</f>
        <v>0</v>
      </c>
      <c r="L18" s="26" t="n">
        <f aca="false">MAX(L17,IF(U17="transition",1,0))</f>
        <v>0</v>
      </c>
      <c r="M18" s="28" t="n">
        <f aca="false">(Parameters!$B$9+(IF(E18=0,0,(Upgrades!$J$6+E18*Upgrades!$K$6)*POWER(Upgrades!$L$6,E18)))*(IF(Upgrades!$T$7="Solar Wind",POWER(Upgrades!$U$7,F18),1)*IF(Upgrades!$T$8="Solar Wind",POWER(Upgrades!$U$8,G18),1)*IF(Upgrades!$T$9="Solar Wind",POWER(Upgrades!$U$9,H18),1)*IF(Upgrades!$T$10="Solar Wind",POWER(Upgrades!$U$10,I18),1)*IF(Upgrades!$T$11="Solar Wind",POWER(Upgrades!$U$11,J18),1)*IF(Upgrades!$T$12="Solar Wind",POWER(Upgrades!$U$12,K18),1))+(IF(F18=0,0,(Upgrades!$J$7+F18*Upgrades!$K$7)*POWER(Upgrades!$L$7,F18)))*(IF(Upgrades!$T$6="Asteroid Belt",POWER(Upgrades!$U$6,E18),1)*IF(Upgrades!$T$8="Asteroid Belt",POWER(Upgrades!$U$8,G18),1)*IF(Upgrades!$T$9="Asteroid Belt",POWER(Upgrades!$U$9,H18),1)*IF(Upgrades!$T$10="Asteroid Belt",POWER(Upgrades!$U$10,I18),1)*IF(Upgrades!$T$11="Asteroid Belt",POWER(Upgrades!$U$11,J18),1)*IF(Upgrades!$T$12="Asteroid Belt",POWER(Upgrades!$U$12,K18),1))+(IF(G18=0,0,(Upgrades!$J$8+G18*Upgrades!$K$8)*POWER(Upgrades!$L$8,G18)))*(IF(Upgrades!$T$6="Stellar Coupling",POWER(Upgrades!$U$6,E18),1)*IF(Upgrades!$T$7="Stellar Coupling",POWER(Upgrades!$U$7,F18),1)*IF(Upgrades!$T$9="Stellar Coupling",POWER(Upgrades!$U$9,H18),1)*IF(Upgrades!$T$10="Stellar Coupling",POWER(Upgrades!$U$10,I18),1)*IF(Upgrades!$T$11="Stellar Coupling",POWER(Upgrades!$U$11,J18),1)*IF(Upgrades!$T$12="Stellar Coupling",POWER(Upgrades!$U$12,K18),1))+(IF(H18=0,0,(Upgrades!$J$9+H18*Upgrades!$K$9)*POWER(Upgrades!$L$9,H18)))*(IF(Upgrades!$T$6="Magnetosphere",POWER(Upgrades!$U$6,E18),1)*IF(Upgrades!$T$7="Magnetosphere",POWER(Upgrades!$U$7,F18),1)*IF(Upgrades!$T$8="Magnetosphere",POWER(Upgrades!$U$8,G18),1)*IF(Upgrades!$T$10="Magnetosphere",POWER(Upgrades!$U$10,I18),1)*IF(Upgrades!$T$11="Magnetosphere",POWER(Upgrades!$U$11,J18),1)*IF(Upgrades!$T$12="Magnetosphere",POWER(Upgrades!$U$12,K18),1))+(IF(I18=0,0,(Upgrades!$J$10+I18*Upgrades!$K$10)*POWER(Upgrades!$L$10,I18)))*(IF(Upgrades!$T$6="Orbital Resonance",POWER(Upgrades!$U$6,E18),1)*IF(Upgrades!$T$7="Orbital Resonance",POWER(Upgrades!$U$7,F18),1)*IF(Upgrades!$T$8="Orbital Resonance",POWER(Upgrades!$U$8,G18),1)*IF(Upgrades!$T$9="Orbital Resonance",POWER(Upgrades!$U$9,H18),1)*IF(Upgrades!$T$11="Orbital Resonance",POWER(Upgrades!$U$11,J18),1)*IF(Upgrades!$T$12="Orbital Resonance",POWER(Upgrades!$U$12,K18),1))+(IF(J18=0,0,(Upgrades!$J$11+J18*Upgrades!$K$11)*POWER(Upgrades!$L$11,J18)))*(IF(Upgrades!$T$6="Heliopause",POWER(Upgrades!$U$6,E18),1)*IF(Upgrades!$T$7="Heliopause",POWER(Upgrades!$U$7,F18),1)*IF(Upgrades!$T$8="Heliopause",POWER(Upgrades!$U$8,G18),1)*IF(Upgrades!$T$9="Heliopause",POWER(Upgrades!$U$9,H18),1)*IF(Upgrades!$T$10="Heliopause",POWER(Upgrades!$U$10,I18),1)*IF(Upgrades!$T$12="Heliopause",POWER(Upgrades!$U$12,K18),1))+(IF(K18=0,0,(Upgrades!$J$12+K18*Upgrades!$K$12)*POWER(Upgrades!$L$12,K18)))*(IF(Upgrades!$T$6="First Photons",POWER(Upgrades!$U$6,E18),1)*IF(Upgrades!$T$7="First Photons",POWER(Upgrades!$U$7,F18),1)*IF(Upgrades!$T$8="First Photons",POWER(Upgrades!$U$8,G18),1)*IF(Upgrades!$T$9="First Photons",POWER(Upgrades!$U$9,H18),1)*IF(Upgrades!$T$10="First Photons",POWER(Upgrades!$U$10,I18),1)*IF(Upgrades!$T$11="First Photons",POWER(Upgrades!$U$11,J18),1)))*POWER(Upgrades!$Q$6,E18)*POWER(Upgrades!$Q$7,F18)*POWER(Upgrades!$Q$8,G18)*POWER(Upgrades!$Q$9,H18)*POWER(Upgrades!$Q$10,I18)*POWER(Upgrades!$Q$11,J18)*POWER(Upgrades!$Q$12,K18)</f>
        <v>2.4</v>
      </c>
      <c r="N18" s="28" t="n">
        <f aca="false">((IF(E18=0,0,(Upgrades!$G$6+E18*Upgrades!$H$6)*POWER(Upgrades!$I$6,E18)))*(IF(Upgrades!$T$7="Solar Wind",POWER(Upgrades!$U$7,F18),1)*IF(Upgrades!$T$8="Solar Wind",POWER(Upgrades!$U$8,G18),1)*IF(Upgrades!$T$9="Solar Wind",POWER(Upgrades!$U$9,H18),1)*IF(Upgrades!$T$10="Solar Wind",POWER(Upgrades!$U$10,I18),1)*IF(Upgrades!$T$11="Solar Wind",POWER(Upgrades!$U$11,J18),1)*IF(Upgrades!$T$12="Solar Wind",POWER(Upgrades!$U$12,K18),1))+(IF(F18=0,0,(Upgrades!$G$7+F18*Upgrades!$H$7)*POWER(Upgrades!$I$7,F18)))*(IF(Upgrades!$T$6="Asteroid Belt",POWER(Upgrades!$U$6,E18),1)*IF(Upgrades!$T$8="Asteroid Belt",POWER(Upgrades!$U$8,G18),1)*IF(Upgrades!$T$9="Asteroid Belt",POWER(Upgrades!$U$9,H18),1)*IF(Upgrades!$T$10="Asteroid Belt",POWER(Upgrades!$U$10,I18),1)*IF(Upgrades!$T$11="Asteroid Belt",POWER(Upgrades!$U$11,J18),1)*IF(Upgrades!$T$12="Asteroid Belt",POWER(Upgrades!$U$12,K18),1))+(IF(G18=0,0,(Upgrades!$G$8+G18*Upgrades!$H$8)*POWER(Upgrades!$I$8,G18)))*(IF(Upgrades!$T$6="Stellar Coupling",POWER(Upgrades!$U$6,E18),1)*IF(Upgrades!$T$7="Stellar Coupling",POWER(Upgrades!$U$7,F18),1)*IF(Upgrades!$T$9="Stellar Coupling",POWER(Upgrades!$U$9,H18),1)*IF(Upgrades!$T$10="Stellar Coupling",POWER(Upgrades!$U$10,I18),1)*IF(Upgrades!$T$11="Stellar Coupling",POWER(Upgrades!$U$11,J18),1)*IF(Upgrades!$T$12="Stellar Coupling",POWER(Upgrades!$U$12,K18),1))+(IF(H18=0,0,(Upgrades!$G$9+H18*Upgrades!$H$9)*POWER(Upgrades!$I$9,H18)))*(IF(Upgrades!$T$6="Magnetosphere",POWER(Upgrades!$U$6,E18),1)*IF(Upgrades!$T$7="Magnetosphere",POWER(Upgrades!$U$7,F18),1)*IF(Upgrades!$T$8="Magnetosphere",POWER(Upgrades!$U$8,G18),1)*IF(Upgrades!$T$10="Magnetosphere",POWER(Upgrades!$U$10,I18),1)*IF(Upgrades!$T$11="Magnetosphere",POWER(Upgrades!$U$11,J18),1)*IF(Upgrades!$T$12="Magnetosphere",POWER(Upgrades!$U$12,K18),1))+(IF(I18=0,0,(Upgrades!$G$10+I18*Upgrades!$H$10)*POWER(Upgrades!$I$10,I18)))*(IF(Upgrades!$T$6="Orbital Resonance",POWER(Upgrades!$U$6,E18),1)*IF(Upgrades!$T$7="Orbital Resonance",POWER(Upgrades!$U$7,F18),1)*IF(Upgrades!$T$8="Orbital Resonance",POWER(Upgrades!$U$8,G18),1)*IF(Upgrades!$T$9="Orbital Resonance",POWER(Upgrades!$U$9,H18),1)*IF(Upgrades!$T$11="Orbital Resonance",POWER(Upgrades!$U$11,J18),1)*IF(Upgrades!$T$12="Orbital Resonance",POWER(Upgrades!$U$12,K18),1))+(IF(J18=0,0,(Upgrades!$G$11+J18*Upgrades!$H$11)*POWER(Upgrades!$I$11,J18)))*(IF(Upgrades!$T$6="Heliopause",POWER(Upgrades!$U$6,E18),1)*IF(Upgrades!$T$7="Heliopause",POWER(Upgrades!$U$7,F18),1)*IF(Upgrades!$T$8="Heliopause",POWER(Upgrades!$U$8,G18),1)*IF(Upgrades!$T$9="Heliopause",POWER(Upgrades!$U$9,H18),1)*IF(Upgrades!$T$10="Heliopause",POWER(Upgrades!$U$10,I18),1)*IF(Upgrades!$T$12="Heliopause",POWER(Upgrades!$U$12,K18),1))+(IF(K18=0,0,(Upgrades!$G$12+K18*Upgrades!$H$12)*POWER(Upgrades!$I$12,K18)))*(IF(Upgrades!$T$6="First Photons",POWER(Upgrades!$U$6,E18),1)*IF(Upgrades!$T$7="First Photons",POWER(Upgrades!$U$7,F18),1)*IF(Upgrades!$T$8="First Photons",POWER(Upgrades!$U$8,G18),1)*IF(Upgrades!$T$9="First Photons",POWER(Upgrades!$U$9,H18),1)*IF(Upgrades!$T$10="First Photons",POWER(Upgrades!$U$10,I18),1)*IF(Upgrades!$T$11="First Photons",POWER(Upgrades!$U$11,J18),1)))*POWER(Upgrades!$P$6,E18)*POWER(Upgrades!$P$7,F18)*POWER(Upgrades!$P$8,G18)*POWER(Upgrades!$P$9,H18)*POWER(Upgrades!$P$10,I18)*POWER(Upgrades!$P$11,J18)*POWER(Upgrades!$P$12,K18)</f>
        <v>1.84</v>
      </c>
      <c r="O18" s="28" t="n">
        <f aca="false">((IF(E18=0,0,(Upgrades!$M$6+E18*Upgrades!$N$6)*POWER(Upgrades!$O$6,E18)))*(IF(Upgrades!$T$7="Solar Wind",POWER(Upgrades!$U$7,F18),1)*IF(Upgrades!$T$8="Solar Wind",POWER(Upgrades!$U$8,G18),1)*IF(Upgrades!$T$9="Solar Wind",POWER(Upgrades!$U$9,H18),1)*IF(Upgrades!$T$10="Solar Wind",POWER(Upgrades!$U$10,I18),1)*IF(Upgrades!$T$11="Solar Wind",POWER(Upgrades!$U$11,J18),1)*IF(Upgrades!$T$12="Solar Wind",POWER(Upgrades!$U$12,K18),1))+(IF(F18=0,0,(Upgrades!$M$7+F18*Upgrades!$N$7)*POWER(Upgrades!$O$7,F18)))*(IF(Upgrades!$T$6="Asteroid Belt",POWER(Upgrades!$U$6,E18),1)*IF(Upgrades!$T$8="Asteroid Belt",POWER(Upgrades!$U$8,G18),1)*IF(Upgrades!$T$9="Asteroid Belt",POWER(Upgrades!$U$9,H18),1)*IF(Upgrades!$T$10="Asteroid Belt",POWER(Upgrades!$U$10,I18),1)*IF(Upgrades!$T$11="Asteroid Belt",POWER(Upgrades!$U$11,J18),1)*IF(Upgrades!$T$12="Asteroid Belt",POWER(Upgrades!$U$12,K18),1))+(IF(G18=0,0,(Upgrades!$M$8+G18*Upgrades!$N$8)*POWER(Upgrades!$O$8,G18)))*(IF(Upgrades!$T$6="Stellar Coupling",POWER(Upgrades!$U$6,E18),1)*IF(Upgrades!$T$7="Stellar Coupling",POWER(Upgrades!$U$7,F18),1)*IF(Upgrades!$T$9="Stellar Coupling",POWER(Upgrades!$U$9,H18),1)*IF(Upgrades!$T$10="Stellar Coupling",POWER(Upgrades!$U$10,I18),1)*IF(Upgrades!$T$11="Stellar Coupling",POWER(Upgrades!$U$11,J18),1)*IF(Upgrades!$T$12="Stellar Coupling",POWER(Upgrades!$U$12,K18),1))+(IF(H18=0,0,(Upgrades!$M$9+H18*Upgrades!$N$9)*POWER(Upgrades!$O$9,H18)))*(IF(Upgrades!$T$6="Magnetosphere",POWER(Upgrades!$U$6,E18),1)*IF(Upgrades!$T$7="Magnetosphere",POWER(Upgrades!$U$7,F18),1)*IF(Upgrades!$T$8="Magnetosphere",POWER(Upgrades!$U$8,G18),1)*IF(Upgrades!$T$10="Magnetosphere",POWER(Upgrades!$U$10,I18),1)*IF(Upgrades!$T$11="Magnetosphere",POWER(Upgrades!$U$11,J18),1)*IF(Upgrades!$T$12="Magnetosphere",POWER(Upgrades!$U$12,K18),1))+(IF(I18=0,0,(Upgrades!$M$10+I18*Upgrades!$N$10)*POWER(Upgrades!$O$10,I18)))*(IF(Upgrades!$T$6="Orbital Resonance",POWER(Upgrades!$U$6,E18),1)*IF(Upgrades!$T$7="Orbital Resonance",POWER(Upgrades!$U$7,F18),1)*IF(Upgrades!$T$8="Orbital Resonance",POWER(Upgrades!$U$8,G18),1)*IF(Upgrades!$T$9="Orbital Resonance",POWER(Upgrades!$U$9,H18),1)*IF(Upgrades!$T$11="Orbital Resonance",POWER(Upgrades!$U$11,J18),1)*IF(Upgrades!$T$12="Orbital Resonance",POWER(Upgrades!$U$12,K18),1))+(IF(J18=0,0,(Upgrades!$M$11+J18*Upgrades!$N$11)*POWER(Upgrades!$O$11,J18)))*(IF(Upgrades!$T$6="Heliopause",POWER(Upgrades!$U$6,E18),1)*IF(Upgrades!$T$7="Heliopause",POWER(Upgrades!$U$7,F18),1)*IF(Upgrades!$T$8="Heliopause",POWER(Upgrades!$U$8,G18),1)*IF(Upgrades!$T$9="Heliopause",POWER(Upgrades!$U$9,H18),1)*IF(Upgrades!$T$10="Heliopause",POWER(Upgrades!$U$10,I18),1)*IF(Upgrades!$T$12="Heliopause",POWER(Upgrades!$U$12,K18),1))+(IF(K18=0,0,(Upgrades!$M$12+K18*Upgrades!$N$12)*POWER(Upgrades!$O$12,K18)))*(IF(Upgrades!$T$6="First Photons",POWER(Upgrades!$U$6,E18),1)*IF(Upgrades!$T$7="First Photons",POWER(Upgrades!$U$7,F18),1)*IF(Upgrades!$T$8="First Photons",POWER(Upgrades!$U$8,G18),1)*IF(Upgrades!$T$9="First Photons",POWER(Upgrades!$U$9,H18),1)*IF(Upgrades!$T$10="First Photons",POWER(Upgrades!$U$10,I18),1)*IF(Upgrades!$T$11="First Photons",POWER(Upgrades!$U$11,J18),1)))*POWER(Upgrades!$R$6,E18)*POWER(Upgrades!$R$7,F18)*POWER(Upgrades!$R$8,G18)*POWER(Upgrades!$R$9,H18)*POWER(Upgrades!$R$10,I18)*POWER(Upgrades!$R$11,J18)*POWER(Upgrades!$R$12,K18)</f>
        <v>0</v>
      </c>
      <c r="P18" s="27" t="n">
        <f aca="false">IF(L18=1,0,M18*Parameters!$B$10/60*Parameters!$B$11*10)</f>
        <v>40</v>
      </c>
      <c r="Q18" s="27" t="n">
        <f aca="false">IF(L18=1,0,O18*M18*10)</f>
        <v>0</v>
      </c>
      <c r="R18" s="27" t="n">
        <f aca="false">IF(L18=1,0,N18*10)</f>
        <v>18.4</v>
      </c>
      <c r="S18" s="27" t="n">
        <f aca="false">P18+Q18+R18</f>
        <v>58.4</v>
      </c>
      <c r="T18" s="21" t="n">
        <f aca="false">C18+S18</f>
        <v>160.887833333333</v>
      </c>
      <c r="U18" s="34" t="str">
        <f aca="false">AX18</f>
        <v>SW</v>
      </c>
      <c r="V18" s="21" t="n">
        <f aca="false">IF(U18="",0,IF(U18="transition",0,IF(U18="SW",AG18,IF(U18="AB",AH18,IF(U18="SC",AI18,IF(U18="Mag",AJ18,IF(U18="OR",AK18,IF(U18="HP",AL18,IF(U18="FP",AM18,0)))))))))</f>
        <v>10.646125</v>
      </c>
      <c r="W18" s="27" t="n">
        <f aca="false">IF(U18="OR",Upgrades!$F$10,IF(U18="HP",Upgrades!$F$11,IF(U18="transition",-Parameters!$B$18,0)))</f>
        <v>0</v>
      </c>
      <c r="X18" s="21" t="n">
        <f aca="false">T18-V18</f>
        <v>150.241708333333</v>
      </c>
      <c r="Y18" s="30" t="n">
        <f aca="false">M18*Parameters!$B$10/60*Parameters!$B$11+O18*M18+N18</f>
        <v>5.84</v>
      </c>
      <c r="Z18" s="35" t="str">
        <f aca="false">IF(U18="transition","→ Tier 2 (Stellar Neighborhood)",IF(U18="FP","First Photons — light begins, system quickens",IF(U18="HP","Heliopause acquired",IF(U18="OR","Orbital Resonance — passive multiplier active",IF(AND(AO18=1,L18=0,AN18&lt;&gt;1),"Cohesion ready (waiting on completionist upgrades)","")))))</f>
        <v/>
      </c>
      <c r="AA18" s="27" t="n">
        <f aca="false">(IF(E18=0,0,(Upgrades!$G$6+E18*Upgrades!$H$6)*POWER(Upgrades!$I$6,E18)))*(IF(Upgrades!$T$7="Solar Wind",POWER(Upgrades!$U$7,F18),1)*IF(Upgrades!$T$8="Solar Wind",POWER(Upgrades!$U$8,G18),1)*IF(Upgrades!$T$9="Solar Wind",POWER(Upgrades!$U$9,H18),1)*IF(Upgrades!$T$10="Solar Wind",POWER(Upgrades!$U$10,I18),1)*IF(Upgrades!$T$11="Solar Wind",POWER(Upgrades!$U$11,J18),1)*IF(Upgrades!$T$12="Solar Wind",POWER(Upgrades!$U$12,K18),1))*POWER(Upgrades!$P$6,E18)*POWER(Upgrades!$P$7,F18)*POWER(Upgrades!$P$8,G18)*POWER(Upgrades!$P$9,H18)*POWER(Upgrades!$P$10,I18)*POWER(Upgrades!$P$11,J18)*POWER(Upgrades!$P$12,K18)*60</f>
        <v>14.4</v>
      </c>
      <c r="AB18" s="27" t="n">
        <f aca="false">(IF(F18=0,0,(Upgrades!$G$7+F18*Upgrades!$H$7)*POWER(Upgrades!$I$7,F18)))*(IF(Upgrades!$T$6="Asteroid Belt",POWER(Upgrades!$U$6,E18),1)*IF(Upgrades!$T$8="Asteroid Belt",POWER(Upgrades!$U$8,G18),1)*IF(Upgrades!$T$9="Asteroid Belt",POWER(Upgrades!$U$9,H18),1)*IF(Upgrades!$T$10="Asteroid Belt",POWER(Upgrades!$U$10,I18),1)*IF(Upgrades!$T$11="Asteroid Belt",POWER(Upgrades!$U$11,J18),1)*IF(Upgrades!$T$12="Asteroid Belt",POWER(Upgrades!$U$12,K18),1))*POWER(Upgrades!$P$6,E18)*POWER(Upgrades!$P$7,F18)*POWER(Upgrades!$P$8,G18)*POWER(Upgrades!$P$9,H18)*POWER(Upgrades!$P$10,I18)*POWER(Upgrades!$P$11,J18)*POWER(Upgrades!$P$12,K18)*60</f>
        <v>36</v>
      </c>
      <c r="AC18" s="27" t="n">
        <f aca="false">(IF(G18=0,0,(Upgrades!$J$8+G18*Upgrades!$K$8)*POWER(Upgrades!$L$8,G18)))*(IF(Upgrades!$T$6="Stellar Coupling",POWER(Upgrades!$U$6,E18),1)*IF(Upgrades!$T$7="Stellar Coupling",POWER(Upgrades!$U$7,F18),1)*IF(Upgrades!$T$9="Stellar Coupling",POWER(Upgrades!$U$9,H18),1)*IF(Upgrades!$T$10="Stellar Coupling",POWER(Upgrades!$U$10,I18),1)*IF(Upgrades!$T$11="Stellar Coupling",POWER(Upgrades!$U$11,J18),1)*IF(Upgrades!$T$12="Stellar Coupling",POWER(Upgrades!$U$12,K18),1))*POWER(Upgrades!$Q$6,E18)*POWER(Upgrades!$Q$7,F18)*POWER(Upgrades!$Q$8,G18)*POWER(Upgrades!$Q$9,H18)*POWER(Upgrades!$Q$10,I18)*POWER(Upgrades!$Q$11,J18)*POWER(Upgrades!$Q$12,K18)*Parameters!$B$10*Parameters!$B$11</f>
        <v>140</v>
      </c>
      <c r="AD18" s="27" t="n">
        <f aca="false">(IF(H18=0,0,(Upgrades!$G$9+H18*Upgrades!$H$9)*POWER(Upgrades!$I$9,H18)))*(IF(Upgrades!$T$6="Magnetosphere",POWER(Upgrades!$U$6,E18),1)*IF(Upgrades!$T$7="Magnetosphere",POWER(Upgrades!$U$7,F18),1)*IF(Upgrades!$T$8="Magnetosphere",POWER(Upgrades!$U$8,G18),1)*IF(Upgrades!$T$10="Magnetosphere",POWER(Upgrades!$U$10,I18),1)*IF(Upgrades!$T$11="Magnetosphere",POWER(Upgrades!$U$11,J18),1)*IF(Upgrades!$T$12="Magnetosphere",POWER(Upgrades!$U$12,K18),1))*POWER(Upgrades!$P$6,E18)*POWER(Upgrades!$P$7,F18)*POWER(Upgrades!$P$8,G18)*POWER(Upgrades!$P$9,H18)*POWER(Upgrades!$P$10,I18)*POWER(Upgrades!$P$11,J18)*POWER(Upgrades!$P$12,K18)*60</f>
        <v>60</v>
      </c>
      <c r="AE18" s="27" t="n">
        <f aca="false">(IF(K18=0,0,(Upgrades!$G$12+K18*Upgrades!$H$12)*POWER(Upgrades!$I$12,K18)))*(IF(Upgrades!$T$6="First Photons",POWER(Upgrades!$U$6,E18),1)*IF(Upgrades!$T$7="First Photons",POWER(Upgrades!$U$7,F18),1)*IF(Upgrades!$T$8="First Photons",POWER(Upgrades!$U$8,G18),1)*IF(Upgrades!$T$9="First Photons",POWER(Upgrades!$U$9,H18),1)*IF(Upgrades!$T$10="First Photons",POWER(Upgrades!$U$10,I18),1)*IF(Upgrades!$T$11="First Photons",POWER(Upgrades!$U$11,J18),1))*POWER(Upgrades!$P$6,E18)*POWER(Upgrades!$P$7,F18)*POWER(Upgrades!$P$8,G18)*POWER(Upgrades!$P$9,H18)*POWER(Upgrades!$P$10,I18)*POWER(Upgrades!$P$11,J18)*POWER(Upgrades!$P$12,K18)*60</f>
        <v>0</v>
      </c>
      <c r="AF18" s="27" t="n">
        <f aca="false">Parameters!$B$9*POWER(Upgrades!$Q$6,E18)*POWER(Upgrades!$Q$7,F18)*POWER(Upgrades!$Q$8,G18)*POWER(Upgrades!$Q$9,H18)*POWER(Upgrades!$Q$10,I18)*POWER(Upgrades!$Q$11,J18)*POWER(Upgrades!$Q$12,K18)*(Parameters!$B$10*Parameters!$B$11+O18*60)</f>
        <v>100</v>
      </c>
      <c r="AG18" s="21" t="n">
        <f aca="false">IF(E18&gt;=Upgrades!$E$6,"",Upgrades!$C$6*POWER(Upgrades!$D$6,E18))</f>
        <v>10.646125</v>
      </c>
      <c r="AH18" s="21" t="n">
        <f aca="false">IF(F18&gt;=Upgrades!$E$7,"",Upgrades!$C$7*POWER(Upgrades!$D$7,F18))</f>
        <v>30.4175</v>
      </c>
      <c r="AI18" s="21" t="n">
        <f aca="false">IF(G18&gt;=Upgrades!$E$8,"",Upgrades!$C$8*POWER(Upgrades!$D$8,G18))</f>
        <v>84.5152</v>
      </c>
      <c r="AJ18" s="21" t="n">
        <f aca="false">IF(H18&gt;=Upgrades!$E$9,"",Upgrades!$C$9*POWER(Upgrades!$D$9,H18))</f>
        <v>160</v>
      </c>
      <c r="AK18" s="21" t="n">
        <f aca="false">IF(I18&gt;=Upgrades!$E$10,"",Upgrades!$C$10*POWER(Upgrades!$D$10,I18))</f>
        <v>240</v>
      </c>
      <c r="AL18" s="21" t="n">
        <f aca="false">IF(J18&gt;=Upgrades!$E$11,"",Upgrades!$C$11*POWER(Upgrades!$D$11,J18))</f>
        <v>575</v>
      </c>
      <c r="AM18" s="21" t="n">
        <f aca="false">IF(K18&gt;=Upgrades!$E$12,"",Upgrades!$C$12*POWER(Upgrades!$D$12,K18))</f>
        <v>850</v>
      </c>
      <c r="AN18" s="26" t="str">
        <f aca="false">IF(AND(D18&gt;=Parameters!$B$18,(H18&gt;=Upgrades!$E$9)*(K18&gt;=Upgrades!$E$12)=1,L18=0),1,"")</f>
        <v/>
      </c>
      <c r="AO18" s="26" t="str">
        <f aca="false">IF(AND(D18&gt;=Parameters!$B$18,L18=0),1,"")</f>
        <v/>
      </c>
      <c r="AP18" s="21" t="n">
        <f aca="false">MIN(IF(ISNUMBER(AK18),AK18,9000000000000000),IF(ISNUMBER(AL18),AL18,9000000000000000),IF(ISNUMBER(AM18),AM18,9000000000000000))</f>
        <v>240</v>
      </c>
      <c r="AQ18" s="21" t="n">
        <f aca="false">MIN(IF(ISNUMBER(AG18),AG18,9000000000000000),IF(ISNUMBER(AH18),AH18,9000000000000000),IF(ISNUMBER(AI18),AI18,9000000000000000),IF(ISNUMBER(AJ18),AJ18,9000000000000000))</f>
        <v>10.646125</v>
      </c>
      <c r="AR18" s="32" t="b">
        <f aca="false">IF(AW18&gt;Parameters!$B$21*(MAX(IF(AND(NOT(AND(AO18=1,AN18&lt;&gt;1)),ISNUMBER(AG18),AG18&lt;=T18),AS18,0),IF(AND(NOT(AND(AO18=1,AN18&lt;&gt;1)),ISNUMBER(AH18),AH18&lt;=T18),AT18,0),IF(AND(NOT(AND(AO18=1,AN18&lt;&gt;1)),ISNUMBER(AI18),AI18&lt;=T18),AU18,0),IF(AND(ISNUMBER(AJ18),AJ18&lt;=T18),AV18,0))),TRUE(),FALSE())</f>
        <v>0</v>
      </c>
      <c r="AS18" s="33" t="n">
        <f aca="false">IFERROR(Upgrades!$H$6*(POWER(Upgrades!$P$6,E18)*POWER(Upgrades!$P$7,F18)*POWER(Upgrades!$P$8,G18)*POWER(Upgrades!$P$9,H18)*POWER(Upgrades!$P$10,I18)*POWER(Upgrades!$P$11,J18)*POWER(Upgrades!$P$12,K18))*(IF(Upgrades!$T$7="Solar Wind",POWER(Upgrades!$U$7,F18),1)*IF(Upgrades!$T$8="Solar Wind",POWER(Upgrades!$U$8,G18),1)*IF(Upgrades!$T$9="Solar Wind",POWER(Upgrades!$U$9,H18),1)*IF(Upgrades!$T$10="Solar Wind",POWER(Upgrades!$U$10,I18),1)*IF(Upgrades!$T$11="Solar Wind",POWER(Upgrades!$U$11,J18),1)*IF(Upgrades!$T$12="Solar Wind",POWER(Upgrades!$U$12,K18),1))/AG18,0)</f>
        <v>0.00751447122779415</v>
      </c>
      <c r="AT18" s="33" t="n">
        <f aca="false">IFERROR(Upgrades!$H$7*(POWER(Upgrades!$P$6,E18)*POWER(Upgrades!$P$7,F18)*POWER(Upgrades!$P$8,G18)*POWER(Upgrades!$P$9,H18)*POWER(Upgrades!$P$10,I18)*POWER(Upgrades!$P$11,J18)*POWER(Upgrades!$P$12,K18))*(IF(Upgrades!$T$6="Asteroid Belt",POWER(Upgrades!$U$6,E18),1)*IF(Upgrades!$T$8="Asteroid Belt",POWER(Upgrades!$U$8,G18),1)*IF(Upgrades!$T$9="Asteroid Belt",POWER(Upgrades!$U$9,H18),1)*IF(Upgrades!$T$10="Asteroid Belt",POWER(Upgrades!$U$10,I18),1)*IF(Upgrades!$T$11="Asteroid Belt",POWER(Upgrades!$U$11,J18),1)*IF(Upgrades!$T$12="Asteroid Belt",POWER(Upgrades!$U$12,K18),1))/AH18,0)</f>
        <v>0.00657516232431988</v>
      </c>
      <c r="AU18" s="33" t="n">
        <f aca="false">IFERROR(Upgrades!$K$8*(POWER(Upgrades!$Q$6,E18)*POWER(Upgrades!$Q$7,F18)*POWER(Upgrades!$Q$8,G18)*POWER(Upgrades!$Q$9,H18)*POWER(Upgrades!$Q$10,I18)*POWER(Upgrades!$Q$11,J18)*POWER(Upgrades!$Q$12,K18))*(IF(Upgrades!$T$6="Stellar Coupling",POWER(Upgrades!$U$6,E18),1)*IF(Upgrades!$T$7="Stellar Coupling",POWER(Upgrades!$U$7,F18),1)*IF(Upgrades!$T$9="Stellar Coupling",POWER(Upgrades!$U$9,H18),1)*IF(Upgrades!$T$10="Stellar Coupling",POWER(Upgrades!$U$10,I18),1)*IF(Upgrades!$T$11="Stellar Coupling",POWER(Upgrades!$U$11,J18),1)*IF(Upgrades!$T$12="Stellar Coupling",POWER(Upgrades!$U$12,K18),1))*Parameters!$B$10*Parameters!$B$11/60/AI18,0)</f>
        <v>0.00690211149394823</v>
      </c>
      <c r="AV18" s="33" t="n">
        <f aca="false">IFERROR(Upgrades!$H$9*(POWER(Upgrades!$P$6,E18)*POWER(Upgrades!$P$7,F18)*POWER(Upgrades!$P$8,G18)*POWER(Upgrades!$P$9,H18)*POWER(Upgrades!$P$10,I18)*POWER(Upgrades!$P$11,J18)*POWER(Upgrades!$P$12,K18))*(IF(Upgrades!$T$6="Magnetosphere",POWER(Upgrades!$U$6,E18),1)*IF(Upgrades!$T$7="Magnetosphere",POWER(Upgrades!$U$7,F18),1)*IF(Upgrades!$T$8="Magnetosphere",POWER(Upgrades!$U$8,G18),1)*IF(Upgrades!$T$10="Magnetosphere",POWER(Upgrades!$U$10,I18),1)*IF(Upgrades!$T$11="Magnetosphere",POWER(Upgrades!$U$11,J18),1)*IF(Upgrades!$T$12="Magnetosphere",POWER(Upgrades!$U$12,K18),1))/AJ18,0)</f>
        <v>0.00625</v>
      </c>
      <c r="AW18" s="33" t="n">
        <f aca="false">MAX(IF(I18&gt;0,0,IFERROR(0.25*N18/Upgrades!$C$10,0)),IF(J18&gt;0,0,IFERROR(0.5*((IF(G18=0,0,(Upgrades!$J$8+G18*Upgrades!$K$8)*POWER(Upgrades!$L$8,G18)))*(IF(Upgrades!$T$6="Stellar Coupling",POWER(Upgrades!$U$6,E18),1)*IF(Upgrades!$T$7="Stellar Coupling",POWER(Upgrades!$U$7,F18),1)*IF(Upgrades!$T$9="Stellar Coupling",POWER(Upgrades!$U$9,H18),1)*IF(Upgrades!$T$10="Stellar Coupling",POWER(Upgrades!$U$10,I18),1)*IF(Upgrades!$T$11="Stellar Coupling",POWER(Upgrades!$U$11,J18),1)*IF(Upgrades!$T$12="Stellar Coupling",POWER(Upgrades!$U$12,K18),1))*(POWER(Upgrades!$Q$6,E18)*POWER(Upgrades!$Q$7,F18)*POWER(Upgrades!$Q$8,G18)*POWER(Upgrades!$Q$9,H18)*POWER(Upgrades!$Q$10,I18)*POWER(Upgrades!$Q$11,J18)*POWER(Upgrades!$Q$12,K18))*Parameters!$B$10*Parameters!$B$11/60)/Upgrades!$C$11,0)),IF(K18&gt;0,0,IFERROR((1*(POWER(Upgrades!$P$6,E18)*POWER(Upgrades!$P$7,F18)*POWER(Upgrades!$P$8,G18)*POWER(Upgrades!$P$9,H18)*POWER(Upgrades!$P$10,I18)*POWER(Upgrades!$P$11,J18)*POWER(Upgrades!$P$12,K18))+0.2*M18*Parameters!$B$10*Parameters!$B$11/60)/Upgrades!$C$12,0)),IF(AND(ISNUMBER(AG18),AG18&gt;T18),AS18,0),IF(AND(ISNUMBER(AH18),AH18&gt;T18),AT18,0),IF(AND(ISNUMBER(AI18),AI18&gt;T18),AU18,0),IF(AND(ISNUMBER(AJ18),AJ18&gt;T18),AV18,0))</f>
        <v>0.00211764705882353</v>
      </c>
      <c r="AX18" s="29" t="str">
        <f aca="false">IF(AN18=1,"transition",IF(MIN(IF(AND(I18=0,ISNUMBER(AK18),AK18&lt;=T18),AK18,9000000000000000),IF(AND(J18=0,ISNUMBER(AL18),AL18&lt;=T18),AL18,9000000000000000),IF(AND(K18=0,ISNUMBER(AM18),AM18&lt;=T18),AM18,9000000000000000))&lt;9000000000000000,IF(AND(AND(I18=0,ISNUMBER(AK18),AK18&lt;=T18),AK18=MIN(IF(AND(I18=0,ISNUMBER(AK18),AK18&lt;=T18),AK18,9000000000000000),IF(AND(J18=0,ISNUMBER(AL18),AL18&lt;=T18),AL18,9000000000000000),IF(AND(K18=0,ISNUMBER(AM18),AM18&lt;=T18),AM18,9000000000000000))),"OR",IF(AND(AND(J18=0,ISNUMBER(AL18),AL18&lt;=T18),AL18=MIN(IF(AND(I18=0,ISNUMBER(AK18),AK18&lt;=T18),AK18,9000000000000000),IF(AND(J18=0,ISNUMBER(AL18),AL18&lt;=T18),AL18,9000000000000000),IF(AND(K18=0,ISNUMBER(AM18),AM18&lt;=T18),AM18,9000000000000000))),"HP","FP")),IF(AR18=TRUE(),"",IF(MAX(IF(AND(NOT(AND(AO18=1,AN18&lt;&gt;1)),ISNUMBER(AG18),AG18&lt;=T18),AS18,0),IF(AND(NOT(AND(AO18=1,AN18&lt;&gt;1)),ISNUMBER(AH18),AH18&lt;=T18),AT18,0),IF(AND(NOT(AND(AO18=1,AN18&lt;&gt;1)),ISNUMBER(AI18),AI18&lt;=T18),AU18,0),IF(AND(ISNUMBER(AJ18),AJ18&lt;=T18),AV18,0))&lt;=0,"",IF(AND(IF(AND(NOT(AND(AO18=1,AN18&lt;&gt;1)),ISNUMBER(AG18),AG18&lt;=T18),AS18,0)&gt;0,IF(AND(NOT(AND(AO18=1,AN18&lt;&gt;1)),ISNUMBER(AG18),AG18&lt;=T18),AS18,0)=MAX(IF(AND(NOT(AND(AO18=1,AN18&lt;&gt;1)),ISNUMBER(AG18),AG18&lt;=T18),AS18,0),IF(AND(NOT(AND(AO18=1,AN18&lt;&gt;1)),ISNUMBER(AH18),AH18&lt;=T18),AT18,0),IF(AND(NOT(AND(AO18=1,AN18&lt;&gt;1)),ISNUMBER(AI18),AI18&lt;=T18),AU18,0),IF(AND(ISNUMBER(AJ18),AJ18&lt;=T18),AV18,0))),"SW",IF(AND(IF(AND(NOT(AND(AO18=1,AN18&lt;&gt;1)),ISNUMBER(AH18),AH18&lt;=T18),AT18,0)&gt;0,IF(AND(NOT(AND(AO18=1,AN18&lt;&gt;1)),ISNUMBER(AH18),AH18&lt;=T18),AT18,0)=MAX(IF(AND(NOT(AND(AO18=1,AN18&lt;&gt;1)),ISNUMBER(AG18),AG18&lt;=T18),AS18,0),IF(AND(NOT(AND(AO18=1,AN18&lt;&gt;1)),ISNUMBER(AH18),AH18&lt;=T18),AT18,0),IF(AND(NOT(AND(AO18=1,AN18&lt;&gt;1)),ISNUMBER(AI18),AI18&lt;=T18),AU18,0),IF(AND(ISNUMBER(AJ18),AJ18&lt;=T18),AV18,0))),"AB",IF(AND(IF(AND(NOT(AND(AO18=1,AN18&lt;&gt;1)),ISNUMBER(AI18),AI18&lt;=T18),AU18,0)&gt;0,IF(AND(NOT(AND(AO18=1,AN18&lt;&gt;1)),ISNUMBER(AI18),AI18&lt;=T18),AU18,0)=MAX(IF(AND(NOT(AND(AO18=1,AN18&lt;&gt;1)),ISNUMBER(AG18),AG18&lt;=T18),AS18,0),IF(AND(NOT(AND(AO18=1,AN18&lt;&gt;1)),ISNUMBER(AH18),AH18&lt;=T18),AT18,0),IF(AND(NOT(AND(AO18=1,AN18&lt;&gt;1)),ISNUMBER(AI18),AI18&lt;=T18),AU18,0),IF(AND(ISNUMBER(AJ18),AJ18&lt;=T18),AV18,0))),"SC","Mag")))))))</f>
        <v>SW</v>
      </c>
    </row>
    <row r="19" customFormat="false" ht="15" hidden="false" customHeight="false" outlineLevel="0" collapsed="false">
      <c r="A19" s="26" t="n">
        <v>14</v>
      </c>
      <c r="B19" s="27" t="n">
        <f aca="false">A19*10/60</f>
        <v>2.33333333333333</v>
      </c>
      <c r="C19" s="21" t="n">
        <f aca="false">X18</f>
        <v>150.241708333333</v>
      </c>
      <c r="D19" s="27" t="n">
        <f aca="false">D18+W18</f>
        <v>0</v>
      </c>
      <c r="E19" s="26" t="n">
        <f aca="false">E18+IF(U18="SW",1,0)</f>
        <v>4</v>
      </c>
      <c r="F19" s="26" t="n">
        <f aca="false">F18+IF(U18="AB",1,0)</f>
        <v>3</v>
      </c>
      <c r="G19" s="26" t="n">
        <f aca="false">G18+IF(U18="SC",1,0)</f>
        <v>4</v>
      </c>
      <c r="H19" s="26" t="n">
        <f aca="false">H18+IF(U18="Mag",1,0)</f>
        <v>1</v>
      </c>
      <c r="I19" s="26" t="n">
        <f aca="false">MAX(I18,IF(U18="OR",1,0))</f>
        <v>0</v>
      </c>
      <c r="J19" s="26" t="n">
        <f aca="false">MAX(J18,IF(U18="HP",1,0))</f>
        <v>0</v>
      </c>
      <c r="K19" s="26" t="n">
        <f aca="false">MAX(K18,IF(U18="FP",1,0))</f>
        <v>0</v>
      </c>
      <c r="L19" s="26" t="n">
        <f aca="false">MAX(L18,IF(U18="transition",1,0))</f>
        <v>0</v>
      </c>
      <c r="M19" s="28" t="n">
        <f aca="false">(Parameters!$B$9+(IF(E19=0,0,(Upgrades!$J$6+E19*Upgrades!$K$6)*POWER(Upgrades!$L$6,E19)))*(IF(Upgrades!$T$7="Solar Wind",POWER(Upgrades!$U$7,F19),1)*IF(Upgrades!$T$8="Solar Wind",POWER(Upgrades!$U$8,G19),1)*IF(Upgrades!$T$9="Solar Wind",POWER(Upgrades!$U$9,H19),1)*IF(Upgrades!$T$10="Solar Wind",POWER(Upgrades!$U$10,I19),1)*IF(Upgrades!$T$11="Solar Wind",POWER(Upgrades!$U$11,J19),1)*IF(Upgrades!$T$12="Solar Wind",POWER(Upgrades!$U$12,K19),1))+(IF(F19=0,0,(Upgrades!$J$7+F19*Upgrades!$K$7)*POWER(Upgrades!$L$7,F19)))*(IF(Upgrades!$T$6="Asteroid Belt",POWER(Upgrades!$U$6,E19),1)*IF(Upgrades!$T$8="Asteroid Belt",POWER(Upgrades!$U$8,G19),1)*IF(Upgrades!$T$9="Asteroid Belt",POWER(Upgrades!$U$9,H19),1)*IF(Upgrades!$T$10="Asteroid Belt",POWER(Upgrades!$U$10,I19),1)*IF(Upgrades!$T$11="Asteroid Belt",POWER(Upgrades!$U$11,J19),1)*IF(Upgrades!$T$12="Asteroid Belt",POWER(Upgrades!$U$12,K19),1))+(IF(G19=0,0,(Upgrades!$J$8+G19*Upgrades!$K$8)*POWER(Upgrades!$L$8,G19)))*(IF(Upgrades!$T$6="Stellar Coupling",POWER(Upgrades!$U$6,E19),1)*IF(Upgrades!$T$7="Stellar Coupling",POWER(Upgrades!$U$7,F19),1)*IF(Upgrades!$T$9="Stellar Coupling",POWER(Upgrades!$U$9,H19),1)*IF(Upgrades!$T$10="Stellar Coupling",POWER(Upgrades!$U$10,I19),1)*IF(Upgrades!$T$11="Stellar Coupling",POWER(Upgrades!$U$11,J19),1)*IF(Upgrades!$T$12="Stellar Coupling",POWER(Upgrades!$U$12,K19),1))+(IF(H19=0,0,(Upgrades!$J$9+H19*Upgrades!$K$9)*POWER(Upgrades!$L$9,H19)))*(IF(Upgrades!$T$6="Magnetosphere",POWER(Upgrades!$U$6,E19),1)*IF(Upgrades!$T$7="Magnetosphere",POWER(Upgrades!$U$7,F19),1)*IF(Upgrades!$T$8="Magnetosphere",POWER(Upgrades!$U$8,G19),1)*IF(Upgrades!$T$10="Magnetosphere",POWER(Upgrades!$U$10,I19),1)*IF(Upgrades!$T$11="Magnetosphere",POWER(Upgrades!$U$11,J19),1)*IF(Upgrades!$T$12="Magnetosphere",POWER(Upgrades!$U$12,K19),1))+(IF(I19=0,0,(Upgrades!$J$10+I19*Upgrades!$K$10)*POWER(Upgrades!$L$10,I19)))*(IF(Upgrades!$T$6="Orbital Resonance",POWER(Upgrades!$U$6,E19),1)*IF(Upgrades!$T$7="Orbital Resonance",POWER(Upgrades!$U$7,F19),1)*IF(Upgrades!$T$8="Orbital Resonance",POWER(Upgrades!$U$8,G19),1)*IF(Upgrades!$T$9="Orbital Resonance",POWER(Upgrades!$U$9,H19),1)*IF(Upgrades!$T$11="Orbital Resonance",POWER(Upgrades!$U$11,J19),1)*IF(Upgrades!$T$12="Orbital Resonance",POWER(Upgrades!$U$12,K19),1))+(IF(J19=0,0,(Upgrades!$J$11+J19*Upgrades!$K$11)*POWER(Upgrades!$L$11,J19)))*(IF(Upgrades!$T$6="Heliopause",POWER(Upgrades!$U$6,E19),1)*IF(Upgrades!$T$7="Heliopause",POWER(Upgrades!$U$7,F19),1)*IF(Upgrades!$T$8="Heliopause",POWER(Upgrades!$U$8,G19),1)*IF(Upgrades!$T$9="Heliopause",POWER(Upgrades!$U$9,H19),1)*IF(Upgrades!$T$10="Heliopause",POWER(Upgrades!$U$10,I19),1)*IF(Upgrades!$T$12="Heliopause",POWER(Upgrades!$U$12,K19),1))+(IF(K19=0,0,(Upgrades!$J$12+K19*Upgrades!$K$12)*POWER(Upgrades!$L$12,K19)))*(IF(Upgrades!$T$6="First Photons",POWER(Upgrades!$U$6,E19),1)*IF(Upgrades!$T$7="First Photons",POWER(Upgrades!$U$7,F19),1)*IF(Upgrades!$T$8="First Photons",POWER(Upgrades!$U$8,G19),1)*IF(Upgrades!$T$9="First Photons",POWER(Upgrades!$U$9,H19),1)*IF(Upgrades!$T$10="First Photons",POWER(Upgrades!$U$10,I19),1)*IF(Upgrades!$T$11="First Photons",POWER(Upgrades!$U$11,J19),1)))*POWER(Upgrades!$Q$6,E19)*POWER(Upgrades!$Q$7,F19)*POWER(Upgrades!$Q$8,G19)*POWER(Upgrades!$Q$9,H19)*POWER(Upgrades!$Q$10,I19)*POWER(Upgrades!$Q$11,J19)*POWER(Upgrades!$Q$12,K19)</f>
        <v>2.4</v>
      </c>
      <c r="N19" s="28" t="n">
        <f aca="false">((IF(E19=0,0,(Upgrades!$G$6+E19*Upgrades!$H$6)*POWER(Upgrades!$I$6,E19)))*(IF(Upgrades!$T$7="Solar Wind",POWER(Upgrades!$U$7,F19),1)*IF(Upgrades!$T$8="Solar Wind",POWER(Upgrades!$U$8,G19),1)*IF(Upgrades!$T$9="Solar Wind",POWER(Upgrades!$U$9,H19),1)*IF(Upgrades!$T$10="Solar Wind",POWER(Upgrades!$U$10,I19),1)*IF(Upgrades!$T$11="Solar Wind",POWER(Upgrades!$U$11,J19),1)*IF(Upgrades!$T$12="Solar Wind",POWER(Upgrades!$U$12,K19),1))+(IF(F19=0,0,(Upgrades!$G$7+F19*Upgrades!$H$7)*POWER(Upgrades!$I$7,F19)))*(IF(Upgrades!$T$6="Asteroid Belt",POWER(Upgrades!$U$6,E19),1)*IF(Upgrades!$T$8="Asteroid Belt",POWER(Upgrades!$U$8,G19),1)*IF(Upgrades!$T$9="Asteroid Belt",POWER(Upgrades!$U$9,H19),1)*IF(Upgrades!$T$10="Asteroid Belt",POWER(Upgrades!$U$10,I19),1)*IF(Upgrades!$T$11="Asteroid Belt",POWER(Upgrades!$U$11,J19),1)*IF(Upgrades!$T$12="Asteroid Belt",POWER(Upgrades!$U$12,K19),1))+(IF(G19=0,0,(Upgrades!$G$8+G19*Upgrades!$H$8)*POWER(Upgrades!$I$8,G19)))*(IF(Upgrades!$T$6="Stellar Coupling",POWER(Upgrades!$U$6,E19),1)*IF(Upgrades!$T$7="Stellar Coupling",POWER(Upgrades!$U$7,F19),1)*IF(Upgrades!$T$9="Stellar Coupling",POWER(Upgrades!$U$9,H19),1)*IF(Upgrades!$T$10="Stellar Coupling",POWER(Upgrades!$U$10,I19),1)*IF(Upgrades!$T$11="Stellar Coupling",POWER(Upgrades!$U$11,J19),1)*IF(Upgrades!$T$12="Stellar Coupling",POWER(Upgrades!$U$12,K19),1))+(IF(H19=0,0,(Upgrades!$G$9+H19*Upgrades!$H$9)*POWER(Upgrades!$I$9,H19)))*(IF(Upgrades!$T$6="Magnetosphere",POWER(Upgrades!$U$6,E19),1)*IF(Upgrades!$T$7="Magnetosphere",POWER(Upgrades!$U$7,F19),1)*IF(Upgrades!$T$8="Magnetosphere",POWER(Upgrades!$U$8,G19),1)*IF(Upgrades!$T$10="Magnetosphere",POWER(Upgrades!$U$10,I19),1)*IF(Upgrades!$T$11="Magnetosphere",POWER(Upgrades!$U$11,J19),1)*IF(Upgrades!$T$12="Magnetosphere",POWER(Upgrades!$U$12,K19),1))+(IF(I19=0,0,(Upgrades!$G$10+I19*Upgrades!$H$10)*POWER(Upgrades!$I$10,I19)))*(IF(Upgrades!$T$6="Orbital Resonance",POWER(Upgrades!$U$6,E19),1)*IF(Upgrades!$T$7="Orbital Resonance",POWER(Upgrades!$U$7,F19),1)*IF(Upgrades!$T$8="Orbital Resonance",POWER(Upgrades!$U$8,G19),1)*IF(Upgrades!$T$9="Orbital Resonance",POWER(Upgrades!$U$9,H19),1)*IF(Upgrades!$T$11="Orbital Resonance",POWER(Upgrades!$U$11,J19),1)*IF(Upgrades!$T$12="Orbital Resonance",POWER(Upgrades!$U$12,K19),1))+(IF(J19=0,0,(Upgrades!$G$11+J19*Upgrades!$H$11)*POWER(Upgrades!$I$11,J19)))*(IF(Upgrades!$T$6="Heliopause",POWER(Upgrades!$U$6,E19),1)*IF(Upgrades!$T$7="Heliopause",POWER(Upgrades!$U$7,F19),1)*IF(Upgrades!$T$8="Heliopause",POWER(Upgrades!$U$8,G19),1)*IF(Upgrades!$T$9="Heliopause",POWER(Upgrades!$U$9,H19),1)*IF(Upgrades!$T$10="Heliopause",POWER(Upgrades!$U$10,I19),1)*IF(Upgrades!$T$12="Heliopause",POWER(Upgrades!$U$12,K19),1))+(IF(K19=0,0,(Upgrades!$G$12+K19*Upgrades!$H$12)*POWER(Upgrades!$I$12,K19)))*(IF(Upgrades!$T$6="First Photons",POWER(Upgrades!$U$6,E19),1)*IF(Upgrades!$T$7="First Photons",POWER(Upgrades!$U$7,F19),1)*IF(Upgrades!$T$8="First Photons",POWER(Upgrades!$U$8,G19),1)*IF(Upgrades!$T$9="First Photons",POWER(Upgrades!$U$9,H19),1)*IF(Upgrades!$T$10="First Photons",POWER(Upgrades!$U$10,I19),1)*IF(Upgrades!$T$11="First Photons",POWER(Upgrades!$U$11,J19),1)))*POWER(Upgrades!$P$6,E19)*POWER(Upgrades!$P$7,F19)*POWER(Upgrades!$P$8,G19)*POWER(Upgrades!$P$9,H19)*POWER(Upgrades!$P$10,I19)*POWER(Upgrades!$P$11,J19)*POWER(Upgrades!$P$12,K19)</f>
        <v>1.92</v>
      </c>
      <c r="O19" s="28" t="n">
        <f aca="false">((IF(E19=0,0,(Upgrades!$M$6+E19*Upgrades!$N$6)*POWER(Upgrades!$O$6,E19)))*(IF(Upgrades!$T$7="Solar Wind",POWER(Upgrades!$U$7,F19),1)*IF(Upgrades!$T$8="Solar Wind",POWER(Upgrades!$U$8,G19),1)*IF(Upgrades!$T$9="Solar Wind",POWER(Upgrades!$U$9,H19),1)*IF(Upgrades!$T$10="Solar Wind",POWER(Upgrades!$U$10,I19),1)*IF(Upgrades!$T$11="Solar Wind",POWER(Upgrades!$U$11,J19),1)*IF(Upgrades!$T$12="Solar Wind",POWER(Upgrades!$U$12,K19),1))+(IF(F19=0,0,(Upgrades!$M$7+F19*Upgrades!$N$7)*POWER(Upgrades!$O$7,F19)))*(IF(Upgrades!$T$6="Asteroid Belt",POWER(Upgrades!$U$6,E19),1)*IF(Upgrades!$T$8="Asteroid Belt",POWER(Upgrades!$U$8,G19),1)*IF(Upgrades!$T$9="Asteroid Belt",POWER(Upgrades!$U$9,H19),1)*IF(Upgrades!$T$10="Asteroid Belt",POWER(Upgrades!$U$10,I19),1)*IF(Upgrades!$T$11="Asteroid Belt",POWER(Upgrades!$U$11,J19),1)*IF(Upgrades!$T$12="Asteroid Belt",POWER(Upgrades!$U$12,K19),1))+(IF(G19=0,0,(Upgrades!$M$8+G19*Upgrades!$N$8)*POWER(Upgrades!$O$8,G19)))*(IF(Upgrades!$T$6="Stellar Coupling",POWER(Upgrades!$U$6,E19),1)*IF(Upgrades!$T$7="Stellar Coupling",POWER(Upgrades!$U$7,F19),1)*IF(Upgrades!$T$9="Stellar Coupling",POWER(Upgrades!$U$9,H19),1)*IF(Upgrades!$T$10="Stellar Coupling",POWER(Upgrades!$U$10,I19),1)*IF(Upgrades!$T$11="Stellar Coupling",POWER(Upgrades!$U$11,J19),1)*IF(Upgrades!$T$12="Stellar Coupling",POWER(Upgrades!$U$12,K19),1))+(IF(H19=0,0,(Upgrades!$M$9+H19*Upgrades!$N$9)*POWER(Upgrades!$O$9,H19)))*(IF(Upgrades!$T$6="Magnetosphere",POWER(Upgrades!$U$6,E19),1)*IF(Upgrades!$T$7="Magnetosphere",POWER(Upgrades!$U$7,F19),1)*IF(Upgrades!$T$8="Magnetosphere",POWER(Upgrades!$U$8,G19),1)*IF(Upgrades!$T$10="Magnetosphere",POWER(Upgrades!$U$10,I19),1)*IF(Upgrades!$T$11="Magnetosphere",POWER(Upgrades!$U$11,J19),1)*IF(Upgrades!$T$12="Magnetosphere",POWER(Upgrades!$U$12,K19),1))+(IF(I19=0,0,(Upgrades!$M$10+I19*Upgrades!$N$10)*POWER(Upgrades!$O$10,I19)))*(IF(Upgrades!$T$6="Orbital Resonance",POWER(Upgrades!$U$6,E19),1)*IF(Upgrades!$T$7="Orbital Resonance",POWER(Upgrades!$U$7,F19),1)*IF(Upgrades!$T$8="Orbital Resonance",POWER(Upgrades!$U$8,G19),1)*IF(Upgrades!$T$9="Orbital Resonance",POWER(Upgrades!$U$9,H19),1)*IF(Upgrades!$T$11="Orbital Resonance",POWER(Upgrades!$U$11,J19),1)*IF(Upgrades!$T$12="Orbital Resonance",POWER(Upgrades!$U$12,K19),1))+(IF(J19=0,0,(Upgrades!$M$11+J19*Upgrades!$N$11)*POWER(Upgrades!$O$11,J19)))*(IF(Upgrades!$T$6="Heliopause",POWER(Upgrades!$U$6,E19),1)*IF(Upgrades!$T$7="Heliopause",POWER(Upgrades!$U$7,F19),1)*IF(Upgrades!$T$8="Heliopause",POWER(Upgrades!$U$8,G19),1)*IF(Upgrades!$T$9="Heliopause",POWER(Upgrades!$U$9,H19),1)*IF(Upgrades!$T$10="Heliopause",POWER(Upgrades!$U$10,I19),1)*IF(Upgrades!$T$12="Heliopause",POWER(Upgrades!$U$12,K19),1))+(IF(K19=0,0,(Upgrades!$M$12+K19*Upgrades!$N$12)*POWER(Upgrades!$O$12,K19)))*(IF(Upgrades!$T$6="First Photons",POWER(Upgrades!$U$6,E19),1)*IF(Upgrades!$T$7="First Photons",POWER(Upgrades!$U$7,F19),1)*IF(Upgrades!$T$8="First Photons",POWER(Upgrades!$U$8,G19),1)*IF(Upgrades!$T$9="First Photons",POWER(Upgrades!$U$9,H19),1)*IF(Upgrades!$T$10="First Photons",POWER(Upgrades!$U$10,I19),1)*IF(Upgrades!$T$11="First Photons",POWER(Upgrades!$U$11,J19),1)))*POWER(Upgrades!$R$6,E19)*POWER(Upgrades!$R$7,F19)*POWER(Upgrades!$R$8,G19)*POWER(Upgrades!$R$9,H19)*POWER(Upgrades!$R$10,I19)*POWER(Upgrades!$R$11,J19)*POWER(Upgrades!$R$12,K19)</f>
        <v>0</v>
      </c>
      <c r="P19" s="27" t="n">
        <f aca="false">IF(L19=1,0,M19*Parameters!$B$10/60*Parameters!$B$11*10)</f>
        <v>40</v>
      </c>
      <c r="Q19" s="27" t="n">
        <f aca="false">IF(L19=1,0,O19*M19*10)</f>
        <v>0</v>
      </c>
      <c r="R19" s="27" t="n">
        <f aca="false">IF(L19=1,0,N19*10)</f>
        <v>19.2</v>
      </c>
      <c r="S19" s="27" t="n">
        <f aca="false">P19+Q19+R19</f>
        <v>59.2</v>
      </c>
      <c r="T19" s="21" t="n">
        <f aca="false">C19+S19</f>
        <v>209.441708333333</v>
      </c>
      <c r="U19" s="34" t="str">
        <f aca="false">AX19</f>
        <v>SC</v>
      </c>
      <c r="V19" s="21" t="n">
        <f aca="false">IF(U19="",0,IF(U19="transition",0,IF(U19="SW",AG19,IF(U19="AB",AH19,IF(U19="SC",AI19,IF(U19="Mag",AJ19,IF(U19="OR",AK19,IF(U19="HP",AL19,IF(U19="FP",AM19,0)))))))))</f>
        <v>84.5152</v>
      </c>
      <c r="W19" s="27" t="n">
        <f aca="false">IF(U19="OR",Upgrades!$F$10,IF(U19="HP",Upgrades!$F$11,IF(U19="transition",-Parameters!$B$18,0)))</f>
        <v>0</v>
      </c>
      <c r="X19" s="21" t="n">
        <f aca="false">T19-V19</f>
        <v>124.926508333333</v>
      </c>
      <c r="Y19" s="30" t="n">
        <f aca="false">M19*Parameters!$B$10/60*Parameters!$B$11+O19*M19+N19</f>
        <v>5.92</v>
      </c>
      <c r="Z19" s="35" t="str">
        <f aca="false">IF(U19="transition","→ Tier 2 (Stellar Neighborhood)",IF(U19="FP","First Photons — light begins, system quickens",IF(U19="HP","Heliopause acquired",IF(U19="OR","Orbital Resonance — passive multiplier active",IF(AND(AO19=1,L19=0,AN19&lt;&gt;1),"Cohesion ready (waiting on completionist upgrades)","")))))</f>
        <v/>
      </c>
      <c r="AA19" s="27" t="n">
        <f aca="false">(IF(E19=0,0,(Upgrades!$G$6+E19*Upgrades!$H$6)*POWER(Upgrades!$I$6,E19)))*(IF(Upgrades!$T$7="Solar Wind",POWER(Upgrades!$U$7,F19),1)*IF(Upgrades!$T$8="Solar Wind",POWER(Upgrades!$U$8,G19),1)*IF(Upgrades!$T$9="Solar Wind",POWER(Upgrades!$U$9,H19),1)*IF(Upgrades!$T$10="Solar Wind",POWER(Upgrades!$U$10,I19),1)*IF(Upgrades!$T$11="Solar Wind",POWER(Upgrades!$U$11,J19),1)*IF(Upgrades!$T$12="Solar Wind",POWER(Upgrades!$U$12,K19),1))*POWER(Upgrades!$P$6,E19)*POWER(Upgrades!$P$7,F19)*POWER(Upgrades!$P$8,G19)*POWER(Upgrades!$P$9,H19)*POWER(Upgrades!$P$10,I19)*POWER(Upgrades!$P$11,J19)*POWER(Upgrades!$P$12,K19)*60</f>
        <v>19.2</v>
      </c>
      <c r="AB19" s="27" t="n">
        <f aca="false">(IF(F19=0,0,(Upgrades!$G$7+F19*Upgrades!$H$7)*POWER(Upgrades!$I$7,F19)))*(IF(Upgrades!$T$6="Asteroid Belt",POWER(Upgrades!$U$6,E19),1)*IF(Upgrades!$T$8="Asteroid Belt",POWER(Upgrades!$U$8,G19),1)*IF(Upgrades!$T$9="Asteroid Belt",POWER(Upgrades!$U$9,H19),1)*IF(Upgrades!$T$10="Asteroid Belt",POWER(Upgrades!$U$10,I19),1)*IF(Upgrades!$T$11="Asteroid Belt",POWER(Upgrades!$U$11,J19),1)*IF(Upgrades!$T$12="Asteroid Belt",POWER(Upgrades!$U$12,K19),1))*POWER(Upgrades!$P$6,E19)*POWER(Upgrades!$P$7,F19)*POWER(Upgrades!$P$8,G19)*POWER(Upgrades!$P$9,H19)*POWER(Upgrades!$P$10,I19)*POWER(Upgrades!$P$11,J19)*POWER(Upgrades!$P$12,K19)*60</f>
        <v>36</v>
      </c>
      <c r="AC19" s="27" t="n">
        <f aca="false">(IF(G19=0,0,(Upgrades!$J$8+G19*Upgrades!$K$8)*POWER(Upgrades!$L$8,G19)))*(IF(Upgrades!$T$6="Stellar Coupling",POWER(Upgrades!$U$6,E19),1)*IF(Upgrades!$T$7="Stellar Coupling",POWER(Upgrades!$U$7,F19),1)*IF(Upgrades!$T$9="Stellar Coupling",POWER(Upgrades!$U$9,H19),1)*IF(Upgrades!$T$10="Stellar Coupling",POWER(Upgrades!$U$10,I19),1)*IF(Upgrades!$T$11="Stellar Coupling",POWER(Upgrades!$U$11,J19),1)*IF(Upgrades!$T$12="Stellar Coupling",POWER(Upgrades!$U$12,K19),1))*POWER(Upgrades!$Q$6,E19)*POWER(Upgrades!$Q$7,F19)*POWER(Upgrades!$Q$8,G19)*POWER(Upgrades!$Q$9,H19)*POWER(Upgrades!$Q$10,I19)*POWER(Upgrades!$Q$11,J19)*POWER(Upgrades!$Q$12,K19)*Parameters!$B$10*Parameters!$B$11</f>
        <v>140</v>
      </c>
      <c r="AD19" s="27" t="n">
        <f aca="false">(IF(H19=0,0,(Upgrades!$G$9+H19*Upgrades!$H$9)*POWER(Upgrades!$I$9,H19)))*(IF(Upgrades!$T$6="Magnetosphere",POWER(Upgrades!$U$6,E19),1)*IF(Upgrades!$T$7="Magnetosphere",POWER(Upgrades!$U$7,F19),1)*IF(Upgrades!$T$8="Magnetosphere",POWER(Upgrades!$U$8,G19),1)*IF(Upgrades!$T$10="Magnetosphere",POWER(Upgrades!$U$10,I19),1)*IF(Upgrades!$T$11="Magnetosphere",POWER(Upgrades!$U$11,J19),1)*IF(Upgrades!$T$12="Magnetosphere",POWER(Upgrades!$U$12,K19),1))*POWER(Upgrades!$P$6,E19)*POWER(Upgrades!$P$7,F19)*POWER(Upgrades!$P$8,G19)*POWER(Upgrades!$P$9,H19)*POWER(Upgrades!$P$10,I19)*POWER(Upgrades!$P$11,J19)*POWER(Upgrades!$P$12,K19)*60</f>
        <v>60</v>
      </c>
      <c r="AE19" s="27" t="n">
        <f aca="false">(IF(K19=0,0,(Upgrades!$G$12+K19*Upgrades!$H$12)*POWER(Upgrades!$I$12,K19)))*(IF(Upgrades!$T$6="First Photons",POWER(Upgrades!$U$6,E19),1)*IF(Upgrades!$T$7="First Photons",POWER(Upgrades!$U$7,F19),1)*IF(Upgrades!$T$8="First Photons",POWER(Upgrades!$U$8,G19),1)*IF(Upgrades!$T$9="First Photons",POWER(Upgrades!$U$9,H19),1)*IF(Upgrades!$T$10="First Photons",POWER(Upgrades!$U$10,I19),1)*IF(Upgrades!$T$11="First Photons",POWER(Upgrades!$U$11,J19),1))*POWER(Upgrades!$P$6,E19)*POWER(Upgrades!$P$7,F19)*POWER(Upgrades!$P$8,G19)*POWER(Upgrades!$P$9,H19)*POWER(Upgrades!$P$10,I19)*POWER(Upgrades!$P$11,J19)*POWER(Upgrades!$P$12,K19)*60</f>
        <v>0</v>
      </c>
      <c r="AF19" s="27" t="n">
        <f aca="false">Parameters!$B$9*POWER(Upgrades!$Q$6,E19)*POWER(Upgrades!$Q$7,F19)*POWER(Upgrades!$Q$8,G19)*POWER(Upgrades!$Q$9,H19)*POWER(Upgrades!$Q$10,I19)*POWER(Upgrades!$Q$11,J19)*POWER(Upgrades!$Q$12,K19)*(Parameters!$B$10*Parameters!$B$11+O19*60)</f>
        <v>100</v>
      </c>
      <c r="AG19" s="21" t="n">
        <f aca="false">IF(E19&gt;=Upgrades!$E$6,"",Upgrades!$C$6*POWER(Upgrades!$D$6,E19))</f>
        <v>12.24304375</v>
      </c>
      <c r="AH19" s="21" t="n">
        <f aca="false">IF(F19&gt;=Upgrades!$E$7,"",Upgrades!$C$7*POWER(Upgrades!$D$7,F19))</f>
        <v>30.4175</v>
      </c>
      <c r="AI19" s="21" t="n">
        <f aca="false">IF(G19&gt;=Upgrades!$E$8,"",Upgrades!$C$8*POWER(Upgrades!$D$8,G19))</f>
        <v>84.5152</v>
      </c>
      <c r="AJ19" s="21" t="n">
        <f aca="false">IF(H19&gt;=Upgrades!$E$9,"",Upgrades!$C$9*POWER(Upgrades!$D$9,H19))</f>
        <v>160</v>
      </c>
      <c r="AK19" s="21" t="n">
        <f aca="false">IF(I19&gt;=Upgrades!$E$10,"",Upgrades!$C$10*POWER(Upgrades!$D$10,I19))</f>
        <v>240</v>
      </c>
      <c r="AL19" s="21" t="n">
        <f aca="false">IF(J19&gt;=Upgrades!$E$11,"",Upgrades!$C$11*POWER(Upgrades!$D$11,J19))</f>
        <v>575</v>
      </c>
      <c r="AM19" s="21" t="n">
        <f aca="false">IF(K19&gt;=Upgrades!$E$12,"",Upgrades!$C$12*POWER(Upgrades!$D$12,K19))</f>
        <v>850</v>
      </c>
      <c r="AN19" s="26" t="str">
        <f aca="false">IF(AND(D19&gt;=Parameters!$B$18,(H19&gt;=Upgrades!$E$9)*(K19&gt;=Upgrades!$E$12)=1,L19=0),1,"")</f>
        <v/>
      </c>
      <c r="AO19" s="26" t="str">
        <f aca="false">IF(AND(D19&gt;=Parameters!$B$18,L19=0),1,"")</f>
        <v/>
      </c>
      <c r="AP19" s="21" t="n">
        <f aca="false">MIN(IF(ISNUMBER(AK19),AK19,9000000000000000),IF(ISNUMBER(AL19),AL19,9000000000000000),IF(ISNUMBER(AM19),AM19,9000000000000000))</f>
        <v>240</v>
      </c>
      <c r="AQ19" s="21" t="n">
        <f aca="false">MIN(IF(ISNUMBER(AG19),AG19,9000000000000000),IF(ISNUMBER(AH19),AH19,9000000000000000),IF(ISNUMBER(AI19),AI19,9000000000000000),IF(ISNUMBER(AJ19),AJ19,9000000000000000))</f>
        <v>12.24304375</v>
      </c>
      <c r="AR19" s="32" t="b">
        <f aca="false">IF(AW19&gt;Parameters!$B$21*(MAX(IF(AND(NOT(AND(AO19=1,AN19&lt;&gt;1)),ISNUMBER(AG19),AG19&lt;=T19),AS19,0),IF(AND(NOT(AND(AO19=1,AN19&lt;&gt;1)),ISNUMBER(AH19),AH19&lt;=T19),AT19,0),IF(AND(NOT(AND(AO19=1,AN19&lt;&gt;1)),ISNUMBER(AI19),AI19&lt;=T19),AU19,0),IF(AND(ISNUMBER(AJ19),AJ19&lt;=T19),AV19,0))),TRUE(),FALSE())</f>
        <v>0</v>
      </c>
      <c r="AS19" s="33" t="n">
        <f aca="false">IFERROR(Upgrades!$H$6*(POWER(Upgrades!$P$6,E19)*POWER(Upgrades!$P$7,F19)*POWER(Upgrades!$P$8,G19)*POWER(Upgrades!$P$9,H19)*POWER(Upgrades!$P$10,I19)*POWER(Upgrades!$P$11,J19)*POWER(Upgrades!$P$12,K19))*(IF(Upgrades!$T$7="Solar Wind",POWER(Upgrades!$U$7,F19),1)*IF(Upgrades!$T$8="Solar Wind",POWER(Upgrades!$U$8,G19),1)*IF(Upgrades!$T$9="Solar Wind",POWER(Upgrades!$U$9,H19),1)*IF(Upgrades!$T$10="Solar Wind",POWER(Upgrades!$U$10,I19),1)*IF(Upgrades!$T$11="Solar Wind",POWER(Upgrades!$U$11,J19),1)*IF(Upgrades!$T$12="Solar Wind",POWER(Upgrades!$U$12,K19),1))/AG19,0)</f>
        <v>0.00653432280677752</v>
      </c>
      <c r="AT19" s="33" t="n">
        <f aca="false">IFERROR(Upgrades!$H$7*(POWER(Upgrades!$P$6,E19)*POWER(Upgrades!$P$7,F19)*POWER(Upgrades!$P$8,G19)*POWER(Upgrades!$P$9,H19)*POWER(Upgrades!$P$10,I19)*POWER(Upgrades!$P$11,J19)*POWER(Upgrades!$P$12,K19))*(IF(Upgrades!$T$6="Asteroid Belt",POWER(Upgrades!$U$6,E19),1)*IF(Upgrades!$T$8="Asteroid Belt",POWER(Upgrades!$U$8,G19),1)*IF(Upgrades!$T$9="Asteroid Belt",POWER(Upgrades!$U$9,H19),1)*IF(Upgrades!$T$10="Asteroid Belt",POWER(Upgrades!$U$10,I19),1)*IF(Upgrades!$T$11="Asteroid Belt",POWER(Upgrades!$U$11,J19),1)*IF(Upgrades!$T$12="Asteroid Belt",POWER(Upgrades!$U$12,K19),1))/AH19,0)</f>
        <v>0.00657516232431988</v>
      </c>
      <c r="AU19" s="33" t="n">
        <f aca="false">IFERROR(Upgrades!$K$8*(POWER(Upgrades!$Q$6,E19)*POWER(Upgrades!$Q$7,F19)*POWER(Upgrades!$Q$8,G19)*POWER(Upgrades!$Q$9,H19)*POWER(Upgrades!$Q$10,I19)*POWER(Upgrades!$Q$11,J19)*POWER(Upgrades!$Q$12,K19))*(IF(Upgrades!$T$6="Stellar Coupling",POWER(Upgrades!$U$6,E19),1)*IF(Upgrades!$T$7="Stellar Coupling",POWER(Upgrades!$U$7,F19),1)*IF(Upgrades!$T$9="Stellar Coupling",POWER(Upgrades!$U$9,H19),1)*IF(Upgrades!$T$10="Stellar Coupling",POWER(Upgrades!$U$10,I19),1)*IF(Upgrades!$T$11="Stellar Coupling",POWER(Upgrades!$U$11,J19),1)*IF(Upgrades!$T$12="Stellar Coupling",POWER(Upgrades!$U$12,K19),1))*Parameters!$B$10*Parameters!$B$11/60/AI19,0)</f>
        <v>0.00690211149394823</v>
      </c>
      <c r="AV19" s="33" t="n">
        <f aca="false">IFERROR(Upgrades!$H$9*(POWER(Upgrades!$P$6,E19)*POWER(Upgrades!$P$7,F19)*POWER(Upgrades!$P$8,G19)*POWER(Upgrades!$P$9,H19)*POWER(Upgrades!$P$10,I19)*POWER(Upgrades!$P$11,J19)*POWER(Upgrades!$P$12,K19))*(IF(Upgrades!$T$6="Magnetosphere",POWER(Upgrades!$U$6,E19),1)*IF(Upgrades!$T$7="Magnetosphere",POWER(Upgrades!$U$7,F19),1)*IF(Upgrades!$T$8="Magnetosphere",POWER(Upgrades!$U$8,G19),1)*IF(Upgrades!$T$10="Magnetosphere",POWER(Upgrades!$U$10,I19),1)*IF(Upgrades!$T$11="Magnetosphere",POWER(Upgrades!$U$11,J19),1)*IF(Upgrades!$T$12="Magnetosphere",POWER(Upgrades!$U$12,K19),1))/AJ19,0)</f>
        <v>0.00625</v>
      </c>
      <c r="AW19" s="33" t="n">
        <f aca="false">MAX(IF(I19&gt;0,0,IFERROR(0.25*N19/Upgrades!$C$10,0)),IF(J19&gt;0,0,IFERROR(0.5*((IF(G19=0,0,(Upgrades!$J$8+G19*Upgrades!$K$8)*POWER(Upgrades!$L$8,G19)))*(IF(Upgrades!$T$6="Stellar Coupling",POWER(Upgrades!$U$6,E19),1)*IF(Upgrades!$T$7="Stellar Coupling",POWER(Upgrades!$U$7,F19),1)*IF(Upgrades!$T$9="Stellar Coupling",POWER(Upgrades!$U$9,H19),1)*IF(Upgrades!$T$10="Stellar Coupling",POWER(Upgrades!$U$10,I19),1)*IF(Upgrades!$T$11="Stellar Coupling",POWER(Upgrades!$U$11,J19),1)*IF(Upgrades!$T$12="Stellar Coupling",POWER(Upgrades!$U$12,K19),1))*(POWER(Upgrades!$Q$6,E19)*POWER(Upgrades!$Q$7,F19)*POWER(Upgrades!$Q$8,G19)*POWER(Upgrades!$Q$9,H19)*POWER(Upgrades!$Q$10,I19)*POWER(Upgrades!$Q$11,J19)*POWER(Upgrades!$Q$12,K19))*Parameters!$B$10*Parameters!$B$11/60)/Upgrades!$C$11,0)),IF(K19&gt;0,0,IFERROR((1*(POWER(Upgrades!$P$6,E19)*POWER(Upgrades!$P$7,F19)*POWER(Upgrades!$P$8,G19)*POWER(Upgrades!$P$9,H19)*POWER(Upgrades!$P$10,I19)*POWER(Upgrades!$P$11,J19)*POWER(Upgrades!$P$12,K19))+0.2*M19*Parameters!$B$10*Parameters!$B$11/60)/Upgrades!$C$12,0)),IF(AND(ISNUMBER(AG19),AG19&gt;T19),AS19,0),IF(AND(ISNUMBER(AH19),AH19&gt;T19),AT19,0),IF(AND(ISNUMBER(AI19),AI19&gt;T19),AU19,0),IF(AND(ISNUMBER(AJ19),AJ19&gt;T19),AV19,0))</f>
        <v>0.00211764705882353</v>
      </c>
      <c r="AX19" s="29" t="str">
        <f aca="false">IF(AN19=1,"transition",IF(MIN(IF(AND(I19=0,ISNUMBER(AK19),AK19&lt;=T19),AK19,9000000000000000),IF(AND(J19=0,ISNUMBER(AL19),AL19&lt;=T19),AL19,9000000000000000),IF(AND(K19=0,ISNUMBER(AM19),AM19&lt;=T19),AM19,9000000000000000))&lt;9000000000000000,IF(AND(AND(I19=0,ISNUMBER(AK19),AK19&lt;=T19),AK19=MIN(IF(AND(I19=0,ISNUMBER(AK19),AK19&lt;=T19),AK19,9000000000000000),IF(AND(J19=0,ISNUMBER(AL19),AL19&lt;=T19),AL19,9000000000000000),IF(AND(K19=0,ISNUMBER(AM19),AM19&lt;=T19),AM19,9000000000000000))),"OR",IF(AND(AND(J19=0,ISNUMBER(AL19),AL19&lt;=T19),AL19=MIN(IF(AND(I19=0,ISNUMBER(AK19),AK19&lt;=T19),AK19,9000000000000000),IF(AND(J19=0,ISNUMBER(AL19),AL19&lt;=T19),AL19,9000000000000000),IF(AND(K19=0,ISNUMBER(AM19),AM19&lt;=T19),AM19,9000000000000000))),"HP","FP")),IF(AR19=TRUE(),"",IF(MAX(IF(AND(NOT(AND(AO19=1,AN19&lt;&gt;1)),ISNUMBER(AG19),AG19&lt;=T19),AS19,0),IF(AND(NOT(AND(AO19=1,AN19&lt;&gt;1)),ISNUMBER(AH19),AH19&lt;=T19),AT19,0),IF(AND(NOT(AND(AO19=1,AN19&lt;&gt;1)),ISNUMBER(AI19),AI19&lt;=T19),AU19,0),IF(AND(ISNUMBER(AJ19),AJ19&lt;=T19),AV19,0))&lt;=0,"",IF(AND(IF(AND(NOT(AND(AO19=1,AN19&lt;&gt;1)),ISNUMBER(AG19),AG19&lt;=T19),AS19,0)&gt;0,IF(AND(NOT(AND(AO19=1,AN19&lt;&gt;1)),ISNUMBER(AG19),AG19&lt;=T19),AS19,0)=MAX(IF(AND(NOT(AND(AO19=1,AN19&lt;&gt;1)),ISNUMBER(AG19),AG19&lt;=T19),AS19,0),IF(AND(NOT(AND(AO19=1,AN19&lt;&gt;1)),ISNUMBER(AH19),AH19&lt;=T19),AT19,0),IF(AND(NOT(AND(AO19=1,AN19&lt;&gt;1)),ISNUMBER(AI19),AI19&lt;=T19),AU19,0),IF(AND(ISNUMBER(AJ19),AJ19&lt;=T19),AV19,0))),"SW",IF(AND(IF(AND(NOT(AND(AO19=1,AN19&lt;&gt;1)),ISNUMBER(AH19),AH19&lt;=T19),AT19,0)&gt;0,IF(AND(NOT(AND(AO19=1,AN19&lt;&gt;1)),ISNUMBER(AH19),AH19&lt;=T19),AT19,0)=MAX(IF(AND(NOT(AND(AO19=1,AN19&lt;&gt;1)),ISNUMBER(AG19),AG19&lt;=T19),AS19,0),IF(AND(NOT(AND(AO19=1,AN19&lt;&gt;1)),ISNUMBER(AH19),AH19&lt;=T19),AT19,0),IF(AND(NOT(AND(AO19=1,AN19&lt;&gt;1)),ISNUMBER(AI19),AI19&lt;=T19),AU19,0),IF(AND(ISNUMBER(AJ19),AJ19&lt;=T19),AV19,0))),"AB",IF(AND(IF(AND(NOT(AND(AO19=1,AN19&lt;&gt;1)),ISNUMBER(AI19),AI19&lt;=T19),AU19,0)&gt;0,IF(AND(NOT(AND(AO19=1,AN19&lt;&gt;1)),ISNUMBER(AI19),AI19&lt;=T19),AU19,0)=MAX(IF(AND(NOT(AND(AO19=1,AN19&lt;&gt;1)),ISNUMBER(AG19),AG19&lt;=T19),AS19,0),IF(AND(NOT(AND(AO19=1,AN19&lt;&gt;1)),ISNUMBER(AH19),AH19&lt;=T19),AT19,0),IF(AND(NOT(AND(AO19=1,AN19&lt;&gt;1)),ISNUMBER(AI19),AI19&lt;=T19),AU19,0),IF(AND(ISNUMBER(AJ19),AJ19&lt;=T19),AV19,0))),"SC","Mag")))))))</f>
        <v>SC</v>
      </c>
    </row>
    <row r="20" customFormat="false" ht="15" hidden="false" customHeight="false" outlineLevel="0" collapsed="false">
      <c r="A20" s="26" t="n">
        <v>15</v>
      </c>
      <c r="B20" s="27" t="n">
        <f aca="false">A20*10/60</f>
        <v>2.5</v>
      </c>
      <c r="C20" s="21" t="n">
        <f aca="false">X19</f>
        <v>124.926508333333</v>
      </c>
      <c r="D20" s="27" t="n">
        <f aca="false">D19+W19</f>
        <v>0</v>
      </c>
      <c r="E20" s="26" t="n">
        <f aca="false">E19+IF(U19="SW",1,0)</f>
        <v>4</v>
      </c>
      <c r="F20" s="26" t="n">
        <f aca="false">F19+IF(U19="AB",1,0)</f>
        <v>3</v>
      </c>
      <c r="G20" s="26" t="n">
        <f aca="false">G19+IF(U19="SC",1,0)</f>
        <v>5</v>
      </c>
      <c r="H20" s="26" t="n">
        <f aca="false">H19+IF(U19="Mag",1,0)</f>
        <v>1</v>
      </c>
      <c r="I20" s="26" t="n">
        <f aca="false">MAX(I19,IF(U19="OR",1,0))</f>
        <v>0</v>
      </c>
      <c r="J20" s="26" t="n">
        <f aca="false">MAX(J19,IF(U19="HP",1,0))</f>
        <v>0</v>
      </c>
      <c r="K20" s="26" t="n">
        <f aca="false">MAX(K19,IF(U19="FP",1,0))</f>
        <v>0</v>
      </c>
      <c r="L20" s="26" t="n">
        <f aca="false">MAX(L19,IF(U19="transition",1,0))</f>
        <v>0</v>
      </c>
      <c r="M20" s="28" t="n">
        <f aca="false">(Parameters!$B$9+(IF(E20=0,0,(Upgrades!$J$6+E20*Upgrades!$K$6)*POWER(Upgrades!$L$6,E20)))*(IF(Upgrades!$T$7="Solar Wind",POWER(Upgrades!$U$7,F20),1)*IF(Upgrades!$T$8="Solar Wind",POWER(Upgrades!$U$8,G20),1)*IF(Upgrades!$T$9="Solar Wind",POWER(Upgrades!$U$9,H20),1)*IF(Upgrades!$T$10="Solar Wind",POWER(Upgrades!$U$10,I20),1)*IF(Upgrades!$T$11="Solar Wind",POWER(Upgrades!$U$11,J20),1)*IF(Upgrades!$T$12="Solar Wind",POWER(Upgrades!$U$12,K20),1))+(IF(F20=0,0,(Upgrades!$J$7+F20*Upgrades!$K$7)*POWER(Upgrades!$L$7,F20)))*(IF(Upgrades!$T$6="Asteroid Belt",POWER(Upgrades!$U$6,E20),1)*IF(Upgrades!$T$8="Asteroid Belt",POWER(Upgrades!$U$8,G20),1)*IF(Upgrades!$T$9="Asteroid Belt",POWER(Upgrades!$U$9,H20),1)*IF(Upgrades!$T$10="Asteroid Belt",POWER(Upgrades!$U$10,I20),1)*IF(Upgrades!$T$11="Asteroid Belt",POWER(Upgrades!$U$11,J20),1)*IF(Upgrades!$T$12="Asteroid Belt",POWER(Upgrades!$U$12,K20),1))+(IF(G20=0,0,(Upgrades!$J$8+G20*Upgrades!$K$8)*POWER(Upgrades!$L$8,G20)))*(IF(Upgrades!$T$6="Stellar Coupling",POWER(Upgrades!$U$6,E20),1)*IF(Upgrades!$T$7="Stellar Coupling",POWER(Upgrades!$U$7,F20),1)*IF(Upgrades!$T$9="Stellar Coupling",POWER(Upgrades!$U$9,H20),1)*IF(Upgrades!$T$10="Stellar Coupling",POWER(Upgrades!$U$10,I20),1)*IF(Upgrades!$T$11="Stellar Coupling",POWER(Upgrades!$U$11,J20),1)*IF(Upgrades!$T$12="Stellar Coupling",POWER(Upgrades!$U$12,K20),1))+(IF(H20=0,0,(Upgrades!$J$9+H20*Upgrades!$K$9)*POWER(Upgrades!$L$9,H20)))*(IF(Upgrades!$T$6="Magnetosphere",POWER(Upgrades!$U$6,E20),1)*IF(Upgrades!$T$7="Magnetosphere",POWER(Upgrades!$U$7,F20),1)*IF(Upgrades!$T$8="Magnetosphere",POWER(Upgrades!$U$8,G20),1)*IF(Upgrades!$T$10="Magnetosphere",POWER(Upgrades!$U$10,I20),1)*IF(Upgrades!$T$11="Magnetosphere",POWER(Upgrades!$U$11,J20),1)*IF(Upgrades!$T$12="Magnetosphere",POWER(Upgrades!$U$12,K20),1))+(IF(I20=0,0,(Upgrades!$J$10+I20*Upgrades!$K$10)*POWER(Upgrades!$L$10,I20)))*(IF(Upgrades!$T$6="Orbital Resonance",POWER(Upgrades!$U$6,E20),1)*IF(Upgrades!$T$7="Orbital Resonance",POWER(Upgrades!$U$7,F20),1)*IF(Upgrades!$T$8="Orbital Resonance",POWER(Upgrades!$U$8,G20),1)*IF(Upgrades!$T$9="Orbital Resonance",POWER(Upgrades!$U$9,H20),1)*IF(Upgrades!$T$11="Orbital Resonance",POWER(Upgrades!$U$11,J20),1)*IF(Upgrades!$T$12="Orbital Resonance",POWER(Upgrades!$U$12,K20),1))+(IF(J20=0,0,(Upgrades!$J$11+J20*Upgrades!$K$11)*POWER(Upgrades!$L$11,J20)))*(IF(Upgrades!$T$6="Heliopause",POWER(Upgrades!$U$6,E20),1)*IF(Upgrades!$T$7="Heliopause",POWER(Upgrades!$U$7,F20),1)*IF(Upgrades!$T$8="Heliopause",POWER(Upgrades!$U$8,G20),1)*IF(Upgrades!$T$9="Heliopause",POWER(Upgrades!$U$9,H20),1)*IF(Upgrades!$T$10="Heliopause",POWER(Upgrades!$U$10,I20),1)*IF(Upgrades!$T$12="Heliopause",POWER(Upgrades!$U$12,K20),1))+(IF(K20=0,0,(Upgrades!$J$12+K20*Upgrades!$K$12)*POWER(Upgrades!$L$12,K20)))*(IF(Upgrades!$T$6="First Photons",POWER(Upgrades!$U$6,E20),1)*IF(Upgrades!$T$7="First Photons",POWER(Upgrades!$U$7,F20),1)*IF(Upgrades!$T$8="First Photons",POWER(Upgrades!$U$8,G20),1)*IF(Upgrades!$T$9="First Photons",POWER(Upgrades!$U$9,H20),1)*IF(Upgrades!$T$10="First Photons",POWER(Upgrades!$U$10,I20),1)*IF(Upgrades!$T$11="First Photons",POWER(Upgrades!$U$11,J20),1)))*POWER(Upgrades!$Q$6,E20)*POWER(Upgrades!$Q$7,F20)*POWER(Upgrades!$Q$8,G20)*POWER(Upgrades!$Q$9,H20)*POWER(Upgrades!$Q$10,I20)*POWER(Upgrades!$Q$11,J20)*POWER(Upgrades!$Q$12,K20)</f>
        <v>2.75</v>
      </c>
      <c r="N20" s="28" t="n">
        <f aca="false">((IF(E20=0,0,(Upgrades!$G$6+E20*Upgrades!$H$6)*POWER(Upgrades!$I$6,E20)))*(IF(Upgrades!$T$7="Solar Wind",POWER(Upgrades!$U$7,F20),1)*IF(Upgrades!$T$8="Solar Wind",POWER(Upgrades!$U$8,G20),1)*IF(Upgrades!$T$9="Solar Wind",POWER(Upgrades!$U$9,H20),1)*IF(Upgrades!$T$10="Solar Wind",POWER(Upgrades!$U$10,I20),1)*IF(Upgrades!$T$11="Solar Wind",POWER(Upgrades!$U$11,J20),1)*IF(Upgrades!$T$12="Solar Wind",POWER(Upgrades!$U$12,K20),1))+(IF(F20=0,0,(Upgrades!$G$7+F20*Upgrades!$H$7)*POWER(Upgrades!$I$7,F20)))*(IF(Upgrades!$T$6="Asteroid Belt",POWER(Upgrades!$U$6,E20),1)*IF(Upgrades!$T$8="Asteroid Belt",POWER(Upgrades!$U$8,G20),1)*IF(Upgrades!$T$9="Asteroid Belt",POWER(Upgrades!$U$9,H20),1)*IF(Upgrades!$T$10="Asteroid Belt",POWER(Upgrades!$U$10,I20),1)*IF(Upgrades!$T$11="Asteroid Belt",POWER(Upgrades!$U$11,J20),1)*IF(Upgrades!$T$12="Asteroid Belt",POWER(Upgrades!$U$12,K20),1))+(IF(G20=0,0,(Upgrades!$G$8+G20*Upgrades!$H$8)*POWER(Upgrades!$I$8,G20)))*(IF(Upgrades!$T$6="Stellar Coupling",POWER(Upgrades!$U$6,E20),1)*IF(Upgrades!$T$7="Stellar Coupling",POWER(Upgrades!$U$7,F20),1)*IF(Upgrades!$T$9="Stellar Coupling",POWER(Upgrades!$U$9,H20),1)*IF(Upgrades!$T$10="Stellar Coupling",POWER(Upgrades!$U$10,I20),1)*IF(Upgrades!$T$11="Stellar Coupling",POWER(Upgrades!$U$11,J20),1)*IF(Upgrades!$T$12="Stellar Coupling",POWER(Upgrades!$U$12,K20),1))+(IF(H20=0,0,(Upgrades!$G$9+H20*Upgrades!$H$9)*POWER(Upgrades!$I$9,H20)))*(IF(Upgrades!$T$6="Magnetosphere",POWER(Upgrades!$U$6,E20),1)*IF(Upgrades!$T$7="Magnetosphere",POWER(Upgrades!$U$7,F20),1)*IF(Upgrades!$T$8="Magnetosphere",POWER(Upgrades!$U$8,G20),1)*IF(Upgrades!$T$10="Magnetosphere",POWER(Upgrades!$U$10,I20),1)*IF(Upgrades!$T$11="Magnetosphere",POWER(Upgrades!$U$11,J20),1)*IF(Upgrades!$T$12="Magnetosphere",POWER(Upgrades!$U$12,K20),1))+(IF(I20=0,0,(Upgrades!$G$10+I20*Upgrades!$H$10)*POWER(Upgrades!$I$10,I20)))*(IF(Upgrades!$T$6="Orbital Resonance",POWER(Upgrades!$U$6,E20),1)*IF(Upgrades!$T$7="Orbital Resonance",POWER(Upgrades!$U$7,F20),1)*IF(Upgrades!$T$8="Orbital Resonance",POWER(Upgrades!$U$8,G20),1)*IF(Upgrades!$T$9="Orbital Resonance",POWER(Upgrades!$U$9,H20),1)*IF(Upgrades!$T$11="Orbital Resonance",POWER(Upgrades!$U$11,J20),1)*IF(Upgrades!$T$12="Orbital Resonance",POWER(Upgrades!$U$12,K20),1))+(IF(J20=0,0,(Upgrades!$G$11+J20*Upgrades!$H$11)*POWER(Upgrades!$I$11,J20)))*(IF(Upgrades!$T$6="Heliopause",POWER(Upgrades!$U$6,E20),1)*IF(Upgrades!$T$7="Heliopause",POWER(Upgrades!$U$7,F20),1)*IF(Upgrades!$T$8="Heliopause",POWER(Upgrades!$U$8,G20),1)*IF(Upgrades!$T$9="Heliopause",POWER(Upgrades!$U$9,H20),1)*IF(Upgrades!$T$10="Heliopause",POWER(Upgrades!$U$10,I20),1)*IF(Upgrades!$T$12="Heliopause",POWER(Upgrades!$U$12,K20),1))+(IF(K20=0,0,(Upgrades!$G$12+K20*Upgrades!$H$12)*POWER(Upgrades!$I$12,K20)))*(IF(Upgrades!$T$6="First Photons",POWER(Upgrades!$U$6,E20),1)*IF(Upgrades!$T$7="First Photons",POWER(Upgrades!$U$7,F20),1)*IF(Upgrades!$T$8="First Photons",POWER(Upgrades!$U$8,G20),1)*IF(Upgrades!$T$9="First Photons",POWER(Upgrades!$U$9,H20),1)*IF(Upgrades!$T$10="First Photons",POWER(Upgrades!$U$10,I20),1)*IF(Upgrades!$T$11="First Photons",POWER(Upgrades!$U$11,J20),1)))*POWER(Upgrades!$P$6,E20)*POWER(Upgrades!$P$7,F20)*POWER(Upgrades!$P$8,G20)*POWER(Upgrades!$P$9,H20)*POWER(Upgrades!$P$10,I20)*POWER(Upgrades!$P$11,J20)*POWER(Upgrades!$P$12,K20)</f>
        <v>1.92</v>
      </c>
      <c r="O20" s="28" t="n">
        <f aca="false">((IF(E20=0,0,(Upgrades!$M$6+E20*Upgrades!$N$6)*POWER(Upgrades!$O$6,E20)))*(IF(Upgrades!$T$7="Solar Wind",POWER(Upgrades!$U$7,F20),1)*IF(Upgrades!$T$8="Solar Wind",POWER(Upgrades!$U$8,G20),1)*IF(Upgrades!$T$9="Solar Wind",POWER(Upgrades!$U$9,H20),1)*IF(Upgrades!$T$10="Solar Wind",POWER(Upgrades!$U$10,I20),1)*IF(Upgrades!$T$11="Solar Wind",POWER(Upgrades!$U$11,J20),1)*IF(Upgrades!$T$12="Solar Wind",POWER(Upgrades!$U$12,K20),1))+(IF(F20=0,0,(Upgrades!$M$7+F20*Upgrades!$N$7)*POWER(Upgrades!$O$7,F20)))*(IF(Upgrades!$T$6="Asteroid Belt",POWER(Upgrades!$U$6,E20),1)*IF(Upgrades!$T$8="Asteroid Belt",POWER(Upgrades!$U$8,G20),1)*IF(Upgrades!$T$9="Asteroid Belt",POWER(Upgrades!$U$9,H20),1)*IF(Upgrades!$T$10="Asteroid Belt",POWER(Upgrades!$U$10,I20),1)*IF(Upgrades!$T$11="Asteroid Belt",POWER(Upgrades!$U$11,J20),1)*IF(Upgrades!$T$12="Asteroid Belt",POWER(Upgrades!$U$12,K20),1))+(IF(G20=0,0,(Upgrades!$M$8+G20*Upgrades!$N$8)*POWER(Upgrades!$O$8,G20)))*(IF(Upgrades!$T$6="Stellar Coupling",POWER(Upgrades!$U$6,E20),1)*IF(Upgrades!$T$7="Stellar Coupling",POWER(Upgrades!$U$7,F20),1)*IF(Upgrades!$T$9="Stellar Coupling",POWER(Upgrades!$U$9,H20),1)*IF(Upgrades!$T$10="Stellar Coupling",POWER(Upgrades!$U$10,I20),1)*IF(Upgrades!$T$11="Stellar Coupling",POWER(Upgrades!$U$11,J20),1)*IF(Upgrades!$T$12="Stellar Coupling",POWER(Upgrades!$U$12,K20),1))+(IF(H20=0,0,(Upgrades!$M$9+H20*Upgrades!$N$9)*POWER(Upgrades!$O$9,H20)))*(IF(Upgrades!$T$6="Magnetosphere",POWER(Upgrades!$U$6,E20),1)*IF(Upgrades!$T$7="Magnetosphere",POWER(Upgrades!$U$7,F20),1)*IF(Upgrades!$T$8="Magnetosphere",POWER(Upgrades!$U$8,G20),1)*IF(Upgrades!$T$10="Magnetosphere",POWER(Upgrades!$U$10,I20),1)*IF(Upgrades!$T$11="Magnetosphere",POWER(Upgrades!$U$11,J20),1)*IF(Upgrades!$T$12="Magnetosphere",POWER(Upgrades!$U$12,K20),1))+(IF(I20=0,0,(Upgrades!$M$10+I20*Upgrades!$N$10)*POWER(Upgrades!$O$10,I20)))*(IF(Upgrades!$T$6="Orbital Resonance",POWER(Upgrades!$U$6,E20),1)*IF(Upgrades!$T$7="Orbital Resonance",POWER(Upgrades!$U$7,F20),1)*IF(Upgrades!$T$8="Orbital Resonance",POWER(Upgrades!$U$8,G20),1)*IF(Upgrades!$T$9="Orbital Resonance",POWER(Upgrades!$U$9,H20),1)*IF(Upgrades!$T$11="Orbital Resonance",POWER(Upgrades!$U$11,J20),1)*IF(Upgrades!$T$12="Orbital Resonance",POWER(Upgrades!$U$12,K20),1))+(IF(J20=0,0,(Upgrades!$M$11+J20*Upgrades!$N$11)*POWER(Upgrades!$O$11,J20)))*(IF(Upgrades!$T$6="Heliopause",POWER(Upgrades!$U$6,E20),1)*IF(Upgrades!$T$7="Heliopause",POWER(Upgrades!$U$7,F20),1)*IF(Upgrades!$T$8="Heliopause",POWER(Upgrades!$U$8,G20),1)*IF(Upgrades!$T$9="Heliopause",POWER(Upgrades!$U$9,H20),1)*IF(Upgrades!$T$10="Heliopause",POWER(Upgrades!$U$10,I20),1)*IF(Upgrades!$T$12="Heliopause",POWER(Upgrades!$U$12,K20),1))+(IF(K20=0,0,(Upgrades!$M$12+K20*Upgrades!$N$12)*POWER(Upgrades!$O$12,K20)))*(IF(Upgrades!$T$6="First Photons",POWER(Upgrades!$U$6,E20),1)*IF(Upgrades!$T$7="First Photons",POWER(Upgrades!$U$7,F20),1)*IF(Upgrades!$T$8="First Photons",POWER(Upgrades!$U$8,G20),1)*IF(Upgrades!$T$9="First Photons",POWER(Upgrades!$U$9,H20),1)*IF(Upgrades!$T$10="First Photons",POWER(Upgrades!$U$10,I20),1)*IF(Upgrades!$T$11="First Photons",POWER(Upgrades!$U$11,J20),1)))*POWER(Upgrades!$R$6,E20)*POWER(Upgrades!$R$7,F20)*POWER(Upgrades!$R$8,G20)*POWER(Upgrades!$R$9,H20)*POWER(Upgrades!$R$10,I20)*POWER(Upgrades!$R$11,J20)*POWER(Upgrades!$R$12,K20)</f>
        <v>0</v>
      </c>
      <c r="P20" s="27" t="n">
        <f aca="false">IF(L20=1,0,M20*Parameters!$B$10/60*Parameters!$B$11*10)</f>
        <v>45.8333333333333</v>
      </c>
      <c r="Q20" s="27" t="n">
        <f aca="false">IF(L20=1,0,O20*M20*10)</f>
        <v>0</v>
      </c>
      <c r="R20" s="27" t="n">
        <f aca="false">IF(L20=1,0,N20*10)</f>
        <v>19.2</v>
      </c>
      <c r="S20" s="27" t="n">
        <f aca="false">P20+Q20+R20</f>
        <v>65.0333333333333</v>
      </c>
      <c r="T20" s="21" t="n">
        <f aca="false">C20+S20</f>
        <v>189.959841666667</v>
      </c>
      <c r="U20" s="34" t="str">
        <f aca="false">AX20</f>
        <v>AB</v>
      </c>
      <c r="V20" s="21" t="n">
        <f aca="false">IF(U20="",0,IF(U20="transition",0,IF(U20="SW",AG20,IF(U20="AB",AH20,IF(U20="SC",AI20,IF(U20="Mag",AJ20,IF(U20="OR",AK20,IF(U20="HP",AL20,IF(U20="FP",AM20,0)))))))))</f>
        <v>30.4175</v>
      </c>
      <c r="W20" s="27" t="n">
        <f aca="false">IF(U20="OR",Upgrades!$F$10,IF(U20="HP",Upgrades!$F$11,IF(U20="transition",-Parameters!$B$18,0)))</f>
        <v>0</v>
      </c>
      <c r="X20" s="21" t="n">
        <f aca="false">T20-V20</f>
        <v>159.542341666667</v>
      </c>
      <c r="Y20" s="30" t="n">
        <f aca="false">M20*Parameters!$B$10/60*Parameters!$B$11+O20*M20+N20</f>
        <v>6.50333333333333</v>
      </c>
      <c r="Z20" s="35" t="str">
        <f aca="false">IF(U20="transition","→ Tier 2 (Stellar Neighborhood)",IF(U20="FP","First Photons — light begins, system quickens",IF(U20="HP","Heliopause acquired",IF(U20="OR","Orbital Resonance — passive multiplier active",IF(AND(AO20=1,L20=0,AN20&lt;&gt;1),"Cohesion ready (waiting on completionist upgrades)","")))))</f>
        <v/>
      </c>
      <c r="AA20" s="27" t="n">
        <f aca="false">(IF(E20=0,0,(Upgrades!$G$6+E20*Upgrades!$H$6)*POWER(Upgrades!$I$6,E20)))*(IF(Upgrades!$T$7="Solar Wind",POWER(Upgrades!$U$7,F20),1)*IF(Upgrades!$T$8="Solar Wind",POWER(Upgrades!$U$8,G20),1)*IF(Upgrades!$T$9="Solar Wind",POWER(Upgrades!$U$9,H20),1)*IF(Upgrades!$T$10="Solar Wind",POWER(Upgrades!$U$10,I20),1)*IF(Upgrades!$T$11="Solar Wind",POWER(Upgrades!$U$11,J20),1)*IF(Upgrades!$T$12="Solar Wind",POWER(Upgrades!$U$12,K20),1))*POWER(Upgrades!$P$6,E20)*POWER(Upgrades!$P$7,F20)*POWER(Upgrades!$P$8,G20)*POWER(Upgrades!$P$9,H20)*POWER(Upgrades!$P$10,I20)*POWER(Upgrades!$P$11,J20)*POWER(Upgrades!$P$12,K20)*60</f>
        <v>19.2</v>
      </c>
      <c r="AB20" s="27" t="n">
        <f aca="false">(IF(F20=0,0,(Upgrades!$G$7+F20*Upgrades!$H$7)*POWER(Upgrades!$I$7,F20)))*(IF(Upgrades!$T$6="Asteroid Belt",POWER(Upgrades!$U$6,E20),1)*IF(Upgrades!$T$8="Asteroid Belt",POWER(Upgrades!$U$8,G20),1)*IF(Upgrades!$T$9="Asteroid Belt",POWER(Upgrades!$U$9,H20),1)*IF(Upgrades!$T$10="Asteroid Belt",POWER(Upgrades!$U$10,I20),1)*IF(Upgrades!$T$11="Asteroid Belt",POWER(Upgrades!$U$11,J20),1)*IF(Upgrades!$T$12="Asteroid Belt",POWER(Upgrades!$U$12,K20),1))*POWER(Upgrades!$P$6,E20)*POWER(Upgrades!$P$7,F20)*POWER(Upgrades!$P$8,G20)*POWER(Upgrades!$P$9,H20)*POWER(Upgrades!$P$10,I20)*POWER(Upgrades!$P$11,J20)*POWER(Upgrades!$P$12,K20)*60</f>
        <v>36</v>
      </c>
      <c r="AC20" s="27" t="n">
        <f aca="false">(IF(G20=0,0,(Upgrades!$J$8+G20*Upgrades!$K$8)*POWER(Upgrades!$L$8,G20)))*(IF(Upgrades!$T$6="Stellar Coupling",POWER(Upgrades!$U$6,E20),1)*IF(Upgrades!$T$7="Stellar Coupling",POWER(Upgrades!$U$7,F20),1)*IF(Upgrades!$T$9="Stellar Coupling",POWER(Upgrades!$U$9,H20),1)*IF(Upgrades!$T$10="Stellar Coupling",POWER(Upgrades!$U$10,I20),1)*IF(Upgrades!$T$11="Stellar Coupling",POWER(Upgrades!$U$11,J20),1)*IF(Upgrades!$T$12="Stellar Coupling",POWER(Upgrades!$U$12,K20),1))*POWER(Upgrades!$Q$6,E20)*POWER(Upgrades!$Q$7,F20)*POWER(Upgrades!$Q$8,G20)*POWER(Upgrades!$Q$9,H20)*POWER(Upgrades!$Q$10,I20)*POWER(Upgrades!$Q$11,J20)*POWER(Upgrades!$Q$12,K20)*Parameters!$B$10*Parameters!$B$11</f>
        <v>175</v>
      </c>
      <c r="AD20" s="27" t="n">
        <f aca="false">(IF(H20=0,0,(Upgrades!$G$9+H20*Upgrades!$H$9)*POWER(Upgrades!$I$9,H20)))*(IF(Upgrades!$T$6="Magnetosphere",POWER(Upgrades!$U$6,E20),1)*IF(Upgrades!$T$7="Magnetosphere",POWER(Upgrades!$U$7,F20),1)*IF(Upgrades!$T$8="Magnetosphere",POWER(Upgrades!$U$8,G20),1)*IF(Upgrades!$T$10="Magnetosphere",POWER(Upgrades!$U$10,I20),1)*IF(Upgrades!$T$11="Magnetosphere",POWER(Upgrades!$U$11,J20),1)*IF(Upgrades!$T$12="Magnetosphere",POWER(Upgrades!$U$12,K20),1))*POWER(Upgrades!$P$6,E20)*POWER(Upgrades!$P$7,F20)*POWER(Upgrades!$P$8,G20)*POWER(Upgrades!$P$9,H20)*POWER(Upgrades!$P$10,I20)*POWER(Upgrades!$P$11,J20)*POWER(Upgrades!$P$12,K20)*60</f>
        <v>60</v>
      </c>
      <c r="AE20" s="27" t="n">
        <f aca="false">(IF(K20=0,0,(Upgrades!$G$12+K20*Upgrades!$H$12)*POWER(Upgrades!$I$12,K20)))*(IF(Upgrades!$T$6="First Photons",POWER(Upgrades!$U$6,E20),1)*IF(Upgrades!$T$7="First Photons",POWER(Upgrades!$U$7,F20),1)*IF(Upgrades!$T$8="First Photons",POWER(Upgrades!$U$8,G20),1)*IF(Upgrades!$T$9="First Photons",POWER(Upgrades!$U$9,H20),1)*IF(Upgrades!$T$10="First Photons",POWER(Upgrades!$U$10,I20),1)*IF(Upgrades!$T$11="First Photons",POWER(Upgrades!$U$11,J20),1))*POWER(Upgrades!$P$6,E20)*POWER(Upgrades!$P$7,F20)*POWER(Upgrades!$P$8,G20)*POWER(Upgrades!$P$9,H20)*POWER(Upgrades!$P$10,I20)*POWER(Upgrades!$P$11,J20)*POWER(Upgrades!$P$12,K20)*60</f>
        <v>0</v>
      </c>
      <c r="AF20" s="27" t="n">
        <f aca="false">Parameters!$B$9*POWER(Upgrades!$Q$6,E20)*POWER(Upgrades!$Q$7,F20)*POWER(Upgrades!$Q$8,G20)*POWER(Upgrades!$Q$9,H20)*POWER(Upgrades!$Q$10,I20)*POWER(Upgrades!$Q$11,J20)*POWER(Upgrades!$Q$12,K20)*(Parameters!$B$10*Parameters!$B$11+O20*60)</f>
        <v>100</v>
      </c>
      <c r="AG20" s="21" t="n">
        <f aca="false">IF(E20&gt;=Upgrades!$E$6,"",Upgrades!$C$6*POWER(Upgrades!$D$6,E20))</f>
        <v>12.24304375</v>
      </c>
      <c r="AH20" s="21" t="n">
        <f aca="false">IF(F20&gt;=Upgrades!$E$7,"",Upgrades!$C$7*POWER(Upgrades!$D$7,F20))</f>
        <v>30.4175</v>
      </c>
      <c r="AI20" s="21" t="n">
        <f aca="false">IF(G20&gt;=Upgrades!$E$8,"",Upgrades!$C$8*POWER(Upgrades!$D$8,G20))</f>
        <v>118.32128</v>
      </c>
      <c r="AJ20" s="21" t="n">
        <f aca="false">IF(H20&gt;=Upgrades!$E$9,"",Upgrades!$C$9*POWER(Upgrades!$D$9,H20))</f>
        <v>160</v>
      </c>
      <c r="AK20" s="21" t="n">
        <f aca="false">IF(I20&gt;=Upgrades!$E$10,"",Upgrades!$C$10*POWER(Upgrades!$D$10,I20))</f>
        <v>240</v>
      </c>
      <c r="AL20" s="21" t="n">
        <f aca="false">IF(J20&gt;=Upgrades!$E$11,"",Upgrades!$C$11*POWER(Upgrades!$D$11,J20))</f>
        <v>575</v>
      </c>
      <c r="AM20" s="21" t="n">
        <f aca="false">IF(K20&gt;=Upgrades!$E$12,"",Upgrades!$C$12*POWER(Upgrades!$D$12,K20))</f>
        <v>850</v>
      </c>
      <c r="AN20" s="26" t="str">
        <f aca="false">IF(AND(D20&gt;=Parameters!$B$18,(H20&gt;=Upgrades!$E$9)*(K20&gt;=Upgrades!$E$12)=1,L20=0),1,"")</f>
        <v/>
      </c>
      <c r="AO20" s="26" t="str">
        <f aca="false">IF(AND(D20&gt;=Parameters!$B$18,L20=0),1,"")</f>
        <v/>
      </c>
      <c r="AP20" s="21" t="n">
        <f aca="false">MIN(IF(ISNUMBER(AK20),AK20,9000000000000000),IF(ISNUMBER(AL20),AL20,9000000000000000),IF(ISNUMBER(AM20),AM20,9000000000000000))</f>
        <v>240</v>
      </c>
      <c r="AQ20" s="21" t="n">
        <f aca="false">MIN(IF(ISNUMBER(AG20),AG20,9000000000000000),IF(ISNUMBER(AH20),AH20,9000000000000000),IF(ISNUMBER(AI20),AI20,9000000000000000),IF(ISNUMBER(AJ20),AJ20,9000000000000000))</f>
        <v>12.24304375</v>
      </c>
      <c r="AR20" s="32" t="b">
        <f aca="false">IF(AW20&gt;Parameters!$B$21*(MAX(IF(AND(NOT(AND(AO20=1,AN20&lt;&gt;1)),ISNUMBER(AG20),AG20&lt;=T20),AS20,0),IF(AND(NOT(AND(AO20=1,AN20&lt;&gt;1)),ISNUMBER(AH20),AH20&lt;=T20),AT20,0),IF(AND(NOT(AND(AO20=1,AN20&lt;&gt;1)),ISNUMBER(AI20),AI20&lt;=T20),AU20,0),IF(AND(ISNUMBER(AJ20),AJ20&lt;=T20),AV20,0))),TRUE(),FALSE())</f>
        <v>0</v>
      </c>
      <c r="AS20" s="33" t="n">
        <f aca="false">IFERROR(Upgrades!$H$6*(POWER(Upgrades!$P$6,E20)*POWER(Upgrades!$P$7,F20)*POWER(Upgrades!$P$8,G20)*POWER(Upgrades!$P$9,H20)*POWER(Upgrades!$P$10,I20)*POWER(Upgrades!$P$11,J20)*POWER(Upgrades!$P$12,K20))*(IF(Upgrades!$T$7="Solar Wind",POWER(Upgrades!$U$7,F20),1)*IF(Upgrades!$T$8="Solar Wind",POWER(Upgrades!$U$8,G20),1)*IF(Upgrades!$T$9="Solar Wind",POWER(Upgrades!$U$9,H20),1)*IF(Upgrades!$T$10="Solar Wind",POWER(Upgrades!$U$10,I20),1)*IF(Upgrades!$T$11="Solar Wind",POWER(Upgrades!$U$11,J20),1)*IF(Upgrades!$T$12="Solar Wind",POWER(Upgrades!$U$12,K20),1))/AG20,0)</f>
        <v>0.00653432280677752</v>
      </c>
      <c r="AT20" s="33" t="n">
        <f aca="false">IFERROR(Upgrades!$H$7*(POWER(Upgrades!$P$6,E20)*POWER(Upgrades!$P$7,F20)*POWER(Upgrades!$P$8,G20)*POWER(Upgrades!$P$9,H20)*POWER(Upgrades!$P$10,I20)*POWER(Upgrades!$P$11,J20)*POWER(Upgrades!$P$12,K20))*(IF(Upgrades!$T$6="Asteroid Belt",POWER(Upgrades!$U$6,E20),1)*IF(Upgrades!$T$8="Asteroid Belt",POWER(Upgrades!$U$8,G20),1)*IF(Upgrades!$T$9="Asteroid Belt",POWER(Upgrades!$U$9,H20),1)*IF(Upgrades!$T$10="Asteroid Belt",POWER(Upgrades!$U$10,I20),1)*IF(Upgrades!$T$11="Asteroid Belt",POWER(Upgrades!$U$11,J20),1)*IF(Upgrades!$T$12="Asteroid Belt",POWER(Upgrades!$U$12,K20),1))/AH20,0)</f>
        <v>0.00657516232431988</v>
      </c>
      <c r="AU20" s="33" t="n">
        <f aca="false">IFERROR(Upgrades!$K$8*(POWER(Upgrades!$Q$6,E20)*POWER(Upgrades!$Q$7,F20)*POWER(Upgrades!$Q$8,G20)*POWER(Upgrades!$Q$9,H20)*POWER(Upgrades!$Q$10,I20)*POWER(Upgrades!$Q$11,J20)*POWER(Upgrades!$Q$12,K20))*(IF(Upgrades!$T$6="Stellar Coupling",POWER(Upgrades!$U$6,E20),1)*IF(Upgrades!$T$7="Stellar Coupling",POWER(Upgrades!$U$7,F20),1)*IF(Upgrades!$T$9="Stellar Coupling",POWER(Upgrades!$U$9,H20),1)*IF(Upgrades!$T$10="Stellar Coupling",POWER(Upgrades!$U$10,I20),1)*IF(Upgrades!$T$11="Stellar Coupling",POWER(Upgrades!$U$11,J20),1)*IF(Upgrades!$T$12="Stellar Coupling",POWER(Upgrades!$U$12,K20),1))*Parameters!$B$10*Parameters!$B$11/60/AI20,0)</f>
        <v>0.00493007963853445</v>
      </c>
      <c r="AV20" s="33" t="n">
        <f aca="false">IFERROR(Upgrades!$H$9*(POWER(Upgrades!$P$6,E20)*POWER(Upgrades!$P$7,F20)*POWER(Upgrades!$P$8,G20)*POWER(Upgrades!$P$9,H20)*POWER(Upgrades!$P$10,I20)*POWER(Upgrades!$P$11,J20)*POWER(Upgrades!$P$12,K20))*(IF(Upgrades!$T$6="Magnetosphere",POWER(Upgrades!$U$6,E20),1)*IF(Upgrades!$T$7="Magnetosphere",POWER(Upgrades!$U$7,F20),1)*IF(Upgrades!$T$8="Magnetosphere",POWER(Upgrades!$U$8,G20),1)*IF(Upgrades!$T$10="Magnetosphere",POWER(Upgrades!$U$10,I20),1)*IF(Upgrades!$T$11="Magnetosphere",POWER(Upgrades!$U$11,J20),1)*IF(Upgrades!$T$12="Magnetosphere",POWER(Upgrades!$U$12,K20),1))/AJ20,0)</f>
        <v>0.00625</v>
      </c>
      <c r="AW20" s="33" t="n">
        <f aca="false">MAX(IF(I20&gt;0,0,IFERROR(0.25*N20/Upgrades!$C$10,0)),IF(J20&gt;0,0,IFERROR(0.5*((IF(G20=0,0,(Upgrades!$J$8+G20*Upgrades!$K$8)*POWER(Upgrades!$L$8,G20)))*(IF(Upgrades!$T$6="Stellar Coupling",POWER(Upgrades!$U$6,E20),1)*IF(Upgrades!$T$7="Stellar Coupling",POWER(Upgrades!$U$7,F20),1)*IF(Upgrades!$T$9="Stellar Coupling",POWER(Upgrades!$U$9,H20),1)*IF(Upgrades!$T$10="Stellar Coupling",POWER(Upgrades!$U$10,I20),1)*IF(Upgrades!$T$11="Stellar Coupling",POWER(Upgrades!$U$11,J20),1)*IF(Upgrades!$T$12="Stellar Coupling",POWER(Upgrades!$U$12,K20),1))*(POWER(Upgrades!$Q$6,E20)*POWER(Upgrades!$Q$7,F20)*POWER(Upgrades!$Q$8,G20)*POWER(Upgrades!$Q$9,H20)*POWER(Upgrades!$Q$10,I20)*POWER(Upgrades!$Q$11,J20)*POWER(Upgrades!$Q$12,K20))*Parameters!$B$10*Parameters!$B$11/60)/Upgrades!$C$11,0)),IF(K20&gt;0,0,IFERROR((1*(POWER(Upgrades!$P$6,E20)*POWER(Upgrades!$P$7,F20)*POWER(Upgrades!$P$8,G20)*POWER(Upgrades!$P$9,H20)*POWER(Upgrades!$P$10,I20)*POWER(Upgrades!$P$11,J20)*POWER(Upgrades!$P$12,K20))+0.2*M20*Parameters!$B$10*Parameters!$B$11/60)/Upgrades!$C$12,0)),IF(AND(ISNUMBER(AG20),AG20&gt;T20),AS20,0),IF(AND(ISNUMBER(AH20),AH20&gt;T20),AT20,0),IF(AND(ISNUMBER(AI20),AI20&gt;T20),AU20,0),IF(AND(ISNUMBER(AJ20),AJ20&gt;T20),AV20,0))</f>
        <v>0.00253623188405797</v>
      </c>
      <c r="AX20" s="29" t="str">
        <f aca="false">IF(AN20=1,"transition",IF(MIN(IF(AND(I20=0,ISNUMBER(AK20),AK20&lt;=T20),AK20,9000000000000000),IF(AND(J20=0,ISNUMBER(AL20),AL20&lt;=T20),AL20,9000000000000000),IF(AND(K20=0,ISNUMBER(AM20),AM20&lt;=T20),AM20,9000000000000000))&lt;9000000000000000,IF(AND(AND(I20=0,ISNUMBER(AK20),AK20&lt;=T20),AK20=MIN(IF(AND(I20=0,ISNUMBER(AK20),AK20&lt;=T20),AK20,9000000000000000),IF(AND(J20=0,ISNUMBER(AL20),AL20&lt;=T20),AL20,9000000000000000),IF(AND(K20=0,ISNUMBER(AM20),AM20&lt;=T20),AM20,9000000000000000))),"OR",IF(AND(AND(J20=0,ISNUMBER(AL20),AL20&lt;=T20),AL20=MIN(IF(AND(I20=0,ISNUMBER(AK20),AK20&lt;=T20),AK20,9000000000000000),IF(AND(J20=0,ISNUMBER(AL20),AL20&lt;=T20),AL20,9000000000000000),IF(AND(K20=0,ISNUMBER(AM20),AM20&lt;=T20),AM20,9000000000000000))),"HP","FP")),IF(AR20=TRUE(),"",IF(MAX(IF(AND(NOT(AND(AO20=1,AN20&lt;&gt;1)),ISNUMBER(AG20),AG20&lt;=T20),AS20,0),IF(AND(NOT(AND(AO20=1,AN20&lt;&gt;1)),ISNUMBER(AH20),AH20&lt;=T20),AT20,0),IF(AND(NOT(AND(AO20=1,AN20&lt;&gt;1)),ISNUMBER(AI20),AI20&lt;=T20),AU20,0),IF(AND(ISNUMBER(AJ20),AJ20&lt;=T20),AV20,0))&lt;=0,"",IF(AND(IF(AND(NOT(AND(AO20=1,AN20&lt;&gt;1)),ISNUMBER(AG20),AG20&lt;=T20),AS20,0)&gt;0,IF(AND(NOT(AND(AO20=1,AN20&lt;&gt;1)),ISNUMBER(AG20),AG20&lt;=T20),AS20,0)=MAX(IF(AND(NOT(AND(AO20=1,AN20&lt;&gt;1)),ISNUMBER(AG20),AG20&lt;=T20),AS20,0),IF(AND(NOT(AND(AO20=1,AN20&lt;&gt;1)),ISNUMBER(AH20),AH20&lt;=T20),AT20,0),IF(AND(NOT(AND(AO20=1,AN20&lt;&gt;1)),ISNUMBER(AI20),AI20&lt;=T20),AU20,0),IF(AND(ISNUMBER(AJ20),AJ20&lt;=T20),AV20,0))),"SW",IF(AND(IF(AND(NOT(AND(AO20=1,AN20&lt;&gt;1)),ISNUMBER(AH20),AH20&lt;=T20),AT20,0)&gt;0,IF(AND(NOT(AND(AO20=1,AN20&lt;&gt;1)),ISNUMBER(AH20),AH20&lt;=T20),AT20,0)=MAX(IF(AND(NOT(AND(AO20=1,AN20&lt;&gt;1)),ISNUMBER(AG20),AG20&lt;=T20),AS20,0),IF(AND(NOT(AND(AO20=1,AN20&lt;&gt;1)),ISNUMBER(AH20),AH20&lt;=T20),AT20,0),IF(AND(NOT(AND(AO20=1,AN20&lt;&gt;1)),ISNUMBER(AI20),AI20&lt;=T20),AU20,0),IF(AND(ISNUMBER(AJ20),AJ20&lt;=T20),AV20,0))),"AB",IF(AND(IF(AND(NOT(AND(AO20=1,AN20&lt;&gt;1)),ISNUMBER(AI20),AI20&lt;=T20),AU20,0)&gt;0,IF(AND(NOT(AND(AO20=1,AN20&lt;&gt;1)),ISNUMBER(AI20),AI20&lt;=T20),AU20,0)=MAX(IF(AND(NOT(AND(AO20=1,AN20&lt;&gt;1)),ISNUMBER(AG20),AG20&lt;=T20),AS20,0),IF(AND(NOT(AND(AO20=1,AN20&lt;&gt;1)),ISNUMBER(AH20),AH20&lt;=T20),AT20,0),IF(AND(NOT(AND(AO20=1,AN20&lt;&gt;1)),ISNUMBER(AI20),AI20&lt;=T20),AU20,0),IF(AND(ISNUMBER(AJ20),AJ20&lt;=T20),AV20,0))),"SC","Mag")))))))</f>
        <v>AB</v>
      </c>
    </row>
    <row r="21" customFormat="false" ht="15" hidden="false" customHeight="false" outlineLevel="0" collapsed="false">
      <c r="A21" s="26" t="n">
        <v>16</v>
      </c>
      <c r="B21" s="27" t="n">
        <f aca="false">A21*10/60</f>
        <v>2.66666666666667</v>
      </c>
      <c r="C21" s="21" t="n">
        <f aca="false">X20</f>
        <v>159.542341666667</v>
      </c>
      <c r="D21" s="27" t="n">
        <f aca="false">D20+W20</f>
        <v>0</v>
      </c>
      <c r="E21" s="26" t="n">
        <f aca="false">E20+IF(U20="SW",1,0)</f>
        <v>4</v>
      </c>
      <c r="F21" s="26" t="n">
        <f aca="false">F20+IF(U20="AB",1,0)</f>
        <v>4</v>
      </c>
      <c r="G21" s="26" t="n">
        <f aca="false">G20+IF(U20="SC",1,0)</f>
        <v>5</v>
      </c>
      <c r="H21" s="26" t="n">
        <f aca="false">H20+IF(U20="Mag",1,0)</f>
        <v>1</v>
      </c>
      <c r="I21" s="26" t="n">
        <f aca="false">MAX(I20,IF(U20="OR",1,0))</f>
        <v>0</v>
      </c>
      <c r="J21" s="26" t="n">
        <f aca="false">MAX(J20,IF(U20="HP",1,0))</f>
        <v>0</v>
      </c>
      <c r="K21" s="26" t="n">
        <f aca="false">MAX(K20,IF(U20="FP",1,0))</f>
        <v>0</v>
      </c>
      <c r="L21" s="26" t="n">
        <f aca="false">MAX(L20,IF(U20="transition",1,0))</f>
        <v>0</v>
      </c>
      <c r="M21" s="28" t="n">
        <f aca="false">(Parameters!$B$9+(IF(E21=0,0,(Upgrades!$J$6+E21*Upgrades!$K$6)*POWER(Upgrades!$L$6,E21)))*(IF(Upgrades!$T$7="Solar Wind",POWER(Upgrades!$U$7,F21),1)*IF(Upgrades!$T$8="Solar Wind",POWER(Upgrades!$U$8,G21),1)*IF(Upgrades!$T$9="Solar Wind",POWER(Upgrades!$U$9,H21),1)*IF(Upgrades!$T$10="Solar Wind",POWER(Upgrades!$U$10,I21),1)*IF(Upgrades!$T$11="Solar Wind",POWER(Upgrades!$U$11,J21),1)*IF(Upgrades!$T$12="Solar Wind",POWER(Upgrades!$U$12,K21),1))+(IF(F21=0,0,(Upgrades!$J$7+F21*Upgrades!$K$7)*POWER(Upgrades!$L$7,F21)))*(IF(Upgrades!$T$6="Asteroid Belt",POWER(Upgrades!$U$6,E21),1)*IF(Upgrades!$T$8="Asteroid Belt",POWER(Upgrades!$U$8,G21),1)*IF(Upgrades!$T$9="Asteroid Belt",POWER(Upgrades!$U$9,H21),1)*IF(Upgrades!$T$10="Asteroid Belt",POWER(Upgrades!$U$10,I21),1)*IF(Upgrades!$T$11="Asteroid Belt",POWER(Upgrades!$U$11,J21),1)*IF(Upgrades!$T$12="Asteroid Belt",POWER(Upgrades!$U$12,K21),1))+(IF(G21=0,0,(Upgrades!$J$8+G21*Upgrades!$K$8)*POWER(Upgrades!$L$8,G21)))*(IF(Upgrades!$T$6="Stellar Coupling",POWER(Upgrades!$U$6,E21),1)*IF(Upgrades!$T$7="Stellar Coupling",POWER(Upgrades!$U$7,F21),1)*IF(Upgrades!$T$9="Stellar Coupling",POWER(Upgrades!$U$9,H21),1)*IF(Upgrades!$T$10="Stellar Coupling",POWER(Upgrades!$U$10,I21),1)*IF(Upgrades!$T$11="Stellar Coupling",POWER(Upgrades!$U$11,J21),1)*IF(Upgrades!$T$12="Stellar Coupling",POWER(Upgrades!$U$12,K21),1))+(IF(H21=0,0,(Upgrades!$J$9+H21*Upgrades!$K$9)*POWER(Upgrades!$L$9,H21)))*(IF(Upgrades!$T$6="Magnetosphere",POWER(Upgrades!$U$6,E21),1)*IF(Upgrades!$T$7="Magnetosphere",POWER(Upgrades!$U$7,F21),1)*IF(Upgrades!$T$8="Magnetosphere",POWER(Upgrades!$U$8,G21),1)*IF(Upgrades!$T$10="Magnetosphere",POWER(Upgrades!$U$10,I21),1)*IF(Upgrades!$T$11="Magnetosphere",POWER(Upgrades!$U$11,J21),1)*IF(Upgrades!$T$12="Magnetosphere",POWER(Upgrades!$U$12,K21),1))+(IF(I21=0,0,(Upgrades!$J$10+I21*Upgrades!$K$10)*POWER(Upgrades!$L$10,I21)))*(IF(Upgrades!$T$6="Orbital Resonance",POWER(Upgrades!$U$6,E21),1)*IF(Upgrades!$T$7="Orbital Resonance",POWER(Upgrades!$U$7,F21),1)*IF(Upgrades!$T$8="Orbital Resonance",POWER(Upgrades!$U$8,G21),1)*IF(Upgrades!$T$9="Orbital Resonance",POWER(Upgrades!$U$9,H21),1)*IF(Upgrades!$T$11="Orbital Resonance",POWER(Upgrades!$U$11,J21),1)*IF(Upgrades!$T$12="Orbital Resonance",POWER(Upgrades!$U$12,K21),1))+(IF(J21=0,0,(Upgrades!$J$11+J21*Upgrades!$K$11)*POWER(Upgrades!$L$11,J21)))*(IF(Upgrades!$T$6="Heliopause",POWER(Upgrades!$U$6,E21),1)*IF(Upgrades!$T$7="Heliopause",POWER(Upgrades!$U$7,F21),1)*IF(Upgrades!$T$8="Heliopause",POWER(Upgrades!$U$8,G21),1)*IF(Upgrades!$T$9="Heliopause",POWER(Upgrades!$U$9,H21),1)*IF(Upgrades!$T$10="Heliopause",POWER(Upgrades!$U$10,I21),1)*IF(Upgrades!$T$12="Heliopause",POWER(Upgrades!$U$12,K21),1))+(IF(K21=0,0,(Upgrades!$J$12+K21*Upgrades!$K$12)*POWER(Upgrades!$L$12,K21)))*(IF(Upgrades!$T$6="First Photons",POWER(Upgrades!$U$6,E21),1)*IF(Upgrades!$T$7="First Photons",POWER(Upgrades!$U$7,F21),1)*IF(Upgrades!$T$8="First Photons",POWER(Upgrades!$U$8,G21),1)*IF(Upgrades!$T$9="First Photons",POWER(Upgrades!$U$9,H21),1)*IF(Upgrades!$T$10="First Photons",POWER(Upgrades!$U$10,I21),1)*IF(Upgrades!$T$11="First Photons",POWER(Upgrades!$U$11,J21),1)))*POWER(Upgrades!$Q$6,E21)*POWER(Upgrades!$Q$7,F21)*POWER(Upgrades!$Q$8,G21)*POWER(Upgrades!$Q$9,H21)*POWER(Upgrades!$Q$10,I21)*POWER(Upgrades!$Q$11,J21)*POWER(Upgrades!$Q$12,K21)</f>
        <v>2.75</v>
      </c>
      <c r="N21" s="28" t="n">
        <f aca="false">((IF(E21=0,0,(Upgrades!$G$6+E21*Upgrades!$H$6)*POWER(Upgrades!$I$6,E21)))*(IF(Upgrades!$T$7="Solar Wind",POWER(Upgrades!$U$7,F21),1)*IF(Upgrades!$T$8="Solar Wind",POWER(Upgrades!$U$8,G21),1)*IF(Upgrades!$T$9="Solar Wind",POWER(Upgrades!$U$9,H21),1)*IF(Upgrades!$T$10="Solar Wind",POWER(Upgrades!$U$10,I21),1)*IF(Upgrades!$T$11="Solar Wind",POWER(Upgrades!$U$11,J21),1)*IF(Upgrades!$T$12="Solar Wind",POWER(Upgrades!$U$12,K21),1))+(IF(F21=0,0,(Upgrades!$G$7+F21*Upgrades!$H$7)*POWER(Upgrades!$I$7,F21)))*(IF(Upgrades!$T$6="Asteroid Belt",POWER(Upgrades!$U$6,E21),1)*IF(Upgrades!$T$8="Asteroid Belt",POWER(Upgrades!$U$8,G21),1)*IF(Upgrades!$T$9="Asteroid Belt",POWER(Upgrades!$U$9,H21),1)*IF(Upgrades!$T$10="Asteroid Belt",POWER(Upgrades!$U$10,I21),1)*IF(Upgrades!$T$11="Asteroid Belt",POWER(Upgrades!$U$11,J21),1)*IF(Upgrades!$T$12="Asteroid Belt",POWER(Upgrades!$U$12,K21),1))+(IF(G21=0,0,(Upgrades!$G$8+G21*Upgrades!$H$8)*POWER(Upgrades!$I$8,G21)))*(IF(Upgrades!$T$6="Stellar Coupling",POWER(Upgrades!$U$6,E21),1)*IF(Upgrades!$T$7="Stellar Coupling",POWER(Upgrades!$U$7,F21),1)*IF(Upgrades!$T$9="Stellar Coupling",POWER(Upgrades!$U$9,H21),1)*IF(Upgrades!$T$10="Stellar Coupling",POWER(Upgrades!$U$10,I21),1)*IF(Upgrades!$T$11="Stellar Coupling",POWER(Upgrades!$U$11,J21),1)*IF(Upgrades!$T$12="Stellar Coupling",POWER(Upgrades!$U$12,K21),1))+(IF(H21=0,0,(Upgrades!$G$9+H21*Upgrades!$H$9)*POWER(Upgrades!$I$9,H21)))*(IF(Upgrades!$T$6="Magnetosphere",POWER(Upgrades!$U$6,E21),1)*IF(Upgrades!$T$7="Magnetosphere",POWER(Upgrades!$U$7,F21),1)*IF(Upgrades!$T$8="Magnetosphere",POWER(Upgrades!$U$8,G21),1)*IF(Upgrades!$T$10="Magnetosphere",POWER(Upgrades!$U$10,I21),1)*IF(Upgrades!$T$11="Magnetosphere",POWER(Upgrades!$U$11,J21),1)*IF(Upgrades!$T$12="Magnetosphere",POWER(Upgrades!$U$12,K21),1))+(IF(I21=0,0,(Upgrades!$G$10+I21*Upgrades!$H$10)*POWER(Upgrades!$I$10,I21)))*(IF(Upgrades!$T$6="Orbital Resonance",POWER(Upgrades!$U$6,E21),1)*IF(Upgrades!$T$7="Orbital Resonance",POWER(Upgrades!$U$7,F21),1)*IF(Upgrades!$T$8="Orbital Resonance",POWER(Upgrades!$U$8,G21),1)*IF(Upgrades!$T$9="Orbital Resonance",POWER(Upgrades!$U$9,H21),1)*IF(Upgrades!$T$11="Orbital Resonance",POWER(Upgrades!$U$11,J21),1)*IF(Upgrades!$T$12="Orbital Resonance",POWER(Upgrades!$U$12,K21),1))+(IF(J21=0,0,(Upgrades!$G$11+J21*Upgrades!$H$11)*POWER(Upgrades!$I$11,J21)))*(IF(Upgrades!$T$6="Heliopause",POWER(Upgrades!$U$6,E21),1)*IF(Upgrades!$T$7="Heliopause",POWER(Upgrades!$U$7,F21),1)*IF(Upgrades!$T$8="Heliopause",POWER(Upgrades!$U$8,G21),1)*IF(Upgrades!$T$9="Heliopause",POWER(Upgrades!$U$9,H21),1)*IF(Upgrades!$T$10="Heliopause",POWER(Upgrades!$U$10,I21),1)*IF(Upgrades!$T$12="Heliopause",POWER(Upgrades!$U$12,K21),1))+(IF(K21=0,0,(Upgrades!$G$12+K21*Upgrades!$H$12)*POWER(Upgrades!$I$12,K21)))*(IF(Upgrades!$T$6="First Photons",POWER(Upgrades!$U$6,E21),1)*IF(Upgrades!$T$7="First Photons",POWER(Upgrades!$U$7,F21),1)*IF(Upgrades!$T$8="First Photons",POWER(Upgrades!$U$8,G21),1)*IF(Upgrades!$T$9="First Photons",POWER(Upgrades!$U$9,H21),1)*IF(Upgrades!$T$10="First Photons",POWER(Upgrades!$U$10,I21),1)*IF(Upgrades!$T$11="First Photons",POWER(Upgrades!$U$11,J21),1)))*POWER(Upgrades!$P$6,E21)*POWER(Upgrades!$P$7,F21)*POWER(Upgrades!$P$8,G21)*POWER(Upgrades!$P$9,H21)*POWER(Upgrades!$P$10,I21)*POWER(Upgrades!$P$11,J21)*POWER(Upgrades!$P$12,K21)</f>
        <v>2.12</v>
      </c>
      <c r="O21" s="28" t="n">
        <f aca="false">((IF(E21=0,0,(Upgrades!$M$6+E21*Upgrades!$N$6)*POWER(Upgrades!$O$6,E21)))*(IF(Upgrades!$T$7="Solar Wind",POWER(Upgrades!$U$7,F21),1)*IF(Upgrades!$T$8="Solar Wind",POWER(Upgrades!$U$8,G21),1)*IF(Upgrades!$T$9="Solar Wind",POWER(Upgrades!$U$9,H21),1)*IF(Upgrades!$T$10="Solar Wind",POWER(Upgrades!$U$10,I21),1)*IF(Upgrades!$T$11="Solar Wind",POWER(Upgrades!$U$11,J21),1)*IF(Upgrades!$T$12="Solar Wind",POWER(Upgrades!$U$12,K21),1))+(IF(F21=0,0,(Upgrades!$M$7+F21*Upgrades!$N$7)*POWER(Upgrades!$O$7,F21)))*(IF(Upgrades!$T$6="Asteroid Belt",POWER(Upgrades!$U$6,E21),1)*IF(Upgrades!$T$8="Asteroid Belt",POWER(Upgrades!$U$8,G21),1)*IF(Upgrades!$T$9="Asteroid Belt",POWER(Upgrades!$U$9,H21),1)*IF(Upgrades!$T$10="Asteroid Belt",POWER(Upgrades!$U$10,I21),1)*IF(Upgrades!$T$11="Asteroid Belt",POWER(Upgrades!$U$11,J21),1)*IF(Upgrades!$T$12="Asteroid Belt",POWER(Upgrades!$U$12,K21),1))+(IF(G21=0,0,(Upgrades!$M$8+G21*Upgrades!$N$8)*POWER(Upgrades!$O$8,G21)))*(IF(Upgrades!$T$6="Stellar Coupling",POWER(Upgrades!$U$6,E21),1)*IF(Upgrades!$T$7="Stellar Coupling",POWER(Upgrades!$U$7,F21),1)*IF(Upgrades!$T$9="Stellar Coupling",POWER(Upgrades!$U$9,H21),1)*IF(Upgrades!$T$10="Stellar Coupling",POWER(Upgrades!$U$10,I21),1)*IF(Upgrades!$T$11="Stellar Coupling",POWER(Upgrades!$U$11,J21),1)*IF(Upgrades!$T$12="Stellar Coupling",POWER(Upgrades!$U$12,K21),1))+(IF(H21=0,0,(Upgrades!$M$9+H21*Upgrades!$N$9)*POWER(Upgrades!$O$9,H21)))*(IF(Upgrades!$T$6="Magnetosphere",POWER(Upgrades!$U$6,E21),1)*IF(Upgrades!$T$7="Magnetosphere",POWER(Upgrades!$U$7,F21),1)*IF(Upgrades!$T$8="Magnetosphere",POWER(Upgrades!$U$8,G21),1)*IF(Upgrades!$T$10="Magnetosphere",POWER(Upgrades!$U$10,I21),1)*IF(Upgrades!$T$11="Magnetosphere",POWER(Upgrades!$U$11,J21),1)*IF(Upgrades!$T$12="Magnetosphere",POWER(Upgrades!$U$12,K21),1))+(IF(I21=0,0,(Upgrades!$M$10+I21*Upgrades!$N$10)*POWER(Upgrades!$O$10,I21)))*(IF(Upgrades!$T$6="Orbital Resonance",POWER(Upgrades!$U$6,E21),1)*IF(Upgrades!$T$7="Orbital Resonance",POWER(Upgrades!$U$7,F21),1)*IF(Upgrades!$T$8="Orbital Resonance",POWER(Upgrades!$U$8,G21),1)*IF(Upgrades!$T$9="Orbital Resonance",POWER(Upgrades!$U$9,H21),1)*IF(Upgrades!$T$11="Orbital Resonance",POWER(Upgrades!$U$11,J21),1)*IF(Upgrades!$T$12="Orbital Resonance",POWER(Upgrades!$U$12,K21),1))+(IF(J21=0,0,(Upgrades!$M$11+J21*Upgrades!$N$11)*POWER(Upgrades!$O$11,J21)))*(IF(Upgrades!$T$6="Heliopause",POWER(Upgrades!$U$6,E21),1)*IF(Upgrades!$T$7="Heliopause",POWER(Upgrades!$U$7,F21),1)*IF(Upgrades!$T$8="Heliopause",POWER(Upgrades!$U$8,G21),1)*IF(Upgrades!$T$9="Heliopause",POWER(Upgrades!$U$9,H21),1)*IF(Upgrades!$T$10="Heliopause",POWER(Upgrades!$U$10,I21),1)*IF(Upgrades!$T$12="Heliopause",POWER(Upgrades!$U$12,K21),1))+(IF(K21=0,0,(Upgrades!$M$12+K21*Upgrades!$N$12)*POWER(Upgrades!$O$12,K21)))*(IF(Upgrades!$T$6="First Photons",POWER(Upgrades!$U$6,E21),1)*IF(Upgrades!$T$7="First Photons",POWER(Upgrades!$U$7,F21),1)*IF(Upgrades!$T$8="First Photons",POWER(Upgrades!$U$8,G21),1)*IF(Upgrades!$T$9="First Photons",POWER(Upgrades!$U$9,H21),1)*IF(Upgrades!$T$10="First Photons",POWER(Upgrades!$U$10,I21),1)*IF(Upgrades!$T$11="First Photons",POWER(Upgrades!$U$11,J21),1)))*POWER(Upgrades!$R$6,E21)*POWER(Upgrades!$R$7,F21)*POWER(Upgrades!$R$8,G21)*POWER(Upgrades!$R$9,H21)*POWER(Upgrades!$R$10,I21)*POWER(Upgrades!$R$11,J21)*POWER(Upgrades!$R$12,K21)</f>
        <v>0</v>
      </c>
      <c r="P21" s="27" t="n">
        <f aca="false">IF(L21=1,0,M21*Parameters!$B$10/60*Parameters!$B$11*10)</f>
        <v>45.8333333333333</v>
      </c>
      <c r="Q21" s="27" t="n">
        <f aca="false">IF(L21=1,0,O21*M21*10)</f>
        <v>0</v>
      </c>
      <c r="R21" s="27" t="n">
        <f aca="false">IF(L21=1,0,N21*10)</f>
        <v>21.2</v>
      </c>
      <c r="S21" s="27" t="n">
        <f aca="false">P21+Q21+R21</f>
        <v>67.0333333333333</v>
      </c>
      <c r="T21" s="21" t="n">
        <f aca="false">C21+S21</f>
        <v>226.575675</v>
      </c>
      <c r="U21" s="34" t="str">
        <f aca="false">AX21</f>
        <v>SW</v>
      </c>
      <c r="V21" s="21" t="n">
        <f aca="false">IF(U21="",0,IF(U21="transition",0,IF(U21="SW",AG21,IF(U21="AB",AH21,IF(U21="SC",AI21,IF(U21="Mag",AJ21,IF(U21="OR",AK21,IF(U21="HP",AL21,IF(U21="FP",AM21,0)))))))))</f>
        <v>12.24304375</v>
      </c>
      <c r="W21" s="27" t="n">
        <f aca="false">IF(U21="OR",Upgrades!$F$10,IF(U21="HP",Upgrades!$F$11,IF(U21="transition",-Parameters!$B$18,0)))</f>
        <v>0</v>
      </c>
      <c r="X21" s="21" t="n">
        <f aca="false">T21-V21</f>
        <v>214.33263125</v>
      </c>
      <c r="Y21" s="30" t="n">
        <f aca="false">M21*Parameters!$B$10/60*Parameters!$B$11+O21*M21+N21</f>
        <v>6.70333333333333</v>
      </c>
      <c r="Z21" s="35" t="str">
        <f aca="false">IF(U21="transition","→ Tier 2 (Stellar Neighborhood)",IF(U21="FP","First Photons — light begins, system quickens",IF(U21="HP","Heliopause acquired",IF(U21="OR","Orbital Resonance — passive multiplier active",IF(AND(AO21=1,L21=0,AN21&lt;&gt;1),"Cohesion ready (waiting on completionist upgrades)","")))))</f>
        <v/>
      </c>
      <c r="AA21" s="27" t="n">
        <f aca="false">(IF(E21=0,0,(Upgrades!$G$6+E21*Upgrades!$H$6)*POWER(Upgrades!$I$6,E21)))*(IF(Upgrades!$T$7="Solar Wind",POWER(Upgrades!$U$7,F21),1)*IF(Upgrades!$T$8="Solar Wind",POWER(Upgrades!$U$8,G21),1)*IF(Upgrades!$T$9="Solar Wind",POWER(Upgrades!$U$9,H21),1)*IF(Upgrades!$T$10="Solar Wind",POWER(Upgrades!$U$10,I21),1)*IF(Upgrades!$T$11="Solar Wind",POWER(Upgrades!$U$11,J21),1)*IF(Upgrades!$T$12="Solar Wind",POWER(Upgrades!$U$12,K21),1))*POWER(Upgrades!$P$6,E21)*POWER(Upgrades!$P$7,F21)*POWER(Upgrades!$P$8,G21)*POWER(Upgrades!$P$9,H21)*POWER(Upgrades!$P$10,I21)*POWER(Upgrades!$P$11,J21)*POWER(Upgrades!$P$12,K21)*60</f>
        <v>19.2</v>
      </c>
      <c r="AB21" s="27" t="n">
        <f aca="false">(IF(F21=0,0,(Upgrades!$G$7+F21*Upgrades!$H$7)*POWER(Upgrades!$I$7,F21)))*(IF(Upgrades!$T$6="Asteroid Belt",POWER(Upgrades!$U$6,E21),1)*IF(Upgrades!$T$8="Asteroid Belt",POWER(Upgrades!$U$8,G21),1)*IF(Upgrades!$T$9="Asteroid Belt",POWER(Upgrades!$U$9,H21),1)*IF(Upgrades!$T$10="Asteroid Belt",POWER(Upgrades!$U$10,I21),1)*IF(Upgrades!$T$11="Asteroid Belt",POWER(Upgrades!$U$11,J21),1)*IF(Upgrades!$T$12="Asteroid Belt",POWER(Upgrades!$U$12,K21),1))*POWER(Upgrades!$P$6,E21)*POWER(Upgrades!$P$7,F21)*POWER(Upgrades!$P$8,G21)*POWER(Upgrades!$P$9,H21)*POWER(Upgrades!$P$10,I21)*POWER(Upgrades!$P$11,J21)*POWER(Upgrades!$P$12,K21)*60</f>
        <v>48</v>
      </c>
      <c r="AC21" s="27" t="n">
        <f aca="false">(IF(G21=0,0,(Upgrades!$J$8+G21*Upgrades!$K$8)*POWER(Upgrades!$L$8,G21)))*(IF(Upgrades!$T$6="Stellar Coupling",POWER(Upgrades!$U$6,E21),1)*IF(Upgrades!$T$7="Stellar Coupling",POWER(Upgrades!$U$7,F21),1)*IF(Upgrades!$T$9="Stellar Coupling",POWER(Upgrades!$U$9,H21),1)*IF(Upgrades!$T$10="Stellar Coupling",POWER(Upgrades!$U$10,I21),1)*IF(Upgrades!$T$11="Stellar Coupling",POWER(Upgrades!$U$11,J21),1)*IF(Upgrades!$T$12="Stellar Coupling",POWER(Upgrades!$U$12,K21),1))*POWER(Upgrades!$Q$6,E21)*POWER(Upgrades!$Q$7,F21)*POWER(Upgrades!$Q$8,G21)*POWER(Upgrades!$Q$9,H21)*POWER(Upgrades!$Q$10,I21)*POWER(Upgrades!$Q$11,J21)*POWER(Upgrades!$Q$12,K21)*Parameters!$B$10*Parameters!$B$11</f>
        <v>175</v>
      </c>
      <c r="AD21" s="27" t="n">
        <f aca="false">(IF(H21=0,0,(Upgrades!$G$9+H21*Upgrades!$H$9)*POWER(Upgrades!$I$9,H21)))*(IF(Upgrades!$T$6="Magnetosphere",POWER(Upgrades!$U$6,E21),1)*IF(Upgrades!$T$7="Magnetosphere",POWER(Upgrades!$U$7,F21),1)*IF(Upgrades!$T$8="Magnetosphere",POWER(Upgrades!$U$8,G21),1)*IF(Upgrades!$T$10="Magnetosphere",POWER(Upgrades!$U$10,I21),1)*IF(Upgrades!$T$11="Magnetosphere",POWER(Upgrades!$U$11,J21),1)*IF(Upgrades!$T$12="Magnetosphere",POWER(Upgrades!$U$12,K21),1))*POWER(Upgrades!$P$6,E21)*POWER(Upgrades!$P$7,F21)*POWER(Upgrades!$P$8,G21)*POWER(Upgrades!$P$9,H21)*POWER(Upgrades!$P$10,I21)*POWER(Upgrades!$P$11,J21)*POWER(Upgrades!$P$12,K21)*60</f>
        <v>60</v>
      </c>
      <c r="AE21" s="27" t="n">
        <f aca="false">(IF(K21=0,0,(Upgrades!$G$12+K21*Upgrades!$H$12)*POWER(Upgrades!$I$12,K21)))*(IF(Upgrades!$T$6="First Photons",POWER(Upgrades!$U$6,E21),1)*IF(Upgrades!$T$7="First Photons",POWER(Upgrades!$U$7,F21),1)*IF(Upgrades!$T$8="First Photons",POWER(Upgrades!$U$8,G21),1)*IF(Upgrades!$T$9="First Photons",POWER(Upgrades!$U$9,H21),1)*IF(Upgrades!$T$10="First Photons",POWER(Upgrades!$U$10,I21),1)*IF(Upgrades!$T$11="First Photons",POWER(Upgrades!$U$11,J21),1))*POWER(Upgrades!$P$6,E21)*POWER(Upgrades!$P$7,F21)*POWER(Upgrades!$P$8,G21)*POWER(Upgrades!$P$9,H21)*POWER(Upgrades!$P$10,I21)*POWER(Upgrades!$P$11,J21)*POWER(Upgrades!$P$12,K21)*60</f>
        <v>0</v>
      </c>
      <c r="AF21" s="27" t="n">
        <f aca="false">Parameters!$B$9*POWER(Upgrades!$Q$6,E21)*POWER(Upgrades!$Q$7,F21)*POWER(Upgrades!$Q$8,G21)*POWER(Upgrades!$Q$9,H21)*POWER(Upgrades!$Q$10,I21)*POWER(Upgrades!$Q$11,J21)*POWER(Upgrades!$Q$12,K21)*(Parameters!$B$10*Parameters!$B$11+O21*60)</f>
        <v>100</v>
      </c>
      <c r="AG21" s="21" t="n">
        <f aca="false">IF(E21&gt;=Upgrades!$E$6,"",Upgrades!$C$6*POWER(Upgrades!$D$6,E21))</f>
        <v>12.24304375</v>
      </c>
      <c r="AH21" s="21" t="n">
        <f aca="false">IF(F21&gt;=Upgrades!$E$7,"",Upgrades!$C$7*POWER(Upgrades!$D$7,F21))</f>
        <v>34.980125</v>
      </c>
      <c r="AI21" s="21" t="n">
        <f aca="false">IF(G21&gt;=Upgrades!$E$8,"",Upgrades!$C$8*POWER(Upgrades!$D$8,G21))</f>
        <v>118.32128</v>
      </c>
      <c r="AJ21" s="21" t="n">
        <f aca="false">IF(H21&gt;=Upgrades!$E$9,"",Upgrades!$C$9*POWER(Upgrades!$D$9,H21))</f>
        <v>160</v>
      </c>
      <c r="AK21" s="21" t="n">
        <f aca="false">IF(I21&gt;=Upgrades!$E$10,"",Upgrades!$C$10*POWER(Upgrades!$D$10,I21))</f>
        <v>240</v>
      </c>
      <c r="AL21" s="21" t="n">
        <f aca="false">IF(J21&gt;=Upgrades!$E$11,"",Upgrades!$C$11*POWER(Upgrades!$D$11,J21))</f>
        <v>575</v>
      </c>
      <c r="AM21" s="21" t="n">
        <f aca="false">IF(K21&gt;=Upgrades!$E$12,"",Upgrades!$C$12*POWER(Upgrades!$D$12,K21))</f>
        <v>850</v>
      </c>
      <c r="AN21" s="26" t="str">
        <f aca="false">IF(AND(D21&gt;=Parameters!$B$18,(H21&gt;=Upgrades!$E$9)*(K21&gt;=Upgrades!$E$12)=1,L21=0),1,"")</f>
        <v/>
      </c>
      <c r="AO21" s="26" t="str">
        <f aca="false">IF(AND(D21&gt;=Parameters!$B$18,L21=0),1,"")</f>
        <v/>
      </c>
      <c r="AP21" s="21" t="n">
        <f aca="false">MIN(IF(ISNUMBER(AK21),AK21,9000000000000000),IF(ISNUMBER(AL21),AL21,9000000000000000),IF(ISNUMBER(AM21),AM21,9000000000000000))</f>
        <v>240</v>
      </c>
      <c r="AQ21" s="21" t="n">
        <f aca="false">MIN(IF(ISNUMBER(AG21),AG21,9000000000000000),IF(ISNUMBER(AH21),AH21,9000000000000000),IF(ISNUMBER(AI21),AI21,9000000000000000),IF(ISNUMBER(AJ21),AJ21,9000000000000000))</f>
        <v>12.24304375</v>
      </c>
      <c r="AR21" s="32" t="b">
        <f aca="false">IF(AW21&gt;Parameters!$B$21*(MAX(IF(AND(NOT(AND(AO21=1,AN21&lt;&gt;1)),ISNUMBER(AG21),AG21&lt;=T21),AS21,0),IF(AND(NOT(AND(AO21=1,AN21&lt;&gt;1)),ISNUMBER(AH21),AH21&lt;=T21),AT21,0),IF(AND(NOT(AND(AO21=1,AN21&lt;&gt;1)),ISNUMBER(AI21),AI21&lt;=T21),AU21,0),IF(AND(ISNUMBER(AJ21),AJ21&lt;=T21),AV21,0))),TRUE(),FALSE())</f>
        <v>0</v>
      </c>
      <c r="AS21" s="33" t="n">
        <f aca="false">IFERROR(Upgrades!$H$6*(POWER(Upgrades!$P$6,E21)*POWER(Upgrades!$P$7,F21)*POWER(Upgrades!$P$8,G21)*POWER(Upgrades!$P$9,H21)*POWER(Upgrades!$P$10,I21)*POWER(Upgrades!$P$11,J21)*POWER(Upgrades!$P$12,K21))*(IF(Upgrades!$T$7="Solar Wind",POWER(Upgrades!$U$7,F21),1)*IF(Upgrades!$T$8="Solar Wind",POWER(Upgrades!$U$8,G21),1)*IF(Upgrades!$T$9="Solar Wind",POWER(Upgrades!$U$9,H21),1)*IF(Upgrades!$T$10="Solar Wind",POWER(Upgrades!$U$10,I21),1)*IF(Upgrades!$T$11="Solar Wind",POWER(Upgrades!$U$11,J21),1)*IF(Upgrades!$T$12="Solar Wind",POWER(Upgrades!$U$12,K21),1))/AG21,0)</f>
        <v>0.00653432280677752</v>
      </c>
      <c r="AT21" s="33" t="n">
        <f aca="false">IFERROR(Upgrades!$H$7*(POWER(Upgrades!$P$6,E21)*POWER(Upgrades!$P$7,F21)*POWER(Upgrades!$P$8,G21)*POWER(Upgrades!$P$9,H21)*POWER(Upgrades!$P$10,I21)*POWER(Upgrades!$P$11,J21)*POWER(Upgrades!$P$12,K21))*(IF(Upgrades!$T$6="Asteroid Belt",POWER(Upgrades!$U$6,E21),1)*IF(Upgrades!$T$8="Asteroid Belt",POWER(Upgrades!$U$8,G21),1)*IF(Upgrades!$T$9="Asteroid Belt",POWER(Upgrades!$U$9,H21),1)*IF(Upgrades!$T$10="Asteroid Belt",POWER(Upgrades!$U$10,I21),1)*IF(Upgrades!$T$11="Asteroid Belt",POWER(Upgrades!$U$11,J21),1)*IF(Upgrades!$T$12="Asteroid Belt",POWER(Upgrades!$U$12,K21),1))/AH21,0)</f>
        <v>0.00571753245593033</v>
      </c>
      <c r="AU21" s="33" t="n">
        <f aca="false">IFERROR(Upgrades!$K$8*(POWER(Upgrades!$Q$6,E21)*POWER(Upgrades!$Q$7,F21)*POWER(Upgrades!$Q$8,G21)*POWER(Upgrades!$Q$9,H21)*POWER(Upgrades!$Q$10,I21)*POWER(Upgrades!$Q$11,J21)*POWER(Upgrades!$Q$12,K21))*(IF(Upgrades!$T$6="Stellar Coupling",POWER(Upgrades!$U$6,E21),1)*IF(Upgrades!$T$7="Stellar Coupling",POWER(Upgrades!$U$7,F21),1)*IF(Upgrades!$T$9="Stellar Coupling",POWER(Upgrades!$U$9,H21),1)*IF(Upgrades!$T$10="Stellar Coupling",POWER(Upgrades!$U$10,I21),1)*IF(Upgrades!$T$11="Stellar Coupling",POWER(Upgrades!$U$11,J21),1)*IF(Upgrades!$T$12="Stellar Coupling",POWER(Upgrades!$U$12,K21),1))*Parameters!$B$10*Parameters!$B$11/60/AI21,0)</f>
        <v>0.00493007963853445</v>
      </c>
      <c r="AV21" s="33" t="n">
        <f aca="false">IFERROR(Upgrades!$H$9*(POWER(Upgrades!$P$6,E21)*POWER(Upgrades!$P$7,F21)*POWER(Upgrades!$P$8,G21)*POWER(Upgrades!$P$9,H21)*POWER(Upgrades!$P$10,I21)*POWER(Upgrades!$P$11,J21)*POWER(Upgrades!$P$12,K21))*(IF(Upgrades!$T$6="Magnetosphere",POWER(Upgrades!$U$6,E21),1)*IF(Upgrades!$T$7="Magnetosphere",POWER(Upgrades!$U$7,F21),1)*IF(Upgrades!$T$8="Magnetosphere",POWER(Upgrades!$U$8,G21),1)*IF(Upgrades!$T$10="Magnetosphere",POWER(Upgrades!$U$10,I21),1)*IF(Upgrades!$T$11="Magnetosphere",POWER(Upgrades!$U$11,J21),1)*IF(Upgrades!$T$12="Magnetosphere",POWER(Upgrades!$U$12,K21),1))/AJ21,0)</f>
        <v>0.00625</v>
      </c>
      <c r="AW21" s="33" t="n">
        <f aca="false">MAX(IF(I21&gt;0,0,IFERROR(0.25*N21/Upgrades!$C$10,0)),IF(J21&gt;0,0,IFERROR(0.5*((IF(G21=0,0,(Upgrades!$J$8+G21*Upgrades!$K$8)*POWER(Upgrades!$L$8,G21)))*(IF(Upgrades!$T$6="Stellar Coupling",POWER(Upgrades!$U$6,E21),1)*IF(Upgrades!$T$7="Stellar Coupling",POWER(Upgrades!$U$7,F21),1)*IF(Upgrades!$T$9="Stellar Coupling",POWER(Upgrades!$U$9,H21),1)*IF(Upgrades!$T$10="Stellar Coupling",POWER(Upgrades!$U$10,I21),1)*IF(Upgrades!$T$11="Stellar Coupling",POWER(Upgrades!$U$11,J21),1)*IF(Upgrades!$T$12="Stellar Coupling",POWER(Upgrades!$U$12,K21),1))*(POWER(Upgrades!$Q$6,E21)*POWER(Upgrades!$Q$7,F21)*POWER(Upgrades!$Q$8,G21)*POWER(Upgrades!$Q$9,H21)*POWER(Upgrades!$Q$10,I21)*POWER(Upgrades!$Q$11,J21)*POWER(Upgrades!$Q$12,K21))*Parameters!$B$10*Parameters!$B$11/60)/Upgrades!$C$11,0)),IF(K21&gt;0,0,IFERROR((1*(POWER(Upgrades!$P$6,E21)*POWER(Upgrades!$P$7,F21)*POWER(Upgrades!$P$8,G21)*POWER(Upgrades!$P$9,H21)*POWER(Upgrades!$P$10,I21)*POWER(Upgrades!$P$11,J21)*POWER(Upgrades!$P$12,K21))+0.2*M21*Parameters!$B$10*Parameters!$B$11/60)/Upgrades!$C$12,0)),IF(AND(ISNUMBER(AG21),AG21&gt;T21),AS21,0),IF(AND(ISNUMBER(AH21),AH21&gt;T21),AT21,0),IF(AND(ISNUMBER(AI21),AI21&gt;T21),AU21,0),IF(AND(ISNUMBER(AJ21),AJ21&gt;T21),AV21,0))</f>
        <v>0.00253623188405797</v>
      </c>
      <c r="AX21" s="29" t="str">
        <f aca="false">IF(AN21=1,"transition",IF(MIN(IF(AND(I21=0,ISNUMBER(AK21),AK21&lt;=T21),AK21,9000000000000000),IF(AND(J21=0,ISNUMBER(AL21),AL21&lt;=T21),AL21,9000000000000000),IF(AND(K21=0,ISNUMBER(AM21),AM21&lt;=T21),AM21,9000000000000000))&lt;9000000000000000,IF(AND(AND(I21=0,ISNUMBER(AK21),AK21&lt;=T21),AK21=MIN(IF(AND(I21=0,ISNUMBER(AK21),AK21&lt;=T21),AK21,9000000000000000),IF(AND(J21=0,ISNUMBER(AL21),AL21&lt;=T21),AL21,9000000000000000),IF(AND(K21=0,ISNUMBER(AM21),AM21&lt;=T21),AM21,9000000000000000))),"OR",IF(AND(AND(J21=0,ISNUMBER(AL21),AL21&lt;=T21),AL21=MIN(IF(AND(I21=0,ISNUMBER(AK21),AK21&lt;=T21),AK21,9000000000000000),IF(AND(J21=0,ISNUMBER(AL21),AL21&lt;=T21),AL21,9000000000000000),IF(AND(K21=0,ISNUMBER(AM21),AM21&lt;=T21),AM21,9000000000000000))),"HP","FP")),IF(AR21=TRUE(),"",IF(MAX(IF(AND(NOT(AND(AO21=1,AN21&lt;&gt;1)),ISNUMBER(AG21),AG21&lt;=T21),AS21,0),IF(AND(NOT(AND(AO21=1,AN21&lt;&gt;1)),ISNUMBER(AH21),AH21&lt;=T21),AT21,0),IF(AND(NOT(AND(AO21=1,AN21&lt;&gt;1)),ISNUMBER(AI21),AI21&lt;=T21),AU21,0),IF(AND(ISNUMBER(AJ21),AJ21&lt;=T21),AV21,0))&lt;=0,"",IF(AND(IF(AND(NOT(AND(AO21=1,AN21&lt;&gt;1)),ISNUMBER(AG21),AG21&lt;=T21),AS21,0)&gt;0,IF(AND(NOT(AND(AO21=1,AN21&lt;&gt;1)),ISNUMBER(AG21),AG21&lt;=T21),AS21,0)=MAX(IF(AND(NOT(AND(AO21=1,AN21&lt;&gt;1)),ISNUMBER(AG21),AG21&lt;=T21),AS21,0),IF(AND(NOT(AND(AO21=1,AN21&lt;&gt;1)),ISNUMBER(AH21),AH21&lt;=T21),AT21,0),IF(AND(NOT(AND(AO21=1,AN21&lt;&gt;1)),ISNUMBER(AI21),AI21&lt;=T21),AU21,0),IF(AND(ISNUMBER(AJ21),AJ21&lt;=T21),AV21,0))),"SW",IF(AND(IF(AND(NOT(AND(AO21=1,AN21&lt;&gt;1)),ISNUMBER(AH21),AH21&lt;=T21),AT21,0)&gt;0,IF(AND(NOT(AND(AO21=1,AN21&lt;&gt;1)),ISNUMBER(AH21),AH21&lt;=T21),AT21,0)=MAX(IF(AND(NOT(AND(AO21=1,AN21&lt;&gt;1)),ISNUMBER(AG21),AG21&lt;=T21),AS21,0),IF(AND(NOT(AND(AO21=1,AN21&lt;&gt;1)),ISNUMBER(AH21),AH21&lt;=T21),AT21,0),IF(AND(NOT(AND(AO21=1,AN21&lt;&gt;1)),ISNUMBER(AI21),AI21&lt;=T21),AU21,0),IF(AND(ISNUMBER(AJ21),AJ21&lt;=T21),AV21,0))),"AB",IF(AND(IF(AND(NOT(AND(AO21=1,AN21&lt;&gt;1)),ISNUMBER(AI21),AI21&lt;=T21),AU21,0)&gt;0,IF(AND(NOT(AND(AO21=1,AN21&lt;&gt;1)),ISNUMBER(AI21),AI21&lt;=T21),AU21,0)=MAX(IF(AND(NOT(AND(AO21=1,AN21&lt;&gt;1)),ISNUMBER(AG21),AG21&lt;=T21),AS21,0),IF(AND(NOT(AND(AO21=1,AN21&lt;&gt;1)),ISNUMBER(AH21),AH21&lt;=T21),AT21,0),IF(AND(NOT(AND(AO21=1,AN21&lt;&gt;1)),ISNUMBER(AI21),AI21&lt;=T21),AU21,0),IF(AND(ISNUMBER(AJ21),AJ21&lt;=T21),AV21,0))),"SC","Mag")))))))</f>
        <v>SW</v>
      </c>
    </row>
    <row r="22" customFormat="false" ht="15" hidden="false" customHeight="false" outlineLevel="0" collapsed="false">
      <c r="A22" s="26" t="n">
        <v>17</v>
      </c>
      <c r="B22" s="27" t="n">
        <f aca="false">A22*10/60</f>
        <v>2.83333333333333</v>
      </c>
      <c r="C22" s="21" t="n">
        <f aca="false">X21</f>
        <v>214.33263125</v>
      </c>
      <c r="D22" s="27" t="n">
        <f aca="false">D21+W21</f>
        <v>0</v>
      </c>
      <c r="E22" s="26" t="n">
        <f aca="false">E21+IF(U21="SW",1,0)</f>
        <v>5</v>
      </c>
      <c r="F22" s="26" t="n">
        <f aca="false">F21+IF(U21="AB",1,0)</f>
        <v>4</v>
      </c>
      <c r="G22" s="26" t="n">
        <f aca="false">G21+IF(U21="SC",1,0)</f>
        <v>5</v>
      </c>
      <c r="H22" s="26" t="n">
        <f aca="false">H21+IF(U21="Mag",1,0)</f>
        <v>1</v>
      </c>
      <c r="I22" s="26" t="n">
        <f aca="false">MAX(I21,IF(U21="OR",1,0))</f>
        <v>0</v>
      </c>
      <c r="J22" s="26" t="n">
        <f aca="false">MAX(J21,IF(U21="HP",1,0))</f>
        <v>0</v>
      </c>
      <c r="K22" s="26" t="n">
        <f aca="false">MAX(K21,IF(U21="FP",1,0))</f>
        <v>0</v>
      </c>
      <c r="L22" s="26" t="n">
        <f aca="false">MAX(L21,IF(U21="transition",1,0))</f>
        <v>0</v>
      </c>
      <c r="M22" s="28" t="n">
        <f aca="false">(Parameters!$B$9+(IF(E22=0,0,(Upgrades!$J$6+E22*Upgrades!$K$6)*POWER(Upgrades!$L$6,E22)))*(IF(Upgrades!$T$7="Solar Wind",POWER(Upgrades!$U$7,F22),1)*IF(Upgrades!$T$8="Solar Wind",POWER(Upgrades!$U$8,G22),1)*IF(Upgrades!$T$9="Solar Wind",POWER(Upgrades!$U$9,H22),1)*IF(Upgrades!$T$10="Solar Wind",POWER(Upgrades!$U$10,I22),1)*IF(Upgrades!$T$11="Solar Wind",POWER(Upgrades!$U$11,J22),1)*IF(Upgrades!$T$12="Solar Wind",POWER(Upgrades!$U$12,K22),1))+(IF(F22=0,0,(Upgrades!$J$7+F22*Upgrades!$K$7)*POWER(Upgrades!$L$7,F22)))*(IF(Upgrades!$T$6="Asteroid Belt",POWER(Upgrades!$U$6,E22),1)*IF(Upgrades!$T$8="Asteroid Belt",POWER(Upgrades!$U$8,G22),1)*IF(Upgrades!$T$9="Asteroid Belt",POWER(Upgrades!$U$9,H22),1)*IF(Upgrades!$T$10="Asteroid Belt",POWER(Upgrades!$U$10,I22),1)*IF(Upgrades!$T$11="Asteroid Belt",POWER(Upgrades!$U$11,J22),1)*IF(Upgrades!$T$12="Asteroid Belt",POWER(Upgrades!$U$12,K22),1))+(IF(G22=0,0,(Upgrades!$J$8+G22*Upgrades!$K$8)*POWER(Upgrades!$L$8,G22)))*(IF(Upgrades!$T$6="Stellar Coupling",POWER(Upgrades!$U$6,E22),1)*IF(Upgrades!$T$7="Stellar Coupling",POWER(Upgrades!$U$7,F22),1)*IF(Upgrades!$T$9="Stellar Coupling",POWER(Upgrades!$U$9,H22),1)*IF(Upgrades!$T$10="Stellar Coupling",POWER(Upgrades!$U$10,I22),1)*IF(Upgrades!$T$11="Stellar Coupling",POWER(Upgrades!$U$11,J22),1)*IF(Upgrades!$T$12="Stellar Coupling",POWER(Upgrades!$U$12,K22),1))+(IF(H22=0,0,(Upgrades!$J$9+H22*Upgrades!$K$9)*POWER(Upgrades!$L$9,H22)))*(IF(Upgrades!$T$6="Magnetosphere",POWER(Upgrades!$U$6,E22),1)*IF(Upgrades!$T$7="Magnetosphere",POWER(Upgrades!$U$7,F22),1)*IF(Upgrades!$T$8="Magnetosphere",POWER(Upgrades!$U$8,G22),1)*IF(Upgrades!$T$10="Magnetosphere",POWER(Upgrades!$U$10,I22),1)*IF(Upgrades!$T$11="Magnetosphere",POWER(Upgrades!$U$11,J22),1)*IF(Upgrades!$T$12="Magnetosphere",POWER(Upgrades!$U$12,K22),1))+(IF(I22=0,0,(Upgrades!$J$10+I22*Upgrades!$K$10)*POWER(Upgrades!$L$10,I22)))*(IF(Upgrades!$T$6="Orbital Resonance",POWER(Upgrades!$U$6,E22),1)*IF(Upgrades!$T$7="Orbital Resonance",POWER(Upgrades!$U$7,F22),1)*IF(Upgrades!$T$8="Orbital Resonance",POWER(Upgrades!$U$8,G22),1)*IF(Upgrades!$T$9="Orbital Resonance",POWER(Upgrades!$U$9,H22),1)*IF(Upgrades!$T$11="Orbital Resonance",POWER(Upgrades!$U$11,J22),1)*IF(Upgrades!$T$12="Orbital Resonance",POWER(Upgrades!$U$12,K22),1))+(IF(J22=0,0,(Upgrades!$J$11+J22*Upgrades!$K$11)*POWER(Upgrades!$L$11,J22)))*(IF(Upgrades!$T$6="Heliopause",POWER(Upgrades!$U$6,E22),1)*IF(Upgrades!$T$7="Heliopause",POWER(Upgrades!$U$7,F22),1)*IF(Upgrades!$T$8="Heliopause",POWER(Upgrades!$U$8,G22),1)*IF(Upgrades!$T$9="Heliopause",POWER(Upgrades!$U$9,H22),1)*IF(Upgrades!$T$10="Heliopause",POWER(Upgrades!$U$10,I22),1)*IF(Upgrades!$T$12="Heliopause",POWER(Upgrades!$U$12,K22),1))+(IF(K22=0,0,(Upgrades!$J$12+K22*Upgrades!$K$12)*POWER(Upgrades!$L$12,K22)))*(IF(Upgrades!$T$6="First Photons",POWER(Upgrades!$U$6,E22),1)*IF(Upgrades!$T$7="First Photons",POWER(Upgrades!$U$7,F22),1)*IF(Upgrades!$T$8="First Photons",POWER(Upgrades!$U$8,G22),1)*IF(Upgrades!$T$9="First Photons",POWER(Upgrades!$U$9,H22),1)*IF(Upgrades!$T$10="First Photons",POWER(Upgrades!$U$10,I22),1)*IF(Upgrades!$T$11="First Photons",POWER(Upgrades!$U$11,J22),1)))*POWER(Upgrades!$Q$6,E22)*POWER(Upgrades!$Q$7,F22)*POWER(Upgrades!$Q$8,G22)*POWER(Upgrades!$Q$9,H22)*POWER(Upgrades!$Q$10,I22)*POWER(Upgrades!$Q$11,J22)*POWER(Upgrades!$Q$12,K22)</f>
        <v>2.75</v>
      </c>
      <c r="N22" s="28" t="n">
        <f aca="false">((IF(E22=0,0,(Upgrades!$G$6+E22*Upgrades!$H$6)*POWER(Upgrades!$I$6,E22)))*(IF(Upgrades!$T$7="Solar Wind",POWER(Upgrades!$U$7,F22),1)*IF(Upgrades!$T$8="Solar Wind",POWER(Upgrades!$U$8,G22),1)*IF(Upgrades!$T$9="Solar Wind",POWER(Upgrades!$U$9,H22),1)*IF(Upgrades!$T$10="Solar Wind",POWER(Upgrades!$U$10,I22),1)*IF(Upgrades!$T$11="Solar Wind",POWER(Upgrades!$U$11,J22),1)*IF(Upgrades!$T$12="Solar Wind",POWER(Upgrades!$U$12,K22),1))+(IF(F22=0,0,(Upgrades!$G$7+F22*Upgrades!$H$7)*POWER(Upgrades!$I$7,F22)))*(IF(Upgrades!$T$6="Asteroid Belt",POWER(Upgrades!$U$6,E22),1)*IF(Upgrades!$T$8="Asteroid Belt",POWER(Upgrades!$U$8,G22),1)*IF(Upgrades!$T$9="Asteroid Belt",POWER(Upgrades!$U$9,H22),1)*IF(Upgrades!$T$10="Asteroid Belt",POWER(Upgrades!$U$10,I22),1)*IF(Upgrades!$T$11="Asteroid Belt",POWER(Upgrades!$U$11,J22),1)*IF(Upgrades!$T$12="Asteroid Belt",POWER(Upgrades!$U$12,K22),1))+(IF(G22=0,0,(Upgrades!$G$8+G22*Upgrades!$H$8)*POWER(Upgrades!$I$8,G22)))*(IF(Upgrades!$T$6="Stellar Coupling",POWER(Upgrades!$U$6,E22),1)*IF(Upgrades!$T$7="Stellar Coupling",POWER(Upgrades!$U$7,F22),1)*IF(Upgrades!$T$9="Stellar Coupling",POWER(Upgrades!$U$9,H22),1)*IF(Upgrades!$T$10="Stellar Coupling",POWER(Upgrades!$U$10,I22),1)*IF(Upgrades!$T$11="Stellar Coupling",POWER(Upgrades!$U$11,J22),1)*IF(Upgrades!$T$12="Stellar Coupling",POWER(Upgrades!$U$12,K22),1))+(IF(H22=0,0,(Upgrades!$G$9+H22*Upgrades!$H$9)*POWER(Upgrades!$I$9,H22)))*(IF(Upgrades!$T$6="Magnetosphere",POWER(Upgrades!$U$6,E22),1)*IF(Upgrades!$T$7="Magnetosphere",POWER(Upgrades!$U$7,F22),1)*IF(Upgrades!$T$8="Magnetosphere",POWER(Upgrades!$U$8,G22),1)*IF(Upgrades!$T$10="Magnetosphere",POWER(Upgrades!$U$10,I22),1)*IF(Upgrades!$T$11="Magnetosphere",POWER(Upgrades!$U$11,J22),1)*IF(Upgrades!$T$12="Magnetosphere",POWER(Upgrades!$U$12,K22),1))+(IF(I22=0,0,(Upgrades!$G$10+I22*Upgrades!$H$10)*POWER(Upgrades!$I$10,I22)))*(IF(Upgrades!$T$6="Orbital Resonance",POWER(Upgrades!$U$6,E22),1)*IF(Upgrades!$T$7="Orbital Resonance",POWER(Upgrades!$U$7,F22),1)*IF(Upgrades!$T$8="Orbital Resonance",POWER(Upgrades!$U$8,G22),1)*IF(Upgrades!$T$9="Orbital Resonance",POWER(Upgrades!$U$9,H22),1)*IF(Upgrades!$T$11="Orbital Resonance",POWER(Upgrades!$U$11,J22),1)*IF(Upgrades!$T$12="Orbital Resonance",POWER(Upgrades!$U$12,K22),1))+(IF(J22=0,0,(Upgrades!$G$11+J22*Upgrades!$H$11)*POWER(Upgrades!$I$11,J22)))*(IF(Upgrades!$T$6="Heliopause",POWER(Upgrades!$U$6,E22),1)*IF(Upgrades!$T$7="Heliopause",POWER(Upgrades!$U$7,F22),1)*IF(Upgrades!$T$8="Heliopause",POWER(Upgrades!$U$8,G22),1)*IF(Upgrades!$T$9="Heliopause",POWER(Upgrades!$U$9,H22),1)*IF(Upgrades!$T$10="Heliopause",POWER(Upgrades!$U$10,I22),1)*IF(Upgrades!$T$12="Heliopause",POWER(Upgrades!$U$12,K22),1))+(IF(K22=0,0,(Upgrades!$G$12+K22*Upgrades!$H$12)*POWER(Upgrades!$I$12,K22)))*(IF(Upgrades!$T$6="First Photons",POWER(Upgrades!$U$6,E22),1)*IF(Upgrades!$T$7="First Photons",POWER(Upgrades!$U$7,F22),1)*IF(Upgrades!$T$8="First Photons",POWER(Upgrades!$U$8,G22),1)*IF(Upgrades!$T$9="First Photons",POWER(Upgrades!$U$9,H22),1)*IF(Upgrades!$T$10="First Photons",POWER(Upgrades!$U$10,I22),1)*IF(Upgrades!$T$11="First Photons",POWER(Upgrades!$U$11,J22),1)))*POWER(Upgrades!$P$6,E22)*POWER(Upgrades!$P$7,F22)*POWER(Upgrades!$P$8,G22)*POWER(Upgrades!$P$9,H22)*POWER(Upgrades!$P$10,I22)*POWER(Upgrades!$P$11,J22)*POWER(Upgrades!$P$12,K22)</f>
        <v>2.2</v>
      </c>
      <c r="O22" s="28" t="n">
        <f aca="false">((IF(E22=0,0,(Upgrades!$M$6+E22*Upgrades!$N$6)*POWER(Upgrades!$O$6,E22)))*(IF(Upgrades!$T$7="Solar Wind",POWER(Upgrades!$U$7,F22),1)*IF(Upgrades!$T$8="Solar Wind",POWER(Upgrades!$U$8,G22),1)*IF(Upgrades!$T$9="Solar Wind",POWER(Upgrades!$U$9,H22),1)*IF(Upgrades!$T$10="Solar Wind",POWER(Upgrades!$U$10,I22),1)*IF(Upgrades!$T$11="Solar Wind",POWER(Upgrades!$U$11,J22),1)*IF(Upgrades!$T$12="Solar Wind",POWER(Upgrades!$U$12,K22),1))+(IF(F22=0,0,(Upgrades!$M$7+F22*Upgrades!$N$7)*POWER(Upgrades!$O$7,F22)))*(IF(Upgrades!$T$6="Asteroid Belt",POWER(Upgrades!$U$6,E22),1)*IF(Upgrades!$T$8="Asteroid Belt",POWER(Upgrades!$U$8,G22),1)*IF(Upgrades!$T$9="Asteroid Belt",POWER(Upgrades!$U$9,H22),1)*IF(Upgrades!$T$10="Asteroid Belt",POWER(Upgrades!$U$10,I22),1)*IF(Upgrades!$T$11="Asteroid Belt",POWER(Upgrades!$U$11,J22),1)*IF(Upgrades!$T$12="Asteroid Belt",POWER(Upgrades!$U$12,K22),1))+(IF(G22=0,0,(Upgrades!$M$8+G22*Upgrades!$N$8)*POWER(Upgrades!$O$8,G22)))*(IF(Upgrades!$T$6="Stellar Coupling",POWER(Upgrades!$U$6,E22),1)*IF(Upgrades!$T$7="Stellar Coupling",POWER(Upgrades!$U$7,F22),1)*IF(Upgrades!$T$9="Stellar Coupling",POWER(Upgrades!$U$9,H22),1)*IF(Upgrades!$T$10="Stellar Coupling",POWER(Upgrades!$U$10,I22),1)*IF(Upgrades!$T$11="Stellar Coupling",POWER(Upgrades!$U$11,J22),1)*IF(Upgrades!$T$12="Stellar Coupling",POWER(Upgrades!$U$12,K22),1))+(IF(H22=0,0,(Upgrades!$M$9+H22*Upgrades!$N$9)*POWER(Upgrades!$O$9,H22)))*(IF(Upgrades!$T$6="Magnetosphere",POWER(Upgrades!$U$6,E22),1)*IF(Upgrades!$T$7="Magnetosphere",POWER(Upgrades!$U$7,F22),1)*IF(Upgrades!$T$8="Magnetosphere",POWER(Upgrades!$U$8,G22),1)*IF(Upgrades!$T$10="Magnetosphere",POWER(Upgrades!$U$10,I22),1)*IF(Upgrades!$T$11="Magnetosphere",POWER(Upgrades!$U$11,J22),1)*IF(Upgrades!$T$12="Magnetosphere",POWER(Upgrades!$U$12,K22),1))+(IF(I22=0,0,(Upgrades!$M$10+I22*Upgrades!$N$10)*POWER(Upgrades!$O$10,I22)))*(IF(Upgrades!$T$6="Orbital Resonance",POWER(Upgrades!$U$6,E22),1)*IF(Upgrades!$T$7="Orbital Resonance",POWER(Upgrades!$U$7,F22),1)*IF(Upgrades!$T$8="Orbital Resonance",POWER(Upgrades!$U$8,G22),1)*IF(Upgrades!$T$9="Orbital Resonance",POWER(Upgrades!$U$9,H22),1)*IF(Upgrades!$T$11="Orbital Resonance",POWER(Upgrades!$U$11,J22),1)*IF(Upgrades!$T$12="Orbital Resonance",POWER(Upgrades!$U$12,K22),1))+(IF(J22=0,0,(Upgrades!$M$11+J22*Upgrades!$N$11)*POWER(Upgrades!$O$11,J22)))*(IF(Upgrades!$T$6="Heliopause",POWER(Upgrades!$U$6,E22),1)*IF(Upgrades!$T$7="Heliopause",POWER(Upgrades!$U$7,F22),1)*IF(Upgrades!$T$8="Heliopause",POWER(Upgrades!$U$8,G22),1)*IF(Upgrades!$T$9="Heliopause",POWER(Upgrades!$U$9,H22),1)*IF(Upgrades!$T$10="Heliopause",POWER(Upgrades!$U$10,I22),1)*IF(Upgrades!$T$12="Heliopause",POWER(Upgrades!$U$12,K22),1))+(IF(K22=0,0,(Upgrades!$M$12+K22*Upgrades!$N$12)*POWER(Upgrades!$O$12,K22)))*(IF(Upgrades!$T$6="First Photons",POWER(Upgrades!$U$6,E22),1)*IF(Upgrades!$T$7="First Photons",POWER(Upgrades!$U$7,F22),1)*IF(Upgrades!$T$8="First Photons",POWER(Upgrades!$U$8,G22),1)*IF(Upgrades!$T$9="First Photons",POWER(Upgrades!$U$9,H22),1)*IF(Upgrades!$T$10="First Photons",POWER(Upgrades!$U$10,I22),1)*IF(Upgrades!$T$11="First Photons",POWER(Upgrades!$U$11,J22),1)))*POWER(Upgrades!$R$6,E22)*POWER(Upgrades!$R$7,F22)*POWER(Upgrades!$R$8,G22)*POWER(Upgrades!$R$9,H22)*POWER(Upgrades!$R$10,I22)*POWER(Upgrades!$R$11,J22)*POWER(Upgrades!$R$12,K22)</f>
        <v>0</v>
      </c>
      <c r="P22" s="27" t="n">
        <f aca="false">IF(L22=1,0,M22*Parameters!$B$10/60*Parameters!$B$11*10)</f>
        <v>45.8333333333333</v>
      </c>
      <c r="Q22" s="27" t="n">
        <f aca="false">IF(L22=1,0,O22*M22*10)</f>
        <v>0</v>
      </c>
      <c r="R22" s="27" t="n">
        <f aca="false">IF(L22=1,0,N22*10)</f>
        <v>22</v>
      </c>
      <c r="S22" s="27" t="n">
        <f aca="false">P22+Q22+R22</f>
        <v>67.8333333333333</v>
      </c>
      <c r="T22" s="21" t="n">
        <f aca="false">C22+S22</f>
        <v>282.165964583333</v>
      </c>
      <c r="U22" s="34" t="str">
        <f aca="false">AX22</f>
        <v>OR</v>
      </c>
      <c r="V22" s="21" t="n">
        <f aca="false">IF(U22="",0,IF(U22="transition",0,IF(U22="SW",AG22,IF(U22="AB",AH22,IF(U22="SC",AI22,IF(U22="Mag",AJ22,IF(U22="OR",AK22,IF(U22="HP",AL22,IF(U22="FP",AM22,0)))))))))</f>
        <v>240</v>
      </c>
      <c r="W22" s="27" t="n">
        <f aca="false">IF(U22="OR",Upgrades!$F$10,IF(U22="HP",Upgrades!$F$11,IF(U22="transition",-Parameters!$B$18,0)))</f>
        <v>0.4</v>
      </c>
      <c r="X22" s="21" t="n">
        <f aca="false">T22-V22</f>
        <v>42.1659645833334</v>
      </c>
      <c r="Y22" s="30" t="n">
        <f aca="false">M22*Parameters!$B$10/60*Parameters!$B$11+O22*M22+N22</f>
        <v>6.78333333333333</v>
      </c>
      <c r="Z22" s="35" t="str">
        <f aca="false">IF(U22="transition","→ Tier 2 (Stellar Neighborhood)",IF(U22="FP","First Photons — light begins, system quickens",IF(U22="HP","Heliopause acquired",IF(U22="OR","Orbital Resonance — passive multiplier active",IF(AND(AO22=1,L22=0,AN22&lt;&gt;1),"Cohesion ready (waiting on completionist upgrades)","")))))</f>
        <v>Orbital Resonance — passive multiplier active</v>
      </c>
      <c r="AA22" s="27" t="n">
        <f aca="false">(IF(E22=0,0,(Upgrades!$G$6+E22*Upgrades!$H$6)*POWER(Upgrades!$I$6,E22)))*(IF(Upgrades!$T$7="Solar Wind",POWER(Upgrades!$U$7,F22),1)*IF(Upgrades!$T$8="Solar Wind",POWER(Upgrades!$U$8,G22),1)*IF(Upgrades!$T$9="Solar Wind",POWER(Upgrades!$U$9,H22),1)*IF(Upgrades!$T$10="Solar Wind",POWER(Upgrades!$U$10,I22),1)*IF(Upgrades!$T$11="Solar Wind",POWER(Upgrades!$U$11,J22),1)*IF(Upgrades!$T$12="Solar Wind",POWER(Upgrades!$U$12,K22),1))*POWER(Upgrades!$P$6,E22)*POWER(Upgrades!$P$7,F22)*POWER(Upgrades!$P$8,G22)*POWER(Upgrades!$P$9,H22)*POWER(Upgrades!$P$10,I22)*POWER(Upgrades!$P$11,J22)*POWER(Upgrades!$P$12,K22)*60</f>
        <v>24</v>
      </c>
      <c r="AB22" s="27" t="n">
        <f aca="false">(IF(F22=0,0,(Upgrades!$G$7+F22*Upgrades!$H$7)*POWER(Upgrades!$I$7,F22)))*(IF(Upgrades!$T$6="Asteroid Belt",POWER(Upgrades!$U$6,E22),1)*IF(Upgrades!$T$8="Asteroid Belt",POWER(Upgrades!$U$8,G22),1)*IF(Upgrades!$T$9="Asteroid Belt",POWER(Upgrades!$U$9,H22),1)*IF(Upgrades!$T$10="Asteroid Belt",POWER(Upgrades!$U$10,I22),1)*IF(Upgrades!$T$11="Asteroid Belt",POWER(Upgrades!$U$11,J22),1)*IF(Upgrades!$T$12="Asteroid Belt",POWER(Upgrades!$U$12,K22),1))*POWER(Upgrades!$P$6,E22)*POWER(Upgrades!$P$7,F22)*POWER(Upgrades!$P$8,G22)*POWER(Upgrades!$P$9,H22)*POWER(Upgrades!$P$10,I22)*POWER(Upgrades!$P$11,J22)*POWER(Upgrades!$P$12,K22)*60</f>
        <v>48</v>
      </c>
      <c r="AC22" s="27" t="n">
        <f aca="false">(IF(G22=0,0,(Upgrades!$J$8+G22*Upgrades!$K$8)*POWER(Upgrades!$L$8,G22)))*(IF(Upgrades!$T$6="Stellar Coupling",POWER(Upgrades!$U$6,E22),1)*IF(Upgrades!$T$7="Stellar Coupling",POWER(Upgrades!$U$7,F22),1)*IF(Upgrades!$T$9="Stellar Coupling",POWER(Upgrades!$U$9,H22),1)*IF(Upgrades!$T$10="Stellar Coupling",POWER(Upgrades!$U$10,I22),1)*IF(Upgrades!$T$11="Stellar Coupling",POWER(Upgrades!$U$11,J22),1)*IF(Upgrades!$T$12="Stellar Coupling",POWER(Upgrades!$U$12,K22),1))*POWER(Upgrades!$Q$6,E22)*POWER(Upgrades!$Q$7,F22)*POWER(Upgrades!$Q$8,G22)*POWER(Upgrades!$Q$9,H22)*POWER(Upgrades!$Q$10,I22)*POWER(Upgrades!$Q$11,J22)*POWER(Upgrades!$Q$12,K22)*Parameters!$B$10*Parameters!$B$11</f>
        <v>175</v>
      </c>
      <c r="AD22" s="27" t="n">
        <f aca="false">(IF(H22=0,0,(Upgrades!$G$9+H22*Upgrades!$H$9)*POWER(Upgrades!$I$9,H22)))*(IF(Upgrades!$T$6="Magnetosphere",POWER(Upgrades!$U$6,E22),1)*IF(Upgrades!$T$7="Magnetosphere",POWER(Upgrades!$U$7,F22),1)*IF(Upgrades!$T$8="Magnetosphere",POWER(Upgrades!$U$8,G22),1)*IF(Upgrades!$T$10="Magnetosphere",POWER(Upgrades!$U$10,I22),1)*IF(Upgrades!$T$11="Magnetosphere",POWER(Upgrades!$U$11,J22),1)*IF(Upgrades!$T$12="Magnetosphere",POWER(Upgrades!$U$12,K22),1))*POWER(Upgrades!$P$6,E22)*POWER(Upgrades!$P$7,F22)*POWER(Upgrades!$P$8,G22)*POWER(Upgrades!$P$9,H22)*POWER(Upgrades!$P$10,I22)*POWER(Upgrades!$P$11,J22)*POWER(Upgrades!$P$12,K22)*60</f>
        <v>60</v>
      </c>
      <c r="AE22" s="27" t="n">
        <f aca="false">(IF(K22=0,0,(Upgrades!$G$12+K22*Upgrades!$H$12)*POWER(Upgrades!$I$12,K22)))*(IF(Upgrades!$T$6="First Photons",POWER(Upgrades!$U$6,E22),1)*IF(Upgrades!$T$7="First Photons",POWER(Upgrades!$U$7,F22),1)*IF(Upgrades!$T$8="First Photons",POWER(Upgrades!$U$8,G22),1)*IF(Upgrades!$T$9="First Photons",POWER(Upgrades!$U$9,H22),1)*IF(Upgrades!$T$10="First Photons",POWER(Upgrades!$U$10,I22),1)*IF(Upgrades!$T$11="First Photons",POWER(Upgrades!$U$11,J22),1))*POWER(Upgrades!$P$6,E22)*POWER(Upgrades!$P$7,F22)*POWER(Upgrades!$P$8,G22)*POWER(Upgrades!$P$9,H22)*POWER(Upgrades!$P$10,I22)*POWER(Upgrades!$P$11,J22)*POWER(Upgrades!$P$12,K22)*60</f>
        <v>0</v>
      </c>
      <c r="AF22" s="27" t="n">
        <f aca="false">Parameters!$B$9*POWER(Upgrades!$Q$6,E22)*POWER(Upgrades!$Q$7,F22)*POWER(Upgrades!$Q$8,G22)*POWER(Upgrades!$Q$9,H22)*POWER(Upgrades!$Q$10,I22)*POWER(Upgrades!$Q$11,J22)*POWER(Upgrades!$Q$12,K22)*(Parameters!$B$10*Parameters!$B$11+O22*60)</f>
        <v>100</v>
      </c>
      <c r="AG22" s="21" t="n">
        <f aca="false">IF(E22&gt;=Upgrades!$E$6,"",Upgrades!$C$6*POWER(Upgrades!$D$6,E22))</f>
        <v>14.0795003125</v>
      </c>
      <c r="AH22" s="21" t="n">
        <f aca="false">IF(F22&gt;=Upgrades!$E$7,"",Upgrades!$C$7*POWER(Upgrades!$D$7,F22))</f>
        <v>34.980125</v>
      </c>
      <c r="AI22" s="21" t="n">
        <f aca="false">IF(G22&gt;=Upgrades!$E$8,"",Upgrades!$C$8*POWER(Upgrades!$D$8,G22))</f>
        <v>118.32128</v>
      </c>
      <c r="AJ22" s="21" t="n">
        <f aca="false">IF(H22&gt;=Upgrades!$E$9,"",Upgrades!$C$9*POWER(Upgrades!$D$9,H22))</f>
        <v>160</v>
      </c>
      <c r="AK22" s="21" t="n">
        <f aca="false">IF(I22&gt;=Upgrades!$E$10,"",Upgrades!$C$10*POWER(Upgrades!$D$10,I22))</f>
        <v>240</v>
      </c>
      <c r="AL22" s="21" t="n">
        <f aca="false">IF(J22&gt;=Upgrades!$E$11,"",Upgrades!$C$11*POWER(Upgrades!$D$11,J22))</f>
        <v>575</v>
      </c>
      <c r="AM22" s="21" t="n">
        <f aca="false">IF(K22&gt;=Upgrades!$E$12,"",Upgrades!$C$12*POWER(Upgrades!$D$12,K22))</f>
        <v>850</v>
      </c>
      <c r="AN22" s="26" t="str">
        <f aca="false">IF(AND(D22&gt;=Parameters!$B$18,(H22&gt;=Upgrades!$E$9)*(K22&gt;=Upgrades!$E$12)=1,L22=0),1,"")</f>
        <v/>
      </c>
      <c r="AO22" s="26" t="str">
        <f aca="false">IF(AND(D22&gt;=Parameters!$B$18,L22=0),1,"")</f>
        <v/>
      </c>
      <c r="AP22" s="21" t="n">
        <f aca="false">MIN(IF(ISNUMBER(AK22),AK22,9000000000000000),IF(ISNUMBER(AL22),AL22,9000000000000000),IF(ISNUMBER(AM22),AM22,9000000000000000))</f>
        <v>240</v>
      </c>
      <c r="AQ22" s="21" t="n">
        <f aca="false">MIN(IF(ISNUMBER(AG22),AG22,9000000000000000),IF(ISNUMBER(AH22),AH22,9000000000000000),IF(ISNUMBER(AI22),AI22,9000000000000000),IF(ISNUMBER(AJ22),AJ22,9000000000000000))</f>
        <v>14.0795003125</v>
      </c>
      <c r="AR22" s="32" t="b">
        <f aca="false">IF(AW22&gt;Parameters!$B$21*(MAX(IF(AND(NOT(AND(AO22=1,AN22&lt;&gt;1)),ISNUMBER(AG22),AG22&lt;=T22),AS22,0),IF(AND(NOT(AND(AO22=1,AN22&lt;&gt;1)),ISNUMBER(AH22),AH22&lt;=T22),AT22,0),IF(AND(NOT(AND(AO22=1,AN22&lt;&gt;1)),ISNUMBER(AI22),AI22&lt;=T22),AU22,0),IF(AND(ISNUMBER(AJ22),AJ22&lt;=T22),AV22,0))),TRUE(),FALSE())</f>
        <v>0</v>
      </c>
      <c r="AS22" s="33" t="n">
        <f aca="false">IFERROR(Upgrades!$H$6*(POWER(Upgrades!$P$6,E22)*POWER(Upgrades!$P$7,F22)*POWER(Upgrades!$P$8,G22)*POWER(Upgrades!$P$9,H22)*POWER(Upgrades!$P$10,I22)*POWER(Upgrades!$P$11,J22)*POWER(Upgrades!$P$12,K22))*(IF(Upgrades!$T$7="Solar Wind",POWER(Upgrades!$U$7,F22),1)*IF(Upgrades!$T$8="Solar Wind",POWER(Upgrades!$U$8,G22),1)*IF(Upgrades!$T$9="Solar Wind",POWER(Upgrades!$U$9,H22),1)*IF(Upgrades!$T$10="Solar Wind",POWER(Upgrades!$U$10,I22),1)*IF(Upgrades!$T$11="Solar Wind",POWER(Upgrades!$U$11,J22),1)*IF(Upgrades!$T$12="Solar Wind",POWER(Upgrades!$U$12,K22),1))/AG22,0)</f>
        <v>0.00568201983198046</v>
      </c>
      <c r="AT22" s="33" t="n">
        <f aca="false">IFERROR(Upgrades!$H$7*(POWER(Upgrades!$P$6,E22)*POWER(Upgrades!$P$7,F22)*POWER(Upgrades!$P$8,G22)*POWER(Upgrades!$P$9,H22)*POWER(Upgrades!$P$10,I22)*POWER(Upgrades!$P$11,J22)*POWER(Upgrades!$P$12,K22))*(IF(Upgrades!$T$6="Asteroid Belt",POWER(Upgrades!$U$6,E22),1)*IF(Upgrades!$T$8="Asteroid Belt",POWER(Upgrades!$U$8,G22),1)*IF(Upgrades!$T$9="Asteroid Belt",POWER(Upgrades!$U$9,H22),1)*IF(Upgrades!$T$10="Asteroid Belt",POWER(Upgrades!$U$10,I22),1)*IF(Upgrades!$T$11="Asteroid Belt",POWER(Upgrades!$U$11,J22),1)*IF(Upgrades!$T$12="Asteroid Belt",POWER(Upgrades!$U$12,K22),1))/AH22,0)</f>
        <v>0.00571753245593033</v>
      </c>
      <c r="AU22" s="33" t="n">
        <f aca="false">IFERROR(Upgrades!$K$8*(POWER(Upgrades!$Q$6,E22)*POWER(Upgrades!$Q$7,F22)*POWER(Upgrades!$Q$8,G22)*POWER(Upgrades!$Q$9,H22)*POWER(Upgrades!$Q$10,I22)*POWER(Upgrades!$Q$11,J22)*POWER(Upgrades!$Q$12,K22))*(IF(Upgrades!$T$6="Stellar Coupling",POWER(Upgrades!$U$6,E22),1)*IF(Upgrades!$T$7="Stellar Coupling",POWER(Upgrades!$U$7,F22),1)*IF(Upgrades!$T$9="Stellar Coupling",POWER(Upgrades!$U$9,H22),1)*IF(Upgrades!$T$10="Stellar Coupling",POWER(Upgrades!$U$10,I22),1)*IF(Upgrades!$T$11="Stellar Coupling",POWER(Upgrades!$U$11,J22),1)*IF(Upgrades!$T$12="Stellar Coupling",POWER(Upgrades!$U$12,K22),1))*Parameters!$B$10*Parameters!$B$11/60/AI22,0)</f>
        <v>0.00493007963853445</v>
      </c>
      <c r="AV22" s="33" t="n">
        <f aca="false">IFERROR(Upgrades!$H$9*(POWER(Upgrades!$P$6,E22)*POWER(Upgrades!$P$7,F22)*POWER(Upgrades!$P$8,G22)*POWER(Upgrades!$P$9,H22)*POWER(Upgrades!$P$10,I22)*POWER(Upgrades!$P$11,J22)*POWER(Upgrades!$P$12,K22))*(IF(Upgrades!$T$6="Magnetosphere",POWER(Upgrades!$U$6,E22),1)*IF(Upgrades!$T$7="Magnetosphere",POWER(Upgrades!$U$7,F22),1)*IF(Upgrades!$T$8="Magnetosphere",POWER(Upgrades!$U$8,G22),1)*IF(Upgrades!$T$10="Magnetosphere",POWER(Upgrades!$U$10,I22),1)*IF(Upgrades!$T$11="Magnetosphere",POWER(Upgrades!$U$11,J22),1)*IF(Upgrades!$T$12="Magnetosphere",POWER(Upgrades!$U$12,K22),1))/AJ22,0)</f>
        <v>0.00625</v>
      </c>
      <c r="AW22" s="33" t="n">
        <f aca="false">MAX(IF(I22&gt;0,0,IFERROR(0.25*N22/Upgrades!$C$10,0)),IF(J22&gt;0,0,IFERROR(0.5*((IF(G22=0,0,(Upgrades!$J$8+G22*Upgrades!$K$8)*POWER(Upgrades!$L$8,G22)))*(IF(Upgrades!$T$6="Stellar Coupling",POWER(Upgrades!$U$6,E22),1)*IF(Upgrades!$T$7="Stellar Coupling",POWER(Upgrades!$U$7,F22),1)*IF(Upgrades!$T$9="Stellar Coupling",POWER(Upgrades!$U$9,H22),1)*IF(Upgrades!$T$10="Stellar Coupling",POWER(Upgrades!$U$10,I22),1)*IF(Upgrades!$T$11="Stellar Coupling",POWER(Upgrades!$U$11,J22),1)*IF(Upgrades!$T$12="Stellar Coupling",POWER(Upgrades!$U$12,K22),1))*(POWER(Upgrades!$Q$6,E22)*POWER(Upgrades!$Q$7,F22)*POWER(Upgrades!$Q$8,G22)*POWER(Upgrades!$Q$9,H22)*POWER(Upgrades!$Q$10,I22)*POWER(Upgrades!$Q$11,J22)*POWER(Upgrades!$Q$12,K22))*Parameters!$B$10*Parameters!$B$11/60)/Upgrades!$C$11,0)),IF(K22&gt;0,0,IFERROR((1*(POWER(Upgrades!$P$6,E22)*POWER(Upgrades!$P$7,F22)*POWER(Upgrades!$P$8,G22)*POWER(Upgrades!$P$9,H22)*POWER(Upgrades!$P$10,I22)*POWER(Upgrades!$P$11,J22)*POWER(Upgrades!$P$12,K22))+0.2*M22*Parameters!$B$10*Parameters!$B$11/60)/Upgrades!$C$12,0)),IF(AND(ISNUMBER(AG22),AG22&gt;T22),AS22,0),IF(AND(ISNUMBER(AH22),AH22&gt;T22),AT22,0),IF(AND(ISNUMBER(AI22),AI22&gt;T22),AU22,0),IF(AND(ISNUMBER(AJ22),AJ22&gt;T22),AV22,0))</f>
        <v>0.00253623188405797</v>
      </c>
      <c r="AX22" s="29" t="str">
        <f aca="false">IF(AN22=1,"transition",IF(MIN(IF(AND(I22=0,ISNUMBER(AK22),AK22&lt;=T22),AK22,9000000000000000),IF(AND(J22=0,ISNUMBER(AL22),AL22&lt;=T22),AL22,9000000000000000),IF(AND(K22=0,ISNUMBER(AM22),AM22&lt;=T22),AM22,9000000000000000))&lt;9000000000000000,IF(AND(AND(I22=0,ISNUMBER(AK22),AK22&lt;=T22),AK22=MIN(IF(AND(I22=0,ISNUMBER(AK22),AK22&lt;=T22),AK22,9000000000000000),IF(AND(J22=0,ISNUMBER(AL22),AL22&lt;=T22),AL22,9000000000000000),IF(AND(K22=0,ISNUMBER(AM22),AM22&lt;=T22),AM22,9000000000000000))),"OR",IF(AND(AND(J22=0,ISNUMBER(AL22),AL22&lt;=T22),AL22=MIN(IF(AND(I22=0,ISNUMBER(AK22),AK22&lt;=T22),AK22,9000000000000000),IF(AND(J22=0,ISNUMBER(AL22),AL22&lt;=T22),AL22,9000000000000000),IF(AND(K22=0,ISNUMBER(AM22),AM22&lt;=T22),AM22,9000000000000000))),"HP","FP")),IF(AR22=TRUE(),"",IF(MAX(IF(AND(NOT(AND(AO22=1,AN22&lt;&gt;1)),ISNUMBER(AG22),AG22&lt;=T22),AS22,0),IF(AND(NOT(AND(AO22=1,AN22&lt;&gt;1)),ISNUMBER(AH22),AH22&lt;=T22),AT22,0),IF(AND(NOT(AND(AO22=1,AN22&lt;&gt;1)),ISNUMBER(AI22),AI22&lt;=T22),AU22,0),IF(AND(ISNUMBER(AJ22),AJ22&lt;=T22),AV22,0))&lt;=0,"",IF(AND(IF(AND(NOT(AND(AO22=1,AN22&lt;&gt;1)),ISNUMBER(AG22),AG22&lt;=T22),AS22,0)&gt;0,IF(AND(NOT(AND(AO22=1,AN22&lt;&gt;1)),ISNUMBER(AG22),AG22&lt;=T22),AS22,0)=MAX(IF(AND(NOT(AND(AO22=1,AN22&lt;&gt;1)),ISNUMBER(AG22),AG22&lt;=T22),AS22,0),IF(AND(NOT(AND(AO22=1,AN22&lt;&gt;1)),ISNUMBER(AH22),AH22&lt;=T22),AT22,0),IF(AND(NOT(AND(AO22=1,AN22&lt;&gt;1)),ISNUMBER(AI22),AI22&lt;=T22),AU22,0),IF(AND(ISNUMBER(AJ22),AJ22&lt;=T22),AV22,0))),"SW",IF(AND(IF(AND(NOT(AND(AO22=1,AN22&lt;&gt;1)),ISNUMBER(AH22),AH22&lt;=T22),AT22,0)&gt;0,IF(AND(NOT(AND(AO22=1,AN22&lt;&gt;1)),ISNUMBER(AH22),AH22&lt;=T22),AT22,0)=MAX(IF(AND(NOT(AND(AO22=1,AN22&lt;&gt;1)),ISNUMBER(AG22),AG22&lt;=T22),AS22,0),IF(AND(NOT(AND(AO22=1,AN22&lt;&gt;1)),ISNUMBER(AH22),AH22&lt;=T22),AT22,0),IF(AND(NOT(AND(AO22=1,AN22&lt;&gt;1)),ISNUMBER(AI22),AI22&lt;=T22),AU22,0),IF(AND(ISNUMBER(AJ22),AJ22&lt;=T22),AV22,0))),"AB",IF(AND(IF(AND(NOT(AND(AO22=1,AN22&lt;&gt;1)),ISNUMBER(AI22),AI22&lt;=T22),AU22,0)&gt;0,IF(AND(NOT(AND(AO22=1,AN22&lt;&gt;1)),ISNUMBER(AI22),AI22&lt;=T22),AU22,0)=MAX(IF(AND(NOT(AND(AO22=1,AN22&lt;&gt;1)),ISNUMBER(AG22),AG22&lt;=T22),AS22,0),IF(AND(NOT(AND(AO22=1,AN22&lt;&gt;1)),ISNUMBER(AH22),AH22&lt;=T22),AT22,0),IF(AND(NOT(AND(AO22=1,AN22&lt;&gt;1)),ISNUMBER(AI22),AI22&lt;=T22),AU22,0),IF(AND(ISNUMBER(AJ22),AJ22&lt;=T22),AV22,0))),"SC","Mag")))))))</f>
        <v>OR</v>
      </c>
    </row>
    <row r="23" customFormat="false" ht="15" hidden="false" customHeight="false" outlineLevel="0" collapsed="false">
      <c r="A23" s="26" t="n">
        <v>18</v>
      </c>
      <c r="B23" s="27" t="n">
        <f aca="false">A23*10/60</f>
        <v>3</v>
      </c>
      <c r="C23" s="21" t="n">
        <f aca="false">X22</f>
        <v>42.1659645833334</v>
      </c>
      <c r="D23" s="27" t="n">
        <f aca="false">D22+W22</f>
        <v>0.4</v>
      </c>
      <c r="E23" s="26" t="n">
        <f aca="false">E22+IF(U22="SW",1,0)</f>
        <v>5</v>
      </c>
      <c r="F23" s="26" t="n">
        <f aca="false">F22+IF(U22="AB",1,0)</f>
        <v>4</v>
      </c>
      <c r="G23" s="26" t="n">
        <f aca="false">G22+IF(U22="SC",1,0)</f>
        <v>5</v>
      </c>
      <c r="H23" s="26" t="n">
        <f aca="false">H22+IF(U22="Mag",1,0)</f>
        <v>1</v>
      </c>
      <c r="I23" s="26" t="n">
        <f aca="false">MAX(I22,IF(U22="OR",1,0))</f>
        <v>1</v>
      </c>
      <c r="J23" s="26" t="n">
        <f aca="false">MAX(J22,IF(U22="HP",1,0))</f>
        <v>0</v>
      </c>
      <c r="K23" s="26" t="n">
        <f aca="false">MAX(K22,IF(U22="FP",1,0))</f>
        <v>0</v>
      </c>
      <c r="L23" s="26" t="n">
        <f aca="false">MAX(L22,IF(U22="transition",1,0))</f>
        <v>0</v>
      </c>
      <c r="M23" s="28" t="n">
        <f aca="false">(Parameters!$B$9+(IF(E23=0,0,(Upgrades!$J$6+E23*Upgrades!$K$6)*POWER(Upgrades!$L$6,E23)))*(IF(Upgrades!$T$7="Solar Wind",POWER(Upgrades!$U$7,F23),1)*IF(Upgrades!$T$8="Solar Wind",POWER(Upgrades!$U$8,G23),1)*IF(Upgrades!$T$9="Solar Wind",POWER(Upgrades!$U$9,H23),1)*IF(Upgrades!$T$10="Solar Wind",POWER(Upgrades!$U$10,I23),1)*IF(Upgrades!$T$11="Solar Wind",POWER(Upgrades!$U$11,J23),1)*IF(Upgrades!$T$12="Solar Wind",POWER(Upgrades!$U$12,K23),1))+(IF(F23=0,0,(Upgrades!$J$7+F23*Upgrades!$K$7)*POWER(Upgrades!$L$7,F23)))*(IF(Upgrades!$T$6="Asteroid Belt",POWER(Upgrades!$U$6,E23),1)*IF(Upgrades!$T$8="Asteroid Belt",POWER(Upgrades!$U$8,G23),1)*IF(Upgrades!$T$9="Asteroid Belt",POWER(Upgrades!$U$9,H23),1)*IF(Upgrades!$T$10="Asteroid Belt",POWER(Upgrades!$U$10,I23),1)*IF(Upgrades!$T$11="Asteroid Belt",POWER(Upgrades!$U$11,J23),1)*IF(Upgrades!$T$12="Asteroid Belt",POWER(Upgrades!$U$12,K23),1))+(IF(G23=0,0,(Upgrades!$J$8+G23*Upgrades!$K$8)*POWER(Upgrades!$L$8,G23)))*(IF(Upgrades!$T$6="Stellar Coupling",POWER(Upgrades!$U$6,E23),1)*IF(Upgrades!$T$7="Stellar Coupling",POWER(Upgrades!$U$7,F23),1)*IF(Upgrades!$T$9="Stellar Coupling",POWER(Upgrades!$U$9,H23),1)*IF(Upgrades!$T$10="Stellar Coupling",POWER(Upgrades!$U$10,I23),1)*IF(Upgrades!$T$11="Stellar Coupling",POWER(Upgrades!$U$11,J23),1)*IF(Upgrades!$T$12="Stellar Coupling",POWER(Upgrades!$U$12,K23),1))+(IF(H23=0,0,(Upgrades!$J$9+H23*Upgrades!$K$9)*POWER(Upgrades!$L$9,H23)))*(IF(Upgrades!$T$6="Magnetosphere",POWER(Upgrades!$U$6,E23),1)*IF(Upgrades!$T$7="Magnetosphere",POWER(Upgrades!$U$7,F23),1)*IF(Upgrades!$T$8="Magnetosphere",POWER(Upgrades!$U$8,G23),1)*IF(Upgrades!$T$10="Magnetosphere",POWER(Upgrades!$U$10,I23),1)*IF(Upgrades!$T$11="Magnetosphere",POWER(Upgrades!$U$11,J23),1)*IF(Upgrades!$T$12="Magnetosphere",POWER(Upgrades!$U$12,K23),1))+(IF(I23=0,0,(Upgrades!$J$10+I23*Upgrades!$K$10)*POWER(Upgrades!$L$10,I23)))*(IF(Upgrades!$T$6="Orbital Resonance",POWER(Upgrades!$U$6,E23),1)*IF(Upgrades!$T$7="Orbital Resonance",POWER(Upgrades!$U$7,F23),1)*IF(Upgrades!$T$8="Orbital Resonance",POWER(Upgrades!$U$8,G23),1)*IF(Upgrades!$T$9="Orbital Resonance",POWER(Upgrades!$U$9,H23),1)*IF(Upgrades!$T$11="Orbital Resonance",POWER(Upgrades!$U$11,J23),1)*IF(Upgrades!$T$12="Orbital Resonance",POWER(Upgrades!$U$12,K23),1))+(IF(J23=0,0,(Upgrades!$J$11+J23*Upgrades!$K$11)*POWER(Upgrades!$L$11,J23)))*(IF(Upgrades!$T$6="Heliopause",POWER(Upgrades!$U$6,E23),1)*IF(Upgrades!$T$7="Heliopause",POWER(Upgrades!$U$7,F23),1)*IF(Upgrades!$T$8="Heliopause",POWER(Upgrades!$U$8,G23),1)*IF(Upgrades!$T$9="Heliopause",POWER(Upgrades!$U$9,H23),1)*IF(Upgrades!$T$10="Heliopause",POWER(Upgrades!$U$10,I23),1)*IF(Upgrades!$T$12="Heliopause",POWER(Upgrades!$U$12,K23),1))+(IF(K23=0,0,(Upgrades!$J$12+K23*Upgrades!$K$12)*POWER(Upgrades!$L$12,K23)))*(IF(Upgrades!$T$6="First Photons",POWER(Upgrades!$U$6,E23),1)*IF(Upgrades!$T$7="First Photons",POWER(Upgrades!$U$7,F23),1)*IF(Upgrades!$T$8="First Photons",POWER(Upgrades!$U$8,G23),1)*IF(Upgrades!$T$9="First Photons",POWER(Upgrades!$U$9,H23),1)*IF(Upgrades!$T$10="First Photons",POWER(Upgrades!$U$10,I23),1)*IF(Upgrades!$T$11="First Photons",POWER(Upgrades!$U$11,J23),1)))*POWER(Upgrades!$Q$6,E23)*POWER(Upgrades!$Q$7,F23)*POWER(Upgrades!$Q$8,G23)*POWER(Upgrades!$Q$9,H23)*POWER(Upgrades!$Q$10,I23)*POWER(Upgrades!$Q$11,J23)*POWER(Upgrades!$Q$12,K23)</f>
        <v>2.75</v>
      </c>
      <c r="N23" s="28" t="n">
        <f aca="false">((IF(E23=0,0,(Upgrades!$G$6+E23*Upgrades!$H$6)*POWER(Upgrades!$I$6,E23)))*(IF(Upgrades!$T$7="Solar Wind",POWER(Upgrades!$U$7,F23),1)*IF(Upgrades!$T$8="Solar Wind",POWER(Upgrades!$U$8,G23),1)*IF(Upgrades!$T$9="Solar Wind",POWER(Upgrades!$U$9,H23),1)*IF(Upgrades!$T$10="Solar Wind",POWER(Upgrades!$U$10,I23),1)*IF(Upgrades!$T$11="Solar Wind",POWER(Upgrades!$U$11,J23),1)*IF(Upgrades!$T$12="Solar Wind",POWER(Upgrades!$U$12,K23),1))+(IF(F23=0,0,(Upgrades!$G$7+F23*Upgrades!$H$7)*POWER(Upgrades!$I$7,F23)))*(IF(Upgrades!$T$6="Asteroid Belt",POWER(Upgrades!$U$6,E23),1)*IF(Upgrades!$T$8="Asteroid Belt",POWER(Upgrades!$U$8,G23),1)*IF(Upgrades!$T$9="Asteroid Belt",POWER(Upgrades!$U$9,H23),1)*IF(Upgrades!$T$10="Asteroid Belt",POWER(Upgrades!$U$10,I23),1)*IF(Upgrades!$T$11="Asteroid Belt",POWER(Upgrades!$U$11,J23),1)*IF(Upgrades!$T$12="Asteroid Belt",POWER(Upgrades!$U$12,K23),1))+(IF(G23=0,0,(Upgrades!$G$8+G23*Upgrades!$H$8)*POWER(Upgrades!$I$8,G23)))*(IF(Upgrades!$T$6="Stellar Coupling",POWER(Upgrades!$U$6,E23),1)*IF(Upgrades!$T$7="Stellar Coupling",POWER(Upgrades!$U$7,F23),1)*IF(Upgrades!$T$9="Stellar Coupling",POWER(Upgrades!$U$9,H23),1)*IF(Upgrades!$T$10="Stellar Coupling",POWER(Upgrades!$U$10,I23),1)*IF(Upgrades!$T$11="Stellar Coupling",POWER(Upgrades!$U$11,J23),1)*IF(Upgrades!$T$12="Stellar Coupling",POWER(Upgrades!$U$12,K23),1))+(IF(H23=0,0,(Upgrades!$G$9+H23*Upgrades!$H$9)*POWER(Upgrades!$I$9,H23)))*(IF(Upgrades!$T$6="Magnetosphere",POWER(Upgrades!$U$6,E23),1)*IF(Upgrades!$T$7="Magnetosphere",POWER(Upgrades!$U$7,F23),1)*IF(Upgrades!$T$8="Magnetosphere",POWER(Upgrades!$U$8,G23),1)*IF(Upgrades!$T$10="Magnetosphere",POWER(Upgrades!$U$10,I23),1)*IF(Upgrades!$T$11="Magnetosphere",POWER(Upgrades!$U$11,J23),1)*IF(Upgrades!$T$12="Magnetosphere",POWER(Upgrades!$U$12,K23),1))+(IF(I23=0,0,(Upgrades!$G$10+I23*Upgrades!$H$10)*POWER(Upgrades!$I$10,I23)))*(IF(Upgrades!$T$6="Orbital Resonance",POWER(Upgrades!$U$6,E23),1)*IF(Upgrades!$T$7="Orbital Resonance",POWER(Upgrades!$U$7,F23),1)*IF(Upgrades!$T$8="Orbital Resonance",POWER(Upgrades!$U$8,G23),1)*IF(Upgrades!$T$9="Orbital Resonance",POWER(Upgrades!$U$9,H23),1)*IF(Upgrades!$T$11="Orbital Resonance",POWER(Upgrades!$U$11,J23),1)*IF(Upgrades!$T$12="Orbital Resonance",POWER(Upgrades!$U$12,K23),1))+(IF(J23=0,0,(Upgrades!$G$11+J23*Upgrades!$H$11)*POWER(Upgrades!$I$11,J23)))*(IF(Upgrades!$T$6="Heliopause",POWER(Upgrades!$U$6,E23),1)*IF(Upgrades!$T$7="Heliopause",POWER(Upgrades!$U$7,F23),1)*IF(Upgrades!$T$8="Heliopause",POWER(Upgrades!$U$8,G23),1)*IF(Upgrades!$T$9="Heliopause",POWER(Upgrades!$U$9,H23),1)*IF(Upgrades!$T$10="Heliopause",POWER(Upgrades!$U$10,I23),1)*IF(Upgrades!$T$12="Heliopause",POWER(Upgrades!$U$12,K23),1))+(IF(K23=0,0,(Upgrades!$G$12+K23*Upgrades!$H$12)*POWER(Upgrades!$I$12,K23)))*(IF(Upgrades!$T$6="First Photons",POWER(Upgrades!$U$6,E23),1)*IF(Upgrades!$T$7="First Photons",POWER(Upgrades!$U$7,F23),1)*IF(Upgrades!$T$8="First Photons",POWER(Upgrades!$U$8,G23),1)*IF(Upgrades!$T$9="First Photons",POWER(Upgrades!$U$9,H23),1)*IF(Upgrades!$T$10="First Photons",POWER(Upgrades!$U$10,I23),1)*IF(Upgrades!$T$11="First Photons",POWER(Upgrades!$U$11,J23),1)))*POWER(Upgrades!$P$6,E23)*POWER(Upgrades!$P$7,F23)*POWER(Upgrades!$P$8,G23)*POWER(Upgrades!$P$9,H23)*POWER(Upgrades!$P$10,I23)*POWER(Upgrades!$P$11,J23)*POWER(Upgrades!$P$12,K23)</f>
        <v>2.75</v>
      </c>
      <c r="O23" s="28" t="n">
        <f aca="false">((IF(E23=0,0,(Upgrades!$M$6+E23*Upgrades!$N$6)*POWER(Upgrades!$O$6,E23)))*(IF(Upgrades!$T$7="Solar Wind",POWER(Upgrades!$U$7,F23),1)*IF(Upgrades!$T$8="Solar Wind",POWER(Upgrades!$U$8,G23),1)*IF(Upgrades!$T$9="Solar Wind",POWER(Upgrades!$U$9,H23),1)*IF(Upgrades!$T$10="Solar Wind",POWER(Upgrades!$U$10,I23),1)*IF(Upgrades!$T$11="Solar Wind",POWER(Upgrades!$U$11,J23),1)*IF(Upgrades!$T$12="Solar Wind",POWER(Upgrades!$U$12,K23),1))+(IF(F23=0,0,(Upgrades!$M$7+F23*Upgrades!$N$7)*POWER(Upgrades!$O$7,F23)))*(IF(Upgrades!$T$6="Asteroid Belt",POWER(Upgrades!$U$6,E23),1)*IF(Upgrades!$T$8="Asteroid Belt",POWER(Upgrades!$U$8,G23),1)*IF(Upgrades!$T$9="Asteroid Belt",POWER(Upgrades!$U$9,H23),1)*IF(Upgrades!$T$10="Asteroid Belt",POWER(Upgrades!$U$10,I23),1)*IF(Upgrades!$T$11="Asteroid Belt",POWER(Upgrades!$U$11,J23),1)*IF(Upgrades!$T$12="Asteroid Belt",POWER(Upgrades!$U$12,K23),1))+(IF(G23=0,0,(Upgrades!$M$8+G23*Upgrades!$N$8)*POWER(Upgrades!$O$8,G23)))*(IF(Upgrades!$T$6="Stellar Coupling",POWER(Upgrades!$U$6,E23),1)*IF(Upgrades!$T$7="Stellar Coupling",POWER(Upgrades!$U$7,F23),1)*IF(Upgrades!$T$9="Stellar Coupling",POWER(Upgrades!$U$9,H23),1)*IF(Upgrades!$T$10="Stellar Coupling",POWER(Upgrades!$U$10,I23),1)*IF(Upgrades!$T$11="Stellar Coupling",POWER(Upgrades!$U$11,J23),1)*IF(Upgrades!$T$12="Stellar Coupling",POWER(Upgrades!$U$12,K23),1))+(IF(H23=0,0,(Upgrades!$M$9+H23*Upgrades!$N$9)*POWER(Upgrades!$O$9,H23)))*(IF(Upgrades!$T$6="Magnetosphere",POWER(Upgrades!$U$6,E23),1)*IF(Upgrades!$T$7="Magnetosphere",POWER(Upgrades!$U$7,F23),1)*IF(Upgrades!$T$8="Magnetosphere",POWER(Upgrades!$U$8,G23),1)*IF(Upgrades!$T$10="Magnetosphere",POWER(Upgrades!$U$10,I23),1)*IF(Upgrades!$T$11="Magnetosphere",POWER(Upgrades!$U$11,J23),1)*IF(Upgrades!$T$12="Magnetosphere",POWER(Upgrades!$U$12,K23),1))+(IF(I23=0,0,(Upgrades!$M$10+I23*Upgrades!$N$10)*POWER(Upgrades!$O$10,I23)))*(IF(Upgrades!$T$6="Orbital Resonance",POWER(Upgrades!$U$6,E23),1)*IF(Upgrades!$T$7="Orbital Resonance",POWER(Upgrades!$U$7,F23),1)*IF(Upgrades!$T$8="Orbital Resonance",POWER(Upgrades!$U$8,G23),1)*IF(Upgrades!$T$9="Orbital Resonance",POWER(Upgrades!$U$9,H23),1)*IF(Upgrades!$T$11="Orbital Resonance",POWER(Upgrades!$U$11,J23),1)*IF(Upgrades!$T$12="Orbital Resonance",POWER(Upgrades!$U$12,K23),1))+(IF(J23=0,0,(Upgrades!$M$11+J23*Upgrades!$N$11)*POWER(Upgrades!$O$11,J23)))*(IF(Upgrades!$T$6="Heliopause",POWER(Upgrades!$U$6,E23),1)*IF(Upgrades!$T$7="Heliopause",POWER(Upgrades!$U$7,F23),1)*IF(Upgrades!$T$8="Heliopause",POWER(Upgrades!$U$8,G23),1)*IF(Upgrades!$T$9="Heliopause",POWER(Upgrades!$U$9,H23),1)*IF(Upgrades!$T$10="Heliopause",POWER(Upgrades!$U$10,I23),1)*IF(Upgrades!$T$12="Heliopause",POWER(Upgrades!$U$12,K23),1))+(IF(K23=0,0,(Upgrades!$M$12+K23*Upgrades!$N$12)*POWER(Upgrades!$O$12,K23)))*(IF(Upgrades!$T$6="First Photons",POWER(Upgrades!$U$6,E23),1)*IF(Upgrades!$T$7="First Photons",POWER(Upgrades!$U$7,F23),1)*IF(Upgrades!$T$8="First Photons",POWER(Upgrades!$U$8,G23),1)*IF(Upgrades!$T$9="First Photons",POWER(Upgrades!$U$9,H23),1)*IF(Upgrades!$T$10="First Photons",POWER(Upgrades!$U$10,I23),1)*IF(Upgrades!$T$11="First Photons",POWER(Upgrades!$U$11,J23),1)))*POWER(Upgrades!$R$6,E23)*POWER(Upgrades!$R$7,F23)*POWER(Upgrades!$R$8,G23)*POWER(Upgrades!$R$9,H23)*POWER(Upgrades!$R$10,I23)*POWER(Upgrades!$R$11,J23)*POWER(Upgrades!$R$12,K23)</f>
        <v>0</v>
      </c>
      <c r="P23" s="27" t="n">
        <f aca="false">IF(L23=1,0,M23*Parameters!$B$10/60*Parameters!$B$11*10)</f>
        <v>45.8333333333333</v>
      </c>
      <c r="Q23" s="27" t="n">
        <f aca="false">IF(L23=1,0,O23*M23*10)</f>
        <v>0</v>
      </c>
      <c r="R23" s="27" t="n">
        <f aca="false">IF(L23=1,0,N23*10)</f>
        <v>27.5</v>
      </c>
      <c r="S23" s="27" t="n">
        <f aca="false">P23+Q23+R23</f>
        <v>73.3333333333333</v>
      </c>
      <c r="T23" s="21" t="n">
        <f aca="false">C23+S23</f>
        <v>115.499297916667</v>
      </c>
      <c r="U23" s="34" t="str">
        <f aca="false">AX23</f>
        <v>AB</v>
      </c>
      <c r="V23" s="21" t="n">
        <f aca="false">IF(U23="",0,IF(U23="transition",0,IF(U23="SW",AG23,IF(U23="AB",AH23,IF(U23="SC",AI23,IF(U23="Mag",AJ23,IF(U23="OR",AK23,IF(U23="HP",AL23,IF(U23="FP",AM23,0)))))))))</f>
        <v>34.980125</v>
      </c>
      <c r="W23" s="27" t="n">
        <f aca="false">IF(U23="OR",Upgrades!$F$10,IF(U23="HP",Upgrades!$F$11,IF(U23="transition",-Parameters!$B$18,0)))</f>
        <v>0</v>
      </c>
      <c r="X23" s="21" t="n">
        <f aca="false">T23-V23</f>
        <v>80.5191729166667</v>
      </c>
      <c r="Y23" s="30" t="n">
        <f aca="false">M23*Parameters!$B$10/60*Parameters!$B$11+O23*M23+N23</f>
        <v>7.33333333333333</v>
      </c>
      <c r="Z23" s="35" t="str">
        <f aca="false">IF(U23="transition","→ Tier 2 (Stellar Neighborhood)",IF(U23="FP","First Photons — light begins, system quickens",IF(U23="HP","Heliopause acquired",IF(U23="OR","Orbital Resonance — passive multiplier active",IF(AND(AO23=1,L23=0,AN23&lt;&gt;1),"Cohesion ready (waiting on completionist upgrades)","")))))</f>
        <v/>
      </c>
      <c r="AA23" s="27" t="n">
        <f aca="false">(IF(E23=0,0,(Upgrades!$G$6+E23*Upgrades!$H$6)*POWER(Upgrades!$I$6,E23)))*(IF(Upgrades!$T$7="Solar Wind",POWER(Upgrades!$U$7,F23),1)*IF(Upgrades!$T$8="Solar Wind",POWER(Upgrades!$U$8,G23),1)*IF(Upgrades!$T$9="Solar Wind",POWER(Upgrades!$U$9,H23),1)*IF(Upgrades!$T$10="Solar Wind",POWER(Upgrades!$U$10,I23),1)*IF(Upgrades!$T$11="Solar Wind",POWER(Upgrades!$U$11,J23),1)*IF(Upgrades!$T$12="Solar Wind",POWER(Upgrades!$U$12,K23),1))*POWER(Upgrades!$P$6,E23)*POWER(Upgrades!$P$7,F23)*POWER(Upgrades!$P$8,G23)*POWER(Upgrades!$P$9,H23)*POWER(Upgrades!$P$10,I23)*POWER(Upgrades!$P$11,J23)*POWER(Upgrades!$P$12,K23)*60</f>
        <v>30</v>
      </c>
      <c r="AB23" s="27" t="n">
        <f aca="false">(IF(F23=0,0,(Upgrades!$G$7+F23*Upgrades!$H$7)*POWER(Upgrades!$I$7,F23)))*(IF(Upgrades!$T$6="Asteroid Belt",POWER(Upgrades!$U$6,E23),1)*IF(Upgrades!$T$8="Asteroid Belt",POWER(Upgrades!$U$8,G23),1)*IF(Upgrades!$T$9="Asteroid Belt",POWER(Upgrades!$U$9,H23),1)*IF(Upgrades!$T$10="Asteroid Belt",POWER(Upgrades!$U$10,I23),1)*IF(Upgrades!$T$11="Asteroid Belt",POWER(Upgrades!$U$11,J23),1)*IF(Upgrades!$T$12="Asteroid Belt",POWER(Upgrades!$U$12,K23),1))*POWER(Upgrades!$P$6,E23)*POWER(Upgrades!$P$7,F23)*POWER(Upgrades!$P$8,G23)*POWER(Upgrades!$P$9,H23)*POWER(Upgrades!$P$10,I23)*POWER(Upgrades!$P$11,J23)*POWER(Upgrades!$P$12,K23)*60</f>
        <v>60</v>
      </c>
      <c r="AC23" s="27" t="n">
        <f aca="false">(IF(G23=0,0,(Upgrades!$J$8+G23*Upgrades!$K$8)*POWER(Upgrades!$L$8,G23)))*(IF(Upgrades!$T$6="Stellar Coupling",POWER(Upgrades!$U$6,E23),1)*IF(Upgrades!$T$7="Stellar Coupling",POWER(Upgrades!$U$7,F23),1)*IF(Upgrades!$T$9="Stellar Coupling",POWER(Upgrades!$U$9,H23),1)*IF(Upgrades!$T$10="Stellar Coupling",POWER(Upgrades!$U$10,I23),1)*IF(Upgrades!$T$11="Stellar Coupling",POWER(Upgrades!$U$11,J23),1)*IF(Upgrades!$T$12="Stellar Coupling",POWER(Upgrades!$U$12,K23),1))*POWER(Upgrades!$Q$6,E23)*POWER(Upgrades!$Q$7,F23)*POWER(Upgrades!$Q$8,G23)*POWER(Upgrades!$Q$9,H23)*POWER(Upgrades!$Q$10,I23)*POWER(Upgrades!$Q$11,J23)*POWER(Upgrades!$Q$12,K23)*Parameters!$B$10*Parameters!$B$11</f>
        <v>175</v>
      </c>
      <c r="AD23" s="27" t="n">
        <f aca="false">(IF(H23=0,0,(Upgrades!$G$9+H23*Upgrades!$H$9)*POWER(Upgrades!$I$9,H23)))*(IF(Upgrades!$T$6="Magnetosphere",POWER(Upgrades!$U$6,E23),1)*IF(Upgrades!$T$7="Magnetosphere",POWER(Upgrades!$U$7,F23),1)*IF(Upgrades!$T$8="Magnetosphere",POWER(Upgrades!$U$8,G23),1)*IF(Upgrades!$T$10="Magnetosphere",POWER(Upgrades!$U$10,I23),1)*IF(Upgrades!$T$11="Magnetosphere",POWER(Upgrades!$U$11,J23),1)*IF(Upgrades!$T$12="Magnetosphere",POWER(Upgrades!$U$12,K23),1))*POWER(Upgrades!$P$6,E23)*POWER(Upgrades!$P$7,F23)*POWER(Upgrades!$P$8,G23)*POWER(Upgrades!$P$9,H23)*POWER(Upgrades!$P$10,I23)*POWER(Upgrades!$P$11,J23)*POWER(Upgrades!$P$12,K23)*60</f>
        <v>75</v>
      </c>
      <c r="AE23" s="27" t="n">
        <f aca="false">(IF(K23=0,0,(Upgrades!$G$12+K23*Upgrades!$H$12)*POWER(Upgrades!$I$12,K23)))*(IF(Upgrades!$T$6="First Photons",POWER(Upgrades!$U$6,E23),1)*IF(Upgrades!$T$7="First Photons",POWER(Upgrades!$U$7,F23),1)*IF(Upgrades!$T$8="First Photons",POWER(Upgrades!$U$8,G23),1)*IF(Upgrades!$T$9="First Photons",POWER(Upgrades!$U$9,H23),1)*IF(Upgrades!$T$10="First Photons",POWER(Upgrades!$U$10,I23),1)*IF(Upgrades!$T$11="First Photons",POWER(Upgrades!$U$11,J23),1))*POWER(Upgrades!$P$6,E23)*POWER(Upgrades!$P$7,F23)*POWER(Upgrades!$P$8,G23)*POWER(Upgrades!$P$9,H23)*POWER(Upgrades!$P$10,I23)*POWER(Upgrades!$P$11,J23)*POWER(Upgrades!$P$12,K23)*60</f>
        <v>0</v>
      </c>
      <c r="AF23" s="27" t="n">
        <f aca="false">Parameters!$B$9*POWER(Upgrades!$Q$6,E23)*POWER(Upgrades!$Q$7,F23)*POWER(Upgrades!$Q$8,G23)*POWER(Upgrades!$Q$9,H23)*POWER(Upgrades!$Q$10,I23)*POWER(Upgrades!$Q$11,J23)*POWER(Upgrades!$Q$12,K23)*(Parameters!$B$10*Parameters!$B$11+O23*60)</f>
        <v>100</v>
      </c>
      <c r="AG23" s="21" t="n">
        <f aca="false">IF(E23&gt;=Upgrades!$E$6,"",Upgrades!$C$6*POWER(Upgrades!$D$6,E23))</f>
        <v>14.0795003125</v>
      </c>
      <c r="AH23" s="21" t="n">
        <f aca="false">IF(F23&gt;=Upgrades!$E$7,"",Upgrades!$C$7*POWER(Upgrades!$D$7,F23))</f>
        <v>34.980125</v>
      </c>
      <c r="AI23" s="21" t="n">
        <f aca="false">IF(G23&gt;=Upgrades!$E$8,"",Upgrades!$C$8*POWER(Upgrades!$D$8,G23))</f>
        <v>118.32128</v>
      </c>
      <c r="AJ23" s="21" t="n">
        <f aca="false">IF(H23&gt;=Upgrades!$E$9,"",Upgrades!$C$9*POWER(Upgrades!$D$9,H23))</f>
        <v>160</v>
      </c>
      <c r="AK23" s="21" t="str">
        <f aca="false">IF(I23&gt;=Upgrades!$E$10,"",Upgrades!$C$10*POWER(Upgrades!$D$10,I23))</f>
        <v/>
      </c>
      <c r="AL23" s="21" t="n">
        <f aca="false">IF(J23&gt;=Upgrades!$E$11,"",Upgrades!$C$11*POWER(Upgrades!$D$11,J23))</f>
        <v>575</v>
      </c>
      <c r="AM23" s="21" t="n">
        <f aca="false">IF(K23&gt;=Upgrades!$E$12,"",Upgrades!$C$12*POWER(Upgrades!$D$12,K23))</f>
        <v>850</v>
      </c>
      <c r="AN23" s="26" t="str">
        <f aca="false">IF(AND(D23&gt;=Parameters!$B$18,(H23&gt;=Upgrades!$E$9)*(K23&gt;=Upgrades!$E$12)=1,L23=0),1,"")</f>
        <v/>
      </c>
      <c r="AO23" s="26" t="str">
        <f aca="false">IF(AND(D23&gt;=Parameters!$B$18,L23=0),1,"")</f>
        <v/>
      </c>
      <c r="AP23" s="21" t="n">
        <f aca="false">MIN(IF(ISNUMBER(AK23),AK23,9000000000000000),IF(ISNUMBER(AL23),AL23,9000000000000000),IF(ISNUMBER(AM23),AM23,9000000000000000))</f>
        <v>575</v>
      </c>
      <c r="AQ23" s="21" t="n">
        <f aca="false">MIN(IF(ISNUMBER(AG23),AG23,9000000000000000),IF(ISNUMBER(AH23),AH23,9000000000000000),IF(ISNUMBER(AI23),AI23,9000000000000000),IF(ISNUMBER(AJ23),AJ23,9000000000000000))</f>
        <v>14.0795003125</v>
      </c>
      <c r="AR23" s="32" t="b">
        <f aca="false">IF(AW23&gt;Parameters!$B$21*(MAX(IF(AND(NOT(AND(AO23=1,AN23&lt;&gt;1)),ISNUMBER(AG23),AG23&lt;=T23),AS23,0),IF(AND(NOT(AND(AO23=1,AN23&lt;&gt;1)),ISNUMBER(AH23),AH23&lt;=T23),AT23,0),IF(AND(NOT(AND(AO23=1,AN23&lt;&gt;1)),ISNUMBER(AI23),AI23&lt;=T23),AU23,0),IF(AND(ISNUMBER(AJ23),AJ23&lt;=T23),AV23,0))),TRUE(),FALSE())</f>
        <v>0</v>
      </c>
      <c r="AS23" s="33" t="n">
        <f aca="false">IFERROR(Upgrades!$H$6*(POWER(Upgrades!$P$6,E23)*POWER(Upgrades!$P$7,F23)*POWER(Upgrades!$P$8,G23)*POWER(Upgrades!$P$9,H23)*POWER(Upgrades!$P$10,I23)*POWER(Upgrades!$P$11,J23)*POWER(Upgrades!$P$12,K23))*(IF(Upgrades!$T$7="Solar Wind",POWER(Upgrades!$U$7,F23),1)*IF(Upgrades!$T$8="Solar Wind",POWER(Upgrades!$U$8,G23),1)*IF(Upgrades!$T$9="Solar Wind",POWER(Upgrades!$U$9,H23),1)*IF(Upgrades!$T$10="Solar Wind",POWER(Upgrades!$U$10,I23),1)*IF(Upgrades!$T$11="Solar Wind",POWER(Upgrades!$U$11,J23),1)*IF(Upgrades!$T$12="Solar Wind",POWER(Upgrades!$U$12,K23),1))/AG23,0)</f>
        <v>0.00710252478997557</v>
      </c>
      <c r="AT23" s="33" t="n">
        <f aca="false">IFERROR(Upgrades!$H$7*(POWER(Upgrades!$P$6,E23)*POWER(Upgrades!$P$7,F23)*POWER(Upgrades!$P$8,G23)*POWER(Upgrades!$P$9,H23)*POWER(Upgrades!$P$10,I23)*POWER(Upgrades!$P$11,J23)*POWER(Upgrades!$P$12,K23))*(IF(Upgrades!$T$6="Asteroid Belt",POWER(Upgrades!$U$6,E23),1)*IF(Upgrades!$T$8="Asteroid Belt",POWER(Upgrades!$U$8,G23),1)*IF(Upgrades!$T$9="Asteroid Belt",POWER(Upgrades!$U$9,H23),1)*IF(Upgrades!$T$10="Asteroid Belt",POWER(Upgrades!$U$10,I23),1)*IF(Upgrades!$T$11="Asteroid Belt",POWER(Upgrades!$U$11,J23),1)*IF(Upgrades!$T$12="Asteroid Belt",POWER(Upgrades!$U$12,K23),1))/AH23,0)</f>
        <v>0.00714691556991292</v>
      </c>
      <c r="AU23" s="33" t="n">
        <f aca="false">IFERROR(Upgrades!$K$8*(POWER(Upgrades!$Q$6,E23)*POWER(Upgrades!$Q$7,F23)*POWER(Upgrades!$Q$8,G23)*POWER(Upgrades!$Q$9,H23)*POWER(Upgrades!$Q$10,I23)*POWER(Upgrades!$Q$11,J23)*POWER(Upgrades!$Q$12,K23))*(IF(Upgrades!$T$6="Stellar Coupling",POWER(Upgrades!$U$6,E23),1)*IF(Upgrades!$T$7="Stellar Coupling",POWER(Upgrades!$U$7,F23),1)*IF(Upgrades!$T$9="Stellar Coupling",POWER(Upgrades!$U$9,H23),1)*IF(Upgrades!$T$10="Stellar Coupling",POWER(Upgrades!$U$10,I23),1)*IF(Upgrades!$T$11="Stellar Coupling",POWER(Upgrades!$U$11,J23),1)*IF(Upgrades!$T$12="Stellar Coupling",POWER(Upgrades!$U$12,K23),1))*Parameters!$B$10*Parameters!$B$11/60/AI23,0)</f>
        <v>0.00493007963853445</v>
      </c>
      <c r="AV23" s="33" t="n">
        <f aca="false">IFERROR(Upgrades!$H$9*(POWER(Upgrades!$P$6,E23)*POWER(Upgrades!$P$7,F23)*POWER(Upgrades!$P$8,G23)*POWER(Upgrades!$P$9,H23)*POWER(Upgrades!$P$10,I23)*POWER(Upgrades!$P$11,J23)*POWER(Upgrades!$P$12,K23))*(IF(Upgrades!$T$6="Magnetosphere",POWER(Upgrades!$U$6,E23),1)*IF(Upgrades!$T$7="Magnetosphere",POWER(Upgrades!$U$7,F23),1)*IF(Upgrades!$T$8="Magnetosphere",POWER(Upgrades!$U$8,G23),1)*IF(Upgrades!$T$10="Magnetosphere",POWER(Upgrades!$U$10,I23),1)*IF(Upgrades!$T$11="Magnetosphere",POWER(Upgrades!$U$11,J23),1)*IF(Upgrades!$T$12="Magnetosphere",POWER(Upgrades!$U$12,K23),1))/AJ23,0)</f>
        <v>0.0078125</v>
      </c>
      <c r="AW23" s="33" t="n">
        <f aca="false">MAX(IF(I23&gt;0,0,IFERROR(0.25*N23/Upgrades!$C$10,0)),IF(J23&gt;0,0,IFERROR(0.5*((IF(G23=0,0,(Upgrades!$J$8+G23*Upgrades!$K$8)*POWER(Upgrades!$L$8,G23)))*(IF(Upgrades!$T$6="Stellar Coupling",POWER(Upgrades!$U$6,E23),1)*IF(Upgrades!$T$7="Stellar Coupling",POWER(Upgrades!$U$7,F23),1)*IF(Upgrades!$T$9="Stellar Coupling",POWER(Upgrades!$U$9,H23),1)*IF(Upgrades!$T$10="Stellar Coupling",POWER(Upgrades!$U$10,I23),1)*IF(Upgrades!$T$11="Stellar Coupling",POWER(Upgrades!$U$11,J23),1)*IF(Upgrades!$T$12="Stellar Coupling",POWER(Upgrades!$U$12,K23),1))*(POWER(Upgrades!$Q$6,E23)*POWER(Upgrades!$Q$7,F23)*POWER(Upgrades!$Q$8,G23)*POWER(Upgrades!$Q$9,H23)*POWER(Upgrades!$Q$10,I23)*POWER(Upgrades!$Q$11,J23)*POWER(Upgrades!$Q$12,K23))*Parameters!$B$10*Parameters!$B$11/60)/Upgrades!$C$11,0)),IF(K23&gt;0,0,IFERROR((1*(POWER(Upgrades!$P$6,E23)*POWER(Upgrades!$P$7,F23)*POWER(Upgrades!$P$8,G23)*POWER(Upgrades!$P$9,H23)*POWER(Upgrades!$P$10,I23)*POWER(Upgrades!$P$11,J23)*POWER(Upgrades!$P$12,K23))+0.2*M23*Parameters!$B$10*Parameters!$B$11/60)/Upgrades!$C$12,0)),IF(AND(ISNUMBER(AG23),AG23&gt;T23),AS23,0),IF(AND(ISNUMBER(AH23),AH23&gt;T23),AT23,0),IF(AND(ISNUMBER(AI23),AI23&gt;T23),AU23,0),IF(AND(ISNUMBER(AJ23),AJ23&gt;T23),AV23,0))</f>
        <v>0.0078125</v>
      </c>
      <c r="AX23" s="29" t="str">
        <f aca="false">IF(AN23=1,"transition",IF(MIN(IF(AND(I23=0,ISNUMBER(AK23),AK23&lt;=T23),AK23,9000000000000000),IF(AND(J23=0,ISNUMBER(AL23),AL23&lt;=T23),AL23,9000000000000000),IF(AND(K23=0,ISNUMBER(AM23),AM23&lt;=T23),AM23,9000000000000000))&lt;9000000000000000,IF(AND(AND(I23=0,ISNUMBER(AK23),AK23&lt;=T23),AK23=MIN(IF(AND(I23=0,ISNUMBER(AK23),AK23&lt;=T23),AK23,9000000000000000),IF(AND(J23=0,ISNUMBER(AL23),AL23&lt;=T23),AL23,9000000000000000),IF(AND(K23=0,ISNUMBER(AM23),AM23&lt;=T23),AM23,9000000000000000))),"OR",IF(AND(AND(J23=0,ISNUMBER(AL23),AL23&lt;=T23),AL23=MIN(IF(AND(I23=0,ISNUMBER(AK23),AK23&lt;=T23),AK23,9000000000000000),IF(AND(J23=0,ISNUMBER(AL23),AL23&lt;=T23),AL23,9000000000000000),IF(AND(K23=0,ISNUMBER(AM23),AM23&lt;=T23),AM23,9000000000000000))),"HP","FP")),IF(AR23=TRUE(),"",IF(MAX(IF(AND(NOT(AND(AO23=1,AN23&lt;&gt;1)),ISNUMBER(AG23),AG23&lt;=T23),AS23,0),IF(AND(NOT(AND(AO23=1,AN23&lt;&gt;1)),ISNUMBER(AH23),AH23&lt;=T23),AT23,0),IF(AND(NOT(AND(AO23=1,AN23&lt;&gt;1)),ISNUMBER(AI23),AI23&lt;=T23),AU23,0),IF(AND(ISNUMBER(AJ23),AJ23&lt;=T23),AV23,0))&lt;=0,"",IF(AND(IF(AND(NOT(AND(AO23=1,AN23&lt;&gt;1)),ISNUMBER(AG23),AG23&lt;=T23),AS23,0)&gt;0,IF(AND(NOT(AND(AO23=1,AN23&lt;&gt;1)),ISNUMBER(AG23),AG23&lt;=T23),AS23,0)=MAX(IF(AND(NOT(AND(AO23=1,AN23&lt;&gt;1)),ISNUMBER(AG23),AG23&lt;=T23),AS23,0),IF(AND(NOT(AND(AO23=1,AN23&lt;&gt;1)),ISNUMBER(AH23),AH23&lt;=T23),AT23,0),IF(AND(NOT(AND(AO23=1,AN23&lt;&gt;1)),ISNUMBER(AI23),AI23&lt;=T23),AU23,0),IF(AND(ISNUMBER(AJ23),AJ23&lt;=T23),AV23,0))),"SW",IF(AND(IF(AND(NOT(AND(AO23=1,AN23&lt;&gt;1)),ISNUMBER(AH23),AH23&lt;=T23),AT23,0)&gt;0,IF(AND(NOT(AND(AO23=1,AN23&lt;&gt;1)),ISNUMBER(AH23),AH23&lt;=T23),AT23,0)=MAX(IF(AND(NOT(AND(AO23=1,AN23&lt;&gt;1)),ISNUMBER(AG23),AG23&lt;=T23),AS23,0),IF(AND(NOT(AND(AO23=1,AN23&lt;&gt;1)),ISNUMBER(AH23),AH23&lt;=T23),AT23,0),IF(AND(NOT(AND(AO23=1,AN23&lt;&gt;1)),ISNUMBER(AI23),AI23&lt;=T23),AU23,0),IF(AND(ISNUMBER(AJ23),AJ23&lt;=T23),AV23,0))),"AB",IF(AND(IF(AND(NOT(AND(AO23=1,AN23&lt;&gt;1)),ISNUMBER(AI23),AI23&lt;=T23),AU23,0)&gt;0,IF(AND(NOT(AND(AO23=1,AN23&lt;&gt;1)),ISNUMBER(AI23),AI23&lt;=T23),AU23,0)=MAX(IF(AND(NOT(AND(AO23=1,AN23&lt;&gt;1)),ISNUMBER(AG23),AG23&lt;=T23),AS23,0),IF(AND(NOT(AND(AO23=1,AN23&lt;&gt;1)),ISNUMBER(AH23),AH23&lt;=T23),AT23,0),IF(AND(NOT(AND(AO23=1,AN23&lt;&gt;1)),ISNUMBER(AI23),AI23&lt;=T23),AU23,0),IF(AND(ISNUMBER(AJ23),AJ23&lt;=T23),AV23,0))),"SC","Mag")))))))</f>
        <v>AB</v>
      </c>
    </row>
    <row r="24" customFormat="false" ht="15" hidden="false" customHeight="false" outlineLevel="0" collapsed="false">
      <c r="A24" s="26" t="n">
        <v>19</v>
      </c>
      <c r="B24" s="27" t="n">
        <f aca="false">A24*10/60</f>
        <v>3.16666666666667</v>
      </c>
      <c r="C24" s="21" t="n">
        <f aca="false">X23</f>
        <v>80.5191729166667</v>
      </c>
      <c r="D24" s="27" t="n">
        <f aca="false">D23+W23</f>
        <v>0.4</v>
      </c>
      <c r="E24" s="26" t="n">
        <f aca="false">E23+IF(U23="SW",1,0)</f>
        <v>5</v>
      </c>
      <c r="F24" s="26" t="n">
        <f aca="false">F23+IF(U23="AB",1,0)</f>
        <v>5</v>
      </c>
      <c r="G24" s="26" t="n">
        <f aca="false">G23+IF(U23="SC",1,0)</f>
        <v>5</v>
      </c>
      <c r="H24" s="26" t="n">
        <f aca="false">H23+IF(U23="Mag",1,0)</f>
        <v>1</v>
      </c>
      <c r="I24" s="26" t="n">
        <f aca="false">MAX(I23,IF(U23="OR",1,0))</f>
        <v>1</v>
      </c>
      <c r="J24" s="26" t="n">
        <f aca="false">MAX(J23,IF(U23="HP",1,0))</f>
        <v>0</v>
      </c>
      <c r="K24" s="26" t="n">
        <f aca="false">MAX(K23,IF(U23="FP",1,0))</f>
        <v>0</v>
      </c>
      <c r="L24" s="26" t="n">
        <f aca="false">MAX(L23,IF(U23="transition",1,0))</f>
        <v>0</v>
      </c>
      <c r="M24" s="28" t="n">
        <f aca="false">(Parameters!$B$9+(IF(E24=0,0,(Upgrades!$J$6+E24*Upgrades!$K$6)*POWER(Upgrades!$L$6,E24)))*(IF(Upgrades!$T$7="Solar Wind",POWER(Upgrades!$U$7,F24),1)*IF(Upgrades!$T$8="Solar Wind",POWER(Upgrades!$U$8,G24),1)*IF(Upgrades!$T$9="Solar Wind",POWER(Upgrades!$U$9,H24),1)*IF(Upgrades!$T$10="Solar Wind",POWER(Upgrades!$U$10,I24),1)*IF(Upgrades!$T$11="Solar Wind",POWER(Upgrades!$U$11,J24),1)*IF(Upgrades!$T$12="Solar Wind",POWER(Upgrades!$U$12,K24),1))+(IF(F24=0,0,(Upgrades!$J$7+F24*Upgrades!$K$7)*POWER(Upgrades!$L$7,F24)))*(IF(Upgrades!$T$6="Asteroid Belt",POWER(Upgrades!$U$6,E24),1)*IF(Upgrades!$T$8="Asteroid Belt",POWER(Upgrades!$U$8,G24),1)*IF(Upgrades!$T$9="Asteroid Belt",POWER(Upgrades!$U$9,H24),1)*IF(Upgrades!$T$10="Asteroid Belt",POWER(Upgrades!$U$10,I24),1)*IF(Upgrades!$T$11="Asteroid Belt",POWER(Upgrades!$U$11,J24),1)*IF(Upgrades!$T$12="Asteroid Belt",POWER(Upgrades!$U$12,K24),1))+(IF(G24=0,0,(Upgrades!$J$8+G24*Upgrades!$K$8)*POWER(Upgrades!$L$8,G24)))*(IF(Upgrades!$T$6="Stellar Coupling",POWER(Upgrades!$U$6,E24),1)*IF(Upgrades!$T$7="Stellar Coupling",POWER(Upgrades!$U$7,F24),1)*IF(Upgrades!$T$9="Stellar Coupling",POWER(Upgrades!$U$9,H24),1)*IF(Upgrades!$T$10="Stellar Coupling",POWER(Upgrades!$U$10,I24),1)*IF(Upgrades!$T$11="Stellar Coupling",POWER(Upgrades!$U$11,J24),1)*IF(Upgrades!$T$12="Stellar Coupling",POWER(Upgrades!$U$12,K24),1))+(IF(H24=0,0,(Upgrades!$J$9+H24*Upgrades!$K$9)*POWER(Upgrades!$L$9,H24)))*(IF(Upgrades!$T$6="Magnetosphere",POWER(Upgrades!$U$6,E24),1)*IF(Upgrades!$T$7="Magnetosphere",POWER(Upgrades!$U$7,F24),1)*IF(Upgrades!$T$8="Magnetosphere",POWER(Upgrades!$U$8,G24),1)*IF(Upgrades!$T$10="Magnetosphere",POWER(Upgrades!$U$10,I24),1)*IF(Upgrades!$T$11="Magnetosphere",POWER(Upgrades!$U$11,J24),1)*IF(Upgrades!$T$12="Magnetosphere",POWER(Upgrades!$U$12,K24),1))+(IF(I24=0,0,(Upgrades!$J$10+I24*Upgrades!$K$10)*POWER(Upgrades!$L$10,I24)))*(IF(Upgrades!$T$6="Orbital Resonance",POWER(Upgrades!$U$6,E24),1)*IF(Upgrades!$T$7="Orbital Resonance",POWER(Upgrades!$U$7,F24),1)*IF(Upgrades!$T$8="Orbital Resonance",POWER(Upgrades!$U$8,G24),1)*IF(Upgrades!$T$9="Orbital Resonance",POWER(Upgrades!$U$9,H24),1)*IF(Upgrades!$T$11="Orbital Resonance",POWER(Upgrades!$U$11,J24),1)*IF(Upgrades!$T$12="Orbital Resonance",POWER(Upgrades!$U$12,K24),1))+(IF(J24=0,0,(Upgrades!$J$11+J24*Upgrades!$K$11)*POWER(Upgrades!$L$11,J24)))*(IF(Upgrades!$T$6="Heliopause",POWER(Upgrades!$U$6,E24),1)*IF(Upgrades!$T$7="Heliopause",POWER(Upgrades!$U$7,F24),1)*IF(Upgrades!$T$8="Heliopause",POWER(Upgrades!$U$8,G24),1)*IF(Upgrades!$T$9="Heliopause",POWER(Upgrades!$U$9,H24),1)*IF(Upgrades!$T$10="Heliopause",POWER(Upgrades!$U$10,I24),1)*IF(Upgrades!$T$12="Heliopause",POWER(Upgrades!$U$12,K24),1))+(IF(K24=0,0,(Upgrades!$J$12+K24*Upgrades!$K$12)*POWER(Upgrades!$L$12,K24)))*(IF(Upgrades!$T$6="First Photons",POWER(Upgrades!$U$6,E24),1)*IF(Upgrades!$T$7="First Photons",POWER(Upgrades!$U$7,F24),1)*IF(Upgrades!$T$8="First Photons",POWER(Upgrades!$U$8,G24),1)*IF(Upgrades!$T$9="First Photons",POWER(Upgrades!$U$9,H24),1)*IF(Upgrades!$T$10="First Photons",POWER(Upgrades!$U$10,I24),1)*IF(Upgrades!$T$11="First Photons",POWER(Upgrades!$U$11,J24),1)))*POWER(Upgrades!$Q$6,E24)*POWER(Upgrades!$Q$7,F24)*POWER(Upgrades!$Q$8,G24)*POWER(Upgrades!$Q$9,H24)*POWER(Upgrades!$Q$10,I24)*POWER(Upgrades!$Q$11,J24)*POWER(Upgrades!$Q$12,K24)</f>
        <v>2.75</v>
      </c>
      <c r="N24" s="28" t="n">
        <f aca="false">((IF(E24=0,0,(Upgrades!$G$6+E24*Upgrades!$H$6)*POWER(Upgrades!$I$6,E24)))*(IF(Upgrades!$T$7="Solar Wind",POWER(Upgrades!$U$7,F24),1)*IF(Upgrades!$T$8="Solar Wind",POWER(Upgrades!$U$8,G24),1)*IF(Upgrades!$T$9="Solar Wind",POWER(Upgrades!$U$9,H24),1)*IF(Upgrades!$T$10="Solar Wind",POWER(Upgrades!$U$10,I24),1)*IF(Upgrades!$T$11="Solar Wind",POWER(Upgrades!$U$11,J24),1)*IF(Upgrades!$T$12="Solar Wind",POWER(Upgrades!$U$12,K24),1))+(IF(F24=0,0,(Upgrades!$G$7+F24*Upgrades!$H$7)*POWER(Upgrades!$I$7,F24)))*(IF(Upgrades!$T$6="Asteroid Belt",POWER(Upgrades!$U$6,E24),1)*IF(Upgrades!$T$8="Asteroid Belt",POWER(Upgrades!$U$8,G24),1)*IF(Upgrades!$T$9="Asteroid Belt",POWER(Upgrades!$U$9,H24),1)*IF(Upgrades!$T$10="Asteroid Belt",POWER(Upgrades!$U$10,I24),1)*IF(Upgrades!$T$11="Asteroid Belt",POWER(Upgrades!$U$11,J24),1)*IF(Upgrades!$T$12="Asteroid Belt",POWER(Upgrades!$U$12,K24),1))+(IF(G24=0,0,(Upgrades!$G$8+G24*Upgrades!$H$8)*POWER(Upgrades!$I$8,G24)))*(IF(Upgrades!$T$6="Stellar Coupling",POWER(Upgrades!$U$6,E24),1)*IF(Upgrades!$T$7="Stellar Coupling",POWER(Upgrades!$U$7,F24),1)*IF(Upgrades!$T$9="Stellar Coupling",POWER(Upgrades!$U$9,H24),1)*IF(Upgrades!$T$10="Stellar Coupling",POWER(Upgrades!$U$10,I24),1)*IF(Upgrades!$T$11="Stellar Coupling",POWER(Upgrades!$U$11,J24),1)*IF(Upgrades!$T$12="Stellar Coupling",POWER(Upgrades!$U$12,K24),1))+(IF(H24=0,0,(Upgrades!$G$9+H24*Upgrades!$H$9)*POWER(Upgrades!$I$9,H24)))*(IF(Upgrades!$T$6="Magnetosphere",POWER(Upgrades!$U$6,E24),1)*IF(Upgrades!$T$7="Magnetosphere",POWER(Upgrades!$U$7,F24),1)*IF(Upgrades!$T$8="Magnetosphere",POWER(Upgrades!$U$8,G24),1)*IF(Upgrades!$T$10="Magnetosphere",POWER(Upgrades!$U$10,I24),1)*IF(Upgrades!$T$11="Magnetosphere",POWER(Upgrades!$U$11,J24),1)*IF(Upgrades!$T$12="Magnetosphere",POWER(Upgrades!$U$12,K24),1))+(IF(I24=0,0,(Upgrades!$G$10+I24*Upgrades!$H$10)*POWER(Upgrades!$I$10,I24)))*(IF(Upgrades!$T$6="Orbital Resonance",POWER(Upgrades!$U$6,E24),1)*IF(Upgrades!$T$7="Orbital Resonance",POWER(Upgrades!$U$7,F24),1)*IF(Upgrades!$T$8="Orbital Resonance",POWER(Upgrades!$U$8,G24),1)*IF(Upgrades!$T$9="Orbital Resonance",POWER(Upgrades!$U$9,H24),1)*IF(Upgrades!$T$11="Orbital Resonance",POWER(Upgrades!$U$11,J24),1)*IF(Upgrades!$T$12="Orbital Resonance",POWER(Upgrades!$U$12,K24),1))+(IF(J24=0,0,(Upgrades!$G$11+J24*Upgrades!$H$11)*POWER(Upgrades!$I$11,J24)))*(IF(Upgrades!$T$6="Heliopause",POWER(Upgrades!$U$6,E24),1)*IF(Upgrades!$T$7="Heliopause",POWER(Upgrades!$U$7,F24),1)*IF(Upgrades!$T$8="Heliopause",POWER(Upgrades!$U$8,G24),1)*IF(Upgrades!$T$9="Heliopause",POWER(Upgrades!$U$9,H24),1)*IF(Upgrades!$T$10="Heliopause",POWER(Upgrades!$U$10,I24),1)*IF(Upgrades!$T$12="Heliopause",POWER(Upgrades!$U$12,K24),1))+(IF(K24=0,0,(Upgrades!$G$12+K24*Upgrades!$H$12)*POWER(Upgrades!$I$12,K24)))*(IF(Upgrades!$T$6="First Photons",POWER(Upgrades!$U$6,E24),1)*IF(Upgrades!$T$7="First Photons",POWER(Upgrades!$U$7,F24),1)*IF(Upgrades!$T$8="First Photons",POWER(Upgrades!$U$8,G24),1)*IF(Upgrades!$T$9="First Photons",POWER(Upgrades!$U$9,H24),1)*IF(Upgrades!$T$10="First Photons",POWER(Upgrades!$U$10,I24),1)*IF(Upgrades!$T$11="First Photons",POWER(Upgrades!$U$11,J24),1)))*POWER(Upgrades!$P$6,E24)*POWER(Upgrades!$P$7,F24)*POWER(Upgrades!$P$8,G24)*POWER(Upgrades!$P$9,H24)*POWER(Upgrades!$P$10,I24)*POWER(Upgrades!$P$11,J24)*POWER(Upgrades!$P$12,K24)</f>
        <v>3</v>
      </c>
      <c r="O24" s="28" t="n">
        <f aca="false">((IF(E24=0,0,(Upgrades!$M$6+E24*Upgrades!$N$6)*POWER(Upgrades!$O$6,E24)))*(IF(Upgrades!$T$7="Solar Wind",POWER(Upgrades!$U$7,F24),1)*IF(Upgrades!$T$8="Solar Wind",POWER(Upgrades!$U$8,G24),1)*IF(Upgrades!$T$9="Solar Wind",POWER(Upgrades!$U$9,H24),1)*IF(Upgrades!$T$10="Solar Wind",POWER(Upgrades!$U$10,I24),1)*IF(Upgrades!$T$11="Solar Wind",POWER(Upgrades!$U$11,J24),1)*IF(Upgrades!$T$12="Solar Wind",POWER(Upgrades!$U$12,K24),1))+(IF(F24=0,0,(Upgrades!$M$7+F24*Upgrades!$N$7)*POWER(Upgrades!$O$7,F24)))*(IF(Upgrades!$T$6="Asteroid Belt",POWER(Upgrades!$U$6,E24),1)*IF(Upgrades!$T$8="Asteroid Belt",POWER(Upgrades!$U$8,G24),1)*IF(Upgrades!$T$9="Asteroid Belt",POWER(Upgrades!$U$9,H24),1)*IF(Upgrades!$T$10="Asteroid Belt",POWER(Upgrades!$U$10,I24),1)*IF(Upgrades!$T$11="Asteroid Belt",POWER(Upgrades!$U$11,J24),1)*IF(Upgrades!$T$12="Asteroid Belt",POWER(Upgrades!$U$12,K24),1))+(IF(G24=0,0,(Upgrades!$M$8+G24*Upgrades!$N$8)*POWER(Upgrades!$O$8,G24)))*(IF(Upgrades!$T$6="Stellar Coupling",POWER(Upgrades!$U$6,E24),1)*IF(Upgrades!$T$7="Stellar Coupling",POWER(Upgrades!$U$7,F24),1)*IF(Upgrades!$T$9="Stellar Coupling",POWER(Upgrades!$U$9,H24),1)*IF(Upgrades!$T$10="Stellar Coupling",POWER(Upgrades!$U$10,I24),1)*IF(Upgrades!$T$11="Stellar Coupling",POWER(Upgrades!$U$11,J24),1)*IF(Upgrades!$T$12="Stellar Coupling",POWER(Upgrades!$U$12,K24),1))+(IF(H24=0,0,(Upgrades!$M$9+H24*Upgrades!$N$9)*POWER(Upgrades!$O$9,H24)))*(IF(Upgrades!$T$6="Magnetosphere",POWER(Upgrades!$U$6,E24),1)*IF(Upgrades!$T$7="Magnetosphere",POWER(Upgrades!$U$7,F24),1)*IF(Upgrades!$T$8="Magnetosphere",POWER(Upgrades!$U$8,G24),1)*IF(Upgrades!$T$10="Magnetosphere",POWER(Upgrades!$U$10,I24),1)*IF(Upgrades!$T$11="Magnetosphere",POWER(Upgrades!$U$11,J24),1)*IF(Upgrades!$T$12="Magnetosphere",POWER(Upgrades!$U$12,K24),1))+(IF(I24=0,0,(Upgrades!$M$10+I24*Upgrades!$N$10)*POWER(Upgrades!$O$10,I24)))*(IF(Upgrades!$T$6="Orbital Resonance",POWER(Upgrades!$U$6,E24),1)*IF(Upgrades!$T$7="Orbital Resonance",POWER(Upgrades!$U$7,F24),1)*IF(Upgrades!$T$8="Orbital Resonance",POWER(Upgrades!$U$8,G24),1)*IF(Upgrades!$T$9="Orbital Resonance",POWER(Upgrades!$U$9,H24),1)*IF(Upgrades!$T$11="Orbital Resonance",POWER(Upgrades!$U$11,J24),1)*IF(Upgrades!$T$12="Orbital Resonance",POWER(Upgrades!$U$12,K24),1))+(IF(J24=0,0,(Upgrades!$M$11+J24*Upgrades!$N$11)*POWER(Upgrades!$O$11,J24)))*(IF(Upgrades!$T$6="Heliopause",POWER(Upgrades!$U$6,E24),1)*IF(Upgrades!$T$7="Heliopause",POWER(Upgrades!$U$7,F24),1)*IF(Upgrades!$T$8="Heliopause",POWER(Upgrades!$U$8,G24),1)*IF(Upgrades!$T$9="Heliopause",POWER(Upgrades!$U$9,H24),1)*IF(Upgrades!$T$10="Heliopause",POWER(Upgrades!$U$10,I24),1)*IF(Upgrades!$T$12="Heliopause",POWER(Upgrades!$U$12,K24),1))+(IF(K24=0,0,(Upgrades!$M$12+K24*Upgrades!$N$12)*POWER(Upgrades!$O$12,K24)))*(IF(Upgrades!$T$6="First Photons",POWER(Upgrades!$U$6,E24),1)*IF(Upgrades!$T$7="First Photons",POWER(Upgrades!$U$7,F24),1)*IF(Upgrades!$T$8="First Photons",POWER(Upgrades!$U$8,G24),1)*IF(Upgrades!$T$9="First Photons",POWER(Upgrades!$U$9,H24),1)*IF(Upgrades!$T$10="First Photons",POWER(Upgrades!$U$10,I24),1)*IF(Upgrades!$T$11="First Photons",POWER(Upgrades!$U$11,J24),1)))*POWER(Upgrades!$R$6,E24)*POWER(Upgrades!$R$7,F24)*POWER(Upgrades!$R$8,G24)*POWER(Upgrades!$R$9,H24)*POWER(Upgrades!$R$10,I24)*POWER(Upgrades!$R$11,J24)*POWER(Upgrades!$R$12,K24)</f>
        <v>0</v>
      </c>
      <c r="P24" s="27" t="n">
        <f aca="false">IF(L24=1,0,M24*Parameters!$B$10/60*Parameters!$B$11*10)</f>
        <v>45.8333333333333</v>
      </c>
      <c r="Q24" s="27" t="n">
        <f aca="false">IF(L24=1,0,O24*M24*10)</f>
        <v>0</v>
      </c>
      <c r="R24" s="27" t="n">
        <f aca="false">IF(L24=1,0,N24*10)</f>
        <v>30</v>
      </c>
      <c r="S24" s="27" t="n">
        <f aca="false">P24+Q24+R24</f>
        <v>75.8333333333333</v>
      </c>
      <c r="T24" s="21" t="n">
        <f aca="false">C24+S24</f>
        <v>156.35250625</v>
      </c>
      <c r="U24" s="34" t="str">
        <f aca="false">AX24</f>
        <v>SW</v>
      </c>
      <c r="V24" s="21" t="n">
        <f aca="false">IF(U24="",0,IF(U24="transition",0,IF(U24="SW",AG24,IF(U24="AB",AH24,IF(U24="SC",AI24,IF(U24="Mag",AJ24,IF(U24="OR",AK24,IF(U24="HP",AL24,IF(U24="FP",AM24,0)))))))))</f>
        <v>14.0795003125</v>
      </c>
      <c r="W24" s="27" t="n">
        <f aca="false">IF(U24="OR",Upgrades!$F$10,IF(U24="HP",Upgrades!$F$11,IF(U24="transition",-Parameters!$B$18,0)))</f>
        <v>0</v>
      </c>
      <c r="X24" s="21" t="n">
        <f aca="false">T24-V24</f>
        <v>142.2730059375</v>
      </c>
      <c r="Y24" s="30" t="n">
        <f aca="false">M24*Parameters!$B$10/60*Parameters!$B$11+O24*M24+N24</f>
        <v>7.58333333333333</v>
      </c>
      <c r="Z24" s="35" t="str">
        <f aca="false">IF(U24="transition","→ Tier 2 (Stellar Neighborhood)",IF(U24="FP","First Photons — light begins, system quickens",IF(U24="HP","Heliopause acquired",IF(U24="OR","Orbital Resonance — passive multiplier active",IF(AND(AO24=1,L24=0,AN24&lt;&gt;1),"Cohesion ready (waiting on completionist upgrades)","")))))</f>
        <v/>
      </c>
      <c r="AA24" s="27" t="n">
        <f aca="false">(IF(E24=0,0,(Upgrades!$G$6+E24*Upgrades!$H$6)*POWER(Upgrades!$I$6,E24)))*(IF(Upgrades!$T$7="Solar Wind",POWER(Upgrades!$U$7,F24),1)*IF(Upgrades!$T$8="Solar Wind",POWER(Upgrades!$U$8,G24),1)*IF(Upgrades!$T$9="Solar Wind",POWER(Upgrades!$U$9,H24),1)*IF(Upgrades!$T$10="Solar Wind",POWER(Upgrades!$U$10,I24),1)*IF(Upgrades!$T$11="Solar Wind",POWER(Upgrades!$U$11,J24),1)*IF(Upgrades!$T$12="Solar Wind",POWER(Upgrades!$U$12,K24),1))*POWER(Upgrades!$P$6,E24)*POWER(Upgrades!$P$7,F24)*POWER(Upgrades!$P$8,G24)*POWER(Upgrades!$P$9,H24)*POWER(Upgrades!$P$10,I24)*POWER(Upgrades!$P$11,J24)*POWER(Upgrades!$P$12,K24)*60</f>
        <v>30</v>
      </c>
      <c r="AB24" s="27" t="n">
        <f aca="false">(IF(F24=0,0,(Upgrades!$G$7+F24*Upgrades!$H$7)*POWER(Upgrades!$I$7,F24)))*(IF(Upgrades!$T$6="Asteroid Belt",POWER(Upgrades!$U$6,E24),1)*IF(Upgrades!$T$8="Asteroid Belt",POWER(Upgrades!$U$8,G24),1)*IF(Upgrades!$T$9="Asteroid Belt",POWER(Upgrades!$U$9,H24),1)*IF(Upgrades!$T$10="Asteroid Belt",POWER(Upgrades!$U$10,I24),1)*IF(Upgrades!$T$11="Asteroid Belt",POWER(Upgrades!$U$11,J24),1)*IF(Upgrades!$T$12="Asteroid Belt",POWER(Upgrades!$U$12,K24),1))*POWER(Upgrades!$P$6,E24)*POWER(Upgrades!$P$7,F24)*POWER(Upgrades!$P$8,G24)*POWER(Upgrades!$P$9,H24)*POWER(Upgrades!$P$10,I24)*POWER(Upgrades!$P$11,J24)*POWER(Upgrades!$P$12,K24)*60</f>
        <v>75</v>
      </c>
      <c r="AC24" s="27" t="n">
        <f aca="false">(IF(G24=0,0,(Upgrades!$J$8+G24*Upgrades!$K$8)*POWER(Upgrades!$L$8,G24)))*(IF(Upgrades!$T$6="Stellar Coupling",POWER(Upgrades!$U$6,E24),1)*IF(Upgrades!$T$7="Stellar Coupling",POWER(Upgrades!$U$7,F24),1)*IF(Upgrades!$T$9="Stellar Coupling",POWER(Upgrades!$U$9,H24),1)*IF(Upgrades!$T$10="Stellar Coupling",POWER(Upgrades!$U$10,I24),1)*IF(Upgrades!$T$11="Stellar Coupling",POWER(Upgrades!$U$11,J24),1)*IF(Upgrades!$T$12="Stellar Coupling",POWER(Upgrades!$U$12,K24),1))*POWER(Upgrades!$Q$6,E24)*POWER(Upgrades!$Q$7,F24)*POWER(Upgrades!$Q$8,G24)*POWER(Upgrades!$Q$9,H24)*POWER(Upgrades!$Q$10,I24)*POWER(Upgrades!$Q$11,J24)*POWER(Upgrades!$Q$12,K24)*Parameters!$B$10*Parameters!$B$11</f>
        <v>175</v>
      </c>
      <c r="AD24" s="27" t="n">
        <f aca="false">(IF(H24=0,0,(Upgrades!$G$9+H24*Upgrades!$H$9)*POWER(Upgrades!$I$9,H24)))*(IF(Upgrades!$T$6="Magnetosphere",POWER(Upgrades!$U$6,E24),1)*IF(Upgrades!$T$7="Magnetosphere",POWER(Upgrades!$U$7,F24),1)*IF(Upgrades!$T$8="Magnetosphere",POWER(Upgrades!$U$8,G24),1)*IF(Upgrades!$T$10="Magnetosphere",POWER(Upgrades!$U$10,I24),1)*IF(Upgrades!$T$11="Magnetosphere",POWER(Upgrades!$U$11,J24),1)*IF(Upgrades!$T$12="Magnetosphere",POWER(Upgrades!$U$12,K24),1))*POWER(Upgrades!$P$6,E24)*POWER(Upgrades!$P$7,F24)*POWER(Upgrades!$P$8,G24)*POWER(Upgrades!$P$9,H24)*POWER(Upgrades!$P$10,I24)*POWER(Upgrades!$P$11,J24)*POWER(Upgrades!$P$12,K24)*60</f>
        <v>75</v>
      </c>
      <c r="AE24" s="27" t="n">
        <f aca="false">(IF(K24=0,0,(Upgrades!$G$12+K24*Upgrades!$H$12)*POWER(Upgrades!$I$12,K24)))*(IF(Upgrades!$T$6="First Photons",POWER(Upgrades!$U$6,E24),1)*IF(Upgrades!$T$7="First Photons",POWER(Upgrades!$U$7,F24),1)*IF(Upgrades!$T$8="First Photons",POWER(Upgrades!$U$8,G24),1)*IF(Upgrades!$T$9="First Photons",POWER(Upgrades!$U$9,H24),1)*IF(Upgrades!$T$10="First Photons",POWER(Upgrades!$U$10,I24),1)*IF(Upgrades!$T$11="First Photons",POWER(Upgrades!$U$11,J24),1))*POWER(Upgrades!$P$6,E24)*POWER(Upgrades!$P$7,F24)*POWER(Upgrades!$P$8,G24)*POWER(Upgrades!$P$9,H24)*POWER(Upgrades!$P$10,I24)*POWER(Upgrades!$P$11,J24)*POWER(Upgrades!$P$12,K24)*60</f>
        <v>0</v>
      </c>
      <c r="AF24" s="27" t="n">
        <f aca="false">Parameters!$B$9*POWER(Upgrades!$Q$6,E24)*POWER(Upgrades!$Q$7,F24)*POWER(Upgrades!$Q$8,G24)*POWER(Upgrades!$Q$9,H24)*POWER(Upgrades!$Q$10,I24)*POWER(Upgrades!$Q$11,J24)*POWER(Upgrades!$Q$12,K24)*(Parameters!$B$10*Parameters!$B$11+O24*60)</f>
        <v>100</v>
      </c>
      <c r="AG24" s="21" t="n">
        <f aca="false">IF(E24&gt;=Upgrades!$E$6,"",Upgrades!$C$6*POWER(Upgrades!$D$6,E24))</f>
        <v>14.0795003125</v>
      </c>
      <c r="AH24" s="21" t="n">
        <f aca="false">IF(F24&gt;=Upgrades!$E$7,"",Upgrades!$C$7*POWER(Upgrades!$D$7,F24))</f>
        <v>40.22714375</v>
      </c>
      <c r="AI24" s="21" t="n">
        <f aca="false">IF(G24&gt;=Upgrades!$E$8,"",Upgrades!$C$8*POWER(Upgrades!$D$8,G24))</f>
        <v>118.32128</v>
      </c>
      <c r="AJ24" s="21" t="n">
        <f aca="false">IF(H24&gt;=Upgrades!$E$9,"",Upgrades!$C$9*POWER(Upgrades!$D$9,H24))</f>
        <v>160</v>
      </c>
      <c r="AK24" s="21" t="str">
        <f aca="false">IF(I24&gt;=Upgrades!$E$10,"",Upgrades!$C$10*POWER(Upgrades!$D$10,I24))</f>
        <v/>
      </c>
      <c r="AL24" s="21" t="n">
        <f aca="false">IF(J24&gt;=Upgrades!$E$11,"",Upgrades!$C$11*POWER(Upgrades!$D$11,J24))</f>
        <v>575</v>
      </c>
      <c r="AM24" s="21" t="n">
        <f aca="false">IF(K24&gt;=Upgrades!$E$12,"",Upgrades!$C$12*POWER(Upgrades!$D$12,K24))</f>
        <v>850</v>
      </c>
      <c r="AN24" s="26" t="str">
        <f aca="false">IF(AND(D24&gt;=Parameters!$B$18,(H24&gt;=Upgrades!$E$9)*(K24&gt;=Upgrades!$E$12)=1,L24=0),1,"")</f>
        <v/>
      </c>
      <c r="AO24" s="26" t="str">
        <f aca="false">IF(AND(D24&gt;=Parameters!$B$18,L24=0),1,"")</f>
        <v/>
      </c>
      <c r="AP24" s="21" t="n">
        <f aca="false">MIN(IF(ISNUMBER(AK24),AK24,9000000000000000),IF(ISNUMBER(AL24),AL24,9000000000000000),IF(ISNUMBER(AM24),AM24,9000000000000000))</f>
        <v>575</v>
      </c>
      <c r="AQ24" s="21" t="n">
        <f aca="false">MIN(IF(ISNUMBER(AG24),AG24,9000000000000000),IF(ISNUMBER(AH24),AH24,9000000000000000),IF(ISNUMBER(AI24),AI24,9000000000000000),IF(ISNUMBER(AJ24),AJ24,9000000000000000))</f>
        <v>14.0795003125</v>
      </c>
      <c r="AR24" s="32" t="b">
        <f aca="false">IF(AW24&gt;Parameters!$B$21*(MAX(IF(AND(NOT(AND(AO24=1,AN24&lt;&gt;1)),ISNUMBER(AG24),AG24&lt;=T24),AS24,0),IF(AND(NOT(AND(AO24=1,AN24&lt;&gt;1)),ISNUMBER(AH24),AH24&lt;=T24),AT24,0),IF(AND(NOT(AND(AO24=1,AN24&lt;&gt;1)),ISNUMBER(AI24),AI24&lt;=T24),AU24,0),IF(AND(ISNUMBER(AJ24),AJ24&lt;=T24),AV24,0))),TRUE(),FALSE())</f>
        <v>0</v>
      </c>
      <c r="AS24" s="33" t="n">
        <f aca="false">IFERROR(Upgrades!$H$6*(POWER(Upgrades!$P$6,E24)*POWER(Upgrades!$P$7,F24)*POWER(Upgrades!$P$8,G24)*POWER(Upgrades!$P$9,H24)*POWER(Upgrades!$P$10,I24)*POWER(Upgrades!$P$11,J24)*POWER(Upgrades!$P$12,K24))*(IF(Upgrades!$T$7="Solar Wind",POWER(Upgrades!$U$7,F24),1)*IF(Upgrades!$T$8="Solar Wind",POWER(Upgrades!$U$8,G24),1)*IF(Upgrades!$T$9="Solar Wind",POWER(Upgrades!$U$9,H24),1)*IF(Upgrades!$T$10="Solar Wind",POWER(Upgrades!$U$10,I24),1)*IF(Upgrades!$T$11="Solar Wind",POWER(Upgrades!$U$11,J24),1)*IF(Upgrades!$T$12="Solar Wind",POWER(Upgrades!$U$12,K24),1))/AG24,0)</f>
        <v>0.00710252478997557</v>
      </c>
      <c r="AT24" s="33" t="n">
        <f aca="false">IFERROR(Upgrades!$H$7*(POWER(Upgrades!$P$6,E24)*POWER(Upgrades!$P$7,F24)*POWER(Upgrades!$P$8,G24)*POWER(Upgrades!$P$9,H24)*POWER(Upgrades!$P$10,I24)*POWER(Upgrades!$P$11,J24)*POWER(Upgrades!$P$12,K24))*(IF(Upgrades!$T$6="Asteroid Belt",POWER(Upgrades!$U$6,E24),1)*IF(Upgrades!$T$8="Asteroid Belt",POWER(Upgrades!$U$8,G24),1)*IF(Upgrades!$T$9="Asteroid Belt",POWER(Upgrades!$U$9,H24),1)*IF(Upgrades!$T$10="Asteroid Belt",POWER(Upgrades!$U$10,I24),1)*IF(Upgrades!$T$11="Asteroid Belt",POWER(Upgrades!$U$11,J24),1)*IF(Upgrades!$T$12="Asteroid Belt",POWER(Upgrades!$U$12,K24),1))/AH24,0)</f>
        <v>0.00621470919122862</v>
      </c>
      <c r="AU24" s="33" t="n">
        <f aca="false">IFERROR(Upgrades!$K$8*(POWER(Upgrades!$Q$6,E24)*POWER(Upgrades!$Q$7,F24)*POWER(Upgrades!$Q$8,G24)*POWER(Upgrades!$Q$9,H24)*POWER(Upgrades!$Q$10,I24)*POWER(Upgrades!$Q$11,J24)*POWER(Upgrades!$Q$12,K24))*(IF(Upgrades!$T$6="Stellar Coupling",POWER(Upgrades!$U$6,E24),1)*IF(Upgrades!$T$7="Stellar Coupling",POWER(Upgrades!$U$7,F24),1)*IF(Upgrades!$T$9="Stellar Coupling",POWER(Upgrades!$U$9,H24),1)*IF(Upgrades!$T$10="Stellar Coupling",POWER(Upgrades!$U$10,I24),1)*IF(Upgrades!$T$11="Stellar Coupling",POWER(Upgrades!$U$11,J24),1)*IF(Upgrades!$T$12="Stellar Coupling",POWER(Upgrades!$U$12,K24),1))*Parameters!$B$10*Parameters!$B$11/60/AI24,0)</f>
        <v>0.00493007963853445</v>
      </c>
      <c r="AV24" s="33" t="n">
        <f aca="false">IFERROR(Upgrades!$H$9*(POWER(Upgrades!$P$6,E24)*POWER(Upgrades!$P$7,F24)*POWER(Upgrades!$P$8,G24)*POWER(Upgrades!$P$9,H24)*POWER(Upgrades!$P$10,I24)*POWER(Upgrades!$P$11,J24)*POWER(Upgrades!$P$12,K24))*(IF(Upgrades!$T$6="Magnetosphere",POWER(Upgrades!$U$6,E24),1)*IF(Upgrades!$T$7="Magnetosphere",POWER(Upgrades!$U$7,F24),1)*IF(Upgrades!$T$8="Magnetosphere",POWER(Upgrades!$U$8,G24),1)*IF(Upgrades!$T$10="Magnetosphere",POWER(Upgrades!$U$10,I24),1)*IF(Upgrades!$T$11="Magnetosphere",POWER(Upgrades!$U$11,J24),1)*IF(Upgrades!$T$12="Magnetosphere",POWER(Upgrades!$U$12,K24),1))/AJ24,0)</f>
        <v>0.0078125</v>
      </c>
      <c r="AW24" s="33" t="n">
        <f aca="false">MAX(IF(I24&gt;0,0,IFERROR(0.25*N24/Upgrades!$C$10,0)),IF(J24&gt;0,0,IFERROR(0.5*((IF(G24=0,0,(Upgrades!$J$8+G24*Upgrades!$K$8)*POWER(Upgrades!$L$8,G24)))*(IF(Upgrades!$T$6="Stellar Coupling",POWER(Upgrades!$U$6,E24),1)*IF(Upgrades!$T$7="Stellar Coupling",POWER(Upgrades!$U$7,F24),1)*IF(Upgrades!$T$9="Stellar Coupling",POWER(Upgrades!$U$9,H24),1)*IF(Upgrades!$T$10="Stellar Coupling",POWER(Upgrades!$U$10,I24),1)*IF(Upgrades!$T$11="Stellar Coupling",POWER(Upgrades!$U$11,J24),1)*IF(Upgrades!$T$12="Stellar Coupling",POWER(Upgrades!$U$12,K24),1))*(POWER(Upgrades!$Q$6,E24)*POWER(Upgrades!$Q$7,F24)*POWER(Upgrades!$Q$8,G24)*POWER(Upgrades!$Q$9,H24)*POWER(Upgrades!$Q$10,I24)*POWER(Upgrades!$Q$11,J24)*POWER(Upgrades!$Q$12,K24))*Parameters!$B$10*Parameters!$B$11/60)/Upgrades!$C$11,0)),IF(K24&gt;0,0,IFERROR((1*(POWER(Upgrades!$P$6,E24)*POWER(Upgrades!$P$7,F24)*POWER(Upgrades!$P$8,G24)*POWER(Upgrades!$P$9,H24)*POWER(Upgrades!$P$10,I24)*POWER(Upgrades!$P$11,J24)*POWER(Upgrades!$P$12,K24))+0.2*M24*Parameters!$B$10*Parameters!$B$11/60)/Upgrades!$C$12,0)),IF(AND(ISNUMBER(AG24),AG24&gt;T24),AS24,0),IF(AND(ISNUMBER(AH24),AH24&gt;T24),AT24,0),IF(AND(ISNUMBER(AI24),AI24&gt;T24),AU24,0),IF(AND(ISNUMBER(AJ24),AJ24&gt;T24),AV24,0))</f>
        <v>0.0078125</v>
      </c>
      <c r="AX24" s="29" t="str">
        <f aca="false">IF(AN24=1,"transition",IF(MIN(IF(AND(I24=0,ISNUMBER(AK24),AK24&lt;=T24),AK24,9000000000000000),IF(AND(J24=0,ISNUMBER(AL24),AL24&lt;=T24),AL24,9000000000000000),IF(AND(K24=0,ISNUMBER(AM24),AM24&lt;=T24),AM24,9000000000000000))&lt;9000000000000000,IF(AND(AND(I24=0,ISNUMBER(AK24),AK24&lt;=T24),AK24=MIN(IF(AND(I24=0,ISNUMBER(AK24),AK24&lt;=T24),AK24,9000000000000000),IF(AND(J24=0,ISNUMBER(AL24),AL24&lt;=T24),AL24,9000000000000000),IF(AND(K24=0,ISNUMBER(AM24),AM24&lt;=T24),AM24,9000000000000000))),"OR",IF(AND(AND(J24=0,ISNUMBER(AL24),AL24&lt;=T24),AL24=MIN(IF(AND(I24=0,ISNUMBER(AK24),AK24&lt;=T24),AK24,9000000000000000),IF(AND(J24=0,ISNUMBER(AL24),AL24&lt;=T24),AL24,9000000000000000),IF(AND(K24=0,ISNUMBER(AM24),AM24&lt;=T24),AM24,9000000000000000))),"HP","FP")),IF(AR24=TRUE(),"",IF(MAX(IF(AND(NOT(AND(AO24=1,AN24&lt;&gt;1)),ISNUMBER(AG24),AG24&lt;=T24),AS24,0),IF(AND(NOT(AND(AO24=1,AN24&lt;&gt;1)),ISNUMBER(AH24),AH24&lt;=T24),AT24,0),IF(AND(NOT(AND(AO24=1,AN24&lt;&gt;1)),ISNUMBER(AI24),AI24&lt;=T24),AU24,0),IF(AND(ISNUMBER(AJ24),AJ24&lt;=T24),AV24,0))&lt;=0,"",IF(AND(IF(AND(NOT(AND(AO24=1,AN24&lt;&gt;1)),ISNUMBER(AG24),AG24&lt;=T24),AS24,0)&gt;0,IF(AND(NOT(AND(AO24=1,AN24&lt;&gt;1)),ISNUMBER(AG24),AG24&lt;=T24),AS24,0)=MAX(IF(AND(NOT(AND(AO24=1,AN24&lt;&gt;1)),ISNUMBER(AG24),AG24&lt;=T24),AS24,0),IF(AND(NOT(AND(AO24=1,AN24&lt;&gt;1)),ISNUMBER(AH24),AH24&lt;=T24),AT24,0),IF(AND(NOT(AND(AO24=1,AN24&lt;&gt;1)),ISNUMBER(AI24),AI24&lt;=T24),AU24,0),IF(AND(ISNUMBER(AJ24),AJ24&lt;=T24),AV24,0))),"SW",IF(AND(IF(AND(NOT(AND(AO24=1,AN24&lt;&gt;1)),ISNUMBER(AH24),AH24&lt;=T24),AT24,0)&gt;0,IF(AND(NOT(AND(AO24=1,AN24&lt;&gt;1)),ISNUMBER(AH24),AH24&lt;=T24),AT24,0)=MAX(IF(AND(NOT(AND(AO24=1,AN24&lt;&gt;1)),ISNUMBER(AG24),AG24&lt;=T24),AS24,0),IF(AND(NOT(AND(AO24=1,AN24&lt;&gt;1)),ISNUMBER(AH24),AH24&lt;=T24),AT24,0),IF(AND(NOT(AND(AO24=1,AN24&lt;&gt;1)),ISNUMBER(AI24),AI24&lt;=T24),AU24,0),IF(AND(ISNUMBER(AJ24),AJ24&lt;=T24),AV24,0))),"AB",IF(AND(IF(AND(NOT(AND(AO24=1,AN24&lt;&gt;1)),ISNUMBER(AI24),AI24&lt;=T24),AU24,0)&gt;0,IF(AND(NOT(AND(AO24=1,AN24&lt;&gt;1)),ISNUMBER(AI24),AI24&lt;=T24),AU24,0)=MAX(IF(AND(NOT(AND(AO24=1,AN24&lt;&gt;1)),ISNUMBER(AG24),AG24&lt;=T24),AS24,0),IF(AND(NOT(AND(AO24=1,AN24&lt;&gt;1)),ISNUMBER(AH24),AH24&lt;=T24),AT24,0),IF(AND(NOT(AND(AO24=1,AN24&lt;&gt;1)),ISNUMBER(AI24),AI24&lt;=T24),AU24,0),IF(AND(ISNUMBER(AJ24),AJ24&lt;=T24),AV24,0))),"SC","Mag")))))))</f>
        <v>SW</v>
      </c>
    </row>
    <row r="25" customFormat="false" ht="15" hidden="false" customHeight="false" outlineLevel="0" collapsed="false">
      <c r="A25" s="26" t="n">
        <v>20</v>
      </c>
      <c r="B25" s="27" t="n">
        <f aca="false">A25*10/60</f>
        <v>3.33333333333333</v>
      </c>
      <c r="C25" s="21" t="n">
        <f aca="false">X24</f>
        <v>142.2730059375</v>
      </c>
      <c r="D25" s="27" t="n">
        <f aca="false">D24+W24</f>
        <v>0.4</v>
      </c>
      <c r="E25" s="26" t="n">
        <f aca="false">E24+IF(U24="SW",1,0)</f>
        <v>6</v>
      </c>
      <c r="F25" s="26" t="n">
        <f aca="false">F24+IF(U24="AB",1,0)</f>
        <v>5</v>
      </c>
      <c r="G25" s="26" t="n">
        <f aca="false">G24+IF(U24="SC",1,0)</f>
        <v>5</v>
      </c>
      <c r="H25" s="26" t="n">
        <f aca="false">H24+IF(U24="Mag",1,0)</f>
        <v>1</v>
      </c>
      <c r="I25" s="26" t="n">
        <f aca="false">MAX(I24,IF(U24="OR",1,0))</f>
        <v>1</v>
      </c>
      <c r="J25" s="26" t="n">
        <f aca="false">MAX(J24,IF(U24="HP",1,0))</f>
        <v>0</v>
      </c>
      <c r="K25" s="26" t="n">
        <f aca="false">MAX(K24,IF(U24="FP",1,0))</f>
        <v>0</v>
      </c>
      <c r="L25" s="26" t="n">
        <f aca="false">MAX(L24,IF(U24="transition",1,0))</f>
        <v>0</v>
      </c>
      <c r="M25" s="28" t="n">
        <f aca="false">(Parameters!$B$9+(IF(E25=0,0,(Upgrades!$J$6+E25*Upgrades!$K$6)*POWER(Upgrades!$L$6,E25)))*(IF(Upgrades!$T$7="Solar Wind",POWER(Upgrades!$U$7,F25),1)*IF(Upgrades!$T$8="Solar Wind",POWER(Upgrades!$U$8,G25),1)*IF(Upgrades!$T$9="Solar Wind",POWER(Upgrades!$U$9,H25),1)*IF(Upgrades!$T$10="Solar Wind",POWER(Upgrades!$U$10,I25),1)*IF(Upgrades!$T$11="Solar Wind",POWER(Upgrades!$U$11,J25),1)*IF(Upgrades!$T$12="Solar Wind",POWER(Upgrades!$U$12,K25),1))+(IF(F25=0,0,(Upgrades!$J$7+F25*Upgrades!$K$7)*POWER(Upgrades!$L$7,F25)))*(IF(Upgrades!$T$6="Asteroid Belt",POWER(Upgrades!$U$6,E25),1)*IF(Upgrades!$T$8="Asteroid Belt",POWER(Upgrades!$U$8,G25),1)*IF(Upgrades!$T$9="Asteroid Belt",POWER(Upgrades!$U$9,H25),1)*IF(Upgrades!$T$10="Asteroid Belt",POWER(Upgrades!$U$10,I25),1)*IF(Upgrades!$T$11="Asteroid Belt",POWER(Upgrades!$U$11,J25),1)*IF(Upgrades!$T$12="Asteroid Belt",POWER(Upgrades!$U$12,K25),1))+(IF(G25=0,0,(Upgrades!$J$8+G25*Upgrades!$K$8)*POWER(Upgrades!$L$8,G25)))*(IF(Upgrades!$T$6="Stellar Coupling",POWER(Upgrades!$U$6,E25),1)*IF(Upgrades!$T$7="Stellar Coupling",POWER(Upgrades!$U$7,F25),1)*IF(Upgrades!$T$9="Stellar Coupling",POWER(Upgrades!$U$9,H25),1)*IF(Upgrades!$T$10="Stellar Coupling",POWER(Upgrades!$U$10,I25),1)*IF(Upgrades!$T$11="Stellar Coupling",POWER(Upgrades!$U$11,J25),1)*IF(Upgrades!$T$12="Stellar Coupling",POWER(Upgrades!$U$12,K25),1))+(IF(H25=0,0,(Upgrades!$J$9+H25*Upgrades!$K$9)*POWER(Upgrades!$L$9,H25)))*(IF(Upgrades!$T$6="Magnetosphere",POWER(Upgrades!$U$6,E25),1)*IF(Upgrades!$T$7="Magnetosphere",POWER(Upgrades!$U$7,F25),1)*IF(Upgrades!$T$8="Magnetosphere",POWER(Upgrades!$U$8,G25),1)*IF(Upgrades!$T$10="Magnetosphere",POWER(Upgrades!$U$10,I25),1)*IF(Upgrades!$T$11="Magnetosphere",POWER(Upgrades!$U$11,J25),1)*IF(Upgrades!$T$12="Magnetosphere",POWER(Upgrades!$U$12,K25),1))+(IF(I25=0,0,(Upgrades!$J$10+I25*Upgrades!$K$10)*POWER(Upgrades!$L$10,I25)))*(IF(Upgrades!$T$6="Orbital Resonance",POWER(Upgrades!$U$6,E25),1)*IF(Upgrades!$T$7="Orbital Resonance",POWER(Upgrades!$U$7,F25),1)*IF(Upgrades!$T$8="Orbital Resonance",POWER(Upgrades!$U$8,G25),1)*IF(Upgrades!$T$9="Orbital Resonance",POWER(Upgrades!$U$9,H25),1)*IF(Upgrades!$T$11="Orbital Resonance",POWER(Upgrades!$U$11,J25),1)*IF(Upgrades!$T$12="Orbital Resonance",POWER(Upgrades!$U$12,K25),1))+(IF(J25=0,0,(Upgrades!$J$11+J25*Upgrades!$K$11)*POWER(Upgrades!$L$11,J25)))*(IF(Upgrades!$T$6="Heliopause",POWER(Upgrades!$U$6,E25),1)*IF(Upgrades!$T$7="Heliopause",POWER(Upgrades!$U$7,F25),1)*IF(Upgrades!$T$8="Heliopause",POWER(Upgrades!$U$8,G25),1)*IF(Upgrades!$T$9="Heliopause",POWER(Upgrades!$U$9,H25),1)*IF(Upgrades!$T$10="Heliopause",POWER(Upgrades!$U$10,I25),1)*IF(Upgrades!$T$12="Heliopause",POWER(Upgrades!$U$12,K25),1))+(IF(K25=0,0,(Upgrades!$J$12+K25*Upgrades!$K$12)*POWER(Upgrades!$L$12,K25)))*(IF(Upgrades!$T$6="First Photons",POWER(Upgrades!$U$6,E25),1)*IF(Upgrades!$T$7="First Photons",POWER(Upgrades!$U$7,F25),1)*IF(Upgrades!$T$8="First Photons",POWER(Upgrades!$U$8,G25),1)*IF(Upgrades!$T$9="First Photons",POWER(Upgrades!$U$9,H25),1)*IF(Upgrades!$T$10="First Photons",POWER(Upgrades!$U$10,I25),1)*IF(Upgrades!$T$11="First Photons",POWER(Upgrades!$U$11,J25),1)))*POWER(Upgrades!$Q$6,E25)*POWER(Upgrades!$Q$7,F25)*POWER(Upgrades!$Q$8,G25)*POWER(Upgrades!$Q$9,H25)*POWER(Upgrades!$Q$10,I25)*POWER(Upgrades!$Q$11,J25)*POWER(Upgrades!$Q$12,K25)</f>
        <v>2.75</v>
      </c>
      <c r="N25" s="28" t="n">
        <f aca="false">((IF(E25=0,0,(Upgrades!$G$6+E25*Upgrades!$H$6)*POWER(Upgrades!$I$6,E25)))*(IF(Upgrades!$T$7="Solar Wind",POWER(Upgrades!$U$7,F25),1)*IF(Upgrades!$T$8="Solar Wind",POWER(Upgrades!$U$8,G25),1)*IF(Upgrades!$T$9="Solar Wind",POWER(Upgrades!$U$9,H25),1)*IF(Upgrades!$T$10="Solar Wind",POWER(Upgrades!$U$10,I25),1)*IF(Upgrades!$T$11="Solar Wind",POWER(Upgrades!$U$11,J25),1)*IF(Upgrades!$T$12="Solar Wind",POWER(Upgrades!$U$12,K25),1))+(IF(F25=0,0,(Upgrades!$G$7+F25*Upgrades!$H$7)*POWER(Upgrades!$I$7,F25)))*(IF(Upgrades!$T$6="Asteroid Belt",POWER(Upgrades!$U$6,E25),1)*IF(Upgrades!$T$8="Asteroid Belt",POWER(Upgrades!$U$8,G25),1)*IF(Upgrades!$T$9="Asteroid Belt",POWER(Upgrades!$U$9,H25),1)*IF(Upgrades!$T$10="Asteroid Belt",POWER(Upgrades!$U$10,I25),1)*IF(Upgrades!$T$11="Asteroid Belt",POWER(Upgrades!$U$11,J25),1)*IF(Upgrades!$T$12="Asteroid Belt",POWER(Upgrades!$U$12,K25),1))+(IF(G25=0,0,(Upgrades!$G$8+G25*Upgrades!$H$8)*POWER(Upgrades!$I$8,G25)))*(IF(Upgrades!$T$6="Stellar Coupling",POWER(Upgrades!$U$6,E25),1)*IF(Upgrades!$T$7="Stellar Coupling",POWER(Upgrades!$U$7,F25),1)*IF(Upgrades!$T$9="Stellar Coupling",POWER(Upgrades!$U$9,H25),1)*IF(Upgrades!$T$10="Stellar Coupling",POWER(Upgrades!$U$10,I25),1)*IF(Upgrades!$T$11="Stellar Coupling",POWER(Upgrades!$U$11,J25),1)*IF(Upgrades!$T$12="Stellar Coupling",POWER(Upgrades!$U$12,K25),1))+(IF(H25=0,0,(Upgrades!$G$9+H25*Upgrades!$H$9)*POWER(Upgrades!$I$9,H25)))*(IF(Upgrades!$T$6="Magnetosphere",POWER(Upgrades!$U$6,E25),1)*IF(Upgrades!$T$7="Magnetosphere",POWER(Upgrades!$U$7,F25),1)*IF(Upgrades!$T$8="Magnetosphere",POWER(Upgrades!$U$8,G25),1)*IF(Upgrades!$T$10="Magnetosphere",POWER(Upgrades!$U$10,I25),1)*IF(Upgrades!$T$11="Magnetosphere",POWER(Upgrades!$U$11,J25),1)*IF(Upgrades!$T$12="Magnetosphere",POWER(Upgrades!$U$12,K25),1))+(IF(I25=0,0,(Upgrades!$G$10+I25*Upgrades!$H$10)*POWER(Upgrades!$I$10,I25)))*(IF(Upgrades!$T$6="Orbital Resonance",POWER(Upgrades!$U$6,E25),1)*IF(Upgrades!$T$7="Orbital Resonance",POWER(Upgrades!$U$7,F25),1)*IF(Upgrades!$T$8="Orbital Resonance",POWER(Upgrades!$U$8,G25),1)*IF(Upgrades!$T$9="Orbital Resonance",POWER(Upgrades!$U$9,H25),1)*IF(Upgrades!$T$11="Orbital Resonance",POWER(Upgrades!$U$11,J25),1)*IF(Upgrades!$T$12="Orbital Resonance",POWER(Upgrades!$U$12,K25),1))+(IF(J25=0,0,(Upgrades!$G$11+J25*Upgrades!$H$11)*POWER(Upgrades!$I$11,J25)))*(IF(Upgrades!$T$6="Heliopause",POWER(Upgrades!$U$6,E25),1)*IF(Upgrades!$T$7="Heliopause",POWER(Upgrades!$U$7,F25),1)*IF(Upgrades!$T$8="Heliopause",POWER(Upgrades!$U$8,G25),1)*IF(Upgrades!$T$9="Heliopause",POWER(Upgrades!$U$9,H25),1)*IF(Upgrades!$T$10="Heliopause",POWER(Upgrades!$U$10,I25),1)*IF(Upgrades!$T$12="Heliopause",POWER(Upgrades!$U$12,K25),1))+(IF(K25=0,0,(Upgrades!$G$12+K25*Upgrades!$H$12)*POWER(Upgrades!$I$12,K25)))*(IF(Upgrades!$T$6="First Photons",POWER(Upgrades!$U$6,E25),1)*IF(Upgrades!$T$7="First Photons",POWER(Upgrades!$U$7,F25),1)*IF(Upgrades!$T$8="First Photons",POWER(Upgrades!$U$8,G25),1)*IF(Upgrades!$T$9="First Photons",POWER(Upgrades!$U$9,H25),1)*IF(Upgrades!$T$10="First Photons",POWER(Upgrades!$U$10,I25),1)*IF(Upgrades!$T$11="First Photons",POWER(Upgrades!$U$11,J25),1)))*POWER(Upgrades!$P$6,E25)*POWER(Upgrades!$P$7,F25)*POWER(Upgrades!$P$8,G25)*POWER(Upgrades!$P$9,H25)*POWER(Upgrades!$P$10,I25)*POWER(Upgrades!$P$11,J25)*POWER(Upgrades!$P$12,K25)</f>
        <v>3.1</v>
      </c>
      <c r="O25" s="28" t="n">
        <f aca="false">((IF(E25=0,0,(Upgrades!$M$6+E25*Upgrades!$N$6)*POWER(Upgrades!$O$6,E25)))*(IF(Upgrades!$T$7="Solar Wind",POWER(Upgrades!$U$7,F25),1)*IF(Upgrades!$T$8="Solar Wind",POWER(Upgrades!$U$8,G25),1)*IF(Upgrades!$T$9="Solar Wind",POWER(Upgrades!$U$9,H25),1)*IF(Upgrades!$T$10="Solar Wind",POWER(Upgrades!$U$10,I25),1)*IF(Upgrades!$T$11="Solar Wind",POWER(Upgrades!$U$11,J25),1)*IF(Upgrades!$T$12="Solar Wind",POWER(Upgrades!$U$12,K25),1))+(IF(F25=0,0,(Upgrades!$M$7+F25*Upgrades!$N$7)*POWER(Upgrades!$O$7,F25)))*(IF(Upgrades!$T$6="Asteroid Belt",POWER(Upgrades!$U$6,E25),1)*IF(Upgrades!$T$8="Asteroid Belt",POWER(Upgrades!$U$8,G25),1)*IF(Upgrades!$T$9="Asteroid Belt",POWER(Upgrades!$U$9,H25),1)*IF(Upgrades!$T$10="Asteroid Belt",POWER(Upgrades!$U$10,I25),1)*IF(Upgrades!$T$11="Asteroid Belt",POWER(Upgrades!$U$11,J25),1)*IF(Upgrades!$T$12="Asteroid Belt",POWER(Upgrades!$U$12,K25),1))+(IF(G25=0,0,(Upgrades!$M$8+G25*Upgrades!$N$8)*POWER(Upgrades!$O$8,G25)))*(IF(Upgrades!$T$6="Stellar Coupling",POWER(Upgrades!$U$6,E25),1)*IF(Upgrades!$T$7="Stellar Coupling",POWER(Upgrades!$U$7,F25),1)*IF(Upgrades!$T$9="Stellar Coupling",POWER(Upgrades!$U$9,H25),1)*IF(Upgrades!$T$10="Stellar Coupling",POWER(Upgrades!$U$10,I25),1)*IF(Upgrades!$T$11="Stellar Coupling",POWER(Upgrades!$U$11,J25),1)*IF(Upgrades!$T$12="Stellar Coupling",POWER(Upgrades!$U$12,K25),1))+(IF(H25=0,0,(Upgrades!$M$9+H25*Upgrades!$N$9)*POWER(Upgrades!$O$9,H25)))*(IF(Upgrades!$T$6="Magnetosphere",POWER(Upgrades!$U$6,E25),1)*IF(Upgrades!$T$7="Magnetosphere",POWER(Upgrades!$U$7,F25),1)*IF(Upgrades!$T$8="Magnetosphere",POWER(Upgrades!$U$8,G25),1)*IF(Upgrades!$T$10="Magnetosphere",POWER(Upgrades!$U$10,I25),1)*IF(Upgrades!$T$11="Magnetosphere",POWER(Upgrades!$U$11,J25),1)*IF(Upgrades!$T$12="Magnetosphere",POWER(Upgrades!$U$12,K25),1))+(IF(I25=0,0,(Upgrades!$M$10+I25*Upgrades!$N$10)*POWER(Upgrades!$O$10,I25)))*(IF(Upgrades!$T$6="Orbital Resonance",POWER(Upgrades!$U$6,E25),1)*IF(Upgrades!$T$7="Orbital Resonance",POWER(Upgrades!$U$7,F25),1)*IF(Upgrades!$T$8="Orbital Resonance",POWER(Upgrades!$U$8,G25),1)*IF(Upgrades!$T$9="Orbital Resonance",POWER(Upgrades!$U$9,H25),1)*IF(Upgrades!$T$11="Orbital Resonance",POWER(Upgrades!$U$11,J25),1)*IF(Upgrades!$T$12="Orbital Resonance",POWER(Upgrades!$U$12,K25),1))+(IF(J25=0,0,(Upgrades!$M$11+J25*Upgrades!$N$11)*POWER(Upgrades!$O$11,J25)))*(IF(Upgrades!$T$6="Heliopause",POWER(Upgrades!$U$6,E25),1)*IF(Upgrades!$T$7="Heliopause",POWER(Upgrades!$U$7,F25),1)*IF(Upgrades!$T$8="Heliopause",POWER(Upgrades!$U$8,G25),1)*IF(Upgrades!$T$9="Heliopause",POWER(Upgrades!$U$9,H25),1)*IF(Upgrades!$T$10="Heliopause",POWER(Upgrades!$U$10,I25),1)*IF(Upgrades!$T$12="Heliopause",POWER(Upgrades!$U$12,K25),1))+(IF(K25=0,0,(Upgrades!$M$12+K25*Upgrades!$N$12)*POWER(Upgrades!$O$12,K25)))*(IF(Upgrades!$T$6="First Photons",POWER(Upgrades!$U$6,E25),1)*IF(Upgrades!$T$7="First Photons",POWER(Upgrades!$U$7,F25),1)*IF(Upgrades!$T$8="First Photons",POWER(Upgrades!$U$8,G25),1)*IF(Upgrades!$T$9="First Photons",POWER(Upgrades!$U$9,H25),1)*IF(Upgrades!$T$10="First Photons",POWER(Upgrades!$U$10,I25),1)*IF(Upgrades!$T$11="First Photons",POWER(Upgrades!$U$11,J25),1)))*POWER(Upgrades!$R$6,E25)*POWER(Upgrades!$R$7,F25)*POWER(Upgrades!$R$8,G25)*POWER(Upgrades!$R$9,H25)*POWER(Upgrades!$R$10,I25)*POWER(Upgrades!$R$11,J25)*POWER(Upgrades!$R$12,K25)</f>
        <v>0</v>
      </c>
      <c r="P25" s="27" t="n">
        <f aca="false">IF(L25=1,0,M25*Parameters!$B$10/60*Parameters!$B$11*10)</f>
        <v>45.8333333333333</v>
      </c>
      <c r="Q25" s="27" t="n">
        <f aca="false">IF(L25=1,0,O25*M25*10)</f>
        <v>0</v>
      </c>
      <c r="R25" s="27" t="n">
        <f aca="false">IF(L25=1,0,N25*10)</f>
        <v>31</v>
      </c>
      <c r="S25" s="27" t="n">
        <f aca="false">P25+Q25+R25</f>
        <v>76.8333333333333</v>
      </c>
      <c r="T25" s="21" t="n">
        <f aca="false">C25+S25</f>
        <v>219.106339270833</v>
      </c>
      <c r="U25" s="34" t="str">
        <f aca="false">AX25</f>
        <v>Mag</v>
      </c>
      <c r="V25" s="21" t="n">
        <f aca="false">IF(U25="",0,IF(U25="transition",0,IF(U25="SW",AG25,IF(U25="AB",AH25,IF(U25="SC",AI25,IF(U25="Mag",AJ25,IF(U25="OR",AK25,IF(U25="HP",AL25,IF(U25="FP",AM25,0)))))))))</f>
        <v>160</v>
      </c>
      <c r="W25" s="27" t="n">
        <f aca="false">IF(U25="OR",Upgrades!$F$10,IF(U25="HP",Upgrades!$F$11,IF(U25="transition",-Parameters!$B$18,0)))</f>
        <v>0</v>
      </c>
      <c r="X25" s="21" t="n">
        <f aca="false">T25-V25</f>
        <v>59.1063392708334</v>
      </c>
      <c r="Y25" s="30" t="n">
        <f aca="false">M25*Parameters!$B$10/60*Parameters!$B$11+O25*M25+N25</f>
        <v>7.68333333333333</v>
      </c>
      <c r="Z25" s="35" t="str">
        <f aca="false">IF(U25="transition","→ Tier 2 (Stellar Neighborhood)",IF(U25="FP","First Photons — light begins, system quickens",IF(U25="HP","Heliopause acquired",IF(U25="OR","Orbital Resonance — passive multiplier active",IF(AND(AO25=1,L25=0,AN25&lt;&gt;1),"Cohesion ready (waiting on completionist upgrades)","")))))</f>
        <v/>
      </c>
      <c r="AA25" s="27" t="n">
        <f aca="false">(IF(E25=0,0,(Upgrades!$G$6+E25*Upgrades!$H$6)*POWER(Upgrades!$I$6,E25)))*(IF(Upgrades!$T$7="Solar Wind",POWER(Upgrades!$U$7,F25),1)*IF(Upgrades!$T$8="Solar Wind",POWER(Upgrades!$U$8,G25),1)*IF(Upgrades!$T$9="Solar Wind",POWER(Upgrades!$U$9,H25),1)*IF(Upgrades!$T$10="Solar Wind",POWER(Upgrades!$U$10,I25),1)*IF(Upgrades!$T$11="Solar Wind",POWER(Upgrades!$U$11,J25),1)*IF(Upgrades!$T$12="Solar Wind",POWER(Upgrades!$U$12,K25),1))*POWER(Upgrades!$P$6,E25)*POWER(Upgrades!$P$7,F25)*POWER(Upgrades!$P$8,G25)*POWER(Upgrades!$P$9,H25)*POWER(Upgrades!$P$10,I25)*POWER(Upgrades!$P$11,J25)*POWER(Upgrades!$P$12,K25)*60</f>
        <v>36</v>
      </c>
      <c r="AB25" s="27" t="n">
        <f aca="false">(IF(F25=0,0,(Upgrades!$G$7+F25*Upgrades!$H$7)*POWER(Upgrades!$I$7,F25)))*(IF(Upgrades!$T$6="Asteroid Belt",POWER(Upgrades!$U$6,E25),1)*IF(Upgrades!$T$8="Asteroid Belt",POWER(Upgrades!$U$8,G25),1)*IF(Upgrades!$T$9="Asteroid Belt",POWER(Upgrades!$U$9,H25),1)*IF(Upgrades!$T$10="Asteroid Belt",POWER(Upgrades!$U$10,I25),1)*IF(Upgrades!$T$11="Asteroid Belt",POWER(Upgrades!$U$11,J25),1)*IF(Upgrades!$T$12="Asteroid Belt",POWER(Upgrades!$U$12,K25),1))*POWER(Upgrades!$P$6,E25)*POWER(Upgrades!$P$7,F25)*POWER(Upgrades!$P$8,G25)*POWER(Upgrades!$P$9,H25)*POWER(Upgrades!$P$10,I25)*POWER(Upgrades!$P$11,J25)*POWER(Upgrades!$P$12,K25)*60</f>
        <v>75</v>
      </c>
      <c r="AC25" s="27" t="n">
        <f aca="false">(IF(G25=0,0,(Upgrades!$J$8+G25*Upgrades!$K$8)*POWER(Upgrades!$L$8,G25)))*(IF(Upgrades!$T$6="Stellar Coupling",POWER(Upgrades!$U$6,E25),1)*IF(Upgrades!$T$7="Stellar Coupling",POWER(Upgrades!$U$7,F25),1)*IF(Upgrades!$T$9="Stellar Coupling",POWER(Upgrades!$U$9,H25),1)*IF(Upgrades!$T$10="Stellar Coupling",POWER(Upgrades!$U$10,I25),1)*IF(Upgrades!$T$11="Stellar Coupling",POWER(Upgrades!$U$11,J25),1)*IF(Upgrades!$T$12="Stellar Coupling",POWER(Upgrades!$U$12,K25),1))*POWER(Upgrades!$Q$6,E25)*POWER(Upgrades!$Q$7,F25)*POWER(Upgrades!$Q$8,G25)*POWER(Upgrades!$Q$9,H25)*POWER(Upgrades!$Q$10,I25)*POWER(Upgrades!$Q$11,J25)*POWER(Upgrades!$Q$12,K25)*Parameters!$B$10*Parameters!$B$11</f>
        <v>175</v>
      </c>
      <c r="AD25" s="27" t="n">
        <f aca="false">(IF(H25=0,0,(Upgrades!$G$9+H25*Upgrades!$H$9)*POWER(Upgrades!$I$9,H25)))*(IF(Upgrades!$T$6="Magnetosphere",POWER(Upgrades!$U$6,E25),1)*IF(Upgrades!$T$7="Magnetosphere",POWER(Upgrades!$U$7,F25),1)*IF(Upgrades!$T$8="Magnetosphere",POWER(Upgrades!$U$8,G25),1)*IF(Upgrades!$T$10="Magnetosphere",POWER(Upgrades!$U$10,I25),1)*IF(Upgrades!$T$11="Magnetosphere",POWER(Upgrades!$U$11,J25),1)*IF(Upgrades!$T$12="Magnetosphere",POWER(Upgrades!$U$12,K25),1))*POWER(Upgrades!$P$6,E25)*POWER(Upgrades!$P$7,F25)*POWER(Upgrades!$P$8,G25)*POWER(Upgrades!$P$9,H25)*POWER(Upgrades!$P$10,I25)*POWER(Upgrades!$P$11,J25)*POWER(Upgrades!$P$12,K25)*60</f>
        <v>75</v>
      </c>
      <c r="AE25" s="27" t="n">
        <f aca="false">(IF(K25=0,0,(Upgrades!$G$12+K25*Upgrades!$H$12)*POWER(Upgrades!$I$12,K25)))*(IF(Upgrades!$T$6="First Photons",POWER(Upgrades!$U$6,E25),1)*IF(Upgrades!$T$7="First Photons",POWER(Upgrades!$U$7,F25),1)*IF(Upgrades!$T$8="First Photons",POWER(Upgrades!$U$8,G25),1)*IF(Upgrades!$T$9="First Photons",POWER(Upgrades!$U$9,H25),1)*IF(Upgrades!$T$10="First Photons",POWER(Upgrades!$U$10,I25),1)*IF(Upgrades!$T$11="First Photons",POWER(Upgrades!$U$11,J25),1))*POWER(Upgrades!$P$6,E25)*POWER(Upgrades!$P$7,F25)*POWER(Upgrades!$P$8,G25)*POWER(Upgrades!$P$9,H25)*POWER(Upgrades!$P$10,I25)*POWER(Upgrades!$P$11,J25)*POWER(Upgrades!$P$12,K25)*60</f>
        <v>0</v>
      </c>
      <c r="AF25" s="27" t="n">
        <f aca="false">Parameters!$B$9*POWER(Upgrades!$Q$6,E25)*POWER(Upgrades!$Q$7,F25)*POWER(Upgrades!$Q$8,G25)*POWER(Upgrades!$Q$9,H25)*POWER(Upgrades!$Q$10,I25)*POWER(Upgrades!$Q$11,J25)*POWER(Upgrades!$Q$12,K25)*(Parameters!$B$10*Parameters!$B$11+O25*60)</f>
        <v>100</v>
      </c>
      <c r="AG25" s="21" t="n">
        <f aca="false">IF(E25&gt;=Upgrades!$E$6,"",Upgrades!$C$6*POWER(Upgrades!$D$6,E25))</f>
        <v>16.191425359375</v>
      </c>
      <c r="AH25" s="21" t="n">
        <f aca="false">IF(F25&gt;=Upgrades!$E$7,"",Upgrades!$C$7*POWER(Upgrades!$D$7,F25))</f>
        <v>40.22714375</v>
      </c>
      <c r="AI25" s="21" t="n">
        <f aca="false">IF(G25&gt;=Upgrades!$E$8,"",Upgrades!$C$8*POWER(Upgrades!$D$8,G25))</f>
        <v>118.32128</v>
      </c>
      <c r="AJ25" s="21" t="n">
        <f aca="false">IF(H25&gt;=Upgrades!$E$9,"",Upgrades!$C$9*POWER(Upgrades!$D$9,H25))</f>
        <v>160</v>
      </c>
      <c r="AK25" s="21" t="str">
        <f aca="false">IF(I25&gt;=Upgrades!$E$10,"",Upgrades!$C$10*POWER(Upgrades!$D$10,I25))</f>
        <v/>
      </c>
      <c r="AL25" s="21" t="n">
        <f aca="false">IF(J25&gt;=Upgrades!$E$11,"",Upgrades!$C$11*POWER(Upgrades!$D$11,J25))</f>
        <v>575</v>
      </c>
      <c r="AM25" s="21" t="n">
        <f aca="false">IF(K25&gt;=Upgrades!$E$12,"",Upgrades!$C$12*POWER(Upgrades!$D$12,K25))</f>
        <v>850</v>
      </c>
      <c r="AN25" s="26" t="str">
        <f aca="false">IF(AND(D25&gt;=Parameters!$B$18,(H25&gt;=Upgrades!$E$9)*(K25&gt;=Upgrades!$E$12)=1,L25=0),1,"")</f>
        <v/>
      </c>
      <c r="AO25" s="26" t="str">
        <f aca="false">IF(AND(D25&gt;=Parameters!$B$18,L25=0),1,"")</f>
        <v/>
      </c>
      <c r="AP25" s="21" t="n">
        <f aca="false">MIN(IF(ISNUMBER(AK25),AK25,9000000000000000),IF(ISNUMBER(AL25),AL25,9000000000000000),IF(ISNUMBER(AM25),AM25,9000000000000000))</f>
        <v>575</v>
      </c>
      <c r="AQ25" s="21" t="n">
        <f aca="false">MIN(IF(ISNUMBER(AG25),AG25,9000000000000000),IF(ISNUMBER(AH25),AH25,9000000000000000),IF(ISNUMBER(AI25),AI25,9000000000000000),IF(ISNUMBER(AJ25),AJ25,9000000000000000))</f>
        <v>16.191425359375</v>
      </c>
      <c r="AR25" s="32" t="b">
        <f aca="false">IF(AW25&gt;Parameters!$B$21*(MAX(IF(AND(NOT(AND(AO25=1,AN25&lt;&gt;1)),ISNUMBER(AG25),AG25&lt;=T25),AS25,0),IF(AND(NOT(AND(AO25=1,AN25&lt;&gt;1)),ISNUMBER(AH25),AH25&lt;=T25),AT25,0),IF(AND(NOT(AND(AO25=1,AN25&lt;&gt;1)),ISNUMBER(AI25),AI25&lt;=T25),AU25,0),IF(AND(ISNUMBER(AJ25),AJ25&lt;=T25),AV25,0))),TRUE(),FALSE())</f>
        <v>0</v>
      </c>
      <c r="AS25" s="33" t="n">
        <f aca="false">IFERROR(Upgrades!$H$6*(POWER(Upgrades!$P$6,E25)*POWER(Upgrades!$P$7,F25)*POWER(Upgrades!$P$8,G25)*POWER(Upgrades!$P$9,H25)*POWER(Upgrades!$P$10,I25)*POWER(Upgrades!$P$11,J25)*POWER(Upgrades!$P$12,K25))*(IF(Upgrades!$T$7="Solar Wind",POWER(Upgrades!$U$7,F25),1)*IF(Upgrades!$T$8="Solar Wind",POWER(Upgrades!$U$8,G25),1)*IF(Upgrades!$T$9="Solar Wind",POWER(Upgrades!$U$9,H25),1)*IF(Upgrades!$T$10="Solar Wind",POWER(Upgrades!$U$10,I25),1)*IF(Upgrades!$T$11="Solar Wind",POWER(Upgrades!$U$11,J25),1)*IF(Upgrades!$T$12="Solar Wind",POWER(Upgrades!$U$12,K25),1))/AG25,0)</f>
        <v>0.00617610851302224</v>
      </c>
      <c r="AT25" s="33" t="n">
        <f aca="false">IFERROR(Upgrades!$H$7*(POWER(Upgrades!$P$6,E25)*POWER(Upgrades!$P$7,F25)*POWER(Upgrades!$P$8,G25)*POWER(Upgrades!$P$9,H25)*POWER(Upgrades!$P$10,I25)*POWER(Upgrades!$P$11,J25)*POWER(Upgrades!$P$12,K25))*(IF(Upgrades!$T$6="Asteroid Belt",POWER(Upgrades!$U$6,E25),1)*IF(Upgrades!$T$8="Asteroid Belt",POWER(Upgrades!$U$8,G25),1)*IF(Upgrades!$T$9="Asteroid Belt",POWER(Upgrades!$U$9,H25),1)*IF(Upgrades!$T$10="Asteroid Belt",POWER(Upgrades!$U$10,I25),1)*IF(Upgrades!$T$11="Asteroid Belt",POWER(Upgrades!$U$11,J25),1)*IF(Upgrades!$T$12="Asteroid Belt",POWER(Upgrades!$U$12,K25),1))/AH25,0)</f>
        <v>0.00621470919122862</v>
      </c>
      <c r="AU25" s="33" t="n">
        <f aca="false">IFERROR(Upgrades!$K$8*(POWER(Upgrades!$Q$6,E25)*POWER(Upgrades!$Q$7,F25)*POWER(Upgrades!$Q$8,G25)*POWER(Upgrades!$Q$9,H25)*POWER(Upgrades!$Q$10,I25)*POWER(Upgrades!$Q$11,J25)*POWER(Upgrades!$Q$12,K25))*(IF(Upgrades!$T$6="Stellar Coupling",POWER(Upgrades!$U$6,E25),1)*IF(Upgrades!$T$7="Stellar Coupling",POWER(Upgrades!$U$7,F25),1)*IF(Upgrades!$T$9="Stellar Coupling",POWER(Upgrades!$U$9,H25),1)*IF(Upgrades!$T$10="Stellar Coupling",POWER(Upgrades!$U$10,I25),1)*IF(Upgrades!$T$11="Stellar Coupling",POWER(Upgrades!$U$11,J25),1)*IF(Upgrades!$T$12="Stellar Coupling",POWER(Upgrades!$U$12,K25),1))*Parameters!$B$10*Parameters!$B$11/60/AI25,0)</f>
        <v>0.00493007963853445</v>
      </c>
      <c r="AV25" s="33" t="n">
        <f aca="false">IFERROR(Upgrades!$H$9*(POWER(Upgrades!$P$6,E25)*POWER(Upgrades!$P$7,F25)*POWER(Upgrades!$P$8,G25)*POWER(Upgrades!$P$9,H25)*POWER(Upgrades!$P$10,I25)*POWER(Upgrades!$P$11,J25)*POWER(Upgrades!$P$12,K25))*(IF(Upgrades!$T$6="Magnetosphere",POWER(Upgrades!$U$6,E25),1)*IF(Upgrades!$T$7="Magnetosphere",POWER(Upgrades!$U$7,F25),1)*IF(Upgrades!$T$8="Magnetosphere",POWER(Upgrades!$U$8,G25),1)*IF(Upgrades!$T$10="Magnetosphere",POWER(Upgrades!$U$10,I25),1)*IF(Upgrades!$T$11="Magnetosphere",POWER(Upgrades!$U$11,J25),1)*IF(Upgrades!$T$12="Magnetosphere",POWER(Upgrades!$U$12,K25),1))/AJ25,0)</f>
        <v>0.0078125</v>
      </c>
      <c r="AW25" s="33" t="n">
        <f aca="false">MAX(IF(I25&gt;0,0,IFERROR(0.25*N25/Upgrades!$C$10,0)),IF(J25&gt;0,0,IFERROR(0.5*((IF(G25=0,0,(Upgrades!$J$8+G25*Upgrades!$K$8)*POWER(Upgrades!$L$8,G25)))*(IF(Upgrades!$T$6="Stellar Coupling",POWER(Upgrades!$U$6,E25),1)*IF(Upgrades!$T$7="Stellar Coupling",POWER(Upgrades!$U$7,F25),1)*IF(Upgrades!$T$9="Stellar Coupling",POWER(Upgrades!$U$9,H25),1)*IF(Upgrades!$T$10="Stellar Coupling",POWER(Upgrades!$U$10,I25),1)*IF(Upgrades!$T$11="Stellar Coupling",POWER(Upgrades!$U$11,J25),1)*IF(Upgrades!$T$12="Stellar Coupling",POWER(Upgrades!$U$12,K25),1))*(POWER(Upgrades!$Q$6,E25)*POWER(Upgrades!$Q$7,F25)*POWER(Upgrades!$Q$8,G25)*POWER(Upgrades!$Q$9,H25)*POWER(Upgrades!$Q$10,I25)*POWER(Upgrades!$Q$11,J25)*POWER(Upgrades!$Q$12,K25))*Parameters!$B$10*Parameters!$B$11/60)/Upgrades!$C$11,0)),IF(K25&gt;0,0,IFERROR((1*(POWER(Upgrades!$P$6,E25)*POWER(Upgrades!$P$7,F25)*POWER(Upgrades!$P$8,G25)*POWER(Upgrades!$P$9,H25)*POWER(Upgrades!$P$10,I25)*POWER(Upgrades!$P$11,J25)*POWER(Upgrades!$P$12,K25))+0.2*M25*Parameters!$B$10*Parameters!$B$11/60)/Upgrades!$C$12,0)),IF(AND(ISNUMBER(AG25),AG25&gt;T25),AS25,0),IF(AND(ISNUMBER(AH25),AH25&gt;T25),AT25,0),IF(AND(ISNUMBER(AI25),AI25&gt;T25),AU25,0),IF(AND(ISNUMBER(AJ25),AJ25&gt;T25),AV25,0))</f>
        <v>0.00254901960784314</v>
      </c>
      <c r="AX25" s="29" t="str">
        <f aca="false">IF(AN25=1,"transition",IF(MIN(IF(AND(I25=0,ISNUMBER(AK25),AK25&lt;=T25),AK25,9000000000000000),IF(AND(J25=0,ISNUMBER(AL25),AL25&lt;=T25),AL25,9000000000000000),IF(AND(K25=0,ISNUMBER(AM25),AM25&lt;=T25),AM25,9000000000000000))&lt;9000000000000000,IF(AND(AND(I25=0,ISNUMBER(AK25),AK25&lt;=T25),AK25=MIN(IF(AND(I25=0,ISNUMBER(AK25),AK25&lt;=T25),AK25,9000000000000000),IF(AND(J25=0,ISNUMBER(AL25),AL25&lt;=T25),AL25,9000000000000000),IF(AND(K25=0,ISNUMBER(AM25),AM25&lt;=T25),AM25,9000000000000000))),"OR",IF(AND(AND(J25=0,ISNUMBER(AL25),AL25&lt;=T25),AL25=MIN(IF(AND(I25=0,ISNUMBER(AK25),AK25&lt;=T25),AK25,9000000000000000),IF(AND(J25=0,ISNUMBER(AL25),AL25&lt;=T25),AL25,9000000000000000),IF(AND(K25=0,ISNUMBER(AM25),AM25&lt;=T25),AM25,9000000000000000))),"HP","FP")),IF(AR25=TRUE(),"",IF(MAX(IF(AND(NOT(AND(AO25=1,AN25&lt;&gt;1)),ISNUMBER(AG25),AG25&lt;=T25),AS25,0),IF(AND(NOT(AND(AO25=1,AN25&lt;&gt;1)),ISNUMBER(AH25),AH25&lt;=T25),AT25,0),IF(AND(NOT(AND(AO25=1,AN25&lt;&gt;1)),ISNUMBER(AI25),AI25&lt;=T25),AU25,0),IF(AND(ISNUMBER(AJ25),AJ25&lt;=T25),AV25,0))&lt;=0,"",IF(AND(IF(AND(NOT(AND(AO25=1,AN25&lt;&gt;1)),ISNUMBER(AG25),AG25&lt;=T25),AS25,0)&gt;0,IF(AND(NOT(AND(AO25=1,AN25&lt;&gt;1)),ISNUMBER(AG25),AG25&lt;=T25),AS25,0)=MAX(IF(AND(NOT(AND(AO25=1,AN25&lt;&gt;1)),ISNUMBER(AG25),AG25&lt;=T25),AS25,0),IF(AND(NOT(AND(AO25=1,AN25&lt;&gt;1)),ISNUMBER(AH25),AH25&lt;=T25),AT25,0),IF(AND(NOT(AND(AO25=1,AN25&lt;&gt;1)),ISNUMBER(AI25),AI25&lt;=T25),AU25,0),IF(AND(ISNUMBER(AJ25),AJ25&lt;=T25),AV25,0))),"SW",IF(AND(IF(AND(NOT(AND(AO25=1,AN25&lt;&gt;1)),ISNUMBER(AH25),AH25&lt;=T25),AT25,0)&gt;0,IF(AND(NOT(AND(AO25=1,AN25&lt;&gt;1)),ISNUMBER(AH25),AH25&lt;=T25),AT25,0)=MAX(IF(AND(NOT(AND(AO25=1,AN25&lt;&gt;1)),ISNUMBER(AG25),AG25&lt;=T25),AS25,0),IF(AND(NOT(AND(AO25=1,AN25&lt;&gt;1)),ISNUMBER(AH25),AH25&lt;=T25),AT25,0),IF(AND(NOT(AND(AO25=1,AN25&lt;&gt;1)),ISNUMBER(AI25),AI25&lt;=T25),AU25,0),IF(AND(ISNUMBER(AJ25),AJ25&lt;=T25),AV25,0))),"AB",IF(AND(IF(AND(NOT(AND(AO25=1,AN25&lt;&gt;1)),ISNUMBER(AI25),AI25&lt;=T25),AU25,0)&gt;0,IF(AND(NOT(AND(AO25=1,AN25&lt;&gt;1)),ISNUMBER(AI25),AI25&lt;=T25),AU25,0)=MAX(IF(AND(NOT(AND(AO25=1,AN25&lt;&gt;1)),ISNUMBER(AG25),AG25&lt;=T25),AS25,0),IF(AND(NOT(AND(AO25=1,AN25&lt;&gt;1)),ISNUMBER(AH25),AH25&lt;=T25),AT25,0),IF(AND(NOT(AND(AO25=1,AN25&lt;&gt;1)),ISNUMBER(AI25),AI25&lt;=T25),AU25,0),IF(AND(ISNUMBER(AJ25),AJ25&lt;=T25),AV25,0))),"SC","Mag")))))))</f>
        <v>Mag</v>
      </c>
    </row>
    <row r="26" customFormat="false" ht="15" hidden="false" customHeight="false" outlineLevel="0" collapsed="false">
      <c r="A26" s="26" t="n">
        <v>21</v>
      </c>
      <c r="B26" s="27" t="n">
        <f aca="false">A26*10/60</f>
        <v>3.5</v>
      </c>
      <c r="C26" s="21" t="n">
        <f aca="false">X25</f>
        <v>59.1063392708334</v>
      </c>
      <c r="D26" s="27" t="n">
        <f aca="false">D25+W25</f>
        <v>0.4</v>
      </c>
      <c r="E26" s="26" t="n">
        <f aca="false">E25+IF(U25="SW",1,0)</f>
        <v>6</v>
      </c>
      <c r="F26" s="26" t="n">
        <f aca="false">F25+IF(U25="AB",1,0)</f>
        <v>5</v>
      </c>
      <c r="G26" s="26" t="n">
        <f aca="false">G25+IF(U25="SC",1,0)</f>
        <v>5</v>
      </c>
      <c r="H26" s="26" t="n">
        <f aca="false">H25+IF(U25="Mag",1,0)</f>
        <v>2</v>
      </c>
      <c r="I26" s="26" t="n">
        <f aca="false">MAX(I25,IF(U25="OR",1,0))</f>
        <v>1</v>
      </c>
      <c r="J26" s="26" t="n">
        <f aca="false">MAX(J25,IF(U25="HP",1,0))</f>
        <v>0</v>
      </c>
      <c r="K26" s="26" t="n">
        <f aca="false">MAX(K25,IF(U25="FP",1,0))</f>
        <v>0</v>
      </c>
      <c r="L26" s="26" t="n">
        <f aca="false">MAX(L25,IF(U25="transition",1,0))</f>
        <v>0</v>
      </c>
      <c r="M26" s="28" t="n">
        <f aca="false">(Parameters!$B$9+(IF(E26=0,0,(Upgrades!$J$6+E26*Upgrades!$K$6)*POWER(Upgrades!$L$6,E26)))*(IF(Upgrades!$T$7="Solar Wind",POWER(Upgrades!$U$7,F26),1)*IF(Upgrades!$T$8="Solar Wind",POWER(Upgrades!$U$8,G26),1)*IF(Upgrades!$T$9="Solar Wind",POWER(Upgrades!$U$9,H26),1)*IF(Upgrades!$T$10="Solar Wind",POWER(Upgrades!$U$10,I26),1)*IF(Upgrades!$T$11="Solar Wind",POWER(Upgrades!$U$11,J26),1)*IF(Upgrades!$T$12="Solar Wind",POWER(Upgrades!$U$12,K26),1))+(IF(F26=0,0,(Upgrades!$J$7+F26*Upgrades!$K$7)*POWER(Upgrades!$L$7,F26)))*(IF(Upgrades!$T$6="Asteroid Belt",POWER(Upgrades!$U$6,E26),1)*IF(Upgrades!$T$8="Asteroid Belt",POWER(Upgrades!$U$8,G26),1)*IF(Upgrades!$T$9="Asteroid Belt",POWER(Upgrades!$U$9,H26),1)*IF(Upgrades!$T$10="Asteroid Belt",POWER(Upgrades!$U$10,I26),1)*IF(Upgrades!$T$11="Asteroid Belt",POWER(Upgrades!$U$11,J26),1)*IF(Upgrades!$T$12="Asteroid Belt",POWER(Upgrades!$U$12,K26),1))+(IF(G26=0,0,(Upgrades!$J$8+G26*Upgrades!$K$8)*POWER(Upgrades!$L$8,G26)))*(IF(Upgrades!$T$6="Stellar Coupling",POWER(Upgrades!$U$6,E26),1)*IF(Upgrades!$T$7="Stellar Coupling",POWER(Upgrades!$U$7,F26),1)*IF(Upgrades!$T$9="Stellar Coupling",POWER(Upgrades!$U$9,H26),1)*IF(Upgrades!$T$10="Stellar Coupling",POWER(Upgrades!$U$10,I26),1)*IF(Upgrades!$T$11="Stellar Coupling",POWER(Upgrades!$U$11,J26),1)*IF(Upgrades!$T$12="Stellar Coupling",POWER(Upgrades!$U$12,K26),1))+(IF(H26=0,0,(Upgrades!$J$9+H26*Upgrades!$K$9)*POWER(Upgrades!$L$9,H26)))*(IF(Upgrades!$T$6="Magnetosphere",POWER(Upgrades!$U$6,E26),1)*IF(Upgrades!$T$7="Magnetosphere",POWER(Upgrades!$U$7,F26),1)*IF(Upgrades!$T$8="Magnetosphere",POWER(Upgrades!$U$8,G26),1)*IF(Upgrades!$T$10="Magnetosphere",POWER(Upgrades!$U$10,I26),1)*IF(Upgrades!$T$11="Magnetosphere",POWER(Upgrades!$U$11,J26),1)*IF(Upgrades!$T$12="Magnetosphere",POWER(Upgrades!$U$12,K26),1))+(IF(I26=0,0,(Upgrades!$J$10+I26*Upgrades!$K$10)*POWER(Upgrades!$L$10,I26)))*(IF(Upgrades!$T$6="Orbital Resonance",POWER(Upgrades!$U$6,E26),1)*IF(Upgrades!$T$7="Orbital Resonance",POWER(Upgrades!$U$7,F26),1)*IF(Upgrades!$T$8="Orbital Resonance",POWER(Upgrades!$U$8,G26),1)*IF(Upgrades!$T$9="Orbital Resonance",POWER(Upgrades!$U$9,H26),1)*IF(Upgrades!$T$11="Orbital Resonance",POWER(Upgrades!$U$11,J26),1)*IF(Upgrades!$T$12="Orbital Resonance",POWER(Upgrades!$U$12,K26),1))+(IF(J26=0,0,(Upgrades!$J$11+J26*Upgrades!$K$11)*POWER(Upgrades!$L$11,J26)))*(IF(Upgrades!$T$6="Heliopause",POWER(Upgrades!$U$6,E26),1)*IF(Upgrades!$T$7="Heliopause",POWER(Upgrades!$U$7,F26),1)*IF(Upgrades!$T$8="Heliopause",POWER(Upgrades!$U$8,G26),1)*IF(Upgrades!$T$9="Heliopause",POWER(Upgrades!$U$9,H26),1)*IF(Upgrades!$T$10="Heliopause",POWER(Upgrades!$U$10,I26),1)*IF(Upgrades!$T$12="Heliopause",POWER(Upgrades!$U$12,K26),1))+(IF(K26=0,0,(Upgrades!$J$12+K26*Upgrades!$K$12)*POWER(Upgrades!$L$12,K26)))*(IF(Upgrades!$T$6="First Photons",POWER(Upgrades!$U$6,E26),1)*IF(Upgrades!$T$7="First Photons",POWER(Upgrades!$U$7,F26),1)*IF(Upgrades!$T$8="First Photons",POWER(Upgrades!$U$8,G26),1)*IF(Upgrades!$T$9="First Photons",POWER(Upgrades!$U$9,H26),1)*IF(Upgrades!$T$10="First Photons",POWER(Upgrades!$U$10,I26),1)*IF(Upgrades!$T$11="First Photons",POWER(Upgrades!$U$11,J26),1)))*POWER(Upgrades!$Q$6,E26)*POWER(Upgrades!$Q$7,F26)*POWER(Upgrades!$Q$8,G26)*POWER(Upgrades!$Q$9,H26)*POWER(Upgrades!$Q$10,I26)*POWER(Upgrades!$Q$11,J26)*POWER(Upgrades!$Q$12,K26)</f>
        <v>2.75</v>
      </c>
      <c r="N26" s="28" t="n">
        <f aca="false">((IF(E26=0,0,(Upgrades!$G$6+E26*Upgrades!$H$6)*POWER(Upgrades!$I$6,E26)))*(IF(Upgrades!$T$7="Solar Wind",POWER(Upgrades!$U$7,F26),1)*IF(Upgrades!$T$8="Solar Wind",POWER(Upgrades!$U$8,G26),1)*IF(Upgrades!$T$9="Solar Wind",POWER(Upgrades!$U$9,H26),1)*IF(Upgrades!$T$10="Solar Wind",POWER(Upgrades!$U$10,I26),1)*IF(Upgrades!$T$11="Solar Wind",POWER(Upgrades!$U$11,J26),1)*IF(Upgrades!$T$12="Solar Wind",POWER(Upgrades!$U$12,K26),1))+(IF(F26=0,0,(Upgrades!$G$7+F26*Upgrades!$H$7)*POWER(Upgrades!$I$7,F26)))*(IF(Upgrades!$T$6="Asteroid Belt",POWER(Upgrades!$U$6,E26),1)*IF(Upgrades!$T$8="Asteroid Belt",POWER(Upgrades!$U$8,G26),1)*IF(Upgrades!$T$9="Asteroid Belt",POWER(Upgrades!$U$9,H26),1)*IF(Upgrades!$T$10="Asteroid Belt",POWER(Upgrades!$U$10,I26),1)*IF(Upgrades!$T$11="Asteroid Belt",POWER(Upgrades!$U$11,J26),1)*IF(Upgrades!$T$12="Asteroid Belt",POWER(Upgrades!$U$12,K26),1))+(IF(G26=0,0,(Upgrades!$G$8+G26*Upgrades!$H$8)*POWER(Upgrades!$I$8,G26)))*(IF(Upgrades!$T$6="Stellar Coupling",POWER(Upgrades!$U$6,E26),1)*IF(Upgrades!$T$7="Stellar Coupling",POWER(Upgrades!$U$7,F26),1)*IF(Upgrades!$T$9="Stellar Coupling",POWER(Upgrades!$U$9,H26),1)*IF(Upgrades!$T$10="Stellar Coupling",POWER(Upgrades!$U$10,I26),1)*IF(Upgrades!$T$11="Stellar Coupling",POWER(Upgrades!$U$11,J26),1)*IF(Upgrades!$T$12="Stellar Coupling",POWER(Upgrades!$U$12,K26),1))+(IF(H26=0,0,(Upgrades!$G$9+H26*Upgrades!$H$9)*POWER(Upgrades!$I$9,H26)))*(IF(Upgrades!$T$6="Magnetosphere",POWER(Upgrades!$U$6,E26),1)*IF(Upgrades!$T$7="Magnetosphere",POWER(Upgrades!$U$7,F26),1)*IF(Upgrades!$T$8="Magnetosphere",POWER(Upgrades!$U$8,G26),1)*IF(Upgrades!$T$10="Magnetosphere",POWER(Upgrades!$U$10,I26),1)*IF(Upgrades!$T$11="Magnetosphere",POWER(Upgrades!$U$11,J26),1)*IF(Upgrades!$T$12="Magnetosphere",POWER(Upgrades!$U$12,K26),1))+(IF(I26=0,0,(Upgrades!$G$10+I26*Upgrades!$H$10)*POWER(Upgrades!$I$10,I26)))*(IF(Upgrades!$T$6="Orbital Resonance",POWER(Upgrades!$U$6,E26),1)*IF(Upgrades!$T$7="Orbital Resonance",POWER(Upgrades!$U$7,F26),1)*IF(Upgrades!$T$8="Orbital Resonance",POWER(Upgrades!$U$8,G26),1)*IF(Upgrades!$T$9="Orbital Resonance",POWER(Upgrades!$U$9,H26),1)*IF(Upgrades!$T$11="Orbital Resonance",POWER(Upgrades!$U$11,J26),1)*IF(Upgrades!$T$12="Orbital Resonance",POWER(Upgrades!$U$12,K26),1))+(IF(J26=0,0,(Upgrades!$G$11+J26*Upgrades!$H$11)*POWER(Upgrades!$I$11,J26)))*(IF(Upgrades!$T$6="Heliopause",POWER(Upgrades!$U$6,E26),1)*IF(Upgrades!$T$7="Heliopause",POWER(Upgrades!$U$7,F26),1)*IF(Upgrades!$T$8="Heliopause",POWER(Upgrades!$U$8,G26),1)*IF(Upgrades!$T$9="Heliopause",POWER(Upgrades!$U$9,H26),1)*IF(Upgrades!$T$10="Heliopause",POWER(Upgrades!$U$10,I26),1)*IF(Upgrades!$T$12="Heliopause",POWER(Upgrades!$U$12,K26),1))+(IF(K26=0,0,(Upgrades!$G$12+K26*Upgrades!$H$12)*POWER(Upgrades!$I$12,K26)))*(IF(Upgrades!$T$6="First Photons",POWER(Upgrades!$U$6,E26),1)*IF(Upgrades!$T$7="First Photons",POWER(Upgrades!$U$7,F26),1)*IF(Upgrades!$T$8="First Photons",POWER(Upgrades!$U$8,G26),1)*IF(Upgrades!$T$9="First Photons",POWER(Upgrades!$U$9,H26),1)*IF(Upgrades!$T$10="First Photons",POWER(Upgrades!$U$10,I26),1)*IF(Upgrades!$T$11="First Photons",POWER(Upgrades!$U$11,J26),1)))*POWER(Upgrades!$P$6,E26)*POWER(Upgrades!$P$7,F26)*POWER(Upgrades!$P$8,G26)*POWER(Upgrades!$P$9,H26)*POWER(Upgrades!$P$10,I26)*POWER(Upgrades!$P$11,J26)*POWER(Upgrades!$P$12,K26)</f>
        <v>4.35</v>
      </c>
      <c r="O26" s="28" t="n">
        <f aca="false">((IF(E26=0,0,(Upgrades!$M$6+E26*Upgrades!$N$6)*POWER(Upgrades!$O$6,E26)))*(IF(Upgrades!$T$7="Solar Wind",POWER(Upgrades!$U$7,F26),1)*IF(Upgrades!$T$8="Solar Wind",POWER(Upgrades!$U$8,G26),1)*IF(Upgrades!$T$9="Solar Wind",POWER(Upgrades!$U$9,H26),1)*IF(Upgrades!$T$10="Solar Wind",POWER(Upgrades!$U$10,I26),1)*IF(Upgrades!$T$11="Solar Wind",POWER(Upgrades!$U$11,J26),1)*IF(Upgrades!$T$12="Solar Wind",POWER(Upgrades!$U$12,K26),1))+(IF(F26=0,0,(Upgrades!$M$7+F26*Upgrades!$N$7)*POWER(Upgrades!$O$7,F26)))*(IF(Upgrades!$T$6="Asteroid Belt",POWER(Upgrades!$U$6,E26),1)*IF(Upgrades!$T$8="Asteroid Belt",POWER(Upgrades!$U$8,G26),1)*IF(Upgrades!$T$9="Asteroid Belt",POWER(Upgrades!$U$9,H26),1)*IF(Upgrades!$T$10="Asteroid Belt",POWER(Upgrades!$U$10,I26),1)*IF(Upgrades!$T$11="Asteroid Belt",POWER(Upgrades!$U$11,J26),1)*IF(Upgrades!$T$12="Asteroid Belt",POWER(Upgrades!$U$12,K26),1))+(IF(G26=0,0,(Upgrades!$M$8+G26*Upgrades!$N$8)*POWER(Upgrades!$O$8,G26)))*(IF(Upgrades!$T$6="Stellar Coupling",POWER(Upgrades!$U$6,E26),1)*IF(Upgrades!$T$7="Stellar Coupling",POWER(Upgrades!$U$7,F26),1)*IF(Upgrades!$T$9="Stellar Coupling",POWER(Upgrades!$U$9,H26),1)*IF(Upgrades!$T$10="Stellar Coupling",POWER(Upgrades!$U$10,I26),1)*IF(Upgrades!$T$11="Stellar Coupling",POWER(Upgrades!$U$11,J26),1)*IF(Upgrades!$T$12="Stellar Coupling",POWER(Upgrades!$U$12,K26),1))+(IF(H26=0,0,(Upgrades!$M$9+H26*Upgrades!$N$9)*POWER(Upgrades!$O$9,H26)))*(IF(Upgrades!$T$6="Magnetosphere",POWER(Upgrades!$U$6,E26),1)*IF(Upgrades!$T$7="Magnetosphere",POWER(Upgrades!$U$7,F26),1)*IF(Upgrades!$T$8="Magnetosphere",POWER(Upgrades!$U$8,G26),1)*IF(Upgrades!$T$10="Magnetosphere",POWER(Upgrades!$U$10,I26),1)*IF(Upgrades!$T$11="Magnetosphere",POWER(Upgrades!$U$11,J26),1)*IF(Upgrades!$T$12="Magnetosphere",POWER(Upgrades!$U$12,K26),1))+(IF(I26=0,0,(Upgrades!$M$10+I26*Upgrades!$N$10)*POWER(Upgrades!$O$10,I26)))*(IF(Upgrades!$T$6="Orbital Resonance",POWER(Upgrades!$U$6,E26),1)*IF(Upgrades!$T$7="Orbital Resonance",POWER(Upgrades!$U$7,F26),1)*IF(Upgrades!$T$8="Orbital Resonance",POWER(Upgrades!$U$8,G26),1)*IF(Upgrades!$T$9="Orbital Resonance",POWER(Upgrades!$U$9,H26),1)*IF(Upgrades!$T$11="Orbital Resonance",POWER(Upgrades!$U$11,J26),1)*IF(Upgrades!$T$12="Orbital Resonance",POWER(Upgrades!$U$12,K26),1))+(IF(J26=0,0,(Upgrades!$M$11+J26*Upgrades!$N$11)*POWER(Upgrades!$O$11,J26)))*(IF(Upgrades!$T$6="Heliopause",POWER(Upgrades!$U$6,E26),1)*IF(Upgrades!$T$7="Heliopause",POWER(Upgrades!$U$7,F26),1)*IF(Upgrades!$T$8="Heliopause",POWER(Upgrades!$U$8,G26),1)*IF(Upgrades!$T$9="Heliopause",POWER(Upgrades!$U$9,H26),1)*IF(Upgrades!$T$10="Heliopause",POWER(Upgrades!$U$10,I26),1)*IF(Upgrades!$T$12="Heliopause",POWER(Upgrades!$U$12,K26),1))+(IF(K26=0,0,(Upgrades!$M$12+K26*Upgrades!$N$12)*POWER(Upgrades!$O$12,K26)))*(IF(Upgrades!$T$6="First Photons",POWER(Upgrades!$U$6,E26),1)*IF(Upgrades!$T$7="First Photons",POWER(Upgrades!$U$7,F26),1)*IF(Upgrades!$T$8="First Photons",POWER(Upgrades!$U$8,G26),1)*IF(Upgrades!$T$9="First Photons",POWER(Upgrades!$U$9,H26),1)*IF(Upgrades!$T$10="First Photons",POWER(Upgrades!$U$10,I26),1)*IF(Upgrades!$T$11="First Photons",POWER(Upgrades!$U$11,J26),1)))*POWER(Upgrades!$R$6,E26)*POWER(Upgrades!$R$7,F26)*POWER(Upgrades!$R$8,G26)*POWER(Upgrades!$R$9,H26)*POWER(Upgrades!$R$10,I26)*POWER(Upgrades!$R$11,J26)*POWER(Upgrades!$R$12,K26)</f>
        <v>0</v>
      </c>
      <c r="P26" s="27" t="n">
        <f aca="false">IF(L26=1,0,M26*Parameters!$B$10/60*Parameters!$B$11*10)</f>
        <v>45.8333333333333</v>
      </c>
      <c r="Q26" s="27" t="n">
        <f aca="false">IF(L26=1,0,O26*M26*10)</f>
        <v>0</v>
      </c>
      <c r="R26" s="27" t="n">
        <f aca="false">IF(L26=1,0,N26*10)</f>
        <v>43.5</v>
      </c>
      <c r="S26" s="27" t="n">
        <f aca="false">P26+Q26+R26</f>
        <v>89.3333333333333</v>
      </c>
      <c r="T26" s="21" t="n">
        <f aca="false">C26+S26</f>
        <v>148.439672604167</v>
      </c>
      <c r="U26" s="34" t="str">
        <f aca="false">AX26</f>
        <v>AB</v>
      </c>
      <c r="V26" s="21" t="n">
        <f aca="false">IF(U26="",0,IF(U26="transition",0,IF(U26="SW",AG26,IF(U26="AB",AH26,IF(U26="SC",AI26,IF(U26="Mag",AJ26,IF(U26="OR",AK26,IF(U26="HP",AL26,IF(U26="FP",AM26,0)))))))))</f>
        <v>40.22714375</v>
      </c>
      <c r="W26" s="27" t="n">
        <f aca="false">IF(U26="OR",Upgrades!$F$10,IF(U26="HP",Upgrades!$F$11,IF(U26="transition",-Parameters!$B$18,0)))</f>
        <v>0</v>
      </c>
      <c r="X26" s="21" t="n">
        <f aca="false">T26-V26</f>
        <v>108.212528854167</v>
      </c>
      <c r="Y26" s="30" t="n">
        <f aca="false">M26*Parameters!$B$10/60*Parameters!$B$11+O26*M26+N26</f>
        <v>8.93333333333333</v>
      </c>
      <c r="Z26" s="35" t="str">
        <f aca="false">IF(U26="transition","→ Tier 2 (Stellar Neighborhood)",IF(U26="FP","First Photons — light begins, system quickens",IF(U26="HP","Heliopause acquired",IF(U26="OR","Orbital Resonance — passive multiplier active",IF(AND(AO26=1,L26=0,AN26&lt;&gt;1),"Cohesion ready (waiting on completionist upgrades)","")))))</f>
        <v/>
      </c>
      <c r="AA26" s="27" t="n">
        <f aca="false">(IF(E26=0,0,(Upgrades!$G$6+E26*Upgrades!$H$6)*POWER(Upgrades!$I$6,E26)))*(IF(Upgrades!$T$7="Solar Wind",POWER(Upgrades!$U$7,F26),1)*IF(Upgrades!$T$8="Solar Wind",POWER(Upgrades!$U$8,G26),1)*IF(Upgrades!$T$9="Solar Wind",POWER(Upgrades!$U$9,H26),1)*IF(Upgrades!$T$10="Solar Wind",POWER(Upgrades!$U$10,I26),1)*IF(Upgrades!$T$11="Solar Wind",POWER(Upgrades!$U$11,J26),1)*IF(Upgrades!$T$12="Solar Wind",POWER(Upgrades!$U$12,K26),1))*POWER(Upgrades!$P$6,E26)*POWER(Upgrades!$P$7,F26)*POWER(Upgrades!$P$8,G26)*POWER(Upgrades!$P$9,H26)*POWER(Upgrades!$P$10,I26)*POWER(Upgrades!$P$11,J26)*POWER(Upgrades!$P$12,K26)*60</f>
        <v>36</v>
      </c>
      <c r="AB26" s="27" t="n">
        <f aca="false">(IF(F26=0,0,(Upgrades!$G$7+F26*Upgrades!$H$7)*POWER(Upgrades!$I$7,F26)))*(IF(Upgrades!$T$6="Asteroid Belt",POWER(Upgrades!$U$6,E26),1)*IF(Upgrades!$T$8="Asteroid Belt",POWER(Upgrades!$U$8,G26),1)*IF(Upgrades!$T$9="Asteroid Belt",POWER(Upgrades!$U$9,H26),1)*IF(Upgrades!$T$10="Asteroid Belt",POWER(Upgrades!$U$10,I26),1)*IF(Upgrades!$T$11="Asteroid Belt",POWER(Upgrades!$U$11,J26),1)*IF(Upgrades!$T$12="Asteroid Belt",POWER(Upgrades!$U$12,K26),1))*POWER(Upgrades!$P$6,E26)*POWER(Upgrades!$P$7,F26)*POWER(Upgrades!$P$8,G26)*POWER(Upgrades!$P$9,H26)*POWER(Upgrades!$P$10,I26)*POWER(Upgrades!$P$11,J26)*POWER(Upgrades!$P$12,K26)*60</f>
        <v>75</v>
      </c>
      <c r="AC26" s="27" t="n">
        <f aca="false">(IF(G26=0,0,(Upgrades!$J$8+G26*Upgrades!$K$8)*POWER(Upgrades!$L$8,G26)))*(IF(Upgrades!$T$6="Stellar Coupling",POWER(Upgrades!$U$6,E26),1)*IF(Upgrades!$T$7="Stellar Coupling",POWER(Upgrades!$U$7,F26),1)*IF(Upgrades!$T$9="Stellar Coupling",POWER(Upgrades!$U$9,H26),1)*IF(Upgrades!$T$10="Stellar Coupling",POWER(Upgrades!$U$10,I26),1)*IF(Upgrades!$T$11="Stellar Coupling",POWER(Upgrades!$U$11,J26),1)*IF(Upgrades!$T$12="Stellar Coupling",POWER(Upgrades!$U$12,K26),1))*POWER(Upgrades!$Q$6,E26)*POWER(Upgrades!$Q$7,F26)*POWER(Upgrades!$Q$8,G26)*POWER(Upgrades!$Q$9,H26)*POWER(Upgrades!$Q$10,I26)*POWER(Upgrades!$Q$11,J26)*POWER(Upgrades!$Q$12,K26)*Parameters!$B$10*Parameters!$B$11</f>
        <v>175</v>
      </c>
      <c r="AD26" s="27" t="n">
        <f aca="false">(IF(H26=0,0,(Upgrades!$G$9+H26*Upgrades!$H$9)*POWER(Upgrades!$I$9,H26)))*(IF(Upgrades!$T$6="Magnetosphere",POWER(Upgrades!$U$6,E26),1)*IF(Upgrades!$T$7="Magnetosphere",POWER(Upgrades!$U$7,F26),1)*IF(Upgrades!$T$8="Magnetosphere",POWER(Upgrades!$U$8,G26),1)*IF(Upgrades!$T$10="Magnetosphere",POWER(Upgrades!$U$10,I26),1)*IF(Upgrades!$T$11="Magnetosphere",POWER(Upgrades!$U$11,J26),1)*IF(Upgrades!$T$12="Magnetosphere",POWER(Upgrades!$U$12,K26),1))*POWER(Upgrades!$P$6,E26)*POWER(Upgrades!$P$7,F26)*POWER(Upgrades!$P$8,G26)*POWER(Upgrades!$P$9,H26)*POWER(Upgrades!$P$10,I26)*POWER(Upgrades!$P$11,J26)*POWER(Upgrades!$P$12,K26)*60</f>
        <v>150</v>
      </c>
      <c r="AE26" s="27" t="n">
        <f aca="false">(IF(K26=0,0,(Upgrades!$G$12+K26*Upgrades!$H$12)*POWER(Upgrades!$I$12,K26)))*(IF(Upgrades!$T$6="First Photons",POWER(Upgrades!$U$6,E26),1)*IF(Upgrades!$T$7="First Photons",POWER(Upgrades!$U$7,F26),1)*IF(Upgrades!$T$8="First Photons",POWER(Upgrades!$U$8,G26),1)*IF(Upgrades!$T$9="First Photons",POWER(Upgrades!$U$9,H26),1)*IF(Upgrades!$T$10="First Photons",POWER(Upgrades!$U$10,I26),1)*IF(Upgrades!$T$11="First Photons",POWER(Upgrades!$U$11,J26),1))*POWER(Upgrades!$P$6,E26)*POWER(Upgrades!$P$7,F26)*POWER(Upgrades!$P$8,G26)*POWER(Upgrades!$P$9,H26)*POWER(Upgrades!$P$10,I26)*POWER(Upgrades!$P$11,J26)*POWER(Upgrades!$P$12,K26)*60</f>
        <v>0</v>
      </c>
      <c r="AF26" s="27" t="n">
        <f aca="false">Parameters!$B$9*POWER(Upgrades!$Q$6,E26)*POWER(Upgrades!$Q$7,F26)*POWER(Upgrades!$Q$8,G26)*POWER(Upgrades!$Q$9,H26)*POWER(Upgrades!$Q$10,I26)*POWER(Upgrades!$Q$11,J26)*POWER(Upgrades!$Q$12,K26)*(Parameters!$B$10*Parameters!$B$11+O26*60)</f>
        <v>100</v>
      </c>
      <c r="AG26" s="21" t="n">
        <f aca="false">IF(E26&gt;=Upgrades!$E$6,"",Upgrades!$C$6*POWER(Upgrades!$D$6,E26))</f>
        <v>16.191425359375</v>
      </c>
      <c r="AH26" s="21" t="n">
        <f aca="false">IF(F26&gt;=Upgrades!$E$7,"",Upgrades!$C$7*POWER(Upgrades!$D$7,F26))</f>
        <v>40.22714375</v>
      </c>
      <c r="AI26" s="21" t="n">
        <f aca="false">IF(G26&gt;=Upgrades!$E$8,"",Upgrades!$C$8*POWER(Upgrades!$D$8,G26))</f>
        <v>118.32128</v>
      </c>
      <c r="AJ26" s="21" t="n">
        <f aca="false">IF(H26&gt;=Upgrades!$E$9,"",Upgrades!$C$9*POWER(Upgrades!$D$9,H26))</f>
        <v>320</v>
      </c>
      <c r="AK26" s="21" t="str">
        <f aca="false">IF(I26&gt;=Upgrades!$E$10,"",Upgrades!$C$10*POWER(Upgrades!$D$10,I26))</f>
        <v/>
      </c>
      <c r="AL26" s="21" t="n">
        <f aca="false">IF(J26&gt;=Upgrades!$E$11,"",Upgrades!$C$11*POWER(Upgrades!$D$11,J26))</f>
        <v>575</v>
      </c>
      <c r="AM26" s="21" t="n">
        <f aca="false">IF(K26&gt;=Upgrades!$E$12,"",Upgrades!$C$12*POWER(Upgrades!$D$12,K26))</f>
        <v>850</v>
      </c>
      <c r="AN26" s="26" t="str">
        <f aca="false">IF(AND(D26&gt;=Parameters!$B$18,(H26&gt;=Upgrades!$E$9)*(K26&gt;=Upgrades!$E$12)=1,L26=0),1,"")</f>
        <v/>
      </c>
      <c r="AO26" s="26" t="str">
        <f aca="false">IF(AND(D26&gt;=Parameters!$B$18,L26=0),1,"")</f>
        <v/>
      </c>
      <c r="AP26" s="21" t="n">
        <f aca="false">MIN(IF(ISNUMBER(AK26),AK26,9000000000000000),IF(ISNUMBER(AL26),AL26,9000000000000000),IF(ISNUMBER(AM26),AM26,9000000000000000))</f>
        <v>575</v>
      </c>
      <c r="AQ26" s="21" t="n">
        <f aca="false">MIN(IF(ISNUMBER(AG26),AG26,9000000000000000),IF(ISNUMBER(AH26),AH26,9000000000000000),IF(ISNUMBER(AI26),AI26,9000000000000000),IF(ISNUMBER(AJ26),AJ26,9000000000000000))</f>
        <v>16.191425359375</v>
      </c>
      <c r="AR26" s="32" t="b">
        <f aca="false">IF(AW26&gt;Parameters!$B$21*(MAX(IF(AND(NOT(AND(AO26=1,AN26&lt;&gt;1)),ISNUMBER(AG26),AG26&lt;=T26),AS26,0),IF(AND(NOT(AND(AO26=1,AN26&lt;&gt;1)),ISNUMBER(AH26),AH26&lt;=T26),AT26,0),IF(AND(NOT(AND(AO26=1,AN26&lt;&gt;1)),ISNUMBER(AI26),AI26&lt;=T26),AU26,0),IF(AND(ISNUMBER(AJ26),AJ26&lt;=T26),AV26,0))),TRUE(),FALSE())</f>
        <v>0</v>
      </c>
      <c r="AS26" s="33" t="n">
        <f aca="false">IFERROR(Upgrades!$H$6*(POWER(Upgrades!$P$6,E26)*POWER(Upgrades!$P$7,F26)*POWER(Upgrades!$P$8,G26)*POWER(Upgrades!$P$9,H26)*POWER(Upgrades!$P$10,I26)*POWER(Upgrades!$P$11,J26)*POWER(Upgrades!$P$12,K26))*(IF(Upgrades!$T$7="Solar Wind",POWER(Upgrades!$U$7,F26),1)*IF(Upgrades!$T$8="Solar Wind",POWER(Upgrades!$U$8,G26),1)*IF(Upgrades!$T$9="Solar Wind",POWER(Upgrades!$U$9,H26),1)*IF(Upgrades!$T$10="Solar Wind",POWER(Upgrades!$U$10,I26),1)*IF(Upgrades!$T$11="Solar Wind",POWER(Upgrades!$U$11,J26),1)*IF(Upgrades!$T$12="Solar Wind",POWER(Upgrades!$U$12,K26),1))/AG26,0)</f>
        <v>0.00617610851302224</v>
      </c>
      <c r="AT26" s="33" t="n">
        <f aca="false">IFERROR(Upgrades!$H$7*(POWER(Upgrades!$P$6,E26)*POWER(Upgrades!$P$7,F26)*POWER(Upgrades!$P$8,G26)*POWER(Upgrades!$P$9,H26)*POWER(Upgrades!$P$10,I26)*POWER(Upgrades!$P$11,J26)*POWER(Upgrades!$P$12,K26))*(IF(Upgrades!$T$6="Asteroid Belt",POWER(Upgrades!$U$6,E26),1)*IF(Upgrades!$T$8="Asteroid Belt",POWER(Upgrades!$U$8,G26),1)*IF(Upgrades!$T$9="Asteroid Belt",POWER(Upgrades!$U$9,H26),1)*IF(Upgrades!$T$10="Asteroid Belt",POWER(Upgrades!$U$10,I26),1)*IF(Upgrades!$T$11="Asteroid Belt",POWER(Upgrades!$U$11,J26),1)*IF(Upgrades!$T$12="Asteroid Belt",POWER(Upgrades!$U$12,K26),1))/AH26,0)</f>
        <v>0.00621470919122862</v>
      </c>
      <c r="AU26" s="33" t="n">
        <f aca="false">IFERROR(Upgrades!$K$8*(POWER(Upgrades!$Q$6,E26)*POWER(Upgrades!$Q$7,F26)*POWER(Upgrades!$Q$8,G26)*POWER(Upgrades!$Q$9,H26)*POWER(Upgrades!$Q$10,I26)*POWER(Upgrades!$Q$11,J26)*POWER(Upgrades!$Q$12,K26))*(IF(Upgrades!$T$6="Stellar Coupling",POWER(Upgrades!$U$6,E26),1)*IF(Upgrades!$T$7="Stellar Coupling",POWER(Upgrades!$U$7,F26),1)*IF(Upgrades!$T$9="Stellar Coupling",POWER(Upgrades!$U$9,H26),1)*IF(Upgrades!$T$10="Stellar Coupling",POWER(Upgrades!$U$10,I26),1)*IF(Upgrades!$T$11="Stellar Coupling",POWER(Upgrades!$U$11,J26),1)*IF(Upgrades!$T$12="Stellar Coupling",POWER(Upgrades!$U$12,K26),1))*Parameters!$B$10*Parameters!$B$11/60/AI26,0)</f>
        <v>0.00493007963853445</v>
      </c>
      <c r="AV26" s="33" t="n">
        <f aca="false">IFERROR(Upgrades!$H$9*(POWER(Upgrades!$P$6,E26)*POWER(Upgrades!$P$7,F26)*POWER(Upgrades!$P$8,G26)*POWER(Upgrades!$P$9,H26)*POWER(Upgrades!$P$10,I26)*POWER(Upgrades!$P$11,J26)*POWER(Upgrades!$P$12,K26))*(IF(Upgrades!$T$6="Magnetosphere",POWER(Upgrades!$U$6,E26),1)*IF(Upgrades!$T$7="Magnetosphere",POWER(Upgrades!$U$7,F26),1)*IF(Upgrades!$T$8="Magnetosphere",POWER(Upgrades!$U$8,G26),1)*IF(Upgrades!$T$10="Magnetosphere",POWER(Upgrades!$U$10,I26),1)*IF(Upgrades!$T$11="Magnetosphere",POWER(Upgrades!$U$11,J26),1)*IF(Upgrades!$T$12="Magnetosphere",POWER(Upgrades!$U$12,K26),1))/AJ26,0)</f>
        <v>0.00390625</v>
      </c>
      <c r="AW26" s="33" t="n">
        <f aca="false">MAX(IF(I26&gt;0,0,IFERROR(0.25*N26/Upgrades!$C$10,0)),IF(J26&gt;0,0,IFERROR(0.5*((IF(G26=0,0,(Upgrades!$J$8+G26*Upgrades!$K$8)*POWER(Upgrades!$L$8,G26)))*(IF(Upgrades!$T$6="Stellar Coupling",POWER(Upgrades!$U$6,E26),1)*IF(Upgrades!$T$7="Stellar Coupling",POWER(Upgrades!$U$7,F26),1)*IF(Upgrades!$T$9="Stellar Coupling",POWER(Upgrades!$U$9,H26),1)*IF(Upgrades!$T$10="Stellar Coupling",POWER(Upgrades!$U$10,I26),1)*IF(Upgrades!$T$11="Stellar Coupling",POWER(Upgrades!$U$11,J26),1)*IF(Upgrades!$T$12="Stellar Coupling",POWER(Upgrades!$U$12,K26),1))*(POWER(Upgrades!$Q$6,E26)*POWER(Upgrades!$Q$7,F26)*POWER(Upgrades!$Q$8,G26)*POWER(Upgrades!$Q$9,H26)*POWER(Upgrades!$Q$10,I26)*POWER(Upgrades!$Q$11,J26)*POWER(Upgrades!$Q$12,K26))*Parameters!$B$10*Parameters!$B$11/60)/Upgrades!$C$11,0)),IF(K26&gt;0,0,IFERROR((1*(POWER(Upgrades!$P$6,E26)*POWER(Upgrades!$P$7,F26)*POWER(Upgrades!$P$8,G26)*POWER(Upgrades!$P$9,H26)*POWER(Upgrades!$P$10,I26)*POWER(Upgrades!$P$11,J26)*POWER(Upgrades!$P$12,K26))+0.2*M26*Parameters!$B$10*Parameters!$B$11/60)/Upgrades!$C$12,0)),IF(AND(ISNUMBER(AG26),AG26&gt;T26),AS26,0),IF(AND(ISNUMBER(AH26),AH26&gt;T26),AT26,0),IF(AND(ISNUMBER(AI26),AI26&gt;T26),AU26,0),IF(AND(ISNUMBER(AJ26),AJ26&gt;T26),AV26,0))</f>
        <v>0.00390625</v>
      </c>
      <c r="AX26" s="29" t="str">
        <f aca="false">IF(AN26=1,"transition",IF(MIN(IF(AND(I26=0,ISNUMBER(AK26),AK26&lt;=T26),AK26,9000000000000000),IF(AND(J26=0,ISNUMBER(AL26),AL26&lt;=T26),AL26,9000000000000000),IF(AND(K26=0,ISNUMBER(AM26),AM26&lt;=T26),AM26,9000000000000000))&lt;9000000000000000,IF(AND(AND(I26=0,ISNUMBER(AK26),AK26&lt;=T26),AK26=MIN(IF(AND(I26=0,ISNUMBER(AK26),AK26&lt;=T26),AK26,9000000000000000),IF(AND(J26=0,ISNUMBER(AL26),AL26&lt;=T26),AL26,9000000000000000),IF(AND(K26=0,ISNUMBER(AM26),AM26&lt;=T26),AM26,9000000000000000))),"OR",IF(AND(AND(J26=0,ISNUMBER(AL26),AL26&lt;=T26),AL26=MIN(IF(AND(I26=0,ISNUMBER(AK26),AK26&lt;=T26),AK26,9000000000000000),IF(AND(J26=0,ISNUMBER(AL26),AL26&lt;=T26),AL26,9000000000000000),IF(AND(K26=0,ISNUMBER(AM26),AM26&lt;=T26),AM26,9000000000000000))),"HP","FP")),IF(AR26=TRUE(),"",IF(MAX(IF(AND(NOT(AND(AO26=1,AN26&lt;&gt;1)),ISNUMBER(AG26),AG26&lt;=T26),AS26,0),IF(AND(NOT(AND(AO26=1,AN26&lt;&gt;1)),ISNUMBER(AH26),AH26&lt;=T26),AT26,0),IF(AND(NOT(AND(AO26=1,AN26&lt;&gt;1)),ISNUMBER(AI26),AI26&lt;=T26),AU26,0),IF(AND(ISNUMBER(AJ26),AJ26&lt;=T26),AV26,0))&lt;=0,"",IF(AND(IF(AND(NOT(AND(AO26=1,AN26&lt;&gt;1)),ISNUMBER(AG26),AG26&lt;=T26),AS26,0)&gt;0,IF(AND(NOT(AND(AO26=1,AN26&lt;&gt;1)),ISNUMBER(AG26),AG26&lt;=T26),AS26,0)=MAX(IF(AND(NOT(AND(AO26=1,AN26&lt;&gt;1)),ISNUMBER(AG26),AG26&lt;=T26),AS26,0),IF(AND(NOT(AND(AO26=1,AN26&lt;&gt;1)),ISNUMBER(AH26),AH26&lt;=T26),AT26,0),IF(AND(NOT(AND(AO26=1,AN26&lt;&gt;1)),ISNUMBER(AI26),AI26&lt;=T26),AU26,0),IF(AND(ISNUMBER(AJ26),AJ26&lt;=T26),AV26,0))),"SW",IF(AND(IF(AND(NOT(AND(AO26=1,AN26&lt;&gt;1)),ISNUMBER(AH26),AH26&lt;=T26),AT26,0)&gt;0,IF(AND(NOT(AND(AO26=1,AN26&lt;&gt;1)),ISNUMBER(AH26),AH26&lt;=T26),AT26,0)=MAX(IF(AND(NOT(AND(AO26=1,AN26&lt;&gt;1)),ISNUMBER(AG26),AG26&lt;=T26),AS26,0),IF(AND(NOT(AND(AO26=1,AN26&lt;&gt;1)),ISNUMBER(AH26),AH26&lt;=T26),AT26,0),IF(AND(NOT(AND(AO26=1,AN26&lt;&gt;1)),ISNUMBER(AI26),AI26&lt;=T26),AU26,0),IF(AND(ISNUMBER(AJ26),AJ26&lt;=T26),AV26,0))),"AB",IF(AND(IF(AND(NOT(AND(AO26=1,AN26&lt;&gt;1)),ISNUMBER(AI26),AI26&lt;=T26),AU26,0)&gt;0,IF(AND(NOT(AND(AO26=1,AN26&lt;&gt;1)),ISNUMBER(AI26),AI26&lt;=T26),AU26,0)=MAX(IF(AND(NOT(AND(AO26=1,AN26&lt;&gt;1)),ISNUMBER(AG26),AG26&lt;=T26),AS26,0),IF(AND(NOT(AND(AO26=1,AN26&lt;&gt;1)),ISNUMBER(AH26),AH26&lt;=T26),AT26,0),IF(AND(NOT(AND(AO26=1,AN26&lt;&gt;1)),ISNUMBER(AI26),AI26&lt;=T26),AU26,0),IF(AND(ISNUMBER(AJ26),AJ26&lt;=T26),AV26,0))),"SC","Mag")))))))</f>
        <v>AB</v>
      </c>
    </row>
    <row r="27" customFormat="false" ht="15" hidden="false" customHeight="false" outlineLevel="0" collapsed="false">
      <c r="A27" s="26" t="n">
        <v>22</v>
      </c>
      <c r="B27" s="27" t="n">
        <f aca="false">A27*10/60</f>
        <v>3.66666666666667</v>
      </c>
      <c r="C27" s="21" t="n">
        <f aca="false">X26</f>
        <v>108.212528854167</v>
      </c>
      <c r="D27" s="27" t="n">
        <f aca="false">D26+W26</f>
        <v>0.4</v>
      </c>
      <c r="E27" s="26" t="n">
        <f aca="false">E26+IF(U26="SW",1,0)</f>
        <v>6</v>
      </c>
      <c r="F27" s="26" t="n">
        <f aca="false">F26+IF(U26="AB",1,0)</f>
        <v>6</v>
      </c>
      <c r="G27" s="26" t="n">
        <f aca="false">G26+IF(U26="SC",1,0)</f>
        <v>5</v>
      </c>
      <c r="H27" s="26" t="n">
        <f aca="false">H26+IF(U26="Mag",1,0)</f>
        <v>2</v>
      </c>
      <c r="I27" s="26" t="n">
        <f aca="false">MAX(I26,IF(U26="OR",1,0))</f>
        <v>1</v>
      </c>
      <c r="J27" s="26" t="n">
        <f aca="false">MAX(J26,IF(U26="HP",1,0))</f>
        <v>0</v>
      </c>
      <c r="K27" s="26" t="n">
        <f aca="false">MAX(K26,IF(U26="FP",1,0))</f>
        <v>0</v>
      </c>
      <c r="L27" s="26" t="n">
        <f aca="false">MAX(L26,IF(U26="transition",1,0))</f>
        <v>0</v>
      </c>
      <c r="M27" s="28" t="n">
        <f aca="false">(Parameters!$B$9+(IF(E27=0,0,(Upgrades!$J$6+E27*Upgrades!$K$6)*POWER(Upgrades!$L$6,E27)))*(IF(Upgrades!$T$7="Solar Wind",POWER(Upgrades!$U$7,F27),1)*IF(Upgrades!$T$8="Solar Wind",POWER(Upgrades!$U$8,G27),1)*IF(Upgrades!$T$9="Solar Wind",POWER(Upgrades!$U$9,H27),1)*IF(Upgrades!$T$10="Solar Wind",POWER(Upgrades!$U$10,I27),1)*IF(Upgrades!$T$11="Solar Wind",POWER(Upgrades!$U$11,J27),1)*IF(Upgrades!$T$12="Solar Wind",POWER(Upgrades!$U$12,K27),1))+(IF(F27=0,0,(Upgrades!$J$7+F27*Upgrades!$K$7)*POWER(Upgrades!$L$7,F27)))*(IF(Upgrades!$T$6="Asteroid Belt",POWER(Upgrades!$U$6,E27),1)*IF(Upgrades!$T$8="Asteroid Belt",POWER(Upgrades!$U$8,G27),1)*IF(Upgrades!$T$9="Asteroid Belt",POWER(Upgrades!$U$9,H27),1)*IF(Upgrades!$T$10="Asteroid Belt",POWER(Upgrades!$U$10,I27),1)*IF(Upgrades!$T$11="Asteroid Belt",POWER(Upgrades!$U$11,J27),1)*IF(Upgrades!$T$12="Asteroid Belt",POWER(Upgrades!$U$12,K27),1))+(IF(G27=0,0,(Upgrades!$J$8+G27*Upgrades!$K$8)*POWER(Upgrades!$L$8,G27)))*(IF(Upgrades!$T$6="Stellar Coupling",POWER(Upgrades!$U$6,E27),1)*IF(Upgrades!$T$7="Stellar Coupling",POWER(Upgrades!$U$7,F27),1)*IF(Upgrades!$T$9="Stellar Coupling",POWER(Upgrades!$U$9,H27),1)*IF(Upgrades!$T$10="Stellar Coupling",POWER(Upgrades!$U$10,I27),1)*IF(Upgrades!$T$11="Stellar Coupling",POWER(Upgrades!$U$11,J27),1)*IF(Upgrades!$T$12="Stellar Coupling",POWER(Upgrades!$U$12,K27),1))+(IF(H27=0,0,(Upgrades!$J$9+H27*Upgrades!$K$9)*POWER(Upgrades!$L$9,H27)))*(IF(Upgrades!$T$6="Magnetosphere",POWER(Upgrades!$U$6,E27),1)*IF(Upgrades!$T$7="Magnetosphere",POWER(Upgrades!$U$7,F27),1)*IF(Upgrades!$T$8="Magnetosphere",POWER(Upgrades!$U$8,G27),1)*IF(Upgrades!$T$10="Magnetosphere",POWER(Upgrades!$U$10,I27),1)*IF(Upgrades!$T$11="Magnetosphere",POWER(Upgrades!$U$11,J27),1)*IF(Upgrades!$T$12="Magnetosphere",POWER(Upgrades!$U$12,K27),1))+(IF(I27=0,0,(Upgrades!$J$10+I27*Upgrades!$K$10)*POWER(Upgrades!$L$10,I27)))*(IF(Upgrades!$T$6="Orbital Resonance",POWER(Upgrades!$U$6,E27),1)*IF(Upgrades!$T$7="Orbital Resonance",POWER(Upgrades!$U$7,F27),1)*IF(Upgrades!$T$8="Orbital Resonance",POWER(Upgrades!$U$8,G27),1)*IF(Upgrades!$T$9="Orbital Resonance",POWER(Upgrades!$U$9,H27),1)*IF(Upgrades!$T$11="Orbital Resonance",POWER(Upgrades!$U$11,J27),1)*IF(Upgrades!$T$12="Orbital Resonance",POWER(Upgrades!$U$12,K27),1))+(IF(J27=0,0,(Upgrades!$J$11+J27*Upgrades!$K$11)*POWER(Upgrades!$L$11,J27)))*(IF(Upgrades!$T$6="Heliopause",POWER(Upgrades!$U$6,E27),1)*IF(Upgrades!$T$7="Heliopause",POWER(Upgrades!$U$7,F27),1)*IF(Upgrades!$T$8="Heliopause",POWER(Upgrades!$U$8,G27),1)*IF(Upgrades!$T$9="Heliopause",POWER(Upgrades!$U$9,H27),1)*IF(Upgrades!$T$10="Heliopause",POWER(Upgrades!$U$10,I27),1)*IF(Upgrades!$T$12="Heliopause",POWER(Upgrades!$U$12,K27),1))+(IF(K27=0,0,(Upgrades!$J$12+K27*Upgrades!$K$12)*POWER(Upgrades!$L$12,K27)))*(IF(Upgrades!$T$6="First Photons",POWER(Upgrades!$U$6,E27),1)*IF(Upgrades!$T$7="First Photons",POWER(Upgrades!$U$7,F27),1)*IF(Upgrades!$T$8="First Photons",POWER(Upgrades!$U$8,G27),1)*IF(Upgrades!$T$9="First Photons",POWER(Upgrades!$U$9,H27),1)*IF(Upgrades!$T$10="First Photons",POWER(Upgrades!$U$10,I27),1)*IF(Upgrades!$T$11="First Photons",POWER(Upgrades!$U$11,J27),1)))*POWER(Upgrades!$Q$6,E27)*POWER(Upgrades!$Q$7,F27)*POWER(Upgrades!$Q$8,G27)*POWER(Upgrades!$Q$9,H27)*POWER(Upgrades!$Q$10,I27)*POWER(Upgrades!$Q$11,J27)*POWER(Upgrades!$Q$12,K27)</f>
        <v>2.75</v>
      </c>
      <c r="N27" s="28" t="n">
        <f aca="false">((IF(E27=0,0,(Upgrades!$G$6+E27*Upgrades!$H$6)*POWER(Upgrades!$I$6,E27)))*(IF(Upgrades!$T$7="Solar Wind",POWER(Upgrades!$U$7,F27),1)*IF(Upgrades!$T$8="Solar Wind",POWER(Upgrades!$U$8,G27),1)*IF(Upgrades!$T$9="Solar Wind",POWER(Upgrades!$U$9,H27),1)*IF(Upgrades!$T$10="Solar Wind",POWER(Upgrades!$U$10,I27),1)*IF(Upgrades!$T$11="Solar Wind",POWER(Upgrades!$U$11,J27),1)*IF(Upgrades!$T$12="Solar Wind",POWER(Upgrades!$U$12,K27),1))+(IF(F27=0,0,(Upgrades!$G$7+F27*Upgrades!$H$7)*POWER(Upgrades!$I$7,F27)))*(IF(Upgrades!$T$6="Asteroid Belt",POWER(Upgrades!$U$6,E27),1)*IF(Upgrades!$T$8="Asteroid Belt",POWER(Upgrades!$U$8,G27),1)*IF(Upgrades!$T$9="Asteroid Belt",POWER(Upgrades!$U$9,H27),1)*IF(Upgrades!$T$10="Asteroid Belt",POWER(Upgrades!$U$10,I27),1)*IF(Upgrades!$T$11="Asteroid Belt",POWER(Upgrades!$U$11,J27),1)*IF(Upgrades!$T$12="Asteroid Belt",POWER(Upgrades!$U$12,K27),1))+(IF(G27=0,0,(Upgrades!$G$8+G27*Upgrades!$H$8)*POWER(Upgrades!$I$8,G27)))*(IF(Upgrades!$T$6="Stellar Coupling",POWER(Upgrades!$U$6,E27),1)*IF(Upgrades!$T$7="Stellar Coupling",POWER(Upgrades!$U$7,F27),1)*IF(Upgrades!$T$9="Stellar Coupling",POWER(Upgrades!$U$9,H27),1)*IF(Upgrades!$T$10="Stellar Coupling",POWER(Upgrades!$U$10,I27),1)*IF(Upgrades!$T$11="Stellar Coupling",POWER(Upgrades!$U$11,J27),1)*IF(Upgrades!$T$12="Stellar Coupling",POWER(Upgrades!$U$12,K27),1))+(IF(H27=0,0,(Upgrades!$G$9+H27*Upgrades!$H$9)*POWER(Upgrades!$I$9,H27)))*(IF(Upgrades!$T$6="Magnetosphere",POWER(Upgrades!$U$6,E27),1)*IF(Upgrades!$T$7="Magnetosphere",POWER(Upgrades!$U$7,F27),1)*IF(Upgrades!$T$8="Magnetosphere",POWER(Upgrades!$U$8,G27),1)*IF(Upgrades!$T$10="Magnetosphere",POWER(Upgrades!$U$10,I27),1)*IF(Upgrades!$T$11="Magnetosphere",POWER(Upgrades!$U$11,J27),1)*IF(Upgrades!$T$12="Magnetosphere",POWER(Upgrades!$U$12,K27),1))+(IF(I27=0,0,(Upgrades!$G$10+I27*Upgrades!$H$10)*POWER(Upgrades!$I$10,I27)))*(IF(Upgrades!$T$6="Orbital Resonance",POWER(Upgrades!$U$6,E27),1)*IF(Upgrades!$T$7="Orbital Resonance",POWER(Upgrades!$U$7,F27),1)*IF(Upgrades!$T$8="Orbital Resonance",POWER(Upgrades!$U$8,G27),1)*IF(Upgrades!$T$9="Orbital Resonance",POWER(Upgrades!$U$9,H27),1)*IF(Upgrades!$T$11="Orbital Resonance",POWER(Upgrades!$U$11,J27),1)*IF(Upgrades!$T$12="Orbital Resonance",POWER(Upgrades!$U$12,K27),1))+(IF(J27=0,0,(Upgrades!$G$11+J27*Upgrades!$H$11)*POWER(Upgrades!$I$11,J27)))*(IF(Upgrades!$T$6="Heliopause",POWER(Upgrades!$U$6,E27),1)*IF(Upgrades!$T$7="Heliopause",POWER(Upgrades!$U$7,F27),1)*IF(Upgrades!$T$8="Heliopause",POWER(Upgrades!$U$8,G27),1)*IF(Upgrades!$T$9="Heliopause",POWER(Upgrades!$U$9,H27),1)*IF(Upgrades!$T$10="Heliopause",POWER(Upgrades!$U$10,I27),1)*IF(Upgrades!$T$12="Heliopause",POWER(Upgrades!$U$12,K27),1))+(IF(K27=0,0,(Upgrades!$G$12+K27*Upgrades!$H$12)*POWER(Upgrades!$I$12,K27)))*(IF(Upgrades!$T$6="First Photons",POWER(Upgrades!$U$6,E27),1)*IF(Upgrades!$T$7="First Photons",POWER(Upgrades!$U$7,F27),1)*IF(Upgrades!$T$8="First Photons",POWER(Upgrades!$U$8,G27),1)*IF(Upgrades!$T$9="First Photons",POWER(Upgrades!$U$9,H27),1)*IF(Upgrades!$T$10="First Photons",POWER(Upgrades!$U$10,I27),1)*IF(Upgrades!$T$11="First Photons",POWER(Upgrades!$U$11,J27),1)))*POWER(Upgrades!$P$6,E27)*POWER(Upgrades!$P$7,F27)*POWER(Upgrades!$P$8,G27)*POWER(Upgrades!$P$9,H27)*POWER(Upgrades!$P$10,I27)*POWER(Upgrades!$P$11,J27)*POWER(Upgrades!$P$12,K27)</f>
        <v>4.6</v>
      </c>
      <c r="O27" s="28" t="n">
        <f aca="false">((IF(E27=0,0,(Upgrades!$M$6+E27*Upgrades!$N$6)*POWER(Upgrades!$O$6,E27)))*(IF(Upgrades!$T$7="Solar Wind",POWER(Upgrades!$U$7,F27),1)*IF(Upgrades!$T$8="Solar Wind",POWER(Upgrades!$U$8,G27),1)*IF(Upgrades!$T$9="Solar Wind",POWER(Upgrades!$U$9,H27),1)*IF(Upgrades!$T$10="Solar Wind",POWER(Upgrades!$U$10,I27),1)*IF(Upgrades!$T$11="Solar Wind",POWER(Upgrades!$U$11,J27),1)*IF(Upgrades!$T$12="Solar Wind",POWER(Upgrades!$U$12,K27),1))+(IF(F27=0,0,(Upgrades!$M$7+F27*Upgrades!$N$7)*POWER(Upgrades!$O$7,F27)))*(IF(Upgrades!$T$6="Asteroid Belt",POWER(Upgrades!$U$6,E27),1)*IF(Upgrades!$T$8="Asteroid Belt",POWER(Upgrades!$U$8,G27),1)*IF(Upgrades!$T$9="Asteroid Belt",POWER(Upgrades!$U$9,H27),1)*IF(Upgrades!$T$10="Asteroid Belt",POWER(Upgrades!$U$10,I27),1)*IF(Upgrades!$T$11="Asteroid Belt",POWER(Upgrades!$U$11,J27),1)*IF(Upgrades!$T$12="Asteroid Belt",POWER(Upgrades!$U$12,K27),1))+(IF(G27=0,0,(Upgrades!$M$8+G27*Upgrades!$N$8)*POWER(Upgrades!$O$8,G27)))*(IF(Upgrades!$T$6="Stellar Coupling",POWER(Upgrades!$U$6,E27),1)*IF(Upgrades!$T$7="Stellar Coupling",POWER(Upgrades!$U$7,F27),1)*IF(Upgrades!$T$9="Stellar Coupling",POWER(Upgrades!$U$9,H27),1)*IF(Upgrades!$T$10="Stellar Coupling",POWER(Upgrades!$U$10,I27),1)*IF(Upgrades!$T$11="Stellar Coupling",POWER(Upgrades!$U$11,J27),1)*IF(Upgrades!$T$12="Stellar Coupling",POWER(Upgrades!$U$12,K27),1))+(IF(H27=0,0,(Upgrades!$M$9+H27*Upgrades!$N$9)*POWER(Upgrades!$O$9,H27)))*(IF(Upgrades!$T$6="Magnetosphere",POWER(Upgrades!$U$6,E27),1)*IF(Upgrades!$T$7="Magnetosphere",POWER(Upgrades!$U$7,F27),1)*IF(Upgrades!$T$8="Magnetosphere",POWER(Upgrades!$U$8,G27),1)*IF(Upgrades!$T$10="Magnetosphere",POWER(Upgrades!$U$10,I27),1)*IF(Upgrades!$T$11="Magnetosphere",POWER(Upgrades!$U$11,J27),1)*IF(Upgrades!$T$12="Magnetosphere",POWER(Upgrades!$U$12,K27),1))+(IF(I27=0,0,(Upgrades!$M$10+I27*Upgrades!$N$10)*POWER(Upgrades!$O$10,I27)))*(IF(Upgrades!$T$6="Orbital Resonance",POWER(Upgrades!$U$6,E27),1)*IF(Upgrades!$T$7="Orbital Resonance",POWER(Upgrades!$U$7,F27),1)*IF(Upgrades!$T$8="Orbital Resonance",POWER(Upgrades!$U$8,G27),1)*IF(Upgrades!$T$9="Orbital Resonance",POWER(Upgrades!$U$9,H27),1)*IF(Upgrades!$T$11="Orbital Resonance",POWER(Upgrades!$U$11,J27),1)*IF(Upgrades!$T$12="Orbital Resonance",POWER(Upgrades!$U$12,K27),1))+(IF(J27=0,0,(Upgrades!$M$11+J27*Upgrades!$N$11)*POWER(Upgrades!$O$11,J27)))*(IF(Upgrades!$T$6="Heliopause",POWER(Upgrades!$U$6,E27),1)*IF(Upgrades!$T$7="Heliopause",POWER(Upgrades!$U$7,F27),1)*IF(Upgrades!$T$8="Heliopause",POWER(Upgrades!$U$8,G27),1)*IF(Upgrades!$T$9="Heliopause",POWER(Upgrades!$U$9,H27),1)*IF(Upgrades!$T$10="Heliopause",POWER(Upgrades!$U$10,I27),1)*IF(Upgrades!$T$12="Heliopause",POWER(Upgrades!$U$12,K27),1))+(IF(K27=0,0,(Upgrades!$M$12+K27*Upgrades!$N$12)*POWER(Upgrades!$O$12,K27)))*(IF(Upgrades!$T$6="First Photons",POWER(Upgrades!$U$6,E27),1)*IF(Upgrades!$T$7="First Photons",POWER(Upgrades!$U$7,F27),1)*IF(Upgrades!$T$8="First Photons",POWER(Upgrades!$U$8,G27),1)*IF(Upgrades!$T$9="First Photons",POWER(Upgrades!$U$9,H27),1)*IF(Upgrades!$T$10="First Photons",POWER(Upgrades!$U$10,I27),1)*IF(Upgrades!$T$11="First Photons",POWER(Upgrades!$U$11,J27),1)))*POWER(Upgrades!$R$6,E27)*POWER(Upgrades!$R$7,F27)*POWER(Upgrades!$R$8,G27)*POWER(Upgrades!$R$9,H27)*POWER(Upgrades!$R$10,I27)*POWER(Upgrades!$R$11,J27)*POWER(Upgrades!$R$12,K27)</f>
        <v>0</v>
      </c>
      <c r="P27" s="27" t="n">
        <f aca="false">IF(L27=1,0,M27*Parameters!$B$10/60*Parameters!$B$11*10)</f>
        <v>45.8333333333333</v>
      </c>
      <c r="Q27" s="27" t="n">
        <f aca="false">IF(L27=1,0,O27*M27*10)</f>
        <v>0</v>
      </c>
      <c r="R27" s="27" t="n">
        <f aca="false">IF(L27=1,0,N27*10)</f>
        <v>46</v>
      </c>
      <c r="S27" s="27" t="n">
        <f aca="false">P27+Q27+R27</f>
        <v>91.8333333333333</v>
      </c>
      <c r="T27" s="21" t="n">
        <f aca="false">C27+S27</f>
        <v>200.0458621875</v>
      </c>
      <c r="U27" s="34" t="str">
        <f aca="false">AX27</f>
        <v>SW</v>
      </c>
      <c r="V27" s="21" t="n">
        <f aca="false">IF(U27="",0,IF(U27="transition",0,IF(U27="SW",AG27,IF(U27="AB",AH27,IF(U27="SC",AI27,IF(U27="Mag",AJ27,IF(U27="OR",AK27,IF(U27="HP",AL27,IF(U27="FP",AM27,0)))))))))</f>
        <v>16.191425359375</v>
      </c>
      <c r="W27" s="27" t="n">
        <f aca="false">IF(U27="OR",Upgrades!$F$10,IF(U27="HP",Upgrades!$F$11,IF(U27="transition",-Parameters!$B$18,0)))</f>
        <v>0</v>
      </c>
      <c r="X27" s="21" t="n">
        <f aca="false">T27-V27</f>
        <v>183.854436828125</v>
      </c>
      <c r="Y27" s="30" t="n">
        <f aca="false">M27*Parameters!$B$10/60*Parameters!$B$11+O27*M27+N27</f>
        <v>9.18333333333333</v>
      </c>
      <c r="Z27" s="35" t="str">
        <f aca="false">IF(U27="transition","→ Tier 2 (Stellar Neighborhood)",IF(U27="FP","First Photons — light begins, system quickens",IF(U27="HP","Heliopause acquired",IF(U27="OR","Orbital Resonance — passive multiplier active",IF(AND(AO27=1,L27=0,AN27&lt;&gt;1),"Cohesion ready (waiting on completionist upgrades)","")))))</f>
        <v/>
      </c>
      <c r="AA27" s="27" t="n">
        <f aca="false">(IF(E27=0,0,(Upgrades!$G$6+E27*Upgrades!$H$6)*POWER(Upgrades!$I$6,E27)))*(IF(Upgrades!$T$7="Solar Wind",POWER(Upgrades!$U$7,F27),1)*IF(Upgrades!$T$8="Solar Wind",POWER(Upgrades!$U$8,G27),1)*IF(Upgrades!$T$9="Solar Wind",POWER(Upgrades!$U$9,H27),1)*IF(Upgrades!$T$10="Solar Wind",POWER(Upgrades!$U$10,I27),1)*IF(Upgrades!$T$11="Solar Wind",POWER(Upgrades!$U$11,J27),1)*IF(Upgrades!$T$12="Solar Wind",POWER(Upgrades!$U$12,K27),1))*POWER(Upgrades!$P$6,E27)*POWER(Upgrades!$P$7,F27)*POWER(Upgrades!$P$8,G27)*POWER(Upgrades!$P$9,H27)*POWER(Upgrades!$P$10,I27)*POWER(Upgrades!$P$11,J27)*POWER(Upgrades!$P$12,K27)*60</f>
        <v>36</v>
      </c>
      <c r="AB27" s="27" t="n">
        <f aca="false">(IF(F27=0,0,(Upgrades!$G$7+F27*Upgrades!$H$7)*POWER(Upgrades!$I$7,F27)))*(IF(Upgrades!$T$6="Asteroid Belt",POWER(Upgrades!$U$6,E27),1)*IF(Upgrades!$T$8="Asteroid Belt",POWER(Upgrades!$U$8,G27),1)*IF(Upgrades!$T$9="Asteroid Belt",POWER(Upgrades!$U$9,H27),1)*IF(Upgrades!$T$10="Asteroid Belt",POWER(Upgrades!$U$10,I27),1)*IF(Upgrades!$T$11="Asteroid Belt",POWER(Upgrades!$U$11,J27),1)*IF(Upgrades!$T$12="Asteroid Belt",POWER(Upgrades!$U$12,K27),1))*POWER(Upgrades!$P$6,E27)*POWER(Upgrades!$P$7,F27)*POWER(Upgrades!$P$8,G27)*POWER(Upgrades!$P$9,H27)*POWER(Upgrades!$P$10,I27)*POWER(Upgrades!$P$11,J27)*POWER(Upgrades!$P$12,K27)*60</f>
        <v>90</v>
      </c>
      <c r="AC27" s="27" t="n">
        <f aca="false">(IF(G27=0,0,(Upgrades!$J$8+G27*Upgrades!$K$8)*POWER(Upgrades!$L$8,G27)))*(IF(Upgrades!$T$6="Stellar Coupling",POWER(Upgrades!$U$6,E27),1)*IF(Upgrades!$T$7="Stellar Coupling",POWER(Upgrades!$U$7,F27),1)*IF(Upgrades!$T$9="Stellar Coupling",POWER(Upgrades!$U$9,H27),1)*IF(Upgrades!$T$10="Stellar Coupling",POWER(Upgrades!$U$10,I27),1)*IF(Upgrades!$T$11="Stellar Coupling",POWER(Upgrades!$U$11,J27),1)*IF(Upgrades!$T$12="Stellar Coupling",POWER(Upgrades!$U$12,K27),1))*POWER(Upgrades!$Q$6,E27)*POWER(Upgrades!$Q$7,F27)*POWER(Upgrades!$Q$8,G27)*POWER(Upgrades!$Q$9,H27)*POWER(Upgrades!$Q$10,I27)*POWER(Upgrades!$Q$11,J27)*POWER(Upgrades!$Q$12,K27)*Parameters!$B$10*Parameters!$B$11</f>
        <v>175</v>
      </c>
      <c r="AD27" s="27" t="n">
        <f aca="false">(IF(H27=0,0,(Upgrades!$G$9+H27*Upgrades!$H$9)*POWER(Upgrades!$I$9,H27)))*(IF(Upgrades!$T$6="Magnetosphere",POWER(Upgrades!$U$6,E27),1)*IF(Upgrades!$T$7="Magnetosphere",POWER(Upgrades!$U$7,F27),1)*IF(Upgrades!$T$8="Magnetosphere",POWER(Upgrades!$U$8,G27),1)*IF(Upgrades!$T$10="Magnetosphere",POWER(Upgrades!$U$10,I27),1)*IF(Upgrades!$T$11="Magnetosphere",POWER(Upgrades!$U$11,J27),1)*IF(Upgrades!$T$12="Magnetosphere",POWER(Upgrades!$U$12,K27),1))*POWER(Upgrades!$P$6,E27)*POWER(Upgrades!$P$7,F27)*POWER(Upgrades!$P$8,G27)*POWER(Upgrades!$P$9,H27)*POWER(Upgrades!$P$10,I27)*POWER(Upgrades!$P$11,J27)*POWER(Upgrades!$P$12,K27)*60</f>
        <v>150</v>
      </c>
      <c r="AE27" s="27" t="n">
        <f aca="false">(IF(K27=0,0,(Upgrades!$G$12+K27*Upgrades!$H$12)*POWER(Upgrades!$I$12,K27)))*(IF(Upgrades!$T$6="First Photons",POWER(Upgrades!$U$6,E27),1)*IF(Upgrades!$T$7="First Photons",POWER(Upgrades!$U$7,F27),1)*IF(Upgrades!$T$8="First Photons",POWER(Upgrades!$U$8,G27),1)*IF(Upgrades!$T$9="First Photons",POWER(Upgrades!$U$9,H27),1)*IF(Upgrades!$T$10="First Photons",POWER(Upgrades!$U$10,I27),1)*IF(Upgrades!$T$11="First Photons",POWER(Upgrades!$U$11,J27),1))*POWER(Upgrades!$P$6,E27)*POWER(Upgrades!$P$7,F27)*POWER(Upgrades!$P$8,G27)*POWER(Upgrades!$P$9,H27)*POWER(Upgrades!$P$10,I27)*POWER(Upgrades!$P$11,J27)*POWER(Upgrades!$P$12,K27)*60</f>
        <v>0</v>
      </c>
      <c r="AF27" s="27" t="n">
        <f aca="false">Parameters!$B$9*POWER(Upgrades!$Q$6,E27)*POWER(Upgrades!$Q$7,F27)*POWER(Upgrades!$Q$8,G27)*POWER(Upgrades!$Q$9,H27)*POWER(Upgrades!$Q$10,I27)*POWER(Upgrades!$Q$11,J27)*POWER(Upgrades!$Q$12,K27)*(Parameters!$B$10*Parameters!$B$11+O27*60)</f>
        <v>100</v>
      </c>
      <c r="AG27" s="21" t="n">
        <f aca="false">IF(E27&gt;=Upgrades!$E$6,"",Upgrades!$C$6*POWER(Upgrades!$D$6,E27))</f>
        <v>16.191425359375</v>
      </c>
      <c r="AH27" s="21" t="n">
        <f aca="false">IF(F27&gt;=Upgrades!$E$7,"",Upgrades!$C$7*POWER(Upgrades!$D$7,F27))</f>
        <v>46.2612153125</v>
      </c>
      <c r="AI27" s="21" t="n">
        <f aca="false">IF(G27&gt;=Upgrades!$E$8,"",Upgrades!$C$8*POWER(Upgrades!$D$8,G27))</f>
        <v>118.32128</v>
      </c>
      <c r="AJ27" s="21" t="n">
        <f aca="false">IF(H27&gt;=Upgrades!$E$9,"",Upgrades!$C$9*POWER(Upgrades!$D$9,H27))</f>
        <v>320</v>
      </c>
      <c r="AK27" s="21" t="str">
        <f aca="false">IF(I27&gt;=Upgrades!$E$10,"",Upgrades!$C$10*POWER(Upgrades!$D$10,I27))</f>
        <v/>
      </c>
      <c r="AL27" s="21" t="n">
        <f aca="false">IF(J27&gt;=Upgrades!$E$11,"",Upgrades!$C$11*POWER(Upgrades!$D$11,J27))</f>
        <v>575</v>
      </c>
      <c r="AM27" s="21" t="n">
        <f aca="false">IF(K27&gt;=Upgrades!$E$12,"",Upgrades!$C$12*POWER(Upgrades!$D$12,K27))</f>
        <v>850</v>
      </c>
      <c r="AN27" s="26" t="str">
        <f aca="false">IF(AND(D27&gt;=Parameters!$B$18,(H27&gt;=Upgrades!$E$9)*(K27&gt;=Upgrades!$E$12)=1,L27=0),1,"")</f>
        <v/>
      </c>
      <c r="AO27" s="26" t="str">
        <f aca="false">IF(AND(D27&gt;=Parameters!$B$18,L27=0),1,"")</f>
        <v/>
      </c>
      <c r="AP27" s="21" t="n">
        <f aca="false">MIN(IF(ISNUMBER(AK27),AK27,9000000000000000),IF(ISNUMBER(AL27),AL27,9000000000000000),IF(ISNUMBER(AM27),AM27,9000000000000000))</f>
        <v>575</v>
      </c>
      <c r="AQ27" s="21" t="n">
        <f aca="false">MIN(IF(ISNUMBER(AG27),AG27,9000000000000000),IF(ISNUMBER(AH27),AH27,9000000000000000),IF(ISNUMBER(AI27),AI27,9000000000000000),IF(ISNUMBER(AJ27),AJ27,9000000000000000))</f>
        <v>16.191425359375</v>
      </c>
      <c r="AR27" s="32" t="b">
        <f aca="false">IF(AW27&gt;Parameters!$B$21*(MAX(IF(AND(NOT(AND(AO27=1,AN27&lt;&gt;1)),ISNUMBER(AG27),AG27&lt;=T27),AS27,0),IF(AND(NOT(AND(AO27=1,AN27&lt;&gt;1)),ISNUMBER(AH27),AH27&lt;=T27),AT27,0),IF(AND(NOT(AND(AO27=1,AN27&lt;&gt;1)),ISNUMBER(AI27),AI27&lt;=T27),AU27,0),IF(AND(ISNUMBER(AJ27),AJ27&lt;=T27),AV27,0))),TRUE(),FALSE())</f>
        <v>0</v>
      </c>
      <c r="AS27" s="33" t="n">
        <f aca="false">IFERROR(Upgrades!$H$6*(POWER(Upgrades!$P$6,E27)*POWER(Upgrades!$P$7,F27)*POWER(Upgrades!$P$8,G27)*POWER(Upgrades!$P$9,H27)*POWER(Upgrades!$P$10,I27)*POWER(Upgrades!$P$11,J27)*POWER(Upgrades!$P$12,K27))*(IF(Upgrades!$T$7="Solar Wind",POWER(Upgrades!$U$7,F27),1)*IF(Upgrades!$T$8="Solar Wind",POWER(Upgrades!$U$8,G27),1)*IF(Upgrades!$T$9="Solar Wind",POWER(Upgrades!$U$9,H27),1)*IF(Upgrades!$T$10="Solar Wind",POWER(Upgrades!$U$10,I27),1)*IF(Upgrades!$T$11="Solar Wind",POWER(Upgrades!$U$11,J27),1)*IF(Upgrades!$T$12="Solar Wind",POWER(Upgrades!$U$12,K27),1))/AG27,0)</f>
        <v>0.00617610851302224</v>
      </c>
      <c r="AT27" s="33" t="n">
        <f aca="false">IFERROR(Upgrades!$H$7*(POWER(Upgrades!$P$6,E27)*POWER(Upgrades!$P$7,F27)*POWER(Upgrades!$P$8,G27)*POWER(Upgrades!$P$9,H27)*POWER(Upgrades!$P$10,I27)*POWER(Upgrades!$P$11,J27)*POWER(Upgrades!$P$12,K27))*(IF(Upgrades!$T$6="Asteroid Belt",POWER(Upgrades!$U$6,E27),1)*IF(Upgrades!$T$8="Asteroid Belt",POWER(Upgrades!$U$8,G27),1)*IF(Upgrades!$T$9="Asteroid Belt",POWER(Upgrades!$U$9,H27),1)*IF(Upgrades!$T$10="Asteroid Belt",POWER(Upgrades!$U$10,I27),1)*IF(Upgrades!$T$11="Asteroid Belt",POWER(Upgrades!$U$11,J27),1)*IF(Upgrades!$T$12="Asteroid Belt",POWER(Upgrades!$U$12,K27),1))/AH27,0)</f>
        <v>0.00540409494889446</v>
      </c>
      <c r="AU27" s="33" t="n">
        <f aca="false">IFERROR(Upgrades!$K$8*(POWER(Upgrades!$Q$6,E27)*POWER(Upgrades!$Q$7,F27)*POWER(Upgrades!$Q$8,G27)*POWER(Upgrades!$Q$9,H27)*POWER(Upgrades!$Q$10,I27)*POWER(Upgrades!$Q$11,J27)*POWER(Upgrades!$Q$12,K27))*(IF(Upgrades!$T$6="Stellar Coupling",POWER(Upgrades!$U$6,E27),1)*IF(Upgrades!$T$7="Stellar Coupling",POWER(Upgrades!$U$7,F27),1)*IF(Upgrades!$T$9="Stellar Coupling",POWER(Upgrades!$U$9,H27),1)*IF(Upgrades!$T$10="Stellar Coupling",POWER(Upgrades!$U$10,I27),1)*IF(Upgrades!$T$11="Stellar Coupling",POWER(Upgrades!$U$11,J27),1)*IF(Upgrades!$T$12="Stellar Coupling",POWER(Upgrades!$U$12,K27),1))*Parameters!$B$10*Parameters!$B$11/60/AI27,0)</f>
        <v>0.00493007963853445</v>
      </c>
      <c r="AV27" s="33" t="n">
        <f aca="false">IFERROR(Upgrades!$H$9*(POWER(Upgrades!$P$6,E27)*POWER(Upgrades!$P$7,F27)*POWER(Upgrades!$P$8,G27)*POWER(Upgrades!$P$9,H27)*POWER(Upgrades!$P$10,I27)*POWER(Upgrades!$P$11,J27)*POWER(Upgrades!$P$12,K27))*(IF(Upgrades!$T$6="Magnetosphere",POWER(Upgrades!$U$6,E27),1)*IF(Upgrades!$T$7="Magnetosphere",POWER(Upgrades!$U$7,F27),1)*IF(Upgrades!$T$8="Magnetosphere",POWER(Upgrades!$U$8,G27),1)*IF(Upgrades!$T$10="Magnetosphere",POWER(Upgrades!$U$10,I27),1)*IF(Upgrades!$T$11="Magnetosphere",POWER(Upgrades!$U$11,J27),1)*IF(Upgrades!$T$12="Magnetosphere",POWER(Upgrades!$U$12,K27),1))/AJ27,0)</f>
        <v>0.00390625</v>
      </c>
      <c r="AW27" s="33" t="n">
        <f aca="false">MAX(IF(I27&gt;0,0,IFERROR(0.25*N27/Upgrades!$C$10,0)),IF(J27&gt;0,0,IFERROR(0.5*((IF(G27=0,0,(Upgrades!$J$8+G27*Upgrades!$K$8)*POWER(Upgrades!$L$8,G27)))*(IF(Upgrades!$T$6="Stellar Coupling",POWER(Upgrades!$U$6,E27),1)*IF(Upgrades!$T$7="Stellar Coupling",POWER(Upgrades!$U$7,F27),1)*IF(Upgrades!$T$9="Stellar Coupling",POWER(Upgrades!$U$9,H27),1)*IF(Upgrades!$T$10="Stellar Coupling",POWER(Upgrades!$U$10,I27),1)*IF(Upgrades!$T$11="Stellar Coupling",POWER(Upgrades!$U$11,J27),1)*IF(Upgrades!$T$12="Stellar Coupling",POWER(Upgrades!$U$12,K27),1))*(POWER(Upgrades!$Q$6,E27)*POWER(Upgrades!$Q$7,F27)*POWER(Upgrades!$Q$8,G27)*POWER(Upgrades!$Q$9,H27)*POWER(Upgrades!$Q$10,I27)*POWER(Upgrades!$Q$11,J27)*POWER(Upgrades!$Q$12,K27))*Parameters!$B$10*Parameters!$B$11/60)/Upgrades!$C$11,0)),IF(K27&gt;0,0,IFERROR((1*(POWER(Upgrades!$P$6,E27)*POWER(Upgrades!$P$7,F27)*POWER(Upgrades!$P$8,G27)*POWER(Upgrades!$P$9,H27)*POWER(Upgrades!$P$10,I27)*POWER(Upgrades!$P$11,J27)*POWER(Upgrades!$P$12,K27))+0.2*M27*Parameters!$B$10*Parameters!$B$11/60)/Upgrades!$C$12,0)),IF(AND(ISNUMBER(AG27),AG27&gt;T27),AS27,0),IF(AND(ISNUMBER(AH27),AH27&gt;T27),AT27,0),IF(AND(ISNUMBER(AI27),AI27&gt;T27),AU27,0),IF(AND(ISNUMBER(AJ27),AJ27&gt;T27),AV27,0))</f>
        <v>0.00390625</v>
      </c>
      <c r="AX27" s="29" t="str">
        <f aca="false">IF(AN27=1,"transition",IF(MIN(IF(AND(I27=0,ISNUMBER(AK27),AK27&lt;=T27),AK27,9000000000000000),IF(AND(J27=0,ISNUMBER(AL27),AL27&lt;=T27),AL27,9000000000000000),IF(AND(K27=0,ISNUMBER(AM27),AM27&lt;=T27),AM27,9000000000000000))&lt;9000000000000000,IF(AND(AND(I27=0,ISNUMBER(AK27),AK27&lt;=T27),AK27=MIN(IF(AND(I27=0,ISNUMBER(AK27),AK27&lt;=T27),AK27,9000000000000000),IF(AND(J27=0,ISNUMBER(AL27),AL27&lt;=T27),AL27,9000000000000000),IF(AND(K27=0,ISNUMBER(AM27),AM27&lt;=T27),AM27,9000000000000000))),"OR",IF(AND(AND(J27=0,ISNUMBER(AL27),AL27&lt;=T27),AL27=MIN(IF(AND(I27=0,ISNUMBER(AK27),AK27&lt;=T27),AK27,9000000000000000),IF(AND(J27=0,ISNUMBER(AL27),AL27&lt;=T27),AL27,9000000000000000),IF(AND(K27=0,ISNUMBER(AM27),AM27&lt;=T27),AM27,9000000000000000))),"HP","FP")),IF(AR27=TRUE(),"",IF(MAX(IF(AND(NOT(AND(AO27=1,AN27&lt;&gt;1)),ISNUMBER(AG27),AG27&lt;=T27),AS27,0),IF(AND(NOT(AND(AO27=1,AN27&lt;&gt;1)),ISNUMBER(AH27),AH27&lt;=T27),AT27,0),IF(AND(NOT(AND(AO27=1,AN27&lt;&gt;1)),ISNUMBER(AI27),AI27&lt;=T27),AU27,0),IF(AND(ISNUMBER(AJ27),AJ27&lt;=T27),AV27,0))&lt;=0,"",IF(AND(IF(AND(NOT(AND(AO27=1,AN27&lt;&gt;1)),ISNUMBER(AG27),AG27&lt;=T27),AS27,0)&gt;0,IF(AND(NOT(AND(AO27=1,AN27&lt;&gt;1)),ISNUMBER(AG27),AG27&lt;=T27),AS27,0)=MAX(IF(AND(NOT(AND(AO27=1,AN27&lt;&gt;1)),ISNUMBER(AG27),AG27&lt;=T27),AS27,0),IF(AND(NOT(AND(AO27=1,AN27&lt;&gt;1)),ISNUMBER(AH27),AH27&lt;=T27),AT27,0),IF(AND(NOT(AND(AO27=1,AN27&lt;&gt;1)),ISNUMBER(AI27),AI27&lt;=T27),AU27,0),IF(AND(ISNUMBER(AJ27),AJ27&lt;=T27),AV27,0))),"SW",IF(AND(IF(AND(NOT(AND(AO27=1,AN27&lt;&gt;1)),ISNUMBER(AH27),AH27&lt;=T27),AT27,0)&gt;0,IF(AND(NOT(AND(AO27=1,AN27&lt;&gt;1)),ISNUMBER(AH27),AH27&lt;=T27),AT27,0)=MAX(IF(AND(NOT(AND(AO27=1,AN27&lt;&gt;1)),ISNUMBER(AG27),AG27&lt;=T27),AS27,0),IF(AND(NOT(AND(AO27=1,AN27&lt;&gt;1)),ISNUMBER(AH27),AH27&lt;=T27),AT27,0),IF(AND(NOT(AND(AO27=1,AN27&lt;&gt;1)),ISNUMBER(AI27),AI27&lt;=T27),AU27,0),IF(AND(ISNUMBER(AJ27),AJ27&lt;=T27),AV27,0))),"AB",IF(AND(IF(AND(NOT(AND(AO27=1,AN27&lt;&gt;1)),ISNUMBER(AI27),AI27&lt;=T27),AU27,0)&gt;0,IF(AND(NOT(AND(AO27=1,AN27&lt;&gt;1)),ISNUMBER(AI27),AI27&lt;=T27),AU27,0)=MAX(IF(AND(NOT(AND(AO27=1,AN27&lt;&gt;1)),ISNUMBER(AG27),AG27&lt;=T27),AS27,0),IF(AND(NOT(AND(AO27=1,AN27&lt;&gt;1)),ISNUMBER(AH27),AH27&lt;=T27),AT27,0),IF(AND(NOT(AND(AO27=1,AN27&lt;&gt;1)),ISNUMBER(AI27),AI27&lt;=T27),AU27,0),IF(AND(ISNUMBER(AJ27),AJ27&lt;=T27),AV27,0))),"SC","Mag")))))))</f>
        <v>SW</v>
      </c>
    </row>
    <row r="28" customFormat="false" ht="15" hidden="false" customHeight="false" outlineLevel="0" collapsed="false">
      <c r="A28" s="26" t="n">
        <v>23</v>
      </c>
      <c r="B28" s="27" t="n">
        <f aca="false">A28*10/60</f>
        <v>3.83333333333333</v>
      </c>
      <c r="C28" s="21" t="n">
        <f aca="false">X27</f>
        <v>183.854436828125</v>
      </c>
      <c r="D28" s="27" t="n">
        <f aca="false">D27+W27</f>
        <v>0.4</v>
      </c>
      <c r="E28" s="26" t="n">
        <f aca="false">E27+IF(U27="SW",1,0)</f>
        <v>7</v>
      </c>
      <c r="F28" s="26" t="n">
        <f aca="false">F27+IF(U27="AB",1,0)</f>
        <v>6</v>
      </c>
      <c r="G28" s="26" t="n">
        <f aca="false">G27+IF(U27="SC",1,0)</f>
        <v>5</v>
      </c>
      <c r="H28" s="26" t="n">
        <f aca="false">H27+IF(U27="Mag",1,0)</f>
        <v>2</v>
      </c>
      <c r="I28" s="26" t="n">
        <f aca="false">MAX(I27,IF(U27="OR",1,0))</f>
        <v>1</v>
      </c>
      <c r="J28" s="26" t="n">
        <f aca="false">MAX(J27,IF(U27="HP",1,0))</f>
        <v>0</v>
      </c>
      <c r="K28" s="26" t="n">
        <f aca="false">MAX(K27,IF(U27="FP",1,0))</f>
        <v>0</v>
      </c>
      <c r="L28" s="26" t="n">
        <f aca="false">MAX(L27,IF(U27="transition",1,0))</f>
        <v>0</v>
      </c>
      <c r="M28" s="28" t="n">
        <f aca="false">(Parameters!$B$9+(IF(E28=0,0,(Upgrades!$J$6+E28*Upgrades!$K$6)*POWER(Upgrades!$L$6,E28)))*(IF(Upgrades!$T$7="Solar Wind",POWER(Upgrades!$U$7,F28),1)*IF(Upgrades!$T$8="Solar Wind",POWER(Upgrades!$U$8,G28),1)*IF(Upgrades!$T$9="Solar Wind",POWER(Upgrades!$U$9,H28),1)*IF(Upgrades!$T$10="Solar Wind",POWER(Upgrades!$U$10,I28),1)*IF(Upgrades!$T$11="Solar Wind",POWER(Upgrades!$U$11,J28),1)*IF(Upgrades!$T$12="Solar Wind",POWER(Upgrades!$U$12,K28),1))+(IF(F28=0,0,(Upgrades!$J$7+F28*Upgrades!$K$7)*POWER(Upgrades!$L$7,F28)))*(IF(Upgrades!$T$6="Asteroid Belt",POWER(Upgrades!$U$6,E28),1)*IF(Upgrades!$T$8="Asteroid Belt",POWER(Upgrades!$U$8,G28),1)*IF(Upgrades!$T$9="Asteroid Belt",POWER(Upgrades!$U$9,H28),1)*IF(Upgrades!$T$10="Asteroid Belt",POWER(Upgrades!$U$10,I28),1)*IF(Upgrades!$T$11="Asteroid Belt",POWER(Upgrades!$U$11,J28),1)*IF(Upgrades!$T$12="Asteroid Belt",POWER(Upgrades!$U$12,K28),1))+(IF(G28=0,0,(Upgrades!$J$8+G28*Upgrades!$K$8)*POWER(Upgrades!$L$8,G28)))*(IF(Upgrades!$T$6="Stellar Coupling",POWER(Upgrades!$U$6,E28),1)*IF(Upgrades!$T$7="Stellar Coupling",POWER(Upgrades!$U$7,F28),1)*IF(Upgrades!$T$9="Stellar Coupling",POWER(Upgrades!$U$9,H28),1)*IF(Upgrades!$T$10="Stellar Coupling",POWER(Upgrades!$U$10,I28),1)*IF(Upgrades!$T$11="Stellar Coupling",POWER(Upgrades!$U$11,J28),1)*IF(Upgrades!$T$12="Stellar Coupling",POWER(Upgrades!$U$12,K28),1))+(IF(H28=0,0,(Upgrades!$J$9+H28*Upgrades!$K$9)*POWER(Upgrades!$L$9,H28)))*(IF(Upgrades!$T$6="Magnetosphere",POWER(Upgrades!$U$6,E28),1)*IF(Upgrades!$T$7="Magnetosphere",POWER(Upgrades!$U$7,F28),1)*IF(Upgrades!$T$8="Magnetosphere",POWER(Upgrades!$U$8,G28),1)*IF(Upgrades!$T$10="Magnetosphere",POWER(Upgrades!$U$10,I28),1)*IF(Upgrades!$T$11="Magnetosphere",POWER(Upgrades!$U$11,J28),1)*IF(Upgrades!$T$12="Magnetosphere",POWER(Upgrades!$U$12,K28),1))+(IF(I28=0,0,(Upgrades!$J$10+I28*Upgrades!$K$10)*POWER(Upgrades!$L$10,I28)))*(IF(Upgrades!$T$6="Orbital Resonance",POWER(Upgrades!$U$6,E28),1)*IF(Upgrades!$T$7="Orbital Resonance",POWER(Upgrades!$U$7,F28),1)*IF(Upgrades!$T$8="Orbital Resonance",POWER(Upgrades!$U$8,G28),1)*IF(Upgrades!$T$9="Orbital Resonance",POWER(Upgrades!$U$9,H28),1)*IF(Upgrades!$T$11="Orbital Resonance",POWER(Upgrades!$U$11,J28),1)*IF(Upgrades!$T$12="Orbital Resonance",POWER(Upgrades!$U$12,K28),1))+(IF(J28=0,0,(Upgrades!$J$11+J28*Upgrades!$K$11)*POWER(Upgrades!$L$11,J28)))*(IF(Upgrades!$T$6="Heliopause",POWER(Upgrades!$U$6,E28),1)*IF(Upgrades!$T$7="Heliopause",POWER(Upgrades!$U$7,F28),1)*IF(Upgrades!$T$8="Heliopause",POWER(Upgrades!$U$8,G28),1)*IF(Upgrades!$T$9="Heliopause",POWER(Upgrades!$U$9,H28),1)*IF(Upgrades!$T$10="Heliopause",POWER(Upgrades!$U$10,I28),1)*IF(Upgrades!$T$12="Heliopause",POWER(Upgrades!$U$12,K28),1))+(IF(K28=0,0,(Upgrades!$J$12+K28*Upgrades!$K$12)*POWER(Upgrades!$L$12,K28)))*(IF(Upgrades!$T$6="First Photons",POWER(Upgrades!$U$6,E28),1)*IF(Upgrades!$T$7="First Photons",POWER(Upgrades!$U$7,F28),1)*IF(Upgrades!$T$8="First Photons",POWER(Upgrades!$U$8,G28),1)*IF(Upgrades!$T$9="First Photons",POWER(Upgrades!$U$9,H28),1)*IF(Upgrades!$T$10="First Photons",POWER(Upgrades!$U$10,I28),1)*IF(Upgrades!$T$11="First Photons",POWER(Upgrades!$U$11,J28),1)))*POWER(Upgrades!$Q$6,E28)*POWER(Upgrades!$Q$7,F28)*POWER(Upgrades!$Q$8,G28)*POWER(Upgrades!$Q$9,H28)*POWER(Upgrades!$Q$10,I28)*POWER(Upgrades!$Q$11,J28)*POWER(Upgrades!$Q$12,K28)</f>
        <v>2.75</v>
      </c>
      <c r="N28" s="28" t="n">
        <f aca="false">((IF(E28=0,0,(Upgrades!$G$6+E28*Upgrades!$H$6)*POWER(Upgrades!$I$6,E28)))*(IF(Upgrades!$T$7="Solar Wind",POWER(Upgrades!$U$7,F28),1)*IF(Upgrades!$T$8="Solar Wind",POWER(Upgrades!$U$8,G28),1)*IF(Upgrades!$T$9="Solar Wind",POWER(Upgrades!$U$9,H28),1)*IF(Upgrades!$T$10="Solar Wind",POWER(Upgrades!$U$10,I28),1)*IF(Upgrades!$T$11="Solar Wind",POWER(Upgrades!$U$11,J28),1)*IF(Upgrades!$T$12="Solar Wind",POWER(Upgrades!$U$12,K28),1))+(IF(F28=0,0,(Upgrades!$G$7+F28*Upgrades!$H$7)*POWER(Upgrades!$I$7,F28)))*(IF(Upgrades!$T$6="Asteroid Belt",POWER(Upgrades!$U$6,E28),1)*IF(Upgrades!$T$8="Asteroid Belt",POWER(Upgrades!$U$8,G28),1)*IF(Upgrades!$T$9="Asteroid Belt",POWER(Upgrades!$U$9,H28),1)*IF(Upgrades!$T$10="Asteroid Belt",POWER(Upgrades!$U$10,I28),1)*IF(Upgrades!$T$11="Asteroid Belt",POWER(Upgrades!$U$11,J28),1)*IF(Upgrades!$T$12="Asteroid Belt",POWER(Upgrades!$U$12,K28),1))+(IF(G28=0,0,(Upgrades!$G$8+G28*Upgrades!$H$8)*POWER(Upgrades!$I$8,G28)))*(IF(Upgrades!$T$6="Stellar Coupling",POWER(Upgrades!$U$6,E28),1)*IF(Upgrades!$T$7="Stellar Coupling",POWER(Upgrades!$U$7,F28),1)*IF(Upgrades!$T$9="Stellar Coupling",POWER(Upgrades!$U$9,H28),1)*IF(Upgrades!$T$10="Stellar Coupling",POWER(Upgrades!$U$10,I28),1)*IF(Upgrades!$T$11="Stellar Coupling",POWER(Upgrades!$U$11,J28),1)*IF(Upgrades!$T$12="Stellar Coupling",POWER(Upgrades!$U$12,K28),1))+(IF(H28=0,0,(Upgrades!$G$9+H28*Upgrades!$H$9)*POWER(Upgrades!$I$9,H28)))*(IF(Upgrades!$T$6="Magnetosphere",POWER(Upgrades!$U$6,E28),1)*IF(Upgrades!$T$7="Magnetosphere",POWER(Upgrades!$U$7,F28),1)*IF(Upgrades!$T$8="Magnetosphere",POWER(Upgrades!$U$8,G28),1)*IF(Upgrades!$T$10="Magnetosphere",POWER(Upgrades!$U$10,I28),1)*IF(Upgrades!$T$11="Magnetosphere",POWER(Upgrades!$U$11,J28),1)*IF(Upgrades!$T$12="Magnetosphere",POWER(Upgrades!$U$12,K28),1))+(IF(I28=0,0,(Upgrades!$G$10+I28*Upgrades!$H$10)*POWER(Upgrades!$I$10,I28)))*(IF(Upgrades!$T$6="Orbital Resonance",POWER(Upgrades!$U$6,E28),1)*IF(Upgrades!$T$7="Orbital Resonance",POWER(Upgrades!$U$7,F28),1)*IF(Upgrades!$T$8="Orbital Resonance",POWER(Upgrades!$U$8,G28),1)*IF(Upgrades!$T$9="Orbital Resonance",POWER(Upgrades!$U$9,H28),1)*IF(Upgrades!$T$11="Orbital Resonance",POWER(Upgrades!$U$11,J28),1)*IF(Upgrades!$T$12="Orbital Resonance",POWER(Upgrades!$U$12,K28),1))+(IF(J28=0,0,(Upgrades!$G$11+J28*Upgrades!$H$11)*POWER(Upgrades!$I$11,J28)))*(IF(Upgrades!$T$6="Heliopause",POWER(Upgrades!$U$6,E28),1)*IF(Upgrades!$T$7="Heliopause",POWER(Upgrades!$U$7,F28),1)*IF(Upgrades!$T$8="Heliopause",POWER(Upgrades!$U$8,G28),1)*IF(Upgrades!$T$9="Heliopause",POWER(Upgrades!$U$9,H28),1)*IF(Upgrades!$T$10="Heliopause",POWER(Upgrades!$U$10,I28),1)*IF(Upgrades!$T$12="Heliopause",POWER(Upgrades!$U$12,K28),1))+(IF(K28=0,0,(Upgrades!$G$12+K28*Upgrades!$H$12)*POWER(Upgrades!$I$12,K28)))*(IF(Upgrades!$T$6="First Photons",POWER(Upgrades!$U$6,E28),1)*IF(Upgrades!$T$7="First Photons",POWER(Upgrades!$U$7,F28),1)*IF(Upgrades!$T$8="First Photons",POWER(Upgrades!$U$8,G28),1)*IF(Upgrades!$T$9="First Photons",POWER(Upgrades!$U$9,H28),1)*IF(Upgrades!$T$10="First Photons",POWER(Upgrades!$U$10,I28),1)*IF(Upgrades!$T$11="First Photons",POWER(Upgrades!$U$11,J28),1)))*POWER(Upgrades!$P$6,E28)*POWER(Upgrades!$P$7,F28)*POWER(Upgrades!$P$8,G28)*POWER(Upgrades!$P$9,H28)*POWER(Upgrades!$P$10,I28)*POWER(Upgrades!$P$11,J28)*POWER(Upgrades!$P$12,K28)</f>
        <v>4.7</v>
      </c>
      <c r="O28" s="28" t="n">
        <f aca="false">((IF(E28=0,0,(Upgrades!$M$6+E28*Upgrades!$N$6)*POWER(Upgrades!$O$6,E28)))*(IF(Upgrades!$T$7="Solar Wind",POWER(Upgrades!$U$7,F28),1)*IF(Upgrades!$T$8="Solar Wind",POWER(Upgrades!$U$8,G28),1)*IF(Upgrades!$T$9="Solar Wind",POWER(Upgrades!$U$9,H28),1)*IF(Upgrades!$T$10="Solar Wind",POWER(Upgrades!$U$10,I28),1)*IF(Upgrades!$T$11="Solar Wind",POWER(Upgrades!$U$11,J28),1)*IF(Upgrades!$T$12="Solar Wind",POWER(Upgrades!$U$12,K28),1))+(IF(F28=0,0,(Upgrades!$M$7+F28*Upgrades!$N$7)*POWER(Upgrades!$O$7,F28)))*(IF(Upgrades!$T$6="Asteroid Belt",POWER(Upgrades!$U$6,E28),1)*IF(Upgrades!$T$8="Asteroid Belt",POWER(Upgrades!$U$8,G28),1)*IF(Upgrades!$T$9="Asteroid Belt",POWER(Upgrades!$U$9,H28),1)*IF(Upgrades!$T$10="Asteroid Belt",POWER(Upgrades!$U$10,I28),1)*IF(Upgrades!$T$11="Asteroid Belt",POWER(Upgrades!$U$11,J28),1)*IF(Upgrades!$T$12="Asteroid Belt",POWER(Upgrades!$U$12,K28),1))+(IF(G28=0,0,(Upgrades!$M$8+G28*Upgrades!$N$8)*POWER(Upgrades!$O$8,G28)))*(IF(Upgrades!$T$6="Stellar Coupling",POWER(Upgrades!$U$6,E28),1)*IF(Upgrades!$T$7="Stellar Coupling",POWER(Upgrades!$U$7,F28),1)*IF(Upgrades!$T$9="Stellar Coupling",POWER(Upgrades!$U$9,H28),1)*IF(Upgrades!$T$10="Stellar Coupling",POWER(Upgrades!$U$10,I28),1)*IF(Upgrades!$T$11="Stellar Coupling",POWER(Upgrades!$U$11,J28),1)*IF(Upgrades!$T$12="Stellar Coupling",POWER(Upgrades!$U$12,K28),1))+(IF(H28=0,0,(Upgrades!$M$9+H28*Upgrades!$N$9)*POWER(Upgrades!$O$9,H28)))*(IF(Upgrades!$T$6="Magnetosphere",POWER(Upgrades!$U$6,E28),1)*IF(Upgrades!$T$7="Magnetosphere",POWER(Upgrades!$U$7,F28),1)*IF(Upgrades!$T$8="Magnetosphere",POWER(Upgrades!$U$8,G28),1)*IF(Upgrades!$T$10="Magnetosphere",POWER(Upgrades!$U$10,I28),1)*IF(Upgrades!$T$11="Magnetosphere",POWER(Upgrades!$U$11,J28),1)*IF(Upgrades!$T$12="Magnetosphere",POWER(Upgrades!$U$12,K28),1))+(IF(I28=0,0,(Upgrades!$M$10+I28*Upgrades!$N$10)*POWER(Upgrades!$O$10,I28)))*(IF(Upgrades!$T$6="Orbital Resonance",POWER(Upgrades!$U$6,E28),1)*IF(Upgrades!$T$7="Orbital Resonance",POWER(Upgrades!$U$7,F28),1)*IF(Upgrades!$T$8="Orbital Resonance",POWER(Upgrades!$U$8,G28),1)*IF(Upgrades!$T$9="Orbital Resonance",POWER(Upgrades!$U$9,H28),1)*IF(Upgrades!$T$11="Orbital Resonance",POWER(Upgrades!$U$11,J28),1)*IF(Upgrades!$T$12="Orbital Resonance",POWER(Upgrades!$U$12,K28),1))+(IF(J28=0,0,(Upgrades!$M$11+J28*Upgrades!$N$11)*POWER(Upgrades!$O$11,J28)))*(IF(Upgrades!$T$6="Heliopause",POWER(Upgrades!$U$6,E28),1)*IF(Upgrades!$T$7="Heliopause",POWER(Upgrades!$U$7,F28),1)*IF(Upgrades!$T$8="Heliopause",POWER(Upgrades!$U$8,G28),1)*IF(Upgrades!$T$9="Heliopause",POWER(Upgrades!$U$9,H28),1)*IF(Upgrades!$T$10="Heliopause",POWER(Upgrades!$U$10,I28),1)*IF(Upgrades!$T$12="Heliopause",POWER(Upgrades!$U$12,K28),1))+(IF(K28=0,0,(Upgrades!$M$12+K28*Upgrades!$N$12)*POWER(Upgrades!$O$12,K28)))*(IF(Upgrades!$T$6="First Photons",POWER(Upgrades!$U$6,E28),1)*IF(Upgrades!$T$7="First Photons",POWER(Upgrades!$U$7,F28),1)*IF(Upgrades!$T$8="First Photons",POWER(Upgrades!$U$8,G28),1)*IF(Upgrades!$T$9="First Photons",POWER(Upgrades!$U$9,H28),1)*IF(Upgrades!$T$10="First Photons",POWER(Upgrades!$U$10,I28),1)*IF(Upgrades!$T$11="First Photons",POWER(Upgrades!$U$11,J28),1)))*POWER(Upgrades!$R$6,E28)*POWER(Upgrades!$R$7,F28)*POWER(Upgrades!$R$8,G28)*POWER(Upgrades!$R$9,H28)*POWER(Upgrades!$R$10,I28)*POWER(Upgrades!$R$11,J28)*POWER(Upgrades!$R$12,K28)</f>
        <v>0</v>
      </c>
      <c r="P28" s="27" t="n">
        <f aca="false">IF(L28=1,0,M28*Parameters!$B$10/60*Parameters!$B$11*10)</f>
        <v>45.8333333333333</v>
      </c>
      <c r="Q28" s="27" t="n">
        <f aca="false">IF(L28=1,0,O28*M28*10)</f>
        <v>0</v>
      </c>
      <c r="R28" s="27" t="n">
        <f aca="false">IF(L28=1,0,N28*10)</f>
        <v>47</v>
      </c>
      <c r="S28" s="27" t="n">
        <f aca="false">P28+Q28+R28</f>
        <v>92.8333333333333</v>
      </c>
      <c r="T28" s="21" t="n">
        <f aca="false">C28+S28</f>
        <v>276.687770161458</v>
      </c>
      <c r="U28" s="34" t="str">
        <f aca="false">AX28</f>
        <v>AB</v>
      </c>
      <c r="V28" s="21" t="n">
        <f aca="false">IF(U28="",0,IF(U28="transition",0,IF(U28="SW",AG28,IF(U28="AB",AH28,IF(U28="SC",AI28,IF(U28="Mag",AJ28,IF(U28="OR",AK28,IF(U28="HP",AL28,IF(U28="FP",AM28,0)))))))))</f>
        <v>46.2612153125</v>
      </c>
      <c r="W28" s="27" t="n">
        <f aca="false">IF(U28="OR",Upgrades!$F$10,IF(U28="HP",Upgrades!$F$11,IF(U28="transition",-Parameters!$B$18,0)))</f>
        <v>0</v>
      </c>
      <c r="X28" s="21" t="n">
        <f aca="false">T28-V28</f>
        <v>230.426554848958</v>
      </c>
      <c r="Y28" s="30" t="n">
        <f aca="false">M28*Parameters!$B$10/60*Parameters!$B$11+O28*M28+N28</f>
        <v>9.28333333333333</v>
      </c>
      <c r="Z28" s="35" t="str">
        <f aca="false">IF(U28="transition","→ Tier 2 (Stellar Neighborhood)",IF(U28="FP","First Photons — light begins, system quickens",IF(U28="HP","Heliopause acquired",IF(U28="OR","Orbital Resonance — passive multiplier active",IF(AND(AO28=1,L28=0,AN28&lt;&gt;1),"Cohesion ready (waiting on completionist upgrades)","")))))</f>
        <v/>
      </c>
      <c r="AA28" s="27" t="n">
        <f aca="false">(IF(E28=0,0,(Upgrades!$G$6+E28*Upgrades!$H$6)*POWER(Upgrades!$I$6,E28)))*(IF(Upgrades!$T$7="Solar Wind",POWER(Upgrades!$U$7,F28),1)*IF(Upgrades!$T$8="Solar Wind",POWER(Upgrades!$U$8,G28),1)*IF(Upgrades!$T$9="Solar Wind",POWER(Upgrades!$U$9,H28),1)*IF(Upgrades!$T$10="Solar Wind",POWER(Upgrades!$U$10,I28),1)*IF(Upgrades!$T$11="Solar Wind",POWER(Upgrades!$U$11,J28),1)*IF(Upgrades!$T$12="Solar Wind",POWER(Upgrades!$U$12,K28),1))*POWER(Upgrades!$P$6,E28)*POWER(Upgrades!$P$7,F28)*POWER(Upgrades!$P$8,G28)*POWER(Upgrades!$P$9,H28)*POWER(Upgrades!$P$10,I28)*POWER(Upgrades!$P$11,J28)*POWER(Upgrades!$P$12,K28)*60</f>
        <v>42</v>
      </c>
      <c r="AB28" s="27" t="n">
        <f aca="false">(IF(F28=0,0,(Upgrades!$G$7+F28*Upgrades!$H$7)*POWER(Upgrades!$I$7,F28)))*(IF(Upgrades!$T$6="Asteroid Belt",POWER(Upgrades!$U$6,E28),1)*IF(Upgrades!$T$8="Asteroid Belt",POWER(Upgrades!$U$8,G28),1)*IF(Upgrades!$T$9="Asteroid Belt",POWER(Upgrades!$U$9,H28),1)*IF(Upgrades!$T$10="Asteroid Belt",POWER(Upgrades!$U$10,I28),1)*IF(Upgrades!$T$11="Asteroid Belt",POWER(Upgrades!$U$11,J28),1)*IF(Upgrades!$T$12="Asteroid Belt",POWER(Upgrades!$U$12,K28),1))*POWER(Upgrades!$P$6,E28)*POWER(Upgrades!$P$7,F28)*POWER(Upgrades!$P$8,G28)*POWER(Upgrades!$P$9,H28)*POWER(Upgrades!$P$10,I28)*POWER(Upgrades!$P$11,J28)*POWER(Upgrades!$P$12,K28)*60</f>
        <v>90</v>
      </c>
      <c r="AC28" s="27" t="n">
        <f aca="false">(IF(G28=0,0,(Upgrades!$J$8+G28*Upgrades!$K$8)*POWER(Upgrades!$L$8,G28)))*(IF(Upgrades!$T$6="Stellar Coupling",POWER(Upgrades!$U$6,E28),1)*IF(Upgrades!$T$7="Stellar Coupling",POWER(Upgrades!$U$7,F28),1)*IF(Upgrades!$T$9="Stellar Coupling",POWER(Upgrades!$U$9,H28),1)*IF(Upgrades!$T$10="Stellar Coupling",POWER(Upgrades!$U$10,I28),1)*IF(Upgrades!$T$11="Stellar Coupling",POWER(Upgrades!$U$11,J28),1)*IF(Upgrades!$T$12="Stellar Coupling",POWER(Upgrades!$U$12,K28),1))*POWER(Upgrades!$Q$6,E28)*POWER(Upgrades!$Q$7,F28)*POWER(Upgrades!$Q$8,G28)*POWER(Upgrades!$Q$9,H28)*POWER(Upgrades!$Q$10,I28)*POWER(Upgrades!$Q$11,J28)*POWER(Upgrades!$Q$12,K28)*Parameters!$B$10*Parameters!$B$11</f>
        <v>175</v>
      </c>
      <c r="AD28" s="27" t="n">
        <f aca="false">(IF(H28=0,0,(Upgrades!$G$9+H28*Upgrades!$H$9)*POWER(Upgrades!$I$9,H28)))*(IF(Upgrades!$T$6="Magnetosphere",POWER(Upgrades!$U$6,E28),1)*IF(Upgrades!$T$7="Magnetosphere",POWER(Upgrades!$U$7,F28),1)*IF(Upgrades!$T$8="Magnetosphere",POWER(Upgrades!$U$8,G28),1)*IF(Upgrades!$T$10="Magnetosphere",POWER(Upgrades!$U$10,I28),1)*IF(Upgrades!$T$11="Magnetosphere",POWER(Upgrades!$U$11,J28),1)*IF(Upgrades!$T$12="Magnetosphere",POWER(Upgrades!$U$12,K28),1))*POWER(Upgrades!$P$6,E28)*POWER(Upgrades!$P$7,F28)*POWER(Upgrades!$P$8,G28)*POWER(Upgrades!$P$9,H28)*POWER(Upgrades!$P$10,I28)*POWER(Upgrades!$P$11,J28)*POWER(Upgrades!$P$12,K28)*60</f>
        <v>150</v>
      </c>
      <c r="AE28" s="27" t="n">
        <f aca="false">(IF(K28=0,0,(Upgrades!$G$12+K28*Upgrades!$H$12)*POWER(Upgrades!$I$12,K28)))*(IF(Upgrades!$T$6="First Photons",POWER(Upgrades!$U$6,E28),1)*IF(Upgrades!$T$7="First Photons",POWER(Upgrades!$U$7,F28),1)*IF(Upgrades!$T$8="First Photons",POWER(Upgrades!$U$8,G28),1)*IF(Upgrades!$T$9="First Photons",POWER(Upgrades!$U$9,H28),1)*IF(Upgrades!$T$10="First Photons",POWER(Upgrades!$U$10,I28),1)*IF(Upgrades!$T$11="First Photons",POWER(Upgrades!$U$11,J28),1))*POWER(Upgrades!$P$6,E28)*POWER(Upgrades!$P$7,F28)*POWER(Upgrades!$P$8,G28)*POWER(Upgrades!$P$9,H28)*POWER(Upgrades!$P$10,I28)*POWER(Upgrades!$P$11,J28)*POWER(Upgrades!$P$12,K28)*60</f>
        <v>0</v>
      </c>
      <c r="AF28" s="27" t="n">
        <f aca="false">Parameters!$B$9*POWER(Upgrades!$Q$6,E28)*POWER(Upgrades!$Q$7,F28)*POWER(Upgrades!$Q$8,G28)*POWER(Upgrades!$Q$9,H28)*POWER(Upgrades!$Q$10,I28)*POWER(Upgrades!$Q$11,J28)*POWER(Upgrades!$Q$12,K28)*(Parameters!$B$10*Parameters!$B$11+O28*60)</f>
        <v>100</v>
      </c>
      <c r="AG28" s="21" t="n">
        <f aca="false">IF(E28&gt;=Upgrades!$E$6,"",Upgrades!$C$6*POWER(Upgrades!$D$6,E28))</f>
        <v>18.6201391632812</v>
      </c>
      <c r="AH28" s="21" t="n">
        <f aca="false">IF(F28&gt;=Upgrades!$E$7,"",Upgrades!$C$7*POWER(Upgrades!$D$7,F28))</f>
        <v>46.2612153125</v>
      </c>
      <c r="AI28" s="21" t="n">
        <f aca="false">IF(G28&gt;=Upgrades!$E$8,"",Upgrades!$C$8*POWER(Upgrades!$D$8,G28))</f>
        <v>118.32128</v>
      </c>
      <c r="AJ28" s="21" t="n">
        <f aca="false">IF(H28&gt;=Upgrades!$E$9,"",Upgrades!$C$9*POWER(Upgrades!$D$9,H28))</f>
        <v>320</v>
      </c>
      <c r="AK28" s="21" t="str">
        <f aca="false">IF(I28&gt;=Upgrades!$E$10,"",Upgrades!$C$10*POWER(Upgrades!$D$10,I28))</f>
        <v/>
      </c>
      <c r="AL28" s="21" t="n">
        <f aca="false">IF(J28&gt;=Upgrades!$E$11,"",Upgrades!$C$11*POWER(Upgrades!$D$11,J28))</f>
        <v>575</v>
      </c>
      <c r="AM28" s="21" t="n">
        <f aca="false">IF(K28&gt;=Upgrades!$E$12,"",Upgrades!$C$12*POWER(Upgrades!$D$12,K28))</f>
        <v>850</v>
      </c>
      <c r="AN28" s="26" t="str">
        <f aca="false">IF(AND(D28&gt;=Parameters!$B$18,(H28&gt;=Upgrades!$E$9)*(K28&gt;=Upgrades!$E$12)=1,L28=0),1,"")</f>
        <v/>
      </c>
      <c r="AO28" s="26" t="str">
        <f aca="false">IF(AND(D28&gt;=Parameters!$B$18,L28=0),1,"")</f>
        <v/>
      </c>
      <c r="AP28" s="21" t="n">
        <f aca="false">MIN(IF(ISNUMBER(AK28),AK28,9000000000000000),IF(ISNUMBER(AL28),AL28,9000000000000000),IF(ISNUMBER(AM28),AM28,9000000000000000))</f>
        <v>575</v>
      </c>
      <c r="AQ28" s="21" t="n">
        <f aca="false">MIN(IF(ISNUMBER(AG28),AG28,9000000000000000),IF(ISNUMBER(AH28),AH28,9000000000000000),IF(ISNUMBER(AI28),AI28,9000000000000000),IF(ISNUMBER(AJ28),AJ28,9000000000000000))</f>
        <v>18.6201391632812</v>
      </c>
      <c r="AR28" s="32" t="b">
        <f aca="false">IF(AW28&gt;Parameters!$B$21*(MAX(IF(AND(NOT(AND(AO28=1,AN28&lt;&gt;1)),ISNUMBER(AG28),AG28&lt;=T28),AS28,0),IF(AND(NOT(AND(AO28=1,AN28&lt;&gt;1)),ISNUMBER(AH28),AH28&lt;=T28),AT28,0),IF(AND(NOT(AND(AO28=1,AN28&lt;&gt;1)),ISNUMBER(AI28),AI28&lt;=T28),AU28,0),IF(AND(ISNUMBER(AJ28),AJ28&lt;=T28),AV28,0))),TRUE(),FALSE())</f>
        <v>0</v>
      </c>
      <c r="AS28" s="33" t="n">
        <f aca="false">IFERROR(Upgrades!$H$6*(POWER(Upgrades!$P$6,E28)*POWER(Upgrades!$P$7,F28)*POWER(Upgrades!$P$8,G28)*POWER(Upgrades!$P$9,H28)*POWER(Upgrades!$P$10,I28)*POWER(Upgrades!$P$11,J28)*POWER(Upgrades!$P$12,K28))*(IF(Upgrades!$T$7="Solar Wind",POWER(Upgrades!$U$7,F28),1)*IF(Upgrades!$T$8="Solar Wind",POWER(Upgrades!$U$8,G28),1)*IF(Upgrades!$T$9="Solar Wind",POWER(Upgrades!$U$9,H28),1)*IF(Upgrades!$T$10="Solar Wind",POWER(Upgrades!$U$10,I28),1)*IF(Upgrades!$T$11="Solar Wind",POWER(Upgrades!$U$11,J28),1)*IF(Upgrades!$T$12="Solar Wind",POWER(Upgrades!$U$12,K28),1))/AG28,0)</f>
        <v>0.00537052914175847</v>
      </c>
      <c r="AT28" s="33" t="n">
        <f aca="false">IFERROR(Upgrades!$H$7*(POWER(Upgrades!$P$6,E28)*POWER(Upgrades!$P$7,F28)*POWER(Upgrades!$P$8,G28)*POWER(Upgrades!$P$9,H28)*POWER(Upgrades!$P$10,I28)*POWER(Upgrades!$P$11,J28)*POWER(Upgrades!$P$12,K28))*(IF(Upgrades!$T$6="Asteroid Belt",POWER(Upgrades!$U$6,E28),1)*IF(Upgrades!$T$8="Asteroid Belt",POWER(Upgrades!$U$8,G28),1)*IF(Upgrades!$T$9="Asteroid Belt",POWER(Upgrades!$U$9,H28),1)*IF(Upgrades!$T$10="Asteroid Belt",POWER(Upgrades!$U$10,I28),1)*IF(Upgrades!$T$11="Asteroid Belt",POWER(Upgrades!$U$11,J28),1)*IF(Upgrades!$T$12="Asteroid Belt",POWER(Upgrades!$U$12,K28),1))/AH28,0)</f>
        <v>0.00540409494889446</v>
      </c>
      <c r="AU28" s="33" t="n">
        <f aca="false">IFERROR(Upgrades!$K$8*(POWER(Upgrades!$Q$6,E28)*POWER(Upgrades!$Q$7,F28)*POWER(Upgrades!$Q$8,G28)*POWER(Upgrades!$Q$9,H28)*POWER(Upgrades!$Q$10,I28)*POWER(Upgrades!$Q$11,J28)*POWER(Upgrades!$Q$12,K28))*(IF(Upgrades!$T$6="Stellar Coupling",POWER(Upgrades!$U$6,E28),1)*IF(Upgrades!$T$7="Stellar Coupling",POWER(Upgrades!$U$7,F28),1)*IF(Upgrades!$T$9="Stellar Coupling",POWER(Upgrades!$U$9,H28),1)*IF(Upgrades!$T$10="Stellar Coupling",POWER(Upgrades!$U$10,I28),1)*IF(Upgrades!$T$11="Stellar Coupling",POWER(Upgrades!$U$11,J28),1)*IF(Upgrades!$T$12="Stellar Coupling",POWER(Upgrades!$U$12,K28),1))*Parameters!$B$10*Parameters!$B$11/60/AI28,0)</f>
        <v>0.00493007963853445</v>
      </c>
      <c r="AV28" s="33" t="n">
        <f aca="false">IFERROR(Upgrades!$H$9*(POWER(Upgrades!$P$6,E28)*POWER(Upgrades!$P$7,F28)*POWER(Upgrades!$P$8,G28)*POWER(Upgrades!$P$9,H28)*POWER(Upgrades!$P$10,I28)*POWER(Upgrades!$P$11,J28)*POWER(Upgrades!$P$12,K28))*(IF(Upgrades!$T$6="Magnetosphere",POWER(Upgrades!$U$6,E28),1)*IF(Upgrades!$T$7="Magnetosphere",POWER(Upgrades!$U$7,F28),1)*IF(Upgrades!$T$8="Magnetosphere",POWER(Upgrades!$U$8,G28),1)*IF(Upgrades!$T$10="Magnetosphere",POWER(Upgrades!$U$10,I28),1)*IF(Upgrades!$T$11="Magnetosphere",POWER(Upgrades!$U$11,J28),1)*IF(Upgrades!$T$12="Magnetosphere",POWER(Upgrades!$U$12,K28),1))/AJ28,0)</f>
        <v>0.00390625</v>
      </c>
      <c r="AW28" s="33" t="n">
        <f aca="false">MAX(IF(I28&gt;0,0,IFERROR(0.25*N28/Upgrades!$C$10,0)),IF(J28&gt;0,0,IFERROR(0.5*((IF(G28=0,0,(Upgrades!$J$8+G28*Upgrades!$K$8)*POWER(Upgrades!$L$8,G28)))*(IF(Upgrades!$T$6="Stellar Coupling",POWER(Upgrades!$U$6,E28),1)*IF(Upgrades!$T$7="Stellar Coupling",POWER(Upgrades!$U$7,F28),1)*IF(Upgrades!$T$9="Stellar Coupling",POWER(Upgrades!$U$9,H28),1)*IF(Upgrades!$T$10="Stellar Coupling",POWER(Upgrades!$U$10,I28),1)*IF(Upgrades!$T$11="Stellar Coupling",POWER(Upgrades!$U$11,J28),1)*IF(Upgrades!$T$12="Stellar Coupling",POWER(Upgrades!$U$12,K28),1))*(POWER(Upgrades!$Q$6,E28)*POWER(Upgrades!$Q$7,F28)*POWER(Upgrades!$Q$8,G28)*POWER(Upgrades!$Q$9,H28)*POWER(Upgrades!$Q$10,I28)*POWER(Upgrades!$Q$11,J28)*POWER(Upgrades!$Q$12,K28))*Parameters!$B$10*Parameters!$B$11/60)/Upgrades!$C$11,0)),IF(K28&gt;0,0,IFERROR((1*(POWER(Upgrades!$P$6,E28)*POWER(Upgrades!$P$7,F28)*POWER(Upgrades!$P$8,G28)*POWER(Upgrades!$P$9,H28)*POWER(Upgrades!$P$10,I28)*POWER(Upgrades!$P$11,J28)*POWER(Upgrades!$P$12,K28))+0.2*M28*Parameters!$B$10*Parameters!$B$11/60)/Upgrades!$C$12,0)),IF(AND(ISNUMBER(AG28),AG28&gt;T28),AS28,0),IF(AND(ISNUMBER(AH28),AH28&gt;T28),AT28,0),IF(AND(ISNUMBER(AI28),AI28&gt;T28),AU28,0),IF(AND(ISNUMBER(AJ28),AJ28&gt;T28),AV28,0))</f>
        <v>0.00390625</v>
      </c>
      <c r="AX28" s="29" t="str">
        <f aca="false">IF(AN28=1,"transition",IF(MIN(IF(AND(I28=0,ISNUMBER(AK28),AK28&lt;=T28),AK28,9000000000000000),IF(AND(J28=0,ISNUMBER(AL28),AL28&lt;=T28),AL28,9000000000000000),IF(AND(K28=0,ISNUMBER(AM28),AM28&lt;=T28),AM28,9000000000000000))&lt;9000000000000000,IF(AND(AND(I28=0,ISNUMBER(AK28),AK28&lt;=T28),AK28=MIN(IF(AND(I28=0,ISNUMBER(AK28),AK28&lt;=T28),AK28,9000000000000000),IF(AND(J28=0,ISNUMBER(AL28),AL28&lt;=T28),AL28,9000000000000000),IF(AND(K28=0,ISNUMBER(AM28),AM28&lt;=T28),AM28,9000000000000000))),"OR",IF(AND(AND(J28=0,ISNUMBER(AL28),AL28&lt;=T28),AL28=MIN(IF(AND(I28=0,ISNUMBER(AK28),AK28&lt;=T28),AK28,9000000000000000),IF(AND(J28=0,ISNUMBER(AL28),AL28&lt;=T28),AL28,9000000000000000),IF(AND(K28=0,ISNUMBER(AM28),AM28&lt;=T28),AM28,9000000000000000))),"HP","FP")),IF(AR28=TRUE(),"",IF(MAX(IF(AND(NOT(AND(AO28=1,AN28&lt;&gt;1)),ISNUMBER(AG28),AG28&lt;=T28),AS28,0),IF(AND(NOT(AND(AO28=1,AN28&lt;&gt;1)),ISNUMBER(AH28),AH28&lt;=T28),AT28,0),IF(AND(NOT(AND(AO28=1,AN28&lt;&gt;1)),ISNUMBER(AI28),AI28&lt;=T28),AU28,0),IF(AND(ISNUMBER(AJ28),AJ28&lt;=T28),AV28,0))&lt;=0,"",IF(AND(IF(AND(NOT(AND(AO28=1,AN28&lt;&gt;1)),ISNUMBER(AG28),AG28&lt;=T28),AS28,0)&gt;0,IF(AND(NOT(AND(AO28=1,AN28&lt;&gt;1)),ISNUMBER(AG28),AG28&lt;=T28),AS28,0)=MAX(IF(AND(NOT(AND(AO28=1,AN28&lt;&gt;1)),ISNUMBER(AG28),AG28&lt;=T28),AS28,0),IF(AND(NOT(AND(AO28=1,AN28&lt;&gt;1)),ISNUMBER(AH28),AH28&lt;=T28),AT28,0),IF(AND(NOT(AND(AO28=1,AN28&lt;&gt;1)),ISNUMBER(AI28),AI28&lt;=T28),AU28,0),IF(AND(ISNUMBER(AJ28),AJ28&lt;=T28),AV28,0))),"SW",IF(AND(IF(AND(NOT(AND(AO28=1,AN28&lt;&gt;1)),ISNUMBER(AH28),AH28&lt;=T28),AT28,0)&gt;0,IF(AND(NOT(AND(AO28=1,AN28&lt;&gt;1)),ISNUMBER(AH28),AH28&lt;=T28),AT28,0)=MAX(IF(AND(NOT(AND(AO28=1,AN28&lt;&gt;1)),ISNUMBER(AG28),AG28&lt;=T28),AS28,0),IF(AND(NOT(AND(AO28=1,AN28&lt;&gt;1)),ISNUMBER(AH28),AH28&lt;=T28),AT28,0),IF(AND(NOT(AND(AO28=1,AN28&lt;&gt;1)),ISNUMBER(AI28),AI28&lt;=T28),AU28,0),IF(AND(ISNUMBER(AJ28),AJ28&lt;=T28),AV28,0))),"AB",IF(AND(IF(AND(NOT(AND(AO28=1,AN28&lt;&gt;1)),ISNUMBER(AI28),AI28&lt;=T28),AU28,0)&gt;0,IF(AND(NOT(AND(AO28=1,AN28&lt;&gt;1)),ISNUMBER(AI28),AI28&lt;=T28),AU28,0)=MAX(IF(AND(NOT(AND(AO28=1,AN28&lt;&gt;1)),ISNUMBER(AG28),AG28&lt;=T28),AS28,0),IF(AND(NOT(AND(AO28=1,AN28&lt;&gt;1)),ISNUMBER(AH28),AH28&lt;=T28),AT28,0),IF(AND(NOT(AND(AO28=1,AN28&lt;&gt;1)),ISNUMBER(AI28),AI28&lt;=T28),AU28,0),IF(AND(ISNUMBER(AJ28),AJ28&lt;=T28),AV28,0))),"SC","Mag")))))))</f>
        <v>AB</v>
      </c>
    </row>
    <row r="29" customFormat="false" ht="15" hidden="false" customHeight="false" outlineLevel="0" collapsed="false">
      <c r="A29" s="26" t="n">
        <v>24</v>
      </c>
      <c r="B29" s="27" t="n">
        <f aca="false">A29*10/60</f>
        <v>4</v>
      </c>
      <c r="C29" s="21" t="n">
        <f aca="false">X28</f>
        <v>230.426554848958</v>
      </c>
      <c r="D29" s="27" t="n">
        <f aca="false">D28+W28</f>
        <v>0.4</v>
      </c>
      <c r="E29" s="26" t="n">
        <f aca="false">E28+IF(U28="SW",1,0)</f>
        <v>7</v>
      </c>
      <c r="F29" s="26" t="n">
        <f aca="false">F28+IF(U28="AB",1,0)</f>
        <v>7</v>
      </c>
      <c r="G29" s="26" t="n">
        <f aca="false">G28+IF(U28="SC",1,0)</f>
        <v>5</v>
      </c>
      <c r="H29" s="26" t="n">
        <f aca="false">H28+IF(U28="Mag",1,0)</f>
        <v>2</v>
      </c>
      <c r="I29" s="26" t="n">
        <f aca="false">MAX(I28,IF(U28="OR",1,0))</f>
        <v>1</v>
      </c>
      <c r="J29" s="26" t="n">
        <f aca="false">MAX(J28,IF(U28="HP",1,0))</f>
        <v>0</v>
      </c>
      <c r="K29" s="26" t="n">
        <f aca="false">MAX(K28,IF(U28="FP",1,0))</f>
        <v>0</v>
      </c>
      <c r="L29" s="26" t="n">
        <f aca="false">MAX(L28,IF(U28="transition",1,0))</f>
        <v>0</v>
      </c>
      <c r="M29" s="28" t="n">
        <f aca="false">(Parameters!$B$9+(IF(E29=0,0,(Upgrades!$J$6+E29*Upgrades!$K$6)*POWER(Upgrades!$L$6,E29)))*(IF(Upgrades!$T$7="Solar Wind",POWER(Upgrades!$U$7,F29),1)*IF(Upgrades!$T$8="Solar Wind",POWER(Upgrades!$U$8,G29),1)*IF(Upgrades!$T$9="Solar Wind",POWER(Upgrades!$U$9,H29),1)*IF(Upgrades!$T$10="Solar Wind",POWER(Upgrades!$U$10,I29),1)*IF(Upgrades!$T$11="Solar Wind",POWER(Upgrades!$U$11,J29),1)*IF(Upgrades!$T$12="Solar Wind",POWER(Upgrades!$U$12,K29),1))+(IF(F29=0,0,(Upgrades!$J$7+F29*Upgrades!$K$7)*POWER(Upgrades!$L$7,F29)))*(IF(Upgrades!$T$6="Asteroid Belt",POWER(Upgrades!$U$6,E29),1)*IF(Upgrades!$T$8="Asteroid Belt",POWER(Upgrades!$U$8,G29),1)*IF(Upgrades!$T$9="Asteroid Belt",POWER(Upgrades!$U$9,H29),1)*IF(Upgrades!$T$10="Asteroid Belt",POWER(Upgrades!$U$10,I29),1)*IF(Upgrades!$T$11="Asteroid Belt",POWER(Upgrades!$U$11,J29),1)*IF(Upgrades!$T$12="Asteroid Belt",POWER(Upgrades!$U$12,K29),1))+(IF(G29=0,0,(Upgrades!$J$8+G29*Upgrades!$K$8)*POWER(Upgrades!$L$8,G29)))*(IF(Upgrades!$T$6="Stellar Coupling",POWER(Upgrades!$U$6,E29),1)*IF(Upgrades!$T$7="Stellar Coupling",POWER(Upgrades!$U$7,F29),1)*IF(Upgrades!$T$9="Stellar Coupling",POWER(Upgrades!$U$9,H29),1)*IF(Upgrades!$T$10="Stellar Coupling",POWER(Upgrades!$U$10,I29),1)*IF(Upgrades!$T$11="Stellar Coupling",POWER(Upgrades!$U$11,J29),1)*IF(Upgrades!$T$12="Stellar Coupling",POWER(Upgrades!$U$12,K29),1))+(IF(H29=0,0,(Upgrades!$J$9+H29*Upgrades!$K$9)*POWER(Upgrades!$L$9,H29)))*(IF(Upgrades!$T$6="Magnetosphere",POWER(Upgrades!$U$6,E29),1)*IF(Upgrades!$T$7="Magnetosphere",POWER(Upgrades!$U$7,F29),1)*IF(Upgrades!$T$8="Magnetosphere",POWER(Upgrades!$U$8,G29),1)*IF(Upgrades!$T$10="Magnetosphere",POWER(Upgrades!$U$10,I29),1)*IF(Upgrades!$T$11="Magnetosphere",POWER(Upgrades!$U$11,J29),1)*IF(Upgrades!$T$12="Magnetosphere",POWER(Upgrades!$U$12,K29),1))+(IF(I29=0,0,(Upgrades!$J$10+I29*Upgrades!$K$10)*POWER(Upgrades!$L$10,I29)))*(IF(Upgrades!$T$6="Orbital Resonance",POWER(Upgrades!$U$6,E29),1)*IF(Upgrades!$T$7="Orbital Resonance",POWER(Upgrades!$U$7,F29),1)*IF(Upgrades!$T$8="Orbital Resonance",POWER(Upgrades!$U$8,G29),1)*IF(Upgrades!$T$9="Orbital Resonance",POWER(Upgrades!$U$9,H29),1)*IF(Upgrades!$T$11="Orbital Resonance",POWER(Upgrades!$U$11,J29),1)*IF(Upgrades!$T$12="Orbital Resonance",POWER(Upgrades!$U$12,K29),1))+(IF(J29=0,0,(Upgrades!$J$11+J29*Upgrades!$K$11)*POWER(Upgrades!$L$11,J29)))*(IF(Upgrades!$T$6="Heliopause",POWER(Upgrades!$U$6,E29),1)*IF(Upgrades!$T$7="Heliopause",POWER(Upgrades!$U$7,F29),1)*IF(Upgrades!$T$8="Heliopause",POWER(Upgrades!$U$8,G29),1)*IF(Upgrades!$T$9="Heliopause",POWER(Upgrades!$U$9,H29),1)*IF(Upgrades!$T$10="Heliopause",POWER(Upgrades!$U$10,I29),1)*IF(Upgrades!$T$12="Heliopause",POWER(Upgrades!$U$12,K29),1))+(IF(K29=0,0,(Upgrades!$J$12+K29*Upgrades!$K$12)*POWER(Upgrades!$L$12,K29)))*(IF(Upgrades!$T$6="First Photons",POWER(Upgrades!$U$6,E29),1)*IF(Upgrades!$T$7="First Photons",POWER(Upgrades!$U$7,F29),1)*IF(Upgrades!$T$8="First Photons",POWER(Upgrades!$U$8,G29),1)*IF(Upgrades!$T$9="First Photons",POWER(Upgrades!$U$9,H29),1)*IF(Upgrades!$T$10="First Photons",POWER(Upgrades!$U$10,I29),1)*IF(Upgrades!$T$11="First Photons",POWER(Upgrades!$U$11,J29),1)))*POWER(Upgrades!$Q$6,E29)*POWER(Upgrades!$Q$7,F29)*POWER(Upgrades!$Q$8,G29)*POWER(Upgrades!$Q$9,H29)*POWER(Upgrades!$Q$10,I29)*POWER(Upgrades!$Q$11,J29)*POWER(Upgrades!$Q$12,K29)</f>
        <v>2.75</v>
      </c>
      <c r="N29" s="28" t="n">
        <f aca="false">((IF(E29=0,0,(Upgrades!$G$6+E29*Upgrades!$H$6)*POWER(Upgrades!$I$6,E29)))*(IF(Upgrades!$T$7="Solar Wind",POWER(Upgrades!$U$7,F29),1)*IF(Upgrades!$T$8="Solar Wind",POWER(Upgrades!$U$8,G29),1)*IF(Upgrades!$T$9="Solar Wind",POWER(Upgrades!$U$9,H29),1)*IF(Upgrades!$T$10="Solar Wind",POWER(Upgrades!$U$10,I29),1)*IF(Upgrades!$T$11="Solar Wind",POWER(Upgrades!$U$11,J29),1)*IF(Upgrades!$T$12="Solar Wind",POWER(Upgrades!$U$12,K29),1))+(IF(F29=0,0,(Upgrades!$G$7+F29*Upgrades!$H$7)*POWER(Upgrades!$I$7,F29)))*(IF(Upgrades!$T$6="Asteroid Belt",POWER(Upgrades!$U$6,E29),1)*IF(Upgrades!$T$8="Asteroid Belt",POWER(Upgrades!$U$8,G29),1)*IF(Upgrades!$T$9="Asteroid Belt",POWER(Upgrades!$U$9,H29),1)*IF(Upgrades!$T$10="Asteroid Belt",POWER(Upgrades!$U$10,I29),1)*IF(Upgrades!$T$11="Asteroid Belt",POWER(Upgrades!$U$11,J29),1)*IF(Upgrades!$T$12="Asteroid Belt",POWER(Upgrades!$U$12,K29),1))+(IF(G29=0,0,(Upgrades!$G$8+G29*Upgrades!$H$8)*POWER(Upgrades!$I$8,G29)))*(IF(Upgrades!$T$6="Stellar Coupling",POWER(Upgrades!$U$6,E29),1)*IF(Upgrades!$T$7="Stellar Coupling",POWER(Upgrades!$U$7,F29),1)*IF(Upgrades!$T$9="Stellar Coupling",POWER(Upgrades!$U$9,H29),1)*IF(Upgrades!$T$10="Stellar Coupling",POWER(Upgrades!$U$10,I29),1)*IF(Upgrades!$T$11="Stellar Coupling",POWER(Upgrades!$U$11,J29),1)*IF(Upgrades!$T$12="Stellar Coupling",POWER(Upgrades!$U$12,K29),1))+(IF(H29=0,0,(Upgrades!$G$9+H29*Upgrades!$H$9)*POWER(Upgrades!$I$9,H29)))*(IF(Upgrades!$T$6="Magnetosphere",POWER(Upgrades!$U$6,E29),1)*IF(Upgrades!$T$7="Magnetosphere",POWER(Upgrades!$U$7,F29),1)*IF(Upgrades!$T$8="Magnetosphere",POWER(Upgrades!$U$8,G29),1)*IF(Upgrades!$T$10="Magnetosphere",POWER(Upgrades!$U$10,I29),1)*IF(Upgrades!$T$11="Magnetosphere",POWER(Upgrades!$U$11,J29),1)*IF(Upgrades!$T$12="Magnetosphere",POWER(Upgrades!$U$12,K29),1))+(IF(I29=0,0,(Upgrades!$G$10+I29*Upgrades!$H$10)*POWER(Upgrades!$I$10,I29)))*(IF(Upgrades!$T$6="Orbital Resonance",POWER(Upgrades!$U$6,E29),1)*IF(Upgrades!$T$7="Orbital Resonance",POWER(Upgrades!$U$7,F29),1)*IF(Upgrades!$T$8="Orbital Resonance",POWER(Upgrades!$U$8,G29),1)*IF(Upgrades!$T$9="Orbital Resonance",POWER(Upgrades!$U$9,H29),1)*IF(Upgrades!$T$11="Orbital Resonance",POWER(Upgrades!$U$11,J29),1)*IF(Upgrades!$T$12="Orbital Resonance",POWER(Upgrades!$U$12,K29),1))+(IF(J29=0,0,(Upgrades!$G$11+J29*Upgrades!$H$11)*POWER(Upgrades!$I$11,J29)))*(IF(Upgrades!$T$6="Heliopause",POWER(Upgrades!$U$6,E29),1)*IF(Upgrades!$T$7="Heliopause",POWER(Upgrades!$U$7,F29),1)*IF(Upgrades!$T$8="Heliopause",POWER(Upgrades!$U$8,G29),1)*IF(Upgrades!$T$9="Heliopause",POWER(Upgrades!$U$9,H29),1)*IF(Upgrades!$T$10="Heliopause",POWER(Upgrades!$U$10,I29),1)*IF(Upgrades!$T$12="Heliopause",POWER(Upgrades!$U$12,K29),1))+(IF(K29=0,0,(Upgrades!$G$12+K29*Upgrades!$H$12)*POWER(Upgrades!$I$12,K29)))*(IF(Upgrades!$T$6="First Photons",POWER(Upgrades!$U$6,E29),1)*IF(Upgrades!$T$7="First Photons",POWER(Upgrades!$U$7,F29),1)*IF(Upgrades!$T$8="First Photons",POWER(Upgrades!$U$8,G29),1)*IF(Upgrades!$T$9="First Photons",POWER(Upgrades!$U$9,H29),1)*IF(Upgrades!$T$10="First Photons",POWER(Upgrades!$U$10,I29),1)*IF(Upgrades!$T$11="First Photons",POWER(Upgrades!$U$11,J29),1)))*POWER(Upgrades!$P$6,E29)*POWER(Upgrades!$P$7,F29)*POWER(Upgrades!$P$8,G29)*POWER(Upgrades!$P$9,H29)*POWER(Upgrades!$P$10,I29)*POWER(Upgrades!$P$11,J29)*POWER(Upgrades!$P$12,K29)</f>
        <v>4.95</v>
      </c>
      <c r="O29" s="28" t="n">
        <f aca="false">((IF(E29=0,0,(Upgrades!$M$6+E29*Upgrades!$N$6)*POWER(Upgrades!$O$6,E29)))*(IF(Upgrades!$T$7="Solar Wind",POWER(Upgrades!$U$7,F29),1)*IF(Upgrades!$T$8="Solar Wind",POWER(Upgrades!$U$8,G29),1)*IF(Upgrades!$T$9="Solar Wind",POWER(Upgrades!$U$9,H29),1)*IF(Upgrades!$T$10="Solar Wind",POWER(Upgrades!$U$10,I29),1)*IF(Upgrades!$T$11="Solar Wind",POWER(Upgrades!$U$11,J29),1)*IF(Upgrades!$T$12="Solar Wind",POWER(Upgrades!$U$12,K29),1))+(IF(F29=0,0,(Upgrades!$M$7+F29*Upgrades!$N$7)*POWER(Upgrades!$O$7,F29)))*(IF(Upgrades!$T$6="Asteroid Belt",POWER(Upgrades!$U$6,E29),1)*IF(Upgrades!$T$8="Asteroid Belt",POWER(Upgrades!$U$8,G29),1)*IF(Upgrades!$T$9="Asteroid Belt",POWER(Upgrades!$U$9,H29),1)*IF(Upgrades!$T$10="Asteroid Belt",POWER(Upgrades!$U$10,I29),1)*IF(Upgrades!$T$11="Asteroid Belt",POWER(Upgrades!$U$11,J29),1)*IF(Upgrades!$T$12="Asteroid Belt",POWER(Upgrades!$U$12,K29),1))+(IF(G29=0,0,(Upgrades!$M$8+G29*Upgrades!$N$8)*POWER(Upgrades!$O$8,G29)))*(IF(Upgrades!$T$6="Stellar Coupling",POWER(Upgrades!$U$6,E29),1)*IF(Upgrades!$T$7="Stellar Coupling",POWER(Upgrades!$U$7,F29),1)*IF(Upgrades!$T$9="Stellar Coupling",POWER(Upgrades!$U$9,H29),1)*IF(Upgrades!$T$10="Stellar Coupling",POWER(Upgrades!$U$10,I29),1)*IF(Upgrades!$T$11="Stellar Coupling",POWER(Upgrades!$U$11,J29),1)*IF(Upgrades!$T$12="Stellar Coupling",POWER(Upgrades!$U$12,K29),1))+(IF(H29=0,0,(Upgrades!$M$9+H29*Upgrades!$N$9)*POWER(Upgrades!$O$9,H29)))*(IF(Upgrades!$T$6="Magnetosphere",POWER(Upgrades!$U$6,E29),1)*IF(Upgrades!$T$7="Magnetosphere",POWER(Upgrades!$U$7,F29),1)*IF(Upgrades!$T$8="Magnetosphere",POWER(Upgrades!$U$8,G29),1)*IF(Upgrades!$T$10="Magnetosphere",POWER(Upgrades!$U$10,I29),1)*IF(Upgrades!$T$11="Magnetosphere",POWER(Upgrades!$U$11,J29),1)*IF(Upgrades!$T$12="Magnetosphere",POWER(Upgrades!$U$12,K29),1))+(IF(I29=0,0,(Upgrades!$M$10+I29*Upgrades!$N$10)*POWER(Upgrades!$O$10,I29)))*(IF(Upgrades!$T$6="Orbital Resonance",POWER(Upgrades!$U$6,E29),1)*IF(Upgrades!$T$7="Orbital Resonance",POWER(Upgrades!$U$7,F29),1)*IF(Upgrades!$T$8="Orbital Resonance",POWER(Upgrades!$U$8,G29),1)*IF(Upgrades!$T$9="Orbital Resonance",POWER(Upgrades!$U$9,H29),1)*IF(Upgrades!$T$11="Orbital Resonance",POWER(Upgrades!$U$11,J29),1)*IF(Upgrades!$T$12="Orbital Resonance",POWER(Upgrades!$U$12,K29),1))+(IF(J29=0,0,(Upgrades!$M$11+J29*Upgrades!$N$11)*POWER(Upgrades!$O$11,J29)))*(IF(Upgrades!$T$6="Heliopause",POWER(Upgrades!$U$6,E29),1)*IF(Upgrades!$T$7="Heliopause",POWER(Upgrades!$U$7,F29),1)*IF(Upgrades!$T$8="Heliopause",POWER(Upgrades!$U$8,G29),1)*IF(Upgrades!$T$9="Heliopause",POWER(Upgrades!$U$9,H29),1)*IF(Upgrades!$T$10="Heliopause",POWER(Upgrades!$U$10,I29),1)*IF(Upgrades!$T$12="Heliopause",POWER(Upgrades!$U$12,K29),1))+(IF(K29=0,0,(Upgrades!$M$12+K29*Upgrades!$N$12)*POWER(Upgrades!$O$12,K29)))*(IF(Upgrades!$T$6="First Photons",POWER(Upgrades!$U$6,E29),1)*IF(Upgrades!$T$7="First Photons",POWER(Upgrades!$U$7,F29),1)*IF(Upgrades!$T$8="First Photons",POWER(Upgrades!$U$8,G29),1)*IF(Upgrades!$T$9="First Photons",POWER(Upgrades!$U$9,H29),1)*IF(Upgrades!$T$10="First Photons",POWER(Upgrades!$U$10,I29),1)*IF(Upgrades!$T$11="First Photons",POWER(Upgrades!$U$11,J29),1)))*POWER(Upgrades!$R$6,E29)*POWER(Upgrades!$R$7,F29)*POWER(Upgrades!$R$8,G29)*POWER(Upgrades!$R$9,H29)*POWER(Upgrades!$R$10,I29)*POWER(Upgrades!$R$11,J29)*POWER(Upgrades!$R$12,K29)</f>
        <v>0</v>
      </c>
      <c r="P29" s="27" t="n">
        <f aca="false">IF(L29=1,0,M29*Parameters!$B$10/60*Parameters!$B$11*10)</f>
        <v>45.8333333333333</v>
      </c>
      <c r="Q29" s="27" t="n">
        <f aca="false">IF(L29=1,0,O29*M29*10)</f>
        <v>0</v>
      </c>
      <c r="R29" s="27" t="n">
        <f aca="false">IF(L29=1,0,N29*10)</f>
        <v>49.5</v>
      </c>
      <c r="S29" s="27" t="n">
        <f aca="false">P29+Q29+R29</f>
        <v>95.3333333333333</v>
      </c>
      <c r="T29" s="21" t="n">
        <f aca="false">C29+S29</f>
        <v>325.759888182292</v>
      </c>
      <c r="U29" s="34" t="str">
        <f aca="false">AX29</f>
        <v>SW</v>
      </c>
      <c r="V29" s="21" t="n">
        <f aca="false">IF(U29="",0,IF(U29="transition",0,IF(U29="SW",AG29,IF(U29="AB",AH29,IF(U29="SC",AI29,IF(U29="Mag",AJ29,IF(U29="OR",AK29,IF(U29="HP",AL29,IF(U29="FP",AM29,0)))))))))</f>
        <v>18.6201391632812</v>
      </c>
      <c r="W29" s="27" t="n">
        <f aca="false">IF(U29="OR",Upgrades!$F$10,IF(U29="HP",Upgrades!$F$11,IF(U29="transition",-Parameters!$B$18,0)))</f>
        <v>0</v>
      </c>
      <c r="X29" s="21" t="n">
        <f aca="false">T29-V29</f>
        <v>307.139749019011</v>
      </c>
      <c r="Y29" s="30" t="n">
        <f aca="false">M29*Parameters!$B$10/60*Parameters!$B$11+O29*M29+N29</f>
        <v>9.53333333333333</v>
      </c>
      <c r="Z29" s="35" t="str">
        <f aca="false">IF(U29="transition","→ Tier 2 (Stellar Neighborhood)",IF(U29="FP","First Photons — light begins, system quickens",IF(U29="HP","Heliopause acquired",IF(U29="OR","Orbital Resonance — passive multiplier active",IF(AND(AO29=1,L29=0,AN29&lt;&gt;1),"Cohesion ready (waiting on completionist upgrades)","")))))</f>
        <v/>
      </c>
      <c r="AA29" s="27" t="n">
        <f aca="false">(IF(E29=0,0,(Upgrades!$G$6+E29*Upgrades!$H$6)*POWER(Upgrades!$I$6,E29)))*(IF(Upgrades!$T$7="Solar Wind",POWER(Upgrades!$U$7,F29),1)*IF(Upgrades!$T$8="Solar Wind",POWER(Upgrades!$U$8,G29),1)*IF(Upgrades!$T$9="Solar Wind",POWER(Upgrades!$U$9,H29),1)*IF(Upgrades!$T$10="Solar Wind",POWER(Upgrades!$U$10,I29),1)*IF(Upgrades!$T$11="Solar Wind",POWER(Upgrades!$U$11,J29),1)*IF(Upgrades!$T$12="Solar Wind",POWER(Upgrades!$U$12,K29),1))*POWER(Upgrades!$P$6,E29)*POWER(Upgrades!$P$7,F29)*POWER(Upgrades!$P$8,G29)*POWER(Upgrades!$P$9,H29)*POWER(Upgrades!$P$10,I29)*POWER(Upgrades!$P$11,J29)*POWER(Upgrades!$P$12,K29)*60</f>
        <v>42</v>
      </c>
      <c r="AB29" s="27" t="n">
        <f aca="false">(IF(F29=0,0,(Upgrades!$G$7+F29*Upgrades!$H$7)*POWER(Upgrades!$I$7,F29)))*(IF(Upgrades!$T$6="Asteroid Belt",POWER(Upgrades!$U$6,E29),1)*IF(Upgrades!$T$8="Asteroid Belt",POWER(Upgrades!$U$8,G29),1)*IF(Upgrades!$T$9="Asteroid Belt",POWER(Upgrades!$U$9,H29),1)*IF(Upgrades!$T$10="Asteroid Belt",POWER(Upgrades!$U$10,I29),1)*IF(Upgrades!$T$11="Asteroid Belt",POWER(Upgrades!$U$11,J29),1)*IF(Upgrades!$T$12="Asteroid Belt",POWER(Upgrades!$U$12,K29),1))*POWER(Upgrades!$P$6,E29)*POWER(Upgrades!$P$7,F29)*POWER(Upgrades!$P$8,G29)*POWER(Upgrades!$P$9,H29)*POWER(Upgrades!$P$10,I29)*POWER(Upgrades!$P$11,J29)*POWER(Upgrades!$P$12,K29)*60</f>
        <v>105</v>
      </c>
      <c r="AC29" s="27" t="n">
        <f aca="false">(IF(G29=0,0,(Upgrades!$J$8+G29*Upgrades!$K$8)*POWER(Upgrades!$L$8,G29)))*(IF(Upgrades!$T$6="Stellar Coupling",POWER(Upgrades!$U$6,E29),1)*IF(Upgrades!$T$7="Stellar Coupling",POWER(Upgrades!$U$7,F29),1)*IF(Upgrades!$T$9="Stellar Coupling",POWER(Upgrades!$U$9,H29),1)*IF(Upgrades!$T$10="Stellar Coupling",POWER(Upgrades!$U$10,I29),1)*IF(Upgrades!$T$11="Stellar Coupling",POWER(Upgrades!$U$11,J29),1)*IF(Upgrades!$T$12="Stellar Coupling",POWER(Upgrades!$U$12,K29),1))*POWER(Upgrades!$Q$6,E29)*POWER(Upgrades!$Q$7,F29)*POWER(Upgrades!$Q$8,G29)*POWER(Upgrades!$Q$9,H29)*POWER(Upgrades!$Q$10,I29)*POWER(Upgrades!$Q$11,J29)*POWER(Upgrades!$Q$12,K29)*Parameters!$B$10*Parameters!$B$11</f>
        <v>175</v>
      </c>
      <c r="AD29" s="27" t="n">
        <f aca="false">(IF(H29=0,0,(Upgrades!$G$9+H29*Upgrades!$H$9)*POWER(Upgrades!$I$9,H29)))*(IF(Upgrades!$T$6="Magnetosphere",POWER(Upgrades!$U$6,E29),1)*IF(Upgrades!$T$7="Magnetosphere",POWER(Upgrades!$U$7,F29),1)*IF(Upgrades!$T$8="Magnetosphere",POWER(Upgrades!$U$8,G29),1)*IF(Upgrades!$T$10="Magnetosphere",POWER(Upgrades!$U$10,I29),1)*IF(Upgrades!$T$11="Magnetosphere",POWER(Upgrades!$U$11,J29),1)*IF(Upgrades!$T$12="Magnetosphere",POWER(Upgrades!$U$12,K29),1))*POWER(Upgrades!$P$6,E29)*POWER(Upgrades!$P$7,F29)*POWER(Upgrades!$P$8,G29)*POWER(Upgrades!$P$9,H29)*POWER(Upgrades!$P$10,I29)*POWER(Upgrades!$P$11,J29)*POWER(Upgrades!$P$12,K29)*60</f>
        <v>150</v>
      </c>
      <c r="AE29" s="27" t="n">
        <f aca="false">(IF(K29=0,0,(Upgrades!$G$12+K29*Upgrades!$H$12)*POWER(Upgrades!$I$12,K29)))*(IF(Upgrades!$T$6="First Photons",POWER(Upgrades!$U$6,E29),1)*IF(Upgrades!$T$7="First Photons",POWER(Upgrades!$U$7,F29),1)*IF(Upgrades!$T$8="First Photons",POWER(Upgrades!$U$8,G29),1)*IF(Upgrades!$T$9="First Photons",POWER(Upgrades!$U$9,H29),1)*IF(Upgrades!$T$10="First Photons",POWER(Upgrades!$U$10,I29),1)*IF(Upgrades!$T$11="First Photons",POWER(Upgrades!$U$11,J29),1))*POWER(Upgrades!$P$6,E29)*POWER(Upgrades!$P$7,F29)*POWER(Upgrades!$P$8,G29)*POWER(Upgrades!$P$9,H29)*POWER(Upgrades!$P$10,I29)*POWER(Upgrades!$P$11,J29)*POWER(Upgrades!$P$12,K29)*60</f>
        <v>0</v>
      </c>
      <c r="AF29" s="27" t="n">
        <f aca="false">Parameters!$B$9*POWER(Upgrades!$Q$6,E29)*POWER(Upgrades!$Q$7,F29)*POWER(Upgrades!$Q$8,G29)*POWER(Upgrades!$Q$9,H29)*POWER(Upgrades!$Q$10,I29)*POWER(Upgrades!$Q$11,J29)*POWER(Upgrades!$Q$12,K29)*(Parameters!$B$10*Parameters!$B$11+O29*60)</f>
        <v>100</v>
      </c>
      <c r="AG29" s="21" t="n">
        <f aca="false">IF(E29&gt;=Upgrades!$E$6,"",Upgrades!$C$6*POWER(Upgrades!$D$6,E29))</f>
        <v>18.6201391632812</v>
      </c>
      <c r="AH29" s="21" t="n">
        <f aca="false">IF(F29&gt;=Upgrades!$E$7,"",Upgrades!$C$7*POWER(Upgrades!$D$7,F29))</f>
        <v>53.200397609375</v>
      </c>
      <c r="AI29" s="21" t="n">
        <f aca="false">IF(G29&gt;=Upgrades!$E$8,"",Upgrades!$C$8*POWER(Upgrades!$D$8,G29))</f>
        <v>118.32128</v>
      </c>
      <c r="AJ29" s="21" t="n">
        <f aca="false">IF(H29&gt;=Upgrades!$E$9,"",Upgrades!$C$9*POWER(Upgrades!$D$9,H29))</f>
        <v>320</v>
      </c>
      <c r="AK29" s="21" t="str">
        <f aca="false">IF(I29&gt;=Upgrades!$E$10,"",Upgrades!$C$10*POWER(Upgrades!$D$10,I29))</f>
        <v/>
      </c>
      <c r="AL29" s="21" t="n">
        <f aca="false">IF(J29&gt;=Upgrades!$E$11,"",Upgrades!$C$11*POWER(Upgrades!$D$11,J29))</f>
        <v>575</v>
      </c>
      <c r="AM29" s="21" t="n">
        <f aca="false">IF(K29&gt;=Upgrades!$E$12,"",Upgrades!$C$12*POWER(Upgrades!$D$12,K29))</f>
        <v>850</v>
      </c>
      <c r="AN29" s="26" t="str">
        <f aca="false">IF(AND(D29&gt;=Parameters!$B$18,(H29&gt;=Upgrades!$E$9)*(K29&gt;=Upgrades!$E$12)=1,L29=0),1,"")</f>
        <v/>
      </c>
      <c r="AO29" s="26" t="str">
        <f aca="false">IF(AND(D29&gt;=Parameters!$B$18,L29=0),1,"")</f>
        <v/>
      </c>
      <c r="AP29" s="21" t="n">
        <f aca="false">MIN(IF(ISNUMBER(AK29),AK29,9000000000000000),IF(ISNUMBER(AL29),AL29,9000000000000000),IF(ISNUMBER(AM29),AM29,9000000000000000))</f>
        <v>575</v>
      </c>
      <c r="AQ29" s="21" t="n">
        <f aca="false">MIN(IF(ISNUMBER(AG29),AG29,9000000000000000),IF(ISNUMBER(AH29),AH29,9000000000000000),IF(ISNUMBER(AI29),AI29,9000000000000000),IF(ISNUMBER(AJ29),AJ29,9000000000000000))</f>
        <v>18.6201391632812</v>
      </c>
      <c r="AR29" s="32" t="b">
        <f aca="false">IF(AW29&gt;Parameters!$B$21*(MAX(IF(AND(NOT(AND(AO29=1,AN29&lt;&gt;1)),ISNUMBER(AG29),AG29&lt;=T29),AS29,0),IF(AND(NOT(AND(AO29=1,AN29&lt;&gt;1)),ISNUMBER(AH29),AH29&lt;=T29),AT29,0),IF(AND(NOT(AND(AO29=1,AN29&lt;&gt;1)),ISNUMBER(AI29),AI29&lt;=T29),AU29,0),IF(AND(ISNUMBER(AJ29),AJ29&lt;=T29),AV29,0))),TRUE(),FALSE())</f>
        <v>0</v>
      </c>
      <c r="AS29" s="33" t="n">
        <f aca="false">IFERROR(Upgrades!$H$6*(POWER(Upgrades!$P$6,E29)*POWER(Upgrades!$P$7,F29)*POWER(Upgrades!$P$8,G29)*POWER(Upgrades!$P$9,H29)*POWER(Upgrades!$P$10,I29)*POWER(Upgrades!$P$11,J29)*POWER(Upgrades!$P$12,K29))*(IF(Upgrades!$T$7="Solar Wind",POWER(Upgrades!$U$7,F29),1)*IF(Upgrades!$T$8="Solar Wind",POWER(Upgrades!$U$8,G29),1)*IF(Upgrades!$T$9="Solar Wind",POWER(Upgrades!$U$9,H29),1)*IF(Upgrades!$T$10="Solar Wind",POWER(Upgrades!$U$10,I29),1)*IF(Upgrades!$T$11="Solar Wind",POWER(Upgrades!$U$11,J29),1)*IF(Upgrades!$T$12="Solar Wind",POWER(Upgrades!$U$12,K29),1))/AG29,0)</f>
        <v>0.00537052914175847</v>
      </c>
      <c r="AT29" s="33" t="n">
        <f aca="false">IFERROR(Upgrades!$H$7*(POWER(Upgrades!$P$6,E29)*POWER(Upgrades!$P$7,F29)*POWER(Upgrades!$P$8,G29)*POWER(Upgrades!$P$9,H29)*POWER(Upgrades!$P$10,I29)*POWER(Upgrades!$P$11,J29)*POWER(Upgrades!$P$12,K29))*(IF(Upgrades!$T$6="Asteroid Belt",POWER(Upgrades!$U$6,E29),1)*IF(Upgrades!$T$8="Asteroid Belt",POWER(Upgrades!$U$8,G29),1)*IF(Upgrades!$T$9="Asteroid Belt",POWER(Upgrades!$U$9,H29),1)*IF(Upgrades!$T$10="Asteroid Belt",POWER(Upgrades!$U$10,I29),1)*IF(Upgrades!$T$11="Asteroid Belt",POWER(Upgrades!$U$11,J29),1)*IF(Upgrades!$T$12="Asteroid Belt",POWER(Upgrades!$U$12,K29),1))/AH29,0)</f>
        <v>0.00469921299903866</v>
      </c>
      <c r="AU29" s="33" t="n">
        <f aca="false">IFERROR(Upgrades!$K$8*(POWER(Upgrades!$Q$6,E29)*POWER(Upgrades!$Q$7,F29)*POWER(Upgrades!$Q$8,G29)*POWER(Upgrades!$Q$9,H29)*POWER(Upgrades!$Q$10,I29)*POWER(Upgrades!$Q$11,J29)*POWER(Upgrades!$Q$12,K29))*(IF(Upgrades!$T$6="Stellar Coupling",POWER(Upgrades!$U$6,E29),1)*IF(Upgrades!$T$7="Stellar Coupling",POWER(Upgrades!$U$7,F29),1)*IF(Upgrades!$T$9="Stellar Coupling",POWER(Upgrades!$U$9,H29),1)*IF(Upgrades!$T$10="Stellar Coupling",POWER(Upgrades!$U$10,I29),1)*IF(Upgrades!$T$11="Stellar Coupling",POWER(Upgrades!$U$11,J29),1)*IF(Upgrades!$T$12="Stellar Coupling",POWER(Upgrades!$U$12,K29),1))*Parameters!$B$10*Parameters!$B$11/60/AI29,0)</f>
        <v>0.00493007963853445</v>
      </c>
      <c r="AV29" s="33" t="n">
        <f aca="false">IFERROR(Upgrades!$H$9*(POWER(Upgrades!$P$6,E29)*POWER(Upgrades!$P$7,F29)*POWER(Upgrades!$P$8,G29)*POWER(Upgrades!$P$9,H29)*POWER(Upgrades!$P$10,I29)*POWER(Upgrades!$P$11,J29)*POWER(Upgrades!$P$12,K29))*(IF(Upgrades!$T$6="Magnetosphere",POWER(Upgrades!$U$6,E29),1)*IF(Upgrades!$T$7="Magnetosphere",POWER(Upgrades!$U$7,F29),1)*IF(Upgrades!$T$8="Magnetosphere",POWER(Upgrades!$U$8,G29),1)*IF(Upgrades!$T$10="Magnetosphere",POWER(Upgrades!$U$10,I29),1)*IF(Upgrades!$T$11="Magnetosphere",POWER(Upgrades!$U$11,J29),1)*IF(Upgrades!$T$12="Magnetosphere",POWER(Upgrades!$U$12,K29),1))/AJ29,0)</f>
        <v>0.00390625</v>
      </c>
      <c r="AW29" s="33" t="n">
        <f aca="false">MAX(IF(I29&gt;0,0,IFERROR(0.25*N29/Upgrades!$C$10,0)),IF(J29&gt;0,0,IFERROR(0.5*((IF(G29=0,0,(Upgrades!$J$8+G29*Upgrades!$K$8)*POWER(Upgrades!$L$8,G29)))*(IF(Upgrades!$T$6="Stellar Coupling",POWER(Upgrades!$U$6,E29),1)*IF(Upgrades!$T$7="Stellar Coupling",POWER(Upgrades!$U$7,F29),1)*IF(Upgrades!$T$9="Stellar Coupling",POWER(Upgrades!$U$9,H29),1)*IF(Upgrades!$T$10="Stellar Coupling",POWER(Upgrades!$U$10,I29),1)*IF(Upgrades!$T$11="Stellar Coupling",POWER(Upgrades!$U$11,J29),1)*IF(Upgrades!$T$12="Stellar Coupling",POWER(Upgrades!$U$12,K29),1))*(POWER(Upgrades!$Q$6,E29)*POWER(Upgrades!$Q$7,F29)*POWER(Upgrades!$Q$8,G29)*POWER(Upgrades!$Q$9,H29)*POWER(Upgrades!$Q$10,I29)*POWER(Upgrades!$Q$11,J29)*POWER(Upgrades!$Q$12,K29))*Parameters!$B$10*Parameters!$B$11/60)/Upgrades!$C$11,0)),IF(K29&gt;0,0,IFERROR((1*(POWER(Upgrades!$P$6,E29)*POWER(Upgrades!$P$7,F29)*POWER(Upgrades!$P$8,G29)*POWER(Upgrades!$P$9,H29)*POWER(Upgrades!$P$10,I29)*POWER(Upgrades!$P$11,J29)*POWER(Upgrades!$P$12,K29))+0.2*M29*Parameters!$B$10*Parameters!$B$11/60)/Upgrades!$C$12,0)),IF(AND(ISNUMBER(AG29),AG29&gt;T29),AS29,0),IF(AND(ISNUMBER(AH29),AH29&gt;T29),AT29,0),IF(AND(ISNUMBER(AI29),AI29&gt;T29),AU29,0),IF(AND(ISNUMBER(AJ29),AJ29&gt;T29),AV29,0))</f>
        <v>0.00254901960784314</v>
      </c>
      <c r="AX29" s="29" t="str">
        <f aca="false">IF(AN29=1,"transition",IF(MIN(IF(AND(I29=0,ISNUMBER(AK29),AK29&lt;=T29),AK29,9000000000000000),IF(AND(J29=0,ISNUMBER(AL29),AL29&lt;=T29),AL29,9000000000000000),IF(AND(K29=0,ISNUMBER(AM29),AM29&lt;=T29),AM29,9000000000000000))&lt;9000000000000000,IF(AND(AND(I29=0,ISNUMBER(AK29),AK29&lt;=T29),AK29=MIN(IF(AND(I29=0,ISNUMBER(AK29),AK29&lt;=T29),AK29,9000000000000000),IF(AND(J29=0,ISNUMBER(AL29),AL29&lt;=T29),AL29,9000000000000000),IF(AND(K29=0,ISNUMBER(AM29),AM29&lt;=T29),AM29,9000000000000000))),"OR",IF(AND(AND(J29=0,ISNUMBER(AL29),AL29&lt;=T29),AL29=MIN(IF(AND(I29=0,ISNUMBER(AK29),AK29&lt;=T29),AK29,9000000000000000),IF(AND(J29=0,ISNUMBER(AL29),AL29&lt;=T29),AL29,9000000000000000),IF(AND(K29=0,ISNUMBER(AM29),AM29&lt;=T29),AM29,9000000000000000))),"HP","FP")),IF(AR29=TRUE(),"",IF(MAX(IF(AND(NOT(AND(AO29=1,AN29&lt;&gt;1)),ISNUMBER(AG29),AG29&lt;=T29),AS29,0),IF(AND(NOT(AND(AO29=1,AN29&lt;&gt;1)),ISNUMBER(AH29),AH29&lt;=T29),AT29,0),IF(AND(NOT(AND(AO29=1,AN29&lt;&gt;1)),ISNUMBER(AI29),AI29&lt;=T29),AU29,0),IF(AND(ISNUMBER(AJ29),AJ29&lt;=T29),AV29,0))&lt;=0,"",IF(AND(IF(AND(NOT(AND(AO29=1,AN29&lt;&gt;1)),ISNUMBER(AG29),AG29&lt;=T29),AS29,0)&gt;0,IF(AND(NOT(AND(AO29=1,AN29&lt;&gt;1)),ISNUMBER(AG29),AG29&lt;=T29),AS29,0)=MAX(IF(AND(NOT(AND(AO29=1,AN29&lt;&gt;1)),ISNUMBER(AG29),AG29&lt;=T29),AS29,0),IF(AND(NOT(AND(AO29=1,AN29&lt;&gt;1)),ISNUMBER(AH29),AH29&lt;=T29),AT29,0),IF(AND(NOT(AND(AO29=1,AN29&lt;&gt;1)),ISNUMBER(AI29),AI29&lt;=T29),AU29,0),IF(AND(ISNUMBER(AJ29),AJ29&lt;=T29),AV29,0))),"SW",IF(AND(IF(AND(NOT(AND(AO29=1,AN29&lt;&gt;1)),ISNUMBER(AH29),AH29&lt;=T29),AT29,0)&gt;0,IF(AND(NOT(AND(AO29=1,AN29&lt;&gt;1)),ISNUMBER(AH29),AH29&lt;=T29),AT29,0)=MAX(IF(AND(NOT(AND(AO29=1,AN29&lt;&gt;1)),ISNUMBER(AG29),AG29&lt;=T29),AS29,0),IF(AND(NOT(AND(AO29=1,AN29&lt;&gt;1)),ISNUMBER(AH29),AH29&lt;=T29),AT29,0),IF(AND(NOT(AND(AO29=1,AN29&lt;&gt;1)),ISNUMBER(AI29),AI29&lt;=T29),AU29,0),IF(AND(ISNUMBER(AJ29),AJ29&lt;=T29),AV29,0))),"AB",IF(AND(IF(AND(NOT(AND(AO29=1,AN29&lt;&gt;1)),ISNUMBER(AI29),AI29&lt;=T29),AU29,0)&gt;0,IF(AND(NOT(AND(AO29=1,AN29&lt;&gt;1)),ISNUMBER(AI29),AI29&lt;=T29),AU29,0)=MAX(IF(AND(NOT(AND(AO29=1,AN29&lt;&gt;1)),ISNUMBER(AG29),AG29&lt;=T29),AS29,0),IF(AND(NOT(AND(AO29=1,AN29&lt;&gt;1)),ISNUMBER(AH29),AH29&lt;=T29),AT29,0),IF(AND(NOT(AND(AO29=1,AN29&lt;&gt;1)),ISNUMBER(AI29),AI29&lt;=T29),AU29,0),IF(AND(ISNUMBER(AJ29),AJ29&lt;=T29),AV29,0))),"SC","Mag")))))))</f>
        <v>SW</v>
      </c>
    </row>
    <row r="30" customFormat="false" ht="15" hidden="false" customHeight="false" outlineLevel="0" collapsed="false">
      <c r="A30" s="26" t="n">
        <v>25</v>
      </c>
      <c r="B30" s="27" t="n">
        <f aca="false">A30*10/60</f>
        <v>4.16666666666667</v>
      </c>
      <c r="C30" s="21" t="n">
        <f aca="false">X29</f>
        <v>307.139749019011</v>
      </c>
      <c r="D30" s="27" t="n">
        <f aca="false">D29+W29</f>
        <v>0.4</v>
      </c>
      <c r="E30" s="26" t="n">
        <f aca="false">E29+IF(U29="SW",1,0)</f>
        <v>8</v>
      </c>
      <c r="F30" s="26" t="n">
        <f aca="false">F29+IF(U29="AB",1,0)</f>
        <v>7</v>
      </c>
      <c r="G30" s="26" t="n">
        <f aca="false">G29+IF(U29="SC",1,0)</f>
        <v>5</v>
      </c>
      <c r="H30" s="26" t="n">
        <f aca="false">H29+IF(U29="Mag",1,0)</f>
        <v>2</v>
      </c>
      <c r="I30" s="26" t="n">
        <f aca="false">MAX(I29,IF(U29="OR",1,0))</f>
        <v>1</v>
      </c>
      <c r="J30" s="26" t="n">
        <f aca="false">MAX(J29,IF(U29="HP",1,0))</f>
        <v>0</v>
      </c>
      <c r="K30" s="26" t="n">
        <f aca="false">MAX(K29,IF(U29="FP",1,0))</f>
        <v>0</v>
      </c>
      <c r="L30" s="26" t="n">
        <f aca="false">MAX(L29,IF(U29="transition",1,0))</f>
        <v>0</v>
      </c>
      <c r="M30" s="28" t="n">
        <f aca="false">(Parameters!$B$9+(IF(E30=0,0,(Upgrades!$J$6+E30*Upgrades!$K$6)*POWER(Upgrades!$L$6,E30)))*(IF(Upgrades!$T$7="Solar Wind",POWER(Upgrades!$U$7,F30),1)*IF(Upgrades!$T$8="Solar Wind",POWER(Upgrades!$U$8,G30),1)*IF(Upgrades!$T$9="Solar Wind",POWER(Upgrades!$U$9,H30),1)*IF(Upgrades!$T$10="Solar Wind",POWER(Upgrades!$U$10,I30),1)*IF(Upgrades!$T$11="Solar Wind",POWER(Upgrades!$U$11,J30),1)*IF(Upgrades!$T$12="Solar Wind",POWER(Upgrades!$U$12,K30),1))+(IF(F30=0,0,(Upgrades!$J$7+F30*Upgrades!$K$7)*POWER(Upgrades!$L$7,F30)))*(IF(Upgrades!$T$6="Asteroid Belt",POWER(Upgrades!$U$6,E30),1)*IF(Upgrades!$T$8="Asteroid Belt",POWER(Upgrades!$U$8,G30),1)*IF(Upgrades!$T$9="Asteroid Belt",POWER(Upgrades!$U$9,H30),1)*IF(Upgrades!$T$10="Asteroid Belt",POWER(Upgrades!$U$10,I30),1)*IF(Upgrades!$T$11="Asteroid Belt",POWER(Upgrades!$U$11,J30),1)*IF(Upgrades!$T$12="Asteroid Belt",POWER(Upgrades!$U$12,K30),1))+(IF(G30=0,0,(Upgrades!$J$8+G30*Upgrades!$K$8)*POWER(Upgrades!$L$8,G30)))*(IF(Upgrades!$T$6="Stellar Coupling",POWER(Upgrades!$U$6,E30),1)*IF(Upgrades!$T$7="Stellar Coupling",POWER(Upgrades!$U$7,F30),1)*IF(Upgrades!$T$9="Stellar Coupling",POWER(Upgrades!$U$9,H30),1)*IF(Upgrades!$T$10="Stellar Coupling",POWER(Upgrades!$U$10,I30),1)*IF(Upgrades!$T$11="Stellar Coupling",POWER(Upgrades!$U$11,J30),1)*IF(Upgrades!$T$12="Stellar Coupling",POWER(Upgrades!$U$12,K30),1))+(IF(H30=0,0,(Upgrades!$J$9+H30*Upgrades!$K$9)*POWER(Upgrades!$L$9,H30)))*(IF(Upgrades!$T$6="Magnetosphere",POWER(Upgrades!$U$6,E30),1)*IF(Upgrades!$T$7="Magnetosphere",POWER(Upgrades!$U$7,F30),1)*IF(Upgrades!$T$8="Magnetosphere",POWER(Upgrades!$U$8,G30),1)*IF(Upgrades!$T$10="Magnetosphere",POWER(Upgrades!$U$10,I30),1)*IF(Upgrades!$T$11="Magnetosphere",POWER(Upgrades!$U$11,J30),1)*IF(Upgrades!$T$12="Magnetosphere",POWER(Upgrades!$U$12,K30),1))+(IF(I30=0,0,(Upgrades!$J$10+I30*Upgrades!$K$10)*POWER(Upgrades!$L$10,I30)))*(IF(Upgrades!$T$6="Orbital Resonance",POWER(Upgrades!$U$6,E30),1)*IF(Upgrades!$T$7="Orbital Resonance",POWER(Upgrades!$U$7,F30),1)*IF(Upgrades!$T$8="Orbital Resonance",POWER(Upgrades!$U$8,G30),1)*IF(Upgrades!$T$9="Orbital Resonance",POWER(Upgrades!$U$9,H30),1)*IF(Upgrades!$T$11="Orbital Resonance",POWER(Upgrades!$U$11,J30),1)*IF(Upgrades!$T$12="Orbital Resonance",POWER(Upgrades!$U$12,K30),1))+(IF(J30=0,0,(Upgrades!$J$11+J30*Upgrades!$K$11)*POWER(Upgrades!$L$11,J30)))*(IF(Upgrades!$T$6="Heliopause",POWER(Upgrades!$U$6,E30),1)*IF(Upgrades!$T$7="Heliopause",POWER(Upgrades!$U$7,F30),1)*IF(Upgrades!$T$8="Heliopause",POWER(Upgrades!$U$8,G30),1)*IF(Upgrades!$T$9="Heliopause",POWER(Upgrades!$U$9,H30),1)*IF(Upgrades!$T$10="Heliopause",POWER(Upgrades!$U$10,I30),1)*IF(Upgrades!$T$12="Heliopause",POWER(Upgrades!$U$12,K30),1))+(IF(K30=0,0,(Upgrades!$J$12+K30*Upgrades!$K$12)*POWER(Upgrades!$L$12,K30)))*(IF(Upgrades!$T$6="First Photons",POWER(Upgrades!$U$6,E30),1)*IF(Upgrades!$T$7="First Photons",POWER(Upgrades!$U$7,F30),1)*IF(Upgrades!$T$8="First Photons",POWER(Upgrades!$U$8,G30),1)*IF(Upgrades!$T$9="First Photons",POWER(Upgrades!$U$9,H30),1)*IF(Upgrades!$T$10="First Photons",POWER(Upgrades!$U$10,I30),1)*IF(Upgrades!$T$11="First Photons",POWER(Upgrades!$U$11,J30),1)))*POWER(Upgrades!$Q$6,E30)*POWER(Upgrades!$Q$7,F30)*POWER(Upgrades!$Q$8,G30)*POWER(Upgrades!$Q$9,H30)*POWER(Upgrades!$Q$10,I30)*POWER(Upgrades!$Q$11,J30)*POWER(Upgrades!$Q$12,K30)</f>
        <v>2.75</v>
      </c>
      <c r="N30" s="28" t="n">
        <f aca="false">((IF(E30=0,0,(Upgrades!$G$6+E30*Upgrades!$H$6)*POWER(Upgrades!$I$6,E30)))*(IF(Upgrades!$T$7="Solar Wind",POWER(Upgrades!$U$7,F30),1)*IF(Upgrades!$T$8="Solar Wind",POWER(Upgrades!$U$8,G30),1)*IF(Upgrades!$T$9="Solar Wind",POWER(Upgrades!$U$9,H30),1)*IF(Upgrades!$T$10="Solar Wind",POWER(Upgrades!$U$10,I30),1)*IF(Upgrades!$T$11="Solar Wind",POWER(Upgrades!$U$11,J30),1)*IF(Upgrades!$T$12="Solar Wind",POWER(Upgrades!$U$12,K30),1))+(IF(F30=0,0,(Upgrades!$G$7+F30*Upgrades!$H$7)*POWER(Upgrades!$I$7,F30)))*(IF(Upgrades!$T$6="Asteroid Belt",POWER(Upgrades!$U$6,E30),1)*IF(Upgrades!$T$8="Asteroid Belt",POWER(Upgrades!$U$8,G30),1)*IF(Upgrades!$T$9="Asteroid Belt",POWER(Upgrades!$U$9,H30),1)*IF(Upgrades!$T$10="Asteroid Belt",POWER(Upgrades!$U$10,I30),1)*IF(Upgrades!$T$11="Asteroid Belt",POWER(Upgrades!$U$11,J30),1)*IF(Upgrades!$T$12="Asteroid Belt",POWER(Upgrades!$U$12,K30),1))+(IF(G30=0,0,(Upgrades!$G$8+G30*Upgrades!$H$8)*POWER(Upgrades!$I$8,G30)))*(IF(Upgrades!$T$6="Stellar Coupling",POWER(Upgrades!$U$6,E30),1)*IF(Upgrades!$T$7="Stellar Coupling",POWER(Upgrades!$U$7,F30),1)*IF(Upgrades!$T$9="Stellar Coupling",POWER(Upgrades!$U$9,H30),1)*IF(Upgrades!$T$10="Stellar Coupling",POWER(Upgrades!$U$10,I30),1)*IF(Upgrades!$T$11="Stellar Coupling",POWER(Upgrades!$U$11,J30),1)*IF(Upgrades!$T$12="Stellar Coupling",POWER(Upgrades!$U$12,K30),1))+(IF(H30=0,0,(Upgrades!$G$9+H30*Upgrades!$H$9)*POWER(Upgrades!$I$9,H30)))*(IF(Upgrades!$T$6="Magnetosphere",POWER(Upgrades!$U$6,E30),1)*IF(Upgrades!$T$7="Magnetosphere",POWER(Upgrades!$U$7,F30),1)*IF(Upgrades!$T$8="Magnetosphere",POWER(Upgrades!$U$8,G30),1)*IF(Upgrades!$T$10="Magnetosphere",POWER(Upgrades!$U$10,I30),1)*IF(Upgrades!$T$11="Magnetosphere",POWER(Upgrades!$U$11,J30),1)*IF(Upgrades!$T$12="Magnetosphere",POWER(Upgrades!$U$12,K30),1))+(IF(I30=0,0,(Upgrades!$G$10+I30*Upgrades!$H$10)*POWER(Upgrades!$I$10,I30)))*(IF(Upgrades!$T$6="Orbital Resonance",POWER(Upgrades!$U$6,E30),1)*IF(Upgrades!$T$7="Orbital Resonance",POWER(Upgrades!$U$7,F30),1)*IF(Upgrades!$T$8="Orbital Resonance",POWER(Upgrades!$U$8,G30),1)*IF(Upgrades!$T$9="Orbital Resonance",POWER(Upgrades!$U$9,H30),1)*IF(Upgrades!$T$11="Orbital Resonance",POWER(Upgrades!$U$11,J30),1)*IF(Upgrades!$T$12="Orbital Resonance",POWER(Upgrades!$U$12,K30),1))+(IF(J30=0,0,(Upgrades!$G$11+J30*Upgrades!$H$11)*POWER(Upgrades!$I$11,J30)))*(IF(Upgrades!$T$6="Heliopause",POWER(Upgrades!$U$6,E30),1)*IF(Upgrades!$T$7="Heliopause",POWER(Upgrades!$U$7,F30),1)*IF(Upgrades!$T$8="Heliopause",POWER(Upgrades!$U$8,G30),1)*IF(Upgrades!$T$9="Heliopause",POWER(Upgrades!$U$9,H30),1)*IF(Upgrades!$T$10="Heliopause",POWER(Upgrades!$U$10,I30),1)*IF(Upgrades!$T$12="Heliopause",POWER(Upgrades!$U$12,K30),1))+(IF(K30=0,0,(Upgrades!$G$12+K30*Upgrades!$H$12)*POWER(Upgrades!$I$12,K30)))*(IF(Upgrades!$T$6="First Photons",POWER(Upgrades!$U$6,E30),1)*IF(Upgrades!$T$7="First Photons",POWER(Upgrades!$U$7,F30),1)*IF(Upgrades!$T$8="First Photons",POWER(Upgrades!$U$8,G30),1)*IF(Upgrades!$T$9="First Photons",POWER(Upgrades!$U$9,H30),1)*IF(Upgrades!$T$10="First Photons",POWER(Upgrades!$U$10,I30),1)*IF(Upgrades!$T$11="First Photons",POWER(Upgrades!$U$11,J30),1)))*POWER(Upgrades!$P$6,E30)*POWER(Upgrades!$P$7,F30)*POWER(Upgrades!$P$8,G30)*POWER(Upgrades!$P$9,H30)*POWER(Upgrades!$P$10,I30)*POWER(Upgrades!$P$11,J30)*POWER(Upgrades!$P$12,K30)</f>
        <v>5.05</v>
      </c>
      <c r="O30" s="28" t="n">
        <f aca="false">((IF(E30=0,0,(Upgrades!$M$6+E30*Upgrades!$N$6)*POWER(Upgrades!$O$6,E30)))*(IF(Upgrades!$T$7="Solar Wind",POWER(Upgrades!$U$7,F30),1)*IF(Upgrades!$T$8="Solar Wind",POWER(Upgrades!$U$8,G30),1)*IF(Upgrades!$T$9="Solar Wind",POWER(Upgrades!$U$9,H30),1)*IF(Upgrades!$T$10="Solar Wind",POWER(Upgrades!$U$10,I30),1)*IF(Upgrades!$T$11="Solar Wind",POWER(Upgrades!$U$11,J30),1)*IF(Upgrades!$T$12="Solar Wind",POWER(Upgrades!$U$12,K30),1))+(IF(F30=0,0,(Upgrades!$M$7+F30*Upgrades!$N$7)*POWER(Upgrades!$O$7,F30)))*(IF(Upgrades!$T$6="Asteroid Belt",POWER(Upgrades!$U$6,E30),1)*IF(Upgrades!$T$8="Asteroid Belt",POWER(Upgrades!$U$8,G30),1)*IF(Upgrades!$T$9="Asteroid Belt",POWER(Upgrades!$U$9,H30),1)*IF(Upgrades!$T$10="Asteroid Belt",POWER(Upgrades!$U$10,I30),1)*IF(Upgrades!$T$11="Asteroid Belt",POWER(Upgrades!$U$11,J30),1)*IF(Upgrades!$T$12="Asteroid Belt",POWER(Upgrades!$U$12,K30),1))+(IF(G30=0,0,(Upgrades!$M$8+G30*Upgrades!$N$8)*POWER(Upgrades!$O$8,G30)))*(IF(Upgrades!$T$6="Stellar Coupling",POWER(Upgrades!$U$6,E30),1)*IF(Upgrades!$T$7="Stellar Coupling",POWER(Upgrades!$U$7,F30),1)*IF(Upgrades!$T$9="Stellar Coupling",POWER(Upgrades!$U$9,H30),1)*IF(Upgrades!$T$10="Stellar Coupling",POWER(Upgrades!$U$10,I30),1)*IF(Upgrades!$T$11="Stellar Coupling",POWER(Upgrades!$U$11,J30),1)*IF(Upgrades!$T$12="Stellar Coupling",POWER(Upgrades!$U$12,K30),1))+(IF(H30=0,0,(Upgrades!$M$9+H30*Upgrades!$N$9)*POWER(Upgrades!$O$9,H30)))*(IF(Upgrades!$T$6="Magnetosphere",POWER(Upgrades!$U$6,E30),1)*IF(Upgrades!$T$7="Magnetosphere",POWER(Upgrades!$U$7,F30),1)*IF(Upgrades!$T$8="Magnetosphere",POWER(Upgrades!$U$8,G30),1)*IF(Upgrades!$T$10="Magnetosphere",POWER(Upgrades!$U$10,I30),1)*IF(Upgrades!$T$11="Magnetosphere",POWER(Upgrades!$U$11,J30),1)*IF(Upgrades!$T$12="Magnetosphere",POWER(Upgrades!$U$12,K30),1))+(IF(I30=0,0,(Upgrades!$M$10+I30*Upgrades!$N$10)*POWER(Upgrades!$O$10,I30)))*(IF(Upgrades!$T$6="Orbital Resonance",POWER(Upgrades!$U$6,E30),1)*IF(Upgrades!$T$7="Orbital Resonance",POWER(Upgrades!$U$7,F30),1)*IF(Upgrades!$T$8="Orbital Resonance",POWER(Upgrades!$U$8,G30),1)*IF(Upgrades!$T$9="Orbital Resonance",POWER(Upgrades!$U$9,H30),1)*IF(Upgrades!$T$11="Orbital Resonance",POWER(Upgrades!$U$11,J30),1)*IF(Upgrades!$T$12="Orbital Resonance",POWER(Upgrades!$U$12,K30),1))+(IF(J30=0,0,(Upgrades!$M$11+J30*Upgrades!$N$11)*POWER(Upgrades!$O$11,J30)))*(IF(Upgrades!$T$6="Heliopause",POWER(Upgrades!$U$6,E30),1)*IF(Upgrades!$T$7="Heliopause",POWER(Upgrades!$U$7,F30),1)*IF(Upgrades!$T$8="Heliopause",POWER(Upgrades!$U$8,G30),1)*IF(Upgrades!$T$9="Heliopause",POWER(Upgrades!$U$9,H30),1)*IF(Upgrades!$T$10="Heliopause",POWER(Upgrades!$U$10,I30),1)*IF(Upgrades!$T$12="Heliopause",POWER(Upgrades!$U$12,K30),1))+(IF(K30=0,0,(Upgrades!$M$12+K30*Upgrades!$N$12)*POWER(Upgrades!$O$12,K30)))*(IF(Upgrades!$T$6="First Photons",POWER(Upgrades!$U$6,E30),1)*IF(Upgrades!$T$7="First Photons",POWER(Upgrades!$U$7,F30),1)*IF(Upgrades!$T$8="First Photons",POWER(Upgrades!$U$8,G30),1)*IF(Upgrades!$T$9="First Photons",POWER(Upgrades!$U$9,H30),1)*IF(Upgrades!$T$10="First Photons",POWER(Upgrades!$U$10,I30),1)*IF(Upgrades!$T$11="First Photons",POWER(Upgrades!$U$11,J30),1)))*POWER(Upgrades!$R$6,E30)*POWER(Upgrades!$R$7,F30)*POWER(Upgrades!$R$8,G30)*POWER(Upgrades!$R$9,H30)*POWER(Upgrades!$R$10,I30)*POWER(Upgrades!$R$11,J30)*POWER(Upgrades!$R$12,K30)</f>
        <v>0</v>
      </c>
      <c r="P30" s="27" t="n">
        <f aca="false">IF(L30=1,0,M30*Parameters!$B$10/60*Parameters!$B$11*10)</f>
        <v>45.8333333333333</v>
      </c>
      <c r="Q30" s="27" t="n">
        <f aca="false">IF(L30=1,0,O30*M30*10)</f>
        <v>0</v>
      </c>
      <c r="R30" s="27" t="n">
        <f aca="false">IF(L30=1,0,N30*10)</f>
        <v>50.5</v>
      </c>
      <c r="S30" s="27" t="n">
        <f aca="false">P30+Q30+R30</f>
        <v>96.3333333333333</v>
      </c>
      <c r="T30" s="21" t="n">
        <f aca="false">C30+S30</f>
        <v>403.473082352344</v>
      </c>
      <c r="U30" s="34" t="str">
        <f aca="false">AX30</f>
        <v>SC</v>
      </c>
      <c r="V30" s="21" t="n">
        <f aca="false">IF(U30="",0,IF(U30="transition",0,IF(U30="SW",AG30,IF(U30="AB",AH30,IF(U30="SC",AI30,IF(U30="Mag",AJ30,IF(U30="OR",AK30,IF(U30="HP",AL30,IF(U30="FP",AM30,0)))))))))</f>
        <v>118.32128</v>
      </c>
      <c r="W30" s="27" t="n">
        <f aca="false">IF(U30="OR",Upgrades!$F$10,IF(U30="HP",Upgrades!$F$11,IF(U30="transition",-Parameters!$B$18,0)))</f>
        <v>0</v>
      </c>
      <c r="X30" s="21" t="n">
        <f aca="false">T30-V30</f>
        <v>285.151802352344</v>
      </c>
      <c r="Y30" s="30" t="n">
        <f aca="false">M30*Parameters!$B$10/60*Parameters!$B$11+O30*M30+N30</f>
        <v>9.63333333333333</v>
      </c>
      <c r="Z30" s="35" t="str">
        <f aca="false">IF(U30="transition","→ Tier 2 (Stellar Neighborhood)",IF(U30="FP","First Photons — light begins, system quickens",IF(U30="HP","Heliopause acquired",IF(U30="OR","Orbital Resonance — passive multiplier active",IF(AND(AO30=1,L30=0,AN30&lt;&gt;1),"Cohesion ready (waiting on completionist upgrades)","")))))</f>
        <v/>
      </c>
      <c r="AA30" s="27" t="n">
        <f aca="false">(IF(E30=0,0,(Upgrades!$G$6+E30*Upgrades!$H$6)*POWER(Upgrades!$I$6,E30)))*(IF(Upgrades!$T$7="Solar Wind",POWER(Upgrades!$U$7,F30),1)*IF(Upgrades!$T$8="Solar Wind",POWER(Upgrades!$U$8,G30),1)*IF(Upgrades!$T$9="Solar Wind",POWER(Upgrades!$U$9,H30),1)*IF(Upgrades!$T$10="Solar Wind",POWER(Upgrades!$U$10,I30),1)*IF(Upgrades!$T$11="Solar Wind",POWER(Upgrades!$U$11,J30),1)*IF(Upgrades!$T$12="Solar Wind",POWER(Upgrades!$U$12,K30),1))*POWER(Upgrades!$P$6,E30)*POWER(Upgrades!$P$7,F30)*POWER(Upgrades!$P$8,G30)*POWER(Upgrades!$P$9,H30)*POWER(Upgrades!$P$10,I30)*POWER(Upgrades!$P$11,J30)*POWER(Upgrades!$P$12,K30)*60</f>
        <v>48</v>
      </c>
      <c r="AB30" s="27" t="n">
        <f aca="false">(IF(F30=0,0,(Upgrades!$G$7+F30*Upgrades!$H$7)*POWER(Upgrades!$I$7,F30)))*(IF(Upgrades!$T$6="Asteroid Belt",POWER(Upgrades!$U$6,E30),1)*IF(Upgrades!$T$8="Asteroid Belt",POWER(Upgrades!$U$8,G30),1)*IF(Upgrades!$T$9="Asteroid Belt",POWER(Upgrades!$U$9,H30),1)*IF(Upgrades!$T$10="Asteroid Belt",POWER(Upgrades!$U$10,I30),1)*IF(Upgrades!$T$11="Asteroid Belt",POWER(Upgrades!$U$11,J30),1)*IF(Upgrades!$T$12="Asteroid Belt",POWER(Upgrades!$U$12,K30),1))*POWER(Upgrades!$P$6,E30)*POWER(Upgrades!$P$7,F30)*POWER(Upgrades!$P$8,G30)*POWER(Upgrades!$P$9,H30)*POWER(Upgrades!$P$10,I30)*POWER(Upgrades!$P$11,J30)*POWER(Upgrades!$P$12,K30)*60</f>
        <v>105</v>
      </c>
      <c r="AC30" s="27" t="n">
        <f aca="false">(IF(G30=0,0,(Upgrades!$J$8+G30*Upgrades!$K$8)*POWER(Upgrades!$L$8,G30)))*(IF(Upgrades!$T$6="Stellar Coupling",POWER(Upgrades!$U$6,E30),1)*IF(Upgrades!$T$7="Stellar Coupling",POWER(Upgrades!$U$7,F30),1)*IF(Upgrades!$T$9="Stellar Coupling",POWER(Upgrades!$U$9,H30),1)*IF(Upgrades!$T$10="Stellar Coupling",POWER(Upgrades!$U$10,I30),1)*IF(Upgrades!$T$11="Stellar Coupling",POWER(Upgrades!$U$11,J30),1)*IF(Upgrades!$T$12="Stellar Coupling",POWER(Upgrades!$U$12,K30),1))*POWER(Upgrades!$Q$6,E30)*POWER(Upgrades!$Q$7,F30)*POWER(Upgrades!$Q$8,G30)*POWER(Upgrades!$Q$9,H30)*POWER(Upgrades!$Q$10,I30)*POWER(Upgrades!$Q$11,J30)*POWER(Upgrades!$Q$12,K30)*Parameters!$B$10*Parameters!$B$11</f>
        <v>175</v>
      </c>
      <c r="AD30" s="27" t="n">
        <f aca="false">(IF(H30=0,0,(Upgrades!$G$9+H30*Upgrades!$H$9)*POWER(Upgrades!$I$9,H30)))*(IF(Upgrades!$T$6="Magnetosphere",POWER(Upgrades!$U$6,E30),1)*IF(Upgrades!$T$7="Magnetosphere",POWER(Upgrades!$U$7,F30),1)*IF(Upgrades!$T$8="Magnetosphere",POWER(Upgrades!$U$8,G30),1)*IF(Upgrades!$T$10="Magnetosphere",POWER(Upgrades!$U$10,I30),1)*IF(Upgrades!$T$11="Magnetosphere",POWER(Upgrades!$U$11,J30),1)*IF(Upgrades!$T$12="Magnetosphere",POWER(Upgrades!$U$12,K30),1))*POWER(Upgrades!$P$6,E30)*POWER(Upgrades!$P$7,F30)*POWER(Upgrades!$P$8,G30)*POWER(Upgrades!$P$9,H30)*POWER(Upgrades!$P$10,I30)*POWER(Upgrades!$P$11,J30)*POWER(Upgrades!$P$12,K30)*60</f>
        <v>150</v>
      </c>
      <c r="AE30" s="27" t="n">
        <f aca="false">(IF(K30=0,0,(Upgrades!$G$12+K30*Upgrades!$H$12)*POWER(Upgrades!$I$12,K30)))*(IF(Upgrades!$T$6="First Photons",POWER(Upgrades!$U$6,E30),1)*IF(Upgrades!$T$7="First Photons",POWER(Upgrades!$U$7,F30),1)*IF(Upgrades!$T$8="First Photons",POWER(Upgrades!$U$8,G30),1)*IF(Upgrades!$T$9="First Photons",POWER(Upgrades!$U$9,H30),1)*IF(Upgrades!$T$10="First Photons",POWER(Upgrades!$U$10,I30),1)*IF(Upgrades!$T$11="First Photons",POWER(Upgrades!$U$11,J30),1))*POWER(Upgrades!$P$6,E30)*POWER(Upgrades!$P$7,F30)*POWER(Upgrades!$P$8,G30)*POWER(Upgrades!$P$9,H30)*POWER(Upgrades!$P$10,I30)*POWER(Upgrades!$P$11,J30)*POWER(Upgrades!$P$12,K30)*60</f>
        <v>0</v>
      </c>
      <c r="AF30" s="27" t="n">
        <f aca="false">Parameters!$B$9*POWER(Upgrades!$Q$6,E30)*POWER(Upgrades!$Q$7,F30)*POWER(Upgrades!$Q$8,G30)*POWER(Upgrades!$Q$9,H30)*POWER(Upgrades!$Q$10,I30)*POWER(Upgrades!$Q$11,J30)*POWER(Upgrades!$Q$12,K30)*(Parameters!$B$10*Parameters!$B$11+O30*60)</f>
        <v>100</v>
      </c>
      <c r="AG30" s="21" t="n">
        <f aca="false">IF(E30&gt;=Upgrades!$E$6,"",Upgrades!$C$6*POWER(Upgrades!$D$6,E30))</f>
        <v>21.4131600377734</v>
      </c>
      <c r="AH30" s="21" t="n">
        <f aca="false">IF(F30&gt;=Upgrades!$E$7,"",Upgrades!$C$7*POWER(Upgrades!$D$7,F30))</f>
        <v>53.200397609375</v>
      </c>
      <c r="AI30" s="21" t="n">
        <f aca="false">IF(G30&gt;=Upgrades!$E$8,"",Upgrades!$C$8*POWER(Upgrades!$D$8,G30))</f>
        <v>118.32128</v>
      </c>
      <c r="AJ30" s="21" t="n">
        <f aca="false">IF(H30&gt;=Upgrades!$E$9,"",Upgrades!$C$9*POWER(Upgrades!$D$9,H30))</f>
        <v>320</v>
      </c>
      <c r="AK30" s="21" t="str">
        <f aca="false">IF(I30&gt;=Upgrades!$E$10,"",Upgrades!$C$10*POWER(Upgrades!$D$10,I30))</f>
        <v/>
      </c>
      <c r="AL30" s="21" t="n">
        <f aca="false">IF(J30&gt;=Upgrades!$E$11,"",Upgrades!$C$11*POWER(Upgrades!$D$11,J30))</f>
        <v>575</v>
      </c>
      <c r="AM30" s="21" t="n">
        <f aca="false">IF(K30&gt;=Upgrades!$E$12,"",Upgrades!$C$12*POWER(Upgrades!$D$12,K30))</f>
        <v>850</v>
      </c>
      <c r="AN30" s="26" t="str">
        <f aca="false">IF(AND(D30&gt;=Parameters!$B$18,(H30&gt;=Upgrades!$E$9)*(K30&gt;=Upgrades!$E$12)=1,L30=0),1,"")</f>
        <v/>
      </c>
      <c r="AO30" s="26" t="str">
        <f aca="false">IF(AND(D30&gt;=Parameters!$B$18,L30=0),1,"")</f>
        <v/>
      </c>
      <c r="AP30" s="21" t="n">
        <f aca="false">MIN(IF(ISNUMBER(AK30),AK30,9000000000000000),IF(ISNUMBER(AL30),AL30,9000000000000000),IF(ISNUMBER(AM30),AM30,9000000000000000))</f>
        <v>575</v>
      </c>
      <c r="AQ30" s="21" t="n">
        <f aca="false">MIN(IF(ISNUMBER(AG30),AG30,9000000000000000),IF(ISNUMBER(AH30),AH30,9000000000000000),IF(ISNUMBER(AI30),AI30,9000000000000000),IF(ISNUMBER(AJ30),AJ30,9000000000000000))</f>
        <v>21.4131600377734</v>
      </c>
      <c r="AR30" s="32" t="b">
        <f aca="false">IF(AW30&gt;Parameters!$B$21*(MAX(IF(AND(NOT(AND(AO30=1,AN30&lt;&gt;1)),ISNUMBER(AG30),AG30&lt;=T30),AS30,0),IF(AND(NOT(AND(AO30=1,AN30&lt;&gt;1)),ISNUMBER(AH30),AH30&lt;=T30),AT30,0),IF(AND(NOT(AND(AO30=1,AN30&lt;&gt;1)),ISNUMBER(AI30),AI30&lt;=T30),AU30,0),IF(AND(ISNUMBER(AJ30),AJ30&lt;=T30),AV30,0))),TRUE(),FALSE())</f>
        <v>0</v>
      </c>
      <c r="AS30" s="33" t="n">
        <f aca="false">IFERROR(Upgrades!$H$6*(POWER(Upgrades!$P$6,E30)*POWER(Upgrades!$P$7,F30)*POWER(Upgrades!$P$8,G30)*POWER(Upgrades!$P$9,H30)*POWER(Upgrades!$P$10,I30)*POWER(Upgrades!$P$11,J30)*POWER(Upgrades!$P$12,K30))*(IF(Upgrades!$T$7="Solar Wind",POWER(Upgrades!$U$7,F30),1)*IF(Upgrades!$T$8="Solar Wind",POWER(Upgrades!$U$8,G30),1)*IF(Upgrades!$T$9="Solar Wind",POWER(Upgrades!$U$9,H30),1)*IF(Upgrades!$T$10="Solar Wind",POWER(Upgrades!$U$10,I30),1)*IF(Upgrades!$T$11="Solar Wind",POWER(Upgrades!$U$11,J30),1)*IF(Upgrades!$T$12="Solar Wind",POWER(Upgrades!$U$12,K30),1))/AG30,0)</f>
        <v>0.00467002534065954</v>
      </c>
      <c r="AT30" s="33" t="n">
        <f aca="false">IFERROR(Upgrades!$H$7*(POWER(Upgrades!$P$6,E30)*POWER(Upgrades!$P$7,F30)*POWER(Upgrades!$P$8,G30)*POWER(Upgrades!$P$9,H30)*POWER(Upgrades!$P$10,I30)*POWER(Upgrades!$P$11,J30)*POWER(Upgrades!$P$12,K30))*(IF(Upgrades!$T$6="Asteroid Belt",POWER(Upgrades!$U$6,E30),1)*IF(Upgrades!$T$8="Asteroid Belt",POWER(Upgrades!$U$8,G30),1)*IF(Upgrades!$T$9="Asteroid Belt",POWER(Upgrades!$U$9,H30),1)*IF(Upgrades!$T$10="Asteroid Belt",POWER(Upgrades!$U$10,I30),1)*IF(Upgrades!$T$11="Asteroid Belt",POWER(Upgrades!$U$11,J30),1)*IF(Upgrades!$T$12="Asteroid Belt",POWER(Upgrades!$U$12,K30),1))/AH30,0)</f>
        <v>0.00469921299903866</v>
      </c>
      <c r="AU30" s="33" t="n">
        <f aca="false">IFERROR(Upgrades!$K$8*(POWER(Upgrades!$Q$6,E30)*POWER(Upgrades!$Q$7,F30)*POWER(Upgrades!$Q$8,G30)*POWER(Upgrades!$Q$9,H30)*POWER(Upgrades!$Q$10,I30)*POWER(Upgrades!$Q$11,J30)*POWER(Upgrades!$Q$12,K30))*(IF(Upgrades!$T$6="Stellar Coupling",POWER(Upgrades!$U$6,E30),1)*IF(Upgrades!$T$7="Stellar Coupling",POWER(Upgrades!$U$7,F30),1)*IF(Upgrades!$T$9="Stellar Coupling",POWER(Upgrades!$U$9,H30),1)*IF(Upgrades!$T$10="Stellar Coupling",POWER(Upgrades!$U$10,I30),1)*IF(Upgrades!$T$11="Stellar Coupling",POWER(Upgrades!$U$11,J30),1)*IF(Upgrades!$T$12="Stellar Coupling",POWER(Upgrades!$U$12,K30),1))*Parameters!$B$10*Parameters!$B$11/60/AI30,0)</f>
        <v>0.00493007963853445</v>
      </c>
      <c r="AV30" s="33" t="n">
        <f aca="false">IFERROR(Upgrades!$H$9*(POWER(Upgrades!$P$6,E30)*POWER(Upgrades!$P$7,F30)*POWER(Upgrades!$P$8,G30)*POWER(Upgrades!$P$9,H30)*POWER(Upgrades!$P$10,I30)*POWER(Upgrades!$P$11,J30)*POWER(Upgrades!$P$12,K30))*(IF(Upgrades!$T$6="Magnetosphere",POWER(Upgrades!$U$6,E30),1)*IF(Upgrades!$T$7="Magnetosphere",POWER(Upgrades!$U$7,F30),1)*IF(Upgrades!$T$8="Magnetosphere",POWER(Upgrades!$U$8,G30),1)*IF(Upgrades!$T$10="Magnetosphere",POWER(Upgrades!$U$10,I30),1)*IF(Upgrades!$T$11="Magnetosphere",POWER(Upgrades!$U$11,J30),1)*IF(Upgrades!$T$12="Magnetosphere",POWER(Upgrades!$U$12,K30),1))/AJ30,0)</f>
        <v>0.00390625</v>
      </c>
      <c r="AW30" s="33" t="n">
        <f aca="false">MAX(IF(I30&gt;0,0,IFERROR(0.25*N30/Upgrades!$C$10,0)),IF(J30&gt;0,0,IFERROR(0.5*((IF(G30=0,0,(Upgrades!$J$8+G30*Upgrades!$K$8)*POWER(Upgrades!$L$8,G30)))*(IF(Upgrades!$T$6="Stellar Coupling",POWER(Upgrades!$U$6,E30),1)*IF(Upgrades!$T$7="Stellar Coupling",POWER(Upgrades!$U$7,F30),1)*IF(Upgrades!$T$9="Stellar Coupling",POWER(Upgrades!$U$9,H30),1)*IF(Upgrades!$T$10="Stellar Coupling",POWER(Upgrades!$U$10,I30),1)*IF(Upgrades!$T$11="Stellar Coupling",POWER(Upgrades!$U$11,J30),1)*IF(Upgrades!$T$12="Stellar Coupling",POWER(Upgrades!$U$12,K30),1))*(POWER(Upgrades!$Q$6,E30)*POWER(Upgrades!$Q$7,F30)*POWER(Upgrades!$Q$8,G30)*POWER(Upgrades!$Q$9,H30)*POWER(Upgrades!$Q$10,I30)*POWER(Upgrades!$Q$11,J30)*POWER(Upgrades!$Q$12,K30))*Parameters!$B$10*Parameters!$B$11/60)/Upgrades!$C$11,0)),IF(K30&gt;0,0,IFERROR((1*(POWER(Upgrades!$P$6,E30)*POWER(Upgrades!$P$7,F30)*POWER(Upgrades!$P$8,G30)*POWER(Upgrades!$P$9,H30)*POWER(Upgrades!$P$10,I30)*POWER(Upgrades!$P$11,J30)*POWER(Upgrades!$P$12,K30))+0.2*M30*Parameters!$B$10*Parameters!$B$11/60)/Upgrades!$C$12,0)),IF(AND(ISNUMBER(AG30),AG30&gt;T30),AS30,0),IF(AND(ISNUMBER(AH30),AH30&gt;T30),AT30,0),IF(AND(ISNUMBER(AI30),AI30&gt;T30),AU30,0),IF(AND(ISNUMBER(AJ30),AJ30&gt;T30),AV30,0))</f>
        <v>0.00254901960784314</v>
      </c>
      <c r="AX30" s="29" t="str">
        <f aca="false">IF(AN30=1,"transition",IF(MIN(IF(AND(I30=0,ISNUMBER(AK30),AK30&lt;=T30),AK30,9000000000000000),IF(AND(J30=0,ISNUMBER(AL30),AL30&lt;=T30),AL30,9000000000000000),IF(AND(K30=0,ISNUMBER(AM30),AM30&lt;=T30),AM30,9000000000000000))&lt;9000000000000000,IF(AND(AND(I30=0,ISNUMBER(AK30),AK30&lt;=T30),AK30=MIN(IF(AND(I30=0,ISNUMBER(AK30),AK30&lt;=T30),AK30,9000000000000000),IF(AND(J30=0,ISNUMBER(AL30),AL30&lt;=T30),AL30,9000000000000000),IF(AND(K30=0,ISNUMBER(AM30),AM30&lt;=T30),AM30,9000000000000000))),"OR",IF(AND(AND(J30=0,ISNUMBER(AL30),AL30&lt;=T30),AL30=MIN(IF(AND(I30=0,ISNUMBER(AK30),AK30&lt;=T30),AK30,9000000000000000),IF(AND(J30=0,ISNUMBER(AL30),AL30&lt;=T30),AL30,9000000000000000),IF(AND(K30=0,ISNUMBER(AM30),AM30&lt;=T30),AM30,9000000000000000))),"HP","FP")),IF(AR30=TRUE(),"",IF(MAX(IF(AND(NOT(AND(AO30=1,AN30&lt;&gt;1)),ISNUMBER(AG30),AG30&lt;=T30),AS30,0),IF(AND(NOT(AND(AO30=1,AN30&lt;&gt;1)),ISNUMBER(AH30),AH30&lt;=T30),AT30,0),IF(AND(NOT(AND(AO30=1,AN30&lt;&gt;1)),ISNUMBER(AI30),AI30&lt;=T30),AU30,0),IF(AND(ISNUMBER(AJ30),AJ30&lt;=T30),AV30,0))&lt;=0,"",IF(AND(IF(AND(NOT(AND(AO30=1,AN30&lt;&gt;1)),ISNUMBER(AG30),AG30&lt;=T30),AS30,0)&gt;0,IF(AND(NOT(AND(AO30=1,AN30&lt;&gt;1)),ISNUMBER(AG30),AG30&lt;=T30),AS30,0)=MAX(IF(AND(NOT(AND(AO30=1,AN30&lt;&gt;1)),ISNUMBER(AG30),AG30&lt;=T30),AS30,0),IF(AND(NOT(AND(AO30=1,AN30&lt;&gt;1)),ISNUMBER(AH30),AH30&lt;=T30),AT30,0),IF(AND(NOT(AND(AO30=1,AN30&lt;&gt;1)),ISNUMBER(AI30),AI30&lt;=T30),AU30,0),IF(AND(ISNUMBER(AJ30),AJ30&lt;=T30),AV30,0))),"SW",IF(AND(IF(AND(NOT(AND(AO30=1,AN30&lt;&gt;1)),ISNUMBER(AH30),AH30&lt;=T30),AT30,0)&gt;0,IF(AND(NOT(AND(AO30=1,AN30&lt;&gt;1)),ISNUMBER(AH30),AH30&lt;=T30),AT30,0)=MAX(IF(AND(NOT(AND(AO30=1,AN30&lt;&gt;1)),ISNUMBER(AG30),AG30&lt;=T30),AS30,0),IF(AND(NOT(AND(AO30=1,AN30&lt;&gt;1)),ISNUMBER(AH30),AH30&lt;=T30),AT30,0),IF(AND(NOT(AND(AO30=1,AN30&lt;&gt;1)),ISNUMBER(AI30),AI30&lt;=T30),AU30,0),IF(AND(ISNUMBER(AJ30),AJ30&lt;=T30),AV30,0))),"AB",IF(AND(IF(AND(NOT(AND(AO30=1,AN30&lt;&gt;1)),ISNUMBER(AI30),AI30&lt;=T30),AU30,0)&gt;0,IF(AND(NOT(AND(AO30=1,AN30&lt;&gt;1)),ISNUMBER(AI30),AI30&lt;=T30),AU30,0)=MAX(IF(AND(NOT(AND(AO30=1,AN30&lt;&gt;1)),ISNUMBER(AG30),AG30&lt;=T30),AS30,0),IF(AND(NOT(AND(AO30=1,AN30&lt;&gt;1)),ISNUMBER(AH30),AH30&lt;=T30),AT30,0),IF(AND(NOT(AND(AO30=1,AN30&lt;&gt;1)),ISNUMBER(AI30),AI30&lt;=T30),AU30,0),IF(AND(ISNUMBER(AJ30),AJ30&lt;=T30),AV30,0))),"SC","Mag")))))))</f>
        <v>SC</v>
      </c>
    </row>
    <row r="31" customFormat="false" ht="15" hidden="false" customHeight="false" outlineLevel="0" collapsed="false">
      <c r="A31" s="26" t="n">
        <v>26</v>
      </c>
      <c r="B31" s="27" t="n">
        <f aca="false">A31*10/60</f>
        <v>4.33333333333333</v>
      </c>
      <c r="C31" s="21" t="n">
        <f aca="false">X30</f>
        <v>285.151802352344</v>
      </c>
      <c r="D31" s="27" t="n">
        <f aca="false">D30+W30</f>
        <v>0.4</v>
      </c>
      <c r="E31" s="26" t="n">
        <f aca="false">E30+IF(U30="SW",1,0)</f>
        <v>8</v>
      </c>
      <c r="F31" s="26" t="n">
        <f aca="false">F30+IF(U30="AB",1,0)</f>
        <v>7</v>
      </c>
      <c r="G31" s="26" t="n">
        <f aca="false">G30+IF(U30="SC",1,0)</f>
        <v>6</v>
      </c>
      <c r="H31" s="26" t="n">
        <f aca="false">H30+IF(U30="Mag",1,0)</f>
        <v>2</v>
      </c>
      <c r="I31" s="26" t="n">
        <f aca="false">MAX(I30,IF(U30="OR",1,0))</f>
        <v>1</v>
      </c>
      <c r="J31" s="26" t="n">
        <f aca="false">MAX(J30,IF(U30="HP",1,0))</f>
        <v>0</v>
      </c>
      <c r="K31" s="26" t="n">
        <f aca="false">MAX(K30,IF(U30="FP",1,0))</f>
        <v>0</v>
      </c>
      <c r="L31" s="26" t="n">
        <f aca="false">MAX(L30,IF(U30="transition",1,0))</f>
        <v>0</v>
      </c>
      <c r="M31" s="28" t="n">
        <f aca="false">(Parameters!$B$9+(IF(E31=0,0,(Upgrades!$J$6+E31*Upgrades!$K$6)*POWER(Upgrades!$L$6,E31)))*(IF(Upgrades!$T$7="Solar Wind",POWER(Upgrades!$U$7,F31),1)*IF(Upgrades!$T$8="Solar Wind",POWER(Upgrades!$U$8,G31),1)*IF(Upgrades!$T$9="Solar Wind",POWER(Upgrades!$U$9,H31),1)*IF(Upgrades!$T$10="Solar Wind",POWER(Upgrades!$U$10,I31),1)*IF(Upgrades!$T$11="Solar Wind",POWER(Upgrades!$U$11,J31),1)*IF(Upgrades!$T$12="Solar Wind",POWER(Upgrades!$U$12,K31),1))+(IF(F31=0,0,(Upgrades!$J$7+F31*Upgrades!$K$7)*POWER(Upgrades!$L$7,F31)))*(IF(Upgrades!$T$6="Asteroid Belt",POWER(Upgrades!$U$6,E31),1)*IF(Upgrades!$T$8="Asteroid Belt",POWER(Upgrades!$U$8,G31),1)*IF(Upgrades!$T$9="Asteroid Belt",POWER(Upgrades!$U$9,H31),1)*IF(Upgrades!$T$10="Asteroid Belt",POWER(Upgrades!$U$10,I31),1)*IF(Upgrades!$T$11="Asteroid Belt",POWER(Upgrades!$U$11,J31),1)*IF(Upgrades!$T$12="Asteroid Belt",POWER(Upgrades!$U$12,K31),1))+(IF(G31=0,0,(Upgrades!$J$8+G31*Upgrades!$K$8)*POWER(Upgrades!$L$8,G31)))*(IF(Upgrades!$T$6="Stellar Coupling",POWER(Upgrades!$U$6,E31),1)*IF(Upgrades!$T$7="Stellar Coupling",POWER(Upgrades!$U$7,F31),1)*IF(Upgrades!$T$9="Stellar Coupling",POWER(Upgrades!$U$9,H31),1)*IF(Upgrades!$T$10="Stellar Coupling",POWER(Upgrades!$U$10,I31),1)*IF(Upgrades!$T$11="Stellar Coupling",POWER(Upgrades!$U$11,J31),1)*IF(Upgrades!$T$12="Stellar Coupling",POWER(Upgrades!$U$12,K31),1))+(IF(H31=0,0,(Upgrades!$J$9+H31*Upgrades!$K$9)*POWER(Upgrades!$L$9,H31)))*(IF(Upgrades!$T$6="Magnetosphere",POWER(Upgrades!$U$6,E31),1)*IF(Upgrades!$T$7="Magnetosphere",POWER(Upgrades!$U$7,F31),1)*IF(Upgrades!$T$8="Magnetosphere",POWER(Upgrades!$U$8,G31),1)*IF(Upgrades!$T$10="Magnetosphere",POWER(Upgrades!$U$10,I31),1)*IF(Upgrades!$T$11="Magnetosphere",POWER(Upgrades!$U$11,J31),1)*IF(Upgrades!$T$12="Magnetosphere",POWER(Upgrades!$U$12,K31),1))+(IF(I31=0,0,(Upgrades!$J$10+I31*Upgrades!$K$10)*POWER(Upgrades!$L$10,I31)))*(IF(Upgrades!$T$6="Orbital Resonance",POWER(Upgrades!$U$6,E31),1)*IF(Upgrades!$T$7="Orbital Resonance",POWER(Upgrades!$U$7,F31),1)*IF(Upgrades!$T$8="Orbital Resonance",POWER(Upgrades!$U$8,G31),1)*IF(Upgrades!$T$9="Orbital Resonance",POWER(Upgrades!$U$9,H31),1)*IF(Upgrades!$T$11="Orbital Resonance",POWER(Upgrades!$U$11,J31),1)*IF(Upgrades!$T$12="Orbital Resonance",POWER(Upgrades!$U$12,K31),1))+(IF(J31=0,0,(Upgrades!$J$11+J31*Upgrades!$K$11)*POWER(Upgrades!$L$11,J31)))*(IF(Upgrades!$T$6="Heliopause",POWER(Upgrades!$U$6,E31),1)*IF(Upgrades!$T$7="Heliopause",POWER(Upgrades!$U$7,F31),1)*IF(Upgrades!$T$8="Heliopause",POWER(Upgrades!$U$8,G31),1)*IF(Upgrades!$T$9="Heliopause",POWER(Upgrades!$U$9,H31),1)*IF(Upgrades!$T$10="Heliopause",POWER(Upgrades!$U$10,I31),1)*IF(Upgrades!$T$12="Heliopause",POWER(Upgrades!$U$12,K31),1))+(IF(K31=0,0,(Upgrades!$J$12+K31*Upgrades!$K$12)*POWER(Upgrades!$L$12,K31)))*(IF(Upgrades!$T$6="First Photons",POWER(Upgrades!$U$6,E31),1)*IF(Upgrades!$T$7="First Photons",POWER(Upgrades!$U$7,F31),1)*IF(Upgrades!$T$8="First Photons",POWER(Upgrades!$U$8,G31),1)*IF(Upgrades!$T$9="First Photons",POWER(Upgrades!$U$9,H31),1)*IF(Upgrades!$T$10="First Photons",POWER(Upgrades!$U$10,I31),1)*IF(Upgrades!$T$11="First Photons",POWER(Upgrades!$U$11,J31),1)))*POWER(Upgrades!$Q$6,E31)*POWER(Upgrades!$Q$7,F31)*POWER(Upgrades!$Q$8,G31)*POWER(Upgrades!$Q$9,H31)*POWER(Upgrades!$Q$10,I31)*POWER(Upgrades!$Q$11,J31)*POWER(Upgrades!$Q$12,K31)</f>
        <v>3.1</v>
      </c>
      <c r="N31" s="28" t="n">
        <f aca="false">((IF(E31=0,0,(Upgrades!$G$6+E31*Upgrades!$H$6)*POWER(Upgrades!$I$6,E31)))*(IF(Upgrades!$T$7="Solar Wind",POWER(Upgrades!$U$7,F31),1)*IF(Upgrades!$T$8="Solar Wind",POWER(Upgrades!$U$8,G31),1)*IF(Upgrades!$T$9="Solar Wind",POWER(Upgrades!$U$9,H31),1)*IF(Upgrades!$T$10="Solar Wind",POWER(Upgrades!$U$10,I31),1)*IF(Upgrades!$T$11="Solar Wind",POWER(Upgrades!$U$11,J31),1)*IF(Upgrades!$T$12="Solar Wind",POWER(Upgrades!$U$12,K31),1))+(IF(F31=0,0,(Upgrades!$G$7+F31*Upgrades!$H$7)*POWER(Upgrades!$I$7,F31)))*(IF(Upgrades!$T$6="Asteroid Belt",POWER(Upgrades!$U$6,E31),1)*IF(Upgrades!$T$8="Asteroid Belt",POWER(Upgrades!$U$8,G31),1)*IF(Upgrades!$T$9="Asteroid Belt",POWER(Upgrades!$U$9,H31),1)*IF(Upgrades!$T$10="Asteroid Belt",POWER(Upgrades!$U$10,I31),1)*IF(Upgrades!$T$11="Asteroid Belt",POWER(Upgrades!$U$11,J31),1)*IF(Upgrades!$T$12="Asteroid Belt",POWER(Upgrades!$U$12,K31),1))+(IF(G31=0,0,(Upgrades!$G$8+G31*Upgrades!$H$8)*POWER(Upgrades!$I$8,G31)))*(IF(Upgrades!$T$6="Stellar Coupling",POWER(Upgrades!$U$6,E31),1)*IF(Upgrades!$T$7="Stellar Coupling",POWER(Upgrades!$U$7,F31),1)*IF(Upgrades!$T$9="Stellar Coupling",POWER(Upgrades!$U$9,H31),1)*IF(Upgrades!$T$10="Stellar Coupling",POWER(Upgrades!$U$10,I31),1)*IF(Upgrades!$T$11="Stellar Coupling",POWER(Upgrades!$U$11,J31),1)*IF(Upgrades!$T$12="Stellar Coupling",POWER(Upgrades!$U$12,K31),1))+(IF(H31=0,0,(Upgrades!$G$9+H31*Upgrades!$H$9)*POWER(Upgrades!$I$9,H31)))*(IF(Upgrades!$T$6="Magnetosphere",POWER(Upgrades!$U$6,E31),1)*IF(Upgrades!$T$7="Magnetosphere",POWER(Upgrades!$U$7,F31),1)*IF(Upgrades!$T$8="Magnetosphere",POWER(Upgrades!$U$8,G31),1)*IF(Upgrades!$T$10="Magnetosphere",POWER(Upgrades!$U$10,I31),1)*IF(Upgrades!$T$11="Magnetosphere",POWER(Upgrades!$U$11,J31),1)*IF(Upgrades!$T$12="Magnetosphere",POWER(Upgrades!$U$12,K31),1))+(IF(I31=0,0,(Upgrades!$G$10+I31*Upgrades!$H$10)*POWER(Upgrades!$I$10,I31)))*(IF(Upgrades!$T$6="Orbital Resonance",POWER(Upgrades!$U$6,E31),1)*IF(Upgrades!$T$7="Orbital Resonance",POWER(Upgrades!$U$7,F31),1)*IF(Upgrades!$T$8="Orbital Resonance",POWER(Upgrades!$U$8,G31),1)*IF(Upgrades!$T$9="Orbital Resonance",POWER(Upgrades!$U$9,H31),1)*IF(Upgrades!$T$11="Orbital Resonance",POWER(Upgrades!$U$11,J31),1)*IF(Upgrades!$T$12="Orbital Resonance",POWER(Upgrades!$U$12,K31),1))+(IF(J31=0,0,(Upgrades!$G$11+J31*Upgrades!$H$11)*POWER(Upgrades!$I$11,J31)))*(IF(Upgrades!$T$6="Heliopause",POWER(Upgrades!$U$6,E31),1)*IF(Upgrades!$T$7="Heliopause",POWER(Upgrades!$U$7,F31),1)*IF(Upgrades!$T$8="Heliopause",POWER(Upgrades!$U$8,G31),1)*IF(Upgrades!$T$9="Heliopause",POWER(Upgrades!$U$9,H31),1)*IF(Upgrades!$T$10="Heliopause",POWER(Upgrades!$U$10,I31),1)*IF(Upgrades!$T$12="Heliopause",POWER(Upgrades!$U$12,K31),1))+(IF(K31=0,0,(Upgrades!$G$12+K31*Upgrades!$H$12)*POWER(Upgrades!$I$12,K31)))*(IF(Upgrades!$T$6="First Photons",POWER(Upgrades!$U$6,E31),1)*IF(Upgrades!$T$7="First Photons",POWER(Upgrades!$U$7,F31),1)*IF(Upgrades!$T$8="First Photons",POWER(Upgrades!$U$8,G31),1)*IF(Upgrades!$T$9="First Photons",POWER(Upgrades!$U$9,H31),1)*IF(Upgrades!$T$10="First Photons",POWER(Upgrades!$U$10,I31),1)*IF(Upgrades!$T$11="First Photons",POWER(Upgrades!$U$11,J31),1)))*POWER(Upgrades!$P$6,E31)*POWER(Upgrades!$P$7,F31)*POWER(Upgrades!$P$8,G31)*POWER(Upgrades!$P$9,H31)*POWER(Upgrades!$P$10,I31)*POWER(Upgrades!$P$11,J31)*POWER(Upgrades!$P$12,K31)</f>
        <v>5.05</v>
      </c>
      <c r="O31" s="28" t="n">
        <f aca="false">((IF(E31=0,0,(Upgrades!$M$6+E31*Upgrades!$N$6)*POWER(Upgrades!$O$6,E31)))*(IF(Upgrades!$T$7="Solar Wind",POWER(Upgrades!$U$7,F31),1)*IF(Upgrades!$T$8="Solar Wind",POWER(Upgrades!$U$8,G31),1)*IF(Upgrades!$T$9="Solar Wind",POWER(Upgrades!$U$9,H31),1)*IF(Upgrades!$T$10="Solar Wind",POWER(Upgrades!$U$10,I31),1)*IF(Upgrades!$T$11="Solar Wind",POWER(Upgrades!$U$11,J31),1)*IF(Upgrades!$T$12="Solar Wind",POWER(Upgrades!$U$12,K31),1))+(IF(F31=0,0,(Upgrades!$M$7+F31*Upgrades!$N$7)*POWER(Upgrades!$O$7,F31)))*(IF(Upgrades!$T$6="Asteroid Belt",POWER(Upgrades!$U$6,E31),1)*IF(Upgrades!$T$8="Asteroid Belt",POWER(Upgrades!$U$8,G31),1)*IF(Upgrades!$T$9="Asteroid Belt",POWER(Upgrades!$U$9,H31),1)*IF(Upgrades!$T$10="Asteroid Belt",POWER(Upgrades!$U$10,I31),1)*IF(Upgrades!$T$11="Asteroid Belt",POWER(Upgrades!$U$11,J31),1)*IF(Upgrades!$T$12="Asteroid Belt",POWER(Upgrades!$U$12,K31),1))+(IF(G31=0,0,(Upgrades!$M$8+G31*Upgrades!$N$8)*POWER(Upgrades!$O$8,G31)))*(IF(Upgrades!$T$6="Stellar Coupling",POWER(Upgrades!$U$6,E31),1)*IF(Upgrades!$T$7="Stellar Coupling",POWER(Upgrades!$U$7,F31),1)*IF(Upgrades!$T$9="Stellar Coupling",POWER(Upgrades!$U$9,H31),1)*IF(Upgrades!$T$10="Stellar Coupling",POWER(Upgrades!$U$10,I31),1)*IF(Upgrades!$T$11="Stellar Coupling",POWER(Upgrades!$U$11,J31),1)*IF(Upgrades!$T$12="Stellar Coupling",POWER(Upgrades!$U$12,K31),1))+(IF(H31=0,0,(Upgrades!$M$9+H31*Upgrades!$N$9)*POWER(Upgrades!$O$9,H31)))*(IF(Upgrades!$T$6="Magnetosphere",POWER(Upgrades!$U$6,E31),1)*IF(Upgrades!$T$7="Magnetosphere",POWER(Upgrades!$U$7,F31),1)*IF(Upgrades!$T$8="Magnetosphere",POWER(Upgrades!$U$8,G31),1)*IF(Upgrades!$T$10="Magnetosphere",POWER(Upgrades!$U$10,I31),1)*IF(Upgrades!$T$11="Magnetosphere",POWER(Upgrades!$U$11,J31),1)*IF(Upgrades!$T$12="Magnetosphere",POWER(Upgrades!$U$12,K31),1))+(IF(I31=0,0,(Upgrades!$M$10+I31*Upgrades!$N$10)*POWER(Upgrades!$O$10,I31)))*(IF(Upgrades!$T$6="Orbital Resonance",POWER(Upgrades!$U$6,E31),1)*IF(Upgrades!$T$7="Orbital Resonance",POWER(Upgrades!$U$7,F31),1)*IF(Upgrades!$T$8="Orbital Resonance",POWER(Upgrades!$U$8,G31),1)*IF(Upgrades!$T$9="Orbital Resonance",POWER(Upgrades!$U$9,H31),1)*IF(Upgrades!$T$11="Orbital Resonance",POWER(Upgrades!$U$11,J31),1)*IF(Upgrades!$T$12="Orbital Resonance",POWER(Upgrades!$U$12,K31),1))+(IF(J31=0,0,(Upgrades!$M$11+J31*Upgrades!$N$11)*POWER(Upgrades!$O$11,J31)))*(IF(Upgrades!$T$6="Heliopause",POWER(Upgrades!$U$6,E31),1)*IF(Upgrades!$T$7="Heliopause",POWER(Upgrades!$U$7,F31),1)*IF(Upgrades!$T$8="Heliopause",POWER(Upgrades!$U$8,G31),1)*IF(Upgrades!$T$9="Heliopause",POWER(Upgrades!$U$9,H31),1)*IF(Upgrades!$T$10="Heliopause",POWER(Upgrades!$U$10,I31),1)*IF(Upgrades!$T$12="Heliopause",POWER(Upgrades!$U$12,K31),1))+(IF(K31=0,0,(Upgrades!$M$12+K31*Upgrades!$N$12)*POWER(Upgrades!$O$12,K31)))*(IF(Upgrades!$T$6="First Photons",POWER(Upgrades!$U$6,E31),1)*IF(Upgrades!$T$7="First Photons",POWER(Upgrades!$U$7,F31),1)*IF(Upgrades!$T$8="First Photons",POWER(Upgrades!$U$8,G31),1)*IF(Upgrades!$T$9="First Photons",POWER(Upgrades!$U$9,H31),1)*IF(Upgrades!$T$10="First Photons",POWER(Upgrades!$U$10,I31),1)*IF(Upgrades!$T$11="First Photons",POWER(Upgrades!$U$11,J31),1)))*POWER(Upgrades!$R$6,E31)*POWER(Upgrades!$R$7,F31)*POWER(Upgrades!$R$8,G31)*POWER(Upgrades!$R$9,H31)*POWER(Upgrades!$R$10,I31)*POWER(Upgrades!$R$11,J31)*POWER(Upgrades!$R$12,K31)</f>
        <v>0</v>
      </c>
      <c r="P31" s="27" t="n">
        <f aca="false">IF(L31=1,0,M31*Parameters!$B$10/60*Parameters!$B$11*10)</f>
        <v>51.6666666666667</v>
      </c>
      <c r="Q31" s="27" t="n">
        <f aca="false">IF(L31=1,0,O31*M31*10)</f>
        <v>0</v>
      </c>
      <c r="R31" s="27" t="n">
        <f aca="false">IF(L31=1,0,N31*10)</f>
        <v>50.5</v>
      </c>
      <c r="S31" s="27" t="n">
        <f aca="false">P31+Q31+R31</f>
        <v>102.166666666667</v>
      </c>
      <c r="T31" s="21" t="n">
        <f aca="false">C31+S31</f>
        <v>387.318469019011</v>
      </c>
      <c r="U31" s="34" t="str">
        <f aca="false">AX31</f>
        <v>AB</v>
      </c>
      <c r="V31" s="21" t="n">
        <f aca="false">IF(U31="",0,IF(U31="transition",0,IF(U31="SW",AG31,IF(U31="AB",AH31,IF(U31="SC",AI31,IF(U31="Mag",AJ31,IF(U31="OR",AK31,IF(U31="HP",AL31,IF(U31="FP",AM31,0)))))))))</f>
        <v>53.200397609375</v>
      </c>
      <c r="W31" s="27" t="n">
        <f aca="false">IF(U31="OR",Upgrades!$F$10,IF(U31="HP",Upgrades!$F$11,IF(U31="transition",-Parameters!$B$18,0)))</f>
        <v>0</v>
      </c>
      <c r="X31" s="21" t="n">
        <f aca="false">T31-V31</f>
        <v>334.118071409636</v>
      </c>
      <c r="Y31" s="30" t="n">
        <f aca="false">M31*Parameters!$B$10/60*Parameters!$B$11+O31*M31+N31</f>
        <v>10.2166666666667</v>
      </c>
      <c r="Z31" s="35" t="str">
        <f aca="false">IF(U31="transition","→ Tier 2 (Stellar Neighborhood)",IF(U31="FP","First Photons — light begins, system quickens",IF(U31="HP","Heliopause acquired",IF(U31="OR","Orbital Resonance — passive multiplier active",IF(AND(AO31=1,L31=0,AN31&lt;&gt;1),"Cohesion ready (waiting on completionist upgrades)","")))))</f>
        <v/>
      </c>
      <c r="AA31" s="27" t="n">
        <f aca="false">(IF(E31=0,0,(Upgrades!$G$6+E31*Upgrades!$H$6)*POWER(Upgrades!$I$6,E31)))*(IF(Upgrades!$T$7="Solar Wind",POWER(Upgrades!$U$7,F31),1)*IF(Upgrades!$T$8="Solar Wind",POWER(Upgrades!$U$8,G31),1)*IF(Upgrades!$T$9="Solar Wind",POWER(Upgrades!$U$9,H31),1)*IF(Upgrades!$T$10="Solar Wind",POWER(Upgrades!$U$10,I31),1)*IF(Upgrades!$T$11="Solar Wind",POWER(Upgrades!$U$11,J31),1)*IF(Upgrades!$T$12="Solar Wind",POWER(Upgrades!$U$12,K31),1))*POWER(Upgrades!$P$6,E31)*POWER(Upgrades!$P$7,F31)*POWER(Upgrades!$P$8,G31)*POWER(Upgrades!$P$9,H31)*POWER(Upgrades!$P$10,I31)*POWER(Upgrades!$P$11,J31)*POWER(Upgrades!$P$12,K31)*60</f>
        <v>48</v>
      </c>
      <c r="AB31" s="27" t="n">
        <f aca="false">(IF(F31=0,0,(Upgrades!$G$7+F31*Upgrades!$H$7)*POWER(Upgrades!$I$7,F31)))*(IF(Upgrades!$T$6="Asteroid Belt",POWER(Upgrades!$U$6,E31),1)*IF(Upgrades!$T$8="Asteroid Belt",POWER(Upgrades!$U$8,G31),1)*IF(Upgrades!$T$9="Asteroid Belt",POWER(Upgrades!$U$9,H31),1)*IF(Upgrades!$T$10="Asteroid Belt",POWER(Upgrades!$U$10,I31),1)*IF(Upgrades!$T$11="Asteroid Belt",POWER(Upgrades!$U$11,J31),1)*IF(Upgrades!$T$12="Asteroid Belt",POWER(Upgrades!$U$12,K31),1))*POWER(Upgrades!$P$6,E31)*POWER(Upgrades!$P$7,F31)*POWER(Upgrades!$P$8,G31)*POWER(Upgrades!$P$9,H31)*POWER(Upgrades!$P$10,I31)*POWER(Upgrades!$P$11,J31)*POWER(Upgrades!$P$12,K31)*60</f>
        <v>105</v>
      </c>
      <c r="AC31" s="27" t="n">
        <f aca="false">(IF(G31=0,0,(Upgrades!$J$8+G31*Upgrades!$K$8)*POWER(Upgrades!$L$8,G31)))*(IF(Upgrades!$T$6="Stellar Coupling",POWER(Upgrades!$U$6,E31),1)*IF(Upgrades!$T$7="Stellar Coupling",POWER(Upgrades!$U$7,F31),1)*IF(Upgrades!$T$9="Stellar Coupling",POWER(Upgrades!$U$9,H31),1)*IF(Upgrades!$T$10="Stellar Coupling",POWER(Upgrades!$U$10,I31),1)*IF(Upgrades!$T$11="Stellar Coupling",POWER(Upgrades!$U$11,J31),1)*IF(Upgrades!$T$12="Stellar Coupling",POWER(Upgrades!$U$12,K31),1))*POWER(Upgrades!$Q$6,E31)*POWER(Upgrades!$Q$7,F31)*POWER(Upgrades!$Q$8,G31)*POWER(Upgrades!$Q$9,H31)*POWER(Upgrades!$Q$10,I31)*POWER(Upgrades!$Q$11,J31)*POWER(Upgrades!$Q$12,K31)*Parameters!$B$10*Parameters!$B$11</f>
        <v>210</v>
      </c>
      <c r="AD31" s="27" t="n">
        <f aca="false">(IF(H31=0,0,(Upgrades!$G$9+H31*Upgrades!$H$9)*POWER(Upgrades!$I$9,H31)))*(IF(Upgrades!$T$6="Magnetosphere",POWER(Upgrades!$U$6,E31),1)*IF(Upgrades!$T$7="Magnetosphere",POWER(Upgrades!$U$7,F31),1)*IF(Upgrades!$T$8="Magnetosphere",POWER(Upgrades!$U$8,G31),1)*IF(Upgrades!$T$10="Magnetosphere",POWER(Upgrades!$U$10,I31),1)*IF(Upgrades!$T$11="Magnetosphere",POWER(Upgrades!$U$11,J31),1)*IF(Upgrades!$T$12="Magnetosphere",POWER(Upgrades!$U$12,K31),1))*POWER(Upgrades!$P$6,E31)*POWER(Upgrades!$P$7,F31)*POWER(Upgrades!$P$8,G31)*POWER(Upgrades!$P$9,H31)*POWER(Upgrades!$P$10,I31)*POWER(Upgrades!$P$11,J31)*POWER(Upgrades!$P$12,K31)*60</f>
        <v>150</v>
      </c>
      <c r="AE31" s="27" t="n">
        <f aca="false">(IF(K31=0,0,(Upgrades!$G$12+K31*Upgrades!$H$12)*POWER(Upgrades!$I$12,K31)))*(IF(Upgrades!$T$6="First Photons",POWER(Upgrades!$U$6,E31),1)*IF(Upgrades!$T$7="First Photons",POWER(Upgrades!$U$7,F31),1)*IF(Upgrades!$T$8="First Photons",POWER(Upgrades!$U$8,G31),1)*IF(Upgrades!$T$9="First Photons",POWER(Upgrades!$U$9,H31),1)*IF(Upgrades!$T$10="First Photons",POWER(Upgrades!$U$10,I31),1)*IF(Upgrades!$T$11="First Photons",POWER(Upgrades!$U$11,J31),1))*POWER(Upgrades!$P$6,E31)*POWER(Upgrades!$P$7,F31)*POWER(Upgrades!$P$8,G31)*POWER(Upgrades!$P$9,H31)*POWER(Upgrades!$P$10,I31)*POWER(Upgrades!$P$11,J31)*POWER(Upgrades!$P$12,K31)*60</f>
        <v>0</v>
      </c>
      <c r="AF31" s="27" t="n">
        <f aca="false">Parameters!$B$9*POWER(Upgrades!$Q$6,E31)*POWER(Upgrades!$Q$7,F31)*POWER(Upgrades!$Q$8,G31)*POWER(Upgrades!$Q$9,H31)*POWER(Upgrades!$Q$10,I31)*POWER(Upgrades!$Q$11,J31)*POWER(Upgrades!$Q$12,K31)*(Parameters!$B$10*Parameters!$B$11+O31*60)</f>
        <v>100</v>
      </c>
      <c r="AG31" s="21" t="n">
        <f aca="false">IF(E31&gt;=Upgrades!$E$6,"",Upgrades!$C$6*POWER(Upgrades!$D$6,E31))</f>
        <v>21.4131600377734</v>
      </c>
      <c r="AH31" s="21" t="n">
        <f aca="false">IF(F31&gt;=Upgrades!$E$7,"",Upgrades!$C$7*POWER(Upgrades!$D$7,F31))</f>
        <v>53.200397609375</v>
      </c>
      <c r="AI31" s="21" t="n">
        <f aca="false">IF(G31&gt;=Upgrades!$E$8,"",Upgrades!$C$8*POWER(Upgrades!$D$8,G31))</f>
        <v>165.649792</v>
      </c>
      <c r="AJ31" s="21" t="n">
        <f aca="false">IF(H31&gt;=Upgrades!$E$9,"",Upgrades!$C$9*POWER(Upgrades!$D$9,H31))</f>
        <v>320</v>
      </c>
      <c r="AK31" s="21" t="str">
        <f aca="false">IF(I31&gt;=Upgrades!$E$10,"",Upgrades!$C$10*POWER(Upgrades!$D$10,I31))</f>
        <v/>
      </c>
      <c r="AL31" s="21" t="n">
        <f aca="false">IF(J31&gt;=Upgrades!$E$11,"",Upgrades!$C$11*POWER(Upgrades!$D$11,J31))</f>
        <v>575</v>
      </c>
      <c r="AM31" s="21" t="n">
        <f aca="false">IF(K31&gt;=Upgrades!$E$12,"",Upgrades!$C$12*POWER(Upgrades!$D$12,K31))</f>
        <v>850</v>
      </c>
      <c r="AN31" s="26" t="str">
        <f aca="false">IF(AND(D31&gt;=Parameters!$B$18,(H31&gt;=Upgrades!$E$9)*(K31&gt;=Upgrades!$E$12)=1,L31=0),1,"")</f>
        <v/>
      </c>
      <c r="AO31" s="26" t="str">
        <f aca="false">IF(AND(D31&gt;=Parameters!$B$18,L31=0),1,"")</f>
        <v/>
      </c>
      <c r="AP31" s="21" t="n">
        <f aca="false">MIN(IF(ISNUMBER(AK31),AK31,9000000000000000),IF(ISNUMBER(AL31),AL31,9000000000000000),IF(ISNUMBER(AM31),AM31,9000000000000000))</f>
        <v>575</v>
      </c>
      <c r="AQ31" s="21" t="n">
        <f aca="false">MIN(IF(ISNUMBER(AG31),AG31,9000000000000000),IF(ISNUMBER(AH31),AH31,9000000000000000),IF(ISNUMBER(AI31),AI31,9000000000000000),IF(ISNUMBER(AJ31),AJ31,9000000000000000))</f>
        <v>21.4131600377734</v>
      </c>
      <c r="AR31" s="32" t="b">
        <f aca="false">IF(AW31&gt;Parameters!$B$21*(MAX(IF(AND(NOT(AND(AO31=1,AN31&lt;&gt;1)),ISNUMBER(AG31),AG31&lt;=T31),AS31,0),IF(AND(NOT(AND(AO31=1,AN31&lt;&gt;1)),ISNUMBER(AH31),AH31&lt;=T31),AT31,0),IF(AND(NOT(AND(AO31=1,AN31&lt;&gt;1)),ISNUMBER(AI31),AI31&lt;=T31),AU31,0),IF(AND(ISNUMBER(AJ31),AJ31&lt;=T31),AV31,0))),TRUE(),FALSE())</f>
        <v>0</v>
      </c>
      <c r="AS31" s="33" t="n">
        <f aca="false">IFERROR(Upgrades!$H$6*(POWER(Upgrades!$P$6,E31)*POWER(Upgrades!$P$7,F31)*POWER(Upgrades!$P$8,G31)*POWER(Upgrades!$P$9,H31)*POWER(Upgrades!$P$10,I31)*POWER(Upgrades!$P$11,J31)*POWER(Upgrades!$P$12,K31))*(IF(Upgrades!$T$7="Solar Wind",POWER(Upgrades!$U$7,F31),1)*IF(Upgrades!$T$8="Solar Wind",POWER(Upgrades!$U$8,G31),1)*IF(Upgrades!$T$9="Solar Wind",POWER(Upgrades!$U$9,H31),1)*IF(Upgrades!$T$10="Solar Wind",POWER(Upgrades!$U$10,I31),1)*IF(Upgrades!$T$11="Solar Wind",POWER(Upgrades!$U$11,J31),1)*IF(Upgrades!$T$12="Solar Wind",POWER(Upgrades!$U$12,K31),1))/AG31,0)</f>
        <v>0.00467002534065954</v>
      </c>
      <c r="AT31" s="33" t="n">
        <f aca="false">IFERROR(Upgrades!$H$7*(POWER(Upgrades!$P$6,E31)*POWER(Upgrades!$P$7,F31)*POWER(Upgrades!$P$8,G31)*POWER(Upgrades!$P$9,H31)*POWER(Upgrades!$P$10,I31)*POWER(Upgrades!$P$11,J31)*POWER(Upgrades!$P$12,K31))*(IF(Upgrades!$T$6="Asteroid Belt",POWER(Upgrades!$U$6,E31),1)*IF(Upgrades!$T$8="Asteroid Belt",POWER(Upgrades!$U$8,G31),1)*IF(Upgrades!$T$9="Asteroid Belt",POWER(Upgrades!$U$9,H31),1)*IF(Upgrades!$T$10="Asteroid Belt",POWER(Upgrades!$U$10,I31),1)*IF(Upgrades!$T$11="Asteroid Belt",POWER(Upgrades!$U$11,J31),1)*IF(Upgrades!$T$12="Asteroid Belt",POWER(Upgrades!$U$12,K31),1))/AH31,0)</f>
        <v>0.00469921299903866</v>
      </c>
      <c r="AU31" s="33" t="n">
        <f aca="false">IFERROR(Upgrades!$K$8*(POWER(Upgrades!$Q$6,E31)*POWER(Upgrades!$Q$7,F31)*POWER(Upgrades!$Q$8,G31)*POWER(Upgrades!$Q$9,H31)*POWER(Upgrades!$Q$10,I31)*POWER(Upgrades!$Q$11,J31)*POWER(Upgrades!$Q$12,K31))*(IF(Upgrades!$T$6="Stellar Coupling",POWER(Upgrades!$U$6,E31),1)*IF(Upgrades!$T$7="Stellar Coupling",POWER(Upgrades!$U$7,F31),1)*IF(Upgrades!$T$9="Stellar Coupling",POWER(Upgrades!$U$9,H31),1)*IF(Upgrades!$T$10="Stellar Coupling",POWER(Upgrades!$U$10,I31),1)*IF(Upgrades!$T$11="Stellar Coupling",POWER(Upgrades!$U$11,J31),1)*IF(Upgrades!$T$12="Stellar Coupling",POWER(Upgrades!$U$12,K31),1))*Parameters!$B$10*Parameters!$B$11/60/AI31,0)</f>
        <v>0.00352148545609604</v>
      </c>
      <c r="AV31" s="33" t="n">
        <f aca="false">IFERROR(Upgrades!$H$9*(POWER(Upgrades!$P$6,E31)*POWER(Upgrades!$P$7,F31)*POWER(Upgrades!$P$8,G31)*POWER(Upgrades!$P$9,H31)*POWER(Upgrades!$P$10,I31)*POWER(Upgrades!$P$11,J31)*POWER(Upgrades!$P$12,K31))*(IF(Upgrades!$T$6="Magnetosphere",POWER(Upgrades!$U$6,E31),1)*IF(Upgrades!$T$7="Magnetosphere",POWER(Upgrades!$U$7,F31),1)*IF(Upgrades!$T$8="Magnetosphere",POWER(Upgrades!$U$8,G31),1)*IF(Upgrades!$T$10="Magnetosphere",POWER(Upgrades!$U$10,I31),1)*IF(Upgrades!$T$11="Magnetosphere",POWER(Upgrades!$U$11,J31),1)*IF(Upgrades!$T$12="Magnetosphere",POWER(Upgrades!$U$12,K31),1))/AJ31,0)</f>
        <v>0.00390625</v>
      </c>
      <c r="AW31" s="33" t="n">
        <f aca="false">MAX(IF(I31&gt;0,0,IFERROR(0.25*N31/Upgrades!$C$10,0)),IF(J31&gt;0,0,IFERROR(0.5*((IF(G31=0,0,(Upgrades!$J$8+G31*Upgrades!$K$8)*POWER(Upgrades!$L$8,G31)))*(IF(Upgrades!$T$6="Stellar Coupling",POWER(Upgrades!$U$6,E31),1)*IF(Upgrades!$T$7="Stellar Coupling",POWER(Upgrades!$U$7,F31),1)*IF(Upgrades!$T$9="Stellar Coupling",POWER(Upgrades!$U$9,H31),1)*IF(Upgrades!$T$10="Stellar Coupling",POWER(Upgrades!$U$10,I31),1)*IF(Upgrades!$T$11="Stellar Coupling",POWER(Upgrades!$U$11,J31),1)*IF(Upgrades!$T$12="Stellar Coupling",POWER(Upgrades!$U$12,K31),1))*(POWER(Upgrades!$Q$6,E31)*POWER(Upgrades!$Q$7,F31)*POWER(Upgrades!$Q$8,G31)*POWER(Upgrades!$Q$9,H31)*POWER(Upgrades!$Q$10,I31)*POWER(Upgrades!$Q$11,J31)*POWER(Upgrades!$Q$12,K31))*Parameters!$B$10*Parameters!$B$11/60)/Upgrades!$C$11,0)),IF(K31&gt;0,0,IFERROR((1*(POWER(Upgrades!$P$6,E31)*POWER(Upgrades!$P$7,F31)*POWER(Upgrades!$P$8,G31)*POWER(Upgrades!$P$9,H31)*POWER(Upgrades!$P$10,I31)*POWER(Upgrades!$P$11,J31)*POWER(Upgrades!$P$12,K31))+0.2*M31*Parameters!$B$10*Parameters!$B$11/60)/Upgrades!$C$12,0)),IF(AND(ISNUMBER(AG31),AG31&gt;T31),AS31,0),IF(AND(ISNUMBER(AH31),AH31&gt;T31),AT31,0),IF(AND(ISNUMBER(AI31),AI31&gt;T31),AU31,0),IF(AND(ISNUMBER(AJ31),AJ31&gt;T31),AV31,0))</f>
        <v>0.00304347826086956</v>
      </c>
      <c r="AX31" s="29" t="str">
        <f aca="false">IF(AN31=1,"transition",IF(MIN(IF(AND(I31=0,ISNUMBER(AK31),AK31&lt;=T31),AK31,9000000000000000),IF(AND(J31=0,ISNUMBER(AL31),AL31&lt;=T31),AL31,9000000000000000),IF(AND(K31=0,ISNUMBER(AM31),AM31&lt;=T31),AM31,9000000000000000))&lt;9000000000000000,IF(AND(AND(I31=0,ISNUMBER(AK31),AK31&lt;=T31),AK31=MIN(IF(AND(I31=0,ISNUMBER(AK31),AK31&lt;=T31),AK31,9000000000000000),IF(AND(J31=0,ISNUMBER(AL31),AL31&lt;=T31),AL31,9000000000000000),IF(AND(K31=0,ISNUMBER(AM31),AM31&lt;=T31),AM31,9000000000000000))),"OR",IF(AND(AND(J31=0,ISNUMBER(AL31),AL31&lt;=T31),AL31=MIN(IF(AND(I31=0,ISNUMBER(AK31),AK31&lt;=T31),AK31,9000000000000000),IF(AND(J31=0,ISNUMBER(AL31),AL31&lt;=T31),AL31,9000000000000000),IF(AND(K31=0,ISNUMBER(AM31),AM31&lt;=T31),AM31,9000000000000000))),"HP","FP")),IF(AR31=TRUE(),"",IF(MAX(IF(AND(NOT(AND(AO31=1,AN31&lt;&gt;1)),ISNUMBER(AG31),AG31&lt;=T31),AS31,0),IF(AND(NOT(AND(AO31=1,AN31&lt;&gt;1)),ISNUMBER(AH31),AH31&lt;=T31),AT31,0),IF(AND(NOT(AND(AO31=1,AN31&lt;&gt;1)),ISNUMBER(AI31),AI31&lt;=T31),AU31,0),IF(AND(ISNUMBER(AJ31),AJ31&lt;=T31),AV31,0))&lt;=0,"",IF(AND(IF(AND(NOT(AND(AO31=1,AN31&lt;&gt;1)),ISNUMBER(AG31),AG31&lt;=T31),AS31,0)&gt;0,IF(AND(NOT(AND(AO31=1,AN31&lt;&gt;1)),ISNUMBER(AG31),AG31&lt;=T31),AS31,0)=MAX(IF(AND(NOT(AND(AO31=1,AN31&lt;&gt;1)),ISNUMBER(AG31),AG31&lt;=T31),AS31,0),IF(AND(NOT(AND(AO31=1,AN31&lt;&gt;1)),ISNUMBER(AH31),AH31&lt;=T31),AT31,0),IF(AND(NOT(AND(AO31=1,AN31&lt;&gt;1)),ISNUMBER(AI31),AI31&lt;=T31),AU31,0),IF(AND(ISNUMBER(AJ31),AJ31&lt;=T31),AV31,0))),"SW",IF(AND(IF(AND(NOT(AND(AO31=1,AN31&lt;&gt;1)),ISNUMBER(AH31),AH31&lt;=T31),AT31,0)&gt;0,IF(AND(NOT(AND(AO31=1,AN31&lt;&gt;1)),ISNUMBER(AH31),AH31&lt;=T31),AT31,0)=MAX(IF(AND(NOT(AND(AO31=1,AN31&lt;&gt;1)),ISNUMBER(AG31),AG31&lt;=T31),AS31,0),IF(AND(NOT(AND(AO31=1,AN31&lt;&gt;1)),ISNUMBER(AH31),AH31&lt;=T31),AT31,0),IF(AND(NOT(AND(AO31=1,AN31&lt;&gt;1)),ISNUMBER(AI31),AI31&lt;=T31),AU31,0),IF(AND(ISNUMBER(AJ31),AJ31&lt;=T31),AV31,0))),"AB",IF(AND(IF(AND(NOT(AND(AO31=1,AN31&lt;&gt;1)),ISNUMBER(AI31),AI31&lt;=T31),AU31,0)&gt;0,IF(AND(NOT(AND(AO31=1,AN31&lt;&gt;1)),ISNUMBER(AI31),AI31&lt;=T31),AU31,0)=MAX(IF(AND(NOT(AND(AO31=1,AN31&lt;&gt;1)),ISNUMBER(AG31),AG31&lt;=T31),AS31,0),IF(AND(NOT(AND(AO31=1,AN31&lt;&gt;1)),ISNUMBER(AH31),AH31&lt;=T31),AT31,0),IF(AND(NOT(AND(AO31=1,AN31&lt;&gt;1)),ISNUMBER(AI31),AI31&lt;=T31),AU31,0),IF(AND(ISNUMBER(AJ31),AJ31&lt;=T31),AV31,0))),"SC","Mag")))))))</f>
        <v>AB</v>
      </c>
    </row>
    <row r="32" customFormat="false" ht="15" hidden="false" customHeight="false" outlineLevel="0" collapsed="false">
      <c r="A32" s="26" t="n">
        <v>27</v>
      </c>
      <c r="B32" s="27" t="n">
        <f aca="false">A32*10/60</f>
        <v>4.5</v>
      </c>
      <c r="C32" s="21" t="n">
        <f aca="false">X31</f>
        <v>334.118071409636</v>
      </c>
      <c r="D32" s="27" t="n">
        <f aca="false">D31+W31</f>
        <v>0.4</v>
      </c>
      <c r="E32" s="26" t="n">
        <f aca="false">E31+IF(U31="SW",1,0)</f>
        <v>8</v>
      </c>
      <c r="F32" s="26" t="n">
        <f aca="false">F31+IF(U31="AB",1,0)</f>
        <v>8</v>
      </c>
      <c r="G32" s="26" t="n">
        <f aca="false">G31+IF(U31="SC",1,0)</f>
        <v>6</v>
      </c>
      <c r="H32" s="26" t="n">
        <f aca="false">H31+IF(U31="Mag",1,0)</f>
        <v>2</v>
      </c>
      <c r="I32" s="26" t="n">
        <f aca="false">MAX(I31,IF(U31="OR",1,0))</f>
        <v>1</v>
      </c>
      <c r="J32" s="26" t="n">
        <f aca="false">MAX(J31,IF(U31="HP",1,0))</f>
        <v>0</v>
      </c>
      <c r="K32" s="26" t="n">
        <f aca="false">MAX(K31,IF(U31="FP",1,0))</f>
        <v>0</v>
      </c>
      <c r="L32" s="26" t="n">
        <f aca="false">MAX(L31,IF(U31="transition",1,0))</f>
        <v>0</v>
      </c>
      <c r="M32" s="28" t="n">
        <f aca="false">(Parameters!$B$9+(IF(E32=0,0,(Upgrades!$J$6+E32*Upgrades!$K$6)*POWER(Upgrades!$L$6,E32)))*(IF(Upgrades!$T$7="Solar Wind",POWER(Upgrades!$U$7,F32),1)*IF(Upgrades!$T$8="Solar Wind",POWER(Upgrades!$U$8,G32),1)*IF(Upgrades!$T$9="Solar Wind",POWER(Upgrades!$U$9,H32),1)*IF(Upgrades!$T$10="Solar Wind",POWER(Upgrades!$U$10,I32),1)*IF(Upgrades!$T$11="Solar Wind",POWER(Upgrades!$U$11,J32),1)*IF(Upgrades!$T$12="Solar Wind",POWER(Upgrades!$U$12,K32),1))+(IF(F32=0,0,(Upgrades!$J$7+F32*Upgrades!$K$7)*POWER(Upgrades!$L$7,F32)))*(IF(Upgrades!$T$6="Asteroid Belt",POWER(Upgrades!$U$6,E32),1)*IF(Upgrades!$T$8="Asteroid Belt",POWER(Upgrades!$U$8,G32),1)*IF(Upgrades!$T$9="Asteroid Belt",POWER(Upgrades!$U$9,H32),1)*IF(Upgrades!$T$10="Asteroid Belt",POWER(Upgrades!$U$10,I32),1)*IF(Upgrades!$T$11="Asteroid Belt",POWER(Upgrades!$U$11,J32),1)*IF(Upgrades!$T$12="Asteroid Belt",POWER(Upgrades!$U$12,K32),1))+(IF(G32=0,0,(Upgrades!$J$8+G32*Upgrades!$K$8)*POWER(Upgrades!$L$8,G32)))*(IF(Upgrades!$T$6="Stellar Coupling",POWER(Upgrades!$U$6,E32),1)*IF(Upgrades!$T$7="Stellar Coupling",POWER(Upgrades!$U$7,F32),1)*IF(Upgrades!$T$9="Stellar Coupling",POWER(Upgrades!$U$9,H32),1)*IF(Upgrades!$T$10="Stellar Coupling",POWER(Upgrades!$U$10,I32),1)*IF(Upgrades!$T$11="Stellar Coupling",POWER(Upgrades!$U$11,J32),1)*IF(Upgrades!$T$12="Stellar Coupling",POWER(Upgrades!$U$12,K32),1))+(IF(H32=0,0,(Upgrades!$J$9+H32*Upgrades!$K$9)*POWER(Upgrades!$L$9,H32)))*(IF(Upgrades!$T$6="Magnetosphere",POWER(Upgrades!$U$6,E32),1)*IF(Upgrades!$T$7="Magnetosphere",POWER(Upgrades!$U$7,F32),1)*IF(Upgrades!$T$8="Magnetosphere",POWER(Upgrades!$U$8,G32),1)*IF(Upgrades!$T$10="Magnetosphere",POWER(Upgrades!$U$10,I32),1)*IF(Upgrades!$T$11="Magnetosphere",POWER(Upgrades!$U$11,J32),1)*IF(Upgrades!$T$12="Magnetosphere",POWER(Upgrades!$U$12,K32),1))+(IF(I32=0,0,(Upgrades!$J$10+I32*Upgrades!$K$10)*POWER(Upgrades!$L$10,I32)))*(IF(Upgrades!$T$6="Orbital Resonance",POWER(Upgrades!$U$6,E32),1)*IF(Upgrades!$T$7="Orbital Resonance",POWER(Upgrades!$U$7,F32),1)*IF(Upgrades!$T$8="Orbital Resonance",POWER(Upgrades!$U$8,G32),1)*IF(Upgrades!$T$9="Orbital Resonance",POWER(Upgrades!$U$9,H32),1)*IF(Upgrades!$T$11="Orbital Resonance",POWER(Upgrades!$U$11,J32),1)*IF(Upgrades!$T$12="Orbital Resonance",POWER(Upgrades!$U$12,K32),1))+(IF(J32=0,0,(Upgrades!$J$11+J32*Upgrades!$K$11)*POWER(Upgrades!$L$11,J32)))*(IF(Upgrades!$T$6="Heliopause",POWER(Upgrades!$U$6,E32),1)*IF(Upgrades!$T$7="Heliopause",POWER(Upgrades!$U$7,F32),1)*IF(Upgrades!$T$8="Heliopause",POWER(Upgrades!$U$8,G32),1)*IF(Upgrades!$T$9="Heliopause",POWER(Upgrades!$U$9,H32),1)*IF(Upgrades!$T$10="Heliopause",POWER(Upgrades!$U$10,I32),1)*IF(Upgrades!$T$12="Heliopause",POWER(Upgrades!$U$12,K32),1))+(IF(K32=0,0,(Upgrades!$J$12+K32*Upgrades!$K$12)*POWER(Upgrades!$L$12,K32)))*(IF(Upgrades!$T$6="First Photons",POWER(Upgrades!$U$6,E32),1)*IF(Upgrades!$T$7="First Photons",POWER(Upgrades!$U$7,F32),1)*IF(Upgrades!$T$8="First Photons",POWER(Upgrades!$U$8,G32),1)*IF(Upgrades!$T$9="First Photons",POWER(Upgrades!$U$9,H32),1)*IF(Upgrades!$T$10="First Photons",POWER(Upgrades!$U$10,I32),1)*IF(Upgrades!$T$11="First Photons",POWER(Upgrades!$U$11,J32),1)))*POWER(Upgrades!$Q$6,E32)*POWER(Upgrades!$Q$7,F32)*POWER(Upgrades!$Q$8,G32)*POWER(Upgrades!$Q$9,H32)*POWER(Upgrades!$Q$10,I32)*POWER(Upgrades!$Q$11,J32)*POWER(Upgrades!$Q$12,K32)</f>
        <v>3.1</v>
      </c>
      <c r="N32" s="28" t="n">
        <f aca="false">((IF(E32=0,0,(Upgrades!$G$6+E32*Upgrades!$H$6)*POWER(Upgrades!$I$6,E32)))*(IF(Upgrades!$T$7="Solar Wind",POWER(Upgrades!$U$7,F32),1)*IF(Upgrades!$T$8="Solar Wind",POWER(Upgrades!$U$8,G32),1)*IF(Upgrades!$T$9="Solar Wind",POWER(Upgrades!$U$9,H32),1)*IF(Upgrades!$T$10="Solar Wind",POWER(Upgrades!$U$10,I32),1)*IF(Upgrades!$T$11="Solar Wind",POWER(Upgrades!$U$11,J32),1)*IF(Upgrades!$T$12="Solar Wind",POWER(Upgrades!$U$12,K32),1))+(IF(F32=0,0,(Upgrades!$G$7+F32*Upgrades!$H$7)*POWER(Upgrades!$I$7,F32)))*(IF(Upgrades!$T$6="Asteroid Belt",POWER(Upgrades!$U$6,E32),1)*IF(Upgrades!$T$8="Asteroid Belt",POWER(Upgrades!$U$8,G32),1)*IF(Upgrades!$T$9="Asteroid Belt",POWER(Upgrades!$U$9,H32),1)*IF(Upgrades!$T$10="Asteroid Belt",POWER(Upgrades!$U$10,I32),1)*IF(Upgrades!$T$11="Asteroid Belt",POWER(Upgrades!$U$11,J32),1)*IF(Upgrades!$T$12="Asteroid Belt",POWER(Upgrades!$U$12,K32),1))+(IF(G32=0,0,(Upgrades!$G$8+G32*Upgrades!$H$8)*POWER(Upgrades!$I$8,G32)))*(IF(Upgrades!$T$6="Stellar Coupling",POWER(Upgrades!$U$6,E32),1)*IF(Upgrades!$T$7="Stellar Coupling",POWER(Upgrades!$U$7,F32),1)*IF(Upgrades!$T$9="Stellar Coupling",POWER(Upgrades!$U$9,H32),1)*IF(Upgrades!$T$10="Stellar Coupling",POWER(Upgrades!$U$10,I32),1)*IF(Upgrades!$T$11="Stellar Coupling",POWER(Upgrades!$U$11,J32),1)*IF(Upgrades!$T$12="Stellar Coupling",POWER(Upgrades!$U$12,K32),1))+(IF(H32=0,0,(Upgrades!$G$9+H32*Upgrades!$H$9)*POWER(Upgrades!$I$9,H32)))*(IF(Upgrades!$T$6="Magnetosphere",POWER(Upgrades!$U$6,E32),1)*IF(Upgrades!$T$7="Magnetosphere",POWER(Upgrades!$U$7,F32),1)*IF(Upgrades!$T$8="Magnetosphere",POWER(Upgrades!$U$8,G32),1)*IF(Upgrades!$T$10="Magnetosphere",POWER(Upgrades!$U$10,I32),1)*IF(Upgrades!$T$11="Magnetosphere",POWER(Upgrades!$U$11,J32),1)*IF(Upgrades!$T$12="Magnetosphere",POWER(Upgrades!$U$12,K32),1))+(IF(I32=0,0,(Upgrades!$G$10+I32*Upgrades!$H$10)*POWER(Upgrades!$I$10,I32)))*(IF(Upgrades!$T$6="Orbital Resonance",POWER(Upgrades!$U$6,E32),1)*IF(Upgrades!$T$7="Orbital Resonance",POWER(Upgrades!$U$7,F32),1)*IF(Upgrades!$T$8="Orbital Resonance",POWER(Upgrades!$U$8,G32),1)*IF(Upgrades!$T$9="Orbital Resonance",POWER(Upgrades!$U$9,H32),1)*IF(Upgrades!$T$11="Orbital Resonance",POWER(Upgrades!$U$11,J32),1)*IF(Upgrades!$T$12="Orbital Resonance",POWER(Upgrades!$U$12,K32),1))+(IF(J32=0,0,(Upgrades!$G$11+J32*Upgrades!$H$11)*POWER(Upgrades!$I$11,J32)))*(IF(Upgrades!$T$6="Heliopause",POWER(Upgrades!$U$6,E32),1)*IF(Upgrades!$T$7="Heliopause",POWER(Upgrades!$U$7,F32),1)*IF(Upgrades!$T$8="Heliopause",POWER(Upgrades!$U$8,G32),1)*IF(Upgrades!$T$9="Heliopause",POWER(Upgrades!$U$9,H32),1)*IF(Upgrades!$T$10="Heliopause",POWER(Upgrades!$U$10,I32),1)*IF(Upgrades!$T$12="Heliopause",POWER(Upgrades!$U$12,K32),1))+(IF(K32=0,0,(Upgrades!$G$12+K32*Upgrades!$H$12)*POWER(Upgrades!$I$12,K32)))*(IF(Upgrades!$T$6="First Photons",POWER(Upgrades!$U$6,E32),1)*IF(Upgrades!$T$7="First Photons",POWER(Upgrades!$U$7,F32),1)*IF(Upgrades!$T$8="First Photons",POWER(Upgrades!$U$8,G32),1)*IF(Upgrades!$T$9="First Photons",POWER(Upgrades!$U$9,H32),1)*IF(Upgrades!$T$10="First Photons",POWER(Upgrades!$U$10,I32),1)*IF(Upgrades!$T$11="First Photons",POWER(Upgrades!$U$11,J32),1)))*POWER(Upgrades!$P$6,E32)*POWER(Upgrades!$P$7,F32)*POWER(Upgrades!$P$8,G32)*POWER(Upgrades!$P$9,H32)*POWER(Upgrades!$P$10,I32)*POWER(Upgrades!$P$11,J32)*POWER(Upgrades!$P$12,K32)</f>
        <v>5.3</v>
      </c>
      <c r="O32" s="28" t="n">
        <f aca="false">((IF(E32=0,0,(Upgrades!$M$6+E32*Upgrades!$N$6)*POWER(Upgrades!$O$6,E32)))*(IF(Upgrades!$T$7="Solar Wind",POWER(Upgrades!$U$7,F32),1)*IF(Upgrades!$T$8="Solar Wind",POWER(Upgrades!$U$8,G32),1)*IF(Upgrades!$T$9="Solar Wind",POWER(Upgrades!$U$9,H32),1)*IF(Upgrades!$T$10="Solar Wind",POWER(Upgrades!$U$10,I32),1)*IF(Upgrades!$T$11="Solar Wind",POWER(Upgrades!$U$11,J32),1)*IF(Upgrades!$T$12="Solar Wind",POWER(Upgrades!$U$12,K32),1))+(IF(F32=0,0,(Upgrades!$M$7+F32*Upgrades!$N$7)*POWER(Upgrades!$O$7,F32)))*(IF(Upgrades!$T$6="Asteroid Belt",POWER(Upgrades!$U$6,E32),1)*IF(Upgrades!$T$8="Asteroid Belt",POWER(Upgrades!$U$8,G32),1)*IF(Upgrades!$T$9="Asteroid Belt",POWER(Upgrades!$U$9,H32),1)*IF(Upgrades!$T$10="Asteroid Belt",POWER(Upgrades!$U$10,I32),1)*IF(Upgrades!$T$11="Asteroid Belt",POWER(Upgrades!$U$11,J32),1)*IF(Upgrades!$T$12="Asteroid Belt",POWER(Upgrades!$U$12,K32),1))+(IF(G32=0,0,(Upgrades!$M$8+G32*Upgrades!$N$8)*POWER(Upgrades!$O$8,G32)))*(IF(Upgrades!$T$6="Stellar Coupling",POWER(Upgrades!$U$6,E32),1)*IF(Upgrades!$T$7="Stellar Coupling",POWER(Upgrades!$U$7,F32),1)*IF(Upgrades!$T$9="Stellar Coupling",POWER(Upgrades!$U$9,H32),1)*IF(Upgrades!$T$10="Stellar Coupling",POWER(Upgrades!$U$10,I32),1)*IF(Upgrades!$T$11="Stellar Coupling",POWER(Upgrades!$U$11,J32),1)*IF(Upgrades!$T$12="Stellar Coupling",POWER(Upgrades!$U$12,K32),1))+(IF(H32=0,0,(Upgrades!$M$9+H32*Upgrades!$N$9)*POWER(Upgrades!$O$9,H32)))*(IF(Upgrades!$T$6="Magnetosphere",POWER(Upgrades!$U$6,E32),1)*IF(Upgrades!$T$7="Magnetosphere",POWER(Upgrades!$U$7,F32),1)*IF(Upgrades!$T$8="Magnetosphere",POWER(Upgrades!$U$8,G32),1)*IF(Upgrades!$T$10="Magnetosphere",POWER(Upgrades!$U$10,I32),1)*IF(Upgrades!$T$11="Magnetosphere",POWER(Upgrades!$U$11,J32),1)*IF(Upgrades!$T$12="Magnetosphere",POWER(Upgrades!$U$12,K32),1))+(IF(I32=0,0,(Upgrades!$M$10+I32*Upgrades!$N$10)*POWER(Upgrades!$O$10,I32)))*(IF(Upgrades!$T$6="Orbital Resonance",POWER(Upgrades!$U$6,E32),1)*IF(Upgrades!$T$7="Orbital Resonance",POWER(Upgrades!$U$7,F32),1)*IF(Upgrades!$T$8="Orbital Resonance",POWER(Upgrades!$U$8,G32),1)*IF(Upgrades!$T$9="Orbital Resonance",POWER(Upgrades!$U$9,H32),1)*IF(Upgrades!$T$11="Orbital Resonance",POWER(Upgrades!$U$11,J32),1)*IF(Upgrades!$T$12="Orbital Resonance",POWER(Upgrades!$U$12,K32),1))+(IF(J32=0,0,(Upgrades!$M$11+J32*Upgrades!$N$11)*POWER(Upgrades!$O$11,J32)))*(IF(Upgrades!$T$6="Heliopause",POWER(Upgrades!$U$6,E32),1)*IF(Upgrades!$T$7="Heliopause",POWER(Upgrades!$U$7,F32),1)*IF(Upgrades!$T$8="Heliopause",POWER(Upgrades!$U$8,G32),1)*IF(Upgrades!$T$9="Heliopause",POWER(Upgrades!$U$9,H32),1)*IF(Upgrades!$T$10="Heliopause",POWER(Upgrades!$U$10,I32),1)*IF(Upgrades!$T$12="Heliopause",POWER(Upgrades!$U$12,K32),1))+(IF(K32=0,0,(Upgrades!$M$12+K32*Upgrades!$N$12)*POWER(Upgrades!$O$12,K32)))*(IF(Upgrades!$T$6="First Photons",POWER(Upgrades!$U$6,E32),1)*IF(Upgrades!$T$7="First Photons",POWER(Upgrades!$U$7,F32),1)*IF(Upgrades!$T$8="First Photons",POWER(Upgrades!$U$8,G32),1)*IF(Upgrades!$T$9="First Photons",POWER(Upgrades!$U$9,H32),1)*IF(Upgrades!$T$10="First Photons",POWER(Upgrades!$U$10,I32),1)*IF(Upgrades!$T$11="First Photons",POWER(Upgrades!$U$11,J32),1)))*POWER(Upgrades!$R$6,E32)*POWER(Upgrades!$R$7,F32)*POWER(Upgrades!$R$8,G32)*POWER(Upgrades!$R$9,H32)*POWER(Upgrades!$R$10,I32)*POWER(Upgrades!$R$11,J32)*POWER(Upgrades!$R$12,K32)</f>
        <v>0</v>
      </c>
      <c r="P32" s="27" t="n">
        <f aca="false">IF(L32=1,0,M32*Parameters!$B$10/60*Parameters!$B$11*10)</f>
        <v>51.6666666666667</v>
      </c>
      <c r="Q32" s="27" t="n">
        <f aca="false">IF(L32=1,0,O32*M32*10)</f>
        <v>0</v>
      </c>
      <c r="R32" s="27" t="n">
        <f aca="false">IF(L32=1,0,N32*10)</f>
        <v>53</v>
      </c>
      <c r="S32" s="27" t="n">
        <f aca="false">P32+Q32+R32</f>
        <v>104.666666666667</v>
      </c>
      <c r="T32" s="21" t="n">
        <f aca="false">C32+S32</f>
        <v>438.784738076302</v>
      </c>
      <c r="U32" s="34" t="str">
        <f aca="false">AX32</f>
        <v>SW</v>
      </c>
      <c r="V32" s="21" t="n">
        <f aca="false">IF(U32="",0,IF(U32="transition",0,IF(U32="SW",AG32,IF(U32="AB",AH32,IF(U32="SC",AI32,IF(U32="Mag",AJ32,IF(U32="OR",AK32,IF(U32="HP",AL32,IF(U32="FP",AM32,0)))))))))</f>
        <v>21.4131600377734</v>
      </c>
      <c r="W32" s="27" t="n">
        <f aca="false">IF(U32="OR",Upgrades!$F$10,IF(U32="HP",Upgrades!$F$11,IF(U32="transition",-Parameters!$B$18,0)))</f>
        <v>0</v>
      </c>
      <c r="X32" s="21" t="n">
        <f aca="false">T32-V32</f>
        <v>417.371578038529</v>
      </c>
      <c r="Y32" s="30" t="n">
        <f aca="false">M32*Parameters!$B$10/60*Parameters!$B$11+O32*M32+N32</f>
        <v>10.4666666666667</v>
      </c>
      <c r="Z32" s="35" t="str">
        <f aca="false">IF(U32="transition","→ Tier 2 (Stellar Neighborhood)",IF(U32="FP","First Photons — light begins, system quickens",IF(U32="HP","Heliopause acquired",IF(U32="OR","Orbital Resonance — passive multiplier active",IF(AND(AO32=1,L32=0,AN32&lt;&gt;1),"Cohesion ready (waiting on completionist upgrades)","")))))</f>
        <v/>
      </c>
      <c r="AA32" s="27" t="n">
        <f aca="false">(IF(E32=0,0,(Upgrades!$G$6+E32*Upgrades!$H$6)*POWER(Upgrades!$I$6,E32)))*(IF(Upgrades!$T$7="Solar Wind",POWER(Upgrades!$U$7,F32),1)*IF(Upgrades!$T$8="Solar Wind",POWER(Upgrades!$U$8,G32),1)*IF(Upgrades!$T$9="Solar Wind",POWER(Upgrades!$U$9,H32),1)*IF(Upgrades!$T$10="Solar Wind",POWER(Upgrades!$U$10,I32),1)*IF(Upgrades!$T$11="Solar Wind",POWER(Upgrades!$U$11,J32),1)*IF(Upgrades!$T$12="Solar Wind",POWER(Upgrades!$U$12,K32),1))*POWER(Upgrades!$P$6,E32)*POWER(Upgrades!$P$7,F32)*POWER(Upgrades!$P$8,G32)*POWER(Upgrades!$P$9,H32)*POWER(Upgrades!$P$10,I32)*POWER(Upgrades!$P$11,J32)*POWER(Upgrades!$P$12,K32)*60</f>
        <v>48</v>
      </c>
      <c r="AB32" s="27" t="n">
        <f aca="false">(IF(F32=0,0,(Upgrades!$G$7+F32*Upgrades!$H$7)*POWER(Upgrades!$I$7,F32)))*(IF(Upgrades!$T$6="Asteroid Belt",POWER(Upgrades!$U$6,E32),1)*IF(Upgrades!$T$8="Asteroid Belt",POWER(Upgrades!$U$8,G32),1)*IF(Upgrades!$T$9="Asteroid Belt",POWER(Upgrades!$U$9,H32),1)*IF(Upgrades!$T$10="Asteroid Belt",POWER(Upgrades!$U$10,I32),1)*IF(Upgrades!$T$11="Asteroid Belt",POWER(Upgrades!$U$11,J32),1)*IF(Upgrades!$T$12="Asteroid Belt",POWER(Upgrades!$U$12,K32),1))*POWER(Upgrades!$P$6,E32)*POWER(Upgrades!$P$7,F32)*POWER(Upgrades!$P$8,G32)*POWER(Upgrades!$P$9,H32)*POWER(Upgrades!$P$10,I32)*POWER(Upgrades!$P$11,J32)*POWER(Upgrades!$P$12,K32)*60</f>
        <v>120</v>
      </c>
      <c r="AC32" s="27" t="n">
        <f aca="false">(IF(G32=0,0,(Upgrades!$J$8+G32*Upgrades!$K$8)*POWER(Upgrades!$L$8,G32)))*(IF(Upgrades!$T$6="Stellar Coupling",POWER(Upgrades!$U$6,E32),1)*IF(Upgrades!$T$7="Stellar Coupling",POWER(Upgrades!$U$7,F32),1)*IF(Upgrades!$T$9="Stellar Coupling",POWER(Upgrades!$U$9,H32),1)*IF(Upgrades!$T$10="Stellar Coupling",POWER(Upgrades!$U$10,I32),1)*IF(Upgrades!$T$11="Stellar Coupling",POWER(Upgrades!$U$11,J32),1)*IF(Upgrades!$T$12="Stellar Coupling",POWER(Upgrades!$U$12,K32),1))*POWER(Upgrades!$Q$6,E32)*POWER(Upgrades!$Q$7,F32)*POWER(Upgrades!$Q$8,G32)*POWER(Upgrades!$Q$9,H32)*POWER(Upgrades!$Q$10,I32)*POWER(Upgrades!$Q$11,J32)*POWER(Upgrades!$Q$12,K32)*Parameters!$B$10*Parameters!$B$11</f>
        <v>210</v>
      </c>
      <c r="AD32" s="27" t="n">
        <f aca="false">(IF(H32=0,0,(Upgrades!$G$9+H32*Upgrades!$H$9)*POWER(Upgrades!$I$9,H32)))*(IF(Upgrades!$T$6="Magnetosphere",POWER(Upgrades!$U$6,E32),1)*IF(Upgrades!$T$7="Magnetosphere",POWER(Upgrades!$U$7,F32),1)*IF(Upgrades!$T$8="Magnetosphere",POWER(Upgrades!$U$8,G32),1)*IF(Upgrades!$T$10="Magnetosphere",POWER(Upgrades!$U$10,I32),1)*IF(Upgrades!$T$11="Magnetosphere",POWER(Upgrades!$U$11,J32),1)*IF(Upgrades!$T$12="Magnetosphere",POWER(Upgrades!$U$12,K32),1))*POWER(Upgrades!$P$6,E32)*POWER(Upgrades!$P$7,F32)*POWER(Upgrades!$P$8,G32)*POWER(Upgrades!$P$9,H32)*POWER(Upgrades!$P$10,I32)*POWER(Upgrades!$P$11,J32)*POWER(Upgrades!$P$12,K32)*60</f>
        <v>150</v>
      </c>
      <c r="AE32" s="27" t="n">
        <f aca="false">(IF(K32=0,0,(Upgrades!$G$12+K32*Upgrades!$H$12)*POWER(Upgrades!$I$12,K32)))*(IF(Upgrades!$T$6="First Photons",POWER(Upgrades!$U$6,E32),1)*IF(Upgrades!$T$7="First Photons",POWER(Upgrades!$U$7,F32),1)*IF(Upgrades!$T$8="First Photons",POWER(Upgrades!$U$8,G32),1)*IF(Upgrades!$T$9="First Photons",POWER(Upgrades!$U$9,H32),1)*IF(Upgrades!$T$10="First Photons",POWER(Upgrades!$U$10,I32),1)*IF(Upgrades!$T$11="First Photons",POWER(Upgrades!$U$11,J32),1))*POWER(Upgrades!$P$6,E32)*POWER(Upgrades!$P$7,F32)*POWER(Upgrades!$P$8,G32)*POWER(Upgrades!$P$9,H32)*POWER(Upgrades!$P$10,I32)*POWER(Upgrades!$P$11,J32)*POWER(Upgrades!$P$12,K32)*60</f>
        <v>0</v>
      </c>
      <c r="AF32" s="27" t="n">
        <f aca="false">Parameters!$B$9*POWER(Upgrades!$Q$6,E32)*POWER(Upgrades!$Q$7,F32)*POWER(Upgrades!$Q$8,G32)*POWER(Upgrades!$Q$9,H32)*POWER(Upgrades!$Q$10,I32)*POWER(Upgrades!$Q$11,J32)*POWER(Upgrades!$Q$12,K32)*(Parameters!$B$10*Parameters!$B$11+O32*60)</f>
        <v>100</v>
      </c>
      <c r="AG32" s="21" t="n">
        <f aca="false">IF(E32&gt;=Upgrades!$E$6,"",Upgrades!$C$6*POWER(Upgrades!$D$6,E32))</f>
        <v>21.4131600377734</v>
      </c>
      <c r="AH32" s="21" t="n">
        <f aca="false">IF(F32&gt;=Upgrades!$E$7,"",Upgrades!$C$7*POWER(Upgrades!$D$7,F32))</f>
        <v>61.1804572507812</v>
      </c>
      <c r="AI32" s="21" t="n">
        <f aca="false">IF(G32&gt;=Upgrades!$E$8,"",Upgrades!$C$8*POWER(Upgrades!$D$8,G32))</f>
        <v>165.649792</v>
      </c>
      <c r="AJ32" s="21" t="n">
        <f aca="false">IF(H32&gt;=Upgrades!$E$9,"",Upgrades!$C$9*POWER(Upgrades!$D$9,H32))</f>
        <v>320</v>
      </c>
      <c r="AK32" s="21" t="str">
        <f aca="false">IF(I32&gt;=Upgrades!$E$10,"",Upgrades!$C$10*POWER(Upgrades!$D$10,I32))</f>
        <v/>
      </c>
      <c r="AL32" s="21" t="n">
        <f aca="false">IF(J32&gt;=Upgrades!$E$11,"",Upgrades!$C$11*POWER(Upgrades!$D$11,J32))</f>
        <v>575</v>
      </c>
      <c r="AM32" s="21" t="n">
        <f aca="false">IF(K32&gt;=Upgrades!$E$12,"",Upgrades!$C$12*POWER(Upgrades!$D$12,K32))</f>
        <v>850</v>
      </c>
      <c r="AN32" s="26" t="str">
        <f aca="false">IF(AND(D32&gt;=Parameters!$B$18,(H32&gt;=Upgrades!$E$9)*(K32&gt;=Upgrades!$E$12)=1,L32=0),1,"")</f>
        <v/>
      </c>
      <c r="AO32" s="26" t="str">
        <f aca="false">IF(AND(D32&gt;=Parameters!$B$18,L32=0),1,"")</f>
        <v/>
      </c>
      <c r="AP32" s="21" t="n">
        <f aca="false">MIN(IF(ISNUMBER(AK32),AK32,9000000000000000),IF(ISNUMBER(AL32),AL32,9000000000000000),IF(ISNUMBER(AM32),AM32,9000000000000000))</f>
        <v>575</v>
      </c>
      <c r="AQ32" s="21" t="n">
        <f aca="false">MIN(IF(ISNUMBER(AG32),AG32,9000000000000000),IF(ISNUMBER(AH32),AH32,9000000000000000),IF(ISNUMBER(AI32),AI32,9000000000000000),IF(ISNUMBER(AJ32),AJ32,9000000000000000))</f>
        <v>21.4131600377734</v>
      </c>
      <c r="AR32" s="32" t="b">
        <f aca="false">IF(AW32&gt;Parameters!$B$21*(MAX(IF(AND(NOT(AND(AO32=1,AN32&lt;&gt;1)),ISNUMBER(AG32),AG32&lt;=T32),AS32,0),IF(AND(NOT(AND(AO32=1,AN32&lt;&gt;1)),ISNUMBER(AH32),AH32&lt;=T32),AT32,0),IF(AND(NOT(AND(AO32=1,AN32&lt;&gt;1)),ISNUMBER(AI32),AI32&lt;=T32),AU32,0),IF(AND(ISNUMBER(AJ32),AJ32&lt;=T32),AV32,0))),TRUE(),FALSE())</f>
        <v>0</v>
      </c>
      <c r="AS32" s="33" t="n">
        <f aca="false">IFERROR(Upgrades!$H$6*(POWER(Upgrades!$P$6,E32)*POWER(Upgrades!$P$7,F32)*POWER(Upgrades!$P$8,G32)*POWER(Upgrades!$P$9,H32)*POWER(Upgrades!$P$10,I32)*POWER(Upgrades!$P$11,J32)*POWER(Upgrades!$P$12,K32))*(IF(Upgrades!$T$7="Solar Wind",POWER(Upgrades!$U$7,F32),1)*IF(Upgrades!$T$8="Solar Wind",POWER(Upgrades!$U$8,G32),1)*IF(Upgrades!$T$9="Solar Wind",POWER(Upgrades!$U$9,H32),1)*IF(Upgrades!$T$10="Solar Wind",POWER(Upgrades!$U$10,I32),1)*IF(Upgrades!$T$11="Solar Wind",POWER(Upgrades!$U$11,J32),1)*IF(Upgrades!$T$12="Solar Wind",POWER(Upgrades!$U$12,K32),1))/AG32,0)</f>
        <v>0.00467002534065954</v>
      </c>
      <c r="AT32" s="33" t="n">
        <f aca="false">IFERROR(Upgrades!$H$7*(POWER(Upgrades!$P$6,E32)*POWER(Upgrades!$P$7,F32)*POWER(Upgrades!$P$8,G32)*POWER(Upgrades!$P$9,H32)*POWER(Upgrades!$P$10,I32)*POWER(Upgrades!$P$11,J32)*POWER(Upgrades!$P$12,K32))*(IF(Upgrades!$T$6="Asteroid Belt",POWER(Upgrades!$U$6,E32),1)*IF(Upgrades!$T$8="Asteroid Belt",POWER(Upgrades!$U$8,G32),1)*IF(Upgrades!$T$9="Asteroid Belt",POWER(Upgrades!$U$9,H32),1)*IF(Upgrades!$T$10="Asteroid Belt",POWER(Upgrades!$U$10,I32),1)*IF(Upgrades!$T$11="Asteroid Belt",POWER(Upgrades!$U$11,J32),1)*IF(Upgrades!$T$12="Asteroid Belt",POWER(Upgrades!$U$12,K32),1))/AH32,0)</f>
        <v>0.00408627217307709</v>
      </c>
      <c r="AU32" s="33" t="n">
        <f aca="false">IFERROR(Upgrades!$K$8*(POWER(Upgrades!$Q$6,E32)*POWER(Upgrades!$Q$7,F32)*POWER(Upgrades!$Q$8,G32)*POWER(Upgrades!$Q$9,H32)*POWER(Upgrades!$Q$10,I32)*POWER(Upgrades!$Q$11,J32)*POWER(Upgrades!$Q$12,K32))*(IF(Upgrades!$T$6="Stellar Coupling",POWER(Upgrades!$U$6,E32),1)*IF(Upgrades!$T$7="Stellar Coupling",POWER(Upgrades!$U$7,F32),1)*IF(Upgrades!$T$9="Stellar Coupling",POWER(Upgrades!$U$9,H32),1)*IF(Upgrades!$T$10="Stellar Coupling",POWER(Upgrades!$U$10,I32),1)*IF(Upgrades!$T$11="Stellar Coupling",POWER(Upgrades!$U$11,J32),1)*IF(Upgrades!$T$12="Stellar Coupling",POWER(Upgrades!$U$12,K32),1))*Parameters!$B$10*Parameters!$B$11/60/AI32,0)</f>
        <v>0.00352148545609604</v>
      </c>
      <c r="AV32" s="33" t="n">
        <f aca="false">IFERROR(Upgrades!$H$9*(POWER(Upgrades!$P$6,E32)*POWER(Upgrades!$P$7,F32)*POWER(Upgrades!$P$8,G32)*POWER(Upgrades!$P$9,H32)*POWER(Upgrades!$P$10,I32)*POWER(Upgrades!$P$11,J32)*POWER(Upgrades!$P$12,K32))*(IF(Upgrades!$T$6="Magnetosphere",POWER(Upgrades!$U$6,E32),1)*IF(Upgrades!$T$7="Magnetosphere",POWER(Upgrades!$U$7,F32),1)*IF(Upgrades!$T$8="Magnetosphere",POWER(Upgrades!$U$8,G32),1)*IF(Upgrades!$T$10="Magnetosphere",POWER(Upgrades!$U$10,I32),1)*IF(Upgrades!$T$11="Magnetosphere",POWER(Upgrades!$U$11,J32),1)*IF(Upgrades!$T$12="Magnetosphere",POWER(Upgrades!$U$12,K32),1))/AJ32,0)</f>
        <v>0.00390625</v>
      </c>
      <c r="AW32" s="33" t="n">
        <f aca="false">MAX(IF(I32&gt;0,0,IFERROR(0.25*N32/Upgrades!$C$10,0)),IF(J32&gt;0,0,IFERROR(0.5*((IF(G32=0,0,(Upgrades!$J$8+G32*Upgrades!$K$8)*POWER(Upgrades!$L$8,G32)))*(IF(Upgrades!$T$6="Stellar Coupling",POWER(Upgrades!$U$6,E32),1)*IF(Upgrades!$T$7="Stellar Coupling",POWER(Upgrades!$U$7,F32),1)*IF(Upgrades!$T$9="Stellar Coupling",POWER(Upgrades!$U$9,H32),1)*IF(Upgrades!$T$10="Stellar Coupling",POWER(Upgrades!$U$10,I32),1)*IF(Upgrades!$T$11="Stellar Coupling",POWER(Upgrades!$U$11,J32),1)*IF(Upgrades!$T$12="Stellar Coupling",POWER(Upgrades!$U$12,K32),1))*(POWER(Upgrades!$Q$6,E32)*POWER(Upgrades!$Q$7,F32)*POWER(Upgrades!$Q$8,G32)*POWER(Upgrades!$Q$9,H32)*POWER(Upgrades!$Q$10,I32)*POWER(Upgrades!$Q$11,J32)*POWER(Upgrades!$Q$12,K32))*Parameters!$B$10*Parameters!$B$11/60)/Upgrades!$C$11,0)),IF(K32&gt;0,0,IFERROR((1*(POWER(Upgrades!$P$6,E32)*POWER(Upgrades!$P$7,F32)*POWER(Upgrades!$P$8,G32)*POWER(Upgrades!$P$9,H32)*POWER(Upgrades!$P$10,I32)*POWER(Upgrades!$P$11,J32)*POWER(Upgrades!$P$12,K32))+0.2*M32*Parameters!$B$10*Parameters!$B$11/60)/Upgrades!$C$12,0)),IF(AND(ISNUMBER(AG32),AG32&gt;T32),AS32,0),IF(AND(ISNUMBER(AH32),AH32&gt;T32),AT32,0),IF(AND(ISNUMBER(AI32),AI32&gt;T32),AU32,0),IF(AND(ISNUMBER(AJ32),AJ32&gt;T32),AV32,0))</f>
        <v>0.00304347826086956</v>
      </c>
      <c r="AX32" s="29" t="str">
        <f aca="false">IF(AN32=1,"transition",IF(MIN(IF(AND(I32=0,ISNUMBER(AK32),AK32&lt;=T32),AK32,9000000000000000),IF(AND(J32=0,ISNUMBER(AL32),AL32&lt;=T32),AL32,9000000000000000),IF(AND(K32=0,ISNUMBER(AM32),AM32&lt;=T32),AM32,9000000000000000))&lt;9000000000000000,IF(AND(AND(I32=0,ISNUMBER(AK32),AK32&lt;=T32),AK32=MIN(IF(AND(I32=0,ISNUMBER(AK32),AK32&lt;=T32),AK32,9000000000000000),IF(AND(J32=0,ISNUMBER(AL32),AL32&lt;=T32),AL32,9000000000000000),IF(AND(K32=0,ISNUMBER(AM32),AM32&lt;=T32),AM32,9000000000000000))),"OR",IF(AND(AND(J32=0,ISNUMBER(AL32),AL32&lt;=T32),AL32=MIN(IF(AND(I32=0,ISNUMBER(AK32),AK32&lt;=T32),AK32,9000000000000000),IF(AND(J32=0,ISNUMBER(AL32),AL32&lt;=T32),AL32,9000000000000000),IF(AND(K32=0,ISNUMBER(AM32),AM32&lt;=T32),AM32,9000000000000000))),"HP","FP")),IF(AR32=TRUE(),"",IF(MAX(IF(AND(NOT(AND(AO32=1,AN32&lt;&gt;1)),ISNUMBER(AG32),AG32&lt;=T32),AS32,0),IF(AND(NOT(AND(AO32=1,AN32&lt;&gt;1)),ISNUMBER(AH32),AH32&lt;=T32),AT32,0),IF(AND(NOT(AND(AO32=1,AN32&lt;&gt;1)),ISNUMBER(AI32),AI32&lt;=T32),AU32,0),IF(AND(ISNUMBER(AJ32),AJ32&lt;=T32),AV32,0))&lt;=0,"",IF(AND(IF(AND(NOT(AND(AO32=1,AN32&lt;&gt;1)),ISNUMBER(AG32),AG32&lt;=T32),AS32,0)&gt;0,IF(AND(NOT(AND(AO32=1,AN32&lt;&gt;1)),ISNUMBER(AG32),AG32&lt;=T32),AS32,0)=MAX(IF(AND(NOT(AND(AO32=1,AN32&lt;&gt;1)),ISNUMBER(AG32),AG32&lt;=T32),AS32,0),IF(AND(NOT(AND(AO32=1,AN32&lt;&gt;1)),ISNUMBER(AH32),AH32&lt;=T32),AT32,0),IF(AND(NOT(AND(AO32=1,AN32&lt;&gt;1)),ISNUMBER(AI32),AI32&lt;=T32),AU32,0),IF(AND(ISNUMBER(AJ32),AJ32&lt;=T32),AV32,0))),"SW",IF(AND(IF(AND(NOT(AND(AO32=1,AN32&lt;&gt;1)),ISNUMBER(AH32),AH32&lt;=T32),AT32,0)&gt;0,IF(AND(NOT(AND(AO32=1,AN32&lt;&gt;1)),ISNUMBER(AH32),AH32&lt;=T32),AT32,0)=MAX(IF(AND(NOT(AND(AO32=1,AN32&lt;&gt;1)),ISNUMBER(AG32),AG32&lt;=T32),AS32,0),IF(AND(NOT(AND(AO32=1,AN32&lt;&gt;1)),ISNUMBER(AH32),AH32&lt;=T32),AT32,0),IF(AND(NOT(AND(AO32=1,AN32&lt;&gt;1)),ISNUMBER(AI32),AI32&lt;=T32),AU32,0),IF(AND(ISNUMBER(AJ32),AJ32&lt;=T32),AV32,0))),"AB",IF(AND(IF(AND(NOT(AND(AO32=1,AN32&lt;&gt;1)),ISNUMBER(AI32),AI32&lt;=T32),AU32,0)&gt;0,IF(AND(NOT(AND(AO32=1,AN32&lt;&gt;1)),ISNUMBER(AI32),AI32&lt;=T32),AU32,0)=MAX(IF(AND(NOT(AND(AO32=1,AN32&lt;&gt;1)),ISNUMBER(AG32),AG32&lt;=T32),AS32,0),IF(AND(NOT(AND(AO32=1,AN32&lt;&gt;1)),ISNUMBER(AH32),AH32&lt;=T32),AT32,0),IF(AND(NOT(AND(AO32=1,AN32&lt;&gt;1)),ISNUMBER(AI32),AI32&lt;=T32),AU32,0),IF(AND(ISNUMBER(AJ32),AJ32&lt;=T32),AV32,0))),"SC","Mag")))))))</f>
        <v>SW</v>
      </c>
    </row>
    <row r="33" customFormat="false" ht="15" hidden="false" customHeight="false" outlineLevel="0" collapsed="false">
      <c r="A33" s="26" t="n">
        <v>28</v>
      </c>
      <c r="B33" s="27" t="n">
        <f aca="false">A33*10/60</f>
        <v>4.66666666666667</v>
      </c>
      <c r="C33" s="21" t="n">
        <f aca="false">X32</f>
        <v>417.371578038529</v>
      </c>
      <c r="D33" s="27" t="n">
        <f aca="false">D32+W32</f>
        <v>0.4</v>
      </c>
      <c r="E33" s="26" t="n">
        <f aca="false">E32+IF(U32="SW",1,0)</f>
        <v>9</v>
      </c>
      <c r="F33" s="26" t="n">
        <f aca="false">F32+IF(U32="AB",1,0)</f>
        <v>8</v>
      </c>
      <c r="G33" s="26" t="n">
        <f aca="false">G32+IF(U32="SC",1,0)</f>
        <v>6</v>
      </c>
      <c r="H33" s="26" t="n">
        <f aca="false">H32+IF(U32="Mag",1,0)</f>
        <v>2</v>
      </c>
      <c r="I33" s="26" t="n">
        <f aca="false">MAX(I32,IF(U32="OR",1,0))</f>
        <v>1</v>
      </c>
      <c r="J33" s="26" t="n">
        <f aca="false">MAX(J32,IF(U32="HP",1,0))</f>
        <v>0</v>
      </c>
      <c r="K33" s="26" t="n">
        <f aca="false">MAX(K32,IF(U32="FP",1,0))</f>
        <v>0</v>
      </c>
      <c r="L33" s="26" t="n">
        <f aca="false">MAX(L32,IF(U32="transition",1,0))</f>
        <v>0</v>
      </c>
      <c r="M33" s="28" t="n">
        <f aca="false">(Parameters!$B$9+(IF(E33=0,0,(Upgrades!$J$6+E33*Upgrades!$K$6)*POWER(Upgrades!$L$6,E33)))*(IF(Upgrades!$T$7="Solar Wind",POWER(Upgrades!$U$7,F33),1)*IF(Upgrades!$T$8="Solar Wind",POWER(Upgrades!$U$8,G33),1)*IF(Upgrades!$T$9="Solar Wind",POWER(Upgrades!$U$9,H33),1)*IF(Upgrades!$T$10="Solar Wind",POWER(Upgrades!$U$10,I33),1)*IF(Upgrades!$T$11="Solar Wind",POWER(Upgrades!$U$11,J33),1)*IF(Upgrades!$T$12="Solar Wind",POWER(Upgrades!$U$12,K33),1))+(IF(F33=0,0,(Upgrades!$J$7+F33*Upgrades!$K$7)*POWER(Upgrades!$L$7,F33)))*(IF(Upgrades!$T$6="Asteroid Belt",POWER(Upgrades!$U$6,E33),1)*IF(Upgrades!$T$8="Asteroid Belt",POWER(Upgrades!$U$8,G33),1)*IF(Upgrades!$T$9="Asteroid Belt",POWER(Upgrades!$U$9,H33),1)*IF(Upgrades!$T$10="Asteroid Belt",POWER(Upgrades!$U$10,I33),1)*IF(Upgrades!$T$11="Asteroid Belt",POWER(Upgrades!$U$11,J33),1)*IF(Upgrades!$T$12="Asteroid Belt",POWER(Upgrades!$U$12,K33),1))+(IF(G33=0,0,(Upgrades!$J$8+G33*Upgrades!$K$8)*POWER(Upgrades!$L$8,G33)))*(IF(Upgrades!$T$6="Stellar Coupling",POWER(Upgrades!$U$6,E33),1)*IF(Upgrades!$T$7="Stellar Coupling",POWER(Upgrades!$U$7,F33),1)*IF(Upgrades!$T$9="Stellar Coupling",POWER(Upgrades!$U$9,H33),1)*IF(Upgrades!$T$10="Stellar Coupling",POWER(Upgrades!$U$10,I33),1)*IF(Upgrades!$T$11="Stellar Coupling",POWER(Upgrades!$U$11,J33),1)*IF(Upgrades!$T$12="Stellar Coupling",POWER(Upgrades!$U$12,K33),1))+(IF(H33=0,0,(Upgrades!$J$9+H33*Upgrades!$K$9)*POWER(Upgrades!$L$9,H33)))*(IF(Upgrades!$T$6="Magnetosphere",POWER(Upgrades!$U$6,E33),1)*IF(Upgrades!$T$7="Magnetosphere",POWER(Upgrades!$U$7,F33),1)*IF(Upgrades!$T$8="Magnetosphere",POWER(Upgrades!$U$8,G33),1)*IF(Upgrades!$T$10="Magnetosphere",POWER(Upgrades!$U$10,I33),1)*IF(Upgrades!$T$11="Magnetosphere",POWER(Upgrades!$U$11,J33),1)*IF(Upgrades!$T$12="Magnetosphere",POWER(Upgrades!$U$12,K33),1))+(IF(I33=0,0,(Upgrades!$J$10+I33*Upgrades!$K$10)*POWER(Upgrades!$L$10,I33)))*(IF(Upgrades!$T$6="Orbital Resonance",POWER(Upgrades!$U$6,E33),1)*IF(Upgrades!$T$7="Orbital Resonance",POWER(Upgrades!$U$7,F33),1)*IF(Upgrades!$T$8="Orbital Resonance",POWER(Upgrades!$U$8,G33),1)*IF(Upgrades!$T$9="Orbital Resonance",POWER(Upgrades!$U$9,H33),1)*IF(Upgrades!$T$11="Orbital Resonance",POWER(Upgrades!$U$11,J33),1)*IF(Upgrades!$T$12="Orbital Resonance",POWER(Upgrades!$U$12,K33),1))+(IF(J33=0,0,(Upgrades!$J$11+J33*Upgrades!$K$11)*POWER(Upgrades!$L$11,J33)))*(IF(Upgrades!$T$6="Heliopause",POWER(Upgrades!$U$6,E33),1)*IF(Upgrades!$T$7="Heliopause",POWER(Upgrades!$U$7,F33),1)*IF(Upgrades!$T$8="Heliopause",POWER(Upgrades!$U$8,G33),1)*IF(Upgrades!$T$9="Heliopause",POWER(Upgrades!$U$9,H33),1)*IF(Upgrades!$T$10="Heliopause",POWER(Upgrades!$U$10,I33),1)*IF(Upgrades!$T$12="Heliopause",POWER(Upgrades!$U$12,K33),1))+(IF(K33=0,0,(Upgrades!$J$12+K33*Upgrades!$K$12)*POWER(Upgrades!$L$12,K33)))*(IF(Upgrades!$T$6="First Photons",POWER(Upgrades!$U$6,E33),1)*IF(Upgrades!$T$7="First Photons",POWER(Upgrades!$U$7,F33),1)*IF(Upgrades!$T$8="First Photons",POWER(Upgrades!$U$8,G33),1)*IF(Upgrades!$T$9="First Photons",POWER(Upgrades!$U$9,H33),1)*IF(Upgrades!$T$10="First Photons",POWER(Upgrades!$U$10,I33),1)*IF(Upgrades!$T$11="First Photons",POWER(Upgrades!$U$11,J33),1)))*POWER(Upgrades!$Q$6,E33)*POWER(Upgrades!$Q$7,F33)*POWER(Upgrades!$Q$8,G33)*POWER(Upgrades!$Q$9,H33)*POWER(Upgrades!$Q$10,I33)*POWER(Upgrades!$Q$11,J33)*POWER(Upgrades!$Q$12,K33)</f>
        <v>3.1</v>
      </c>
      <c r="N33" s="28" t="n">
        <f aca="false">((IF(E33=0,0,(Upgrades!$G$6+E33*Upgrades!$H$6)*POWER(Upgrades!$I$6,E33)))*(IF(Upgrades!$T$7="Solar Wind",POWER(Upgrades!$U$7,F33),1)*IF(Upgrades!$T$8="Solar Wind",POWER(Upgrades!$U$8,G33),1)*IF(Upgrades!$T$9="Solar Wind",POWER(Upgrades!$U$9,H33),1)*IF(Upgrades!$T$10="Solar Wind",POWER(Upgrades!$U$10,I33),1)*IF(Upgrades!$T$11="Solar Wind",POWER(Upgrades!$U$11,J33),1)*IF(Upgrades!$T$12="Solar Wind",POWER(Upgrades!$U$12,K33),1))+(IF(F33=0,0,(Upgrades!$G$7+F33*Upgrades!$H$7)*POWER(Upgrades!$I$7,F33)))*(IF(Upgrades!$T$6="Asteroid Belt",POWER(Upgrades!$U$6,E33),1)*IF(Upgrades!$T$8="Asteroid Belt",POWER(Upgrades!$U$8,G33),1)*IF(Upgrades!$T$9="Asteroid Belt",POWER(Upgrades!$U$9,H33),1)*IF(Upgrades!$T$10="Asteroid Belt",POWER(Upgrades!$U$10,I33),1)*IF(Upgrades!$T$11="Asteroid Belt",POWER(Upgrades!$U$11,J33),1)*IF(Upgrades!$T$12="Asteroid Belt",POWER(Upgrades!$U$12,K33),1))+(IF(G33=0,0,(Upgrades!$G$8+G33*Upgrades!$H$8)*POWER(Upgrades!$I$8,G33)))*(IF(Upgrades!$T$6="Stellar Coupling",POWER(Upgrades!$U$6,E33),1)*IF(Upgrades!$T$7="Stellar Coupling",POWER(Upgrades!$U$7,F33),1)*IF(Upgrades!$T$9="Stellar Coupling",POWER(Upgrades!$U$9,H33),1)*IF(Upgrades!$T$10="Stellar Coupling",POWER(Upgrades!$U$10,I33),1)*IF(Upgrades!$T$11="Stellar Coupling",POWER(Upgrades!$U$11,J33),1)*IF(Upgrades!$T$12="Stellar Coupling",POWER(Upgrades!$U$12,K33),1))+(IF(H33=0,0,(Upgrades!$G$9+H33*Upgrades!$H$9)*POWER(Upgrades!$I$9,H33)))*(IF(Upgrades!$T$6="Magnetosphere",POWER(Upgrades!$U$6,E33),1)*IF(Upgrades!$T$7="Magnetosphere",POWER(Upgrades!$U$7,F33),1)*IF(Upgrades!$T$8="Magnetosphere",POWER(Upgrades!$U$8,G33),1)*IF(Upgrades!$T$10="Magnetosphere",POWER(Upgrades!$U$10,I33),1)*IF(Upgrades!$T$11="Magnetosphere",POWER(Upgrades!$U$11,J33),1)*IF(Upgrades!$T$12="Magnetosphere",POWER(Upgrades!$U$12,K33),1))+(IF(I33=0,0,(Upgrades!$G$10+I33*Upgrades!$H$10)*POWER(Upgrades!$I$10,I33)))*(IF(Upgrades!$T$6="Orbital Resonance",POWER(Upgrades!$U$6,E33),1)*IF(Upgrades!$T$7="Orbital Resonance",POWER(Upgrades!$U$7,F33),1)*IF(Upgrades!$T$8="Orbital Resonance",POWER(Upgrades!$U$8,G33),1)*IF(Upgrades!$T$9="Orbital Resonance",POWER(Upgrades!$U$9,H33),1)*IF(Upgrades!$T$11="Orbital Resonance",POWER(Upgrades!$U$11,J33),1)*IF(Upgrades!$T$12="Orbital Resonance",POWER(Upgrades!$U$12,K33),1))+(IF(J33=0,0,(Upgrades!$G$11+J33*Upgrades!$H$11)*POWER(Upgrades!$I$11,J33)))*(IF(Upgrades!$T$6="Heliopause",POWER(Upgrades!$U$6,E33),1)*IF(Upgrades!$T$7="Heliopause",POWER(Upgrades!$U$7,F33),1)*IF(Upgrades!$T$8="Heliopause",POWER(Upgrades!$U$8,G33),1)*IF(Upgrades!$T$9="Heliopause",POWER(Upgrades!$U$9,H33),1)*IF(Upgrades!$T$10="Heliopause",POWER(Upgrades!$U$10,I33),1)*IF(Upgrades!$T$12="Heliopause",POWER(Upgrades!$U$12,K33),1))+(IF(K33=0,0,(Upgrades!$G$12+K33*Upgrades!$H$12)*POWER(Upgrades!$I$12,K33)))*(IF(Upgrades!$T$6="First Photons",POWER(Upgrades!$U$6,E33),1)*IF(Upgrades!$T$7="First Photons",POWER(Upgrades!$U$7,F33),1)*IF(Upgrades!$T$8="First Photons",POWER(Upgrades!$U$8,G33),1)*IF(Upgrades!$T$9="First Photons",POWER(Upgrades!$U$9,H33),1)*IF(Upgrades!$T$10="First Photons",POWER(Upgrades!$U$10,I33),1)*IF(Upgrades!$T$11="First Photons",POWER(Upgrades!$U$11,J33),1)))*POWER(Upgrades!$P$6,E33)*POWER(Upgrades!$P$7,F33)*POWER(Upgrades!$P$8,G33)*POWER(Upgrades!$P$9,H33)*POWER(Upgrades!$P$10,I33)*POWER(Upgrades!$P$11,J33)*POWER(Upgrades!$P$12,K33)</f>
        <v>5.4</v>
      </c>
      <c r="O33" s="28" t="n">
        <f aca="false">((IF(E33=0,0,(Upgrades!$M$6+E33*Upgrades!$N$6)*POWER(Upgrades!$O$6,E33)))*(IF(Upgrades!$T$7="Solar Wind",POWER(Upgrades!$U$7,F33),1)*IF(Upgrades!$T$8="Solar Wind",POWER(Upgrades!$U$8,G33),1)*IF(Upgrades!$T$9="Solar Wind",POWER(Upgrades!$U$9,H33),1)*IF(Upgrades!$T$10="Solar Wind",POWER(Upgrades!$U$10,I33),1)*IF(Upgrades!$T$11="Solar Wind",POWER(Upgrades!$U$11,J33),1)*IF(Upgrades!$T$12="Solar Wind",POWER(Upgrades!$U$12,K33),1))+(IF(F33=0,0,(Upgrades!$M$7+F33*Upgrades!$N$7)*POWER(Upgrades!$O$7,F33)))*(IF(Upgrades!$T$6="Asteroid Belt",POWER(Upgrades!$U$6,E33),1)*IF(Upgrades!$T$8="Asteroid Belt",POWER(Upgrades!$U$8,G33),1)*IF(Upgrades!$T$9="Asteroid Belt",POWER(Upgrades!$U$9,H33),1)*IF(Upgrades!$T$10="Asteroid Belt",POWER(Upgrades!$U$10,I33),1)*IF(Upgrades!$T$11="Asteroid Belt",POWER(Upgrades!$U$11,J33),1)*IF(Upgrades!$T$12="Asteroid Belt",POWER(Upgrades!$U$12,K33),1))+(IF(G33=0,0,(Upgrades!$M$8+G33*Upgrades!$N$8)*POWER(Upgrades!$O$8,G33)))*(IF(Upgrades!$T$6="Stellar Coupling",POWER(Upgrades!$U$6,E33),1)*IF(Upgrades!$T$7="Stellar Coupling",POWER(Upgrades!$U$7,F33),1)*IF(Upgrades!$T$9="Stellar Coupling",POWER(Upgrades!$U$9,H33),1)*IF(Upgrades!$T$10="Stellar Coupling",POWER(Upgrades!$U$10,I33),1)*IF(Upgrades!$T$11="Stellar Coupling",POWER(Upgrades!$U$11,J33),1)*IF(Upgrades!$T$12="Stellar Coupling",POWER(Upgrades!$U$12,K33),1))+(IF(H33=0,0,(Upgrades!$M$9+H33*Upgrades!$N$9)*POWER(Upgrades!$O$9,H33)))*(IF(Upgrades!$T$6="Magnetosphere",POWER(Upgrades!$U$6,E33),1)*IF(Upgrades!$T$7="Magnetosphere",POWER(Upgrades!$U$7,F33),1)*IF(Upgrades!$T$8="Magnetosphere",POWER(Upgrades!$U$8,G33),1)*IF(Upgrades!$T$10="Magnetosphere",POWER(Upgrades!$U$10,I33),1)*IF(Upgrades!$T$11="Magnetosphere",POWER(Upgrades!$U$11,J33),1)*IF(Upgrades!$T$12="Magnetosphere",POWER(Upgrades!$U$12,K33),1))+(IF(I33=0,0,(Upgrades!$M$10+I33*Upgrades!$N$10)*POWER(Upgrades!$O$10,I33)))*(IF(Upgrades!$T$6="Orbital Resonance",POWER(Upgrades!$U$6,E33),1)*IF(Upgrades!$T$7="Orbital Resonance",POWER(Upgrades!$U$7,F33),1)*IF(Upgrades!$T$8="Orbital Resonance",POWER(Upgrades!$U$8,G33),1)*IF(Upgrades!$T$9="Orbital Resonance",POWER(Upgrades!$U$9,H33),1)*IF(Upgrades!$T$11="Orbital Resonance",POWER(Upgrades!$U$11,J33),1)*IF(Upgrades!$T$12="Orbital Resonance",POWER(Upgrades!$U$12,K33),1))+(IF(J33=0,0,(Upgrades!$M$11+J33*Upgrades!$N$11)*POWER(Upgrades!$O$11,J33)))*(IF(Upgrades!$T$6="Heliopause",POWER(Upgrades!$U$6,E33),1)*IF(Upgrades!$T$7="Heliopause",POWER(Upgrades!$U$7,F33),1)*IF(Upgrades!$T$8="Heliopause",POWER(Upgrades!$U$8,G33),1)*IF(Upgrades!$T$9="Heliopause",POWER(Upgrades!$U$9,H33),1)*IF(Upgrades!$T$10="Heliopause",POWER(Upgrades!$U$10,I33),1)*IF(Upgrades!$T$12="Heliopause",POWER(Upgrades!$U$12,K33),1))+(IF(K33=0,0,(Upgrades!$M$12+K33*Upgrades!$N$12)*POWER(Upgrades!$O$12,K33)))*(IF(Upgrades!$T$6="First Photons",POWER(Upgrades!$U$6,E33),1)*IF(Upgrades!$T$7="First Photons",POWER(Upgrades!$U$7,F33),1)*IF(Upgrades!$T$8="First Photons",POWER(Upgrades!$U$8,G33),1)*IF(Upgrades!$T$9="First Photons",POWER(Upgrades!$U$9,H33),1)*IF(Upgrades!$T$10="First Photons",POWER(Upgrades!$U$10,I33),1)*IF(Upgrades!$T$11="First Photons",POWER(Upgrades!$U$11,J33),1)))*POWER(Upgrades!$R$6,E33)*POWER(Upgrades!$R$7,F33)*POWER(Upgrades!$R$8,G33)*POWER(Upgrades!$R$9,H33)*POWER(Upgrades!$R$10,I33)*POWER(Upgrades!$R$11,J33)*POWER(Upgrades!$R$12,K33)</f>
        <v>0</v>
      </c>
      <c r="P33" s="27" t="n">
        <f aca="false">IF(L33=1,0,M33*Parameters!$B$10/60*Parameters!$B$11*10)</f>
        <v>51.6666666666667</v>
      </c>
      <c r="Q33" s="27" t="n">
        <f aca="false">IF(L33=1,0,O33*M33*10)</f>
        <v>0</v>
      </c>
      <c r="R33" s="27" t="n">
        <f aca="false">IF(L33=1,0,N33*10)</f>
        <v>54</v>
      </c>
      <c r="S33" s="27" t="n">
        <f aca="false">P33+Q33+R33</f>
        <v>105.666666666667</v>
      </c>
      <c r="T33" s="21" t="n">
        <f aca="false">C33+S33</f>
        <v>523.038244705195</v>
      </c>
      <c r="U33" s="34" t="str">
        <f aca="false">AX33</f>
        <v>AB</v>
      </c>
      <c r="V33" s="21" t="n">
        <f aca="false">IF(U33="",0,IF(U33="transition",0,IF(U33="SW",AG33,IF(U33="AB",AH33,IF(U33="SC",AI33,IF(U33="Mag",AJ33,IF(U33="OR",AK33,IF(U33="HP",AL33,IF(U33="FP",AM33,0)))))))))</f>
        <v>61.1804572507812</v>
      </c>
      <c r="W33" s="27" t="n">
        <f aca="false">IF(U33="OR",Upgrades!$F$10,IF(U33="HP",Upgrades!$F$11,IF(U33="transition",-Parameters!$B$18,0)))</f>
        <v>0</v>
      </c>
      <c r="X33" s="21" t="n">
        <f aca="false">T33-V33</f>
        <v>461.857787454414</v>
      </c>
      <c r="Y33" s="30" t="n">
        <f aca="false">M33*Parameters!$B$10/60*Parameters!$B$11+O33*M33+N33</f>
        <v>10.5666666666667</v>
      </c>
      <c r="Z33" s="35" t="str">
        <f aca="false">IF(U33="transition","→ Tier 2 (Stellar Neighborhood)",IF(U33="FP","First Photons — light begins, system quickens",IF(U33="HP","Heliopause acquired",IF(U33="OR","Orbital Resonance — passive multiplier active",IF(AND(AO33=1,L33=0,AN33&lt;&gt;1),"Cohesion ready (waiting on completionist upgrades)","")))))</f>
        <v/>
      </c>
      <c r="AA33" s="27" t="n">
        <f aca="false">(IF(E33=0,0,(Upgrades!$G$6+E33*Upgrades!$H$6)*POWER(Upgrades!$I$6,E33)))*(IF(Upgrades!$T$7="Solar Wind",POWER(Upgrades!$U$7,F33),1)*IF(Upgrades!$T$8="Solar Wind",POWER(Upgrades!$U$8,G33),1)*IF(Upgrades!$T$9="Solar Wind",POWER(Upgrades!$U$9,H33),1)*IF(Upgrades!$T$10="Solar Wind",POWER(Upgrades!$U$10,I33),1)*IF(Upgrades!$T$11="Solar Wind",POWER(Upgrades!$U$11,J33),1)*IF(Upgrades!$T$12="Solar Wind",POWER(Upgrades!$U$12,K33),1))*POWER(Upgrades!$P$6,E33)*POWER(Upgrades!$P$7,F33)*POWER(Upgrades!$P$8,G33)*POWER(Upgrades!$P$9,H33)*POWER(Upgrades!$P$10,I33)*POWER(Upgrades!$P$11,J33)*POWER(Upgrades!$P$12,K33)*60</f>
        <v>54</v>
      </c>
      <c r="AB33" s="27" t="n">
        <f aca="false">(IF(F33=0,0,(Upgrades!$G$7+F33*Upgrades!$H$7)*POWER(Upgrades!$I$7,F33)))*(IF(Upgrades!$T$6="Asteroid Belt",POWER(Upgrades!$U$6,E33),1)*IF(Upgrades!$T$8="Asteroid Belt",POWER(Upgrades!$U$8,G33),1)*IF(Upgrades!$T$9="Asteroid Belt",POWER(Upgrades!$U$9,H33),1)*IF(Upgrades!$T$10="Asteroid Belt",POWER(Upgrades!$U$10,I33),1)*IF(Upgrades!$T$11="Asteroid Belt",POWER(Upgrades!$U$11,J33),1)*IF(Upgrades!$T$12="Asteroid Belt",POWER(Upgrades!$U$12,K33),1))*POWER(Upgrades!$P$6,E33)*POWER(Upgrades!$P$7,F33)*POWER(Upgrades!$P$8,G33)*POWER(Upgrades!$P$9,H33)*POWER(Upgrades!$P$10,I33)*POWER(Upgrades!$P$11,J33)*POWER(Upgrades!$P$12,K33)*60</f>
        <v>120</v>
      </c>
      <c r="AC33" s="27" t="n">
        <f aca="false">(IF(G33=0,0,(Upgrades!$J$8+G33*Upgrades!$K$8)*POWER(Upgrades!$L$8,G33)))*(IF(Upgrades!$T$6="Stellar Coupling",POWER(Upgrades!$U$6,E33),1)*IF(Upgrades!$T$7="Stellar Coupling",POWER(Upgrades!$U$7,F33),1)*IF(Upgrades!$T$9="Stellar Coupling",POWER(Upgrades!$U$9,H33),1)*IF(Upgrades!$T$10="Stellar Coupling",POWER(Upgrades!$U$10,I33),1)*IF(Upgrades!$T$11="Stellar Coupling",POWER(Upgrades!$U$11,J33),1)*IF(Upgrades!$T$12="Stellar Coupling",POWER(Upgrades!$U$12,K33),1))*POWER(Upgrades!$Q$6,E33)*POWER(Upgrades!$Q$7,F33)*POWER(Upgrades!$Q$8,G33)*POWER(Upgrades!$Q$9,H33)*POWER(Upgrades!$Q$10,I33)*POWER(Upgrades!$Q$11,J33)*POWER(Upgrades!$Q$12,K33)*Parameters!$B$10*Parameters!$B$11</f>
        <v>210</v>
      </c>
      <c r="AD33" s="27" t="n">
        <f aca="false">(IF(H33=0,0,(Upgrades!$G$9+H33*Upgrades!$H$9)*POWER(Upgrades!$I$9,H33)))*(IF(Upgrades!$T$6="Magnetosphere",POWER(Upgrades!$U$6,E33),1)*IF(Upgrades!$T$7="Magnetosphere",POWER(Upgrades!$U$7,F33),1)*IF(Upgrades!$T$8="Magnetosphere",POWER(Upgrades!$U$8,G33),1)*IF(Upgrades!$T$10="Magnetosphere",POWER(Upgrades!$U$10,I33),1)*IF(Upgrades!$T$11="Magnetosphere",POWER(Upgrades!$U$11,J33),1)*IF(Upgrades!$T$12="Magnetosphere",POWER(Upgrades!$U$12,K33),1))*POWER(Upgrades!$P$6,E33)*POWER(Upgrades!$P$7,F33)*POWER(Upgrades!$P$8,G33)*POWER(Upgrades!$P$9,H33)*POWER(Upgrades!$P$10,I33)*POWER(Upgrades!$P$11,J33)*POWER(Upgrades!$P$12,K33)*60</f>
        <v>150</v>
      </c>
      <c r="AE33" s="27" t="n">
        <f aca="false">(IF(K33=0,0,(Upgrades!$G$12+K33*Upgrades!$H$12)*POWER(Upgrades!$I$12,K33)))*(IF(Upgrades!$T$6="First Photons",POWER(Upgrades!$U$6,E33),1)*IF(Upgrades!$T$7="First Photons",POWER(Upgrades!$U$7,F33),1)*IF(Upgrades!$T$8="First Photons",POWER(Upgrades!$U$8,G33),1)*IF(Upgrades!$T$9="First Photons",POWER(Upgrades!$U$9,H33),1)*IF(Upgrades!$T$10="First Photons",POWER(Upgrades!$U$10,I33),1)*IF(Upgrades!$T$11="First Photons",POWER(Upgrades!$U$11,J33),1))*POWER(Upgrades!$P$6,E33)*POWER(Upgrades!$P$7,F33)*POWER(Upgrades!$P$8,G33)*POWER(Upgrades!$P$9,H33)*POWER(Upgrades!$P$10,I33)*POWER(Upgrades!$P$11,J33)*POWER(Upgrades!$P$12,K33)*60</f>
        <v>0</v>
      </c>
      <c r="AF33" s="27" t="n">
        <f aca="false">Parameters!$B$9*POWER(Upgrades!$Q$6,E33)*POWER(Upgrades!$Q$7,F33)*POWER(Upgrades!$Q$8,G33)*POWER(Upgrades!$Q$9,H33)*POWER(Upgrades!$Q$10,I33)*POWER(Upgrades!$Q$11,J33)*POWER(Upgrades!$Q$12,K33)*(Parameters!$B$10*Parameters!$B$11+O33*60)</f>
        <v>100</v>
      </c>
      <c r="AG33" s="21" t="n">
        <f aca="false">IF(E33&gt;=Upgrades!$E$6,"",Upgrades!$C$6*POWER(Upgrades!$D$6,E33))</f>
        <v>24.6251340434394</v>
      </c>
      <c r="AH33" s="21" t="n">
        <f aca="false">IF(F33&gt;=Upgrades!$E$7,"",Upgrades!$C$7*POWER(Upgrades!$D$7,F33))</f>
        <v>61.1804572507812</v>
      </c>
      <c r="AI33" s="21" t="n">
        <f aca="false">IF(G33&gt;=Upgrades!$E$8,"",Upgrades!$C$8*POWER(Upgrades!$D$8,G33))</f>
        <v>165.649792</v>
      </c>
      <c r="AJ33" s="21" t="n">
        <f aca="false">IF(H33&gt;=Upgrades!$E$9,"",Upgrades!$C$9*POWER(Upgrades!$D$9,H33))</f>
        <v>320</v>
      </c>
      <c r="AK33" s="21" t="str">
        <f aca="false">IF(I33&gt;=Upgrades!$E$10,"",Upgrades!$C$10*POWER(Upgrades!$D$10,I33))</f>
        <v/>
      </c>
      <c r="AL33" s="21" t="n">
        <f aca="false">IF(J33&gt;=Upgrades!$E$11,"",Upgrades!$C$11*POWER(Upgrades!$D$11,J33))</f>
        <v>575</v>
      </c>
      <c r="AM33" s="21" t="n">
        <f aca="false">IF(K33&gt;=Upgrades!$E$12,"",Upgrades!$C$12*POWER(Upgrades!$D$12,K33))</f>
        <v>850</v>
      </c>
      <c r="AN33" s="26" t="str">
        <f aca="false">IF(AND(D33&gt;=Parameters!$B$18,(H33&gt;=Upgrades!$E$9)*(K33&gt;=Upgrades!$E$12)=1,L33=0),1,"")</f>
        <v/>
      </c>
      <c r="AO33" s="26" t="str">
        <f aca="false">IF(AND(D33&gt;=Parameters!$B$18,L33=0),1,"")</f>
        <v/>
      </c>
      <c r="AP33" s="21" t="n">
        <f aca="false">MIN(IF(ISNUMBER(AK33),AK33,9000000000000000),IF(ISNUMBER(AL33),AL33,9000000000000000),IF(ISNUMBER(AM33),AM33,9000000000000000))</f>
        <v>575</v>
      </c>
      <c r="AQ33" s="21" t="n">
        <f aca="false">MIN(IF(ISNUMBER(AG33),AG33,9000000000000000),IF(ISNUMBER(AH33),AH33,9000000000000000),IF(ISNUMBER(AI33),AI33,9000000000000000),IF(ISNUMBER(AJ33),AJ33,9000000000000000))</f>
        <v>24.6251340434394</v>
      </c>
      <c r="AR33" s="32" t="b">
        <f aca="false">IF(AW33&gt;Parameters!$B$21*(MAX(IF(AND(NOT(AND(AO33=1,AN33&lt;&gt;1)),ISNUMBER(AG33),AG33&lt;=T33),AS33,0),IF(AND(NOT(AND(AO33=1,AN33&lt;&gt;1)),ISNUMBER(AH33),AH33&lt;=T33),AT33,0),IF(AND(NOT(AND(AO33=1,AN33&lt;&gt;1)),ISNUMBER(AI33),AI33&lt;=T33),AU33,0),IF(AND(ISNUMBER(AJ33),AJ33&lt;=T33),AV33,0))),TRUE(),FALSE())</f>
        <v>0</v>
      </c>
      <c r="AS33" s="33" t="n">
        <f aca="false">IFERROR(Upgrades!$H$6*(POWER(Upgrades!$P$6,E33)*POWER(Upgrades!$P$7,F33)*POWER(Upgrades!$P$8,G33)*POWER(Upgrades!$P$9,H33)*POWER(Upgrades!$P$10,I33)*POWER(Upgrades!$P$11,J33)*POWER(Upgrades!$P$12,K33))*(IF(Upgrades!$T$7="Solar Wind",POWER(Upgrades!$U$7,F33),1)*IF(Upgrades!$T$8="Solar Wind",POWER(Upgrades!$U$8,G33),1)*IF(Upgrades!$T$9="Solar Wind",POWER(Upgrades!$U$9,H33),1)*IF(Upgrades!$T$10="Solar Wind",POWER(Upgrades!$U$10,I33),1)*IF(Upgrades!$T$11="Solar Wind",POWER(Upgrades!$U$11,J33),1)*IF(Upgrades!$T$12="Solar Wind",POWER(Upgrades!$U$12,K33),1))/AG33,0)</f>
        <v>0.00406089160057351</v>
      </c>
      <c r="AT33" s="33" t="n">
        <f aca="false">IFERROR(Upgrades!$H$7*(POWER(Upgrades!$P$6,E33)*POWER(Upgrades!$P$7,F33)*POWER(Upgrades!$P$8,G33)*POWER(Upgrades!$P$9,H33)*POWER(Upgrades!$P$10,I33)*POWER(Upgrades!$P$11,J33)*POWER(Upgrades!$P$12,K33))*(IF(Upgrades!$T$6="Asteroid Belt",POWER(Upgrades!$U$6,E33),1)*IF(Upgrades!$T$8="Asteroid Belt",POWER(Upgrades!$U$8,G33),1)*IF(Upgrades!$T$9="Asteroid Belt",POWER(Upgrades!$U$9,H33),1)*IF(Upgrades!$T$10="Asteroid Belt",POWER(Upgrades!$U$10,I33),1)*IF(Upgrades!$T$11="Asteroid Belt",POWER(Upgrades!$U$11,J33),1)*IF(Upgrades!$T$12="Asteroid Belt",POWER(Upgrades!$U$12,K33),1))/AH33,0)</f>
        <v>0.00408627217307709</v>
      </c>
      <c r="AU33" s="33" t="n">
        <f aca="false">IFERROR(Upgrades!$K$8*(POWER(Upgrades!$Q$6,E33)*POWER(Upgrades!$Q$7,F33)*POWER(Upgrades!$Q$8,G33)*POWER(Upgrades!$Q$9,H33)*POWER(Upgrades!$Q$10,I33)*POWER(Upgrades!$Q$11,J33)*POWER(Upgrades!$Q$12,K33))*(IF(Upgrades!$T$6="Stellar Coupling",POWER(Upgrades!$U$6,E33),1)*IF(Upgrades!$T$7="Stellar Coupling",POWER(Upgrades!$U$7,F33),1)*IF(Upgrades!$T$9="Stellar Coupling",POWER(Upgrades!$U$9,H33),1)*IF(Upgrades!$T$10="Stellar Coupling",POWER(Upgrades!$U$10,I33),1)*IF(Upgrades!$T$11="Stellar Coupling",POWER(Upgrades!$U$11,J33),1)*IF(Upgrades!$T$12="Stellar Coupling",POWER(Upgrades!$U$12,K33),1))*Parameters!$B$10*Parameters!$B$11/60/AI33,0)</f>
        <v>0.00352148545609604</v>
      </c>
      <c r="AV33" s="33" t="n">
        <f aca="false">IFERROR(Upgrades!$H$9*(POWER(Upgrades!$P$6,E33)*POWER(Upgrades!$P$7,F33)*POWER(Upgrades!$P$8,G33)*POWER(Upgrades!$P$9,H33)*POWER(Upgrades!$P$10,I33)*POWER(Upgrades!$P$11,J33)*POWER(Upgrades!$P$12,K33))*(IF(Upgrades!$T$6="Magnetosphere",POWER(Upgrades!$U$6,E33),1)*IF(Upgrades!$T$7="Magnetosphere",POWER(Upgrades!$U$7,F33),1)*IF(Upgrades!$T$8="Magnetosphere",POWER(Upgrades!$U$8,G33),1)*IF(Upgrades!$T$10="Magnetosphere",POWER(Upgrades!$U$10,I33),1)*IF(Upgrades!$T$11="Magnetosphere",POWER(Upgrades!$U$11,J33),1)*IF(Upgrades!$T$12="Magnetosphere",POWER(Upgrades!$U$12,K33),1))/AJ33,0)</f>
        <v>0.00390625</v>
      </c>
      <c r="AW33" s="33" t="n">
        <f aca="false">MAX(IF(I33&gt;0,0,IFERROR(0.25*N33/Upgrades!$C$10,0)),IF(J33&gt;0,0,IFERROR(0.5*((IF(G33=0,0,(Upgrades!$J$8+G33*Upgrades!$K$8)*POWER(Upgrades!$L$8,G33)))*(IF(Upgrades!$T$6="Stellar Coupling",POWER(Upgrades!$U$6,E33),1)*IF(Upgrades!$T$7="Stellar Coupling",POWER(Upgrades!$U$7,F33),1)*IF(Upgrades!$T$9="Stellar Coupling",POWER(Upgrades!$U$9,H33),1)*IF(Upgrades!$T$10="Stellar Coupling",POWER(Upgrades!$U$10,I33),1)*IF(Upgrades!$T$11="Stellar Coupling",POWER(Upgrades!$U$11,J33),1)*IF(Upgrades!$T$12="Stellar Coupling",POWER(Upgrades!$U$12,K33),1))*(POWER(Upgrades!$Q$6,E33)*POWER(Upgrades!$Q$7,F33)*POWER(Upgrades!$Q$8,G33)*POWER(Upgrades!$Q$9,H33)*POWER(Upgrades!$Q$10,I33)*POWER(Upgrades!$Q$11,J33)*POWER(Upgrades!$Q$12,K33))*Parameters!$B$10*Parameters!$B$11/60)/Upgrades!$C$11,0)),IF(K33&gt;0,0,IFERROR((1*(POWER(Upgrades!$P$6,E33)*POWER(Upgrades!$P$7,F33)*POWER(Upgrades!$P$8,G33)*POWER(Upgrades!$P$9,H33)*POWER(Upgrades!$P$10,I33)*POWER(Upgrades!$P$11,J33)*POWER(Upgrades!$P$12,K33))+0.2*M33*Parameters!$B$10*Parameters!$B$11/60)/Upgrades!$C$12,0)),IF(AND(ISNUMBER(AG33),AG33&gt;T33),AS33,0),IF(AND(ISNUMBER(AH33),AH33&gt;T33),AT33,0),IF(AND(ISNUMBER(AI33),AI33&gt;T33),AU33,0),IF(AND(ISNUMBER(AJ33),AJ33&gt;T33),AV33,0))</f>
        <v>0.00304347826086956</v>
      </c>
      <c r="AX33" s="29" t="str">
        <f aca="false">IF(AN33=1,"transition",IF(MIN(IF(AND(I33=0,ISNUMBER(AK33),AK33&lt;=T33),AK33,9000000000000000),IF(AND(J33=0,ISNUMBER(AL33),AL33&lt;=T33),AL33,9000000000000000),IF(AND(K33=0,ISNUMBER(AM33),AM33&lt;=T33),AM33,9000000000000000))&lt;9000000000000000,IF(AND(AND(I33=0,ISNUMBER(AK33),AK33&lt;=T33),AK33=MIN(IF(AND(I33=0,ISNUMBER(AK33),AK33&lt;=T33),AK33,9000000000000000),IF(AND(J33=0,ISNUMBER(AL33),AL33&lt;=T33),AL33,9000000000000000),IF(AND(K33=0,ISNUMBER(AM33),AM33&lt;=T33),AM33,9000000000000000))),"OR",IF(AND(AND(J33=0,ISNUMBER(AL33),AL33&lt;=T33),AL33=MIN(IF(AND(I33=0,ISNUMBER(AK33),AK33&lt;=T33),AK33,9000000000000000),IF(AND(J33=0,ISNUMBER(AL33),AL33&lt;=T33),AL33,9000000000000000),IF(AND(K33=0,ISNUMBER(AM33),AM33&lt;=T33),AM33,9000000000000000))),"HP","FP")),IF(AR33=TRUE(),"",IF(MAX(IF(AND(NOT(AND(AO33=1,AN33&lt;&gt;1)),ISNUMBER(AG33),AG33&lt;=T33),AS33,0),IF(AND(NOT(AND(AO33=1,AN33&lt;&gt;1)),ISNUMBER(AH33),AH33&lt;=T33),AT33,0),IF(AND(NOT(AND(AO33=1,AN33&lt;&gt;1)),ISNUMBER(AI33),AI33&lt;=T33),AU33,0),IF(AND(ISNUMBER(AJ33),AJ33&lt;=T33),AV33,0))&lt;=0,"",IF(AND(IF(AND(NOT(AND(AO33=1,AN33&lt;&gt;1)),ISNUMBER(AG33),AG33&lt;=T33),AS33,0)&gt;0,IF(AND(NOT(AND(AO33=1,AN33&lt;&gt;1)),ISNUMBER(AG33),AG33&lt;=T33),AS33,0)=MAX(IF(AND(NOT(AND(AO33=1,AN33&lt;&gt;1)),ISNUMBER(AG33),AG33&lt;=T33),AS33,0),IF(AND(NOT(AND(AO33=1,AN33&lt;&gt;1)),ISNUMBER(AH33),AH33&lt;=T33),AT33,0),IF(AND(NOT(AND(AO33=1,AN33&lt;&gt;1)),ISNUMBER(AI33),AI33&lt;=T33),AU33,0),IF(AND(ISNUMBER(AJ33),AJ33&lt;=T33),AV33,0))),"SW",IF(AND(IF(AND(NOT(AND(AO33=1,AN33&lt;&gt;1)),ISNUMBER(AH33),AH33&lt;=T33),AT33,0)&gt;0,IF(AND(NOT(AND(AO33=1,AN33&lt;&gt;1)),ISNUMBER(AH33),AH33&lt;=T33),AT33,0)=MAX(IF(AND(NOT(AND(AO33=1,AN33&lt;&gt;1)),ISNUMBER(AG33),AG33&lt;=T33),AS33,0),IF(AND(NOT(AND(AO33=1,AN33&lt;&gt;1)),ISNUMBER(AH33),AH33&lt;=T33),AT33,0),IF(AND(NOT(AND(AO33=1,AN33&lt;&gt;1)),ISNUMBER(AI33),AI33&lt;=T33),AU33,0),IF(AND(ISNUMBER(AJ33),AJ33&lt;=T33),AV33,0))),"AB",IF(AND(IF(AND(NOT(AND(AO33=1,AN33&lt;&gt;1)),ISNUMBER(AI33),AI33&lt;=T33),AU33,0)&gt;0,IF(AND(NOT(AND(AO33=1,AN33&lt;&gt;1)),ISNUMBER(AI33),AI33&lt;=T33),AU33,0)=MAX(IF(AND(NOT(AND(AO33=1,AN33&lt;&gt;1)),ISNUMBER(AG33),AG33&lt;=T33),AS33,0),IF(AND(NOT(AND(AO33=1,AN33&lt;&gt;1)),ISNUMBER(AH33),AH33&lt;=T33),AT33,0),IF(AND(NOT(AND(AO33=1,AN33&lt;&gt;1)),ISNUMBER(AI33),AI33&lt;=T33),AU33,0),IF(AND(ISNUMBER(AJ33),AJ33&lt;=T33),AV33,0))),"SC","Mag")))))))</f>
        <v>AB</v>
      </c>
    </row>
    <row r="34" customFormat="false" ht="15" hidden="false" customHeight="false" outlineLevel="0" collapsed="false">
      <c r="A34" s="26" t="n">
        <v>29</v>
      </c>
      <c r="B34" s="27" t="n">
        <f aca="false">A34*10/60</f>
        <v>4.83333333333333</v>
      </c>
      <c r="C34" s="21" t="n">
        <f aca="false">X33</f>
        <v>461.857787454414</v>
      </c>
      <c r="D34" s="27" t="n">
        <f aca="false">D33+W33</f>
        <v>0.4</v>
      </c>
      <c r="E34" s="26" t="n">
        <f aca="false">E33+IF(U33="SW",1,0)</f>
        <v>9</v>
      </c>
      <c r="F34" s="26" t="n">
        <f aca="false">F33+IF(U33="AB",1,0)</f>
        <v>9</v>
      </c>
      <c r="G34" s="26" t="n">
        <f aca="false">G33+IF(U33="SC",1,0)</f>
        <v>6</v>
      </c>
      <c r="H34" s="26" t="n">
        <f aca="false">H33+IF(U33="Mag",1,0)</f>
        <v>2</v>
      </c>
      <c r="I34" s="26" t="n">
        <f aca="false">MAX(I33,IF(U33="OR",1,0))</f>
        <v>1</v>
      </c>
      <c r="J34" s="26" t="n">
        <f aca="false">MAX(J33,IF(U33="HP",1,0))</f>
        <v>0</v>
      </c>
      <c r="K34" s="26" t="n">
        <f aca="false">MAX(K33,IF(U33="FP",1,0))</f>
        <v>0</v>
      </c>
      <c r="L34" s="26" t="n">
        <f aca="false">MAX(L33,IF(U33="transition",1,0))</f>
        <v>0</v>
      </c>
      <c r="M34" s="28" t="n">
        <f aca="false">(Parameters!$B$9+(IF(E34=0,0,(Upgrades!$J$6+E34*Upgrades!$K$6)*POWER(Upgrades!$L$6,E34)))*(IF(Upgrades!$T$7="Solar Wind",POWER(Upgrades!$U$7,F34),1)*IF(Upgrades!$T$8="Solar Wind",POWER(Upgrades!$U$8,G34),1)*IF(Upgrades!$T$9="Solar Wind",POWER(Upgrades!$U$9,H34),1)*IF(Upgrades!$T$10="Solar Wind",POWER(Upgrades!$U$10,I34),1)*IF(Upgrades!$T$11="Solar Wind",POWER(Upgrades!$U$11,J34),1)*IF(Upgrades!$T$12="Solar Wind",POWER(Upgrades!$U$12,K34),1))+(IF(F34=0,0,(Upgrades!$J$7+F34*Upgrades!$K$7)*POWER(Upgrades!$L$7,F34)))*(IF(Upgrades!$T$6="Asteroid Belt",POWER(Upgrades!$U$6,E34),1)*IF(Upgrades!$T$8="Asteroid Belt",POWER(Upgrades!$U$8,G34),1)*IF(Upgrades!$T$9="Asteroid Belt",POWER(Upgrades!$U$9,H34),1)*IF(Upgrades!$T$10="Asteroid Belt",POWER(Upgrades!$U$10,I34),1)*IF(Upgrades!$T$11="Asteroid Belt",POWER(Upgrades!$U$11,J34),1)*IF(Upgrades!$T$12="Asteroid Belt",POWER(Upgrades!$U$12,K34),1))+(IF(G34=0,0,(Upgrades!$J$8+G34*Upgrades!$K$8)*POWER(Upgrades!$L$8,G34)))*(IF(Upgrades!$T$6="Stellar Coupling",POWER(Upgrades!$U$6,E34),1)*IF(Upgrades!$T$7="Stellar Coupling",POWER(Upgrades!$U$7,F34),1)*IF(Upgrades!$T$9="Stellar Coupling",POWER(Upgrades!$U$9,H34),1)*IF(Upgrades!$T$10="Stellar Coupling",POWER(Upgrades!$U$10,I34),1)*IF(Upgrades!$T$11="Stellar Coupling",POWER(Upgrades!$U$11,J34),1)*IF(Upgrades!$T$12="Stellar Coupling",POWER(Upgrades!$U$12,K34),1))+(IF(H34=0,0,(Upgrades!$J$9+H34*Upgrades!$K$9)*POWER(Upgrades!$L$9,H34)))*(IF(Upgrades!$T$6="Magnetosphere",POWER(Upgrades!$U$6,E34),1)*IF(Upgrades!$T$7="Magnetosphere",POWER(Upgrades!$U$7,F34),1)*IF(Upgrades!$T$8="Magnetosphere",POWER(Upgrades!$U$8,G34),1)*IF(Upgrades!$T$10="Magnetosphere",POWER(Upgrades!$U$10,I34),1)*IF(Upgrades!$T$11="Magnetosphere",POWER(Upgrades!$U$11,J34),1)*IF(Upgrades!$T$12="Magnetosphere",POWER(Upgrades!$U$12,K34),1))+(IF(I34=0,0,(Upgrades!$J$10+I34*Upgrades!$K$10)*POWER(Upgrades!$L$10,I34)))*(IF(Upgrades!$T$6="Orbital Resonance",POWER(Upgrades!$U$6,E34),1)*IF(Upgrades!$T$7="Orbital Resonance",POWER(Upgrades!$U$7,F34),1)*IF(Upgrades!$T$8="Orbital Resonance",POWER(Upgrades!$U$8,G34),1)*IF(Upgrades!$T$9="Orbital Resonance",POWER(Upgrades!$U$9,H34),1)*IF(Upgrades!$T$11="Orbital Resonance",POWER(Upgrades!$U$11,J34),1)*IF(Upgrades!$T$12="Orbital Resonance",POWER(Upgrades!$U$12,K34),1))+(IF(J34=0,0,(Upgrades!$J$11+J34*Upgrades!$K$11)*POWER(Upgrades!$L$11,J34)))*(IF(Upgrades!$T$6="Heliopause",POWER(Upgrades!$U$6,E34),1)*IF(Upgrades!$T$7="Heliopause",POWER(Upgrades!$U$7,F34),1)*IF(Upgrades!$T$8="Heliopause",POWER(Upgrades!$U$8,G34),1)*IF(Upgrades!$T$9="Heliopause",POWER(Upgrades!$U$9,H34),1)*IF(Upgrades!$T$10="Heliopause",POWER(Upgrades!$U$10,I34),1)*IF(Upgrades!$T$12="Heliopause",POWER(Upgrades!$U$12,K34),1))+(IF(K34=0,0,(Upgrades!$J$12+K34*Upgrades!$K$12)*POWER(Upgrades!$L$12,K34)))*(IF(Upgrades!$T$6="First Photons",POWER(Upgrades!$U$6,E34),1)*IF(Upgrades!$T$7="First Photons",POWER(Upgrades!$U$7,F34),1)*IF(Upgrades!$T$8="First Photons",POWER(Upgrades!$U$8,G34),1)*IF(Upgrades!$T$9="First Photons",POWER(Upgrades!$U$9,H34),1)*IF(Upgrades!$T$10="First Photons",POWER(Upgrades!$U$10,I34),1)*IF(Upgrades!$T$11="First Photons",POWER(Upgrades!$U$11,J34),1)))*POWER(Upgrades!$Q$6,E34)*POWER(Upgrades!$Q$7,F34)*POWER(Upgrades!$Q$8,G34)*POWER(Upgrades!$Q$9,H34)*POWER(Upgrades!$Q$10,I34)*POWER(Upgrades!$Q$11,J34)*POWER(Upgrades!$Q$12,K34)</f>
        <v>3.1</v>
      </c>
      <c r="N34" s="28" t="n">
        <f aca="false">((IF(E34=0,0,(Upgrades!$G$6+E34*Upgrades!$H$6)*POWER(Upgrades!$I$6,E34)))*(IF(Upgrades!$T$7="Solar Wind",POWER(Upgrades!$U$7,F34),1)*IF(Upgrades!$T$8="Solar Wind",POWER(Upgrades!$U$8,G34),1)*IF(Upgrades!$T$9="Solar Wind",POWER(Upgrades!$U$9,H34),1)*IF(Upgrades!$T$10="Solar Wind",POWER(Upgrades!$U$10,I34),1)*IF(Upgrades!$T$11="Solar Wind",POWER(Upgrades!$U$11,J34),1)*IF(Upgrades!$T$12="Solar Wind",POWER(Upgrades!$U$12,K34),1))+(IF(F34=0,0,(Upgrades!$G$7+F34*Upgrades!$H$7)*POWER(Upgrades!$I$7,F34)))*(IF(Upgrades!$T$6="Asteroid Belt",POWER(Upgrades!$U$6,E34),1)*IF(Upgrades!$T$8="Asteroid Belt",POWER(Upgrades!$U$8,G34),1)*IF(Upgrades!$T$9="Asteroid Belt",POWER(Upgrades!$U$9,H34),1)*IF(Upgrades!$T$10="Asteroid Belt",POWER(Upgrades!$U$10,I34),1)*IF(Upgrades!$T$11="Asteroid Belt",POWER(Upgrades!$U$11,J34),1)*IF(Upgrades!$T$12="Asteroid Belt",POWER(Upgrades!$U$12,K34),1))+(IF(G34=0,0,(Upgrades!$G$8+G34*Upgrades!$H$8)*POWER(Upgrades!$I$8,G34)))*(IF(Upgrades!$T$6="Stellar Coupling",POWER(Upgrades!$U$6,E34),1)*IF(Upgrades!$T$7="Stellar Coupling",POWER(Upgrades!$U$7,F34),1)*IF(Upgrades!$T$9="Stellar Coupling",POWER(Upgrades!$U$9,H34),1)*IF(Upgrades!$T$10="Stellar Coupling",POWER(Upgrades!$U$10,I34),1)*IF(Upgrades!$T$11="Stellar Coupling",POWER(Upgrades!$U$11,J34),1)*IF(Upgrades!$T$12="Stellar Coupling",POWER(Upgrades!$U$12,K34),1))+(IF(H34=0,0,(Upgrades!$G$9+H34*Upgrades!$H$9)*POWER(Upgrades!$I$9,H34)))*(IF(Upgrades!$T$6="Magnetosphere",POWER(Upgrades!$U$6,E34),1)*IF(Upgrades!$T$7="Magnetosphere",POWER(Upgrades!$U$7,F34),1)*IF(Upgrades!$T$8="Magnetosphere",POWER(Upgrades!$U$8,G34),1)*IF(Upgrades!$T$10="Magnetosphere",POWER(Upgrades!$U$10,I34),1)*IF(Upgrades!$T$11="Magnetosphere",POWER(Upgrades!$U$11,J34),1)*IF(Upgrades!$T$12="Magnetosphere",POWER(Upgrades!$U$12,K34),1))+(IF(I34=0,0,(Upgrades!$G$10+I34*Upgrades!$H$10)*POWER(Upgrades!$I$10,I34)))*(IF(Upgrades!$T$6="Orbital Resonance",POWER(Upgrades!$U$6,E34),1)*IF(Upgrades!$T$7="Orbital Resonance",POWER(Upgrades!$U$7,F34),1)*IF(Upgrades!$T$8="Orbital Resonance",POWER(Upgrades!$U$8,G34),1)*IF(Upgrades!$T$9="Orbital Resonance",POWER(Upgrades!$U$9,H34),1)*IF(Upgrades!$T$11="Orbital Resonance",POWER(Upgrades!$U$11,J34),1)*IF(Upgrades!$T$12="Orbital Resonance",POWER(Upgrades!$U$12,K34),1))+(IF(J34=0,0,(Upgrades!$G$11+J34*Upgrades!$H$11)*POWER(Upgrades!$I$11,J34)))*(IF(Upgrades!$T$6="Heliopause",POWER(Upgrades!$U$6,E34),1)*IF(Upgrades!$T$7="Heliopause",POWER(Upgrades!$U$7,F34),1)*IF(Upgrades!$T$8="Heliopause",POWER(Upgrades!$U$8,G34),1)*IF(Upgrades!$T$9="Heliopause",POWER(Upgrades!$U$9,H34),1)*IF(Upgrades!$T$10="Heliopause",POWER(Upgrades!$U$10,I34),1)*IF(Upgrades!$T$12="Heliopause",POWER(Upgrades!$U$12,K34),1))+(IF(K34=0,0,(Upgrades!$G$12+K34*Upgrades!$H$12)*POWER(Upgrades!$I$12,K34)))*(IF(Upgrades!$T$6="First Photons",POWER(Upgrades!$U$6,E34),1)*IF(Upgrades!$T$7="First Photons",POWER(Upgrades!$U$7,F34),1)*IF(Upgrades!$T$8="First Photons",POWER(Upgrades!$U$8,G34),1)*IF(Upgrades!$T$9="First Photons",POWER(Upgrades!$U$9,H34),1)*IF(Upgrades!$T$10="First Photons",POWER(Upgrades!$U$10,I34),1)*IF(Upgrades!$T$11="First Photons",POWER(Upgrades!$U$11,J34),1)))*POWER(Upgrades!$P$6,E34)*POWER(Upgrades!$P$7,F34)*POWER(Upgrades!$P$8,G34)*POWER(Upgrades!$P$9,H34)*POWER(Upgrades!$P$10,I34)*POWER(Upgrades!$P$11,J34)*POWER(Upgrades!$P$12,K34)</f>
        <v>5.65</v>
      </c>
      <c r="O34" s="28" t="n">
        <f aca="false">((IF(E34=0,0,(Upgrades!$M$6+E34*Upgrades!$N$6)*POWER(Upgrades!$O$6,E34)))*(IF(Upgrades!$T$7="Solar Wind",POWER(Upgrades!$U$7,F34),1)*IF(Upgrades!$T$8="Solar Wind",POWER(Upgrades!$U$8,G34),1)*IF(Upgrades!$T$9="Solar Wind",POWER(Upgrades!$U$9,H34),1)*IF(Upgrades!$T$10="Solar Wind",POWER(Upgrades!$U$10,I34),1)*IF(Upgrades!$T$11="Solar Wind",POWER(Upgrades!$U$11,J34),1)*IF(Upgrades!$T$12="Solar Wind",POWER(Upgrades!$U$12,K34),1))+(IF(F34=0,0,(Upgrades!$M$7+F34*Upgrades!$N$7)*POWER(Upgrades!$O$7,F34)))*(IF(Upgrades!$T$6="Asteroid Belt",POWER(Upgrades!$U$6,E34),1)*IF(Upgrades!$T$8="Asteroid Belt",POWER(Upgrades!$U$8,G34),1)*IF(Upgrades!$T$9="Asteroid Belt",POWER(Upgrades!$U$9,H34),1)*IF(Upgrades!$T$10="Asteroid Belt",POWER(Upgrades!$U$10,I34),1)*IF(Upgrades!$T$11="Asteroid Belt",POWER(Upgrades!$U$11,J34),1)*IF(Upgrades!$T$12="Asteroid Belt",POWER(Upgrades!$U$12,K34),1))+(IF(G34=0,0,(Upgrades!$M$8+G34*Upgrades!$N$8)*POWER(Upgrades!$O$8,G34)))*(IF(Upgrades!$T$6="Stellar Coupling",POWER(Upgrades!$U$6,E34),1)*IF(Upgrades!$T$7="Stellar Coupling",POWER(Upgrades!$U$7,F34),1)*IF(Upgrades!$T$9="Stellar Coupling",POWER(Upgrades!$U$9,H34),1)*IF(Upgrades!$T$10="Stellar Coupling",POWER(Upgrades!$U$10,I34),1)*IF(Upgrades!$T$11="Stellar Coupling",POWER(Upgrades!$U$11,J34),1)*IF(Upgrades!$T$12="Stellar Coupling",POWER(Upgrades!$U$12,K34),1))+(IF(H34=0,0,(Upgrades!$M$9+H34*Upgrades!$N$9)*POWER(Upgrades!$O$9,H34)))*(IF(Upgrades!$T$6="Magnetosphere",POWER(Upgrades!$U$6,E34),1)*IF(Upgrades!$T$7="Magnetosphere",POWER(Upgrades!$U$7,F34),1)*IF(Upgrades!$T$8="Magnetosphere",POWER(Upgrades!$U$8,G34),1)*IF(Upgrades!$T$10="Magnetosphere",POWER(Upgrades!$U$10,I34),1)*IF(Upgrades!$T$11="Magnetosphere",POWER(Upgrades!$U$11,J34),1)*IF(Upgrades!$T$12="Magnetosphere",POWER(Upgrades!$U$12,K34),1))+(IF(I34=0,0,(Upgrades!$M$10+I34*Upgrades!$N$10)*POWER(Upgrades!$O$10,I34)))*(IF(Upgrades!$T$6="Orbital Resonance",POWER(Upgrades!$U$6,E34),1)*IF(Upgrades!$T$7="Orbital Resonance",POWER(Upgrades!$U$7,F34),1)*IF(Upgrades!$T$8="Orbital Resonance",POWER(Upgrades!$U$8,G34),1)*IF(Upgrades!$T$9="Orbital Resonance",POWER(Upgrades!$U$9,H34),1)*IF(Upgrades!$T$11="Orbital Resonance",POWER(Upgrades!$U$11,J34),1)*IF(Upgrades!$T$12="Orbital Resonance",POWER(Upgrades!$U$12,K34),1))+(IF(J34=0,0,(Upgrades!$M$11+J34*Upgrades!$N$11)*POWER(Upgrades!$O$11,J34)))*(IF(Upgrades!$T$6="Heliopause",POWER(Upgrades!$U$6,E34),1)*IF(Upgrades!$T$7="Heliopause",POWER(Upgrades!$U$7,F34),1)*IF(Upgrades!$T$8="Heliopause",POWER(Upgrades!$U$8,G34),1)*IF(Upgrades!$T$9="Heliopause",POWER(Upgrades!$U$9,H34),1)*IF(Upgrades!$T$10="Heliopause",POWER(Upgrades!$U$10,I34),1)*IF(Upgrades!$T$12="Heliopause",POWER(Upgrades!$U$12,K34),1))+(IF(K34=0,0,(Upgrades!$M$12+K34*Upgrades!$N$12)*POWER(Upgrades!$O$12,K34)))*(IF(Upgrades!$T$6="First Photons",POWER(Upgrades!$U$6,E34),1)*IF(Upgrades!$T$7="First Photons",POWER(Upgrades!$U$7,F34),1)*IF(Upgrades!$T$8="First Photons",POWER(Upgrades!$U$8,G34),1)*IF(Upgrades!$T$9="First Photons",POWER(Upgrades!$U$9,H34),1)*IF(Upgrades!$T$10="First Photons",POWER(Upgrades!$U$10,I34),1)*IF(Upgrades!$T$11="First Photons",POWER(Upgrades!$U$11,J34),1)))*POWER(Upgrades!$R$6,E34)*POWER(Upgrades!$R$7,F34)*POWER(Upgrades!$R$8,G34)*POWER(Upgrades!$R$9,H34)*POWER(Upgrades!$R$10,I34)*POWER(Upgrades!$R$11,J34)*POWER(Upgrades!$R$12,K34)</f>
        <v>0</v>
      </c>
      <c r="P34" s="27" t="n">
        <f aca="false">IF(L34=1,0,M34*Parameters!$B$10/60*Parameters!$B$11*10)</f>
        <v>51.6666666666667</v>
      </c>
      <c r="Q34" s="27" t="n">
        <f aca="false">IF(L34=1,0,O34*M34*10)</f>
        <v>0</v>
      </c>
      <c r="R34" s="27" t="n">
        <f aca="false">IF(L34=1,0,N34*10)</f>
        <v>56.5</v>
      </c>
      <c r="S34" s="27" t="n">
        <f aca="false">P34+Q34+R34</f>
        <v>108.166666666667</v>
      </c>
      <c r="T34" s="21" t="n">
        <f aca="false">C34+S34</f>
        <v>570.024454121081</v>
      </c>
      <c r="U34" s="34" t="str">
        <f aca="false">AX34</f>
        <v>SW</v>
      </c>
      <c r="V34" s="21" t="n">
        <f aca="false">IF(U34="",0,IF(U34="transition",0,IF(U34="SW",AG34,IF(U34="AB",AH34,IF(U34="SC",AI34,IF(U34="Mag",AJ34,IF(U34="OR",AK34,IF(U34="HP",AL34,IF(U34="FP",AM34,0)))))))))</f>
        <v>24.6251340434394</v>
      </c>
      <c r="W34" s="27" t="n">
        <f aca="false">IF(U34="OR",Upgrades!$F$10,IF(U34="HP",Upgrades!$F$11,IF(U34="transition",-Parameters!$B$18,0)))</f>
        <v>0</v>
      </c>
      <c r="X34" s="21" t="n">
        <f aca="false">T34-V34</f>
        <v>545.399320077642</v>
      </c>
      <c r="Y34" s="30" t="n">
        <f aca="false">M34*Parameters!$B$10/60*Parameters!$B$11+O34*M34+N34</f>
        <v>10.8166666666667</v>
      </c>
      <c r="Z34" s="35" t="str">
        <f aca="false">IF(U34="transition","→ Tier 2 (Stellar Neighborhood)",IF(U34="FP","First Photons — light begins, system quickens",IF(U34="HP","Heliopause acquired",IF(U34="OR","Orbital Resonance — passive multiplier active",IF(AND(AO34=1,L34=0,AN34&lt;&gt;1),"Cohesion ready (waiting on completionist upgrades)","")))))</f>
        <v/>
      </c>
      <c r="AA34" s="27" t="n">
        <f aca="false">(IF(E34=0,0,(Upgrades!$G$6+E34*Upgrades!$H$6)*POWER(Upgrades!$I$6,E34)))*(IF(Upgrades!$T$7="Solar Wind",POWER(Upgrades!$U$7,F34),1)*IF(Upgrades!$T$8="Solar Wind",POWER(Upgrades!$U$8,G34),1)*IF(Upgrades!$T$9="Solar Wind",POWER(Upgrades!$U$9,H34),1)*IF(Upgrades!$T$10="Solar Wind",POWER(Upgrades!$U$10,I34),1)*IF(Upgrades!$T$11="Solar Wind",POWER(Upgrades!$U$11,J34),1)*IF(Upgrades!$T$12="Solar Wind",POWER(Upgrades!$U$12,K34),1))*POWER(Upgrades!$P$6,E34)*POWER(Upgrades!$P$7,F34)*POWER(Upgrades!$P$8,G34)*POWER(Upgrades!$P$9,H34)*POWER(Upgrades!$P$10,I34)*POWER(Upgrades!$P$11,J34)*POWER(Upgrades!$P$12,K34)*60</f>
        <v>54</v>
      </c>
      <c r="AB34" s="27" t="n">
        <f aca="false">(IF(F34=0,0,(Upgrades!$G$7+F34*Upgrades!$H$7)*POWER(Upgrades!$I$7,F34)))*(IF(Upgrades!$T$6="Asteroid Belt",POWER(Upgrades!$U$6,E34),1)*IF(Upgrades!$T$8="Asteroid Belt",POWER(Upgrades!$U$8,G34),1)*IF(Upgrades!$T$9="Asteroid Belt",POWER(Upgrades!$U$9,H34),1)*IF(Upgrades!$T$10="Asteroid Belt",POWER(Upgrades!$U$10,I34),1)*IF(Upgrades!$T$11="Asteroid Belt",POWER(Upgrades!$U$11,J34),1)*IF(Upgrades!$T$12="Asteroid Belt",POWER(Upgrades!$U$12,K34),1))*POWER(Upgrades!$P$6,E34)*POWER(Upgrades!$P$7,F34)*POWER(Upgrades!$P$8,G34)*POWER(Upgrades!$P$9,H34)*POWER(Upgrades!$P$10,I34)*POWER(Upgrades!$P$11,J34)*POWER(Upgrades!$P$12,K34)*60</f>
        <v>135</v>
      </c>
      <c r="AC34" s="27" t="n">
        <f aca="false">(IF(G34=0,0,(Upgrades!$J$8+G34*Upgrades!$K$8)*POWER(Upgrades!$L$8,G34)))*(IF(Upgrades!$T$6="Stellar Coupling",POWER(Upgrades!$U$6,E34),1)*IF(Upgrades!$T$7="Stellar Coupling",POWER(Upgrades!$U$7,F34),1)*IF(Upgrades!$T$9="Stellar Coupling",POWER(Upgrades!$U$9,H34),1)*IF(Upgrades!$T$10="Stellar Coupling",POWER(Upgrades!$U$10,I34),1)*IF(Upgrades!$T$11="Stellar Coupling",POWER(Upgrades!$U$11,J34),1)*IF(Upgrades!$T$12="Stellar Coupling",POWER(Upgrades!$U$12,K34),1))*POWER(Upgrades!$Q$6,E34)*POWER(Upgrades!$Q$7,F34)*POWER(Upgrades!$Q$8,G34)*POWER(Upgrades!$Q$9,H34)*POWER(Upgrades!$Q$10,I34)*POWER(Upgrades!$Q$11,J34)*POWER(Upgrades!$Q$12,K34)*Parameters!$B$10*Parameters!$B$11</f>
        <v>210</v>
      </c>
      <c r="AD34" s="27" t="n">
        <f aca="false">(IF(H34=0,0,(Upgrades!$G$9+H34*Upgrades!$H$9)*POWER(Upgrades!$I$9,H34)))*(IF(Upgrades!$T$6="Magnetosphere",POWER(Upgrades!$U$6,E34),1)*IF(Upgrades!$T$7="Magnetosphere",POWER(Upgrades!$U$7,F34),1)*IF(Upgrades!$T$8="Magnetosphere",POWER(Upgrades!$U$8,G34),1)*IF(Upgrades!$T$10="Magnetosphere",POWER(Upgrades!$U$10,I34),1)*IF(Upgrades!$T$11="Magnetosphere",POWER(Upgrades!$U$11,J34),1)*IF(Upgrades!$T$12="Magnetosphere",POWER(Upgrades!$U$12,K34),1))*POWER(Upgrades!$P$6,E34)*POWER(Upgrades!$P$7,F34)*POWER(Upgrades!$P$8,G34)*POWER(Upgrades!$P$9,H34)*POWER(Upgrades!$P$10,I34)*POWER(Upgrades!$P$11,J34)*POWER(Upgrades!$P$12,K34)*60</f>
        <v>150</v>
      </c>
      <c r="AE34" s="27" t="n">
        <f aca="false">(IF(K34=0,0,(Upgrades!$G$12+K34*Upgrades!$H$12)*POWER(Upgrades!$I$12,K34)))*(IF(Upgrades!$T$6="First Photons",POWER(Upgrades!$U$6,E34),1)*IF(Upgrades!$T$7="First Photons",POWER(Upgrades!$U$7,F34),1)*IF(Upgrades!$T$8="First Photons",POWER(Upgrades!$U$8,G34),1)*IF(Upgrades!$T$9="First Photons",POWER(Upgrades!$U$9,H34),1)*IF(Upgrades!$T$10="First Photons",POWER(Upgrades!$U$10,I34),1)*IF(Upgrades!$T$11="First Photons",POWER(Upgrades!$U$11,J34),1))*POWER(Upgrades!$P$6,E34)*POWER(Upgrades!$P$7,F34)*POWER(Upgrades!$P$8,G34)*POWER(Upgrades!$P$9,H34)*POWER(Upgrades!$P$10,I34)*POWER(Upgrades!$P$11,J34)*POWER(Upgrades!$P$12,K34)*60</f>
        <v>0</v>
      </c>
      <c r="AF34" s="27" t="n">
        <f aca="false">Parameters!$B$9*POWER(Upgrades!$Q$6,E34)*POWER(Upgrades!$Q$7,F34)*POWER(Upgrades!$Q$8,G34)*POWER(Upgrades!$Q$9,H34)*POWER(Upgrades!$Q$10,I34)*POWER(Upgrades!$Q$11,J34)*POWER(Upgrades!$Q$12,K34)*(Parameters!$B$10*Parameters!$B$11+O34*60)</f>
        <v>100</v>
      </c>
      <c r="AG34" s="21" t="n">
        <f aca="false">IF(E34&gt;=Upgrades!$E$6,"",Upgrades!$C$6*POWER(Upgrades!$D$6,E34))</f>
        <v>24.6251340434394</v>
      </c>
      <c r="AH34" s="21" t="n">
        <f aca="false">IF(F34&gt;=Upgrades!$E$7,"",Upgrades!$C$7*POWER(Upgrades!$D$7,F34))</f>
        <v>70.3575258383984</v>
      </c>
      <c r="AI34" s="21" t="n">
        <f aca="false">IF(G34&gt;=Upgrades!$E$8,"",Upgrades!$C$8*POWER(Upgrades!$D$8,G34))</f>
        <v>165.649792</v>
      </c>
      <c r="AJ34" s="21" t="n">
        <f aca="false">IF(H34&gt;=Upgrades!$E$9,"",Upgrades!$C$9*POWER(Upgrades!$D$9,H34))</f>
        <v>320</v>
      </c>
      <c r="AK34" s="21" t="str">
        <f aca="false">IF(I34&gt;=Upgrades!$E$10,"",Upgrades!$C$10*POWER(Upgrades!$D$10,I34))</f>
        <v/>
      </c>
      <c r="AL34" s="21" t="n">
        <f aca="false">IF(J34&gt;=Upgrades!$E$11,"",Upgrades!$C$11*POWER(Upgrades!$D$11,J34))</f>
        <v>575</v>
      </c>
      <c r="AM34" s="21" t="n">
        <f aca="false">IF(K34&gt;=Upgrades!$E$12,"",Upgrades!$C$12*POWER(Upgrades!$D$12,K34))</f>
        <v>850</v>
      </c>
      <c r="AN34" s="26" t="str">
        <f aca="false">IF(AND(D34&gt;=Parameters!$B$18,(H34&gt;=Upgrades!$E$9)*(K34&gt;=Upgrades!$E$12)=1,L34=0),1,"")</f>
        <v/>
      </c>
      <c r="AO34" s="26" t="str">
        <f aca="false">IF(AND(D34&gt;=Parameters!$B$18,L34=0),1,"")</f>
        <v/>
      </c>
      <c r="AP34" s="21" t="n">
        <f aca="false">MIN(IF(ISNUMBER(AK34),AK34,9000000000000000),IF(ISNUMBER(AL34),AL34,9000000000000000),IF(ISNUMBER(AM34),AM34,9000000000000000))</f>
        <v>575</v>
      </c>
      <c r="AQ34" s="21" t="n">
        <f aca="false">MIN(IF(ISNUMBER(AG34),AG34,9000000000000000),IF(ISNUMBER(AH34),AH34,9000000000000000),IF(ISNUMBER(AI34),AI34,9000000000000000),IF(ISNUMBER(AJ34),AJ34,9000000000000000))</f>
        <v>24.6251340434394</v>
      </c>
      <c r="AR34" s="32" t="b">
        <f aca="false">IF(AW34&gt;Parameters!$B$21*(MAX(IF(AND(NOT(AND(AO34=1,AN34&lt;&gt;1)),ISNUMBER(AG34),AG34&lt;=T34),AS34,0),IF(AND(NOT(AND(AO34=1,AN34&lt;&gt;1)),ISNUMBER(AH34),AH34&lt;=T34),AT34,0),IF(AND(NOT(AND(AO34=1,AN34&lt;&gt;1)),ISNUMBER(AI34),AI34&lt;=T34),AU34,0),IF(AND(ISNUMBER(AJ34),AJ34&lt;=T34),AV34,0))),TRUE(),FALSE())</f>
        <v>0</v>
      </c>
      <c r="AS34" s="33" t="n">
        <f aca="false">IFERROR(Upgrades!$H$6*(POWER(Upgrades!$P$6,E34)*POWER(Upgrades!$P$7,F34)*POWER(Upgrades!$P$8,G34)*POWER(Upgrades!$P$9,H34)*POWER(Upgrades!$P$10,I34)*POWER(Upgrades!$P$11,J34)*POWER(Upgrades!$P$12,K34))*(IF(Upgrades!$T$7="Solar Wind",POWER(Upgrades!$U$7,F34),1)*IF(Upgrades!$T$8="Solar Wind",POWER(Upgrades!$U$8,G34),1)*IF(Upgrades!$T$9="Solar Wind",POWER(Upgrades!$U$9,H34),1)*IF(Upgrades!$T$10="Solar Wind",POWER(Upgrades!$U$10,I34),1)*IF(Upgrades!$T$11="Solar Wind",POWER(Upgrades!$U$11,J34),1)*IF(Upgrades!$T$12="Solar Wind",POWER(Upgrades!$U$12,K34),1))/AG34,0)</f>
        <v>0.00406089160057351</v>
      </c>
      <c r="AT34" s="33" t="n">
        <f aca="false">IFERROR(Upgrades!$H$7*(POWER(Upgrades!$P$6,E34)*POWER(Upgrades!$P$7,F34)*POWER(Upgrades!$P$8,G34)*POWER(Upgrades!$P$9,H34)*POWER(Upgrades!$P$10,I34)*POWER(Upgrades!$P$11,J34)*POWER(Upgrades!$P$12,K34))*(IF(Upgrades!$T$6="Asteroid Belt",POWER(Upgrades!$U$6,E34),1)*IF(Upgrades!$T$8="Asteroid Belt",POWER(Upgrades!$U$8,G34),1)*IF(Upgrades!$T$9="Asteroid Belt",POWER(Upgrades!$U$9,H34),1)*IF(Upgrades!$T$10="Asteroid Belt",POWER(Upgrades!$U$10,I34),1)*IF(Upgrades!$T$11="Asteroid Belt",POWER(Upgrades!$U$11,J34),1)*IF(Upgrades!$T$12="Asteroid Belt",POWER(Upgrades!$U$12,K34),1))/AH34,0)</f>
        <v>0.00355328015050182</v>
      </c>
      <c r="AU34" s="33" t="n">
        <f aca="false">IFERROR(Upgrades!$K$8*(POWER(Upgrades!$Q$6,E34)*POWER(Upgrades!$Q$7,F34)*POWER(Upgrades!$Q$8,G34)*POWER(Upgrades!$Q$9,H34)*POWER(Upgrades!$Q$10,I34)*POWER(Upgrades!$Q$11,J34)*POWER(Upgrades!$Q$12,K34))*(IF(Upgrades!$T$6="Stellar Coupling",POWER(Upgrades!$U$6,E34),1)*IF(Upgrades!$T$7="Stellar Coupling",POWER(Upgrades!$U$7,F34),1)*IF(Upgrades!$T$9="Stellar Coupling",POWER(Upgrades!$U$9,H34),1)*IF(Upgrades!$T$10="Stellar Coupling",POWER(Upgrades!$U$10,I34),1)*IF(Upgrades!$T$11="Stellar Coupling",POWER(Upgrades!$U$11,J34),1)*IF(Upgrades!$T$12="Stellar Coupling",POWER(Upgrades!$U$12,K34),1))*Parameters!$B$10*Parameters!$B$11/60/AI34,0)</f>
        <v>0.00352148545609604</v>
      </c>
      <c r="AV34" s="33" t="n">
        <f aca="false">IFERROR(Upgrades!$H$9*(POWER(Upgrades!$P$6,E34)*POWER(Upgrades!$P$7,F34)*POWER(Upgrades!$P$8,G34)*POWER(Upgrades!$P$9,H34)*POWER(Upgrades!$P$10,I34)*POWER(Upgrades!$P$11,J34)*POWER(Upgrades!$P$12,K34))*(IF(Upgrades!$T$6="Magnetosphere",POWER(Upgrades!$U$6,E34),1)*IF(Upgrades!$T$7="Magnetosphere",POWER(Upgrades!$U$7,F34),1)*IF(Upgrades!$T$8="Magnetosphere",POWER(Upgrades!$U$8,G34),1)*IF(Upgrades!$T$10="Magnetosphere",POWER(Upgrades!$U$10,I34),1)*IF(Upgrades!$T$11="Magnetosphere",POWER(Upgrades!$U$11,J34),1)*IF(Upgrades!$T$12="Magnetosphere",POWER(Upgrades!$U$12,K34),1))/AJ34,0)</f>
        <v>0.00390625</v>
      </c>
      <c r="AW34" s="33" t="n">
        <f aca="false">MAX(IF(I34&gt;0,0,IFERROR(0.25*N34/Upgrades!$C$10,0)),IF(J34&gt;0,0,IFERROR(0.5*((IF(G34=0,0,(Upgrades!$J$8+G34*Upgrades!$K$8)*POWER(Upgrades!$L$8,G34)))*(IF(Upgrades!$T$6="Stellar Coupling",POWER(Upgrades!$U$6,E34),1)*IF(Upgrades!$T$7="Stellar Coupling",POWER(Upgrades!$U$7,F34),1)*IF(Upgrades!$T$9="Stellar Coupling",POWER(Upgrades!$U$9,H34),1)*IF(Upgrades!$T$10="Stellar Coupling",POWER(Upgrades!$U$10,I34),1)*IF(Upgrades!$T$11="Stellar Coupling",POWER(Upgrades!$U$11,J34),1)*IF(Upgrades!$T$12="Stellar Coupling",POWER(Upgrades!$U$12,K34),1))*(POWER(Upgrades!$Q$6,E34)*POWER(Upgrades!$Q$7,F34)*POWER(Upgrades!$Q$8,G34)*POWER(Upgrades!$Q$9,H34)*POWER(Upgrades!$Q$10,I34)*POWER(Upgrades!$Q$11,J34)*POWER(Upgrades!$Q$12,K34))*Parameters!$B$10*Parameters!$B$11/60)/Upgrades!$C$11,0)),IF(K34&gt;0,0,IFERROR((1*(POWER(Upgrades!$P$6,E34)*POWER(Upgrades!$P$7,F34)*POWER(Upgrades!$P$8,G34)*POWER(Upgrades!$P$9,H34)*POWER(Upgrades!$P$10,I34)*POWER(Upgrades!$P$11,J34)*POWER(Upgrades!$P$12,K34))+0.2*M34*Parameters!$B$10*Parameters!$B$11/60)/Upgrades!$C$12,0)),IF(AND(ISNUMBER(AG34),AG34&gt;T34),AS34,0),IF(AND(ISNUMBER(AH34),AH34&gt;T34),AT34,0),IF(AND(ISNUMBER(AI34),AI34&gt;T34),AU34,0),IF(AND(ISNUMBER(AJ34),AJ34&gt;T34),AV34,0))</f>
        <v>0.00304347826086956</v>
      </c>
      <c r="AX34" s="29" t="str">
        <f aca="false">IF(AN34=1,"transition",IF(MIN(IF(AND(I34=0,ISNUMBER(AK34),AK34&lt;=T34),AK34,9000000000000000),IF(AND(J34=0,ISNUMBER(AL34),AL34&lt;=T34),AL34,9000000000000000),IF(AND(K34=0,ISNUMBER(AM34),AM34&lt;=T34),AM34,9000000000000000))&lt;9000000000000000,IF(AND(AND(I34=0,ISNUMBER(AK34),AK34&lt;=T34),AK34=MIN(IF(AND(I34=0,ISNUMBER(AK34),AK34&lt;=T34),AK34,9000000000000000),IF(AND(J34=0,ISNUMBER(AL34),AL34&lt;=T34),AL34,9000000000000000),IF(AND(K34=0,ISNUMBER(AM34),AM34&lt;=T34),AM34,9000000000000000))),"OR",IF(AND(AND(J34=0,ISNUMBER(AL34),AL34&lt;=T34),AL34=MIN(IF(AND(I34=0,ISNUMBER(AK34),AK34&lt;=T34),AK34,9000000000000000),IF(AND(J34=0,ISNUMBER(AL34),AL34&lt;=T34),AL34,9000000000000000),IF(AND(K34=0,ISNUMBER(AM34),AM34&lt;=T34),AM34,9000000000000000))),"HP","FP")),IF(AR34=TRUE(),"",IF(MAX(IF(AND(NOT(AND(AO34=1,AN34&lt;&gt;1)),ISNUMBER(AG34),AG34&lt;=T34),AS34,0),IF(AND(NOT(AND(AO34=1,AN34&lt;&gt;1)),ISNUMBER(AH34),AH34&lt;=T34),AT34,0),IF(AND(NOT(AND(AO34=1,AN34&lt;&gt;1)),ISNUMBER(AI34),AI34&lt;=T34),AU34,0),IF(AND(ISNUMBER(AJ34),AJ34&lt;=T34),AV34,0))&lt;=0,"",IF(AND(IF(AND(NOT(AND(AO34=1,AN34&lt;&gt;1)),ISNUMBER(AG34),AG34&lt;=T34),AS34,0)&gt;0,IF(AND(NOT(AND(AO34=1,AN34&lt;&gt;1)),ISNUMBER(AG34),AG34&lt;=T34),AS34,0)=MAX(IF(AND(NOT(AND(AO34=1,AN34&lt;&gt;1)),ISNUMBER(AG34),AG34&lt;=T34),AS34,0),IF(AND(NOT(AND(AO34=1,AN34&lt;&gt;1)),ISNUMBER(AH34),AH34&lt;=T34),AT34,0),IF(AND(NOT(AND(AO34=1,AN34&lt;&gt;1)),ISNUMBER(AI34),AI34&lt;=T34),AU34,0),IF(AND(ISNUMBER(AJ34),AJ34&lt;=T34),AV34,0))),"SW",IF(AND(IF(AND(NOT(AND(AO34=1,AN34&lt;&gt;1)),ISNUMBER(AH34),AH34&lt;=T34),AT34,0)&gt;0,IF(AND(NOT(AND(AO34=1,AN34&lt;&gt;1)),ISNUMBER(AH34),AH34&lt;=T34),AT34,0)=MAX(IF(AND(NOT(AND(AO34=1,AN34&lt;&gt;1)),ISNUMBER(AG34),AG34&lt;=T34),AS34,0),IF(AND(NOT(AND(AO34=1,AN34&lt;&gt;1)),ISNUMBER(AH34),AH34&lt;=T34),AT34,0),IF(AND(NOT(AND(AO34=1,AN34&lt;&gt;1)),ISNUMBER(AI34),AI34&lt;=T34),AU34,0),IF(AND(ISNUMBER(AJ34),AJ34&lt;=T34),AV34,0))),"AB",IF(AND(IF(AND(NOT(AND(AO34=1,AN34&lt;&gt;1)),ISNUMBER(AI34),AI34&lt;=T34),AU34,0)&gt;0,IF(AND(NOT(AND(AO34=1,AN34&lt;&gt;1)),ISNUMBER(AI34),AI34&lt;=T34),AU34,0)=MAX(IF(AND(NOT(AND(AO34=1,AN34&lt;&gt;1)),ISNUMBER(AG34),AG34&lt;=T34),AS34,0),IF(AND(NOT(AND(AO34=1,AN34&lt;&gt;1)),ISNUMBER(AH34),AH34&lt;=T34),AT34,0),IF(AND(NOT(AND(AO34=1,AN34&lt;&gt;1)),ISNUMBER(AI34),AI34&lt;=T34),AU34,0),IF(AND(ISNUMBER(AJ34),AJ34&lt;=T34),AV34,0))),"SC","Mag")))))))</f>
        <v>SW</v>
      </c>
    </row>
    <row r="35" customFormat="false" ht="15" hidden="false" customHeight="false" outlineLevel="0" collapsed="false">
      <c r="A35" s="26" t="n">
        <v>30</v>
      </c>
      <c r="B35" s="27" t="n">
        <f aca="false">A35*10/60</f>
        <v>5</v>
      </c>
      <c r="C35" s="21" t="n">
        <f aca="false">X34</f>
        <v>545.399320077642</v>
      </c>
      <c r="D35" s="27" t="n">
        <f aca="false">D34+W34</f>
        <v>0.4</v>
      </c>
      <c r="E35" s="26" t="n">
        <f aca="false">E34+IF(U34="SW",1,0)</f>
        <v>10</v>
      </c>
      <c r="F35" s="26" t="n">
        <f aca="false">F34+IF(U34="AB",1,0)</f>
        <v>9</v>
      </c>
      <c r="G35" s="26" t="n">
        <f aca="false">G34+IF(U34="SC",1,0)</f>
        <v>6</v>
      </c>
      <c r="H35" s="26" t="n">
        <f aca="false">H34+IF(U34="Mag",1,0)</f>
        <v>2</v>
      </c>
      <c r="I35" s="26" t="n">
        <f aca="false">MAX(I34,IF(U34="OR",1,0))</f>
        <v>1</v>
      </c>
      <c r="J35" s="26" t="n">
        <f aca="false">MAX(J34,IF(U34="HP",1,0))</f>
        <v>0</v>
      </c>
      <c r="K35" s="26" t="n">
        <f aca="false">MAX(K34,IF(U34="FP",1,0))</f>
        <v>0</v>
      </c>
      <c r="L35" s="26" t="n">
        <f aca="false">MAX(L34,IF(U34="transition",1,0))</f>
        <v>0</v>
      </c>
      <c r="M35" s="28" t="n">
        <f aca="false">(Parameters!$B$9+(IF(E35=0,0,(Upgrades!$J$6+E35*Upgrades!$K$6)*POWER(Upgrades!$L$6,E35)))*(IF(Upgrades!$T$7="Solar Wind",POWER(Upgrades!$U$7,F35),1)*IF(Upgrades!$T$8="Solar Wind",POWER(Upgrades!$U$8,G35),1)*IF(Upgrades!$T$9="Solar Wind",POWER(Upgrades!$U$9,H35),1)*IF(Upgrades!$T$10="Solar Wind",POWER(Upgrades!$U$10,I35),1)*IF(Upgrades!$T$11="Solar Wind",POWER(Upgrades!$U$11,J35),1)*IF(Upgrades!$T$12="Solar Wind",POWER(Upgrades!$U$12,K35),1))+(IF(F35=0,0,(Upgrades!$J$7+F35*Upgrades!$K$7)*POWER(Upgrades!$L$7,F35)))*(IF(Upgrades!$T$6="Asteroid Belt",POWER(Upgrades!$U$6,E35),1)*IF(Upgrades!$T$8="Asteroid Belt",POWER(Upgrades!$U$8,G35),1)*IF(Upgrades!$T$9="Asteroid Belt",POWER(Upgrades!$U$9,H35),1)*IF(Upgrades!$T$10="Asteroid Belt",POWER(Upgrades!$U$10,I35),1)*IF(Upgrades!$T$11="Asteroid Belt",POWER(Upgrades!$U$11,J35),1)*IF(Upgrades!$T$12="Asteroid Belt",POWER(Upgrades!$U$12,K35),1))+(IF(G35=0,0,(Upgrades!$J$8+G35*Upgrades!$K$8)*POWER(Upgrades!$L$8,G35)))*(IF(Upgrades!$T$6="Stellar Coupling",POWER(Upgrades!$U$6,E35),1)*IF(Upgrades!$T$7="Stellar Coupling",POWER(Upgrades!$U$7,F35),1)*IF(Upgrades!$T$9="Stellar Coupling",POWER(Upgrades!$U$9,H35),1)*IF(Upgrades!$T$10="Stellar Coupling",POWER(Upgrades!$U$10,I35),1)*IF(Upgrades!$T$11="Stellar Coupling",POWER(Upgrades!$U$11,J35),1)*IF(Upgrades!$T$12="Stellar Coupling",POWER(Upgrades!$U$12,K35),1))+(IF(H35=0,0,(Upgrades!$J$9+H35*Upgrades!$K$9)*POWER(Upgrades!$L$9,H35)))*(IF(Upgrades!$T$6="Magnetosphere",POWER(Upgrades!$U$6,E35),1)*IF(Upgrades!$T$7="Magnetosphere",POWER(Upgrades!$U$7,F35),1)*IF(Upgrades!$T$8="Magnetosphere",POWER(Upgrades!$U$8,G35),1)*IF(Upgrades!$T$10="Magnetosphere",POWER(Upgrades!$U$10,I35),1)*IF(Upgrades!$T$11="Magnetosphere",POWER(Upgrades!$U$11,J35),1)*IF(Upgrades!$T$12="Magnetosphere",POWER(Upgrades!$U$12,K35),1))+(IF(I35=0,0,(Upgrades!$J$10+I35*Upgrades!$K$10)*POWER(Upgrades!$L$10,I35)))*(IF(Upgrades!$T$6="Orbital Resonance",POWER(Upgrades!$U$6,E35),1)*IF(Upgrades!$T$7="Orbital Resonance",POWER(Upgrades!$U$7,F35),1)*IF(Upgrades!$T$8="Orbital Resonance",POWER(Upgrades!$U$8,G35),1)*IF(Upgrades!$T$9="Orbital Resonance",POWER(Upgrades!$U$9,H35),1)*IF(Upgrades!$T$11="Orbital Resonance",POWER(Upgrades!$U$11,J35),1)*IF(Upgrades!$T$12="Orbital Resonance",POWER(Upgrades!$U$12,K35),1))+(IF(J35=0,0,(Upgrades!$J$11+J35*Upgrades!$K$11)*POWER(Upgrades!$L$11,J35)))*(IF(Upgrades!$T$6="Heliopause",POWER(Upgrades!$U$6,E35),1)*IF(Upgrades!$T$7="Heliopause",POWER(Upgrades!$U$7,F35),1)*IF(Upgrades!$T$8="Heliopause",POWER(Upgrades!$U$8,G35),1)*IF(Upgrades!$T$9="Heliopause",POWER(Upgrades!$U$9,H35),1)*IF(Upgrades!$T$10="Heliopause",POWER(Upgrades!$U$10,I35),1)*IF(Upgrades!$T$12="Heliopause",POWER(Upgrades!$U$12,K35),1))+(IF(K35=0,0,(Upgrades!$J$12+K35*Upgrades!$K$12)*POWER(Upgrades!$L$12,K35)))*(IF(Upgrades!$T$6="First Photons",POWER(Upgrades!$U$6,E35),1)*IF(Upgrades!$T$7="First Photons",POWER(Upgrades!$U$7,F35),1)*IF(Upgrades!$T$8="First Photons",POWER(Upgrades!$U$8,G35),1)*IF(Upgrades!$T$9="First Photons",POWER(Upgrades!$U$9,H35),1)*IF(Upgrades!$T$10="First Photons",POWER(Upgrades!$U$10,I35),1)*IF(Upgrades!$T$11="First Photons",POWER(Upgrades!$U$11,J35),1)))*POWER(Upgrades!$Q$6,E35)*POWER(Upgrades!$Q$7,F35)*POWER(Upgrades!$Q$8,G35)*POWER(Upgrades!$Q$9,H35)*POWER(Upgrades!$Q$10,I35)*POWER(Upgrades!$Q$11,J35)*POWER(Upgrades!$Q$12,K35)</f>
        <v>3.1</v>
      </c>
      <c r="N35" s="28" t="n">
        <f aca="false">((IF(E35=0,0,(Upgrades!$G$6+E35*Upgrades!$H$6)*POWER(Upgrades!$I$6,E35)))*(IF(Upgrades!$T$7="Solar Wind",POWER(Upgrades!$U$7,F35),1)*IF(Upgrades!$T$8="Solar Wind",POWER(Upgrades!$U$8,G35),1)*IF(Upgrades!$T$9="Solar Wind",POWER(Upgrades!$U$9,H35),1)*IF(Upgrades!$T$10="Solar Wind",POWER(Upgrades!$U$10,I35),1)*IF(Upgrades!$T$11="Solar Wind",POWER(Upgrades!$U$11,J35),1)*IF(Upgrades!$T$12="Solar Wind",POWER(Upgrades!$U$12,K35),1))+(IF(F35=0,0,(Upgrades!$G$7+F35*Upgrades!$H$7)*POWER(Upgrades!$I$7,F35)))*(IF(Upgrades!$T$6="Asteroid Belt",POWER(Upgrades!$U$6,E35),1)*IF(Upgrades!$T$8="Asteroid Belt",POWER(Upgrades!$U$8,G35),1)*IF(Upgrades!$T$9="Asteroid Belt",POWER(Upgrades!$U$9,H35),1)*IF(Upgrades!$T$10="Asteroid Belt",POWER(Upgrades!$U$10,I35),1)*IF(Upgrades!$T$11="Asteroid Belt",POWER(Upgrades!$U$11,J35),1)*IF(Upgrades!$T$12="Asteroid Belt",POWER(Upgrades!$U$12,K35),1))+(IF(G35=0,0,(Upgrades!$G$8+G35*Upgrades!$H$8)*POWER(Upgrades!$I$8,G35)))*(IF(Upgrades!$T$6="Stellar Coupling",POWER(Upgrades!$U$6,E35),1)*IF(Upgrades!$T$7="Stellar Coupling",POWER(Upgrades!$U$7,F35),1)*IF(Upgrades!$T$9="Stellar Coupling",POWER(Upgrades!$U$9,H35),1)*IF(Upgrades!$T$10="Stellar Coupling",POWER(Upgrades!$U$10,I35),1)*IF(Upgrades!$T$11="Stellar Coupling",POWER(Upgrades!$U$11,J35),1)*IF(Upgrades!$T$12="Stellar Coupling",POWER(Upgrades!$U$12,K35),1))+(IF(H35=0,0,(Upgrades!$G$9+H35*Upgrades!$H$9)*POWER(Upgrades!$I$9,H35)))*(IF(Upgrades!$T$6="Magnetosphere",POWER(Upgrades!$U$6,E35),1)*IF(Upgrades!$T$7="Magnetosphere",POWER(Upgrades!$U$7,F35),1)*IF(Upgrades!$T$8="Magnetosphere",POWER(Upgrades!$U$8,G35),1)*IF(Upgrades!$T$10="Magnetosphere",POWER(Upgrades!$U$10,I35),1)*IF(Upgrades!$T$11="Magnetosphere",POWER(Upgrades!$U$11,J35),1)*IF(Upgrades!$T$12="Magnetosphere",POWER(Upgrades!$U$12,K35),1))+(IF(I35=0,0,(Upgrades!$G$10+I35*Upgrades!$H$10)*POWER(Upgrades!$I$10,I35)))*(IF(Upgrades!$T$6="Orbital Resonance",POWER(Upgrades!$U$6,E35),1)*IF(Upgrades!$T$7="Orbital Resonance",POWER(Upgrades!$U$7,F35),1)*IF(Upgrades!$T$8="Orbital Resonance",POWER(Upgrades!$U$8,G35),1)*IF(Upgrades!$T$9="Orbital Resonance",POWER(Upgrades!$U$9,H35),1)*IF(Upgrades!$T$11="Orbital Resonance",POWER(Upgrades!$U$11,J35),1)*IF(Upgrades!$T$12="Orbital Resonance",POWER(Upgrades!$U$12,K35),1))+(IF(J35=0,0,(Upgrades!$G$11+J35*Upgrades!$H$11)*POWER(Upgrades!$I$11,J35)))*(IF(Upgrades!$T$6="Heliopause",POWER(Upgrades!$U$6,E35),1)*IF(Upgrades!$T$7="Heliopause",POWER(Upgrades!$U$7,F35),1)*IF(Upgrades!$T$8="Heliopause",POWER(Upgrades!$U$8,G35),1)*IF(Upgrades!$T$9="Heliopause",POWER(Upgrades!$U$9,H35),1)*IF(Upgrades!$T$10="Heliopause",POWER(Upgrades!$U$10,I35),1)*IF(Upgrades!$T$12="Heliopause",POWER(Upgrades!$U$12,K35),1))+(IF(K35=0,0,(Upgrades!$G$12+K35*Upgrades!$H$12)*POWER(Upgrades!$I$12,K35)))*(IF(Upgrades!$T$6="First Photons",POWER(Upgrades!$U$6,E35),1)*IF(Upgrades!$T$7="First Photons",POWER(Upgrades!$U$7,F35),1)*IF(Upgrades!$T$8="First Photons",POWER(Upgrades!$U$8,G35),1)*IF(Upgrades!$T$9="First Photons",POWER(Upgrades!$U$9,H35),1)*IF(Upgrades!$T$10="First Photons",POWER(Upgrades!$U$10,I35),1)*IF(Upgrades!$T$11="First Photons",POWER(Upgrades!$U$11,J35),1)))*POWER(Upgrades!$P$6,E35)*POWER(Upgrades!$P$7,F35)*POWER(Upgrades!$P$8,G35)*POWER(Upgrades!$P$9,H35)*POWER(Upgrades!$P$10,I35)*POWER(Upgrades!$P$11,J35)*POWER(Upgrades!$P$12,K35)</f>
        <v>5.75</v>
      </c>
      <c r="O35" s="28" t="n">
        <f aca="false">((IF(E35=0,0,(Upgrades!$M$6+E35*Upgrades!$N$6)*POWER(Upgrades!$O$6,E35)))*(IF(Upgrades!$T$7="Solar Wind",POWER(Upgrades!$U$7,F35),1)*IF(Upgrades!$T$8="Solar Wind",POWER(Upgrades!$U$8,G35),1)*IF(Upgrades!$T$9="Solar Wind",POWER(Upgrades!$U$9,H35),1)*IF(Upgrades!$T$10="Solar Wind",POWER(Upgrades!$U$10,I35),1)*IF(Upgrades!$T$11="Solar Wind",POWER(Upgrades!$U$11,J35),1)*IF(Upgrades!$T$12="Solar Wind",POWER(Upgrades!$U$12,K35),1))+(IF(F35=0,0,(Upgrades!$M$7+F35*Upgrades!$N$7)*POWER(Upgrades!$O$7,F35)))*(IF(Upgrades!$T$6="Asteroid Belt",POWER(Upgrades!$U$6,E35),1)*IF(Upgrades!$T$8="Asteroid Belt",POWER(Upgrades!$U$8,G35),1)*IF(Upgrades!$T$9="Asteroid Belt",POWER(Upgrades!$U$9,H35),1)*IF(Upgrades!$T$10="Asteroid Belt",POWER(Upgrades!$U$10,I35),1)*IF(Upgrades!$T$11="Asteroid Belt",POWER(Upgrades!$U$11,J35),1)*IF(Upgrades!$T$12="Asteroid Belt",POWER(Upgrades!$U$12,K35),1))+(IF(G35=0,0,(Upgrades!$M$8+G35*Upgrades!$N$8)*POWER(Upgrades!$O$8,G35)))*(IF(Upgrades!$T$6="Stellar Coupling",POWER(Upgrades!$U$6,E35),1)*IF(Upgrades!$T$7="Stellar Coupling",POWER(Upgrades!$U$7,F35),1)*IF(Upgrades!$T$9="Stellar Coupling",POWER(Upgrades!$U$9,H35),1)*IF(Upgrades!$T$10="Stellar Coupling",POWER(Upgrades!$U$10,I35),1)*IF(Upgrades!$T$11="Stellar Coupling",POWER(Upgrades!$U$11,J35),1)*IF(Upgrades!$T$12="Stellar Coupling",POWER(Upgrades!$U$12,K35),1))+(IF(H35=0,0,(Upgrades!$M$9+H35*Upgrades!$N$9)*POWER(Upgrades!$O$9,H35)))*(IF(Upgrades!$T$6="Magnetosphere",POWER(Upgrades!$U$6,E35),1)*IF(Upgrades!$T$7="Magnetosphere",POWER(Upgrades!$U$7,F35),1)*IF(Upgrades!$T$8="Magnetosphere",POWER(Upgrades!$U$8,G35),1)*IF(Upgrades!$T$10="Magnetosphere",POWER(Upgrades!$U$10,I35),1)*IF(Upgrades!$T$11="Magnetosphere",POWER(Upgrades!$U$11,J35),1)*IF(Upgrades!$T$12="Magnetosphere",POWER(Upgrades!$U$12,K35),1))+(IF(I35=0,0,(Upgrades!$M$10+I35*Upgrades!$N$10)*POWER(Upgrades!$O$10,I35)))*(IF(Upgrades!$T$6="Orbital Resonance",POWER(Upgrades!$U$6,E35),1)*IF(Upgrades!$T$7="Orbital Resonance",POWER(Upgrades!$U$7,F35),1)*IF(Upgrades!$T$8="Orbital Resonance",POWER(Upgrades!$U$8,G35),1)*IF(Upgrades!$T$9="Orbital Resonance",POWER(Upgrades!$U$9,H35),1)*IF(Upgrades!$T$11="Orbital Resonance",POWER(Upgrades!$U$11,J35),1)*IF(Upgrades!$T$12="Orbital Resonance",POWER(Upgrades!$U$12,K35),1))+(IF(J35=0,0,(Upgrades!$M$11+J35*Upgrades!$N$11)*POWER(Upgrades!$O$11,J35)))*(IF(Upgrades!$T$6="Heliopause",POWER(Upgrades!$U$6,E35),1)*IF(Upgrades!$T$7="Heliopause",POWER(Upgrades!$U$7,F35),1)*IF(Upgrades!$T$8="Heliopause",POWER(Upgrades!$U$8,G35),1)*IF(Upgrades!$T$9="Heliopause",POWER(Upgrades!$U$9,H35),1)*IF(Upgrades!$T$10="Heliopause",POWER(Upgrades!$U$10,I35),1)*IF(Upgrades!$T$12="Heliopause",POWER(Upgrades!$U$12,K35),1))+(IF(K35=0,0,(Upgrades!$M$12+K35*Upgrades!$N$12)*POWER(Upgrades!$O$12,K35)))*(IF(Upgrades!$T$6="First Photons",POWER(Upgrades!$U$6,E35),1)*IF(Upgrades!$T$7="First Photons",POWER(Upgrades!$U$7,F35),1)*IF(Upgrades!$T$8="First Photons",POWER(Upgrades!$U$8,G35),1)*IF(Upgrades!$T$9="First Photons",POWER(Upgrades!$U$9,H35),1)*IF(Upgrades!$T$10="First Photons",POWER(Upgrades!$U$10,I35),1)*IF(Upgrades!$T$11="First Photons",POWER(Upgrades!$U$11,J35),1)))*POWER(Upgrades!$R$6,E35)*POWER(Upgrades!$R$7,F35)*POWER(Upgrades!$R$8,G35)*POWER(Upgrades!$R$9,H35)*POWER(Upgrades!$R$10,I35)*POWER(Upgrades!$R$11,J35)*POWER(Upgrades!$R$12,K35)</f>
        <v>0</v>
      </c>
      <c r="P35" s="27" t="n">
        <f aca="false">IF(L35=1,0,M35*Parameters!$B$10/60*Parameters!$B$11*10)</f>
        <v>51.6666666666667</v>
      </c>
      <c r="Q35" s="27" t="n">
        <f aca="false">IF(L35=1,0,O35*M35*10)</f>
        <v>0</v>
      </c>
      <c r="R35" s="27" t="n">
        <f aca="false">IF(L35=1,0,N35*10)</f>
        <v>57.5</v>
      </c>
      <c r="S35" s="27" t="n">
        <f aca="false">P35+Q35+R35</f>
        <v>109.166666666667</v>
      </c>
      <c r="T35" s="21" t="n">
        <f aca="false">C35+S35</f>
        <v>654.565986744308</v>
      </c>
      <c r="U35" s="34" t="str">
        <f aca="false">AX35</f>
        <v>HP</v>
      </c>
      <c r="V35" s="21" t="n">
        <f aca="false">IF(U35="",0,IF(U35="transition",0,IF(U35="SW",AG35,IF(U35="AB",AH35,IF(U35="SC",AI35,IF(U35="Mag",AJ35,IF(U35="OR",AK35,IF(U35="HP",AL35,IF(U35="FP",AM35,0)))))))))</f>
        <v>575</v>
      </c>
      <c r="W35" s="27" t="n">
        <f aca="false">IF(U35="OR",Upgrades!$F$10,IF(U35="HP",Upgrades!$F$11,IF(U35="transition",-Parameters!$B$18,0)))</f>
        <v>0.6</v>
      </c>
      <c r="X35" s="21" t="n">
        <f aca="false">T35-V35</f>
        <v>79.5659867443081</v>
      </c>
      <c r="Y35" s="30" t="n">
        <f aca="false">M35*Parameters!$B$10/60*Parameters!$B$11+O35*M35+N35</f>
        <v>10.9166666666667</v>
      </c>
      <c r="Z35" s="35" t="str">
        <f aca="false">IF(U35="transition","→ Tier 2 (Stellar Neighborhood)",IF(U35="FP","First Photons — light begins, system quickens",IF(U35="HP","Heliopause acquired",IF(U35="OR","Orbital Resonance — passive multiplier active",IF(AND(AO35=1,L35=0,AN35&lt;&gt;1),"Cohesion ready (waiting on completionist upgrades)","")))))</f>
        <v>Heliopause acquired</v>
      </c>
      <c r="AA35" s="27" t="n">
        <f aca="false">(IF(E35=0,0,(Upgrades!$G$6+E35*Upgrades!$H$6)*POWER(Upgrades!$I$6,E35)))*(IF(Upgrades!$T$7="Solar Wind",POWER(Upgrades!$U$7,F35),1)*IF(Upgrades!$T$8="Solar Wind",POWER(Upgrades!$U$8,G35),1)*IF(Upgrades!$T$9="Solar Wind",POWER(Upgrades!$U$9,H35),1)*IF(Upgrades!$T$10="Solar Wind",POWER(Upgrades!$U$10,I35),1)*IF(Upgrades!$T$11="Solar Wind",POWER(Upgrades!$U$11,J35),1)*IF(Upgrades!$T$12="Solar Wind",POWER(Upgrades!$U$12,K35),1))*POWER(Upgrades!$P$6,E35)*POWER(Upgrades!$P$7,F35)*POWER(Upgrades!$P$8,G35)*POWER(Upgrades!$P$9,H35)*POWER(Upgrades!$P$10,I35)*POWER(Upgrades!$P$11,J35)*POWER(Upgrades!$P$12,K35)*60</f>
        <v>60</v>
      </c>
      <c r="AB35" s="27" t="n">
        <f aca="false">(IF(F35=0,0,(Upgrades!$G$7+F35*Upgrades!$H$7)*POWER(Upgrades!$I$7,F35)))*(IF(Upgrades!$T$6="Asteroid Belt",POWER(Upgrades!$U$6,E35),1)*IF(Upgrades!$T$8="Asteroid Belt",POWER(Upgrades!$U$8,G35),1)*IF(Upgrades!$T$9="Asteroid Belt",POWER(Upgrades!$U$9,H35),1)*IF(Upgrades!$T$10="Asteroid Belt",POWER(Upgrades!$U$10,I35),1)*IF(Upgrades!$T$11="Asteroid Belt",POWER(Upgrades!$U$11,J35),1)*IF(Upgrades!$T$12="Asteroid Belt",POWER(Upgrades!$U$12,K35),1))*POWER(Upgrades!$P$6,E35)*POWER(Upgrades!$P$7,F35)*POWER(Upgrades!$P$8,G35)*POWER(Upgrades!$P$9,H35)*POWER(Upgrades!$P$10,I35)*POWER(Upgrades!$P$11,J35)*POWER(Upgrades!$P$12,K35)*60</f>
        <v>135</v>
      </c>
      <c r="AC35" s="27" t="n">
        <f aca="false">(IF(G35=0,0,(Upgrades!$J$8+G35*Upgrades!$K$8)*POWER(Upgrades!$L$8,G35)))*(IF(Upgrades!$T$6="Stellar Coupling",POWER(Upgrades!$U$6,E35),1)*IF(Upgrades!$T$7="Stellar Coupling",POWER(Upgrades!$U$7,F35),1)*IF(Upgrades!$T$9="Stellar Coupling",POWER(Upgrades!$U$9,H35),1)*IF(Upgrades!$T$10="Stellar Coupling",POWER(Upgrades!$U$10,I35),1)*IF(Upgrades!$T$11="Stellar Coupling",POWER(Upgrades!$U$11,J35),1)*IF(Upgrades!$T$12="Stellar Coupling",POWER(Upgrades!$U$12,K35),1))*POWER(Upgrades!$Q$6,E35)*POWER(Upgrades!$Q$7,F35)*POWER(Upgrades!$Q$8,G35)*POWER(Upgrades!$Q$9,H35)*POWER(Upgrades!$Q$10,I35)*POWER(Upgrades!$Q$11,J35)*POWER(Upgrades!$Q$12,K35)*Parameters!$B$10*Parameters!$B$11</f>
        <v>210</v>
      </c>
      <c r="AD35" s="27" t="n">
        <f aca="false">(IF(H35=0,0,(Upgrades!$G$9+H35*Upgrades!$H$9)*POWER(Upgrades!$I$9,H35)))*(IF(Upgrades!$T$6="Magnetosphere",POWER(Upgrades!$U$6,E35),1)*IF(Upgrades!$T$7="Magnetosphere",POWER(Upgrades!$U$7,F35),1)*IF(Upgrades!$T$8="Magnetosphere",POWER(Upgrades!$U$8,G35),1)*IF(Upgrades!$T$10="Magnetosphere",POWER(Upgrades!$U$10,I35),1)*IF(Upgrades!$T$11="Magnetosphere",POWER(Upgrades!$U$11,J35),1)*IF(Upgrades!$T$12="Magnetosphere",POWER(Upgrades!$U$12,K35),1))*POWER(Upgrades!$P$6,E35)*POWER(Upgrades!$P$7,F35)*POWER(Upgrades!$P$8,G35)*POWER(Upgrades!$P$9,H35)*POWER(Upgrades!$P$10,I35)*POWER(Upgrades!$P$11,J35)*POWER(Upgrades!$P$12,K35)*60</f>
        <v>150</v>
      </c>
      <c r="AE35" s="27" t="n">
        <f aca="false">(IF(K35=0,0,(Upgrades!$G$12+K35*Upgrades!$H$12)*POWER(Upgrades!$I$12,K35)))*(IF(Upgrades!$T$6="First Photons",POWER(Upgrades!$U$6,E35),1)*IF(Upgrades!$T$7="First Photons",POWER(Upgrades!$U$7,F35),1)*IF(Upgrades!$T$8="First Photons",POWER(Upgrades!$U$8,G35),1)*IF(Upgrades!$T$9="First Photons",POWER(Upgrades!$U$9,H35),1)*IF(Upgrades!$T$10="First Photons",POWER(Upgrades!$U$10,I35),1)*IF(Upgrades!$T$11="First Photons",POWER(Upgrades!$U$11,J35),1))*POWER(Upgrades!$P$6,E35)*POWER(Upgrades!$P$7,F35)*POWER(Upgrades!$P$8,G35)*POWER(Upgrades!$P$9,H35)*POWER(Upgrades!$P$10,I35)*POWER(Upgrades!$P$11,J35)*POWER(Upgrades!$P$12,K35)*60</f>
        <v>0</v>
      </c>
      <c r="AF35" s="27" t="n">
        <f aca="false">Parameters!$B$9*POWER(Upgrades!$Q$6,E35)*POWER(Upgrades!$Q$7,F35)*POWER(Upgrades!$Q$8,G35)*POWER(Upgrades!$Q$9,H35)*POWER(Upgrades!$Q$10,I35)*POWER(Upgrades!$Q$11,J35)*POWER(Upgrades!$Q$12,K35)*(Parameters!$B$10*Parameters!$B$11+O35*60)</f>
        <v>100</v>
      </c>
      <c r="AG35" s="21" t="n">
        <f aca="false">IF(E35&gt;=Upgrades!$E$6,"",Upgrades!$C$6*POWER(Upgrades!$D$6,E35))</f>
        <v>28.3189041499553</v>
      </c>
      <c r="AH35" s="21" t="n">
        <f aca="false">IF(F35&gt;=Upgrades!$E$7,"",Upgrades!$C$7*POWER(Upgrades!$D$7,F35))</f>
        <v>70.3575258383984</v>
      </c>
      <c r="AI35" s="21" t="n">
        <f aca="false">IF(G35&gt;=Upgrades!$E$8,"",Upgrades!$C$8*POWER(Upgrades!$D$8,G35))</f>
        <v>165.649792</v>
      </c>
      <c r="AJ35" s="21" t="n">
        <f aca="false">IF(H35&gt;=Upgrades!$E$9,"",Upgrades!$C$9*POWER(Upgrades!$D$9,H35))</f>
        <v>320</v>
      </c>
      <c r="AK35" s="21" t="str">
        <f aca="false">IF(I35&gt;=Upgrades!$E$10,"",Upgrades!$C$10*POWER(Upgrades!$D$10,I35))</f>
        <v/>
      </c>
      <c r="AL35" s="21" t="n">
        <f aca="false">IF(J35&gt;=Upgrades!$E$11,"",Upgrades!$C$11*POWER(Upgrades!$D$11,J35))</f>
        <v>575</v>
      </c>
      <c r="AM35" s="21" t="n">
        <f aca="false">IF(K35&gt;=Upgrades!$E$12,"",Upgrades!$C$12*POWER(Upgrades!$D$12,K35))</f>
        <v>850</v>
      </c>
      <c r="AN35" s="26" t="str">
        <f aca="false">IF(AND(D35&gt;=Parameters!$B$18,(H35&gt;=Upgrades!$E$9)*(K35&gt;=Upgrades!$E$12)=1,L35=0),1,"")</f>
        <v/>
      </c>
      <c r="AO35" s="26" t="str">
        <f aca="false">IF(AND(D35&gt;=Parameters!$B$18,L35=0),1,"")</f>
        <v/>
      </c>
      <c r="AP35" s="21" t="n">
        <f aca="false">MIN(IF(ISNUMBER(AK35),AK35,9000000000000000),IF(ISNUMBER(AL35),AL35,9000000000000000),IF(ISNUMBER(AM35),AM35,9000000000000000))</f>
        <v>575</v>
      </c>
      <c r="AQ35" s="21" t="n">
        <f aca="false">MIN(IF(ISNUMBER(AG35),AG35,9000000000000000),IF(ISNUMBER(AH35),AH35,9000000000000000),IF(ISNUMBER(AI35),AI35,9000000000000000),IF(ISNUMBER(AJ35),AJ35,9000000000000000))</f>
        <v>28.3189041499553</v>
      </c>
      <c r="AR35" s="32" t="b">
        <f aca="false">IF(AW35&gt;Parameters!$B$21*(MAX(IF(AND(NOT(AND(AO35=1,AN35&lt;&gt;1)),ISNUMBER(AG35),AG35&lt;=T35),AS35,0),IF(AND(NOT(AND(AO35=1,AN35&lt;&gt;1)),ISNUMBER(AH35),AH35&lt;=T35),AT35,0),IF(AND(NOT(AND(AO35=1,AN35&lt;&gt;1)),ISNUMBER(AI35),AI35&lt;=T35),AU35,0),IF(AND(ISNUMBER(AJ35),AJ35&lt;=T35),AV35,0))),TRUE(),FALSE())</f>
        <v>0</v>
      </c>
      <c r="AS35" s="33" t="n">
        <f aca="false">IFERROR(Upgrades!$H$6*(POWER(Upgrades!$P$6,E35)*POWER(Upgrades!$P$7,F35)*POWER(Upgrades!$P$8,G35)*POWER(Upgrades!$P$9,H35)*POWER(Upgrades!$P$10,I35)*POWER(Upgrades!$P$11,J35)*POWER(Upgrades!$P$12,K35))*(IF(Upgrades!$T$7="Solar Wind",POWER(Upgrades!$U$7,F35),1)*IF(Upgrades!$T$8="Solar Wind",POWER(Upgrades!$U$8,G35),1)*IF(Upgrades!$T$9="Solar Wind",POWER(Upgrades!$U$9,H35),1)*IF(Upgrades!$T$10="Solar Wind",POWER(Upgrades!$U$10,I35),1)*IF(Upgrades!$T$11="Solar Wind",POWER(Upgrades!$U$11,J35),1)*IF(Upgrades!$T$12="Solar Wind",POWER(Upgrades!$U$12,K35),1))/AG35,0)</f>
        <v>0.00353121008745523</v>
      </c>
      <c r="AT35" s="33" t="n">
        <f aca="false">IFERROR(Upgrades!$H$7*(POWER(Upgrades!$P$6,E35)*POWER(Upgrades!$P$7,F35)*POWER(Upgrades!$P$8,G35)*POWER(Upgrades!$P$9,H35)*POWER(Upgrades!$P$10,I35)*POWER(Upgrades!$P$11,J35)*POWER(Upgrades!$P$12,K35))*(IF(Upgrades!$T$6="Asteroid Belt",POWER(Upgrades!$U$6,E35),1)*IF(Upgrades!$T$8="Asteroid Belt",POWER(Upgrades!$U$8,G35),1)*IF(Upgrades!$T$9="Asteroid Belt",POWER(Upgrades!$U$9,H35),1)*IF(Upgrades!$T$10="Asteroid Belt",POWER(Upgrades!$U$10,I35),1)*IF(Upgrades!$T$11="Asteroid Belt",POWER(Upgrades!$U$11,J35),1)*IF(Upgrades!$T$12="Asteroid Belt",POWER(Upgrades!$U$12,K35),1))/AH35,0)</f>
        <v>0.00355328015050182</v>
      </c>
      <c r="AU35" s="33" t="n">
        <f aca="false">IFERROR(Upgrades!$K$8*(POWER(Upgrades!$Q$6,E35)*POWER(Upgrades!$Q$7,F35)*POWER(Upgrades!$Q$8,G35)*POWER(Upgrades!$Q$9,H35)*POWER(Upgrades!$Q$10,I35)*POWER(Upgrades!$Q$11,J35)*POWER(Upgrades!$Q$12,K35))*(IF(Upgrades!$T$6="Stellar Coupling",POWER(Upgrades!$U$6,E35),1)*IF(Upgrades!$T$7="Stellar Coupling",POWER(Upgrades!$U$7,F35),1)*IF(Upgrades!$T$9="Stellar Coupling",POWER(Upgrades!$U$9,H35),1)*IF(Upgrades!$T$10="Stellar Coupling",POWER(Upgrades!$U$10,I35),1)*IF(Upgrades!$T$11="Stellar Coupling",POWER(Upgrades!$U$11,J35),1)*IF(Upgrades!$T$12="Stellar Coupling",POWER(Upgrades!$U$12,K35),1))*Parameters!$B$10*Parameters!$B$11/60/AI35,0)</f>
        <v>0.00352148545609604</v>
      </c>
      <c r="AV35" s="33" t="n">
        <f aca="false">IFERROR(Upgrades!$H$9*(POWER(Upgrades!$P$6,E35)*POWER(Upgrades!$P$7,F35)*POWER(Upgrades!$P$8,G35)*POWER(Upgrades!$P$9,H35)*POWER(Upgrades!$P$10,I35)*POWER(Upgrades!$P$11,J35)*POWER(Upgrades!$P$12,K35))*(IF(Upgrades!$T$6="Magnetosphere",POWER(Upgrades!$U$6,E35),1)*IF(Upgrades!$T$7="Magnetosphere",POWER(Upgrades!$U$7,F35),1)*IF(Upgrades!$T$8="Magnetosphere",POWER(Upgrades!$U$8,G35),1)*IF(Upgrades!$T$10="Magnetosphere",POWER(Upgrades!$U$10,I35),1)*IF(Upgrades!$T$11="Magnetosphere",POWER(Upgrades!$U$11,J35),1)*IF(Upgrades!$T$12="Magnetosphere",POWER(Upgrades!$U$12,K35),1))/AJ35,0)</f>
        <v>0.00390625</v>
      </c>
      <c r="AW35" s="33" t="n">
        <f aca="false">MAX(IF(I35&gt;0,0,IFERROR(0.25*N35/Upgrades!$C$10,0)),IF(J35&gt;0,0,IFERROR(0.5*((IF(G35=0,0,(Upgrades!$J$8+G35*Upgrades!$K$8)*POWER(Upgrades!$L$8,G35)))*(IF(Upgrades!$T$6="Stellar Coupling",POWER(Upgrades!$U$6,E35),1)*IF(Upgrades!$T$7="Stellar Coupling",POWER(Upgrades!$U$7,F35),1)*IF(Upgrades!$T$9="Stellar Coupling",POWER(Upgrades!$U$9,H35),1)*IF(Upgrades!$T$10="Stellar Coupling",POWER(Upgrades!$U$10,I35),1)*IF(Upgrades!$T$11="Stellar Coupling",POWER(Upgrades!$U$11,J35),1)*IF(Upgrades!$T$12="Stellar Coupling",POWER(Upgrades!$U$12,K35),1))*(POWER(Upgrades!$Q$6,E35)*POWER(Upgrades!$Q$7,F35)*POWER(Upgrades!$Q$8,G35)*POWER(Upgrades!$Q$9,H35)*POWER(Upgrades!$Q$10,I35)*POWER(Upgrades!$Q$11,J35)*POWER(Upgrades!$Q$12,K35))*Parameters!$B$10*Parameters!$B$11/60)/Upgrades!$C$11,0)),IF(K35&gt;0,0,IFERROR((1*(POWER(Upgrades!$P$6,E35)*POWER(Upgrades!$P$7,F35)*POWER(Upgrades!$P$8,G35)*POWER(Upgrades!$P$9,H35)*POWER(Upgrades!$P$10,I35)*POWER(Upgrades!$P$11,J35)*POWER(Upgrades!$P$12,K35))+0.2*M35*Parameters!$B$10*Parameters!$B$11/60)/Upgrades!$C$12,0)),IF(AND(ISNUMBER(AG35),AG35&gt;T35),AS35,0),IF(AND(ISNUMBER(AH35),AH35&gt;T35),AT35,0),IF(AND(ISNUMBER(AI35),AI35&gt;T35),AU35,0),IF(AND(ISNUMBER(AJ35),AJ35&gt;T35),AV35,0))</f>
        <v>0.00304347826086956</v>
      </c>
      <c r="AX35" s="29" t="str">
        <f aca="false">IF(AN35=1,"transition",IF(MIN(IF(AND(I35=0,ISNUMBER(AK35),AK35&lt;=T35),AK35,9000000000000000),IF(AND(J35=0,ISNUMBER(AL35),AL35&lt;=T35),AL35,9000000000000000),IF(AND(K35=0,ISNUMBER(AM35),AM35&lt;=T35),AM35,9000000000000000))&lt;9000000000000000,IF(AND(AND(I35=0,ISNUMBER(AK35),AK35&lt;=T35),AK35=MIN(IF(AND(I35=0,ISNUMBER(AK35),AK35&lt;=T35),AK35,9000000000000000),IF(AND(J35=0,ISNUMBER(AL35),AL35&lt;=T35),AL35,9000000000000000),IF(AND(K35=0,ISNUMBER(AM35),AM35&lt;=T35),AM35,9000000000000000))),"OR",IF(AND(AND(J35=0,ISNUMBER(AL35),AL35&lt;=T35),AL35=MIN(IF(AND(I35=0,ISNUMBER(AK35),AK35&lt;=T35),AK35,9000000000000000),IF(AND(J35=0,ISNUMBER(AL35),AL35&lt;=T35),AL35,9000000000000000),IF(AND(K35=0,ISNUMBER(AM35),AM35&lt;=T35),AM35,9000000000000000))),"HP","FP")),IF(AR35=TRUE(),"",IF(MAX(IF(AND(NOT(AND(AO35=1,AN35&lt;&gt;1)),ISNUMBER(AG35),AG35&lt;=T35),AS35,0),IF(AND(NOT(AND(AO35=1,AN35&lt;&gt;1)),ISNUMBER(AH35),AH35&lt;=T35),AT35,0),IF(AND(NOT(AND(AO35=1,AN35&lt;&gt;1)),ISNUMBER(AI35),AI35&lt;=T35),AU35,0),IF(AND(ISNUMBER(AJ35),AJ35&lt;=T35),AV35,0))&lt;=0,"",IF(AND(IF(AND(NOT(AND(AO35=1,AN35&lt;&gt;1)),ISNUMBER(AG35),AG35&lt;=T35),AS35,0)&gt;0,IF(AND(NOT(AND(AO35=1,AN35&lt;&gt;1)),ISNUMBER(AG35),AG35&lt;=T35),AS35,0)=MAX(IF(AND(NOT(AND(AO35=1,AN35&lt;&gt;1)),ISNUMBER(AG35),AG35&lt;=T35),AS35,0),IF(AND(NOT(AND(AO35=1,AN35&lt;&gt;1)),ISNUMBER(AH35),AH35&lt;=T35),AT35,0),IF(AND(NOT(AND(AO35=1,AN35&lt;&gt;1)),ISNUMBER(AI35),AI35&lt;=T35),AU35,0),IF(AND(ISNUMBER(AJ35),AJ35&lt;=T35),AV35,0))),"SW",IF(AND(IF(AND(NOT(AND(AO35=1,AN35&lt;&gt;1)),ISNUMBER(AH35),AH35&lt;=T35),AT35,0)&gt;0,IF(AND(NOT(AND(AO35=1,AN35&lt;&gt;1)),ISNUMBER(AH35),AH35&lt;=T35),AT35,0)=MAX(IF(AND(NOT(AND(AO35=1,AN35&lt;&gt;1)),ISNUMBER(AG35),AG35&lt;=T35),AS35,0),IF(AND(NOT(AND(AO35=1,AN35&lt;&gt;1)),ISNUMBER(AH35),AH35&lt;=T35),AT35,0),IF(AND(NOT(AND(AO35=1,AN35&lt;&gt;1)),ISNUMBER(AI35),AI35&lt;=T35),AU35,0),IF(AND(ISNUMBER(AJ35),AJ35&lt;=T35),AV35,0))),"AB",IF(AND(IF(AND(NOT(AND(AO35=1,AN35&lt;&gt;1)),ISNUMBER(AI35),AI35&lt;=T35),AU35,0)&gt;0,IF(AND(NOT(AND(AO35=1,AN35&lt;&gt;1)),ISNUMBER(AI35),AI35&lt;=T35),AU35,0)=MAX(IF(AND(NOT(AND(AO35=1,AN35&lt;&gt;1)),ISNUMBER(AG35),AG35&lt;=T35),AS35,0),IF(AND(NOT(AND(AO35=1,AN35&lt;&gt;1)),ISNUMBER(AH35),AH35&lt;=T35),AT35,0),IF(AND(NOT(AND(AO35=1,AN35&lt;&gt;1)),ISNUMBER(AI35),AI35&lt;=T35),AU35,0),IF(AND(ISNUMBER(AJ35),AJ35&lt;=T35),AV35,0))),"SC","Mag")))))))</f>
        <v>HP</v>
      </c>
    </row>
    <row r="36" customFormat="false" ht="15" hidden="false" customHeight="false" outlineLevel="0" collapsed="false">
      <c r="A36" s="26" t="n">
        <v>31</v>
      </c>
      <c r="B36" s="27" t="n">
        <f aca="false">A36*10/60</f>
        <v>5.16666666666667</v>
      </c>
      <c r="C36" s="21" t="n">
        <f aca="false">X35</f>
        <v>79.5659867443081</v>
      </c>
      <c r="D36" s="27" t="n">
        <f aca="false">D35+W35</f>
        <v>1</v>
      </c>
      <c r="E36" s="26" t="n">
        <f aca="false">E35+IF(U35="SW",1,0)</f>
        <v>10</v>
      </c>
      <c r="F36" s="26" t="n">
        <f aca="false">F35+IF(U35="AB",1,0)</f>
        <v>9</v>
      </c>
      <c r="G36" s="26" t="n">
        <f aca="false">G35+IF(U35="SC",1,0)</f>
        <v>6</v>
      </c>
      <c r="H36" s="26" t="n">
        <f aca="false">H35+IF(U35="Mag",1,0)</f>
        <v>2</v>
      </c>
      <c r="I36" s="26" t="n">
        <f aca="false">MAX(I35,IF(U35="OR",1,0))</f>
        <v>1</v>
      </c>
      <c r="J36" s="26" t="n">
        <f aca="false">MAX(J35,IF(U35="HP",1,0))</f>
        <v>1</v>
      </c>
      <c r="K36" s="26" t="n">
        <f aca="false">MAX(K35,IF(U35="FP",1,0))</f>
        <v>0</v>
      </c>
      <c r="L36" s="26" t="n">
        <f aca="false">MAX(L35,IF(U35="transition",1,0))</f>
        <v>0</v>
      </c>
      <c r="M36" s="28" t="n">
        <f aca="false">(Parameters!$B$9+(IF(E36=0,0,(Upgrades!$J$6+E36*Upgrades!$K$6)*POWER(Upgrades!$L$6,E36)))*(IF(Upgrades!$T$7="Solar Wind",POWER(Upgrades!$U$7,F36),1)*IF(Upgrades!$T$8="Solar Wind",POWER(Upgrades!$U$8,G36),1)*IF(Upgrades!$T$9="Solar Wind",POWER(Upgrades!$U$9,H36),1)*IF(Upgrades!$T$10="Solar Wind",POWER(Upgrades!$U$10,I36),1)*IF(Upgrades!$T$11="Solar Wind",POWER(Upgrades!$U$11,J36),1)*IF(Upgrades!$T$12="Solar Wind",POWER(Upgrades!$U$12,K36),1))+(IF(F36=0,0,(Upgrades!$J$7+F36*Upgrades!$K$7)*POWER(Upgrades!$L$7,F36)))*(IF(Upgrades!$T$6="Asteroid Belt",POWER(Upgrades!$U$6,E36),1)*IF(Upgrades!$T$8="Asteroid Belt",POWER(Upgrades!$U$8,G36),1)*IF(Upgrades!$T$9="Asteroid Belt",POWER(Upgrades!$U$9,H36),1)*IF(Upgrades!$T$10="Asteroid Belt",POWER(Upgrades!$U$10,I36),1)*IF(Upgrades!$T$11="Asteroid Belt",POWER(Upgrades!$U$11,J36),1)*IF(Upgrades!$T$12="Asteroid Belt",POWER(Upgrades!$U$12,K36),1))+(IF(G36=0,0,(Upgrades!$J$8+G36*Upgrades!$K$8)*POWER(Upgrades!$L$8,G36)))*(IF(Upgrades!$T$6="Stellar Coupling",POWER(Upgrades!$U$6,E36),1)*IF(Upgrades!$T$7="Stellar Coupling",POWER(Upgrades!$U$7,F36),1)*IF(Upgrades!$T$9="Stellar Coupling",POWER(Upgrades!$U$9,H36),1)*IF(Upgrades!$T$10="Stellar Coupling",POWER(Upgrades!$U$10,I36),1)*IF(Upgrades!$T$11="Stellar Coupling",POWER(Upgrades!$U$11,J36),1)*IF(Upgrades!$T$12="Stellar Coupling",POWER(Upgrades!$U$12,K36),1))+(IF(H36=0,0,(Upgrades!$J$9+H36*Upgrades!$K$9)*POWER(Upgrades!$L$9,H36)))*(IF(Upgrades!$T$6="Magnetosphere",POWER(Upgrades!$U$6,E36),1)*IF(Upgrades!$T$7="Magnetosphere",POWER(Upgrades!$U$7,F36),1)*IF(Upgrades!$T$8="Magnetosphere",POWER(Upgrades!$U$8,G36),1)*IF(Upgrades!$T$10="Magnetosphere",POWER(Upgrades!$U$10,I36),1)*IF(Upgrades!$T$11="Magnetosphere",POWER(Upgrades!$U$11,J36),1)*IF(Upgrades!$T$12="Magnetosphere",POWER(Upgrades!$U$12,K36),1))+(IF(I36=0,0,(Upgrades!$J$10+I36*Upgrades!$K$10)*POWER(Upgrades!$L$10,I36)))*(IF(Upgrades!$T$6="Orbital Resonance",POWER(Upgrades!$U$6,E36),1)*IF(Upgrades!$T$7="Orbital Resonance",POWER(Upgrades!$U$7,F36),1)*IF(Upgrades!$T$8="Orbital Resonance",POWER(Upgrades!$U$8,G36),1)*IF(Upgrades!$T$9="Orbital Resonance",POWER(Upgrades!$U$9,H36),1)*IF(Upgrades!$T$11="Orbital Resonance",POWER(Upgrades!$U$11,J36),1)*IF(Upgrades!$T$12="Orbital Resonance",POWER(Upgrades!$U$12,K36),1))+(IF(J36=0,0,(Upgrades!$J$11+J36*Upgrades!$K$11)*POWER(Upgrades!$L$11,J36)))*(IF(Upgrades!$T$6="Heliopause",POWER(Upgrades!$U$6,E36),1)*IF(Upgrades!$T$7="Heliopause",POWER(Upgrades!$U$7,F36),1)*IF(Upgrades!$T$8="Heliopause",POWER(Upgrades!$U$8,G36),1)*IF(Upgrades!$T$9="Heliopause",POWER(Upgrades!$U$9,H36),1)*IF(Upgrades!$T$10="Heliopause",POWER(Upgrades!$U$10,I36),1)*IF(Upgrades!$T$12="Heliopause",POWER(Upgrades!$U$12,K36),1))+(IF(K36=0,0,(Upgrades!$J$12+K36*Upgrades!$K$12)*POWER(Upgrades!$L$12,K36)))*(IF(Upgrades!$T$6="First Photons",POWER(Upgrades!$U$6,E36),1)*IF(Upgrades!$T$7="First Photons",POWER(Upgrades!$U$7,F36),1)*IF(Upgrades!$T$8="First Photons",POWER(Upgrades!$U$8,G36),1)*IF(Upgrades!$T$9="First Photons",POWER(Upgrades!$U$9,H36),1)*IF(Upgrades!$T$10="First Photons",POWER(Upgrades!$U$10,I36),1)*IF(Upgrades!$T$11="First Photons",POWER(Upgrades!$U$11,J36),1)))*POWER(Upgrades!$Q$6,E36)*POWER(Upgrades!$Q$7,F36)*POWER(Upgrades!$Q$8,G36)*POWER(Upgrades!$Q$9,H36)*POWER(Upgrades!$Q$10,I36)*POWER(Upgrades!$Q$11,J36)*POWER(Upgrades!$Q$12,K36)</f>
        <v>4.15</v>
      </c>
      <c r="N36" s="28" t="n">
        <f aca="false">((IF(E36=0,0,(Upgrades!$G$6+E36*Upgrades!$H$6)*POWER(Upgrades!$I$6,E36)))*(IF(Upgrades!$T$7="Solar Wind",POWER(Upgrades!$U$7,F36),1)*IF(Upgrades!$T$8="Solar Wind",POWER(Upgrades!$U$8,G36),1)*IF(Upgrades!$T$9="Solar Wind",POWER(Upgrades!$U$9,H36),1)*IF(Upgrades!$T$10="Solar Wind",POWER(Upgrades!$U$10,I36),1)*IF(Upgrades!$T$11="Solar Wind",POWER(Upgrades!$U$11,J36),1)*IF(Upgrades!$T$12="Solar Wind",POWER(Upgrades!$U$12,K36),1))+(IF(F36=0,0,(Upgrades!$G$7+F36*Upgrades!$H$7)*POWER(Upgrades!$I$7,F36)))*(IF(Upgrades!$T$6="Asteroid Belt",POWER(Upgrades!$U$6,E36),1)*IF(Upgrades!$T$8="Asteroid Belt",POWER(Upgrades!$U$8,G36),1)*IF(Upgrades!$T$9="Asteroid Belt",POWER(Upgrades!$U$9,H36),1)*IF(Upgrades!$T$10="Asteroid Belt",POWER(Upgrades!$U$10,I36),1)*IF(Upgrades!$T$11="Asteroid Belt",POWER(Upgrades!$U$11,J36),1)*IF(Upgrades!$T$12="Asteroid Belt",POWER(Upgrades!$U$12,K36),1))+(IF(G36=0,0,(Upgrades!$G$8+G36*Upgrades!$H$8)*POWER(Upgrades!$I$8,G36)))*(IF(Upgrades!$T$6="Stellar Coupling",POWER(Upgrades!$U$6,E36),1)*IF(Upgrades!$T$7="Stellar Coupling",POWER(Upgrades!$U$7,F36),1)*IF(Upgrades!$T$9="Stellar Coupling",POWER(Upgrades!$U$9,H36),1)*IF(Upgrades!$T$10="Stellar Coupling",POWER(Upgrades!$U$10,I36),1)*IF(Upgrades!$T$11="Stellar Coupling",POWER(Upgrades!$U$11,J36),1)*IF(Upgrades!$T$12="Stellar Coupling",POWER(Upgrades!$U$12,K36),1))+(IF(H36=0,0,(Upgrades!$G$9+H36*Upgrades!$H$9)*POWER(Upgrades!$I$9,H36)))*(IF(Upgrades!$T$6="Magnetosphere",POWER(Upgrades!$U$6,E36),1)*IF(Upgrades!$T$7="Magnetosphere",POWER(Upgrades!$U$7,F36),1)*IF(Upgrades!$T$8="Magnetosphere",POWER(Upgrades!$U$8,G36),1)*IF(Upgrades!$T$10="Magnetosphere",POWER(Upgrades!$U$10,I36),1)*IF(Upgrades!$T$11="Magnetosphere",POWER(Upgrades!$U$11,J36),1)*IF(Upgrades!$T$12="Magnetosphere",POWER(Upgrades!$U$12,K36),1))+(IF(I36=0,0,(Upgrades!$G$10+I36*Upgrades!$H$10)*POWER(Upgrades!$I$10,I36)))*(IF(Upgrades!$T$6="Orbital Resonance",POWER(Upgrades!$U$6,E36),1)*IF(Upgrades!$T$7="Orbital Resonance",POWER(Upgrades!$U$7,F36),1)*IF(Upgrades!$T$8="Orbital Resonance",POWER(Upgrades!$U$8,G36),1)*IF(Upgrades!$T$9="Orbital Resonance",POWER(Upgrades!$U$9,H36),1)*IF(Upgrades!$T$11="Orbital Resonance",POWER(Upgrades!$U$11,J36),1)*IF(Upgrades!$T$12="Orbital Resonance",POWER(Upgrades!$U$12,K36),1))+(IF(J36=0,0,(Upgrades!$G$11+J36*Upgrades!$H$11)*POWER(Upgrades!$I$11,J36)))*(IF(Upgrades!$T$6="Heliopause",POWER(Upgrades!$U$6,E36),1)*IF(Upgrades!$T$7="Heliopause",POWER(Upgrades!$U$7,F36),1)*IF(Upgrades!$T$8="Heliopause",POWER(Upgrades!$U$8,G36),1)*IF(Upgrades!$T$9="Heliopause",POWER(Upgrades!$U$9,H36),1)*IF(Upgrades!$T$10="Heliopause",POWER(Upgrades!$U$10,I36),1)*IF(Upgrades!$T$12="Heliopause",POWER(Upgrades!$U$12,K36),1))+(IF(K36=0,0,(Upgrades!$G$12+K36*Upgrades!$H$12)*POWER(Upgrades!$I$12,K36)))*(IF(Upgrades!$T$6="First Photons",POWER(Upgrades!$U$6,E36),1)*IF(Upgrades!$T$7="First Photons",POWER(Upgrades!$U$7,F36),1)*IF(Upgrades!$T$8="First Photons",POWER(Upgrades!$U$8,G36),1)*IF(Upgrades!$T$9="First Photons",POWER(Upgrades!$U$9,H36),1)*IF(Upgrades!$T$10="First Photons",POWER(Upgrades!$U$10,I36),1)*IF(Upgrades!$T$11="First Photons",POWER(Upgrades!$U$11,J36),1)))*POWER(Upgrades!$P$6,E36)*POWER(Upgrades!$P$7,F36)*POWER(Upgrades!$P$8,G36)*POWER(Upgrades!$P$9,H36)*POWER(Upgrades!$P$10,I36)*POWER(Upgrades!$P$11,J36)*POWER(Upgrades!$P$12,K36)</f>
        <v>5.75</v>
      </c>
      <c r="O36" s="28" t="n">
        <f aca="false">((IF(E36=0,0,(Upgrades!$M$6+E36*Upgrades!$N$6)*POWER(Upgrades!$O$6,E36)))*(IF(Upgrades!$T$7="Solar Wind",POWER(Upgrades!$U$7,F36),1)*IF(Upgrades!$T$8="Solar Wind",POWER(Upgrades!$U$8,G36),1)*IF(Upgrades!$T$9="Solar Wind",POWER(Upgrades!$U$9,H36),1)*IF(Upgrades!$T$10="Solar Wind",POWER(Upgrades!$U$10,I36),1)*IF(Upgrades!$T$11="Solar Wind",POWER(Upgrades!$U$11,J36),1)*IF(Upgrades!$T$12="Solar Wind",POWER(Upgrades!$U$12,K36),1))+(IF(F36=0,0,(Upgrades!$M$7+F36*Upgrades!$N$7)*POWER(Upgrades!$O$7,F36)))*(IF(Upgrades!$T$6="Asteroid Belt",POWER(Upgrades!$U$6,E36),1)*IF(Upgrades!$T$8="Asteroid Belt",POWER(Upgrades!$U$8,G36),1)*IF(Upgrades!$T$9="Asteroid Belt",POWER(Upgrades!$U$9,H36),1)*IF(Upgrades!$T$10="Asteroid Belt",POWER(Upgrades!$U$10,I36),1)*IF(Upgrades!$T$11="Asteroid Belt",POWER(Upgrades!$U$11,J36),1)*IF(Upgrades!$T$12="Asteroid Belt",POWER(Upgrades!$U$12,K36),1))+(IF(G36=0,0,(Upgrades!$M$8+G36*Upgrades!$N$8)*POWER(Upgrades!$O$8,G36)))*(IF(Upgrades!$T$6="Stellar Coupling",POWER(Upgrades!$U$6,E36),1)*IF(Upgrades!$T$7="Stellar Coupling",POWER(Upgrades!$U$7,F36),1)*IF(Upgrades!$T$9="Stellar Coupling",POWER(Upgrades!$U$9,H36),1)*IF(Upgrades!$T$10="Stellar Coupling",POWER(Upgrades!$U$10,I36),1)*IF(Upgrades!$T$11="Stellar Coupling",POWER(Upgrades!$U$11,J36),1)*IF(Upgrades!$T$12="Stellar Coupling",POWER(Upgrades!$U$12,K36),1))+(IF(H36=0,0,(Upgrades!$M$9+H36*Upgrades!$N$9)*POWER(Upgrades!$O$9,H36)))*(IF(Upgrades!$T$6="Magnetosphere",POWER(Upgrades!$U$6,E36),1)*IF(Upgrades!$T$7="Magnetosphere",POWER(Upgrades!$U$7,F36),1)*IF(Upgrades!$T$8="Magnetosphere",POWER(Upgrades!$U$8,G36),1)*IF(Upgrades!$T$10="Magnetosphere",POWER(Upgrades!$U$10,I36),1)*IF(Upgrades!$T$11="Magnetosphere",POWER(Upgrades!$U$11,J36),1)*IF(Upgrades!$T$12="Magnetosphere",POWER(Upgrades!$U$12,K36),1))+(IF(I36=0,0,(Upgrades!$M$10+I36*Upgrades!$N$10)*POWER(Upgrades!$O$10,I36)))*(IF(Upgrades!$T$6="Orbital Resonance",POWER(Upgrades!$U$6,E36),1)*IF(Upgrades!$T$7="Orbital Resonance",POWER(Upgrades!$U$7,F36),1)*IF(Upgrades!$T$8="Orbital Resonance",POWER(Upgrades!$U$8,G36),1)*IF(Upgrades!$T$9="Orbital Resonance",POWER(Upgrades!$U$9,H36),1)*IF(Upgrades!$T$11="Orbital Resonance",POWER(Upgrades!$U$11,J36),1)*IF(Upgrades!$T$12="Orbital Resonance",POWER(Upgrades!$U$12,K36),1))+(IF(J36=0,0,(Upgrades!$M$11+J36*Upgrades!$N$11)*POWER(Upgrades!$O$11,J36)))*(IF(Upgrades!$T$6="Heliopause",POWER(Upgrades!$U$6,E36),1)*IF(Upgrades!$T$7="Heliopause",POWER(Upgrades!$U$7,F36),1)*IF(Upgrades!$T$8="Heliopause",POWER(Upgrades!$U$8,G36),1)*IF(Upgrades!$T$9="Heliopause",POWER(Upgrades!$U$9,H36),1)*IF(Upgrades!$T$10="Heliopause",POWER(Upgrades!$U$10,I36),1)*IF(Upgrades!$T$12="Heliopause",POWER(Upgrades!$U$12,K36),1))+(IF(K36=0,0,(Upgrades!$M$12+K36*Upgrades!$N$12)*POWER(Upgrades!$O$12,K36)))*(IF(Upgrades!$T$6="First Photons",POWER(Upgrades!$U$6,E36),1)*IF(Upgrades!$T$7="First Photons",POWER(Upgrades!$U$7,F36),1)*IF(Upgrades!$T$8="First Photons",POWER(Upgrades!$U$8,G36),1)*IF(Upgrades!$T$9="First Photons",POWER(Upgrades!$U$9,H36),1)*IF(Upgrades!$T$10="First Photons",POWER(Upgrades!$U$10,I36),1)*IF(Upgrades!$T$11="First Photons",POWER(Upgrades!$U$11,J36),1)))*POWER(Upgrades!$R$6,E36)*POWER(Upgrades!$R$7,F36)*POWER(Upgrades!$R$8,G36)*POWER(Upgrades!$R$9,H36)*POWER(Upgrades!$R$10,I36)*POWER(Upgrades!$R$11,J36)*POWER(Upgrades!$R$12,K36)</f>
        <v>0</v>
      </c>
      <c r="P36" s="27" t="n">
        <f aca="false">IF(L36=1,0,M36*Parameters!$B$10/60*Parameters!$B$11*10)</f>
        <v>69.1666666666667</v>
      </c>
      <c r="Q36" s="27" t="n">
        <f aca="false">IF(L36=1,0,O36*M36*10)</f>
        <v>0</v>
      </c>
      <c r="R36" s="27" t="n">
        <f aca="false">IF(L36=1,0,N36*10)</f>
        <v>57.5</v>
      </c>
      <c r="S36" s="27" t="n">
        <f aca="false">P36+Q36+R36</f>
        <v>126.666666666667</v>
      </c>
      <c r="T36" s="21" t="n">
        <f aca="false">C36+S36</f>
        <v>206.232653410975</v>
      </c>
      <c r="U36" s="34" t="str">
        <f aca="false">AX36</f>
        <v/>
      </c>
      <c r="V36" s="21" t="n">
        <f aca="false">IF(U36="",0,IF(U36="transition",0,IF(U36="SW",AG36,IF(U36="AB",AH36,IF(U36="SC",AI36,IF(U36="Mag",AJ36,IF(U36="OR",AK36,IF(U36="HP",AL36,IF(U36="FP",AM36,0)))))))))</f>
        <v>0</v>
      </c>
      <c r="W36" s="27" t="n">
        <f aca="false">IF(U36="OR",Upgrades!$F$10,IF(U36="HP",Upgrades!$F$11,IF(U36="transition",-Parameters!$B$18,0)))</f>
        <v>0</v>
      </c>
      <c r="X36" s="21" t="n">
        <f aca="false">T36-V36</f>
        <v>206.232653410975</v>
      </c>
      <c r="Y36" s="30" t="n">
        <f aca="false">M36*Parameters!$B$10/60*Parameters!$B$11+O36*M36+N36</f>
        <v>12.6666666666667</v>
      </c>
      <c r="Z36" s="35" t="str">
        <f aca="false">IF(U36="transition","→ Tier 2 (Stellar Neighborhood)",IF(U36="FP","First Photons — light begins, system quickens",IF(U36="HP","Heliopause acquired",IF(U36="OR","Orbital Resonance — passive multiplier active",IF(AND(AO36=1,L36=0,AN36&lt;&gt;1),"Cohesion ready (waiting on completionist upgrades)","")))))</f>
        <v>Cohesion ready (waiting on completionist upgrades)</v>
      </c>
      <c r="AA36" s="27" t="n">
        <f aca="false">(IF(E36=0,0,(Upgrades!$G$6+E36*Upgrades!$H$6)*POWER(Upgrades!$I$6,E36)))*(IF(Upgrades!$T$7="Solar Wind",POWER(Upgrades!$U$7,F36),1)*IF(Upgrades!$T$8="Solar Wind",POWER(Upgrades!$U$8,G36),1)*IF(Upgrades!$T$9="Solar Wind",POWER(Upgrades!$U$9,H36),1)*IF(Upgrades!$T$10="Solar Wind",POWER(Upgrades!$U$10,I36),1)*IF(Upgrades!$T$11="Solar Wind",POWER(Upgrades!$U$11,J36),1)*IF(Upgrades!$T$12="Solar Wind",POWER(Upgrades!$U$12,K36),1))*POWER(Upgrades!$P$6,E36)*POWER(Upgrades!$P$7,F36)*POWER(Upgrades!$P$8,G36)*POWER(Upgrades!$P$9,H36)*POWER(Upgrades!$P$10,I36)*POWER(Upgrades!$P$11,J36)*POWER(Upgrades!$P$12,K36)*60</f>
        <v>60</v>
      </c>
      <c r="AB36" s="27" t="n">
        <f aca="false">(IF(F36=0,0,(Upgrades!$G$7+F36*Upgrades!$H$7)*POWER(Upgrades!$I$7,F36)))*(IF(Upgrades!$T$6="Asteroid Belt",POWER(Upgrades!$U$6,E36),1)*IF(Upgrades!$T$8="Asteroid Belt",POWER(Upgrades!$U$8,G36),1)*IF(Upgrades!$T$9="Asteroid Belt",POWER(Upgrades!$U$9,H36),1)*IF(Upgrades!$T$10="Asteroid Belt",POWER(Upgrades!$U$10,I36),1)*IF(Upgrades!$T$11="Asteroid Belt",POWER(Upgrades!$U$11,J36),1)*IF(Upgrades!$T$12="Asteroid Belt",POWER(Upgrades!$U$12,K36),1))*POWER(Upgrades!$P$6,E36)*POWER(Upgrades!$P$7,F36)*POWER(Upgrades!$P$8,G36)*POWER(Upgrades!$P$9,H36)*POWER(Upgrades!$P$10,I36)*POWER(Upgrades!$P$11,J36)*POWER(Upgrades!$P$12,K36)*60</f>
        <v>135</v>
      </c>
      <c r="AC36" s="27" t="n">
        <f aca="false">(IF(G36=0,0,(Upgrades!$J$8+G36*Upgrades!$K$8)*POWER(Upgrades!$L$8,G36)))*(IF(Upgrades!$T$6="Stellar Coupling",POWER(Upgrades!$U$6,E36),1)*IF(Upgrades!$T$7="Stellar Coupling",POWER(Upgrades!$U$7,F36),1)*IF(Upgrades!$T$9="Stellar Coupling",POWER(Upgrades!$U$9,H36),1)*IF(Upgrades!$T$10="Stellar Coupling",POWER(Upgrades!$U$10,I36),1)*IF(Upgrades!$T$11="Stellar Coupling",POWER(Upgrades!$U$11,J36),1)*IF(Upgrades!$T$12="Stellar Coupling",POWER(Upgrades!$U$12,K36),1))*POWER(Upgrades!$Q$6,E36)*POWER(Upgrades!$Q$7,F36)*POWER(Upgrades!$Q$8,G36)*POWER(Upgrades!$Q$9,H36)*POWER(Upgrades!$Q$10,I36)*POWER(Upgrades!$Q$11,J36)*POWER(Upgrades!$Q$12,K36)*Parameters!$B$10*Parameters!$B$11</f>
        <v>315</v>
      </c>
      <c r="AD36" s="27" t="n">
        <f aca="false">(IF(H36=0,0,(Upgrades!$G$9+H36*Upgrades!$H$9)*POWER(Upgrades!$I$9,H36)))*(IF(Upgrades!$T$6="Magnetosphere",POWER(Upgrades!$U$6,E36),1)*IF(Upgrades!$T$7="Magnetosphere",POWER(Upgrades!$U$7,F36),1)*IF(Upgrades!$T$8="Magnetosphere",POWER(Upgrades!$U$8,G36),1)*IF(Upgrades!$T$10="Magnetosphere",POWER(Upgrades!$U$10,I36),1)*IF(Upgrades!$T$11="Magnetosphere",POWER(Upgrades!$U$11,J36),1)*IF(Upgrades!$T$12="Magnetosphere",POWER(Upgrades!$U$12,K36),1))*POWER(Upgrades!$P$6,E36)*POWER(Upgrades!$P$7,F36)*POWER(Upgrades!$P$8,G36)*POWER(Upgrades!$P$9,H36)*POWER(Upgrades!$P$10,I36)*POWER(Upgrades!$P$11,J36)*POWER(Upgrades!$P$12,K36)*60</f>
        <v>150</v>
      </c>
      <c r="AE36" s="27" t="n">
        <f aca="false">(IF(K36=0,0,(Upgrades!$G$12+K36*Upgrades!$H$12)*POWER(Upgrades!$I$12,K36)))*(IF(Upgrades!$T$6="First Photons",POWER(Upgrades!$U$6,E36),1)*IF(Upgrades!$T$7="First Photons",POWER(Upgrades!$U$7,F36),1)*IF(Upgrades!$T$8="First Photons",POWER(Upgrades!$U$8,G36),1)*IF(Upgrades!$T$9="First Photons",POWER(Upgrades!$U$9,H36),1)*IF(Upgrades!$T$10="First Photons",POWER(Upgrades!$U$10,I36),1)*IF(Upgrades!$T$11="First Photons",POWER(Upgrades!$U$11,J36),1))*POWER(Upgrades!$P$6,E36)*POWER(Upgrades!$P$7,F36)*POWER(Upgrades!$P$8,G36)*POWER(Upgrades!$P$9,H36)*POWER(Upgrades!$P$10,I36)*POWER(Upgrades!$P$11,J36)*POWER(Upgrades!$P$12,K36)*60</f>
        <v>0</v>
      </c>
      <c r="AF36" s="27" t="n">
        <f aca="false">Parameters!$B$9*POWER(Upgrades!$Q$6,E36)*POWER(Upgrades!$Q$7,F36)*POWER(Upgrades!$Q$8,G36)*POWER(Upgrades!$Q$9,H36)*POWER(Upgrades!$Q$10,I36)*POWER(Upgrades!$Q$11,J36)*POWER(Upgrades!$Q$12,K36)*(Parameters!$B$10*Parameters!$B$11+O36*60)</f>
        <v>100</v>
      </c>
      <c r="AG36" s="21" t="n">
        <f aca="false">IF(E36&gt;=Upgrades!$E$6,"",Upgrades!$C$6*POWER(Upgrades!$D$6,E36))</f>
        <v>28.3189041499553</v>
      </c>
      <c r="AH36" s="21" t="n">
        <f aca="false">IF(F36&gt;=Upgrades!$E$7,"",Upgrades!$C$7*POWER(Upgrades!$D$7,F36))</f>
        <v>70.3575258383984</v>
      </c>
      <c r="AI36" s="21" t="n">
        <f aca="false">IF(G36&gt;=Upgrades!$E$8,"",Upgrades!$C$8*POWER(Upgrades!$D$8,G36))</f>
        <v>165.649792</v>
      </c>
      <c r="AJ36" s="21" t="n">
        <f aca="false">IF(H36&gt;=Upgrades!$E$9,"",Upgrades!$C$9*POWER(Upgrades!$D$9,H36))</f>
        <v>320</v>
      </c>
      <c r="AK36" s="21" t="str">
        <f aca="false">IF(I36&gt;=Upgrades!$E$10,"",Upgrades!$C$10*POWER(Upgrades!$D$10,I36))</f>
        <v/>
      </c>
      <c r="AL36" s="21" t="str">
        <f aca="false">IF(J36&gt;=Upgrades!$E$11,"",Upgrades!$C$11*POWER(Upgrades!$D$11,J36))</f>
        <v/>
      </c>
      <c r="AM36" s="21" t="n">
        <f aca="false">IF(K36&gt;=Upgrades!$E$12,"",Upgrades!$C$12*POWER(Upgrades!$D$12,K36))</f>
        <v>850</v>
      </c>
      <c r="AN36" s="26" t="str">
        <f aca="false">IF(AND(D36&gt;=Parameters!$B$18,(H36&gt;=Upgrades!$E$9)*(K36&gt;=Upgrades!$E$12)=1,L36=0),1,"")</f>
        <v/>
      </c>
      <c r="AO36" s="26" t="n">
        <f aca="false">IF(AND(D36&gt;=Parameters!$B$18,L36=0),1,"")</f>
        <v>1</v>
      </c>
      <c r="AP36" s="21" t="n">
        <f aca="false">MIN(IF(ISNUMBER(AK36),AK36,9000000000000000),IF(ISNUMBER(AL36),AL36,9000000000000000),IF(ISNUMBER(AM36),AM36,9000000000000000))</f>
        <v>850</v>
      </c>
      <c r="AQ36" s="21" t="n">
        <f aca="false">MIN(IF(ISNUMBER(AG36),AG36,9000000000000000),IF(ISNUMBER(AH36),AH36,9000000000000000),IF(ISNUMBER(AI36),AI36,9000000000000000),IF(ISNUMBER(AJ36),AJ36,9000000000000000))</f>
        <v>28.3189041499553</v>
      </c>
      <c r="AR36" s="32" t="b">
        <f aca="false">IF(AW36&gt;Parameters!$B$21*(MAX(IF(AND(NOT(AND(AO36=1,AN36&lt;&gt;1)),ISNUMBER(AG36),AG36&lt;=T36),AS36,0),IF(AND(NOT(AND(AO36=1,AN36&lt;&gt;1)),ISNUMBER(AH36),AH36&lt;=T36),AT36,0),IF(AND(NOT(AND(AO36=1,AN36&lt;&gt;1)),ISNUMBER(AI36),AI36&lt;=T36),AU36,0),IF(AND(ISNUMBER(AJ36),AJ36&lt;=T36),AV36,0))),TRUE(),FALSE())</f>
        <v>1</v>
      </c>
      <c r="AS36" s="33" t="n">
        <f aca="false">IFERROR(Upgrades!$H$6*(POWER(Upgrades!$P$6,E36)*POWER(Upgrades!$P$7,F36)*POWER(Upgrades!$P$8,G36)*POWER(Upgrades!$P$9,H36)*POWER(Upgrades!$P$10,I36)*POWER(Upgrades!$P$11,J36)*POWER(Upgrades!$P$12,K36))*(IF(Upgrades!$T$7="Solar Wind",POWER(Upgrades!$U$7,F36),1)*IF(Upgrades!$T$8="Solar Wind",POWER(Upgrades!$U$8,G36),1)*IF(Upgrades!$T$9="Solar Wind",POWER(Upgrades!$U$9,H36),1)*IF(Upgrades!$T$10="Solar Wind",POWER(Upgrades!$U$10,I36),1)*IF(Upgrades!$T$11="Solar Wind",POWER(Upgrades!$U$11,J36),1)*IF(Upgrades!$T$12="Solar Wind",POWER(Upgrades!$U$12,K36),1))/AG36,0)</f>
        <v>0.00353121008745523</v>
      </c>
      <c r="AT36" s="33" t="n">
        <f aca="false">IFERROR(Upgrades!$H$7*(POWER(Upgrades!$P$6,E36)*POWER(Upgrades!$P$7,F36)*POWER(Upgrades!$P$8,G36)*POWER(Upgrades!$P$9,H36)*POWER(Upgrades!$P$10,I36)*POWER(Upgrades!$P$11,J36)*POWER(Upgrades!$P$12,K36))*(IF(Upgrades!$T$6="Asteroid Belt",POWER(Upgrades!$U$6,E36),1)*IF(Upgrades!$T$8="Asteroid Belt",POWER(Upgrades!$U$8,G36),1)*IF(Upgrades!$T$9="Asteroid Belt",POWER(Upgrades!$U$9,H36),1)*IF(Upgrades!$T$10="Asteroid Belt",POWER(Upgrades!$U$10,I36),1)*IF(Upgrades!$T$11="Asteroid Belt",POWER(Upgrades!$U$11,J36),1)*IF(Upgrades!$T$12="Asteroid Belt",POWER(Upgrades!$U$12,K36),1))/AH36,0)</f>
        <v>0.00355328015050182</v>
      </c>
      <c r="AU36" s="33" t="n">
        <f aca="false">IFERROR(Upgrades!$K$8*(POWER(Upgrades!$Q$6,E36)*POWER(Upgrades!$Q$7,F36)*POWER(Upgrades!$Q$8,G36)*POWER(Upgrades!$Q$9,H36)*POWER(Upgrades!$Q$10,I36)*POWER(Upgrades!$Q$11,J36)*POWER(Upgrades!$Q$12,K36))*(IF(Upgrades!$T$6="Stellar Coupling",POWER(Upgrades!$U$6,E36),1)*IF(Upgrades!$T$7="Stellar Coupling",POWER(Upgrades!$U$7,F36),1)*IF(Upgrades!$T$9="Stellar Coupling",POWER(Upgrades!$U$9,H36),1)*IF(Upgrades!$T$10="Stellar Coupling",POWER(Upgrades!$U$10,I36),1)*IF(Upgrades!$T$11="Stellar Coupling",POWER(Upgrades!$U$11,J36),1)*IF(Upgrades!$T$12="Stellar Coupling",POWER(Upgrades!$U$12,K36),1))*Parameters!$B$10*Parameters!$B$11/60/AI36,0)</f>
        <v>0.00528222818414405</v>
      </c>
      <c r="AV36" s="33" t="n">
        <f aca="false">IFERROR(Upgrades!$H$9*(POWER(Upgrades!$P$6,E36)*POWER(Upgrades!$P$7,F36)*POWER(Upgrades!$P$8,G36)*POWER(Upgrades!$P$9,H36)*POWER(Upgrades!$P$10,I36)*POWER(Upgrades!$P$11,J36)*POWER(Upgrades!$P$12,K36))*(IF(Upgrades!$T$6="Magnetosphere",POWER(Upgrades!$U$6,E36),1)*IF(Upgrades!$T$7="Magnetosphere",POWER(Upgrades!$U$7,F36),1)*IF(Upgrades!$T$8="Magnetosphere",POWER(Upgrades!$U$8,G36),1)*IF(Upgrades!$T$10="Magnetosphere",POWER(Upgrades!$U$10,I36),1)*IF(Upgrades!$T$11="Magnetosphere",POWER(Upgrades!$U$11,J36),1)*IF(Upgrades!$T$12="Magnetosphere",POWER(Upgrades!$U$12,K36),1))/AJ36,0)</f>
        <v>0.00390625</v>
      </c>
      <c r="AW36" s="33" t="n">
        <f aca="false">MAX(IF(I36&gt;0,0,IFERROR(0.25*N36/Upgrades!$C$10,0)),IF(J36&gt;0,0,IFERROR(0.5*((IF(G36=0,0,(Upgrades!$J$8+G36*Upgrades!$K$8)*POWER(Upgrades!$L$8,G36)))*(IF(Upgrades!$T$6="Stellar Coupling",POWER(Upgrades!$U$6,E36),1)*IF(Upgrades!$T$7="Stellar Coupling",POWER(Upgrades!$U$7,F36),1)*IF(Upgrades!$T$9="Stellar Coupling",POWER(Upgrades!$U$9,H36),1)*IF(Upgrades!$T$10="Stellar Coupling",POWER(Upgrades!$U$10,I36),1)*IF(Upgrades!$T$11="Stellar Coupling",POWER(Upgrades!$U$11,J36),1)*IF(Upgrades!$T$12="Stellar Coupling",POWER(Upgrades!$U$12,K36),1))*(POWER(Upgrades!$Q$6,E36)*POWER(Upgrades!$Q$7,F36)*POWER(Upgrades!$Q$8,G36)*POWER(Upgrades!$Q$9,H36)*POWER(Upgrades!$Q$10,I36)*POWER(Upgrades!$Q$11,J36)*POWER(Upgrades!$Q$12,K36))*Parameters!$B$10*Parameters!$B$11/60)/Upgrades!$C$11,0)),IF(K36&gt;0,0,IFERROR((1*(POWER(Upgrades!$P$6,E36)*POWER(Upgrades!$P$7,F36)*POWER(Upgrades!$P$8,G36)*POWER(Upgrades!$P$9,H36)*POWER(Upgrades!$P$10,I36)*POWER(Upgrades!$P$11,J36)*POWER(Upgrades!$P$12,K36))+0.2*M36*Parameters!$B$10*Parameters!$B$11/60)/Upgrades!$C$12,0)),IF(AND(ISNUMBER(AG36),AG36&gt;T36),AS36,0),IF(AND(ISNUMBER(AH36),AH36&gt;T36),AT36,0),IF(AND(ISNUMBER(AI36),AI36&gt;T36),AU36,0),IF(AND(ISNUMBER(AJ36),AJ36&gt;T36),AV36,0))</f>
        <v>0.00390625</v>
      </c>
      <c r="AX36" s="29" t="str">
        <f aca="false">IF(AN36=1,"transition",IF(MIN(IF(AND(I36=0,ISNUMBER(AK36),AK36&lt;=T36),AK36,9000000000000000),IF(AND(J36=0,ISNUMBER(AL36),AL36&lt;=T36),AL36,9000000000000000),IF(AND(K36=0,ISNUMBER(AM36),AM36&lt;=T36),AM36,9000000000000000))&lt;9000000000000000,IF(AND(AND(I36=0,ISNUMBER(AK36),AK36&lt;=T36),AK36=MIN(IF(AND(I36=0,ISNUMBER(AK36),AK36&lt;=T36),AK36,9000000000000000),IF(AND(J36=0,ISNUMBER(AL36),AL36&lt;=T36),AL36,9000000000000000),IF(AND(K36=0,ISNUMBER(AM36),AM36&lt;=T36),AM36,9000000000000000))),"OR",IF(AND(AND(J36=0,ISNUMBER(AL36),AL36&lt;=T36),AL36=MIN(IF(AND(I36=0,ISNUMBER(AK36),AK36&lt;=T36),AK36,9000000000000000),IF(AND(J36=0,ISNUMBER(AL36),AL36&lt;=T36),AL36,9000000000000000),IF(AND(K36=0,ISNUMBER(AM36),AM36&lt;=T36),AM36,9000000000000000))),"HP","FP")),IF(AR36=TRUE(),"",IF(MAX(IF(AND(NOT(AND(AO36=1,AN36&lt;&gt;1)),ISNUMBER(AG36),AG36&lt;=T36),AS36,0),IF(AND(NOT(AND(AO36=1,AN36&lt;&gt;1)),ISNUMBER(AH36),AH36&lt;=T36),AT36,0),IF(AND(NOT(AND(AO36=1,AN36&lt;&gt;1)),ISNUMBER(AI36),AI36&lt;=T36),AU36,0),IF(AND(ISNUMBER(AJ36),AJ36&lt;=T36),AV36,0))&lt;=0,"",IF(AND(IF(AND(NOT(AND(AO36=1,AN36&lt;&gt;1)),ISNUMBER(AG36),AG36&lt;=T36),AS36,0)&gt;0,IF(AND(NOT(AND(AO36=1,AN36&lt;&gt;1)),ISNUMBER(AG36),AG36&lt;=T36),AS36,0)=MAX(IF(AND(NOT(AND(AO36=1,AN36&lt;&gt;1)),ISNUMBER(AG36),AG36&lt;=T36),AS36,0),IF(AND(NOT(AND(AO36=1,AN36&lt;&gt;1)),ISNUMBER(AH36),AH36&lt;=T36),AT36,0),IF(AND(NOT(AND(AO36=1,AN36&lt;&gt;1)),ISNUMBER(AI36),AI36&lt;=T36),AU36,0),IF(AND(ISNUMBER(AJ36),AJ36&lt;=T36),AV36,0))),"SW",IF(AND(IF(AND(NOT(AND(AO36=1,AN36&lt;&gt;1)),ISNUMBER(AH36),AH36&lt;=T36),AT36,0)&gt;0,IF(AND(NOT(AND(AO36=1,AN36&lt;&gt;1)),ISNUMBER(AH36),AH36&lt;=T36),AT36,0)=MAX(IF(AND(NOT(AND(AO36=1,AN36&lt;&gt;1)),ISNUMBER(AG36),AG36&lt;=T36),AS36,0),IF(AND(NOT(AND(AO36=1,AN36&lt;&gt;1)),ISNUMBER(AH36),AH36&lt;=T36),AT36,0),IF(AND(NOT(AND(AO36=1,AN36&lt;&gt;1)),ISNUMBER(AI36),AI36&lt;=T36),AU36,0),IF(AND(ISNUMBER(AJ36),AJ36&lt;=T36),AV36,0))),"AB",IF(AND(IF(AND(NOT(AND(AO36=1,AN36&lt;&gt;1)),ISNUMBER(AI36),AI36&lt;=T36),AU36,0)&gt;0,IF(AND(NOT(AND(AO36=1,AN36&lt;&gt;1)),ISNUMBER(AI36),AI36&lt;=T36),AU36,0)=MAX(IF(AND(NOT(AND(AO36=1,AN36&lt;&gt;1)),ISNUMBER(AG36),AG36&lt;=T36),AS36,0),IF(AND(NOT(AND(AO36=1,AN36&lt;&gt;1)),ISNUMBER(AH36),AH36&lt;=T36),AT36,0),IF(AND(NOT(AND(AO36=1,AN36&lt;&gt;1)),ISNUMBER(AI36),AI36&lt;=T36),AU36,0),IF(AND(ISNUMBER(AJ36),AJ36&lt;=T36),AV36,0))),"SC","Mag")))))))</f>
        <v/>
      </c>
    </row>
    <row r="37" customFormat="false" ht="15" hidden="false" customHeight="false" outlineLevel="0" collapsed="false">
      <c r="A37" s="26" t="n">
        <v>32</v>
      </c>
      <c r="B37" s="27" t="n">
        <f aca="false">A37*10/60</f>
        <v>5.33333333333333</v>
      </c>
      <c r="C37" s="21" t="n">
        <f aca="false">X36</f>
        <v>206.232653410975</v>
      </c>
      <c r="D37" s="27" t="n">
        <f aca="false">D36+W36</f>
        <v>1</v>
      </c>
      <c r="E37" s="26" t="n">
        <f aca="false">E36+IF(U36="SW",1,0)</f>
        <v>10</v>
      </c>
      <c r="F37" s="26" t="n">
        <f aca="false">F36+IF(U36="AB",1,0)</f>
        <v>9</v>
      </c>
      <c r="G37" s="26" t="n">
        <f aca="false">G36+IF(U36="SC",1,0)</f>
        <v>6</v>
      </c>
      <c r="H37" s="26" t="n">
        <f aca="false">H36+IF(U36="Mag",1,0)</f>
        <v>2</v>
      </c>
      <c r="I37" s="26" t="n">
        <f aca="false">MAX(I36,IF(U36="OR",1,0))</f>
        <v>1</v>
      </c>
      <c r="J37" s="26" t="n">
        <f aca="false">MAX(J36,IF(U36="HP",1,0))</f>
        <v>1</v>
      </c>
      <c r="K37" s="26" t="n">
        <f aca="false">MAX(K36,IF(U36="FP",1,0))</f>
        <v>0</v>
      </c>
      <c r="L37" s="26" t="n">
        <f aca="false">MAX(L36,IF(U36="transition",1,0))</f>
        <v>0</v>
      </c>
      <c r="M37" s="28" t="n">
        <f aca="false">(Parameters!$B$9+(IF(E37=0,0,(Upgrades!$J$6+E37*Upgrades!$K$6)*POWER(Upgrades!$L$6,E37)))*(IF(Upgrades!$T$7="Solar Wind",POWER(Upgrades!$U$7,F37),1)*IF(Upgrades!$T$8="Solar Wind",POWER(Upgrades!$U$8,G37),1)*IF(Upgrades!$T$9="Solar Wind",POWER(Upgrades!$U$9,H37),1)*IF(Upgrades!$T$10="Solar Wind",POWER(Upgrades!$U$10,I37),1)*IF(Upgrades!$T$11="Solar Wind",POWER(Upgrades!$U$11,J37),1)*IF(Upgrades!$T$12="Solar Wind",POWER(Upgrades!$U$12,K37),1))+(IF(F37=0,0,(Upgrades!$J$7+F37*Upgrades!$K$7)*POWER(Upgrades!$L$7,F37)))*(IF(Upgrades!$T$6="Asteroid Belt",POWER(Upgrades!$U$6,E37),1)*IF(Upgrades!$T$8="Asteroid Belt",POWER(Upgrades!$U$8,G37),1)*IF(Upgrades!$T$9="Asteroid Belt",POWER(Upgrades!$U$9,H37),1)*IF(Upgrades!$T$10="Asteroid Belt",POWER(Upgrades!$U$10,I37),1)*IF(Upgrades!$T$11="Asteroid Belt",POWER(Upgrades!$U$11,J37),1)*IF(Upgrades!$T$12="Asteroid Belt",POWER(Upgrades!$U$12,K37),1))+(IF(G37=0,0,(Upgrades!$J$8+G37*Upgrades!$K$8)*POWER(Upgrades!$L$8,G37)))*(IF(Upgrades!$T$6="Stellar Coupling",POWER(Upgrades!$U$6,E37),1)*IF(Upgrades!$T$7="Stellar Coupling",POWER(Upgrades!$U$7,F37),1)*IF(Upgrades!$T$9="Stellar Coupling",POWER(Upgrades!$U$9,H37),1)*IF(Upgrades!$T$10="Stellar Coupling",POWER(Upgrades!$U$10,I37),1)*IF(Upgrades!$T$11="Stellar Coupling",POWER(Upgrades!$U$11,J37),1)*IF(Upgrades!$T$12="Stellar Coupling",POWER(Upgrades!$U$12,K37),1))+(IF(H37=0,0,(Upgrades!$J$9+H37*Upgrades!$K$9)*POWER(Upgrades!$L$9,H37)))*(IF(Upgrades!$T$6="Magnetosphere",POWER(Upgrades!$U$6,E37),1)*IF(Upgrades!$T$7="Magnetosphere",POWER(Upgrades!$U$7,F37),1)*IF(Upgrades!$T$8="Magnetosphere",POWER(Upgrades!$U$8,G37),1)*IF(Upgrades!$T$10="Magnetosphere",POWER(Upgrades!$U$10,I37),1)*IF(Upgrades!$T$11="Magnetosphere",POWER(Upgrades!$U$11,J37),1)*IF(Upgrades!$T$12="Magnetosphere",POWER(Upgrades!$U$12,K37),1))+(IF(I37=0,0,(Upgrades!$J$10+I37*Upgrades!$K$10)*POWER(Upgrades!$L$10,I37)))*(IF(Upgrades!$T$6="Orbital Resonance",POWER(Upgrades!$U$6,E37),1)*IF(Upgrades!$T$7="Orbital Resonance",POWER(Upgrades!$U$7,F37),1)*IF(Upgrades!$T$8="Orbital Resonance",POWER(Upgrades!$U$8,G37),1)*IF(Upgrades!$T$9="Orbital Resonance",POWER(Upgrades!$U$9,H37),1)*IF(Upgrades!$T$11="Orbital Resonance",POWER(Upgrades!$U$11,J37),1)*IF(Upgrades!$T$12="Orbital Resonance",POWER(Upgrades!$U$12,K37),1))+(IF(J37=0,0,(Upgrades!$J$11+J37*Upgrades!$K$11)*POWER(Upgrades!$L$11,J37)))*(IF(Upgrades!$T$6="Heliopause",POWER(Upgrades!$U$6,E37),1)*IF(Upgrades!$T$7="Heliopause",POWER(Upgrades!$U$7,F37),1)*IF(Upgrades!$T$8="Heliopause",POWER(Upgrades!$U$8,G37),1)*IF(Upgrades!$T$9="Heliopause",POWER(Upgrades!$U$9,H37),1)*IF(Upgrades!$T$10="Heliopause",POWER(Upgrades!$U$10,I37),1)*IF(Upgrades!$T$12="Heliopause",POWER(Upgrades!$U$12,K37),1))+(IF(K37=0,0,(Upgrades!$J$12+K37*Upgrades!$K$12)*POWER(Upgrades!$L$12,K37)))*(IF(Upgrades!$T$6="First Photons",POWER(Upgrades!$U$6,E37),1)*IF(Upgrades!$T$7="First Photons",POWER(Upgrades!$U$7,F37),1)*IF(Upgrades!$T$8="First Photons",POWER(Upgrades!$U$8,G37),1)*IF(Upgrades!$T$9="First Photons",POWER(Upgrades!$U$9,H37),1)*IF(Upgrades!$T$10="First Photons",POWER(Upgrades!$U$10,I37),1)*IF(Upgrades!$T$11="First Photons",POWER(Upgrades!$U$11,J37),1)))*POWER(Upgrades!$Q$6,E37)*POWER(Upgrades!$Q$7,F37)*POWER(Upgrades!$Q$8,G37)*POWER(Upgrades!$Q$9,H37)*POWER(Upgrades!$Q$10,I37)*POWER(Upgrades!$Q$11,J37)*POWER(Upgrades!$Q$12,K37)</f>
        <v>4.15</v>
      </c>
      <c r="N37" s="28" t="n">
        <f aca="false">((IF(E37=0,0,(Upgrades!$G$6+E37*Upgrades!$H$6)*POWER(Upgrades!$I$6,E37)))*(IF(Upgrades!$T$7="Solar Wind",POWER(Upgrades!$U$7,F37),1)*IF(Upgrades!$T$8="Solar Wind",POWER(Upgrades!$U$8,G37),1)*IF(Upgrades!$T$9="Solar Wind",POWER(Upgrades!$U$9,H37),1)*IF(Upgrades!$T$10="Solar Wind",POWER(Upgrades!$U$10,I37),1)*IF(Upgrades!$T$11="Solar Wind",POWER(Upgrades!$U$11,J37),1)*IF(Upgrades!$T$12="Solar Wind",POWER(Upgrades!$U$12,K37),1))+(IF(F37=0,0,(Upgrades!$G$7+F37*Upgrades!$H$7)*POWER(Upgrades!$I$7,F37)))*(IF(Upgrades!$T$6="Asteroid Belt",POWER(Upgrades!$U$6,E37),1)*IF(Upgrades!$T$8="Asteroid Belt",POWER(Upgrades!$U$8,G37),1)*IF(Upgrades!$T$9="Asteroid Belt",POWER(Upgrades!$U$9,H37),1)*IF(Upgrades!$T$10="Asteroid Belt",POWER(Upgrades!$U$10,I37),1)*IF(Upgrades!$T$11="Asteroid Belt",POWER(Upgrades!$U$11,J37),1)*IF(Upgrades!$T$12="Asteroid Belt",POWER(Upgrades!$U$12,K37),1))+(IF(G37=0,0,(Upgrades!$G$8+G37*Upgrades!$H$8)*POWER(Upgrades!$I$8,G37)))*(IF(Upgrades!$T$6="Stellar Coupling",POWER(Upgrades!$U$6,E37),1)*IF(Upgrades!$T$7="Stellar Coupling",POWER(Upgrades!$U$7,F37),1)*IF(Upgrades!$T$9="Stellar Coupling",POWER(Upgrades!$U$9,H37),1)*IF(Upgrades!$T$10="Stellar Coupling",POWER(Upgrades!$U$10,I37),1)*IF(Upgrades!$T$11="Stellar Coupling",POWER(Upgrades!$U$11,J37),1)*IF(Upgrades!$T$12="Stellar Coupling",POWER(Upgrades!$U$12,K37),1))+(IF(H37=0,0,(Upgrades!$G$9+H37*Upgrades!$H$9)*POWER(Upgrades!$I$9,H37)))*(IF(Upgrades!$T$6="Magnetosphere",POWER(Upgrades!$U$6,E37),1)*IF(Upgrades!$T$7="Magnetosphere",POWER(Upgrades!$U$7,F37),1)*IF(Upgrades!$T$8="Magnetosphere",POWER(Upgrades!$U$8,G37),1)*IF(Upgrades!$T$10="Magnetosphere",POWER(Upgrades!$U$10,I37),1)*IF(Upgrades!$T$11="Magnetosphere",POWER(Upgrades!$U$11,J37),1)*IF(Upgrades!$T$12="Magnetosphere",POWER(Upgrades!$U$12,K37),1))+(IF(I37=0,0,(Upgrades!$G$10+I37*Upgrades!$H$10)*POWER(Upgrades!$I$10,I37)))*(IF(Upgrades!$T$6="Orbital Resonance",POWER(Upgrades!$U$6,E37),1)*IF(Upgrades!$T$7="Orbital Resonance",POWER(Upgrades!$U$7,F37),1)*IF(Upgrades!$T$8="Orbital Resonance",POWER(Upgrades!$U$8,G37),1)*IF(Upgrades!$T$9="Orbital Resonance",POWER(Upgrades!$U$9,H37),1)*IF(Upgrades!$T$11="Orbital Resonance",POWER(Upgrades!$U$11,J37),1)*IF(Upgrades!$T$12="Orbital Resonance",POWER(Upgrades!$U$12,K37),1))+(IF(J37=0,0,(Upgrades!$G$11+J37*Upgrades!$H$11)*POWER(Upgrades!$I$11,J37)))*(IF(Upgrades!$T$6="Heliopause",POWER(Upgrades!$U$6,E37),1)*IF(Upgrades!$T$7="Heliopause",POWER(Upgrades!$U$7,F37),1)*IF(Upgrades!$T$8="Heliopause",POWER(Upgrades!$U$8,G37),1)*IF(Upgrades!$T$9="Heliopause",POWER(Upgrades!$U$9,H37),1)*IF(Upgrades!$T$10="Heliopause",POWER(Upgrades!$U$10,I37),1)*IF(Upgrades!$T$12="Heliopause",POWER(Upgrades!$U$12,K37),1))+(IF(K37=0,0,(Upgrades!$G$12+K37*Upgrades!$H$12)*POWER(Upgrades!$I$12,K37)))*(IF(Upgrades!$T$6="First Photons",POWER(Upgrades!$U$6,E37),1)*IF(Upgrades!$T$7="First Photons",POWER(Upgrades!$U$7,F37),1)*IF(Upgrades!$T$8="First Photons",POWER(Upgrades!$U$8,G37),1)*IF(Upgrades!$T$9="First Photons",POWER(Upgrades!$U$9,H37),1)*IF(Upgrades!$T$10="First Photons",POWER(Upgrades!$U$10,I37),1)*IF(Upgrades!$T$11="First Photons",POWER(Upgrades!$U$11,J37),1)))*POWER(Upgrades!$P$6,E37)*POWER(Upgrades!$P$7,F37)*POWER(Upgrades!$P$8,G37)*POWER(Upgrades!$P$9,H37)*POWER(Upgrades!$P$10,I37)*POWER(Upgrades!$P$11,J37)*POWER(Upgrades!$P$12,K37)</f>
        <v>5.75</v>
      </c>
      <c r="O37" s="28" t="n">
        <f aca="false">((IF(E37=0,0,(Upgrades!$M$6+E37*Upgrades!$N$6)*POWER(Upgrades!$O$6,E37)))*(IF(Upgrades!$T$7="Solar Wind",POWER(Upgrades!$U$7,F37),1)*IF(Upgrades!$T$8="Solar Wind",POWER(Upgrades!$U$8,G37),1)*IF(Upgrades!$T$9="Solar Wind",POWER(Upgrades!$U$9,H37),1)*IF(Upgrades!$T$10="Solar Wind",POWER(Upgrades!$U$10,I37),1)*IF(Upgrades!$T$11="Solar Wind",POWER(Upgrades!$U$11,J37),1)*IF(Upgrades!$T$12="Solar Wind",POWER(Upgrades!$U$12,K37),1))+(IF(F37=0,0,(Upgrades!$M$7+F37*Upgrades!$N$7)*POWER(Upgrades!$O$7,F37)))*(IF(Upgrades!$T$6="Asteroid Belt",POWER(Upgrades!$U$6,E37),1)*IF(Upgrades!$T$8="Asteroid Belt",POWER(Upgrades!$U$8,G37),1)*IF(Upgrades!$T$9="Asteroid Belt",POWER(Upgrades!$U$9,H37),1)*IF(Upgrades!$T$10="Asteroid Belt",POWER(Upgrades!$U$10,I37),1)*IF(Upgrades!$T$11="Asteroid Belt",POWER(Upgrades!$U$11,J37),1)*IF(Upgrades!$T$12="Asteroid Belt",POWER(Upgrades!$U$12,K37),1))+(IF(G37=0,0,(Upgrades!$M$8+G37*Upgrades!$N$8)*POWER(Upgrades!$O$8,G37)))*(IF(Upgrades!$T$6="Stellar Coupling",POWER(Upgrades!$U$6,E37),1)*IF(Upgrades!$T$7="Stellar Coupling",POWER(Upgrades!$U$7,F37),1)*IF(Upgrades!$T$9="Stellar Coupling",POWER(Upgrades!$U$9,H37),1)*IF(Upgrades!$T$10="Stellar Coupling",POWER(Upgrades!$U$10,I37),1)*IF(Upgrades!$T$11="Stellar Coupling",POWER(Upgrades!$U$11,J37),1)*IF(Upgrades!$T$12="Stellar Coupling",POWER(Upgrades!$U$12,K37),1))+(IF(H37=0,0,(Upgrades!$M$9+H37*Upgrades!$N$9)*POWER(Upgrades!$O$9,H37)))*(IF(Upgrades!$T$6="Magnetosphere",POWER(Upgrades!$U$6,E37),1)*IF(Upgrades!$T$7="Magnetosphere",POWER(Upgrades!$U$7,F37),1)*IF(Upgrades!$T$8="Magnetosphere",POWER(Upgrades!$U$8,G37),1)*IF(Upgrades!$T$10="Magnetosphere",POWER(Upgrades!$U$10,I37),1)*IF(Upgrades!$T$11="Magnetosphere",POWER(Upgrades!$U$11,J37),1)*IF(Upgrades!$T$12="Magnetosphere",POWER(Upgrades!$U$12,K37),1))+(IF(I37=0,0,(Upgrades!$M$10+I37*Upgrades!$N$10)*POWER(Upgrades!$O$10,I37)))*(IF(Upgrades!$T$6="Orbital Resonance",POWER(Upgrades!$U$6,E37),1)*IF(Upgrades!$T$7="Orbital Resonance",POWER(Upgrades!$U$7,F37),1)*IF(Upgrades!$T$8="Orbital Resonance",POWER(Upgrades!$U$8,G37),1)*IF(Upgrades!$T$9="Orbital Resonance",POWER(Upgrades!$U$9,H37),1)*IF(Upgrades!$T$11="Orbital Resonance",POWER(Upgrades!$U$11,J37),1)*IF(Upgrades!$T$12="Orbital Resonance",POWER(Upgrades!$U$12,K37),1))+(IF(J37=0,0,(Upgrades!$M$11+J37*Upgrades!$N$11)*POWER(Upgrades!$O$11,J37)))*(IF(Upgrades!$T$6="Heliopause",POWER(Upgrades!$U$6,E37),1)*IF(Upgrades!$T$7="Heliopause",POWER(Upgrades!$U$7,F37),1)*IF(Upgrades!$T$8="Heliopause",POWER(Upgrades!$U$8,G37),1)*IF(Upgrades!$T$9="Heliopause",POWER(Upgrades!$U$9,H37),1)*IF(Upgrades!$T$10="Heliopause",POWER(Upgrades!$U$10,I37),1)*IF(Upgrades!$T$12="Heliopause",POWER(Upgrades!$U$12,K37),1))+(IF(K37=0,0,(Upgrades!$M$12+K37*Upgrades!$N$12)*POWER(Upgrades!$O$12,K37)))*(IF(Upgrades!$T$6="First Photons",POWER(Upgrades!$U$6,E37),1)*IF(Upgrades!$T$7="First Photons",POWER(Upgrades!$U$7,F37),1)*IF(Upgrades!$T$8="First Photons",POWER(Upgrades!$U$8,G37),1)*IF(Upgrades!$T$9="First Photons",POWER(Upgrades!$U$9,H37),1)*IF(Upgrades!$T$10="First Photons",POWER(Upgrades!$U$10,I37),1)*IF(Upgrades!$T$11="First Photons",POWER(Upgrades!$U$11,J37),1)))*POWER(Upgrades!$R$6,E37)*POWER(Upgrades!$R$7,F37)*POWER(Upgrades!$R$8,G37)*POWER(Upgrades!$R$9,H37)*POWER(Upgrades!$R$10,I37)*POWER(Upgrades!$R$11,J37)*POWER(Upgrades!$R$12,K37)</f>
        <v>0</v>
      </c>
      <c r="P37" s="27" t="n">
        <f aca="false">IF(L37=1,0,M37*Parameters!$B$10/60*Parameters!$B$11*10)</f>
        <v>69.1666666666667</v>
      </c>
      <c r="Q37" s="27" t="n">
        <f aca="false">IF(L37=1,0,O37*M37*10)</f>
        <v>0</v>
      </c>
      <c r="R37" s="27" t="n">
        <f aca="false">IF(L37=1,0,N37*10)</f>
        <v>57.5</v>
      </c>
      <c r="S37" s="27" t="n">
        <f aca="false">P37+Q37+R37</f>
        <v>126.666666666667</v>
      </c>
      <c r="T37" s="21" t="n">
        <f aca="false">C37+S37</f>
        <v>332.899320077641</v>
      </c>
      <c r="U37" s="34" t="str">
        <f aca="false">AX37</f>
        <v>Mag</v>
      </c>
      <c r="V37" s="21" t="n">
        <f aca="false">IF(U37="",0,IF(U37="transition",0,IF(U37="SW",AG37,IF(U37="AB",AH37,IF(U37="SC",AI37,IF(U37="Mag",AJ37,IF(U37="OR",AK37,IF(U37="HP",AL37,IF(U37="FP",AM37,0)))))))))</f>
        <v>320</v>
      </c>
      <c r="W37" s="27" t="n">
        <f aca="false">IF(U37="OR",Upgrades!$F$10,IF(U37="HP",Upgrades!$F$11,IF(U37="transition",-Parameters!$B$18,0)))</f>
        <v>0</v>
      </c>
      <c r="X37" s="21" t="n">
        <f aca="false">T37-V37</f>
        <v>12.8993200776414</v>
      </c>
      <c r="Y37" s="30" t="n">
        <f aca="false">M37*Parameters!$B$10/60*Parameters!$B$11+O37*M37+N37</f>
        <v>12.6666666666667</v>
      </c>
      <c r="Z37" s="35" t="str">
        <f aca="false">IF(U37="transition","→ Tier 2 (Stellar Neighborhood)",IF(U37="FP","First Photons — light begins, system quickens",IF(U37="HP","Heliopause acquired",IF(U37="OR","Orbital Resonance — passive multiplier active",IF(AND(AO37=1,L37=0,AN37&lt;&gt;1),"Cohesion ready (waiting on completionist upgrades)","")))))</f>
        <v>Cohesion ready (waiting on completionist upgrades)</v>
      </c>
      <c r="AA37" s="27" t="n">
        <f aca="false">(IF(E37=0,0,(Upgrades!$G$6+E37*Upgrades!$H$6)*POWER(Upgrades!$I$6,E37)))*(IF(Upgrades!$T$7="Solar Wind",POWER(Upgrades!$U$7,F37),1)*IF(Upgrades!$T$8="Solar Wind",POWER(Upgrades!$U$8,G37),1)*IF(Upgrades!$T$9="Solar Wind",POWER(Upgrades!$U$9,H37),1)*IF(Upgrades!$T$10="Solar Wind",POWER(Upgrades!$U$10,I37),1)*IF(Upgrades!$T$11="Solar Wind",POWER(Upgrades!$U$11,J37),1)*IF(Upgrades!$T$12="Solar Wind",POWER(Upgrades!$U$12,K37),1))*POWER(Upgrades!$P$6,E37)*POWER(Upgrades!$P$7,F37)*POWER(Upgrades!$P$8,G37)*POWER(Upgrades!$P$9,H37)*POWER(Upgrades!$P$10,I37)*POWER(Upgrades!$P$11,J37)*POWER(Upgrades!$P$12,K37)*60</f>
        <v>60</v>
      </c>
      <c r="AB37" s="27" t="n">
        <f aca="false">(IF(F37=0,0,(Upgrades!$G$7+F37*Upgrades!$H$7)*POWER(Upgrades!$I$7,F37)))*(IF(Upgrades!$T$6="Asteroid Belt",POWER(Upgrades!$U$6,E37),1)*IF(Upgrades!$T$8="Asteroid Belt",POWER(Upgrades!$U$8,G37),1)*IF(Upgrades!$T$9="Asteroid Belt",POWER(Upgrades!$U$9,H37),1)*IF(Upgrades!$T$10="Asteroid Belt",POWER(Upgrades!$U$10,I37),1)*IF(Upgrades!$T$11="Asteroid Belt",POWER(Upgrades!$U$11,J37),1)*IF(Upgrades!$T$12="Asteroid Belt",POWER(Upgrades!$U$12,K37),1))*POWER(Upgrades!$P$6,E37)*POWER(Upgrades!$P$7,F37)*POWER(Upgrades!$P$8,G37)*POWER(Upgrades!$P$9,H37)*POWER(Upgrades!$P$10,I37)*POWER(Upgrades!$P$11,J37)*POWER(Upgrades!$P$12,K37)*60</f>
        <v>135</v>
      </c>
      <c r="AC37" s="27" t="n">
        <f aca="false">(IF(G37=0,0,(Upgrades!$J$8+G37*Upgrades!$K$8)*POWER(Upgrades!$L$8,G37)))*(IF(Upgrades!$T$6="Stellar Coupling",POWER(Upgrades!$U$6,E37),1)*IF(Upgrades!$T$7="Stellar Coupling",POWER(Upgrades!$U$7,F37),1)*IF(Upgrades!$T$9="Stellar Coupling",POWER(Upgrades!$U$9,H37),1)*IF(Upgrades!$T$10="Stellar Coupling",POWER(Upgrades!$U$10,I37),1)*IF(Upgrades!$T$11="Stellar Coupling",POWER(Upgrades!$U$11,J37),1)*IF(Upgrades!$T$12="Stellar Coupling",POWER(Upgrades!$U$12,K37),1))*POWER(Upgrades!$Q$6,E37)*POWER(Upgrades!$Q$7,F37)*POWER(Upgrades!$Q$8,G37)*POWER(Upgrades!$Q$9,H37)*POWER(Upgrades!$Q$10,I37)*POWER(Upgrades!$Q$11,J37)*POWER(Upgrades!$Q$12,K37)*Parameters!$B$10*Parameters!$B$11</f>
        <v>315</v>
      </c>
      <c r="AD37" s="27" t="n">
        <f aca="false">(IF(H37=0,0,(Upgrades!$G$9+H37*Upgrades!$H$9)*POWER(Upgrades!$I$9,H37)))*(IF(Upgrades!$T$6="Magnetosphere",POWER(Upgrades!$U$6,E37),1)*IF(Upgrades!$T$7="Magnetosphere",POWER(Upgrades!$U$7,F37),1)*IF(Upgrades!$T$8="Magnetosphere",POWER(Upgrades!$U$8,G37),1)*IF(Upgrades!$T$10="Magnetosphere",POWER(Upgrades!$U$10,I37),1)*IF(Upgrades!$T$11="Magnetosphere",POWER(Upgrades!$U$11,J37),1)*IF(Upgrades!$T$12="Magnetosphere",POWER(Upgrades!$U$12,K37),1))*POWER(Upgrades!$P$6,E37)*POWER(Upgrades!$P$7,F37)*POWER(Upgrades!$P$8,G37)*POWER(Upgrades!$P$9,H37)*POWER(Upgrades!$P$10,I37)*POWER(Upgrades!$P$11,J37)*POWER(Upgrades!$P$12,K37)*60</f>
        <v>150</v>
      </c>
      <c r="AE37" s="27" t="n">
        <f aca="false">(IF(K37=0,0,(Upgrades!$G$12+K37*Upgrades!$H$12)*POWER(Upgrades!$I$12,K37)))*(IF(Upgrades!$T$6="First Photons",POWER(Upgrades!$U$6,E37),1)*IF(Upgrades!$T$7="First Photons",POWER(Upgrades!$U$7,F37),1)*IF(Upgrades!$T$8="First Photons",POWER(Upgrades!$U$8,G37),1)*IF(Upgrades!$T$9="First Photons",POWER(Upgrades!$U$9,H37),1)*IF(Upgrades!$T$10="First Photons",POWER(Upgrades!$U$10,I37),1)*IF(Upgrades!$T$11="First Photons",POWER(Upgrades!$U$11,J37),1))*POWER(Upgrades!$P$6,E37)*POWER(Upgrades!$P$7,F37)*POWER(Upgrades!$P$8,G37)*POWER(Upgrades!$P$9,H37)*POWER(Upgrades!$P$10,I37)*POWER(Upgrades!$P$11,J37)*POWER(Upgrades!$P$12,K37)*60</f>
        <v>0</v>
      </c>
      <c r="AF37" s="27" t="n">
        <f aca="false">Parameters!$B$9*POWER(Upgrades!$Q$6,E37)*POWER(Upgrades!$Q$7,F37)*POWER(Upgrades!$Q$8,G37)*POWER(Upgrades!$Q$9,H37)*POWER(Upgrades!$Q$10,I37)*POWER(Upgrades!$Q$11,J37)*POWER(Upgrades!$Q$12,K37)*(Parameters!$B$10*Parameters!$B$11+O37*60)</f>
        <v>100</v>
      </c>
      <c r="AG37" s="21" t="n">
        <f aca="false">IF(E37&gt;=Upgrades!$E$6,"",Upgrades!$C$6*POWER(Upgrades!$D$6,E37))</f>
        <v>28.3189041499553</v>
      </c>
      <c r="AH37" s="21" t="n">
        <f aca="false">IF(F37&gt;=Upgrades!$E$7,"",Upgrades!$C$7*POWER(Upgrades!$D$7,F37))</f>
        <v>70.3575258383984</v>
      </c>
      <c r="AI37" s="21" t="n">
        <f aca="false">IF(G37&gt;=Upgrades!$E$8,"",Upgrades!$C$8*POWER(Upgrades!$D$8,G37))</f>
        <v>165.649792</v>
      </c>
      <c r="AJ37" s="21" t="n">
        <f aca="false">IF(H37&gt;=Upgrades!$E$9,"",Upgrades!$C$9*POWER(Upgrades!$D$9,H37))</f>
        <v>320</v>
      </c>
      <c r="AK37" s="21" t="str">
        <f aca="false">IF(I37&gt;=Upgrades!$E$10,"",Upgrades!$C$10*POWER(Upgrades!$D$10,I37))</f>
        <v/>
      </c>
      <c r="AL37" s="21" t="str">
        <f aca="false">IF(J37&gt;=Upgrades!$E$11,"",Upgrades!$C$11*POWER(Upgrades!$D$11,J37))</f>
        <v/>
      </c>
      <c r="AM37" s="21" t="n">
        <f aca="false">IF(K37&gt;=Upgrades!$E$12,"",Upgrades!$C$12*POWER(Upgrades!$D$12,K37))</f>
        <v>850</v>
      </c>
      <c r="AN37" s="26" t="str">
        <f aca="false">IF(AND(D37&gt;=Parameters!$B$18,(H37&gt;=Upgrades!$E$9)*(K37&gt;=Upgrades!$E$12)=1,L37=0),1,"")</f>
        <v/>
      </c>
      <c r="AO37" s="26" t="n">
        <f aca="false">IF(AND(D37&gt;=Parameters!$B$18,L37=0),1,"")</f>
        <v>1</v>
      </c>
      <c r="AP37" s="21" t="n">
        <f aca="false">MIN(IF(ISNUMBER(AK37),AK37,9000000000000000),IF(ISNUMBER(AL37),AL37,9000000000000000),IF(ISNUMBER(AM37),AM37,9000000000000000))</f>
        <v>850</v>
      </c>
      <c r="AQ37" s="21" t="n">
        <f aca="false">MIN(IF(ISNUMBER(AG37),AG37,9000000000000000),IF(ISNUMBER(AH37),AH37,9000000000000000),IF(ISNUMBER(AI37),AI37,9000000000000000),IF(ISNUMBER(AJ37),AJ37,9000000000000000))</f>
        <v>28.3189041499553</v>
      </c>
      <c r="AR37" s="32" t="b">
        <f aca="false">IF(AW37&gt;Parameters!$B$21*(MAX(IF(AND(NOT(AND(AO37=1,AN37&lt;&gt;1)),ISNUMBER(AG37),AG37&lt;=T37),AS37,0),IF(AND(NOT(AND(AO37=1,AN37&lt;&gt;1)),ISNUMBER(AH37),AH37&lt;=T37),AT37,0),IF(AND(NOT(AND(AO37=1,AN37&lt;&gt;1)),ISNUMBER(AI37),AI37&lt;=T37),AU37,0),IF(AND(ISNUMBER(AJ37),AJ37&lt;=T37),AV37,0))),TRUE(),FALSE())</f>
        <v>0</v>
      </c>
      <c r="AS37" s="33" t="n">
        <f aca="false">IFERROR(Upgrades!$H$6*(POWER(Upgrades!$P$6,E37)*POWER(Upgrades!$P$7,F37)*POWER(Upgrades!$P$8,G37)*POWER(Upgrades!$P$9,H37)*POWER(Upgrades!$P$10,I37)*POWER(Upgrades!$P$11,J37)*POWER(Upgrades!$P$12,K37))*(IF(Upgrades!$T$7="Solar Wind",POWER(Upgrades!$U$7,F37),1)*IF(Upgrades!$T$8="Solar Wind",POWER(Upgrades!$U$8,G37),1)*IF(Upgrades!$T$9="Solar Wind",POWER(Upgrades!$U$9,H37),1)*IF(Upgrades!$T$10="Solar Wind",POWER(Upgrades!$U$10,I37),1)*IF(Upgrades!$T$11="Solar Wind",POWER(Upgrades!$U$11,J37),1)*IF(Upgrades!$T$12="Solar Wind",POWER(Upgrades!$U$12,K37),1))/AG37,0)</f>
        <v>0.00353121008745523</v>
      </c>
      <c r="AT37" s="33" t="n">
        <f aca="false">IFERROR(Upgrades!$H$7*(POWER(Upgrades!$P$6,E37)*POWER(Upgrades!$P$7,F37)*POWER(Upgrades!$P$8,G37)*POWER(Upgrades!$P$9,H37)*POWER(Upgrades!$P$10,I37)*POWER(Upgrades!$P$11,J37)*POWER(Upgrades!$P$12,K37))*(IF(Upgrades!$T$6="Asteroid Belt",POWER(Upgrades!$U$6,E37),1)*IF(Upgrades!$T$8="Asteroid Belt",POWER(Upgrades!$U$8,G37),1)*IF(Upgrades!$T$9="Asteroid Belt",POWER(Upgrades!$U$9,H37),1)*IF(Upgrades!$T$10="Asteroid Belt",POWER(Upgrades!$U$10,I37),1)*IF(Upgrades!$T$11="Asteroid Belt",POWER(Upgrades!$U$11,J37),1)*IF(Upgrades!$T$12="Asteroid Belt",POWER(Upgrades!$U$12,K37),1))/AH37,0)</f>
        <v>0.00355328015050182</v>
      </c>
      <c r="AU37" s="33" t="n">
        <f aca="false">IFERROR(Upgrades!$K$8*(POWER(Upgrades!$Q$6,E37)*POWER(Upgrades!$Q$7,F37)*POWER(Upgrades!$Q$8,G37)*POWER(Upgrades!$Q$9,H37)*POWER(Upgrades!$Q$10,I37)*POWER(Upgrades!$Q$11,J37)*POWER(Upgrades!$Q$12,K37))*(IF(Upgrades!$T$6="Stellar Coupling",POWER(Upgrades!$U$6,E37),1)*IF(Upgrades!$T$7="Stellar Coupling",POWER(Upgrades!$U$7,F37),1)*IF(Upgrades!$T$9="Stellar Coupling",POWER(Upgrades!$U$9,H37),1)*IF(Upgrades!$T$10="Stellar Coupling",POWER(Upgrades!$U$10,I37),1)*IF(Upgrades!$T$11="Stellar Coupling",POWER(Upgrades!$U$11,J37),1)*IF(Upgrades!$T$12="Stellar Coupling",POWER(Upgrades!$U$12,K37),1))*Parameters!$B$10*Parameters!$B$11/60/AI37,0)</f>
        <v>0.00528222818414405</v>
      </c>
      <c r="AV37" s="33" t="n">
        <f aca="false">IFERROR(Upgrades!$H$9*(POWER(Upgrades!$P$6,E37)*POWER(Upgrades!$P$7,F37)*POWER(Upgrades!$P$8,G37)*POWER(Upgrades!$P$9,H37)*POWER(Upgrades!$P$10,I37)*POWER(Upgrades!$P$11,J37)*POWER(Upgrades!$P$12,K37))*(IF(Upgrades!$T$6="Magnetosphere",POWER(Upgrades!$U$6,E37),1)*IF(Upgrades!$T$7="Magnetosphere",POWER(Upgrades!$U$7,F37),1)*IF(Upgrades!$T$8="Magnetosphere",POWER(Upgrades!$U$8,G37),1)*IF(Upgrades!$T$10="Magnetosphere",POWER(Upgrades!$U$10,I37),1)*IF(Upgrades!$T$11="Magnetosphere",POWER(Upgrades!$U$11,J37),1)*IF(Upgrades!$T$12="Magnetosphere",POWER(Upgrades!$U$12,K37),1))/AJ37,0)</f>
        <v>0.00390625</v>
      </c>
      <c r="AW37" s="33" t="n">
        <f aca="false">MAX(IF(I37&gt;0,0,IFERROR(0.25*N37/Upgrades!$C$10,0)),IF(J37&gt;0,0,IFERROR(0.5*((IF(G37=0,0,(Upgrades!$J$8+G37*Upgrades!$K$8)*POWER(Upgrades!$L$8,G37)))*(IF(Upgrades!$T$6="Stellar Coupling",POWER(Upgrades!$U$6,E37),1)*IF(Upgrades!$T$7="Stellar Coupling",POWER(Upgrades!$U$7,F37),1)*IF(Upgrades!$T$9="Stellar Coupling",POWER(Upgrades!$U$9,H37),1)*IF(Upgrades!$T$10="Stellar Coupling",POWER(Upgrades!$U$10,I37),1)*IF(Upgrades!$T$11="Stellar Coupling",POWER(Upgrades!$U$11,J37),1)*IF(Upgrades!$T$12="Stellar Coupling",POWER(Upgrades!$U$12,K37),1))*(POWER(Upgrades!$Q$6,E37)*POWER(Upgrades!$Q$7,F37)*POWER(Upgrades!$Q$8,G37)*POWER(Upgrades!$Q$9,H37)*POWER(Upgrades!$Q$10,I37)*POWER(Upgrades!$Q$11,J37)*POWER(Upgrades!$Q$12,K37))*Parameters!$B$10*Parameters!$B$11/60)/Upgrades!$C$11,0)),IF(K37&gt;0,0,IFERROR((1*(POWER(Upgrades!$P$6,E37)*POWER(Upgrades!$P$7,F37)*POWER(Upgrades!$P$8,G37)*POWER(Upgrades!$P$9,H37)*POWER(Upgrades!$P$10,I37)*POWER(Upgrades!$P$11,J37)*POWER(Upgrades!$P$12,K37))+0.2*M37*Parameters!$B$10*Parameters!$B$11/60)/Upgrades!$C$12,0)),IF(AND(ISNUMBER(AG37),AG37&gt;T37),AS37,0),IF(AND(ISNUMBER(AH37),AH37&gt;T37),AT37,0),IF(AND(ISNUMBER(AI37),AI37&gt;T37),AU37,0),IF(AND(ISNUMBER(AJ37),AJ37&gt;T37),AV37,0))</f>
        <v>0.00309803921568627</v>
      </c>
      <c r="AX37" s="29" t="str">
        <f aca="false">IF(AN37=1,"transition",IF(MIN(IF(AND(I37=0,ISNUMBER(AK37),AK37&lt;=T37),AK37,9000000000000000),IF(AND(J37=0,ISNUMBER(AL37),AL37&lt;=T37),AL37,9000000000000000),IF(AND(K37=0,ISNUMBER(AM37),AM37&lt;=T37),AM37,9000000000000000))&lt;9000000000000000,IF(AND(AND(I37=0,ISNUMBER(AK37),AK37&lt;=T37),AK37=MIN(IF(AND(I37=0,ISNUMBER(AK37),AK37&lt;=T37),AK37,9000000000000000),IF(AND(J37=0,ISNUMBER(AL37),AL37&lt;=T37),AL37,9000000000000000),IF(AND(K37=0,ISNUMBER(AM37),AM37&lt;=T37),AM37,9000000000000000))),"OR",IF(AND(AND(J37=0,ISNUMBER(AL37),AL37&lt;=T37),AL37=MIN(IF(AND(I37=0,ISNUMBER(AK37),AK37&lt;=T37),AK37,9000000000000000),IF(AND(J37=0,ISNUMBER(AL37),AL37&lt;=T37),AL37,9000000000000000),IF(AND(K37=0,ISNUMBER(AM37),AM37&lt;=T37),AM37,9000000000000000))),"HP","FP")),IF(AR37=TRUE(),"",IF(MAX(IF(AND(NOT(AND(AO37=1,AN37&lt;&gt;1)),ISNUMBER(AG37),AG37&lt;=T37),AS37,0),IF(AND(NOT(AND(AO37=1,AN37&lt;&gt;1)),ISNUMBER(AH37),AH37&lt;=T37),AT37,0),IF(AND(NOT(AND(AO37=1,AN37&lt;&gt;1)),ISNUMBER(AI37),AI37&lt;=T37),AU37,0),IF(AND(ISNUMBER(AJ37),AJ37&lt;=T37),AV37,0))&lt;=0,"",IF(AND(IF(AND(NOT(AND(AO37=1,AN37&lt;&gt;1)),ISNUMBER(AG37),AG37&lt;=T37),AS37,0)&gt;0,IF(AND(NOT(AND(AO37=1,AN37&lt;&gt;1)),ISNUMBER(AG37),AG37&lt;=T37),AS37,0)=MAX(IF(AND(NOT(AND(AO37=1,AN37&lt;&gt;1)),ISNUMBER(AG37),AG37&lt;=T37),AS37,0),IF(AND(NOT(AND(AO37=1,AN37&lt;&gt;1)),ISNUMBER(AH37),AH37&lt;=T37),AT37,0),IF(AND(NOT(AND(AO37=1,AN37&lt;&gt;1)),ISNUMBER(AI37),AI37&lt;=T37),AU37,0),IF(AND(ISNUMBER(AJ37),AJ37&lt;=T37),AV37,0))),"SW",IF(AND(IF(AND(NOT(AND(AO37=1,AN37&lt;&gt;1)),ISNUMBER(AH37),AH37&lt;=T37),AT37,0)&gt;0,IF(AND(NOT(AND(AO37=1,AN37&lt;&gt;1)),ISNUMBER(AH37),AH37&lt;=T37),AT37,0)=MAX(IF(AND(NOT(AND(AO37=1,AN37&lt;&gt;1)),ISNUMBER(AG37),AG37&lt;=T37),AS37,0),IF(AND(NOT(AND(AO37=1,AN37&lt;&gt;1)),ISNUMBER(AH37),AH37&lt;=T37),AT37,0),IF(AND(NOT(AND(AO37=1,AN37&lt;&gt;1)),ISNUMBER(AI37),AI37&lt;=T37),AU37,0),IF(AND(ISNUMBER(AJ37),AJ37&lt;=T37),AV37,0))),"AB",IF(AND(IF(AND(NOT(AND(AO37=1,AN37&lt;&gt;1)),ISNUMBER(AI37),AI37&lt;=T37),AU37,0)&gt;0,IF(AND(NOT(AND(AO37=1,AN37&lt;&gt;1)),ISNUMBER(AI37),AI37&lt;=T37),AU37,0)=MAX(IF(AND(NOT(AND(AO37=1,AN37&lt;&gt;1)),ISNUMBER(AG37),AG37&lt;=T37),AS37,0),IF(AND(NOT(AND(AO37=1,AN37&lt;&gt;1)),ISNUMBER(AH37),AH37&lt;=T37),AT37,0),IF(AND(NOT(AND(AO37=1,AN37&lt;&gt;1)),ISNUMBER(AI37),AI37&lt;=T37),AU37,0),IF(AND(ISNUMBER(AJ37),AJ37&lt;=T37),AV37,0))),"SC","Mag")))))))</f>
        <v>Mag</v>
      </c>
    </row>
    <row r="38" customFormat="false" ht="15" hidden="false" customHeight="false" outlineLevel="0" collapsed="false">
      <c r="A38" s="26" t="n">
        <v>33</v>
      </c>
      <c r="B38" s="27" t="n">
        <f aca="false">A38*10/60</f>
        <v>5.5</v>
      </c>
      <c r="C38" s="21" t="n">
        <f aca="false">X37</f>
        <v>12.8993200776414</v>
      </c>
      <c r="D38" s="27" t="n">
        <f aca="false">D37+W37</f>
        <v>1</v>
      </c>
      <c r="E38" s="26" t="n">
        <f aca="false">E37+IF(U37="SW",1,0)</f>
        <v>10</v>
      </c>
      <c r="F38" s="26" t="n">
        <f aca="false">F37+IF(U37="AB",1,0)</f>
        <v>9</v>
      </c>
      <c r="G38" s="26" t="n">
        <f aca="false">G37+IF(U37="SC",1,0)</f>
        <v>6</v>
      </c>
      <c r="H38" s="26" t="n">
        <f aca="false">H37+IF(U37="Mag",1,0)</f>
        <v>3</v>
      </c>
      <c r="I38" s="26" t="n">
        <f aca="false">MAX(I37,IF(U37="OR",1,0))</f>
        <v>1</v>
      </c>
      <c r="J38" s="26" t="n">
        <f aca="false">MAX(J37,IF(U37="HP",1,0))</f>
        <v>1</v>
      </c>
      <c r="K38" s="26" t="n">
        <f aca="false">MAX(K37,IF(U37="FP",1,0))</f>
        <v>0</v>
      </c>
      <c r="L38" s="26" t="n">
        <f aca="false">MAX(L37,IF(U37="transition",1,0))</f>
        <v>0</v>
      </c>
      <c r="M38" s="28" t="n">
        <f aca="false">(Parameters!$B$9+(IF(E38=0,0,(Upgrades!$J$6+E38*Upgrades!$K$6)*POWER(Upgrades!$L$6,E38)))*(IF(Upgrades!$T$7="Solar Wind",POWER(Upgrades!$U$7,F38),1)*IF(Upgrades!$T$8="Solar Wind",POWER(Upgrades!$U$8,G38),1)*IF(Upgrades!$T$9="Solar Wind",POWER(Upgrades!$U$9,H38),1)*IF(Upgrades!$T$10="Solar Wind",POWER(Upgrades!$U$10,I38),1)*IF(Upgrades!$T$11="Solar Wind",POWER(Upgrades!$U$11,J38),1)*IF(Upgrades!$T$12="Solar Wind",POWER(Upgrades!$U$12,K38),1))+(IF(F38=0,0,(Upgrades!$J$7+F38*Upgrades!$K$7)*POWER(Upgrades!$L$7,F38)))*(IF(Upgrades!$T$6="Asteroid Belt",POWER(Upgrades!$U$6,E38),1)*IF(Upgrades!$T$8="Asteroid Belt",POWER(Upgrades!$U$8,G38),1)*IF(Upgrades!$T$9="Asteroid Belt",POWER(Upgrades!$U$9,H38),1)*IF(Upgrades!$T$10="Asteroid Belt",POWER(Upgrades!$U$10,I38),1)*IF(Upgrades!$T$11="Asteroid Belt",POWER(Upgrades!$U$11,J38),1)*IF(Upgrades!$T$12="Asteroid Belt",POWER(Upgrades!$U$12,K38),1))+(IF(G38=0,0,(Upgrades!$J$8+G38*Upgrades!$K$8)*POWER(Upgrades!$L$8,G38)))*(IF(Upgrades!$T$6="Stellar Coupling",POWER(Upgrades!$U$6,E38),1)*IF(Upgrades!$T$7="Stellar Coupling",POWER(Upgrades!$U$7,F38),1)*IF(Upgrades!$T$9="Stellar Coupling",POWER(Upgrades!$U$9,H38),1)*IF(Upgrades!$T$10="Stellar Coupling",POWER(Upgrades!$U$10,I38),1)*IF(Upgrades!$T$11="Stellar Coupling",POWER(Upgrades!$U$11,J38),1)*IF(Upgrades!$T$12="Stellar Coupling",POWER(Upgrades!$U$12,K38),1))+(IF(H38=0,0,(Upgrades!$J$9+H38*Upgrades!$K$9)*POWER(Upgrades!$L$9,H38)))*(IF(Upgrades!$T$6="Magnetosphere",POWER(Upgrades!$U$6,E38),1)*IF(Upgrades!$T$7="Magnetosphere",POWER(Upgrades!$U$7,F38),1)*IF(Upgrades!$T$8="Magnetosphere",POWER(Upgrades!$U$8,G38),1)*IF(Upgrades!$T$10="Magnetosphere",POWER(Upgrades!$U$10,I38),1)*IF(Upgrades!$T$11="Magnetosphere",POWER(Upgrades!$U$11,J38),1)*IF(Upgrades!$T$12="Magnetosphere",POWER(Upgrades!$U$12,K38),1))+(IF(I38=0,0,(Upgrades!$J$10+I38*Upgrades!$K$10)*POWER(Upgrades!$L$10,I38)))*(IF(Upgrades!$T$6="Orbital Resonance",POWER(Upgrades!$U$6,E38),1)*IF(Upgrades!$T$7="Orbital Resonance",POWER(Upgrades!$U$7,F38),1)*IF(Upgrades!$T$8="Orbital Resonance",POWER(Upgrades!$U$8,G38),1)*IF(Upgrades!$T$9="Orbital Resonance",POWER(Upgrades!$U$9,H38),1)*IF(Upgrades!$T$11="Orbital Resonance",POWER(Upgrades!$U$11,J38),1)*IF(Upgrades!$T$12="Orbital Resonance",POWER(Upgrades!$U$12,K38),1))+(IF(J38=0,0,(Upgrades!$J$11+J38*Upgrades!$K$11)*POWER(Upgrades!$L$11,J38)))*(IF(Upgrades!$T$6="Heliopause",POWER(Upgrades!$U$6,E38),1)*IF(Upgrades!$T$7="Heliopause",POWER(Upgrades!$U$7,F38),1)*IF(Upgrades!$T$8="Heliopause",POWER(Upgrades!$U$8,G38),1)*IF(Upgrades!$T$9="Heliopause",POWER(Upgrades!$U$9,H38),1)*IF(Upgrades!$T$10="Heliopause",POWER(Upgrades!$U$10,I38),1)*IF(Upgrades!$T$12="Heliopause",POWER(Upgrades!$U$12,K38),1))+(IF(K38=0,0,(Upgrades!$J$12+K38*Upgrades!$K$12)*POWER(Upgrades!$L$12,K38)))*(IF(Upgrades!$T$6="First Photons",POWER(Upgrades!$U$6,E38),1)*IF(Upgrades!$T$7="First Photons",POWER(Upgrades!$U$7,F38),1)*IF(Upgrades!$T$8="First Photons",POWER(Upgrades!$U$8,G38),1)*IF(Upgrades!$T$9="First Photons",POWER(Upgrades!$U$9,H38),1)*IF(Upgrades!$T$10="First Photons",POWER(Upgrades!$U$10,I38),1)*IF(Upgrades!$T$11="First Photons",POWER(Upgrades!$U$11,J38),1)))*POWER(Upgrades!$Q$6,E38)*POWER(Upgrades!$Q$7,F38)*POWER(Upgrades!$Q$8,G38)*POWER(Upgrades!$Q$9,H38)*POWER(Upgrades!$Q$10,I38)*POWER(Upgrades!$Q$11,J38)*POWER(Upgrades!$Q$12,K38)</f>
        <v>4.15</v>
      </c>
      <c r="N38" s="28" t="n">
        <f aca="false">((IF(E38=0,0,(Upgrades!$G$6+E38*Upgrades!$H$6)*POWER(Upgrades!$I$6,E38)))*(IF(Upgrades!$T$7="Solar Wind",POWER(Upgrades!$U$7,F38),1)*IF(Upgrades!$T$8="Solar Wind",POWER(Upgrades!$U$8,G38),1)*IF(Upgrades!$T$9="Solar Wind",POWER(Upgrades!$U$9,H38),1)*IF(Upgrades!$T$10="Solar Wind",POWER(Upgrades!$U$10,I38),1)*IF(Upgrades!$T$11="Solar Wind",POWER(Upgrades!$U$11,J38),1)*IF(Upgrades!$T$12="Solar Wind",POWER(Upgrades!$U$12,K38),1))+(IF(F38=0,0,(Upgrades!$G$7+F38*Upgrades!$H$7)*POWER(Upgrades!$I$7,F38)))*(IF(Upgrades!$T$6="Asteroid Belt",POWER(Upgrades!$U$6,E38),1)*IF(Upgrades!$T$8="Asteroid Belt",POWER(Upgrades!$U$8,G38),1)*IF(Upgrades!$T$9="Asteroid Belt",POWER(Upgrades!$U$9,H38),1)*IF(Upgrades!$T$10="Asteroid Belt",POWER(Upgrades!$U$10,I38),1)*IF(Upgrades!$T$11="Asteroid Belt",POWER(Upgrades!$U$11,J38),1)*IF(Upgrades!$T$12="Asteroid Belt",POWER(Upgrades!$U$12,K38),1))+(IF(G38=0,0,(Upgrades!$G$8+G38*Upgrades!$H$8)*POWER(Upgrades!$I$8,G38)))*(IF(Upgrades!$T$6="Stellar Coupling",POWER(Upgrades!$U$6,E38),1)*IF(Upgrades!$T$7="Stellar Coupling",POWER(Upgrades!$U$7,F38),1)*IF(Upgrades!$T$9="Stellar Coupling",POWER(Upgrades!$U$9,H38),1)*IF(Upgrades!$T$10="Stellar Coupling",POWER(Upgrades!$U$10,I38),1)*IF(Upgrades!$T$11="Stellar Coupling",POWER(Upgrades!$U$11,J38),1)*IF(Upgrades!$T$12="Stellar Coupling",POWER(Upgrades!$U$12,K38),1))+(IF(H38=0,0,(Upgrades!$G$9+H38*Upgrades!$H$9)*POWER(Upgrades!$I$9,H38)))*(IF(Upgrades!$T$6="Magnetosphere",POWER(Upgrades!$U$6,E38),1)*IF(Upgrades!$T$7="Magnetosphere",POWER(Upgrades!$U$7,F38),1)*IF(Upgrades!$T$8="Magnetosphere",POWER(Upgrades!$U$8,G38),1)*IF(Upgrades!$T$10="Magnetosphere",POWER(Upgrades!$U$10,I38),1)*IF(Upgrades!$T$11="Magnetosphere",POWER(Upgrades!$U$11,J38),1)*IF(Upgrades!$T$12="Magnetosphere",POWER(Upgrades!$U$12,K38),1))+(IF(I38=0,0,(Upgrades!$G$10+I38*Upgrades!$H$10)*POWER(Upgrades!$I$10,I38)))*(IF(Upgrades!$T$6="Orbital Resonance",POWER(Upgrades!$U$6,E38),1)*IF(Upgrades!$T$7="Orbital Resonance",POWER(Upgrades!$U$7,F38),1)*IF(Upgrades!$T$8="Orbital Resonance",POWER(Upgrades!$U$8,G38),1)*IF(Upgrades!$T$9="Orbital Resonance",POWER(Upgrades!$U$9,H38),1)*IF(Upgrades!$T$11="Orbital Resonance",POWER(Upgrades!$U$11,J38),1)*IF(Upgrades!$T$12="Orbital Resonance",POWER(Upgrades!$U$12,K38),1))+(IF(J38=0,0,(Upgrades!$G$11+J38*Upgrades!$H$11)*POWER(Upgrades!$I$11,J38)))*(IF(Upgrades!$T$6="Heliopause",POWER(Upgrades!$U$6,E38),1)*IF(Upgrades!$T$7="Heliopause",POWER(Upgrades!$U$7,F38),1)*IF(Upgrades!$T$8="Heliopause",POWER(Upgrades!$U$8,G38),1)*IF(Upgrades!$T$9="Heliopause",POWER(Upgrades!$U$9,H38),1)*IF(Upgrades!$T$10="Heliopause",POWER(Upgrades!$U$10,I38),1)*IF(Upgrades!$T$12="Heliopause",POWER(Upgrades!$U$12,K38),1))+(IF(K38=0,0,(Upgrades!$G$12+K38*Upgrades!$H$12)*POWER(Upgrades!$I$12,K38)))*(IF(Upgrades!$T$6="First Photons",POWER(Upgrades!$U$6,E38),1)*IF(Upgrades!$T$7="First Photons",POWER(Upgrades!$U$7,F38),1)*IF(Upgrades!$T$8="First Photons",POWER(Upgrades!$U$8,G38),1)*IF(Upgrades!$T$9="First Photons",POWER(Upgrades!$U$9,H38),1)*IF(Upgrades!$T$10="First Photons",POWER(Upgrades!$U$10,I38),1)*IF(Upgrades!$T$11="First Photons",POWER(Upgrades!$U$11,J38),1)))*POWER(Upgrades!$P$6,E38)*POWER(Upgrades!$P$7,F38)*POWER(Upgrades!$P$8,G38)*POWER(Upgrades!$P$9,H38)*POWER(Upgrades!$P$10,I38)*POWER(Upgrades!$P$11,J38)*POWER(Upgrades!$P$12,K38)</f>
        <v>7</v>
      </c>
      <c r="O38" s="28" t="n">
        <f aca="false">((IF(E38=0,0,(Upgrades!$M$6+E38*Upgrades!$N$6)*POWER(Upgrades!$O$6,E38)))*(IF(Upgrades!$T$7="Solar Wind",POWER(Upgrades!$U$7,F38),1)*IF(Upgrades!$T$8="Solar Wind",POWER(Upgrades!$U$8,G38),1)*IF(Upgrades!$T$9="Solar Wind",POWER(Upgrades!$U$9,H38),1)*IF(Upgrades!$T$10="Solar Wind",POWER(Upgrades!$U$10,I38),1)*IF(Upgrades!$T$11="Solar Wind",POWER(Upgrades!$U$11,J38),1)*IF(Upgrades!$T$12="Solar Wind",POWER(Upgrades!$U$12,K38),1))+(IF(F38=0,0,(Upgrades!$M$7+F38*Upgrades!$N$7)*POWER(Upgrades!$O$7,F38)))*(IF(Upgrades!$T$6="Asteroid Belt",POWER(Upgrades!$U$6,E38),1)*IF(Upgrades!$T$8="Asteroid Belt",POWER(Upgrades!$U$8,G38),1)*IF(Upgrades!$T$9="Asteroid Belt",POWER(Upgrades!$U$9,H38),1)*IF(Upgrades!$T$10="Asteroid Belt",POWER(Upgrades!$U$10,I38),1)*IF(Upgrades!$T$11="Asteroid Belt",POWER(Upgrades!$U$11,J38),1)*IF(Upgrades!$T$12="Asteroid Belt",POWER(Upgrades!$U$12,K38),1))+(IF(G38=0,0,(Upgrades!$M$8+G38*Upgrades!$N$8)*POWER(Upgrades!$O$8,G38)))*(IF(Upgrades!$T$6="Stellar Coupling",POWER(Upgrades!$U$6,E38),1)*IF(Upgrades!$T$7="Stellar Coupling",POWER(Upgrades!$U$7,F38),1)*IF(Upgrades!$T$9="Stellar Coupling",POWER(Upgrades!$U$9,H38),1)*IF(Upgrades!$T$10="Stellar Coupling",POWER(Upgrades!$U$10,I38),1)*IF(Upgrades!$T$11="Stellar Coupling",POWER(Upgrades!$U$11,J38),1)*IF(Upgrades!$T$12="Stellar Coupling",POWER(Upgrades!$U$12,K38),1))+(IF(H38=0,0,(Upgrades!$M$9+H38*Upgrades!$N$9)*POWER(Upgrades!$O$9,H38)))*(IF(Upgrades!$T$6="Magnetosphere",POWER(Upgrades!$U$6,E38),1)*IF(Upgrades!$T$7="Magnetosphere",POWER(Upgrades!$U$7,F38),1)*IF(Upgrades!$T$8="Magnetosphere",POWER(Upgrades!$U$8,G38),1)*IF(Upgrades!$T$10="Magnetosphere",POWER(Upgrades!$U$10,I38),1)*IF(Upgrades!$T$11="Magnetosphere",POWER(Upgrades!$U$11,J38),1)*IF(Upgrades!$T$12="Magnetosphere",POWER(Upgrades!$U$12,K38),1))+(IF(I38=0,0,(Upgrades!$M$10+I38*Upgrades!$N$10)*POWER(Upgrades!$O$10,I38)))*(IF(Upgrades!$T$6="Orbital Resonance",POWER(Upgrades!$U$6,E38),1)*IF(Upgrades!$T$7="Orbital Resonance",POWER(Upgrades!$U$7,F38),1)*IF(Upgrades!$T$8="Orbital Resonance",POWER(Upgrades!$U$8,G38),1)*IF(Upgrades!$T$9="Orbital Resonance",POWER(Upgrades!$U$9,H38),1)*IF(Upgrades!$T$11="Orbital Resonance",POWER(Upgrades!$U$11,J38),1)*IF(Upgrades!$T$12="Orbital Resonance",POWER(Upgrades!$U$12,K38),1))+(IF(J38=0,0,(Upgrades!$M$11+J38*Upgrades!$N$11)*POWER(Upgrades!$O$11,J38)))*(IF(Upgrades!$T$6="Heliopause",POWER(Upgrades!$U$6,E38),1)*IF(Upgrades!$T$7="Heliopause",POWER(Upgrades!$U$7,F38),1)*IF(Upgrades!$T$8="Heliopause",POWER(Upgrades!$U$8,G38),1)*IF(Upgrades!$T$9="Heliopause",POWER(Upgrades!$U$9,H38),1)*IF(Upgrades!$T$10="Heliopause",POWER(Upgrades!$U$10,I38),1)*IF(Upgrades!$T$12="Heliopause",POWER(Upgrades!$U$12,K38),1))+(IF(K38=0,0,(Upgrades!$M$12+K38*Upgrades!$N$12)*POWER(Upgrades!$O$12,K38)))*(IF(Upgrades!$T$6="First Photons",POWER(Upgrades!$U$6,E38),1)*IF(Upgrades!$T$7="First Photons",POWER(Upgrades!$U$7,F38),1)*IF(Upgrades!$T$8="First Photons",POWER(Upgrades!$U$8,G38),1)*IF(Upgrades!$T$9="First Photons",POWER(Upgrades!$U$9,H38),1)*IF(Upgrades!$T$10="First Photons",POWER(Upgrades!$U$10,I38),1)*IF(Upgrades!$T$11="First Photons",POWER(Upgrades!$U$11,J38),1)))*POWER(Upgrades!$R$6,E38)*POWER(Upgrades!$R$7,F38)*POWER(Upgrades!$R$8,G38)*POWER(Upgrades!$R$9,H38)*POWER(Upgrades!$R$10,I38)*POWER(Upgrades!$R$11,J38)*POWER(Upgrades!$R$12,K38)</f>
        <v>0</v>
      </c>
      <c r="P38" s="27" t="n">
        <f aca="false">IF(L38=1,0,M38*Parameters!$B$10/60*Parameters!$B$11*10)</f>
        <v>69.1666666666667</v>
      </c>
      <c r="Q38" s="27" t="n">
        <f aca="false">IF(L38=1,0,O38*M38*10)</f>
        <v>0</v>
      </c>
      <c r="R38" s="27" t="n">
        <f aca="false">IF(L38=1,0,N38*10)</f>
        <v>70</v>
      </c>
      <c r="S38" s="27" t="n">
        <f aca="false">P38+Q38+R38</f>
        <v>139.166666666667</v>
      </c>
      <c r="T38" s="21" t="n">
        <f aca="false">C38+S38</f>
        <v>152.065986744308</v>
      </c>
      <c r="U38" s="34" t="str">
        <f aca="false">AX38</f>
        <v/>
      </c>
      <c r="V38" s="21" t="n">
        <f aca="false">IF(U38="",0,IF(U38="transition",0,IF(U38="SW",AG38,IF(U38="AB",AH38,IF(U38="SC",AI38,IF(U38="Mag",AJ38,IF(U38="OR",AK38,IF(U38="HP",AL38,IF(U38="FP",AM38,0)))))))))</f>
        <v>0</v>
      </c>
      <c r="W38" s="27" t="n">
        <f aca="false">IF(U38="OR",Upgrades!$F$10,IF(U38="HP",Upgrades!$F$11,IF(U38="transition",-Parameters!$B$18,0)))</f>
        <v>0</v>
      </c>
      <c r="X38" s="21" t="n">
        <f aca="false">T38-V38</f>
        <v>152.065986744308</v>
      </c>
      <c r="Y38" s="30" t="n">
        <f aca="false">M38*Parameters!$B$10/60*Parameters!$B$11+O38*M38+N38</f>
        <v>13.9166666666667</v>
      </c>
      <c r="Z38" s="35" t="str">
        <f aca="false">IF(U38="transition","→ Tier 2 (Stellar Neighborhood)",IF(U38="FP","First Photons — light begins, system quickens",IF(U38="HP","Heliopause acquired",IF(U38="OR","Orbital Resonance — passive multiplier active",IF(AND(AO38=1,L38=0,AN38&lt;&gt;1),"Cohesion ready (waiting on completionist upgrades)","")))))</f>
        <v>Cohesion ready (waiting on completionist upgrades)</v>
      </c>
      <c r="AA38" s="27" t="n">
        <f aca="false">(IF(E38=0,0,(Upgrades!$G$6+E38*Upgrades!$H$6)*POWER(Upgrades!$I$6,E38)))*(IF(Upgrades!$T$7="Solar Wind",POWER(Upgrades!$U$7,F38),1)*IF(Upgrades!$T$8="Solar Wind",POWER(Upgrades!$U$8,G38),1)*IF(Upgrades!$T$9="Solar Wind",POWER(Upgrades!$U$9,H38),1)*IF(Upgrades!$T$10="Solar Wind",POWER(Upgrades!$U$10,I38),1)*IF(Upgrades!$T$11="Solar Wind",POWER(Upgrades!$U$11,J38),1)*IF(Upgrades!$T$12="Solar Wind",POWER(Upgrades!$U$12,K38),1))*POWER(Upgrades!$P$6,E38)*POWER(Upgrades!$P$7,F38)*POWER(Upgrades!$P$8,G38)*POWER(Upgrades!$P$9,H38)*POWER(Upgrades!$P$10,I38)*POWER(Upgrades!$P$11,J38)*POWER(Upgrades!$P$12,K38)*60</f>
        <v>60</v>
      </c>
      <c r="AB38" s="27" t="n">
        <f aca="false">(IF(F38=0,0,(Upgrades!$G$7+F38*Upgrades!$H$7)*POWER(Upgrades!$I$7,F38)))*(IF(Upgrades!$T$6="Asteroid Belt",POWER(Upgrades!$U$6,E38),1)*IF(Upgrades!$T$8="Asteroid Belt",POWER(Upgrades!$U$8,G38),1)*IF(Upgrades!$T$9="Asteroid Belt",POWER(Upgrades!$U$9,H38),1)*IF(Upgrades!$T$10="Asteroid Belt",POWER(Upgrades!$U$10,I38),1)*IF(Upgrades!$T$11="Asteroid Belt",POWER(Upgrades!$U$11,J38),1)*IF(Upgrades!$T$12="Asteroid Belt",POWER(Upgrades!$U$12,K38),1))*POWER(Upgrades!$P$6,E38)*POWER(Upgrades!$P$7,F38)*POWER(Upgrades!$P$8,G38)*POWER(Upgrades!$P$9,H38)*POWER(Upgrades!$P$10,I38)*POWER(Upgrades!$P$11,J38)*POWER(Upgrades!$P$12,K38)*60</f>
        <v>135</v>
      </c>
      <c r="AC38" s="27" t="n">
        <f aca="false">(IF(G38=0,0,(Upgrades!$J$8+G38*Upgrades!$K$8)*POWER(Upgrades!$L$8,G38)))*(IF(Upgrades!$T$6="Stellar Coupling",POWER(Upgrades!$U$6,E38),1)*IF(Upgrades!$T$7="Stellar Coupling",POWER(Upgrades!$U$7,F38),1)*IF(Upgrades!$T$9="Stellar Coupling",POWER(Upgrades!$U$9,H38),1)*IF(Upgrades!$T$10="Stellar Coupling",POWER(Upgrades!$U$10,I38),1)*IF(Upgrades!$T$11="Stellar Coupling",POWER(Upgrades!$U$11,J38),1)*IF(Upgrades!$T$12="Stellar Coupling",POWER(Upgrades!$U$12,K38),1))*POWER(Upgrades!$Q$6,E38)*POWER(Upgrades!$Q$7,F38)*POWER(Upgrades!$Q$8,G38)*POWER(Upgrades!$Q$9,H38)*POWER(Upgrades!$Q$10,I38)*POWER(Upgrades!$Q$11,J38)*POWER(Upgrades!$Q$12,K38)*Parameters!$B$10*Parameters!$B$11</f>
        <v>315</v>
      </c>
      <c r="AD38" s="27" t="n">
        <f aca="false">(IF(H38=0,0,(Upgrades!$G$9+H38*Upgrades!$H$9)*POWER(Upgrades!$I$9,H38)))*(IF(Upgrades!$T$6="Magnetosphere",POWER(Upgrades!$U$6,E38),1)*IF(Upgrades!$T$7="Magnetosphere",POWER(Upgrades!$U$7,F38),1)*IF(Upgrades!$T$8="Magnetosphere",POWER(Upgrades!$U$8,G38),1)*IF(Upgrades!$T$10="Magnetosphere",POWER(Upgrades!$U$10,I38),1)*IF(Upgrades!$T$11="Magnetosphere",POWER(Upgrades!$U$11,J38),1)*IF(Upgrades!$T$12="Magnetosphere",POWER(Upgrades!$U$12,K38),1))*POWER(Upgrades!$P$6,E38)*POWER(Upgrades!$P$7,F38)*POWER(Upgrades!$P$8,G38)*POWER(Upgrades!$P$9,H38)*POWER(Upgrades!$P$10,I38)*POWER(Upgrades!$P$11,J38)*POWER(Upgrades!$P$12,K38)*60</f>
        <v>225</v>
      </c>
      <c r="AE38" s="27" t="n">
        <f aca="false">(IF(K38=0,0,(Upgrades!$G$12+K38*Upgrades!$H$12)*POWER(Upgrades!$I$12,K38)))*(IF(Upgrades!$T$6="First Photons",POWER(Upgrades!$U$6,E38),1)*IF(Upgrades!$T$7="First Photons",POWER(Upgrades!$U$7,F38),1)*IF(Upgrades!$T$8="First Photons",POWER(Upgrades!$U$8,G38),1)*IF(Upgrades!$T$9="First Photons",POWER(Upgrades!$U$9,H38),1)*IF(Upgrades!$T$10="First Photons",POWER(Upgrades!$U$10,I38),1)*IF(Upgrades!$T$11="First Photons",POWER(Upgrades!$U$11,J38),1))*POWER(Upgrades!$P$6,E38)*POWER(Upgrades!$P$7,F38)*POWER(Upgrades!$P$8,G38)*POWER(Upgrades!$P$9,H38)*POWER(Upgrades!$P$10,I38)*POWER(Upgrades!$P$11,J38)*POWER(Upgrades!$P$12,K38)*60</f>
        <v>0</v>
      </c>
      <c r="AF38" s="27" t="n">
        <f aca="false">Parameters!$B$9*POWER(Upgrades!$Q$6,E38)*POWER(Upgrades!$Q$7,F38)*POWER(Upgrades!$Q$8,G38)*POWER(Upgrades!$Q$9,H38)*POWER(Upgrades!$Q$10,I38)*POWER(Upgrades!$Q$11,J38)*POWER(Upgrades!$Q$12,K38)*(Parameters!$B$10*Parameters!$B$11+O38*60)</f>
        <v>100</v>
      </c>
      <c r="AG38" s="21" t="n">
        <f aca="false">IF(E38&gt;=Upgrades!$E$6,"",Upgrades!$C$6*POWER(Upgrades!$D$6,E38))</f>
        <v>28.3189041499553</v>
      </c>
      <c r="AH38" s="21" t="n">
        <f aca="false">IF(F38&gt;=Upgrades!$E$7,"",Upgrades!$C$7*POWER(Upgrades!$D$7,F38))</f>
        <v>70.3575258383984</v>
      </c>
      <c r="AI38" s="21" t="n">
        <f aca="false">IF(G38&gt;=Upgrades!$E$8,"",Upgrades!$C$8*POWER(Upgrades!$D$8,G38))</f>
        <v>165.649792</v>
      </c>
      <c r="AJ38" s="21" t="n">
        <f aca="false">IF(H38&gt;=Upgrades!$E$9,"",Upgrades!$C$9*POWER(Upgrades!$D$9,H38))</f>
        <v>640</v>
      </c>
      <c r="AK38" s="21" t="str">
        <f aca="false">IF(I38&gt;=Upgrades!$E$10,"",Upgrades!$C$10*POWER(Upgrades!$D$10,I38))</f>
        <v/>
      </c>
      <c r="AL38" s="21" t="str">
        <f aca="false">IF(J38&gt;=Upgrades!$E$11,"",Upgrades!$C$11*POWER(Upgrades!$D$11,J38))</f>
        <v/>
      </c>
      <c r="AM38" s="21" t="n">
        <f aca="false">IF(K38&gt;=Upgrades!$E$12,"",Upgrades!$C$12*POWER(Upgrades!$D$12,K38))</f>
        <v>850</v>
      </c>
      <c r="AN38" s="26" t="str">
        <f aca="false">IF(AND(D38&gt;=Parameters!$B$18,(H38&gt;=Upgrades!$E$9)*(K38&gt;=Upgrades!$E$12)=1,L38=0),1,"")</f>
        <v/>
      </c>
      <c r="AO38" s="26" t="n">
        <f aca="false">IF(AND(D38&gt;=Parameters!$B$18,L38=0),1,"")</f>
        <v>1</v>
      </c>
      <c r="AP38" s="21" t="n">
        <f aca="false">MIN(IF(ISNUMBER(AK38),AK38,9000000000000000),IF(ISNUMBER(AL38),AL38,9000000000000000),IF(ISNUMBER(AM38),AM38,9000000000000000))</f>
        <v>850</v>
      </c>
      <c r="AQ38" s="21" t="n">
        <f aca="false">MIN(IF(ISNUMBER(AG38),AG38,9000000000000000),IF(ISNUMBER(AH38),AH38,9000000000000000),IF(ISNUMBER(AI38),AI38,9000000000000000),IF(ISNUMBER(AJ38),AJ38,9000000000000000))</f>
        <v>28.3189041499553</v>
      </c>
      <c r="AR38" s="32" t="b">
        <f aca="false">IF(AW38&gt;Parameters!$B$21*(MAX(IF(AND(NOT(AND(AO38=1,AN38&lt;&gt;1)),ISNUMBER(AG38),AG38&lt;=T38),AS38,0),IF(AND(NOT(AND(AO38=1,AN38&lt;&gt;1)),ISNUMBER(AH38),AH38&lt;=T38),AT38,0),IF(AND(NOT(AND(AO38=1,AN38&lt;&gt;1)),ISNUMBER(AI38),AI38&lt;=T38),AU38,0),IF(AND(ISNUMBER(AJ38),AJ38&lt;=T38),AV38,0))),TRUE(),FALSE())</f>
        <v>1</v>
      </c>
      <c r="AS38" s="33" t="n">
        <f aca="false">IFERROR(Upgrades!$H$6*(POWER(Upgrades!$P$6,E38)*POWER(Upgrades!$P$7,F38)*POWER(Upgrades!$P$8,G38)*POWER(Upgrades!$P$9,H38)*POWER(Upgrades!$P$10,I38)*POWER(Upgrades!$P$11,J38)*POWER(Upgrades!$P$12,K38))*(IF(Upgrades!$T$7="Solar Wind",POWER(Upgrades!$U$7,F38),1)*IF(Upgrades!$T$8="Solar Wind",POWER(Upgrades!$U$8,G38),1)*IF(Upgrades!$T$9="Solar Wind",POWER(Upgrades!$U$9,H38),1)*IF(Upgrades!$T$10="Solar Wind",POWER(Upgrades!$U$10,I38),1)*IF(Upgrades!$T$11="Solar Wind",POWER(Upgrades!$U$11,J38),1)*IF(Upgrades!$T$12="Solar Wind",POWER(Upgrades!$U$12,K38),1))/AG38,0)</f>
        <v>0.00353121008745523</v>
      </c>
      <c r="AT38" s="33" t="n">
        <f aca="false">IFERROR(Upgrades!$H$7*(POWER(Upgrades!$P$6,E38)*POWER(Upgrades!$P$7,F38)*POWER(Upgrades!$P$8,G38)*POWER(Upgrades!$P$9,H38)*POWER(Upgrades!$P$10,I38)*POWER(Upgrades!$P$11,J38)*POWER(Upgrades!$P$12,K38))*(IF(Upgrades!$T$6="Asteroid Belt",POWER(Upgrades!$U$6,E38),1)*IF(Upgrades!$T$8="Asteroid Belt",POWER(Upgrades!$U$8,G38),1)*IF(Upgrades!$T$9="Asteroid Belt",POWER(Upgrades!$U$9,H38),1)*IF(Upgrades!$T$10="Asteroid Belt",POWER(Upgrades!$U$10,I38),1)*IF(Upgrades!$T$11="Asteroid Belt",POWER(Upgrades!$U$11,J38),1)*IF(Upgrades!$T$12="Asteroid Belt",POWER(Upgrades!$U$12,K38),1))/AH38,0)</f>
        <v>0.00355328015050182</v>
      </c>
      <c r="AU38" s="33" t="n">
        <f aca="false">IFERROR(Upgrades!$K$8*(POWER(Upgrades!$Q$6,E38)*POWER(Upgrades!$Q$7,F38)*POWER(Upgrades!$Q$8,G38)*POWER(Upgrades!$Q$9,H38)*POWER(Upgrades!$Q$10,I38)*POWER(Upgrades!$Q$11,J38)*POWER(Upgrades!$Q$12,K38))*(IF(Upgrades!$T$6="Stellar Coupling",POWER(Upgrades!$U$6,E38),1)*IF(Upgrades!$T$7="Stellar Coupling",POWER(Upgrades!$U$7,F38),1)*IF(Upgrades!$T$9="Stellar Coupling",POWER(Upgrades!$U$9,H38),1)*IF(Upgrades!$T$10="Stellar Coupling",POWER(Upgrades!$U$10,I38),1)*IF(Upgrades!$T$11="Stellar Coupling",POWER(Upgrades!$U$11,J38),1)*IF(Upgrades!$T$12="Stellar Coupling",POWER(Upgrades!$U$12,K38),1))*Parameters!$B$10*Parameters!$B$11/60/AI38,0)</f>
        <v>0.00528222818414405</v>
      </c>
      <c r="AV38" s="33" t="n">
        <f aca="false">IFERROR(Upgrades!$H$9*(POWER(Upgrades!$P$6,E38)*POWER(Upgrades!$P$7,F38)*POWER(Upgrades!$P$8,G38)*POWER(Upgrades!$P$9,H38)*POWER(Upgrades!$P$10,I38)*POWER(Upgrades!$P$11,J38)*POWER(Upgrades!$P$12,K38))*(IF(Upgrades!$T$6="Magnetosphere",POWER(Upgrades!$U$6,E38),1)*IF(Upgrades!$T$7="Magnetosphere",POWER(Upgrades!$U$7,F38),1)*IF(Upgrades!$T$8="Magnetosphere",POWER(Upgrades!$U$8,G38),1)*IF(Upgrades!$T$10="Magnetosphere",POWER(Upgrades!$U$10,I38),1)*IF(Upgrades!$T$11="Magnetosphere",POWER(Upgrades!$U$11,J38),1)*IF(Upgrades!$T$12="Magnetosphere",POWER(Upgrades!$U$12,K38),1))/AJ38,0)</f>
        <v>0.001953125</v>
      </c>
      <c r="AW38" s="33" t="n">
        <f aca="false">MAX(IF(I38&gt;0,0,IFERROR(0.25*N38/Upgrades!$C$10,0)),IF(J38&gt;0,0,IFERROR(0.5*((IF(G38=0,0,(Upgrades!$J$8+G38*Upgrades!$K$8)*POWER(Upgrades!$L$8,G38)))*(IF(Upgrades!$T$6="Stellar Coupling",POWER(Upgrades!$U$6,E38),1)*IF(Upgrades!$T$7="Stellar Coupling",POWER(Upgrades!$U$7,F38),1)*IF(Upgrades!$T$9="Stellar Coupling",POWER(Upgrades!$U$9,H38),1)*IF(Upgrades!$T$10="Stellar Coupling",POWER(Upgrades!$U$10,I38),1)*IF(Upgrades!$T$11="Stellar Coupling",POWER(Upgrades!$U$11,J38),1)*IF(Upgrades!$T$12="Stellar Coupling",POWER(Upgrades!$U$12,K38),1))*(POWER(Upgrades!$Q$6,E38)*POWER(Upgrades!$Q$7,F38)*POWER(Upgrades!$Q$8,G38)*POWER(Upgrades!$Q$9,H38)*POWER(Upgrades!$Q$10,I38)*POWER(Upgrades!$Q$11,J38)*POWER(Upgrades!$Q$12,K38))*Parameters!$B$10*Parameters!$B$11/60)/Upgrades!$C$11,0)),IF(K38&gt;0,0,IFERROR((1*(POWER(Upgrades!$P$6,E38)*POWER(Upgrades!$P$7,F38)*POWER(Upgrades!$P$8,G38)*POWER(Upgrades!$P$9,H38)*POWER(Upgrades!$P$10,I38)*POWER(Upgrades!$P$11,J38)*POWER(Upgrades!$P$12,K38))+0.2*M38*Parameters!$B$10*Parameters!$B$11/60)/Upgrades!$C$12,0)),IF(AND(ISNUMBER(AG38),AG38&gt;T38),AS38,0),IF(AND(ISNUMBER(AH38),AH38&gt;T38),AT38,0),IF(AND(ISNUMBER(AI38),AI38&gt;T38),AU38,0),IF(AND(ISNUMBER(AJ38),AJ38&gt;T38),AV38,0))</f>
        <v>0.00528222818414405</v>
      </c>
      <c r="AX38" s="29" t="str">
        <f aca="false">IF(AN38=1,"transition",IF(MIN(IF(AND(I38=0,ISNUMBER(AK38),AK38&lt;=T38),AK38,9000000000000000),IF(AND(J38=0,ISNUMBER(AL38),AL38&lt;=T38),AL38,9000000000000000),IF(AND(K38=0,ISNUMBER(AM38),AM38&lt;=T38),AM38,9000000000000000))&lt;9000000000000000,IF(AND(AND(I38=0,ISNUMBER(AK38),AK38&lt;=T38),AK38=MIN(IF(AND(I38=0,ISNUMBER(AK38),AK38&lt;=T38),AK38,9000000000000000),IF(AND(J38=0,ISNUMBER(AL38),AL38&lt;=T38),AL38,9000000000000000),IF(AND(K38=0,ISNUMBER(AM38),AM38&lt;=T38),AM38,9000000000000000))),"OR",IF(AND(AND(J38=0,ISNUMBER(AL38),AL38&lt;=T38),AL38=MIN(IF(AND(I38=0,ISNUMBER(AK38),AK38&lt;=T38),AK38,9000000000000000),IF(AND(J38=0,ISNUMBER(AL38),AL38&lt;=T38),AL38,9000000000000000),IF(AND(K38=0,ISNUMBER(AM38),AM38&lt;=T38),AM38,9000000000000000))),"HP","FP")),IF(AR38=TRUE(),"",IF(MAX(IF(AND(NOT(AND(AO38=1,AN38&lt;&gt;1)),ISNUMBER(AG38),AG38&lt;=T38),AS38,0),IF(AND(NOT(AND(AO38=1,AN38&lt;&gt;1)),ISNUMBER(AH38),AH38&lt;=T38),AT38,0),IF(AND(NOT(AND(AO38=1,AN38&lt;&gt;1)),ISNUMBER(AI38),AI38&lt;=T38),AU38,0),IF(AND(ISNUMBER(AJ38),AJ38&lt;=T38),AV38,0))&lt;=0,"",IF(AND(IF(AND(NOT(AND(AO38=1,AN38&lt;&gt;1)),ISNUMBER(AG38),AG38&lt;=T38),AS38,0)&gt;0,IF(AND(NOT(AND(AO38=1,AN38&lt;&gt;1)),ISNUMBER(AG38),AG38&lt;=T38),AS38,0)=MAX(IF(AND(NOT(AND(AO38=1,AN38&lt;&gt;1)),ISNUMBER(AG38),AG38&lt;=T38),AS38,0),IF(AND(NOT(AND(AO38=1,AN38&lt;&gt;1)),ISNUMBER(AH38),AH38&lt;=T38),AT38,0),IF(AND(NOT(AND(AO38=1,AN38&lt;&gt;1)),ISNUMBER(AI38),AI38&lt;=T38),AU38,0),IF(AND(ISNUMBER(AJ38),AJ38&lt;=T38),AV38,0))),"SW",IF(AND(IF(AND(NOT(AND(AO38=1,AN38&lt;&gt;1)),ISNUMBER(AH38),AH38&lt;=T38),AT38,0)&gt;0,IF(AND(NOT(AND(AO38=1,AN38&lt;&gt;1)),ISNUMBER(AH38),AH38&lt;=T38),AT38,0)=MAX(IF(AND(NOT(AND(AO38=1,AN38&lt;&gt;1)),ISNUMBER(AG38),AG38&lt;=T38),AS38,0),IF(AND(NOT(AND(AO38=1,AN38&lt;&gt;1)),ISNUMBER(AH38),AH38&lt;=T38),AT38,0),IF(AND(NOT(AND(AO38=1,AN38&lt;&gt;1)),ISNUMBER(AI38),AI38&lt;=T38),AU38,0),IF(AND(ISNUMBER(AJ38),AJ38&lt;=T38),AV38,0))),"AB",IF(AND(IF(AND(NOT(AND(AO38=1,AN38&lt;&gt;1)),ISNUMBER(AI38),AI38&lt;=T38),AU38,0)&gt;0,IF(AND(NOT(AND(AO38=1,AN38&lt;&gt;1)),ISNUMBER(AI38),AI38&lt;=T38),AU38,0)=MAX(IF(AND(NOT(AND(AO38=1,AN38&lt;&gt;1)),ISNUMBER(AG38),AG38&lt;=T38),AS38,0),IF(AND(NOT(AND(AO38=1,AN38&lt;&gt;1)),ISNUMBER(AH38),AH38&lt;=T38),AT38,0),IF(AND(NOT(AND(AO38=1,AN38&lt;&gt;1)),ISNUMBER(AI38),AI38&lt;=T38),AU38,0),IF(AND(ISNUMBER(AJ38),AJ38&lt;=T38),AV38,0))),"SC","Mag")))))))</f>
        <v/>
      </c>
    </row>
    <row r="39" customFormat="false" ht="15" hidden="false" customHeight="false" outlineLevel="0" collapsed="false">
      <c r="A39" s="26" t="n">
        <v>34</v>
      </c>
      <c r="B39" s="27" t="n">
        <f aca="false">A39*10/60</f>
        <v>5.66666666666667</v>
      </c>
      <c r="C39" s="21" t="n">
        <f aca="false">X38</f>
        <v>152.065986744308</v>
      </c>
      <c r="D39" s="27" t="n">
        <f aca="false">D38+W38</f>
        <v>1</v>
      </c>
      <c r="E39" s="26" t="n">
        <f aca="false">E38+IF(U38="SW",1,0)</f>
        <v>10</v>
      </c>
      <c r="F39" s="26" t="n">
        <f aca="false">F38+IF(U38="AB",1,0)</f>
        <v>9</v>
      </c>
      <c r="G39" s="26" t="n">
        <f aca="false">G38+IF(U38="SC",1,0)</f>
        <v>6</v>
      </c>
      <c r="H39" s="26" t="n">
        <f aca="false">H38+IF(U38="Mag",1,0)</f>
        <v>3</v>
      </c>
      <c r="I39" s="26" t="n">
        <f aca="false">MAX(I38,IF(U38="OR",1,0))</f>
        <v>1</v>
      </c>
      <c r="J39" s="26" t="n">
        <f aca="false">MAX(J38,IF(U38="HP",1,0))</f>
        <v>1</v>
      </c>
      <c r="K39" s="26" t="n">
        <f aca="false">MAX(K38,IF(U38="FP",1,0))</f>
        <v>0</v>
      </c>
      <c r="L39" s="26" t="n">
        <f aca="false">MAX(L38,IF(U38="transition",1,0))</f>
        <v>0</v>
      </c>
      <c r="M39" s="28" t="n">
        <f aca="false">(Parameters!$B$9+(IF(E39=0,0,(Upgrades!$J$6+E39*Upgrades!$K$6)*POWER(Upgrades!$L$6,E39)))*(IF(Upgrades!$T$7="Solar Wind",POWER(Upgrades!$U$7,F39),1)*IF(Upgrades!$T$8="Solar Wind",POWER(Upgrades!$U$8,G39),1)*IF(Upgrades!$T$9="Solar Wind",POWER(Upgrades!$U$9,H39),1)*IF(Upgrades!$T$10="Solar Wind",POWER(Upgrades!$U$10,I39),1)*IF(Upgrades!$T$11="Solar Wind",POWER(Upgrades!$U$11,J39),1)*IF(Upgrades!$T$12="Solar Wind",POWER(Upgrades!$U$12,K39),1))+(IF(F39=0,0,(Upgrades!$J$7+F39*Upgrades!$K$7)*POWER(Upgrades!$L$7,F39)))*(IF(Upgrades!$T$6="Asteroid Belt",POWER(Upgrades!$U$6,E39),1)*IF(Upgrades!$T$8="Asteroid Belt",POWER(Upgrades!$U$8,G39),1)*IF(Upgrades!$T$9="Asteroid Belt",POWER(Upgrades!$U$9,H39),1)*IF(Upgrades!$T$10="Asteroid Belt",POWER(Upgrades!$U$10,I39),1)*IF(Upgrades!$T$11="Asteroid Belt",POWER(Upgrades!$U$11,J39),1)*IF(Upgrades!$T$12="Asteroid Belt",POWER(Upgrades!$U$12,K39),1))+(IF(G39=0,0,(Upgrades!$J$8+G39*Upgrades!$K$8)*POWER(Upgrades!$L$8,G39)))*(IF(Upgrades!$T$6="Stellar Coupling",POWER(Upgrades!$U$6,E39),1)*IF(Upgrades!$T$7="Stellar Coupling",POWER(Upgrades!$U$7,F39),1)*IF(Upgrades!$T$9="Stellar Coupling",POWER(Upgrades!$U$9,H39),1)*IF(Upgrades!$T$10="Stellar Coupling",POWER(Upgrades!$U$10,I39),1)*IF(Upgrades!$T$11="Stellar Coupling",POWER(Upgrades!$U$11,J39),1)*IF(Upgrades!$T$12="Stellar Coupling",POWER(Upgrades!$U$12,K39),1))+(IF(H39=0,0,(Upgrades!$J$9+H39*Upgrades!$K$9)*POWER(Upgrades!$L$9,H39)))*(IF(Upgrades!$T$6="Magnetosphere",POWER(Upgrades!$U$6,E39),1)*IF(Upgrades!$T$7="Magnetosphere",POWER(Upgrades!$U$7,F39),1)*IF(Upgrades!$T$8="Magnetosphere",POWER(Upgrades!$U$8,G39),1)*IF(Upgrades!$T$10="Magnetosphere",POWER(Upgrades!$U$10,I39),1)*IF(Upgrades!$T$11="Magnetosphere",POWER(Upgrades!$U$11,J39),1)*IF(Upgrades!$T$12="Magnetosphere",POWER(Upgrades!$U$12,K39),1))+(IF(I39=0,0,(Upgrades!$J$10+I39*Upgrades!$K$10)*POWER(Upgrades!$L$10,I39)))*(IF(Upgrades!$T$6="Orbital Resonance",POWER(Upgrades!$U$6,E39),1)*IF(Upgrades!$T$7="Orbital Resonance",POWER(Upgrades!$U$7,F39),1)*IF(Upgrades!$T$8="Orbital Resonance",POWER(Upgrades!$U$8,G39),1)*IF(Upgrades!$T$9="Orbital Resonance",POWER(Upgrades!$U$9,H39),1)*IF(Upgrades!$T$11="Orbital Resonance",POWER(Upgrades!$U$11,J39),1)*IF(Upgrades!$T$12="Orbital Resonance",POWER(Upgrades!$U$12,K39),1))+(IF(J39=0,0,(Upgrades!$J$11+J39*Upgrades!$K$11)*POWER(Upgrades!$L$11,J39)))*(IF(Upgrades!$T$6="Heliopause",POWER(Upgrades!$U$6,E39),1)*IF(Upgrades!$T$7="Heliopause",POWER(Upgrades!$U$7,F39),1)*IF(Upgrades!$T$8="Heliopause",POWER(Upgrades!$U$8,G39),1)*IF(Upgrades!$T$9="Heliopause",POWER(Upgrades!$U$9,H39),1)*IF(Upgrades!$T$10="Heliopause",POWER(Upgrades!$U$10,I39),1)*IF(Upgrades!$T$12="Heliopause",POWER(Upgrades!$U$12,K39),1))+(IF(K39=0,0,(Upgrades!$J$12+K39*Upgrades!$K$12)*POWER(Upgrades!$L$12,K39)))*(IF(Upgrades!$T$6="First Photons",POWER(Upgrades!$U$6,E39),1)*IF(Upgrades!$T$7="First Photons",POWER(Upgrades!$U$7,F39),1)*IF(Upgrades!$T$8="First Photons",POWER(Upgrades!$U$8,G39),1)*IF(Upgrades!$T$9="First Photons",POWER(Upgrades!$U$9,H39),1)*IF(Upgrades!$T$10="First Photons",POWER(Upgrades!$U$10,I39),1)*IF(Upgrades!$T$11="First Photons",POWER(Upgrades!$U$11,J39),1)))*POWER(Upgrades!$Q$6,E39)*POWER(Upgrades!$Q$7,F39)*POWER(Upgrades!$Q$8,G39)*POWER(Upgrades!$Q$9,H39)*POWER(Upgrades!$Q$10,I39)*POWER(Upgrades!$Q$11,J39)*POWER(Upgrades!$Q$12,K39)</f>
        <v>4.15</v>
      </c>
      <c r="N39" s="28" t="n">
        <f aca="false">((IF(E39=0,0,(Upgrades!$G$6+E39*Upgrades!$H$6)*POWER(Upgrades!$I$6,E39)))*(IF(Upgrades!$T$7="Solar Wind",POWER(Upgrades!$U$7,F39),1)*IF(Upgrades!$T$8="Solar Wind",POWER(Upgrades!$U$8,G39),1)*IF(Upgrades!$T$9="Solar Wind",POWER(Upgrades!$U$9,H39),1)*IF(Upgrades!$T$10="Solar Wind",POWER(Upgrades!$U$10,I39),1)*IF(Upgrades!$T$11="Solar Wind",POWER(Upgrades!$U$11,J39),1)*IF(Upgrades!$T$12="Solar Wind",POWER(Upgrades!$U$12,K39),1))+(IF(F39=0,0,(Upgrades!$G$7+F39*Upgrades!$H$7)*POWER(Upgrades!$I$7,F39)))*(IF(Upgrades!$T$6="Asteroid Belt",POWER(Upgrades!$U$6,E39),1)*IF(Upgrades!$T$8="Asteroid Belt",POWER(Upgrades!$U$8,G39),1)*IF(Upgrades!$T$9="Asteroid Belt",POWER(Upgrades!$U$9,H39),1)*IF(Upgrades!$T$10="Asteroid Belt",POWER(Upgrades!$U$10,I39),1)*IF(Upgrades!$T$11="Asteroid Belt",POWER(Upgrades!$U$11,J39),1)*IF(Upgrades!$T$12="Asteroid Belt",POWER(Upgrades!$U$12,K39),1))+(IF(G39=0,0,(Upgrades!$G$8+G39*Upgrades!$H$8)*POWER(Upgrades!$I$8,G39)))*(IF(Upgrades!$T$6="Stellar Coupling",POWER(Upgrades!$U$6,E39),1)*IF(Upgrades!$T$7="Stellar Coupling",POWER(Upgrades!$U$7,F39),1)*IF(Upgrades!$T$9="Stellar Coupling",POWER(Upgrades!$U$9,H39),1)*IF(Upgrades!$T$10="Stellar Coupling",POWER(Upgrades!$U$10,I39),1)*IF(Upgrades!$T$11="Stellar Coupling",POWER(Upgrades!$U$11,J39),1)*IF(Upgrades!$T$12="Stellar Coupling",POWER(Upgrades!$U$12,K39),1))+(IF(H39=0,0,(Upgrades!$G$9+H39*Upgrades!$H$9)*POWER(Upgrades!$I$9,H39)))*(IF(Upgrades!$T$6="Magnetosphere",POWER(Upgrades!$U$6,E39),1)*IF(Upgrades!$T$7="Magnetosphere",POWER(Upgrades!$U$7,F39),1)*IF(Upgrades!$T$8="Magnetosphere",POWER(Upgrades!$U$8,G39),1)*IF(Upgrades!$T$10="Magnetosphere",POWER(Upgrades!$U$10,I39),1)*IF(Upgrades!$T$11="Magnetosphere",POWER(Upgrades!$U$11,J39),1)*IF(Upgrades!$T$12="Magnetosphere",POWER(Upgrades!$U$12,K39),1))+(IF(I39=0,0,(Upgrades!$G$10+I39*Upgrades!$H$10)*POWER(Upgrades!$I$10,I39)))*(IF(Upgrades!$T$6="Orbital Resonance",POWER(Upgrades!$U$6,E39),1)*IF(Upgrades!$T$7="Orbital Resonance",POWER(Upgrades!$U$7,F39),1)*IF(Upgrades!$T$8="Orbital Resonance",POWER(Upgrades!$U$8,G39),1)*IF(Upgrades!$T$9="Orbital Resonance",POWER(Upgrades!$U$9,H39),1)*IF(Upgrades!$T$11="Orbital Resonance",POWER(Upgrades!$U$11,J39),1)*IF(Upgrades!$T$12="Orbital Resonance",POWER(Upgrades!$U$12,K39),1))+(IF(J39=0,0,(Upgrades!$G$11+J39*Upgrades!$H$11)*POWER(Upgrades!$I$11,J39)))*(IF(Upgrades!$T$6="Heliopause",POWER(Upgrades!$U$6,E39),1)*IF(Upgrades!$T$7="Heliopause",POWER(Upgrades!$U$7,F39),1)*IF(Upgrades!$T$8="Heliopause",POWER(Upgrades!$U$8,G39),1)*IF(Upgrades!$T$9="Heliopause",POWER(Upgrades!$U$9,H39),1)*IF(Upgrades!$T$10="Heliopause",POWER(Upgrades!$U$10,I39),1)*IF(Upgrades!$T$12="Heliopause",POWER(Upgrades!$U$12,K39),1))+(IF(K39=0,0,(Upgrades!$G$12+K39*Upgrades!$H$12)*POWER(Upgrades!$I$12,K39)))*(IF(Upgrades!$T$6="First Photons",POWER(Upgrades!$U$6,E39),1)*IF(Upgrades!$T$7="First Photons",POWER(Upgrades!$U$7,F39),1)*IF(Upgrades!$T$8="First Photons",POWER(Upgrades!$U$8,G39),1)*IF(Upgrades!$T$9="First Photons",POWER(Upgrades!$U$9,H39),1)*IF(Upgrades!$T$10="First Photons",POWER(Upgrades!$U$10,I39),1)*IF(Upgrades!$T$11="First Photons",POWER(Upgrades!$U$11,J39),1)))*POWER(Upgrades!$P$6,E39)*POWER(Upgrades!$P$7,F39)*POWER(Upgrades!$P$8,G39)*POWER(Upgrades!$P$9,H39)*POWER(Upgrades!$P$10,I39)*POWER(Upgrades!$P$11,J39)*POWER(Upgrades!$P$12,K39)</f>
        <v>7</v>
      </c>
      <c r="O39" s="28" t="n">
        <f aca="false">((IF(E39=0,0,(Upgrades!$M$6+E39*Upgrades!$N$6)*POWER(Upgrades!$O$6,E39)))*(IF(Upgrades!$T$7="Solar Wind",POWER(Upgrades!$U$7,F39),1)*IF(Upgrades!$T$8="Solar Wind",POWER(Upgrades!$U$8,G39),1)*IF(Upgrades!$T$9="Solar Wind",POWER(Upgrades!$U$9,H39),1)*IF(Upgrades!$T$10="Solar Wind",POWER(Upgrades!$U$10,I39),1)*IF(Upgrades!$T$11="Solar Wind",POWER(Upgrades!$U$11,J39),1)*IF(Upgrades!$T$12="Solar Wind",POWER(Upgrades!$U$12,K39),1))+(IF(F39=0,0,(Upgrades!$M$7+F39*Upgrades!$N$7)*POWER(Upgrades!$O$7,F39)))*(IF(Upgrades!$T$6="Asteroid Belt",POWER(Upgrades!$U$6,E39),1)*IF(Upgrades!$T$8="Asteroid Belt",POWER(Upgrades!$U$8,G39),1)*IF(Upgrades!$T$9="Asteroid Belt",POWER(Upgrades!$U$9,H39),1)*IF(Upgrades!$T$10="Asteroid Belt",POWER(Upgrades!$U$10,I39),1)*IF(Upgrades!$T$11="Asteroid Belt",POWER(Upgrades!$U$11,J39),1)*IF(Upgrades!$T$12="Asteroid Belt",POWER(Upgrades!$U$12,K39),1))+(IF(G39=0,0,(Upgrades!$M$8+G39*Upgrades!$N$8)*POWER(Upgrades!$O$8,G39)))*(IF(Upgrades!$T$6="Stellar Coupling",POWER(Upgrades!$U$6,E39),1)*IF(Upgrades!$T$7="Stellar Coupling",POWER(Upgrades!$U$7,F39),1)*IF(Upgrades!$T$9="Stellar Coupling",POWER(Upgrades!$U$9,H39),1)*IF(Upgrades!$T$10="Stellar Coupling",POWER(Upgrades!$U$10,I39),1)*IF(Upgrades!$T$11="Stellar Coupling",POWER(Upgrades!$U$11,J39),1)*IF(Upgrades!$T$12="Stellar Coupling",POWER(Upgrades!$U$12,K39),1))+(IF(H39=0,0,(Upgrades!$M$9+H39*Upgrades!$N$9)*POWER(Upgrades!$O$9,H39)))*(IF(Upgrades!$T$6="Magnetosphere",POWER(Upgrades!$U$6,E39),1)*IF(Upgrades!$T$7="Magnetosphere",POWER(Upgrades!$U$7,F39),1)*IF(Upgrades!$T$8="Magnetosphere",POWER(Upgrades!$U$8,G39),1)*IF(Upgrades!$T$10="Magnetosphere",POWER(Upgrades!$U$10,I39),1)*IF(Upgrades!$T$11="Magnetosphere",POWER(Upgrades!$U$11,J39),1)*IF(Upgrades!$T$12="Magnetosphere",POWER(Upgrades!$U$12,K39),1))+(IF(I39=0,0,(Upgrades!$M$10+I39*Upgrades!$N$10)*POWER(Upgrades!$O$10,I39)))*(IF(Upgrades!$T$6="Orbital Resonance",POWER(Upgrades!$U$6,E39),1)*IF(Upgrades!$T$7="Orbital Resonance",POWER(Upgrades!$U$7,F39),1)*IF(Upgrades!$T$8="Orbital Resonance",POWER(Upgrades!$U$8,G39),1)*IF(Upgrades!$T$9="Orbital Resonance",POWER(Upgrades!$U$9,H39),1)*IF(Upgrades!$T$11="Orbital Resonance",POWER(Upgrades!$U$11,J39),1)*IF(Upgrades!$T$12="Orbital Resonance",POWER(Upgrades!$U$12,K39),1))+(IF(J39=0,0,(Upgrades!$M$11+J39*Upgrades!$N$11)*POWER(Upgrades!$O$11,J39)))*(IF(Upgrades!$T$6="Heliopause",POWER(Upgrades!$U$6,E39),1)*IF(Upgrades!$T$7="Heliopause",POWER(Upgrades!$U$7,F39),1)*IF(Upgrades!$T$8="Heliopause",POWER(Upgrades!$U$8,G39),1)*IF(Upgrades!$T$9="Heliopause",POWER(Upgrades!$U$9,H39),1)*IF(Upgrades!$T$10="Heliopause",POWER(Upgrades!$U$10,I39),1)*IF(Upgrades!$T$12="Heliopause",POWER(Upgrades!$U$12,K39),1))+(IF(K39=0,0,(Upgrades!$M$12+K39*Upgrades!$N$12)*POWER(Upgrades!$O$12,K39)))*(IF(Upgrades!$T$6="First Photons",POWER(Upgrades!$U$6,E39),1)*IF(Upgrades!$T$7="First Photons",POWER(Upgrades!$U$7,F39),1)*IF(Upgrades!$T$8="First Photons",POWER(Upgrades!$U$8,G39),1)*IF(Upgrades!$T$9="First Photons",POWER(Upgrades!$U$9,H39),1)*IF(Upgrades!$T$10="First Photons",POWER(Upgrades!$U$10,I39),1)*IF(Upgrades!$T$11="First Photons",POWER(Upgrades!$U$11,J39),1)))*POWER(Upgrades!$R$6,E39)*POWER(Upgrades!$R$7,F39)*POWER(Upgrades!$R$8,G39)*POWER(Upgrades!$R$9,H39)*POWER(Upgrades!$R$10,I39)*POWER(Upgrades!$R$11,J39)*POWER(Upgrades!$R$12,K39)</f>
        <v>0</v>
      </c>
      <c r="P39" s="27" t="n">
        <f aca="false">IF(L39=1,0,M39*Parameters!$B$10/60*Parameters!$B$11*10)</f>
        <v>69.1666666666667</v>
      </c>
      <c r="Q39" s="27" t="n">
        <f aca="false">IF(L39=1,0,O39*M39*10)</f>
        <v>0</v>
      </c>
      <c r="R39" s="27" t="n">
        <f aca="false">IF(L39=1,0,N39*10)</f>
        <v>70</v>
      </c>
      <c r="S39" s="27" t="n">
        <f aca="false">P39+Q39+R39</f>
        <v>139.166666666667</v>
      </c>
      <c r="T39" s="21" t="n">
        <f aca="false">C39+S39</f>
        <v>291.232653410975</v>
      </c>
      <c r="U39" s="34" t="str">
        <f aca="false">AX39</f>
        <v/>
      </c>
      <c r="V39" s="21" t="n">
        <f aca="false">IF(U39="",0,IF(U39="transition",0,IF(U39="SW",AG39,IF(U39="AB",AH39,IF(U39="SC",AI39,IF(U39="Mag",AJ39,IF(U39="OR",AK39,IF(U39="HP",AL39,IF(U39="FP",AM39,0)))))))))</f>
        <v>0</v>
      </c>
      <c r="W39" s="27" t="n">
        <f aca="false">IF(U39="OR",Upgrades!$F$10,IF(U39="HP",Upgrades!$F$11,IF(U39="transition",-Parameters!$B$18,0)))</f>
        <v>0</v>
      </c>
      <c r="X39" s="21" t="n">
        <f aca="false">T39-V39</f>
        <v>291.232653410975</v>
      </c>
      <c r="Y39" s="30" t="n">
        <f aca="false">M39*Parameters!$B$10/60*Parameters!$B$11+O39*M39+N39</f>
        <v>13.9166666666667</v>
      </c>
      <c r="Z39" s="35" t="str">
        <f aca="false">IF(U39="transition","→ Tier 2 (Stellar Neighborhood)",IF(U39="FP","First Photons — light begins, system quickens",IF(U39="HP","Heliopause acquired",IF(U39="OR","Orbital Resonance — passive multiplier active",IF(AND(AO39=1,L39=0,AN39&lt;&gt;1),"Cohesion ready (waiting on completionist upgrades)","")))))</f>
        <v>Cohesion ready (waiting on completionist upgrades)</v>
      </c>
      <c r="AA39" s="27" t="n">
        <f aca="false">(IF(E39=0,0,(Upgrades!$G$6+E39*Upgrades!$H$6)*POWER(Upgrades!$I$6,E39)))*(IF(Upgrades!$T$7="Solar Wind",POWER(Upgrades!$U$7,F39),1)*IF(Upgrades!$T$8="Solar Wind",POWER(Upgrades!$U$8,G39),1)*IF(Upgrades!$T$9="Solar Wind",POWER(Upgrades!$U$9,H39),1)*IF(Upgrades!$T$10="Solar Wind",POWER(Upgrades!$U$10,I39),1)*IF(Upgrades!$T$11="Solar Wind",POWER(Upgrades!$U$11,J39),1)*IF(Upgrades!$T$12="Solar Wind",POWER(Upgrades!$U$12,K39),1))*POWER(Upgrades!$P$6,E39)*POWER(Upgrades!$P$7,F39)*POWER(Upgrades!$P$8,G39)*POWER(Upgrades!$P$9,H39)*POWER(Upgrades!$P$10,I39)*POWER(Upgrades!$P$11,J39)*POWER(Upgrades!$P$12,K39)*60</f>
        <v>60</v>
      </c>
      <c r="AB39" s="27" t="n">
        <f aca="false">(IF(F39=0,0,(Upgrades!$G$7+F39*Upgrades!$H$7)*POWER(Upgrades!$I$7,F39)))*(IF(Upgrades!$T$6="Asteroid Belt",POWER(Upgrades!$U$6,E39),1)*IF(Upgrades!$T$8="Asteroid Belt",POWER(Upgrades!$U$8,G39),1)*IF(Upgrades!$T$9="Asteroid Belt",POWER(Upgrades!$U$9,H39),1)*IF(Upgrades!$T$10="Asteroid Belt",POWER(Upgrades!$U$10,I39),1)*IF(Upgrades!$T$11="Asteroid Belt",POWER(Upgrades!$U$11,J39),1)*IF(Upgrades!$T$12="Asteroid Belt",POWER(Upgrades!$U$12,K39),1))*POWER(Upgrades!$P$6,E39)*POWER(Upgrades!$P$7,F39)*POWER(Upgrades!$P$8,G39)*POWER(Upgrades!$P$9,H39)*POWER(Upgrades!$P$10,I39)*POWER(Upgrades!$P$11,J39)*POWER(Upgrades!$P$12,K39)*60</f>
        <v>135</v>
      </c>
      <c r="AC39" s="27" t="n">
        <f aca="false">(IF(G39=0,0,(Upgrades!$J$8+G39*Upgrades!$K$8)*POWER(Upgrades!$L$8,G39)))*(IF(Upgrades!$T$6="Stellar Coupling",POWER(Upgrades!$U$6,E39),1)*IF(Upgrades!$T$7="Stellar Coupling",POWER(Upgrades!$U$7,F39),1)*IF(Upgrades!$T$9="Stellar Coupling",POWER(Upgrades!$U$9,H39),1)*IF(Upgrades!$T$10="Stellar Coupling",POWER(Upgrades!$U$10,I39),1)*IF(Upgrades!$T$11="Stellar Coupling",POWER(Upgrades!$U$11,J39),1)*IF(Upgrades!$T$12="Stellar Coupling",POWER(Upgrades!$U$12,K39),1))*POWER(Upgrades!$Q$6,E39)*POWER(Upgrades!$Q$7,F39)*POWER(Upgrades!$Q$8,G39)*POWER(Upgrades!$Q$9,H39)*POWER(Upgrades!$Q$10,I39)*POWER(Upgrades!$Q$11,J39)*POWER(Upgrades!$Q$12,K39)*Parameters!$B$10*Parameters!$B$11</f>
        <v>315</v>
      </c>
      <c r="AD39" s="27" t="n">
        <f aca="false">(IF(H39=0,0,(Upgrades!$G$9+H39*Upgrades!$H$9)*POWER(Upgrades!$I$9,H39)))*(IF(Upgrades!$T$6="Magnetosphere",POWER(Upgrades!$U$6,E39),1)*IF(Upgrades!$T$7="Magnetosphere",POWER(Upgrades!$U$7,F39),1)*IF(Upgrades!$T$8="Magnetosphere",POWER(Upgrades!$U$8,G39),1)*IF(Upgrades!$T$10="Magnetosphere",POWER(Upgrades!$U$10,I39),1)*IF(Upgrades!$T$11="Magnetosphere",POWER(Upgrades!$U$11,J39),1)*IF(Upgrades!$T$12="Magnetosphere",POWER(Upgrades!$U$12,K39),1))*POWER(Upgrades!$P$6,E39)*POWER(Upgrades!$P$7,F39)*POWER(Upgrades!$P$8,G39)*POWER(Upgrades!$P$9,H39)*POWER(Upgrades!$P$10,I39)*POWER(Upgrades!$P$11,J39)*POWER(Upgrades!$P$12,K39)*60</f>
        <v>225</v>
      </c>
      <c r="AE39" s="27" t="n">
        <f aca="false">(IF(K39=0,0,(Upgrades!$G$12+K39*Upgrades!$H$12)*POWER(Upgrades!$I$12,K39)))*(IF(Upgrades!$T$6="First Photons",POWER(Upgrades!$U$6,E39),1)*IF(Upgrades!$T$7="First Photons",POWER(Upgrades!$U$7,F39),1)*IF(Upgrades!$T$8="First Photons",POWER(Upgrades!$U$8,G39),1)*IF(Upgrades!$T$9="First Photons",POWER(Upgrades!$U$9,H39),1)*IF(Upgrades!$T$10="First Photons",POWER(Upgrades!$U$10,I39),1)*IF(Upgrades!$T$11="First Photons",POWER(Upgrades!$U$11,J39),1))*POWER(Upgrades!$P$6,E39)*POWER(Upgrades!$P$7,F39)*POWER(Upgrades!$P$8,G39)*POWER(Upgrades!$P$9,H39)*POWER(Upgrades!$P$10,I39)*POWER(Upgrades!$P$11,J39)*POWER(Upgrades!$P$12,K39)*60</f>
        <v>0</v>
      </c>
      <c r="AF39" s="27" t="n">
        <f aca="false">Parameters!$B$9*POWER(Upgrades!$Q$6,E39)*POWER(Upgrades!$Q$7,F39)*POWER(Upgrades!$Q$8,G39)*POWER(Upgrades!$Q$9,H39)*POWER(Upgrades!$Q$10,I39)*POWER(Upgrades!$Q$11,J39)*POWER(Upgrades!$Q$12,K39)*(Parameters!$B$10*Parameters!$B$11+O39*60)</f>
        <v>100</v>
      </c>
      <c r="AG39" s="21" t="n">
        <f aca="false">IF(E39&gt;=Upgrades!$E$6,"",Upgrades!$C$6*POWER(Upgrades!$D$6,E39))</f>
        <v>28.3189041499553</v>
      </c>
      <c r="AH39" s="21" t="n">
        <f aca="false">IF(F39&gt;=Upgrades!$E$7,"",Upgrades!$C$7*POWER(Upgrades!$D$7,F39))</f>
        <v>70.3575258383984</v>
      </c>
      <c r="AI39" s="21" t="n">
        <f aca="false">IF(G39&gt;=Upgrades!$E$8,"",Upgrades!$C$8*POWER(Upgrades!$D$8,G39))</f>
        <v>165.649792</v>
      </c>
      <c r="AJ39" s="21" t="n">
        <f aca="false">IF(H39&gt;=Upgrades!$E$9,"",Upgrades!$C$9*POWER(Upgrades!$D$9,H39))</f>
        <v>640</v>
      </c>
      <c r="AK39" s="21" t="str">
        <f aca="false">IF(I39&gt;=Upgrades!$E$10,"",Upgrades!$C$10*POWER(Upgrades!$D$10,I39))</f>
        <v/>
      </c>
      <c r="AL39" s="21" t="str">
        <f aca="false">IF(J39&gt;=Upgrades!$E$11,"",Upgrades!$C$11*POWER(Upgrades!$D$11,J39))</f>
        <v/>
      </c>
      <c r="AM39" s="21" t="n">
        <f aca="false">IF(K39&gt;=Upgrades!$E$12,"",Upgrades!$C$12*POWER(Upgrades!$D$12,K39))</f>
        <v>850</v>
      </c>
      <c r="AN39" s="26" t="str">
        <f aca="false">IF(AND(D39&gt;=Parameters!$B$18,(H39&gt;=Upgrades!$E$9)*(K39&gt;=Upgrades!$E$12)=1,L39=0),1,"")</f>
        <v/>
      </c>
      <c r="AO39" s="26" t="n">
        <f aca="false">IF(AND(D39&gt;=Parameters!$B$18,L39=0),1,"")</f>
        <v>1</v>
      </c>
      <c r="AP39" s="21" t="n">
        <f aca="false">MIN(IF(ISNUMBER(AK39),AK39,9000000000000000),IF(ISNUMBER(AL39),AL39,9000000000000000),IF(ISNUMBER(AM39),AM39,9000000000000000))</f>
        <v>850</v>
      </c>
      <c r="AQ39" s="21" t="n">
        <f aca="false">MIN(IF(ISNUMBER(AG39),AG39,9000000000000000),IF(ISNUMBER(AH39),AH39,9000000000000000),IF(ISNUMBER(AI39),AI39,9000000000000000),IF(ISNUMBER(AJ39),AJ39,9000000000000000))</f>
        <v>28.3189041499553</v>
      </c>
      <c r="AR39" s="32" t="b">
        <f aca="false">IF(AW39&gt;Parameters!$B$21*(MAX(IF(AND(NOT(AND(AO39=1,AN39&lt;&gt;1)),ISNUMBER(AG39),AG39&lt;=T39),AS39,0),IF(AND(NOT(AND(AO39=1,AN39&lt;&gt;1)),ISNUMBER(AH39),AH39&lt;=T39),AT39,0),IF(AND(NOT(AND(AO39=1,AN39&lt;&gt;1)),ISNUMBER(AI39),AI39&lt;=T39),AU39,0),IF(AND(ISNUMBER(AJ39),AJ39&lt;=T39),AV39,0))),TRUE(),FALSE())</f>
        <v>1</v>
      </c>
      <c r="AS39" s="33" t="n">
        <f aca="false">IFERROR(Upgrades!$H$6*(POWER(Upgrades!$P$6,E39)*POWER(Upgrades!$P$7,F39)*POWER(Upgrades!$P$8,G39)*POWER(Upgrades!$P$9,H39)*POWER(Upgrades!$P$10,I39)*POWER(Upgrades!$P$11,J39)*POWER(Upgrades!$P$12,K39))*(IF(Upgrades!$T$7="Solar Wind",POWER(Upgrades!$U$7,F39),1)*IF(Upgrades!$T$8="Solar Wind",POWER(Upgrades!$U$8,G39),1)*IF(Upgrades!$T$9="Solar Wind",POWER(Upgrades!$U$9,H39),1)*IF(Upgrades!$T$10="Solar Wind",POWER(Upgrades!$U$10,I39),1)*IF(Upgrades!$T$11="Solar Wind",POWER(Upgrades!$U$11,J39),1)*IF(Upgrades!$T$12="Solar Wind",POWER(Upgrades!$U$12,K39),1))/AG39,0)</f>
        <v>0.00353121008745523</v>
      </c>
      <c r="AT39" s="33" t="n">
        <f aca="false">IFERROR(Upgrades!$H$7*(POWER(Upgrades!$P$6,E39)*POWER(Upgrades!$P$7,F39)*POWER(Upgrades!$P$8,G39)*POWER(Upgrades!$P$9,H39)*POWER(Upgrades!$P$10,I39)*POWER(Upgrades!$P$11,J39)*POWER(Upgrades!$P$12,K39))*(IF(Upgrades!$T$6="Asteroid Belt",POWER(Upgrades!$U$6,E39),1)*IF(Upgrades!$T$8="Asteroid Belt",POWER(Upgrades!$U$8,G39),1)*IF(Upgrades!$T$9="Asteroid Belt",POWER(Upgrades!$U$9,H39),1)*IF(Upgrades!$T$10="Asteroid Belt",POWER(Upgrades!$U$10,I39),1)*IF(Upgrades!$T$11="Asteroid Belt",POWER(Upgrades!$U$11,J39),1)*IF(Upgrades!$T$12="Asteroid Belt",POWER(Upgrades!$U$12,K39),1))/AH39,0)</f>
        <v>0.00355328015050182</v>
      </c>
      <c r="AU39" s="33" t="n">
        <f aca="false">IFERROR(Upgrades!$K$8*(POWER(Upgrades!$Q$6,E39)*POWER(Upgrades!$Q$7,F39)*POWER(Upgrades!$Q$8,G39)*POWER(Upgrades!$Q$9,H39)*POWER(Upgrades!$Q$10,I39)*POWER(Upgrades!$Q$11,J39)*POWER(Upgrades!$Q$12,K39))*(IF(Upgrades!$T$6="Stellar Coupling",POWER(Upgrades!$U$6,E39),1)*IF(Upgrades!$T$7="Stellar Coupling",POWER(Upgrades!$U$7,F39),1)*IF(Upgrades!$T$9="Stellar Coupling",POWER(Upgrades!$U$9,H39),1)*IF(Upgrades!$T$10="Stellar Coupling",POWER(Upgrades!$U$10,I39),1)*IF(Upgrades!$T$11="Stellar Coupling",POWER(Upgrades!$U$11,J39),1)*IF(Upgrades!$T$12="Stellar Coupling",POWER(Upgrades!$U$12,K39),1))*Parameters!$B$10*Parameters!$B$11/60/AI39,0)</f>
        <v>0.00528222818414405</v>
      </c>
      <c r="AV39" s="33" t="n">
        <f aca="false">IFERROR(Upgrades!$H$9*(POWER(Upgrades!$P$6,E39)*POWER(Upgrades!$P$7,F39)*POWER(Upgrades!$P$8,G39)*POWER(Upgrades!$P$9,H39)*POWER(Upgrades!$P$10,I39)*POWER(Upgrades!$P$11,J39)*POWER(Upgrades!$P$12,K39))*(IF(Upgrades!$T$6="Magnetosphere",POWER(Upgrades!$U$6,E39),1)*IF(Upgrades!$T$7="Magnetosphere",POWER(Upgrades!$U$7,F39),1)*IF(Upgrades!$T$8="Magnetosphere",POWER(Upgrades!$U$8,G39),1)*IF(Upgrades!$T$10="Magnetosphere",POWER(Upgrades!$U$10,I39),1)*IF(Upgrades!$T$11="Magnetosphere",POWER(Upgrades!$U$11,J39),1)*IF(Upgrades!$T$12="Magnetosphere",POWER(Upgrades!$U$12,K39),1))/AJ39,0)</f>
        <v>0.001953125</v>
      </c>
      <c r="AW39" s="33" t="n">
        <f aca="false">MAX(IF(I39&gt;0,0,IFERROR(0.25*N39/Upgrades!$C$10,0)),IF(J39&gt;0,0,IFERROR(0.5*((IF(G39=0,0,(Upgrades!$J$8+G39*Upgrades!$K$8)*POWER(Upgrades!$L$8,G39)))*(IF(Upgrades!$T$6="Stellar Coupling",POWER(Upgrades!$U$6,E39),1)*IF(Upgrades!$T$7="Stellar Coupling",POWER(Upgrades!$U$7,F39),1)*IF(Upgrades!$T$9="Stellar Coupling",POWER(Upgrades!$U$9,H39),1)*IF(Upgrades!$T$10="Stellar Coupling",POWER(Upgrades!$U$10,I39),1)*IF(Upgrades!$T$11="Stellar Coupling",POWER(Upgrades!$U$11,J39),1)*IF(Upgrades!$T$12="Stellar Coupling",POWER(Upgrades!$U$12,K39),1))*(POWER(Upgrades!$Q$6,E39)*POWER(Upgrades!$Q$7,F39)*POWER(Upgrades!$Q$8,G39)*POWER(Upgrades!$Q$9,H39)*POWER(Upgrades!$Q$10,I39)*POWER(Upgrades!$Q$11,J39)*POWER(Upgrades!$Q$12,K39))*Parameters!$B$10*Parameters!$B$11/60)/Upgrades!$C$11,0)),IF(K39&gt;0,0,IFERROR((1*(POWER(Upgrades!$P$6,E39)*POWER(Upgrades!$P$7,F39)*POWER(Upgrades!$P$8,G39)*POWER(Upgrades!$P$9,H39)*POWER(Upgrades!$P$10,I39)*POWER(Upgrades!$P$11,J39)*POWER(Upgrades!$P$12,K39))+0.2*M39*Parameters!$B$10*Parameters!$B$11/60)/Upgrades!$C$12,0)),IF(AND(ISNUMBER(AG39),AG39&gt;T39),AS39,0),IF(AND(ISNUMBER(AH39),AH39&gt;T39),AT39,0),IF(AND(ISNUMBER(AI39),AI39&gt;T39),AU39,0),IF(AND(ISNUMBER(AJ39),AJ39&gt;T39),AV39,0))</f>
        <v>0.00309803921568627</v>
      </c>
      <c r="AX39" s="29" t="str">
        <f aca="false">IF(AN39=1,"transition",IF(MIN(IF(AND(I39=0,ISNUMBER(AK39),AK39&lt;=T39),AK39,9000000000000000),IF(AND(J39=0,ISNUMBER(AL39),AL39&lt;=T39),AL39,9000000000000000),IF(AND(K39=0,ISNUMBER(AM39),AM39&lt;=T39),AM39,9000000000000000))&lt;9000000000000000,IF(AND(AND(I39=0,ISNUMBER(AK39),AK39&lt;=T39),AK39=MIN(IF(AND(I39=0,ISNUMBER(AK39),AK39&lt;=T39),AK39,9000000000000000),IF(AND(J39=0,ISNUMBER(AL39),AL39&lt;=T39),AL39,9000000000000000),IF(AND(K39=0,ISNUMBER(AM39),AM39&lt;=T39),AM39,9000000000000000))),"OR",IF(AND(AND(J39=0,ISNUMBER(AL39),AL39&lt;=T39),AL39=MIN(IF(AND(I39=0,ISNUMBER(AK39),AK39&lt;=T39),AK39,9000000000000000),IF(AND(J39=0,ISNUMBER(AL39),AL39&lt;=T39),AL39,9000000000000000),IF(AND(K39=0,ISNUMBER(AM39),AM39&lt;=T39),AM39,9000000000000000))),"HP","FP")),IF(AR39=TRUE(),"",IF(MAX(IF(AND(NOT(AND(AO39=1,AN39&lt;&gt;1)),ISNUMBER(AG39),AG39&lt;=T39),AS39,0),IF(AND(NOT(AND(AO39=1,AN39&lt;&gt;1)),ISNUMBER(AH39),AH39&lt;=T39),AT39,0),IF(AND(NOT(AND(AO39=1,AN39&lt;&gt;1)),ISNUMBER(AI39),AI39&lt;=T39),AU39,0),IF(AND(ISNUMBER(AJ39),AJ39&lt;=T39),AV39,0))&lt;=0,"",IF(AND(IF(AND(NOT(AND(AO39=1,AN39&lt;&gt;1)),ISNUMBER(AG39),AG39&lt;=T39),AS39,0)&gt;0,IF(AND(NOT(AND(AO39=1,AN39&lt;&gt;1)),ISNUMBER(AG39),AG39&lt;=T39),AS39,0)=MAX(IF(AND(NOT(AND(AO39=1,AN39&lt;&gt;1)),ISNUMBER(AG39),AG39&lt;=T39),AS39,0),IF(AND(NOT(AND(AO39=1,AN39&lt;&gt;1)),ISNUMBER(AH39),AH39&lt;=T39),AT39,0),IF(AND(NOT(AND(AO39=1,AN39&lt;&gt;1)),ISNUMBER(AI39),AI39&lt;=T39),AU39,0),IF(AND(ISNUMBER(AJ39),AJ39&lt;=T39),AV39,0))),"SW",IF(AND(IF(AND(NOT(AND(AO39=1,AN39&lt;&gt;1)),ISNUMBER(AH39),AH39&lt;=T39),AT39,0)&gt;0,IF(AND(NOT(AND(AO39=1,AN39&lt;&gt;1)),ISNUMBER(AH39),AH39&lt;=T39),AT39,0)=MAX(IF(AND(NOT(AND(AO39=1,AN39&lt;&gt;1)),ISNUMBER(AG39),AG39&lt;=T39),AS39,0),IF(AND(NOT(AND(AO39=1,AN39&lt;&gt;1)),ISNUMBER(AH39),AH39&lt;=T39),AT39,0),IF(AND(NOT(AND(AO39=1,AN39&lt;&gt;1)),ISNUMBER(AI39),AI39&lt;=T39),AU39,0),IF(AND(ISNUMBER(AJ39),AJ39&lt;=T39),AV39,0))),"AB",IF(AND(IF(AND(NOT(AND(AO39=1,AN39&lt;&gt;1)),ISNUMBER(AI39),AI39&lt;=T39),AU39,0)&gt;0,IF(AND(NOT(AND(AO39=1,AN39&lt;&gt;1)),ISNUMBER(AI39),AI39&lt;=T39),AU39,0)=MAX(IF(AND(NOT(AND(AO39=1,AN39&lt;&gt;1)),ISNUMBER(AG39),AG39&lt;=T39),AS39,0),IF(AND(NOT(AND(AO39=1,AN39&lt;&gt;1)),ISNUMBER(AH39),AH39&lt;=T39),AT39,0),IF(AND(NOT(AND(AO39=1,AN39&lt;&gt;1)),ISNUMBER(AI39),AI39&lt;=T39),AU39,0),IF(AND(ISNUMBER(AJ39),AJ39&lt;=T39),AV39,0))),"SC","Mag")))))))</f>
        <v/>
      </c>
    </row>
    <row r="40" customFormat="false" ht="15" hidden="false" customHeight="false" outlineLevel="0" collapsed="false">
      <c r="A40" s="26" t="n">
        <v>35</v>
      </c>
      <c r="B40" s="27" t="n">
        <f aca="false">A40*10/60</f>
        <v>5.83333333333333</v>
      </c>
      <c r="C40" s="21" t="n">
        <f aca="false">X39</f>
        <v>291.232653410975</v>
      </c>
      <c r="D40" s="27" t="n">
        <f aca="false">D39+W39</f>
        <v>1</v>
      </c>
      <c r="E40" s="26" t="n">
        <f aca="false">E39+IF(U39="SW",1,0)</f>
        <v>10</v>
      </c>
      <c r="F40" s="26" t="n">
        <f aca="false">F39+IF(U39="AB",1,0)</f>
        <v>9</v>
      </c>
      <c r="G40" s="26" t="n">
        <f aca="false">G39+IF(U39="SC",1,0)</f>
        <v>6</v>
      </c>
      <c r="H40" s="26" t="n">
        <f aca="false">H39+IF(U39="Mag",1,0)</f>
        <v>3</v>
      </c>
      <c r="I40" s="26" t="n">
        <f aca="false">MAX(I39,IF(U39="OR",1,0))</f>
        <v>1</v>
      </c>
      <c r="J40" s="26" t="n">
        <f aca="false">MAX(J39,IF(U39="HP",1,0))</f>
        <v>1</v>
      </c>
      <c r="K40" s="26" t="n">
        <f aca="false">MAX(K39,IF(U39="FP",1,0))</f>
        <v>0</v>
      </c>
      <c r="L40" s="26" t="n">
        <f aca="false">MAX(L39,IF(U39="transition",1,0))</f>
        <v>0</v>
      </c>
      <c r="M40" s="28" t="n">
        <f aca="false">(Parameters!$B$9+(IF(E40=0,0,(Upgrades!$J$6+E40*Upgrades!$K$6)*POWER(Upgrades!$L$6,E40)))*(IF(Upgrades!$T$7="Solar Wind",POWER(Upgrades!$U$7,F40),1)*IF(Upgrades!$T$8="Solar Wind",POWER(Upgrades!$U$8,G40),1)*IF(Upgrades!$T$9="Solar Wind",POWER(Upgrades!$U$9,H40),1)*IF(Upgrades!$T$10="Solar Wind",POWER(Upgrades!$U$10,I40),1)*IF(Upgrades!$T$11="Solar Wind",POWER(Upgrades!$U$11,J40),1)*IF(Upgrades!$T$12="Solar Wind",POWER(Upgrades!$U$12,K40),1))+(IF(F40=0,0,(Upgrades!$J$7+F40*Upgrades!$K$7)*POWER(Upgrades!$L$7,F40)))*(IF(Upgrades!$T$6="Asteroid Belt",POWER(Upgrades!$U$6,E40),1)*IF(Upgrades!$T$8="Asteroid Belt",POWER(Upgrades!$U$8,G40),1)*IF(Upgrades!$T$9="Asteroid Belt",POWER(Upgrades!$U$9,H40),1)*IF(Upgrades!$T$10="Asteroid Belt",POWER(Upgrades!$U$10,I40),1)*IF(Upgrades!$T$11="Asteroid Belt",POWER(Upgrades!$U$11,J40),1)*IF(Upgrades!$T$12="Asteroid Belt",POWER(Upgrades!$U$12,K40),1))+(IF(G40=0,0,(Upgrades!$J$8+G40*Upgrades!$K$8)*POWER(Upgrades!$L$8,G40)))*(IF(Upgrades!$T$6="Stellar Coupling",POWER(Upgrades!$U$6,E40),1)*IF(Upgrades!$T$7="Stellar Coupling",POWER(Upgrades!$U$7,F40),1)*IF(Upgrades!$T$9="Stellar Coupling",POWER(Upgrades!$U$9,H40),1)*IF(Upgrades!$T$10="Stellar Coupling",POWER(Upgrades!$U$10,I40),1)*IF(Upgrades!$T$11="Stellar Coupling",POWER(Upgrades!$U$11,J40),1)*IF(Upgrades!$T$12="Stellar Coupling",POWER(Upgrades!$U$12,K40),1))+(IF(H40=0,0,(Upgrades!$J$9+H40*Upgrades!$K$9)*POWER(Upgrades!$L$9,H40)))*(IF(Upgrades!$T$6="Magnetosphere",POWER(Upgrades!$U$6,E40),1)*IF(Upgrades!$T$7="Magnetosphere",POWER(Upgrades!$U$7,F40),1)*IF(Upgrades!$T$8="Magnetosphere",POWER(Upgrades!$U$8,G40),1)*IF(Upgrades!$T$10="Magnetosphere",POWER(Upgrades!$U$10,I40),1)*IF(Upgrades!$T$11="Magnetosphere",POWER(Upgrades!$U$11,J40),1)*IF(Upgrades!$T$12="Magnetosphere",POWER(Upgrades!$U$12,K40),1))+(IF(I40=0,0,(Upgrades!$J$10+I40*Upgrades!$K$10)*POWER(Upgrades!$L$10,I40)))*(IF(Upgrades!$T$6="Orbital Resonance",POWER(Upgrades!$U$6,E40),1)*IF(Upgrades!$T$7="Orbital Resonance",POWER(Upgrades!$U$7,F40),1)*IF(Upgrades!$T$8="Orbital Resonance",POWER(Upgrades!$U$8,G40),1)*IF(Upgrades!$T$9="Orbital Resonance",POWER(Upgrades!$U$9,H40),1)*IF(Upgrades!$T$11="Orbital Resonance",POWER(Upgrades!$U$11,J40),1)*IF(Upgrades!$T$12="Orbital Resonance",POWER(Upgrades!$U$12,K40),1))+(IF(J40=0,0,(Upgrades!$J$11+J40*Upgrades!$K$11)*POWER(Upgrades!$L$11,J40)))*(IF(Upgrades!$T$6="Heliopause",POWER(Upgrades!$U$6,E40),1)*IF(Upgrades!$T$7="Heliopause",POWER(Upgrades!$U$7,F40),1)*IF(Upgrades!$T$8="Heliopause",POWER(Upgrades!$U$8,G40),1)*IF(Upgrades!$T$9="Heliopause",POWER(Upgrades!$U$9,H40),1)*IF(Upgrades!$T$10="Heliopause",POWER(Upgrades!$U$10,I40),1)*IF(Upgrades!$T$12="Heliopause",POWER(Upgrades!$U$12,K40),1))+(IF(K40=0,0,(Upgrades!$J$12+K40*Upgrades!$K$12)*POWER(Upgrades!$L$12,K40)))*(IF(Upgrades!$T$6="First Photons",POWER(Upgrades!$U$6,E40),1)*IF(Upgrades!$T$7="First Photons",POWER(Upgrades!$U$7,F40),1)*IF(Upgrades!$T$8="First Photons",POWER(Upgrades!$U$8,G40),1)*IF(Upgrades!$T$9="First Photons",POWER(Upgrades!$U$9,H40),1)*IF(Upgrades!$T$10="First Photons",POWER(Upgrades!$U$10,I40),1)*IF(Upgrades!$T$11="First Photons",POWER(Upgrades!$U$11,J40),1)))*POWER(Upgrades!$Q$6,E40)*POWER(Upgrades!$Q$7,F40)*POWER(Upgrades!$Q$8,G40)*POWER(Upgrades!$Q$9,H40)*POWER(Upgrades!$Q$10,I40)*POWER(Upgrades!$Q$11,J40)*POWER(Upgrades!$Q$12,K40)</f>
        <v>4.15</v>
      </c>
      <c r="N40" s="28" t="n">
        <f aca="false">((IF(E40=0,0,(Upgrades!$G$6+E40*Upgrades!$H$6)*POWER(Upgrades!$I$6,E40)))*(IF(Upgrades!$T$7="Solar Wind",POWER(Upgrades!$U$7,F40),1)*IF(Upgrades!$T$8="Solar Wind",POWER(Upgrades!$U$8,G40),1)*IF(Upgrades!$T$9="Solar Wind",POWER(Upgrades!$U$9,H40),1)*IF(Upgrades!$T$10="Solar Wind",POWER(Upgrades!$U$10,I40),1)*IF(Upgrades!$T$11="Solar Wind",POWER(Upgrades!$U$11,J40),1)*IF(Upgrades!$T$12="Solar Wind",POWER(Upgrades!$U$12,K40),1))+(IF(F40=0,0,(Upgrades!$G$7+F40*Upgrades!$H$7)*POWER(Upgrades!$I$7,F40)))*(IF(Upgrades!$T$6="Asteroid Belt",POWER(Upgrades!$U$6,E40),1)*IF(Upgrades!$T$8="Asteroid Belt",POWER(Upgrades!$U$8,G40),1)*IF(Upgrades!$T$9="Asteroid Belt",POWER(Upgrades!$U$9,H40),1)*IF(Upgrades!$T$10="Asteroid Belt",POWER(Upgrades!$U$10,I40),1)*IF(Upgrades!$T$11="Asteroid Belt",POWER(Upgrades!$U$11,J40),1)*IF(Upgrades!$T$12="Asteroid Belt",POWER(Upgrades!$U$12,K40),1))+(IF(G40=0,0,(Upgrades!$G$8+G40*Upgrades!$H$8)*POWER(Upgrades!$I$8,G40)))*(IF(Upgrades!$T$6="Stellar Coupling",POWER(Upgrades!$U$6,E40),1)*IF(Upgrades!$T$7="Stellar Coupling",POWER(Upgrades!$U$7,F40),1)*IF(Upgrades!$T$9="Stellar Coupling",POWER(Upgrades!$U$9,H40),1)*IF(Upgrades!$T$10="Stellar Coupling",POWER(Upgrades!$U$10,I40),1)*IF(Upgrades!$T$11="Stellar Coupling",POWER(Upgrades!$U$11,J40),1)*IF(Upgrades!$T$12="Stellar Coupling",POWER(Upgrades!$U$12,K40),1))+(IF(H40=0,0,(Upgrades!$G$9+H40*Upgrades!$H$9)*POWER(Upgrades!$I$9,H40)))*(IF(Upgrades!$T$6="Magnetosphere",POWER(Upgrades!$U$6,E40),1)*IF(Upgrades!$T$7="Magnetosphere",POWER(Upgrades!$U$7,F40),1)*IF(Upgrades!$T$8="Magnetosphere",POWER(Upgrades!$U$8,G40),1)*IF(Upgrades!$T$10="Magnetosphere",POWER(Upgrades!$U$10,I40),1)*IF(Upgrades!$T$11="Magnetosphere",POWER(Upgrades!$U$11,J40),1)*IF(Upgrades!$T$12="Magnetosphere",POWER(Upgrades!$U$12,K40),1))+(IF(I40=0,0,(Upgrades!$G$10+I40*Upgrades!$H$10)*POWER(Upgrades!$I$10,I40)))*(IF(Upgrades!$T$6="Orbital Resonance",POWER(Upgrades!$U$6,E40),1)*IF(Upgrades!$T$7="Orbital Resonance",POWER(Upgrades!$U$7,F40),1)*IF(Upgrades!$T$8="Orbital Resonance",POWER(Upgrades!$U$8,G40),1)*IF(Upgrades!$T$9="Orbital Resonance",POWER(Upgrades!$U$9,H40),1)*IF(Upgrades!$T$11="Orbital Resonance",POWER(Upgrades!$U$11,J40),1)*IF(Upgrades!$T$12="Orbital Resonance",POWER(Upgrades!$U$12,K40),1))+(IF(J40=0,0,(Upgrades!$G$11+J40*Upgrades!$H$11)*POWER(Upgrades!$I$11,J40)))*(IF(Upgrades!$T$6="Heliopause",POWER(Upgrades!$U$6,E40),1)*IF(Upgrades!$T$7="Heliopause",POWER(Upgrades!$U$7,F40),1)*IF(Upgrades!$T$8="Heliopause",POWER(Upgrades!$U$8,G40),1)*IF(Upgrades!$T$9="Heliopause",POWER(Upgrades!$U$9,H40),1)*IF(Upgrades!$T$10="Heliopause",POWER(Upgrades!$U$10,I40),1)*IF(Upgrades!$T$12="Heliopause",POWER(Upgrades!$U$12,K40),1))+(IF(K40=0,0,(Upgrades!$G$12+K40*Upgrades!$H$12)*POWER(Upgrades!$I$12,K40)))*(IF(Upgrades!$T$6="First Photons",POWER(Upgrades!$U$6,E40),1)*IF(Upgrades!$T$7="First Photons",POWER(Upgrades!$U$7,F40),1)*IF(Upgrades!$T$8="First Photons",POWER(Upgrades!$U$8,G40),1)*IF(Upgrades!$T$9="First Photons",POWER(Upgrades!$U$9,H40),1)*IF(Upgrades!$T$10="First Photons",POWER(Upgrades!$U$10,I40),1)*IF(Upgrades!$T$11="First Photons",POWER(Upgrades!$U$11,J40),1)))*POWER(Upgrades!$P$6,E40)*POWER(Upgrades!$P$7,F40)*POWER(Upgrades!$P$8,G40)*POWER(Upgrades!$P$9,H40)*POWER(Upgrades!$P$10,I40)*POWER(Upgrades!$P$11,J40)*POWER(Upgrades!$P$12,K40)</f>
        <v>7</v>
      </c>
      <c r="O40" s="28" t="n">
        <f aca="false">((IF(E40=0,0,(Upgrades!$M$6+E40*Upgrades!$N$6)*POWER(Upgrades!$O$6,E40)))*(IF(Upgrades!$T$7="Solar Wind",POWER(Upgrades!$U$7,F40),1)*IF(Upgrades!$T$8="Solar Wind",POWER(Upgrades!$U$8,G40),1)*IF(Upgrades!$T$9="Solar Wind",POWER(Upgrades!$U$9,H40),1)*IF(Upgrades!$T$10="Solar Wind",POWER(Upgrades!$U$10,I40),1)*IF(Upgrades!$T$11="Solar Wind",POWER(Upgrades!$U$11,J40),1)*IF(Upgrades!$T$12="Solar Wind",POWER(Upgrades!$U$12,K40),1))+(IF(F40=0,0,(Upgrades!$M$7+F40*Upgrades!$N$7)*POWER(Upgrades!$O$7,F40)))*(IF(Upgrades!$T$6="Asteroid Belt",POWER(Upgrades!$U$6,E40),1)*IF(Upgrades!$T$8="Asteroid Belt",POWER(Upgrades!$U$8,G40),1)*IF(Upgrades!$T$9="Asteroid Belt",POWER(Upgrades!$U$9,H40),1)*IF(Upgrades!$T$10="Asteroid Belt",POWER(Upgrades!$U$10,I40),1)*IF(Upgrades!$T$11="Asteroid Belt",POWER(Upgrades!$U$11,J40),1)*IF(Upgrades!$T$12="Asteroid Belt",POWER(Upgrades!$U$12,K40),1))+(IF(G40=0,0,(Upgrades!$M$8+G40*Upgrades!$N$8)*POWER(Upgrades!$O$8,G40)))*(IF(Upgrades!$T$6="Stellar Coupling",POWER(Upgrades!$U$6,E40),1)*IF(Upgrades!$T$7="Stellar Coupling",POWER(Upgrades!$U$7,F40),1)*IF(Upgrades!$T$9="Stellar Coupling",POWER(Upgrades!$U$9,H40),1)*IF(Upgrades!$T$10="Stellar Coupling",POWER(Upgrades!$U$10,I40),1)*IF(Upgrades!$T$11="Stellar Coupling",POWER(Upgrades!$U$11,J40),1)*IF(Upgrades!$T$12="Stellar Coupling",POWER(Upgrades!$U$12,K40),1))+(IF(H40=0,0,(Upgrades!$M$9+H40*Upgrades!$N$9)*POWER(Upgrades!$O$9,H40)))*(IF(Upgrades!$T$6="Magnetosphere",POWER(Upgrades!$U$6,E40),1)*IF(Upgrades!$T$7="Magnetosphere",POWER(Upgrades!$U$7,F40),1)*IF(Upgrades!$T$8="Magnetosphere",POWER(Upgrades!$U$8,G40),1)*IF(Upgrades!$T$10="Magnetosphere",POWER(Upgrades!$U$10,I40),1)*IF(Upgrades!$T$11="Magnetosphere",POWER(Upgrades!$U$11,J40),1)*IF(Upgrades!$T$12="Magnetosphere",POWER(Upgrades!$U$12,K40),1))+(IF(I40=0,0,(Upgrades!$M$10+I40*Upgrades!$N$10)*POWER(Upgrades!$O$10,I40)))*(IF(Upgrades!$T$6="Orbital Resonance",POWER(Upgrades!$U$6,E40),1)*IF(Upgrades!$T$7="Orbital Resonance",POWER(Upgrades!$U$7,F40),1)*IF(Upgrades!$T$8="Orbital Resonance",POWER(Upgrades!$U$8,G40),1)*IF(Upgrades!$T$9="Orbital Resonance",POWER(Upgrades!$U$9,H40),1)*IF(Upgrades!$T$11="Orbital Resonance",POWER(Upgrades!$U$11,J40),1)*IF(Upgrades!$T$12="Orbital Resonance",POWER(Upgrades!$U$12,K40),1))+(IF(J40=0,0,(Upgrades!$M$11+J40*Upgrades!$N$11)*POWER(Upgrades!$O$11,J40)))*(IF(Upgrades!$T$6="Heliopause",POWER(Upgrades!$U$6,E40),1)*IF(Upgrades!$T$7="Heliopause",POWER(Upgrades!$U$7,F40),1)*IF(Upgrades!$T$8="Heliopause",POWER(Upgrades!$U$8,G40),1)*IF(Upgrades!$T$9="Heliopause",POWER(Upgrades!$U$9,H40),1)*IF(Upgrades!$T$10="Heliopause",POWER(Upgrades!$U$10,I40),1)*IF(Upgrades!$T$12="Heliopause",POWER(Upgrades!$U$12,K40),1))+(IF(K40=0,0,(Upgrades!$M$12+K40*Upgrades!$N$12)*POWER(Upgrades!$O$12,K40)))*(IF(Upgrades!$T$6="First Photons",POWER(Upgrades!$U$6,E40),1)*IF(Upgrades!$T$7="First Photons",POWER(Upgrades!$U$7,F40),1)*IF(Upgrades!$T$8="First Photons",POWER(Upgrades!$U$8,G40),1)*IF(Upgrades!$T$9="First Photons",POWER(Upgrades!$U$9,H40),1)*IF(Upgrades!$T$10="First Photons",POWER(Upgrades!$U$10,I40),1)*IF(Upgrades!$T$11="First Photons",POWER(Upgrades!$U$11,J40),1)))*POWER(Upgrades!$R$6,E40)*POWER(Upgrades!$R$7,F40)*POWER(Upgrades!$R$8,G40)*POWER(Upgrades!$R$9,H40)*POWER(Upgrades!$R$10,I40)*POWER(Upgrades!$R$11,J40)*POWER(Upgrades!$R$12,K40)</f>
        <v>0</v>
      </c>
      <c r="P40" s="27" t="n">
        <f aca="false">IF(L40=1,0,M40*Parameters!$B$10/60*Parameters!$B$11*10)</f>
        <v>69.1666666666667</v>
      </c>
      <c r="Q40" s="27" t="n">
        <f aca="false">IF(L40=1,0,O40*M40*10)</f>
        <v>0</v>
      </c>
      <c r="R40" s="27" t="n">
        <f aca="false">IF(L40=1,0,N40*10)</f>
        <v>70</v>
      </c>
      <c r="S40" s="27" t="n">
        <f aca="false">P40+Q40+R40</f>
        <v>139.166666666667</v>
      </c>
      <c r="T40" s="21" t="n">
        <f aca="false">C40+S40</f>
        <v>430.399320077641</v>
      </c>
      <c r="U40" s="34" t="str">
        <f aca="false">AX40</f>
        <v/>
      </c>
      <c r="V40" s="21" t="n">
        <f aca="false">IF(U40="",0,IF(U40="transition",0,IF(U40="SW",AG40,IF(U40="AB",AH40,IF(U40="SC",AI40,IF(U40="Mag",AJ40,IF(U40="OR",AK40,IF(U40="HP",AL40,IF(U40="FP",AM40,0)))))))))</f>
        <v>0</v>
      </c>
      <c r="W40" s="27" t="n">
        <f aca="false">IF(U40="OR",Upgrades!$F$10,IF(U40="HP",Upgrades!$F$11,IF(U40="transition",-Parameters!$B$18,0)))</f>
        <v>0</v>
      </c>
      <c r="X40" s="21" t="n">
        <f aca="false">T40-V40</f>
        <v>430.399320077641</v>
      </c>
      <c r="Y40" s="30" t="n">
        <f aca="false">M40*Parameters!$B$10/60*Parameters!$B$11+O40*M40+N40</f>
        <v>13.9166666666667</v>
      </c>
      <c r="Z40" s="35" t="str">
        <f aca="false">IF(U40="transition","→ Tier 2 (Stellar Neighborhood)",IF(U40="FP","First Photons — light begins, system quickens",IF(U40="HP","Heliopause acquired",IF(U40="OR","Orbital Resonance — passive multiplier active",IF(AND(AO40=1,L40=0,AN40&lt;&gt;1),"Cohesion ready (waiting on completionist upgrades)","")))))</f>
        <v>Cohesion ready (waiting on completionist upgrades)</v>
      </c>
      <c r="AA40" s="27" t="n">
        <f aca="false">(IF(E40=0,0,(Upgrades!$G$6+E40*Upgrades!$H$6)*POWER(Upgrades!$I$6,E40)))*(IF(Upgrades!$T$7="Solar Wind",POWER(Upgrades!$U$7,F40),1)*IF(Upgrades!$T$8="Solar Wind",POWER(Upgrades!$U$8,G40),1)*IF(Upgrades!$T$9="Solar Wind",POWER(Upgrades!$U$9,H40),1)*IF(Upgrades!$T$10="Solar Wind",POWER(Upgrades!$U$10,I40),1)*IF(Upgrades!$T$11="Solar Wind",POWER(Upgrades!$U$11,J40),1)*IF(Upgrades!$T$12="Solar Wind",POWER(Upgrades!$U$12,K40),1))*POWER(Upgrades!$P$6,E40)*POWER(Upgrades!$P$7,F40)*POWER(Upgrades!$P$8,G40)*POWER(Upgrades!$P$9,H40)*POWER(Upgrades!$P$10,I40)*POWER(Upgrades!$P$11,J40)*POWER(Upgrades!$P$12,K40)*60</f>
        <v>60</v>
      </c>
      <c r="AB40" s="27" t="n">
        <f aca="false">(IF(F40=0,0,(Upgrades!$G$7+F40*Upgrades!$H$7)*POWER(Upgrades!$I$7,F40)))*(IF(Upgrades!$T$6="Asteroid Belt",POWER(Upgrades!$U$6,E40),1)*IF(Upgrades!$T$8="Asteroid Belt",POWER(Upgrades!$U$8,G40),1)*IF(Upgrades!$T$9="Asteroid Belt",POWER(Upgrades!$U$9,H40),1)*IF(Upgrades!$T$10="Asteroid Belt",POWER(Upgrades!$U$10,I40),1)*IF(Upgrades!$T$11="Asteroid Belt",POWER(Upgrades!$U$11,J40),1)*IF(Upgrades!$T$12="Asteroid Belt",POWER(Upgrades!$U$12,K40),1))*POWER(Upgrades!$P$6,E40)*POWER(Upgrades!$P$7,F40)*POWER(Upgrades!$P$8,G40)*POWER(Upgrades!$P$9,H40)*POWER(Upgrades!$P$10,I40)*POWER(Upgrades!$P$11,J40)*POWER(Upgrades!$P$12,K40)*60</f>
        <v>135</v>
      </c>
      <c r="AC40" s="27" t="n">
        <f aca="false">(IF(G40=0,0,(Upgrades!$J$8+G40*Upgrades!$K$8)*POWER(Upgrades!$L$8,G40)))*(IF(Upgrades!$T$6="Stellar Coupling",POWER(Upgrades!$U$6,E40),1)*IF(Upgrades!$T$7="Stellar Coupling",POWER(Upgrades!$U$7,F40),1)*IF(Upgrades!$T$9="Stellar Coupling",POWER(Upgrades!$U$9,H40),1)*IF(Upgrades!$T$10="Stellar Coupling",POWER(Upgrades!$U$10,I40),1)*IF(Upgrades!$T$11="Stellar Coupling",POWER(Upgrades!$U$11,J40),1)*IF(Upgrades!$T$12="Stellar Coupling",POWER(Upgrades!$U$12,K40),1))*POWER(Upgrades!$Q$6,E40)*POWER(Upgrades!$Q$7,F40)*POWER(Upgrades!$Q$8,G40)*POWER(Upgrades!$Q$9,H40)*POWER(Upgrades!$Q$10,I40)*POWER(Upgrades!$Q$11,J40)*POWER(Upgrades!$Q$12,K40)*Parameters!$B$10*Parameters!$B$11</f>
        <v>315</v>
      </c>
      <c r="AD40" s="27" t="n">
        <f aca="false">(IF(H40=0,0,(Upgrades!$G$9+H40*Upgrades!$H$9)*POWER(Upgrades!$I$9,H40)))*(IF(Upgrades!$T$6="Magnetosphere",POWER(Upgrades!$U$6,E40),1)*IF(Upgrades!$T$7="Magnetosphere",POWER(Upgrades!$U$7,F40),1)*IF(Upgrades!$T$8="Magnetosphere",POWER(Upgrades!$U$8,G40),1)*IF(Upgrades!$T$10="Magnetosphere",POWER(Upgrades!$U$10,I40),1)*IF(Upgrades!$T$11="Magnetosphere",POWER(Upgrades!$U$11,J40),1)*IF(Upgrades!$T$12="Magnetosphere",POWER(Upgrades!$U$12,K40),1))*POWER(Upgrades!$P$6,E40)*POWER(Upgrades!$P$7,F40)*POWER(Upgrades!$P$8,G40)*POWER(Upgrades!$P$9,H40)*POWER(Upgrades!$P$10,I40)*POWER(Upgrades!$P$11,J40)*POWER(Upgrades!$P$12,K40)*60</f>
        <v>225</v>
      </c>
      <c r="AE40" s="27" t="n">
        <f aca="false">(IF(K40=0,0,(Upgrades!$G$12+K40*Upgrades!$H$12)*POWER(Upgrades!$I$12,K40)))*(IF(Upgrades!$T$6="First Photons",POWER(Upgrades!$U$6,E40),1)*IF(Upgrades!$T$7="First Photons",POWER(Upgrades!$U$7,F40),1)*IF(Upgrades!$T$8="First Photons",POWER(Upgrades!$U$8,G40),1)*IF(Upgrades!$T$9="First Photons",POWER(Upgrades!$U$9,H40),1)*IF(Upgrades!$T$10="First Photons",POWER(Upgrades!$U$10,I40),1)*IF(Upgrades!$T$11="First Photons",POWER(Upgrades!$U$11,J40),1))*POWER(Upgrades!$P$6,E40)*POWER(Upgrades!$P$7,F40)*POWER(Upgrades!$P$8,G40)*POWER(Upgrades!$P$9,H40)*POWER(Upgrades!$P$10,I40)*POWER(Upgrades!$P$11,J40)*POWER(Upgrades!$P$12,K40)*60</f>
        <v>0</v>
      </c>
      <c r="AF40" s="27" t="n">
        <f aca="false">Parameters!$B$9*POWER(Upgrades!$Q$6,E40)*POWER(Upgrades!$Q$7,F40)*POWER(Upgrades!$Q$8,G40)*POWER(Upgrades!$Q$9,H40)*POWER(Upgrades!$Q$10,I40)*POWER(Upgrades!$Q$11,J40)*POWER(Upgrades!$Q$12,K40)*(Parameters!$B$10*Parameters!$B$11+O40*60)</f>
        <v>100</v>
      </c>
      <c r="AG40" s="21" t="n">
        <f aca="false">IF(E40&gt;=Upgrades!$E$6,"",Upgrades!$C$6*POWER(Upgrades!$D$6,E40))</f>
        <v>28.3189041499553</v>
      </c>
      <c r="AH40" s="21" t="n">
        <f aca="false">IF(F40&gt;=Upgrades!$E$7,"",Upgrades!$C$7*POWER(Upgrades!$D$7,F40))</f>
        <v>70.3575258383984</v>
      </c>
      <c r="AI40" s="21" t="n">
        <f aca="false">IF(G40&gt;=Upgrades!$E$8,"",Upgrades!$C$8*POWER(Upgrades!$D$8,G40))</f>
        <v>165.649792</v>
      </c>
      <c r="AJ40" s="21" t="n">
        <f aca="false">IF(H40&gt;=Upgrades!$E$9,"",Upgrades!$C$9*POWER(Upgrades!$D$9,H40))</f>
        <v>640</v>
      </c>
      <c r="AK40" s="21" t="str">
        <f aca="false">IF(I40&gt;=Upgrades!$E$10,"",Upgrades!$C$10*POWER(Upgrades!$D$10,I40))</f>
        <v/>
      </c>
      <c r="AL40" s="21" t="str">
        <f aca="false">IF(J40&gt;=Upgrades!$E$11,"",Upgrades!$C$11*POWER(Upgrades!$D$11,J40))</f>
        <v/>
      </c>
      <c r="AM40" s="21" t="n">
        <f aca="false">IF(K40&gt;=Upgrades!$E$12,"",Upgrades!$C$12*POWER(Upgrades!$D$12,K40))</f>
        <v>850</v>
      </c>
      <c r="AN40" s="26" t="str">
        <f aca="false">IF(AND(D40&gt;=Parameters!$B$18,(H40&gt;=Upgrades!$E$9)*(K40&gt;=Upgrades!$E$12)=1,L40=0),1,"")</f>
        <v/>
      </c>
      <c r="AO40" s="26" t="n">
        <f aca="false">IF(AND(D40&gt;=Parameters!$B$18,L40=0),1,"")</f>
        <v>1</v>
      </c>
      <c r="AP40" s="21" t="n">
        <f aca="false">MIN(IF(ISNUMBER(AK40),AK40,9000000000000000),IF(ISNUMBER(AL40),AL40,9000000000000000),IF(ISNUMBER(AM40),AM40,9000000000000000))</f>
        <v>850</v>
      </c>
      <c r="AQ40" s="21" t="n">
        <f aca="false">MIN(IF(ISNUMBER(AG40),AG40,9000000000000000),IF(ISNUMBER(AH40),AH40,9000000000000000),IF(ISNUMBER(AI40),AI40,9000000000000000),IF(ISNUMBER(AJ40),AJ40,9000000000000000))</f>
        <v>28.3189041499553</v>
      </c>
      <c r="AR40" s="32" t="b">
        <f aca="false">IF(AW40&gt;Parameters!$B$21*(MAX(IF(AND(NOT(AND(AO40=1,AN40&lt;&gt;1)),ISNUMBER(AG40),AG40&lt;=T40),AS40,0),IF(AND(NOT(AND(AO40=1,AN40&lt;&gt;1)),ISNUMBER(AH40),AH40&lt;=T40),AT40,0),IF(AND(NOT(AND(AO40=1,AN40&lt;&gt;1)),ISNUMBER(AI40),AI40&lt;=T40),AU40,0),IF(AND(ISNUMBER(AJ40),AJ40&lt;=T40),AV40,0))),TRUE(),FALSE())</f>
        <v>1</v>
      </c>
      <c r="AS40" s="33" t="n">
        <f aca="false">IFERROR(Upgrades!$H$6*(POWER(Upgrades!$P$6,E40)*POWER(Upgrades!$P$7,F40)*POWER(Upgrades!$P$8,G40)*POWER(Upgrades!$P$9,H40)*POWER(Upgrades!$P$10,I40)*POWER(Upgrades!$P$11,J40)*POWER(Upgrades!$P$12,K40))*(IF(Upgrades!$T$7="Solar Wind",POWER(Upgrades!$U$7,F40),1)*IF(Upgrades!$T$8="Solar Wind",POWER(Upgrades!$U$8,G40),1)*IF(Upgrades!$T$9="Solar Wind",POWER(Upgrades!$U$9,H40),1)*IF(Upgrades!$T$10="Solar Wind",POWER(Upgrades!$U$10,I40),1)*IF(Upgrades!$T$11="Solar Wind",POWER(Upgrades!$U$11,J40),1)*IF(Upgrades!$T$12="Solar Wind",POWER(Upgrades!$U$12,K40),1))/AG40,0)</f>
        <v>0.00353121008745523</v>
      </c>
      <c r="AT40" s="33" t="n">
        <f aca="false">IFERROR(Upgrades!$H$7*(POWER(Upgrades!$P$6,E40)*POWER(Upgrades!$P$7,F40)*POWER(Upgrades!$P$8,G40)*POWER(Upgrades!$P$9,H40)*POWER(Upgrades!$P$10,I40)*POWER(Upgrades!$P$11,J40)*POWER(Upgrades!$P$12,K40))*(IF(Upgrades!$T$6="Asteroid Belt",POWER(Upgrades!$U$6,E40),1)*IF(Upgrades!$T$8="Asteroid Belt",POWER(Upgrades!$U$8,G40),1)*IF(Upgrades!$T$9="Asteroid Belt",POWER(Upgrades!$U$9,H40),1)*IF(Upgrades!$T$10="Asteroid Belt",POWER(Upgrades!$U$10,I40),1)*IF(Upgrades!$T$11="Asteroid Belt",POWER(Upgrades!$U$11,J40),1)*IF(Upgrades!$T$12="Asteroid Belt",POWER(Upgrades!$U$12,K40),1))/AH40,0)</f>
        <v>0.00355328015050182</v>
      </c>
      <c r="AU40" s="33" t="n">
        <f aca="false">IFERROR(Upgrades!$K$8*(POWER(Upgrades!$Q$6,E40)*POWER(Upgrades!$Q$7,F40)*POWER(Upgrades!$Q$8,G40)*POWER(Upgrades!$Q$9,H40)*POWER(Upgrades!$Q$10,I40)*POWER(Upgrades!$Q$11,J40)*POWER(Upgrades!$Q$12,K40))*(IF(Upgrades!$T$6="Stellar Coupling",POWER(Upgrades!$U$6,E40),1)*IF(Upgrades!$T$7="Stellar Coupling",POWER(Upgrades!$U$7,F40),1)*IF(Upgrades!$T$9="Stellar Coupling",POWER(Upgrades!$U$9,H40),1)*IF(Upgrades!$T$10="Stellar Coupling",POWER(Upgrades!$U$10,I40),1)*IF(Upgrades!$T$11="Stellar Coupling",POWER(Upgrades!$U$11,J40),1)*IF(Upgrades!$T$12="Stellar Coupling",POWER(Upgrades!$U$12,K40),1))*Parameters!$B$10*Parameters!$B$11/60/AI40,0)</f>
        <v>0.00528222818414405</v>
      </c>
      <c r="AV40" s="33" t="n">
        <f aca="false">IFERROR(Upgrades!$H$9*(POWER(Upgrades!$P$6,E40)*POWER(Upgrades!$P$7,F40)*POWER(Upgrades!$P$8,G40)*POWER(Upgrades!$P$9,H40)*POWER(Upgrades!$P$10,I40)*POWER(Upgrades!$P$11,J40)*POWER(Upgrades!$P$12,K40))*(IF(Upgrades!$T$6="Magnetosphere",POWER(Upgrades!$U$6,E40),1)*IF(Upgrades!$T$7="Magnetosphere",POWER(Upgrades!$U$7,F40),1)*IF(Upgrades!$T$8="Magnetosphere",POWER(Upgrades!$U$8,G40),1)*IF(Upgrades!$T$10="Magnetosphere",POWER(Upgrades!$U$10,I40),1)*IF(Upgrades!$T$11="Magnetosphere",POWER(Upgrades!$U$11,J40),1)*IF(Upgrades!$T$12="Magnetosphere",POWER(Upgrades!$U$12,K40),1))/AJ40,0)</f>
        <v>0.001953125</v>
      </c>
      <c r="AW40" s="33" t="n">
        <f aca="false">MAX(IF(I40&gt;0,0,IFERROR(0.25*N40/Upgrades!$C$10,0)),IF(J40&gt;0,0,IFERROR(0.5*((IF(G40=0,0,(Upgrades!$J$8+G40*Upgrades!$K$8)*POWER(Upgrades!$L$8,G40)))*(IF(Upgrades!$T$6="Stellar Coupling",POWER(Upgrades!$U$6,E40),1)*IF(Upgrades!$T$7="Stellar Coupling",POWER(Upgrades!$U$7,F40),1)*IF(Upgrades!$T$9="Stellar Coupling",POWER(Upgrades!$U$9,H40),1)*IF(Upgrades!$T$10="Stellar Coupling",POWER(Upgrades!$U$10,I40),1)*IF(Upgrades!$T$11="Stellar Coupling",POWER(Upgrades!$U$11,J40),1)*IF(Upgrades!$T$12="Stellar Coupling",POWER(Upgrades!$U$12,K40),1))*(POWER(Upgrades!$Q$6,E40)*POWER(Upgrades!$Q$7,F40)*POWER(Upgrades!$Q$8,G40)*POWER(Upgrades!$Q$9,H40)*POWER(Upgrades!$Q$10,I40)*POWER(Upgrades!$Q$11,J40)*POWER(Upgrades!$Q$12,K40))*Parameters!$B$10*Parameters!$B$11/60)/Upgrades!$C$11,0)),IF(K40&gt;0,0,IFERROR((1*(POWER(Upgrades!$P$6,E40)*POWER(Upgrades!$P$7,F40)*POWER(Upgrades!$P$8,G40)*POWER(Upgrades!$P$9,H40)*POWER(Upgrades!$P$10,I40)*POWER(Upgrades!$P$11,J40)*POWER(Upgrades!$P$12,K40))+0.2*M40*Parameters!$B$10*Parameters!$B$11/60)/Upgrades!$C$12,0)),IF(AND(ISNUMBER(AG40),AG40&gt;T40),AS40,0),IF(AND(ISNUMBER(AH40),AH40&gt;T40),AT40,0),IF(AND(ISNUMBER(AI40),AI40&gt;T40),AU40,0),IF(AND(ISNUMBER(AJ40),AJ40&gt;T40),AV40,0))</f>
        <v>0.00309803921568627</v>
      </c>
      <c r="AX40" s="29" t="str">
        <f aca="false">IF(AN40=1,"transition",IF(MIN(IF(AND(I40=0,ISNUMBER(AK40),AK40&lt;=T40),AK40,9000000000000000),IF(AND(J40=0,ISNUMBER(AL40),AL40&lt;=T40),AL40,9000000000000000),IF(AND(K40=0,ISNUMBER(AM40),AM40&lt;=T40),AM40,9000000000000000))&lt;9000000000000000,IF(AND(AND(I40=0,ISNUMBER(AK40),AK40&lt;=T40),AK40=MIN(IF(AND(I40=0,ISNUMBER(AK40),AK40&lt;=T40),AK40,9000000000000000),IF(AND(J40=0,ISNUMBER(AL40),AL40&lt;=T40),AL40,9000000000000000),IF(AND(K40=0,ISNUMBER(AM40),AM40&lt;=T40),AM40,9000000000000000))),"OR",IF(AND(AND(J40=0,ISNUMBER(AL40),AL40&lt;=T40),AL40=MIN(IF(AND(I40=0,ISNUMBER(AK40),AK40&lt;=T40),AK40,9000000000000000),IF(AND(J40=0,ISNUMBER(AL40),AL40&lt;=T40),AL40,9000000000000000),IF(AND(K40=0,ISNUMBER(AM40),AM40&lt;=T40),AM40,9000000000000000))),"HP","FP")),IF(AR40=TRUE(),"",IF(MAX(IF(AND(NOT(AND(AO40=1,AN40&lt;&gt;1)),ISNUMBER(AG40),AG40&lt;=T40),AS40,0),IF(AND(NOT(AND(AO40=1,AN40&lt;&gt;1)),ISNUMBER(AH40),AH40&lt;=T40),AT40,0),IF(AND(NOT(AND(AO40=1,AN40&lt;&gt;1)),ISNUMBER(AI40),AI40&lt;=T40),AU40,0),IF(AND(ISNUMBER(AJ40),AJ40&lt;=T40),AV40,0))&lt;=0,"",IF(AND(IF(AND(NOT(AND(AO40=1,AN40&lt;&gt;1)),ISNUMBER(AG40),AG40&lt;=T40),AS40,0)&gt;0,IF(AND(NOT(AND(AO40=1,AN40&lt;&gt;1)),ISNUMBER(AG40),AG40&lt;=T40),AS40,0)=MAX(IF(AND(NOT(AND(AO40=1,AN40&lt;&gt;1)),ISNUMBER(AG40),AG40&lt;=T40),AS40,0),IF(AND(NOT(AND(AO40=1,AN40&lt;&gt;1)),ISNUMBER(AH40),AH40&lt;=T40),AT40,0),IF(AND(NOT(AND(AO40=1,AN40&lt;&gt;1)),ISNUMBER(AI40),AI40&lt;=T40),AU40,0),IF(AND(ISNUMBER(AJ40),AJ40&lt;=T40),AV40,0))),"SW",IF(AND(IF(AND(NOT(AND(AO40=1,AN40&lt;&gt;1)),ISNUMBER(AH40),AH40&lt;=T40),AT40,0)&gt;0,IF(AND(NOT(AND(AO40=1,AN40&lt;&gt;1)),ISNUMBER(AH40),AH40&lt;=T40),AT40,0)=MAX(IF(AND(NOT(AND(AO40=1,AN40&lt;&gt;1)),ISNUMBER(AG40),AG40&lt;=T40),AS40,0),IF(AND(NOT(AND(AO40=1,AN40&lt;&gt;1)),ISNUMBER(AH40),AH40&lt;=T40),AT40,0),IF(AND(NOT(AND(AO40=1,AN40&lt;&gt;1)),ISNUMBER(AI40),AI40&lt;=T40),AU40,0),IF(AND(ISNUMBER(AJ40),AJ40&lt;=T40),AV40,0))),"AB",IF(AND(IF(AND(NOT(AND(AO40=1,AN40&lt;&gt;1)),ISNUMBER(AI40),AI40&lt;=T40),AU40,0)&gt;0,IF(AND(NOT(AND(AO40=1,AN40&lt;&gt;1)),ISNUMBER(AI40),AI40&lt;=T40),AU40,0)=MAX(IF(AND(NOT(AND(AO40=1,AN40&lt;&gt;1)),ISNUMBER(AG40),AG40&lt;=T40),AS40,0),IF(AND(NOT(AND(AO40=1,AN40&lt;&gt;1)),ISNUMBER(AH40),AH40&lt;=T40),AT40,0),IF(AND(NOT(AND(AO40=1,AN40&lt;&gt;1)),ISNUMBER(AI40),AI40&lt;=T40),AU40,0),IF(AND(ISNUMBER(AJ40),AJ40&lt;=T40),AV40,0))),"SC","Mag")))))))</f>
        <v/>
      </c>
    </row>
    <row r="41" customFormat="false" ht="15" hidden="false" customHeight="false" outlineLevel="0" collapsed="false">
      <c r="A41" s="26" t="n">
        <v>36</v>
      </c>
      <c r="B41" s="27" t="n">
        <f aca="false">A41*10/60</f>
        <v>6</v>
      </c>
      <c r="C41" s="21" t="n">
        <f aca="false">X40</f>
        <v>430.399320077641</v>
      </c>
      <c r="D41" s="27" t="n">
        <f aca="false">D40+W40</f>
        <v>1</v>
      </c>
      <c r="E41" s="26" t="n">
        <f aca="false">E40+IF(U40="SW",1,0)</f>
        <v>10</v>
      </c>
      <c r="F41" s="26" t="n">
        <f aca="false">F40+IF(U40="AB",1,0)</f>
        <v>9</v>
      </c>
      <c r="G41" s="26" t="n">
        <f aca="false">G40+IF(U40="SC",1,0)</f>
        <v>6</v>
      </c>
      <c r="H41" s="26" t="n">
        <f aca="false">H40+IF(U40="Mag",1,0)</f>
        <v>3</v>
      </c>
      <c r="I41" s="26" t="n">
        <f aca="false">MAX(I40,IF(U40="OR",1,0))</f>
        <v>1</v>
      </c>
      <c r="J41" s="26" t="n">
        <f aca="false">MAX(J40,IF(U40="HP",1,0))</f>
        <v>1</v>
      </c>
      <c r="K41" s="26" t="n">
        <f aca="false">MAX(K40,IF(U40="FP",1,0))</f>
        <v>0</v>
      </c>
      <c r="L41" s="26" t="n">
        <f aca="false">MAX(L40,IF(U40="transition",1,0))</f>
        <v>0</v>
      </c>
      <c r="M41" s="28" t="n">
        <f aca="false">(Parameters!$B$9+(IF(E41=0,0,(Upgrades!$J$6+E41*Upgrades!$K$6)*POWER(Upgrades!$L$6,E41)))*(IF(Upgrades!$T$7="Solar Wind",POWER(Upgrades!$U$7,F41),1)*IF(Upgrades!$T$8="Solar Wind",POWER(Upgrades!$U$8,G41),1)*IF(Upgrades!$T$9="Solar Wind",POWER(Upgrades!$U$9,H41),1)*IF(Upgrades!$T$10="Solar Wind",POWER(Upgrades!$U$10,I41),1)*IF(Upgrades!$T$11="Solar Wind",POWER(Upgrades!$U$11,J41),1)*IF(Upgrades!$T$12="Solar Wind",POWER(Upgrades!$U$12,K41),1))+(IF(F41=0,0,(Upgrades!$J$7+F41*Upgrades!$K$7)*POWER(Upgrades!$L$7,F41)))*(IF(Upgrades!$T$6="Asteroid Belt",POWER(Upgrades!$U$6,E41),1)*IF(Upgrades!$T$8="Asteroid Belt",POWER(Upgrades!$U$8,G41),1)*IF(Upgrades!$T$9="Asteroid Belt",POWER(Upgrades!$U$9,H41),1)*IF(Upgrades!$T$10="Asteroid Belt",POWER(Upgrades!$U$10,I41),1)*IF(Upgrades!$T$11="Asteroid Belt",POWER(Upgrades!$U$11,J41),1)*IF(Upgrades!$T$12="Asteroid Belt",POWER(Upgrades!$U$12,K41),1))+(IF(G41=0,0,(Upgrades!$J$8+G41*Upgrades!$K$8)*POWER(Upgrades!$L$8,G41)))*(IF(Upgrades!$T$6="Stellar Coupling",POWER(Upgrades!$U$6,E41),1)*IF(Upgrades!$T$7="Stellar Coupling",POWER(Upgrades!$U$7,F41),1)*IF(Upgrades!$T$9="Stellar Coupling",POWER(Upgrades!$U$9,H41),1)*IF(Upgrades!$T$10="Stellar Coupling",POWER(Upgrades!$U$10,I41),1)*IF(Upgrades!$T$11="Stellar Coupling",POWER(Upgrades!$U$11,J41),1)*IF(Upgrades!$T$12="Stellar Coupling",POWER(Upgrades!$U$12,K41),1))+(IF(H41=0,0,(Upgrades!$J$9+H41*Upgrades!$K$9)*POWER(Upgrades!$L$9,H41)))*(IF(Upgrades!$T$6="Magnetosphere",POWER(Upgrades!$U$6,E41),1)*IF(Upgrades!$T$7="Magnetosphere",POWER(Upgrades!$U$7,F41),1)*IF(Upgrades!$T$8="Magnetosphere",POWER(Upgrades!$U$8,G41),1)*IF(Upgrades!$T$10="Magnetosphere",POWER(Upgrades!$U$10,I41),1)*IF(Upgrades!$T$11="Magnetosphere",POWER(Upgrades!$U$11,J41),1)*IF(Upgrades!$T$12="Magnetosphere",POWER(Upgrades!$U$12,K41),1))+(IF(I41=0,0,(Upgrades!$J$10+I41*Upgrades!$K$10)*POWER(Upgrades!$L$10,I41)))*(IF(Upgrades!$T$6="Orbital Resonance",POWER(Upgrades!$U$6,E41),1)*IF(Upgrades!$T$7="Orbital Resonance",POWER(Upgrades!$U$7,F41),1)*IF(Upgrades!$T$8="Orbital Resonance",POWER(Upgrades!$U$8,G41),1)*IF(Upgrades!$T$9="Orbital Resonance",POWER(Upgrades!$U$9,H41),1)*IF(Upgrades!$T$11="Orbital Resonance",POWER(Upgrades!$U$11,J41),1)*IF(Upgrades!$T$12="Orbital Resonance",POWER(Upgrades!$U$12,K41),1))+(IF(J41=0,0,(Upgrades!$J$11+J41*Upgrades!$K$11)*POWER(Upgrades!$L$11,J41)))*(IF(Upgrades!$T$6="Heliopause",POWER(Upgrades!$U$6,E41),1)*IF(Upgrades!$T$7="Heliopause",POWER(Upgrades!$U$7,F41),1)*IF(Upgrades!$T$8="Heliopause",POWER(Upgrades!$U$8,G41),1)*IF(Upgrades!$T$9="Heliopause",POWER(Upgrades!$U$9,H41),1)*IF(Upgrades!$T$10="Heliopause",POWER(Upgrades!$U$10,I41),1)*IF(Upgrades!$T$12="Heliopause",POWER(Upgrades!$U$12,K41),1))+(IF(K41=0,0,(Upgrades!$J$12+K41*Upgrades!$K$12)*POWER(Upgrades!$L$12,K41)))*(IF(Upgrades!$T$6="First Photons",POWER(Upgrades!$U$6,E41),1)*IF(Upgrades!$T$7="First Photons",POWER(Upgrades!$U$7,F41),1)*IF(Upgrades!$T$8="First Photons",POWER(Upgrades!$U$8,G41),1)*IF(Upgrades!$T$9="First Photons",POWER(Upgrades!$U$9,H41),1)*IF(Upgrades!$T$10="First Photons",POWER(Upgrades!$U$10,I41),1)*IF(Upgrades!$T$11="First Photons",POWER(Upgrades!$U$11,J41),1)))*POWER(Upgrades!$Q$6,E41)*POWER(Upgrades!$Q$7,F41)*POWER(Upgrades!$Q$8,G41)*POWER(Upgrades!$Q$9,H41)*POWER(Upgrades!$Q$10,I41)*POWER(Upgrades!$Q$11,J41)*POWER(Upgrades!$Q$12,K41)</f>
        <v>4.15</v>
      </c>
      <c r="N41" s="28" t="n">
        <f aca="false">((IF(E41=0,0,(Upgrades!$G$6+E41*Upgrades!$H$6)*POWER(Upgrades!$I$6,E41)))*(IF(Upgrades!$T$7="Solar Wind",POWER(Upgrades!$U$7,F41),1)*IF(Upgrades!$T$8="Solar Wind",POWER(Upgrades!$U$8,G41),1)*IF(Upgrades!$T$9="Solar Wind",POWER(Upgrades!$U$9,H41),1)*IF(Upgrades!$T$10="Solar Wind",POWER(Upgrades!$U$10,I41),1)*IF(Upgrades!$T$11="Solar Wind",POWER(Upgrades!$U$11,J41),1)*IF(Upgrades!$T$12="Solar Wind",POWER(Upgrades!$U$12,K41),1))+(IF(F41=0,0,(Upgrades!$G$7+F41*Upgrades!$H$7)*POWER(Upgrades!$I$7,F41)))*(IF(Upgrades!$T$6="Asteroid Belt",POWER(Upgrades!$U$6,E41),1)*IF(Upgrades!$T$8="Asteroid Belt",POWER(Upgrades!$U$8,G41),1)*IF(Upgrades!$T$9="Asteroid Belt",POWER(Upgrades!$U$9,H41),1)*IF(Upgrades!$T$10="Asteroid Belt",POWER(Upgrades!$U$10,I41),1)*IF(Upgrades!$T$11="Asteroid Belt",POWER(Upgrades!$U$11,J41),1)*IF(Upgrades!$T$12="Asteroid Belt",POWER(Upgrades!$U$12,K41),1))+(IF(G41=0,0,(Upgrades!$G$8+G41*Upgrades!$H$8)*POWER(Upgrades!$I$8,G41)))*(IF(Upgrades!$T$6="Stellar Coupling",POWER(Upgrades!$U$6,E41),1)*IF(Upgrades!$T$7="Stellar Coupling",POWER(Upgrades!$U$7,F41),1)*IF(Upgrades!$T$9="Stellar Coupling",POWER(Upgrades!$U$9,H41),1)*IF(Upgrades!$T$10="Stellar Coupling",POWER(Upgrades!$U$10,I41),1)*IF(Upgrades!$T$11="Stellar Coupling",POWER(Upgrades!$U$11,J41),1)*IF(Upgrades!$T$12="Stellar Coupling",POWER(Upgrades!$U$12,K41),1))+(IF(H41=0,0,(Upgrades!$G$9+H41*Upgrades!$H$9)*POWER(Upgrades!$I$9,H41)))*(IF(Upgrades!$T$6="Magnetosphere",POWER(Upgrades!$U$6,E41),1)*IF(Upgrades!$T$7="Magnetosphere",POWER(Upgrades!$U$7,F41),1)*IF(Upgrades!$T$8="Magnetosphere",POWER(Upgrades!$U$8,G41),1)*IF(Upgrades!$T$10="Magnetosphere",POWER(Upgrades!$U$10,I41),1)*IF(Upgrades!$T$11="Magnetosphere",POWER(Upgrades!$U$11,J41),1)*IF(Upgrades!$T$12="Magnetosphere",POWER(Upgrades!$U$12,K41),1))+(IF(I41=0,0,(Upgrades!$G$10+I41*Upgrades!$H$10)*POWER(Upgrades!$I$10,I41)))*(IF(Upgrades!$T$6="Orbital Resonance",POWER(Upgrades!$U$6,E41),1)*IF(Upgrades!$T$7="Orbital Resonance",POWER(Upgrades!$U$7,F41),1)*IF(Upgrades!$T$8="Orbital Resonance",POWER(Upgrades!$U$8,G41),1)*IF(Upgrades!$T$9="Orbital Resonance",POWER(Upgrades!$U$9,H41),1)*IF(Upgrades!$T$11="Orbital Resonance",POWER(Upgrades!$U$11,J41),1)*IF(Upgrades!$T$12="Orbital Resonance",POWER(Upgrades!$U$12,K41),1))+(IF(J41=0,0,(Upgrades!$G$11+J41*Upgrades!$H$11)*POWER(Upgrades!$I$11,J41)))*(IF(Upgrades!$T$6="Heliopause",POWER(Upgrades!$U$6,E41),1)*IF(Upgrades!$T$7="Heliopause",POWER(Upgrades!$U$7,F41),1)*IF(Upgrades!$T$8="Heliopause",POWER(Upgrades!$U$8,G41),1)*IF(Upgrades!$T$9="Heliopause",POWER(Upgrades!$U$9,H41),1)*IF(Upgrades!$T$10="Heliopause",POWER(Upgrades!$U$10,I41),1)*IF(Upgrades!$T$12="Heliopause",POWER(Upgrades!$U$12,K41),1))+(IF(K41=0,0,(Upgrades!$G$12+K41*Upgrades!$H$12)*POWER(Upgrades!$I$12,K41)))*(IF(Upgrades!$T$6="First Photons",POWER(Upgrades!$U$6,E41),1)*IF(Upgrades!$T$7="First Photons",POWER(Upgrades!$U$7,F41),1)*IF(Upgrades!$T$8="First Photons",POWER(Upgrades!$U$8,G41),1)*IF(Upgrades!$T$9="First Photons",POWER(Upgrades!$U$9,H41),1)*IF(Upgrades!$T$10="First Photons",POWER(Upgrades!$U$10,I41),1)*IF(Upgrades!$T$11="First Photons",POWER(Upgrades!$U$11,J41),1)))*POWER(Upgrades!$P$6,E41)*POWER(Upgrades!$P$7,F41)*POWER(Upgrades!$P$8,G41)*POWER(Upgrades!$P$9,H41)*POWER(Upgrades!$P$10,I41)*POWER(Upgrades!$P$11,J41)*POWER(Upgrades!$P$12,K41)</f>
        <v>7</v>
      </c>
      <c r="O41" s="28" t="n">
        <f aca="false">((IF(E41=0,0,(Upgrades!$M$6+E41*Upgrades!$N$6)*POWER(Upgrades!$O$6,E41)))*(IF(Upgrades!$T$7="Solar Wind",POWER(Upgrades!$U$7,F41),1)*IF(Upgrades!$T$8="Solar Wind",POWER(Upgrades!$U$8,G41),1)*IF(Upgrades!$T$9="Solar Wind",POWER(Upgrades!$U$9,H41),1)*IF(Upgrades!$T$10="Solar Wind",POWER(Upgrades!$U$10,I41),1)*IF(Upgrades!$T$11="Solar Wind",POWER(Upgrades!$U$11,J41),1)*IF(Upgrades!$T$12="Solar Wind",POWER(Upgrades!$U$12,K41),1))+(IF(F41=0,0,(Upgrades!$M$7+F41*Upgrades!$N$7)*POWER(Upgrades!$O$7,F41)))*(IF(Upgrades!$T$6="Asteroid Belt",POWER(Upgrades!$U$6,E41),1)*IF(Upgrades!$T$8="Asteroid Belt",POWER(Upgrades!$U$8,G41),1)*IF(Upgrades!$T$9="Asteroid Belt",POWER(Upgrades!$U$9,H41),1)*IF(Upgrades!$T$10="Asteroid Belt",POWER(Upgrades!$U$10,I41),1)*IF(Upgrades!$T$11="Asteroid Belt",POWER(Upgrades!$U$11,J41),1)*IF(Upgrades!$T$12="Asteroid Belt",POWER(Upgrades!$U$12,K41),1))+(IF(G41=0,0,(Upgrades!$M$8+G41*Upgrades!$N$8)*POWER(Upgrades!$O$8,G41)))*(IF(Upgrades!$T$6="Stellar Coupling",POWER(Upgrades!$U$6,E41),1)*IF(Upgrades!$T$7="Stellar Coupling",POWER(Upgrades!$U$7,F41),1)*IF(Upgrades!$T$9="Stellar Coupling",POWER(Upgrades!$U$9,H41),1)*IF(Upgrades!$T$10="Stellar Coupling",POWER(Upgrades!$U$10,I41),1)*IF(Upgrades!$T$11="Stellar Coupling",POWER(Upgrades!$U$11,J41),1)*IF(Upgrades!$T$12="Stellar Coupling",POWER(Upgrades!$U$12,K41),1))+(IF(H41=0,0,(Upgrades!$M$9+H41*Upgrades!$N$9)*POWER(Upgrades!$O$9,H41)))*(IF(Upgrades!$T$6="Magnetosphere",POWER(Upgrades!$U$6,E41),1)*IF(Upgrades!$T$7="Magnetosphere",POWER(Upgrades!$U$7,F41),1)*IF(Upgrades!$T$8="Magnetosphere",POWER(Upgrades!$U$8,G41),1)*IF(Upgrades!$T$10="Magnetosphere",POWER(Upgrades!$U$10,I41),1)*IF(Upgrades!$T$11="Magnetosphere",POWER(Upgrades!$U$11,J41),1)*IF(Upgrades!$T$12="Magnetosphere",POWER(Upgrades!$U$12,K41),1))+(IF(I41=0,0,(Upgrades!$M$10+I41*Upgrades!$N$10)*POWER(Upgrades!$O$10,I41)))*(IF(Upgrades!$T$6="Orbital Resonance",POWER(Upgrades!$U$6,E41),1)*IF(Upgrades!$T$7="Orbital Resonance",POWER(Upgrades!$U$7,F41),1)*IF(Upgrades!$T$8="Orbital Resonance",POWER(Upgrades!$U$8,G41),1)*IF(Upgrades!$T$9="Orbital Resonance",POWER(Upgrades!$U$9,H41),1)*IF(Upgrades!$T$11="Orbital Resonance",POWER(Upgrades!$U$11,J41),1)*IF(Upgrades!$T$12="Orbital Resonance",POWER(Upgrades!$U$12,K41),1))+(IF(J41=0,0,(Upgrades!$M$11+J41*Upgrades!$N$11)*POWER(Upgrades!$O$11,J41)))*(IF(Upgrades!$T$6="Heliopause",POWER(Upgrades!$U$6,E41),1)*IF(Upgrades!$T$7="Heliopause",POWER(Upgrades!$U$7,F41),1)*IF(Upgrades!$T$8="Heliopause",POWER(Upgrades!$U$8,G41),1)*IF(Upgrades!$T$9="Heliopause",POWER(Upgrades!$U$9,H41),1)*IF(Upgrades!$T$10="Heliopause",POWER(Upgrades!$U$10,I41),1)*IF(Upgrades!$T$12="Heliopause",POWER(Upgrades!$U$12,K41),1))+(IF(K41=0,0,(Upgrades!$M$12+K41*Upgrades!$N$12)*POWER(Upgrades!$O$12,K41)))*(IF(Upgrades!$T$6="First Photons",POWER(Upgrades!$U$6,E41),1)*IF(Upgrades!$T$7="First Photons",POWER(Upgrades!$U$7,F41),1)*IF(Upgrades!$T$8="First Photons",POWER(Upgrades!$U$8,G41),1)*IF(Upgrades!$T$9="First Photons",POWER(Upgrades!$U$9,H41),1)*IF(Upgrades!$T$10="First Photons",POWER(Upgrades!$U$10,I41),1)*IF(Upgrades!$T$11="First Photons",POWER(Upgrades!$U$11,J41),1)))*POWER(Upgrades!$R$6,E41)*POWER(Upgrades!$R$7,F41)*POWER(Upgrades!$R$8,G41)*POWER(Upgrades!$R$9,H41)*POWER(Upgrades!$R$10,I41)*POWER(Upgrades!$R$11,J41)*POWER(Upgrades!$R$12,K41)</f>
        <v>0</v>
      </c>
      <c r="P41" s="27" t="n">
        <f aca="false">IF(L41=1,0,M41*Parameters!$B$10/60*Parameters!$B$11*10)</f>
        <v>69.1666666666667</v>
      </c>
      <c r="Q41" s="27" t="n">
        <f aca="false">IF(L41=1,0,O41*M41*10)</f>
        <v>0</v>
      </c>
      <c r="R41" s="27" t="n">
        <f aca="false">IF(L41=1,0,N41*10)</f>
        <v>70</v>
      </c>
      <c r="S41" s="27" t="n">
        <f aca="false">P41+Q41+R41</f>
        <v>139.166666666667</v>
      </c>
      <c r="T41" s="21" t="n">
        <f aca="false">C41+S41</f>
        <v>569.565986744308</v>
      </c>
      <c r="U41" s="34" t="str">
        <f aca="false">AX41</f>
        <v/>
      </c>
      <c r="V41" s="21" t="n">
        <f aca="false">IF(U41="",0,IF(U41="transition",0,IF(U41="SW",AG41,IF(U41="AB",AH41,IF(U41="SC",AI41,IF(U41="Mag",AJ41,IF(U41="OR",AK41,IF(U41="HP",AL41,IF(U41="FP",AM41,0)))))))))</f>
        <v>0</v>
      </c>
      <c r="W41" s="27" t="n">
        <f aca="false">IF(U41="OR",Upgrades!$F$10,IF(U41="HP",Upgrades!$F$11,IF(U41="transition",-Parameters!$B$18,0)))</f>
        <v>0</v>
      </c>
      <c r="X41" s="21" t="n">
        <f aca="false">T41-V41</f>
        <v>569.565986744308</v>
      </c>
      <c r="Y41" s="30" t="n">
        <f aca="false">M41*Parameters!$B$10/60*Parameters!$B$11+O41*M41+N41</f>
        <v>13.9166666666667</v>
      </c>
      <c r="Z41" s="35" t="str">
        <f aca="false">IF(U41="transition","→ Tier 2 (Stellar Neighborhood)",IF(U41="FP","First Photons — light begins, system quickens",IF(U41="HP","Heliopause acquired",IF(U41="OR","Orbital Resonance — passive multiplier active",IF(AND(AO41=1,L41=0,AN41&lt;&gt;1),"Cohesion ready (waiting on completionist upgrades)","")))))</f>
        <v>Cohesion ready (waiting on completionist upgrades)</v>
      </c>
      <c r="AA41" s="27" t="n">
        <f aca="false">(IF(E41=0,0,(Upgrades!$G$6+E41*Upgrades!$H$6)*POWER(Upgrades!$I$6,E41)))*(IF(Upgrades!$T$7="Solar Wind",POWER(Upgrades!$U$7,F41),1)*IF(Upgrades!$T$8="Solar Wind",POWER(Upgrades!$U$8,G41),1)*IF(Upgrades!$T$9="Solar Wind",POWER(Upgrades!$U$9,H41),1)*IF(Upgrades!$T$10="Solar Wind",POWER(Upgrades!$U$10,I41),1)*IF(Upgrades!$T$11="Solar Wind",POWER(Upgrades!$U$11,J41),1)*IF(Upgrades!$T$12="Solar Wind",POWER(Upgrades!$U$12,K41),1))*POWER(Upgrades!$P$6,E41)*POWER(Upgrades!$P$7,F41)*POWER(Upgrades!$P$8,G41)*POWER(Upgrades!$P$9,H41)*POWER(Upgrades!$P$10,I41)*POWER(Upgrades!$P$11,J41)*POWER(Upgrades!$P$12,K41)*60</f>
        <v>60</v>
      </c>
      <c r="AB41" s="27" t="n">
        <f aca="false">(IF(F41=0,0,(Upgrades!$G$7+F41*Upgrades!$H$7)*POWER(Upgrades!$I$7,F41)))*(IF(Upgrades!$T$6="Asteroid Belt",POWER(Upgrades!$U$6,E41),1)*IF(Upgrades!$T$8="Asteroid Belt",POWER(Upgrades!$U$8,G41),1)*IF(Upgrades!$T$9="Asteroid Belt",POWER(Upgrades!$U$9,H41),1)*IF(Upgrades!$T$10="Asteroid Belt",POWER(Upgrades!$U$10,I41),1)*IF(Upgrades!$T$11="Asteroid Belt",POWER(Upgrades!$U$11,J41),1)*IF(Upgrades!$T$12="Asteroid Belt",POWER(Upgrades!$U$12,K41),1))*POWER(Upgrades!$P$6,E41)*POWER(Upgrades!$P$7,F41)*POWER(Upgrades!$P$8,G41)*POWER(Upgrades!$P$9,H41)*POWER(Upgrades!$P$10,I41)*POWER(Upgrades!$P$11,J41)*POWER(Upgrades!$P$12,K41)*60</f>
        <v>135</v>
      </c>
      <c r="AC41" s="27" t="n">
        <f aca="false">(IF(G41=0,0,(Upgrades!$J$8+G41*Upgrades!$K$8)*POWER(Upgrades!$L$8,G41)))*(IF(Upgrades!$T$6="Stellar Coupling",POWER(Upgrades!$U$6,E41),1)*IF(Upgrades!$T$7="Stellar Coupling",POWER(Upgrades!$U$7,F41),1)*IF(Upgrades!$T$9="Stellar Coupling",POWER(Upgrades!$U$9,H41),1)*IF(Upgrades!$T$10="Stellar Coupling",POWER(Upgrades!$U$10,I41),1)*IF(Upgrades!$T$11="Stellar Coupling",POWER(Upgrades!$U$11,J41),1)*IF(Upgrades!$T$12="Stellar Coupling",POWER(Upgrades!$U$12,K41),1))*POWER(Upgrades!$Q$6,E41)*POWER(Upgrades!$Q$7,F41)*POWER(Upgrades!$Q$8,G41)*POWER(Upgrades!$Q$9,H41)*POWER(Upgrades!$Q$10,I41)*POWER(Upgrades!$Q$11,J41)*POWER(Upgrades!$Q$12,K41)*Parameters!$B$10*Parameters!$B$11</f>
        <v>315</v>
      </c>
      <c r="AD41" s="27" t="n">
        <f aca="false">(IF(H41=0,0,(Upgrades!$G$9+H41*Upgrades!$H$9)*POWER(Upgrades!$I$9,H41)))*(IF(Upgrades!$T$6="Magnetosphere",POWER(Upgrades!$U$6,E41),1)*IF(Upgrades!$T$7="Magnetosphere",POWER(Upgrades!$U$7,F41),1)*IF(Upgrades!$T$8="Magnetosphere",POWER(Upgrades!$U$8,G41),1)*IF(Upgrades!$T$10="Magnetosphere",POWER(Upgrades!$U$10,I41),1)*IF(Upgrades!$T$11="Magnetosphere",POWER(Upgrades!$U$11,J41),1)*IF(Upgrades!$T$12="Magnetosphere",POWER(Upgrades!$U$12,K41),1))*POWER(Upgrades!$P$6,E41)*POWER(Upgrades!$P$7,F41)*POWER(Upgrades!$P$8,G41)*POWER(Upgrades!$P$9,H41)*POWER(Upgrades!$P$10,I41)*POWER(Upgrades!$P$11,J41)*POWER(Upgrades!$P$12,K41)*60</f>
        <v>225</v>
      </c>
      <c r="AE41" s="27" t="n">
        <f aca="false">(IF(K41=0,0,(Upgrades!$G$12+K41*Upgrades!$H$12)*POWER(Upgrades!$I$12,K41)))*(IF(Upgrades!$T$6="First Photons",POWER(Upgrades!$U$6,E41),1)*IF(Upgrades!$T$7="First Photons",POWER(Upgrades!$U$7,F41),1)*IF(Upgrades!$T$8="First Photons",POWER(Upgrades!$U$8,G41),1)*IF(Upgrades!$T$9="First Photons",POWER(Upgrades!$U$9,H41),1)*IF(Upgrades!$T$10="First Photons",POWER(Upgrades!$U$10,I41),1)*IF(Upgrades!$T$11="First Photons",POWER(Upgrades!$U$11,J41),1))*POWER(Upgrades!$P$6,E41)*POWER(Upgrades!$P$7,F41)*POWER(Upgrades!$P$8,G41)*POWER(Upgrades!$P$9,H41)*POWER(Upgrades!$P$10,I41)*POWER(Upgrades!$P$11,J41)*POWER(Upgrades!$P$12,K41)*60</f>
        <v>0</v>
      </c>
      <c r="AF41" s="27" t="n">
        <f aca="false">Parameters!$B$9*POWER(Upgrades!$Q$6,E41)*POWER(Upgrades!$Q$7,F41)*POWER(Upgrades!$Q$8,G41)*POWER(Upgrades!$Q$9,H41)*POWER(Upgrades!$Q$10,I41)*POWER(Upgrades!$Q$11,J41)*POWER(Upgrades!$Q$12,K41)*(Parameters!$B$10*Parameters!$B$11+O41*60)</f>
        <v>100</v>
      </c>
      <c r="AG41" s="21" t="n">
        <f aca="false">IF(E41&gt;=Upgrades!$E$6,"",Upgrades!$C$6*POWER(Upgrades!$D$6,E41))</f>
        <v>28.3189041499553</v>
      </c>
      <c r="AH41" s="21" t="n">
        <f aca="false">IF(F41&gt;=Upgrades!$E$7,"",Upgrades!$C$7*POWER(Upgrades!$D$7,F41))</f>
        <v>70.3575258383984</v>
      </c>
      <c r="AI41" s="21" t="n">
        <f aca="false">IF(G41&gt;=Upgrades!$E$8,"",Upgrades!$C$8*POWER(Upgrades!$D$8,G41))</f>
        <v>165.649792</v>
      </c>
      <c r="AJ41" s="21" t="n">
        <f aca="false">IF(H41&gt;=Upgrades!$E$9,"",Upgrades!$C$9*POWER(Upgrades!$D$9,H41))</f>
        <v>640</v>
      </c>
      <c r="AK41" s="21" t="str">
        <f aca="false">IF(I41&gt;=Upgrades!$E$10,"",Upgrades!$C$10*POWER(Upgrades!$D$10,I41))</f>
        <v/>
      </c>
      <c r="AL41" s="21" t="str">
        <f aca="false">IF(J41&gt;=Upgrades!$E$11,"",Upgrades!$C$11*POWER(Upgrades!$D$11,J41))</f>
        <v/>
      </c>
      <c r="AM41" s="21" t="n">
        <f aca="false">IF(K41&gt;=Upgrades!$E$12,"",Upgrades!$C$12*POWER(Upgrades!$D$12,K41))</f>
        <v>850</v>
      </c>
      <c r="AN41" s="26" t="str">
        <f aca="false">IF(AND(D41&gt;=Parameters!$B$18,(H41&gt;=Upgrades!$E$9)*(K41&gt;=Upgrades!$E$12)=1,L41=0),1,"")</f>
        <v/>
      </c>
      <c r="AO41" s="26" t="n">
        <f aca="false">IF(AND(D41&gt;=Parameters!$B$18,L41=0),1,"")</f>
        <v>1</v>
      </c>
      <c r="AP41" s="21" t="n">
        <f aca="false">MIN(IF(ISNUMBER(AK41),AK41,9000000000000000),IF(ISNUMBER(AL41),AL41,9000000000000000),IF(ISNUMBER(AM41),AM41,9000000000000000))</f>
        <v>850</v>
      </c>
      <c r="AQ41" s="21" t="n">
        <f aca="false">MIN(IF(ISNUMBER(AG41),AG41,9000000000000000),IF(ISNUMBER(AH41),AH41,9000000000000000),IF(ISNUMBER(AI41),AI41,9000000000000000),IF(ISNUMBER(AJ41),AJ41,9000000000000000))</f>
        <v>28.3189041499553</v>
      </c>
      <c r="AR41" s="32" t="b">
        <f aca="false">IF(AW41&gt;Parameters!$B$21*(MAX(IF(AND(NOT(AND(AO41=1,AN41&lt;&gt;1)),ISNUMBER(AG41),AG41&lt;=T41),AS41,0),IF(AND(NOT(AND(AO41=1,AN41&lt;&gt;1)),ISNUMBER(AH41),AH41&lt;=T41),AT41,0),IF(AND(NOT(AND(AO41=1,AN41&lt;&gt;1)),ISNUMBER(AI41),AI41&lt;=T41),AU41,0),IF(AND(ISNUMBER(AJ41),AJ41&lt;=T41),AV41,0))),TRUE(),FALSE())</f>
        <v>1</v>
      </c>
      <c r="AS41" s="33" t="n">
        <f aca="false">IFERROR(Upgrades!$H$6*(POWER(Upgrades!$P$6,E41)*POWER(Upgrades!$P$7,F41)*POWER(Upgrades!$P$8,G41)*POWER(Upgrades!$P$9,H41)*POWER(Upgrades!$P$10,I41)*POWER(Upgrades!$P$11,J41)*POWER(Upgrades!$P$12,K41))*(IF(Upgrades!$T$7="Solar Wind",POWER(Upgrades!$U$7,F41),1)*IF(Upgrades!$T$8="Solar Wind",POWER(Upgrades!$U$8,G41),1)*IF(Upgrades!$T$9="Solar Wind",POWER(Upgrades!$U$9,H41),1)*IF(Upgrades!$T$10="Solar Wind",POWER(Upgrades!$U$10,I41),1)*IF(Upgrades!$T$11="Solar Wind",POWER(Upgrades!$U$11,J41),1)*IF(Upgrades!$T$12="Solar Wind",POWER(Upgrades!$U$12,K41),1))/AG41,0)</f>
        <v>0.00353121008745523</v>
      </c>
      <c r="AT41" s="33" t="n">
        <f aca="false">IFERROR(Upgrades!$H$7*(POWER(Upgrades!$P$6,E41)*POWER(Upgrades!$P$7,F41)*POWER(Upgrades!$P$8,G41)*POWER(Upgrades!$P$9,H41)*POWER(Upgrades!$P$10,I41)*POWER(Upgrades!$P$11,J41)*POWER(Upgrades!$P$12,K41))*(IF(Upgrades!$T$6="Asteroid Belt",POWER(Upgrades!$U$6,E41),1)*IF(Upgrades!$T$8="Asteroid Belt",POWER(Upgrades!$U$8,G41),1)*IF(Upgrades!$T$9="Asteroid Belt",POWER(Upgrades!$U$9,H41),1)*IF(Upgrades!$T$10="Asteroid Belt",POWER(Upgrades!$U$10,I41),1)*IF(Upgrades!$T$11="Asteroid Belt",POWER(Upgrades!$U$11,J41),1)*IF(Upgrades!$T$12="Asteroid Belt",POWER(Upgrades!$U$12,K41),1))/AH41,0)</f>
        <v>0.00355328015050182</v>
      </c>
      <c r="AU41" s="33" t="n">
        <f aca="false">IFERROR(Upgrades!$K$8*(POWER(Upgrades!$Q$6,E41)*POWER(Upgrades!$Q$7,F41)*POWER(Upgrades!$Q$8,G41)*POWER(Upgrades!$Q$9,H41)*POWER(Upgrades!$Q$10,I41)*POWER(Upgrades!$Q$11,J41)*POWER(Upgrades!$Q$12,K41))*(IF(Upgrades!$T$6="Stellar Coupling",POWER(Upgrades!$U$6,E41),1)*IF(Upgrades!$T$7="Stellar Coupling",POWER(Upgrades!$U$7,F41),1)*IF(Upgrades!$T$9="Stellar Coupling",POWER(Upgrades!$U$9,H41),1)*IF(Upgrades!$T$10="Stellar Coupling",POWER(Upgrades!$U$10,I41),1)*IF(Upgrades!$T$11="Stellar Coupling",POWER(Upgrades!$U$11,J41),1)*IF(Upgrades!$T$12="Stellar Coupling",POWER(Upgrades!$U$12,K41),1))*Parameters!$B$10*Parameters!$B$11/60/AI41,0)</f>
        <v>0.00528222818414405</v>
      </c>
      <c r="AV41" s="33" t="n">
        <f aca="false">IFERROR(Upgrades!$H$9*(POWER(Upgrades!$P$6,E41)*POWER(Upgrades!$P$7,F41)*POWER(Upgrades!$P$8,G41)*POWER(Upgrades!$P$9,H41)*POWER(Upgrades!$P$10,I41)*POWER(Upgrades!$P$11,J41)*POWER(Upgrades!$P$12,K41))*(IF(Upgrades!$T$6="Magnetosphere",POWER(Upgrades!$U$6,E41),1)*IF(Upgrades!$T$7="Magnetosphere",POWER(Upgrades!$U$7,F41),1)*IF(Upgrades!$T$8="Magnetosphere",POWER(Upgrades!$U$8,G41),1)*IF(Upgrades!$T$10="Magnetosphere",POWER(Upgrades!$U$10,I41),1)*IF(Upgrades!$T$11="Magnetosphere",POWER(Upgrades!$U$11,J41),1)*IF(Upgrades!$T$12="Magnetosphere",POWER(Upgrades!$U$12,K41),1))/AJ41,0)</f>
        <v>0.001953125</v>
      </c>
      <c r="AW41" s="33" t="n">
        <f aca="false">MAX(IF(I41&gt;0,0,IFERROR(0.25*N41/Upgrades!$C$10,0)),IF(J41&gt;0,0,IFERROR(0.5*((IF(G41=0,0,(Upgrades!$J$8+G41*Upgrades!$K$8)*POWER(Upgrades!$L$8,G41)))*(IF(Upgrades!$T$6="Stellar Coupling",POWER(Upgrades!$U$6,E41),1)*IF(Upgrades!$T$7="Stellar Coupling",POWER(Upgrades!$U$7,F41),1)*IF(Upgrades!$T$9="Stellar Coupling",POWER(Upgrades!$U$9,H41),1)*IF(Upgrades!$T$10="Stellar Coupling",POWER(Upgrades!$U$10,I41),1)*IF(Upgrades!$T$11="Stellar Coupling",POWER(Upgrades!$U$11,J41),1)*IF(Upgrades!$T$12="Stellar Coupling",POWER(Upgrades!$U$12,K41),1))*(POWER(Upgrades!$Q$6,E41)*POWER(Upgrades!$Q$7,F41)*POWER(Upgrades!$Q$8,G41)*POWER(Upgrades!$Q$9,H41)*POWER(Upgrades!$Q$10,I41)*POWER(Upgrades!$Q$11,J41)*POWER(Upgrades!$Q$12,K41))*Parameters!$B$10*Parameters!$B$11/60)/Upgrades!$C$11,0)),IF(K41&gt;0,0,IFERROR((1*(POWER(Upgrades!$P$6,E41)*POWER(Upgrades!$P$7,F41)*POWER(Upgrades!$P$8,G41)*POWER(Upgrades!$P$9,H41)*POWER(Upgrades!$P$10,I41)*POWER(Upgrades!$P$11,J41)*POWER(Upgrades!$P$12,K41))+0.2*M41*Parameters!$B$10*Parameters!$B$11/60)/Upgrades!$C$12,0)),IF(AND(ISNUMBER(AG41),AG41&gt;T41),AS41,0),IF(AND(ISNUMBER(AH41),AH41&gt;T41),AT41,0),IF(AND(ISNUMBER(AI41),AI41&gt;T41),AU41,0),IF(AND(ISNUMBER(AJ41),AJ41&gt;T41),AV41,0))</f>
        <v>0.00309803921568627</v>
      </c>
      <c r="AX41" s="29" t="str">
        <f aca="false">IF(AN41=1,"transition",IF(MIN(IF(AND(I41=0,ISNUMBER(AK41),AK41&lt;=T41),AK41,9000000000000000),IF(AND(J41=0,ISNUMBER(AL41),AL41&lt;=T41),AL41,9000000000000000),IF(AND(K41=0,ISNUMBER(AM41),AM41&lt;=T41),AM41,9000000000000000))&lt;9000000000000000,IF(AND(AND(I41=0,ISNUMBER(AK41),AK41&lt;=T41),AK41=MIN(IF(AND(I41=0,ISNUMBER(AK41),AK41&lt;=T41),AK41,9000000000000000),IF(AND(J41=0,ISNUMBER(AL41),AL41&lt;=T41),AL41,9000000000000000),IF(AND(K41=0,ISNUMBER(AM41),AM41&lt;=T41),AM41,9000000000000000))),"OR",IF(AND(AND(J41=0,ISNUMBER(AL41),AL41&lt;=T41),AL41=MIN(IF(AND(I41=0,ISNUMBER(AK41),AK41&lt;=T41),AK41,9000000000000000),IF(AND(J41=0,ISNUMBER(AL41),AL41&lt;=T41),AL41,9000000000000000),IF(AND(K41=0,ISNUMBER(AM41),AM41&lt;=T41),AM41,9000000000000000))),"HP","FP")),IF(AR41=TRUE(),"",IF(MAX(IF(AND(NOT(AND(AO41=1,AN41&lt;&gt;1)),ISNUMBER(AG41),AG41&lt;=T41),AS41,0),IF(AND(NOT(AND(AO41=1,AN41&lt;&gt;1)),ISNUMBER(AH41),AH41&lt;=T41),AT41,0),IF(AND(NOT(AND(AO41=1,AN41&lt;&gt;1)),ISNUMBER(AI41),AI41&lt;=T41),AU41,0),IF(AND(ISNUMBER(AJ41),AJ41&lt;=T41),AV41,0))&lt;=0,"",IF(AND(IF(AND(NOT(AND(AO41=1,AN41&lt;&gt;1)),ISNUMBER(AG41),AG41&lt;=T41),AS41,0)&gt;0,IF(AND(NOT(AND(AO41=1,AN41&lt;&gt;1)),ISNUMBER(AG41),AG41&lt;=T41),AS41,0)=MAX(IF(AND(NOT(AND(AO41=1,AN41&lt;&gt;1)),ISNUMBER(AG41),AG41&lt;=T41),AS41,0),IF(AND(NOT(AND(AO41=1,AN41&lt;&gt;1)),ISNUMBER(AH41),AH41&lt;=T41),AT41,0),IF(AND(NOT(AND(AO41=1,AN41&lt;&gt;1)),ISNUMBER(AI41),AI41&lt;=T41),AU41,0),IF(AND(ISNUMBER(AJ41),AJ41&lt;=T41),AV41,0))),"SW",IF(AND(IF(AND(NOT(AND(AO41=1,AN41&lt;&gt;1)),ISNUMBER(AH41),AH41&lt;=T41),AT41,0)&gt;0,IF(AND(NOT(AND(AO41=1,AN41&lt;&gt;1)),ISNUMBER(AH41),AH41&lt;=T41),AT41,0)=MAX(IF(AND(NOT(AND(AO41=1,AN41&lt;&gt;1)),ISNUMBER(AG41),AG41&lt;=T41),AS41,0),IF(AND(NOT(AND(AO41=1,AN41&lt;&gt;1)),ISNUMBER(AH41),AH41&lt;=T41),AT41,0),IF(AND(NOT(AND(AO41=1,AN41&lt;&gt;1)),ISNUMBER(AI41),AI41&lt;=T41),AU41,0),IF(AND(ISNUMBER(AJ41),AJ41&lt;=T41),AV41,0))),"AB",IF(AND(IF(AND(NOT(AND(AO41=1,AN41&lt;&gt;1)),ISNUMBER(AI41),AI41&lt;=T41),AU41,0)&gt;0,IF(AND(NOT(AND(AO41=1,AN41&lt;&gt;1)),ISNUMBER(AI41),AI41&lt;=T41),AU41,0)=MAX(IF(AND(NOT(AND(AO41=1,AN41&lt;&gt;1)),ISNUMBER(AG41),AG41&lt;=T41),AS41,0),IF(AND(NOT(AND(AO41=1,AN41&lt;&gt;1)),ISNUMBER(AH41),AH41&lt;=T41),AT41,0),IF(AND(NOT(AND(AO41=1,AN41&lt;&gt;1)),ISNUMBER(AI41),AI41&lt;=T41),AU41,0),IF(AND(ISNUMBER(AJ41),AJ41&lt;=T41),AV41,0))),"SC","Mag")))))))</f>
        <v/>
      </c>
    </row>
    <row r="42" customFormat="false" ht="15" hidden="false" customHeight="false" outlineLevel="0" collapsed="false">
      <c r="A42" s="26" t="n">
        <v>37</v>
      </c>
      <c r="B42" s="27" t="n">
        <f aca="false">A42*10/60</f>
        <v>6.16666666666667</v>
      </c>
      <c r="C42" s="21" t="n">
        <f aca="false">X41</f>
        <v>569.565986744308</v>
      </c>
      <c r="D42" s="27" t="n">
        <f aca="false">D41+W41</f>
        <v>1</v>
      </c>
      <c r="E42" s="26" t="n">
        <f aca="false">E41+IF(U41="SW",1,0)</f>
        <v>10</v>
      </c>
      <c r="F42" s="26" t="n">
        <f aca="false">F41+IF(U41="AB",1,0)</f>
        <v>9</v>
      </c>
      <c r="G42" s="26" t="n">
        <f aca="false">G41+IF(U41="SC",1,0)</f>
        <v>6</v>
      </c>
      <c r="H42" s="26" t="n">
        <f aca="false">H41+IF(U41="Mag",1,0)</f>
        <v>3</v>
      </c>
      <c r="I42" s="26" t="n">
        <f aca="false">MAX(I41,IF(U41="OR",1,0))</f>
        <v>1</v>
      </c>
      <c r="J42" s="26" t="n">
        <f aca="false">MAX(J41,IF(U41="HP",1,0))</f>
        <v>1</v>
      </c>
      <c r="K42" s="26" t="n">
        <f aca="false">MAX(K41,IF(U41="FP",1,0))</f>
        <v>0</v>
      </c>
      <c r="L42" s="26" t="n">
        <f aca="false">MAX(L41,IF(U41="transition",1,0))</f>
        <v>0</v>
      </c>
      <c r="M42" s="28" t="n">
        <f aca="false">(Parameters!$B$9+(IF(E42=0,0,(Upgrades!$J$6+E42*Upgrades!$K$6)*POWER(Upgrades!$L$6,E42)))*(IF(Upgrades!$T$7="Solar Wind",POWER(Upgrades!$U$7,F42),1)*IF(Upgrades!$T$8="Solar Wind",POWER(Upgrades!$U$8,G42),1)*IF(Upgrades!$T$9="Solar Wind",POWER(Upgrades!$U$9,H42),1)*IF(Upgrades!$T$10="Solar Wind",POWER(Upgrades!$U$10,I42),1)*IF(Upgrades!$T$11="Solar Wind",POWER(Upgrades!$U$11,J42),1)*IF(Upgrades!$T$12="Solar Wind",POWER(Upgrades!$U$12,K42),1))+(IF(F42=0,0,(Upgrades!$J$7+F42*Upgrades!$K$7)*POWER(Upgrades!$L$7,F42)))*(IF(Upgrades!$T$6="Asteroid Belt",POWER(Upgrades!$U$6,E42),1)*IF(Upgrades!$T$8="Asteroid Belt",POWER(Upgrades!$U$8,G42),1)*IF(Upgrades!$T$9="Asteroid Belt",POWER(Upgrades!$U$9,H42),1)*IF(Upgrades!$T$10="Asteroid Belt",POWER(Upgrades!$U$10,I42),1)*IF(Upgrades!$T$11="Asteroid Belt",POWER(Upgrades!$U$11,J42),1)*IF(Upgrades!$T$12="Asteroid Belt",POWER(Upgrades!$U$12,K42),1))+(IF(G42=0,0,(Upgrades!$J$8+G42*Upgrades!$K$8)*POWER(Upgrades!$L$8,G42)))*(IF(Upgrades!$T$6="Stellar Coupling",POWER(Upgrades!$U$6,E42),1)*IF(Upgrades!$T$7="Stellar Coupling",POWER(Upgrades!$U$7,F42),1)*IF(Upgrades!$T$9="Stellar Coupling",POWER(Upgrades!$U$9,H42),1)*IF(Upgrades!$T$10="Stellar Coupling",POWER(Upgrades!$U$10,I42),1)*IF(Upgrades!$T$11="Stellar Coupling",POWER(Upgrades!$U$11,J42),1)*IF(Upgrades!$T$12="Stellar Coupling",POWER(Upgrades!$U$12,K42),1))+(IF(H42=0,0,(Upgrades!$J$9+H42*Upgrades!$K$9)*POWER(Upgrades!$L$9,H42)))*(IF(Upgrades!$T$6="Magnetosphere",POWER(Upgrades!$U$6,E42),1)*IF(Upgrades!$T$7="Magnetosphere",POWER(Upgrades!$U$7,F42),1)*IF(Upgrades!$T$8="Magnetosphere",POWER(Upgrades!$U$8,G42),1)*IF(Upgrades!$T$10="Magnetosphere",POWER(Upgrades!$U$10,I42),1)*IF(Upgrades!$T$11="Magnetosphere",POWER(Upgrades!$U$11,J42),1)*IF(Upgrades!$T$12="Magnetosphere",POWER(Upgrades!$U$12,K42),1))+(IF(I42=0,0,(Upgrades!$J$10+I42*Upgrades!$K$10)*POWER(Upgrades!$L$10,I42)))*(IF(Upgrades!$T$6="Orbital Resonance",POWER(Upgrades!$U$6,E42),1)*IF(Upgrades!$T$7="Orbital Resonance",POWER(Upgrades!$U$7,F42),1)*IF(Upgrades!$T$8="Orbital Resonance",POWER(Upgrades!$U$8,G42),1)*IF(Upgrades!$T$9="Orbital Resonance",POWER(Upgrades!$U$9,H42),1)*IF(Upgrades!$T$11="Orbital Resonance",POWER(Upgrades!$U$11,J42),1)*IF(Upgrades!$T$12="Orbital Resonance",POWER(Upgrades!$U$12,K42),1))+(IF(J42=0,0,(Upgrades!$J$11+J42*Upgrades!$K$11)*POWER(Upgrades!$L$11,J42)))*(IF(Upgrades!$T$6="Heliopause",POWER(Upgrades!$U$6,E42),1)*IF(Upgrades!$T$7="Heliopause",POWER(Upgrades!$U$7,F42),1)*IF(Upgrades!$T$8="Heliopause",POWER(Upgrades!$U$8,G42),1)*IF(Upgrades!$T$9="Heliopause",POWER(Upgrades!$U$9,H42),1)*IF(Upgrades!$T$10="Heliopause",POWER(Upgrades!$U$10,I42),1)*IF(Upgrades!$T$12="Heliopause",POWER(Upgrades!$U$12,K42),1))+(IF(K42=0,0,(Upgrades!$J$12+K42*Upgrades!$K$12)*POWER(Upgrades!$L$12,K42)))*(IF(Upgrades!$T$6="First Photons",POWER(Upgrades!$U$6,E42),1)*IF(Upgrades!$T$7="First Photons",POWER(Upgrades!$U$7,F42),1)*IF(Upgrades!$T$8="First Photons",POWER(Upgrades!$U$8,G42),1)*IF(Upgrades!$T$9="First Photons",POWER(Upgrades!$U$9,H42),1)*IF(Upgrades!$T$10="First Photons",POWER(Upgrades!$U$10,I42),1)*IF(Upgrades!$T$11="First Photons",POWER(Upgrades!$U$11,J42),1)))*POWER(Upgrades!$Q$6,E42)*POWER(Upgrades!$Q$7,F42)*POWER(Upgrades!$Q$8,G42)*POWER(Upgrades!$Q$9,H42)*POWER(Upgrades!$Q$10,I42)*POWER(Upgrades!$Q$11,J42)*POWER(Upgrades!$Q$12,K42)</f>
        <v>4.15</v>
      </c>
      <c r="N42" s="28" t="n">
        <f aca="false">((IF(E42=0,0,(Upgrades!$G$6+E42*Upgrades!$H$6)*POWER(Upgrades!$I$6,E42)))*(IF(Upgrades!$T$7="Solar Wind",POWER(Upgrades!$U$7,F42),1)*IF(Upgrades!$T$8="Solar Wind",POWER(Upgrades!$U$8,G42),1)*IF(Upgrades!$T$9="Solar Wind",POWER(Upgrades!$U$9,H42),1)*IF(Upgrades!$T$10="Solar Wind",POWER(Upgrades!$U$10,I42),1)*IF(Upgrades!$T$11="Solar Wind",POWER(Upgrades!$U$11,J42),1)*IF(Upgrades!$T$12="Solar Wind",POWER(Upgrades!$U$12,K42),1))+(IF(F42=0,0,(Upgrades!$G$7+F42*Upgrades!$H$7)*POWER(Upgrades!$I$7,F42)))*(IF(Upgrades!$T$6="Asteroid Belt",POWER(Upgrades!$U$6,E42),1)*IF(Upgrades!$T$8="Asteroid Belt",POWER(Upgrades!$U$8,G42),1)*IF(Upgrades!$T$9="Asteroid Belt",POWER(Upgrades!$U$9,H42),1)*IF(Upgrades!$T$10="Asteroid Belt",POWER(Upgrades!$U$10,I42),1)*IF(Upgrades!$T$11="Asteroid Belt",POWER(Upgrades!$U$11,J42),1)*IF(Upgrades!$T$12="Asteroid Belt",POWER(Upgrades!$U$12,K42),1))+(IF(G42=0,0,(Upgrades!$G$8+G42*Upgrades!$H$8)*POWER(Upgrades!$I$8,G42)))*(IF(Upgrades!$T$6="Stellar Coupling",POWER(Upgrades!$U$6,E42),1)*IF(Upgrades!$T$7="Stellar Coupling",POWER(Upgrades!$U$7,F42),1)*IF(Upgrades!$T$9="Stellar Coupling",POWER(Upgrades!$U$9,H42),1)*IF(Upgrades!$T$10="Stellar Coupling",POWER(Upgrades!$U$10,I42),1)*IF(Upgrades!$T$11="Stellar Coupling",POWER(Upgrades!$U$11,J42),1)*IF(Upgrades!$T$12="Stellar Coupling",POWER(Upgrades!$U$12,K42),1))+(IF(H42=0,0,(Upgrades!$G$9+H42*Upgrades!$H$9)*POWER(Upgrades!$I$9,H42)))*(IF(Upgrades!$T$6="Magnetosphere",POWER(Upgrades!$U$6,E42),1)*IF(Upgrades!$T$7="Magnetosphere",POWER(Upgrades!$U$7,F42),1)*IF(Upgrades!$T$8="Magnetosphere",POWER(Upgrades!$U$8,G42),1)*IF(Upgrades!$T$10="Magnetosphere",POWER(Upgrades!$U$10,I42),1)*IF(Upgrades!$T$11="Magnetosphere",POWER(Upgrades!$U$11,J42),1)*IF(Upgrades!$T$12="Magnetosphere",POWER(Upgrades!$U$12,K42),1))+(IF(I42=0,0,(Upgrades!$G$10+I42*Upgrades!$H$10)*POWER(Upgrades!$I$10,I42)))*(IF(Upgrades!$T$6="Orbital Resonance",POWER(Upgrades!$U$6,E42),1)*IF(Upgrades!$T$7="Orbital Resonance",POWER(Upgrades!$U$7,F42),1)*IF(Upgrades!$T$8="Orbital Resonance",POWER(Upgrades!$U$8,G42),1)*IF(Upgrades!$T$9="Orbital Resonance",POWER(Upgrades!$U$9,H42),1)*IF(Upgrades!$T$11="Orbital Resonance",POWER(Upgrades!$U$11,J42),1)*IF(Upgrades!$T$12="Orbital Resonance",POWER(Upgrades!$U$12,K42),1))+(IF(J42=0,0,(Upgrades!$G$11+J42*Upgrades!$H$11)*POWER(Upgrades!$I$11,J42)))*(IF(Upgrades!$T$6="Heliopause",POWER(Upgrades!$U$6,E42),1)*IF(Upgrades!$T$7="Heliopause",POWER(Upgrades!$U$7,F42),1)*IF(Upgrades!$T$8="Heliopause",POWER(Upgrades!$U$8,G42),1)*IF(Upgrades!$T$9="Heliopause",POWER(Upgrades!$U$9,H42),1)*IF(Upgrades!$T$10="Heliopause",POWER(Upgrades!$U$10,I42),1)*IF(Upgrades!$T$12="Heliopause",POWER(Upgrades!$U$12,K42),1))+(IF(K42=0,0,(Upgrades!$G$12+K42*Upgrades!$H$12)*POWER(Upgrades!$I$12,K42)))*(IF(Upgrades!$T$6="First Photons",POWER(Upgrades!$U$6,E42),1)*IF(Upgrades!$T$7="First Photons",POWER(Upgrades!$U$7,F42),1)*IF(Upgrades!$T$8="First Photons",POWER(Upgrades!$U$8,G42),1)*IF(Upgrades!$T$9="First Photons",POWER(Upgrades!$U$9,H42),1)*IF(Upgrades!$T$10="First Photons",POWER(Upgrades!$U$10,I42),1)*IF(Upgrades!$T$11="First Photons",POWER(Upgrades!$U$11,J42),1)))*POWER(Upgrades!$P$6,E42)*POWER(Upgrades!$P$7,F42)*POWER(Upgrades!$P$8,G42)*POWER(Upgrades!$P$9,H42)*POWER(Upgrades!$P$10,I42)*POWER(Upgrades!$P$11,J42)*POWER(Upgrades!$P$12,K42)</f>
        <v>7</v>
      </c>
      <c r="O42" s="28" t="n">
        <f aca="false">((IF(E42=0,0,(Upgrades!$M$6+E42*Upgrades!$N$6)*POWER(Upgrades!$O$6,E42)))*(IF(Upgrades!$T$7="Solar Wind",POWER(Upgrades!$U$7,F42),1)*IF(Upgrades!$T$8="Solar Wind",POWER(Upgrades!$U$8,G42),1)*IF(Upgrades!$T$9="Solar Wind",POWER(Upgrades!$U$9,H42),1)*IF(Upgrades!$T$10="Solar Wind",POWER(Upgrades!$U$10,I42),1)*IF(Upgrades!$T$11="Solar Wind",POWER(Upgrades!$U$11,J42),1)*IF(Upgrades!$T$12="Solar Wind",POWER(Upgrades!$U$12,K42),1))+(IF(F42=0,0,(Upgrades!$M$7+F42*Upgrades!$N$7)*POWER(Upgrades!$O$7,F42)))*(IF(Upgrades!$T$6="Asteroid Belt",POWER(Upgrades!$U$6,E42),1)*IF(Upgrades!$T$8="Asteroid Belt",POWER(Upgrades!$U$8,G42),1)*IF(Upgrades!$T$9="Asteroid Belt",POWER(Upgrades!$U$9,H42),1)*IF(Upgrades!$T$10="Asteroid Belt",POWER(Upgrades!$U$10,I42),1)*IF(Upgrades!$T$11="Asteroid Belt",POWER(Upgrades!$U$11,J42),1)*IF(Upgrades!$T$12="Asteroid Belt",POWER(Upgrades!$U$12,K42),1))+(IF(G42=0,0,(Upgrades!$M$8+G42*Upgrades!$N$8)*POWER(Upgrades!$O$8,G42)))*(IF(Upgrades!$T$6="Stellar Coupling",POWER(Upgrades!$U$6,E42),1)*IF(Upgrades!$T$7="Stellar Coupling",POWER(Upgrades!$U$7,F42),1)*IF(Upgrades!$T$9="Stellar Coupling",POWER(Upgrades!$U$9,H42),1)*IF(Upgrades!$T$10="Stellar Coupling",POWER(Upgrades!$U$10,I42),1)*IF(Upgrades!$T$11="Stellar Coupling",POWER(Upgrades!$U$11,J42),1)*IF(Upgrades!$T$12="Stellar Coupling",POWER(Upgrades!$U$12,K42),1))+(IF(H42=0,0,(Upgrades!$M$9+H42*Upgrades!$N$9)*POWER(Upgrades!$O$9,H42)))*(IF(Upgrades!$T$6="Magnetosphere",POWER(Upgrades!$U$6,E42),1)*IF(Upgrades!$T$7="Magnetosphere",POWER(Upgrades!$U$7,F42),1)*IF(Upgrades!$T$8="Magnetosphere",POWER(Upgrades!$U$8,G42),1)*IF(Upgrades!$T$10="Magnetosphere",POWER(Upgrades!$U$10,I42),1)*IF(Upgrades!$T$11="Magnetosphere",POWER(Upgrades!$U$11,J42),1)*IF(Upgrades!$T$12="Magnetosphere",POWER(Upgrades!$U$12,K42),1))+(IF(I42=0,0,(Upgrades!$M$10+I42*Upgrades!$N$10)*POWER(Upgrades!$O$10,I42)))*(IF(Upgrades!$T$6="Orbital Resonance",POWER(Upgrades!$U$6,E42),1)*IF(Upgrades!$T$7="Orbital Resonance",POWER(Upgrades!$U$7,F42),1)*IF(Upgrades!$T$8="Orbital Resonance",POWER(Upgrades!$U$8,G42),1)*IF(Upgrades!$T$9="Orbital Resonance",POWER(Upgrades!$U$9,H42),1)*IF(Upgrades!$T$11="Orbital Resonance",POWER(Upgrades!$U$11,J42),1)*IF(Upgrades!$T$12="Orbital Resonance",POWER(Upgrades!$U$12,K42),1))+(IF(J42=0,0,(Upgrades!$M$11+J42*Upgrades!$N$11)*POWER(Upgrades!$O$11,J42)))*(IF(Upgrades!$T$6="Heliopause",POWER(Upgrades!$U$6,E42),1)*IF(Upgrades!$T$7="Heliopause",POWER(Upgrades!$U$7,F42),1)*IF(Upgrades!$T$8="Heliopause",POWER(Upgrades!$U$8,G42),1)*IF(Upgrades!$T$9="Heliopause",POWER(Upgrades!$U$9,H42),1)*IF(Upgrades!$T$10="Heliopause",POWER(Upgrades!$U$10,I42),1)*IF(Upgrades!$T$12="Heliopause",POWER(Upgrades!$U$12,K42),1))+(IF(K42=0,0,(Upgrades!$M$12+K42*Upgrades!$N$12)*POWER(Upgrades!$O$12,K42)))*(IF(Upgrades!$T$6="First Photons",POWER(Upgrades!$U$6,E42),1)*IF(Upgrades!$T$7="First Photons",POWER(Upgrades!$U$7,F42),1)*IF(Upgrades!$T$8="First Photons",POWER(Upgrades!$U$8,G42),1)*IF(Upgrades!$T$9="First Photons",POWER(Upgrades!$U$9,H42),1)*IF(Upgrades!$T$10="First Photons",POWER(Upgrades!$U$10,I42),1)*IF(Upgrades!$T$11="First Photons",POWER(Upgrades!$U$11,J42),1)))*POWER(Upgrades!$R$6,E42)*POWER(Upgrades!$R$7,F42)*POWER(Upgrades!$R$8,G42)*POWER(Upgrades!$R$9,H42)*POWER(Upgrades!$R$10,I42)*POWER(Upgrades!$R$11,J42)*POWER(Upgrades!$R$12,K42)</f>
        <v>0</v>
      </c>
      <c r="P42" s="27" t="n">
        <f aca="false">IF(L42=1,0,M42*Parameters!$B$10/60*Parameters!$B$11*10)</f>
        <v>69.1666666666667</v>
      </c>
      <c r="Q42" s="27" t="n">
        <f aca="false">IF(L42=1,0,O42*M42*10)</f>
        <v>0</v>
      </c>
      <c r="R42" s="27" t="n">
        <f aca="false">IF(L42=1,0,N42*10)</f>
        <v>70</v>
      </c>
      <c r="S42" s="27" t="n">
        <f aca="false">P42+Q42+R42</f>
        <v>139.166666666667</v>
      </c>
      <c r="T42" s="21" t="n">
        <f aca="false">C42+S42</f>
        <v>708.732653410975</v>
      </c>
      <c r="U42" s="34" t="str">
        <f aca="false">AX42</f>
        <v/>
      </c>
      <c r="V42" s="21" t="n">
        <f aca="false">IF(U42="",0,IF(U42="transition",0,IF(U42="SW",AG42,IF(U42="AB",AH42,IF(U42="SC",AI42,IF(U42="Mag",AJ42,IF(U42="OR",AK42,IF(U42="HP",AL42,IF(U42="FP",AM42,0)))))))))</f>
        <v>0</v>
      </c>
      <c r="W42" s="27" t="n">
        <f aca="false">IF(U42="OR",Upgrades!$F$10,IF(U42="HP",Upgrades!$F$11,IF(U42="transition",-Parameters!$B$18,0)))</f>
        <v>0</v>
      </c>
      <c r="X42" s="21" t="n">
        <f aca="false">T42-V42</f>
        <v>708.732653410975</v>
      </c>
      <c r="Y42" s="30" t="n">
        <f aca="false">M42*Parameters!$B$10/60*Parameters!$B$11+O42*M42+N42</f>
        <v>13.9166666666667</v>
      </c>
      <c r="Z42" s="35" t="str">
        <f aca="false">IF(U42="transition","→ Tier 2 (Stellar Neighborhood)",IF(U42="FP","First Photons — light begins, system quickens",IF(U42="HP","Heliopause acquired",IF(U42="OR","Orbital Resonance — passive multiplier active",IF(AND(AO42=1,L42=0,AN42&lt;&gt;1),"Cohesion ready (waiting on completionist upgrades)","")))))</f>
        <v>Cohesion ready (waiting on completionist upgrades)</v>
      </c>
      <c r="AA42" s="27" t="n">
        <f aca="false">(IF(E42=0,0,(Upgrades!$G$6+E42*Upgrades!$H$6)*POWER(Upgrades!$I$6,E42)))*(IF(Upgrades!$T$7="Solar Wind",POWER(Upgrades!$U$7,F42),1)*IF(Upgrades!$T$8="Solar Wind",POWER(Upgrades!$U$8,G42),1)*IF(Upgrades!$T$9="Solar Wind",POWER(Upgrades!$U$9,H42),1)*IF(Upgrades!$T$10="Solar Wind",POWER(Upgrades!$U$10,I42),1)*IF(Upgrades!$T$11="Solar Wind",POWER(Upgrades!$U$11,J42),1)*IF(Upgrades!$T$12="Solar Wind",POWER(Upgrades!$U$12,K42),1))*POWER(Upgrades!$P$6,E42)*POWER(Upgrades!$P$7,F42)*POWER(Upgrades!$P$8,G42)*POWER(Upgrades!$P$9,H42)*POWER(Upgrades!$P$10,I42)*POWER(Upgrades!$P$11,J42)*POWER(Upgrades!$P$12,K42)*60</f>
        <v>60</v>
      </c>
      <c r="AB42" s="27" t="n">
        <f aca="false">(IF(F42=0,0,(Upgrades!$G$7+F42*Upgrades!$H$7)*POWER(Upgrades!$I$7,F42)))*(IF(Upgrades!$T$6="Asteroid Belt",POWER(Upgrades!$U$6,E42),1)*IF(Upgrades!$T$8="Asteroid Belt",POWER(Upgrades!$U$8,G42),1)*IF(Upgrades!$T$9="Asteroid Belt",POWER(Upgrades!$U$9,H42),1)*IF(Upgrades!$T$10="Asteroid Belt",POWER(Upgrades!$U$10,I42),1)*IF(Upgrades!$T$11="Asteroid Belt",POWER(Upgrades!$U$11,J42),1)*IF(Upgrades!$T$12="Asteroid Belt",POWER(Upgrades!$U$12,K42),1))*POWER(Upgrades!$P$6,E42)*POWER(Upgrades!$P$7,F42)*POWER(Upgrades!$P$8,G42)*POWER(Upgrades!$P$9,H42)*POWER(Upgrades!$P$10,I42)*POWER(Upgrades!$P$11,J42)*POWER(Upgrades!$P$12,K42)*60</f>
        <v>135</v>
      </c>
      <c r="AC42" s="27" t="n">
        <f aca="false">(IF(G42=0,0,(Upgrades!$J$8+G42*Upgrades!$K$8)*POWER(Upgrades!$L$8,G42)))*(IF(Upgrades!$T$6="Stellar Coupling",POWER(Upgrades!$U$6,E42),1)*IF(Upgrades!$T$7="Stellar Coupling",POWER(Upgrades!$U$7,F42),1)*IF(Upgrades!$T$9="Stellar Coupling",POWER(Upgrades!$U$9,H42),1)*IF(Upgrades!$T$10="Stellar Coupling",POWER(Upgrades!$U$10,I42),1)*IF(Upgrades!$T$11="Stellar Coupling",POWER(Upgrades!$U$11,J42),1)*IF(Upgrades!$T$12="Stellar Coupling",POWER(Upgrades!$U$12,K42),1))*POWER(Upgrades!$Q$6,E42)*POWER(Upgrades!$Q$7,F42)*POWER(Upgrades!$Q$8,G42)*POWER(Upgrades!$Q$9,H42)*POWER(Upgrades!$Q$10,I42)*POWER(Upgrades!$Q$11,J42)*POWER(Upgrades!$Q$12,K42)*Parameters!$B$10*Parameters!$B$11</f>
        <v>315</v>
      </c>
      <c r="AD42" s="27" t="n">
        <f aca="false">(IF(H42=0,0,(Upgrades!$G$9+H42*Upgrades!$H$9)*POWER(Upgrades!$I$9,H42)))*(IF(Upgrades!$T$6="Magnetosphere",POWER(Upgrades!$U$6,E42),1)*IF(Upgrades!$T$7="Magnetosphere",POWER(Upgrades!$U$7,F42),1)*IF(Upgrades!$T$8="Magnetosphere",POWER(Upgrades!$U$8,G42),1)*IF(Upgrades!$T$10="Magnetosphere",POWER(Upgrades!$U$10,I42),1)*IF(Upgrades!$T$11="Magnetosphere",POWER(Upgrades!$U$11,J42),1)*IF(Upgrades!$T$12="Magnetosphere",POWER(Upgrades!$U$12,K42),1))*POWER(Upgrades!$P$6,E42)*POWER(Upgrades!$P$7,F42)*POWER(Upgrades!$P$8,G42)*POWER(Upgrades!$P$9,H42)*POWER(Upgrades!$P$10,I42)*POWER(Upgrades!$P$11,J42)*POWER(Upgrades!$P$12,K42)*60</f>
        <v>225</v>
      </c>
      <c r="AE42" s="27" t="n">
        <f aca="false">(IF(K42=0,0,(Upgrades!$G$12+K42*Upgrades!$H$12)*POWER(Upgrades!$I$12,K42)))*(IF(Upgrades!$T$6="First Photons",POWER(Upgrades!$U$6,E42),1)*IF(Upgrades!$T$7="First Photons",POWER(Upgrades!$U$7,F42),1)*IF(Upgrades!$T$8="First Photons",POWER(Upgrades!$U$8,G42),1)*IF(Upgrades!$T$9="First Photons",POWER(Upgrades!$U$9,H42),1)*IF(Upgrades!$T$10="First Photons",POWER(Upgrades!$U$10,I42),1)*IF(Upgrades!$T$11="First Photons",POWER(Upgrades!$U$11,J42),1))*POWER(Upgrades!$P$6,E42)*POWER(Upgrades!$P$7,F42)*POWER(Upgrades!$P$8,G42)*POWER(Upgrades!$P$9,H42)*POWER(Upgrades!$P$10,I42)*POWER(Upgrades!$P$11,J42)*POWER(Upgrades!$P$12,K42)*60</f>
        <v>0</v>
      </c>
      <c r="AF42" s="27" t="n">
        <f aca="false">Parameters!$B$9*POWER(Upgrades!$Q$6,E42)*POWER(Upgrades!$Q$7,F42)*POWER(Upgrades!$Q$8,G42)*POWER(Upgrades!$Q$9,H42)*POWER(Upgrades!$Q$10,I42)*POWER(Upgrades!$Q$11,J42)*POWER(Upgrades!$Q$12,K42)*(Parameters!$B$10*Parameters!$B$11+O42*60)</f>
        <v>100</v>
      </c>
      <c r="AG42" s="21" t="n">
        <f aca="false">IF(E42&gt;=Upgrades!$E$6,"",Upgrades!$C$6*POWER(Upgrades!$D$6,E42))</f>
        <v>28.3189041499553</v>
      </c>
      <c r="AH42" s="21" t="n">
        <f aca="false">IF(F42&gt;=Upgrades!$E$7,"",Upgrades!$C$7*POWER(Upgrades!$D$7,F42))</f>
        <v>70.3575258383984</v>
      </c>
      <c r="AI42" s="21" t="n">
        <f aca="false">IF(G42&gt;=Upgrades!$E$8,"",Upgrades!$C$8*POWER(Upgrades!$D$8,G42))</f>
        <v>165.649792</v>
      </c>
      <c r="AJ42" s="21" t="n">
        <f aca="false">IF(H42&gt;=Upgrades!$E$9,"",Upgrades!$C$9*POWER(Upgrades!$D$9,H42))</f>
        <v>640</v>
      </c>
      <c r="AK42" s="21" t="str">
        <f aca="false">IF(I42&gt;=Upgrades!$E$10,"",Upgrades!$C$10*POWER(Upgrades!$D$10,I42))</f>
        <v/>
      </c>
      <c r="AL42" s="21" t="str">
        <f aca="false">IF(J42&gt;=Upgrades!$E$11,"",Upgrades!$C$11*POWER(Upgrades!$D$11,J42))</f>
        <v/>
      </c>
      <c r="AM42" s="21" t="n">
        <f aca="false">IF(K42&gt;=Upgrades!$E$12,"",Upgrades!$C$12*POWER(Upgrades!$D$12,K42))</f>
        <v>850</v>
      </c>
      <c r="AN42" s="26" t="str">
        <f aca="false">IF(AND(D42&gt;=Parameters!$B$18,(H42&gt;=Upgrades!$E$9)*(K42&gt;=Upgrades!$E$12)=1,L42=0),1,"")</f>
        <v/>
      </c>
      <c r="AO42" s="26" t="n">
        <f aca="false">IF(AND(D42&gt;=Parameters!$B$18,L42=0),1,"")</f>
        <v>1</v>
      </c>
      <c r="AP42" s="21" t="n">
        <f aca="false">MIN(IF(ISNUMBER(AK42),AK42,9000000000000000),IF(ISNUMBER(AL42),AL42,9000000000000000),IF(ISNUMBER(AM42),AM42,9000000000000000))</f>
        <v>850</v>
      </c>
      <c r="AQ42" s="21" t="n">
        <f aca="false">MIN(IF(ISNUMBER(AG42),AG42,9000000000000000),IF(ISNUMBER(AH42),AH42,9000000000000000),IF(ISNUMBER(AI42),AI42,9000000000000000),IF(ISNUMBER(AJ42),AJ42,9000000000000000))</f>
        <v>28.3189041499553</v>
      </c>
      <c r="AR42" s="32" t="b">
        <f aca="false">IF(AW42&gt;Parameters!$B$21*(MAX(IF(AND(NOT(AND(AO42=1,AN42&lt;&gt;1)),ISNUMBER(AG42),AG42&lt;=T42),AS42,0),IF(AND(NOT(AND(AO42=1,AN42&lt;&gt;1)),ISNUMBER(AH42),AH42&lt;=T42),AT42,0),IF(AND(NOT(AND(AO42=1,AN42&lt;&gt;1)),ISNUMBER(AI42),AI42&lt;=T42),AU42,0),IF(AND(ISNUMBER(AJ42),AJ42&lt;=T42),AV42,0))),TRUE(),FALSE())</f>
        <v>1</v>
      </c>
      <c r="AS42" s="33" t="n">
        <f aca="false">IFERROR(Upgrades!$H$6*(POWER(Upgrades!$P$6,E42)*POWER(Upgrades!$P$7,F42)*POWER(Upgrades!$P$8,G42)*POWER(Upgrades!$P$9,H42)*POWER(Upgrades!$P$10,I42)*POWER(Upgrades!$P$11,J42)*POWER(Upgrades!$P$12,K42))*(IF(Upgrades!$T$7="Solar Wind",POWER(Upgrades!$U$7,F42),1)*IF(Upgrades!$T$8="Solar Wind",POWER(Upgrades!$U$8,G42),1)*IF(Upgrades!$T$9="Solar Wind",POWER(Upgrades!$U$9,H42),1)*IF(Upgrades!$T$10="Solar Wind",POWER(Upgrades!$U$10,I42),1)*IF(Upgrades!$T$11="Solar Wind",POWER(Upgrades!$U$11,J42),1)*IF(Upgrades!$T$12="Solar Wind",POWER(Upgrades!$U$12,K42),1))/AG42,0)</f>
        <v>0.00353121008745523</v>
      </c>
      <c r="AT42" s="33" t="n">
        <f aca="false">IFERROR(Upgrades!$H$7*(POWER(Upgrades!$P$6,E42)*POWER(Upgrades!$P$7,F42)*POWER(Upgrades!$P$8,G42)*POWER(Upgrades!$P$9,H42)*POWER(Upgrades!$P$10,I42)*POWER(Upgrades!$P$11,J42)*POWER(Upgrades!$P$12,K42))*(IF(Upgrades!$T$6="Asteroid Belt",POWER(Upgrades!$U$6,E42),1)*IF(Upgrades!$T$8="Asteroid Belt",POWER(Upgrades!$U$8,G42),1)*IF(Upgrades!$T$9="Asteroid Belt",POWER(Upgrades!$U$9,H42),1)*IF(Upgrades!$T$10="Asteroid Belt",POWER(Upgrades!$U$10,I42),1)*IF(Upgrades!$T$11="Asteroid Belt",POWER(Upgrades!$U$11,J42),1)*IF(Upgrades!$T$12="Asteroid Belt",POWER(Upgrades!$U$12,K42),1))/AH42,0)</f>
        <v>0.00355328015050182</v>
      </c>
      <c r="AU42" s="33" t="n">
        <f aca="false">IFERROR(Upgrades!$K$8*(POWER(Upgrades!$Q$6,E42)*POWER(Upgrades!$Q$7,F42)*POWER(Upgrades!$Q$8,G42)*POWER(Upgrades!$Q$9,H42)*POWER(Upgrades!$Q$10,I42)*POWER(Upgrades!$Q$11,J42)*POWER(Upgrades!$Q$12,K42))*(IF(Upgrades!$T$6="Stellar Coupling",POWER(Upgrades!$U$6,E42),1)*IF(Upgrades!$T$7="Stellar Coupling",POWER(Upgrades!$U$7,F42),1)*IF(Upgrades!$T$9="Stellar Coupling",POWER(Upgrades!$U$9,H42),1)*IF(Upgrades!$T$10="Stellar Coupling",POWER(Upgrades!$U$10,I42),1)*IF(Upgrades!$T$11="Stellar Coupling",POWER(Upgrades!$U$11,J42),1)*IF(Upgrades!$T$12="Stellar Coupling",POWER(Upgrades!$U$12,K42),1))*Parameters!$B$10*Parameters!$B$11/60/AI42,0)</f>
        <v>0.00528222818414405</v>
      </c>
      <c r="AV42" s="33" t="n">
        <f aca="false">IFERROR(Upgrades!$H$9*(POWER(Upgrades!$P$6,E42)*POWER(Upgrades!$P$7,F42)*POWER(Upgrades!$P$8,G42)*POWER(Upgrades!$P$9,H42)*POWER(Upgrades!$P$10,I42)*POWER(Upgrades!$P$11,J42)*POWER(Upgrades!$P$12,K42))*(IF(Upgrades!$T$6="Magnetosphere",POWER(Upgrades!$U$6,E42),1)*IF(Upgrades!$T$7="Magnetosphere",POWER(Upgrades!$U$7,F42),1)*IF(Upgrades!$T$8="Magnetosphere",POWER(Upgrades!$U$8,G42),1)*IF(Upgrades!$T$10="Magnetosphere",POWER(Upgrades!$U$10,I42),1)*IF(Upgrades!$T$11="Magnetosphere",POWER(Upgrades!$U$11,J42),1)*IF(Upgrades!$T$12="Magnetosphere",POWER(Upgrades!$U$12,K42),1))/AJ42,0)</f>
        <v>0.001953125</v>
      </c>
      <c r="AW42" s="33" t="n">
        <f aca="false">MAX(IF(I42&gt;0,0,IFERROR(0.25*N42/Upgrades!$C$10,0)),IF(J42&gt;0,0,IFERROR(0.5*((IF(G42=0,0,(Upgrades!$J$8+G42*Upgrades!$K$8)*POWER(Upgrades!$L$8,G42)))*(IF(Upgrades!$T$6="Stellar Coupling",POWER(Upgrades!$U$6,E42),1)*IF(Upgrades!$T$7="Stellar Coupling",POWER(Upgrades!$U$7,F42),1)*IF(Upgrades!$T$9="Stellar Coupling",POWER(Upgrades!$U$9,H42),1)*IF(Upgrades!$T$10="Stellar Coupling",POWER(Upgrades!$U$10,I42),1)*IF(Upgrades!$T$11="Stellar Coupling",POWER(Upgrades!$U$11,J42),1)*IF(Upgrades!$T$12="Stellar Coupling",POWER(Upgrades!$U$12,K42),1))*(POWER(Upgrades!$Q$6,E42)*POWER(Upgrades!$Q$7,F42)*POWER(Upgrades!$Q$8,G42)*POWER(Upgrades!$Q$9,H42)*POWER(Upgrades!$Q$10,I42)*POWER(Upgrades!$Q$11,J42)*POWER(Upgrades!$Q$12,K42))*Parameters!$B$10*Parameters!$B$11/60)/Upgrades!$C$11,0)),IF(K42&gt;0,0,IFERROR((1*(POWER(Upgrades!$P$6,E42)*POWER(Upgrades!$P$7,F42)*POWER(Upgrades!$P$8,G42)*POWER(Upgrades!$P$9,H42)*POWER(Upgrades!$P$10,I42)*POWER(Upgrades!$P$11,J42)*POWER(Upgrades!$P$12,K42))+0.2*M42*Parameters!$B$10*Parameters!$B$11/60)/Upgrades!$C$12,0)),IF(AND(ISNUMBER(AG42),AG42&gt;T42),AS42,0),IF(AND(ISNUMBER(AH42),AH42&gt;T42),AT42,0),IF(AND(ISNUMBER(AI42),AI42&gt;T42),AU42,0),IF(AND(ISNUMBER(AJ42),AJ42&gt;T42),AV42,0))</f>
        <v>0.00309803921568627</v>
      </c>
      <c r="AX42" s="29" t="str">
        <f aca="false">IF(AN42=1,"transition",IF(MIN(IF(AND(I42=0,ISNUMBER(AK42),AK42&lt;=T42),AK42,9000000000000000),IF(AND(J42=0,ISNUMBER(AL42),AL42&lt;=T42),AL42,9000000000000000),IF(AND(K42=0,ISNUMBER(AM42),AM42&lt;=T42),AM42,9000000000000000))&lt;9000000000000000,IF(AND(AND(I42=0,ISNUMBER(AK42),AK42&lt;=T42),AK42=MIN(IF(AND(I42=0,ISNUMBER(AK42),AK42&lt;=T42),AK42,9000000000000000),IF(AND(J42=0,ISNUMBER(AL42),AL42&lt;=T42),AL42,9000000000000000),IF(AND(K42=0,ISNUMBER(AM42),AM42&lt;=T42),AM42,9000000000000000))),"OR",IF(AND(AND(J42=0,ISNUMBER(AL42),AL42&lt;=T42),AL42=MIN(IF(AND(I42=0,ISNUMBER(AK42),AK42&lt;=T42),AK42,9000000000000000),IF(AND(J42=0,ISNUMBER(AL42),AL42&lt;=T42),AL42,9000000000000000),IF(AND(K42=0,ISNUMBER(AM42),AM42&lt;=T42),AM42,9000000000000000))),"HP","FP")),IF(AR42=TRUE(),"",IF(MAX(IF(AND(NOT(AND(AO42=1,AN42&lt;&gt;1)),ISNUMBER(AG42),AG42&lt;=T42),AS42,0),IF(AND(NOT(AND(AO42=1,AN42&lt;&gt;1)),ISNUMBER(AH42),AH42&lt;=T42),AT42,0),IF(AND(NOT(AND(AO42=1,AN42&lt;&gt;1)),ISNUMBER(AI42),AI42&lt;=T42),AU42,0),IF(AND(ISNUMBER(AJ42),AJ42&lt;=T42),AV42,0))&lt;=0,"",IF(AND(IF(AND(NOT(AND(AO42=1,AN42&lt;&gt;1)),ISNUMBER(AG42),AG42&lt;=T42),AS42,0)&gt;0,IF(AND(NOT(AND(AO42=1,AN42&lt;&gt;1)),ISNUMBER(AG42),AG42&lt;=T42),AS42,0)=MAX(IF(AND(NOT(AND(AO42=1,AN42&lt;&gt;1)),ISNUMBER(AG42),AG42&lt;=T42),AS42,0),IF(AND(NOT(AND(AO42=1,AN42&lt;&gt;1)),ISNUMBER(AH42),AH42&lt;=T42),AT42,0),IF(AND(NOT(AND(AO42=1,AN42&lt;&gt;1)),ISNUMBER(AI42),AI42&lt;=T42),AU42,0),IF(AND(ISNUMBER(AJ42),AJ42&lt;=T42),AV42,0))),"SW",IF(AND(IF(AND(NOT(AND(AO42=1,AN42&lt;&gt;1)),ISNUMBER(AH42),AH42&lt;=T42),AT42,0)&gt;0,IF(AND(NOT(AND(AO42=1,AN42&lt;&gt;1)),ISNUMBER(AH42),AH42&lt;=T42),AT42,0)=MAX(IF(AND(NOT(AND(AO42=1,AN42&lt;&gt;1)),ISNUMBER(AG42),AG42&lt;=T42),AS42,0),IF(AND(NOT(AND(AO42=1,AN42&lt;&gt;1)),ISNUMBER(AH42),AH42&lt;=T42),AT42,0),IF(AND(NOT(AND(AO42=1,AN42&lt;&gt;1)),ISNUMBER(AI42),AI42&lt;=T42),AU42,0),IF(AND(ISNUMBER(AJ42),AJ42&lt;=T42),AV42,0))),"AB",IF(AND(IF(AND(NOT(AND(AO42=1,AN42&lt;&gt;1)),ISNUMBER(AI42),AI42&lt;=T42),AU42,0)&gt;0,IF(AND(NOT(AND(AO42=1,AN42&lt;&gt;1)),ISNUMBER(AI42),AI42&lt;=T42),AU42,0)=MAX(IF(AND(NOT(AND(AO42=1,AN42&lt;&gt;1)),ISNUMBER(AG42),AG42&lt;=T42),AS42,0),IF(AND(NOT(AND(AO42=1,AN42&lt;&gt;1)),ISNUMBER(AH42),AH42&lt;=T42),AT42,0),IF(AND(NOT(AND(AO42=1,AN42&lt;&gt;1)),ISNUMBER(AI42),AI42&lt;=T42),AU42,0),IF(AND(ISNUMBER(AJ42),AJ42&lt;=T42),AV42,0))),"SC","Mag")))))))</f>
        <v/>
      </c>
    </row>
    <row r="43" customFormat="false" ht="15" hidden="false" customHeight="false" outlineLevel="0" collapsed="false">
      <c r="A43" s="26" t="n">
        <v>38</v>
      </c>
      <c r="B43" s="27" t="n">
        <f aca="false">A43*10/60</f>
        <v>6.33333333333333</v>
      </c>
      <c r="C43" s="21" t="n">
        <f aca="false">X42</f>
        <v>708.732653410975</v>
      </c>
      <c r="D43" s="27" t="n">
        <f aca="false">D42+W42</f>
        <v>1</v>
      </c>
      <c r="E43" s="26" t="n">
        <f aca="false">E42+IF(U42="SW",1,0)</f>
        <v>10</v>
      </c>
      <c r="F43" s="26" t="n">
        <f aca="false">F42+IF(U42="AB",1,0)</f>
        <v>9</v>
      </c>
      <c r="G43" s="26" t="n">
        <f aca="false">G42+IF(U42="SC",1,0)</f>
        <v>6</v>
      </c>
      <c r="H43" s="26" t="n">
        <f aca="false">H42+IF(U42="Mag",1,0)</f>
        <v>3</v>
      </c>
      <c r="I43" s="26" t="n">
        <f aca="false">MAX(I42,IF(U42="OR",1,0))</f>
        <v>1</v>
      </c>
      <c r="J43" s="26" t="n">
        <f aca="false">MAX(J42,IF(U42="HP",1,0))</f>
        <v>1</v>
      </c>
      <c r="K43" s="26" t="n">
        <f aca="false">MAX(K42,IF(U42="FP",1,0))</f>
        <v>0</v>
      </c>
      <c r="L43" s="26" t="n">
        <f aca="false">MAX(L42,IF(U42="transition",1,0))</f>
        <v>0</v>
      </c>
      <c r="M43" s="28" t="n">
        <f aca="false">(Parameters!$B$9+(IF(E43=0,0,(Upgrades!$J$6+E43*Upgrades!$K$6)*POWER(Upgrades!$L$6,E43)))*(IF(Upgrades!$T$7="Solar Wind",POWER(Upgrades!$U$7,F43),1)*IF(Upgrades!$T$8="Solar Wind",POWER(Upgrades!$U$8,G43),1)*IF(Upgrades!$T$9="Solar Wind",POWER(Upgrades!$U$9,H43),1)*IF(Upgrades!$T$10="Solar Wind",POWER(Upgrades!$U$10,I43),1)*IF(Upgrades!$T$11="Solar Wind",POWER(Upgrades!$U$11,J43),1)*IF(Upgrades!$T$12="Solar Wind",POWER(Upgrades!$U$12,K43),1))+(IF(F43=0,0,(Upgrades!$J$7+F43*Upgrades!$K$7)*POWER(Upgrades!$L$7,F43)))*(IF(Upgrades!$T$6="Asteroid Belt",POWER(Upgrades!$U$6,E43),1)*IF(Upgrades!$T$8="Asteroid Belt",POWER(Upgrades!$U$8,G43),1)*IF(Upgrades!$T$9="Asteroid Belt",POWER(Upgrades!$U$9,H43),1)*IF(Upgrades!$T$10="Asteroid Belt",POWER(Upgrades!$U$10,I43),1)*IF(Upgrades!$T$11="Asteroid Belt",POWER(Upgrades!$U$11,J43),1)*IF(Upgrades!$T$12="Asteroid Belt",POWER(Upgrades!$U$12,K43),1))+(IF(G43=0,0,(Upgrades!$J$8+G43*Upgrades!$K$8)*POWER(Upgrades!$L$8,G43)))*(IF(Upgrades!$T$6="Stellar Coupling",POWER(Upgrades!$U$6,E43),1)*IF(Upgrades!$T$7="Stellar Coupling",POWER(Upgrades!$U$7,F43),1)*IF(Upgrades!$T$9="Stellar Coupling",POWER(Upgrades!$U$9,H43),1)*IF(Upgrades!$T$10="Stellar Coupling",POWER(Upgrades!$U$10,I43),1)*IF(Upgrades!$T$11="Stellar Coupling",POWER(Upgrades!$U$11,J43),1)*IF(Upgrades!$T$12="Stellar Coupling",POWER(Upgrades!$U$12,K43),1))+(IF(H43=0,0,(Upgrades!$J$9+H43*Upgrades!$K$9)*POWER(Upgrades!$L$9,H43)))*(IF(Upgrades!$T$6="Magnetosphere",POWER(Upgrades!$U$6,E43),1)*IF(Upgrades!$T$7="Magnetosphere",POWER(Upgrades!$U$7,F43),1)*IF(Upgrades!$T$8="Magnetosphere",POWER(Upgrades!$U$8,G43),1)*IF(Upgrades!$T$10="Magnetosphere",POWER(Upgrades!$U$10,I43),1)*IF(Upgrades!$T$11="Magnetosphere",POWER(Upgrades!$U$11,J43),1)*IF(Upgrades!$T$12="Magnetosphere",POWER(Upgrades!$U$12,K43),1))+(IF(I43=0,0,(Upgrades!$J$10+I43*Upgrades!$K$10)*POWER(Upgrades!$L$10,I43)))*(IF(Upgrades!$T$6="Orbital Resonance",POWER(Upgrades!$U$6,E43),1)*IF(Upgrades!$T$7="Orbital Resonance",POWER(Upgrades!$U$7,F43),1)*IF(Upgrades!$T$8="Orbital Resonance",POWER(Upgrades!$U$8,G43),1)*IF(Upgrades!$T$9="Orbital Resonance",POWER(Upgrades!$U$9,H43),1)*IF(Upgrades!$T$11="Orbital Resonance",POWER(Upgrades!$U$11,J43),1)*IF(Upgrades!$T$12="Orbital Resonance",POWER(Upgrades!$U$12,K43),1))+(IF(J43=0,0,(Upgrades!$J$11+J43*Upgrades!$K$11)*POWER(Upgrades!$L$11,J43)))*(IF(Upgrades!$T$6="Heliopause",POWER(Upgrades!$U$6,E43),1)*IF(Upgrades!$T$7="Heliopause",POWER(Upgrades!$U$7,F43),1)*IF(Upgrades!$T$8="Heliopause",POWER(Upgrades!$U$8,G43),1)*IF(Upgrades!$T$9="Heliopause",POWER(Upgrades!$U$9,H43),1)*IF(Upgrades!$T$10="Heliopause",POWER(Upgrades!$U$10,I43),1)*IF(Upgrades!$T$12="Heliopause",POWER(Upgrades!$U$12,K43),1))+(IF(K43=0,0,(Upgrades!$J$12+K43*Upgrades!$K$12)*POWER(Upgrades!$L$12,K43)))*(IF(Upgrades!$T$6="First Photons",POWER(Upgrades!$U$6,E43),1)*IF(Upgrades!$T$7="First Photons",POWER(Upgrades!$U$7,F43),1)*IF(Upgrades!$T$8="First Photons",POWER(Upgrades!$U$8,G43),1)*IF(Upgrades!$T$9="First Photons",POWER(Upgrades!$U$9,H43),1)*IF(Upgrades!$T$10="First Photons",POWER(Upgrades!$U$10,I43),1)*IF(Upgrades!$T$11="First Photons",POWER(Upgrades!$U$11,J43),1)))*POWER(Upgrades!$Q$6,E43)*POWER(Upgrades!$Q$7,F43)*POWER(Upgrades!$Q$8,G43)*POWER(Upgrades!$Q$9,H43)*POWER(Upgrades!$Q$10,I43)*POWER(Upgrades!$Q$11,J43)*POWER(Upgrades!$Q$12,K43)</f>
        <v>4.15</v>
      </c>
      <c r="N43" s="28" t="n">
        <f aca="false">((IF(E43=0,0,(Upgrades!$G$6+E43*Upgrades!$H$6)*POWER(Upgrades!$I$6,E43)))*(IF(Upgrades!$T$7="Solar Wind",POWER(Upgrades!$U$7,F43),1)*IF(Upgrades!$T$8="Solar Wind",POWER(Upgrades!$U$8,G43),1)*IF(Upgrades!$T$9="Solar Wind",POWER(Upgrades!$U$9,H43),1)*IF(Upgrades!$T$10="Solar Wind",POWER(Upgrades!$U$10,I43),1)*IF(Upgrades!$T$11="Solar Wind",POWER(Upgrades!$U$11,J43),1)*IF(Upgrades!$T$12="Solar Wind",POWER(Upgrades!$U$12,K43),1))+(IF(F43=0,0,(Upgrades!$G$7+F43*Upgrades!$H$7)*POWER(Upgrades!$I$7,F43)))*(IF(Upgrades!$T$6="Asteroid Belt",POWER(Upgrades!$U$6,E43),1)*IF(Upgrades!$T$8="Asteroid Belt",POWER(Upgrades!$U$8,G43),1)*IF(Upgrades!$T$9="Asteroid Belt",POWER(Upgrades!$U$9,H43),1)*IF(Upgrades!$T$10="Asteroid Belt",POWER(Upgrades!$U$10,I43),1)*IF(Upgrades!$T$11="Asteroid Belt",POWER(Upgrades!$U$11,J43),1)*IF(Upgrades!$T$12="Asteroid Belt",POWER(Upgrades!$U$12,K43),1))+(IF(G43=0,0,(Upgrades!$G$8+G43*Upgrades!$H$8)*POWER(Upgrades!$I$8,G43)))*(IF(Upgrades!$T$6="Stellar Coupling",POWER(Upgrades!$U$6,E43),1)*IF(Upgrades!$T$7="Stellar Coupling",POWER(Upgrades!$U$7,F43),1)*IF(Upgrades!$T$9="Stellar Coupling",POWER(Upgrades!$U$9,H43),1)*IF(Upgrades!$T$10="Stellar Coupling",POWER(Upgrades!$U$10,I43),1)*IF(Upgrades!$T$11="Stellar Coupling",POWER(Upgrades!$U$11,J43),1)*IF(Upgrades!$T$12="Stellar Coupling",POWER(Upgrades!$U$12,K43),1))+(IF(H43=0,0,(Upgrades!$G$9+H43*Upgrades!$H$9)*POWER(Upgrades!$I$9,H43)))*(IF(Upgrades!$T$6="Magnetosphere",POWER(Upgrades!$U$6,E43),1)*IF(Upgrades!$T$7="Magnetosphere",POWER(Upgrades!$U$7,F43),1)*IF(Upgrades!$T$8="Magnetosphere",POWER(Upgrades!$U$8,G43),1)*IF(Upgrades!$T$10="Magnetosphere",POWER(Upgrades!$U$10,I43),1)*IF(Upgrades!$T$11="Magnetosphere",POWER(Upgrades!$U$11,J43),1)*IF(Upgrades!$T$12="Magnetosphere",POWER(Upgrades!$U$12,K43),1))+(IF(I43=0,0,(Upgrades!$G$10+I43*Upgrades!$H$10)*POWER(Upgrades!$I$10,I43)))*(IF(Upgrades!$T$6="Orbital Resonance",POWER(Upgrades!$U$6,E43),1)*IF(Upgrades!$T$7="Orbital Resonance",POWER(Upgrades!$U$7,F43),1)*IF(Upgrades!$T$8="Orbital Resonance",POWER(Upgrades!$U$8,G43),1)*IF(Upgrades!$T$9="Orbital Resonance",POWER(Upgrades!$U$9,H43),1)*IF(Upgrades!$T$11="Orbital Resonance",POWER(Upgrades!$U$11,J43),1)*IF(Upgrades!$T$12="Orbital Resonance",POWER(Upgrades!$U$12,K43),1))+(IF(J43=0,0,(Upgrades!$G$11+J43*Upgrades!$H$11)*POWER(Upgrades!$I$11,J43)))*(IF(Upgrades!$T$6="Heliopause",POWER(Upgrades!$U$6,E43),1)*IF(Upgrades!$T$7="Heliopause",POWER(Upgrades!$U$7,F43),1)*IF(Upgrades!$T$8="Heliopause",POWER(Upgrades!$U$8,G43),1)*IF(Upgrades!$T$9="Heliopause",POWER(Upgrades!$U$9,H43),1)*IF(Upgrades!$T$10="Heliopause",POWER(Upgrades!$U$10,I43),1)*IF(Upgrades!$T$12="Heliopause",POWER(Upgrades!$U$12,K43),1))+(IF(K43=0,0,(Upgrades!$G$12+K43*Upgrades!$H$12)*POWER(Upgrades!$I$12,K43)))*(IF(Upgrades!$T$6="First Photons",POWER(Upgrades!$U$6,E43),1)*IF(Upgrades!$T$7="First Photons",POWER(Upgrades!$U$7,F43),1)*IF(Upgrades!$T$8="First Photons",POWER(Upgrades!$U$8,G43),1)*IF(Upgrades!$T$9="First Photons",POWER(Upgrades!$U$9,H43),1)*IF(Upgrades!$T$10="First Photons",POWER(Upgrades!$U$10,I43),1)*IF(Upgrades!$T$11="First Photons",POWER(Upgrades!$U$11,J43),1)))*POWER(Upgrades!$P$6,E43)*POWER(Upgrades!$P$7,F43)*POWER(Upgrades!$P$8,G43)*POWER(Upgrades!$P$9,H43)*POWER(Upgrades!$P$10,I43)*POWER(Upgrades!$P$11,J43)*POWER(Upgrades!$P$12,K43)</f>
        <v>7</v>
      </c>
      <c r="O43" s="28" t="n">
        <f aca="false">((IF(E43=0,0,(Upgrades!$M$6+E43*Upgrades!$N$6)*POWER(Upgrades!$O$6,E43)))*(IF(Upgrades!$T$7="Solar Wind",POWER(Upgrades!$U$7,F43),1)*IF(Upgrades!$T$8="Solar Wind",POWER(Upgrades!$U$8,G43),1)*IF(Upgrades!$T$9="Solar Wind",POWER(Upgrades!$U$9,H43),1)*IF(Upgrades!$T$10="Solar Wind",POWER(Upgrades!$U$10,I43),1)*IF(Upgrades!$T$11="Solar Wind",POWER(Upgrades!$U$11,J43),1)*IF(Upgrades!$T$12="Solar Wind",POWER(Upgrades!$U$12,K43),1))+(IF(F43=0,0,(Upgrades!$M$7+F43*Upgrades!$N$7)*POWER(Upgrades!$O$7,F43)))*(IF(Upgrades!$T$6="Asteroid Belt",POWER(Upgrades!$U$6,E43),1)*IF(Upgrades!$T$8="Asteroid Belt",POWER(Upgrades!$U$8,G43),1)*IF(Upgrades!$T$9="Asteroid Belt",POWER(Upgrades!$U$9,H43),1)*IF(Upgrades!$T$10="Asteroid Belt",POWER(Upgrades!$U$10,I43),1)*IF(Upgrades!$T$11="Asteroid Belt",POWER(Upgrades!$U$11,J43),1)*IF(Upgrades!$T$12="Asteroid Belt",POWER(Upgrades!$U$12,K43),1))+(IF(G43=0,0,(Upgrades!$M$8+G43*Upgrades!$N$8)*POWER(Upgrades!$O$8,G43)))*(IF(Upgrades!$T$6="Stellar Coupling",POWER(Upgrades!$U$6,E43),1)*IF(Upgrades!$T$7="Stellar Coupling",POWER(Upgrades!$U$7,F43),1)*IF(Upgrades!$T$9="Stellar Coupling",POWER(Upgrades!$U$9,H43),1)*IF(Upgrades!$T$10="Stellar Coupling",POWER(Upgrades!$U$10,I43),1)*IF(Upgrades!$T$11="Stellar Coupling",POWER(Upgrades!$U$11,J43),1)*IF(Upgrades!$T$12="Stellar Coupling",POWER(Upgrades!$U$12,K43),1))+(IF(H43=0,0,(Upgrades!$M$9+H43*Upgrades!$N$9)*POWER(Upgrades!$O$9,H43)))*(IF(Upgrades!$T$6="Magnetosphere",POWER(Upgrades!$U$6,E43),1)*IF(Upgrades!$T$7="Magnetosphere",POWER(Upgrades!$U$7,F43),1)*IF(Upgrades!$T$8="Magnetosphere",POWER(Upgrades!$U$8,G43),1)*IF(Upgrades!$T$10="Magnetosphere",POWER(Upgrades!$U$10,I43),1)*IF(Upgrades!$T$11="Magnetosphere",POWER(Upgrades!$U$11,J43),1)*IF(Upgrades!$T$12="Magnetosphere",POWER(Upgrades!$U$12,K43),1))+(IF(I43=0,0,(Upgrades!$M$10+I43*Upgrades!$N$10)*POWER(Upgrades!$O$10,I43)))*(IF(Upgrades!$T$6="Orbital Resonance",POWER(Upgrades!$U$6,E43),1)*IF(Upgrades!$T$7="Orbital Resonance",POWER(Upgrades!$U$7,F43),1)*IF(Upgrades!$T$8="Orbital Resonance",POWER(Upgrades!$U$8,G43),1)*IF(Upgrades!$T$9="Orbital Resonance",POWER(Upgrades!$U$9,H43),1)*IF(Upgrades!$T$11="Orbital Resonance",POWER(Upgrades!$U$11,J43),1)*IF(Upgrades!$T$12="Orbital Resonance",POWER(Upgrades!$U$12,K43),1))+(IF(J43=0,0,(Upgrades!$M$11+J43*Upgrades!$N$11)*POWER(Upgrades!$O$11,J43)))*(IF(Upgrades!$T$6="Heliopause",POWER(Upgrades!$U$6,E43),1)*IF(Upgrades!$T$7="Heliopause",POWER(Upgrades!$U$7,F43),1)*IF(Upgrades!$T$8="Heliopause",POWER(Upgrades!$U$8,G43),1)*IF(Upgrades!$T$9="Heliopause",POWER(Upgrades!$U$9,H43),1)*IF(Upgrades!$T$10="Heliopause",POWER(Upgrades!$U$10,I43),1)*IF(Upgrades!$T$12="Heliopause",POWER(Upgrades!$U$12,K43),1))+(IF(K43=0,0,(Upgrades!$M$12+K43*Upgrades!$N$12)*POWER(Upgrades!$O$12,K43)))*(IF(Upgrades!$T$6="First Photons",POWER(Upgrades!$U$6,E43),1)*IF(Upgrades!$T$7="First Photons",POWER(Upgrades!$U$7,F43),1)*IF(Upgrades!$T$8="First Photons",POWER(Upgrades!$U$8,G43),1)*IF(Upgrades!$T$9="First Photons",POWER(Upgrades!$U$9,H43),1)*IF(Upgrades!$T$10="First Photons",POWER(Upgrades!$U$10,I43),1)*IF(Upgrades!$T$11="First Photons",POWER(Upgrades!$U$11,J43),1)))*POWER(Upgrades!$R$6,E43)*POWER(Upgrades!$R$7,F43)*POWER(Upgrades!$R$8,G43)*POWER(Upgrades!$R$9,H43)*POWER(Upgrades!$R$10,I43)*POWER(Upgrades!$R$11,J43)*POWER(Upgrades!$R$12,K43)</f>
        <v>0</v>
      </c>
      <c r="P43" s="27" t="n">
        <f aca="false">IF(L43=1,0,M43*Parameters!$B$10/60*Parameters!$B$11*10)</f>
        <v>69.1666666666667</v>
      </c>
      <c r="Q43" s="27" t="n">
        <f aca="false">IF(L43=1,0,O43*M43*10)</f>
        <v>0</v>
      </c>
      <c r="R43" s="27" t="n">
        <f aca="false">IF(L43=1,0,N43*10)</f>
        <v>70</v>
      </c>
      <c r="S43" s="27" t="n">
        <f aca="false">P43+Q43+R43</f>
        <v>139.166666666667</v>
      </c>
      <c r="T43" s="21" t="n">
        <f aca="false">C43+S43</f>
        <v>847.899320077641</v>
      </c>
      <c r="U43" s="34" t="str">
        <f aca="false">AX43</f>
        <v/>
      </c>
      <c r="V43" s="21" t="n">
        <f aca="false">IF(U43="",0,IF(U43="transition",0,IF(U43="SW",AG43,IF(U43="AB",AH43,IF(U43="SC",AI43,IF(U43="Mag",AJ43,IF(U43="OR",AK43,IF(U43="HP",AL43,IF(U43="FP",AM43,0)))))))))</f>
        <v>0</v>
      </c>
      <c r="W43" s="27" t="n">
        <f aca="false">IF(U43="OR",Upgrades!$F$10,IF(U43="HP",Upgrades!$F$11,IF(U43="transition",-Parameters!$B$18,0)))</f>
        <v>0</v>
      </c>
      <c r="X43" s="21" t="n">
        <f aca="false">T43-V43</f>
        <v>847.899320077641</v>
      </c>
      <c r="Y43" s="30" t="n">
        <f aca="false">M43*Parameters!$B$10/60*Parameters!$B$11+O43*M43+N43</f>
        <v>13.9166666666667</v>
      </c>
      <c r="Z43" s="35" t="str">
        <f aca="false">IF(U43="transition","→ Tier 2 (Stellar Neighborhood)",IF(U43="FP","First Photons — light begins, system quickens",IF(U43="HP","Heliopause acquired",IF(U43="OR","Orbital Resonance — passive multiplier active",IF(AND(AO43=1,L43=0,AN43&lt;&gt;1),"Cohesion ready (waiting on completionist upgrades)","")))))</f>
        <v>Cohesion ready (waiting on completionist upgrades)</v>
      </c>
      <c r="AA43" s="27" t="n">
        <f aca="false">(IF(E43=0,0,(Upgrades!$G$6+E43*Upgrades!$H$6)*POWER(Upgrades!$I$6,E43)))*(IF(Upgrades!$T$7="Solar Wind",POWER(Upgrades!$U$7,F43),1)*IF(Upgrades!$T$8="Solar Wind",POWER(Upgrades!$U$8,G43),1)*IF(Upgrades!$T$9="Solar Wind",POWER(Upgrades!$U$9,H43),1)*IF(Upgrades!$T$10="Solar Wind",POWER(Upgrades!$U$10,I43),1)*IF(Upgrades!$T$11="Solar Wind",POWER(Upgrades!$U$11,J43),1)*IF(Upgrades!$T$12="Solar Wind",POWER(Upgrades!$U$12,K43),1))*POWER(Upgrades!$P$6,E43)*POWER(Upgrades!$P$7,F43)*POWER(Upgrades!$P$8,G43)*POWER(Upgrades!$P$9,H43)*POWER(Upgrades!$P$10,I43)*POWER(Upgrades!$P$11,J43)*POWER(Upgrades!$P$12,K43)*60</f>
        <v>60</v>
      </c>
      <c r="AB43" s="27" t="n">
        <f aca="false">(IF(F43=0,0,(Upgrades!$G$7+F43*Upgrades!$H$7)*POWER(Upgrades!$I$7,F43)))*(IF(Upgrades!$T$6="Asteroid Belt",POWER(Upgrades!$U$6,E43),1)*IF(Upgrades!$T$8="Asteroid Belt",POWER(Upgrades!$U$8,G43),1)*IF(Upgrades!$T$9="Asteroid Belt",POWER(Upgrades!$U$9,H43),1)*IF(Upgrades!$T$10="Asteroid Belt",POWER(Upgrades!$U$10,I43),1)*IF(Upgrades!$T$11="Asteroid Belt",POWER(Upgrades!$U$11,J43),1)*IF(Upgrades!$T$12="Asteroid Belt",POWER(Upgrades!$U$12,K43),1))*POWER(Upgrades!$P$6,E43)*POWER(Upgrades!$P$7,F43)*POWER(Upgrades!$P$8,G43)*POWER(Upgrades!$P$9,H43)*POWER(Upgrades!$P$10,I43)*POWER(Upgrades!$P$11,J43)*POWER(Upgrades!$P$12,K43)*60</f>
        <v>135</v>
      </c>
      <c r="AC43" s="27" t="n">
        <f aca="false">(IF(G43=0,0,(Upgrades!$J$8+G43*Upgrades!$K$8)*POWER(Upgrades!$L$8,G43)))*(IF(Upgrades!$T$6="Stellar Coupling",POWER(Upgrades!$U$6,E43),1)*IF(Upgrades!$T$7="Stellar Coupling",POWER(Upgrades!$U$7,F43),1)*IF(Upgrades!$T$9="Stellar Coupling",POWER(Upgrades!$U$9,H43),1)*IF(Upgrades!$T$10="Stellar Coupling",POWER(Upgrades!$U$10,I43),1)*IF(Upgrades!$T$11="Stellar Coupling",POWER(Upgrades!$U$11,J43),1)*IF(Upgrades!$T$12="Stellar Coupling",POWER(Upgrades!$U$12,K43),1))*POWER(Upgrades!$Q$6,E43)*POWER(Upgrades!$Q$7,F43)*POWER(Upgrades!$Q$8,G43)*POWER(Upgrades!$Q$9,H43)*POWER(Upgrades!$Q$10,I43)*POWER(Upgrades!$Q$11,J43)*POWER(Upgrades!$Q$12,K43)*Parameters!$B$10*Parameters!$B$11</f>
        <v>315</v>
      </c>
      <c r="AD43" s="27" t="n">
        <f aca="false">(IF(H43=0,0,(Upgrades!$G$9+H43*Upgrades!$H$9)*POWER(Upgrades!$I$9,H43)))*(IF(Upgrades!$T$6="Magnetosphere",POWER(Upgrades!$U$6,E43),1)*IF(Upgrades!$T$7="Magnetosphere",POWER(Upgrades!$U$7,F43),1)*IF(Upgrades!$T$8="Magnetosphere",POWER(Upgrades!$U$8,G43),1)*IF(Upgrades!$T$10="Magnetosphere",POWER(Upgrades!$U$10,I43),1)*IF(Upgrades!$T$11="Magnetosphere",POWER(Upgrades!$U$11,J43),1)*IF(Upgrades!$T$12="Magnetosphere",POWER(Upgrades!$U$12,K43),1))*POWER(Upgrades!$P$6,E43)*POWER(Upgrades!$P$7,F43)*POWER(Upgrades!$P$8,G43)*POWER(Upgrades!$P$9,H43)*POWER(Upgrades!$P$10,I43)*POWER(Upgrades!$P$11,J43)*POWER(Upgrades!$P$12,K43)*60</f>
        <v>225</v>
      </c>
      <c r="AE43" s="27" t="n">
        <f aca="false">(IF(K43=0,0,(Upgrades!$G$12+K43*Upgrades!$H$12)*POWER(Upgrades!$I$12,K43)))*(IF(Upgrades!$T$6="First Photons",POWER(Upgrades!$U$6,E43),1)*IF(Upgrades!$T$7="First Photons",POWER(Upgrades!$U$7,F43),1)*IF(Upgrades!$T$8="First Photons",POWER(Upgrades!$U$8,G43),1)*IF(Upgrades!$T$9="First Photons",POWER(Upgrades!$U$9,H43),1)*IF(Upgrades!$T$10="First Photons",POWER(Upgrades!$U$10,I43),1)*IF(Upgrades!$T$11="First Photons",POWER(Upgrades!$U$11,J43),1))*POWER(Upgrades!$P$6,E43)*POWER(Upgrades!$P$7,F43)*POWER(Upgrades!$P$8,G43)*POWER(Upgrades!$P$9,H43)*POWER(Upgrades!$P$10,I43)*POWER(Upgrades!$P$11,J43)*POWER(Upgrades!$P$12,K43)*60</f>
        <v>0</v>
      </c>
      <c r="AF43" s="27" t="n">
        <f aca="false">Parameters!$B$9*POWER(Upgrades!$Q$6,E43)*POWER(Upgrades!$Q$7,F43)*POWER(Upgrades!$Q$8,G43)*POWER(Upgrades!$Q$9,H43)*POWER(Upgrades!$Q$10,I43)*POWER(Upgrades!$Q$11,J43)*POWER(Upgrades!$Q$12,K43)*(Parameters!$B$10*Parameters!$B$11+O43*60)</f>
        <v>100</v>
      </c>
      <c r="AG43" s="21" t="n">
        <f aca="false">IF(E43&gt;=Upgrades!$E$6,"",Upgrades!$C$6*POWER(Upgrades!$D$6,E43))</f>
        <v>28.3189041499553</v>
      </c>
      <c r="AH43" s="21" t="n">
        <f aca="false">IF(F43&gt;=Upgrades!$E$7,"",Upgrades!$C$7*POWER(Upgrades!$D$7,F43))</f>
        <v>70.3575258383984</v>
      </c>
      <c r="AI43" s="21" t="n">
        <f aca="false">IF(G43&gt;=Upgrades!$E$8,"",Upgrades!$C$8*POWER(Upgrades!$D$8,G43))</f>
        <v>165.649792</v>
      </c>
      <c r="AJ43" s="21" t="n">
        <f aca="false">IF(H43&gt;=Upgrades!$E$9,"",Upgrades!$C$9*POWER(Upgrades!$D$9,H43))</f>
        <v>640</v>
      </c>
      <c r="AK43" s="21" t="str">
        <f aca="false">IF(I43&gt;=Upgrades!$E$10,"",Upgrades!$C$10*POWER(Upgrades!$D$10,I43))</f>
        <v/>
      </c>
      <c r="AL43" s="21" t="str">
        <f aca="false">IF(J43&gt;=Upgrades!$E$11,"",Upgrades!$C$11*POWER(Upgrades!$D$11,J43))</f>
        <v/>
      </c>
      <c r="AM43" s="21" t="n">
        <f aca="false">IF(K43&gt;=Upgrades!$E$12,"",Upgrades!$C$12*POWER(Upgrades!$D$12,K43))</f>
        <v>850</v>
      </c>
      <c r="AN43" s="26" t="str">
        <f aca="false">IF(AND(D43&gt;=Parameters!$B$18,(H43&gt;=Upgrades!$E$9)*(K43&gt;=Upgrades!$E$12)=1,L43=0),1,"")</f>
        <v/>
      </c>
      <c r="AO43" s="26" t="n">
        <f aca="false">IF(AND(D43&gt;=Parameters!$B$18,L43=0),1,"")</f>
        <v>1</v>
      </c>
      <c r="AP43" s="21" t="n">
        <f aca="false">MIN(IF(ISNUMBER(AK43),AK43,9000000000000000),IF(ISNUMBER(AL43),AL43,9000000000000000),IF(ISNUMBER(AM43),AM43,9000000000000000))</f>
        <v>850</v>
      </c>
      <c r="AQ43" s="21" t="n">
        <f aca="false">MIN(IF(ISNUMBER(AG43),AG43,9000000000000000),IF(ISNUMBER(AH43),AH43,9000000000000000),IF(ISNUMBER(AI43),AI43,9000000000000000),IF(ISNUMBER(AJ43),AJ43,9000000000000000))</f>
        <v>28.3189041499553</v>
      </c>
      <c r="AR43" s="32" t="b">
        <f aca="false">IF(AW43&gt;Parameters!$B$21*(MAX(IF(AND(NOT(AND(AO43=1,AN43&lt;&gt;1)),ISNUMBER(AG43),AG43&lt;=T43),AS43,0),IF(AND(NOT(AND(AO43=1,AN43&lt;&gt;1)),ISNUMBER(AH43),AH43&lt;=T43),AT43,0),IF(AND(NOT(AND(AO43=1,AN43&lt;&gt;1)),ISNUMBER(AI43),AI43&lt;=T43),AU43,0),IF(AND(ISNUMBER(AJ43),AJ43&lt;=T43),AV43,0))),TRUE(),FALSE())</f>
        <v>1</v>
      </c>
      <c r="AS43" s="33" t="n">
        <f aca="false">IFERROR(Upgrades!$H$6*(POWER(Upgrades!$P$6,E43)*POWER(Upgrades!$P$7,F43)*POWER(Upgrades!$P$8,G43)*POWER(Upgrades!$P$9,H43)*POWER(Upgrades!$P$10,I43)*POWER(Upgrades!$P$11,J43)*POWER(Upgrades!$P$12,K43))*(IF(Upgrades!$T$7="Solar Wind",POWER(Upgrades!$U$7,F43),1)*IF(Upgrades!$T$8="Solar Wind",POWER(Upgrades!$U$8,G43),1)*IF(Upgrades!$T$9="Solar Wind",POWER(Upgrades!$U$9,H43),1)*IF(Upgrades!$T$10="Solar Wind",POWER(Upgrades!$U$10,I43),1)*IF(Upgrades!$T$11="Solar Wind",POWER(Upgrades!$U$11,J43),1)*IF(Upgrades!$T$12="Solar Wind",POWER(Upgrades!$U$12,K43),1))/AG43,0)</f>
        <v>0.00353121008745523</v>
      </c>
      <c r="AT43" s="33" t="n">
        <f aca="false">IFERROR(Upgrades!$H$7*(POWER(Upgrades!$P$6,E43)*POWER(Upgrades!$P$7,F43)*POWER(Upgrades!$P$8,G43)*POWER(Upgrades!$P$9,H43)*POWER(Upgrades!$P$10,I43)*POWER(Upgrades!$P$11,J43)*POWER(Upgrades!$P$12,K43))*(IF(Upgrades!$T$6="Asteroid Belt",POWER(Upgrades!$U$6,E43),1)*IF(Upgrades!$T$8="Asteroid Belt",POWER(Upgrades!$U$8,G43),1)*IF(Upgrades!$T$9="Asteroid Belt",POWER(Upgrades!$U$9,H43),1)*IF(Upgrades!$T$10="Asteroid Belt",POWER(Upgrades!$U$10,I43),1)*IF(Upgrades!$T$11="Asteroid Belt",POWER(Upgrades!$U$11,J43),1)*IF(Upgrades!$T$12="Asteroid Belt",POWER(Upgrades!$U$12,K43),1))/AH43,0)</f>
        <v>0.00355328015050182</v>
      </c>
      <c r="AU43" s="33" t="n">
        <f aca="false">IFERROR(Upgrades!$K$8*(POWER(Upgrades!$Q$6,E43)*POWER(Upgrades!$Q$7,F43)*POWER(Upgrades!$Q$8,G43)*POWER(Upgrades!$Q$9,H43)*POWER(Upgrades!$Q$10,I43)*POWER(Upgrades!$Q$11,J43)*POWER(Upgrades!$Q$12,K43))*(IF(Upgrades!$T$6="Stellar Coupling",POWER(Upgrades!$U$6,E43),1)*IF(Upgrades!$T$7="Stellar Coupling",POWER(Upgrades!$U$7,F43),1)*IF(Upgrades!$T$9="Stellar Coupling",POWER(Upgrades!$U$9,H43),1)*IF(Upgrades!$T$10="Stellar Coupling",POWER(Upgrades!$U$10,I43),1)*IF(Upgrades!$T$11="Stellar Coupling",POWER(Upgrades!$U$11,J43),1)*IF(Upgrades!$T$12="Stellar Coupling",POWER(Upgrades!$U$12,K43),1))*Parameters!$B$10*Parameters!$B$11/60/AI43,0)</f>
        <v>0.00528222818414405</v>
      </c>
      <c r="AV43" s="33" t="n">
        <f aca="false">IFERROR(Upgrades!$H$9*(POWER(Upgrades!$P$6,E43)*POWER(Upgrades!$P$7,F43)*POWER(Upgrades!$P$8,G43)*POWER(Upgrades!$P$9,H43)*POWER(Upgrades!$P$10,I43)*POWER(Upgrades!$P$11,J43)*POWER(Upgrades!$P$12,K43))*(IF(Upgrades!$T$6="Magnetosphere",POWER(Upgrades!$U$6,E43),1)*IF(Upgrades!$T$7="Magnetosphere",POWER(Upgrades!$U$7,F43),1)*IF(Upgrades!$T$8="Magnetosphere",POWER(Upgrades!$U$8,G43),1)*IF(Upgrades!$T$10="Magnetosphere",POWER(Upgrades!$U$10,I43),1)*IF(Upgrades!$T$11="Magnetosphere",POWER(Upgrades!$U$11,J43),1)*IF(Upgrades!$T$12="Magnetosphere",POWER(Upgrades!$U$12,K43),1))/AJ43,0)</f>
        <v>0.001953125</v>
      </c>
      <c r="AW43" s="33" t="n">
        <f aca="false">MAX(IF(I43&gt;0,0,IFERROR(0.25*N43/Upgrades!$C$10,0)),IF(J43&gt;0,0,IFERROR(0.5*((IF(G43=0,0,(Upgrades!$J$8+G43*Upgrades!$K$8)*POWER(Upgrades!$L$8,G43)))*(IF(Upgrades!$T$6="Stellar Coupling",POWER(Upgrades!$U$6,E43),1)*IF(Upgrades!$T$7="Stellar Coupling",POWER(Upgrades!$U$7,F43),1)*IF(Upgrades!$T$9="Stellar Coupling",POWER(Upgrades!$U$9,H43),1)*IF(Upgrades!$T$10="Stellar Coupling",POWER(Upgrades!$U$10,I43),1)*IF(Upgrades!$T$11="Stellar Coupling",POWER(Upgrades!$U$11,J43),1)*IF(Upgrades!$T$12="Stellar Coupling",POWER(Upgrades!$U$12,K43),1))*(POWER(Upgrades!$Q$6,E43)*POWER(Upgrades!$Q$7,F43)*POWER(Upgrades!$Q$8,G43)*POWER(Upgrades!$Q$9,H43)*POWER(Upgrades!$Q$10,I43)*POWER(Upgrades!$Q$11,J43)*POWER(Upgrades!$Q$12,K43))*Parameters!$B$10*Parameters!$B$11/60)/Upgrades!$C$11,0)),IF(K43&gt;0,0,IFERROR((1*(POWER(Upgrades!$P$6,E43)*POWER(Upgrades!$P$7,F43)*POWER(Upgrades!$P$8,G43)*POWER(Upgrades!$P$9,H43)*POWER(Upgrades!$P$10,I43)*POWER(Upgrades!$P$11,J43)*POWER(Upgrades!$P$12,K43))+0.2*M43*Parameters!$B$10*Parameters!$B$11/60)/Upgrades!$C$12,0)),IF(AND(ISNUMBER(AG43),AG43&gt;T43),AS43,0),IF(AND(ISNUMBER(AH43),AH43&gt;T43),AT43,0),IF(AND(ISNUMBER(AI43),AI43&gt;T43),AU43,0),IF(AND(ISNUMBER(AJ43),AJ43&gt;T43),AV43,0))</f>
        <v>0.00309803921568627</v>
      </c>
      <c r="AX43" s="29" t="str">
        <f aca="false">IF(AN43=1,"transition",IF(MIN(IF(AND(I43=0,ISNUMBER(AK43),AK43&lt;=T43),AK43,9000000000000000),IF(AND(J43=0,ISNUMBER(AL43),AL43&lt;=T43),AL43,9000000000000000),IF(AND(K43=0,ISNUMBER(AM43),AM43&lt;=T43),AM43,9000000000000000))&lt;9000000000000000,IF(AND(AND(I43=0,ISNUMBER(AK43),AK43&lt;=T43),AK43=MIN(IF(AND(I43=0,ISNUMBER(AK43),AK43&lt;=T43),AK43,9000000000000000),IF(AND(J43=0,ISNUMBER(AL43),AL43&lt;=T43),AL43,9000000000000000),IF(AND(K43=0,ISNUMBER(AM43),AM43&lt;=T43),AM43,9000000000000000))),"OR",IF(AND(AND(J43=0,ISNUMBER(AL43),AL43&lt;=T43),AL43=MIN(IF(AND(I43=0,ISNUMBER(AK43),AK43&lt;=T43),AK43,9000000000000000),IF(AND(J43=0,ISNUMBER(AL43),AL43&lt;=T43),AL43,9000000000000000),IF(AND(K43=0,ISNUMBER(AM43),AM43&lt;=T43),AM43,9000000000000000))),"HP","FP")),IF(AR43=TRUE(),"",IF(MAX(IF(AND(NOT(AND(AO43=1,AN43&lt;&gt;1)),ISNUMBER(AG43),AG43&lt;=T43),AS43,0),IF(AND(NOT(AND(AO43=1,AN43&lt;&gt;1)),ISNUMBER(AH43),AH43&lt;=T43),AT43,0),IF(AND(NOT(AND(AO43=1,AN43&lt;&gt;1)),ISNUMBER(AI43),AI43&lt;=T43),AU43,0),IF(AND(ISNUMBER(AJ43),AJ43&lt;=T43),AV43,0))&lt;=0,"",IF(AND(IF(AND(NOT(AND(AO43=1,AN43&lt;&gt;1)),ISNUMBER(AG43),AG43&lt;=T43),AS43,0)&gt;0,IF(AND(NOT(AND(AO43=1,AN43&lt;&gt;1)),ISNUMBER(AG43),AG43&lt;=T43),AS43,0)=MAX(IF(AND(NOT(AND(AO43=1,AN43&lt;&gt;1)),ISNUMBER(AG43),AG43&lt;=T43),AS43,0),IF(AND(NOT(AND(AO43=1,AN43&lt;&gt;1)),ISNUMBER(AH43),AH43&lt;=T43),AT43,0),IF(AND(NOT(AND(AO43=1,AN43&lt;&gt;1)),ISNUMBER(AI43),AI43&lt;=T43),AU43,0),IF(AND(ISNUMBER(AJ43),AJ43&lt;=T43),AV43,0))),"SW",IF(AND(IF(AND(NOT(AND(AO43=1,AN43&lt;&gt;1)),ISNUMBER(AH43),AH43&lt;=T43),AT43,0)&gt;0,IF(AND(NOT(AND(AO43=1,AN43&lt;&gt;1)),ISNUMBER(AH43),AH43&lt;=T43),AT43,0)=MAX(IF(AND(NOT(AND(AO43=1,AN43&lt;&gt;1)),ISNUMBER(AG43),AG43&lt;=T43),AS43,0),IF(AND(NOT(AND(AO43=1,AN43&lt;&gt;1)),ISNUMBER(AH43),AH43&lt;=T43),AT43,0),IF(AND(NOT(AND(AO43=1,AN43&lt;&gt;1)),ISNUMBER(AI43),AI43&lt;=T43),AU43,0),IF(AND(ISNUMBER(AJ43),AJ43&lt;=T43),AV43,0))),"AB",IF(AND(IF(AND(NOT(AND(AO43=1,AN43&lt;&gt;1)),ISNUMBER(AI43),AI43&lt;=T43),AU43,0)&gt;0,IF(AND(NOT(AND(AO43=1,AN43&lt;&gt;1)),ISNUMBER(AI43),AI43&lt;=T43),AU43,0)=MAX(IF(AND(NOT(AND(AO43=1,AN43&lt;&gt;1)),ISNUMBER(AG43),AG43&lt;=T43),AS43,0),IF(AND(NOT(AND(AO43=1,AN43&lt;&gt;1)),ISNUMBER(AH43),AH43&lt;=T43),AT43,0),IF(AND(NOT(AND(AO43=1,AN43&lt;&gt;1)),ISNUMBER(AI43),AI43&lt;=T43),AU43,0),IF(AND(ISNUMBER(AJ43),AJ43&lt;=T43),AV43,0))),"SC","Mag")))))))</f>
        <v/>
      </c>
    </row>
    <row r="44" customFormat="false" ht="15" hidden="false" customHeight="false" outlineLevel="0" collapsed="false">
      <c r="A44" s="26" t="n">
        <v>39</v>
      </c>
      <c r="B44" s="27" t="n">
        <f aca="false">A44*10/60</f>
        <v>6.5</v>
      </c>
      <c r="C44" s="21" t="n">
        <f aca="false">X43</f>
        <v>847.899320077641</v>
      </c>
      <c r="D44" s="27" t="n">
        <f aca="false">D43+W43</f>
        <v>1</v>
      </c>
      <c r="E44" s="26" t="n">
        <f aca="false">E43+IF(U43="SW",1,0)</f>
        <v>10</v>
      </c>
      <c r="F44" s="26" t="n">
        <f aca="false">F43+IF(U43="AB",1,0)</f>
        <v>9</v>
      </c>
      <c r="G44" s="26" t="n">
        <f aca="false">G43+IF(U43="SC",1,0)</f>
        <v>6</v>
      </c>
      <c r="H44" s="26" t="n">
        <f aca="false">H43+IF(U43="Mag",1,0)</f>
        <v>3</v>
      </c>
      <c r="I44" s="26" t="n">
        <f aca="false">MAX(I43,IF(U43="OR",1,0))</f>
        <v>1</v>
      </c>
      <c r="J44" s="26" t="n">
        <f aca="false">MAX(J43,IF(U43="HP",1,0))</f>
        <v>1</v>
      </c>
      <c r="K44" s="26" t="n">
        <f aca="false">MAX(K43,IF(U43="FP",1,0))</f>
        <v>0</v>
      </c>
      <c r="L44" s="26" t="n">
        <f aca="false">MAX(L43,IF(U43="transition",1,0))</f>
        <v>0</v>
      </c>
      <c r="M44" s="28" t="n">
        <f aca="false">(Parameters!$B$9+(IF(E44=0,0,(Upgrades!$J$6+E44*Upgrades!$K$6)*POWER(Upgrades!$L$6,E44)))*(IF(Upgrades!$T$7="Solar Wind",POWER(Upgrades!$U$7,F44),1)*IF(Upgrades!$T$8="Solar Wind",POWER(Upgrades!$U$8,G44),1)*IF(Upgrades!$T$9="Solar Wind",POWER(Upgrades!$U$9,H44),1)*IF(Upgrades!$T$10="Solar Wind",POWER(Upgrades!$U$10,I44),1)*IF(Upgrades!$T$11="Solar Wind",POWER(Upgrades!$U$11,J44),1)*IF(Upgrades!$T$12="Solar Wind",POWER(Upgrades!$U$12,K44),1))+(IF(F44=0,0,(Upgrades!$J$7+F44*Upgrades!$K$7)*POWER(Upgrades!$L$7,F44)))*(IF(Upgrades!$T$6="Asteroid Belt",POWER(Upgrades!$U$6,E44),1)*IF(Upgrades!$T$8="Asteroid Belt",POWER(Upgrades!$U$8,G44),1)*IF(Upgrades!$T$9="Asteroid Belt",POWER(Upgrades!$U$9,H44),1)*IF(Upgrades!$T$10="Asteroid Belt",POWER(Upgrades!$U$10,I44),1)*IF(Upgrades!$T$11="Asteroid Belt",POWER(Upgrades!$U$11,J44),1)*IF(Upgrades!$T$12="Asteroid Belt",POWER(Upgrades!$U$12,K44),1))+(IF(G44=0,0,(Upgrades!$J$8+G44*Upgrades!$K$8)*POWER(Upgrades!$L$8,G44)))*(IF(Upgrades!$T$6="Stellar Coupling",POWER(Upgrades!$U$6,E44),1)*IF(Upgrades!$T$7="Stellar Coupling",POWER(Upgrades!$U$7,F44),1)*IF(Upgrades!$T$9="Stellar Coupling",POWER(Upgrades!$U$9,H44),1)*IF(Upgrades!$T$10="Stellar Coupling",POWER(Upgrades!$U$10,I44),1)*IF(Upgrades!$T$11="Stellar Coupling",POWER(Upgrades!$U$11,J44),1)*IF(Upgrades!$T$12="Stellar Coupling",POWER(Upgrades!$U$12,K44),1))+(IF(H44=0,0,(Upgrades!$J$9+H44*Upgrades!$K$9)*POWER(Upgrades!$L$9,H44)))*(IF(Upgrades!$T$6="Magnetosphere",POWER(Upgrades!$U$6,E44),1)*IF(Upgrades!$T$7="Magnetosphere",POWER(Upgrades!$U$7,F44),1)*IF(Upgrades!$T$8="Magnetosphere",POWER(Upgrades!$U$8,G44),1)*IF(Upgrades!$T$10="Magnetosphere",POWER(Upgrades!$U$10,I44),1)*IF(Upgrades!$T$11="Magnetosphere",POWER(Upgrades!$U$11,J44),1)*IF(Upgrades!$T$12="Magnetosphere",POWER(Upgrades!$U$12,K44),1))+(IF(I44=0,0,(Upgrades!$J$10+I44*Upgrades!$K$10)*POWER(Upgrades!$L$10,I44)))*(IF(Upgrades!$T$6="Orbital Resonance",POWER(Upgrades!$U$6,E44),1)*IF(Upgrades!$T$7="Orbital Resonance",POWER(Upgrades!$U$7,F44),1)*IF(Upgrades!$T$8="Orbital Resonance",POWER(Upgrades!$U$8,G44),1)*IF(Upgrades!$T$9="Orbital Resonance",POWER(Upgrades!$U$9,H44),1)*IF(Upgrades!$T$11="Orbital Resonance",POWER(Upgrades!$U$11,J44),1)*IF(Upgrades!$T$12="Orbital Resonance",POWER(Upgrades!$U$12,K44),1))+(IF(J44=0,0,(Upgrades!$J$11+J44*Upgrades!$K$11)*POWER(Upgrades!$L$11,J44)))*(IF(Upgrades!$T$6="Heliopause",POWER(Upgrades!$U$6,E44),1)*IF(Upgrades!$T$7="Heliopause",POWER(Upgrades!$U$7,F44),1)*IF(Upgrades!$T$8="Heliopause",POWER(Upgrades!$U$8,G44),1)*IF(Upgrades!$T$9="Heliopause",POWER(Upgrades!$U$9,H44),1)*IF(Upgrades!$T$10="Heliopause",POWER(Upgrades!$U$10,I44),1)*IF(Upgrades!$T$12="Heliopause",POWER(Upgrades!$U$12,K44),1))+(IF(K44=0,0,(Upgrades!$J$12+K44*Upgrades!$K$12)*POWER(Upgrades!$L$12,K44)))*(IF(Upgrades!$T$6="First Photons",POWER(Upgrades!$U$6,E44),1)*IF(Upgrades!$T$7="First Photons",POWER(Upgrades!$U$7,F44),1)*IF(Upgrades!$T$8="First Photons",POWER(Upgrades!$U$8,G44),1)*IF(Upgrades!$T$9="First Photons",POWER(Upgrades!$U$9,H44),1)*IF(Upgrades!$T$10="First Photons",POWER(Upgrades!$U$10,I44),1)*IF(Upgrades!$T$11="First Photons",POWER(Upgrades!$U$11,J44),1)))*POWER(Upgrades!$Q$6,E44)*POWER(Upgrades!$Q$7,F44)*POWER(Upgrades!$Q$8,G44)*POWER(Upgrades!$Q$9,H44)*POWER(Upgrades!$Q$10,I44)*POWER(Upgrades!$Q$11,J44)*POWER(Upgrades!$Q$12,K44)</f>
        <v>4.15</v>
      </c>
      <c r="N44" s="28" t="n">
        <f aca="false">((IF(E44=0,0,(Upgrades!$G$6+E44*Upgrades!$H$6)*POWER(Upgrades!$I$6,E44)))*(IF(Upgrades!$T$7="Solar Wind",POWER(Upgrades!$U$7,F44),1)*IF(Upgrades!$T$8="Solar Wind",POWER(Upgrades!$U$8,G44),1)*IF(Upgrades!$T$9="Solar Wind",POWER(Upgrades!$U$9,H44),1)*IF(Upgrades!$T$10="Solar Wind",POWER(Upgrades!$U$10,I44),1)*IF(Upgrades!$T$11="Solar Wind",POWER(Upgrades!$U$11,J44),1)*IF(Upgrades!$T$12="Solar Wind",POWER(Upgrades!$U$12,K44),1))+(IF(F44=0,0,(Upgrades!$G$7+F44*Upgrades!$H$7)*POWER(Upgrades!$I$7,F44)))*(IF(Upgrades!$T$6="Asteroid Belt",POWER(Upgrades!$U$6,E44),1)*IF(Upgrades!$T$8="Asteroid Belt",POWER(Upgrades!$U$8,G44),1)*IF(Upgrades!$T$9="Asteroid Belt",POWER(Upgrades!$U$9,H44),1)*IF(Upgrades!$T$10="Asteroid Belt",POWER(Upgrades!$U$10,I44),1)*IF(Upgrades!$T$11="Asteroid Belt",POWER(Upgrades!$U$11,J44),1)*IF(Upgrades!$T$12="Asteroid Belt",POWER(Upgrades!$U$12,K44),1))+(IF(G44=0,0,(Upgrades!$G$8+G44*Upgrades!$H$8)*POWER(Upgrades!$I$8,G44)))*(IF(Upgrades!$T$6="Stellar Coupling",POWER(Upgrades!$U$6,E44),1)*IF(Upgrades!$T$7="Stellar Coupling",POWER(Upgrades!$U$7,F44),1)*IF(Upgrades!$T$9="Stellar Coupling",POWER(Upgrades!$U$9,H44),1)*IF(Upgrades!$T$10="Stellar Coupling",POWER(Upgrades!$U$10,I44),1)*IF(Upgrades!$T$11="Stellar Coupling",POWER(Upgrades!$U$11,J44),1)*IF(Upgrades!$T$12="Stellar Coupling",POWER(Upgrades!$U$12,K44),1))+(IF(H44=0,0,(Upgrades!$G$9+H44*Upgrades!$H$9)*POWER(Upgrades!$I$9,H44)))*(IF(Upgrades!$T$6="Magnetosphere",POWER(Upgrades!$U$6,E44),1)*IF(Upgrades!$T$7="Magnetosphere",POWER(Upgrades!$U$7,F44),1)*IF(Upgrades!$T$8="Magnetosphere",POWER(Upgrades!$U$8,G44),1)*IF(Upgrades!$T$10="Magnetosphere",POWER(Upgrades!$U$10,I44),1)*IF(Upgrades!$T$11="Magnetosphere",POWER(Upgrades!$U$11,J44),1)*IF(Upgrades!$T$12="Magnetosphere",POWER(Upgrades!$U$12,K44),1))+(IF(I44=0,0,(Upgrades!$G$10+I44*Upgrades!$H$10)*POWER(Upgrades!$I$10,I44)))*(IF(Upgrades!$T$6="Orbital Resonance",POWER(Upgrades!$U$6,E44),1)*IF(Upgrades!$T$7="Orbital Resonance",POWER(Upgrades!$U$7,F44),1)*IF(Upgrades!$T$8="Orbital Resonance",POWER(Upgrades!$U$8,G44),1)*IF(Upgrades!$T$9="Orbital Resonance",POWER(Upgrades!$U$9,H44),1)*IF(Upgrades!$T$11="Orbital Resonance",POWER(Upgrades!$U$11,J44),1)*IF(Upgrades!$T$12="Orbital Resonance",POWER(Upgrades!$U$12,K44),1))+(IF(J44=0,0,(Upgrades!$G$11+J44*Upgrades!$H$11)*POWER(Upgrades!$I$11,J44)))*(IF(Upgrades!$T$6="Heliopause",POWER(Upgrades!$U$6,E44),1)*IF(Upgrades!$T$7="Heliopause",POWER(Upgrades!$U$7,F44),1)*IF(Upgrades!$T$8="Heliopause",POWER(Upgrades!$U$8,G44),1)*IF(Upgrades!$T$9="Heliopause",POWER(Upgrades!$U$9,H44),1)*IF(Upgrades!$T$10="Heliopause",POWER(Upgrades!$U$10,I44),1)*IF(Upgrades!$T$12="Heliopause",POWER(Upgrades!$U$12,K44),1))+(IF(K44=0,0,(Upgrades!$G$12+K44*Upgrades!$H$12)*POWER(Upgrades!$I$12,K44)))*(IF(Upgrades!$T$6="First Photons",POWER(Upgrades!$U$6,E44),1)*IF(Upgrades!$T$7="First Photons",POWER(Upgrades!$U$7,F44),1)*IF(Upgrades!$T$8="First Photons",POWER(Upgrades!$U$8,G44),1)*IF(Upgrades!$T$9="First Photons",POWER(Upgrades!$U$9,H44),1)*IF(Upgrades!$T$10="First Photons",POWER(Upgrades!$U$10,I44),1)*IF(Upgrades!$T$11="First Photons",POWER(Upgrades!$U$11,J44),1)))*POWER(Upgrades!$P$6,E44)*POWER(Upgrades!$P$7,F44)*POWER(Upgrades!$P$8,G44)*POWER(Upgrades!$P$9,H44)*POWER(Upgrades!$P$10,I44)*POWER(Upgrades!$P$11,J44)*POWER(Upgrades!$P$12,K44)</f>
        <v>7</v>
      </c>
      <c r="O44" s="28" t="n">
        <f aca="false">((IF(E44=0,0,(Upgrades!$M$6+E44*Upgrades!$N$6)*POWER(Upgrades!$O$6,E44)))*(IF(Upgrades!$T$7="Solar Wind",POWER(Upgrades!$U$7,F44),1)*IF(Upgrades!$T$8="Solar Wind",POWER(Upgrades!$U$8,G44),1)*IF(Upgrades!$T$9="Solar Wind",POWER(Upgrades!$U$9,H44),1)*IF(Upgrades!$T$10="Solar Wind",POWER(Upgrades!$U$10,I44),1)*IF(Upgrades!$T$11="Solar Wind",POWER(Upgrades!$U$11,J44),1)*IF(Upgrades!$T$12="Solar Wind",POWER(Upgrades!$U$12,K44),1))+(IF(F44=0,0,(Upgrades!$M$7+F44*Upgrades!$N$7)*POWER(Upgrades!$O$7,F44)))*(IF(Upgrades!$T$6="Asteroid Belt",POWER(Upgrades!$U$6,E44),1)*IF(Upgrades!$T$8="Asteroid Belt",POWER(Upgrades!$U$8,G44),1)*IF(Upgrades!$T$9="Asteroid Belt",POWER(Upgrades!$U$9,H44),1)*IF(Upgrades!$T$10="Asteroid Belt",POWER(Upgrades!$U$10,I44),1)*IF(Upgrades!$T$11="Asteroid Belt",POWER(Upgrades!$U$11,J44),1)*IF(Upgrades!$T$12="Asteroid Belt",POWER(Upgrades!$U$12,K44),1))+(IF(G44=0,0,(Upgrades!$M$8+G44*Upgrades!$N$8)*POWER(Upgrades!$O$8,G44)))*(IF(Upgrades!$T$6="Stellar Coupling",POWER(Upgrades!$U$6,E44),1)*IF(Upgrades!$T$7="Stellar Coupling",POWER(Upgrades!$U$7,F44),1)*IF(Upgrades!$T$9="Stellar Coupling",POWER(Upgrades!$U$9,H44),1)*IF(Upgrades!$T$10="Stellar Coupling",POWER(Upgrades!$U$10,I44),1)*IF(Upgrades!$T$11="Stellar Coupling",POWER(Upgrades!$U$11,J44),1)*IF(Upgrades!$T$12="Stellar Coupling",POWER(Upgrades!$U$12,K44),1))+(IF(H44=0,0,(Upgrades!$M$9+H44*Upgrades!$N$9)*POWER(Upgrades!$O$9,H44)))*(IF(Upgrades!$T$6="Magnetosphere",POWER(Upgrades!$U$6,E44),1)*IF(Upgrades!$T$7="Magnetosphere",POWER(Upgrades!$U$7,F44),1)*IF(Upgrades!$T$8="Magnetosphere",POWER(Upgrades!$U$8,G44),1)*IF(Upgrades!$T$10="Magnetosphere",POWER(Upgrades!$U$10,I44),1)*IF(Upgrades!$T$11="Magnetosphere",POWER(Upgrades!$U$11,J44),1)*IF(Upgrades!$T$12="Magnetosphere",POWER(Upgrades!$U$12,K44),1))+(IF(I44=0,0,(Upgrades!$M$10+I44*Upgrades!$N$10)*POWER(Upgrades!$O$10,I44)))*(IF(Upgrades!$T$6="Orbital Resonance",POWER(Upgrades!$U$6,E44),1)*IF(Upgrades!$T$7="Orbital Resonance",POWER(Upgrades!$U$7,F44),1)*IF(Upgrades!$T$8="Orbital Resonance",POWER(Upgrades!$U$8,G44),1)*IF(Upgrades!$T$9="Orbital Resonance",POWER(Upgrades!$U$9,H44),1)*IF(Upgrades!$T$11="Orbital Resonance",POWER(Upgrades!$U$11,J44),1)*IF(Upgrades!$T$12="Orbital Resonance",POWER(Upgrades!$U$12,K44),1))+(IF(J44=0,0,(Upgrades!$M$11+J44*Upgrades!$N$11)*POWER(Upgrades!$O$11,J44)))*(IF(Upgrades!$T$6="Heliopause",POWER(Upgrades!$U$6,E44),1)*IF(Upgrades!$T$7="Heliopause",POWER(Upgrades!$U$7,F44),1)*IF(Upgrades!$T$8="Heliopause",POWER(Upgrades!$U$8,G44),1)*IF(Upgrades!$T$9="Heliopause",POWER(Upgrades!$U$9,H44),1)*IF(Upgrades!$T$10="Heliopause",POWER(Upgrades!$U$10,I44),1)*IF(Upgrades!$T$12="Heliopause",POWER(Upgrades!$U$12,K44),1))+(IF(K44=0,0,(Upgrades!$M$12+K44*Upgrades!$N$12)*POWER(Upgrades!$O$12,K44)))*(IF(Upgrades!$T$6="First Photons",POWER(Upgrades!$U$6,E44),1)*IF(Upgrades!$T$7="First Photons",POWER(Upgrades!$U$7,F44),1)*IF(Upgrades!$T$8="First Photons",POWER(Upgrades!$U$8,G44),1)*IF(Upgrades!$T$9="First Photons",POWER(Upgrades!$U$9,H44),1)*IF(Upgrades!$T$10="First Photons",POWER(Upgrades!$U$10,I44),1)*IF(Upgrades!$T$11="First Photons",POWER(Upgrades!$U$11,J44),1)))*POWER(Upgrades!$R$6,E44)*POWER(Upgrades!$R$7,F44)*POWER(Upgrades!$R$8,G44)*POWER(Upgrades!$R$9,H44)*POWER(Upgrades!$R$10,I44)*POWER(Upgrades!$R$11,J44)*POWER(Upgrades!$R$12,K44)</f>
        <v>0</v>
      </c>
      <c r="P44" s="27" t="n">
        <f aca="false">IF(L44=1,0,M44*Parameters!$B$10/60*Parameters!$B$11*10)</f>
        <v>69.1666666666667</v>
      </c>
      <c r="Q44" s="27" t="n">
        <f aca="false">IF(L44=1,0,O44*M44*10)</f>
        <v>0</v>
      </c>
      <c r="R44" s="27" t="n">
        <f aca="false">IF(L44=1,0,N44*10)</f>
        <v>70</v>
      </c>
      <c r="S44" s="27" t="n">
        <f aca="false">P44+Q44+R44</f>
        <v>139.166666666667</v>
      </c>
      <c r="T44" s="21" t="n">
        <f aca="false">C44+S44</f>
        <v>987.065986744308</v>
      </c>
      <c r="U44" s="34" t="str">
        <f aca="false">AX44</f>
        <v>FP</v>
      </c>
      <c r="V44" s="21" t="n">
        <f aca="false">IF(U44="",0,IF(U44="transition",0,IF(U44="SW",AG44,IF(U44="AB",AH44,IF(U44="SC",AI44,IF(U44="Mag",AJ44,IF(U44="OR",AK44,IF(U44="HP",AL44,IF(U44="FP",AM44,0)))))))))</f>
        <v>850</v>
      </c>
      <c r="W44" s="27" t="n">
        <f aca="false">IF(U44="OR",Upgrades!$F$10,IF(U44="HP",Upgrades!$F$11,IF(U44="transition",-Parameters!$B$18,0)))</f>
        <v>0</v>
      </c>
      <c r="X44" s="21" t="n">
        <f aca="false">T44-V44</f>
        <v>137.065986744308</v>
      </c>
      <c r="Y44" s="30" t="n">
        <f aca="false">M44*Parameters!$B$10/60*Parameters!$B$11+O44*M44+N44</f>
        <v>13.9166666666667</v>
      </c>
      <c r="Z44" s="35" t="str">
        <f aca="false">IF(U44="transition","→ Tier 2 (Stellar Neighborhood)",IF(U44="FP","First Photons — light begins, system quickens",IF(U44="HP","Heliopause acquired",IF(U44="OR","Orbital Resonance — passive multiplier active",IF(AND(AO44=1,L44=0,AN44&lt;&gt;1),"Cohesion ready (waiting on completionist upgrades)","")))))</f>
        <v>First Photons — light begins, system quickens</v>
      </c>
      <c r="AA44" s="27" t="n">
        <f aca="false">(IF(E44=0,0,(Upgrades!$G$6+E44*Upgrades!$H$6)*POWER(Upgrades!$I$6,E44)))*(IF(Upgrades!$T$7="Solar Wind",POWER(Upgrades!$U$7,F44),1)*IF(Upgrades!$T$8="Solar Wind",POWER(Upgrades!$U$8,G44),1)*IF(Upgrades!$T$9="Solar Wind",POWER(Upgrades!$U$9,H44),1)*IF(Upgrades!$T$10="Solar Wind",POWER(Upgrades!$U$10,I44),1)*IF(Upgrades!$T$11="Solar Wind",POWER(Upgrades!$U$11,J44),1)*IF(Upgrades!$T$12="Solar Wind",POWER(Upgrades!$U$12,K44),1))*POWER(Upgrades!$P$6,E44)*POWER(Upgrades!$P$7,F44)*POWER(Upgrades!$P$8,G44)*POWER(Upgrades!$P$9,H44)*POWER(Upgrades!$P$10,I44)*POWER(Upgrades!$P$11,J44)*POWER(Upgrades!$P$12,K44)*60</f>
        <v>60</v>
      </c>
      <c r="AB44" s="27" t="n">
        <f aca="false">(IF(F44=0,0,(Upgrades!$G$7+F44*Upgrades!$H$7)*POWER(Upgrades!$I$7,F44)))*(IF(Upgrades!$T$6="Asteroid Belt",POWER(Upgrades!$U$6,E44),1)*IF(Upgrades!$T$8="Asteroid Belt",POWER(Upgrades!$U$8,G44),1)*IF(Upgrades!$T$9="Asteroid Belt",POWER(Upgrades!$U$9,H44),1)*IF(Upgrades!$T$10="Asteroid Belt",POWER(Upgrades!$U$10,I44),1)*IF(Upgrades!$T$11="Asteroid Belt",POWER(Upgrades!$U$11,J44),1)*IF(Upgrades!$T$12="Asteroid Belt",POWER(Upgrades!$U$12,K44),1))*POWER(Upgrades!$P$6,E44)*POWER(Upgrades!$P$7,F44)*POWER(Upgrades!$P$8,G44)*POWER(Upgrades!$P$9,H44)*POWER(Upgrades!$P$10,I44)*POWER(Upgrades!$P$11,J44)*POWER(Upgrades!$P$12,K44)*60</f>
        <v>135</v>
      </c>
      <c r="AC44" s="27" t="n">
        <f aca="false">(IF(G44=0,0,(Upgrades!$J$8+G44*Upgrades!$K$8)*POWER(Upgrades!$L$8,G44)))*(IF(Upgrades!$T$6="Stellar Coupling",POWER(Upgrades!$U$6,E44),1)*IF(Upgrades!$T$7="Stellar Coupling",POWER(Upgrades!$U$7,F44),1)*IF(Upgrades!$T$9="Stellar Coupling",POWER(Upgrades!$U$9,H44),1)*IF(Upgrades!$T$10="Stellar Coupling",POWER(Upgrades!$U$10,I44),1)*IF(Upgrades!$T$11="Stellar Coupling",POWER(Upgrades!$U$11,J44),1)*IF(Upgrades!$T$12="Stellar Coupling",POWER(Upgrades!$U$12,K44),1))*POWER(Upgrades!$Q$6,E44)*POWER(Upgrades!$Q$7,F44)*POWER(Upgrades!$Q$8,G44)*POWER(Upgrades!$Q$9,H44)*POWER(Upgrades!$Q$10,I44)*POWER(Upgrades!$Q$11,J44)*POWER(Upgrades!$Q$12,K44)*Parameters!$B$10*Parameters!$B$11</f>
        <v>315</v>
      </c>
      <c r="AD44" s="27" t="n">
        <f aca="false">(IF(H44=0,0,(Upgrades!$G$9+H44*Upgrades!$H$9)*POWER(Upgrades!$I$9,H44)))*(IF(Upgrades!$T$6="Magnetosphere",POWER(Upgrades!$U$6,E44),1)*IF(Upgrades!$T$7="Magnetosphere",POWER(Upgrades!$U$7,F44),1)*IF(Upgrades!$T$8="Magnetosphere",POWER(Upgrades!$U$8,G44),1)*IF(Upgrades!$T$10="Magnetosphere",POWER(Upgrades!$U$10,I44),1)*IF(Upgrades!$T$11="Magnetosphere",POWER(Upgrades!$U$11,J44),1)*IF(Upgrades!$T$12="Magnetosphere",POWER(Upgrades!$U$12,K44),1))*POWER(Upgrades!$P$6,E44)*POWER(Upgrades!$P$7,F44)*POWER(Upgrades!$P$8,G44)*POWER(Upgrades!$P$9,H44)*POWER(Upgrades!$P$10,I44)*POWER(Upgrades!$P$11,J44)*POWER(Upgrades!$P$12,K44)*60</f>
        <v>225</v>
      </c>
      <c r="AE44" s="27" t="n">
        <f aca="false">(IF(K44=0,0,(Upgrades!$G$12+K44*Upgrades!$H$12)*POWER(Upgrades!$I$12,K44)))*(IF(Upgrades!$T$6="First Photons",POWER(Upgrades!$U$6,E44),1)*IF(Upgrades!$T$7="First Photons",POWER(Upgrades!$U$7,F44),1)*IF(Upgrades!$T$8="First Photons",POWER(Upgrades!$U$8,G44),1)*IF(Upgrades!$T$9="First Photons",POWER(Upgrades!$U$9,H44),1)*IF(Upgrades!$T$10="First Photons",POWER(Upgrades!$U$10,I44),1)*IF(Upgrades!$T$11="First Photons",POWER(Upgrades!$U$11,J44),1))*POWER(Upgrades!$P$6,E44)*POWER(Upgrades!$P$7,F44)*POWER(Upgrades!$P$8,G44)*POWER(Upgrades!$P$9,H44)*POWER(Upgrades!$P$10,I44)*POWER(Upgrades!$P$11,J44)*POWER(Upgrades!$P$12,K44)*60</f>
        <v>0</v>
      </c>
      <c r="AF44" s="27" t="n">
        <f aca="false">Parameters!$B$9*POWER(Upgrades!$Q$6,E44)*POWER(Upgrades!$Q$7,F44)*POWER(Upgrades!$Q$8,G44)*POWER(Upgrades!$Q$9,H44)*POWER(Upgrades!$Q$10,I44)*POWER(Upgrades!$Q$11,J44)*POWER(Upgrades!$Q$12,K44)*(Parameters!$B$10*Parameters!$B$11+O44*60)</f>
        <v>100</v>
      </c>
      <c r="AG44" s="21" t="n">
        <f aca="false">IF(E44&gt;=Upgrades!$E$6,"",Upgrades!$C$6*POWER(Upgrades!$D$6,E44))</f>
        <v>28.3189041499553</v>
      </c>
      <c r="AH44" s="21" t="n">
        <f aca="false">IF(F44&gt;=Upgrades!$E$7,"",Upgrades!$C$7*POWER(Upgrades!$D$7,F44))</f>
        <v>70.3575258383984</v>
      </c>
      <c r="AI44" s="21" t="n">
        <f aca="false">IF(G44&gt;=Upgrades!$E$8,"",Upgrades!$C$8*POWER(Upgrades!$D$8,G44))</f>
        <v>165.649792</v>
      </c>
      <c r="AJ44" s="21" t="n">
        <f aca="false">IF(H44&gt;=Upgrades!$E$9,"",Upgrades!$C$9*POWER(Upgrades!$D$9,H44))</f>
        <v>640</v>
      </c>
      <c r="AK44" s="21" t="str">
        <f aca="false">IF(I44&gt;=Upgrades!$E$10,"",Upgrades!$C$10*POWER(Upgrades!$D$10,I44))</f>
        <v/>
      </c>
      <c r="AL44" s="21" t="str">
        <f aca="false">IF(J44&gt;=Upgrades!$E$11,"",Upgrades!$C$11*POWER(Upgrades!$D$11,J44))</f>
        <v/>
      </c>
      <c r="AM44" s="21" t="n">
        <f aca="false">IF(K44&gt;=Upgrades!$E$12,"",Upgrades!$C$12*POWER(Upgrades!$D$12,K44))</f>
        <v>850</v>
      </c>
      <c r="AN44" s="26" t="str">
        <f aca="false">IF(AND(D44&gt;=Parameters!$B$18,(H44&gt;=Upgrades!$E$9)*(K44&gt;=Upgrades!$E$12)=1,L44=0),1,"")</f>
        <v/>
      </c>
      <c r="AO44" s="26" t="n">
        <f aca="false">IF(AND(D44&gt;=Parameters!$B$18,L44=0),1,"")</f>
        <v>1</v>
      </c>
      <c r="AP44" s="21" t="n">
        <f aca="false">MIN(IF(ISNUMBER(AK44),AK44,9000000000000000),IF(ISNUMBER(AL44),AL44,9000000000000000),IF(ISNUMBER(AM44),AM44,9000000000000000))</f>
        <v>850</v>
      </c>
      <c r="AQ44" s="21" t="n">
        <f aca="false">MIN(IF(ISNUMBER(AG44),AG44,9000000000000000),IF(ISNUMBER(AH44),AH44,9000000000000000),IF(ISNUMBER(AI44),AI44,9000000000000000),IF(ISNUMBER(AJ44),AJ44,9000000000000000))</f>
        <v>28.3189041499553</v>
      </c>
      <c r="AR44" s="32" t="b">
        <f aca="false">IF(AW44&gt;Parameters!$B$21*(MAX(IF(AND(NOT(AND(AO44=1,AN44&lt;&gt;1)),ISNUMBER(AG44),AG44&lt;=T44),AS44,0),IF(AND(NOT(AND(AO44=1,AN44&lt;&gt;1)),ISNUMBER(AH44),AH44&lt;=T44),AT44,0),IF(AND(NOT(AND(AO44=1,AN44&lt;&gt;1)),ISNUMBER(AI44),AI44&lt;=T44),AU44,0),IF(AND(ISNUMBER(AJ44),AJ44&lt;=T44),AV44,0))),TRUE(),FALSE())</f>
        <v>1</v>
      </c>
      <c r="AS44" s="33" t="n">
        <f aca="false">IFERROR(Upgrades!$H$6*(POWER(Upgrades!$P$6,E44)*POWER(Upgrades!$P$7,F44)*POWER(Upgrades!$P$8,G44)*POWER(Upgrades!$P$9,H44)*POWER(Upgrades!$P$10,I44)*POWER(Upgrades!$P$11,J44)*POWER(Upgrades!$P$12,K44))*(IF(Upgrades!$T$7="Solar Wind",POWER(Upgrades!$U$7,F44),1)*IF(Upgrades!$T$8="Solar Wind",POWER(Upgrades!$U$8,G44),1)*IF(Upgrades!$T$9="Solar Wind",POWER(Upgrades!$U$9,H44),1)*IF(Upgrades!$T$10="Solar Wind",POWER(Upgrades!$U$10,I44),1)*IF(Upgrades!$T$11="Solar Wind",POWER(Upgrades!$U$11,J44),1)*IF(Upgrades!$T$12="Solar Wind",POWER(Upgrades!$U$12,K44),1))/AG44,0)</f>
        <v>0.00353121008745523</v>
      </c>
      <c r="AT44" s="33" t="n">
        <f aca="false">IFERROR(Upgrades!$H$7*(POWER(Upgrades!$P$6,E44)*POWER(Upgrades!$P$7,F44)*POWER(Upgrades!$P$8,G44)*POWER(Upgrades!$P$9,H44)*POWER(Upgrades!$P$10,I44)*POWER(Upgrades!$P$11,J44)*POWER(Upgrades!$P$12,K44))*(IF(Upgrades!$T$6="Asteroid Belt",POWER(Upgrades!$U$6,E44),1)*IF(Upgrades!$T$8="Asteroid Belt",POWER(Upgrades!$U$8,G44),1)*IF(Upgrades!$T$9="Asteroid Belt",POWER(Upgrades!$U$9,H44),1)*IF(Upgrades!$T$10="Asteroid Belt",POWER(Upgrades!$U$10,I44),1)*IF(Upgrades!$T$11="Asteroid Belt",POWER(Upgrades!$U$11,J44),1)*IF(Upgrades!$T$12="Asteroid Belt",POWER(Upgrades!$U$12,K44),1))/AH44,0)</f>
        <v>0.00355328015050182</v>
      </c>
      <c r="AU44" s="33" t="n">
        <f aca="false">IFERROR(Upgrades!$K$8*(POWER(Upgrades!$Q$6,E44)*POWER(Upgrades!$Q$7,F44)*POWER(Upgrades!$Q$8,G44)*POWER(Upgrades!$Q$9,H44)*POWER(Upgrades!$Q$10,I44)*POWER(Upgrades!$Q$11,J44)*POWER(Upgrades!$Q$12,K44))*(IF(Upgrades!$T$6="Stellar Coupling",POWER(Upgrades!$U$6,E44),1)*IF(Upgrades!$T$7="Stellar Coupling",POWER(Upgrades!$U$7,F44),1)*IF(Upgrades!$T$9="Stellar Coupling",POWER(Upgrades!$U$9,H44),1)*IF(Upgrades!$T$10="Stellar Coupling",POWER(Upgrades!$U$10,I44),1)*IF(Upgrades!$T$11="Stellar Coupling",POWER(Upgrades!$U$11,J44),1)*IF(Upgrades!$T$12="Stellar Coupling",POWER(Upgrades!$U$12,K44),1))*Parameters!$B$10*Parameters!$B$11/60/AI44,0)</f>
        <v>0.00528222818414405</v>
      </c>
      <c r="AV44" s="33" t="n">
        <f aca="false">IFERROR(Upgrades!$H$9*(POWER(Upgrades!$P$6,E44)*POWER(Upgrades!$P$7,F44)*POWER(Upgrades!$P$8,G44)*POWER(Upgrades!$P$9,H44)*POWER(Upgrades!$P$10,I44)*POWER(Upgrades!$P$11,J44)*POWER(Upgrades!$P$12,K44))*(IF(Upgrades!$T$6="Magnetosphere",POWER(Upgrades!$U$6,E44),1)*IF(Upgrades!$T$7="Magnetosphere",POWER(Upgrades!$U$7,F44),1)*IF(Upgrades!$T$8="Magnetosphere",POWER(Upgrades!$U$8,G44),1)*IF(Upgrades!$T$10="Magnetosphere",POWER(Upgrades!$U$10,I44),1)*IF(Upgrades!$T$11="Magnetosphere",POWER(Upgrades!$U$11,J44),1)*IF(Upgrades!$T$12="Magnetosphere",POWER(Upgrades!$U$12,K44),1))/AJ44,0)</f>
        <v>0.001953125</v>
      </c>
      <c r="AW44" s="33" t="n">
        <f aca="false">MAX(IF(I44&gt;0,0,IFERROR(0.25*N44/Upgrades!$C$10,0)),IF(J44&gt;0,0,IFERROR(0.5*((IF(G44=0,0,(Upgrades!$J$8+G44*Upgrades!$K$8)*POWER(Upgrades!$L$8,G44)))*(IF(Upgrades!$T$6="Stellar Coupling",POWER(Upgrades!$U$6,E44),1)*IF(Upgrades!$T$7="Stellar Coupling",POWER(Upgrades!$U$7,F44),1)*IF(Upgrades!$T$9="Stellar Coupling",POWER(Upgrades!$U$9,H44),1)*IF(Upgrades!$T$10="Stellar Coupling",POWER(Upgrades!$U$10,I44),1)*IF(Upgrades!$T$11="Stellar Coupling",POWER(Upgrades!$U$11,J44),1)*IF(Upgrades!$T$12="Stellar Coupling",POWER(Upgrades!$U$12,K44),1))*(POWER(Upgrades!$Q$6,E44)*POWER(Upgrades!$Q$7,F44)*POWER(Upgrades!$Q$8,G44)*POWER(Upgrades!$Q$9,H44)*POWER(Upgrades!$Q$10,I44)*POWER(Upgrades!$Q$11,J44)*POWER(Upgrades!$Q$12,K44))*Parameters!$B$10*Parameters!$B$11/60)/Upgrades!$C$11,0)),IF(K44&gt;0,0,IFERROR((1*(POWER(Upgrades!$P$6,E44)*POWER(Upgrades!$P$7,F44)*POWER(Upgrades!$P$8,G44)*POWER(Upgrades!$P$9,H44)*POWER(Upgrades!$P$10,I44)*POWER(Upgrades!$P$11,J44)*POWER(Upgrades!$P$12,K44))+0.2*M44*Parameters!$B$10*Parameters!$B$11/60)/Upgrades!$C$12,0)),IF(AND(ISNUMBER(AG44),AG44&gt;T44),AS44,0),IF(AND(ISNUMBER(AH44),AH44&gt;T44),AT44,0),IF(AND(ISNUMBER(AI44),AI44&gt;T44),AU44,0),IF(AND(ISNUMBER(AJ44),AJ44&gt;T44),AV44,0))</f>
        <v>0.00309803921568627</v>
      </c>
      <c r="AX44" s="29" t="str">
        <f aca="false">IF(AN44=1,"transition",IF(MIN(IF(AND(I44=0,ISNUMBER(AK44),AK44&lt;=T44),AK44,9000000000000000),IF(AND(J44=0,ISNUMBER(AL44),AL44&lt;=T44),AL44,9000000000000000),IF(AND(K44=0,ISNUMBER(AM44),AM44&lt;=T44),AM44,9000000000000000))&lt;9000000000000000,IF(AND(AND(I44=0,ISNUMBER(AK44),AK44&lt;=T44),AK44=MIN(IF(AND(I44=0,ISNUMBER(AK44),AK44&lt;=T44),AK44,9000000000000000),IF(AND(J44=0,ISNUMBER(AL44),AL44&lt;=T44),AL44,9000000000000000),IF(AND(K44=0,ISNUMBER(AM44),AM44&lt;=T44),AM44,9000000000000000))),"OR",IF(AND(AND(J44=0,ISNUMBER(AL44),AL44&lt;=T44),AL44=MIN(IF(AND(I44=0,ISNUMBER(AK44),AK44&lt;=T44),AK44,9000000000000000),IF(AND(J44=0,ISNUMBER(AL44),AL44&lt;=T44),AL44,9000000000000000),IF(AND(K44=0,ISNUMBER(AM44),AM44&lt;=T44),AM44,9000000000000000))),"HP","FP")),IF(AR44=TRUE(),"",IF(MAX(IF(AND(NOT(AND(AO44=1,AN44&lt;&gt;1)),ISNUMBER(AG44),AG44&lt;=T44),AS44,0),IF(AND(NOT(AND(AO44=1,AN44&lt;&gt;1)),ISNUMBER(AH44),AH44&lt;=T44),AT44,0),IF(AND(NOT(AND(AO44=1,AN44&lt;&gt;1)),ISNUMBER(AI44),AI44&lt;=T44),AU44,0),IF(AND(ISNUMBER(AJ44),AJ44&lt;=T44),AV44,0))&lt;=0,"",IF(AND(IF(AND(NOT(AND(AO44=1,AN44&lt;&gt;1)),ISNUMBER(AG44),AG44&lt;=T44),AS44,0)&gt;0,IF(AND(NOT(AND(AO44=1,AN44&lt;&gt;1)),ISNUMBER(AG44),AG44&lt;=T44),AS44,0)=MAX(IF(AND(NOT(AND(AO44=1,AN44&lt;&gt;1)),ISNUMBER(AG44),AG44&lt;=T44),AS44,0),IF(AND(NOT(AND(AO44=1,AN44&lt;&gt;1)),ISNUMBER(AH44),AH44&lt;=T44),AT44,0),IF(AND(NOT(AND(AO44=1,AN44&lt;&gt;1)),ISNUMBER(AI44),AI44&lt;=T44),AU44,0),IF(AND(ISNUMBER(AJ44),AJ44&lt;=T44),AV44,0))),"SW",IF(AND(IF(AND(NOT(AND(AO44=1,AN44&lt;&gt;1)),ISNUMBER(AH44),AH44&lt;=T44),AT44,0)&gt;0,IF(AND(NOT(AND(AO44=1,AN44&lt;&gt;1)),ISNUMBER(AH44),AH44&lt;=T44),AT44,0)=MAX(IF(AND(NOT(AND(AO44=1,AN44&lt;&gt;1)),ISNUMBER(AG44),AG44&lt;=T44),AS44,0),IF(AND(NOT(AND(AO44=1,AN44&lt;&gt;1)),ISNUMBER(AH44),AH44&lt;=T44),AT44,0),IF(AND(NOT(AND(AO44=1,AN44&lt;&gt;1)),ISNUMBER(AI44),AI44&lt;=T44),AU44,0),IF(AND(ISNUMBER(AJ44),AJ44&lt;=T44),AV44,0))),"AB",IF(AND(IF(AND(NOT(AND(AO44=1,AN44&lt;&gt;1)),ISNUMBER(AI44),AI44&lt;=T44),AU44,0)&gt;0,IF(AND(NOT(AND(AO44=1,AN44&lt;&gt;1)),ISNUMBER(AI44),AI44&lt;=T44),AU44,0)=MAX(IF(AND(NOT(AND(AO44=1,AN44&lt;&gt;1)),ISNUMBER(AG44),AG44&lt;=T44),AS44,0),IF(AND(NOT(AND(AO44=1,AN44&lt;&gt;1)),ISNUMBER(AH44),AH44&lt;=T44),AT44,0),IF(AND(NOT(AND(AO44=1,AN44&lt;&gt;1)),ISNUMBER(AI44),AI44&lt;=T44),AU44,0),IF(AND(ISNUMBER(AJ44),AJ44&lt;=T44),AV44,0))),"SC","Mag")))))))</f>
        <v>FP</v>
      </c>
    </row>
    <row r="45" customFormat="false" ht="15" hidden="false" customHeight="false" outlineLevel="0" collapsed="false">
      <c r="A45" s="26" t="n">
        <v>40</v>
      </c>
      <c r="B45" s="27" t="n">
        <f aca="false">A45*10/60</f>
        <v>6.66666666666667</v>
      </c>
      <c r="C45" s="21" t="n">
        <f aca="false">X44</f>
        <v>137.065986744308</v>
      </c>
      <c r="D45" s="27" t="n">
        <f aca="false">D44+W44</f>
        <v>1</v>
      </c>
      <c r="E45" s="26" t="n">
        <f aca="false">E44+IF(U44="SW",1,0)</f>
        <v>10</v>
      </c>
      <c r="F45" s="26" t="n">
        <f aca="false">F44+IF(U44="AB",1,0)</f>
        <v>9</v>
      </c>
      <c r="G45" s="26" t="n">
        <f aca="false">G44+IF(U44="SC",1,0)</f>
        <v>6</v>
      </c>
      <c r="H45" s="26" t="n">
        <f aca="false">H44+IF(U44="Mag",1,0)</f>
        <v>3</v>
      </c>
      <c r="I45" s="26" t="n">
        <f aca="false">MAX(I44,IF(U44="OR",1,0))</f>
        <v>1</v>
      </c>
      <c r="J45" s="26" t="n">
        <f aca="false">MAX(J44,IF(U44="HP",1,0))</f>
        <v>1</v>
      </c>
      <c r="K45" s="26" t="n">
        <f aca="false">MAX(K44,IF(U44="FP",1,0))</f>
        <v>1</v>
      </c>
      <c r="L45" s="26" t="n">
        <f aca="false">MAX(L44,IF(U44="transition",1,0))</f>
        <v>0</v>
      </c>
      <c r="M45" s="28" t="n">
        <f aca="false">(Parameters!$B$9+(IF(E45=0,0,(Upgrades!$J$6+E45*Upgrades!$K$6)*POWER(Upgrades!$L$6,E45)))*(IF(Upgrades!$T$7="Solar Wind",POWER(Upgrades!$U$7,F45),1)*IF(Upgrades!$T$8="Solar Wind",POWER(Upgrades!$U$8,G45),1)*IF(Upgrades!$T$9="Solar Wind",POWER(Upgrades!$U$9,H45),1)*IF(Upgrades!$T$10="Solar Wind",POWER(Upgrades!$U$10,I45),1)*IF(Upgrades!$T$11="Solar Wind",POWER(Upgrades!$U$11,J45),1)*IF(Upgrades!$T$12="Solar Wind",POWER(Upgrades!$U$12,K45),1))+(IF(F45=0,0,(Upgrades!$J$7+F45*Upgrades!$K$7)*POWER(Upgrades!$L$7,F45)))*(IF(Upgrades!$T$6="Asteroid Belt",POWER(Upgrades!$U$6,E45),1)*IF(Upgrades!$T$8="Asteroid Belt",POWER(Upgrades!$U$8,G45),1)*IF(Upgrades!$T$9="Asteroid Belt",POWER(Upgrades!$U$9,H45),1)*IF(Upgrades!$T$10="Asteroid Belt",POWER(Upgrades!$U$10,I45),1)*IF(Upgrades!$T$11="Asteroid Belt",POWER(Upgrades!$U$11,J45),1)*IF(Upgrades!$T$12="Asteroid Belt",POWER(Upgrades!$U$12,K45),1))+(IF(G45=0,0,(Upgrades!$J$8+G45*Upgrades!$K$8)*POWER(Upgrades!$L$8,G45)))*(IF(Upgrades!$T$6="Stellar Coupling",POWER(Upgrades!$U$6,E45),1)*IF(Upgrades!$T$7="Stellar Coupling",POWER(Upgrades!$U$7,F45),1)*IF(Upgrades!$T$9="Stellar Coupling",POWER(Upgrades!$U$9,H45),1)*IF(Upgrades!$T$10="Stellar Coupling",POWER(Upgrades!$U$10,I45),1)*IF(Upgrades!$T$11="Stellar Coupling",POWER(Upgrades!$U$11,J45),1)*IF(Upgrades!$T$12="Stellar Coupling",POWER(Upgrades!$U$12,K45),1))+(IF(H45=0,0,(Upgrades!$J$9+H45*Upgrades!$K$9)*POWER(Upgrades!$L$9,H45)))*(IF(Upgrades!$T$6="Magnetosphere",POWER(Upgrades!$U$6,E45),1)*IF(Upgrades!$T$7="Magnetosphere",POWER(Upgrades!$U$7,F45),1)*IF(Upgrades!$T$8="Magnetosphere",POWER(Upgrades!$U$8,G45),1)*IF(Upgrades!$T$10="Magnetosphere",POWER(Upgrades!$U$10,I45),1)*IF(Upgrades!$T$11="Magnetosphere",POWER(Upgrades!$U$11,J45),1)*IF(Upgrades!$T$12="Magnetosphere",POWER(Upgrades!$U$12,K45),1))+(IF(I45=0,0,(Upgrades!$J$10+I45*Upgrades!$K$10)*POWER(Upgrades!$L$10,I45)))*(IF(Upgrades!$T$6="Orbital Resonance",POWER(Upgrades!$U$6,E45),1)*IF(Upgrades!$T$7="Orbital Resonance",POWER(Upgrades!$U$7,F45),1)*IF(Upgrades!$T$8="Orbital Resonance",POWER(Upgrades!$U$8,G45),1)*IF(Upgrades!$T$9="Orbital Resonance",POWER(Upgrades!$U$9,H45),1)*IF(Upgrades!$T$11="Orbital Resonance",POWER(Upgrades!$U$11,J45),1)*IF(Upgrades!$T$12="Orbital Resonance",POWER(Upgrades!$U$12,K45),1))+(IF(J45=0,0,(Upgrades!$J$11+J45*Upgrades!$K$11)*POWER(Upgrades!$L$11,J45)))*(IF(Upgrades!$T$6="Heliopause",POWER(Upgrades!$U$6,E45),1)*IF(Upgrades!$T$7="Heliopause",POWER(Upgrades!$U$7,F45),1)*IF(Upgrades!$T$8="Heliopause",POWER(Upgrades!$U$8,G45),1)*IF(Upgrades!$T$9="Heliopause",POWER(Upgrades!$U$9,H45),1)*IF(Upgrades!$T$10="Heliopause",POWER(Upgrades!$U$10,I45),1)*IF(Upgrades!$T$12="Heliopause",POWER(Upgrades!$U$12,K45),1))+(IF(K45=0,0,(Upgrades!$J$12+K45*Upgrades!$K$12)*POWER(Upgrades!$L$12,K45)))*(IF(Upgrades!$T$6="First Photons",POWER(Upgrades!$U$6,E45),1)*IF(Upgrades!$T$7="First Photons",POWER(Upgrades!$U$7,F45),1)*IF(Upgrades!$T$8="First Photons",POWER(Upgrades!$U$8,G45),1)*IF(Upgrades!$T$9="First Photons",POWER(Upgrades!$U$9,H45),1)*IF(Upgrades!$T$10="First Photons",POWER(Upgrades!$U$10,I45),1)*IF(Upgrades!$T$11="First Photons",POWER(Upgrades!$U$11,J45),1)))*POWER(Upgrades!$Q$6,E45)*POWER(Upgrades!$Q$7,F45)*POWER(Upgrades!$Q$8,G45)*POWER(Upgrades!$Q$9,H45)*POWER(Upgrades!$Q$10,I45)*POWER(Upgrades!$Q$11,J45)*POWER(Upgrades!$Q$12,K45)</f>
        <v>4.98</v>
      </c>
      <c r="N45" s="28" t="n">
        <f aca="false">((IF(E45=0,0,(Upgrades!$G$6+E45*Upgrades!$H$6)*POWER(Upgrades!$I$6,E45)))*(IF(Upgrades!$T$7="Solar Wind",POWER(Upgrades!$U$7,F45),1)*IF(Upgrades!$T$8="Solar Wind",POWER(Upgrades!$U$8,G45),1)*IF(Upgrades!$T$9="Solar Wind",POWER(Upgrades!$U$9,H45),1)*IF(Upgrades!$T$10="Solar Wind",POWER(Upgrades!$U$10,I45),1)*IF(Upgrades!$T$11="Solar Wind",POWER(Upgrades!$U$11,J45),1)*IF(Upgrades!$T$12="Solar Wind",POWER(Upgrades!$U$12,K45),1))+(IF(F45=0,0,(Upgrades!$G$7+F45*Upgrades!$H$7)*POWER(Upgrades!$I$7,F45)))*(IF(Upgrades!$T$6="Asteroid Belt",POWER(Upgrades!$U$6,E45),1)*IF(Upgrades!$T$8="Asteroid Belt",POWER(Upgrades!$U$8,G45),1)*IF(Upgrades!$T$9="Asteroid Belt",POWER(Upgrades!$U$9,H45),1)*IF(Upgrades!$T$10="Asteroid Belt",POWER(Upgrades!$U$10,I45),1)*IF(Upgrades!$T$11="Asteroid Belt",POWER(Upgrades!$U$11,J45),1)*IF(Upgrades!$T$12="Asteroid Belt",POWER(Upgrades!$U$12,K45),1))+(IF(G45=0,0,(Upgrades!$G$8+G45*Upgrades!$H$8)*POWER(Upgrades!$I$8,G45)))*(IF(Upgrades!$T$6="Stellar Coupling",POWER(Upgrades!$U$6,E45),1)*IF(Upgrades!$T$7="Stellar Coupling",POWER(Upgrades!$U$7,F45),1)*IF(Upgrades!$T$9="Stellar Coupling",POWER(Upgrades!$U$9,H45),1)*IF(Upgrades!$T$10="Stellar Coupling",POWER(Upgrades!$U$10,I45),1)*IF(Upgrades!$T$11="Stellar Coupling",POWER(Upgrades!$U$11,J45),1)*IF(Upgrades!$T$12="Stellar Coupling",POWER(Upgrades!$U$12,K45),1))+(IF(H45=0,0,(Upgrades!$G$9+H45*Upgrades!$H$9)*POWER(Upgrades!$I$9,H45)))*(IF(Upgrades!$T$6="Magnetosphere",POWER(Upgrades!$U$6,E45),1)*IF(Upgrades!$T$7="Magnetosphere",POWER(Upgrades!$U$7,F45),1)*IF(Upgrades!$T$8="Magnetosphere",POWER(Upgrades!$U$8,G45),1)*IF(Upgrades!$T$10="Magnetosphere",POWER(Upgrades!$U$10,I45),1)*IF(Upgrades!$T$11="Magnetosphere",POWER(Upgrades!$U$11,J45),1)*IF(Upgrades!$T$12="Magnetosphere",POWER(Upgrades!$U$12,K45),1))+(IF(I45=0,0,(Upgrades!$G$10+I45*Upgrades!$H$10)*POWER(Upgrades!$I$10,I45)))*(IF(Upgrades!$T$6="Orbital Resonance",POWER(Upgrades!$U$6,E45),1)*IF(Upgrades!$T$7="Orbital Resonance",POWER(Upgrades!$U$7,F45),1)*IF(Upgrades!$T$8="Orbital Resonance",POWER(Upgrades!$U$8,G45),1)*IF(Upgrades!$T$9="Orbital Resonance",POWER(Upgrades!$U$9,H45),1)*IF(Upgrades!$T$11="Orbital Resonance",POWER(Upgrades!$U$11,J45),1)*IF(Upgrades!$T$12="Orbital Resonance",POWER(Upgrades!$U$12,K45),1))+(IF(J45=0,0,(Upgrades!$G$11+J45*Upgrades!$H$11)*POWER(Upgrades!$I$11,J45)))*(IF(Upgrades!$T$6="Heliopause",POWER(Upgrades!$U$6,E45),1)*IF(Upgrades!$T$7="Heliopause",POWER(Upgrades!$U$7,F45),1)*IF(Upgrades!$T$8="Heliopause",POWER(Upgrades!$U$8,G45),1)*IF(Upgrades!$T$9="Heliopause",POWER(Upgrades!$U$9,H45),1)*IF(Upgrades!$T$10="Heliopause",POWER(Upgrades!$U$10,I45),1)*IF(Upgrades!$T$12="Heliopause",POWER(Upgrades!$U$12,K45),1))+(IF(K45=0,0,(Upgrades!$G$12+K45*Upgrades!$H$12)*POWER(Upgrades!$I$12,K45)))*(IF(Upgrades!$T$6="First Photons",POWER(Upgrades!$U$6,E45),1)*IF(Upgrades!$T$7="First Photons",POWER(Upgrades!$U$7,F45),1)*IF(Upgrades!$T$8="First Photons",POWER(Upgrades!$U$8,G45),1)*IF(Upgrades!$T$9="First Photons",POWER(Upgrades!$U$9,H45),1)*IF(Upgrades!$T$10="First Photons",POWER(Upgrades!$U$10,I45),1)*IF(Upgrades!$T$11="First Photons",POWER(Upgrades!$U$11,J45),1)))*POWER(Upgrades!$P$6,E45)*POWER(Upgrades!$P$7,F45)*POWER(Upgrades!$P$8,G45)*POWER(Upgrades!$P$9,H45)*POWER(Upgrades!$P$10,I45)*POWER(Upgrades!$P$11,J45)*POWER(Upgrades!$P$12,K45)</f>
        <v>8.25</v>
      </c>
      <c r="O45" s="28" t="n">
        <f aca="false">((IF(E45=0,0,(Upgrades!$M$6+E45*Upgrades!$N$6)*POWER(Upgrades!$O$6,E45)))*(IF(Upgrades!$T$7="Solar Wind",POWER(Upgrades!$U$7,F45),1)*IF(Upgrades!$T$8="Solar Wind",POWER(Upgrades!$U$8,G45),1)*IF(Upgrades!$T$9="Solar Wind",POWER(Upgrades!$U$9,H45),1)*IF(Upgrades!$T$10="Solar Wind",POWER(Upgrades!$U$10,I45),1)*IF(Upgrades!$T$11="Solar Wind",POWER(Upgrades!$U$11,J45),1)*IF(Upgrades!$T$12="Solar Wind",POWER(Upgrades!$U$12,K45),1))+(IF(F45=0,0,(Upgrades!$M$7+F45*Upgrades!$N$7)*POWER(Upgrades!$O$7,F45)))*(IF(Upgrades!$T$6="Asteroid Belt",POWER(Upgrades!$U$6,E45),1)*IF(Upgrades!$T$8="Asteroid Belt",POWER(Upgrades!$U$8,G45),1)*IF(Upgrades!$T$9="Asteroid Belt",POWER(Upgrades!$U$9,H45),1)*IF(Upgrades!$T$10="Asteroid Belt",POWER(Upgrades!$U$10,I45),1)*IF(Upgrades!$T$11="Asteroid Belt",POWER(Upgrades!$U$11,J45),1)*IF(Upgrades!$T$12="Asteroid Belt",POWER(Upgrades!$U$12,K45),1))+(IF(G45=0,0,(Upgrades!$M$8+G45*Upgrades!$N$8)*POWER(Upgrades!$O$8,G45)))*(IF(Upgrades!$T$6="Stellar Coupling",POWER(Upgrades!$U$6,E45),1)*IF(Upgrades!$T$7="Stellar Coupling",POWER(Upgrades!$U$7,F45),1)*IF(Upgrades!$T$9="Stellar Coupling",POWER(Upgrades!$U$9,H45),1)*IF(Upgrades!$T$10="Stellar Coupling",POWER(Upgrades!$U$10,I45),1)*IF(Upgrades!$T$11="Stellar Coupling",POWER(Upgrades!$U$11,J45),1)*IF(Upgrades!$T$12="Stellar Coupling",POWER(Upgrades!$U$12,K45),1))+(IF(H45=0,0,(Upgrades!$M$9+H45*Upgrades!$N$9)*POWER(Upgrades!$O$9,H45)))*(IF(Upgrades!$T$6="Magnetosphere",POWER(Upgrades!$U$6,E45),1)*IF(Upgrades!$T$7="Magnetosphere",POWER(Upgrades!$U$7,F45),1)*IF(Upgrades!$T$8="Magnetosphere",POWER(Upgrades!$U$8,G45),1)*IF(Upgrades!$T$10="Magnetosphere",POWER(Upgrades!$U$10,I45),1)*IF(Upgrades!$T$11="Magnetosphere",POWER(Upgrades!$U$11,J45),1)*IF(Upgrades!$T$12="Magnetosphere",POWER(Upgrades!$U$12,K45),1))+(IF(I45=0,0,(Upgrades!$M$10+I45*Upgrades!$N$10)*POWER(Upgrades!$O$10,I45)))*(IF(Upgrades!$T$6="Orbital Resonance",POWER(Upgrades!$U$6,E45),1)*IF(Upgrades!$T$7="Orbital Resonance",POWER(Upgrades!$U$7,F45),1)*IF(Upgrades!$T$8="Orbital Resonance",POWER(Upgrades!$U$8,G45),1)*IF(Upgrades!$T$9="Orbital Resonance",POWER(Upgrades!$U$9,H45),1)*IF(Upgrades!$T$11="Orbital Resonance",POWER(Upgrades!$U$11,J45),1)*IF(Upgrades!$T$12="Orbital Resonance",POWER(Upgrades!$U$12,K45),1))+(IF(J45=0,0,(Upgrades!$M$11+J45*Upgrades!$N$11)*POWER(Upgrades!$O$11,J45)))*(IF(Upgrades!$T$6="Heliopause",POWER(Upgrades!$U$6,E45),1)*IF(Upgrades!$T$7="Heliopause",POWER(Upgrades!$U$7,F45),1)*IF(Upgrades!$T$8="Heliopause",POWER(Upgrades!$U$8,G45),1)*IF(Upgrades!$T$9="Heliopause",POWER(Upgrades!$U$9,H45),1)*IF(Upgrades!$T$10="Heliopause",POWER(Upgrades!$U$10,I45),1)*IF(Upgrades!$T$12="Heliopause",POWER(Upgrades!$U$12,K45),1))+(IF(K45=0,0,(Upgrades!$M$12+K45*Upgrades!$N$12)*POWER(Upgrades!$O$12,K45)))*(IF(Upgrades!$T$6="First Photons",POWER(Upgrades!$U$6,E45),1)*IF(Upgrades!$T$7="First Photons",POWER(Upgrades!$U$7,F45),1)*IF(Upgrades!$T$8="First Photons",POWER(Upgrades!$U$8,G45),1)*IF(Upgrades!$T$9="First Photons",POWER(Upgrades!$U$9,H45),1)*IF(Upgrades!$T$10="First Photons",POWER(Upgrades!$U$10,I45),1)*IF(Upgrades!$T$11="First Photons",POWER(Upgrades!$U$11,J45),1)))*POWER(Upgrades!$R$6,E45)*POWER(Upgrades!$R$7,F45)*POWER(Upgrades!$R$8,G45)*POWER(Upgrades!$R$9,H45)*POWER(Upgrades!$R$10,I45)*POWER(Upgrades!$R$11,J45)*POWER(Upgrades!$R$12,K45)</f>
        <v>0</v>
      </c>
      <c r="P45" s="27" t="n">
        <f aca="false">IF(L45=1,0,M45*Parameters!$B$10/60*Parameters!$B$11*10)</f>
        <v>83</v>
      </c>
      <c r="Q45" s="27" t="n">
        <f aca="false">IF(L45=1,0,O45*M45*10)</f>
        <v>0</v>
      </c>
      <c r="R45" s="27" t="n">
        <f aca="false">IF(L45=1,0,N45*10)</f>
        <v>82.5</v>
      </c>
      <c r="S45" s="27" t="n">
        <f aca="false">P45+Q45+R45</f>
        <v>165.5</v>
      </c>
      <c r="T45" s="21" t="n">
        <f aca="false">C45+S45</f>
        <v>302.565986744308</v>
      </c>
      <c r="U45" s="34" t="str">
        <f aca="false">AX45</f>
        <v/>
      </c>
      <c r="V45" s="21" t="n">
        <f aca="false">IF(U45="",0,IF(U45="transition",0,IF(U45="SW",AG45,IF(U45="AB",AH45,IF(U45="SC",AI45,IF(U45="Mag",AJ45,IF(U45="OR",AK45,IF(U45="HP",AL45,IF(U45="FP",AM45,0)))))))))</f>
        <v>0</v>
      </c>
      <c r="W45" s="27" t="n">
        <f aca="false">IF(U45="OR",Upgrades!$F$10,IF(U45="HP",Upgrades!$F$11,IF(U45="transition",-Parameters!$B$18,0)))</f>
        <v>0</v>
      </c>
      <c r="X45" s="21" t="n">
        <f aca="false">T45-V45</f>
        <v>302.565986744308</v>
      </c>
      <c r="Y45" s="30" t="n">
        <f aca="false">M45*Parameters!$B$10/60*Parameters!$B$11+O45*M45+N45</f>
        <v>16.55</v>
      </c>
      <c r="Z45" s="35" t="str">
        <f aca="false">IF(U45="transition","→ Tier 2 (Stellar Neighborhood)",IF(U45="FP","First Photons — light begins, system quickens",IF(U45="HP","Heliopause acquired",IF(U45="OR","Orbital Resonance — passive multiplier active",IF(AND(AO45=1,L45=0,AN45&lt;&gt;1),"Cohesion ready (waiting on completionist upgrades)","")))))</f>
        <v>Cohesion ready (waiting on completionist upgrades)</v>
      </c>
      <c r="AA45" s="27" t="n">
        <f aca="false">(IF(E45=0,0,(Upgrades!$G$6+E45*Upgrades!$H$6)*POWER(Upgrades!$I$6,E45)))*(IF(Upgrades!$T$7="Solar Wind",POWER(Upgrades!$U$7,F45),1)*IF(Upgrades!$T$8="Solar Wind",POWER(Upgrades!$U$8,G45),1)*IF(Upgrades!$T$9="Solar Wind",POWER(Upgrades!$U$9,H45),1)*IF(Upgrades!$T$10="Solar Wind",POWER(Upgrades!$U$10,I45),1)*IF(Upgrades!$T$11="Solar Wind",POWER(Upgrades!$U$11,J45),1)*IF(Upgrades!$T$12="Solar Wind",POWER(Upgrades!$U$12,K45),1))*POWER(Upgrades!$P$6,E45)*POWER(Upgrades!$P$7,F45)*POWER(Upgrades!$P$8,G45)*POWER(Upgrades!$P$9,H45)*POWER(Upgrades!$P$10,I45)*POWER(Upgrades!$P$11,J45)*POWER(Upgrades!$P$12,K45)*60</f>
        <v>60</v>
      </c>
      <c r="AB45" s="27" t="n">
        <f aca="false">(IF(F45=0,0,(Upgrades!$G$7+F45*Upgrades!$H$7)*POWER(Upgrades!$I$7,F45)))*(IF(Upgrades!$T$6="Asteroid Belt",POWER(Upgrades!$U$6,E45),1)*IF(Upgrades!$T$8="Asteroid Belt",POWER(Upgrades!$U$8,G45),1)*IF(Upgrades!$T$9="Asteroid Belt",POWER(Upgrades!$U$9,H45),1)*IF(Upgrades!$T$10="Asteroid Belt",POWER(Upgrades!$U$10,I45),1)*IF(Upgrades!$T$11="Asteroid Belt",POWER(Upgrades!$U$11,J45),1)*IF(Upgrades!$T$12="Asteroid Belt",POWER(Upgrades!$U$12,K45),1))*POWER(Upgrades!$P$6,E45)*POWER(Upgrades!$P$7,F45)*POWER(Upgrades!$P$8,G45)*POWER(Upgrades!$P$9,H45)*POWER(Upgrades!$P$10,I45)*POWER(Upgrades!$P$11,J45)*POWER(Upgrades!$P$12,K45)*60</f>
        <v>135</v>
      </c>
      <c r="AC45" s="27" t="n">
        <f aca="false">(IF(G45=0,0,(Upgrades!$J$8+G45*Upgrades!$K$8)*POWER(Upgrades!$L$8,G45)))*(IF(Upgrades!$T$6="Stellar Coupling",POWER(Upgrades!$U$6,E45),1)*IF(Upgrades!$T$7="Stellar Coupling",POWER(Upgrades!$U$7,F45),1)*IF(Upgrades!$T$9="Stellar Coupling",POWER(Upgrades!$U$9,H45),1)*IF(Upgrades!$T$10="Stellar Coupling",POWER(Upgrades!$U$10,I45),1)*IF(Upgrades!$T$11="Stellar Coupling",POWER(Upgrades!$U$11,J45),1)*IF(Upgrades!$T$12="Stellar Coupling",POWER(Upgrades!$U$12,K45),1))*POWER(Upgrades!$Q$6,E45)*POWER(Upgrades!$Q$7,F45)*POWER(Upgrades!$Q$8,G45)*POWER(Upgrades!$Q$9,H45)*POWER(Upgrades!$Q$10,I45)*POWER(Upgrades!$Q$11,J45)*POWER(Upgrades!$Q$12,K45)*Parameters!$B$10*Parameters!$B$11</f>
        <v>378</v>
      </c>
      <c r="AD45" s="27" t="n">
        <f aca="false">(IF(H45=0,0,(Upgrades!$G$9+H45*Upgrades!$H$9)*POWER(Upgrades!$I$9,H45)))*(IF(Upgrades!$T$6="Magnetosphere",POWER(Upgrades!$U$6,E45),1)*IF(Upgrades!$T$7="Magnetosphere",POWER(Upgrades!$U$7,F45),1)*IF(Upgrades!$T$8="Magnetosphere",POWER(Upgrades!$U$8,G45),1)*IF(Upgrades!$T$10="Magnetosphere",POWER(Upgrades!$U$10,I45),1)*IF(Upgrades!$T$11="Magnetosphere",POWER(Upgrades!$U$11,J45),1)*IF(Upgrades!$T$12="Magnetosphere",POWER(Upgrades!$U$12,K45),1))*POWER(Upgrades!$P$6,E45)*POWER(Upgrades!$P$7,F45)*POWER(Upgrades!$P$8,G45)*POWER(Upgrades!$P$9,H45)*POWER(Upgrades!$P$10,I45)*POWER(Upgrades!$P$11,J45)*POWER(Upgrades!$P$12,K45)*60</f>
        <v>225</v>
      </c>
      <c r="AE45" s="27" t="n">
        <f aca="false">(IF(K45=0,0,(Upgrades!$G$12+K45*Upgrades!$H$12)*POWER(Upgrades!$I$12,K45)))*(IF(Upgrades!$T$6="First Photons",POWER(Upgrades!$U$6,E45),1)*IF(Upgrades!$T$7="First Photons",POWER(Upgrades!$U$7,F45),1)*IF(Upgrades!$T$8="First Photons",POWER(Upgrades!$U$8,G45),1)*IF(Upgrades!$T$9="First Photons",POWER(Upgrades!$U$9,H45),1)*IF(Upgrades!$T$10="First Photons",POWER(Upgrades!$U$10,I45),1)*IF(Upgrades!$T$11="First Photons",POWER(Upgrades!$U$11,J45),1))*POWER(Upgrades!$P$6,E45)*POWER(Upgrades!$P$7,F45)*POWER(Upgrades!$P$8,G45)*POWER(Upgrades!$P$9,H45)*POWER(Upgrades!$P$10,I45)*POWER(Upgrades!$P$11,J45)*POWER(Upgrades!$P$12,K45)*60</f>
        <v>75</v>
      </c>
      <c r="AF45" s="27" t="n">
        <f aca="false">Parameters!$B$9*POWER(Upgrades!$Q$6,E45)*POWER(Upgrades!$Q$7,F45)*POWER(Upgrades!$Q$8,G45)*POWER(Upgrades!$Q$9,H45)*POWER(Upgrades!$Q$10,I45)*POWER(Upgrades!$Q$11,J45)*POWER(Upgrades!$Q$12,K45)*(Parameters!$B$10*Parameters!$B$11+O45*60)</f>
        <v>120</v>
      </c>
      <c r="AG45" s="21" t="n">
        <f aca="false">IF(E45&gt;=Upgrades!$E$6,"",Upgrades!$C$6*POWER(Upgrades!$D$6,E45))</f>
        <v>28.3189041499553</v>
      </c>
      <c r="AH45" s="21" t="n">
        <f aca="false">IF(F45&gt;=Upgrades!$E$7,"",Upgrades!$C$7*POWER(Upgrades!$D$7,F45))</f>
        <v>70.3575258383984</v>
      </c>
      <c r="AI45" s="21" t="n">
        <f aca="false">IF(G45&gt;=Upgrades!$E$8,"",Upgrades!$C$8*POWER(Upgrades!$D$8,G45))</f>
        <v>165.649792</v>
      </c>
      <c r="AJ45" s="21" t="n">
        <f aca="false">IF(H45&gt;=Upgrades!$E$9,"",Upgrades!$C$9*POWER(Upgrades!$D$9,H45))</f>
        <v>640</v>
      </c>
      <c r="AK45" s="21" t="str">
        <f aca="false">IF(I45&gt;=Upgrades!$E$10,"",Upgrades!$C$10*POWER(Upgrades!$D$10,I45))</f>
        <v/>
      </c>
      <c r="AL45" s="21" t="str">
        <f aca="false">IF(J45&gt;=Upgrades!$E$11,"",Upgrades!$C$11*POWER(Upgrades!$D$11,J45))</f>
        <v/>
      </c>
      <c r="AM45" s="21" t="str">
        <f aca="false">IF(K45&gt;=Upgrades!$E$12,"",Upgrades!$C$12*POWER(Upgrades!$D$12,K45))</f>
        <v/>
      </c>
      <c r="AN45" s="26" t="str">
        <f aca="false">IF(AND(D45&gt;=Parameters!$B$18,(H45&gt;=Upgrades!$E$9)*(K45&gt;=Upgrades!$E$12)=1,L45=0),1,"")</f>
        <v/>
      </c>
      <c r="AO45" s="26" t="n">
        <f aca="false">IF(AND(D45&gt;=Parameters!$B$18,L45=0),1,"")</f>
        <v>1</v>
      </c>
      <c r="AP45" s="21" t="n">
        <f aca="false">MIN(IF(ISNUMBER(AK45),AK45,9000000000000000),IF(ISNUMBER(AL45),AL45,9000000000000000),IF(ISNUMBER(AM45),AM45,9000000000000000))</f>
        <v>9000000000000000</v>
      </c>
      <c r="AQ45" s="21" t="n">
        <f aca="false">MIN(IF(ISNUMBER(AG45),AG45,9000000000000000),IF(ISNUMBER(AH45),AH45,9000000000000000),IF(ISNUMBER(AI45),AI45,9000000000000000),IF(ISNUMBER(AJ45),AJ45,9000000000000000))</f>
        <v>28.3189041499553</v>
      </c>
      <c r="AR45" s="32" t="b">
        <f aca="false">IF(AW45&gt;Parameters!$B$21*(MAX(IF(AND(NOT(AND(AO45=1,AN45&lt;&gt;1)),ISNUMBER(AG45),AG45&lt;=T45),AS45,0),IF(AND(NOT(AND(AO45=1,AN45&lt;&gt;1)),ISNUMBER(AH45),AH45&lt;=T45),AT45,0),IF(AND(NOT(AND(AO45=1,AN45&lt;&gt;1)),ISNUMBER(AI45),AI45&lt;=T45),AU45,0),IF(AND(ISNUMBER(AJ45),AJ45&lt;=T45),AV45,0))),TRUE(),FALSE())</f>
        <v>1</v>
      </c>
      <c r="AS45" s="33" t="n">
        <f aca="false">IFERROR(Upgrades!$H$6*(POWER(Upgrades!$P$6,E45)*POWER(Upgrades!$P$7,F45)*POWER(Upgrades!$P$8,G45)*POWER(Upgrades!$P$9,H45)*POWER(Upgrades!$P$10,I45)*POWER(Upgrades!$P$11,J45)*POWER(Upgrades!$P$12,K45))*(IF(Upgrades!$T$7="Solar Wind",POWER(Upgrades!$U$7,F45),1)*IF(Upgrades!$T$8="Solar Wind",POWER(Upgrades!$U$8,G45),1)*IF(Upgrades!$T$9="Solar Wind",POWER(Upgrades!$U$9,H45),1)*IF(Upgrades!$T$10="Solar Wind",POWER(Upgrades!$U$10,I45),1)*IF(Upgrades!$T$11="Solar Wind",POWER(Upgrades!$U$11,J45),1)*IF(Upgrades!$T$12="Solar Wind",POWER(Upgrades!$U$12,K45),1))/AG45,0)</f>
        <v>0.00353121008745523</v>
      </c>
      <c r="AT45" s="33" t="n">
        <f aca="false">IFERROR(Upgrades!$H$7*(POWER(Upgrades!$P$6,E45)*POWER(Upgrades!$P$7,F45)*POWER(Upgrades!$P$8,G45)*POWER(Upgrades!$P$9,H45)*POWER(Upgrades!$P$10,I45)*POWER(Upgrades!$P$11,J45)*POWER(Upgrades!$P$12,K45))*(IF(Upgrades!$T$6="Asteroid Belt",POWER(Upgrades!$U$6,E45),1)*IF(Upgrades!$T$8="Asteroid Belt",POWER(Upgrades!$U$8,G45),1)*IF(Upgrades!$T$9="Asteroid Belt",POWER(Upgrades!$U$9,H45),1)*IF(Upgrades!$T$10="Asteroid Belt",POWER(Upgrades!$U$10,I45),1)*IF(Upgrades!$T$11="Asteroid Belt",POWER(Upgrades!$U$11,J45),1)*IF(Upgrades!$T$12="Asteroid Belt",POWER(Upgrades!$U$12,K45),1))/AH45,0)</f>
        <v>0.00355328015050182</v>
      </c>
      <c r="AU45" s="33" t="n">
        <f aca="false">IFERROR(Upgrades!$K$8*(POWER(Upgrades!$Q$6,E45)*POWER(Upgrades!$Q$7,F45)*POWER(Upgrades!$Q$8,G45)*POWER(Upgrades!$Q$9,H45)*POWER(Upgrades!$Q$10,I45)*POWER(Upgrades!$Q$11,J45)*POWER(Upgrades!$Q$12,K45))*(IF(Upgrades!$T$6="Stellar Coupling",POWER(Upgrades!$U$6,E45),1)*IF(Upgrades!$T$7="Stellar Coupling",POWER(Upgrades!$U$7,F45),1)*IF(Upgrades!$T$9="Stellar Coupling",POWER(Upgrades!$U$9,H45),1)*IF(Upgrades!$T$10="Stellar Coupling",POWER(Upgrades!$U$10,I45),1)*IF(Upgrades!$T$11="Stellar Coupling",POWER(Upgrades!$U$11,J45),1)*IF(Upgrades!$T$12="Stellar Coupling",POWER(Upgrades!$U$12,K45),1))*Parameters!$B$10*Parameters!$B$11/60/AI45,0)</f>
        <v>0.00633867382097287</v>
      </c>
      <c r="AV45" s="33" t="n">
        <f aca="false">IFERROR(Upgrades!$H$9*(POWER(Upgrades!$P$6,E45)*POWER(Upgrades!$P$7,F45)*POWER(Upgrades!$P$8,G45)*POWER(Upgrades!$P$9,H45)*POWER(Upgrades!$P$10,I45)*POWER(Upgrades!$P$11,J45)*POWER(Upgrades!$P$12,K45))*(IF(Upgrades!$T$6="Magnetosphere",POWER(Upgrades!$U$6,E45),1)*IF(Upgrades!$T$7="Magnetosphere",POWER(Upgrades!$U$7,F45),1)*IF(Upgrades!$T$8="Magnetosphere",POWER(Upgrades!$U$8,G45),1)*IF(Upgrades!$T$10="Magnetosphere",POWER(Upgrades!$U$10,I45),1)*IF(Upgrades!$T$11="Magnetosphere",POWER(Upgrades!$U$11,J45),1)*IF(Upgrades!$T$12="Magnetosphere",POWER(Upgrades!$U$12,K45),1))/AJ45,0)</f>
        <v>0.001953125</v>
      </c>
      <c r="AW45" s="33" t="n">
        <f aca="false">MAX(IF(I45&gt;0,0,IFERROR(0.25*N45/Upgrades!$C$10,0)),IF(J45&gt;0,0,IFERROR(0.5*((IF(G45=0,0,(Upgrades!$J$8+G45*Upgrades!$K$8)*POWER(Upgrades!$L$8,G45)))*(IF(Upgrades!$T$6="Stellar Coupling",POWER(Upgrades!$U$6,E45),1)*IF(Upgrades!$T$7="Stellar Coupling",POWER(Upgrades!$U$7,F45),1)*IF(Upgrades!$T$9="Stellar Coupling",POWER(Upgrades!$U$9,H45),1)*IF(Upgrades!$T$10="Stellar Coupling",POWER(Upgrades!$U$10,I45),1)*IF(Upgrades!$T$11="Stellar Coupling",POWER(Upgrades!$U$11,J45),1)*IF(Upgrades!$T$12="Stellar Coupling",POWER(Upgrades!$U$12,K45),1))*(POWER(Upgrades!$Q$6,E45)*POWER(Upgrades!$Q$7,F45)*POWER(Upgrades!$Q$8,G45)*POWER(Upgrades!$Q$9,H45)*POWER(Upgrades!$Q$10,I45)*POWER(Upgrades!$Q$11,J45)*POWER(Upgrades!$Q$12,K45))*Parameters!$B$10*Parameters!$B$11/60)/Upgrades!$C$11,0)),IF(K45&gt;0,0,IFERROR((1*(POWER(Upgrades!$P$6,E45)*POWER(Upgrades!$P$7,F45)*POWER(Upgrades!$P$8,G45)*POWER(Upgrades!$P$9,H45)*POWER(Upgrades!$P$10,I45)*POWER(Upgrades!$P$11,J45)*POWER(Upgrades!$P$12,K45))+0.2*M45*Parameters!$B$10*Parameters!$B$11/60)/Upgrades!$C$12,0)),IF(AND(ISNUMBER(AG45),AG45&gt;T45),AS45,0),IF(AND(ISNUMBER(AH45),AH45&gt;T45),AT45,0),IF(AND(ISNUMBER(AI45),AI45&gt;T45),AU45,0),IF(AND(ISNUMBER(AJ45),AJ45&gt;T45),AV45,0))</f>
        <v>0.001953125</v>
      </c>
      <c r="AX45" s="29" t="str">
        <f aca="false">IF(AN45=1,"transition",IF(MIN(IF(AND(I45=0,ISNUMBER(AK45),AK45&lt;=T45),AK45,9000000000000000),IF(AND(J45=0,ISNUMBER(AL45),AL45&lt;=T45),AL45,9000000000000000),IF(AND(K45=0,ISNUMBER(AM45),AM45&lt;=T45),AM45,9000000000000000))&lt;9000000000000000,IF(AND(AND(I45=0,ISNUMBER(AK45),AK45&lt;=T45),AK45=MIN(IF(AND(I45=0,ISNUMBER(AK45),AK45&lt;=T45),AK45,9000000000000000),IF(AND(J45=0,ISNUMBER(AL45),AL45&lt;=T45),AL45,9000000000000000),IF(AND(K45=0,ISNUMBER(AM45),AM45&lt;=T45),AM45,9000000000000000))),"OR",IF(AND(AND(J45=0,ISNUMBER(AL45),AL45&lt;=T45),AL45=MIN(IF(AND(I45=0,ISNUMBER(AK45),AK45&lt;=T45),AK45,9000000000000000),IF(AND(J45=0,ISNUMBER(AL45),AL45&lt;=T45),AL45,9000000000000000),IF(AND(K45=0,ISNUMBER(AM45),AM45&lt;=T45),AM45,9000000000000000))),"HP","FP")),IF(AR45=TRUE(),"",IF(MAX(IF(AND(NOT(AND(AO45=1,AN45&lt;&gt;1)),ISNUMBER(AG45),AG45&lt;=T45),AS45,0),IF(AND(NOT(AND(AO45=1,AN45&lt;&gt;1)),ISNUMBER(AH45),AH45&lt;=T45),AT45,0),IF(AND(NOT(AND(AO45=1,AN45&lt;&gt;1)),ISNUMBER(AI45),AI45&lt;=T45),AU45,0),IF(AND(ISNUMBER(AJ45),AJ45&lt;=T45),AV45,0))&lt;=0,"",IF(AND(IF(AND(NOT(AND(AO45=1,AN45&lt;&gt;1)),ISNUMBER(AG45),AG45&lt;=T45),AS45,0)&gt;0,IF(AND(NOT(AND(AO45=1,AN45&lt;&gt;1)),ISNUMBER(AG45),AG45&lt;=T45),AS45,0)=MAX(IF(AND(NOT(AND(AO45=1,AN45&lt;&gt;1)),ISNUMBER(AG45),AG45&lt;=T45),AS45,0),IF(AND(NOT(AND(AO45=1,AN45&lt;&gt;1)),ISNUMBER(AH45),AH45&lt;=T45),AT45,0),IF(AND(NOT(AND(AO45=1,AN45&lt;&gt;1)),ISNUMBER(AI45),AI45&lt;=T45),AU45,0),IF(AND(ISNUMBER(AJ45),AJ45&lt;=T45),AV45,0))),"SW",IF(AND(IF(AND(NOT(AND(AO45=1,AN45&lt;&gt;1)),ISNUMBER(AH45),AH45&lt;=T45),AT45,0)&gt;0,IF(AND(NOT(AND(AO45=1,AN45&lt;&gt;1)),ISNUMBER(AH45),AH45&lt;=T45),AT45,0)=MAX(IF(AND(NOT(AND(AO45=1,AN45&lt;&gt;1)),ISNUMBER(AG45),AG45&lt;=T45),AS45,0),IF(AND(NOT(AND(AO45=1,AN45&lt;&gt;1)),ISNUMBER(AH45),AH45&lt;=T45),AT45,0),IF(AND(NOT(AND(AO45=1,AN45&lt;&gt;1)),ISNUMBER(AI45),AI45&lt;=T45),AU45,0),IF(AND(ISNUMBER(AJ45),AJ45&lt;=T45),AV45,0))),"AB",IF(AND(IF(AND(NOT(AND(AO45=1,AN45&lt;&gt;1)),ISNUMBER(AI45),AI45&lt;=T45),AU45,0)&gt;0,IF(AND(NOT(AND(AO45=1,AN45&lt;&gt;1)),ISNUMBER(AI45),AI45&lt;=T45),AU45,0)=MAX(IF(AND(NOT(AND(AO45=1,AN45&lt;&gt;1)),ISNUMBER(AG45),AG45&lt;=T45),AS45,0),IF(AND(NOT(AND(AO45=1,AN45&lt;&gt;1)),ISNUMBER(AH45),AH45&lt;=T45),AT45,0),IF(AND(NOT(AND(AO45=1,AN45&lt;&gt;1)),ISNUMBER(AI45),AI45&lt;=T45),AU45,0),IF(AND(ISNUMBER(AJ45),AJ45&lt;=T45),AV45,0))),"SC","Mag")))))))</f>
        <v/>
      </c>
    </row>
    <row r="46" customFormat="false" ht="15" hidden="false" customHeight="false" outlineLevel="0" collapsed="false">
      <c r="A46" s="26" t="n">
        <v>41</v>
      </c>
      <c r="B46" s="27" t="n">
        <f aca="false">A46*10/60</f>
        <v>6.83333333333333</v>
      </c>
      <c r="C46" s="21" t="n">
        <f aca="false">X45</f>
        <v>302.565986744308</v>
      </c>
      <c r="D46" s="27" t="n">
        <f aca="false">D45+W45</f>
        <v>1</v>
      </c>
      <c r="E46" s="26" t="n">
        <f aca="false">E45+IF(U45="SW",1,0)</f>
        <v>10</v>
      </c>
      <c r="F46" s="26" t="n">
        <f aca="false">F45+IF(U45="AB",1,0)</f>
        <v>9</v>
      </c>
      <c r="G46" s="26" t="n">
        <f aca="false">G45+IF(U45="SC",1,0)</f>
        <v>6</v>
      </c>
      <c r="H46" s="26" t="n">
        <f aca="false">H45+IF(U45="Mag",1,0)</f>
        <v>3</v>
      </c>
      <c r="I46" s="26" t="n">
        <f aca="false">MAX(I45,IF(U45="OR",1,0))</f>
        <v>1</v>
      </c>
      <c r="J46" s="26" t="n">
        <f aca="false">MAX(J45,IF(U45="HP",1,0))</f>
        <v>1</v>
      </c>
      <c r="K46" s="26" t="n">
        <f aca="false">MAX(K45,IF(U45="FP",1,0))</f>
        <v>1</v>
      </c>
      <c r="L46" s="26" t="n">
        <f aca="false">MAX(L45,IF(U45="transition",1,0))</f>
        <v>0</v>
      </c>
      <c r="M46" s="28" t="n">
        <f aca="false">(Parameters!$B$9+(IF(E46=0,0,(Upgrades!$J$6+E46*Upgrades!$K$6)*POWER(Upgrades!$L$6,E46)))*(IF(Upgrades!$T$7="Solar Wind",POWER(Upgrades!$U$7,F46),1)*IF(Upgrades!$T$8="Solar Wind",POWER(Upgrades!$U$8,G46),1)*IF(Upgrades!$T$9="Solar Wind",POWER(Upgrades!$U$9,H46),1)*IF(Upgrades!$T$10="Solar Wind",POWER(Upgrades!$U$10,I46),1)*IF(Upgrades!$T$11="Solar Wind",POWER(Upgrades!$U$11,J46),1)*IF(Upgrades!$T$12="Solar Wind",POWER(Upgrades!$U$12,K46),1))+(IF(F46=0,0,(Upgrades!$J$7+F46*Upgrades!$K$7)*POWER(Upgrades!$L$7,F46)))*(IF(Upgrades!$T$6="Asteroid Belt",POWER(Upgrades!$U$6,E46),1)*IF(Upgrades!$T$8="Asteroid Belt",POWER(Upgrades!$U$8,G46),1)*IF(Upgrades!$T$9="Asteroid Belt",POWER(Upgrades!$U$9,H46),1)*IF(Upgrades!$T$10="Asteroid Belt",POWER(Upgrades!$U$10,I46),1)*IF(Upgrades!$T$11="Asteroid Belt",POWER(Upgrades!$U$11,J46),1)*IF(Upgrades!$T$12="Asteroid Belt",POWER(Upgrades!$U$12,K46),1))+(IF(G46=0,0,(Upgrades!$J$8+G46*Upgrades!$K$8)*POWER(Upgrades!$L$8,G46)))*(IF(Upgrades!$T$6="Stellar Coupling",POWER(Upgrades!$U$6,E46),1)*IF(Upgrades!$T$7="Stellar Coupling",POWER(Upgrades!$U$7,F46),1)*IF(Upgrades!$T$9="Stellar Coupling",POWER(Upgrades!$U$9,H46),1)*IF(Upgrades!$T$10="Stellar Coupling",POWER(Upgrades!$U$10,I46),1)*IF(Upgrades!$T$11="Stellar Coupling",POWER(Upgrades!$U$11,J46),1)*IF(Upgrades!$T$12="Stellar Coupling",POWER(Upgrades!$U$12,K46),1))+(IF(H46=0,0,(Upgrades!$J$9+H46*Upgrades!$K$9)*POWER(Upgrades!$L$9,H46)))*(IF(Upgrades!$T$6="Magnetosphere",POWER(Upgrades!$U$6,E46),1)*IF(Upgrades!$T$7="Magnetosphere",POWER(Upgrades!$U$7,F46),1)*IF(Upgrades!$T$8="Magnetosphere",POWER(Upgrades!$U$8,G46),1)*IF(Upgrades!$T$10="Magnetosphere",POWER(Upgrades!$U$10,I46),1)*IF(Upgrades!$T$11="Magnetosphere",POWER(Upgrades!$U$11,J46),1)*IF(Upgrades!$T$12="Magnetosphere",POWER(Upgrades!$U$12,K46),1))+(IF(I46=0,0,(Upgrades!$J$10+I46*Upgrades!$K$10)*POWER(Upgrades!$L$10,I46)))*(IF(Upgrades!$T$6="Orbital Resonance",POWER(Upgrades!$U$6,E46),1)*IF(Upgrades!$T$7="Orbital Resonance",POWER(Upgrades!$U$7,F46),1)*IF(Upgrades!$T$8="Orbital Resonance",POWER(Upgrades!$U$8,G46),1)*IF(Upgrades!$T$9="Orbital Resonance",POWER(Upgrades!$U$9,H46),1)*IF(Upgrades!$T$11="Orbital Resonance",POWER(Upgrades!$U$11,J46),1)*IF(Upgrades!$T$12="Orbital Resonance",POWER(Upgrades!$U$12,K46),1))+(IF(J46=0,0,(Upgrades!$J$11+J46*Upgrades!$K$11)*POWER(Upgrades!$L$11,J46)))*(IF(Upgrades!$T$6="Heliopause",POWER(Upgrades!$U$6,E46),1)*IF(Upgrades!$T$7="Heliopause",POWER(Upgrades!$U$7,F46),1)*IF(Upgrades!$T$8="Heliopause",POWER(Upgrades!$U$8,G46),1)*IF(Upgrades!$T$9="Heliopause",POWER(Upgrades!$U$9,H46),1)*IF(Upgrades!$T$10="Heliopause",POWER(Upgrades!$U$10,I46),1)*IF(Upgrades!$T$12="Heliopause",POWER(Upgrades!$U$12,K46),1))+(IF(K46=0,0,(Upgrades!$J$12+K46*Upgrades!$K$12)*POWER(Upgrades!$L$12,K46)))*(IF(Upgrades!$T$6="First Photons",POWER(Upgrades!$U$6,E46),1)*IF(Upgrades!$T$7="First Photons",POWER(Upgrades!$U$7,F46),1)*IF(Upgrades!$T$8="First Photons",POWER(Upgrades!$U$8,G46),1)*IF(Upgrades!$T$9="First Photons",POWER(Upgrades!$U$9,H46),1)*IF(Upgrades!$T$10="First Photons",POWER(Upgrades!$U$10,I46),1)*IF(Upgrades!$T$11="First Photons",POWER(Upgrades!$U$11,J46),1)))*POWER(Upgrades!$Q$6,E46)*POWER(Upgrades!$Q$7,F46)*POWER(Upgrades!$Q$8,G46)*POWER(Upgrades!$Q$9,H46)*POWER(Upgrades!$Q$10,I46)*POWER(Upgrades!$Q$11,J46)*POWER(Upgrades!$Q$12,K46)</f>
        <v>4.98</v>
      </c>
      <c r="N46" s="28" t="n">
        <f aca="false">((IF(E46=0,0,(Upgrades!$G$6+E46*Upgrades!$H$6)*POWER(Upgrades!$I$6,E46)))*(IF(Upgrades!$T$7="Solar Wind",POWER(Upgrades!$U$7,F46),1)*IF(Upgrades!$T$8="Solar Wind",POWER(Upgrades!$U$8,G46),1)*IF(Upgrades!$T$9="Solar Wind",POWER(Upgrades!$U$9,H46),1)*IF(Upgrades!$T$10="Solar Wind",POWER(Upgrades!$U$10,I46),1)*IF(Upgrades!$T$11="Solar Wind",POWER(Upgrades!$U$11,J46),1)*IF(Upgrades!$T$12="Solar Wind",POWER(Upgrades!$U$12,K46),1))+(IF(F46=0,0,(Upgrades!$G$7+F46*Upgrades!$H$7)*POWER(Upgrades!$I$7,F46)))*(IF(Upgrades!$T$6="Asteroid Belt",POWER(Upgrades!$U$6,E46),1)*IF(Upgrades!$T$8="Asteroid Belt",POWER(Upgrades!$U$8,G46),1)*IF(Upgrades!$T$9="Asteroid Belt",POWER(Upgrades!$U$9,H46),1)*IF(Upgrades!$T$10="Asteroid Belt",POWER(Upgrades!$U$10,I46),1)*IF(Upgrades!$T$11="Asteroid Belt",POWER(Upgrades!$U$11,J46),1)*IF(Upgrades!$T$12="Asteroid Belt",POWER(Upgrades!$U$12,K46),1))+(IF(G46=0,0,(Upgrades!$G$8+G46*Upgrades!$H$8)*POWER(Upgrades!$I$8,G46)))*(IF(Upgrades!$T$6="Stellar Coupling",POWER(Upgrades!$U$6,E46),1)*IF(Upgrades!$T$7="Stellar Coupling",POWER(Upgrades!$U$7,F46),1)*IF(Upgrades!$T$9="Stellar Coupling",POWER(Upgrades!$U$9,H46),1)*IF(Upgrades!$T$10="Stellar Coupling",POWER(Upgrades!$U$10,I46),1)*IF(Upgrades!$T$11="Stellar Coupling",POWER(Upgrades!$U$11,J46),1)*IF(Upgrades!$T$12="Stellar Coupling",POWER(Upgrades!$U$12,K46),1))+(IF(H46=0,0,(Upgrades!$G$9+H46*Upgrades!$H$9)*POWER(Upgrades!$I$9,H46)))*(IF(Upgrades!$T$6="Magnetosphere",POWER(Upgrades!$U$6,E46),1)*IF(Upgrades!$T$7="Magnetosphere",POWER(Upgrades!$U$7,F46),1)*IF(Upgrades!$T$8="Magnetosphere",POWER(Upgrades!$U$8,G46),1)*IF(Upgrades!$T$10="Magnetosphere",POWER(Upgrades!$U$10,I46),1)*IF(Upgrades!$T$11="Magnetosphere",POWER(Upgrades!$U$11,J46),1)*IF(Upgrades!$T$12="Magnetosphere",POWER(Upgrades!$U$12,K46),1))+(IF(I46=0,0,(Upgrades!$G$10+I46*Upgrades!$H$10)*POWER(Upgrades!$I$10,I46)))*(IF(Upgrades!$T$6="Orbital Resonance",POWER(Upgrades!$U$6,E46),1)*IF(Upgrades!$T$7="Orbital Resonance",POWER(Upgrades!$U$7,F46),1)*IF(Upgrades!$T$8="Orbital Resonance",POWER(Upgrades!$U$8,G46),1)*IF(Upgrades!$T$9="Orbital Resonance",POWER(Upgrades!$U$9,H46),1)*IF(Upgrades!$T$11="Orbital Resonance",POWER(Upgrades!$U$11,J46),1)*IF(Upgrades!$T$12="Orbital Resonance",POWER(Upgrades!$U$12,K46),1))+(IF(J46=0,0,(Upgrades!$G$11+J46*Upgrades!$H$11)*POWER(Upgrades!$I$11,J46)))*(IF(Upgrades!$T$6="Heliopause",POWER(Upgrades!$U$6,E46),1)*IF(Upgrades!$T$7="Heliopause",POWER(Upgrades!$U$7,F46),1)*IF(Upgrades!$T$8="Heliopause",POWER(Upgrades!$U$8,G46),1)*IF(Upgrades!$T$9="Heliopause",POWER(Upgrades!$U$9,H46),1)*IF(Upgrades!$T$10="Heliopause",POWER(Upgrades!$U$10,I46),1)*IF(Upgrades!$T$12="Heliopause",POWER(Upgrades!$U$12,K46),1))+(IF(K46=0,0,(Upgrades!$G$12+K46*Upgrades!$H$12)*POWER(Upgrades!$I$12,K46)))*(IF(Upgrades!$T$6="First Photons",POWER(Upgrades!$U$6,E46),1)*IF(Upgrades!$T$7="First Photons",POWER(Upgrades!$U$7,F46),1)*IF(Upgrades!$T$8="First Photons",POWER(Upgrades!$U$8,G46),1)*IF(Upgrades!$T$9="First Photons",POWER(Upgrades!$U$9,H46),1)*IF(Upgrades!$T$10="First Photons",POWER(Upgrades!$U$10,I46),1)*IF(Upgrades!$T$11="First Photons",POWER(Upgrades!$U$11,J46),1)))*POWER(Upgrades!$P$6,E46)*POWER(Upgrades!$P$7,F46)*POWER(Upgrades!$P$8,G46)*POWER(Upgrades!$P$9,H46)*POWER(Upgrades!$P$10,I46)*POWER(Upgrades!$P$11,J46)*POWER(Upgrades!$P$12,K46)</f>
        <v>8.25</v>
      </c>
      <c r="O46" s="28" t="n">
        <f aca="false">((IF(E46=0,0,(Upgrades!$M$6+E46*Upgrades!$N$6)*POWER(Upgrades!$O$6,E46)))*(IF(Upgrades!$T$7="Solar Wind",POWER(Upgrades!$U$7,F46),1)*IF(Upgrades!$T$8="Solar Wind",POWER(Upgrades!$U$8,G46),1)*IF(Upgrades!$T$9="Solar Wind",POWER(Upgrades!$U$9,H46),1)*IF(Upgrades!$T$10="Solar Wind",POWER(Upgrades!$U$10,I46),1)*IF(Upgrades!$T$11="Solar Wind",POWER(Upgrades!$U$11,J46),1)*IF(Upgrades!$T$12="Solar Wind",POWER(Upgrades!$U$12,K46),1))+(IF(F46=0,0,(Upgrades!$M$7+F46*Upgrades!$N$7)*POWER(Upgrades!$O$7,F46)))*(IF(Upgrades!$T$6="Asteroid Belt",POWER(Upgrades!$U$6,E46),1)*IF(Upgrades!$T$8="Asteroid Belt",POWER(Upgrades!$U$8,G46),1)*IF(Upgrades!$T$9="Asteroid Belt",POWER(Upgrades!$U$9,H46),1)*IF(Upgrades!$T$10="Asteroid Belt",POWER(Upgrades!$U$10,I46),1)*IF(Upgrades!$T$11="Asteroid Belt",POWER(Upgrades!$U$11,J46),1)*IF(Upgrades!$T$12="Asteroid Belt",POWER(Upgrades!$U$12,K46),1))+(IF(G46=0,0,(Upgrades!$M$8+G46*Upgrades!$N$8)*POWER(Upgrades!$O$8,G46)))*(IF(Upgrades!$T$6="Stellar Coupling",POWER(Upgrades!$U$6,E46),1)*IF(Upgrades!$T$7="Stellar Coupling",POWER(Upgrades!$U$7,F46),1)*IF(Upgrades!$T$9="Stellar Coupling",POWER(Upgrades!$U$9,H46),1)*IF(Upgrades!$T$10="Stellar Coupling",POWER(Upgrades!$U$10,I46),1)*IF(Upgrades!$T$11="Stellar Coupling",POWER(Upgrades!$U$11,J46),1)*IF(Upgrades!$T$12="Stellar Coupling",POWER(Upgrades!$U$12,K46),1))+(IF(H46=0,0,(Upgrades!$M$9+H46*Upgrades!$N$9)*POWER(Upgrades!$O$9,H46)))*(IF(Upgrades!$T$6="Magnetosphere",POWER(Upgrades!$U$6,E46),1)*IF(Upgrades!$T$7="Magnetosphere",POWER(Upgrades!$U$7,F46),1)*IF(Upgrades!$T$8="Magnetosphere",POWER(Upgrades!$U$8,G46),1)*IF(Upgrades!$T$10="Magnetosphere",POWER(Upgrades!$U$10,I46),1)*IF(Upgrades!$T$11="Magnetosphere",POWER(Upgrades!$U$11,J46),1)*IF(Upgrades!$T$12="Magnetosphere",POWER(Upgrades!$U$12,K46),1))+(IF(I46=0,0,(Upgrades!$M$10+I46*Upgrades!$N$10)*POWER(Upgrades!$O$10,I46)))*(IF(Upgrades!$T$6="Orbital Resonance",POWER(Upgrades!$U$6,E46),1)*IF(Upgrades!$T$7="Orbital Resonance",POWER(Upgrades!$U$7,F46),1)*IF(Upgrades!$T$8="Orbital Resonance",POWER(Upgrades!$U$8,G46),1)*IF(Upgrades!$T$9="Orbital Resonance",POWER(Upgrades!$U$9,H46),1)*IF(Upgrades!$T$11="Orbital Resonance",POWER(Upgrades!$U$11,J46),1)*IF(Upgrades!$T$12="Orbital Resonance",POWER(Upgrades!$U$12,K46),1))+(IF(J46=0,0,(Upgrades!$M$11+J46*Upgrades!$N$11)*POWER(Upgrades!$O$11,J46)))*(IF(Upgrades!$T$6="Heliopause",POWER(Upgrades!$U$6,E46),1)*IF(Upgrades!$T$7="Heliopause",POWER(Upgrades!$U$7,F46),1)*IF(Upgrades!$T$8="Heliopause",POWER(Upgrades!$U$8,G46),1)*IF(Upgrades!$T$9="Heliopause",POWER(Upgrades!$U$9,H46),1)*IF(Upgrades!$T$10="Heliopause",POWER(Upgrades!$U$10,I46),1)*IF(Upgrades!$T$12="Heliopause",POWER(Upgrades!$U$12,K46),1))+(IF(K46=0,0,(Upgrades!$M$12+K46*Upgrades!$N$12)*POWER(Upgrades!$O$12,K46)))*(IF(Upgrades!$T$6="First Photons",POWER(Upgrades!$U$6,E46),1)*IF(Upgrades!$T$7="First Photons",POWER(Upgrades!$U$7,F46),1)*IF(Upgrades!$T$8="First Photons",POWER(Upgrades!$U$8,G46),1)*IF(Upgrades!$T$9="First Photons",POWER(Upgrades!$U$9,H46),1)*IF(Upgrades!$T$10="First Photons",POWER(Upgrades!$U$10,I46),1)*IF(Upgrades!$T$11="First Photons",POWER(Upgrades!$U$11,J46),1)))*POWER(Upgrades!$R$6,E46)*POWER(Upgrades!$R$7,F46)*POWER(Upgrades!$R$8,G46)*POWER(Upgrades!$R$9,H46)*POWER(Upgrades!$R$10,I46)*POWER(Upgrades!$R$11,J46)*POWER(Upgrades!$R$12,K46)</f>
        <v>0</v>
      </c>
      <c r="P46" s="27" t="n">
        <f aca="false">IF(L46=1,0,M46*Parameters!$B$10/60*Parameters!$B$11*10)</f>
        <v>83</v>
      </c>
      <c r="Q46" s="27" t="n">
        <f aca="false">IF(L46=1,0,O46*M46*10)</f>
        <v>0</v>
      </c>
      <c r="R46" s="27" t="n">
        <f aca="false">IF(L46=1,0,N46*10)</f>
        <v>82.5</v>
      </c>
      <c r="S46" s="27" t="n">
        <f aca="false">P46+Q46+R46</f>
        <v>165.5</v>
      </c>
      <c r="T46" s="21" t="n">
        <f aca="false">C46+S46</f>
        <v>468.065986744308</v>
      </c>
      <c r="U46" s="34" t="str">
        <f aca="false">AX46</f>
        <v/>
      </c>
      <c r="V46" s="21" t="n">
        <f aca="false">IF(U46="",0,IF(U46="transition",0,IF(U46="SW",AG46,IF(U46="AB",AH46,IF(U46="SC",AI46,IF(U46="Mag",AJ46,IF(U46="OR",AK46,IF(U46="HP",AL46,IF(U46="FP",AM46,0)))))))))</f>
        <v>0</v>
      </c>
      <c r="W46" s="27" t="n">
        <f aca="false">IF(U46="OR",Upgrades!$F$10,IF(U46="HP",Upgrades!$F$11,IF(U46="transition",-Parameters!$B$18,0)))</f>
        <v>0</v>
      </c>
      <c r="X46" s="21" t="n">
        <f aca="false">T46-V46</f>
        <v>468.065986744308</v>
      </c>
      <c r="Y46" s="30" t="n">
        <f aca="false">M46*Parameters!$B$10/60*Parameters!$B$11+O46*M46+N46</f>
        <v>16.55</v>
      </c>
      <c r="Z46" s="35" t="str">
        <f aca="false">IF(U46="transition","→ Tier 2 (Stellar Neighborhood)",IF(U46="FP","First Photons — light begins, system quickens",IF(U46="HP","Heliopause acquired",IF(U46="OR","Orbital Resonance — passive multiplier active",IF(AND(AO46=1,L46=0,AN46&lt;&gt;1),"Cohesion ready (waiting on completionist upgrades)","")))))</f>
        <v>Cohesion ready (waiting on completionist upgrades)</v>
      </c>
      <c r="AA46" s="27" t="n">
        <f aca="false">(IF(E46=0,0,(Upgrades!$G$6+E46*Upgrades!$H$6)*POWER(Upgrades!$I$6,E46)))*(IF(Upgrades!$T$7="Solar Wind",POWER(Upgrades!$U$7,F46),1)*IF(Upgrades!$T$8="Solar Wind",POWER(Upgrades!$U$8,G46),1)*IF(Upgrades!$T$9="Solar Wind",POWER(Upgrades!$U$9,H46),1)*IF(Upgrades!$T$10="Solar Wind",POWER(Upgrades!$U$10,I46),1)*IF(Upgrades!$T$11="Solar Wind",POWER(Upgrades!$U$11,J46),1)*IF(Upgrades!$T$12="Solar Wind",POWER(Upgrades!$U$12,K46),1))*POWER(Upgrades!$P$6,E46)*POWER(Upgrades!$P$7,F46)*POWER(Upgrades!$P$8,G46)*POWER(Upgrades!$P$9,H46)*POWER(Upgrades!$P$10,I46)*POWER(Upgrades!$P$11,J46)*POWER(Upgrades!$P$12,K46)*60</f>
        <v>60</v>
      </c>
      <c r="AB46" s="27" t="n">
        <f aca="false">(IF(F46=0,0,(Upgrades!$G$7+F46*Upgrades!$H$7)*POWER(Upgrades!$I$7,F46)))*(IF(Upgrades!$T$6="Asteroid Belt",POWER(Upgrades!$U$6,E46),1)*IF(Upgrades!$T$8="Asteroid Belt",POWER(Upgrades!$U$8,G46),1)*IF(Upgrades!$T$9="Asteroid Belt",POWER(Upgrades!$U$9,H46),1)*IF(Upgrades!$T$10="Asteroid Belt",POWER(Upgrades!$U$10,I46),1)*IF(Upgrades!$T$11="Asteroid Belt",POWER(Upgrades!$U$11,J46),1)*IF(Upgrades!$T$12="Asteroid Belt",POWER(Upgrades!$U$12,K46),1))*POWER(Upgrades!$P$6,E46)*POWER(Upgrades!$P$7,F46)*POWER(Upgrades!$P$8,G46)*POWER(Upgrades!$P$9,H46)*POWER(Upgrades!$P$10,I46)*POWER(Upgrades!$P$11,J46)*POWER(Upgrades!$P$12,K46)*60</f>
        <v>135</v>
      </c>
      <c r="AC46" s="27" t="n">
        <f aca="false">(IF(G46=0,0,(Upgrades!$J$8+G46*Upgrades!$K$8)*POWER(Upgrades!$L$8,G46)))*(IF(Upgrades!$T$6="Stellar Coupling",POWER(Upgrades!$U$6,E46),1)*IF(Upgrades!$T$7="Stellar Coupling",POWER(Upgrades!$U$7,F46),1)*IF(Upgrades!$T$9="Stellar Coupling",POWER(Upgrades!$U$9,H46),1)*IF(Upgrades!$T$10="Stellar Coupling",POWER(Upgrades!$U$10,I46),1)*IF(Upgrades!$T$11="Stellar Coupling",POWER(Upgrades!$U$11,J46),1)*IF(Upgrades!$T$12="Stellar Coupling",POWER(Upgrades!$U$12,K46),1))*POWER(Upgrades!$Q$6,E46)*POWER(Upgrades!$Q$7,F46)*POWER(Upgrades!$Q$8,G46)*POWER(Upgrades!$Q$9,H46)*POWER(Upgrades!$Q$10,I46)*POWER(Upgrades!$Q$11,J46)*POWER(Upgrades!$Q$12,K46)*Parameters!$B$10*Parameters!$B$11</f>
        <v>378</v>
      </c>
      <c r="AD46" s="27" t="n">
        <f aca="false">(IF(H46=0,0,(Upgrades!$G$9+H46*Upgrades!$H$9)*POWER(Upgrades!$I$9,H46)))*(IF(Upgrades!$T$6="Magnetosphere",POWER(Upgrades!$U$6,E46),1)*IF(Upgrades!$T$7="Magnetosphere",POWER(Upgrades!$U$7,F46),1)*IF(Upgrades!$T$8="Magnetosphere",POWER(Upgrades!$U$8,G46),1)*IF(Upgrades!$T$10="Magnetosphere",POWER(Upgrades!$U$10,I46),1)*IF(Upgrades!$T$11="Magnetosphere",POWER(Upgrades!$U$11,J46),1)*IF(Upgrades!$T$12="Magnetosphere",POWER(Upgrades!$U$12,K46),1))*POWER(Upgrades!$P$6,E46)*POWER(Upgrades!$P$7,F46)*POWER(Upgrades!$P$8,G46)*POWER(Upgrades!$P$9,H46)*POWER(Upgrades!$P$10,I46)*POWER(Upgrades!$P$11,J46)*POWER(Upgrades!$P$12,K46)*60</f>
        <v>225</v>
      </c>
      <c r="AE46" s="27" t="n">
        <f aca="false">(IF(K46=0,0,(Upgrades!$G$12+K46*Upgrades!$H$12)*POWER(Upgrades!$I$12,K46)))*(IF(Upgrades!$T$6="First Photons",POWER(Upgrades!$U$6,E46),1)*IF(Upgrades!$T$7="First Photons",POWER(Upgrades!$U$7,F46),1)*IF(Upgrades!$T$8="First Photons",POWER(Upgrades!$U$8,G46),1)*IF(Upgrades!$T$9="First Photons",POWER(Upgrades!$U$9,H46),1)*IF(Upgrades!$T$10="First Photons",POWER(Upgrades!$U$10,I46),1)*IF(Upgrades!$T$11="First Photons",POWER(Upgrades!$U$11,J46),1))*POWER(Upgrades!$P$6,E46)*POWER(Upgrades!$P$7,F46)*POWER(Upgrades!$P$8,G46)*POWER(Upgrades!$P$9,H46)*POWER(Upgrades!$P$10,I46)*POWER(Upgrades!$P$11,J46)*POWER(Upgrades!$P$12,K46)*60</f>
        <v>75</v>
      </c>
      <c r="AF46" s="27" t="n">
        <f aca="false">Parameters!$B$9*POWER(Upgrades!$Q$6,E46)*POWER(Upgrades!$Q$7,F46)*POWER(Upgrades!$Q$8,G46)*POWER(Upgrades!$Q$9,H46)*POWER(Upgrades!$Q$10,I46)*POWER(Upgrades!$Q$11,J46)*POWER(Upgrades!$Q$12,K46)*(Parameters!$B$10*Parameters!$B$11+O46*60)</f>
        <v>120</v>
      </c>
      <c r="AG46" s="21" t="n">
        <f aca="false">IF(E46&gt;=Upgrades!$E$6,"",Upgrades!$C$6*POWER(Upgrades!$D$6,E46))</f>
        <v>28.3189041499553</v>
      </c>
      <c r="AH46" s="21" t="n">
        <f aca="false">IF(F46&gt;=Upgrades!$E$7,"",Upgrades!$C$7*POWER(Upgrades!$D$7,F46))</f>
        <v>70.3575258383984</v>
      </c>
      <c r="AI46" s="21" t="n">
        <f aca="false">IF(G46&gt;=Upgrades!$E$8,"",Upgrades!$C$8*POWER(Upgrades!$D$8,G46))</f>
        <v>165.649792</v>
      </c>
      <c r="AJ46" s="21" t="n">
        <f aca="false">IF(H46&gt;=Upgrades!$E$9,"",Upgrades!$C$9*POWER(Upgrades!$D$9,H46))</f>
        <v>640</v>
      </c>
      <c r="AK46" s="21" t="str">
        <f aca="false">IF(I46&gt;=Upgrades!$E$10,"",Upgrades!$C$10*POWER(Upgrades!$D$10,I46))</f>
        <v/>
      </c>
      <c r="AL46" s="21" t="str">
        <f aca="false">IF(J46&gt;=Upgrades!$E$11,"",Upgrades!$C$11*POWER(Upgrades!$D$11,J46))</f>
        <v/>
      </c>
      <c r="AM46" s="21" t="str">
        <f aca="false">IF(K46&gt;=Upgrades!$E$12,"",Upgrades!$C$12*POWER(Upgrades!$D$12,K46))</f>
        <v/>
      </c>
      <c r="AN46" s="26" t="str">
        <f aca="false">IF(AND(D46&gt;=Parameters!$B$18,(H46&gt;=Upgrades!$E$9)*(K46&gt;=Upgrades!$E$12)=1,L46=0),1,"")</f>
        <v/>
      </c>
      <c r="AO46" s="26" t="n">
        <f aca="false">IF(AND(D46&gt;=Parameters!$B$18,L46=0),1,"")</f>
        <v>1</v>
      </c>
      <c r="AP46" s="21" t="n">
        <f aca="false">MIN(IF(ISNUMBER(AK46),AK46,9000000000000000),IF(ISNUMBER(AL46),AL46,9000000000000000),IF(ISNUMBER(AM46),AM46,9000000000000000))</f>
        <v>9000000000000000</v>
      </c>
      <c r="AQ46" s="21" t="n">
        <f aca="false">MIN(IF(ISNUMBER(AG46),AG46,9000000000000000),IF(ISNUMBER(AH46),AH46,9000000000000000),IF(ISNUMBER(AI46),AI46,9000000000000000),IF(ISNUMBER(AJ46),AJ46,9000000000000000))</f>
        <v>28.3189041499553</v>
      </c>
      <c r="AR46" s="32" t="b">
        <f aca="false">IF(AW46&gt;Parameters!$B$21*(MAX(IF(AND(NOT(AND(AO46=1,AN46&lt;&gt;1)),ISNUMBER(AG46),AG46&lt;=T46),AS46,0),IF(AND(NOT(AND(AO46=1,AN46&lt;&gt;1)),ISNUMBER(AH46),AH46&lt;=T46),AT46,0),IF(AND(NOT(AND(AO46=1,AN46&lt;&gt;1)),ISNUMBER(AI46),AI46&lt;=T46),AU46,0),IF(AND(ISNUMBER(AJ46),AJ46&lt;=T46),AV46,0))),TRUE(),FALSE())</f>
        <v>1</v>
      </c>
      <c r="AS46" s="33" t="n">
        <f aca="false">IFERROR(Upgrades!$H$6*(POWER(Upgrades!$P$6,E46)*POWER(Upgrades!$P$7,F46)*POWER(Upgrades!$P$8,G46)*POWER(Upgrades!$P$9,H46)*POWER(Upgrades!$P$10,I46)*POWER(Upgrades!$P$11,J46)*POWER(Upgrades!$P$12,K46))*(IF(Upgrades!$T$7="Solar Wind",POWER(Upgrades!$U$7,F46),1)*IF(Upgrades!$T$8="Solar Wind",POWER(Upgrades!$U$8,G46),1)*IF(Upgrades!$T$9="Solar Wind",POWER(Upgrades!$U$9,H46),1)*IF(Upgrades!$T$10="Solar Wind",POWER(Upgrades!$U$10,I46),1)*IF(Upgrades!$T$11="Solar Wind",POWER(Upgrades!$U$11,J46),1)*IF(Upgrades!$T$12="Solar Wind",POWER(Upgrades!$U$12,K46),1))/AG46,0)</f>
        <v>0.00353121008745523</v>
      </c>
      <c r="AT46" s="33" t="n">
        <f aca="false">IFERROR(Upgrades!$H$7*(POWER(Upgrades!$P$6,E46)*POWER(Upgrades!$P$7,F46)*POWER(Upgrades!$P$8,G46)*POWER(Upgrades!$P$9,H46)*POWER(Upgrades!$P$10,I46)*POWER(Upgrades!$P$11,J46)*POWER(Upgrades!$P$12,K46))*(IF(Upgrades!$T$6="Asteroid Belt",POWER(Upgrades!$U$6,E46),1)*IF(Upgrades!$T$8="Asteroid Belt",POWER(Upgrades!$U$8,G46),1)*IF(Upgrades!$T$9="Asteroid Belt",POWER(Upgrades!$U$9,H46),1)*IF(Upgrades!$T$10="Asteroid Belt",POWER(Upgrades!$U$10,I46),1)*IF(Upgrades!$T$11="Asteroid Belt",POWER(Upgrades!$U$11,J46),1)*IF(Upgrades!$T$12="Asteroid Belt",POWER(Upgrades!$U$12,K46),1))/AH46,0)</f>
        <v>0.00355328015050182</v>
      </c>
      <c r="AU46" s="33" t="n">
        <f aca="false">IFERROR(Upgrades!$K$8*(POWER(Upgrades!$Q$6,E46)*POWER(Upgrades!$Q$7,F46)*POWER(Upgrades!$Q$8,G46)*POWER(Upgrades!$Q$9,H46)*POWER(Upgrades!$Q$10,I46)*POWER(Upgrades!$Q$11,J46)*POWER(Upgrades!$Q$12,K46))*(IF(Upgrades!$T$6="Stellar Coupling",POWER(Upgrades!$U$6,E46),1)*IF(Upgrades!$T$7="Stellar Coupling",POWER(Upgrades!$U$7,F46),1)*IF(Upgrades!$T$9="Stellar Coupling",POWER(Upgrades!$U$9,H46),1)*IF(Upgrades!$T$10="Stellar Coupling",POWER(Upgrades!$U$10,I46),1)*IF(Upgrades!$T$11="Stellar Coupling",POWER(Upgrades!$U$11,J46),1)*IF(Upgrades!$T$12="Stellar Coupling",POWER(Upgrades!$U$12,K46),1))*Parameters!$B$10*Parameters!$B$11/60/AI46,0)</f>
        <v>0.00633867382097287</v>
      </c>
      <c r="AV46" s="33" t="n">
        <f aca="false">IFERROR(Upgrades!$H$9*(POWER(Upgrades!$P$6,E46)*POWER(Upgrades!$P$7,F46)*POWER(Upgrades!$P$8,G46)*POWER(Upgrades!$P$9,H46)*POWER(Upgrades!$P$10,I46)*POWER(Upgrades!$P$11,J46)*POWER(Upgrades!$P$12,K46))*(IF(Upgrades!$T$6="Magnetosphere",POWER(Upgrades!$U$6,E46),1)*IF(Upgrades!$T$7="Magnetosphere",POWER(Upgrades!$U$7,F46),1)*IF(Upgrades!$T$8="Magnetosphere",POWER(Upgrades!$U$8,G46),1)*IF(Upgrades!$T$10="Magnetosphere",POWER(Upgrades!$U$10,I46),1)*IF(Upgrades!$T$11="Magnetosphere",POWER(Upgrades!$U$11,J46),1)*IF(Upgrades!$T$12="Magnetosphere",POWER(Upgrades!$U$12,K46),1))/AJ46,0)</f>
        <v>0.001953125</v>
      </c>
      <c r="AW46" s="33" t="n">
        <f aca="false">MAX(IF(I46&gt;0,0,IFERROR(0.25*N46/Upgrades!$C$10,0)),IF(J46&gt;0,0,IFERROR(0.5*((IF(G46=0,0,(Upgrades!$J$8+G46*Upgrades!$K$8)*POWER(Upgrades!$L$8,G46)))*(IF(Upgrades!$T$6="Stellar Coupling",POWER(Upgrades!$U$6,E46),1)*IF(Upgrades!$T$7="Stellar Coupling",POWER(Upgrades!$U$7,F46),1)*IF(Upgrades!$T$9="Stellar Coupling",POWER(Upgrades!$U$9,H46),1)*IF(Upgrades!$T$10="Stellar Coupling",POWER(Upgrades!$U$10,I46),1)*IF(Upgrades!$T$11="Stellar Coupling",POWER(Upgrades!$U$11,J46),1)*IF(Upgrades!$T$12="Stellar Coupling",POWER(Upgrades!$U$12,K46),1))*(POWER(Upgrades!$Q$6,E46)*POWER(Upgrades!$Q$7,F46)*POWER(Upgrades!$Q$8,G46)*POWER(Upgrades!$Q$9,H46)*POWER(Upgrades!$Q$10,I46)*POWER(Upgrades!$Q$11,J46)*POWER(Upgrades!$Q$12,K46))*Parameters!$B$10*Parameters!$B$11/60)/Upgrades!$C$11,0)),IF(K46&gt;0,0,IFERROR((1*(POWER(Upgrades!$P$6,E46)*POWER(Upgrades!$P$7,F46)*POWER(Upgrades!$P$8,G46)*POWER(Upgrades!$P$9,H46)*POWER(Upgrades!$P$10,I46)*POWER(Upgrades!$P$11,J46)*POWER(Upgrades!$P$12,K46))+0.2*M46*Parameters!$B$10*Parameters!$B$11/60)/Upgrades!$C$12,0)),IF(AND(ISNUMBER(AG46),AG46&gt;T46),AS46,0),IF(AND(ISNUMBER(AH46),AH46&gt;T46),AT46,0),IF(AND(ISNUMBER(AI46),AI46&gt;T46),AU46,0),IF(AND(ISNUMBER(AJ46),AJ46&gt;T46),AV46,0))</f>
        <v>0.001953125</v>
      </c>
      <c r="AX46" s="29" t="str">
        <f aca="false">IF(AN46=1,"transition",IF(MIN(IF(AND(I46=0,ISNUMBER(AK46),AK46&lt;=T46),AK46,9000000000000000),IF(AND(J46=0,ISNUMBER(AL46),AL46&lt;=T46),AL46,9000000000000000),IF(AND(K46=0,ISNUMBER(AM46),AM46&lt;=T46),AM46,9000000000000000))&lt;9000000000000000,IF(AND(AND(I46=0,ISNUMBER(AK46),AK46&lt;=T46),AK46=MIN(IF(AND(I46=0,ISNUMBER(AK46),AK46&lt;=T46),AK46,9000000000000000),IF(AND(J46=0,ISNUMBER(AL46),AL46&lt;=T46),AL46,9000000000000000),IF(AND(K46=0,ISNUMBER(AM46),AM46&lt;=T46),AM46,9000000000000000))),"OR",IF(AND(AND(J46=0,ISNUMBER(AL46),AL46&lt;=T46),AL46=MIN(IF(AND(I46=0,ISNUMBER(AK46),AK46&lt;=T46),AK46,9000000000000000),IF(AND(J46=0,ISNUMBER(AL46),AL46&lt;=T46),AL46,9000000000000000),IF(AND(K46=0,ISNUMBER(AM46),AM46&lt;=T46),AM46,9000000000000000))),"HP","FP")),IF(AR46=TRUE(),"",IF(MAX(IF(AND(NOT(AND(AO46=1,AN46&lt;&gt;1)),ISNUMBER(AG46),AG46&lt;=T46),AS46,0),IF(AND(NOT(AND(AO46=1,AN46&lt;&gt;1)),ISNUMBER(AH46),AH46&lt;=T46),AT46,0),IF(AND(NOT(AND(AO46=1,AN46&lt;&gt;1)),ISNUMBER(AI46),AI46&lt;=T46),AU46,0),IF(AND(ISNUMBER(AJ46),AJ46&lt;=T46),AV46,0))&lt;=0,"",IF(AND(IF(AND(NOT(AND(AO46=1,AN46&lt;&gt;1)),ISNUMBER(AG46),AG46&lt;=T46),AS46,0)&gt;0,IF(AND(NOT(AND(AO46=1,AN46&lt;&gt;1)),ISNUMBER(AG46),AG46&lt;=T46),AS46,0)=MAX(IF(AND(NOT(AND(AO46=1,AN46&lt;&gt;1)),ISNUMBER(AG46),AG46&lt;=T46),AS46,0),IF(AND(NOT(AND(AO46=1,AN46&lt;&gt;1)),ISNUMBER(AH46),AH46&lt;=T46),AT46,0),IF(AND(NOT(AND(AO46=1,AN46&lt;&gt;1)),ISNUMBER(AI46),AI46&lt;=T46),AU46,0),IF(AND(ISNUMBER(AJ46),AJ46&lt;=T46),AV46,0))),"SW",IF(AND(IF(AND(NOT(AND(AO46=1,AN46&lt;&gt;1)),ISNUMBER(AH46),AH46&lt;=T46),AT46,0)&gt;0,IF(AND(NOT(AND(AO46=1,AN46&lt;&gt;1)),ISNUMBER(AH46),AH46&lt;=T46),AT46,0)=MAX(IF(AND(NOT(AND(AO46=1,AN46&lt;&gt;1)),ISNUMBER(AG46),AG46&lt;=T46),AS46,0),IF(AND(NOT(AND(AO46=1,AN46&lt;&gt;1)),ISNUMBER(AH46),AH46&lt;=T46),AT46,0),IF(AND(NOT(AND(AO46=1,AN46&lt;&gt;1)),ISNUMBER(AI46),AI46&lt;=T46),AU46,0),IF(AND(ISNUMBER(AJ46),AJ46&lt;=T46),AV46,0))),"AB",IF(AND(IF(AND(NOT(AND(AO46=1,AN46&lt;&gt;1)),ISNUMBER(AI46),AI46&lt;=T46),AU46,0)&gt;0,IF(AND(NOT(AND(AO46=1,AN46&lt;&gt;1)),ISNUMBER(AI46),AI46&lt;=T46),AU46,0)=MAX(IF(AND(NOT(AND(AO46=1,AN46&lt;&gt;1)),ISNUMBER(AG46),AG46&lt;=T46),AS46,0),IF(AND(NOT(AND(AO46=1,AN46&lt;&gt;1)),ISNUMBER(AH46),AH46&lt;=T46),AT46,0),IF(AND(NOT(AND(AO46=1,AN46&lt;&gt;1)),ISNUMBER(AI46),AI46&lt;=T46),AU46,0),IF(AND(ISNUMBER(AJ46),AJ46&lt;=T46),AV46,0))),"SC","Mag")))))))</f>
        <v/>
      </c>
    </row>
    <row r="47" customFormat="false" ht="15" hidden="false" customHeight="false" outlineLevel="0" collapsed="false">
      <c r="A47" s="26" t="n">
        <v>42</v>
      </c>
      <c r="B47" s="27" t="n">
        <f aca="false">A47*10/60</f>
        <v>7</v>
      </c>
      <c r="C47" s="21" t="n">
        <f aca="false">X46</f>
        <v>468.065986744308</v>
      </c>
      <c r="D47" s="27" t="n">
        <f aca="false">D46+W46</f>
        <v>1</v>
      </c>
      <c r="E47" s="26" t="n">
        <f aca="false">E46+IF(U46="SW",1,0)</f>
        <v>10</v>
      </c>
      <c r="F47" s="26" t="n">
        <f aca="false">F46+IF(U46="AB",1,0)</f>
        <v>9</v>
      </c>
      <c r="G47" s="26" t="n">
        <f aca="false">G46+IF(U46="SC",1,0)</f>
        <v>6</v>
      </c>
      <c r="H47" s="26" t="n">
        <f aca="false">H46+IF(U46="Mag",1,0)</f>
        <v>3</v>
      </c>
      <c r="I47" s="26" t="n">
        <f aca="false">MAX(I46,IF(U46="OR",1,0))</f>
        <v>1</v>
      </c>
      <c r="J47" s="26" t="n">
        <f aca="false">MAX(J46,IF(U46="HP",1,0))</f>
        <v>1</v>
      </c>
      <c r="K47" s="26" t="n">
        <f aca="false">MAX(K46,IF(U46="FP",1,0))</f>
        <v>1</v>
      </c>
      <c r="L47" s="26" t="n">
        <f aca="false">MAX(L46,IF(U46="transition",1,0))</f>
        <v>0</v>
      </c>
      <c r="M47" s="28" t="n">
        <f aca="false">(Parameters!$B$9+(IF(E47=0,0,(Upgrades!$J$6+E47*Upgrades!$K$6)*POWER(Upgrades!$L$6,E47)))*(IF(Upgrades!$T$7="Solar Wind",POWER(Upgrades!$U$7,F47),1)*IF(Upgrades!$T$8="Solar Wind",POWER(Upgrades!$U$8,G47),1)*IF(Upgrades!$T$9="Solar Wind",POWER(Upgrades!$U$9,H47),1)*IF(Upgrades!$T$10="Solar Wind",POWER(Upgrades!$U$10,I47),1)*IF(Upgrades!$T$11="Solar Wind",POWER(Upgrades!$U$11,J47),1)*IF(Upgrades!$T$12="Solar Wind",POWER(Upgrades!$U$12,K47),1))+(IF(F47=0,0,(Upgrades!$J$7+F47*Upgrades!$K$7)*POWER(Upgrades!$L$7,F47)))*(IF(Upgrades!$T$6="Asteroid Belt",POWER(Upgrades!$U$6,E47),1)*IF(Upgrades!$T$8="Asteroid Belt",POWER(Upgrades!$U$8,G47),1)*IF(Upgrades!$T$9="Asteroid Belt",POWER(Upgrades!$U$9,H47),1)*IF(Upgrades!$T$10="Asteroid Belt",POWER(Upgrades!$U$10,I47),1)*IF(Upgrades!$T$11="Asteroid Belt",POWER(Upgrades!$U$11,J47),1)*IF(Upgrades!$T$12="Asteroid Belt",POWER(Upgrades!$U$12,K47),1))+(IF(G47=0,0,(Upgrades!$J$8+G47*Upgrades!$K$8)*POWER(Upgrades!$L$8,G47)))*(IF(Upgrades!$T$6="Stellar Coupling",POWER(Upgrades!$U$6,E47),1)*IF(Upgrades!$T$7="Stellar Coupling",POWER(Upgrades!$U$7,F47),1)*IF(Upgrades!$T$9="Stellar Coupling",POWER(Upgrades!$U$9,H47),1)*IF(Upgrades!$T$10="Stellar Coupling",POWER(Upgrades!$U$10,I47),1)*IF(Upgrades!$T$11="Stellar Coupling",POWER(Upgrades!$U$11,J47),1)*IF(Upgrades!$T$12="Stellar Coupling",POWER(Upgrades!$U$12,K47),1))+(IF(H47=0,0,(Upgrades!$J$9+H47*Upgrades!$K$9)*POWER(Upgrades!$L$9,H47)))*(IF(Upgrades!$T$6="Magnetosphere",POWER(Upgrades!$U$6,E47),1)*IF(Upgrades!$T$7="Magnetosphere",POWER(Upgrades!$U$7,F47),1)*IF(Upgrades!$T$8="Magnetosphere",POWER(Upgrades!$U$8,G47),1)*IF(Upgrades!$T$10="Magnetosphere",POWER(Upgrades!$U$10,I47),1)*IF(Upgrades!$T$11="Magnetosphere",POWER(Upgrades!$U$11,J47),1)*IF(Upgrades!$T$12="Magnetosphere",POWER(Upgrades!$U$12,K47),1))+(IF(I47=0,0,(Upgrades!$J$10+I47*Upgrades!$K$10)*POWER(Upgrades!$L$10,I47)))*(IF(Upgrades!$T$6="Orbital Resonance",POWER(Upgrades!$U$6,E47),1)*IF(Upgrades!$T$7="Orbital Resonance",POWER(Upgrades!$U$7,F47),1)*IF(Upgrades!$T$8="Orbital Resonance",POWER(Upgrades!$U$8,G47),1)*IF(Upgrades!$T$9="Orbital Resonance",POWER(Upgrades!$U$9,H47),1)*IF(Upgrades!$T$11="Orbital Resonance",POWER(Upgrades!$U$11,J47),1)*IF(Upgrades!$T$12="Orbital Resonance",POWER(Upgrades!$U$12,K47),1))+(IF(J47=0,0,(Upgrades!$J$11+J47*Upgrades!$K$11)*POWER(Upgrades!$L$11,J47)))*(IF(Upgrades!$T$6="Heliopause",POWER(Upgrades!$U$6,E47),1)*IF(Upgrades!$T$7="Heliopause",POWER(Upgrades!$U$7,F47),1)*IF(Upgrades!$T$8="Heliopause",POWER(Upgrades!$U$8,G47),1)*IF(Upgrades!$T$9="Heliopause",POWER(Upgrades!$U$9,H47),1)*IF(Upgrades!$T$10="Heliopause",POWER(Upgrades!$U$10,I47),1)*IF(Upgrades!$T$12="Heliopause",POWER(Upgrades!$U$12,K47),1))+(IF(K47=0,0,(Upgrades!$J$12+K47*Upgrades!$K$12)*POWER(Upgrades!$L$12,K47)))*(IF(Upgrades!$T$6="First Photons",POWER(Upgrades!$U$6,E47),1)*IF(Upgrades!$T$7="First Photons",POWER(Upgrades!$U$7,F47),1)*IF(Upgrades!$T$8="First Photons",POWER(Upgrades!$U$8,G47),1)*IF(Upgrades!$T$9="First Photons",POWER(Upgrades!$U$9,H47),1)*IF(Upgrades!$T$10="First Photons",POWER(Upgrades!$U$10,I47),1)*IF(Upgrades!$T$11="First Photons",POWER(Upgrades!$U$11,J47),1)))*POWER(Upgrades!$Q$6,E47)*POWER(Upgrades!$Q$7,F47)*POWER(Upgrades!$Q$8,G47)*POWER(Upgrades!$Q$9,H47)*POWER(Upgrades!$Q$10,I47)*POWER(Upgrades!$Q$11,J47)*POWER(Upgrades!$Q$12,K47)</f>
        <v>4.98</v>
      </c>
      <c r="N47" s="28" t="n">
        <f aca="false">((IF(E47=0,0,(Upgrades!$G$6+E47*Upgrades!$H$6)*POWER(Upgrades!$I$6,E47)))*(IF(Upgrades!$T$7="Solar Wind",POWER(Upgrades!$U$7,F47),1)*IF(Upgrades!$T$8="Solar Wind",POWER(Upgrades!$U$8,G47),1)*IF(Upgrades!$T$9="Solar Wind",POWER(Upgrades!$U$9,H47),1)*IF(Upgrades!$T$10="Solar Wind",POWER(Upgrades!$U$10,I47),1)*IF(Upgrades!$T$11="Solar Wind",POWER(Upgrades!$U$11,J47),1)*IF(Upgrades!$T$12="Solar Wind",POWER(Upgrades!$U$12,K47),1))+(IF(F47=0,0,(Upgrades!$G$7+F47*Upgrades!$H$7)*POWER(Upgrades!$I$7,F47)))*(IF(Upgrades!$T$6="Asteroid Belt",POWER(Upgrades!$U$6,E47),1)*IF(Upgrades!$T$8="Asteroid Belt",POWER(Upgrades!$U$8,G47),1)*IF(Upgrades!$T$9="Asteroid Belt",POWER(Upgrades!$U$9,H47),1)*IF(Upgrades!$T$10="Asteroid Belt",POWER(Upgrades!$U$10,I47),1)*IF(Upgrades!$T$11="Asteroid Belt",POWER(Upgrades!$U$11,J47),1)*IF(Upgrades!$T$12="Asteroid Belt",POWER(Upgrades!$U$12,K47),1))+(IF(G47=0,0,(Upgrades!$G$8+G47*Upgrades!$H$8)*POWER(Upgrades!$I$8,G47)))*(IF(Upgrades!$T$6="Stellar Coupling",POWER(Upgrades!$U$6,E47),1)*IF(Upgrades!$T$7="Stellar Coupling",POWER(Upgrades!$U$7,F47),1)*IF(Upgrades!$T$9="Stellar Coupling",POWER(Upgrades!$U$9,H47),1)*IF(Upgrades!$T$10="Stellar Coupling",POWER(Upgrades!$U$10,I47),1)*IF(Upgrades!$T$11="Stellar Coupling",POWER(Upgrades!$U$11,J47),1)*IF(Upgrades!$T$12="Stellar Coupling",POWER(Upgrades!$U$12,K47),1))+(IF(H47=0,0,(Upgrades!$G$9+H47*Upgrades!$H$9)*POWER(Upgrades!$I$9,H47)))*(IF(Upgrades!$T$6="Magnetosphere",POWER(Upgrades!$U$6,E47),1)*IF(Upgrades!$T$7="Magnetosphere",POWER(Upgrades!$U$7,F47),1)*IF(Upgrades!$T$8="Magnetosphere",POWER(Upgrades!$U$8,G47),1)*IF(Upgrades!$T$10="Magnetosphere",POWER(Upgrades!$U$10,I47),1)*IF(Upgrades!$T$11="Magnetosphere",POWER(Upgrades!$U$11,J47),1)*IF(Upgrades!$T$12="Magnetosphere",POWER(Upgrades!$U$12,K47),1))+(IF(I47=0,0,(Upgrades!$G$10+I47*Upgrades!$H$10)*POWER(Upgrades!$I$10,I47)))*(IF(Upgrades!$T$6="Orbital Resonance",POWER(Upgrades!$U$6,E47),1)*IF(Upgrades!$T$7="Orbital Resonance",POWER(Upgrades!$U$7,F47),1)*IF(Upgrades!$T$8="Orbital Resonance",POWER(Upgrades!$U$8,G47),1)*IF(Upgrades!$T$9="Orbital Resonance",POWER(Upgrades!$U$9,H47),1)*IF(Upgrades!$T$11="Orbital Resonance",POWER(Upgrades!$U$11,J47),1)*IF(Upgrades!$T$12="Orbital Resonance",POWER(Upgrades!$U$12,K47),1))+(IF(J47=0,0,(Upgrades!$G$11+J47*Upgrades!$H$11)*POWER(Upgrades!$I$11,J47)))*(IF(Upgrades!$T$6="Heliopause",POWER(Upgrades!$U$6,E47),1)*IF(Upgrades!$T$7="Heliopause",POWER(Upgrades!$U$7,F47),1)*IF(Upgrades!$T$8="Heliopause",POWER(Upgrades!$U$8,G47),1)*IF(Upgrades!$T$9="Heliopause",POWER(Upgrades!$U$9,H47),1)*IF(Upgrades!$T$10="Heliopause",POWER(Upgrades!$U$10,I47),1)*IF(Upgrades!$T$12="Heliopause",POWER(Upgrades!$U$12,K47),1))+(IF(K47=0,0,(Upgrades!$G$12+K47*Upgrades!$H$12)*POWER(Upgrades!$I$12,K47)))*(IF(Upgrades!$T$6="First Photons",POWER(Upgrades!$U$6,E47),1)*IF(Upgrades!$T$7="First Photons",POWER(Upgrades!$U$7,F47),1)*IF(Upgrades!$T$8="First Photons",POWER(Upgrades!$U$8,G47),1)*IF(Upgrades!$T$9="First Photons",POWER(Upgrades!$U$9,H47),1)*IF(Upgrades!$T$10="First Photons",POWER(Upgrades!$U$10,I47),1)*IF(Upgrades!$T$11="First Photons",POWER(Upgrades!$U$11,J47),1)))*POWER(Upgrades!$P$6,E47)*POWER(Upgrades!$P$7,F47)*POWER(Upgrades!$P$8,G47)*POWER(Upgrades!$P$9,H47)*POWER(Upgrades!$P$10,I47)*POWER(Upgrades!$P$11,J47)*POWER(Upgrades!$P$12,K47)</f>
        <v>8.25</v>
      </c>
      <c r="O47" s="28" t="n">
        <f aca="false">((IF(E47=0,0,(Upgrades!$M$6+E47*Upgrades!$N$6)*POWER(Upgrades!$O$6,E47)))*(IF(Upgrades!$T$7="Solar Wind",POWER(Upgrades!$U$7,F47),1)*IF(Upgrades!$T$8="Solar Wind",POWER(Upgrades!$U$8,G47),1)*IF(Upgrades!$T$9="Solar Wind",POWER(Upgrades!$U$9,H47),1)*IF(Upgrades!$T$10="Solar Wind",POWER(Upgrades!$U$10,I47),1)*IF(Upgrades!$T$11="Solar Wind",POWER(Upgrades!$U$11,J47),1)*IF(Upgrades!$T$12="Solar Wind",POWER(Upgrades!$U$12,K47),1))+(IF(F47=0,0,(Upgrades!$M$7+F47*Upgrades!$N$7)*POWER(Upgrades!$O$7,F47)))*(IF(Upgrades!$T$6="Asteroid Belt",POWER(Upgrades!$U$6,E47),1)*IF(Upgrades!$T$8="Asteroid Belt",POWER(Upgrades!$U$8,G47),1)*IF(Upgrades!$T$9="Asteroid Belt",POWER(Upgrades!$U$9,H47),1)*IF(Upgrades!$T$10="Asteroid Belt",POWER(Upgrades!$U$10,I47),1)*IF(Upgrades!$T$11="Asteroid Belt",POWER(Upgrades!$U$11,J47),1)*IF(Upgrades!$T$12="Asteroid Belt",POWER(Upgrades!$U$12,K47),1))+(IF(G47=0,0,(Upgrades!$M$8+G47*Upgrades!$N$8)*POWER(Upgrades!$O$8,G47)))*(IF(Upgrades!$T$6="Stellar Coupling",POWER(Upgrades!$U$6,E47),1)*IF(Upgrades!$T$7="Stellar Coupling",POWER(Upgrades!$U$7,F47),1)*IF(Upgrades!$T$9="Stellar Coupling",POWER(Upgrades!$U$9,H47),1)*IF(Upgrades!$T$10="Stellar Coupling",POWER(Upgrades!$U$10,I47),1)*IF(Upgrades!$T$11="Stellar Coupling",POWER(Upgrades!$U$11,J47),1)*IF(Upgrades!$T$12="Stellar Coupling",POWER(Upgrades!$U$12,K47),1))+(IF(H47=0,0,(Upgrades!$M$9+H47*Upgrades!$N$9)*POWER(Upgrades!$O$9,H47)))*(IF(Upgrades!$T$6="Magnetosphere",POWER(Upgrades!$U$6,E47),1)*IF(Upgrades!$T$7="Magnetosphere",POWER(Upgrades!$U$7,F47),1)*IF(Upgrades!$T$8="Magnetosphere",POWER(Upgrades!$U$8,G47),1)*IF(Upgrades!$T$10="Magnetosphere",POWER(Upgrades!$U$10,I47),1)*IF(Upgrades!$T$11="Magnetosphere",POWER(Upgrades!$U$11,J47),1)*IF(Upgrades!$T$12="Magnetosphere",POWER(Upgrades!$U$12,K47),1))+(IF(I47=0,0,(Upgrades!$M$10+I47*Upgrades!$N$10)*POWER(Upgrades!$O$10,I47)))*(IF(Upgrades!$T$6="Orbital Resonance",POWER(Upgrades!$U$6,E47),1)*IF(Upgrades!$T$7="Orbital Resonance",POWER(Upgrades!$U$7,F47),1)*IF(Upgrades!$T$8="Orbital Resonance",POWER(Upgrades!$U$8,G47),1)*IF(Upgrades!$T$9="Orbital Resonance",POWER(Upgrades!$U$9,H47),1)*IF(Upgrades!$T$11="Orbital Resonance",POWER(Upgrades!$U$11,J47),1)*IF(Upgrades!$T$12="Orbital Resonance",POWER(Upgrades!$U$12,K47),1))+(IF(J47=0,0,(Upgrades!$M$11+J47*Upgrades!$N$11)*POWER(Upgrades!$O$11,J47)))*(IF(Upgrades!$T$6="Heliopause",POWER(Upgrades!$U$6,E47),1)*IF(Upgrades!$T$7="Heliopause",POWER(Upgrades!$U$7,F47),1)*IF(Upgrades!$T$8="Heliopause",POWER(Upgrades!$U$8,G47),1)*IF(Upgrades!$T$9="Heliopause",POWER(Upgrades!$U$9,H47),1)*IF(Upgrades!$T$10="Heliopause",POWER(Upgrades!$U$10,I47),1)*IF(Upgrades!$T$12="Heliopause",POWER(Upgrades!$U$12,K47),1))+(IF(K47=0,0,(Upgrades!$M$12+K47*Upgrades!$N$12)*POWER(Upgrades!$O$12,K47)))*(IF(Upgrades!$T$6="First Photons",POWER(Upgrades!$U$6,E47),1)*IF(Upgrades!$T$7="First Photons",POWER(Upgrades!$U$7,F47),1)*IF(Upgrades!$T$8="First Photons",POWER(Upgrades!$U$8,G47),1)*IF(Upgrades!$T$9="First Photons",POWER(Upgrades!$U$9,H47),1)*IF(Upgrades!$T$10="First Photons",POWER(Upgrades!$U$10,I47),1)*IF(Upgrades!$T$11="First Photons",POWER(Upgrades!$U$11,J47),1)))*POWER(Upgrades!$R$6,E47)*POWER(Upgrades!$R$7,F47)*POWER(Upgrades!$R$8,G47)*POWER(Upgrades!$R$9,H47)*POWER(Upgrades!$R$10,I47)*POWER(Upgrades!$R$11,J47)*POWER(Upgrades!$R$12,K47)</f>
        <v>0</v>
      </c>
      <c r="P47" s="27" t="n">
        <f aca="false">IF(L47=1,0,M47*Parameters!$B$10/60*Parameters!$B$11*10)</f>
        <v>83</v>
      </c>
      <c r="Q47" s="27" t="n">
        <f aca="false">IF(L47=1,0,O47*M47*10)</f>
        <v>0</v>
      </c>
      <c r="R47" s="27" t="n">
        <f aca="false">IF(L47=1,0,N47*10)</f>
        <v>82.5</v>
      </c>
      <c r="S47" s="27" t="n">
        <f aca="false">P47+Q47+R47</f>
        <v>165.5</v>
      </c>
      <c r="T47" s="21" t="n">
        <f aca="false">C47+S47</f>
        <v>633.565986744308</v>
      </c>
      <c r="U47" s="34" t="str">
        <f aca="false">AX47</f>
        <v/>
      </c>
      <c r="V47" s="21" t="n">
        <f aca="false">IF(U47="",0,IF(U47="transition",0,IF(U47="SW",AG47,IF(U47="AB",AH47,IF(U47="SC",AI47,IF(U47="Mag",AJ47,IF(U47="OR",AK47,IF(U47="HP",AL47,IF(U47="FP",AM47,0)))))))))</f>
        <v>0</v>
      </c>
      <c r="W47" s="27" t="n">
        <f aca="false">IF(U47="OR",Upgrades!$F$10,IF(U47="HP",Upgrades!$F$11,IF(U47="transition",-Parameters!$B$18,0)))</f>
        <v>0</v>
      </c>
      <c r="X47" s="21" t="n">
        <f aca="false">T47-V47</f>
        <v>633.565986744308</v>
      </c>
      <c r="Y47" s="30" t="n">
        <f aca="false">M47*Parameters!$B$10/60*Parameters!$B$11+O47*M47+N47</f>
        <v>16.55</v>
      </c>
      <c r="Z47" s="35" t="str">
        <f aca="false">IF(U47="transition","→ Tier 2 (Stellar Neighborhood)",IF(U47="FP","First Photons — light begins, system quickens",IF(U47="HP","Heliopause acquired",IF(U47="OR","Orbital Resonance — passive multiplier active",IF(AND(AO47=1,L47=0,AN47&lt;&gt;1),"Cohesion ready (waiting on completionist upgrades)","")))))</f>
        <v>Cohesion ready (waiting on completionist upgrades)</v>
      </c>
      <c r="AA47" s="27" t="n">
        <f aca="false">(IF(E47=0,0,(Upgrades!$G$6+E47*Upgrades!$H$6)*POWER(Upgrades!$I$6,E47)))*(IF(Upgrades!$T$7="Solar Wind",POWER(Upgrades!$U$7,F47),1)*IF(Upgrades!$T$8="Solar Wind",POWER(Upgrades!$U$8,G47),1)*IF(Upgrades!$T$9="Solar Wind",POWER(Upgrades!$U$9,H47),1)*IF(Upgrades!$T$10="Solar Wind",POWER(Upgrades!$U$10,I47),1)*IF(Upgrades!$T$11="Solar Wind",POWER(Upgrades!$U$11,J47),1)*IF(Upgrades!$T$12="Solar Wind",POWER(Upgrades!$U$12,K47),1))*POWER(Upgrades!$P$6,E47)*POWER(Upgrades!$P$7,F47)*POWER(Upgrades!$P$8,G47)*POWER(Upgrades!$P$9,H47)*POWER(Upgrades!$P$10,I47)*POWER(Upgrades!$P$11,J47)*POWER(Upgrades!$P$12,K47)*60</f>
        <v>60</v>
      </c>
      <c r="AB47" s="27" t="n">
        <f aca="false">(IF(F47=0,0,(Upgrades!$G$7+F47*Upgrades!$H$7)*POWER(Upgrades!$I$7,F47)))*(IF(Upgrades!$T$6="Asteroid Belt",POWER(Upgrades!$U$6,E47),1)*IF(Upgrades!$T$8="Asteroid Belt",POWER(Upgrades!$U$8,G47),1)*IF(Upgrades!$T$9="Asteroid Belt",POWER(Upgrades!$U$9,H47),1)*IF(Upgrades!$T$10="Asteroid Belt",POWER(Upgrades!$U$10,I47),1)*IF(Upgrades!$T$11="Asteroid Belt",POWER(Upgrades!$U$11,J47),1)*IF(Upgrades!$T$12="Asteroid Belt",POWER(Upgrades!$U$12,K47),1))*POWER(Upgrades!$P$6,E47)*POWER(Upgrades!$P$7,F47)*POWER(Upgrades!$P$8,G47)*POWER(Upgrades!$P$9,H47)*POWER(Upgrades!$P$10,I47)*POWER(Upgrades!$P$11,J47)*POWER(Upgrades!$P$12,K47)*60</f>
        <v>135</v>
      </c>
      <c r="AC47" s="27" t="n">
        <f aca="false">(IF(G47=0,0,(Upgrades!$J$8+G47*Upgrades!$K$8)*POWER(Upgrades!$L$8,G47)))*(IF(Upgrades!$T$6="Stellar Coupling",POWER(Upgrades!$U$6,E47),1)*IF(Upgrades!$T$7="Stellar Coupling",POWER(Upgrades!$U$7,F47),1)*IF(Upgrades!$T$9="Stellar Coupling",POWER(Upgrades!$U$9,H47),1)*IF(Upgrades!$T$10="Stellar Coupling",POWER(Upgrades!$U$10,I47),1)*IF(Upgrades!$T$11="Stellar Coupling",POWER(Upgrades!$U$11,J47),1)*IF(Upgrades!$T$12="Stellar Coupling",POWER(Upgrades!$U$12,K47),1))*POWER(Upgrades!$Q$6,E47)*POWER(Upgrades!$Q$7,F47)*POWER(Upgrades!$Q$8,G47)*POWER(Upgrades!$Q$9,H47)*POWER(Upgrades!$Q$10,I47)*POWER(Upgrades!$Q$11,J47)*POWER(Upgrades!$Q$12,K47)*Parameters!$B$10*Parameters!$B$11</f>
        <v>378</v>
      </c>
      <c r="AD47" s="27" t="n">
        <f aca="false">(IF(H47=0,0,(Upgrades!$G$9+H47*Upgrades!$H$9)*POWER(Upgrades!$I$9,H47)))*(IF(Upgrades!$T$6="Magnetosphere",POWER(Upgrades!$U$6,E47),1)*IF(Upgrades!$T$7="Magnetosphere",POWER(Upgrades!$U$7,F47),1)*IF(Upgrades!$T$8="Magnetosphere",POWER(Upgrades!$U$8,G47),1)*IF(Upgrades!$T$10="Magnetosphere",POWER(Upgrades!$U$10,I47),1)*IF(Upgrades!$T$11="Magnetosphere",POWER(Upgrades!$U$11,J47),1)*IF(Upgrades!$T$12="Magnetosphere",POWER(Upgrades!$U$12,K47),1))*POWER(Upgrades!$P$6,E47)*POWER(Upgrades!$P$7,F47)*POWER(Upgrades!$P$8,G47)*POWER(Upgrades!$P$9,H47)*POWER(Upgrades!$P$10,I47)*POWER(Upgrades!$P$11,J47)*POWER(Upgrades!$P$12,K47)*60</f>
        <v>225</v>
      </c>
      <c r="AE47" s="27" t="n">
        <f aca="false">(IF(K47=0,0,(Upgrades!$G$12+K47*Upgrades!$H$12)*POWER(Upgrades!$I$12,K47)))*(IF(Upgrades!$T$6="First Photons",POWER(Upgrades!$U$6,E47),1)*IF(Upgrades!$T$7="First Photons",POWER(Upgrades!$U$7,F47),1)*IF(Upgrades!$T$8="First Photons",POWER(Upgrades!$U$8,G47),1)*IF(Upgrades!$T$9="First Photons",POWER(Upgrades!$U$9,H47),1)*IF(Upgrades!$T$10="First Photons",POWER(Upgrades!$U$10,I47),1)*IF(Upgrades!$T$11="First Photons",POWER(Upgrades!$U$11,J47),1))*POWER(Upgrades!$P$6,E47)*POWER(Upgrades!$P$7,F47)*POWER(Upgrades!$P$8,G47)*POWER(Upgrades!$P$9,H47)*POWER(Upgrades!$P$10,I47)*POWER(Upgrades!$P$11,J47)*POWER(Upgrades!$P$12,K47)*60</f>
        <v>75</v>
      </c>
      <c r="AF47" s="27" t="n">
        <f aca="false">Parameters!$B$9*POWER(Upgrades!$Q$6,E47)*POWER(Upgrades!$Q$7,F47)*POWER(Upgrades!$Q$8,G47)*POWER(Upgrades!$Q$9,H47)*POWER(Upgrades!$Q$10,I47)*POWER(Upgrades!$Q$11,J47)*POWER(Upgrades!$Q$12,K47)*(Parameters!$B$10*Parameters!$B$11+O47*60)</f>
        <v>120</v>
      </c>
      <c r="AG47" s="21" t="n">
        <f aca="false">IF(E47&gt;=Upgrades!$E$6,"",Upgrades!$C$6*POWER(Upgrades!$D$6,E47))</f>
        <v>28.3189041499553</v>
      </c>
      <c r="AH47" s="21" t="n">
        <f aca="false">IF(F47&gt;=Upgrades!$E$7,"",Upgrades!$C$7*POWER(Upgrades!$D$7,F47))</f>
        <v>70.3575258383984</v>
      </c>
      <c r="AI47" s="21" t="n">
        <f aca="false">IF(G47&gt;=Upgrades!$E$8,"",Upgrades!$C$8*POWER(Upgrades!$D$8,G47))</f>
        <v>165.649792</v>
      </c>
      <c r="AJ47" s="21" t="n">
        <f aca="false">IF(H47&gt;=Upgrades!$E$9,"",Upgrades!$C$9*POWER(Upgrades!$D$9,H47))</f>
        <v>640</v>
      </c>
      <c r="AK47" s="21" t="str">
        <f aca="false">IF(I47&gt;=Upgrades!$E$10,"",Upgrades!$C$10*POWER(Upgrades!$D$10,I47))</f>
        <v/>
      </c>
      <c r="AL47" s="21" t="str">
        <f aca="false">IF(J47&gt;=Upgrades!$E$11,"",Upgrades!$C$11*POWER(Upgrades!$D$11,J47))</f>
        <v/>
      </c>
      <c r="AM47" s="21" t="str">
        <f aca="false">IF(K47&gt;=Upgrades!$E$12,"",Upgrades!$C$12*POWER(Upgrades!$D$12,K47))</f>
        <v/>
      </c>
      <c r="AN47" s="26" t="str">
        <f aca="false">IF(AND(D47&gt;=Parameters!$B$18,(H47&gt;=Upgrades!$E$9)*(K47&gt;=Upgrades!$E$12)=1,L47=0),1,"")</f>
        <v/>
      </c>
      <c r="AO47" s="26" t="n">
        <f aca="false">IF(AND(D47&gt;=Parameters!$B$18,L47=0),1,"")</f>
        <v>1</v>
      </c>
      <c r="AP47" s="21" t="n">
        <f aca="false">MIN(IF(ISNUMBER(AK47),AK47,9000000000000000),IF(ISNUMBER(AL47),AL47,9000000000000000),IF(ISNUMBER(AM47),AM47,9000000000000000))</f>
        <v>9000000000000000</v>
      </c>
      <c r="AQ47" s="21" t="n">
        <f aca="false">MIN(IF(ISNUMBER(AG47),AG47,9000000000000000),IF(ISNUMBER(AH47),AH47,9000000000000000),IF(ISNUMBER(AI47),AI47,9000000000000000),IF(ISNUMBER(AJ47),AJ47,9000000000000000))</f>
        <v>28.3189041499553</v>
      </c>
      <c r="AR47" s="32" t="b">
        <f aca="false">IF(AW47&gt;Parameters!$B$21*(MAX(IF(AND(NOT(AND(AO47=1,AN47&lt;&gt;1)),ISNUMBER(AG47),AG47&lt;=T47),AS47,0),IF(AND(NOT(AND(AO47=1,AN47&lt;&gt;1)),ISNUMBER(AH47),AH47&lt;=T47),AT47,0),IF(AND(NOT(AND(AO47=1,AN47&lt;&gt;1)),ISNUMBER(AI47),AI47&lt;=T47),AU47,0),IF(AND(ISNUMBER(AJ47),AJ47&lt;=T47),AV47,0))),TRUE(),FALSE())</f>
        <v>1</v>
      </c>
      <c r="AS47" s="33" t="n">
        <f aca="false">IFERROR(Upgrades!$H$6*(POWER(Upgrades!$P$6,E47)*POWER(Upgrades!$P$7,F47)*POWER(Upgrades!$P$8,G47)*POWER(Upgrades!$P$9,H47)*POWER(Upgrades!$P$10,I47)*POWER(Upgrades!$P$11,J47)*POWER(Upgrades!$P$12,K47))*(IF(Upgrades!$T$7="Solar Wind",POWER(Upgrades!$U$7,F47),1)*IF(Upgrades!$T$8="Solar Wind",POWER(Upgrades!$U$8,G47),1)*IF(Upgrades!$T$9="Solar Wind",POWER(Upgrades!$U$9,H47),1)*IF(Upgrades!$T$10="Solar Wind",POWER(Upgrades!$U$10,I47),1)*IF(Upgrades!$T$11="Solar Wind",POWER(Upgrades!$U$11,J47),1)*IF(Upgrades!$T$12="Solar Wind",POWER(Upgrades!$U$12,K47),1))/AG47,0)</f>
        <v>0.00353121008745523</v>
      </c>
      <c r="AT47" s="33" t="n">
        <f aca="false">IFERROR(Upgrades!$H$7*(POWER(Upgrades!$P$6,E47)*POWER(Upgrades!$P$7,F47)*POWER(Upgrades!$P$8,G47)*POWER(Upgrades!$P$9,H47)*POWER(Upgrades!$P$10,I47)*POWER(Upgrades!$P$11,J47)*POWER(Upgrades!$P$12,K47))*(IF(Upgrades!$T$6="Asteroid Belt",POWER(Upgrades!$U$6,E47),1)*IF(Upgrades!$T$8="Asteroid Belt",POWER(Upgrades!$U$8,G47),1)*IF(Upgrades!$T$9="Asteroid Belt",POWER(Upgrades!$U$9,H47),1)*IF(Upgrades!$T$10="Asteroid Belt",POWER(Upgrades!$U$10,I47),1)*IF(Upgrades!$T$11="Asteroid Belt",POWER(Upgrades!$U$11,J47),1)*IF(Upgrades!$T$12="Asteroid Belt",POWER(Upgrades!$U$12,K47),1))/AH47,0)</f>
        <v>0.00355328015050182</v>
      </c>
      <c r="AU47" s="33" t="n">
        <f aca="false">IFERROR(Upgrades!$K$8*(POWER(Upgrades!$Q$6,E47)*POWER(Upgrades!$Q$7,F47)*POWER(Upgrades!$Q$8,G47)*POWER(Upgrades!$Q$9,H47)*POWER(Upgrades!$Q$10,I47)*POWER(Upgrades!$Q$11,J47)*POWER(Upgrades!$Q$12,K47))*(IF(Upgrades!$T$6="Stellar Coupling",POWER(Upgrades!$U$6,E47),1)*IF(Upgrades!$T$7="Stellar Coupling",POWER(Upgrades!$U$7,F47),1)*IF(Upgrades!$T$9="Stellar Coupling",POWER(Upgrades!$U$9,H47),1)*IF(Upgrades!$T$10="Stellar Coupling",POWER(Upgrades!$U$10,I47),1)*IF(Upgrades!$T$11="Stellar Coupling",POWER(Upgrades!$U$11,J47),1)*IF(Upgrades!$T$12="Stellar Coupling",POWER(Upgrades!$U$12,K47),1))*Parameters!$B$10*Parameters!$B$11/60/AI47,0)</f>
        <v>0.00633867382097287</v>
      </c>
      <c r="AV47" s="33" t="n">
        <f aca="false">IFERROR(Upgrades!$H$9*(POWER(Upgrades!$P$6,E47)*POWER(Upgrades!$P$7,F47)*POWER(Upgrades!$P$8,G47)*POWER(Upgrades!$P$9,H47)*POWER(Upgrades!$P$10,I47)*POWER(Upgrades!$P$11,J47)*POWER(Upgrades!$P$12,K47))*(IF(Upgrades!$T$6="Magnetosphere",POWER(Upgrades!$U$6,E47),1)*IF(Upgrades!$T$7="Magnetosphere",POWER(Upgrades!$U$7,F47),1)*IF(Upgrades!$T$8="Magnetosphere",POWER(Upgrades!$U$8,G47),1)*IF(Upgrades!$T$10="Magnetosphere",POWER(Upgrades!$U$10,I47),1)*IF(Upgrades!$T$11="Magnetosphere",POWER(Upgrades!$U$11,J47),1)*IF(Upgrades!$T$12="Magnetosphere",POWER(Upgrades!$U$12,K47),1))/AJ47,0)</f>
        <v>0.001953125</v>
      </c>
      <c r="AW47" s="33" t="n">
        <f aca="false">MAX(IF(I47&gt;0,0,IFERROR(0.25*N47/Upgrades!$C$10,0)),IF(J47&gt;0,0,IFERROR(0.5*((IF(G47=0,0,(Upgrades!$J$8+G47*Upgrades!$K$8)*POWER(Upgrades!$L$8,G47)))*(IF(Upgrades!$T$6="Stellar Coupling",POWER(Upgrades!$U$6,E47),1)*IF(Upgrades!$T$7="Stellar Coupling",POWER(Upgrades!$U$7,F47),1)*IF(Upgrades!$T$9="Stellar Coupling",POWER(Upgrades!$U$9,H47),1)*IF(Upgrades!$T$10="Stellar Coupling",POWER(Upgrades!$U$10,I47),1)*IF(Upgrades!$T$11="Stellar Coupling",POWER(Upgrades!$U$11,J47),1)*IF(Upgrades!$T$12="Stellar Coupling",POWER(Upgrades!$U$12,K47),1))*(POWER(Upgrades!$Q$6,E47)*POWER(Upgrades!$Q$7,F47)*POWER(Upgrades!$Q$8,G47)*POWER(Upgrades!$Q$9,H47)*POWER(Upgrades!$Q$10,I47)*POWER(Upgrades!$Q$11,J47)*POWER(Upgrades!$Q$12,K47))*Parameters!$B$10*Parameters!$B$11/60)/Upgrades!$C$11,0)),IF(K47&gt;0,0,IFERROR((1*(POWER(Upgrades!$P$6,E47)*POWER(Upgrades!$P$7,F47)*POWER(Upgrades!$P$8,G47)*POWER(Upgrades!$P$9,H47)*POWER(Upgrades!$P$10,I47)*POWER(Upgrades!$P$11,J47)*POWER(Upgrades!$P$12,K47))+0.2*M47*Parameters!$B$10*Parameters!$B$11/60)/Upgrades!$C$12,0)),IF(AND(ISNUMBER(AG47),AG47&gt;T47),AS47,0),IF(AND(ISNUMBER(AH47),AH47&gt;T47),AT47,0),IF(AND(ISNUMBER(AI47),AI47&gt;T47),AU47,0),IF(AND(ISNUMBER(AJ47),AJ47&gt;T47),AV47,0))</f>
        <v>0.001953125</v>
      </c>
      <c r="AX47" s="29" t="str">
        <f aca="false">IF(AN47=1,"transition",IF(MIN(IF(AND(I47=0,ISNUMBER(AK47),AK47&lt;=T47),AK47,9000000000000000),IF(AND(J47=0,ISNUMBER(AL47),AL47&lt;=T47),AL47,9000000000000000),IF(AND(K47=0,ISNUMBER(AM47),AM47&lt;=T47),AM47,9000000000000000))&lt;9000000000000000,IF(AND(AND(I47=0,ISNUMBER(AK47),AK47&lt;=T47),AK47=MIN(IF(AND(I47=0,ISNUMBER(AK47),AK47&lt;=T47),AK47,9000000000000000),IF(AND(J47=0,ISNUMBER(AL47),AL47&lt;=T47),AL47,9000000000000000),IF(AND(K47=0,ISNUMBER(AM47),AM47&lt;=T47),AM47,9000000000000000))),"OR",IF(AND(AND(J47=0,ISNUMBER(AL47),AL47&lt;=T47),AL47=MIN(IF(AND(I47=0,ISNUMBER(AK47),AK47&lt;=T47),AK47,9000000000000000),IF(AND(J47=0,ISNUMBER(AL47),AL47&lt;=T47),AL47,9000000000000000),IF(AND(K47=0,ISNUMBER(AM47),AM47&lt;=T47),AM47,9000000000000000))),"HP","FP")),IF(AR47=TRUE(),"",IF(MAX(IF(AND(NOT(AND(AO47=1,AN47&lt;&gt;1)),ISNUMBER(AG47),AG47&lt;=T47),AS47,0),IF(AND(NOT(AND(AO47=1,AN47&lt;&gt;1)),ISNUMBER(AH47),AH47&lt;=T47),AT47,0),IF(AND(NOT(AND(AO47=1,AN47&lt;&gt;1)),ISNUMBER(AI47),AI47&lt;=T47),AU47,0),IF(AND(ISNUMBER(AJ47),AJ47&lt;=T47),AV47,0))&lt;=0,"",IF(AND(IF(AND(NOT(AND(AO47=1,AN47&lt;&gt;1)),ISNUMBER(AG47),AG47&lt;=T47),AS47,0)&gt;0,IF(AND(NOT(AND(AO47=1,AN47&lt;&gt;1)),ISNUMBER(AG47),AG47&lt;=T47),AS47,0)=MAX(IF(AND(NOT(AND(AO47=1,AN47&lt;&gt;1)),ISNUMBER(AG47),AG47&lt;=T47),AS47,0),IF(AND(NOT(AND(AO47=1,AN47&lt;&gt;1)),ISNUMBER(AH47),AH47&lt;=T47),AT47,0),IF(AND(NOT(AND(AO47=1,AN47&lt;&gt;1)),ISNUMBER(AI47),AI47&lt;=T47),AU47,0),IF(AND(ISNUMBER(AJ47),AJ47&lt;=T47),AV47,0))),"SW",IF(AND(IF(AND(NOT(AND(AO47=1,AN47&lt;&gt;1)),ISNUMBER(AH47),AH47&lt;=T47),AT47,0)&gt;0,IF(AND(NOT(AND(AO47=1,AN47&lt;&gt;1)),ISNUMBER(AH47),AH47&lt;=T47),AT47,0)=MAX(IF(AND(NOT(AND(AO47=1,AN47&lt;&gt;1)),ISNUMBER(AG47),AG47&lt;=T47),AS47,0),IF(AND(NOT(AND(AO47=1,AN47&lt;&gt;1)),ISNUMBER(AH47),AH47&lt;=T47),AT47,0),IF(AND(NOT(AND(AO47=1,AN47&lt;&gt;1)),ISNUMBER(AI47),AI47&lt;=T47),AU47,0),IF(AND(ISNUMBER(AJ47),AJ47&lt;=T47),AV47,0))),"AB",IF(AND(IF(AND(NOT(AND(AO47=1,AN47&lt;&gt;1)),ISNUMBER(AI47),AI47&lt;=T47),AU47,0)&gt;0,IF(AND(NOT(AND(AO47=1,AN47&lt;&gt;1)),ISNUMBER(AI47),AI47&lt;=T47),AU47,0)=MAX(IF(AND(NOT(AND(AO47=1,AN47&lt;&gt;1)),ISNUMBER(AG47),AG47&lt;=T47),AS47,0),IF(AND(NOT(AND(AO47=1,AN47&lt;&gt;1)),ISNUMBER(AH47),AH47&lt;=T47),AT47,0),IF(AND(NOT(AND(AO47=1,AN47&lt;&gt;1)),ISNUMBER(AI47),AI47&lt;=T47),AU47,0),IF(AND(ISNUMBER(AJ47),AJ47&lt;=T47),AV47,0))),"SC","Mag")))))))</f>
        <v/>
      </c>
    </row>
    <row r="48" customFormat="false" ht="15" hidden="false" customHeight="false" outlineLevel="0" collapsed="false">
      <c r="A48" s="26" t="n">
        <v>43</v>
      </c>
      <c r="B48" s="27" t="n">
        <f aca="false">A48*10/60</f>
        <v>7.16666666666667</v>
      </c>
      <c r="C48" s="21" t="n">
        <f aca="false">X47</f>
        <v>633.565986744308</v>
      </c>
      <c r="D48" s="27" t="n">
        <f aca="false">D47+W47</f>
        <v>1</v>
      </c>
      <c r="E48" s="26" t="n">
        <f aca="false">E47+IF(U47="SW",1,0)</f>
        <v>10</v>
      </c>
      <c r="F48" s="26" t="n">
        <f aca="false">F47+IF(U47="AB",1,0)</f>
        <v>9</v>
      </c>
      <c r="G48" s="26" t="n">
        <f aca="false">G47+IF(U47="SC",1,0)</f>
        <v>6</v>
      </c>
      <c r="H48" s="26" t="n">
        <f aca="false">H47+IF(U47="Mag",1,0)</f>
        <v>3</v>
      </c>
      <c r="I48" s="26" t="n">
        <f aca="false">MAX(I47,IF(U47="OR",1,0))</f>
        <v>1</v>
      </c>
      <c r="J48" s="26" t="n">
        <f aca="false">MAX(J47,IF(U47="HP",1,0))</f>
        <v>1</v>
      </c>
      <c r="K48" s="26" t="n">
        <f aca="false">MAX(K47,IF(U47="FP",1,0))</f>
        <v>1</v>
      </c>
      <c r="L48" s="26" t="n">
        <f aca="false">MAX(L47,IF(U47="transition",1,0))</f>
        <v>0</v>
      </c>
      <c r="M48" s="28" t="n">
        <f aca="false">(Parameters!$B$9+(IF(E48=0,0,(Upgrades!$J$6+E48*Upgrades!$K$6)*POWER(Upgrades!$L$6,E48)))*(IF(Upgrades!$T$7="Solar Wind",POWER(Upgrades!$U$7,F48),1)*IF(Upgrades!$T$8="Solar Wind",POWER(Upgrades!$U$8,G48),1)*IF(Upgrades!$T$9="Solar Wind",POWER(Upgrades!$U$9,H48),1)*IF(Upgrades!$T$10="Solar Wind",POWER(Upgrades!$U$10,I48),1)*IF(Upgrades!$T$11="Solar Wind",POWER(Upgrades!$U$11,J48),1)*IF(Upgrades!$T$12="Solar Wind",POWER(Upgrades!$U$12,K48),1))+(IF(F48=0,0,(Upgrades!$J$7+F48*Upgrades!$K$7)*POWER(Upgrades!$L$7,F48)))*(IF(Upgrades!$T$6="Asteroid Belt",POWER(Upgrades!$U$6,E48),1)*IF(Upgrades!$T$8="Asteroid Belt",POWER(Upgrades!$U$8,G48),1)*IF(Upgrades!$T$9="Asteroid Belt",POWER(Upgrades!$U$9,H48),1)*IF(Upgrades!$T$10="Asteroid Belt",POWER(Upgrades!$U$10,I48),1)*IF(Upgrades!$T$11="Asteroid Belt",POWER(Upgrades!$U$11,J48),1)*IF(Upgrades!$T$12="Asteroid Belt",POWER(Upgrades!$U$12,K48),1))+(IF(G48=0,0,(Upgrades!$J$8+G48*Upgrades!$K$8)*POWER(Upgrades!$L$8,G48)))*(IF(Upgrades!$T$6="Stellar Coupling",POWER(Upgrades!$U$6,E48),1)*IF(Upgrades!$T$7="Stellar Coupling",POWER(Upgrades!$U$7,F48),1)*IF(Upgrades!$T$9="Stellar Coupling",POWER(Upgrades!$U$9,H48),1)*IF(Upgrades!$T$10="Stellar Coupling",POWER(Upgrades!$U$10,I48),1)*IF(Upgrades!$T$11="Stellar Coupling",POWER(Upgrades!$U$11,J48),1)*IF(Upgrades!$T$12="Stellar Coupling",POWER(Upgrades!$U$12,K48),1))+(IF(H48=0,0,(Upgrades!$J$9+H48*Upgrades!$K$9)*POWER(Upgrades!$L$9,H48)))*(IF(Upgrades!$T$6="Magnetosphere",POWER(Upgrades!$U$6,E48),1)*IF(Upgrades!$T$7="Magnetosphere",POWER(Upgrades!$U$7,F48),1)*IF(Upgrades!$T$8="Magnetosphere",POWER(Upgrades!$U$8,G48),1)*IF(Upgrades!$T$10="Magnetosphere",POWER(Upgrades!$U$10,I48),1)*IF(Upgrades!$T$11="Magnetosphere",POWER(Upgrades!$U$11,J48),1)*IF(Upgrades!$T$12="Magnetosphere",POWER(Upgrades!$U$12,K48),1))+(IF(I48=0,0,(Upgrades!$J$10+I48*Upgrades!$K$10)*POWER(Upgrades!$L$10,I48)))*(IF(Upgrades!$T$6="Orbital Resonance",POWER(Upgrades!$U$6,E48),1)*IF(Upgrades!$T$7="Orbital Resonance",POWER(Upgrades!$U$7,F48),1)*IF(Upgrades!$T$8="Orbital Resonance",POWER(Upgrades!$U$8,G48),1)*IF(Upgrades!$T$9="Orbital Resonance",POWER(Upgrades!$U$9,H48),1)*IF(Upgrades!$T$11="Orbital Resonance",POWER(Upgrades!$U$11,J48),1)*IF(Upgrades!$T$12="Orbital Resonance",POWER(Upgrades!$U$12,K48),1))+(IF(J48=0,0,(Upgrades!$J$11+J48*Upgrades!$K$11)*POWER(Upgrades!$L$11,J48)))*(IF(Upgrades!$T$6="Heliopause",POWER(Upgrades!$U$6,E48),1)*IF(Upgrades!$T$7="Heliopause",POWER(Upgrades!$U$7,F48),1)*IF(Upgrades!$T$8="Heliopause",POWER(Upgrades!$U$8,G48),1)*IF(Upgrades!$T$9="Heliopause",POWER(Upgrades!$U$9,H48),1)*IF(Upgrades!$T$10="Heliopause",POWER(Upgrades!$U$10,I48),1)*IF(Upgrades!$T$12="Heliopause",POWER(Upgrades!$U$12,K48),1))+(IF(K48=0,0,(Upgrades!$J$12+K48*Upgrades!$K$12)*POWER(Upgrades!$L$12,K48)))*(IF(Upgrades!$T$6="First Photons",POWER(Upgrades!$U$6,E48),1)*IF(Upgrades!$T$7="First Photons",POWER(Upgrades!$U$7,F48),1)*IF(Upgrades!$T$8="First Photons",POWER(Upgrades!$U$8,G48),1)*IF(Upgrades!$T$9="First Photons",POWER(Upgrades!$U$9,H48),1)*IF(Upgrades!$T$10="First Photons",POWER(Upgrades!$U$10,I48),1)*IF(Upgrades!$T$11="First Photons",POWER(Upgrades!$U$11,J48),1)))*POWER(Upgrades!$Q$6,E48)*POWER(Upgrades!$Q$7,F48)*POWER(Upgrades!$Q$8,G48)*POWER(Upgrades!$Q$9,H48)*POWER(Upgrades!$Q$10,I48)*POWER(Upgrades!$Q$11,J48)*POWER(Upgrades!$Q$12,K48)</f>
        <v>4.98</v>
      </c>
      <c r="N48" s="28" t="n">
        <f aca="false">((IF(E48=0,0,(Upgrades!$G$6+E48*Upgrades!$H$6)*POWER(Upgrades!$I$6,E48)))*(IF(Upgrades!$T$7="Solar Wind",POWER(Upgrades!$U$7,F48),1)*IF(Upgrades!$T$8="Solar Wind",POWER(Upgrades!$U$8,G48),1)*IF(Upgrades!$T$9="Solar Wind",POWER(Upgrades!$U$9,H48),1)*IF(Upgrades!$T$10="Solar Wind",POWER(Upgrades!$U$10,I48),1)*IF(Upgrades!$T$11="Solar Wind",POWER(Upgrades!$U$11,J48),1)*IF(Upgrades!$T$12="Solar Wind",POWER(Upgrades!$U$12,K48),1))+(IF(F48=0,0,(Upgrades!$G$7+F48*Upgrades!$H$7)*POWER(Upgrades!$I$7,F48)))*(IF(Upgrades!$T$6="Asteroid Belt",POWER(Upgrades!$U$6,E48),1)*IF(Upgrades!$T$8="Asteroid Belt",POWER(Upgrades!$U$8,G48),1)*IF(Upgrades!$T$9="Asteroid Belt",POWER(Upgrades!$U$9,H48),1)*IF(Upgrades!$T$10="Asteroid Belt",POWER(Upgrades!$U$10,I48),1)*IF(Upgrades!$T$11="Asteroid Belt",POWER(Upgrades!$U$11,J48),1)*IF(Upgrades!$T$12="Asteroid Belt",POWER(Upgrades!$U$12,K48),1))+(IF(G48=0,0,(Upgrades!$G$8+G48*Upgrades!$H$8)*POWER(Upgrades!$I$8,G48)))*(IF(Upgrades!$T$6="Stellar Coupling",POWER(Upgrades!$U$6,E48),1)*IF(Upgrades!$T$7="Stellar Coupling",POWER(Upgrades!$U$7,F48),1)*IF(Upgrades!$T$9="Stellar Coupling",POWER(Upgrades!$U$9,H48),1)*IF(Upgrades!$T$10="Stellar Coupling",POWER(Upgrades!$U$10,I48),1)*IF(Upgrades!$T$11="Stellar Coupling",POWER(Upgrades!$U$11,J48),1)*IF(Upgrades!$T$12="Stellar Coupling",POWER(Upgrades!$U$12,K48),1))+(IF(H48=0,0,(Upgrades!$G$9+H48*Upgrades!$H$9)*POWER(Upgrades!$I$9,H48)))*(IF(Upgrades!$T$6="Magnetosphere",POWER(Upgrades!$U$6,E48),1)*IF(Upgrades!$T$7="Magnetosphere",POWER(Upgrades!$U$7,F48),1)*IF(Upgrades!$T$8="Magnetosphere",POWER(Upgrades!$U$8,G48),1)*IF(Upgrades!$T$10="Magnetosphere",POWER(Upgrades!$U$10,I48),1)*IF(Upgrades!$T$11="Magnetosphere",POWER(Upgrades!$U$11,J48),1)*IF(Upgrades!$T$12="Magnetosphere",POWER(Upgrades!$U$12,K48),1))+(IF(I48=0,0,(Upgrades!$G$10+I48*Upgrades!$H$10)*POWER(Upgrades!$I$10,I48)))*(IF(Upgrades!$T$6="Orbital Resonance",POWER(Upgrades!$U$6,E48),1)*IF(Upgrades!$T$7="Orbital Resonance",POWER(Upgrades!$U$7,F48),1)*IF(Upgrades!$T$8="Orbital Resonance",POWER(Upgrades!$U$8,G48),1)*IF(Upgrades!$T$9="Orbital Resonance",POWER(Upgrades!$U$9,H48),1)*IF(Upgrades!$T$11="Orbital Resonance",POWER(Upgrades!$U$11,J48),1)*IF(Upgrades!$T$12="Orbital Resonance",POWER(Upgrades!$U$12,K48),1))+(IF(J48=0,0,(Upgrades!$G$11+J48*Upgrades!$H$11)*POWER(Upgrades!$I$11,J48)))*(IF(Upgrades!$T$6="Heliopause",POWER(Upgrades!$U$6,E48),1)*IF(Upgrades!$T$7="Heliopause",POWER(Upgrades!$U$7,F48),1)*IF(Upgrades!$T$8="Heliopause",POWER(Upgrades!$U$8,G48),1)*IF(Upgrades!$T$9="Heliopause",POWER(Upgrades!$U$9,H48),1)*IF(Upgrades!$T$10="Heliopause",POWER(Upgrades!$U$10,I48),1)*IF(Upgrades!$T$12="Heliopause",POWER(Upgrades!$U$12,K48),1))+(IF(K48=0,0,(Upgrades!$G$12+K48*Upgrades!$H$12)*POWER(Upgrades!$I$12,K48)))*(IF(Upgrades!$T$6="First Photons",POWER(Upgrades!$U$6,E48),1)*IF(Upgrades!$T$7="First Photons",POWER(Upgrades!$U$7,F48),1)*IF(Upgrades!$T$8="First Photons",POWER(Upgrades!$U$8,G48),1)*IF(Upgrades!$T$9="First Photons",POWER(Upgrades!$U$9,H48),1)*IF(Upgrades!$T$10="First Photons",POWER(Upgrades!$U$10,I48),1)*IF(Upgrades!$T$11="First Photons",POWER(Upgrades!$U$11,J48),1)))*POWER(Upgrades!$P$6,E48)*POWER(Upgrades!$P$7,F48)*POWER(Upgrades!$P$8,G48)*POWER(Upgrades!$P$9,H48)*POWER(Upgrades!$P$10,I48)*POWER(Upgrades!$P$11,J48)*POWER(Upgrades!$P$12,K48)</f>
        <v>8.25</v>
      </c>
      <c r="O48" s="28" t="n">
        <f aca="false">((IF(E48=0,0,(Upgrades!$M$6+E48*Upgrades!$N$6)*POWER(Upgrades!$O$6,E48)))*(IF(Upgrades!$T$7="Solar Wind",POWER(Upgrades!$U$7,F48),1)*IF(Upgrades!$T$8="Solar Wind",POWER(Upgrades!$U$8,G48),1)*IF(Upgrades!$T$9="Solar Wind",POWER(Upgrades!$U$9,H48),1)*IF(Upgrades!$T$10="Solar Wind",POWER(Upgrades!$U$10,I48),1)*IF(Upgrades!$T$11="Solar Wind",POWER(Upgrades!$U$11,J48),1)*IF(Upgrades!$T$12="Solar Wind",POWER(Upgrades!$U$12,K48),1))+(IF(F48=0,0,(Upgrades!$M$7+F48*Upgrades!$N$7)*POWER(Upgrades!$O$7,F48)))*(IF(Upgrades!$T$6="Asteroid Belt",POWER(Upgrades!$U$6,E48),1)*IF(Upgrades!$T$8="Asteroid Belt",POWER(Upgrades!$U$8,G48),1)*IF(Upgrades!$T$9="Asteroid Belt",POWER(Upgrades!$U$9,H48),1)*IF(Upgrades!$T$10="Asteroid Belt",POWER(Upgrades!$U$10,I48),1)*IF(Upgrades!$T$11="Asteroid Belt",POWER(Upgrades!$U$11,J48),1)*IF(Upgrades!$T$12="Asteroid Belt",POWER(Upgrades!$U$12,K48),1))+(IF(G48=0,0,(Upgrades!$M$8+G48*Upgrades!$N$8)*POWER(Upgrades!$O$8,G48)))*(IF(Upgrades!$T$6="Stellar Coupling",POWER(Upgrades!$U$6,E48),1)*IF(Upgrades!$T$7="Stellar Coupling",POWER(Upgrades!$U$7,F48),1)*IF(Upgrades!$T$9="Stellar Coupling",POWER(Upgrades!$U$9,H48),1)*IF(Upgrades!$T$10="Stellar Coupling",POWER(Upgrades!$U$10,I48),1)*IF(Upgrades!$T$11="Stellar Coupling",POWER(Upgrades!$U$11,J48),1)*IF(Upgrades!$T$12="Stellar Coupling",POWER(Upgrades!$U$12,K48),1))+(IF(H48=0,0,(Upgrades!$M$9+H48*Upgrades!$N$9)*POWER(Upgrades!$O$9,H48)))*(IF(Upgrades!$T$6="Magnetosphere",POWER(Upgrades!$U$6,E48),1)*IF(Upgrades!$T$7="Magnetosphere",POWER(Upgrades!$U$7,F48),1)*IF(Upgrades!$T$8="Magnetosphere",POWER(Upgrades!$U$8,G48),1)*IF(Upgrades!$T$10="Magnetosphere",POWER(Upgrades!$U$10,I48),1)*IF(Upgrades!$T$11="Magnetosphere",POWER(Upgrades!$U$11,J48),1)*IF(Upgrades!$T$12="Magnetosphere",POWER(Upgrades!$U$12,K48),1))+(IF(I48=0,0,(Upgrades!$M$10+I48*Upgrades!$N$10)*POWER(Upgrades!$O$10,I48)))*(IF(Upgrades!$T$6="Orbital Resonance",POWER(Upgrades!$U$6,E48),1)*IF(Upgrades!$T$7="Orbital Resonance",POWER(Upgrades!$U$7,F48),1)*IF(Upgrades!$T$8="Orbital Resonance",POWER(Upgrades!$U$8,G48),1)*IF(Upgrades!$T$9="Orbital Resonance",POWER(Upgrades!$U$9,H48),1)*IF(Upgrades!$T$11="Orbital Resonance",POWER(Upgrades!$U$11,J48),1)*IF(Upgrades!$T$12="Orbital Resonance",POWER(Upgrades!$U$12,K48),1))+(IF(J48=0,0,(Upgrades!$M$11+J48*Upgrades!$N$11)*POWER(Upgrades!$O$11,J48)))*(IF(Upgrades!$T$6="Heliopause",POWER(Upgrades!$U$6,E48),1)*IF(Upgrades!$T$7="Heliopause",POWER(Upgrades!$U$7,F48),1)*IF(Upgrades!$T$8="Heliopause",POWER(Upgrades!$U$8,G48),1)*IF(Upgrades!$T$9="Heliopause",POWER(Upgrades!$U$9,H48),1)*IF(Upgrades!$T$10="Heliopause",POWER(Upgrades!$U$10,I48),1)*IF(Upgrades!$T$12="Heliopause",POWER(Upgrades!$U$12,K48),1))+(IF(K48=0,0,(Upgrades!$M$12+K48*Upgrades!$N$12)*POWER(Upgrades!$O$12,K48)))*(IF(Upgrades!$T$6="First Photons",POWER(Upgrades!$U$6,E48),1)*IF(Upgrades!$T$7="First Photons",POWER(Upgrades!$U$7,F48),1)*IF(Upgrades!$T$8="First Photons",POWER(Upgrades!$U$8,G48),1)*IF(Upgrades!$T$9="First Photons",POWER(Upgrades!$U$9,H48),1)*IF(Upgrades!$T$10="First Photons",POWER(Upgrades!$U$10,I48),1)*IF(Upgrades!$T$11="First Photons",POWER(Upgrades!$U$11,J48),1)))*POWER(Upgrades!$R$6,E48)*POWER(Upgrades!$R$7,F48)*POWER(Upgrades!$R$8,G48)*POWER(Upgrades!$R$9,H48)*POWER(Upgrades!$R$10,I48)*POWER(Upgrades!$R$11,J48)*POWER(Upgrades!$R$12,K48)</f>
        <v>0</v>
      </c>
      <c r="P48" s="27" t="n">
        <f aca="false">IF(L48=1,0,M48*Parameters!$B$10/60*Parameters!$B$11*10)</f>
        <v>83</v>
      </c>
      <c r="Q48" s="27" t="n">
        <f aca="false">IF(L48=1,0,O48*M48*10)</f>
        <v>0</v>
      </c>
      <c r="R48" s="27" t="n">
        <f aca="false">IF(L48=1,0,N48*10)</f>
        <v>82.5</v>
      </c>
      <c r="S48" s="27" t="n">
        <f aca="false">P48+Q48+R48</f>
        <v>165.5</v>
      </c>
      <c r="T48" s="21" t="n">
        <f aca="false">C48+S48</f>
        <v>799.065986744308</v>
      </c>
      <c r="U48" s="34" t="str">
        <f aca="false">AX48</f>
        <v>Mag</v>
      </c>
      <c r="V48" s="21" t="n">
        <f aca="false">IF(U48="",0,IF(U48="transition",0,IF(U48="SW",AG48,IF(U48="AB",AH48,IF(U48="SC",AI48,IF(U48="Mag",AJ48,IF(U48="OR",AK48,IF(U48="HP",AL48,IF(U48="FP",AM48,0)))))))))</f>
        <v>640</v>
      </c>
      <c r="W48" s="27" t="n">
        <f aca="false">IF(U48="OR",Upgrades!$F$10,IF(U48="HP",Upgrades!$F$11,IF(U48="transition",-Parameters!$B$18,0)))</f>
        <v>0</v>
      </c>
      <c r="X48" s="21" t="n">
        <f aca="false">T48-V48</f>
        <v>159.065986744308</v>
      </c>
      <c r="Y48" s="30" t="n">
        <f aca="false">M48*Parameters!$B$10/60*Parameters!$B$11+O48*M48+N48</f>
        <v>16.55</v>
      </c>
      <c r="Z48" s="35" t="str">
        <f aca="false">IF(U48="transition","→ Tier 2 (Stellar Neighborhood)",IF(U48="FP","First Photons — light begins, system quickens",IF(U48="HP","Heliopause acquired",IF(U48="OR","Orbital Resonance — passive multiplier active",IF(AND(AO48=1,L48=0,AN48&lt;&gt;1),"Cohesion ready (waiting on completionist upgrades)","")))))</f>
        <v>Cohesion ready (waiting on completionist upgrades)</v>
      </c>
      <c r="AA48" s="27" t="n">
        <f aca="false">(IF(E48=0,0,(Upgrades!$G$6+E48*Upgrades!$H$6)*POWER(Upgrades!$I$6,E48)))*(IF(Upgrades!$T$7="Solar Wind",POWER(Upgrades!$U$7,F48),1)*IF(Upgrades!$T$8="Solar Wind",POWER(Upgrades!$U$8,G48),1)*IF(Upgrades!$T$9="Solar Wind",POWER(Upgrades!$U$9,H48),1)*IF(Upgrades!$T$10="Solar Wind",POWER(Upgrades!$U$10,I48),1)*IF(Upgrades!$T$11="Solar Wind",POWER(Upgrades!$U$11,J48),1)*IF(Upgrades!$T$12="Solar Wind",POWER(Upgrades!$U$12,K48),1))*POWER(Upgrades!$P$6,E48)*POWER(Upgrades!$P$7,F48)*POWER(Upgrades!$P$8,G48)*POWER(Upgrades!$P$9,H48)*POWER(Upgrades!$P$10,I48)*POWER(Upgrades!$P$11,J48)*POWER(Upgrades!$P$12,K48)*60</f>
        <v>60</v>
      </c>
      <c r="AB48" s="27" t="n">
        <f aca="false">(IF(F48=0,0,(Upgrades!$G$7+F48*Upgrades!$H$7)*POWER(Upgrades!$I$7,F48)))*(IF(Upgrades!$T$6="Asteroid Belt",POWER(Upgrades!$U$6,E48),1)*IF(Upgrades!$T$8="Asteroid Belt",POWER(Upgrades!$U$8,G48),1)*IF(Upgrades!$T$9="Asteroid Belt",POWER(Upgrades!$U$9,H48),1)*IF(Upgrades!$T$10="Asteroid Belt",POWER(Upgrades!$U$10,I48),1)*IF(Upgrades!$T$11="Asteroid Belt",POWER(Upgrades!$U$11,J48),1)*IF(Upgrades!$T$12="Asteroid Belt",POWER(Upgrades!$U$12,K48),1))*POWER(Upgrades!$P$6,E48)*POWER(Upgrades!$P$7,F48)*POWER(Upgrades!$P$8,G48)*POWER(Upgrades!$P$9,H48)*POWER(Upgrades!$P$10,I48)*POWER(Upgrades!$P$11,J48)*POWER(Upgrades!$P$12,K48)*60</f>
        <v>135</v>
      </c>
      <c r="AC48" s="27" t="n">
        <f aca="false">(IF(G48=0,0,(Upgrades!$J$8+G48*Upgrades!$K$8)*POWER(Upgrades!$L$8,G48)))*(IF(Upgrades!$T$6="Stellar Coupling",POWER(Upgrades!$U$6,E48),1)*IF(Upgrades!$T$7="Stellar Coupling",POWER(Upgrades!$U$7,F48),1)*IF(Upgrades!$T$9="Stellar Coupling",POWER(Upgrades!$U$9,H48),1)*IF(Upgrades!$T$10="Stellar Coupling",POWER(Upgrades!$U$10,I48),1)*IF(Upgrades!$T$11="Stellar Coupling",POWER(Upgrades!$U$11,J48),1)*IF(Upgrades!$T$12="Stellar Coupling",POWER(Upgrades!$U$12,K48),1))*POWER(Upgrades!$Q$6,E48)*POWER(Upgrades!$Q$7,F48)*POWER(Upgrades!$Q$8,G48)*POWER(Upgrades!$Q$9,H48)*POWER(Upgrades!$Q$10,I48)*POWER(Upgrades!$Q$11,J48)*POWER(Upgrades!$Q$12,K48)*Parameters!$B$10*Parameters!$B$11</f>
        <v>378</v>
      </c>
      <c r="AD48" s="27" t="n">
        <f aca="false">(IF(H48=0,0,(Upgrades!$G$9+H48*Upgrades!$H$9)*POWER(Upgrades!$I$9,H48)))*(IF(Upgrades!$T$6="Magnetosphere",POWER(Upgrades!$U$6,E48),1)*IF(Upgrades!$T$7="Magnetosphere",POWER(Upgrades!$U$7,F48),1)*IF(Upgrades!$T$8="Magnetosphere",POWER(Upgrades!$U$8,G48),1)*IF(Upgrades!$T$10="Magnetosphere",POWER(Upgrades!$U$10,I48),1)*IF(Upgrades!$T$11="Magnetosphere",POWER(Upgrades!$U$11,J48),1)*IF(Upgrades!$T$12="Magnetosphere",POWER(Upgrades!$U$12,K48),1))*POWER(Upgrades!$P$6,E48)*POWER(Upgrades!$P$7,F48)*POWER(Upgrades!$P$8,G48)*POWER(Upgrades!$P$9,H48)*POWER(Upgrades!$P$10,I48)*POWER(Upgrades!$P$11,J48)*POWER(Upgrades!$P$12,K48)*60</f>
        <v>225</v>
      </c>
      <c r="AE48" s="27" t="n">
        <f aca="false">(IF(K48=0,0,(Upgrades!$G$12+K48*Upgrades!$H$12)*POWER(Upgrades!$I$12,K48)))*(IF(Upgrades!$T$6="First Photons",POWER(Upgrades!$U$6,E48),1)*IF(Upgrades!$T$7="First Photons",POWER(Upgrades!$U$7,F48),1)*IF(Upgrades!$T$8="First Photons",POWER(Upgrades!$U$8,G48),1)*IF(Upgrades!$T$9="First Photons",POWER(Upgrades!$U$9,H48),1)*IF(Upgrades!$T$10="First Photons",POWER(Upgrades!$U$10,I48),1)*IF(Upgrades!$T$11="First Photons",POWER(Upgrades!$U$11,J48),1))*POWER(Upgrades!$P$6,E48)*POWER(Upgrades!$P$7,F48)*POWER(Upgrades!$P$8,G48)*POWER(Upgrades!$P$9,H48)*POWER(Upgrades!$P$10,I48)*POWER(Upgrades!$P$11,J48)*POWER(Upgrades!$P$12,K48)*60</f>
        <v>75</v>
      </c>
      <c r="AF48" s="27" t="n">
        <f aca="false">Parameters!$B$9*POWER(Upgrades!$Q$6,E48)*POWER(Upgrades!$Q$7,F48)*POWER(Upgrades!$Q$8,G48)*POWER(Upgrades!$Q$9,H48)*POWER(Upgrades!$Q$10,I48)*POWER(Upgrades!$Q$11,J48)*POWER(Upgrades!$Q$12,K48)*(Parameters!$B$10*Parameters!$B$11+O48*60)</f>
        <v>120</v>
      </c>
      <c r="AG48" s="21" t="n">
        <f aca="false">IF(E48&gt;=Upgrades!$E$6,"",Upgrades!$C$6*POWER(Upgrades!$D$6,E48))</f>
        <v>28.3189041499553</v>
      </c>
      <c r="AH48" s="21" t="n">
        <f aca="false">IF(F48&gt;=Upgrades!$E$7,"",Upgrades!$C$7*POWER(Upgrades!$D$7,F48))</f>
        <v>70.3575258383984</v>
      </c>
      <c r="AI48" s="21" t="n">
        <f aca="false">IF(G48&gt;=Upgrades!$E$8,"",Upgrades!$C$8*POWER(Upgrades!$D$8,G48))</f>
        <v>165.649792</v>
      </c>
      <c r="AJ48" s="21" t="n">
        <f aca="false">IF(H48&gt;=Upgrades!$E$9,"",Upgrades!$C$9*POWER(Upgrades!$D$9,H48))</f>
        <v>640</v>
      </c>
      <c r="AK48" s="21" t="str">
        <f aca="false">IF(I48&gt;=Upgrades!$E$10,"",Upgrades!$C$10*POWER(Upgrades!$D$10,I48))</f>
        <v/>
      </c>
      <c r="AL48" s="21" t="str">
        <f aca="false">IF(J48&gt;=Upgrades!$E$11,"",Upgrades!$C$11*POWER(Upgrades!$D$11,J48))</f>
        <v/>
      </c>
      <c r="AM48" s="21" t="str">
        <f aca="false">IF(K48&gt;=Upgrades!$E$12,"",Upgrades!$C$12*POWER(Upgrades!$D$12,K48))</f>
        <v/>
      </c>
      <c r="AN48" s="26" t="str">
        <f aca="false">IF(AND(D48&gt;=Parameters!$B$18,(H48&gt;=Upgrades!$E$9)*(K48&gt;=Upgrades!$E$12)=1,L48=0),1,"")</f>
        <v/>
      </c>
      <c r="AO48" s="26" t="n">
        <f aca="false">IF(AND(D48&gt;=Parameters!$B$18,L48=0),1,"")</f>
        <v>1</v>
      </c>
      <c r="AP48" s="21" t="n">
        <f aca="false">MIN(IF(ISNUMBER(AK48),AK48,9000000000000000),IF(ISNUMBER(AL48),AL48,9000000000000000),IF(ISNUMBER(AM48),AM48,9000000000000000))</f>
        <v>9000000000000000</v>
      </c>
      <c r="AQ48" s="21" t="n">
        <f aca="false">MIN(IF(ISNUMBER(AG48),AG48,9000000000000000),IF(ISNUMBER(AH48),AH48,9000000000000000),IF(ISNUMBER(AI48),AI48,9000000000000000),IF(ISNUMBER(AJ48),AJ48,9000000000000000))</f>
        <v>28.3189041499553</v>
      </c>
      <c r="AR48" s="32" t="b">
        <f aca="false">IF(AW48&gt;Parameters!$B$21*(MAX(IF(AND(NOT(AND(AO48=1,AN48&lt;&gt;1)),ISNUMBER(AG48),AG48&lt;=T48),AS48,0),IF(AND(NOT(AND(AO48=1,AN48&lt;&gt;1)),ISNUMBER(AH48),AH48&lt;=T48),AT48,0),IF(AND(NOT(AND(AO48=1,AN48&lt;&gt;1)),ISNUMBER(AI48),AI48&lt;=T48),AU48,0),IF(AND(ISNUMBER(AJ48),AJ48&lt;=T48),AV48,0))),TRUE(),FALSE())</f>
        <v>0</v>
      </c>
      <c r="AS48" s="33" t="n">
        <f aca="false">IFERROR(Upgrades!$H$6*(POWER(Upgrades!$P$6,E48)*POWER(Upgrades!$P$7,F48)*POWER(Upgrades!$P$8,G48)*POWER(Upgrades!$P$9,H48)*POWER(Upgrades!$P$10,I48)*POWER(Upgrades!$P$11,J48)*POWER(Upgrades!$P$12,K48))*(IF(Upgrades!$T$7="Solar Wind",POWER(Upgrades!$U$7,F48),1)*IF(Upgrades!$T$8="Solar Wind",POWER(Upgrades!$U$8,G48),1)*IF(Upgrades!$T$9="Solar Wind",POWER(Upgrades!$U$9,H48),1)*IF(Upgrades!$T$10="Solar Wind",POWER(Upgrades!$U$10,I48),1)*IF(Upgrades!$T$11="Solar Wind",POWER(Upgrades!$U$11,J48),1)*IF(Upgrades!$T$12="Solar Wind",POWER(Upgrades!$U$12,K48),1))/AG48,0)</f>
        <v>0.00353121008745523</v>
      </c>
      <c r="AT48" s="33" t="n">
        <f aca="false">IFERROR(Upgrades!$H$7*(POWER(Upgrades!$P$6,E48)*POWER(Upgrades!$P$7,F48)*POWER(Upgrades!$P$8,G48)*POWER(Upgrades!$P$9,H48)*POWER(Upgrades!$P$10,I48)*POWER(Upgrades!$P$11,J48)*POWER(Upgrades!$P$12,K48))*(IF(Upgrades!$T$6="Asteroid Belt",POWER(Upgrades!$U$6,E48),1)*IF(Upgrades!$T$8="Asteroid Belt",POWER(Upgrades!$U$8,G48),1)*IF(Upgrades!$T$9="Asteroid Belt",POWER(Upgrades!$U$9,H48),1)*IF(Upgrades!$T$10="Asteroid Belt",POWER(Upgrades!$U$10,I48),1)*IF(Upgrades!$T$11="Asteroid Belt",POWER(Upgrades!$U$11,J48),1)*IF(Upgrades!$T$12="Asteroid Belt",POWER(Upgrades!$U$12,K48),1))/AH48,0)</f>
        <v>0.00355328015050182</v>
      </c>
      <c r="AU48" s="33" t="n">
        <f aca="false">IFERROR(Upgrades!$K$8*(POWER(Upgrades!$Q$6,E48)*POWER(Upgrades!$Q$7,F48)*POWER(Upgrades!$Q$8,G48)*POWER(Upgrades!$Q$9,H48)*POWER(Upgrades!$Q$10,I48)*POWER(Upgrades!$Q$11,J48)*POWER(Upgrades!$Q$12,K48))*(IF(Upgrades!$T$6="Stellar Coupling",POWER(Upgrades!$U$6,E48),1)*IF(Upgrades!$T$7="Stellar Coupling",POWER(Upgrades!$U$7,F48),1)*IF(Upgrades!$T$9="Stellar Coupling",POWER(Upgrades!$U$9,H48),1)*IF(Upgrades!$T$10="Stellar Coupling",POWER(Upgrades!$U$10,I48),1)*IF(Upgrades!$T$11="Stellar Coupling",POWER(Upgrades!$U$11,J48),1)*IF(Upgrades!$T$12="Stellar Coupling",POWER(Upgrades!$U$12,K48),1))*Parameters!$B$10*Parameters!$B$11/60/AI48,0)</f>
        <v>0.00633867382097287</v>
      </c>
      <c r="AV48" s="33" t="n">
        <f aca="false">IFERROR(Upgrades!$H$9*(POWER(Upgrades!$P$6,E48)*POWER(Upgrades!$P$7,F48)*POWER(Upgrades!$P$8,G48)*POWER(Upgrades!$P$9,H48)*POWER(Upgrades!$P$10,I48)*POWER(Upgrades!$P$11,J48)*POWER(Upgrades!$P$12,K48))*(IF(Upgrades!$T$6="Magnetosphere",POWER(Upgrades!$U$6,E48),1)*IF(Upgrades!$T$7="Magnetosphere",POWER(Upgrades!$U$7,F48),1)*IF(Upgrades!$T$8="Magnetosphere",POWER(Upgrades!$U$8,G48),1)*IF(Upgrades!$T$10="Magnetosphere",POWER(Upgrades!$U$10,I48),1)*IF(Upgrades!$T$11="Magnetosphere",POWER(Upgrades!$U$11,J48),1)*IF(Upgrades!$T$12="Magnetosphere",POWER(Upgrades!$U$12,K48),1))/AJ48,0)</f>
        <v>0.001953125</v>
      </c>
      <c r="AW48" s="33" t="n">
        <f aca="false">MAX(IF(I48&gt;0,0,IFERROR(0.25*N48/Upgrades!$C$10,0)),IF(J48&gt;0,0,IFERROR(0.5*((IF(G48=0,0,(Upgrades!$J$8+G48*Upgrades!$K$8)*POWER(Upgrades!$L$8,G48)))*(IF(Upgrades!$T$6="Stellar Coupling",POWER(Upgrades!$U$6,E48),1)*IF(Upgrades!$T$7="Stellar Coupling",POWER(Upgrades!$U$7,F48),1)*IF(Upgrades!$T$9="Stellar Coupling",POWER(Upgrades!$U$9,H48),1)*IF(Upgrades!$T$10="Stellar Coupling",POWER(Upgrades!$U$10,I48),1)*IF(Upgrades!$T$11="Stellar Coupling",POWER(Upgrades!$U$11,J48),1)*IF(Upgrades!$T$12="Stellar Coupling",POWER(Upgrades!$U$12,K48),1))*(POWER(Upgrades!$Q$6,E48)*POWER(Upgrades!$Q$7,F48)*POWER(Upgrades!$Q$8,G48)*POWER(Upgrades!$Q$9,H48)*POWER(Upgrades!$Q$10,I48)*POWER(Upgrades!$Q$11,J48)*POWER(Upgrades!$Q$12,K48))*Parameters!$B$10*Parameters!$B$11/60)/Upgrades!$C$11,0)),IF(K48&gt;0,0,IFERROR((1*(POWER(Upgrades!$P$6,E48)*POWER(Upgrades!$P$7,F48)*POWER(Upgrades!$P$8,G48)*POWER(Upgrades!$P$9,H48)*POWER(Upgrades!$P$10,I48)*POWER(Upgrades!$P$11,J48)*POWER(Upgrades!$P$12,K48))+0.2*M48*Parameters!$B$10*Parameters!$B$11/60)/Upgrades!$C$12,0)),IF(AND(ISNUMBER(AG48),AG48&gt;T48),AS48,0),IF(AND(ISNUMBER(AH48),AH48&gt;T48),AT48,0),IF(AND(ISNUMBER(AI48),AI48&gt;T48),AU48,0),IF(AND(ISNUMBER(AJ48),AJ48&gt;T48),AV48,0))</f>
        <v>0</v>
      </c>
      <c r="AX48" s="29" t="str">
        <f aca="false">IF(AN48=1,"transition",IF(MIN(IF(AND(I48=0,ISNUMBER(AK48),AK48&lt;=T48),AK48,9000000000000000),IF(AND(J48=0,ISNUMBER(AL48),AL48&lt;=T48),AL48,9000000000000000),IF(AND(K48=0,ISNUMBER(AM48),AM48&lt;=T48),AM48,9000000000000000))&lt;9000000000000000,IF(AND(AND(I48=0,ISNUMBER(AK48),AK48&lt;=T48),AK48=MIN(IF(AND(I48=0,ISNUMBER(AK48),AK48&lt;=T48),AK48,9000000000000000),IF(AND(J48=0,ISNUMBER(AL48),AL48&lt;=T48),AL48,9000000000000000),IF(AND(K48=0,ISNUMBER(AM48),AM48&lt;=T48),AM48,9000000000000000))),"OR",IF(AND(AND(J48=0,ISNUMBER(AL48),AL48&lt;=T48),AL48=MIN(IF(AND(I48=0,ISNUMBER(AK48),AK48&lt;=T48),AK48,9000000000000000),IF(AND(J48=0,ISNUMBER(AL48),AL48&lt;=T48),AL48,9000000000000000),IF(AND(K48=0,ISNUMBER(AM48),AM48&lt;=T48),AM48,9000000000000000))),"HP","FP")),IF(AR48=TRUE(),"",IF(MAX(IF(AND(NOT(AND(AO48=1,AN48&lt;&gt;1)),ISNUMBER(AG48),AG48&lt;=T48),AS48,0),IF(AND(NOT(AND(AO48=1,AN48&lt;&gt;1)),ISNUMBER(AH48),AH48&lt;=T48),AT48,0),IF(AND(NOT(AND(AO48=1,AN48&lt;&gt;1)),ISNUMBER(AI48),AI48&lt;=T48),AU48,0),IF(AND(ISNUMBER(AJ48),AJ48&lt;=T48),AV48,0))&lt;=0,"",IF(AND(IF(AND(NOT(AND(AO48=1,AN48&lt;&gt;1)),ISNUMBER(AG48),AG48&lt;=T48),AS48,0)&gt;0,IF(AND(NOT(AND(AO48=1,AN48&lt;&gt;1)),ISNUMBER(AG48),AG48&lt;=T48),AS48,0)=MAX(IF(AND(NOT(AND(AO48=1,AN48&lt;&gt;1)),ISNUMBER(AG48),AG48&lt;=T48),AS48,0),IF(AND(NOT(AND(AO48=1,AN48&lt;&gt;1)),ISNUMBER(AH48),AH48&lt;=T48),AT48,0),IF(AND(NOT(AND(AO48=1,AN48&lt;&gt;1)),ISNUMBER(AI48),AI48&lt;=T48),AU48,0),IF(AND(ISNUMBER(AJ48),AJ48&lt;=T48),AV48,0))),"SW",IF(AND(IF(AND(NOT(AND(AO48=1,AN48&lt;&gt;1)),ISNUMBER(AH48),AH48&lt;=T48),AT48,0)&gt;0,IF(AND(NOT(AND(AO48=1,AN48&lt;&gt;1)),ISNUMBER(AH48),AH48&lt;=T48),AT48,0)=MAX(IF(AND(NOT(AND(AO48=1,AN48&lt;&gt;1)),ISNUMBER(AG48),AG48&lt;=T48),AS48,0),IF(AND(NOT(AND(AO48=1,AN48&lt;&gt;1)),ISNUMBER(AH48),AH48&lt;=T48),AT48,0),IF(AND(NOT(AND(AO48=1,AN48&lt;&gt;1)),ISNUMBER(AI48),AI48&lt;=T48),AU48,0),IF(AND(ISNUMBER(AJ48),AJ48&lt;=T48),AV48,0))),"AB",IF(AND(IF(AND(NOT(AND(AO48=1,AN48&lt;&gt;1)),ISNUMBER(AI48),AI48&lt;=T48),AU48,0)&gt;0,IF(AND(NOT(AND(AO48=1,AN48&lt;&gt;1)),ISNUMBER(AI48),AI48&lt;=T48),AU48,0)=MAX(IF(AND(NOT(AND(AO48=1,AN48&lt;&gt;1)),ISNUMBER(AG48),AG48&lt;=T48),AS48,0),IF(AND(NOT(AND(AO48=1,AN48&lt;&gt;1)),ISNUMBER(AH48),AH48&lt;=T48),AT48,0),IF(AND(NOT(AND(AO48=1,AN48&lt;&gt;1)),ISNUMBER(AI48),AI48&lt;=T48),AU48,0),IF(AND(ISNUMBER(AJ48),AJ48&lt;=T48),AV48,0))),"SC","Mag")))))))</f>
        <v>Mag</v>
      </c>
    </row>
    <row r="49" customFormat="false" ht="15" hidden="false" customHeight="false" outlineLevel="0" collapsed="false">
      <c r="A49" s="26" t="n">
        <v>44</v>
      </c>
      <c r="B49" s="27" t="n">
        <f aca="false">A49*10/60</f>
        <v>7.33333333333333</v>
      </c>
      <c r="C49" s="21" t="n">
        <f aca="false">X48</f>
        <v>159.065986744308</v>
      </c>
      <c r="D49" s="27" t="n">
        <f aca="false">D48+W48</f>
        <v>1</v>
      </c>
      <c r="E49" s="26" t="n">
        <f aca="false">E48+IF(U48="SW",1,0)</f>
        <v>10</v>
      </c>
      <c r="F49" s="26" t="n">
        <f aca="false">F48+IF(U48="AB",1,0)</f>
        <v>9</v>
      </c>
      <c r="G49" s="26" t="n">
        <f aca="false">G48+IF(U48="SC",1,0)</f>
        <v>6</v>
      </c>
      <c r="H49" s="26" t="n">
        <f aca="false">H48+IF(U48="Mag",1,0)</f>
        <v>4</v>
      </c>
      <c r="I49" s="26" t="n">
        <f aca="false">MAX(I48,IF(U48="OR",1,0))</f>
        <v>1</v>
      </c>
      <c r="J49" s="26" t="n">
        <f aca="false">MAX(J48,IF(U48="HP",1,0))</f>
        <v>1</v>
      </c>
      <c r="K49" s="26" t="n">
        <f aca="false">MAX(K48,IF(U48="FP",1,0))</f>
        <v>1</v>
      </c>
      <c r="L49" s="26" t="n">
        <f aca="false">MAX(L48,IF(U48="transition",1,0))</f>
        <v>0</v>
      </c>
      <c r="M49" s="28" t="n">
        <f aca="false">(Parameters!$B$9+(IF(E49=0,0,(Upgrades!$J$6+E49*Upgrades!$K$6)*POWER(Upgrades!$L$6,E49)))*(IF(Upgrades!$T$7="Solar Wind",POWER(Upgrades!$U$7,F49),1)*IF(Upgrades!$T$8="Solar Wind",POWER(Upgrades!$U$8,G49),1)*IF(Upgrades!$T$9="Solar Wind",POWER(Upgrades!$U$9,H49),1)*IF(Upgrades!$T$10="Solar Wind",POWER(Upgrades!$U$10,I49),1)*IF(Upgrades!$T$11="Solar Wind",POWER(Upgrades!$U$11,J49),1)*IF(Upgrades!$T$12="Solar Wind",POWER(Upgrades!$U$12,K49),1))+(IF(F49=0,0,(Upgrades!$J$7+F49*Upgrades!$K$7)*POWER(Upgrades!$L$7,F49)))*(IF(Upgrades!$T$6="Asteroid Belt",POWER(Upgrades!$U$6,E49),1)*IF(Upgrades!$T$8="Asteroid Belt",POWER(Upgrades!$U$8,G49),1)*IF(Upgrades!$T$9="Asteroid Belt",POWER(Upgrades!$U$9,H49),1)*IF(Upgrades!$T$10="Asteroid Belt",POWER(Upgrades!$U$10,I49),1)*IF(Upgrades!$T$11="Asteroid Belt",POWER(Upgrades!$U$11,J49),1)*IF(Upgrades!$T$12="Asteroid Belt",POWER(Upgrades!$U$12,K49),1))+(IF(G49=0,0,(Upgrades!$J$8+G49*Upgrades!$K$8)*POWER(Upgrades!$L$8,G49)))*(IF(Upgrades!$T$6="Stellar Coupling",POWER(Upgrades!$U$6,E49),1)*IF(Upgrades!$T$7="Stellar Coupling",POWER(Upgrades!$U$7,F49),1)*IF(Upgrades!$T$9="Stellar Coupling",POWER(Upgrades!$U$9,H49),1)*IF(Upgrades!$T$10="Stellar Coupling",POWER(Upgrades!$U$10,I49),1)*IF(Upgrades!$T$11="Stellar Coupling",POWER(Upgrades!$U$11,J49),1)*IF(Upgrades!$T$12="Stellar Coupling",POWER(Upgrades!$U$12,K49),1))+(IF(H49=0,0,(Upgrades!$J$9+H49*Upgrades!$K$9)*POWER(Upgrades!$L$9,H49)))*(IF(Upgrades!$T$6="Magnetosphere",POWER(Upgrades!$U$6,E49),1)*IF(Upgrades!$T$7="Magnetosphere",POWER(Upgrades!$U$7,F49),1)*IF(Upgrades!$T$8="Magnetosphere",POWER(Upgrades!$U$8,G49),1)*IF(Upgrades!$T$10="Magnetosphere",POWER(Upgrades!$U$10,I49),1)*IF(Upgrades!$T$11="Magnetosphere",POWER(Upgrades!$U$11,J49),1)*IF(Upgrades!$T$12="Magnetosphere",POWER(Upgrades!$U$12,K49),1))+(IF(I49=0,0,(Upgrades!$J$10+I49*Upgrades!$K$10)*POWER(Upgrades!$L$10,I49)))*(IF(Upgrades!$T$6="Orbital Resonance",POWER(Upgrades!$U$6,E49),1)*IF(Upgrades!$T$7="Orbital Resonance",POWER(Upgrades!$U$7,F49),1)*IF(Upgrades!$T$8="Orbital Resonance",POWER(Upgrades!$U$8,G49),1)*IF(Upgrades!$T$9="Orbital Resonance",POWER(Upgrades!$U$9,H49),1)*IF(Upgrades!$T$11="Orbital Resonance",POWER(Upgrades!$U$11,J49),1)*IF(Upgrades!$T$12="Orbital Resonance",POWER(Upgrades!$U$12,K49),1))+(IF(J49=0,0,(Upgrades!$J$11+J49*Upgrades!$K$11)*POWER(Upgrades!$L$11,J49)))*(IF(Upgrades!$T$6="Heliopause",POWER(Upgrades!$U$6,E49),1)*IF(Upgrades!$T$7="Heliopause",POWER(Upgrades!$U$7,F49),1)*IF(Upgrades!$T$8="Heliopause",POWER(Upgrades!$U$8,G49),1)*IF(Upgrades!$T$9="Heliopause",POWER(Upgrades!$U$9,H49),1)*IF(Upgrades!$T$10="Heliopause",POWER(Upgrades!$U$10,I49),1)*IF(Upgrades!$T$12="Heliopause",POWER(Upgrades!$U$12,K49),1))+(IF(K49=0,0,(Upgrades!$J$12+K49*Upgrades!$K$12)*POWER(Upgrades!$L$12,K49)))*(IF(Upgrades!$T$6="First Photons",POWER(Upgrades!$U$6,E49),1)*IF(Upgrades!$T$7="First Photons",POWER(Upgrades!$U$7,F49),1)*IF(Upgrades!$T$8="First Photons",POWER(Upgrades!$U$8,G49),1)*IF(Upgrades!$T$9="First Photons",POWER(Upgrades!$U$9,H49),1)*IF(Upgrades!$T$10="First Photons",POWER(Upgrades!$U$10,I49),1)*IF(Upgrades!$T$11="First Photons",POWER(Upgrades!$U$11,J49),1)))*POWER(Upgrades!$Q$6,E49)*POWER(Upgrades!$Q$7,F49)*POWER(Upgrades!$Q$8,G49)*POWER(Upgrades!$Q$9,H49)*POWER(Upgrades!$Q$10,I49)*POWER(Upgrades!$Q$11,J49)*POWER(Upgrades!$Q$12,K49)</f>
        <v>4.98</v>
      </c>
      <c r="N49" s="28" t="n">
        <f aca="false">((IF(E49=0,0,(Upgrades!$G$6+E49*Upgrades!$H$6)*POWER(Upgrades!$I$6,E49)))*(IF(Upgrades!$T$7="Solar Wind",POWER(Upgrades!$U$7,F49),1)*IF(Upgrades!$T$8="Solar Wind",POWER(Upgrades!$U$8,G49),1)*IF(Upgrades!$T$9="Solar Wind",POWER(Upgrades!$U$9,H49),1)*IF(Upgrades!$T$10="Solar Wind",POWER(Upgrades!$U$10,I49),1)*IF(Upgrades!$T$11="Solar Wind",POWER(Upgrades!$U$11,J49),1)*IF(Upgrades!$T$12="Solar Wind",POWER(Upgrades!$U$12,K49),1))+(IF(F49=0,0,(Upgrades!$G$7+F49*Upgrades!$H$7)*POWER(Upgrades!$I$7,F49)))*(IF(Upgrades!$T$6="Asteroid Belt",POWER(Upgrades!$U$6,E49),1)*IF(Upgrades!$T$8="Asteroid Belt",POWER(Upgrades!$U$8,G49),1)*IF(Upgrades!$T$9="Asteroid Belt",POWER(Upgrades!$U$9,H49),1)*IF(Upgrades!$T$10="Asteroid Belt",POWER(Upgrades!$U$10,I49),1)*IF(Upgrades!$T$11="Asteroid Belt",POWER(Upgrades!$U$11,J49),1)*IF(Upgrades!$T$12="Asteroid Belt",POWER(Upgrades!$U$12,K49),1))+(IF(G49=0,0,(Upgrades!$G$8+G49*Upgrades!$H$8)*POWER(Upgrades!$I$8,G49)))*(IF(Upgrades!$T$6="Stellar Coupling",POWER(Upgrades!$U$6,E49),1)*IF(Upgrades!$T$7="Stellar Coupling",POWER(Upgrades!$U$7,F49),1)*IF(Upgrades!$T$9="Stellar Coupling",POWER(Upgrades!$U$9,H49),1)*IF(Upgrades!$T$10="Stellar Coupling",POWER(Upgrades!$U$10,I49),1)*IF(Upgrades!$T$11="Stellar Coupling",POWER(Upgrades!$U$11,J49),1)*IF(Upgrades!$T$12="Stellar Coupling",POWER(Upgrades!$U$12,K49),1))+(IF(H49=0,0,(Upgrades!$G$9+H49*Upgrades!$H$9)*POWER(Upgrades!$I$9,H49)))*(IF(Upgrades!$T$6="Magnetosphere",POWER(Upgrades!$U$6,E49),1)*IF(Upgrades!$T$7="Magnetosphere",POWER(Upgrades!$U$7,F49),1)*IF(Upgrades!$T$8="Magnetosphere",POWER(Upgrades!$U$8,G49),1)*IF(Upgrades!$T$10="Magnetosphere",POWER(Upgrades!$U$10,I49),1)*IF(Upgrades!$T$11="Magnetosphere",POWER(Upgrades!$U$11,J49),1)*IF(Upgrades!$T$12="Magnetosphere",POWER(Upgrades!$U$12,K49),1))+(IF(I49=0,0,(Upgrades!$G$10+I49*Upgrades!$H$10)*POWER(Upgrades!$I$10,I49)))*(IF(Upgrades!$T$6="Orbital Resonance",POWER(Upgrades!$U$6,E49),1)*IF(Upgrades!$T$7="Orbital Resonance",POWER(Upgrades!$U$7,F49),1)*IF(Upgrades!$T$8="Orbital Resonance",POWER(Upgrades!$U$8,G49),1)*IF(Upgrades!$T$9="Orbital Resonance",POWER(Upgrades!$U$9,H49),1)*IF(Upgrades!$T$11="Orbital Resonance",POWER(Upgrades!$U$11,J49),1)*IF(Upgrades!$T$12="Orbital Resonance",POWER(Upgrades!$U$12,K49),1))+(IF(J49=0,0,(Upgrades!$G$11+J49*Upgrades!$H$11)*POWER(Upgrades!$I$11,J49)))*(IF(Upgrades!$T$6="Heliopause",POWER(Upgrades!$U$6,E49),1)*IF(Upgrades!$T$7="Heliopause",POWER(Upgrades!$U$7,F49),1)*IF(Upgrades!$T$8="Heliopause",POWER(Upgrades!$U$8,G49),1)*IF(Upgrades!$T$9="Heliopause",POWER(Upgrades!$U$9,H49),1)*IF(Upgrades!$T$10="Heliopause",POWER(Upgrades!$U$10,I49),1)*IF(Upgrades!$T$12="Heliopause",POWER(Upgrades!$U$12,K49),1))+(IF(K49=0,0,(Upgrades!$G$12+K49*Upgrades!$H$12)*POWER(Upgrades!$I$12,K49)))*(IF(Upgrades!$T$6="First Photons",POWER(Upgrades!$U$6,E49),1)*IF(Upgrades!$T$7="First Photons",POWER(Upgrades!$U$7,F49),1)*IF(Upgrades!$T$8="First Photons",POWER(Upgrades!$U$8,G49),1)*IF(Upgrades!$T$9="First Photons",POWER(Upgrades!$U$9,H49),1)*IF(Upgrades!$T$10="First Photons",POWER(Upgrades!$U$10,I49),1)*IF(Upgrades!$T$11="First Photons",POWER(Upgrades!$U$11,J49),1)))*POWER(Upgrades!$P$6,E49)*POWER(Upgrades!$P$7,F49)*POWER(Upgrades!$P$8,G49)*POWER(Upgrades!$P$9,H49)*POWER(Upgrades!$P$10,I49)*POWER(Upgrades!$P$11,J49)*POWER(Upgrades!$P$12,K49)</f>
        <v>9.5</v>
      </c>
      <c r="O49" s="28" t="n">
        <f aca="false">((IF(E49=0,0,(Upgrades!$M$6+E49*Upgrades!$N$6)*POWER(Upgrades!$O$6,E49)))*(IF(Upgrades!$T$7="Solar Wind",POWER(Upgrades!$U$7,F49),1)*IF(Upgrades!$T$8="Solar Wind",POWER(Upgrades!$U$8,G49),1)*IF(Upgrades!$T$9="Solar Wind",POWER(Upgrades!$U$9,H49),1)*IF(Upgrades!$T$10="Solar Wind",POWER(Upgrades!$U$10,I49),1)*IF(Upgrades!$T$11="Solar Wind",POWER(Upgrades!$U$11,J49),1)*IF(Upgrades!$T$12="Solar Wind",POWER(Upgrades!$U$12,K49),1))+(IF(F49=0,0,(Upgrades!$M$7+F49*Upgrades!$N$7)*POWER(Upgrades!$O$7,F49)))*(IF(Upgrades!$T$6="Asteroid Belt",POWER(Upgrades!$U$6,E49),1)*IF(Upgrades!$T$8="Asteroid Belt",POWER(Upgrades!$U$8,G49),1)*IF(Upgrades!$T$9="Asteroid Belt",POWER(Upgrades!$U$9,H49),1)*IF(Upgrades!$T$10="Asteroid Belt",POWER(Upgrades!$U$10,I49),1)*IF(Upgrades!$T$11="Asteroid Belt",POWER(Upgrades!$U$11,J49),1)*IF(Upgrades!$T$12="Asteroid Belt",POWER(Upgrades!$U$12,K49),1))+(IF(G49=0,0,(Upgrades!$M$8+G49*Upgrades!$N$8)*POWER(Upgrades!$O$8,G49)))*(IF(Upgrades!$T$6="Stellar Coupling",POWER(Upgrades!$U$6,E49),1)*IF(Upgrades!$T$7="Stellar Coupling",POWER(Upgrades!$U$7,F49),1)*IF(Upgrades!$T$9="Stellar Coupling",POWER(Upgrades!$U$9,H49),1)*IF(Upgrades!$T$10="Stellar Coupling",POWER(Upgrades!$U$10,I49),1)*IF(Upgrades!$T$11="Stellar Coupling",POWER(Upgrades!$U$11,J49),1)*IF(Upgrades!$T$12="Stellar Coupling",POWER(Upgrades!$U$12,K49),1))+(IF(H49=0,0,(Upgrades!$M$9+H49*Upgrades!$N$9)*POWER(Upgrades!$O$9,H49)))*(IF(Upgrades!$T$6="Magnetosphere",POWER(Upgrades!$U$6,E49),1)*IF(Upgrades!$T$7="Magnetosphere",POWER(Upgrades!$U$7,F49),1)*IF(Upgrades!$T$8="Magnetosphere",POWER(Upgrades!$U$8,G49),1)*IF(Upgrades!$T$10="Magnetosphere",POWER(Upgrades!$U$10,I49),1)*IF(Upgrades!$T$11="Magnetosphere",POWER(Upgrades!$U$11,J49),1)*IF(Upgrades!$T$12="Magnetosphere",POWER(Upgrades!$U$12,K49),1))+(IF(I49=0,0,(Upgrades!$M$10+I49*Upgrades!$N$10)*POWER(Upgrades!$O$10,I49)))*(IF(Upgrades!$T$6="Orbital Resonance",POWER(Upgrades!$U$6,E49),1)*IF(Upgrades!$T$7="Orbital Resonance",POWER(Upgrades!$U$7,F49),1)*IF(Upgrades!$T$8="Orbital Resonance",POWER(Upgrades!$U$8,G49),1)*IF(Upgrades!$T$9="Orbital Resonance",POWER(Upgrades!$U$9,H49),1)*IF(Upgrades!$T$11="Orbital Resonance",POWER(Upgrades!$U$11,J49),1)*IF(Upgrades!$T$12="Orbital Resonance",POWER(Upgrades!$U$12,K49),1))+(IF(J49=0,0,(Upgrades!$M$11+J49*Upgrades!$N$11)*POWER(Upgrades!$O$11,J49)))*(IF(Upgrades!$T$6="Heliopause",POWER(Upgrades!$U$6,E49),1)*IF(Upgrades!$T$7="Heliopause",POWER(Upgrades!$U$7,F49),1)*IF(Upgrades!$T$8="Heliopause",POWER(Upgrades!$U$8,G49),1)*IF(Upgrades!$T$9="Heliopause",POWER(Upgrades!$U$9,H49),1)*IF(Upgrades!$T$10="Heliopause",POWER(Upgrades!$U$10,I49),1)*IF(Upgrades!$T$12="Heliopause",POWER(Upgrades!$U$12,K49),1))+(IF(K49=0,0,(Upgrades!$M$12+K49*Upgrades!$N$12)*POWER(Upgrades!$O$12,K49)))*(IF(Upgrades!$T$6="First Photons",POWER(Upgrades!$U$6,E49),1)*IF(Upgrades!$T$7="First Photons",POWER(Upgrades!$U$7,F49),1)*IF(Upgrades!$T$8="First Photons",POWER(Upgrades!$U$8,G49),1)*IF(Upgrades!$T$9="First Photons",POWER(Upgrades!$U$9,H49),1)*IF(Upgrades!$T$10="First Photons",POWER(Upgrades!$U$10,I49),1)*IF(Upgrades!$T$11="First Photons",POWER(Upgrades!$U$11,J49),1)))*POWER(Upgrades!$R$6,E49)*POWER(Upgrades!$R$7,F49)*POWER(Upgrades!$R$8,G49)*POWER(Upgrades!$R$9,H49)*POWER(Upgrades!$R$10,I49)*POWER(Upgrades!$R$11,J49)*POWER(Upgrades!$R$12,K49)</f>
        <v>0</v>
      </c>
      <c r="P49" s="27" t="n">
        <f aca="false">IF(L49=1,0,M49*Parameters!$B$10/60*Parameters!$B$11*10)</f>
        <v>83</v>
      </c>
      <c r="Q49" s="27" t="n">
        <f aca="false">IF(L49=1,0,O49*M49*10)</f>
        <v>0</v>
      </c>
      <c r="R49" s="27" t="n">
        <f aca="false">IF(L49=1,0,N49*10)</f>
        <v>95</v>
      </c>
      <c r="S49" s="27" t="n">
        <f aca="false">P49+Q49+R49</f>
        <v>178</v>
      </c>
      <c r="T49" s="21" t="n">
        <f aca="false">C49+S49</f>
        <v>337.065986744308</v>
      </c>
      <c r="U49" s="34" t="str">
        <f aca="false">AX49</f>
        <v/>
      </c>
      <c r="V49" s="21" t="n">
        <f aca="false">IF(U49="",0,IF(U49="transition",0,IF(U49="SW",AG49,IF(U49="AB",AH49,IF(U49="SC",AI49,IF(U49="Mag",AJ49,IF(U49="OR",AK49,IF(U49="HP",AL49,IF(U49="FP",AM49,0)))))))))</f>
        <v>0</v>
      </c>
      <c r="W49" s="27" t="n">
        <f aca="false">IF(U49="OR",Upgrades!$F$10,IF(U49="HP",Upgrades!$F$11,IF(U49="transition",-Parameters!$B$18,0)))</f>
        <v>0</v>
      </c>
      <c r="X49" s="21" t="n">
        <f aca="false">T49-V49</f>
        <v>337.065986744308</v>
      </c>
      <c r="Y49" s="30" t="n">
        <f aca="false">M49*Parameters!$B$10/60*Parameters!$B$11+O49*M49+N49</f>
        <v>17.8</v>
      </c>
      <c r="Z49" s="35" t="str">
        <f aca="false">IF(U49="transition","→ Tier 2 (Stellar Neighborhood)",IF(U49="FP","First Photons — light begins, system quickens",IF(U49="HP","Heliopause acquired",IF(U49="OR","Orbital Resonance — passive multiplier active",IF(AND(AO49=1,L49=0,AN49&lt;&gt;1),"Cohesion ready (waiting on completionist upgrades)","")))))</f>
        <v>Cohesion ready (waiting on completionist upgrades)</v>
      </c>
      <c r="AA49" s="27" t="n">
        <f aca="false">(IF(E49=0,0,(Upgrades!$G$6+E49*Upgrades!$H$6)*POWER(Upgrades!$I$6,E49)))*(IF(Upgrades!$T$7="Solar Wind",POWER(Upgrades!$U$7,F49),1)*IF(Upgrades!$T$8="Solar Wind",POWER(Upgrades!$U$8,G49),1)*IF(Upgrades!$T$9="Solar Wind",POWER(Upgrades!$U$9,H49),1)*IF(Upgrades!$T$10="Solar Wind",POWER(Upgrades!$U$10,I49),1)*IF(Upgrades!$T$11="Solar Wind",POWER(Upgrades!$U$11,J49),1)*IF(Upgrades!$T$12="Solar Wind",POWER(Upgrades!$U$12,K49),1))*POWER(Upgrades!$P$6,E49)*POWER(Upgrades!$P$7,F49)*POWER(Upgrades!$P$8,G49)*POWER(Upgrades!$P$9,H49)*POWER(Upgrades!$P$10,I49)*POWER(Upgrades!$P$11,J49)*POWER(Upgrades!$P$12,K49)*60</f>
        <v>60</v>
      </c>
      <c r="AB49" s="27" t="n">
        <f aca="false">(IF(F49=0,0,(Upgrades!$G$7+F49*Upgrades!$H$7)*POWER(Upgrades!$I$7,F49)))*(IF(Upgrades!$T$6="Asteroid Belt",POWER(Upgrades!$U$6,E49),1)*IF(Upgrades!$T$8="Asteroid Belt",POWER(Upgrades!$U$8,G49),1)*IF(Upgrades!$T$9="Asteroid Belt",POWER(Upgrades!$U$9,H49),1)*IF(Upgrades!$T$10="Asteroid Belt",POWER(Upgrades!$U$10,I49),1)*IF(Upgrades!$T$11="Asteroid Belt",POWER(Upgrades!$U$11,J49),1)*IF(Upgrades!$T$12="Asteroid Belt",POWER(Upgrades!$U$12,K49),1))*POWER(Upgrades!$P$6,E49)*POWER(Upgrades!$P$7,F49)*POWER(Upgrades!$P$8,G49)*POWER(Upgrades!$P$9,H49)*POWER(Upgrades!$P$10,I49)*POWER(Upgrades!$P$11,J49)*POWER(Upgrades!$P$12,K49)*60</f>
        <v>135</v>
      </c>
      <c r="AC49" s="27" t="n">
        <f aca="false">(IF(G49=0,0,(Upgrades!$J$8+G49*Upgrades!$K$8)*POWER(Upgrades!$L$8,G49)))*(IF(Upgrades!$T$6="Stellar Coupling",POWER(Upgrades!$U$6,E49),1)*IF(Upgrades!$T$7="Stellar Coupling",POWER(Upgrades!$U$7,F49),1)*IF(Upgrades!$T$9="Stellar Coupling",POWER(Upgrades!$U$9,H49),1)*IF(Upgrades!$T$10="Stellar Coupling",POWER(Upgrades!$U$10,I49),1)*IF(Upgrades!$T$11="Stellar Coupling",POWER(Upgrades!$U$11,J49),1)*IF(Upgrades!$T$12="Stellar Coupling",POWER(Upgrades!$U$12,K49),1))*POWER(Upgrades!$Q$6,E49)*POWER(Upgrades!$Q$7,F49)*POWER(Upgrades!$Q$8,G49)*POWER(Upgrades!$Q$9,H49)*POWER(Upgrades!$Q$10,I49)*POWER(Upgrades!$Q$11,J49)*POWER(Upgrades!$Q$12,K49)*Parameters!$B$10*Parameters!$B$11</f>
        <v>378</v>
      </c>
      <c r="AD49" s="27" t="n">
        <f aca="false">(IF(H49=0,0,(Upgrades!$G$9+H49*Upgrades!$H$9)*POWER(Upgrades!$I$9,H49)))*(IF(Upgrades!$T$6="Magnetosphere",POWER(Upgrades!$U$6,E49),1)*IF(Upgrades!$T$7="Magnetosphere",POWER(Upgrades!$U$7,F49),1)*IF(Upgrades!$T$8="Magnetosphere",POWER(Upgrades!$U$8,G49),1)*IF(Upgrades!$T$10="Magnetosphere",POWER(Upgrades!$U$10,I49),1)*IF(Upgrades!$T$11="Magnetosphere",POWER(Upgrades!$U$11,J49),1)*IF(Upgrades!$T$12="Magnetosphere",POWER(Upgrades!$U$12,K49),1))*POWER(Upgrades!$P$6,E49)*POWER(Upgrades!$P$7,F49)*POWER(Upgrades!$P$8,G49)*POWER(Upgrades!$P$9,H49)*POWER(Upgrades!$P$10,I49)*POWER(Upgrades!$P$11,J49)*POWER(Upgrades!$P$12,K49)*60</f>
        <v>300</v>
      </c>
      <c r="AE49" s="27" t="n">
        <f aca="false">(IF(K49=0,0,(Upgrades!$G$12+K49*Upgrades!$H$12)*POWER(Upgrades!$I$12,K49)))*(IF(Upgrades!$T$6="First Photons",POWER(Upgrades!$U$6,E49),1)*IF(Upgrades!$T$7="First Photons",POWER(Upgrades!$U$7,F49),1)*IF(Upgrades!$T$8="First Photons",POWER(Upgrades!$U$8,G49),1)*IF(Upgrades!$T$9="First Photons",POWER(Upgrades!$U$9,H49),1)*IF(Upgrades!$T$10="First Photons",POWER(Upgrades!$U$10,I49),1)*IF(Upgrades!$T$11="First Photons",POWER(Upgrades!$U$11,J49),1))*POWER(Upgrades!$P$6,E49)*POWER(Upgrades!$P$7,F49)*POWER(Upgrades!$P$8,G49)*POWER(Upgrades!$P$9,H49)*POWER(Upgrades!$P$10,I49)*POWER(Upgrades!$P$11,J49)*POWER(Upgrades!$P$12,K49)*60</f>
        <v>75</v>
      </c>
      <c r="AF49" s="27" t="n">
        <f aca="false">Parameters!$B$9*POWER(Upgrades!$Q$6,E49)*POWER(Upgrades!$Q$7,F49)*POWER(Upgrades!$Q$8,G49)*POWER(Upgrades!$Q$9,H49)*POWER(Upgrades!$Q$10,I49)*POWER(Upgrades!$Q$11,J49)*POWER(Upgrades!$Q$12,K49)*(Parameters!$B$10*Parameters!$B$11+O49*60)</f>
        <v>120</v>
      </c>
      <c r="AG49" s="21" t="n">
        <f aca="false">IF(E49&gt;=Upgrades!$E$6,"",Upgrades!$C$6*POWER(Upgrades!$D$6,E49))</f>
        <v>28.3189041499553</v>
      </c>
      <c r="AH49" s="21" t="n">
        <f aca="false">IF(F49&gt;=Upgrades!$E$7,"",Upgrades!$C$7*POWER(Upgrades!$D$7,F49))</f>
        <v>70.3575258383984</v>
      </c>
      <c r="AI49" s="21" t="n">
        <f aca="false">IF(G49&gt;=Upgrades!$E$8,"",Upgrades!$C$8*POWER(Upgrades!$D$8,G49))</f>
        <v>165.649792</v>
      </c>
      <c r="AJ49" s="21" t="n">
        <f aca="false">IF(H49&gt;=Upgrades!$E$9,"",Upgrades!$C$9*POWER(Upgrades!$D$9,H49))</f>
        <v>1280</v>
      </c>
      <c r="AK49" s="21" t="str">
        <f aca="false">IF(I49&gt;=Upgrades!$E$10,"",Upgrades!$C$10*POWER(Upgrades!$D$10,I49))</f>
        <v/>
      </c>
      <c r="AL49" s="21" t="str">
        <f aca="false">IF(J49&gt;=Upgrades!$E$11,"",Upgrades!$C$11*POWER(Upgrades!$D$11,J49))</f>
        <v/>
      </c>
      <c r="AM49" s="21" t="str">
        <f aca="false">IF(K49&gt;=Upgrades!$E$12,"",Upgrades!$C$12*POWER(Upgrades!$D$12,K49))</f>
        <v/>
      </c>
      <c r="AN49" s="26" t="str">
        <f aca="false">IF(AND(D49&gt;=Parameters!$B$18,(H49&gt;=Upgrades!$E$9)*(K49&gt;=Upgrades!$E$12)=1,L49=0),1,"")</f>
        <v/>
      </c>
      <c r="AO49" s="26" t="n">
        <f aca="false">IF(AND(D49&gt;=Parameters!$B$18,L49=0),1,"")</f>
        <v>1</v>
      </c>
      <c r="AP49" s="21" t="n">
        <f aca="false">MIN(IF(ISNUMBER(AK49),AK49,9000000000000000),IF(ISNUMBER(AL49),AL49,9000000000000000),IF(ISNUMBER(AM49),AM49,9000000000000000))</f>
        <v>9000000000000000</v>
      </c>
      <c r="AQ49" s="21" t="n">
        <f aca="false">MIN(IF(ISNUMBER(AG49),AG49,9000000000000000),IF(ISNUMBER(AH49),AH49,9000000000000000),IF(ISNUMBER(AI49),AI49,9000000000000000),IF(ISNUMBER(AJ49),AJ49,9000000000000000))</f>
        <v>28.3189041499553</v>
      </c>
      <c r="AR49" s="32" t="b">
        <f aca="false">IF(AW49&gt;Parameters!$B$21*(MAX(IF(AND(NOT(AND(AO49=1,AN49&lt;&gt;1)),ISNUMBER(AG49),AG49&lt;=T49),AS49,0),IF(AND(NOT(AND(AO49=1,AN49&lt;&gt;1)),ISNUMBER(AH49),AH49&lt;=T49),AT49,0),IF(AND(NOT(AND(AO49=1,AN49&lt;&gt;1)),ISNUMBER(AI49),AI49&lt;=T49),AU49,0),IF(AND(ISNUMBER(AJ49),AJ49&lt;=T49),AV49,0))),TRUE(),FALSE())</f>
        <v>1</v>
      </c>
      <c r="AS49" s="33" t="n">
        <f aca="false">IFERROR(Upgrades!$H$6*(POWER(Upgrades!$P$6,E49)*POWER(Upgrades!$P$7,F49)*POWER(Upgrades!$P$8,G49)*POWER(Upgrades!$P$9,H49)*POWER(Upgrades!$P$10,I49)*POWER(Upgrades!$P$11,J49)*POWER(Upgrades!$P$12,K49))*(IF(Upgrades!$T$7="Solar Wind",POWER(Upgrades!$U$7,F49),1)*IF(Upgrades!$T$8="Solar Wind",POWER(Upgrades!$U$8,G49),1)*IF(Upgrades!$T$9="Solar Wind",POWER(Upgrades!$U$9,H49),1)*IF(Upgrades!$T$10="Solar Wind",POWER(Upgrades!$U$10,I49),1)*IF(Upgrades!$T$11="Solar Wind",POWER(Upgrades!$U$11,J49),1)*IF(Upgrades!$T$12="Solar Wind",POWER(Upgrades!$U$12,K49),1))/AG49,0)</f>
        <v>0.00353121008745523</v>
      </c>
      <c r="AT49" s="33" t="n">
        <f aca="false">IFERROR(Upgrades!$H$7*(POWER(Upgrades!$P$6,E49)*POWER(Upgrades!$P$7,F49)*POWER(Upgrades!$P$8,G49)*POWER(Upgrades!$P$9,H49)*POWER(Upgrades!$P$10,I49)*POWER(Upgrades!$P$11,J49)*POWER(Upgrades!$P$12,K49))*(IF(Upgrades!$T$6="Asteroid Belt",POWER(Upgrades!$U$6,E49),1)*IF(Upgrades!$T$8="Asteroid Belt",POWER(Upgrades!$U$8,G49),1)*IF(Upgrades!$T$9="Asteroid Belt",POWER(Upgrades!$U$9,H49),1)*IF(Upgrades!$T$10="Asteroid Belt",POWER(Upgrades!$U$10,I49),1)*IF(Upgrades!$T$11="Asteroid Belt",POWER(Upgrades!$U$11,J49),1)*IF(Upgrades!$T$12="Asteroid Belt",POWER(Upgrades!$U$12,K49),1))/AH49,0)</f>
        <v>0.00355328015050182</v>
      </c>
      <c r="AU49" s="33" t="n">
        <f aca="false">IFERROR(Upgrades!$K$8*(POWER(Upgrades!$Q$6,E49)*POWER(Upgrades!$Q$7,F49)*POWER(Upgrades!$Q$8,G49)*POWER(Upgrades!$Q$9,H49)*POWER(Upgrades!$Q$10,I49)*POWER(Upgrades!$Q$11,J49)*POWER(Upgrades!$Q$12,K49))*(IF(Upgrades!$T$6="Stellar Coupling",POWER(Upgrades!$U$6,E49),1)*IF(Upgrades!$T$7="Stellar Coupling",POWER(Upgrades!$U$7,F49),1)*IF(Upgrades!$T$9="Stellar Coupling",POWER(Upgrades!$U$9,H49),1)*IF(Upgrades!$T$10="Stellar Coupling",POWER(Upgrades!$U$10,I49),1)*IF(Upgrades!$T$11="Stellar Coupling",POWER(Upgrades!$U$11,J49),1)*IF(Upgrades!$T$12="Stellar Coupling",POWER(Upgrades!$U$12,K49),1))*Parameters!$B$10*Parameters!$B$11/60/AI49,0)</f>
        <v>0.00633867382097287</v>
      </c>
      <c r="AV49" s="33" t="n">
        <f aca="false">IFERROR(Upgrades!$H$9*(POWER(Upgrades!$P$6,E49)*POWER(Upgrades!$P$7,F49)*POWER(Upgrades!$P$8,G49)*POWER(Upgrades!$P$9,H49)*POWER(Upgrades!$P$10,I49)*POWER(Upgrades!$P$11,J49)*POWER(Upgrades!$P$12,K49))*(IF(Upgrades!$T$6="Magnetosphere",POWER(Upgrades!$U$6,E49),1)*IF(Upgrades!$T$7="Magnetosphere",POWER(Upgrades!$U$7,F49),1)*IF(Upgrades!$T$8="Magnetosphere",POWER(Upgrades!$U$8,G49),1)*IF(Upgrades!$T$10="Magnetosphere",POWER(Upgrades!$U$10,I49),1)*IF(Upgrades!$T$11="Magnetosphere",POWER(Upgrades!$U$11,J49),1)*IF(Upgrades!$T$12="Magnetosphere",POWER(Upgrades!$U$12,K49),1))/AJ49,0)</f>
        <v>0.0009765625</v>
      </c>
      <c r="AW49" s="33" t="n">
        <f aca="false">MAX(IF(I49&gt;0,0,IFERROR(0.25*N49/Upgrades!$C$10,0)),IF(J49&gt;0,0,IFERROR(0.5*((IF(G49=0,0,(Upgrades!$J$8+G49*Upgrades!$K$8)*POWER(Upgrades!$L$8,G49)))*(IF(Upgrades!$T$6="Stellar Coupling",POWER(Upgrades!$U$6,E49),1)*IF(Upgrades!$T$7="Stellar Coupling",POWER(Upgrades!$U$7,F49),1)*IF(Upgrades!$T$9="Stellar Coupling",POWER(Upgrades!$U$9,H49),1)*IF(Upgrades!$T$10="Stellar Coupling",POWER(Upgrades!$U$10,I49),1)*IF(Upgrades!$T$11="Stellar Coupling",POWER(Upgrades!$U$11,J49),1)*IF(Upgrades!$T$12="Stellar Coupling",POWER(Upgrades!$U$12,K49),1))*(POWER(Upgrades!$Q$6,E49)*POWER(Upgrades!$Q$7,F49)*POWER(Upgrades!$Q$8,G49)*POWER(Upgrades!$Q$9,H49)*POWER(Upgrades!$Q$10,I49)*POWER(Upgrades!$Q$11,J49)*POWER(Upgrades!$Q$12,K49))*Parameters!$B$10*Parameters!$B$11/60)/Upgrades!$C$11,0)),IF(K49&gt;0,0,IFERROR((1*(POWER(Upgrades!$P$6,E49)*POWER(Upgrades!$P$7,F49)*POWER(Upgrades!$P$8,G49)*POWER(Upgrades!$P$9,H49)*POWER(Upgrades!$P$10,I49)*POWER(Upgrades!$P$11,J49)*POWER(Upgrades!$P$12,K49))+0.2*M49*Parameters!$B$10*Parameters!$B$11/60)/Upgrades!$C$12,0)),IF(AND(ISNUMBER(AG49),AG49&gt;T49),AS49,0),IF(AND(ISNUMBER(AH49),AH49&gt;T49),AT49,0),IF(AND(ISNUMBER(AI49),AI49&gt;T49),AU49,0),IF(AND(ISNUMBER(AJ49),AJ49&gt;T49),AV49,0))</f>
        <v>0.0009765625</v>
      </c>
      <c r="AX49" s="29" t="str">
        <f aca="false">IF(AN49=1,"transition",IF(MIN(IF(AND(I49=0,ISNUMBER(AK49),AK49&lt;=T49),AK49,9000000000000000),IF(AND(J49=0,ISNUMBER(AL49),AL49&lt;=T49),AL49,9000000000000000),IF(AND(K49=0,ISNUMBER(AM49),AM49&lt;=T49),AM49,9000000000000000))&lt;9000000000000000,IF(AND(AND(I49=0,ISNUMBER(AK49),AK49&lt;=T49),AK49=MIN(IF(AND(I49=0,ISNUMBER(AK49),AK49&lt;=T49),AK49,9000000000000000),IF(AND(J49=0,ISNUMBER(AL49),AL49&lt;=T49),AL49,9000000000000000),IF(AND(K49=0,ISNUMBER(AM49),AM49&lt;=T49),AM49,9000000000000000))),"OR",IF(AND(AND(J49=0,ISNUMBER(AL49),AL49&lt;=T49),AL49=MIN(IF(AND(I49=0,ISNUMBER(AK49),AK49&lt;=T49),AK49,9000000000000000),IF(AND(J49=0,ISNUMBER(AL49),AL49&lt;=T49),AL49,9000000000000000),IF(AND(K49=0,ISNUMBER(AM49),AM49&lt;=T49),AM49,9000000000000000))),"HP","FP")),IF(AR49=TRUE(),"",IF(MAX(IF(AND(NOT(AND(AO49=1,AN49&lt;&gt;1)),ISNUMBER(AG49),AG49&lt;=T49),AS49,0),IF(AND(NOT(AND(AO49=1,AN49&lt;&gt;1)),ISNUMBER(AH49),AH49&lt;=T49),AT49,0),IF(AND(NOT(AND(AO49=1,AN49&lt;&gt;1)),ISNUMBER(AI49),AI49&lt;=T49),AU49,0),IF(AND(ISNUMBER(AJ49),AJ49&lt;=T49),AV49,0))&lt;=0,"",IF(AND(IF(AND(NOT(AND(AO49=1,AN49&lt;&gt;1)),ISNUMBER(AG49),AG49&lt;=T49),AS49,0)&gt;0,IF(AND(NOT(AND(AO49=1,AN49&lt;&gt;1)),ISNUMBER(AG49),AG49&lt;=T49),AS49,0)=MAX(IF(AND(NOT(AND(AO49=1,AN49&lt;&gt;1)),ISNUMBER(AG49),AG49&lt;=T49),AS49,0),IF(AND(NOT(AND(AO49=1,AN49&lt;&gt;1)),ISNUMBER(AH49),AH49&lt;=T49),AT49,0),IF(AND(NOT(AND(AO49=1,AN49&lt;&gt;1)),ISNUMBER(AI49),AI49&lt;=T49),AU49,0),IF(AND(ISNUMBER(AJ49),AJ49&lt;=T49),AV49,0))),"SW",IF(AND(IF(AND(NOT(AND(AO49=1,AN49&lt;&gt;1)),ISNUMBER(AH49),AH49&lt;=T49),AT49,0)&gt;0,IF(AND(NOT(AND(AO49=1,AN49&lt;&gt;1)),ISNUMBER(AH49),AH49&lt;=T49),AT49,0)=MAX(IF(AND(NOT(AND(AO49=1,AN49&lt;&gt;1)),ISNUMBER(AG49),AG49&lt;=T49),AS49,0),IF(AND(NOT(AND(AO49=1,AN49&lt;&gt;1)),ISNUMBER(AH49),AH49&lt;=T49),AT49,0),IF(AND(NOT(AND(AO49=1,AN49&lt;&gt;1)),ISNUMBER(AI49),AI49&lt;=T49),AU49,0),IF(AND(ISNUMBER(AJ49),AJ49&lt;=T49),AV49,0))),"AB",IF(AND(IF(AND(NOT(AND(AO49=1,AN49&lt;&gt;1)),ISNUMBER(AI49),AI49&lt;=T49),AU49,0)&gt;0,IF(AND(NOT(AND(AO49=1,AN49&lt;&gt;1)),ISNUMBER(AI49),AI49&lt;=T49),AU49,0)=MAX(IF(AND(NOT(AND(AO49=1,AN49&lt;&gt;1)),ISNUMBER(AG49),AG49&lt;=T49),AS49,0),IF(AND(NOT(AND(AO49=1,AN49&lt;&gt;1)),ISNUMBER(AH49),AH49&lt;=T49),AT49,0),IF(AND(NOT(AND(AO49=1,AN49&lt;&gt;1)),ISNUMBER(AI49),AI49&lt;=T49),AU49,0),IF(AND(ISNUMBER(AJ49),AJ49&lt;=T49),AV49,0))),"SC","Mag")))))))</f>
        <v/>
      </c>
    </row>
    <row r="50" customFormat="false" ht="15" hidden="false" customHeight="false" outlineLevel="0" collapsed="false">
      <c r="A50" s="26" t="n">
        <v>45</v>
      </c>
      <c r="B50" s="27" t="n">
        <f aca="false">A50*10/60</f>
        <v>7.5</v>
      </c>
      <c r="C50" s="21" t="n">
        <f aca="false">X49</f>
        <v>337.065986744308</v>
      </c>
      <c r="D50" s="27" t="n">
        <f aca="false">D49+W49</f>
        <v>1</v>
      </c>
      <c r="E50" s="26" t="n">
        <f aca="false">E49+IF(U49="SW",1,0)</f>
        <v>10</v>
      </c>
      <c r="F50" s="26" t="n">
        <f aca="false">F49+IF(U49="AB",1,0)</f>
        <v>9</v>
      </c>
      <c r="G50" s="26" t="n">
        <f aca="false">G49+IF(U49="SC",1,0)</f>
        <v>6</v>
      </c>
      <c r="H50" s="26" t="n">
        <f aca="false">H49+IF(U49="Mag",1,0)</f>
        <v>4</v>
      </c>
      <c r="I50" s="26" t="n">
        <f aca="false">MAX(I49,IF(U49="OR",1,0))</f>
        <v>1</v>
      </c>
      <c r="J50" s="26" t="n">
        <f aca="false">MAX(J49,IF(U49="HP",1,0))</f>
        <v>1</v>
      </c>
      <c r="K50" s="26" t="n">
        <f aca="false">MAX(K49,IF(U49="FP",1,0))</f>
        <v>1</v>
      </c>
      <c r="L50" s="26" t="n">
        <f aca="false">MAX(L49,IF(U49="transition",1,0))</f>
        <v>0</v>
      </c>
      <c r="M50" s="28" t="n">
        <f aca="false">(Parameters!$B$9+(IF(E50=0,0,(Upgrades!$J$6+E50*Upgrades!$K$6)*POWER(Upgrades!$L$6,E50)))*(IF(Upgrades!$T$7="Solar Wind",POWER(Upgrades!$U$7,F50),1)*IF(Upgrades!$T$8="Solar Wind",POWER(Upgrades!$U$8,G50),1)*IF(Upgrades!$T$9="Solar Wind",POWER(Upgrades!$U$9,H50),1)*IF(Upgrades!$T$10="Solar Wind",POWER(Upgrades!$U$10,I50),1)*IF(Upgrades!$T$11="Solar Wind",POWER(Upgrades!$U$11,J50),1)*IF(Upgrades!$T$12="Solar Wind",POWER(Upgrades!$U$12,K50),1))+(IF(F50=0,0,(Upgrades!$J$7+F50*Upgrades!$K$7)*POWER(Upgrades!$L$7,F50)))*(IF(Upgrades!$T$6="Asteroid Belt",POWER(Upgrades!$U$6,E50),1)*IF(Upgrades!$T$8="Asteroid Belt",POWER(Upgrades!$U$8,G50),1)*IF(Upgrades!$T$9="Asteroid Belt",POWER(Upgrades!$U$9,H50),1)*IF(Upgrades!$T$10="Asteroid Belt",POWER(Upgrades!$U$10,I50),1)*IF(Upgrades!$T$11="Asteroid Belt",POWER(Upgrades!$U$11,J50),1)*IF(Upgrades!$T$12="Asteroid Belt",POWER(Upgrades!$U$12,K50),1))+(IF(G50=0,0,(Upgrades!$J$8+G50*Upgrades!$K$8)*POWER(Upgrades!$L$8,G50)))*(IF(Upgrades!$T$6="Stellar Coupling",POWER(Upgrades!$U$6,E50),1)*IF(Upgrades!$T$7="Stellar Coupling",POWER(Upgrades!$U$7,F50),1)*IF(Upgrades!$T$9="Stellar Coupling",POWER(Upgrades!$U$9,H50),1)*IF(Upgrades!$T$10="Stellar Coupling",POWER(Upgrades!$U$10,I50),1)*IF(Upgrades!$T$11="Stellar Coupling",POWER(Upgrades!$U$11,J50),1)*IF(Upgrades!$T$12="Stellar Coupling",POWER(Upgrades!$U$12,K50),1))+(IF(H50=0,0,(Upgrades!$J$9+H50*Upgrades!$K$9)*POWER(Upgrades!$L$9,H50)))*(IF(Upgrades!$T$6="Magnetosphere",POWER(Upgrades!$U$6,E50),1)*IF(Upgrades!$T$7="Magnetosphere",POWER(Upgrades!$U$7,F50),1)*IF(Upgrades!$T$8="Magnetosphere",POWER(Upgrades!$U$8,G50),1)*IF(Upgrades!$T$10="Magnetosphere",POWER(Upgrades!$U$10,I50),1)*IF(Upgrades!$T$11="Magnetosphere",POWER(Upgrades!$U$11,J50),1)*IF(Upgrades!$T$12="Magnetosphere",POWER(Upgrades!$U$12,K50),1))+(IF(I50=0,0,(Upgrades!$J$10+I50*Upgrades!$K$10)*POWER(Upgrades!$L$10,I50)))*(IF(Upgrades!$T$6="Orbital Resonance",POWER(Upgrades!$U$6,E50),1)*IF(Upgrades!$T$7="Orbital Resonance",POWER(Upgrades!$U$7,F50),1)*IF(Upgrades!$T$8="Orbital Resonance",POWER(Upgrades!$U$8,G50),1)*IF(Upgrades!$T$9="Orbital Resonance",POWER(Upgrades!$U$9,H50),1)*IF(Upgrades!$T$11="Orbital Resonance",POWER(Upgrades!$U$11,J50),1)*IF(Upgrades!$T$12="Orbital Resonance",POWER(Upgrades!$U$12,K50),1))+(IF(J50=0,0,(Upgrades!$J$11+J50*Upgrades!$K$11)*POWER(Upgrades!$L$11,J50)))*(IF(Upgrades!$T$6="Heliopause",POWER(Upgrades!$U$6,E50),1)*IF(Upgrades!$T$7="Heliopause",POWER(Upgrades!$U$7,F50),1)*IF(Upgrades!$T$8="Heliopause",POWER(Upgrades!$U$8,G50),1)*IF(Upgrades!$T$9="Heliopause",POWER(Upgrades!$U$9,H50),1)*IF(Upgrades!$T$10="Heliopause",POWER(Upgrades!$U$10,I50),1)*IF(Upgrades!$T$12="Heliopause",POWER(Upgrades!$U$12,K50),1))+(IF(K50=0,0,(Upgrades!$J$12+K50*Upgrades!$K$12)*POWER(Upgrades!$L$12,K50)))*(IF(Upgrades!$T$6="First Photons",POWER(Upgrades!$U$6,E50),1)*IF(Upgrades!$T$7="First Photons",POWER(Upgrades!$U$7,F50),1)*IF(Upgrades!$T$8="First Photons",POWER(Upgrades!$U$8,G50),1)*IF(Upgrades!$T$9="First Photons",POWER(Upgrades!$U$9,H50),1)*IF(Upgrades!$T$10="First Photons",POWER(Upgrades!$U$10,I50),1)*IF(Upgrades!$T$11="First Photons",POWER(Upgrades!$U$11,J50),1)))*POWER(Upgrades!$Q$6,E50)*POWER(Upgrades!$Q$7,F50)*POWER(Upgrades!$Q$8,G50)*POWER(Upgrades!$Q$9,H50)*POWER(Upgrades!$Q$10,I50)*POWER(Upgrades!$Q$11,J50)*POWER(Upgrades!$Q$12,K50)</f>
        <v>4.98</v>
      </c>
      <c r="N50" s="28" t="n">
        <f aca="false">((IF(E50=0,0,(Upgrades!$G$6+E50*Upgrades!$H$6)*POWER(Upgrades!$I$6,E50)))*(IF(Upgrades!$T$7="Solar Wind",POWER(Upgrades!$U$7,F50),1)*IF(Upgrades!$T$8="Solar Wind",POWER(Upgrades!$U$8,G50),1)*IF(Upgrades!$T$9="Solar Wind",POWER(Upgrades!$U$9,H50),1)*IF(Upgrades!$T$10="Solar Wind",POWER(Upgrades!$U$10,I50),1)*IF(Upgrades!$T$11="Solar Wind",POWER(Upgrades!$U$11,J50),1)*IF(Upgrades!$T$12="Solar Wind",POWER(Upgrades!$U$12,K50),1))+(IF(F50=0,0,(Upgrades!$G$7+F50*Upgrades!$H$7)*POWER(Upgrades!$I$7,F50)))*(IF(Upgrades!$T$6="Asteroid Belt",POWER(Upgrades!$U$6,E50),1)*IF(Upgrades!$T$8="Asteroid Belt",POWER(Upgrades!$U$8,G50),1)*IF(Upgrades!$T$9="Asteroid Belt",POWER(Upgrades!$U$9,H50),1)*IF(Upgrades!$T$10="Asteroid Belt",POWER(Upgrades!$U$10,I50),1)*IF(Upgrades!$T$11="Asteroid Belt",POWER(Upgrades!$U$11,J50),1)*IF(Upgrades!$T$12="Asteroid Belt",POWER(Upgrades!$U$12,K50),1))+(IF(G50=0,0,(Upgrades!$G$8+G50*Upgrades!$H$8)*POWER(Upgrades!$I$8,G50)))*(IF(Upgrades!$T$6="Stellar Coupling",POWER(Upgrades!$U$6,E50),1)*IF(Upgrades!$T$7="Stellar Coupling",POWER(Upgrades!$U$7,F50),1)*IF(Upgrades!$T$9="Stellar Coupling",POWER(Upgrades!$U$9,H50),1)*IF(Upgrades!$T$10="Stellar Coupling",POWER(Upgrades!$U$10,I50),1)*IF(Upgrades!$T$11="Stellar Coupling",POWER(Upgrades!$U$11,J50),1)*IF(Upgrades!$T$12="Stellar Coupling",POWER(Upgrades!$U$12,K50),1))+(IF(H50=0,0,(Upgrades!$G$9+H50*Upgrades!$H$9)*POWER(Upgrades!$I$9,H50)))*(IF(Upgrades!$T$6="Magnetosphere",POWER(Upgrades!$U$6,E50),1)*IF(Upgrades!$T$7="Magnetosphere",POWER(Upgrades!$U$7,F50),1)*IF(Upgrades!$T$8="Magnetosphere",POWER(Upgrades!$U$8,G50),1)*IF(Upgrades!$T$10="Magnetosphere",POWER(Upgrades!$U$10,I50),1)*IF(Upgrades!$T$11="Magnetosphere",POWER(Upgrades!$U$11,J50),1)*IF(Upgrades!$T$12="Magnetosphere",POWER(Upgrades!$U$12,K50),1))+(IF(I50=0,0,(Upgrades!$G$10+I50*Upgrades!$H$10)*POWER(Upgrades!$I$10,I50)))*(IF(Upgrades!$T$6="Orbital Resonance",POWER(Upgrades!$U$6,E50),1)*IF(Upgrades!$T$7="Orbital Resonance",POWER(Upgrades!$U$7,F50),1)*IF(Upgrades!$T$8="Orbital Resonance",POWER(Upgrades!$U$8,G50),1)*IF(Upgrades!$T$9="Orbital Resonance",POWER(Upgrades!$U$9,H50),1)*IF(Upgrades!$T$11="Orbital Resonance",POWER(Upgrades!$U$11,J50),1)*IF(Upgrades!$T$12="Orbital Resonance",POWER(Upgrades!$U$12,K50),1))+(IF(J50=0,0,(Upgrades!$G$11+J50*Upgrades!$H$11)*POWER(Upgrades!$I$11,J50)))*(IF(Upgrades!$T$6="Heliopause",POWER(Upgrades!$U$6,E50),1)*IF(Upgrades!$T$7="Heliopause",POWER(Upgrades!$U$7,F50),1)*IF(Upgrades!$T$8="Heliopause",POWER(Upgrades!$U$8,G50),1)*IF(Upgrades!$T$9="Heliopause",POWER(Upgrades!$U$9,H50),1)*IF(Upgrades!$T$10="Heliopause",POWER(Upgrades!$U$10,I50),1)*IF(Upgrades!$T$12="Heliopause",POWER(Upgrades!$U$12,K50),1))+(IF(K50=0,0,(Upgrades!$G$12+K50*Upgrades!$H$12)*POWER(Upgrades!$I$12,K50)))*(IF(Upgrades!$T$6="First Photons",POWER(Upgrades!$U$6,E50),1)*IF(Upgrades!$T$7="First Photons",POWER(Upgrades!$U$7,F50),1)*IF(Upgrades!$T$8="First Photons",POWER(Upgrades!$U$8,G50),1)*IF(Upgrades!$T$9="First Photons",POWER(Upgrades!$U$9,H50),1)*IF(Upgrades!$T$10="First Photons",POWER(Upgrades!$U$10,I50),1)*IF(Upgrades!$T$11="First Photons",POWER(Upgrades!$U$11,J50),1)))*POWER(Upgrades!$P$6,E50)*POWER(Upgrades!$P$7,F50)*POWER(Upgrades!$P$8,G50)*POWER(Upgrades!$P$9,H50)*POWER(Upgrades!$P$10,I50)*POWER(Upgrades!$P$11,J50)*POWER(Upgrades!$P$12,K50)</f>
        <v>9.5</v>
      </c>
      <c r="O50" s="28" t="n">
        <f aca="false">((IF(E50=0,0,(Upgrades!$M$6+E50*Upgrades!$N$6)*POWER(Upgrades!$O$6,E50)))*(IF(Upgrades!$T$7="Solar Wind",POWER(Upgrades!$U$7,F50),1)*IF(Upgrades!$T$8="Solar Wind",POWER(Upgrades!$U$8,G50),1)*IF(Upgrades!$T$9="Solar Wind",POWER(Upgrades!$U$9,H50),1)*IF(Upgrades!$T$10="Solar Wind",POWER(Upgrades!$U$10,I50),1)*IF(Upgrades!$T$11="Solar Wind",POWER(Upgrades!$U$11,J50),1)*IF(Upgrades!$T$12="Solar Wind",POWER(Upgrades!$U$12,K50),1))+(IF(F50=0,0,(Upgrades!$M$7+F50*Upgrades!$N$7)*POWER(Upgrades!$O$7,F50)))*(IF(Upgrades!$T$6="Asteroid Belt",POWER(Upgrades!$U$6,E50),1)*IF(Upgrades!$T$8="Asteroid Belt",POWER(Upgrades!$U$8,G50),1)*IF(Upgrades!$T$9="Asteroid Belt",POWER(Upgrades!$U$9,H50),1)*IF(Upgrades!$T$10="Asteroid Belt",POWER(Upgrades!$U$10,I50),1)*IF(Upgrades!$T$11="Asteroid Belt",POWER(Upgrades!$U$11,J50),1)*IF(Upgrades!$T$12="Asteroid Belt",POWER(Upgrades!$U$12,K50),1))+(IF(G50=0,0,(Upgrades!$M$8+G50*Upgrades!$N$8)*POWER(Upgrades!$O$8,G50)))*(IF(Upgrades!$T$6="Stellar Coupling",POWER(Upgrades!$U$6,E50),1)*IF(Upgrades!$T$7="Stellar Coupling",POWER(Upgrades!$U$7,F50),1)*IF(Upgrades!$T$9="Stellar Coupling",POWER(Upgrades!$U$9,H50),1)*IF(Upgrades!$T$10="Stellar Coupling",POWER(Upgrades!$U$10,I50),1)*IF(Upgrades!$T$11="Stellar Coupling",POWER(Upgrades!$U$11,J50),1)*IF(Upgrades!$T$12="Stellar Coupling",POWER(Upgrades!$U$12,K50),1))+(IF(H50=0,0,(Upgrades!$M$9+H50*Upgrades!$N$9)*POWER(Upgrades!$O$9,H50)))*(IF(Upgrades!$T$6="Magnetosphere",POWER(Upgrades!$U$6,E50),1)*IF(Upgrades!$T$7="Magnetosphere",POWER(Upgrades!$U$7,F50),1)*IF(Upgrades!$T$8="Magnetosphere",POWER(Upgrades!$U$8,G50),1)*IF(Upgrades!$T$10="Magnetosphere",POWER(Upgrades!$U$10,I50),1)*IF(Upgrades!$T$11="Magnetosphere",POWER(Upgrades!$U$11,J50),1)*IF(Upgrades!$T$12="Magnetosphere",POWER(Upgrades!$U$12,K50),1))+(IF(I50=0,0,(Upgrades!$M$10+I50*Upgrades!$N$10)*POWER(Upgrades!$O$10,I50)))*(IF(Upgrades!$T$6="Orbital Resonance",POWER(Upgrades!$U$6,E50),1)*IF(Upgrades!$T$7="Orbital Resonance",POWER(Upgrades!$U$7,F50),1)*IF(Upgrades!$T$8="Orbital Resonance",POWER(Upgrades!$U$8,G50),1)*IF(Upgrades!$T$9="Orbital Resonance",POWER(Upgrades!$U$9,H50),1)*IF(Upgrades!$T$11="Orbital Resonance",POWER(Upgrades!$U$11,J50),1)*IF(Upgrades!$T$12="Orbital Resonance",POWER(Upgrades!$U$12,K50),1))+(IF(J50=0,0,(Upgrades!$M$11+J50*Upgrades!$N$11)*POWER(Upgrades!$O$11,J50)))*(IF(Upgrades!$T$6="Heliopause",POWER(Upgrades!$U$6,E50),1)*IF(Upgrades!$T$7="Heliopause",POWER(Upgrades!$U$7,F50),1)*IF(Upgrades!$T$8="Heliopause",POWER(Upgrades!$U$8,G50),1)*IF(Upgrades!$T$9="Heliopause",POWER(Upgrades!$U$9,H50),1)*IF(Upgrades!$T$10="Heliopause",POWER(Upgrades!$U$10,I50),1)*IF(Upgrades!$T$12="Heliopause",POWER(Upgrades!$U$12,K50),1))+(IF(K50=0,0,(Upgrades!$M$12+K50*Upgrades!$N$12)*POWER(Upgrades!$O$12,K50)))*(IF(Upgrades!$T$6="First Photons",POWER(Upgrades!$U$6,E50),1)*IF(Upgrades!$T$7="First Photons",POWER(Upgrades!$U$7,F50),1)*IF(Upgrades!$T$8="First Photons",POWER(Upgrades!$U$8,G50),1)*IF(Upgrades!$T$9="First Photons",POWER(Upgrades!$U$9,H50),1)*IF(Upgrades!$T$10="First Photons",POWER(Upgrades!$U$10,I50),1)*IF(Upgrades!$T$11="First Photons",POWER(Upgrades!$U$11,J50),1)))*POWER(Upgrades!$R$6,E50)*POWER(Upgrades!$R$7,F50)*POWER(Upgrades!$R$8,G50)*POWER(Upgrades!$R$9,H50)*POWER(Upgrades!$R$10,I50)*POWER(Upgrades!$R$11,J50)*POWER(Upgrades!$R$12,K50)</f>
        <v>0</v>
      </c>
      <c r="P50" s="27" t="n">
        <f aca="false">IF(L50=1,0,M50*Parameters!$B$10/60*Parameters!$B$11*10)</f>
        <v>83</v>
      </c>
      <c r="Q50" s="27" t="n">
        <f aca="false">IF(L50=1,0,O50*M50*10)</f>
        <v>0</v>
      </c>
      <c r="R50" s="27" t="n">
        <f aca="false">IF(L50=1,0,N50*10)</f>
        <v>95</v>
      </c>
      <c r="S50" s="27" t="n">
        <f aca="false">P50+Q50+R50</f>
        <v>178</v>
      </c>
      <c r="T50" s="21" t="n">
        <f aca="false">C50+S50</f>
        <v>515.065986744308</v>
      </c>
      <c r="U50" s="34" t="str">
        <f aca="false">AX50</f>
        <v/>
      </c>
      <c r="V50" s="21" t="n">
        <f aca="false">IF(U50="",0,IF(U50="transition",0,IF(U50="SW",AG50,IF(U50="AB",AH50,IF(U50="SC",AI50,IF(U50="Mag",AJ50,IF(U50="OR",AK50,IF(U50="HP",AL50,IF(U50="FP",AM50,0)))))))))</f>
        <v>0</v>
      </c>
      <c r="W50" s="27" t="n">
        <f aca="false">IF(U50="OR",Upgrades!$F$10,IF(U50="HP",Upgrades!$F$11,IF(U50="transition",-Parameters!$B$18,0)))</f>
        <v>0</v>
      </c>
      <c r="X50" s="21" t="n">
        <f aca="false">T50-V50</f>
        <v>515.065986744308</v>
      </c>
      <c r="Y50" s="30" t="n">
        <f aca="false">M50*Parameters!$B$10/60*Parameters!$B$11+O50*M50+N50</f>
        <v>17.8</v>
      </c>
      <c r="Z50" s="35" t="str">
        <f aca="false">IF(U50="transition","→ Tier 2 (Stellar Neighborhood)",IF(U50="FP","First Photons — light begins, system quickens",IF(U50="HP","Heliopause acquired",IF(U50="OR","Orbital Resonance — passive multiplier active",IF(AND(AO50=1,L50=0,AN50&lt;&gt;1),"Cohesion ready (waiting on completionist upgrades)","")))))</f>
        <v>Cohesion ready (waiting on completionist upgrades)</v>
      </c>
      <c r="AA50" s="27" t="n">
        <f aca="false">(IF(E50=0,0,(Upgrades!$G$6+E50*Upgrades!$H$6)*POWER(Upgrades!$I$6,E50)))*(IF(Upgrades!$T$7="Solar Wind",POWER(Upgrades!$U$7,F50),1)*IF(Upgrades!$T$8="Solar Wind",POWER(Upgrades!$U$8,G50),1)*IF(Upgrades!$T$9="Solar Wind",POWER(Upgrades!$U$9,H50),1)*IF(Upgrades!$T$10="Solar Wind",POWER(Upgrades!$U$10,I50),1)*IF(Upgrades!$T$11="Solar Wind",POWER(Upgrades!$U$11,J50),1)*IF(Upgrades!$T$12="Solar Wind",POWER(Upgrades!$U$12,K50),1))*POWER(Upgrades!$P$6,E50)*POWER(Upgrades!$P$7,F50)*POWER(Upgrades!$P$8,G50)*POWER(Upgrades!$P$9,H50)*POWER(Upgrades!$P$10,I50)*POWER(Upgrades!$P$11,J50)*POWER(Upgrades!$P$12,K50)*60</f>
        <v>60</v>
      </c>
      <c r="AB50" s="27" t="n">
        <f aca="false">(IF(F50=0,0,(Upgrades!$G$7+F50*Upgrades!$H$7)*POWER(Upgrades!$I$7,F50)))*(IF(Upgrades!$T$6="Asteroid Belt",POWER(Upgrades!$U$6,E50),1)*IF(Upgrades!$T$8="Asteroid Belt",POWER(Upgrades!$U$8,G50),1)*IF(Upgrades!$T$9="Asteroid Belt",POWER(Upgrades!$U$9,H50),1)*IF(Upgrades!$T$10="Asteroid Belt",POWER(Upgrades!$U$10,I50),1)*IF(Upgrades!$T$11="Asteroid Belt",POWER(Upgrades!$U$11,J50),1)*IF(Upgrades!$T$12="Asteroid Belt",POWER(Upgrades!$U$12,K50),1))*POWER(Upgrades!$P$6,E50)*POWER(Upgrades!$P$7,F50)*POWER(Upgrades!$P$8,G50)*POWER(Upgrades!$P$9,H50)*POWER(Upgrades!$P$10,I50)*POWER(Upgrades!$P$11,J50)*POWER(Upgrades!$P$12,K50)*60</f>
        <v>135</v>
      </c>
      <c r="AC50" s="27" t="n">
        <f aca="false">(IF(G50=0,0,(Upgrades!$J$8+G50*Upgrades!$K$8)*POWER(Upgrades!$L$8,G50)))*(IF(Upgrades!$T$6="Stellar Coupling",POWER(Upgrades!$U$6,E50),1)*IF(Upgrades!$T$7="Stellar Coupling",POWER(Upgrades!$U$7,F50),1)*IF(Upgrades!$T$9="Stellar Coupling",POWER(Upgrades!$U$9,H50),1)*IF(Upgrades!$T$10="Stellar Coupling",POWER(Upgrades!$U$10,I50),1)*IF(Upgrades!$T$11="Stellar Coupling",POWER(Upgrades!$U$11,J50),1)*IF(Upgrades!$T$12="Stellar Coupling",POWER(Upgrades!$U$12,K50),1))*POWER(Upgrades!$Q$6,E50)*POWER(Upgrades!$Q$7,F50)*POWER(Upgrades!$Q$8,G50)*POWER(Upgrades!$Q$9,H50)*POWER(Upgrades!$Q$10,I50)*POWER(Upgrades!$Q$11,J50)*POWER(Upgrades!$Q$12,K50)*Parameters!$B$10*Parameters!$B$11</f>
        <v>378</v>
      </c>
      <c r="AD50" s="27" t="n">
        <f aca="false">(IF(H50=0,0,(Upgrades!$G$9+H50*Upgrades!$H$9)*POWER(Upgrades!$I$9,H50)))*(IF(Upgrades!$T$6="Magnetosphere",POWER(Upgrades!$U$6,E50),1)*IF(Upgrades!$T$7="Magnetosphere",POWER(Upgrades!$U$7,F50),1)*IF(Upgrades!$T$8="Magnetosphere",POWER(Upgrades!$U$8,G50),1)*IF(Upgrades!$T$10="Magnetosphere",POWER(Upgrades!$U$10,I50),1)*IF(Upgrades!$T$11="Magnetosphere",POWER(Upgrades!$U$11,J50),1)*IF(Upgrades!$T$12="Magnetosphere",POWER(Upgrades!$U$12,K50),1))*POWER(Upgrades!$P$6,E50)*POWER(Upgrades!$P$7,F50)*POWER(Upgrades!$P$8,G50)*POWER(Upgrades!$P$9,H50)*POWER(Upgrades!$P$10,I50)*POWER(Upgrades!$P$11,J50)*POWER(Upgrades!$P$12,K50)*60</f>
        <v>300</v>
      </c>
      <c r="AE50" s="27" t="n">
        <f aca="false">(IF(K50=0,0,(Upgrades!$G$12+K50*Upgrades!$H$12)*POWER(Upgrades!$I$12,K50)))*(IF(Upgrades!$T$6="First Photons",POWER(Upgrades!$U$6,E50),1)*IF(Upgrades!$T$7="First Photons",POWER(Upgrades!$U$7,F50),1)*IF(Upgrades!$T$8="First Photons",POWER(Upgrades!$U$8,G50),1)*IF(Upgrades!$T$9="First Photons",POWER(Upgrades!$U$9,H50),1)*IF(Upgrades!$T$10="First Photons",POWER(Upgrades!$U$10,I50),1)*IF(Upgrades!$T$11="First Photons",POWER(Upgrades!$U$11,J50),1))*POWER(Upgrades!$P$6,E50)*POWER(Upgrades!$P$7,F50)*POWER(Upgrades!$P$8,G50)*POWER(Upgrades!$P$9,H50)*POWER(Upgrades!$P$10,I50)*POWER(Upgrades!$P$11,J50)*POWER(Upgrades!$P$12,K50)*60</f>
        <v>75</v>
      </c>
      <c r="AF50" s="27" t="n">
        <f aca="false">Parameters!$B$9*POWER(Upgrades!$Q$6,E50)*POWER(Upgrades!$Q$7,F50)*POWER(Upgrades!$Q$8,G50)*POWER(Upgrades!$Q$9,H50)*POWER(Upgrades!$Q$10,I50)*POWER(Upgrades!$Q$11,J50)*POWER(Upgrades!$Q$12,K50)*(Parameters!$B$10*Parameters!$B$11+O50*60)</f>
        <v>120</v>
      </c>
      <c r="AG50" s="21" t="n">
        <f aca="false">IF(E50&gt;=Upgrades!$E$6,"",Upgrades!$C$6*POWER(Upgrades!$D$6,E50))</f>
        <v>28.3189041499553</v>
      </c>
      <c r="AH50" s="21" t="n">
        <f aca="false">IF(F50&gt;=Upgrades!$E$7,"",Upgrades!$C$7*POWER(Upgrades!$D$7,F50))</f>
        <v>70.3575258383984</v>
      </c>
      <c r="AI50" s="21" t="n">
        <f aca="false">IF(G50&gt;=Upgrades!$E$8,"",Upgrades!$C$8*POWER(Upgrades!$D$8,G50))</f>
        <v>165.649792</v>
      </c>
      <c r="AJ50" s="21" t="n">
        <f aca="false">IF(H50&gt;=Upgrades!$E$9,"",Upgrades!$C$9*POWER(Upgrades!$D$9,H50))</f>
        <v>1280</v>
      </c>
      <c r="AK50" s="21" t="str">
        <f aca="false">IF(I50&gt;=Upgrades!$E$10,"",Upgrades!$C$10*POWER(Upgrades!$D$10,I50))</f>
        <v/>
      </c>
      <c r="AL50" s="21" t="str">
        <f aca="false">IF(J50&gt;=Upgrades!$E$11,"",Upgrades!$C$11*POWER(Upgrades!$D$11,J50))</f>
        <v/>
      </c>
      <c r="AM50" s="21" t="str">
        <f aca="false">IF(K50&gt;=Upgrades!$E$12,"",Upgrades!$C$12*POWER(Upgrades!$D$12,K50))</f>
        <v/>
      </c>
      <c r="AN50" s="26" t="str">
        <f aca="false">IF(AND(D50&gt;=Parameters!$B$18,(H50&gt;=Upgrades!$E$9)*(K50&gt;=Upgrades!$E$12)=1,L50=0),1,"")</f>
        <v/>
      </c>
      <c r="AO50" s="26" t="n">
        <f aca="false">IF(AND(D50&gt;=Parameters!$B$18,L50=0),1,"")</f>
        <v>1</v>
      </c>
      <c r="AP50" s="21" t="n">
        <f aca="false">MIN(IF(ISNUMBER(AK50),AK50,9000000000000000),IF(ISNUMBER(AL50),AL50,9000000000000000),IF(ISNUMBER(AM50),AM50,9000000000000000))</f>
        <v>9000000000000000</v>
      </c>
      <c r="AQ50" s="21" t="n">
        <f aca="false">MIN(IF(ISNUMBER(AG50),AG50,9000000000000000),IF(ISNUMBER(AH50),AH50,9000000000000000),IF(ISNUMBER(AI50),AI50,9000000000000000),IF(ISNUMBER(AJ50),AJ50,9000000000000000))</f>
        <v>28.3189041499553</v>
      </c>
      <c r="AR50" s="32" t="b">
        <f aca="false">IF(AW50&gt;Parameters!$B$21*(MAX(IF(AND(NOT(AND(AO50=1,AN50&lt;&gt;1)),ISNUMBER(AG50),AG50&lt;=T50),AS50,0),IF(AND(NOT(AND(AO50=1,AN50&lt;&gt;1)),ISNUMBER(AH50),AH50&lt;=T50),AT50,0),IF(AND(NOT(AND(AO50=1,AN50&lt;&gt;1)),ISNUMBER(AI50),AI50&lt;=T50),AU50,0),IF(AND(ISNUMBER(AJ50),AJ50&lt;=T50),AV50,0))),TRUE(),FALSE())</f>
        <v>1</v>
      </c>
      <c r="AS50" s="33" t="n">
        <f aca="false">IFERROR(Upgrades!$H$6*(POWER(Upgrades!$P$6,E50)*POWER(Upgrades!$P$7,F50)*POWER(Upgrades!$P$8,G50)*POWER(Upgrades!$P$9,H50)*POWER(Upgrades!$P$10,I50)*POWER(Upgrades!$P$11,J50)*POWER(Upgrades!$P$12,K50))*(IF(Upgrades!$T$7="Solar Wind",POWER(Upgrades!$U$7,F50),1)*IF(Upgrades!$T$8="Solar Wind",POWER(Upgrades!$U$8,G50),1)*IF(Upgrades!$T$9="Solar Wind",POWER(Upgrades!$U$9,H50),1)*IF(Upgrades!$T$10="Solar Wind",POWER(Upgrades!$U$10,I50),1)*IF(Upgrades!$T$11="Solar Wind",POWER(Upgrades!$U$11,J50),1)*IF(Upgrades!$T$12="Solar Wind",POWER(Upgrades!$U$12,K50),1))/AG50,0)</f>
        <v>0.00353121008745523</v>
      </c>
      <c r="AT50" s="33" t="n">
        <f aca="false">IFERROR(Upgrades!$H$7*(POWER(Upgrades!$P$6,E50)*POWER(Upgrades!$P$7,F50)*POWER(Upgrades!$P$8,G50)*POWER(Upgrades!$P$9,H50)*POWER(Upgrades!$P$10,I50)*POWER(Upgrades!$P$11,J50)*POWER(Upgrades!$P$12,K50))*(IF(Upgrades!$T$6="Asteroid Belt",POWER(Upgrades!$U$6,E50),1)*IF(Upgrades!$T$8="Asteroid Belt",POWER(Upgrades!$U$8,G50),1)*IF(Upgrades!$T$9="Asteroid Belt",POWER(Upgrades!$U$9,H50),1)*IF(Upgrades!$T$10="Asteroid Belt",POWER(Upgrades!$U$10,I50),1)*IF(Upgrades!$T$11="Asteroid Belt",POWER(Upgrades!$U$11,J50),1)*IF(Upgrades!$T$12="Asteroid Belt",POWER(Upgrades!$U$12,K50),1))/AH50,0)</f>
        <v>0.00355328015050182</v>
      </c>
      <c r="AU50" s="33" t="n">
        <f aca="false">IFERROR(Upgrades!$K$8*(POWER(Upgrades!$Q$6,E50)*POWER(Upgrades!$Q$7,F50)*POWER(Upgrades!$Q$8,G50)*POWER(Upgrades!$Q$9,H50)*POWER(Upgrades!$Q$10,I50)*POWER(Upgrades!$Q$11,J50)*POWER(Upgrades!$Q$12,K50))*(IF(Upgrades!$T$6="Stellar Coupling",POWER(Upgrades!$U$6,E50),1)*IF(Upgrades!$T$7="Stellar Coupling",POWER(Upgrades!$U$7,F50),1)*IF(Upgrades!$T$9="Stellar Coupling",POWER(Upgrades!$U$9,H50),1)*IF(Upgrades!$T$10="Stellar Coupling",POWER(Upgrades!$U$10,I50),1)*IF(Upgrades!$T$11="Stellar Coupling",POWER(Upgrades!$U$11,J50),1)*IF(Upgrades!$T$12="Stellar Coupling",POWER(Upgrades!$U$12,K50),1))*Parameters!$B$10*Parameters!$B$11/60/AI50,0)</f>
        <v>0.00633867382097287</v>
      </c>
      <c r="AV50" s="33" t="n">
        <f aca="false">IFERROR(Upgrades!$H$9*(POWER(Upgrades!$P$6,E50)*POWER(Upgrades!$P$7,F50)*POWER(Upgrades!$P$8,G50)*POWER(Upgrades!$P$9,H50)*POWER(Upgrades!$P$10,I50)*POWER(Upgrades!$P$11,J50)*POWER(Upgrades!$P$12,K50))*(IF(Upgrades!$T$6="Magnetosphere",POWER(Upgrades!$U$6,E50),1)*IF(Upgrades!$T$7="Magnetosphere",POWER(Upgrades!$U$7,F50),1)*IF(Upgrades!$T$8="Magnetosphere",POWER(Upgrades!$U$8,G50),1)*IF(Upgrades!$T$10="Magnetosphere",POWER(Upgrades!$U$10,I50),1)*IF(Upgrades!$T$11="Magnetosphere",POWER(Upgrades!$U$11,J50),1)*IF(Upgrades!$T$12="Magnetosphere",POWER(Upgrades!$U$12,K50),1))/AJ50,0)</f>
        <v>0.0009765625</v>
      </c>
      <c r="AW50" s="33" t="n">
        <f aca="false">MAX(IF(I50&gt;0,0,IFERROR(0.25*N50/Upgrades!$C$10,0)),IF(J50&gt;0,0,IFERROR(0.5*((IF(G50=0,0,(Upgrades!$J$8+G50*Upgrades!$K$8)*POWER(Upgrades!$L$8,G50)))*(IF(Upgrades!$T$6="Stellar Coupling",POWER(Upgrades!$U$6,E50),1)*IF(Upgrades!$T$7="Stellar Coupling",POWER(Upgrades!$U$7,F50),1)*IF(Upgrades!$T$9="Stellar Coupling",POWER(Upgrades!$U$9,H50),1)*IF(Upgrades!$T$10="Stellar Coupling",POWER(Upgrades!$U$10,I50),1)*IF(Upgrades!$T$11="Stellar Coupling",POWER(Upgrades!$U$11,J50),1)*IF(Upgrades!$T$12="Stellar Coupling",POWER(Upgrades!$U$12,K50),1))*(POWER(Upgrades!$Q$6,E50)*POWER(Upgrades!$Q$7,F50)*POWER(Upgrades!$Q$8,G50)*POWER(Upgrades!$Q$9,H50)*POWER(Upgrades!$Q$10,I50)*POWER(Upgrades!$Q$11,J50)*POWER(Upgrades!$Q$12,K50))*Parameters!$B$10*Parameters!$B$11/60)/Upgrades!$C$11,0)),IF(K50&gt;0,0,IFERROR((1*(POWER(Upgrades!$P$6,E50)*POWER(Upgrades!$P$7,F50)*POWER(Upgrades!$P$8,G50)*POWER(Upgrades!$P$9,H50)*POWER(Upgrades!$P$10,I50)*POWER(Upgrades!$P$11,J50)*POWER(Upgrades!$P$12,K50))+0.2*M50*Parameters!$B$10*Parameters!$B$11/60)/Upgrades!$C$12,0)),IF(AND(ISNUMBER(AG50),AG50&gt;T50),AS50,0),IF(AND(ISNUMBER(AH50),AH50&gt;T50),AT50,0),IF(AND(ISNUMBER(AI50),AI50&gt;T50),AU50,0),IF(AND(ISNUMBER(AJ50),AJ50&gt;T50),AV50,0))</f>
        <v>0.0009765625</v>
      </c>
      <c r="AX50" s="29" t="str">
        <f aca="false">IF(AN50=1,"transition",IF(MIN(IF(AND(I50=0,ISNUMBER(AK50),AK50&lt;=T50),AK50,9000000000000000),IF(AND(J50=0,ISNUMBER(AL50),AL50&lt;=T50),AL50,9000000000000000),IF(AND(K50=0,ISNUMBER(AM50),AM50&lt;=T50),AM50,9000000000000000))&lt;9000000000000000,IF(AND(AND(I50=0,ISNUMBER(AK50),AK50&lt;=T50),AK50=MIN(IF(AND(I50=0,ISNUMBER(AK50),AK50&lt;=T50),AK50,9000000000000000),IF(AND(J50=0,ISNUMBER(AL50),AL50&lt;=T50),AL50,9000000000000000),IF(AND(K50=0,ISNUMBER(AM50),AM50&lt;=T50),AM50,9000000000000000))),"OR",IF(AND(AND(J50=0,ISNUMBER(AL50),AL50&lt;=T50),AL50=MIN(IF(AND(I50=0,ISNUMBER(AK50),AK50&lt;=T50),AK50,9000000000000000),IF(AND(J50=0,ISNUMBER(AL50),AL50&lt;=T50),AL50,9000000000000000),IF(AND(K50=0,ISNUMBER(AM50),AM50&lt;=T50),AM50,9000000000000000))),"HP","FP")),IF(AR50=TRUE(),"",IF(MAX(IF(AND(NOT(AND(AO50=1,AN50&lt;&gt;1)),ISNUMBER(AG50),AG50&lt;=T50),AS50,0),IF(AND(NOT(AND(AO50=1,AN50&lt;&gt;1)),ISNUMBER(AH50),AH50&lt;=T50),AT50,0),IF(AND(NOT(AND(AO50=1,AN50&lt;&gt;1)),ISNUMBER(AI50),AI50&lt;=T50),AU50,0),IF(AND(ISNUMBER(AJ50),AJ50&lt;=T50),AV50,0))&lt;=0,"",IF(AND(IF(AND(NOT(AND(AO50=1,AN50&lt;&gt;1)),ISNUMBER(AG50),AG50&lt;=T50),AS50,0)&gt;0,IF(AND(NOT(AND(AO50=1,AN50&lt;&gt;1)),ISNUMBER(AG50),AG50&lt;=T50),AS50,0)=MAX(IF(AND(NOT(AND(AO50=1,AN50&lt;&gt;1)),ISNUMBER(AG50),AG50&lt;=T50),AS50,0),IF(AND(NOT(AND(AO50=1,AN50&lt;&gt;1)),ISNUMBER(AH50),AH50&lt;=T50),AT50,0),IF(AND(NOT(AND(AO50=1,AN50&lt;&gt;1)),ISNUMBER(AI50),AI50&lt;=T50),AU50,0),IF(AND(ISNUMBER(AJ50),AJ50&lt;=T50),AV50,0))),"SW",IF(AND(IF(AND(NOT(AND(AO50=1,AN50&lt;&gt;1)),ISNUMBER(AH50),AH50&lt;=T50),AT50,0)&gt;0,IF(AND(NOT(AND(AO50=1,AN50&lt;&gt;1)),ISNUMBER(AH50),AH50&lt;=T50),AT50,0)=MAX(IF(AND(NOT(AND(AO50=1,AN50&lt;&gt;1)),ISNUMBER(AG50),AG50&lt;=T50),AS50,0),IF(AND(NOT(AND(AO50=1,AN50&lt;&gt;1)),ISNUMBER(AH50),AH50&lt;=T50),AT50,0),IF(AND(NOT(AND(AO50=1,AN50&lt;&gt;1)),ISNUMBER(AI50),AI50&lt;=T50),AU50,0),IF(AND(ISNUMBER(AJ50),AJ50&lt;=T50),AV50,0))),"AB",IF(AND(IF(AND(NOT(AND(AO50=1,AN50&lt;&gt;1)),ISNUMBER(AI50),AI50&lt;=T50),AU50,0)&gt;0,IF(AND(NOT(AND(AO50=1,AN50&lt;&gt;1)),ISNUMBER(AI50),AI50&lt;=T50),AU50,0)=MAX(IF(AND(NOT(AND(AO50=1,AN50&lt;&gt;1)),ISNUMBER(AG50),AG50&lt;=T50),AS50,0),IF(AND(NOT(AND(AO50=1,AN50&lt;&gt;1)),ISNUMBER(AH50),AH50&lt;=T50),AT50,0),IF(AND(NOT(AND(AO50=1,AN50&lt;&gt;1)),ISNUMBER(AI50),AI50&lt;=T50),AU50,0),IF(AND(ISNUMBER(AJ50),AJ50&lt;=T50),AV50,0))),"SC","Mag")))))))</f>
        <v/>
      </c>
    </row>
    <row r="51" customFormat="false" ht="15" hidden="false" customHeight="false" outlineLevel="0" collapsed="false">
      <c r="A51" s="26" t="n">
        <v>46</v>
      </c>
      <c r="B51" s="27" t="n">
        <f aca="false">A51*10/60</f>
        <v>7.66666666666667</v>
      </c>
      <c r="C51" s="21" t="n">
        <f aca="false">X50</f>
        <v>515.065986744308</v>
      </c>
      <c r="D51" s="27" t="n">
        <f aca="false">D50+W50</f>
        <v>1</v>
      </c>
      <c r="E51" s="26" t="n">
        <f aca="false">E50+IF(U50="SW",1,0)</f>
        <v>10</v>
      </c>
      <c r="F51" s="26" t="n">
        <f aca="false">F50+IF(U50="AB",1,0)</f>
        <v>9</v>
      </c>
      <c r="G51" s="26" t="n">
        <f aca="false">G50+IF(U50="SC",1,0)</f>
        <v>6</v>
      </c>
      <c r="H51" s="26" t="n">
        <f aca="false">H50+IF(U50="Mag",1,0)</f>
        <v>4</v>
      </c>
      <c r="I51" s="26" t="n">
        <f aca="false">MAX(I50,IF(U50="OR",1,0))</f>
        <v>1</v>
      </c>
      <c r="J51" s="26" t="n">
        <f aca="false">MAX(J50,IF(U50="HP",1,0))</f>
        <v>1</v>
      </c>
      <c r="K51" s="26" t="n">
        <f aca="false">MAX(K50,IF(U50="FP",1,0))</f>
        <v>1</v>
      </c>
      <c r="L51" s="26" t="n">
        <f aca="false">MAX(L50,IF(U50="transition",1,0))</f>
        <v>0</v>
      </c>
      <c r="M51" s="28" t="n">
        <f aca="false">(Parameters!$B$9+(IF(E51=0,0,(Upgrades!$J$6+E51*Upgrades!$K$6)*POWER(Upgrades!$L$6,E51)))*(IF(Upgrades!$T$7="Solar Wind",POWER(Upgrades!$U$7,F51),1)*IF(Upgrades!$T$8="Solar Wind",POWER(Upgrades!$U$8,G51),1)*IF(Upgrades!$T$9="Solar Wind",POWER(Upgrades!$U$9,H51),1)*IF(Upgrades!$T$10="Solar Wind",POWER(Upgrades!$U$10,I51),1)*IF(Upgrades!$T$11="Solar Wind",POWER(Upgrades!$U$11,J51),1)*IF(Upgrades!$T$12="Solar Wind",POWER(Upgrades!$U$12,K51),1))+(IF(F51=0,0,(Upgrades!$J$7+F51*Upgrades!$K$7)*POWER(Upgrades!$L$7,F51)))*(IF(Upgrades!$T$6="Asteroid Belt",POWER(Upgrades!$U$6,E51),1)*IF(Upgrades!$T$8="Asteroid Belt",POWER(Upgrades!$U$8,G51),1)*IF(Upgrades!$T$9="Asteroid Belt",POWER(Upgrades!$U$9,H51),1)*IF(Upgrades!$T$10="Asteroid Belt",POWER(Upgrades!$U$10,I51),1)*IF(Upgrades!$T$11="Asteroid Belt",POWER(Upgrades!$U$11,J51),1)*IF(Upgrades!$T$12="Asteroid Belt",POWER(Upgrades!$U$12,K51),1))+(IF(G51=0,0,(Upgrades!$J$8+G51*Upgrades!$K$8)*POWER(Upgrades!$L$8,G51)))*(IF(Upgrades!$T$6="Stellar Coupling",POWER(Upgrades!$U$6,E51),1)*IF(Upgrades!$T$7="Stellar Coupling",POWER(Upgrades!$U$7,F51),1)*IF(Upgrades!$T$9="Stellar Coupling",POWER(Upgrades!$U$9,H51),1)*IF(Upgrades!$T$10="Stellar Coupling",POWER(Upgrades!$U$10,I51),1)*IF(Upgrades!$T$11="Stellar Coupling",POWER(Upgrades!$U$11,J51),1)*IF(Upgrades!$T$12="Stellar Coupling",POWER(Upgrades!$U$12,K51),1))+(IF(H51=0,0,(Upgrades!$J$9+H51*Upgrades!$K$9)*POWER(Upgrades!$L$9,H51)))*(IF(Upgrades!$T$6="Magnetosphere",POWER(Upgrades!$U$6,E51),1)*IF(Upgrades!$T$7="Magnetosphere",POWER(Upgrades!$U$7,F51),1)*IF(Upgrades!$T$8="Magnetosphere",POWER(Upgrades!$U$8,G51),1)*IF(Upgrades!$T$10="Magnetosphere",POWER(Upgrades!$U$10,I51),1)*IF(Upgrades!$T$11="Magnetosphere",POWER(Upgrades!$U$11,J51),1)*IF(Upgrades!$T$12="Magnetosphere",POWER(Upgrades!$U$12,K51),1))+(IF(I51=0,0,(Upgrades!$J$10+I51*Upgrades!$K$10)*POWER(Upgrades!$L$10,I51)))*(IF(Upgrades!$T$6="Orbital Resonance",POWER(Upgrades!$U$6,E51),1)*IF(Upgrades!$T$7="Orbital Resonance",POWER(Upgrades!$U$7,F51),1)*IF(Upgrades!$T$8="Orbital Resonance",POWER(Upgrades!$U$8,G51),1)*IF(Upgrades!$T$9="Orbital Resonance",POWER(Upgrades!$U$9,H51),1)*IF(Upgrades!$T$11="Orbital Resonance",POWER(Upgrades!$U$11,J51),1)*IF(Upgrades!$T$12="Orbital Resonance",POWER(Upgrades!$U$12,K51),1))+(IF(J51=0,0,(Upgrades!$J$11+J51*Upgrades!$K$11)*POWER(Upgrades!$L$11,J51)))*(IF(Upgrades!$T$6="Heliopause",POWER(Upgrades!$U$6,E51),1)*IF(Upgrades!$T$7="Heliopause",POWER(Upgrades!$U$7,F51),1)*IF(Upgrades!$T$8="Heliopause",POWER(Upgrades!$U$8,G51),1)*IF(Upgrades!$T$9="Heliopause",POWER(Upgrades!$U$9,H51),1)*IF(Upgrades!$T$10="Heliopause",POWER(Upgrades!$U$10,I51),1)*IF(Upgrades!$T$12="Heliopause",POWER(Upgrades!$U$12,K51),1))+(IF(K51=0,0,(Upgrades!$J$12+K51*Upgrades!$K$12)*POWER(Upgrades!$L$12,K51)))*(IF(Upgrades!$T$6="First Photons",POWER(Upgrades!$U$6,E51),1)*IF(Upgrades!$T$7="First Photons",POWER(Upgrades!$U$7,F51),1)*IF(Upgrades!$T$8="First Photons",POWER(Upgrades!$U$8,G51),1)*IF(Upgrades!$T$9="First Photons",POWER(Upgrades!$U$9,H51),1)*IF(Upgrades!$T$10="First Photons",POWER(Upgrades!$U$10,I51),1)*IF(Upgrades!$T$11="First Photons",POWER(Upgrades!$U$11,J51),1)))*POWER(Upgrades!$Q$6,E51)*POWER(Upgrades!$Q$7,F51)*POWER(Upgrades!$Q$8,G51)*POWER(Upgrades!$Q$9,H51)*POWER(Upgrades!$Q$10,I51)*POWER(Upgrades!$Q$11,J51)*POWER(Upgrades!$Q$12,K51)</f>
        <v>4.98</v>
      </c>
      <c r="N51" s="28" t="n">
        <f aca="false">((IF(E51=0,0,(Upgrades!$G$6+E51*Upgrades!$H$6)*POWER(Upgrades!$I$6,E51)))*(IF(Upgrades!$T$7="Solar Wind",POWER(Upgrades!$U$7,F51),1)*IF(Upgrades!$T$8="Solar Wind",POWER(Upgrades!$U$8,G51),1)*IF(Upgrades!$T$9="Solar Wind",POWER(Upgrades!$U$9,H51),1)*IF(Upgrades!$T$10="Solar Wind",POWER(Upgrades!$U$10,I51),1)*IF(Upgrades!$T$11="Solar Wind",POWER(Upgrades!$U$11,J51),1)*IF(Upgrades!$T$12="Solar Wind",POWER(Upgrades!$U$12,K51),1))+(IF(F51=0,0,(Upgrades!$G$7+F51*Upgrades!$H$7)*POWER(Upgrades!$I$7,F51)))*(IF(Upgrades!$T$6="Asteroid Belt",POWER(Upgrades!$U$6,E51),1)*IF(Upgrades!$T$8="Asteroid Belt",POWER(Upgrades!$U$8,G51),1)*IF(Upgrades!$T$9="Asteroid Belt",POWER(Upgrades!$U$9,H51),1)*IF(Upgrades!$T$10="Asteroid Belt",POWER(Upgrades!$U$10,I51),1)*IF(Upgrades!$T$11="Asteroid Belt",POWER(Upgrades!$U$11,J51),1)*IF(Upgrades!$T$12="Asteroid Belt",POWER(Upgrades!$U$12,K51),1))+(IF(G51=0,0,(Upgrades!$G$8+G51*Upgrades!$H$8)*POWER(Upgrades!$I$8,G51)))*(IF(Upgrades!$T$6="Stellar Coupling",POWER(Upgrades!$U$6,E51),1)*IF(Upgrades!$T$7="Stellar Coupling",POWER(Upgrades!$U$7,F51),1)*IF(Upgrades!$T$9="Stellar Coupling",POWER(Upgrades!$U$9,H51),1)*IF(Upgrades!$T$10="Stellar Coupling",POWER(Upgrades!$U$10,I51),1)*IF(Upgrades!$T$11="Stellar Coupling",POWER(Upgrades!$U$11,J51),1)*IF(Upgrades!$T$12="Stellar Coupling",POWER(Upgrades!$U$12,K51),1))+(IF(H51=0,0,(Upgrades!$G$9+H51*Upgrades!$H$9)*POWER(Upgrades!$I$9,H51)))*(IF(Upgrades!$T$6="Magnetosphere",POWER(Upgrades!$U$6,E51),1)*IF(Upgrades!$T$7="Magnetosphere",POWER(Upgrades!$U$7,F51),1)*IF(Upgrades!$T$8="Magnetosphere",POWER(Upgrades!$U$8,G51),1)*IF(Upgrades!$T$10="Magnetosphere",POWER(Upgrades!$U$10,I51),1)*IF(Upgrades!$T$11="Magnetosphere",POWER(Upgrades!$U$11,J51),1)*IF(Upgrades!$T$12="Magnetosphere",POWER(Upgrades!$U$12,K51),1))+(IF(I51=0,0,(Upgrades!$G$10+I51*Upgrades!$H$10)*POWER(Upgrades!$I$10,I51)))*(IF(Upgrades!$T$6="Orbital Resonance",POWER(Upgrades!$U$6,E51),1)*IF(Upgrades!$T$7="Orbital Resonance",POWER(Upgrades!$U$7,F51),1)*IF(Upgrades!$T$8="Orbital Resonance",POWER(Upgrades!$U$8,G51),1)*IF(Upgrades!$T$9="Orbital Resonance",POWER(Upgrades!$U$9,H51),1)*IF(Upgrades!$T$11="Orbital Resonance",POWER(Upgrades!$U$11,J51),1)*IF(Upgrades!$T$12="Orbital Resonance",POWER(Upgrades!$U$12,K51),1))+(IF(J51=0,0,(Upgrades!$G$11+J51*Upgrades!$H$11)*POWER(Upgrades!$I$11,J51)))*(IF(Upgrades!$T$6="Heliopause",POWER(Upgrades!$U$6,E51),1)*IF(Upgrades!$T$7="Heliopause",POWER(Upgrades!$U$7,F51),1)*IF(Upgrades!$T$8="Heliopause",POWER(Upgrades!$U$8,G51),1)*IF(Upgrades!$T$9="Heliopause",POWER(Upgrades!$U$9,H51),1)*IF(Upgrades!$T$10="Heliopause",POWER(Upgrades!$U$10,I51),1)*IF(Upgrades!$T$12="Heliopause",POWER(Upgrades!$U$12,K51),1))+(IF(K51=0,0,(Upgrades!$G$12+K51*Upgrades!$H$12)*POWER(Upgrades!$I$12,K51)))*(IF(Upgrades!$T$6="First Photons",POWER(Upgrades!$U$6,E51),1)*IF(Upgrades!$T$7="First Photons",POWER(Upgrades!$U$7,F51),1)*IF(Upgrades!$T$8="First Photons",POWER(Upgrades!$U$8,G51),1)*IF(Upgrades!$T$9="First Photons",POWER(Upgrades!$U$9,H51),1)*IF(Upgrades!$T$10="First Photons",POWER(Upgrades!$U$10,I51),1)*IF(Upgrades!$T$11="First Photons",POWER(Upgrades!$U$11,J51),1)))*POWER(Upgrades!$P$6,E51)*POWER(Upgrades!$P$7,F51)*POWER(Upgrades!$P$8,G51)*POWER(Upgrades!$P$9,H51)*POWER(Upgrades!$P$10,I51)*POWER(Upgrades!$P$11,J51)*POWER(Upgrades!$P$12,K51)</f>
        <v>9.5</v>
      </c>
      <c r="O51" s="28" t="n">
        <f aca="false">((IF(E51=0,0,(Upgrades!$M$6+E51*Upgrades!$N$6)*POWER(Upgrades!$O$6,E51)))*(IF(Upgrades!$T$7="Solar Wind",POWER(Upgrades!$U$7,F51),1)*IF(Upgrades!$T$8="Solar Wind",POWER(Upgrades!$U$8,G51),1)*IF(Upgrades!$T$9="Solar Wind",POWER(Upgrades!$U$9,H51),1)*IF(Upgrades!$T$10="Solar Wind",POWER(Upgrades!$U$10,I51),1)*IF(Upgrades!$T$11="Solar Wind",POWER(Upgrades!$U$11,J51),1)*IF(Upgrades!$T$12="Solar Wind",POWER(Upgrades!$U$12,K51),1))+(IF(F51=0,0,(Upgrades!$M$7+F51*Upgrades!$N$7)*POWER(Upgrades!$O$7,F51)))*(IF(Upgrades!$T$6="Asteroid Belt",POWER(Upgrades!$U$6,E51),1)*IF(Upgrades!$T$8="Asteroid Belt",POWER(Upgrades!$U$8,G51),1)*IF(Upgrades!$T$9="Asteroid Belt",POWER(Upgrades!$U$9,H51),1)*IF(Upgrades!$T$10="Asteroid Belt",POWER(Upgrades!$U$10,I51),1)*IF(Upgrades!$T$11="Asteroid Belt",POWER(Upgrades!$U$11,J51),1)*IF(Upgrades!$T$12="Asteroid Belt",POWER(Upgrades!$U$12,K51),1))+(IF(G51=0,0,(Upgrades!$M$8+G51*Upgrades!$N$8)*POWER(Upgrades!$O$8,G51)))*(IF(Upgrades!$T$6="Stellar Coupling",POWER(Upgrades!$U$6,E51),1)*IF(Upgrades!$T$7="Stellar Coupling",POWER(Upgrades!$U$7,F51),1)*IF(Upgrades!$T$9="Stellar Coupling",POWER(Upgrades!$U$9,H51),1)*IF(Upgrades!$T$10="Stellar Coupling",POWER(Upgrades!$U$10,I51),1)*IF(Upgrades!$T$11="Stellar Coupling",POWER(Upgrades!$U$11,J51),1)*IF(Upgrades!$T$12="Stellar Coupling",POWER(Upgrades!$U$12,K51),1))+(IF(H51=0,0,(Upgrades!$M$9+H51*Upgrades!$N$9)*POWER(Upgrades!$O$9,H51)))*(IF(Upgrades!$T$6="Magnetosphere",POWER(Upgrades!$U$6,E51),1)*IF(Upgrades!$T$7="Magnetosphere",POWER(Upgrades!$U$7,F51),1)*IF(Upgrades!$T$8="Magnetosphere",POWER(Upgrades!$U$8,G51),1)*IF(Upgrades!$T$10="Magnetosphere",POWER(Upgrades!$U$10,I51),1)*IF(Upgrades!$T$11="Magnetosphere",POWER(Upgrades!$U$11,J51),1)*IF(Upgrades!$T$12="Magnetosphere",POWER(Upgrades!$U$12,K51),1))+(IF(I51=0,0,(Upgrades!$M$10+I51*Upgrades!$N$10)*POWER(Upgrades!$O$10,I51)))*(IF(Upgrades!$T$6="Orbital Resonance",POWER(Upgrades!$U$6,E51),1)*IF(Upgrades!$T$7="Orbital Resonance",POWER(Upgrades!$U$7,F51),1)*IF(Upgrades!$T$8="Orbital Resonance",POWER(Upgrades!$U$8,G51),1)*IF(Upgrades!$T$9="Orbital Resonance",POWER(Upgrades!$U$9,H51),1)*IF(Upgrades!$T$11="Orbital Resonance",POWER(Upgrades!$U$11,J51),1)*IF(Upgrades!$T$12="Orbital Resonance",POWER(Upgrades!$U$12,K51),1))+(IF(J51=0,0,(Upgrades!$M$11+J51*Upgrades!$N$11)*POWER(Upgrades!$O$11,J51)))*(IF(Upgrades!$T$6="Heliopause",POWER(Upgrades!$U$6,E51),1)*IF(Upgrades!$T$7="Heliopause",POWER(Upgrades!$U$7,F51),1)*IF(Upgrades!$T$8="Heliopause",POWER(Upgrades!$U$8,G51),1)*IF(Upgrades!$T$9="Heliopause",POWER(Upgrades!$U$9,H51),1)*IF(Upgrades!$T$10="Heliopause",POWER(Upgrades!$U$10,I51),1)*IF(Upgrades!$T$12="Heliopause",POWER(Upgrades!$U$12,K51),1))+(IF(K51=0,0,(Upgrades!$M$12+K51*Upgrades!$N$12)*POWER(Upgrades!$O$12,K51)))*(IF(Upgrades!$T$6="First Photons",POWER(Upgrades!$U$6,E51),1)*IF(Upgrades!$T$7="First Photons",POWER(Upgrades!$U$7,F51),1)*IF(Upgrades!$T$8="First Photons",POWER(Upgrades!$U$8,G51),1)*IF(Upgrades!$T$9="First Photons",POWER(Upgrades!$U$9,H51),1)*IF(Upgrades!$T$10="First Photons",POWER(Upgrades!$U$10,I51),1)*IF(Upgrades!$T$11="First Photons",POWER(Upgrades!$U$11,J51),1)))*POWER(Upgrades!$R$6,E51)*POWER(Upgrades!$R$7,F51)*POWER(Upgrades!$R$8,G51)*POWER(Upgrades!$R$9,H51)*POWER(Upgrades!$R$10,I51)*POWER(Upgrades!$R$11,J51)*POWER(Upgrades!$R$12,K51)</f>
        <v>0</v>
      </c>
      <c r="P51" s="27" t="n">
        <f aca="false">IF(L51=1,0,M51*Parameters!$B$10/60*Parameters!$B$11*10)</f>
        <v>83</v>
      </c>
      <c r="Q51" s="27" t="n">
        <f aca="false">IF(L51=1,0,O51*M51*10)</f>
        <v>0</v>
      </c>
      <c r="R51" s="27" t="n">
        <f aca="false">IF(L51=1,0,N51*10)</f>
        <v>95</v>
      </c>
      <c r="S51" s="27" t="n">
        <f aca="false">P51+Q51+R51</f>
        <v>178</v>
      </c>
      <c r="T51" s="21" t="n">
        <f aca="false">C51+S51</f>
        <v>693.065986744308</v>
      </c>
      <c r="U51" s="34" t="str">
        <f aca="false">AX51</f>
        <v/>
      </c>
      <c r="V51" s="21" t="n">
        <f aca="false">IF(U51="",0,IF(U51="transition",0,IF(U51="SW",AG51,IF(U51="AB",AH51,IF(U51="SC",AI51,IF(U51="Mag",AJ51,IF(U51="OR",AK51,IF(U51="HP",AL51,IF(U51="FP",AM51,0)))))))))</f>
        <v>0</v>
      </c>
      <c r="W51" s="27" t="n">
        <f aca="false">IF(U51="OR",Upgrades!$F$10,IF(U51="HP",Upgrades!$F$11,IF(U51="transition",-Parameters!$B$18,0)))</f>
        <v>0</v>
      </c>
      <c r="X51" s="21" t="n">
        <f aca="false">T51-V51</f>
        <v>693.065986744308</v>
      </c>
      <c r="Y51" s="30" t="n">
        <f aca="false">M51*Parameters!$B$10/60*Parameters!$B$11+O51*M51+N51</f>
        <v>17.8</v>
      </c>
      <c r="Z51" s="35" t="str">
        <f aca="false">IF(U51="transition","→ Tier 2 (Stellar Neighborhood)",IF(U51="FP","First Photons — light begins, system quickens",IF(U51="HP","Heliopause acquired",IF(U51="OR","Orbital Resonance — passive multiplier active",IF(AND(AO51=1,L51=0,AN51&lt;&gt;1),"Cohesion ready (waiting on completionist upgrades)","")))))</f>
        <v>Cohesion ready (waiting on completionist upgrades)</v>
      </c>
      <c r="AA51" s="27" t="n">
        <f aca="false">(IF(E51=0,0,(Upgrades!$G$6+E51*Upgrades!$H$6)*POWER(Upgrades!$I$6,E51)))*(IF(Upgrades!$T$7="Solar Wind",POWER(Upgrades!$U$7,F51),1)*IF(Upgrades!$T$8="Solar Wind",POWER(Upgrades!$U$8,G51),1)*IF(Upgrades!$T$9="Solar Wind",POWER(Upgrades!$U$9,H51),1)*IF(Upgrades!$T$10="Solar Wind",POWER(Upgrades!$U$10,I51),1)*IF(Upgrades!$T$11="Solar Wind",POWER(Upgrades!$U$11,J51),1)*IF(Upgrades!$T$12="Solar Wind",POWER(Upgrades!$U$12,K51),1))*POWER(Upgrades!$P$6,E51)*POWER(Upgrades!$P$7,F51)*POWER(Upgrades!$P$8,G51)*POWER(Upgrades!$P$9,H51)*POWER(Upgrades!$P$10,I51)*POWER(Upgrades!$P$11,J51)*POWER(Upgrades!$P$12,K51)*60</f>
        <v>60</v>
      </c>
      <c r="AB51" s="27" t="n">
        <f aca="false">(IF(F51=0,0,(Upgrades!$G$7+F51*Upgrades!$H$7)*POWER(Upgrades!$I$7,F51)))*(IF(Upgrades!$T$6="Asteroid Belt",POWER(Upgrades!$U$6,E51),1)*IF(Upgrades!$T$8="Asteroid Belt",POWER(Upgrades!$U$8,G51),1)*IF(Upgrades!$T$9="Asteroid Belt",POWER(Upgrades!$U$9,H51),1)*IF(Upgrades!$T$10="Asteroid Belt",POWER(Upgrades!$U$10,I51),1)*IF(Upgrades!$T$11="Asteroid Belt",POWER(Upgrades!$U$11,J51),1)*IF(Upgrades!$T$12="Asteroid Belt",POWER(Upgrades!$U$12,K51),1))*POWER(Upgrades!$P$6,E51)*POWER(Upgrades!$P$7,F51)*POWER(Upgrades!$P$8,G51)*POWER(Upgrades!$P$9,H51)*POWER(Upgrades!$P$10,I51)*POWER(Upgrades!$P$11,J51)*POWER(Upgrades!$P$12,K51)*60</f>
        <v>135</v>
      </c>
      <c r="AC51" s="27" t="n">
        <f aca="false">(IF(G51=0,0,(Upgrades!$J$8+G51*Upgrades!$K$8)*POWER(Upgrades!$L$8,G51)))*(IF(Upgrades!$T$6="Stellar Coupling",POWER(Upgrades!$U$6,E51),1)*IF(Upgrades!$T$7="Stellar Coupling",POWER(Upgrades!$U$7,F51),1)*IF(Upgrades!$T$9="Stellar Coupling",POWER(Upgrades!$U$9,H51),1)*IF(Upgrades!$T$10="Stellar Coupling",POWER(Upgrades!$U$10,I51),1)*IF(Upgrades!$T$11="Stellar Coupling",POWER(Upgrades!$U$11,J51),1)*IF(Upgrades!$T$12="Stellar Coupling",POWER(Upgrades!$U$12,K51),1))*POWER(Upgrades!$Q$6,E51)*POWER(Upgrades!$Q$7,F51)*POWER(Upgrades!$Q$8,G51)*POWER(Upgrades!$Q$9,H51)*POWER(Upgrades!$Q$10,I51)*POWER(Upgrades!$Q$11,J51)*POWER(Upgrades!$Q$12,K51)*Parameters!$B$10*Parameters!$B$11</f>
        <v>378</v>
      </c>
      <c r="AD51" s="27" t="n">
        <f aca="false">(IF(H51=0,0,(Upgrades!$G$9+H51*Upgrades!$H$9)*POWER(Upgrades!$I$9,H51)))*(IF(Upgrades!$T$6="Magnetosphere",POWER(Upgrades!$U$6,E51),1)*IF(Upgrades!$T$7="Magnetosphere",POWER(Upgrades!$U$7,F51),1)*IF(Upgrades!$T$8="Magnetosphere",POWER(Upgrades!$U$8,G51),1)*IF(Upgrades!$T$10="Magnetosphere",POWER(Upgrades!$U$10,I51),1)*IF(Upgrades!$T$11="Magnetosphere",POWER(Upgrades!$U$11,J51),1)*IF(Upgrades!$T$12="Magnetosphere",POWER(Upgrades!$U$12,K51),1))*POWER(Upgrades!$P$6,E51)*POWER(Upgrades!$P$7,F51)*POWER(Upgrades!$P$8,G51)*POWER(Upgrades!$P$9,H51)*POWER(Upgrades!$P$10,I51)*POWER(Upgrades!$P$11,J51)*POWER(Upgrades!$P$12,K51)*60</f>
        <v>300</v>
      </c>
      <c r="AE51" s="27" t="n">
        <f aca="false">(IF(K51=0,0,(Upgrades!$G$12+K51*Upgrades!$H$12)*POWER(Upgrades!$I$12,K51)))*(IF(Upgrades!$T$6="First Photons",POWER(Upgrades!$U$6,E51),1)*IF(Upgrades!$T$7="First Photons",POWER(Upgrades!$U$7,F51),1)*IF(Upgrades!$T$8="First Photons",POWER(Upgrades!$U$8,G51),1)*IF(Upgrades!$T$9="First Photons",POWER(Upgrades!$U$9,H51),1)*IF(Upgrades!$T$10="First Photons",POWER(Upgrades!$U$10,I51),1)*IF(Upgrades!$T$11="First Photons",POWER(Upgrades!$U$11,J51),1))*POWER(Upgrades!$P$6,E51)*POWER(Upgrades!$P$7,F51)*POWER(Upgrades!$P$8,G51)*POWER(Upgrades!$P$9,H51)*POWER(Upgrades!$P$10,I51)*POWER(Upgrades!$P$11,J51)*POWER(Upgrades!$P$12,K51)*60</f>
        <v>75</v>
      </c>
      <c r="AF51" s="27" t="n">
        <f aca="false">Parameters!$B$9*POWER(Upgrades!$Q$6,E51)*POWER(Upgrades!$Q$7,F51)*POWER(Upgrades!$Q$8,G51)*POWER(Upgrades!$Q$9,H51)*POWER(Upgrades!$Q$10,I51)*POWER(Upgrades!$Q$11,J51)*POWER(Upgrades!$Q$12,K51)*(Parameters!$B$10*Parameters!$B$11+O51*60)</f>
        <v>120</v>
      </c>
      <c r="AG51" s="21" t="n">
        <f aca="false">IF(E51&gt;=Upgrades!$E$6,"",Upgrades!$C$6*POWER(Upgrades!$D$6,E51))</f>
        <v>28.3189041499553</v>
      </c>
      <c r="AH51" s="21" t="n">
        <f aca="false">IF(F51&gt;=Upgrades!$E$7,"",Upgrades!$C$7*POWER(Upgrades!$D$7,F51))</f>
        <v>70.3575258383984</v>
      </c>
      <c r="AI51" s="21" t="n">
        <f aca="false">IF(G51&gt;=Upgrades!$E$8,"",Upgrades!$C$8*POWER(Upgrades!$D$8,G51))</f>
        <v>165.649792</v>
      </c>
      <c r="AJ51" s="21" t="n">
        <f aca="false">IF(H51&gt;=Upgrades!$E$9,"",Upgrades!$C$9*POWER(Upgrades!$D$9,H51))</f>
        <v>1280</v>
      </c>
      <c r="AK51" s="21" t="str">
        <f aca="false">IF(I51&gt;=Upgrades!$E$10,"",Upgrades!$C$10*POWER(Upgrades!$D$10,I51))</f>
        <v/>
      </c>
      <c r="AL51" s="21" t="str">
        <f aca="false">IF(J51&gt;=Upgrades!$E$11,"",Upgrades!$C$11*POWER(Upgrades!$D$11,J51))</f>
        <v/>
      </c>
      <c r="AM51" s="21" t="str">
        <f aca="false">IF(K51&gt;=Upgrades!$E$12,"",Upgrades!$C$12*POWER(Upgrades!$D$12,K51))</f>
        <v/>
      </c>
      <c r="AN51" s="26" t="str">
        <f aca="false">IF(AND(D51&gt;=Parameters!$B$18,(H51&gt;=Upgrades!$E$9)*(K51&gt;=Upgrades!$E$12)=1,L51=0),1,"")</f>
        <v/>
      </c>
      <c r="AO51" s="26" t="n">
        <f aca="false">IF(AND(D51&gt;=Parameters!$B$18,L51=0),1,"")</f>
        <v>1</v>
      </c>
      <c r="AP51" s="21" t="n">
        <f aca="false">MIN(IF(ISNUMBER(AK51),AK51,9000000000000000),IF(ISNUMBER(AL51),AL51,9000000000000000),IF(ISNUMBER(AM51),AM51,9000000000000000))</f>
        <v>9000000000000000</v>
      </c>
      <c r="AQ51" s="21" t="n">
        <f aca="false">MIN(IF(ISNUMBER(AG51),AG51,9000000000000000),IF(ISNUMBER(AH51),AH51,9000000000000000),IF(ISNUMBER(AI51),AI51,9000000000000000),IF(ISNUMBER(AJ51),AJ51,9000000000000000))</f>
        <v>28.3189041499553</v>
      </c>
      <c r="AR51" s="32" t="b">
        <f aca="false">IF(AW51&gt;Parameters!$B$21*(MAX(IF(AND(NOT(AND(AO51=1,AN51&lt;&gt;1)),ISNUMBER(AG51),AG51&lt;=T51),AS51,0),IF(AND(NOT(AND(AO51=1,AN51&lt;&gt;1)),ISNUMBER(AH51),AH51&lt;=T51),AT51,0),IF(AND(NOT(AND(AO51=1,AN51&lt;&gt;1)),ISNUMBER(AI51),AI51&lt;=T51),AU51,0),IF(AND(ISNUMBER(AJ51),AJ51&lt;=T51),AV51,0))),TRUE(),FALSE())</f>
        <v>1</v>
      </c>
      <c r="AS51" s="33" t="n">
        <f aca="false">IFERROR(Upgrades!$H$6*(POWER(Upgrades!$P$6,E51)*POWER(Upgrades!$P$7,F51)*POWER(Upgrades!$P$8,G51)*POWER(Upgrades!$P$9,H51)*POWER(Upgrades!$P$10,I51)*POWER(Upgrades!$P$11,J51)*POWER(Upgrades!$P$12,K51))*(IF(Upgrades!$T$7="Solar Wind",POWER(Upgrades!$U$7,F51),1)*IF(Upgrades!$T$8="Solar Wind",POWER(Upgrades!$U$8,G51),1)*IF(Upgrades!$T$9="Solar Wind",POWER(Upgrades!$U$9,H51),1)*IF(Upgrades!$T$10="Solar Wind",POWER(Upgrades!$U$10,I51),1)*IF(Upgrades!$T$11="Solar Wind",POWER(Upgrades!$U$11,J51),1)*IF(Upgrades!$T$12="Solar Wind",POWER(Upgrades!$U$12,K51),1))/AG51,0)</f>
        <v>0.00353121008745523</v>
      </c>
      <c r="AT51" s="33" t="n">
        <f aca="false">IFERROR(Upgrades!$H$7*(POWER(Upgrades!$P$6,E51)*POWER(Upgrades!$P$7,F51)*POWER(Upgrades!$P$8,G51)*POWER(Upgrades!$P$9,H51)*POWER(Upgrades!$P$10,I51)*POWER(Upgrades!$P$11,J51)*POWER(Upgrades!$P$12,K51))*(IF(Upgrades!$T$6="Asteroid Belt",POWER(Upgrades!$U$6,E51),1)*IF(Upgrades!$T$8="Asteroid Belt",POWER(Upgrades!$U$8,G51),1)*IF(Upgrades!$T$9="Asteroid Belt",POWER(Upgrades!$U$9,H51),1)*IF(Upgrades!$T$10="Asteroid Belt",POWER(Upgrades!$U$10,I51),1)*IF(Upgrades!$T$11="Asteroid Belt",POWER(Upgrades!$U$11,J51),1)*IF(Upgrades!$T$12="Asteroid Belt",POWER(Upgrades!$U$12,K51),1))/AH51,0)</f>
        <v>0.00355328015050182</v>
      </c>
      <c r="AU51" s="33" t="n">
        <f aca="false">IFERROR(Upgrades!$K$8*(POWER(Upgrades!$Q$6,E51)*POWER(Upgrades!$Q$7,F51)*POWER(Upgrades!$Q$8,G51)*POWER(Upgrades!$Q$9,H51)*POWER(Upgrades!$Q$10,I51)*POWER(Upgrades!$Q$11,J51)*POWER(Upgrades!$Q$12,K51))*(IF(Upgrades!$T$6="Stellar Coupling",POWER(Upgrades!$U$6,E51),1)*IF(Upgrades!$T$7="Stellar Coupling",POWER(Upgrades!$U$7,F51),1)*IF(Upgrades!$T$9="Stellar Coupling",POWER(Upgrades!$U$9,H51),1)*IF(Upgrades!$T$10="Stellar Coupling",POWER(Upgrades!$U$10,I51),1)*IF(Upgrades!$T$11="Stellar Coupling",POWER(Upgrades!$U$11,J51),1)*IF(Upgrades!$T$12="Stellar Coupling",POWER(Upgrades!$U$12,K51),1))*Parameters!$B$10*Parameters!$B$11/60/AI51,0)</f>
        <v>0.00633867382097287</v>
      </c>
      <c r="AV51" s="33" t="n">
        <f aca="false">IFERROR(Upgrades!$H$9*(POWER(Upgrades!$P$6,E51)*POWER(Upgrades!$P$7,F51)*POWER(Upgrades!$P$8,G51)*POWER(Upgrades!$P$9,H51)*POWER(Upgrades!$P$10,I51)*POWER(Upgrades!$P$11,J51)*POWER(Upgrades!$P$12,K51))*(IF(Upgrades!$T$6="Magnetosphere",POWER(Upgrades!$U$6,E51),1)*IF(Upgrades!$T$7="Magnetosphere",POWER(Upgrades!$U$7,F51),1)*IF(Upgrades!$T$8="Magnetosphere",POWER(Upgrades!$U$8,G51),1)*IF(Upgrades!$T$10="Magnetosphere",POWER(Upgrades!$U$10,I51),1)*IF(Upgrades!$T$11="Magnetosphere",POWER(Upgrades!$U$11,J51),1)*IF(Upgrades!$T$12="Magnetosphere",POWER(Upgrades!$U$12,K51),1))/AJ51,0)</f>
        <v>0.0009765625</v>
      </c>
      <c r="AW51" s="33" t="n">
        <f aca="false">MAX(IF(I51&gt;0,0,IFERROR(0.25*N51/Upgrades!$C$10,0)),IF(J51&gt;0,0,IFERROR(0.5*((IF(G51=0,0,(Upgrades!$J$8+G51*Upgrades!$K$8)*POWER(Upgrades!$L$8,G51)))*(IF(Upgrades!$T$6="Stellar Coupling",POWER(Upgrades!$U$6,E51),1)*IF(Upgrades!$T$7="Stellar Coupling",POWER(Upgrades!$U$7,F51),1)*IF(Upgrades!$T$9="Stellar Coupling",POWER(Upgrades!$U$9,H51),1)*IF(Upgrades!$T$10="Stellar Coupling",POWER(Upgrades!$U$10,I51),1)*IF(Upgrades!$T$11="Stellar Coupling",POWER(Upgrades!$U$11,J51),1)*IF(Upgrades!$T$12="Stellar Coupling",POWER(Upgrades!$U$12,K51),1))*(POWER(Upgrades!$Q$6,E51)*POWER(Upgrades!$Q$7,F51)*POWER(Upgrades!$Q$8,G51)*POWER(Upgrades!$Q$9,H51)*POWER(Upgrades!$Q$10,I51)*POWER(Upgrades!$Q$11,J51)*POWER(Upgrades!$Q$12,K51))*Parameters!$B$10*Parameters!$B$11/60)/Upgrades!$C$11,0)),IF(K51&gt;0,0,IFERROR((1*(POWER(Upgrades!$P$6,E51)*POWER(Upgrades!$P$7,F51)*POWER(Upgrades!$P$8,G51)*POWER(Upgrades!$P$9,H51)*POWER(Upgrades!$P$10,I51)*POWER(Upgrades!$P$11,J51)*POWER(Upgrades!$P$12,K51))+0.2*M51*Parameters!$B$10*Parameters!$B$11/60)/Upgrades!$C$12,0)),IF(AND(ISNUMBER(AG51),AG51&gt;T51),AS51,0),IF(AND(ISNUMBER(AH51),AH51&gt;T51),AT51,0),IF(AND(ISNUMBER(AI51),AI51&gt;T51),AU51,0),IF(AND(ISNUMBER(AJ51),AJ51&gt;T51),AV51,0))</f>
        <v>0.0009765625</v>
      </c>
      <c r="AX51" s="29" t="str">
        <f aca="false">IF(AN51=1,"transition",IF(MIN(IF(AND(I51=0,ISNUMBER(AK51),AK51&lt;=T51),AK51,9000000000000000),IF(AND(J51=0,ISNUMBER(AL51),AL51&lt;=T51),AL51,9000000000000000),IF(AND(K51=0,ISNUMBER(AM51),AM51&lt;=T51),AM51,9000000000000000))&lt;9000000000000000,IF(AND(AND(I51=0,ISNUMBER(AK51),AK51&lt;=T51),AK51=MIN(IF(AND(I51=0,ISNUMBER(AK51),AK51&lt;=T51),AK51,9000000000000000),IF(AND(J51=0,ISNUMBER(AL51),AL51&lt;=T51),AL51,9000000000000000),IF(AND(K51=0,ISNUMBER(AM51),AM51&lt;=T51),AM51,9000000000000000))),"OR",IF(AND(AND(J51=0,ISNUMBER(AL51),AL51&lt;=T51),AL51=MIN(IF(AND(I51=0,ISNUMBER(AK51),AK51&lt;=T51),AK51,9000000000000000),IF(AND(J51=0,ISNUMBER(AL51),AL51&lt;=T51),AL51,9000000000000000),IF(AND(K51=0,ISNUMBER(AM51),AM51&lt;=T51),AM51,9000000000000000))),"HP","FP")),IF(AR51=TRUE(),"",IF(MAX(IF(AND(NOT(AND(AO51=1,AN51&lt;&gt;1)),ISNUMBER(AG51),AG51&lt;=T51),AS51,0),IF(AND(NOT(AND(AO51=1,AN51&lt;&gt;1)),ISNUMBER(AH51),AH51&lt;=T51),AT51,0),IF(AND(NOT(AND(AO51=1,AN51&lt;&gt;1)),ISNUMBER(AI51),AI51&lt;=T51),AU51,0),IF(AND(ISNUMBER(AJ51),AJ51&lt;=T51),AV51,0))&lt;=0,"",IF(AND(IF(AND(NOT(AND(AO51=1,AN51&lt;&gt;1)),ISNUMBER(AG51),AG51&lt;=T51),AS51,0)&gt;0,IF(AND(NOT(AND(AO51=1,AN51&lt;&gt;1)),ISNUMBER(AG51),AG51&lt;=T51),AS51,0)=MAX(IF(AND(NOT(AND(AO51=1,AN51&lt;&gt;1)),ISNUMBER(AG51),AG51&lt;=T51),AS51,0),IF(AND(NOT(AND(AO51=1,AN51&lt;&gt;1)),ISNUMBER(AH51),AH51&lt;=T51),AT51,0),IF(AND(NOT(AND(AO51=1,AN51&lt;&gt;1)),ISNUMBER(AI51),AI51&lt;=T51),AU51,0),IF(AND(ISNUMBER(AJ51),AJ51&lt;=T51),AV51,0))),"SW",IF(AND(IF(AND(NOT(AND(AO51=1,AN51&lt;&gt;1)),ISNUMBER(AH51),AH51&lt;=T51),AT51,0)&gt;0,IF(AND(NOT(AND(AO51=1,AN51&lt;&gt;1)),ISNUMBER(AH51),AH51&lt;=T51),AT51,0)=MAX(IF(AND(NOT(AND(AO51=1,AN51&lt;&gt;1)),ISNUMBER(AG51),AG51&lt;=T51),AS51,0),IF(AND(NOT(AND(AO51=1,AN51&lt;&gt;1)),ISNUMBER(AH51),AH51&lt;=T51),AT51,0),IF(AND(NOT(AND(AO51=1,AN51&lt;&gt;1)),ISNUMBER(AI51),AI51&lt;=T51),AU51,0),IF(AND(ISNUMBER(AJ51),AJ51&lt;=T51),AV51,0))),"AB",IF(AND(IF(AND(NOT(AND(AO51=1,AN51&lt;&gt;1)),ISNUMBER(AI51),AI51&lt;=T51),AU51,0)&gt;0,IF(AND(NOT(AND(AO51=1,AN51&lt;&gt;1)),ISNUMBER(AI51),AI51&lt;=T51),AU51,0)=MAX(IF(AND(NOT(AND(AO51=1,AN51&lt;&gt;1)),ISNUMBER(AG51),AG51&lt;=T51),AS51,0),IF(AND(NOT(AND(AO51=1,AN51&lt;&gt;1)),ISNUMBER(AH51),AH51&lt;=T51),AT51,0),IF(AND(NOT(AND(AO51=1,AN51&lt;&gt;1)),ISNUMBER(AI51),AI51&lt;=T51),AU51,0),IF(AND(ISNUMBER(AJ51),AJ51&lt;=T51),AV51,0))),"SC","Mag")))))))</f>
        <v/>
      </c>
    </row>
    <row r="52" customFormat="false" ht="15" hidden="false" customHeight="false" outlineLevel="0" collapsed="false">
      <c r="A52" s="26" t="n">
        <v>47</v>
      </c>
      <c r="B52" s="27" t="n">
        <f aca="false">A52*10/60</f>
        <v>7.83333333333333</v>
      </c>
      <c r="C52" s="21" t="n">
        <f aca="false">X51</f>
        <v>693.065986744308</v>
      </c>
      <c r="D52" s="27" t="n">
        <f aca="false">D51+W51</f>
        <v>1</v>
      </c>
      <c r="E52" s="26" t="n">
        <f aca="false">E51+IF(U51="SW",1,0)</f>
        <v>10</v>
      </c>
      <c r="F52" s="26" t="n">
        <f aca="false">F51+IF(U51="AB",1,0)</f>
        <v>9</v>
      </c>
      <c r="G52" s="26" t="n">
        <f aca="false">G51+IF(U51="SC",1,0)</f>
        <v>6</v>
      </c>
      <c r="H52" s="26" t="n">
        <f aca="false">H51+IF(U51="Mag",1,0)</f>
        <v>4</v>
      </c>
      <c r="I52" s="26" t="n">
        <f aca="false">MAX(I51,IF(U51="OR",1,0))</f>
        <v>1</v>
      </c>
      <c r="J52" s="26" t="n">
        <f aca="false">MAX(J51,IF(U51="HP",1,0))</f>
        <v>1</v>
      </c>
      <c r="K52" s="26" t="n">
        <f aca="false">MAX(K51,IF(U51="FP",1,0))</f>
        <v>1</v>
      </c>
      <c r="L52" s="26" t="n">
        <f aca="false">MAX(L51,IF(U51="transition",1,0))</f>
        <v>0</v>
      </c>
      <c r="M52" s="28" t="n">
        <f aca="false">(Parameters!$B$9+(IF(E52=0,0,(Upgrades!$J$6+E52*Upgrades!$K$6)*POWER(Upgrades!$L$6,E52)))*(IF(Upgrades!$T$7="Solar Wind",POWER(Upgrades!$U$7,F52),1)*IF(Upgrades!$T$8="Solar Wind",POWER(Upgrades!$U$8,G52),1)*IF(Upgrades!$T$9="Solar Wind",POWER(Upgrades!$U$9,H52),1)*IF(Upgrades!$T$10="Solar Wind",POWER(Upgrades!$U$10,I52),1)*IF(Upgrades!$T$11="Solar Wind",POWER(Upgrades!$U$11,J52),1)*IF(Upgrades!$T$12="Solar Wind",POWER(Upgrades!$U$12,K52),1))+(IF(F52=0,0,(Upgrades!$J$7+F52*Upgrades!$K$7)*POWER(Upgrades!$L$7,F52)))*(IF(Upgrades!$T$6="Asteroid Belt",POWER(Upgrades!$U$6,E52),1)*IF(Upgrades!$T$8="Asteroid Belt",POWER(Upgrades!$U$8,G52),1)*IF(Upgrades!$T$9="Asteroid Belt",POWER(Upgrades!$U$9,H52),1)*IF(Upgrades!$T$10="Asteroid Belt",POWER(Upgrades!$U$10,I52),1)*IF(Upgrades!$T$11="Asteroid Belt",POWER(Upgrades!$U$11,J52),1)*IF(Upgrades!$T$12="Asteroid Belt",POWER(Upgrades!$U$12,K52),1))+(IF(G52=0,0,(Upgrades!$J$8+G52*Upgrades!$K$8)*POWER(Upgrades!$L$8,G52)))*(IF(Upgrades!$T$6="Stellar Coupling",POWER(Upgrades!$U$6,E52),1)*IF(Upgrades!$T$7="Stellar Coupling",POWER(Upgrades!$U$7,F52),1)*IF(Upgrades!$T$9="Stellar Coupling",POWER(Upgrades!$U$9,H52),1)*IF(Upgrades!$T$10="Stellar Coupling",POWER(Upgrades!$U$10,I52),1)*IF(Upgrades!$T$11="Stellar Coupling",POWER(Upgrades!$U$11,J52),1)*IF(Upgrades!$T$12="Stellar Coupling",POWER(Upgrades!$U$12,K52),1))+(IF(H52=0,0,(Upgrades!$J$9+H52*Upgrades!$K$9)*POWER(Upgrades!$L$9,H52)))*(IF(Upgrades!$T$6="Magnetosphere",POWER(Upgrades!$U$6,E52),1)*IF(Upgrades!$T$7="Magnetosphere",POWER(Upgrades!$U$7,F52),1)*IF(Upgrades!$T$8="Magnetosphere",POWER(Upgrades!$U$8,G52),1)*IF(Upgrades!$T$10="Magnetosphere",POWER(Upgrades!$U$10,I52),1)*IF(Upgrades!$T$11="Magnetosphere",POWER(Upgrades!$U$11,J52),1)*IF(Upgrades!$T$12="Magnetosphere",POWER(Upgrades!$U$12,K52),1))+(IF(I52=0,0,(Upgrades!$J$10+I52*Upgrades!$K$10)*POWER(Upgrades!$L$10,I52)))*(IF(Upgrades!$T$6="Orbital Resonance",POWER(Upgrades!$U$6,E52),1)*IF(Upgrades!$T$7="Orbital Resonance",POWER(Upgrades!$U$7,F52),1)*IF(Upgrades!$T$8="Orbital Resonance",POWER(Upgrades!$U$8,G52),1)*IF(Upgrades!$T$9="Orbital Resonance",POWER(Upgrades!$U$9,H52),1)*IF(Upgrades!$T$11="Orbital Resonance",POWER(Upgrades!$U$11,J52),1)*IF(Upgrades!$T$12="Orbital Resonance",POWER(Upgrades!$U$12,K52),1))+(IF(J52=0,0,(Upgrades!$J$11+J52*Upgrades!$K$11)*POWER(Upgrades!$L$11,J52)))*(IF(Upgrades!$T$6="Heliopause",POWER(Upgrades!$U$6,E52),1)*IF(Upgrades!$T$7="Heliopause",POWER(Upgrades!$U$7,F52),1)*IF(Upgrades!$T$8="Heliopause",POWER(Upgrades!$U$8,G52),1)*IF(Upgrades!$T$9="Heliopause",POWER(Upgrades!$U$9,H52),1)*IF(Upgrades!$T$10="Heliopause",POWER(Upgrades!$U$10,I52),1)*IF(Upgrades!$T$12="Heliopause",POWER(Upgrades!$U$12,K52),1))+(IF(K52=0,0,(Upgrades!$J$12+K52*Upgrades!$K$12)*POWER(Upgrades!$L$12,K52)))*(IF(Upgrades!$T$6="First Photons",POWER(Upgrades!$U$6,E52),1)*IF(Upgrades!$T$7="First Photons",POWER(Upgrades!$U$7,F52),1)*IF(Upgrades!$T$8="First Photons",POWER(Upgrades!$U$8,G52),1)*IF(Upgrades!$T$9="First Photons",POWER(Upgrades!$U$9,H52),1)*IF(Upgrades!$T$10="First Photons",POWER(Upgrades!$U$10,I52),1)*IF(Upgrades!$T$11="First Photons",POWER(Upgrades!$U$11,J52),1)))*POWER(Upgrades!$Q$6,E52)*POWER(Upgrades!$Q$7,F52)*POWER(Upgrades!$Q$8,G52)*POWER(Upgrades!$Q$9,H52)*POWER(Upgrades!$Q$10,I52)*POWER(Upgrades!$Q$11,J52)*POWER(Upgrades!$Q$12,K52)</f>
        <v>4.98</v>
      </c>
      <c r="N52" s="28" t="n">
        <f aca="false">((IF(E52=0,0,(Upgrades!$G$6+E52*Upgrades!$H$6)*POWER(Upgrades!$I$6,E52)))*(IF(Upgrades!$T$7="Solar Wind",POWER(Upgrades!$U$7,F52),1)*IF(Upgrades!$T$8="Solar Wind",POWER(Upgrades!$U$8,G52),1)*IF(Upgrades!$T$9="Solar Wind",POWER(Upgrades!$U$9,H52),1)*IF(Upgrades!$T$10="Solar Wind",POWER(Upgrades!$U$10,I52),1)*IF(Upgrades!$T$11="Solar Wind",POWER(Upgrades!$U$11,J52),1)*IF(Upgrades!$T$12="Solar Wind",POWER(Upgrades!$U$12,K52),1))+(IF(F52=0,0,(Upgrades!$G$7+F52*Upgrades!$H$7)*POWER(Upgrades!$I$7,F52)))*(IF(Upgrades!$T$6="Asteroid Belt",POWER(Upgrades!$U$6,E52),1)*IF(Upgrades!$T$8="Asteroid Belt",POWER(Upgrades!$U$8,G52),1)*IF(Upgrades!$T$9="Asteroid Belt",POWER(Upgrades!$U$9,H52),1)*IF(Upgrades!$T$10="Asteroid Belt",POWER(Upgrades!$U$10,I52),1)*IF(Upgrades!$T$11="Asteroid Belt",POWER(Upgrades!$U$11,J52),1)*IF(Upgrades!$T$12="Asteroid Belt",POWER(Upgrades!$U$12,K52),1))+(IF(G52=0,0,(Upgrades!$G$8+G52*Upgrades!$H$8)*POWER(Upgrades!$I$8,G52)))*(IF(Upgrades!$T$6="Stellar Coupling",POWER(Upgrades!$U$6,E52),1)*IF(Upgrades!$T$7="Stellar Coupling",POWER(Upgrades!$U$7,F52),1)*IF(Upgrades!$T$9="Stellar Coupling",POWER(Upgrades!$U$9,H52),1)*IF(Upgrades!$T$10="Stellar Coupling",POWER(Upgrades!$U$10,I52),1)*IF(Upgrades!$T$11="Stellar Coupling",POWER(Upgrades!$U$11,J52),1)*IF(Upgrades!$T$12="Stellar Coupling",POWER(Upgrades!$U$12,K52),1))+(IF(H52=0,0,(Upgrades!$G$9+H52*Upgrades!$H$9)*POWER(Upgrades!$I$9,H52)))*(IF(Upgrades!$T$6="Magnetosphere",POWER(Upgrades!$U$6,E52),1)*IF(Upgrades!$T$7="Magnetosphere",POWER(Upgrades!$U$7,F52),1)*IF(Upgrades!$T$8="Magnetosphere",POWER(Upgrades!$U$8,G52),1)*IF(Upgrades!$T$10="Magnetosphere",POWER(Upgrades!$U$10,I52),1)*IF(Upgrades!$T$11="Magnetosphere",POWER(Upgrades!$U$11,J52),1)*IF(Upgrades!$T$12="Magnetosphere",POWER(Upgrades!$U$12,K52),1))+(IF(I52=0,0,(Upgrades!$G$10+I52*Upgrades!$H$10)*POWER(Upgrades!$I$10,I52)))*(IF(Upgrades!$T$6="Orbital Resonance",POWER(Upgrades!$U$6,E52),1)*IF(Upgrades!$T$7="Orbital Resonance",POWER(Upgrades!$U$7,F52),1)*IF(Upgrades!$T$8="Orbital Resonance",POWER(Upgrades!$U$8,G52),1)*IF(Upgrades!$T$9="Orbital Resonance",POWER(Upgrades!$U$9,H52),1)*IF(Upgrades!$T$11="Orbital Resonance",POWER(Upgrades!$U$11,J52),1)*IF(Upgrades!$T$12="Orbital Resonance",POWER(Upgrades!$U$12,K52),1))+(IF(J52=0,0,(Upgrades!$G$11+J52*Upgrades!$H$11)*POWER(Upgrades!$I$11,J52)))*(IF(Upgrades!$T$6="Heliopause",POWER(Upgrades!$U$6,E52),1)*IF(Upgrades!$T$7="Heliopause",POWER(Upgrades!$U$7,F52),1)*IF(Upgrades!$T$8="Heliopause",POWER(Upgrades!$U$8,G52),1)*IF(Upgrades!$T$9="Heliopause",POWER(Upgrades!$U$9,H52),1)*IF(Upgrades!$T$10="Heliopause",POWER(Upgrades!$U$10,I52),1)*IF(Upgrades!$T$12="Heliopause",POWER(Upgrades!$U$12,K52),1))+(IF(K52=0,0,(Upgrades!$G$12+K52*Upgrades!$H$12)*POWER(Upgrades!$I$12,K52)))*(IF(Upgrades!$T$6="First Photons",POWER(Upgrades!$U$6,E52),1)*IF(Upgrades!$T$7="First Photons",POWER(Upgrades!$U$7,F52),1)*IF(Upgrades!$T$8="First Photons",POWER(Upgrades!$U$8,G52),1)*IF(Upgrades!$T$9="First Photons",POWER(Upgrades!$U$9,H52),1)*IF(Upgrades!$T$10="First Photons",POWER(Upgrades!$U$10,I52),1)*IF(Upgrades!$T$11="First Photons",POWER(Upgrades!$U$11,J52),1)))*POWER(Upgrades!$P$6,E52)*POWER(Upgrades!$P$7,F52)*POWER(Upgrades!$P$8,G52)*POWER(Upgrades!$P$9,H52)*POWER(Upgrades!$P$10,I52)*POWER(Upgrades!$P$11,J52)*POWER(Upgrades!$P$12,K52)</f>
        <v>9.5</v>
      </c>
      <c r="O52" s="28" t="n">
        <f aca="false">((IF(E52=0,0,(Upgrades!$M$6+E52*Upgrades!$N$6)*POWER(Upgrades!$O$6,E52)))*(IF(Upgrades!$T$7="Solar Wind",POWER(Upgrades!$U$7,F52),1)*IF(Upgrades!$T$8="Solar Wind",POWER(Upgrades!$U$8,G52),1)*IF(Upgrades!$T$9="Solar Wind",POWER(Upgrades!$U$9,H52),1)*IF(Upgrades!$T$10="Solar Wind",POWER(Upgrades!$U$10,I52),1)*IF(Upgrades!$T$11="Solar Wind",POWER(Upgrades!$U$11,J52),1)*IF(Upgrades!$T$12="Solar Wind",POWER(Upgrades!$U$12,K52),1))+(IF(F52=0,0,(Upgrades!$M$7+F52*Upgrades!$N$7)*POWER(Upgrades!$O$7,F52)))*(IF(Upgrades!$T$6="Asteroid Belt",POWER(Upgrades!$U$6,E52),1)*IF(Upgrades!$T$8="Asteroid Belt",POWER(Upgrades!$U$8,G52),1)*IF(Upgrades!$T$9="Asteroid Belt",POWER(Upgrades!$U$9,H52),1)*IF(Upgrades!$T$10="Asteroid Belt",POWER(Upgrades!$U$10,I52),1)*IF(Upgrades!$T$11="Asteroid Belt",POWER(Upgrades!$U$11,J52),1)*IF(Upgrades!$T$12="Asteroid Belt",POWER(Upgrades!$U$12,K52),1))+(IF(G52=0,0,(Upgrades!$M$8+G52*Upgrades!$N$8)*POWER(Upgrades!$O$8,G52)))*(IF(Upgrades!$T$6="Stellar Coupling",POWER(Upgrades!$U$6,E52),1)*IF(Upgrades!$T$7="Stellar Coupling",POWER(Upgrades!$U$7,F52),1)*IF(Upgrades!$T$9="Stellar Coupling",POWER(Upgrades!$U$9,H52),1)*IF(Upgrades!$T$10="Stellar Coupling",POWER(Upgrades!$U$10,I52),1)*IF(Upgrades!$T$11="Stellar Coupling",POWER(Upgrades!$U$11,J52),1)*IF(Upgrades!$T$12="Stellar Coupling",POWER(Upgrades!$U$12,K52),1))+(IF(H52=0,0,(Upgrades!$M$9+H52*Upgrades!$N$9)*POWER(Upgrades!$O$9,H52)))*(IF(Upgrades!$T$6="Magnetosphere",POWER(Upgrades!$U$6,E52),1)*IF(Upgrades!$T$7="Magnetosphere",POWER(Upgrades!$U$7,F52),1)*IF(Upgrades!$T$8="Magnetosphere",POWER(Upgrades!$U$8,G52),1)*IF(Upgrades!$T$10="Magnetosphere",POWER(Upgrades!$U$10,I52),1)*IF(Upgrades!$T$11="Magnetosphere",POWER(Upgrades!$U$11,J52),1)*IF(Upgrades!$T$12="Magnetosphere",POWER(Upgrades!$U$12,K52),1))+(IF(I52=0,0,(Upgrades!$M$10+I52*Upgrades!$N$10)*POWER(Upgrades!$O$10,I52)))*(IF(Upgrades!$T$6="Orbital Resonance",POWER(Upgrades!$U$6,E52),1)*IF(Upgrades!$T$7="Orbital Resonance",POWER(Upgrades!$U$7,F52),1)*IF(Upgrades!$T$8="Orbital Resonance",POWER(Upgrades!$U$8,G52),1)*IF(Upgrades!$T$9="Orbital Resonance",POWER(Upgrades!$U$9,H52),1)*IF(Upgrades!$T$11="Orbital Resonance",POWER(Upgrades!$U$11,J52),1)*IF(Upgrades!$T$12="Orbital Resonance",POWER(Upgrades!$U$12,K52),1))+(IF(J52=0,0,(Upgrades!$M$11+J52*Upgrades!$N$11)*POWER(Upgrades!$O$11,J52)))*(IF(Upgrades!$T$6="Heliopause",POWER(Upgrades!$U$6,E52),1)*IF(Upgrades!$T$7="Heliopause",POWER(Upgrades!$U$7,F52),1)*IF(Upgrades!$T$8="Heliopause",POWER(Upgrades!$U$8,G52),1)*IF(Upgrades!$T$9="Heliopause",POWER(Upgrades!$U$9,H52),1)*IF(Upgrades!$T$10="Heliopause",POWER(Upgrades!$U$10,I52),1)*IF(Upgrades!$T$12="Heliopause",POWER(Upgrades!$U$12,K52),1))+(IF(K52=0,0,(Upgrades!$M$12+K52*Upgrades!$N$12)*POWER(Upgrades!$O$12,K52)))*(IF(Upgrades!$T$6="First Photons",POWER(Upgrades!$U$6,E52),1)*IF(Upgrades!$T$7="First Photons",POWER(Upgrades!$U$7,F52),1)*IF(Upgrades!$T$8="First Photons",POWER(Upgrades!$U$8,G52),1)*IF(Upgrades!$T$9="First Photons",POWER(Upgrades!$U$9,H52),1)*IF(Upgrades!$T$10="First Photons",POWER(Upgrades!$U$10,I52),1)*IF(Upgrades!$T$11="First Photons",POWER(Upgrades!$U$11,J52),1)))*POWER(Upgrades!$R$6,E52)*POWER(Upgrades!$R$7,F52)*POWER(Upgrades!$R$8,G52)*POWER(Upgrades!$R$9,H52)*POWER(Upgrades!$R$10,I52)*POWER(Upgrades!$R$11,J52)*POWER(Upgrades!$R$12,K52)</f>
        <v>0</v>
      </c>
      <c r="P52" s="27" t="n">
        <f aca="false">IF(L52=1,0,M52*Parameters!$B$10/60*Parameters!$B$11*10)</f>
        <v>83</v>
      </c>
      <c r="Q52" s="27" t="n">
        <f aca="false">IF(L52=1,0,O52*M52*10)</f>
        <v>0</v>
      </c>
      <c r="R52" s="27" t="n">
        <f aca="false">IF(L52=1,0,N52*10)</f>
        <v>95</v>
      </c>
      <c r="S52" s="27" t="n">
        <f aca="false">P52+Q52+R52</f>
        <v>178</v>
      </c>
      <c r="T52" s="21" t="n">
        <f aca="false">C52+S52</f>
        <v>871.065986744308</v>
      </c>
      <c r="U52" s="34" t="str">
        <f aca="false">AX52</f>
        <v/>
      </c>
      <c r="V52" s="21" t="n">
        <f aca="false">IF(U52="",0,IF(U52="transition",0,IF(U52="SW",AG52,IF(U52="AB",AH52,IF(U52="SC",AI52,IF(U52="Mag",AJ52,IF(U52="OR",AK52,IF(U52="HP",AL52,IF(U52="FP",AM52,0)))))))))</f>
        <v>0</v>
      </c>
      <c r="W52" s="27" t="n">
        <f aca="false">IF(U52="OR",Upgrades!$F$10,IF(U52="HP",Upgrades!$F$11,IF(U52="transition",-Parameters!$B$18,0)))</f>
        <v>0</v>
      </c>
      <c r="X52" s="21" t="n">
        <f aca="false">T52-V52</f>
        <v>871.065986744308</v>
      </c>
      <c r="Y52" s="30" t="n">
        <f aca="false">M52*Parameters!$B$10/60*Parameters!$B$11+O52*M52+N52</f>
        <v>17.8</v>
      </c>
      <c r="Z52" s="35" t="str">
        <f aca="false">IF(U52="transition","→ Tier 2 (Stellar Neighborhood)",IF(U52="FP","First Photons — light begins, system quickens",IF(U52="HP","Heliopause acquired",IF(U52="OR","Orbital Resonance — passive multiplier active",IF(AND(AO52=1,L52=0,AN52&lt;&gt;1),"Cohesion ready (waiting on completionist upgrades)","")))))</f>
        <v>Cohesion ready (waiting on completionist upgrades)</v>
      </c>
      <c r="AA52" s="27" t="n">
        <f aca="false">(IF(E52=0,0,(Upgrades!$G$6+E52*Upgrades!$H$6)*POWER(Upgrades!$I$6,E52)))*(IF(Upgrades!$T$7="Solar Wind",POWER(Upgrades!$U$7,F52),1)*IF(Upgrades!$T$8="Solar Wind",POWER(Upgrades!$U$8,G52),1)*IF(Upgrades!$T$9="Solar Wind",POWER(Upgrades!$U$9,H52),1)*IF(Upgrades!$T$10="Solar Wind",POWER(Upgrades!$U$10,I52),1)*IF(Upgrades!$T$11="Solar Wind",POWER(Upgrades!$U$11,J52),1)*IF(Upgrades!$T$12="Solar Wind",POWER(Upgrades!$U$12,K52),1))*POWER(Upgrades!$P$6,E52)*POWER(Upgrades!$P$7,F52)*POWER(Upgrades!$P$8,G52)*POWER(Upgrades!$P$9,H52)*POWER(Upgrades!$P$10,I52)*POWER(Upgrades!$P$11,J52)*POWER(Upgrades!$P$12,K52)*60</f>
        <v>60</v>
      </c>
      <c r="AB52" s="27" t="n">
        <f aca="false">(IF(F52=0,0,(Upgrades!$G$7+F52*Upgrades!$H$7)*POWER(Upgrades!$I$7,F52)))*(IF(Upgrades!$T$6="Asteroid Belt",POWER(Upgrades!$U$6,E52),1)*IF(Upgrades!$T$8="Asteroid Belt",POWER(Upgrades!$U$8,G52),1)*IF(Upgrades!$T$9="Asteroid Belt",POWER(Upgrades!$U$9,H52),1)*IF(Upgrades!$T$10="Asteroid Belt",POWER(Upgrades!$U$10,I52),1)*IF(Upgrades!$T$11="Asteroid Belt",POWER(Upgrades!$U$11,J52),1)*IF(Upgrades!$T$12="Asteroid Belt",POWER(Upgrades!$U$12,K52),1))*POWER(Upgrades!$P$6,E52)*POWER(Upgrades!$P$7,F52)*POWER(Upgrades!$P$8,G52)*POWER(Upgrades!$P$9,H52)*POWER(Upgrades!$P$10,I52)*POWER(Upgrades!$P$11,J52)*POWER(Upgrades!$P$12,K52)*60</f>
        <v>135</v>
      </c>
      <c r="AC52" s="27" t="n">
        <f aca="false">(IF(G52=0,0,(Upgrades!$J$8+G52*Upgrades!$K$8)*POWER(Upgrades!$L$8,G52)))*(IF(Upgrades!$T$6="Stellar Coupling",POWER(Upgrades!$U$6,E52),1)*IF(Upgrades!$T$7="Stellar Coupling",POWER(Upgrades!$U$7,F52),1)*IF(Upgrades!$T$9="Stellar Coupling",POWER(Upgrades!$U$9,H52),1)*IF(Upgrades!$T$10="Stellar Coupling",POWER(Upgrades!$U$10,I52),1)*IF(Upgrades!$T$11="Stellar Coupling",POWER(Upgrades!$U$11,J52),1)*IF(Upgrades!$T$12="Stellar Coupling",POWER(Upgrades!$U$12,K52),1))*POWER(Upgrades!$Q$6,E52)*POWER(Upgrades!$Q$7,F52)*POWER(Upgrades!$Q$8,G52)*POWER(Upgrades!$Q$9,H52)*POWER(Upgrades!$Q$10,I52)*POWER(Upgrades!$Q$11,J52)*POWER(Upgrades!$Q$12,K52)*Parameters!$B$10*Parameters!$B$11</f>
        <v>378</v>
      </c>
      <c r="AD52" s="27" t="n">
        <f aca="false">(IF(H52=0,0,(Upgrades!$G$9+H52*Upgrades!$H$9)*POWER(Upgrades!$I$9,H52)))*(IF(Upgrades!$T$6="Magnetosphere",POWER(Upgrades!$U$6,E52),1)*IF(Upgrades!$T$7="Magnetosphere",POWER(Upgrades!$U$7,F52),1)*IF(Upgrades!$T$8="Magnetosphere",POWER(Upgrades!$U$8,G52),1)*IF(Upgrades!$T$10="Magnetosphere",POWER(Upgrades!$U$10,I52),1)*IF(Upgrades!$T$11="Magnetosphere",POWER(Upgrades!$U$11,J52),1)*IF(Upgrades!$T$12="Magnetosphere",POWER(Upgrades!$U$12,K52),1))*POWER(Upgrades!$P$6,E52)*POWER(Upgrades!$P$7,F52)*POWER(Upgrades!$P$8,G52)*POWER(Upgrades!$P$9,H52)*POWER(Upgrades!$P$10,I52)*POWER(Upgrades!$P$11,J52)*POWER(Upgrades!$P$12,K52)*60</f>
        <v>300</v>
      </c>
      <c r="AE52" s="27" t="n">
        <f aca="false">(IF(K52=0,0,(Upgrades!$G$12+K52*Upgrades!$H$12)*POWER(Upgrades!$I$12,K52)))*(IF(Upgrades!$T$6="First Photons",POWER(Upgrades!$U$6,E52),1)*IF(Upgrades!$T$7="First Photons",POWER(Upgrades!$U$7,F52),1)*IF(Upgrades!$T$8="First Photons",POWER(Upgrades!$U$8,G52),1)*IF(Upgrades!$T$9="First Photons",POWER(Upgrades!$U$9,H52),1)*IF(Upgrades!$T$10="First Photons",POWER(Upgrades!$U$10,I52),1)*IF(Upgrades!$T$11="First Photons",POWER(Upgrades!$U$11,J52),1))*POWER(Upgrades!$P$6,E52)*POWER(Upgrades!$P$7,F52)*POWER(Upgrades!$P$8,G52)*POWER(Upgrades!$P$9,H52)*POWER(Upgrades!$P$10,I52)*POWER(Upgrades!$P$11,J52)*POWER(Upgrades!$P$12,K52)*60</f>
        <v>75</v>
      </c>
      <c r="AF52" s="27" t="n">
        <f aca="false">Parameters!$B$9*POWER(Upgrades!$Q$6,E52)*POWER(Upgrades!$Q$7,F52)*POWER(Upgrades!$Q$8,G52)*POWER(Upgrades!$Q$9,H52)*POWER(Upgrades!$Q$10,I52)*POWER(Upgrades!$Q$11,J52)*POWER(Upgrades!$Q$12,K52)*(Parameters!$B$10*Parameters!$B$11+O52*60)</f>
        <v>120</v>
      </c>
      <c r="AG52" s="21" t="n">
        <f aca="false">IF(E52&gt;=Upgrades!$E$6,"",Upgrades!$C$6*POWER(Upgrades!$D$6,E52))</f>
        <v>28.3189041499553</v>
      </c>
      <c r="AH52" s="21" t="n">
        <f aca="false">IF(F52&gt;=Upgrades!$E$7,"",Upgrades!$C$7*POWER(Upgrades!$D$7,F52))</f>
        <v>70.3575258383984</v>
      </c>
      <c r="AI52" s="21" t="n">
        <f aca="false">IF(G52&gt;=Upgrades!$E$8,"",Upgrades!$C$8*POWER(Upgrades!$D$8,G52))</f>
        <v>165.649792</v>
      </c>
      <c r="AJ52" s="21" t="n">
        <f aca="false">IF(H52&gt;=Upgrades!$E$9,"",Upgrades!$C$9*POWER(Upgrades!$D$9,H52))</f>
        <v>1280</v>
      </c>
      <c r="AK52" s="21" t="str">
        <f aca="false">IF(I52&gt;=Upgrades!$E$10,"",Upgrades!$C$10*POWER(Upgrades!$D$10,I52))</f>
        <v/>
      </c>
      <c r="AL52" s="21" t="str">
        <f aca="false">IF(J52&gt;=Upgrades!$E$11,"",Upgrades!$C$11*POWER(Upgrades!$D$11,J52))</f>
        <v/>
      </c>
      <c r="AM52" s="21" t="str">
        <f aca="false">IF(K52&gt;=Upgrades!$E$12,"",Upgrades!$C$12*POWER(Upgrades!$D$12,K52))</f>
        <v/>
      </c>
      <c r="AN52" s="26" t="str">
        <f aca="false">IF(AND(D52&gt;=Parameters!$B$18,(H52&gt;=Upgrades!$E$9)*(K52&gt;=Upgrades!$E$12)=1,L52=0),1,"")</f>
        <v/>
      </c>
      <c r="AO52" s="26" t="n">
        <f aca="false">IF(AND(D52&gt;=Parameters!$B$18,L52=0),1,"")</f>
        <v>1</v>
      </c>
      <c r="AP52" s="21" t="n">
        <f aca="false">MIN(IF(ISNUMBER(AK52),AK52,9000000000000000),IF(ISNUMBER(AL52),AL52,9000000000000000),IF(ISNUMBER(AM52),AM52,9000000000000000))</f>
        <v>9000000000000000</v>
      </c>
      <c r="AQ52" s="21" t="n">
        <f aca="false">MIN(IF(ISNUMBER(AG52),AG52,9000000000000000),IF(ISNUMBER(AH52),AH52,9000000000000000),IF(ISNUMBER(AI52),AI52,9000000000000000),IF(ISNUMBER(AJ52),AJ52,9000000000000000))</f>
        <v>28.3189041499553</v>
      </c>
      <c r="AR52" s="32" t="b">
        <f aca="false">IF(AW52&gt;Parameters!$B$21*(MAX(IF(AND(NOT(AND(AO52=1,AN52&lt;&gt;1)),ISNUMBER(AG52),AG52&lt;=T52),AS52,0),IF(AND(NOT(AND(AO52=1,AN52&lt;&gt;1)),ISNUMBER(AH52),AH52&lt;=T52),AT52,0),IF(AND(NOT(AND(AO52=1,AN52&lt;&gt;1)),ISNUMBER(AI52),AI52&lt;=T52),AU52,0),IF(AND(ISNUMBER(AJ52),AJ52&lt;=T52),AV52,0))),TRUE(),FALSE())</f>
        <v>1</v>
      </c>
      <c r="AS52" s="33" t="n">
        <f aca="false">IFERROR(Upgrades!$H$6*(POWER(Upgrades!$P$6,E52)*POWER(Upgrades!$P$7,F52)*POWER(Upgrades!$P$8,G52)*POWER(Upgrades!$P$9,H52)*POWER(Upgrades!$P$10,I52)*POWER(Upgrades!$P$11,J52)*POWER(Upgrades!$P$12,K52))*(IF(Upgrades!$T$7="Solar Wind",POWER(Upgrades!$U$7,F52),1)*IF(Upgrades!$T$8="Solar Wind",POWER(Upgrades!$U$8,G52),1)*IF(Upgrades!$T$9="Solar Wind",POWER(Upgrades!$U$9,H52),1)*IF(Upgrades!$T$10="Solar Wind",POWER(Upgrades!$U$10,I52),1)*IF(Upgrades!$T$11="Solar Wind",POWER(Upgrades!$U$11,J52),1)*IF(Upgrades!$T$12="Solar Wind",POWER(Upgrades!$U$12,K52),1))/AG52,0)</f>
        <v>0.00353121008745523</v>
      </c>
      <c r="AT52" s="33" t="n">
        <f aca="false">IFERROR(Upgrades!$H$7*(POWER(Upgrades!$P$6,E52)*POWER(Upgrades!$P$7,F52)*POWER(Upgrades!$P$8,G52)*POWER(Upgrades!$P$9,H52)*POWER(Upgrades!$P$10,I52)*POWER(Upgrades!$P$11,J52)*POWER(Upgrades!$P$12,K52))*(IF(Upgrades!$T$6="Asteroid Belt",POWER(Upgrades!$U$6,E52),1)*IF(Upgrades!$T$8="Asteroid Belt",POWER(Upgrades!$U$8,G52),1)*IF(Upgrades!$T$9="Asteroid Belt",POWER(Upgrades!$U$9,H52),1)*IF(Upgrades!$T$10="Asteroid Belt",POWER(Upgrades!$U$10,I52),1)*IF(Upgrades!$T$11="Asteroid Belt",POWER(Upgrades!$U$11,J52),1)*IF(Upgrades!$T$12="Asteroid Belt",POWER(Upgrades!$U$12,K52),1))/AH52,0)</f>
        <v>0.00355328015050182</v>
      </c>
      <c r="AU52" s="33" t="n">
        <f aca="false">IFERROR(Upgrades!$K$8*(POWER(Upgrades!$Q$6,E52)*POWER(Upgrades!$Q$7,F52)*POWER(Upgrades!$Q$8,G52)*POWER(Upgrades!$Q$9,H52)*POWER(Upgrades!$Q$10,I52)*POWER(Upgrades!$Q$11,J52)*POWER(Upgrades!$Q$12,K52))*(IF(Upgrades!$T$6="Stellar Coupling",POWER(Upgrades!$U$6,E52),1)*IF(Upgrades!$T$7="Stellar Coupling",POWER(Upgrades!$U$7,F52),1)*IF(Upgrades!$T$9="Stellar Coupling",POWER(Upgrades!$U$9,H52),1)*IF(Upgrades!$T$10="Stellar Coupling",POWER(Upgrades!$U$10,I52),1)*IF(Upgrades!$T$11="Stellar Coupling",POWER(Upgrades!$U$11,J52),1)*IF(Upgrades!$T$12="Stellar Coupling",POWER(Upgrades!$U$12,K52),1))*Parameters!$B$10*Parameters!$B$11/60/AI52,0)</f>
        <v>0.00633867382097287</v>
      </c>
      <c r="AV52" s="33" t="n">
        <f aca="false">IFERROR(Upgrades!$H$9*(POWER(Upgrades!$P$6,E52)*POWER(Upgrades!$P$7,F52)*POWER(Upgrades!$P$8,G52)*POWER(Upgrades!$P$9,H52)*POWER(Upgrades!$P$10,I52)*POWER(Upgrades!$P$11,J52)*POWER(Upgrades!$P$12,K52))*(IF(Upgrades!$T$6="Magnetosphere",POWER(Upgrades!$U$6,E52),1)*IF(Upgrades!$T$7="Magnetosphere",POWER(Upgrades!$U$7,F52),1)*IF(Upgrades!$T$8="Magnetosphere",POWER(Upgrades!$U$8,G52),1)*IF(Upgrades!$T$10="Magnetosphere",POWER(Upgrades!$U$10,I52),1)*IF(Upgrades!$T$11="Magnetosphere",POWER(Upgrades!$U$11,J52),1)*IF(Upgrades!$T$12="Magnetosphere",POWER(Upgrades!$U$12,K52),1))/AJ52,0)</f>
        <v>0.0009765625</v>
      </c>
      <c r="AW52" s="33" t="n">
        <f aca="false">MAX(IF(I52&gt;0,0,IFERROR(0.25*N52/Upgrades!$C$10,0)),IF(J52&gt;0,0,IFERROR(0.5*((IF(G52=0,0,(Upgrades!$J$8+G52*Upgrades!$K$8)*POWER(Upgrades!$L$8,G52)))*(IF(Upgrades!$T$6="Stellar Coupling",POWER(Upgrades!$U$6,E52),1)*IF(Upgrades!$T$7="Stellar Coupling",POWER(Upgrades!$U$7,F52),1)*IF(Upgrades!$T$9="Stellar Coupling",POWER(Upgrades!$U$9,H52),1)*IF(Upgrades!$T$10="Stellar Coupling",POWER(Upgrades!$U$10,I52),1)*IF(Upgrades!$T$11="Stellar Coupling",POWER(Upgrades!$U$11,J52),1)*IF(Upgrades!$T$12="Stellar Coupling",POWER(Upgrades!$U$12,K52),1))*(POWER(Upgrades!$Q$6,E52)*POWER(Upgrades!$Q$7,F52)*POWER(Upgrades!$Q$8,G52)*POWER(Upgrades!$Q$9,H52)*POWER(Upgrades!$Q$10,I52)*POWER(Upgrades!$Q$11,J52)*POWER(Upgrades!$Q$12,K52))*Parameters!$B$10*Parameters!$B$11/60)/Upgrades!$C$11,0)),IF(K52&gt;0,0,IFERROR((1*(POWER(Upgrades!$P$6,E52)*POWER(Upgrades!$P$7,F52)*POWER(Upgrades!$P$8,G52)*POWER(Upgrades!$P$9,H52)*POWER(Upgrades!$P$10,I52)*POWER(Upgrades!$P$11,J52)*POWER(Upgrades!$P$12,K52))+0.2*M52*Parameters!$B$10*Parameters!$B$11/60)/Upgrades!$C$12,0)),IF(AND(ISNUMBER(AG52),AG52&gt;T52),AS52,0),IF(AND(ISNUMBER(AH52),AH52&gt;T52),AT52,0),IF(AND(ISNUMBER(AI52),AI52&gt;T52),AU52,0),IF(AND(ISNUMBER(AJ52),AJ52&gt;T52),AV52,0))</f>
        <v>0.0009765625</v>
      </c>
      <c r="AX52" s="29" t="str">
        <f aca="false">IF(AN52=1,"transition",IF(MIN(IF(AND(I52=0,ISNUMBER(AK52),AK52&lt;=T52),AK52,9000000000000000),IF(AND(J52=0,ISNUMBER(AL52),AL52&lt;=T52),AL52,9000000000000000),IF(AND(K52=0,ISNUMBER(AM52),AM52&lt;=T52),AM52,9000000000000000))&lt;9000000000000000,IF(AND(AND(I52=0,ISNUMBER(AK52),AK52&lt;=T52),AK52=MIN(IF(AND(I52=0,ISNUMBER(AK52),AK52&lt;=T52),AK52,9000000000000000),IF(AND(J52=0,ISNUMBER(AL52),AL52&lt;=T52),AL52,9000000000000000),IF(AND(K52=0,ISNUMBER(AM52),AM52&lt;=T52),AM52,9000000000000000))),"OR",IF(AND(AND(J52=0,ISNUMBER(AL52),AL52&lt;=T52),AL52=MIN(IF(AND(I52=0,ISNUMBER(AK52),AK52&lt;=T52),AK52,9000000000000000),IF(AND(J52=0,ISNUMBER(AL52),AL52&lt;=T52),AL52,9000000000000000),IF(AND(K52=0,ISNUMBER(AM52),AM52&lt;=T52),AM52,9000000000000000))),"HP","FP")),IF(AR52=TRUE(),"",IF(MAX(IF(AND(NOT(AND(AO52=1,AN52&lt;&gt;1)),ISNUMBER(AG52),AG52&lt;=T52),AS52,0),IF(AND(NOT(AND(AO52=1,AN52&lt;&gt;1)),ISNUMBER(AH52),AH52&lt;=T52),AT52,0),IF(AND(NOT(AND(AO52=1,AN52&lt;&gt;1)),ISNUMBER(AI52),AI52&lt;=T52),AU52,0),IF(AND(ISNUMBER(AJ52),AJ52&lt;=T52),AV52,0))&lt;=0,"",IF(AND(IF(AND(NOT(AND(AO52=1,AN52&lt;&gt;1)),ISNUMBER(AG52),AG52&lt;=T52),AS52,0)&gt;0,IF(AND(NOT(AND(AO52=1,AN52&lt;&gt;1)),ISNUMBER(AG52),AG52&lt;=T52),AS52,0)=MAX(IF(AND(NOT(AND(AO52=1,AN52&lt;&gt;1)),ISNUMBER(AG52),AG52&lt;=T52),AS52,0),IF(AND(NOT(AND(AO52=1,AN52&lt;&gt;1)),ISNUMBER(AH52),AH52&lt;=T52),AT52,0),IF(AND(NOT(AND(AO52=1,AN52&lt;&gt;1)),ISNUMBER(AI52),AI52&lt;=T52),AU52,0),IF(AND(ISNUMBER(AJ52),AJ52&lt;=T52),AV52,0))),"SW",IF(AND(IF(AND(NOT(AND(AO52=1,AN52&lt;&gt;1)),ISNUMBER(AH52),AH52&lt;=T52),AT52,0)&gt;0,IF(AND(NOT(AND(AO52=1,AN52&lt;&gt;1)),ISNUMBER(AH52),AH52&lt;=T52),AT52,0)=MAX(IF(AND(NOT(AND(AO52=1,AN52&lt;&gt;1)),ISNUMBER(AG52),AG52&lt;=T52),AS52,0),IF(AND(NOT(AND(AO52=1,AN52&lt;&gt;1)),ISNUMBER(AH52),AH52&lt;=T52),AT52,0),IF(AND(NOT(AND(AO52=1,AN52&lt;&gt;1)),ISNUMBER(AI52),AI52&lt;=T52),AU52,0),IF(AND(ISNUMBER(AJ52),AJ52&lt;=T52),AV52,0))),"AB",IF(AND(IF(AND(NOT(AND(AO52=1,AN52&lt;&gt;1)),ISNUMBER(AI52),AI52&lt;=T52),AU52,0)&gt;0,IF(AND(NOT(AND(AO52=1,AN52&lt;&gt;1)),ISNUMBER(AI52),AI52&lt;=T52),AU52,0)=MAX(IF(AND(NOT(AND(AO52=1,AN52&lt;&gt;1)),ISNUMBER(AG52),AG52&lt;=T52),AS52,0),IF(AND(NOT(AND(AO52=1,AN52&lt;&gt;1)),ISNUMBER(AH52),AH52&lt;=T52),AT52,0),IF(AND(NOT(AND(AO52=1,AN52&lt;&gt;1)),ISNUMBER(AI52),AI52&lt;=T52),AU52,0),IF(AND(ISNUMBER(AJ52),AJ52&lt;=T52),AV52,0))),"SC","Mag")))))))</f>
        <v/>
      </c>
    </row>
    <row r="53" customFormat="false" ht="15" hidden="false" customHeight="false" outlineLevel="0" collapsed="false">
      <c r="A53" s="26" t="n">
        <v>48</v>
      </c>
      <c r="B53" s="27" t="n">
        <f aca="false">A53*10/60</f>
        <v>8</v>
      </c>
      <c r="C53" s="21" t="n">
        <f aca="false">X52</f>
        <v>871.065986744308</v>
      </c>
      <c r="D53" s="27" t="n">
        <f aca="false">D52+W52</f>
        <v>1</v>
      </c>
      <c r="E53" s="26" t="n">
        <f aca="false">E52+IF(U52="SW",1,0)</f>
        <v>10</v>
      </c>
      <c r="F53" s="26" t="n">
        <f aca="false">F52+IF(U52="AB",1,0)</f>
        <v>9</v>
      </c>
      <c r="G53" s="26" t="n">
        <f aca="false">G52+IF(U52="SC",1,0)</f>
        <v>6</v>
      </c>
      <c r="H53" s="26" t="n">
        <f aca="false">H52+IF(U52="Mag",1,0)</f>
        <v>4</v>
      </c>
      <c r="I53" s="26" t="n">
        <f aca="false">MAX(I52,IF(U52="OR",1,0))</f>
        <v>1</v>
      </c>
      <c r="J53" s="26" t="n">
        <f aca="false">MAX(J52,IF(U52="HP",1,0))</f>
        <v>1</v>
      </c>
      <c r="K53" s="26" t="n">
        <f aca="false">MAX(K52,IF(U52="FP",1,0))</f>
        <v>1</v>
      </c>
      <c r="L53" s="26" t="n">
        <f aca="false">MAX(L52,IF(U52="transition",1,0))</f>
        <v>0</v>
      </c>
      <c r="M53" s="28" t="n">
        <f aca="false">(Parameters!$B$9+(IF(E53=0,0,(Upgrades!$J$6+E53*Upgrades!$K$6)*POWER(Upgrades!$L$6,E53)))*(IF(Upgrades!$T$7="Solar Wind",POWER(Upgrades!$U$7,F53),1)*IF(Upgrades!$T$8="Solar Wind",POWER(Upgrades!$U$8,G53),1)*IF(Upgrades!$T$9="Solar Wind",POWER(Upgrades!$U$9,H53),1)*IF(Upgrades!$T$10="Solar Wind",POWER(Upgrades!$U$10,I53),1)*IF(Upgrades!$T$11="Solar Wind",POWER(Upgrades!$U$11,J53),1)*IF(Upgrades!$T$12="Solar Wind",POWER(Upgrades!$U$12,K53),1))+(IF(F53=0,0,(Upgrades!$J$7+F53*Upgrades!$K$7)*POWER(Upgrades!$L$7,F53)))*(IF(Upgrades!$T$6="Asteroid Belt",POWER(Upgrades!$U$6,E53),1)*IF(Upgrades!$T$8="Asteroid Belt",POWER(Upgrades!$U$8,G53),1)*IF(Upgrades!$T$9="Asteroid Belt",POWER(Upgrades!$U$9,H53),1)*IF(Upgrades!$T$10="Asteroid Belt",POWER(Upgrades!$U$10,I53),1)*IF(Upgrades!$T$11="Asteroid Belt",POWER(Upgrades!$U$11,J53),1)*IF(Upgrades!$T$12="Asteroid Belt",POWER(Upgrades!$U$12,K53),1))+(IF(G53=0,0,(Upgrades!$J$8+G53*Upgrades!$K$8)*POWER(Upgrades!$L$8,G53)))*(IF(Upgrades!$T$6="Stellar Coupling",POWER(Upgrades!$U$6,E53),1)*IF(Upgrades!$T$7="Stellar Coupling",POWER(Upgrades!$U$7,F53),1)*IF(Upgrades!$T$9="Stellar Coupling",POWER(Upgrades!$U$9,H53),1)*IF(Upgrades!$T$10="Stellar Coupling",POWER(Upgrades!$U$10,I53),1)*IF(Upgrades!$T$11="Stellar Coupling",POWER(Upgrades!$U$11,J53),1)*IF(Upgrades!$T$12="Stellar Coupling",POWER(Upgrades!$U$12,K53),1))+(IF(H53=0,0,(Upgrades!$J$9+H53*Upgrades!$K$9)*POWER(Upgrades!$L$9,H53)))*(IF(Upgrades!$T$6="Magnetosphere",POWER(Upgrades!$U$6,E53),1)*IF(Upgrades!$T$7="Magnetosphere",POWER(Upgrades!$U$7,F53),1)*IF(Upgrades!$T$8="Magnetosphere",POWER(Upgrades!$U$8,G53),1)*IF(Upgrades!$T$10="Magnetosphere",POWER(Upgrades!$U$10,I53),1)*IF(Upgrades!$T$11="Magnetosphere",POWER(Upgrades!$U$11,J53),1)*IF(Upgrades!$T$12="Magnetosphere",POWER(Upgrades!$U$12,K53),1))+(IF(I53=0,0,(Upgrades!$J$10+I53*Upgrades!$K$10)*POWER(Upgrades!$L$10,I53)))*(IF(Upgrades!$T$6="Orbital Resonance",POWER(Upgrades!$U$6,E53),1)*IF(Upgrades!$T$7="Orbital Resonance",POWER(Upgrades!$U$7,F53),1)*IF(Upgrades!$T$8="Orbital Resonance",POWER(Upgrades!$U$8,G53),1)*IF(Upgrades!$T$9="Orbital Resonance",POWER(Upgrades!$U$9,H53),1)*IF(Upgrades!$T$11="Orbital Resonance",POWER(Upgrades!$U$11,J53),1)*IF(Upgrades!$T$12="Orbital Resonance",POWER(Upgrades!$U$12,K53),1))+(IF(J53=0,0,(Upgrades!$J$11+J53*Upgrades!$K$11)*POWER(Upgrades!$L$11,J53)))*(IF(Upgrades!$T$6="Heliopause",POWER(Upgrades!$U$6,E53),1)*IF(Upgrades!$T$7="Heliopause",POWER(Upgrades!$U$7,F53),1)*IF(Upgrades!$T$8="Heliopause",POWER(Upgrades!$U$8,G53),1)*IF(Upgrades!$T$9="Heliopause",POWER(Upgrades!$U$9,H53),1)*IF(Upgrades!$T$10="Heliopause",POWER(Upgrades!$U$10,I53),1)*IF(Upgrades!$T$12="Heliopause",POWER(Upgrades!$U$12,K53),1))+(IF(K53=0,0,(Upgrades!$J$12+K53*Upgrades!$K$12)*POWER(Upgrades!$L$12,K53)))*(IF(Upgrades!$T$6="First Photons",POWER(Upgrades!$U$6,E53),1)*IF(Upgrades!$T$7="First Photons",POWER(Upgrades!$U$7,F53),1)*IF(Upgrades!$T$8="First Photons",POWER(Upgrades!$U$8,G53),1)*IF(Upgrades!$T$9="First Photons",POWER(Upgrades!$U$9,H53),1)*IF(Upgrades!$T$10="First Photons",POWER(Upgrades!$U$10,I53),1)*IF(Upgrades!$T$11="First Photons",POWER(Upgrades!$U$11,J53),1)))*POWER(Upgrades!$Q$6,E53)*POWER(Upgrades!$Q$7,F53)*POWER(Upgrades!$Q$8,G53)*POWER(Upgrades!$Q$9,H53)*POWER(Upgrades!$Q$10,I53)*POWER(Upgrades!$Q$11,J53)*POWER(Upgrades!$Q$12,K53)</f>
        <v>4.98</v>
      </c>
      <c r="N53" s="28" t="n">
        <f aca="false">((IF(E53=0,0,(Upgrades!$G$6+E53*Upgrades!$H$6)*POWER(Upgrades!$I$6,E53)))*(IF(Upgrades!$T$7="Solar Wind",POWER(Upgrades!$U$7,F53),1)*IF(Upgrades!$T$8="Solar Wind",POWER(Upgrades!$U$8,G53),1)*IF(Upgrades!$T$9="Solar Wind",POWER(Upgrades!$U$9,H53),1)*IF(Upgrades!$T$10="Solar Wind",POWER(Upgrades!$U$10,I53),1)*IF(Upgrades!$T$11="Solar Wind",POWER(Upgrades!$U$11,J53),1)*IF(Upgrades!$T$12="Solar Wind",POWER(Upgrades!$U$12,K53),1))+(IF(F53=0,0,(Upgrades!$G$7+F53*Upgrades!$H$7)*POWER(Upgrades!$I$7,F53)))*(IF(Upgrades!$T$6="Asteroid Belt",POWER(Upgrades!$U$6,E53),1)*IF(Upgrades!$T$8="Asteroid Belt",POWER(Upgrades!$U$8,G53),1)*IF(Upgrades!$T$9="Asteroid Belt",POWER(Upgrades!$U$9,H53),1)*IF(Upgrades!$T$10="Asteroid Belt",POWER(Upgrades!$U$10,I53),1)*IF(Upgrades!$T$11="Asteroid Belt",POWER(Upgrades!$U$11,J53),1)*IF(Upgrades!$T$12="Asteroid Belt",POWER(Upgrades!$U$12,K53),1))+(IF(G53=0,0,(Upgrades!$G$8+G53*Upgrades!$H$8)*POWER(Upgrades!$I$8,G53)))*(IF(Upgrades!$T$6="Stellar Coupling",POWER(Upgrades!$U$6,E53),1)*IF(Upgrades!$T$7="Stellar Coupling",POWER(Upgrades!$U$7,F53),1)*IF(Upgrades!$T$9="Stellar Coupling",POWER(Upgrades!$U$9,H53),1)*IF(Upgrades!$T$10="Stellar Coupling",POWER(Upgrades!$U$10,I53),1)*IF(Upgrades!$T$11="Stellar Coupling",POWER(Upgrades!$U$11,J53),1)*IF(Upgrades!$T$12="Stellar Coupling",POWER(Upgrades!$U$12,K53),1))+(IF(H53=0,0,(Upgrades!$G$9+H53*Upgrades!$H$9)*POWER(Upgrades!$I$9,H53)))*(IF(Upgrades!$T$6="Magnetosphere",POWER(Upgrades!$U$6,E53),1)*IF(Upgrades!$T$7="Magnetosphere",POWER(Upgrades!$U$7,F53),1)*IF(Upgrades!$T$8="Magnetosphere",POWER(Upgrades!$U$8,G53),1)*IF(Upgrades!$T$10="Magnetosphere",POWER(Upgrades!$U$10,I53),1)*IF(Upgrades!$T$11="Magnetosphere",POWER(Upgrades!$U$11,J53),1)*IF(Upgrades!$T$12="Magnetosphere",POWER(Upgrades!$U$12,K53),1))+(IF(I53=0,0,(Upgrades!$G$10+I53*Upgrades!$H$10)*POWER(Upgrades!$I$10,I53)))*(IF(Upgrades!$T$6="Orbital Resonance",POWER(Upgrades!$U$6,E53),1)*IF(Upgrades!$T$7="Orbital Resonance",POWER(Upgrades!$U$7,F53),1)*IF(Upgrades!$T$8="Orbital Resonance",POWER(Upgrades!$U$8,G53),1)*IF(Upgrades!$T$9="Orbital Resonance",POWER(Upgrades!$U$9,H53),1)*IF(Upgrades!$T$11="Orbital Resonance",POWER(Upgrades!$U$11,J53),1)*IF(Upgrades!$T$12="Orbital Resonance",POWER(Upgrades!$U$12,K53),1))+(IF(J53=0,0,(Upgrades!$G$11+J53*Upgrades!$H$11)*POWER(Upgrades!$I$11,J53)))*(IF(Upgrades!$T$6="Heliopause",POWER(Upgrades!$U$6,E53),1)*IF(Upgrades!$T$7="Heliopause",POWER(Upgrades!$U$7,F53),1)*IF(Upgrades!$T$8="Heliopause",POWER(Upgrades!$U$8,G53),1)*IF(Upgrades!$T$9="Heliopause",POWER(Upgrades!$U$9,H53),1)*IF(Upgrades!$T$10="Heliopause",POWER(Upgrades!$U$10,I53),1)*IF(Upgrades!$T$12="Heliopause",POWER(Upgrades!$U$12,K53),1))+(IF(K53=0,0,(Upgrades!$G$12+K53*Upgrades!$H$12)*POWER(Upgrades!$I$12,K53)))*(IF(Upgrades!$T$6="First Photons",POWER(Upgrades!$U$6,E53),1)*IF(Upgrades!$T$7="First Photons",POWER(Upgrades!$U$7,F53),1)*IF(Upgrades!$T$8="First Photons",POWER(Upgrades!$U$8,G53),1)*IF(Upgrades!$T$9="First Photons",POWER(Upgrades!$U$9,H53),1)*IF(Upgrades!$T$10="First Photons",POWER(Upgrades!$U$10,I53),1)*IF(Upgrades!$T$11="First Photons",POWER(Upgrades!$U$11,J53),1)))*POWER(Upgrades!$P$6,E53)*POWER(Upgrades!$P$7,F53)*POWER(Upgrades!$P$8,G53)*POWER(Upgrades!$P$9,H53)*POWER(Upgrades!$P$10,I53)*POWER(Upgrades!$P$11,J53)*POWER(Upgrades!$P$12,K53)</f>
        <v>9.5</v>
      </c>
      <c r="O53" s="28" t="n">
        <f aca="false">((IF(E53=0,0,(Upgrades!$M$6+E53*Upgrades!$N$6)*POWER(Upgrades!$O$6,E53)))*(IF(Upgrades!$T$7="Solar Wind",POWER(Upgrades!$U$7,F53),1)*IF(Upgrades!$T$8="Solar Wind",POWER(Upgrades!$U$8,G53),1)*IF(Upgrades!$T$9="Solar Wind",POWER(Upgrades!$U$9,H53),1)*IF(Upgrades!$T$10="Solar Wind",POWER(Upgrades!$U$10,I53),1)*IF(Upgrades!$T$11="Solar Wind",POWER(Upgrades!$U$11,J53),1)*IF(Upgrades!$T$12="Solar Wind",POWER(Upgrades!$U$12,K53),1))+(IF(F53=0,0,(Upgrades!$M$7+F53*Upgrades!$N$7)*POWER(Upgrades!$O$7,F53)))*(IF(Upgrades!$T$6="Asteroid Belt",POWER(Upgrades!$U$6,E53),1)*IF(Upgrades!$T$8="Asteroid Belt",POWER(Upgrades!$U$8,G53),1)*IF(Upgrades!$T$9="Asteroid Belt",POWER(Upgrades!$U$9,H53),1)*IF(Upgrades!$T$10="Asteroid Belt",POWER(Upgrades!$U$10,I53),1)*IF(Upgrades!$T$11="Asteroid Belt",POWER(Upgrades!$U$11,J53),1)*IF(Upgrades!$T$12="Asteroid Belt",POWER(Upgrades!$U$12,K53),1))+(IF(G53=0,0,(Upgrades!$M$8+G53*Upgrades!$N$8)*POWER(Upgrades!$O$8,G53)))*(IF(Upgrades!$T$6="Stellar Coupling",POWER(Upgrades!$U$6,E53),1)*IF(Upgrades!$T$7="Stellar Coupling",POWER(Upgrades!$U$7,F53),1)*IF(Upgrades!$T$9="Stellar Coupling",POWER(Upgrades!$U$9,H53),1)*IF(Upgrades!$T$10="Stellar Coupling",POWER(Upgrades!$U$10,I53),1)*IF(Upgrades!$T$11="Stellar Coupling",POWER(Upgrades!$U$11,J53),1)*IF(Upgrades!$T$12="Stellar Coupling",POWER(Upgrades!$U$12,K53),1))+(IF(H53=0,0,(Upgrades!$M$9+H53*Upgrades!$N$9)*POWER(Upgrades!$O$9,H53)))*(IF(Upgrades!$T$6="Magnetosphere",POWER(Upgrades!$U$6,E53),1)*IF(Upgrades!$T$7="Magnetosphere",POWER(Upgrades!$U$7,F53),1)*IF(Upgrades!$T$8="Magnetosphere",POWER(Upgrades!$U$8,G53),1)*IF(Upgrades!$T$10="Magnetosphere",POWER(Upgrades!$U$10,I53),1)*IF(Upgrades!$T$11="Magnetosphere",POWER(Upgrades!$U$11,J53),1)*IF(Upgrades!$T$12="Magnetosphere",POWER(Upgrades!$U$12,K53),1))+(IF(I53=0,0,(Upgrades!$M$10+I53*Upgrades!$N$10)*POWER(Upgrades!$O$10,I53)))*(IF(Upgrades!$T$6="Orbital Resonance",POWER(Upgrades!$U$6,E53),1)*IF(Upgrades!$T$7="Orbital Resonance",POWER(Upgrades!$U$7,F53),1)*IF(Upgrades!$T$8="Orbital Resonance",POWER(Upgrades!$U$8,G53),1)*IF(Upgrades!$T$9="Orbital Resonance",POWER(Upgrades!$U$9,H53),1)*IF(Upgrades!$T$11="Orbital Resonance",POWER(Upgrades!$U$11,J53),1)*IF(Upgrades!$T$12="Orbital Resonance",POWER(Upgrades!$U$12,K53),1))+(IF(J53=0,0,(Upgrades!$M$11+J53*Upgrades!$N$11)*POWER(Upgrades!$O$11,J53)))*(IF(Upgrades!$T$6="Heliopause",POWER(Upgrades!$U$6,E53),1)*IF(Upgrades!$T$7="Heliopause",POWER(Upgrades!$U$7,F53),1)*IF(Upgrades!$T$8="Heliopause",POWER(Upgrades!$U$8,G53),1)*IF(Upgrades!$T$9="Heliopause",POWER(Upgrades!$U$9,H53),1)*IF(Upgrades!$T$10="Heliopause",POWER(Upgrades!$U$10,I53),1)*IF(Upgrades!$T$12="Heliopause",POWER(Upgrades!$U$12,K53),1))+(IF(K53=0,0,(Upgrades!$M$12+K53*Upgrades!$N$12)*POWER(Upgrades!$O$12,K53)))*(IF(Upgrades!$T$6="First Photons",POWER(Upgrades!$U$6,E53),1)*IF(Upgrades!$T$7="First Photons",POWER(Upgrades!$U$7,F53),1)*IF(Upgrades!$T$8="First Photons",POWER(Upgrades!$U$8,G53),1)*IF(Upgrades!$T$9="First Photons",POWER(Upgrades!$U$9,H53),1)*IF(Upgrades!$T$10="First Photons",POWER(Upgrades!$U$10,I53),1)*IF(Upgrades!$T$11="First Photons",POWER(Upgrades!$U$11,J53),1)))*POWER(Upgrades!$R$6,E53)*POWER(Upgrades!$R$7,F53)*POWER(Upgrades!$R$8,G53)*POWER(Upgrades!$R$9,H53)*POWER(Upgrades!$R$10,I53)*POWER(Upgrades!$R$11,J53)*POWER(Upgrades!$R$12,K53)</f>
        <v>0</v>
      </c>
      <c r="P53" s="27" t="n">
        <f aca="false">IF(L53=1,0,M53*Parameters!$B$10/60*Parameters!$B$11*10)</f>
        <v>83</v>
      </c>
      <c r="Q53" s="27" t="n">
        <f aca="false">IF(L53=1,0,O53*M53*10)</f>
        <v>0</v>
      </c>
      <c r="R53" s="27" t="n">
        <f aca="false">IF(L53=1,0,N53*10)</f>
        <v>95</v>
      </c>
      <c r="S53" s="27" t="n">
        <f aca="false">P53+Q53+R53</f>
        <v>178</v>
      </c>
      <c r="T53" s="21" t="n">
        <f aca="false">C53+S53</f>
        <v>1049.06598674431</v>
      </c>
      <c r="U53" s="34" t="str">
        <f aca="false">AX53</f>
        <v/>
      </c>
      <c r="V53" s="21" t="n">
        <f aca="false">IF(U53="",0,IF(U53="transition",0,IF(U53="SW",AG53,IF(U53="AB",AH53,IF(U53="SC",AI53,IF(U53="Mag",AJ53,IF(U53="OR",AK53,IF(U53="HP",AL53,IF(U53="FP",AM53,0)))))))))</f>
        <v>0</v>
      </c>
      <c r="W53" s="27" t="n">
        <f aca="false">IF(U53="OR",Upgrades!$F$10,IF(U53="HP",Upgrades!$F$11,IF(U53="transition",-Parameters!$B$18,0)))</f>
        <v>0</v>
      </c>
      <c r="X53" s="21" t="n">
        <f aca="false">T53-V53</f>
        <v>1049.06598674431</v>
      </c>
      <c r="Y53" s="30" t="n">
        <f aca="false">M53*Parameters!$B$10/60*Parameters!$B$11+O53*M53+N53</f>
        <v>17.8</v>
      </c>
      <c r="Z53" s="35" t="str">
        <f aca="false">IF(U53="transition","→ Tier 2 (Stellar Neighborhood)",IF(U53="FP","First Photons — light begins, system quickens",IF(U53="HP","Heliopause acquired",IF(U53="OR","Orbital Resonance — passive multiplier active",IF(AND(AO53=1,L53=0,AN53&lt;&gt;1),"Cohesion ready (waiting on completionist upgrades)","")))))</f>
        <v>Cohesion ready (waiting on completionist upgrades)</v>
      </c>
      <c r="AA53" s="27" t="n">
        <f aca="false">(IF(E53=0,0,(Upgrades!$G$6+E53*Upgrades!$H$6)*POWER(Upgrades!$I$6,E53)))*(IF(Upgrades!$T$7="Solar Wind",POWER(Upgrades!$U$7,F53),1)*IF(Upgrades!$T$8="Solar Wind",POWER(Upgrades!$U$8,G53),1)*IF(Upgrades!$T$9="Solar Wind",POWER(Upgrades!$U$9,H53),1)*IF(Upgrades!$T$10="Solar Wind",POWER(Upgrades!$U$10,I53),1)*IF(Upgrades!$T$11="Solar Wind",POWER(Upgrades!$U$11,J53),1)*IF(Upgrades!$T$12="Solar Wind",POWER(Upgrades!$U$12,K53),1))*POWER(Upgrades!$P$6,E53)*POWER(Upgrades!$P$7,F53)*POWER(Upgrades!$P$8,G53)*POWER(Upgrades!$P$9,H53)*POWER(Upgrades!$P$10,I53)*POWER(Upgrades!$P$11,J53)*POWER(Upgrades!$P$12,K53)*60</f>
        <v>60</v>
      </c>
      <c r="AB53" s="27" t="n">
        <f aca="false">(IF(F53=0,0,(Upgrades!$G$7+F53*Upgrades!$H$7)*POWER(Upgrades!$I$7,F53)))*(IF(Upgrades!$T$6="Asteroid Belt",POWER(Upgrades!$U$6,E53),1)*IF(Upgrades!$T$8="Asteroid Belt",POWER(Upgrades!$U$8,G53),1)*IF(Upgrades!$T$9="Asteroid Belt",POWER(Upgrades!$U$9,H53),1)*IF(Upgrades!$T$10="Asteroid Belt",POWER(Upgrades!$U$10,I53),1)*IF(Upgrades!$T$11="Asteroid Belt",POWER(Upgrades!$U$11,J53),1)*IF(Upgrades!$T$12="Asteroid Belt",POWER(Upgrades!$U$12,K53),1))*POWER(Upgrades!$P$6,E53)*POWER(Upgrades!$P$7,F53)*POWER(Upgrades!$P$8,G53)*POWER(Upgrades!$P$9,H53)*POWER(Upgrades!$P$10,I53)*POWER(Upgrades!$P$11,J53)*POWER(Upgrades!$P$12,K53)*60</f>
        <v>135</v>
      </c>
      <c r="AC53" s="27" t="n">
        <f aca="false">(IF(G53=0,0,(Upgrades!$J$8+G53*Upgrades!$K$8)*POWER(Upgrades!$L$8,G53)))*(IF(Upgrades!$T$6="Stellar Coupling",POWER(Upgrades!$U$6,E53),1)*IF(Upgrades!$T$7="Stellar Coupling",POWER(Upgrades!$U$7,F53),1)*IF(Upgrades!$T$9="Stellar Coupling",POWER(Upgrades!$U$9,H53),1)*IF(Upgrades!$T$10="Stellar Coupling",POWER(Upgrades!$U$10,I53),1)*IF(Upgrades!$T$11="Stellar Coupling",POWER(Upgrades!$U$11,J53),1)*IF(Upgrades!$T$12="Stellar Coupling",POWER(Upgrades!$U$12,K53),1))*POWER(Upgrades!$Q$6,E53)*POWER(Upgrades!$Q$7,F53)*POWER(Upgrades!$Q$8,G53)*POWER(Upgrades!$Q$9,H53)*POWER(Upgrades!$Q$10,I53)*POWER(Upgrades!$Q$11,J53)*POWER(Upgrades!$Q$12,K53)*Parameters!$B$10*Parameters!$B$11</f>
        <v>378</v>
      </c>
      <c r="AD53" s="27" t="n">
        <f aca="false">(IF(H53=0,0,(Upgrades!$G$9+H53*Upgrades!$H$9)*POWER(Upgrades!$I$9,H53)))*(IF(Upgrades!$T$6="Magnetosphere",POWER(Upgrades!$U$6,E53),1)*IF(Upgrades!$T$7="Magnetosphere",POWER(Upgrades!$U$7,F53),1)*IF(Upgrades!$T$8="Magnetosphere",POWER(Upgrades!$U$8,G53),1)*IF(Upgrades!$T$10="Magnetosphere",POWER(Upgrades!$U$10,I53),1)*IF(Upgrades!$T$11="Magnetosphere",POWER(Upgrades!$U$11,J53),1)*IF(Upgrades!$T$12="Magnetosphere",POWER(Upgrades!$U$12,K53),1))*POWER(Upgrades!$P$6,E53)*POWER(Upgrades!$P$7,F53)*POWER(Upgrades!$P$8,G53)*POWER(Upgrades!$P$9,H53)*POWER(Upgrades!$P$10,I53)*POWER(Upgrades!$P$11,J53)*POWER(Upgrades!$P$12,K53)*60</f>
        <v>300</v>
      </c>
      <c r="AE53" s="27" t="n">
        <f aca="false">(IF(K53=0,0,(Upgrades!$G$12+K53*Upgrades!$H$12)*POWER(Upgrades!$I$12,K53)))*(IF(Upgrades!$T$6="First Photons",POWER(Upgrades!$U$6,E53),1)*IF(Upgrades!$T$7="First Photons",POWER(Upgrades!$U$7,F53),1)*IF(Upgrades!$T$8="First Photons",POWER(Upgrades!$U$8,G53),1)*IF(Upgrades!$T$9="First Photons",POWER(Upgrades!$U$9,H53),1)*IF(Upgrades!$T$10="First Photons",POWER(Upgrades!$U$10,I53),1)*IF(Upgrades!$T$11="First Photons",POWER(Upgrades!$U$11,J53),1))*POWER(Upgrades!$P$6,E53)*POWER(Upgrades!$P$7,F53)*POWER(Upgrades!$P$8,G53)*POWER(Upgrades!$P$9,H53)*POWER(Upgrades!$P$10,I53)*POWER(Upgrades!$P$11,J53)*POWER(Upgrades!$P$12,K53)*60</f>
        <v>75</v>
      </c>
      <c r="AF53" s="27" t="n">
        <f aca="false">Parameters!$B$9*POWER(Upgrades!$Q$6,E53)*POWER(Upgrades!$Q$7,F53)*POWER(Upgrades!$Q$8,G53)*POWER(Upgrades!$Q$9,H53)*POWER(Upgrades!$Q$10,I53)*POWER(Upgrades!$Q$11,J53)*POWER(Upgrades!$Q$12,K53)*(Parameters!$B$10*Parameters!$B$11+O53*60)</f>
        <v>120</v>
      </c>
      <c r="AG53" s="21" t="n">
        <f aca="false">IF(E53&gt;=Upgrades!$E$6,"",Upgrades!$C$6*POWER(Upgrades!$D$6,E53))</f>
        <v>28.3189041499553</v>
      </c>
      <c r="AH53" s="21" t="n">
        <f aca="false">IF(F53&gt;=Upgrades!$E$7,"",Upgrades!$C$7*POWER(Upgrades!$D$7,F53))</f>
        <v>70.3575258383984</v>
      </c>
      <c r="AI53" s="21" t="n">
        <f aca="false">IF(G53&gt;=Upgrades!$E$8,"",Upgrades!$C$8*POWER(Upgrades!$D$8,G53))</f>
        <v>165.649792</v>
      </c>
      <c r="AJ53" s="21" t="n">
        <f aca="false">IF(H53&gt;=Upgrades!$E$9,"",Upgrades!$C$9*POWER(Upgrades!$D$9,H53))</f>
        <v>1280</v>
      </c>
      <c r="AK53" s="21" t="str">
        <f aca="false">IF(I53&gt;=Upgrades!$E$10,"",Upgrades!$C$10*POWER(Upgrades!$D$10,I53))</f>
        <v/>
      </c>
      <c r="AL53" s="21" t="str">
        <f aca="false">IF(J53&gt;=Upgrades!$E$11,"",Upgrades!$C$11*POWER(Upgrades!$D$11,J53))</f>
        <v/>
      </c>
      <c r="AM53" s="21" t="str">
        <f aca="false">IF(K53&gt;=Upgrades!$E$12,"",Upgrades!$C$12*POWER(Upgrades!$D$12,K53))</f>
        <v/>
      </c>
      <c r="AN53" s="26" t="str">
        <f aca="false">IF(AND(D53&gt;=Parameters!$B$18,(H53&gt;=Upgrades!$E$9)*(K53&gt;=Upgrades!$E$12)=1,L53=0),1,"")</f>
        <v/>
      </c>
      <c r="AO53" s="26" t="n">
        <f aca="false">IF(AND(D53&gt;=Parameters!$B$18,L53=0),1,"")</f>
        <v>1</v>
      </c>
      <c r="AP53" s="21" t="n">
        <f aca="false">MIN(IF(ISNUMBER(AK53),AK53,9000000000000000),IF(ISNUMBER(AL53),AL53,9000000000000000),IF(ISNUMBER(AM53),AM53,9000000000000000))</f>
        <v>9000000000000000</v>
      </c>
      <c r="AQ53" s="21" t="n">
        <f aca="false">MIN(IF(ISNUMBER(AG53),AG53,9000000000000000),IF(ISNUMBER(AH53),AH53,9000000000000000),IF(ISNUMBER(AI53),AI53,9000000000000000),IF(ISNUMBER(AJ53),AJ53,9000000000000000))</f>
        <v>28.3189041499553</v>
      </c>
      <c r="AR53" s="32" t="b">
        <f aca="false">IF(AW53&gt;Parameters!$B$21*(MAX(IF(AND(NOT(AND(AO53=1,AN53&lt;&gt;1)),ISNUMBER(AG53),AG53&lt;=T53),AS53,0),IF(AND(NOT(AND(AO53=1,AN53&lt;&gt;1)),ISNUMBER(AH53),AH53&lt;=T53),AT53,0),IF(AND(NOT(AND(AO53=1,AN53&lt;&gt;1)),ISNUMBER(AI53),AI53&lt;=T53),AU53,0),IF(AND(ISNUMBER(AJ53),AJ53&lt;=T53),AV53,0))),TRUE(),FALSE())</f>
        <v>1</v>
      </c>
      <c r="AS53" s="33" t="n">
        <f aca="false">IFERROR(Upgrades!$H$6*(POWER(Upgrades!$P$6,E53)*POWER(Upgrades!$P$7,F53)*POWER(Upgrades!$P$8,G53)*POWER(Upgrades!$P$9,H53)*POWER(Upgrades!$P$10,I53)*POWER(Upgrades!$P$11,J53)*POWER(Upgrades!$P$12,K53))*(IF(Upgrades!$T$7="Solar Wind",POWER(Upgrades!$U$7,F53),1)*IF(Upgrades!$T$8="Solar Wind",POWER(Upgrades!$U$8,G53),1)*IF(Upgrades!$T$9="Solar Wind",POWER(Upgrades!$U$9,H53),1)*IF(Upgrades!$T$10="Solar Wind",POWER(Upgrades!$U$10,I53),1)*IF(Upgrades!$T$11="Solar Wind",POWER(Upgrades!$U$11,J53),1)*IF(Upgrades!$T$12="Solar Wind",POWER(Upgrades!$U$12,K53),1))/AG53,0)</f>
        <v>0.00353121008745523</v>
      </c>
      <c r="AT53" s="33" t="n">
        <f aca="false">IFERROR(Upgrades!$H$7*(POWER(Upgrades!$P$6,E53)*POWER(Upgrades!$P$7,F53)*POWER(Upgrades!$P$8,G53)*POWER(Upgrades!$P$9,H53)*POWER(Upgrades!$P$10,I53)*POWER(Upgrades!$P$11,J53)*POWER(Upgrades!$P$12,K53))*(IF(Upgrades!$T$6="Asteroid Belt",POWER(Upgrades!$U$6,E53),1)*IF(Upgrades!$T$8="Asteroid Belt",POWER(Upgrades!$U$8,G53),1)*IF(Upgrades!$T$9="Asteroid Belt",POWER(Upgrades!$U$9,H53),1)*IF(Upgrades!$T$10="Asteroid Belt",POWER(Upgrades!$U$10,I53),1)*IF(Upgrades!$T$11="Asteroid Belt",POWER(Upgrades!$U$11,J53),1)*IF(Upgrades!$T$12="Asteroid Belt",POWER(Upgrades!$U$12,K53),1))/AH53,0)</f>
        <v>0.00355328015050182</v>
      </c>
      <c r="AU53" s="33" t="n">
        <f aca="false">IFERROR(Upgrades!$K$8*(POWER(Upgrades!$Q$6,E53)*POWER(Upgrades!$Q$7,F53)*POWER(Upgrades!$Q$8,G53)*POWER(Upgrades!$Q$9,H53)*POWER(Upgrades!$Q$10,I53)*POWER(Upgrades!$Q$11,J53)*POWER(Upgrades!$Q$12,K53))*(IF(Upgrades!$T$6="Stellar Coupling",POWER(Upgrades!$U$6,E53),1)*IF(Upgrades!$T$7="Stellar Coupling",POWER(Upgrades!$U$7,F53),1)*IF(Upgrades!$T$9="Stellar Coupling",POWER(Upgrades!$U$9,H53),1)*IF(Upgrades!$T$10="Stellar Coupling",POWER(Upgrades!$U$10,I53),1)*IF(Upgrades!$T$11="Stellar Coupling",POWER(Upgrades!$U$11,J53),1)*IF(Upgrades!$T$12="Stellar Coupling",POWER(Upgrades!$U$12,K53),1))*Parameters!$B$10*Parameters!$B$11/60/AI53,0)</f>
        <v>0.00633867382097287</v>
      </c>
      <c r="AV53" s="33" t="n">
        <f aca="false">IFERROR(Upgrades!$H$9*(POWER(Upgrades!$P$6,E53)*POWER(Upgrades!$P$7,F53)*POWER(Upgrades!$P$8,G53)*POWER(Upgrades!$P$9,H53)*POWER(Upgrades!$P$10,I53)*POWER(Upgrades!$P$11,J53)*POWER(Upgrades!$P$12,K53))*(IF(Upgrades!$T$6="Magnetosphere",POWER(Upgrades!$U$6,E53),1)*IF(Upgrades!$T$7="Magnetosphere",POWER(Upgrades!$U$7,F53),1)*IF(Upgrades!$T$8="Magnetosphere",POWER(Upgrades!$U$8,G53),1)*IF(Upgrades!$T$10="Magnetosphere",POWER(Upgrades!$U$10,I53),1)*IF(Upgrades!$T$11="Magnetosphere",POWER(Upgrades!$U$11,J53),1)*IF(Upgrades!$T$12="Magnetosphere",POWER(Upgrades!$U$12,K53),1))/AJ53,0)</f>
        <v>0.0009765625</v>
      </c>
      <c r="AW53" s="33" t="n">
        <f aca="false">MAX(IF(I53&gt;0,0,IFERROR(0.25*N53/Upgrades!$C$10,0)),IF(J53&gt;0,0,IFERROR(0.5*((IF(G53=0,0,(Upgrades!$J$8+G53*Upgrades!$K$8)*POWER(Upgrades!$L$8,G53)))*(IF(Upgrades!$T$6="Stellar Coupling",POWER(Upgrades!$U$6,E53),1)*IF(Upgrades!$T$7="Stellar Coupling",POWER(Upgrades!$U$7,F53),1)*IF(Upgrades!$T$9="Stellar Coupling",POWER(Upgrades!$U$9,H53),1)*IF(Upgrades!$T$10="Stellar Coupling",POWER(Upgrades!$U$10,I53),1)*IF(Upgrades!$T$11="Stellar Coupling",POWER(Upgrades!$U$11,J53),1)*IF(Upgrades!$T$12="Stellar Coupling",POWER(Upgrades!$U$12,K53),1))*(POWER(Upgrades!$Q$6,E53)*POWER(Upgrades!$Q$7,F53)*POWER(Upgrades!$Q$8,G53)*POWER(Upgrades!$Q$9,H53)*POWER(Upgrades!$Q$10,I53)*POWER(Upgrades!$Q$11,J53)*POWER(Upgrades!$Q$12,K53))*Parameters!$B$10*Parameters!$B$11/60)/Upgrades!$C$11,0)),IF(K53&gt;0,0,IFERROR((1*(POWER(Upgrades!$P$6,E53)*POWER(Upgrades!$P$7,F53)*POWER(Upgrades!$P$8,G53)*POWER(Upgrades!$P$9,H53)*POWER(Upgrades!$P$10,I53)*POWER(Upgrades!$P$11,J53)*POWER(Upgrades!$P$12,K53))+0.2*M53*Parameters!$B$10*Parameters!$B$11/60)/Upgrades!$C$12,0)),IF(AND(ISNUMBER(AG53),AG53&gt;T53),AS53,0),IF(AND(ISNUMBER(AH53),AH53&gt;T53),AT53,0),IF(AND(ISNUMBER(AI53),AI53&gt;T53),AU53,0),IF(AND(ISNUMBER(AJ53),AJ53&gt;T53),AV53,0))</f>
        <v>0.0009765625</v>
      </c>
      <c r="AX53" s="29" t="str">
        <f aca="false">IF(AN53=1,"transition",IF(MIN(IF(AND(I53=0,ISNUMBER(AK53),AK53&lt;=T53),AK53,9000000000000000),IF(AND(J53=0,ISNUMBER(AL53),AL53&lt;=T53),AL53,9000000000000000),IF(AND(K53=0,ISNUMBER(AM53),AM53&lt;=T53),AM53,9000000000000000))&lt;9000000000000000,IF(AND(AND(I53=0,ISNUMBER(AK53),AK53&lt;=T53),AK53=MIN(IF(AND(I53=0,ISNUMBER(AK53),AK53&lt;=T53),AK53,9000000000000000),IF(AND(J53=0,ISNUMBER(AL53),AL53&lt;=T53),AL53,9000000000000000),IF(AND(K53=0,ISNUMBER(AM53),AM53&lt;=T53),AM53,9000000000000000))),"OR",IF(AND(AND(J53=0,ISNUMBER(AL53),AL53&lt;=T53),AL53=MIN(IF(AND(I53=0,ISNUMBER(AK53),AK53&lt;=T53),AK53,9000000000000000),IF(AND(J53=0,ISNUMBER(AL53),AL53&lt;=T53),AL53,9000000000000000),IF(AND(K53=0,ISNUMBER(AM53),AM53&lt;=T53),AM53,9000000000000000))),"HP","FP")),IF(AR53=TRUE(),"",IF(MAX(IF(AND(NOT(AND(AO53=1,AN53&lt;&gt;1)),ISNUMBER(AG53),AG53&lt;=T53),AS53,0),IF(AND(NOT(AND(AO53=1,AN53&lt;&gt;1)),ISNUMBER(AH53),AH53&lt;=T53),AT53,0),IF(AND(NOT(AND(AO53=1,AN53&lt;&gt;1)),ISNUMBER(AI53),AI53&lt;=T53),AU53,0),IF(AND(ISNUMBER(AJ53),AJ53&lt;=T53),AV53,0))&lt;=0,"",IF(AND(IF(AND(NOT(AND(AO53=1,AN53&lt;&gt;1)),ISNUMBER(AG53),AG53&lt;=T53),AS53,0)&gt;0,IF(AND(NOT(AND(AO53=1,AN53&lt;&gt;1)),ISNUMBER(AG53),AG53&lt;=T53),AS53,0)=MAX(IF(AND(NOT(AND(AO53=1,AN53&lt;&gt;1)),ISNUMBER(AG53),AG53&lt;=T53),AS53,0),IF(AND(NOT(AND(AO53=1,AN53&lt;&gt;1)),ISNUMBER(AH53),AH53&lt;=T53),AT53,0),IF(AND(NOT(AND(AO53=1,AN53&lt;&gt;1)),ISNUMBER(AI53),AI53&lt;=T53),AU53,0),IF(AND(ISNUMBER(AJ53),AJ53&lt;=T53),AV53,0))),"SW",IF(AND(IF(AND(NOT(AND(AO53=1,AN53&lt;&gt;1)),ISNUMBER(AH53),AH53&lt;=T53),AT53,0)&gt;0,IF(AND(NOT(AND(AO53=1,AN53&lt;&gt;1)),ISNUMBER(AH53),AH53&lt;=T53),AT53,0)=MAX(IF(AND(NOT(AND(AO53=1,AN53&lt;&gt;1)),ISNUMBER(AG53),AG53&lt;=T53),AS53,0),IF(AND(NOT(AND(AO53=1,AN53&lt;&gt;1)),ISNUMBER(AH53),AH53&lt;=T53),AT53,0),IF(AND(NOT(AND(AO53=1,AN53&lt;&gt;1)),ISNUMBER(AI53),AI53&lt;=T53),AU53,0),IF(AND(ISNUMBER(AJ53),AJ53&lt;=T53),AV53,0))),"AB",IF(AND(IF(AND(NOT(AND(AO53=1,AN53&lt;&gt;1)),ISNUMBER(AI53),AI53&lt;=T53),AU53,0)&gt;0,IF(AND(NOT(AND(AO53=1,AN53&lt;&gt;1)),ISNUMBER(AI53),AI53&lt;=T53),AU53,0)=MAX(IF(AND(NOT(AND(AO53=1,AN53&lt;&gt;1)),ISNUMBER(AG53),AG53&lt;=T53),AS53,0),IF(AND(NOT(AND(AO53=1,AN53&lt;&gt;1)),ISNUMBER(AH53),AH53&lt;=T53),AT53,0),IF(AND(NOT(AND(AO53=1,AN53&lt;&gt;1)),ISNUMBER(AI53),AI53&lt;=T53),AU53,0),IF(AND(ISNUMBER(AJ53),AJ53&lt;=T53),AV53,0))),"SC","Mag")))))))</f>
        <v/>
      </c>
    </row>
    <row r="54" customFormat="false" ht="15" hidden="false" customHeight="false" outlineLevel="0" collapsed="false">
      <c r="A54" s="26" t="n">
        <v>49</v>
      </c>
      <c r="B54" s="27" t="n">
        <f aca="false">A54*10/60</f>
        <v>8.16666666666667</v>
      </c>
      <c r="C54" s="21" t="n">
        <f aca="false">X53</f>
        <v>1049.06598674431</v>
      </c>
      <c r="D54" s="27" t="n">
        <f aca="false">D53+W53</f>
        <v>1</v>
      </c>
      <c r="E54" s="26" t="n">
        <f aca="false">E53+IF(U53="SW",1,0)</f>
        <v>10</v>
      </c>
      <c r="F54" s="26" t="n">
        <f aca="false">F53+IF(U53="AB",1,0)</f>
        <v>9</v>
      </c>
      <c r="G54" s="26" t="n">
        <f aca="false">G53+IF(U53="SC",1,0)</f>
        <v>6</v>
      </c>
      <c r="H54" s="26" t="n">
        <f aca="false">H53+IF(U53="Mag",1,0)</f>
        <v>4</v>
      </c>
      <c r="I54" s="26" t="n">
        <f aca="false">MAX(I53,IF(U53="OR",1,0))</f>
        <v>1</v>
      </c>
      <c r="J54" s="26" t="n">
        <f aca="false">MAX(J53,IF(U53="HP",1,0))</f>
        <v>1</v>
      </c>
      <c r="K54" s="26" t="n">
        <f aca="false">MAX(K53,IF(U53="FP",1,0))</f>
        <v>1</v>
      </c>
      <c r="L54" s="26" t="n">
        <f aca="false">MAX(L53,IF(U53="transition",1,0))</f>
        <v>0</v>
      </c>
      <c r="M54" s="28" t="n">
        <f aca="false">(Parameters!$B$9+(IF(E54=0,0,(Upgrades!$J$6+E54*Upgrades!$K$6)*POWER(Upgrades!$L$6,E54)))*(IF(Upgrades!$T$7="Solar Wind",POWER(Upgrades!$U$7,F54),1)*IF(Upgrades!$T$8="Solar Wind",POWER(Upgrades!$U$8,G54),1)*IF(Upgrades!$T$9="Solar Wind",POWER(Upgrades!$U$9,H54),1)*IF(Upgrades!$T$10="Solar Wind",POWER(Upgrades!$U$10,I54),1)*IF(Upgrades!$T$11="Solar Wind",POWER(Upgrades!$U$11,J54),1)*IF(Upgrades!$T$12="Solar Wind",POWER(Upgrades!$U$12,K54),1))+(IF(F54=0,0,(Upgrades!$J$7+F54*Upgrades!$K$7)*POWER(Upgrades!$L$7,F54)))*(IF(Upgrades!$T$6="Asteroid Belt",POWER(Upgrades!$U$6,E54),1)*IF(Upgrades!$T$8="Asteroid Belt",POWER(Upgrades!$U$8,G54),1)*IF(Upgrades!$T$9="Asteroid Belt",POWER(Upgrades!$U$9,H54),1)*IF(Upgrades!$T$10="Asteroid Belt",POWER(Upgrades!$U$10,I54),1)*IF(Upgrades!$T$11="Asteroid Belt",POWER(Upgrades!$U$11,J54),1)*IF(Upgrades!$T$12="Asteroid Belt",POWER(Upgrades!$U$12,K54),1))+(IF(G54=0,0,(Upgrades!$J$8+G54*Upgrades!$K$8)*POWER(Upgrades!$L$8,G54)))*(IF(Upgrades!$T$6="Stellar Coupling",POWER(Upgrades!$U$6,E54),1)*IF(Upgrades!$T$7="Stellar Coupling",POWER(Upgrades!$U$7,F54),1)*IF(Upgrades!$T$9="Stellar Coupling",POWER(Upgrades!$U$9,H54),1)*IF(Upgrades!$T$10="Stellar Coupling",POWER(Upgrades!$U$10,I54),1)*IF(Upgrades!$T$11="Stellar Coupling",POWER(Upgrades!$U$11,J54),1)*IF(Upgrades!$T$12="Stellar Coupling",POWER(Upgrades!$U$12,K54),1))+(IF(H54=0,0,(Upgrades!$J$9+H54*Upgrades!$K$9)*POWER(Upgrades!$L$9,H54)))*(IF(Upgrades!$T$6="Magnetosphere",POWER(Upgrades!$U$6,E54),1)*IF(Upgrades!$T$7="Magnetosphere",POWER(Upgrades!$U$7,F54),1)*IF(Upgrades!$T$8="Magnetosphere",POWER(Upgrades!$U$8,G54),1)*IF(Upgrades!$T$10="Magnetosphere",POWER(Upgrades!$U$10,I54),1)*IF(Upgrades!$T$11="Magnetosphere",POWER(Upgrades!$U$11,J54),1)*IF(Upgrades!$T$12="Magnetosphere",POWER(Upgrades!$U$12,K54),1))+(IF(I54=0,0,(Upgrades!$J$10+I54*Upgrades!$K$10)*POWER(Upgrades!$L$10,I54)))*(IF(Upgrades!$T$6="Orbital Resonance",POWER(Upgrades!$U$6,E54),1)*IF(Upgrades!$T$7="Orbital Resonance",POWER(Upgrades!$U$7,F54),1)*IF(Upgrades!$T$8="Orbital Resonance",POWER(Upgrades!$U$8,G54),1)*IF(Upgrades!$T$9="Orbital Resonance",POWER(Upgrades!$U$9,H54),1)*IF(Upgrades!$T$11="Orbital Resonance",POWER(Upgrades!$U$11,J54),1)*IF(Upgrades!$T$12="Orbital Resonance",POWER(Upgrades!$U$12,K54),1))+(IF(J54=0,0,(Upgrades!$J$11+J54*Upgrades!$K$11)*POWER(Upgrades!$L$11,J54)))*(IF(Upgrades!$T$6="Heliopause",POWER(Upgrades!$U$6,E54),1)*IF(Upgrades!$T$7="Heliopause",POWER(Upgrades!$U$7,F54),1)*IF(Upgrades!$T$8="Heliopause",POWER(Upgrades!$U$8,G54),1)*IF(Upgrades!$T$9="Heliopause",POWER(Upgrades!$U$9,H54),1)*IF(Upgrades!$T$10="Heliopause",POWER(Upgrades!$U$10,I54),1)*IF(Upgrades!$T$12="Heliopause",POWER(Upgrades!$U$12,K54),1))+(IF(K54=0,0,(Upgrades!$J$12+K54*Upgrades!$K$12)*POWER(Upgrades!$L$12,K54)))*(IF(Upgrades!$T$6="First Photons",POWER(Upgrades!$U$6,E54),1)*IF(Upgrades!$T$7="First Photons",POWER(Upgrades!$U$7,F54),1)*IF(Upgrades!$T$8="First Photons",POWER(Upgrades!$U$8,G54),1)*IF(Upgrades!$T$9="First Photons",POWER(Upgrades!$U$9,H54),1)*IF(Upgrades!$T$10="First Photons",POWER(Upgrades!$U$10,I54),1)*IF(Upgrades!$T$11="First Photons",POWER(Upgrades!$U$11,J54),1)))*POWER(Upgrades!$Q$6,E54)*POWER(Upgrades!$Q$7,F54)*POWER(Upgrades!$Q$8,G54)*POWER(Upgrades!$Q$9,H54)*POWER(Upgrades!$Q$10,I54)*POWER(Upgrades!$Q$11,J54)*POWER(Upgrades!$Q$12,K54)</f>
        <v>4.98</v>
      </c>
      <c r="N54" s="28" t="n">
        <f aca="false">((IF(E54=0,0,(Upgrades!$G$6+E54*Upgrades!$H$6)*POWER(Upgrades!$I$6,E54)))*(IF(Upgrades!$T$7="Solar Wind",POWER(Upgrades!$U$7,F54),1)*IF(Upgrades!$T$8="Solar Wind",POWER(Upgrades!$U$8,G54),1)*IF(Upgrades!$T$9="Solar Wind",POWER(Upgrades!$U$9,H54),1)*IF(Upgrades!$T$10="Solar Wind",POWER(Upgrades!$U$10,I54),1)*IF(Upgrades!$T$11="Solar Wind",POWER(Upgrades!$U$11,J54),1)*IF(Upgrades!$T$12="Solar Wind",POWER(Upgrades!$U$12,K54),1))+(IF(F54=0,0,(Upgrades!$G$7+F54*Upgrades!$H$7)*POWER(Upgrades!$I$7,F54)))*(IF(Upgrades!$T$6="Asteroid Belt",POWER(Upgrades!$U$6,E54),1)*IF(Upgrades!$T$8="Asteroid Belt",POWER(Upgrades!$U$8,G54),1)*IF(Upgrades!$T$9="Asteroid Belt",POWER(Upgrades!$U$9,H54),1)*IF(Upgrades!$T$10="Asteroid Belt",POWER(Upgrades!$U$10,I54),1)*IF(Upgrades!$T$11="Asteroid Belt",POWER(Upgrades!$U$11,J54),1)*IF(Upgrades!$T$12="Asteroid Belt",POWER(Upgrades!$U$12,K54),1))+(IF(G54=0,0,(Upgrades!$G$8+G54*Upgrades!$H$8)*POWER(Upgrades!$I$8,G54)))*(IF(Upgrades!$T$6="Stellar Coupling",POWER(Upgrades!$U$6,E54),1)*IF(Upgrades!$T$7="Stellar Coupling",POWER(Upgrades!$U$7,F54),1)*IF(Upgrades!$T$9="Stellar Coupling",POWER(Upgrades!$U$9,H54),1)*IF(Upgrades!$T$10="Stellar Coupling",POWER(Upgrades!$U$10,I54),1)*IF(Upgrades!$T$11="Stellar Coupling",POWER(Upgrades!$U$11,J54),1)*IF(Upgrades!$T$12="Stellar Coupling",POWER(Upgrades!$U$12,K54),1))+(IF(H54=0,0,(Upgrades!$G$9+H54*Upgrades!$H$9)*POWER(Upgrades!$I$9,H54)))*(IF(Upgrades!$T$6="Magnetosphere",POWER(Upgrades!$U$6,E54),1)*IF(Upgrades!$T$7="Magnetosphere",POWER(Upgrades!$U$7,F54),1)*IF(Upgrades!$T$8="Magnetosphere",POWER(Upgrades!$U$8,G54),1)*IF(Upgrades!$T$10="Magnetosphere",POWER(Upgrades!$U$10,I54),1)*IF(Upgrades!$T$11="Magnetosphere",POWER(Upgrades!$U$11,J54),1)*IF(Upgrades!$T$12="Magnetosphere",POWER(Upgrades!$U$12,K54),1))+(IF(I54=0,0,(Upgrades!$G$10+I54*Upgrades!$H$10)*POWER(Upgrades!$I$10,I54)))*(IF(Upgrades!$T$6="Orbital Resonance",POWER(Upgrades!$U$6,E54),1)*IF(Upgrades!$T$7="Orbital Resonance",POWER(Upgrades!$U$7,F54),1)*IF(Upgrades!$T$8="Orbital Resonance",POWER(Upgrades!$U$8,G54),1)*IF(Upgrades!$T$9="Orbital Resonance",POWER(Upgrades!$U$9,H54),1)*IF(Upgrades!$T$11="Orbital Resonance",POWER(Upgrades!$U$11,J54),1)*IF(Upgrades!$T$12="Orbital Resonance",POWER(Upgrades!$U$12,K54),1))+(IF(J54=0,0,(Upgrades!$G$11+J54*Upgrades!$H$11)*POWER(Upgrades!$I$11,J54)))*(IF(Upgrades!$T$6="Heliopause",POWER(Upgrades!$U$6,E54),1)*IF(Upgrades!$T$7="Heliopause",POWER(Upgrades!$U$7,F54),1)*IF(Upgrades!$T$8="Heliopause",POWER(Upgrades!$U$8,G54),1)*IF(Upgrades!$T$9="Heliopause",POWER(Upgrades!$U$9,H54),1)*IF(Upgrades!$T$10="Heliopause",POWER(Upgrades!$U$10,I54),1)*IF(Upgrades!$T$12="Heliopause",POWER(Upgrades!$U$12,K54),1))+(IF(K54=0,0,(Upgrades!$G$12+K54*Upgrades!$H$12)*POWER(Upgrades!$I$12,K54)))*(IF(Upgrades!$T$6="First Photons",POWER(Upgrades!$U$6,E54),1)*IF(Upgrades!$T$7="First Photons",POWER(Upgrades!$U$7,F54),1)*IF(Upgrades!$T$8="First Photons",POWER(Upgrades!$U$8,G54),1)*IF(Upgrades!$T$9="First Photons",POWER(Upgrades!$U$9,H54),1)*IF(Upgrades!$T$10="First Photons",POWER(Upgrades!$U$10,I54),1)*IF(Upgrades!$T$11="First Photons",POWER(Upgrades!$U$11,J54),1)))*POWER(Upgrades!$P$6,E54)*POWER(Upgrades!$P$7,F54)*POWER(Upgrades!$P$8,G54)*POWER(Upgrades!$P$9,H54)*POWER(Upgrades!$P$10,I54)*POWER(Upgrades!$P$11,J54)*POWER(Upgrades!$P$12,K54)</f>
        <v>9.5</v>
      </c>
      <c r="O54" s="28" t="n">
        <f aca="false">((IF(E54=0,0,(Upgrades!$M$6+E54*Upgrades!$N$6)*POWER(Upgrades!$O$6,E54)))*(IF(Upgrades!$T$7="Solar Wind",POWER(Upgrades!$U$7,F54),1)*IF(Upgrades!$T$8="Solar Wind",POWER(Upgrades!$U$8,G54),1)*IF(Upgrades!$T$9="Solar Wind",POWER(Upgrades!$U$9,H54),1)*IF(Upgrades!$T$10="Solar Wind",POWER(Upgrades!$U$10,I54),1)*IF(Upgrades!$T$11="Solar Wind",POWER(Upgrades!$U$11,J54),1)*IF(Upgrades!$T$12="Solar Wind",POWER(Upgrades!$U$12,K54),1))+(IF(F54=0,0,(Upgrades!$M$7+F54*Upgrades!$N$7)*POWER(Upgrades!$O$7,F54)))*(IF(Upgrades!$T$6="Asteroid Belt",POWER(Upgrades!$U$6,E54),1)*IF(Upgrades!$T$8="Asteroid Belt",POWER(Upgrades!$U$8,G54),1)*IF(Upgrades!$T$9="Asteroid Belt",POWER(Upgrades!$U$9,H54),1)*IF(Upgrades!$T$10="Asteroid Belt",POWER(Upgrades!$U$10,I54),1)*IF(Upgrades!$T$11="Asteroid Belt",POWER(Upgrades!$U$11,J54),1)*IF(Upgrades!$T$12="Asteroid Belt",POWER(Upgrades!$U$12,K54),1))+(IF(G54=0,0,(Upgrades!$M$8+G54*Upgrades!$N$8)*POWER(Upgrades!$O$8,G54)))*(IF(Upgrades!$T$6="Stellar Coupling",POWER(Upgrades!$U$6,E54),1)*IF(Upgrades!$T$7="Stellar Coupling",POWER(Upgrades!$U$7,F54),1)*IF(Upgrades!$T$9="Stellar Coupling",POWER(Upgrades!$U$9,H54),1)*IF(Upgrades!$T$10="Stellar Coupling",POWER(Upgrades!$U$10,I54),1)*IF(Upgrades!$T$11="Stellar Coupling",POWER(Upgrades!$U$11,J54),1)*IF(Upgrades!$T$12="Stellar Coupling",POWER(Upgrades!$U$12,K54),1))+(IF(H54=0,0,(Upgrades!$M$9+H54*Upgrades!$N$9)*POWER(Upgrades!$O$9,H54)))*(IF(Upgrades!$T$6="Magnetosphere",POWER(Upgrades!$U$6,E54),1)*IF(Upgrades!$T$7="Magnetosphere",POWER(Upgrades!$U$7,F54),1)*IF(Upgrades!$T$8="Magnetosphere",POWER(Upgrades!$U$8,G54),1)*IF(Upgrades!$T$10="Magnetosphere",POWER(Upgrades!$U$10,I54),1)*IF(Upgrades!$T$11="Magnetosphere",POWER(Upgrades!$U$11,J54),1)*IF(Upgrades!$T$12="Magnetosphere",POWER(Upgrades!$U$12,K54),1))+(IF(I54=0,0,(Upgrades!$M$10+I54*Upgrades!$N$10)*POWER(Upgrades!$O$10,I54)))*(IF(Upgrades!$T$6="Orbital Resonance",POWER(Upgrades!$U$6,E54),1)*IF(Upgrades!$T$7="Orbital Resonance",POWER(Upgrades!$U$7,F54),1)*IF(Upgrades!$T$8="Orbital Resonance",POWER(Upgrades!$U$8,G54),1)*IF(Upgrades!$T$9="Orbital Resonance",POWER(Upgrades!$U$9,H54),1)*IF(Upgrades!$T$11="Orbital Resonance",POWER(Upgrades!$U$11,J54),1)*IF(Upgrades!$T$12="Orbital Resonance",POWER(Upgrades!$U$12,K54),1))+(IF(J54=0,0,(Upgrades!$M$11+J54*Upgrades!$N$11)*POWER(Upgrades!$O$11,J54)))*(IF(Upgrades!$T$6="Heliopause",POWER(Upgrades!$U$6,E54),1)*IF(Upgrades!$T$7="Heliopause",POWER(Upgrades!$U$7,F54),1)*IF(Upgrades!$T$8="Heliopause",POWER(Upgrades!$U$8,G54),1)*IF(Upgrades!$T$9="Heliopause",POWER(Upgrades!$U$9,H54),1)*IF(Upgrades!$T$10="Heliopause",POWER(Upgrades!$U$10,I54),1)*IF(Upgrades!$T$12="Heliopause",POWER(Upgrades!$U$12,K54),1))+(IF(K54=0,0,(Upgrades!$M$12+K54*Upgrades!$N$12)*POWER(Upgrades!$O$12,K54)))*(IF(Upgrades!$T$6="First Photons",POWER(Upgrades!$U$6,E54),1)*IF(Upgrades!$T$7="First Photons",POWER(Upgrades!$U$7,F54),1)*IF(Upgrades!$T$8="First Photons",POWER(Upgrades!$U$8,G54),1)*IF(Upgrades!$T$9="First Photons",POWER(Upgrades!$U$9,H54),1)*IF(Upgrades!$T$10="First Photons",POWER(Upgrades!$U$10,I54),1)*IF(Upgrades!$T$11="First Photons",POWER(Upgrades!$U$11,J54),1)))*POWER(Upgrades!$R$6,E54)*POWER(Upgrades!$R$7,F54)*POWER(Upgrades!$R$8,G54)*POWER(Upgrades!$R$9,H54)*POWER(Upgrades!$R$10,I54)*POWER(Upgrades!$R$11,J54)*POWER(Upgrades!$R$12,K54)</f>
        <v>0</v>
      </c>
      <c r="P54" s="27" t="n">
        <f aca="false">IF(L54=1,0,M54*Parameters!$B$10/60*Parameters!$B$11*10)</f>
        <v>83</v>
      </c>
      <c r="Q54" s="27" t="n">
        <f aca="false">IF(L54=1,0,O54*M54*10)</f>
        <v>0</v>
      </c>
      <c r="R54" s="27" t="n">
        <f aca="false">IF(L54=1,0,N54*10)</f>
        <v>95</v>
      </c>
      <c r="S54" s="27" t="n">
        <f aca="false">P54+Q54+R54</f>
        <v>178</v>
      </c>
      <c r="T54" s="21" t="n">
        <f aca="false">C54+S54</f>
        <v>1227.06598674431</v>
      </c>
      <c r="U54" s="34" t="str">
        <f aca="false">AX54</f>
        <v/>
      </c>
      <c r="V54" s="21" t="n">
        <f aca="false">IF(U54="",0,IF(U54="transition",0,IF(U54="SW",AG54,IF(U54="AB",AH54,IF(U54="SC",AI54,IF(U54="Mag",AJ54,IF(U54="OR",AK54,IF(U54="HP",AL54,IF(U54="FP",AM54,0)))))))))</f>
        <v>0</v>
      </c>
      <c r="W54" s="27" t="n">
        <f aca="false">IF(U54="OR",Upgrades!$F$10,IF(U54="HP",Upgrades!$F$11,IF(U54="transition",-Parameters!$B$18,0)))</f>
        <v>0</v>
      </c>
      <c r="X54" s="21" t="n">
        <f aca="false">T54-V54</f>
        <v>1227.06598674431</v>
      </c>
      <c r="Y54" s="30" t="n">
        <f aca="false">M54*Parameters!$B$10/60*Parameters!$B$11+O54*M54+N54</f>
        <v>17.8</v>
      </c>
      <c r="Z54" s="35" t="str">
        <f aca="false">IF(U54="transition","→ Tier 2 (Stellar Neighborhood)",IF(U54="FP","First Photons — light begins, system quickens",IF(U54="HP","Heliopause acquired",IF(U54="OR","Orbital Resonance — passive multiplier active",IF(AND(AO54=1,L54=0,AN54&lt;&gt;1),"Cohesion ready (waiting on completionist upgrades)","")))))</f>
        <v>Cohesion ready (waiting on completionist upgrades)</v>
      </c>
      <c r="AA54" s="27" t="n">
        <f aca="false">(IF(E54=0,0,(Upgrades!$G$6+E54*Upgrades!$H$6)*POWER(Upgrades!$I$6,E54)))*(IF(Upgrades!$T$7="Solar Wind",POWER(Upgrades!$U$7,F54),1)*IF(Upgrades!$T$8="Solar Wind",POWER(Upgrades!$U$8,G54),1)*IF(Upgrades!$T$9="Solar Wind",POWER(Upgrades!$U$9,H54),1)*IF(Upgrades!$T$10="Solar Wind",POWER(Upgrades!$U$10,I54),1)*IF(Upgrades!$T$11="Solar Wind",POWER(Upgrades!$U$11,J54),1)*IF(Upgrades!$T$12="Solar Wind",POWER(Upgrades!$U$12,K54),1))*POWER(Upgrades!$P$6,E54)*POWER(Upgrades!$P$7,F54)*POWER(Upgrades!$P$8,G54)*POWER(Upgrades!$P$9,H54)*POWER(Upgrades!$P$10,I54)*POWER(Upgrades!$P$11,J54)*POWER(Upgrades!$P$12,K54)*60</f>
        <v>60</v>
      </c>
      <c r="AB54" s="27" t="n">
        <f aca="false">(IF(F54=0,0,(Upgrades!$G$7+F54*Upgrades!$H$7)*POWER(Upgrades!$I$7,F54)))*(IF(Upgrades!$T$6="Asteroid Belt",POWER(Upgrades!$U$6,E54),1)*IF(Upgrades!$T$8="Asteroid Belt",POWER(Upgrades!$U$8,G54),1)*IF(Upgrades!$T$9="Asteroid Belt",POWER(Upgrades!$U$9,H54),1)*IF(Upgrades!$T$10="Asteroid Belt",POWER(Upgrades!$U$10,I54),1)*IF(Upgrades!$T$11="Asteroid Belt",POWER(Upgrades!$U$11,J54),1)*IF(Upgrades!$T$12="Asteroid Belt",POWER(Upgrades!$U$12,K54),1))*POWER(Upgrades!$P$6,E54)*POWER(Upgrades!$P$7,F54)*POWER(Upgrades!$P$8,G54)*POWER(Upgrades!$P$9,H54)*POWER(Upgrades!$P$10,I54)*POWER(Upgrades!$P$11,J54)*POWER(Upgrades!$P$12,K54)*60</f>
        <v>135</v>
      </c>
      <c r="AC54" s="27" t="n">
        <f aca="false">(IF(G54=0,0,(Upgrades!$J$8+G54*Upgrades!$K$8)*POWER(Upgrades!$L$8,G54)))*(IF(Upgrades!$T$6="Stellar Coupling",POWER(Upgrades!$U$6,E54),1)*IF(Upgrades!$T$7="Stellar Coupling",POWER(Upgrades!$U$7,F54),1)*IF(Upgrades!$T$9="Stellar Coupling",POWER(Upgrades!$U$9,H54),1)*IF(Upgrades!$T$10="Stellar Coupling",POWER(Upgrades!$U$10,I54),1)*IF(Upgrades!$T$11="Stellar Coupling",POWER(Upgrades!$U$11,J54),1)*IF(Upgrades!$T$12="Stellar Coupling",POWER(Upgrades!$U$12,K54),1))*POWER(Upgrades!$Q$6,E54)*POWER(Upgrades!$Q$7,F54)*POWER(Upgrades!$Q$8,G54)*POWER(Upgrades!$Q$9,H54)*POWER(Upgrades!$Q$10,I54)*POWER(Upgrades!$Q$11,J54)*POWER(Upgrades!$Q$12,K54)*Parameters!$B$10*Parameters!$B$11</f>
        <v>378</v>
      </c>
      <c r="AD54" s="27" t="n">
        <f aca="false">(IF(H54=0,0,(Upgrades!$G$9+H54*Upgrades!$H$9)*POWER(Upgrades!$I$9,H54)))*(IF(Upgrades!$T$6="Magnetosphere",POWER(Upgrades!$U$6,E54),1)*IF(Upgrades!$T$7="Magnetosphere",POWER(Upgrades!$U$7,F54),1)*IF(Upgrades!$T$8="Magnetosphere",POWER(Upgrades!$U$8,G54),1)*IF(Upgrades!$T$10="Magnetosphere",POWER(Upgrades!$U$10,I54),1)*IF(Upgrades!$T$11="Magnetosphere",POWER(Upgrades!$U$11,J54),1)*IF(Upgrades!$T$12="Magnetosphere",POWER(Upgrades!$U$12,K54),1))*POWER(Upgrades!$P$6,E54)*POWER(Upgrades!$P$7,F54)*POWER(Upgrades!$P$8,G54)*POWER(Upgrades!$P$9,H54)*POWER(Upgrades!$P$10,I54)*POWER(Upgrades!$P$11,J54)*POWER(Upgrades!$P$12,K54)*60</f>
        <v>300</v>
      </c>
      <c r="AE54" s="27" t="n">
        <f aca="false">(IF(K54=0,0,(Upgrades!$G$12+K54*Upgrades!$H$12)*POWER(Upgrades!$I$12,K54)))*(IF(Upgrades!$T$6="First Photons",POWER(Upgrades!$U$6,E54),1)*IF(Upgrades!$T$7="First Photons",POWER(Upgrades!$U$7,F54),1)*IF(Upgrades!$T$8="First Photons",POWER(Upgrades!$U$8,G54),1)*IF(Upgrades!$T$9="First Photons",POWER(Upgrades!$U$9,H54),1)*IF(Upgrades!$T$10="First Photons",POWER(Upgrades!$U$10,I54),1)*IF(Upgrades!$T$11="First Photons",POWER(Upgrades!$U$11,J54),1))*POWER(Upgrades!$P$6,E54)*POWER(Upgrades!$P$7,F54)*POWER(Upgrades!$P$8,G54)*POWER(Upgrades!$P$9,H54)*POWER(Upgrades!$P$10,I54)*POWER(Upgrades!$P$11,J54)*POWER(Upgrades!$P$12,K54)*60</f>
        <v>75</v>
      </c>
      <c r="AF54" s="27" t="n">
        <f aca="false">Parameters!$B$9*POWER(Upgrades!$Q$6,E54)*POWER(Upgrades!$Q$7,F54)*POWER(Upgrades!$Q$8,G54)*POWER(Upgrades!$Q$9,H54)*POWER(Upgrades!$Q$10,I54)*POWER(Upgrades!$Q$11,J54)*POWER(Upgrades!$Q$12,K54)*(Parameters!$B$10*Parameters!$B$11+O54*60)</f>
        <v>120</v>
      </c>
      <c r="AG54" s="21" t="n">
        <f aca="false">IF(E54&gt;=Upgrades!$E$6,"",Upgrades!$C$6*POWER(Upgrades!$D$6,E54))</f>
        <v>28.3189041499553</v>
      </c>
      <c r="AH54" s="21" t="n">
        <f aca="false">IF(F54&gt;=Upgrades!$E$7,"",Upgrades!$C$7*POWER(Upgrades!$D$7,F54))</f>
        <v>70.3575258383984</v>
      </c>
      <c r="AI54" s="21" t="n">
        <f aca="false">IF(G54&gt;=Upgrades!$E$8,"",Upgrades!$C$8*POWER(Upgrades!$D$8,G54))</f>
        <v>165.649792</v>
      </c>
      <c r="AJ54" s="21" t="n">
        <f aca="false">IF(H54&gt;=Upgrades!$E$9,"",Upgrades!$C$9*POWER(Upgrades!$D$9,H54))</f>
        <v>1280</v>
      </c>
      <c r="AK54" s="21" t="str">
        <f aca="false">IF(I54&gt;=Upgrades!$E$10,"",Upgrades!$C$10*POWER(Upgrades!$D$10,I54))</f>
        <v/>
      </c>
      <c r="AL54" s="21" t="str">
        <f aca="false">IF(J54&gt;=Upgrades!$E$11,"",Upgrades!$C$11*POWER(Upgrades!$D$11,J54))</f>
        <v/>
      </c>
      <c r="AM54" s="21" t="str">
        <f aca="false">IF(K54&gt;=Upgrades!$E$12,"",Upgrades!$C$12*POWER(Upgrades!$D$12,K54))</f>
        <v/>
      </c>
      <c r="AN54" s="26" t="str">
        <f aca="false">IF(AND(D54&gt;=Parameters!$B$18,(H54&gt;=Upgrades!$E$9)*(K54&gt;=Upgrades!$E$12)=1,L54=0),1,"")</f>
        <v/>
      </c>
      <c r="AO54" s="26" t="n">
        <f aca="false">IF(AND(D54&gt;=Parameters!$B$18,L54=0),1,"")</f>
        <v>1</v>
      </c>
      <c r="AP54" s="21" t="n">
        <f aca="false">MIN(IF(ISNUMBER(AK54),AK54,9000000000000000),IF(ISNUMBER(AL54),AL54,9000000000000000),IF(ISNUMBER(AM54),AM54,9000000000000000))</f>
        <v>9000000000000000</v>
      </c>
      <c r="AQ54" s="21" t="n">
        <f aca="false">MIN(IF(ISNUMBER(AG54),AG54,9000000000000000),IF(ISNUMBER(AH54),AH54,9000000000000000),IF(ISNUMBER(AI54),AI54,9000000000000000),IF(ISNUMBER(AJ54),AJ54,9000000000000000))</f>
        <v>28.3189041499553</v>
      </c>
      <c r="AR54" s="32" t="b">
        <f aca="false">IF(AW54&gt;Parameters!$B$21*(MAX(IF(AND(NOT(AND(AO54=1,AN54&lt;&gt;1)),ISNUMBER(AG54),AG54&lt;=T54),AS54,0),IF(AND(NOT(AND(AO54=1,AN54&lt;&gt;1)),ISNUMBER(AH54),AH54&lt;=T54),AT54,0),IF(AND(NOT(AND(AO54=1,AN54&lt;&gt;1)),ISNUMBER(AI54),AI54&lt;=T54),AU54,0),IF(AND(ISNUMBER(AJ54),AJ54&lt;=T54),AV54,0))),TRUE(),FALSE())</f>
        <v>1</v>
      </c>
      <c r="AS54" s="33" t="n">
        <f aca="false">IFERROR(Upgrades!$H$6*(POWER(Upgrades!$P$6,E54)*POWER(Upgrades!$P$7,F54)*POWER(Upgrades!$P$8,G54)*POWER(Upgrades!$P$9,H54)*POWER(Upgrades!$P$10,I54)*POWER(Upgrades!$P$11,J54)*POWER(Upgrades!$P$12,K54))*(IF(Upgrades!$T$7="Solar Wind",POWER(Upgrades!$U$7,F54),1)*IF(Upgrades!$T$8="Solar Wind",POWER(Upgrades!$U$8,G54),1)*IF(Upgrades!$T$9="Solar Wind",POWER(Upgrades!$U$9,H54),1)*IF(Upgrades!$T$10="Solar Wind",POWER(Upgrades!$U$10,I54),1)*IF(Upgrades!$T$11="Solar Wind",POWER(Upgrades!$U$11,J54),1)*IF(Upgrades!$T$12="Solar Wind",POWER(Upgrades!$U$12,K54),1))/AG54,0)</f>
        <v>0.00353121008745523</v>
      </c>
      <c r="AT54" s="33" t="n">
        <f aca="false">IFERROR(Upgrades!$H$7*(POWER(Upgrades!$P$6,E54)*POWER(Upgrades!$P$7,F54)*POWER(Upgrades!$P$8,G54)*POWER(Upgrades!$P$9,H54)*POWER(Upgrades!$P$10,I54)*POWER(Upgrades!$P$11,J54)*POWER(Upgrades!$P$12,K54))*(IF(Upgrades!$T$6="Asteroid Belt",POWER(Upgrades!$U$6,E54),1)*IF(Upgrades!$T$8="Asteroid Belt",POWER(Upgrades!$U$8,G54),1)*IF(Upgrades!$T$9="Asteroid Belt",POWER(Upgrades!$U$9,H54),1)*IF(Upgrades!$T$10="Asteroid Belt",POWER(Upgrades!$U$10,I54),1)*IF(Upgrades!$T$11="Asteroid Belt",POWER(Upgrades!$U$11,J54),1)*IF(Upgrades!$T$12="Asteroid Belt",POWER(Upgrades!$U$12,K54),1))/AH54,0)</f>
        <v>0.00355328015050182</v>
      </c>
      <c r="AU54" s="33" t="n">
        <f aca="false">IFERROR(Upgrades!$K$8*(POWER(Upgrades!$Q$6,E54)*POWER(Upgrades!$Q$7,F54)*POWER(Upgrades!$Q$8,G54)*POWER(Upgrades!$Q$9,H54)*POWER(Upgrades!$Q$10,I54)*POWER(Upgrades!$Q$11,J54)*POWER(Upgrades!$Q$12,K54))*(IF(Upgrades!$T$6="Stellar Coupling",POWER(Upgrades!$U$6,E54),1)*IF(Upgrades!$T$7="Stellar Coupling",POWER(Upgrades!$U$7,F54),1)*IF(Upgrades!$T$9="Stellar Coupling",POWER(Upgrades!$U$9,H54),1)*IF(Upgrades!$T$10="Stellar Coupling",POWER(Upgrades!$U$10,I54),1)*IF(Upgrades!$T$11="Stellar Coupling",POWER(Upgrades!$U$11,J54),1)*IF(Upgrades!$T$12="Stellar Coupling",POWER(Upgrades!$U$12,K54),1))*Parameters!$B$10*Parameters!$B$11/60/AI54,0)</f>
        <v>0.00633867382097287</v>
      </c>
      <c r="AV54" s="33" t="n">
        <f aca="false">IFERROR(Upgrades!$H$9*(POWER(Upgrades!$P$6,E54)*POWER(Upgrades!$P$7,F54)*POWER(Upgrades!$P$8,G54)*POWER(Upgrades!$P$9,H54)*POWER(Upgrades!$P$10,I54)*POWER(Upgrades!$P$11,J54)*POWER(Upgrades!$P$12,K54))*(IF(Upgrades!$T$6="Magnetosphere",POWER(Upgrades!$U$6,E54),1)*IF(Upgrades!$T$7="Magnetosphere",POWER(Upgrades!$U$7,F54),1)*IF(Upgrades!$T$8="Magnetosphere",POWER(Upgrades!$U$8,G54),1)*IF(Upgrades!$T$10="Magnetosphere",POWER(Upgrades!$U$10,I54),1)*IF(Upgrades!$T$11="Magnetosphere",POWER(Upgrades!$U$11,J54),1)*IF(Upgrades!$T$12="Magnetosphere",POWER(Upgrades!$U$12,K54),1))/AJ54,0)</f>
        <v>0.0009765625</v>
      </c>
      <c r="AW54" s="33" t="n">
        <f aca="false">MAX(IF(I54&gt;0,0,IFERROR(0.25*N54/Upgrades!$C$10,0)),IF(J54&gt;0,0,IFERROR(0.5*((IF(G54=0,0,(Upgrades!$J$8+G54*Upgrades!$K$8)*POWER(Upgrades!$L$8,G54)))*(IF(Upgrades!$T$6="Stellar Coupling",POWER(Upgrades!$U$6,E54),1)*IF(Upgrades!$T$7="Stellar Coupling",POWER(Upgrades!$U$7,F54),1)*IF(Upgrades!$T$9="Stellar Coupling",POWER(Upgrades!$U$9,H54),1)*IF(Upgrades!$T$10="Stellar Coupling",POWER(Upgrades!$U$10,I54),1)*IF(Upgrades!$T$11="Stellar Coupling",POWER(Upgrades!$U$11,J54),1)*IF(Upgrades!$T$12="Stellar Coupling",POWER(Upgrades!$U$12,K54),1))*(POWER(Upgrades!$Q$6,E54)*POWER(Upgrades!$Q$7,F54)*POWER(Upgrades!$Q$8,G54)*POWER(Upgrades!$Q$9,H54)*POWER(Upgrades!$Q$10,I54)*POWER(Upgrades!$Q$11,J54)*POWER(Upgrades!$Q$12,K54))*Parameters!$B$10*Parameters!$B$11/60)/Upgrades!$C$11,0)),IF(K54&gt;0,0,IFERROR((1*(POWER(Upgrades!$P$6,E54)*POWER(Upgrades!$P$7,F54)*POWER(Upgrades!$P$8,G54)*POWER(Upgrades!$P$9,H54)*POWER(Upgrades!$P$10,I54)*POWER(Upgrades!$P$11,J54)*POWER(Upgrades!$P$12,K54))+0.2*M54*Parameters!$B$10*Parameters!$B$11/60)/Upgrades!$C$12,0)),IF(AND(ISNUMBER(AG54),AG54&gt;T54),AS54,0),IF(AND(ISNUMBER(AH54),AH54&gt;T54),AT54,0),IF(AND(ISNUMBER(AI54),AI54&gt;T54),AU54,0),IF(AND(ISNUMBER(AJ54),AJ54&gt;T54),AV54,0))</f>
        <v>0.0009765625</v>
      </c>
      <c r="AX54" s="29" t="str">
        <f aca="false">IF(AN54=1,"transition",IF(MIN(IF(AND(I54=0,ISNUMBER(AK54),AK54&lt;=T54),AK54,9000000000000000),IF(AND(J54=0,ISNUMBER(AL54),AL54&lt;=T54),AL54,9000000000000000),IF(AND(K54=0,ISNUMBER(AM54),AM54&lt;=T54),AM54,9000000000000000))&lt;9000000000000000,IF(AND(AND(I54=0,ISNUMBER(AK54),AK54&lt;=T54),AK54=MIN(IF(AND(I54=0,ISNUMBER(AK54),AK54&lt;=T54),AK54,9000000000000000),IF(AND(J54=0,ISNUMBER(AL54),AL54&lt;=T54),AL54,9000000000000000),IF(AND(K54=0,ISNUMBER(AM54),AM54&lt;=T54),AM54,9000000000000000))),"OR",IF(AND(AND(J54=0,ISNUMBER(AL54),AL54&lt;=T54),AL54=MIN(IF(AND(I54=0,ISNUMBER(AK54),AK54&lt;=T54),AK54,9000000000000000),IF(AND(J54=0,ISNUMBER(AL54),AL54&lt;=T54),AL54,9000000000000000),IF(AND(K54=0,ISNUMBER(AM54),AM54&lt;=T54),AM54,9000000000000000))),"HP","FP")),IF(AR54=TRUE(),"",IF(MAX(IF(AND(NOT(AND(AO54=1,AN54&lt;&gt;1)),ISNUMBER(AG54),AG54&lt;=T54),AS54,0),IF(AND(NOT(AND(AO54=1,AN54&lt;&gt;1)),ISNUMBER(AH54),AH54&lt;=T54),AT54,0),IF(AND(NOT(AND(AO54=1,AN54&lt;&gt;1)),ISNUMBER(AI54),AI54&lt;=T54),AU54,0),IF(AND(ISNUMBER(AJ54),AJ54&lt;=T54),AV54,0))&lt;=0,"",IF(AND(IF(AND(NOT(AND(AO54=1,AN54&lt;&gt;1)),ISNUMBER(AG54),AG54&lt;=T54),AS54,0)&gt;0,IF(AND(NOT(AND(AO54=1,AN54&lt;&gt;1)),ISNUMBER(AG54),AG54&lt;=T54),AS54,0)=MAX(IF(AND(NOT(AND(AO54=1,AN54&lt;&gt;1)),ISNUMBER(AG54),AG54&lt;=T54),AS54,0),IF(AND(NOT(AND(AO54=1,AN54&lt;&gt;1)),ISNUMBER(AH54),AH54&lt;=T54),AT54,0),IF(AND(NOT(AND(AO54=1,AN54&lt;&gt;1)),ISNUMBER(AI54),AI54&lt;=T54),AU54,0),IF(AND(ISNUMBER(AJ54),AJ54&lt;=T54),AV54,0))),"SW",IF(AND(IF(AND(NOT(AND(AO54=1,AN54&lt;&gt;1)),ISNUMBER(AH54),AH54&lt;=T54),AT54,0)&gt;0,IF(AND(NOT(AND(AO54=1,AN54&lt;&gt;1)),ISNUMBER(AH54),AH54&lt;=T54),AT54,0)=MAX(IF(AND(NOT(AND(AO54=1,AN54&lt;&gt;1)),ISNUMBER(AG54),AG54&lt;=T54),AS54,0),IF(AND(NOT(AND(AO54=1,AN54&lt;&gt;1)),ISNUMBER(AH54),AH54&lt;=T54),AT54,0),IF(AND(NOT(AND(AO54=1,AN54&lt;&gt;1)),ISNUMBER(AI54),AI54&lt;=T54),AU54,0),IF(AND(ISNUMBER(AJ54),AJ54&lt;=T54),AV54,0))),"AB",IF(AND(IF(AND(NOT(AND(AO54=1,AN54&lt;&gt;1)),ISNUMBER(AI54),AI54&lt;=T54),AU54,0)&gt;0,IF(AND(NOT(AND(AO54=1,AN54&lt;&gt;1)),ISNUMBER(AI54),AI54&lt;=T54),AU54,0)=MAX(IF(AND(NOT(AND(AO54=1,AN54&lt;&gt;1)),ISNUMBER(AG54),AG54&lt;=T54),AS54,0),IF(AND(NOT(AND(AO54=1,AN54&lt;&gt;1)),ISNUMBER(AH54),AH54&lt;=T54),AT54,0),IF(AND(NOT(AND(AO54=1,AN54&lt;&gt;1)),ISNUMBER(AI54),AI54&lt;=T54),AU54,0),IF(AND(ISNUMBER(AJ54),AJ54&lt;=T54),AV54,0))),"SC","Mag")))))))</f>
        <v/>
      </c>
    </row>
    <row r="55" customFormat="false" ht="15" hidden="false" customHeight="false" outlineLevel="0" collapsed="false">
      <c r="A55" s="26" t="n">
        <v>50</v>
      </c>
      <c r="B55" s="27" t="n">
        <f aca="false">A55*10/60</f>
        <v>8.33333333333333</v>
      </c>
      <c r="C55" s="21" t="n">
        <f aca="false">X54</f>
        <v>1227.06598674431</v>
      </c>
      <c r="D55" s="27" t="n">
        <f aca="false">D54+W54</f>
        <v>1</v>
      </c>
      <c r="E55" s="26" t="n">
        <f aca="false">E54+IF(U54="SW",1,0)</f>
        <v>10</v>
      </c>
      <c r="F55" s="26" t="n">
        <f aca="false">F54+IF(U54="AB",1,0)</f>
        <v>9</v>
      </c>
      <c r="G55" s="26" t="n">
        <f aca="false">G54+IF(U54="SC",1,0)</f>
        <v>6</v>
      </c>
      <c r="H55" s="26" t="n">
        <f aca="false">H54+IF(U54="Mag",1,0)</f>
        <v>4</v>
      </c>
      <c r="I55" s="26" t="n">
        <f aca="false">MAX(I54,IF(U54="OR",1,0))</f>
        <v>1</v>
      </c>
      <c r="J55" s="26" t="n">
        <f aca="false">MAX(J54,IF(U54="HP",1,0))</f>
        <v>1</v>
      </c>
      <c r="K55" s="26" t="n">
        <f aca="false">MAX(K54,IF(U54="FP",1,0))</f>
        <v>1</v>
      </c>
      <c r="L55" s="26" t="n">
        <f aca="false">MAX(L54,IF(U54="transition",1,0))</f>
        <v>0</v>
      </c>
      <c r="M55" s="28" t="n">
        <f aca="false">(Parameters!$B$9+(IF(E55=0,0,(Upgrades!$J$6+E55*Upgrades!$K$6)*POWER(Upgrades!$L$6,E55)))*(IF(Upgrades!$T$7="Solar Wind",POWER(Upgrades!$U$7,F55),1)*IF(Upgrades!$T$8="Solar Wind",POWER(Upgrades!$U$8,G55),1)*IF(Upgrades!$T$9="Solar Wind",POWER(Upgrades!$U$9,H55),1)*IF(Upgrades!$T$10="Solar Wind",POWER(Upgrades!$U$10,I55),1)*IF(Upgrades!$T$11="Solar Wind",POWER(Upgrades!$U$11,J55),1)*IF(Upgrades!$T$12="Solar Wind",POWER(Upgrades!$U$12,K55),1))+(IF(F55=0,0,(Upgrades!$J$7+F55*Upgrades!$K$7)*POWER(Upgrades!$L$7,F55)))*(IF(Upgrades!$T$6="Asteroid Belt",POWER(Upgrades!$U$6,E55),1)*IF(Upgrades!$T$8="Asteroid Belt",POWER(Upgrades!$U$8,G55),1)*IF(Upgrades!$T$9="Asteroid Belt",POWER(Upgrades!$U$9,H55),1)*IF(Upgrades!$T$10="Asteroid Belt",POWER(Upgrades!$U$10,I55),1)*IF(Upgrades!$T$11="Asteroid Belt",POWER(Upgrades!$U$11,J55),1)*IF(Upgrades!$T$12="Asteroid Belt",POWER(Upgrades!$U$12,K55),1))+(IF(G55=0,0,(Upgrades!$J$8+G55*Upgrades!$K$8)*POWER(Upgrades!$L$8,G55)))*(IF(Upgrades!$T$6="Stellar Coupling",POWER(Upgrades!$U$6,E55),1)*IF(Upgrades!$T$7="Stellar Coupling",POWER(Upgrades!$U$7,F55),1)*IF(Upgrades!$T$9="Stellar Coupling",POWER(Upgrades!$U$9,H55),1)*IF(Upgrades!$T$10="Stellar Coupling",POWER(Upgrades!$U$10,I55),1)*IF(Upgrades!$T$11="Stellar Coupling",POWER(Upgrades!$U$11,J55),1)*IF(Upgrades!$T$12="Stellar Coupling",POWER(Upgrades!$U$12,K55),1))+(IF(H55=0,0,(Upgrades!$J$9+H55*Upgrades!$K$9)*POWER(Upgrades!$L$9,H55)))*(IF(Upgrades!$T$6="Magnetosphere",POWER(Upgrades!$U$6,E55),1)*IF(Upgrades!$T$7="Magnetosphere",POWER(Upgrades!$U$7,F55),1)*IF(Upgrades!$T$8="Magnetosphere",POWER(Upgrades!$U$8,G55),1)*IF(Upgrades!$T$10="Magnetosphere",POWER(Upgrades!$U$10,I55),1)*IF(Upgrades!$T$11="Magnetosphere",POWER(Upgrades!$U$11,J55),1)*IF(Upgrades!$T$12="Magnetosphere",POWER(Upgrades!$U$12,K55),1))+(IF(I55=0,0,(Upgrades!$J$10+I55*Upgrades!$K$10)*POWER(Upgrades!$L$10,I55)))*(IF(Upgrades!$T$6="Orbital Resonance",POWER(Upgrades!$U$6,E55),1)*IF(Upgrades!$T$7="Orbital Resonance",POWER(Upgrades!$U$7,F55),1)*IF(Upgrades!$T$8="Orbital Resonance",POWER(Upgrades!$U$8,G55),1)*IF(Upgrades!$T$9="Orbital Resonance",POWER(Upgrades!$U$9,H55),1)*IF(Upgrades!$T$11="Orbital Resonance",POWER(Upgrades!$U$11,J55),1)*IF(Upgrades!$T$12="Orbital Resonance",POWER(Upgrades!$U$12,K55),1))+(IF(J55=0,0,(Upgrades!$J$11+J55*Upgrades!$K$11)*POWER(Upgrades!$L$11,J55)))*(IF(Upgrades!$T$6="Heliopause",POWER(Upgrades!$U$6,E55),1)*IF(Upgrades!$T$7="Heliopause",POWER(Upgrades!$U$7,F55),1)*IF(Upgrades!$T$8="Heliopause",POWER(Upgrades!$U$8,G55),1)*IF(Upgrades!$T$9="Heliopause",POWER(Upgrades!$U$9,H55),1)*IF(Upgrades!$T$10="Heliopause",POWER(Upgrades!$U$10,I55),1)*IF(Upgrades!$T$12="Heliopause",POWER(Upgrades!$U$12,K55),1))+(IF(K55=0,0,(Upgrades!$J$12+K55*Upgrades!$K$12)*POWER(Upgrades!$L$12,K55)))*(IF(Upgrades!$T$6="First Photons",POWER(Upgrades!$U$6,E55),1)*IF(Upgrades!$T$7="First Photons",POWER(Upgrades!$U$7,F55),1)*IF(Upgrades!$T$8="First Photons",POWER(Upgrades!$U$8,G55),1)*IF(Upgrades!$T$9="First Photons",POWER(Upgrades!$U$9,H55),1)*IF(Upgrades!$T$10="First Photons",POWER(Upgrades!$U$10,I55),1)*IF(Upgrades!$T$11="First Photons",POWER(Upgrades!$U$11,J55),1)))*POWER(Upgrades!$Q$6,E55)*POWER(Upgrades!$Q$7,F55)*POWER(Upgrades!$Q$8,G55)*POWER(Upgrades!$Q$9,H55)*POWER(Upgrades!$Q$10,I55)*POWER(Upgrades!$Q$11,J55)*POWER(Upgrades!$Q$12,K55)</f>
        <v>4.98</v>
      </c>
      <c r="N55" s="28" t="n">
        <f aca="false">((IF(E55=0,0,(Upgrades!$G$6+E55*Upgrades!$H$6)*POWER(Upgrades!$I$6,E55)))*(IF(Upgrades!$T$7="Solar Wind",POWER(Upgrades!$U$7,F55),1)*IF(Upgrades!$T$8="Solar Wind",POWER(Upgrades!$U$8,G55),1)*IF(Upgrades!$T$9="Solar Wind",POWER(Upgrades!$U$9,H55),1)*IF(Upgrades!$T$10="Solar Wind",POWER(Upgrades!$U$10,I55),1)*IF(Upgrades!$T$11="Solar Wind",POWER(Upgrades!$U$11,J55),1)*IF(Upgrades!$T$12="Solar Wind",POWER(Upgrades!$U$12,K55),1))+(IF(F55=0,0,(Upgrades!$G$7+F55*Upgrades!$H$7)*POWER(Upgrades!$I$7,F55)))*(IF(Upgrades!$T$6="Asteroid Belt",POWER(Upgrades!$U$6,E55),1)*IF(Upgrades!$T$8="Asteroid Belt",POWER(Upgrades!$U$8,G55),1)*IF(Upgrades!$T$9="Asteroid Belt",POWER(Upgrades!$U$9,H55),1)*IF(Upgrades!$T$10="Asteroid Belt",POWER(Upgrades!$U$10,I55),1)*IF(Upgrades!$T$11="Asteroid Belt",POWER(Upgrades!$U$11,J55),1)*IF(Upgrades!$T$12="Asteroid Belt",POWER(Upgrades!$U$12,K55),1))+(IF(G55=0,0,(Upgrades!$G$8+G55*Upgrades!$H$8)*POWER(Upgrades!$I$8,G55)))*(IF(Upgrades!$T$6="Stellar Coupling",POWER(Upgrades!$U$6,E55),1)*IF(Upgrades!$T$7="Stellar Coupling",POWER(Upgrades!$U$7,F55),1)*IF(Upgrades!$T$9="Stellar Coupling",POWER(Upgrades!$U$9,H55),1)*IF(Upgrades!$T$10="Stellar Coupling",POWER(Upgrades!$U$10,I55),1)*IF(Upgrades!$T$11="Stellar Coupling",POWER(Upgrades!$U$11,J55),1)*IF(Upgrades!$T$12="Stellar Coupling",POWER(Upgrades!$U$12,K55),1))+(IF(H55=0,0,(Upgrades!$G$9+H55*Upgrades!$H$9)*POWER(Upgrades!$I$9,H55)))*(IF(Upgrades!$T$6="Magnetosphere",POWER(Upgrades!$U$6,E55),1)*IF(Upgrades!$T$7="Magnetosphere",POWER(Upgrades!$U$7,F55),1)*IF(Upgrades!$T$8="Magnetosphere",POWER(Upgrades!$U$8,G55),1)*IF(Upgrades!$T$10="Magnetosphere",POWER(Upgrades!$U$10,I55),1)*IF(Upgrades!$T$11="Magnetosphere",POWER(Upgrades!$U$11,J55),1)*IF(Upgrades!$T$12="Magnetosphere",POWER(Upgrades!$U$12,K55),1))+(IF(I55=0,0,(Upgrades!$G$10+I55*Upgrades!$H$10)*POWER(Upgrades!$I$10,I55)))*(IF(Upgrades!$T$6="Orbital Resonance",POWER(Upgrades!$U$6,E55),1)*IF(Upgrades!$T$7="Orbital Resonance",POWER(Upgrades!$U$7,F55),1)*IF(Upgrades!$T$8="Orbital Resonance",POWER(Upgrades!$U$8,G55),1)*IF(Upgrades!$T$9="Orbital Resonance",POWER(Upgrades!$U$9,H55),1)*IF(Upgrades!$T$11="Orbital Resonance",POWER(Upgrades!$U$11,J55),1)*IF(Upgrades!$T$12="Orbital Resonance",POWER(Upgrades!$U$12,K55),1))+(IF(J55=0,0,(Upgrades!$G$11+J55*Upgrades!$H$11)*POWER(Upgrades!$I$11,J55)))*(IF(Upgrades!$T$6="Heliopause",POWER(Upgrades!$U$6,E55),1)*IF(Upgrades!$T$7="Heliopause",POWER(Upgrades!$U$7,F55),1)*IF(Upgrades!$T$8="Heliopause",POWER(Upgrades!$U$8,G55),1)*IF(Upgrades!$T$9="Heliopause",POWER(Upgrades!$U$9,H55),1)*IF(Upgrades!$T$10="Heliopause",POWER(Upgrades!$U$10,I55),1)*IF(Upgrades!$T$12="Heliopause",POWER(Upgrades!$U$12,K55),1))+(IF(K55=0,0,(Upgrades!$G$12+K55*Upgrades!$H$12)*POWER(Upgrades!$I$12,K55)))*(IF(Upgrades!$T$6="First Photons",POWER(Upgrades!$U$6,E55),1)*IF(Upgrades!$T$7="First Photons",POWER(Upgrades!$U$7,F55),1)*IF(Upgrades!$T$8="First Photons",POWER(Upgrades!$U$8,G55),1)*IF(Upgrades!$T$9="First Photons",POWER(Upgrades!$U$9,H55),1)*IF(Upgrades!$T$10="First Photons",POWER(Upgrades!$U$10,I55),1)*IF(Upgrades!$T$11="First Photons",POWER(Upgrades!$U$11,J55),1)))*POWER(Upgrades!$P$6,E55)*POWER(Upgrades!$P$7,F55)*POWER(Upgrades!$P$8,G55)*POWER(Upgrades!$P$9,H55)*POWER(Upgrades!$P$10,I55)*POWER(Upgrades!$P$11,J55)*POWER(Upgrades!$P$12,K55)</f>
        <v>9.5</v>
      </c>
      <c r="O55" s="28" t="n">
        <f aca="false">((IF(E55=0,0,(Upgrades!$M$6+E55*Upgrades!$N$6)*POWER(Upgrades!$O$6,E55)))*(IF(Upgrades!$T$7="Solar Wind",POWER(Upgrades!$U$7,F55),1)*IF(Upgrades!$T$8="Solar Wind",POWER(Upgrades!$U$8,G55),1)*IF(Upgrades!$T$9="Solar Wind",POWER(Upgrades!$U$9,H55),1)*IF(Upgrades!$T$10="Solar Wind",POWER(Upgrades!$U$10,I55),1)*IF(Upgrades!$T$11="Solar Wind",POWER(Upgrades!$U$11,J55),1)*IF(Upgrades!$T$12="Solar Wind",POWER(Upgrades!$U$12,K55),1))+(IF(F55=0,0,(Upgrades!$M$7+F55*Upgrades!$N$7)*POWER(Upgrades!$O$7,F55)))*(IF(Upgrades!$T$6="Asteroid Belt",POWER(Upgrades!$U$6,E55),1)*IF(Upgrades!$T$8="Asteroid Belt",POWER(Upgrades!$U$8,G55),1)*IF(Upgrades!$T$9="Asteroid Belt",POWER(Upgrades!$U$9,H55),1)*IF(Upgrades!$T$10="Asteroid Belt",POWER(Upgrades!$U$10,I55),1)*IF(Upgrades!$T$11="Asteroid Belt",POWER(Upgrades!$U$11,J55),1)*IF(Upgrades!$T$12="Asteroid Belt",POWER(Upgrades!$U$12,K55),1))+(IF(G55=0,0,(Upgrades!$M$8+G55*Upgrades!$N$8)*POWER(Upgrades!$O$8,G55)))*(IF(Upgrades!$T$6="Stellar Coupling",POWER(Upgrades!$U$6,E55),1)*IF(Upgrades!$T$7="Stellar Coupling",POWER(Upgrades!$U$7,F55),1)*IF(Upgrades!$T$9="Stellar Coupling",POWER(Upgrades!$U$9,H55),1)*IF(Upgrades!$T$10="Stellar Coupling",POWER(Upgrades!$U$10,I55),1)*IF(Upgrades!$T$11="Stellar Coupling",POWER(Upgrades!$U$11,J55),1)*IF(Upgrades!$T$12="Stellar Coupling",POWER(Upgrades!$U$12,K55),1))+(IF(H55=0,0,(Upgrades!$M$9+H55*Upgrades!$N$9)*POWER(Upgrades!$O$9,H55)))*(IF(Upgrades!$T$6="Magnetosphere",POWER(Upgrades!$U$6,E55),1)*IF(Upgrades!$T$7="Magnetosphere",POWER(Upgrades!$U$7,F55),1)*IF(Upgrades!$T$8="Magnetosphere",POWER(Upgrades!$U$8,G55),1)*IF(Upgrades!$T$10="Magnetosphere",POWER(Upgrades!$U$10,I55),1)*IF(Upgrades!$T$11="Magnetosphere",POWER(Upgrades!$U$11,J55),1)*IF(Upgrades!$T$12="Magnetosphere",POWER(Upgrades!$U$12,K55),1))+(IF(I55=0,0,(Upgrades!$M$10+I55*Upgrades!$N$10)*POWER(Upgrades!$O$10,I55)))*(IF(Upgrades!$T$6="Orbital Resonance",POWER(Upgrades!$U$6,E55),1)*IF(Upgrades!$T$7="Orbital Resonance",POWER(Upgrades!$U$7,F55),1)*IF(Upgrades!$T$8="Orbital Resonance",POWER(Upgrades!$U$8,G55),1)*IF(Upgrades!$T$9="Orbital Resonance",POWER(Upgrades!$U$9,H55),1)*IF(Upgrades!$T$11="Orbital Resonance",POWER(Upgrades!$U$11,J55),1)*IF(Upgrades!$T$12="Orbital Resonance",POWER(Upgrades!$U$12,K55),1))+(IF(J55=0,0,(Upgrades!$M$11+J55*Upgrades!$N$11)*POWER(Upgrades!$O$11,J55)))*(IF(Upgrades!$T$6="Heliopause",POWER(Upgrades!$U$6,E55),1)*IF(Upgrades!$T$7="Heliopause",POWER(Upgrades!$U$7,F55),1)*IF(Upgrades!$T$8="Heliopause",POWER(Upgrades!$U$8,G55),1)*IF(Upgrades!$T$9="Heliopause",POWER(Upgrades!$U$9,H55),1)*IF(Upgrades!$T$10="Heliopause",POWER(Upgrades!$U$10,I55),1)*IF(Upgrades!$T$12="Heliopause",POWER(Upgrades!$U$12,K55),1))+(IF(K55=0,0,(Upgrades!$M$12+K55*Upgrades!$N$12)*POWER(Upgrades!$O$12,K55)))*(IF(Upgrades!$T$6="First Photons",POWER(Upgrades!$U$6,E55),1)*IF(Upgrades!$T$7="First Photons",POWER(Upgrades!$U$7,F55),1)*IF(Upgrades!$T$8="First Photons",POWER(Upgrades!$U$8,G55),1)*IF(Upgrades!$T$9="First Photons",POWER(Upgrades!$U$9,H55),1)*IF(Upgrades!$T$10="First Photons",POWER(Upgrades!$U$10,I55),1)*IF(Upgrades!$T$11="First Photons",POWER(Upgrades!$U$11,J55),1)))*POWER(Upgrades!$R$6,E55)*POWER(Upgrades!$R$7,F55)*POWER(Upgrades!$R$8,G55)*POWER(Upgrades!$R$9,H55)*POWER(Upgrades!$R$10,I55)*POWER(Upgrades!$R$11,J55)*POWER(Upgrades!$R$12,K55)</f>
        <v>0</v>
      </c>
      <c r="P55" s="27" t="n">
        <f aca="false">IF(L55=1,0,M55*Parameters!$B$10/60*Parameters!$B$11*10)</f>
        <v>83</v>
      </c>
      <c r="Q55" s="27" t="n">
        <f aca="false">IF(L55=1,0,O55*M55*10)</f>
        <v>0</v>
      </c>
      <c r="R55" s="27" t="n">
        <f aca="false">IF(L55=1,0,N55*10)</f>
        <v>95</v>
      </c>
      <c r="S55" s="27" t="n">
        <f aca="false">P55+Q55+R55</f>
        <v>178</v>
      </c>
      <c r="T55" s="21" t="n">
        <f aca="false">C55+S55</f>
        <v>1405.06598674431</v>
      </c>
      <c r="U55" s="34" t="str">
        <f aca="false">AX55</f>
        <v>Mag</v>
      </c>
      <c r="V55" s="21" t="n">
        <f aca="false">IF(U55="",0,IF(U55="transition",0,IF(U55="SW",AG55,IF(U55="AB",AH55,IF(U55="SC",AI55,IF(U55="Mag",AJ55,IF(U55="OR",AK55,IF(U55="HP",AL55,IF(U55="FP",AM55,0)))))))))</f>
        <v>1280</v>
      </c>
      <c r="W55" s="27" t="n">
        <f aca="false">IF(U55="OR",Upgrades!$F$10,IF(U55="HP",Upgrades!$F$11,IF(U55="transition",-Parameters!$B$18,0)))</f>
        <v>0</v>
      </c>
      <c r="X55" s="21" t="n">
        <f aca="false">T55-V55</f>
        <v>125.065986744308</v>
      </c>
      <c r="Y55" s="30" t="n">
        <f aca="false">M55*Parameters!$B$10/60*Parameters!$B$11+O55*M55+N55</f>
        <v>17.8</v>
      </c>
      <c r="Z55" s="35" t="str">
        <f aca="false">IF(U55="transition","→ Tier 2 (Stellar Neighborhood)",IF(U55="FP","First Photons — light begins, system quickens",IF(U55="HP","Heliopause acquired",IF(U55="OR","Orbital Resonance — passive multiplier active",IF(AND(AO55=1,L55=0,AN55&lt;&gt;1),"Cohesion ready (waiting on completionist upgrades)","")))))</f>
        <v>Cohesion ready (waiting on completionist upgrades)</v>
      </c>
      <c r="AA55" s="27" t="n">
        <f aca="false">(IF(E55=0,0,(Upgrades!$G$6+E55*Upgrades!$H$6)*POWER(Upgrades!$I$6,E55)))*(IF(Upgrades!$T$7="Solar Wind",POWER(Upgrades!$U$7,F55),1)*IF(Upgrades!$T$8="Solar Wind",POWER(Upgrades!$U$8,G55),1)*IF(Upgrades!$T$9="Solar Wind",POWER(Upgrades!$U$9,H55),1)*IF(Upgrades!$T$10="Solar Wind",POWER(Upgrades!$U$10,I55),1)*IF(Upgrades!$T$11="Solar Wind",POWER(Upgrades!$U$11,J55),1)*IF(Upgrades!$T$12="Solar Wind",POWER(Upgrades!$U$12,K55),1))*POWER(Upgrades!$P$6,E55)*POWER(Upgrades!$P$7,F55)*POWER(Upgrades!$P$8,G55)*POWER(Upgrades!$P$9,H55)*POWER(Upgrades!$P$10,I55)*POWER(Upgrades!$P$11,J55)*POWER(Upgrades!$P$12,K55)*60</f>
        <v>60</v>
      </c>
      <c r="AB55" s="27" t="n">
        <f aca="false">(IF(F55=0,0,(Upgrades!$G$7+F55*Upgrades!$H$7)*POWER(Upgrades!$I$7,F55)))*(IF(Upgrades!$T$6="Asteroid Belt",POWER(Upgrades!$U$6,E55),1)*IF(Upgrades!$T$8="Asteroid Belt",POWER(Upgrades!$U$8,G55),1)*IF(Upgrades!$T$9="Asteroid Belt",POWER(Upgrades!$U$9,H55),1)*IF(Upgrades!$T$10="Asteroid Belt",POWER(Upgrades!$U$10,I55),1)*IF(Upgrades!$T$11="Asteroid Belt",POWER(Upgrades!$U$11,J55),1)*IF(Upgrades!$T$12="Asteroid Belt",POWER(Upgrades!$U$12,K55),1))*POWER(Upgrades!$P$6,E55)*POWER(Upgrades!$P$7,F55)*POWER(Upgrades!$P$8,G55)*POWER(Upgrades!$P$9,H55)*POWER(Upgrades!$P$10,I55)*POWER(Upgrades!$P$11,J55)*POWER(Upgrades!$P$12,K55)*60</f>
        <v>135</v>
      </c>
      <c r="AC55" s="27" t="n">
        <f aca="false">(IF(G55=0,0,(Upgrades!$J$8+G55*Upgrades!$K$8)*POWER(Upgrades!$L$8,G55)))*(IF(Upgrades!$T$6="Stellar Coupling",POWER(Upgrades!$U$6,E55),1)*IF(Upgrades!$T$7="Stellar Coupling",POWER(Upgrades!$U$7,F55),1)*IF(Upgrades!$T$9="Stellar Coupling",POWER(Upgrades!$U$9,H55),1)*IF(Upgrades!$T$10="Stellar Coupling",POWER(Upgrades!$U$10,I55),1)*IF(Upgrades!$T$11="Stellar Coupling",POWER(Upgrades!$U$11,J55),1)*IF(Upgrades!$T$12="Stellar Coupling",POWER(Upgrades!$U$12,K55),1))*POWER(Upgrades!$Q$6,E55)*POWER(Upgrades!$Q$7,F55)*POWER(Upgrades!$Q$8,G55)*POWER(Upgrades!$Q$9,H55)*POWER(Upgrades!$Q$10,I55)*POWER(Upgrades!$Q$11,J55)*POWER(Upgrades!$Q$12,K55)*Parameters!$B$10*Parameters!$B$11</f>
        <v>378</v>
      </c>
      <c r="AD55" s="27" t="n">
        <f aca="false">(IF(H55=0,0,(Upgrades!$G$9+H55*Upgrades!$H$9)*POWER(Upgrades!$I$9,H55)))*(IF(Upgrades!$T$6="Magnetosphere",POWER(Upgrades!$U$6,E55),1)*IF(Upgrades!$T$7="Magnetosphere",POWER(Upgrades!$U$7,F55),1)*IF(Upgrades!$T$8="Magnetosphere",POWER(Upgrades!$U$8,G55),1)*IF(Upgrades!$T$10="Magnetosphere",POWER(Upgrades!$U$10,I55),1)*IF(Upgrades!$T$11="Magnetosphere",POWER(Upgrades!$U$11,J55),1)*IF(Upgrades!$T$12="Magnetosphere",POWER(Upgrades!$U$12,K55),1))*POWER(Upgrades!$P$6,E55)*POWER(Upgrades!$P$7,F55)*POWER(Upgrades!$P$8,G55)*POWER(Upgrades!$P$9,H55)*POWER(Upgrades!$P$10,I55)*POWER(Upgrades!$P$11,J55)*POWER(Upgrades!$P$12,K55)*60</f>
        <v>300</v>
      </c>
      <c r="AE55" s="27" t="n">
        <f aca="false">(IF(K55=0,0,(Upgrades!$G$12+K55*Upgrades!$H$12)*POWER(Upgrades!$I$12,K55)))*(IF(Upgrades!$T$6="First Photons",POWER(Upgrades!$U$6,E55),1)*IF(Upgrades!$T$7="First Photons",POWER(Upgrades!$U$7,F55),1)*IF(Upgrades!$T$8="First Photons",POWER(Upgrades!$U$8,G55),1)*IF(Upgrades!$T$9="First Photons",POWER(Upgrades!$U$9,H55),1)*IF(Upgrades!$T$10="First Photons",POWER(Upgrades!$U$10,I55),1)*IF(Upgrades!$T$11="First Photons",POWER(Upgrades!$U$11,J55),1))*POWER(Upgrades!$P$6,E55)*POWER(Upgrades!$P$7,F55)*POWER(Upgrades!$P$8,G55)*POWER(Upgrades!$P$9,H55)*POWER(Upgrades!$P$10,I55)*POWER(Upgrades!$P$11,J55)*POWER(Upgrades!$P$12,K55)*60</f>
        <v>75</v>
      </c>
      <c r="AF55" s="27" t="n">
        <f aca="false">Parameters!$B$9*POWER(Upgrades!$Q$6,E55)*POWER(Upgrades!$Q$7,F55)*POWER(Upgrades!$Q$8,G55)*POWER(Upgrades!$Q$9,H55)*POWER(Upgrades!$Q$10,I55)*POWER(Upgrades!$Q$11,J55)*POWER(Upgrades!$Q$12,K55)*(Parameters!$B$10*Parameters!$B$11+O55*60)</f>
        <v>120</v>
      </c>
      <c r="AG55" s="21" t="n">
        <f aca="false">IF(E55&gt;=Upgrades!$E$6,"",Upgrades!$C$6*POWER(Upgrades!$D$6,E55))</f>
        <v>28.3189041499553</v>
      </c>
      <c r="AH55" s="21" t="n">
        <f aca="false">IF(F55&gt;=Upgrades!$E$7,"",Upgrades!$C$7*POWER(Upgrades!$D$7,F55))</f>
        <v>70.3575258383984</v>
      </c>
      <c r="AI55" s="21" t="n">
        <f aca="false">IF(G55&gt;=Upgrades!$E$8,"",Upgrades!$C$8*POWER(Upgrades!$D$8,G55))</f>
        <v>165.649792</v>
      </c>
      <c r="AJ55" s="21" t="n">
        <f aca="false">IF(H55&gt;=Upgrades!$E$9,"",Upgrades!$C$9*POWER(Upgrades!$D$9,H55))</f>
        <v>1280</v>
      </c>
      <c r="AK55" s="21" t="str">
        <f aca="false">IF(I55&gt;=Upgrades!$E$10,"",Upgrades!$C$10*POWER(Upgrades!$D$10,I55))</f>
        <v/>
      </c>
      <c r="AL55" s="21" t="str">
        <f aca="false">IF(J55&gt;=Upgrades!$E$11,"",Upgrades!$C$11*POWER(Upgrades!$D$11,J55))</f>
        <v/>
      </c>
      <c r="AM55" s="21" t="str">
        <f aca="false">IF(K55&gt;=Upgrades!$E$12,"",Upgrades!$C$12*POWER(Upgrades!$D$12,K55))</f>
        <v/>
      </c>
      <c r="AN55" s="26" t="str">
        <f aca="false">IF(AND(D55&gt;=Parameters!$B$18,(H55&gt;=Upgrades!$E$9)*(K55&gt;=Upgrades!$E$12)=1,L55=0),1,"")</f>
        <v/>
      </c>
      <c r="AO55" s="26" t="n">
        <f aca="false">IF(AND(D55&gt;=Parameters!$B$18,L55=0),1,"")</f>
        <v>1</v>
      </c>
      <c r="AP55" s="21" t="n">
        <f aca="false">MIN(IF(ISNUMBER(AK55),AK55,9000000000000000),IF(ISNUMBER(AL55),AL55,9000000000000000),IF(ISNUMBER(AM55),AM55,9000000000000000))</f>
        <v>9000000000000000</v>
      </c>
      <c r="AQ55" s="21" t="n">
        <f aca="false">MIN(IF(ISNUMBER(AG55),AG55,9000000000000000),IF(ISNUMBER(AH55),AH55,9000000000000000),IF(ISNUMBER(AI55),AI55,9000000000000000),IF(ISNUMBER(AJ55),AJ55,9000000000000000))</f>
        <v>28.3189041499553</v>
      </c>
      <c r="AR55" s="32" t="b">
        <f aca="false">IF(AW55&gt;Parameters!$B$21*(MAX(IF(AND(NOT(AND(AO55=1,AN55&lt;&gt;1)),ISNUMBER(AG55),AG55&lt;=T55),AS55,0),IF(AND(NOT(AND(AO55=1,AN55&lt;&gt;1)),ISNUMBER(AH55),AH55&lt;=T55),AT55,0),IF(AND(NOT(AND(AO55=1,AN55&lt;&gt;1)),ISNUMBER(AI55),AI55&lt;=T55),AU55,0),IF(AND(ISNUMBER(AJ55),AJ55&lt;=T55),AV55,0))),TRUE(),FALSE())</f>
        <v>0</v>
      </c>
      <c r="AS55" s="33" t="n">
        <f aca="false">IFERROR(Upgrades!$H$6*(POWER(Upgrades!$P$6,E55)*POWER(Upgrades!$P$7,F55)*POWER(Upgrades!$P$8,G55)*POWER(Upgrades!$P$9,H55)*POWER(Upgrades!$P$10,I55)*POWER(Upgrades!$P$11,J55)*POWER(Upgrades!$P$12,K55))*(IF(Upgrades!$T$7="Solar Wind",POWER(Upgrades!$U$7,F55),1)*IF(Upgrades!$T$8="Solar Wind",POWER(Upgrades!$U$8,G55),1)*IF(Upgrades!$T$9="Solar Wind",POWER(Upgrades!$U$9,H55),1)*IF(Upgrades!$T$10="Solar Wind",POWER(Upgrades!$U$10,I55),1)*IF(Upgrades!$T$11="Solar Wind",POWER(Upgrades!$U$11,J55),1)*IF(Upgrades!$T$12="Solar Wind",POWER(Upgrades!$U$12,K55),1))/AG55,0)</f>
        <v>0.00353121008745523</v>
      </c>
      <c r="AT55" s="33" t="n">
        <f aca="false">IFERROR(Upgrades!$H$7*(POWER(Upgrades!$P$6,E55)*POWER(Upgrades!$P$7,F55)*POWER(Upgrades!$P$8,G55)*POWER(Upgrades!$P$9,H55)*POWER(Upgrades!$P$10,I55)*POWER(Upgrades!$P$11,J55)*POWER(Upgrades!$P$12,K55))*(IF(Upgrades!$T$6="Asteroid Belt",POWER(Upgrades!$U$6,E55),1)*IF(Upgrades!$T$8="Asteroid Belt",POWER(Upgrades!$U$8,G55),1)*IF(Upgrades!$T$9="Asteroid Belt",POWER(Upgrades!$U$9,H55),1)*IF(Upgrades!$T$10="Asteroid Belt",POWER(Upgrades!$U$10,I55),1)*IF(Upgrades!$T$11="Asteroid Belt",POWER(Upgrades!$U$11,J55),1)*IF(Upgrades!$T$12="Asteroid Belt",POWER(Upgrades!$U$12,K55),1))/AH55,0)</f>
        <v>0.00355328015050182</v>
      </c>
      <c r="AU55" s="33" t="n">
        <f aca="false">IFERROR(Upgrades!$K$8*(POWER(Upgrades!$Q$6,E55)*POWER(Upgrades!$Q$7,F55)*POWER(Upgrades!$Q$8,G55)*POWER(Upgrades!$Q$9,H55)*POWER(Upgrades!$Q$10,I55)*POWER(Upgrades!$Q$11,J55)*POWER(Upgrades!$Q$12,K55))*(IF(Upgrades!$T$6="Stellar Coupling",POWER(Upgrades!$U$6,E55),1)*IF(Upgrades!$T$7="Stellar Coupling",POWER(Upgrades!$U$7,F55),1)*IF(Upgrades!$T$9="Stellar Coupling",POWER(Upgrades!$U$9,H55),1)*IF(Upgrades!$T$10="Stellar Coupling",POWER(Upgrades!$U$10,I55),1)*IF(Upgrades!$T$11="Stellar Coupling",POWER(Upgrades!$U$11,J55),1)*IF(Upgrades!$T$12="Stellar Coupling",POWER(Upgrades!$U$12,K55),1))*Parameters!$B$10*Parameters!$B$11/60/AI55,0)</f>
        <v>0.00633867382097287</v>
      </c>
      <c r="AV55" s="33" t="n">
        <f aca="false">IFERROR(Upgrades!$H$9*(POWER(Upgrades!$P$6,E55)*POWER(Upgrades!$P$7,F55)*POWER(Upgrades!$P$8,G55)*POWER(Upgrades!$P$9,H55)*POWER(Upgrades!$P$10,I55)*POWER(Upgrades!$P$11,J55)*POWER(Upgrades!$P$12,K55))*(IF(Upgrades!$T$6="Magnetosphere",POWER(Upgrades!$U$6,E55),1)*IF(Upgrades!$T$7="Magnetosphere",POWER(Upgrades!$U$7,F55),1)*IF(Upgrades!$T$8="Magnetosphere",POWER(Upgrades!$U$8,G55),1)*IF(Upgrades!$T$10="Magnetosphere",POWER(Upgrades!$U$10,I55),1)*IF(Upgrades!$T$11="Magnetosphere",POWER(Upgrades!$U$11,J55),1)*IF(Upgrades!$T$12="Magnetosphere",POWER(Upgrades!$U$12,K55),1))/AJ55,0)</f>
        <v>0.0009765625</v>
      </c>
      <c r="AW55" s="33" t="n">
        <f aca="false">MAX(IF(I55&gt;0,0,IFERROR(0.25*N55/Upgrades!$C$10,0)),IF(J55&gt;0,0,IFERROR(0.5*((IF(G55=0,0,(Upgrades!$J$8+G55*Upgrades!$K$8)*POWER(Upgrades!$L$8,G55)))*(IF(Upgrades!$T$6="Stellar Coupling",POWER(Upgrades!$U$6,E55),1)*IF(Upgrades!$T$7="Stellar Coupling",POWER(Upgrades!$U$7,F55),1)*IF(Upgrades!$T$9="Stellar Coupling",POWER(Upgrades!$U$9,H55),1)*IF(Upgrades!$T$10="Stellar Coupling",POWER(Upgrades!$U$10,I55),1)*IF(Upgrades!$T$11="Stellar Coupling",POWER(Upgrades!$U$11,J55),1)*IF(Upgrades!$T$12="Stellar Coupling",POWER(Upgrades!$U$12,K55),1))*(POWER(Upgrades!$Q$6,E55)*POWER(Upgrades!$Q$7,F55)*POWER(Upgrades!$Q$8,G55)*POWER(Upgrades!$Q$9,H55)*POWER(Upgrades!$Q$10,I55)*POWER(Upgrades!$Q$11,J55)*POWER(Upgrades!$Q$12,K55))*Parameters!$B$10*Parameters!$B$11/60)/Upgrades!$C$11,0)),IF(K55&gt;0,0,IFERROR((1*(POWER(Upgrades!$P$6,E55)*POWER(Upgrades!$P$7,F55)*POWER(Upgrades!$P$8,G55)*POWER(Upgrades!$P$9,H55)*POWER(Upgrades!$P$10,I55)*POWER(Upgrades!$P$11,J55)*POWER(Upgrades!$P$12,K55))+0.2*M55*Parameters!$B$10*Parameters!$B$11/60)/Upgrades!$C$12,0)),IF(AND(ISNUMBER(AG55),AG55&gt;T55),AS55,0),IF(AND(ISNUMBER(AH55),AH55&gt;T55),AT55,0),IF(AND(ISNUMBER(AI55),AI55&gt;T55),AU55,0),IF(AND(ISNUMBER(AJ55),AJ55&gt;T55),AV55,0))</f>
        <v>0</v>
      </c>
      <c r="AX55" s="29" t="str">
        <f aca="false">IF(AN55=1,"transition",IF(MIN(IF(AND(I55=0,ISNUMBER(AK55),AK55&lt;=T55),AK55,9000000000000000),IF(AND(J55=0,ISNUMBER(AL55),AL55&lt;=T55),AL55,9000000000000000),IF(AND(K55=0,ISNUMBER(AM55),AM55&lt;=T55),AM55,9000000000000000))&lt;9000000000000000,IF(AND(AND(I55=0,ISNUMBER(AK55),AK55&lt;=T55),AK55=MIN(IF(AND(I55=0,ISNUMBER(AK55),AK55&lt;=T55),AK55,9000000000000000),IF(AND(J55=0,ISNUMBER(AL55),AL55&lt;=T55),AL55,9000000000000000),IF(AND(K55=0,ISNUMBER(AM55),AM55&lt;=T55),AM55,9000000000000000))),"OR",IF(AND(AND(J55=0,ISNUMBER(AL55),AL55&lt;=T55),AL55=MIN(IF(AND(I55=0,ISNUMBER(AK55),AK55&lt;=T55),AK55,9000000000000000),IF(AND(J55=0,ISNUMBER(AL55),AL55&lt;=T55),AL55,9000000000000000),IF(AND(K55=0,ISNUMBER(AM55),AM55&lt;=T55),AM55,9000000000000000))),"HP","FP")),IF(AR55=TRUE(),"",IF(MAX(IF(AND(NOT(AND(AO55=1,AN55&lt;&gt;1)),ISNUMBER(AG55),AG55&lt;=T55),AS55,0),IF(AND(NOT(AND(AO55=1,AN55&lt;&gt;1)),ISNUMBER(AH55),AH55&lt;=T55),AT55,0),IF(AND(NOT(AND(AO55=1,AN55&lt;&gt;1)),ISNUMBER(AI55),AI55&lt;=T55),AU55,0),IF(AND(ISNUMBER(AJ55),AJ55&lt;=T55),AV55,0))&lt;=0,"",IF(AND(IF(AND(NOT(AND(AO55=1,AN55&lt;&gt;1)),ISNUMBER(AG55),AG55&lt;=T55),AS55,0)&gt;0,IF(AND(NOT(AND(AO55=1,AN55&lt;&gt;1)),ISNUMBER(AG55),AG55&lt;=T55),AS55,0)=MAX(IF(AND(NOT(AND(AO55=1,AN55&lt;&gt;1)),ISNUMBER(AG55),AG55&lt;=T55),AS55,0),IF(AND(NOT(AND(AO55=1,AN55&lt;&gt;1)),ISNUMBER(AH55),AH55&lt;=T55),AT55,0),IF(AND(NOT(AND(AO55=1,AN55&lt;&gt;1)),ISNUMBER(AI55),AI55&lt;=T55),AU55,0),IF(AND(ISNUMBER(AJ55),AJ55&lt;=T55),AV55,0))),"SW",IF(AND(IF(AND(NOT(AND(AO55=1,AN55&lt;&gt;1)),ISNUMBER(AH55),AH55&lt;=T55),AT55,0)&gt;0,IF(AND(NOT(AND(AO55=1,AN55&lt;&gt;1)),ISNUMBER(AH55),AH55&lt;=T55),AT55,0)=MAX(IF(AND(NOT(AND(AO55=1,AN55&lt;&gt;1)),ISNUMBER(AG55),AG55&lt;=T55),AS55,0),IF(AND(NOT(AND(AO55=1,AN55&lt;&gt;1)),ISNUMBER(AH55),AH55&lt;=T55),AT55,0),IF(AND(NOT(AND(AO55=1,AN55&lt;&gt;1)),ISNUMBER(AI55),AI55&lt;=T55),AU55,0),IF(AND(ISNUMBER(AJ55),AJ55&lt;=T55),AV55,0))),"AB",IF(AND(IF(AND(NOT(AND(AO55=1,AN55&lt;&gt;1)),ISNUMBER(AI55),AI55&lt;=T55),AU55,0)&gt;0,IF(AND(NOT(AND(AO55=1,AN55&lt;&gt;1)),ISNUMBER(AI55),AI55&lt;=T55),AU55,0)=MAX(IF(AND(NOT(AND(AO55=1,AN55&lt;&gt;1)),ISNUMBER(AG55),AG55&lt;=T55),AS55,0),IF(AND(NOT(AND(AO55=1,AN55&lt;&gt;1)),ISNUMBER(AH55),AH55&lt;=T55),AT55,0),IF(AND(NOT(AND(AO55=1,AN55&lt;&gt;1)),ISNUMBER(AI55),AI55&lt;=T55),AU55,0),IF(AND(ISNUMBER(AJ55),AJ55&lt;=T55),AV55,0))),"SC","Mag")))))))</f>
        <v>Mag</v>
      </c>
    </row>
    <row r="56" customFormat="false" ht="15" hidden="false" customHeight="false" outlineLevel="0" collapsed="false">
      <c r="A56" s="26" t="n">
        <v>51</v>
      </c>
      <c r="B56" s="27" t="n">
        <f aca="false">A56*10/60</f>
        <v>8.5</v>
      </c>
      <c r="C56" s="21" t="n">
        <f aca="false">X55</f>
        <v>125.065986744308</v>
      </c>
      <c r="D56" s="27" t="n">
        <f aca="false">D55+W55</f>
        <v>1</v>
      </c>
      <c r="E56" s="26" t="n">
        <f aca="false">E55+IF(U55="SW",1,0)</f>
        <v>10</v>
      </c>
      <c r="F56" s="26" t="n">
        <f aca="false">F55+IF(U55="AB",1,0)</f>
        <v>9</v>
      </c>
      <c r="G56" s="26" t="n">
        <f aca="false">G55+IF(U55="SC",1,0)</f>
        <v>6</v>
      </c>
      <c r="H56" s="26" t="n">
        <f aca="false">H55+IF(U55="Mag",1,0)</f>
        <v>5</v>
      </c>
      <c r="I56" s="26" t="n">
        <f aca="false">MAX(I55,IF(U55="OR",1,0))</f>
        <v>1</v>
      </c>
      <c r="J56" s="26" t="n">
        <f aca="false">MAX(J55,IF(U55="HP",1,0))</f>
        <v>1</v>
      </c>
      <c r="K56" s="26" t="n">
        <f aca="false">MAX(K55,IF(U55="FP",1,0))</f>
        <v>1</v>
      </c>
      <c r="L56" s="26" t="n">
        <f aca="false">MAX(L55,IF(U55="transition",1,0))</f>
        <v>0</v>
      </c>
      <c r="M56" s="28" t="n">
        <f aca="false">(Parameters!$B$9+(IF(E56=0,0,(Upgrades!$J$6+E56*Upgrades!$K$6)*POWER(Upgrades!$L$6,E56)))*(IF(Upgrades!$T$7="Solar Wind",POWER(Upgrades!$U$7,F56),1)*IF(Upgrades!$T$8="Solar Wind",POWER(Upgrades!$U$8,G56),1)*IF(Upgrades!$T$9="Solar Wind",POWER(Upgrades!$U$9,H56),1)*IF(Upgrades!$T$10="Solar Wind",POWER(Upgrades!$U$10,I56),1)*IF(Upgrades!$T$11="Solar Wind",POWER(Upgrades!$U$11,J56),1)*IF(Upgrades!$T$12="Solar Wind",POWER(Upgrades!$U$12,K56),1))+(IF(F56=0,0,(Upgrades!$J$7+F56*Upgrades!$K$7)*POWER(Upgrades!$L$7,F56)))*(IF(Upgrades!$T$6="Asteroid Belt",POWER(Upgrades!$U$6,E56),1)*IF(Upgrades!$T$8="Asteroid Belt",POWER(Upgrades!$U$8,G56),1)*IF(Upgrades!$T$9="Asteroid Belt",POWER(Upgrades!$U$9,H56),1)*IF(Upgrades!$T$10="Asteroid Belt",POWER(Upgrades!$U$10,I56),1)*IF(Upgrades!$T$11="Asteroid Belt",POWER(Upgrades!$U$11,J56),1)*IF(Upgrades!$T$12="Asteroid Belt",POWER(Upgrades!$U$12,K56),1))+(IF(G56=0,0,(Upgrades!$J$8+G56*Upgrades!$K$8)*POWER(Upgrades!$L$8,G56)))*(IF(Upgrades!$T$6="Stellar Coupling",POWER(Upgrades!$U$6,E56),1)*IF(Upgrades!$T$7="Stellar Coupling",POWER(Upgrades!$U$7,F56),1)*IF(Upgrades!$T$9="Stellar Coupling",POWER(Upgrades!$U$9,H56),1)*IF(Upgrades!$T$10="Stellar Coupling",POWER(Upgrades!$U$10,I56),1)*IF(Upgrades!$T$11="Stellar Coupling",POWER(Upgrades!$U$11,J56),1)*IF(Upgrades!$T$12="Stellar Coupling",POWER(Upgrades!$U$12,K56),1))+(IF(H56=0,0,(Upgrades!$J$9+H56*Upgrades!$K$9)*POWER(Upgrades!$L$9,H56)))*(IF(Upgrades!$T$6="Magnetosphere",POWER(Upgrades!$U$6,E56),1)*IF(Upgrades!$T$7="Magnetosphere",POWER(Upgrades!$U$7,F56),1)*IF(Upgrades!$T$8="Magnetosphere",POWER(Upgrades!$U$8,G56),1)*IF(Upgrades!$T$10="Magnetosphere",POWER(Upgrades!$U$10,I56),1)*IF(Upgrades!$T$11="Magnetosphere",POWER(Upgrades!$U$11,J56),1)*IF(Upgrades!$T$12="Magnetosphere",POWER(Upgrades!$U$12,K56),1))+(IF(I56=0,0,(Upgrades!$J$10+I56*Upgrades!$K$10)*POWER(Upgrades!$L$10,I56)))*(IF(Upgrades!$T$6="Orbital Resonance",POWER(Upgrades!$U$6,E56),1)*IF(Upgrades!$T$7="Orbital Resonance",POWER(Upgrades!$U$7,F56),1)*IF(Upgrades!$T$8="Orbital Resonance",POWER(Upgrades!$U$8,G56),1)*IF(Upgrades!$T$9="Orbital Resonance",POWER(Upgrades!$U$9,H56),1)*IF(Upgrades!$T$11="Orbital Resonance",POWER(Upgrades!$U$11,J56),1)*IF(Upgrades!$T$12="Orbital Resonance",POWER(Upgrades!$U$12,K56),1))+(IF(J56=0,0,(Upgrades!$J$11+J56*Upgrades!$K$11)*POWER(Upgrades!$L$11,J56)))*(IF(Upgrades!$T$6="Heliopause",POWER(Upgrades!$U$6,E56),1)*IF(Upgrades!$T$7="Heliopause",POWER(Upgrades!$U$7,F56),1)*IF(Upgrades!$T$8="Heliopause",POWER(Upgrades!$U$8,G56),1)*IF(Upgrades!$T$9="Heliopause",POWER(Upgrades!$U$9,H56),1)*IF(Upgrades!$T$10="Heliopause",POWER(Upgrades!$U$10,I56),1)*IF(Upgrades!$T$12="Heliopause",POWER(Upgrades!$U$12,K56),1))+(IF(K56=0,0,(Upgrades!$J$12+K56*Upgrades!$K$12)*POWER(Upgrades!$L$12,K56)))*(IF(Upgrades!$T$6="First Photons",POWER(Upgrades!$U$6,E56),1)*IF(Upgrades!$T$7="First Photons",POWER(Upgrades!$U$7,F56),1)*IF(Upgrades!$T$8="First Photons",POWER(Upgrades!$U$8,G56),1)*IF(Upgrades!$T$9="First Photons",POWER(Upgrades!$U$9,H56),1)*IF(Upgrades!$T$10="First Photons",POWER(Upgrades!$U$10,I56),1)*IF(Upgrades!$T$11="First Photons",POWER(Upgrades!$U$11,J56),1)))*POWER(Upgrades!$Q$6,E56)*POWER(Upgrades!$Q$7,F56)*POWER(Upgrades!$Q$8,G56)*POWER(Upgrades!$Q$9,H56)*POWER(Upgrades!$Q$10,I56)*POWER(Upgrades!$Q$11,J56)*POWER(Upgrades!$Q$12,K56)</f>
        <v>4.98</v>
      </c>
      <c r="N56" s="28" t="n">
        <f aca="false">((IF(E56=0,0,(Upgrades!$G$6+E56*Upgrades!$H$6)*POWER(Upgrades!$I$6,E56)))*(IF(Upgrades!$T$7="Solar Wind",POWER(Upgrades!$U$7,F56),1)*IF(Upgrades!$T$8="Solar Wind",POWER(Upgrades!$U$8,G56),1)*IF(Upgrades!$T$9="Solar Wind",POWER(Upgrades!$U$9,H56),1)*IF(Upgrades!$T$10="Solar Wind",POWER(Upgrades!$U$10,I56),1)*IF(Upgrades!$T$11="Solar Wind",POWER(Upgrades!$U$11,J56),1)*IF(Upgrades!$T$12="Solar Wind",POWER(Upgrades!$U$12,K56),1))+(IF(F56=0,0,(Upgrades!$G$7+F56*Upgrades!$H$7)*POWER(Upgrades!$I$7,F56)))*(IF(Upgrades!$T$6="Asteroid Belt",POWER(Upgrades!$U$6,E56),1)*IF(Upgrades!$T$8="Asteroid Belt",POWER(Upgrades!$U$8,G56),1)*IF(Upgrades!$T$9="Asteroid Belt",POWER(Upgrades!$U$9,H56),1)*IF(Upgrades!$T$10="Asteroid Belt",POWER(Upgrades!$U$10,I56),1)*IF(Upgrades!$T$11="Asteroid Belt",POWER(Upgrades!$U$11,J56),1)*IF(Upgrades!$T$12="Asteroid Belt",POWER(Upgrades!$U$12,K56),1))+(IF(G56=0,0,(Upgrades!$G$8+G56*Upgrades!$H$8)*POWER(Upgrades!$I$8,G56)))*(IF(Upgrades!$T$6="Stellar Coupling",POWER(Upgrades!$U$6,E56),1)*IF(Upgrades!$T$7="Stellar Coupling",POWER(Upgrades!$U$7,F56),1)*IF(Upgrades!$T$9="Stellar Coupling",POWER(Upgrades!$U$9,H56),1)*IF(Upgrades!$T$10="Stellar Coupling",POWER(Upgrades!$U$10,I56),1)*IF(Upgrades!$T$11="Stellar Coupling",POWER(Upgrades!$U$11,J56),1)*IF(Upgrades!$T$12="Stellar Coupling",POWER(Upgrades!$U$12,K56),1))+(IF(H56=0,0,(Upgrades!$G$9+H56*Upgrades!$H$9)*POWER(Upgrades!$I$9,H56)))*(IF(Upgrades!$T$6="Magnetosphere",POWER(Upgrades!$U$6,E56),1)*IF(Upgrades!$T$7="Magnetosphere",POWER(Upgrades!$U$7,F56),1)*IF(Upgrades!$T$8="Magnetosphere",POWER(Upgrades!$U$8,G56),1)*IF(Upgrades!$T$10="Magnetosphere",POWER(Upgrades!$U$10,I56),1)*IF(Upgrades!$T$11="Magnetosphere",POWER(Upgrades!$U$11,J56),1)*IF(Upgrades!$T$12="Magnetosphere",POWER(Upgrades!$U$12,K56),1))+(IF(I56=0,0,(Upgrades!$G$10+I56*Upgrades!$H$10)*POWER(Upgrades!$I$10,I56)))*(IF(Upgrades!$T$6="Orbital Resonance",POWER(Upgrades!$U$6,E56),1)*IF(Upgrades!$T$7="Orbital Resonance",POWER(Upgrades!$U$7,F56),1)*IF(Upgrades!$T$8="Orbital Resonance",POWER(Upgrades!$U$8,G56),1)*IF(Upgrades!$T$9="Orbital Resonance",POWER(Upgrades!$U$9,H56),1)*IF(Upgrades!$T$11="Orbital Resonance",POWER(Upgrades!$U$11,J56),1)*IF(Upgrades!$T$12="Orbital Resonance",POWER(Upgrades!$U$12,K56),1))+(IF(J56=0,0,(Upgrades!$G$11+J56*Upgrades!$H$11)*POWER(Upgrades!$I$11,J56)))*(IF(Upgrades!$T$6="Heliopause",POWER(Upgrades!$U$6,E56),1)*IF(Upgrades!$T$7="Heliopause",POWER(Upgrades!$U$7,F56),1)*IF(Upgrades!$T$8="Heliopause",POWER(Upgrades!$U$8,G56),1)*IF(Upgrades!$T$9="Heliopause",POWER(Upgrades!$U$9,H56),1)*IF(Upgrades!$T$10="Heliopause",POWER(Upgrades!$U$10,I56),1)*IF(Upgrades!$T$12="Heliopause",POWER(Upgrades!$U$12,K56),1))+(IF(K56=0,0,(Upgrades!$G$12+K56*Upgrades!$H$12)*POWER(Upgrades!$I$12,K56)))*(IF(Upgrades!$T$6="First Photons",POWER(Upgrades!$U$6,E56),1)*IF(Upgrades!$T$7="First Photons",POWER(Upgrades!$U$7,F56),1)*IF(Upgrades!$T$8="First Photons",POWER(Upgrades!$U$8,G56),1)*IF(Upgrades!$T$9="First Photons",POWER(Upgrades!$U$9,H56),1)*IF(Upgrades!$T$10="First Photons",POWER(Upgrades!$U$10,I56),1)*IF(Upgrades!$T$11="First Photons",POWER(Upgrades!$U$11,J56),1)))*POWER(Upgrades!$P$6,E56)*POWER(Upgrades!$P$7,F56)*POWER(Upgrades!$P$8,G56)*POWER(Upgrades!$P$9,H56)*POWER(Upgrades!$P$10,I56)*POWER(Upgrades!$P$11,J56)*POWER(Upgrades!$P$12,K56)</f>
        <v>10.75</v>
      </c>
      <c r="O56" s="28" t="n">
        <f aca="false">((IF(E56=0,0,(Upgrades!$M$6+E56*Upgrades!$N$6)*POWER(Upgrades!$O$6,E56)))*(IF(Upgrades!$T$7="Solar Wind",POWER(Upgrades!$U$7,F56),1)*IF(Upgrades!$T$8="Solar Wind",POWER(Upgrades!$U$8,G56),1)*IF(Upgrades!$T$9="Solar Wind",POWER(Upgrades!$U$9,H56),1)*IF(Upgrades!$T$10="Solar Wind",POWER(Upgrades!$U$10,I56),1)*IF(Upgrades!$T$11="Solar Wind",POWER(Upgrades!$U$11,J56),1)*IF(Upgrades!$T$12="Solar Wind",POWER(Upgrades!$U$12,K56),1))+(IF(F56=0,0,(Upgrades!$M$7+F56*Upgrades!$N$7)*POWER(Upgrades!$O$7,F56)))*(IF(Upgrades!$T$6="Asteroid Belt",POWER(Upgrades!$U$6,E56),1)*IF(Upgrades!$T$8="Asteroid Belt",POWER(Upgrades!$U$8,G56),1)*IF(Upgrades!$T$9="Asteroid Belt",POWER(Upgrades!$U$9,H56),1)*IF(Upgrades!$T$10="Asteroid Belt",POWER(Upgrades!$U$10,I56),1)*IF(Upgrades!$T$11="Asteroid Belt",POWER(Upgrades!$U$11,J56),1)*IF(Upgrades!$T$12="Asteroid Belt",POWER(Upgrades!$U$12,K56),1))+(IF(G56=0,0,(Upgrades!$M$8+G56*Upgrades!$N$8)*POWER(Upgrades!$O$8,G56)))*(IF(Upgrades!$T$6="Stellar Coupling",POWER(Upgrades!$U$6,E56),1)*IF(Upgrades!$T$7="Stellar Coupling",POWER(Upgrades!$U$7,F56),1)*IF(Upgrades!$T$9="Stellar Coupling",POWER(Upgrades!$U$9,H56),1)*IF(Upgrades!$T$10="Stellar Coupling",POWER(Upgrades!$U$10,I56),1)*IF(Upgrades!$T$11="Stellar Coupling",POWER(Upgrades!$U$11,J56),1)*IF(Upgrades!$T$12="Stellar Coupling",POWER(Upgrades!$U$12,K56),1))+(IF(H56=0,0,(Upgrades!$M$9+H56*Upgrades!$N$9)*POWER(Upgrades!$O$9,H56)))*(IF(Upgrades!$T$6="Magnetosphere",POWER(Upgrades!$U$6,E56),1)*IF(Upgrades!$T$7="Magnetosphere",POWER(Upgrades!$U$7,F56),1)*IF(Upgrades!$T$8="Magnetosphere",POWER(Upgrades!$U$8,G56),1)*IF(Upgrades!$T$10="Magnetosphere",POWER(Upgrades!$U$10,I56),1)*IF(Upgrades!$T$11="Magnetosphere",POWER(Upgrades!$U$11,J56),1)*IF(Upgrades!$T$12="Magnetosphere",POWER(Upgrades!$U$12,K56),1))+(IF(I56=0,0,(Upgrades!$M$10+I56*Upgrades!$N$10)*POWER(Upgrades!$O$10,I56)))*(IF(Upgrades!$T$6="Orbital Resonance",POWER(Upgrades!$U$6,E56),1)*IF(Upgrades!$T$7="Orbital Resonance",POWER(Upgrades!$U$7,F56),1)*IF(Upgrades!$T$8="Orbital Resonance",POWER(Upgrades!$U$8,G56),1)*IF(Upgrades!$T$9="Orbital Resonance",POWER(Upgrades!$U$9,H56),1)*IF(Upgrades!$T$11="Orbital Resonance",POWER(Upgrades!$U$11,J56),1)*IF(Upgrades!$T$12="Orbital Resonance",POWER(Upgrades!$U$12,K56),1))+(IF(J56=0,0,(Upgrades!$M$11+J56*Upgrades!$N$11)*POWER(Upgrades!$O$11,J56)))*(IF(Upgrades!$T$6="Heliopause",POWER(Upgrades!$U$6,E56),1)*IF(Upgrades!$T$7="Heliopause",POWER(Upgrades!$U$7,F56),1)*IF(Upgrades!$T$8="Heliopause",POWER(Upgrades!$U$8,G56),1)*IF(Upgrades!$T$9="Heliopause",POWER(Upgrades!$U$9,H56),1)*IF(Upgrades!$T$10="Heliopause",POWER(Upgrades!$U$10,I56),1)*IF(Upgrades!$T$12="Heliopause",POWER(Upgrades!$U$12,K56),1))+(IF(K56=0,0,(Upgrades!$M$12+K56*Upgrades!$N$12)*POWER(Upgrades!$O$12,K56)))*(IF(Upgrades!$T$6="First Photons",POWER(Upgrades!$U$6,E56),1)*IF(Upgrades!$T$7="First Photons",POWER(Upgrades!$U$7,F56),1)*IF(Upgrades!$T$8="First Photons",POWER(Upgrades!$U$8,G56),1)*IF(Upgrades!$T$9="First Photons",POWER(Upgrades!$U$9,H56),1)*IF(Upgrades!$T$10="First Photons",POWER(Upgrades!$U$10,I56),1)*IF(Upgrades!$T$11="First Photons",POWER(Upgrades!$U$11,J56),1)))*POWER(Upgrades!$R$6,E56)*POWER(Upgrades!$R$7,F56)*POWER(Upgrades!$R$8,G56)*POWER(Upgrades!$R$9,H56)*POWER(Upgrades!$R$10,I56)*POWER(Upgrades!$R$11,J56)*POWER(Upgrades!$R$12,K56)</f>
        <v>0</v>
      </c>
      <c r="P56" s="27" t="n">
        <f aca="false">IF(L56=1,0,M56*Parameters!$B$10/60*Parameters!$B$11*10)</f>
        <v>83</v>
      </c>
      <c r="Q56" s="27" t="n">
        <f aca="false">IF(L56=1,0,O56*M56*10)</f>
        <v>0</v>
      </c>
      <c r="R56" s="27" t="n">
        <f aca="false">IF(L56=1,0,N56*10)</f>
        <v>107.5</v>
      </c>
      <c r="S56" s="27" t="n">
        <f aca="false">P56+Q56+R56</f>
        <v>190.5</v>
      </c>
      <c r="T56" s="21" t="n">
        <f aca="false">C56+S56</f>
        <v>315.565986744308</v>
      </c>
      <c r="U56" s="34" t="str">
        <f aca="false">AX56</f>
        <v>transition</v>
      </c>
      <c r="V56" s="21" t="n">
        <f aca="false">IF(U56="",0,IF(U56="transition",0,IF(U56="SW",AG56,IF(U56="AB",AH56,IF(U56="SC",AI56,IF(U56="Mag",AJ56,IF(U56="OR",AK56,IF(U56="HP",AL56,IF(U56="FP",AM56,0)))))))))</f>
        <v>0</v>
      </c>
      <c r="W56" s="27" t="n">
        <f aca="false">IF(U56="OR",Upgrades!$F$10,IF(U56="HP",Upgrades!$F$11,IF(U56="transition",-Parameters!$B$18,0)))</f>
        <v>-1</v>
      </c>
      <c r="X56" s="21" t="n">
        <f aca="false">T56-V56</f>
        <v>315.565986744308</v>
      </c>
      <c r="Y56" s="30" t="n">
        <f aca="false">M56*Parameters!$B$10/60*Parameters!$B$11+O56*M56+N56</f>
        <v>19.05</v>
      </c>
      <c r="Z56" s="35" t="str">
        <f aca="false">IF(U56="transition","→ Tier 2 (Stellar Neighborhood)",IF(U56="FP","First Photons — light begins, system quickens",IF(U56="HP","Heliopause acquired",IF(U56="OR","Orbital Resonance — passive multiplier active",IF(AND(AO56=1,L56=0,AN56&lt;&gt;1),"Cohesion ready (waiting on completionist upgrades)","")))))</f>
        <v>→ Tier 2 (Stellar Neighborhood)</v>
      </c>
      <c r="AA56" s="27" t="n">
        <f aca="false">(IF(E56=0,0,(Upgrades!$G$6+E56*Upgrades!$H$6)*POWER(Upgrades!$I$6,E56)))*(IF(Upgrades!$T$7="Solar Wind",POWER(Upgrades!$U$7,F56),1)*IF(Upgrades!$T$8="Solar Wind",POWER(Upgrades!$U$8,G56),1)*IF(Upgrades!$T$9="Solar Wind",POWER(Upgrades!$U$9,H56),1)*IF(Upgrades!$T$10="Solar Wind",POWER(Upgrades!$U$10,I56),1)*IF(Upgrades!$T$11="Solar Wind",POWER(Upgrades!$U$11,J56),1)*IF(Upgrades!$T$12="Solar Wind",POWER(Upgrades!$U$12,K56),1))*POWER(Upgrades!$P$6,E56)*POWER(Upgrades!$P$7,F56)*POWER(Upgrades!$P$8,G56)*POWER(Upgrades!$P$9,H56)*POWER(Upgrades!$P$10,I56)*POWER(Upgrades!$P$11,J56)*POWER(Upgrades!$P$12,K56)*60</f>
        <v>60</v>
      </c>
      <c r="AB56" s="27" t="n">
        <f aca="false">(IF(F56=0,0,(Upgrades!$G$7+F56*Upgrades!$H$7)*POWER(Upgrades!$I$7,F56)))*(IF(Upgrades!$T$6="Asteroid Belt",POWER(Upgrades!$U$6,E56),1)*IF(Upgrades!$T$8="Asteroid Belt",POWER(Upgrades!$U$8,G56),1)*IF(Upgrades!$T$9="Asteroid Belt",POWER(Upgrades!$U$9,H56),1)*IF(Upgrades!$T$10="Asteroid Belt",POWER(Upgrades!$U$10,I56),1)*IF(Upgrades!$T$11="Asteroid Belt",POWER(Upgrades!$U$11,J56),1)*IF(Upgrades!$T$12="Asteroid Belt",POWER(Upgrades!$U$12,K56),1))*POWER(Upgrades!$P$6,E56)*POWER(Upgrades!$P$7,F56)*POWER(Upgrades!$P$8,G56)*POWER(Upgrades!$P$9,H56)*POWER(Upgrades!$P$10,I56)*POWER(Upgrades!$P$11,J56)*POWER(Upgrades!$P$12,K56)*60</f>
        <v>135</v>
      </c>
      <c r="AC56" s="27" t="n">
        <f aca="false">(IF(G56=0,0,(Upgrades!$J$8+G56*Upgrades!$K$8)*POWER(Upgrades!$L$8,G56)))*(IF(Upgrades!$T$6="Stellar Coupling",POWER(Upgrades!$U$6,E56),1)*IF(Upgrades!$T$7="Stellar Coupling",POWER(Upgrades!$U$7,F56),1)*IF(Upgrades!$T$9="Stellar Coupling",POWER(Upgrades!$U$9,H56),1)*IF(Upgrades!$T$10="Stellar Coupling",POWER(Upgrades!$U$10,I56),1)*IF(Upgrades!$T$11="Stellar Coupling",POWER(Upgrades!$U$11,J56),1)*IF(Upgrades!$T$12="Stellar Coupling",POWER(Upgrades!$U$12,K56),1))*POWER(Upgrades!$Q$6,E56)*POWER(Upgrades!$Q$7,F56)*POWER(Upgrades!$Q$8,G56)*POWER(Upgrades!$Q$9,H56)*POWER(Upgrades!$Q$10,I56)*POWER(Upgrades!$Q$11,J56)*POWER(Upgrades!$Q$12,K56)*Parameters!$B$10*Parameters!$B$11</f>
        <v>378</v>
      </c>
      <c r="AD56" s="27" t="n">
        <f aca="false">(IF(H56=0,0,(Upgrades!$G$9+H56*Upgrades!$H$9)*POWER(Upgrades!$I$9,H56)))*(IF(Upgrades!$T$6="Magnetosphere",POWER(Upgrades!$U$6,E56),1)*IF(Upgrades!$T$7="Magnetosphere",POWER(Upgrades!$U$7,F56),1)*IF(Upgrades!$T$8="Magnetosphere",POWER(Upgrades!$U$8,G56),1)*IF(Upgrades!$T$10="Magnetosphere",POWER(Upgrades!$U$10,I56),1)*IF(Upgrades!$T$11="Magnetosphere",POWER(Upgrades!$U$11,J56),1)*IF(Upgrades!$T$12="Magnetosphere",POWER(Upgrades!$U$12,K56),1))*POWER(Upgrades!$P$6,E56)*POWER(Upgrades!$P$7,F56)*POWER(Upgrades!$P$8,G56)*POWER(Upgrades!$P$9,H56)*POWER(Upgrades!$P$10,I56)*POWER(Upgrades!$P$11,J56)*POWER(Upgrades!$P$12,K56)*60</f>
        <v>375</v>
      </c>
      <c r="AE56" s="27" t="n">
        <f aca="false">(IF(K56=0,0,(Upgrades!$G$12+K56*Upgrades!$H$12)*POWER(Upgrades!$I$12,K56)))*(IF(Upgrades!$T$6="First Photons",POWER(Upgrades!$U$6,E56),1)*IF(Upgrades!$T$7="First Photons",POWER(Upgrades!$U$7,F56),1)*IF(Upgrades!$T$8="First Photons",POWER(Upgrades!$U$8,G56),1)*IF(Upgrades!$T$9="First Photons",POWER(Upgrades!$U$9,H56),1)*IF(Upgrades!$T$10="First Photons",POWER(Upgrades!$U$10,I56),1)*IF(Upgrades!$T$11="First Photons",POWER(Upgrades!$U$11,J56),1))*POWER(Upgrades!$P$6,E56)*POWER(Upgrades!$P$7,F56)*POWER(Upgrades!$P$8,G56)*POWER(Upgrades!$P$9,H56)*POWER(Upgrades!$P$10,I56)*POWER(Upgrades!$P$11,J56)*POWER(Upgrades!$P$12,K56)*60</f>
        <v>75</v>
      </c>
      <c r="AF56" s="27" t="n">
        <f aca="false">Parameters!$B$9*POWER(Upgrades!$Q$6,E56)*POWER(Upgrades!$Q$7,F56)*POWER(Upgrades!$Q$8,G56)*POWER(Upgrades!$Q$9,H56)*POWER(Upgrades!$Q$10,I56)*POWER(Upgrades!$Q$11,J56)*POWER(Upgrades!$Q$12,K56)*(Parameters!$B$10*Parameters!$B$11+O56*60)</f>
        <v>120</v>
      </c>
      <c r="AG56" s="21" t="n">
        <f aca="false">IF(E56&gt;=Upgrades!$E$6,"",Upgrades!$C$6*POWER(Upgrades!$D$6,E56))</f>
        <v>28.3189041499553</v>
      </c>
      <c r="AH56" s="21" t="n">
        <f aca="false">IF(F56&gt;=Upgrades!$E$7,"",Upgrades!$C$7*POWER(Upgrades!$D$7,F56))</f>
        <v>70.3575258383984</v>
      </c>
      <c r="AI56" s="21" t="n">
        <f aca="false">IF(G56&gt;=Upgrades!$E$8,"",Upgrades!$C$8*POWER(Upgrades!$D$8,G56))</f>
        <v>165.649792</v>
      </c>
      <c r="AJ56" s="21" t="str">
        <f aca="false">IF(H56&gt;=Upgrades!$E$9,"",Upgrades!$C$9*POWER(Upgrades!$D$9,H56))</f>
        <v/>
      </c>
      <c r="AK56" s="21" t="str">
        <f aca="false">IF(I56&gt;=Upgrades!$E$10,"",Upgrades!$C$10*POWER(Upgrades!$D$10,I56))</f>
        <v/>
      </c>
      <c r="AL56" s="21" t="str">
        <f aca="false">IF(J56&gt;=Upgrades!$E$11,"",Upgrades!$C$11*POWER(Upgrades!$D$11,J56))</f>
        <v/>
      </c>
      <c r="AM56" s="21" t="str">
        <f aca="false">IF(K56&gt;=Upgrades!$E$12,"",Upgrades!$C$12*POWER(Upgrades!$D$12,K56))</f>
        <v/>
      </c>
      <c r="AN56" s="26" t="n">
        <f aca="false">IF(AND(D56&gt;=Parameters!$B$18,(H56&gt;=Upgrades!$E$9)*(K56&gt;=Upgrades!$E$12)=1,L56=0),1,"")</f>
        <v>1</v>
      </c>
      <c r="AO56" s="26" t="n">
        <f aca="false">IF(AND(D56&gt;=Parameters!$B$18,L56=0),1,"")</f>
        <v>1</v>
      </c>
      <c r="AP56" s="21" t="n">
        <f aca="false">MIN(IF(ISNUMBER(AK56),AK56,9000000000000000),IF(ISNUMBER(AL56),AL56,9000000000000000),IF(ISNUMBER(AM56),AM56,9000000000000000))</f>
        <v>9000000000000000</v>
      </c>
      <c r="AQ56" s="21" t="n">
        <f aca="false">MIN(IF(ISNUMBER(AG56),AG56,9000000000000000),IF(ISNUMBER(AH56),AH56,9000000000000000),IF(ISNUMBER(AI56),AI56,9000000000000000),IF(ISNUMBER(AJ56),AJ56,9000000000000000))</f>
        <v>28.3189041499553</v>
      </c>
      <c r="AR56" s="32" t="b">
        <f aca="false">IF(AW56&gt;Parameters!$B$21*(MAX(IF(AND(NOT(AND(AO56=1,AN56&lt;&gt;1)),ISNUMBER(AG56),AG56&lt;=T56),AS56,0),IF(AND(NOT(AND(AO56=1,AN56&lt;&gt;1)),ISNUMBER(AH56),AH56&lt;=T56),AT56,0),IF(AND(NOT(AND(AO56=1,AN56&lt;&gt;1)),ISNUMBER(AI56),AI56&lt;=T56),AU56,0),IF(AND(ISNUMBER(AJ56),AJ56&lt;=T56),AV56,0))),TRUE(),FALSE())</f>
        <v>0</v>
      </c>
      <c r="AS56" s="33" t="n">
        <f aca="false">IFERROR(Upgrades!$H$6*(POWER(Upgrades!$P$6,E56)*POWER(Upgrades!$P$7,F56)*POWER(Upgrades!$P$8,G56)*POWER(Upgrades!$P$9,H56)*POWER(Upgrades!$P$10,I56)*POWER(Upgrades!$P$11,J56)*POWER(Upgrades!$P$12,K56))*(IF(Upgrades!$T$7="Solar Wind",POWER(Upgrades!$U$7,F56),1)*IF(Upgrades!$T$8="Solar Wind",POWER(Upgrades!$U$8,G56),1)*IF(Upgrades!$T$9="Solar Wind",POWER(Upgrades!$U$9,H56),1)*IF(Upgrades!$T$10="Solar Wind",POWER(Upgrades!$U$10,I56),1)*IF(Upgrades!$T$11="Solar Wind",POWER(Upgrades!$U$11,J56),1)*IF(Upgrades!$T$12="Solar Wind",POWER(Upgrades!$U$12,K56),1))/AG56,0)</f>
        <v>0.00353121008745523</v>
      </c>
      <c r="AT56" s="33" t="n">
        <f aca="false">IFERROR(Upgrades!$H$7*(POWER(Upgrades!$P$6,E56)*POWER(Upgrades!$P$7,F56)*POWER(Upgrades!$P$8,G56)*POWER(Upgrades!$P$9,H56)*POWER(Upgrades!$P$10,I56)*POWER(Upgrades!$P$11,J56)*POWER(Upgrades!$P$12,K56))*(IF(Upgrades!$T$6="Asteroid Belt",POWER(Upgrades!$U$6,E56),1)*IF(Upgrades!$T$8="Asteroid Belt",POWER(Upgrades!$U$8,G56),1)*IF(Upgrades!$T$9="Asteroid Belt",POWER(Upgrades!$U$9,H56),1)*IF(Upgrades!$T$10="Asteroid Belt",POWER(Upgrades!$U$10,I56),1)*IF(Upgrades!$T$11="Asteroid Belt",POWER(Upgrades!$U$11,J56),1)*IF(Upgrades!$T$12="Asteroid Belt",POWER(Upgrades!$U$12,K56),1))/AH56,0)</f>
        <v>0.00355328015050182</v>
      </c>
      <c r="AU56" s="33" t="n">
        <f aca="false">IFERROR(Upgrades!$K$8*(POWER(Upgrades!$Q$6,E56)*POWER(Upgrades!$Q$7,F56)*POWER(Upgrades!$Q$8,G56)*POWER(Upgrades!$Q$9,H56)*POWER(Upgrades!$Q$10,I56)*POWER(Upgrades!$Q$11,J56)*POWER(Upgrades!$Q$12,K56))*(IF(Upgrades!$T$6="Stellar Coupling",POWER(Upgrades!$U$6,E56),1)*IF(Upgrades!$T$7="Stellar Coupling",POWER(Upgrades!$U$7,F56),1)*IF(Upgrades!$T$9="Stellar Coupling",POWER(Upgrades!$U$9,H56),1)*IF(Upgrades!$T$10="Stellar Coupling",POWER(Upgrades!$U$10,I56),1)*IF(Upgrades!$T$11="Stellar Coupling",POWER(Upgrades!$U$11,J56),1)*IF(Upgrades!$T$12="Stellar Coupling",POWER(Upgrades!$U$12,K56),1))*Parameters!$B$10*Parameters!$B$11/60/AI56,0)</f>
        <v>0.00633867382097287</v>
      </c>
      <c r="AV56" s="33" t="n">
        <f aca="false">IFERROR(Upgrades!$H$9*(POWER(Upgrades!$P$6,E56)*POWER(Upgrades!$P$7,F56)*POWER(Upgrades!$P$8,G56)*POWER(Upgrades!$P$9,H56)*POWER(Upgrades!$P$10,I56)*POWER(Upgrades!$P$11,J56)*POWER(Upgrades!$P$12,K56))*(IF(Upgrades!$T$6="Magnetosphere",POWER(Upgrades!$U$6,E56),1)*IF(Upgrades!$T$7="Magnetosphere",POWER(Upgrades!$U$7,F56),1)*IF(Upgrades!$T$8="Magnetosphere",POWER(Upgrades!$U$8,G56),1)*IF(Upgrades!$T$10="Magnetosphere",POWER(Upgrades!$U$10,I56),1)*IF(Upgrades!$T$11="Magnetosphere",POWER(Upgrades!$U$11,J56),1)*IF(Upgrades!$T$12="Magnetosphere",POWER(Upgrades!$U$12,K56),1))/AJ56,0)</f>
        <v>0</v>
      </c>
      <c r="AW56" s="33" t="n">
        <f aca="false">MAX(IF(I56&gt;0,0,IFERROR(0.25*N56/Upgrades!$C$10,0)),IF(J56&gt;0,0,IFERROR(0.5*((IF(G56=0,0,(Upgrades!$J$8+G56*Upgrades!$K$8)*POWER(Upgrades!$L$8,G56)))*(IF(Upgrades!$T$6="Stellar Coupling",POWER(Upgrades!$U$6,E56),1)*IF(Upgrades!$T$7="Stellar Coupling",POWER(Upgrades!$U$7,F56),1)*IF(Upgrades!$T$9="Stellar Coupling",POWER(Upgrades!$U$9,H56),1)*IF(Upgrades!$T$10="Stellar Coupling",POWER(Upgrades!$U$10,I56),1)*IF(Upgrades!$T$11="Stellar Coupling",POWER(Upgrades!$U$11,J56),1)*IF(Upgrades!$T$12="Stellar Coupling",POWER(Upgrades!$U$12,K56),1))*(POWER(Upgrades!$Q$6,E56)*POWER(Upgrades!$Q$7,F56)*POWER(Upgrades!$Q$8,G56)*POWER(Upgrades!$Q$9,H56)*POWER(Upgrades!$Q$10,I56)*POWER(Upgrades!$Q$11,J56)*POWER(Upgrades!$Q$12,K56))*Parameters!$B$10*Parameters!$B$11/60)/Upgrades!$C$11,0)),IF(K56&gt;0,0,IFERROR((1*(POWER(Upgrades!$P$6,E56)*POWER(Upgrades!$P$7,F56)*POWER(Upgrades!$P$8,G56)*POWER(Upgrades!$P$9,H56)*POWER(Upgrades!$P$10,I56)*POWER(Upgrades!$P$11,J56)*POWER(Upgrades!$P$12,K56))+0.2*M56*Parameters!$B$10*Parameters!$B$11/60)/Upgrades!$C$12,0)),IF(AND(ISNUMBER(AG56),AG56&gt;T56),AS56,0),IF(AND(ISNUMBER(AH56),AH56&gt;T56),AT56,0),IF(AND(ISNUMBER(AI56),AI56&gt;T56),AU56,0),IF(AND(ISNUMBER(AJ56),AJ56&gt;T56),AV56,0))</f>
        <v>0</v>
      </c>
      <c r="AX56" s="29" t="str">
        <f aca="false">IF(AN56=1,"transition",IF(MIN(IF(AND(I56=0,ISNUMBER(AK56),AK56&lt;=T56),AK56,9000000000000000),IF(AND(J56=0,ISNUMBER(AL56),AL56&lt;=T56),AL56,9000000000000000),IF(AND(K56=0,ISNUMBER(AM56),AM56&lt;=T56),AM56,9000000000000000))&lt;9000000000000000,IF(AND(AND(I56=0,ISNUMBER(AK56),AK56&lt;=T56),AK56=MIN(IF(AND(I56=0,ISNUMBER(AK56),AK56&lt;=T56),AK56,9000000000000000),IF(AND(J56=0,ISNUMBER(AL56),AL56&lt;=T56),AL56,9000000000000000),IF(AND(K56=0,ISNUMBER(AM56),AM56&lt;=T56),AM56,9000000000000000))),"OR",IF(AND(AND(J56=0,ISNUMBER(AL56),AL56&lt;=T56),AL56=MIN(IF(AND(I56=0,ISNUMBER(AK56),AK56&lt;=T56),AK56,9000000000000000),IF(AND(J56=0,ISNUMBER(AL56),AL56&lt;=T56),AL56,9000000000000000),IF(AND(K56=0,ISNUMBER(AM56),AM56&lt;=T56),AM56,9000000000000000))),"HP","FP")),IF(AR56=TRUE(),"",IF(MAX(IF(AND(NOT(AND(AO56=1,AN56&lt;&gt;1)),ISNUMBER(AG56),AG56&lt;=T56),AS56,0),IF(AND(NOT(AND(AO56=1,AN56&lt;&gt;1)),ISNUMBER(AH56),AH56&lt;=T56),AT56,0),IF(AND(NOT(AND(AO56=1,AN56&lt;&gt;1)),ISNUMBER(AI56),AI56&lt;=T56),AU56,0),IF(AND(ISNUMBER(AJ56),AJ56&lt;=T56),AV56,0))&lt;=0,"",IF(AND(IF(AND(NOT(AND(AO56=1,AN56&lt;&gt;1)),ISNUMBER(AG56),AG56&lt;=T56),AS56,0)&gt;0,IF(AND(NOT(AND(AO56=1,AN56&lt;&gt;1)),ISNUMBER(AG56),AG56&lt;=T56),AS56,0)=MAX(IF(AND(NOT(AND(AO56=1,AN56&lt;&gt;1)),ISNUMBER(AG56),AG56&lt;=T56),AS56,0),IF(AND(NOT(AND(AO56=1,AN56&lt;&gt;1)),ISNUMBER(AH56),AH56&lt;=T56),AT56,0),IF(AND(NOT(AND(AO56=1,AN56&lt;&gt;1)),ISNUMBER(AI56),AI56&lt;=T56),AU56,0),IF(AND(ISNUMBER(AJ56),AJ56&lt;=T56),AV56,0))),"SW",IF(AND(IF(AND(NOT(AND(AO56=1,AN56&lt;&gt;1)),ISNUMBER(AH56),AH56&lt;=T56),AT56,0)&gt;0,IF(AND(NOT(AND(AO56=1,AN56&lt;&gt;1)),ISNUMBER(AH56),AH56&lt;=T56),AT56,0)=MAX(IF(AND(NOT(AND(AO56=1,AN56&lt;&gt;1)),ISNUMBER(AG56),AG56&lt;=T56),AS56,0),IF(AND(NOT(AND(AO56=1,AN56&lt;&gt;1)),ISNUMBER(AH56),AH56&lt;=T56),AT56,0),IF(AND(NOT(AND(AO56=1,AN56&lt;&gt;1)),ISNUMBER(AI56),AI56&lt;=T56),AU56,0),IF(AND(ISNUMBER(AJ56),AJ56&lt;=T56),AV56,0))),"AB",IF(AND(IF(AND(NOT(AND(AO56=1,AN56&lt;&gt;1)),ISNUMBER(AI56),AI56&lt;=T56),AU56,0)&gt;0,IF(AND(NOT(AND(AO56=1,AN56&lt;&gt;1)),ISNUMBER(AI56),AI56&lt;=T56),AU56,0)=MAX(IF(AND(NOT(AND(AO56=1,AN56&lt;&gt;1)),ISNUMBER(AG56),AG56&lt;=T56),AS56,0),IF(AND(NOT(AND(AO56=1,AN56&lt;&gt;1)),ISNUMBER(AH56),AH56&lt;=T56),AT56,0),IF(AND(NOT(AND(AO56=1,AN56&lt;&gt;1)),ISNUMBER(AI56),AI56&lt;=T56),AU56,0),IF(AND(ISNUMBER(AJ56),AJ56&lt;=T56),AV56,0))),"SC","Mag")))))))</f>
        <v>transition</v>
      </c>
    </row>
    <row r="57" customFormat="false" ht="15" hidden="false" customHeight="false" outlineLevel="0" collapsed="false">
      <c r="A57" s="26" t="n">
        <v>52</v>
      </c>
      <c r="B57" s="27" t="n">
        <f aca="false">A57*10/60</f>
        <v>8.66666666666667</v>
      </c>
      <c r="C57" s="21" t="n">
        <f aca="false">X56</f>
        <v>315.565986744308</v>
      </c>
      <c r="D57" s="27" t="n">
        <f aca="false">D56+W56</f>
        <v>0</v>
      </c>
      <c r="E57" s="26" t="n">
        <f aca="false">E56+IF(U56="SW",1,0)</f>
        <v>10</v>
      </c>
      <c r="F57" s="26" t="n">
        <f aca="false">F56+IF(U56="AB",1,0)</f>
        <v>9</v>
      </c>
      <c r="G57" s="26" t="n">
        <f aca="false">G56+IF(U56="SC",1,0)</f>
        <v>6</v>
      </c>
      <c r="H57" s="26" t="n">
        <f aca="false">H56+IF(U56="Mag",1,0)</f>
        <v>5</v>
      </c>
      <c r="I57" s="26" t="n">
        <f aca="false">MAX(I56,IF(U56="OR",1,0))</f>
        <v>1</v>
      </c>
      <c r="J57" s="26" t="n">
        <f aca="false">MAX(J56,IF(U56="HP",1,0))</f>
        <v>1</v>
      </c>
      <c r="K57" s="26" t="n">
        <f aca="false">MAX(K56,IF(U56="FP",1,0))</f>
        <v>1</v>
      </c>
      <c r="L57" s="26" t="n">
        <f aca="false">MAX(L56,IF(U56="transition",1,0))</f>
        <v>1</v>
      </c>
      <c r="M57" s="28" t="n">
        <f aca="false">(Parameters!$B$9+(IF(E57=0,0,(Upgrades!$J$6+E57*Upgrades!$K$6)*POWER(Upgrades!$L$6,E57)))*(IF(Upgrades!$T$7="Solar Wind",POWER(Upgrades!$U$7,F57),1)*IF(Upgrades!$T$8="Solar Wind",POWER(Upgrades!$U$8,G57),1)*IF(Upgrades!$T$9="Solar Wind",POWER(Upgrades!$U$9,H57),1)*IF(Upgrades!$T$10="Solar Wind",POWER(Upgrades!$U$10,I57),1)*IF(Upgrades!$T$11="Solar Wind",POWER(Upgrades!$U$11,J57),1)*IF(Upgrades!$T$12="Solar Wind",POWER(Upgrades!$U$12,K57),1))+(IF(F57=0,0,(Upgrades!$J$7+F57*Upgrades!$K$7)*POWER(Upgrades!$L$7,F57)))*(IF(Upgrades!$T$6="Asteroid Belt",POWER(Upgrades!$U$6,E57),1)*IF(Upgrades!$T$8="Asteroid Belt",POWER(Upgrades!$U$8,G57),1)*IF(Upgrades!$T$9="Asteroid Belt",POWER(Upgrades!$U$9,H57),1)*IF(Upgrades!$T$10="Asteroid Belt",POWER(Upgrades!$U$10,I57),1)*IF(Upgrades!$T$11="Asteroid Belt",POWER(Upgrades!$U$11,J57),1)*IF(Upgrades!$T$12="Asteroid Belt",POWER(Upgrades!$U$12,K57),1))+(IF(G57=0,0,(Upgrades!$J$8+G57*Upgrades!$K$8)*POWER(Upgrades!$L$8,G57)))*(IF(Upgrades!$T$6="Stellar Coupling",POWER(Upgrades!$U$6,E57),1)*IF(Upgrades!$T$7="Stellar Coupling",POWER(Upgrades!$U$7,F57),1)*IF(Upgrades!$T$9="Stellar Coupling",POWER(Upgrades!$U$9,H57),1)*IF(Upgrades!$T$10="Stellar Coupling",POWER(Upgrades!$U$10,I57),1)*IF(Upgrades!$T$11="Stellar Coupling",POWER(Upgrades!$U$11,J57),1)*IF(Upgrades!$T$12="Stellar Coupling",POWER(Upgrades!$U$12,K57),1))+(IF(H57=0,0,(Upgrades!$J$9+H57*Upgrades!$K$9)*POWER(Upgrades!$L$9,H57)))*(IF(Upgrades!$T$6="Magnetosphere",POWER(Upgrades!$U$6,E57),1)*IF(Upgrades!$T$7="Magnetosphere",POWER(Upgrades!$U$7,F57),1)*IF(Upgrades!$T$8="Magnetosphere",POWER(Upgrades!$U$8,G57),1)*IF(Upgrades!$T$10="Magnetosphere",POWER(Upgrades!$U$10,I57),1)*IF(Upgrades!$T$11="Magnetosphere",POWER(Upgrades!$U$11,J57),1)*IF(Upgrades!$T$12="Magnetosphere",POWER(Upgrades!$U$12,K57),1))+(IF(I57=0,0,(Upgrades!$J$10+I57*Upgrades!$K$10)*POWER(Upgrades!$L$10,I57)))*(IF(Upgrades!$T$6="Orbital Resonance",POWER(Upgrades!$U$6,E57),1)*IF(Upgrades!$T$7="Orbital Resonance",POWER(Upgrades!$U$7,F57),1)*IF(Upgrades!$T$8="Orbital Resonance",POWER(Upgrades!$U$8,G57),1)*IF(Upgrades!$T$9="Orbital Resonance",POWER(Upgrades!$U$9,H57),1)*IF(Upgrades!$T$11="Orbital Resonance",POWER(Upgrades!$U$11,J57),1)*IF(Upgrades!$T$12="Orbital Resonance",POWER(Upgrades!$U$12,K57),1))+(IF(J57=0,0,(Upgrades!$J$11+J57*Upgrades!$K$11)*POWER(Upgrades!$L$11,J57)))*(IF(Upgrades!$T$6="Heliopause",POWER(Upgrades!$U$6,E57),1)*IF(Upgrades!$T$7="Heliopause",POWER(Upgrades!$U$7,F57),1)*IF(Upgrades!$T$8="Heliopause",POWER(Upgrades!$U$8,G57),1)*IF(Upgrades!$T$9="Heliopause",POWER(Upgrades!$U$9,H57),1)*IF(Upgrades!$T$10="Heliopause",POWER(Upgrades!$U$10,I57),1)*IF(Upgrades!$T$12="Heliopause",POWER(Upgrades!$U$12,K57),1))+(IF(K57=0,0,(Upgrades!$J$12+K57*Upgrades!$K$12)*POWER(Upgrades!$L$12,K57)))*(IF(Upgrades!$T$6="First Photons",POWER(Upgrades!$U$6,E57),1)*IF(Upgrades!$T$7="First Photons",POWER(Upgrades!$U$7,F57),1)*IF(Upgrades!$T$8="First Photons",POWER(Upgrades!$U$8,G57),1)*IF(Upgrades!$T$9="First Photons",POWER(Upgrades!$U$9,H57),1)*IF(Upgrades!$T$10="First Photons",POWER(Upgrades!$U$10,I57),1)*IF(Upgrades!$T$11="First Photons",POWER(Upgrades!$U$11,J57),1)))*POWER(Upgrades!$Q$6,E57)*POWER(Upgrades!$Q$7,F57)*POWER(Upgrades!$Q$8,G57)*POWER(Upgrades!$Q$9,H57)*POWER(Upgrades!$Q$10,I57)*POWER(Upgrades!$Q$11,J57)*POWER(Upgrades!$Q$12,K57)</f>
        <v>4.98</v>
      </c>
      <c r="N57" s="28" t="n">
        <f aca="false">((IF(E57=0,0,(Upgrades!$G$6+E57*Upgrades!$H$6)*POWER(Upgrades!$I$6,E57)))*(IF(Upgrades!$T$7="Solar Wind",POWER(Upgrades!$U$7,F57),1)*IF(Upgrades!$T$8="Solar Wind",POWER(Upgrades!$U$8,G57),1)*IF(Upgrades!$T$9="Solar Wind",POWER(Upgrades!$U$9,H57),1)*IF(Upgrades!$T$10="Solar Wind",POWER(Upgrades!$U$10,I57),1)*IF(Upgrades!$T$11="Solar Wind",POWER(Upgrades!$U$11,J57),1)*IF(Upgrades!$T$12="Solar Wind",POWER(Upgrades!$U$12,K57),1))+(IF(F57=0,0,(Upgrades!$G$7+F57*Upgrades!$H$7)*POWER(Upgrades!$I$7,F57)))*(IF(Upgrades!$T$6="Asteroid Belt",POWER(Upgrades!$U$6,E57),1)*IF(Upgrades!$T$8="Asteroid Belt",POWER(Upgrades!$U$8,G57),1)*IF(Upgrades!$T$9="Asteroid Belt",POWER(Upgrades!$U$9,H57),1)*IF(Upgrades!$T$10="Asteroid Belt",POWER(Upgrades!$U$10,I57),1)*IF(Upgrades!$T$11="Asteroid Belt",POWER(Upgrades!$U$11,J57),1)*IF(Upgrades!$T$12="Asteroid Belt",POWER(Upgrades!$U$12,K57),1))+(IF(G57=0,0,(Upgrades!$G$8+G57*Upgrades!$H$8)*POWER(Upgrades!$I$8,G57)))*(IF(Upgrades!$T$6="Stellar Coupling",POWER(Upgrades!$U$6,E57),1)*IF(Upgrades!$T$7="Stellar Coupling",POWER(Upgrades!$U$7,F57),1)*IF(Upgrades!$T$9="Stellar Coupling",POWER(Upgrades!$U$9,H57),1)*IF(Upgrades!$T$10="Stellar Coupling",POWER(Upgrades!$U$10,I57),1)*IF(Upgrades!$T$11="Stellar Coupling",POWER(Upgrades!$U$11,J57),1)*IF(Upgrades!$T$12="Stellar Coupling",POWER(Upgrades!$U$12,K57),1))+(IF(H57=0,0,(Upgrades!$G$9+H57*Upgrades!$H$9)*POWER(Upgrades!$I$9,H57)))*(IF(Upgrades!$T$6="Magnetosphere",POWER(Upgrades!$U$6,E57),1)*IF(Upgrades!$T$7="Magnetosphere",POWER(Upgrades!$U$7,F57),1)*IF(Upgrades!$T$8="Magnetosphere",POWER(Upgrades!$U$8,G57),1)*IF(Upgrades!$T$10="Magnetosphere",POWER(Upgrades!$U$10,I57),1)*IF(Upgrades!$T$11="Magnetosphere",POWER(Upgrades!$U$11,J57),1)*IF(Upgrades!$T$12="Magnetosphere",POWER(Upgrades!$U$12,K57),1))+(IF(I57=0,0,(Upgrades!$G$10+I57*Upgrades!$H$10)*POWER(Upgrades!$I$10,I57)))*(IF(Upgrades!$T$6="Orbital Resonance",POWER(Upgrades!$U$6,E57),1)*IF(Upgrades!$T$7="Orbital Resonance",POWER(Upgrades!$U$7,F57),1)*IF(Upgrades!$T$8="Orbital Resonance",POWER(Upgrades!$U$8,G57),1)*IF(Upgrades!$T$9="Orbital Resonance",POWER(Upgrades!$U$9,H57),1)*IF(Upgrades!$T$11="Orbital Resonance",POWER(Upgrades!$U$11,J57),1)*IF(Upgrades!$T$12="Orbital Resonance",POWER(Upgrades!$U$12,K57),1))+(IF(J57=0,0,(Upgrades!$G$11+J57*Upgrades!$H$11)*POWER(Upgrades!$I$11,J57)))*(IF(Upgrades!$T$6="Heliopause",POWER(Upgrades!$U$6,E57),1)*IF(Upgrades!$T$7="Heliopause",POWER(Upgrades!$U$7,F57),1)*IF(Upgrades!$T$8="Heliopause",POWER(Upgrades!$U$8,G57),1)*IF(Upgrades!$T$9="Heliopause",POWER(Upgrades!$U$9,H57),1)*IF(Upgrades!$T$10="Heliopause",POWER(Upgrades!$U$10,I57),1)*IF(Upgrades!$T$12="Heliopause",POWER(Upgrades!$U$12,K57),1))+(IF(K57=0,0,(Upgrades!$G$12+K57*Upgrades!$H$12)*POWER(Upgrades!$I$12,K57)))*(IF(Upgrades!$T$6="First Photons",POWER(Upgrades!$U$6,E57),1)*IF(Upgrades!$T$7="First Photons",POWER(Upgrades!$U$7,F57),1)*IF(Upgrades!$T$8="First Photons",POWER(Upgrades!$U$8,G57),1)*IF(Upgrades!$T$9="First Photons",POWER(Upgrades!$U$9,H57),1)*IF(Upgrades!$T$10="First Photons",POWER(Upgrades!$U$10,I57),1)*IF(Upgrades!$T$11="First Photons",POWER(Upgrades!$U$11,J57),1)))*POWER(Upgrades!$P$6,E57)*POWER(Upgrades!$P$7,F57)*POWER(Upgrades!$P$8,G57)*POWER(Upgrades!$P$9,H57)*POWER(Upgrades!$P$10,I57)*POWER(Upgrades!$P$11,J57)*POWER(Upgrades!$P$12,K57)</f>
        <v>10.75</v>
      </c>
      <c r="O57" s="28" t="n">
        <f aca="false">((IF(E57=0,0,(Upgrades!$M$6+E57*Upgrades!$N$6)*POWER(Upgrades!$O$6,E57)))*(IF(Upgrades!$T$7="Solar Wind",POWER(Upgrades!$U$7,F57),1)*IF(Upgrades!$T$8="Solar Wind",POWER(Upgrades!$U$8,G57),1)*IF(Upgrades!$T$9="Solar Wind",POWER(Upgrades!$U$9,H57),1)*IF(Upgrades!$T$10="Solar Wind",POWER(Upgrades!$U$10,I57),1)*IF(Upgrades!$T$11="Solar Wind",POWER(Upgrades!$U$11,J57),1)*IF(Upgrades!$T$12="Solar Wind",POWER(Upgrades!$U$12,K57),1))+(IF(F57=0,0,(Upgrades!$M$7+F57*Upgrades!$N$7)*POWER(Upgrades!$O$7,F57)))*(IF(Upgrades!$T$6="Asteroid Belt",POWER(Upgrades!$U$6,E57),1)*IF(Upgrades!$T$8="Asteroid Belt",POWER(Upgrades!$U$8,G57),1)*IF(Upgrades!$T$9="Asteroid Belt",POWER(Upgrades!$U$9,H57),1)*IF(Upgrades!$T$10="Asteroid Belt",POWER(Upgrades!$U$10,I57),1)*IF(Upgrades!$T$11="Asteroid Belt",POWER(Upgrades!$U$11,J57),1)*IF(Upgrades!$T$12="Asteroid Belt",POWER(Upgrades!$U$12,K57),1))+(IF(G57=0,0,(Upgrades!$M$8+G57*Upgrades!$N$8)*POWER(Upgrades!$O$8,G57)))*(IF(Upgrades!$T$6="Stellar Coupling",POWER(Upgrades!$U$6,E57),1)*IF(Upgrades!$T$7="Stellar Coupling",POWER(Upgrades!$U$7,F57),1)*IF(Upgrades!$T$9="Stellar Coupling",POWER(Upgrades!$U$9,H57),1)*IF(Upgrades!$T$10="Stellar Coupling",POWER(Upgrades!$U$10,I57),1)*IF(Upgrades!$T$11="Stellar Coupling",POWER(Upgrades!$U$11,J57),1)*IF(Upgrades!$T$12="Stellar Coupling",POWER(Upgrades!$U$12,K57),1))+(IF(H57=0,0,(Upgrades!$M$9+H57*Upgrades!$N$9)*POWER(Upgrades!$O$9,H57)))*(IF(Upgrades!$T$6="Magnetosphere",POWER(Upgrades!$U$6,E57),1)*IF(Upgrades!$T$7="Magnetosphere",POWER(Upgrades!$U$7,F57),1)*IF(Upgrades!$T$8="Magnetosphere",POWER(Upgrades!$U$8,G57),1)*IF(Upgrades!$T$10="Magnetosphere",POWER(Upgrades!$U$10,I57),1)*IF(Upgrades!$T$11="Magnetosphere",POWER(Upgrades!$U$11,J57),1)*IF(Upgrades!$T$12="Magnetosphere",POWER(Upgrades!$U$12,K57),1))+(IF(I57=0,0,(Upgrades!$M$10+I57*Upgrades!$N$10)*POWER(Upgrades!$O$10,I57)))*(IF(Upgrades!$T$6="Orbital Resonance",POWER(Upgrades!$U$6,E57),1)*IF(Upgrades!$T$7="Orbital Resonance",POWER(Upgrades!$U$7,F57),1)*IF(Upgrades!$T$8="Orbital Resonance",POWER(Upgrades!$U$8,G57),1)*IF(Upgrades!$T$9="Orbital Resonance",POWER(Upgrades!$U$9,H57),1)*IF(Upgrades!$T$11="Orbital Resonance",POWER(Upgrades!$U$11,J57),1)*IF(Upgrades!$T$12="Orbital Resonance",POWER(Upgrades!$U$12,K57),1))+(IF(J57=0,0,(Upgrades!$M$11+J57*Upgrades!$N$11)*POWER(Upgrades!$O$11,J57)))*(IF(Upgrades!$T$6="Heliopause",POWER(Upgrades!$U$6,E57),1)*IF(Upgrades!$T$7="Heliopause",POWER(Upgrades!$U$7,F57),1)*IF(Upgrades!$T$8="Heliopause",POWER(Upgrades!$U$8,G57),1)*IF(Upgrades!$T$9="Heliopause",POWER(Upgrades!$U$9,H57),1)*IF(Upgrades!$T$10="Heliopause",POWER(Upgrades!$U$10,I57),1)*IF(Upgrades!$T$12="Heliopause",POWER(Upgrades!$U$12,K57),1))+(IF(K57=0,0,(Upgrades!$M$12+K57*Upgrades!$N$12)*POWER(Upgrades!$O$12,K57)))*(IF(Upgrades!$T$6="First Photons",POWER(Upgrades!$U$6,E57),1)*IF(Upgrades!$T$7="First Photons",POWER(Upgrades!$U$7,F57),1)*IF(Upgrades!$T$8="First Photons",POWER(Upgrades!$U$8,G57),1)*IF(Upgrades!$T$9="First Photons",POWER(Upgrades!$U$9,H57),1)*IF(Upgrades!$T$10="First Photons",POWER(Upgrades!$U$10,I57),1)*IF(Upgrades!$T$11="First Photons",POWER(Upgrades!$U$11,J57),1)))*POWER(Upgrades!$R$6,E57)*POWER(Upgrades!$R$7,F57)*POWER(Upgrades!$R$8,G57)*POWER(Upgrades!$R$9,H57)*POWER(Upgrades!$R$10,I57)*POWER(Upgrades!$R$11,J57)*POWER(Upgrades!$R$12,K57)</f>
        <v>0</v>
      </c>
      <c r="P57" s="27" t="n">
        <f aca="false">IF(L57=1,0,M57*Parameters!$B$10/60*Parameters!$B$11*10)</f>
        <v>0</v>
      </c>
      <c r="Q57" s="27" t="n">
        <f aca="false">IF(L57=1,0,O57*M57*10)</f>
        <v>0</v>
      </c>
      <c r="R57" s="27" t="n">
        <f aca="false">IF(L57=1,0,N57*10)</f>
        <v>0</v>
      </c>
      <c r="S57" s="27" t="n">
        <f aca="false">P57+Q57+R57</f>
        <v>0</v>
      </c>
      <c r="T57" s="21" t="n">
        <f aca="false">C57+S57</f>
        <v>315.565986744308</v>
      </c>
      <c r="U57" s="34" t="str">
        <f aca="false">AX57</f>
        <v>SC</v>
      </c>
      <c r="V57" s="21" t="n">
        <f aca="false">IF(U57="",0,IF(U57="transition",0,IF(U57="SW",AG57,IF(U57="AB",AH57,IF(U57="SC",AI57,IF(U57="Mag",AJ57,IF(U57="OR",AK57,IF(U57="HP",AL57,IF(U57="FP",AM57,0)))))))))</f>
        <v>165.649792</v>
      </c>
      <c r="W57" s="27" t="n">
        <f aca="false">IF(U57="OR",Upgrades!$F$10,IF(U57="HP",Upgrades!$F$11,IF(U57="transition",-Parameters!$B$18,0)))</f>
        <v>0</v>
      </c>
      <c r="X57" s="21" t="n">
        <f aca="false">T57-V57</f>
        <v>149.916194744308</v>
      </c>
      <c r="Y57" s="30" t="n">
        <f aca="false">M57*Parameters!$B$10/60*Parameters!$B$11+O57*M57+N57</f>
        <v>19.05</v>
      </c>
      <c r="Z57" s="35" t="str">
        <f aca="false">IF(U57="transition","→ Tier 2 (Stellar Neighborhood)",IF(U57="FP","First Photons — light begins, system quickens",IF(U57="HP","Heliopause acquired",IF(U57="OR","Orbital Resonance — passive multiplier active",IF(AND(AO57=1,L57=0,AN57&lt;&gt;1),"Cohesion ready (waiting on completionist upgrades)","")))))</f>
        <v/>
      </c>
      <c r="AA57" s="27" t="n">
        <f aca="false">(IF(E57=0,0,(Upgrades!$G$6+E57*Upgrades!$H$6)*POWER(Upgrades!$I$6,E57)))*(IF(Upgrades!$T$7="Solar Wind",POWER(Upgrades!$U$7,F57),1)*IF(Upgrades!$T$8="Solar Wind",POWER(Upgrades!$U$8,G57),1)*IF(Upgrades!$T$9="Solar Wind",POWER(Upgrades!$U$9,H57),1)*IF(Upgrades!$T$10="Solar Wind",POWER(Upgrades!$U$10,I57),1)*IF(Upgrades!$T$11="Solar Wind",POWER(Upgrades!$U$11,J57),1)*IF(Upgrades!$T$12="Solar Wind",POWER(Upgrades!$U$12,K57),1))*POWER(Upgrades!$P$6,E57)*POWER(Upgrades!$P$7,F57)*POWER(Upgrades!$P$8,G57)*POWER(Upgrades!$P$9,H57)*POWER(Upgrades!$P$10,I57)*POWER(Upgrades!$P$11,J57)*POWER(Upgrades!$P$12,K57)*60</f>
        <v>60</v>
      </c>
      <c r="AB57" s="27" t="n">
        <f aca="false">(IF(F57=0,0,(Upgrades!$G$7+F57*Upgrades!$H$7)*POWER(Upgrades!$I$7,F57)))*(IF(Upgrades!$T$6="Asteroid Belt",POWER(Upgrades!$U$6,E57),1)*IF(Upgrades!$T$8="Asteroid Belt",POWER(Upgrades!$U$8,G57),1)*IF(Upgrades!$T$9="Asteroid Belt",POWER(Upgrades!$U$9,H57),1)*IF(Upgrades!$T$10="Asteroid Belt",POWER(Upgrades!$U$10,I57),1)*IF(Upgrades!$T$11="Asteroid Belt",POWER(Upgrades!$U$11,J57),1)*IF(Upgrades!$T$12="Asteroid Belt",POWER(Upgrades!$U$12,K57),1))*POWER(Upgrades!$P$6,E57)*POWER(Upgrades!$P$7,F57)*POWER(Upgrades!$P$8,G57)*POWER(Upgrades!$P$9,H57)*POWER(Upgrades!$P$10,I57)*POWER(Upgrades!$P$11,J57)*POWER(Upgrades!$P$12,K57)*60</f>
        <v>135</v>
      </c>
      <c r="AC57" s="27" t="n">
        <f aca="false">(IF(G57=0,0,(Upgrades!$J$8+G57*Upgrades!$K$8)*POWER(Upgrades!$L$8,G57)))*(IF(Upgrades!$T$6="Stellar Coupling",POWER(Upgrades!$U$6,E57),1)*IF(Upgrades!$T$7="Stellar Coupling",POWER(Upgrades!$U$7,F57),1)*IF(Upgrades!$T$9="Stellar Coupling",POWER(Upgrades!$U$9,H57),1)*IF(Upgrades!$T$10="Stellar Coupling",POWER(Upgrades!$U$10,I57),1)*IF(Upgrades!$T$11="Stellar Coupling",POWER(Upgrades!$U$11,J57),1)*IF(Upgrades!$T$12="Stellar Coupling",POWER(Upgrades!$U$12,K57),1))*POWER(Upgrades!$Q$6,E57)*POWER(Upgrades!$Q$7,F57)*POWER(Upgrades!$Q$8,G57)*POWER(Upgrades!$Q$9,H57)*POWER(Upgrades!$Q$10,I57)*POWER(Upgrades!$Q$11,J57)*POWER(Upgrades!$Q$12,K57)*Parameters!$B$10*Parameters!$B$11</f>
        <v>378</v>
      </c>
      <c r="AD57" s="27" t="n">
        <f aca="false">(IF(H57=0,0,(Upgrades!$G$9+H57*Upgrades!$H$9)*POWER(Upgrades!$I$9,H57)))*(IF(Upgrades!$T$6="Magnetosphere",POWER(Upgrades!$U$6,E57),1)*IF(Upgrades!$T$7="Magnetosphere",POWER(Upgrades!$U$7,F57),1)*IF(Upgrades!$T$8="Magnetosphere",POWER(Upgrades!$U$8,G57),1)*IF(Upgrades!$T$10="Magnetosphere",POWER(Upgrades!$U$10,I57),1)*IF(Upgrades!$T$11="Magnetosphere",POWER(Upgrades!$U$11,J57),1)*IF(Upgrades!$T$12="Magnetosphere",POWER(Upgrades!$U$12,K57),1))*POWER(Upgrades!$P$6,E57)*POWER(Upgrades!$P$7,F57)*POWER(Upgrades!$P$8,G57)*POWER(Upgrades!$P$9,H57)*POWER(Upgrades!$P$10,I57)*POWER(Upgrades!$P$11,J57)*POWER(Upgrades!$P$12,K57)*60</f>
        <v>375</v>
      </c>
      <c r="AE57" s="27" t="n">
        <f aca="false">(IF(K57=0,0,(Upgrades!$G$12+K57*Upgrades!$H$12)*POWER(Upgrades!$I$12,K57)))*(IF(Upgrades!$T$6="First Photons",POWER(Upgrades!$U$6,E57),1)*IF(Upgrades!$T$7="First Photons",POWER(Upgrades!$U$7,F57),1)*IF(Upgrades!$T$8="First Photons",POWER(Upgrades!$U$8,G57),1)*IF(Upgrades!$T$9="First Photons",POWER(Upgrades!$U$9,H57),1)*IF(Upgrades!$T$10="First Photons",POWER(Upgrades!$U$10,I57),1)*IF(Upgrades!$T$11="First Photons",POWER(Upgrades!$U$11,J57),1))*POWER(Upgrades!$P$6,E57)*POWER(Upgrades!$P$7,F57)*POWER(Upgrades!$P$8,G57)*POWER(Upgrades!$P$9,H57)*POWER(Upgrades!$P$10,I57)*POWER(Upgrades!$P$11,J57)*POWER(Upgrades!$P$12,K57)*60</f>
        <v>75</v>
      </c>
      <c r="AF57" s="27" t="n">
        <f aca="false">Parameters!$B$9*POWER(Upgrades!$Q$6,E57)*POWER(Upgrades!$Q$7,F57)*POWER(Upgrades!$Q$8,G57)*POWER(Upgrades!$Q$9,H57)*POWER(Upgrades!$Q$10,I57)*POWER(Upgrades!$Q$11,J57)*POWER(Upgrades!$Q$12,K57)*(Parameters!$B$10*Parameters!$B$11+O57*60)</f>
        <v>120</v>
      </c>
      <c r="AG57" s="21" t="n">
        <f aca="false">IF(E57&gt;=Upgrades!$E$6,"",Upgrades!$C$6*POWER(Upgrades!$D$6,E57))</f>
        <v>28.3189041499553</v>
      </c>
      <c r="AH57" s="21" t="n">
        <f aca="false">IF(F57&gt;=Upgrades!$E$7,"",Upgrades!$C$7*POWER(Upgrades!$D$7,F57))</f>
        <v>70.3575258383984</v>
      </c>
      <c r="AI57" s="21" t="n">
        <f aca="false">IF(G57&gt;=Upgrades!$E$8,"",Upgrades!$C$8*POWER(Upgrades!$D$8,G57))</f>
        <v>165.649792</v>
      </c>
      <c r="AJ57" s="21" t="str">
        <f aca="false">IF(H57&gt;=Upgrades!$E$9,"",Upgrades!$C$9*POWER(Upgrades!$D$9,H57))</f>
        <v/>
      </c>
      <c r="AK57" s="21" t="str">
        <f aca="false">IF(I57&gt;=Upgrades!$E$10,"",Upgrades!$C$10*POWER(Upgrades!$D$10,I57))</f>
        <v/>
      </c>
      <c r="AL57" s="21" t="str">
        <f aca="false">IF(J57&gt;=Upgrades!$E$11,"",Upgrades!$C$11*POWER(Upgrades!$D$11,J57))</f>
        <v/>
      </c>
      <c r="AM57" s="21" t="str">
        <f aca="false">IF(K57&gt;=Upgrades!$E$12,"",Upgrades!$C$12*POWER(Upgrades!$D$12,K57))</f>
        <v/>
      </c>
      <c r="AN57" s="26" t="str">
        <f aca="false">IF(AND(D57&gt;=Parameters!$B$18,(H57&gt;=Upgrades!$E$9)*(K57&gt;=Upgrades!$E$12)=1,L57=0),1,"")</f>
        <v/>
      </c>
      <c r="AO57" s="26" t="str">
        <f aca="false">IF(AND(D57&gt;=Parameters!$B$18,L57=0),1,"")</f>
        <v/>
      </c>
      <c r="AP57" s="21" t="n">
        <f aca="false">MIN(IF(ISNUMBER(AK57),AK57,9000000000000000),IF(ISNUMBER(AL57),AL57,9000000000000000),IF(ISNUMBER(AM57),AM57,9000000000000000))</f>
        <v>9000000000000000</v>
      </c>
      <c r="AQ57" s="21" t="n">
        <f aca="false">MIN(IF(ISNUMBER(AG57),AG57,9000000000000000),IF(ISNUMBER(AH57),AH57,9000000000000000),IF(ISNUMBER(AI57),AI57,9000000000000000),IF(ISNUMBER(AJ57),AJ57,9000000000000000))</f>
        <v>28.3189041499553</v>
      </c>
      <c r="AR57" s="32" t="b">
        <f aca="false">IF(AW57&gt;Parameters!$B$21*(MAX(IF(AND(NOT(AND(AO57=1,AN57&lt;&gt;1)),ISNUMBER(AG57),AG57&lt;=T57),AS57,0),IF(AND(NOT(AND(AO57=1,AN57&lt;&gt;1)),ISNUMBER(AH57),AH57&lt;=T57),AT57,0),IF(AND(NOT(AND(AO57=1,AN57&lt;&gt;1)),ISNUMBER(AI57),AI57&lt;=T57),AU57,0),IF(AND(ISNUMBER(AJ57),AJ57&lt;=T57),AV57,0))),TRUE(),FALSE())</f>
        <v>0</v>
      </c>
      <c r="AS57" s="33" t="n">
        <f aca="false">IFERROR(Upgrades!$H$6*(POWER(Upgrades!$P$6,E57)*POWER(Upgrades!$P$7,F57)*POWER(Upgrades!$P$8,G57)*POWER(Upgrades!$P$9,H57)*POWER(Upgrades!$P$10,I57)*POWER(Upgrades!$P$11,J57)*POWER(Upgrades!$P$12,K57))*(IF(Upgrades!$T$7="Solar Wind",POWER(Upgrades!$U$7,F57),1)*IF(Upgrades!$T$8="Solar Wind",POWER(Upgrades!$U$8,G57),1)*IF(Upgrades!$T$9="Solar Wind",POWER(Upgrades!$U$9,H57),1)*IF(Upgrades!$T$10="Solar Wind",POWER(Upgrades!$U$10,I57),1)*IF(Upgrades!$T$11="Solar Wind",POWER(Upgrades!$U$11,J57),1)*IF(Upgrades!$T$12="Solar Wind",POWER(Upgrades!$U$12,K57),1))/AG57,0)</f>
        <v>0.00353121008745523</v>
      </c>
      <c r="AT57" s="33" t="n">
        <f aca="false">IFERROR(Upgrades!$H$7*(POWER(Upgrades!$P$6,E57)*POWER(Upgrades!$P$7,F57)*POWER(Upgrades!$P$8,G57)*POWER(Upgrades!$P$9,H57)*POWER(Upgrades!$P$10,I57)*POWER(Upgrades!$P$11,J57)*POWER(Upgrades!$P$12,K57))*(IF(Upgrades!$T$6="Asteroid Belt",POWER(Upgrades!$U$6,E57),1)*IF(Upgrades!$T$8="Asteroid Belt",POWER(Upgrades!$U$8,G57),1)*IF(Upgrades!$T$9="Asteroid Belt",POWER(Upgrades!$U$9,H57),1)*IF(Upgrades!$T$10="Asteroid Belt",POWER(Upgrades!$U$10,I57),1)*IF(Upgrades!$T$11="Asteroid Belt",POWER(Upgrades!$U$11,J57),1)*IF(Upgrades!$T$12="Asteroid Belt",POWER(Upgrades!$U$12,K57),1))/AH57,0)</f>
        <v>0.00355328015050182</v>
      </c>
      <c r="AU57" s="33" t="n">
        <f aca="false">IFERROR(Upgrades!$K$8*(POWER(Upgrades!$Q$6,E57)*POWER(Upgrades!$Q$7,F57)*POWER(Upgrades!$Q$8,G57)*POWER(Upgrades!$Q$9,H57)*POWER(Upgrades!$Q$10,I57)*POWER(Upgrades!$Q$11,J57)*POWER(Upgrades!$Q$12,K57))*(IF(Upgrades!$T$6="Stellar Coupling",POWER(Upgrades!$U$6,E57),1)*IF(Upgrades!$T$7="Stellar Coupling",POWER(Upgrades!$U$7,F57),1)*IF(Upgrades!$T$9="Stellar Coupling",POWER(Upgrades!$U$9,H57),1)*IF(Upgrades!$T$10="Stellar Coupling",POWER(Upgrades!$U$10,I57),1)*IF(Upgrades!$T$11="Stellar Coupling",POWER(Upgrades!$U$11,J57),1)*IF(Upgrades!$T$12="Stellar Coupling",POWER(Upgrades!$U$12,K57),1))*Parameters!$B$10*Parameters!$B$11/60/AI57,0)</f>
        <v>0.00633867382097287</v>
      </c>
      <c r="AV57" s="33" t="n">
        <f aca="false">IFERROR(Upgrades!$H$9*(POWER(Upgrades!$P$6,E57)*POWER(Upgrades!$P$7,F57)*POWER(Upgrades!$P$8,G57)*POWER(Upgrades!$P$9,H57)*POWER(Upgrades!$P$10,I57)*POWER(Upgrades!$P$11,J57)*POWER(Upgrades!$P$12,K57))*(IF(Upgrades!$T$6="Magnetosphere",POWER(Upgrades!$U$6,E57),1)*IF(Upgrades!$T$7="Magnetosphere",POWER(Upgrades!$U$7,F57),1)*IF(Upgrades!$T$8="Magnetosphere",POWER(Upgrades!$U$8,G57),1)*IF(Upgrades!$T$10="Magnetosphere",POWER(Upgrades!$U$10,I57),1)*IF(Upgrades!$T$11="Magnetosphere",POWER(Upgrades!$U$11,J57),1)*IF(Upgrades!$T$12="Magnetosphere",POWER(Upgrades!$U$12,K57),1))/AJ57,0)</f>
        <v>0</v>
      </c>
      <c r="AW57" s="33" t="n">
        <f aca="false">MAX(IF(I57&gt;0,0,IFERROR(0.25*N57/Upgrades!$C$10,0)),IF(J57&gt;0,0,IFERROR(0.5*((IF(G57=0,0,(Upgrades!$J$8+G57*Upgrades!$K$8)*POWER(Upgrades!$L$8,G57)))*(IF(Upgrades!$T$6="Stellar Coupling",POWER(Upgrades!$U$6,E57),1)*IF(Upgrades!$T$7="Stellar Coupling",POWER(Upgrades!$U$7,F57),1)*IF(Upgrades!$T$9="Stellar Coupling",POWER(Upgrades!$U$9,H57),1)*IF(Upgrades!$T$10="Stellar Coupling",POWER(Upgrades!$U$10,I57),1)*IF(Upgrades!$T$11="Stellar Coupling",POWER(Upgrades!$U$11,J57),1)*IF(Upgrades!$T$12="Stellar Coupling",POWER(Upgrades!$U$12,K57),1))*(POWER(Upgrades!$Q$6,E57)*POWER(Upgrades!$Q$7,F57)*POWER(Upgrades!$Q$8,G57)*POWER(Upgrades!$Q$9,H57)*POWER(Upgrades!$Q$10,I57)*POWER(Upgrades!$Q$11,J57)*POWER(Upgrades!$Q$12,K57))*Parameters!$B$10*Parameters!$B$11/60)/Upgrades!$C$11,0)),IF(K57&gt;0,0,IFERROR((1*(POWER(Upgrades!$P$6,E57)*POWER(Upgrades!$P$7,F57)*POWER(Upgrades!$P$8,G57)*POWER(Upgrades!$P$9,H57)*POWER(Upgrades!$P$10,I57)*POWER(Upgrades!$P$11,J57)*POWER(Upgrades!$P$12,K57))+0.2*M57*Parameters!$B$10*Parameters!$B$11/60)/Upgrades!$C$12,0)),IF(AND(ISNUMBER(AG57),AG57&gt;T57),AS57,0),IF(AND(ISNUMBER(AH57),AH57&gt;T57),AT57,0),IF(AND(ISNUMBER(AI57),AI57&gt;T57),AU57,0),IF(AND(ISNUMBER(AJ57),AJ57&gt;T57),AV57,0))</f>
        <v>0</v>
      </c>
      <c r="AX57" s="29" t="str">
        <f aca="false">IF(AN57=1,"transition",IF(MIN(IF(AND(I57=0,ISNUMBER(AK57),AK57&lt;=T57),AK57,9000000000000000),IF(AND(J57=0,ISNUMBER(AL57),AL57&lt;=T57),AL57,9000000000000000),IF(AND(K57=0,ISNUMBER(AM57),AM57&lt;=T57),AM57,9000000000000000))&lt;9000000000000000,IF(AND(AND(I57=0,ISNUMBER(AK57),AK57&lt;=T57),AK57=MIN(IF(AND(I57=0,ISNUMBER(AK57),AK57&lt;=T57),AK57,9000000000000000),IF(AND(J57=0,ISNUMBER(AL57),AL57&lt;=T57),AL57,9000000000000000),IF(AND(K57=0,ISNUMBER(AM57),AM57&lt;=T57),AM57,9000000000000000))),"OR",IF(AND(AND(J57=0,ISNUMBER(AL57),AL57&lt;=T57),AL57=MIN(IF(AND(I57=0,ISNUMBER(AK57),AK57&lt;=T57),AK57,9000000000000000),IF(AND(J57=0,ISNUMBER(AL57),AL57&lt;=T57),AL57,9000000000000000),IF(AND(K57=0,ISNUMBER(AM57),AM57&lt;=T57),AM57,9000000000000000))),"HP","FP")),IF(AR57=TRUE(),"",IF(MAX(IF(AND(NOT(AND(AO57=1,AN57&lt;&gt;1)),ISNUMBER(AG57),AG57&lt;=T57),AS57,0),IF(AND(NOT(AND(AO57=1,AN57&lt;&gt;1)),ISNUMBER(AH57),AH57&lt;=T57),AT57,0),IF(AND(NOT(AND(AO57=1,AN57&lt;&gt;1)),ISNUMBER(AI57),AI57&lt;=T57),AU57,0),IF(AND(ISNUMBER(AJ57),AJ57&lt;=T57),AV57,0))&lt;=0,"",IF(AND(IF(AND(NOT(AND(AO57=1,AN57&lt;&gt;1)),ISNUMBER(AG57),AG57&lt;=T57),AS57,0)&gt;0,IF(AND(NOT(AND(AO57=1,AN57&lt;&gt;1)),ISNUMBER(AG57),AG57&lt;=T57),AS57,0)=MAX(IF(AND(NOT(AND(AO57=1,AN57&lt;&gt;1)),ISNUMBER(AG57),AG57&lt;=T57),AS57,0),IF(AND(NOT(AND(AO57=1,AN57&lt;&gt;1)),ISNUMBER(AH57),AH57&lt;=T57),AT57,0),IF(AND(NOT(AND(AO57=1,AN57&lt;&gt;1)),ISNUMBER(AI57),AI57&lt;=T57),AU57,0),IF(AND(ISNUMBER(AJ57),AJ57&lt;=T57),AV57,0))),"SW",IF(AND(IF(AND(NOT(AND(AO57=1,AN57&lt;&gt;1)),ISNUMBER(AH57),AH57&lt;=T57),AT57,0)&gt;0,IF(AND(NOT(AND(AO57=1,AN57&lt;&gt;1)),ISNUMBER(AH57),AH57&lt;=T57),AT57,0)=MAX(IF(AND(NOT(AND(AO57=1,AN57&lt;&gt;1)),ISNUMBER(AG57),AG57&lt;=T57),AS57,0),IF(AND(NOT(AND(AO57=1,AN57&lt;&gt;1)),ISNUMBER(AH57),AH57&lt;=T57),AT57,0),IF(AND(NOT(AND(AO57=1,AN57&lt;&gt;1)),ISNUMBER(AI57),AI57&lt;=T57),AU57,0),IF(AND(ISNUMBER(AJ57),AJ57&lt;=T57),AV57,0))),"AB",IF(AND(IF(AND(NOT(AND(AO57=1,AN57&lt;&gt;1)),ISNUMBER(AI57),AI57&lt;=T57),AU57,0)&gt;0,IF(AND(NOT(AND(AO57=1,AN57&lt;&gt;1)),ISNUMBER(AI57),AI57&lt;=T57),AU57,0)=MAX(IF(AND(NOT(AND(AO57=1,AN57&lt;&gt;1)),ISNUMBER(AG57),AG57&lt;=T57),AS57,0),IF(AND(NOT(AND(AO57=1,AN57&lt;&gt;1)),ISNUMBER(AH57),AH57&lt;=T57),AT57,0),IF(AND(NOT(AND(AO57=1,AN57&lt;&gt;1)),ISNUMBER(AI57),AI57&lt;=T57),AU57,0),IF(AND(ISNUMBER(AJ57),AJ57&lt;=T57),AV57,0))),"SC","Mag")))))))</f>
        <v>SC</v>
      </c>
    </row>
    <row r="58" customFormat="false" ht="15" hidden="false" customHeight="false" outlineLevel="0" collapsed="false">
      <c r="A58" s="26" t="n">
        <v>53</v>
      </c>
      <c r="B58" s="27" t="n">
        <f aca="false">A58*10/60</f>
        <v>8.83333333333333</v>
      </c>
      <c r="C58" s="21" t="n">
        <f aca="false">X57</f>
        <v>149.916194744308</v>
      </c>
      <c r="D58" s="27" t="n">
        <f aca="false">D57+W57</f>
        <v>0</v>
      </c>
      <c r="E58" s="26" t="n">
        <f aca="false">E57+IF(U57="SW",1,0)</f>
        <v>10</v>
      </c>
      <c r="F58" s="26" t="n">
        <f aca="false">F57+IF(U57="AB",1,0)</f>
        <v>9</v>
      </c>
      <c r="G58" s="26" t="n">
        <f aca="false">G57+IF(U57="SC",1,0)</f>
        <v>7</v>
      </c>
      <c r="H58" s="26" t="n">
        <f aca="false">H57+IF(U57="Mag",1,0)</f>
        <v>5</v>
      </c>
      <c r="I58" s="26" t="n">
        <f aca="false">MAX(I57,IF(U57="OR",1,0))</f>
        <v>1</v>
      </c>
      <c r="J58" s="26" t="n">
        <f aca="false">MAX(J57,IF(U57="HP",1,0))</f>
        <v>1</v>
      </c>
      <c r="K58" s="26" t="n">
        <f aca="false">MAX(K57,IF(U57="FP",1,0))</f>
        <v>1</v>
      </c>
      <c r="L58" s="26" t="n">
        <f aca="false">MAX(L57,IF(U57="transition",1,0))</f>
        <v>1</v>
      </c>
      <c r="M58" s="28" t="n">
        <f aca="false">(Parameters!$B$9+(IF(E58=0,0,(Upgrades!$J$6+E58*Upgrades!$K$6)*POWER(Upgrades!$L$6,E58)))*(IF(Upgrades!$T$7="Solar Wind",POWER(Upgrades!$U$7,F58),1)*IF(Upgrades!$T$8="Solar Wind",POWER(Upgrades!$U$8,G58),1)*IF(Upgrades!$T$9="Solar Wind",POWER(Upgrades!$U$9,H58),1)*IF(Upgrades!$T$10="Solar Wind",POWER(Upgrades!$U$10,I58),1)*IF(Upgrades!$T$11="Solar Wind",POWER(Upgrades!$U$11,J58),1)*IF(Upgrades!$T$12="Solar Wind",POWER(Upgrades!$U$12,K58),1))+(IF(F58=0,0,(Upgrades!$J$7+F58*Upgrades!$K$7)*POWER(Upgrades!$L$7,F58)))*(IF(Upgrades!$T$6="Asteroid Belt",POWER(Upgrades!$U$6,E58),1)*IF(Upgrades!$T$8="Asteroid Belt",POWER(Upgrades!$U$8,G58),1)*IF(Upgrades!$T$9="Asteroid Belt",POWER(Upgrades!$U$9,H58),1)*IF(Upgrades!$T$10="Asteroid Belt",POWER(Upgrades!$U$10,I58),1)*IF(Upgrades!$T$11="Asteroid Belt",POWER(Upgrades!$U$11,J58),1)*IF(Upgrades!$T$12="Asteroid Belt",POWER(Upgrades!$U$12,K58),1))+(IF(G58=0,0,(Upgrades!$J$8+G58*Upgrades!$K$8)*POWER(Upgrades!$L$8,G58)))*(IF(Upgrades!$T$6="Stellar Coupling",POWER(Upgrades!$U$6,E58),1)*IF(Upgrades!$T$7="Stellar Coupling",POWER(Upgrades!$U$7,F58),1)*IF(Upgrades!$T$9="Stellar Coupling",POWER(Upgrades!$U$9,H58),1)*IF(Upgrades!$T$10="Stellar Coupling",POWER(Upgrades!$U$10,I58),1)*IF(Upgrades!$T$11="Stellar Coupling",POWER(Upgrades!$U$11,J58),1)*IF(Upgrades!$T$12="Stellar Coupling",POWER(Upgrades!$U$12,K58),1))+(IF(H58=0,0,(Upgrades!$J$9+H58*Upgrades!$K$9)*POWER(Upgrades!$L$9,H58)))*(IF(Upgrades!$T$6="Magnetosphere",POWER(Upgrades!$U$6,E58),1)*IF(Upgrades!$T$7="Magnetosphere",POWER(Upgrades!$U$7,F58),1)*IF(Upgrades!$T$8="Magnetosphere",POWER(Upgrades!$U$8,G58),1)*IF(Upgrades!$T$10="Magnetosphere",POWER(Upgrades!$U$10,I58),1)*IF(Upgrades!$T$11="Magnetosphere",POWER(Upgrades!$U$11,J58),1)*IF(Upgrades!$T$12="Magnetosphere",POWER(Upgrades!$U$12,K58),1))+(IF(I58=0,0,(Upgrades!$J$10+I58*Upgrades!$K$10)*POWER(Upgrades!$L$10,I58)))*(IF(Upgrades!$T$6="Orbital Resonance",POWER(Upgrades!$U$6,E58),1)*IF(Upgrades!$T$7="Orbital Resonance",POWER(Upgrades!$U$7,F58),1)*IF(Upgrades!$T$8="Orbital Resonance",POWER(Upgrades!$U$8,G58),1)*IF(Upgrades!$T$9="Orbital Resonance",POWER(Upgrades!$U$9,H58),1)*IF(Upgrades!$T$11="Orbital Resonance",POWER(Upgrades!$U$11,J58),1)*IF(Upgrades!$T$12="Orbital Resonance",POWER(Upgrades!$U$12,K58),1))+(IF(J58=0,0,(Upgrades!$J$11+J58*Upgrades!$K$11)*POWER(Upgrades!$L$11,J58)))*(IF(Upgrades!$T$6="Heliopause",POWER(Upgrades!$U$6,E58),1)*IF(Upgrades!$T$7="Heliopause",POWER(Upgrades!$U$7,F58),1)*IF(Upgrades!$T$8="Heliopause",POWER(Upgrades!$U$8,G58),1)*IF(Upgrades!$T$9="Heliopause",POWER(Upgrades!$U$9,H58),1)*IF(Upgrades!$T$10="Heliopause",POWER(Upgrades!$U$10,I58),1)*IF(Upgrades!$T$12="Heliopause",POWER(Upgrades!$U$12,K58),1))+(IF(K58=0,0,(Upgrades!$J$12+K58*Upgrades!$K$12)*POWER(Upgrades!$L$12,K58)))*(IF(Upgrades!$T$6="First Photons",POWER(Upgrades!$U$6,E58),1)*IF(Upgrades!$T$7="First Photons",POWER(Upgrades!$U$7,F58),1)*IF(Upgrades!$T$8="First Photons",POWER(Upgrades!$U$8,G58),1)*IF(Upgrades!$T$9="First Photons",POWER(Upgrades!$U$9,H58),1)*IF(Upgrades!$T$10="First Photons",POWER(Upgrades!$U$10,I58),1)*IF(Upgrades!$T$11="First Photons",POWER(Upgrades!$U$11,J58),1)))*POWER(Upgrades!$Q$6,E58)*POWER(Upgrades!$Q$7,F58)*POWER(Upgrades!$Q$8,G58)*POWER(Upgrades!$Q$9,H58)*POWER(Upgrades!$Q$10,I58)*POWER(Upgrades!$Q$11,J58)*POWER(Upgrades!$Q$12,K58)</f>
        <v>5.61</v>
      </c>
      <c r="N58" s="28" t="n">
        <f aca="false">((IF(E58=0,0,(Upgrades!$G$6+E58*Upgrades!$H$6)*POWER(Upgrades!$I$6,E58)))*(IF(Upgrades!$T$7="Solar Wind",POWER(Upgrades!$U$7,F58),1)*IF(Upgrades!$T$8="Solar Wind",POWER(Upgrades!$U$8,G58),1)*IF(Upgrades!$T$9="Solar Wind",POWER(Upgrades!$U$9,H58),1)*IF(Upgrades!$T$10="Solar Wind",POWER(Upgrades!$U$10,I58),1)*IF(Upgrades!$T$11="Solar Wind",POWER(Upgrades!$U$11,J58),1)*IF(Upgrades!$T$12="Solar Wind",POWER(Upgrades!$U$12,K58),1))+(IF(F58=0,0,(Upgrades!$G$7+F58*Upgrades!$H$7)*POWER(Upgrades!$I$7,F58)))*(IF(Upgrades!$T$6="Asteroid Belt",POWER(Upgrades!$U$6,E58),1)*IF(Upgrades!$T$8="Asteroid Belt",POWER(Upgrades!$U$8,G58),1)*IF(Upgrades!$T$9="Asteroid Belt",POWER(Upgrades!$U$9,H58),1)*IF(Upgrades!$T$10="Asteroid Belt",POWER(Upgrades!$U$10,I58),1)*IF(Upgrades!$T$11="Asteroid Belt",POWER(Upgrades!$U$11,J58),1)*IF(Upgrades!$T$12="Asteroid Belt",POWER(Upgrades!$U$12,K58),1))+(IF(G58=0,0,(Upgrades!$G$8+G58*Upgrades!$H$8)*POWER(Upgrades!$I$8,G58)))*(IF(Upgrades!$T$6="Stellar Coupling",POWER(Upgrades!$U$6,E58),1)*IF(Upgrades!$T$7="Stellar Coupling",POWER(Upgrades!$U$7,F58),1)*IF(Upgrades!$T$9="Stellar Coupling",POWER(Upgrades!$U$9,H58),1)*IF(Upgrades!$T$10="Stellar Coupling",POWER(Upgrades!$U$10,I58),1)*IF(Upgrades!$T$11="Stellar Coupling",POWER(Upgrades!$U$11,J58),1)*IF(Upgrades!$T$12="Stellar Coupling",POWER(Upgrades!$U$12,K58),1))+(IF(H58=0,0,(Upgrades!$G$9+H58*Upgrades!$H$9)*POWER(Upgrades!$I$9,H58)))*(IF(Upgrades!$T$6="Magnetosphere",POWER(Upgrades!$U$6,E58),1)*IF(Upgrades!$T$7="Magnetosphere",POWER(Upgrades!$U$7,F58),1)*IF(Upgrades!$T$8="Magnetosphere",POWER(Upgrades!$U$8,G58),1)*IF(Upgrades!$T$10="Magnetosphere",POWER(Upgrades!$U$10,I58),1)*IF(Upgrades!$T$11="Magnetosphere",POWER(Upgrades!$U$11,J58),1)*IF(Upgrades!$T$12="Magnetosphere",POWER(Upgrades!$U$12,K58),1))+(IF(I58=0,0,(Upgrades!$G$10+I58*Upgrades!$H$10)*POWER(Upgrades!$I$10,I58)))*(IF(Upgrades!$T$6="Orbital Resonance",POWER(Upgrades!$U$6,E58),1)*IF(Upgrades!$T$7="Orbital Resonance",POWER(Upgrades!$U$7,F58),1)*IF(Upgrades!$T$8="Orbital Resonance",POWER(Upgrades!$U$8,G58),1)*IF(Upgrades!$T$9="Orbital Resonance",POWER(Upgrades!$U$9,H58),1)*IF(Upgrades!$T$11="Orbital Resonance",POWER(Upgrades!$U$11,J58),1)*IF(Upgrades!$T$12="Orbital Resonance",POWER(Upgrades!$U$12,K58),1))+(IF(J58=0,0,(Upgrades!$G$11+J58*Upgrades!$H$11)*POWER(Upgrades!$I$11,J58)))*(IF(Upgrades!$T$6="Heliopause",POWER(Upgrades!$U$6,E58),1)*IF(Upgrades!$T$7="Heliopause",POWER(Upgrades!$U$7,F58),1)*IF(Upgrades!$T$8="Heliopause",POWER(Upgrades!$U$8,G58),1)*IF(Upgrades!$T$9="Heliopause",POWER(Upgrades!$U$9,H58),1)*IF(Upgrades!$T$10="Heliopause",POWER(Upgrades!$U$10,I58),1)*IF(Upgrades!$T$12="Heliopause",POWER(Upgrades!$U$12,K58),1))+(IF(K58=0,0,(Upgrades!$G$12+K58*Upgrades!$H$12)*POWER(Upgrades!$I$12,K58)))*(IF(Upgrades!$T$6="First Photons",POWER(Upgrades!$U$6,E58),1)*IF(Upgrades!$T$7="First Photons",POWER(Upgrades!$U$7,F58),1)*IF(Upgrades!$T$8="First Photons",POWER(Upgrades!$U$8,G58),1)*IF(Upgrades!$T$9="First Photons",POWER(Upgrades!$U$9,H58),1)*IF(Upgrades!$T$10="First Photons",POWER(Upgrades!$U$10,I58),1)*IF(Upgrades!$T$11="First Photons",POWER(Upgrades!$U$11,J58),1)))*POWER(Upgrades!$P$6,E58)*POWER(Upgrades!$P$7,F58)*POWER(Upgrades!$P$8,G58)*POWER(Upgrades!$P$9,H58)*POWER(Upgrades!$P$10,I58)*POWER(Upgrades!$P$11,J58)*POWER(Upgrades!$P$12,K58)</f>
        <v>10.75</v>
      </c>
      <c r="O58" s="28" t="n">
        <f aca="false">((IF(E58=0,0,(Upgrades!$M$6+E58*Upgrades!$N$6)*POWER(Upgrades!$O$6,E58)))*(IF(Upgrades!$T$7="Solar Wind",POWER(Upgrades!$U$7,F58),1)*IF(Upgrades!$T$8="Solar Wind",POWER(Upgrades!$U$8,G58),1)*IF(Upgrades!$T$9="Solar Wind",POWER(Upgrades!$U$9,H58),1)*IF(Upgrades!$T$10="Solar Wind",POWER(Upgrades!$U$10,I58),1)*IF(Upgrades!$T$11="Solar Wind",POWER(Upgrades!$U$11,J58),1)*IF(Upgrades!$T$12="Solar Wind",POWER(Upgrades!$U$12,K58),1))+(IF(F58=0,0,(Upgrades!$M$7+F58*Upgrades!$N$7)*POWER(Upgrades!$O$7,F58)))*(IF(Upgrades!$T$6="Asteroid Belt",POWER(Upgrades!$U$6,E58),1)*IF(Upgrades!$T$8="Asteroid Belt",POWER(Upgrades!$U$8,G58),1)*IF(Upgrades!$T$9="Asteroid Belt",POWER(Upgrades!$U$9,H58),1)*IF(Upgrades!$T$10="Asteroid Belt",POWER(Upgrades!$U$10,I58),1)*IF(Upgrades!$T$11="Asteroid Belt",POWER(Upgrades!$U$11,J58),1)*IF(Upgrades!$T$12="Asteroid Belt",POWER(Upgrades!$U$12,K58),1))+(IF(G58=0,0,(Upgrades!$M$8+G58*Upgrades!$N$8)*POWER(Upgrades!$O$8,G58)))*(IF(Upgrades!$T$6="Stellar Coupling",POWER(Upgrades!$U$6,E58),1)*IF(Upgrades!$T$7="Stellar Coupling",POWER(Upgrades!$U$7,F58),1)*IF(Upgrades!$T$9="Stellar Coupling",POWER(Upgrades!$U$9,H58),1)*IF(Upgrades!$T$10="Stellar Coupling",POWER(Upgrades!$U$10,I58),1)*IF(Upgrades!$T$11="Stellar Coupling",POWER(Upgrades!$U$11,J58),1)*IF(Upgrades!$T$12="Stellar Coupling",POWER(Upgrades!$U$12,K58),1))+(IF(H58=0,0,(Upgrades!$M$9+H58*Upgrades!$N$9)*POWER(Upgrades!$O$9,H58)))*(IF(Upgrades!$T$6="Magnetosphere",POWER(Upgrades!$U$6,E58),1)*IF(Upgrades!$T$7="Magnetosphere",POWER(Upgrades!$U$7,F58),1)*IF(Upgrades!$T$8="Magnetosphere",POWER(Upgrades!$U$8,G58),1)*IF(Upgrades!$T$10="Magnetosphere",POWER(Upgrades!$U$10,I58),1)*IF(Upgrades!$T$11="Magnetosphere",POWER(Upgrades!$U$11,J58),1)*IF(Upgrades!$T$12="Magnetosphere",POWER(Upgrades!$U$12,K58),1))+(IF(I58=0,0,(Upgrades!$M$10+I58*Upgrades!$N$10)*POWER(Upgrades!$O$10,I58)))*(IF(Upgrades!$T$6="Orbital Resonance",POWER(Upgrades!$U$6,E58),1)*IF(Upgrades!$T$7="Orbital Resonance",POWER(Upgrades!$U$7,F58),1)*IF(Upgrades!$T$8="Orbital Resonance",POWER(Upgrades!$U$8,G58),1)*IF(Upgrades!$T$9="Orbital Resonance",POWER(Upgrades!$U$9,H58),1)*IF(Upgrades!$T$11="Orbital Resonance",POWER(Upgrades!$U$11,J58),1)*IF(Upgrades!$T$12="Orbital Resonance",POWER(Upgrades!$U$12,K58),1))+(IF(J58=0,0,(Upgrades!$M$11+J58*Upgrades!$N$11)*POWER(Upgrades!$O$11,J58)))*(IF(Upgrades!$T$6="Heliopause",POWER(Upgrades!$U$6,E58),1)*IF(Upgrades!$T$7="Heliopause",POWER(Upgrades!$U$7,F58),1)*IF(Upgrades!$T$8="Heliopause",POWER(Upgrades!$U$8,G58),1)*IF(Upgrades!$T$9="Heliopause",POWER(Upgrades!$U$9,H58),1)*IF(Upgrades!$T$10="Heliopause",POWER(Upgrades!$U$10,I58),1)*IF(Upgrades!$T$12="Heliopause",POWER(Upgrades!$U$12,K58),1))+(IF(K58=0,0,(Upgrades!$M$12+K58*Upgrades!$N$12)*POWER(Upgrades!$O$12,K58)))*(IF(Upgrades!$T$6="First Photons",POWER(Upgrades!$U$6,E58),1)*IF(Upgrades!$T$7="First Photons",POWER(Upgrades!$U$7,F58),1)*IF(Upgrades!$T$8="First Photons",POWER(Upgrades!$U$8,G58),1)*IF(Upgrades!$T$9="First Photons",POWER(Upgrades!$U$9,H58),1)*IF(Upgrades!$T$10="First Photons",POWER(Upgrades!$U$10,I58),1)*IF(Upgrades!$T$11="First Photons",POWER(Upgrades!$U$11,J58),1)))*POWER(Upgrades!$R$6,E58)*POWER(Upgrades!$R$7,F58)*POWER(Upgrades!$R$8,G58)*POWER(Upgrades!$R$9,H58)*POWER(Upgrades!$R$10,I58)*POWER(Upgrades!$R$11,J58)*POWER(Upgrades!$R$12,K58)</f>
        <v>0</v>
      </c>
      <c r="P58" s="27" t="n">
        <f aca="false">IF(L58=1,0,M58*Parameters!$B$10/60*Parameters!$B$11*10)</f>
        <v>0</v>
      </c>
      <c r="Q58" s="27" t="n">
        <f aca="false">IF(L58=1,0,O58*M58*10)</f>
        <v>0</v>
      </c>
      <c r="R58" s="27" t="n">
        <f aca="false">IF(L58=1,0,N58*10)</f>
        <v>0</v>
      </c>
      <c r="S58" s="27" t="n">
        <f aca="false">P58+Q58+R58</f>
        <v>0</v>
      </c>
      <c r="T58" s="21" t="n">
        <f aca="false">C58+S58</f>
        <v>149.916194744308</v>
      </c>
      <c r="U58" s="34" t="str">
        <f aca="false">AX58</f>
        <v>AB</v>
      </c>
      <c r="V58" s="21" t="n">
        <f aca="false">IF(U58="",0,IF(U58="transition",0,IF(U58="SW",AG58,IF(U58="AB",AH58,IF(U58="SC",AI58,IF(U58="Mag",AJ58,IF(U58="OR",AK58,IF(U58="HP",AL58,IF(U58="FP",AM58,0)))))))))</f>
        <v>70.3575258383984</v>
      </c>
      <c r="W58" s="27" t="n">
        <f aca="false">IF(U58="OR",Upgrades!$F$10,IF(U58="HP",Upgrades!$F$11,IF(U58="transition",-Parameters!$B$18,0)))</f>
        <v>0</v>
      </c>
      <c r="X58" s="21" t="n">
        <f aca="false">T58-V58</f>
        <v>79.5586689059095</v>
      </c>
      <c r="Y58" s="30" t="n">
        <f aca="false">M58*Parameters!$B$10/60*Parameters!$B$11+O58*M58+N58</f>
        <v>20.1</v>
      </c>
      <c r="Z58" s="35" t="str">
        <f aca="false">IF(U58="transition","→ Tier 2 (Stellar Neighborhood)",IF(U58="FP","First Photons — light begins, system quickens",IF(U58="HP","Heliopause acquired",IF(U58="OR","Orbital Resonance — passive multiplier active",IF(AND(AO58=1,L58=0,AN58&lt;&gt;1),"Cohesion ready (waiting on completionist upgrades)","")))))</f>
        <v/>
      </c>
      <c r="AA58" s="27" t="n">
        <f aca="false">(IF(E58=0,0,(Upgrades!$G$6+E58*Upgrades!$H$6)*POWER(Upgrades!$I$6,E58)))*(IF(Upgrades!$T$7="Solar Wind",POWER(Upgrades!$U$7,F58),1)*IF(Upgrades!$T$8="Solar Wind",POWER(Upgrades!$U$8,G58),1)*IF(Upgrades!$T$9="Solar Wind",POWER(Upgrades!$U$9,H58),1)*IF(Upgrades!$T$10="Solar Wind",POWER(Upgrades!$U$10,I58),1)*IF(Upgrades!$T$11="Solar Wind",POWER(Upgrades!$U$11,J58),1)*IF(Upgrades!$T$12="Solar Wind",POWER(Upgrades!$U$12,K58),1))*POWER(Upgrades!$P$6,E58)*POWER(Upgrades!$P$7,F58)*POWER(Upgrades!$P$8,G58)*POWER(Upgrades!$P$9,H58)*POWER(Upgrades!$P$10,I58)*POWER(Upgrades!$P$11,J58)*POWER(Upgrades!$P$12,K58)*60</f>
        <v>60</v>
      </c>
      <c r="AB58" s="27" t="n">
        <f aca="false">(IF(F58=0,0,(Upgrades!$G$7+F58*Upgrades!$H$7)*POWER(Upgrades!$I$7,F58)))*(IF(Upgrades!$T$6="Asteroid Belt",POWER(Upgrades!$U$6,E58),1)*IF(Upgrades!$T$8="Asteroid Belt",POWER(Upgrades!$U$8,G58),1)*IF(Upgrades!$T$9="Asteroid Belt",POWER(Upgrades!$U$9,H58),1)*IF(Upgrades!$T$10="Asteroid Belt",POWER(Upgrades!$U$10,I58),1)*IF(Upgrades!$T$11="Asteroid Belt",POWER(Upgrades!$U$11,J58),1)*IF(Upgrades!$T$12="Asteroid Belt",POWER(Upgrades!$U$12,K58),1))*POWER(Upgrades!$P$6,E58)*POWER(Upgrades!$P$7,F58)*POWER(Upgrades!$P$8,G58)*POWER(Upgrades!$P$9,H58)*POWER(Upgrades!$P$10,I58)*POWER(Upgrades!$P$11,J58)*POWER(Upgrades!$P$12,K58)*60</f>
        <v>135</v>
      </c>
      <c r="AC58" s="27" t="n">
        <f aca="false">(IF(G58=0,0,(Upgrades!$J$8+G58*Upgrades!$K$8)*POWER(Upgrades!$L$8,G58)))*(IF(Upgrades!$T$6="Stellar Coupling",POWER(Upgrades!$U$6,E58),1)*IF(Upgrades!$T$7="Stellar Coupling",POWER(Upgrades!$U$7,F58),1)*IF(Upgrades!$T$9="Stellar Coupling",POWER(Upgrades!$U$9,H58),1)*IF(Upgrades!$T$10="Stellar Coupling",POWER(Upgrades!$U$10,I58),1)*IF(Upgrades!$T$11="Stellar Coupling",POWER(Upgrades!$U$11,J58),1)*IF(Upgrades!$T$12="Stellar Coupling",POWER(Upgrades!$U$12,K58),1))*POWER(Upgrades!$Q$6,E58)*POWER(Upgrades!$Q$7,F58)*POWER(Upgrades!$Q$8,G58)*POWER(Upgrades!$Q$9,H58)*POWER(Upgrades!$Q$10,I58)*POWER(Upgrades!$Q$11,J58)*POWER(Upgrades!$Q$12,K58)*Parameters!$B$10*Parameters!$B$11</f>
        <v>441</v>
      </c>
      <c r="AD58" s="27" t="n">
        <f aca="false">(IF(H58=0,0,(Upgrades!$G$9+H58*Upgrades!$H$9)*POWER(Upgrades!$I$9,H58)))*(IF(Upgrades!$T$6="Magnetosphere",POWER(Upgrades!$U$6,E58),1)*IF(Upgrades!$T$7="Magnetosphere",POWER(Upgrades!$U$7,F58),1)*IF(Upgrades!$T$8="Magnetosphere",POWER(Upgrades!$U$8,G58),1)*IF(Upgrades!$T$10="Magnetosphere",POWER(Upgrades!$U$10,I58),1)*IF(Upgrades!$T$11="Magnetosphere",POWER(Upgrades!$U$11,J58),1)*IF(Upgrades!$T$12="Magnetosphere",POWER(Upgrades!$U$12,K58),1))*POWER(Upgrades!$P$6,E58)*POWER(Upgrades!$P$7,F58)*POWER(Upgrades!$P$8,G58)*POWER(Upgrades!$P$9,H58)*POWER(Upgrades!$P$10,I58)*POWER(Upgrades!$P$11,J58)*POWER(Upgrades!$P$12,K58)*60</f>
        <v>375</v>
      </c>
      <c r="AE58" s="27" t="n">
        <f aca="false">(IF(K58=0,0,(Upgrades!$G$12+K58*Upgrades!$H$12)*POWER(Upgrades!$I$12,K58)))*(IF(Upgrades!$T$6="First Photons",POWER(Upgrades!$U$6,E58),1)*IF(Upgrades!$T$7="First Photons",POWER(Upgrades!$U$7,F58),1)*IF(Upgrades!$T$8="First Photons",POWER(Upgrades!$U$8,G58),1)*IF(Upgrades!$T$9="First Photons",POWER(Upgrades!$U$9,H58),1)*IF(Upgrades!$T$10="First Photons",POWER(Upgrades!$U$10,I58),1)*IF(Upgrades!$T$11="First Photons",POWER(Upgrades!$U$11,J58),1))*POWER(Upgrades!$P$6,E58)*POWER(Upgrades!$P$7,F58)*POWER(Upgrades!$P$8,G58)*POWER(Upgrades!$P$9,H58)*POWER(Upgrades!$P$10,I58)*POWER(Upgrades!$P$11,J58)*POWER(Upgrades!$P$12,K58)*60</f>
        <v>75</v>
      </c>
      <c r="AF58" s="27" t="n">
        <f aca="false">Parameters!$B$9*POWER(Upgrades!$Q$6,E58)*POWER(Upgrades!$Q$7,F58)*POWER(Upgrades!$Q$8,G58)*POWER(Upgrades!$Q$9,H58)*POWER(Upgrades!$Q$10,I58)*POWER(Upgrades!$Q$11,J58)*POWER(Upgrades!$Q$12,K58)*(Parameters!$B$10*Parameters!$B$11+O58*60)</f>
        <v>120</v>
      </c>
      <c r="AG58" s="21" t="n">
        <f aca="false">IF(E58&gt;=Upgrades!$E$6,"",Upgrades!$C$6*POWER(Upgrades!$D$6,E58))</f>
        <v>28.3189041499553</v>
      </c>
      <c r="AH58" s="21" t="n">
        <f aca="false">IF(F58&gt;=Upgrades!$E$7,"",Upgrades!$C$7*POWER(Upgrades!$D$7,F58))</f>
        <v>70.3575258383984</v>
      </c>
      <c r="AI58" s="21" t="n">
        <f aca="false">IF(G58&gt;=Upgrades!$E$8,"",Upgrades!$C$8*POWER(Upgrades!$D$8,G58))</f>
        <v>231.9097088</v>
      </c>
      <c r="AJ58" s="21" t="str">
        <f aca="false">IF(H58&gt;=Upgrades!$E$9,"",Upgrades!$C$9*POWER(Upgrades!$D$9,H58))</f>
        <v/>
      </c>
      <c r="AK58" s="21" t="str">
        <f aca="false">IF(I58&gt;=Upgrades!$E$10,"",Upgrades!$C$10*POWER(Upgrades!$D$10,I58))</f>
        <v/>
      </c>
      <c r="AL58" s="21" t="str">
        <f aca="false">IF(J58&gt;=Upgrades!$E$11,"",Upgrades!$C$11*POWER(Upgrades!$D$11,J58))</f>
        <v/>
      </c>
      <c r="AM58" s="21" t="str">
        <f aca="false">IF(K58&gt;=Upgrades!$E$12,"",Upgrades!$C$12*POWER(Upgrades!$D$12,K58))</f>
        <v/>
      </c>
      <c r="AN58" s="26" t="str">
        <f aca="false">IF(AND(D58&gt;=Parameters!$B$18,(H58&gt;=Upgrades!$E$9)*(K58&gt;=Upgrades!$E$12)=1,L58=0),1,"")</f>
        <v/>
      </c>
      <c r="AO58" s="26" t="str">
        <f aca="false">IF(AND(D58&gt;=Parameters!$B$18,L58=0),1,"")</f>
        <v/>
      </c>
      <c r="AP58" s="21" t="n">
        <f aca="false">MIN(IF(ISNUMBER(AK58),AK58,9000000000000000),IF(ISNUMBER(AL58),AL58,9000000000000000),IF(ISNUMBER(AM58),AM58,9000000000000000))</f>
        <v>9000000000000000</v>
      </c>
      <c r="AQ58" s="21" t="n">
        <f aca="false">MIN(IF(ISNUMBER(AG58),AG58,9000000000000000),IF(ISNUMBER(AH58),AH58,9000000000000000),IF(ISNUMBER(AI58),AI58,9000000000000000),IF(ISNUMBER(AJ58),AJ58,9000000000000000))</f>
        <v>28.3189041499553</v>
      </c>
      <c r="AR58" s="32" t="b">
        <f aca="false">IF(AW58&gt;Parameters!$B$21*(MAX(IF(AND(NOT(AND(AO58=1,AN58&lt;&gt;1)),ISNUMBER(AG58),AG58&lt;=T58),AS58,0),IF(AND(NOT(AND(AO58=1,AN58&lt;&gt;1)),ISNUMBER(AH58),AH58&lt;=T58),AT58,0),IF(AND(NOT(AND(AO58=1,AN58&lt;&gt;1)),ISNUMBER(AI58),AI58&lt;=T58),AU58,0),IF(AND(ISNUMBER(AJ58),AJ58&lt;=T58),AV58,0))),TRUE(),FALSE())</f>
        <v>0</v>
      </c>
      <c r="AS58" s="33" t="n">
        <f aca="false">IFERROR(Upgrades!$H$6*(POWER(Upgrades!$P$6,E58)*POWER(Upgrades!$P$7,F58)*POWER(Upgrades!$P$8,G58)*POWER(Upgrades!$P$9,H58)*POWER(Upgrades!$P$10,I58)*POWER(Upgrades!$P$11,J58)*POWER(Upgrades!$P$12,K58))*(IF(Upgrades!$T$7="Solar Wind",POWER(Upgrades!$U$7,F58),1)*IF(Upgrades!$T$8="Solar Wind",POWER(Upgrades!$U$8,G58),1)*IF(Upgrades!$T$9="Solar Wind",POWER(Upgrades!$U$9,H58),1)*IF(Upgrades!$T$10="Solar Wind",POWER(Upgrades!$U$10,I58),1)*IF(Upgrades!$T$11="Solar Wind",POWER(Upgrades!$U$11,J58),1)*IF(Upgrades!$T$12="Solar Wind",POWER(Upgrades!$U$12,K58),1))/AG58,0)</f>
        <v>0.00353121008745523</v>
      </c>
      <c r="AT58" s="33" t="n">
        <f aca="false">IFERROR(Upgrades!$H$7*(POWER(Upgrades!$P$6,E58)*POWER(Upgrades!$P$7,F58)*POWER(Upgrades!$P$8,G58)*POWER(Upgrades!$P$9,H58)*POWER(Upgrades!$P$10,I58)*POWER(Upgrades!$P$11,J58)*POWER(Upgrades!$P$12,K58))*(IF(Upgrades!$T$6="Asteroid Belt",POWER(Upgrades!$U$6,E58),1)*IF(Upgrades!$T$8="Asteroid Belt",POWER(Upgrades!$U$8,G58),1)*IF(Upgrades!$T$9="Asteroid Belt",POWER(Upgrades!$U$9,H58),1)*IF(Upgrades!$T$10="Asteroid Belt",POWER(Upgrades!$U$10,I58),1)*IF(Upgrades!$T$11="Asteroid Belt",POWER(Upgrades!$U$11,J58),1)*IF(Upgrades!$T$12="Asteroid Belt",POWER(Upgrades!$U$12,K58),1))/AH58,0)</f>
        <v>0.00355328015050182</v>
      </c>
      <c r="AU58" s="33" t="n">
        <f aca="false">IFERROR(Upgrades!$K$8*(POWER(Upgrades!$Q$6,E58)*POWER(Upgrades!$Q$7,F58)*POWER(Upgrades!$Q$8,G58)*POWER(Upgrades!$Q$9,H58)*POWER(Upgrades!$Q$10,I58)*POWER(Upgrades!$Q$11,J58)*POWER(Upgrades!$Q$12,K58))*(IF(Upgrades!$T$6="Stellar Coupling",POWER(Upgrades!$U$6,E58),1)*IF(Upgrades!$T$7="Stellar Coupling",POWER(Upgrades!$U$7,F58),1)*IF(Upgrades!$T$9="Stellar Coupling",POWER(Upgrades!$U$9,H58),1)*IF(Upgrades!$T$10="Stellar Coupling",POWER(Upgrades!$U$10,I58),1)*IF(Upgrades!$T$11="Stellar Coupling",POWER(Upgrades!$U$11,J58),1)*IF(Upgrades!$T$12="Stellar Coupling",POWER(Upgrades!$U$12,K58),1))*Parameters!$B$10*Parameters!$B$11/60/AI58,0)</f>
        <v>0.00452762415783776</v>
      </c>
      <c r="AV58" s="33" t="n">
        <f aca="false">IFERROR(Upgrades!$H$9*(POWER(Upgrades!$P$6,E58)*POWER(Upgrades!$P$7,F58)*POWER(Upgrades!$P$8,G58)*POWER(Upgrades!$P$9,H58)*POWER(Upgrades!$P$10,I58)*POWER(Upgrades!$P$11,J58)*POWER(Upgrades!$P$12,K58))*(IF(Upgrades!$T$6="Magnetosphere",POWER(Upgrades!$U$6,E58),1)*IF(Upgrades!$T$7="Magnetosphere",POWER(Upgrades!$U$7,F58),1)*IF(Upgrades!$T$8="Magnetosphere",POWER(Upgrades!$U$8,G58),1)*IF(Upgrades!$T$10="Magnetosphere",POWER(Upgrades!$U$10,I58),1)*IF(Upgrades!$T$11="Magnetosphere",POWER(Upgrades!$U$11,J58),1)*IF(Upgrades!$T$12="Magnetosphere",POWER(Upgrades!$U$12,K58),1))/AJ58,0)</f>
        <v>0</v>
      </c>
      <c r="AW58" s="33" t="n">
        <f aca="false">MAX(IF(I58&gt;0,0,IFERROR(0.25*N58/Upgrades!$C$10,0)),IF(J58&gt;0,0,IFERROR(0.5*((IF(G58=0,0,(Upgrades!$J$8+G58*Upgrades!$K$8)*POWER(Upgrades!$L$8,G58)))*(IF(Upgrades!$T$6="Stellar Coupling",POWER(Upgrades!$U$6,E58),1)*IF(Upgrades!$T$7="Stellar Coupling",POWER(Upgrades!$U$7,F58),1)*IF(Upgrades!$T$9="Stellar Coupling",POWER(Upgrades!$U$9,H58),1)*IF(Upgrades!$T$10="Stellar Coupling",POWER(Upgrades!$U$10,I58),1)*IF(Upgrades!$T$11="Stellar Coupling",POWER(Upgrades!$U$11,J58),1)*IF(Upgrades!$T$12="Stellar Coupling",POWER(Upgrades!$U$12,K58),1))*(POWER(Upgrades!$Q$6,E58)*POWER(Upgrades!$Q$7,F58)*POWER(Upgrades!$Q$8,G58)*POWER(Upgrades!$Q$9,H58)*POWER(Upgrades!$Q$10,I58)*POWER(Upgrades!$Q$11,J58)*POWER(Upgrades!$Q$12,K58))*Parameters!$B$10*Parameters!$B$11/60)/Upgrades!$C$11,0)),IF(K58&gt;0,0,IFERROR((1*(POWER(Upgrades!$P$6,E58)*POWER(Upgrades!$P$7,F58)*POWER(Upgrades!$P$8,G58)*POWER(Upgrades!$P$9,H58)*POWER(Upgrades!$P$10,I58)*POWER(Upgrades!$P$11,J58)*POWER(Upgrades!$P$12,K58))+0.2*M58*Parameters!$B$10*Parameters!$B$11/60)/Upgrades!$C$12,0)),IF(AND(ISNUMBER(AG58),AG58&gt;T58),AS58,0),IF(AND(ISNUMBER(AH58),AH58&gt;T58),AT58,0),IF(AND(ISNUMBER(AI58),AI58&gt;T58),AU58,0),IF(AND(ISNUMBER(AJ58),AJ58&gt;T58),AV58,0))</f>
        <v>0.00452762415783776</v>
      </c>
      <c r="AX58" s="29" t="str">
        <f aca="false">IF(AN58=1,"transition",IF(MIN(IF(AND(I58=0,ISNUMBER(AK58),AK58&lt;=T58),AK58,9000000000000000),IF(AND(J58=0,ISNUMBER(AL58),AL58&lt;=T58),AL58,9000000000000000),IF(AND(K58=0,ISNUMBER(AM58),AM58&lt;=T58),AM58,9000000000000000))&lt;9000000000000000,IF(AND(AND(I58=0,ISNUMBER(AK58),AK58&lt;=T58),AK58=MIN(IF(AND(I58=0,ISNUMBER(AK58),AK58&lt;=T58),AK58,9000000000000000),IF(AND(J58=0,ISNUMBER(AL58),AL58&lt;=T58),AL58,9000000000000000),IF(AND(K58=0,ISNUMBER(AM58),AM58&lt;=T58),AM58,9000000000000000))),"OR",IF(AND(AND(J58=0,ISNUMBER(AL58),AL58&lt;=T58),AL58=MIN(IF(AND(I58=0,ISNUMBER(AK58),AK58&lt;=T58),AK58,9000000000000000),IF(AND(J58=0,ISNUMBER(AL58),AL58&lt;=T58),AL58,9000000000000000),IF(AND(K58=0,ISNUMBER(AM58),AM58&lt;=T58),AM58,9000000000000000))),"HP","FP")),IF(AR58=TRUE(),"",IF(MAX(IF(AND(NOT(AND(AO58=1,AN58&lt;&gt;1)),ISNUMBER(AG58),AG58&lt;=T58),AS58,0),IF(AND(NOT(AND(AO58=1,AN58&lt;&gt;1)),ISNUMBER(AH58),AH58&lt;=T58),AT58,0),IF(AND(NOT(AND(AO58=1,AN58&lt;&gt;1)),ISNUMBER(AI58),AI58&lt;=T58),AU58,0),IF(AND(ISNUMBER(AJ58),AJ58&lt;=T58),AV58,0))&lt;=0,"",IF(AND(IF(AND(NOT(AND(AO58=1,AN58&lt;&gt;1)),ISNUMBER(AG58),AG58&lt;=T58),AS58,0)&gt;0,IF(AND(NOT(AND(AO58=1,AN58&lt;&gt;1)),ISNUMBER(AG58),AG58&lt;=T58),AS58,0)=MAX(IF(AND(NOT(AND(AO58=1,AN58&lt;&gt;1)),ISNUMBER(AG58),AG58&lt;=T58),AS58,0),IF(AND(NOT(AND(AO58=1,AN58&lt;&gt;1)),ISNUMBER(AH58),AH58&lt;=T58),AT58,0),IF(AND(NOT(AND(AO58=1,AN58&lt;&gt;1)),ISNUMBER(AI58),AI58&lt;=T58),AU58,0),IF(AND(ISNUMBER(AJ58),AJ58&lt;=T58),AV58,0))),"SW",IF(AND(IF(AND(NOT(AND(AO58=1,AN58&lt;&gt;1)),ISNUMBER(AH58),AH58&lt;=T58),AT58,0)&gt;0,IF(AND(NOT(AND(AO58=1,AN58&lt;&gt;1)),ISNUMBER(AH58),AH58&lt;=T58),AT58,0)=MAX(IF(AND(NOT(AND(AO58=1,AN58&lt;&gt;1)),ISNUMBER(AG58),AG58&lt;=T58),AS58,0),IF(AND(NOT(AND(AO58=1,AN58&lt;&gt;1)),ISNUMBER(AH58),AH58&lt;=T58),AT58,0),IF(AND(NOT(AND(AO58=1,AN58&lt;&gt;1)),ISNUMBER(AI58),AI58&lt;=T58),AU58,0),IF(AND(ISNUMBER(AJ58),AJ58&lt;=T58),AV58,0))),"AB",IF(AND(IF(AND(NOT(AND(AO58=1,AN58&lt;&gt;1)),ISNUMBER(AI58),AI58&lt;=T58),AU58,0)&gt;0,IF(AND(NOT(AND(AO58=1,AN58&lt;&gt;1)),ISNUMBER(AI58),AI58&lt;=T58),AU58,0)=MAX(IF(AND(NOT(AND(AO58=1,AN58&lt;&gt;1)),ISNUMBER(AG58),AG58&lt;=T58),AS58,0),IF(AND(NOT(AND(AO58=1,AN58&lt;&gt;1)),ISNUMBER(AH58),AH58&lt;=T58),AT58,0),IF(AND(NOT(AND(AO58=1,AN58&lt;&gt;1)),ISNUMBER(AI58),AI58&lt;=T58),AU58,0),IF(AND(ISNUMBER(AJ58),AJ58&lt;=T58),AV58,0))),"SC","Mag")))))))</f>
        <v>AB</v>
      </c>
    </row>
    <row r="59" customFormat="false" ht="15" hidden="false" customHeight="false" outlineLevel="0" collapsed="false">
      <c r="A59" s="26" t="n">
        <v>54</v>
      </c>
      <c r="B59" s="27" t="n">
        <f aca="false">A59*10/60</f>
        <v>9</v>
      </c>
      <c r="C59" s="21" t="n">
        <f aca="false">X58</f>
        <v>79.5586689059095</v>
      </c>
      <c r="D59" s="27" t="n">
        <f aca="false">D58+W58</f>
        <v>0</v>
      </c>
      <c r="E59" s="26" t="n">
        <f aca="false">E58+IF(U58="SW",1,0)</f>
        <v>10</v>
      </c>
      <c r="F59" s="26" t="n">
        <f aca="false">F58+IF(U58="AB",1,0)</f>
        <v>10</v>
      </c>
      <c r="G59" s="26" t="n">
        <f aca="false">G58+IF(U58="SC",1,0)</f>
        <v>7</v>
      </c>
      <c r="H59" s="26" t="n">
        <f aca="false">H58+IF(U58="Mag",1,0)</f>
        <v>5</v>
      </c>
      <c r="I59" s="26" t="n">
        <f aca="false">MAX(I58,IF(U58="OR",1,0))</f>
        <v>1</v>
      </c>
      <c r="J59" s="26" t="n">
        <f aca="false">MAX(J58,IF(U58="HP",1,0))</f>
        <v>1</v>
      </c>
      <c r="K59" s="26" t="n">
        <f aca="false">MAX(K58,IF(U58="FP",1,0))</f>
        <v>1</v>
      </c>
      <c r="L59" s="26" t="n">
        <f aca="false">MAX(L58,IF(U58="transition",1,0))</f>
        <v>1</v>
      </c>
      <c r="M59" s="28" t="n">
        <f aca="false">(Parameters!$B$9+(IF(E59=0,0,(Upgrades!$J$6+E59*Upgrades!$K$6)*POWER(Upgrades!$L$6,E59)))*(IF(Upgrades!$T$7="Solar Wind",POWER(Upgrades!$U$7,F59),1)*IF(Upgrades!$T$8="Solar Wind",POWER(Upgrades!$U$8,G59),1)*IF(Upgrades!$T$9="Solar Wind",POWER(Upgrades!$U$9,H59),1)*IF(Upgrades!$T$10="Solar Wind",POWER(Upgrades!$U$10,I59),1)*IF(Upgrades!$T$11="Solar Wind",POWER(Upgrades!$U$11,J59),1)*IF(Upgrades!$T$12="Solar Wind",POWER(Upgrades!$U$12,K59),1))+(IF(F59=0,0,(Upgrades!$J$7+F59*Upgrades!$K$7)*POWER(Upgrades!$L$7,F59)))*(IF(Upgrades!$T$6="Asteroid Belt",POWER(Upgrades!$U$6,E59),1)*IF(Upgrades!$T$8="Asteroid Belt",POWER(Upgrades!$U$8,G59),1)*IF(Upgrades!$T$9="Asteroid Belt",POWER(Upgrades!$U$9,H59),1)*IF(Upgrades!$T$10="Asteroid Belt",POWER(Upgrades!$U$10,I59),1)*IF(Upgrades!$T$11="Asteroid Belt",POWER(Upgrades!$U$11,J59),1)*IF(Upgrades!$T$12="Asteroid Belt",POWER(Upgrades!$U$12,K59),1))+(IF(G59=0,0,(Upgrades!$J$8+G59*Upgrades!$K$8)*POWER(Upgrades!$L$8,G59)))*(IF(Upgrades!$T$6="Stellar Coupling",POWER(Upgrades!$U$6,E59),1)*IF(Upgrades!$T$7="Stellar Coupling",POWER(Upgrades!$U$7,F59),1)*IF(Upgrades!$T$9="Stellar Coupling",POWER(Upgrades!$U$9,H59),1)*IF(Upgrades!$T$10="Stellar Coupling",POWER(Upgrades!$U$10,I59),1)*IF(Upgrades!$T$11="Stellar Coupling",POWER(Upgrades!$U$11,J59),1)*IF(Upgrades!$T$12="Stellar Coupling",POWER(Upgrades!$U$12,K59),1))+(IF(H59=0,0,(Upgrades!$J$9+H59*Upgrades!$K$9)*POWER(Upgrades!$L$9,H59)))*(IF(Upgrades!$T$6="Magnetosphere",POWER(Upgrades!$U$6,E59),1)*IF(Upgrades!$T$7="Magnetosphere",POWER(Upgrades!$U$7,F59),1)*IF(Upgrades!$T$8="Magnetosphere",POWER(Upgrades!$U$8,G59),1)*IF(Upgrades!$T$10="Magnetosphere",POWER(Upgrades!$U$10,I59),1)*IF(Upgrades!$T$11="Magnetosphere",POWER(Upgrades!$U$11,J59),1)*IF(Upgrades!$T$12="Magnetosphere",POWER(Upgrades!$U$12,K59),1))+(IF(I59=0,0,(Upgrades!$J$10+I59*Upgrades!$K$10)*POWER(Upgrades!$L$10,I59)))*(IF(Upgrades!$T$6="Orbital Resonance",POWER(Upgrades!$U$6,E59),1)*IF(Upgrades!$T$7="Orbital Resonance",POWER(Upgrades!$U$7,F59),1)*IF(Upgrades!$T$8="Orbital Resonance",POWER(Upgrades!$U$8,G59),1)*IF(Upgrades!$T$9="Orbital Resonance",POWER(Upgrades!$U$9,H59),1)*IF(Upgrades!$T$11="Orbital Resonance",POWER(Upgrades!$U$11,J59),1)*IF(Upgrades!$T$12="Orbital Resonance",POWER(Upgrades!$U$12,K59),1))+(IF(J59=0,0,(Upgrades!$J$11+J59*Upgrades!$K$11)*POWER(Upgrades!$L$11,J59)))*(IF(Upgrades!$T$6="Heliopause",POWER(Upgrades!$U$6,E59),1)*IF(Upgrades!$T$7="Heliopause",POWER(Upgrades!$U$7,F59),1)*IF(Upgrades!$T$8="Heliopause",POWER(Upgrades!$U$8,G59),1)*IF(Upgrades!$T$9="Heliopause",POWER(Upgrades!$U$9,H59),1)*IF(Upgrades!$T$10="Heliopause",POWER(Upgrades!$U$10,I59),1)*IF(Upgrades!$T$12="Heliopause",POWER(Upgrades!$U$12,K59),1))+(IF(K59=0,0,(Upgrades!$J$12+K59*Upgrades!$K$12)*POWER(Upgrades!$L$12,K59)))*(IF(Upgrades!$T$6="First Photons",POWER(Upgrades!$U$6,E59),1)*IF(Upgrades!$T$7="First Photons",POWER(Upgrades!$U$7,F59),1)*IF(Upgrades!$T$8="First Photons",POWER(Upgrades!$U$8,G59),1)*IF(Upgrades!$T$9="First Photons",POWER(Upgrades!$U$9,H59),1)*IF(Upgrades!$T$10="First Photons",POWER(Upgrades!$U$10,I59),1)*IF(Upgrades!$T$11="First Photons",POWER(Upgrades!$U$11,J59),1)))*POWER(Upgrades!$Q$6,E59)*POWER(Upgrades!$Q$7,F59)*POWER(Upgrades!$Q$8,G59)*POWER(Upgrades!$Q$9,H59)*POWER(Upgrades!$Q$10,I59)*POWER(Upgrades!$Q$11,J59)*POWER(Upgrades!$Q$12,K59)</f>
        <v>5.61</v>
      </c>
      <c r="N59" s="28" t="n">
        <f aca="false">((IF(E59=0,0,(Upgrades!$G$6+E59*Upgrades!$H$6)*POWER(Upgrades!$I$6,E59)))*(IF(Upgrades!$T$7="Solar Wind",POWER(Upgrades!$U$7,F59),1)*IF(Upgrades!$T$8="Solar Wind",POWER(Upgrades!$U$8,G59),1)*IF(Upgrades!$T$9="Solar Wind",POWER(Upgrades!$U$9,H59),1)*IF(Upgrades!$T$10="Solar Wind",POWER(Upgrades!$U$10,I59),1)*IF(Upgrades!$T$11="Solar Wind",POWER(Upgrades!$U$11,J59),1)*IF(Upgrades!$T$12="Solar Wind",POWER(Upgrades!$U$12,K59),1))+(IF(F59=0,0,(Upgrades!$G$7+F59*Upgrades!$H$7)*POWER(Upgrades!$I$7,F59)))*(IF(Upgrades!$T$6="Asteroid Belt",POWER(Upgrades!$U$6,E59),1)*IF(Upgrades!$T$8="Asteroid Belt",POWER(Upgrades!$U$8,G59),1)*IF(Upgrades!$T$9="Asteroid Belt",POWER(Upgrades!$U$9,H59),1)*IF(Upgrades!$T$10="Asteroid Belt",POWER(Upgrades!$U$10,I59),1)*IF(Upgrades!$T$11="Asteroid Belt",POWER(Upgrades!$U$11,J59),1)*IF(Upgrades!$T$12="Asteroid Belt",POWER(Upgrades!$U$12,K59),1))+(IF(G59=0,0,(Upgrades!$G$8+G59*Upgrades!$H$8)*POWER(Upgrades!$I$8,G59)))*(IF(Upgrades!$T$6="Stellar Coupling",POWER(Upgrades!$U$6,E59),1)*IF(Upgrades!$T$7="Stellar Coupling",POWER(Upgrades!$U$7,F59),1)*IF(Upgrades!$T$9="Stellar Coupling",POWER(Upgrades!$U$9,H59),1)*IF(Upgrades!$T$10="Stellar Coupling",POWER(Upgrades!$U$10,I59),1)*IF(Upgrades!$T$11="Stellar Coupling",POWER(Upgrades!$U$11,J59),1)*IF(Upgrades!$T$12="Stellar Coupling",POWER(Upgrades!$U$12,K59),1))+(IF(H59=0,0,(Upgrades!$G$9+H59*Upgrades!$H$9)*POWER(Upgrades!$I$9,H59)))*(IF(Upgrades!$T$6="Magnetosphere",POWER(Upgrades!$U$6,E59),1)*IF(Upgrades!$T$7="Magnetosphere",POWER(Upgrades!$U$7,F59),1)*IF(Upgrades!$T$8="Magnetosphere",POWER(Upgrades!$U$8,G59),1)*IF(Upgrades!$T$10="Magnetosphere",POWER(Upgrades!$U$10,I59),1)*IF(Upgrades!$T$11="Magnetosphere",POWER(Upgrades!$U$11,J59),1)*IF(Upgrades!$T$12="Magnetosphere",POWER(Upgrades!$U$12,K59),1))+(IF(I59=0,0,(Upgrades!$G$10+I59*Upgrades!$H$10)*POWER(Upgrades!$I$10,I59)))*(IF(Upgrades!$T$6="Orbital Resonance",POWER(Upgrades!$U$6,E59),1)*IF(Upgrades!$T$7="Orbital Resonance",POWER(Upgrades!$U$7,F59),1)*IF(Upgrades!$T$8="Orbital Resonance",POWER(Upgrades!$U$8,G59),1)*IF(Upgrades!$T$9="Orbital Resonance",POWER(Upgrades!$U$9,H59),1)*IF(Upgrades!$T$11="Orbital Resonance",POWER(Upgrades!$U$11,J59),1)*IF(Upgrades!$T$12="Orbital Resonance",POWER(Upgrades!$U$12,K59),1))+(IF(J59=0,0,(Upgrades!$G$11+J59*Upgrades!$H$11)*POWER(Upgrades!$I$11,J59)))*(IF(Upgrades!$T$6="Heliopause",POWER(Upgrades!$U$6,E59),1)*IF(Upgrades!$T$7="Heliopause",POWER(Upgrades!$U$7,F59),1)*IF(Upgrades!$T$8="Heliopause",POWER(Upgrades!$U$8,G59),1)*IF(Upgrades!$T$9="Heliopause",POWER(Upgrades!$U$9,H59),1)*IF(Upgrades!$T$10="Heliopause",POWER(Upgrades!$U$10,I59),1)*IF(Upgrades!$T$12="Heliopause",POWER(Upgrades!$U$12,K59),1))+(IF(K59=0,0,(Upgrades!$G$12+K59*Upgrades!$H$12)*POWER(Upgrades!$I$12,K59)))*(IF(Upgrades!$T$6="First Photons",POWER(Upgrades!$U$6,E59),1)*IF(Upgrades!$T$7="First Photons",POWER(Upgrades!$U$7,F59),1)*IF(Upgrades!$T$8="First Photons",POWER(Upgrades!$U$8,G59),1)*IF(Upgrades!$T$9="First Photons",POWER(Upgrades!$U$9,H59),1)*IF(Upgrades!$T$10="First Photons",POWER(Upgrades!$U$10,I59),1)*IF(Upgrades!$T$11="First Photons",POWER(Upgrades!$U$11,J59),1)))*POWER(Upgrades!$P$6,E59)*POWER(Upgrades!$P$7,F59)*POWER(Upgrades!$P$8,G59)*POWER(Upgrades!$P$9,H59)*POWER(Upgrades!$P$10,I59)*POWER(Upgrades!$P$11,J59)*POWER(Upgrades!$P$12,K59)</f>
        <v>11</v>
      </c>
      <c r="O59" s="28" t="n">
        <f aca="false">((IF(E59=0,0,(Upgrades!$M$6+E59*Upgrades!$N$6)*POWER(Upgrades!$O$6,E59)))*(IF(Upgrades!$T$7="Solar Wind",POWER(Upgrades!$U$7,F59),1)*IF(Upgrades!$T$8="Solar Wind",POWER(Upgrades!$U$8,G59),1)*IF(Upgrades!$T$9="Solar Wind",POWER(Upgrades!$U$9,H59),1)*IF(Upgrades!$T$10="Solar Wind",POWER(Upgrades!$U$10,I59),1)*IF(Upgrades!$T$11="Solar Wind",POWER(Upgrades!$U$11,J59),1)*IF(Upgrades!$T$12="Solar Wind",POWER(Upgrades!$U$12,K59),1))+(IF(F59=0,0,(Upgrades!$M$7+F59*Upgrades!$N$7)*POWER(Upgrades!$O$7,F59)))*(IF(Upgrades!$T$6="Asteroid Belt",POWER(Upgrades!$U$6,E59),1)*IF(Upgrades!$T$8="Asteroid Belt",POWER(Upgrades!$U$8,G59),1)*IF(Upgrades!$T$9="Asteroid Belt",POWER(Upgrades!$U$9,H59),1)*IF(Upgrades!$T$10="Asteroid Belt",POWER(Upgrades!$U$10,I59),1)*IF(Upgrades!$T$11="Asteroid Belt",POWER(Upgrades!$U$11,J59),1)*IF(Upgrades!$T$12="Asteroid Belt",POWER(Upgrades!$U$12,K59),1))+(IF(G59=0,0,(Upgrades!$M$8+G59*Upgrades!$N$8)*POWER(Upgrades!$O$8,G59)))*(IF(Upgrades!$T$6="Stellar Coupling",POWER(Upgrades!$U$6,E59),1)*IF(Upgrades!$T$7="Stellar Coupling",POWER(Upgrades!$U$7,F59),1)*IF(Upgrades!$T$9="Stellar Coupling",POWER(Upgrades!$U$9,H59),1)*IF(Upgrades!$T$10="Stellar Coupling",POWER(Upgrades!$U$10,I59),1)*IF(Upgrades!$T$11="Stellar Coupling",POWER(Upgrades!$U$11,J59),1)*IF(Upgrades!$T$12="Stellar Coupling",POWER(Upgrades!$U$12,K59),1))+(IF(H59=0,0,(Upgrades!$M$9+H59*Upgrades!$N$9)*POWER(Upgrades!$O$9,H59)))*(IF(Upgrades!$T$6="Magnetosphere",POWER(Upgrades!$U$6,E59),1)*IF(Upgrades!$T$7="Magnetosphere",POWER(Upgrades!$U$7,F59),1)*IF(Upgrades!$T$8="Magnetosphere",POWER(Upgrades!$U$8,G59),1)*IF(Upgrades!$T$10="Magnetosphere",POWER(Upgrades!$U$10,I59),1)*IF(Upgrades!$T$11="Magnetosphere",POWER(Upgrades!$U$11,J59),1)*IF(Upgrades!$T$12="Magnetosphere",POWER(Upgrades!$U$12,K59),1))+(IF(I59=0,0,(Upgrades!$M$10+I59*Upgrades!$N$10)*POWER(Upgrades!$O$10,I59)))*(IF(Upgrades!$T$6="Orbital Resonance",POWER(Upgrades!$U$6,E59),1)*IF(Upgrades!$T$7="Orbital Resonance",POWER(Upgrades!$U$7,F59),1)*IF(Upgrades!$T$8="Orbital Resonance",POWER(Upgrades!$U$8,G59),1)*IF(Upgrades!$T$9="Orbital Resonance",POWER(Upgrades!$U$9,H59),1)*IF(Upgrades!$T$11="Orbital Resonance",POWER(Upgrades!$U$11,J59),1)*IF(Upgrades!$T$12="Orbital Resonance",POWER(Upgrades!$U$12,K59),1))+(IF(J59=0,0,(Upgrades!$M$11+J59*Upgrades!$N$11)*POWER(Upgrades!$O$11,J59)))*(IF(Upgrades!$T$6="Heliopause",POWER(Upgrades!$U$6,E59),1)*IF(Upgrades!$T$7="Heliopause",POWER(Upgrades!$U$7,F59),1)*IF(Upgrades!$T$8="Heliopause",POWER(Upgrades!$U$8,G59),1)*IF(Upgrades!$T$9="Heliopause",POWER(Upgrades!$U$9,H59),1)*IF(Upgrades!$T$10="Heliopause",POWER(Upgrades!$U$10,I59),1)*IF(Upgrades!$T$12="Heliopause",POWER(Upgrades!$U$12,K59),1))+(IF(K59=0,0,(Upgrades!$M$12+K59*Upgrades!$N$12)*POWER(Upgrades!$O$12,K59)))*(IF(Upgrades!$T$6="First Photons",POWER(Upgrades!$U$6,E59),1)*IF(Upgrades!$T$7="First Photons",POWER(Upgrades!$U$7,F59),1)*IF(Upgrades!$T$8="First Photons",POWER(Upgrades!$U$8,G59),1)*IF(Upgrades!$T$9="First Photons",POWER(Upgrades!$U$9,H59),1)*IF(Upgrades!$T$10="First Photons",POWER(Upgrades!$U$10,I59),1)*IF(Upgrades!$T$11="First Photons",POWER(Upgrades!$U$11,J59),1)))*POWER(Upgrades!$R$6,E59)*POWER(Upgrades!$R$7,F59)*POWER(Upgrades!$R$8,G59)*POWER(Upgrades!$R$9,H59)*POWER(Upgrades!$R$10,I59)*POWER(Upgrades!$R$11,J59)*POWER(Upgrades!$R$12,K59)</f>
        <v>0</v>
      </c>
      <c r="P59" s="27" t="n">
        <f aca="false">IF(L59=1,0,M59*Parameters!$B$10/60*Parameters!$B$11*10)</f>
        <v>0</v>
      </c>
      <c r="Q59" s="27" t="n">
        <f aca="false">IF(L59=1,0,O59*M59*10)</f>
        <v>0</v>
      </c>
      <c r="R59" s="27" t="n">
        <f aca="false">IF(L59=1,0,N59*10)</f>
        <v>0</v>
      </c>
      <c r="S59" s="27" t="n">
        <f aca="false">P59+Q59+R59</f>
        <v>0</v>
      </c>
      <c r="T59" s="21" t="n">
        <f aca="false">C59+S59</f>
        <v>79.5586689059095</v>
      </c>
      <c r="U59" s="34" t="str">
        <f aca="false">AX59</f>
        <v>SW</v>
      </c>
      <c r="V59" s="21" t="n">
        <f aca="false">IF(U59="",0,IF(U59="transition",0,IF(U59="SW",AG59,IF(U59="AB",AH59,IF(U59="SC",AI59,IF(U59="Mag",AJ59,IF(U59="OR",AK59,IF(U59="HP",AL59,IF(U59="FP",AM59,0)))))))))</f>
        <v>28.3189041499553</v>
      </c>
      <c r="W59" s="27" t="n">
        <f aca="false">IF(U59="OR",Upgrades!$F$10,IF(U59="HP",Upgrades!$F$11,IF(U59="transition",-Parameters!$B$18,0)))</f>
        <v>0</v>
      </c>
      <c r="X59" s="21" t="n">
        <f aca="false">T59-V59</f>
        <v>51.2397647559541</v>
      </c>
      <c r="Y59" s="30" t="n">
        <f aca="false">M59*Parameters!$B$10/60*Parameters!$B$11+O59*M59+N59</f>
        <v>20.35</v>
      </c>
      <c r="Z59" s="35" t="str">
        <f aca="false">IF(U59="transition","→ Tier 2 (Stellar Neighborhood)",IF(U59="FP","First Photons — light begins, system quickens",IF(U59="HP","Heliopause acquired",IF(U59="OR","Orbital Resonance — passive multiplier active",IF(AND(AO59=1,L59=0,AN59&lt;&gt;1),"Cohesion ready (waiting on completionist upgrades)","")))))</f>
        <v/>
      </c>
      <c r="AA59" s="27" t="n">
        <f aca="false">(IF(E59=0,0,(Upgrades!$G$6+E59*Upgrades!$H$6)*POWER(Upgrades!$I$6,E59)))*(IF(Upgrades!$T$7="Solar Wind",POWER(Upgrades!$U$7,F59),1)*IF(Upgrades!$T$8="Solar Wind",POWER(Upgrades!$U$8,G59),1)*IF(Upgrades!$T$9="Solar Wind",POWER(Upgrades!$U$9,H59),1)*IF(Upgrades!$T$10="Solar Wind",POWER(Upgrades!$U$10,I59),1)*IF(Upgrades!$T$11="Solar Wind",POWER(Upgrades!$U$11,J59),1)*IF(Upgrades!$T$12="Solar Wind",POWER(Upgrades!$U$12,K59),1))*POWER(Upgrades!$P$6,E59)*POWER(Upgrades!$P$7,F59)*POWER(Upgrades!$P$8,G59)*POWER(Upgrades!$P$9,H59)*POWER(Upgrades!$P$10,I59)*POWER(Upgrades!$P$11,J59)*POWER(Upgrades!$P$12,K59)*60</f>
        <v>60</v>
      </c>
      <c r="AB59" s="27" t="n">
        <f aca="false">(IF(F59=0,0,(Upgrades!$G$7+F59*Upgrades!$H$7)*POWER(Upgrades!$I$7,F59)))*(IF(Upgrades!$T$6="Asteroid Belt",POWER(Upgrades!$U$6,E59),1)*IF(Upgrades!$T$8="Asteroid Belt",POWER(Upgrades!$U$8,G59),1)*IF(Upgrades!$T$9="Asteroid Belt",POWER(Upgrades!$U$9,H59),1)*IF(Upgrades!$T$10="Asteroid Belt",POWER(Upgrades!$U$10,I59),1)*IF(Upgrades!$T$11="Asteroid Belt",POWER(Upgrades!$U$11,J59),1)*IF(Upgrades!$T$12="Asteroid Belt",POWER(Upgrades!$U$12,K59),1))*POWER(Upgrades!$P$6,E59)*POWER(Upgrades!$P$7,F59)*POWER(Upgrades!$P$8,G59)*POWER(Upgrades!$P$9,H59)*POWER(Upgrades!$P$10,I59)*POWER(Upgrades!$P$11,J59)*POWER(Upgrades!$P$12,K59)*60</f>
        <v>150</v>
      </c>
      <c r="AC59" s="27" t="n">
        <f aca="false">(IF(G59=0,0,(Upgrades!$J$8+G59*Upgrades!$K$8)*POWER(Upgrades!$L$8,G59)))*(IF(Upgrades!$T$6="Stellar Coupling",POWER(Upgrades!$U$6,E59),1)*IF(Upgrades!$T$7="Stellar Coupling",POWER(Upgrades!$U$7,F59),1)*IF(Upgrades!$T$9="Stellar Coupling",POWER(Upgrades!$U$9,H59),1)*IF(Upgrades!$T$10="Stellar Coupling",POWER(Upgrades!$U$10,I59),1)*IF(Upgrades!$T$11="Stellar Coupling",POWER(Upgrades!$U$11,J59),1)*IF(Upgrades!$T$12="Stellar Coupling",POWER(Upgrades!$U$12,K59),1))*POWER(Upgrades!$Q$6,E59)*POWER(Upgrades!$Q$7,F59)*POWER(Upgrades!$Q$8,G59)*POWER(Upgrades!$Q$9,H59)*POWER(Upgrades!$Q$10,I59)*POWER(Upgrades!$Q$11,J59)*POWER(Upgrades!$Q$12,K59)*Parameters!$B$10*Parameters!$B$11</f>
        <v>441</v>
      </c>
      <c r="AD59" s="27" t="n">
        <f aca="false">(IF(H59=0,0,(Upgrades!$G$9+H59*Upgrades!$H$9)*POWER(Upgrades!$I$9,H59)))*(IF(Upgrades!$T$6="Magnetosphere",POWER(Upgrades!$U$6,E59),1)*IF(Upgrades!$T$7="Magnetosphere",POWER(Upgrades!$U$7,F59),1)*IF(Upgrades!$T$8="Magnetosphere",POWER(Upgrades!$U$8,G59),1)*IF(Upgrades!$T$10="Magnetosphere",POWER(Upgrades!$U$10,I59),1)*IF(Upgrades!$T$11="Magnetosphere",POWER(Upgrades!$U$11,J59),1)*IF(Upgrades!$T$12="Magnetosphere",POWER(Upgrades!$U$12,K59),1))*POWER(Upgrades!$P$6,E59)*POWER(Upgrades!$P$7,F59)*POWER(Upgrades!$P$8,G59)*POWER(Upgrades!$P$9,H59)*POWER(Upgrades!$P$10,I59)*POWER(Upgrades!$P$11,J59)*POWER(Upgrades!$P$12,K59)*60</f>
        <v>375</v>
      </c>
      <c r="AE59" s="27" t="n">
        <f aca="false">(IF(K59=0,0,(Upgrades!$G$12+K59*Upgrades!$H$12)*POWER(Upgrades!$I$12,K59)))*(IF(Upgrades!$T$6="First Photons",POWER(Upgrades!$U$6,E59),1)*IF(Upgrades!$T$7="First Photons",POWER(Upgrades!$U$7,F59),1)*IF(Upgrades!$T$8="First Photons",POWER(Upgrades!$U$8,G59),1)*IF(Upgrades!$T$9="First Photons",POWER(Upgrades!$U$9,H59),1)*IF(Upgrades!$T$10="First Photons",POWER(Upgrades!$U$10,I59),1)*IF(Upgrades!$T$11="First Photons",POWER(Upgrades!$U$11,J59),1))*POWER(Upgrades!$P$6,E59)*POWER(Upgrades!$P$7,F59)*POWER(Upgrades!$P$8,G59)*POWER(Upgrades!$P$9,H59)*POWER(Upgrades!$P$10,I59)*POWER(Upgrades!$P$11,J59)*POWER(Upgrades!$P$12,K59)*60</f>
        <v>75</v>
      </c>
      <c r="AF59" s="27" t="n">
        <f aca="false">Parameters!$B$9*POWER(Upgrades!$Q$6,E59)*POWER(Upgrades!$Q$7,F59)*POWER(Upgrades!$Q$8,G59)*POWER(Upgrades!$Q$9,H59)*POWER(Upgrades!$Q$10,I59)*POWER(Upgrades!$Q$11,J59)*POWER(Upgrades!$Q$12,K59)*(Parameters!$B$10*Parameters!$B$11+O59*60)</f>
        <v>120</v>
      </c>
      <c r="AG59" s="21" t="n">
        <f aca="false">IF(E59&gt;=Upgrades!$E$6,"",Upgrades!$C$6*POWER(Upgrades!$D$6,E59))</f>
        <v>28.3189041499553</v>
      </c>
      <c r="AH59" s="21" t="n">
        <f aca="false">IF(F59&gt;=Upgrades!$E$7,"",Upgrades!$C$7*POWER(Upgrades!$D$7,F59))</f>
        <v>80.9111547141581</v>
      </c>
      <c r="AI59" s="21" t="n">
        <f aca="false">IF(G59&gt;=Upgrades!$E$8,"",Upgrades!$C$8*POWER(Upgrades!$D$8,G59))</f>
        <v>231.9097088</v>
      </c>
      <c r="AJ59" s="21" t="str">
        <f aca="false">IF(H59&gt;=Upgrades!$E$9,"",Upgrades!$C$9*POWER(Upgrades!$D$9,H59))</f>
        <v/>
      </c>
      <c r="AK59" s="21" t="str">
        <f aca="false">IF(I59&gt;=Upgrades!$E$10,"",Upgrades!$C$10*POWER(Upgrades!$D$10,I59))</f>
        <v/>
      </c>
      <c r="AL59" s="21" t="str">
        <f aca="false">IF(J59&gt;=Upgrades!$E$11,"",Upgrades!$C$11*POWER(Upgrades!$D$11,J59))</f>
        <v/>
      </c>
      <c r="AM59" s="21" t="str">
        <f aca="false">IF(K59&gt;=Upgrades!$E$12,"",Upgrades!$C$12*POWER(Upgrades!$D$12,K59))</f>
        <v/>
      </c>
      <c r="AN59" s="26" t="str">
        <f aca="false">IF(AND(D59&gt;=Parameters!$B$18,(H59&gt;=Upgrades!$E$9)*(K59&gt;=Upgrades!$E$12)=1,L59=0),1,"")</f>
        <v/>
      </c>
      <c r="AO59" s="26" t="str">
        <f aca="false">IF(AND(D59&gt;=Parameters!$B$18,L59=0),1,"")</f>
        <v/>
      </c>
      <c r="AP59" s="21" t="n">
        <f aca="false">MIN(IF(ISNUMBER(AK59),AK59,9000000000000000),IF(ISNUMBER(AL59),AL59,9000000000000000),IF(ISNUMBER(AM59),AM59,9000000000000000))</f>
        <v>9000000000000000</v>
      </c>
      <c r="AQ59" s="21" t="n">
        <f aca="false">MIN(IF(ISNUMBER(AG59),AG59,9000000000000000),IF(ISNUMBER(AH59),AH59,9000000000000000),IF(ISNUMBER(AI59),AI59,9000000000000000),IF(ISNUMBER(AJ59),AJ59,9000000000000000))</f>
        <v>28.3189041499553</v>
      </c>
      <c r="AR59" s="32" t="b">
        <f aca="false">IF(AW59&gt;Parameters!$B$21*(MAX(IF(AND(NOT(AND(AO59=1,AN59&lt;&gt;1)),ISNUMBER(AG59),AG59&lt;=T59),AS59,0),IF(AND(NOT(AND(AO59=1,AN59&lt;&gt;1)),ISNUMBER(AH59),AH59&lt;=T59),AT59,0),IF(AND(NOT(AND(AO59=1,AN59&lt;&gt;1)),ISNUMBER(AI59),AI59&lt;=T59),AU59,0),IF(AND(ISNUMBER(AJ59),AJ59&lt;=T59),AV59,0))),TRUE(),FALSE())</f>
        <v>0</v>
      </c>
      <c r="AS59" s="33" t="n">
        <f aca="false">IFERROR(Upgrades!$H$6*(POWER(Upgrades!$P$6,E59)*POWER(Upgrades!$P$7,F59)*POWER(Upgrades!$P$8,G59)*POWER(Upgrades!$P$9,H59)*POWER(Upgrades!$P$10,I59)*POWER(Upgrades!$P$11,J59)*POWER(Upgrades!$P$12,K59))*(IF(Upgrades!$T$7="Solar Wind",POWER(Upgrades!$U$7,F59),1)*IF(Upgrades!$T$8="Solar Wind",POWER(Upgrades!$U$8,G59),1)*IF(Upgrades!$T$9="Solar Wind",POWER(Upgrades!$U$9,H59),1)*IF(Upgrades!$T$10="Solar Wind",POWER(Upgrades!$U$10,I59),1)*IF(Upgrades!$T$11="Solar Wind",POWER(Upgrades!$U$11,J59),1)*IF(Upgrades!$T$12="Solar Wind",POWER(Upgrades!$U$12,K59),1))/AG59,0)</f>
        <v>0.00353121008745523</v>
      </c>
      <c r="AT59" s="33" t="n">
        <f aca="false">IFERROR(Upgrades!$H$7*(POWER(Upgrades!$P$6,E59)*POWER(Upgrades!$P$7,F59)*POWER(Upgrades!$P$8,G59)*POWER(Upgrades!$P$9,H59)*POWER(Upgrades!$P$10,I59)*POWER(Upgrades!$P$11,J59)*POWER(Upgrades!$P$12,K59))*(IF(Upgrades!$T$6="Asteroid Belt",POWER(Upgrades!$U$6,E59),1)*IF(Upgrades!$T$8="Asteroid Belt",POWER(Upgrades!$U$8,G59),1)*IF(Upgrades!$T$9="Asteroid Belt",POWER(Upgrades!$U$9,H59),1)*IF(Upgrades!$T$10="Asteroid Belt",POWER(Upgrades!$U$10,I59),1)*IF(Upgrades!$T$11="Asteroid Belt",POWER(Upgrades!$U$11,J59),1)*IF(Upgrades!$T$12="Asteroid Belt",POWER(Upgrades!$U$12,K59),1))/AH59,0)</f>
        <v>0.00308980882652332</v>
      </c>
      <c r="AU59" s="33" t="n">
        <f aca="false">IFERROR(Upgrades!$K$8*(POWER(Upgrades!$Q$6,E59)*POWER(Upgrades!$Q$7,F59)*POWER(Upgrades!$Q$8,G59)*POWER(Upgrades!$Q$9,H59)*POWER(Upgrades!$Q$10,I59)*POWER(Upgrades!$Q$11,J59)*POWER(Upgrades!$Q$12,K59))*(IF(Upgrades!$T$6="Stellar Coupling",POWER(Upgrades!$U$6,E59),1)*IF(Upgrades!$T$7="Stellar Coupling",POWER(Upgrades!$U$7,F59),1)*IF(Upgrades!$T$9="Stellar Coupling",POWER(Upgrades!$U$9,H59),1)*IF(Upgrades!$T$10="Stellar Coupling",POWER(Upgrades!$U$10,I59),1)*IF(Upgrades!$T$11="Stellar Coupling",POWER(Upgrades!$U$11,J59),1)*IF(Upgrades!$T$12="Stellar Coupling",POWER(Upgrades!$U$12,K59),1))*Parameters!$B$10*Parameters!$B$11/60/AI59,0)</f>
        <v>0.00452762415783776</v>
      </c>
      <c r="AV59" s="33" t="n">
        <f aca="false">IFERROR(Upgrades!$H$9*(POWER(Upgrades!$P$6,E59)*POWER(Upgrades!$P$7,F59)*POWER(Upgrades!$P$8,G59)*POWER(Upgrades!$P$9,H59)*POWER(Upgrades!$P$10,I59)*POWER(Upgrades!$P$11,J59)*POWER(Upgrades!$P$12,K59))*(IF(Upgrades!$T$6="Magnetosphere",POWER(Upgrades!$U$6,E59),1)*IF(Upgrades!$T$7="Magnetosphere",POWER(Upgrades!$U$7,F59),1)*IF(Upgrades!$T$8="Magnetosphere",POWER(Upgrades!$U$8,G59),1)*IF(Upgrades!$T$10="Magnetosphere",POWER(Upgrades!$U$10,I59),1)*IF(Upgrades!$T$11="Magnetosphere",POWER(Upgrades!$U$11,J59),1)*IF(Upgrades!$T$12="Magnetosphere",POWER(Upgrades!$U$12,K59),1))/AJ59,0)</f>
        <v>0</v>
      </c>
      <c r="AW59" s="33" t="n">
        <f aca="false">MAX(IF(I59&gt;0,0,IFERROR(0.25*N59/Upgrades!$C$10,0)),IF(J59&gt;0,0,IFERROR(0.5*((IF(G59=0,0,(Upgrades!$J$8+G59*Upgrades!$K$8)*POWER(Upgrades!$L$8,G59)))*(IF(Upgrades!$T$6="Stellar Coupling",POWER(Upgrades!$U$6,E59),1)*IF(Upgrades!$T$7="Stellar Coupling",POWER(Upgrades!$U$7,F59),1)*IF(Upgrades!$T$9="Stellar Coupling",POWER(Upgrades!$U$9,H59),1)*IF(Upgrades!$T$10="Stellar Coupling",POWER(Upgrades!$U$10,I59),1)*IF(Upgrades!$T$11="Stellar Coupling",POWER(Upgrades!$U$11,J59),1)*IF(Upgrades!$T$12="Stellar Coupling",POWER(Upgrades!$U$12,K59),1))*(POWER(Upgrades!$Q$6,E59)*POWER(Upgrades!$Q$7,F59)*POWER(Upgrades!$Q$8,G59)*POWER(Upgrades!$Q$9,H59)*POWER(Upgrades!$Q$10,I59)*POWER(Upgrades!$Q$11,J59)*POWER(Upgrades!$Q$12,K59))*Parameters!$B$10*Parameters!$B$11/60)/Upgrades!$C$11,0)),IF(K59&gt;0,0,IFERROR((1*(POWER(Upgrades!$P$6,E59)*POWER(Upgrades!$P$7,F59)*POWER(Upgrades!$P$8,G59)*POWER(Upgrades!$P$9,H59)*POWER(Upgrades!$P$10,I59)*POWER(Upgrades!$P$11,J59)*POWER(Upgrades!$P$12,K59))+0.2*M59*Parameters!$B$10*Parameters!$B$11/60)/Upgrades!$C$12,0)),IF(AND(ISNUMBER(AG59),AG59&gt;T59),AS59,0),IF(AND(ISNUMBER(AH59),AH59&gt;T59),AT59,0),IF(AND(ISNUMBER(AI59),AI59&gt;T59),AU59,0),IF(AND(ISNUMBER(AJ59),AJ59&gt;T59),AV59,0))</f>
        <v>0.00452762415783776</v>
      </c>
      <c r="AX59" s="29" t="str">
        <f aca="false">IF(AN59=1,"transition",IF(MIN(IF(AND(I59=0,ISNUMBER(AK59),AK59&lt;=T59),AK59,9000000000000000),IF(AND(J59=0,ISNUMBER(AL59),AL59&lt;=T59),AL59,9000000000000000),IF(AND(K59=0,ISNUMBER(AM59),AM59&lt;=T59),AM59,9000000000000000))&lt;9000000000000000,IF(AND(AND(I59=0,ISNUMBER(AK59),AK59&lt;=T59),AK59=MIN(IF(AND(I59=0,ISNUMBER(AK59),AK59&lt;=T59),AK59,9000000000000000),IF(AND(J59=0,ISNUMBER(AL59),AL59&lt;=T59),AL59,9000000000000000),IF(AND(K59=0,ISNUMBER(AM59),AM59&lt;=T59),AM59,9000000000000000))),"OR",IF(AND(AND(J59=0,ISNUMBER(AL59),AL59&lt;=T59),AL59=MIN(IF(AND(I59=0,ISNUMBER(AK59),AK59&lt;=T59),AK59,9000000000000000),IF(AND(J59=0,ISNUMBER(AL59),AL59&lt;=T59),AL59,9000000000000000),IF(AND(K59=0,ISNUMBER(AM59),AM59&lt;=T59),AM59,9000000000000000))),"HP","FP")),IF(AR59=TRUE(),"",IF(MAX(IF(AND(NOT(AND(AO59=1,AN59&lt;&gt;1)),ISNUMBER(AG59),AG59&lt;=T59),AS59,0),IF(AND(NOT(AND(AO59=1,AN59&lt;&gt;1)),ISNUMBER(AH59),AH59&lt;=T59),AT59,0),IF(AND(NOT(AND(AO59=1,AN59&lt;&gt;1)),ISNUMBER(AI59),AI59&lt;=T59),AU59,0),IF(AND(ISNUMBER(AJ59),AJ59&lt;=T59),AV59,0))&lt;=0,"",IF(AND(IF(AND(NOT(AND(AO59=1,AN59&lt;&gt;1)),ISNUMBER(AG59),AG59&lt;=T59),AS59,0)&gt;0,IF(AND(NOT(AND(AO59=1,AN59&lt;&gt;1)),ISNUMBER(AG59),AG59&lt;=T59),AS59,0)=MAX(IF(AND(NOT(AND(AO59=1,AN59&lt;&gt;1)),ISNUMBER(AG59),AG59&lt;=T59),AS59,0),IF(AND(NOT(AND(AO59=1,AN59&lt;&gt;1)),ISNUMBER(AH59),AH59&lt;=T59),AT59,0),IF(AND(NOT(AND(AO59=1,AN59&lt;&gt;1)),ISNUMBER(AI59),AI59&lt;=T59),AU59,0),IF(AND(ISNUMBER(AJ59),AJ59&lt;=T59),AV59,0))),"SW",IF(AND(IF(AND(NOT(AND(AO59=1,AN59&lt;&gt;1)),ISNUMBER(AH59),AH59&lt;=T59),AT59,0)&gt;0,IF(AND(NOT(AND(AO59=1,AN59&lt;&gt;1)),ISNUMBER(AH59),AH59&lt;=T59),AT59,0)=MAX(IF(AND(NOT(AND(AO59=1,AN59&lt;&gt;1)),ISNUMBER(AG59),AG59&lt;=T59),AS59,0),IF(AND(NOT(AND(AO59=1,AN59&lt;&gt;1)),ISNUMBER(AH59),AH59&lt;=T59),AT59,0),IF(AND(NOT(AND(AO59=1,AN59&lt;&gt;1)),ISNUMBER(AI59),AI59&lt;=T59),AU59,0),IF(AND(ISNUMBER(AJ59),AJ59&lt;=T59),AV59,0))),"AB",IF(AND(IF(AND(NOT(AND(AO59=1,AN59&lt;&gt;1)),ISNUMBER(AI59),AI59&lt;=T59),AU59,0)&gt;0,IF(AND(NOT(AND(AO59=1,AN59&lt;&gt;1)),ISNUMBER(AI59),AI59&lt;=T59),AU59,0)=MAX(IF(AND(NOT(AND(AO59=1,AN59&lt;&gt;1)),ISNUMBER(AG59),AG59&lt;=T59),AS59,0),IF(AND(NOT(AND(AO59=1,AN59&lt;&gt;1)),ISNUMBER(AH59),AH59&lt;=T59),AT59,0),IF(AND(NOT(AND(AO59=1,AN59&lt;&gt;1)),ISNUMBER(AI59),AI59&lt;=T59),AU59,0),IF(AND(ISNUMBER(AJ59),AJ59&lt;=T59),AV59,0))),"SC","Mag")))))))</f>
        <v>SW</v>
      </c>
    </row>
    <row r="60" customFormat="false" ht="15" hidden="false" customHeight="false" outlineLevel="0" collapsed="false">
      <c r="A60" s="26" t="n">
        <v>55</v>
      </c>
      <c r="B60" s="27" t="n">
        <f aca="false">A60*10/60</f>
        <v>9.16666666666667</v>
      </c>
      <c r="C60" s="21" t="n">
        <f aca="false">X59</f>
        <v>51.2397647559541</v>
      </c>
      <c r="D60" s="27" t="n">
        <f aca="false">D59+W59</f>
        <v>0</v>
      </c>
      <c r="E60" s="26" t="n">
        <f aca="false">E59+IF(U59="SW",1,0)</f>
        <v>11</v>
      </c>
      <c r="F60" s="26" t="n">
        <f aca="false">F59+IF(U59="AB",1,0)</f>
        <v>10</v>
      </c>
      <c r="G60" s="26" t="n">
        <f aca="false">G59+IF(U59="SC",1,0)</f>
        <v>7</v>
      </c>
      <c r="H60" s="26" t="n">
        <f aca="false">H59+IF(U59="Mag",1,0)</f>
        <v>5</v>
      </c>
      <c r="I60" s="26" t="n">
        <f aca="false">MAX(I59,IF(U59="OR",1,0))</f>
        <v>1</v>
      </c>
      <c r="J60" s="26" t="n">
        <f aca="false">MAX(J59,IF(U59="HP",1,0))</f>
        <v>1</v>
      </c>
      <c r="K60" s="26" t="n">
        <f aca="false">MAX(K59,IF(U59="FP",1,0))</f>
        <v>1</v>
      </c>
      <c r="L60" s="26" t="n">
        <f aca="false">MAX(L59,IF(U59="transition",1,0))</f>
        <v>1</v>
      </c>
      <c r="M60" s="28" t="n">
        <f aca="false">(Parameters!$B$9+(IF(E60=0,0,(Upgrades!$J$6+E60*Upgrades!$K$6)*POWER(Upgrades!$L$6,E60)))*(IF(Upgrades!$T$7="Solar Wind",POWER(Upgrades!$U$7,F60),1)*IF(Upgrades!$T$8="Solar Wind",POWER(Upgrades!$U$8,G60),1)*IF(Upgrades!$T$9="Solar Wind",POWER(Upgrades!$U$9,H60),1)*IF(Upgrades!$T$10="Solar Wind",POWER(Upgrades!$U$10,I60),1)*IF(Upgrades!$T$11="Solar Wind",POWER(Upgrades!$U$11,J60),1)*IF(Upgrades!$T$12="Solar Wind",POWER(Upgrades!$U$12,K60),1))+(IF(F60=0,0,(Upgrades!$J$7+F60*Upgrades!$K$7)*POWER(Upgrades!$L$7,F60)))*(IF(Upgrades!$T$6="Asteroid Belt",POWER(Upgrades!$U$6,E60),1)*IF(Upgrades!$T$8="Asteroid Belt",POWER(Upgrades!$U$8,G60),1)*IF(Upgrades!$T$9="Asteroid Belt",POWER(Upgrades!$U$9,H60),1)*IF(Upgrades!$T$10="Asteroid Belt",POWER(Upgrades!$U$10,I60),1)*IF(Upgrades!$T$11="Asteroid Belt",POWER(Upgrades!$U$11,J60),1)*IF(Upgrades!$T$12="Asteroid Belt",POWER(Upgrades!$U$12,K60),1))+(IF(G60=0,0,(Upgrades!$J$8+G60*Upgrades!$K$8)*POWER(Upgrades!$L$8,G60)))*(IF(Upgrades!$T$6="Stellar Coupling",POWER(Upgrades!$U$6,E60),1)*IF(Upgrades!$T$7="Stellar Coupling",POWER(Upgrades!$U$7,F60),1)*IF(Upgrades!$T$9="Stellar Coupling",POWER(Upgrades!$U$9,H60),1)*IF(Upgrades!$T$10="Stellar Coupling",POWER(Upgrades!$U$10,I60),1)*IF(Upgrades!$T$11="Stellar Coupling",POWER(Upgrades!$U$11,J60),1)*IF(Upgrades!$T$12="Stellar Coupling",POWER(Upgrades!$U$12,K60),1))+(IF(H60=0,0,(Upgrades!$J$9+H60*Upgrades!$K$9)*POWER(Upgrades!$L$9,H60)))*(IF(Upgrades!$T$6="Magnetosphere",POWER(Upgrades!$U$6,E60),1)*IF(Upgrades!$T$7="Magnetosphere",POWER(Upgrades!$U$7,F60),1)*IF(Upgrades!$T$8="Magnetosphere",POWER(Upgrades!$U$8,G60),1)*IF(Upgrades!$T$10="Magnetosphere",POWER(Upgrades!$U$10,I60),1)*IF(Upgrades!$T$11="Magnetosphere",POWER(Upgrades!$U$11,J60),1)*IF(Upgrades!$T$12="Magnetosphere",POWER(Upgrades!$U$12,K60),1))+(IF(I60=0,0,(Upgrades!$J$10+I60*Upgrades!$K$10)*POWER(Upgrades!$L$10,I60)))*(IF(Upgrades!$T$6="Orbital Resonance",POWER(Upgrades!$U$6,E60),1)*IF(Upgrades!$T$7="Orbital Resonance",POWER(Upgrades!$U$7,F60),1)*IF(Upgrades!$T$8="Orbital Resonance",POWER(Upgrades!$U$8,G60),1)*IF(Upgrades!$T$9="Orbital Resonance",POWER(Upgrades!$U$9,H60),1)*IF(Upgrades!$T$11="Orbital Resonance",POWER(Upgrades!$U$11,J60),1)*IF(Upgrades!$T$12="Orbital Resonance",POWER(Upgrades!$U$12,K60),1))+(IF(J60=0,0,(Upgrades!$J$11+J60*Upgrades!$K$11)*POWER(Upgrades!$L$11,J60)))*(IF(Upgrades!$T$6="Heliopause",POWER(Upgrades!$U$6,E60),1)*IF(Upgrades!$T$7="Heliopause",POWER(Upgrades!$U$7,F60),1)*IF(Upgrades!$T$8="Heliopause",POWER(Upgrades!$U$8,G60),1)*IF(Upgrades!$T$9="Heliopause",POWER(Upgrades!$U$9,H60),1)*IF(Upgrades!$T$10="Heliopause",POWER(Upgrades!$U$10,I60),1)*IF(Upgrades!$T$12="Heliopause",POWER(Upgrades!$U$12,K60),1))+(IF(K60=0,0,(Upgrades!$J$12+K60*Upgrades!$K$12)*POWER(Upgrades!$L$12,K60)))*(IF(Upgrades!$T$6="First Photons",POWER(Upgrades!$U$6,E60),1)*IF(Upgrades!$T$7="First Photons",POWER(Upgrades!$U$7,F60),1)*IF(Upgrades!$T$8="First Photons",POWER(Upgrades!$U$8,G60),1)*IF(Upgrades!$T$9="First Photons",POWER(Upgrades!$U$9,H60),1)*IF(Upgrades!$T$10="First Photons",POWER(Upgrades!$U$10,I60),1)*IF(Upgrades!$T$11="First Photons",POWER(Upgrades!$U$11,J60),1)))*POWER(Upgrades!$Q$6,E60)*POWER(Upgrades!$Q$7,F60)*POWER(Upgrades!$Q$8,G60)*POWER(Upgrades!$Q$9,H60)*POWER(Upgrades!$Q$10,I60)*POWER(Upgrades!$Q$11,J60)*POWER(Upgrades!$Q$12,K60)</f>
        <v>5.61</v>
      </c>
      <c r="N60" s="28" t="n">
        <f aca="false">((IF(E60=0,0,(Upgrades!$G$6+E60*Upgrades!$H$6)*POWER(Upgrades!$I$6,E60)))*(IF(Upgrades!$T$7="Solar Wind",POWER(Upgrades!$U$7,F60),1)*IF(Upgrades!$T$8="Solar Wind",POWER(Upgrades!$U$8,G60),1)*IF(Upgrades!$T$9="Solar Wind",POWER(Upgrades!$U$9,H60),1)*IF(Upgrades!$T$10="Solar Wind",POWER(Upgrades!$U$10,I60),1)*IF(Upgrades!$T$11="Solar Wind",POWER(Upgrades!$U$11,J60),1)*IF(Upgrades!$T$12="Solar Wind",POWER(Upgrades!$U$12,K60),1))+(IF(F60=0,0,(Upgrades!$G$7+F60*Upgrades!$H$7)*POWER(Upgrades!$I$7,F60)))*(IF(Upgrades!$T$6="Asteroid Belt",POWER(Upgrades!$U$6,E60),1)*IF(Upgrades!$T$8="Asteroid Belt",POWER(Upgrades!$U$8,G60),1)*IF(Upgrades!$T$9="Asteroid Belt",POWER(Upgrades!$U$9,H60),1)*IF(Upgrades!$T$10="Asteroid Belt",POWER(Upgrades!$U$10,I60),1)*IF(Upgrades!$T$11="Asteroid Belt",POWER(Upgrades!$U$11,J60),1)*IF(Upgrades!$T$12="Asteroid Belt",POWER(Upgrades!$U$12,K60),1))+(IF(G60=0,0,(Upgrades!$G$8+G60*Upgrades!$H$8)*POWER(Upgrades!$I$8,G60)))*(IF(Upgrades!$T$6="Stellar Coupling",POWER(Upgrades!$U$6,E60),1)*IF(Upgrades!$T$7="Stellar Coupling",POWER(Upgrades!$U$7,F60),1)*IF(Upgrades!$T$9="Stellar Coupling",POWER(Upgrades!$U$9,H60),1)*IF(Upgrades!$T$10="Stellar Coupling",POWER(Upgrades!$U$10,I60),1)*IF(Upgrades!$T$11="Stellar Coupling",POWER(Upgrades!$U$11,J60),1)*IF(Upgrades!$T$12="Stellar Coupling",POWER(Upgrades!$U$12,K60),1))+(IF(H60=0,0,(Upgrades!$G$9+H60*Upgrades!$H$9)*POWER(Upgrades!$I$9,H60)))*(IF(Upgrades!$T$6="Magnetosphere",POWER(Upgrades!$U$6,E60),1)*IF(Upgrades!$T$7="Magnetosphere",POWER(Upgrades!$U$7,F60),1)*IF(Upgrades!$T$8="Magnetosphere",POWER(Upgrades!$U$8,G60),1)*IF(Upgrades!$T$10="Magnetosphere",POWER(Upgrades!$U$10,I60),1)*IF(Upgrades!$T$11="Magnetosphere",POWER(Upgrades!$U$11,J60),1)*IF(Upgrades!$T$12="Magnetosphere",POWER(Upgrades!$U$12,K60),1))+(IF(I60=0,0,(Upgrades!$G$10+I60*Upgrades!$H$10)*POWER(Upgrades!$I$10,I60)))*(IF(Upgrades!$T$6="Orbital Resonance",POWER(Upgrades!$U$6,E60),1)*IF(Upgrades!$T$7="Orbital Resonance",POWER(Upgrades!$U$7,F60),1)*IF(Upgrades!$T$8="Orbital Resonance",POWER(Upgrades!$U$8,G60),1)*IF(Upgrades!$T$9="Orbital Resonance",POWER(Upgrades!$U$9,H60),1)*IF(Upgrades!$T$11="Orbital Resonance",POWER(Upgrades!$U$11,J60),1)*IF(Upgrades!$T$12="Orbital Resonance",POWER(Upgrades!$U$12,K60),1))+(IF(J60=0,0,(Upgrades!$G$11+J60*Upgrades!$H$11)*POWER(Upgrades!$I$11,J60)))*(IF(Upgrades!$T$6="Heliopause",POWER(Upgrades!$U$6,E60),1)*IF(Upgrades!$T$7="Heliopause",POWER(Upgrades!$U$7,F60),1)*IF(Upgrades!$T$8="Heliopause",POWER(Upgrades!$U$8,G60),1)*IF(Upgrades!$T$9="Heliopause",POWER(Upgrades!$U$9,H60),1)*IF(Upgrades!$T$10="Heliopause",POWER(Upgrades!$U$10,I60),1)*IF(Upgrades!$T$12="Heliopause",POWER(Upgrades!$U$12,K60),1))+(IF(K60=0,0,(Upgrades!$G$12+K60*Upgrades!$H$12)*POWER(Upgrades!$I$12,K60)))*(IF(Upgrades!$T$6="First Photons",POWER(Upgrades!$U$6,E60),1)*IF(Upgrades!$T$7="First Photons",POWER(Upgrades!$U$7,F60),1)*IF(Upgrades!$T$8="First Photons",POWER(Upgrades!$U$8,G60),1)*IF(Upgrades!$T$9="First Photons",POWER(Upgrades!$U$9,H60),1)*IF(Upgrades!$T$10="First Photons",POWER(Upgrades!$U$10,I60),1)*IF(Upgrades!$T$11="First Photons",POWER(Upgrades!$U$11,J60),1)))*POWER(Upgrades!$P$6,E60)*POWER(Upgrades!$P$7,F60)*POWER(Upgrades!$P$8,G60)*POWER(Upgrades!$P$9,H60)*POWER(Upgrades!$P$10,I60)*POWER(Upgrades!$P$11,J60)*POWER(Upgrades!$P$12,K60)</f>
        <v>11.1</v>
      </c>
      <c r="O60" s="28" t="n">
        <f aca="false">((IF(E60=0,0,(Upgrades!$M$6+E60*Upgrades!$N$6)*POWER(Upgrades!$O$6,E60)))*(IF(Upgrades!$T$7="Solar Wind",POWER(Upgrades!$U$7,F60),1)*IF(Upgrades!$T$8="Solar Wind",POWER(Upgrades!$U$8,G60),1)*IF(Upgrades!$T$9="Solar Wind",POWER(Upgrades!$U$9,H60),1)*IF(Upgrades!$T$10="Solar Wind",POWER(Upgrades!$U$10,I60),1)*IF(Upgrades!$T$11="Solar Wind",POWER(Upgrades!$U$11,J60),1)*IF(Upgrades!$T$12="Solar Wind",POWER(Upgrades!$U$12,K60),1))+(IF(F60=0,0,(Upgrades!$M$7+F60*Upgrades!$N$7)*POWER(Upgrades!$O$7,F60)))*(IF(Upgrades!$T$6="Asteroid Belt",POWER(Upgrades!$U$6,E60),1)*IF(Upgrades!$T$8="Asteroid Belt",POWER(Upgrades!$U$8,G60),1)*IF(Upgrades!$T$9="Asteroid Belt",POWER(Upgrades!$U$9,H60),1)*IF(Upgrades!$T$10="Asteroid Belt",POWER(Upgrades!$U$10,I60),1)*IF(Upgrades!$T$11="Asteroid Belt",POWER(Upgrades!$U$11,J60),1)*IF(Upgrades!$T$12="Asteroid Belt",POWER(Upgrades!$U$12,K60),1))+(IF(G60=0,0,(Upgrades!$M$8+G60*Upgrades!$N$8)*POWER(Upgrades!$O$8,G60)))*(IF(Upgrades!$T$6="Stellar Coupling",POWER(Upgrades!$U$6,E60),1)*IF(Upgrades!$T$7="Stellar Coupling",POWER(Upgrades!$U$7,F60),1)*IF(Upgrades!$T$9="Stellar Coupling",POWER(Upgrades!$U$9,H60),1)*IF(Upgrades!$T$10="Stellar Coupling",POWER(Upgrades!$U$10,I60),1)*IF(Upgrades!$T$11="Stellar Coupling",POWER(Upgrades!$U$11,J60),1)*IF(Upgrades!$T$12="Stellar Coupling",POWER(Upgrades!$U$12,K60),1))+(IF(H60=0,0,(Upgrades!$M$9+H60*Upgrades!$N$9)*POWER(Upgrades!$O$9,H60)))*(IF(Upgrades!$T$6="Magnetosphere",POWER(Upgrades!$U$6,E60),1)*IF(Upgrades!$T$7="Magnetosphere",POWER(Upgrades!$U$7,F60),1)*IF(Upgrades!$T$8="Magnetosphere",POWER(Upgrades!$U$8,G60),1)*IF(Upgrades!$T$10="Magnetosphere",POWER(Upgrades!$U$10,I60),1)*IF(Upgrades!$T$11="Magnetosphere",POWER(Upgrades!$U$11,J60),1)*IF(Upgrades!$T$12="Magnetosphere",POWER(Upgrades!$U$12,K60),1))+(IF(I60=0,0,(Upgrades!$M$10+I60*Upgrades!$N$10)*POWER(Upgrades!$O$10,I60)))*(IF(Upgrades!$T$6="Orbital Resonance",POWER(Upgrades!$U$6,E60),1)*IF(Upgrades!$T$7="Orbital Resonance",POWER(Upgrades!$U$7,F60),1)*IF(Upgrades!$T$8="Orbital Resonance",POWER(Upgrades!$U$8,G60),1)*IF(Upgrades!$T$9="Orbital Resonance",POWER(Upgrades!$U$9,H60),1)*IF(Upgrades!$T$11="Orbital Resonance",POWER(Upgrades!$U$11,J60),1)*IF(Upgrades!$T$12="Orbital Resonance",POWER(Upgrades!$U$12,K60),1))+(IF(J60=0,0,(Upgrades!$M$11+J60*Upgrades!$N$11)*POWER(Upgrades!$O$11,J60)))*(IF(Upgrades!$T$6="Heliopause",POWER(Upgrades!$U$6,E60),1)*IF(Upgrades!$T$7="Heliopause",POWER(Upgrades!$U$7,F60),1)*IF(Upgrades!$T$8="Heliopause",POWER(Upgrades!$U$8,G60),1)*IF(Upgrades!$T$9="Heliopause",POWER(Upgrades!$U$9,H60),1)*IF(Upgrades!$T$10="Heliopause",POWER(Upgrades!$U$10,I60),1)*IF(Upgrades!$T$12="Heliopause",POWER(Upgrades!$U$12,K60),1))+(IF(K60=0,0,(Upgrades!$M$12+K60*Upgrades!$N$12)*POWER(Upgrades!$O$12,K60)))*(IF(Upgrades!$T$6="First Photons",POWER(Upgrades!$U$6,E60),1)*IF(Upgrades!$T$7="First Photons",POWER(Upgrades!$U$7,F60),1)*IF(Upgrades!$T$8="First Photons",POWER(Upgrades!$U$8,G60),1)*IF(Upgrades!$T$9="First Photons",POWER(Upgrades!$U$9,H60),1)*IF(Upgrades!$T$10="First Photons",POWER(Upgrades!$U$10,I60),1)*IF(Upgrades!$T$11="First Photons",POWER(Upgrades!$U$11,J60),1)))*POWER(Upgrades!$R$6,E60)*POWER(Upgrades!$R$7,F60)*POWER(Upgrades!$R$8,G60)*POWER(Upgrades!$R$9,H60)*POWER(Upgrades!$R$10,I60)*POWER(Upgrades!$R$11,J60)*POWER(Upgrades!$R$12,K60)</f>
        <v>0</v>
      </c>
      <c r="P60" s="27" t="n">
        <f aca="false">IF(L60=1,0,M60*Parameters!$B$10/60*Parameters!$B$11*10)</f>
        <v>0</v>
      </c>
      <c r="Q60" s="27" t="n">
        <f aca="false">IF(L60=1,0,O60*M60*10)</f>
        <v>0</v>
      </c>
      <c r="R60" s="27" t="n">
        <f aca="false">IF(L60=1,0,N60*10)</f>
        <v>0</v>
      </c>
      <c r="S60" s="27" t="n">
        <f aca="false">P60+Q60+R60</f>
        <v>0</v>
      </c>
      <c r="T60" s="21" t="n">
        <f aca="false">C60+S60</f>
        <v>51.2397647559541</v>
      </c>
      <c r="U60" s="34" t="str">
        <f aca="false">AX60</f>
        <v>SW</v>
      </c>
      <c r="V60" s="21" t="n">
        <f aca="false">IF(U60="",0,IF(U60="transition",0,IF(U60="SW",AG60,IF(U60="AB",AH60,IF(U60="SC",AI60,IF(U60="Mag",AJ60,IF(U60="OR",AK60,IF(U60="HP",AL60,IF(U60="FP",AM60,0)))))))))</f>
        <v>32.5667397724487</v>
      </c>
      <c r="W60" s="27" t="n">
        <f aca="false">IF(U60="OR",Upgrades!$F$10,IF(U60="HP",Upgrades!$F$11,IF(U60="transition",-Parameters!$B$18,0)))</f>
        <v>0</v>
      </c>
      <c r="X60" s="21" t="n">
        <f aca="false">T60-V60</f>
        <v>18.6730249835055</v>
      </c>
      <c r="Y60" s="30" t="n">
        <f aca="false">M60*Parameters!$B$10/60*Parameters!$B$11+O60*M60+N60</f>
        <v>20.45</v>
      </c>
      <c r="Z60" s="35" t="str">
        <f aca="false">IF(U60="transition","→ Tier 2 (Stellar Neighborhood)",IF(U60="FP","First Photons — light begins, system quickens",IF(U60="HP","Heliopause acquired",IF(U60="OR","Orbital Resonance — passive multiplier active",IF(AND(AO60=1,L60=0,AN60&lt;&gt;1),"Cohesion ready (waiting on completionist upgrades)","")))))</f>
        <v/>
      </c>
      <c r="AA60" s="27" t="n">
        <f aca="false">(IF(E60=0,0,(Upgrades!$G$6+E60*Upgrades!$H$6)*POWER(Upgrades!$I$6,E60)))*(IF(Upgrades!$T$7="Solar Wind",POWER(Upgrades!$U$7,F60),1)*IF(Upgrades!$T$8="Solar Wind",POWER(Upgrades!$U$8,G60),1)*IF(Upgrades!$T$9="Solar Wind",POWER(Upgrades!$U$9,H60),1)*IF(Upgrades!$T$10="Solar Wind",POWER(Upgrades!$U$10,I60),1)*IF(Upgrades!$T$11="Solar Wind",POWER(Upgrades!$U$11,J60),1)*IF(Upgrades!$T$12="Solar Wind",POWER(Upgrades!$U$12,K60),1))*POWER(Upgrades!$P$6,E60)*POWER(Upgrades!$P$7,F60)*POWER(Upgrades!$P$8,G60)*POWER(Upgrades!$P$9,H60)*POWER(Upgrades!$P$10,I60)*POWER(Upgrades!$P$11,J60)*POWER(Upgrades!$P$12,K60)*60</f>
        <v>66</v>
      </c>
      <c r="AB60" s="27" t="n">
        <f aca="false">(IF(F60=0,0,(Upgrades!$G$7+F60*Upgrades!$H$7)*POWER(Upgrades!$I$7,F60)))*(IF(Upgrades!$T$6="Asteroid Belt",POWER(Upgrades!$U$6,E60),1)*IF(Upgrades!$T$8="Asteroid Belt",POWER(Upgrades!$U$8,G60),1)*IF(Upgrades!$T$9="Asteroid Belt",POWER(Upgrades!$U$9,H60),1)*IF(Upgrades!$T$10="Asteroid Belt",POWER(Upgrades!$U$10,I60),1)*IF(Upgrades!$T$11="Asteroid Belt",POWER(Upgrades!$U$11,J60),1)*IF(Upgrades!$T$12="Asteroid Belt",POWER(Upgrades!$U$12,K60),1))*POWER(Upgrades!$P$6,E60)*POWER(Upgrades!$P$7,F60)*POWER(Upgrades!$P$8,G60)*POWER(Upgrades!$P$9,H60)*POWER(Upgrades!$P$10,I60)*POWER(Upgrades!$P$11,J60)*POWER(Upgrades!$P$12,K60)*60</f>
        <v>150</v>
      </c>
      <c r="AC60" s="27" t="n">
        <f aca="false">(IF(G60=0,0,(Upgrades!$J$8+G60*Upgrades!$K$8)*POWER(Upgrades!$L$8,G60)))*(IF(Upgrades!$T$6="Stellar Coupling",POWER(Upgrades!$U$6,E60),1)*IF(Upgrades!$T$7="Stellar Coupling",POWER(Upgrades!$U$7,F60),1)*IF(Upgrades!$T$9="Stellar Coupling",POWER(Upgrades!$U$9,H60),1)*IF(Upgrades!$T$10="Stellar Coupling",POWER(Upgrades!$U$10,I60),1)*IF(Upgrades!$T$11="Stellar Coupling",POWER(Upgrades!$U$11,J60),1)*IF(Upgrades!$T$12="Stellar Coupling",POWER(Upgrades!$U$12,K60),1))*POWER(Upgrades!$Q$6,E60)*POWER(Upgrades!$Q$7,F60)*POWER(Upgrades!$Q$8,G60)*POWER(Upgrades!$Q$9,H60)*POWER(Upgrades!$Q$10,I60)*POWER(Upgrades!$Q$11,J60)*POWER(Upgrades!$Q$12,K60)*Parameters!$B$10*Parameters!$B$11</f>
        <v>441</v>
      </c>
      <c r="AD60" s="27" t="n">
        <f aca="false">(IF(H60=0,0,(Upgrades!$G$9+H60*Upgrades!$H$9)*POWER(Upgrades!$I$9,H60)))*(IF(Upgrades!$T$6="Magnetosphere",POWER(Upgrades!$U$6,E60),1)*IF(Upgrades!$T$7="Magnetosphere",POWER(Upgrades!$U$7,F60),1)*IF(Upgrades!$T$8="Magnetosphere",POWER(Upgrades!$U$8,G60),1)*IF(Upgrades!$T$10="Magnetosphere",POWER(Upgrades!$U$10,I60),1)*IF(Upgrades!$T$11="Magnetosphere",POWER(Upgrades!$U$11,J60),1)*IF(Upgrades!$T$12="Magnetosphere",POWER(Upgrades!$U$12,K60),1))*POWER(Upgrades!$P$6,E60)*POWER(Upgrades!$P$7,F60)*POWER(Upgrades!$P$8,G60)*POWER(Upgrades!$P$9,H60)*POWER(Upgrades!$P$10,I60)*POWER(Upgrades!$P$11,J60)*POWER(Upgrades!$P$12,K60)*60</f>
        <v>375</v>
      </c>
      <c r="AE60" s="27" t="n">
        <f aca="false">(IF(K60=0,0,(Upgrades!$G$12+K60*Upgrades!$H$12)*POWER(Upgrades!$I$12,K60)))*(IF(Upgrades!$T$6="First Photons",POWER(Upgrades!$U$6,E60),1)*IF(Upgrades!$T$7="First Photons",POWER(Upgrades!$U$7,F60),1)*IF(Upgrades!$T$8="First Photons",POWER(Upgrades!$U$8,G60),1)*IF(Upgrades!$T$9="First Photons",POWER(Upgrades!$U$9,H60),1)*IF(Upgrades!$T$10="First Photons",POWER(Upgrades!$U$10,I60),1)*IF(Upgrades!$T$11="First Photons",POWER(Upgrades!$U$11,J60),1))*POWER(Upgrades!$P$6,E60)*POWER(Upgrades!$P$7,F60)*POWER(Upgrades!$P$8,G60)*POWER(Upgrades!$P$9,H60)*POWER(Upgrades!$P$10,I60)*POWER(Upgrades!$P$11,J60)*POWER(Upgrades!$P$12,K60)*60</f>
        <v>75</v>
      </c>
      <c r="AF60" s="27" t="n">
        <f aca="false">Parameters!$B$9*POWER(Upgrades!$Q$6,E60)*POWER(Upgrades!$Q$7,F60)*POWER(Upgrades!$Q$8,G60)*POWER(Upgrades!$Q$9,H60)*POWER(Upgrades!$Q$10,I60)*POWER(Upgrades!$Q$11,J60)*POWER(Upgrades!$Q$12,K60)*(Parameters!$B$10*Parameters!$B$11+O60*60)</f>
        <v>120</v>
      </c>
      <c r="AG60" s="21" t="n">
        <f aca="false">IF(E60&gt;=Upgrades!$E$6,"",Upgrades!$C$6*POWER(Upgrades!$D$6,E60))</f>
        <v>32.5667397724487</v>
      </c>
      <c r="AH60" s="21" t="n">
        <f aca="false">IF(F60&gt;=Upgrades!$E$7,"",Upgrades!$C$7*POWER(Upgrades!$D$7,F60))</f>
        <v>80.9111547141581</v>
      </c>
      <c r="AI60" s="21" t="n">
        <f aca="false">IF(G60&gt;=Upgrades!$E$8,"",Upgrades!$C$8*POWER(Upgrades!$D$8,G60))</f>
        <v>231.9097088</v>
      </c>
      <c r="AJ60" s="21" t="str">
        <f aca="false">IF(H60&gt;=Upgrades!$E$9,"",Upgrades!$C$9*POWER(Upgrades!$D$9,H60))</f>
        <v/>
      </c>
      <c r="AK60" s="21" t="str">
        <f aca="false">IF(I60&gt;=Upgrades!$E$10,"",Upgrades!$C$10*POWER(Upgrades!$D$10,I60))</f>
        <v/>
      </c>
      <c r="AL60" s="21" t="str">
        <f aca="false">IF(J60&gt;=Upgrades!$E$11,"",Upgrades!$C$11*POWER(Upgrades!$D$11,J60))</f>
        <v/>
      </c>
      <c r="AM60" s="21" t="str">
        <f aca="false">IF(K60&gt;=Upgrades!$E$12,"",Upgrades!$C$12*POWER(Upgrades!$D$12,K60))</f>
        <v/>
      </c>
      <c r="AN60" s="26" t="str">
        <f aca="false">IF(AND(D60&gt;=Parameters!$B$18,(H60&gt;=Upgrades!$E$9)*(K60&gt;=Upgrades!$E$12)=1,L60=0),1,"")</f>
        <v/>
      </c>
      <c r="AO60" s="26" t="str">
        <f aca="false">IF(AND(D60&gt;=Parameters!$B$18,L60=0),1,"")</f>
        <v/>
      </c>
      <c r="AP60" s="21" t="n">
        <f aca="false">MIN(IF(ISNUMBER(AK60),AK60,9000000000000000),IF(ISNUMBER(AL60),AL60,9000000000000000),IF(ISNUMBER(AM60),AM60,9000000000000000))</f>
        <v>9000000000000000</v>
      </c>
      <c r="AQ60" s="21" t="n">
        <f aca="false">MIN(IF(ISNUMBER(AG60),AG60,9000000000000000),IF(ISNUMBER(AH60),AH60,9000000000000000),IF(ISNUMBER(AI60),AI60,9000000000000000),IF(ISNUMBER(AJ60),AJ60,9000000000000000))</f>
        <v>32.5667397724487</v>
      </c>
      <c r="AR60" s="32" t="b">
        <f aca="false">IF(AW60&gt;Parameters!$B$21*(MAX(IF(AND(NOT(AND(AO60=1,AN60&lt;&gt;1)),ISNUMBER(AG60),AG60&lt;=T60),AS60,0),IF(AND(NOT(AND(AO60=1,AN60&lt;&gt;1)),ISNUMBER(AH60),AH60&lt;=T60),AT60,0),IF(AND(NOT(AND(AO60=1,AN60&lt;&gt;1)),ISNUMBER(AI60),AI60&lt;=T60),AU60,0),IF(AND(ISNUMBER(AJ60),AJ60&lt;=T60),AV60,0))),TRUE(),FALSE())</f>
        <v>0</v>
      </c>
      <c r="AS60" s="33" t="n">
        <f aca="false">IFERROR(Upgrades!$H$6*(POWER(Upgrades!$P$6,E60)*POWER(Upgrades!$P$7,F60)*POWER(Upgrades!$P$8,G60)*POWER(Upgrades!$P$9,H60)*POWER(Upgrades!$P$10,I60)*POWER(Upgrades!$P$11,J60)*POWER(Upgrades!$P$12,K60))*(IF(Upgrades!$T$7="Solar Wind",POWER(Upgrades!$U$7,F60),1)*IF(Upgrades!$T$8="Solar Wind",POWER(Upgrades!$U$8,G60),1)*IF(Upgrades!$T$9="Solar Wind",POWER(Upgrades!$U$9,H60),1)*IF(Upgrades!$T$10="Solar Wind",POWER(Upgrades!$U$10,I60),1)*IF(Upgrades!$T$11="Solar Wind",POWER(Upgrades!$U$11,J60),1)*IF(Upgrades!$T$12="Solar Wind",POWER(Upgrades!$U$12,K60),1))/AG60,0)</f>
        <v>0.00307061746735237</v>
      </c>
      <c r="AT60" s="33" t="n">
        <f aca="false">IFERROR(Upgrades!$H$7*(POWER(Upgrades!$P$6,E60)*POWER(Upgrades!$P$7,F60)*POWER(Upgrades!$P$8,G60)*POWER(Upgrades!$P$9,H60)*POWER(Upgrades!$P$10,I60)*POWER(Upgrades!$P$11,J60)*POWER(Upgrades!$P$12,K60))*(IF(Upgrades!$T$6="Asteroid Belt",POWER(Upgrades!$U$6,E60),1)*IF(Upgrades!$T$8="Asteroid Belt",POWER(Upgrades!$U$8,G60),1)*IF(Upgrades!$T$9="Asteroid Belt",POWER(Upgrades!$U$9,H60),1)*IF(Upgrades!$T$10="Asteroid Belt",POWER(Upgrades!$U$10,I60),1)*IF(Upgrades!$T$11="Asteroid Belt",POWER(Upgrades!$U$11,J60),1)*IF(Upgrades!$T$12="Asteroid Belt",POWER(Upgrades!$U$12,K60),1))/AH60,0)</f>
        <v>0.00308980882652332</v>
      </c>
      <c r="AU60" s="33" t="n">
        <f aca="false">IFERROR(Upgrades!$K$8*(POWER(Upgrades!$Q$6,E60)*POWER(Upgrades!$Q$7,F60)*POWER(Upgrades!$Q$8,G60)*POWER(Upgrades!$Q$9,H60)*POWER(Upgrades!$Q$10,I60)*POWER(Upgrades!$Q$11,J60)*POWER(Upgrades!$Q$12,K60))*(IF(Upgrades!$T$6="Stellar Coupling",POWER(Upgrades!$U$6,E60),1)*IF(Upgrades!$T$7="Stellar Coupling",POWER(Upgrades!$U$7,F60),1)*IF(Upgrades!$T$9="Stellar Coupling",POWER(Upgrades!$U$9,H60),1)*IF(Upgrades!$T$10="Stellar Coupling",POWER(Upgrades!$U$10,I60),1)*IF(Upgrades!$T$11="Stellar Coupling",POWER(Upgrades!$U$11,J60),1)*IF(Upgrades!$T$12="Stellar Coupling",POWER(Upgrades!$U$12,K60),1))*Parameters!$B$10*Parameters!$B$11/60/AI60,0)</f>
        <v>0.00452762415783776</v>
      </c>
      <c r="AV60" s="33" t="n">
        <f aca="false">IFERROR(Upgrades!$H$9*(POWER(Upgrades!$P$6,E60)*POWER(Upgrades!$P$7,F60)*POWER(Upgrades!$P$8,G60)*POWER(Upgrades!$P$9,H60)*POWER(Upgrades!$P$10,I60)*POWER(Upgrades!$P$11,J60)*POWER(Upgrades!$P$12,K60))*(IF(Upgrades!$T$6="Magnetosphere",POWER(Upgrades!$U$6,E60),1)*IF(Upgrades!$T$7="Magnetosphere",POWER(Upgrades!$U$7,F60),1)*IF(Upgrades!$T$8="Magnetosphere",POWER(Upgrades!$U$8,G60),1)*IF(Upgrades!$T$10="Magnetosphere",POWER(Upgrades!$U$10,I60),1)*IF(Upgrades!$T$11="Magnetosphere",POWER(Upgrades!$U$11,J60),1)*IF(Upgrades!$T$12="Magnetosphere",POWER(Upgrades!$U$12,K60),1))/AJ60,0)</f>
        <v>0</v>
      </c>
      <c r="AW60" s="33" t="n">
        <f aca="false">MAX(IF(I60&gt;0,0,IFERROR(0.25*N60/Upgrades!$C$10,0)),IF(J60&gt;0,0,IFERROR(0.5*((IF(G60=0,0,(Upgrades!$J$8+G60*Upgrades!$K$8)*POWER(Upgrades!$L$8,G60)))*(IF(Upgrades!$T$6="Stellar Coupling",POWER(Upgrades!$U$6,E60),1)*IF(Upgrades!$T$7="Stellar Coupling",POWER(Upgrades!$U$7,F60),1)*IF(Upgrades!$T$9="Stellar Coupling",POWER(Upgrades!$U$9,H60),1)*IF(Upgrades!$T$10="Stellar Coupling",POWER(Upgrades!$U$10,I60),1)*IF(Upgrades!$T$11="Stellar Coupling",POWER(Upgrades!$U$11,J60),1)*IF(Upgrades!$T$12="Stellar Coupling",POWER(Upgrades!$U$12,K60),1))*(POWER(Upgrades!$Q$6,E60)*POWER(Upgrades!$Q$7,F60)*POWER(Upgrades!$Q$8,G60)*POWER(Upgrades!$Q$9,H60)*POWER(Upgrades!$Q$10,I60)*POWER(Upgrades!$Q$11,J60)*POWER(Upgrades!$Q$12,K60))*Parameters!$B$10*Parameters!$B$11/60)/Upgrades!$C$11,0)),IF(K60&gt;0,0,IFERROR((1*(POWER(Upgrades!$P$6,E60)*POWER(Upgrades!$P$7,F60)*POWER(Upgrades!$P$8,G60)*POWER(Upgrades!$P$9,H60)*POWER(Upgrades!$P$10,I60)*POWER(Upgrades!$P$11,J60)*POWER(Upgrades!$P$12,K60))+0.2*M60*Parameters!$B$10*Parameters!$B$11/60)/Upgrades!$C$12,0)),IF(AND(ISNUMBER(AG60),AG60&gt;T60),AS60,0),IF(AND(ISNUMBER(AH60),AH60&gt;T60),AT60,0),IF(AND(ISNUMBER(AI60),AI60&gt;T60),AU60,0),IF(AND(ISNUMBER(AJ60),AJ60&gt;T60),AV60,0))</f>
        <v>0.00452762415783776</v>
      </c>
      <c r="AX60" s="29" t="str">
        <f aca="false">IF(AN60=1,"transition",IF(MIN(IF(AND(I60=0,ISNUMBER(AK60),AK60&lt;=T60),AK60,9000000000000000),IF(AND(J60=0,ISNUMBER(AL60),AL60&lt;=T60),AL60,9000000000000000),IF(AND(K60=0,ISNUMBER(AM60),AM60&lt;=T60),AM60,9000000000000000))&lt;9000000000000000,IF(AND(AND(I60=0,ISNUMBER(AK60),AK60&lt;=T60),AK60=MIN(IF(AND(I60=0,ISNUMBER(AK60),AK60&lt;=T60),AK60,9000000000000000),IF(AND(J60=0,ISNUMBER(AL60),AL60&lt;=T60),AL60,9000000000000000),IF(AND(K60=0,ISNUMBER(AM60),AM60&lt;=T60),AM60,9000000000000000))),"OR",IF(AND(AND(J60=0,ISNUMBER(AL60),AL60&lt;=T60),AL60=MIN(IF(AND(I60=0,ISNUMBER(AK60),AK60&lt;=T60),AK60,9000000000000000),IF(AND(J60=0,ISNUMBER(AL60),AL60&lt;=T60),AL60,9000000000000000),IF(AND(K60=0,ISNUMBER(AM60),AM60&lt;=T60),AM60,9000000000000000))),"HP","FP")),IF(AR60=TRUE(),"",IF(MAX(IF(AND(NOT(AND(AO60=1,AN60&lt;&gt;1)),ISNUMBER(AG60),AG60&lt;=T60),AS60,0),IF(AND(NOT(AND(AO60=1,AN60&lt;&gt;1)),ISNUMBER(AH60),AH60&lt;=T60),AT60,0),IF(AND(NOT(AND(AO60=1,AN60&lt;&gt;1)),ISNUMBER(AI60),AI60&lt;=T60),AU60,0),IF(AND(ISNUMBER(AJ60),AJ60&lt;=T60),AV60,0))&lt;=0,"",IF(AND(IF(AND(NOT(AND(AO60=1,AN60&lt;&gt;1)),ISNUMBER(AG60),AG60&lt;=T60),AS60,0)&gt;0,IF(AND(NOT(AND(AO60=1,AN60&lt;&gt;1)),ISNUMBER(AG60),AG60&lt;=T60),AS60,0)=MAX(IF(AND(NOT(AND(AO60=1,AN60&lt;&gt;1)),ISNUMBER(AG60),AG60&lt;=T60),AS60,0),IF(AND(NOT(AND(AO60=1,AN60&lt;&gt;1)),ISNUMBER(AH60),AH60&lt;=T60),AT60,0),IF(AND(NOT(AND(AO60=1,AN60&lt;&gt;1)),ISNUMBER(AI60),AI60&lt;=T60),AU60,0),IF(AND(ISNUMBER(AJ60),AJ60&lt;=T60),AV60,0))),"SW",IF(AND(IF(AND(NOT(AND(AO60=1,AN60&lt;&gt;1)),ISNUMBER(AH60),AH60&lt;=T60),AT60,0)&gt;0,IF(AND(NOT(AND(AO60=1,AN60&lt;&gt;1)),ISNUMBER(AH60),AH60&lt;=T60),AT60,0)=MAX(IF(AND(NOT(AND(AO60=1,AN60&lt;&gt;1)),ISNUMBER(AG60),AG60&lt;=T60),AS60,0),IF(AND(NOT(AND(AO60=1,AN60&lt;&gt;1)),ISNUMBER(AH60),AH60&lt;=T60),AT60,0),IF(AND(NOT(AND(AO60=1,AN60&lt;&gt;1)),ISNUMBER(AI60),AI60&lt;=T60),AU60,0),IF(AND(ISNUMBER(AJ60),AJ60&lt;=T60),AV60,0))),"AB",IF(AND(IF(AND(NOT(AND(AO60=1,AN60&lt;&gt;1)),ISNUMBER(AI60),AI60&lt;=T60),AU60,0)&gt;0,IF(AND(NOT(AND(AO60=1,AN60&lt;&gt;1)),ISNUMBER(AI60),AI60&lt;=T60),AU60,0)=MAX(IF(AND(NOT(AND(AO60=1,AN60&lt;&gt;1)),ISNUMBER(AG60),AG60&lt;=T60),AS60,0),IF(AND(NOT(AND(AO60=1,AN60&lt;&gt;1)),ISNUMBER(AH60),AH60&lt;=T60),AT60,0),IF(AND(NOT(AND(AO60=1,AN60&lt;&gt;1)),ISNUMBER(AI60),AI60&lt;=T60),AU60,0),IF(AND(ISNUMBER(AJ60),AJ60&lt;=T60),AV60,0))),"SC","Mag")))))))</f>
        <v>SW</v>
      </c>
    </row>
    <row r="61" customFormat="false" ht="15" hidden="false" customHeight="false" outlineLevel="0" collapsed="false">
      <c r="A61" s="26" t="n">
        <v>56</v>
      </c>
      <c r="B61" s="27" t="n">
        <f aca="false">A61*10/60</f>
        <v>9.33333333333333</v>
      </c>
      <c r="C61" s="21" t="n">
        <f aca="false">X60</f>
        <v>18.6730249835055</v>
      </c>
      <c r="D61" s="27" t="n">
        <f aca="false">D60+W60</f>
        <v>0</v>
      </c>
      <c r="E61" s="26" t="n">
        <f aca="false">E60+IF(U60="SW",1,0)</f>
        <v>12</v>
      </c>
      <c r="F61" s="26" t="n">
        <f aca="false">F60+IF(U60="AB",1,0)</f>
        <v>10</v>
      </c>
      <c r="G61" s="26" t="n">
        <f aca="false">G60+IF(U60="SC",1,0)</f>
        <v>7</v>
      </c>
      <c r="H61" s="26" t="n">
        <f aca="false">H60+IF(U60="Mag",1,0)</f>
        <v>5</v>
      </c>
      <c r="I61" s="26" t="n">
        <f aca="false">MAX(I60,IF(U60="OR",1,0))</f>
        <v>1</v>
      </c>
      <c r="J61" s="26" t="n">
        <f aca="false">MAX(J60,IF(U60="HP",1,0))</f>
        <v>1</v>
      </c>
      <c r="K61" s="26" t="n">
        <f aca="false">MAX(K60,IF(U60="FP",1,0))</f>
        <v>1</v>
      </c>
      <c r="L61" s="26" t="n">
        <f aca="false">MAX(L60,IF(U60="transition",1,0))</f>
        <v>1</v>
      </c>
      <c r="M61" s="28" t="n">
        <f aca="false">(Parameters!$B$9+(IF(E61=0,0,(Upgrades!$J$6+E61*Upgrades!$K$6)*POWER(Upgrades!$L$6,E61)))*(IF(Upgrades!$T$7="Solar Wind",POWER(Upgrades!$U$7,F61),1)*IF(Upgrades!$T$8="Solar Wind",POWER(Upgrades!$U$8,G61),1)*IF(Upgrades!$T$9="Solar Wind",POWER(Upgrades!$U$9,H61),1)*IF(Upgrades!$T$10="Solar Wind",POWER(Upgrades!$U$10,I61),1)*IF(Upgrades!$T$11="Solar Wind",POWER(Upgrades!$U$11,J61),1)*IF(Upgrades!$T$12="Solar Wind",POWER(Upgrades!$U$12,K61),1))+(IF(F61=0,0,(Upgrades!$J$7+F61*Upgrades!$K$7)*POWER(Upgrades!$L$7,F61)))*(IF(Upgrades!$T$6="Asteroid Belt",POWER(Upgrades!$U$6,E61),1)*IF(Upgrades!$T$8="Asteroid Belt",POWER(Upgrades!$U$8,G61),1)*IF(Upgrades!$T$9="Asteroid Belt",POWER(Upgrades!$U$9,H61),1)*IF(Upgrades!$T$10="Asteroid Belt",POWER(Upgrades!$U$10,I61),1)*IF(Upgrades!$T$11="Asteroid Belt",POWER(Upgrades!$U$11,J61),1)*IF(Upgrades!$T$12="Asteroid Belt",POWER(Upgrades!$U$12,K61),1))+(IF(G61=0,0,(Upgrades!$J$8+G61*Upgrades!$K$8)*POWER(Upgrades!$L$8,G61)))*(IF(Upgrades!$T$6="Stellar Coupling",POWER(Upgrades!$U$6,E61),1)*IF(Upgrades!$T$7="Stellar Coupling",POWER(Upgrades!$U$7,F61),1)*IF(Upgrades!$T$9="Stellar Coupling",POWER(Upgrades!$U$9,H61),1)*IF(Upgrades!$T$10="Stellar Coupling",POWER(Upgrades!$U$10,I61),1)*IF(Upgrades!$T$11="Stellar Coupling",POWER(Upgrades!$U$11,J61),1)*IF(Upgrades!$T$12="Stellar Coupling",POWER(Upgrades!$U$12,K61),1))+(IF(H61=0,0,(Upgrades!$J$9+H61*Upgrades!$K$9)*POWER(Upgrades!$L$9,H61)))*(IF(Upgrades!$T$6="Magnetosphere",POWER(Upgrades!$U$6,E61),1)*IF(Upgrades!$T$7="Magnetosphere",POWER(Upgrades!$U$7,F61),1)*IF(Upgrades!$T$8="Magnetosphere",POWER(Upgrades!$U$8,G61),1)*IF(Upgrades!$T$10="Magnetosphere",POWER(Upgrades!$U$10,I61),1)*IF(Upgrades!$T$11="Magnetosphere",POWER(Upgrades!$U$11,J61),1)*IF(Upgrades!$T$12="Magnetosphere",POWER(Upgrades!$U$12,K61),1))+(IF(I61=0,0,(Upgrades!$J$10+I61*Upgrades!$K$10)*POWER(Upgrades!$L$10,I61)))*(IF(Upgrades!$T$6="Orbital Resonance",POWER(Upgrades!$U$6,E61),1)*IF(Upgrades!$T$7="Orbital Resonance",POWER(Upgrades!$U$7,F61),1)*IF(Upgrades!$T$8="Orbital Resonance",POWER(Upgrades!$U$8,G61),1)*IF(Upgrades!$T$9="Orbital Resonance",POWER(Upgrades!$U$9,H61),1)*IF(Upgrades!$T$11="Orbital Resonance",POWER(Upgrades!$U$11,J61),1)*IF(Upgrades!$T$12="Orbital Resonance",POWER(Upgrades!$U$12,K61),1))+(IF(J61=0,0,(Upgrades!$J$11+J61*Upgrades!$K$11)*POWER(Upgrades!$L$11,J61)))*(IF(Upgrades!$T$6="Heliopause",POWER(Upgrades!$U$6,E61),1)*IF(Upgrades!$T$7="Heliopause",POWER(Upgrades!$U$7,F61),1)*IF(Upgrades!$T$8="Heliopause",POWER(Upgrades!$U$8,G61),1)*IF(Upgrades!$T$9="Heliopause",POWER(Upgrades!$U$9,H61),1)*IF(Upgrades!$T$10="Heliopause",POWER(Upgrades!$U$10,I61),1)*IF(Upgrades!$T$12="Heliopause",POWER(Upgrades!$U$12,K61),1))+(IF(K61=0,0,(Upgrades!$J$12+K61*Upgrades!$K$12)*POWER(Upgrades!$L$12,K61)))*(IF(Upgrades!$T$6="First Photons",POWER(Upgrades!$U$6,E61),1)*IF(Upgrades!$T$7="First Photons",POWER(Upgrades!$U$7,F61),1)*IF(Upgrades!$T$8="First Photons",POWER(Upgrades!$U$8,G61),1)*IF(Upgrades!$T$9="First Photons",POWER(Upgrades!$U$9,H61),1)*IF(Upgrades!$T$10="First Photons",POWER(Upgrades!$U$10,I61),1)*IF(Upgrades!$T$11="First Photons",POWER(Upgrades!$U$11,J61),1)))*POWER(Upgrades!$Q$6,E61)*POWER(Upgrades!$Q$7,F61)*POWER(Upgrades!$Q$8,G61)*POWER(Upgrades!$Q$9,H61)*POWER(Upgrades!$Q$10,I61)*POWER(Upgrades!$Q$11,J61)*POWER(Upgrades!$Q$12,K61)</f>
        <v>5.61</v>
      </c>
      <c r="N61" s="28" t="n">
        <f aca="false">((IF(E61=0,0,(Upgrades!$G$6+E61*Upgrades!$H$6)*POWER(Upgrades!$I$6,E61)))*(IF(Upgrades!$T$7="Solar Wind",POWER(Upgrades!$U$7,F61),1)*IF(Upgrades!$T$8="Solar Wind",POWER(Upgrades!$U$8,G61),1)*IF(Upgrades!$T$9="Solar Wind",POWER(Upgrades!$U$9,H61),1)*IF(Upgrades!$T$10="Solar Wind",POWER(Upgrades!$U$10,I61),1)*IF(Upgrades!$T$11="Solar Wind",POWER(Upgrades!$U$11,J61),1)*IF(Upgrades!$T$12="Solar Wind",POWER(Upgrades!$U$12,K61),1))+(IF(F61=0,0,(Upgrades!$G$7+F61*Upgrades!$H$7)*POWER(Upgrades!$I$7,F61)))*(IF(Upgrades!$T$6="Asteroid Belt",POWER(Upgrades!$U$6,E61),1)*IF(Upgrades!$T$8="Asteroid Belt",POWER(Upgrades!$U$8,G61),1)*IF(Upgrades!$T$9="Asteroid Belt",POWER(Upgrades!$U$9,H61),1)*IF(Upgrades!$T$10="Asteroid Belt",POWER(Upgrades!$U$10,I61),1)*IF(Upgrades!$T$11="Asteroid Belt",POWER(Upgrades!$U$11,J61),1)*IF(Upgrades!$T$12="Asteroid Belt",POWER(Upgrades!$U$12,K61),1))+(IF(G61=0,0,(Upgrades!$G$8+G61*Upgrades!$H$8)*POWER(Upgrades!$I$8,G61)))*(IF(Upgrades!$T$6="Stellar Coupling",POWER(Upgrades!$U$6,E61),1)*IF(Upgrades!$T$7="Stellar Coupling",POWER(Upgrades!$U$7,F61),1)*IF(Upgrades!$T$9="Stellar Coupling",POWER(Upgrades!$U$9,H61),1)*IF(Upgrades!$T$10="Stellar Coupling",POWER(Upgrades!$U$10,I61),1)*IF(Upgrades!$T$11="Stellar Coupling",POWER(Upgrades!$U$11,J61),1)*IF(Upgrades!$T$12="Stellar Coupling",POWER(Upgrades!$U$12,K61),1))+(IF(H61=0,0,(Upgrades!$G$9+H61*Upgrades!$H$9)*POWER(Upgrades!$I$9,H61)))*(IF(Upgrades!$T$6="Magnetosphere",POWER(Upgrades!$U$6,E61),1)*IF(Upgrades!$T$7="Magnetosphere",POWER(Upgrades!$U$7,F61),1)*IF(Upgrades!$T$8="Magnetosphere",POWER(Upgrades!$U$8,G61),1)*IF(Upgrades!$T$10="Magnetosphere",POWER(Upgrades!$U$10,I61),1)*IF(Upgrades!$T$11="Magnetosphere",POWER(Upgrades!$U$11,J61),1)*IF(Upgrades!$T$12="Magnetosphere",POWER(Upgrades!$U$12,K61),1))+(IF(I61=0,0,(Upgrades!$G$10+I61*Upgrades!$H$10)*POWER(Upgrades!$I$10,I61)))*(IF(Upgrades!$T$6="Orbital Resonance",POWER(Upgrades!$U$6,E61),1)*IF(Upgrades!$T$7="Orbital Resonance",POWER(Upgrades!$U$7,F61),1)*IF(Upgrades!$T$8="Orbital Resonance",POWER(Upgrades!$U$8,G61),1)*IF(Upgrades!$T$9="Orbital Resonance",POWER(Upgrades!$U$9,H61),1)*IF(Upgrades!$T$11="Orbital Resonance",POWER(Upgrades!$U$11,J61),1)*IF(Upgrades!$T$12="Orbital Resonance",POWER(Upgrades!$U$12,K61),1))+(IF(J61=0,0,(Upgrades!$G$11+J61*Upgrades!$H$11)*POWER(Upgrades!$I$11,J61)))*(IF(Upgrades!$T$6="Heliopause",POWER(Upgrades!$U$6,E61),1)*IF(Upgrades!$T$7="Heliopause",POWER(Upgrades!$U$7,F61),1)*IF(Upgrades!$T$8="Heliopause",POWER(Upgrades!$U$8,G61),1)*IF(Upgrades!$T$9="Heliopause",POWER(Upgrades!$U$9,H61),1)*IF(Upgrades!$T$10="Heliopause",POWER(Upgrades!$U$10,I61),1)*IF(Upgrades!$T$12="Heliopause",POWER(Upgrades!$U$12,K61),1))+(IF(K61=0,0,(Upgrades!$G$12+K61*Upgrades!$H$12)*POWER(Upgrades!$I$12,K61)))*(IF(Upgrades!$T$6="First Photons",POWER(Upgrades!$U$6,E61),1)*IF(Upgrades!$T$7="First Photons",POWER(Upgrades!$U$7,F61),1)*IF(Upgrades!$T$8="First Photons",POWER(Upgrades!$U$8,G61),1)*IF(Upgrades!$T$9="First Photons",POWER(Upgrades!$U$9,H61),1)*IF(Upgrades!$T$10="First Photons",POWER(Upgrades!$U$10,I61),1)*IF(Upgrades!$T$11="First Photons",POWER(Upgrades!$U$11,J61),1)))*POWER(Upgrades!$P$6,E61)*POWER(Upgrades!$P$7,F61)*POWER(Upgrades!$P$8,G61)*POWER(Upgrades!$P$9,H61)*POWER(Upgrades!$P$10,I61)*POWER(Upgrades!$P$11,J61)*POWER(Upgrades!$P$12,K61)</f>
        <v>11.2</v>
      </c>
      <c r="O61" s="28" t="n">
        <f aca="false">((IF(E61=0,0,(Upgrades!$M$6+E61*Upgrades!$N$6)*POWER(Upgrades!$O$6,E61)))*(IF(Upgrades!$T$7="Solar Wind",POWER(Upgrades!$U$7,F61),1)*IF(Upgrades!$T$8="Solar Wind",POWER(Upgrades!$U$8,G61),1)*IF(Upgrades!$T$9="Solar Wind",POWER(Upgrades!$U$9,H61),1)*IF(Upgrades!$T$10="Solar Wind",POWER(Upgrades!$U$10,I61),1)*IF(Upgrades!$T$11="Solar Wind",POWER(Upgrades!$U$11,J61),1)*IF(Upgrades!$T$12="Solar Wind",POWER(Upgrades!$U$12,K61),1))+(IF(F61=0,0,(Upgrades!$M$7+F61*Upgrades!$N$7)*POWER(Upgrades!$O$7,F61)))*(IF(Upgrades!$T$6="Asteroid Belt",POWER(Upgrades!$U$6,E61),1)*IF(Upgrades!$T$8="Asteroid Belt",POWER(Upgrades!$U$8,G61),1)*IF(Upgrades!$T$9="Asteroid Belt",POWER(Upgrades!$U$9,H61),1)*IF(Upgrades!$T$10="Asteroid Belt",POWER(Upgrades!$U$10,I61),1)*IF(Upgrades!$T$11="Asteroid Belt",POWER(Upgrades!$U$11,J61),1)*IF(Upgrades!$T$12="Asteroid Belt",POWER(Upgrades!$U$12,K61),1))+(IF(G61=0,0,(Upgrades!$M$8+G61*Upgrades!$N$8)*POWER(Upgrades!$O$8,G61)))*(IF(Upgrades!$T$6="Stellar Coupling",POWER(Upgrades!$U$6,E61),1)*IF(Upgrades!$T$7="Stellar Coupling",POWER(Upgrades!$U$7,F61),1)*IF(Upgrades!$T$9="Stellar Coupling",POWER(Upgrades!$U$9,H61),1)*IF(Upgrades!$T$10="Stellar Coupling",POWER(Upgrades!$U$10,I61),1)*IF(Upgrades!$T$11="Stellar Coupling",POWER(Upgrades!$U$11,J61),1)*IF(Upgrades!$T$12="Stellar Coupling",POWER(Upgrades!$U$12,K61),1))+(IF(H61=0,0,(Upgrades!$M$9+H61*Upgrades!$N$9)*POWER(Upgrades!$O$9,H61)))*(IF(Upgrades!$T$6="Magnetosphere",POWER(Upgrades!$U$6,E61),1)*IF(Upgrades!$T$7="Magnetosphere",POWER(Upgrades!$U$7,F61),1)*IF(Upgrades!$T$8="Magnetosphere",POWER(Upgrades!$U$8,G61),1)*IF(Upgrades!$T$10="Magnetosphere",POWER(Upgrades!$U$10,I61),1)*IF(Upgrades!$T$11="Magnetosphere",POWER(Upgrades!$U$11,J61),1)*IF(Upgrades!$T$12="Magnetosphere",POWER(Upgrades!$U$12,K61),1))+(IF(I61=0,0,(Upgrades!$M$10+I61*Upgrades!$N$10)*POWER(Upgrades!$O$10,I61)))*(IF(Upgrades!$T$6="Orbital Resonance",POWER(Upgrades!$U$6,E61),1)*IF(Upgrades!$T$7="Orbital Resonance",POWER(Upgrades!$U$7,F61),1)*IF(Upgrades!$T$8="Orbital Resonance",POWER(Upgrades!$U$8,G61),1)*IF(Upgrades!$T$9="Orbital Resonance",POWER(Upgrades!$U$9,H61),1)*IF(Upgrades!$T$11="Orbital Resonance",POWER(Upgrades!$U$11,J61),1)*IF(Upgrades!$T$12="Orbital Resonance",POWER(Upgrades!$U$12,K61),1))+(IF(J61=0,0,(Upgrades!$M$11+J61*Upgrades!$N$11)*POWER(Upgrades!$O$11,J61)))*(IF(Upgrades!$T$6="Heliopause",POWER(Upgrades!$U$6,E61),1)*IF(Upgrades!$T$7="Heliopause",POWER(Upgrades!$U$7,F61),1)*IF(Upgrades!$T$8="Heliopause",POWER(Upgrades!$U$8,G61),1)*IF(Upgrades!$T$9="Heliopause",POWER(Upgrades!$U$9,H61),1)*IF(Upgrades!$T$10="Heliopause",POWER(Upgrades!$U$10,I61),1)*IF(Upgrades!$T$12="Heliopause",POWER(Upgrades!$U$12,K61),1))+(IF(K61=0,0,(Upgrades!$M$12+K61*Upgrades!$N$12)*POWER(Upgrades!$O$12,K61)))*(IF(Upgrades!$T$6="First Photons",POWER(Upgrades!$U$6,E61),1)*IF(Upgrades!$T$7="First Photons",POWER(Upgrades!$U$7,F61),1)*IF(Upgrades!$T$8="First Photons",POWER(Upgrades!$U$8,G61),1)*IF(Upgrades!$T$9="First Photons",POWER(Upgrades!$U$9,H61),1)*IF(Upgrades!$T$10="First Photons",POWER(Upgrades!$U$10,I61),1)*IF(Upgrades!$T$11="First Photons",POWER(Upgrades!$U$11,J61),1)))*POWER(Upgrades!$R$6,E61)*POWER(Upgrades!$R$7,F61)*POWER(Upgrades!$R$8,G61)*POWER(Upgrades!$R$9,H61)*POWER(Upgrades!$R$10,I61)*POWER(Upgrades!$R$11,J61)*POWER(Upgrades!$R$12,K61)</f>
        <v>0</v>
      </c>
      <c r="P61" s="27" t="n">
        <f aca="false">IF(L61=1,0,M61*Parameters!$B$10/60*Parameters!$B$11*10)</f>
        <v>0</v>
      </c>
      <c r="Q61" s="27" t="n">
        <f aca="false">IF(L61=1,0,O61*M61*10)</f>
        <v>0</v>
      </c>
      <c r="R61" s="27" t="n">
        <f aca="false">IF(L61=1,0,N61*10)</f>
        <v>0</v>
      </c>
      <c r="S61" s="27" t="n">
        <f aca="false">P61+Q61+R61</f>
        <v>0</v>
      </c>
      <c r="T61" s="21" t="n">
        <f aca="false">C61+S61</f>
        <v>18.6730249835055</v>
      </c>
      <c r="U61" s="34" t="str">
        <f aca="false">AX61</f>
        <v/>
      </c>
      <c r="V61" s="21" t="n">
        <f aca="false">IF(U61="",0,IF(U61="transition",0,IF(U61="SW",AG61,IF(U61="AB",AH61,IF(U61="SC",AI61,IF(U61="Mag",AJ61,IF(U61="OR",AK61,IF(U61="HP",AL61,IF(U61="FP",AM61,0)))))))))</f>
        <v>0</v>
      </c>
      <c r="W61" s="27" t="n">
        <f aca="false">IF(U61="OR",Upgrades!$F$10,IF(U61="HP",Upgrades!$F$11,IF(U61="transition",-Parameters!$B$18,0)))</f>
        <v>0</v>
      </c>
      <c r="X61" s="21" t="n">
        <f aca="false">T61-V61</f>
        <v>18.6730249835055</v>
      </c>
      <c r="Y61" s="30" t="n">
        <f aca="false">M61*Parameters!$B$10/60*Parameters!$B$11+O61*M61+N61</f>
        <v>20.55</v>
      </c>
      <c r="Z61" s="35" t="str">
        <f aca="false">IF(U61="transition","→ Tier 2 (Stellar Neighborhood)",IF(U61="FP","First Photons — light begins, system quickens",IF(U61="HP","Heliopause acquired",IF(U61="OR","Orbital Resonance — passive multiplier active",IF(AND(AO61=1,L61=0,AN61&lt;&gt;1),"Cohesion ready (waiting on completionist upgrades)","")))))</f>
        <v/>
      </c>
      <c r="AA61" s="27" t="n">
        <f aca="false">(IF(E61=0,0,(Upgrades!$G$6+E61*Upgrades!$H$6)*POWER(Upgrades!$I$6,E61)))*(IF(Upgrades!$T$7="Solar Wind",POWER(Upgrades!$U$7,F61),1)*IF(Upgrades!$T$8="Solar Wind",POWER(Upgrades!$U$8,G61),1)*IF(Upgrades!$T$9="Solar Wind",POWER(Upgrades!$U$9,H61),1)*IF(Upgrades!$T$10="Solar Wind",POWER(Upgrades!$U$10,I61),1)*IF(Upgrades!$T$11="Solar Wind",POWER(Upgrades!$U$11,J61),1)*IF(Upgrades!$T$12="Solar Wind",POWER(Upgrades!$U$12,K61),1))*POWER(Upgrades!$P$6,E61)*POWER(Upgrades!$P$7,F61)*POWER(Upgrades!$P$8,G61)*POWER(Upgrades!$P$9,H61)*POWER(Upgrades!$P$10,I61)*POWER(Upgrades!$P$11,J61)*POWER(Upgrades!$P$12,K61)*60</f>
        <v>72</v>
      </c>
      <c r="AB61" s="27" t="n">
        <f aca="false">(IF(F61=0,0,(Upgrades!$G$7+F61*Upgrades!$H$7)*POWER(Upgrades!$I$7,F61)))*(IF(Upgrades!$T$6="Asteroid Belt",POWER(Upgrades!$U$6,E61),1)*IF(Upgrades!$T$8="Asteroid Belt",POWER(Upgrades!$U$8,G61),1)*IF(Upgrades!$T$9="Asteroid Belt",POWER(Upgrades!$U$9,H61),1)*IF(Upgrades!$T$10="Asteroid Belt",POWER(Upgrades!$U$10,I61),1)*IF(Upgrades!$T$11="Asteroid Belt",POWER(Upgrades!$U$11,J61),1)*IF(Upgrades!$T$12="Asteroid Belt",POWER(Upgrades!$U$12,K61),1))*POWER(Upgrades!$P$6,E61)*POWER(Upgrades!$P$7,F61)*POWER(Upgrades!$P$8,G61)*POWER(Upgrades!$P$9,H61)*POWER(Upgrades!$P$10,I61)*POWER(Upgrades!$P$11,J61)*POWER(Upgrades!$P$12,K61)*60</f>
        <v>150</v>
      </c>
      <c r="AC61" s="27" t="n">
        <f aca="false">(IF(G61=0,0,(Upgrades!$J$8+G61*Upgrades!$K$8)*POWER(Upgrades!$L$8,G61)))*(IF(Upgrades!$T$6="Stellar Coupling",POWER(Upgrades!$U$6,E61),1)*IF(Upgrades!$T$7="Stellar Coupling",POWER(Upgrades!$U$7,F61),1)*IF(Upgrades!$T$9="Stellar Coupling",POWER(Upgrades!$U$9,H61),1)*IF(Upgrades!$T$10="Stellar Coupling",POWER(Upgrades!$U$10,I61),1)*IF(Upgrades!$T$11="Stellar Coupling",POWER(Upgrades!$U$11,J61),1)*IF(Upgrades!$T$12="Stellar Coupling",POWER(Upgrades!$U$12,K61),1))*POWER(Upgrades!$Q$6,E61)*POWER(Upgrades!$Q$7,F61)*POWER(Upgrades!$Q$8,G61)*POWER(Upgrades!$Q$9,H61)*POWER(Upgrades!$Q$10,I61)*POWER(Upgrades!$Q$11,J61)*POWER(Upgrades!$Q$12,K61)*Parameters!$B$10*Parameters!$B$11</f>
        <v>441</v>
      </c>
      <c r="AD61" s="27" t="n">
        <f aca="false">(IF(H61=0,0,(Upgrades!$G$9+H61*Upgrades!$H$9)*POWER(Upgrades!$I$9,H61)))*(IF(Upgrades!$T$6="Magnetosphere",POWER(Upgrades!$U$6,E61),1)*IF(Upgrades!$T$7="Magnetosphere",POWER(Upgrades!$U$7,F61),1)*IF(Upgrades!$T$8="Magnetosphere",POWER(Upgrades!$U$8,G61),1)*IF(Upgrades!$T$10="Magnetosphere",POWER(Upgrades!$U$10,I61),1)*IF(Upgrades!$T$11="Magnetosphere",POWER(Upgrades!$U$11,J61),1)*IF(Upgrades!$T$12="Magnetosphere",POWER(Upgrades!$U$12,K61),1))*POWER(Upgrades!$P$6,E61)*POWER(Upgrades!$P$7,F61)*POWER(Upgrades!$P$8,G61)*POWER(Upgrades!$P$9,H61)*POWER(Upgrades!$P$10,I61)*POWER(Upgrades!$P$11,J61)*POWER(Upgrades!$P$12,K61)*60</f>
        <v>375</v>
      </c>
      <c r="AE61" s="27" t="n">
        <f aca="false">(IF(K61=0,0,(Upgrades!$G$12+K61*Upgrades!$H$12)*POWER(Upgrades!$I$12,K61)))*(IF(Upgrades!$T$6="First Photons",POWER(Upgrades!$U$6,E61),1)*IF(Upgrades!$T$7="First Photons",POWER(Upgrades!$U$7,F61),1)*IF(Upgrades!$T$8="First Photons",POWER(Upgrades!$U$8,G61),1)*IF(Upgrades!$T$9="First Photons",POWER(Upgrades!$U$9,H61),1)*IF(Upgrades!$T$10="First Photons",POWER(Upgrades!$U$10,I61),1)*IF(Upgrades!$T$11="First Photons",POWER(Upgrades!$U$11,J61),1))*POWER(Upgrades!$P$6,E61)*POWER(Upgrades!$P$7,F61)*POWER(Upgrades!$P$8,G61)*POWER(Upgrades!$P$9,H61)*POWER(Upgrades!$P$10,I61)*POWER(Upgrades!$P$11,J61)*POWER(Upgrades!$P$12,K61)*60</f>
        <v>75</v>
      </c>
      <c r="AF61" s="27" t="n">
        <f aca="false">Parameters!$B$9*POWER(Upgrades!$Q$6,E61)*POWER(Upgrades!$Q$7,F61)*POWER(Upgrades!$Q$8,G61)*POWER(Upgrades!$Q$9,H61)*POWER(Upgrades!$Q$10,I61)*POWER(Upgrades!$Q$11,J61)*POWER(Upgrades!$Q$12,K61)*(Parameters!$B$10*Parameters!$B$11+O61*60)</f>
        <v>120</v>
      </c>
      <c r="AG61" s="21" t="n">
        <f aca="false">IF(E61&gt;=Upgrades!$E$6,"",Upgrades!$C$6*POWER(Upgrades!$D$6,E61))</f>
        <v>37.4517507383159</v>
      </c>
      <c r="AH61" s="21" t="n">
        <f aca="false">IF(F61&gt;=Upgrades!$E$7,"",Upgrades!$C$7*POWER(Upgrades!$D$7,F61))</f>
        <v>80.9111547141581</v>
      </c>
      <c r="AI61" s="21" t="n">
        <f aca="false">IF(G61&gt;=Upgrades!$E$8,"",Upgrades!$C$8*POWER(Upgrades!$D$8,G61))</f>
        <v>231.9097088</v>
      </c>
      <c r="AJ61" s="21" t="str">
        <f aca="false">IF(H61&gt;=Upgrades!$E$9,"",Upgrades!$C$9*POWER(Upgrades!$D$9,H61))</f>
        <v/>
      </c>
      <c r="AK61" s="21" t="str">
        <f aca="false">IF(I61&gt;=Upgrades!$E$10,"",Upgrades!$C$10*POWER(Upgrades!$D$10,I61))</f>
        <v/>
      </c>
      <c r="AL61" s="21" t="str">
        <f aca="false">IF(J61&gt;=Upgrades!$E$11,"",Upgrades!$C$11*POWER(Upgrades!$D$11,J61))</f>
        <v/>
      </c>
      <c r="AM61" s="21" t="str">
        <f aca="false">IF(K61&gt;=Upgrades!$E$12,"",Upgrades!$C$12*POWER(Upgrades!$D$12,K61))</f>
        <v/>
      </c>
      <c r="AN61" s="26" t="str">
        <f aca="false">IF(AND(D61&gt;=Parameters!$B$18,(H61&gt;=Upgrades!$E$9)*(K61&gt;=Upgrades!$E$12)=1,L61=0),1,"")</f>
        <v/>
      </c>
      <c r="AO61" s="26" t="str">
        <f aca="false">IF(AND(D61&gt;=Parameters!$B$18,L61=0),1,"")</f>
        <v/>
      </c>
      <c r="AP61" s="21" t="n">
        <f aca="false">MIN(IF(ISNUMBER(AK61),AK61,9000000000000000),IF(ISNUMBER(AL61),AL61,9000000000000000),IF(ISNUMBER(AM61),AM61,9000000000000000))</f>
        <v>9000000000000000</v>
      </c>
      <c r="AQ61" s="21" t="n">
        <f aca="false">MIN(IF(ISNUMBER(AG61),AG61,9000000000000000),IF(ISNUMBER(AH61),AH61,9000000000000000),IF(ISNUMBER(AI61),AI61,9000000000000000),IF(ISNUMBER(AJ61),AJ61,9000000000000000))</f>
        <v>37.4517507383159</v>
      </c>
      <c r="AR61" s="32" t="b">
        <f aca="false">IF(AW61&gt;Parameters!$B$21*(MAX(IF(AND(NOT(AND(AO61=1,AN61&lt;&gt;1)),ISNUMBER(AG61),AG61&lt;=T61),AS61,0),IF(AND(NOT(AND(AO61=1,AN61&lt;&gt;1)),ISNUMBER(AH61),AH61&lt;=T61),AT61,0),IF(AND(NOT(AND(AO61=1,AN61&lt;&gt;1)),ISNUMBER(AI61),AI61&lt;=T61),AU61,0),IF(AND(ISNUMBER(AJ61),AJ61&lt;=T61),AV61,0))),TRUE(),FALSE())</f>
        <v>1</v>
      </c>
      <c r="AS61" s="33" t="n">
        <f aca="false">IFERROR(Upgrades!$H$6*(POWER(Upgrades!$P$6,E61)*POWER(Upgrades!$P$7,F61)*POWER(Upgrades!$P$8,G61)*POWER(Upgrades!$P$9,H61)*POWER(Upgrades!$P$10,I61)*POWER(Upgrades!$P$11,J61)*POWER(Upgrades!$P$12,K61))*(IF(Upgrades!$T$7="Solar Wind",POWER(Upgrades!$U$7,F61),1)*IF(Upgrades!$T$8="Solar Wind",POWER(Upgrades!$U$8,G61),1)*IF(Upgrades!$T$9="Solar Wind",POWER(Upgrades!$U$9,H61),1)*IF(Upgrades!$T$10="Solar Wind",POWER(Upgrades!$U$10,I61),1)*IF(Upgrades!$T$11="Solar Wind",POWER(Upgrades!$U$11,J61),1)*IF(Upgrades!$T$12="Solar Wind",POWER(Upgrades!$U$12,K61),1))/AG61,0)</f>
        <v>0.0026701021455238</v>
      </c>
      <c r="AT61" s="33" t="n">
        <f aca="false">IFERROR(Upgrades!$H$7*(POWER(Upgrades!$P$6,E61)*POWER(Upgrades!$P$7,F61)*POWER(Upgrades!$P$8,G61)*POWER(Upgrades!$P$9,H61)*POWER(Upgrades!$P$10,I61)*POWER(Upgrades!$P$11,J61)*POWER(Upgrades!$P$12,K61))*(IF(Upgrades!$T$6="Asteroid Belt",POWER(Upgrades!$U$6,E61),1)*IF(Upgrades!$T$8="Asteroid Belt",POWER(Upgrades!$U$8,G61),1)*IF(Upgrades!$T$9="Asteroid Belt",POWER(Upgrades!$U$9,H61),1)*IF(Upgrades!$T$10="Asteroid Belt",POWER(Upgrades!$U$10,I61),1)*IF(Upgrades!$T$11="Asteroid Belt",POWER(Upgrades!$U$11,J61),1)*IF(Upgrades!$T$12="Asteroid Belt",POWER(Upgrades!$U$12,K61),1))/AH61,0)</f>
        <v>0.00308980882652332</v>
      </c>
      <c r="AU61" s="33" t="n">
        <f aca="false">IFERROR(Upgrades!$K$8*(POWER(Upgrades!$Q$6,E61)*POWER(Upgrades!$Q$7,F61)*POWER(Upgrades!$Q$8,G61)*POWER(Upgrades!$Q$9,H61)*POWER(Upgrades!$Q$10,I61)*POWER(Upgrades!$Q$11,J61)*POWER(Upgrades!$Q$12,K61))*(IF(Upgrades!$T$6="Stellar Coupling",POWER(Upgrades!$U$6,E61),1)*IF(Upgrades!$T$7="Stellar Coupling",POWER(Upgrades!$U$7,F61),1)*IF(Upgrades!$T$9="Stellar Coupling",POWER(Upgrades!$U$9,H61),1)*IF(Upgrades!$T$10="Stellar Coupling",POWER(Upgrades!$U$10,I61),1)*IF(Upgrades!$T$11="Stellar Coupling",POWER(Upgrades!$U$11,J61),1)*IF(Upgrades!$T$12="Stellar Coupling",POWER(Upgrades!$U$12,K61),1))*Parameters!$B$10*Parameters!$B$11/60/AI61,0)</f>
        <v>0.00452762415783776</v>
      </c>
      <c r="AV61" s="33" t="n">
        <f aca="false">IFERROR(Upgrades!$H$9*(POWER(Upgrades!$P$6,E61)*POWER(Upgrades!$P$7,F61)*POWER(Upgrades!$P$8,G61)*POWER(Upgrades!$P$9,H61)*POWER(Upgrades!$P$10,I61)*POWER(Upgrades!$P$11,J61)*POWER(Upgrades!$P$12,K61))*(IF(Upgrades!$T$6="Magnetosphere",POWER(Upgrades!$U$6,E61),1)*IF(Upgrades!$T$7="Magnetosphere",POWER(Upgrades!$U$7,F61),1)*IF(Upgrades!$T$8="Magnetosphere",POWER(Upgrades!$U$8,G61),1)*IF(Upgrades!$T$10="Magnetosphere",POWER(Upgrades!$U$10,I61),1)*IF(Upgrades!$T$11="Magnetosphere",POWER(Upgrades!$U$11,J61),1)*IF(Upgrades!$T$12="Magnetosphere",POWER(Upgrades!$U$12,K61),1))/AJ61,0)</f>
        <v>0</v>
      </c>
      <c r="AW61" s="33" t="n">
        <f aca="false">MAX(IF(I61&gt;0,0,IFERROR(0.25*N61/Upgrades!$C$10,0)),IF(J61&gt;0,0,IFERROR(0.5*((IF(G61=0,0,(Upgrades!$J$8+G61*Upgrades!$K$8)*POWER(Upgrades!$L$8,G61)))*(IF(Upgrades!$T$6="Stellar Coupling",POWER(Upgrades!$U$6,E61),1)*IF(Upgrades!$T$7="Stellar Coupling",POWER(Upgrades!$U$7,F61),1)*IF(Upgrades!$T$9="Stellar Coupling",POWER(Upgrades!$U$9,H61),1)*IF(Upgrades!$T$10="Stellar Coupling",POWER(Upgrades!$U$10,I61),1)*IF(Upgrades!$T$11="Stellar Coupling",POWER(Upgrades!$U$11,J61),1)*IF(Upgrades!$T$12="Stellar Coupling",POWER(Upgrades!$U$12,K61),1))*(POWER(Upgrades!$Q$6,E61)*POWER(Upgrades!$Q$7,F61)*POWER(Upgrades!$Q$8,G61)*POWER(Upgrades!$Q$9,H61)*POWER(Upgrades!$Q$10,I61)*POWER(Upgrades!$Q$11,J61)*POWER(Upgrades!$Q$12,K61))*Parameters!$B$10*Parameters!$B$11/60)/Upgrades!$C$11,0)),IF(K61&gt;0,0,IFERROR((1*(POWER(Upgrades!$P$6,E61)*POWER(Upgrades!$P$7,F61)*POWER(Upgrades!$P$8,G61)*POWER(Upgrades!$P$9,H61)*POWER(Upgrades!$P$10,I61)*POWER(Upgrades!$P$11,J61)*POWER(Upgrades!$P$12,K61))+0.2*M61*Parameters!$B$10*Parameters!$B$11/60)/Upgrades!$C$12,0)),IF(AND(ISNUMBER(AG61),AG61&gt;T61),AS61,0),IF(AND(ISNUMBER(AH61),AH61&gt;T61),AT61,0),IF(AND(ISNUMBER(AI61),AI61&gt;T61),AU61,0),IF(AND(ISNUMBER(AJ61),AJ61&gt;T61),AV61,0))</f>
        <v>0.00452762415783776</v>
      </c>
      <c r="AX61" s="29" t="str">
        <f aca="false">IF(AN61=1,"transition",IF(MIN(IF(AND(I61=0,ISNUMBER(AK61),AK61&lt;=T61),AK61,9000000000000000),IF(AND(J61=0,ISNUMBER(AL61),AL61&lt;=T61),AL61,9000000000000000),IF(AND(K61=0,ISNUMBER(AM61),AM61&lt;=T61),AM61,9000000000000000))&lt;9000000000000000,IF(AND(AND(I61=0,ISNUMBER(AK61),AK61&lt;=T61),AK61=MIN(IF(AND(I61=0,ISNUMBER(AK61),AK61&lt;=T61),AK61,9000000000000000),IF(AND(J61=0,ISNUMBER(AL61),AL61&lt;=T61),AL61,9000000000000000),IF(AND(K61=0,ISNUMBER(AM61),AM61&lt;=T61),AM61,9000000000000000))),"OR",IF(AND(AND(J61=0,ISNUMBER(AL61),AL61&lt;=T61),AL61=MIN(IF(AND(I61=0,ISNUMBER(AK61),AK61&lt;=T61),AK61,9000000000000000),IF(AND(J61=0,ISNUMBER(AL61),AL61&lt;=T61),AL61,9000000000000000),IF(AND(K61=0,ISNUMBER(AM61),AM61&lt;=T61),AM61,9000000000000000))),"HP","FP")),IF(AR61=TRUE(),"",IF(MAX(IF(AND(NOT(AND(AO61=1,AN61&lt;&gt;1)),ISNUMBER(AG61),AG61&lt;=T61),AS61,0),IF(AND(NOT(AND(AO61=1,AN61&lt;&gt;1)),ISNUMBER(AH61),AH61&lt;=T61),AT61,0),IF(AND(NOT(AND(AO61=1,AN61&lt;&gt;1)),ISNUMBER(AI61),AI61&lt;=T61),AU61,0),IF(AND(ISNUMBER(AJ61),AJ61&lt;=T61),AV61,0))&lt;=0,"",IF(AND(IF(AND(NOT(AND(AO61=1,AN61&lt;&gt;1)),ISNUMBER(AG61),AG61&lt;=T61),AS61,0)&gt;0,IF(AND(NOT(AND(AO61=1,AN61&lt;&gt;1)),ISNUMBER(AG61),AG61&lt;=T61),AS61,0)=MAX(IF(AND(NOT(AND(AO61=1,AN61&lt;&gt;1)),ISNUMBER(AG61),AG61&lt;=T61),AS61,0),IF(AND(NOT(AND(AO61=1,AN61&lt;&gt;1)),ISNUMBER(AH61),AH61&lt;=T61),AT61,0),IF(AND(NOT(AND(AO61=1,AN61&lt;&gt;1)),ISNUMBER(AI61),AI61&lt;=T61),AU61,0),IF(AND(ISNUMBER(AJ61),AJ61&lt;=T61),AV61,0))),"SW",IF(AND(IF(AND(NOT(AND(AO61=1,AN61&lt;&gt;1)),ISNUMBER(AH61),AH61&lt;=T61),AT61,0)&gt;0,IF(AND(NOT(AND(AO61=1,AN61&lt;&gt;1)),ISNUMBER(AH61),AH61&lt;=T61),AT61,0)=MAX(IF(AND(NOT(AND(AO61=1,AN61&lt;&gt;1)),ISNUMBER(AG61),AG61&lt;=T61),AS61,0),IF(AND(NOT(AND(AO61=1,AN61&lt;&gt;1)),ISNUMBER(AH61),AH61&lt;=T61),AT61,0),IF(AND(NOT(AND(AO61=1,AN61&lt;&gt;1)),ISNUMBER(AI61),AI61&lt;=T61),AU61,0),IF(AND(ISNUMBER(AJ61),AJ61&lt;=T61),AV61,0))),"AB",IF(AND(IF(AND(NOT(AND(AO61=1,AN61&lt;&gt;1)),ISNUMBER(AI61),AI61&lt;=T61),AU61,0)&gt;0,IF(AND(NOT(AND(AO61=1,AN61&lt;&gt;1)),ISNUMBER(AI61),AI61&lt;=T61),AU61,0)=MAX(IF(AND(NOT(AND(AO61=1,AN61&lt;&gt;1)),ISNUMBER(AG61),AG61&lt;=T61),AS61,0),IF(AND(NOT(AND(AO61=1,AN61&lt;&gt;1)),ISNUMBER(AH61),AH61&lt;=T61),AT61,0),IF(AND(NOT(AND(AO61=1,AN61&lt;&gt;1)),ISNUMBER(AI61),AI61&lt;=T61),AU61,0),IF(AND(ISNUMBER(AJ61),AJ61&lt;=T61),AV61,0))),"SC","Mag")))))))</f>
        <v/>
      </c>
    </row>
    <row r="62" customFormat="false" ht="15" hidden="false" customHeight="false" outlineLevel="0" collapsed="false">
      <c r="A62" s="26" t="n">
        <v>57</v>
      </c>
      <c r="B62" s="27" t="n">
        <f aca="false">A62*10/60</f>
        <v>9.5</v>
      </c>
      <c r="C62" s="21" t="n">
        <f aca="false">X61</f>
        <v>18.6730249835055</v>
      </c>
      <c r="D62" s="27" t="n">
        <f aca="false">D61+W61</f>
        <v>0</v>
      </c>
      <c r="E62" s="26" t="n">
        <f aca="false">E61+IF(U61="SW",1,0)</f>
        <v>12</v>
      </c>
      <c r="F62" s="26" t="n">
        <f aca="false">F61+IF(U61="AB",1,0)</f>
        <v>10</v>
      </c>
      <c r="G62" s="26" t="n">
        <f aca="false">G61+IF(U61="SC",1,0)</f>
        <v>7</v>
      </c>
      <c r="H62" s="26" t="n">
        <f aca="false">H61+IF(U61="Mag",1,0)</f>
        <v>5</v>
      </c>
      <c r="I62" s="26" t="n">
        <f aca="false">MAX(I61,IF(U61="OR",1,0))</f>
        <v>1</v>
      </c>
      <c r="J62" s="26" t="n">
        <f aca="false">MAX(J61,IF(U61="HP",1,0))</f>
        <v>1</v>
      </c>
      <c r="K62" s="26" t="n">
        <f aca="false">MAX(K61,IF(U61="FP",1,0))</f>
        <v>1</v>
      </c>
      <c r="L62" s="26" t="n">
        <f aca="false">MAX(L61,IF(U61="transition",1,0))</f>
        <v>1</v>
      </c>
      <c r="M62" s="28" t="n">
        <f aca="false">(Parameters!$B$9+(IF(E62=0,0,(Upgrades!$J$6+E62*Upgrades!$K$6)*POWER(Upgrades!$L$6,E62)))*(IF(Upgrades!$T$7="Solar Wind",POWER(Upgrades!$U$7,F62),1)*IF(Upgrades!$T$8="Solar Wind",POWER(Upgrades!$U$8,G62),1)*IF(Upgrades!$T$9="Solar Wind",POWER(Upgrades!$U$9,H62),1)*IF(Upgrades!$T$10="Solar Wind",POWER(Upgrades!$U$10,I62),1)*IF(Upgrades!$T$11="Solar Wind",POWER(Upgrades!$U$11,J62),1)*IF(Upgrades!$T$12="Solar Wind",POWER(Upgrades!$U$12,K62),1))+(IF(F62=0,0,(Upgrades!$J$7+F62*Upgrades!$K$7)*POWER(Upgrades!$L$7,F62)))*(IF(Upgrades!$T$6="Asteroid Belt",POWER(Upgrades!$U$6,E62),1)*IF(Upgrades!$T$8="Asteroid Belt",POWER(Upgrades!$U$8,G62),1)*IF(Upgrades!$T$9="Asteroid Belt",POWER(Upgrades!$U$9,H62),1)*IF(Upgrades!$T$10="Asteroid Belt",POWER(Upgrades!$U$10,I62),1)*IF(Upgrades!$T$11="Asteroid Belt",POWER(Upgrades!$U$11,J62),1)*IF(Upgrades!$T$12="Asteroid Belt",POWER(Upgrades!$U$12,K62),1))+(IF(G62=0,0,(Upgrades!$J$8+G62*Upgrades!$K$8)*POWER(Upgrades!$L$8,G62)))*(IF(Upgrades!$T$6="Stellar Coupling",POWER(Upgrades!$U$6,E62),1)*IF(Upgrades!$T$7="Stellar Coupling",POWER(Upgrades!$U$7,F62),1)*IF(Upgrades!$T$9="Stellar Coupling",POWER(Upgrades!$U$9,H62),1)*IF(Upgrades!$T$10="Stellar Coupling",POWER(Upgrades!$U$10,I62),1)*IF(Upgrades!$T$11="Stellar Coupling",POWER(Upgrades!$U$11,J62),1)*IF(Upgrades!$T$12="Stellar Coupling",POWER(Upgrades!$U$12,K62),1))+(IF(H62=0,0,(Upgrades!$J$9+H62*Upgrades!$K$9)*POWER(Upgrades!$L$9,H62)))*(IF(Upgrades!$T$6="Magnetosphere",POWER(Upgrades!$U$6,E62),1)*IF(Upgrades!$T$7="Magnetosphere",POWER(Upgrades!$U$7,F62),1)*IF(Upgrades!$T$8="Magnetosphere",POWER(Upgrades!$U$8,G62),1)*IF(Upgrades!$T$10="Magnetosphere",POWER(Upgrades!$U$10,I62),1)*IF(Upgrades!$T$11="Magnetosphere",POWER(Upgrades!$U$11,J62),1)*IF(Upgrades!$T$12="Magnetosphere",POWER(Upgrades!$U$12,K62),1))+(IF(I62=0,0,(Upgrades!$J$10+I62*Upgrades!$K$10)*POWER(Upgrades!$L$10,I62)))*(IF(Upgrades!$T$6="Orbital Resonance",POWER(Upgrades!$U$6,E62),1)*IF(Upgrades!$T$7="Orbital Resonance",POWER(Upgrades!$U$7,F62),1)*IF(Upgrades!$T$8="Orbital Resonance",POWER(Upgrades!$U$8,G62),1)*IF(Upgrades!$T$9="Orbital Resonance",POWER(Upgrades!$U$9,H62),1)*IF(Upgrades!$T$11="Orbital Resonance",POWER(Upgrades!$U$11,J62),1)*IF(Upgrades!$T$12="Orbital Resonance",POWER(Upgrades!$U$12,K62),1))+(IF(J62=0,0,(Upgrades!$J$11+J62*Upgrades!$K$11)*POWER(Upgrades!$L$11,J62)))*(IF(Upgrades!$T$6="Heliopause",POWER(Upgrades!$U$6,E62),1)*IF(Upgrades!$T$7="Heliopause",POWER(Upgrades!$U$7,F62),1)*IF(Upgrades!$T$8="Heliopause",POWER(Upgrades!$U$8,G62),1)*IF(Upgrades!$T$9="Heliopause",POWER(Upgrades!$U$9,H62),1)*IF(Upgrades!$T$10="Heliopause",POWER(Upgrades!$U$10,I62),1)*IF(Upgrades!$T$12="Heliopause",POWER(Upgrades!$U$12,K62),1))+(IF(K62=0,0,(Upgrades!$J$12+K62*Upgrades!$K$12)*POWER(Upgrades!$L$12,K62)))*(IF(Upgrades!$T$6="First Photons",POWER(Upgrades!$U$6,E62),1)*IF(Upgrades!$T$7="First Photons",POWER(Upgrades!$U$7,F62),1)*IF(Upgrades!$T$8="First Photons",POWER(Upgrades!$U$8,G62),1)*IF(Upgrades!$T$9="First Photons",POWER(Upgrades!$U$9,H62),1)*IF(Upgrades!$T$10="First Photons",POWER(Upgrades!$U$10,I62),1)*IF(Upgrades!$T$11="First Photons",POWER(Upgrades!$U$11,J62),1)))*POWER(Upgrades!$Q$6,E62)*POWER(Upgrades!$Q$7,F62)*POWER(Upgrades!$Q$8,G62)*POWER(Upgrades!$Q$9,H62)*POWER(Upgrades!$Q$10,I62)*POWER(Upgrades!$Q$11,J62)*POWER(Upgrades!$Q$12,K62)</f>
        <v>5.61</v>
      </c>
      <c r="N62" s="28" t="n">
        <f aca="false">((IF(E62=0,0,(Upgrades!$G$6+E62*Upgrades!$H$6)*POWER(Upgrades!$I$6,E62)))*(IF(Upgrades!$T$7="Solar Wind",POWER(Upgrades!$U$7,F62),1)*IF(Upgrades!$T$8="Solar Wind",POWER(Upgrades!$U$8,G62),1)*IF(Upgrades!$T$9="Solar Wind",POWER(Upgrades!$U$9,H62),1)*IF(Upgrades!$T$10="Solar Wind",POWER(Upgrades!$U$10,I62),1)*IF(Upgrades!$T$11="Solar Wind",POWER(Upgrades!$U$11,J62),1)*IF(Upgrades!$T$12="Solar Wind",POWER(Upgrades!$U$12,K62),1))+(IF(F62=0,0,(Upgrades!$G$7+F62*Upgrades!$H$7)*POWER(Upgrades!$I$7,F62)))*(IF(Upgrades!$T$6="Asteroid Belt",POWER(Upgrades!$U$6,E62),1)*IF(Upgrades!$T$8="Asteroid Belt",POWER(Upgrades!$U$8,G62),1)*IF(Upgrades!$T$9="Asteroid Belt",POWER(Upgrades!$U$9,H62),1)*IF(Upgrades!$T$10="Asteroid Belt",POWER(Upgrades!$U$10,I62),1)*IF(Upgrades!$T$11="Asteroid Belt",POWER(Upgrades!$U$11,J62),1)*IF(Upgrades!$T$12="Asteroid Belt",POWER(Upgrades!$U$12,K62),1))+(IF(G62=0,0,(Upgrades!$G$8+G62*Upgrades!$H$8)*POWER(Upgrades!$I$8,G62)))*(IF(Upgrades!$T$6="Stellar Coupling",POWER(Upgrades!$U$6,E62),1)*IF(Upgrades!$T$7="Stellar Coupling",POWER(Upgrades!$U$7,F62),1)*IF(Upgrades!$T$9="Stellar Coupling",POWER(Upgrades!$U$9,H62),1)*IF(Upgrades!$T$10="Stellar Coupling",POWER(Upgrades!$U$10,I62),1)*IF(Upgrades!$T$11="Stellar Coupling",POWER(Upgrades!$U$11,J62),1)*IF(Upgrades!$T$12="Stellar Coupling",POWER(Upgrades!$U$12,K62),1))+(IF(H62=0,0,(Upgrades!$G$9+H62*Upgrades!$H$9)*POWER(Upgrades!$I$9,H62)))*(IF(Upgrades!$T$6="Magnetosphere",POWER(Upgrades!$U$6,E62),1)*IF(Upgrades!$T$7="Magnetosphere",POWER(Upgrades!$U$7,F62),1)*IF(Upgrades!$T$8="Magnetosphere",POWER(Upgrades!$U$8,G62),1)*IF(Upgrades!$T$10="Magnetosphere",POWER(Upgrades!$U$10,I62),1)*IF(Upgrades!$T$11="Magnetosphere",POWER(Upgrades!$U$11,J62),1)*IF(Upgrades!$T$12="Magnetosphere",POWER(Upgrades!$U$12,K62),1))+(IF(I62=0,0,(Upgrades!$G$10+I62*Upgrades!$H$10)*POWER(Upgrades!$I$10,I62)))*(IF(Upgrades!$T$6="Orbital Resonance",POWER(Upgrades!$U$6,E62),1)*IF(Upgrades!$T$7="Orbital Resonance",POWER(Upgrades!$U$7,F62),1)*IF(Upgrades!$T$8="Orbital Resonance",POWER(Upgrades!$U$8,G62),1)*IF(Upgrades!$T$9="Orbital Resonance",POWER(Upgrades!$U$9,H62),1)*IF(Upgrades!$T$11="Orbital Resonance",POWER(Upgrades!$U$11,J62),1)*IF(Upgrades!$T$12="Orbital Resonance",POWER(Upgrades!$U$12,K62),1))+(IF(J62=0,0,(Upgrades!$G$11+J62*Upgrades!$H$11)*POWER(Upgrades!$I$11,J62)))*(IF(Upgrades!$T$6="Heliopause",POWER(Upgrades!$U$6,E62),1)*IF(Upgrades!$T$7="Heliopause",POWER(Upgrades!$U$7,F62),1)*IF(Upgrades!$T$8="Heliopause",POWER(Upgrades!$U$8,G62),1)*IF(Upgrades!$T$9="Heliopause",POWER(Upgrades!$U$9,H62),1)*IF(Upgrades!$T$10="Heliopause",POWER(Upgrades!$U$10,I62),1)*IF(Upgrades!$T$12="Heliopause",POWER(Upgrades!$U$12,K62),1))+(IF(K62=0,0,(Upgrades!$G$12+K62*Upgrades!$H$12)*POWER(Upgrades!$I$12,K62)))*(IF(Upgrades!$T$6="First Photons",POWER(Upgrades!$U$6,E62),1)*IF(Upgrades!$T$7="First Photons",POWER(Upgrades!$U$7,F62),1)*IF(Upgrades!$T$8="First Photons",POWER(Upgrades!$U$8,G62),1)*IF(Upgrades!$T$9="First Photons",POWER(Upgrades!$U$9,H62),1)*IF(Upgrades!$T$10="First Photons",POWER(Upgrades!$U$10,I62),1)*IF(Upgrades!$T$11="First Photons",POWER(Upgrades!$U$11,J62),1)))*POWER(Upgrades!$P$6,E62)*POWER(Upgrades!$P$7,F62)*POWER(Upgrades!$P$8,G62)*POWER(Upgrades!$P$9,H62)*POWER(Upgrades!$P$10,I62)*POWER(Upgrades!$P$11,J62)*POWER(Upgrades!$P$12,K62)</f>
        <v>11.2</v>
      </c>
      <c r="O62" s="28" t="n">
        <f aca="false">((IF(E62=0,0,(Upgrades!$M$6+E62*Upgrades!$N$6)*POWER(Upgrades!$O$6,E62)))*(IF(Upgrades!$T$7="Solar Wind",POWER(Upgrades!$U$7,F62),1)*IF(Upgrades!$T$8="Solar Wind",POWER(Upgrades!$U$8,G62),1)*IF(Upgrades!$T$9="Solar Wind",POWER(Upgrades!$U$9,H62),1)*IF(Upgrades!$T$10="Solar Wind",POWER(Upgrades!$U$10,I62),1)*IF(Upgrades!$T$11="Solar Wind",POWER(Upgrades!$U$11,J62),1)*IF(Upgrades!$T$12="Solar Wind",POWER(Upgrades!$U$12,K62),1))+(IF(F62=0,0,(Upgrades!$M$7+F62*Upgrades!$N$7)*POWER(Upgrades!$O$7,F62)))*(IF(Upgrades!$T$6="Asteroid Belt",POWER(Upgrades!$U$6,E62),1)*IF(Upgrades!$T$8="Asteroid Belt",POWER(Upgrades!$U$8,G62),1)*IF(Upgrades!$T$9="Asteroid Belt",POWER(Upgrades!$U$9,H62),1)*IF(Upgrades!$T$10="Asteroid Belt",POWER(Upgrades!$U$10,I62),1)*IF(Upgrades!$T$11="Asteroid Belt",POWER(Upgrades!$U$11,J62),1)*IF(Upgrades!$T$12="Asteroid Belt",POWER(Upgrades!$U$12,K62),1))+(IF(G62=0,0,(Upgrades!$M$8+G62*Upgrades!$N$8)*POWER(Upgrades!$O$8,G62)))*(IF(Upgrades!$T$6="Stellar Coupling",POWER(Upgrades!$U$6,E62),1)*IF(Upgrades!$T$7="Stellar Coupling",POWER(Upgrades!$U$7,F62),1)*IF(Upgrades!$T$9="Stellar Coupling",POWER(Upgrades!$U$9,H62),1)*IF(Upgrades!$T$10="Stellar Coupling",POWER(Upgrades!$U$10,I62),1)*IF(Upgrades!$T$11="Stellar Coupling",POWER(Upgrades!$U$11,J62),1)*IF(Upgrades!$T$12="Stellar Coupling",POWER(Upgrades!$U$12,K62),1))+(IF(H62=0,0,(Upgrades!$M$9+H62*Upgrades!$N$9)*POWER(Upgrades!$O$9,H62)))*(IF(Upgrades!$T$6="Magnetosphere",POWER(Upgrades!$U$6,E62),1)*IF(Upgrades!$T$7="Magnetosphere",POWER(Upgrades!$U$7,F62),1)*IF(Upgrades!$T$8="Magnetosphere",POWER(Upgrades!$U$8,G62),1)*IF(Upgrades!$T$10="Magnetosphere",POWER(Upgrades!$U$10,I62),1)*IF(Upgrades!$T$11="Magnetosphere",POWER(Upgrades!$U$11,J62),1)*IF(Upgrades!$T$12="Magnetosphere",POWER(Upgrades!$U$12,K62),1))+(IF(I62=0,0,(Upgrades!$M$10+I62*Upgrades!$N$10)*POWER(Upgrades!$O$10,I62)))*(IF(Upgrades!$T$6="Orbital Resonance",POWER(Upgrades!$U$6,E62),1)*IF(Upgrades!$T$7="Orbital Resonance",POWER(Upgrades!$U$7,F62),1)*IF(Upgrades!$T$8="Orbital Resonance",POWER(Upgrades!$U$8,G62),1)*IF(Upgrades!$T$9="Orbital Resonance",POWER(Upgrades!$U$9,H62),1)*IF(Upgrades!$T$11="Orbital Resonance",POWER(Upgrades!$U$11,J62),1)*IF(Upgrades!$T$12="Orbital Resonance",POWER(Upgrades!$U$12,K62),1))+(IF(J62=0,0,(Upgrades!$M$11+J62*Upgrades!$N$11)*POWER(Upgrades!$O$11,J62)))*(IF(Upgrades!$T$6="Heliopause",POWER(Upgrades!$U$6,E62),1)*IF(Upgrades!$T$7="Heliopause",POWER(Upgrades!$U$7,F62),1)*IF(Upgrades!$T$8="Heliopause",POWER(Upgrades!$U$8,G62),1)*IF(Upgrades!$T$9="Heliopause",POWER(Upgrades!$U$9,H62),1)*IF(Upgrades!$T$10="Heliopause",POWER(Upgrades!$U$10,I62),1)*IF(Upgrades!$T$12="Heliopause",POWER(Upgrades!$U$12,K62),1))+(IF(K62=0,0,(Upgrades!$M$12+K62*Upgrades!$N$12)*POWER(Upgrades!$O$12,K62)))*(IF(Upgrades!$T$6="First Photons",POWER(Upgrades!$U$6,E62),1)*IF(Upgrades!$T$7="First Photons",POWER(Upgrades!$U$7,F62),1)*IF(Upgrades!$T$8="First Photons",POWER(Upgrades!$U$8,G62),1)*IF(Upgrades!$T$9="First Photons",POWER(Upgrades!$U$9,H62),1)*IF(Upgrades!$T$10="First Photons",POWER(Upgrades!$U$10,I62),1)*IF(Upgrades!$T$11="First Photons",POWER(Upgrades!$U$11,J62),1)))*POWER(Upgrades!$R$6,E62)*POWER(Upgrades!$R$7,F62)*POWER(Upgrades!$R$8,G62)*POWER(Upgrades!$R$9,H62)*POWER(Upgrades!$R$10,I62)*POWER(Upgrades!$R$11,J62)*POWER(Upgrades!$R$12,K62)</f>
        <v>0</v>
      </c>
      <c r="P62" s="27" t="n">
        <f aca="false">IF(L62=1,0,M62*Parameters!$B$10/60*Parameters!$B$11*10)</f>
        <v>0</v>
      </c>
      <c r="Q62" s="27" t="n">
        <f aca="false">IF(L62=1,0,O62*M62*10)</f>
        <v>0</v>
      </c>
      <c r="R62" s="27" t="n">
        <f aca="false">IF(L62=1,0,N62*10)</f>
        <v>0</v>
      </c>
      <c r="S62" s="27" t="n">
        <f aca="false">P62+Q62+R62</f>
        <v>0</v>
      </c>
      <c r="T62" s="21" t="n">
        <f aca="false">C62+S62</f>
        <v>18.6730249835055</v>
      </c>
      <c r="U62" s="34" t="str">
        <f aca="false">AX62</f>
        <v/>
      </c>
      <c r="V62" s="21" t="n">
        <f aca="false">IF(U62="",0,IF(U62="transition",0,IF(U62="SW",AG62,IF(U62="AB",AH62,IF(U62="SC",AI62,IF(U62="Mag",AJ62,IF(U62="OR",AK62,IF(U62="HP",AL62,IF(U62="FP",AM62,0)))))))))</f>
        <v>0</v>
      </c>
      <c r="W62" s="27" t="n">
        <f aca="false">IF(U62="OR",Upgrades!$F$10,IF(U62="HP",Upgrades!$F$11,IF(U62="transition",-Parameters!$B$18,0)))</f>
        <v>0</v>
      </c>
      <c r="X62" s="21" t="n">
        <f aca="false">T62-V62</f>
        <v>18.6730249835055</v>
      </c>
      <c r="Y62" s="30" t="n">
        <f aca="false">M62*Parameters!$B$10/60*Parameters!$B$11+O62*M62+N62</f>
        <v>20.55</v>
      </c>
      <c r="Z62" s="35" t="str">
        <f aca="false">IF(U62="transition","→ Tier 2 (Stellar Neighborhood)",IF(U62="FP","First Photons — light begins, system quickens",IF(U62="HP","Heliopause acquired",IF(U62="OR","Orbital Resonance — passive multiplier active",IF(AND(AO62=1,L62=0,AN62&lt;&gt;1),"Cohesion ready (waiting on completionist upgrades)","")))))</f>
        <v/>
      </c>
      <c r="AA62" s="27" t="n">
        <f aca="false">(IF(E62=0,0,(Upgrades!$G$6+E62*Upgrades!$H$6)*POWER(Upgrades!$I$6,E62)))*(IF(Upgrades!$T$7="Solar Wind",POWER(Upgrades!$U$7,F62),1)*IF(Upgrades!$T$8="Solar Wind",POWER(Upgrades!$U$8,G62),1)*IF(Upgrades!$T$9="Solar Wind",POWER(Upgrades!$U$9,H62),1)*IF(Upgrades!$T$10="Solar Wind",POWER(Upgrades!$U$10,I62),1)*IF(Upgrades!$T$11="Solar Wind",POWER(Upgrades!$U$11,J62),1)*IF(Upgrades!$T$12="Solar Wind",POWER(Upgrades!$U$12,K62),1))*POWER(Upgrades!$P$6,E62)*POWER(Upgrades!$P$7,F62)*POWER(Upgrades!$P$8,G62)*POWER(Upgrades!$P$9,H62)*POWER(Upgrades!$P$10,I62)*POWER(Upgrades!$P$11,J62)*POWER(Upgrades!$P$12,K62)*60</f>
        <v>72</v>
      </c>
      <c r="AB62" s="27" t="n">
        <f aca="false">(IF(F62=0,0,(Upgrades!$G$7+F62*Upgrades!$H$7)*POWER(Upgrades!$I$7,F62)))*(IF(Upgrades!$T$6="Asteroid Belt",POWER(Upgrades!$U$6,E62),1)*IF(Upgrades!$T$8="Asteroid Belt",POWER(Upgrades!$U$8,G62),1)*IF(Upgrades!$T$9="Asteroid Belt",POWER(Upgrades!$U$9,H62),1)*IF(Upgrades!$T$10="Asteroid Belt",POWER(Upgrades!$U$10,I62),1)*IF(Upgrades!$T$11="Asteroid Belt",POWER(Upgrades!$U$11,J62),1)*IF(Upgrades!$T$12="Asteroid Belt",POWER(Upgrades!$U$12,K62),1))*POWER(Upgrades!$P$6,E62)*POWER(Upgrades!$P$7,F62)*POWER(Upgrades!$P$8,G62)*POWER(Upgrades!$P$9,H62)*POWER(Upgrades!$P$10,I62)*POWER(Upgrades!$P$11,J62)*POWER(Upgrades!$P$12,K62)*60</f>
        <v>150</v>
      </c>
      <c r="AC62" s="27" t="n">
        <f aca="false">(IF(G62=0,0,(Upgrades!$J$8+G62*Upgrades!$K$8)*POWER(Upgrades!$L$8,G62)))*(IF(Upgrades!$T$6="Stellar Coupling",POWER(Upgrades!$U$6,E62),1)*IF(Upgrades!$T$7="Stellar Coupling",POWER(Upgrades!$U$7,F62),1)*IF(Upgrades!$T$9="Stellar Coupling",POWER(Upgrades!$U$9,H62),1)*IF(Upgrades!$T$10="Stellar Coupling",POWER(Upgrades!$U$10,I62),1)*IF(Upgrades!$T$11="Stellar Coupling",POWER(Upgrades!$U$11,J62),1)*IF(Upgrades!$T$12="Stellar Coupling",POWER(Upgrades!$U$12,K62),1))*POWER(Upgrades!$Q$6,E62)*POWER(Upgrades!$Q$7,F62)*POWER(Upgrades!$Q$8,G62)*POWER(Upgrades!$Q$9,H62)*POWER(Upgrades!$Q$10,I62)*POWER(Upgrades!$Q$11,J62)*POWER(Upgrades!$Q$12,K62)*Parameters!$B$10*Parameters!$B$11</f>
        <v>441</v>
      </c>
      <c r="AD62" s="27" t="n">
        <f aca="false">(IF(H62=0,0,(Upgrades!$G$9+H62*Upgrades!$H$9)*POWER(Upgrades!$I$9,H62)))*(IF(Upgrades!$T$6="Magnetosphere",POWER(Upgrades!$U$6,E62),1)*IF(Upgrades!$T$7="Magnetosphere",POWER(Upgrades!$U$7,F62),1)*IF(Upgrades!$T$8="Magnetosphere",POWER(Upgrades!$U$8,G62),1)*IF(Upgrades!$T$10="Magnetosphere",POWER(Upgrades!$U$10,I62),1)*IF(Upgrades!$T$11="Magnetosphere",POWER(Upgrades!$U$11,J62),1)*IF(Upgrades!$T$12="Magnetosphere",POWER(Upgrades!$U$12,K62),1))*POWER(Upgrades!$P$6,E62)*POWER(Upgrades!$P$7,F62)*POWER(Upgrades!$P$8,G62)*POWER(Upgrades!$P$9,H62)*POWER(Upgrades!$P$10,I62)*POWER(Upgrades!$P$11,J62)*POWER(Upgrades!$P$12,K62)*60</f>
        <v>375</v>
      </c>
      <c r="AE62" s="27" t="n">
        <f aca="false">(IF(K62=0,0,(Upgrades!$G$12+K62*Upgrades!$H$12)*POWER(Upgrades!$I$12,K62)))*(IF(Upgrades!$T$6="First Photons",POWER(Upgrades!$U$6,E62),1)*IF(Upgrades!$T$7="First Photons",POWER(Upgrades!$U$7,F62),1)*IF(Upgrades!$T$8="First Photons",POWER(Upgrades!$U$8,G62),1)*IF(Upgrades!$T$9="First Photons",POWER(Upgrades!$U$9,H62),1)*IF(Upgrades!$T$10="First Photons",POWER(Upgrades!$U$10,I62),1)*IF(Upgrades!$T$11="First Photons",POWER(Upgrades!$U$11,J62),1))*POWER(Upgrades!$P$6,E62)*POWER(Upgrades!$P$7,F62)*POWER(Upgrades!$P$8,G62)*POWER(Upgrades!$P$9,H62)*POWER(Upgrades!$P$10,I62)*POWER(Upgrades!$P$11,J62)*POWER(Upgrades!$P$12,K62)*60</f>
        <v>75</v>
      </c>
      <c r="AF62" s="27" t="n">
        <f aca="false">Parameters!$B$9*POWER(Upgrades!$Q$6,E62)*POWER(Upgrades!$Q$7,F62)*POWER(Upgrades!$Q$8,G62)*POWER(Upgrades!$Q$9,H62)*POWER(Upgrades!$Q$10,I62)*POWER(Upgrades!$Q$11,J62)*POWER(Upgrades!$Q$12,K62)*(Parameters!$B$10*Parameters!$B$11+O62*60)</f>
        <v>120</v>
      </c>
      <c r="AG62" s="21" t="n">
        <f aca="false">IF(E62&gt;=Upgrades!$E$6,"",Upgrades!$C$6*POWER(Upgrades!$D$6,E62))</f>
        <v>37.4517507383159</v>
      </c>
      <c r="AH62" s="21" t="n">
        <f aca="false">IF(F62&gt;=Upgrades!$E$7,"",Upgrades!$C$7*POWER(Upgrades!$D$7,F62))</f>
        <v>80.9111547141581</v>
      </c>
      <c r="AI62" s="21" t="n">
        <f aca="false">IF(G62&gt;=Upgrades!$E$8,"",Upgrades!$C$8*POWER(Upgrades!$D$8,G62))</f>
        <v>231.9097088</v>
      </c>
      <c r="AJ62" s="21" t="str">
        <f aca="false">IF(H62&gt;=Upgrades!$E$9,"",Upgrades!$C$9*POWER(Upgrades!$D$9,H62))</f>
        <v/>
      </c>
      <c r="AK62" s="21" t="str">
        <f aca="false">IF(I62&gt;=Upgrades!$E$10,"",Upgrades!$C$10*POWER(Upgrades!$D$10,I62))</f>
        <v/>
      </c>
      <c r="AL62" s="21" t="str">
        <f aca="false">IF(J62&gt;=Upgrades!$E$11,"",Upgrades!$C$11*POWER(Upgrades!$D$11,J62))</f>
        <v/>
      </c>
      <c r="AM62" s="21" t="str">
        <f aca="false">IF(K62&gt;=Upgrades!$E$12,"",Upgrades!$C$12*POWER(Upgrades!$D$12,K62))</f>
        <v/>
      </c>
      <c r="AN62" s="26" t="str">
        <f aca="false">IF(AND(D62&gt;=Parameters!$B$18,(H62&gt;=Upgrades!$E$9)*(K62&gt;=Upgrades!$E$12)=1,L62=0),1,"")</f>
        <v/>
      </c>
      <c r="AO62" s="26" t="str">
        <f aca="false">IF(AND(D62&gt;=Parameters!$B$18,L62=0),1,"")</f>
        <v/>
      </c>
      <c r="AP62" s="21" t="n">
        <f aca="false">MIN(IF(ISNUMBER(AK62),AK62,9000000000000000),IF(ISNUMBER(AL62),AL62,9000000000000000),IF(ISNUMBER(AM62),AM62,9000000000000000))</f>
        <v>9000000000000000</v>
      </c>
      <c r="AQ62" s="21" t="n">
        <f aca="false">MIN(IF(ISNUMBER(AG62),AG62,9000000000000000),IF(ISNUMBER(AH62),AH62,9000000000000000),IF(ISNUMBER(AI62),AI62,9000000000000000),IF(ISNUMBER(AJ62),AJ62,9000000000000000))</f>
        <v>37.4517507383159</v>
      </c>
      <c r="AR62" s="32" t="b">
        <f aca="false">IF(AW62&gt;Parameters!$B$21*(MAX(IF(AND(NOT(AND(AO62=1,AN62&lt;&gt;1)),ISNUMBER(AG62),AG62&lt;=T62),AS62,0),IF(AND(NOT(AND(AO62=1,AN62&lt;&gt;1)),ISNUMBER(AH62),AH62&lt;=T62),AT62,0),IF(AND(NOT(AND(AO62=1,AN62&lt;&gt;1)),ISNUMBER(AI62),AI62&lt;=T62),AU62,0),IF(AND(ISNUMBER(AJ62),AJ62&lt;=T62),AV62,0))),TRUE(),FALSE())</f>
        <v>1</v>
      </c>
      <c r="AS62" s="33" t="n">
        <f aca="false">IFERROR(Upgrades!$H$6*(POWER(Upgrades!$P$6,E62)*POWER(Upgrades!$P$7,F62)*POWER(Upgrades!$P$8,G62)*POWER(Upgrades!$P$9,H62)*POWER(Upgrades!$P$10,I62)*POWER(Upgrades!$P$11,J62)*POWER(Upgrades!$P$12,K62))*(IF(Upgrades!$T$7="Solar Wind",POWER(Upgrades!$U$7,F62),1)*IF(Upgrades!$T$8="Solar Wind",POWER(Upgrades!$U$8,G62),1)*IF(Upgrades!$T$9="Solar Wind",POWER(Upgrades!$U$9,H62),1)*IF(Upgrades!$T$10="Solar Wind",POWER(Upgrades!$U$10,I62),1)*IF(Upgrades!$T$11="Solar Wind",POWER(Upgrades!$U$11,J62),1)*IF(Upgrades!$T$12="Solar Wind",POWER(Upgrades!$U$12,K62),1))/AG62,0)</f>
        <v>0.0026701021455238</v>
      </c>
      <c r="AT62" s="33" t="n">
        <f aca="false">IFERROR(Upgrades!$H$7*(POWER(Upgrades!$P$6,E62)*POWER(Upgrades!$P$7,F62)*POWER(Upgrades!$P$8,G62)*POWER(Upgrades!$P$9,H62)*POWER(Upgrades!$P$10,I62)*POWER(Upgrades!$P$11,J62)*POWER(Upgrades!$P$12,K62))*(IF(Upgrades!$T$6="Asteroid Belt",POWER(Upgrades!$U$6,E62),1)*IF(Upgrades!$T$8="Asteroid Belt",POWER(Upgrades!$U$8,G62),1)*IF(Upgrades!$T$9="Asteroid Belt",POWER(Upgrades!$U$9,H62),1)*IF(Upgrades!$T$10="Asteroid Belt",POWER(Upgrades!$U$10,I62),1)*IF(Upgrades!$T$11="Asteroid Belt",POWER(Upgrades!$U$11,J62),1)*IF(Upgrades!$T$12="Asteroid Belt",POWER(Upgrades!$U$12,K62),1))/AH62,0)</f>
        <v>0.00308980882652332</v>
      </c>
      <c r="AU62" s="33" t="n">
        <f aca="false">IFERROR(Upgrades!$K$8*(POWER(Upgrades!$Q$6,E62)*POWER(Upgrades!$Q$7,F62)*POWER(Upgrades!$Q$8,G62)*POWER(Upgrades!$Q$9,H62)*POWER(Upgrades!$Q$10,I62)*POWER(Upgrades!$Q$11,J62)*POWER(Upgrades!$Q$12,K62))*(IF(Upgrades!$T$6="Stellar Coupling",POWER(Upgrades!$U$6,E62),1)*IF(Upgrades!$T$7="Stellar Coupling",POWER(Upgrades!$U$7,F62),1)*IF(Upgrades!$T$9="Stellar Coupling",POWER(Upgrades!$U$9,H62),1)*IF(Upgrades!$T$10="Stellar Coupling",POWER(Upgrades!$U$10,I62),1)*IF(Upgrades!$T$11="Stellar Coupling",POWER(Upgrades!$U$11,J62),1)*IF(Upgrades!$T$12="Stellar Coupling",POWER(Upgrades!$U$12,K62),1))*Parameters!$B$10*Parameters!$B$11/60/AI62,0)</f>
        <v>0.00452762415783776</v>
      </c>
      <c r="AV62" s="33" t="n">
        <f aca="false">IFERROR(Upgrades!$H$9*(POWER(Upgrades!$P$6,E62)*POWER(Upgrades!$P$7,F62)*POWER(Upgrades!$P$8,G62)*POWER(Upgrades!$P$9,H62)*POWER(Upgrades!$P$10,I62)*POWER(Upgrades!$P$11,J62)*POWER(Upgrades!$P$12,K62))*(IF(Upgrades!$T$6="Magnetosphere",POWER(Upgrades!$U$6,E62),1)*IF(Upgrades!$T$7="Magnetosphere",POWER(Upgrades!$U$7,F62),1)*IF(Upgrades!$T$8="Magnetosphere",POWER(Upgrades!$U$8,G62),1)*IF(Upgrades!$T$10="Magnetosphere",POWER(Upgrades!$U$10,I62),1)*IF(Upgrades!$T$11="Magnetosphere",POWER(Upgrades!$U$11,J62),1)*IF(Upgrades!$T$12="Magnetosphere",POWER(Upgrades!$U$12,K62),1))/AJ62,0)</f>
        <v>0</v>
      </c>
      <c r="AW62" s="33" t="n">
        <f aca="false">MAX(IF(I62&gt;0,0,IFERROR(0.25*N62/Upgrades!$C$10,0)),IF(J62&gt;0,0,IFERROR(0.5*((IF(G62=0,0,(Upgrades!$J$8+G62*Upgrades!$K$8)*POWER(Upgrades!$L$8,G62)))*(IF(Upgrades!$T$6="Stellar Coupling",POWER(Upgrades!$U$6,E62),1)*IF(Upgrades!$T$7="Stellar Coupling",POWER(Upgrades!$U$7,F62),1)*IF(Upgrades!$T$9="Stellar Coupling",POWER(Upgrades!$U$9,H62),1)*IF(Upgrades!$T$10="Stellar Coupling",POWER(Upgrades!$U$10,I62),1)*IF(Upgrades!$T$11="Stellar Coupling",POWER(Upgrades!$U$11,J62),1)*IF(Upgrades!$T$12="Stellar Coupling",POWER(Upgrades!$U$12,K62),1))*(POWER(Upgrades!$Q$6,E62)*POWER(Upgrades!$Q$7,F62)*POWER(Upgrades!$Q$8,G62)*POWER(Upgrades!$Q$9,H62)*POWER(Upgrades!$Q$10,I62)*POWER(Upgrades!$Q$11,J62)*POWER(Upgrades!$Q$12,K62))*Parameters!$B$10*Parameters!$B$11/60)/Upgrades!$C$11,0)),IF(K62&gt;0,0,IFERROR((1*(POWER(Upgrades!$P$6,E62)*POWER(Upgrades!$P$7,F62)*POWER(Upgrades!$P$8,G62)*POWER(Upgrades!$P$9,H62)*POWER(Upgrades!$P$10,I62)*POWER(Upgrades!$P$11,J62)*POWER(Upgrades!$P$12,K62))+0.2*M62*Parameters!$B$10*Parameters!$B$11/60)/Upgrades!$C$12,0)),IF(AND(ISNUMBER(AG62),AG62&gt;T62),AS62,0),IF(AND(ISNUMBER(AH62),AH62&gt;T62),AT62,0),IF(AND(ISNUMBER(AI62),AI62&gt;T62),AU62,0),IF(AND(ISNUMBER(AJ62),AJ62&gt;T62),AV62,0))</f>
        <v>0.00452762415783776</v>
      </c>
      <c r="AX62" s="29" t="str">
        <f aca="false">IF(AN62=1,"transition",IF(MIN(IF(AND(I62=0,ISNUMBER(AK62),AK62&lt;=T62),AK62,9000000000000000),IF(AND(J62=0,ISNUMBER(AL62),AL62&lt;=T62),AL62,9000000000000000),IF(AND(K62=0,ISNUMBER(AM62),AM62&lt;=T62),AM62,9000000000000000))&lt;9000000000000000,IF(AND(AND(I62=0,ISNUMBER(AK62),AK62&lt;=T62),AK62=MIN(IF(AND(I62=0,ISNUMBER(AK62),AK62&lt;=T62),AK62,9000000000000000),IF(AND(J62=0,ISNUMBER(AL62),AL62&lt;=T62),AL62,9000000000000000),IF(AND(K62=0,ISNUMBER(AM62),AM62&lt;=T62),AM62,9000000000000000))),"OR",IF(AND(AND(J62=0,ISNUMBER(AL62),AL62&lt;=T62),AL62=MIN(IF(AND(I62=0,ISNUMBER(AK62),AK62&lt;=T62),AK62,9000000000000000),IF(AND(J62=0,ISNUMBER(AL62),AL62&lt;=T62),AL62,9000000000000000),IF(AND(K62=0,ISNUMBER(AM62),AM62&lt;=T62),AM62,9000000000000000))),"HP","FP")),IF(AR62=TRUE(),"",IF(MAX(IF(AND(NOT(AND(AO62=1,AN62&lt;&gt;1)),ISNUMBER(AG62),AG62&lt;=T62),AS62,0),IF(AND(NOT(AND(AO62=1,AN62&lt;&gt;1)),ISNUMBER(AH62),AH62&lt;=T62),AT62,0),IF(AND(NOT(AND(AO62=1,AN62&lt;&gt;1)),ISNUMBER(AI62),AI62&lt;=T62),AU62,0),IF(AND(ISNUMBER(AJ62),AJ62&lt;=T62),AV62,0))&lt;=0,"",IF(AND(IF(AND(NOT(AND(AO62=1,AN62&lt;&gt;1)),ISNUMBER(AG62),AG62&lt;=T62),AS62,0)&gt;0,IF(AND(NOT(AND(AO62=1,AN62&lt;&gt;1)),ISNUMBER(AG62),AG62&lt;=T62),AS62,0)=MAX(IF(AND(NOT(AND(AO62=1,AN62&lt;&gt;1)),ISNUMBER(AG62),AG62&lt;=T62),AS62,0),IF(AND(NOT(AND(AO62=1,AN62&lt;&gt;1)),ISNUMBER(AH62),AH62&lt;=T62),AT62,0),IF(AND(NOT(AND(AO62=1,AN62&lt;&gt;1)),ISNUMBER(AI62),AI62&lt;=T62),AU62,0),IF(AND(ISNUMBER(AJ62),AJ62&lt;=T62),AV62,0))),"SW",IF(AND(IF(AND(NOT(AND(AO62=1,AN62&lt;&gt;1)),ISNUMBER(AH62),AH62&lt;=T62),AT62,0)&gt;0,IF(AND(NOT(AND(AO62=1,AN62&lt;&gt;1)),ISNUMBER(AH62),AH62&lt;=T62),AT62,0)=MAX(IF(AND(NOT(AND(AO62=1,AN62&lt;&gt;1)),ISNUMBER(AG62),AG62&lt;=T62),AS62,0),IF(AND(NOT(AND(AO62=1,AN62&lt;&gt;1)),ISNUMBER(AH62),AH62&lt;=T62),AT62,0),IF(AND(NOT(AND(AO62=1,AN62&lt;&gt;1)),ISNUMBER(AI62),AI62&lt;=T62),AU62,0),IF(AND(ISNUMBER(AJ62),AJ62&lt;=T62),AV62,0))),"AB",IF(AND(IF(AND(NOT(AND(AO62=1,AN62&lt;&gt;1)),ISNUMBER(AI62),AI62&lt;=T62),AU62,0)&gt;0,IF(AND(NOT(AND(AO62=1,AN62&lt;&gt;1)),ISNUMBER(AI62),AI62&lt;=T62),AU62,0)=MAX(IF(AND(NOT(AND(AO62=1,AN62&lt;&gt;1)),ISNUMBER(AG62),AG62&lt;=T62),AS62,0),IF(AND(NOT(AND(AO62=1,AN62&lt;&gt;1)),ISNUMBER(AH62),AH62&lt;=T62),AT62,0),IF(AND(NOT(AND(AO62=1,AN62&lt;&gt;1)),ISNUMBER(AI62),AI62&lt;=T62),AU62,0),IF(AND(ISNUMBER(AJ62),AJ62&lt;=T62),AV62,0))),"SC","Mag")))))))</f>
        <v/>
      </c>
    </row>
    <row r="63" customFormat="false" ht="15" hidden="false" customHeight="false" outlineLevel="0" collapsed="false">
      <c r="A63" s="26" t="n">
        <v>58</v>
      </c>
      <c r="B63" s="27" t="n">
        <f aca="false">A63*10/60</f>
        <v>9.66666666666667</v>
      </c>
      <c r="C63" s="21" t="n">
        <f aca="false">X62</f>
        <v>18.6730249835055</v>
      </c>
      <c r="D63" s="27" t="n">
        <f aca="false">D62+W62</f>
        <v>0</v>
      </c>
      <c r="E63" s="26" t="n">
        <f aca="false">E62+IF(U62="SW",1,0)</f>
        <v>12</v>
      </c>
      <c r="F63" s="26" t="n">
        <f aca="false">F62+IF(U62="AB",1,0)</f>
        <v>10</v>
      </c>
      <c r="G63" s="26" t="n">
        <f aca="false">G62+IF(U62="SC",1,0)</f>
        <v>7</v>
      </c>
      <c r="H63" s="26" t="n">
        <f aca="false">H62+IF(U62="Mag",1,0)</f>
        <v>5</v>
      </c>
      <c r="I63" s="26" t="n">
        <f aca="false">MAX(I62,IF(U62="OR",1,0))</f>
        <v>1</v>
      </c>
      <c r="J63" s="26" t="n">
        <f aca="false">MAX(J62,IF(U62="HP",1,0))</f>
        <v>1</v>
      </c>
      <c r="K63" s="26" t="n">
        <f aca="false">MAX(K62,IF(U62="FP",1,0))</f>
        <v>1</v>
      </c>
      <c r="L63" s="26" t="n">
        <f aca="false">MAX(L62,IF(U62="transition",1,0))</f>
        <v>1</v>
      </c>
      <c r="M63" s="28" t="n">
        <f aca="false">(Parameters!$B$9+(IF(E63=0,0,(Upgrades!$J$6+E63*Upgrades!$K$6)*POWER(Upgrades!$L$6,E63)))*(IF(Upgrades!$T$7="Solar Wind",POWER(Upgrades!$U$7,F63),1)*IF(Upgrades!$T$8="Solar Wind",POWER(Upgrades!$U$8,G63),1)*IF(Upgrades!$T$9="Solar Wind",POWER(Upgrades!$U$9,H63),1)*IF(Upgrades!$T$10="Solar Wind",POWER(Upgrades!$U$10,I63),1)*IF(Upgrades!$T$11="Solar Wind",POWER(Upgrades!$U$11,J63),1)*IF(Upgrades!$T$12="Solar Wind",POWER(Upgrades!$U$12,K63),1))+(IF(F63=0,0,(Upgrades!$J$7+F63*Upgrades!$K$7)*POWER(Upgrades!$L$7,F63)))*(IF(Upgrades!$T$6="Asteroid Belt",POWER(Upgrades!$U$6,E63),1)*IF(Upgrades!$T$8="Asteroid Belt",POWER(Upgrades!$U$8,G63),1)*IF(Upgrades!$T$9="Asteroid Belt",POWER(Upgrades!$U$9,H63),1)*IF(Upgrades!$T$10="Asteroid Belt",POWER(Upgrades!$U$10,I63),1)*IF(Upgrades!$T$11="Asteroid Belt",POWER(Upgrades!$U$11,J63),1)*IF(Upgrades!$T$12="Asteroid Belt",POWER(Upgrades!$U$12,K63),1))+(IF(G63=0,0,(Upgrades!$J$8+G63*Upgrades!$K$8)*POWER(Upgrades!$L$8,G63)))*(IF(Upgrades!$T$6="Stellar Coupling",POWER(Upgrades!$U$6,E63),1)*IF(Upgrades!$T$7="Stellar Coupling",POWER(Upgrades!$U$7,F63),1)*IF(Upgrades!$T$9="Stellar Coupling",POWER(Upgrades!$U$9,H63),1)*IF(Upgrades!$T$10="Stellar Coupling",POWER(Upgrades!$U$10,I63),1)*IF(Upgrades!$T$11="Stellar Coupling",POWER(Upgrades!$U$11,J63),1)*IF(Upgrades!$T$12="Stellar Coupling",POWER(Upgrades!$U$12,K63),1))+(IF(H63=0,0,(Upgrades!$J$9+H63*Upgrades!$K$9)*POWER(Upgrades!$L$9,H63)))*(IF(Upgrades!$T$6="Magnetosphere",POWER(Upgrades!$U$6,E63),1)*IF(Upgrades!$T$7="Magnetosphere",POWER(Upgrades!$U$7,F63),1)*IF(Upgrades!$T$8="Magnetosphere",POWER(Upgrades!$U$8,G63),1)*IF(Upgrades!$T$10="Magnetosphere",POWER(Upgrades!$U$10,I63),1)*IF(Upgrades!$T$11="Magnetosphere",POWER(Upgrades!$U$11,J63),1)*IF(Upgrades!$T$12="Magnetosphere",POWER(Upgrades!$U$12,K63),1))+(IF(I63=0,0,(Upgrades!$J$10+I63*Upgrades!$K$10)*POWER(Upgrades!$L$10,I63)))*(IF(Upgrades!$T$6="Orbital Resonance",POWER(Upgrades!$U$6,E63),1)*IF(Upgrades!$T$7="Orbital Resonance",POWER(Upgrades!$U$7,F63),1)*IF(Upgrades!$T$8="Orbital Resonance",POWER(Upgrades!$U$8,G63),1)*IF(Upgrades!$T$9="Orbital Resonance",POWER(Upgrades!$U$9,H63),1)*IF(Upgrades!$T$11="Orbital Resonance",POWER(Upgrades!$U$11,J63),1)*IF(Upgrades!$T$12="Orbital Resonance",POWER(Upgrades!$U$12,K63),1))+(IF(J63=0,0,(Upgrades!$J$11+J63*Upgrades!$K$11)*POWER(Upgrades!$L$11,J63)))*(IF(Upgrades!$T$6="Heliopause",POWER(Upgrades!$U$6,E63),1)*IF(Upgrades!$T$7="Heliopause",POWER(Upgrades!$U$7,F63),1)*IF(Upgrades!$T$8="Heliopause",POWER(Upgrades!$U$8,G63),1)*IF(Upgrades!$T$9="Heliopause",POWER(Upgrades!$U$9,H63),1)*IF(Upgrades!$T$10="Heliopause",POWER(Upgrades!$U$10,I63),1)*IF(Upgrades!$T$12="Heliopause",POWER(Upgrades!$U$12,K63),1))+(IF(K63=0,0,(Upgrades!$J$12+K63*Upgrades!$K$12)*POWER(Upgrades!$L$12,K63)))*(IF(Upgrades!$T$6="First Photons",POWER(Upgrades!$U$6,E63),1)*IF(Upgrades!$T$7="First Photons",POWER(Upgrades!$U$7,F63),1)*IF(Upgrades!$T$8="First Photons",POWER(Upgrades!$U$8,G63),1)*IF(Upgrades!$T$9="First Photons",POWER(Upgrades!$U$9,H63),1)*IF(Upgrades!$T$10="First Photons",POWER(Upgrades!$U$10,I63),1)*IF(Upgrades!$T$11="First Photons",POWER(Upgrades!$U$11,J63),1)))*POWER(Upgrades!$Q$6,E63)*POWER(Upgrades!$Q$7,F63)*POWER(Upgrades!$Q$8,G63)*POWER(Upgrades!$Q$9,H63)*POWER(Upgrades!$Q$10,I63)*POWER(Upgrades!$Q$11,J63)*POWER(Upgrades!$Q$12,K63)</f>
        <v>5.61</v>
      </c>
      <c r="N63" s="28" t="n">
        <f aca="false">((IF(E63=0,0,(Upgrades!$G$6+E63*Upgrades!$H$6)*POWER(Upgrades!$I$6,E63)))*(IF(Upgrades!$T$7="Solar Wind",POWER(Upgrades!$U$7,F63),1)*IF(Upgrades!$T$8="Solar Wind",POWER(Upgrades!$U$8,G63),1)*IF(Upgrades!$T$9="Solar Wind",POWER(Upgrades!$U$9,H63),1)*IF(Upgrades!$T$10="Solar Wind",POWER(Upgrades!$U$10,I63),1)*IF(Upgrades!$T$11="Solar Wind",POWER(Upgrades!$U$11,J63),1)*IF(Upgrades!$T$12="Solar Wind",POWER(Upgrades!$U$12,K63),1))+(IF(F63=0,0,(Upgrades!$G$7+F63*Upgrades!$H$7)*POWER(Upgrades!$I$7,F63)))*(IF(Upgrades!$T$6="Asteroid Belt",POWER(Upgrades!$U$6,E63),1)*IF(Upgrades!$T$8="Asteroid Belt",POWER(Upgrades!$U$8,G63),1)*IF(Upgrades!$T$9="Asteroid Belt",POWER(Upgrades!$U$9,H63),1)*IF(Upgrades!$T$10="Asteroid Belt",POWER(Upgrades!$U$10,I63),1)*IF(Upgrades!$T$11="Asteroid Belt",POWER(Upgrades!$U$11,J63),1)*IF(Upgrades!$T$12="Asteroid Belt",POWER(Upgrades!$U$12,K63),1))+(IF(G63=0,0,(Upgrades!$G$8+G63*Upgrades!$H$8)*POWER(Upgrades!$I$8,G63)))*(IF(Upgrades!$T$6="Stellar Coupling",POWER(Upgrades!$U$6,E63),1)*IF(Upgrades!$T$7="Stellar Coupling",POWER(Upgrades!$U$7,F63),1)*IF(Upgrades!$T$9="Stellar Coupling",POWER(Upgrades!$U$9,H63),1)*IF(Upgrades!$T$10="Stellar Coupling",POWER(Upgrades!$U$10,I63),1)*IF(Upgrades!$T$11="Stellar Coupling",POWER(Upgrades!$U$11,J63),1)*IF(Upgrades!$T$12="Stellar Coupling",POWER(Upgrades!$U$12,K63),1))+(IF(H63=0,0,(Upgrades!$G$9+H63*Upgrades!$H$9)*POWER(Upgrades!$I$9,H63)))*(IF(Upgrades!$T$6="Magnetosphere",POWER(Upgrades!$U$6,E63),1)*IF(Upgrades!$T$7="Magnetosphere",POWER(Upgrades!$U$7,F63),1)*IF(Upgrades!$T$8="Magnetosphere",POWER(Upgrades!$U$8,G63),1)*IF(Upgrades!$T$10="Magnetosphere",POWER(Upgrades!$U$10,I63),1)*IF(Upgrades!$T$11="Magnetosphere",POWER(Upgrades!$U$11,J63),1)*IF(Upgrades!$T$12="Magnetosphere",POWER(Upgrades!$U$12,K63),1))+(IF(I63=0,0,(Upgrades!$G$10+I63*Upgrades!$H$10)*POWER(Upgrades!$I$10,I63)))*(IF(Upgrades!$T$6="Orbital Resonance",POWER(Upgrades!$U$6,E63),1)*IF(Upgrades!$T$7="Orbital Resonance",POWER(Upgrades!$U$7,F63),1)*IF(Upgrades!$T$8="Orbital Resonance",POWER(Upgrades!$U$8,G63),1)*IF(Upgrades!$T$9="Orbital Resonance",POWER(Upgrades!$U$9,H63),1)*IF(Upgrades!$T$11="Orbital Resonance",POWER(Upgrades!$U$11,J63),1)*IF(Upgrades!$T$12="Orbital Resonance",POWER(Upgrades!$U$12,K63),1))+(IF(J63=0,0,(Upgrades!$G$11+J63*Upgrades!$H$11)*POWER(Upgrades!$I$11,J63)))*(IF(Upgrades!$T$6="Heliopause",POWER(Upgrades!$U$6,E63),1)*IF(Upgrades!$T$7="Heliopause",POWER(Upgrades!$U$7,F63),1)*IF(Upgrades!$T$8="Heliopause",POWER(Upgrades!$U$8,G63),1)*IF(Upgrades!$T$9="Heliopause",POWER(Upgrades!$U$9,H63),1)*IF(Upgrades!$T$10="Heliopause",POWER(Upgrades!$U$10,I63),1)*IF(Upgrades!$T$12="Heliopause",POWER(Upgrades!$U$12,K63),1))+(IF(K63=0,0,(Upgrades!$G$12+K63*Upgrades!$H$12)*POWER(Upgrades!$I$12,K63)))*(IF(Upgrades!$T$6="First Photons",POWER(Upgrades!$U$6,E63),1)*IF(Upgrades!$T$7="First Photons",POWER(Upgrades!$U$7,F63),1)*IF(Upgrades!$T$8="First Photons",POWER(Upgrades!$U$8,G63),1)*IF(Upgrades!$T$9="First Photons",POWER(Upgrades!$U$9,H63),1)*IF(Upgrades!$T$10="First Photons",POWER(Upgrades!$U$10,I63),1)*IF(Upgrades!$T$11="First Photons",POWER(Upgrades!$U$11,J63),1)))*POWER(Upgrades!$P$6,E63)*POWER(Upgrades!$P$7,F63)*POWER(Upgrades!$P$8,G63)*POWER(Upgrades!$P$9,H63)*POWER(Upgrades!$P$10,I63)*POWER(Upgrades!$P$11,J63)*POWER(Upgrades!$P$12,K63)</f>
        <v>11.2</v>
      </c>
      <c r="O63" s="28" t="n">
        <f aca="false">((IF(E63=0,0,(Upgrades!$M$6+E63*Upgrades!$N$6)*POWER(Upgrades!$O$6,E63)))*(IF(Upgrades!$T$7="Solar Wind",POWER(Upgrades!$U$7,F63),1)*IF(Upgrades!$T$8="Solar Wind",POWER(Upgrades!$U$8,G63),1)*IF(Upgrades!$T$9="Solar Wind",POWER(Upgrades!$U$9,H63),1)*IF(Upgrades!$T$10="Solar Wind",POWER(Upgrades!$U$10,I63),1)*IF(Upgrades!$T$11="Solar Wind",POWER(Upgrades!$U$11,J63),1)*IF(Upgrades!$T$12="Solar Wind",POWER(Upgrades!$U$12,K63),1))+(IF(F63=0,0,(Upgrades!$M$7+F63*Upgrades!$N$7)*POWER(Upgrades!$O$7,F63)))*(IF(Upgrades!$T$6="Asteroid Belt",POWER(Upgrades!$U$6,E63),1)*IF(Upgrades!$T$8="Asteroid Belt",POWER(Upgrades!$U$8,G63),1)*IF(Upgrades!$T$9="Asteroid Belt",POWER(Upgrades!$U$9,H63),1)*IF(Upgrades!$T$10="Asteroid Belt",POWER(Upgrades!$U$10,I63),1)*IF(Upgrades!$T$11="Asteroid Belt",POWER(Upgrades!$U$11,J63),1)*IF(Upgrades!$T$12="Asteroid Belt",POWER(Upgrades!$U$12,K63),1))+(IF(G63=0,0,(Upgrades!$M$8+G63*Upgrades!$N$8)*POWER(Upgrades!$O$8,G63)))*(IF(Upgrades!$T$6="Stellar Coupling",POWER(Upgrades!$U$6,E63),1)*IF(Upgrades!$T$7="Stellar Coupling",POWER(Upgrades!$U$7,F63),1)*IF(Upgrades!$T$9="Stellar Coupling",POWER(Upgrades!$U$9,H63),1)*IF(Upgrades!$T$10="Stellar Coupling",POWER(Upgrades!$U$10,I63),1)*IF(Upgrades!$T$11="Stellar Coupling",POWER(Upgrades!$U$11,J63),1)*IF(Upgrades!$T$12="Stellar Coupling",POWER(Upgrades!$U$12,K63),1))+(IF(H63=0,0,(Upgrades!$M$9+H63*Upgrades!$N$9)*POWER(Upgrades!$O$9,H63)))*(IF(Upgrades!$T$6="Magnetosphere",POWER(Upgrades!$U$6,E63),1)*IF(Upgrades!$T$7="Magnetosphere",POWER(Upgrades!$U$7,F63),1)*IF(Upgrades!$T$8="Magnetosphere",POWER(Upgrades!$U$8,G63),1)*IF(Upgrades!$T$10="Magnetosphere",POWER(Upgrades!$U$10,I63),1)*IF(Upgrades!$T$11="Magnetosphere",POWER(Upgrades!$U$11,J63),1)*IF(Upgrades!$T$12="Magnetosphere",POWER(Upgrades!$U$12,K63),1))+(IF(I63=0,0,(Upgrades!$M$10+I63*Upgrades!$N$10)*POWER(Upgrades!$O$10,I63)))*(IF(Upgrades!$T$6="Orbital Resonance",POWER(Upgrades!$U$6,E63),1)*IF(Upgrades!$T$7="Orbital Resonance",POWER(Upgrades!$U$7,F63),1)*IF(Upgrades!$T$8="Orbital Resonance",POWER(Upgrades!$U$8,G63),1)*IF(Upgrades!$T$9="Orbital Resonance",POWER(Upgrades!$U$9,H63),1)*IF(Upgrades!$T$11="Orbital Resonance",POWER(Upgrades!$U$11,J63),1)*IF(Upgrades!$T$12="Orbital Resonance",POWER(Upgrades!$U$12,K63),1))+(IF(J63=0,0,(Upgrades!$M$11+J63*Upgrades!$N$11)*POWER(Upgrades!$O$11,J63)))*(IF(Upgrades!$T$6="Heliopause",POWER(Upgrades!$U$6,E63),1)*IF(Upgrades!$T$7="Heliopause",POWER(Upgrades!$U$7,F63),1)*IF(Upgrades!$T$8="Heliopause",POWER(Upgrades!$U$8,G63),1)*IF(Upgrades!$T$9="Heliopause",POWER(Upgrades!$U$9,H63),1)*IF(Upgrades!$T$10="Heliopause",POWER(Upgrades!$U$10,I63),1)*IF(Upgrades!$T$12="Heliopause",POWER(Upgrades!$U$12,K63),1))+(IF(K63=0,0,(Upgrades!$M$12+K63*Upgrades!$N$12)*POWER(Upgrades!$O$12,K63)))*(IF(Upgrades!$T$6="First Photons",POWER(Upgrades!$U$6,E63),1)*IF(Upgrades!$T$7="First Photons",POWER(Upgrades!$U$7,F63),1)*IF(Upgrades!$T$8="First Photons",POWER(Upgrades!$U$8,G63),1)*IF(Upgrades!$T$9="First Photons",POWER(Upgrades!$U$9,H63),1)*IF(Upgrades!$T$10="First Photons",POWER(Upgrades!$U$10,I63),1)*IF(Upgrades!$T$11="First Photons",POWER(Upgrades!$U$11,J63),1)))*POWER(Upgrades!$R$6,E63)*POWER(Upgrades!$R$7,F63)*POWER(Upgrades!$R$8,G63)*POWER(Upgrades!$R$9,H63)*POWER(Upgrades!$R$10,I63)*POWER(Upgrades!$R$11,J63)*POWER(Upgrades!$R$12,K63)</f>
        <v>0</v>
      </c>
      <c r="P63" s="27" t="n">
        <f aca="false">IF(L63=1,0,M63*Parameters!$B$10/60*Parameters!$B$11*10)</f>
        <v>0</v>
      </c>
      <c r="Q63" s="27" t="n">
        <f aca="false">IF(L63=1,0,O63*M63*10)</f>
        <v>0</v>
      </c>
      <c r="R63" s="27" t="n">
        <f aca="false">IF(L63=1,0,N63*10)</f>
        <v>0</v>
      </c>
      <c r="S63" s="27" t="n">
        <f aca="false">P63+Q63+R63</f>
        <v>0</v>
      </c>
      <c r="T63" s="21" t="n">
        <f aca="false">C63+S63</f>
        <v>18.6730249835055</v>
      </c>
      <c r="U63" s="34" t="str">
        <f aca="false">AX63</f>
        <v/>
      </c>
      <c r="V63" s="21" t="n">
        <f aca="false">IF(U63="",0,IF(U63="transition",0,IF(U63="SW",AG63,IF(U63="AB",AH63,IF(U63="SC",AI63,IF(U63="Mag",AJ63,IF(U63="OR",AK63,IF(U63="HP",AL63,IF(U63="FP",AM63,0)))))))))</f>
        <v>0</v>
      </c>
      <c r="W63" s="27" t="n">
        <f aca="false">IF(U63="OR",Upgrades!$F$10,IF(U63="HP",Upgrades!$F$11,IF(U63="transition",-Parameters!$B$18,0)))</f>
        <v>0</v>
      </c>
      <c r="X63" s="21" t="n">
        <f aca="false">T63-V63</f>
        <v>18.6730249835055</v>
      </c>
      <c r="Y63" s="30" t="n">
        <f aca="false">M63*Parameters!$B$10/60*Parameters!$B$11+O63*M63+N63</f>
        <v>20.55</v>
      </c>
      <c r="Z63" s="35" t="str">
        <f aca="false">IF(U63="transition","→ Tier 2 (Stellar Neighborhood)",IF(U63="FP","First Photons — light begins, system quickens",IF(U63="HP","Heliopause acquired",IF(U63="OR","Orbital Resonance — passive multiplier active",IF(AND(AO63=1,L63=0,AN63&lt;&gt;1),"Cohesion ready (waiting on completionist upgrades)","")))))</f>
        <v/>
      </c>
      <c r="AA63" s="27" t="n">
        <f aca="false">(IF(E63=0,0,(Upgrades!$G$6+E63*Upgrades!$H$6)*POWER(Upgrades!$I$6,E63)))*(IF(Upgrades!$T$7="Solar Wind",POWER(Upgrades!$U$7,F63),1)*IF(Upgrades!$T$8="Solar Wind",POWER(Upgrades!$U$8,G63),1)*IF(Upgrades!$T$9="Solar Wind",POWER(Upgrades!$U$9,H63),1)*IF(Upgrades!$T$10="Solar Wind",POWER(Upgrades!$U$10,I63),1)*IF(Upgrades!$T$11="Solar Wind",POWER(Upgrades!$U$11,J63),1)*IF(Upgrades!$T$12="Solar Wind",POWER(Upgrades!$U$12,K63),1))*POWER(Upgrades!$P$6,E63)*POWER(Upgrades!$P$7,F63)*POWER(Upgrades!$P$8,G63)*POWER(Upgrades!$P$9,H63)*POWER(Upgrades!$P$10,I63)*POWER(Upgrades!$P$11,J63)*POWER(Upgrades!$P$12,K63)*60</f>
        <v>72</v>
      </c>
      <c r="AB63" s="27" t="n">
        <f aca="false">(IF(F63=0,0,(Upgrades!$G$7+F63*Upgrades!$H$7)*POWER(Upgrades!$I$7,F63)))*(IF(Upgrades!$T$6="Asteroid Belt",POWER(Upgrades!$U$6,E63),1)*IF(Upgrades!$T$8="Asteroid Belt",POWER(Upgrades!$U$8,G63),1)*IF(Upgrades!$T$9="Asteroid Belt",POWER(Upgrades!$U$9,H63),1)*IF(Upgrades!$T$10="Asteroid Belt",POWER(Upgrades!$U$10,I63),1)*IF(Upgrades!$T$11="Asteroid Belt",POWER(Upgrades!$U$11,J63),1)*IF(Upgrades!$T$12="Asteroid Belt",POWER(Upgrades!$U$12,K63),1))*POWER(Upgrades!$P$6,E63)*POWER(Upgrades!$P$7,F63)*POWER(Upgrades!$P$8,G63)*POWER(Upgrades!$P$9,H63)*POWER(Upgrades!$P$10,I63)*POWER(Upgrades!$P$11,J63)*POWER(Upgrades!$P$12,K63)*60</f>
        <v>150</v>
      </c>
      <c r="AC63" s="27" t="n">
        <f aca="false">(IF(G63=0,0,(Upgrades!$J$8+G63*Upgrades!$K$8)*POWER(Upgrades!$L$8,G63)))*(IF(Upgrades!$T$6="Stellar Coupling",POWER(Upgrades!$U$6,E63),1)*IF(Upgrades!$T$7="Stellar Coupling",POWER(Upgrades!$U$7,F63),1)*IF(Upgrades!$T$9="Stellar Coupling",POWER(Upgrades!$U$9,H63),1)*IF(Upgrades!$T$10="Stellar Coupling",POWER(Upgrades!$U$10,I63),1)*IF(Upgrades!$T$11="Stellar Coupling",POWER(Upgrades!$U$11,J63),1)*IF(Upgrades!$T$12="Stellar Coupling",POWER(Upgrades!$U$12,K63),1))*POWER(Upgrades!$Q$6,E63)*POWER(Upgrades!$Q$7,F63)*POWER(Upgrades!$Q$8,G63)*POWER(Upgrades!$Q$9,H63)*POWER(Upgrades!$Q$10,I63)*POWER(Upgrades!$Q$11,J63)*POWER(Upgrades!$Q$12,K63)*Parameters!$B$10*Parameters!$B$11</f>
        <v>441</v>
      </c>
      <c r="AD63" s="27" t="n">
        <f aca="false">(IF(H63=0,0,(Upgrades!$G$9+H63*Upgrades!$H$9)*POWER(Upgrades!$I$9,H63)))*(IF(Upgrades!$T$6="Magnetosphere",POWER(Upgrades!$U$6,E63),1)*IF(Upgrades!$T$7="Magnetosphere",POWER(Upgrades!$U$7,F63),1)*IF(Upgrades!$T$8="Magnetosphere",POWER(Upgrades!$U$8,G63),1)*IF(Upgrades!$T$10="Magnetosphere",POWER(Upgrades!$U$10,I63),1)*IF(Upgrades!$T$11="Magnetosphere",POWER(Upgrades!$U$11,J63),1)*IF(Upgrades!$T$12="Magnetosphere",POWER(Upgrades!$U$12,K63),1))*POWER(Upgrades!$P$6,E63)*POWER(Upgrades!$P$7,F63)*POWER(Upgrades!$P$8,G63)*POWER(Upgrades!$P$9,H63)*POWER(Upgrades!$P$10,I63)*POWER(Upgrades!$P$11,J63)*POWER(Upgrades!$P$12,K63)*60</f>
        <v>375</v>
      </c>
      <c r="AE63" s="27" t="n">
        <f aca="false">(IF(K63=0,0,(Upgrades!$G$12+K63*Upgrades!$H$12)*POWER(Upgrades!$I$12,K63)))*(IF(Upgrades!$T$6="First Photons",POWER(Upgrades!$U$6,E63),1)*IF(Upgrades!$T$7="First Photons",POWER(Upgrades!$U$7,F63),1)*IF(Upgrades!$T$8="First Photons",POWER(Upgrades!$U$8,G63),1)*IF(Upgrades!$T$9="First Photons",POWER(Upgrades!$U$9,H63),1)*IF(Upgrades!$T$10="First Photons",POWER(Upgrades!$U$10,I63),1)*IF(Upgrades!$T$11="First Photons",POWER(Upgrades!$U$11,J63),1))*POWER(Upgrades!$P$6,E63)*POWER(Upgrades!$P$7,F63)*POWER(Upgrades!$P$8,G63)*POWER(Upgrades!$P$9,H63)*POWER(Upgrades!$P$10,I63)*POWER(Upgrades!$P$11,J63)*POWER(Upgrades!$P$12,K63)*60</f>
        <v>75</v>
      </c>
      <c r="AF63" s="27" t="n">
        <f aca="false">Parameters!$B$9*POWER(Upgrades!$Q$6,E63)*POWER(Upgrades!$Q$7,F63)*POWER(Upgrades!$Q$8,G63)*POWER(Upgrades!$Q$9,H63)*POWER(Upgrades!$Q$10,I63)*POWER(Upgrades!$Q$11,J63)*POWER(Upgrades!$Q$12,K63)*(Parameters!$B$10*Parameters!$B$11+O63*60)</f>
        <v>120</v>
      </c>
      <c r="AG63" s="21" t="n">
        <f aca="false">IF(E63&gt;=Upgrades!$E$6,"",Upgrades!$C$6*POWER(Upgrades!$D$6,E63))</f>
        <v>37.4517507383159</v>
      </c>
      <c r="AH63" s="21" t="n">
        <f aca="false">IF(F63&gt;=Upgrades!$E$7,"",Upgrades!$C$7*POWER(Upgrades!$D$7,F63))</f>
        <v>80.9111547141581</v>
      </c>
      <c r="AI63" s="21" t="n">
        <f aca="false">IF(G63&gt;=Upgrades!$E$8,"",Upgrades!$C$8*POWER(Upgrades!$D$8,G63))</f>
        <v>231.9097088</v>
      </c>
      <c r="AJ63" s="21" t="str">
        <f aca="false">IF(H63&gt;=Upgrades!$E$9,"",Upgrades!$C$9*POWER(Upgrades!$D$9,H63))</f>
        <v/>
      </c>
      <c r="AK63" s="21" t="str">
        <f aca="false">IF(I63&gt;=Upgrades!$E$10,"",Upgrades!$C$10*POWER(Upgrades!$D$10,I63))</f>
        <v/>
      </c>
      <c r="AL63" s="21" t="str">
        <f aca="false">IF(J63&gt;=Upgrades!$E$11,"",Upgrades!$C$11*POWER(Upgrades!$D$11,J63))</f>
        <v/>
      </c>
      <c r="AM63" s="21" t="str">
        <f aca="false">IF(K63&gt;=Upgrades!$E$12,"",Upgrades!$C$12*POWER(Upgrades!$D$12,K63))</f>
        <v/>
      </c>
      <c r="AN63" s="26" t="str">
        <f aca="false">IF(AND(D63&gt;=Parameters!$B$18,(H63&gt;=Upgrades!$E$9)*(K63&gt;=Upgrades!$E$12)=1,L63=0),1,"")</f>
        <v/>
      </c>
      <c r="AO63" s="26" t="str">
        <f aca="false">IF(AND(D63&gt;=Parameters!$B$18,L63=0),1,"")</f>
        <v/>
      </c>
      <c r="AP63" s="21" t="n">
        <f aca="false">MIN(IF(ISNUMBER(AK63),AK63,9000000000000000),IF(ISNUMBER(AL63),AL63,9000000000000000),IF(ISNUMBER(AM63),AM63,9000000000000000))</f>
        <v>9000000000000000</v>
      </c>
      <c r="AQ63" s="21" t="n">
        <f aca="false">MIN(IF(ISNUMBER(AG63),AG63,9000000000000000),IF(ISNUMBER(AH63),AH63,9000000000000000),IF(ISNUMBER(AI63),AI63,9000000000000000),IF(ISNUMBER(AJ63),AJ63,9000000000000000))</f>
        <v>37.4517507383159</v>
      </c>
      <c r="AR63" s="32" t="b">
        <f aca="false">IF(AW63&gt;Parameters!$B$21*(MAX(IF(AND(NOT(AND(AO63=1,AN63&lt;&gt;1)),ISNUMBER(AG63),AG63&lt;=T63),AS63,0),IF(AND(NOT(AND(AO63=1,AN63&lt;&gt;1)),ISNUMBER(AH63),AH63&lt;=T63),AT63,0),IF(AND(NOT(AND(AO63=1,AN63&lt;&gt;1)),ISNUMBER(AI63),AI63&lt;=T63),AU63,0),IF(AND(ISNUMBER(AJ63),AJ63&lt;=T63),AV63,0))),TRUE(),FALSE())</f>
        <v>1</v>
      </c>
      <c r="AS63" s="33" t="n">
        <f aca="false">IFERROR(Upgrades!$H$6*(POWER(Upgrades!$P$6,E63)*POWER(Upgrades!$P$7,F63)*POWER(Upgrades!$P$8,G63)*POWER(Upgrades!$P$9,H63)*POWER(Upgrades!$P$10,I63)*POWER(Upgrades!$P$11,J63)*POWER(Upgrades!$P$12,K63))*(IF(Upgrades!$T$7="Solar Wind",POWER(Upgrades!$U$7,F63),1)*IF(Upgrades!$T$8="Solar Wind",POWER(Upgrades!$U$8,G63),1)*IF(Upgrades!$T$9="Solar Wind",POWER(Upgrades!$U$9,H63),1)*IF(Upgrades!$T$10="Solar Wind",POWER(Upgrades!$U$10,I63),1)*IF(Upgrades!$T$11="Solar Wind",POWER(Upgrades!$U$11,J63),1)*IF(Upgrades!$T$12="Solar Wind",POWER(Upgrades!$U$12,K63),1))/AG63,0)</f>
        <v>0.0026701021455238</v>
      </c>
      <c r="AT63" s="33" t="n">
        <f aca="false">IFERROR(Upgrades!$H$7*(POWER(Upgrades!$P$6,E63)*POWER(Upgrades!$P$7,F63)*POWER(Upgrades!$P$8,G63)*POWER(Upgrades!$P$9,H63)*POWER(Upgrades!$P$10,I63)*POWER(Upgrades!$P$11,J63)*POWER(Upgrades!$P$12,K63))*(IF(Upgrades!$T$6="Asteroid Belt",POWER(Upgrades!$U$6,E63),1)*IF(Upgrades!$T$8="Asteroid Belt",POWER(Upgrades!$U$8,G63),1)*IF(Upgrades!$T$9="Asteroid Belt",POWER(Upgrades!$U$9,H63),1)*IF(Upgrades!$T$10="Asteroid Belt",POWER(Upgrades!$U$10,I63),1)*IF(Upgrades!$T$11="Asteroid Belt",POWER(Upgrades!$U$11,J63),1)*IF(Upgrades!$T$12="Asteroid Belt",POWER(Upgrades!$U$12,K63),1))/AH63,0)</f>
        <v>0.00308980882652332</v>
      </c>
      <c r="AU63" s="33" t="n">
        <f aca="false">IFERROR(Upgrades!$K$8*(POWER(Upgrades!$Q$6,E63)*POWER(Upgrades!$Q$7,F63)*POWER(Upgrades!$Q$8,G63)*POWER(Upgrades!$Q$9,H63)*POWER(Upgrades!$Q$10,I63)*POWER(Upgrades!$Q$11,J63)*POWER(Upgrades!$Q$12,K63))*(IF(Upgrades!$T$6="Stellar Coupling",POWER(Upgrades!$U$6,E63),1)*IF(Upgrades!$T$7="Stellar Coupling",POWER(Upgrades!$U$7,F63),1)*IF(Upgrades!$T$9="Stellar Coupling",POWER(Upgrades!$U$9,H63),1)*IF(Upgrades!$T$10="Stellar Coupling",POWER(Upgrades!$U$10,I63),1)*IF(Upgrades!$T$11="Stellar Coupling",POWER(Upgrades!$U$11,J63),1)*IF(Upgrades!$T$12="Stellar Coupling",POWER(Upgrades!$U$12,K63),1))*Parameters!$B$10*Parameters!$B$11/60/AI63,0)</f>
        <v>0.00452762415783776</v>
      </c>
      <c r="AV63" s="33" t="n">
        <f aca="false">IFERROR(Upgrades!$H$9*(POWER(Upgrades!$P$6,E63)*POWER(Upgrades!$P$7,F63)*POWER(Upgrades!$P$8,G63)*POWER(Upgrades!$P$9,H63)*POWER(Upgrades!$P$10,I63)*POWER(Upgrades!$P$11,J63)*POWER(Upgrades!$P$12,K63))*(IF(Upgrades!$T$6="Magnetosphere",POWER(Upgrades!$U$6,E63),1)*IF(Upgrades!$T$7="Magnetosphere",POWER(Upgrades!$U$7,F63),1)*IF(Upgrades!$T$8="Magnetosphere",POWER(Upgrades!$U$8,G63),1)*IF(Upgrades!$T$10="Magnetosphere",POWER(Upgrades!$U$10,I63),1)*IF(Upgrades!$T$11="Magnetosphere",POWER(Upgrades!$U$11,J63),1)*IF(Upgrades!$T$12="Magnetosphere",POWER(Upgrades!$U$12,K63),1))/AJ63,0)</f>
        <v>0</v>
      </c>
      <c r="AW63" s="33" t="n">
        <f aca="false">MAX(IF(I63&gt;0,0,IFERROR(0.25*N63/Upgrades!$C$10,0)),IF(J63&gt;0,0,IFERROR(0.5*((IF(G63=0,0,(Upgrades!$J$8+G63*Upgrades!$K$8)*POWER(Upgrades!$L$8,G63)))*(IF(Upgrades!$T$6="Stellar Coupling",POWER(Upgrades!$U$6,E63),1)*IF(Upgrades!$T$7="Stellar Coupling",POWER(Upgrades!$U$7,F63),1)*IF(Upgrades!$T$9="Stellar Coupling",POWER(Upgrades!$U$9,H63),1)*IF(Upgrades!$T$10="Stellar Coupling",POWER(Upgrades!$U$10,I63),1)*IF(Upgrades!$T$11="Stellar Coupling",POWER(Upgrades!$U$11,J63),1)*IF(Upgrades!$T$12="Stellar Coupling",POWER(Upgrades!$U$12,K63),1))*(POWER(Upgrades!$Q$6,E63)*POWER(Upgrades!$Q$7,F63)*POWER(Upgrades!$Q$8,G63)*POWER(Upgrades!$Q$9,H63)*POWER(Upgrades!$Q$10,I63)*POWER(Upgrades!$Q$11,J63)*POWER(Upgrades!$Q$12,K63))*Parameters!$B$10*Parameters!$B$11/60)/Upgrades!$C$11,0)),IF(K63&gt;0,0,IFERROR((1*(POWER(Upgrades!$P$6,E63)*POWER(Upgrades!$P$7,F63)*POWER(Upgrades!$P$8,G63)*POWER(Upgrades!$P$9,H63)*POWER(Upgrades!$P$10,I63)*POWER(Upgrades!$P$11,J63)*POWER(Upgrades!$P$12,K63))+0.2*M63*Parameters!$B$10*Parameters!$B$11/60)/Upgrades!$C$12,0)),IF(AND(ISNUMBER(AG63),AG63&gt;T63),AS63,0),IF(AND(ISNUMBER(AH63),AH63&gt;T63),AT63,0),IF(AND(ISNUMBER(AI63),AI63&gt;T63),AU63,0),IF(AND(ISNUMBER(AJ63),AJ63&gt;T63),AV63,0))</f>
        <v>0.00452762415783776</v>
      </c>
      <c r="AX63" s="29" t="str">
        <f aca="false">IF(AN63=1,"transition",IF(MIN(IF(AND(I63=0,ISNUMBER(AK63),AK63&lt;=T63),AK63,9000000000000000),IF(AND(J63=0,ISNUMBER(AL63),AL63&lt;=T63),AL63,9000000000000000),IF(AND(K63=0,ISNUMBER(AM63),AM63&lt;=T63),AM63,9000000000000000))&lt;9000000000000000,IF(AND(AND(I63=0,ISNUMBER(AK63),AK63&lt;=T63),AK63=MIN(IF(AND(I63=0,ISNUMBER(AK63),AK63&lt;=T63),AK63,9000000000000000),IF(AND(J63=0,ISNUMBER(AL63),AL63&lt;=T63),AL63,9000000000000000),IF(AND(K63=0,ISNUMBER(AM63),AM63&lt;=T63),AM63,9000000000000000))),"OR",IF(AND(AND(J63=0,ISNUMBER(AL63),AL63&lt;=T63),AL63=MIN(IF(AND(I63=0,ISNUMBER(AK63),AK63&lt;=T63),AK63,9000000000000000),IF(AND(J63=0,ISNUMBER(AL63),AL63&lt;=T63),AL63,9000000000000000),IF(AND(K63=0,ISNUMBER(AM63),AM63&lt;=T63),AM63,9000000000000000))),"HP","FP")),IF(AR63=TRUE(),"",IF(MAX(IF(AND(NOT(AND(AO63=1,AN63&lt;&gt;1)),ISNUMBER(AG63),AG63&lt;=T63),AS63,0),IF(AND(NOT(AND(AO63=1,AN63&lt;&gt;1)),ISNUMBER(AH63),AH63&lt;=T63),AT63,0),IF(AND(NOT(AND(AO63=1,AN63&lt;&gt;1)),ISNUMBER(AI63),AI63&lt;=T63),AU63,0),IF(AND(ISNUMBER(AJ63),AJ63&lt;=T63),AV63,0))&lt;=0,"",IF(AND(IF(AND(NOT(AND(AO63=1,AN63&lt;&gt;1)),ISNUMBER(AG63),AG63&lt;=T63),AS63,0)&gt;0,IF(AND(NOT(AND(AO63=1,AN63&lt;&gt;1)),ISNUMBER(AG63),AG63&lt;=T63),AS63,0)=MAX(IF(AND(NOT(AND(AO63=1,AN63&lt;&gt;1)),ISNUMBER(AG63),AG63&lt;=T63),AS63,0),IF(AND(NOT(AND(AO63=1,AN63&lt;&gt;1)),ISNUMBER(AH63),AH63&lt;=T63),AT63,0),IF(AND(NOT(AND(AO63=1,AN63&lt;&gt;1)),ISNUMBER(AI63),AI63&lt;=T63),AU63,0),IF(AND(ISNUMBER(AJ63),AJ63&lt;=T63),AV63,0))),"SW",IF(AND(IF(AND(NOT(AND(AO63=1,AN63&lt;&gt;1)),ISNUMBER(AH63),AH63&lt;=T63),AT63,0)&gt;0,IF(AND(NOT(AND(AO63=1,AN63&lt;&gt;1)),ISNUMBER(AH63),AH63&lt;=T63),AT63,0)=MAX(IF(AND(NOT(AND(AO63=1,AN63&lt;&gt;1)),ISNUMBER(AG63),AG63&lt;=T63),AS63,0),IF(AND(NOT(AND(AO63=1,AN63&lt;&gt;1)),ISNUMBER(AH63),AH63&lt;=T63),AT63,0),IF(AND(NOT(AND(AO63=1,AN63&lt;&gt;1)),ISNUMBER(AI63),AI63&lt;=T63),AU63,0),IF(AND(ISNUMBER(AJ63),AJ63&lt;=T63),AV63,0))),"AB",IF(AND(IF(AND(NOT(AND(AO63=1,AN63&lt;&gt;1)),ISNUMBER(AI63),AI63&lt;=T63),AU63,0)&gt;0,IF(AND(NOT(AND(AO63=1,AN63&lt;&gt;1)),ISNUMBER(AI63),AI63&lt;=T63),AU63,0)=MAX(IF(AND(NOT(AND(AO63=1,AN63&lt;&gt;1)),ISNUMBER(AG63),AG63&lt;=T63),AS63,0),IF(AND(NOT(AND(AO63=1,AN63&lt;&gt;1)),ISNUMBER(AH63),AH63&lt;=T63),AT63,0),IF(AND(NOT(AND(AO63=1,AN63&lt;&gt;1)),ISNUMBER(AI63),AI63&lt;=T63),AU63,0),IF(AND(ISNUMBER(AJ63),AJ63&lt;=T63),AV63,0))),"SC","Mag")))))))</f>
        <v/>
      </c>
    </row>
    <row r="64" customFormat="false" ht="15" hidden="false" customHeight="false" outlineLevel="0" collapsed="false">
      <c r="A64" s="26" t="n">
        <v>59</v>
      </c>
      <c r="B64" s="27" t="n">
        <f aca="false">A64*10/60</f>
        <v>9.83333333333333</v>
      </c>
      <c r="C64" s="21" t="n">
        <f aca="false">X63</f>
        <v>18.6730249835055</v>
      </c>
      <c r="D64" s="27" t="n">
        <f aca="false">D63+W63</f>
        <v>0</v>
      </c>
      <c r="E64" s="26" t="n">
        <f aca="false">E63+IF(U63="SW",1,0)</f>
        <v>12</v>
      </c>
      <c r="F64" s="26" t="n">
        <f aca="false">F63+IF(U63="AB",1,0)</f>
        <v>10</v>
      </c>
      <c r="G64" s="26" t="n">
        <f aca="false">G63+IF(U63="SC",1,0)</f>
        <v>7</v>
      </c>
      <c r="H64" s="26" t="n">
        <f aca="false">H63+IF(U63="Mag",1,0)</f>
        <v>5</v>
      </c>
      <c r="I64" s="26" t="n">
        <f aca="false">MAX(I63,IF(U63="OR",1,0))</f>
        <v>1</v>
      </c>
      <c r="J64" s="26" t="n">
        <f aca="false">MAX(J63,IF(U63="HP",1,0))</f>
        <v>1</v>
      </c>
      <c r="K64" s="26" t="n">
        <f aca="false">MAX(K63,IF(U63="FP",1,0))</f>
        <v>1</v>
      </c>
      <c r="L64" s="26" t="n">
        <f aca="false">MAX(L63,IF(U63="transition",1,0))</f>
        <v>1</v>
      </c>
      <c r="M64" s="28" t="n">
        <f aca="false">(Parameters!$B$9+(IF(E64=0,0,(Upgrades!$J$6+E64*Upgrades!$K$6)*POWER(Upgrades!$L$6,E64)))*(IF(Upgrades!$T$7="Solar Wind",POWER(Upgrades!$U$7,F64),1)*IF(Upgrades!$T$8="Solar Wind",POWER(Upgrades!$U$8,G64),1)*IF(Upgrades!$T$9="Solar Wind",POWER(Upgrades!$U$9,H64),1)*IF(Upgrades!$T$10="Solar Wind",POWER(Upgrades!$U$10,I64),1)*IF(Upgrades!$T$11="Solar Wind",POWER(Upgrades!$U$11,J64),1)*IF(Upgrades!$T$12="Solar Wind",POWER(Upgrades!$U$12,K64),1))+(IF(F64=0,0,(Upgrades!$J$7+F64*Upgrades!$K$7)*POWER(Upgrades!$L$7,F64)))*(IF(Upgrades!$T$6="Asteroid Belt",POWER(Upgrades!$U$6,E64),1)*IF(Upgrades!$T$8="Asteroid Belt",POWER(Upgrades!$U$8,G64),1)*IF(Upgrades!$T$9="Asteroid Belt",POWER(Upgrades!$U$9,H64),1)*IF(Upgrades!$T$10="Asteroid Belt",POWER(Upgrades!$U$10,I64),1)*IF(Upgrades!$T$11="Asteroid Belt",POWER(Upgrades!$U$11,J64),1)*IF(Upgrades!$T$12="Asteroid Belt",POWER(Upgrades!$U$12,K64),1))+(IF(G64=0,0,(Upgrades!$J$8+G64*Upgrades!$K$8)*POWER(Upgrades!$L$8,G64)))*(IF(Upgrades!$T$6="Stellar Coupling",POWER(Upgrades!$U$6,E64),1)*IF(Upgrades!$T$7="Stellar Coupling",POWER(Upgrades!$U$7,F64),1)*IF(Upgrades!$T$9="Stellar Coupling",POWER(Upgrades!$U$9,H64),1)*IF(Upgrades!$T$10="Stellar Coupling",POWER(Upgrades!$U$10,I64),1)*IF(Upgrades!$T$11="Stellar Coupling",POWER(Upgrades!$U$11,J64),1)*IF(Upgrades!$T$12="Stellar Coupling",POWER(Upgrades!$U$12,K64),1))+(IF(H64=0,0,(Upgrades!$J$9+H64*Upgrades!$K$9)*POWER(Upgrades!$L$9,H64)))*(IF(Upgrades!$T$6="Magnetosphere",POWER(Upgrades!$U$6,E64),1)*IF(Upgrades!$T$7="Magnetosphere",POWER(Upgrades!$U$7,F64),1)*IF(Upgrades!$T$8="Magnetosphere",POWER(Upgrades!$U$8,G64),1)*IF(Upgrades!$T$10="Magnetosphere",POWER(Upgrades!$U$10,I64),1)*IF(Upgrades!$T$11="Magnetosphere",POWER(Upgrades!$U$11,J64),1)*IF(Upgrades!$T$12="Magnetosphere",POWER(Upgrades!$U$12,K64),1))+(IF(I64=0,0,(Upgrades!$J$10+I64*Upgrades!$K$10)*POWER(Upgrades!$L$10,I64)))*(IF(Upgrades!$T$6="Orbital Resonance",POWER(Upgrades!$U$6,E64),1)*IF(Upgrades!$T$7="Orbital Resonance",POWER(Upgrades!$U$7,F64),1)*IF(Upgrades!$T$8="Orbital Resonance",POWER(Upgrades!$U$8,G64),1)*IF(Upgrades!$T$9="Orbital Resonance",POWER(Upgrades!$U$9,H64),1)*IF(Upgrades!$T$11="Orbital Resonance",POWER(Upgrades!$U$11,J64),1)*IF(Upgrades!$T$12="Orbital Resonance",POWER(Upgrades!$U$12,K64),1))+(IF(J64=0,0,(Upgrades!$J$11+J64*Upgrades!$K$11)*POWER(Upgrades!$L$11,J64)))*(IF(Upgrades!$T$6="Heliopause",POWER(Upgrades!$U$6,E64),1)*IF(Upgrades!$T$7="Heliopause",POWER(Upgrades!$U$7,F64),1)*IF(Upgrades!$T$8="Heliopause",POWER(Upgrades!$U$8,G64),1)*IF(Upgrades!$T$9="Heliopause",POWER(Upgrades!$U$9,H64),1)*IF(Upgrades!$T$10="Heliopause",POWER(Upgrades!$U$10,I64),1)*IF(Upgrades!$T$12="Heliopause",POWER(Upgrades!$U$12,K64),1))+(IF(K64=0,0,(Upgrades!$J$12+K64*Upgrades!$K$12)*POWER(Upgrades!$L$12,K64)))*(IF(Upgrades!$T$6="First Photons",POWER(Upgrades!$U$6,E64),1)*IF(Upgrades!$T$7="First Photons",POWER(Upgrades!$U$7,F64),1)*IF(Upgrades!$T$8="First Photons",POWER(Upgrades!$U$8,G64),1)*IF(Upgrades!$T$9="First Photons",POWER(Upgrades!$U$9,H64),1)*IF(Upgrades!$T$10="First Photons",POWER(Upgrades!$U$10,I64),1)*IF(Upgrades!$T$11="First Photons",POWER(Upgrades!$U$11,J64),1)))*POWER(Upgrades!$Q$6,E64)*POWER(Upgrades!$Q$7,F64)*POWER(Upgrades!$Q$8,G64)*POWER(Upgrades!$Q$9,H64)*POWER(Upgrades!$Q$10,I64)*POWER(Upgrades!$Q$11,J64)*POWER(Upgrades!$Q$12,K64)</f>
        <v>5.61</v>
      </c>
      <c r="N64" s="28" t="n">
        <f aca="false">((IF(E64=0,0,(Upgrades!$G$6+E64*Upgrades!$H$6)*POWER(Upgrades!$I$6,E64)))*(IF(Upgrades!$T$7="Solar Wind",POWER(Upgrades!$U$7,F64),1)*IF(Upgrades!$T$8="Solar Wind",POWER(Upgrades!$U$8,G64),1)*IF(Upgrades!$T$9="Solar Wind",POWER(Upgrades!$U$9,H64),1)*IF(Upgrades!$T$10="Solar Wind",POWER(Upgrades!$U$10,I64),1)*IF(Upgrades!$T$11="Solar Wind",POWER(Upgrades!$U$11,J64),1)*IF(Upgrades!$T$12="Solar Wind",POWER(Upgrades!$U$12,K64),1))+(IF(F64=0,0,(Upgrades!$G$7+F64*Upgrades!$H$7)*POWER(Upgrades!$I$7,F64)))*(IF(Upgrades!$T$6="Asteroid Belt",POWER(Upgrades!$U$6,E64),1)*IF(Upgrades!$T$8="Asteroid Belt",POWER(Upgrades!$U$8,G64),1)*IF(Upgrades!$T$9="Asteroid Belt",POWER(Upgrades!$U$9,H64),1)*IF(Upgrades!$T$10="Asteroid Belt",POWER(Upgrades!$U$10,I64),1)*IF(Upgrades!$T$11="Asteroid Belt",POWER(Upgrades!$U$11,J64),1)*IF(Upgrades!$T$12="Asteroid Belt",POWER(Upgrades!$U$12,K64),1))+(IF(G64=0,0,(Upgrades!$G$8+G64*Upgrades!$H$8)*POWER(Upgrades!$I$8,G64)))*(IF(Upgrades!$T$6="Stellar Coupling",POWER(Upgrades!$U$6,E64),1)*IF(Upgrades!$T$7="Stellar Coupling",POWER(Upgrades!$U$7,F64),1)*IF(Upgrades!$T$9="Stellar Coupling",POWER(Upgrades!$U$9,H64),1)*IF(Upgrades!$T$10="Stellar Coupling",POWER(Upgrades!$U$10,I64),1)*IF(Upgrades!$T$11="Stellar Coupling",POWER(Upgrades!$U$11,J64),1)*IF(Upgrades!$T$12="Stellar Coupling",POWER(Upgrades!$U$12,K64),1))+(IF(H64=0,0,(Upgrades!$G$9+H64*Upgrades!$H$9)*POWER(Upgrades!$I$9,H64)))*(IF(Upgrades!$T$6="Magnetosphere",POWER(Upgrades!$U$6,E64),1)*IF(Upgrades!$T$7="Magnetosphere",POWER(Upgrades!$U$7,F64),1)*IF(Upgrades!$T$8="Magnetosphere",POWER(Upgrades!$U$8,G64),1)*IF(Upgrades!$T$10="Magnetosphere",POWER(Upgrades!$U$10,I64),1)*IF(Upgrades!$T$11="Magnetosphere",POWER(Upgrades!$U$11,J64),1)*IF(Upgrades!$T$12="Magnetosphere",POWER(Upgrades!$U$12,K64),1))+(IF(I64=0,0,(Upgrades!$G$10+I64*Upgrades!$H$10)*POWER(Upgrades!$I$10,I64)))*(IF(Upgrades!$T$6="Orbital Resonance",POWER(Upgrades!$U$6,E64),1)*IF(Upgrades!$T$7="Orbital Resonance",POWER(Upgrades!$U$7,F64),1)*IF(Upgrades!$T$8="Orbital Resonance",POWER(Upgrades!$U$8,G64),1)*IF(Upgrades!$T$9="Orbital Resonance",POWER(Upgrades!$U$9,H64),1)*IF(Upgrades!$T$11="Orbital Resonance",POWER(Upgrades!$U$11,J64),1)*IF(Upgrades!$T$12="Orbital Resonance",POWER(Upgrades!$U$12,K64),1))+(IF(J64=0,0,(Upgrades!$G$11+J64*Upgrades!$H$11)*POWER(Upgrades!$I$11,J64)))*(IF(Upgrades!$T$6="Heliopause",POWER(Upgrades!$U$6,E64),1)*IF(Upgrades!$T$7="Heliopause",POWER(Upgrades!$U$7,F64),1)*IF(Upgrades!$T$8="Heliopause",POWER(Upgrades!$U$8,G64),1)*IF(Upgrades!$T$9="Heliopause",POWER(Upgrades!$U$9,H64),1)*IF(Upgrades!$T$10="Heliopause",POWER(Upgrades!$U$10,I64),1)*IF(Upgrades!$T$12="Heliopause",POWER(Upgrades!$U$12,K64),1))+(IF(K64=0,0,(Upgrades!$G$12+K64*Upgrades!$H$12)*POWER(Upgrades!$I$12,K64)))*(IF(Upgrades!$T$6="First Photons",POWER(Upgrades!$U$6,E64),1)*IF(Upgrades!$T$7="First Photons",POWER(Upgrades!$U$7,F64),1)*IF(Upgrades!$T$8="First Photons",POWER(Upgrades!$U$8,G64),1)*IF(Upgrades!$T$9="First Photons",POWER(Upgrades!$U$9,H64),1)*IF(Upgrades!$T$10="First Photons",POWER(Upgrades!$U$10,I64),1)*IF(Upgrades!$T$11="First Photons",POWER(Upgrades!$U$11,J64),1)))*POWER(Upgrades!$P$6,E64)*POWER(Upgrades!$P$7,F64)*POWER(Upgrades!$P$8,G64)*POWER(Upgrades!$P$9,H64)*POWER(Upgrades!$P$10,I64)*POWER(Upgrades!$P$11,J64)*POWER(Upgrades!$P$12,K64)</f>
        <v>11.2</v>
      </c>
      <c r="O64" s="28" t="n">
        <f aca="false">((IF(E64=0,0,(Upgrades!$M$6+E64*Upgrades!$N$6)*POWER(Upgrades!$O$6,E64)))*(IF(Upgrades!$T$7="Solar Wind",POWER(Upgrades!$U$7,F64),1)*IF(Upgrades!$T$8="Solar Wind",POWER(Upgrades!$U$8,G64),1)*IF(Upgrades!$T$9="Solar Wind",POWER(Upgrades!$U$9,H64),1)*IF(Upgrades!$T$10="Solar Wind",POWER(Upgrades!$U$10,I64),1)*IF(Upgrades!$T$11="Solar Wind",POWER(Upgrades!$U$11,J64),1)*IF(Upgrades!$T$12="Solar Wind",POWER(Upgrades!$U$12,K64),1))+(IF(F64=0,0,(Upgrades!$M$7+F64*Upgrades!$N$7)*POWER(Upgrades!$O$7,F64)))*(IF(Upgrades!$T$6="Asteroid Belt",POWER(Upgrades!$U$6,E64),1)*IF(Upgrades!$T$8="Asteroid Belt",POWER(Upgrades!$U$8,G64),1)*IF(Upgrades!$T$9="Asteroid Belt",POWER(Upgrades!$U$9,H64),1)*IF(Upgrades!$T$10="Asteroid Belt",POWER(Upgrades!$U$10,I64),1)*IF(Upgrades!$T$11="Asteroid Belt",POWER(Upgrades!$U$11,J64),1)*IF(Upgrades!$T$12="Asteroid Belt",POWER(Upgrades!$U$12,K64),1))+(IF(G64=0,0,(Upgrades!$M$8+G64*Upgrades!$N$8)*POWER(Upgrades!$O$8,G64)))*(IF(Upgrades!$T$6="Stellar Coupling",POWER(Upgrades!$U$6,E64),1)*IF(Upgrades!$T$7="Stellar Coupling",POWER(Upgrades!$U$7,F64),1)*IF(Upgrades!$T$9="Stellar Coupling",POWER(Upgrades!$U$9,H64),1)*IF(Upgrades!$T$10="Stellar Coupling",POWER(Upgrades!$U$10,I64),1)*IF(Upgrades!$T$11="Stellar Coupling",POWER(Upgrades!$U$11,J64),1)*IF(Upgrades!$T$12="Stellar Coupling",POWER(Upgrades!$U$12,K64),1))+(IF(H64=0,0,(Upgrades!$M$9+H64*Upgrades!$N$9)*POWER(Upgrades!$O$9,H64)))*(IF(Upgrades!$T$6="Magnetosphere",POWER(Upgrades!$U$6,E64),1)*IF(Upgrades!$T$7="Magnetosphere",POWER(Upgrades!$U$7,F64),1)*IF(Upgrades!$T$8="Magnetosphere",POWER(Upgrades!$U$8,G64),1)*IF(Upgrades!$T$10="Magnetosphere",POWER(Upgrades!$U$10,I64),1)*IF(Upgrades!$T$11="Magnetosphere",POWER(Upgrades!$U$11,J64),1)*IF(Upgrades!$T$12="Magnetosphere",POWER(Upgrades!$U$12,K64),1))+(IF(I64=0,0,(Upgrades!$M$10+I64*Upgrades!$N$10)*POWER(Upgrades!$O$10,I64)))*(IF(Upgrades!$T$6="Orbital Resonance",POWER(Upgrades!$U$6,E64),1)*IF(Upgrades!$T$7="Orbital Resonance",POWER(Upgrades!$U$7,F64),1)*IF(Upgrades!$T$8="Orbital Resonance",POWER(Upgrades!$U$8,G64),1)*IF(Upgrades!$T$9="Orbital Resonance",POWER(Upgrades!$U$9,H64),1)*IF(Upgrades!$T$11="Orbital Resonance",POWER(Upgrades!$U$11,J64),1)*IF(Upgrades!$T$12="Orbital Resonance",POWER(Upgrades!$U$12,K64),1))+(IF(J64=0,0,(Upgrades!$M$11+J64*Upgrades!$N$11)*POWER(Upgrades!$O$11,J64)))*(IF(Upgrades!$T$6="Heliopause",POWER(Upgrades!$U$6,E64),1)*IF(Upgrades!$T$7="Heliopause",POWER(Upgrades!$U$7,F64),1)*IF(Upgrades!$T$8="Heliopause",POWER(Upgrades!$U$8,G64),1)*IF(Upgrades!$T$9="Heliopause",POWER(Upgrades!$U$9,H64),1)*IF(Upgrades!$T$10="Heliopause",POWER(Upgrades!$U$10,I64),1)*IF(Upgrades!$T$12="Heliopause",POWER(Upgrades!$U$12,K64),1))+(IF(K64=0,0,(Upgrades!$M$12+K64*Upgrades!$N$12)*POWER(Upgrades!$O$12,K64)))*(IF(Upgrades!$T$6="First Photons",POWER(Upgrades!$U$6,E64),1)*IF(Upgrades!$T$7="First Photons",POWER(Upgrades!$U$7,F64),1)*IF(Upgrades!$T$8="First Photons",POWER(Upgrades!$U$8,G64),1)*IF(Upgrades!$T$9="First Photons",POWER(Upgrades!$U$9,H64),1)*IF(Upgrades!$T$10="First Photons",POWER(Upgrades!$U$10,I64),1)*IF(Upgrades!$T$11="First Photons",POWER(Upgrades!$U$11,J64),1)))*POWER(Upgrades!$R$6,E64)*POWER(Upgrades!$R$7,F64)*POWER(Upgrades!$R$8,G64)*POWER(Upgrades!$R$9,H64)*POWER(Upgrades!$R$10,I64)*POWER(Upgrades!$R$11,J64)*POWER(Upgrades!$R$12,K64)</f>
        <v>0</v>
      </c>
      <c r="P64" s="27" t="n">
        <f aca="false">IF(L64=1,0,M64*Parameters!$B$10/60*Parameters!$B$11*10)</f>
        <v>0</v>
      </c>
      <c r="Q64" s="27" t="n">
        <f aca="false">IF(L64=1,0,O64*M64*10)</f>
        <v>0</v>
      </c>
      <c r="R64" s="27" t="n">
        <f aca="false">IF(L64=1,0,N64*10)</f>
        <v>0</v>
      </c>
      <c r="S64" s="27" t="n">
        <f aca="false">P64+Q64+R64</f>
        <v>0</v>
      </c>
      <c r="T64" s="21" t="n">
        <f aca="false">C64+S64</f>
        <v>18.6730249835055</v>
      </c>
      <c r="U64" s="34" t="str">
        <f aca="false">AX64</f>
        <v/>
      </c>
      <c r="V64" s="21" t="n">
        <f aca="false">IF(U64="",0,IF(U64="transition",0,IF(U64="SW",AG64,IF(U64="AB",AH64,IF(U64="SC",AI64,IF(U64="Mag",AJ64,IF(U64="OR",AK64,IF(U64="HP",AL64,IF(U64="FP",AM64,0)))))))))</f>
        <v>0</v>
      </c>
      <c r="W64" s="27" t="n">
        <f aca="false">IF(U64="OR",Upgrades!$F$10,IF(U64="HP",Upgrades!$F$11,IF(U64="transition",-Parameters!$B$18,0)))</f>
        <v>0</v>
      </c>
      <c r="X64" s="21" t="n">
        <f aca="false">T64-V64</f>
        <v>18.6730249835055</v>
      </c>
      <c r="Y64" s="30" t="n">
        <f aca="false">M64*Parameters!$B$10/60*Parameters!$B$11+O64*M64+N64</f>
        <v>20.55</v>
      </c>
      <c r="Z64" s="35" t="str">
        <f aca="false">IF(U64="transition","→ Tier 2 (Stellar Neighborhood)",IF(U64="FP","First Photons — light begins, system quickens",IF(U64="HP","Heliopause acquired",IF(U64="OR","Orbital Resonance — passive multiplier active",IF(AND(AO64=1,L64=0,AN64&lt;&gt;1),"Cohesion ready (waiting on completionist upgrades)","")))))</f>
        <v/>
      </c>
      <c r="AA64" s="27" t="n">
        <f aca="false">(IF(E64=0,0,(Upgrades!$G$6+E64*Upgrades!$H$6)*POWER(Upgrades!$I$6,E64)))*(IF(Upgrades!$T$7="Solar Wind",POWER(Upgrades!$U$7,F64),1)*IF(Upgrades!$T$8="Solar Wind",POWER(Upgrades!$U$8,G64),1)*IF(Upgrades!$T$9="Solar Wind",POWER(Upgrades!$U$9,H64),1)*IF(Upgrades!$T$10="Solar Wind",POWER(Upgrades!$U$10,I64),1)*IF(Upgrades!$T$11="Solar Wind",POWER(Upgrades!$U$11,J64),1)*IF(Upgrades!$T$12="Solar Wind",POWER(Upgrades!$U$12,K64),1))*POWER(Upgrades!$P$6,E64)*POWER(Upgrades!$P$7,F64)*POWER(Upgrades!$P$8,G64)*POWER(Upgrades!$P$9,H64)*POWER(Upgrades!$P$10,I64)*POWER(Upgrades!$P$11,J64)*POWER(Upgrades!$P$12,K64)*60</f>
        <v>72</v>
      </c>
      <c r="AB64" s="27" t="n">
        <f aca="false">(IF(F64=0,0,(Upgrades!$G$7+F64*Upgrades!$H$7)*POWER(Upgrades!$I$7,F64)))*(IF(Upgrades!$T$6="Asteroid Belt",POWER(Upgrades!$U$6,E64),1)*IF(Upgrades!$T$8="Asteroid Belt",POWER(Upgrades!$U$8,G64),1)*IF(Upgrades!$T$9="Asteroid Belt",POWER(Upgrades!$U$9,H64),1)*IF(Upgrades!$T$10="Asteroid Belt",POWER(Upgrades!$U$10,I64),1)*IF(Upgrades!$T$11="Asteroid Belt",POWER(Upgrades!$U$11,J64),1)*IF(Upgrades!$T$12="Asteroid Belt",POWER(Upgrades!$U$12,K64),1))*POWER(Upgrades!$P$6,E64)*POWER(Upgrades!$P$7,F64)*POWER(Upgrades!$P$8,G64)*POWER(Upgrades!$P$9,H64)*POWER(Upgrades!$P$10,I64)*POWER(Upgrades!$P$11,J64)*POWER(Upgrades!$P$12,K64)*60</f>
        <v>150</v>
      </c>
      <c r="AC64" s="27" t="n">
        <f aca="false">(IF(G64=0,0,(Upgrades!$J$8+G64*Upgrades!$K$8)*POWER(Upgrades!$L$8,G64)))*(IF(Upgrades!$T$6="Stellar Coupling",POWER(Upgrades!$U$6,E64),1)*IF(Upgrades!$T$7="Stellar Coupling",POWER(Upgrades!$U$7,F64),1)*IF(Upgrades!$T$9="Stellar Coupling",POWER(Upgrades!$U$9,H64),1)*IF(Upgrades!$T$10="Stellar Coupling",POWER(Upgrades!$U$10,I64),1)*IF(Upgrades!$T$11="Stellar Coupling",POWER(Upgrades!$U$11,J64),1)*IF(Upgrades!$T$12="Stellar Coupling",POWER(Upgrades!$U$12,K64),1))*POWER(Upgrades!$Q$6,E64)*POWER(Upgrades!$Q$7,F64)*POWER(Upgrades!$Q$8,G64)*POWER(Upgrades!$Q$9,H64)*POWER(Upgrades!$Q$10,I64)*POWER(Upgrades!$Q$11,J64)*POWER(Upgrades!$Q$12,K64)*Parameters!$B$10*Parameters!$B$11</f>
        <v>441</v>
      </c>
      <c r="AD64" s="27" t="n">
        <f aca="false">(IF(H64=0,0,(Upgrades!$G$9+H64*Upgrades!$H$9)*POWER(Upgrades!$I$9,H64)))*(IF(Upgrades!$T$6="Magnetosphere",POWER(Upgrades!$U$6,E64),1)*IF(Upgrades!$T$7="Magnetosphere",POWER(Upgrades!$U$7,F64),1)*IF(Upgrades!$T$8="Magnetosphere",POWER(Upgrades!$U$8,G64),1)*IF(Upgrades!$T$10="Magnetosphere",POWER(Upgrades!$U$10,I64),1)*IF(Upgrades!$T$11="Magnetosphere",POWER(Upgrades!$U$11,J64),1)*IF(Upgrades!$T$12="Magnetosphere",POWER(Upgrades!$U$12,K64),1))*POWER(Upgrades!$P$6,E64)*POWER(Upgrades!$P$7,F64)*POWER(Upgrades!$P$8,G64)*POWER(Upgrades!$P$9,H64)*POWER(Upgrades!$P$10,I64)*POWER(Upgrades!$P$11,J64)*POWER(Upgrades!$P$12,K64)*60</f>
        <v>375</v>
      </c>
      <c r="AE64" s="27" t="n">
        <f aca="false">(IF(K64=0,0,(Upgrades!$G$12+K64*Upgrades!$H$12)*POWER(Upgrades!$I$12,K64)))*(IF(Upgrades!$T$6="First Photons",POWER(Upgrades!$U$6,E64),1)*IF(Upgrades!$T$7="First Photons",POWER(Upgrades!$U$7,F64),1)*IF(Upgrades!$T$8="First Photons",POWER(Upgrades!$U$8,G64),1)*IF(Upgrades!$T$9="First Photons",POWER(Upgrades!$U$9,H64),1)*IF(Upgrades!$T$10="First Photons",POWER(Upgrades!$U$10,I64),1)*IF(Upgrades!$T$11="First Photons",POWER(Upgrades!$U$11,J64),1))*POWER(Upgrades!$P$6,E64)*POWER(Upgrades!$P$7,F64)*POWER(Upgrades!$P$8,G64)*POWER(Upgrades!$P$9,H64)*POWER(Upgrades!$P$10,I64)*POWER(Upgrades!$P$11,J64)*POWER(Upgrades!$P$12,K64)*60</f>
        <v>75</v>
      </c>
      <c r="AF64" s="27" t="n">
        <f aca="false">Parameters!$B$9*POWER(Upgrades!$Q$6,E64)*POWER(Upgrades!$Q$7,F64)*POWER(Upgrades!$Q$8,G64)*POWER(Upgrades!$Q$9,H64)*POWER(Upgrades!$Q$10,I64)*POWER(Upgrades!$Q$11,J64)*POWER(Upgrades!$Q$12,K64)*(Parameters!$B$10*Parameters!$B$11+O64*60)</f>
        <v>120</v>
      </c>
      <c r="AG64" s="21" t="n">
        <f aca="false">IF(E64&gt;=Upgrades!$E$6,"",Upgrades!$C$6*POWER(Upgrades!$D$6,E64))</f>
        <v>37.4517507383159</v>
      </c>
      <c r="AH64" s="21" t="n">
        <f aca="false">IF(F64&gt;=Upgrades!$E$7,"",Upgrades!$C$7*POWER(Upgrades!$D$7,F64))</f>
        <v>80.9111547141581</v>
      </c>
      <c r="AI64" s="21" t="n">
        <f aca="false">IF(G64&gt;=Upgrades!$E$8,"",Upgrades!$C$8*POWER(Upgrades!$D$8,G64))</f>
        <v>231.9097088</v>
      </c>
      <c r="AJ64" s="21" t="str">
        <f aca="false">IF(H64&gt;=Upgrades!$E$9,"",Upgrades!$C$9*POWER(Upgrades!$D$9,H64))</f>
        <v/>
      </c>
      <c r="AK64" s="21" t="str">
        <f aca="false">IF(I64&gt;=Upgrades!$E$10,"",Upgrades!$C$10*POWER(Upgrades!$D$10,I64))</f>
        <v/>
      </c>
      <c r="AL64" s="21" t="str">
        <f aca="false">IF(J64&gt;=Upgrades!$E$11,"",Upgrades!$C$11*POWER(Upgrades!$D$11,J64))</f>
        <v/>
      </c>
      <c r="AM64" s="21" t="str">
        <f aca="false">IF(K64&gt;=Upgrades!$E$12,"",Upgrades!$C$12*POWER(Upgrades!$D$12,K64))</f>
        <v/>
      </c>
      <c r="AN64" s="26" t="str">
        <f aca="false">IF(AND(D64&gt;=Parameters!$B$18,(H64&gt;=Upgrades!$E$9)*(K64&gt;=Upgrades!$E$12)=1,L64=0),1,"")</f>
        <v/>
      </c>
      <c r="AO64" s="26" t="str">
        <f aca="false">IF(AND(D64&gt;=Parameters!$B$18,L64=0),1,"")</f>
        <v/>
      </c>
      <c r="AP64" s="21" t="n">
        <f aca="false">MIN(IF(ISNUMBER(AK64),AK64,9000000000000000),IF(ISNUMBER(AL64),AL64,9000000000000000),IF(ISNUMBER(AM64),AM64,9000000000000000))</f>
        <v>9000000000000000</v>
      </c>
      <c r="AQ64" s="21" t="n">
        <f aca="false">MIN(IF(ISNUMBER(AG64),AG64,9000000000000000),IF(ISNUMBER(AH64),AH64,9000000000000000),IF(ISNUMBER(AI64),AI64,9000000000000000),IF(ISNUMBER(AJ64),AJ64,9000000000000000))</f>
        <v>37.4517507383159</v>
      </c>
      <c r="AR64" s="32" t="b">
        <f aca="false">IF(AW64&gt;Parameters!$B$21*(MAX(IF(AND(NOT(AND(AO64=1,AN64&lt;&gt;1)),ISNUMBER(AG64),AG64&lt;=T64),AS64,0),IF(AND(NOT(AND(AO64=1,AN64&lt;&gt;1)),ISNUMBER(AH64),AH64&lt;=T64),AT64,0),IF(AND(NOT(AND(AO64=1,AN64&lt;&gt;1)),ISNUMBER(AI64),AI64&lt;=T64),AU64,0),IF(AND(ISNUMBER(AJ64),AJ64&lt;=T64),AV64,0))),TRUE(),FALSE())</f>
        <v>1</v>
      </c>
      <c r="AS64" s="33" t="n">
        <f aca="false">IFERROR(Upgrades!$H$6*(POWER(Upgrades!$P$6,E64)*POWER(Upgrades!$P$7,F64)*POWER(Upgrades!$P$8,G64)*POWER(Upgrades!$P$9,H64)*POWER(Upgrades!$P$10,I64)*POWER(Upgrades!$P$11,J64)*POWER(Upgrades!$P$12,K64))*(IF(Upgrades!$T$7="Solar Wind",POWER(Upgrades!$U$7,F64),1)*IF(Upgrades!$T$8="Solar Wind",POWER(Upgrades!$U$8,G64),1)*IF(Upgrades!$T$9="Solar Wind",POWER(Upgrades!$U$9,H64),1)*IF(Upgrades!$T$10="Solar Wind",POWER(Upgrades!$U$10,I64),1)*IF(Upgrades!$T$11="Solar Wind",POWER(Upgrades!$U$11,J64),1)*IF(Upgrades!$T$12="Solar Wind",POWER(Upgrades!$U$12,K64),1))/AG64,0)</f>
        <v>0.0026701021455238</v>
      </c>
      <c r="AT64" s="33" t="n">
        <f aca="false">IFERROR(Upgrades!$H$7*(POWER(Upgrades!$P$6,E64)*POWER(Upgrades!$P$7,F64)*POWER(Upgrades!$P$8,G64)*POWER(Upgrades!$P$9,H64)*POWER(Upgrades!$P$10,I64)*POWER(Upgrades!$P$11,J64)*POWER(Upgrades!$P$12,K64))*(IF(Upgrades!$T$6="Asteroid Belt",POWER(Upgrades!$U$6,E64),1)*IF(Upgrades!$T$8="Asteroid Belt",POWER(Upgrades!$U$8,G64),1)*IF(Upgrades!$T$9="Asteroid Belt",POWER(Upgrades!$U$9,H64),1)*IF(Upgrades!$T$10="Asteroid Belt",POWER(Upgrades!$U$10,I64),1)*IF(Upgrades!$T$11="Asteroid Belt",POWER(Upgrades!$U$11,J64),1)*IF(Upgrades!$T$12="Asteroid Belt",POWER(Upgrades!$U$12,K64),1))/AH64,0)</f>
        <v>0.00308980882652332</v>
      </c>
      <c r="AU64" s="33" t="n">
        <f aca="false">IFERROR(Upgrades!$K$8*(POWER(Upgrades!$Q$6,E64)*POWER(Upgrades!$Q$7,F64)*POWER(Upgrades!$Q$8,G64)*POWER(Upgrades!$Q$9,H64)*POWER(Upgrades!$Q$10,I64)*POWER(Upgrades!$Q$11,J64)*POWER(Upgrades!$Q$12,K64))*(IF(Upgrades!$T$6="Stellar Coupling",POWER(Upgrades!$U$6,E64),1)*IF(Upgrades!$T$7="Stellar Coupling",POWER(Upgrades!$U$7,F64),1)*IF(Upgrades!$T$9="Stellar Coupling",POWER(Upgrades!$U$9,H64),1)*IF(Upgrades!$T$10="Stellar Coupling",POWER(Upgrades!$U$10,I64),1)*IF(Upgrades!$T$11="Stellar Coupling",POWER(Upgrades!$U$11,J64),1)*IF(Upgrades!$T$12="Stellar Coupling",POWER(Upgrades!$U$12,K64),1))*Parameters!$B$10*Parameters!$B$11/60/AI64,0)</f>
        <v>0.00452762415783776</v>
      </c>
      <c r="AV64" s="33" t="n">
        <f aca="false">IFERROR(Upgrades!$H$9*(POWER(Upgrades!$P$6,E64)*POWER(Upgrades!$P$7,F64)*POWER(Upgrades!$P$8,G64)*POWER(Upgrades!$P$9,H64)*POWER(Upgrades!$P$10,I64)*POWER(Upgrades!$P$11,J64)*POWER(Upgrades!$P$12,K64))*(IF(Upgrades!$T$6="Magnetosphere",POWER(Upgrades!$U$6,E64),1)*IF(Upgrades!$T$7="Magnetosphere",POWER(Upgrades!$U$7,F64),1)*IF(Upgrades!$T$8="Magnetosphere",POWER(Upgrades!$U$8,G64),1)*IF(Upgrades!$T$10="Magnetosphere",POWER(Upgrades!$U$10,I64),1)*IF(Upgrades!$T$11="Magnetosphere",POWER(Upgrades!$U$11,J64),1)*IF(Upgrades!$T$12="Magnetosphere",POWER(Upgrades!$U$12,K64),1))/AJ64,0)</f>
        <v>0</v>
      </c>
      <c r="AW64" s="33" t="n">
        <f aca="false">MAX(IF(I64&gt;0,0,IFERROR(0.25*N64/Upgrades!$C$10,0)),IF(J64&gt;0,0,IFERROR(0.5*((IF(G64=0,0,(Upgrades!$J$8+G64*Upgrades!$K$8)*POWER(Upgrades!$L$8,G64)))*(IF(Upgrades!$T$6="Stellar Coupling",POWER(Upgrades!$U$6,E64),1)*IF(Upgrades!$T$7="Stellar Coupling",POWER(Upgrades!$U$7,F64),1)*IF(Upgrades!$T$9="Stellar Coupling",POWER(Upgrades!$U$9,H64),1)*IF(Upgrades!$T$10="Stellar Coupling",POWER(Upgrades!$U$10,I64),1)*IF(Upgrades!$T$11="Stellar Coupling",POWER(Upgrades!$U$11,J64),1)*IF(Upgrades!$T$12="Stellar Coupling",POWER(Upgrades!$U$12,K64),1))*(POWER(Upgrades!$Q$6,E64)*POWER(Upgrades!$Q$7,F64)*POWER(Upgrades!$Q$8,G64)*POWER(Upgrades!$Q$9,H64)*POWER(Upgrades!$Q$10,I64)*POWER(Upgrades!$Q$11,J64)*POWER(Upgrades!$Q$12,K64))*Parameters!$B$10*Parameters!$B$11/60)/Upgrades!$C$11,0)),IF(K64&gt;0,0,IFERROR((1*(POWER(Upgrades!$P$6,E64)*POWER(Upgrades!$P$7,F64)*POWER(Upgrades!$P$8,G64)*POWER(Upgrades!$P$9,H64)*POWER(Upgrades!$P$10,I64)*POWER(Upgrades!$P$11,J64)*POWER(Upgrades!$P$12,K64))+0.2*M64*Parameters!$B$10*Parameters!$B$11/60)/Upgrades!$C$12,0)),IF(AND(ISNUMBER(AG64),AG64&gt;T64),AS64,0),IF(AND(ISNUMBER(AH64),AH64&gt;T64),AT64,0),IF(AND(ISNUMBER(AI64),AI64&gt;T64),AU64,0),IF(AND(ISNUMBER(AJ64),AJ64&gt;T64),AV64,0))</f>
        <v>0.00452762415783776</v>
      </c>
      <c r="AX64" s="29" t="str">
        <f aca="false">IF(AN64=1,"transition",IF(MIN(IF(AND(I64=0,ISNUMBER(AK64),AK64&lt;=T64),AK64,9000000000000000),IF(AND(J64=0,ISNUMBER(AL64),AL64&lt;=T64),AL64,9000000000000000),IF(AND(K64=0,ISNUMBER(AM64),AM64&lt;=T64),AM64,9000000000000000))&lt;9000000000000000,IF(AND(AND(I64=0,ISNUMBER(AK64),AK64&lt;=T64),AK64=MIN(IF(AND(I64=0,ISNUMBER(AK64),AK64&lt;=T64),AK64,9000000000000000),IF(AND(J64=0,ISNUMBER(AL64),AL64&lt;=T64),AL64,9000000000000000),IF(AND(K64=0,ISNUMBER(AM64),AM64&lt;=T64),AM64,9000000000000000))),"OR",IF(AND(AND(J64=0,ISNUMBER(AL64),AL64&lt;=T64),AL64=MIN(IF(AND(I64=0,ISNUMBER(AK64),AK64&lt;=T64),AK64,9000000000000000),IF(AND(J64=0,ISNUMBER(AL64),AL64&lt;=T64),AL64,9000000000000000),IF(AND(K64=0,ISNUMBER(AM64),AM64&lt;=T64),AM64,9000000000000000))),"HP","FP")),IF(AR64=TRUE(),"",IF(MAX(IF(AND(NOT(AND(AO64=1,AN64&lt;&gt;1)),ISNUMBER(AG64),AG64&lt;=T64),AS64,0),IF(AND(NOT(AND(AO64=1,AN64&lt;&gt;1)),ISNUMBER(AH64),AH64&lt;=T64),AT64,0),IF(AND(NOT(AND(AO64=1,AN64&lt;&gt;1)),ISNUMBER(AI64),AI64&lt;=T64),AU64,0),IF(AND(ISNUMBER(AJ64),AJ64&lt;=T64),AV64,0))&lt;=0,"",IF(AND(IF(AND(NOT(AND(AO64=1,AN64&lt;&gt;1)),ISNUMBER(AG64),AG64&lt;=T64),AS64,0)&gt;0,IF(AND(NOT(AND(AO64=1,AN64&lt;&gt;1)),ISNUMBER(AG64),AG64&lt;=T64),AS64,0)=MAX(IF(AND(NOT(AND(AO64=1,AN64&lt;&gt;1)),ISNUMBER(AG64),AG64&lt;=T64),AS64,0),IF(AND(NOT(AND(AO64=1,AN64&lt;&gt;1)),ISNUMBER(AH64),AH64&lt;=T64),AT64,0),IF(AND(NOT(AND(AO64=1,AN64&lt;&gt;1)),ISNUMBER(AI64),AI64&lt;=T64),AU64,0),IF(AND(ISNUMBER(AJ64),AJ64&lt;=T64),AV64,0))),"SW",IF(AND(IF(AND(NOT(AND(AO64=1,AN64&lt;&gt;1)),ISNUMBER(AH64),AH64&lt;=T64),AT64,0)&gt;0,IF(AND(NOT(AND(AO64=1,AN64&lt;&gt;1)),ISNUMBER(AH64),AH64&lt;=T64),AT64,0)=MAX(IF(AND(NOT(AND(AO64=1,AN64&lt;&gt;1)),ISNUMBER(AG64),AG64&lt;=T64),AS64,0),IF(AND(NOT(AND(AO64=1,AN64&lt;&gt;1)),ISNUMBER(AH64),AH64&lt;=T64),AT64,0),IF(AND(NOT(AND(AO64=1,AN64&lt;&gt;1)),ISNUMBER(AI64),AI64&lt;=T64),AU64,0),IF(AND(ISNUMBER(AJ64),AJ64&lt;=T64),AV64,0))),"AB",IF(AND(IF(AND(NOT(AND(AO64=1,AN64&lt;&gt;1)),ISNUMBER(AI64),AI64&lt;=T64),AU64,0)&gt;0,IF(AND(NOT(AND(AO64=1,AN64&lt;&gt;1)),ISNUMBER(AI64),AI64&lt;=T64),AU64,0)=MAX(IF(AND(NOT(AND(AO64=1,AN64&lt;&gt;1)),ISNUMBER(AG64),AG64&lt;=T64),AS64,0),IF(AND(NOT(AND(AO64=1,AN64&lt;&gt;1)),ISNUMBER(AH64),AH64&lt;=T64),AT64,0),IF(AND(NOT(AND(AO64=1,AN64&lt;&gt;1)),ISNUMBER(AI64),AI64&lt;=T64),AU64,0),IF(AND(ISNUMBER(AJ64),AJ64&lt;=T64),AV64,0))),"SC","Mag")))))))</f>
        <v/>
      </c>
    </row>
    <row r="65" customFormat="false" ht="15" hidden="false" customHeight="false" outlineLevel="0" collapsed="false">
      <c r="A65" s="26" t="n">
        <v>60</v>
      </c>
      <c r="B65" s="27" t="n">
        <f aca="false">A65*10/60</f>
        <v>10</v>
      </c>
      <c r="C65" s="21" t="n">
        <f aca="false">X64</f>
        <v>18.6730249835055</v>
      </c>
      <c r="D65" s="27" t="n">
        <f aca="false">D64+W64</f>
        <v>0</v>
      </c>
      <c r="E65" s="26" t="n">
        <f aca="false">E64+IF(U64="SW",1,0)</f>
        <v>12</v>
      </c>
      <c r="F65" s="26" t="n">
        <f aca="false">F64+IF(U64="AB",1,0)</f>
        <v>10</v>
      </c>
      <c r="G65" s="26" t="n">
        <f aca="false">G64+IF(U64="SC",1,0)</f>
        <v>7</v>
      </c>
      <c r="H65" s="26" t="n">
        <f aca="false">H64+IF(U64="Mag",1,0)</f>
        <v>5</v>
      </c>
      <c r="I65" s="26" t="n">
        <f aca="false">MAX(I64,IF(U64="OR",1,0))</f>
        <v>1</v>
      </c>
      <c r="J65" s="26" t="n">
        <f aca="false">MAX(J64,IF(U64="HP",1,0))</f>
        <v>1</v>
      </c>
      <c r="K65" s="26" t="n">
        <f aca="false">MAX(K64,IF(U64="FP",1,0))</f>
        <v>1</v>
      </c>
      <c r="L65" s="26" t="n">
        <f aca="false">MAX(L64,IF(U64="transition",1,0))</f>
        <v>1</v>
      </c>
      <c r="M65" s="28" t="n">
        <f aca="false">(Parameters!$B$9+(IF(E65=0,0,(Upgrades!$J$6+E65*Upgrades!$K$6)*POWER(Upgrades!$L$6,E65)))*(IF(Upgrades!$T$7="Solar Wind",POWER(Upgrades!$U$7,F65),1)*IF(Upgrades!$T$8="Solar Wind",POWER(Upgrades!$U$8,G65),1)*IF(Upgrades!$T$9="Solar Wind",POWER(Upgrades!$U$9,H65),1)*IF(Upgrades!$T$10="Solar Wind",POWER(Upgrades!$U$10,I65),1)*IF(Upgrades!$T$11="Solar Wind",POWER(Upgrades!$U$11,J65),1)*IF(Upgrades!$T$12="Solar Wind",POWER(Upgrades!$U$12,K65),1))+(IF(F65=0,0,(Upgrades!$J$7+F65*Upgrades!$K$7)*POWER(Upgrades!$L$7,F65)))*(IF(Upgrades!$T$6="Asteroid Belt",POWER(Upgrades!$U$6,E65),1)*IF(Upgrades!$T$8="Asteroid Belt",POWER(Upgrades!$U$8,G65),1)*IF(Upgrades!$T$9="Asteroid Belt",POWER(Upgrades!$U$9,H65),1)*IF(Upgrades!$T$10="Asteroid Belt",POWER(Upgrades!$U$10,I65),1)*IF(Upgrades!$T$11="Asteroid Belt",POWER(Upgrades!$U$11,J65),1)*IF(Upgrades!$T$12="Asteroid Belt",POWER(Upgrades!$U$12,K65),1))+(IF(G65=0,0,(Upgrades!$J$8+G65*Upgrades!$K$8)*POWER(Upgrades!$L$8,G65)))*(IF(Upgrades!$T$6="Stellar Coupling",POWER(Upgrades!$U$6,E65),1)*IF(Upgrades!$T$7="Stellar Coupling",POWER(Upgrades!$U$7,F65),1)*IF(Upgrades!$T$9="Stellar Coupling",POWER(Upgrades!$U$9,H65),1)*IF(Upgrades!$T$10="Stellar Coupling",POWER(Upgrades!$U$10,I65),1)*IF(Upgrades!$T$11="Stellar Coupling",POWER(Upgrades!$U$11,J65),1)*IF(Upgrades!$T$12="Stellar Coupling",POWER(Upgrades!$U$12,K65),1))+(IF(H65=0,0,(Upgrades!$J$9+H65*Upgrades!$K$9)*POWER(Upgrades!$L$9,H65)))*(IF(Upgrades!$T$6="Magnetosphere",POWER(Upgrades!$U$6,E65),1)*IF(Upgrades!$T$7="Magnetosphere",POWER(Upgrades!$U$7,F65),1)*IF(Upgrades!$T$8="Magnetosphere",POWER(Upgrades!$U$8,G65),1)*IF(Upgrades!$T$10="Magnetosphere",POWER(Upgrades!$U$10,I65),1)*IF(Upgrades!$T$11="Magnetosphere",POWER(Upgrades!$U$11,J65),1)*IF(Upgrades!$T$12="Magnetosphere",POWER(Upgrades!$U$12,K65),1))+(IF(I65=0,0,(Upgrades!$J$10+I65*Upgrades!$K$10)*POWER(Upgrades!$L$10,I65)))*(IF(Upgrades!$T$6="Orbital Resonance",POWER(Upgrades!$U$6,E65),1)*IF(Upgrades!$T$7="Orbital Resonance",POWER(Upgrades!$U$7,F65),1)*IF(Upgrades!$T$8="Orbital Resonance",POWER(Upgrades!$U$8,G65),1)*IF(Upgrades!$T$9="Orbital Resonance",POWER(Upgrades!$U$9,H65),1)*IF(Upgrades!$T$11="Orbital Resonance",POWER(Upgrades!$U$11,J65),1)*IF(Upgrades!$T$12="Orbital Resonance",POWER(Upgrades!$U$12,K65),1))+(IF(J65=0,0,(Upgrades!$J$11+J65*Upgrades!$K$11)*POWER(Upgrades!$L$11,J65)))*(IF(Upgrades!$T$6="Heliopause",POWER(Upgrades!$U$6,E65),1)*IF(Upgrades!$T$7="Heliopause",POWER(Upgrades!$U$7,F65),1)*IF(Upgrades!$T$8="Heliopause",POWER(Upgrades!$U$8,G65),1)*IF(Upgrades!$T$9="Heliopause",POWER(Upgrades!$U$9,H65),1)*IF(Upgrades!$T$10="Heliopause",POWER(Upgrades!$U$10,I65),1)*IF(Upgrades!$T$12="Heliopause",POWER(Upgrades!$U$12,K65),1))+(IF(K65=0,0,(Upgrades!$J$12+K65*Upgrades!$K$12)*POWER(Upgrades!$L$12,K65)))*(IF(Upgrades!$T$6="First Photons",POWER(Upgrades!$U$6,E65),1)*IF(Upgrades!$T$7="First Photons",POWER(Upgrades!$U$7,F65),1)*IF(Upgrades!$T$8="First Photons",POWER(Upgrades!$U$8,G65),1)*IF(Upgrades!$T$9="First Photons",POWER(Upgrades!$U$9,H65),1)*IF(Upgrades!$T$10="First Photons",POWER(Upgrades!$U$10,I65),1)*IF(Upgrades!$T$11="First Photons",POWER(Upgrades!$U$11,J65),1)))*POWER(Upgrades!$Q$6,E65)*POWER(Upgrades!$Q$7,F65)*POWER(Upgrades!$Q$8,G65)*POWER(Upgrades!$Q$9,H65)*POWER(Upgrades!$Q$10,I65)*POWER(Upgrades!$Q$11,J65)*POWER(Upgrades!$Q$12,K65)</f>
        <v>5.61</v>
      </c>
      <c r="N65" s="28" t="n">
        <f aca="false">((IF(E65=0,0,(Upgrades!$G$6+E65*Upgrades!$H$6)*POWER(Upgrades!$I$6,E65)))*(IF(Upgrades!$T$7="Solar Wind",POWER(Upgrades!$U$7,F65),1)*IF(Upgrades!$T$8="Solar Wind",POWER(Upgrades!$U$8,G65),1)*IF(Upgrades!$T$9="Solar Wind",POWER(Upgrades!$U$9,H65),1)*IF(Upgrades!$T$10="Solar Wind",POWER(Upgrades!$U$10,I65),1)*IF(Upgrades!$T$11="Solar Wind",POWER(Upgrades!$U$11,J65),1)*IF(Upgrades!$T$12="Solar Wind",POWER(Upgrades!$U$12,K65),1))+(IF(F65=0,0,(Upgrades!$G$7+F65*Upgrades!$H$7)*POWER(Upgrades!$I$7,F65)))*(IF(Upgrades!$T$6="Asteroid Belt",POWER(Upgrades!$U$6,E65),1)*IF(Upgrades!$T$8="Asteroid Belt",POWER(Upgrades!$U$8,G65),1)*IF(Upgrades!$T$9="Asteroid Belt",POWER(Upgrades!$U$9,H65),1)*IF(Upgrades!$T$10="Asteroid Belt",POWER(Upgrades!$U$10,I65),1)*IF(Upgrades!$T$11="Asteroid Belt",POWER(Upgrades!$U$11,J65),1)*IF(Upgrades!$T$12="Asteroid Belt",POWER(Upgrades!$U$12,K65),1))+(IF(G65=0,0,(Upgrades!$G$8+G65*Upgrades!$H$8)*POWER(Upgrades!$I$8,G65)))*(IF(Upgrades!$T$6="Stellar Coupling",POWER(Upgrades!$U$6,E65),1)*IF(Upgrades!$T$7="Stellar Coupling",POWER(Upgrades!$U$7,F65),1)*IF(Upgrades!$T$9="Stellar Coupling",POWER(Upgrades!$U$9,H65),1)*IF(Upgrades!$T$10="Stellar Coupling",POWER(Upgrades!$U$10,I65),1)*IF(Upgrades!$T$11="Stellar Coupling",POWER(Upgrades!$U$11,J65),1)*IF(Upgrades!$T$12="Stellar Coupling",POWER(Upgrades!$U$12,K65),1))+(IF(H65=0,0,(Upgrades!$G$9+H65*Upgrades!$H$9)*POWER(Upgrades!$I$9,H65)))*(IF(Upgrades!$T$6="Magnetosphere",POWER(Upgrades!$U$6,E65),1)*IF(Upgrades!$T$7="Magnetosphere",POWER(Upgrades!$U$7,F65),1)*IF(Upgrades!$T$8="Magnetosphere",POWER(Upgrades!$U$8,G65),1)*IF(Upgrades!$T$10="Magnetosphere",POWER(Upgrades!$U$10,I65),1)*IF(Upgrades!$T$11="Magnetosphere",POWER(Upgrades!$U$11,J65),1)*IF(Upgrades!$T$12="Magnetosphere",POWER(Upgrades!$U$12,K65),1))+(IF(I65=0,0,(Upgrades!$G$10+I65*Upgrades!$H$10)*POWER(Upgrades!$I$10,I65)))*(IF(Upgrades!$T$6="Orbital Resonance",POWER(Upgrades!$U$6,E65),1)*IF(Upgrades!$T$7="Orbital Resonance",POWER(Upgrades!$U$7,F65),1)*IF(Upgrades!$T$8="Orbital Resonance",POWER(Upgrades!$U$8,G65),1)*IF(Upgrades!$T$9="Orbital Resonance",POWER(Upgrades!$U$9,H65),1)*IF(Upgrades!$T$11="Orbital Resonance",POWER(Upgrades!$U$11,J65),1)*IF(Upgrades!$T$12="Orbital Resonance",POWER(Upgrades!$U$12,K65),1))+(IF(J65=0,0,(Upgrades!$G$11+J65*Upgrades!$H$11)*POWER(Upgrades!$I$11,J65)))*(IF(Upgrades!$T$6="Heliopause",POWER(Upgrades!$U$6,E65),1)*IF(Upgrades!$T$7="Heliopause",POWER(Upgrades!$U$7,F65),1)*IF(Upgrades!$T$8="Heliopause",POWER(Upgrades!$U$8,G65),1)*IF(Upgrades!$T$9="Heliopause",POWER(Upgrades!$U$9,H65),1)*IF(Upgrades!$T$10="Heliopause",POWER(Upgrades!$U$10,I65),1)*IF(Upgrades!$T$12="Heliopause",POWER(Upgrades!$U$12,K65),1))+(IF(K65=0,0,(Upgrades!$G$12+K65*Upgrades!$H$12)*POWER(Upgrades!$I$12,K65)))*(IF(Upgrades!$T$6="First Photons",POWER(Upgrades!$U$6,E65),1)*IF(Upgrades!$T$7="First Photons",POWER(Upgrades!$U$7,F65),1)*IF(Upgrades!$T$8="First Photons",POWER(Upgrades!$U$8,G65),1)*IF(Upgrades!$T$9="First Photons",POWER(Upgrades!$U$9,H65),1)*IF(Upgrades!$T$10="First Photons",POWER(Upgrades!$U$10,I65),1)*IF(Upgrades!$T$11="First Photons",POWER(Upgrades!$U$11,J65),1)))*POWER(Upgrades!$P$6,E65)*POWER(Upgrades!$P$7,F65)*POWER(Upgrades!$P$8,G65)*POWER(Upgrades!$P$9,H65)*POWER(Upgrades!$P$10,I65)*POWER(Upgrades!$P$11,J65)*POWER(Upgrades!$P$12,K65)</f>
        <v>11.2</v>
      </c>
      <c r="O65" s="28" t="n">
        <f aca="false">((IF(E65=0,0,(Upgrades!$M$6+E65*Upgrades!$N$6)*POWER(Upgrades!$O$6,E65)))*(IF(Upgrades!$T$7="Solar Wind",POWER(Upgrades!$U$7,F65),1)*IF(Upgrades!$T$8="Solar Wind",POWER(Upgrades!$U$8,G65),1)*IF(Upgrades!$T$9="Solar Wind",POWER(Upgrades!$U$9,H65),1)*IF(Upgrades!$T$10="Solar Wind",POWER(Upgrades!$U$10,I65),1)*IF(Upgrades!$T$11="Solar Wind",POWER(Upgrades!$U$11,J65),1)*IF(Upgrades!$T$12="Solar Wind",POWER(Upgrades!$U$12,K65),1))+(IF(F65=0,0,(Upgrades!$M$7+F65*Upgrades!$N$7)*POWER(Upgrades!$O$7,F65)))*(IF(Upgrades!$T$6="Asteroid Belt",POWER(Upgrades!$U$6,E65),1)*IF(Upgrades!$T$8="Asteroid Belt",POWER(Upgrades!$U$8,G65),1)*IF(Upgrades!$T$9="Asteroid Belt",POWER(Upgrades!$U$9,H65),1)*IF(Upgrades!$T$10="Asteroid Belt",POWER(Upgrades!$U$10,I65),1)*IF(Upgrades!$T$11="Asteroid Belt",POWER(Upgrades!$U$11,J65),1)*IF(Upgrades!$T$12="Asteroid Belt",POWER(Upgrades!$U$12,K65),1))+(IF(G65=0,0,(Upgrades!$M$8+G65*Upgrades!$N$8)*POWER(Upgrades!$O$8,G65)))*(IF(Upgrades!$T$6="Stellar Coupling",POWER(Upgrades!$U$6,E65),1)*IF(Upgrades!$T$7="Stellar Coupling",POWER(Upgrades!$U$7,F65),1)*IF(Upgrades!$T$9="Stellar Coupling",POWER(Upgrades!$U$9,H65),1)*IF(Upgrades!$T$10="Stellar Coupling",POWER(Upgrades!$U$10,I65),1)*IF(Upgrades!$T$11="Stellar Coupling",POWER(Upgrades!$U$11,J65),1)*IF(Upgrades!$T$12="Stellar Coupling",POWER(Upgrades!$U$12,K65),1))+(IF(H65=0,0,(Upgrades!$M$9+H65*Upgrades!$N$9)*POWER(Upgrades!$O$9,H65)))*(IF(Upgrades!$T$6="Magnetosphere",POWER(Upgrades!$U$6,E65),1)*IF(Upgrades!$T$7="Magnetosphere",POWER(Upgrades!$U$7,F65),1)*IF(Upgrades!$T$8="Magnetosphere",POWER(Upgrades!$U$8,G65),1)*IF(Upgrades!$T$10="Magnetosphere",POWER(Upgrades!$U$10,I65),1)*IF(Upgrades!$T$11="Magnetosphere",POWER(Upgrades!$U$11,J65),1)*IF(Upgrades!$T$12="Magnetosphere",POWER(Upgrades!$U$12,K65),1))+(IF(I65=0,0,(Upgrades!$M$10+I65*Upgrades!$N$10)*POWER(Upgrades!$O$10,I65)))*(IF(Upgrades!$T$6="Orbital Resonance",POWER(Upgrades!$U$6,E65),1)*IF(Upgrades!$T$7="Orbital Resonance",POWER(Upgrades!$U$7,F65),1)*IF(Upgrades!$T$8="Orbital Resonance",POWER(Upgrades!$U$8,G65),1)*IF(Upgrades!$T$9="Orbital Resonance",POWER(Upgrades!$U$9,H65),1)*IF(Upgrades!$T$11="Orbital Resonance",POWER(Upgrades!$U$11,J65),1)*IF(Upgrades!$T$12="Orbital Resonance",POWER(Upgrades!$U$12,K65),1))+(IF(J65=0,0,(Upgrades!$M$11+J65*Upgrades!$N$11)*POWER(Upgrades!$O$11,J65)))*(IF(Upgrades!$T$6="Heliopause",POWER(Upgrades!$U$6,E65),1)*IF(Upgrades!$T$7="Heliopause",POWER(Upgrades!$U$7,F65),1)*IF(Upgrades!$T$8="Heliopause",POWER(Upgrades!$U$8,G65),1)*IF(Upgrades!$T$9="Heliopause",POWER(Upgrades!$U$9,H65),1)*IF(Upgrades!$T$10="Heliopause",POWER(Upgrades!$U$10,I65),1)*IF(Upgrades!$T$12="Heliopause",POWER(Upgrades!$U$12,K65),1))+(IF(K65=0,0,(Upgrades!$M$12+K65*Upgrades!$N$12)*POWER(Upgrades!$O$12,K65)))*(IF(Upgrades!$T$6="First Photons",POWER(Upgrades!$U$6,E65),1)*IF(Upgrades!$T$7="First Photons",POWER(Upgrades!$U$7,F65),1)*IF(Upgrades!$T$8="First Photons",POWER(Upgrades!$U$8,G65),1)*IF(Upgrades!$T$9="First Photons",POWER(Upgrades!$U$9,H65),1)*IF(Upgrades!$T$10="First Photons",POWER(Upgrades!$U$10,I65),1)*IF(Upgrades!$T$11="First Photons",POWER(Upgrades!$U$11,J65),1)))*POWER(Upgrades!$R$6,E65)*POWER(Upgrades!$R$7,F65)*POWER(Upgrades!$R$8,G65)*POWER(Upgrades!$R$9,H65)*POWER(Upgrades!$R$10,I65)*POWER(Upgrades!$R$11,J65)*POWER(Upgrades!$R$12,K65)</f>
        <v>0</v>
      </c>
      <c r="P65" s="27" t="n">
        <f aca="false">IF(L65=1,0,M65*Parameters!$B$10/60*Parameters!$B$11*10)</f>
        <v>0</v>
      </c>
      <c r="Q65" s="27" t="n">
        <f aca="false">IF(L65=1,0,O65*M65*10)</f>
        <v>0</v>
      </c>
      <c r="R65" s="27" t="n">
        <f aca="false">IF(L65=1,0,N65*10)</f>
        <v>0</v>
      </c>
      <c r="S65" s="27" t="n">
        <f aca="false">P65+Q65+R65</f>
        <v>0</v>
      </c>
      <c r="T65" s="21" t="n">
        <f aca="false">C65+S65</f>
        <v>18.6730249835055</v>
      </c>
      <c r="U65" s="34" t="str">
        <f aca="false">AX65</f>
        <v/>
      </c>
      <c r="V65" s="21" t="n">
        <f aca="false">IF(U65="",0,IF(U65="transition",0,IF(U65="SW",AG65,IF(U65="AB",AH65,IF(U65="SC",AI65,IF(U65="Mag",AJ65,IF(U65="OR",AK65,IF(U65="HP",AL65,IF(U65="FP",AM65,0)))))))))</f>
        <v>0</v>
      </c>
      <c r="W65" s="27" t="n">
        <f aca="false">IF(U65="OR",Upgrades!$F$10,IF(U65="HP",Upgrades!$F$11,IF(U65="transition",-Parameters!$B$18,0)))</f>
        <v>0</v>
      </c>
      <c r="X65" s="21" t="n">
        <f aca="false">T65-V65</f>
        <v>18.6730249835055</v>
      </c>
      <c r="Y65" s="30" t="n">
        <f aca="false">M65*Parameters!$B$10/60*Parameters!$B$11+O65*M65+N65</f>
        <v>20.55</v>
      </c>
      <c r="Z65" s="35" t="str">
        <f aca="false">IF(U65="transition","→ Tier 2 (Stellar Neighborhood)",IF(U65="FP","First Photons — light begins, system quickens",IF(U65="HP","Heliopause acquired",IF(U65="OR","Orbital Resonance — passive multiplier active",IF(AND(AO65=1,L65=0,AN65&lt;&gt;1),"Cohesion ready (waiting on completionist upgrades)","")))))</f>
        <v/>
      </c>
      <c r="AA65" s="27" t="n">
        <f aca="false">(IF(E65=0,0,(Upgrades!$G$6+E65*Upgrades!$H$6)*POWER(Upgrades!$I$6,E65)))*(IF(Upgrades!$T$7="Solar Wind",POWER(Upgrades!$U$7,F65),1)*IF(Upgrades!$T$8="Solar Wind",POWER(Upgrades!$U$8,G65),1)*IF(Upgrades!$T$9="Solar Wind",POWER(Upgrades!$U$9,H65),1)*IF(Upgrades!$T$10="Solar Wind",POWER(Upgrades!$U$10,I65),1)*IF(Upgrades!$T$11="Solar Wind",POWER(Upgrades!$U$11,J65),1)*IF(Upgrades!$T$12="Solar Wind",POWER(Upgrades!$U$12,K65),1))*POWER(Upgrades!$P$6,E65)*POWER(Upgrades!$P$7,F65)*POWER(Upgrades!$P$8,G65)*POWER(Upgrades!$P$9,H65)*POWER(Upgrades!$P$10,I65)*POWER(Upgrades!$P$11,J65)*POWER(Upgrades!$P$12,K65)*60</f>
        <v>72</v>
      </c>
      <c r="AB65" s="27" t="n">
        <f aca="false">(IF(F65=0,0,(Upgrades!$G$7+F65*Upgrades!$H$7)*POWER(Upgrades!$I$7,F65)))*(IF(Upgrades!$T$6="Asteroid Belt",POWER(Upgrades!$U$6,E65),1)*IF(Upgrades!$T$8="Asteroid Belt",POWER(Upgrades!$U$8,G65),1)*IF(Upgrades!$T$9="Asteroid Belt",POWER(Upgrades!$U$9,H65),1)*IF(Upgrades!$T$10="Asteroid Belt",POWER(Upgrades!$U$10,I65),1)*IF(Upgrades!$T$11="Asteroid Belt",POWER(Upgrades!$U$11,J65),1)*IF(Upgrades!$T$12="Asteroid Belt",POWER(Upgrades!$U$12,K65),1))*POWER(Upgrades!$P$6,E65)*POWER(Upgrades!$P$7,F65)*POWER(Upgrades!$P$8,G65)*POWER(Upgrades!$P$9,H65)*POWER(Upgrades!$P$10,I65)*POWER(Upgrades!$P$11,J65)*POWER(Upgrades!$P$12,K65)*60</f>
        <v>150</v>
      </c>
      <c r="AC65" s="27" t="n">
        <f aca="false">(IF(G65=0,0,(Upgrades!$J$8+G65*Upgrades!$K$8)*POWER(Upgrades!$L$8,G65)))*(IF(Upgrades!$T$6="Stellar Coupling",POWER(Upgrades!$U$6,E65),1)*IF(Upgrades!$T$7="Stellar Coupling",POWER(Upgrades!$U$7,F65),1)*IF(Upgrades!$T$9="Stellar Coupling",POWER(Upgrades!$U$9,H65),1)*IF(Upgrades!$T$10="Stellar Coupling",POWER(Upgrades!$U$10,I65),1)*IF(Upgrades!$T$11="Stellar Coupling",POWER(Upgrades!$U$11,J65),1)*IF(Upgrades!$T$12="Stellar Coupling",POWER(Upgrades!$U$12,K65),1))*POWER(Upgrades!$Q$6,E65)*POWER(Upgrades!$Q$7,F65)*POWER(Upgrades!$Q$8,G65)*POWER(Upgrades!$Q$9,H65)*POWER(Upgrades!$Q$10,I65)*POWER(Upgrades!$Q$11,J65)*POWER(Upgrades!$Q$12,K65)*Parameters!$B$10*Parameters!$B$11</f>
        <v>441</v>
      </c>
      <c r="AD65" s="27" t="n">
        <f aca="false">(IF(H65=0,0,(Upgrades!$G$9+H65*Upgrades!$H$9)*POWER(Upgrades!$I$9,H65)))*(IF(Upgrades!$T$6="Magnetosphere",POWER(Upgrades!$U$6,E65),1)*IF(Upgrades!$T$7="Magnetosphere",POWER(Upgrades!$U$7,F65),1)*IF(Upgrades!$T$8="Magnetosphere",POWER(Upgrades!$U$8,G65),1)*IF(Upgrades!$T$10="Magnetosphere",POWER(Upgrades!$U$10,I65),1)*IF(Upgrades!$T$11="Magnetosphere",POWER(Upgrades!$U$11,J65),1)*IF(Upgrades!$T$12="Magnetosphere",POWER(Upgrades!$U$12,K65),1))*POWER(Upgrades!$P$6,E65)*POWER(Upgrades!$P$7,F65)*POWER(Upgrades!$P$8,G65)*POWER(Upgrades!$P$9,H65)*POWER(Upgrades!$P$10,I65)*POWER(Upgrades!$P$11,J65)*POWER(Upgrades!$P$12,K65)*60</f>
        <v>375</v>
      </c>
      <c r="AE65" s="27" t="n">
        <f aca="false">(IF(K65=0,0,(Upgrades!$G$12+K65*Upgrades!$H$12)*POWER(Upgrades!$I$12,K65)))*(IF(Upgrades!$T$6="First Photons",POWER(Upgrades!$U$6,E65),1)*IF(Upgrades!$T$7="First Photons",POWER(Upgrades!$U$7,F65),1)*IF(Upgrades!$T$8="First Photons",POWER(Upgrades!$U$8,G65),1)*IF(Upgrades!$T$9="First Photons",POWER(Upgrades!$U$9,H65),1)*IF(Upgrades!$T$10="First Photons",POWER(Upgrades!$U$10,I65),1)*IF(Upgrades!$T$11="First Photons",POWER(Upgrades!$U$11,J65),1))*POWER(Upgrades!$P$6,E65)*POWER(Upgrades!$P$7,F65)*POWER(Upgrades!$P$8,G65)*POWER(Upgrades!$P$9,H65)*POWER(Upgrades!$P$10,I65)*POWER(Upgrades!$P$11,J65)*POWER(Upgrades!$P$12,K65)*60</f>
        <v>75</v>
      </c>
      <c r="AF65" s="27" t="n">
        <f aca="false">Parameters!$B$9*POWER(Upgrades!$Q$6,E65)*POWER(Upgrades!$Q$7,F65)*POWER(Upgrades!$Q$8,G65)*POWER(Upgrades!$Q$9,H65)*POWER(Upgrades!$Q$10,I65)*POWER(Upgrades!$Q$11,J65)*POWER(Upgrades!$Q$12,K65)*(Parameters!$B$10*Parameters!$B$11+O65*60)</f>
        <v>120</v>
      </c>
      <c r="AG65" s="21" t="n">
        <f aca="false">IF(E65&gt;=Upgrades!$E$6,"",Upgrades!$C$6*POWER(Upgrades!$D$6,E65))</f>
        <v>37.4517507383159</v>
      </c>
      <c r="AH65" s="21" t="n">
        <f aca="false">IF(F65&gt;=Upgrades!$E$7,"",Upgrades!$C$7*POWER(Upgrades!$D$7,F65))</f>
        <v>80.9111547141581</v>
      </c>
      <c r="AI65" s="21" t="n">
        <f aca="false">IF(G65&gt;=Upgrades!$E$8,"",Upgrades!$C$8*POWER(Upgrades!$D$8,G65))</f>
        <v>231.9097088</v>
      </c>
      <c r="AJ65" s="21" t="str">
        <f aca="false">IF(H65&gt;=Upgrades!$E$9,"",Upgrades!$C$9*POWER(Upgrades!$D$9,H65))</f>
        <v/>
      </c>
      <c r="AK65" s="21" t="str">
        <f aca="false">IF(I65&gt;=Upgrades!$E$10,"",Upgrades!$C$10*POWER(Upgrades!$D$10,I65))</f>
        <v/>
      </c>
      <c r="AL65" s="21" t="str">
        <f aca="false">IF(J65&gt;=Upgrades!$E$11,"",Upgrades!$C$11*POWER(Upgrades!$D$11,J65))</f>
        <v/>
      </c>
      <c r="AM65" s="21" t="str">
        <f aca="false">IF(K65&gt;=Upgrades!$E$12,"",Upgrades!$C$12*POWER(Upgrades!$D$12,K65))</f>
        <v/>
      </c>
      <c r="AN65" s="26" t="str">
        <f aca="false">IF(AND(D65&gt;=Parameters!$B$18,(H65&gt;=Upgrades!$E$9)*(K65&gt;=Upgrades!$E$12)=1,L65=0),1,"")</f>
        <v/>
      </c>
      <c r="AO65" s="26" t="str">
        <f aca="false">IF(AND(D65&gt;=Parameters!$B$18,L65=0),1,"")</f>
        <v/>
      </c>
      <c r="AP65" s="21" t="n">
        <f aca="false">MIN(IF(ISNUMBER(AK65),AK65,9000000000000000),IF(ISNUMBER(AL65),AL65,9000000000000000),IF(ISNUMBER(AM65),AM65,9000000000000000))</f>
        <v>9000000000000000</v>
      </c>
      <c r="AQ65" s="21" t="n">
        <f aca="false">MIN(IF(ISNUMBER(AG65),AG65,9000000000000000),IF(ISNUMBER(AH65),AH65,9000000000000000),IF(ISNUMBER(AI65),AI65,9000000000000000),IF(ISNUMBER(AJ65),AJ65,9000000000000000))</f>
        <v>37.4517507383159</v>
      </c>
      <c r="AR65" s="32" t="b">
        <f aca="false">IF(AW65&gt;Parameters!$B$21*(MAX(IF(AND(NOT(AND(AO65=1,AN65&lt;&gt;1)),ISNUMBER(AG65),AG65&lt;=T65),AS65,0),IF(AND(NOT(AND(AO65=1,AN65&lt;&gt;1)),ISNUMBER(AH65),AH65&lt;=T65),AT65,0),IF(AND(NOT(AND(AO65=1,AN65&lt;&gt;1)),ISNUMBER(AI65),AI65&lt;=T65),AU65,0),IF(AND(ISNUMBER(AJ65),AJ65&lt;=T65),AV65,0))),TRUE(),FALSE())</f>
        <v>1</v>
      </c>
      <c r="AS65" s="33" t="n">
        <f aca="false">IFERROR(Upgrades!$H$6*(POWER(Upgrades!$P$6,E65)*POWER(Upgrades!$P$7,F65)*POWER(Upgrades!$P$8,G65)*POWER(Upgrades!$P$9,H65)*POWER(Upgrades!$P$10,I65)*POWER(Upgrades!$P$11,J65)*POWER(Upgrades!$P$12,K65))*(IF(Upgrades!$T$7="Solar Wind",POWER(Upgrades!$U$7,F65),1)*IF(Upgrades!$T$8="Solar Wind",POWER(Upgrades!$U$8,G65),1)*IF(Upgrades!$T$9="Solar Wind",POWER(Upgrades!$U$9,H65),1)*IF(Upgrades!$T$10="Solar Wind",POWER(Upgrades!$U$10,I65),1)*IF(Upgrades!$T$11="Solar Wind",POWER(Upgrades!$U$11,J65),1)*IF(Upgrades!$T$12="Solar Wind",POWER(Upgrades!$U$12,K65),1))/AG65,0)</f>
        <v>0.0026701021455238</v>
      </c>
      <c r="AT65" s="33" t="n">
        <f aca="false">IFERROR(Upgrades!$H$7*(POWER(Upgrades!$P$6,E65)*POWER(Upgrades!$P$7,F65)*POWER(Upgrades!$P$8,G65)*POWER(Upgrades!$P$9,H65)*POWER(Upgrades!$P$10,I65)*POWER(Upgrades!$P$11,J65)*POWER(Upgrades!$P$12,K65))*(IF(Upgrades!$T$6="Asteroid Belt",POWER(Upgrades!$U$6,E65),1)*IF(Upgrades!$T$8="Asteroid Belt",POWER(Upgrades!$U$8,G65),1)*IF(Upgrades!$T$9="Asteroid Belt",POWER(Upgrades!$U$9,H65),1)*IF(Upgrades!$T$10="Asteroid Belt",POWER(Upgrades!$U$10,I65),1)*IF(Upgrades!$T$11="Asteroid Belt",POWER(Upgrades!$U$11,J65),1)*IF(Upgrades!$T$12="Asteroid Belt",POWER(Upgrades!$U$12,K65),1))/AH65,0)</f>
        <v>0.00308980882652332</v>
      </c>
      <c r="AU65" s="33" t="n">
        <f aca="false">IFERROR(Upgrades!$K$8*(POWER(Upgrades!$Q$6,E65)*POWER(Upgrades!$Q$7,F65)*POWER(Upgrades!$Q$8,G65)*POWER(Upgrades!$Q$9,H65)*POWER(Upgrades!$Q$10,I65)*POWER(Upgrades!$Q$11,J65)*POWER(Upgrades!$Q$12,K65))*(IF(Upgrades!$T$6="Stellar Coupling",POWER(Upgrades!$U$6,E65),1)*IF(Upgrades!$T$7="Stellar Coupling",POWER(Upgrades!$U$7,F65),1)*IF(Upgrades!$T$9="Stellar Coupling",POWER(Upgrades!$U$9,H65),1)*IF(Upgrades!$T$10="Stellar Coupling",POWER(Upgrades!$U$10,I65),1)*IF(Upgrades!$T$11="Stellar Coupling",POWER(Upgrades!$U$11,J65),1)*IF(Upgrades!$T$12="Stellar Coupling",POWER(Upgrades!$U$12,K65),1))*Parameters!$B$10*Parameters!$B$11/60/AI65,0)</f>
        <v>0.00452762415783776</v>
      </c>
      <c r="AV65" s="33" t="n">
        <f aca="false">IFERROR(Upgrades!$H$9*(POWER(Upgrades!$P$6,E65)*POWER(Upgrades!$P$7,F65)*POWER(Upgrades!$P$8,G65)*POWER(Upgrades!$P$9,H65)*POWER(Upgrades!$P$10,I65)*POWER(Upgrades!$P$11,J65)*POWER(Upgrades!$P$12,K65))*(IF(Upgrades!$T$6="Magnetosphere",POWER(Upgrades!$U$6,E65),1)*IF(Upgrades!$T$7="Magnetosphere",POWER(Upgrades!$U$7,F65),1)*IF(Upgrades!$T$8="Magnetosphere",POWER(Upgrades!$U$8,G65),1)*IF(Upgrades!$T$10="Magnetosphere",POWER(Upgrades!$U$10,I65),1)*IF(Upgrades!$T$11="Magnetosphere",POWER(Upgrades!$U$11,J65),1)*IF(Upgrades!$T$12="Magnetosphere",POWER(Upgrades!$U$12,K65),1))/AJ65,0)</f>
        <v>0</v>
      </c>
      <c r="AW65" s="33" t="n">
        <f aca="false">MAX(IF(I65&gt;0,0,IFERROR(0.25*N65/Upgrades!$C$10,0)),IF(J65&gt;0,0,IFERROR(0.5*((IF(G65=0,0,(Upgrades!$J$8+G65*Upgrades!$K$8)*POWER(Upgrades!$L$8,G65)))*(IF(Upgrades!$T$6="Stellar Coupling",POWER(Upgrades!$U$6,E65),1)*IF(Upgrades!$T$7="Stellar Coupling",POWER(Upgrades!$U$7,F65),1)*IF(Upgrades!$T$9="Stellar Coupling",POWER(Upgrades!$U$9,H65),1)*IF(Upgrades!$T$10="Stellar Coupling",POWER(Upgrades!$U$10,I65),1)*IF(Upgrades!$T$11="Stellar Coupling",POWER(Upgrades!$U$11,J65),1)*IF(Upgrades!$T$12="Stellar Coupling",POWER(Upgrades!$U$12,K65),1))*(POWER(Upgrades!$Q$6,E65)*POWER(Upgrades!$Q$7,F65)*POWER(Upgrades!$Q$8,G65)*POWER(Upgrades!$Q$9,H65)*POWER(Upgrades!$Q$10,I65)*POWER(Upgrades!$Q$11,J65)*POWER(Upgrades!$Q$12,K65))*Parameters!$B$10*Parameters!$B$11/60)/Upgrades!$C$11,0)),IF(K65&gt;0,0,IFERROR((1*(POWER(Upgrades!$P$6,E65)*POWER(Upgrades!$P$7,F65)*POWER(Upgrades!$P$8,G65)*POWER(Upgrades!$P$9,H65)*POWER(Upgrades!$P$10,I65)*POWER(Upgrades!$P$11,J65)*POWER(Upgrades!$P$12,K65))+0.2*M65*Parameters!$B$10*Parameters!$B$11/60)/Upgrades!$C$12,0)),IF(AND(ISNUMBER(AG65),AG65&gt;T65),AS65,0),IF(AND(ISNUMBER(AH65),AH65&gt;T65),AT65,0),IF(AND(ISNUMBER(AI65),AI65&gt;T65),AU65,0),IF(AND(ISNUMBER(AJ65),AJ65&gt;T65),AV65,0))</f>
        <v>0.00452762415783776</v>
      </c>
      <c r="AX65" s="29" t="str">
        <f aca="false">IF(AN65=1,"transition",IF(MIN(IF(AND(I65=0,ISNUMBER(AK65),AK65&lt;=T65),AK65,9000000000000000),IF(AND(J65=0,ISNUMBER(AL65),AL65&lt;=T65),AL65,9000000000000000),IF(AND(K65=0,ISNUMBER(AM65),AM65&lt;=T65),AM65,9000000000000000))&lt;9000000000000000,IF(AND(AND(I65=0,ISNUMBER(AK65),AK65&lt;=T65),AK65=MIN(IF(AND(I65=0,ISNUMBER(AK65),AK65&lt;=T65),AK65,9000000000000000),IF(AND(J65=0,ISNUMBER(AL65),AL65&lt;=T65),AL65,9000000000000000),IF(AND(K65=0,ISNUMBER(AM65),AM65&lt;=T65),AM65,9000000000000000))),"OR",IF(AND(AND(J65=0,ISNUMBER(AL65),AL65&lt;=T65),AL65=MIN(IF(AND(I65=0,ISNUMBER(AK65),AK65&lt;=T65),AK65,9000000000000000),IF(AND(J65=0,ISNUMBER(AL65),AL65&lt;=T65),AL65,9000000000000000),IF(AND(K65=0,ISNUMBER(AM65),AM65&lt;=T65),AM65,9000000000000000))),"HP","FP")),IF(AR65=TRUE(),"",IF(MAX(IF(AND(NOT(AND(AO65=1,AN65&lt;&gt;1)),ISNUMBER(AG65),AG65&lt;=T65),AS65,0),IF(AND(NOT(AND(AO65=1,AN65&lt;&gt;1)),ISNUMBER(AH65),AH65&lt;=T65),AT65,0),IF(AND(NOT(AND(AO65=1,AN65&lt;&gt;1)),ISNUMBER(AI65),AI65&lt;=T65),AU65,0),IF(AND(ISNUMBER(AJ65),AJ65&lt;=T65),AV65,0))&lt;=0,"",IF(AND(IF(AND(NOT(AND(AO65=1,AN65&lt;&gt;1)),ISNUMBER(AG65),AG65&lt;=T65),AS65,0)&gt;0,IF(AND(NOT(AND(AO65=1,AN65&lt;&gt;1)),ISNUMBER(AG65),AG65&lt;=T65),AS65,0)=MAX(IF(AND(NOT(AND(AO65=1,AN65&lt;&gt;1)),ISNUMBER(AG65),AG65&lt;=T65),AS65,0),IF(AND(NOT(AND(AO65=1,AN65&lt;&gt;1)),ISNUMBER(AH65),AH65&lt;=T65),AT65,0),IF(AND(NOT(AND(AO65=1,AN65&lt;&gt;1)),ISNUMBER(AI65),AI65&lt;=T65),AU65,0),IF(AND(ISNUMBER(AJ65),AJ65&lt;=T65),AV65,0))),"SW",IF(AND(IF(AND(NOT(AND(AO65=1,AN65&lt;&gt;1)),ISNUMBER(AH65),AH65&lt;=T65),AT65,0)&gt;0,IF(AND(NOT(AND(AO65=1,AN65&lt;&gt;1)),ISNUMBER(AH65),AH65&lt;=T65),AT65,0)=MAX(IF(AND(NOT(AND(AO65=1,AN65&lt;&gt;1)),ISNUMBER(AG65),AG65&lt;=T65),AS65,0),IF(AND(NOT(AND(AO65=1,AN65&lt;&gt;1)),ISNUMBER(AH65),AH65&lt;=T65),AT65,0),IF(AND(NOT(AND(AO65=1,AN65&lt;&gt;1)),ISNUMBER(AI65),AI65&lt;=T65),AU65,0),IF(AND(ISNUMBER(AJ65),AJ65&lt;=T65),AV65,0))),"AB",IF(AND(IF(AND(NOT(AND(AO65=1,AN65&lt;&gt;1)),ISNUMBER(AI65),AI65&lt;=T65),AU65,0)&gt;0,IF(AND(NOT(AND(AO65=1,AN65&lt;&gt;1)),ISNUMBER(AI65),AI65&lt;=T65),AU65,0)=MAX(IF(AND(NOT(AND(AO65=1,AN65&lt;&gt;1)),ISNUMBER(AG65),AG65&lt;=T65),AS65,0),IF(AND(NOT(AND(AO65=1,AN65&lt;&gt;1)),ISNUMBER(AH65),AH65&lt;=T65),AT65,0),IF(AND(NOT(AND(AO65=1,AN65&lt;&gt;1)),ISNUMBER(AI65),AI65&lt;=T65),AU65,0),IF(AND(ISNUMBER(AJ65),AJ65&lt;=T65),AV65,0))),"SC","Mag")))))))</f>
        <v/>
      </c>
    </row>
    <row r="66" customFormat="false" ht="15" hidden="false" customHeight="false" outlineLevel="0" collapsed="false">
      <c r="A66" s="26" t="n">
        <v>61</v>
      </c>
      <c r="B66" s="27" t="n">
        <f aca="false">A66*10/60</f>
        <v>10.1666666666667</v>
      </c>
      <c r="C66" s="21" t="n">
        <f aca="false">X65</f>
        <v>18.6730249835055</v>
      </c>
      <c r="D66" s="27" t="n">
        <f aca="false">D65+W65</f>
        <v>0</v>
      </c>
      <c r="E66" s="26" t="n">
        <f aca="false">E65+IF(U65="SW",1,0)</f>
        <v>12</v>
      </c>
      <c r="F66" s="26" t="n">
        <f aca="false">F65+IF(U65="AB",1,0)</f>
        <v>10</v>
      </c>
      <c r="G66" s="26" t="n">
        <f aca="false">G65+IF(U65="SC",1,0)</f>
        <v>7</v>
      </c>
      <c r="H66" s="26" t="n">
        <f aca="false">H65+IF(U65="Mag",1,0)</f>
        <v>5</v>
      </c>
      <c r="I66" s="26" t="n">
        <f aca="false">MAX(I65,IF(U65="OR",1,0))</f>
        <v>1</v>
      </c>
      <c r="J66" s="26" t="n">
        <f aca="false">MAX(J65,IF(U65="HP",1,0))</f>
        <v>1</v>
      </c>
      <c r="K66" s="26" t="n">
        <f aca="false">MAX(K65,IF(U65="FP",1,0))</f>
        <v>1</v>
      </c>
      <c r="L66" s="26" t="n">
        <f aca="false">MAX(L65,IF(U65="transition",1,0))</f>
        <v>1</v>
      </c>
      <c r="M66" s="28" t="n">
        <f aca="false">(Parameters!$B$9+(IF(E66=0,0,(Upgrades!$J$6+E66*Upgrades!$K$6)*POWER(Upgrades!$L$6,E66)))*(IF(Upgrades!$T$7="Solar Wind",POWER(Upgrades!$U$7,F66),1)*IF(Upgrades!$T$8="Solar Wind",POWER(Upgrades!$U$8,G66),1)*IF(Upgrades!$T$9="Solar Wind",POWER(Upgrades!$U$9,H66),1)*IF(Upgrades!$T$10="Solar Wind",POWER(Upgrades!$U$10,I66),1)*IF(Upgrades!$T$11="Solar Wind",POWER(Upgrades!$U$11,J66),1)*IF(Upgrades!$T$12="Solar Wind",POWER(Upgrades!$U$12,K66),1))+(IF(F66=0,0,(Upgrades!$J$7+F66*Upgrades!$K$7)*POWER(Upgrades!$L$7,F66)))*(IF(Upgrades!$T$6="Asteroid Belt",POWER(Upgrades!$U$6,E66),1)*IF(Upgrades!$T$8="Asteroid Belt",POWER(Upgrades!$U$8,G66),1)*IF(Upgrades!$T$9="Asteroid Belt",POWER(Upgrades!$U$9,H66),1)*IF(Upgrades!$T$10="Asteroid Belt",POWER(Upgrades!$U$10,I66),1)*IF(Upgrades!$T$11="Asteroid Belt",POWER(Upgrades!$U$11,J66),1)*IF(Upgrades!$T$12="Asteroid Belt",POWER(Upgrades!$U$12,K66),1))+(IF(G66=0,0,(Upgrades!$J$8+G66*Upgrades!$K$8)*POWER(Upgrades!$L$8,G66)))*(IF(Upgrades!$T$6="Stellar Coupling",POWER(Upgrades!$U$6,E66),1)*IF(Upgrades!$T$7="Stellar Coupling",POWER(Upgrades!$U$7,F66),1)*IF(Upgrades!$T$9="Stellar Coupling",POWER(Upgrades!$U$9,H66),1)*IF(Upgrades!$T$10="Stellar Coupling",POWER(Upgrades!$U$10,I66),1)*IF(Upgrades!$T$11="Stellar Coupling",POWER(Upgrades!$U$11,J66),1)*IF(Upgrades!$T$12="Stellar Coupling",POWER(Upgrades!$U$12,K66),1))+(IF(H66=0,0,(Upgrades!$J$9+H66*Upgrades!$K$9)*POWER(Upgrades!$L$9,H66)))*(IF(Upgrades!$T$6="Magnetosphere",POWER(Upgrades!$U$6,E66),1)*IF(Upgrades!$T$7="Magnetosphere",POWER(Upgrades!$U$7,F66),1)*IF(Upgrades!$T$8="Magnetosphere",POWER(Upgrades!$U$8,G66),1)*IF(Upgrades!$T$10="Magnetosphere",POWER(Upgrades!$U$10,I66),1)*IF(Upgrades!$T$11="Magnetosphere",POWER(Upgrades!$U$11,J66),1)*IF(Upgrades!$T$12="Magnetosphere",POWER(Upgrades!$U$12,K66),1))+(IF(I66=0,0,(Upgrades!$J$10+I66*Upgrades!$K$10)*POWER(Upgrades!$L$10,I66)))*(IF(Upgrades!$T$6="Orbital Resonance",POWER(Upgrades!$U$6,E66),1)*IF(Upgrades!$T$7="Orbital Resonance",POWER(Upgrades!$U$7,F66),1)*IF(Upgrades!$T$8="Orbital Resonance",POWER(Upgrades!$U$8,G66),1)*IF(Upgrades!$T$9="Orbital Resonance",POWER(Upgrades!$U$9,H66),1)*IF(Upgrades!$T$11="Orbital Resonance",POWER(Upgrades!$U$11,J66),1)*IF(Upgrades!$T$12="Orbital Resonance",POWER(Upgrades!$U$12,K66),1))+(IF(J66=0,0,(Upgrades!$J$11+J66*Upgrades!$K$11)*POWER(Upgrades!$L$11,J66)))*(IF(Upgrades!$T$6="Heliopause",POWER(Upgrades!$U$6,E66),1)*IF(Upgrades!$T$7="Heliopause",POWER(Upgrades!$U$7,F66),1)*IF(Upgrades!$T$8="Heliopause",POWER(Upgrades!$U$8,G66),1)*IF(Upgrades!$T$9="Heliopause",POWER(Upgrades!$U$9,H66),1)*IF(Upgrades!$T$10="Heliopause",POWER(Upgrades!$U$10,I66),1)*IF(Upgrades!$T$12="Heliopause",POWER(Upgrades!$U$12,K66),1))+(IF(K66=0,0,(Upgrades!$J$12+K66*Upgrades!$K$12)*POWER(Upgrades!$L$12,K66)))*(IF(Upgrades!$T$6="First Photons",POWER(Upgrades!$U$6,E66),1)*IF(Upgrades!$T$7="First Photons",POWER(Upgrades!$U$7,F66),1)*IF(Upgrades!$T$8="First Photons",POWER(Upgrades!$U$8,G66),1)*IF(Upgrades!$T$9="First Photons",POWER(Upgrades!$U$9,H66),1)*IF(Upgrades!$T$10="First Photons",POWER(Upgrades!$U$10,I66),1)*IF(Upgrades!$T$11="First Photons",POWER(Upgrades!$U$11,J66),1)))*POWER(Upgrades!$Q$6,E66)*POWER(Upgrades!$Q$7,F66)*POWER(Upgrades!$Q$8,G66)*POWER(Upgrades!$Q$9,H66)*POWER(Upgrades!$Q$10,I66)*POWER(Upgrades!$Q$11,J66)*POWER(Upgrades!$Q$12,K66)</f>
        <v>5.61</v>
      </c>
      <c r="N66" s="28" t="n">
        <f aca="false">((IF(E66=0,0,(Upgrades!$G$6+E66*Upgrades!$H$6)*POWER(Upgrades!$I$6,E66)))*(IF(Upgrades!$T$7="Solar Wind",POWER(Upgrades!$U$7,F66),1)*IF(Upgrades!$T$8="Solar Wind",POWER(Upgrades!$U$8,G66),1)*IF(Upgrades!$T$9="Solar Wind",POWER(Upgrades!$U$9,H66),1)*IF(Upgrades!$T$10="Solar Wind",POWER(Upgrades!$U$10,I66),1)*IF(Upgrades!$T$11="Solar Wind",POWER(Upgrades!$U$11,J66),1)*IF(Upgrades!$T$12="Solar Wind",POWER(Upgrades!$U$12,K66),1))+(IF(F66=0,0,(Upgrades!$G$7+F66*Upgrades!$H$7)*POWER(Upgrades!$I$7,F66)))*(IF(Upgrades!$T$6="Asteroid Belt",POWER(Upgrades!$U$6,E66),1)*IF(Upgrades!$T$8="Asteroid Belt",POWER(Upgrades!$U$8,G66),1)*IF(Upgrades!$T$9="Asteroid Belt",POWER(Upgrades!$U$9,H66),1)*IF(Upgrades!$T$10="Asteroid Belt",POWER(Upgrades!$U$10,I66),1)*IF(Upgrades!$T$11="Asteroid Belt",POWER(Upgrades!$U$11,J66),1)*IF(Upgrades!$T$12="Asteroid Belt",POWER(Upgrades!$U$12,K66),1))+(IF(G66=0,0,(Upgrades!$G$8+G66*Upgrades!$H$8)*POWER(Upgrades!$I$8,G66)))*(IF(Upgrades!$T$6="Stellar Coupling",POWER(Upgrades!$U$6,E66),1)*IF(Upgrades!$T$7="Stellar Coupling",POWER(Upgrades!$U$7,F66),1)*IF(Upgrades!$T$9="Stellar Coupling",POWER(Upgrades!$U$9,H66),1)*IF(Upgrades!$T$10="Stellar Coupling",POWER(Upgrades!$U$10,I66),1)*IF(Upgrades!$T$11="Stellar Coupling",POWER(Upgrades!$U$11,J66),1)*IF(Upgrades!$T$12="Stellar Coupling",POWER(Upgrades!$U$12,K66),1))+(IF(H66=0,0,(Upgrades!$G$9+H66*Upgrades!$H$9)*POWER(Upgrades!$I$9,H66)))*(IF(Upgrades!$T$6="Magnetosphere",POWER(Upgrades!$U$6,E66),1)*IF(Upgrades!$T$7="Magnetosphere",POWER(Upgrades!$U$7,F66),1)*IF(Upgrades!$T$8="Magnetosphere",POWER(Upgrades!$U$8,G66),1)*IF(Upgrades!$T$10="Magnetosphere",POWER(Upgrades!$U$10,I66),1)*IF(Upgrades!$T$11="Magnetosphere",POWER(Upgrades!$U$11,J66),1)*IF(Upgrades!$T$12="Magnetosphere",POWER(Upgrades!$U$12,K66),1))+(IF(I66=0,0,(Upgrades!$G$10+I66*Upgrades!$H$10)*POWER(Upgrades!$I$10,I66)))*(IF(Upgrades!$T$6="Orbital Resonance",POWER(Upgrades!$U$6,E66),1)*IF(Upgrades!$T$7="Orbital Resonance",POWER(Upgrades!$U$7,F66),1)*IF(Upgrades!$T$8="Orbital Resonance",POWER(Upgrades!$U$8,G66),1)*IF(Upgrades!$T$9="Orbital Resonance",POWER(Upgrades!$U$9,H66),1)*IF(Upgrades!$T$11="Orbital Resonance",POWER(Upgrades!$U$11,J66),1)*IF(Upgrades!$T$12="Orbital Resonance",POWER(Upgrades!$U$12,K66),1))+(IF(J66=0,0,(Upgrades!$G$11+J66*Upgrades!$H$11)*POWER(Upgrades!$I$11,J66)))*(IF(Upgrades!$T$6="Heliopause",POWER(Upgrades!$U$6,E66),1)*IF(Upgrades!$T$7="Heliopause",POWER(Upgrades!$U$7,F66),1)*IF(Upgrades!$T$8="Heliopause",POWER(Upgrades!$U$8,G66),1)*IF(Upgrades!$T$9="Heliopause",POWER(Upgrades!$U$9,H66),1)*IF(Upgrades!$T$10="Heliopause",POWER(Upgrades!$U$10,I66),1)*IF(Upgrades!$T$12="Heliopause",POWER(Upgrades!$U$12,K66),1))+(IF(K66=0,0,(Upgrades!$G$12+K66*Upgrades!$H$12)*POWER(Upgrades!$I$12,K66)))*(IF(Upgrades!$T$6="First Photons",POWER(Upgrades!$U$6,E66),1)*IF(Upgrades!$T$7="First Photons",POWER(Upgrades!$U$7,F66),1)*IF(Upgrades!$T$8="First Photons",POWER(Upgrades!$U$8,G66),1)*IF(Upgrades!$T$9="First Photons",POWER(Upgrades!$U$9,H66),1)*IF(Upgrades!$T$10="First Photons",POWER(Upgrades!$U$10,I66),1)*IF(Upgrades!$T$11="First Photons",POWER(Upgrades!$U$11,J66),1)))*POWER(Upgrades!$P$6,E66)*POWER(Upgrades!$P$7,F66)*POWER(Upgrades!$P$8,G66)*POWER(Upgrades!$P$9,H66)*POWER(Upgrades!$P$10,I66)*POWER(Upgrades!$P$11,J66)*POWER(Upgrades!$P$12,K66)</f>
        <v>11.2</v>
      </c>
      <c r="O66" s="28" t="n">
        <f aca="false">((IF(E66=0,0,(Upgrades!$M$6+E66*Upgrades!$N$6)*POWER(Upgrades!$O$6,E66)))*(IF(Upgrades!$T$7="Solar Wind",POWER(Upgrades!$U$7,F66),1)*IF(Upgrades!$T$8="Solar Wind",POWER(Upgrades!$U$8,G66),1)*IF(Upgrades!$T$9="Solar Wind",POWER(Upgrades!$U$9,H66),1)*IF(Upgrades!$T$10="Solar Wind",POWER(Upgrades!$U$10,I66),1)*IF(Upgrades!$T$11="Solar Wind",POWER(Upgrades!$U$11,J66),1)*IF(Upgrades!$T$12="Solar Wind",POWER(Upgrades!$U$12,K66),1))+(IF(F66=0,0,(Upgrades!$M$7+F66*Upgrades!$N$7)*POWER(Upgrades!$O$7,F66)))*(IF(Upgrades!$T$6="Asteroid Belt",POWER(Upgrades!$U$6,E66),1)*IF(Upgrades!$T$8="Asteroid Belt",POWER(Upgrades!$U$8,G66),1)*IF(Upgrades!$T$9="Asteroid Belt",POWER(Upgrades!$U$9,H66),1)*IF(Upgrades!$T$10="Asteroid Belt",POWER(Upgrades!$U$10,I66),1)*IF(Upgrades!$T$11="Asteroid Belt",POWER(Upgrades!$U$11,J66),1)*IF(Upgrades!$T$12="Asteroid Belt",POWER(Upgrades!$U$12,K66),1))+(IF(G66=0,0,(Upgrades!$M$8+G66*Upgrades!$N$8)*POWER(Upgrades!$O$8,G66)))*(IF(Upgrades!$T$6="Stellar Coupling",POWER(Upgrades!$U$6,E66),1)*IF(Upgrades!$T$7="Stellar Coupling",POWER(Upgrades!$U$7,F66),1)*IF(Upgrades!$T$9="Stellar Coupling",POWER(Upgrades!$U$9,H66),1)*IF(Upgrades!$T$10="Stellar Coupling",POWER(Upgrades!$U$10,I66),1)*IF(Upgrades!$T$11="Stellar Coupling",POWER(Upgrades!$U$11,J66),1)*IF(Upgrades!$T$12="Stellar Coupling",POWER(Upgrades!$U$12,K66),1))+(IF(H66=0,0,(Upgrades!$M$9+H66*Upgrades!$N$9)*POWER(Upgrades!$O$9,H66)))*(IF(Upgrades!$T$6="Magnetosphere",POWER(Upgrades!$U$6,E66),1)*IF(Upgrades!$T$7="Magnetosphere",POWER(Upgrades!$U$7,F66),1)*IF(Upgrades!$T$8="Magnetosphere",POWER(Upgrades!$U$8,G66),1)*IF(Upgrades!$T$10="Magnetosphere",POWER(Upgrades!$U$10,I66),1)*IF(Upgrades!$T$11="Magnetosphere",POWER(Upgrades!$U$11,J66),1)*IF(Upgrades!$T$12="Magnetosphere",POWER(Upgrades!$U$12,K66),1))+(IF(I66=0,0,(Upgrades!$M$10+I66*Upgrades!$N$10)*POWER(Upgrades!$O$10,I66)))*(IF(Upgrades!$T$6="Orbital Resonance",POWER(Upgrades!$U$6,E66),1)*IF(Upgrades!$T$7="Orbital Resonance",POWER(Upgrades!$U$7,F66),1)*IF(Upgrades!$T$8="Orbital Resonance",POWER(Upgrades!$U$8,G66),1)*IF(Upgrades!$T$9="Orbital Resonance",POWER(Upgrades!$U$9,H66),1)*IF(Upgrades!$T$11="Orbital Resonance",POWER(Upgrades!$U$11,J66),1)*IF(Upgrades!$T$12="Orbital Resonance",POWER(Upgrades!$U$12,K66),1))+(IF(J66=0,0,(Upgrades!$M$11+J66*Upgrades!$N$11)*POWER(Upgrades!$O$11,J66)))*(IF(Upgrades!$T$6="Heliopause",POWER(Upgrades!$U$6,E66),1)*IF(Upgrades!$T$7="Heliopause",POWER(Upgrades!$U$7,F66),1)*IF(Upgrades!$T$8="Heliopause",POWER(Upgrades!$U$8,G66),1)*IF(Upgrades!$T$9="Heliopause",POWER(Upgrades!$U$9,H66),1)*IF(Upgrades!$T$10="Heliopause",POWER(Upgrades!$U$10,I66),1)*IF(Upgrades!$T$12="Heliopause",POWER(Upgrades!$U$12,K66),1))+(IF(K66=0,0,(Upgrades!$M$12+K66*Upgrades!$N$12)*POWER(Upgrades!$O$12,K66)))*(IF(Upgrades!$T$6="First Photons",POWER(Upgrades!$U$6,E66),1)*IF(Upgrades!$T$7="First Photons",POWER(Upgrades!$U$7,F66),1)*IF(Upgrades!$T$8="First Photons",POWER(Upgrades!$U$8,G66),1)*IF(Upgrades!$T$9="First Photons",POWER(Upgrades!$U$9,H66),1)*IF(Upgrades!$T$10="First Photons",POWER(Upgrades!$U$10,I66),1)*IF(Upgrades!$T$11="First Photons",POWER(Upgrades!$U$11,J66),1)))*POWER(Upgrades!$R$6,E66)*POWER(Upgrades!$R$7,F66)*POWER(Upgrades!$R$8,G66)*POWER(Upgrades!$R$9,H66)*POWER(Upgrades!$R$10,I66)*POWER(Upgrades!$R$11,J66)*POWER(Upgrades!$R$12,K66)</f>
        <v>0</v>
      </c>
      <c r="P66" s="27" t="n">
        <f aca="false">IF(L66=1,0,M66*Parameters!$B$10/60*Parameters!$B$11*10)</f>
        <v>0</v>
      </c>
      <c r="Q66" s="27" t="n">
        <f aca="false">IF(L66=1,0,O66*M66*10)</f>
        <v>0</v>
      </c>
      <c r="R66" s="27" t="n">
        <f aca="false">IF(L66=1,0,N66*10)</f>
        <v>0</v>
      </c>
      <c r="S66" s="27" t="n">
        <f aca="false">P66+Q66+R66</f>
        <v>0</v>
      </c>
      <c r="T66" s="21" t="n">
        <f aca="false">C66+S66</f>
        <v>18.6730249835055</v>
      </c>
      <c r="U66" s="34" t="str">
        <f aca="false">AX66</f>
        <v/>
      </c>
      <c r="V66" s="21" t="n">
        <f aca="false">IF(U66="",0,IF(U66="transition",0,IF(U66="SW",AG66,IF(U66="AB",AH66,IF(U66="SC",AI66,IF(U66="Mag",AJ66,IF(U66="OR",AK66,IF(U66="HP",AL66,IF(U66="FP",AM66,0)))))))))</f>
        <v>0</v>
      </c>
      <c r="W66" s="27" t="n">
        <f aca="false">IF(U66="OR",Upgrades!$F$10,IF(U66="HP",Upgrades!$F$11,IF(U66="transition",-Parameters!$B$18,0)))</f>
        <v>0</v>
      </c>
      <c r="X66" s="21" t="n">
        <f aca="false">T66-V66</f>
        <v>18.6730249835055</v>
      </c>
      <c r="Y66" s="30" t="n">
        <f aca="false">M66*Parameters!$B$10/60*Parameters!$B$11+O66*M66+N66</f>
        <v>20.55</v>
      </c>
      <c r="Z66" s="35" t="str">
        <f aca="false">IF(U66="transition","→ Tier 2 (Stellar Neighborhood)",IF(U66="FP","First Photons — light begins, system quickens",IF(U66="HP","Heliopause acquired",IF(U66="OR","Orbital Resonance — passive multiplier active",IF(AND(AO66=1,L66=0,AN66&lt;&gt;1),"Cohesion ready (waiting on completionist upgrades)","")))))</f>
        <v/>
      </c>
      <c r="AA66" s="27" t="n">
        <f aca="false">(IF(E66=0,0,(Upgrades!$G$6+E66*Upgrades!$H$6)*POWER(Upgrades!$I$6,E66)))*(IF(Upgrades!$T$7="Solar Wind",POWER(Upgrades!$U$7,F66),1)*IF(Upgrades!$T$8="Solar Wind",POWER(Upgrades!$U$8,G66),1)*IF(Upgrades!$T$9="Solar Wind",POWER(Upgrades!$U$9,H66),1)*IF(Upgrades!$T$10="Solar Wind",POWER(Upgrades!$U$10,I66),1)*IF(Upgrades!$T$11="Solar Wind",POWER(Upgrades!$U$11,J66),1)*IF(Upgrades!$T$12="Solar Wind",POWER(Upgrades!$U$12,K66),1))*POWER(Upgrades!$P$6,E66)*POWER(Upgrades!$P$7,F66)*POWER(Upgrades!$P$8,G66)*POWER(Upgrades!$P$9,H66)*POWER(Upgrades!$P$10,I66)*POWER(Upgrades!$P$11,J66)*POWER(Upgrades!$P$12,K66)*60</f>
        <v>72</v>
      </c>
      <c r="AB66" s="27" t="n">
        <f aca="false">(IF(F66=0,0,(Upgrades!$G$7+F66*Upgrades!$H$7)*POWER(Upgrades!$I$7,F66)))*(IF(Upgrades!$T$6="Asteroid Belt",POWER(Upgrades!$U$6,E66),1)*IF(Upgrades!$T$8="Asteroid Belt",POWER(Upgrades!$U$8,G66),1)*IF(Upgrades!$T$9="Asteroid Belt",POWER(Upgrades!$U$9,H66),1)*IF(Upgrades!$T$10="Asteroid Belt",POWER(Upgrades!$U$10,I66),1)*IF(Upgrades!$T$11="Asteroid Belt",POWER(Upgrades!$U$11,J66),1)*IF(Upgrades!$T$12="Asteroid Belt",POWER(Upgrades!$U$12,K66),1))*POWER(Upgrades!$P$6,E66)*POWER(Upgrades!$P$7,F66)*POWER(Upgrades!$P$8,G66)*POWER(Upgrades!$P$9,H66)*POWER(Upgrades!$P$10,I66)*POWER(Upgrades!$P$11,J66)*POWER(Upgrades!$P$12,K66)*60</f>
        <v>150</v>
      </c>
      <c r="AC66" s="27" t="n">
        <f aca="false">(IF(G66=0,0,(Upgrades!$J$8+G66*Upgrades!$K$8)*POWER(Upgrades!$L$8,G66)))*(IF(Upgrades!$T$6="Stellar Coupling",POWER(Upgrades!$U$6,E66),1)*IF(Upgrades!$T$7="Stellar Coupling",POWER(Upgrades!$U$7,F66),1)*IF(Upgrades!$T$9="Stellar Coupling",POWER(Upgrades!$U$9,H66),1)*IF(Upgrades!$T$10="Stellar Coupling",POWER(Upgrades!$U$10,I66),1)*IF(Upgrades!$T$11="Stellar Coupling",POWER(Upgrades!$U$11,J66),1)*IF(Upgrades!$T$12="Stellar Coupling",POWER(Upgrades!$U$12,K66),1))*POWER(Upgrades!$Q$6,E66)*POWER(Upgrades!$Q$7,F66)*POWER(Upgrades!$Q$8,G66)*POWER(Upgrades!$Q$9,H66)*POWER(Upgrades!$Q$10,I66)*POWER(Upgrades!$Q$11,J66)*POWER(Upgrades!$Q$12,K66)*Parameters!$B$10*Parameters!$B$11</f>
        <v>441</v>
      </c>
      <c r="AD66" s="27" t="n">
        <f aca="false">(IF(H66=0,0,(Upgrades!$G$9+H66*Upgrades!$H$9)*POWER(Upgrades!$I$9,H66)))*(IF(Upgrades!$T$6="Magnetosphere",POWER(Upgrades!$U$6,E66),1)*IF(Upgrades!$T$7="Magnetosphere",POWER(Upgrades!$U$7,F66),1)*IF(Upgrades!$T$8="Magnetosphere",POWER(Upgrades!$U$8,G66),1)*IF(Upgrades!$T$10="Magnetosphere",POWER(Upgrades!$U$10,I66),1)*IF(Upgrades!$T$11="Magnetosphere",POWER(Upgrades!$U$11,J66),1)*IF(Upgrades!$T$12="Magnetosphere",POWER(Upgrades!$U$12,K66),1))*POWER(Upgrades!$P$6,E66)*POWER(Upgrades!$P$7,F66)*POWER(Upgrades!$P$8,G66)*POWER(Upgrades!$P$9,H66)*POWER(Upgrades!$P$10,I66)*POWER(Upgrades!$P$11,J66)*POWER(Upgrades!$P$12,K66)*60</f>
        <v>375</v>
      </c>
      <c r="AE66" s="27" t="n">
        <f aca="false">(IF(K66=0,0,(Upgrades!$G$12+K66*Upgrades!$H$12)*POWER(Upgrades!$I$12,K66)))*(IF(Upgrades!$T$6="First Photons",POWER(Upgrades!$U$6,E66),1)*IF(Upgrades!$T$7="First Photons",POWER(Upgrades!$U$7,F66),1)*IF(Upgrades!$T$8="First Photons",POWER(Upgrades!$U$8,G66),1)*IF(Upgrades!$T$9="First Photons",POWER(Upgrades!$U$9,H66),1)*IF(Upgrades!$T$10="First Photons",POWER(Upgrades!$U$10,I66),1)*IF(Upgrades!$T$11="First Photons",POWER(Upgrades!$U$11,J66),1))*POWER(Upgrades!$P$6,E66)*POWER(Upgrades!$P$7,F66)*POWER(Upgrades!$P$8,G66)*POWER(Upgrades!$P$9,H66)*POWER(Upgrades!$P$10,I66)*POWER(Upgrades!$P$11,J66)*POWER(Upgrades!$P$12,K66)*60</f>
        <v>75</v>
      </c>
      <c r="AF66" s="27" t="n">
        <f aca="false">Parameters!$B$9*POWER(Upgrades!$Q$6,E66)*POWER(Upgrades!$Q$7,F66)*POWER(Upgrades!$Q$8,G66)*POWER(Upgrades!$Q$9,H66)*POWER(Upgrades!$Q$10,I66)*POWER(Upgrades!$Q$11,J66)*POWER(Upgrades!$Q$12,K66)*(Parameters!$B$10*Parameters!$B$11+O66*60)</f>
        <v>120</v>
      </c>
      <c r="AG66" s="21" t="n">
        <f aca="false">IF(E66&gt;=Upgrades!$E$6,"",Upgrades!$C$6*POWER(Upgrades!$D$6,E66))</f>
        <v>37.4517507383159</v>
      </c>
      <c r="AH66" s="21" t="n">
        <f aca="false">IF(F66&gt;=Upgrades!$E$7,"",Upgrades!$C$7*POWER(Upgrades!$D$7,F66))</f>
        <v>80.9111547141581</v>
      </c>
      <c r="AI66" s="21" t="n">
        <f aca="false">IF(G66&gt;=Upgrades!$E$8,"",Upgrades!$C$8*POWER(Upgrades!$D$8,G66))</f>
        <v>231.9097088</v>
      </c>
      <c r="AJ66" s="21" t="str">
        <f aca="false">IF(H66&gt;=Upgrades!$E$9,"",Upgrades!$C$9*POWER(Upgrades!$D$9,H66))</f>
        <v/>
      </c>
      <c r="AK66" s="21" t="str">
        <f aca="false">IF(I66&gt;=Upgrades!$E$10,"",Upgrades!$C$10*POWER(Upgrades!$D$10,I66))</f>
        <v/>
      </c>
      <c r="AL66" s="21" t="str">
        <f aca="false">IF(J66&gt;=Upgrades!$E$11,"",Upgrades!$C$11*POWER(Upgrades!$D$11,J66))</f>
        <v/>
      </c>
      <c r="AM66" s="21" t="str">
        <f aca="false">IF(K66&gt;=Upgrades!$E$12,"",Upgrades!$C$12*POWER(Upgrades!$D$12,K66))</f>
        <v/>
      </c>
      <c r="AN66" s="26" t="str">
        <f aca="false">IF(AND(D66&gt;=Parameters!$B$18,(H66&gt;=Upgrades!$E$9)*(K66&gt;=Upgrades!$E$12)=1,L66=0),1,"")</f>
        <v/>
      </c>
      <c r="AO66" s="26" t="str">
        <f aca="false">IF(AND(D66&gt;=Parameters!$B$18,L66=0),1,"")</f>
        <v/>
      </c>
      <c r="AP66" s="21" t="n">
        <f aca="false">MIN(IF(ISNUMBER(AK66),AK66,9000000000000000),IF(ISNUMBER(AL66),AL66,9000000000000000),IF(ISNUMBER(AM66),AM66,9000000000000000))</f>
        <v>9000000000000000</v>
      </c>
      <c r="AQ66" s="21" t="n">
        <f aca="false">MIN(IF(ISNUMBER(AG66),AG66,9000000000000000),IF(ISNUMBER(AH66),AH66,9000000000000000),IF(ISNUMBER(AI66),AI66,9000000000000000),IF(ISNUMBER(AJ66),AJ66,9000000000000000))</f>
        <v>37.4517507383159</v>
      </c>
      <c r="AR66" s="32" t="b">
        <f aca="false">IF(AW66&gt;Parameters!$B$21*(MAX(IF(AND(NOT(AND(AO66=1,AN66&lt;&gt;1)),ISNUMBER(AG66),AG66&lt;=T66),AS66,0),IF(AND(NOT(AND(AO66=1,AN66&lt;&gt;1)),ISNUMBER(AH66),AH66&lt;=T66),AT66,0),IF(AND(NOT(AND(AO66=1,AN66&lt;&gt;1)),ISNUMBER(AI66),AI66&lt;=T66),AU66,0),IF(AND(ISNUMBER(AJ66),AJ66&lt;=T66),AV66,0))),TRUE(),FALSE())</f>
        <v>1</v>
      </c>
      <c r="AS66" s="33" t="n">
        <f aca="false">IFERROR(Upgrades!$H$6*(POWER(Upgrades!$P$6,E66)*POWER(Upgrades!$P$7,F66)*POWER(Upgrades!$P$8,G66)*POWER(Upgrades!$P$9,H66)*POWER(Upgrades!$P$10,I66)*POWER(Upgrades!$P$11,J66)*POWER(Upgrades!$P$12,K66))*(IF(Upgrades!$T$7="Solar Wind",POWER(Upgrades!$U$7,F66),1)*IF(Upgrades!$T$8="Solar Wind",POWER(Upgrades!$U$8,G66),1)*IF(Upgrades!$T$9="Solar Wind",POWER(Upgrades!$U$9,H66),1)*IF(Upgrades!$T$10="Solar Wind",POWER(Upgrades!$U$10,I66),1)*IF(Upgrades!$T$11="Solar Wind",POWER(Upgrades!$U$11,J66),1)*IF(Upgrades!$T$12="Solar Wind",POWER(Upgrades!$U$12,K66),1))/AG66,0)</f>
        <v>0.0026701021455238</v>
      </c>
      <c r="AT66" s="33" t="n">
        <f aca="false">IFERROR(Upgrades!$H$7*(POWER(Upgrades!$P$6,E66)*POWER(Upgrades!$P$7,F66)*POWER(Upgrades!$P$8,G66)*POWER(Upgrades!$P$9,H66)*POWER(Upgrades!$P$10,I66)*POWER(Upgrades!$P$11,J66)*POWER(Upgrades!$P$12,K66))*(IF(Upgrades!$T$6="Asteroid Belt",POWER(Upgrades!$U$6,E66),1)*IF(Upgrades!$T$8="Asteroid Belt",POWER(Upgrades!$U$8,G66),1)*IF(Upgrades!$T$9="Asteroid Belt",POWER(Upgrades!$U$9,H66),1)*IF(Upgrades!$T$10="Asteroid Belt",POWER(Upgrades!$U$10,I66),1)*IF(Upgrades!$T$11="Asteroid Belt",POWER(Upgrades!$U$11,J66),1)*IF(Upgrades!$T$12="Asteroid Belt",POWER(Upgrades!$U$12,K66),1))/AH66,0)</f>
        <v>0.00308980882652332</v>
      </c>
      <c r="AU66" s="33" t="n">
        <f aca="false">IFERROR(Upgrades!$K$8*(POWER(Upgrades!$Q$6,E66)*POWER(Upgrades!$Q$7,F66)*POWER(Upgrades!$Q$8,G66)*POWER(Upgrades!$Q$9,H66)*POWER(Upgrades!$Q$10,I66)*POWER(Upgrades!$Q$11,J66)*POWER(Upgrades!$Q$12,K66))*(IF(Upgrades!$T$6="Stellar Coupling",POWER(Upgrades!$U$6,E66),1)*IF(Upgrades!$T$7="Stellar Coupling",POWER(Upgrades!$U$7,F66),1)*IF(Upgrades!$T$9="Stellar Coupling",POWER(Upgrades!$U$9,H66),1)*IF(Upgrades!$T$10="Stellar Coupling",POWER(Upgrades!$U$10,I66),1)*IF(Upgrades!$T$11="Stellar Coupling",POWER(Upgrades!$U$11,J66),1)*IF(Upgrades!$T$12="Stellar Coupling",POWER(Upgrades!$U$12,K66),1))*Parameters!$B$10*Parameters!$B$11/60/AI66,0)</f>
        <v>0.00452762415783776</v>
      </c>
      <c r="AV66" s="33" t="n">
        <f aca="false">IFERROR(Upgrades!$H$9*(POWER(Upgrades!$P$6,E66)*POWER(Upgrades!$P$7,F66)*POWER(Upgrades!$P$8,G66)*POWER(Upgrades!$P$9,H66)*POWER(Upgrades!$P$10,I66)*POWER(Upgrades!$P$11,J66)*POWER(Upgrades!$P$12,K66))*(IF(Upgrades!$T$6="Magnetosphere",POWER(Upgrades!$U$6,E66),1)*IF(Upgrades!$T$7="Magnetosphere",POWER(Upgrades!$U$7,F66),1)*IF(Upgrades!$T$8="Magnetosphere",POWER(Upgrades!$U$8,G66),1)*IF(Upgrades!$T$10="Magnetosphere",POWER(Upgrades!$U$10,I66),1)*IF(Upgrades!$T$11="Magnetosphere",POWER(Upgrades!$U$11,J66),1)*IF(Upgrades!$T$12="Magnetosphere",POWER(Upgrades!$U$12,K66),1))/AJ66,0)</f>
        <v>0</v>
      </c>
      <c r="AW66" s="33" t="n">
        <f aca="false">MAX(IF(I66&gt;0,0,IFERROR(0.25*N66/Upgrades!$C$10,0)),IF(J66&gt;0,0,IFERROR(0.5*((IF(G66=0,0,(Upgrades!$J$8+G66*Upgrades!$K$8)*POWER(Upgrades!$L$8,G66)))*(IF(Upgrades!$T$6="Stellar Coupling",POWER(Upgrades!$U$6,E66),1)*IF(Upgrades!$T$7="Stellar Coupling",POWER(Upgrades!$U$7,F66),1)*IF(Upgrades!$T$9="Stellar Coupling",POWER(Upgrades!$U$9,H66),1)*IF(Upgrades!$T$10="Stellar Coupling",POWER(Upgrades!$U$10,I66),1)*IF(Upgrades!$T$11="Stellar Coupling",POWER(Upgrades!$U$11,J66),1)*IF(Upgrades!$T$12="Stellar Coupling",POWER(Upgrades!$U$12,K66),1))*(POWER(Upgrades!$Q$6,E66)*POWER(Upgrades!$Q$7,F66)*POWER(Upgrades!$Q$8,G66)*POWER(Upgrades!$Q$9,H66)*POWER(Upgrades!$Q$10,I66)*POWER(Upgrades!$Q$11,J66)*POWER(Upgrades!$Q$12,K66))*Parameters!$B$10*Parameters!$B$11/60)/Upgrades!$C$11,0)),IF(K66&gt;0,0,IFERROR((1*(POWER(Upgrades!$P$6,E66)*POWER(Upgrades!$P$7,F66)*POWER(Upgrades!$P$8,G66)*POWER(Upgrades!$P$9,H66)*POWER(Upgrades!$P$10,I66)*POWER(Upgrades!$P$11,J66)*POWER(Upgrades!$P$12,K66))+0.2*M66*Parameters!$B$10*Parameters!$B$11/60)/Upgrades!$C$12,0)),IF(AND(ISNUMBER(AG66),AG66&gt;T66),AS66,0),IF(AND(ISNUMBER(AH66),AH66&gt;T66),AT66,0),IF(AND(ISNUMBER(AI66),AI66&gt;T66),AU66,0),IF(AND(ISNUMBER(AJ66),AJ66&gt;T66),AV66,0))</f>
        <v>0.00452762415783776</v>
      </c>
      <c r="AX66" s="29" t="str">
        <f aca="false">IF(AN66=1,"transition",IF(MIN(IF(AND(I66=0,ISNUMBER(AK66),AK66&lt;=T66),AK66,9000000000000000),IF(AND(J66=0,ISNUMBER(AL66),AL66&lt;=T66),AL66,9000000000000000),IF(AND(K66=0,ISNUMBER(AM66),AM66&lt;=T66),AM66,9000000000000000))&lt;9000000000000000,IF(AND(AND(I66=0,ISNUMBER(AK66),AK66&lt;=T66),AK66=MIN(IF(AND(I66=0,ISNUMBER(AK66),AK66&lt;=T66),AK66,9000000000000000),IF(AND(J66=0,ISNUMBER(AL66),AL66&lt;=T66),AL66,9000000000000000),IF(AND(K66=0,ISNUMBER(AM66),AM66&lt;=T66),AM66,9000000000000000))),"OR",IF(AND(AND(J66=0,ISNUMBER(AL66),AL66&lt;=T66),AL66=MIN(IF(AND(I66=0,ISNUMBER(AK66),AK66&lt;=T66),AK66,9000000000000000),IF(AND(J66=0,ISNUMBER(AL66),AL66&lt;=T66),AL66,9000000000000000),IF(AND(K66=0,ISNUMBER(AM66),AM66&lt;=T66),AM66,9000000000000000))),"HP","FP")),IF(AR66=TRUE(),"",IF(MAX(IF(AND(NOT(AND(AO66=1,AN66&lt;&gt;1)),ISNUMBER(AG66),AG66&lt;=T66),AS66,0),IF(AND(NOT(AND(AO66=1,AN66&lt;&gt;1)),ISNUMBER(AH66),AH66&lt;=T66),AT66,0),IF(AND(NOT(AND(AO66=1,AN66&lt;&gt;1)),ISNUMBER(AI66),AI66&lt;=T66),AU66,0),IF(AND(ISNUMBER(AJ66),AJ66&lt;=T66),AV66,0))&lt;=0,"",IF(AND(IF(AND(NOT(AND(AO66=1,AN66&lt;&gt;1)),ISNUMBER(AG66),AG66&lt;=T66),AS66,0)&gt;0,IF(AND(NOT(AND(AO66=1,AN66&lt;&gt;1)),ISNUMBER(AG66),AG66&lt;=T66),AS66,0)=MAX(IF(AND(NOT(AND(AO66=1,AN66&lt;&gt;1)),ISNUMBER(AG66),AG66&lt;=T66),AS66,0),IF(AND(NOT(AND(AO66=1,AN66&lt;&gt;1)),ISNUMBER(AH66),AH66&lt;=T66),AT66,0),IF(AND(NOT(AND(AO66=1,AN66&lt;&gt;1)),ISNUMBER(AI66),AI66&lt;=T66),AU66,0),IF(AND(ISNUMBER(AJ66),AJ66&lt;=T66),AV66,0))),"SW",IF(AND(IF(AND(NOT(AND(AO66=1,AN66&lt;&gt;1)),ISNUMBER(AH66),AH66&lt;=T66),AT66,0)&gt;0,IF(AND(NOT(AND(AO66=1,AN66&lt;&gt;1)),ISNUMBER(AH66),AH66&lt;=T66),AT66,0)=MAX(IF(AND(NOT(AND(AO66=1,AN66&lt;&gt;1)),ISNUMBER(AG66),AG66&lt;=T66),AS66,0),IF(AND(NOT(AND(AO66=1,AN66&lt;&gt;1)),ISNUMBER(AH66),AH66&lt;=T66),AT66,0),IF(AND(NOT(AND(AO66=1,AN66&lt;&gt;1)),ISNUMBER(AI66),AI66&lt;=T66),AU66,0),IF(AND(ISNUMBER(AJ66),AJ66&lt;=T66),AV66,0))),"AB",IF(AND(IF(AND(NOT(AND(AO66=1,AN66&lt;&gt;1)),ISNUMBER(AI66),AI66&lt;=T66),AU66,0)&gt;0,IF(AND(NOT(AND(AO66=1,AN66&lt;&gt;1)),ISNUMBER(AI66),AI66&lt;=T66),AU66,0)=MAX(IF(AND(NOT(AND(AO66=1,AN66&lt;&gt;1)),ISNUMBER(AG66),AG66&lt;=T66),AS66,0),IF(AND(NOT(AND(AO66=1,AN66&lt;&gt;1)),ISNUMBER(AH66),AH66&lt;=T66),AT66,0),IF(AND(NOT(AND(AO66=1,AN66&lt;&gt;1)),ISNUMBER(AI66),AI66&lt;=T66),AU66,0),IF(AND(ISNUMBER(AJ66),AJ66&lt;=T66),AV66,0))),"SC","Mag")))))))</f>
        <v/>
      </c>
    </row>
    <row r="67" customFormat="false" ht="15" hidden="false" customHeight="false" outlineLevel="0" collapsed="false">
      <c r="A67" s="26" t="n">
        <v>62</v>
      </c>
      <c r="B67" s="27" t="n">
        <f aca="false">A67*10/60</f>
        <v>10.3333333333333</v>
      </c>
      <c r="C67" s="21" t="n">
        <f aca="false">X66</f>
        <v>18.6730249835055</v>
      </c>
      <c r="D67" s="27" t="n">
        <f aca="false">D66+W66</f>
        <v>0</v>
      </c>
      <c r="E67" s="26" t="n">
        <f aca="false">E66+IF(U66="SW",1,0)</f>
        <v>12</v>
      </c>
      <c r="F67" s="26" t="n">
        <f aca="false">F66+IF(U66="AB",1,0)</f>
        <v>10</v>
      </c>
      <c r="G67" s="26" t="n">
        <f aca="false">G66+IF(U66="SC",1,0)</f>
        <v>7</v>
      </c>
      <c r="H67" s="26" t="n">
        <f aca="false">H66+IF(U66="Mag",1,0)</f>
        <v>5</v>
      </c>
      <c r="I67" s="26" t="n">
        <f aca="false">MAX(I66,IF(U66="OR",1,0))</f>
        <v>1</v>
      </c>
      <c r="J67" s="26" t="n">
        <f aca="false">MAX(J66,IF(U66="HP",1,0))</f>
        <v>1</v>
      </c>
      <c r="K67" s="26" t="n">
        <f aca="false">MAX(K66,IF(U66="FP",1,0))</f>
        <v>1</v>
      </c>
      <c r="L67" s="26" t="n">
        <f aca="false">MAX(L66,IF(U66="transition",1,0))</f>
        <v>1</v>
      </c>
      <c r="M67" s="28" t="n">
        <f aca="false">(Parameters!$B$9+(IF(E67=0,0,(Upgrades!$J$6+E67*Upgrades!$K$6)*POWER(Upgrades!$L$6,E67)))*(IF(Upgrades!$T$7="Solar Wind",POWER(Upgrades!$U$7,F67),1)*IF(Upgrades!$T$8="Solar Wind",POWER(Upgrades!$U$8,G67),1)*IF(Upgrades!$T$9="Solar Wind",POWER(Upgrades!$U$9,H67),1)*IF(Upgrades!$T$10="Solar Wind",POWER(Upgrades!$U$10,I67),1)*IF(Upgrades!$T$11="Solar Wind",POWER(Upgrades!$U$11,J67),1)*IF(Upgrades!$T$12="Solar Wind",POWER(Upgrades!$U$12,K67),1))+(IF(F67=0,0,(Upgrades!$J$7+F67*Upgrades!$K$7)*POWER(Upgrades!$L$7,F67)))*(IF(Upgrades!$T$6="Asteroid Belt",POWER(Upgrades!$U$6,E67),1)*IF(Upgrades!$T$8="Asteroid Belt",POWER(Upgrades!$U$8,G67),1)*IF(Upgrades!$T$9="Asteroid Belt",POWER(Upgrades!$U$9,H67),1)*IF(Upgrades!$T$10="Asteroid Belt",POWER(Upgrades!$U$10,I67),1)*IF(Upgrades!$T$11="Asteroid Belt",POWER(Upgrades!$U$11,J67),1)*IF(Upgrades!$T$12="Asteroid Belt",POWER(Upgrades!$U$12,K67),1))+(IF(G67=0,0,(Upgrades!$J$8+G67*Upgrades!$K$8)*POWER(Upgrades!$L$8,G67)))*(IF(Upgrades!$T$6="Stellar Coupling",POWER(Upgrades!$U$6,E67),1)*IF(Upgrades!$T$7="Stellar Coupling",POWER(Upgrades!$U$7,F67),1)*IF(Upgrades!$T$9="Stellar Coupling",POWER(Upgrades!$U$9,H67),1)*IF(Upgrades!$T$10="Stellar Coupling",POWER(Upgrades!$U$10,I67),1)*IF(Upgrades!$T$11="Stellar Coupling",POWER(Upgrades!$U$11,J67),1)*IF(Upgrades!$T$12="Stellar Coupling",POWER(Upgrades!$U$12,K67),1))+(IF(H67=0,0,(Upgrades!$J$9+H67*Upgrades!$K$9)*POWER(Upgrades!$L$9,H67)))*(IF(Upgrades!$T$6="Magnetosphere",POWER(Upgrades!$U$6,E67),1)*IF(Upgrades!$T$7="Magnetosphere",POWER(Upgrades!$U$7,F67),1)*IF(Upgrades!$T$8="Magnetosphere",POWER(Upgrades!$U$8,G67),1)*IF(Upgrades!$T$10="Magnetosphere",POWER(Upgrades!$U$10,I67),1)*IF(Upgrades!$T$11="Magnetosphere",POWER(Upgrades!$U$11,J67),1)*IF(Upgrades!$T$12="Magnetosphere",POWER(Upgrades!$U$12,K67),1))+(IF(I67=0,0,(Upgrades!$J$10+I67*Upgrades!$K$10)*POWER(Upgrades!$L$10,I67)))*(IF(Upgrades!$T$6="Orbital Resonance",POWER(Upgrades!$U$6,E67),1)*IF(Upgrades!$T$7="Orbital Resonance",POWER(Upgrades!$U$7,F67),1)*IF(Upgrades!$T$8="Orbital Resonance",POWER(Upgrades!$U$8,G67),1)*IF(Upgrades!$T$9="Orbital Resonance",POWER(Upgrades!$U$9,H67),1)*IF(Upgrades!$T$11="Orbital Resonance",POWER(Upgrades!$U$11,J67),1)*IF(Upgrades!$T$12="Orbital Resonance",POWER(Upgrades!$U$12,K67),1))+(IF(J67=0,0,(Upgrades!$J$11+J67*Upgrades!$K$11)*POWER(Upgrades!$L$11,J67)))*(IF(Upgrades!$T$6="Heliopause",POWER(Upgrades!$U$6,E67),1)*IF(Upgrades!$T$7="Heliopause",POWER(Upgrades!$U$7,F67),1)*IF(Upgrades!$T$8="Heliopause",POWER(Upgrades!$U$8,G67),1)*IF(Upgrades!$T$9="Heliopause",POWER(Upgrades!$U$9,H67),1)*IF(Upgrades!$T$10="Heliopause",POWER(Upgrades!$U$10,I67),1)*IF(Upgrades!$T$12="Heliopause",POWER(Upgrades!$U$12,K67),1))+(IF(K67=0,0,(Upgrades!$J$12+K67*Upgrades!$K$12)*POWER(Upgrades!$L$12,K67)))*(IF(Upgrades!$T$6="First Photons",POWER(Upgrades!$U$6,E67),1)*IF(Upgrades!$T$7="First Photons",POWER(Upgrades!$U$7,F67),1)*IF(Upgrades!$T$8="First Photons",POWER(Upgrades!$U$8,G67),1)*IF(Upgrades!$T$9="First Photons",POWER(Upgrades!$U$9,H67),1)*IF(Upgrades!$T$10="First Photons",POWER(Upgrades!$U$10,I67),1)*IF(Upgrades!$T$11="First Photons",POWER(Upgrades!$U$11,J67),1)))*POWER(Upgrades!$Q$6,E67)*POWER(Upgrades!$Q$7,F67)*POWER(Upgrades!$Q$8,G67)*POWER(Upgrades!$Q$9,H67)*POWER(Upgrades!$Q$10,I67)*POWER(Upgrades!$Q$11,J67)*POWER(Upgrades!$Q$12,K67)</f>
        <v>5.61</v>
      </c>
      <c r="N67" s="28" t="n">
        <f aca="false">((IF(E67=0,0,(Upgrades!$G$6+E67*Upgrades!$H$6)*POWER(Upgrades!$I$6,E67)))*(IF(Upgrades!$T$7="Solar Wind",POWER(Upgrades!$U$7,F67),1)*IF(Upgrades!$T$8="Solar Wind",POWER(Upgrades!$U$8,G67),1)*IF(Upgrades!$T$9="Solar Wind",POWER(Upgrades!$U$9,H67),1)*IF(Upgrades!$T$10="Solar Wind",POWER(Upgrades!$U$10,I67),1)*IF(Upgrades!$T$11="Solar Wind",POWER(Upgrades!$U$11,J67),1)*IF(Upgrades!$T$12="Solar Wind",POWER(Upgrades!$U$12,K67),1))+(IF(F67=0,0,(Upgrades!$G$7+F67*Upgrades!$H$7)*POWER(Upgrades!$I$7,F67)))*(IF(Upgrades!$T$6="Asteroid Belt",POWER(Upgrades!$U$6,E67),1)*IF(Upgrades!$T$8="Asteroid Belt",POWER(Upgrades!$U$8,G67),1)*IF(Upgrades!$T$9="Asteroid Belt",POWER(Upgrades!$U$9,H67),1)*IF(Upgrades!$T$10="Asteroid Belt",POWER(Upgrades!$U$10,I67),1)*IF(Upgrades!$T$11="Asteroid Belt",POWER(Upgrades!$U$11,J67),1)*IF(Upgrades!$T$12="Asteroid Belt",POWER(Upgrades!$U$12,K67),1))+(IF(G67=0,0,(Upgrades!$G$8+G67*Upgrades!$H$8)*POWER(Upgrades!$I$8,G67)))*(IF(Upgrades!$T$6="Stellar Coupling",POWER(Upgrades!$U$6,E67),1)*IF(Upgrades!$T$7="Stellar Coupling",POWER(Upgrades!$U$7,F67),1)*IF(Upgrades!$T$9="Stellar Coupling",POWER(Upgrades!$U$9,H67),1)*IF(Upgrades!$T$10="Stellar Coupling",POWER(Upgrades!$U$10,I67),1)*IF(Upgrades!$T$11="Stellar Coupling",POWER(Upgrades!$U$11,J67),1)*IF(Upgrades!$T$12="Stellar Coupling",POWER(Upgrades!$U$12,K67),1))+(IF(H67=0,0,(Upgrades!$G$9+H67*Upgrades!$H$9)*POWER(Upgrades!$I$9,H67)))*(IF(Upgrades!$T$6="Magnetosphere",POWER(Upgrades!$U$6,E67),1)*IF(Upgrades!$T$7="Magnetosphere",POWER(Upgrades!$U$7,F67),1)*IF(Upgrades!$T$8="Magnetosphere",POWER(Upgrades!$U$8,G67),1)*IF(Upgrades!$T$10="Magnetosphere",POWER(Upgrades!$U$10,I67),1)*IF(Upgrades!$T$11="Magnetosphere",POWER(Upgrades!$U$11,J67),1)*IF(Upgrades!$T$12="Magnetosphere",POWER(Upgrades!$U$12,K67),1))+(IF(I67=0,0,(Upgrades!$G$10+I67*Upgrades!$H$10)*POWER(Upgrades!$I$10,I67)))*(IF(Upgrades!$T$6="Orbital Resonance",POWER(Upgrades!$U$6,E67),1)*IF(Upgrades!$T$7="Orbital Resonance",POWER(Upgrades!$U$7,F67),1)*IF(Upgrades!$T$8="Orbital Resonance",POWER(Upgrades!$U$8,G67),1)*IF(Upgrades!$T$9="Orbital Resonance",POWER(Upgrades!$U$9,H67),1)*IF(Upgrades!$T$11="Orbital Resonance",POWER(Upgrades!$U$11,J67),1)*IF(Upgrades!$T$12="Orbital Resonance",POWER(Upgrades!$U$12,K67),1))+(IF(J67=0,0,(Upgrades!$G$11+J67*Upgrades!$H$11)*POWER(Upgrades!$I$11,J67)))*(IF(Upgrades!$T$6="Heliopause",POWER(Upgrades!$U$6,E67),1)*IF(Upgrades!$T$7="Heliopause",POWER(Upgrades!$U$7,F67),1)*IF(Upgrades!$T$8="Heliopause",POWER(Upgrades!$U$8,G67),1)*IF(Upgrades!$T$9="Heliopause",POWER(Upgrades!$U$9,H67),1)*IF(Upgrades!$T$10="Heliopause",POWER(Upgrades!$U$10,I67),1)*IF(Upgrades!$T$12="Heliopause",POWER(Upgrades!$U$12,K67),1))+(IF(K67=0,0,(Upgrades!$G$12+K67*Upgrades!$H$12)*POWER(Upgrades!$I$12,K67)))*(IF(Upgrades!$T$6="First Photons",POWER(Upgrades!$U$6,E67),1)*IF(Upgrades!$T$7="First Photons",POWER(Upgrades!$U$7,F67),1)*IF(Upgrades!$T$8="First Photons",POWER(Upgrades!$U$8,G67),1)*IF(Upgrades!$T$9="First Photons",POWER(Upgrades!$U$9,H67),1)*IF(Upgrades!$T$10="First Photons",POWER(Upgrades!$U$10,I67),1)*IF(Upgrades!$T$11="First Photons",POWER(Upgrades!$U$11,J67),1)))*POWER(Upgrades!$P$6,E67)*POWER(Upgrades!$P$7,F67)*POWER(Upgrades!$P$8,G67)*POWER(Upgrades!$P$9,H67)*POWER(Upgrades!$P$10,I67)*POWER(Upgrades!$P$11,J67)*POWER(Upgrades!$P$12,K67)</f>
        <v>11.2</v>
      </c>
      <c r="O67" s="28" t="n">
        <f aca="false">((IF(E67=0,0,(Upgrades!$M$6+E67*Upgrades!$N$6)*POWER(Upgrades!$O$6,E67)))*(IF(Upgrades!$T$7="Solar Wind",POWER(Upgrades!$U$7,F67),1)*IF(Upgrades!$T$8="Solar Wind",POWER(Upgrades!$U$8,G67),1)*IF(Upgrades!$T$9="Solar Wind",POWER(Upgrades!$U$9,H67),1)*IF(Upgrades!$T$10="Solar Wind",POWER(Upgrades!$U$10,I67),1)*IF(Upgrades!$T$11="Solar Wind",POWER(Upgrades!$U$11,J67),1)*IF(Upgrades!$T$12="Solar Wind",POWER(Upgrades!$U$12,K67),1))+(IF(F67=0,0,(Upgrades!$M$7+F67*Upgrades!$N$7)*POWER(Upgrades!$O$7,F67)))*(IF(Upgrades!$T$6="Asteroid Belt",POWER(Upgrades!$U$6,E67),1)*IF(Upgrades!$T$8="Asteroid Belt",POWER(Upgrades!$U$8,G67),1)*IF(Upgrades!$T$9="Asteroid Belt",POWER(Upgrades!$U$9,H67),1)*IF(Upgrades!$T$10="Asteroid Belt",POWER(Upgrades!$U$10,I67),1)*IF(Upgrades!$T$11="Asteroid Belt",POWER(Upgrades!$U$11,J67),1)*IF(Upgrades!$T$12="Asteroid Belt",POWER(Upgrades!$U$12,K67),1))+(IF(G67=0,0,(Upgrades!$M$8+G67*Upgrades!$N$8)*POWER(Upgrades!$O$8,G67)))*(IF(Upgrades!$T$6="Stellar Coupling",POWER(Upgrades!$U$6,E67),1)*IF(Upgrades!$T$7="Stellar Coupling",POWER(Upgrades!$U$7,F67),1)*IF(Upgrades!$T$9="Stellar Coupling",POWER(Upgrades!$U$9,H67),1)*IF(Upgrades!$T$10="Stellar Coupling",POWER(Upgrades!$U$10,I67),1)*IF(Upgrades!$T$11="Stellar Coupling",POWER(Upgrades!$U$11,J67),1)*IF(Upgrades!$T$12="Stellar Coupling",POWER(Upgrades!$U$12,K67),1))+(IF(H67=0,0,(Upgrades!$M$9+H67*Upgrades!$N$9)*POWER(Upgrades!$O$9,H67)))*(IF(Upgrades!$T$6="Magnetosphere",POWER(Upgrades!$U$6,E67),1)*IF(Upgrades!$T$7="Magnetosphere",POWER(Upgrades!$U$7,F67),1)*IF(Upgrades!$T$8="Magnetosphere",POWER(Upgrades!$U$8,G67),1)*IF(Upgrades!$T$10="Magnetosphere",POWER(Upgrades!$U$10,I67),1)*IF(Upgrades!$T$11="Magnetosphere",POWER(Upgrades!$U$11,J67),1)*IF(Upgrades!$T$12="Magnetosphere",POWER(Upgrades!$U$12,K67),1))+(IF(I67=0,0,(Upgrades!$M$10+I67*Upgrades!$N$10)*POWER(Upgrades!$O$10,I67)))*(IF(Upgrades!$T$6="Orbital Resonance",POWER(Upgrades!$U$6,E67),1)*IF(Upgrades!$T$7="Orbital Resonance",POWER(Upgrades!$U$7,F67),1)*IF(Upgrades!$T$8="Orbital Resonance",POWER(Upgrades!$U$8,G67),1)*IF(Upgrades!$T$9="Orbital Resonance",POWER(Upgrades!$U$9,H67),1)*IF(Upgrades!$T$11="Orbital Resonance",POWER(Upgrades!$U$11,J67),1)*IF(Upgrades!$T$12="Orbital Resonance",POWER(Upgrades!$U$12,K67),1))+(IF(J67=0,0,(Upgrades!$M$11+J67*Upgrades!$N$11)*POWER(Upgrades!$O$11,J67)))*(IF(Upgrades!$T$6="Heliopause",POWER(Upgrades!$U$6,E67),1)*IF(Upgrades!$T$7="Heliopause",POWER(Upgrades!$U$7,F67),1)*IF(Upgrades!$T$8="Heliopause",POWER(Upgrades!$U$8,G67),1)*IF(Upgrades!$T$9="Heliopause",POWER(Upgrades!$U$9,H67),1)*IF(Upgrades!$T$10="Heliopause",POWER(Upgrades!$U$10,I67),1)*IF(Upgrades!$T$12="Heliopause",POWER(Upgrades!$U$12,K67),1))+(IF(K67=0,0,(Upgrades!$M$12+K67*Upgrades!$N$12)*POWER(Upgrades!$O$12,K67)))*(IF(Upgrades!$T$6="First Photons",POWER(Upgrades!$U$6,E67),1)*IF(Upgrades!$T$7="First Photons",POWER(Upgrades!$U$7,F67),1)*IF(Upgrades!$T$8="First Photons",POWER(Upgrades!$U$8,G67),1)*IF(Upgrades!$T$9="First Photons",POWER(Upgrades!$U$9,H67),1)*IF(Upgrades!$T$10="First Photons",POWER(Upgrades!$U$10,I67),1)*IF(Upgrades!$T$11="First Photons",POWER(Upgrades!$U$11,J67),1)))*POWER(Upgrades!$R$6,E67)*POWER(Upgrades!$R$7,F67)*POWER(Upgrades!$R$8,G67)*POWER(Upgrades!$R$9,H67)*POWER(Upgrades!$R$10,I67)*POWER(Upgrades!$R$11,J67)*POWER(Upgrades!$R$12,K67)</f>
        <v>0</v>
      </c>
      <c r="P67" s="27" t="n">
        <f aca="false">IF(L67=1,0,M67*Parameters!$B$10/60*Parameters!$B$11*10)</f>
        <v>0</v>
      </c>
      <c r="Q67" s="27" t="n">
        <f aca="false">IF(L67=1,0,O67*M67*10)</f>
        <v>0</v>
      </c>
      <c r="R67" s="27" t="n">
        <f aca="false">IF(L67=1,0,N67*10)</f>
        <v>0</v>
      </c>
      <c r="S67" s="27" t="n">
        <f aca="false">P67+Q67+R67</f>
        <v>0</v>
      </c>
      <c r="T67" s="21" t="n">
        <f aca="false">C67+S67</f>
        <v>18.6730249835055</v>
      </c>
      <c r="U67" s="34" t="str">
        <f aca="false">AX67</f>
        <v/>
      </c>
      <c r="V67" s="21" t="n">
        <f aca="false">IF(U67="",0,IF(U67="transition",0,IF(U67="SW",AG67,IF(U67="AB",AH67,IF(U67="SC",AI67,IF(U67="Mag",AJ67,IF(U67="OR",AK67,IF(U67="HP",AL67,IF(U67="FP",AM67,0)))))))))</f>
        <v>0</v>
      </c>
      <c r="W67" s="27" t="n">
        <f aca="false">IF(U67="OR",Upgrades!$F$10,IF(U67="HP",Upgrades!$F$11,IF(U67="transition",-Parameters!$B$18,0)))</f>
        <v>0</v>
      </c>
      <c r="X67" s="21" t="n">
        <f aca="false">T67-V67</f>
        <v>18.6730249835055</v>
      </c>
      <c r="Y67" s="30" t="n">
        <f aca="false">M67*Parameters!$B$10/60*Parameters!$B$11+O67*M67+N67</f>
        <v>20.55</v>
      </c>
      <c r="Z67" s="35" t="str">
        <f aca="false">IF(U67="transition","→ Tier 2 (Stellar Neighborhood)",IF(U67="FP","First Photons — light begins, system quickens",IF(U67="HP","Heliopause acquired",IF(U67="OR","Orbital Resonance — passive multiplier active",IF(AND(AO67=1,L67=0,AN67&lt;&gt;1),"Cohesion ready (waiting on completionist upgrades)","")))))</f>
        <v/>
      </c>
      <c r="AA67" s="27" t="n">
        <f aca="false">(IF(E67=0,0,(Upgrades!$G$6+E67*Upgrades!$H$6)*POWER(Upgrades!$I$6,E67)))*(IF(Upgrades!$T$7="Solar Wind",POWER(Upgrades!$U$7,F67),1)*IF(Upgrades!$T$8="Solar Wind",POWER(Upgrades!$U$8,G67),1)*IF(Upgrades!$T$9="Solar Wind",POWER(Upgrades!$U$9,H67),1)*IF(Upgrades!$T$10="Solar Wind",POWER(Upgrades!$U$10,I67),1)*IF(Upgrades!$T$11="Solar Wind",POWER(Upgrades!$U$11,J67),1)*IF(Upgrades!$T$12="Solar Wind",POWER(Upgrades!$U$12,K67),1))*POWER(Upgrades!$P$6,E67)*POWER(Upgrades!$P$7,F67)*POWER(Upgrades!$P$8,G67)*POWER(Upgrades!$P$9,H67)*POWER(Upgrades!$P$10,I67)*POWER(Upgrades!$P$11,J67)*POWER(Upgrades!$P$12,K67)*60</f>
        <v>72</v>
      </c>
      <c r="AB67" s="27" t="n">
        <f aca="false">(IF(F67=0,0,(Upgrades!$G$7+F67*Upgrades!$H$7)*POWER(Upgrades!$I$7,F67)))*(IF(Upgrades!$T$6="Asteroid Belt",POWER(Upgrades!$U$6,E67),1)*IF(Upgrades!$T$8="Asteroid Belt",POWER(Upgrades!$U$8,G67),1)*IF(Upgrades!$T$9="Asteroid Belt",POWER(Upgrades!$U$9,H67),1)*IF(Upgrades!$T$10="Asteroid Belt",POWER(Upgrades!$U$10,I67),1)*IF(Upgrades!$T$11="Asteroid Belt",POWER(Upgrades!$U$11,J67),1)*IF(Upgrades!$T$12="Asteroid Belt",POWER(Upgrades!$U$12,K67),1))*POWER(Upgrades!$P$6,E67)*POWER(Upgrades!$P$7,F67)*POWER(Upgrades!$P$8,G67)*POWER(Upgrades!$P$9,H67)*POWER(Upgrades!$P$10,I67)*POWER(Upgrades!$P$11,J67)*POWER(Upgrades!$P$12,K67)*60</f>
        <v>150</v>
      </c>
      <c r="AC67" s="27" t="n">
        <f aca="false">(IF(G67=0,0,(Upgrades!$J$8+G67*Upgrades!$K$8)*POWER(Upgrades!$L$8,G67)))*(IF(Upgrades!$T$6="Stellar Coupling",POWER(Upgrades!$U$6,E67),1)*IF(Upgrades!$T$7="Stellar Coupling",POWER(Upgrades!$U$7,F67),1)*IF(Upgrades!$T$9="Stellar Coupling",POWER(Upgrades!$U$9,H67),1)*IF(Upgrades!$T$10="Stellar Coupling",POWER(Upgrades!$U$10,I67),1)*IF(Upgrades!$T$11="Stellar Coupling",POWER(Upgrades!$U$11,J67),1)*IF(Upgrades!$T$12="Stellar Coupling",POWER(Upgrades!$U$12,K67),1))*POWER(Upgrades!$Q$6,E67)*POWER(Upgrades!$Q$7,F67)*POWER(Upgrades!$Q$8,G67)*POWER(Upgrades!$Q$9,H67)*POWER(Upgrades!$Q$10,I67)*POWER(Upgrades!$Q$11,J67)*POWER(Upgrades!$Q$12,K67)*Parameters!$B$10*Parameters!$B$11</f>
        <v>441</v>
      </c>
      <c r="AD67" s="27" t="n">
        <f aca="false">(IF(H67=0,0,(Upgrades!$G$9+H67*Upgrades!$H$9)*POWER(Upgrades!$I$9,H67)))*(IF(Upgrades!$T$6="Magnetosphere",POWER(Upgrades!$U$6,E67),1)*IF(Upgrades!$T$7="Magnetosphere",POWER(Upgrades!$U$7,F67),1)*IF(Upgrades!$T$8="Magnetosphere",POWER(Upgrades!$U$8,G67),1)*IF(Upgrades!$T$10="Magnetosphere",POWER(Upgrades!$U$10,I67),1)*IF(Upgrades!$T$11="Magnetosphere",POWER(Upgrades!$U$11,J67),1)*IF(Upgrades!$T$12="Magnetosphere",POWER(Upgrades!$U$12,K67),1))*POWER(Upgrades!$P$6,E67)*POWER(Upgrades!$P$7,F67)*POWER(Upgrades!$P$8,G67)*POWER(Upgrades!$P$9,H67)*POWER(Upgrades!$P$10,I67)*POWER(Upgrades!$P$11,J67)*POWER(Upgrades!$P$12,K67)*60</f>
        <v>375</v>
      </c>
      <c r="AE67" s="27" t="n">
        <f aca="false">(IF(K67=0,0,(Upgrades!$G$12+K67*Upgrades!$H$12)*POWER(Upgrades!$I$12,K67)))*(IF(Upgrades!$T$6="First Photons",POWER(Upgrades!$U$6,E67),1)*IF(Upgrades!$T$7="First Photons",POWER(Upgrades!$U$7,F67),1)*IF(Upgrades!$T$8="First Photons",POWER(Upgrades!$U$8,G67),1)*IF(Upgrades!$T$9="First Photons",POWER(Upgrades!$U$9,H67),1)*IF(Upgrades!$T$10="First Photons",POWER(Upgrades!$U$10,I67),1)*IF(Upgrades!$T$11="First Photons",POWER(Upgrades!$U$11,J67),1))*POWER(Upgrades!$P$6,E67)*POWER(Upgrades!$P$7,F67)*POWER(Upgrades!$P$8,G67)*POWER(Upgrades!$P$9,H67)*POWER(Upgrades!$P$10,I67)*POWER(Upgrades!$P$11,J67)*POWER(Upgrades!$P$12,K67)*60</f>
        <v>75</v>
      </c>
      <c r="AF67" s="27" t="n">
        <f aca="false">Parameters!$B$9*POWER(Upgrades!$Q$6,E67)*POWER(Upgrades!$Q$7,F67)*POWER(Upgrades!$Q$8,G67)*POWER(Upgrades!$Q$9,H67)*POWER(Upgrades!$Q$10,I67)*POWER(Upgrades!$Q$11,J67)*POWER(Upgrades!$Q$12,K67)*(Parameters!$B$10*Parameters!$B$11+O67*60)</f>
        <v>120</v>
      </c>
      <c r="AG67" s="21" t="n">
        <f aca="false">IF(E67&gt;=Upgrades!$E$6,"",Upgrades!$C$6*POWER(Upgrades!$D$6,E67))</f>
        <v>37.4517507383159</v>
      </c>
      <c r="AH67" s="21" t="n">
        <f aca="false">IF(F67&gt;=Upgrades!$E$7,"",Upgrades!$C$7*POWER(Upgrades!$D$7,F67))</f>
        <v>80.9111547141581</v>
      </c>
      <c r="AI67" s="21" t="n">
        <f aca="false">IF(G67&gt;=Upgrades!$E$8,"",Upgrades!$C$8*POWER(Upgrades!$D$8,G67))</f>
        <v>231.9097088</v>
      </c>
      <c r="AJ67" s="21" t="str">
        <f aca="false">IF(H67&gt;=Upgrades!$E$9,"",Upgrades!$C$9*POWER(Upgrades!$D$9,H67))</f>
        <v/>
      </c>
      <c r="AK67" s="21" t="str">
        <f aca="false">IF(I67&gt;=Upgrades!$E$10,"",Upgrades!$C$10*POWER(Upgrades!$D$10,I67))</f>
        <v/>
      </c>
      <c r="AL67" s="21" t="str">
        <f aca="false">IF(J67&gt;=Upgrades!$E$11,"",Upgrades!$C$11*POWER(Upgrades!$D$11,J67))</f>
        <v/>
      </c>
      <c r="AM67" s="21" t="str">
        <f aca="false">IF(K67&gt;=Upgrades!$E$12,"",Upgrades!$C$12*POWER(Upgrades!$D$12,K67))</f>
        <v/>
      </c>
      <c r="AN67" s="26" t="str">
        <f aca="false">IF(AND(D67&gt;=Parameters!$B$18,(H67&gt;=Upgrades!$E$9)*(K67&gt;=Upgrades!$E$12)=1,L67=0),1,"")</f>
        <v/>
      </c>
      <c r="AO67" s="26" t="str">
        <f aca="false">IF(AND(D67&gt;=Parameters!$B$18,L67=0),1,"")</f>
        <v/>
      </c>
      <c r="AP67" s="21" t="n">
        <f aca="false">MIN(IF(ISNUMBER(AK67),AK67,9000000000000000),IF(ISNUMBER(AL67),AL67,9000000000000000),IF(ISNUMBER(AM67),AM67,9000000000000000))</f>
        <v>9000000000000000</v>
      </c>
      <c r="AQ67" s="21" t="n">
        <f aca="false">MIN(IF(ISNUMBER(AG67),AG67,9000000000000000),IF(ISNUMBER(AH67),AH67,9000000000000000),IF(ISNUMBER(AI67),AI67,9000000000000000),IF(ISNUMBER(AJ67),AJ67,9000000000000000))</f>
        <v>37.4517507383159</v>
      </c>
      <c r="AR67" s="32" t="b">
        <f aca="false">IF(AW67&gt;Parameters!$B$21*(MAX(IF(AND(NOT(AND(AO67=1,AN67&lt;&gt;1)),ISNUMBER(AG67),AG67&lt;=T67),AS67,0),IF(AND(NOT(AND(AO67=1,AN67&lt;&gt;1)),ISNUMBER(AH67),AH67&lt;=T67),AT67,0),IF(AND(NOT(AND(AO67=1,AN67&lt;&gt;1)),ISNUMBER(AI67),AI67&lt;=T67),AU67,0),IF(AND(ISNUMBER(AJ67),AJ67&lt;=T67),AV67,0))),TRUE(),FALSE())</f>
        <v>1</v>
      </c>
      <c r="AS67" s="33" t="n">
        <f aca="false">IFERROR(Upgrades!$H$6*(POWER(Upgrades!$P$6,E67)*POWER(Upgrades!$P$7,F67)*POWER(Upgrades!$P$8,G67)*POWER(Upgrades!$P$9,H67)*POWER(Upgrades!$P$10,I67)*POWER(Upgrades!$P$11,J67)*POWER(Upgrades!$P$12,K67))*(IF(Upgrades!$T$7="Solar Wind",POWER(Upgrades!$U$7,F67),1)*IF(Upgrades!$T$8="Solar Wind",POWER(Upgrades!$U$8,G67),1)*IF(Upgrades!$T$9="Solar Wind",POWER(Upgrades!$U$9,H67),1)*IF(Upgrades!$T$10="Solar Wind",POWER(Upgrades!$U$10,I67),1)*IF(Upgrades!$T$11="Solar Wind",POWER(Upgrades!$U$11,J67),1)*IF(Upgrades!$T$12="Solar Wind",POWER(Upgrades!$U$12,K67),1))/AG67,0)</f>
        <v>0.0026701021455238</v>
      </c>
      <c r="AT67" s="33" t="n">
        <f aca="false">IFERROR(Upgrades!$H$7*(POWER(Upgrades!$P$6,E67)*POWER(Upgrades!$P$7,F67)*POWER(Upgrades!$P$8,G67)*POWER(Upgrades!$P$9,H67)*POWER(Upgrades!$P$10,I67)*POWER(Upgrades!$P$11,J67)*POWER(Upgrades!$P$12,K67))*(IF(Upgrades!$T$6="Asteroid Belt",POWER(Upgrades!$U$6,E67),1)*IF(Upgrades!$T$8="Asteroid Belt",POWER(Upgrades!$U$8,G67),1)*IF(Upgrades!$T$9="Asteroid Belt",POWER(Upgrades!$U$9,H67),1)*IF(Upgrades!$T$10="Asteroid Belt",POWER(Upgrades!$U$10,I67),1)*IF(Upgrades!$T$11="Asteroid Belt",POWER(Upgrades!$U$11,J67),1)*IF(Upgrades!$T$12="Asteroid Belt",POWER(Upgrades!$U$12,K67),1))/AH67,0)</f>
        <v>0.00308980882652332</v>
      </c>
      <c r="AU67" s="33" t="n">
        <f aca="false">IFERROR(Upgrades!$K$8*(POWER(Upgrades!$Q$6,E67)*POWER(Upgrades!$Q$7,F67)*POWER(Upgrades!$Q$8,G67)*POWER(Upgrades!$Q$9,H67)*POWER(Upgrades!$Q$10,I67)*POWER(Upgrades!$Q$11,J67)*POWER(Upgrades!$Q$12,K67))*(IF(Upgrades!$T$6="Stellar Coupling",POWER(Upgrades!$U$6,E67),1)*IF(Upgrades!$T$7="Stellar Coupling",POWER(Upgrades!$U$7,F67),1)*IF(Upgrades!$T$9="Stellar Coupling",POWER(Upgrades!$U$9,H67),1)*IF(Upgrades!$T$10="Stellar Coupling",POWER(Upgrades!$U$10,I67),1)*IF(Upgrades!$T$11="Stellar Coupling",POWER(Upgrades!$U$11,J67),1)*IF(Upgrades!$T$12="Stellar Coupling",POWER(Upgrades!$U$12,K67),1))*Parameters!$B$10*Parameters!$B$11/60/AI67,0)</f>
        <v>0.00452762415783776</v>
      </c>
      <c r="AV67" s="33" t="n">
        <f aca="false">IFERROR(Upgrades!$H$9*(POWER(Upgrades!$P$6,E67)*POWER(Upgrades!$P$7,F67)*POWER(Upgrades!$P$8,G67)*POWER(Upgrades!$P$9,H67)*POWER(Upgrades!$P$10,I67)*POWER(Upgrades!$P$11,J67)*POWER(Upgrades!$P$12,K67))*(IF(Upgrades!$T$6="Magnetosphere",POWER(Upgrades!$U$6,E67),1)*IF(Upgrades!$T$7="Magnetosphere",POWER(Upgrades!$U$7,F67),1)*IF(Upgrades!$T$8="Magnetosphere",POWER(Upgrades!$U$8,G67),1)*IF(Upgrades!$T$10="Magnetosphere",POWER(Upgrades!$U$10,I67),1)*IF(Upgrades!$T$11="Magnetosphere",POWER(Upgrades!$U$11,J67),1)*IF(Upgrades!$T$12="Magnetosphere",POWER(Upgrades!$U$12,K67),1))/AJ67,0)</f>
        <v>0</v>
      </c>
      <c r="AW67" s="33" t="n">
        <f aca="false">MAX(IF(I67&gt;0,0,IFERROR(0.25*N67/Upgrades!$C$10,0)),IF(J67&gt;0,0,IFERROR(0.5*((IF(G67=0,0,(Upgrades!$J$8+G67*Upgrades!$K$8)*POWER(Upgrades!$L$8,G67)))*(IF(Upgrades!$T$6="Stellar Coupling",POWER(Upgrades!$U$6,E67),1)*IF(Upgrades!$T$7="Stellar Coupling",POWER(Upgrades!$U$7,F67),1)*IF(Upgrades!$T$9="Stellar Coupling",POWER(Upgrades!$U$9,H67),1)*IF(Upgrades!$T$10="Stellar Coupling",POWER(Upgrades!$U$10,I67),1)*IF(Upgrades!$T$11="Stellar Coupling",POWER(Upgrades!$U$11,J67),1)*IF(Upgrades!$T$12="Stellar Coupling",POWER(Upgrades!$U$12,K67),1))*(POWER(Upgrades!$Q$6,E67)*POWER(Upgrades!$Q$7,F67)*POWER(Upgrades!$Q$8,G67)*POWER(Upgrades!$Q$9,H67)*POWER(Upgrades!$Q$10,I67)*POWER(Upgrades!$Q$11,J67)*POWER(Upgrades!$Q$12,K67))*Parameters!$B$10*Parameters!$B$11/60)/Upgrades!$C$11,0)),IF(K67&gt;0,0,IFERROR((1*(POWER(Upgrades!$P$6,E67)*POWER(Upgrades!$P$7,F67)*POWER(Upgrades!$P$8,G67)*POWER(Upgrades!$P$9,H67)*POWER(Upgrades!$P$10,I67)*POWER(Upgrades!$P$11,J67)*POWER(Upgrades!$P$12,K67))+0.2*M67*Parameters!$B$10*Parameters!$B$11/60)/Upgrades!$C$12,0)),IF(AND(ISNUMBER(AG67),AG67&gt;T67),AS67,0),IF(AND(ISNUMBER(AH67),AH67&gt;T67),AT67,0),IF(AND(ISNUMBER(AI67),AI67&gt;T67),AU67,0),IF(AND(ISNUMBER(AJ67),AJ67&gt;T67),AV67,0))</f>
        <v>0.00452762415783776</v>
      </c>
      <c r="AX67" s="29" t="str">
        <f aca="false">IF(AN67=1,"transition",IF(MIN(IF(AND(I67=0,ISNUMBER(AK67),AK67&lt;=T67),AK67,9000000000000000),IF(AND(J67=0,ISNUMBER(AL67),AL67&lt;=T67),AL67,9000000000000000),IF(AND(K67=0,ISNUMBER(AM67),AM67&lt;=T67),AM67,9000000000000000))&lt;9000000000000000,IF(AND(AND(I67=0,ISNUMBER(AK67),AK67&lt;=T67),AK67=MIN(IF(AND(I67=0,ISNUMBER(AK67),AK67&lt;=T67),AK67,9000000000000000),IF(AND(J67=0,ISNUMBER(AL67),AL67&lt;=T67),AL67,9000000000000000),IF(AND(K67=0,ISNUMBER(AM67),AM67&lt;=T67),AM67,9000000000000000))),"OR",IF(AND(AND(J67=0,ISNUMBER(AL67),AL67&lt;=T67),AL67=MIN(IF(AND(I67=0,ISNUMBER(AK67),AK67&lt;=T67),AK67,9000000000000000),IF(AND(J67=0,ISNUMBER(AL67),AL67&lt;=T67),AL67,9000000000000000),IF(AND(K67=0,ISNUMBER(AM67),AM67&lt;=T67),AM67,9000000000000000))),"HP","FP")),IF(AR67=TRUE(),"",IF(MAX(IF(AND(NOT(AND(AO67=1,AN67&lt;&gt;1)),ISNUMBER(AG67),AG67&lt;=T67),AS67,0),IF(AND(NOT(AND(AO67=1,AN67&lt;&gt;1)),ISNUMBER(AH67),AH67&lt;=T67),AT67,0),IF(AND(NOT(AND(AO67=1,AN67&lt;&gt;1)),ISNUMBER(AI67),AI67&lt;=T67),AU67,0),IF(AND(ISNUMBER(AJ67),AJ67&lt;=T67),AV67,0))&lt;=0,"",IF(AND(IF(AND(NOT(AND(AO67=1,AN67&lt;&gt;1)),ISNUMBER(AG67),AG67&lt;=T67),AS67,0)&gt;0,IF(AND(NOT(AND(AO67=1,AN67&lt;&gt;1)),ISNUMBER(AG67),AG67&lt;=T67),AS67,0)=MAX(IF(AND(NOT(AND(AO67=1,AN67&lt;&gt;1)),ISNUMBER(AG67),AG67&lt;=T67),AS67,0),IF(AND(NOT(AND(AO67=1,AN67&lt;&gt;1)),ISNUMBER(AH67),AH67&lt;=T67),AT67,0),IF(AND(NOT(AND(AO67=1,AN67&lt;&gt;1)),ISNUMBER(AI67),AI67&lt;=T67),AU67,0),IF(AND(ISNUMBER(AJ67),AJ67&lt;=T67),AV67,0))),"SW",IF(AND(IF(AND(NOT(AND(AO67=1,AN67&lt;&gt;1)),ISNUMBER(AH67),AH67&lt;=T67),AT67,0)&gt;0,IF(AND(NOT(AND(AO67=1,AN67&lt;&gt;1)),ISNUMBER(AH67),AH67&lt;=T67),AT67,0)=MAX(IF(AND(NOT(AND(AO67=1,AN67&lt;&gt;1)),ISNUMBER(AG67),AG67&lt;=T67),AS67,0),IF(AND(NOT(AND(AO67=1,AN67&lt;&gt;1)),ISNUMBER(AH67),AH67&lt;=T67),AT67,0),IF(AND(NOT(AND(AO67=1,AN67&lt;&gt;1)),ISNUMBER(AI67),AI67&lt;=T67),AU67,0),IF(AND(ISNUMBER(AJ67),AJ67&lt;=T67),AV67,0))),"AB",IF(AND(IF(AND(NOT(AND(AO67=1,AN67&lt;&gt;1)),ISNUMBER(AI67),AI67&lt;=T67),AU67,0)&gt;0,IF(AND(NOT(AND(AO67=1,AN67&lt;&gt;1)),ISNUMBER(AI67),AI67&lt;=T67),AU67,0)=MAX(IF(AND(NOT(AND(AO67=1,AN67&lt;&gt;1)),ISNUMBER(AG67),AG67&lt;=T67),AS67,0),IF(AND(NOT(AND(AO67=1,AN67&lt;&gt;1)),ISNUMBER(AH67),AH67&lt;=T67),AT67,0),IF(AND(NOT(AND(AO67=1,AN67&lt;&gt;1)),ISNUMBER(AI67),AI67&lt;=T67),AU67,0),IF(AND(ISNUMBER(AJ67),AJ67&lt;=T67),AV67,0))),"SC","Mag")))))))</f>
        <v/>
      </c>
    </row>
    <row r="68" customFormat="false" ht="15" hidden="false" customHeight="false" outlineLevel="0" collapsed="false">
      <c r="A68" s="26" t="n">
        <v>63</v>
      </c>
      <c r="B68" s="27" t="n">
        <f aca="false">A68*10/60</f>
        <v>10.5</v>
      </c>
      <c r="C68" s="21" t="n">
        <f aca="false">X67</f>
        <v>18.6730249835055</v>
      </c>
      <c r="D68" s="27" t="n">
        <f aca="false">D67+W67</f>
        <v>0</v>
      </c>
      <c r="E68" s="26" t="n">
        <f aca="false">E67+IF(U67="SW",1,0)</f>
        <v>12</v>
      </c>
      <c r="F68" s="26" t="n">
        <f aca="false">F67+IF(U67="AB",1,0)</f>
        <v>10</v>
      </c>
      <c r="G68" s="26" t="n">
        <f aca="false">G67+IF(U67="SC",1,0)</f>
        <v>7</v>
      </c>
      <c r="H68" s="26" t="n">
        <f aca="false">H67+IF(U67="Mag",1,0)</f>
        <v>5</v>
      </c>
      <c r="I68" s="26" t="n">
        <f aca="false">MAX(I67,IF(U67="OR",1,0))</f>
        <v>1</v>
      </c>
      <c r="J68" s="26" t="n">
        <f aca="false">MAX(J67,IF(U67="HP",1,0))</f>
        <v>1</v>
      </c>
      <c r="K68" s="26" t="n">
        <f aca="false">MAX(K67,IF(U67="FP",1,0))</f>
        <v>1</v>
      </c>
      <c r="L68" s="26" t="n">
        <f aca="false">MAX(L67,IF(U67="transition",1,0))</f>
        <v>1</v>
      </c>
      <c r="M68" s="28" t="n">
        <f aca="false">(Parameters!$B$9+(IF(E68=0,0,(Upgrades!$J$6+E68*Upgrades!$K$6)*POWER(Upgrades!$L$6,E68)))*(IF(Upgrades!$T$7="Solar Wind",POWER(Upgrades!$U$7,F68),1)*IF(Upgrades!$T$8="Solar Wind",POWER(Upgrades!$U$8,G68),1)*IF(Upgrades!$T$9="Solar Wind",POWER(Upgrades!$U$9,H68),1)*IF(Upgrades!$T$10="Solar Wind",POWER(Upgrades!$U$10,I68),1)*IF(Upgrades!$T$11="Solar Wind",POWER(Upgrades!$U$11,J68),1)*IF(Upgrades!$T$12="Solar Wind",POWER(Upgrades!$U$12,K68),1))+(IF(F68=0,0,(Upgrades!$J$7+F68*Upgrades!$K$7)*POWER(Upgrades!$L$7,F68)))*(IF(Upgrades!$T$6="Asteroid Belt",POWER(Upgrades!$U$6,E68),1)*IF(Upgrades!$T$8="Asteroid Belt",POWER(Upgrades!$U$8,G68),1)*IF(Upgrades!$T$9="Asteroid Belt",POWER(Upgrades!$U$9,H68),1)*IF(Upgrades!$T$10="Asteroid Belt",POWER(Upgrades!$U$10,I68),1)*IF(Upgrades!$T$11="Asteroid Belt",POWER(Upgrades!$U$11,J68),1)*IF(Upgrades!$T$12="Asteroid Belt",POWER(Upgrades!$U$12,K68),1))+(IF(G68=0,0,(Upgrades!$J$8+G68*Upgrades!$K$8)*POWER(Upgrades!$L$8,G68)))*(IF(Upgrades!$T$6="Stellar Coupling",POWER(Upgrades!$U$6,E68),1)*IF(Upgrades!$T$7="Stellar Coupling",POWER(Upgrades!$U$7,F68),1)*IF(Upgrades!$T$9="Stellar Coupling",POWER(Upgrades!$U$9,H68),1)*IF(Upgrades!$T$10="Stellar Coupling",POWER(Upgrades!$U$10,I68),1)*IF(Upgrades!$T$11="Stellar Coupling",POWER(Upgrades!$U$11,J68),1)*IF(Upgrades!$T$12="Stellar Coupling",POWER(Upgrades!$U$12,K68),1))+(IF(H68=0,0,(Upgrades!$J$9+H68*Upgrades!$K$9)*POWER(Upgrades!$L$9,H68)))*(IF(Upgrades!$T$6="Magnetosphere",POWER(Upgrades!$U$6,E68),1)*IF(Upgrades!$T$7="Magnetosphere",POWER(Upgrades!$U$7,F68),1)*IF(Upgrades!$T$8="Magnetosphere",POWER(Upgrades!$U$8,G68),1)*IF(Upgrades!$T$10="Magnetosphere",POWER(Upgrades!$U$10,I68),1)*IF(Upgrades!$T$11="Magnetosphere",POWER(Upgrades!$U$11,J68),1)*IF(Upgrades!$T$12="Magnetosphere",POWER(Upgrades!$U$12,K68),1))+(IF(I68=0,0,(Upgrades!$J$10+I68*Upgrades!$K$10)*POWER(Upgrades!$L$10,I68)))*(IF(Upgrades!$T$6="Orbital Resonance",POWER(Upgrades!$U$6,E68),1)*IF(Upgrades!$T$7="Orbital Resonance",POWER(Upgrades!$U$7,F68),1)*IF(Upgrades!$T$8="Orbital Resonance",POWER(Upgrades!$U$8,G68),1)*IF(Upgrades!$T$9="Orbital Resonance",POWER(Upgrades!$U$9,H68),1)*IF(Upgrades!$T$11="Orbital Resonance",POWER(Upgrades!$U$11,J68),1)*IF(Upgrades!$T$12="Orbital Resonance",POWER(Upgrades!$U$12,K68),1))+(IF(J68=0,0,(Upgrades!$J$11+J68*Upgrades!$K$11)*POWER(Upgrades!$L$11,J68)))*(IF(Upgrades!$T$6="Heliopause",POWER(Upgrades!$U$6,E68),1)*IF(Upgrades!$T$7="Heliopause",POWER(Upgrades!$U$7,F68),1)*IF(Upgrades!$T$8="Heliopause",POWER(Upgrades!$U$8,G68),1)*IF(Upgrades!$T$9="Heliopause",POWER(Upgrades!$U$9,H68),1)*IF(Upgrades!$T$10="Heliopause",POWER(Upgrades!$U$10,I68),1)*IF(Upgrades!$T$12="Heliopause",POWER(Upgrades!$U$12,K68),1))+(IF(K68=0,0,(Upgrades!$J$12+K68*Upgrades!$K$12)*POWER(Upgrades!$L$12,K68)))*(IF(Upgrades!$T$6="First Photons",POWER(Upgrades!$U$6,E68),1)*IF(Upgrades!$T$7="First Photons",POWER(Upgrades!$U$7,F68),1)*IF(Upgrades!$T$8="First Photons",POWER(Upgrades!$U$8,G68),1)*IF(Upgrades!$T$9="First Photons",POWER(Upgrades!$U$9,H68),1)*IF(Upgrades!$T$10="First Photons",POWER(Upgrades!$U$10,I68),1)*IF(Upgrades!$T$11="First Photons",POWER(Upgrades!$U$11,J68),1)))*POWER(Upgrades!$Q$6,E68)*POWER(Upgrades!$Q$7,F68)*POWER(Upgrades!$Q$8,G68)*POWER(Upgrades!$Q$9,H68)*POWER(Upgrades!$Q$10,I68)*POWER(Upgrades!$Q$11,J68)*POWER(Upgrades!$Q$12,K68)</f>
        <v>5.61</v>
      </c>
      <c r="N68" s="28" t="n">
        <f aca="false">((IF(E68=0,0,(Upgrades!$G$6+E68*Upgrades!$H$6)*POWER(Upgrades!$I$6,E68)))*(IF(Upgrades!$T$7="Solar Wind",POWER(Upgrades!$U$7,F68),1)*IF(Upgrades!$T$8="Solar Wind",POWER(Upgrades!$U$8,G68),1)*IF(Upgrades!$T$9="Solar Wind",POWER(Upgrades!$U$9,H68),1)*IF(Upgrades!$T$10="Solar Wind",POWER(Upgrades!$U$10,I68),1)*IF(Upgrades!$T$11="Solar Wind",POWER(Upgrades!$U$11,J68),1)*IF(Upgrades!$T$12="Solar Wind",POWER(Upgrades!$U$12,K68),1))+(IF(F68=0,0,(Upgrades!$G$7+F68*Upgrades!$H$7)*POWER(Upgrades!$I$7,F68)))*(IF(Upgrades!$T$6="Asteroid Belt",POWER(Upgrades!$U$6,E68),1)*IF(Upgrades!$T$8="Asteroid Belt",POWER(Upgrades!$U$8,G68),1)*IF(Upgrades!$T$9="Asteroid Belt",POWER(Upgrades!$U$9,H68),1)*IF(Upgrades!$T$10="Asteroid Belt",POWER(Upgrades!$U$10,I68),1)*IF(Upgrades!$T$11="Asteroid Belt",POWER(Upgrades!$U$11,J68),1)*IF(Upgrades!$T$12="Asteroid Belt",POWER(Upgrades!$U$12,K68),1))+(IF(G68=0,0,(Upgrades!$G$8+G68*Upgrades!$H$8)*POWER(Upgrades!$I$8,G68)))*(IF(Upgrades!$T$6="Stellar Coupling",POWER(Upgrades!$U$6,E68),1)*IF(Upgrades!$T$7="Stellar Coupling",POWER(Upgrades!$U$7,F68),1)*IF(Upgrades!$T$9="Stellar Coupling",POWER(Upgrades!$U$9,H68),1)*IF(Upgrades!$T$10="Stellar Coupling",POWER(Upgrades!$U$10,I68),1)*IF(Upgrades!$T$11="Stellar Coupling",POWER(Upgrades!$U$11,J68),1)*IF(Upgrades!$T$12="Stellar Coupling",POWER(Upgrades!$U$12,K68),1))+(IF(H68=0,0,(Upgrades!$G$9+H68*Upgrades!$H$9)*POWER(Upgrades!$I$9,H68)))*(IF(Upgrades!$T$6="Magnetosphere",POWER(Upgrades!$U$6,E68),1)*IF(Upgrades!$T$7="Magnetosphere",POWER(Upgrades!$U$7,F68),1)*IF(Upgrades!$T$8="Magnetosphere",POWER(Upgrades!$U$8,G68),1)*IF(Upgrades!$T$10="Magnetosphere",POWER(Upgrades!$U$10,I68),1)*IF(Upgrades!$T$11="Magnetosphere",POWER(Upgrades!$U$11,J68),1)*IF(Upgrades!$T$12="Magnetosphere",POWER(Upgrades!$U$12,K68),1))+(IF(I68=0,0,(Upgrades!$G$10+I68*Upgrades!$H$10)*POWER(Upgrades!$I$10,I68)))*(IF(Upgrades!$T$6="Orbital Resonance",POWER(Upgrades!$U$6,E68),1)*IF(Upgrades!$T$7="Orbital Resonance",POWER(Upgrades!$U$7,F68),1)*IF(Upgrades!$T$8="Orbital Resonance",POWER(Upgrades!$U$8,G68),1)*IF(Upgrades!$T$9="Orbital Resonance",POWER(Upgrades!$U$9,H68),1)*IF(Upgrades!$T$11="Orbital Resonance",POWER(Upgrades!$U$11,J68),1)*IF(Upgrades!$T$12="Orbital Resonance",POWER(Upgrades!$U$12,K68),1))+(IF(J68=0,0,(Upgrades!$G$11+J68*Upgrades!$H$11)*POWER(Upgrades!$I$11,J68)))*(IF(Upgrades!$T$6="Heliopause",POWER(Upgrades!$U$6,E68),1)*IF(Upgrades!$T$7="Heliopause",POWER(Upgrades!$U$7,F68),1)*IF(Upgrades!$T$8="Heliopause",POWER(Upgrades!$U$8,G68),1)*IF(Upgrades!$T$9="Heliopause",POWER(Upgrades!$U$9,H68),1)*IF(Upgrades!$T$10="Heliopause",POWER(Upgrades!$U$10,I68),1)*IF(Upgrades!$T$12="Heliopause",POWER(Upgrades!$U$12,K68),1))+(IF(K68=0,0,(Upgrades!$G$12+K68*Upgrades!$H$12)*POWER(Upgrades!$I$12,K68)))*(IF(Upgrades!$T$6="First Photons",POWER(Upgrades!$U$6,E68),1)*IF(Upgrades!$T$7="First Photons",POWER(Upgrades!$U$7,F68),1)*IF(Upgrades!$T$8="First Photons",POWER(Upgrades!$U$8,G68),1)*IF(Upgrades!$T$9="First Photons",POWER(Upgrades!$U$9,H68),1)*IF(Upgrades!$T$10="First Photons",POWER(Upgrades!$U$10,I68),1)*IF(Upgrades!$T$11="First Photons",POWER(Upgrades!$U$11,J68),1)))*POWER(Upgrades!$P$6,E68)*POWER(Upgrades!$P$7,F68)*POWER(Upgrades!$P$8,G68)*POWER(Upgrades!$P$9,H68)*POWER(Upgrades!$P$10,I68)*POWER(Upgrades!$P$11,J68)*POWER(Upgrades!$P$12,K68)</f>
        <v>11.2</v>
      </c>
      <c r="O68" s="28" t="n">
        <f aca="false">((IF(E68=0,0,(Upgrades!$M$6+E68*Upgrades!$N$6)*POWER(Upgrades!$O$6,E68)))*(IF(Upgrades!$T$7="Solar Wind",POWER(Upgrades!$U$7,F68),1)*IF(Upgrades!$T$8="Solar Wind",POWER(Upgrades!$U$8,G68),1)*IF(Upgrades!$T$9="Solar Wind",POWER(Upgrades!$U$9,H68),1)*IF(Upgrades!$T$10="Solar Wind",POWER(Upgrades!$U$10,I68),1)*IF(Upgrades!$T$11="Solar Wind",POWER(Upgrades!$U$11,J68),1)*IF(Upgrades!$T$12="Solar Wind",POWER(Upgrades!$U$12,K68),1))+(IF(F68=0,0,(Upgrades!$M$7+F68*Upgrades!$N$7)*POWER(Upgrades!$O$7,F68)))*(IF(Upgrades!$T$6="Asteroid Belt",POWER(Upgrades!$U$6,E68),1)*IF(Upgrades!$T$8="Asteroid Belt",POWER(Upgrades!$U$8,G68),1)*IF(Upgrades!$T$9="Asteroid Belt",POWER(Upgrades!$U$9,H68),1)*IF(Upgrades!$T$10="Asteroid Belt",POWER(Upgrades!$U$10,I68),1)*IF(Upgrades!$T$11="Asteroid Belt",POWER(Upgrades!$U$11,J68),1)*IF(Upgrades!$T$12="Asteroid Belt",POWER(Upgrades!$U$12,K68),1))+(IF(G68=0,0,(Upgrades!$M$8+G68*Upgrades!$N$8)*POWER(Upgrades!$O$8,G68)))*(IF(Upgrades!$T$6="Stellar Coupling",POWER(Upgrades!$U$6,E68),1)*IF(Upgrades!$T$7="Stellar Coupling",POWER(Upgrades!$U$7,F68),1)*IF(Upgrades!$T$9="Stellar Coupling",POWER(Upgrades!$U$9,H68),1)*IF(Upgrades!$T$10="Stellar Coupling",POWER(Upgrades!$U$10,I68),1)*IF(Upgrades!$T$11="Stellar Coupling",POWER(Upgrades!$U$11,J68),1)*IF(Upgrades!$T$12="Stellar Coupling",POWER(Upgrades!$U$12,K68),1))+(IF(H68=0,0,(Upgrades!$M$9+H68*Upgrades!$N$9)*POWER(Upgrades!$O$9,H68)))*(IF(Upgrades!$T$6="Magnetosphere",POWER(Upgrades!$U$6,E68),1)*IF(Upgrades!$T$7="Magnetosphere",POWER(Upgrades!$U$7,F68),1)*IF(Upgrades!$T$8="Magnetosphere",POWER(Upgrades!$U$8,G68),1)*IF(Upgrades!$T$10="Magnetosphere",POWER(Upgrades!$U$10,I68),1)*IF(Upgrades!$T$11="Magnetosphere",POWER(Upgrades!$U$11,J68),1)*IF(Upgrades!$T$12="Magnetosphere",POWER(Upgrades!$U$12,K68),1))+(IF(I68=0,0,(Upgrades!$M$10+I68*Upgrades!$N$10)*POWER(Upgrades!$O$10,I68)))*(IF(Upgrades!$T$6="Orbital Resonance",POWER(Upgrades!$U$6,E68),1)*IF(Upgrades!$T$7="Orbital Resonance",POWER(Upgrades!$U$7,F68),1)*IF(Upgrades!$T$8="Orbital Resonance",POWER(Upgrades!$U$8,G68),1)*IF(Upgrades!$T$9="Orbital Resonance",POWER(Upgrades!$U$9,H68),1)*IF(Upgrades!$T$11="Orbital Resonance",POWER(Upgrades!$U$11,J68),1)*IF(Upgrades!$T$12="Orbital Resonance",POWER(Upgrades!$U$12,K68),1))+(IF(J68=0,0,(Upgrades!$M$11+J68*Upgrades!$N$11)*POWER(Upgrades!$O$11,J68)))*(IF(Upgrades!$T$6="Heliopause",POWER(Upgrades!$U$6,E68),1)*IF(Upgrades!$T$7="Heliopause",POWER(Upgrades!$U$7,F68),1)*IF(Upgrades!$T$8="Heliopause",POWER(Upgrades!$U$8,G68),1)*IF(Upgrades!$T$9="Heliopause",POWER(Upgrades!$U$9,H68),1)*IF(Upgrades!$T$10="Heliopause",POWER(Upgrades!$U$10,I68),1)*IF(Upgrades!$T$12="Heliopause",POWER(Upgrades!$U$12,K68),1))+(IF(K68=0,0,(Upgrades!$M$12+K68*Upgrades!$N$12)*POWER(Upgrades!$O$12,K68)))*(IF(Upgrades!$T$6="First Photons",POWER(Upgrades!$U$6,E68),1)*IF(Upgrades!$T$7="First Photons",POWER(Upgrades!$U$7,F68),1)*IF(Upgrades!$T$8="First Photons",POWER(Upgrades!$U$8,G68),1)*IF(Upgrades!$T$9="First Photons",POWER(Upgrades!$U$9,H68),1)*IF(Upgrades!$T$10="First Photons",POWER(Upgrades!$U$10,I68),1)*IF(Upgrades!$T$11="First Photons",POWER(Upgrades!$U$11,J68),1)))*POWER(Upgrades!$R$6,E68)*POWER(Upgrades!$R$7,F68)*POWER(Upgrades!$R$8,G68)*POWER(Upgrades!$R$9,H68)*POWER(Upgrades!$R$10,I68)*POWER(Upgrades!$R$11,J68)*POWER(Upgrades!$R$12,K68)</f>
        <v>0</v>
      </c>
      <c r="P68" s="27" t="n">
        <f aca="false">IF(L68=1,0,M68*Parameters!$B$10/60*Parameters!$B$11*10)</f>
        <v>0</v>
      </c>
      <c r="Q68" s="27" t="n">
        <f aca="false">IF(L68=1,0,O68*M68*10)</f>
        <v>0</v>
      </c>
      <c r="R68" s="27" t="n">
        <f aca="false">IF(L68=1,0,N68*10)</f>
        <v>0</v>
      </c>
      <c r="S68" s="27" t="n">
        <f aca="false">P68+Q68+R68</f>
        <v>0</v>
      </c>
      <c r="T68" s="21" t="n">
        <f aca="false">C68+S68</f>
        <v>18.6730249835055</v>
      </c>
      <c r="U68" s="34" t="str">
        <f aca="false">AX68</f>
        <v/>
      </c>
      <c r="V68" s="21" t="n">
        <f aca="false">IF(U68="",0,IF(U68="transition",0,IF(U68="SW",AG68,IF(U68="AB",AH68,IF(U68="SC",AI68,IF(U68="Mag",AJ68,IF(U68="OR",AK68,IF(U68="HP",AL68,IF(U68="FP",AM68,0)))))))))</f>
        <v>0</v>
      </c>
      <c r="W68" s="27" t="n">
        <f aca="false">IF(U68="OR",Upgrades!$F$10,IF(U68="HP",Upgrades!$F$11,IF(U68="transition",-Parameters!$B$18,0)))</f>
        <v>0</v>
      </c>
      <c r="X68" s="21" t="n">
        <f aca="false">T68-V68</f>
        <v>18.6730249835055</v>
      </c>
      <c r="Y68" s="30" t="n">
        <f aca="false">M68*Parameters!$B$10/60*Parameters!$B$11+O68*M68+N68</f>
        <v>20.55</v>
      </c>
      <c r="Z68" s="35" t="str">
        <f aca="false">IF(U68="transition","→ Tier 2 (Stellar Neighborhood)",IF(U68="FP","First Photons — light begins, system quickens",IF(U68="HP","Heliopause acquired",IF(U68="OR","Orbital Resonance — passive multiplier active",IF(AND(AO68=1,L68=0,AN68&lt;&gt;1),"Cohesion ready (waiting on completionist upgrades)","")))))</f>
        <v/>
      </c>
      <c r="AA68" s="27" t="n">
        <f aca="false">(IF(E68=0,0,(Upgrades!$G$6+E68*Upgrades!$H$6)*POWER(Upgrades!$I$6,E68)))*(IF(Upgrades!$T$7="Solar Wind",POWER(Upgrades!$U$7,F68),1)*IF(Upgrades!$T$8="Solar Wind",POWER(Upgrades!$U$8,G68),1)*IF(Upgrades!$T$9="Solar Wind",POWER(Upgrades!$U$9,H68),1)*IF(Upgrades!$T$10="Solar Wind",POWER(Upgrades!$U$10,I68),1)*IF(Upgrades!$T$11="Solar Wind",POWER(Upgrades!$U$11,J68),1)*IF(Upgrades!$T$12="Solar Wind",POWER(Upgrades!$U$12,K68),1))*POWER(Upgrades!$P$6,E68)*POWER(Upgrades!$P$7,F68)*POWER(Upgrades!$P$8,G68)*POWER(Upgrades!$P$9,H68)*POWER(Upgrades!$P$10,I68)*POWER(Upgrades!$P$11,J68)*POWER(Upgrades!$P$12,K68)*60</f>
        <v>72</v>
      </c>
      <c r="AB68" s="27" t="n">
        <f aca="false">(IF(F68=0,0,(Upgrades!$G$7+F68*Upgrades!$H$7)*POWER(Upgrades!$I$7,F68)))*(IF(Upgrades!$T$6="Asteroid Belt",POWER(Upgrades!$U$6,E68),1)*IF(Upgrades!$T$8="Asteroid Belt",POWER(Upgrades!$U$8,G68),1)*IF(Upgrades!$T$9="Asteroid Belt",POWER(Upgrades!$U$9,H68),1)*IF(Upgrades!$T$10="Asteroid Belt",POWER(Upgrades!$U$10,I68),1)*IF(Upgrades!$T$11="Asteroid Belt",POWER(Upgrades!$U$11,J68),1)*IF(Upgrades!$T$12="Asteroid Belt",POWER(Upgrades!$U$12,K68),1))*POWER(Upgrades!$P$6,E68)*POWER(Upgrades!$P$7,F68)*POWER(Upgrades!$P$8,G68)*POWER(Upgrades!$P$9,H68)*POWER(Upgrades!$P$10,I68)*POWER(Upgrades!$P$11,J68)*POWER(Upgrades!$P$12,K68)*60</f>
        <v>150</v>
      </c>
      <c r="AC68" s="27" t="n">
        <f aca="false">(IF(G68=0,0,(Upgrades!$J$8+G68*Upgrades!$K$8)*POWER(Upgrades!$L$8,G68)))*(IF(Upgrades!$T$6="Stellar Coupling",POWER(Upgrades!$U$6,E68),1)*IF(Upgrades!$T$7="Stellar Coupling",POWER(Upgrades!$U$7,F68),1)*IF(Upgrades!$T$9="Stellar Coupling",POWER(Upgrades!$U$9,H68),1)*IF(Upgrades!$T$10="Stellar Coupling",POWER(Upgrades!$U$10,I68),1)*IF(Upgrades!$T$11="Stellar Coupling",POWER(Upgrades!$U$11,J68),1)*IF(Upgrades!$T$12="Stellar Coupling",POWER(Upgrades!$U$12,K68),1))*POWER(Upgrades!$Q$6,E68)*POWER(Upgrades!$Q$7,F68)*POWER(Upgrades!$Q$8,G68)*POWER(Upgrades!$Q$9,H68)*POWER(Upgrades!$Q$10,I68)*POWER(Upgrades!$Q$11,J68)*POWER(Upgrades!$Q$12,K68)*Parameters!$B$10*Parameters!$B$11</f>
        <v>441</v>
      </c>
      <c r="AD68" s="27" t="n">
        <f aca="false">(IF(H68=0,0,(Upgrades!$G$9+H68*Upgrades!$H$9)*POWER(Upgrades!$I$9,H68)))*(IF(Upgrades!$T$6="Magnetosphere",POWER(Upgrades!$U$6,E68),1)*IF(Upgrades!$T$7="Magnetosphere",POWER(Upgrades!$U$7,F68),1)*IF(Upgrades!$T$8="Magnetosphere",POWER(Upgrades!$U$8,G68),1)*IF(Upgrades!$T$10="Magnetosphere",POWER(Upgrades!$U$10,I68),1)*IF(Upgrades!$T$11="Magnetosphere",POWER(Upgrades!$U$11,J68),1)*IF(Upgrades!$T$12="Magnetosphere",POWER(Upgrades!$U$12,K68),1))*POWER(Upgrades!$P$6,E68)*POWER(Upgrades!$P$7,F68)*POWER(Upgrades!$P$8,G68)*POWER(Upgrades!$P$9,H68)*POWER(Upgrades!$P$10,I68)*POWER(Upgrades!$P$11,J68)*POWER(Upgrades!$P$12,K68)*60</f>
        <v>375</v>
      </c>
      <c r="AE68" s="27" t="n">
        <f aca="false">(IF(K68=0,0,(Upgrades!$G$12+K68*Upgrades!$H$12)*POWER(Upgrades!$I$12,K68)))*(IF(Upgrades!$T$6="First Photons",POWER(Upgrades!$U$6,E68),1)*IF(Upgrades!$T$7="First Photons",POWER(Upgrades!$U$7,F68),1)*IF(Upgrades!$T$8="First Photons",POWER(Upgrades!$U$8,G68),1)*IF(Upgrades!$T$9="First Photons",POWER(Upgrades!$U$9,H68),1)*IF(Upgrades!$T$10="First Photons",POWER(Upgrades!$U$10,I68),1)*IF(Upgrades!$T$11="First Photons",POWER(Upgrades!$U$11,J68),1))*POWER(Upgrades!$P$6,E68)*POWER(Upgrades!$P$7,F68)*POWER(Upgrades!$P$8,G68)*POWER(Upgrades!$P$9,H68)*POWER(Upgrades!$P$10,I68)*POWER(Upgrades!$P$11,J68)*POWER(Upgrades!$P$12,K68)*60</f>
        <v>75</v>
      </c>
      <c r="AF68" s="27" t="n">
        <f aca="false">Parameters!$B$9*POWER(Upgrades!$Q$6,E68)*POWER(Upgrades!$Q$7,F68)*POWER(Upgrades!$Q$8,G68)*POWER(Upgrades!$Q$9,H68)*POWER(Upgrades!$Q$10,I68)*POWER(Upgrades!$Q$11,J68)*POWER(Upgrades!$Q$12,K68)*(Parameters!$B$10*Parameters!$B$11+O68*60)</f>
        <v>120</v>
      </c>
      <c r="AG68" s="21" t="n">
        <f aca="false">IF(E68&gt;=Upgrades!$E$6,"",Upgrades!$C$6*POWER(Upgrades!$D$6,E68))</f>
        <v>37.4517507383159</v>
      </c>
      <c r="AH68" s="21" t="n">
        <f aca="false">IF(F68&gt;=Upgrades!$E$7,"",Upgrades!$C$7*POWER(Upgrades!$D$7,F68))</f>
        <v>80.9111547141581</v>
      </c>
      <c r="AI68" s="21" t="n">
        <f aca="false">IF(G68&gt;=Upgrades!$E$8,"",Upgrades!$C$8*POWER(Upgrades!$D$8,G68))</f>
        <v>231.9097088</v>
      </c>
      <c r="AJ68" s="21" t="str">
        <f aca="false">IF(H68&gt;=Upgrades!$E$9,"",Upgrades!$C$9*POWER(Upgrades!$D$9,H68))</f>
        <v/>
      </c>
      <c r="AK68" s="21" t="str">
        <f aca="false">IF(I68&gt;=Upgrades!$E$10,"",Upgrades!$C$10*POWER(Upgrades!$D$10,I68))</f>
        <v/>
      </c>
      <c r="AL68" s="21" t="str">
        <f aca="false">IF(J68&gt;=Upgrades!$E$11,"",Upgrades!$C$11*POWER(Upgrades!$D$11,J68))</f>
        <v/>
      </c>
      <c r="AM68" s="21" t="str">
        <f aca="false">IF(K68&gt;=Upgrades!$E$12,"",Upgrades!$C$12*POWER(Upgrades!$D$12,K68))</f>
        <v/>
      </c>
      <c r="AN68" s="26" t="str">
        <f aca="false">IF(AND(D68&gt;=Parameters!$B$18,(H68&gt;=Upgrades!$E$9)*(K68&gt;=Upgrades!$E$12)=1,L68=0),1,"")</f>
        <v/>
      </c>
      <c r="AO68" s="26" t="str">
        <f aca="false">IF(AND(D68&gt;=Parameters!$B$18,L68=0),1,"")</f>
        <v/>
      </c>
      <c r="AP68" s="21" t="n">
        <f aca="false">MIN(IF(ISNUMBER(AK68),AK68,9000000000000000),IF(ISNUMBER(AL68),AL68,9000000000000000),IF(ISNUMBER(AM68),AM68,9000000000000000))</f>
        <v>9000000000000000</v>
      </c>
      <c r="AQ68" s="21" t="n">
        <f aca="false">MIN(IF(ISNUMBER(AG68),AG68,9000000000000000),IF(ISNUMBER(AH68),AH68,9000000000000000),IF(ISNUMBER(AI68),AI68,9000000000000000),IF(ISNUMBER(AJ68),AJ68,9000000000000000))</f>
        <v>37.4517507383159</v>
      </c>
      <c r="AR68" s="32" t="b">
        <f aca="false">IF(AW68&gt;Parameters!$B$21*(MAX(IF(AND(NOT(AND(AO68=1,AN68&lt;&gt;1)),ISNUMBER(AG68),AG68&lt;=T68),AS68,0),IF(AND(NOT(AND(AO68=1,AN68&lt;&gt;1)),ISNUMBER(AH68),AH68&lt;=T68),AT68,0),IF(AND(NOT(AND(AO68=1,AN68&lt;&gt;1)),ISNUMBER(AI68),AI68&lt;=T68),AU68,0),IF(AND(ISNUMBER(AJ68),AJ68&lt;=T68),AV68,0))),TRUE(),FALSE())</f>
        <v>1</v>
      </c>
      <c r="AS68" s="33" t="n">
        <f aca="false">IFERROR(Upgrades!$H$6*(POWER(Upgrades!$P$6,E68)*POWER(Upgrades!$P$7,F68)*POWER(Upgrades!$P$8,G68)*POWER(Upgrades!$P$9,H68)*POWER(Upgrades!$P$10,I68)*POWER(Upgrades!$P$11,J68)*POWER(Upgrades!$P$12,K68))*(IF(Upgrades!$T$7="Solar Wind",POWER(Upgrades!$U$7,F68),1)*IF(Upgrades!$T$8="Solar Wind",POWER(Upgrades!$U$8,G68),1)*IF(Upgrades!$T$9="Solar Wind",POWER(Upgrades!$U$9,H68),1)*IF(Upgrades!$T$10="Solar Wind",POWER(Upgrades!$U$10,I68),1)*IF(Upgrades!$T$11="Solar Wind",POWER(Upgrades!$U$11,J68),1)*IF(Upgrades!$T$12="Solar Wind",POWER(Upgrades!$U$12,K68),1))/AG68,0)</f>
        <v>0.0026701021455238</v>
      </c>
      <c r="AT68" s="33" t="n">
        <f aca="false">IFERROR(Upgrades!$H$7*(POWER(Upgrades!$P$6,E68)*POWER(Upgrades!$P$7,F68)*POWER(Upgrades!$P$8,G68)*POWER(Upgrades!$P$9,H68)*POWER(Upgrades!$P$10,I68)*POWER(Upgrades!$P$11,J68)*POWER(Upgrades!$P$12,K68))*(IF(Upgrades!$T$6="Asteroid Belt",POWER(Upgrades!$U$6,E68),1)*IF(Upgrades!$T$8="Asteroid Belt",POWER(Upgrades!$U$8,G68),1)*IF(Upgrades!$T$9="Asteroid Belt",POWER(Upgrades!$U$9,H68),1)*IF(Upgrades!$T$10="Asteroid Belt",POWER(Upgrades!$U$10,I68),1)*IF(Upgrades!$T$11="Asteroid Belt",POWER(Upgrades!$U$11,J68),1)*IF(Upgrades!$T$12="Asteroid Belt",POWER(Upgrades!$U$12,K68),1))/AH68,0)</f>
        <v>0.00308980882652332</v>
      </c>
      <c r="AU68" s="33" t="n">
        <f aca="false">IFERROR(Upgrades!$K$8*(POWER(Upgrades!$Q$6,E68)*POWER(Upgrades!$Q$7,F68)*POWER(Upgrades!$Q$8,G68)*POWER(Upgrades!$Q$9,H68)*POWER(Upgrades!$Q$10,I68)*POWER(Upgrades!$Q$11,J68)*POWER(Upgrades!$Q$12,K68))*(IF(Upgrades!$T$6="Stellar Coupling",POWER(Upgrades!$U$6,E68),1)*IF(Upgrades!$T$7="Stellar Coupling",POWER(Upgrades!$U$7,F68),1)*IF(Upgrades!$T$9="Stellar Coupling",POWER(Upgrades!$U$9,H68),1)*IF(Upgrades!$T$10="Stellar Coupling",POWER(Upgrades!$U$10,I68),1)*IF(Upgrades!$T$11="Stellar Coupling",POWER(Upgrades!$U$11,J68),1)*IF(Upgrades!$T$12="Stellar Coupling",POWER(Upgrades!$U$12,K68),1))*Parameters!$B$10*Parameters!$B$11/60/AI68,0)</f>
        <v>0.00452762415783776</v>
      </c>
      <c r="AV68" s="33" t="n">
        <f aca="false">IFERROR(Upgrades!$H$9*(POWER(Upgrades!$P$6,E68)*POWER(Upgrades!$P$7,F68)*POWER(Upgrades!$P$8,G68)*POWER(Upgrades!$P$9,H68)*POWER(Upgrades!$P$10,I68)*POWER(Upgrades!$P$11,J68)*POWER(Upgrades!$P$12,K68))*(IF(Upgrades!$T$6="Magnetosphere",POWER(Upgrades!$U$6,E68),1)*IF(Upgrades!$T$7="Magnetosphere",POWER(Upgrades!$U$7,F68),1)*IF(Upgrades!$T$8="Magnetosphere",POWER(Upgrades!$U$8,G68),1)*IF(Upgrades!$T$10="Magnetosphere",POWER(Upgrades!$U$10,I68),1)*IF(Upgrades!$T$11="Magnetosphere",POWER(Upgrades!$U$11,J68),1)*IF(Upgrades!$T$12="Magnetosphere",POWER(Upgrades!$U$12,K68),1))/AJ68,0)</f>
        <v>0</v>
      </c>
      <c r="AW68" s="33" t="n">
        <f aca="false">MAX(IF(I68&gt;0,0,IFERROR(0.25*N68/Upgrades!$C$10,0)),IF(J68&gt;0,0,IFERROR(0.5*((IF(G68=0,0,(Upgrades!$J$8+G68*Upgrades!$K$8)*POWER(Upgrades!$L$8,G68)))*(IF(Upgrades!$T$6="Stellar Coupling",POWER(Upgrades!$U$6,E68),1)*IF(Upgrades!$T$7="Stellar Coupling",POWER(Upgrades!$U$7,F68),1)*IF(Upgrades!$T$9="Stellar Coupling",POWER(Upgrades!$U$9,H68),1)*IF(Upgrades!$T$10="Stellar Coupling",POWER(Upgrades!$U$10,I68),1)*IF(Upgrades!$T$11="Stellar Coupling",POWER(Upgrades!$U$11,J68),1)*IF(Upgrades!$T$12="Stellar Coupling",POWER(Upgrades!$U$12,K68),1))*(POWER(Upgrades!$Q$6,E68)*POWER(Upgrades!$Q$7,F68)*POWER(Upgrades!$Q$8,G68)*POWER(Upgrades!$Q$9,H68)*POWER(Upgrades!$Q$10,I68)*POWER(Upgrades!$Q$11,J68)*POWER(Upgrades!$Q$12,K68))*Parameters!$B$10*Parameters!$B$11/60)/Upgrades!$C$11,0)),IF(K68&gt;0,0,IFERROR((1*(POWER(Upgrades!$P$6,E68)*POWER(Upgrades!$P$7,F68)*POWER(Upgrades!$P$8,G68)*POWER(Upgrades!$P$9,H68)*POWER(Upgrades!$P$10,I68)*POWER(Upgrades!$P$11,J68)*POWER(Upgrades!$P$12,K68))+0.2*M68*Parameters!$B$10*Parameters!$B$11/60)/Upgrades!$C$12,0)),IF(AND(ISNUMBER(AG68),AG68&gt;T68),AS68,0),IF(AND(ISNUMBER(AH68),AH68&gt;T68),AT68,0),IF(AND(ISNUMBER(AI68),AI68&gt;T68),AU68,0),IF(AND(ISNUMBER(AJ68),AJ68&gt;T68),AV68,0))</f>
        <v>0.00452762415783776</v>
      </c>
      <c r="AX68" s="29" t="str">
        <f aca="false">IF(AN68=1,"transition",IF(MIN(IF(AND(I68=0,ISNUMBER(AK68),AK68&lt;=T68),AK68,9000000000000000),IF(AND(J68=0,ISNUMBER(AL68),AL68&lt;=T68),AL68,9000000000000000),IF(AND(K68=0,ISNUMBER(AM68),AM68&lt;=T68),AM68,9000000000000000))&lt;9000000000000000,IF(AND(AND(I68=0,ISNUMBER(AK68),AK68&lt;=T68),AK68=MIN(IF(AND(I68=0,ISNUMBER(AK68),AK68&lt;=T68),AK68,9000000000000000),IF(AND(J68=0,ISNUMBER(AL68),AL68&lt;=T68),AL68,9000000000000000),IF(AND(K68=0,ISNUMBER(AM68),AM68&lt;=T68),AM68,9000000000000000))),"OR",IF(AND(AND(J68=0,ISNUMBER(AL68),AL68&lt;=T68),AL68=MIN(IF(AND(I68=0,ISNUMBER(AK68),AK68&lt;=T68),AK68,9000000000000000),IF(AND(J68=0,ISNUMBER(AL68),AL68&lt;=T68),AL68,9000000000000000),IF(AND(K68=0,ISNUMBER(AM68),AM68&lt;=T68),AM68,9000000000000000))),"HP","FP")),IF(AR68=TRUE(),"",IF(MAX(IF(AND(NOT(AND(AO68=1,AN68&lt;&gt;1)),ISNUMBER(AG68),AG68&lt;=T68),AS68,0),IF(AND(NOT(AND(AO68=1,AN68&lt;&gt;1)),ISNUMBER(AH68),AH68&lt;=T68),AT68,0),IF(AND(NOT(AND(AO68=1,AN68&lt;&gt;1)),ISNUMBER(AI68),AI68&lt;=T68),AU68,0),IF(AND(ISNUMBER(AJ68),AJ68&lt;=T68),AV68,0))&lt;=0,"",IF(AND(IF(AND(NOT(AND(AO68=1,AN68&lt;&gt;1)),ISNUMBER(AG68),AG68&lt;=T68),AS68,0)&gt;0,IF(AND(NOT(AND(AO68=1,AN68&lt;&gt;1)),ISNUMBER(AG68),AG68&lt;=T68),AS68,0)=MAX(IF(AND(NOT(AND(AO68=1,AN68&lt;&gt;1)),ISNUMBER(AG68),AG68&lt;=T68),AS68,0),IF(AND(NOT(AND(AO68=1,AN68&lt;&gt;1)),ISNUMBER(AH68),AH68&lt;=T68),AT68,0),IF(AND(NOT(AND(AO68=1,AN68&lt;&gt;1)),ISNUMBER(AI68),AI68&lt;=T68),AU68,0),IF(AND(ISNUMBER(AJ68),AJ68&lt;=T68),AV68,0))),"SW",IF(AND(IF(AND(NOT(AND(AO68=1,AN68&lt;&gt;1)),ISNUMBER(AH68),AH68&lt;=T68),AT68,0)&gt;0,IF(AND(NOT(AND(AO68=1,AN68&lt;&gt;1)),ISNUMBER(AH68),AH68&lt;=T68),AT68,0)=MAX(IF(AND(NOT(AND(AO68=1,AN68&lt;&gt;1)),ISNUMBER(AG68),AG68&lt;=T68),AS68,0),IF(AND(NOT(AND(AO68=1,AN68&lt;&gt;1)),ISNUMBER(AH68),AH68&lt;=T68),AT68,0),IF(AND(NOT(AND(AO68=1,AN68&lt;&gt;1)),ISNUMBER(AI68),AI68&lt;=T68),AU68,0),IF(AND(ISNUMBER(AJ68),AJ68&lt;=T68),AV68,0))),"AB",IF(AND(IF(AND(NOT(AND(AO68=1,AN68&lt;&gt;1)),ISNUMBER(AI68),AI68&lt;=T68),AU68,0)&gt;0,IF(AND(NOT(AND(AO68=1,AN68&lt;&gt;1)),ISNUMBER(AI68),AI68&lt;=T68),AU68,0)=MAX(IF(AND(NOT(AND(AO68=1,AN68&lt;&gt;1)),ISNUMBER(AG68),AG68&lt;=T68),AS68,0),IF(AND(NOT(AND(AO68=1,AN68&lt;&gt;1)),ISNUMBER(AH68),AH68&lt;=T68),AT68,0),IF(AND(NOT(AND(AO68=1,AN68&lt;&gt;1)),ISNUMBER(AI68),AI68&lt;=T68),AU68,0),IF(AND(ISNUMBER(AJ68),AJ68&lt;=T68),AV68,0))),"SC","Mag")))))))</f>
        <v/>
      </c>
    </row>
    <row r="69" customFormat="false" ht="15" hidden="false" customHeight="false" outlineLevel="0" collapsed="false">
      <c r="A69" s="26" t="n">
        <v>64</v>
      </c>
      <c r="B69" s="27" t="n">
        <f aca="false">A69*10/60</f>
        <v>10.6666666666667</v>
      </c>
      <c r="C69" s="21" t="n">
        <f aca="false">X68</f>
        <v>18.6730249835055</v>
      </c>
      <c r="D69" s="27" t="n">
        <f aca="false">D68+W68</f>
        <v>0</v>
      </c>
      <c r="E69" s="26" t="n">
        <f aca="false">E68+IF(U68="SW",1,0)</f>
        <v>12</v>
      </c>
      <c r="F69" s="26" t="n">
        <f aca="false">F68+IF(U68="AB",1,0)</f>
        <v>10</v>
      </c>
      <c r="G69" s="26" t="n">
        <f aca="false">G68+IF(U68="SC",1,0)</f>
        <v>7</v>
      </c>
      <c r="H69" s="26" t="n">
        <f aca="false">H68+IF(U68="Mag",1,0)</f>
        <v>5</v>
      </c>
      <c r="I69" s="26" t="n">
        <f aca="false">MAX(I68,IF(U68="OR",1,0))</f>
        <v>1</v>
      </c>
      <c r="J69" s="26" t="n">
        <f aca="false">MAX(J68,IF(U68="HP",1,0))</f>
        <v>1</v>
      </c>
      <c r="K69" s="26" t="n">
        <f aca="false">MAX(K68,IF(U68="FP",1,0))</f>
        <v>1</v>
      </c>
      <c r="L69" s="26" t="n">
        <f aca="false">MAX(L68,IF(U68="transition",1,0))</f>
        <v>1</v>
      </c>
      <c r="M69" s="28" t="n">
        <f aca="false">(Parameters!$B$9+(IF(E69=0,0,(Upgrades!$J$6+E69*Upgrades!$K$6)*POWER(Upgrades!$L$6,E69)))*(IF(Upgrades!$T$7="Solar Wind",POWER(Upgrades!$U$7,F69),1)*IF(Upgrades!$T$8="Solar Wind",POWER(Upgrades!$U$8,G69),1)*IF(Upgrades!$T$9="Solar Wind",POWER(Upgrades!$U$9,H69),1)*IF(Upgrades!$T$10="Solar Wind",POWER(Upgrades!$U$10,I69),1)*IF(Upgrades!$T$11="Solar Wind",POWER(Upgrades!$U$11,J69),1)*IF(Upgrades!$T$12="Solar Wind",POWER(Upgrades!$U$12,K69),1))+(IF(F69=0,0,(Upgrades!$J$7+F69*Upgrades!$K$7)*POWER(Upgrades!$L$7,F69)))*(IF(Upgrades!$T$6="Asteroid Belt",POWER(Upgrades!$U$6,E69),1)*IF(Upgrades!$T$8="Asteroid Belt",POWER(Upgrades!$U$8,G69),1)*IF(Upgrades!$T$9="Asteroid Belt",POWER(Upgrades!$U$9,H69),1)*IF(Upgrades!$T$10="Asteroid Belt",POWER(Upgrades!$U$10,I69),1)*IF(Upgrades!$T$11="Asteroid Belt",POWER(Upgrades!$U$11,J69),1)*IF(Upgrades!$T$12="Asteroid Belt",POWER(Upgrades!$U$12,K69),1))+(IF(G69=0,0,(Upgrades!$J$8+G69*Upgrades!$K$8)*POWER(Upgrades!$L$8,G69)))*(IF(Upgrades!$T$6="Stellar Coupling",POWER(Upgrades!$U$6,E69),1)*IF(Upgrades!$T$7="Stellar Coupling",POWER(Upgrades!$U$7,F69),1)*IF(Upgrades!$T$9="Stellar Coupling",POWER(Upgrades!$U$9,H69),1)*IF(Upgrades!$T$10="Stellar Coupling",POWER(Upgrades!$U$10,I69),1)*IF(Upgrades!$T$11="Stellar Coupling",POWER(Upgrades!$U$11,J69),1)*IF(Upgrades!$T$12="Stellar Coupling",POWER(Upgrades!$U$12,K69),1))+(IF(H69=0,0,(Upgrades!$J$9+H69*Upgrades!$K$9)*POWER(Upgrades!$L$9,H69)))*(IF(Upgrades!$T$6="Magnetosphere",POWER(Upgrades!$U$6,E69),1)*IF(Upgrades!$T$7="Magnetosphere",POWER(Upgrades!$U$7,F69),1)*IF(Upgrades!$T$8="Magnetosphere",POWER(Upgrades!$U$8,G69),1)*IF(Upgrades!$T$10="Magnetosphere",POWER(Upgrades!$U$10,I69),1)*IF(Upgrades!$T$11="Magnetosphere",POWER(Upgrades!$U$11,J69),1)*IF(Upgrades!$T$12="Magnetosphere",POWER(Upgrades!$U$12,K69),1))+(IF(I69=0,0,(Upgrades!$J$10+I69*Upgrades!$K$10)*POWER(Upgrades!$L$10,I69)))*(IF(Upgrades!$T$6="Orbital Resonance",POWER(Upgrades!$U$6,E69),1)*IF(Upgrades!$T$7="Orbital Resonance",POWER(Upgrades!$U$7,F69),1)*IF(Upgrades!$T$8="Orbital Resonance",POWER(Upgrades!$U$8,G69),1)*IF(Upgrades!$T$9="Orbital Resonance",POWER(Upgrades!$U$9,H69),1)*IF(Upgrades!$T$11="Orbital Resonance",POWER(Upgrades!$U$11,J69),1)*IF(Upgrades!$T$12="Orbital Resonance",POWER(Upgrades!$U$12,K69),1))+(IF(J69=0,0,(Upgrades!$J$11+J69*Upgrades!$K$11)*POWER(Upgrades!$L$11,J69)))*(IF(Upgrades!$T$6="Heliopause",POWER(Upgrades!$U$6,E69),1)*IF(Upgrades!$T$7="Heliopause",POWER(Upgrades!$U$7,F69),1)*IF(Upgrades!$T$8="Heliopause",POWER(Upgrades!$U$8,G69),1)*IF(Upgrades!$T$9="Heliopause",POWER(Upgrades!$U$9,H69),1)*IF(Upgrades!$T$10="Heliopause",POWER(Upgrades!$U$10,I69),1)*IF(Upgrades!$T$12="Heliopause",POWER(Upgrades!$U$12,K69),1))+(IF(K69=0,0,(Upgrades!$J$12+K69*Upgrades!$K$12)*POWER(Upgrades!$L$12,K69)))*(IF(Upgrades!$T$6="First Photons",POWER(Upgrades!$U$6,E69),1)*IF(Upgrades!$T$7="First Photons",POWER(Upgrades!$U$7,F69),1)*IF(Upgrades!$T$8="First Photons",POWER(Upgrades!$U$8,G69),1)*IF(Upgrades!$T$9="First Photons",POWER(Upgrades!$U$9,H69),1)*IF(Upgrades!$T$10="First Photons",POWER(Upgrades!$U$10,I69),1)*IF(Upgrades!$T$11="First Photons",POWER(Upgrades!$U$11,J69),1)))*POWER(Upgrades!$Q$6,E69)*POWER(Upgrades!$Q$7,F69)*POWER(Upgrades!$Q$8,G69)*POWER(Upgrades!$Q$9,H69)*POWER(Upgrades!$Q$10,I69)*POWER(Upgrades!$Q$11,J69)*POWER(Upgrades!$Q$12,K69)</f>
        <v>5.61</v>
      </c>
      <c r="N69" s="28" t="n">
        <f aca="false">((IF(E69=0,0,(Upgrades!$G$6+E69*Upgrades!$H$6)*POWER(Upgrades!$I$6,E69)))*(IF(Upgrades!$T$7="Solar Wind",POWER(Upgrades!$U$7,F69),1)*IF(Upgrades!$T$8="Solar Wind",POWER(Upgrades!$U$8,G69),1)*IF(Upgrades!$T$9="Solar Wind",POWER(Upgrades!$U$9,H69),1)*IF(Upgrades!$T$10="Solar Wind",POWER(Upgrades!$U$10,I69),1)*IF(Upgrades!$T$11="Solar Wind",POWER(Upgrades!$U$11,J69),1)*IF(Upgrades!$T$12="Solar Wind",POWER(Upgrades!$U$12,K69),1))+(IF(F69=0,0,(Upgrades!$G$7+F69*Upgrades!$H$7)*POWER(Upgrades!$I$7,F69)))*(IF(Upgrades!$T$6="Asteroid Belt",POWER(Upgrades!$U$6,E69),1)*IF(Upgrades!$T$8="Asteroid Belt",POWER(Upgrades!$U$8,G69),1)*IF(Upgrades!$T$9="Asteroid Belt",POWER(Upgrades!$U$9,H69),1)*IF(Upgrades!$T$10="Asteroid Belt",POWER(Upgrades!$U$10,I69),1)*IF(Upgrades!$T$11="Asteroid Belt",POWER(Upgrades!$U$11,J69),1)*IF(Upgrades!$T$12="Asteroid Belt",POWER(Upgrades!$U$12,K69),1))+(IF(G69=0,0,(Upgrades!$G$8+G69*Upgrades!$H$8)*POWER(Upgrades!$I$8,G69)))*(IF(Upgrades!$T$6="Stellar Coupling",POWER(Upgrades!$U$6,E69),1)*IF(Upgrades!$T$7="Stellar Coupling",POWER(Upgrades!$U$7,F69),1)*IF(Upgrades!$T$9="Stellar Coupling",POWER(Upgrades!$U$9,H69),1)*IF(Upgrades!$T$10="Stellar Coupling",POWER(Upgrades!$U$10,I69),1)*IF(Upgrades!$T$11="Stellar Coupling",POWER(Upgrades!$U$11,J69),1)*IF(Upgrades!$T$12="Stellar Coupling",POWER(Upgrades!$U$12,K69),1))+(IF(H69=0,0,(Upgrades!$G$9+H69*Upgrades!$H$9)*POWER(Upgrades!$I$9,H69)))*(IF(Upgrades!$T$6="Magnetosphere",POWER(Upgrades!$U$6,E69),1)*IF(Upgrades!$T$7="Magnetosphere",POWER(Upgrades!$U$7,F69),1)*IF(Upgrades!$T$8="Magnetosphere",POWER(Upgrades!$U$8,G69),1)*IF(Upgrades!$T$10="Magnetosphere",POWER(Upgrades!$U$10,I69),1)*IF(Upgrades!$T$11="Magnetosphere",POWER(Upgrades!$U$11,J69),1)*IF(Upgrades!$T$12="Magnetosphere",POWER(Upgrades!$U$12,K69),1))+(IF(I69=0,0,(Upgrades!$G$10+I69*Upgrades!$H$10)*POWER(Upgrades!$I$10,I69)))*(IF(Upgrades!$T$6="Orbital Resonance",POWER(Upgrades!$U$6,E69),1)*IF(Upgrades!$T$7="Orbital Resonance",POWER(Upgrades!$U$7,F69),1)*IF(Upgrades!$T$8="Orbital Resonance",POWER(Upgrades!$U$8,G69),1)*IF(Upgrades!$T$9="Orbital Resonance",POWER(Upgrades!$U$9,H69),1)*IF(Upgrades!$T$11="Orbital Resonance",POWER(Upgrades!$U$11,J69),1)*IF(Upgrades!$T$12="Orbital Resonance",POWER(Upgrades!$U$12,K69),1))+(IF(J69=0,0,(Upgrades!$G$11+J69*Upgrades!$H$11)*POWER(Upgrades!$I$11,J69)))*(IF(Upgrades!$T$6="Heliopause",POWER(Upgrades!$U$6,E69),1)*IF(Upgrades!$T$7="Heliopause",POWER(Upgrades!$U$7,F69),1)*IF(Upgrades!$T$8="Heliopause",POWER(Upgrades!$U$8,G69),1)*IF(Upgrades!$T$9="Heliopause",POWER(Upgrades!$U$9,H69),1)*IF(Upgrades!$T$10="Heliopause",POWER(Upgrades!$U$10,I69),1)*IF(Upgrades!$T$12="Heliopause",POWER(Upgrades!$U$12,K69),1))+(IF(K69=0,0,(Upgrades!$G$12+K69*Upgrades!$H$12)*POWER(Upgrades!$I$12,K69)))*(IF(Upgrades!$T$6="First Photons",POWER(Upgrades!$U$6,E69),1)*IF(Upgrades!$T$7="First Photons",POWER(Upgrades!$U$7,F69),1)*IF(Upgrades!$T$8="First Photons",POWER(Upgrades!$U$8,G69),1)*IF(Upgrades!$T$9="First Photons",POWER(Upgrades!$U$9,H69),1)*IF(Upgrades!$T$10="First Photons",POWER(Upgrades!$U$10,I69),1)*IF(Upgrades!$T$11="First Photons",POWER(Upgrades!$U$11,J69),1)))*POWER(Upgrades!$P$6,E69)*POWER(Upgrades!$P$7,F69)*POWER(Upgrades!$P$8,G69)*POWER(Upgrades!$P$9,H69)*POWER(Upgrades!$P$10,I69)*POWER(Upgrades!$P$11,J69)*POWER(Upgrades!$P$12,K69)</f>
        <v>11.2</v>
      </c>
      <c r="O69" s="28" t="n">
        <f aca="false">((IF(E69=0,0,(Upgrades!$M$6+E69*Upgrades!$N$6)*POWER(Upgrades!$O$6,E69)))*(IF(Upgrades!$T$7="Solar Wind",POWER(Upgrades!$U$7,F69),1)*IF(Upgrades!$T$8="Solar Wind",POWER(Upgrades!$U$8,G69),1)*IF(Upgrades!$T$9="Solar Wind",POWER(Upgrades!$U$9,H69),1)*IF(Upgrades!$T$10="Solar Wind",POWER(Upgrades!$U$10,I69),1)*IF(Upgrades!$T$11="Solar Wind",POWER(Upgrades!$U$11,J69),1)*IF(Upgrades!$T$12="Solar Wind",POWER(Upgrades!$U$12,K69),1))+(IF(F69=0,0,(Upgrades!$M$7+F69*Upgrades!$N$7)*POWER(Upgrades!$O$7,F69)))*(IF(Upgrades!$T$6="Asteroid Belt",POWER(Upgrades!$U$6,E69),1)*IF(Upgrades!$T$8="Asteroid Belt",POWER(Upgrades!$U$8,G69),1)*IF(Upgrades!$T$9="Asteroid Belt",POWER(Upgrades!$U$9,H69),1)*IF(Upgrades!$T$10="Asteroid Belt",POWER(Upgrades!$U$10,I69),1)*IF(Upgrades!$T$11="Asteroid Belt",POWER(Upgrades!$U$11,J69),1)*IF(Upgrades!$T$12="Asteroid Belt",POWER(Upgrades!$U$12,K69),1))+(IF(G69=0,0,(Upgrades!$M$8+G69*Upgrades!$N$8)*POWER(Upgrades!$O$8,G69)))*(IF(Upgrades!$T$6="Stellar Coupling",POWER(Upgrades!$U$6,E69),1)*IF(Upgrades!$T$7="Stellar Coupling",POWER(Upgrades!$U$7,F69),1)*IF(Upgrades!$T$9="Stellar Coupling",POWER(Upgrades!$U$9,H69),1)*IF(Upgrades!$T$10="Stellar Coupling",POWER(Upgrades!$U$10,I69),1)*IF(Upgrades!$T$11="Stellar Coupling",POWER(Upgrades!$U$11,J69),1)*IF(Upgrades!$T$12="Stellar Coupling",POWER(Upgrades!$U$12,K69),1))+(IF(H69=0,0,(Upgrades!$M$9+H69*Upgrades!$N$9)*POWER(Upgrades!$O$9,H69)))*(IF(Upgrades!$T$6="Magnetosphere",POWER(Upgrades!$U$6,E69),1)*IF(Upgrades!$T$7="Magnetosphere",POWER(Upgrades!$U$7,F69),1)*IF(Upgrades!$T$8="Magnetosphere",POWER(Upgrades!$U$8,G69),1)*IF(Upgrades!$T$10="Magnetosphere",POWER(Upgrades!$U$10,I69),1)*IF(Upgrades!$T$11="Magnetosphere",POWER(Upgrades!$U$11,J69),1)*IF(Upgrades!$T$12="Magnetosphere",POWER(Upgrades!$U$12,K69),1))+(IF(I69=0,0,(Upgrades!$M$10+I69*Upgrades!$N$10)*POWER(Upgrades!$O$10,I69)))*(IF(Upgrades!$T$6="Orbital Resonance",POWER(Upgrades!$U$6,E69),1)*IF(Upgrades!$T$7="Orbital Resonance",POWER(Upgrades!$U$7,F69),1)*IF(Upgrades!$T$8="Orbital Resonance",POWER(Upgrades!$U$8,G69),1)*IF(Upgrades!$T$9="Orbital Resonance",POWER(Upgrades!$U$9,H69),1)*IF(Upgrades!$T$11="Orbital Resonance",POWER(Upgrades!$U$11,J69),1)*IF(Upgrades!$T$12="Orbital Resonance",POWER(Upgrades!$U$12,K69),1))+(IF(J69=0,0,(Upgrades!$M$11+J69*Upgrades!$N$11)*POWER(Upgrades!$O$11,J69)))*(IF(Upgrades!$T$6="Heliopause",POWER(Upgrades!$U$6,E69),1)*IF(Upgrades!$T$7="Heliopause",POWER(Upgrades!$U$7,F69),1)*IF(Upgrades!$T$8="Heliopause",POWER(Upgrades!$U$8,G69),1)*IF(Upgrades!$T$9="Heliopause",POWER(Upgrades!$U$9,H69),1)*IF(Upgrades!$T$10="Heliopause",POWER(Upgrades!$U$10,I69),1)*IF(Upgrades!$T$12="Heliopause",POWER(Upgrades!$U$12,K69),1))+(IF(K69=0,0,(Upgrades!$M$12+K69*Upgrades!$N$12)*POWER(Upgrades!$O$12,K69)))*(IF(Upgrades!$T$6="First Photons",POWER(Upgrades!$U$6,E69),1)*IF(Upgrades!$T$7="First Photons",POWER(Upgrades!$U$7,F69),1)*IF(Upgrades!$T$8="First Photons",POWER(Upgrades!$U$8,G69),1)*IF(Upgrades!$T$9="First Photons",POWER(Upgrades!$U$9,H69),1)*IF(Upgrades!$T$10="First Photons",POWER(Upgrades!$U$10,I69),1)*IF(Upgrades!$T$11="First Photons",POWER(Upgrades!$U$11,J69),1)))*POWER(Upgrades!$R$6,E69)*POWER(Upgrades!$R$7,F69)*POWER(Upgrades!$R$8,G69)*POWER(Upgrades!$R$9,H69)*POWER(Upgrades!$R$10,I69)*POWER(Upgrades!$R$11,J69)*POWER(Upgrades!$R$12,K69)</f>
        <v>0</v>
      </c>
      <c r="P69" s="27" t="n">
        <f aca="false">IF(L69=1,0,M69*Parameters!$B$10/60*Parameters!$B$11*10)</f>
        <v>0</v>
      </c>
      <c r="Q69" s="27" t="n">
        <f aca="false">IF(L69=1,0,O69*M69*10)</f>
        <v>0</v>
      </c>
      <c r="R69" s="27" t="n">
        <f aca="false">IF(L69=1,0,N69*10)</f>
        <v>0</v>
      </c>
      <c r="S69" s="27" t="n">
        <f aca="false">P69+Q69+R69</f>
        <v>0</v>
      </c>
      <c r="T69" s="21" t="n">
        <f aca="false">C69+S69</f>
        <v>18.6730249835055</v>
      </c>
      <c r="U69" s="34" t="str">
        <f aca="false">AX69</f>
        <v/>
      </c>
      <c r="V69" s="21" t="n">
        <f aca="false">IF(U69="",0,IF(U69="transition",0,IF(U69="SW",AG69,IF(U69="AB",AH69,IF(U69="SC",AI69,IF(U69="Mag",AJ69,IF(U69="OR",AK69,IF(U69="HP",AL69,IF(U69="FP",AM69,0)))))))))</f>
        <v>0</v>
      </c>
      <c r="W69" s="27" t="n">
        <f aca="false">IF(U69="OR",Upgrades!$F$10,IF(U69="HP",Upgrades!$F$11,IF(U69="transition",-Parameters!$B$18,0)))</f>
        <v>0</v>
      </c>
      <c r="X69" s="21" t="n">
        <f aca="false">T69-V69</f>
        <v>18.6730249835055</v>
      </c>
      <c r="Y69" s="30" t="n">
        <f aca="false">M69*Parameters!$B$10/60*Parameters!$B$11+O69*M69+N69</f>
        <v>20.55</v>
      </c>
      <c r="Z69" s="35" t="str">
        <f aca="false">IF(U69="transition","→ Tier 2 (Stellar Neighborhood)",IF(U69="FP","First Photons — light begins, system quickens",IF(U69="HP","Heliopause acquired",IF(U69="OR","Orbital Resonance — passive multiplier active",IF(AND(AO69=1,L69=0,AN69&lt;&gt;1),"Cohesion ready (waiting on completionist upgrades)","")))))</f>
        <v/>
      </c>
      <c r="AA69" s="27" t="n">
        <f aca="false">(IF(E69=0,0,(Upgrades!$G$6+E69*Upgrades!$H$6)*POWER(Upgrades!$I$6,E69)))*(IF(Upgrades!$T$7="Solar Wind",POWER(Upgrades!$U$7,F69),1)*IF(Upgrades!$T$8="Solar Wind",POWER(Upgrades!$U$8,G69),1)*IF(Upgrades!$T$9="Solar Wind",POWER(Upgrades!$U$9,H69),1)*IF(Upgrades!$T$10="Solar Wind",POWER(Upgrades!$U$10,I69),1)*IF(Upgrades!$T$11="Solar Wind",POWER(Upgrades!$U$11,J69),1)*IF(Upgrades!$T$12="Solar Wind",POWER(Upgrades!$U$12,K69),1))*POWER(Upgrades!$P$6,E69)*POWER(Upgrades!$P$7,F69)*POWER(Upgrades!$P$8,G69)*POWER(Upgrades!$P$9,H69)*POWER(Upgrades!$P$10,I69)*POWER(Upgrades!$P$11,J69)*POWER(Upgrades!$P$12,K69)*60</f>
        <v>72</v>
      </c>
      <c r="AB69" s="27" t="n">
        <f aca="false">(IF(F69=0,0,(Upgrades!$G$7+F69*Upgrades!$H$7)*POWER(Upgrades!$I$7,F69)))*(IF(Upgrades!$T$6="Asteroid Belt",POWER(Upgrades!$U$6,E69),1)*IF(Upgrades!$T$8="Asteroid Belt",POWER(Upgrades!$U$8,G69),1)*IF(Upgrades!$T$9="Asteroid Belt",POWER(Upgrades!$U$9,H69),1)*IF(Upgrades!$T$10="Asteroid Belt",POWER(Upgrades!$U$10,I69),1)*IF(Upgrades!$T$11="Asteroid Belt",POWER(Upgrades!$U$11,J69),1)*IF(Upgrades!$T$12="Asteroid Belt",POWER(Upgrades!$U$12,K69),1))*POWER(Upgrades!$P$6,E69)*POWER(Upgrades!$P$7,F69)*POWER(Upgrades!$P$8,G69)*POWER(Upgrades!$P$9,H69)*POWER(Upgrades!$P$10,I69)*POWER(Upgrades!$P$11,J69)*POWER(Upgrades!$P$12,K69)*60</f>
        <v>150</v>
      </c>
      <c r="AC69" s="27" t="n">
        <f aca="false">(IF(G69=0,0,(Upgrades!$J$8+G69*Upgrades!$K$8)*POWER(Upgrades!$L$8,G69)))*(IF(Upgrades!$T$6="Stellar Coupling",POWER(Upgrades!$U$6,E69),1)*IF(Upgrades!$T$7="Stellar Coupling",POWER(Upgrades!$U$7,F69),1)*IF(Upgrades!$T$9="Stellar Coupling",POWER(Upgrades!$U$9,H69),1)*IF(Upgrades!$T$10="Stellar Coupling",POWER(Upgrades!$U$10,I69),1)*IF(Upgrades!$T$11="Stellar Coupling",POWER(Upgrades!$U$11,J69),1)*IF(Upgrades!$T$12="Stellar Coupling",POWER(Upgrades!$U$12,K69),1))*POWER(Upgrades!$Q$6,E69)*POWER(Upgrades!$Q$7,F69)*POWER(Upgrades!$Q$8,G69)*POWER(Upgrades!$Q$9,H69)*POWER(Upgrades!$Q$10,I69)*POWER(Upgrades!$Q$11,J69)*POWER(Upgrades!$Q$12,K69)*Parameters!$B$10*Parameters!$B$11</f>
        <v>441</v>
      </c>
      <c r="AD69" s="27" t="n">
        <f aca="false">(IF(H69=0,0,(Upgrades!$G$9+H69*Upgrades!$H$9)*POWER(Upgrades!$I$9,H69)))*(IF(Upgrades!$T$6="Magnetosphere",POWER(Upgrades!$U$6,E69),1)*IF(Upgrades!$T$7="Magnetosphere",POWER(Upgrades!$U$7,F69),1)*IF(Upgrades!$T$8="Magnetosphere",POWER(Upgrades!$U$8,G69),1)*IF(Upgrades!$T$10="Magnetosphere",POWER(Upgrades!$U$10,I69),1)*IF(Upgrades!$T$11="Magnetosphere",POWER(Upgrades!$U$11,J69),1)*IF(Upgrades!$T$12="Magnetosphere",POWER(Upgrades!$U$12,K69),1))*POWER(Upgrades!$P$6,E69)*POWER(Upgrades!$P$7,F69)*POWER(Upgrades!$P$8,G69)*POWER(Upgrades!$P$9,H69)*POWER(Upgrades!$P$10,I69)*POWER(Upgrades!$P$11,J69)*POWER(Upgrades!$P$12,K69)*60</f>
        <v>375</v>
      </c>
      <c r="AE69" s="27" t="n">
        <f aca="false">(IF(K69=0,0,(Upgrades!$G$12+K69*Upgrades!$H$12)*POWER(Upgrades!$I$12,K69)))*(IF(Upgrades!$T$6="First Photons",POWER(Upgrades!$U$6,E69),1)*IF(Upgrades!$T$7="First Photons",POWER(Upgrades!$U$7,F69),1)*IF(Upgrades!$T$8="First Photons",POWER(Upgrades!$U$8,G69),1)*IF(Upgrades!$T$9="First Photons",POWER(Upgrades!$U$9,H69),1)*IF(Upgrades!$T$10="First Photons",POWER(Upgrades!$U$10,I69),1)*IF(Upgrades!$T$11="First Photons",POWER(Upgrades!$U$11,J69),1))*POWER(Upgrades!$P$6,E69)*POWER(Upgrades!$P$7,F69)*POWER(Upgrades!$P$8,G69)*POWER(Upgrades!$P$9,H69)*POWER(Upgrades!$P$10,I69)*POWER(Upgrades!$P$11,J69)*POWER(Upgrades!$P$12,K69)*60</f>
        <v>75</v>
      </c>
      <c r="AF69" s="27" t="n">
        <f aca="false">Parameters!$B$9*POWER(Upgrades!$Q$6,E69)*POWER(Upgrades!$Q$7,F69)*POWER(Upgrades!$Q$8,G69)*POWER(Upgrades!$Q$9,H69)*POWER(Upgrades!$Q$10,I69)*POWER(Upgrades!$Q$11,J69)*POWER(Upgrades!$Q$12,K69)*(Parameters!$B$10*Parameters!$B$11+O69*60)</f>
        <v>120</v>
      </c>
      <c r="AG69" s="21" t="n">
        <f aca="false">IF(E69&gt;=Upgrades!$E$6,"",Upgrades!$C$6*POWER(Upgrades!$D$6,E69))</f>
        <v>37.4517507383159</v>
      </c>
      <c r="AH69" s="21" t="n">
        <f aca="false">IF(F69&gt;=Upgrades!$E$7,"",Upgrades!$C$7*POWER(Upgrades!$D$7,F69))</f>
        <v>80.9111547141581</v>
      </c>
      <c r="AI69" s="21" t="n">
        <f aca="false">IF(G69&gt;=Upgrades!$E$8,"",Upgrades!$C$8*POWER(Upgrades!$D$8,G69))</f>
        <v>231.9097088</v>
      </c>
      <c r="AJ69" s="21" t="str">
        <f aca="false">IF(H69&gt;=Upgrades!$E$9,"",Upgrades!$C$9*POWER(Upgrades!$D$9,H69))</f>
        <v/>
      </c>
      <c r="AK69" s="21" t="str">
        <f aca="false">IF(I69&gt;=Upgrades!$E$10,"",Upgrades!$C$10*POWER(Upgrades!$D$10,I69))</f>
        <v/>
      </c>
      <c r="AL69" s="21" t="str">
        <f aca="false">IF(J69&gt;=Upgrades!$E$11,"",Upgrades!$C$11*POWER(Upgrades!$D$11,J69))</f>
        <v/>
      </c>
      <c r="AM69" s="21" t="str">
        <f aca="false">IF(K69&gt;=Upgrades!$E$12,"",Upgrades!$C$12*POWER(Upgrades!$D$12,K69))</f>
        <v/>
      </c>
      <c r="AN69" s="26" t="str">
        <f aca="false">IF(AND(D69&gt;=Parameters!$B$18,(H69&gt;=Upgrades!$E$9)*(K69&gt;=Upgrades!$E$12)=1,L69=0),1,"")</f>
        <v/>
      </c>
      <c r="AO69" s="26" t="str">
        <f aca="false">IF(AND(D69&gt;=Parameters!$B$18,L69=0),1,"")</f>
        <v/>
      </c>
      <c r="AP69" s="21" t="n">
        <f aca="false">MIN(IF(ISNUMBER(AK69),AK69,9000000000000000),IF(ISNUMBER(AL69),AL69,9000000000000000),IF(ISNUMBER(AM69),AM69,9000000000000000))</f>
        <v>9000000000000000</v>
      </c>
      <c r="AQ69" s="21" t="n">
        <f aca="false">MIN(IF(ISNUMBER(AG69),AG69,9000000000000000),IF(ISNUMBER(AH69),AH69,9000000000000000),IF(ISNUMBER(AI69),AI69,9000000000000000),IF(ISNUMBER(AJ69),AJ69,9000000000000000))</f>
        <v>37.4517507383159</v>
      </c>
      <c r="AR69" s="32" t="b">
        <f aca="false">IF(AW69&gt;Parameters!$B$21*(MAX(IF(AND(NOT(AND(AO69=1,AN69&lt;&gt;1)),ISNUMBER(AG69),AG69&lt;=T69),AS69,0),IF(AND(NOT(AND(AO69=1,AN69&lt;&gt;1)),ISNUMBER(AH69),AH69&lt;=T69),AT69,0),IF(AND(NOT(AND(AO69=1,AN69&lt;&gt;1)),ISNUMBER(AI69),AI69&lt;=T69),AU69,0),IF(AND(ISNUMBER(AJ69),AJ69&lt;=T69),AV69,0))),TRUE(),FALSE())</f>
        <v>1</v>
      </c>
      <c r="AS69" s="33" t="n">
        <f aca="false">IFERROR(Upgrades!$H$6*(POWER(Upgrades!$P$6,E69)*POWER(Upgrades!$P$7,F69)*POWER(Upgrades!$P$8,G69)*POWER(Upgrades!$P$9,H69)*POWER(Upgrades!$P$10,I69)*POWER(Upgrades!$P$11,J69)*POWER(Upgrades!$P$12,K69))*(IF(Upgrades!$T$7="Solar Wind",POWER(Upgrades!$U$7,F69),1)*IF(Upgrades!$T$8="Solar Wind",POWER(Upgrades!$U$8,G69),1)*IF(Upgrades!$T$9="Solar Wind",POWER(Upgrades!$U$9,H69),1)*IF(Upgrades!$T$10="Solar Wind",POWER(Upgrades!$U$10,I69),1)*IF(Upgrades!$T$11="Solar Wind",POWER(Upgrades!$U$11,J69),1)*IF(Upgrades!$T$12="Solar Wind",POWER(Upgrades!$U$12,K69),1))/AG69,0)</f>
        <v>0.0026701021455238</v>
      </c>
      <c r="AT69" s="33" t="n">
        <f aca="false">IFERROR(Upgrades!$H$7*(POWER(Upgrades!$P$6,E69)*POWER(Upgrades!$P$7,F69)*POWER(Upgrades!$P$8,G69)*POWER(Upgrades!$P$9,H69)*POWER(Upgrades!$P$10,I69)*POWER(Upgrades!$P$11,J69)*POWER(Upgrades!$P$12,K69))*(IF(Upgrades!$T$6="Asteroid Belt",POWER(Upgrades!$U$6,E69),1)*IF(Upgrades!$T$8="Asteroid Belt",POWER(Upgrades!$U$8,G69),1)*IF(Upgrades!$T$9="Asteroid Belt",POWER(Upgrades!$U$9,H69),1)*IF(Upgrades!$T$10="Asteroid Belt",POWER(Upgrades!$U$10,I69),1)*IF(Upgrades!$T$11="Asteroid Belt",POWER(Upgrades!$U$11,J69),1)*IF(Upgrades!$T$12="Asteroid Belt",POWER(Upgrades!$U$12,K69),1))/AH69,0)</f>
        <v>0.00308980882652332</v>
      </c>
      <c r="AU69" s="33" t="n">
        <f aca="false">IFERROR(Upgrades!$K$8*(POWER(Upgrades!$Q$6,E69)*POWER(Upgrades!$Q$7,F69)*POWER(Upgrades!$Q$8,G69)*POWER(Upgrades!$Q$9,H69)*POWER(Upgrades!$Q$10,I69)*POWER(Upgrades!$Q$11,J69)*POWER(Upgrades!$Q$12,K69))*(IF(Upgrades!$T$6="Stellar Coupling",POWER(Upgrades!$U$6,E69),1)*IF(Upgrades!$T$7="Stellar Coupling",POWER(Upgrades!$U$7,F69),1)*IF(Upgrades!$T$9="Stellar Coupling",POWER(Upgrades!$U$9,H69),1)*IF(Upgrades!$T$10="Stellar Coupling",POWER(Upgrades!$U$10,I69),1)*IF(Upgrades!$T$11="Stellar Coupling",POWER(Upgrades!$U$11,J69),1)*IF(Upgrades!$T$12="Stellar Coupling",POWER(Upgrades!$U$12,K69),1))*Parameters!$B$10*Parameters!$B$11/60/AI69,0)</f>
        <v>0.00452762415783776</v>
      </c>
      <c r="AV69" s="33" t="n">
        <f aca="false">IFERROR(Upgrades!$H$9*(POWER(Upgrades!$P$6,E69)*POWER(Upgrades!$P$7,F69)*POWER(Upgrades!$P$8,G69)*POWER(Upgrades!$P$9,H69)*POWER(Upgrades!$P$10,I69)*POWER(Upgrades!$P$11,J69)*POWER(Upgrades!$P$12,K69))*(IF(Upgrades!$T$6="Magnetosphere",POWER(Upgrades!$U$6,E69),1)*IF(Upgrades!$T$7="Magnetosphere",POWER(Upgrades!$U$7,F69),1)*IF(Upgrades!$T$8="Magnetosphere",POWER(Upgrades!$U$8,G69),1)*IF(Upgrades!$T$10="Magnetosphere",POWER(Upgrades!$U$10,I69),1)*IF(Upgrades!$T$11="Magnetosphere",POWER(Upgrades!$U$11,J69),1)*IF(Upgrades!$T$12="Magnetosphere",POWER(Upgrades!$U$12,K69),1))/AJ69,0)</f>
        <v>0</v>
      </c>
      <c r="AW69" s="33" t="n">
        <f aca="false">MAX(IF(I69&gt;0,0,IFERROR(0.25*N69/Upgrades!$C$10,0)),IF(J69&gt;0,0,IFERROR(0.5*((IF(G69=0,0,(Upgrades!$J$8+G69*Upgrades!$K$8)*POWER(Upgrades!$L$8,G69)))*(IF(Upgrades!$T$6="Stellar Coupling",POWER(Upgrades!$U$6,E69),1)*IF(Upgrades!$T$7="Stellar Coupling",POWER(Upgrades!$U$7,F69),1)*IF(Upgrades!$T$9="Stellar Coupling",POWER(Upgrades!$U$9,H69),1)*IF(Upgrades!$T$10="Stellar Coupling",POWER(Upgrades!$U$10,I69),1)*IF(Upgrades!$T$11="Stellar Coupling",POWER(Upgrades!$U$11,J69),1)*IF(Upgrades!$T$12="Stellar Coupling",POWER(Upgrades!$U$12,K69),1))*(POWER(Upgrades!$Q$6,E69)*POWER(Upgrades!$Q$7,F69)*POWER(Upgrades!$Q$8,G69)*POWER(Upgrades!$Q$9,H69)*POWER(Upgrades!$Q$10,I69)*POWER(Upgrades!$Q$11,J69)*POWER(Upgrades!$Q$12,K69))*Parameters!$B$10*Parameters!$B$11/60)/Upgrades!$C$11,0)),IF(K69&gt;0,0,IFERROR((1*(POWER(Upgrades!$P$6,E69)*POWER(Upgrades!$P$7,F69)*POWER(Upgrades!$P$8,G69)*POWER(Upgrades!$P$9,H69)*POWER(Upgrades!$P$10,I69)*POWER(Upgrades!$P$11,J69)*POWER(Upgrades!$P$12,K69))+0.2*M69*Parameters!$B$10*Parameters!$B$11/60)/Upgrades!$C$12,0)),IF(AND(ISNUMBER(AG69),AG69&gt;T69),AS69,0),IF(AND(ISNUMBER(AH69),AH69&gt;T69),AT69,0),IF(AND(ISNUMBER(AI69),AI69&gt;T69),AU69,0),IF(AND(ISNUMBER(AJ69),AJ69&gt;T69),AV69,0))</f>
        <v>0.00452762415783776</v>
      </c>
      <c r="AX69" s="29" t="str">
        <f aca="false">IF(AN69=1,"transition",IF(MIN(IF(AND(I69=0,ISNUMBER(AK69),AK69&lt;=T69),AK69,9000000000000000),IF(AND(J69=0,ISNUMBER(AL69),AL69&lt;=T69),AL69,9000000000000000),IF(AND(K69=0,ISNUMBER(AM69),AM69&lt;=T69),AM69,9000000000000000))&lt;9000000000000000,IF(AND(AND(I69=0,ISNUMBER(AK69),AK69&lt;=T69),AK69=MIN(IF(AND(I69=0,ISNUMBER(AK69),AK69&lt;=T69),AK69,9000000000000000),IF(AND(J69=0,ISNUMBER(AL69),AL69&lt;=T69),AL69,9000000000000000),IF(AND(K69=0,ISNUMBER(AM69),AM69&lt;=T69),AM69,9000000000000000))),"OR",IF(AND(AND(J69=0,ISNUMBER(AL69),AL69&lt;=T69),AL69=MIN(IF(AND(I69=0,ISNUMBER(AK69),AK69&lt;=T69),AK69,9000000000000000),IF(AND(J69=0,ISNUMBER(AL69),AL69&lt;=T69),AL69,9000000000000000),IF(AND(K69=0,ISNUMBER(AM69),AM69&lt;=T69),AM69,9000000000000000))),"HP","FP")),IF(AR69=TRUE(),"",IF(MAX(IF(AND(NOT(AND(AO69=1,AN69&lt;&gt;1)),ISNUMBER(AG69),AG69&lt;=T69),AS69,0),IF(AND(NOT(AND(AO69=1,AN69&lt;&gt;1)),ISNUMBER(AH69),AH69&lt;=T69),AT69,0),IF(AND(NOT(AND(AO69=1,AN69&lt;&gt;1)),ISNUMBER(AI69),AI69&lt;=T69),AU69,0),IF(AND(ISNUMBER(AJ69),AJ69&lt;=T69),AV69,0))&lt;=0,"",IF(AND(IF(AND(NOT(AND(AO69=1,AN69&lt;&gt;1)),ISNUMBER(AG69),AG69&lt;=T69),AS69,0)&gt;0,IF(AND(NOT(AND(AO69=1,AN69&lt;&gt;1)),ISNUMBER(AG69),AG69&lt;=T69),AS69,0)=MAX(IF(AND(NOT(AND(AO69=1,AN69&lt;&gt;1)),ISNUMBER(AG69),AG69&lt;=T69),AS69,0),IF(AND(NOT(AND(AO69=1,AN69&lt;&gt;1)),ISNUMBER(AH69),AH69&lt;=T69),AT69,0),IF(AND(NOT(AND(AO69=1,AN69&lt;&gt;1)),ISNUMBER(AI69),AI69&lt;=T69),AU69,0),IF(AND(ISNUMBER(AJ69),AJ69&lt;=T69),AV69,0))),"SW",IF(AND(IF(AND(NOT(AND(AO69=1,AN69&lt;&gt;1)),ISNUMBER(AH69),AH69&lt;=T69),AT69,0)&gt;0,IF(AND(NOT(AND(AO69=1,AN69&lt;&gt;1)),ISNUMBER(AH69),AH69&lt;=T69),AT69,0)=MAX(IF(AND(NOT(AND(AO69=1,AN69&lt;&gt;1)),ISNUMBER(AG69),AG69&lt;=T69),AS69,0),IF(AND(NOT(AND(AO69=1,AN69&lt;&gt;1)),ISNUMBER(AH69),AH69&lt;=T69),AT69,0),IF(AND(NOT(AND(AO69=1,AN69&lt;&gt;1)),ISNUMBER(AI69),AI69&lt;=T69),AU69,0),IF(AND(ISNUMBER(AJ69),AJ69&lt;=T69),AV69,0))),"AB",IF(AND(IF(AND(NOT(AND(AO69=1,AN69&lt;&gt;1)),ISNUMBER(AI69),AI69&lt;=T69),AU69,0)&gt;0,IF(AND(NOT(AND(AO69=1,AN69&lt;&gt;1)),ISNUMBER(AI69),AI69&lt;=T69),AU69,0)=MAX(IF(AND(NOT(AND(AO69=1,AN69&lt;&gt;1)),ISNUMBER(AG69),AG69&lt;=T69),AS69,0),IF(AND(NOT(AND(AO69=1,AN69&lt;&gt;1)),ISNUMBER(AH69),AH69&lt;=T69),AT69,0),IF(AND(NOT(AND(AO69=1,AN69&lt;&gt;1)),ISNUMBER(AI69),AI69&lt;=T69),AU69,0),IF(AND(ISNUMBER(AJ69),AJ69&lt;=T69),AV69,0))),"SC","Mag")))))))</f>
        <v/>
      </c>
    </row>
    <row r="70" customFormat="false" ht="15" hidden="false" customHeight="false" outlineLevel="0" collapsed="false">
      <c r="A70" s="26" t="n">
        <v>65</v>
      </c>
      <c r="B70" s="27" t="n">
        <f aca="false">A70*10/60</f>
        <v>10.8333333333333</v>
      </c>
      <c r="C70" s="21" t="n">
        <f aca="false">X69</f>
        <v>18.6730249835055</v>
      </c>
      <c r="D70" s="27" t="n">
        <f aca="false">D69+W69</f>
        <v>0</v>
      </c>
      <c r="E70" s="26" t="n">
        <f aca="false">E69+IF(U69="SW",1,0)</f>
        <v>12</v>
      </c>
      <c r="F70" s="26" t="n">
        <f aca="false">F69+IF(U69="AB",1,0)</f>
        <v>10</v>
      </c>
      <c r="G70" s="26" t="n">
        <f aca="false">G69+IF(U69="SC",1,0)</f>
        <v>7</v>
      </c>
      <c r="H70" s="26" t="n">
        <f aca="false">H69+IF(U69="Mag",1,0)</f>
        <v>5</v>
      </c>
      <c r="I70" s="26" t="n">
        <f aca="false">MAX(I69,IF(U69="OR",1,0))</f>
        <v>1</v>
      </c>
      <c r="J70" s="26" t="n">
        <f aca="false">MAX(J69,IF(U69="HP",1,0))</f>
        <v>1</v>
      </c>
      <c r="K70" s="26" t="n">
        <f aca="false">MAX(K69,IF(U69="FP",1,0))</f>
        <v>1</v>
      </c>
      <c r="L70" s="26" t="n">
        <f aca="false">MAX(L69,IF(U69="transition",1,0))</f>
        <v>1</v>
      </c>
      <c r="M70" s="28" t="n">
        <f aca="false">(Parameters!$B$9+(IF(E70=0,0,(Upgrades!$J$6+E70*Upgrades!$K$6)*POWER(Upgrades!$L$6,E70)))*(IF(Upgrades!$T$7="Solar Wind",POWER(Upgrades!$U$7,F70),1)*IF(Upgrades!$T$8="Solar Wind",POWER(Upgrades!$U$8,G70),1)*IF(Upgrades!$T$9="Solar Wind",POWER(Upgrades!$U$9,H70),1)*IF(Upgrades!$T$10="Solar Wind",POWER(Upgrades!$U$10,I70),1)*IF(Upgrades!$T$11="Solar Wind",POWER(Upgrades!$U$11,J70),1)*IF(Upgrades!$T$12="Solar Wind",POWER(Upgrades!$U$12,K70),1))+(IF(F70=0,0,(Upgrades!$J$7+F70*Upgrades!$K$7)*POWER(Upgrades!$L$7,F70)))*(IF(Upgrades!$T$6="Asteroid Belt",POWER(Upgrades!$U$6,E70),1)*IF(Upgrades!$T$8="Asteroid Belt",POWER(Upgrades!$U$8,G70),1)*IF(Upgrades!$T$9="Asteroid Belt",POWER(Upgrades!$U$9,H70),1)*IF(Upgrades!$T$10="Asteroid Belt",POWER(Upgrades!$U$10,I70),1)*IF(Upgrades!$T$11="Asteroid Belt",POWER(Upgrades!$U$11,J70),1)*IF(Upgrades!$T$12="Asteroid Belt",POWER(Upgrades!$U$12,K70),1))+(IF(G70=0,0,(Upgrades!$J$8+G70*Upgrades!$K$8)*POWER(Upgrades!$L$8,G70)))*(IF(Upgrades!$T$6="Stellar Coupling",POWER(Upgrades!$U$6,E70),1)*IF(Upgrades!$T$7="Stellar Coupling",POWER(Upgrades!$U$7,F70),1)*IF(Upgrades!$T$9="Stellar Coupling",POWER(Upgrades!$U$9,H70),1)*IF(Upgrades!$T$10="Stellar Coupling",POWER(Upgrades!$U$10,I70),1)*IF(Upgrades!$T$11="Stellar Coupling",POWER(Upgrades!$U$11,J70),1)*IF(Upgrades!$T$12="Stellar Coupling",POWER(Upgrades!$U$12,K70),1))+(IF(H70=0,0,(Upgrades!$J$9+H70*Upgrades!$K$9)*POWER(Upgrades!$L$9,H70)))*(IF(Upgrades!$T$6="Magnetosphere",POWER(Upgrades!$U$6,E70),1)*IF(Upgrades!$T$7="Magnetosphere",POWER(Upgrades!$U$7,F70),1)*IF(Upgrades!$T$8="Magnetosphere",POWER(Upgrades!$U$8,G70),1)*IF(Upgrades!$T$10="Magnetosphere",POWER(Upgrades!$U$10,I70),1)*IF(Upgrades!$T$11="Magnetosphere",POWER(Upgrades!$U$11,J70),1)*IF(Upgrades!$T$12="Magnetosphere",POWER(Upgrades!$U$12,K70),1))+(IF(I70=0,0,(Upgrades!$J$10+I70*Upgrades!$K$10)*POWER(Upgrades!$L$10,I70)))*(IF(Upgrades!$T$6="Orbital Resonance",POWER(Upgrades!$U$6,E70),1)*IF(Upgrades!$T$7="Orbital Resonance",POWER(Upgrades!$U$7,F70),1)*IF(Upgrades!$T$8="Orbital Resonance",POWER(Upgrades!$U$8,G70),1)*IF(Upgrades!$T$9="Orbital Resonance",POWER(Upgrades!$U$9,H70),1)*IF(Upgrades!$T$11="Orbital Resonance",POWER(Upgrades!$U$11,J70),1)*IF(Upgrades!$T$12="Orbital Resonance",POWER(Upgrades!$U$12,K70),1))+(IF(J70=0,0,(Upgrades!$J$11+J70*Upgrades!$K$11)*POWER(Upgrades!$L$11,J70)))*(IF(Upgrades!$T$6="Heliopause",POWER(Upgrades!$U$6,E70),1)*IF(Upgrades!$T$7="Heliopause",POWER(Upgrades!$U$7,F70),1)*IF(Upgrades!$T$8="Heliopause",POWER(Upgrades!$U$8,G70),1)*IF(Upgrades!$T$9="Heliopause",POWER(Upgrades!$U$9,H70),1)*IF(Upgrades!$T$10="Heliopause",POWER(Upgrades!$U$10,I70),1)*IF(Upgrades!$T$12="Heliopause",POWER(Upgrades!$U$12,K70),1))+(IF(K70=0,0,(Upgrades!$J$12+K70*Upgrades!$K$12)*POWER(Upgrades!$L$12,K70)))*(IF(Upgrades!$T$6="First Photons",POWER(Upgrades!$U$6,E70),1)*IF(Upgrades!$T$7="First Photons",POWER(Upgrades!$U$7,F70),1)*IF(Upgrades!$T$8="First Photons",POWER(Upgrades!$U$8,G70),1)*IF(Upgrades!$T$9="First Photons",POWER(Upgrades!$U$9,H70),1)*IF(Upgrades!$T$10="First Photons",POWER(Upgrades!$U$10,I70),1)*IF(Upgrades!$T$11="First Photons",POWER(Upgrades!$U$11,J70),1)))*POWER(Upgrades!$Q$6,E70)*POWER(Upgrades!$Q$7,F70)*POWER(Upgrades!$Q$8,G70)*POWER(Upgrades!$Q$9,H70)*POWER(Upgrades!$Q$10,I70)*POWER(Upgrades!$Q$11,J70)*POWER(Upgrades!$Q$12,K70)</f>
        <v>5.61</v>
      </c>
      <c r="N70" s="28" t="n">
        <f aca="false">((IF(E70=0,0,(Upgrades!$G$6+E70*Upgrades!$H$6)*POWER(Upgrades!$I$6,E70)))*(IF(Upgrades!$T$7="Solar Wind",POWER(Upgrades!$U$7,F70),1)*IF(Upgrades!$T$8="Solar Wind",POWER(Upgrades!$U$8,G70),1)*IF(Upgrades!$T$9="Solar Wind",POWER(Upgrades!$U$9,H70),1)*IF(Upgrades!$T$10="Solar Wind",POWER(Upgrades!$U$10,I70),1)*IF(Upgrades!$T$11="Solar Wind",POWER(Upgrades!$U$11,J70),1)*IF(Upgrades!$T$12="Solar Wind",POWER(Upgrades!$U$12,K70),1))+(IF(F70=0,0,(Upgrades!$G$7+F70*Upgrades!$H$7)*POWER(Upgrades!$I$7,F70)))*(IF(Upgrades!$T$6="Asteroid Belt",POWER(Upgrades!$U$6,E70),1)*IF(Upgrades!$T$8="Asteroid Belt",POWER(Upgrades!$U$8,G70),1)*IF(Upgrades!$T$9="Asteroid Belt",POWER(Upgrades!$U$9,H70),1)*IF(Upgrades!$T$10="Asteroid Belt",POWER(Upgrades!$U$10,I70),1)*IF(Upgrades!$T$11="Asteroid Belt",POWER(Upgrades!$U$11,J70),1)*IF(Upgrades!$T$12="Asteroid Belt",POWER(Upgrades!$U$12,K70),1))+(IF(G70=0,0,(Upgrades!$G$8+G70*Upgrades!$H$8)*POWER(Upgrades!$I$8,G70)))*(IF(Upgrades!$T$6="Stellar Coupling",POWER(Upgrades!$U$6,E70),1)*IF(Upgrades!$T$7="Stellar Coupling",POWER(Upgrades!$U$7,F70),1)*IF(Upgrades!$T$9="Stellar Coupling",POWER(Upgrades!$U$9,H70),1)*IF(Upgrades!$T$10="Stellar Coupling",POWER(Upgrades!$U$10,I70),1)*IF(Upgrades!$T$11="Stellar Coupling",POWER(Upgrades!$U$11,J70),1)*IF(Upgrades!$T$12="Stellar Coupling",POWER(Upgrades!$U$12,K70),1))+(IF(H70=0,0,(Upgrades!$G$9+H70*Upgrades!$H$9)*POWER(Upgrades!$I$9,H70)))*(IF(Upgrades!$T$6="Magnetosphere",POWER(Upgrades!$U$6,E70),1)*IF(Upgrades!$T$7="Magnetosphere",POWER(Upgrades!$U$7,F70),1)*IF(Upgrades!$T$8="Magnetosphere",POWER(Upgrades!$U$8,G70),1)*IF(Upgrades!$T$10="Magnetosphere",POWER(Upgrades!$U$10,I70),1)*IF(Upgrades!$T$11="Magnetosphere",POWER(Upgrades!$U$11,J70),1)*IF(Upgrades!$T$12="Magnetosphere",POWER(Upgrades!$U$12,K70),1))+(IF(I70=0,0,(Upgrades!$G$10+I70*Upgrades!$H$10)*POWER(Upgrades!$I$10,I70)))*(IF(Upgrades!$T$6="Orbital Resonance",POWER(Upgrades!$U$6,E70),1)*IF(Upgrades!$T$7="Orbital Resonance",POWER(Upgrades!$U$7,F70),1)*IF(Upgrades!$T$8="Orbital Resonance",POWER(Upgrades!$U$8,G70),1)*IF(Upgrades!$T$9="Orbital Resonance",POWER(Upgrades!$U$9,H70),1)*IF(Upgrades!$T$11="Orbital Resonance",POWER(Upgrades!$U$11,J70),1)*IF(Upgrades!$T$12="Orbital Resonance",POWER(Upgrades!$U$12,K70),1))+(IF(J70=0,0,(Upgrades!$G$11+J70*Upgrades!$H$11)*POWER(Upgrades!$I$11,J70)))*(IF(Upgrades!$T$6="Heliopause",POWER(Upgrades!$U$6,E70),1)*IF(Upgrades!$T$7="Heliopause",POWER(Upgrades!$U$7,F70),1)*IF(Upgrades!$T$8="Heliopause",POWER(Upgrades!$U$8,G70),1)*IF(Upgrades!$T$9="Heliopause",POWER(Upgrades!$U$9,H70),1)*IF(Upgrades!$T$10="Heliopause",POWER(Upgrades!$U$10,I70),1)*IF(Upgrades!$T$12="Heliopause",POWER(Upgrades!$U$12,K70),1))+(IF(K70=0,0,(Upgrades!$G$12+K70*Upgrades!$H$12)*POWER(Upgrades!$I$12,K70)))*(IF(Upgrades!$T$6="First Photons",POWER(Upgrades!$U$6,E70),1)*IF(Upgrades!$T$7="First Photons",POWER(Upgrades!$U$7,F70),1)*IF(Upgrades!$T$8="First Photons",POWER(Upgrades!$U$8,G70),1)*IF(Upgrades!$T$9="First Photons",POWER(Upgrades!$U$9,H70),1)*IF(Upgrades!$T$10="First Photons",POWER(Upgrades!$U$10,I70),1)*IF(Upgrades!$T$11="First Photons",POWER(Upgrades!$U$11,J70),1)))*POWER(Upgrades!$P$6,E70)*POWER(Upgrades!$P$7,F70)*POWER(Upgrades!$P$8,G70)*POWER(Upgrades!$P$9,H70)*POWER(Upgrades!$P$10,I70)*POWER(Upgrades!$P$11,J70)*POWER(Upgrades!$P$12,K70)</f>
        <v>11.2</v>
      </c>
      <c r="O70" s="28" t="n">
        <f aca="false">((IF(E70=0,0,(Upgrades!$M$6+E70*Upgrades!$N$6)*POWER(Upgrades!$O$6,E70)))*(IF(Upgrades!$T$7="Solar Wind",POWER(Upgrades!$U$7,F70),1)*IF(Upgrades!$T$8="Solar Wind",POWER(Upgrades!$U$8,G70),1)*IF(Upgrades!$T$9="Solar Wind",POWER(Upgrades!$U$9,H70),1)*IF(Upgrades!$T$10="Solar Wind",POWER(Upgrades!$U$10,I70),1)*IF(Upgrades!$T$11="Solar Wind",POWER(Upgrades!$U$11,J70),1)*IF(Upgrades!$T$12="Solar Wind",POWER(Upgrades!$U$12,K70),1))+(IF(F70=0,0,(Upgrades!$M$7+F70*Upgrades!$N$7)*POWER(Upgrades!$O$7,F70)))*(IF(Upgrades!$T$6="Asteroid Belt",POWER(Upgrades!$U$6,E70),1)*IF(Upgrades!$T$8="Asteroid Belt",POWER(Upgrades!$U$8,G70),1)*IF(Upgrades!$T$9="Asteroid Belt",POWER(Upgrades!$U$9,H70),1)*IF(Upgrades!$T$10="Asteroid Belt",POWER(Upgrades!$U$10,I70),1)*IF(Upgrades!$T$11="Asteroid Belt",POWER(Upgrades!$U$11,J70),1)*IF(Upgrades!$T$12="Asteroid Belt",POWER(Upgrades!$U$12,K70),1))+(IF(G70=0,0,(Upgrades!$M$8+G70*Upgrades!$N$8)*POWER(Upgrades!$O$8,G70)))*(IF(Upgrades!$T$6="Stellar Coupling",POWER(Upgrades!$U$6,E70),1)*IF(Upgrades!$T$7="Stellar Coupling",POWER(Upgrades!$U$7,F70),1)*IF(Upgrades!$T$9="Stellar Coupling",POWER(Upgrades!$U$9,H70),1)*IF(Upgrades!$T$10="Stellar Coupling",POWER(Upgrades!$U$10,I70),1)*IF(Upgrades!$T$11="Stellar Coupling",POWER(Upgrades!$U$11,J70),1)*IF(Upgrades!$T$12="Stellar Coupling",POWER(Upgrades!$U$12,K70),1))+(IF(H70=0,0,(Upgrades!$M$9+H70*Upgrades!$N$9)*POWER(Upgrades!$O$9,H70)))*(IF(Upgrades!$T$6="Magnetosphere",POWER(Upgrades!$U$6,E70),1)*IF(Upgrades!$T$7="Magnetosphere",POWER(Upgrades!$U$7,F70),1)*IF(Upgrades!$T$8="Magnetosphere",POWER(Upgrades!$U$8,G70),1)*IF(Upgrades!$T$10="Magnetosphere",POWER(Upgrades!$U$10,I70),1)*IF(Upgrades!$T$11="Magnetosphere",POWER(Upgrades!$U$11,J70),1)*IF(Upgrades!$T$12="Magnetosphere",POWER(Upgrades!$U$12,K70),1))+(IF(I70=0,0,(Upgrades!$M$10+I70*Upgrades!$N$10)*POWER(Upgrades!$O$10,I70)))*(IF(Upgrades!$T$6="Orbital Resonance",POWER(Upgrades!$U$6,E70),1)*IF(Upgrades!$T$7="Orbital Resonance",POWER(Upgrades!$U$7,F70),1)*IF(Upgrades!$T$8="Orbital Resonance",POWER(Upgrades!$U$8,G70),1)*IF(Upgrades!$T$9="Orbital Resonance",POWER(Upgrades!$U$9,H70),1)*IF(Upgrades!$T$11="Orbital Resonance",POWER(Upgrades!$U$11,J70),1)*IF(Upgrades!$T$12="Orbital Resonance",POWER(Upgrades!$U$12,K70),1))+(IF(J70=0,0,(Upgrades!$M$11+J70*Upgrades!$N$11)*POWER(Upgrades!$O$11,J70)))*(IF(Upgrades!$T$6="Heliopause",POWER(Upgrades!$U$6,E70),1)*IF(Upgrades!$T$7="Heliopause",POWER(Upgrades!$U$7,F70),1)*IF(Upgrades!$T$8="Heliopause",POWER(Upgrades!$U$8,G70),1)*IF(Upgrades!$T$9="Heliopause",POWER(Upgrades!$U$9,H70),1)*IF(Upgrades!$T$10="Heliopause",POWER(Upgrades!$U$10,I70),1)*IF(Upgrades!$T$12="Heliopause",POWER(Upgrades!$U$12,K70),1))+(IF(K70=0,0,(Upgrades!$M$12+K70*Upgrades!$N$12)*POWER(Upgrades!$O$12,K70)))*(IF(Upgrades!$T$6="First Photons",POWER(Upgrades!$U$6,E70),1)*IF(Upgrades!$T$7="First Photons",POWER(Upgrades!$U$7,F70),1)*IF(Upgrades!$T$8="First Photons",POWER(Upgrades!$U$8,G70),1)*IF(Upgrades!$T$9="First Photons",POWER(Upgrades!$U$9,H70),1)*IF(Upgrades!$T$10="First Photons",POWER(Upgrades!$U$10,I70),1)*IF(Upgrades!$T$11="First Photons",POWER(Upgrades!$U$11,J70),1)))*POWER(Upgrades!$R$6,E70)*POWER(Upgrades!$R$7,F70)*POWER(Upgrades!$R$8,G70)*POWER(Upgrades!$R$9,H70)*POWER(Upgrades!$R$10,I70)*POWER(Upgrades!$R$11,J70)*POWER(Upgrades!$R$12,K70)</f>
        <v>0</v>
      </c>
      <c r="P70" s="27" t="n">
        <f aca="false">IF(L70=1,0,M70*Parameters!$B$10/60*Parameters!$B$11*10)</f>
        <v>0</v>
      </c>
      <c r="Q70" s="27" t="n">
        <f aca="false">IF(L70=1,0,O70*M70*10)</f>
        <v>0</v>
      </c>
      <c r="R70" s="27" t="n">
        <f aca="false">IF(L70=1,0,N70*10)</f>
        <v>0</v>
      </c>
      <c r="S70" s="27" t="n">
        <f aca="false">P70+Q70+R70</f>
        <v>0</v>
      </c>
      <c r="T70" s="21" t="n">
        <f aca="false">C70+S70</f>
        <v>18.6730249835055</v>
      </c>
      <c r="U70" s="34" t="str">
        <f aca="false">AX70</f>
        <v/>
      </c>
      <c r="V70" s="21" t="n">
        <f aca="false">IF(U70="",0,IF(U70="transition",0,IF(U70="SW",AG70,IF(U70="AB",AH70,IF(U70="SC",AI70,IF(U70="Mag",AJ70,IF(U70="OR",AK70,IF(U70="HP",AL70,IF(U70="FP",AM70,0)))))))))</f>
        <v>0</v>
      </c>
      <c r="W70" s="27" t="n">
        <f aca="false">IF(U70="OR",Upgrades!$F$10,IF(U70="HP",Upgrades!$F$11,IF(U70="transition",-Parameters!$B$18,0)))</f>
        <v>0</v>
      </c>
      <c r="X70" s="21" t="n">
        <f aca="false">T70-V70</f>
        <v>18.6730249835055</v>
      </c>
      <c r="Y70" s="30" t="n">
        <f aca="false">M70*Parameters!$B$10/60*Parameters!$B$11+O70*M70+N70</f>
        <v>20.55</v>
      </c>
      <c r="Z70" s="35" t="str">
        <f aca="false">IF(U70="transition","→ Tier 2 (Stellar Neighborhood)",IF(U70="FP","First Photons — light begins, system quickens",IF(U70="HP","Heliopause acquired",IF(U70="OR","Orbital Resonance — passive multiplier active",IF(AND(AO70=1,L70=0,AN70&lt;&gt;1),"Cohesion ready (waiting on completionist upgrades)","")))))</f>
        <v/>
      </c>
      <c r="AA70" s="27" t="n">
        <f aca="false">(IF(E70=0,0,(Upgrades!$G$6+E70*Upgrades!$H$6)*POWER(Upgrades!$I$6,E70)))*(IF(Upgrades!$T$7="Solar Wind",POWER(Upgrades!$U$7,F70),1)*IF(Upgrades!$T$8="Solar Wind",POWER(Upgrades!$U$8,G70),1)*IF(Upgrades!$T$9="Solar Wind",POWER(Upgrades!$U$9,H70),1)*IF(Upgrades!$T$10="Solar Wind",POWER(Upgrades!$U$10,I70),1)*IF(Upgrades!$T$11="Solar Wind",POWER(Upgrades!$U$11,J70),1)*IF(Upgrades!$T$12="Solar Wind",POWER(Upgrades!$U$12,K70),1))*POWER(Upgrades!$P$6,E70)*POWER(Upgrades!$P$7,F70)*POWER(Upgrades!$P$8,G70)*POWER(Upgrades!$P$9,H70)*POWER(Upgrades!$P$10,I70)*POWER(Upgrades!$P$11,J70)*POWER(Upgrades!$P$12,K70)*60</f>
        <v>72</v>
      </c>
      <c r="AB70" s="27" t="n">
        <f aca="false">(IF(F70=0,0,(Upgrades!$G$7+F70*Upgrades!$H$7)*POWER(Upgrades!$I$7,F70)))*(IF(Upgrades!$T$6="Asteroid Belt",POWER(Upgrades!$U$6,E70),1)*IF(Upgrades!$T$8="Asteroid Belt",POWER(Upgrades!$U$8,G70),1)*IF(Upgrades!$T$9="Asteroid Belt",POWER(Upgrades!$U$9,H70),1)*IF(Upgrades!$T$10="Asteroid Belt",POWER(Upgrades!$U$10,I70),1)*IF(Upgrades!$T$11="Asteroid Belt",POWER(Upgrades!$U$11,J70),1)*IF(Upgrades!$T$12="Asteroid Belt",POWER(Upgrades!$U$12,K70),1))*POWER(Upgrades!$P$6,E70)*POWER(Upgrades!$P$7,F70)*POWER(Upgrades!$P$8,G70)*POWER(Upgrades!$P$9,H70)*POWER(Upgrades!$P$10,I70)*POWER(Upgrades!$P$11,J70)*POWER(Upgrades!$P$12,K70)*60</f>
        <v>150</v>
      </c>
      <c r="AC70" s="27" t="n">
        <f aca="false">(IF(G70=0,0,(Upgrades!$J$8+G70*Upgrades!$K$8)*POWER(Upgrades!$L$8,G70)))*(IF(Upgrades!$T$6="Stellar Coupling",POWER(Upgrades!$U$6,E70),1)*IF(Upgrades!$T$7="Stellar Coupling",POWER(Upgrades!$U$7,F70),1)*IF(Upgrades!$T$9="Stellar Coupling",POWER(Upgrades!$U$9,H70),1)*IF(Upgrades!$T$10="Stellar Coupling",POWER(Upgrades!$U$10,I70),1)*IF(Upgrades!$T$11="Stellar Coupling",POWER(Upgrades!$U$11,J70),1)*IF(Upgrades!$T$12="Stellar Coupling",POWER(Upgrades!$U$12,K70),1))*POWER(Upgrades!$Q$6,E70)*POWER(Upgrades!$Q$7,F70)*POWER(Upgrades!$Q$8,G70)*POWER(Upgrades!$Q$9,H70)*POWER(Upgrades!$Q$10,I70)*POWER(Upgrades!$Q$11,J70)*POWER(Upgrades!$Q$12,K70)*Parameters!$B$10*Parameters!$B$11</f>
        <v>441</v>
      </c>
      <c r="AD70" s="27" t="n">
        <f aca="false">(IF(H70=0,0,(Upgrades!$G$9+H70*Upgrades!$H$9)*POWER(Upgrades!$I$9,H70)))*(IF(Upgrades!$T$6="Magnetosphere",POWER(Upgrades!$U$6,E70),1)*IF(Upgrades!$T$7="Magnetosphere",POWER(Upgrades!$U$7,F70),1)*IF(Upgrades!$T$8="Magnetosphere",POWER(Upgrades!$U$8,G70),1)*IF(Upgrades!$T$10="Magnetosphere",POWER(Upgrades!$U$10,I70),1)*IF(Upgrades!$T$11="Magnetosphere",POWER(Upgrades!$U$11,J70),1)*IF(Upgrades!$T$12="Magnetosphere",POWER(Upgrades!$U$12,K70),1))*POWER(Upgrades!$P$6,E70)*POWER(Upgrades!$P$7,F70)*POWER(Upgrades!$P$8,G70)*POWER(Upgrades!$P$9,H70)*POWER(Upgrades!$P$10,I70)*POWER(Upgrades!$P$11,J70)*POWER(Upgrades!$P$12,K70)*60</f>
        <v>375</v>
      </c>
      <c r="AE70" s="27" t="n">
        <f aca="false">(IF(K70=0,0,(Upgrades!$G$12+K70*Upgrades!$H$12)*POWER(Upgrades!$I$12,K70)))*(IF(Upgrades!$T$6="First Photons",POWER(Upgrades!$U$6,E70),1)*IF(Upgrades!$T$7="First Photons",POWER(Upgrades!$U$7,F70),1)*IF(Upgrades!$T$8="First Photons",POWER(Upgrades!$U$8,G70),1)*IF(Upgrades!$T$9="First Photons",POWER(Upgrades!$U$9,H70),1)*IF(Upgrades!$T$10="First Photons",POWER(Upgrades!$U$10,I70),1)*IF(Upgrades!$T$11="First Photons",POWER(Upgrades!$U$11,J70),1))*POWER(Upgrades!$P$6,E70)*POWER(Upgrades!$P$7,F70)*POWER(Upgrades!$P$8,G70)*POWER(Upgrades!$P$9,H70)*POWER(Upgrades!$P$10,I70)*POWER(Upgrades!$P$11,J70)*POWER(Upgrades!$P$12,K70)*60</f>
        <v>75</v>
      </c>
      <c r="AF70" s="27" t="n">
        <f aca="false">Parameters!$B$9*POWER(Upgrades!$Q$6,E70)*POWER(Upgrades!$Q$7,F70)*POWER(Upgrades!$Q$8,G70)*POWER(Upgrades!$Q$9,H70)*POWER(Upgrades!$Q$10,I70)*POWER(Upgrades!$Q$11,J70)*POWER(Upgrades!$Q$12,K70)*(Parameters!$B$10*Parameters!$B$11+O70*60)</f>
        <v>120</v>
      </c>
      <c r="AG70" s="21" t="n">
        <f aca="false">IF(E70&gt;=Upgrades!$E$6,"",Upgrades!$C$6*POWER(Upgrades!$D$6,E70))</f>
        <v>37.4517507383159</v>
      </c>
      <c r="AH70" s="21" t="n">
        <f aca="false">IF(F70&gt;=Upgrades!$E$7,"",Upgrades!$C$7*POWER(Upgrades!$D$7,F70))</f>
        <v>80.9111547141581</v>
      </c>
      <c r="AI70" s="21" t="n">
        <f aca="false">IF(G70&gt;=Upgrades!$E$8,"",Upgrades!$C$8*POWER(Upgrades!$D$8,G70))</f>
        <v>231.9097088</v>
      </c>
      <c r="AJ70" s="21" t="str">
        <f aca="false">IF(H70&gt;=Upgrades!$E$9,"",Upgrades!$C$9*POWER(Upgrades!$D$9,H70))</f>
        <v/>
      </c>
      <c r="AK70" s="21" t="str">
        <f aca="false">IF(I70&gt;=Upgrades!$E$10,"",Upgrades!$C$10*POWER(Upgrades!$D$10,I70))</f>
        <v/>
      </c>
      <c r="AL70" s="21" t="str">
        <f aca="false">IF(J70&gt;=Upgrades!$E$11,"",Upgrades!$C$11*POWER(Upgrades!$D$11,J70))</f>
        <v/>
      </c>
      <c r="AM70" s="21" t="str">
        <f aca="false">IF(K70&gt;=Upgrades!$E$12,"",Upgrades!$C$12*POWER(Upgrades!$D$12,K70))</f>
        <v/>
      </c>
      <c r="AN70" s="26" t="str">
        <f aca="false">IF(AND(D70&gt;=Parameters!$B$18,(H70&gt;=Upgrades!$E$9)*(K70&gt;=Upgrades!$E$12)=1,L70=0),1,"")</f>
        <v/>
      </c>
      <c r="AO70" s="26" t="str">
        <f aca="false">IF(AND(D70&gt;=Parameters!$B$18,L70=0),1,"")</f>
        <v/>
      </c>
      <c r="AP70" s="21" t="n">
        <f aca="false">MIN(IF(ISNUMBER(AK70),AK70,9000000000000000),IF(ISNUMBER(AL70),AL70,9000000000000000),IF(ISNUMBER(AM70),AM70,9000000000000000))</f>
        <v>9000000000000000</v>
      </c>
      <c r="AQ70" s="21" t="n">
        <f aca="false">MIN(IF(ISNUMBER(AG70),AG70,9000000000000000),IF(ISNUMBER(AH70),AH70,9000000000000000),IF(ISNUMBER(AI70),AI70,9000000000000000),IF(ISNUMBER(AJ70),AJ70,9000000000000000))</f>
        <v>37.4517507383159</v>
      </c>
      <c r="AR70" s="32" t="b">
        <f aca="false">IF(AW70&gt;Parameters!$B$21*(MAX(IF(AND(NOT(AND(AO70=1,AN70&lt;&gt;1)),ISNUMBER(AG70),AG70&lt;=T70),AS70,0),IF(AND(NOT(AND(AO70=1,AN70&lt;&gt;1)),ISNUMBER(AH70),AH70&lt;=T70),AT70,0),IF(AND(NOT(AND(AO70=1,AN70&lt;&gt;1)),ISNUMBER(AI70),AI70&lt;=T70),AU70,0),IF(AND(ISNUMBER(AJ70),AJ70&lt;=T70),AV70,0))),TRUE(),FALSE())</f>
        <v>1</v>
      </c>
      <c r="AS70" s="33" t="n">
        <f aca="false">IFERROR(Upgrades!$H$6*(POWER(Upgrades!$P$6,E70)*POWER(Upgrades!$P$7,F70)*POWER(Upgrades!$P$8,G70)*POWER(Upgrades!$P$9,H70)*POWER(Upgrades!$P$10,I70)*POWER(Upgrades!$P$11,J70)*POWER(Upgrades!$P$12,K70))*(IF(Upgrades!$T$7="Solar Wind",POWER(Upgrades!$U$7,F70),1)*IF(Upgrades!$T$8="Solar Wind",POWER(Upgrades!$U$8,G70),1)*IF(Upgrades!$T$9="Solar Wind",POWER(Upgrades!$U$9,H70),1)*IF(Upgrades!$T$10="Solar Wind",POWER(Upgrades!$U$10,I70),1)*IF(Upgrades!$T$11="Solar Wind",POWER(Upgrades!$U$11,J70),1)*IF(Upgrades!$T$12="Solar Wind",POWER(Upgrades!$U$12,K70),1))/AG70,0)</f>
        <v>0.0026701021455238</v>
      </c>
      <c r="AT70" s="33" t="n">
        <f aca="false">IFERROR(Upgrades!$H$7*(POWER(Upgrades!$P$6,E70)*POWER(Upgrades!$P$7,F70)*POWER(Upgrades!$P$8,G70)*POWER(Upgrades!$P$9,H70)*POWER(Upgrades!$P$10,I70)*POWER(Upgrades!$P$11,J70)*POWER(Upgrades!$P$12,K70))*(IF(Upgrades!$T$6="Asteroid Belt",POWER(Upgrades!$U$6,E70),1)*IF(Upgrades!$T$8="Asteroid Belt",POWER(Upgrades!$U$8,G70),1)*IF(Upgrades!$T$9="Asteroid Belt",POWER(Upgrades!$U$9,H70),1)*IF(Upgrades!$T$10="Asteroid Belt",POWER(Upgrades!$U$10,I70),1)*IF(Upgrades!$T$11="Asteroid Belt",POWER(Upgrades!$U$11,J70),1)*IF(Upgrades!$T$12="Asteroid Belt",POWER(Upgrades!$U$12,K70),1))/AH70,0)</f>
        <v>0.00308980882652332</v>
      </c>
      <c r="AU70" s="33" t="n">
        <f aca="false">IFERROR(Upgrades!$K$8*(POWER(Upgrades!$Q$6,E70)*POWER(Upgrades!$Q$7,F70)*POWER(Upgrades!$Q$8,G70)*POWER(Upgrades!$Q$9,H70)*POWER(Upgrades!$Q$10,I70)*POWER(Upgrades!$Q$11,J70)*POWER(Upgrades!$Q$12,K70))*(IF(Upgrades!$T$6="Stellar Coupling",POWER(Upgrades!$U$6,E70),1)*IF(Upgrades!$T$7="Stellar Coupling",POWER(Upgrades!$U$7,F70),1)*IF(Upgrades!$T$9="Stellar Coupling",POWER(Upgrades!$U$9,H70),1)*IF(Upgrades!$T$10="Stellar Coupling",POWER(Upgrades!$U$10,I70),1)*IF(Upgrades!$T$11="Stellar Coupling",POWER(Upgrades!$U$11,J70),1)*IF(Upgrades!$T$12="Stellar Coupling",POWER(Upgrades!$U$12,K70),1))*Parameters!$B$10*Parameters!$B$11/60/AI70,0)</f>
        <v>0.00452762415783776</v>
      </c>
      <c r="AV70" s="33" t="n">
        <f aca="false">IFERROR(Upgrades!$H$9*(POWER(Upgrades!$P$6,E70)*POWER(Upgrades!$P$7,F70)*POWER(Upgrades!$P$8,G70)*POWER(Upgrades!$P$9,H70)*POWER(Upgrades!$P$10,I70)*POWER(Upgrades!$P$11,J70)*POWER(Upgrades!$P$12,K70))*(IF(Upgrades!$T$6="Magnetosphere",POWER(Upgrades!$U$6,E70),1)*IF(Upgrades!$T$7="Magnetosphere",POWER(Upgrades!$U$7,F70),1)*IF(Upgrades!$T$8="Magnetosphere",POWER(Upgrades!$U$8,G70),1)*IF(Upgrades!$T$10="Magnetosphere",POWER(Upgrades!$U$10,I70),1)*IF(Upgrades!$T$11="Magnetosphere",POWER(Upgrades!$U$11,J70),1)*IF(Upgrades!$T$12="Magnetosphere",POWER(Upgrades!$U$12,K70),1))/AJ70,0)</f>
        <v>0</v>
      </c>
      <c r="AW70" s="33" t="n">
        <f aca="false">MAX(IF(I70&gt;0,0,IFERROR(0.25*N70/Upgrades!$C$10,0)),IF(J70&gt;0,0,IFERROR(0.5*((IF(G70=0,0,(Upgrades!$J$8+G70*Upgrades!$K$8)*POWER(Upgrades!$L$8,G70)))*(IF(Upgrades!$T$6="Stellar Coupling",POWER(Upgrades!$U$6,E70),1)*IF(Upgrades!$T$7="Stellar Coupling",POWER(Upgrades!$U$7,F70),1)*IF(Upgrades!$T$9="Stellar Coupling",POWER(Upgrades!$U$9,H70),1)*IF(Upgrades!$T$10="Stellar Coupling",POWER(Upgrades!$U$10,I70),1)*IF(Upgrades!$T$11="Stellar Coupling",POWER(Upgrades!$U$11,J70),1)*IF(Upgrades!$T$12="Stellar Coupling",POWER(Upgrades!$U$12,K70),1))*(POWER(Upgrades!$Q$6,E70)*POWER(Upgrades!$Q$7,F70)*POWER(Upgrades!$Q$8,G70)*POWER(Upgrades!$Q$9,H70)*POWER(Upgrades!$Q$10,I70)*POWER(Upgrades!$Q$11,J70)*POWER(Upgrades!$Q$12,K70))*Parameters!$B$10*Parameters!$B$11/60)/Upgrades!$C$11,0)),IF(K70&gt;0,0,IFERROR((1*(POWER(Upgrades!$P$6,E70)*POWER(Upgrades!$P$7,F70)*POWER(Upgrades!$P$8,G70)*POWER(Upgrades!$P$9,H70)*POWER(Upgrades!$P$10,I70)*POWER(Upgrades!$P$11,J70)*POWER(Upgrades!$P$12,K70))+0.2*M70*Parameters!$B$10*Parameters!$B$11/60)/Upgrades!$C$12,0)),IF(AND(ISNUMBER(AG70),AG70&gt;T70),AS70,0),IF(AND(ISNUMBER(AH70),AH70&gt;T70),AT70,0),IF(AND(ISNUMBER(AI70),AI70&gt;T70),AU70,0),IF(AND(ISNUMBER(AJ70),AJ70&gt;T70),AV70,0))</f>
        <v>0.00452762415783776</v>
      </c>
      <c r="AX70" s="29" t="str">
        <f aca="false">IF(AN70=1,"transition",IF(MIN(IF(AND(I70=0,ISNUMBER(AK70),AK70&lt;=T70),AK70,9000000000000000),IF(AND(J70=0,ISNUMBER(AL70),AL70&lt;=T70),AL70,9000000000000000),IF(AND(K70=0,ISNUMBER(AM70),AM70&lt;=T70),AM70,9000000000000000))&lt;9000000000000000,IF(AND(AND(I70=0,ISNUMBER(AK70),AK70&lt;=T70),AK70=MIN(IF(AND(I70=0,ISNUMBER(AK70),AK70&lt;=T70),AK70,9000000000000000),IF(AND(J70=0,ISNUMBER(AL70),AL70&lt;=T70),AL70,9000000000000000),IF(AND(K70=0,ISNUMBER(AM70),AM70&lt;=T70),AM70,9000000000000000))),"OR",IF(AND(AND(J70=0,ISNUMBER(AL70),AL70&lt;=T70),AL70=MIN(IF(AND(I70=0,ISNUMBER(AK70),AK70&lt;=T70),AK70,9000000000000000),IF(AND(J70=0,ISNUMBER(AL70),AL70&lt;=T70),AL70,9000000000000000),IF(AND(K70=0,ISNUMBER(AM70),AM70&lt;=T70),AM70,9000000000000000))),"HP","FP")),IF(AR70=TRUE(),"",IF(MAX(IF(AND(NOT(AND(AO70=1,AN70&lt;&gt;1)),ISNUMBER(AG70),AG70&lt;=T70),AS70,0),IF(AND(NOT(AND(AO70=1,AN70&lt;&gt;1)),ISNUMBER(AH70),AH70&lt;=T70),AT70,0),IF(AND(NOT(AND(AO70=1,AN70&lt;&gt;1)),ISNUMBER(AI70),AI70&lt;=T70),AU70,0),IF(AND(ISNUMBER(AJ70),AJ70&lt;=T70),AV70,0))&lt;=0,"",IF(AND(IF(AND(NOT(AND(AO70=1,AN70&lt;&gt;1)),ISNUMBER(AG70),AG70&lt;=T70),AS70,0)&gt;0,IF(AND(NOT(AND(AO70=1,AN70&lt;&gt;1)),ISNUMBER(AG70),AG70&lt;=T70),AS70,0)=MAX(IF(AND(NOT(AND(AO70=1,AN70&lt;&gt;1)),ISNUMBER(AG70),AG70&lt;=T70),AS70,0),IF(AND(NOT(AND(AO70=1,AN70&lt;&gt;1)),ISNUMBER(AH70),AH70&lt;=T70),AT70,0),IF(AND(NOT(AND(AO70=1,AN70&lt;&gt;1)),ISNUMBER(AI70),AI70&lt;=T70),AU70,0),IF(AND(ISNUMBER(AJ70),AJ70&lt;=T70),AV70,0))),"SW",IF(AND(IF(AND(NOT(AND(AO70=1,AN70&lt;&gt;1)),ISNUMBER(AH70),AH70&lt;=T70),AT70,0)&gt;0,IF(AND(NOT(AND(AO70=1,AN70&lt;&gt;1)),ISNUMBER(AH70),AH70&lt;=T70),AT70,0)=MAX(IF(AND(NOT(AND(AO70=1,AN70&lt;&gt;1)),ISNUMBER(AG70),AG70&lt;=T70),AS70,0),IF(AND(NOT(AND(AO70=1,AN70&lt;&gt;1)),ISNUMBER(AH70),AH70&lt;=T70),AT70,0),IF(AND(NOT(AND(AO70=1,AN70&lt;&gt;1)),ISNUMBER(AI70),AI70&lt;=T70),AU70,0),IF(AND(ISNUMBER(AJ70),AJ70&lt;=T70),AV70,0))),"AB",IF(AND(IF(AND(NOT(AND(AO70=1,AN70&lt;&gt;1)),ISNUMBER(AI70),AI70&lt;=T70),AU70,0)&gt;0,IF(AND(NOT(AND(AO70=1,AN70&lt;&gt;1)),ISNUMBER(AI70),AI70&lt;=T70),AU70,0)=MAX(IF(AND(NOT(AND(AO70=1,AN70&lt;&gt;1)),ISNUMBER(AG70),AG70&lt;=T70),AS70,0),IF(AND(NOT(AND(AO70=1,AN70&lt;&gt;1)),ISNUMBER(AH70),AH70&lt;=T70),AT70,0),IF(AND(NOT(AND(AO70=1,AN70&lt;&gt;1)),ISNUMBER(AI70),AI70&lt;=T70),AU70,0),IF(AND(ISNUMBER(AJ70),AJ70&lt;=T70),AV70,0))),"SC","Mag")))))))</f>
        <v/>
      </c>
    </row>
    <row r="71" customFormat="false" ht="15" hidden="false" customHeight="false" outlineLevel="0" collapsed="false">
      <c r="A71" s="26" t="n">
        <v>66</v>
      </c>
      <c r="B71" s="27" t="n">
        <f aca="false">A71*10/60</f>
        <v>11</v>
      </c>
      <c r="C71" s="21" t="n">
        <f aca="false">X70</f>
        <v>18.6730249835055</v>
      </c>
      <c r="D71" s="27" t="n">
        <f aca="false">D70+W70</f>
        <v>0</v>
      </c>
      <c r="E71" s="26" t="n">
        <f aca="false">E70+IF(U70="SW",1,0)</f>
        <v>12</v>
      </c>
      <c r="F71" s="26" t="n">
        <f aca="false">F70+IF(U70="AB",1,0)</f>
        <v>10</v>
      </c>
      <c r="G71" s="26" t="n">
        <f aca="false">G70+IF(U70="SC",1,0)</f>
        <v>7</v>
      </c>
      <c r="H71" s="26" t="n">
        <f aca="false">H70+IF(U70="Mag",1,0)</f>
        <v>5</v>
      </c>
      <c r="I71" s="26" t="n">
        <f aca="false">MAX(I70,IF(U70="OR",1,0))</f>
        <v>1</v>
      </c>
      <c r="J71" s="26" t="n">
        <f aca="false">MAX(J70,IF(U70="HP",1,0))</f>
        <v>1</v>
      </c>
      <c r="K71" s="26" t="n">
        <f aca="false">MAX(K70,IF(U70="FP",1,0))</f>
        <v>1</v>
      </c>
      <c r="L71" s="26" t="n">
        <f aca="false">MAX(L70,IF(U70="transition",1,0))</f>
        <v>1</v>
      </c>
      <c r="M71" s="28" t="n">
        <f aca="false">(Parameters!$B$9+(IF(E71=0,0,(Upgrades!$J$6+E71*Upgrades!$K$6)*POWER(Upgrades!$L$6,E71)))*(IF(Upgrades!$T$7="Solar Wind",POWER(Upgrades!$U$7,F71),1)*IF(Upgrades!$T$8="Solar Wind",POWER(Upgrades!$U$8,G71),1)*IF(Upgrades!$T$9="Solar Wind",POWER(Upgrades!$U$9,H71),1)*IF(Upgrades!$T$10="Solar Wind",POWER(Upgrades!$U$10,I71),1)*IF(Upgrades!$T$11="Solar Wind",POWER(Upgrades!$U$11,J71),1)*IF(Upgrades!$T$12="Solar Wind",POWER(Upgrades!$U$12,K71),1))+(IF(F71=0,0,(Upgrades!$J$7+F71*Upgrades!$K$7)*POWER(Upgrades!$L$7,F71)))*(IF(Upgrades!$T$6="Asteroid Belt",POWER(Upgrades!$U$6,E71),1)*IF(Upgrades!$T$8="Asteroid Belt",POWER(Upgrades!$U$8,G71),1)*IF(Upgrades!$T$9="Asteroid Belt",POWER(Upgrades!$U$9,H71),1)*IF(Upgrades!$T$10="Asteroid Belt",POWER(Upgrades!$U$10,I71),1)*IF(Upgrades!$T$11="Asteroid Belt",POWER(Upgrades!$U$11,J71),1)*IF(Upgrades!$T$12="Asteroid Belt",POWER(Upgrades!$U$12,K71),1))+(IF(G71=0,0,(Upgrades!$J$8+G71*Upgrades!$K$8)*POWER(Upgrades!$L$8,G71)))*(IF(Upgrades!$T$6="Stellar Coupling",POWER(Upgrades!$U$6,E71),1)*IF(Upgrades!$T$7="Stellar Coupling",POWER(Upgrades!$U$7,F71),1)*IF(Upgrades!$T$9="Stellar Coupling",POWER(Upgrades!$U$9,H71),1)*IF(Upgrades!$T$10="Stellar Coupling",POWER(Upgrades!$U$10,I71),1)*IF(Upgrades!$T$11="Stellar Coupling",POWER(Upgrades!$U$11,J71),1)*IF(Upgrades!$T$12="Stellar Coupling",POWER(Upgrades!$U$12,K71),1))+(IF(H71=0,0,(Upgrades!$J$9+H71*Upgrades!$K$9)*POWER(Upgrades!$L$9,H71)))*(IF(Upgrades!$T$6="Magnetosphere",POWER(Upgrades!$U$6,E71),1)*IF(Upgrades!$T$7="Magnetosphere",POWER(Upgrades!$U$7,F71),1)*IF(Upgrades!$T$8="Magnetosphere",POWER(Upgrades!$U$8,G71),1)*IF(Upgrades!$T$10="Magnetosphere",POWER(Upgrades!$U$10,I71),1)*IF(Upgrades!$T$11="Magnetosphere",POWER(Upgrades!$U$11,J71),1)*IF(Upgrades!$T$12="Magnetosphere",POWER(Upgrades!$U$12,K71),1))+(IF(I71=0,0,(Upgrades!$J$10+I71*Upgrades!$K$10)*POWER(Upgrades!$L$10,I71)))*(IF(Upgrades!$T$6="Orbital Resonance",POWER(Upgrades!$U$6,E71),1)*IF(Upgrades!$T$7="Orbital Resonance",POWER(Upgrades!$U$7,F71),1)*IF(Upgrades!$T$8="Orbital Resonance",POWER(Upgrades!$U$8,G71),1)*IF(Upgrades!$T$9="Orbital Resonance",POWER(Upgrades!$U$9,H71),1)*IF(Upgrades!$T$11="Orbital Resonance",POWER(Upgrades!$U$11,J71),1)*IF(Upgrades!$T$12="Orbital Resonance",POWER(Upgrades!$U$12,K71),1))+(IF(J71=0,0,(Upgrades!$J$11+J71*Upgrades!$K$11)*POWER(Upgrades!$L$11,J71)))*(IF(Upgrades!$T$6="Heliopause",POWER(Upgrades!$U$6,E71),1)*IF(Upgrades!$T$7="Heliopause",POWER(Upgrades!$U$7,F71),1)*IF(Upgrades!$T$8="Heliopause",POWER(Upgrades!$U$8,G71),1)*IF(Upgrades!$T$9="Heliopause",POWER(Upgrades!$U$9,H71),1)*IF(Upgrades!$T$10="Heliopause",POWER(Upgrades!$U$10,I71),1)*IF(Upgrades!$T$12="Heliopause",POWER(Upgrades!$U$12,K71),1))+(IF(K71=0,0,(Upgrades!$J$12+K71*Upgrades!$K$12)*POWER(Upgrades!$L$12,K71)))*(IF(Upgrades!$T$6="First Photons",POWER(Upgrades!$U$6,E71),1)*IF(Upgrades!$T$7="First Photons",POWER(Upgrades!$U$7,F71),1)*IF(Upgrades!$T$8="First Photons",POWER(Upgrades!$U$8,G71),1)*IF(Upgrades!$T$9="First Photons",POWER(Upgrades!$U$9,H71),1)*IF(Upgrades!$T$10="First Photons",POWER(Upgrades!$U$10,I71),1)*IF(Upgrades!$T$11="First Photons",POWER(Upgrades!$U$11,J71),1)))*POWER(Upgrades!$Q$6,E71)*POWER(Upgrades!$Q$7,F71)*POWER(Upgrades!$Q$8,G71)*POWER(Upgrades!$Q$9,H71)*POWER(Upgrades!$Q$10,I71)*POWER(Upgrades!$Q$11,J71)*POWER(Upgrades!$Q$12,K71)</f>
        <v>5.61</v>
      </c>
      <c r="N71" s="28" t="n">
        <f aca="false">((IF(E71=0,0,(Upgrades!$G$6+E71*Upgrades!$H$6)*POWER(Upgrades!$I$6,E71)))*(IF(Upgrades!$T$7="Solar Wind",POWER(Upgrades!$U$7,F71),1)*IF(Upgrades!$T$8="Solar Wind",POWER(Upgrades!$U$8,G71),1)*IF(Upgrades!$T$9="Solar Wind",POWER(Upgrades!$U$9,H71),1)*IF(Upgrades!$T$10="Solar Wind",POWER(Upgrades!$U$10,I71),1)*IF(Upgrades!$T$11="Solar Wind",POWER(Upgrades!$U$11,J71),1)*IF(Upgrades!$T$12="Solar Wind",POWER(Upgrades!$U$12,K71),1))+(IF(F71=0,0,(Upgrades!$G$7+F71*Upgrades!$H$7)*POWER(Upgrades!$I$7,F71)))*(IF(Upgrades!$T$6="Asteroid Belt",POWER(Upgrades!$U$6,E71),1)*IF(Upgrades!$T$8="Asteroid Belt",POWER(Upgrades!$U$8,G71),1)*IF(Upgrades!$T$9="Asteroid Belt",POWER(Upgrades!$U$9,H71),1)*IF(Upgrades!$T$10="Asteroid Belt",POWER(Upgrades!$U$10,I71),1)*IF(Upgrades!$T$11="Asteroid Belt",POWER(Upgrades!$U$11,J71),1)*IF(Upgrades!$T$12="Asteroid Belt",POWER(Upgrades!$U$12,K71),1))+(IF(G71=0,0,(Upgrades!$G$8+G71*Upgrades!$H$8)*POWER(Upgrades!$I$8,G71)))*(IF(Upgrades!$T$6="Stellar Coupling",POWER(Upgrades!$U$6,E71),1)*IF(Upgrades!$T$7="Stellar Coupling",POWER(Upgrades!$U$7,F71),1)*IF(Upgrades!$T$9="Stellar Coupling",POWER(Upgrades!$U$9,H71),1)*IF(Upgrades!$T$10="Stellar Coupling",POWER(Upgrades!$U$10,I71),1)*IF(Upgrades!$T$11="Stellar Coupling",POWER(Upgrades!$U$11,J71),1)*IF(Upgrades!$T$12="Stellar Coupling",POWER(Upgrades!$U$12,K71),1))+(IF(H71=0,0,(Upgrades!$G$9+H71*Upgrades!$H$9)*POWER(Upgrades!$I$9,H71)))*(IF(Upgrades!$T$6="Magnetosphere",POWER(Upgrades!$U$6,E71),1)*IF(Upgrades!$T$7="Magnetosphere",POWER(Upgrades!$U$7,F71),1)*IF(Upgrades!$T$8="Magnetosphere",POWER(Upgrades!$U$8,G71),1)*IF(Upgrades!$T$10="Magnetosphere",POWER(Upgrades!$U$10,I71),1)*IF(Upgrades!$T$11="Magnetosphere",POWER(Upgrades!$U$11,J71),1)*IF(Upgrades!$T$12="Magnetosphere",POWER(Upgrades!$U$12,K71),1))+(IF(I71=0,0,(Upgrades!$G$10+I71*Upgrades!$H$10)*POWER(Upgrades!$I$10,I71)))*(IF(Upgrades!$T$6="Orbital Resonance",POWER(Upgrades!$U$6,E71),1)*IF(Upgrades!$T$7="Orbital Resonance",POWER(Upgrades!$U$7,F71),1)*IF(Upgrades!$T$8="Orbital Resonance",POWER(Upgrades!$U$8,G71),1)*IF(Upgrades!$T$9="Orbital Resonance",POWER(Upgrades!$U$9,H71),1)*IF(Upgrades!$T$11="Orbital Resonance",POWER(Upgrades!$U$11,J71),1)*IF(Upgrades!$T$12="Orbital Resonance",POWER(Upgrades!$U$12,K71),1))+(IF(J71=0,0,(Upgrades!$G$11+J71*Upgrades!$H$11)*POWER(Upgrades!$I$11,J71)))*(IF(Upgrades!$T$6="Heliopause",POWER(Upgrades!$U$6,E71),1)*IF(Upgrades!$T$7="Heliopause",POWER(Upgrades!$U$7,F71),1)*IF(Upgrades!$T$8="Heliopause",POWER(Upgrades!$U$8,G71),1)*IF(Upgrades!$T$9="Heliopause",POWER(Upgrades!$U$9,H71),1)*IF(Upgrades!$T$10="Heliopause",POWER(Upgrades!$U$10,I71),1)*IF(Upgrades!$T$12="Heliopause",POWER(Upgrades!$U$12,K71),1))+(IF(K71=0,0,(Upgrades!$G$12+K71*Upgrades!$H$12)*POWER(Upgrades!$I$12,K71)))*(IF(Upgrades!$T$6="First Photons",POWER(Upgrades!$U$6,E71),1)*IF(Upgrades!$T$7="First Photons",POWER(Upgrades!$U$7,F71),1)*IF(Upgrades!$T$8="First Photons",POWER(Upgrades!$U$8,G71),1)*IF(Upgrades!$T$9="First Photons",POWER(Upgrades!$U$9,H71),1)*IF(Upgrades!$T$10="First Photons",POWER(Upgrades!$U$10,I71),1)*IF(Upgrades!$T$11="First Photons",POWER(Upgrades!$U$11,J71),1)))*POWER(Upgrades!$P$6,E71)*POWER(Upgrades!$P$7,F71)*POWER(Upgrades!$P$8,G71)*POWER(Upgrades!$P$9,H71)*POWER(Upgrades!$P$10,I71)*POWER(Upgrades!$P$11,J71)*POWER(Upgrades!$P$12,K71)</f>
        <v>11.2</v>
      </c>
      <c r="O71" s="28" t="n">
        <f aca="false">((IF(E71=0,0,(Upgrades!$M$6+E71*Upgrades!$N$6)*POWER(Upgrades!$O$6,E71)))*(IF(Upgrades!$T$7="Solar Wind",POWER(Upgrades!$U$7,F71),1)*IF(Upgrades!$T$8="Solar Wind",POWER(Upgrades!$U$8,G71),1)*IF(Upgrades!$T$9="Solar Wind",POWER(Upgrades!$U$9,H71),1)*IF(Upgrades!$T$10="Solar Wind",POWER(Upgrades!$U$10,I71),1)*IF(Upgrades!$T$11="Solar Wind",POWER(Upgrades!$U$11,J71),1)*IF(Upgrades!$T$12="Solar Wind",POWER(Upgrades!$U$12,K71),1))+(IF(F71=0,0,(Upgrades!$M$7+F71*Upgrades!$N$7)*POWER(Upgrades!$O$7,F71)))*(IF(Upgrades!$T$6="Asteroid Belt",POWER(Upgrades!$U$6,E71),1)*IF(Upgrades!$T$8="Asteroid Belt",POWER(Upgrades!$U$8,G71),1)*IF(Upgrades!$T$9="Asteroid Belt",POWER(Upgrades!$U$9,H71),1)*IF(Upgrades!$T$10="Asteroid Belt",POWER(Upgrades!$U$10,I71),1)*IF(Upgrades!$T$11="Asteroid Belt",POWER(Upgrades!$U$11,J71),1)*IF(Upgrades!$T$12="Asteroid Belt",POWER(Upgrades!$U$12,K71),1))+(IF(G71=0,0,(Upgrades!$M$8+G71*Upgrades!$N$8)*POWER(Upgrades!$O$8,G71)))*(IF(Upgrades!$T$6="Stellar Coupling",POWER(Upgrades!$U$6,E71),1)*IF(Upgrades!$T$7="Stellar Coupling",POWER(Upgrades!$U$7,F71),1)*IF(Upgrades!$T$9="Stellar Coupling",POWER(Upgrades!$U$9,H71),1)*IF(Upgrades!$T$10="Stellar Coupling",POWER(Upgrades!$U$10,I71),1)*IF(Upgrades!$T$11="Stellar Coupling",POWER(Upgrades!$U$11,J71),1)*IF(Upgrades!$T$12="Stellar Coupling",POWER(Upgrades!$U$12,K71),1))+(IF(H71=0,0,(Upgrades!$M$9+H71*Upgrades!$N$9)*POWER(Upgrades!$O$9,H71)))*(IF(Upgrades!$T$6="Magnetosphere",POWER(Upgrades!$U$6,E71),1)*IF(Upgrades!$T$7="Magnetosphere",POWER(Upgrades!$U$7,F71),1)*IF(Upgrades!$T$8="Magnetosphere",POWER(Upgrades!$U$8,G71),1)*IF(Upgrades!$T$10="Magnetosphere",POWER(Upgrades!$U$10,I71),1)*IF(Upgrades!$T$11="Magnetosphere",POWER(Upgrades!$U$11,J71),1)*IF(Upgrades!$T$12="Magnetosphere",POWER(Upgrades!$U$12,K71),1))+(IF(I71=0,0,(Upgrades!$M$10+I71*Upgrades!$N$10)*POWER(Upgrades!$O$10,I71)))*(IF(Upgrades!$T$6="Orbital Resonance",POWER(Upgrades!$U$6,E71),1)*IF(Upgrades!$T$7="Orbital Resonance",POWER(Upgrades!$U$7,F71),1)*IF(Upgrades!$T$8="Orbital Resonance",POWER(Upgrades!$U$8,G71),1)*IF(Upgrades!$T$9="Orbital Resonance",POWER(Upgrades!$U$9,H71),1)*IF(Upgrades!$T$11="Orbital Resonance",POWER(Upgrades!$U$11,J71),1)*IF(Upgrades!$T$12="Orbital Resonance",POWER(Upgrades!$U$12,K71),1))+(IF(J71=0,0,(Upgrades!$M$11+J71*Upgrades!$N$11)*POWER(Upgrades!$O$11,J71)))*(IF(Upgrades!$T$6="Heliopause",POWER(Upgrades!$U$6,E71),1)*IF(Upgrades!$T$7="Heliopause",POWER(Upgrades!$U$7,F71),1)*IF(Upgrades!$T$8="Heliopause",POWER(Upgrades!$U$8,G71),1)*IF(Upgrades!$T$9="Heliopause",POWER(Upgrades!$U$9,H71),1)*IF(Upgrades!$T$10="Heliopause",POWER(Upgrades!$U$10,I71),1)*IF(Upgrades!$T$12="Heliopause",POWER(Upgrades!$U$12,K71),1))+(IF(K71=0,0,(Upgrades!$M$12+K71*Upgrades!$N$12)*POWER(Upgrades!$O$12,K71)))*(IF(Upgrades!$T$6="First Photons",POWER(Upgrades!$U$6,E71),1)*IF(Upgrades!$T$7="First Photons",POWER(Upgrades!$U$7,F71),1)*IF(Upgrades!$T$8="First Photons",POWER(Upgrades!$U$8,G71),1)*IF(Upgrades!$T$9="First Photons",POWER(Upgrades!$U$9,H71),1)*IF(Upgrades!$T$10="First Photons",POWER(Upgrades!$U$10,I71),1)*IF(Upgrades!$T$11="First Photons",POWER(Upgrades!$U$11,J71),1)))*POWER(Upgrades!$R$6,E71)*POWER(Upgrades!$R$7,F71)*POWER(Upgrades!$R$8,G71)*POWER(Upgrades!$R$9,H71)*POWER(Upgrades!$R$10,I71)*POWER(Upgrades!$R$11,J71)*POWER(Upgrades!$R$12,K71)</f>
        <v>0</v>
      </c>
      <c r="P71" s="27" t="n">
        <f aca="false">IF(L71=1,0,M71*Parameters!$B$10/60*Parameters!$B$11*10)</f>
        <v>0</v>
      </c>
      <c r="Q71" s="27" t="n">
        <f aca="false">IF(L71=1,0,O71*M71*10)</f>
        <v>0</v>
      </c>
      <c r="R71" s="27" t="n">
        <f aca="false">IF(L71=1,0,N71*10)</f>
        <v>0</v>
      </c>
      <c r="S71" s="27" t="n">
        <f aca="false">P71+Q71+R71</f>
        <v>0</v>
      </c>
      <c r="T71" s="21" t="n">
        <f aca="false">C71+S71</f>
        <v>18.6730249835055</v>
      </c>
      <c r="U71" s="34" t="str">
        <f aca="false">AX71</f>
        <v/>
      </c>
      <c r="V71" s="21" t="n">
        <f aca="false">IF(U71="",0,IF(U71="transition",0,IF(U71="SW",AG71,IF(U71="AB",AH71,IF(U71="SC",AI71,IF(U71="Mag",AJ71,IF(U71="OR",AK71,IF(U71="HP",AL71,IF(U71="FP",AM71,0)))))))))</f>
        <v>0</v>
      </c>
      <c r="W71" s="27" t="n">
        <f aca="false">IF(U71="OR",Upgrades!$F$10,IF(U71="HP",Upgrades!$F$11,IF(U71="transition",-Parameters!$B$18,0)))</f>
        <v>0</v>
      </c>
      <c r="X71" s="21" t="n">
        <f aca="false">T71-V71</f>
        <v>18.6730249835055</v>
      </c>
      <c r="Y71" s="30" t="n">
        <f aca="false">M71*Parameters!$B$10/60*Parameters!$B$11+O71*M71+N71</f>
        <v>20.55</v>
      </c>
      <c r="Z71" s="35" t="str">
        <f aca="false">IF(U71="transition","→ Tier 2 (Stellar Neighborhood)",IF(U71="FP","First Photons — light begins, system quickens",IF(U71="HP","Heliopause acquired",IF(U71="OR","Orbital Resonance — passive multiplier active",IF(AND(AO71=1,L71=0,AN71&lt;&gt;1),"Cohesion ready (waiting on completionist upgrades)","")))))</f>
        <v/>
      </c>
      <c r="AA71" s="27" t="n">
        <f aca="false">(IF(E71=0,0,(Upgrades!$G$6+E71*Upgrades!$H$6)*POWER(Upgrades!$I$6,E71)))*(IF(Upgrades!$T$7="Solar Wind",POWER(Upgrades!$U$7,F71),1)*IF(Upgrades!$T$8="Solar Wind",POWER(Upgrades!$U$8,G71),1)*IF(Upgrades!$T$9="Solar Wind",POWER(Upgrades!$U$9,H71),1)*IF(Upgrades!$T$10="Solar Wind",POWER(Upgrades!$U$10,I71),1)*IF(Upgrades!$T$11="Solar Wind",POWER(Upgrades!$U$11,J71),1)*IF(Upgrades!$T$12="Solar Wind",POWER(Upgrades!$U$12,K71),1))*POWER(Upgrades!$P$6,E71)*POWER(Upgrades!$P$7,F71)*POWER(Upgrades!$P$8,G71)*POWER(Upgrades!$P$9,H71)*POWER(Upgrades!$P$10,I71)*POWER(Upgrades!$P$11,J71)*POWER(Upgrades!$P$12,K71)*60</f>
        <v>72</v>
      </c>
      <c r="AB71" s="27" t="n">
        <f aca="false">(IF(F71=0,0,(Upgrades!$G$7+F71*Upgrades!$H$7)*POWER(Upgrades!$I$7,F71)))*(IF(Upgrades!$T$6="Asteroid Belt",POWER(Upgrades!$U$6,E71),1)*IF(Upgrades!$T$8="Asteroid Belt",POWER(Upgrades!$U$8,G71),1)*IF(Upgrades!$T$9="Asteroid Belt",POWER(Upgrades!$U$9,H71),1)*IF(Upgrades!$T$10="Asteroid Belt",POWER(Upgrades!$U$10,I71),1)*IF(Upgrades!$T$11="Asteroid Belt",POWER(Upgrades!$U$11,J71),1)*IF(Upgrades!$T$12="Asteroid Belt",POWER(Upgrades!$U$12,K71),1))*POWER(Upgrades!$P$6,E71)*POWER(Upgrades!$P$7,F71)*POWER(Upgrades!$P$8,G71)*POWER(Upgrades!$P$9,H71)*POWER(Upgrades!$P$10,I71)*POWER(Upgrades!$P$11,J71)*POWER(Upgrades!$P$12,K71)*60</f>
        <v>150</v>
      </c>
      <c r="AC71" s="27" t="n">
        <f aca="false">(IF(G71=0,0,(Upgrades!$J$8+G71*Upgrades!$K$8)*POWER(Upgrades!$L$8,G71)))*(IF(Upgrades!$T$6="Stellar Coupling",POWER(Upgrades!$U$6,E71),1)*IF(Upgrades!$T$7="Stellar Coupling",POWER(Upgrades!$U$7,F71),1)*IF(Upgrades!$T$9="Stellar Coupling",POWER(Upgrades!$U$9,H71),1)*IF(Upgrades!$T$10="Stellar Coupling",POWER(Upgrades!$U$10,I71),1)*IF(Upgrades!$T$11="Stellar Coupling",POWER(Upgrades!$U$11,J71),1)*IF(Upgrades!$T$12="Stellar Coupling",POWER(Upgrades!$U$12,K71),1))*POWER(Upgrades!$Q$6,E71)*POWER(Upgrades!$Q$7,F71)*POWER(Upgrades!$Q$8,G71)*POWER(Upgrades!$Q$9,H71)*POWER(Upgrades!$Q$10,I71)*POWER(Upgrades!$Q$11,J71)*POWER(Upgrades!$Q$12,K71)*Parameters!$B$10*Parameters!$B$11</f>
        <v>441</v>
      </c>
      <c r="AD71" s="27" t="n">
        <f aca="false">(IF(H71=0,0,(Upgrades!$G$9+H71*Upgrades!$H$9)*POWER(Upgrades!$I$9,H71)))*(IF(Upgrades!$T$6="Magnetosphere",POWER(Upgrades!$U$6,E71),1)*IF(Upgrades!$T$7="Magnetosphere",POWER(Upgrades!$U$7,F71),1)*IF(Upgrades!$T$8="Magnetosphere",POWER(Upgrades!$U$8,G71),1)*IF(Upgrades!$T$10="Magnetosphere",POWER(Upgrades!$U$10,I71),1)*IF(Upgrades!$T$11="Magnetosphere",POWER(Upgrades!$U$11,J71),1)*IF(Upgrades!$T$12="Magnetosphere",POWER(Upgrades!$U$12,K71),1))*POWER(Upgrades!$P$6,E71)*POWER(Upgrades!$P$7,F71)*POWER(Upgrades!$P$8,G71)*POWER(Upgrades!$P$9,H71)*POWER(Upgrades!$P$10,I71)*POWER(Upgrades!$P$11,J71)*POWER(Upgrades!$P$12,K71)*60</f>
        <v>375</v>
      </c>
      <c r="AE71" s="27" t="n">
        <f aca="false">(IF(K71=0,0,(Upgrades!$G$12+K71*Upgrades!$H$12)*POWER(Upgrades!$I$12,K71)))*(IF(Upgrades!$T$6="First Photons",POWER(Upgrades!$U$6,E71),1)*IF(Upgrades!$T$7="First Photons",POWER(Upgrades!$U$7,F71),1)*IF(Upgrades!$T$8="First Photons",POWER(Upgrades!$U$8,G71),1)*IF(Upgrades!$T$9="First Photons",POWER(Upgrades!$U$9,H71),1)*IF(Upgrades!$T$10="First Photons",POWER(Upgrades!$U$10,I71),1)*IF(Upgrades!$T$11="First Photons",POWER(Upgrades!$U$11,J71),1))*POWER(Upgrades!$P$6,E71)*POWER(Upgrades!$P$7,F71)*POWER(Upgrades!$P$8,G71)*POWER(Upgrades!$P$9,H71)*POWER(Upgrades!$P$10,I71)*POWER(Upgrades!$P$11,J71)*POWER(Upgrades!$P$12,K71)*60</f>
        <v>75</v>
      </c>
      <c r="AF71" s="27" t="n">
        <f aca="false">Parameters!$B$9*POWER(Upgrades!$Q$6,E71)*POWER(Upgrades!$Q$7,F71)*POWER(Upgrades!$Q$8,G71)*POWER(Upgrades!$Q$9,H71)*POWER(Upgrades!$Q$10,I71)*POWER(Upgrades!$Q$11,J71)*POWER(Upgrades!$Q$12,K71)*(Parameters!$B$10*Parameters!$B$11+O71*60)</f>
        <v>120</v>
      </c>
      <c r="AG71" s="21" t="n">
        <f aca="false">IF(E71&gt;=Upgrades!$E$6,"",Upgrades!$C$6*POWER(Upgrades!$D$6,E71))</f>
        <v>37.4517507383159</v>
      </c>
      <c r="AH71" s="21" t="n">
        <f aca="false">IF(F71&gt;=Upgrades!$E$7,"",Upgrades!$C$7*POWER(Upgrades!$D$7,F71))</f>
        <v>80.9111547141581</v>
      </c>
      <c r="AI71" s="21" t="n">
        <f aca="false">IF(G71&gt;=Upgrades!$E$8,"",Upgrades!$C$8*POWER(Upgrades!$D$8,G71))</f>
        <v>231.9097088</v>
      </c>
      <c r="AJ71" s="21" t="str">
        <f aca="false">IF(H71&gt;=Upgrades!$E$9,"",Upgrades!$C$9*POWER(Upgrades!$D$9,H71))</f>
        <v/>
      </c>
      <c r="AK71" s="21" t="str">
        <f aca="false">IF(I71&gt;=Upgrades!$E$10,"",Upgrades!$C$10*POWER(Upgrades!$D$10,I71))</f>
        <v/>
      </c>
      <c r="AL71" s="21" t="str">
        <f aca="false">IF(J71&gt;=Upgrades!$E$11,"",Upgrades!$C$11*POWER(Upgrades!$D$11,J71))</f>
        <v/>
      </c>
      <c r="AM71" s="21" t="str">
        <f aca="false">IF(K71&gt;=Upgrades!$E$12,"",Upgrades!$C$12*POWER(Upgrades!$D$12,K71))</f>
        <v/>
      </c>
      <c r="AN71" s="26" t="str">
        <f aca="false">IF(AND(D71&gt;=Parameters!$B$18,(H71&gt;=Upgrades!$E$9)*(K71&gt;=Upgrades!$E$12)=1,L71=0),1,"")</f>
        <v/>
      </c>
      <c r="AO71" s="26" t="str">
        <f aca="false">IF(AND(D71&gt;=Parameters!$B$18,L71=0),1,"")</f>
        <v/>
      </c>
      <c r="AP71" s="21" t="n">
        <f aca="false">MIN(IF(ISNUMBER(AK71),AK71,9000000000000000),IF(ISNUMBER(AL71),AL71,9000000000000000),IF(ISNUMBER(AM71),AM71,9000000000000000))</f>
        <v>9000000000000000</v>
      </c>
      <c r="AQ71" s="21" t="n">
        <f aca="false">MIN(IF(ISNUMBER(AG71),AG71,9000000000000000),IF(ISNUMBER(AH71),AH71,9000000000000000),IF(ISNUMBER(AI71),AI71,9000000000000000),IF(ISNUMBER(AJ71),AJ71,9000000000000000))</f>
        <v>37.4517507383159</v>
      </c>
      <c r="AR71" s="32" t="b">
        <f aca="false">IF(AW71&gt;Parameters!$B$21*(MAX(IF(AND(NOT(AND(AO71=1,AN71&lt;&gt;1)),ISNUMBER(AG71),AG71&lt;=T71),AS71,0),IF(AND(NOT(AND(AO71=1,AN71&lt;&gt;1)),ISNUMBER(AH71),AH71&lt;=T71),AT71,0),IF(AND(NOT(AND(AO71=1,AN71&lt;&gt;1)),ISNUMBER(AI71),AI71&lt;=T71),AU71,0),IF(AND(ISNUMBER(AJ71),AJ71&lt;=T71),AV71,0))),TRUE(),FALSE())</f>
        <v>1</v>
      </c>
      <c r="AS71" s="33" t="n">
        <f aca="false">IFERROR(Upgrades!$H$6*(POWER(Upgrades!$P$6,E71)*POWER(Upgrades!$P$7,F71)*POWER(Upgrades!$P$8,G71)*POWER(Upgrades!$P$9,H71)*POWER(Upgrades!$P$10,I71)*POWER(Upgrades!$P$11,J71)*POWER(Upgrades!$P$12,K71))*(IF(Upgrades!$T$7="Solar Wind",POWER(Upgrades!$U$7,F71),1)*IF(Upgrades!$T$8="Solar Wind",POWER(Upgrades!$U$8,G71),1)*IF(Upgrades!$T$9="Solar Wind",POWER(Upgrades!$U$9,H71),1)*IF(Upgrades!$T$10="Solar Wind",POWER(Upgrades!$U$10,I71),1)*IF(Upgrades!$T$11="Solar Wind",POWER(Upgrades!$U$11,J71),1)*IF(Upgrades!$T$12="Solar Wind",POWER(Upgrades!$U$12,K71),1))/AG71,0)</f>
        <v>0.0026701021455238</v>
      </c>
      <c r="AT71" s="33" t="n">
        <f aca="false">IFERROR(Upgrades!$H$7*(POWER(Upgrades!$P$6,E71)*POWER(Upgrades!$P$7,F71)*POWER(Upgrades!$P$8,G71)*POWER(Upgrades!$P$9,H71)*POWER(Upgrades!$P$10,I71)*POWER(Upgrades!$P$11,J71)*POWER(Upgrades!$P$12,K71))*(IF(Upgrades!$T$6="Asteroid Belt",POWER(Upgrades!$U$6,E71),1)*IF(Upgrades!$T$8="Asteroid Belt",POWER(Upgrades!$U$8,G71),1)*IF(Upgrades!$T$9="Asteroid Belt",POWER(Upgrades!$U$9,H71),1)*IF(Upgrades!$T$10="Asteroid Belt",POWER(Upgrades!$U$10,I71),1)*IF(Upgrades!$T$11="Asteroid Belt",POWER(Upgrades!$U$11,J71),1)*IF(Upgrades!$T$12="Asteroid Belt",POWER(Upgrades!$U$12,K71),1))/AH71,0)</f>
        <v>0.00308980882652332</v>
      </c>
      <c r="AU71" s="33" t="n">
        <f aca="false">IFERROR(Upgrades!$K$8*(POWER(Upgrades!$Q$6,E71)*POWER(Upgrades!$Q$7,F71)*POWER(Upgrades!$Q$8,G71)*POWER(Upgrades!$Q$9,H71)*POWER(Upgrades!$Q$10,I71)*POWER(Upgrades!$Q$11,J71)*POWER(Upgrades!$Q$12,K71))*(IF(Upgrades!$T$6="Stellar Coupling",POWER(Upgrades!$U$6,E71),1)*IF(Upgrades!$T$7="Stellar Coupling",POWER(Upgrades!$U$7,F71),1)*IF(Upgrades!$T$9="Stellar Coupling",POWER(Upgrades!$U$9,H71),1)*IF(Upgrades!$T$10="Stellar Coupling",POWER(Upgrades!$U$10,I71),1)*IF(Upgrades!$T$11="Stellar Coupling",POWER(Upgrades!$U$11,J71),1)*IF(Upgrades!$T$12="Stellar Coupling",POWER(Upgrades!$U$12,K71),1))*Parameters!$B$10*Parameters!$B$11/60/AI71,0)</f>
        <v>0.00452762415783776</v>
      </c>
      <c r="AV71" s="33" t="n">
        <f aca="false">IFERROR(Upgrades!$H$9*(POWER(Upgrades!$P$6,E71)*POWER(Upgrades!$P$7,F71)*POWER(Upgrades!$P$8,G71)*POWER(Upgrades!$P$9,H71)*POWER(Upgrades!$P$10,I71)*POWER(Upgrades!$P$11,J71)*POWER(Upgrades!$P$12,K71))*(IF(Upgrades!$T$6="Magnetosphere",POWER(Upgrades!$U$6,E71),1)*IF(Upgrades!$T$7="Magnetosphere",POWER(Upgrades!$U$7,F71),1)*IF(Upgrades!$T$8="Magnetosphere",POWER(Upgrades!$U$8,G71),1)*IF(Upgrades!$T$10="Magnetosphere",POWER(Upgrades!$U$10,I71),1)*IF(Upgrades!$T$11="Magnetosphere",POWER(Upgrades!$U$11,J71),1)*IF(Upgrades!$T$12="Magnetosphere",POWER(Upgrades!$U$12,K71),1))/AJ71,0)</f>
        <v>0</v>
      </c>
      <c r="AW71" s="33" t="n">
        <f aca="false">MAX(IF(I71&gt;0,0,IFERROR(0.25*N71/Upgrades!$C$10,0)),IF(J71&gt;0,0,IFERROR(0.5*((IF(G71=0,0,(Upgrades!$J$8+G71*Upgrades!$K$8)*POWER(Upgrades!$L$8,G71)))*(IF(Upgrades!$T$6="Stellar Coupling",POWER(Upgrades!$U$6,E71),1)*IF(Upgrades!$T$7="Stellar Coupling",POWER(Upgrades!$U$7,F71),1)*IF(Upgrades!$T$9="Stellar Coupling",POWER(Upgrades!$U$9,H71),1)*IF(Upgrades!$T$10="Stellar Coupling",POWER(Upgrades!$U$10,I71),1)*IF(Upgrades!$T$11="Stellar Coupling",POWER(Upgrades!$U$11,J71),1)*IF(Upgrades!$T$12="Stellar Coupling",POWER(Upgrades!$U$12,K71),1))*(POWER(Upgrades!$Q$6,E71)*POWER(Upgrades!$Q$7,F71)*POWER(Upgrades!$Q$8,G71)*POWER(Upgrades!$Q$9,H71)*POWER(Upgrades!$Q$10,I71)*POWER(Upgrades!$Q$11,J71)*POWER(Upgrades!$Q$12,K71))*Parameters!$B$10*Parameters!$B$11/60)/Upgrades!$C$11,0)),IF(K71&gt;0,0,IFERROR((1*(POWER(Upgrades!$P$6,E71)*POWER(Upgrades!$P$7,F71)*POWER(Upgrades!$P$8,G71)*POWER(Upgrades!$P$9,H71)*POWER(Upgrades!$P$10,I71)*POWER(Upgrades!$P$11,J71)*POWER(Upgrades!$P$12,K71))+0.2*M71*Parameters!$B$10*Parameters!$B$11/60)/Upgrades!$C$12,0)),IF(AND(ISNUMBER(AG71),AG71&gt;T71),AS71,0),IF(AND(ISNUMBER(AH71),AH71&gt;T71),AT71,0),IF(AND(ISNUMBER(AI71),AI71&gt;T71),AU71,0),IF(AND(ISNUMBER(AJ71),AJ71&gt;T71),AV71,0))</f>
        <v>0.00452762415783776</v>
      </c>
      <c r="AX71" s="29" t="str">
        <f aca="false">IF(AN71=1,"transition",IF(MIN(IF(AND(I71=0,ISNUMBER(AK71),AK71&lt;=T71),AK71,9000000000000000),IF(AND(J71=0,ISNUMBER(AL71),AL71&lt;=T71),AL71,9000000000000000),IF(AND(K71=0,ISNUMBER(AM71),AM71&lt;=T71),AM71,9000000000000000))&lt;9000000000000000,IF(AND(AND(I71=0,ISNUMBER(AK71),AK71&lt;=T71),AK71=MIN(IF(AND(I71=0,ISNUMBER(AK71),AK71&lt;=T71),AK71,9000000000000000),IF(AND(J71=0,ISNUMBER(AL71),AL71&lt;=T71),AL71,9000000000000000),IF(AND(K71=0,ISNUMBER(AM71),AM71&lt;=T71),AM71,9000000000000000))),"OR",IF(AND(AND(J71=0,ISNUMBER(AL71),AL71&lt;=T71),AL71=MIN(IF(AND(I71=0,ISNUMBER(AK71),AK71&lt;=T71),AK71,9000000000000000),IF(AND(J71=0,ISNUMBER(AL71),AL71&lt;=T71),AL71,9000000000000000),IF(AND(K71=0,ISNUMBER(AM71),AM71&lt;=T71),AM71,9000000000000000))),"HP","FP")),IF(AR71=TRUE(),"",IF(MAX(IF(AND(NOT(AND(AO71=1,AN71&lt;&gt;1)),ISNUMBER(AG71),AG71&lt;=T71),AS71,0),IF(AND(NOT(AND(AO71=1,AN71&lt;&gt;1)),ISNUMBER(AH71),AH71&lt;=T71),AT71,0),IF(AND(NOT(AND(AO71=1,AN71&lt;&gt;1)),ISNUMBER(AI71),AI71&lt;=T71),AU71,0),IF(AND(ISNUMBER(AJ71),AJ71&lt;=T71),AV71,0))&lt;=0,"",IF(AND(IF(AND(NOT(AND(AO71=1,AN71&lt;&gt;1)),ISNUMBER(AG71),AG71&lt;=T71),AS71,0)&gt;0,IF(AND(NOT(AND(AO71=1,AN71&lt;&gt;1)),ISNUMBER(AG71),AG71&lt;=T71),AS71,0)=MAX(IF(AND(NOT(AND(AO71=1,AN71&lt;&gt;1)),ISNUMBER(AG71),AG71&lt;=T71),AS71,0),IF(AND(NOT(AND(AO71=1,AN71&lt;&gt;1)),ISNUMBER(AH71),AH71&lt;=T71),AT71,0),IF(AND(NOT(AND(AO71=1,AN71&lt;&gt;1)),ISNUMBER(AI71),AI71&lt;=T71),AU71,0),IF(AND(ISNUMBER(AJ71),AJ71&lt;=T71),AV71,0))),"SW",IF(AND(IF(AND(NOT(AND(AO71=1,AN71&lt;&gt;1)),ISNUMBER(AH71),AH71&lt;=T71),AT71,0)&gt;0,IF(AND(NOT(AND(AO71=1,AN71&lt;&gt;1)),ISNUMBER(AH71),AH71&lt;=T71),AT71,0)=MAX(IF(AND(NOT(AND(AO71=1,AN71&lt;&gt;1)),ISNUMBER(AG71),AG71&lt;=T71),AS71,0),IF(AND(NOT(AND(AO71=1,AN71&lt;&gt;1)),ISNUMBER(AH71),AH71&lt;=T71),AT71,0),IF(AND(NOT(AND(AO71=1,AN71&lt;&gt;1)),ISNUMBER(AI71),AI71&lt;=T71),AU71,0),IF(AND(ISNUMBER(AJ71),AJ71&lt;=T71),AV71,0))),"AB",IF(AND(IF(AND(NOT(AND(AO71=1,AN71&lt;&gt;1)),ISNUMBER(AI71),AI71&lt;=T71),AU71,0)&gt;0,IF(AND(NOT(AND(AO71=1,AN71&lt;&gt;1)),ISNUMBER(AI71),AI71&lt;=T71),AU71,0)=MAX(IF(AND(NOT(AND(AO71=1,AN71&lt;&gt;1)),ISNUMBER(AG71),AG71&lt;=T71),AS71,0),IF(AND(NOT(AND(AO71=1,AN71&lt;&gt;1)),ISNUMBER(AH71),AH71&lt;=T71),AT71,0),IF(AND(NOT(AND(AO71=1,AN71&lt;&gt;1)),ISNUMBER(AI71),AI71&lt;=T71),AU71,0),IF(AND(ISNUMBER(AJ71),AJ71&lt;=T71),AV71,0))),"SC","Mag")))))))</f>
        <v/>
      </c>
    </row>
    <row r="72" customFormat="false" ht="15" hidden="false" customHeight="false" outlineLevel="0" collapsed="false">
      <c r="A72" s="26" t="n">
        <v>67</v>
      </c>
      <c r="B72" s="27" t="n">
        <f aca="false">A72*10/60</f>
        <v>11.1666666666667</v>
      </c>
      <c r="C72" s="21" t="n">
        <f aca="false">X71</f>
        <v>18.6730249835055</v>
      </c>
      <c r="D72" s="27" t="n">
        <f aca="false">D71+W71</f>
        <v>0</v>
      </c>
      <c r="E72" s="26" t="n">
        <f aca="false">E71+IF(U71="SW",1,0)</f>
        <v>12</v>
      </c>
      <c r="F72" s="26" t="n">
        <f aca="false">F71+IF(U71="AB",1,0)</f>
        <v>10</v>
      </c>
      <c r="G72" s="26" t="n">
        <f aca="false">G71+IF(U71="SC",1,0)</f>
        <v>7</v>
      </c>
      <c r="H72" s="26" t="n">
        <f aca="false">H71+IF(U71="Mag",1,0)</f>
        <v>5</v>
      </c>
      <c r="I72" s="26" t="n">
        <f aca="false">MAX(I71,IF(U71="OR",1,0))</f>
        <v>1</v>
      </c>
      <c r="J72" s="26" t="n">
        <f aca="false">MAX(J71,IF(U71="HP",1,0))</f>
        <v>1</v>
      </c>
      <c r="K72" s="26" t="n">
        <f aca="false">MAX(K71,IF(U71="FP",1,0))</f>
        <v>1</v>
      </c>
      <c r="L72" s="26" t="n">
        <f aca="false">MAX(L71,IF(U71="transition",1,0))</f>
        <v>1</v>
      </c>
      <c r="M72" s="28" t="n">
        <f aca="false">(Parameters!$B$9+(IF(E72=0,0,(Upgrades!$J$6+E72*Upgrades!$K$6)*POWER(Upgrades!$L$6,E72)))*(IF(Upgrades!$T$7="Solar Wind",POWER(Upgrades!$U$7,F72),1)*IF(Upgrades!$T$8="Solar Wind",POWER(Upgrades!$U$8,G72),1)*IF(Upgrades!$T$9="Solar Wind",POWER(Upgrades!$U$9,H72),1)*IF(Upgrades!$T$10="Solar Wind",POWER(Upgrades!$U$10,I72),1)*IF(Upgrades!$T$11="Solar Wind",POWER(Upgrades!$U$11,J72),1)*IF(Upgrades!$T$12="Solar Wind",POWER(Upgrades!$U$12,K72),1))+(IF(F72=0,0,(Upgrades!$J$7+F72*Upgrades!$K$7)*POWER(Upgrades!$L$7,F72)))*(IF(Upgrades!$T$6="Asteroid Belt",POWER(Upgrades!$U$6,E72),1)*IF(Upgrades!$T$8="Asteroid Belt",POWER(Upgrades!$U$8,G72),1)*IF(Upgrades!$T$9="Asteroid Belt",POWER(Upgrades!$U$9,H72),1)*IF(Upgrades!$T$10="Asteroid Belt",POWER(Upgrades!$U$10,I72),1)*IF(Upgrades!$T$11="Asteroid Belt",POWER(Upgrades!$U$11,J72),1)*IF(Upgrades!$T$12="Asteroid Belt",POWER(Upgrades!$U$12,K72),1))+(IF(G72=0,0,(Upgrades!$J$8+G72*Upgrades!$K$8)*POWER(Upgrades!$L$8,G72)))*(IF(Upgrades!$T$6="Stellar Coupling",POWER(Upgrades!$U$6,E72),1)*IF(Upgrades!$T$7="Stellar Coupling",POWER(Upgrades!$U$7,F72),1)*IF(Upgrades!$T$9="Stellar Coupling",POWER(Upgrades!$U$9,H72),1)*IF(Upgrades!$T$10="Stellar Coupling",POWER(Upgrades!$U$10,I72),1)*IF(Upgrades!$T$11="Stellar Coupling",POWER(Upgrades!$U$11,J72),1)*IF(Upgrades!$T$12="Stellar Coupling",POWER(Upgrades!$U$12,K72),1))+(IF(H72=0,0,(Upgrades!$J$9+H72*Upgrades!$K$9)*POWER(Upgrades!$L$9,H72)))*(IF(Upgrades!$T$6="Magnetosphere",POWER(Upgrades!$U$6,E72),1)*IF(Upgrades!$T$7="Magnetosphere",POWER(Upgrades!$U$7,F72),1)*IF(Upgrades!$T$8="Magnetosphere",POWER(Upgrades!$U$8,G72),1)*IF(Upgrades!$T$10="Magnetosphere",POWER(Upgrades!$U$10,I72),1)*IF(Upgrades!$T$11="Magnetosphere",POWER(Upgrades!$U$11,J72),1)*IF(Upgrades!$T$12="Magnetosphere",POWER(Upgrades!$U$12,K72),1))+(IF(I72=0,0,(Upgrades!$J$10+I72*Upgrades!$K$10)*POWER(Upgrades!$L$10,I72)))*(IF(Upgrades!$T$6="Orbital Resonance",POWER(Upgrades!$U$6,E72),1)*IF(Upgrades!$T$7="Orbital Resonance",POWER(Upgrades!$U$7,F72),1)*IF(Upgrades!$T$8="Orbital Resonance",POWER(Upgrades!$U$8,G72),1)*IF(Upgrades!$T$9="Orbital Resonance",POWER(Upgrades!$U$9,H72),1)*IF(Upgrades!$T$11="Orbital Resonance",POWER(Upgrades!$U$11,J72),1)*IF(Upgrades!$T$12="Orbital Resonance",POWER(Upgrades!$U$12,K72),1))+(IF(J72=0,0,(Upgrades!$J$11+J72*Upgrades!$K$11)*POWER(Upgrades!$L$11,J72)))*(IF(Upgrades!$T$6="Heliopause",POWER(Upgrades!$U$6,E72),1)*IF(Upgrades!$T$7="Heliopause",POWER(Upgrades!$U$7,F72),1)*IF(Upgrades!$T$8="Heliopause",POWER(Upgrades!$U$8,G72),1)*IF(Upgrades!$T$9="Heliopause",POWER(Upgrades!$U$9,H72),1)*IF(Upgrades!$T$10="Heliopause",POWER(Upgrades!$U$10,I72),1)*IF(Upgrades!$T$12="Heliopause",POWER(Upgrades!$U$12,K72),1))+(IF(K72=0,0,(Upgrades!$J$12+K72*Upgrades!$K$12)*POWER(Upgrades!$L$12,K72)))*(IF(Upgrades!$T$6="First Photons",POWER(Upgrades!$U$6,E72),1)*IF(Upgrades!$T$7="First Photons",POWER(Upgrades!$U$7,F72),1)*IF(Upgrades!$T$8="First Photons",POWER(Upgrades!$U$8,G72),1)*IF(Upgrades!$T$9="First Photons",POWER(Upgrades!$U$9,H72),1)*IF(Upgrades!$T$10="First Photons",POWER(Upgrades!$U$10,I72),1)*IF(Upgrades!$T$11="First Photons",POWER(Upgrades!$U$11,J72),1)))*POWER(Upgrades!$Q$6,E72)*POWER(Upgrades!$Q$7,F72)*POWER(Upgrades!$Q$8,G72)*POWER(Upgrades!$Q$9,H72)*POWER(Upgrades!$Q$10,I72)*POWER(Upgrades!$Q$11,J72)*POWER(Upgrades!$Q$12,K72)</f>
        <v>5.61</v>
      </c>
      <c r="N72" s="28" t="n">
        <f aca="false">((IF(E72=0,0,(Upgrades!$G$6+E72*Upgrades!$H$6)*POWER(Upgrades!$I$6,E72)))*(IF(Upgrades!$T$7="Solar Wind",POWER(Upgrades!$U$7,F72),1)*IF(Upgrades!$T$8="Solar Wind",POWER(Upgrades!$U$8,G72),1)*IF(Upgrades!$T$9="Solar Wind",POWER(Upgrades!$U$9,H72),1)*IF(Upgrades!$T$10="Solar Wind",POWER(Upgrades!$U$10,I72),1)*IF(Upgrades!$T$11="Solar Wind",POWER(Upgrades!$U$11,J72),1)*IF(Upgrades!$T$12="Solar Wind",POWER(Upgrades!$U$12,K72),1))+(IF(F72=0,0,(Upgrades!$G$7+F72*Upgrades!$H$7)*POWER(Upgrades!$I$7,F72)))*(IF(Upgrades!$T$6="Asteroid Belt",POWER(Upgrades!$U$6,E72),1)*IF(Upgrades!$T$8="Asteroid Belt",POWER(Upgrades!$U$8,G72),1)*IF(Upgrades!$T$9="Asteroid Belt",POWER(Upgrades!$U$9,H72),1)*IF(Upgrades!$T$10="Asteroid Belt",POWER(Upgrades!$U$10,I72),1)*IF(Upgrades!$T$11="Asteroid Belt",POWER(Upgrades!$U$11,J72),1)*IF(Upgrades!$T$12="Asteroid Belt",POWER(Upgrades!$U$12,K72),1))+(IF(G72=0,0,(Upgrades!$G$8+G72*Upgrades!$H$8)*POWER(Upgrades!$I$8,G72)))*(IF(Upgrades!$T$6="Stellar Coupling",POWER(Upgrades!$U$6,E72),1)*IF(Upgrades!$T$7="Stellar Coupling",POWER(Upgrades!$U$7,F72),1)*IF(Upgrades!$T$9="Stellar Coupling",POWER(Upgrades!$U$9,H72),1)*IF(Upgrades!$T$10="Stellar Coupling",POWER(Upgrades!$U$10,I72),1)*IF(Upgrades!$T$11="Stellar Coupling",POWER(Upgrades!$U$11,J72),1)*IF(Upgrades!$T$12="Stellar Coupling",POWER(Upgrades!$U$12,K72),1))+(IF(H72=0,0,(Upgrades!$G$9+H72*Upgrades!$H$9)*POWER(Upgrades!$I$9,H72)))*(IF(Upgrades!$T$6="Magnetosphere",POWER(Upgrades!$U$6,E72),1)*IF(Upgrades!$T$7="Magnetosphere",POWER(Upgrades!$U$7,F72),1)*IF(Upgrades!$T$8="Magnetosphere",POWER(Upgrades!$U$8,G72),1)*IF(Upgrades!$T$10="Magnetosphere",POWER(Upgrades!$U$10,I72),1)*IF(Upgrades!$T$11="Magnetosphere",POWER(Upgrades!$U$11,J72),1)*IF(Upgrades!$T$12="Magnetosphere",POWER(Upgrades!$U$12,K72),1))+(IF(I72=0,0,(Upgrades!$G$10+I72*Upgrades!$H$10)*POWER(Upgrades!$I$10,I72)))*(IF(Upgrades!$T$6="Orbital Resonance",POWER(Upgrades!$U$6,E72),1)*IF(Upgrades!$T$7="Orbital Resonance",POWER(Upgrades!$U$7,F72),1)*IF(Upgrades!$T$8="Orbital Resonance",POWER(Upgrades!$U$8,G72),1)*IF(Upgrades!$T$9="Orbital Resonance",POWER(Upgrades!$U$9,H72),1)*IF(Upgrades!$T$11="Orbital Resonance",POWER(Upgrades!$U$11,J72),1)*IF(Upgrades!$T$12="Orbital Resonance",POWER(Upgrades!$U$12,K72),1))+(IF(J72=0,0,(Upgrades!$G$11+J72*Upgrades!$H$11)*POWER(Upgrades!$I$11,J72)))*(IF(Upgrades!$T$6="Heliopause",POWER(Upgrades!$U$6,E72),1)*IF(Upgrades!$T$7="Heliopause",POWER(Upgrades!$U$7,F72),1)*IF(Upgrades!$T$8="Heliopause",POWER(Upgrades!$U$8,G72),1)*IF(Upgrades!$T$9="Heliopause",POWER(Upgrades!$U$9,H72),1)*IF(Upgrades!$T$10="Heliopause",POWER(Upgrades!$U$10,I72),1)*IF(Upgrades!$T$12="Heliopause",POWER(Upgrades!$U$12,K72),1))+(IF(K72=0,0,(Upgrades!$G$12+K72*Upgrades!$H$12)*POWER(Upgrades!$I$12,K72)))*(IF(Upgrades!$T$6="First Photons",POWER(Upgrades!$U$6,E72),1)*IF(Upgrades!$T$7="First Photons",POWER(Upgrades!$U$7,F72),1)*IF(Upgrades!$T$8="First Photons",POWER(Upgrades!$U$8,G72),1)*IF(Upgrades!$T$9="First Photons",POWER(Upgrades!$U$9,H72),1)*IF(Upgrades!$T$10="First Photons",POWER(Upgrades!$U$10,I72),1)*IF(Upgrades!$T$11="First Photons",POWER(Upgrades!$U$11,J72),1)))*POWER(Upgrades!$P$6,E72)*POWER(Upgrades!$P$7,F72)*POWER(Upgrades!$P$8,G72)*POWER(Upgrades!$P$9,H72)*POWER(Upgrades!$P$10,I72)*POWER(Upgrades!$P$11,J72)*POWER(Upgrades!$P$12,K72)</f>
        <v>11.2</v>
      </c>
      <c r="O72" s="28" t="n">
        <f aca="false">((IF(E72=0,0,(Upgrades!$M$6+E72*Upgrades!$N$6)*POWER(Upgrades!$O$6,E72)))*(IF(Upgrades!$T$7="Solar Wind",POWER(Upgrades!$U$7,F72),1)*IF(Upgrades!$T$8="Solar Wind",POWER(Upgrades!$U$8,G72),1)*IF(Upgrades!$T$9="Solar Wind",POWER(Upgrades!$U$9,H72),1)*IF(Upgrades!$T$10="Solar Wind",POWER(Upgrades!$U$10,I72),1)*IF(Upgrades!$T$11="Solar Wind",POWER(Upgrades!$U$11,J72),1)*IF(Upgrades!$T$12="Solar Wind",POWER(Upgrades!$U$12,K72),1))+(IF(F72=0,0,(Upgrades!$M$7+F72*Upgrades!$N$7)*POWER(Upgrades!$O$7,F72)))*(IF(Upgrades!$T$6="Asteroid Belt",POWER(Upgrades!$U$6,E72),1)*IF(Upgrades!$T$8="Asteroid Belt",POWER(Upgrades!$U$8,G72),1)*IF(Upgrades!$T$9="Asteroid Belt",POWER(Upgrades!$U$9,H72),1)*IF(Upgrades!$T$10="Asteroid Belt",POWER(Upgrades!$U$10,I72),1)*IF(Upgrades!$T$11="Asteroid Belt",POWER(Upgrades!$U$11,J72),1)*IF(Upgrades!$T$12="Asteroid Belt",POWER(Upgrades!$U$12,K72),1))+(IF(G72=0,0,(Upgrades!$M$8+G72*Upgrades!$N$8)*POWER(Upgrades!$O$8,G72)))*(IF(Upgrades!$T$6="Stellar Coupling",POWER(Upgrades!$U$6,E72),1)*IF(Upgrades!$T$7="Stellar Coupling",POWER(Upgrades!$U$7,F72),1)*IF(Upgrades!$T$9="Stellar Coupling",POWER(Upgrades!$U$9,H72),1)*IF(Upgrades!$T$10="Stellar Coupling",POWER(Upgrades!$U$10,I72),1)*IF(Upgrades!$T$11="Stellar Coupling",POWER(Upgrades!$U$11,J72),1)*IF(Upgrades!$T$12="Stellar Coupling",POWER(Upgrades!$U$12,K72),1))+(IF(H72=0,0,(Upgrades!$M$9+H72*Upgrades!$N$9)*POWER(Upgrades!$O$9,H72)))*(IF(Upgrades!$T$6="Magnetosphere",POWER(Upgrades!$U$6,E72),1)*IF(Upgrades!$T$7="Magnetosphere",POWER(Upgrades!$U$7,F72),1)*IF(Upgrades!$T$8="Magnetosphere",POWER(Upgrades!$U$8,G72),1)*IF(Upgrades!$T$10="Magnetosphere",POWER(Upgrades!$U$10,I72),1)*IF(Upgrades!$T$11="Magnetosphere",POWER(Upgrades!$U$11,J72),1)*IF(Upgrades!$T$12="Magnetosphere",POWER(Upgrades!$U$12,K72),1))+(IF(I72=0,0,(Upgrades!$M$10+I72*Upgrades!$N$10)*POWER(Upgrades!$O$10,I72)))*(IF(Upgrades!$T$6="Orbital Resonance",POWER(Upgrades!$U$6,E72),1)*IF(Upgrades!$T$7="Orbital Resonance",POWER(Upgrades!$U$7,F72),1)*IF(Upgrades!$T$8="Orbital Resonance",POWER(Upgrades!$U$8,G72),1)*IF(Upgrades!$T$9="Orbital Resonance",POWER(Upgrades!$U$9,H72),1)*IF(Upgrades!$T$11="Orbital Resonance",POWER(Upgrades!$U$11,J72),1)*IF(Upgrades!$T$12="Orbital Resonance",POWER(Upgrades!$U$12,K72),1))+(IF(J72=0,0,(Upgrades!$M$11+J72*Upgrades!$N$11)*POWER(Upgrades!$O$11,J72)))*(IF(Upgrades!$T$6="Heliopause",POWER(Upgrades!$U$6,E72),1)*IF(Upgrades!$T$7="Heliopause",POWER(Upgrades!$U$7,F72),1)*IF(Upgrades!$T$8="Heliopause",POWER(Upgrades!$U$8,G72),1)*IF(Upgrades!$T$9="Heliopause",POWER(Upgrades!$U$9,H72),1)*IF(Upgrades!$T$10="Heliopause",POWER(Upgrades!$U$10,I72),1)*IF(Upgrades!$T$12="Heliopause",POWER(Upgrades!$U$12,K72),1))+(IF(K72=0,0,(Upgrades!$M$12+K72*Upgrades!$N$12)*POWER(Upgrades!$O$12,K72)))*(IF(Upgrades!$T$6="First Photons",POWER(Upgrades!$U$6,E72),1)*IF(Upgrades!$T$7="First Photons",POWER(Upgrades!$U$7,F72),1)*IF(Upgrades!$T$8="First Photons",POWER(Upgrades!$U$8,G72),1)*IF(Upgrades!$T$9="First Photons",POWER(Upgrades!$U$9,H72),1)*IF(Upgrades!$T$10="First Photons",POWER(Upgrades!$U$10,I72),1)*IF(Upgrades!$T$11="First Photons",POWER(Upgrades!$U$11,J72),1)))*POWER(Upgrades!$R$6,E72)*POWER(Upgrades!$R$7,F72)*POWER(Upgrades!$R$8,G72)*POWER(Upgrades!$R$9,H72)*POWER(Upgrades!$R$10,I72)*POWER(Upgrades!$R$11,J72)*POWER(Upgrades!$R$12,K72)</f>
        <v>0</v>
      </c>
      <c r="P72" s="27" t="n">
        <f aca="false">IF(L72=1,0,M72*Parameters!$B$10/60*Parameters!$B$11*10)</f>
        <v>0</v>
      </c>
      <c r="Q72" s="27" t="n">
        <f aca="false">IF(L72=1,0,O72*M72*10)</f>
        <v>0</v>
      </c>
      <c r="R72" s="27" t="n">
        <f aca="false">IF(L72=1,0,N72*10)</f>
        <v>0</v>
      </c>
      <c r="S72" s="27" t="n">
        <f aca="false">P72+Q72+R72</f>
        <v>0</v>
      </c>
      <c r="T72" s="21" t="n">
        <f aca="false">C72+S72</f>
        <v>18.6730249835055</v>
      </c>
      <c r="U72" s="34" t="str">
        <f aca="false">AX72</f>
        <v/>
      </c>
      <c r="V72" s="21" t="n">
        <f aca="false">IF(U72="",0,IF(U72="transition",0,IF(U72="SW",AG72,IF(U72="AB",AH72,IF(U72="SC",AI72,IF(U72="Mag",AJ72,IF(U72="OR",AK72,IF(U72="HP",AL72,IF(U72="FP",AM72,0)))))))))</f>
        <v>0</v>
      </c>
      <c r="W72" s="27" t="n">
        <f aca="false">IF(U72="OR",Upgrades!$F$10,IF(U72="HP",Upgrades!$F$11,IF(U72="transition",-Parameters!$B$18,0)))</f>
        <v>0</v>
      </c>
      <c r="X72" s="21" t="n">
        <f aca="false">T72-V72</f>
        <v>18.6730249835055</v>
      </c>
      <c r="Y72" s="30" t="n">
        <f aca="false">M72*Parameters!$B$10/60*Parameters!$B$11+O72*M72+N72</f>
        <v>20.55</v>
      </c>
      <c r="Z72" s="35" t="str">
        <f aca="false">IF(U72="transition","→ Tier 2 (Stellar Neighborhood)",IF(U72="FP","First Photons — light begins, system quickens",IF(U72="HP","Heliopause acquired",IF(U72="OR","Orbital Resonance — passive multiplier active",IF(AND(AO72=1,L72=0,AN72&lt;&gt;1),"Cohesion ready (waiting on completionist upgrades)","")))))</f>
        <v/>
      </c>
      <c r="AA72" s="27" t="n">
        <f aca="false">(IF(E72=0,0,(Upgrades!$G$6+E72*Upgrades!$H$6)*POWER(Upgrades!$I$6,E72)))*(IF(Upgrades!$T$7="Solar Wind",POWER(Upgrades!$U$7,F72),1)*IF(Upgrades!$T$8="Solar Wind",POWER(Upgrades!$U$8,G72),1)*IF(Upgrades!$T$9="Solar Wind",POWER(Upgrades!$U$9,H72),1)*IF(Upgrades!$T$10="Solar Wind",POWER(Upgrades!$U$10,I72),1)*IF(Upgrades!$T$11="Solar Wind",POWER(Upgrades!$U$11,J72),1)*IF(Upgrades!$T$12="Solar Wind",POWER(Upgrades!$U$12,K72),1))*POWER(Upgrades!$P$6,E72)*POWER(Upgrades!$P$7,F72)*POWER(Upgrades!$P$8,G72)*POWER(Upgrades!$P$9,H72)*POWER(Upgrades!$P$10,I72)*POWER(Upgrades!$P$11,J72)*POWER(Upgrades!$P$12,K72)*60</f>
        <v>72</v>
      </c>
      <c r="AB72" s="27" t="n">
        <f aca="false">(IF(F72=0,0,(Upgrades!$G$7+F72*Upgrades!$H$7)*POWER(Upgrades!$I$7,F72)))*(IF(Upgrades!$T$6="Asteroid Belt",POWER(Upgrades!$U$6,E72),1)*IF(Upgrades!$T$8="Asteroid Belt",POWER(Upgrades!$U$8,G72),1)*IF(Upgrades!$T$9="Asteroid Belt",POWER(Upgrades!$U$9,H72),1)*IF(Upgrades!$T$10="Asteroid Belt",POWER(Upgrades!$U$10,I72),1)*IF(Upgrades!$T$11="Asteroid Belt",POWER(Upgrades!$U$11,J72),1)*IF(Upgrades!$T$12="Asteroid Belt",POWER(Upgrades!$U$12,K72),1))*POWER(Upgrades!$P$6,E72)*POWER(Upgrades!$P$7,F72)*POWER(Upgrades!$P$8,G72)*POWER(Upgrades!$P$9,H72)*POWER(Upgrades!$P$10,I72)*POWER(Upgrades!$P$11,J72)*POWER(Upgrades!$P$12,K72)*60</f>
        <v>150</v>
      </c>
      <c r="AC72" s="27" t="n">
        <f aca="false">(IF(G72=0,0,(Upgrades!$J$8+G72*Upgrades!$K$8)*POWER(Upgrades!$L$8,G72)))*(IF(Upgrades!$T$6="Stellar Coupling",POWER(Upgrades!$U$6,E72),1)*IF(Upgrades!$T$7="Stellar Coupling",POWER(Upgrades!$U$7,F72),1)*IF(Upgrades!$T$9="Stellar Coupling",POWER(Upgrades!$U$9,H72),1)*IF(Upgrades!$T$10="Stellar Coupling",POWER(Upgrades!$U$10,I72),1)*IF(Upgrades!$T$11="Stellar Coupling",POWER(Upgrades!$U$11,J72),1)*IF(Upgrades!$T$12="Stellar Coupling",POWER(Upgrades!$U$12,K72),1))*POWER(Upgrades!$Q$6,E72)*POWER(Upgrades!$Q$7,F72)*POWER(Upgrades!$Q$8,G72)*POWER(Upgrades!$Q$9,H72)*POWER(Upgrades!$Q$10,I72)*POWER(Upgrades!$Q$11,J72)*POWER(Upgrades!$Q$12,K72)*Parameters!$B$10*Parameters!$B$11</f>
        <v>441</v>
      </c>
      <c r="AD72" s="27" t="n">
        <f aca="false">(IF(H72=0,0,(Upgrades!$G$9+H72*Upgrades!$H$9)*POWER(Upgrades!$I$9,H72)))*(IF(Upgrades!$T$6="Magnetosphere",POWER(Upgrades!$U$6,E72),1)*IF(Upgrades!$T$7="Magnetosphere",POWER(Upgrades!$U$7,F72),1)*IF(Upgrades!$T$8="Magnetosphere",POWER(Upgrades!$U$8,G72),1)*IF(Upgrades!$T$10="Magnetosphere",POWER(Upgrades!$U$10,I72),1)*IF(Upgrades!$T$11="Magnetosphere",POWER(Upgrades!$U$11,J72),1)*IF(Upgrades!$T$12="Magnetosphere",POWER(Upgrades!$U$12,K72),1))*POWER(Upgrades!$P$6,E72)*POWER(Upgrades!$P$7,F72)*POWER(Upgrades!$P$8,G72)*POWER(Upgrades!$P$9,H72)*POWER(Upgrades!$P$10,I72)*POWER(Upgrades!$P$11,J72)*POWER(Upgrades!$P$12,K72)*60</f>
        <v>375</v>
      </c>
      <c r="AE72" s="27" t="n">
        <f aca="false">(IF(K72=0,0,(Upgrades!$G$12+K72*Upgrades!$H$12)*POWER(Upgrades!$I$12,K72)))*(IF(Upgrades!$T$6="First Photons",POWER(Upgrades!$U$6,E72),1)*IF(Upgrades!$T$7="First Photons",POWER(Upgrades!$U$7,F72),1)*IF(Upgrades!$T$8="First Photons",POWER(Upgrades!$U$8,G72),1)*IF(Upgrades!$T$9="First Photons",POWER(Upgrades!$U$9,H72),1)*IF(Upgrades!$T$10="First Photons",POWER(Upgrades!$U$10,I72),1)*IF(Upgrades!$T$11="First Photons",POWER(Upgrades!$U$11,J72),1))*POWER(Upgrades!$P$6,E72)*POWER(Upgrades!$P$7,F72)*POWER(Upgrades!$P$8,G72)*POWER(Upgrades!$P$9,H72)*POWER(Upgrades!$P$10,I72)*POWER(Upgrades!$P$11,J72)*POWER(Upgrades!$P$12,K72)*60</f>
        <v>75</v>
      </c>
      <c r="AF72" s="27" t="n">
        <f aca="false">Parameters!$B$9*POWER(Upgrades!$Q$6,E72)*POWER(Upgrades!$Q$7,F72)*POWER(Upgrades!$Q$8,G72)*POWER(Upgrades!$Q$9,H72)*POWER(Upgrades!$Q$10,I72)*POWER(Upgrades!$Q$11,J72)*POWER(Upgrades!$Q$12,K72)*(Parameters!$B$10*Parameters!$B$11+O72*60)</f>
        <v>120</v>
      </c>
      <c r="AG72" s="21" t="n">
        <f aca="false">IF(E72&gt;=Upgrades!$E$6,"",Upgrades!$C$6*POWER(Upgrades!$D$6,E72))</f>
        <v>37.4517507383159</v>
      </c>
      <c r="AH72" s="21" t="n">
        <f aca="false">IF(F72&gt;=Upgrades!$E$7,"",Upgrades!$C$7*POWER(Upgrades!$D$7,F72))</f>
        <v>80.9111547141581</v>
      </c>
      <c r="AI72" s="21" t="n">
        <f aca="false">IF(G72&gt;=Upgrades!$E$8,"",Upgrades!$C$8*POWER(Upgrades!$D$8,G72))</f>
        <v>231.9097088</v>
      </c>
      <c r="AJ72" s="21" t="str">
        <f aca="false">IF(H72&gt;=Upgrades!$E$9,"",Upgrades!$C$9*POWER(Upgrades!$D$9,H72))</f>
        <v/>
      </c>
      <c r="AK72" s="21" t="str">
        <f aca="false">IF(I72&gt;=Upgrades!$E$10,"",Upgrades!$C$10*POWER(Upgrades!$D$10,I72))</f>
        <v/>
      </c>
      <c r="AL72" s="21" t="str">
        <f aca="false">IF(J72&gt;=Upgrades!$E$11,"",Upgrades!$C$11*POWER(Upgrades!$D$11,J72))</f>
        <v/>
      </c>
      <c r="AM72" s="21" t="str">
        <f aca="false">IF(K72&gt;=Upgrades!$E$12,"",Upgrades!$C$12*POWER(Upgrades!$D$12,K72))</f>
        <v/>
      </c>
      <c r="AN72" s="26" t="str">
        <f aca="false">IF(AND(D72&gt;=Parameters!$B$18,(H72&gt;=Upgrades!$E$9)*(K72&gt;=Upgrades!$E$12)=1,L72=0),1,"")</f>
        <v/>
      </c>
      <c r="AO72" s="26" t="str">
        <f aca="false">IF(AND(D72&gt;=Parameters!$B$18,L72=0),1,"")</f>
        <v/>
      </c>
      <c r="AP72" s="21" t="n">
        <f aca="false">MIN(IF(ISNUMBER(AK72),AK72,9000000000000000),IF(ISNUMBER(AL72),AL72,9000000000000000),IF(ISNUMBER(AM72),AM72,9000000000000000))</f>
        <v>9000000000000000</v>
      </c>
      <c r="AQ72" s="21" t="n">
        <f aca="false">MIN(IF(ISNUMBER(AG72),AG72,9000000000000000),IF(ISNUMBER(AH72),AH72,9000000000000000),IF(ISNUMBER(AI72),AI72,9000000000000000),IF(ISNUMBER(AJ72),AJ72,9000000000000000))</f>
        <v>37.4517507383159</v>
      </c>
      <c r="AR72" s="32" t="b">
        <f aca="false">IF(AW72&gt;Parameters!$B$21*(MAX(IF(AND(NOT(AND(AO72=1,AN72&lt;&gt;1)),ISNUMBER(AG72),AG72&lt;=T72),AS72,0),IF(AND(NOT(AND(AO72=1,AN72&lt;&gt;1)),ISNUMBER(AH72),AH72&lt;=T72),AT72,0),IF(AND(NOT(AND(AO72=1,AN72&lt;&gt;1)),ISNUMBER(AI72),AI72&lt;=T72),AU72,0),IF(AND(ISNUMBER(AJ72),AJ72&lt;=T72),AV72,0))),TRUE(),FALSE())</f>
        <v>1</v>
      </c>
      <c r="AS72" s="33" t="n">
        <f aca="false">IFERROR(Upgrades!$H$6*(POWER(Upgrades!$P$6,E72)*POWER(Upgrades!$P$7,F72)*POWER(Upgrades!$P$8,G72)*POWER(Upgrades!$P$9,H72)*POWER(Upgrades!$P$10,I72)*POWER(Upgrades!$P$11,J72)*POWER(Upgrades!$P$12,K72))*(IF(Upgrades!$T$7="Solar Wind",POWER(Upgrades!$U$7,F72),1)*IF(Upgrades!$T$8="Solar Wind",POWER(Upgrades!$U$8,G72),1)*IF(Upgrades!$T$9="Solar Wind",POWER(Upgrades!$U$9,H72),1)*IF(Upgrades!$T$10="Solar Wind",POWER(Upgrades!$U$10,I72),1)*IF(Upgrades!$T$11="Solar Wind",POWER(Upgrades!$U$11,J72),1)*IF(Upgrades!$T$12="Solar Wind",POWER(Upgrades!$U$12,K72),1))/AG72,0)</f>
        <v>0.0026701021455238</v>
      </c>
      <c r="AT72" s="33" t="n">
        <f aca="false">IFERROR(Upgrades!$H$7*(POWER(Upgrades!$P$6,E72)*POWER(Upgrades!$P$7,F72)*POWER(Upgrades!$P$8,G72)*POWER(Upgrades!$P$9,H72)*POWER(Upgrades!$P$10,I72)*POWER(Upgrades!$P$11,J72)*POWER(Upgrades!$P$12,K72))*(IF(Upgrades!$T$6="Asteroid Belt",POWER(Upgrades!$U$6,E72),1)*IF(Upgrades!$T$8="Asteroid Belt",POWER(Upgrades!$U$8,G72),1)*IF(Upgrades!$T$9="Asteroid Belt",POWER(Upgrades!$U$9,H72),1)*IF(Upgrades!$T$10="Asteroid Belt",POWER(Upgrades!$U$10,I72),1)*IF(Upgrades!$T$11="Asteroid Belt",POWER(Upgrades!$U$11,J72),1)*IF(Upgrades!$T$12="Asteroid Belt",POWER(Upgrades!$U$12,K72),1))/AH72,0)</f>
        <v>0.00308980882652332</v>
      </c>
      <c r="AU72" s="33" t="n">
        <f aca="false">IFERROR(Upgrades!$K$8*(POWER(Upgrades!$Q$6,E72)*POWER(Upgrades!$Q$7,F72)*POWER(Upgrades!$Q$8,G72)*POWER(Upgrades!$Q$9,H72)*POWER(Upgrades!$Q$10,I72)*POWER(Upgrades!$Q$11,J72)*POWER(Upgrades!$Q$12,K72))*(IF(Upgrades!$T$6="Stellar Coupling",POWER(Upgrades!$U$6,E72),1)*IF(Upgrades!$T$7="Stellar Coupling",POWER(Upgrades!$U$7,F72),1)*IF(Upgrades!$T$9="Stellar Coupling",POWER(Upgrades!$U$9,H72),1)*IF(Upgrades!$T$10="Stellar Coupling",POWER(Upgrades!$U$10,I72),1)*IF(Upgrades!$T$11="Stellar Coupling",POWER(Upgrades!$U$11,J72),1)*IF(Upgrades!$T$12="Stellar Coupling",POWER(Upgrades!$U$12,K72),1))*Parameters!$B$10*Parameters!$B$11/60/AI72,0)</f>
        <v>0.00452762415783776</v>
      </c>
      <c r="AV72" s="33" t="n">
        <f aca="false">IFERROR(Upgrades!$H$9*(POWER(Upgrades!$P$6,E72)*POWER(Upgrades!$P$7,F72)*POWER(Upgrades!$P$8,G72)*POWER(Upgrades!$P$9,H72)*POWER(Upgrades!$P$10,I72)*POWER(Upgrades!$P$11,J72)*POWER(Upgrades!$P$12,K72))*(IF(Upgrades!$T$6="Magnetosphere",POWER(Upgrades!$U$6,E72),1)*IF(Upgrades!$T$7="Magnetosphere",POWER(Upgrades!$U$7,F72),1)*IF(Upgrades!$T$8="Magnetosphere",POWER(Upgrades!$U$8,G72),1)*IF(Upgrades!$T$10="Magnetosphere",POWER(Upgrades!$U$10,I72),1)*IF(Upgrades!$T$11="Magnetosphere",POWER(Upgrades!$U$11,J72),1)*IF(Upgrades!$T$12="Magnetosphere",POWER(Upgrades!$U$12,K72),1))/AJ72,0)</f>
        <v>0</v>
      </c>
      <c r="AW72" s="33" t="n">
        <f aca="false">MAX(IF(I72&gt;0,0,IFERROR(0.25*N72/Upgrades!$C$10,0)),IF(J72&gt;0,0,IFERROR(0.5*((IF(G72=0,0,(Upgrades!$J$8+G72*Upgrades!$K$8)*POWER(Upgrades!$L$8,G72)))*(IF(Upgrades!$T$6="Stellar Coupling",POWER(Upgrades!$U$6,E72),1)*IF(Upgrades!$T$7="Stellar Coupling",POWER(Upgrades!$U$7,F72),1)*IF(Upgrades!$T$9="Stellar Coupling",POWER(Upgrades!$U$9,H72),1)*IF(Upgrades!$T$10="Stellar Coupling",POWER(Upgrades!$U$10,I72),1)*IF(Upgrades!$T$11="Stellar Coupling",POWER(Upgrades!$U$11,J72),1)*IF(Upgrades!$T$12="Stellar Coupling",POWER(Upgrades!$U$12,K72),1))*(POWER(Upgrades!$Q$6,E72)*POWER(Upgrades!$Q$7,F72)*POWER(Upgrades!$Q$8,G72)*POWER(Upgrades!$Q$9,H72)*POWER(Upgrades!$Q$10,I72)*POWER(Upgrades!$Q$11,J72)*POWER(Upgrades!$Q$12,K72))*Parameters!$B$10*Parameters!$B$11/60)/Upgrades!$C$11,0)),IF(K72&gt;0,0,IFERROR((1*(POWER(Upgrades!$P$6,E72)*POWER(Upgrades!$P$7,F72)*POWER(Upgrades!$P$8,G72)*POWER(Upgrades!$P$9,H72)*POWER(Upgrades!$P$10,I72)*POWER(Upgrades!$P$11,J72)*POWER(Upgrades!$P$12,K72))+0.2*M72*Parameters!$B$10*Parameters!$B$11/60)/Upgrades!$C$12,0)),IF(AND(ISNUMBER(AG72),AG72&gt;T72),AS72,0),IF(AND(ISNUMBER(AH72),AH72&gt;T72),AT72,0),IF(AND(ISNUMBER(AI72),AI72&gt;T72),AU72,0),IF(AND(ISNUMBER(AJ72),AJ72&gt;T72),AV72,0))</f>
        <v>0.00452762415783776</v>
      </c>
      <c r="AX72" s="29" t="str">
        <f aca="false">IF(AN72=1,"transition",IF(MIN(IF(AND(I72=0,ISNUMBER(AK72),AK72&lt;=T72),AK72,9000000000000000),IF(AND(J72=0,ISNUMBER(AL72),AL72&lt;=T72),AL72,9000000000000000),IF(AND(K72=0,ISNUMBER(AM72),AM72&lt;=T72),AM72,9000000000000000))&lt;9000000000000000,IF(AND(AND(I72=0,ISNUMBER(AK72),AK72&lt;=T72),AK72=MIN(IF(AND(I72=0,ISNUMBER(AK72),AK72&lt;=T72),AK72,9000000000000000),IF(AND(J72=0,ISNUMBER(AL72),AL72&lt;=T72),AL72,9000000000000000),IF(AND(K72=0,ISNUMBER(AM72),AM72&lt;=T72),AM72,9000000000000000))),"OR",IF(AND(AND(J72=0,ISNUMBER(AL72),AL72&lt;=T72),AL72=MIN(IF(AND(I72=0,ISNUMBER(AK72),AK72&lt;=T72),AK72,9000000000000000),IF(AND(J72=0,ISNUMBER(AL72),AL72&lt;=T72),AL72,9000000000000000),IF(AND(K72=0,ISNUMBER(AM72),AM72&lt;=T72),AM72,9000000000000000))),"HP","FP")),IF(AR72=TRUE(),"",IF(MAX(IF(AND(NOT(AND(AO72=1,AN72&lt;&gt;1)),ISNUMBER(AG72),AG72&lt;=T72),AS72,0),IF(AND(NOT(AND(AO72=1,AN72&lt;&gt;1)),ISNUMBER(AH72),AH72&lt;=T72),AT72,0),IF(AND(NOT(AND(AO72=1,AN72&lt;&gt;1)),ISNUMBER(AI72),AI72&lt;=T72),AU72,0),IF(AND(ISNUMBER(AJ72),AJ72&lt;=T72),AV72,0))&lt;=0,"",IF(AND(IF(AND(NOT(AND(AO72=1,AN72&lt;&gt;1)),ISNUMBER(AG72),AG72&lt;=T72),AS72,0)&gt;0,IF(AND(NOT(AND(AO72=1,AN72&lt;&gt;1)),ISNUMBER(AG72),AG72&lt;=T72),AS72,0)=MAX(IF(AND(NOT(AND(AO72=1,AN72&lt;&gt;1)),ISNUMBER(AG72),AG72&lt;=T72),AS72,0),IF(AND(NOT(AND(AO72=1,AN72&lt;&gt;1)),ISNUMBER(AH72),AH72&lt;=T72),AT72,0),IF(AND(NOT(AND(AO72=1,AN72&lt;&gt;1)),ISNUMBER(AI72),AI72&lt;=T72),AU72,0),IF(AND(ISNUMBER(AJ72),AJ72&lt;=T72),AV72,0))),"SW",IF(AND(IF(AND(NOT(AND(AO72=1,AN72&lt;&gt;1)),ISNUMBER(AH72),AH72&lt;=T72),AT72,0)&gt;0,IF(AND(NOT(AND(AO72=1,AN72&lt;&gt;1)),ISNUMBER(AH72),AH72&lt;=T72),AT72,0)=MAX(IF(AND(NOT(AND(AO72=1,AN72&lt;&gt;1)),ISNUMBER(AG72),AG72&lt;=T72),AS72,0),IF(AND(NOT(AND(AO72=1,AN72&lt;&gt;1)),ISNUMBER(AH72),AH72&lt;=T72),AT72,0),IF(AND(NOT(AND(AO72=1,AN72&lt;&gt;1)),ISNUMBER(AI72),AI72&lt;=T72),AU72,0),IF(AND(ISNUMBER(AJ72),AJ72&lt;=T72),AV72,0))),"AB",IF(AND(IF(AND(NOT(AND(AO72=1,AN72&lt;&gt;1)),ISNUMBER(AI72),AI72&lt;=T72),AU72,0)&gt;0,IF(AND(NOT(AND(AO72=1,AN72&lt;&gt;1)),ISNUMBER(AI72),AI72&lt;=T72),AU72,0)=MAX(IF(AND(NOT(AND(AO72=1,AN72&lt;&gt;1)),ISNUMBER(AG72),AG72&lt;=T72),AS72,0),IF(AND(NOT(AND(AO72=1,AN72&lt;&gt;1)),ISNUMBER(AH72),AH72&lt;=T72),AT72,0),IF(AND(NOT(AND(AO72=1,AN72&lt;&gt;1)),ISNUMBER(AI72),AI72&lt;=T72),AU72,0),IF(AND(ISNUMBER(AJ72),AJ72&lt;=T72),AV72,0))),"SC","Mag")))))))</f>
        <v/>
      </c>
    </row>
    <row r="73" customFormat="false" ht="15" hidden="false" customHeight="false" outlineLevel="0" collapsed="false">
      <c r="A73" s="26" t="n">
        <v>68</v>
      </c>
      <c r="B73" s="27" t="n">
        <f aca="false">A73*10/60</f>
        <v>11.3333333333333</v>
      </c>
      <c r="C73" s="21" t="n">
        <f aca="false">X72</f>
        <v>18.6730249835055</v>
      </c>
      <c r="D73" s="27" t="n">
        <f aca="false">D72+W72</f>
        <v>0</v>
      </c>
      <c r="E73" s="26" t="n">
        <f aca="false">E72+IF(U72="SW",1,0)</f>
        <v>12</v>
      </c>
      <c r="F73" s="26" t="n">
        <f aca="false">F72+IF(U72="AB",1,0)</f>
        <v>10</v>
      </c>
      <c r="G73" s="26" t="n">
        <f aca="false">G72+IF(U72="SC",1,0)</f>
        <v>7</v>
      </c>
      <c r="H73" s="26" t="n">
        <f aca="false">H72+IF(U72="Mag",1,0)</f>
        <v>5</v>
      </c>
      <c r="I73" s="26" t="n">
        <f aca="false">MAX(I72,IF(U72="OR",1,0))</f>
        <v>1</v>
      </c>
      <c r="J73" s="26" t="n">
        <f aca="false">MAX(J72,IF(U72="HP",1,0))</f>
        <v>1</v>
      </c>
      <c r="K73" s="26" t="n">
        <f aca="false">MAX(K72,IF(U72="FP",1,0))</f>
        <v>1</v>
      </c>
      <c r="L73" s="26" t="n">
        <f aca="false">MAX(L72,IF(U72="transition",1,0))</f>
        <v>1</v>
      </c>
      <c r="M73" s="28" t="n">
        <f aca="false">(Parameters!$B$9+(IF(E73=0,0,(Upgrades!$J$6+E73*Upgrades!$K$6)*POWER(Upgrades!$L$6,E73)))*(IF(Upgrades!$T$7="Solar Wind",POWER(Upgrades!$U$7,F73),1)*IF(Upgrades!$T$8="Solar Wind",POWER(Upgrades!$U$8,G73),1)*IF(Upgrades!$T$9="Solar Wind",POWER(Upgrades!$U$9,H73),1)*IF(Upgrades!$T$10="Solar Wind",POWER(Upgrades!$U$10,I73),1)*IF(Upgrades!$T$11="Solar Wind",POWER(Upgrades!$U$11,J73),1)*IF(Upgrades!$T$12="Solar Wind",POWER(Upgrades!$U$12,K73),1))+(IF(F73=0,0,(Upgrades!$J$7+F73*Upgrades!$K$7)*POWER(Upgrades!$L$7,F73)))*(IF(Upgrades!$T$6="Asteroid Belt",POWER(Upgrades!$U$6,E73),1)*IF(Upgrades!$T$8="Asteroid Belt",POWER(Upgrades!$U$8,G73),1)*IF(Upgrades!$T$9="Asteroid Belt",POWER(Upgrades!$U$9,H73),1)*IF(Upgrades!$T$10="Asteroid Belt",POWER(Upgrades!$U$10,I73),1)*IF(Upgrades!$T$11="Asteroid Belt",POWER(Upgrades!$U$11,J73),1)*IF(Upgrades!$T$12="Asteroid Belt",POWER(Upgrades!$U$12,K73),1))+(IF(G73=0,0,(Upgrades!$J$8+G73*Upgrades!$K$8)*POWER(Upgrades!$L$8,G73)))*(IF(Upgrades!$T$6="Stellar Coupling",POWER(Upgrades!$U$6,E73),1)*IF(Upgrades!$T$7="Stellar Coupling",POWER(Upgrades!$U$7,F73),1)*IF(Upgrades!$T$9="Stellar Coupling",POWER(Upgrades!$U$9,H73),1)*IF(Upgrades!$T$10="Stellar Coupling",POWER(Upgrades!$U$10,I73),1)*IF(Upgrades!$T$11="Stellar Coupling",POWER(Upgrades!$U$11,J73),1)*IF(Upgrades!$T$12="Stellar Coupling",POWER(Upgrades!$U$12,K73),1))+(IF(H73=0,0,(Upgrades!$J$9+H73*Upgrades!$K$9)*POWER(Upgrades!$L$9,H73)))*(IF(Upgrades!$T$6="Magnetosphere",POWER(Upgrades!$U$6,E73),1)*IF(Upgrades!$T$7="Magnetosphere",POWER(Upgrades!$U$7,F73),1)*IF(Upgrades!$T$8="Magnetosphere",POWER(Upgrades!$U$8,G73),1)*IF(Upgrades!$T$10="Magnetosphere",POWER(Upgrades!$U$10,I73),1)*IF(Upgrades!$T$11="Magnetosphere",POWER(Upgrades!$U$11,J73),1)*IF(Upgrades!$T$12="Magnetosphere",POWER(Upgrades!$U$12,K73),1))+(IF(I73=0,0,(Upgrades!$J$10+I73*Upgrades!$K$10)*POWER(Upgrades!$L$10,I73)))*(IF(Upgrades!$T$6="Orbital Resonance",POWER(Upgrades!$U$6,E73),1)*IF(Upgrades!$T$7="Orbital Resonance",POWER(Upgrades!$U$7,F73),1)*IF(Upgrades!$T$8="Orbital Resonance",POWER(Upgrades!$U$8,G73),1)*IF(Upgrades!$T$9="Orbital Resonance",POWER(Upgrades!$U$9,H73),1)*IF(Upgrades!$T$11="Orbital Resonance",POWER(Upgrades!$U$11,J73),1)*IF(Upgrades!$T$12="Orbital Resonance",POWER(Upgrades!$U$12,K73),1))+(IF(J73=0,0,(Upgrades!$J$11+J73*Upgrades!$K$11)*POWER(Upgrades!$L$11,J73)))*(IF(Upgrades!$T$6="Heliopause",POWER(Upgrades!$U$6,E73),1)*IF(Upgrades!$T$7="Heliopause",POWER(Upgrades!$U$7,F73),1)*IF(Upgrades!$T$8="Heliopause",POWER(Upgrades!$U$8,G73),1)*IF(Upgrades!$T$9="Heliopause",POWER(Upgrades!$U$9,H73),1)*IF(Upgrades!$T$10="Heliopause",POWER(Upgrades!$U$10,I73),1)*IF(Upgrades!$T$12="Heliopause",POWER(Upgrades!$U$12,K73),1))+(IF(K73=0,0,(Upgrades!$J$12+K73*Upgrades!$K$12)*POWER(Upgrades!$L$12,K73)))*(IF(Upgrades!$T$6="First Photons",POWER(Upgrades!$U$6,E73),1)*IF(Upgrades!$T$7="First Photons",POWER(Upgrades!$U$7,F73),1)*IF(Upgrades!$T$8="First Photons",POWER(Upgrades!$U$8,G73),1)*IF(Upgrades!$T$9="First Photons",POWER(Upgrades!$U$9,H73),1)*IF(Upgrades!$T$10="First Photons",POWER(Upgrades!$U$10,I73),1)*IF(Upgrades!$T$11="First Photons",POWER(Upgrades!$U$11,J73),1)))*POWER(Upgrades!$Q$6,E73)*POWER(Upgrades!$Q$7,F73)*POWER(Upgrades!$Q$8,G73)*POWER(Upgrades!$Q$9,H73)*POWER(Upgrades!$Q$10,I73)*POWER(Upgrades!$Q$11,J73)*POWER(Upgrades!$Q$12,K73)</f>
        <v>5.61</v>
      </c>
      <c r="N73" s="28" t="n">
        <f aca="false">((IF(E73=0,0,(Upgrades!$G$6+E73*Upgrades!$H$6)*POWER(Upgrades!$I$6,E73)))*(IF(Upgrades!$T$7="Solar Wind",POWER(Upgrades!$U$7,F73),1)*IF(Upgrades!$T$8="Solar Wind",POWER(Upgrades!$U$8,G73),1)*IF(Upgrades!$T$9="Solar Wind",POWER(Upgrades!$U$9,H73),1)*IF(Upgrades!$T$10="Solar Wind",POWER(Upgrades!$U$10,I73),1)*IF(Upgrades!$T$11="Solar Wind",POWER(Upgrades!$U$11,J73),1)*IF(Upgrades!$T$12="Solar Wind",POWER(Upgrades!$U$12,K73),1))+(IF(F73=0,0,(Upgrades!$G$7+F73*Upgrades!$H$7)*POWER(Upgrades!$I$7,F73)))*(IF(Upgrades!$T$6="Asteroid Belt",POWER(Upgrades!$U$6,E73),1)*IF(Upgrades!$T$8="Asteroid Belt",POWER(Upgrades!$U$8,G73),1)*IF(Upgrades!$T$9="Asteroid Belt",POWER(Upgrades!$U$9,H73),1)*IF(Upgrades!$T$10="Asteroid Belt",POWER(Upgrades!$U$10,I73),1)*IF(Upgrades!$T$11="Asteroid Belt",POWER(Upgrades!$U$11,J73),1)*IF(Upgrades!$T$12="Asteroid Belt",POWER(Upgrades!$U$12,K73),1))+(IF(G73=0,0,(Upgrades!$G$8+G73*Upgrades!$H$8)*POWER(Upgrades!$I$8,G73)))*(IF(Upgrades!$T$6="Stellar Coupling",POWER(Upgrades!$U$6,E73),1)*IF(Upgrades!$T$7="Stellar Coupling",POWER(Upgrades!$U$7,F73),1)*IF(Upgrades!$T$9="Stellar Coupling",POWER(Upgrades!$U$9,H73),1)*IF(Upgrades!$T$10="Stellar Coupling",POWER(Upgrades!$U$10,I73),1)*IF(Upgrades!$T$11="Stellar Coupling",POWER(Upgrades!$U$11,J73),1)*IF(Upgrades!$T$12="Stellar Coupling",POWER(Upgrades!$U$12,K73),1))+(IF(H73=0,0,(Upgrades!$G$9+H73*Upgrades!$H$9)*POWER(Upgrades!$I$9,H73)))*(IF(Upgrades!$T$6="Magnetosphere",POWER(Upgrades!$U$6,E73),1)*IF(Upgrades!$T$7="Magnetosphere",POWER(Upgrades!$U$7,F73),1)*IF(Upgrades!$T$8="Magnetosphere",POWER(Upgrades!$U$8,G73),1)*IF(Upgrades!$T$10="Magnetosphere",POWER(Upgrades!$U$10,I73),1)*IF(Upgrades!$T$11="Magnetosphere",POWER(Upgrades!$U$11,J73),1)*IF(Upgrades!$T$12="Magnetosphere",POWER(Upgrades!$U$12,K73),1))+(IF(I73=0,0,(Upgrades!$G$10+I73*Upgrades!$H$10)*POWER(Upgrades!$I$10,I73)))*(IF(Upgrades!$T$6="Orbital Resonance",POWER(Upgrades!$U$6,E73),1)*IF(Upgrades!$T$7="Orbital Resonance",POWER(Upgrades!$U$7,F73),1)*IF(Upgrades!$T$8="Orbital Resonance",POWER(Upgrades!$U$8,G73),1)*IF(Upgrades!$T$9="Orbital Resonance",POWER(Upgrades!$U$9,H73),1)*IF(Upgrades!$T$11="Orbital Resonance",POWER(Upgrades!$U$11,J73),1)*IF(Upgrades!$T$12="Orbital Resonance",POWER(Upgrades!$U$12,K73),1))+(IF(J73=0,0,(Upgrades!$G$11+J73*Upgrades!$H$11)*POWER(Upgrades!$I$11,J73)))*(IF(Upgrades!$T$6="Heliopause",POWER(Upgrades!$U$6,E73),1)*IF(Upgrades!$T$7="Heliopause",POWER(Upgrades!$U$7,F73),1)*IF(Upgrades!$T$8="Heliopause",POWER(Upgrades!$U$8,G73),1)*IF(Upgrades!$T$9="Heliopause",POWER(Upgrades!$U$9,H73),1)*IF(Upgrades!$T$10="Heliopause",POWER(Upgrades!$U$10,I73),1)*IF(Upgrades!$T$12="Heliopause",POWER(Upgrades!$U$12,K73),1))+(IF(K73=0,0,(Upgrades!$G$12+K73*Upgrades!$H$12)*POWER(Upgrades!$I$12,K73)))*(IF(Upgrades!$T$6="First Photons",POWER(Upgrades!$U$6,E73),1)*IF(Upgrades!$T$7="First Photons",POWER(Upgrades!$U$7,F73),1)*IF(Upgrades!$T$8="First Photons",POWER(Upgrades!$U$8,G73),1)*IF(Upgrades!$T$9="First Photons",POWER(Upgrades!$U$9,H73),1)*IF(Upgrades!$T$10="First Photons",POWER(Upgrades!$U$10,I73),1)*IF(Upgrades!$T$11="First Photons",POWER(Upgrades!$U$11,J73),1)))*POWER(Upgrades!$P$6,E73)*POWER(Upgrades!$P$7,F73)*POWER(Upgrades!$P$8,G73)*POWER(Upgrades!$P$9,H73)*POWER(Upgrades!$P$10,I73)*POWER(Upgrades!$P$11,J73)*POWER(Upgrades!$P$12,K73)</f>
        <v>11.2</v>
      </c>
      <c r="O73" s="28" t="n">
        <f aca="false">((IF(E73=0,0,(Upgrades!$M$6+E73*Upgrades!$N$6)*POWER(Upgrades!$O$6,E73)))*(IF(Upgrades!$T$7="Solar Wind",POWER(Upgrades!$U$7,F73),1)*IF(Upgrades!$T$8="Solar Wind",POWER(Upgrades!$U$8,G73),1)*IF(Upgrades!$T$9="Solar Wind",POWER(Upgrades!$U$9,H73),1)*IF(Upgrades!$T$10="Solar Wind",POWER(Upgrades!$U$10,I73),1)*IF(Upgrades!$T$11="Solar Wind",POWER(Upgrades!$U$11,J73),1)*IF(Upgrades!$T$12="Solar Wind",POWER(Upgrades!$U$12,K73),1))+(IF(F73=0,0,(Upgrades!$M$7+F73*Upgrades!$N$7)*POWER(Upgrades!$O$7,F73)))*(IF(Upgrades!$T$6="Asteroid Belt",POWER(Upgrades!$U$6,E73),1)*IF(Upgrades!$T$8="Asteroid Belt",POWER(Upgrades!$U$8,G73),1)*IF(Upgrades!$T$9="Asteroid Belt",POWER(Upgrades!$U$9,H73),1)*IF(Upgrades!$T$10="Asteroid Belt",POWER(Upgrades!$U$10,I73),1)*IF(Upgrades!$T$11="Asteroid Belt",POWER(Upgrades!$U$11,J73),1)*IF(Upgrades!$T$12="Asteroid Belt",POWER(Upgrades!$U$12,K73),1))+(IF(G73=0,0,(Upgrades!$M$8+G73*Upgrades!$N$8)*POWER(Upgrades!$O$8,G73)))*(IF(Upgrades!$T$6="Stellar Coupling",POWER(Upgrades!$U$6,E73),1)*IF(Upgrades!$T$7="Stellar Coupling",POWER(Upgrades!$U$7,F73),1)*IF(Upgrades!$T$9="Stellar Coupling",POWER(Upgrades!$U$9,H73),1)*IF(Upgrades!$T$10="Stellar Coupling",POWER(Upgrades!$U$10,I73),1)*IF(Upgrades!$T$11="Stellar Coupling",POWER(Upgrades!$U$11,J73),1)*IF(Upgrades!$T$12="Stellar Coupling",POWER(Upgrades!$U$12,K73),1))+(IF(H73=0,0,(Upgrades!$M$9+H73*Upgrades!$N$9)*POWER(Upgrades!$O$9,H73)))*(IF(Upgrades!$T$6="Magnetosphere",POWER(Upgrades!$U$6,E73),1)*IF(Upgrades!$T$7="Magnetosphere",POWER(Upgrades!$U$7,F73),1)*IF(Upgrades!$T$8="Magnetosphere",POWER(Upgrades!$U$8,G73),1)*IF(Upgrades!$T$10="Magnetosphere",POWER(Upgrades!$U$10,I73),1)*IF(Upgrades!$T$11="Magnetosphere",POWER(Upgrades!$U$11,J73),1)*IF(Upgrades!$T$12="Magnetosphere",POWER(Upgrades!$U$12,K73),1))+(IF(I73=0,0,(Upgrades!$M$10+I73*Upgrades!$N$10)*POWER(Upgrades!$O$10,I73)))*(IF(Upgrades!$T$6="Orbital Resonance",POWER(Upgrades!$U$6,E73),1)*IF(Upgrades!$T$7="Orbital Resonance",POWER(Upgrades!$U$7,F73),1)*IF(Upgrades!$T$8="Orbital Resonance",POWER(Upgrades!$U$8,G73),1)*IF(Upgrades!$T$9="Orbital Resonance",POWER(Upgrades!$U$9,H73),1)*IF(Upgrades!$T$11="Orbital Resonance",POWER(Upgrades!$U$11,J73),1)*IF(Upgrades!$T$12="Orbital Resonance",POWER(Upgrades!$U$12,K73),1))+(IF(J73=0,0,(Upgrades!$M$11+J73*Upgrades!$N$11)*POWER(Upgrades!$O$11,J73)))*(IF(Upgrades!$T$6="Heliopause",POWER(Upgrades!$U$6,E73),1)*IF(Upgrades!$T$7="Heliopause",POWER(Upgrades!$U$7,F73),1)*IF(Upgrades!$T$8="Heliopause",POWER(Upgrades!$U$8,G73),1)*IF(Upgrades!$T$9="Heliopause",POWER(Upgrades!$U$9,H73),1)*IF(Upgrades!$T$10="Heliopause",POWER(Upgrades!$U$10,I73),1)*IF(Upgrades!$T$12="Heliopause",POWER(Upgrades!$U$12,K73),1))+(IF(K73=0,0,(Upgrades!$M$12+K73*Upgrades!$N$12)*POWER(Upgrades!$O$12,K73)))*(IF(Upgrades!$T$6="First Photons",POWER(Upgrades!$U$6,E73),1)*IF(Upgrades!$T$7="First Photons",POWER(Upgrades!$U$7,F73),1)*IF(Upgrades!$T$8="First Photons",POWER(Upgrades!$U$8,G73),1)*IF(Upgrades!$T$9="First Photons",POWER(Upgrades!$U$9,H73),1)*IF(Upgrades!$T$10="First Photons",POWER(Upgrades!$U$10,I73),1)*IF(Upgrades!$T$11="First Photons",POWER(Upgrades!$U$11,J73),1)))*POWER(Upgrades!$R$6,E73)*POWER(Upgrades!$R$7,F73)*POWER(Upgrades!$R$8,G73)*POWER(Upgrades!$R$9,H73)*POWER(Upgrades!$R$10,I73)*POWER(Upgrades!$R$11,J73)*POWER(Upgrades!$R$12,K73)</f>
        <v>0</v>
      </c>
      <c r="P73" s="27" t="n">
        <f aca="false">IF(L73=1,0,M73*Parameters!$B$10/60*Parameters!$B$11*10)</f>
        <v>0</v>
      </c>
      <c r="Q73" s="27" t="n">
        <f aca="false">IF(L73=1,0,O73*M73*10)</f>
        <v>0</v>
      </c>
      <c r="R73" s="27" t="n">
        <f aca="false">IF(L73=1,0,N73*10)</f>
        <v>0</v>
      </c>
      <c r="S73" s="27" t="n">
        <f aca="false">P73+Q73+R73</f>
        <v>0</v>
      </c>
      <c r="T73" s="21" t="n">
        <f aca="false">C73+S73</f>
        <v>18.6730249835055</v>
      </c>
      <c r="U73" s="34" t="str">
        <f aca="false">AX73</f>
        <v/>
      </c>
      <c r="V73" s="21" t="n">
        <f aca="false">IF(U73="",0,IF(U73="transition",0,IF(U73="SW",AG73,IF(U73="AB",AH73,IF(U73="SC",AI73,IF(U73="Mag",AJ73,IF(U73="OR",AK73,IF(U73="HP",AL73,IF(U73="FP",AM73,0)))))))))</f>
        <v>0</v>
      </c>
      <c r="W73" s="27" t="n">
        <f aca="false">IF(U73="OR",Upgrades!$F$10,IF(U73="HP",Upgrades!$F$11,IF(U73="transition",-Parameters!$B$18,0)))</f>
        <v>0</v>
      </c>
      <c r="X73" s="21" t="n">
        <f aca="false">T73-V73</f>
        <v>18.6730249835055</v>
      </c>
      <c r="Y73" s="30" t="n">
        <f aca="false">M73*Parameters!$B$10/60*Parameters!$B$11+O73*M73+N73</f>
        <v>20.55</v>
      </c>
      <c r="Z73" s="35" t="str">
        <f aca="false">IF(U73="transition","→ Tier 2 (Stellar Neighborhood)",IF(U73="FP","First Photons — light begins, system quickens",IF(U73="HP","Heliopause acquired",IF(U73="OR","Orbital Resonance — passive multiplier active",IF(AND(AO73=1,L73=0,AN73&lt;&gt;1),"Cohesion ready (waiting on completionist upgrades)","")))))</f>
        <v/>
      </c>
      <c r="AA73" s="27" t="n">
        <f aca="false">(IF(E73=0,0,(Upgrades!$G$6+E73*Upgrades!$H$6)*POWER(Upgrades!$I$6,E73)))*(IF(Upgrades!$T$7="Solar Wind",POWER(Upgrades!$U$7,F73),1)*IF(Upgrades!$T$8="Solar Wind",POWER(Upgrades!$U$8,G73),1)*IF(Upgrades!$T$9="Solar Wind",POWER(Upgrades!$U$9,H73),1)*IF(Upgrades!$T$10="Solar Wind",POWER(Upgrades!$U$10,I73),1)*IF(Upgrades!$T$11="Solar Wind",POWER(Upgrades!$U$11,J73),1)*IF(Upgrades!$T$12="Solar Wind",POWER(Upgrades!$U$12,K73),1))*POWER(Upgrades!$P$6,E73)*POWER(Upgrades!$P$7,F73)*POWER(Upgrades!$P$8,G73)*POWER(Upgrades!$P$9,H73)*POWER(Upgrades!$P$10,I73)*POWER(Upgrades!$P$11,J73)*POWER(Upgrades!$P$12,K73)*60</f>
        <v>72</v>
      </c>
      <c r="AB73" s="27" t="n">
        <f aca="false">(IF(F73=0,0,(Upgrades!$G$7+F73*Upgrades!$H$7)*POWER(Upgrades!$I$7,F73)))*(IF(Upgrades!$T$6="Asteroid Belt",POWER(Upgrades!$U$6,E73),1)*IF(Upgrades!$T$8="Asteroid Belt",POWER(Upgrades!$U$8,G73),1)*IF(Upgrades!$T$9="Asteroid Belt",POWER(Upgrades!$U$9,H73),1)*IF(Upgrades!$T$10="Asteroid Belt",POWER(Upgrades!$U$10,I73),1)*IF(Upgrades!$T$11="Asteroid Belt",POWER(Upgrades!$U$11,J73),1)*IF(Upgrades!$T$12="Asteroid Belt",POWER(Upgrades!$U$12,K73),1))*POWER(Upgrades!$P$6,E73)*POWER(Upgrades!$P$7,F73)*POWER(Upgrades!$P$8,G73)*POWER(Upgrades!$P$9,H73)*POWER(Upgrades!$P$10,I73)*POWER(Upgrades!$P$11,J73)*POWER(Upgrades!$P$12,K73)*60</f>
        <v>150</v>
      </c>
      <c r="AC73" s="27" t="n">
        <f aca="false">(IF(G73=0,0,(Upgrades!$J$8+G73*Upgrades!$K$8)*POWER(Upgrades!$L$8,G73)))*(IF(Upgrades!$T$6="Stellar Coupling",POWER(Upgrades!$U$6,E73),1)*IF(Upgrades!$T$7="Stellar Coupling",POWER(Upgrades!$U$7,F73),1)*IF(Upgrades!$T$9="Stellar Coupling",POWER(Upgrades!$U$9,H73),1)*IF(Upgrades!$T$10="Stellar Coupling",POWER(Upgrades!$U$10,I73),1)*IF(Upgrades!$T$11="Stellar Coupling",POWER(Upgrades!$U$11,J73),1)*IF(Upgrades!$T$12="Stellar Coupling",POWER(Upgrades!$U$12,K73),1))*POWER(Upgrades!$Q$6,E73)*POWER(Upgrades!$Q$7,F73)*POWER(Upgrades!$Q$8,G73)*POWER(Upgrades!$Q$9,H73)*POWER(Upgrades!$Q$10,I73)*POWER(Upgrades!$Q$11,J73)*POWER(Upgrades!$Q$12,K73)*Parameters!$B$10*Parameters!$B$11</f>
        <v>441</v>
      </c>
      <c r="AD73" s="27" t="n">
        <f aca="false">(IF(H73=0,0,(Upgrades!$G$9+H73*Upgrades!$H$9)*POWER(Upgrades!$I$9,H73)))*(IF(Upgrades!$T$6="Magnetosphere",POWER(Upgrades!$U$6,E73),1)*IF(Upgrades!$T$7="Magnetosphere",POWER(Upgrades!$U$7,F73),1)*IF(Upgrades!$T$8="Magnetosphere",POWER(Upgrades!$U$8,G73),1)*IF(Upgrades!$T$10="Magnetosphere",POWER(Upgrades!$U$10,I73),1)*IF(Upgrades!$T$11="Magnetosphere",POWER(Upgrades!$U$11,J73),1)*IF(Upgrades!$T$12="Magnetosphere",POWER(Upgrades!$U$12,K73),1))*POWER(Upgrades!$P$6,E73)*POWER(Upgrades!$P$7,F73)*POWER(Upgrades!$P$8,G73)*POWER(Upgrades!$P$9,H73)*POWER(Upgrades!$P$10,I73)*POWER(Upgrades!$P$11,J73)*POWER(Upgrades!$P$12,K73)*60</f>
        <v>375</v>
      </c>
      <c r="AE73" s="27" t="n">
        <f aca="false">(IF(K73=0,0,(Upgrades!$G$12+K73*Upgrades!$H$12)*POWER(Upgrades!$I$12,K73)))*(IF(Upgrades!$T$6="First Photons",POWER(Upgrades!$U$6,E73),1)*IF(Upgrades!$T$7="First Photons",POWER(Upgrades!$U$7,F73),1)*IF(Upgrades!$T$8="First Photons",POWER(Upgrades!$U$8,G73),1)*IF(Upgrades!$T$9="First Photons",POWER(Upgrades!$U$9,H73),1)*IF(Upgrades!$T$10="First Photons",POWER(Upgrades!$U$10,I73),1)*IF(Upgrades!$T$11="First Photons",POWER(Upgrades!$U$11,J73),1))*POWER(Upgrades!$P$6,E73)*POWER(Upgrades!$P$7,F73)*POWER(Upgrades!$P$8,G73)*POWER(Upgrades!$P$9,H73)*POWER(Upgrades!$P$10,I73)*POWER(Upgrades!$P$11,J73)*POWER(Upgrades!$P$12,K73)*60</f>
        <v>75</v>
      </c>
      <c r="AF73" s="27" t="n">
        <f aca="false">Parameters!$B$9*POWER(Upgrades!$Q$6,E73)*POWER(Upgrades!$Q$7,F73)*POWER(Upgrades!$Q$8,G73)*POWER(Upgrades!$Q$9,H73)*POWER(Upgrades!$Q$10,I73)*POWER(Upgrades!$Q$11,J73)*POWER(Upgrades!$Q$12,K73)*(Parameters!$B$10*Parameters!$B$11+O73*60)</f>
        <v>120</v>
      </c>
      <c r="AG73" s="21" t="n">
        <f aca="false">IF(E73&gt;=Upgrades!$E$6,"",Upgrades!$C$6*POWER(Upgrades!$D$6,E73))</f>
        <v>37.4517507383159</v>
      </c>
      <c r="AH73" s="21" t="n">
        <f aca="false">IF(F73&gt;=Upgrades!$E$7,"",Upgrades!$C$7*POWER(Upgrades!$D$7,F73))</f>
        <v>80.9111547141581</v>
      </c>
      <c r="AI73" s="21" t="n">
        <f aca="false">IF(G73&gt;=Upgrades!$E$8,"",Upgrades!$C$8*POWER(Upgrades!$D$8,G73))</f>
        <v>231.9097088</v>
      </c>
      <c r="AJ73" s="21" t="str">
        <f aca="false">IF(H73&gt;=Upgrades!$E$9,"",Upgrades!$C$9*POWER(Upgrades!$D$9,H73))</f>
        <v/>
      </c>
      <c r="AK73" s="21" t="str">
        <f aca="false">IF(I73&gt;=Upgrades!$E$10,"",Upgrades!$C$10*POWER(Upgrades!$D$10,I73))</f>
        <v/>
      </c>
      <c r="AL73" s="21" t="str">
        <f aca="false">IF(J73&gt;=Upgrades!$E$11,"",Upgrades!$C$11*POWER(Upgrades!$D$11,J73))</f>
        <v/>
      </c>
      <c r="AM73" s="21" t="str">
        <f aca="false">IF(K73&gt;=Upgrades!$E$12,"",Upgrades!$C$12*POWER(Upgrades!$D$12,K73))</f>
        <v/>
      </c>
      <c r="AN73" s="26" t="str">
        <f aca="false">IF(AND(D73&gt;=Parameters!$B$18,(H73&gt;=Upgrades!$E$9)*(K73&gt;=Upgrades!$E$12)=1,L73=0),1,"")</f>
        <v/>
      </c>
      <c r="AO73" s="26" t="str">
        <f aca="false">IF(AND(D73&gt;=Parameters!$B$18,L73=0),1,"")</f>
        <v/>
      </c>
      <c r="AP73" s="21" t="n">
        <f aca="false">MIN(IF(ISNUMBER(AK73),AK73,9000000000000000),IF(ISNUMBER(AL73),AL73,9000000000000000),IF(ISNUMBER(AM73),AM73,9000000000000000))</f>
        <v>9000000000000000</v>
      </c>
      <c r="AQ73" s="21" t="n">
        <f aca="false">MIN(IF(ISNUMBER(AG73),AG73,9000000000000000),IF(ISNUMBER(AH73),AH73,9000000000000000),IF(ISNUMBER(AI73),AI73,9000000000000000),IF(ISNUMBER(AJ73),AJ73,9000000000000000))</f>
        <v>37.4517507383159</v>
      </c>
      <c r="AR73" s="32" t="b">
        <f aca="false">IF(AW73&gt;Parameters!$B$21*(MAX(IF(AND(NOT(AND(AO73=1,AN73&lt;&gt;1)),ISNUMBER(AG73),AG73&lt;=T73),AS73,0),IF(AND(NOT(AND(AO73=1,AN73&lt;&gt;1)),ISNUMBER(AH73),AH73&lt;=T73),AT73,0),IF(AND(NOT(AND(AO73=1,AN73&lt;&gt;1)),ISNUMBER(AI73),AI73&lt;=T73),AU73,0),IF(AND(ISNUMBER(AJ73),AJ73&lt;=T73),AV73,0))),TRUE(),FALSE())</f>
        <v>1</v>
      </c>
      <c r="AS73" s="33" t="n">
        <f aca="false">IFERROR(Upgrades!$H$6*(POWER(Upgrades!$P$6,E73)*POWER(Upgrades!$P$7,F73)*POWER(Upgrades!$P$8,G73)*POWER(Upgrades!$P$9,H73)*POWER(Upgrades!$P$10,I73)*POWER(Upgrades!$P$11,J73)*POWER(Upgrades!$P$12,K73))*(IF(Upgrades!$T$7="Solar Wind",POWER(Upgrades!$U$7,F73),1)*IF(Upgrades!$T$8="Solar Wind",POWER(Upgrades!$U$8,G73),1)*IF(Upgrades!$T$9="Solar Wind",POWER(Upgrades!$U$9,H73),1)*IF(Upgrades!$T$10="Solar Wind",POWER(Upgrades!$U$10,I73),1)*IF(Upgrades!$T$11="Solar Wind",POWER(Upgrades!$U$11,J73),1)*IF(Upgrades!$T$12="Solar Wind",POWER(Upgrades!$U$12,K73),1))/AG73,0)</f>
        <v>0.0026701021455238</v>
      </c>
      <c r="AT73" s="33" t="n">
        <f aca="false">IFERROR(Upgrades!$H$7*(POWER(Upgrades!$P$6,E73)*POWER(Upgrades!$P$7,F73)*POWER(Upgrades!$P$8,G73)*POWER(Upgrades!$P$9,H73)*POWER(Upgrades!$P$10,I73)*POWER(Upgrades!$P$11,J73)*POWER(Upgrades!$P$12,K73))*(IF(Upgrades!$T$6="Asteroid Belt",POWER(Upgrades!$U$6,E73),1)*IF(Upgrades!$T$8="Asteroid Belt",POWER(Upgrades!$U$8,G73),1)*IF(Upgrades!$T$9="Asteroid Belt",POWER(Upgrades!$U$9,H73),1)*IF(Upgrades!$T$10="Asteroid Belt",POWER(Upgrades!$U$10,I73),1)*IF(Upgrades!$T$11="Asteroid Belt",POWER(Upgrades!$U$11,J73),1)*IF(Upgrades!$T$12="Asteroid Belt",POWER(Upgrades!$U$12,K73),1))/AH73,0)</f>
        <v>0.00308980882652332</v>
      </c>
      <c r="AU73" s="33" t="n">
        <f aca="false">IFERROR(Upgrades!$K$8*(POWER(Upgrades!$Q$6,E73)*POWER(Upgrades!$Q$7,F73)*POWER(Upgrades!$Q$8,G73)*POWER(Upgrades!$Q$9,H73)*POWER(Upgrades!$Q$10,I73)*POWER(Upgrades!$Q$11,J73)*POWER(Upgrades!$Q$12,K73))*(IF(Upgrades!$T$6="Stellar Coupling",POWER(Upgrades!$U$6,E73),1)*IF(Upgrades!$T$7="Stellar Coupling",POWER(Upgrades!$U$7,F73),1)*IF(Upgrades!$T$9="Stellar Coupling",POWER(Upgrades!$U$9,H73),1)*IF(Upgrades!$T$10="Stellar Coupling",POWER(Upgrades!$U$10,I73),1)*IF(Upgrades!$T$11="Stellar Coupling",POWER(Upgrades!$U$11,J73),1)*IF(Upgrades!$T$12="Stellar Coupling",POWER(Upgrades!$U$12,K73),1))*Parameters!$B$10*Parameters!$B$11/60/AI73,0)</f>
        <v>0.00452762415783776</v>
      </c>
      <c r="AV73" s="33" t="n">
        <f aca="false">IFERROR(Upgrades!$H$9*(POWER(Upgrades!$P$6,E73)*POWER(Upgrades!$P$7,F73)*POWER(Upgrades!$P$8,G73)*POWER(Upgrades!$P$9,H73)*POWER(Upgrades!$P$10,I73)*POWER(Upgrades!$P$11,J73)*POWER(Upgrades!$P$12,K73))*(IF(Upgrades!$T$6="Magnetosphere",POWER(Upgrades!$U$6,E73),1)*IF(Upgrades!$T$7="Magnetosphere",POWER(Upgrades!$U$7,F73),1)*IF(Upgrades!$T$8="Magnetosphere",POWER(Upgrades!$U$8,G73),1)*IF(Upgrades!$T$10="Magnetosphere",POWER(Upgrades!$U$10,I73),1)*IF(Upgrades!$T$11="Magnetosphere",POWER(Upgrades!$U$11,J73),1)*IF(Upgrades!$T$12="Magnetosphere",POWER(Upgrades!$U$12,K73),1))/AJ73,0)</f>
        <v>0</v>
      </c>
      <c r="AW73" s="33" t="n">
        <f aca="false">MAX(IF(I73&gt;0,0,IFERROR(0.25*N73/Upgrades!$C$10,0)),IF(J73&gt;0,0,IFERROR(0.5*((IF(G73=0,0,(Upgrades!$J$8+G73*Upgrades!$K$8)*POWER(Upgrades!$L$8,G73)))*(IF(Upgrades!$T$6="Stellar Coupling",POWER(Upgrades!$U$6,E73),1)*IF(Upgrades!$T$7="Stellar Coupling",POWER(Upgrades!$U$7,F73),1)*IF(Upgrades!$T$9="Stellar Coupling",POWER(Upgrades!$U$9,H73),1)*IF(Upgrades!$T$10="Stellar Coupling",POWER(Upgrades!$U$10,I73),1)*IF(Upgrades!$T$11="Stellar Coupling",POWER(Upgrades!$U$11,J73),1)*IF(Upgrades!$T$12="Stellar Coupling",POWER(Upgrades!$U$12,K73),1))*(POWER(Upgrades!$Q$6,E73)*POWER(Upgrades!$Q$7,F73)*POWER(Upgrades!$Q$8,G73)*POWER(Upgrades!$Q$9,H73)*POWER(Upgrades!$Q$10,I73)*POWER(Upgrades!$Q$11,J73)*POWER(Upgrades!$Q$12,K73))*Parameters!$B$10*Parameters!$B$11/60)/Upgrades!$C$11,0)),IF(K73&gt;0,0,IFERROR((1*(POWER(Upgrades!$P$6,E73)*POWER(Upgrades!$P$7,F73)*POWER(Upgrades!$P$8,G73)*POWER(Upgrades!$P$9,H73)*POWER(Upgrades!$P$10,I73)*POWER(Upgrades!$P$11,J73)*POWER(Upgrades!$P$12,K73))+0.2*M73*Parameters!$B$10*Parameters!$B$11/60)/Upgrades!$C$12,0)),IF(AND(ISNUMBER(AG73),AG73&gt;T73),AS73,0),IF(AND(ISNUMBER(AH73),AH73&gt;T73),AT73,0),IF(AND(ISNUMBER(AI73),AI73&gt;T73),AU73,0),IF(AND(ISNUMBER(AJ73),AJ73&gt;T73),AV73,0))</f>
        <v>0.00452762415783776</v>
      </c>
      <c r="AX73" s="29" t="str">
        <f aca="false">IF(AN73=1,"transition",IF(MIN(IF(AND(I73=0,ISNUMBER(AK73),AK73&lt;=T73),AK73,9000000000000000),IF(AND(J73=0,ISNUMBER(AL73),AL73&lt;=T73),AL73,9000000000000000),IF(AND(K73=0,ISNUMBER(AM73),AM73&lt;=T73),AM73,9000000000000000))&lt;9000000000000000,IF(AND(AND(I73=0,ISNUMBER(AK73),AK73&lt;=T73),AK73=MIN(IF(AND(I73=0,ISNUMBER(AK73),AK73&lt;=T73),AK73,9000000000000000),IF(AND(J73=0,ISNUMBER(AL73),AL73&lt;=T73),AL73,9000000000000000),IF(AND(K73=0,ISNUMBER(AM73),AM73&lt;=T73),AM73,9000000000000000))),"OR",IF(AND(AND(J73=0,ISNUMBER(AL73),AL73&lt;=T73),AL73=MIN(IF(AND(I73=0,ISNUMBER(AK73),AK73&lt;=T73),AK73,9000000000000000),IF(AND(J73=0,ISNUMBER(AL73),AL73&lt;=T73),AL73,9000000000000000),IF(AND(K73=0,ISNUMBER(AM73),AM73&lt;=T73),AM73,9000000000000000))),"HP","FP")),IF(AR73=TRUE(),"",IF(MAX(IF(AND(NOT(AND(AO73=1,AN73&lt;&gt;1)),ISNUMBER(AG73),AG73&lt;=T73),AS73,0),IF(AND(NOT(AND(AO73=1,AN73&lt;&gt;1)),ISNUMBER(AH73),AH73&lt;=T73),AT73,0),IF(AND(NOT(AND(AO73=1,AN73&lt;&gt;1)),ISNUMBER(AI73),AI73&lt;=T73),AU73,0),IF(AND(ISNUMBER(AJ73),AJ73&lt;=T73),AV73,0))&lt;=0,"",IF(AND(IF(AND(NOT(AND(AO73=1,AN73&lt;&gt;1)),ISNUMBER(AG73),AG73&lt;=T73),AS73,0)&gt;0,IF(AND(NOT(AND(AO73=1,AN73&lt;&gt;1)),ISNUMBER(AG73),AG73&lt;=T73),AS73,0)=MAX(IF(AND(NOT(AND(AO73=1,AN73&lt;&gt;1)),ISNUMBER(AG73),AG73&lt;=T73),AS73,0),IF(AND(NOT(AND(AO73=1,AN73&lt;&gt;1)),ISNUMBER(AH73),AH73&lt;=T73),AT73,0),IF(AND(NOT(AND(AO73=1,AN73&lt;&gt;1)),ISNUMBER(AI73),AI73&lt;=T73),AU73,0),IF(AND(ISNUMBER(AJ73),AJ73&lt;=T73),AV73,0))),"SW",IF(AND(IF(AND(NOT(AND(AO73=1,AN73&lt;&gt;1)),ISNUMBER(AH73),AH73&lt;=T73),AT73,0)&gt;0,IF(AND(NOT(AND(AO73=1,AN73&lt;&gt;1)),ISNUMBER(AH73),AH73&lt;=T73),AT73,0)=MAX(IF(AND(NOT(AND(AO73=1,AN73&lt;&gt;1)),ISNUMBER(AG73),AG73&lt;=T73),AS73,0),IF(AND(NOT(AND(AO73=1,AN73&lt;&gt;1)),ISNUMBER(AH73),AH73&lt;=T73),AT73,0),IF(AND(NOT(AND(AO73=1,AN73&lt;&gt;1)),ISNUMBER(AI73),AI73&lt;=T73),AU73,0),IF(AND(ISNUMBER(AJ73),AJ73&lt;=T73),AV73,0))),"AB",IF(AND(IF(AND(NOT(AND(AO73=1,AN73&lt;&gt;1)),ISNUMBER(AI73),AI73&lt;=T73),AU73,0)&gt;0,IF(AND(NOT(AND(AO73=1,AN73&lt;&gt;1)),ISNUMBER(AI73),AI73&lt;=T73),AU73,0)=MAX(IF(AND(NOT(AND(AO73=1,AN73&lt;&gt;1)),ISNUMBER(AG73),AG73&lt;=T73),AS73,0),IF(AND(NOT(AND(AO73=1,AN73&lt;&gt;1)),ISNUMBER(AH73),AH73&lt;=T73),AT73,0),IF(AND(NOT(AND(AO73=1,AN73&lt;&gt;1)),ISNUMBER(AI73),AI73&lt;=T73),AU73,0),IF(AND(ISNUMBER(AJ73),AJ73&lt;=T73),AV73,0))),"SC","Mag")))))))</f>
        <v/>
      </c>
    </row>
    <row r="74" customFormat="false" ht="15" hidden="false" customHeight="false" outlineLevel="0" collapsed="false">
      <c r="A74" s="26" t="n">
        <v>69</v>
      </c>
      <c r="B74" s="27" t="n">
        <f aca="false">A74*10/60</f>
        <v>11.5</v>
      </c>
      <c r="C74" s="21" t="n">
        <f aca="false">X73</f>
        <v>18.6730249835055</v>
      </c>
      <c r="D74" s="27" t="n">
        <f aca="false">D73+W73</f>
        <v>0</v>
      </c>
      <c r="E74" s="26" t="n">
        <f aca="false">E73+IF(U73="SW",1,0)</f>
        <v>12</v>
      </c>
      <c r="F74" s="26" t="n">
        <f aca="false">F73+IF(U73="AB",1,0)</f>
        <v>10</v>
      </c>
      <c r="G74" s="26" t="n">
        <f aca="false">G73+IF(U73="SC",1,0)</f>
        <v>7</v>
      </c>
      <c r="H74" s="26" t="n">
        <f aca="false">H73+IF(U73="Mag",1,0)</f>
        <v>5</v>
      </c>
      <c r="I74" s="26" t="n">
        <f aca="false">MAX(I73,IF(U73="OR",1,0))</f>
        <v>1</v>
      </c>
      <c r="J74" s="26" t="n">
        <f aca="false">MAX(J73,IF(U73="HP",1,0))</f>
        <v>1</v>
      </c>
      <c r="K74" s="26" t="n">
        <f aca="false">MAX(K73,IF(U73="FP",1,0))</f>
        <v>1</v>
      </c>
      <c r="L74" s="26" t="n">
        <f aca="false">MAX(L73,IF(U73="transition",1,0))</f>
        <v>1</v>
      </c>
      <c r="M74" s="28" t="n">
        <f aca="false">(Parameters!$B$9+(IF(E74=0,0,(Upgrades!$J$6+E74*Upgrades!$K$6)*POWER(Upgrades!$L$6,E74)))*(IF(Upgrades!$T$7="Solar Wind",POWER(Upgrades!$U$7,F74),1)*IF(Upgrades!$T$8="Solar Wind",POWER(Upgrades!$U$8,G74),1)*IF(Upgrades!$T$9="Solar Wind",POWER(Upgrades!$U$9,H74),1)*IF(Upgrades!$T$10="Solar Wind",POWER(Upgrades!$U$10,I74),1)*IF(Upgrades!$T$11="Solar Wind",POWER(Upgrades!$U$11,J74),1)*IF(Upgrades!$T$12="Solar Wind",POWER(Upgrades!$U$12,K74),1))+(IF(F74=0,0,(Upgrades!$J$7+F74*Upgrades!$K$7)*POWER(Upgrades!$L$7,F74)))*(IF(Upgrades!$T$6="Asteroid Belt",POWER(Upgrades!$U$6,E74),1)*IF(Upgrades!$T$8="Asteroid Belt",POWER(Upgrades!$U$8,G74),1)*IF(Upgrades!$T$9="Asteroid Belt",POWER(Upgrades!$U$9,H74),1)*IF(Upgrades!$T$10="Asteroid Belt",POWER(Upgrades!$U$10,I74),1)*IF(Upgrades!$T$11="Asteroid Belt",POWER(Upgrades!$U$11,J74),1)*IF(Upgrades!$T$12="Asteroid Belt",POWER(Upgrades!$U$12,K74),1))+(IF(G74=0,0,(Upgrades!$J$8+G74*Upgrades!$K$8)*POWER(Upgrades!$L$8,G74)))*(IF(Upgrades!$T$6="Stellar Coupling",POWER(Upgrades!$U$6,E74),1)*IF(Upgrades!$T$7="Stellar Coupling",POWER(Upgrades!$U$7,F74),1)*IF(Upgrades!$T$9="Stellar Coupling",POWER(Upgrades!$U$9,H74),1)*IF(Upgrades!$T$10="Stellar Coupling",POWER(Upgrades!$U$10,I74),1)*IF(Upgrades!$T$11="Stellar Coupling",POWER(Upgrades!$U$11,J74),1)*IF(Upgrades!$T$12="Stellar Coupling",POWER(Upgrades!$U$12,K74),1))+(IF(H74=0,0,(Upgrades!$J$9+H74*Upgrades!$K$9)*POWER(Upgrades!$L$9,H74)))*(IF(Upgrades!$T$6="Magnetosphere",POWER(Upgrades!$U$6,E74),1)*IF(Upgrades!$T$7="Magnetosphere",POWER(Upgrades!$U$7,F74),1)*IF(Upgrades!$T$8="Magnetosphere",POWER(Upgrades!$U$8,G74),1)*IF(Upgrades!$T$10="Magnetosphere",POWER(Upgrades!$U$10,I74),1)*IF(Upgrades!$T$11="Magnetosphere",POWER(Upgrades!$U$11,J74),1)*IF(Upgrades!$T$12="Magnetosphere",POWER(Upgrades!$U$12,K74),1))+(IF(I74=0,0,(Upgrades!$J$10+I74*Upgrades!$K$10)*POWER(Upgrades!$L$10,I74)))*(IF(Upgrades!$T$6="Orbital Resonance",POWER(Upgrades!$U$6,E74),1)*IF(Upgrades!$T$7="Orbital Resonance",POWER(Upgrades!$U$7,F74),1)*IF(Upgrades!$T$8="Orbital Resonance",POWER(Upgrades!$U$8,G74),1)*IF(Upgrades!$T$9="Orbital Resonance",POWER(Upgrades!$U$9,H74),1)*IF(Upgrades!$T$11="Orbital Resonance",POWER(Upgrades!$U$11,J74),1)*IF(Upgrades!$T$12="Orbital Resonance",POWER(Upgrades!$U$12,K74),1))+(IF(J74=0,0,(Upgrades!$J$11+J74*Upgrades!$K$11)*POWER(Upgrades!$L$11,J74)))*(IF(Upgrades!$T$6="Heliopause",POWER(Upgrades!$U$6,E74),1)*IF(Upgrades!$T$7="Heliopause",POWER(Upgrades!$U$7,F74),1)*IF(Upgrades!$T$8="Heliopause",POWER(Upgrades!$U$8,G74),1)*IF(Upgrades!$T$9="Heliopause",POWER(Upgrades!$U$9,H74),1)*IF(Upgrades!$T$10="Heliopause",POWER(Upgrades!$U$10,I74),1)*IF(Upgrades!$T$12="Heliopause",POWER(Upgrades!$U$12,K74),1))+(IF(K74=0,0,(Upgrades!$J$12+K74*Upgrades!$K$12)*POWER(Upgrades!$L$12,K74)))*(IF(Upgrades!$T$6="First Photons",POWER(Upgrades!$U$6,E74),1)*IF(Upgrades!$T$7="First Photons",POWER(Upgrades!$U$7,F74),1)*IF(Upgrades!$T$8="First Photons",POWER(Upgrades!$U$8,G74),1)*IF(Upgrades!$T$9="First Photons",POWER(Upgrades!$U$9,H74),1)*IF(Upgrades!$T$10="First Photons",POWER(Upgrades!$U$10,I74),1)*IF(Upgrades!$T$11="First Photons",POWER(Upgrades!$U$11,J74),1)))*POWER(Upgrades!$Q$6,E74)*POWER(Upgrades!$Q$7,F74)*POWER(Upgrades!$Q$8,G74)*POWER(Upgrades!$Q$9,H74)*POWER(Upgrades!$Q$10,I74)*POWER(Upgrades!$Q$11,J74)*POWER(Upgrades!$Q$12,K74)</f>
        <v>5.61</v>
      </c>
      <c r="N74" s="28" t="n">
        <f aca="false">((IF(E74=0,0,(Upgrades!$G$6+E74*Upgrades!$H$6)*POWER(Upgrades!$I$6,E74)))*(IF(Upgrades!$T$7="Solar Wind",POWER(Upgrades!$U$7,F74),1)*IF(Upgrades!$T$8="Solar Wind",POWER(Upgrades!$U$8,G74),1)*IF(Upgrades!$T$9="Solar Wind",POWER(Upgrades!$U$9,H74),1)*IF(Upgrades!$T$10="Solar Wind",POWER(Upgrades!$U$10,I74),1)*IF(Upgrades!$T$11="Solar Wind",POWER(Upgrades!$U$11,J74),1)*IF(Upgrades!$T$12="Solar Wind",POWER(Upgrades!$U$12,K74),1))+(IF(F74=0,0,(Upgrades!$G$7+F74*Upgrades!$H$7)*POWER(Upgrades!$I$7,F74)))*(IF(Upgrades!$T$6="Asteroid Belt",POWER(Upgrades!$U$6,E74),1)*IF(Upgrades!$T$8="Asteroid Belt",POWER(Upgrades!$U$8,G74),1)*IF(Upgrades!$T$9="Asteroid Belt",POWER(Upgrades!$U$9,H74),1)*IF(Upgrades!$T$10="Asteroid Belt",POWER(Upgrades!$U$10,I74),1)*IF(Upgrades!$T$11="Asteroid Belt",POWER(Upgrades!$U$11,J74),1)*IF(Upgrades!$T$12="Asteroid Belt",POWER(Upgrades!$U$12,K74),1))+(IF(G74=0,0,(Upgrades!$G$8+G74*Upgrades!$H$8)*POWER(Upgrades!$I$8,G74)))*(IF(Upgrades!$T$6="Stellar Coupling",POWER(Upgrades!$U$6,E74),1)*IF(Upgrades!$T$7="Stellar Coupling",POWER(Upgrades!$U$7,F74),1)*IF(Upgrades!$T$9="Stellar Coupling",POWER(Upgrades!$U$9,H74),1)*IF(Upgrades!$T$10="Stellar Coupling",POWER(Upgrades!$U$10,I74),1)*IF(Upgrades!$T$11="Stellar Coupling",POWER(Upgrades!$U$11,J74),1)*IF(Upgrades!$T$12="Stellar Coupling",POWER(Upgrades!$U$12,K74),1))+(IF(H74=0,0,(Upgrades!$G$9+H74*Upgrades!$H$9)*POWER(Upgrades!$I$9,H74)))*(IF(Upgrades!$T$6="Magnetosphere",POWER(Upgrades!$U$6,E74),1)*IF(Upgrades!$T$7="Magnetosphere",POWER(Upgrades!$U$7,F74),1)*IF(Upgrades!$T$8="Magnetosphere",POWER(Upgrades!$U$8,G74),1)*IF(Upgrades!$T$10="Magnetosphere",POWER(Upgrades!$U$10,I74),1)*IF(Upgrades!$T$11="Magnetosphere",POWER(Upgrades!$U$11,J74),1)*IF(Upgrades!$T$12="Magnetosphere",POWER(Upgrades!$U$12,K74),1))+(IF(I74=0,0,(Upgrades!$G$10+I74*Upgrades!$H$10)*POWER(Upgrades!$I$10,I74)))*(IF(Upgrades!$T$6="Orbital Resonance",POWER(Upgrades!$U$6,E74),1)*IF(Upgrades!$T$7="Orbital Resonance",POWER(Upgrades!$U$7,F74),1)*IF(Upgrades!$T$8="Orbital Resonance",POWER(Upgrades!$U$8,G74),1)*IF(Upgrades!$T$9="Orbital Resonance",POWER(Upgrades!$U$9,H74),1)*IF(Upgrades!$T$11="Orbital Resonance",POWER(Upgrades!$U$11,J74),1)*IF(Upgrades!$T$12="Orbital Resonance",POWER(Upgrades!$U$12,K74),1))+(IF(J74=0,0,(Upgrades!$G$11+J74*Upgrades!$H$11)*POWER(Upgrades!$I$11,J74)))*(IF(Upgrades!$T$6="Heliopause",POWER(Upgrades!$U$6,E74),1)*IF(Upgrades!$T$7="Heliopause",POWER(Upgrades!$U$7,F74),1)*IF(Upgrades!$T$8="Heliopause",POWER(Upgrades!$U$8,G74),1)*IF(Upgrades!$T$9="Heliopause",POWER(Upgrades!$U$9,H74),1)*IF(Upgrades!$T$10="Heliopause",POWER(Upgrades!$U$10,I74),1)*IF(Upgrades!$T$12="Heliopause",POWER(Upgrades!$U$12,K74),1))+(IF(K74=0,0,(Upgrades!$G$12+K74*Upgrades!$H$12)*POWER(Upgrades!$I$12,K74)))*(IF(Upgrades!$T$6="First Photons",POWER(Upgrades!$U$6,E74),1)*IF(Upgrades!$T$7="First Photons",POWER(Upgrades!$U$7,F74),1)*IF(Upgrades!$T$8="First Photons",POWER(Upgrades!$U$8,G74),1)*IF(Upgrades!$T$9="First Photons",POWER(Upgrades!$U$9,H74),1)*IF(Upgrades!$T$10="First Photons",POWER(Upgrades!$U$10,I74),1)*IF(Upgrades!$T$11="First Photons",POWER(Upgrades!$U$11,J74),1)))*POWER(Upgrades!$P$6,E74)*POWER(Upgrades!$P$7,F74)*POWER(Upgrades!$P$8,G74)*POWER(Upgrades!$P$9,H74)*POWER(Upgrades!$P$10,I74)*POWER(Upgrades!$P$11,J74)*POWER(Upgrades!$P$12,K74)</f>
        <v>11.2</v>
      </c>
      <c r="O74" s="28" t="n">
        <f aca="false">((IF(E74=0,0,(Upgrades!$M$6+E74*Upgrades!$N$6)*POWER(Upgrades!$O$6,E74)))*(IF(Upgrades!$T$7="Solar Wind",POWER(Upgrades!$U$7,F74),1)*IF(Upgrades!$T$8="Solar Wind",POWER(Upgrades!$U$8,G74),1)*IF(Upgrades!$T$9="Solar Wind",POWER(Upgrades!$U$9,H74),1)*IF(Upgrades!$T$10="Solar Wind",POWER(Upgrades!$U$10,I74),1)*IF(Upgrades!$T$11="Solar Wind",POWER(Upgrades!$U$11,J74),1)*IF(Upgrades!$T$12="Solar Wind",POWER(Upgrades!$U$12,K74),1))+(IF(F74=0,0,(Upgrades!$M$7+F74*Upgrades!$N$7)*POWER(Upgrades!$O$7,F74)))*(IF(Upgrades!$T$6="Asteroid Belt",POWER(Upgrades!$U$6,E74),1)*IF(Upgrades!$T$8="Asteroid Belt",POWER(Upgrades!$U$8,G74),1)*IF(Upgrades!$T$9="Asteroid Belt",POWER(Upgrades!$U$9,H74),1)*IF(Upgrades!$T$10="Asteroid Belt",POWER(Upgrades!$U$10,I74),1)*IF(Upgrades!$T$11="Asteroid Belt",POWER(Upgrades!$U$11,J74),1)*IF(Upgrades!$T$12="Asteroid Belt",POWER(Upgrades!$U$12,K74),1))+(IF(G74=0,0,(Upgrades!$M$8+G74*Upgrades!$N$8)*POWER(Upgrades!$O$8,G74)))*(IF(Upgrades!$T$6="Stellar Coupling",POWER(Upgrades!$U$6,E74),1)*IF(Upgrades!$T$7="Stellar Coupling",POWER(Upgrades!$U$7,F74),1)*IF(Upgrades!$T$9="Stellar Coupling",POWER(Upgrades!$U$9,H74),1)*IF(Upgrades!$T$10="Stellar Coupling",POWER(Upgrades!$U$10,I74),1)*IF(Upgrades!$T$11="Stellar Coupling",POWER(Upgrades!$U$11,J74),1)*IF(Upgrades!$T$12="Stellar Coupling",POWER(Upgrades!$U$12,K74),1))+(IF(H74=0,0,(Upgrades!$M$9+H74*Upgrades!$N$9)*POWER(Upgrades!$O$9,H74)))*(IF(Upgrades!$T$6="Magnetosphere",POWER(Upgrades!$U$6,E74),1)*IF(Upgrades!$T$7="Magnetosphere",POWER(Upgrades!$U$7,F74),1)*IF(Upgrades!$T$8="Magnetosphere",POWER(Upgrades!$U$8,G74),1)*IF(Upgrades!$T$10="Magnetosphere",POWER(Upgrades!$U$10,I74),1)*IF(Upgrades!$T$11="Magnetosphere",POWER(Upgrades!$U$11,J74),1)*IF(Upgrades!$T$12="Magnetosphere",POWER(Upgrades!$U$12,K74),1))+(IF(I74=0,0,(Upgrades!$M$10+I74*Upgrades!$N$10)*POWER(Upgrades!$O$10,I74)))*(IF(Upgrades!$T$6="Orbital Resonance",POWER(Upgrades!$U$6,E74),1)*IF(Upgrades!$T$7="Orbital Resonance",POWER(Upgrades!$U$7,F74),1)*IF(Upgrades!$T$8="Orbital Resonance",POWER(Upgrades!$U$8,G74),1)*IF(Upgrades!$T$9="Orbital Resonance",POWER(Upgrades!$U$9,H74),1)*IF(Upgrades!$T$11="Orbital Resonance",POWER(Upgrades!$U$11,J74),1)*IF(Upgrades!$T$12="Orbital Resonance",POWER(Upgrades!$U$12,K74),1))+(IF(J74=0,0,(Upgrades!$M$11+J74*Upgrades!$N$11)*POWER(Upgrades!$O$11,J74)))*(IF(Upgrades!$T$6="Heliopause",POWER(Upgrades!$U$6,E74),1)*IF(Upgrades!$T$7="Heliopause",POWER(Upgrades!$U$7,F74),1)*IF(Upgrades!$T$8="Heliopause",POWER(Upgrades!$U$8,G74),1)*IF(Upgrades!$T$9="Heliopause",POWER(Upgrades!$U$9,H74),1)*IF(Upgrades!$T$10="Heliopause",POWER(Upgrades!$U$10,I74),1)*IF(Upgrades!$T$12="Heliopause",POWER(Upgrades!$U$12,K74),1))+(IF(K74=0,0,(Upgrades!$M$12+K74*Upgrades!$N$12)*POWER(Upgrades!$O$12,K74)))*(IF(Upgrades!$T$6="First Photons",POWER(Upgrades!$U$6,E74),1)*IF(Upgrades!$T$7="First Photons",POWER(Upgrades!$U$7,F74),1)*IF(Upgrades!$T$8="First Photons",POWER(Upgrades!$U$8,G74),1)*IF(Upgrades!$T$9="First Photons",POWER(Upgrades!$U$9,H74),1)*IF(Upgrades!$T$10="First Photons",POWER(Upgrades!$U$10,I74),1)*IF(Upgrades!$T$11="First Photons",POWER(Upgrades!$U$11,J74),1)))*POWER(Upgrades!$R$6,E74)*POWER(Upgrades!$R$7,F74)*POWER(Upgrades!$R$8,G74)*POWER(Upgrades!$R$9,H74)*POWER(Upgrades!$R$10,I74)*POWER(Upgrades!$R$11,J74)*POWER(Upgrades!$R$12,K74)</f>
        <v>0</v>
      </c>
      <c r="P74" s="27" t="n">
        <f aca="false">IF(L74=1,0,M74*Parameters!$B$10/60*Parameters!$B$11*10)</f>
        <v>0</v>
      </c>
      <c r="Q74" s="27" t="n">
        <f aca="false">IF(L74=1,0,O74*M74*10)</f>
        <v>0</v>
      </c>
      <c r="R74" s="27" t="n">
        <f aca="false">IF(L74=1,0,N74*10)</f>
        <v>0</v>
      </c>
      <c r="S74" s="27" t="n">
        <f aca="false">P74+Q74+R74</f>
        <v>0</v>
      </c>
      <c r="T74" s="21" t="n">
        <f aca="false">C74+S74</f>
        <v>18.6730249835055</v>
      </c>
      <c r="U74" s="34" t="str">
        <f aca="false">AX74</f>
        <v/>
      </c>
      <c r="V74" s="21" t="n">
        <f aca="false">IF(U74="",0,IF(U74="transition",0,IF(U74="SW",AG74,IF(U74="AB",AH74,IF(U74="SC",AI74,IF(U74="Mag",AJ74,IF(U74="OR",AK74,IF(U74="HP",AL74,IF(U74="FP",AM74,0)))))))))</f>
        <v>0</v>
      </c>
      <c r="W74" s="27" t="n">
        <f aca="false">IF(U74="OR",Upgrades!$F$10,IF(U74="HP",Upgrades!$F$11,IF(U74="transition",-Parameters!$B$18,0)))</f>
        <v>0</v>
      </c>
      <c r="X74" s="21" t="n">
        <f aca="false">T74-V74</f>
        <v>18.6730249835055</v>
      </c>
      <c r="Y74" s="30" t="n">
        <f aca="false">M74*Parameters!$B$10/60*Parameters!$B$11+O74*M74+N74</f>
        <v>20.55</v>
      </c>
      <c r="Z74" s="35" t="str">
        <f aca="false">IF(U74="transition","→ Tier 2 (Stellar Neighborhood)",IF(U74="FP","First Photons — light begins, system quickens",IF(U74="HP","Heliopause acquired",IF(U74="OR","Orbital Resonance — passive multiplier active",IF(AND(AO74=1,L74=0,AN74&lt;&gt;1),"Cohesion ready (waiting on completionist upgrades)","")))))</f>
        <v/>
      </c>
      <c r="AA74" s="27" t="n">
        <f aca="false">(IF(E74=0,0,(Upgrades!$G$6+E74*Upgrades!$H$6)*POWER(Upgrades!$I$6,E74)))*(IF(Upgrades!$T$7="Solar Wind",POWER(Upgrades!$U$7,F74),1)*IF(Upgrades!$T$8="Solar Wind",POWER(Upgrades!$U$8,G74),1)*IF(Upgrades!$T$9="Solar Wind",POWER(Upgrades!$U$9,H74),1)*IF(Upgrades!$T$10="Solar Wind",POWER(Upgrades!$U$10,I74),1)*IF(Upgrades!$T$11="Solar Wind",POWER(Upgrades!$U$11,J74),1)*IF(Upgrades!$T$12="Solar Wind",POWER(Upgrades!$U$12,K74),1))*POWER(Upgrades!$P$6,E74)*POWER(Upgrades!$P$7,F74)*POWER(Upgrades!$P$8,G74)*POWER(Upgrades!$P$9,H74)*POWER(Upgrades!$P$10,I74)*POWER(Upgrades!$P$11,J74)*POWER(Upgrades!$P$12,K74)*60</f>
        <v>72</v>
      </c>
      <c r="AB74" s="27" t="n">
        <f aca="false">(IF(F74=0,0,(Upgrades!$G$7+F74*Upgrades!$H$7)*POWER(Upgrades!$I$7,F74)))*(IF(Upgrades!$T$6="Asteroid Belt",POWER(Upgrades!$U$6,E74),1)*IF(Upgrades!$T$8="Asteroid Belt",POWER(Upgrades!$U$8,G74),1)*IF(Upgrades!$T$9="Asteroid Belt",POWER(Upgrades!$U$9,H74),1)*IF(Upgrades!$T$10="Asteroid Belt",POWER(Upgrades!$U$10,I74),1)*IF(Upgrades!$T$11="Asteroid Belt",POWER(Upgrades!$U$11,J74),1)*IF(Upgrades!$T$12="Asteroid Belt",POWER(Upgrades!$U$12,K74),1))*POWER(Upgrades!$P$6,E74)*POWER(Upgrades!$P$7,F74)*POWER(Upgrades!$P$8,G74)*POWER(Upgrades!$P$9,H74)*POWER(Upgrades!$P$10,I74)*POWER(Upgrades!$P$11,J74)*POWER(Upgrades!$P$12,K74)*60</f>
        <v>150</v>
      </c>
      <c r="AC74" s="27" t="n">
        <f aca="false">(IF(G74=0,0,(Upgrades!$J$8+G74*Upgrades!$K$8)*POWER(Upgrades!$L$8,G74)))*(IF(Upgrades!$T$6="Stellar Coupling",POWER(Upgrades!$U$6,E74),1)*IF(Upgrades!$T$7="Stellar Coupling",POWER(Upgrades!$U$7,F74),1)*IF(Upgrades!$T$9="Stellar Coupling",POWER(Upgrades!$U$9,H74),1)*IF(Upgrades!$T$10="Stellar Coupling",POWER(Upgrades!$U$10,I74),1)*IF(Upgrades!$T$11="Stellar Coupling",POWER(Upgrades!$U$11,J74),1)*IF(Upgrades!$T$12="Stellar Coupling",POWER(Upgrades!$U$12,K74),1))*POWER(Upgrades!$Q$6,E74)*POWER(Upgrades!$Q$7,F74)*POWER(Upgrades!$Q$8,G74)*POWER(Upgrades!$Q$9,H74)*POWER(Upgrades!$Q$10,I74)*POWER(Upgrades!$Q$11,J74)*POWER(Upgrades!$Q$12,K74)*Parameters!$B$10*Parameters!$B$11</f>
        <v>441</v>
      </c>
      <c r="AD74" s="27" t="n">
        <f aca="false">(IF(H74=0,0,(Upgrades!$G$9+H74*Upgrades!$H$9)*POWER(Upgrades!$I$9,H74)))*(IF(Upgrades!$T$6="Magnetosphere",POWER(Upgrades!$U$6,E74),1)*IF(Upgrades!$T$7="Magnetosphere",POWER(Upgrades!$U$7,F74),1)*IF(Upgrades!$T$8="Magnetosphere",POWER(Upgrades!$U$8,G74),1)*IF(Upgrades!$T$10="Magnetosphere",POWER(Upgrades!$U$10,I74),1)*IF(Upgrades!$T$11="Magnetosphere",POWER(Upgrades!$U$11,J74),1)*IF(Upgrades!$T$12="Magnetosphere",POWER(Upgrades!$U$12,K74),1))*POWER(Upgrades!$P$6,E74)*POWER(Upgrades!$P$7,F74)*POWER(Upgrades!$P$8,G74)*POWER(Upgrades!$P$9,H74)*POWER(Upgrades!$P$10,I74)*POWER(Upgrades!$P$11,J74)*POWER(Upgrades!$P$12,K74)*60</f>
        <v>375</v>
      </c>
      <c r="AE74" s="27" t="n">
        <f aca="false">(IF(K74=0,0,(Upgrades!$G$12+K74*Upgrades!$H$12)*POWER(Upgrades!$I$12,K74)))*(IF(Upgrades!$T$6="First Photons",POWER(Upgrades!$U$6,E74),1)*IF(Upgrades!$T$7="First Photons",POWER(Upgrades!$U$7,F74),1)*IF(Upgrades!$T$8="First Photons",POWER(Upgrades!$U$8,G74),1)*IF(Upgrades!$T$9="First Photons",POWER(Upgrades!$U$9,H74),1)*IF(Upgrades!$T$10="First Photons",POWER(Upgrades!$U$10,I74),1)*IF(Upgrades!$T$11="First Photons",POWER(Upgrades!$U$11,J74),1))*POWER(Upgrades!$P$6,E74)*POWER(Upgrades!$P$7,F74)*POWER(Upgrades!$P$8,G74)*POWER(Upgrades!$P$9,H74)*POWER(Upgrades!$P$10,I74)*POWER(Upgrades!$P$11,J74)*POWER(Upgrades!$P$12,K74)*60</f>
        <v>75</v>
      </c>
      <c r="AF74" s="27" t="n">
        <f aca="false">Parameters!$B$9*POWER(Upgrades!$Q$6,E74)*POWER(Upgrades!$Q$7,F74)*POWER(Upgrades!$Q$8,G74)*POWER(Upgrades!$Q$9,H74)*POWER(Upgrades!$Q$10,I74)*POWER(Upgrades!$Q$11,J74)*POWER(Upgrades!$Q$12,K74)*(Parameters!$B$10*Parameters!$B$11+O74*60)</f>
        <v>120</v>
      </c>
      <c r="AG74" s="21" t="n">
        <f aca="false">IF(E74&gt;=Upgrades!$E$6,"",Upgrades!$C$6*POWER(Upgrades!$D$6,E74))</f>
        <v>37.4517507383159</v>
      </c>
      <c r="AH74" s="21" t="n">
        <f aca="false">IF(F74&gt;=Upgrades!$E$7,"",Upgrades!$C$7*POWER(Upgrades!$D$7,F74))</f>
        <v>80.9111547141581</v>
      </c>
      <c r="AI74" s="21" t="n">
        <f aca="false">IF(G74&gt;=Upgrades!$E$8,"",Upgrades!$C$8*POWER(Upgrades!$D$8,G74))</f>
        <v>231.9097088</v>
      </c>
      <c r="AJ74" s="21" t="str">
        <f aca="false">IF(H74&gt;=Upgrades!$E$9,"",Upgrades!$C$9*POWER(Upgrades!$D$9,H74))</f>
        <v/>
      </c>
      <c r="AK74" s="21" t="str">
        <f aca="false">IF(I74&gt;=Upgrades!$E$10,"",Upgrades!$C$10*POWER(Upgrades!$D$10,I74))</f>
        <v/>
      </c>
      <c r="AL74" s="21" t="str">
        <f aca="false">IF(J74&gt;=Upgrades!$E$11,"",Upgrades!$C$11*POWER(Upgrades!$D$11,J74))</f>
        <v/>
      </c>
      <c r="AM74" s="21" t="str">
        <f aca="false">IF(K74&gt;=Upgrades!$E$12,"",Upgrades!$C$12*POWER(Upgrades!$D$12,K74))</f>
        <v/>
      </c>
      <c r="AN74" s="26" t="str">
        <f aca="false">IF(AND(D74&gt;=Parameters!$B$18,(H74&gt;=Upgrades!$E$9)*(K74&gt;=Upgrades!$E$12)=1,L74=0),1,"")</f>
        <v/>
      </c>
      <c r="AO74" s="26" t="str">
        <f aca="false">IF(AND(D74&gt;=Parameters!$B$18,L74=0),1,"")</f>
        <v/>
      </c>
      <c r="AP74" s="21" t="n">
        <f aca="false">MIN(IF(ISNUMBER(AK74),AK74,9000000000000000),IF(ISNUMBER(AL74),AL74,9000000000000000),IF(ISNUMBER(AM74),AM74,9000000000000000))</f>
        <v>9000000000000000</v>
      </c>
      <c r="AQ74" s="21" t="n">
        <f aca="false">MIN(IF(ISNUMBER(AG74),AG74,9000000000000000),IF(ISNUMBER(AH74),AH74,9000000000000000),IF(ISNUMBER(AI74),AI74,9000000000000000),IF(ISNUMBER(AJ74),AJ74,9000000000000000))</f>
        <v>37.4517507383159</v>
      </c>
      <c r="AR74" s="32" t="b">
        <f aca="false">IF(AW74&gt;Parameters!$B$21*(MAX(IF(AND(NOT(AND(AO74=1,AN74&lt;&gt;1)),ISNUMBER(AG74),AG74&lt;=T74),AS74,0),IF(AND(NOT(AND(AO74=1,AN74&lt;&gt;1)),ISNUMBER(AH74),AH74&lt;=T74),AT74,0),IF(AND(NOT(AND(AO74=1,AN74&lt;&gt;1)),ISNUMBER(AI74),AI74&lt;=T74),AU74,0),IF(AND(ISNUMBER(AJ74),AJ74&lt;=T74),AV74,0))),TRUE(),FALSE())</f>
        <v>1</v>
      </c>
      <c r="AS74" s="33" t="n">
        <f aca="false">IFERROR(Upgrades!$H$6*(POWER(Upgrades!$P$6,E74)*POWER(Upgrades!$P$7,F74)*POWER(Upgrades!$P$8,G74)*POWER(Upgrades!$P$9,H74)*POWER(Upgrades!$P$10,I74)*POWER(Upgrades!$P$11,J74)*POWER(Upgrades!$P$12,K74))*(IF(Upgrades!$T$7="Solar Wind",POWER(Upgrades!$U$7,F74),1)*IF(Upgrades!$T$8="Solar Wind",POWER(Upgrades!$U$8,G74),1)*IF(Upgrades!$T$9="Solar Wind",POWER(Upgrades!$U$9,H74),1)*IF(Upgrades!$T$10="Solar Wind",POWER(Upgrades!$U$10,I74),1)*IF(Upgrades!$T$11="Solar Wind",POWER(Upgrades!$U$11,J74),1)*IF(Upgrades!$T$12="Solar Wind",POWER(Upgrades!$U$12,K74),1))/AG74,0)</f>
        <v>0.0026701021455238</v>
      </c>
      <c r="AT74" s="33" t="n">
        <f aca="false">IFERROR(Upgrades!$H$7*(POWER(Upgrades!$P$6,E74)*POWER(Upgrades!$P$7,F74)*POWER(Upgrades!$P$8,G74)*POWER(Upgrades!$P$9,H74)*POWER(Upgrades!$P$10,I74)*POWER(Upgrades!$P$11,J74)*POWER(Upgrades!$P$12,K74))*(IF(Upgrades!$T$6="Asteroid Belt",POWER(Upgrades!$U$6,E74),1)*IF(Upgrades!$T$8="Asteroid Belt",POWER(Upgrades!$U$8,G74),1)*IF(Upgrades!$T$9="Asteroid Belt",POWER(Upgrades!$U$9,H74),1)*IF(Upgrades!$T$10="Asteroid Belt",POWER(Upgrades!$U$10,I74),1)*IF(Upgrades!$T$11="Asteroid Belt",POWER(Upgrades!$U$11,J74),1)*IF(Upgrades!$T$12="Asteroid Belt",POWER(Upgrades!$U$12,K74),1))/AH74,0)</f>
        <v>0.00308980882652332</v>
      </c>
      <c r="AU74" s="33" t="n">
        <f aca="false">IFERROR(Upgrades!$K$8*(POWER(Upgrades!$Q$6,E74)*POWER(Upgrades!$Q$7,F74)*POWER(Upgrades!$Q$8,G74)*POWER(Upgrades!$Q$9,H74)*POWER(Upgrades!$Q$10,I74)*POWER(Upgrades!$Q$11,J74)*POWER(Upgrades!$Q$12,K74))*(IF(Upgrades!$T$6="Stellar Coupling",POWER(Upgrades!$U$6,E74),1)*IF(Upgrades!$T$7="Stellar Coupling",POWER(Upgrades!$U$7,F74),1)*IF(Upgrades!$T$9="Stellar Coupling",POWER(Upgrades!$U$9,H74),1)*IF(Upgrades!$T$10="Stellar Coupling",POWER(Upgrades!$U$10,I74),1)*IF(Upgrades!$T$11="Stellar Coupling",POWER(Upgrades!$U$11,J74),1)*IF(Upgrades!$T$12="Stellar Coupling",POWER(Upgrades!$U$12,K74),1))*Parameters!$B$10*Parameters!$B$11/60/AI74,0)</f>
        <v>0.00452762415783776</v>
      </c>
      <c r="AV74" s="33" t="n">
        <f aca="false">IFERROR(Upgrades!$H$9*(POWER(Upgrades!$P$6,E74)*POWER(Upgrades!$P$7,F74)*POWER(Upgrades!$P$8,G74)*POWER(Upgrades!$P$9,H74)*POWER(Upgrades!$P$10,I74)*POWER(Upgrades!$P$11,J74)*POWER(Upgrades!$P$12,K74))*(IF(Upgrades!$T$6="Magnetosphere",POWER(Upgrades!$U$6,E74),1)*IF(Upgrades!$T$7="Magnetosphere",POWER(Upgrades!$U$7,F74),1)*IF(Upgrades!$T$8="Magnetosphere",POWER(Upgrades!$U$8,G74),1)*IF(Upgrades!$T$10="Magnetosphere",POWER(Upgrades!$U$10,I74),1)*IF(Upgrades!$T$11="Magnetosphere",POWER(Upgrades!$U$11,J74),1)*IF(Upgrades!$T$12="Magnetosphere",POWER(Upgrades!$U$12,K74),1))/AJ74,0)</f>
        <v>0</v>
      </c>
      <c r="AW74" s="33" t="n">
        <f aca="false">MAX(IF(I74&gt;0,0,IFERROR(0.25*N74/Upgrades!$C$10,0)),IF(J74&gt;0,0,IFERROR(0.5*((IF(G74=0,0,(Upgrades!$J$8+G74*Upgrades!$K$8)*POWER(Upgrades!$L$8,G74)))*(IF(Upgrades!$T$6="Stellar Coupling",POWER(Upgrades!$U$6,E74),1)*IF(Upgrades!$T$7="Stellar Coupling",POWER(Upgrades!$U$7,F74),1)*IF(Upgrades!$T$9="Stellar Coupling",POWER(Upgrades!$U$9,H74),1)*IF(Upgrades!$T$10="Stellar Coupling",POWER(Upgrades!$U$10,I74),1)*IF(Upgrades!$T$11="Stellar Coupling",POWER(Upgrades!$U$11,J74),1)*IF(Upgrades!$T$12="Stellar Coupling",POWER(Upgrades!$U$12,K74),1))*(POWER(Upgrades!$Q$6,E74)*POWER(Upgrades!$Q$7,F74)*POWER(Upgrades!$Q$8,G74)*POWER(Upgrades!$Q$9,H74)*POWER(Upgrades!$Q$10,I74)*POWER(Upgrades!$Q$11,J74)*POWER(Upgrades!$Q$12,K74))*Parameters!$B$10*Parameters!$B$11/60)/Upgrades!$C$11,0)),IF(K74&gt;0,0,IFERROR((1*(POWER(Upgrades!$P$6,E74)*POWER(Upgrades!$P$7,F74)*POWER(Upgrades!$P$8,G74)*POWER(Upgrades!$P$9,H74)*POWER(Upgrades!$P$10,I74)*POWER(Upgrades!$P$11,J74)*POWER(Upgrades!$P$12,K74))+0.2*M74*Parameters!$B$10*Parameters!$B$11/60)/Upgrades!$C$12,0)),IF(AND(ISNUMBER(AG74),AG74&gt;T74),AS74,0),IF(AND(ISNUMBER(AH74),AH74&gt;T74),AT74,0),IF(AND(ISNUMBER(AI74),AI74&gt;T74),AU74,0),IF(AND(ISNUMBER(AJ74),AJ74&gt;T74),AV74,0))</f>
        <v>0.00452762415783776</v>
      </c>
      <c r="AX74" s="29" t="str">
        <f aca="false">IF(AN74=1,"transition",IF(MIN(IF(AND(I74=0,ISNUMBER(AK74),AK74&lt;=T74),AK74,9000000000000000),IF(AND(J74=0,ISNUMBER(AL74),AL74&lt;=T74),AL74,9000000000000000),IF(AND(K74=0,ISNUMBER(AM74),AM74&lt;=T74),AM74,9000000000000000))&lt;9000000000000000,IF(AND(AND(I74=0,ISNUMBER(AK74),AK74&lt;=T74),AK74=MIN(IF(AND(I74=0,ISNUMBER(AK74),AK74&lt;=T74),AK74,9000000000000000),IF(AND(J74=0,ISNUMBER(AL74),AL74&lt;=T74),AL74,9000000000000000),IF(AND(K74=0,ISNUMBER(AM74),AM74&lt;=T74),AM74,9000000000000000))),"OR",IF(AND(AND(J74=0,ISNUMBER(AL74),AL74&lt;=T74),AL74=MIN(IF(AND(I74=0,ISNUMBER(AK74),AK74&lt;=T74),AK74,9000000000000000),IF(AND(J74=0,ISNUMBER(AL74),AL74&lt;=T74),AL74,9000000000000000),IF(AND(K74=0,ISNUMBER(AM74),AM74&lt;=T74),AM74,9000000000000000))),"HP","FP")),IF(AR74=TRUE(),"",IF(MAX(IF(AND(NOT(AND(AO74=1,AN74&lt;&gt;1)),ISNUMBER(AG74),AG74&lt;=T74),AS74,0),IF(AND(NOT(AND(AO74=1,AN74&lt;&gt;1)),ISNUMBER(AH74),AH74&lt;=T74),AT74,0),IF(AND(NOT(AND(AO74=1,AN74&lt;&gt;1)),ISNUMBER(AI74),AI74&lt;=T74),AU74,0),IF(AND(ISNUMBER(AJ74),AJ74&lt;=T74),AV74,0))&lt;=0,"",IF(AND(IF(AND(NOT(AND(AO74=1,AN74&lt;&gt;1)),ISNUMBER(AG74),AG74&lt;=T74),AS74,0)&gt;0,IF(AND(NOT(AND(AO74=1,AN74&lt;&gt;1)),ISNUMBER(AG74),AG74&lt;=T74),AS74,0)=MAX(IF(AND(NOT(AND(AO74=1,AN74&lt;&gt;1)),ISNUMBER(AG74),AG74&lt;=T74),AS74,0),IF(AND(NOT(AND(AO74=1,AN74&lt;&gt;1)),ISNUMBER(AH74),AH74&lt;=T74),AT74,0),IF(AND(NOT(AND(AO74=1,AN74&lt;&gt;1)),ISNUMBER(AI74),AI74&lt;=T74),AU74,0),IF(AND(ISNUMBER(AJ74),AJ74&lt;=T74),AV74,0))),"SW",IF(AND(IF(AND(NOT(AND(AO74=1,AN74&lt;&gt;1)),ISNUMBER(AH74),AH74&lt;=T74),AT74,0)&gt;0,IF(AND(NOT(AND(AO74=1,AN74&lt;&gt;1)),ISNUMBER(AH74),AH74&lt;=T74),AT74,0)=MAX(IF(AND(NOT(AND(AO74=1,AN74&lt;&gt;1)),ISNUMBER(AG74),AG74&lt;=T74),AS74,0),IF(AND(NOT(AND(AO74=1,AN74&lt;&gt;1)),ISNUMBER(AH74),AH74&lt;=T74),AT74,0),IF(AND(NOT(AND(AO74=1,AN74&lt;&gt;1)),ISNUMBER(AI74),AI74&lt;=T74),AU74,0),IF(AND(ISNUMBER(AJ74),AJ74&lt;=T74),AV74,0))),"AB",IF(AND(IF(AND(NOT(AND(AO74=1,AN74&lt;&gt;1)),ISNUMBER(AI74),AI74&lt;=T74),AU74,0)&gt;0,IF(AND(NOT(AND(AO74=1,AN74&lt;&gt;1)),ISNUMBER(AI74),AI74&lt;=T74),AU74,0)=MAX(IF(AND(NOT(AND(AO74=1,AN74&lt;&gt;1)),ISNUMBER(AG74),AG74&lt;=T74),AS74,0),IF(AND(NOT(AND(AO74=1,AN74&lt;&gt;1)),ISNUMBER(AH74),AH74&lt;=T74),AT74,0),IF(AND(NOT(AND(AO74=1,AN74&lt;&gt;1)),ISNUMBER(AI74),AI74&lt;=T74),AU74,0),IF(AND(ISNUMBER(AJ74),AJ74&lt;=T74),AV74,0))),"SC","Mag")))))))</f>
        <v/>
      </c>
    </row>
    <row r="75" customFormat="false" ht="15" hidden="false" customHeight="false" outlineLevel="0" collapsed="false">
      <c r="A75" s="26" t="n">
        <v>70</v>
      </c>
      <c r="B75" s="27" t="n">
        <f aca="false">A75*10/60</f>
        <v>11.6666666666667</v>
      </c>
      <c r="C75" s="21" t="n">
        <f aca="false">X74</f>
        <v>18.6730249835055</v>
      </c>
      <c r="D75" s="27" t="n">
        <f aca="false">D74+W74</f>
        <v>0</v>
      </c>
      <c r="E75" s="26" t="n">
        <f aca="false">E74+IF(U74="SW",1,0)</f>
        <v>12</v>
      </c>
      <c r="F75" s="26" t="n">
        <f aca="false">F74+IF(U74="AB",1,0)</f>
        <v>10</v>
      </c>
      <c r="G75" s="26" t="n">
        <f aca="false">G74+IF(U74="SC",1,0)</f>
        <v>7</v>
      </c>
      <c r="H75" s="26" t="n">
        <f aca="false">H74+IF(U74="Mag",1,0)</f>
        <v>5</v>
      </c>
      <c r="I75" s="26" t="n">
        <f aca="false">MAX(I74,IF(U74="OR",1,0))</f>
        <v>1</v>
      </c>
      <c r="J75" s="26" t="n">
        <f aca="false">MAX(J74,IF(U74="HP",1,0))</f>
        <v>1</v>
      </c>
      <c r="K75" s="26" t="n">
        <f aca="false">MAX(K74,IF(U74="FP",1,0))</f>
        <v>1</v>
      </c>
      <c r="L75" s="26" t="n">
        <f aca="false">MAX(L74,IF(U74="transition",1,0))</f>
        <v>1</v>
      </c>
      <c r="M75" s="28" t="n">
        <f aca="false">(Parameters!$B$9+(IF(E75=0,0,(Upgrades!$J$6+E75*Upgrades!$K$6)*POWER(Upgrades!$L$6,E75)))*(IF(Upgrades!$T$7="Solar Wind",POWER(Upgrades!$U$7,F75),1)*IF(Upgrades!$T$8="Solar Wind",POWER(Upgrades!$U$8,G75),1)*IF(Upgrades!$T$9="Solar Wind",POWER(Upgrades!$U$9,H75),1)*IF(Upgrades!$T$10="Solar Wind",POWER(Upgrades!$U$10,I75),1)*IF(Upgrades!$T$11="Solar Wind",POWER(Upgrades!$U$11,J75),1)*IF(Upgrades!$T$12="Solar Wind",POWER(Upgrades!$U$12,K75),1))+(IF(F75=0,0,(Upgrades!$J$7+F75*Upgrades!$K$7)*POWER(Upgrades!$L$7,F75)))*(IF(Upgrades!$T$6="Asteroid Belt",POWER(Upgrades!$U$6,E75),1)*IF(Upgrades!$T$8="Asteroid Belt",POWER(Upgrades!$U$8,G75),1)*IF(Upgrades!$T$9="Asteroid Belt",POWER(Upgrades!$U$9,H75),1)*IF(Upgrades!$T$10="Asteroid Belt",POWER(Upgrades!$U$10,I75),1)*IF(Upgrades!$T$11="Asteroid Belt",POWER(Upgrades!$U$11,J75),1)*IF(Upgrades!$T$12="Asteroid Belt",POWER(Upgrades!$U$12,K75),1))+(IF(G75=0,0,(Upgrades!$J$8+G75*Upgrades!$K$8)*POWER(Upgrades!$L$8,G75)))*(IF(Upgrades!$T$6="Stellar Coupling",POWER(Upgrades!$U$6,E75),1)*IF(Upgrades!$T$7="Stellar Coupling",POWER(Upgrades!$U$7,F75),1)*IF(Upgrades!$T$9="Stellar Coupling",POWER(Upgrades!$U$9,H75),1)*IF(Upgrades!$T$10="Stellar Coupling",POWER(Upgrades!$U$10,I75),1)*IF(Upgrades!$T$11="Stellar Coupling",POWER(Upgrades!$U$11,J75),1)*IF(Upgrades!$T$12="Stellar Coupling",POWER(Upgrades!$U$12,K75),1))+(IF(H75=0,0,(Upgrades!$J$9+H75*Upgrades!$K$9)*POWER(Upgrades!$L$9,H75)))*(IF(Upgrades!$T$6="Magnetosphere",POWER(Upgrades!$U$6,E75),1)*IF(Upgrades!$T$7="Magnetosphere",POWER(Upgrades!$U$7,F75),1)*IF(Upgrades!$T$8="Magnetosphere",POWER(Upgrades!$U$8,G75),1)*IF(Upgrades!$T$10="Magnetosphere",POWER(Upgrades!$U$10,I75),1)*IF(Upgrades!$T$11="Magnetosphere",POWER(Upgrades!$U$11,J75),1)*IF(Upgrades!$T$12="Magnetosphere",POWER(Upgrades!$U$12,K75),1))+(IF(I75=0,0,(Upgrades!$J$10+I75*Upgrades!$K$10)*POWER(Upgrades!$L$10,I75)))*(IF(Upgrades!$T$6="Orbital Resonance",POWER(Upgrades!$U$6,E75),1)*IF(Upgrades!$T$7="Orbital Resonance",POWER(Upgrades!$U$7,F75),1)*IF(Upgrades!$T$8="Orbital Resonance",POWER(Upgrades!$U$8,G75),1)*IF(Upgrades!$T$9="Orbital Resonance",POWER(Upgrades!$U$9,H75),1)*IF(Upgrades!$T$11="Orbital Resonance",POWER(Upgrades!$U$11,J75),1)*IF(Upgrades!$T$12="Orbital Resonance",POWER(Upgrades!$U$12,K75),1))+(IF(J75=0,0,(Upgrades!$J$11+J75*Upgrades!$K$11)*POWER(Upgrades!$L$11,J75)))*(IF(Upgrades!$T$6="Heliopause",POWER(Upgrades!$U$6,E75),1)*IF(Upgrades!$T$7="Heliopause",POWER(Upgrades!$U$7,F75),1)*IF(Upgrades!$T$8="Heliopause",POWER(Upgrades!$U$8,G75),1)*IF(Upgrades!$T$9="Heliopause",POWER(Upgrades!$U$9,H75),1)*IF(Upgrades!$T$10="Heliopause",POWER(Upgrades!$U$10,I75),1)*IF(Upgrades!$T$12="Heliopause",POWER(Upgrades!$U$12,K75),1))+(IF(K75=0,0,(Upgrades!$J$12+K75*Upgrades!$K$12)*POWER(Upgrades!$L$12,K75)))*(IF(Upgrades!$T$6="First Photons",POWER(Upgrades!$U$6,E75),1)*IF(Upgrades!$T$7="First Photons",POWER(Upgrades!$U$7,F75),1)*IF(Upgrades!$T$8="First Photons",POWER(Upgrades!$U$8,G75),1)*IF(Upgrades!$T$9="First Photons",POWER(Upgrades!$U$9,H75),1)*IF(Upgrades!$T$10="First Photons",POWER(Upgrades!$U$10,I75),1)*IF(Upgrades!$T$11="First Photons",POWER(Upgrades!$U$11,J75),1)))*POWER(Upgrades!$Q$6,E75)*POWER(Upgrades!$Q$7,F75)*POWER(Upgrades!$Q$8,G75)*POWER(Upgrades!$Q$9,H75)*POWER(Upgrades!$Q$10,I75)*POWER(Upgrades!$Q$11,J75)*POWER(Upgrades!$Q$12,K75)</f>
        <v>5.61</v>
      </c>
      <c r="N75" s="28" t="n">
        <f aca="false">((IF(E75=0,0,(Upgrades!$G$6+E75*Upgrades!$H$6)*POWER(Upgrades!$I$6,E75)))*(IF(Upgrades!$T$7="Solar Wind",POWER(Upgrades!$U$7,F75),1)*IF(Upgrades!$T$8="Solar Wind",POWER(Upgrades!$U$8,G75),1)*IF(Upgrades!$T$9="Solar Wind",POWER(Upgrades!$U$9,H75),1)*IF(Upgrades!$T$10="Solar Wind",POWER(Upgrades!$U$10,I75),1)*IF(Upgrades!$T$11="Solar Wind",POWER(Upgrades!$U$11,J75),1)*IF(Upgrades!$T$12="Solar Wind",POWER(Upgrades!$U$12,K75),1))+(IF(F75=0,0,(Upgrades!$G$7+F75*Upgrades!$H$7)*POWER(Upgrades!$I$7,F75)))*(IF(Upgrades!$T$6="Asteroid Belt",POWER(Upgrades!$U$6,E75),1)*IF(Upgrades!$T$8="Asteroid Belt",POWER(Upgrades!$U$8,G75),1)*IF(Upgrades!$T$9="Asteroid Belt",POWER(Upgrades!$U$9,H75),1)*IF(Upgrades!$T$10="Asteroid Belt",POWER(Upgrades!$U$10,I75),1)*IF(Upgrades!$T$11="Asteroid Belt",POWER(Upgrades!$U$11,J75),1)*IF(Upgrades!$T$12="Asteroid Belt",POWER(Upgrades!$U$12,K75),1))+(IF(G75=0,0,(Upgrades!$G$8+G75*Upgrades!$H$8)*POWER(Upgrades!$I$8,G75)))*(IF(Upgrades!$T$6="Stellar Coupling",POWER(Upgrades!$U$6,E75),1)*IF(Upgrades!$T$7="Stellar Coupling",POWER(Upgrades!$U$7,F75),1)*IF(Upgrades!$T$9="Stellar Coupling",POWER(Upgrades!$U$9,H75),1)*IF(Upgrades!$T$10="Stellar Coupling",POWER(Upgrades!$U$10,I75),1)*IF(Upgrades!$T$11="Stellar Coupling",POWER(Upgrades!$U$11,J75),1)*IF(Upgrades!$T$12="Stellar Coupling",POWER(Upgrades!$U$12,K75),1))+(IF(H75=0,0,(Upgrades!$G$9+H75*Upgrades!$H$9)*POWER(Upgrades!$I$9,H75)))*(IF(Upgrades!$T$6="Magnetosphere",POWER(Upgrades!$U$6,E75),1)*IF(Upgrades!$T$7="Magnetosphere",POWER(Upgrades!$U$7,F75),1)*IF(Upgrades!$T$8="Magnetosphere",POWER(Upgrades!$U$8,G75),1)*IF(Upgrades!$T$10="Magnetosphere",POWER(Upgrades!$U$10,I75),1)*IF(Upgrades!$T$11="Magnetosphere",POWER(Upgrades!$U$11,J75),1)*IF(Upgrades!$T$12="Magnetosphere",POWER(Upgrades!$U$12,K75),1))+(IF(I75=0,0,(Upgrades!$G$10+I75*Upgrades!$H$10)*POWER(Upgrades!$I$10,I75)))*(IF(Upgrades!$T$6="Orbital Resonance",POWER(Upgrades!$U$6,E75),1)*IF(Upgrades!$T$7="Orbital Resonance",POWER(Upgrades!$U$7,F75),1)*IF(Upgrades!$T$8="Orbital Resonance",POWER(Upgrades!$U$8,G75),1)*IF(Upgrades!$T$9="Orbital Resonance",POWER(Upgrades!$U$9,H75),1)*IF(Upgrades!$T$11="Orbital Resonance",POWER(Upgrades!$U$11,J75),1)*IF(Upgrades!$T$12="Orbital Resonance",POWER(Upgrades!$U$12,K75),1))+(IF(J75=0,0,(Upgrades!$G$11+J75*Upgrades!$H$11)*POWER(Upgrades!$I$11,J75)))*(IF(Upgrades!$T$6="Heliopause",POWER(Upgrades!$U$6,E75),1)*IF(Upgrades!$T$7="Heliopause",POWER(Upgrades!$U$7,F75),1)*IF(Upgrades!$T$8="Heliopause",POWER(Upgrades!$U$8,G75),1)*IF(Upgrades!$T$9="Heliopause",POWER(Upgrades!$U$9,H75),1)*IF(Upgrades!$T$10="Heliopause",POWER(Upgrades!$U$10,I75),1)*IF(Upgrades!$T$12="Heliopause",POWER(Upgrades!$U$12,K75),1))+(IF(K75=0,0,(Upgrades!$G$12+K75*Upgrades!$H$12)*POWER(Upgrades!$I$12,K75)))*(IF(Upgrades!$T$6="First Photons",POWER(Upgrades!$U$6,E75),1)*IF(Upgrades!$T$7="First Photons",POWER(Upgrades!$U$7,F75),1)*IF(Upgrades!$T$8="First Photons",POWER(Upgrades!$U$8,G75),1)*IF(Upgrades!$T$9="First Photons",POWER(Upgrades!$U$9,H75),1)*IF(Upgrades!$T$10="First Photons",POWER(Upgrades!$U$10,I75),1)*IF(Upgrades!$T$11="First Photons",POWER(Upgrades!$U$11,J75),1)))*POWER(Upgrades!$P$6,E75)*POWER(Upgrades!$P$7,F75)*POWER(Upgrades!$P$8,G75)*POWER(Upgrades!$P$9,H75)*POWER(Upgrades!$P$10,I75)*POWER(Upgrades!$P$11,J75)*POWER(Upgrades!$P$12,K75)</f>
        <v>11.2</v>
      </c>
      <c r="O75" s="28" t="n">
        <f aca="false">((IF(E75=0,0,(Upgrades!$M$6+E75*Upgrades!$N$6)*POWER(Upgrades!$O$6,E75)))*(IF(Upgrades!$T$7="Solar Wind",POWER(Upgrades!$U$7,F75),1)*IF(Upgrades!$T$8="Solar Wind",POWER(Upgrades!$U$8,G75),1)*IF(Upgrades!$T$9="Solar Wind",POWER(Upgrades!$U$9,H75),1)*IF(Upgrades!$T$10="Solar Wind",POWER(Upgrades!$U$10,I75),1)*IF(Upgrades!$T$11="Solar Wind",POWER(Upgrades!$U$11,J75),1)*IF(Upgrades!$T$12="Solar Wind",POWER(Upgrades!$U$12,K75),1))+(IF(F75=0,0,(Upgrades!$M$7+F75*Upgrades!$N$7)*POWER(Upgrades!$O$7,F75)))*(IF(Upgrades!$T$6="Asteroid Belt",POWER(Upgrades!$U$6,E75),1)*IF(Upgrades!$T$8="Asteroid Belt",POWER(Upgrades!$U$8,G75),1)*IF(Upgrades!$T$9="Asteroid Belt",POWER(Upgrades!$U$9,H75),1)*IF(Upgrades!$T$10="Asteroid Belt",POWER(Upgrades!$U$10,I75),1)*IF(Upgrades!$T$11="Asteroid Belt",POWER(Upgrades!$U$11,J75),1)*IF(Upgrades!$T$12="Asteroid Belt",POWER(Upgrades!$U$12,K75),1))+(IF(G75=0,0,(Upgrades!$M$8+G75*Upgrades!$N$8)*POWER(Upgrades!$O$8,G75)))*(IF(Upgrades!$T$6="Stellar Coupling",POWER(Upgrades!$U$6,E75),1)*IF(Upgrades!$T$7="Stellar Coupling",POWER(Upgrades!$U$7,F75),1)*IF(Upgrades!$T$9="Stellar Coupling",POWER(Upgrades!$U$9,H75),1)*IF(Upgrades!$T$10="Stellar Coupling",POWER(Upgrades!$U$10,I75),1)*IF(Upgrades!$T$11="Stellar Coupling",POWER(Upgrades!$U$11,J75),1)*IF(Upgrades!$T$12="Stellar Coupling",POWER(Upgrades!$U$12,K75),1))+(IF(H75=0,0,(Upgrades!$M$9+H75*Upgrades!$N$9)*POWER(Upgrades!$O$9,H75)))*(IF(Upgrades!$T$6="Magnetosphere",POWER(Upgrades!$U$6,E75),1)*IF(Upgrades!$T$7="Magnetosphere",POWER(Upgrades!$U$7,F75),1)*IF(Upgrades!$T$8="Magnetosphere",POWER(Upgrades!$U$8,G75),1)*IF(Upgrades!$T$10="Magnetosphere",POWER(Upgrades!$U$10,I75),1)*IF(Upgrades!$T$11="Magnetosphere",POWER(Upgrades!$U$11,J75),1)*IF(Upgrades!$T$12="Magnetosphere",POWER(Upgrades!$U$12,K75),1))+(IF(I75=0,0,(Upgrades!$M$10+I75*Upgrades!$N$10)*POWER(Upgrades!$O$10,I75)))*(IF(Upgrades!$T$6="Orbital Resonance",POWER(Upgrades!$U$6,E75),1)*IF(Upgrades!$T$7="Orbital Resonance",POWER(Upgrades!$U$7,F75),1)*IF(Upgrades!$T$8="Orbital Resonance",POWER(Upgrades!$U$8,G75),1)*IF(Upgrades!$T$9="Orbital Resonance",POWER(Upgrades!$U$9,H75),1)*IF(Upgrades!$T$11="Orbital Resonance",POWER(Upgrades!$U$11,J75),1)*IF(Upgrades!$T$12="Orbital Resonance",POWER(Upgrades!$U$12,K75),1))+(IF(J75=0,0,(Upgrades!$M$11+J75*Upgrades!$N$11)*POWER(Upgrades!$O$11,J75)))*(IF(Upgrades!$T$6="Heliopause",POWER(Upgrades!$U$6,E75),1)*IF(Upgrades!$T$7="Heliopause",POWER(Upgrades!$U$7,F75),1)*IF(Upgrades!$T$8="Heliopause",POWER(Upgrades!$U$8,G75),1)*IF(Upgrades!$T$9="Heliopause",POWER(Upgrades!$U$9,H75),1)*IF(Upgrades!$T$10="Heliopause",POWER(Upgrades!$U$10,I75),1)*IF(Upgrades!$T$12="Heliopause",POWER(Upgrades!$U$12,K75),1))+(IF(K75=0,0,(Upgrades!$M$12+K75*Upgrades!$N$12)*POWER(Upgrades!$O$12,K75)))*(IF(Upgrades!$T$6="First Photons",POWER(Upgrades!$U$6,E75),1)*IF(Upgrades!$T$7="First Photons",POWER(Upgrades!$U$7,F75),1)*IF(Upgrades!$T$8="First Photons",POWER(Upgrades!$U$8,G75),1)*IF(Upgrades!$T$9="First Photons",POWER(Upgrades!$U$9,H75),1)*IF(Upgrades!$T$10="First Photons",POWER(Upgrades!$U$10,I75),1)*IF(Upgrades!$T$11="First Photons",POWER(Upgrades!$U$11,J75),1)))*POWER(Upgrades!$R$6,E75)*POWER(Upgrades!$R$7,F75)*POWER(Upgrades!$R$8,G75)*POWER(Upgrades!$R$9,H75)*POWER(Upgrades!$R$10,I75)*POWER(Upgrades!$R$11,J75)*POWER(Upgrades!$R$12,K75)</f>
        <v>0</v>
      </c>
      <c r="P75" s="27" t="n">
        <f aca="false">IF(L75=1,0,M75*Parameters!$B$10/60*Parameters!$B$11*10)</f>
        <v>0</v>
      </c>
      <c r="Q75" s="27" t="n">
        <f aca="false">IF(L75=1,0,O75*M75*10)</f>
        <v>0</v>
      </c>
      <c r="R75" s="27" t="n">
        <f aca="false">IF(L75=1,0,N75*10)</f>
        <v>0</v>
      </c>
      <c r="S75" s="27" t="n">
        <f aca="false">P75+Q75+R75</f>
        <v>0</v>
      </c>
      <c r="T75" s="21" t="n">
        <f aca="false">C75+S75</f>
        <v>18.6730249835055</v>
      </c>
      <c r="U75" s="34" t="str">
        <f aca="false">AX75</f>
        <v/>
      </c>
      <c r="V75" s="21" t="n">
        <f aca="false">IF(U75="",0,IF(U75="transition",0,IF(U75="SW",AG75,IF(U75="AB",AH75,IF(U75="SC",AI75,IF(U75="Mag",AJ75,IF(U75="OR",AK75,IF(U75="HP",AL75,IF(U75="FP",AM75,0)))))))))</f>
        <v>0</v>
      </c>
      <c r="W75" s="27" t="n">
        <f aca="false">IF(U75="OR",Upgrades!$F$10,IF(U75="HP",Upgrades!$F$11,IF(U75="transition",-Parameters!$B$18,0)))</f>
        <v>0</v>
      </c>
      <c r="X75" s="21" t="n">
        <f aca="false">T75-V75</f>
        <v>18.6730249835055</v>
      </c>
      <c r="Y75" s="30" t="n">
        <f aca="false">M75*Parameters!$B$10/60*Parameters!$B$11+O75*M75+N75</f>
        <v>20.55</v>
      </c>
      <c r="Z75" s="35" t="str">
        <f aca="false">IF(U75="transition","→ Tier 2 (Stellar Neighborhood)",IF(U75="FP","First Photons — light begins, system quickens",IF(U75="HP","Heliopause acquired",IF(U75="OR","Orbital Resonance — passive multiplier active",IF(AND(AO75=1,L75=0,AN75&lt;&gt;1),"Cohesion ready (waiting on completionist upgrades)","")))))</f>
        <v/>
      </c>
      <c r="AA75" s="27" t="n">
        <f aca="false">(IF(E75=0,0,(Upgrades!$G$6+E75*Upgrades!$H$6)*POWER(Upgrades!$I$6,E75)))*(IF(Upgrades!$T$7="Solar Wind",POWER(Upgrades!$U$7,F75),1)*IF(Upgrades!$T$8="Solar Wind",POWER(Upgrades!$U$8,G75),1)*IF(Upgrades!$T$9="Solar Wind",POWER(Upgrades!$U$9,H75),1)*IF(Upgrades!$T$10="Solar Wind",POWER(Upgrades!$U$10,I75),1)*IF(Upgrades!$T$11="Solar Wind",POWER(Upgrades!$U$11,J75),1)*IF(Upgrades!$T$12="Solar Wind",POWER(Upgrades!$U$12,K75),1))*POWER(Upgrades!$P$6,E75)*POWER(Upgrades!$P$7,F75)*POWER(Upgrades!$P$8,G75)*POWER(Upgrades!$P$9,H75)*POWER(Upgrades!$P$10,I75)*POWER(Upgrades!$P$11,J75)*POWER(Upgrades!$P$12,K75)*60</f>
        <v>72</v>
      </c>
      <c r="AB75" s="27" t="n">
        <f aca="false">(IF(F75=0,0,(Upgrades!$G$7+F75*Upgrades!$H$7)*POWER(Upgrades!$I$7,F75)))*(IF(Upgrades!$T$6="Asteroid Belt",POWER(Upgrades!$U$6,E75),1)*IF(Upgrades!$T$8="Asteroid Belt",POWER(Upgrades!$U$8,G75),1)*IF(Upgrades!$T$9="Asteroid Belt",POWER(Upgrades!$U$9,H75),1)*IF(Upgrades!$T$10="Asteroid Belt",POWER(Upgrades!$U$10,I75),1)*IF(Upgrades!$T$11="Asteroid Belt",POWER(Upgrades!$U$11,J75),1)*IF(Upgrades!$T$12="Asteroid Belt",POWER(Upgrades!$U$12,K75),1))*POWER(Upgrades!$P$6,E75)*POWER(Upgrades!$P$7,F75)*POWER(Upgrades!$P$8,G75)*POWER(Upgrades!$P$9,H75)*POWER(Upgrades!$P$10,I75)*POWER(Upgrades!$P$11,J75)*POWER(Upgrades!$P$12,K75)*60</f>
        <v>150</v>
      </c>
      <c r="AC75" s="27" t="n">
        <f aca="false">(IF(G75=0,0,(Upgrades!$J$8+G75*Upgrades!$K$8)*POWER(Upgrades!$L$8,G75)))*(IF(Upgrades!$T$6="Stellar Coupling",POWER(Upgrades!$U$6,E75),1)*IF(Upgrades!$T$7="Stellar Coupling",POWER(Upgrades!$U$7,F75),1)*IF(Upgrades!$T$9="Stellar Coupling",POWER(Upgrades!$U$9,H75),1)*IF(Upgrades!$T$10="Stellar Coupling",POWER(Upgrades!$U$10,I75),1)*IF(Upgrades!$T$11="Stellar Coupling",POWER(Upgrades!$U$11,J75),1)*IF(Upgrades!$T$12="Stellar Coupling",POWER(Upgrades!$U$12,K75),1))*POWER(Upgrades!$Q$6,E75)*POWER(Upgrades!$Q$7,F75)*POWER(Upgrades!$Q$8,G75)*POWER(Upgrades!$Q$9,H75)*POWER(Upgrades!$Q$10,I75)*POWER(Upgrades!$Q$11,J75)*POWER(Upgrades!$Q$12,K75)*Parameters!$B$10*Parameters!$B$11</f>
        <v>441</v>
      </c>
      <c r="AD75" s="27" t="n">
        <f aca="false">(IF(H75=0,0,(Upgrades!$G$9+H75*Upgrades!$H$9)*POWER(Upgrades!$I$9,H75)))*(IF(Upgrades!$T$6="Magnetosphere",POWER(Upgrades!$U$6,E75),1)*IF(Upgrades!$T$7="Magnetosphere",POWER(Upgrades!$U$7,F75),1)*IF(Upgrades!$T$8="Magnetosphere",POWER(Upgrades!$U$8,G75),1)*IF(Upgrades!$T$10="Magnetosphere",POWER(Upgrades!$U$10,I75),1)*IF(Upgrades!$T$11="Magnetosphere",POWER(Upgrades!$U$11,J75),1)*IF(Upgrades!$T$12="Magnetosphere",POWER(Upgrades!$U$12,K75),1))*POWER(Upgrades!$P$6,E75)*POWER(Upgrades!$P$7,F75)*POWER(Upgrades!$P$8,G75)*POWER(Upgrades!$P$9,H75)*POWER(Upgrades!$P$10,I75)*POWER(Upgrades!$P$11,J75)*POWER(Upgrades!$P$12,K75)*60</f>
        <v>375</v>
      </c>
      <c r="AE75" s="27" t="n">
        <f aca="false">(IF(K75=0,0,(Upgrades!$G$12+K75*Upgrades!$H$12)*POWER(Upgrades!$I$12,K75)))*(IF(Upgrades!$T$6="First Photons",POWER(Upgrades!$U$6,E75),1)*IF(Upgrades!$T$7="First Photons",POWER(Upgrades!$U$7,F75),1)*IF(Upgrades!$T$8="First Photons",POWER(Upgrades!$U$8,G75),1)*IF(Upgrades!$T$9="First Photons",POWER(Upgrades!$U$9,H75),1)*IF(Upgrades!$T$10="First Photons",POWER(Upgrades!$U$10,I75),1)*IF(Upgrades!$T$11="First Photons",POWER(Upgrades!$U$11,J75),1))*POWER(Upgrades!$P$6,E75)*POWER(Upgrades!$P$7,F75)*POWER(Upgrades!$P$8,G75)*POWER(Upgrades!$P$9,H75)*POWER(Upgrades!$P$10,I75)*POWER(Upgrades!$P$11,J75)*POWER(Upgrades!$P$12,K75)*60</f>
        <v>75</v>
      </c>
      <c r="AF75" s="27" t="n">
        <f aca="false">Parameters!$B$9*POWER(Upgrades!$Q$6,E75)*POWER(Upgrades!$Q$7,F75)*POWER(Upgrades!$Q$8,G75)*POWER(Upgrades!$Q$9,H75)*POWER(Upgrades!$Q$10,I75)*POWER(Upgrades!$Q$11,J75)*POWER(Upgrades!$Q$12,K75)*(Parameters!$B$10*Parameters!$B$11+O75*60)</f>
        <v>120</v>
      </c>
      <c r="AG75" s="21" t="n">
        <f aca="false">IF(E75&gt;=Upgrades!$E$6,"",Upgrades!$C$6*POWER(Upgrades!$D$6,E75))</f>
        <v>37.4517507383159</v>
      </c>
      <c r="AH75" s="21" t="n">
        <f aca="false">IF(F75&gt;=Upgrades!$E$7,"",Upgrades!$C$7*POWER(Upgrades!$D$7,F75))</f>
        <v>80.9111547141581</v>
      </c>
      <c r="AI75" s="21" t="n">
        <f aca="false">IF(G75&gt;=Upgrades!$E$8,"",Upgrades!$C$8*POWER(Upgrades!$D$8,G75))</f>
        <v>231.9097088</v>
      </c>
      <c r="AJ75" s="21" t="str">
        <f aca="false">IF(H75&gt;=Upgrades!$E$9,"",Upgrades!$C$9*POWER(Upgrades!$D$9,H75))</f>
        <v/>
      </c>
      <c r="AK75" s="21" t="str">
        <f aca="false">IF(I75&gt;=Upgrades!$E$10,"",Upgrades!$C$10*POWER(Upgrades!$D$10,I75))</f>
        <v/>
      </c>
      <c r="AL75" s="21" t="str">
        <f aca="false">IF(J75&gt;=Upgrades!$E$11,"",Upgrades!$C$11*POWER(Upgrades!$D$11,J75))</f>
        <v/>
      </c>
      <c r="AM75" s="21" t="str">
        <f aca="false">IF(K75&gt;=Upgrades!$E$12,"",Upgrades!$C$12*POWER(Upgrades!$D$12,K75))</f>
        <v/>
      </c>
      <c r="AN75" s="26" t="str">
        <f aca="false">IF(AND(D75&gt;=Parameters!$B$18,(H75&gt;=Upgrades!$E$9)*(K75&gt;=Upgrades!$E$12)=1,L75=0),1,"")</f>
        <v/>
      </c>
      <c r="AO75" s="26" t="str">
        <f aca="false">IF(AND(D75&gt;=Parameters!$B$18,L75=0),1,"")</f>
        <v/>
      </c>
      <c r="AP75" s="21" t="n">
        <f aca="false">MIN(IF(ISNUMBER(AK75),AK75,9000000000000000),IF(ISNUMBER(AL75),AL75,9000000000000000),IF(ISNUMBER(AM75),AM75,9000000000000000))</f>
        <v>9000000000000000</v>
      </c>
      <c r="AQ75" s="21" t="n">
        <f aca="false">MIN(IF(ISNUMBER(AG75),AG75,9000000000000000),IF(ISNUMBER(AH75),AH75,9000000000000000),IF(ISNUMBER(AI75),AI75,9000000000000000),IF(ISNUMBER(AJ75),AJ75,9000000000000000))</f>
        <v>37.4517507383159</v>
      </c>
      <c r="AR75" s="32" t="b">
        <f aca="false">IF(AW75&gt;Parameters!$B$21*(MAX(IF(AND(NOT(AND(AO75=1,AN75&lt;&gt;1)),ISNUMBER(AG75),AG75&lt;=T75),AS75,0),IF(AND(NOT(AND(AO75=1,AN75&lt;&gt;1)),ISNUMBER(AH75),AH75&lt;=T75),AT75,0),IF(AND(NOT(AND(AO75=1,AN75&lt;&gt;1)),ISNUMBER(AI75),AI75&lt;=T75),AU75,0),IF(AND(ISNUMBER(AJ75),AJ75&lt;=T75),AV75,0))),TRUE(),FALSE())</f>
        <v>1</v>
      </c>
      <c r="AS75" s="33" t="n">
        <f aca="false">IFERROR(Upgrades!$H$6*(POWER(Upgrades!$P$6,E75)*POWER(Upgrades!$P$7,F75)*POWER(Upgrades!$P$8,G75)*POWER(Upgrades!$P$9,H75)*POWER(Upgrades!$P$10,I75)*POWER(Upgrades!$P$11,J75)*POWER(Upgrades!$P$12,K75))*(IF(Upgrades!$T$7="Solar Wind",POWER(Upgrades!$U$7,F75),1)*IF(Upgrades!$T$8="Solar Wind",POWER(Upgrades!$U$8,G75),1)*IF(Upgrades!$T$9="Solar Wind",POWER(Upgrades!$U$9,H75),1)*IF(Upgrades!$T$10="Solar Wind",POWER(Upgrades!$U$10,I75),1)*IF(Upgrades!$T$11="Solar Wind",POWER(Upgrades!$U$11,J75),1)*IF(Upgrades!$T$12="Solar Wind",POWER(Upgrades!$U$12,K75),1))/AG75,0)</f>
        <v>0.0026701021455238</v>
      </c>
      <c r="AT75" s="33" t="n">
        <f aca="false">IFERROR(Upgrades!$H$7*(POWER(Upgrades!$P$6,E75)*POWER(Upgrades!$P$7,F75)*POWER(Upgrades!$P$8,G75)*POWER(Upgrades!$P$9,H75)*POWER(Upgrades!$P$10,I75)*POWER(Upgrades!$P$11,J75)*POWER(Upgrades!$P$12,K75))*(IF(Upgrades!$T$6="Asteroid Belt",POWER(Upgrades!$U$6,E75),1)*IF(Upgrades!$T$8="Asteroid Belt",POWER(Upgrades!$U$8,G75),1)*IF(Upgrades!$T$9="Asteroid Belt",POWER(Upgrades!$U$9,H75),1)*IF(Upgrades!$T$10="Asteroid Belt",POWER(Upgrades!$U$10,I75),1)*IF(Upgrades!$T$11="Asteroid Belt",POWER(Upgrades!$U$11,J75),1)*IF(Upgrades!$T$12="Asteroid Belt",POWER(Upgrades!$U$12,K75),1))/AH75,0)</f>
        <v>0.00308980882652332</v>
      </c>
      <c r="AU75" s="33" t="n">
        <f aca="false">IFERROR(Upgrades!$K$8*(POWER(Upgrades!$Q$6,E75)*POWER(Upgrades!$Q$7,F75)*POWER(Upgrades!$Q$8,G75)*POWER(Upgrades!$Q$9,H75)*POWER(Upgrades!$Q$10,I75)*POWER(Upgrades!$Q$11,J75)*POWER(Upgrades!$Q$12,K75))*(IF(Upgrades!$T$6="Stellar Coupling",POWER(Upgrades!$U$6,E75),1)*IF(Upgrades!$T$7="Stellar Coupling",POWER(Upgrades!$U$7,F75),1)*IF(Upgrades!$T$9="Stellar Coupling",POWER(Upgrades!$U$9,H75),1)*IF(Upgrades!$T$10="Stellar Coupling",POWER(Upgrades!$U$10,I75),1)*IF(Upgrades!$T$11="Stellar Coupling",POWER(Upgrades!$U$11,J75),1)*IF(Upgrades!$T$12="Stellar Coupling",POWER(Upgrades!$U$12,K75),1))*Parameters!$B$10*Parameters!$B$11/60/AI75,0)</f>
        <v>0.00452762415783776</v>
      </c>
      <c r="AV75" s="33" t="n">
        <f aca="false">IFERROR(Upgrades!$H$9*(POWER(Upgrades!$P$6,E75)*POWER(Upgrades!$P$7,F75)*POWER(Upgrades!$P$8,G75)*POWER(Upgrades!$P$9,H75)*POWER(Upgrades!$P$10,I75)*POWER(Upgrades!$P$11,J75)*POWER(Upgrades!$P$12,K75))*(IF(Upgrades!$T$6="Magnetosphere",POWER(Upgrades!$U$6,E75),1)*IF(Upgrades!$T$7="Magnetosphere",POWER(Upgrades!$U$7,F75),1)*IF(Upgrades!$T$8="Magnetosphere",POWER(Upgrades!$U$8,G75),1)*IF(Upgrades!$T$10="Magnetosphere",POWER(Upgrades!$U$10,I75),1)*IF(Upgrades!$T$11="Magnetosphere",POWER(Upgrades!$U$11,J75),1)*IF(Upgrades!$T$12="Magnetosphere",POWER(Upgrades!$U$12,K75),1))/AJ75,0)</f>
        <v>0</v>
      </c>
      <c r="AW75" s="33" t="n">
        <f aca="false">MAX(IF(I75&gt;0,0,IFERROR(0.25*N75/Upgrades!$C$10,0)),IF(J75&gt;0,0,IFERROR(0.5*((IF(G75=0,0,(Upgrades!$J$8+G75*Upgrades!$K$8)*POWER(Upgrades!$L$8,G75)))*(IF(Upgrades!$T$6="Stellar Coupling",POWER(Upgrades!$U$6,E75),1)*IF(Upgrades!$T$7="Stellar Coupling",POWER(Upgrades!$U$7,F75),1)*IF(Upgrades!$T$9="Stellar Coupling",POWER(Upgrades!$U$9,H75),1)*IF(Upgrades!$T$10="Stellar Coupling",POWER(Upgrades!$U$10,I75),1)*IF(Upgrades!$T$11="Stellar Coupling",POWER(Upgrades!$U$11,J75),1)*IF(Upgrades!$T$12="Stellar Coupling",POWER(Upgrades!$U$12,K75),1))*(POWER(Upgrades!$Q$6,E75)*POWER(Upgrades!$Q$7,F75)*POWER(Upgrades!$Q$8,G75)*POWER(Upgrades!$Q$9,H75)*POWER(Upgrades!$Q$10,I75)*POWER(Upgrades!$Q$11,J75)*POWER(Upgrades!$Q$12,K75))*Parameters!$B$10*Parameters!$B$11/60)/Upgrades!$C$11,0)),IF(K75&gt;0,0,IFERROR((1*(POWER(Upgrades!$P$6,E75)*POWER(Upgrades!$P$7,F75)*POWER(Upgrades!$P$8,G75)*POWER(Upgrades!$P$9,H75)*POWER(Upgrades!$P$10,I75)*POWER(Upgrades!$P$11,J75)*POWER(Upgrades!$P$12,K75))+0.2*M75*Parameters!$B$10*Parameters!$B$11/60)/Upgrades!$C$12,0)),IF(AND(ISNUMBER(AG75),AG75&gt;T75),AS75,0),IF(AND(ISNUMBER(AH75),AH75&gt;T75),AT75,0),IF(AND(ISNUMBER(AI75),AI75&gt;T75),AU75,0),IF(AND(ISNUMBER(AJ75),AJ75&gt;T75),AV75,0))</f>
        <v>0.00452762415783776</v>
      </c>
      <c r="AX75" s="29" t="str">
        <f aca="false">IF(AN75=1,"transition",IF(MIN(IF(AND(I75=0,ISNUMBER(AK75),AK75&lt;=T75),AK75,9000000000000000),IF(AND(J75=0,ISNUMBER(AL75),AL75&lt;=T75),AL75,9000000000000000),IF(AND(K75=0,ISNUMBER(AM75),AM75&lt;=T75),AM75,9000000000000000))&lt;9000000000000000,IF(AND(AND(I75=0,ISNUMBER(AK75),AK75&lt;=T75),AK75=MIN(IF(AND(I75=0,ISNUMBER(AK75),AK75&lt;=T75),AK75,9000000000000000),IF(AND(J75=0,ISNUMBER(AL75),AL75&lt;=T75),AL75,9000000000000000),IF(AND(K75=0,ISNUMBER(AM75),AM75&lt;=T75),AM75,9000000000000000))),"OR",IF(AND(AND(J75=0,ISNUMBER(AL75),AL75&lt;=T75),AL75=MIN(IF(AND(I75=0,ISNUMBER(AK75),AK75&lt;=T75),AK75,9000000000000000),IF(AND(J75=0,ISNUMBER(AL75),AL75&lt;=T75),AL75,9000000000000000),IF(AND(K75=0,ISNUMBER(AM75),AM75&lt;=T75),AM75,9000000000000000))),"HP","FP")),IF(AR75=TRUE(),"",IF(MAX(IF(AND(NOT(AND(AO75=1,AN75&lt;&gt;1)),ISNUMBER(AG75),AG75&lt;=T75),AS75,0),IF(AND(NOT(AND(AO75=1,AN75&lt;&gt;1)),ISNUMBER(AH75),AH75&lt;=T75),AT75,0),IF(AND(NOT(AND(AO75=1,AN75&lt;&gt;1)),ISNUMBER(AI75),AI75&lt;=T75),AU75,0),IF(AND(ISNUMBER(AJ75),AJ75&lt;=T75),AV75,0))&lt;=0,"",IF(AND(IF(AND(NOT(AND(AO75=1,AN75&lt;&gt;1)),ISNUMBER(AG75),AG75&lt;=T75),AS75,0)&gt;0,IF(AND(NOT(AND(AO75=1,AN75&lt;&gt;1)),ISNUMBER(AG75),AG75&lt;=T75),AS75,0)=MAX(IF(AND(NOT(AND(AO75=1,AN75&lt;&gt;1)),ISNUMBER(AG75),AG75&lt;=T75),AS75,0),IF(AND(NOT(AND(AO75=1,AN75&lt;&gt;1)),ISNUMBER(AH75),AH75&lt;=T75),AT75,0),IF(AND(NOT(AND(AO75=1,AN75&lt;&gt;1)),ISNUMBER(AI75),AI75&lt;=T75),AU75,0),IF(AND(ISNUMBER(AJ75),AJ75&lt;=T75),AV75,0))),"SW",IF(AND(IF(AND(NOT(AND(AO75=1,AN75&lt;&gt;1)),ISNUMBER(AH75),AH75&lt;=T75),AT75,0)&gt;0,IF(AND(NOT(AND(AO75=1,AN75&lt;&gt;1)),ISNUMBER(AH75),AH75&lt;=T75),AT75,0)=MAX(IF(AND(NOT(AND(AO75=1,AN75&lt;&gt;1)),ISNUMBER(AG75),AG75&lt;=T75),AS75,0),IF(AND(NOT(AND(AO75=1,AN75&lt;&gt;1)),ISNUMBER(AH75),AH75&lt;=T75),AT75,0),IF(AND(NOT(AND(AO75=1,AN75&lt;&gt;1)),ISNUMBER(AI75),AI75&lt;=T75),AU75,0),IF(AND(ISNUMBER(AJ75),AJ75&lt;=T75),AV75,0))),"AB",IF(AND(IF(AND(NOT(AND(AO75=1,AN75&lt;&gt;1)),ISNUMBER(AI75),AI75&lt;=T75),AU75,0)&gt;0,IF(AND(NOT(AND(AO75=1,AN75&lt;&gt;1)),ISNUMBER(AI75),AI75&lt;=T75),AU75,0)=MAX(IF(AND(NOT(AND(AO75=1,AN75&lt;&gt;1)),ISNUMBER(AG75),AG75&lt;=T75),AS75,0),IF(AND(NOT(AND(AO75=1,AN75&lt;&gt;1)),ISNUMBER(AH75),AH75&lt;=T75),AT75,0),IF(AND(NOT(AND(AO75=1,AN75&lt;&gt;1)),ISNUMBER(AI75),AI75&lt;=T75),AU75,0),IF(AND(ISNUMBER(AJ75),AJ75&lt;=T75),AV75,0))),"SC","Mag")))))))</f>
        <v/>
      </c>
    </row>
    <row r="76" customFormat="false" ht="15" hidden="false" customHeight="false" outlineLevel="0" collapsed="false">
      <c r="A76" s="26" t="n">
        <v>71</v>
      </c>
      <c r="B76" s="27" t="n">
        <f aca="false">A76*10/60</f>
        <v>11.8333333333333</v>
      </c>
      <c r="C76" s="21" t="n">
        <f aca="false">X75</f>
        <v>18.6730249835055</v>
      </c>
      <c r="D76" s="27" t="n">
        <f aca="false">D75+W75</f>
        <v>0</v>
      </c>
      <c r="E76" s="26" t="n">
        <f aca="false">E75+IF(U75="SW",1,0)</f>
        <v>12</v>
      </c>
      <c r="F76" s="26" t="n">
        <f aca="false">F75+IF(U75="AB",1,0)</f>
        <v>10</v>
      </c>
      <c r="G76" s="26" t="n">
        <f aca="false">G75+IF(U75="SC",1,0)</f>
        <v>7</v>
      </c>
      <c r="H76" s="26" t="n">
        <f aca="false">H75+IF(U75="Mag",1,0)</f>
        <v>5</v>
      </c>
      <c r="I76" s="26" t="n">
        <f aca="false">MAX(I75,IF(U75="OR",1,0))</f>
        <v>1</v>
      </c>
      <c r="J76" s="26" t="n">
        <f aca="false">MAX(J75,IF(U75="HP",1,0))</f>
        <v>1</v>
      </c>
      <c r="K76" s="26" t="n">
        <f aca="false">MAX(K75,IF(U75="FP",1,0))</f>
        <v>1</v>
      </c>
      <c r="L76" s="26" t="n">
        <f aca="false">MAX(L75,IF(U75="transition",1,0))</f>
        <v>1</v>
      </c>
      <c r="M76" s="28" t="n">
        <f aca="false">(Parameters!$B$9+(IF(E76=0,0,(Upgrades!$J$6+E76*Upgrades!$K$6)*POWER(Upgrades!$L$6,E76)))*(IF(Upgrades!$T$7="Solar Wind",POWER(Upgrades!$U$7,F76),1)*IF(Upgrades!$T$8="Solar Wind",POWER(Upgrades!$U$8,G76),1)*IF(Upgrades!$T$9="Solar Wind",POWER(Upgrades!$U$9,H76),1)*IF(Upgrades!$T$10="Solar Wind",POWER(Upgrades!$U$10,I76),1)*IF(Upgrades!$T$11="Solar Wind",POWER(Upgrades!$U$11,J76),1)*IF(Upgrades!$T$12="Solar Wind",POWER(Upgrades!$U$12,K76),1))+(IF(F76=0,0,(Upgrades!$J$7+F76*Upgrades!$K$7)*POWER(Upgrades!$L$7,F76)))*(IF(Upgrades!$T$6="Asteroid Belt",POWER(Upgrades!$U$6,E76),1)*IF(Upgrades!$T$8="Asteroid Belt",POWER(Upgrades!$U$8,G76),1)*IF(Upgrades!$T$9="Asteroid Belt",POWER(Upgrades!$U$9,H76),1)*IF(Upgrades!$T$10="Asteroid Belt",POWER(Upgrades!$U$10,I76),1)*IF(Upgrades!$T$11="Asteroid Belt",POWER(Upgrades!$U$11,J76),1)*IF(Upgrades!$T$12="Asteroid Belt",POWER(Upgrades!$U$12,K76),1))+(IF(G76=0,0,(Upgrades!$J$8+G76*Upgrades!$K$8)*POWER(Upgrades!$L$8,G76)))*(IF(Upgrades!$T$6="Stellar Coupling",POWER(Upgrades!$U$6,E76),1)*IF(Upgrades!$T$7="Stellar Coupling",POWER(Upgrades!$U$7,F76),1)*IF(Upgrades!$T$9="Stellar Coupling",POWER(Upgrades!$U$9,H76),1)*IF(Upgrades!$T$10="Stellar Coupling",POWER(Upgrades!$U$10,I76),1)*IF(Upgrades!$T$11="Stellar Coupling",POWER(Upgrades!$U$11,J76),1)*IF(Upgrades!$T$12="Stellar Coupling",POWER(Upgrades!$U$12,K76),1))+(IF(H76=0,0,(Upgrades!$J$9+H76*Upgrades!$K$9)*POWER(Upgrades!$L$9,H76)))*(IF(Upgrades!$T$6="Magnetosphere",POWER(Upgrades!$U$6,E76),1)*IF(Upgrades!$T$7="Magnetosphere",POWER(Upgrades!$U$7,F76),1)*IF(Upgrades!$T$8="Magnetosphere",POWER(Upgrades!$U$8,G76),1)*IF(Upgrades!$T$10="Magnetosphere",POWER(Upgrades!$U$10,I76),1)*IF(Upgrades!$T$11="Magnetosphere",POWER(Upgrades!$U$11,J76),1)*IF(Upgrades!$T$12="Magnetosphere",POWER(Upgrades!$U$12,K76),1))+(IF(I76=0,0,(Upgrades!$J$10+I76*Upgrades!$K$10)*POWER(Upgrades!$L$10,I76)))*(IF(Upgrades!$T$6="Orbital Resonance",POWER(Upgrades!$U$6,E76),1)*IF(Upgrades!$T$7="Orbital Resonance",POWER(Upgrades!$U$7,F76),1)*IF(Upgrades!$T$8="Orbital Resonance",POWER(Upgrades!$U$8,G76),1)*IF(Upgrades!$T$9="Orbital Resonance",POWER(Upgrades!$U$9,H76),1)*IF(Upgrades!$T$11="Orbital Resonance",POWER(Upgrades!$U$11,J76),1)*IF(Upgrades!$T$12="Orbital Resonance",POWER(Upgrades!$U$12,K76),1))+(IF(J76=0,0,(Upgrades!$J$11+J76*Upgrades!$K$11)*POWER(Upgrades!$L$11,J76)))*(IF(Upgrades!$T$6="Heliopause",POWER(Upgrades!$U$6,E76),1)*IF(Upgrades!$T$7="Heliopause",POWER(Upgrades!$U$7,F76),1)*IF(Upgrades!$T$8="Heliopause",POWER(Upgrades!$U$8,G76),1)*IF(Upgrades!$T$9="Heliopause",POWER(Upgrades!$U$9,H76),1)*IF(Upgrades!$T$10="Heliopause",POWER(Upgrades!$U$10,I76),1)*IF(Upgrades!$T$12="Heliopause",POWER(Upgrades!$U$12,K76),1))+(IF(K76=0,0,(Upgrades!$J$12+K76*Upgrades!$K$12)*POWER(Upgrades!$L$12,K76)))*(IF(Upgrades!$T$6="First Photons",POWER(Upgrades!$U$6,E76),1)*IF(Upgrades!$T$7="First Photons",POWER(Upgrades!$U$7,F76),1)*IF(Upgrades!$T$8="First Photons",POWER(Upgrades!$U$8,G76),1)*IF(Upgrades!$T$9="First Photons",POWER(Upgrades!$U$9,H76),1)*IF(Upgrades!$T$10="First Photons",POWER(Upgrades!$U$10,I76),1)*IF(Upgrades!$T$11="First Photons",POWER(Upgrades!$U$11,J76),1)))*POWER(Upgrades!$Q$6,E76)*POWER(Upgrades!$Q$7,F76)*POWER(Upgrades!$Q$8,G76)*POWER(Upgrades!$Q$9,H76)*POWER(Upgrades!$Q$10,I76)*POWER(Upgrades!$Q$11,J76)*POWER(Upgrades!$Q$12,K76)</f>
        <v>5.61</v>
      </c>
      <c r="N76" s="28" t="n">
        <f aca="false">((IF(E76=0,0,(Upgrades!$G$6+E76*Upgrades!$H$6)*POWER(Upgrades!$I$6,E76)))*(IF(Upgrades!$T$7="Solar Wind",POWER(Upgrades!$U$7,F76),1)*IF(Upgrades!$T$8="Solar Wind",POWER(Upgrades!$U$8,G76),1)*IF(Upgrades!$T$9="Solar Wind",POWER(Upgrades!$U$9,H76),1)*IF(Upgrades!$T$10="Solar Wind",POWER(Upgrades!$U$10,I76),1)*IF(Upgrades!$T$11="Solar Wind",POWER(Upgrades!$U$11,J76),1)*IF(Upgrades!$T$12="Solar Wind",POWER(Upgrades!$U$12,K76),1))+(IF(F76=0,0,(Upgrades!$G$7+F76*Upgrades!$H$7)*POWER(Upgrades!$I$7,F76)))*(IF(Upgrades!$T$6="Asteroid Belt",POWER(Upgrades!$U$6,E76),1)*IF(Upgrades!$T$8="Asteroid Belt",POWER(Upgrades!$U$8,G76),1)*IF(Upgrades!$T$9="Asteroid Belt",POWER(Upgrades!$U$9,H76),1)*IF(Upgrades!$T$10="Asteroid Belt",POWER(Upgrades!$U$10,I76),1)*IF(Upgrades!$T$11="Asteroid Belt",POWER(Upgrades!$U$11,J76),1)*IF(Upgrades!$T$12="Asteroid Belt",POWER(Upgrades!$U$12,K76),1))+(IF(G76=0,0,(Upgrades!$G$8+G76*Upgrades!$H$8)*POWER(Upgrades!$I$8,G76)))*(IF(Upgrades!$T$6="Stellar Coupling",POWER(Upgrades!$U$6,E76),1)*IF(Upgrades!$T$7="Stellar Coupling",POWER(Upgrades!$U$7,F76),1)*IF(Upgrades!$T$9="Stellar Coupling",POWER(Upgrades!$U$9,H76),1)*IF(Upgrades!$T$10="Stellar Coupling",POWER(Upgrades!$U$10,I76),1)*IF(Upgrades!$T$11="Stellar Coupling",POWER(Upgrades!$U$11,J76),1)*IF(Upgrades!$T$12="Stellar Coupling",POWER(Upgrades!$U$12,K76),1))+(IF(H76=0,0,(Upgrades!$G$9+H76*Upgrades!$H$9)*POWER(Upgrades!$I$9,H76)))*(IF(Upgrades!$T$6="Magnetosphere",POWER(Upgrades!$U$6,E76),1)*IF(Upgrades!$T$7="Magnetosphere",POWER(Upgrades!$U$7,F76),1)*IF(Upgrades!$T$8="Magnetosphere",POWER(Upgrades!$U$8,G76),1)*IF(Upgrades!$T$10="Magnetosphere",POWER(Upgrades!$U$10,I76),1)*IF(Upgrades!$T$11="Magnetosphere",POWER(Upgrades!$U$11,J76),1)*IF(Upgrades!$T$12="Magnetosphere",POWER(Upgrades!$U$12,K76),1))+(IF(I76=0,0,(Upgrades!$G$10+I76*Upgrades!$H$10)*POWER(Upgrades!$I$10,I76)))*(IF(Upgrades!$T$6="Orbital Resonance",POWER(Upgrades!$U$6,E76),1)*IF(Upgrades!$T$7="Orbital Resonance",POWER(Upgrades!$U$7,F76),1)*IF(Upgrades!$T$8="Orbital Resonance",POWER(Upgrades!$U$8,G76),1)*IF(Upgrades!$T$9="Orbital Resonance",POWER(Upgrades!$U$9,H76),1)*IF(Upgrades!$T$11="Orbital Resonance",POWER(Upgrades!$U$11,J76),1)*IF(Upgrades!$T$12="Orbital Resonance",POWER(Upgrades!$U$12,K76),1))+(IF(J76=0,0,(Upgrades!$G$11+J76*Upgrades!$H$11)*POWER(Upgrades!$I$11,J76)))*(IF(Upgrades!$T$6="Heliopause",POWER(Upgrades!$U$6,E76),1)*IF(Upgrades!$T$7="Heliopause",POWER(Upgrades!$U$7,F76),1)*IF(Upgrades!$T$8="Heliopause",POWER(Upgrades!$U$8,G76),1)*IF(Upgrades!$T$9="Heliopause",POWER(Upgrades!$U$9,H76),1)*IF(Upgrades!$T$10="Heliopause",POWER(Upgrades!$U$10,I76),1)*IF(Upgrades!$T$12="Heliopause",POWER(Upgrades!$U$12,K76),1))+(IF(K76=0,0,(Upgrades!$G$12+K76*Upgrades!$H$12)*POWER(Upgrades!$I$12,K76)))*(IF(Upgrades!$T$6="First Photons",POWER(Upgrades!$U$6,E76),1)*IF(Upgrades!$T$7="First Photons",POWER(Upgrades!$U$7,F76),1)*IF(Upgrades!$T$8="First Photons",POWER(Upgrades!$U$8,G76),1)*IF(Upgrades!$T$9="First Photons",POWER(Upgrades!$U$9,H76),1)*IF(Upgrades!$T$10="First Photons",POWER(Upgrades!$U$10,I76),1)*IF(Upgrades!$T$11="First Photons",POWER(Upgrades!$U$11,J76),1)))*POWER(Upgrades!$P$6,E76)*POWER(Upgrades!$P$7,F76)*POWER(Upgrades!$P$8,G76)*POWER(Upgrades!$P$9,H76)*POWER(Upgrades!$P$10,I76)*POWER(Upgrades!$P$11,J76)*POWER(Upgrades!$P$12,K76)</f>
        <v>11.2</v>
      </c>
      <c r="O76" s="28" t="n">
        <f aca="false">((IF(E76=0,0,(Upgrades!$M$6+E76*Upgrades!$N$6)*POWER(Upgrades!$O$6,E76)))*(IF(Upgrades!$T$7="Solar Wind",POWER(Upgrades!$U$7,F76),1)*IF(Upgrades!$T$8="Solar Wind",POWER(Upgrades!$U$8,G76),1)*IF(Upgrades!$T$9="Solar Wind",POWER(Upgrades!$U$9,H76),1)*IF(Upgrades!$T$10="Solar Wind",POWER(Upgrades!$U$10,I76),1)*IF(Upgrades!$T$11="Solar Wind",POWER(Upgrades!$U$11,J76),1)*IF(Upgrades!$T$12="Solar Wind",POWER(Upgrades!$U$12,K76),1))+(IF(F76=0,0,(Upgrades!$M$7+F76*Upgrades!$N$7)*POWER(Upgrades!$O$7,F76)))*(IF(Upgrades!$T$6="Asteroid Belt",POWER(Upgrades!$U$6,E76),1)*IF(Upgrades!$T$8="Asteroid Belt",POWER(Upgrades!$U$8,G76),1)*IF(Upgrades!$T$9="Asteroid Belt",POWER(Upgrades!$U$9,H76),1)*IF(Upgrades!$T$10="Asteroid Belt",POWER(Upgrades!$U$10,I76),1)*IF(Upgrades!$T$11="Asteroid Belt",POWER(Upgrades!$U$11,J76),1)*IF(Upgrades!$T$12="Asteroid Belt",POWER(Upgrades!$U$12,K76),1))+(IF(G76=0,0,(Upgrades!$M$8+G76*Upgrades!$N$8)*POWER(Upgrades!$O$8,G76)))*(IF(Upgrades!$T$6="Stellar Coupling",POWER(Upgrades!$U$6,E76),1)*IF(Upgrades!$T$7="Stellar Coupling",POWER(Upgrades!$U$7,F76),1)*IF(Upgrades!$T$9="Stellar Coupling",POWER(Upgrades!$U$9,H76),1)*IF(Upgrades!$T$10="Stellar Coupling",POWER(Upgrades!$U$10,I76),1)*IF(Upgrades!$T$11="Stellar Coupling",POWER(Upgrades!$U$11,J76),1)*IF(Upgrades!$T$12="Stellar Coupling",POWER(Upgrades!$U$12,K76),1))+(IF(H76=0,0,(Upgrades!$M$9+H76*Upgrades!$N$9)*POWER(Upgrades!$O$9,H76)))*(IF(Upgrades!$T$6="Magnetosphere",POWER(Upgrades!$U$6,E76),1)*IF(Upgrades!$T$7="Magnetosphere",POWER(Upgrades!$U$7,F76),1)*IF(Upgrades!$T$8="Magnetosphere",POWER(Upgrades!$U$8,G76),1)*IF(Upgrades!$T$10="Magnetosphere",POWER(Upgrades!$U$10,I76),1)*IF(Upgrades!$T$11="Magnetosphere",POWER(Upgrades!$U$11,J76),1)*IF(Upgrades!$T$12="Magnetosphere",POWER(Upgrades!$U$12,K76),1))+(IF(I76=0,0,(Upgrades!$M$10+I76*Upgrades!$N$10)*POWER(Upgrades!$O$10,I76)))*(IF(Upgrades!$T$6="Orbital Resonance",POWER(Upgrades!$U$6,E76),1)*IF(Upgrades!$T$7="Orbital Resonance",POWER(Upgrades!$U$7,F76),1)*IF(Upgrades!$T$8="Orbital Resonance",POWER(Upgrades!$U$8,G76),1)*IF(Upgrades!$T$9="Orbital Resonance",POWER(Upgrades!$U$9,H76),1)*IF(Upgrades!$T$11="Orbital Resonance",POWER(Upgrades!$U$11,J76),1)*IF(Upgrades!$T$12="Orbital Resonance",POWER(Upgrades!$U$12,K76),1))+(IF(J76=0,0,(Upgrades!$M$11+J76*Upgrades!$N$11)*POWER(Upgrades!$O$11,J76)))*(IF(Upgrades!$T$6="Heliopause",POWER(Upgrades!$U$6,E76),1)*IF(Upgrades!$T$7="Heliopause",POWER(Upgrades!$U$7,F76),1)*IF(Upgrades!$T$8="Heliopause",POWER(Upgrades!$U$8,G76),1)*IF(Upgrades!$T$9="Heliopause",POWER(Upgrades!$U$9,H76),1)*IF(Upgrades!$T$10="Heliopause",POWER(Upgrades!$U$10,I76),1)*IF(Upgrades!$T$12="Heliopause",POWER(Upgrades!$U$12,K76),1))+(IF(K76=0,0,(Upgrades!$M$12+K76*Upgrades!$N$12)*POWER(Upgrades!$O$12,K76)))*(IF(Upgrades!$T$6="First Photons",POWER(Upgrades!$U$6,E76),1)*IF(Upgrades!$T$7="First Photons",POWER(Upgrades!$U$7,F76),1)*IF(Upgrades!$T$8="First Photons",POWER(Upgrades!$U$8,G76),1)*IF(Upgrades!$T$9="First Photons",POWER(Upgrades!$U$9,H76),1)*IF(Upgrades!$T$10="First Photons",POWER(Upgrades!$U$10,I76),1)*IF(Upgrades!$T$11="First Photons",POWER(Upgrades!$U$11,J76),1)))*POWER(Upgrades!$R$6,E76)*POWER(Upgrades!$R$7,F76)*POWER(Upgrades!$R$8,G76)*POWER(Upgrades!$R$9,H76)*POWER(Upgrades!$R$10,I76)*POWER(Upgrades!$R$11,J76)*POWER(Upgrades!$R$12,K76)</f>
        <v>0</v>
      </c>
      <c r="P76" s="27" t="n">
        <f aca="false">IF(L76=1,0,M76*Parameters!$B$10/60*Parameters!$B$11*10)</f>
        <v>0</v>
      </c>
      <c r="Q76" s="27" t="n">
        <f aca="false">IF(L76=1,0,O76*M76*10)</f>
        <v>0</v>
      </c>
      <c r="R76" s="27" t="n">
        <f aca="false">IF(L76=1,0,N76*10)</f>
        <v>0</v>
      </c>
      <c r="S76" s="27" t="n">
        <f aca="false">P76+Q76+R76</f>
        <v>0</v>
      </c>
      <c r="T76" s="21" t="n">
        <f aca="false">C76+S76</f>
        <v>18.6730249835055</v>
      </c>
      <c r="U76" s="34" t="str">
        <f aca="false">AX76</f>
        <v/>
      </c>
      <c r="V76" s="21" t="n">
        <f aca="false">IF(U76="",0,IF(U76="transition",0,IF(U76="SW",AG76,IF(U76="AB",AH76,IF(U76="SC",AI76,IF(U76="Mag",AJ76,IF(U76="OR",AK76,IF(U76="HP",AL76,IF(U76="FP",AM76,0)))))))))</f>
        <v>0</v>
      </c>
      <c r="W76" s="27" t="n">
        <f aca="false">IF(U76="OR",Upgrades!$F$10,IF(U76="HP",Upgrades!$F$11,IF(U76="transition",-Parameters!$B$18,0)))</f>
        <v>0</v>
      </c>
      <c r="X76" s="21" t="n">
        <f aca="false">T76-V76</f>
        <v>18.6730249835055</v>
      </c>
      <c r="Y76" s="30" t="n">
        <f aca="false">M76*Parameters!$B$10/60*Parameters!$B$11+O76*M76+N76</f>
        <v>20.55</v>
      </c>
      <c r="Z76" s="35" t="str">
        <f aca="false">IF(U76="transition","→ Tier 2 (Stellar Neighborhood)",IF(U76="FP","First Photons — light begins, system quickens",IF(U76="HP","Heliopause acquired",IF(U76="OR","Orbital Resonance — passive multiplier active",IF(AND(AO76=1,L76=0,AN76&lt;&gt;1),"Cohesion ready (waiting on completionist upgrades)","")))))</f>
        <v/>
      </c>
      <c r="AA76" s="27" t="n">
        <f aca="false">(IF(E76=0,0,(Upgrades!$G$6+E76*Upgrades!$H$6)*POWER(Upgrades!$I$6,E76)))*(IF(Upgrades!$T$7="Solar Wind",POWER(Upgrades!$U$7,F76),1)*IF(Upgrades!$T$8="Solar Wind",POWER(Upgrades!$U$8,G76),1)*IF(Upgrades!$T$9="Solar Wind",POWER(Upgrades!$U$9,H76),1)*IF(Upgrades!$T$10="Solar Wind",POWER(Upgrades!$U$10,I76),1)*IF(Upgrades!$T$11="Solar Wind",POWER(Upgrades!$U$11,J76),1)*IF(Upgrades!$T$12="Solar Wind",POWER(Upgrades!$U$12,K76),1))*POWER(Upgrades!$P$6,E76)*POWER(Upgrades!$P$7,F76)*POWER(Upgrades!$P$8,G76)*POWER(Upgrades!$P$9,H76)*POWER(Upgrades!$P$10,I76)*POWER(Upgrades!$P$11,J76)*POWER(Upgrades!$P$12,K76)*60</f>
        <v>72</v>
      </c>
      <c r="AB76" s="27" t="n">
        <f aca="false">(IF(F76=0,0,(Upgrades!$G$7+F76*Upgrades!$H$7)*POWER(Upgrades!$I$7,F76)))*(IF(Upgrades!$T$6="Asteroid Belt",POWER(Upgrades!$U$6,E76),1)*IF(Upgrades!$T$8="Asteroid Belt",POWER(Upgrades!$U$8,G76),1)*IF(Upgrades!$T$9="Asteroid Belt",POWER(Upgrades!$U$9,H76),1)*IF(Upgrades!$T$10="Asteroid Belt",POWER(Upgrades!$U$10,I76),1)*IF(Upgrades!$T$11="Asteroid Belt",POWER(Upgrades!$U$11,J76),1)*IF(Upgrades!$T$12="Asteroid Belt",POWER(Upgrades!$U$12,K76),1))*POWER(Upgrades!$P$6,E76)*POWER(Upgrades!$P$7,F76)*POWER(Upgrades!$P$8,G76)*POWER(Upgrades!$P$9,H76)*POWER(Upgrades!$P$10,I76)*POWER(Upgrades!$P$11,J76)*POWER(Upgrades!$P$12,K76)*60</f>
        <v>150</v>
      </c>
      <c r="AC76" s="27" t="n">
        <f aca="false">(IF(G76=0,0,(Upgrades!$J$8+G76*Upgrades!$K$8)*POWER(Upgrades!$L$8,G76)))*(IF(Upgrades!$T$6="Stellar Coupling",POWER(Upgrades!$U$6,E76),1)*IF(Upgrades!$T$7="Stellar Coupling",POWER(Upgrades!$U$7,F76),1)*IF(Upgrades!$T$9="Stellar Coupling",POWER(Upgrades!$U$9,H76),1)*IF(Upgrades!$T$10="Stellar Coupling",POWER(Upgrades!$U$10,I76),1)*IF(Upgrades!$T$11="Stellar Coupling",POWER(Upgrades!$U$11,J76),1)*IF(Upgrades!$T$12="Stellar Coupling",POWER(Upgrades!$U$12,K76),1))*POWER(Upgrades!$Q$6,E76)*POWER(Upgrades!$Q$7,F76)*POWER(Upgrades!$Q$8,G76)*POWER(Upgrades!$Q$9,H76)*POWER(Upgrades!$Q$10,I76)*POWER(Upgrades!$Q$11,J76)*POWER(Upgrades!$Q$12,K76)*Parameters!$B$10*Parameters!$B$11</f>
        <v>441</v>
      </c>
      <c r="AD76" s="27" t="n">
        <f aca="false">(IF(H76=0,0,(Upgrades!$G$9+H76*Upgrades!$H$9)*POWER(Upgrades!$I$9,H76)))*(IF(Upgrades!$T$6="Magnetosphere",POWER(Upgrades!$U$6,E76),1)*IF(Upgrades!$T$7="Magnetosphere",POWER(Upgrades!$U$7,F76),1)*IF(Upgrades!$T$8="Magnetosphere",POWER(Upgrades!$U$8,G76),1)*IF(Upgrades!$T$10="Magnetosphere",POWER(Upgrades!$U$10,I76),1)*IF(Upgrades!$T$11="Magnetosphere",POWER(Upgrades!$U$11,J76),1)*IF(Upgrades!$T$12="Magnetosphere",POWER(Upgrades!$U$12,K76),1))*POWER(Upgrades!$P$6,E76)*POWER(Upgrades!$P$7,F76)*POWER(Upgrades!$P$8,G76)*POWER(Upgrades!$P$9,H76)*POWER(Upgrades!$P$10,I76)*POWER(Upgrades!$P$11,J76)*POWER(Upgrades!$P$12,K76)*60</f>
        <v>375</v>
      </c>
      <c r="AE76" s="27" t="n">
        <f aca="false">(IF(K76=0,0,(Upgrades!$G$12+K76*Upgrades!$H$12)*POWER(Upgrades!$I$12,K76)))*(IF(Upgrades!$T$6="First Photons",POWER(Upgrades!$U$6,E76),1)*IF(Upgrades!$T$7="First Photons",POWER(Upgrades!$U$7,F76),1)*IF(Upgrades!$T$8="First Photons",POWER(Upgrades!$U$8,G76),1)*IF(Upgrades!$T$9="First Photons",POWER(Upgrades!$U$9,H76),1)*IF(Upgrades!$T$10="First Photons",POWER(Upgrades!$U$10,I76),1)*IF(Upgrades!$T$11="First Photons",POWER(Upgrades!$U$11,J76),1))*POWER(Upgrades!$P$6,E76)*POWER(Upgrades!$P$7,F76)*POWER(Upgrades!$P$8,G76)*POWER(Upgrades!$P$9,H76)*POWER(Upgrades!$P$10,I76)*POWER(Upgrades!$P$11,J76)*POWER(Upgrades!$P$12,K76)*60</f>
        <v>75</v>
      </c>
      <c r="AF76" s="27" t="n">
        <f aca="false">Parameters!$B$9*POWER(Upgrades!$Q$6,E76)*POWER(Upgrades!$Q$7,F76)*POWER(Upgrades!$Q$8,G76)*POWER(Upgrades!$Q$9,H76)*POWER(Upgrades!$Q$10,I76)*POWER(Upgrades!$Q$11,J76)*POWER(Upgrades!$Q$12,K76)*(Parameters!$B$10*Parameters!$B$11+O76*60)</f>
        <v>120</v>
      </c>
      <c r="AG76" s="21" t="n">
        <f aca="false">IF(E76&gt;=Upgrades!$E$6,"",Upgrades!$C$6*POWER(Upgrades!$D$6,E76))</f>
        <v>37.4517507383159</v>
      </c>
      <c r="AH76" s="21" t="n">
        <f aca="false">IF(F76&gt;=Upgrades!$E$7,"",Upgrades!$C$7*POWER(Upgrades!$D$7,F76))</f>
        <v>80.9111547141581</v>
      </c>
      <c r="AI76" s="21" t="n">
        <f aca="false">IF(G76&gt;=Upgrades!$E$8,"",Upgrades!$C$8*POWER(Upgrades!$D$8,G76))</f>
        <v>231.9097088</v>
      </c>
      <c r="AJ76" s="21" t="str">
        <f aca="false">IF(H76&gt;=Upgrades!$E$9,"",Upgrades!$C$9*POWER(Upgrades!$D$9,H76))</f>
        <v/>
      </c>
      <c r="AK76" s="21" t="str">
        <f aca="false">IF(I76&gt;=Upgrades!$E$10,"",Upgrades!$C$10*POWER(Upgrades!$D$10,I76))</f>
        <v/>
      </c>
      <c r="AL76" s="21" t="str">
        <f aca="false">IF(J76&gt;=Upgrades!$E$11,"",Upgrades!$C$11*POWER(Upgrades!$D$11,J76))</f>
        <v/>
      </c>
      <c r="AM76" s="21" t="str">
        <f aca="false">IF(K76&gt;=Upgrades!$E$12,"",Upgrades!$C$12*POWER(Upgrades!$D$12,K76))</f>
        <v/>
      </c>
      <c r="AN76" s="26" t="str">
        <f aca="false">IF(AND(D76&gt;=Parameters!$B$18,(H76&gt;=Upgrades!$E$9)*(K76&gt;=Upgrades!$E$12)=1,L76=0),1,"")</f>
        <v/>
      </c>
      <c r="AO76" s="26" t="str">
        <f aca="false">IF(AND(D76&gt;=Parameters!$B$18,L76=0),1,"")</f>
        <v/>
      </c>
      <c r="AP76" s="21" t="n">
        <f aca="false">MIN(IF(ISNUMBER(AK76),AK76,9000000000000000),IF(ISNUMBER(AL76),AL76,9000000000000000),IF(ISNUMBER(AM76),AM76,9000000000000000))</f>
        <v>9000000000000000</v>
      </c>
      <c r="AQ76" s="21" t="n">
        <f aca="false">MIN(IF(ISNUMBER(AG76),AG76,9000000000000000),IF(ISNUMBER(AH76),AH76,9000000000000000),IF(ISNUMBER(AI76),AI76,9000000000000000),IF(ISNUMBER(AJ76),AJ76,9000000000000000))</f>
        <v>37.4517507383159</v>
      </c>
      <c r="AR76" s="32" t="b">
        <f aca="false">IF(AW76&gt;Parameters!$B$21*(MAX(IF(AND(NOT(AND(AO76=1,AN76&lt;&gt;1)),ISNUMBER(AG76),AG76&lt;=T76),AS76,0),IF(AND(NOT(AND(AO76=1,AN76&lt;&gt;1)),ISNUMBER(AH76),AH76&lt;=T76),AT76,0),IF(AND(NOT(AND(AO76=1,AN76&lt;&gt;1)),ISNUMBER(AI76),AI76&lt;=T76),AU76,0),IF(AND(ISNUMBER(AJ76),AJ76&lt;=T76),AV76,0))),TRUE(),FALSE())</f>
        <v>1</v>
      </c>
      <c r="AS76" s="33" t="n">
        <f aca="false">IFERROR(Upgrades!$H$6*(POWER(Upgrades!$P$6,E76)*POWER(Upgrades!$P$7,F76)*POWER(Upgrades!$P$8,G76)*POWER(Upgrades!$P$9,H76)*POWER(Upgrades!$P$10,I76)*POWER(Upgrades!$P$11,J76)*POWER(Upgrades!$P$12,K76))*(IF(Upgrades!$T$7="Solar Wind",POWER(Upgrades!$U$7,F76),1)*IF(Upgrades!$T$8="Solar Wind",POWER(Upgrades!$U$8,G76),1)*IF(Upgrades!$T$9="Solar Wind",POWER(Upgrades!$U$9,H76),1)*IF(Upgrades!$T$10="Solar Wind",POWER(Upgrades!$U$10,I76),1)*IF(Upgrades!$T$11="Solar Wind",POWER(Upgrades!$U$11,J76),1)*IF(Upgrades!$T$12="Solar Wind",POWER(Upgrades!$U$12,K76),1))/AG76,0)</f>
        <v>0.0026701021455238</v>
      </c>
      <c r="AT76" s="33" t="n">
        <f aca="false">IFERROR(Upgrades!$H$7*(POWER(Upgrades!$P$6,E76)*POWER(Upgrades!$P$7,F76)*POWER(Upgrades!$P$8,G76)*POWER(Upgrades!$P$9,H76)*POWER(Upgrades!$P$10,I76)*POWER(Upgrades!$P$11,J76)*POWER(Upgrades!$P$12,K76))*(IF(Upgrades!$T$6="Asteroid Belt",POWER(Upgrades!$U$6,E76),1)*IF(Upgrades!$T$8="Asteroid Belt",POWER(Upgrades!$U$8,G76),1)*IF(Upgrades!$T$9="Asteroid Belt",POWER(Upgrades!$U$9,H76),1)*IF(Upgrades!$T$10="Asteroid Belt",POWER(Upgrades!$U$10,I76),1)*IF(Upgrades!$T$11="Asteroid Belt",POWER(Upgrades!$U$11,J76),1)*IF(Upgrades!$T$12="Asteroid Belt",POWER(Upgrades!$U$12,K76),1))/AH76,0)</f>
        <v>0.00308980882652332</v>
      </c>
      <c r="AU76" s="33" t="n">
        <f aca="false">IFERROR(Upgrades!$K$8*(POWER(Upgrades!$Q$6,E76)*POWER(Upgrades!$Q$7,F76)*POWER(Upgrades!$Q$8,G76)*POWER(Upgrades!$Q$9,H76)*POWER(Upgrades!$Q$10,I76)*POWER(Upgrades!$Q$11,J76)*POWER(Upgrades!$Q$12,K76))*(IF(Upgrades!$T$6="Stellar Coupling",POWER(Upgrades!$U$6,E76),1)*IF(Upgrades!$T$7="Stellar Coupling",POWER(Upgrades!$U$7,F76),1)*IF(Upgrades!$T$9="Stellar Coupling",POWER(Upgrades!$U$9,H76),1)*IF(Upgrades!$T$10="Stellar Coupling",POWER(Upgrades!$U$10,I76),1)*IF(Upgrades!$T$11="Stellar Coupling",POWER(Upgrades!$U$11,J76),1)*IF(Upgrades!$T$12="Stellar Coupling",POWER(Upgrades!$U$12,K76),1))*Parameters!$B$10*Parameters!$B$11/60/AI76,0)</f>
        <v>0.00452762415783776</v>
      </c>
      <c r="AV76" s="33" t="n">
        <f aca="false">IFERROR(Upgrades!$H$9*(POWER(Upgrades!$P$6,E76)*POWER(Upgrades!$P$7,F76)*POWER(Upgrades!$P$8,G76)*POWER(Upgrades!$P$9,H76)*POWER(Upgrades!$P$10,I76)*POWER(Upgrades!$P$11,J76)*POWER(Upgrades!$P$12,K76))*(IF(Upgrades!$T$6="Magnetosphere",POWER(Upgrades!$U$6,E76),1)*IF(Upgrades!$T$7="Magnetosphere",POWER(Upgrades!$U$7,F76),1)*IF(Upgrades!$T$8="Magnetosphere",POWER(Upgrades!$U$8,G76),1)*IF(Upgrades!$T$10="Magnetosphere",POWER(Upgrades!$U$10,I76),1)*IF(Upgrades!$T$11="Magnetosphere",POWER(Upgrades!$U$11,J76),1)*IF(Upgrades!$T$12="Magnetosphere",POWER(Upgrades!$U$12,K76),1))/AJ76,0)</f>
        <v>0</v>
      </c>
      <c r="AW76" s="33" t="n">
        <f aca="false">MAX(IF(I76&gt;0,0,IFERROR(0.25*N76/Upgrades!$C$10,0)),IF(J76&gt;0,0,IFERROR(0.5*((IF(G76=0,0,(Upgrades!$J$8+G76*Upgrades!$K$8)*POWER(Upgrades!$L$8,G76)))*(IF(Upgrades!$T$6="Stellar Coupling",POWER(Upgrades!$U$6,E76),1)*IF(Upgrades!$T$7="Stellar Coupling",POWER(Upgrades!$U$7,F76),1)*IF(Upgrades!$T$9="Stellar Coupling",POWER(Upgrades!$U$9,H76),1)*IF(Upgrades!$T$10="Stellar Coupling",POWER(Upgrades!$U$10,I76),1)*IF(Upgrades!$T$11="Stellar Coupling",POWER(Upgrades!$U$11,J76),1)*IF(Upgrades!$T$12="Stellar Coupling",POWER(Upgrades!$U$12,K76),1))*(POWER(Upgrades!$Q$6,E76)*POWER(Upgrades!$Q$7,F76)*POWER(Upgrades!$Q$8,G76)*POWER(Upgrades!$Q$9,H76)*POWER(Upgrades!$Q$10,I76)*POWER(Upgrades!$Q$11,J76)*POWER(Upgrades!$Q$12,K76))*Parameters!$B$10*Parameters!$B$11/60)/Upgrades!$C$11,0)),IF(K76&gt;0,0,IFERROR((1*(POWER(Upgrades!$P$6,E76)*POWER(Upgrades!$P$7,F76)*POWER(Upgrades!$P$8,G76)*POWER(Upgrades!$P$9,H76)*POWER(Upgrades!$P$10,I76)*POWER(Upgrades!$P$11,J76)*POWER(Upgrades!$P$12,K76))+0.2*M76*Parameters!$B$10*Parameters!$B$11/60)/Upgrades!$C$12,0)),IF(AND(ISNUMBER(AG76),AG76&gt;T76),AS76,0),IF(AND(ISNUMBER(AH76),AH76&gt;T76),AT76,0),IF(AND(ISNUMBER(AI76),AI76&gt;T76),AU76,0),IF(AND(ISNUMBER(AJ76),AJ76&gt;T76),AV76,0))</f>
        <v>0.00452762415783776</v>
      </c>
      <c r="AX76" s="29" t="str">
        <f aca="false">IF(AN76=1,"transition",IF(MIN(IF(AND(I76=0,ISNUMBER(AK76),AK76&lt;=T76),AK76,9000000000000000),IF(AND(J76=0,ISNUMBER(AL76),AL76&lt;=T76),AL76,9000000000000000),IF(AND(K76=0,ISNUMBER(AM76),AM76&lt;=T76),AM76,9000000000000000))&lt;9000000000000000,IF(AND(AND(I76=0,ISNUMBER(AK76),AK76&lt;=T76),AK76=MIN(IF(AND(I76=0,ISNUMBER(AK76),AK76&lt;=T76),AK76,9000000000000000),IF(AND(J76=0,ISNUMBER(AL76),AL76&lt;=T76),AL76,9000000000000000),IF(AND(K76=0,ISNUMBER(AM76),AM76&lt;=T76),AM76,9000000000000000))),"OR",IF(AND(AND(J76=0,ISNUMBER(AL76),AL76&lt;=T76),AL76=MIN(IF(AND(I76=0,ISNUMBER(AK76),AK76&lt;=T76),AK76,9000000000000000),IF(AND(J76=0,ISNUMBER(AL76),AL76&lt;=T76),AL76,9000000000000000),IF(AND(K76=0,ISNUMBER(AM76),AM76&lt;=T76),AM76,9000000000000000))),"HP","FP")),IF(AR76=TRUE(),"",IF(MAX(IF(AND(NOT(AND(AO76=1,AN76&lt;&gt;1)),ISNUMBER(AG76),AG76&lt;=T76),AS76,0),IF(AND(NOT(AND(AO76=1,AN76&lt;&gt;1)),ISNUMBER(AH76),AH76&lt;=T76),AT76,0),IF(AND(NOT(AND(AO76=1,AN76&lt;&gt;1)),ISNUMBER(AI76),AI76&lt;=T76),AU76,0),IF(AND(ISNUMBER(AJ76),AJ76&lt;=T76),AV76,0))&lt;=0,"",IF(AND(IF(AND(NOT(AND(AO76=1,AN76&lt;&gt;1)),ISNUMBER(AG76),AG76&lt;=T76),AS76,0)&gt;0,IF(AND(NOT(AND(AO76=1,AN76&lt;&gt;1)),ISNUMBER(AG76),AG76&lt;=T76),AS76,0)=MAX(IF(AND(NOT(AND(AO76=1,AN76&lt;&gt;1)),ISNUMBER(AG76),AG76&lt;=T76),AS76,0),IF(AND(NOT(AND(AO76=1,AN76&lt;&gt;1)),ISNUMBER(AH76),AH76&lt;=T76),AT76,0),IF(AND(NOT(AND(AO76=1,AN76&lt;&gt;1)),ISNUMBER(AI76),AI76&lt;=T76),AU76,0),IF(AND(ISNUMBER(AJ76),AJ76&lt;=T76),AV76,0))),"SW",IF(AND(IF(AND(NOT(AND(AO76=1,AN76&lt;&gt;1)),ISNUMBER(AH76),AH76&lt;=T76),AT76,0)&gt;0,IF(AND(NOT(AND(AO76=1,AN76&lt;&gt;1)),ISNUMBER(AH76),AH76&lt;=T76),AT76,0)=MAX(IF(AND(NOT(AND(AO76=1,AN76&lt;&gt;1)),ISNUMBER(AG76),AG76&lt;=T76),AS76,0),IF(AND(NOT(AND(AO76=1,AN76&lt;&gt;1)),ISNUMBER(AH76),AH76&lt;=T76),AT76,0),IF(AND(NOT(AND(AO76=1,AN76&lt;&gt;1)),ISNUMBER(AI76),AI76&lt;=T76),AU76,0),IF(AND(ISNUMBER(AJ76),AJ76&lt;=T76),AV76,0))),"AB",IF(AND(IF(AND(NOT(AND(AO76=1,AN76&lt;&gt;1)),ISNUMBER(AI76),AI76&lt;=T76),AU76,0)&gt;0,IF(AND(NOT(AND(AO76=1,AN76&lt;&gt;1)),ISNUMBER(AI76),AI76&lt;=T76),AU76,0)=MAX(IF(AND(NOT(AND(AO76=1,AN76&lt;&gt;1)),ISNUMBER(AG76),AG76&lt;=T76),AS76,0),IF(AND(NOT(AND(AO76=1,AN76&lt;&gt;1)),ISNUMBER(AH76),AH76&lt;=T76),AT76,0),IF(AND(NOT(AND(AO76=1,AN76&lt;&gt;1)),ISNUMBER(AI76),AI76&lt;=T76),AU76,0),IF(AND(ISNUMBER(AJ76),AJ76&lt;=T76),AV76,0))),"SC","Mag")))))))</f>
        <v/>
      </c>
    </row>
    <row r="77" customFormat="false" ht="15" hidden="false" customHeight="false" outlineLevel="0" collapsed="false">
      <c r="A77" s="26" t="n">
        <v>72</v>
      </c>
      <c r="B77" s="27" t="n">
        <f aca="false">A77*10/60</f>
        <v>12</v>
      </c>
      <c r="C77" s="21" t="n">
        <f aca="false">X76</f>
        <v>18.6730249835055</v>
      </c>
      <c r="D77" s="27" t="n">
        <f aca="false">D76+W76</f>
        <v>0</v>
      </c>
      <c r="E77" s="26" t="n">
        <f aca="false">E76+IF(U76="SW",1,0)</f>
        <v>12</v>
      </c>
      <c r="F77" s="26" t="n">
        <f aca="false">F76+IF(U76="AB",1,0)</f>
        <v>10</v>
      </c>
      <c r="G77" s="26" t="n">
        <f aca="false">G76+IF(U76="SC",1,0)</f>
        <v>7</v>
      </c>
      <c r="H77" s="26" t="n">
        <f aca="false">H76+IF(U76="Mag",1,0)</f>
        <v>5</v>
      </c>
      <c r="I77" s="26" t="n">
        <f aca="false">MAX(I76,IF(U76="OR",1,0))</f>
        <v>1</v>
      </c>
      <c r="J77" s="26" t="n">
        <f aca="false">MAX(J76,IF(U76="HP",1,0))</f>
        <v>1</v>
      </c>
      <c r="K77" s="26" t="n">
        <f aca="false">MAX(K76,IF(U76="FP",1,0))</f>
        <v>1</v>
      </c>
      <c r="L77" s="26" t="n">
        <f aca="false">MAX(L76,IF(U76="transition",1,0))</f>
        <v>1</v>
      </c>
      <c r="M77" s="28" t="n">
        <f aca="false">(Parameters!$B$9+(IF(E77=0,0,(Upgrades!$J$6+E77*Upgrades!$K$6)*POWER(Upgrades!$L$6,E77)))*(IF(Upgrades!$T$7="Solar Wind",POWER(Upgrades!$U$7,F77),1)*IF(Upgrades!$T$8="Solar Wind",POWER(Upgrades!$U$8,G77),1)*IF(Upgrades!$T$9="Solar Wind",POWER(Upgrades!$U$9,H77),1)*IF(Upgrades!$T$10="Solar Wind",POWER(Upgrades!$U$10,I77),1)*IF(Upgrades!$T$11="Solar Wind",POWER(Upgrades!$U$11,J77),1)*IF(Upgrades!$T$12="Solar Wind",POWER(Upgrades!$U$12,K77),1))+(IF(F77=0,0,(Upgrades!$J$7+F77*Upgrades!$K$7)*POWER(Upgrades!$L$7,F77)))*(IF(Upgrades!$T$6="Asteroid Belt",POWER(Upgrades!$U$6,E77),1)*IF(Upgrades!$T$8="Asteroid Belt",POWER(Upgrades!$U$8,G77),1)*IF(Upgrades!$T$9="Asteroid Belt",POWER(Upgrades!$U$9,H77),1)*IF(Upgrades!$T$10="Asteroid Belt",POWER(Upgrades!$U$10,I77),1)*IF(Upgrades!$T$11="Asteroid Belt",POWER(Upgrades!$U$11,J77),1)*IF(Upgrades!$T$12="Asteroid Belt",POWER(Upgrades!$U$12,K77),1))+(IF(G77=0,0,(Upgrades!$J$8+G77*Upgrades!$K$8)*POWER(Upgrades!$L$8,G77)))*(IF(Upgrades!$T$6="Stellar Coupling",POWER(Upgrades!$U$6,E77),1)*IF(Upgrades!$T$7="Stellar Coupling",POWER(Upgrades!$U$7,F77),1)*IF(Upgrades!$T$9="Stellar Coupling",POWER(Upgrades!$U$9,H77),1)*IF(Upgrades!$T$10="Stellar Coupling",POWER(Upgrades!$U$10,I77),1)*IF(Upgrades!$T$11="Stellar Coupling",POWER(Upgrades!$U$11,J77),1)*IF(Upgrades!$T$12="Stellar Coupling",POWER(Upgrades!$U$12,K77),1))+(IF(H77=0,0,(Upgrades!$J$9+H77*Upgrades!$K$9)*POWER(Upgrades!$L$9,H77)))*(IF(Upgrades!$T$6="Magnetosphere",POWER(Upgrades!$U$6,E77),1)*IF(Upgrades!$T$7="Magnetosphere",POWER(Upgrades!$U$7,F77),1)*IF(Upgrades!$T$8="Magnetosphere",POWER(Upgrades!$U$8,G77),1)*IF(Upgrades!$T$10="Magnetosphere",POWER(Upgrades!$U$10,I77),1)*IF(Upgrades!$T$11="Magnetosphere",POWER(Upgrades!$U$11,J77),1)*IF(Upgrades!$T$12="Magnetosphere",POWER(Upgrades!$U$12,K77),1))+(IF(I77=0,0,(Upgrades!$J$10+I77*Upgrades!$K$10)*POWER(Upgrades!$L$10,I77)))*(IF(Upgrades!$T$6="Orbital Resonance",POWER(Upgrades!$U$6,E77),1)*IF(Upgrades!$T$7="Orbital Resonance",POWER(Upgrades!$U$7,F77),1)*IF(Upgrades!$T$8="Orbital Resonance",POWER(Upgrades!$U$8,G77),1)*IF(Upgrades!$T$9="Orbital Resonance",POWER(Upgrades!$U$9,H77),1)*IF(Upgrades!$T$11="Orbital Resonance",POWER(Upgrades!$U$11,J77),1)*IF(Upgrades!$T$12="Orbital Resonance",POWER(Upgrades!$U$12,K77),1))+(IF(J77=0,0,(Upgrades!$J$11+J77*Upgrades!$K$11)*POWER(Upgrades!$L$11,J77)))*(IF(Upgrades!$T$6="Heliopause",POWER(Upgrades!$U$6,E77),1)*IF(Upgrades!$T$7="Heliopause",POWER(Upgrades!$U$7,F77),1)*IF(Upgrades!$T$8="Heliopause",POWER(Upgrades!$U$8,G77),1)*IF(Upgrades!$T$9="Heliopause",POWER(Upgrades!$U$9,H77),1)*IF(Upgrades!$T$10="Heliopause",POWER(Upgrades!$U$10,I77),1)*IF(Upgrades!$T$12="Heliopause",POWER(Upgrades!$U$12,K77),1))+(IF(K77=0,0,(Upgrades!$J$12+K77*Upgrades!$K$12)*POWER(Upgrades!$L$12,K77)))*(IF(Upgrades!$T$6="First Photons",POWER(Upgrades!$U$6,E77),1)*IF(Upgrades!$T$7="First Photons",POWER(Upgrades!$U$7,F77),1)*IF(Upgrades!$T$8="First Photons",POWER(Upgrades!$U$8,G77),1)*IF(Upgrades!$T$9="First Photons",POWER(Upgrades!$U$9,H77),1)*IF(Upgrades!$T$10="First Photons",POWER(Upgrades!$U$10,I77),1)*IF(Upgrades!$T$11="First Photons",POWER(Upgrades!$U$11,J77),1)))*POWER(Upgrades!$Q$6,E77)*POWER(Upgrades!$Q$7,F77)*POWER(Upgrades!$Q$8,G77)*POWER(Upgrades!$Q$9,H77)*POWER(Upgrades!$Q$10,I77)*POWER(Upgrades!$Q$11,J77)*POWER(Upgrades!$Q$12,K77)</f>
        <v>5.61</v>
      </c>
      <c r="N77" s="28" t="n">
        <f aca="false">((IF(E77=0,0,(Upgrades!$G$6+E77*Upgrades!$H$6)*POWER(Upgrades!$I$6,E77)))*(IF(Upgrades!$T$7="Solar Wind",POWER(Upgrades!$U$7,F77),1)*IF(Upgrades!$T$8="Solar Wind",POWER(Upgrades!$U$8,G77),1)*IF(Upgrades!$T$9="Solar Wind",POWER(Upgrades!$U$9,H77),1)*IF(Upgrades!$T$10="Solar Wind",POWER(Upgrades!$U$10,I77),1)*IF(Upgrades!$T$11="Solar Wind",POWER(Upgrades!$U$11,J77),1)*IF(Upgrades!$T$12="Solar Wind",POWER(Upgrades!$U$12,K77),1))+(IF(F77=0,0,(Upgrades!$G$7+F77*Upgrades!$H$7)*POWER(Upgrades!$I$7,F77)))*(IF(Upgrades!$T$6="Asteroid Belt",POWER(Upgrades!$U$6,E77),1)*IF(Upgrades!$T$8="Asteroid Belt",POWER(Upgrades!$U$8,G77),1)*IF(Upgrades!$T$9="Asteroid Belt",POWER(Upgrades!$U$9,H77),1)*IF(Upgrades!$T$10="Asteroid Belt",POWER(Upgrades!$U$10,I77),1)*IF(Upgrades!$T$11="Asteroid Belt",POWER(Upgrades!$U$11,J77),1)*IF(Upgrades!$T$12="Asteroid Belt",POWER(Upgrades!$U$12,K77),1))+(IF(G77=0,0,(Upgrades!$G$8+G77*Upgrades!$H$8)*POWER(Upgrades!$I$8,G77)))*(IF(Upgrades!$T$6="Stellar Coupling",POWER(Upgrades!$U$6,E77),1)*IF(Upgrades!$T$7="Stellar Coupling",POWER(Upgrades!$U$7,F77),1)*IF(Upgrades!$T$9="Stellar Coupling",POWER(Upgrades!$U$9,H77),1)*IF(Upgrades!$T$10="Stellar Coupling",POWER(Upgrades!$U$10,I77),1)*IF(Upgrades!$T$11="Stellar Coupling",POWER(Upgrades!$U$11,J77),1)*IF(Upgrades!$T$12="Stellar Coupling",POWER(Upgrades!$U$12,K77),1))+(IF(H77=0,0,(Upgrades!$G$9+H77*Upgrades!$H$9)*POWER(Upgrades!$I$9,H77)))*(IF(Upgrades!$T$6="Magnetosphere",POWER(Upgrades!$U$6,E77),1)*IF(Upgrades!$T$7="Magnetosphere",POWER(Upgrades!$U$7,F77),1)*IF(Upgrades!$T$8="Magnetosphere",POWER(Upgrades!$U$8,G77),1)*IF(Upgrades!$T$10="Magnetosphere",POWER(Upgrades!$U$10,I77),1)*IF(Upgrades!$T$11="Magnetosphere",POWER(Upgrades!$U$11,J77),1)*IF(Upgrades!$T$12="Magnetosphere",POWER(Upgrades!$U$12,K77),1))+(IF(I77=0,0,(Upgrades!$G$10+I77*Upgrades!$H$10)*POWER(Upgrades!$I$10,I77)))*(IF(Upgrades!$T$6="Orbital Resonance",POWER(Upgrades!$U$6,E77),1)*IF(Upgrades!$T$7="Orbital Resonance",POWER(Upgrades!$U$7,F77),1)*IF(Upgrades!$T$8="Orbital Resonance",POWER(Upgrades!$U$8,G77),1)*IF(Upgrades!$T$9="Orbital Resonance",POWER(Upgrades!$U$9,H77),1)*IF(Upgrades!$T$11="Orbital Resonance",POWER(Upgrades!$U$11,J77),1)*IF(Upgrades!$T$12="Orbital Resonance",POWER(Upgrades!$U$12,K77),1))+(IF(J77=0,0,(Upgrades!$G$11+J77*Upgrades!$H$11)*POWER(Upgrades!$I$11,J77)))*(IF(Upgrades!$T$6="Heliopause",POWER(Upgrades!$U$6,E77),1)*IF(Upgrades!$T$7="Heliopause",POWER(Upgrades!$U$7,F77),1)*IF(Upgrades!$T$8="Heliopause",POWER(Upgrades!$U$8,G77),1)*IF(Upgrades!$T$9="Heliopause",POWER(Upgrades!$U$9,H77),1)*IF(Upgrades!$T$10="Heliopause",POWER(Upgrades!$U$10,I77),1)*IF(Upgrades!$T$12="Heliopause",POWER(Upgrades!$U$12,K77),1))+(IF(K77=0,0,(Upgrades!$G$12+K77*Upgrades!$H$12)*POWER(Upgrades!$I$12,K77)))*(IF(Upgrades!$T$6="First Photons",POWER(Upgrades!$U$6,E77),1)*IF(Upgrades!$T$7="First Photons",POWER(Upgrades!$U$7,F77),1)*IF(Upgrades!$T$8="First Photons",POWER(Upgrades!$U$8,G77),1)*IF(Upgrades!$T$9="First Photons",POWER(Upgrades!$U$9,H77),1)*IF(Upgrades!$T$10="First Photons",POWER(Upgrades!$U$10,I77),1)*IF(Upgrades!$T$11="First Photons",POWER(Upgrades!$U$11,J77),1)))*POWER(Upgrades!$P$6,E77)*POWER(Upgrades!$P$7,F77)*POWER(Upgrades!$P$8,G77)*POWER(Upgrades!$P$9,H77)*POWER(Upgrades!$P$10,I77)*POWER(Upgrades!$P$11,J77)*POWER(Upgrades!$P$12,K77)</f>
        <v>11.2</v>
      </c>
      <c r="O77" s="28" t="n">
        <f aca="false">((IF(E77=0,0,(Upgrades!$M$6+E77*Upgrades!$N$6)*POWER(Upgrades!$O$6,E77)))*(IF(Upgrades!$T$7="Solar Wind",POWER(Upgrades!$U$7,F77),1)*IF(Upgrades!$T$8="Solar Wind",POWER(Upgrades!$U$8,G77),1)*IF(Upgrades!$T$9="Solar Wind",POWER(Upgrades!$U$9,H77),1)*IF(Upgrades!$T$10="Solar Wind",POWER(Upgrades!$U$10,I77),1)*IF(Upgrades!$T$11="Solar Wind",POWER(Upgrades!$U$11,J77),1)*IF(Upgrades!$T$12="Solar Wind",POWER(Upgrades!$U$12,K77),1))+(IF(F77=0,0,(Upgrades!$M$7+F77*Upgrades!$N$7)*POWER(Upgrades!$O$7,F77)))*(IF(Upgrades!$T$6="Asteroid Belt",POWER(Upgrades!$U$6,E77),1)*IF(Upgrades!$T$8="Asteroid Belt",POWER(Upgrades!$U$8,G77),1)*IF(Upgrades!$T$9="Asteroid Belt",POWER(Upgrades!$U$9,H77),1)*IF(Upgrades!$T$10="Asteroid Belt",POWER(Upgrades!$U$10,I77),1)*IF(Upgrades!$T$11="Asteroid Belt",POWER(Upgrades!$U$11,J77),1)*IF(Upgrades!$T$12="Asteroid Belt",POWER(Upgrades!$U$12,K77),1))+(IF(G77=0,0,(Upgrades!$M$8+G77*Upgrades!$N$8)*POWER(Upgrades!$O$8,G77)))*(IF(Upgrades!$T$6="Stellar Coupling",POWER(Upgrades!$U$6,E77),1)*IF(Upgrades!$T$7="Stellar Coupling",POWER(Upgrades!$U$7,F77),1)*IF(Upgrades!$T$9="Stellar Coupling",POWER(Upgrades!$U$9,H77),1)*IF(Upgrades!$T$10="Stellar Coupling",POWER(Upgrades!$U$10,I77),1)*IF(Upgrades!$T$11="Stellar Coupling",POWER(Upgrades!$U$11,J77),1)*IF(Upgrades!$T$12="Stellar Coupling",POWER(Upgrades!$U$12,K77),1))+(IF(H77=0,0,(Upgrades!$M$9+H77*Upgrades!$N$9)*POWER(Upgrades!$O$9,H77)))*(IF(Upgrades!$T$6="Magnetosphere",POWER(Upgrades!$U$6,E77),1)*IF(Upgrades!$T$7="Magnetosphere",POWER(Upgrades!$U$7,F77),1)*IF(Upgrades!$T$8="Magnetosphere",POWER(Upgrades!$U$8,G77),1)*IF(Upgrades!$T$10="Magnetosphere",POWER(Upgrades!$U$10,I77),1)*IF(Upgrades!$T$11="Magnetosphere",POWER(Upgrades!$U$11,J77),1)*IF(Upgrades!$T$12="Magnetosphere",POWER(Upgrades!$U$12,K77),1))+(IF(I77=0,0,(Upgrades!$M$10+I77*Upgrades!$N$10)*POWER(Upgrades!$O$10,I77)))*(IF(Upgrades!$T$6="Orbital Resonance",POWER(Upgrades!$U$6,E77),1)*IF(Upgrades!$T$7="Orbital Resonance",POWER(Upgrades!$U$7,F77),1)*IF(Upgrades!$T$8="Orbital Resonance",POWER(Upgrades!$U$8,G77),1)*IF(Upgrades!$T$9="Orbital Resonance",POWER(Upgrades!$U$9,H77),1)*IF(Upgrades!$T$11="Orbital Resonance",POWER(Upgrades!$U$11,J77),1)*IF(Upgrades!$T$12="Orbital Resonance",POWER(Upgrades!$U$12,K77),1))+(IF(J77=0,0,(Upgrades!$M$11+J77*Upgrades!$N$11)*POWER(Upgrades!$O$11,J77)))*(IF(Upgrades!$T$6="Heliopause",POWER(Upgrades!$U$6,E77),1)*IF(Upgrades!$T$7="Heliopause",POWER(Upgrades!$U$7,F77),1)*IF(Upgrades!$T$8="Heliopause",POWER(Upgrades!$U$8,G77),1)*IF(Upgrades!$T$9="Heliopause",POWER(Upgrades!$U$9,H77),1)*IF(Upgrades!$T$10="Heliopause",POWER(Upgrades!$U$10,I77),1)*IF(Upgrades!$T$12="Heliopause",POWER(Upgrades!$U$12,K77),1))+(IF(K77=0,0,(Upgrades!$M$12+K77*Upgrades!$N$12)*POWER(Upgrades!$O$12,K77)))*(IF(Upgrades!$T$6="First Photons",POWER(Upgrades!$U$6,E77),1)*IF(Upgrades!$T$7="First Photons",POWER(Upgrades!$U$7,F77),1)*IF(Upgrades!$T$8="First Photons",POWER(Upgrades!$U$8,G77),1)*IF(Upgrades!$T$9="First Photons",POWER(Upgrades!$U$9,H77),1)*IF(Upgrades!$T$10="First Photons",POWER(Upgrades!$U$10,I77),1)*IF(Upgrades!$T$11="First Photons",POWER(Upgrades!$U$11,J77),1)))*POWER(Upgrades!$R$6,E77)*POWER(Upgrades!$R$7,F77)*POWER(Upgrades!$R$8,G77)*POWER(Upgrades!$R$9,H77)*POWER(Upgrades!$R$10,I77)*POWER(Upgrades!$R$11,J77)*POWER(Upgrades!$R$12,K77)</f>
        <v>0</v>
      </c>
      <c r="P77" s="27" t="n">
        <f aca="false">IF(L77=1,0,M77*Parameters!$B$10/60*Parameters!$B$11*10)</f>
        <v>0</v>
      </c>
      <c r="Q77" s="27" t="n">
        <f aca="false">IF(L77=1,0,O77*M77*10)</f>
        <v>0</v>
      </c>
      <c r="R77" s="27" t="n">
        <f aca="false">IF(L77=1,0,N77*10)</f>
        <v>0</v>
      </c>
      <c r="S77" s="27" t="n">
        <f aca="false">P77+Q77+R77</f>
        <v>0</v>
      </c>
      <c r="T77" s="21" t="n">
        <f aca="false">C77+S77</f>
        <v>18.6730249835055</v>
      </c>
      <c r="U77" s="34" t="str">
        <f aca="false">AX77</f>
        <v/>
      </c>
      <c r="V77" s="21" t="n">
        <f aca="false">IF(U77="",0,IF(U77="transition",0,IF(U77="SW",AG77,IF(U77="AB",AH77,IF(U77="SC",AI77,IF(U77="Mag",AJ77,IF(U77="OR",AK77,IF(U77="HP",AL77,IF(U77="FP",AM77,0)))))))))</f>
        <v>0</v>
      </c>
      <c r="W77" s="27" t="n">
        <f aca="false">IF(U77="OR",Upgrades!$F$10,IF(U77="HP",Upgrades!$F$11,IF(U77="transition",-Parameters!$B$18,0)))</f>
        <v>0</v>
      </c>
      <c r="X77" s="21" t="n">
        <f aca="false">T77-V77</f>
        <v>18.6730249835055</v>
      </c>
      <c r="Y77" s="30" t="n">
        <f aca="false">M77*Parameters!$B$10/60*Parameters!$B$11+O77*M77+N77</f>
        <v>20.55</v>
      </c>
      <c r="Z77" s="35" t="str">
        <f aca="false">IF(U77="transition","→ Tier 2 (Stellar Neighborhood)",IF(U77="FP","First Photons — light begins, system quickens",IF(U77="HP","Heliopause acquired",IF(U77="OR","Orbital Resonance — passive multiplier active",IF(AND(AO77=1,L77=0,AN77&lt;&gt;1),"Cohesion ready (waiting on completionist upgrades)","")))))</f>
        <v/>
      </c>
      <c r="AA77" s="27" t="n">
        <f aca="false">(IF(E77=0,0,(Upgrades!$G$6+E77*Upgrades!$H$6)*POWER(Upgrades!$I$6,E77)))*(IF(Upgrades!$T$7="Solar Wind",POWER(Upgrades!$U$7,F77),1)*IF(Upgrades!$T$8="Solar Wind",POWER(Upgrades!$U$8,G77),1)*IF(Upgrades!$T$9="Solar Wind",POWER(Upgrades!$U$9,H77),1)*IF(Upgrades!$T$10="Solar Wind",POWER(Upgrades!$U$10,I77),1)*IF(Upgrades!$T$11="Solar Wind",POWER(Upgrades!$U$11,J77),1)*IF(Upgrades!$T$12="Solar Wind",POWER(Upgrades!$U$12,K77),1))*POWER(Upgrades!$P$6,E77)*POWER(Upgrades!$P$7,F77)*POWER(Upgrades!$P$8,G77)*POWER(Upgrades!$P$9,H77)*POWER(Upgrades!$P$10,I77)*POWER(Upgrades!$P$11,J77)*POWER(Upgrades!$P$12,K77)*60</f>
        <v>72</v>
      </c>
      <c r="AB77" s="27" t="n">
        <f aca="false">(IF(F77=0,0,(Upgrades!$G$7+F77*Upgrades!$H$7)*POWER(Upgrades!$I$7,F77)))*(IF(Upgrades!$T$6="Asteroid Belt",POWER(Upgrades!$U$6,E77),1)*IF(Upgrades!$T$8="Asteroid Belt",POWER(Upgrades!$U$8,G77),1)*IF(Upgrades!$T$9="Asteroid Belt",POWER(Upgrades!$U$9,H77),1)*IF(Upgrades!$T$10="Asteroid Belt",POWER(Upgrades!$U$10,I77),1)*IF(Upgrades!$T$11="Asteroid Belt",POWER(Upgrades!$U$11,J77),1)*IF(Upgrades!$T$12="Asteroid Belt",POWER(Upgrades!$U$12,K77),1))*POWER(Upgrades!$P$6,E77)*POWER(Upgrades!$P$7,F77)*POWER(Upgrades!$P$8,G77)*POWER(Upgrades!$P$9,H77)*POWER(Upgrades!$P$10,I77)*POWER(Upgrades!$P$11,J77)*POWER(Upgrades!$P$12,K77)*60</f>
        <v>150</v>
      </c>
      <c r="AC77" s="27" t="n">
        <f aca="false">(IF(G77=0,0,(Upgrades!$J$8+G77*Upgrades!$K$8)*POWER(Upgrades!$L$8,G77)))*(IF(Upgrades!$T$6="Stellar Coupling",POWER(Upgrades!$U$6,E77),1)*IF(Upgrades!$T$7="Stellar Coupling",POWER(Upgrades!$U$7,F77),1)*IF(Upgrades!$T$9="Stellar Coupling",POWER(Upgrades!$U$9,H77),1)*IF(Upgrades!$T$10="Stellar Coupling",POWER(Upgrades!$U$10,I77),1)*IF(Upgrades!$T$11="Stellar Coupling",POWER(Upgrades!$U$11,J77),1)*IF(Upgrades!$T$12="Stellar Coupling",POWER(Upgrades!$U$12,K77),1))*POWER(Upgrades!$Q$6,E77)*POWER(Upgrades!$Q$7,F77)*POWER(Upgrades!$Q$8,G77)*POWER(Upgrades!$Q$9,H77)*POWER(Upgrades!$Q$10,I77)*POWER(Upgrades!$Q$11,J77)*POWER(Upgrades!$Q$12,K77)*Parameters!$B$10*Parameters!$B$11</f>
        <v>441</v>
      </c>
      <c r="AD77" s="27" t="n">
        <f aca="false">(IF(H77=0,0,(Upgrades!$G$9+H77*Upgrades!$H$9)*POWER(Upgrades!$I$9,H77)))*(IF(Upgrades!$T$6="Magnetosphere",POWER(Upgrades!$U$6,E77),1)*IF(Upgrades!$T$7="Magnetosphere",POWER(Upgrades!$U$7,F77),1)*IF(Upgrades!$T$8="Magnetosphere",POWER(Upgrades!$U$8,G77),1)*IF(Upgrades!$T$10="Magnetosphere",POWER(Upgrades!$U$10,I77),1)*IF(Upgrades!$T$11="Magnetosphere",POWER(Upgrades!$U$11,J77),1)*IF(Upgrades!$T$12="Magnetosphere",POWER(Upgrades!$U$12,K77),1))*POWER(Upgrades!$P$6,E77)*POWER(Upgrades!$P$7,F77)*POWER(Upgrades!$P$8,G77)*POWER(Upgrades!$P$9,H77)*POWER(Upgrades!$P$10,I77)*POWER(Upgrades!$P$11,J77)*POWER(Upgrades!$P$12,K77)*60</f>
        <v>375</v>
      </c>
      <c r="AE77" s="27" t="n">
        <f aca="false">(IF(K77=0,0,(Upgrades!$G$12+K77*Upgrades!$H$12)*POWER(Upgrades!$I$12,K77)))*(IF(Upgrades!$T$6="First Photons",POWER(Upgrades!$U$6,E77),1)*IF(Upgrades!$T$7="First Photons",POWER(Upgrades!$U$7,F77),1)*IF(Upgrades!$T$8="First Photons",POWER(Upgrades!$U$8,G77),1)*IF(Upgrades!$T$9="First Photons",POWER(Upgrades!$U$9,H77),1)*IF(Upgrades!$T$10="First Photons",POWER(Upgrades!$U$10,I77),1)*IF(Upgrades!$T$11="First Photons",POWER(Upgrades!$U$11,J77),1))*POWER(Upgrades!$P$6,E77)*POWER(Upgrades!$P$7,F77)*POWER(Upgrades!$P$8,G77)*POWER(Upgrades!$P$9,H77)*POWER(Upgrades!$P$10,I77)*POWER(Upgrades!$P$11,J77)*POWER(Upgrades!$P$12,K77)*60</f>
        <v>75</v>
      </c>
      <c r="AF77" s="27" t="n">
        <f aca="false">Parameters!$B$9*POWER(Upgrades!$Q$6,E77)*POWER(Upgrades!$Q$7,F77)*POWER(Upgrades!$Q$8,G77)*POWER(Upgrades!$Q$9,H77)*POWER(Upgrades!$Q$10,I77)*POWER(Upgrades!$Q$11,J77)*POWER(Upgrades!$Q$12,K77)*(Parameters!$B$10*Parameters!$B$11+O77*60)</f>
        <v>120</v>
      </c>
      <c r="AG77" s="21" t="n">
        <f aca="false">IF(E77&gt;=Upgrades!$E$6,"",Upgrades!$C$6*POWER(Upgrades!$D$6,E77))</f>
        <v>37.4517507383159</v>
      </c>
      <c r="AH77" s="21" t="n">
        <f aca="false">IF(F77&gt;=Upgrades!$E$7,"",Upgrades!$C$7*POWER(Upgrades!$D$7,F77))</f>
        <v>80.9111547141581</v>
      </c>
      <c r="AI77" s="21" t="n">
        <f aca="false">IF(G77&gt;=Upgrades!$E$8,"",Upgrades!$C$8*POWER(Upgrades!$D$8,G77))</f>
        <v>231.9097088</v>
      </c>
      <c r="AJ77" s="21" t="str">
        <f aca="false">IF(H77&gt;=Upgrades!$E$9,"",Upgrades!$C$9*POWER(Upgrades!$D$9,H77))</f>
        <v/>
      </c>
      <c r="AK77" s="21" t="str">
        <f aca="false">IF(I77&gt;=Upgrades!$E$10,"",Upgrades!$C$10*POWER(Upgrades!$D$10,I77))</f>
        <v/>
      </c>
      <c r="AL77" s="21" t="str">
        <f aca="false">IF(J77&gt;=Upgrades!$E$11,"",Upgrades!$C$11*POWER(Upgrades!$D$11,J77))</f>
        <v/>
      </c>
      <c r="AM77" s="21" t="str">
        <f aca="false">IF(K77&gt;=Upgrades!$E$12,"",Upgrades!$C$12*POWER(Upgrades!$D$12,K77))</f>
        <v/>
      </c>
      <c r="AN77" s="26" t="str">
        <f aca="false">IF(AND(D77&gt;=Parameters!$B$18,(H77&gt;=Upgrades!$E$9)*(K77&gt;=Upgrades!$E$12)=1,L77=0),1,"")</f>
        <v/>
      </c>
      <c r="AO77" s="26" t="str">
        <f aca="false">IF(AND(D77&gt;=Parameters!$B$18,L77=0),1,"")</f>
        <v/>
      </c>
      <c r="AP77" s="21" t="n">
        <f aca="false">MIN(IF(ISNUMBER(AK77),AK77,9000000000000000),IF(ISNUMBER(AL77),AL77,9000000000000000),IF(ISNUMBER(AM77),AM77,9000000000000000))</f>
        <v>9000000000000000</v>
      </c>
      <c r="AQ77" s="21" t="n">
        <f aca="false">MIN(IF(ISNUMBER(AG77),AG77,9000000000000000),IF(ISNUMBER(AH77),AH77,9000000000000000),IF(ISNUMBER(AI77),AI77,9000000000000000),IF(ISNUMBER(AJ77),AJ77,9000000000000000))</f>
        <v>37.4517507383159</v>
      </c>
      <c r="AR77" s="32" t="b">
        <f aca="false">IF(AW77&gt;Parameters!$B$21*(MAX(IF(AND(NOT(AND(AO77=1,AN77&lt;&gt;1)),ISNUMBER(AG77),AG77&lt;=T77),AS77,0),IF(AND(NOT(AND(AO77=1,AN77&lt;&gt;1)),ISNUMBER(AH77),AH77&lt;=T77),AT77,0),IF(AND(NOT(AND(AO77=1,AN77&lt;&gt;1)),ISNUMBER(AI77),AI77&lt;=T77),AU77,0),IF(AND(ISNUMBER(AJ77),AJ77&lt;=T77),AV77,0))),TRUE(),FALSE())</f>
        <v>1</v>
      </c>
      <c r="AS77" s="33" t="n">
        <f aca="false">IFERROR(Upgrades!$H$6*(POWER(Upgrades!$P$6,E77)*POWER(Upgrades!$P$7,F77)*POWER(Upgrades!$P$8,G77)*POWER(Upgrades!$P$9,H77)*POWER(Upgrades!$P$10,I77)*POWER(Upgrades!$P$11,J77)*POWER(Upgrades!$P$12,K77))*(IF(Upgrades!$T$7="Solar Wind",POWER(Upgrades!$U$7,F77),1)*IF(Upgrades!$T$8="Solar Wind",POWER(Upgrades!$U$8,G77),1)*IF(Upgrades!$T$9="Solar Wind",POWER(Upgrades!$U$9,H77),1)*IF(Upgrades!$T$10="Solar Wind",POWER(Upgrades!$U$10,I77),1)*IF(Upgrades!$T$11="Solar Wind",POWER(Upgrades!$U$11,J77),1)*IF(Upgrades!$T$12="Solar Wind",POWER(Upgrades!$U$12,K77),1))/AG77,0)</f>
        <v>0.0026701021455238</v>
      </c>
      <c r="AT77" s="33" t="n">
        <f aca="false">IFERROR(Upgrades!$H$7*(POWER(Upgrades!$P$6,E77)*POWER(Upgrades!$P$7,F77)*POWER(Upgrades!$P$8,G77)*POWER(Upgrades!$P$9,H77)*POWER(Upgrades!$P$10,I77)*POWER(Upgrades!$P$11,J77)*POWER(Upgrades!$P$12,K77))*(IF(Upgrades!$T$6="Asteroid Belt",POWER(Upgrades!$U$6,E77),1)*IF(Upgrades!$T$8="Asteroid Belt",POWER(Upgrades!$U$8,G77),1)*IF(Upgrades!$T$9="Asteroid Belt",POWER(Upgrades!$U$9,H77),1)*IF(Upgrades!$T$10="Asteroid Belt",POWER(Upgrades!$U$10,I77),1)*IF(Upgrades!$T$11="Asteroid Belt",POWER(Upgrades!$U$11,J77),1)*IF(Upgrades!$T$12="Asteroid Belt",POWER(Upgrades!$U$12,K77),1))/AH77,0)</f>
        <v>0.00308980882652332</v>
      </c>
      <c r="AU77" s="33" t="n">
        <f aca="false">IFERROR(Upgrades!$K$8*(POWER(Upgrades!$Q$6,E77)*POWER(Upgrades!$Q$7,F77)*POWER(Upgrades!$Q$8,G77)*POWER(Upgrades!$Q$9,H77)*POWER(Upgrades!$Q$10,I77)*POWER(Upgrades!$Q$11,J77)*POWER(Upgrades!$Q$12,K77))*(IF(Upgrades!$T$6="Stellar Coupling",POWER(Upgrades!$U$6,E77),1)*IF(Upgrades!$T$7="Stellar Coupling",POWER(Upgrades!$U$7,F77),1)*IF(Upgrades!$T$9="Stellar Coupling",POWER(Upgrades!$U$9,H77),1)*IF(Upgrades!$T$10="Stellar Coupling",POWER(Upgrades!$U$10,I77),1)*IF(Upgrades!$T$11="Stellar Coupling",POWER(Upgrades!$U$11,J77),1)*IF(Upgrades!$T$12="Stellar Coupling",POWER(Upgrades!$U$12,K77),1))*Parameters!$B$10*Parameters!$B$11/60/AI77,0)</f>
        <v>0.00452762415783776</v>
      </c>
      <c r="AV77" s="33" t="n">
        <f aca="false">IFERROR(Upgrades!$H$9*(POWER(Upgrades!$P$6,E77)*POWER(Upgrades!$P$7,F77)*POWER(Upgrades!$P$8,G77)*POWER(Upgrades!$P$9,H77)*POWER(Upgrades!$P$10,I77)*POWER(Upgrades!$P$11,J77)*POWER(Upgrades!$P$12,K77))*(IF(Upgrades!$T$6="Magnetosphere",POWER(Upgrades!$U$6,E77),1)*IF(Upgrades!$T$7="Magnetosphere",POWER(Upgrades!$U$7,F77),1)*IF(Upgrades!$T$8="Magnetosphere",POWER(Upgrades!$U$8,G77),1)*IF(Upgrades!$T$10="Magnetosphere",POWER(Upgrades!$U$10,I77),1)*IF(Upgrades!$T$11="Magnetosphere",POWER(Upgrades!$U$11,J77),1)*IF(Upgrades!$T$12="Magnetosphere",POWER(Upgrades!$U$12,K77),1))/AJ77,0)</f>
        <v>0</v>
      </c>
      <c r="AW77" s="33" t="n">
        <f aca="false">MAX(IF(I77&gt;0,0,IFERROR(0.25*N77/Upgrades!$C$10,0)),IF(J77&gt;0,0,IFERROR(0.5*((IF(G77=0,0,(Upgrades!$J$8+G77*Upgrades!$K$8)*POWER(Upgrades!$L$8,G77)))*(IF(Upgrades!$T$6="Stellar Coupling",POWER(Upgrades!$U$6,E77),1)*IF(Upgrades!$T$7="Stellar Coupling",POWER(Upgrades!$U$7,F77),1)*IF(Upgrades!$T$9="Stellar Coupling",POWER(Upgrades!$U$9,H77),1)*IF(Upgrades!$T$10="Stellar Coupling",POWER(Upgrades!$U$10,I77),1)*IF(Upgrades!$T$11="Stellar Coupling",POWER(Upgrades!$U$11,J77),1)*IF(Upgrades!$T$12="Stellar Coupling",POWER(Upgrades!$U$12,K77),1))*(POWER(Upgrades!$Q$6,E77)*POWER(Upgrades!$Q$7,F77)*POWER(Upgrades!$Q$8,G77)*POWER(Upgrades!$Q$9,H77)*POWER(Upgrades!$Q$10,I77)*POWER(Upgrades!$Q$11,J77)*POWER(Upgrades!$Q$12,K77))*Parameters!$B$10*Parameters!$B$11/60)/Upgrades!$C$11,0)),IF(K77&gt;0,0,IFERROR((1*(POWER(Upgrades!$P$6,E77)*POWER(Upgrades!$P$7,F77)*POWER(Upgrades!$P$8,G77)*POWER(Upgrades!$P$9,H77)*POWER(Upgrades!$P$10,I77)*POWER(Upgrades!$P$11,J77)*POWER(Upgrades!$P$12,K77))+0.2*M77*Parameters!$B$10*Parameters!$B$11/60)/Upgrades!$C$12,0)),IF(AND(ISNUMBER(AG77),AG77&gt;T77),AS77,0),IF(AND(ISNUMBER(AH77),AH77&gt;T77),AT77,0),IF(AND(ISNUMBER(AI77),AI77&gt;T77),AU77,0),IF(AND(ISNUMBER(AJ77),AJ77&gt;T77),AV77,0))</f>
        <v>0.00452762415783776</v>
      </c>
      <c r="AX77" s="29" t="str">
        <f aca="false">IF(AN77=1,"transition",IF(MIN(IF(AND(I77=0,ISNUMBER(AK77),AK77&lt;=T77),AK77,9000000000000000),IF(AND(J77=0,ISNUMBER(AL77),AL77&lt;=T77),AL77,9000000000000000),IF(AND(K77=0,ISNUMBER(AM77),AM77&lt;=T77),AM77,9000000000000000))&lt;9000000000000000,IF(AND(AND(I77=0,ISNUMBER(AK77),AK77&lt;=T77),AK77=MIN(IF(AND(I77=0,ISNUMBER(AK77),AK77&lt;=T77),AK77,9000000000000000),IF(AND(J77=0,ISNUMBER(AL77),AL77&lt;=T77),AL77,9000000000000000),IF(AND(K77=0,ISNUMBER(AM77),AM77&lt;=T77),AM77,9000000000000000))),"OR",IF(AND(AND(J77=0,ISNUMBER(AL77),AL77&lt;=T77),AL77=MIN(IF(AND(I77=0,ISNUMBER(AK77),AK77&lt;=T77),AK77,9000000000000000),IF(AND(J77=0,ISNUMBER(AL77),AL77&lt;=T77),AL77,9000000000000000),IF(AND(K77=0,ISNUMBER(AM77),AM77&lt;=T77),AM77,9000000000000000))),"HP","FP")),IF(AR77=TRUE(),"",IF(MAX(IF(AND(NOT(AND(AO77=1,AN77&lt;&gt;1)),ISNUMBER(AG77),AG77&lt;=T77),AS77,0),IF(AND(NOT(AND(AO77=1,AN77&lt;&gt;1)),ISNUMBER(AH77),AH77&lt;=T77),AT77,0),IF(AND(NOT(AND(AO77=1,AN77&lt;&gt;1)),ISNUMBER(AI77),AI77&lt;=T77),AU77,0),IF(AND(ISNUMBER(AJ77),AJ77&lt;=T77),AV77,0))&lt;=0,"",IF(AND(IF(AND(NOT(AND(AO77=1,AN77&lt;&gt;1)),ISNUMBER(AG77),AG77&lt;=T77),AS77,0)&gt;0,IF(AND(NOT(AND(AO77=1,AN77&lt;&gt;1)),ISNUMBER(AG77),AG77&lt;=T77),AS77,0)=MAX(IF(AND(NOT(AND(AO77=1,AN77&lt;&gt;1)),ISNUMBER(AG77),AG77&lt;=T77),AS77,0),IF(AND(NOT(AND(AO77=1,AN77&lt;&gt;1)),ISNUMBER(AH77),AH77&lt;=T77),AT77,0),IF(AND(NOT(AND(AO77=1,AN77&lt;&gt;1)),ISNUMBER(AI77),AI77&lt;=T77),AU77,0),IF(AND(ISNUMBER(AJ77),AJ77&lt;=T77),AV77,0))),"SW",IF(AND(IF(AND(NOT(AND(AO77=1,AN77&lt;&gt;1)),ISNUMBER(AH77),AH77&lt;=T77),AT77,0)&gt;0,IF(AND(NOT(AND(AO77=1,AN77&lt;&gt;1)),ISNUMBER(AH77),AH77&lt;=T77),AT77,0)=MAX(IF(AND(NOT(AND(AO77=1,AN77&lt;&gt;1)),ISNUMBER(AG77),AG77&lt;=T77),AS77,0),IF(AND(NOT(AND(AO77=1,AN77&lt;&gt;1)),ISNUMBER(AH77),AH77&lt;=T77),AT77,0),IF(AND(NOT(AND(AO77=1,AN77&lt;&gt;1)),ISNUMBER(AI77),AI77&lt;=T77),AU77,0),IF(AND(ISNUMBER(AJ77),AJ77&lt;=T77),AV77,0))),"AB",IF(AND(IF(AND(NOT(AND(AO77=1,AN77&lt;&gt;1)),ISNUMBER(AI77),AI77&lt;=T77),AU77,0)&gt;0,IF(AND(NOT(AND(AO77=1,AN77&lt;&gt;1)),ISNUMBER(AI77),AI77&lt;=T77),AU77,0)=MAX(IF(AND(NOT(AND(AO77=1,AN77&lt;&gt;1)),ISNUMBER(AG77),AG77&lt;=T77),AS77,0),IF(AND(NOT(AND(AO77=1,AN77&lt;&gt;1)),ISNUMBER(AH77),AH77&lt;=T77),AT77,0),IF(AND(NOT(AND(AO77=1,AN77&lt;&gt;1)),ISNUMBER(AI77),AI77&lt;=T77),AU77,0),IF(AND(ISNUMBER(AJ77),AJ77&lt;=T77),AV77,0))),"SC","Mag")))))))</f>
        <v/>
      </c>
    </row>
    <row r="78" customFormat="false" ht="15" hidden="false" customHeight="false" outlineLevel="0" collapsed="false">
      <c r="A78" s="26" t="n">
        <v>73</v>
      </c>
      <c r="B78" s="27" t="n">
        <f aca="false">A78*10/60</f>
        <v>12.1666666666667</v>
      </c>
      <c r="C78" s="21" t="n">
        <f aca="false">X77</f>
        <v>18.6730249835055</v>
      </c>
      <c r="D78" s="27" t="n">
        <f aca="false">D77+W77</f>
        <v>0</v>
      </c>
      <c r="E78" s="26" t="n">
        <f aca="false">E77+IF(U77="SW",1,0)</f>
        <v>12</v>
      </c>
      <c r="F78" s="26" t="n">
        <f aca="false">F77+IF(U77="AB",1,0)</f>
        <v>10</v>
      </c>
      <c r="G78" s="26" t="n">
        <f aca="false">G77+IF(U77="SC",1,0)</f>
        <v>7</v>
      </c>
      <c r="H78" s="26" t="n">
        <f aca="false">H77+IF(U77="Mag",1,0)</f>
        <v>5</v>
      </c>
      <c r="I78" s="26" t="n">
        <f aca="false">MAX(I77,IF(U77="OR",1,0))</f>
        <v>1</v>
      </c>
      <c r="J78" s="26" t="n">
        <f aca="false">MAX(J77,IF(U77="HP",1,0))</f>
        <v>1</v>
      </c>
      <c r="K78" s="26" t="n">
        <f aca="false">MAX(K77,IF(U77="FP",1,0))</f>
        <v>1</v>
      </c>
      <c r="L78" s="26" t="n">
        <f aca="false">MAX(L77,IF(U77="transition",1,0))</f>
        <v>1</v>
      </c>
      <c r="M78" s="28" t="n">
        <f aca="false">(Parameters!$B$9+(IF(E78=0,0,(Upgrades!$J$6+E78*Upgrades!$K$6)*POWER(Upgrades!$L$6,E78)))*(IF(Upgrades!$T$7="Solar Wind",POWER(Upgrades!$U$7,F78),1)*IF(Upgrades!$T$8="Solar Wind",POWER(Upgrades!$U$8,G78),1)*IF(Upgrades!$T$9="Solar Wind",POWER(Upgrades!$U$9,H78),1)*IF(Upgrades!$T$10="Solar Wind",POWER(Upgrades!$U$10,I78),1)*IF(Upgrades!$T$11="Solar Wind",POWER(Upgrades!$U$11,J78),1)*IF(Upgrades!$T$12="Solar Wind",POWER(Upgrades!$U$12,K78),1))+(IF(F78=0,0,(Upgrades!$J$7+F78*Upgrades!$K$7)*POWER(Upgrades!$L$7,F78)))*(IF(Upgrades!$T$6="Asteroid Belt",POWER(Upgrades!$U$6,E78),1)*IF(Upgrades!$T$8="Asteroid Belt",POWER(Upgrades!$U$8,G78),1)*IF(Upgrades!$T$9="Asteroid Belt",POWER(Upgrades!$U$9,H78),1)*IF(Upgrades!$T$10="Asteroid Belt",POWER(Upgrades!$U$10,I78),1)*IF(Upgrades!$T$11="Asteroid Belt",POWER(Upgrades!$U$11,J78),1)*IF(Upgrades!$T$12="Asteroid Belt",POWER(Upgrades!$U$12,K78),1))+(IF(G78=0,0,(Upgrades!$J$8+G78*Upgrades!$K$8)*POWER(Upgrades!$L$8,G78)))*(IF(Upgrades!$T$6="Stellar Coupling",POWER(Upgrades!$U$6,E78),1)*IF(Upgrades!$T$7="Stellar Coupling",POWER(Upgrades!$U$7,F78),1)*IF(Upgrades!$T$9="Stellar Coupling",POWER(Upgrades!$U$9,H78),1)*IF(Upgrades!$T$10="Stellar Coupling",POWER(Upgrades!$U$10,I78),1)*IF(Upgrades!$T$11="Stellar Coupling",POWER(Upgrades!$U$11,J78),1)*IF(Upgrades!$T$12="Stellar Coupling",POWER(Upgrades!$U$12,K78),1))+(IF(H78=0,0,(Upgrades!$J$9+H78*Upgrades!$K$9)*POWER(Upgrades!$L$9,H78)))*(IF(Upgrades!$T$6="Magnetosphere",POWER(Upgrades!$U$6,E78),1)*IF(Upgrades!$T$7="Magnetosphere",POWER(Upgrades!$U$7,F78),1)*IF(Upgrades!$T$8="Magnetosphere",POWER(Upgrades!$U$8,G78),1)*IF(Upgrades!$T$10="Magnetosphere",POWER(Upgrades!$U$10,I78),1)*IF(Upgrades!$T$11="Magnetosphere",POWER(Upgrades!$U$11,J78),1)*IF(Upgrades!$T$12="Magnetosphere",POWER(Upgrades!$U$12,K78),1))+(IF(I78=0,0,(Upgrades!$J$10+I78*Upgrades!$K$10)*POWER(Upgrades!$L$10,I78)))*(IF(Upgrades!$T$6="Orbital Resonance",POWER(Upgrades!$U$6,E78),1)*IF(Upgrades!$T$7="Orbital Resonance",POWER(Upgrades!$U$7,F78),1)*IF(Upgrades!$T$8="Orbital Resonance",POWER(Upgrades!$U$8,G78),1)*IF(Upgrades!$T$9="Orbital Resonance",POWER(Upgrades!$U$9,H78),1)*IF(Upgrades!$T$11="Orbital Resonance",POWER(Upgrades!$U$11,J78),1)*IF(Upgrades!$T$12="Orbital Resonance",POWER(Upgrades!$U$12,K78),1))+(IF(J78=0,0,(Upgrades!$J$11+J78*Upgrades!$K$11)*POWER(Upgrades!$L$11,J78)))*(IF(Upgrades!$T$6="Heliopause",POWER(Upgrades!$U$6,E78),1)*IF(Upgrades!$T$7="Heliopause",POWER(Upgrades!$U$7,F78),1)*IF(Upgrades!$T$8="Heliopause",POWER(Upgrades!$U$8,G78),1)*IF(Upgrades!$T$9="Heliopause",POWER(Upgrades!$U$9,H78),1)*IF(Upgrades!$T$10="Heliopause",POWER(Upgrades!$U$10,I78),1)*IF(Upgrades!$T$12="Heliopause",POWER(Upgrades!$U$12,K78),1))+(IF(K78=0,0,(Upgrades!$J$12+K78*Upgrades!$K$12)*POWER(Upgrades!$L$12,K78)))*(IF(Upgrades!$T$6="First Photons",POWER(Upgrades!$U$6,E78),1)*IF(Upgrades!$T$7="First Photons",POWER(Upgrades!$U$7,F78),1)*IF(Upgrades!$T$8="First Photons",POWER(Upgrades!$U$8,G78),1)*IF(Upgrades!$T$9="First Photons",POWER(Upgrades!$U$9,H78),1)*IF(Upgrades!$T$10="First Photons",POWER(Upgrades!$U$10,I78),1)*IF(Upgrades!$T$11="First Photons",POWER(Upgrades!$U$11,J78),1)))*POWER(Upgrades!$Q$6,E78)*POWER(Upgrades!$Q$7,F78)*POWER(Upgrades!$Q$8,G78)*POWER(Upgrades!$Q$9,H78)*POWER(Upgrades!$Q$10,I78)*POWER(Upgrades!$Q$11,J78)*POWER(Upgrades!$Q$12,K78)</f>
        <v>5.61</v>
      </c>
      <c r="N78" s="28" t="n">
        <f aca="false">((IF(E78=0,0,(Upgrades!$G$6+E78*Upgrades!$H$6)*POWER(Upgrades!$I$6,E78)))*(IF(Upgrades!$T$7="Solar Wind",POWER(Upgrades!$U$7,F78),1)*IF(Upgrades!$T$8="Solar Wind",POWER(Upgrades!$U$8,G78),1)*IF(Upgrades!$T$9="Solar Wind",POWER(Upgrades!$U$9,H78),1)*IF(Upgrades!$T$10="Solar Wind",POWER(Upgrades!$U$10,I78),1)*IF(Upgrades!$T$11="Solar Wind",POWER(Upgrades!$U$11,J78),1)*IF(Upgrades!$T$12="Solar Wind",POWER(Upgrades!$U$12,K78),1))+(IF(F78=0,0,(Upgrades!$G$7+F78*Upgrades!$H$7)*POWER(Upgrades!$I$7,F78)))*(IF(Upgrades!$T$6="Asteroid Belt",POWER(Upgrades!$U$6,E78),1)*IF(Upgrades!$T$8="Asteroid Belt",POWER(Upgrades!$U$8,G78),1)*IF(Upgrades!$T$9="Asteroid Belt",POWER(Upgrades!$U$9,H78),1)*IF(Upgrades!$T$10="Asteroid Belt",POWER(Upgrades!$U$10,I78),1)*IF(Upgrades!$T$11="Asteroid Belt",POWER(Upgrades!$U$11,J78),1)*IF(Upgrades!$T$12="Asteroid Belt",POWER(Upgrades!$U$12,K78),1))+(IF(G78=0,0,(Upgrades!$G$8+G78*Upgrades!$H$8)*POWER(Upgrades!$I$8,G78)))*(IF(Upgrades!$T$6="Stellar Coupling",POWER(Upgrades!$U$6,E78),1)*IF(Upgrades!$T$7="Stellar Coupling",POWER(Upgrades!$U$7,F78),1)*IF(Upgrades!$T$9="Stellar Coupling",POWER(Upgrades!$U$9,H78),1)*IF(Upgrades!$T$10="Stellar Coupling",POWER(Upgrades!$U$10,I78),1)*IF(Upgrades!$T$11="Stellar Coupling",POWER(Upgrades!$U$11,J78),1)*IF(Upgrades!$T$12="Stellar Coupling",POWER(Upgrades!$U$12,K78),1))+(IF(H78=0,0,(Upgrades!$G$9+H78*Upgrades!$H$9)*POWER(Upgrades!$I$9,H78)))*(IF(Upgrades!$T$6="Magnetosphere",POWER(Upgrades!$U$6,E78),1)*IF(Upgrades!$T$7="Magnetosphere",POWER(Upgrades!$U$7,F78),1)*IF(Upgrades!$T$8="Magnetosphere",POWER(Upgrades!$U$8,G78),1)*IF(Upgrades!$T$10="Magnetosphere",POWER(Upgrades!$U$10,I78),1)*IF(Upgrades!$T$11="Magnetosphere",POWER(Upgrades!$U$11,J78),1)*IF(Upgrades!$T$12="Magnetosphere",POWER(Upgrades!$U$12,K78),1))+(IF(I78=0,0,(Upgrades!$G$10+I78*Upgrades!$H$10)*POWER(Upgrades!$I$10,I78)))*(IF(Upgrades!$T$6="Orbital Resonance",POWER(Upgrades!$U$6,E78),1)*IF(Upgrades!$T$7="Orbital Resonance",POWER(Upgrades!$U$7,F78),1)*IF(Upgrades!$T$8="Orbital Resonance",POWER(Upgrades!$U$8,G78),1)*IF(Upgrades!$T$9="Orbital Resonance",POWER(Upgrades!$U$9,H78),1)*IF(Upgrades!$T$11="Orbital Resonance",POWER(Upgrades!$U$11,J78),1)*IF(Upgrades!$T$12="Orbital Resonance",POWER(Upgrades!$U$12,K78),1))+(IF(J78=0,0,(Upgrades!$G$11+J78*Upgrades!$H$11)*POWER(Upgrades!$I$11,J78)))*(IF(Upgrades!$T$6="Heliopause",POWER(Upgrades!$U$6,E78),1)*IF(Upgrades!$T$7="Heliopause",POWER(Upgrades!$U$7,F78),1)*IF(Upgrades!$T$8="Heliopause",POWER(Upgrades!$U$8,G78),1)*IF(Upgrades!$T$9="Heliopause",POWER(Upgrades!$U$9,H78),1)*IF(Upgrades!$T$10="Heliopause",POWER(Upgrades!$U$10,I78),1)*IF(Upgrades!$T$12="Heliopause",POWER(Upgrades!$U$12,K78),1))+(IF(K78=0,0,(Upgrades!$G$12+K78*Upgrades!$H$12)*POWER(Upgrades!$I$12,K78)))*(IF(Upgrades!$T$6="First Photons",POWER(Upgrades!$U$6,E78),1)*IF(Upgrades!$T$7="First Photons",POWER(Upgrades!$U$7,F78),1)*IF(Upgrades!$T$8="First Photons",POWER(Upgrades!$U$8,G78),1)*IF(Upgrades!$T$9="First Photons",POWER(Upgrades!$U$9,H78),1)*IF(Upgrades!$T$10="First Photons",POWER(Upgrades!$U$10,I78),1)*IF(Upgrades!$T$11="First Photons",POWER(Upgrades!$U$11,J78),1)))*POWER(Upgrades!$P$6,E78)*POWER(Upgrades!$P$7,F78)*POWER(Upgrades!$P$8,G78)*POWER(Upgrades!$P$9,H78)*POWER(Upgrades!$P$10,I78)*POWER(Upgrades!$P$11,J78)*POWER(Upgrades!$P$12,K78)</f>
        <v>11.2</v>
      </c>
      <c r="O78" s="28" t="n">
        <f aca="false">((IF(E78=0,0,(Upgrades!$M$6+E78*Upgrades!$N$6)*POWER(Upgrades!$O$6,E78)))*(IF(Upgrades!$T$7="Solar Wind",POWER(Upgrades!$U$7,F78),1)*IF(Upgrades!$T$8="Solar Wind",POWER(Upgrades!$U$8,G78),1)*IF(Upgrades!$T$9="Solar Wind",POWER(Upgrades!$U$9,H78),1)*IF(Upgrades!$T$10="Solar Wind",POWER(Upgrades!$U$10,I78),1)*IF(Upgrades!$T$11="Solar Wind",POWER(Upgrades!$U$11,J78),1)*IF(Upgrades!$T$12="Solar Wind",POWER(Upgrades!$U$12,K78),1))+(IF(F78=0,0,(Upgrades!$M$7+F78*Upgrades!$N$7)*POWER(Upgrades!$O$7,F78)))*(IF(Upgrades!$T$6="Asteroid Belt",POWER(Upgrades!$U$6,E78),1)*IF(Upgrades!$T$8="Asteroid Belt",POWER(Upgrades!$U$8,G78),1)*IF(Upgrades!$T$9="Asteroid Belt",POWER(Upgrades!$U$9,H78),1)*IF(Upgrades!$T$10="Asteroid Belt",POWER(Upgrades!$U$10,I78),1)*IF(Upgrades!$T$11="Asteroid Belt",POWER(Upgrades!$U$11,J78),1)*IF(Upgrades!$T$12="Asteroid Belt",POWER(Upgrades!$U$12,K78),1))+(IF(G78=0,0,(Upgrades!$M$8+G78*Upgrades!$N$8)*POWER(Upgrades!$O$8,G78)))*(IF(Upgrades!$T$6="Stellar Coupling",POWER(Upgrades!$U$6,E78),1)*IF(Upgrades!$T$7="Stellar Coupling",POWER(Upgrades!$U$7,F78),1)*IF(Upgrades!$T$9="Stellar Coupling",POWER(Upgrades!$U$9,H78),1)*IF(Upgrades!$T$10="Stellar Coupling",POWER(Upgrades!$U$10,I78),1)*IF(Upgrades!$T$11="Stellar Coupling",POWER(Upgrades!$U$11,J78),1)*IF(Upgrades!$T$12="Stellar Coupling",POWER(Upgrades!$U$12,K78),1))+(IF(H78=0,0,(Upgrades!$M$9+H78*Upgrades!$N$9)*POWER(Upgrades!$O$9,H78)))*(IF(Upgrades!$T$6="Magnetosphere",POWER(Upgrades!$U$6,E78),1)*IF(Upgrades!$T$7="Magnetosphere",POWER(Upgrades!$U$7,F78),1)*IF(Upgrades!$T$8="Magnetosphere",POWER(Upgrades!$U$8,G78),1)*IF(Upgrades!$T$10="Magnetosphere",POWER(Upgrades!$U$10,I78),1)*IF(Upgrades!$T$11="Magnetosphere",POWER(Upgrades!$U$11,J78),1)*IF(Upgrades!$T$12="Magnetosphere",POWER(Upgrades!$U$12,K78),1))+(IF(I78=0,0,(Upgrades!$M$10+I78*Upgrades!$N$10)*POWER(Upgrades!$O$10,I78)))*(IF(Upgrades!$T$6="Orbital Resonance",POWER(Upgrades!$U$6,E78),1)*IF(Upgrades!$T$7="Orbital Resonance",POWER(Upgrades!$U$7,F78),1)*IF(Upgrades!$T$8="Orbital Resonance",POWER(Upgrades!$U$8,G78),1)*IF(Upgrades!$T$9="Orbital Resonance",POWER(Upgrades!$U$9,H78),1)*IF(Upgrades!$T$11="Orbital Resonance",POWER(Upgrades!$U$11,J78),1)*IF(Upgrades!$T$12="Orbital Resonance",POWER(Upgrades!$U$12,K78),1))+(IF(J78=0,0,(Upgrades!$M$11+J78*Upgrades!$N$11)*POWER(Upgrades!$O$11,J78)))*(IF(Upgrades!$T$6="Heliopause",POWER(Upgrades!$U$6,E78),1)*IF(Upgrades!$T$7="Heliopause",POWER(Upgrades!$U$7,F78),1)*IF(Upgrades!$T$8="Heliopause",POWER(Upgrades!$U$8,G78),1)*IF(Upgrades!$T$9="Heliopause",POWER(Upgrades!$U$9,H78),1)*IF(Upgrades!$T$10="Heliopause",POWER(Upgrades!$U$10,I78),1)*IF(Upgrades!$T$12="Heliopause",POWER(Upgrades!$U$12,K78),1))+(IF(K78=0,0,(Upgrades!$M$12+K78*Upgrades!$N$12)*POWER(Upgrades!$O$12,K78)))*(IF(Upgrades!$T$6="First Photons",POWER(Upgrades!$U$6,E78),1)*IF(Upgrades!$T$7="First Photons",POWER(Upgrades!$U$7,F78),1)*IF(Upgrades!$T$8="First Photons",POWER(Upgrades!$U$8,G78),1)*IF(Upgrades!$T$9="First Photons",POWER(Upgrades!$U$9,H78),1)*IF(Upgrades!$T$10="First Photons",POWER(Upgrades!$U$10,I78),1)*IF(Upgrades!$T$11="First Photons",POWER(Upgrades!$U$11,J78),1)))*POWER(Upgrades!$R$6,E78)*POWER(Upgrades!$R$7,F78)*POWER(Upgrades!$R$8,G78)*POWER(Upgrades!$R$9,H78)*POWER(Upgrades!$R$10,I78)*POWER(Upgrades!$R$11,J78)*POWER(Upgrades!$R$12,K78)</f>
        <v>0</v>
      </c>
      <c r="P78" s="27" t="n">
        <f aca="false">IF(L78=1,0,M78*Parameters!$B$10/60*Parameters!$B$11*10)</f>
        <v>0</v>
      </c>
      <c r="Q78" s="27" t="n">
        <f aca="false">IF(L78=1,0,O78*M78*10)</f>
        <v>0</v>
      </c>
      <c r="R78" s="27" t="n">
        <f aca="false">IF(L78=1,0,N78*10)</f>
        <v>0</v>
      </c>
      <c r="S78" s="27" t="n">
        <f aca="false">P78+Q78+R78</f>
        <v>0</v>
      </c>
      <c r="T78" s="21" t="n">
        <f aca="false">C78+S78</f>
        <v>18.6730249835055</v>
      </c>
      <c r="U78" s="34" t="str">
        <f aca="false">AX78</f>
        <v/>
      </c>
      <c r="V78" s="21" t="n">
        <f aca="false">IF(U78="",0,IF(U78="transition",0,IF(U78="SW",AG78,IF(U78="AB",AH78,IF(U78="SC",AI78,IF(U78="Mag",AJ78,IF(U78="OR",AK78,IF(U78="HP",AL78,IF(U78="FP",AM78,0)))))))))</f>
        <v>0</v>
      </c>
      <c r="W78" s="27" t="n">
        <f aca="false">IF(U78="OR",Upgrades!$F$10,IF(U78="HP",Upgrades!$F$11,IF(U78="transition",-Parameters!$B$18,0)))</f>
        <v>0</v>
      </c>
      <c r="X78" s="21" t="n">
        <f aca="false">T78-V78</f>
        <v>18.6730249835055</v>
      </c>
      <c r="Y78" s="30" t="n">
        <f aca="false">M78*Parameters!$B$10/60*Parameters!$B$11+O78*M78+N78</f>
        <v>20.55</v>
      </c>
      <c r="Z78" s="35" t="str">
        <f aca="false">IF(U78="transition","→ Tier 2 (Stellar Neighborhood)",IF(U78="FP","First Photons — light begins, system quickens",IF(U78="HP","Heliopause acquired",IF(U78="OR","Orbital Resonance — passive multiplier active",IF(AND(AO78=1,L78=0,AN78&lt;&gt;1),"Cohesion ready (waiting on completionist upgrades)","")))))</f>
        <v/>
      </c>
      <c r="AA78" s="27" t="n">
        <f aca="false">(IF(E78=0,0,(Upgrades!$G$6+E78*Upgrades!$H$6)*POWER(Upgrades!$I$6,E78)))*(IF(Upgrades!$T$7="Solar Wind",POWER(Upgrades!$U$7,F78),1)*IF(Upgrades!$T$8="Solar Wind",POWER(Upgrades!$U$8,G78),1)*IF(Upgrades!$T$9="Solar Wind",POWER(Upgrades!$U$9,H78),1)*IF(Upgrades!$T$10="Solar Wind",POWER(Upgrades!$U$10,I78),1)*IF(Upgrades!$T$11="Solar Wind",POWER(Upgrades!$U$11,J78),1)*IF(Upgrades!$T$12="Solar Wind",POWER(Upgrades!$U$12,K78),1))*POWER(Upgrades!$P$6,E78)*POWER(Upgrades!$P$7,F78)*POWER(Upgrades!$P$8,G78)*POWER(Upgrades!$P$9,H78)*POWER(Upgrades!$P$10,I78)*POWER(Upgrades!$P$11,J78)*POWER(Upgrades!$P$12,K78)*60</f>
        <v>72</v>
      </c>
      <c r="AB78" s="27" t="n">
        <f aca="false">(IF(F78=0,0,(Upgrades!$G$7+F78*Upgrades!$H$7)*POWER(Upgrades!$I$7,F78)))*(IF(Upgrades!$T$6="Asteroid Belt",POWER(Upgrades!$U$6,E78),1)*IF(Upgrades!$T$8="Asteroid Belt",POWER(Upgrades!$U$8,G78),1)*IF(Upgrades!$T$9="Asteroid Belt",POWER(Upgrades!$U$9,H78),1)*IF(Upgrades!$T$10="Asteroid Belt",POWER(Upgrades!$U$10,I78),1)*IF(Upgrades!$T$11="Asteroid Belt",POWER(Upgrades!$U$11,J78),1)*IF(Upgrades!$T$12="Asteroid Belt",POWER(Upgrades!$U$12,K78),1))*POWER(Upgrades!$P$6,E78)*POWER(Upgrades!$P$7,F78)*POWER(Upgrades!$P$8,G78)*POWER(Upgrades!$P$9,H78)*POWER(Upgrades!$P$10,I78)*POWER(Upgrades!$P$11,J78)*POWER(Upgrades!$P$12,K78)*60</f>
        <v>150</v>
      </c>
      <c r="AC78" s="27" t="n">
        <f aca="false">(IF(G78=0,0,(Upgrades!$J$8+G78*Upgrades!$K$8)*POWER(Upgrades!$L$8,G78)))*(IF(Upgrades!$T$6="Stellar Coupling",POWER(Upgrades!$U$6,E78),1)*IF(Upgrades!$T$7="Stellar Coupling",POWER(Upgrades!$U$7,F78),1)*IF(Upgrades!$T$9="Stellar Coupling",POWER(Upgrades!$U$9,H78),1)*IF(Upgrades!$T$10="Stellar Coupling",POWER(Upgrades!$U$10,I78),1)*IF(Upgrades!$T$11="Stellar Coupling",POWER(Upgrades!$U$11,J78),1)*IF(Upgrades!$T$12="Stellar Coupling",POWER(Upgrades!$U$12,K78),1))*POWER(Upgrades!$Q$6,E78)*POWER(Upgrades!$Q$7,F78)*POWER(Upgrades!$Q$8,G78)*POWER(Upgrades!$Q$9,H78)*POWER(Upgrades!$Q$10,I78)*POWER(Upgrades!$Q$11,J78)*POWER(Upgrades!$Q$12,K78)*Parameters!$B$10*Parameters!$B$11</f>
        <v>441</v>
      </c>
      <c r="AD78" s="27" t="n">
        <f aca="false">(IF(H78=0,0,(Upgrades!$G$9+H78*Upgrades!$H$9)*POWER(Upgrades!$I$9,H78)))*(IF(Upgrades!$T$6="Magnetosphere",POWER(Upgrades!$U$6,E78),1)*IF(Upgrades!$T$7="Magnetosphere",POWER(Upgrades!$U$7,F78),1)*IF(Upgrades!$T$8="Magnetosphere",POWER(Upgrades!$U$8,G78),1)*IF(Upgrades!$T$10="Magnetosphere",POWER(Upgrades!$U$10,I78),1)*IF(Upgrades!$T$11="Magnetosphere",POWER(Upgrades!$U$11,J78),1)*IF(Upgrades!$T$12="Magnetosphere",POWER(Upgrades!$U$12,K78),1))*POWER(Upgrades!$P$6,E78)*POWER(Upgrades!$P$7,F78)*POWER(Upgrades!$P$8,G78)*POWER(Upgrades!$P$9,H78)*POWER(Upgrades!$P$10,I78)*POWER(Upgrades!$P$11,J78)*POWER(Upgrades!$P$12,K78)*60</f>
        <v>375</v>
      </c>
      <c r="AE78" s="27" t="n">
        <f aca="false">(IF(K78=0,0,(Upgrades!$G$12+K78*Upgrades!$H$12)*POWER(Upgrades!$I$12,K78)))*(IF(Upgrades!$T$6="First Photons",POWER(Upgrades!$U$6,E78),1)*IF(Upgrades!$T$7="First Photons",POWER(Upgrades!$U$7,F78),1)*IF(Upgrades!$T$8="First Photons",POWER(Upgrades!$U$8,G78),1)*IF(Upgrades!$T$9="First Photons",POWER(Upgrades!$U$9,H78),1)*IF(Upgrades!$T$10="First Photons",POWER(Upgrades!$U$10,I78),1)*IF(Upgrades!$T$11="First Photons",POWER(Upgrades!$U$11,J78),1))*POWER(Upgrades!$P$6,E78)*POWER(Upgrades!$P$7,F78)*POWER(Upgrades!$P$8,G78)*POWER(Upgrades!$P$9,H78)*POWER(Upgrades!$P$10,I78)*POWER(Upgrades!$P$11,J78)*POWER(Upgrades!$P$12,K78)*60</f>
        <v>75</v>
      </c>
      <c r="AF78" s="27" t="n">
        <f aca="false">Parameters!$B$9*POWER(Upgrades!$Q$6,E78)*POWER(Upgrades!$Q$7,F78)*POWER(Upgrades!$Q$8,G78)*POWER(Upgrades!$Q$9,H78)*POWER(Upgrades!$Q$10,I78)*POWER(Upgrades!$Q$11,J78)*POWER(Upgrades!$Q$12,K78)*(Parameters!$B$10*Parameters!$B$11+O78*60)</f>
        <v>120</v>
      </c>
      <c r="AG78" s="21" t="n">
        <f aca="false">IF(E78&gt;=Upgrades!$E$6,"",Upgrades!$C$6*POWER(Upgrades!$D$6,E78))</f>
        <v>37.4517507383159</v>
      </c>
      <c r="AH78" s="21" t="n">
        <f aca="false">IF(F78&gt;=Upgrades!$E$7,"",Upgrades!$C$7*POWER(Upgrades!$D$7,F78))</f>
        <v>80.9111547141581</v>
      </c>
      <c r="AI78" s="21" t="n">
        <f aca="false">IF(G78&gt;=Upgrades!$E$8,"",Upgrades!$C$8*POWER(Upgrades!$D$8,G78))</f>
        <v>231.9097088</v>
      </c>
      <c r="AJ78" s="21" t="str">
        <f aca="false">IF(H78&gt;=Upgrades!$E$9,"",Upgrades!$C$9*POWER(Upgrades!$D$9,H78))</f>
        <v/>
      </c>
      <c r="AK78" s="21" t="str">
        <f aca="false">IF(I78&gt;=Upgrades!$E$10,"",Upgrades!$C$10*POWER(Upgrades!$D$10,I78))</f>
        <v/>
      </c>
      <c r="AL78" s="21" t="str">
        <f aca="false">IF(J78&gt;=Upgrades!$E$11,"",Upgrades!$C$11*POWER(Upgrades!$D$11,J78))</f>
        <v/>
      </c>
      <c r="AM78" s="21" t="str">
        <f aca="false">IF(K78&gt;=Upgrades!$E$12,"",Upgrades!$C$12*POWER(Upgrades!$D$12,K78))</f>
        <v/>
      </c>
      <c r="AN78" s="26" t="str">
        <f aca="false">IF(AND(D78&gt;=Parameters!$B$18,(H78&gt;=Upgrades!$E$9)*(K78&gt;=Upgrades!$E$12)=1,L78=0),1,"")</f>
        <v/>
      </c>
      <c r="AO78" s="26" t="str">
        <f aca="false">IF(AND(D78&gt;=Parameters!$B$18,L78=0),1,"")</f>
        <v/>
      </c>
      <c r="AP78" s="21" t="n">
        <f aca="false">MIN(IF(ISNUMBER(AK78),AK78,9000000000000000),IF(ISNUMBER(AL78),AL78,9000000000000000),IF(ISNUMBER(AM78),AM78,9000000000000000))</f>
        <v>9000000000000000</v>
      </c>
      <c r="AQ78" s="21" t="n">
        <f aca="false">MIN(IF(ISNUMBER(AG78),AG78,9000000000000000),IF(ISNUMBER(AH78),AH78,9000000000000000),IF(ISNUMBER(AI78),AI78,9000000000000000),IF(ISNUMBER(AJ78),AJ78,9000000000000000))</f>
        <v>37.4517507383159</v>
      </c>
      <c r="AR78" s="32" t="b">
        <f aca="false">IF(AW78&gt;Parameters!$B$21*(MAX(IF(AND(NOT(AND(AO78=1,AN78&lt;&gt;1)),ISNUMBER(AG78),AG78&lt;=T78),AS78,0),IF(AND(NOT(AND(AO78=1,AN78&lt;&gt;1)),ISNUMBER(AH78),AH78&lt;=T78),AT78,0),IF(AND(NOT(AND(AO78=1,AN78&lt;&gt;1)),ISNUMBER(AI78),AI78&lt;=T78),AU78,0),IF(AND(ISNUMBER(AJ78),AJ78&lt;=T78),AV78,0))),TRUE(),FALSE())</f>
        <v>1</v>
      </c>
      <c r="AS78" s="33" t="n">
        <f aca="false">IFERROR(Upgrades!$H$6*(POWER(Upgrades!$P$6,E78)*POWER(Upgrades!$P$7,F78)*POWER(Upgrades!$P$8,G78)*POWER(Upgrades!$P$9,H78)*POWER(Upgrades!$P$10,I78)*POWER(Upgrades!$P$11,J78)*POWER(Upgrades!$P$12,K78))*(IF(Upgrades!$T$7="Solar Wind",POWER(Upgrades!$U$7,F78),1)*IF(Upgrades!$T$8="Solar Wind",POWER(Upgrades!$U$8,G78),1)*IF(Upgrades!$T$9="Solar Wind",POWER(Upgrades!$U$9,H78),1)*IF(Upgrades!$T$10="Solar Wind",POWER(Upgrades!$U$10,I78),1)*IF(Upgrades!$T$11="Solar Wind",POWER(Upgrades!$U$11,J78),1)*IF(Upgrades!$T$12="Solar Wind",POWER(Upgrades!$U$12,K78),1))/AG78,0)</f>
        <v>0.0026701021455238</v>
      </c>
      <c r="AT78" s="33" t="n">
        <f aca="false">IFERROR(Upgrades!$H$7*(POWER(Upgrades!$P$6,E78)*POWER(Upgrades!$P$7,F78)*POWER(Upgrades!$P$8,G78)*POWER(Upgrades!$P$9,H78)*POWER(Upgrades!$P$10,I78)*POWER(Upgrades!$P$11,J78)*POWER(Upgrades!$P$12,K78))*(IF(Upgrades!$T$6="Asteroid Belt",POWER(Upgrades!$U$6,E78),1)*IF(Upgrades!$T$8="Asteroid Belt",POWER(Upgrades!$U$8,G78),1)*IF(Upgrades!$T$9="Asteroid Belt",POWER(Upgrades!$U$9,H78),1)*IF(Upgrades!$T$10="Asteroid Belt",POWER(Upgrades!$U$10,I78),1)*IF(Upgrades!$T$11="Asteroid Belt",POWER(Upgrades!$U$11,J78),1)*IF(Upgrades!$T$12="Asteroid Belt",POWER(Upgrades!$U$12,K78),1))/AH78,0)</f>
        <v>0.00308980882652332</v>
      </c>
      <c r="AU78" s="33" t="n">
        <f aca="false">IFERROR(Upgrades!$K$8*(POWER(Upgrades!$Q$6,E78)*POWER(Upgrades!$Q$7,F78)*POWER(Upgrades!$Q$8,G78)*POWER(Upgrades!$Q$9,H78)*POWER(Upgrades!$Q$10,I78)*POWER(Upgrades!$Q$11,J78)*POWER(Upgrades!$Q$12,K78))*(IF(Upgrades!$T$6="Stellar Coupling",POWER(Upgrades!$U$6,E78),1)*IF(Upgrades!$T$7="Stellar Coupling",POWER(Upgrades!$U$7,F78),1)*IF(Upgrades!$T$9="Stellar Coupling",POWER(Upgrades!$U$9,H78),1)*IF(Upgrades!$T$10="Stellar Coupling",POWER(Upgrades!$U$10,I78),1)*IF(Upgrades!$T$11="Stellar Coupling",POWER(Upgrades!$U$11,J78),1)*IF(Upgrades!$T$12="Stellar Coupling",POWER(Upgrades!$U$12,K78),1))*Parameters!$B$10*Parameters!$B$11/60/AI78,0)</f>
        <v>0.00452762415783776</v>
      </c>
      <c r="AV78" s="33" t="n">
        <f aca="false">IFERROR(Upgrades!$H$9*(POWER(Upgrades!$P$6,E78)*POWER(Upgrades!$P$7,F78)*POWER(Upgrades!$P$8,G78)*POWER(Upgrades!$P$9,H78)*POWER(Upgrades!$P$10,I78)*POWER(Upgrades!$P$11,J78)*POWER(Upgrades!$P$12,K78))*(IF(Upgrades!$T$6="Magnetosphere",POWER(Upgrades!$U$6,E78),1)*IF(Upgrades!$T$7="Magnetosphere",POWER(Upgrades!$U$7,F78),1)*IF(Upgrades!$T$8="Magnetosphere",POWER(Upgrades!$U$8,G78),1)*IF(Upgrades!$T$10="Magnetosphere",POWER(Upgrades!$U$10,I78),1)*IF(Upgrades!$T$11="Magnetosphere",POWER(Upgrades!$U$11,J78),1)*IF(Upgrades!$T$12="Magnetosphere",POWER(Upgrades!$U$12,K78),1))/AJ78,0)</f>
        <v>0</v>
      </c>
      <c r="AW78" s="33" t="n">
        <f aca="false">MAX(IF(I78&gt;0,0,IFERROR(0.25*N78/Upgrades!$C$10,0)),IF(J78&gt;0,0,IFERROR(0.5*((IF(G78=0,0,(Upgrades!$J$8+G78*Upgrades!$K$8)*POWER(Upgrades!$L$8,G78)))*(IF(Upgrades!$T$6="Stellar Coupling",POWER(Upgrades!$U$6,E78),1)*IF(Upgrades!$T$7="Stellar Coupling",POWER(Upgrades!$U$7,F78),1)*IF(Upgrades!$T$9="Stellar Coupling",POWER(Upgrades!$U$9,H78),1)*IF(Upgrades!$T$10="Stellar Coupling",POWER(Upgrades!$U$10,I78),1)*IF(Upgrades!$T$11="Stellar Coupling",POWER(Upgrades!$U$11,J78),1)*IF(Upgrades!$T$12="Stellar Coupling",POWER(Upgrades!$U$12,K78),1))*(POWER(Upgrades!$Q$6,E78)*POWER(Upgrades!$Q$7,F78)*POWER(Upgrades!$Q$8,G78)*POWER(Upgrades!$Q$9,H78)*POWER(Upgrades!$Q$10,I78)*POWER(Upgrades!$Q$11,J78)*POWER(Upgrades!$Q$12,K78))*Parameters!$B$10*Parameters!$B$11/60)/Upgrades!$C$11,0)),IF(K78&gt;0,0,IFERROR((1*(POWER(Upgrades!$P$6,E78)*POWER(Upgrades!$P$7,F78)*POWER(Upgrades!$P$8,G78)*POWER(Upgrades!$P$9,H78)*POWER(Upgrades!$P$10,I78)*POWER(Upgrades!$P$11,J78)*POWER(Upgrades!$P$12,K78))+0.2*M78*Parameters!$B$10*Parameters!$B$11/60)/Upgrades!$C$12,0)),IF(AND(ISNUMBER(AG78),AG78&gt;T78),AS78,0),IF(AND(ISNUMBER(AH78),AH78&gt;T78),AT78,0),IF(AND(ISNUMBER(AI78),AI78&gt;T78),AU78,0),IF(AND(ISNUMBER(AJ78),AJ78&gt;T78),AV78,0))</f>
        <v>0.00452762415783776</v>
      </c>
      <c r="AX78" s="29" t="str">
        <f aca="false">IF(AN78=1,"transition",IF(MIN(IF(AND(I78=0,ISNUMBER(AK78),AK78&lt;=T78),AK78,9000000000000000),IF(AND(J78=0,ISNUMBER(AL78),AL78&lt;=T78),AL78,9000000000000000),IF(AND(K78=0,ISNUMBER(AM78),AM78&lt;=T78),AM78,9000000000000000))&lt;9000000000000000,IF(AND(AND(I78=0,ISNUMBER(AK78),AK78&lt;=T78),AK78=MIN(IF(AND(I78=0,ISNUMBER(AK78),AK78&lt;=T78),AK78,9000000000000000),IF(AND(J78=0,ISNUMBER(AL78),AL78&lt;=T78),AL78,9000000000000000),IF(AND(K78=0,ISNUMBER(AM78),AM78&lt;=T78),AM78,9000000000000000))),"OR",IF(AND(AND(J78=0,ISNUMBER(AL78),AL78&lt;=T78),AL78=MIN(IF(AND(I78=0,ISNUMBER(AK78),AK78&lt;=T78),AK78,9000000000000000),IF(AND(J78=0,ISNUMBER(AL78),AL78&lt;=T78),AL78,9000000000000000),IF(AND(K78=0,ISNUMBER(AM78),AM78&lt;=T78),AM78,9000000000000000))),"HP","FP")),IF(AR78=TRUE(),"",IF(MAX(IF(AND(NOT(AND(AO78=1,AN78&lt;&gt;1)),ISNUMBER(AG78),AG78&lt;=T78),AS78,0),IF(AND(NOT(AND(AO78=1,AN78&lt;&gt;1)),ISNUMBER(AH78),AH78&lt;=T78),AT78,0),IF(AND(NOT(AND(AO78=1,AN78&lt;&gt;1)),ISNUMBER(AI78),AI78&lt;=T78),AU78,0),IF(AND(ISNUMBER(AJ78),AJ78&lt;=T78),AV78,0))&lt;=0,"",IF(AND(IF(AND(NOT(AND(AO78=1,AN78&lt;&gt;1)),ISNUMBER(AG78),AG78&lt;=T78),AS78,0)&gt;0,IF(AND(NOT(AND(AO78=1,AN78&lt;&gt;1)),ISNUMBER(AG78),AG78&lt;=T78),AS78,0)=MAX(IF(AND(NOT(AND(AO78=1,AN78&lt;&gt;1)),ISNUMBER(AG78),AG78&lt;=T78),AS78,0),IF(AND(NOT(AND(AO78=1,AN78&lt;&gt;1)),ISNUMBER(AH78),AH78&lt;=T78),AT78,0),IF(AND(NOT(AND(AO78=1,AN78&lt;&gt;1)),ISNUMBER(AI78),AI78&lt;=T78),AU78,0),IF(AND(ISNUMBER(AJ78),AJ78&lt;=T78),AV78,0))),"SW",IF(AND(IF(AND(NOT(AND(AO78=1,AN78&lt;&gt;1)),ISNUMBER(AH78),AH78&lt;=T78),AT78,0)&gt;0,IF(AND(NOT(AND(AO78=1,AN78&lt;&gt;1)),ISNUMBER(AH78),AH78&lt;=T78),AT78,0)=MAX(IF(AND(NOT(AND(AO78=1,AN78&lt;&gt;1)),ISNUMBER(AG78),AG78&lt;=T78),AS78,0),IF(AND(NOT(AND(AO78=1,AN78&lt;&gt;1)),ISNUMBER(AH78),AH78&lt;=T78),AT78,0),IF(AND(NOT(AND(AO78=1,AN78&lt;&gt;1)),ISNUMBER(AI78),AI78&lt;=T78),AU78,0),IF(AND(ISNUMBER(AJ78),AJ78&lt;=T78),AV78,0))),"AB",IF(AND(IF(AND(NOT(AND(AO78=1,AN78&lt;&gt;1)),ISNUMBER(AI78),AI78&lt;=T78),AU78,0)&gt;0,IF(AND(NOT(AND(AO78=1,AN78&lt;&gt;1)),ISNUMBER(AI78),AI78&lt;=T78),AU78,0)=MAX(IF(AND(NOT(AND(AO78=1,AN78&lt;&gt;1)),ISNUMBER(AG78),AG78&lt;=T78),AS78,0),IF(AND(NOT(AND(AO78=1,AN78&lt;&gt;1)),ISNUMBER(AH78),AH78&lt;=T78),AT78,0),IF(AND(NOT(AND(AO78=1,AN78&lt;&gt;1)),ISNUMBER(AI78),AI78&lt;=T78),AU78,0),IF(AND(ISNUMBER(AJ78),AJ78&lt;=T78),AV78,0))),"SC","Mag")))))))</f>
        <v/>
      </c>
    </row>
    <row r="79" customFormat="false" ht="15" hidden="false" customHeight="false" outlineLevel="0" collapsed="false">
      <c r="A79" s="26" t="n">
        <v>74</v>
      </c>
      <c r="B79" s="27" t="n">
        <f aca="false">A79*10/60</f>
        <v>12.3333333333333</v>
      </c>
      <c r="C79" s="21" t="n">
        <f aca="false">X78</f>
        <v>18.6730249835055</v>
      </c>
      <c r="D79" s="27" t="n">
        <f aca="false">D78+W78</f>
        <v>0</v>
      </c>
      <c r="E79" s="26" t="n">
        <f aca="false">E78+IF(U78="SW",1,0)</f>
        <v>12</v>
      </c>
      <c r="F79" s="26" t="n">
        <f aca="false">F78+IF(U78="AB",1,0)</f>
        <v>10</v>
      </c>
      <c r="G79" s="26" t="n">
        <f aca="false">G78+IF(U78="SC",1,0)</f>
        <v>7</v>
      </c>
      <c r="H79" s="26" t="n">
        <f aca="false">H78+IF(U78="Mag",1,0)</f>
        <v>5</v>
      </c>
      <c r="I79" s="26" t="n">
        <f aca="false">MAX(I78,IF(U78="OR",1,0))</f>
        <v>1</v>
      </c>
      <c r="J79" s="26" t="n">
        <f aca="false">MAX(J78,IF(U78="HP",1,0))</f>
        <v>1</v>
      </c>
      <c r="K79" s="26" t="n">
        <f aca="false">MAX(K78,IF(U78="FP",1,0))</f>
        <v>1</v>
      </c>
      <c r="L79" s="26" t="n">
        <f aca="false">MAX(L78,IF(U78="transition",1,0))</f>
        <v>1</v>
      </c>
      <c r="M79" s="28" t="n">
        <f aca="false">(Parameters!$B$9+(IF(E79=0,0,(Upgrades!$J$6+E79*Upgrades!$K$6)*POWER(Upgrades!$L$6,E79)))*(IF(Upgrades!$T$7="Solar Wind",POWER(Upgrades!$U$7,F79),1)*IF(Upgrades!$T$8="Solar Wind",POWER(Upgrades!$U$8,G79),1)*IF(Upgrades!$T$9="Solar Wind",POWER(Upgrades!$U$9,H79),1)*IF(Upgrades!$T$10="Solar Wind",POWER(Upgrades!$U$10,I79),1)*IF(Upgrades!$T$11="Solar Wind",POWER(Upgrades!$U$11,J79),1)*IF(Upgrades!$T$12="Solar Wind",POWER(Upgrades!$U$12,K79),1))+(IF(F79=0,0,(Upgrades!$J$7+F79*Upgrades!$K$7)*POWER(Upgrades!$L$7,F79)))*(IF(Upgrades!$T$6="Asteroid Belt",POWER(Upgrades!$U$6,E79),1)*IF(Upgrades!$T$8="Asteroid Belt",POWER(Upgrades!$U$8,G79),1)*IF(Upgrades!$T$9="Asteroid Belt",POWER(Upgrades!$U$9,H79),1)*IF(Upgrades!$T$10="Asteroid Belt",POWER(Upgrades!$U$10,I79),1)*IF(Upgrades!$T$11="Asteroid Belt",POWER(Upgrades!$U$11,J79),1)*IF(Upgrades!$T$12="Asteroid Belt",POWER(Upgrades!$U$12,K79),1))+(IF(G79=0,0,(Upgrades!$J$8+G79*Upgrades!$K$8)*POWER(Upgrades!$L$8,G79)))*(IF(Upgrades!$T$6="Stellar Coupling",POWER(Upgrades!$U$6,E79),1)*IF(Upgrades!$T$7="Stellar Coupling",POWER(Upgrades!$U$7,F79),1)*IF(Upgrades!$T$9="Stellar Coupling",POWER(Upgrades!$U$9,H79),1)*IF(Upgrades!$T$10="Stellar Coupling",POWER(Upgrades!$U$10,I79),1)*IF(Upgrades!$T$11="Stellar Coupling",POWER(Upgrades!$U$11,J79),1)*IF(Upgrades!$T$12="Stellar Coupling",POWER(Upgrades!$U$12,K79),1))+(IF(H79=0,0,(Upgrades!$J$9+H79*Upgrades!$K$9)*POWER(Upgrades!$L$9,H79)))*(IF(Upgrades!$T$6="Magnetosphere",POWER(Upgrades!$U$6,E79),1)*IF(Upgrades!$T$7="Magnetosphere",POWER(Upgrades!$U$7,F79),1)*IF(Upgrades!$T$8="Magnetosphere",POWER(Upgrades!$U$8,G79),1)*IF(Upgrades!$T$10="Magnetosphere",POWER(Upgrades!$U$10,I79),1)*IF(Upgrades!$T$11="Magnetosphere",POWER(Upgrades!$U$11,J79),1)*IF(Upgrades!$T$12="Magnetosphere",POWER(Upgrades!$U$12,K79),1))+(IF(I79=0,0,(Upgrades!$J$10+I79*Upgrades!$K$10)*POWER(Upgrades!$L$10,I79)))*(IF(Upgrades!$T$6="Orbital Resonance",POWER(Upgrades!$U$6,E79),1)*IF(Upgrades!$T$7="Orbital Resonance",POWER(Upgrades!$U$7,F79),1)*IF(Upgrades!$T$8="Orbital Resonance",POWER(Upgrades!$U$8,G79),1)*IF(Upgrades!$T$9="Orbital Resonance",POWER(Upgrades!$U$9,H79),1)*IF(Upgrades!$T$11="Orbital Resonance",POWER(Upgrades!$U$11,J79),1)*IF(Upgrades!$T$12="Orbital Resonance",POWER(Upgrades!$U$12,K79),1))+(IF(J79=0,0,(Upgrades!$J$11+J79*Upgrades!$K$11)*POWER(Upgrades!$L$11,J79)))*(IF(Upgrades!$T$6="Heliopause",POWER(Upgrades!$U$6,E79),1)*IF(Upgrades!$T$7="Heliopause",POWER(Upgrades!$U$7,F79),1)*IF(Upgrades!$T$8="Heliopause",POWER(Upgrades!$U$8,G79),1)*IF(Upgrades!$T$9="Heliopause",POWER(Upgrades!$U$9,H79),1)*IF(Upgrades!$T$10="Heliopause",POWER(Upgrades!$U$10,I79),1)*IF(Upgrades!$T$12="Heliopause",POWER(Upgrades!$U$12,K79),1))+(IF(K79=0,0,(Upgrades!$J$12+K79*Upgrades!$K$12)*POWER(Upgrades!$L$12,K79)))*(IF(Upgrades!$T$6="First Photons",POWER(Upgrades!$U$6,E79),1)*IF(Upgrades!$T$7="First Photons",POWER(Upgrades!$U$7,F79),1)*IF(Upgrades!$T$8="First Photons",POWER(Upgrades!$U$8,G79),1)*IF(Upgrades!$T$9="First Photons",POWER(Upgrades!$U$9,H79),1)*IF(Upgrades!$T$10="First Photons",POWER(Upgrades!$U$10,I79),1)*IF(Upgrades!$T$11="First Photons",POWER(Upgrades!$U$11,J79),1)))*POWER(Upgrades!$Q$6,E79)*POWER(Upgrades!$Q$7,F79)*POWER(Upgrades!$Q$8,G79)*POWER(Upgrades!$Q$9,H79)*POWER(Upgrades!$Q$10,I79)*POWER(Upgrades!$Q$11,J79)*POWER(Upgrades!$Q$12,K79)</f>
        <v>5.61</v>
      </c>
      <c r="N79" s="28" t="n">
        <f aca="false">((IF(E79=0,0,(Upgrades!$G$6+E79*Upgrades!$H$6)*POWER(Upgrades!$I$6,E79)))*(IF(Upgrades!$T$7="Solar Wind",POWER(Upgrades!$U$7,F79),1)*IF(Upgrades!$T$8="Solar Wind",POWER(Upgrades!$U$8,G79),1)*IF(Upgrades!$T$9="Solar Wind",POWER(Upgrades!$U$9,H79),1)*IF(Upgrades!$T$10="Solar Wind",POWER(Upgrades!$U$10,I79),1)*IF(Upgrades!$T$11="Solar Wind",POWER(Upgrades!$U$11,J79),1)*IF(Upgrades!$T$12="Solar Wind",POWER(Upgrades!$U$12,K79),1))+(IF(F79=0,0,(Upgrades!$G$7+F79*Upgrades!$H$7)*POWER(Upgrades!$I$7,F79)))*(IF(Upgrades!$T$6="Asteroid Belt",POWER(Upgrades!$U$6,E79),1)*IF(Upgrades!$T$8="Asteroid Belt",POWER(Upgrades!$U$8,G79),1)*IF(Upgrades!$T$9="Asteroid Belt",POWER(Upgrades!$U$9,H79),1)*IF(Upgrades!$T$10="Asteroid Belt",POWER(Upgrades!$U$10,I79),1)*IF(Upgrades!$T$11="Asteroid Belt",POWER(Upgrades!$U$11,J79),1)*IF(Upgrades!$T$12="Asteroid Belt",POWER(Upgrades!$U$12,K79),1))+(IF(G79=0,0,(Upgrades!$G$8+G79*Upgrades!$H$8)*POWER(Upgrades!$I$8,G79)))*(IF(Upgrades!$T$6="Stellar Coupling",POWER(Upgrades!$U$6,E79),1)*IF(Upgrades!$T$7="Stellar Coupling",POWER(Upgrades!$U$7,F79),1)*IF(Upgrades!$T$9="Stellar Coupling",POWER(Upgrades!$U$9,H79),1)*IF(Upgrades!$T$10="Stellar Coupling",POWER(Upgrades!$U$10,I79),1)*IF(Upgrades!$T$11="Stellar Coupling",POWER(Upgrades!$U$11,J79),1)*IF(Upgrades!$T$12="Stellar Coupling",POWER(Upgrades!$U$12,K79),1))+(IF(H79=0,0,(Upgrades!$G$9+H79*Upgrades!$H$9)*POWER(Upgrades!$I$9,H79)))*(IF(Upgrades!$T$6="Magnetosphere",POWER(Upgrades!$U$6,E79),1)*IF(Upgrades!$T$7="Magnetosphere",POWER(Upgrades!$U$7,F79),1)*IF(Upgrades!$T$8="Magnetosphere",POWER(Upgrades!$U$8,G79),1)*IF(Upgrades!$T$10="Magnetosphere",POWER(Upgrades!$U$10,I79),1)*IF(Upgrades!$T$11="Magnetosphere",POWER(Upgrades!$U$11,J79),1)*IF(Upgrades!$T$12="Magnetosphere",POWER(Upgrades!$U$12,K79),1))+(IF(I79=0,0,(Upgrades!$G$10+I79*Upgrades!$H$10)*POWER(Upgrades!$I$10,I79)))*(IF(Upgrades!$T$6="Orbital Resonance",POWER(Upgrades!$U$6,E79),1)*IF(Upgrades!$T$7="Orbital Resonance",POWER(Upgrades!$U$7,F79),1)*IF(Upgrades!$T$8="Orbital Resonance",POWER(Upgrades!$U$8,G79),1)*IF(Upgrades!$T$9="Orbital Resonance",POWER(Upgrades!$U$9,H79),1)*IF(Upgrades!$T$11="Orbital Resonance",POWER(Upgrades!$U$11,J79),1)*IF(Upgrades!$T$12="Orbital Resonance",POWER(Upgrades!$U$12,K79),1))+(IF(J79=0,0,(Upgrades!$G$11+J79*Upgrades!$H$11)*POWER(Upgrades!$I$11,J79)))*(IF(Upgrades!$T$6="Heliopause",POWER(Upgrades!$U$6,E79),1)*IF(Upgrades!$T$7="Heliopause",POWER(Upgrades!$U$7,F79),1)*IF(Upgrades!$T$8="Heliopause",POWER(Upgrades!$U$8,G79),1)*IF(Upgrades!$T$9="Heliopause",POWER(Upgrades!$U$9,H79),1)*IF(Upgrades!$T$10="Heliopause",POWER(Upgrades!$U$10,I79),1)*IF(Upgrades!$T$12="Heliopause",POWER(Upgrades!$U$12,K79),1))+(IF(K79=0,0,(Upgrades!$G$12+K79*Upgrades!$H$12)*POWER(Upgrades!$I$12,K79)))*(IF(Upgrades!$T$6="First Photons",POWER(Upgrades!$U$6,E79),1)*IF(Upgrades!$T$7="First Photons",POWER(Upgrades!$U$7,F79),1)*IF(Upgrades!$T$8="First Photons",POWER(Upgrades!$U$8,G79),1)*IF(Upgrades!$T$9="First Photons",POWER(Upgrades!$U$9,H79),1)*IF(Upgrades!$T$10="First Photons",POWER(Upgrades!$U$10,I79),1)*IF(Upgrades!$T$11="First Photons",POWER(Upgrades!$U$11,J79),1)))*POWER(Upgrades!$P$6,E79)*POWER(Upgrades!$P$7,F79)*POWER(Upgrades!$P$8,G79)*POWER(Upgrades!$P$9,H79)*POWER(Upgrades!$P$10,I79)*POWER(Upgrades!$P$11,J79)*POWER(Upgrades!$P$12,K79)</f>
        <v>11.2</v>
      </c>
      <c r="O79" s="28" t="n">
        <f aca="false">((IF(E79=0,0,(Upgrades!$M$6+E79*Upgrades!$N$6)*POWER(Upgrades!$O$6,E79)))*(IF(Upgrades!$T$7="Solar Wind",POWER(Upgrades!$U$7,F79),1)*IF(Upgrades!$T$8="Solar Wind",POWER(Upgrades!$U$8,G79),1)*IF(Upgrades!$T$9="Solar Wind",POWER(Upgrades!$U$9,H79),1)*IF(Upgrades!$T$10="Solar Wind",POWER(Upgrades!$U$10,I79),1)*IF(Upgrades!$T$11="Solar Wind",POWER(Upgrades!$U$11,J79),1)*IF(Upgrades!$T$12="Solar Wind",POWER(Upgrades!$U$12,K79),1))+(IF(F79=0,0,(Upgrades!$M$7+F79*Upgrades!$N$7)*POWER(Upgrades!$O$7,F79)))*(IF(Upgrades!$T$6="Asteroid Belt",POWER(Upgrades!$U$6,E79),1)*IF(Upgrades!$T$8="Asteroid Belt",POWER(Upgrades!$U$8,G79),1)*IF(Upgrades!$T$9="Asteroid Belt",POWER(Upgrades!$U$9,H79),1)*IF(Upgrades!$T$10="Asteroid Belt",POWER(Upgrades!$U$10,I79),1)*IF(Upgrades!$T$11="Asteroid Belt",POWER(Upgrades!$U$11,J79),1)*IF(Upgrades!$T$12="Asteroid Belt",POWER(Upgrades!$U$12,K79),1))+(IF(G79=0,0,(Upgrades!$M$8+G79*Upgrades!$N$8)*POWER(Upgrades!$O$8,G79)))*(IF(Upgrades!$T$6="Stellar Coupling",POWER(Upgrades!$U$6,E79),1)*IF(Upgrades!$T$7="Stellar Coupling",POWER(Upgrades!$U$7,F79),1)*IF(Upgrades!$T$9="Stellar Coupling",POWER(Upgrades!$U$9,H79),1)*IF(Upgrades!$T$10="Stellar Coupling",POWER(Upgrades!$U$10,I79),1)*IF(Upgrades!$T$11="Stellar Coupling",POWER(Upgrades!$U$11,J79),1)*IF(Upgrades!$T$12="Stellar Coupling",POWER(Upgrades!$U$12,K79),1))+(IF(H79=0,0,(Upgrades!$M$9+H79*Upgrades!$N$9)*POWER(Upgrades!$O$9,H79)))*(IF(Upgrades!$T$6="Magnetosphere",POWER(Upgrades!$U$6,E79),1)*IF(Upgrades!$T$7="Magnetosphere",POWER(Upgrades!$U$7,F79),1)*IF(Upgrades!$T$8="Magnetosphere",POWER(Upgrades!$U$8,G79),1)*IF(Upgrades!$T$10="Magnetosphere",POWER(Upgrades!$U$10,I79),1)*IF(Upgrades!$T$11="Magnetosphere",POWER(Upgrades!$U$11,J79),1)*IF(Upgrades!$T$12="Magnetosphere",POWER(Upgrades!$U$12,K79),1))+(IF(I79=0,0,(Upgrades!$M$10+I79*Upgrades!$N$10)*POWER(Upgrades!$O$10,I79)))*(IF(Upgrades!$T$6="Orbital Resonance",POWER(Upgrades!$U$6,E79),1)*IF(Upgrades!$T$7="Orbital Resonance",POWER(Upgrades!$U$7,F79),1)*IF(Upgrades!$T$8="Orbital Resonance",POWER(Upgrades!$U$8,G79),1)*IF(Upgrades!$T$9="Orbital Resonance",POWER(Upgrades!$U$9,H79),1)*IF(Upgrades!$T$11="Orbital Resonance",POWER(Upgrades!$U$11,J79),1)*IF(Upgrades!$T$12="Orbital Resonance",POWER(Upgrades!$U$12,K79),1))+(IF(J79=0,0,(Upgrades!$M$11+J79*Upgrades!$N$11)*POWER(Upgrades!$O$11,J79)))*(IF(Upgrades!$T$6="Heliopause",POWER(Upgrades!$U$6,E79),1)*IF(Upgrades!$T$7="Heliopause",POWER(Upgrades!$U$7,F79),1)*IF(Upgrades!$T$8="Heliopause",POWER(Upgrades!$U$8,G79),1)*IF(Upgrades!$T$9="Heliopause",POWER(Upgrades!$U$9,H79),1)*IF(Upgrades!$T$10="Heliopause",POWER(Upgrades!$U$10,I79),1)*IF(Upgrades!$T$12="Heliopause",POWER(Upgrades!$U$12,K79),1))+(IF(K79=0,0,(Upgrades!$M$12+K79*Upgrades!$N$12)*POWER(Upgrades!$O$12,K79)))*(IF(Upgrades!$T$6="First Photons",POWER(Upgrades!$U$6,E79),1)*IF(Upgrades!$T$7="First Photons",POWER(Upgrades!$U$7,F79),1)*IF(Upgrades!$T$8="First Photons",POWER(Upgrades!$U$8,G79),1)*IF(Upgrades!$T$9="First Photons",POWER(Upgrades!$U$9,H79),1)*IF(Upgrades!$T$10="First Photons",POWER(Upgrades!$U$10,I79),1)*IF(Upgrades!$T$11="First Photons",POWER(Upgrades!$U$11,J79),1)))*POWER(Upgrades!$R$6,E79)*POWER(Upgrades!$R$7,F79)*POWER(Upgrades!$R$8,G79)*POWER(Upgrades!$R$9,H79)*POWER(Upgrades!$R$10,I79)*POWER(Upgrades!$R$11,J79)*POWER(Upgrades!$R$12,K79)</f>
        <v>0</v>
      </c>
      <c r="P79" s="27" t="n">
        <f aca="false">IF(L79=1,0,M79*Parameters!$B$10/60*Parameters!$B$11*10)</f>
        <v>0</v>
      </c>
      <c r="Q79" s="27" t="n">
        <f aca="false">IF(L79=1,0,O79*M79*10)</f>
        <v>0</v>
      </c>
      <c r="R79" s="27" t="n">
        <f aca="false">IF(L79=1,0,N79*10)</f>
        <v>0</v>
      </c>
      <c r="S79" s="27" t="n">
        <f aca="false">P79+Q79+R79</f>
        <v>0</v>
      </c>
      <c r="T79" s="21" t="n">
        <f aca="false">C79+S79</f>
        <v>18.6730249835055</v>
      </c>
      <c r="U79" s="34" t="str">
        <f aca="false">AX79</f>
        <v/>
      </c>
      <c r="V79" s="21" t="n">
        <f aca="false">IF(U79="",0,IF(U79="transition",0,IF(U79="SW",AG79,IF(U79="AB",AH79,IF(U79="SC",AI79,IF(U79="Mag",AJ79,IF(U79="OR",AK79,IF(U79="HP",AL79,IF(U79="FP",AM79,0)))))))))</f>
        <v>0</v>
      </c>
      <c r="W79" s="27" t="n">
        <f aca="false">IF(U79="OR",Upgrades!$F$10,IF(U79="HP",Upgrades!$F$11,IF(U79="transition",-Parameters!$B$18,0)))</f>
        <v>0</v>
      </c>
      <c r="X79" s="21" t="n">
        <f aca="false">T79-V79</f>
        <v>18.6730249835055</v>
      </c>
      <c r="Y79" s="30" t="n">
        <f aca="false">M79*Parameters!$B$10/60*Parameters!$B$11+O79*M79+N79</f>
        <v>20.55</v>
      </c>
      <c r="Z79" s="35" t="str">
        <f aca="false">IF(U79="transition","→ Tier 2 (Stellar Neighborhood)",IF(U79="FP","First Photons — light begins, system quickens",IF(U79="HP","Heliopause acquired",IF(U79="OR","Orbital Resonance — passive multiplier active",IF(AND(AO79=1,L79=0,AN79&lt;&gt;1),"Cohesion ready (waiting on completionist upgrades)","")))))</f>
        <v/>
      </c>
      <c r="AA79" s="27" t="n">
        <f aca="false">(IF(E79=0,0,(Upgrades!$G$6+E79*Upgrades!$H$6)*POWER(Upgrades!$I$6,E79)))*(IF(Upgrades!$T$7="Solar Wind",POWER(Upgrades!$U$7,F79),1)*IF(Upgrades!$T$8="Solar Wind",POWER(Upgrades!$U$8,G79),1)*IF(Upgrades!$T$9="Solar Wind",POWER(Upgrades!$U$9,H79),1)*IF(Upgrades!$T$10="Solar Wind",POWER(Upgrades!$U$10,I79),1)*IF(Upgrades!$T$11="Solar Wind",POWER(Upgrades!$U$11,J79),1)*IF(Upgrades!$T$12="Solar Wind",POWER(Upgrades!$U$12,K79),1))*POWER(Upgrades!$P$6,E79)*POWER(Upgrades!$P$7,F79)*POWER(Upgrades!$P$8,G79)*POWER(Upgrades!$P$9,H79)*POWER(Upgrades!$P$10,I79)*POWER(Upgrades!$P$11,J79)*POWER(Upgrades!$P$12,K79)*60</f>
        <v>72</v>
      </c>
      <c r="AB79" s="27" t="n">
        <f aca="false">(IF(F79=0,0,(Upgrades!$G$7+F79*Upgrades!$H$7)*POWER(Upgrades!$I$7,F79)))*(IF(Upgrades!$T$6="Asteroid Belt",POWER(Upgrades!$U$6,E79),1)*IF(Upgrades!$T$8="Asteroid Belt",POWER(Upgrades!$U$8,G79),1)*IF(Upgrades!$T$9="Asteroid Belt",POWER(Upgrades!$U$9,H79),1)*IF(Upgrades!$T$10="Asteroid Belt",POWER(Upgrades!$U$10,I79),1)*IF(Upgrades!$T$11="Asteroid Belt",POWER(Upgrades!$U$11,J79),1)*IF(Upgrades!$T$12="Asteroid Belt",POWER(Upgrades!$U$12,K79),1))*POWER(Upgrades!$P$6,E79)*POWER(Upgrades!$P$7,F79)*POWER(Upgrades!$P$8,G79)*POWER(Upgrades!$P$9,H79)*POWER(Upgrades!$P$10,I79)*POWER(Upgrades!$P$11,J79)*POWER(Upgrades!$P$12,K79)*60</f>
        <v>150</v>
      </c>
      <c r="AC79" s="27" t="n">
        <f aca="false">(IF(G79=0,0,(Upgrades!$J$8+G79*Upgrades!$K$8)*POWER(Upgrades!$L$8,G79)))*(IF(Upgrades!$T$6="Stellar Coupling",POWER(Upgrades!$U$6,E79),1)*IF(Upgrades!$T$7="Stellar Coupling",POWER(Upgrades!$U$7,F79),1)*IF(Upgrades!$T$9="Stellar Coupling",POWER(Upgrades!$U$9,H79),1)*IF(Upgrades!$T$10="Stellar Coupling",POWER(Upgrades!$U$10,I79),1)*IF(Upgrades!$T$11="Stellar Coupling",POWER(Upgrades!$U$11,J79),1)*IF(Upgrades!$T$12="Stellar Coupling",POWER(Upgrades!$U$12,K79),1))*POWER(Upgrades!$Q$6,E79)*POWER(Upgrades!$Q$7,F79)*POWER(Upgrades!$Q$8,G79)*POWER(Upgrades!$Q$9,H79)*POWER(Upgrades!$Q$10,I79)*POWER(Upgrades!$Q$11,J79)*POWER(Upgrades!$Q$12,K79)*Parameters!$B$10*Parameters!$B$11</f>
        <v>441</v>
      </c>
      <c r="AD79" s="27" t="n">
        <f aca="false">(IF(H79=0,0,(Upgrades!$G$9+H79*Upgrades!$H$9)*POWER(Upgrades!$I$9,H79)))*(IF(Upgrades!$T$6="Magnetosphere",POWER(Upgrades!$U$6,E79),1)*IF(Upgrades!$T$7="Magnetosphere",POWER(Upgrades!$U$7,F79),1)*IF(Upgrades!$T$8="Magnetosphere",POWER(Upgrades!$U$8,G79),1)*IF(Upgrades!$T$10="Magnetosphere",POWER(Upgrades!$U$10,I79),1)*IF(Upgrades!$T$11="Magnetosphere",POWER(Upgrades!$U$11,J79),1)*IF(Upgrades!$T$12="Magnetosphere",POWER(Upgrades!$U$12,K79),1))*POWER(Upgrades!$P$6,E79)*POWER(Upgrades!$P$7,F79)*POWER(Upgrades!$P$8,G79)*POWER(Upgrades!$P$9,H79)*POWER(Upgrades!$P$10,I79)*POWER(Upgrades!$P$11,J79)*POWER(Upgrades!$P$12,K79)*60</f>
        <v>375</v>
      </c>
      <c r="AE79" s="27" t="n">
        <f aca="false">(IF(K79=0,0,(Upgrades!$G$12+K79*Upgrades!$H$12)*POWER(Upgrades!$I$12,K79)))*(IF(Upgrades!$T$6="First Photons",POWER(Upgrades!$U$6,E79),1)*IF(Upgrades!$T$7="First Photons",POWER(Upgrades!$U$7,F79),1)*IF(Upgrades!$T$8="First Photons",POWER(Upgrades!$U$8,G79),1)*IF(Upgrades!$T$9="First Photons",POWER(Upgrades!$U$9,H79),1)*IF(Upgrades!$T$10="First Photons",POWER(Upgrades!$U$10,I79),1)*IF(Upgrades!$T$11="First Photons",POWER(Upgrades!$U$11,J79),1))*POWER(Upgrades!$P$6,E79)*POWER(Upgrades!$P$7,F79)*POWER(Upgrades!$P$8,G79)*POWER(Upgrades!$P$9,H79)*POWER(Upgrades!$P$10,I79)*POWER(Upgrades!$P$11,J79)*POWER(Upgrades!$P$12,K79)*60</f>
        <v>75</v>
      </c>
      <c r="AF79" s="27" t="n">
        <f aca="false">Parameters!$B$9*POWER(Upgrades!$Q$6,E79)*POWER(Upgrades!$Q$7,F79)*POWER(Upgrades!$Q$8,G79)*POWER(Upgrades!$Q$9,H79)*POWER(Upgrades!$Q$10,I79)*POWER(Upgrades!$Q$11,J79)*POWER(Upgrades!$Q$12,K79)*(Parameters!$B$10*Parameters!$B$11+O79*60)</f>
        <v>120</v>
      </c>
      <c r="AG79" s="21" t="n">
        <f aca="false">IF(E79&gt;=Upgrades!$E$6,"",Upgrades!$C$6*POWER(Upgrades!$D$6,E79))</f>
        <v>37.4517507383159</v>
      </c>
      <c r="AH79" s="21" t="n">
        <f aca="false">IF(F79&gt;=Upgrades!$E$7,"",Upgrades!$C$7*POWER(Upgrades!$D$7,F79))</f>
        <v>80.9111547141581</v>
      </c>
      <c r="AI79" s="21" t="n">
        <f aca="false">IF(G79&gt;=Upgrades!$E$8,"",Upgrades!$C$8*POWER(Upgrades!$D$8,G79))</f>
        <v>231.9097088</v>
      </c>
      <c r="AJ79" s="21" t="str">
        <f aca="false">IF(H79&gt;=Upgrades!$E$9,"",Upgrades!$C$9*POWER(Upgrades!$D$9,H79))</f>
        <v/>
      </c>
      <c r="AK79" s="21" t="str">
        <f aca="false">IF(I79&gt;=Upgrades!$E$10,"",Upgrades!$C$10*POWER(Upgrades!$D$10,I79))</f>
        <v/>
      </c>
      <c r="AL79" s="21" t="str">
        <f aca="false">IF(J79&gt;=Upgrades!$E$11,"",Upgrades!$C$11*POWER(Upgrades!$D$11,J79))</f>
        <v/>
      </c>
      <c r="AM79" s="21" t="str">
        <f aca="false">IF(K79&gt;=Upgrades!$E$12,"",Upgrades!$C$12*POWER(Upgrades!$D$12,K79))</f>
        <v/>
      </c>
      <c r="AN79" s="26" t="str">
        <f aca="false">IF(AND(D79&gt;=Parameters!$B$18,(H79&gt;=Upgrades!$E$9)*(K79&gt;=Upgrades!$E$12)=1,L79=0),1,"")</f>
        <v/>
      </c>
      <c r="AO79" s="26" t="str">
        <f aca="false">IF(AND(D79&gt;=Parameters!$B$18,L79=0),1,"")</f>
        <v/>
      </c>
      <c r="AP79" s="21" t="n">
        <f aca="false">MIN(IF(ISNUMBER(AK79),AK79,9000000000000000),IF(ISNUMBER(AL79),AL79,9000000000000000),IF(ISNUMBER(AM79),AM79,9000000000000000))</f>
        <v>9000000000000000</v>
      </c>
      <c r="AQ79" s="21" t="n">
        <f aca="false">MIN(IF(ISNUMBER(AG79),AG79,9000000000000000),IF(ISNUMBER(AH79),AH79,9000000000000000),IF(ISNUMBER(AI79),AI79,9000000000000000),IF(ISNUMBER(AJ79),AJ79,9000000000000000))</f>
        <v>37.4517507383159</v>
      </c>
      <c r="AR79" s="32" t="b">
        <f aca="false">IF(AW79&gt;Parameters!$B$21*(MAX(IF(AND(NOT(AND(AO79=1,AN79&lt;&gt;1)),ISNUMBER(AG79),AG79&lt;=T79),AS79,0),IF(AND(NOT(AND(AO79=1,AN79&lt;&gt;1)),ISNUMBER(AH79),AH79&lt;=T79),AT79,0),IF(AND(NOT(AND(AO79=1,AN79&lt;&gt;1)),ISNUMBER(AI79),AI79&lt;=T79),AU79,0),IF(AND(ISNUMBER(AJ79),AJ79&lt;=T79),AV79,0))),TRUE(),FALSE())</f>
        <v>1</v>
      </c>
      <c r="AS79" s="33" t="n">
        <f aca="false">IFERROR(Upgrades!$H$6*(POWER(Upgrades!$P$6,E79)*POWER(Upgrades!$P$7,F79)*POWER(Upgrades!$P$8,G79)*POWER(Upgrades!$P$9,H79)*POWER(Upgrades!$P$10,I79)*POWER(Upgrades!$P$11,J79)*POWER(Upgrades!$P$12,K79))*(IF(Upgrades!$T$7="Solar Wind",POWER(Upgrades!$U$7,F79),1)*IF(Upgrades!$T$8="Solar Wind",POWER(Upgrades!$U$8,G79),1)*IF(Upgrades!$T$9="Solar Wind",POWER(Upgrades!$U$9,H79),1)*IF(Upgrades!$T$10="Solar Wind",POWER(Upgrades!$U$10,I79),1)*IF(Upgrades!$T$11="Solar Wind",POWER(Upgrades!$U$11,J79),1)*IF(Upgrades!$T$12="Solar Wind",POWER(Upgrades!$U$12,K79),1))/AG79,0)</f>
        <v>0.0026701021455238</v>
      </c>
      <c r="AT79" s="33" t="n">
        <f aca="false">IFERROR(Upgrades!$H$7*(POWER(Upgrades!$P$6,E79)*POWER(Upgrades!$P$7,F79)*POWER(Upgrades!$P$8,G79)*POWER(Upgrades!$P$9,H79)*POWER(Upgrades!$P$10,I79)*POWER(Upgrades!$P$11,J79)*POWER(Upgrades!$P$12,K79))*(IF(Upgrades!$T$6="Asteroid Belt",POWER(Upgrades!$U$6,E79),1)*IF(Upgrades!$T$8="Asteroid Belt",POWER(Upgrades!$U$8,G79),1)*IF(Upgrades!$T$9="Asteroid Belt",POWER(Upgrades!$U$9,H79),1)*IF(Upgrades!$T$10="Asteroid Belt",POWER(Upgrades!$U$10,I79),1)*IF(Upgrades!$T$11="Asteroid Belt",POWER(Upgrades!$U$11,J79),1)*IF(Upgrades!$T$12="Asteroid Belt",POWER(Upgrades!$U$12,K79),1))/AH79,0)</f>
        <v>0.00308980882652332</v>
      </c>
      <c r="AU79" s="33" t="n">
        <f aca="false">IFERROR(Upgrades!$K$8*(POWER(Upgrades!$Q$6,E79)*POWER(Upgrades!$Q$7,F79)*POWER(Upgrades!$Q$8,G79)*POWER(Upgrades!$Q$9,H79)*POWER(Upgrades!$Q$10,I79)*POWER(Upgrades!$Q$11,J79)*POWER(Upgrades!$Q$12,K79))*(IF(Upgrades!$T$6="Stellar Coupling",POWER(Upgrades!$U$6,E79),1)*IF(Upgrades!$T$7="Stellar Coupling",POWER(Upgrades!$U$7,F79),1)*IF(Upgrades!$T$9="Stellar Coupling",POWER(Upgrades!$U$9,H79),1)*IF(Upgrades!$T$10="Stellar Coupling",POWER(Upgrades!$U$10,I79),1)*IF(Upgrades!$T$11="Stellar Coupling",POWER(Upgrades!$U$11,J79),1)*IF(Upgrades!$T$12="Stellar Coupling",POWER(Upgrades!$U$12,K79),1))*Parameters!$B$10*Parameters!$B$11/60/AI79,0)</f>
        <v>0.00452762415783776</v>
      </c>
      <c r="AV79" s="33" t="n">
        <f aca="false">IFERROR(Upgrades!$H$9*(POWER(Upgrades!$P$6,E79)*POWER(Upgrades!$P$7,F79)*POWER(Upgrades!$P$8,G79)*POWER(Upgrades!$P$9,H79)*POWER(Upgrades!$P$10,I79)*POWER(Upgrades!$P$11,J79)*POWER(Upgrades!$P$12,K79))*(IF(Upgrades!$T$6="Magnetosphere",POWER(Upgrades!$U$6,E79),1)*IF(Upgrades!$T$7="Magnetosphere",POWER(Upgrades!$U$7,F79),1)*IF(Upgrades!$T$8="Magnetosphere",POWER(Upgrades!$U$8,G79),1)*IF(Upgrades!$T$10="Magnetosphere",POWER(Upgrades!$U$10,I79),1)*IF(Upgrades!$T$11="Magnetosphere",POWER(Upgrades!$U$11,J79),1)*IF(Upgrades!$T$12="Magnetosphere",POWER(Upgrades!$U$12,K79),1))/AJ79,0)</f>
        <v>0</v>
      </c>
      <c r="AW79" s="33" t="n">
        <f aca="false">MAX(IF(I79&gt;0,0,IFERROR(0.25*N79/Upgrades!$C$10,0)),IF(J79&gt;0,0,IFERROR(0.5*((IF(G79=0,0,(Upgrades!$J$8+G79*Upgrades!$K$8)*POWER(Upgrades!$L$8,G79)))*(IF(Upgrades!$T$6="Stellar Coupling",POWER(Upgrades!$U$6,E79),1)*IF(Upgrades!$T$7="Stellar Coupling",POWER(Upgrades!$U$7,F79),1)*IF(Upgrades!$T$9="Stellar Coupling",POWER(Upgrades!$U$9,H79),1)*IF(Upgrades!$T$10="Stellar Coupling",POWER(Upgrades!$U$10,I79),1)*IF(Upgrades!$T$11="Stellar Coupling",POWER(Upgrades!$U$11,J79),1)*IF(Upgrades!$T$12="Stellar Coupling",POWER(Upgrades!$U$12,K79),1))*(POWER(Upgrades!$Q$6,E79)*POWER(Upgrades!$Q$7,F79)*POWER(Upgrades!$Q$8,G79)*POWER(Upgrades!$Q$9,H79)*POWER(Upgrades!$Q$10,I79)*POWER(Upgrades!$Q$11,J79)*POWER(Upgrades!$Q$12,K79))*Parameters!$B$10*Parameters!$B$11/60)/Upgrades!$C$11,0)),IF(K79&gt;0,0,IFERROR((1*(POWER(Upgrades!$P$6,E79)*POWER(Upgrades!$P$7,F79)*POWER(Upgrades!$P$8,G79)*POWER(Upgrades!$P$9,H79)*POWER(Upgrades!$P$10,I79)*POWER(Upgrades!$P$11,J79)*POWER(Upgrades!$P$12,K79))+0.2*M79*Parameters!$B$10*Parameters!$B$11/60)/Upgrades!$C$12,0)),IF(AND(ISNUMBER(AG79),AG79&gt;T79),AS79,0),IF(AND(ISNUMBER(AH79),AH79&gt;T79),AT79,0),IF(AND(ISNUMBER(AI79),AI79&gt;T79),AU79,0),IF(AND(ISNUMBER(AJ79),AJ79&gt;T79),AV79,0))</f>
        <v>0.00452762415783776</v>
      </c>
      <c r="AX79" s="29" t="str">
        <f aca="false">IF(AN79=1,"transition",IF(MIN(IF(AND(I79=0,ISNUMBER(AK79),AK79&lt;=T79),AK79,9000000000000000),IF(AND(J79=0,ISNUMBER(AL79),AL79&lt;=T79),AL79,9000000000000000),IF(AND(K79=0,ISNUMBER(AM79),AM79&lt;=T79),AM79,9000000000000000))&lt;9000000000000000,IF(AND(AND(I79=0,ISNUMBER(AK79),AK79&lt;=T79),AK79=MIN(IF(AND(I79=0,ISNUMBER(AK79),AK79&lt;=T79),AK79,9000000000000000),IF(AND(J79=0,ISNUMBER(AL79),AL79&lt;=T79),AL79,9000000000000000),IF(AND(K79=0,ISNUMBER(AM79),AM79&lt;=T79),AM79,9000000000000000))),"OR",IF(AND(AND(J79=0,ISNUMBER(AL79),AL79&lt;=T79),AL79=MIN(IF(AND(I79=0,ISNUMBER(AK79),AK79&lt;=T79),AK79,9000000000000000),IF(AND(J79=0,ISNUMBER(AL79),AL79&lt;=T79),AL79,9000000000000000),IF(AND(K79=0,ISNUMBER(AM79),AM79&lt;=T79),AM79,9000000000000000))),"HP","FP")),IF(AR79=TRUE(),"",IF(MAX(IF(AND(NOT(AND(AO79=1,AN79&lt;&gt;1)),ISNUMBER(AG79),AG79&lt;=T79),AS79,0),IF(AND(NOT(AND(AO79=1,AN79&lt;&gt;1)),ISNUMBER(AH79),AH79&lt;=T79),AT79,0),IF(AND(NOT(AND(AO79=1,AN79&lt;&gt;1)),ISNUMBER(AI79),AI79&lt;=T79),AU79,0),IF(AND(ISNUMBER(AJ79),AJ79&lt;=T79),AV79,0))&lt;=0,"",IF(AND(IF(AND(NOT(AND(AO79=1,AN79&lt;&gt;1)),ISNUMBER(AG79),AG79&lt;=T79),AS79,0)&gt;0,IF(AND(NOT(AND(AO79=1,AN79&lt;&gt;1)),ISNUMBER(AG79),AG79&lt;=T79),AS79,0)=MAX(IF(AND(NOT(AND(AO79=1,AN79&lt;&gt;1)),ISNUMBER(AG79),AG79&lt;=T79),AS79,0),IF(AND(NOT(AND(AO79=1,AN79&lt;&gt;1)),ISNUMBER(AH79),AH79&lt;=T79),AT79,0),IF(AND(NOT(AND(AO79=1,AN79&lt;&gt;1)),ISNUMBER(AI79),AI79&lt;=T79),AU79,0),IF(AND(ISNUMBER(AJ79),AJ79&lt;=T79),AV79,0))),"SW",IF(AND(IF(AND(NOT(AND(AO79=1,AN79&lt;&gt;1)),ISNUMBER(AH79),AH79&lt;=T79),AT79,0)&gt;0,IF(AND(NOT(AND(AO79=1,AN79&lt;&gt;1)),ISNUMBER(AH79),AH79&lt;=T79),AT79,0)=MAX(IF(AND(NOT(AND(AO79=1,AN79&lt;&gt;1)),ISNUMBER(AG79),AG79&lt;=T79),AS79,0),IF(AND(NOT(AND(AO79=1,AN79&lt;&gt;1)),ISNUMBER(AH79),AH79&lt;=T79),AT79,0),IF(AND(NOT(AND(AO79=1,AN79&lt;&gt;1)),ISNUMBER(AI79),AI79&lt;=T79),AU79,0),IF(AND(ISNUMBER(AJ79),AJ79&lt;=T79),AV79,0))),"AB",IF(AND(IF(AND(NOT(AND(AO79=1,AN79&lt;&gt;1)),ISNUMBER(AI79),AI79&lt;=T79),AU79,0)&gt;0,IF(AND(NOT(AND(AO79=1,AN79&lt;&gt;1)),ISNUMBER(AI79),AI79&lt;=T79),AU79,0)=MAX(IF(AND(NOT(AND(AO79=1,AN79&lt;&gt;1)),ISNUMBER(AG79),AG79&lt;=T79),AS79,0),IF(AND(NOT(AND(AO79=1,AN79&lt;&gt;1)),ISNUMBER(AH79),AH79&lt;=T79),AT79,0),IF(AND(NOT(AND(AO79=1,AN79&lt;&gt;1)),ISNUMBER(AI79),AI79&lt;=T79),AU79,0),IF(AND(ISNUMBER(AJ79),AJ79&lt;=T79),AV79,0))),"SC","Mag")))))))</f>
        <v/>
      </c>
    </row>
    <row r="80" customFormat="false" ht="15" hidden="false" customHeight="false" outlineLevel="0" collapsed="false">
      <c r="A80" s="26" t="n">
        <v>75</v>
      </c>
      <c r="B80" s="27" t="n">
        <f aca="false">A80*10/60</f>
        <v>12.5</v>
      </c>
      <c r="C80" s="21" t="n">
        <f aca="false">X79</f>
        <v>18.6730249835055</v>
      </c>
      <c r="D80" s="27" t="n">
        <f aca="false">D79+W79</f>
        <v>0</v>
      </c>
      <c r="E80" s="26" t="n">
        <f aca="false">E79+IF(U79="SW",1,0)</f>
        <v>12</v>
      </c>
      <c r="F80" s="26" t="n">
        <f aca="false">F79+IF(U79="AB",1,0)</f>
        <v>10</v>
      </c>
      <c r="G80" s="26" t="n">
        <f aca="false">G79+IF(U79="SC",1,0)</f>
        <v>7</v>
      </c>
      <c r="H80" s="26" t="n">
        <f aca="false">H79+IF(U79="Mag",1,0)</f>
        <v>5</v>
      </c>
      <c r="I80" s="26" t="n">
        <f aca="false">MAX(I79,IF(U79="OR",1,0))</f>
        <v>1</v>
      </c>
      <c r="J80" s="26" t="n">
        <f aca="false">MAX(J79,IF(U79="HP",1,0))</f>
        <v>1</v>
      </c>
      <c r="K80" s="26" t="n">
        <f aca="false">MAX(K79,IF(U79="FP",1,0))</f>
        <v>1</v>
      </c>
      <c r="L80" s="26" t="n">
        <f aca="false">MAX(L79,IF(U79="transition",1,0))</f>
        <v>1</v>
      </c>
      <c r="M80" s="28" t="n">
        <f aca="false">(Parameters!$B$9+(IF(E80=0,0,(Upgrades!$J$6+E80*Upgrades!$K$6)*POWER(Upgrades!$L$6,E80)))*(IF(Upgrades!$T$7="Solar Wind",POWER(Upgrades!$U$7,F80),1)*IF(Upgrades!$T$8="Solar Wind",POWER(Upgrades!$U$8,G80),1)*IF(Upgrades!$T$9="Solar Wind",POWER(Upgrades!$U$9,H80),1)*IF(Upgrades!$T$10="Solar Wind",POWER(Upgrades!$U$10,I80),1)*IF(Upgrades!$T$11="Solar Wind",POWER(Upgrades!$U$11,J80),1)*IF(Upgrades!$T$12="Solar Wind",POWER(Upgrades!$U$12,K80),1))+(IF(F80=0,0,(Upgrades!$J$7+F80*Upgrades!$K$7)*POWER(Upgrades!$L$7,F80)))*(IF(Upgrades!$T$6="Asteroid Belt",POWER(Upgrades!$U$6,E80),1)*IF(Upgrades!$T$8="Asteroid Belt",POWER(Upgrades!$U$8,G80),1)*IF(Upgrades!$T$9="Asteroid Belt",POWER(Upgrades!$U$9,H80),1)*IF(Upgrades!$T$10="Asteroid Belt",POWER(Upgrades!$U$10,I80),1)*IF(Upgrades!$T$11="Asteroid Belt",POWER(Upgrades!$U$11,J80),1)*IF(Upgrades!$T$12="Asteroid Belt",POWER(Upgrades!$U$12,K80),1))+(IF(G80=0,0,(Upgrades!$J$8+G80*Upgrades!$K$8)*POWER(Upgrades!$L$8,G80)))*(IF(Upgrades!$T$6="Stellar Coupling",POWER(Upgrades!$U$6,E80),1)*IF(Upgrades!$T$7="Stellar Coupling",POWER(Upgrades!$U$7,F80),1)*IF(Upgrades!$T$9="Stellar Coupling",POWER(Upgrades!$U$9,H80),1)*IF(Upgrades!$T$10="Stellar Coupling",POWER(Upgrades!$U$10,I80),1)*IF(Upgrades!$T$11="Stellar Coupling",POWER(Upgrades!$U$11,J80),1)*IF(Upgrades!$T$12="Stellar Coupling",POWER(Upgrades!$U$12,K80),1))+(IF(H80=0,0,(Upgrades!$J$9+H80*Upgrades!$K$9)*POWER(Upgrades!$L$9,H80)))*(IF(Upgrades!$T$6="Magnetosphere",POWER(Upgrades!$U$6,E80),1)*IF(Upgrades!$T$7="Magnetosphere",POWER(Upgrades!$U$7,F80),1)*IF(Upgrades!$T$8="Magnetosphere",POWER(Upgrades!$U$8,G80),1)*IF(Upgrades!$T$10="Magnetosphere",POWER(Upgrades!$U$10,I80),1)*IF(Upgrades!$T$11="Magnetosphere",POWER(Upgrades!$U$11,J80),1)*IF(Upgrades!$T$12="Magnetosphere",POWER(Upgrades!$U$12,K80),1))+(IF(I80=0,0,(Upgrades!$J$10+I80*Upgrades!$K$10)*POWER(Upgrades!$L$10,I80)))*(IF(Upgrades!$T$6="Orbital Resonance",POWER(Upgrades!$U$6,E80),1)*IF(Upgrades!$T$7="Orbital Resonance",POWER(Upgrades!$U$7,F80),1)*IF(Upgrades!$T$8="Orbital Resonance",POWER(Upgrades!$U$8,G80),1)*IF(Upgrades!$T$9="Orbital Resonance",POWER(Upgrades!$U$9,H80),1)*IF(Upgrades!$T$11="Orbital Resonance",POWER(Upgrades!$U$11,J80),1)*IF(Upgrades!$T$12="Orbital Resonance",POWER(Upgrades!$U$12,K80),1))+(IF(J80=0,0,(Upgrades!$J$11+J80*Upgrades!$K$11)*POWER(Upgrades!$L$11,J80)))*(IF(Upgrades!$T$6="Heliopause",POWER(Upgrades!$U$6,E80),1)*IF(Upgrades!$T$7="Heliopause",POWER(Upgrades!$U$7,F80),1)*IF(Upgrades!$T$8="Heliopause",POWER(Upgrades!$U$8,G80),1)*IF(Upgrades!$T$9="Heliopause",POWER(Upgrades!$U$9,H80),1)*IF(Upgrades!$T$10="Heliopause",POWER(Upgrades!$U$10,I80),1)*IF(Upgrades!$T$12="Heliopause",POWER(Upgrades!$U$12,K80),1))+(IF(K80=0,0,(Upgrades!$J$12+K80*Upgrades!$K$12)*POWER(Upgrades!$L$12,K80)))*(IF(Upgrades!$T$6="First Photons",POWER(Upgrades!$U$6,E80),1)*IF(Upgrades!$T$7="First Photons",POWER(Upgrades!$U$7,F80),1)*IF(Upgrades!$T$8="First Photons",POWER(Upgrades!$U$8,G80),1)*IF(Upgrades!$T$9="First Photons",POWER(Upgrades!$U$9,H80),1)*IF(Upgrades!$T$10="First Photons",POWER(Upgrades!$U$10,I80),1)*IF(Upgrades!$T$11="First Photons",POWER(Upgrades!$U$11,J80),1)))*POWER(Upgrades!$Q$6,E80)*POWER(Upgrades!$Q$7,F80)*POWER(Upgrades!$Q$8,G80)*POWER(Upgrades!$Q$9,H80)*POWER(Upgrades!$Q$10,I80)*POWER(Upgrades!$Q$11,J80)*POWER(Upgrades!$Q$12,K80)</f>
        <v>5.61</v>
      </c>
      <c r="N80" s="28" t="n">
        <f aca="false">((IF(E80=0,0,(Upgrades!$G$6+E80*Upgrades!$H$6)*POWER(Upgrades!$I$6,E80)))*(IF(Upgrades!$T$7="Solar Wind",POWER(Upgrades!$U$7,F80),1)*IF(Upgrades!$T$8="Solar Wind",POWER(Upgrades!$U$8,G80),1)*IF(Upgrades!$T$9="Solar Wind",POWER(Upgrades!$U$9,H80),1)*IF(Upgrades!$T$10="Solar Wind",POWER(Upgrades!$U$10,I80),1)*IF(Upgrades!$T$11="Solar Wind",POWER(Upgrades!$U$11,J80),1)*IF(Upgrades!$T$12="Solar Wind",POWER(Upgrades!$U$12,K80),1))+(IF(F80=0,0,(Upgrades!$G$7+F80*Upgrades!$H$7)*POWER(Upgrades!$I$7,F80)))*(IF(Upgrades!$T$6="Asteroid Belt",POWER(Upgrades!$U$6,E80),1)*IF(Upgrades!$T$8="Asteroid Belt",POWER(Upgrades!$U$8,G80),1)*IF(Upgrades!$T$9="Asteroid Belt",POWER(Upgrades!$U$9,H80),1)*IF(Upgrades!$T$10="Asteroid Belt",POWER(Upgrades!$U$10,I80),1)*IF(Upgrades!$T$11="Asteroid Belt",POWER(Upgrades!$U$11,J80),1)*IF(Upgrades!$T$12="Asteroid Belt",POWER(Upgrades!$U$12,K80),1))+(IF(G80=0,0,(Upgrades!$G$8+G80*Upgrades!$H$8)*POWER(Upgrades!$I$8,G80)))*(IF(Upgrades!$T$6="Stellar Coupling",POWER(Upgrades!$U$6,E80),1)*IF(Upgrades!$T$7="Stellar Coupling",POWER(Upgrades!$U$7,F80),1)*IF(Upgrades!$T$9="Stellar Coupling",POWER(Upgrades!$U$9,H80),1)*IF(Upgrades!$T$10="Stellar Coupling",POWER(Upgrades!$U$10,I80),1)*IF(Upgrades!$T$11="Stellar Coupling",POWER(Upgrades!$U$11,J80),1)*IF(Upgrades!$T$12="Stellar Coupling",POWER(Upgrades!$U$12,K80),1))+(IF(H80=0,0,(Upgrades!$G$9+H80*Upgrades!$H$9)*POWER(Upgrades!$I$9,H80)))*(IF(Upgrades!$T$6="Magnetosphere",POWER(Upgrades!$U$6,E80),1)*IF(Upgrades!$T$7="Magnetosphere",POWER(Upgrades!$U$7,F80),1)*IF(Upgrades!$T$8="Magnetosphere",POWER(Upgrades!$U$8,G80),1)*IF(Upgrades!$T$10="Magnetosphere",POWER(Upgrades!$U$10,I80),1)*IF(Upgrades!$T$11="Magnetosphere",POWER(Upgrades!$U$11,J80),1)*IF(Upgrades!$T$12="Magnetosphere",POWER(Upgrades!$U$12,K80),1))+(IF(I80=0,0,(Upgrades!$G$10+I80*Upgrades!$H$10)*POWER(Upgrades!$I$10,I80)))*(IF(Upgrades!$T$6="Orbital Resonance",POWER(Upgrades!$U$6,E80),1)*IF(Upgrades!$T$7="Orbital Resonance",POWER(Upgrades!$U$7,F80),1)*IF(Upgrades!$T$8="Orbital Resonance",POWER(Upgrades!$U$8,G80),1)*IF(Upgrades!$T$9="Orbital Resonance",POWER(Upgrades!$U$9,H80),1)*IF(Upgrades!$T$11="Orbital Resonance",POWER(Upgrades!$U$11,J80),1)*IF(Upgrades!$T$12="Orbital Resonance",POWER(Upgrades!$U$12,K80),1))+(IF(J80=0,0,(Upgrades!$G$11+J80*Upgrades!$H$11)*POWER(Upgrades!$I$11,J80)))*(IF(Upgrades!$T$6="Heliopause",POWER(Upgrades!$U$6,E80),1)*IF(Upgrades!$T$7="Heliopause",POWER(Upgrades!$U$7,F80),1)*IF(Upgrades!$T$8="Heliopause",POWER(Upgrades!$U$8,G80),1)*IF(Upgrades!$T$9="Heliopause",POWER(Upgrades!$U$9,H80),1)*IF(Upgrades!$T$10="Heliopause",POWER(Upgrades!$U$10,I80),1)*IF(Upgrades!$T$12="Heliopause",POWER(Upgrades!$U$12,K80),1))+(IF(K80=0,0,(Upgrades!$G$12+K80*Upgrades!$H$12)*POWER(Upgrades!$I$12,K80)))*(IF(Upgrades!$T$6="First Photons",POWER(Upgrades!$U$6,E80),1)*IF(Upgrades!$T$7="First Photons",POWER(Upgrades!$U$7,F80),1)*IF(Upgrades!$T$8="First Photons",POWER(Upgrades!$U$8,G80),1)*IF(Upgrades!$T$9="First Photons",POWER(Upgrades!$U$9,H80),1)*IF(Upgrades!$T$10="First Photons",POWER(Upgrades!$U$10,I80),1)*IF(Upgrades!$T$11="First Photons",POWER(Upgrades!$U$11,J80),1)))*POWER(Upgrades!$P$6,E80)*POWER(Upgrades!$P$7,F80)*POWER(Upgrades!$P$8,G80)*POWER(Upgrades!$P$9,H80)*POWER(Upgrades!$P$10,I80)*POWER(Upgrades!$P$11,J80)*POWER(Upgrades!$P$12,K80)</f>
        <v>11.2</v>
      </c>
      <c r="O80" s="28" t="n">
        <f aca="false">((IF(E80=0,0,(Upgrades!$M$6+E80*Upgrades!$N$6)*POWER(Upgrades!$O$6,E80)))*(IF(Upgrades!$T$7="Solar Wind",POWER(Upgrades!$U$7,F80),1)*IF(Upgrades!$T$8="Solar Wind",POWER(Upgrades!$U$8,G80),1)*IF(Upgrades!$T$9="Solar Wind",POWER(Upgrades!$U$9,H80),1)*IF(Upgrades!$T$10="Solar Wind",POWER(Upgrades!$U$10,I80),1)*IF(Upgrades!$T$11="Solar Wind",POWER(Upgrades!$U$11,J80),1)*IF(Upgrades!$T$12="Solar Wind",POWER(Upgrades!$U$12,K80),1))+(IF(F80=0,0,(Upgrades!$M$7+F80*Upgrades!$N$7)*POWER(Upgrades!$O$7,F80)))*(IF(Upgrades!$T$6="Asteroid Belt",POWER(Upgrades!$U$6,E80),1)*IF(Upgrades!$T$8="Asteroid Belt",POWER(Upgrades!$U$8,G80),1)*IF(Upgrades!$T$9="Asteroid Belt",POWER(Upgrades!$U$9,H80),1)*IF(Upgrades!$T$10="Asteroid Belt",POWER(Upgrades!$U$10,I80),1)*IF(Upgrades!$T$11="Asteroid Belt",POWER(Upgrades!$U$11,J80),1)*IF(Upgrades!$T$12="Asteroid Belt",POWER(Upgrades!$U$12,K80),1))+(IF(G80=0,0,(Upgrades!$M$8+G80*Upgrades!$N$8)*POWER(Upgrades!$O$8,G80)))*(IF(Upgrades!$T$6="Stellar Coupling",POWER(Upgrades!$U$6,E80),1)*IF(Upgrades!$T$7="Stellar Coupling",POWER(Upgrades!$U$7,F80),1)*IF(Upgrades!$T$9="Stellar Coupling",POWER(Upgrades!$U$9,H80),1)*IF(Upgrades!$T$10="Stellar Coupling",POWER(Upgrades!$U$10,I80),1)*IF(Upgrades!$T$11="Stellar Coupling",POWER(Upgrades!$U$11,J80),1)*IF(Upgrades!$T$12="Stellar Coupling",POWER(Upgrades!$U$12,K80),1))+(IF(H80=0,0,(Upgrades!$M$9+H80*Upgrades!$N$9)*POWER(Upgrades!$O$9,H80)))*(IF(Upgrades!$T$6="Magnetosphere",POWER(Upgrades!$U$6,E80),1)*IF(Upgrades!$T$7="Magnetosphere",POWER(Upgrades!$U$7,F80),1)*IF(Upgrades!$T$8="Magnetosphere",POWER(Upgrades!$U$8,G80),1)*IF(Upgrades!$T$10="Magnetosphere",POWER(Upgrades!$U$10,I80),1)*IF(Upgrades!$T$11="Magnetosphere",POWER(Upgrades!$U$11,J80),1)*IF(Upgrades!$T$12="Magnetosphere",POWER(Upgrades!$U$12,K80),1))+(IF(I80=0,0,(Upgrades!$M$10+I80*Upgrades!$N$10)*POWER(Upgrades!$O$10,I80)))*(IF(Upgrades!$T$6="Orbital Resonance",POWER(Upgrades!$U$6,E80),1)*IF(Upgrades!$T$7="Orbital Resonance",POWER(Upgrades!$U$7,F80),1)*IF(Upgrades!$T$8="Orbital Resonance",POWER(Upgrades!$U$8,G80),1)*IF(Upgrades!$T$9="Orbital Resonance",POWER(Upgrades!$U$9,H80),1)*IF(Upgrades!$T$11="Orbital Resonance",POWER(Upgrades!$U$11,J80),1)*IF(Upgrades!$T$12="Orbital Resonance",POWER(Upgrades!$U$12,K80),1))+(IF(J80=0,0,(Upgrades!$M$11+J80*Upgrades!$N$11)*POWER(Upgrades!$O$11,J80)))*(IF(Upgrades!$T$6="Heliopause",POWER(Upgrades!$U$6,E80),1)*IF(Upgrades!$T$7="Heliopause",POWER(Upgrades!$U$7,F80),1)*IF(Upgrades!$T$8="Heliopause",POWER(Upgrades!$U$8,G80),1)*IF(Upgrades!$T$9="Heliopause",POWER(Upgrades!$U$9,H80),1)*IF(Upgrades!$T$10="Heliopause",POWER(Upgrades!$U$10,I80),1)*IF(Upgrades!$T$12="Heliopause",POWER(Upgrades!$U$12,K80),1))+(IF(K80=0,0,(Upgrades!$M$12+K80*Upgrades!$N$12)*POWER(Upgrades!$O$12,K80)))*(IF(Upgrades!$T$6="First Photons",POWER(Upgrades!$U$6,E80),1)*IF(Upgrades!$T$7="First Photons",POWER(Upgrades!$U$7,F80),1)*IF(Upgrades!$T$8="First Photons",POWER(Upgrades!$U$8,G80),1)*IF(Upgrades!$T$9="First Photons",POWER(Upgrades!$U$9,H80),1)*IF(Upgrades!$T$10="First Photons",POWER(Upgrades!$U$10,I80),1)*IF(Upgrades!$T$11="First Photons",POWER(Upgrades!$U$11,J80),1)))*POWER(Upgrades!$R$6,E80)*POWER(Upgrades!$R$7,F80)*POWER(Upgrades!$R$8,G80)*POWER(Upgrades!$R$9,H80)*POWER(Upgrades!$R$10,I80)*POWER(Upgrades!$R$11,J80)*POWER(Upgrades!$R$12,K80)</f>
        <v>0</v>
      </c>
      <c r="P80" s="27" t="n">
        <f aca="false">IF(L80=1,0,M80*Parameters!$B$10/60*Parameters!$B$11*10)</f>
        <v>0</v>
      </c>
      <c r="Q80" s="27" t="n">
        <f aca="false">IF(L80=1,0,O80*M80*10)</f>
        <v>0</v>
      </c>
      <c r="R80" s="27" t="n">
        <f aca="false">IF(L80=1,0,N80*10)</f>
        <v>0</v>
      </c>
      <c r="S80" s="27" t="n">
        <f aca="false">P80+Q80+R80</f>
        <v>0</v>
      </c>
      <c r="T80" s="21" t="n">
        <f aca="false">C80+S80</f>
        <v>18.6730249835055</v>
      </c>
      <c r="U80" s="34" t="str">
        <f aca="false">AX80</f>
        <v/>
      </c>
      <c r="V80" s="21" t="n">
        <f aca="false">IF(U80="",0,IF(U80="transition",0,IF(U80="SW",AG80,IF(U80="AB",AH80,IF(U80="SC",AI80,IF(U80="Mag",AJ80,IF(U80="OR",AK80,IF(U80="HP",AL80,IF(U80="FP",AM80,0)))))))))</f>
        <v>0</v>
      </c>
      <c r="W80" s="27" t="n">
        <f aca="false">IF(U80="OR",Upgrades!$F$10,IF(U80="HP",Upgrades!$F$11,IF(U80="transition",-Parameters!$B$18,0)))</f>
        <v>0</v>
      </c>
      <c r="X80" s="21" t="n">
        <f aca="false">T80-V80</f>
        <v>18.6730249835055</v>
      </c>
      <c r="Y80" s="30" t="n">
        <f aca="false">M80*Parameters!$B$10/60*Parameters!$B$11+O80*M80+N80</f>
        <v>20.55</v>
      </c>
      <c r="Z80" s="35" t="str">
        <f aca="false">IF(U80="transition","→ Tier 2 (Stellar Neighborhood)",IF(U80="FP","First Photons — light begins, system quickens",IF(U80="HP","Heliopause acquired",IF(U80="OR","Orbital Resonance — passive multiplier active",IF(AND(AO80=1,L80=0,AN80&lt;&gt;1),"Cohesion ready (waiting on completionist upgrades)","")))))</f>
        <v/>
      </c>
      <c r="AA80" s="27" t="n">
        <f aca="false">(IF(E80=0,0,(Upgrades!$G$6+E80*Upgrades!$H$6)*POWER(Upgrades!$I$6,E80)))*(IF(Upgrades!$T$7="Solar Wind",POWER(Upgrades!$U$7,F80),1)*IF(Upgrades!$T$8="Solar Wind",POWER(Upgrades!$U$8,G80),1)*IF(Upgrades!$T$9="Solar Wind",POWER(Upgrades!$U$9,H80),1)*IF(Upgrades!$T$10="Solar Wind",POWER(Upgrades!$U$10,I80),1)*IF(Upgrades!$T$11="Solar Wind",POWER(Upgrades!$U$11,J80),1)*IF(Upgrades!$T$12="Solar Wind",POWER(Upgrades!$U$12,K80),1))*POWER(Upgrades!$P$6,E80)*POWER(Upgrades!$P$7,F80)*POWER(Upgrades!$P$8,G80)*POWER(Upgrades!$P$9,H80)*POWER(Upgrades!$P$10,I80)*POWER(Upgrades!$P$11,J80)*POWER(Upgrades!$P$12,K80)*60</f>
        <v>72</v>
      </c>
      <c r="AB80" s="27" t="n">
        <f aca="false">(IF(F80=0,0,(Upgrades!$G$7+F80*Upgrades!$H$7)*POWER(Upgrades!$I$7,F80)))*(IF(Upgrades!$T$6="Asteroid Belt",POWER(Upgrades!$U$6,E80),1)*IF(Upgrades!$T$8="Asteroid Belt",POWER(Upgrades!$U$8,G80),1)*IF(Upgrades!$T$9="Asteroid Belt",POWER(Upgrades!$U$9,H80),1)*IF(Upgrades!$T$10="Asteroid Belt",POWER(Upgrades!$U$10,I80),1)*IF(Upgrades!$T$11="Asteroid Belt",POWER(Upgrades!$U$11,J80),1)*IF(Upgrades!$T$12="Asteroid Belt",POWER(Upgrades!$U$12,K80),1))*POWER(Upgrades!$P$6,E80)*POWER(Upgrades!$P$7,F80)*POWER(Upgrades!$P$8,G80)*POWER(Upgrades!$P$9,H80)*POWER(Upgrades!$P$10,I80)*POWER(Upgrades!$P$11,J80)*POWER(Upgrades!$P$12,K80)*60</f>
        <v>150</v>
      </c>
      <c r="AC80" s="27" t="n">
        <f aca="false">(IF(G80=0,0,(Upgrades!$J$8+G80*Upgrades!$K$8)*POWER(Upgrades!$L$8,G80)))*(IF(Upgrades!$T$6="Stellar Coupling",POWER(Upgrades!$U$6,E80),1)*IF(Upgrades!$T$7="Stellar Coupling",POWER(Upgrades!$U$7,F80),1)*IF(Upgrades!$T$9="Stellar Coupling",POWER(Upgrades!$U$9,H80),1)*IF(Upgrades!$T$10="Stellar Coupling",POWER(Upgrades!$U$10,I80),1)*IF(Upgrades!$T$11="Stellar Coupling",POWER(Upgrades!$U$11,J80),1)*IF(Upgrades!$T$12="Stellar Coupling",POWER(Upgrades!$U$12,K80),1))*POWER(Upgrades!$Q$6,E80)*POWER(Upgrades!$Q$7,F80)*POWER(Upgrades!$Q$8,G80)*POWER(Upgrades!$Q$9,H80)*POWER(Upgrades!$Q$10,I80)*POWER(Upgrades!$Q$11,J80)*POWER(Upgrades!$Q$12,K80)*Parameters!$B$10*Parameters!$B$11</f>
        <v>441</v>
      </c>
      <c r="AD80" s="27" t="n">
        <f aca="false">(IF(H80=0,0,(Upgrades!$G$9+H80*Upgrades!$H$9)*POWER(Upgrades!$I$9,H80)))*(IF(Upgrades!$T$6="Magnetosphere",POWER(Upgrades!$U$6,E80),1)*IF(Upgrades!$T$7="Magnetosphere",POWER(Upgrades!$U$7,F80),1)*IF(Upgrades!$T$8="Magnetosphere",POWER(Upgrades!$U$8,G80),1)*IF(Upgrades!$T$10="Magnetosphere",POWER(Upgrades!$U$10,I80),1)*IF(Upgrades!$T$11="Magnetosphere",POWER(Upgrades!$U$11,J80),1)*IF(Upgrades!$T$12="Magnetosphere",POWER(Upgrades!$U$12,K80),1))*POWER(Upgrades!$P$6,E80)*POWER(Upgrades!$P$7,F80)*POWER(Upgrades!$P$8,G80)*POWER(Upgrades!$P$9,H80)*POWER(Upgrades!$P$10,I80)*POWER(Upgrades!$P$11,J80)*POWER(Upgrades!$P$12,K80)*60</f>
        <v>375</v>
      </c>
      <c r="AE80" s="27" t="n">
        <f aca="false">(IF(K80=0,0,(Upgrades!$G$12+K80*Upgrades!$H$12)*POWER(Upgrades!$I$12,K80)))*(IF(Upgrades!$T$6="First Photons",POWER(Upgrades!$U$6,E80),1)*IF(Upgrades!$T$7="First Photons",POWER(Upgrades!$U$7,F80),1)*IF(Upgrades!$T$8="First Photons",POWER(Upgrades!$U$8,G80),1)*IF(Upgrades!$T$9="First Photons",POWER(Upgrades!$U$9,H80),1)*IF(Upgrades!$T$10="First Photons",POWER(Upgrades!$U$10,I80),1)*IF(Upgrades!$T$11="First Photons",POWER(Upgrades!$U$11,J80),1))*POWER(Upgrades!$P$6,E80)*POWER(Upgrades!$P$7,F80)*POWER(Upgrades!$P$8,G80)*POWER(Upgrades!$P$9,H80)*POWER(Upgrades!$P$10,I80)*POWER(Upgrades!$P$11,J80)*POWER(Upgrades!$P$12,K80)*60</f>
        <v>75</v>
      </c>
      <c r="AF80" s="27" t="n">
        <f aca="false">Parameters!$B$9*POWER(Upgrades!$Q$6,E80)*POWER(Upgrades!$Q$7,F80)*POWER(Upgrades!$Q$8,G80)*POWER(Upgrades!$Q$9,H80)*POWER(Upgrades!$Q$10,I80)*POWER(Upgrades!$Q$11,J80)*POWER(Upgrades!$Q$12,K80)*(Parameters!$B$10*Parameters!$B$11+O80*60)</f>
        <v>120</v>
      </c>
      <c r="AG80" s="21" t="n">
        <f aca="false">IF(E80&gt;=Upgrades!$E$6,"",Upgrades!$C$6*POWER(Upgrades!$D$6,E80))</f>
        <v>37.4517507383159</v>
      </c>
      <c r="AH80" s="21" t="n">
        <f aca="false">IF(F80&gt;=Upgrades!$E$7,"",Upgrades!$C$7*POWER(Upgrades!$D$7,F80))</f>
        <v>80.9111547141581</v>
      </c>
      <c r="AI80" s="21" t="n">
        <f aca="false">IF(G80&gt;=Upgrades!$E$8,"",Upgrades!$C$8*POWER(Upgrades!$D$8,G80))</f>
        <v>231.9097088</v>
      </c>
      <c r="AJ80" s="21" t="str">
        <f aca="false">IF(H80&gt;=Upgrades!$E$9,"",Upgrades!$C$9*POWER(Upgrades!$D$9,H80))</f>
        <v/>
      </c>
      <c r="AK80" s="21" t="str">
        <f aca="false">IF(I80&gt;=Upgrades!$E$10,"",Upgrades!$C$10*POWER(Upgrades!$D$10,I80))</f>
        <v/>
      </c>
      <c r="AL80" s="21" t="str">
        <f aca="false">IF(J80&gt;=Upgrades!$E$11,"",Upgrades!$C$11*POWER(Upgrades!$D$11,J80))</f>
        <v/>
      </c>
      <c r="AM80" s="21" t="str">
        <f aca="false">IF(K80&gt;=Upgrades!$E$12,"",Upgrades!$C$12*POWER(Upgrades!$D$12,K80))</f>
        <v/>
      </c>
      <c r="AN80" s="26" t="str">
        <f aca="false">IF(AND(D80&gt;=Parameters!$B$18,(H80&gt;=Upgrades!$E$9)*(K80&gt;=Upgrades!$E$12)=1,L80=0),1,"")</f>
        <v/>
      </c>
      <c r="AO80" s="26" t="str">
        <f aca="false">IF(AND(D80&gt;=Parameters!$B$18,L80=0),1,"")</f>
        <v/>
      </c>
      <c r="AP80" s="21" t="n">
        <f aca="false">MIN(IF(ISNUMBER(AK80),AK80,9000000000000000),IF(ISNUMBER(AL80),AL80,9000000000000000),IF(ISNUMBER(AM80),AM80,9000000000000000))</f>
        <v>9000000000000000</v>
      </c>
      <c r="AQ80" s="21" t="n">
        <f aca="false">MIN(IF(ISNUMBER(AG80),AG80,9000000000000000),IF(ISNUMBER(AH80),AH80,9000000000000000),IF(ISNUMBER(AI80),AI80,9000000000000000),IF(ISNUMBER(AJ80),AJ80,9000000000000000))</f>
        <v>37.4517507383159</v>
      </c>
      <c r="AR80" s="32" t="b">
        <f aca="false">IF(AW80&gt;Parameters!$B$21*(MAX(IF(AND(NOT(AND(AO80=1,AN80&lt;&gt;1)),ISNUMBER(AG80),AG80&lt;=T80),AS80,0),IF(AND(NOT(AND(AO80=1,AN80&lt;&gt;1)),ISNUMBER(AH80),AH80&lt;=T80),AT80,0),IF(AND(NOT(AND(AO80=1,AN80&lt;&gt;1)),ISNUMBER(AI80),AI80&lt;=T80),AU80,0),IF(AND(ISNUMBER(AJ80),AJ80&lt;=T80),AV80,0))),TRUE(),FALSE())</f>
        <v>1</v>
      </c>
      <c r="AS80" s="33" t="n">
        <f aca="false">IFERROR(Upgrades!$H$6*(POWER(Upgrades!$P$6,E80)*POWER(Upgrades!$P$7,F80)*POWER(Upgrades!$P$8,G80)*POWER(Upgrades!$P$9,H80)*POWER(Upgrades!$P$10,I80)*POWER(Upgrades!$P$11,J80)*POWER(Upgrades!$P$12,K80))*(IF(Upgrades!$T$7="Solar Wind",POWER(Upgrades!$U$7,F80),1)*IF(Upgrades!$T$8="Solar Wind",POWER(Upgrades!$U$8,G80),1)*IF(Upgrades!$T$9="Solar Wind",POWER(Upgrades!$U$9,H80),1)*IF(Upgrades!$T$10="Solar Wind",POWER(Upgrades!$U$10,I80),1)*IF(Upgrades!$T$11="Solar Wind",POWER(Upgrades!$U$11,J80),1)*IF(Upgrades!$T$12="Solar Wind",POWER(Upgrades!$U$12,K80),1))/AG80,0)</f>
        <v>0.0026701021455238</v>
      </c>
      <c r="AT80" s="33" t="n">
        <f aca="false">IFERROR(Upgrades!$H$7*(POWER(Upgrades!$P$6,E80)*POWER(Upgrades!$P$7,F80)*POWER(Upgrades!$P$8,G80)*POWER(Upgrades!$P$9,H80)*POWER(Upgrades!$P$10,I80)*POWER(Upgrades!$P$11,J80)*POWER(Upgrades!$P$12,K80))*(IF(Upgrades!$T$6="Asteroid Belt",POWER(Upgrades!$U$6,E80),1)*IF(Upgrades!$T$8="Asteroid Belt",POWER(Upgrades!$U$8,G80),1)*IF(Upgrades!$T$9="Asteroid Belt",POWER(Upgrades!$U$9,H80),1)*IF(Upgrades!$T$10="Asteroid Belt",POWER(Upgrades!$U$10,I80),1)*IF(Upgrades!$T$11="Asteroid Belt",POWER(Upgrades!$U$11,J80),1)*IF(Upgrades!$T$12="Asteroid Belt",POWER(Upgrades!$U$12,K80),1))/AH80,0)</f>
        <v>0.00308980882652332</v>
      </c>
      <c r="AU80" s="33" t="n">
        <f aca="false">IFERROR(Upgrades!$K$8*(POWER(Upgrades!$Q$6,E80)*POWER(Upgrades!$Q$7,F80)*POWER(Upgrades!$Q$8,G80)*POWER(Upgrades!$Q$9,H80)*POWER(Upgrades!$Q$10,I80)*POWER(Upgrades!$Q$11,J80)*POWER(Upgrades!$Q$12,K80))*(IF(Upgrades!$T$6="Stellar Coupling",POWER(Upgrades!$U$6,E80),1)*IF(Upgrades!$T$7="Stellar Coupling",POWER(Upgrades!$U$7,F80),1)*IF(Upgrades!$T$9="Stellar Coupling",POWER(Upgrades!$U$9,H80),1)*IF(Upgrades!$T$10="Stellar Coupling",POWER(Upgrades!$U$10,I80),1)*IF(Upgrades!$T$11="Stellar Coupling",POWER(Upgrades!$U$11,J80),1)*IF(Upgrades!$T$12="Stellar Coupling",POWER(Upgrades!$U$12,K80),1))*Parameters!$B$10*Parameters!$B$11/60/AI80,0)</f>
        <v>0.00452762415783776</v>
      </c>
      <c r="AV80" s="33" t="n">
        <f aca="false">IFERROR(Upgrades!$H$9*(POWER(Upgrades!$P$6,E80)*POWER(Upgrades!$P$7,F80)*POWER(Upgrades!$P$8,G80)*POWER(Upgrades!$P$9,H80)*POWER(Upgrades!$P$10,I80)*POWER(Upgrades!$P$11,J80)*POWER(Upgrades!$P$12,K80))*(IF(Upgrades!$T$6="Magnetosphere",POWER(Upgrades!$U$6,E80),1)*IF(Upgrades!$T$7="Magnetosphere",POWER(Upgrades!$U$7,F80),1)*IF(Upgrades!$T$8="Magnetosphere",POWER(Upgrades!$U$8,G80),1)*IF(Upgrades!$T$10="Magnetosphere",POWER(Upgrades!$U$10,I80),1)*IF(Upgrades!$T$11="Magnetosphere",POWER(Upgrades!$U$11,J80),1)*IF(Upgrades!$T$12="Magnetosphere",POWER(Upgrades!$U$12,K80),1))/AJ80,0)</f>
        <v>0</v>
      </c>
      <c r="AW80" s="33" t="n">
        <f aca="false">MAX(IF(I80&gt;0,0,IFERROR(0.25*N80/Upgrades!$C$10,0)),IF(J80&gt;0,0,IFERROR(0.5*((IF(G80=0,0,(Upgrades!$J$8+G80*Upgrades!$K$8)*POWER(Upgrades!$L$8,G80)))*(IF(Upgrades!$T$6="Stellar Coupling",POWER(Upgrades!$U$6,E80),1)*IF(Upgrades!$T$7="Stellar Coupling",POWER(Upgrades!$U$7,F80),1)*IF(Upgrades!$T$9="Stellar Coupling",POWER(Upgrades!$U$9,H80),1)*IF(Upgrades!$T$10="Stellar Coupling",POWER(Upgrades!$U$10,I80),1)*IF(Upgrades!$T$11="Stellar Coupling",POWER(Upgrades!$U$11,J80),1)*IF(Upgrades!$T$12="Stellar Coupling",POWER(Upgrades!$U$12,K80),1))*(POWER(Upgrades!$Q$6,E80)*POWER(Upgrades!$Q$7,F80)*POWER(Upgrades!$Q$8,G80)*POWER(Upgrades!$Q$9,H80)*POWER(Upgrades!$Q$10,I80)*POWER(Upgrades!$Q$11,J80)*POWER(Upgrades!$Q$12,K80))*Parameters!$B$10*Parameters!$B$11/60)/Upgrades!$C$11,0)),IF(K80&gt;0,0,IFERROR((1*(POWER(Upgrades!$P$6,E80)*POWER(Upgrades!$P$7,F80)*POWER(Upgrades!$P$8,G80)*POWER(Upgrades!$P$9,H80)*POWER(Upgrades!$P$10,I80)*POWER(Upgrades!$P$11,J80)*POWER(Upgrades!$P$12,K80))+0.2*M80*Parameters!$B$10*Parameters!$B$11/60)/Upgrades!$C$12,0)),IF(AND(ISNUMBER(AG80),AG80&gt;T80),AS80,0),IF(AND(ISNUMBER(AH80),AH80&gt;T80),AT80,0),IF(AND(ISNUMBER(AI80),AI80&gt;T80),AU80,0),IF(AND(ISNUMBER(AJ80),AJ80&gt;T80),AV80,0))</f>
        <v>0.00452762415783776</v>
      </c>
      <c r="AX80" s="29" t="str">
        <f aca="false">IF(AN80=1,"transition",IF(MIN(IF(AND(I80=0,ISNUMBER(AK80),AK80&lt;=T80),AK80,9000000000000000),IF(AND(J80=0,ISNUMBER(AL80),AL80&lt;=T80),AL80,9000000000000000),IF(AND(K80=0,ISNUMBER(AM80),AM80&lt;=T80),AM80,9000000000000000))&lt;9000000000000000,IF(AND(AND(I80=0,ISNUMBER(AK80),AK80&lt;=T80),AK80=MIN(IF(AND(I80=0,ISNUMBER(AK80),AK80&lt;=T80),AK80,9000000000000000),IF(AND(J80=0,ISNUMBER(AL80),AL80&lt;=T80),AL80,9000000000000000),IF(AND(K80=0,ISNUMBER(AM80),AM80&lt;=T80),AM80,9000000000000000))),"OR",IF(AND(AND(J80=0,ISNUMBER(AL80),AL80&lt;=T80),AL80=MIN(IF(AND(I80=0,ISNUMBER(AK80),AK80&lt;=T80),AK80,9000000000000000),IF(AND(J80=0,ISNUMBER(AL80),AL80&lt;=T80),AL80,9000000000000000),IF(AND(K80=0,ISNUMBER(AM80),AM80&lt;=T80),AM80,9000000000000000))),"HP","FP")),IF(AR80=TRUE(),"",IF(MAX(IF(AND(NOT(AND(AO80=1,AN80&lt;&gt;1)),ISNUMBER(AG80),AG80&lt;=T80),AS80,0),IF(AND(NOT(AND(AO80=1,AN80&lt;&gt;1)),ISNUMBER(AH80),AH80&lt;=T80),AT80,0),IF(AND(NOT(AND(AO80=1,AN80&lt;&gt;1)),ISNUMBER(AI80),AI80&lt;=T80),AU80,0),IF(AND(ISNUMBER(AJ80),AJ80&lt;=T80),AV80,0))&lt;=0,"",IF(AND(IF(AND(NOT(AND(AO80=1,AN80&lt;&gt;1)),ISNUMBER(AG80),AG80&lt;=T80),AS80,0)&gt;0,IF(AND(NOT(AND(AO80=1,AN80&lt;&gt;1)),ISNUMBER(AG80),AG80&lt;=T80),AS80,0)=MAX(IF(AND(NOT(AND(AO80=1,AN80&lt;&gt;1)),ISNUMBER(AG80),AG80&lt;=T80),AS80,0),IF(AND(NOT(AND(AO80=1,AN80&lt;&gt;1)),ISNUMBER(AH80),AH80&lt;=T80),AT80,0),IF(AND(NOT(AND(AO80=1,AN80&lt;&gt;1)),ISNUMBER(AI80),AI80&lt;=T80),AU80,0),IF(AND(ISNUMBER(AJ80),AJ80&lt;=T80),AV80,0))),"SW",IF(AND(IF(AND(NOT(AND(AO80=1,AN80&lt;&gt;1)),ISNUMBER(AH80),AH80&lt;=T80),AT80,0)&gt;0,IF(AND(NOT(AND(AO80=1,AN80&lt;&gt;1)),ISNUMBER(AH80),AH80&lt;=T80),AT80,0)=MAX(IF(AND(NOT(AND(AO80=1,AN80&lt;&gt;1)),ISNUMBER(AG80),AG80&lt;=T80),AS80,0),IF(AND(NOT(AND(AO80=1,AN80&lt;&gt;1)),ISNUMBER(AH80),AH80&lt;=T80),AT80,0),IF(AND(NOT(AND(AO80=1,AN80&lt;&gt;1)),ISNUMBER(AI80),AI80&lt;=T80),AU80,0),IF(AND(ISNUMBER(AJ80),AJ80&lt;=T80),AV80,0))),"AB",IF(AND(IF(AND(NOT(AND(AO80=1,AN80&lt;&gt;1)),ISNUMBER(AI80),AI80&lt;=T80),AU80,0)&gt;0,IF(AND(NOT(AND(AO80=1,AN80&lt;&gt;1)),ISNUMBER(AI80),AI80&lt;=T80),AU80,0)=MAX(IF(AND(NOT(AND(AO80=1,AN80&lt;&gt;1)),ISNUMBER(AG80),AG80&lt;=T80),AS80,0),IF(AND(NOT(AND(AO80=1,AN80&lt;&gt;1)),ISNUMBER(AH80),AH80&lt;=T80),AT80,0),IF(AND(NOT(AND(AO80=1,AN80&lt;&gt;1)),ISNUMBER(AI80),AI80&lt;=T80),AU80,0),IF(AND(ISNUMBER(AJ80),AJ80&lt;=T80),AV80,0))),"SC","Mag")))))))</f>
        <v/>
      </c>
    </row>
    <row r="81" customFormat="false" ht="15" hidden="false" customHeight="false" outlineLevel="0" collapsed="false">
      <c r="A81" s="26" t="n">
        <v>76</v>
      </c>
      <c r="B81" s="27" t="n">
        <f aca="false">A81*10/60</f>
        <v>12.6666666666667</v>
      </c>
      <c r="C81" s="21" t="n">
        <f aca="false">X80</f>
        <v>18.6730249835055</v>
      </c>
      <c r="D81" s="27" t="n">
        <f aca="false">D80+W80</f>
        <v>0</v>
      </c>
      <c r="E81" s="26" t="n">
        <f aca="false">E80+IF(U80="SW",1,0)</f>
        <v>12</v>
      </c>
      <c r="F81" s="26" t="n">
        <f aca="false">F80+IF(U80="AB",1,0)</f>
        <v>10</v>
      </c>
      <c r="G81" s="26" t="n">
        <f aca="false">G80+IF(U80="SC",1,0)</f>
        <v>7</v>
      </c>
      <c r="H81" s="26" t="n">
        <f aca="false">H80+IF(U80="Mag",1,0)</f>
        <v>5</v>
      </c>
      <c r="I81" s="26" t="n">
        <f aca="false">MAX(I80,IF(U80="OR",1,0))</f>
        <v>1</v>
      </c>
      <c r="J81" s="26" t="n">
        <f aca="false">MAX(J80,IF(U80="HP",1,0))</f>
        <v>1</v>
      </c>
      <c r="K81" s="26" t="n">
        <f aca="false">MAX(K80,IF(U80="FP",1,0))</f>
        <v>1</v>
      </c>
      <c r="L81" s="26" t="n">
        <f aca="false">MAX(L80,IF(U80="transition",1,0))</f>
        <v>1</v>
      </c>
      <c r="M81" s="28" t="n">
        <f aca="false">(Parameters!$B$9+(IF(E81=0,0,(Upgrades!$J$6+E81*Upgrades!$K$6)*POWER(Upgrades!$L$6,E81)))*(IF(Upgrades!$T$7="Solar Wind",POWER(Upgrades!$U$7,F81),1)*IF(Upgrades!$T$8="Solar Wind",POWER(Upgrades!$U$8,G81),1)*IF(Upgrades!$T$9="Solar Wind",POWER(Upgrades!$U$9,H81),1)*IF(Upgrades!$T$10="Solar Wind",POWER(Upgrades!$U$10,I81),1)*IF(Upgrades!$T$11="Solar Wind",POWER(Upgrades!$U$11,J81),1)*IF(Upgrades!$T$12="Solar Wind",POWER(Upgrades!$U$12,K81),1))+(IF(F81=0,0,(Upgrades!$J$7+F81*Upgrades!$K$7)*POWER(Upgrades!$L$7,F81)))*(IF(Upgrades!$T$6="Asteroid Belt",POWER(Upgrades!$U$6,E81),1)*IF(Upgrades!$T$8="Asteroid Belt",POWER(Upgrades!$U$8,G81),1)*IF(Upgrades!$T$9="Asteroid Belt",POWER(Upgrades!$U$9,H81),1)*IF(Upgrades!$T$10="Asteroid Belt",POWER(Upgrades!$U$10,I81),1)*IF(Upgrades!$T$11="Asteroid Belt",POWER(Upgrades!$U$11,J81),1)*IF(Upgrades!$T$12="Asteroid Belt",POWER(Upgrades!$U$12,K81),1))+(IF(G81=0,0,(Upgrades!$J$8+G81*Upgrades!$K$8)*POWER(Upgrades!$L$8,G81)))*(IF(Upgrades!$T$6="Stellar Coupling",POWER(Upgrades!$U$6,E81),1)*IF(Upgrades!$T$7="Stellar Coupling",POWER(Upgrades!$U$7,F81),1)*IF(Upgrades!$T$9="Stellar Coupling",POWER(Upgrades!$U$9,H81),1)*IF(Upgrades!$T$10="Stellar Coupling",POWER(Upgrades!$U$10,I81),1)*IF(Upgrades!$T$11="Stellar Coupling",POWER(Upgrades!$U$11,J81),1)*IF(Upgrades!$T$12="Stellar Coupling",POWER(Upgrades!$U$12,K81),1))+(IF(H81=0,0,(Upgrades!$J$9+H81*Upgrades!$K$9)*POWER(Upgrades!$L$9,H81)))*(IF(Upgrades!$T$6="Magnetosphere",POWER(Upgrades!$U$6,E81),1)*IF(Upgrades!$T$7="Magnetosphere",POWER(Upgrades!$U$7,F81),1)*IF(Upgrades!$T$8="Magnetosphere",POWER(Upgrades!$U$8,G81),1)*IF(Upgrades!$T$10="Magnetosphere",POWER(Upgrades!$U$10,I81),1)*IF(Upgrades!$T$11="Magnetosphere",POWER(Upgrades!$U$11,J81),1)*IF(Upgrades!$T$12="Magnetosphere",POWER(Upgrades!$U$12,K81),1))+(IF(I81=0,0,(Upgrades!$J$10+I81*Upgrades!$K$10)*POWER(Upgrades!$L$10,I81)))*(IF(Upgrades!$T$6="Orbital Resonance",POWER(Upgrades!$U$6,E81),1)*IF(Upgrades!$T$7="Orbital Resonance",POWER(Upgrades!$U$7,F81),1)*IF(Upgrades!$T$8="Orbital Resonance",POWER(Upgrades!$U$8,G81),1)*IF(Upgrades!$T$9="Orbital Resonance",POWER(Upgrades!$U$9,H81),1)*IF(Upgrades!$T$11="Orbital Resonance",POWER(Upgrades!$U$11,J81),1)*IF(Upgrades!$T$12="Orbital Resonance",POWER(Upgrades!$U$12,K81),1))+(IF(J81=0,0,(Upgrades!$J$11+J81*Upgrades!$K$11)*POWER(Upgrades!$L$11,J81)))*(IF(Upgrades!$T$6="Heliopause",POWER(Upgrades!$U$6,E81),1)*IF(Upgrades!$T$7="Heliopause",POWER(Upgrades!$U$7,F81),1)*IF(Upgrades!$T$8="Heliopause",POWER(Upgrades!$U$8,G81),1)*IF(Upgrades!$T$9="Heliopause",POWER(Upgrades!$U$9,H81),1)*IF(Upgrades!$T$10="Heliopause",POWER(Upgrades!$U$10,I81),1)*IF(Upgrades!$T$12="Heliopause",POWER(Upgrades!$U$12,K81),1))+(IF(K81=0,0,(Upgrades!$J$12+K81*Upgrades!$K$12)*POWER(Upgrades!$L$12,K81)))*(IF(Upgrades!$T$6="First Photons",POWER(Upgrades!$U$6,E81),1)*IF(Upgrades!$T$7="First Photons",POWER(Upgrades!$U$7,F81),1)*IF(Upgrades!$T$8="First Photons",POWER(Upgrades!$U$8,G81),1)*IF(Upgrades!$T$9="First Photons",POWER(Upgrades!$U$9,H81),1)*IF(Upgrades!$T$10="First Photons",POWER(Upgrades!$U$10,I81),1)*IF(Upgrades!$T$11="First Photons",POWER(Upgrades!$U$11,J81),1)))*POWER(Upgrades!$Q$6,E81)*POWER(Upgrades!$Q$7,F81)*POWER(Upgrades!$Q$8,G81)*POWER(Upgrades!$Q$9,H81)*POWER(Upgrades!$Q$10,I81)*POWER(Upgrades!$Q$11,J81)*POWER(Upgrades!$Q$12,K81)</f>
        <v>5.61</v>
      </c>
      <c r="N81" s="28" t="n">
        <f aca="false">((IF(E81=0,0,(Upgrades!$G$6+E81*Upgrades!$H$6)*POWER(Upgrades!$I$6,E81)))*(IF(Upgrades!$T$7="Solar Wind",POWER(Upgrades!$U$7,F81),1)*IF(Upgrades!$T$8="Solar Wind",POWER(Upgrades!$U$8,G81),1)*IF(Upgrades!$T$9="Solar Wind",POWER(Upgrades!$U$9,H81),1)*IF(Upgrades!$T$10="Solar Wind",POWER(Upgrades!$U$10,I81),1)*IF(Upgrades!$T$11="Solar Wind",POWER(Upgrades!$U$11,J81),1)*IF(Upgrades!$T$12="Solar Wind",POWER(Upgrades!$U$12,K81),1))+(IF(F81=0,0,(Upgrades!$G$7+F81*Upgrades!$H$7)*POWER(Upgrades!$I$7,F81)))*(IF(Upgrades!$T$6="Asteroid Belt",POWER(Upgrades!$U$6,E81),1)*IF(Upgrades!$T$8="Asteroid Belt",POWER(Upgrades!$U$8,G81),1)*IF(Upgrades!$T$9="Asteroid Belt",POWER(Upgrades!$U$9,H81),1)*IF(Upgrades!$T$10="Asteroid Belt",POWER(Upgrades!$U$10,I81),1)*IF(Upgrades!$T$11="Asteroid Belt",POWER(Upgrades!$U$11,J81),1)*IF(Upgrades!$T$12="Asteroid Belt",POWER(Upgrades!$U$12,K81),1))+(IF(G81=0,0,(Upgrades!$G$8+G81*Upgrades!$H$8)*POWER(Upgrades!$I$8,G81)))*(IF(Upgrades!$T$6="Stellar Coupling",POWER(Upgrades!$U$6,E81),1)*IF(Upgrades!$T$7="Stellar Coupling",POWER(Upgrades!$U$7,F81),1)*IF(Upgrades!$T$9="Stellar Coupling",POWER(Upgrades!$U$9,H81),1)*IF(Upgrades!$T$10="Stellar Coupling",POWER(Upgrades!$U$10,I81),1)*IF(Upgrades!$T$11="Stellar Coupling",POWER(Upgrades!$U$11,J81),1)*IF(Upgrades!$T$12="Stellar Coupling",POWER(Upgrades!$U$12,K81),1))+(IF(H81=0,0,(Upgrades!$G$9+H81*Upgrades!$H$9)*POWER(Upgrades!$I$9,H81)))*(IF(Upgrades!$T$6="Magnetosphere",POWER(Upgrades!$U$6,E81),1)*IF(Upgrades!$T$7="Magnetosphere",POWER(Upgrades!$U$7,F81),1)*IF(Upgrades!$T$8="Magnetosphere",POWER(Upgrades!$U$8,G81),1)*IF(Upgrades!$T$10="Magnetosphere",POWER(Upgrades!$U$10,I81),1)*IF(Upgrades!$T$11="Magnetosphere",POWER(Upgrades!$U$11,J81),1)*IF(Upgrades!$T$12="Magnetosphere",POWER(Upgrades!$U$12,K81),1))+(IF(I81=0,0,(Upgrades!$G$10+I81*Upgrades!$H$10)*POWER(Upgrades!$I$10,I81)))*(IF(Upgrades!$T$6="Orbital Resonance",POWER(Upgrades!$U$6,E81),1)*IF(Upgrades!$T$7="Orbital Resonance",POWER(Upgrades!$U$7,F81),1)*IF(Upgrades!$T$8="Orbital Resonance",POWER(Upgrades!$U$8,G81),1)*IF(Upgrades!$T$9="Orbital Resonance",POWER(Upgrades!$U$9,H81),1)*IF(Upgrades!$T$11="Orbital Resonance",POWER(Upgrades!$U$11,J81),1)*IF(Upgrades!$T$12="Orbital Resonance",POWER(Upgrades!$U$12,K81),1))+(IF(J81=0,0,(Upgrades!$G$11+J81*Upgrades!$H$11)*POWER(Upgrades!$I$11,J81)))*(IF(Upgrades!$T$6="Heliopause",POWER(Upgrades!$U$6,E81),1)*IF(Upgrades!$T$7="Heliopause",POWER(Upgrades!$U$7,F81),1)*IF(Upgrades!$T$8="Heliopause",POWER(Upgrades!$U$8,G81),1)*IF(Upgrades!$T$9="Heliopause",POWER(Upgrades!$U$9,H81),1)*IF(Upgrades!$T$10="Heliopause",POWER(Upgrades!$U$10,I81),1)*IF(Upgrades!$T$12="Heliopause",POWER(Upgrades!$U$12,K81),1))+(IF(K81=0,0,(Upgrades!$G$12+K81*Upgrades!$H$12)*POWER(Upgrades!$I$12,K81)))*(IF(Upgrades!$T$6="First Photons",POWER(Upgrades!$U$6,E81),1)*IF(Upgrades!$T$7="First Photons",POWER(Upgrades!$U$7,F81),1)*IF(Upgrades!$T$8="First Photons",POWER(Upgrades!$U$8,G81),1)*IF(Upgrades!$T$9="First Photons",POWER(Upgrades!$U$9,H81),1)*IF(Upgrades!$T$10="First Photons",POWER(Upgrades!$U$10,I81),1)*IF(Upgrades!$T$11="First Photons",POWER(Upgrades!$U$11,J81),1)))*POWER(Upgrades!$P$6,E81)*POWER(Upgrades!$P$7,F81)*POWER(Upgrades!$P$8,G81)*POWER(Upgrades!$P$9,H81)*POWER(Upgrades!$P$10,I81)*POWER(Upgrades!$P$11,J81)*POWER(Upgrades!$P$12,K81)</f>
        <v>11.2</v>
      </c>
      <c r="O81" s="28" t="n">
        <f aca="false">((IF(E81=0,0,(Upgrades!$M$6+E81*Upgrades!$N$6)*POWER(Upgrades!$O$6,E81)))*(IF(Upgrades!$T$7="Solar Wind",POWER(Upgrades!$U$7,F81),1)*IF(Upgrades!$T$8="Solar Wind",POWER(Upgrades!$U$8,G81),1)*IF(Upgrades!$T$9="Solar Wind",POWER(Upgrades!$U$9,H81),1)*IF(Upgrades!$T$10="Solar Wind",POWER(Upgrades!$U$10,I81),1)*IF(Upgrades!$T$11="Solar Wind",POWER(Upgrades!$U$11,J81),1)*IF(Upgrades!$T$12="Solar Wind",POWER(Upgrades!$U$12,K81),1))+(IF(F81=0,0,(Upgrades!$M$7+F81*Upgrades!$N$7)*POWER(Upgrades!$O$7,F81)))*(IF(Upgrades!$T$6="Asteroid Belt",POWER(Upgrades!$U$6,E81),1)*IF(Upgrades!$T$8="Asteroid Belt",POWER(Upgrades!$U$8,G81),1)*IF(Upgrades!$T$9="Asteroid Belt",POWER(Upgrades!$U$9,H81),1)*IF(Upgrades!$T$10="Asteroid Belt",POWER(Upgrades!$U$10,I81),1)*IF(Upgrades!$T$11="Asteroid Belt",POWER(Upgrades!$U$11,J81),1)*IF(Upgrades!$T$12="Asteroid Belt",POWER(Upgrades!$U$12,K81),1))+(IF(G81=0,0,(Upgrades!$M$8+G81*Upgrades!$N$8)*POWER(Upgrades!$O$8,G81)))*(IF(Upgrades!$T$6="Stellar Coupling",POWER(Upgrades!$U$6,E81),1)*IF(Upgrades!$T$7="Stellar Coupling",POWER(Upgrades!$U$7,F81),1)*IF(Upgrades!$T$9="Stellar Coupling",POWER(Upgrades!$U$9,H81),1)*IF(Upgrades!$T$10="Stellar Coupling",POWER(Upgrades!$U$10,I81),1)*IF(Upgrades!$T$11="Stellar Coupling",POWER(Upgrades!$U$11,J81),1)*IF(Upgrades!$T$12="Stellar Coupling",POWER(Upgrades!$U$12,K81),1))+(IF(H81=0,0,(Upgrades!$M$9+H81*Upgrades!$N$9)*POWER(Upgrades!$O$9,H81)))*(IF(Upgrades!$T$6="Magnetosphere",POWER(Upgrades!$U$6,E81),1)*IF(Upgrades!$T$7="Magnetosphere",POWER(Upgrades!$U$7,F81),1)*IF(Upgrades!$T$8="Magnetosphere",POWER(Upgrades!$U$8,G81),1)*IF(Upgrades!$T$10="Magnetosphere",POWER(Upgrades!$U$10,I81),1)*IF(Upgrades!$T$11="Magnetosphere",POWER(Upgrades!$U$11,J81),1)*IF(Upgrades!$T$12="Magnetosphere",POWER(Upgrades!$U$12,K81),1))+(IF(I81=0,0,(Upgrades!$M$10+I81*Upgrades!$N$10)*POWER(Upgrades!$O$10,I81)))*(IF(Upgrades!$T$6="Orbital Resonance",POWER(Upgrades!$U$6,E81),1)*IF(Upgrades!$T$7="Orbital Resonance",POWER(Upgrades!$U$7,F81),1)*IF(Upgrades!$T$8="Orbital Resonance",POWER(Upgrades!$U$8,G81),1)*IF(Upgrades!$T$9="Orbital Resonance",POWER(Upgrades!$U$9,H81),1)*IF(Upgrades!$T$11="Orbital Resonance",POWER(Upgrades!$U$11,J81),1)*IF(Upgrades!$T$12="Orbital Resonance",POWER(Upgrades!$U$12,K81),1))+(IF(J81=0,0,(Upgrades!$M$11+J81*Upgrades!$N$11)*POWER(Upgrades!$O$11,J81)))*(IF(Upgrades!$T$6="Heliopause",POWER(Upgrades!$U$6,E81),1)*IF(Upgrades!$T$7="Heliopause",POWER(Upgrades!$U$7,F81),1)*IF(Upgrades!$T$8="Heliopause",POWER(Upgrades!$U$8,G81),1)*IF(Upgrades!$T$9="Heliopause",POWER(Upgrades!$U$9,H81),1)*IF(Upgrades!$T$10="Heliopause",POWER(Upgrades!$U$10,I81),1)*IF(Upgrades!$T$12="Heliopause",POWER(Upgrades!$U$12,K81),1))+(IF(K81=0,0,(Upgrades!$M$12+K81*Upgrades!$N$12)*POWER(Upgrades!$O$12,K81)))*(IF(Upgrades!$T$6="First Photons",POWER(Upgrades!$U$6,E81),1)*IF(Upgrades!$T$7="First Photons",POWER(Upgrades!$U$7,F81),1)*IF(Upgrades!$T$8="First Photons",POWER(Upgrades!$U$8,G81),1)*IF(Upgrades!$T$9="First Photons",POWER(Upgrades!$U$9,H81),1)*IF(Upgrades!$T$10="First Photons",POWER(Upgrades!$U$10,I81),1)*IF(Upgrades!$T$11="First Photons",POWER(Upgrades!$U$11,J81),1)))*POWER(Upgrades!$R$6,E81)*POWER(Upgrades!$R$7,F81)*POWER(Upgrades!$R$8,G81)*POWER(Upgrades!$R$9,H81)*POWER(Upgrades!$R$10,I81)*POWER(Upgrades!$R$11,J81)*POWER(Upgrades!$R$12,K81)</f>
        <v>0</v>
      </c>
      <c r="P81" s="27" t="n">
        <f aca="false">IF(L81=1,0,M81*Parameters!$B$10/60*Parameters!$B$11*10)</f>
        <v>0</v>
      </c>
      <c r="Q81" s="27" t="n">
        <f aca="false">IF(L81=1,0,O81*M81*10)</f>
        <v>0</v>
      </c>
      <c r="R81" s="27" t="n">
        <f aca="false">IF(L81=1,0,N81*10)</f>
        <v>0</v>
      </c>
      <c r="S81" s="27" t="n">
        <f aca="false">P81+Q81+R81</f>
        <v>0</v>
      </c>
      <c r="T81" s="21" t="n">
        <f aca="false">C81+S81</f>
        <v>18.6730249835055</v>
      </c>
      <c r="U81" s="34" t="str">
        <f aca="false">AX81</f>
        <v/>
      </c>
      <c r="V81" s="21" t="n">
        <f aca="false">IF(U81="",0,IF(U81="transition",0,IF(U81="SW",AG81,IF(U81="AB",AH81,IF(U81="SC",AI81,IF(U81="Mag",AJ81,IF(U81="OR",AK81,IF(U81="HP",AL81,IF(U81="FP",AM81,0)))))))))</f>
        <v>0</v>
      </c>
      <c r="W81" s="27" t="n">
        <f aca="false">IF(U81="OR",Upgrades!$F$10,IF(U81="HP",Upgrades!$F$11,IF(U81="transition",-Parameters!$B$18,0)))</f>
        <v>0</v>
      </c>
      <c r="X81" s="21" t="n">
        <f aca="false">T81-V81</f>
        <v>18.6730249835055</v>
      </c>
      <c r="Y81" s="30" t="n">
        <f aca="false">M81*Parameters!$B$10/60*Parameters!$B$11+O81*M81+N81</f>
        <v>20.55</v>
      </c>
      <c r="Z81" s="35" t="str">
        <f aca="false">IF(U81="transition","→ Tier 2 (Stellar Neighborhood)",IF(U81="FP","First Photons — light begins, system quickens",IF(U81="HP","Heliopause acquired",IF(U81="OR","Orbital Resonance — passive multiplier active",IF(AND(AO81=1,L81=0,AN81&lt;&gt;1),"Cohesion ready (waiting on completionist upgrades)","")))))</f>
        <v/>
      </c>
      <c r="AA81" s="27" t="n">
        <f aca="false">(IF(E81=0,0,(Upgrades!$G$6+E81*Upgrades!$H$6)*POWER(Upgrades!$I$6,E81)))*(IF(Upgrades!$T$7="Solar Wind",POWER(Upgrades!$U$7,F81),1)*IF(Upgrades!$T$8="Solar Wind",POWER(Upgrades!$U$8,G81),1)*IF(Upgrades!$T$9="Solar Wind",POWER(Upgrades!$U$9,H81),1)*IF(Upgrades!$T$10="Solar Wind",POWER(Upgrades!$U$10,I81),1)*IF(Upgrades!$T$11="Solar Wind",POWER(Upgrades!$U$11,J81),1)*IF(Upgrades!$T$12="Solar Wind",POWER(Upgrades!$U$12,K81),1))*POWER(Upgrades!$P$6,E81)*POWER(Upgrades!$P$7,F81)*POWER(Upgrades!$P$8,G81)*POWER(Upgrades!$P$9,H81)*POWER(Upgrades!$P$10,I81)*POWER(Upgrades!$P$11,J81)*POWER(Upgrades!$P$12,K81)*60</f>
        <v>72</v>
      </c>
      <c r="AB81" s="27" t="n">
        <f aca="false">(IF(F81=0,0,(Upgrades!$G$7+F81*Upgrades!$H$7)*POWER(Upgrades!$I$7,F81)))*(IF(Upgrades!$T$6="Asteroid Belt",POWER(Upgrades!$U$6,E81),1)*IF(Upgrades!$T$8="Asteroid Belt",POWER(Upgrades!$U$8,G81),1)*IF(Upgrades!$T$9="Asteroid Belt",POWER(Upgrades!$U$9,H81),1)*IF(Upgrades!$T$10="Asteroid Belt",POWER(Upgrades!$U$10,I81),1)*IF(Upgrades!$T$11="Asteroid Belt",POWER(Upgrades!$U$11,J81),1)*IF(Upgrades!$T$12="Asteroid Belt",POWER(Upgrades!$U$12,K81),1))*POWER(Upgrades!$P$6,E81)*POWER(Upgrades!$P$7,F81)*POWER(Upgrades!$P$8,G81)*POWER(Upgrades!$P$9,H81)*POWER(Upgrades!$P$10,I81)*POWER(Upgrades!$P$11,J81)*POWER(Upgrades!$P$12,K81)*60</f>
        <v>150</v>
      </c>
      <c r="AC81" s="27" t="n">
        <f aca="false">(IF(G81=0,0,(Upgrades!$J$8+G81*Upgrades!$K$8)*POWER(Upgrades!$L$8,G81)))*(IF(Upgrades!$T$6="Stellar Coupling",POWER(Upgrades!$U$6,E81),1)*IF(Upgrades!$T$7="Stellar Coupling",POWER(Upgrades!$U$7,F81),1)*IF(Upgrades!$T$9="Stellar Coupling",POWER(Upgrades!$U$9,H81),1)*IF(Upgrades!$T$10="Stellar Coupling",POWER(Upgrades!$U$10,I81),1)*IF(Upgrades!$T$11="Stellar Coupling",POWER(Upgrades!$U$11,J81),1)*IF(Upgrades!$T$12="Stellar Coupling",POWER(Upgrades!$U$12,K81),1))*POWER(Upgrades!$Q$6,E81)*POWER(Upgrades!$Q$7,F81)*POWER(Upgrades!$Q$8,G81)*POWER(Upgrades!$Q$9,H81)*POWER(Upgrades!$Q$10,I81)*POWER(Upgrades!$Q$11,J81)*POWER(Upgrades!$Q$12,K81)*Parameters!$B$10*Parameters!$B$11</f>
        <v>441</v>
      </c>
      <c r="AD81" s="27" t="n">
        <f aca="false">(IF(H81=0,0,(Upgrades!$G$9+H81*Upgrades!$H$9)*POWER(Upgrades!$I$9,H81)))*(IF(Upgrades!$T$6="Magnetosphere",POWER(Upgrades!$U$6,E81),1)*IF(Upgrades!$T$7="Magnetosphere",POWER(Upgrades!$U$7,F81),1)*IF(Upgrades!$T$8="Magnetosphere",POWER(Upgrades!$U$8,G81),1)*IF(Upgrades!$T$10="Magnetosphere",POWER(Upgrades!$U$10,I81),1)*IF(Upgrades!$T$11="Magnetosphere",POWER(Upgrades!$U$11,J81),1)*IF(Upgrades!$T$12="Magnetosphere",POWER(Upgrades!$U$12,K81),1))*POWER(Upgrades!$P$6,E81)*POWER(Upgrades!$P$7,F81)*POWER(Upgrades!$P$8,G81)*POWER(Upgrades!$P$9,H81)*POWER(Upgrades!$P$10,I81)*POWER(Upgrades!$P$11,J81)*POWER(Upgrades!$P$12,K81)*60</f>
        <v>375</v>
      </c>
      <c r="AE81" s="27" t="n">
        <f aca="false">(IF(K81=0,0,(Upgrades!$G$12+K81*Upgrades!$H$12)*POWER(Upgrades!$I$12,K81)))*(IF(Upgrades!$T$6="First Photons",POWER(Upgrades!$U$6,E81),1)*IF(Upgrades!$T$7="First Photons",POWER(Upgrades!$U$7,F81),1)*IF(Upgrades!$T$8="First Photons",POWER(Upgrades!$U$8,G81),1)*IF(Upgrades!$T$9="First Photons",POWER(Upgrades!$U$9,H81),1)*IF(Upgrades!$T$10="First Photons",POWER(Upgrades!$U$10,I81),1)*IF(Upgrades!$T$11="First Photons",POWER(Upgrades!$U$11,J81),1))*POWER(Upgrades!$P$6,E81)*POWER(Upgrades!$P$7,F81)*POWER(Upgrades!$P$8,G81)*POWER(Upgrades!$P$9,H81)*POWER(Upgrades!$P$10,I81)*POWER(Upgrades!$P$11,J81)*POWER(Upgrades!$P$12,K81)*60</f>
        <v>75</v>
      </c>
      <c r="AF81" s="27" t="n">
        <f aca="false">Parameters!$B$9*POWER(Upgrades!$Q$6,E81)*POWER(Upgrades!$Q$7,F81)*POWER(Upgrades!$Q$8,G81)*POWER(Upgrades!$Q$9,H81)*POWER(Upgrades!$Q$10,I81)*POWER(Upgrades!$Q$11,J81)*POWER(Upgrades!$Q$12,K81)*(Parameters!$B$10*Parameters!$B$11+O81*60)</f>
        <v>120</v>
      </c>
      <c r="AG81" s="21" t="n">
        <f aca="false">IF(E81&gt;=Upgrades!$E$6,"",Upgrades!$C$6*POWER(Upgrades!$D$6,E81))</f>
        <v>37.4517507383159</v>
      </c>
      <c r="AH81" s="21" t="n">
        <f aca="false">IF(F81&gt;=Upgrades!$E$7,"",Upgrades!$C$7*POWER(Upgrades!$D$7,F81))</f>
        <v>80.9111547141581</v>
      </c>
      <c r="AI81" s="21" t="n">
        <f aca="false">IF(G81&gt;=Upgrades!$E$8,"",Upgrades!$C$8*POWER(Upgrades!$D$8,G81))</f>
        <v>231.9097088</v>
      </c>
      <c r="AJ81" s="21" t="str">
        <f aca="false">IF(H81&gt;=Upgrades!$E$9,"",Upgrades!$C$9*POWER(Upgrades!$D$9,H81))</f>
        <v/>
      </c>
      <c r="AK81" s="21" t="str">
        <f aca="false">IF(I81&gt;=Upgrades!$E$10,"",Upgrades!$C$10*POWER(Upgrades!$D$10,I81))</f>
        <v/>
      </c>
      <c r="AL81" s="21" t="str">
        <f aca="false">IF(J81&gt;=Upgrades!$E$11,"",Upgrades!$C$11*POWER(Upgrades!$D$11,J81))</f>
        <v/>
      </c>
      <c r="AM81" s="21" t="str">
        <f aca="false">IF(K81&gt;=Upgrades!$E$12,"",Upgrades!$C$12*POWER(Upgrades!$D$12,K81))</f>
        <v/>
      </c>
      <c r="AN81" s="26" t="str">
        <f aca="false">IF(AND(D81&gt;=Parameters!$B$18,(H81&gt;=Upgrades!$E$9)*(K81&gt;=Upgrades!$E$12)=1,L81=0),1,"")</f>
        <v/>
      </c>
      <c r="AO81" s="26" t="str">
        <f aca="false">IF(AND(D81&gt;=Parameters!$B$18,L81=0),1,"")</f>
        <v/>
      </c>
      <c r="AP81" s="21" t="n">
        <f aca="false">MIN(IF(ISNUMBER(AK81),AK81,9000000000000000),IF(ISNUMBER(AL81),AL81,9000000000000000),IF(ISNUMBER(AM81),AM81,9000000000000000))</f>
        <v>9000000000000000</v>
      </c>
      <c r="AQ81" s="21" t="n">
        <f aca="false">MIN(IF(ISNUMBER(AG81),AG81,9000000000000000),IF(ISNUMBER(AH81),AH81,9000000000000000),IF(ISNUMBER(AI81),AI81,9000000000000000),IF(ISNUMBER(AJ81),AJ81,9000000000000000))</f>
        <v>37.4517507383159</v>
      </c>
      <c r="AR81" s="32" t="b">
        <f aca="false">IF(AW81&gt;Parameters!$B$21*(MAX(IF(AND(NOT(AND(AO81=1,AN81&lt;&gt;1)),ISNUMBER(AG81),AG81&lt;=T81),AS81,0),IF(AND(NOT(AND(AO81=1,AN81&lt;&gt;1)),ISNUMBER(AH81),AH81&lt;=T81),AT81,0),IF(AND(NOT(AND(AO81=1,AN81&lt;&gt;1)),ISNUMBER(AI81),AI81&lt;=T81),AU81,0),IF(AND(ISNUMBER(AJ81),AJ81&lt;=T81),AV81,0))),TRUE(),FALSE())</f>
        <v>1</v>
      </c>
      <c r="AS81" s="33" t="n">
        <f aca="false">IFERROR(Upgrades!$H$6*(POWER(Upgrades!$P$6,E81)*POWER(Upgrades!$P$7,F81)*POWER(Upgrades!$P$8,G81)*POWER(Upgrades!$P$9,H81)*POWER(Upgrades!$P$10,I81)*POWER(Upgrades!$P$11,J81)*POWER(Upgrades!$P$12,K81))*(IF(Upgrades!$T$7="Solar Wind",POWER(Upgrades!$U$7,F81),1)*IF(Upgrades!$T$8="Solar Wind",POWER(Upgrades!$U$8,G81),1)*IF(Upgrades!$T$9="Solar Wind",POWER(Upgrades!$U$9,H81),1)*IF(Upgrades!$T$10="Solar Wind",POWER(Upgrades!$U$10,I81),1)*IF(Upgrades!$T$11="Solar Wind",POWER(Upgrades!$U$11,J81),1)*IF(Upgrades!$T$12="Solar Wind",POWER(Upgrades!$U$12,K81),1))/AG81,0)</f>
        <v>0.0026701021455238</v>
      </c>
      <c r="AT81" s="33" t="n">
        <f aca="false">IFERROR(Upgrades!$H$7*(POWER(Upgrades!$P$6,E81)*POWER(Upgrades!$P$7,F81)*POWER(Upgrades!$P$8,G81)*POWER(Upgrades!$P$9,H81)*POWER(Upgrades!$P$10,I81)*POWER(Upgrades!$P$11,J81)*POWER(Upgrades!$P$12,K81))*(IF(Upgrades!$T$6="Asteroid Belt",POWER(Upgrades!$U$6,E81),1)*IF(Upgrades!$T$8="Asteroid Belt",POWER(Upgrades!$U$8,G81),1)*IF(Upgrades!$T$9="Asteroid Belt",POWER(Upgrades!$U$9,H81),1)*IF(Upgrades!$T$10="Asteroid Belt",POWER(Upgrades!$U$10,I81),1)*IF(Upgrades!$T$11="Asteroid Belt",POWER(Upgrades!$U$11,J81),1)*IF(Upgrades!$T$12="Asteroid Belt",POWER(Upgrades!$U$12,K81),1))/AH81,0)</f>
        <v>0.00308980882652332</v>
      </c>
      <c r="AU81" s="33" t="n">
        <f aca="false">IFERROR(Upgrades!$K$8*(POWER(Upgrades!$Q$6,E81)*POWER(Upgrades!$Q$7,F81)*POWER(Upgrades!$Q$8,G81)*POWER(Upgrades!$Q$9,H81)*POWER(Upgrades!$Q$10,I81)*POWER(Upgrades!$Q$11,J81)*POWER(Upgrades!$Q$12,K81))*(IF(Upgrades!$T$6="Stellar Coupling",POWER(Upgrades!$U$6,E81),1)*IF(Upgrades!$T$7="Stellar Coupling",POWER(Upgrades!$U$7,F81),1)*IF(Upgrades!$T$9="Stellar Coupling",POWER(Upgrades!$U$9,H81),1)*IF(Upgrades!$T$10="Stellar Coupling",POWER(Upgrades!$U$10,I81),1)*IF(Upgrades!$T$11="Stellar Coupling",POWER(Upgrades!$U$11,J81),1)*IF(Upgrades!$T$12="Stellar Coupling",POWER(Upgrades!$U$12,K81),1))*Parameters!$B$10*Parameters!$B$11/60/AI81,0)</f>
        <v>0.00452762415783776</v>
      </c>
      <c r="AV81" s="33" t="n">
        <f aca="false">IFERROR(Upgrades!$H$9*(POWER(Upgrades!$P$6,E81)*POWER(Upgrades!$P$7,F81)*POWER(Upgrades!$P$8,G81)*POWER(Upgrades!$P$9,H81)*POWER(Upgrades!$P$10,I81)*POWER(Upgrades!$P$11,J81)*POWER(Upgrades!$P$12,K81))*(IF(Upgrades!$T$6="Magnetosphere",POWER(Upgrades!$U$6,E81),1)*IF(Upgrades!$T$7="Magnetosphere",POWER(Upgrades!$U$7,F81),1)*IF(Upgrades!$T$8="Magnetosphere",POWER(Upgrades!$U$8,G81),1)*IF(Upgrades!$T$10="Magnetosphere",POWER(Upgrades!$U$10,I81),1)*IF(Upgrades!$T$11="Magnetosphere",POWER(Upgrades!$U$11,J81),1)*IF(Upgrades!$T$12="Magnetosphere",POWER(Upgrades!$U$12,K81),1))/AJ81,0)</f>
        <v>0</v>
      </c>
      <c r="AW81" s="33" t="n">
        <f aca="false">MAX(IF(I81&gt;0,0,IFERROR(0.25*N81/Upgrades!$C$10,0)),IF(J81&gt;0,0,IFERROR(0.5*((IF(G81=0,0,(Upgrades!$J$8+G81*Upgrades!$K$8)*POWER(Upgrades!$L$8,G81)))*(IF(Upgrades!$T$6="Stellar Coupling",POWER(Upgrades!$U$6,E81),1)*IF(Upgrades!$T$7="Stellar Coupling",POWER(Upgrades!$U$7,F81),1)*IF(Upgrades!$T$9="Stellar Coupling",POWER(Upgrades!$U$9,H81),1)*IF(Upgrades!$T$10="Stellar Coupling",POWER(Upgrades!$U$10,I81),1)*IF(Upgrades!$T$11="Stellar Coupling",POWER(Upgrades!$U$11,J81),1)*IF(Upgrades!$T$12="Stellar Coupling",POWER(Upgrades!$U$12,K81),1))*(POWER(Upgrades!$Q$6,E81)*POWER(Upgrades!$Q$7,F81)*POWER(Upgrades!$Q$8,G81)*POWER(Upgrades!$Q$9,H81)*POWER(Upgrades!$Q$10,I81)*POWER(Upgrades!$Q$11,J81)*POWER(Upgrades!$Q$12,K81))*Parameters!$B$10*Parameters!$B$11/60)/Upgrades!$C$11,0)),IF(K81&gt;0,0,IFERROR((1*(POWER(Upgrades!$P$6,E81)*POWER(Upgrades!$P$7,F81)*POWER(Upgrades!$P$8,G81)*POWER(Upgrades!$P$9,H81)*POWER(Upgrades!$P$10,I81)*POWER(Upgrades!$P$11,J81)*POWER(Upgrades!$P$12,K81))+0.2*M81*Parameters!$B$10*Parameters!$B$11/60)/Upgrades!$C$12,0)),IF(AND(ISNUMBER(AG81),AG81&gt;T81),AS81,0),IF(AND(ISNUMBER(AH81),AH81&gt;T81),AT81,0),IF(AND(ISNUMBER(AI81),AI81&gt;T81),AU81,0),IF(AND(ISNUMBER(AJ81),AJ81&gt;T81),AV81,0))</f>
        <v>0.00452762415783776</v>
      </c>
      <c r="AX81" s="29" t="str">
        <f aca="false">IF(AN81=1,"transition",IF(MIN(IF(AND(I81=0,ISNUMBER(AK81),AK81&lt;=T81),AK81,9000000000000000),IF(AND(J81=0,ISNUMBER(AL81),AL81&lt;=T81),AL81,9000000000000000),IF(AND(K81=0,ISNUMBER(AM81),AM81&lt;=T81),AM81,9000000000000000))&lt;9000000000000000,IF(AND(AND(I81=0,ISNUMBER(AK81),AK81&lt;=T81),AK81=MIN(IF(AND(I81=0,ISNUMBER(AK81),AK81&lt;=T81),AK81,9000000000000000),IF(AND(J81=0,ISNUMBER(AL81),AL81&lt;=T81),AL81,9000000000000000),IF(AND(K81=0,ISNUMBER(AM81),AM81&lt;=T81),AM81,9000000000000000))),"OR",IF(AND(AND(J81=0,ISNUMBER(AL81),AL81&lt;=T81),AL81=MIN(IF(AND(I81=0,ISNUMBER(AK81),AK81&lt;=T81),AK81,9000000000000000),IF(AND(J81=0,ISNUMBER(AL81),AL81&lt;=T81),AL81,9000000000000000),IF(AND(K81=0,ISNUMBER(AM81),AM81&lt;=T81),AM81,9000000000000000))),"HP","FP")),IF(AR81=TRUE(),"",IF(MAX(IF(AND(NOT(AND(AO81=1,AN81&lt;&gt;1)),ISNUMBER(AG81),AG81&lt;=T81),AS81,0),IF(AND(NOT(AND(AO81=1,AN81&lt;&gt;1)),ISNUMBER(AH81),AH81&lt;=T81),AT81,0),IF(AND(NOT(AND(AO81=1,AN81&lt;&gt;1)),ISNUMBER(AI81),AI81&lt;=T81),AU81,0),IF(AND(ISNUMBER(AJ81),AJ81&lt;=T81),AV81,0))&lt;=0,"",IF(AND(IF(AND(NOT(AND(AO81=1,AN81&lt;&gt;1)),ISNUMBER(AG81),AG81&lt;=T81),AS81,0)&gt;0,IF(AND(NOT(AND(AO81=1,AN81&lt;&gt;1)),ISNUMBER(AG81),AG81&lt;=T81),AS81,0)=MAX(IF(AND(NOT(AND(AO81=1,AN81&lt;&gt;1)),ISNUMBER(AG81),AG81&lt;=T81),AS81,0),IF(AND(NOT(AND(AO81=1,AN81&lt;&gt;1)),ISNUMBER(AH81),AH81&lt;=T81),AT81,0),IF(AND(NOT(AND(AO81=1,AN81&lt;&gt;1)),ISNUMBER(AI81),AI81&lt;=T81),AU81,0),IF(AND(ISNUMBER(AJ81),AJ81&lt;=T81),AV81,0))),"SW",IF(AND(IF(AND(NOT(AND(AO81=1,AN81&lt;&gt;1)),ISNUMBER(AH81),AH81&lt;=T81),AT81,0)&gt;0,IF(AND(NOT(AND(AO81=1,AN81&lt;&gt;1)),ISNUMBER(AH81),AH81&lt;=T81),AT81,0)=MAX(IF(AND(NOT(AND(AO81=1,AN81&lt;&gt;1)),ISNUMBER(AG81),AG81&lt;=T81),AS81,0),IF(AND(NOT(AND(AO81=1,AN81&lt;&gt;1)),ISNUMBER(AH81),AH81&lt;=T81),AT81,0),IF(AND(NOT(AND(AO81=1,AN81&lt;&gt;1)),ISNUMBER(AI81),AI81&lt;=T81),AU81,0),IF(AND(ISNUMBER(AJ81),AJ81&lt;=T81),AV81,0))),"AB",IF(AND(IF(AND(NOT(AND(AO81=1,AN81&lt;&gt;1)),ISNUMBER(AI81),AI81&lt;=T81),AU81,0)&gt;0,IF(AND(NOT(AND(AO81=1,AN81&lt;&gt;1)),ISNUMBER(AI81),AI81&lt;=T81),AU81,0)=MAX(IF(AND(NOT(AND(AO81=1,AN81&lt;&gt;1)),ISNUMBER(AG81),AG81&lt;=T81),AS81,0),IF(AND(NOT(AND(AO81=1,AN81&lt;&gt;1)),ISNUMBER(AH81),AH81&lt;=T81),AT81,0),IF(AND(NOT(AND(AO81=1,AN81&lt;&gt;1)),ISNUMBER(AI81),AI81&lt;=T81),AU81,0),IF(AND(ISNUMBER(AJ81),AJ81&lt;=T81),AV81,0))),"SC","Mag")))))))</f>
        <v/>
      </c>
    </row>
    <row r="82" customFormat="false" ht="15" hidden="false" customHeight="false" outlineLevel="0" collapsed="false">
      <c r="A82" s="26" t="n">
        <v>77</v>
      </c>
      <c r="B82" s="27" t="n">
        <f aca="false">A82*10/60</f>
        <v>12.8333333333333</v>
      </c>
      <c r="C82" s="21" t="n">
        <f aca="false">X81</f>
        <v>18.6730249835055</v>
      </c>
      <c r="D82" s="27" t="n">
        <f aca="false">D81+W81</f>
        <v>0</v>
      </c>
      <c r="E82" s="26" t="n">
        <f aca="false">E81+IF(U81="SW",1,0)</f>
        <v>12</v>
      </c>
      <c r="F82" s="26" t="n">
        <f aca="false">F81+IF(U81="AB",1,0)</f>
        <v>10</v>
      </c>
      <c r="G82" s="26" t="n">
        <f aca="false">G81+IF(U81="SC",1,0)</f>
        <v>7</v>
      </c>
      <c r="H82" s="26" t="n">
        <f aca="false">H81+IF(U81="Mag",1,0)</f>
        <v>5</v>
      </c>
      <c r="I82" s="26" t="n">
        <f aca="false">MAX(I81,IF(U81="OR",1,0))</f>
        <v>1</v>
      </c>
      <c r="J82" s="26" t="n">
        <f aca="false">MAX(J81,IF(U81="HP",1,0))</f>
        <v>1</v>
      </c>
      <c r="K82" s="26" t="n">
        <f aca="false">MAX(K81,IF(U81="FP",1,0))</f>
        <v>1</v>
      </c>
      <c r="L82" s="26" t="n">
        <f aca="false">MAX(L81,IF(U81="transition",1,0))</f>
        <v>1</v>
      </c>
      <c r="M82" s="28" t="n">
        <f aca="false">(Parameters!$B$9+(IF(E82=0,0,(Upgrades!$J$6+E82*Upgrades!$K$6)*POWER(Upgrades!$L$6,E82)))*(IF(Upgrades!$T$7="Solar Wind",POWER(Upgrades!$U$7,F82),1)*IF(Upgrades!$T$8="Solar Wind",POWER(Upgrades!$U$8,G82),1)*IF(Upgrades!$T$9="Solar Wind",POWER(Upgrades!$U$9,H82),1)*IF(Upgrades!$T$10="Solar Wind",POWER(Upgrades!$U$10,I82),1)*IF(Upgrades!$T$11="Solar Wind",POWER(Upgrades!$U$11,J82),1)*IF(Upgrades!$T$12="Solar Wind",POWER(Upgrades!$U$12,K82),1))+(IF(F82=0,0,(Upgrades!$J$7+F82*Upgrades!$K$7)*POWER(Upgrades!$L$7,F82)))*(IF(Upgrades!$T$6="Asteroid Belt",POWER(Upgrades!$U$6,E82),1)*IF(Upgrades!$T$8="Asteroid Belt",POWER(Upgrades!$U$8,G82),1)*IF(Upgrades!$T$9="Asteroid Belt",POWER(Upgrades!$U$9,H82),1)*IF(Upgrades!$T$10="Asteroid Belt",POWER(Upgrades!$U$10,I82),1)*IF(Upgrades!$T$11="Asteroid Belt",POWER(Upgrades!$U$11,J82),1)*IF(Upgrades!$T$12="Asteroid Belt",POWER(Upgrades!$U$12,K82),1))+(IF(G82=0,0,(Upgrades!$J$8+G82*Upgrades!$K$8)*POWER(Upgrades!$L$8,G82)))*(IF(Upgrades!$T$6="Stellar Coupling",POWER(Upgrades!$U$6,E82),1)*IF(Upgrades!$T$7="Stellar Coupling",POWER(Upgrades!$U$7,F82),1)*IF(Upgrades!$T$9="Stellar Coupling",POWER(Upgrades!$U$9,H82),1)*IF(Upgrades!$T$10="Stellar Coupling",POWER(Upgrades!$U$10,I82),1)*IF(Upgrades!$T$11="Stellar Coupling",POWER(Upgrades!$U$11,J82),1)*IF(Upgrades!$T$12="Stellar Coupling",POWER(Upgrades!$U$12,K82),1))+(IF(H82=0,0,(Upgrades!$J$9+H82*Upgrades!$K$9)*POWER(Upgrades!$L$9,H82)))*(IF(Upgrades!$T$6="Magnetosphere",POWER(Upgrades!$U$6,E82),1)*IF(Upgrades!$T$7="Magnetosphere",POWER(Upgrades!$U$7,F82),1)*IF(Upgrades!$T$8="Magnetosphere",POWER(Upgrades!$U$8,G82),1)*IF(Upgrades!$T$10="Magnetosphere",POWER(Upgrades!$U$10,I82),1)*IF(Upgrades!$T$11="Magnetosphere",POWER(Upgrades!$U$11,J82),1)*IF(Upgrades!$T$12="Magnetosphere",POWER(Upgrades!$U$12,K82),1))+(IF(I82=0,0,(Upgrades!$J$10+I82*Upgrades!$K$10)*POWER(Upgrades!$L$10,I82)))*(IF(Upgrades!$T$6="Orbital Resonance",POWER(Upgrades!$U$6,E82),1)*IF(Upgrades!$T$7="Orbital Resonance",POWER(Upgrades!$U$7,F82),1)*IF(Upgrades!$T$8="Orbital Resonance",POWER(Upgrades!$U$8,G82),1)*IF(Upgrades!$T$9="Orbital Resonance",POWER(Upgrades!$U$9,H82),1)*IF(Upgrades!$T$11="Orbital Resonance",POWER(Upgrades!$U$11,J82),1)*IF(Upgrades!$T$12="Orbital Resonance",POWER(Upgrades!$U$12,K82),1))+(IF(J82=0,0,(Upgrades!$J$11+J82*Upgrades!$K$11)*POWER(Upgrades!$L$11,J82)))*(IF(Upgrades!$T$6="Heliopause",POWER(Upgrades!$U$6,E82),1)*IF(Upgrades!$T$7="Heliopause",POWER(Upgrades!$U$7,F82),1)*IF(Upgrades!$T$8="Heliopause",POWER(Upgrades!$U$8,G82),1)*IF(Upgrades!$T$9="Heliopause",POWER(Upgrades!$U$9,H82),1)*IF(Upgrades!$T$10="Heliopause",POWER(Upgrades!$U$10,I82),1)*IF(Upgrades!$T$12="Heliopause",POWER(Upgrades!$U$12,K82),1))+(IF(K82=0,0,(Upgrades!$J$12+K82*Upgrades!$K$12)*POWER(Upgrades!$L$12,K82)))*(IF(Upgrades!$T$6="First Photons",POWER(Upgrades!$U$6,E82),1)*IF(Upgrades!$T$7="First Photons",POWER(Upgrades!$U$7,F82),1)*IF(Upgrades!$T$8="First Photons",POWER(Upgrades!$U$8,G82),1)*IF(Upgrades!$T$9="First Photons",POWER(Upgrades!$U$9,H82),1)*IF(Upgrades!$T$10="First Photons",POWER(Upgrades!$U$10,I82),1)*IF(Upgrades!$T$11="First Photons",POWER(Upgrades!$U$11,J82),1)))*POWER(Upgrades!$Q$6,E82)*POWER(Upgrades!$Q$7,F82)*POWER(Upgrades!$Q$8,G82)*POWER(Upgrades!$Q$9,H82)*POWER(Upgrades!$Q$10,I82)*POWER(Upgrades!$Q$11,J82)*POWER(Upgrades!$Q$12,K82)</f>
        <v>5.61</v>
      </c>
      <c r="N82" s="28" t="n">
        <f aca="false">((IF(E82=0,0,(Upgrades!$G$6+E82*Upgrades!$H$6)*POWER(Upgrades!$I$6,E82)))*(IF(Upgrades!$T$7="Solar Wind",POWER(Upgrades!$U$7,F82),1)*IF(Upgrades!$T$8="Solar Wind",POWER(Upgrades!$U$8,G82),1)*IF(Upgrades!$T$9="Solar Wind",POWER(Upgrades!$U$9,H82),1)*IF(Upgrades!$T$10="Solar Wind",POWER(Upgrades!$U$10,I82),1)*IF(Upgrades!$T$11="Solar Wind",POWER(Upgrades!$U$11,J82),1)*IF(Upgrades!$T$12="Solar Wind",POWER(Upgrades!$U$12,K82),1))+(IF(F82=0,0,(Upgrades!$G$7+F82*Upgrades!$H$7)*POWER(Upgrades!$I$7,F82)))*(IF(Upgrades!$T$6="Asteroid Belt",POWER(Upgrades!$U$6,E82),1)*IF(Upgrades!$T$8="Asteroid Belt",POWER(Upgrades!$U$8,G82),1)*IF(Upgrades!$T$9="Asteroid Belt",POWER(Upgrades!$U$9,H82),1)*IF(Upgrades!$T$10="Asteroid Belt",POWER(Upgrades!$U$10,I82),1)*IF(Upgrades!$T$11="Asteroid Belt",POWER(Upgrades!$U$11,J82),1)*IF(Upgrades!$T$12="Asteroid Belt",POWER(Upgrades!$U$12,K82),1))+(IF(G82=0,0,(Upgrades!$G$8+G82*Upgrades!$H$8)*POWER(Upgrades!$I$8,G82)))*(IF(Upgrades!$T$6="Stellar Coupling",POWER(Upgrades!$U$6,E82),1)*IF(Upgrades!$T$7="Stellar Coupling",POWER(Upgrades!$U$7,F82),1)*IF(Upgrades!$T$9="Stellar Coupling",POWER(Upgrades!$U$9,H82),1)*IF(Upgrades!$T$10="Stellar Coupling",POWER(Upgrades!$U$10,I82),1)*IF(Upgrades!$T$11="Stellar Coupling",POWER(Upgrades!$U$11,J82),1)*IF(Upgrades!$T$12="Stellar Coupling",POWER(Upgrades!$U$12,K82),1))+(IF(H82=0,0,(Upgrades!$G$9+H82*Upgrades!$H$9)*POWER(Upgrades!$I$9,H82)))*(IF(Upgrades!$T$6="Magnetosphere",POWER(Upgrades!$U$6,E82),1)*IF(Upgrades!$T$7="Magnetosphere",POWER(Upgrades!$U$7,F82),1)*IF(Upgrades!$T$8="Magnetosphere",POWER(Upgrades!$U$8,G82),1)*IF(Upgrades!$T$10="Magnetosphere",POWER(Upgrades!$U$10,I82),1)*IF(Upgrades!$T$11="Magnetosphere",POWER(Upgrades!$U$11,J82),1)*IF(Upgrades!$T$12="Magnetosphere",POWER(Upgrades!$U$12,K82),1))+(IF(I82=0,0,(Upgrades!$G$10+I82*Upgrades!$H$10)*POWER(Upgrades!$I$10,I82)))*(IF(Upgrades!$T$6="Orbital Resonance",POWER(Upgrades!$U$6,E82),1)*IF(Upgrades!$T$7="Orbital Resonance",POWER(Upgrades!$U$7,F82),1)*IF(Upgrades!$T$8="Orbital Resonance",POWER(Upgrades!$U$8,G82),1)*IF(Upgrades!$T$9="Orbital Resonance",POWER(Upgrades!$U$9,H82),1)*IF(Upgrades!$T$11="Orbital Resonance",POWER(Upgrades!$U$11,J82),1)*IF(Upgrades!$T$12="Orbital Resonance",POWER(Upgrades!$U$12,K82),1))+(IF(J82=0,0,(Upgrades!$G$11+J82*Upgrades!$H$11)*POWER(Upgrades!$I$11,J82)))*(IF(Upgrades!$T$6="Heliopause",POWER(Upgrades!$U$6,E82),1)*IF(Upgrades!$T$7="Heliopause",POWER(Upgrades!$U$7,F82),1)*IF(Upgrades!$T$8="Heliopause",POWER(Upgrades!$U$8,G82),1)*IF(Upgrades!$T$9="Heliopause",POWER(Upgrades!$U$9,H82),1)*IF(Upgrades!$T$10="Heliopause",POWER(Upgrades!$U$10,I82),1)*IF(Upgrades!$T$12="Heliopause",POWER(Upgrades!$U$12,K82),1))+(IF(K82=0,0,(Upgrades!$G$12+K82*Upgrades!$H$12)*POWER(Upgrades!$I$12,K82)))*(IF(Upgrades!$T$6="First Photons",POWER(Upgrades!$U$6,E82),1)*IF(Upgrades!$T$7="First Photons",POWER(Upgrades!$U$7,F82),1)*IF(Upgrades!$T$8="First Photons",POWER(Upgrades!$U$8,G82),1)*IF(Upgrades!$T$9="First Photons",POWER(Upgrades!$U$9,H82),1)*IF(Upgrades!$T$10="First Photons",POWER(Upgrades!$U$10,I82),1)*IF(Upgrades!$T$11="First Photons",POWER(Upgrades!$U$11,J82),1)))*POWER(Upgrades!$P$6,E82)*POWER(Upgrades!$P$7,F82)*POWER(Upgrades!$P$8,G82)*POWER(Upgrades!$P$9,H82)*POWER(Upgrades!$P$10,I82)*POWER(Upgrades!$P$11,J82)*POWER(Upgrades!$P$12,K82)</f>
        <v>11.2</v>
      </c>
      <c r="O82" s="28" t="n">
        <f aca="false">((IF(E82=0,0,(Upgrades!$M$6+E82*Upgrades!$N$6)*POWER(Upgrades!$O$6,E82)))*(IF(Upgrades!$T$7="Solar Wind",POWER(Upgrades!$U$7,F82),1)*IF(Upgrades!$T$8="Solar Wind",POWER(Upgrades!$U$8,G82),1)*IF(Upgrades!$T$9="Solar Wind",POWER(Upgrades!$U$9,H82),1)*IF(Upgrades!$T$10="Solar Wind",POWER(Upgrades!$U$10,I82),1)*IF(Upgrades!$T$11="Solar Wind",POWER(Upgrades!$U$11,J82),1)*IF(Upgrades!$T$12="Solar Wind",POWER(Upgrades!$U$12,K82),1))+(IF(F82=0,0,(Upgrades!$M$7+F82*Upgrades!$N$7)*POWER(Upgrades!$O$7,F82)))*(IF(Upgrades!$T$6="Asteroid Belt",POWER(Upgrades!$U$6,E82),1)*IF(Upgrades!$T$8="Asteroid Belt",POWER(Upgrades!$U$8,G82),1)*IF(Upgrades!$T$9="Asteroid Belt",POWER(Upgrades!$U$9,H82),1)*IF(Upgrades!$T$10="Asteroid Belt",POWER(Upgrades!$U$10,I82),1)*IF(Upgrades!$T$11="Asteroid Belt",POWER(Upgrades!$U$11,J82),1)*IF(Upgrades!$T$12="Asteroid Belt",POWER(Upgrades!$U$12,K82),1))+(IF(G82=0,0,(Upgrades!$M$8+G82*Upgrades!$N$8)*POWER(Upgrades!$O$8,G82)))*(IF(Upgrades!$T$6="Stellar Coupling",POWER(Upgrades!$U$6,E82),1)*IF(Upgrades!$T$7="Stellar Coupling",POWER(Upgrades!$U$7,F82),1)*IF(Upgrades!$T$9="Stellar Coupling",POWER(Upgrades!$U$9,H82),1)*IF(Upgrades!$T$10="Stellar Coupling",POWER(Upgrades!$U$10,I82),1)*IF(Upgrades!$T$11="Stellar Coupling",POWER(Upgrades!$U$11,J82),1)*IF(Upgrades!$T$12="Stellar Coupling",POWER(Upgrades!$U$12,K82),1))+(IF(H82=0,0,(Upgrades!$M$9+H82*Upgrades!$N$9)*POWER(Upgrades!$O$9,H82)))*(IF(Upgrades!$T$6="Magnetosphere",POWER(Upgrades!$U$6,E82),1)*IF(Upgrades!$T$7="Magnetosphere",POWER(Upgrades!$U$7,F82),1)*IF(Upgrades!$T$8="Magnetosphere",POWER(Upgrades!$U$8,G82),1)*IF(Upgrades!$T$10="Magnetosphere",POWER(Upgrades!$U$10,I82),1)*IF(Upgrades!$T$11="Magnetosphere",POWER(Upgrades!$U$11,J82),1)*IF(Upgrades!$T$12="Magnetosphere",POWER(Upgrades!$U$12,K82),1))+(IF(I82=0,0,(Upgrades!$M$10+I82*Upgrades!$N$10)*POWER(Upgrades!$O$10,I82)))*(IF(Upgrades!$T$6="Orbital Resonance",POWER(Upgrades!$U$6,E82),1)*IF(Upgrades!$T$7="Orbital Resonance",POWER(Upgrades!$U$7,F82),1)*IF(Upgrades!$T$8="Orbital Resonance",POWER(Upgrades!$U$8,G82),1)*IF(Upgrades!$T$9="Orbital Resonance",POWER(Upgrades!$U$9,H82),1)*IF(Upgrades!$T$11="Orbital Resonance",POWER(Upgrades!$U$11,J82),1)*IF(Upgrades!$T$12="Orbital Resonance",POWER(Upgrades!$U$12,K82),1))+(IF(J82=0,0,(Upgrades!$M$11+J82*Upgrades!$N$11)*POWER(Upgrades!$O$11,J82)))*(IF(Upgrades!$T$6="Heliopause",POWER(Upgrades!$U$6,E82),1)*IF(Upgrades!$T$7="Heliopause",POWER(Upgrades!$U$7,F82),1)*IF(Upgrades!$T$8="Heliopause",POWER(Upgrades!$U$8,G82),1)*IF(Upgrades!$T$9="Heliopause",POWER(Upgrades!$U$9,H82),1)*IF(Upgrades!$T$10="Heliopause",POWER(Upgrades!$U$10,I82),1)*IF(Upgrades!$T$12="Heliopause",POWER(Upgrades!$U$12,K82),1))+(IF(K82=0,0,(Upgrades!$M$12+K82*Upgrades!$N$12)*POWER(Upgrades!$O$12,K82)))*(IF(Upgrades!$T$6="First Photons",POWER(Upgrades!$U$6,E82),1)*IF(Upgrades!$T$7="First Photons",POWER(Upgrades!$U$7,F82),1)*IF(Upgrades!$T$8="First Photons",POWER(Upgrades!$U$8,G82),1)*IF(Upgrades!$T$9="First Photons",POWER(Upgrades!$U$9,H82),1)*IF(Upgrades!$T$10="First Photons",POWER(Upgrades!$U$10,I82),1)*IF(Upgrades!$T$11="First Photons",POWER(Upgrades!$U$11,J82),1)))*POWER(Upgrades!$R$6,E82)*POWER(Upgrades!$R$7,F82)*POWER(Upgrades!$R$8,G82)*POWER(Upgrades!$R$9,H82)*POWER(Upgrades!$R$10,I82)*POWER(Upgrades!$R$11,J82)*POWER(Upgrades!$R$12,K82)</f>
        <v>0</v>
      </c>
      <c r="P82" s="27" t="n">
        <f aca="false">IF(L82=1,0,M82*Parameters!$B$10/60*Parameters!$B$11*10)</f>
        <v>0</v>
      </c>
      <c r="Q82" s="27" t="n">
        <f aca="false">IF(L82=1,0,O82*M82*10)</f>
        <v>0</v>
      </c>
      <c r="R82" s="27" t="n">
        <f aca="false">IF(L82=1,0,N82*10)</f>
        <v>0</v>
      </c>
      <c r="S82" s="27" t="n">
        <f aca="false">P82+Q82+R82</f>
        <v>0</v>
      </c>
      <c r="T82" s="21" t="n">
        <f aca="false">C82+S82</f>
        <v>18.6730249835055</v>
      </c>
      <c r="U82" s="34" t="str">
        <f aca="false">AX82</f>
        <v/>
      </c>
      <c r="V82" s="21" t="n">
        <f aca="false">IF(U82="",0,IF(U82="transition",0,IF(U82="SW",AG82,IF(U82="AB",AH82,IF(U82="SC",AI82,IF(U82="Mag",AJ82,IF(U82="OR",AK82,IF(U82="HP",AL82,IF(U82="FP",AM82,0)))))))))</f>
        <v>0</v>
      </c>
      <c r="W82" s="27" t="n">
        <f aca="false">IF(U82="OR",Upgrades!$F$10,IF(U82="HP",Upgrades!$F$11,IF(U82="transition",-Parameters!$B$18,0)))</f>
        <v>0</v>
      </c>
      <c r="X82" s="21" t="n">
        <f aca="false">T82-V82</f>
        <v>18.6730249835055</v>
      </c>
      <c r="Y82" s="30" t="n">
        <f aca="false">M82*Parameters!$B$10/60*Parameters!$B$11+O82*M82+N82</f>
        <v>20.55</v>
      </c>
      <c r="Z82" s="35" t="str">
        <f aca="false">IF(U82="transition","→ Tier 2 (Stellar Neighborhood)",IF(U82="FP","First Photons — light begins, system quickens",IF(U82="HP","Heliopause acquired",IF(U82="OR","Orbital Resonance — passive multiplier active",IF(AND(AO82=1,L82=0,AN82&lt;&gt;1),"Cohesion ready (waiting on completionist upgrades)","")))))</f>
        <v/>
      </c>
      <c r="AA82" s="27" t="n">
        <f aca="false">(IF(E82=0,0,(Upgrades!$G$6+E82*Upgrades!$H$6)*POWER(Upgrades!$I$6,E82)))*(IF(Upgrades!$T$7="Solar Wind",POWER(Upgrades!$U$7,F82),1)*IF(Upgrades!$T$8="Solar Wind",POWER(Upgrades!$U$8,G82),1)*IF(Upgrades!$T$9="Solar Wind",POWER(Upgrades!$U$9,H82),1)*IF(Upgrades!$T$10="Solar Wind",POWER(Upgrades!$U$10,I82),1)*IF(Upgrades!$T$11="Solar Wind",POWER(Upgrades!$U$11,J82),1)*IF(Upgrades!$T$12="Solar Wind",POWER(Upgrades!$U$12,K82),1))*POWER(Upgrades!$P$6,E82)*POWER(Upgrades!$P$7,F82)*POWER(Upgrades!$P$8,G82)*POWER(Upgrades!$P$9,H82)*POWER(Upgrades!$P$10,I82)*POWER(Upgrades!$P$11,J82)*POWER(Upgrades!$P$12,K82)*60</f>
        <v>72</v>
      </c>
      <c r="AB82" s="27" t="n">
        <f aca="false">(IF(F82=0,0,(Upgrades!$G$7+F82*Upgrades!$H$7)*POWER(Upgrades!$I$7,F82)))*(IF(Upgrades!$T$6="Asteroid Belt",POWER(Upgrades!$U$6,E82),1)*IF(Upgrades!$T$8="Asteroid Belt",POWER(Upgrades!$U$8,G82),1)*IF(Upgrades!$T$9="Asteroid Belt",POWER(Upgrades!$U$9,H82),1)*IF(Upgrades!$T$10="Asteroid Belt",POWER(Upgrades!$U$10,I82),1)*IF(Upgrades!$T$11="Asteroid Belt",POWER(Upgrades!$U$11,J82),1)*IF(Upgrades!$T$12="Asteroid Belt",POWER(Upgrades!$U$12,K82),1))*POWER(Upgrades!$P$6,E82)*POWER(Upgrades!$P$7,F82)*POWER(Upgrades!$P$8,G82)*POWER(Upgrades!$P$9,H82)*POWER(Upgrades!$P$10,I82)*POWER(Upgrades!$P$11,J82)*POWER(Upgrades!$P$12,K82)*60</f>
        <v>150</v>
      </c>
      <c r="AC82" s="27" t="n">
        <f aca="false">(IF(G82=0,0,(Upgrades!$J$8+G82*Upgrades!$K$8)*POWER(Upgrades!$L$8,G82)))*(IF(Upgrades!$T$6="Stellar Coupling",POWER(Upgrades!$U$6,E82),1)*IF(Upgrades!$T$7="Stellar Coupling",POWER(Upgrades!$U$7,F82),1)*IF(Upgrades!$T$9="Stellar Coupling",POWER(Upgrades!$U$9,H82),1)*IF(Upgrades!$T$10="Stellar Coupling",POWER(Upgrades!$U$10,I82),1)*IF(Upgrades!$T$11="Stellar Coupling",POWER(Upgrades!$U$11,J82),1)*IF(Upgrades!$T$12="Stellar Coupling",POWER(Upgrades!$U$12,K82),1))*POWER(Upgrades!$Q$6,E82)*POWER(Upgrades!$Q$7,F82)*POWER(Upgrades!$Q$8,G82)*POWER(Upgrades!$Q$9,H82)*POWER(Upgrades!$Q$10,I82)*POWER(Upgrades!$Q$11,J82)*POWER(Upgrades!$Q$12,K82)*Parameters!$B$10*Parameters!$B$11</f>
        <v>441</v>
      </c>
      <c r="AD82" s="27" t="n">
        <f aca="false">(IF(H82=0,0,(Upgrades!$G$9+H82*Upgrades!$H$9)*POWER(Upgrades!$I$9,H82)))*(IF(Upgrades!$T$6="Magnetosphere",POWER(Upgrades!$U$6,E82),1)*IF(Upgrades!$T$7="Magnetosphere",POWER(Upgrades!$U$7,F82),1)*IF(Upgrades!$T$8="Magnetosphere",POWER(Upgrades!$U$8,G82),1)*IF(Upgrades!$T$10="Magnetosphere",POWER(Upgrades!$U$10,I82),1)*IF(Upgrades!$T$11="Magnetosphere",POWER(Upgrades!$U$11,J82),1)*IF(Upgrades!$T$12="Magnetosphere",POWER(Upgrades!$U$12,K82),1))*POWER(Upgrades!$P$6,E82)*POWER(Upgrades!$P$7,F82)*POWER(Upgrades!$P$8,G82)*POWER(Upgrades!$P$9,H82)*POWER(Upgrades!$P$10,I82)*POWER(Upgrades!$P$11,J82)*POWER(Upgrades!$P$12,K82)*60</f>
        <v>375</v>
      </c>
      <c r="AE82" s="27" t="n">
        <f aca="false">(IF(K82=0,0,(Upgrades!$G$12+K82*Upgrades!$H$12)*POWER(Upgrades!$I$12,K82)))*(IF(Upgrades!$T$6="First Photons",POWER(Upgrades!$U$6,E82),1)*IF(Upgrades!$T$7="First Photons",POWER(Upgrades!$U$7,F82),1)*IF(Upgrades!$T$8="First Photons",POWER(Upgrades!$U$8,G82),1)*IF(Upgrades!$T$9="First Photons",POWER(Upgrades!$U$9,H82),1)*IF(Upgrades!$T$10="First Photons",POWER(Upgrades!$U$10,I82),1)*IF(Upgrades!$T$11="First Photons",POWER(Upgrades!$U$11,J82),1))*POWER(Upgrades!$P$6,E82)*POWER(Upgrades!$P$7,F82)*POWER(Upgrades!$P$8,G82)*POWER(Upgrades!$P$9,H82)*POWER(Upgrades!$P$10,I82)*POWER(Upgrades!$P$11,J82)*POWER(Upgrades!$P$12,K82)*60</f>
        <v>75</v>
      </c>
      <c r="AF82" s="27" t="n">
        <f aca="false">Parameters!$B$9*POWER(Upgrades!$Q$6,E82)*POWER(Upgrades!$Q$7,F82)*POWER(Upgrades!$Q$8,G82)*POWER(Upgrades!$Q$9,H82)*POWER(Upgrades!$Q$10,I82)*POWER(Upgrades!$Q$11,J82)*POWER(Upgrades!$Q$12,K82)*(Parameters!$B$10*Parameters!$B$11+O82*60)</f>
        <v>120</v>
      </c>
      <c r="AG82" s="21" t="n">
        <f aca="false">IF(E82&gt;=Upgrades!$E$6,"",Upgrades!$C$6*POWER(Upgrades!$D$6,E82))</f>
        <v>37.4517507383159</v>
      </c>
      <c r="AH82" s="21" t="n">
        <f aca="false">IF(F82&gt;=Upgrades!$E$7,"",Upgrades!$C$7*POWER(Upgrades!$D$7,F82))</f>
        <v>80.9111547141581</v>
      </c>
      <c r="AI82" s="21" t="n">
        <f aca="false">IF(G82&gt;=Upgrades!$E$8,"",Upgrades!$C$8*POWER(Upgrades!$D$8,G82))</f>
        <v>231.9097088</v>
      </c>
      <c r="AJ82" s="21" t="str">
        <f aca="false">IF(H82&gt;=Upgrades!$E$9,"",Upgrades!$C$9*POWER(Upgrades!$D$9,H82))</f>
        <v/>
      </c>
      <c r="AK82" s="21" t="str">
        <f aca="false">IF(I82&gt;=Upgrades!$E$10,"",Upgrades!$C$10*POWER(Upgrades!$D$10,I82))</f>
        <v/>
      </c>
      <c r="AL82" s="21" t="str">
        <f aca="false">IF(J82&gt;=Upgrades!$E$11,"",Upgrades!$C$11*POWER(Upgrades!$D$11,J82))</f>
        <v/>
      </c>
      <c r="AM82" s="21" t="str">
        <f aca="false">IF(K82&gt;=Upgrades!$E$12,"",Upgrades!$C$12*POWER(Upgrades!$D$12,K82))</f>
        <v/>
      </c>
      <c r="AN82" s="26" t="str">
        <f aca="false">IF(AND(D82&gt;=Parameters!$B$18,(H82&gt;=Upgrades!$E$9)*(K82&gt;=Upgrades!$E$12)=1,L82=0),1,"")</f>
        <v/>
      </c>
      <c r="AO82" s="26" t="str">
        <f aca="false">IF(AND(D82&gt;=Parameters!$B$18,L82=0),1,"")</f>
        <v/>
      </c>
      <c r="AP82" s="21" t="n">
        <f aca="false">MIN(IF(ISNUMBER(AK82),AK82,9000000000000000),IF(ISNUMBER(AL82),AL82,9000000000000000),IF(ISNUMBER(AM82),AM82,9000000000000000))</f>
        <v>9000000000000000</v>
      </c>
      <c r="AQ82" s="21" t="n">
        <f aca="false">MIN(IF(ISNUMBER(AG82),AG82,9000000000000000),IF(ISNUMBER(AH82),AH82,9000000000000000),IF(ISNUMBER(AI82),AI82,9000000000000000),IF(ISNUMBER(AJ82),AJ82,9000000000000000))</f>
        <v>37.4517507383159</v>
      </c>
      <c r="AR82" s="32" t="b">
        <f aca="false">IF(AW82&gt;Parameters!$B$21*(MAX(IF(AND(NOT(AND(AO82=1,AN82&lt;&gt;1)),ISNUMBER(AG82),AG82&lt;=T82),AS82,0),IF(AND(NOT(AND(AO82=1,AN82&lt;&gt;1)),ISNUMBER(AH82),AH82&lt;=T82),AT82,0),IF(AND(NOT(AND(AO82=1,AN82&lt;&gt;1)),ISNUMBER(AI82),AI82&lt;=T82),AU82,0),IF(AND(ISNUMBER(AJ82),AJ82&lt;=T82),AV82,0))),TRUE(),FALSE())</f>
        <v>1</v>
      </c>
      <c r="AS82" s="33" t="n">
        <f aca="false">IFERROR(Upgrades!$H$6*(POWER(Upgrades!$P$6,E82)*POWER(Upgrades!$P$7,F82)*POWER(Upgrades!$P$8,G82)*POWER(Upgrades!$P$9,H82)*POWER(Upgrades!$P$10,I82)*POWER(Upgrades!$P$11,J82)*POWER(Upgrades!$P$12,K82))*(IF(Upgrades!$T$7="Solar Wind",POWER(Upgrades!$U$7,F82),1)*IF(Upgrades!$T$8="Solar Wind",POWER(Upgrades!$U$8,G82),1)*IF(Upgrades!$T$9="Solar Wind",POWER(Upgrades!$U$9,H82),1)*IF(Upgrades!$T$10="Solar Wind",POWER(Upgrades!$U$10,I82),1)*IF(Upgrades!$T$11="Solar Wind",POWER(Upgrades!$U$11,J82),1)*IF(Upgrades!$T$12="Solar Wind",POWER(Upgrades!$U$12,K82),1))/AG82,0)</f>
        <v>0.0026701021455238</v>
      </c>
      <c r="AT82" s="33" t="n">
        <f aca="false">IFERROR(Upgrades!$H$7*(POWER(Upgrades!$P$6,E82)*POWER(Upgrades!$P$7,F82)*POWER(Upgrades!$P$8,G82)*POWER(Upgrades!$P$9,H82)*POWER(Upgrades!$P$10,I82)*POWER(Upgrades!$P$11,J82)*POWER(Upgrades!$P$12,K82))*(IF(Upgrades!$T$6="Asteroid Belt",POWER(Upgrades!$U$6,E82),1)*IF(Upgrades!$T$8="Asteroid Belt",POWER(Upgrades!$U$8,G82),1)*IF(Upgrades!$T$9="Asteroid Belt",POWER(Upgrades!$U$9,H82),1)*IF(Upgrades!$T$10="Asteroid Belt",POWER(Upgrades!$U$10,I82),1)*IF(Upgrades!$T$11="Asteroid Belt",POWER(Upgrades!$U$11,J82),1)*IF(Upgrades!$T$12="Asteroid Belt",POWER(Upgrades!$U$12,K82),1))/AH82,0)</f>
        <v>0.00308980882652332</v>
      </c>
      <c r="AU82" s="33" t="n">
        <f aca="false">IFERROR(Upgrades!$K$8*(POWER(Upgrades!$Q$6,E82)*POWER(Upgrades!$Q$7,F82)*POWER(Upgrades!$Q$8,G82)*POWER(Upgrades!$Q$9,H82)*POWER(Upgrades!$Q$10,I82)*POWER(Upgrades!$Q$11,J82)*POWER(Upgrades!$Q$12,K82))*(IF(Upgrades!$T$6="Stellar Coupling",POWER(Upgrades!$U$6,E82),1)*IF(Upgrades!$T$7="Stellar Coupling",POWER(Upgrades!$U$7,F82),1)*IF(Upgrades!$T$9="Stellar Coupling",POWER(Upgrades!$U$9,H82),1)*IF(Upgrades!$T$10="Stellar Coupling",POWER(Upgrades!$U$10,I82),1)*IF(Upgrades!$T$11="Stellar Coupling",POWER(Upgrades!$U$11,J82),1)*IF(Upgrades!$T$12="Stellar Coupling",POWER(Upgrades!$U$12,K82),1))*Parameters!$B$10*Parameters!$B$11/60/AI82,0)</f>
        <v>0.00452762415783776</v>
      </c>
      <c r="AV82" s="33" t="n">
        <f aca="false">IFERROR(Upgrades!$H$9*(POWER(Upgrades!$P$6,E82)*POWER(Upgrades!$P$7,F82)*POWER(Upgrades!$P$8,G82)*POWER(Upgrades!$P$9,H82)*POWER(Upgrades!$P$10,I82)*POWER(Upgrades!$P$11,J82)*POWER(Upgrades!$P$12,K82))*(IF(Upgrades!$T$6="Magnetosphere",POWER(Upgrades!$U$6,E82),1)*IF(Upgrades!$T$7="Magnetosphere",POWER(Upgrades!$U$7,F82),1)*IF(Upgrades!$T$8="Magnetosphere",POWER(Upgrades!$U$8,G82),1)*IF(Upgrades!$T$10="Magnetosphere",POWER(Upgrades!$U$10,I82),1)*IF(Upgrades!$T$11="Magnetosphere",POWER(Upgrades!$U$11,J82),1)*IF(Upgrades!$T$12="Magnetosphere",POWER(Upgrades!$U$12,K82),1))/AJ82,0)</f>
        <v>0</v>
      </c>
      <c r="AW82" s="33" t="n">
        <f aca="false">MAX(IF(I82&gt;0,0,IFERROR(0.25*N82/Upgrades!$C$10,0)),IF(J82&gt;0,0,IFERROR(0.5*((IF(G82=0,0,(Upgrades!$J$8+G82*Upgrades!$K$8)*POWER(Upgrades!$L$8,G82)))*(IF(Upgrades!$T$6="Stellar Coupling",POWER(Upgrades!$U$6,E82),1)*IF(Upgrades!$T$7="Stellar Coupling",POWER(Upgrades!$U$7,F82),1)*IF(Upgrades!$T$9="Stellar Coupling",POWER(Upgrades!$U$9,H82),1)*IF(Upgrades!$T$10="Stellar Coupling",POWER(Upgrades!$U$10,I82),1)*IF(Upgrades!$T$11="Stellar Coupling",POWER(Upgrades!$U$11,J82),1)*IF(Upgrades!$T$12="Stellar Coupling",POWER(Upgrades!$U$12,K82),1))*(POWER(Upgrades!$Q$6,E82)*POWER(Upgrades!$Q$7,F82)*POWER(Upgrades!$Q$8,G82)*POWER(Upgrades!$Q$9,H82)*POWER(Upgrades!$Q$10,I82)*POWER(Upgrades!$Q$11,J82)*POWER(Upgrades!$Q$12,K82))*Parameters!$B$10*Parameters!$B$11/60)/Upgrades!$C$11,0)),IF(K82&gt;0,0,IFERROR((1*(POWER(Upgrades!$P$6,E82)*POWER(Upgrades!$P$7,F82)*POWER(Upgrades!$P$8,G82)*POWER(Upgrades!$P$9,H82)*POWER(Upgrades!$P$10,I82)*POWER(Upgrades!$P$11,J82)*POWER(Upgrades!$P$12,K82))+0.2*M82*Parameters!$B$10*Parameters!$B$11/60)/Upgrades!$C$12,0)),IF(AND(ISNUMBER(AG82),AG82&gt;T82),AS82,0),IF(AND(ISNUMBER(AH82),AH82&gt;T82),AT82,0),IF(AND(ISNUMBER(AI82),AI82&gt;T82),AU82,0),IF(AND(ISNUMBER(AJ82),AJ82&gt;T82),AV82,0))</f>
        <v>0.00452762415783776</v>
      </c>
      <c r="AX82" s="29" t="str">
        <f aca="false">IF(AN82=1,"transition",IF(MIN(IF(AND(I82=0,ISNUMBER(AK82),AK82&lt;=T82),AK82,9000000000000000),IF(AND(J82=0,ISNUMBER(AL82),AL82&lt;=T82),AL82,9000000000000000),IF(AND(K82=0,ISNUMBER(AM82),AM82&lt;=T82),AM82,9000000000000000))&lt;9000000000000000,IF(AND(AND(I82=0,ISNUMBER(AK82),AK82&lt;=T82),AK82=MIN(IF(AND(I82=0,ISNUMBER(AK82),AK82&lt;=T82),AK82,9000000000000000),IF(AND(J82=0,ISNUMBER(AL82),AL82&lt;=T82),AL82,9000000000000000),IF(AND(K82=0,ISNUMBER(AM82),AM82&lt;=T82),AM82,9000000000000000))),"OR",IF(AND(AND(J82=0,ISNUMBER(AL82),AL82&lt;=T82),AL82=MIN(IF(AND(I82=0,ISNUMBER(AK82),AK82&lt;=T82),AK82,9000000000000000),IF(AND(J82=0,ISNUMBER(AL82),AL82&lt;=T82),AL82,9000000000000000),IF(AND(K82=0,ISNUMBER(AM82),AM82&lt;=T82),AM82,9000000000000000))),"HP","FP")),IF(AR82=TRUE(),"",IF(MAX(IF(AND(NOT(AND(AO82=1,AN82&lt;&gt;1)),ISNUMBER(AG82),AG82&lt;=T82),AS82,0),IF(AND(NOT(AND(AO82=1,AN82&lt;&gt;1)),ISNUMBER(AH82),AH82&lt;=T82),AT82,0),IF(AND(NOT(AND(AO82=1,AN82&lt;&gt;1)),ISNUMBER(AI82),AI82&lt;=T82),AU82,0),IF(AND(ISNUMBER(AJ82),AJ82&lt;=T82),AV82,0))&lt;=0,"",IF(AND(IF(AND(NOT(AND(AO82=1,AN82&lt;&gt;1)),ISNUMBER(AG82),AG82&lt;=T82),AS82,0)&gt;0,IF(AND(NOT(AND(AO82=1,AN82&lt;&gt;1)),ISNUMBER(AG82),AG82&lt;=T82),AS82,0)=MAX(IF(AND(NOT(AND(AO82=1,AN82&lt;&gt;1)),ISNUMBER(AG82),AG82&lt;=T82),AS82,0),IF(AND(NOT(AND(AO82=1,AN82&lt;&gt;1)),ISNUMBER(AH82),AH82&lt;=T82),AT82,0),IF(AND(NOT(AND(AO82=1,AN82&lt;&gt;1)),ISNUMBER(AI82),AI82&lt;=T82),AU82,0),IF(AND(ISNUMBER(AJ82),AJ82&lt;=T82),AV82,0))),"SW",IF(AND(IF(AND(NOT(AND(AO82=1,AN82&lt;&gt;1)),ISNUMBER(AH82),AH82&lt;=T82),AT82,0)&gt;0,IF(AND(NOT(AND(AO82=1,AN82&lt;&gt;1)),ISNUMBER(AH82),AH82&lt;=T82),AT82,0)=MAX(IF(AND(NOT(AND(AO82=1,AN82&lt;&gt;1)),ISNUMBER(AG82),AG82&lt;=T82),AS82,0),IF(AND(NOT(AND(AO82=1,AN82&lt;&gt;1)),ISNUMBER(AH82),AH82&lt;=T82),AT82,0),IF(AND(NOT(AND(AO82=1,AN82&lt;&gt;1)),ISNUMBER(AI82),AI82&lt;=T82),AU82,0),IF(AND(ISNUMBER(AJ82),AJ82&lt;=T82),AV82,0))),"AB",IF(AND(IF(AND(NOT(AND(AO82=1,AN82&lt;&gt;1)),ISNUMBER(AI82),AI82&lt;=T82),AU82,0)&gt;0,IF(AND(NOT(AND(AO82=1,AN82&lt;&gt;1)),ISNUMBER(AI82),AI82&lt;=T82),AU82,0)=MAX(IF(AND(NOT(AND(AO82=1,AN82&lt;&gt;1)),ISNUMBER(AG82),AG82&lt;=T82),AS82,0),IF(AND(NOT(AND(AO82=1,AN82&lt;&gt;1)),ISNUMBER(AH82),AH82&lt;=T82),AT82,0),IF(AND(NOT(AND(AO82=1,AN82&lt;&gt;1)),ISNUMBER(AI82),AI82&lt;=T82),AU82,0),IF(AND(ISNUMBER(AJ82),AJ82&lt;=T82),AV82,0))),"SC","Mag")))))))</f>
        <v/>
      </c>
    </row>
    <row r="83" customFormat="false" ht="15" hidden="false" customHeight="false" outlineLevel="0" collapsed="false">
      <c r="A83" s="26" t="n">
        <v>78</v>
      </c>
      <c r="B83" s="27" t="n">
        <f aca="false">A83*10/60</f>
        <v>13</v>
      </c>
      <c r="C83" s="21" t="n">
        <f aca="false">X82</f>
        <v>18.6730249835055</v>
      </c>
      <c r="D83" s="27" t="n">
        <f aca="false">D82+W82</f>
        <v>0</v>
      </c>
      <c r="E83" s="26" t="n">
        <f aca="false">E82+IF(U82="SW",1,0)</f>
        <v>12</v>
      </c>
      <c r="F83" s="26" t="n">
        <f aca="false">F82+IF(U82="AB",1,0)</f>
        <v>10</v>
      </c>
      <c r="G83" s="26" t="n">
        <f aca="false">G82+IF(U82="SC",1,0)</f>
        <v>7</v>
      </c>
      <c r="H83" s="26" t="n">
        <f aca="false">H82+IF(U82="Mag",1,0)</f>
        <v>5</v>
      </c>
      <c r="I83" s="26" t="n">
        <f aca="false">MAX(I82,IF(U82="OR",1,0))</f>
        <v>1</v>
      </c>
      <c r="J83" s="26" t="n">
        <f aca="false">MAX(J82,IF(U82="HP",1,0))</f>
        <v>1</v>
      </c>
      <c r="K83" s="26" t="n">
        <f aca="false">MAX(K82,IF(U82="FP",1,0))</f>
        <v>1</v>
      </c>
      <c r="L83" s="26" t="n">
        <f aca="false">MAX(L82,IF(U82="transition",1,0))</f>
        <v>1</v>
      </c>
      <c r="M83" s="28" t="n">
        <f aca="false">(Parameters!$B$9+(IF(E83=0,0,(Upgrades!$J$6+E83*Upgrades!$K$6)*POWER(Upgrades!$L$6,E83)))*(IF(Upgrades!$T$7="Solar Wind",POWER(Upgrades!$U$7,F83),1)*IF(Upgrades!$T$8="Solar Wind",POWER(Upgrades!$U$8,G83),1)*IF(Upgrades!$T$9="Solar Wind",POWER(Upgrades!$U$9,H83),1)*IF(Upgrades!$T$10="Solar Wind",POWER(Upgrades!$U$10,I83),1)*IF(Upgrades!$T$11="Solar Wind",POWER(Upgrades!$U$11,J83),1)*IF(Upgrades!$T$12="Solar Wind",POWER(Upgrades!$U$12,K83),1))+(IF(F83=0,0,(Upgrades!$J$7+F83*Upgrades!$K$7)*POWER(Upgrades!$L$7,F83)))*(IF(Upgrades!$T$6="Asteroid Belt",POWER(Upgrades!$U$6,E83),1)*IF(Upgrades!$T$8="Asteroid Belt",POWER(Upgrades!$U$8,G83),1)*IF(Upgrades!$T$9="Asteroid Belt",POWER(Upgrades!$U$9,H83),1)*IF(Upgrades!$T$10="Asteroid Belt",POWER(Upgrades!$U$10,I83),1)*IF(Upgrades!$T$11="Asteroid Belt",POWER(Upgrades!$U$11,J83),1)*IF(Upgrades!$T$12="Asteroid Belt",POWER(Upgrades!$U$12,K83),1))+(IF(G83=0,0,(Upgrades!$J$8+G83*Upgrades!$K$8)*POWER(Upgrades!$L$8,G83)))*(IF(Upgrades!$T$6="Stellar Coupling",POWER(Upgrades!$U$6,E83),1)*IF(Upgrades!$T$7="Stellar Coupling",POWER(Upgrades!$U$7,F83),1)*IF(Upgrades!$T$9="Stellar Coupling",POWER(Upgrades!$U$9,H83),1)*IF(Upgrades!$T$10="Stellar Coupling",POWER(Upgrades!$U$10,I83),1)*IF(Upgrades!$T$11="Stellar Coupling",POWER(Upgrades!$U$11,J83),1)*IF(Upgrades!$T$12="Stellar Coupling",POWER(Upgrades!$U$12,K83),1))+(IF(H83=0,0,(Upgrades!$J$9+H83*Upgrades!$K$9)*POWER(Upgrades!$L$9,H83)))*(IF(Upgrades!$T$6="Magnetosphere",POWER(Upgrades!$U$6,E83),1)*IF(Upgrades!$T$7="Magnetosphere",POWER(Upgrades!$U$7,F83),1)*IF(Upgrades!$T$8="Magnetosphere",POWER(Upgrades!$U$8,G83),1)*IF(Upgrades!$T$10="Magnetosphere",POWER(Upgrades!$U$10,I83),1)*IF(Upgrades!$T$11="Magnetosphere",POWER(Upgrades!$U$11,J83),1)*IF(Upgrades!$T$12="Magnetosphere",POWER(Upgrades!$U$12,K83),1))+(IF(I83=0,0,(Upgrades!$J$10+I83*Upgrades!$K$10)*POWER(Upgrades!$L$10,I83)))*(IF(Upgrades!$T$6="Orbital Resonance",POWER(Upgrades!$U$6,E83),1)*IF(Upgrades!$T$7="Orbital Resonance",POWER(Upgrades!$U$7,F83),1)*IF(Upgrades!$T$8="Orbital Resonance",POWER(Upgrades!$U$8,G83),1)*IF(Upgrades!$T$9="Orbital Resonance",POWER(Upgrades!$U$9,H83),1)*IF(Upgrades!$T$11="Orbital Resonance",POWER(Upgrades!$U$11,J83),1)*IF(Upgrades!$T$12="Orbital Resonance",POWER(Upgrades!$U$12,K83),1))+(IF(J83=0,0,(Upgrades!$J$11+J83*Upgrades!$K$11)*POWER(Upgrades!$L$11,J83)))*(IF(Upgrades!$T$6="Heliopause",POWER(Upgrades!$U$6,E83),1)*IF(Upgrades!$T$7="Heliopause",POWER(Upgrades!$U$7,F83),1)*IF(Upgrades!$T$8="Heliopause",POWER(Upgrades!$U$8,G83),1)*IF(Upgrades!$T$9="Heliopause",POWER(Upgrades!$U$9,H83),1)*IF(Upgrades!$T$10="Heliopause",POWER(Upgrades!$U$10,I83),1)*IF(Upgrades!$T$12="Heliopause",POWER(Upgrades!$U$12,K83),1))+(IF(K83=0,0,(Upgrades!$J$12+K83*Upgrades!$K$12)*POWER(Upgrades!$L$12,K83)))*(IF(Upgrades!$T$6="First Photons",POWER(Upgrades!$U$6,E83),1)*IF(Upgrades!$T$7="First Photons",POWER(Upgrades!$U$7,F83),1)*IF(Upgrades!$T$8="First Photons",POWER(Upgrades!$U$8,G83),1)*IF(Upgrades!$T$9="First Photons",POWER(Upgrades!$U$9,H83),1)*IF(Upgrades!$T$10="First Photons",POWER(Upgrades!$U$10,I83),1)*IF(Upgrades!$T$11="First Photons",POWER(Upgrades!$U$11,J83),1)))*POWER(Upgrades!$Q$6,E83)*POWER(Upgrades!$Q$7,F83)*POWER(Upgrades!$Q$8,G83)*POWER(Upgrades!$Q$9,H83)*POWER(Upgrades!$Q$10,I83)*POWER(Upgrades!$Q$11,J83)*POWER(Upgrades!$Q$12,K83)</f>
        <v>5.61</v>
      </c>
      <c r="N83" s="28" t="n">
        <f aca="false">((IF(E83=0,0,(Upgrades!$G$6+E83*Upgrades!$H$6)*POWER(Upgrades!$I$6,E83)))*(IF(Upgrades!$T$7="Solar Wind",POWER(Upgrades!$U$7,F83),1)*IF(Upgrades!$T$8="Solar Wind",POWER(Upgrades!$U$8,G83),1)*IF(Upgrades!$T$9="Solar Wind",POWER(Upgrades!$U$9,H83),1)*IF(Upgrades!$T$10="Solar Wind",POWER(Upgrades!$U$10,I83),1)*IF(Upgrades!$T$11="Solar Wind",POWER(Upgrades!$U$11,J83),1)*IF(Upgrades!$T$12="Solar Wind",POWER(Upgrades!$U$12,K83),1))+(IF(F83=0,0,(Upgrades!$G$7+F83*Upgrades!$H$7)*POWER(Upgrades!$I$7,F83)))*(IF(Upgrades!$T$6="Asteroid Belt",POWER(Upgrades!$U$6,E83),1)*IF(Upgrades!$T$8="Asteroid Belt",POWER(Upgrades!$U$8,G83),1)*IF(Upgrades!$T$9="Asteroid Belt",POWER(Upgrades!$U$9,H83),1)*IF(Upgrades!$T$10="Asteroid Belt",POWER(Upgrades!$U$10,I83),1)*IF(Upgrades!$T$11="Asteroid Belt",POWER(Upgrades!$U$11,J83),1)*IF(Upgrades!$T$12="Asteroid Belt",POWER(Upgrades!$U$12,K83),1))+(IF(G83=0,0,(Upgrades!$G$8+G83*Upgrades!$H$8)*POWER(Upgrades!$I$8,G83)))*(IF(Upgrades!$T$6="Stellar Coupling",POWER(Upgrades!$U$6,E83),1)*IF(Upgrades!$T$7="Stellar Coupling",POWER(Upgrades!$U$7,F83),1)*IF(Upgrades!$T$9="Stellar Coupling",POWER(Upgrades!$U$9,H83),1)*IF(Upgrades!$T$10="Stellar Coupling",POWER(Upgrades!$U$10,I83),1)*IF(Upgrades!$T$11="Stellar Coupling",POWER(Upgrades!$U$11,J83),1)*IF(Upgrades!$T$12="Stellar Coupling",POWER(Upgrades!$U$12,K83),1))+(IF(H83=0,0,(Upgrades!$G$9+H83*Upgrades!$H$9)*POWER(Upgrades!$I$9,H83)))*(IF(Upgrades!$T$6="Magnetosphere",POWER(Upgrades!$U$6,E83),1)*IF(Upgrades!$T$7="Magnetosphere",POWER(Upgrades!$U$7,F83),1)*IF(Upgrades!$T$8="Magnetosphere",POWER(Upgrades!$U$8,G83),1)*IF(Upgrades!$T$10="Magnetosphere",POWER(Upgrades!$U$10,I83),1)*IF(Upgrades!$T$11="Magnetosphere",POWER(Upgrades!$U$11,J83),1)*IF(Upgrades!$T$12="Magnetosphere",POWER(Upgrades!$U$12,K83),1))+(IF(I83=0,0,(Upgrades!$G$10+I83*Upgrades!$H$10)*POWER(Upgrades!$I$10,I83)))*(IF(Upgrades!$T$6="Orbital Resonance",POWER(Upgrades!$U$6,E83),1)*IF(Upgrades!$T$7="Orbital Resonance",POWER(Upgrades!$U$7,F83),1)*IF(Upgrades!$T$8="Orbital Resonance",POWER(Upgrades!$U$8,G83),1)*IF(Upgrades!$T$9="Orbital Resonance",POWER(Upgrades!$U$9,H83),1)*IF(Upgrades!$T$11="Orbital Resonance",POWER(Upgrades!$U$11,J83),1)*IF(Upgrades!$T$12="Orbital Resonance",POWER(Upgrades!$U$12,K83),1))+(IF(J83=0,0,(Upgrades!$G$11+J83*Upgrades!$H$11)*POWER(Upgrades!$I$11,J83)))*(IF(Upgrades!$T$6="Heliopause",POWER(Upgrades!$U$6,E83),1)*IF(Upgrades!$T$7="Heliopause",POWER(Upgrades!$U$7,F83),1)*IF(Upgrades!$T$8="Heliopause",POWER(Upgrades!$U$8,G83),1)*IF(Upgrades!$T$9="Heliopause",POWER(Upgrades!$U$9,H83),1)*IF(Upgrades!$T$10="Heliopause",POWER(Upgrades!$U$10,I83),1)*IF(Upgrades!$T$12="Heliopause",POWER(Upgrades!$U$12,K83),1))+(IF(K83=0,0,(Upgrades!$G$12+K83*Upgrades!$H$12)*POWER(Upgrades!$I$12,K83)))*(IF(Upgrades!$T$6="First Photons",POWER(Upgrades!$U$6,E83),1)*IF(Upgrades!$T$7="First Photons",POWER(Upgrades!$U$7,F83),1)*IF(Upgrades!$T$8="First Photons",POWER(Upgrades!$U$8,G83),1)*IF(Upgrades!$T$9="First Photons",POWER(Upgrades!$U$9,H83),1)*IF(Upgrades!$T$10="First Photons",POWER(Upgrades!$U$10,I83),1)*IF(Upgrades!$T$11="First Photons",POWER(Upgrades!$U$11,J83),1)))*POWER(Upgrades!$P$6,E83)*POWER(Upgrades!$P$7,F83)*POWER(Upgrades!$P$8,G83)*POWER(Upgrades!$P$9,H83)*POWER(Upgrades!$P$10,I83)*POWER(Upgrades!$P$11,J83)*POWER(Upgrades!$P$12,K83)</f>
        <v>11.2</v>
      </c>
      <c r="O83" s="28" t="n">
        <f aca="false">((IF(E83=0,0,(Upgrades!$M$6+E83*Upgrades!$N$6)*POWER(Upgrades!$O$6,E83)))*(IF(Upgrades!$T$7="Solar Wind",POWER(Upgrades!$U$7,F83),1)*IF(Upgrades!$T$8="Solar Wind",POWER(Upgrades!$U$8,G83),1)*IF(Upgrades!$T$9="Solar Wind",POWER(Upgrades!$U$9,H83),1)*IF(Upgrades!$T$10="Solar Wind",POWER(Upgrades!$U$10,I83),1)*IF(Upgrades!$T$11="Solar Wind",POWER(Upgrades!$U$11,J83),1)*IF(Upgrades!$T$12="Solar Wind",POWER(Upgrades!$U$12,K83),1))+(IF(F83=0,0,(Upgrades!$M$7+F83*Upgrades!$N$7)*POWER(Upgrades!$O$7,F83)))*(IF(Upgrades!$T$6="Asteroid Belt",POWER(Upgrades!$U$6,E83),1)*IF(Upgrades!$T$8="Asteroid Belt",POWER(Upgrades!$U$8,G83),1)*IF(Upgrades!$T$9="Asteroid Belt",POWER(Upgrades!$U$9,H83),1)*IF(Upgrades!$T$10="Asteroid Belt",POWER(Upgrades!$U$10,I83),1)*IF(Upgrades!$T$11="Asteroid Belt",POWER(Upgrades!$U$11,J83),1)*IF(Upgrades!$T$12="Asteroid Belt",POWER(Upgrades!$U$12,K83),1))+(IF(G83=0,0,(Upgrades!$M$8+G83*Upgrades!$N$8)*POWER(Upgrades!$O$8,G83)))*(IF(Upgrades!$T$6="Stellar Coupling",POWER(Upgrades!$U$6,E83),1)*IF(Upgrades!$T$7="Stellar Coupling",POWER(Upgrades!$U$7,F83),1)*IF(Upgrades!$T$9="Stellar Coupling",POWER(Upgrades!$U$9,H83),1)*IF(Upgrades!$T$10="Stellar Coupling",POWER(Upgrades!$U$10,I83),1)*IF(Upgrades!$T$11="Stellar Coupling",POWER(Upgrades!$U$11,J83),1)*IF(Upgrades!$T$12="Stellar Coupling",POWER(Upgrades!$U$12,K83),1))+(IF(H83=0,0,(Upgrades!$M$9+H83*Upgrades!$N$9)*POWER(Upgrades!$O$9,H83)))*(IF(Upgrades!$T$6="Magnetosphere",POWER(Upgrades!$U$6,E83),1)*IF(Upgrades!$T$7="Magnetosphere",POWER(Upgrades!$U$7,F83),1)*IF(Upgrades!$T$8="Magnetosphere",POWER(Upgrades!$U$8,G83),1)*IF(Upgrades!$T$10="Magnetosphere",POWER(Upgrades!$U$10,I83),1)*IF(Upgrades!$T$11="Magnetosphere",POWER(Upgrades!$U$11,J83),1)*IF(Upgrades!$T$12="Magnetosphere",POWER(Upgrades!$U$12,K83),1))+(IF(I83=0,0,(Upgrades!$M$10+I83*Upgrades!$N$10)*POWER(Upgrades!$O$10,I83)))*(IF(Upgrades!$T$6="Orbital Resonance",POWER(Upgrades!$U$6,E83),1)*IF(Upgrades!$T$7="Orbital Resonance",POWER(Upgrades!$U$7,F83),1)*IF(Upgrades!$T$8="Orbital Resonance",POWER(Upgrades!$U$8,G83),1)*IF(Upgrades!$T$9="Orbital Resonance",POWER(Upgrades!$U$9,H83),1)*IF(Upgrades!$T$11="Orbital Resonance",POWER(Upgrades!$U$11,J83),1)*IF(Upgrades!$T$12="Orbital Resonance",POWER(Upgrades!$U$12,K83),1))+(IF(J83=0,0,(Upgrades!$M$11+J83*Upgrades!$N$11)*POWER(Upgrades!$O$11,J83)))*(IF(Upgrades!$T$6="Heliopause",POWER(Upgrades!$U$6,E83),1)*IF(Upgrades!$T$7="Heliopause",POWER(Upgrades!$U$7,F83),1)*IF(Upgrades!$T$8="Heliopause",POWER(Upgrades!$U$8,G83),1)*IF(Upgrades!$T$9="Heliopause",POWER(Upgrades!$U$9,H83),1)*IF(Upgrades!$T$10="Heliopause",POWER(Upgrades!$U$10,I83),1)*IF(Upgrades!$T$12="Heliopause",POWER(Upgrades!$U$12,K83),1))+(IF(K83=0,0,(Upgrades!$M$12+K83*Upgrades!$N$12)*POWER(Upgrades!$O$12,K83)))*(IF(Upgrades!$T$6="First Photons",POWER(Upgrades!$U$6,E83),1)*IF(Upgrades!$T$7="First Photons",POWER(Upgrades!$U$7,F83),1)*IF(Upgrades!$T$8="First Photons",POWER(Upgrades!$U$8,G83),1)*IF(Upgrades!$T$9="First Photons",POWER(Upgrades!$U$9,H83),1)*IF(Upgrades!$T$10="First Photons",POWER(Upgrades!$U$10,I83),1)*IF(Upgrades!$T$11="First Photons",POWER(Upgrades!$U$11,J83),1)))*POWER(Upgrades!$R$6,E83)*POWER(Upgrades!$R$7,F83)*POWER(Upgrades!$R$8,G83)*POWER(Upgrades!$R$9,H83)*POWER(Upgrades!$R$10,I83)*POWER(Upgrades!$R$11,J83)*POWER(Upgrades!$R$12,K83)</f>
        <v>0</v>
      </c>
      <c r="P83" s="27" t="n">
        <f aca="false">IF(L83=1,0,M83*Parameters!$B$10/60*Parameters!$B$11*10)</f>
        <v>0</v>
      </c>
      <c r="Q83" s="27" t="n">
        <f aca="false">IF(L83=1,0,O83*M83*10)</f>
        <v>0</v>
      </c>
      <c r="R83" s="27" t="n">
        <f aca="false">IF(L83=1,0,N83*10)</f>
        <v>0</v>
      </c>
      <c r="S83" s="27" t="n">
        <f aca="false">P83+Q83+R83</f>
        <v>0</v>
      </c>
      <c r="T83" s="21" t="n">
        <f aca="false">C83+S83</f>
        <v>18.6730249835055</v>
      </c>
      <c r="U83" s="34" t="str">
        <f aca="false">AX83</f>
        <v/>
      </c>
      <c r="V83" s="21" t="n">
        <f aca="false">IF(U83="",0,IF(U83="transition",0,IF(U83="SW",AG83,IF(U83="AB",AH83,IF(U83="SC",AI83,IF(U83="Mag",AJ83,IF(U83="OR",AK83,IF(U83="HP",AL83,IF(U83="FP",AM83,0)))))))))</f>
        <v>0</v>
      </c>
      <c r="W83" s="27" t="n">
        <f aca="false">IF(U83="OR",Upgrades!$F$10,IF(U83="HP",Upgrades!$F$11,IF(U83="transition",-Parameters!$B$18,0)))</f>
        <v>0</v>
      </c>
      <c r="X83" s="21" t="n">
        <f aca="false">T83-V83</f>
        <v>18.6730249835055</v>
      </c>
      <c r="Y83" s="30" t="n">
        <f aca="false">M83*Parameters!$B$10/60*Parameters!$B$11+O83*M83+N83</f>
        <v>20.55</v>
      </c>
      <c r="Z83" s="35" t="str">
        <f aca="false">IF(U83="transition","→ Tier 2 (Stellar Neighborhood)",IF(U83="FP","First Photons — light begins, system quickens",IF(U83="HP","Heliopause acquired",IF(U83="OR","Orbital Resonance — passive multiplier active",IF(AND(AO83=1,L83=0,AN83&lt;&gt;1),"Cohesion ready (waiting on completionist upgrades)","")))))</f>
        <v/>
      </c>
      <c r="AA83" s="27" t="n">
        <f aca="false">(IF(E83=0,0,(Upgrades!$G$6+E83*Upgrades!$H$6)*POWER(Upgrades!$I$6,E83)))*(IF(Upgrades!$T$7="Solar Wind",POWER(Upgrades!$U$7,F83),1)*IF(Upgrades!$T$8="Solar Wind",POWER(Upgrades!$U$8,G83),1)*IF(Upgrades!$T$9="Solar Wind",POWER(Upgrades!$U$9,H83),1)*IF(Upgrades!$T$10="Solar Wind",POWER(Upgrades!$U$10,I83),1)*IF(Upgrades!$T$11="Solar Wind",POWER(Upgrades!$U$11,J83),1)*IF(Upgrades!$T$12="Solar Wind",POWER(Upgrades!$U$12,K83),1))*POWER(Upgrades!$P$6,E83)*POWER(Upgrades!$P$7,F83)*POWER(Upgrades!$P$8,G83)*POWER(Upgrades!$P$9,H83)*POWER(Upgrades!$P$10,I83)*POWER(Upgrades!$P$11,J83)*POWER(Upgrades!$P$12,K83)*60</f>
        <v>72</v>
      </c>
      <c r="AB83" s="27" t="n">
        <f aca="false">(IF(F83=0,0,(Upgrades!$G$7+F83*Upgrades!$H$7)*POWER(Upgrades!$I$7,F83)))*(IF(Upgrades!$T$6="Asteroid Belt",POWER(Upgrades!$U$6,E83),1)*IF(Upgrades!$T$8="Asteroid Belt",POWER(Upgrades!$U$8,G83),1)*IF(Upgrades!$T$9="Asteroid Belt",POWER(Upgrades!$U$9,H83),1)*IF(Upgrades!$T$10="Asteroid Belt",POWER(Upgrades!$U$10,I83),1)*IF(Upgrades!$T$11="Asteroid Belt",POWER(Upgrades!$U$11,J83),1)*IF(Upgrades!$T$12="Asteroid Belt",POWER(Upgrades!$U$12,K83),1))*POWER(Upgrades!$P$6,E83)*POWER(Upgrades!$P$7,F83)*POWER(Upgrades!$P$8,G83)*POWER(Upgrades!$P$9,H83)*POWER(Upgrades!$P$10,I83)*POWER(Upgrades!$P$11,J83)*POWER(Upgrades!$P$12,K83)*60</f>
        <v>150</v>
      </c>
      <c r="AC83" s="27" t="n">
        <f aca="false">(IF(G83=0,0,(Upgrades!$J$8+G83*Upgrades!$K$8)*POWER(Upgrades!$L$8,G83)))*(IF(Upgrades!$T$6="Stellar Coupling",POWER(Upgrades!$U$6,E83),1)*IF(Upgrades!$T$7="Stellar Coupling",POWER(Upgrades!$U$7,F83),1)*IF(Upgrades!$T$9="Stellar Coupling",POWER(Upgrades!$U$9,H83),1)*IF(Upgrades!$T$10="Stellar Coupling",POWER(Upgrades!$U$10,I83),1)*IF(Upgrades!$T$11="Stellar Coupling",POWER(Upgrades!$U$11,J83),1)*IF(Upgrades!$T$12="Stellar Coupling",POWER(Upgrades!$U$12,K83),1))*POWER(Upgrades!$Q$6,E83)*POWER(Upgrades!$Q$7,F83)*POWER(Upgrades!$Q$8,G83)*POWER(Upgrades!$Q$9,H83)*POWER(Upgrades!$Q$10,I83)*POWER(Upgrades!$Q$11,J83)*POWER(Upgrades!$Q$12,K83)*Parameters!$B$10*Parameters!$B$11</f>
        <v>441</v>
      </c>
      <c r="AD83" s="27" t="n">
        <f aca="false">(IF(H83=0,0,(Upgrades!$G$9+H83*Upgrades!$H$9)*POWER(Upgrades!$I$9,H83)))*(IF(Upgrades!$T$6="Magnetosphere",POWER(Upgrades!$U$6,E83),1)*IF(Upgrades!$T$7="Magnetosphere",POWER(Upgrades!$U$7,F83),1)*IF(Upgrades!$T$8="Magnetosphere",POWER(Upgrades!$U$8,G83),1)*IF(Upgrades!$T$10="Magnetosphere",POWER(Upgrades!$U$10,I83),1)*IF(Upgrades!$T$11="Magnetosphere",POWER(Upgrades!$U$11,J83),1)*IF(Upgrades!$T$12="Magnetosphere",POWER(Upgrades!$U$12,K83),1))*POWER(Upgrades!$P$6,E83)*POWER(Upgrades!$P$7,F83)*POWER(Upgrades!$P$8,G83)*POWER(Upgrades!$P$9,H83)*POWER(Upgrades!$P$10,I83)*POWER(Upgrades!$P$11,J83)*POWER(Upgrades!$P$12,K83)*60</f>
        <v>375</v>
      </c>
      <c r="AE83" s="27" t="n">
        <f aca="false">(IF(K83=0,0,(Upgrades!$G$12+K83*Upgrades!$H$12)*POWER(Upgrades!$I$12,K83)))*(IF(Upgrades!$T$6="First Photons",POWER(Upgrades!$U$6,E83),1)*IF(Upgrades!$T$7="First Photons",POWER(Upgrades!$U$7,F83),1)*IF(Upgrades!$T$8="First Photons",POWER(Upgrades!$U$8,G83),1)*IF(Upgrades!$T$9="First Photons",POWER(Upgrades!$U$9,H83),1)*IF(Upgrades!$T$10="First Photons",POWER(Upgrades!$U$10,I83),1)*IF(Upgrades!$T$11="First Photons",POWER(Upgrades!$U$11,J83),1))*POWER(Upgrades!$P$6,E83)*POWER(Upgrades!$P$7,F83)*POWER(Upgrades!$P$8,G83)*POWER(Upgrades!$P$9,H83)*POWER(Upgrades!$P$10,I83)*POWER(Upgrades!$P$11,J83)*POWER(Upgrades!$P$12,K83)*60</f>
        <v>75</v>
      </c>
      <c r="AF83" s="27" t="n">
        <f aca="false">Parameters!$B$9*POWER(Upgrades!$Q$6,E83)*POWER(Upgrades!$Q$7,F83)*POWER(Upgrades!$Q$8,G83)*POWER(Upgrades!$Q$9,H83)*POWER(Upgrades!$Q$10,I83)*POWER(Upgrades!$Q$11,J83)*POWER(Upgrades!$Q$12,K83)*(Parameters!$B$10*Parameters!$B$11+O83*60)</f>
        <v>120</v>
      </c>
      <c r="AG83" s="21" t="n">
        <f aca="false">IF(E83&gt;=Upgrades!$E$6,"",Upgrades!$C$6*POWER(Upgrades!$D$6,E83))</f>
        <v>37.4517507383159</v>
      </c>
      <c r="AH83" s="21" t="n">
        <f aca="false">IF(F83&gt;=Upgrades!$E$7,"",Upgrades!$C$7*POWER(Upgrades!$D$7,F83))</f>
        <v>80.9111547141581</v>
      </c>
      <c r="AI83" s="21" t="n">
        <f aca="false">IF(G83&gt;=Upgrades!$E$8,"",Upgrades!$C$8*POWER(Upgrades!$D$8,G83))</f>
        <v>231.9097088</v>
      </c>
      <c r="AJ83" s="21" t="str">
        <f aca="false">IF(H83&gt;=Upgrades!$E$9,"",Upgrades!$C$9*POWER(Upgrades!$D$9,H83))</f>
        <v/>
      </c>
      <c r="AK83" s="21" t="str">
        <f aca="false">IF(I83&gt;=Upgrades!$E$10,"",Upgrades!$C$10*POWER(Upgrades!$D$10,I83))</f>
        <v/>
      </c>
      <c r="AL83" s="21" t="str">
        <f aca="false">IF(J83&gt;=Upgrades!$E$11,"",Upgrades!$C$11*POWER(Upgrades!$D$11,J83))</f>
        <v/>
      </c>
      <c r="AM83" s="21" t="str">
        <f aca="false">IF(K83&gt;=Upgrades!$E$12,"",Upgrades!$C$12*POWER(Upgrades!$D$12,K83))</f>
        <v/>
      </c>
      <c r="AN83" s="26" t="str">
        <f aca="false">IF(AND(D83&gt;=Parameters!$B$18,(H83&gt;=Upgrades!$E$9)*(K83&gt;=Upgrades!$E$12)=1,L83=0),1,"")</f>
        <v/>
      </c>
      <c r="AO83" s="26" t="str">
        <f aca="false">IF(AND(D83&gt;=Parameters!$B$18,L83=0),1,"")</f>
        <v/>
      </c>
      <c r="AP83" s="21" t="n">
        <f aca="false">MIN(IF(ISNUMBER(AK83),AK83,9000000000000000),IF(ISNUMBER(AL83),AL83,9000000000000000),IF(ISNUMBER(AM83),AM83,9000000000000000))</f>
        <v>9000000000000000</v>
      </c>
      <c r="AQ83" s="21" t="n">
        <f aca="false">MIN(IF(ISNUMBER(AG83),AG83,9000000000000000),IF(ISNUMBER(AH83),AH83,9000000000000000),IF(ISNUMBER(AI83),AI83,9000000000000000),IF(ISNUMBER(AJ83),AJ83,9000000000000000))</f>
        <v>37.4517507383159</v>
      </c>
      <c r="AR83" s="32" t="b">
        <f aca="false">IF(AW83&gt;Parameters!$B$21*(MAX(IF(AND(NOT(AND(AO83=1,AN83&lt;&gt;1)),ISNUMBER(AG83),AG83&lt;=T83),AS83,0),IF(AND(NOT(AND(AO83=1,AN83&lt;&gt;1)),ISNUMBER(AH83),AH83&lt;=T83),AT83,0),IF(AND(NOT(AND(AO83=1,AN83&lt;&gt;1)),ISNUMBER(AI83),AI83&lt;=T83),AU83,0),IF(AND(ISNUMBER(AJ83),AJ83&lt;=T83),AV83,0))),TRUE(),FALSE())</f>
        <v>1</v>
      </c>
      <c r="AS83" s="33" t="n">
        <f aca="false">IFERROR(Upgrades!$H$6*(POWER(Upgrades!$P$6,E83)*POWER(Upgrades!$P$7,F83)*POWER(Upgrades!$P$8,G83)*POWER(Upgrades!$P$9,H83)*POWER(Upgrades!$P$10,I83)*POWER(Upgrades!$P$11,J83)*POWER(Upgrades!$P$12,K83))*(IF(Upgrades!$T$7="Solar Wind",POWER(Upgrades!$U$7,F83),1)*IF(Upgrades!$T$8="Solar Wind",POWER(Upgrades!$U$8,G83),1)*IF(Upgrades!$T$9="Solar Wind",POWER(Upgrades!$U$9,H83),1)*IF(Upgrades!$T$10="Solar Wind",POWER(Upgrades!$U$10,I83),1)*IF(Upgrades!$T$11="Solar Wind",POWER(Upgrades!$U$11,J83),1)*IF(Upgrades!$T$12="Solar Wind",POWER(Upgrades!$U$12,K83),1))/AG83,0)</f>
        <v>0.0026701021455238</v>
      </c>
      <c r="AT83" s="33" t="n">
        <f aca="false">IFERROR(Upgrades!$H$7*(POWER(Upgrades!$P$6,E83)*POWER(Upgrades!$P$7,F83)*POWER(Upgrades!$P$8,G83)*POWER(Upgrades!$P$9,H83)*POWER(Upgrades!$P$10,I83)*POWER(Upgrades!$P$11,J83)*POWER(Upgrades!$P$12,K83))*(IF(Upgrades!$T$6="Asteroid Belt",POWER(Upgrades!$U$6,E83),1)*IF(Upgrades!$T$8="Asteroid Belt",POWER(Upgrades!$U$8,G83),1)*IF(Upgrades!$T$9="Asteroid Belt",POWER(Upgrades!$U$9,H83),1)*IF(Upgrades!$T$10="Asteroid Belt",POWER(Upgrades!$U$10,I83),1)*IF(Upgrades!$T$11="Asteroid Belt",POWER(Upgrades!$U$11,J83),1)*IF(Upgrades!$T$12="Asteroid Belt",POWER(Upgrades!$U$12,K83),1))/AH83,0)</f>
        <v>0.00308980882652332</v>
      </c>
      <c r="AU83" s="33" t="n">
        <f aca="false">IFERROR(Upgrades!$K$8*(POWER(Upgrades!$Q$6,E83)*POWER(Upgrades!$Q$7,F83)*POWER(Upgrades!$Q$8,G83)*POWER(Upgrades!$Q$9,H83)*POWER(Upgrades!$Q$10,I83)*POWER(Upgrades!$Q$11,J83)*POWER(Upgrades!$Q$12,K83))*(IF(Upgrades!$T$6="Stellar Coupling",POWER(Upgrades!$U$6,E83),1)*IF(Upgrades!$T$7="Stellar Coupling",POWER(Upgrades!$U$7,F83),1)*IF(Upgrades!$T$9="Stellar Coupling",POWER(Upgrades!$U$9,H83),1)*IF(Upgrades!$T$10="Stellar Coupling",POWER(Upgrades!$U$10,I83),1)*IF(Upgrades!$T$11="Stellar Coupling",POWER(Upgrades!$U$11,J83),1)*IF(Upgrades!$T$12="Stellar Coupling",POWER(Upgrades!$U$12,K83),1))*Parameters!$B$10*Parameters!$B$11/60/AI83,0)</f>
        <v>0.00452762415783776</v>
      </c>
      <c r="AV83" s="33" t="n">
        <f aca="false">IFERROR(Upgrades!$H$9*(POWER(Upgrades!$P$6,E83)*POWER(Upgrades!$P$7,F83)*POWER(Upgrades!$P$8,G83)*POWER(Upgrades!$P$9,H83)*POWER(Upgrades!$P$10,I83)*POWER(Upgrades!$P$11,J83)*POWER(Upgrades!$P$12,K83))*(IF(Upgrades!$T$6="Magnetosphere",POWER(Upgrades!$U$6,E83),1)*IF(Upgrades!$T$7="Magnetosphere",POWER(Upgrades!$U$7,F83),1)*IF(Upgrades!$T$8="Magnetosphere",POWER(Upgrades!$U$8,G83),1)*IF(Upgrades!$T$10="Magnetosphere",POWER(Upgrades!$U$10,I83),1)*IF(Upgrades!$T$11="Magnetosphere",POWER(Upgrades!$U$11,J83),1)*IF(Upgrades!$T$12="Magnetosphere",POWER(Upgrades!$U$12,K83),1))/AJ83,0)</f>
        <v>0</v>
      </c>
      <c r="AW83" s="33" t="n">
        <f aca="false">MAX(IF(I83&gt;0,0,IFERROR(0.25*N83/Upgrades!$C$10,0)),IF(J83&gt;0,0,IFERROR(0.5*((IF(G83=0,0,(Upgrades!$J$8+G83*Upgrades!$K$8)*POWER(Upgrades!$L$8,G83)))*(IF(Upgrades!$T$6="Stellar Coupling",POWER(Upgrades!$U$6,E83),1)*IF(Upgrades!$T$7="Stellar Coupling",POWER(Upgrades!$U$7,F83),1)*IF(Upgrades!$T$9="Stellar Coupling",POWER(Upgrades!$U$9,H83),1)*IF(Upgrades!$T$10="Stellar Coupling",POWER(Upgrades!$U$10,I83),1)*IF(Upgrades!$T$11="Stellar Coupling",POWER(Upgrades!$U$11,J83),1)*IF(Upgrades!$T$12="Stellar Coupling",POWER(Upgrades!$U$12,K83),1))*(POWER(Upgrades!$Q$6,E83)*POWER(Upgrades!$Q$7,F83)*POWER(Upgrades!$Q$8,G83)*POWER(Upgrades!$Q$9,H83)*POWER(Upgrades!$Q$10,I83)*POWER(Upgrades!$Q$11,J83)*POWER(Upgrades!$Q$12,K83))*Parameters!$B$10*Parameters!$B$11/60)/Upgrades!$C$11,0)),IF(K83&gt;0,0,IFERROR((1*(POWER(Upgrades!$P$6,E83)*POWER(Upgrades!$P$7,F83)*POWER(Upgrades!$P$8,G83)*POWER(Upgrades!$P$9,H83)*POWER(Upgrades!$P$10,I83)*POWER(Upgrades!$P$11,J83)*POWER(Upgrades!$P$12,K83))+0.2*M83*Parameters!$B$10*Parameters!$B$11/60)/Upgrades!$C$12,0)),IF(AND(ISNUMBER(AG83),AG83&gt;T83),AS83,0),IF(AND(ISNUMBER(AH83),AH83&gt;T83),AT83,0),IF(AND(ISNUMBER(AI83),AI83&gt;T83),AU83,0),IF(AND(ISNUMBER(AJ83),AJ83&gt;T83),AV83,0))</f>
        <v>0.00452762415783776</v>
      </c>
      <c r="AX83" s="29" t="str">
        <f aca="false">IF(AN83=1,"transition",IF(MIN(IF(AND(I83=0,ISNUMBER(AK83),AK83&lt;=T83),AK83,9000000000000000),IF(AND(J83=0,ISNUMBER(AL83),AL83&lt;=T83),AL83,9000000000000000),IF(AND(K83=0,ISNUMBER(AM83),AM83&lt;=T83),AM83,9000000000000000))&lt;9000000000000000,IF(AND(AND(I83=0,ISNUMBER(AK83),AK83&lt;=T83),AK83=MIN(IF(AND(I83=0,ISNUMBER(AK83),AK83&lt;=T83),AK83,9000000000000000),IF(AND(J83=0,ISNUMBER(AL83),AL83&lt;=T83),AL83,9000000000000000),IF(AND(K83=0,ISNUMBER(AM83),AM83&lt;=T83),AM83,9000000000000000))),"OR",IF(AND(AND(J83=0,ISNUMBER(AL83),AL83&lt;=T83),AL83=MIN(IF(AND(I83=0,ISNUMBER(AK83),AK83&lt;=T83),AK83,9000000000000000),IF(AND(J83=0,ISNUMBER(AL83),AL83&lt;=T83),AL83,9000000000000000),IF(AND(K83=0,ISNUMBER(AM83),AM83&lt;=T83),AM83,9000000000000000))),"HP","FP")),IF(AR83=TRUE(),"",IF(MAX(IF(AND(NOT(AND(AO83=1,AN83&lt;&gt;1)),ISNUMBER(AG83),AG83&lt;=T83),AS83,0),IF(AND(NOT(AND(AO83=1,AN83&lt;&gt;1)),ISNUMBER(AH83),AH83&lt;=T83),AT83,0),IF(AND(NOT(AND(AO83=1,AN83&lt;&gt;1)),ISNUMBER(AI83),AI83&lt;=T83),AU83,0),IF(AND(ISNUMBER(AJ83),AJ83&lt;=T83),AV83,0))&lt;=0,"",IF(AND(IF(AND(NOT(AND(AO83=1,AN83&lt;&gt;1)),ISNUMBER(AG83),AG83&lt;=T83),AS83,0)&gt;0,IF(AND(NOT(AND(AO83=1,AN83&lt;&gt;1)),ISNUMBER(AG83),AG83&lt;=T83),AS83,0)=MAX(IF(AND(NOT(AND(AO83=1,AN83&lt;&gt;1)),ISNUMBER(AG83),AG83&lt;=T83),AS83,0),IF(AND(NOT(AND(AO83=1,AN83&lt;&gt;1)),ISNUMBER(AH83),AH83&lt;=T83),AT83,0),IF(AND(NOT(AND(AO83=1,AN83&lt;&gt;1)),ISNUMBER(AI83),AI83&lt;=T83),AU83,0),IF(AND(ISNUMBER(AJ83),AJ83&lt;=T83),AV83,0))),"SW",IF(AND(IF(AND(NOT(AND(AO83=1,AN83&lt;&gt;1)),ISNUMBER(AH83),AH83&lt;=T83),AT83,0)&gt;0,IF(AND(NOT(AND(AO83=1,AN83&lt;&gt;1)),ISNUMBER(AH83),AH83&lt;=T83),AT83,0)=MAX(IF(AND(NOT(AND(AO83=1,AN83&lt;&gt;1)),ISNUMBER(AG83),AG83&lt;=T83),AS83,0),IF(AND(NOT(AND(AO83=1,AN83&lt;&gt;1)),ISNUMBER(AH83),AH83&lt;=T83),AT83,0),IF(AND(NOT(AND(AO83=1,AN83&lt;&gt;1)),ISNUMBER(AI83),AI83&lt;=T83),AU83,0),IF(AND(ISNUMBER(AJ83),AJ83&lt;=T83),AV83,0))),"AB",IF(AND(IF(AND(NOT(AND(AO83=1,AN83&lt;&gt;1)),ISNUMBER(AI83),AI83&lt;=T83),AU83,0)&gt;0,IF(AND(NOT(AND(AO83=1,AN83&lt;&gt;1)),ISNUMBER(AI83),AI83&lt;=T83),AU83,0)=MAX(IF(AND(NOT(AND(AO83=1,AN83&lt;&gt;1)),ISNUMBER(AG83),AG83&lt;=T83),AS83,0),IF(AND(NOT(AND(AO83=1,AN83&lt;&gt;1)),ISNUMBER(AH83),AH83&lt;=T83),AT83,0),IF(AND(NOT(AND(AO83=1,AN83&lt;&gt;1)),ISNUMBER(AI83),AI83&lt;=T83),AU83,0),IF(AND(ISNUMBER(AJ83),AJ83&lt;=T83),AV83,0))),"SC","Mag")))))))</f>
        <v/>
      </c>
    </row>
    <row r="84" customFormat="false" ht="15" hidden="false" customHeight="false" outlineLevel="0" collapsed="false">
      <c r="A84" s="26" t="n">
        <v>79</v>
      </c>
      <c r="B84" s="27" t="n">
        <f aca="false">A84*10/60</f>
        <v>13.1666666666667</v>
      </c>
      <c r="C84" s="21" t="n">
        <f aca="false">X83</f>
        <v>18.6730249835055</v>
      </c>
      <c r="D84" s="27" t="n">
        <f aca="false">D83+W83</f>
        <v>0</v>
      </c>
      <c r="E84" s="26" t="n">
        <f aca="false">E83+IF(U83="SW",1,0)</f>
        <v>12</v>
      </c>
      <c r="F84" s="26" t="n">
        <f aca="false">F83+IF(U83="AB",1,0)</f>
        <v>10</v>
      </c>
      <c r="G84" s="26" t="n">
        <f aca="false">G83+IF(U83="SC",1,0)</f>
        <v>7</v>
      </c>
      <c r="H84" s="26" t="n">
        <f aca="false">H83+IF(U83="Mag",1,0)</f>
        <v>5</v>
      </c>
      <c r="I84" s="26" t="n">
        <f aca="false">MAX(I83,IF(U83="OR",1,0))</f>
        <v>1</v>
      </c>
      <c r="J84" s="26" t="n">
        <f aca="false">MAX(J83,IF(U83="HP",1,0))</f>
        <v>1</v>
      </c>
      <c r="K84" s="26" t="n">
        <f aca="false">MAX(K83,IF(U83="FP",1,0))</f>
        <v>1</v>
      </c>
      <c r="L84" s="26" t="n">
        <f aca="false">MAX(L83,IF(U83="transition",1,0))</f>
        <v>1</v>
      </c>
      <c r="M84" s="28" t="n">
        <f aca="false">(Parameters!$B$9+(IF(E84=0,0,(Upgrades!$J$6+E84*Upgrades!$K$6)*POWER(Upgrades!$L$6,E84)))*(IF(Upgrades!$T$7="Solar Wind",POWER(Upgrades!$U$7,F84),1)*IF(Upgrades!$T$8="Solar Wind",POWER(Upgrades!$U$8,G84),1)*IF(Upgrades!$T$9="Solar Wind",POWER(Upgrades!$U$9,H84),1)*IF(Upgrades!$T$10="Solar Wind",POWER(Upgrades!$U$10,I84),1)*IF(Upgrades!$T$11="Solar Wind",POWER(Upgrades!$U$11,J84),1)*IF(Upgrades!$T$12="Solar Wind",POWER(Upgrades!$U$12,K84),1))+(IF(F84=0,0,(Upgrades!$J$7+F84*Upgrades!$K$7)*POWER(Upgrades!$L$7,F84)))*(IF(Upgrades!$T$6="Asteroid Belt",POWER(Upgrades!$U$6,E84),1)*IF(Upgrades!$T$8="Asteroid Belt",POWER(Upgrades!$U$8,G84),1)*IF(Upgrades!$T$9="Asteroid Belt",POWER(Upgrades!$U$9,H84),1)*IF(Upgrades!$T$10="Asteroid Belt",POWER(Upgrades!$U$10,I84),1)*IF(Upgrades!$T$11="Asteroid Belt",POWER(Upgrades!$U$11,J84),1)*IF(Upgrades!$T$12="Asteroid Belt",POWER(Upgrades!$U$12,K84),1))+(IF(G84=0,0,(Upgrades!$J$8+G84*Upgrades!$K$8)*POWER(Upgrades!$L$8,G84)))*(IF(Upgrades!$T$6="Stellar Coupling",POWER(Upgrades!$U$6,E84),1)*IF(Upgrades!$T$7="Stellar Coupling",POWER(Upgrades!$U$7,F84),1)*IF(Upgrades!$T$9="Stellar Coupling",POWER(Upgrades!$U$9,H84),1)*IF(Upgrades!$T$10="Stellar Coupling",POWER(Upgrades!$U$10,I84),1)*IF(Upgrades!$T$11="Stellar Coupling",POWER(Upgrades!$U$11,J84),1)*IF(Upgrades!$T$12="Stellar Coupling",POWER(Upgrades!$U$12,K84),1))+(IF(H84=0,0,(Upgrades!$J$9+H84*Upgrades!$K$9)*POWER(Upgrades!$L$9,H84)))*(IF(Upgrades!$T$6="Magnetosphere",POWER(Upgrades!$U$6,E84),1)*IF(Upgrades!$T$7="Magnetosphere",POWER(Upgrades!$U$7,F84),1)*IF(Upgrades!$T$8="Magnetosphere",POWER(Upgrades!$U$8,G84),1)*IF(Upgrades!$T$10="Magnetosphere",POWER(Upgrades!$U$10,I84),1)*IF(Upgrades!$T$11="Magnetosphere",POWER(Upgrades!$U$11,J84),1)*IF(Upgrades!$T$12="Magnetosphere",POWER(Upgrades!$U$12,K84),1))+(IF(I84=0,0,(Upgrades!$J$10+I84*Upgrades!$K$10)*POWER(Upgrades!$L$10,I84)))*(IF(Upgrades!$T$6="Orbital Resonance",POWER(Upgrades!$U$6,E84),1)*IF(Upgrades!$T$7="Orbital Resonance",POWER(Upgrades!$U$7,F84),1)*IF(Upgrades!$T$8="Orbital Resonance",POWER(Upgrades!$U$8,G84),1)*IF(Upgrades!$T$9="Orbital Resonance",POWER(Upgrades!$U$9,H84),1)*IF(Upgrades!$T$11="Orbital Resonance",POWER(Upgrades!$U$11,J84),1)*IF(Upgrades!$T$12="Orbital Resonance",POWER(Upgrades!$U$12,K84),1))+(IF(J84=0,0,(Upgrades!$J$11+J84*Upgrades!$K$11)*POWER(Upgrades!$L$11,J84)))*(IF(Upgrades!$T$6="Heliopause",POWER(Upgrades!$U$6,E84),1)*IF(Upgrades!$T$7="Heliopause",POWER(Upgrades!$U$7,F84),1)*IF(Upgrades!$T$8="Heliopause",POWER(Upgrades!$U$8,G84),1)*IF(Upgrades!$T$9="Heliopause",POWER(Upgrades!$U$9,H84),1)*IF(Upgrades!$T$10="Heliopause",POWER(Upgrades!$U$10,I84),1)*IF(Upgrades!$T$12="Heliopause",POWER(Upgrades!$U$12,K84),1))+(IF(K84=0,0,(Upgrades!$J$12+K84*Upgrades!$K$12)*POWER(Upgrades!$L$12,K84)))*(IF(Upgrades!$T$6="First Photons",POWER(Upgrades!$U$6,E84),1)*IF(Upgrades!$T$7="First Photons",POWER(Upgrades!$U$7,F84),1)*IF(Upgrades!$T$8="First Photons",POWER(Upgrades!$U$8,G84),1)*IF(Upgrades!$T$9="First Photons",POWER(Upgrades!$U$9,H84),1)*IF(Upgrades!$T$10="First Photons",POWER(Upgrades!$U$10,I84),1)*IF(Upgrades!$T$11="First Photons",POWER(Upgrades!$U$11,J84),1)))*POWER(Upgrades!$Q$6,E84)*POWER(Upgrades!$Q$7,F84)*POWER(Upgrades!$Q$8,G84)*POWER(Upgrades!$Q$9,H84)*POWER(Upgrades!$Q$10,I84)*POWER(Upgrades!$Q$11,J84)*POWER(Upgrades!$Q$12,K84)</f>
        <v>5.61</v>
      </c>
      <c r="N84" s="28" t="n">
        <f aca="false">((IF(E84=0,0,(Upgrades!$G$6+E84*Upgrades!$H$6)*POWER(Upgrades!$I$6,E84)))*(IF(Upgrades!$T$7="Solar Wind",POWER(Upgrades!$U$7,F84),1)*IF(Upgrades!$T$8="Solar Wind",POWER(Upgrades!$U$8,G84),1)*IF(Upgrades!$T$9="Solar Wind",POWER(Upgrades!$U$9,H84),1)*IF(Upgrades!$T$10="Solar Wind",POWER(Upgrades!$U$10,I84),1)*IF(Upgrades!$T$11="Solar Wind",POWER(Upgrades!$U$11,J84),1)*IF(Upgrades!$T$12="Solar Wind",POWER(Upgrades!$U$12,K84),1))+(IF(F84=0,0,(Upgrades!$G$7+F84*Upgrades!$H$7)*POWER(Upgrades!$I$7,F84)))*(IF(Upgrades!$T$6="Asteroid Belt",POWER(Upgrades!$U$6,E84),1)*IF(Upgrades!$T$8="Asteroid Belt",POWER(Upgrades!$U$8,G84),1)*IF(Upgrades!$T$9="Asteroid Belt",POWER(Upgrades!$U$9,H84),1)*IF(Upgrades!$T$10="Asteroid Belt",POWER(Upgrades!$U$10,I84),1)*IF(Upgrades!$T$11="Asteroid Belt",POWER(Upgrades!$U$11,J84),1)*IF(Upgrades!$T$12="Asteroid Belt",POWER(Upgrades!$U$12,K84),1))+(IF(G84=0,0,(Upgrades!$G$8+G84*Upgrades!$H$8)*POWER(Upgrades!$I$8,G84)))*(IF(Upgrades!$T$6="Stellar Coupling",POWER(Upgrades!$U$6,E84),1)*IF(Upgrades!$T$7="Stellar Coupling",POWER(Upgrades!$U$7,F84),1)*IF(Upgrades!$T$9="Stellar Coupling",POWER(Upgrades!$U$9,H84),1)*IF(Upgrades!$T$10="Stellar Coupling",POWER(Upgrades!$U$10,I84),1)*IF(Upgrades!$T$11="Stellar Coupling",POWER(Upgrades!$U$11,J84),1)*IF(Upgrades!$T$12="Stellar Coupling",POWER(Upgrades!$U$12,K84),1))+(IF(H84=0,0,(Upgrades!$G$9+H84*Upgrades!$H$9)*POWER(Upgrades!$I$9,H84)))*(IF(Upgrades!$T$6="Magnetosphere",POWER(Upgrades!$U$6,E84),1)*IF(Upgrades!$T$7="Magnetosphere",POWER(Upgrades!$U$7,F84),1)*IF(Upgrades!$T$8="Magnetosphere",POWER(Upgrades!$U$8,G84),1)*IF(Upgrades!$T$10="Magnetosphere",POWER(Upgrades!$U$10,I84),1)*IF(Upgrades!$T$11="Magnetosphere",POWER(Upgrades!$U$11,J84),1)*IF(Upgrades!$T$12="Magnetosphere",POWER(Upgrades!$U$12,K84),1))+(IF(I84=0,0,(Upgrades!$G$10+I84*Upgrades!$H$10)*POWER(Upgrades!$I$10,I84)))*(IF(Upgrades!$T$6="Orbital Resonance",POWER(Upgrades!$U$6,E84),1)*IF(Upgrades!$T$7="Orbital Resonance",POWER(Upgrades!$U$7,F84),1)*IF(Upgrades!$T$8="Orbital Resonance",POWER(Upgrades!$U$8,G84),1)*IF(Upgrades!$T$9="Orbital Resonance",POWER(Upgrades!$U$9,H84),1)*IF(Upgrades!$T$11="Orbital Resonance",POWER(Upgrades!$U$11,J84),1)*IF(Upgrades!$T$12="Orbital Resonance",POWER(Upgrades!$U$12,K84),1))+(IF(J84=0,0,(Upgrades!$G$11+J84*Upgrades!$H$11)*POWER(Upgrades!$I$11,J84)))*(IF(Upgrades!$T$6="Heliopause",POWER(Upgrades!$U$6,E84),1)*IF(Upgrades!$T$7="Heliopause",POWER(Upgrades!$U$7,F84),1)*IF(Upgrades!$T$8="Heliopause",POWER(Upgrades!$U$8,G84),1)*IF(Upgrades!$T$9="Heliopause",POWER(Upgrades!$U$9,H84),1)*IF(Upgrades!$T$10="Heliopause",POWER(Upgrades!$U$10,I84),1)*IF(Upgrades!$T$12="Heliopause",POWER(Upgrades!$U$12,K84),1))+(IF(K84=0,0,(Upgrades!$G$12+K84*Upgrades!$H$12)*POWER(Upgrades!$I$12,K84)))*(IF(Upgrades!$T$6="First Photons",POWER(Upgrades!$U$6,E84),1)*IF(Upgrades!$T$7="First Photons",POWER(Upgrades!$U$7,F84),1)*IF(Upgrades!$T$8="First Photons",POWER(Upgrades!$U$8,G84),1)*IF(Upgrades!$T$9="First Photons",POWER(Upgrades!$U$9,H84),1)*IF(Upgrades!$T$10="First Photons",POWER(Upgrades!$U$10,I84),1)*IF(Upgrades!$T$11="First Photons",POWER(Upgrades!$U$11,J84),1)))*POWER(Upgrades!$P$6,E84)*POWER(Upgrades!$P$7,F84)*POWER(Upgrades!$P$8,G84)*POWER(Upgrades!$P$9,H84)*POWER(Upgrades!$P$10,I84)*POWER(Upgrades!$P$11,J84)*POWER(Upgrades!$P$12,K84)</f>
        <v>11.2</v>
      </c>
      <c r="O84" s="28" t="n">
        <f aca="false">((IF(E84=0,0,(Upgrades!$M$6+E84*Upgrades!$N$6)*POWER(Upgrades!$O$6,E84)))*(IF(Upgrades!$T$7="Solar Wind",POWER(Upgrades!$U$7,F84),1)*IF(Upgrades!$T$8="Solar Wind",POWER(Upgrades!$U$8,G84),1)*IF(Upgrades!$T$9="Solar Wind",POWER(Upgrades!$U$9,H84),1)*IF(Upgrades!$T$10="Solar Wind",POWER(Upgrades!$U$10,I84),1)*IF(Upgrades!$T$11="Solar Wind",POWER(Upgrades!$U$11,J84),1)*IF(Upgrades!$T$12="Solar Wind",POWER(Upgrades!$U$12,K84),1))+(IF(F84=0,0,(Upgrades!$M$7+F84*Upgrades!$N$7)*POWER(Upgrades!$O$7,F84)))*(IF(Upgrades!$T$6="Asteroid Belt",POWER(Upgrades!$U$6,E84),1)*IF(Upgrades!$T$8="Asteroid Belt",POWER(Upgrades!$U$8,G84),1)*IF(Upgrades!$T$9="Asteroid Belt",POWER(Upgrades!$U$9,H84),1)*IF(Upgrades!$T$10="Asteroid Belt",POWER(Upgrades!$U$10,I84),1)*IF(Upgrades!$T$11="Asteroid Belt",POWER(Upgrades!$U$11,J84),1)*IF(Upgrades!$T$12="Asteroid Belt",POWER(Upgrades!$U$12,K84),1))+(IF(G84=0,0,(Upgrades!$M$8+G84*Upgrades!$N$8)*POWER(Upgrades!$O$8,G84)))*(IF(Upgrades!$T$6="Stellar Coupling",POWER(Upgrades!$U$6,E84),1)*IF(Upgrades!$T$7="Stellar Coupling",POWER(Upgrades!$U$7,F84),1)*IF(Upgrades!$T$9="Stellar Coupling",POWER(Upgrades!$U$9,H84),1)*IF(Upgrades!$T$10="Stellar Coupling",POWER(Upgrades!$U$10,I84),1)*IF(Upgrades!$T$11="Stellar Coupling",POWER(Upgrades!$U$11,J84),1)*IF(Upgrades!$T$12="Stellar Coupling",POWER(Upgrades!$U$12,K84),1))+(IF(H84=0,0,(Upgrades!$M$9+H84*Upgrades!$N$9)*POWER(Upgrades!$O$9,H84)))*(IF(Upgrades!$T$6="Magnetosphere",POWER(Upgrades!$U$6,E84),1)*IF(Upgrades!$T$7="Magnetosphere",POWER(Upgrades!$U$7,F84),1)*IF(Upgrades!$T$8="Magnetosphere",POWER(Upgrades!$U$8,G84),1)*IF(Upgrades!$T$10="Magnetosphere",POWER(Upgrades!$U$10,I84),1)*IF(Upgrades!$T$11="Magnetosphere",POWER(Upgrades!$U$11,J84),1)*IF(Upgrades!$T$12="Magnetosphere",POWER(Upgrades!$U$12,K84),1))+(IF(I84=0,0,(Upgrades!$M$10+I84*Upgrades!$N$10)*POWER(Upgrades!$O$10,I84)))*(IF(Upgrades!$T$6="Orbital Resonance",POWER(Upgrades!$U$6,E84),1)*IF(Upgrades!$T$7="Orbital Resonance",POWER(Upgrades!$U$7,F84),1)*IF(Upgrades!$T$8="Orbital Resonance",POWER(Upgrades!$U$8,G84),1)*IF(Upgrades!$T$9="Orbital Resonance",POWER(Upgrades!$U$9,H84),1)*IF(Upgrades!$T$11="Orbital Resonance",POWER(Upgrades!$U$11,J84),1)*IF(Upgrades!$T$12="Orbital Resonance",POWER(Upgrades!$U$12,K84),1))+(IF(J84=0,0,(Upgrades!$M$11+J84*Upgrades!$N$11)*POWER(Upgrades!$O$11,J84)))*(IF(Upgrades!$T$6="Heliopause",POWER(Upgrades!$U$6,E84),1)*IF(Upgrades!$T$7="Heliopause",POWER(Upgrades!$U$7,F84),1)*IF(Upgrades!$T$8="Heliopause",POWER(Upgrades!$U$8,G84),1)*IF(Upgrades!$T$9="Heliopause",POWER(Upgrades!$U$9,H84),1)*IF(Upgrades!$T$10="Heliopause",POWER(Upgrades!$U$10,I84),1)*IF(Upgrades!$T$12="Heliopause",POWER(Upgrades!$U$12,K84),1))+(IF(K84=0,0,(Upgrades!$M$12+K84*Upgrades!$N$12)*POWER(Upgrades!$O$12,K84)))*(IF(Upgrades!$T$6="First Photons",POWER(Upgrades!$U$6,E84),1)*IF(Upgrades!$T$7="First Photons",POWER(Upgrades!$U$7,F84),1)*IF(Upgrades!$T$8="First Photons",POWER(Upgrades!$U$8,G84),1)*IF(Upgrades!$T$9="First Photons",POWER(Upgrades!$U$9,H84),1)*IF(Upgrades!$T$10="First Photons",POWER(Upgrades!$U$10,I84),1)*IF(Upgrades!$T$11="First Photons",POWER(Upgrades!$U$11,J84),1)))*POWER(Upgrades!$R$6,E84)*POWER(Upgrades!$R$7,F84)*POWER(Upgrades!$R$8,G84)*POWER(Upgrades!$R$9,H84)*POWER(Upgrades!$R$10,I84)*POWER(Upgrades!$R$11,J84)*POWER(Upgrades!$R$12,K84)</f>
        <v>0</v>
      </c>
      <c r="P84" s="27" t="n">
        <f aca="false">IF(L84=1,0,M84*Parameters!$B$10/60*Parameters!$B$11*10)</f>
        <v>0</v>
      </c>
      <c r="Q84" s="27" t="n">
        <f aca="false">IF(L84=1,0,O84*M84*10)</f>
        <v>0</v>
      </c>
      <c r="R84" s="27" t="n">
        <f aca="false">IF(L84=1,0,N84*10)</f>
        <v>0</v>
      </c>
      <c r="S84" s="27" t="n">
        <f aca="false">P84+Q84+R84</f>
        <v>0</v>
      </c>
      <c r="T84" s="21" t="n">
        <f aca="false">C84+S84</f>
        <v>18.6730249835055</v>
      </c>
      <c r="U84" s="34" t="str">
        <f aca="false">AX84</f>
        <v/>
      </c>
      <c r="V84" s="21" t="n">
        <f aca="false">IF(U84="",0,IF(U84="transition",0,IF(U84="SW",AG84,IF(U84="AB",AH84,IF(U84="SC",AI84,IF(U84="Mag",AJ84,IF(U84="OR",AK84,IF(U84="HP",AL84,IF(U84="FP",AM84,0)))))))))</f>
        <v>0</v>
      </c>
      <c r="W84" s="27" t="n">
        <f aca="false">IF(U84="OR",Upgrades!$F$10,IF(U84="HP",Upgrades!$F$11,IF(U84="transition",-Parameters!$B$18,0)))</f>
        <v>0</v>
      </c>
      <c r="X84" s="21" t="n">
        <f aca="false">T84-V84</f>
        <v>18.6730249835055</v>
      </c>
      <c r="Y84" s="30" t="n">
        <f aca="false">M84*Parameters!$B$10/60*Parameters!$B$11+O84*M84+N84</f>
        <v>20.55</v>
      </c>
      <c r="Z84" s="35" t="str">
        <f aca="false">IF(U84="transition","→ Tier 2 (Stellar Neighborhood)",IF(U84="FP","First Photons — light begins, system quickens",IF(U84="HP","Heliopause acquired",IF(U84="OR","Orbital Resonance — passive multiplier active",IF(AND(AO84=1,L84=0,AN84&lt;&gt;1),"Cohesion ready (waiting on completionist upgrades)","")))))</f>
        <v/>
      </c>
      <c r="AA84" s="27" t="n">
        <f aca="false">(IF(E84=0,0,(Upgrades!$G$6+E84*Upgrades!$H$6)*POWER(Upgrades!$I$6,E84)))*(IF(Upgrades!$T$7="Solar Wind",POWER(Upgrades!$U$7,F84),1)*IF(Upgrades!$T$8="Solar Wind",POWER(Upgrades!$U$8,G84),1)*IF(Upgrades!$T$9="Solar Wind",POWER(Upgrades!$U$9,H84),1)*IF(Upgrades!$T$10="Solar Wind",POWER(Upgrades!$U$10,I84),1)*IF(Upgrades!$T$11="Solar Wind",POWER(Upgrades!$U$11,J84),1)*IF(Upgrades!$T$12="Solar Wind",POWER(Upgrades!$U$12,K84),1))*POWER(Upgrades!$P$6,E84)*POWER(Upgrades!$P$7,F84)*POWER(Upgrades!$P$8,G84)*POWER(Upgrades!$P$9,H84)*POWER(Upgrades!$P$10,I84)*POWER(Upgrades!$P$11,J84)*POWER(Upgrades!$P$12,K84)*60</f>
        <v>72</v>
      </c>
      <c r="AB84" s="27" t="n">
        <f aca="false">(IF(F84=0,0,(Upgrades!$G$7+F84*Upgrades!$H$7)*POWER(Upgrades!$I$7,F84)))*(IF(Upgrades!$T$6="Asteroid Belt",POWER(Upgrades!$U$6,E84),1)*IF(Upgrades!$T$8="Asteroid Belt",POWER(Upgrades!$U$8,G84),1)*IF(Upgrades!$T$9="Asteroid Belt",POWER(Upgrades!$U$9,H84),1)*IF(Upgrades!$T$10="Asteroid Belt",POWER(Upgrades!$U$10,I84),1)*IF(Upgrades!$T$11="Asteroid Belt",POWER(Upgrades!$U$11,J84),1)*IF(Upgrades!$T$12="Asteroid Belt",POWER(Upgrades!$U$12,K84),1))*POWER(Upgrades!$P$6,E84)*POWER(Upgrades!$P$7,F84)*POWER(Upgrades!$P$8,G84)*POWER(Upgrades!$P$9,H84)*POWER(Upgrades!$P$10,I84)*POWER(Upgrades!$P$11,J84)*POWER(Upgrades!$P$12,K84)*60</f>
        <v>150</v>
      </c>
      <c r="AC84" s="27" t="n">
        <f aca="false">(IF(G84=0,0,(Upgrades!$J$8+G84*Upgrades!$K$8)*POWER(Upgrades!$L$8,G84)))*(IF(Upgrades!$T$6="Stellar Coupling",POWER(Upgrades!$U$6,E84),1)*IF(Upgrades!$T$7="Stellar Coupling",POWER(Upgrades!$U$7,F84),1)*IF(Upgrades!$T$9="Stellar Coupling",POWER(Upgrades!$U$9,H84),1)*IF(Upgrades!$T$10="Stellar Coupling",POWER(Upgrades!$U$10,I84),1)*IF(Upgrades!$T$11="Stellar Coupling",POWER(Upgrades!$U$11,J84),1)*IF(Upgrades!$T$12="Stellar Coupling",POWER(Upgrades!$U$12,K84),1))*POWER(Upgrades!$Q$6,E84)*POWER(Upgrades!$Q$7,F84)*POWER(Upgrades!$Q$8,G84)*POWER(Upgrades!$Q$9,H84)*POWER(Upgrades!$Q$10,I84)*POWER(Upgrades!$Q$11,J84)*POWER(Upgrades!$Q$12,K84)*Parameters!$B$10*Parameters!$B$11</f>
        <v>441</v>
      </c>
      <c r="AD84" s="27" t="n">
        <f aca="false">(IF(H84=0,0,(Upgrades!$G$9+H84*Upgrades!$H$9)*POWER(Upgrades!$I$9,H84)))*(IF(Upgrades!$T$6="Magnetosphere",POWER(Upgrades!$U$6,E84),1)*IF(Upgrades!$T$7="Magnetosphere",POWER(Upgrades!$U$7,F84),1)*IF(Upgrades!$T$8="Magnetosphere",POWER(Upgrades!$U$8,G84),1)*IF(Upgrades!$T$10="Magnetosphere",POWER(Upgrades!$U$10,I84),1)*IF(Upgrades!$T$11="Magnetosphere",POWER(Upgrades!$U$11,J84),1)*IF(Upgrades!$T$12="Magnetosphere",POWER(Upgrades!$U$12,K84),1))*POWER(Upgrades!$P$6,E84)*POWER(Upgrades!$P$7,F84)*POWER(Upgrades!$P$8,G84)*POWER(Upgrades!$P$9,H84)*POWER(Upgrades!$P$10,I84)*POWER(Upgrades!$P$11,J84)*POWER(Upgrades!$P$12,K84)*60</f>
        <v>375</v>
      </c>
      <c r="AE84" s="27" t="n">
        <f aca="false">(IF(K84=0,0,(Upgrades!$G$12+K84*Upgrades!$H$12)*POWER(Upgrades!$I$12,K84)))*(IF(Upgrades!$T$6="First Photons",POWER(Upgrades!$U$6,E84),1)*IF(Upgrades!$T$7="First Photons",POWER(Upgrades!$U$7,F84),1)*IF(Upgrades!$T$8="First Photons",POWER(Upgrades!$U$8,G84),1)*IF(Upgrades!$T$9="First Photons",POWER(Upgrades!$U$9,H84),1)*IF(Upgrades!$T$10="First Photons",POWER(Upgrades!$U$10,I84),1)*IF(Upgrades!$T$11="First Photons",POWER(Upgrades!$U$11,J84),1))*POWER(Upgrades!$P$6,E84)*POWER(Upgrades!$P$7,F84)*POWER(Upgrades!$P$8,G84)*POWER(Upgrades!$P$9,H84)*POWER(Upgrades!$P$10,I84)*POWER(Upgrades!$P$11,J84)*POWER(Upgrades!$P$12,K84)*60</f>
        <v>75</v>
      </c>
      <c r="AF84" s="27" t="n">
        <f aca="false">Parameters!$B$9*POWER(Upgrades!$Q$6,E84)*POWER(Upgrades!$Q$7,F84)*POWER(Upgrades!$Q$8,G84)*POWER(Upgrades!$Q$9,H84)*POWER(Upgrades!$Q$10,I84)*POWER(Upgrades!$Q$11,J84)*POWER(Upgrades!$Q$12,K84)*(Parameters!$B$10*Parameters!$B$11+O84*60)</f>
        <v>120</v>
      </c>
      <c r="AG84" s="21" t="n">
        <f aca="false">IF(E84&gt;=Upgrades!$E$6,"",Upgrades!$C$6*POWER(Upgrades!$D$6,E84))</f>
        <v>37.4517507383159</v>
      </c>
      <c r="AH84" s="21" t="n">
        <f aca="false">IF(F84&gt;=Upgrades!$E$7,"",Upgrades!$C$7*POWER(Upgrades!$D$7,F84))</f>
        <v>80.9111547141581</v>
      </c>
      <c r="AI84" s="21" t="n">
        <f aca="false">IF(G84&gt;=Upgrades!$E$8,"",Upgrades!$C$8*POWER(Upgrades!$D$8,G84))</f>
        <v>231.9097088</v>
      </c>
      <c r="AJ84" s="21" t="str">
        <f aca="false">IF(H84&gt;=Upgrades!$E$9,"",Upgrades!$C$9*POWER(Upgrades!$D$9,H84))</f>
        <v/>
      </c>
      <c r="AK84" s="21" t="str">
        <f aca="false">IF(I84&gt;=Upgrades!$E$10,"",Upgrades!$C$10*POWER(Upgrades!$D$10,I84))</f>
        <v/>
      </c>
      <c r="AL84" s="21" t="str">
        <f aca="false">IF(J84&gt;=Upgrades!$E$11,"",Upgrades!$C$11*POWER(Upgrades!$D$11,J84))</f>
        <v/>
      </c>
      <c r="AM84" s="21" t="str">
        <f aca="false">IF(K84&gt;=Upgrades!$E$12,"",Upgrades!$C$12*POWER(Upgrades!$D$12,K84))</f>
        <v/>
      </c>
      <c r="AN84" s="26" t="str">
        <f aca="false">IF(AND(D84&gt;=Parameters!$B$18,(H84&gt;=Upgrades!$E$9)*(K84&gt;=Upgrades!$E$12)=1,L84=0),1,"")</f>
        <v/>
      </c>
      <c r="AO84" s="26" t="str">
        <f aca="false">IF(AND(D84&gt;=Parameters!$B$18,L84=0),1,"")</f>
        <v/>
      </c>
      <c r="AP84" s="21" t="n">
        <f aca="false">MIN(IF(ISNUMBER(AK84),AK84,9000000000000000),IF(ISNUMBER(AL84),AL84,9000000000000000),IF(ISNUMBER(AM84),AM84,9000000000000000))</f>
        <v>9000000000000000</v>
      </c>
      <c r="AQ84" s="21" t="n">
        <f aca="false">MIN(IF(ISNUMBER(AG84),AG84,9000000000000000),IF(ISNUMBER(AH84),AH84,9000000000000000),IF(ISNUMBER(AI84),AI84,9000000000000000),IF(ISNUMBER(AJ84),AJ84,9000000000000000))</f>
        <v>37.4517507383159</v>
      </c>
      <c r="AR84" s="32" t="b">
        <f aca="false">IF(AW84&gt;Parameters!$B$21*(MAX(IF(AND(NOT(AND(AO84=1,AN84&lt;&gt;1)),ISNUMBER(AG84),AG84&lt;=T84),AS84,0),IF(AND(NOT(AND(AO84=1,AN84&lt;&gt;1)),ISNUMBER(AH84),AH84&lt;=T84),AT84,0),IF(AND(NOT(AND(AO84=1,AN84&lt;&gt;1)),ISNUMBER(AI84),AI84&lt;=T84),AU84,0),IF(AND(ISNUMBER(AJ84),AJ84&lt;=T84),AV84,0))),TRUE(),FALSE())</f>
        <v>1</v>
      </c>
      <c r="AS84" s="33" t="n">
        <f aca="false">IFERROR(Upgrades!$H$6*(POWER(Upgrades!$P$6,E84)*POWER(Upgrades!$P$7,F84)*POWER(Upgrades!$P$8,G84)*POWER(Upgrades!$P$9,H84)*POWER(Upgrades!$P$10,I84)*POWER(Upgrades!$P$11,J84)*POWER(Upgrades!$P$12,K84))*(IF(Upgrades!$T$7="Solar Wind",POWER(Upgrades!$U$7,F84),1)*IF(Upgrades!$T$8="Solar Wind",POWER(Upgrades!$U$8,G84),1)*IF(Upgrades!$T$9="Solar Wind",POWER(Upgrades!$U$9,H84),1)*IF(Upgrades!$T$10="Solar Wind",POWER(Upgrades!$U$10,I84),1)*IF(Upgrades!$T$11="Solar Wind",POWER(Upgrades!$U$11,J84),1)*IF(Upgrades!$T$12="Solar Wind",POWER(Upgrades!$U$12,K84),1))/AG84,0)</f>
        <v>0.0026701021455238</v>
      </c>
      <c r="AT84" s="33" t="n">
        <f aca="false">IFERROR(Upgrades!$H$7*(POWER(Upgrades!$P$6,E84)*POWER(Upgrades!$P$7,F84)*POWER(Upgrades!$P$8,G84)*POWER(Upgrades!$P$9,H84)*POWER(Upgrades!$P$10,I84)*POWER(Upgrades!$P$11,J84)*POWER(Upgrades!$P$12,K84))*(IF(Upgrades!$T$6="Asteroid Belt",POWER(Upgrades!$U$6,E84),1)*IF(Upgrades!$T$8="Asteroid Belt",POWER(Upgrades!$U$8,G84),1)*IF(Upgrades!$T$9="Asteroid Belt",POWER(Upgrades!$U$9,H84),1)*IF(Upgrades!$T$10="Asteroid Belt",POWER(Upgrades!$U$10,I84),1)*IF(Upgrades!$T$11="Asteroid Belt",POWER(Upgrades!$U$11,J84),1)*IF(Upgrades!$T$12="Asteroid Belt",POWER(Upgrades!$U$12,K84),1))/AH84,0)</f>
        <v>0.00308980882652332</v>
      </c>
      <c r="AU84" s="33" t="n">
        <f aca="false">IFERROR(Upgrades!$K$8*(POWER(Upgrades!$Q$6,E84)*POWER(Upgrades!$Q$7,F84)*POWER(Upgrades!$Q$8,G84)*POWER(Upgrades!$Q$9,H84)*POWER(Upgrades!$Q$10,I84)*POWER(Upgrades!$Q$11,J84)*POWER(Upgrades!$Q$12,K84))*(IF(Upgrades!$T$6="Stellar Coupling",POWER(Upgrades!$U$6,E84),1)*IF(Upgrades!$T$7="Stellar Coupling",POWER(Upgrades!$U$7,F84),1)*IF(Upgrades!$T$9="Stellar Coupling",POWER(Upgrades!$U$9,H84),1)*IF(Upgrades!$T$10="Stellar Coupling",POWER(Upgrades!$U$10,I84),1)*IF(Upgrades!$T$11="Stellar Coupling",POWER(Upgrades!$U$11,J84),1)*IF(Upgrades!$T$12="Stellar Coupling",POWER(Upgrades!$U$12,K84),1))*Parameters!$B$10*Parameters!$B$11/60/AI84,0)</f>
        <v>0.00452762415783776</v>
      </c>
      <c r="AV84" s="33" t="n">
        <f aca="false">IFERROR(Upgrades!$H$9*(POWER(Upgrades!$P$6,E84)*POWER(Upgrades!$P$7,F84)*POWER(Upgrades!$P$8,G84)*POWER(Upgrades!$P$9,H84)*POWER(Upgrades!$P$10,I84)*POWER(Upgrades!$P$11,J84)*POWER(Upgrades!$P$12,K84))*(IF(Upgrades!$T$6="Magnetosphere",POWER(Upgrades!$U$6,E84),1)*IF(Upgrades!$T$7="Magnetosphere",POWER(Upgrades!$U$7,F84),1)*IF(Upgrades!$T$8="Magnetosphere",POWER(Upgrades!$U$8,G84),1)*IF(Upgrades!$T$10="Magnetosphere",POWER(Upgrades!$U$10,I84),1)*IF(Upgrades!$T$11="Magnetosphere",POWER(Upgrades!$U$11,J84),1)*IF(Upgrades!$T$12="Magnetosphere",POWER(Upgrades!$U$12,K84),1))/AJ84,0)</f>
        <v>0</v>
      </c>
      <c r="AW84" s="33" t="n">
        <f aca="false">MAX(IF(I84&gt;0,0,IFERROR(0.25*N84/Upgrades!$C$10,0)),IF(J84&gt;0,0,IFERROR(0.5*((IF(G84=0,0,(Upgrades!$J$8+G84*Upgrades!$K$8)*POWER(Upgrades!$L$8,G84)))*(IF(Upgrades!$T$6="Stellar Coupling",POWER(Upgrades!$U$6,E84),1)*IF(Upgrades!$T$7="Stellar Coupling",POWER(Upgrades!$U$7,F84),1)*IF(Upgrades!$T$9="Stellar Coupling",POWER(Upgrades!$U$9,H84),1)*IF(Upgrades!$T$10="Stellar Coupling",POWER(Upgrades!$U$10,I84),1)*IF(Upgrades!$T$11="Stellar Coupling",POWER(Upgrades!$U$11,J84),1)*IF(Upgrades!$T$12="Stellar Coupling",POWER(Upgrades!$U$12,K84),1))*(POWER(Upgrades!$Q$6,E84)*POWER(Upgrades!$Q$7,F84)*POWER(Upgrades!$Q$8,G84)*POWER(Upgrades!$Q$9,H84)*POWER(Upgrades!$Q$10,I84)*POWER(Upgrades!$Q$11,J84)*POWER(Upgrades!$Q$12,K84))*Parameters!$B$10*Parameters!$B$11/60)/Upgrades!$C$11,0)),IF(K84&gt;0,0,IFERROR((1*(POWER(Upgrades!$P$6,E84)*POWER(Upgrades!$P$7,F84)*POWER(Upgrades!$P$8,G84)*POWER(Upgrades!$P$9,H84)*POWER(Upgrades!$P$10,I84)*POWER(Upgrades!$P$11,J84)*POWER(Upgrades!$P$12,K84))+0.2*M84*Parameters!$B$10*Parameters!$B$11/60)/Upgrades!$C$12,0)),IF(AND(ISNUMBER(AG84),AG84&gt;T84),AS84,0),IF(AND(ISNUMBER(AH84),AH84&gt;T84),AT84,0),IF(AND(ISNUMBER(AI84),AI84&gt;T84),AU84,0),IF(AND(ISNUMBER(AJ84),AJ84&gt;T84),AV84,0))</f>
        <v>0.00452762415783776</v>
      </c>
      <c r="AX84" s="29" t="str">
        <f aca="false">IF(AN84=1,"transition",IF(MIN(IF(AND(I84=0,ISNUMBER(AK84),AK84&lt;=T84),AK84,9000000000000000),IF(AND(J84=0,ISNUMBER(AL84),AL84&lt;=T84),AL84,9000000000000000),IF(AND(K84=0,ISNUMBER(AM84),AM84&lt;=T84),AM84,9000000000000000))&lt;9000000000000000,IF(AND(AND(I84=0,ISNUMBER(AK84),AK84&lt;=T84),AK84=MIN(IF(AND(I84=0,ISNUMBER(AK84),AK84&lt;=T84),AK84,9000000000000000),IF(AND(J84=0,ISNUMBER(AL84),AL84&lt;=T84),AL84,9000000000000000),IF(AND(K84=0,ISNUMBER(AM84),AM84&lt;=T84),AM84,9000000000000000))),"OR",IF(AND(AND(J84=0,ISNUMBER(AL84),AL84&lt;=T84),AL84=MIN(IF(AND(I84=0,ISNUMBER(AK84),AK84&lt;=T84),AK84,9000000000000000),IF(AND(J84=0,ISNUMBER(AL84),AL84&lt;=T84),AL84,9000000000000000),IF(AND(K84=0,ISNUMBER(AM84),AM84&lt;=T84),AM84,9000000000000000))),"HP","FP")),IF(AR84=TRUE(),"",IF(MAX(IF(AND(NOT(AND(AO84=1,AN84&lt;&gt;1)),ISNUMBER(AG84),AG84&lt;=T84),AS84,0),IF(AND(NOT(AND(AO84=1,AN84&lt;&gt;1)),ISNUMBER(AH84),AH84&lt;=T84),AT84,0),IF(AND(NOT(AND(AO84=1,AN84&lt;&gt;1)),ISNUMBER(AI84),AI84&lt;=T84),AU84,0),IF(AND(ISNUMBER(AJ84),AJ84&lt;=T84),AV84,0))&lt;=0,"",IF(AND(IF(AND(NOT(AND(AO84=1,AN84&lt;&gt;1)),ISNUMBER(AG84),AG84&lt;=T84),AS84,0)&gt;0,IF(AND(NOT(AND(AO84=1,AN84&lt;&gt;1)),ISNUMBER(AG84),AG84&lt;=T84),AS84,0)=MAX(IF(AND(NOT(AND(AO84=1,AN84&lt;&gt;1)),ISNUMBER(AG84),AG84&lt;=T84),AS84,0),IF(AND(NOT(AND(AO84=1,AN84&lt;&gt;1)),ISNUMBER(AH84),AH84&lt;=T84),AT84,0),IF(AND(NOT(AND(AO84=1,AN84&lt;&gt;1)),ISNUMBER(AI84),AI84&lt;=T84),AU84,0),IF(AND(ISNUMBER(AJ84),AJ84&lt;=T84),AV84,0))),"SW",IF(AND(IF(AND(NOT(AND(AO84=1,AN84&lt;&gt;1)),ISNUMBER(AH84),AH84&lt;=T84),AT84,0)&gt;0,IF(AND(NOT(AND(AO84=1,AN84&lt;&gt;1)),ISNUMBER(AH84),AH84&lt;=T84),AT84,0)=MAX(IF(AND(NOT(AND(AO84=1,AN84&lt;&gt;1)),ISNUMBER(AG84),AG84&lt;=T84),AS84,0),IF(AND(NOT(AND(AO84=1,AN84&lt;&gt;1)),ISNUMBER(AH84),AH84&lt;=T84),AT84,0),IF(AND(NOT(AND(AO84=1,AN84&lt;&gt;1)),ISNUMBER(AI84),AI84&lt;=T84),AU84,0),IF(AND(ISNUMBER(AJ84),AJ84&lt;=T84),AV84,0))),"AB",IF(AND(IF(AND(NOT(AND(AO84=1,AN84&lt;&gt;1)),ISNUMBER(AI84),AI84&lt;=T84),AU84,0)&gt;0,IF(AND(NOT(AND(AO84=1,AN84&lt;&gt;1)),ISNUMBER(AI84),AI84&lt;=T84),AU84,0)=MAX(IF(AND(NOT(AND(AO84=1,AN84&lt;&gt;1)),ISNUMBER(AG84),AG84&lt;=T84),AS84,0),IF(AND(NOT(AND(AO84=1,AN84&lt;&gt;1)),ISNUMBER(AH84),AH84&lt;=T84),AT84,0),IF(AND(NOT(AND(AO84=1,AN84&lt;&gt;1)),ISNUMBER(AI84),AI84&lt;=T84),AU84,0),IF(AND(ISNUMBER(AJ84),AJ84&lt;=T84),AV84,0))),"SC","Mag")))))))</f>
        <v/>
      </c>
    </row>
    <row r="85" customFormat="false" ht="15" hidden="false" customHeight="false" outlineLevel="0" collapsed="false">
      <c r="A85" s="26" t="n">
        <v>80</v>
      </c>
      <c r="B85" s="27" t="n">
        <f aca="false">A85*10/60</f>
        <v>13.3333333333333</v>
      </c>
      <c r="C85" s="21" t="n">
        <f aca="false">X84</f>
        <v>18.6730249835055</v>
      </c>
      <c r="D85" s="27" t="n">
        <f aca="false">D84+W84</f>
        <v>0</v>
      </c>
      <c r="E85" s="26" t="n">
        <f aca="false">E84+IF(U84="SW",1,0)</f>
        <v>12</v>
      </c>
      <c r="F85" s="26" t="n">
        <f aca="false">F84+IF(U84="AB",1,0)</f>
        <v>10</v>
      </c>
      <c r="G85" s="26" t="n">
        <f aca="false">G84+IF(U84="SC",1,0)</f>
        <v>7</v>
      </c>
      <c r="H85" s="26" t="n">
        <f aca="false">H84+IF(U84="Mag",1,0)</f>
        <v>5</v>
      </c>
      <c r="I85" s="26" t="n">
        <f aca="false">MAX(I84,IF(U84="OR",1,0))</f>
        <v>1</v>
      </c>
      <c r="J85" s="26" t="n">
        <f aca="false">MAX(J84,IF(U84="HP",1,0))</f>
        <v>1</v>
      </c>
      <c r="K85" s="26" t="n">
        <f aca="false">MAX(K84,IF(U84="FP",1,0))</f>
        <v>1</v>
      </c>
      <c r="L85" s="26" t="n">
        <f aca="false">MAX(L84,IF(U84="transition",1,0))</f>
        <v>1</v>
      </c>
      <c r="M85" s="28" t="n">
        <f aca="false">(Parameters!$B$9+(IF(E85=0,0,(Upgrades!$J$6+E85*Upgrades!$K$6)*POWER(Upgrades!$L$6,E85)))*(IF(Upgrades!$T$7="Solar Wind",POWER(Upgrades!$U$7,F85),1)*IF(Upgrades!$T$8="Solar Wind",POWER(Upgrades!$U$8,G85),1)*IF(Upgrades!$T$9="Solar Wind",POWER(Upgrades!$U$9,H85),1)*IF(Upgrades!$T$10="Solar Wind",POWER(Upgrades!$U$10,I85),1)*IF(Upgrades!$T$11="Solar Wind",POWER(Upgrades!$U$11,J85),1)*IF(Upgrades!$T$12="Solar Wind",POWER(Upgrades!$U$12,K85),1))+(IF(F85=0,0,(Upgrades!$J$7+F85*Upgrades!$K$7)*POWER(Upgrades!$L$7,F85)))*(IF(Upgrades!$T$6="Asteroid Belt",POWER(Upgrades!$U$6,E85),1)*IF(Upgrades!$T$8="Asteroid Belt",POWER(Upgrades!$U$8,G85),1)*IF(Upgrades!$T$9="Asteroid Belt",POWER(Upgrades!$U$9,H85),1)*IF(Upgrades!$T$10="Asteroid Belt",POWER(Upgrades!$U$10,I85),1)*IF(Upgrades!$T$11="Asteroid Belt",POWER(Upgrades!$U$11,J85),1)*IF(Upgrades!$T$12="Asteroid Belt",POWER(Upgrades!$U$12,K85),1))+(IF(G85=0,0,(Upgrades!$J$8+G85*Upgrades!$K$8)*POWER(Upgrades!$L$8,G85)))*(IF(Upgrades!$T$6="Stellar Coupling",POWER(Upgrades!$U$6,E85),1)*IF(Upgrades!$T$7="Stellar Coupling",POWER(Upgrades!$U$7,F85),1)*IF(Upgrades!$T$9="Stellar Coupling",POWER(Upgrades!$U$9,H85),1)*IF(Upgrades!$T$10="Stellar Coupling",POWER(Upgrades!$U$10,I85),1)*IF(Upgrades!$T$11="Stellar Coupling",POWER(Upgrades!$U$11,J85),1)*IF(Upgrades!$T$12="Stellar Coupling",POWER(Upgrades!$U$12,K85),1))+(IF(H85=0,0,(Upgrades!$J$9+H85*Upgrades!$K$9)*POWER(Upgrades!$L$9,H85)))*(IF(Upgrades!$T$6="Magnetosphere",POWER(Upgrades!$U$6,E85),1)*IF(Upgrades!$T$7="Magnetosphere",POWER(Upgrades!$U$7,F85),1)*IF(Upgrades!$T$8="Magnetosphere",POWER(Upgrades!$U$8,G85),1)*IF(Upgrades!$T$10="Magnetosphere",POWER(Upgrades!$U$10,I85),1)*IF(Upgrades!$T$11="Magnetosphere",POWER(Upgrades!$U$11,J85),1)*IF(Upgrades!$T$12="Magnetosphere",POWER(Upgrades!$U$12,K85),1))+(IF(I85=0,0,(Upgrades!$J$10+I85*Upgrades!$K$10)*POWER(Upgrades!$L$10,I85)))*(IF(Upgrades!$T$6="Orbital Resonance",POWER(Upgrades!$U$6,E85),1)*IF(Upgrades!$T$7="Orbital Resonance",POWER(Upgrades!$U$7,F85),1)*IF(Upgrades!$T$8="Orbital Resonance",POWER(Upgrades!$U$8,G85),1)*IF(Upgrades!$T$9="Orbital Resonance",POWER(Upgrades!$U$9,H85),1)*IF(Upgrades!$T$11="Orbital Resonance",POWER(Upgrades!$U$11,J85),1)*IF(Upgrades!$T$12="Orbital Resonance",POWER(Upgrades!$U$12,K85),1))+(IF(J85=0,0,(Upgrades!$J$11+J85*Upgrades!$K$11)*POWER(Upgrades!$L$11,J85)))*(IF(Upgrades!$T$6="Heliopause",POWER(Upgrades!$U$6,E85),1)*IF(Upgrades!$T$7="Heliopause",POWER(Upgrades!$U$7,F85),1)*IF(Upgrades!$T$8="Heliopause",POWER(Upgrades!$U$8,G85),1)*IF(Upgrades!$T$9="Heliopause",POWER(Upgrades!$U$9,H85),1)*IF(Upgrades!$T$10="Heliopause",POWER(Upgrades!$U$10,I85),1)*IF(Upgrades!$T$12="Heliopause",POWER(Upgrades!$U$12,K85),1))+(IF(K85=0,0,(Upgrades!$J$12+K85*Upgrades!$K$12)*POWER(Upgrades!$L$12,K85)))*(IF(Upgrades!$T$6="First Photons",POWER(Upgrades!$U$6,E85),1)*IF(Upgrades!$T$7="First Photons",POWER(Upgrades!$U$7,F85),1)*IF(Upgrades!$T$8="First Photons",POWER(Upgrades!$U$8,G85),1)*IF(Upgrades!$T$9="First Photons",POWER(Upgrades!$U$9,H85),1)*IF(Upgrades!$T$10="First Photons",POWER(Upgrades!$U$10,I85),1)*IF(Upgrades!$T$11="First Photons",POWER(Upgrades!$U$11,J85),1)))*POWER(Upgrades!$Q$6,E85)*POWER(Upgrades!$Q$7,F85)*POWER(Upgrades!$Q$8,G85)*POWER(Upgrades!$Q$9,H85)*POWER(Upgrades!$Q$10,I85)*POWER(Upgrades!$Q$11,J85)*POWER(Upgrades!$Q$12,K85)</f>
        <v>5.61</v>
      </c>
      <c r="N85" s="28" t="n">
        <f aca="false">((IF(E85=0,0,(Upgrades!$G$6+E85*Upgrades!$H$6)*POWER(Upgrades!$I$6,E85)))*(IF(Upgrades!$T$7="Solar Wind",POWER(Upgrades!$U$7,F85),1)*IF(Upgrades!$T$8="Solar Wind",POWER(Upgrades!$U$8,G85),1)*IF(Upgrades!$T$9="Solar Wind",POWER(Upgrades!$U$9,H85),1)*IF(Upgrades!$T$10="Solar Wind",POWER(Upgrades!$U$10,I85),1)*IF(Upgrades!$T$11="Solar Wind",POWER(Upgrades!$U$11,J85),1)*IF(Upgrades!$T$12="Solar Wind",POWER(Upgrades!$U$12,K85),1))+(IF(F85=0,0,(Upgrades!$G$7+F85*Upgrades!$H$7)*POWER(Upgrades!$I$7,F85)))*(IF(Upgrades!$T$6="Asteroid Belt",POWER(Upgrades!$U$6,E85),1)*IF(Upgrades!$T$8="Asteroid Belt",POWER(Upgrades!$U$8,G85),1)*IF(Upgrades!$T$9="Asteroid Belt",POWER(Upgrades!$U$9,H85),1)*IF(Upgrades!$T$10="Asteroid Belt",POWER(Upgrades!$U$10,I85),1)*IF(Upgrades!$T$11="Asteroid Belt",POWER(Upgrades!$U$11,J85),1)*IF(Upgrades!$T$12="Asteroid Belt",POWER(Upgrades!$U$12,K85),1))+(IF(G85=0,0,(Upgrades!$G$8+G85*Upgrades!$H$8)*POWER(Upgrades!$I$8,G85)))*(IF(Upgrades!$T$6="Stellar Coupling",POWER(Upgrades!$U$6,E85),1)*IF(Upgrades!$T$7="Stellar Coupling",POWER(Upgrades!$U$7,F85),1)*IF(Upgrades!$T$9="Stellar Coupling",POWER(Upgrades!$U$9,H85),1)*IF(Upgrades!$T$10="Stellar Coupling",POWER(Upgrades!$U$10,I85),1)*IF(Upgrades!$T$11="Stellar Coupling",POWER(Upgrades!$U$11,J85),1)*IF(Upgrades!$T$12="Stellar Coupling",POWER(Upgrades!$U$12,K85),1))+(IF(H85=0,0,(Upgrades!$G$9+H85*Upgrades!$H$9)*POWER(Upgrades!$I$9,H85)))*(IF(Upgrades!$T$6="Magnetosphere",POWER(Upgrades!$U$6,E85),1)*IF(Upgrades!$T$7="Magnetosphere",POWER(Upgrades!$U$7,F85),1)*IF(Upgrades!$T$8="Magnetosphere",POWER(Upgrades!$U$8,G85),1)*IF(Upgrades!$T$10="Magnetosphere",POWER(Upgrades!$U$10,I85),1)*IF(Upgrades!$T$11="Magnetosphere",POWER(Upgrades!$U$11,J85),1)*IF(Upgrades!$T$12="Magnetosphere",POWER(Upgrades!$U$12,K85),1))+(IF(I85=0,0,(Upgrades!$G$10+I85*Upgrades!$H$10)*POWER(Upgrades!$I$10,I85)))*(IF(Upgrades!$T$6="Orbital Resonance",POWER(Upgrades!$U$6,E85),1)*IF(Upgrades!$T$7="Orbital Resonance",POWER(Upgrades!$U$7,F85),1)*IF(Upgrades!$T$8="Orbital Resonance",POWER(Upgrades!$U$8,G85),1)*IF(Upgrades!$T$9="Orbital Resonance",POWER(Upgrades!$U$9,H85),1)*IF(Upgrades!$T$11="Orbital Resonance",POWER(Upgrades!$U$11,J85),1)*IF(Upgrades!$T$12="Orbital Resonance",POWER(Upgrades!$U$12,K85),1))+(IF(J85=0,0,(Upgrades!$G$11+J85*Upgrades!$H$11)*POWER(Upgrades!$I$11,J85)))*(IF(Upgrades!$T$6="Heliopause",POWER(Upgrades!$U$6,E85),1)*IF(Upgrades!$T$7="Heliopause",POWER(Upgrades!$U$7,F85),1)*IF(Upgrades!$T$8="Heliopause",POWER(Upgrades!$U$8,G85),1)*IF(Upgrades!$T$9="Heliopause",POWER(Upgrades!$U$9,H85),1)*IF(Upgrades!$T$10="Heliopause",POWER(Upgrades!$U$10,I85),1)*IF(Upgrades!$T$12="Heliopause",POWER(Upgrades!$U$12,K85),1))+(IF(K85=0,0,(Upgrades!$G$12+K85*Upgrades!$H$12)*POWER(Upgrades!$I$12,K85)))*(IF(Upgrades!$T$6="First Photons",POWER(Upgrades!$U$6,E85),1)*IF(Upgrades!$T$7="First Photons",POWER(Upgrades!$U$7,F85),1)*IF(Upgrades!$T$8="First Photons",POWER(Upgrades!$U$8,G85),1)*IF(Upgrades!$T$9="First Photons",POWER(Upgrades!$U$9,H85),1)*IF(Upgrades!$T$10="First Photons",POWER(Upgrades!$U$10,I85),1)*IF(Upgrades!$T$11="First Photons",POWER(Upgrades!$U$11,J85),1)))*POWER(Upgrades!$P$6,E85)*POWER(Upgrades!$P$7,F85)*POWER(Upgrades!$P$8,G85)*POWER(Upgrades!$P$9,H85)*POWER(Upgrades!$P$10,I85)*POWER(Upgrades!$P$11,J85)*POWER(Upgrades!$P$12,K85)</f>
        <v>11.2</v>
      </c>
      <c r="O85" s="28" t="n">
        <f aca="false">((IF(E85=0,0,(Upgrades!$M$6+E85*Upgrades!$N$6)*POWER(Upgrades!$O$6,E85)))*(IF(Upgrades!$T$7="Solar Wind",POWER(Upgrades!$U$7,F85),1)*IF(Upgrades!$T$8="Solar Wind",POWER(Upgrades!$U$8,G85),1)*IF(Upgrades!$T$9="Solar Wind",POWER(Upgrades!$U$9,H85),1)*IF(Upgrades!$T$10="Solar Wind",POWER(Upgrades!$U$10,I85),1)*IF(Upgrades!$T$11="Solar Wind",POWER(Upgrades!$U$11,J85),1)*IF(Upgrades!$T$12="Solar Wind",POWER(Upgrades!$U$12,K85),1))+(IF(F85=0,0,(Upgrades!$M$7+F85*Upgrades!$N$7)*POWER(Upgrades!$O$7,F85)))*(IF(Upgrades!$T$6="Asteroid Belt",POWER(Upgrades!$U$6,E85),1)*IF(Upgrades!$T$8="Asteroid Belt",POWER(Upgrades!$U$8,G85),1)*IF(Upgrades!$T$9="Asteroid Belt",POWER(Upgrades!$U$9,H85),1)*IF(Upgrades!$T$10="Asteroid Belt",POWER(Upgrades!$U$10,I85),1)*IF(Upgrades!$T$11="Asteroid Belt",POWER(Upgrades!$U$11,J85),1)*IF(Upgrades!$T$12="Asteroid Belt",POWER(Upgrades!$U$12,K85),1))+(IF(G85=0,0,(Upgrades!$M$8+G85*Upgrades!$N$8)*POWER(Upgrades!$O$8,G85)))*(IF(Upgrades!$T$6="Stellar Coupling",POWER(Upgrades!$U$6,E85),1)*IF(Upgrades!$T$7="Stellar Coupling",POWER(Upgrades!$U$7,F85),1)*IF(Upgrades!$T$9="Stellar Coupling",POWER(Upgrades!$U$9,H85),1)*IF(Upgrades!$T$10="Stellar Coupling",POWER(Upgrades!$U$10,I85),1)*IF(Upgrades!$T$11="Stellar Coupling",POWER(Upgrades!$U$11,J85),1)*IF(Upgrades!$T$12="Stellar Coupling",POWER(Upgrades!$U$12,K85),1))+(IF(H85=0,0,(Upgrades!$M$9+H85*Upgrades!$N$9)*POWER(Upgrades!$O$9,H85)))*(IF(Upgrades!$T$6="Magnetosphere",POWER(Upgrades!$U$6,E85),1)*IF(Upgrades!$T$7="Magnetosphere",POWER(Upgrades!$U$7,F85),1)*IF(Upgrades!$T$8="Magnetosphere",POWER(Upgrades!$U$8,G85),1)*IF(Upgrades!$T$10="Magnetosphere",POWER(Upgrades!$U$10,I85),1)*IF(Upgrades!$T$11="Magnetosphere",POWER(Upgrades!$U$11,J85),1)*IF(Upgrades!$T$12="Magnetosphere",POWER(Upgrades!$U$12,K85),1))+(IF(I85=0,0,(Upgrades!$M$10+I85*Upgrades!$N$10)*POWER(Upgrades!$O$10,I85)))*(IF(Upgrades!$T$6="Orbital Resonance",POWER(Upgrades!$U$6,E85),1)*IF(Upgrades!$T$7="Orbital Resonance",POWER(Upgrades!$U$7,F85),1)*IF(Upgrades!$T$8="Orbital Resonance",POWER(Upgrades!$U$8,G85),1)*IF(Upgrades!$T$9="Orbital Resonance",POWER(Upgrades!$U$9,H85),1)*IF(Upgrades!$T$11="Orbital Resonance",POWER(Upgrades!$U$11,J85),1)*IF(Upgrades!$T$12="Orbital Resonance",POWER(Upgrades!$U$12,K85),1))+(IF(J85=0,0,(Upgrades!$M$11+J85*Upgrades!$N$11)*POWER(Upgrades!$O$11,J85)))*(IF(Upgrades!$T$6="Heliopause",POWER(Upgrades!$U$6,E85),1)*IF(Upgrades!$T$7="Heliopause",POWER(Upgrades!$U$7,F85),1)*IF(Upgrades!$T$8="Heliopause",POWER(Upgrades!$U$8,G85),1)*IF(Upgrades!$T$9="Heliopause",POWER(Upgrades!$U$9,H85),1)*IF(Upgrades!$T$10="Heliopause",POWER(Upgrades!$U$10,I85),1)*IF(Upgrades!$T$12="Heliopause",POWER(Upgrades!$U$12,K85),1))+(IF(K85=0,0,(Upgrades!$M$12+K85*Upgrades!$N$12)*POWER(Upgrades!$O$12,K85)))*(IF(Upgrades!$T$6="First Photons",POWER(Upgrades!$U$6,E85),1)*IF(Upgrades!$T$7="First Photons",POWER(Upgrades!$U$7,F85),1)*IF(Upgrades!$T$8="First Photons",POWER(Upgrades!$U$8,G85),1)*IF(Upgrades!$T$9="First Photons",POWER(Upgrades!$U$9,H85),1)*IF(Upgrades!$T$10="First Photons",POWER(Upgrades!$U$10,I85),1)*IF(Upgrades!$T$11="First Photons",POWER(Upgrades!$U$11,J85),1)))*POWER(Upgrades!$R$6,E85)*POWER(Upgrades!$R$7,F85)*POWER(Upgrades!$R$8,G85)*POWER(Upgrades!$R$9,H85)*POWER(Upgrades!$R$10,I85)*POWER(Upgrades!$R$11,J85)*POWER(Upgrades!$R$12,K85)</f>
        <v>0</v>
      </c>
      <c r="P85" s="27" t="n">
        <f aca="false">IF(L85=1,0,M85*Parameters!$B$10/60*Parameters!$B$11*10)</f>
        <v>0</v>
      </c>
      <c r="Q85" s="27" t="n">
        <f aca="false">IF(L85=1,0,O85*M85*10)</f>
        <v>0</v>
      </c>
      <c r="R85" s="27" t="n">
        <f aca="false">IF(L85=1,0,N85*10)</f>
        <v>0</v>
      </c>
      <c r="S85" s="27" t="n">
        <f aca="false">P85+Q85+R85</f>
        <v>0</v>
      </c>
      <c r="T85" s="21" t="n">
        <f aca="false">C85+S85</f>
        <v>18.6730249835055</v>
      </c>
      <c r="U85" s="34" t="str">
        <f aca="false">AX85</f>
        <v/>
      </c>
      <c r="V85" s="21" t="n">
        <f aca="false">IF(U85="",0,IF(U85="transition",0,IF(U85="SW",AG85,IF(U85="AB",AH85,IF(U85="SC",AI85,IF(U85="Mag",AJ85,IF(U85="OR",AK85,IF(U85="HP",AL85,IF(U85="FP",AM85,0)))))))))</f>
        <v>0</v>
      </c>
      <c r="W85" s="27" t="n">
        <f aca="false">IF(U85="OR",Upgrades!$F$10,IF(U85="HP",Upgrades!$F$11,IF(U85="transition",-Parameters!$B$18,0)))</f>
        <v>0</v>
      </c>
      <c r="X85" s="21" t="n">
        <f aca="false">T85-V85</f>
        <v>18.6730249835055</v>
      </c>
      <c r="Y85" s="30" t="n">
        <f aca="false">M85*Parameters!$B$10/60*Parameters!$B$11+O85*M85+N85</f>
        <v>20.55</v>
      </c>
      <c r="Z85" s="35" t="str">
        <f aca="false">IF(U85="transition","→ Tier 2 (Stellar Neighborhood)",IF(U85="FP","First Photons — light begins, system quickens",IF(U85="HP","Heliopause acquired",IF(U85="OR","Orbital Resonance — passive multiplier active",IF(AND(AO85=1,L85=0,AN85&lt;&gt;1),"Cohesion ready (waiting on completionist upgrades)","")))))</f>
        <v/>
      </c>
      <c r="AA85" s="27" t="n">
        <f aca="false">(IF(E85=0,0,(Upgrades!$G$6+E85*Upgrades!$H$6)*POWER(Upgrades!$I$6,E85)))*(IF(Upgrades!$T$7="Solar Wind",POWER(Upgrades!$U$7,F85),1)*IF(Upgrades!$T$8="Solar Wind",POWER(Upgrades!$U$8,G85),1)*IF(Upgrades!$T$9="Solar Wind",POWER(Upgrades!$U$9,H85),1)*IF(Upgrades!$T$10="Solar Wind",POWER(Upgrades!$U$10,I85),1)*IF(Upgrades!$T$11="Solar Wind",POWER(Upgrades!$U$11,J85),1)*IF(Upgrades!$T$12="Solar Wind",POWER(Upgrades!$U$12,K85),1))*POWER(Upgrades!$P$6,E85)*POWER(Upgrades!$P$7,F85)*POWER(Upgrades!$P$8,G85)*POWER(Upgrades!$P$9,H85)*POWER(Upgrades!$P$10,I85)*POWER(Upgrades!$P$11,J85)*POWER(Upgrades!$P$12,K85)*60</f>
        <v>72</v>
      </c>
      <c r="AB85" s="27" t="n">
        <f aca="false">(IF(F85=0,0,(Upgrades!$G$7+F85*Upgrades!$H$7)*POWER(Upgrades!$I$7,F85)))*(IF(Upgrades!$T$6="Asteroid Belt",POWER(Upgrades!$U$6,E85),1)*IF(Upgrades!$T$8="Asteroid Belt",POWER(Upgrades!$U$8,G85),1)*IF(Upgrades!$T$9="Asteroid Belt",POWER(Upgrades!$U$9,H85),1)*IF(Upgrades!$T$10="Asteroid Belt",POWER(Upgrades!$U$10,I85),1)*IF(Upgrades!$T$11="Asteroid Belt",POWER(Upgrades!$U$11,J85),1)*IF(Upgrades!$T$12="Asteroid Belt",POWER(Upgrades!$U$12,K85),1))*POWER(Upgrades!$P$6,E85)*POWER(Upgrades!$P$7,F85)*POWER(Upgrades!$P$8,G85)*POWER(Upgrades!$P$9,H85)*POWER(Upgrades!$P$10,I85)*POWER(Upgrades!$P$11,J85)*POWER(Upgrades!$P$12,K85)*60</f>
        <v>150</v>
      </c>
      <c r="AC85" s="27" t="n">
        <f aca="false">(IF(G85=0,0,(Upgrades!$J$8+G85*Upgrades!$K$8)*POWER(Upgrades!$L$8,G85)))*(IF(Upgrades!$T$6="Stellar Coupling",POWER(Upgrades!$U$6,E85),1)*IF(Upgrades!$T$7="Stellar Coupling",POWER(Upgrades!$U$7,F85),1)*IF(Upgrades!$T$9="Stellar Coupling",POWER(Upgrades!$U$9,H85),1)*IF(Upgrades!$T$10="Stellar Coupling",POWER(Upgrades!$U$10,I85),1)*IF(Upgrades!$T$11="Stellar Coupling",POWER(Upgrades!$U$11,J85),1)*IF(Upgrades!$T$12="Stellar Coupling",POWER(Upgrades!$U$12,K85),1))*POWER(Upgrades!$Q$6,E85)*POWER(Upgrades!$Q$7,F85)*POWER(Upgrades!$Q$8,G85)*POWER(Upgrades!$Q$9,H85)*POWER(Upgrades!$Q$10,I85)*POWER(Upgrades!$Q$11,J85)*POWER(Upgrades!$Q$12,K85)*Parameters!$B$10*Parameters!$B$11</f>
        <v>441</v>
      </c>
      <c r="AD85" s="27" t="n">
        <f aca="false">(IF(H85=0,0,(Upgrades!$G$9+H85*Upgrades!$H$9)*POWER(Upgrades!$I$9,H85)))*(IF(Upgrades!$T$6="Magnetosphere",POWER(Upgrades!$U$6,E85),1)*IF(Upgrades!$T$7="Magnetosphere",POWER(Upgrades!$U$7,F85),1)*IF(Upgrades!$T$8="Magnetosphere",POWER(Upgrades!$U$8,G85),1)*IF(Upgrades!$T$10="Magnetosphere",POWER(Upgrades!$U$10,I85),1)*IF(Upgrades!$T$11="Magnetosphere",POWER(Upgrades!$U$11,J85),1)*IF(Upgrades!$T$12="Magnetosphere",POWER(Upgrades!$U$12,K85),1))*POWER(Upgrades!$P$6,E85)*POWER(Upgrades!$P$7,F85)*POWER(Upgrades!$P$8,G85)*POWER(Upgrades!$P$9,H85)*POWER(Upgrades!$P$10,I85)*POWER(Upgrades!$P$11,J85)*POWER(Upgrades!$P$12,K85)*60</f>
        <v>375</v>
      </c>
      <c r="AE85" s="27" t="n">
        <f aca="false">(IF(K85=0,0,(Upgrades!$G$12+K85*Upgrades!$H$12)*POWER(Upgrades!$I$12,K85)))*(IF(Upgrades!$T$6="First Photons",POWER(Upgrades!$U$6,E85),1)*IF(Upgrades!$T$7="First Photons",POWER(Upgrades!$U$7,F85),1)*IF(Upgrades!$T$8="First Photons",POWER(Upgrades!$U$8,G85),1)*IF(Upgrades!$T$9="First Photons",POWER(Upgrades!$U$9,H85),1)*IF(Upgrades!$T$10="First Photons",POWER(Upgrades!$U$10,I85),1)*IF(Upgrades!$T$11="First Photons",POWER(Upgrades!$U$11,J85),1))*POWER(Upgrades!$P$6,E85)*POWER(Upgrades!$P$7,F85)*POWER(Upgrades!$P$8,G85)*POWER(Upgrades!$P$9,H85)*POWER(Upgrades!$P$10,I85)*POWER(Upgrades!$P$11,J85)*POWER(Upgrades!$P$12,K85)*60</f>
        <v>75</v>
      </c>
      <c r="AF85" s="27" t="n">
        <f aca="false">Parameters!$B$9*POWER(Upgrades!$Q$6,E85)*POWER(Upgrades!$Q$7,F85)*POWER(Upgrades!$Q$8,G85)*POWER(Upgrades!$Q$9,H85)*POWER(Upgrades!$Q$10,I85)*POWER(Upgrades!$Q$11,J85)*POWER(Upgrades!$Q$12,K85)*(Parameters!$B$10*Parameters!$B$11+O85*60)</f>
        <v>120</v>
      </c>
      <c r="AG85" s="21" t="n">
        <f aca="false">IF(E85&gt;=Upgrades!$E$6,"",Upgrades!$C$6*POWER(Upgrades!$D$6,E85))</f>
        <v>37.4517507383159</v>
      </c>
      <c r="AH85" s="21" t="n">
        <f aca="false">IF(F85&gt;=Upgrades!$E$7,"",Upgrades!$C$7*POWER(Upgrades!$D$7,F85))</f>
        <v>80.9111547141581</v>
      </c>
      <c r="AI85" s="21" t="n">
        <f aca="false">IF(G85&gt;=Upgrades!$E$8,"",Upgrades!$C$8*POWER(Upgrades!$D$8,G85))</f>
        <v>231.9097088</v>
      </c>
      <c r="AJ85" s="21" t="str">
        <f aca="false">IF(H85&gt;=Upgrades!$E$9,"",Upgrades!$C$9*POWER(Upgrades!$D$9,H85))</f>
        <v/>
      </c>
      <c r="AK85" s="21" t="str">
        <f aca="false">IF(I85&gt;=Upgrades!$E$10,"",Upgrades!$C$10*POWER(Upgrades!$D$10,I85))</f>
        <v/>
      </c>
      <c r="AL85" s="21" t="str">
        <f aca="false">IF(J85&gt;=Upgrades!$E$11,"",Upgrades!$C$11*POWER(Upgrades!$D$11,J85))</f>
        <v/>
      </c>
      <c r="AM85" s="21" t="str">
        <f aca="false">IF(K85&gt;=Upgrades!$E$12,"",Upgrades!$C$12*POWER(Upgrades!$D$12,K85))</f>
        <v/>
      </c>
      <c r="AN85" s="26" t="str">
        <f aca="false">IF(AND(D85&gt;=Parameters!$B$18,(H85&gt;=Upgrades!$E$9)*(K85&gt;=Upgrades!$E$12)=1,L85=0),1,"")</f>
        <v/>
      </c>
      <c r="AO85" s="26" t="str">
        <f aca="false">IF(AND(D85&gt;=Parameters!$B$18,L85=0),1,"")</f>
        <v/>
      </c>
      <c r="AP85" s="21" t="n">
        <f aca="false">MIN(IF(ISNUMBER(AK85),AK85,9000000000000000),IF(ISNUMBER(AL85),AL85,9000000000000000),IF(ISNUMBER(AM85),AM85,9000000000000000))</f>
        <v>9000000000000000</v>
      </c>
      <c r="AQ85" s="21" t="n">
        <f aca="false">MIN(IF(ISNUMBER(AG85),AG85,9000000000000000),IF(ISNUMBER(AH85),AH85,9000000000000000),IF(ISNUMBER(AI85),AI85,9000000000000000),IF(ISNUMBER(AJ85),AJ85,9000000000000000))</f>
        <v>37.4517507383159</v>
      </c>
      <c r="AR85" s="32" t="b">
        <f aca="false">IF(AW85&gt;Parameters!$B$21*(MAX(IF(AND(NOT(AND(AO85=1,AN85&lt;&gt;1)),ISNUMBER(AG85),AG85&lt;=T85),AS85,0),IF(AND(NOT(AND(AO85=1,AN85&lt;&gt;1)),ISNUMBER(AH85),AH85&lt;=T85),AT85,0),IF(AND(NOT(AND(AO85=1,AN85&lt;&gt;1)),ISNUMBER(AI85),AI85&lt;=T85),AU85,0),IF(AND(ISNUMBER(AJ85),AJ85&lt;=T85),AV85,0))),TRUE(),FALSE())</f>
        <v>1</v>
      </c>
      <c r="AS85" s="33" t="n">
        <f aca="false">IFERROR(Upgrades!$H$6*(POWER(Upgrades!$P$6,E85)*POWER(Upgrades!$P$7,F85)*POWER(Upgrades!$P$8,G85)*POWER(Upgrades!$P$9,H85)*POWER(Upgrades!$P$10,I85)*POWER(Upgrades!$P$11,J85)*POWER(Upgrades!$P$12,K85))*(IF(Upgrades!$T$7="Solar Wind",POWER(Upgrades!$U$7,F85),1)*IF(Upgrades!$T$8="Solar Wind",POWER(Upgrades!$U$8,G85),1)*IF(Upgrades!$T$9="Solar Wind",POWER(Upgrades!$U$9,H85),1)*IF(Upgrades!$T$10="Solar Wind",POWER(Upgrades!$U$10,I85),1)*IF(Upgrades!$T$11="Solar Wind",POWER(Upgrades!$U$11,J85),1)*IF(Upgrades!$T$12="Solar Wind",POWER(Upgrades!$U$12,K85),1))/AG85,0)</f>
        <v>0.0026701021455238</v>
      </c>
      <c r="AT85" s="33" t="n">
        <f aca="false">IFERROR(Upgrades!$H$7*(POWER(Upgrades!$P$6,E85)*POWER(Upgrades!$P$7,F85)*POWER(Upgrades!$P$8,G85)*POWER(Upgrades!$P$9,H85)*POWER(Upgrades!$P$10,I85)*POWER(Upgrades!$P$11,J85)*POWER(Upgrades!$P$12,K85))*(IF(Upgrades!$T$6="Asteroid Belt",POWER(Upgrades!$U$6,E85),1)*IF(Upgrades!$T$8="Asteroid Belt",POWER(Upgrades!$U$8,G85),1)*IF(Upgrades!$T$9="Asteroid Belt",POWER(Upgrades!$U$9,H85),1)*IF(Upgrades!$T$10="Asteroid Belt",POWER(Upgrades!$U$10,I85),1)*IF(Upgrades!$T$11="Asteroid Belt",POWER(Upgrades!$U$11,J85),1)*IF(Upgrades!$T$12="Asteroid Belt",POWER(Upgrades!$U$12,K85),1))/AH85,0)</f>
        <v>0.00308980882652332</v>
      </c>
      <c r="AU85" s="33" t="n">
        <f aca="false">IFERROR(Upgrades!$K$8*(POWER(Upgrades!$Q$6,E85)*POWER(Upgrades!$Q$7,F85)*POWER(Upgrades!$Q$8,G85)*POWER(Upgrades!$Q$9,H85)*POWER(Upgrades!$Q$10,I85)*POWER(Upgrades!$Q$11,J85)*POWER(Upgrades!$Q$12,K85))*(IF(Upgrades!$T$6="Stellar Coupling",POWER(Upgrades!$U$6,E85),1)*IF(Upgrades!$T$7="Stellar Coupling",POWER(Upgrades!$U$7,F85),1)*IF(Upgrades!$T$9="Stellar Coupling",POWER(Upgrades!$U$9,H85),1)*IF(Upgrades!$T$10="Stellar Coupling",POWER(Upgrades!$U$10,I85),1)*IF(Upgrades!$T$11="Stellar Coupling",POWER(Upgrades!$U$11,J85),1)*IF(Upgrades!$T$12="Stellar Coupling",POWER(Upgrades!$U$12,K85),1))*Parameters!$B$10*Parameters!$B$11/60/AI85,0)</f>
        <v>0.00452762415783776</v>
      </c>
      <c r="AV85" s="33" t="n">
        <f aca="false">IFERROR(Upgrades!$H$9*(POWER(Upgrades!$P$6,E85)*POWER(Upgrades!$P$7,F85)*POWER(Upgrades!$P$8,G85)*POWER(Upgrades!$P$9,H85)*POWER(Upgrades!$P$10,I85)*POWER(Upgrades!$P$11,J85)*POWER(Upgrades!$P$12,K85))*(IF(Upgrades!$T$6="Magnetosphere",POWER(Upgrades!$U$6,E85),1)*IF(Upgrades!$T$7="Magnetosphere",POWER(Upgrades!$U$7,F85),1)*IF(Upgrades!$T$8="Magnetosphere",POWER(Upgrades!$U$8,G85),1)*IF(Upgrades!$T$10="Magnetosphere",POWER(Upgrades!$U$10,I85),1)*IF(Upgrades!$T$11="Magnetosphere",POWER(Upgrades!$U$11,J85),1)*IF(Upgrades!$T$12="Magnetosphere",POWER(Upgrades!$U$12,K85),1))/AJ85,0)</f>
        <v>0</v>
      </c>
      <c r="AW85" s="33" t="n">
        <f aca="false">MAX(IF(I85&gt;0,0,IFERROR(0.25*N85/Upgrades!$C$10,0)),IF(J85&gt;0,0,IFERROR(0.5*((IF(G85=0,0,(Upgrades!$J$8+G85*Upgrades!$K$8)*POWER(Upgrades!$L$8,G85)))*(IF(Upgrades!$T$6="Stellar Coupling",POWER(Upgrades!$U$6,E85),1)*IF(Upgrades!$T$7="Stellar Coupling",POWER(Upgrades!$U$7,F85),1)*IF(Upgrades!$T$9="Stellar Coupling",POWER(Upgrades!$U$9,H85),1)*IF(Upgrades!$T$10="Stellar Coupling",POWER(Upgrades!$U$10,I85),1)*IF(Upgrades!$T$11="Stellar Coupling",POWER(Upgrades!$U$11,J85),1)*IF(Upgrades!$T$12="Stellar Coupling",POWER(Upgrades!$U$12,K85),1))*(POWER(Upgrades!$Q$6,E85)*POWER(Upgrades!$Q$7,F85)*POWER(Upgrades!$Q$8,G85)*POWER(Upgrades!$Q$9,H85)*POWER(Upgrades!$Q$10,I85)*POWER(Upgrades!$Q$11,J85)*POWER(Upgrades!$Q$12,K85))*Parameters!$B$10*Parameters!$B$11/60)/Upgrades!$C$11,0)),IF(K85&gt;0,0,IFERROR((1*(POWER(Upgrades!$P$6,E85)*POWER(Upgrades!$P$7,F85)*POWER(Upgrades!$P$8,G85)*POWER(Upgrades!$P$9,H85)*POWER(Upgrades!$P$10,I85)*POWER(Upgrades!$P$11,J85)*POWER(Upgrades!$P$12,K85))+0.2*M85*Parameters!$B$10*Parameters!$B$11/60)/Upgrades!$C$12,0)),IF(AND(ISNUMBER(AG85),AG85&gt;T85),AS85,0),IF(AND(ISNUMBER(AH85),AH85&gt;T85),AT85,0),IF(AND(ISNUMBER(AI85),AI85&gt;T85),AU85,0),IF(AND(ISNUMBER(AJ85),AJ85&gt;T85),AV85,0))</f>
        <v>0.00452762415783776</v>
      </c>
      <c r="AX85" s="29" t="str">
        <f aca="false">IF(AN85=1,"transition",IF(MIN(IF(AND(I85=0,ISNUMBER(AK85),AK85&lt;=T85),AK85,9000000000000000),IF(AND(J85=0,ISNUMBER(AL85),AL85&lt;=T85),AL85,9000000000000000),IF(AND(K85=0,ISNUMBER(AM85),AM85&lt;=T85),AM85,9000000000000000))&lt;9000000000000000,IF(AND(AND(I85=0,ISNUMBER(AK85),AK85&lt;=T85),AK85=MIN(IF(AND(I85=0,ISNUMBER(AK85),AK85&lt;=T85),AK85,9000000000000000),IF(AND(J85=0,ISNUMBER(AL85),AL85&lt;=T85),AL85,9000000000000000),IF(AND(K85=0,ISNUMBER(AM85),AM85&lt;=T85),AM85,9000000000000000))),"OR",IF(AND(AND(J85=0,ISNUMBER(AL85),AL85&lt;=T85),AL85=MIN(IF(AND(I85=0,ISNUMBER(AK85),AK85&lt;=T85),AK85,9000000000000000),IF(AND(J85=0,ISNUMBER(AL85),AL85&lt;=T85),AL85,9000000000000000),IF(AND(K85=0,ISNUMBER(AM85),AM85&lt;=T85),AM85,9000000000000000))),"HP","FP")),IF(AR85=TRUE(),"",IF(MAX(IF(AND(NOT(AND(AO85=1,AN85&lt;&gt;1)),ISNUMBER(AG85),AG85&lt;=T85),AS85,0),IF(AND(NOT(AND(AO85=1,AN85&lt;&gt;1)),ISNUMBER(AH85),AH85&lt;=T85),AT85,0),IF(AND(NOT(AND(AO85=1,AN85&lt;&gt;1)),ISNUMBER(AI85),AI85&lt;=T85),AU85,0),IF(AND(ISNUMBER(AJ85),AJ85&lt;=T85),AV85,0))&lt;=0,"",IF(AND(IF(AND(NOT(AND(AO85=1,AN85&lt;&gt;1)),ISNUMBER(AG85),AG85&lt;=T85),AS85,0)&gt;0,IF(AND(NOT(AND(AO85=1,AN85&lt;&gt;1)),ISNUMBER(AG85),AG85&lt;=T85),AS85,0)=MAX(IF(AND(NOT(AND(AO85=1,AN85&lt;&gt;1)),ISNUMBER(AG85),AG85&lt;=T85),AS85,0),IF(AND(NOT(AND(AO85=1,AN85&lt;&gt;1)),ISNUMBER(AH85),AH85&lt;=T85),AT85,0),IF(AND(NOT(AND(AO85=1,AN85&lt;&gt;1)),ISNUMBER(AI85),AI85&lt;=T85),AU85,0),IF(AND(ISNUMBER(AJ85),AJ85&lt;=T85),AV85,0))),"SW",IF(AND(IF(AND(NOT(AND(AO85=1,AN85&lt;&gt;1)),ISNUMBER(AH85),AH85&lt;=T85),AT85,0)&gt;0,IF(AND(NOT(AND(AO85=1,AN85&lt;&gt;1)),ISNUMBER(AH85),AH85&lt;=T85),AT85,0)=MAX(IF(AND(NOT(AND(AO85=1,AN85&lt;&gt;1)),ISNUMBER(AG85),AG85&lt;=T85),AS85,0),IF(AND(NOT(AND(AO85=1,AN85&lt;&gt;1)),ISNUMBER(AH85),AH85&lt;=T85),AT85,0),IF(AND(NOT(AND(AO85=1,AN85&lt;&gt;1)),ISNUMBER(AI85),AI85&lt;=T85),AU85,0),IF(AND(ISNUMBER(AJ85),AJ85&lt;=T85),AV85,0))),"AB",IF(AND(IF(AND(NOT(AND(AO85=1,AN85&lt;&gt;1)),ISNUMBER(AI85),AI85&lt;=T85),AU85,0)&gt;0,IF(AND(NOT(AND(AO85=1,AN85&lt;&gt;1)),ISNUMBER(AI85),AI85&lt;=T85),AU85,0)=MAX(IF(AND(NOT(AND(AO85=1,AN85&lt;&gt;1)),ISNUMBER(AG85),AG85&lt;=T85),AS85,0),IF(AND(NOT(AND(AO85=1,AN85&lt;&gt;1)),ISNUMBER(AH85),AH85&lt;=T85),AT85,0),IF(AND(NOT(AND(AO85=1,AN85&lt;&gt;1)),ISNUMBER(AI85),AI85&lt;=T85),AU85,0),IF(AND(ISNUMBER(AJ85),AJ85&lt;=T85),AV85,0))),"SC","Mag")))))))</f>
        <v/>
      </c>
    </row>
    <row r="86" customFormat="false" ht="15" hidden="false" customHeight="false" outlineLevel="0" collapsed="false">
      <c r="A86" s="26" t="n">
        <v>81</v>
      </c>
      <c r="B86" s="27" t="n">
        <f aca="false">A86*10/60</f>
        <v>13.5</v>
      </c>
      <c r="C86" s="21" t="n">
        <f aca="false">X85</f>
        <v>18.6730249835055</v>
      </c>
      <c r="D86" s="27" t="n">
        <f aca="false">D85+W85</f>
        <v>0</v>
      </c>
      <c r="E86" s="26" t="n">
        <f aca="false">E85+IF(U85="SW",1,0)</f>
        <v>12</v>
      </c>
      <c r="F86" s="26" t="n">
        <f aca="false">F85+IF(U85="AB",1,0)</f>
        <v>10</v>
      </c>
      <c r="G86" s="26" t="n">
        <f aca="false">G85+IF(U85="SC",1,0)</f>
        <v>7</v>
      </c>
      <c r="H86" s="26" t="n">
        <f aca="false">H85+IF(U85="Mag",1,0)</f>
        <v>5</v>
      </c>
      <c r="I86" s="26" t="n">
        <f aca="false">MAX(I85,IF(U85="OR",1,0))</f>
        <v>1</v>
      </c>
      <c r="J86" s="26" t="n">
        <f aca="false">MAX(J85,IF(U85="HP",1,0))</f>
        <v>1</v>
      </c>
      <c r="K86" s="26" t="n">
        <f aca="false">MAX(K85,IF(U85="FP",1,0))</f>
        <v>1</v>
      </c>
      <c r="L86" s="26" t="n">
        <f aca="false">MAX(L85,IF(U85="transition",1,0))</f>
        <v>1</v>
      </c>
      <c r="M86" s="28" t="n">
        <f aca="false">(Parameters!$B$9+(IF(E86=0,0,(Upgrades!$J$6+E86*Upgrades!$K$6)*POWER(Upgrades!$L$6,E86)))*(IF(Upgrades!$T$7="Solar Wind",POWER(Upgrades!$U$7,F86),1)*IF(Upgrades!$T$8="Solar Wind",POWER(Upgrades!$U$8,G86),1)*IF(Upgrades!$T$9="Solar Wind",POWER(Upgrades!$U$9,H86),1)*IF(Upgrades!$T$10="Solar Wind",POWER(Upgrades!$U$10,I86),1)*IF(Upgrades!$T$11="Solar Wind",POWER(Upgrades!$U$11,J86),1)*IF(Upgrades!$T$12="Solar Wind",POWER(Upgrades!$U$12,K86),1))+(IF(F86=0,0,(Upgrades!$J$7+F86*Upgrades!$K$7)*POWER(Upgrades!$L$7,F86)))*(IF(Upgrades!$T$6="Asteroid Belt",POWER(Upgrades!$U$6,E86),1)*IF(Upgrades!$T$8="Asteroid Belt",POWER(Upgrades!$U$8,G86),1)*IF(Upgrades!$T$9="Asteroid Belt",POWER(Upgrades!$U$9,H86),1)*IF(Upgrades!$T$10="Asteroid Belt",POWER(Upgrades!$U$10,I86),1)*IF(Upgrades!$T$11="Asteroid Belt",POWER(Upgrades!$U$11,J86),1)*IF(Upgrades!$T$12="Asteroid Belt",POWER(Upgrades!$U$12,K86),1))+(IF(G86=0,0,(Upgrades!$J$8+G86*Upgrades!$K$8)*POWER(Upgrades!$L$8,G86)))*(IF(Upgrades!$T$6="Stellar Coupling",POWER(Upgrades!$U$6,E86),1)*IF(Upgrades!$T$7="Stellar Coupling",POWER(Upgrades!$U$7,F86),1)*IF(Upgrades!$T$9="Stellar Coupling",POWER(Upgrades!$U$9,H86),1)*IF(Upgrades!$T$10="Stellar Coupling",POWER(Upgrades!$U$10,I86),1)*IF(Upgrades!$T$11="Stellar Coupling",POWER(Upgrades!$U$11,J86),1)*IF(Upgrades!$T$12="Stellar Coupling",POWER(Upgrades!$U$12,K86),1))+(IF(H86=0,0,(Upgrades!$J$9+H86*Upgrades!$K$9)*POWER(Upgrades!$L$9,H86)))*(IF(Upgrades!$T$6="Magnetosphere",POWER(Upgrades!$U$6,E86),1)*IF(Upgrades!$T$7="Magnetosphere",POWER(Upgrades!$U$7,F86),1)*IF(Upgrades!$T$8="Magnetosphere",POWER(Upgrades!$U$8,G86),1)*IF(Upgrades!$T$10="Magnetosphere",POWER(Upgrades!$U$10,I86),1)*IF(Upgrades!$T$11="Magnetosphere",POWER(Upgrades!$U$11,J86),1)*IF(Upgrades!$T$12="Magnetosphere",POWER(Upgrades!$U$12,K86),1))+(IF(I86=0,0,(Upgrades!$J$10+I86*Upgrades!$K$10)*POWER(Upgrades!$L$10,I86)))*(IF(Upgrades!$T$6="Orbital Resonance",POWER(Upgrades!$U$6,E86),1)*IF(Upgrades!$T$7="Orbital Resonance",POWER(Upgrades!$U$7,F86),1)*IF(Upgrades!$T$8="Orbital Resonance",POWER(Upgrades!$U$8,G86),1)*IF(Upgrades!$T$9="Orbital Resonance",POWER(Upgrades!$U$9,H86),1)*IF(Upgrades!$T$11="Orbital Resonance",POWER(Upgrades!$U$11,J86),1)*IF(Upgrades!$T$12="Orbital Resonance",POWER(Upgrades!$U$12,K86),1))+(IF(J86=0,0,(Upgrades!$J$11+J86*Upgrades!$K$11)*POWER(Upgrades!$L$11,J86)))*(IF(Upgrades!$T$6="Heliopause",POWER(Upgrades!$U$6,E86),1)*IF(Upgrades!$T$7="Heliopause",POWER(Upgrades!$U$7,F86),1)*IF(Upgrades!$T$8="Heliopause",POWER(Upgrades!$U$8,G86),1)*IF(Upgrades!$T$9="Heliopause",POWER(Upgrades!$U$9,H86),1)*IF(Upgrades!$T$10="Heliopause",POWER(Upgrades!$U$10,I86),1)*IF(Upgrades!$T$12="Heliopause",POWER(Upgrades!$U$12,K86),1))+(IF(K86=0,0,(Upgrades!$J$12+K86*Upgrades!$K$12)*POWER(Upgrades!$L$12,K86)))*(IF(Upgrades!$T$6="First Photons",POWER(Upgrades!$U$6,E86),1)*IF(Upgrades!$T$7="First Photons",POWER(Upgrades!$U$7,F86),1)*IF(Upgrades!$T$8="First Photons",POWER(Upgrades!$U$8,G86),1)*IF(Upgrades!$T$9="First Photons",POWER(Upgrades!$U$9,H86),1)*IF(Upgrades!$T$10="First Photons",POWER(Upgrades!$U$10,I86),1)*IF(Upgrades!$T$11="First Photons",POWER(Upgrades!$U$11,J86),1)))*POWER(Upgrades!$Q$6,E86)*POWER(Upgrades!$Q$7,F86)*POWER(Upgrades!$Q$8,G86)*POWER(Upgrades!$Q$9,H86)*POWER(Upgrades!$Q$10,I86)*POWER(Upgrades!$Q$11,J86)*POWER(Upgrades!$Q$12,K86)</f>
        <v>5.61</v>
      </c>
      <c r="N86" s="28" t="n">
        <f aca="false">((IF(E86=0,0,(Upgrades!$G$6+E86*Upgrades!$H$6)*POWER(Upgrades!$I$6,E86)))*(IF(Upgrades!$T$7="Solar Wind",POWER(Upgrades!$U$7,F86),1)*IF(Upgrades!$T$8="Solar Wind",POWER(Upgrades!$U$8,G86),1)*IF(Upgrades!$T$9="Solar Wind",POWER(Upgrades!$U$9,H86),1)*IF(Upgrades!$T$10="Solar Wind",POWER(Upgrades!$U$10,I86),1)*IF(Upgrades!$T$11="Solar Wind",POWER(Upgrades!$U$11,J86),1)*IF(Upgrades!$T$12="Solar Wind",POWER(Upgrades!$U$12,K86),1))+(IF(F86=0,0,(Upgrades!$G$7+F86*Upgrades!$H$7)*POWER(Upgrades!$I$7,F86)))*(IF(Upgrades!$T$6="Asteroid Belt",POWER(Upgrades!$U$6,E86),1)*IF(Upgrades!$T$8="Asteroid Belt",POWER(Upgrades!$U$8,G86),1)*IF(Upgrades!$T$9="Asteroid Belt",POWER(Upgrades!$U$9,H86),1)*IF(Upgrades!$T$10="Asteroid Belt",POWER(Upgrades!$U$10,I86),1)*IF(Upgrades!$T$11="Asteroid Belt",POWER(Upgrades!$U$11,J86),1)*IF(Upgrades!$T$12="Asteroid Belt",POWER(Upgrades!$U$12,K86),1))+(IF(G86=0,0,(Upgrades!$G$8+G86*Upgrades!$H$8)*POWER(Upgrades!$I$8,G86)))*(IF(Upgrades!$T$6="Stellar Coupling",POWER(Upgrades!$U$6,E86),1)*IF(Upgrades!$T$7="Stellar Coupling",POWER(Upgrades!$U$7,F86),1)*IF(Upgrades!$T$9="Stellar Coupling",POWER(Upgrades!$U$9,H86),1)*IF(Upgrades!$T$10="Stellar Coupling",POWER(Upgrades!$U$10,I86),1)*IF(Upgrades!$T$11="Stellar Coupling",POWER(Upgrades!$U$11,J86),1)*IF(Upgrades!$T$12="Stellar Coupling",POWER(Upgrades!$U$12,K86),1))+(IF(H86=0,0,(Upgrades!$G$9+H86*Upgrades!$H$9)*POWER(Upgrades!$I$9,H86)))*(IF(Upgrades!$T$6="Magnetosphere",POWER(Upgrades!$U$6,E86),1)*IF(Upgrades!$T$7="Magnetosphere",POWER(Upgrades!$U$7,F86),1)*IF(Upgrades!$T$8="Magnetosphere",POWER(Upgrades!$U$8,G86),1)*IF(Upgrades!$T$10="Magnetosphere",POWER(Upgrades!$U$10,I86),1)*IF(Upgrades!$T$11="Magnetosphere",POWER(Upgrades!$U$11,J86),1)*IF(Upgrades!$T$12="Magnetosphere",POWER(Upgrades!$U$12,K86),1))+(IF(I86=0,0,(Upgrades!$G$10+I86*Upgrades!$H$10)*POWER(Upgrades!$I$10,I86)))*(IF(Upgrades!$T$6="Orbital Resonance",POWER(Upgrades!$U$6,E86),1)*IF(Upgrades!$T$7="Orbital Resonance",POWER(Upgrades!$U$7,F86),1)*IF(Upgrades!$T$8="Orbital Resonance",POWER(Upgrades!$U$8,G86),1)*IF(Upgrades!$T$9="Orbital Resonance",POWER(Upgrades!$U$9,H86),1)*IF(Upgrades!$T$11="Orbital Resonance",POWER(Upgrades!$U$11,J86),1)*IF(Upgrades!$T$12="Orbital Resonance",POWER(Upgrades!$U$12,K86),1))+(IF(J86=0,0,(Upgrades!$G$11+J86*Upgrades!$H$11)*POWER(Upgrades!$I$11,J86)))*(IF(Upgrades!$T$6="Heliopause",POWER(Upgrades!$U$6,E86),1)*IF(Upgrades!$T$7="Heliopause",POWER(Upgrades!$U$7,F86),1)*IF(Upgrades!$T$8="Heliopause",POWER(Upgrades!$U$8,G86),1)*IF(Upgrades!$T$9="Heliopause",POWER(Upgrades!$U$9,H86),1)*IF(Upgrades!$T$10="Heliopause",POWER(Upgrades!$U$10,I86),1)*IF(Upgrades!$T$12="Heliopause",POWER(Upgrades!$U$12,K86),1))+(IF(K86=0,0,(Upgrades!$G$12+K86*Upgrades!$H$12)*POWER(Upgrades!$I$12,K86)))*(IF(Upgrades!$T$6="First Photons",POWER(Upgrades!$U$6,E86),1)*IF(Upgrades!$T$7="First Photons",POWER(Upgrades!$U$7,F86),1)*IF(Upgrades!$T$8="First Photons",POWER(Upgrades!$U$8,G86),1)*IF(Upgrades!$T$9="First Photons",POWER(Upgrades!$U$9,H86),1)*IF(Upgrades!$T$10="First Photons",POWER(Upgrades!$U$10,I86),1)*IF(Upgrades!$T$11="First Photons",POWER(Upgrades!$U$11,J86),1)))*POWER(Upgrades!$P$6,E86)*POWER(Upgrades!$P$7,F86)*POWER(Upgrades!$P$8,G86)*POWER(Upgrades!$P$9,H86)*POWER(Upgrades!$P$10,I86)*POWER(Upgrades!$P$11,J86)*POWER(Upgrades!$P$12,K86)</f>
        <v>11.2</v>
      </c>
      <c r="O86" s="28" t="n">
        <f aca="false">((IF(E86=0,0,(Upgrades!$M$6+E86*Upgrades!$N$6)*POWER(Upgrades!$O$6,E86)))*(IF(Upgrades!$T$7="Solar Wind",POWER(Upgrades!$U$7,F86),1)*IF(Upgrades!$T$8="Solar Wind",POWER(Upgrades!$U$8,G86),1)*IF(Upgrades!$T$9="Solar Wind",POWER(Upgrades!$U$9,H86),1)*IF(Upgrades!$T$10="Solar Wind",POWER(Upgrades!$U$10,I86),1)*IF(Upgrades!$T$11="Solar Wind",POWER(Upgrades!$U$11,J86),1)*IF(Upgrades!$T$12="Solar Wind",POWER(Upgrades!$U$12,K86),1))+(IF(F86=0,0,(Upgrades!$M$7+F86*Upgrades!$N$7)*POWER(Upgrades!$O$7,F86)))*(IF(Upgrades!$T$6="Asteroid Belt",POWER(Upgrades!$U$6,E86),1)*IF(Upgrades!$T$8="Asteroid Belt",POWER(Upgrades!$U$8,G86),1)*IF(Upgrades!$T$9="Asteroid Belt",POWER(Upgrades!$U$9,H86),1)*IF(Upgrades!$T$10="Asteroid Belt",POWER(Upgrades!$U$10,I86),1)*IF(Upgrades!$T$11="Asteroid Belt",POWER(Upgrades!$U$11,J86),1)*IF(Upgrades!$T$12="Asteroid Belt",POWER(Upgrades!$U$12,K86),1))+(IF(G86=0,0,(Upgrades!$M$8+G86*Upgrades!$N$8)*POWER(Upgrades!$O$8,G86)))*(IF(Upgrades!$T$6="Stellar Coupling",POWER(Upgrades!$U$6,E86),1)*IF(Upgrades!$T$7="Stellar Coupling",POWER(Upgrades!$U$7,F86),1)*IF(Upgrades!$T$9="Stellar Coupling",POWER(Upgrades!$U$9,H86),1)*IF(Upgrades!$T$10="Stellar Coupling",POWER(Upgrades!$U$10,I86),1)*IF(Upgrades!$T$11="Stellar Coupling",POWER(Upgrades!$U$11,J86),1)*IF(Upgrades!$T$12="Stellar Coupling",POWER(Upgrades!$U$12,K86),1))+(IF(H86=0,0,(Upgrades!$M$9+H86*Upgrades!$N$9)*POWER(Upgrades!$O$9,H86)))*(IF(Upgrades!$T$6="Magnetosphere",POWER(Upgrades!$U$6,E86),1)*IF(Upgrades!$T$7="Magnetosphere",POWER(Upgrades!$U$7,F86),1)*IF(Upgrades!$T$8="Magnetosphere",POWER(Upgrades!$U$8,G86),1)*IF(Upgrades!$T$10="Magnetosphere",POWER(Upgrades!$U$10,I86),1)*IF(Upgrades!$T$11="Magnetosphere",POWER(Upgrades!$U$11,J86),1)*IF(Upgrades!$T$12="Magnetosphere",POWER(Upgrades!$U$12,K86),1))+(IF(I86=0,0,(Upgrades!$M$10+I86*Upgrades!$N$10)*POWER(Upgrades!$O$10,I86)))*(IF(Upgrades!$T$6="Orbital Resonance",POWER(Upgrades!$U$6,E86),1)*IF(Upgrades!$T$7="Orbital Resonance",POWER(Upgrades!$U$7,F86),1)*IF(Upgrades!$T$8="Orbital Resonance",POWER(Upgrades!$U$8,G86),1)*IF(Upgrades!$T$9="Orbital Resonance",POWER(Upgrades!$U$9,H86),1)*IF(Upgrades!$T$11="Orbital Resonance",POWER(Upgrades!$U$11,J86),1)*IF(Upgrades!$T$12="Orbital Resonance",POWER(Upgrades!$U$12,K86),1))+(IF(J86=0,0,(Upgrades!$M$11+J86*Upgrades!$N$11)*POWER(Upgrades!$O$11,J86)))*(IF(Upgrades!$T$6="Heliopause",POWER(Upgrades!$U$6,E86),1)*IF(Upgrades!$T$7="Heliopause",POWER(Upgrades!$U$7,F86),1)*IF(Upgrades!$T$8="Heliopause",POWER(Upgrades!$U$8,G86),1)*IF(Upgrades!$T$9="Heliopause",POWER(Upgrades!$U$9,H86),1)*IF(Upgrades!$T$10="Heliopause",POWER(Upgrades!$U$10,I86),1)*IF(Upgrades!$T$12="Heliopause",POWER(Upgrades!$U$12,K86),1))+(IF(K86=0,0,(Upgrades!$M$12+K86*Upgrades!$N$12)*POWER(Upgrades!$O$12,K86)))*(IF(Upgrades!$T$6="First Photons",POWER(Upgrades!$U$6,E86),1)*IF(Upgrades!$T$7="First Photons",POWER(Upgrades!$U$7,F86),1)*IF(Upgrades!$T$8="First Photons",POWER(Upgrades!$U$8,G86),1)*IF(Upgrades!$T$9="First Photons",POWER(Upgrades!$U$9,H86),1)*IF(Upgrades!$T$10="First Photons",POWER(Upgrades!$U$10,I86),1)*IF(Upgrades!$T$11="First Photons",POWER(Upgrades!$U$11,J86),1)))*POWER(Upgrades!$R$6,E86)*POWER(Upgrades!$R$7,F86)*POWER(Upgrades!$R$8,G86)*POWER(Upgrades!$R$9,H86)*POWER(Upgrades!$R$10,I86)*POWER(Upgrades!$R$11,J86)*POWER(Upgrades!$R$12,K86)</f>
        <v>0</v>
      </c>
      <c r="P86" s="27" t="n">
        <f aca="false">IF(L86=1,0,M86*Parameters!$B$10/60*Parameters!$B$11*10)</f>
        <v>0</v>
      </c>
      <c r="Q86" s="27" t="n">
        <f aca="false">IF(L86=1,0,O86*M86*10)</f>
        <v>0</v>
      </c>
      <c r="R86" s="27" t="n">
        <f aca="false">IF(L86=1,0,N86*10)</f>
        <v>0</v>
      </c>
      <c r="S86" s="27" t="n">
        <f aca="false">P86+Q86+R86</f>
        <v>0</v>
      </c>
      <c r="T86" s="21" t="n">
        <f aca="false">C86+S86</f>
        <v>18.6730249835055</v>
      </c>
      <c r="U86" s="34" t="str">
        <f aca="false">AX86</f>
        <v/>
      </c>
      <c r="V86" s="21" t="n">
        <f aca="false">IF(U86="",0,IF(U86="transition",0,IF(U86="SW",AG86,IF(U86="AB",AH86,IF(U86="SC",AI86,IF(U86="Mag",AJ86,IF(U86="OR",AK86,IF(U86="HP",AL86,IF(U86="FP",AM86,0)))))))))</f>
        <v>0</v>
      </c>
      <c r="W86" s="27" t="n">
        <f aca="false">IF(U86="OR",Upgrades!$F$10,IF(U86="HP",Upgrades!$F$11,IF(U86="transition",-Parameters!$B$18,0)))</f>
        <v>0</v>
      </c>
      <c r="X86" s="21" t="n">
        <f aca="false">T86-V86</f>
        <v>18.6730249835055</v>
      </c>
      <c r="Y86" s="30" t="n">
        <f aca="false">M86*Parameters!$B$10/60*Parameters!$B$11+O86*M86+N86</f>
        <v>20.55</v>
      </c>
      <c r="Z86" s="35" t="str">
        <f aca="false">IF(U86="transition","→ Tier 2 (Stellar Neighborhood)",IF(U86="FP","First Photons — light begins, system quickens",IF(U86="HP","Heliopause acquired",IF(U86="OR","Orbital Resonance — passive multiplier active",IF(AND(AO86=1,L86=0,AN86&lt;&gt;1),"Cohesion ready (waiting on completionist upgrades)","")))))</f>
        <v/>
      </c>
      <c r="AA86" s="27" t="n">
        <f aca="false">(IF(E86=0,0,(Upgrades!$G$6+E86*Upgrades!$H$6)*POWER(Upgrades!$I$6,E86)))*(IF(Upgrades!$T$7="Solar Wind",POWER(Upgrades!$U$7,F86),1)*IF(Upgrades!$T$8="Solar Wind",POWER(Upgrades!$U$8,G86),1)*IF(Upgrades!$T$9="Solar Wind",POWER(Upgrades!$U$9,H86),1)*IF(Upgrades!$T$10="Solar Wind",POWER(Upgrades!$U$10,I86),1)*IF(Upgrades!$T$11="Solar Wind",POWER(Upgrades!$U$11,J86),1)*IF(Upgrades!$T$12="Solar Wind",POWER(Upgrades!$U$12,K86),1))*POWER(Upgrades!$P$6,E86)*POWER(Upgrades!$P$7,F86)*POWER(Upgrades!$P$8,G86)*POWER(Upgrades!$P$9,H86)*POWER(Upgrades!$P$10,I86)*POWER(Upgrades!$P$11,J86)*POWER(Upgrades!$P$12,K86)*60</f>
        <v>72</v>
      </c>
      <c r="AB86" s="27" t="n">
        <f aca="false">(IF(F86=0,0,(Upgrades!$G$7+F86*Upgrades!$H$7)*POWER(Upgrades!$I$7,F86)))*(IF(Upgrades!$T$6="Asteroid Belt",POWER(Upgrades!$U$6,E86),1)*IF(Upgrades!$T$8="Asteroid Belt",POWER(Upgrades!$U$8,G86),1)*IF(Upgrades!$T$9="Asteroid Belt",POWER(Upgrades!$U$9,H86),1)*IF(Upgrades!$T$10="Asteroid Belt",POWER(Upgrades!$U$10,I86),1)*IF(Upgrades!$T$11="Asteroid Belt",POWER(Upgrades!$U$11,J86),1)*IF(Upgrades!$T$12="Asteroid Belt",POWER(Upgrades!$U$12,K86),1))*POWER(Upgrades!$P$6,E86)*POWER(Upgrades!$P$7,F86)*POWER(Upgrades!$P$8,G86)*POWER(Upgrades!$P$9,H86)*POWER(Upgrades!$P$10,I86)*POWER(Upgrades!$P$11,J86)*POWER(Upgrades!$P$12,K86)*60</f>
        <v>150</v>
      </c>
      <c r="AC86" s="27" t="n">
        <f aca="false">(IF(G86=0,0,(Upgrades!$J$8+G86*Upgrades!$K$8)*POWER(Upgrades!$L$8,G86)))*(IF(Upgrades!$T$6="Stellar Coupling",POWER(Upgrades!$U$6,E86),1)*IF(Upgrades!$T$7="Stellar Coupling",POWER(Upgrades!$U$7,F86),1)*IF(Upgrades!$T$9="Stellar Coupling",POWER(Upgrades!$U$9,H86),1)*IF(Upgrades!$T$10="Stellar Coupling",POWER(Upgrades!$U$10,I86),1)*IF(Upgrades!$T$11="Stellar Coupling",POWER(Upgrades!$U$11,J86),1)*IF(Upgrades!$T$12="Stellar Coupling",POWER(Upgrades!$U$12,K86),1))*POWER(Upgrades!$Q$6,E86)*POWER(Upgrades!$Q$7,F86)*POWER(Upgrades!$Q$8,G86)*POWER(Upgrades!$Q$9,H86)*POWER(Upgrades!$Q$10,I86)*POWER(Upgrades!$Q$11,J86)*POWER(Upgrades!$Q$12,K86)*Parameters!$B$10*Parameters!$B$11</f>
        <v>441</v>
      </c>
      <c r="AD86" s="27" t="n">
        <f aca="false">(IF(H86=0,0,(Upgrades!$G$9+H86*Upgrades!$H$9)*POWER(Upgrades!$I$9,H86)))*(IF(Upgrades!$T$6="Magnetosphere",POWER(Upgrades!$U$6,E86),1)*IF(Upgrades!$T$7="Magnetosphere",POWER(Upgrades!$U$7,F86),1)*IF(Upgrades!$T$8="Magnetosphere",POWER(Upgrades!$U$8,G86),1)*IF(Upgrades!$T$10="Magnetosphere",POWER(Upgrades!$U$10,I86),1)*IF(Upgrades!$T$11="Magnetosphere",POWER(Upgrades!$U$11,J86),1)*IF(Upgrades!$T$12="Magnetosphere",POWER(Upgrades!$U$12,K86),1))*POWER(Upgrades!$P$6,E86)*POWER(Upgrades!$P$7,F86)*POWER(Upgrades!$P$8,G86)*POWER(Upgrades!$P$9,H86)*POWER(Upgrades!$P$10,I86)*POWER(Upgrades!$P$11,J86)*POWER(Upgrades!$P$12,K86)*60</f>
        <v>375</v>
      </c>
      <c r="AE86" s="27" t="n">
        <f aca="false">(IF(K86=0,0,(Upgrades!$G$12+K86*Upgrades!$H$12)*POWER(Upgrades!$I$12,K86)))*(IF(Upgrades!$T$6="First Photons",POWER(Upgrades!$U$6,E86),1)*IF(Upgrades!$T$7="First Photons",POWER(Upgrades!$U$7,F86),1)*IF(Upgrades!$T$8="First Photons",POWER(Upgrades!$U$8,G86),1)*IF(Upgrades!$T$9="First Photons",POWER(Upgrades!$U$9,H86),1)*IF(Upgrades!$T$10="First Photons",POWER(Upgrades!$U$10,I86),1)*IF(Upgrades!$T$11="First Photons",POWER(Upgrades!$U$11,J86),1))*POWER(Upgrades!$P$6,E86)*POWER(Upgrades!$P$7,F86)*POWER(Upgrades!$P$8,G86)*POWER(Upgrades!$P$9,H86)*POWER(Upgrades!$P$10,I86)*POWER(Upgrades!$P$11,J86)*POWER(Upgrades!$P$12,K86)*60</f>
        <v>75</v>
      </c>
      <c r="AF86" s="27" t="n">
        <f aca="false">Parameters!$B$9*POWER(Upgrades!$Q$6,E86)*POWER(Upgrades!$Q$7,F86)*POWER(Upgrades!$Q$8,G86)*POWER(Upgrades!$Q$9,H86)*POWER(Upgrades!$Q$10,I86)*POWER(Upgrades!$Q$11,J86)*POWER(Upgrades!$Q$12,K86)*(Parameters!$B$10*Parameters!$B$11+O86*60)</f>
        <v>120</v>
      </c>
      <c r="AG86" s="21" t="n">
        <f aca="false">IF(E86&gt;=Upgrades!$E$6,"",Upgrades!$C$6*POWER(Upgrades!$D$6,E86))</f>
        <v>37.4517507383159</v>
      </c>
      <c r="AH86" s="21" t="n">
        <f aca="false">IF(F86&gt;=Upgrades!$E$7,"",Upgrades!$C$7*POWER(Upgrades!$D$7,F86))</f>
        <v>80.9111547141581</v>
      </c>
      <c r="AI86" s="21" t="n">
        <f aca="false">IF(G86&gt;=Upgrades!$E$8,"",Upgrades!$C$8*POWER(Upgrades!$D$8,G86))</f>
        <v>231.9097088</v>
      </c>
      <c r="AJ86" s="21" t="str">
        <f aca="false">IF(H86&gt;=Upgrades!$E$9,"",Upgrades!$C$9*POWER(Upgrades!$D$9,H86))</f>
        <v/>
      </c>
      <c r="AK86" s="21" t="str">
        <f aca="false">IF(I86&gt;=Upgrades!$E$10,"",Upgrades!$C$10*POWER(Upgrades!$D$10,I86))</f>
        <v/>
      </c>
      <c r="AL86" s="21" t="str">
        <f aca="false">IF(J86&gt;=Upgrades!$E$11,"",Upgrades!$C$11*POWER(Upgrades!$D$11,J86))</f>
        <v/>
      </c>
      <c r="AM86" s="21" t="str">
        <f aca="false">IF(K86&gt;=Upgrades!$E$12,"",Upgrades!$C$12*POWER(Upgrades!$D$12,K86))</f>
        <v/>
      </c>
      <c r="AN86" s="26" t="str">
        <f aca="false">IF(AND(D86&gt;=Parameters!$B$18,(H86&gt;=Upgrades!$E$9)*(K86&gt;=Upgrades!$E$12)=1,L86=0),1,"")</f>
        <v/>
      </c>
      <c r="AO86" s="26" t="str">
        <f aca="false">IF(AND(D86&gt;=Parameters!$B$18,L86=0),1,"")</f>
        <v/>
      </c>
      <c r="AP86" s="21" t="n">
        <f aca="false">MIN(IF(ISNUMBER(AK86),AK86,9000000000000000),IF(ISNUMBER(AL86),AL86,9000000000000000),IF(ISNUMBER(AM86),AM86,9000000000000000))</f>
        <v>9000000000000000</v>
      </c>
      <c r="AQ86" s="21" t="n">
        <f aca="false">MIN(IF(ISNUMBER(AG86),AG86,9000000000000000),IF(ISNUMBER(AH86),AH86,9000000000000000),IF(ISNUMBER(AI86),AI86,9000000000000000),IF(ISNUMBER(AJ86),AJ86,9000000000000000))</f>
        <v>37.4517507383159</v>
      </c>
      <c r="AR86" s="32" t="b">
        <f aca="false">IF(AW86&gt;Parameters!$B$21*(MAX(IF(AND(NOT(AND(AO86=1,AN86&lt;&gt;1)),ISNUMBER(AG86),AG86&lt;=T86),AS86,0),IF(AND(NOT(AND(AO86=1,AN86&lt;&gt;1)),ISNUMBER(AH86),AH86&lt;=T86),AT86,0),IF(AND(NOT(AND(AO86=1,AN86&lt;&gt;1)),ISNUMBER(AI86),AI86&lt;=T86),AU86,0),IF(AND(ISNUMBER(AJ86),AJ86&lt;=T86),AV86,0))),TRUE(),FALSE())</f>
        <v>1</v>
      </c>
      <c r="AS86" s="33" t="n">
        <f aca="false">IFERROR(Upgrades!$H$6*(POWER(Upgrades!$P$6,E86)*POWER(Upgrades!$P$7,F86)*POWER(Upgrades!$P$8,G86)*POWER(Upgrades!$P$9,H86)*POWER(Upgrades!$P$10,I86)*POWER(Upgrades!$P$11,J86)*POWER(Upgrades!$P$12,K86))*(IF(Upgrades!$T$7="Solar Wind",POWER(Upgrades!$U$7,F86),1)*IF(Upgrades!$T$8="Solar Wind",POWER(Upgrades!$U$8,G86),1)*IF(Upgrades!$T$9="Solar Wind",POWER(Upgrades!$U$9,H86),1)*IF(Upgrades!$T$10="Solar Wind",POWER(Upgrades!$U$10,I86),1)*IF(Upgrades!$T$11="Solar Wind",POWER(Upgrades!$U$11,J86),1)*IF(Upgrades!$T$12="Solar Wind",POWER(Upgrades!$U$12,K86),1))/AG86,0)</f>
        <v>0.0026701021455238</v>
      </c>
      <c r="AT86" s="33" t="n">
        <f aca="false">IFERROR(Upgrades!$H$7*(POWER(Upgrades!$P$6,E86)*POWER(Upgrades!$P$7,F86)*POWER(Upgrades!$P$8,G86)*POWER(Upgrades!$P$9,H86)*POWER(Upgrades!$P$10,I86)*POWER(Upgrades!$P$11,J86)*POWER(Upgrades!$P$12,K86))*(IF(Upgrades!$T$6="Asteroid Belt",POWER(Upgrades!$U$6,E86),1)*IF(Upgrades!$T$8="Asteroid Belt",POWER(Upgrades!$U$8,G86),1)*IF(Upgrades!$T$9="Asteroid Belt",POWER(Upgrades!$U$9,H86),1)*IF(Upgrades!$T$10="Asteroid Belt",POWER(Upgrades!$U$10,I86),1)*IF(Upgrades!$T$11="Asteroid Belt",POWER(Upgrades!$U$11,J86),1)*IF(Upgrades!$T$12="Asteroid Belt",POWER(Upgrades!$U$12,K86),1))/AH86,0)</f>
        <v>0.00308980882652332</v>
      </c>
      <c r="AU86" s="33" t="n">
        <f aca="false">IFERROR(Upgrades!$K$8*(POWER(Upgrades!$Q$6,E86)*POWER(Upgrades!$Q$7,F86)*POWER(Upgrades!$Q$8,G86)*POWER(Upgrades!$Q$9,H86)*POWER(Upgrades!$Q$10,I86)*POWER(Upgrades!$Q$11,J86)*POWER(Upgrades!$Q$12,K86))*(IF(Upgrades!$T$6="Stellar Coupling",POWER(Upgrades!$U$6,E86),1)*IF(Upgrades!$T$7="Stellar Coupling",POWER(Upgrades!$U$7,F86),1)*IF(Upgrades!$T$9="Stellar Coupling",POWER(Upgrades!$U$9,H86),1)*IF(Upgrades!$T$10="Stellar Coupling",POWER(Upgrades!$U$10,I86),1)*IF(Upgrades!$T$11="Stellar Coupling",POWER(Upgrades!$U$11,J86),1)*IF(Upgrades!$T$12="Stellar Coupling",POWER(Upgrades!$U$12,K86),1))*Parameters!$B$10*Parameters!$B$11/60/AI86,0)</f>
        <v>0.00452762415783776</v>
      </c>
      <c r="AV86" s="33" t="n">
        <f aca="false">IFERROR(Upgrades!$H$9*(POWER(Upgrades!$P$6,E86)*POWER(Upgrades!$P$7,F86)*POWER(Upgrades!$P$8,G86)*POWER(Upgrades!$P$9,H86)*POWER(Upgrades!$P$10,I86)*POWER(Upgrades!$P$11,J86)*POWER(Upgrades!$P$12,K86))*(IF(Upgrades!$T$6="Magnetosphere",POWER(Upgrades!$U$6,E86),1)*IF(Upgrades!$T$7="Magnetosphere",POWER(Upgrades!$U$7,F86),1)*IF(Upgrades!$T$8="Magnetosphere",POWER(Upgrades!$U$8,G86),1)*IF(Upgrades!$T$10="Magnetosphere",POWER(Upgrades!$U$10,I86),1)*IF(Upgrades!$T$11="Magnetosphere",POWER(Upgrades!$U$11,J86),1)*IF(Upgrades!$T$12="Magnetosphere",POWER(Upgrades!$U$12,K86),1))/AJ86,0)</f>
        <v>0</v>
      </c>
      <c r="AW86" s="33" t="n">
        <f aca="false">MAX(IF(I86&gt;0,0,IFERROR(0.25*N86/Upgrades!$C$10,0)),IF(J86&gt;0,0,IFERROR(0.5*((IF(G86=0,0,(Upgrades!$J$8+G86*Upgrades!$K$8)*POWER(Upgrades!$L$8,G86)))*(IF(Upgrades!$T$6="Stellar Coupling",POWER(Upgrades!$U$6,E86),1)*IF(Upgrades!$T$7="Stellar Coupling",POWER(Upgrades!$U$7,F86),1)*IF(Upgrades!$T$9="Stellar Coupling",POWER(Upgrades!$U$9,H86),1)*IF(Upgrades!$T$10="Stellar Coupling",POWER(Upgrades!$U$10,I86),1)*IF(Upgrades!$T$11="Stellar Coupling",POWER(Upgrades!$U$11,J86),1)*IF(Upgrades!$T$12="Stellar Coupling",POWER(Upgrades!$U$12,K86),1))*(POWER(Upgrades!$Q$6,E86)*POWER(Upgrades!$Q$7,F86)*POWER(Upgrades!$Q$8,G86)*POWER(Upgrades!$Q$9,H86)*POWER(Upgrades!$Q$10,I86)*POWER(Upgrades!$Q$11,J86)*POWER(Upgrades!$Q$12,K86))*Parameters!$B$10*Parameters!$B$11/60)/Upgrades!$C$11,0)),IF(K86&gt;0,0,IFERROR((1*(POWER(Upgrades!$P$6,E86)*POWER(Upgrades!$P$7,F86)*POWER(Upgrades!$P$8,G86)*POWER(Upgrades!$P$9,H86)*POWER(Upgrades!$P$10,I86)*POWER(Upgrades!$P$11,J86)*POWER(Upgrades!$P$12,K86))+0.2*M86*Parameters!$B$10*Parameters!$B$11/60)/Upgrades!$C$12,0)),IF(AND(ISNUMBER(AG86),AG86&gt;T86),AS86,0),IF(AND(ISNUMBER(AH86),AH86&gt;T86),AT86,0),IF(AND(ISNUMBER(AI86),AI86&gt;T86),AU86,0),IF(AND(ISNUMBER(AJ86),AJ86&gt;T86),AV86,0))</f>
        <v>0.00452762415783776</v>
      </c>
      <c r="AX86" s="29" t="str">
        <f aca="false">IF(AN86=1,"transition",IF(MIN(IF(AND(I86=0,ISNUMBER(AK86),AK86&lt;=T86),AK86,9000000000000000),IF(AND(J86=0,ISNUMBER(AL86),AL86&lt;=T86),AL86,9000000000000000),IF(AND(K86=0,ISNUMBER(AM86),AM86&lt;=T86),AM86,9000000000000000))&lt;9000000000000000,IF(AND(AND(I86=0,ISNUMBER(AK86),AK86&lt;=T86),AK86=MIN(IF(AND(I86=0,ISNUMBER(AK86),AK86&lt;=T86),AK86,9000000000000000),IF(AND(J86=0,ISNUMBER(AL86),AL86&lt;=T86),AL86,9000000000000000),IF(AND(K86=0,ISNUMBER(AM86),AM86&lt;=T86),AM86,9000000000000000))),"OR",IF(AND(AND(J86=0,ISNUMBER(AL86),AL86&lt;=T86),AL86=MIN(IF(AND(I86=0,ISNUMBER(AK86),AK86&lt;=T86),AK86,9000000000000000),IF(AND(J86=0,ISNUMBER(AL86),AL86&lt;=T86),AL86,9000000000000000),IF(AND(K86=0,ISNUMBER(AM86),AM86&lt;=T86),AM86,9000000000000000))),"HP","FP")),IF(AR86=TRUE(),"",IF(MAX(IF(AND(NOT(AND(AO86=1,AN86&lt;&gt;1)),ISNUMBER(AG86),AG86&lt;=T86),AS86,0),IF(AND(NOT(AND(AO86=1,AN86&lt;&gt;1)),ISNUMBER(AH86),AH86&lt;=T86),AT86,0),IF(AND(NOT(AND(AO86=1,AN86&lt;&gt;1)),ISNUMBER(AI86),AI86&lt;=T86),AU86,0),IF(AND(ISNUMBER(AJ86),AJ86&lt;=T86),AV86,0))&lt;=0,"",IF(AND(IF(AND(NOT(AND(AO86=1,AN86&lt;&gt;1)),ISNUMBER(AG86),AG86&lt;=T86),AS86,0)&gt;0,IF(AND(NOT(AND(AO86=1,AN86&lt;&gt;1)),ISNUMBER(AG86),AG86&lt;=T86),AS86,0)=MAX(IF(AND(NOT(AND(AO86=1,AN86&lt;&gt;1)),ISNUMBER(AG86),AG86&lt;=T86),AS86,0),IF(AND(NOT(AND(AO86=1,AN86&lt;&gt;1)),ISNUMBER(AH86),AH86&lt;=T86),AT86,0),IF(AND(NOT(AND(AO86=1,AN86&lt;&gt;1)),ISNUMBER(AI86),AI86&lt;=T86),AU86,0),IF(AND(ISNUMBER(AJ86),AJ86&lt;=T86),AV86,0))),"SW",IF(AND(IF(AND(NOT(AND(AO86=1,AN86&lt;&gt;1)),ISNUMBER(AH86),AH86&lt;=T86),AT86,0)&gt;0,IF(AND(NOT(AND(AO86=1,AN86&lt;&gt;1)),ISNUMBER(AH86),AH86&lt;=T86),AT86,0)=MAX(IF(AND(NOT(AND(AO86=1,AN86&lt;&gt;1)),ISNUMBER(AG86),AG86&lt;=T86),AS86,0),IF(AND(NOT(AND(AO86=1,AN86&lt;&gt;1)),ISNUMBER(AH86),AH86&lt;=T86),AT86,0),IF(AND(NOT(AND(AO86=1,AN86&lt;&gt;1)),ISNUMBER(AI86),AI86&lt;=T86),AU86,0),IF(AND(ISNUMBER(AJ86),AJ86&lt;=T86),AV86,0))),"AB",IF(AND(IF(AND(NOT(AND(AO86=1,AN86&lt;&gt;1)),ISNUMBER(AI86),AI86&lt;=T86),AU86,0)&gt;0,IF(AND(NOT(AND(AO86=1,AN86&lt;&gt;1)),ISNUMBER(AI86),AI86&lt;=T86),AU86,0)=MAX(IF(AND(NOT(AND(AO86=1,AN86&lt;&gt;1)),ISNUMBER(AG86),AG86&lt;=T86),AS86,0),IF(AND(NOT(AND(AO86=1,AN86&lt;&gt;1)),ISNUMBER(AH86),AH86&lt;=T86),AT86,0),IF(AND(NOT(AND(AO86=1,AN86&lt;&gt;1)),ISNUMBER(AI86),AI86&lt;=T86),AU86,0),IF(AND(ISNUMBER(AJ86),AJ86&lt;=T86),AV86,0))),"SC","Mag")))))))</f>
        <v/>
      </c>
    </row>
    <row r="87" customFormat="false" ht="15" hidden="false" customHeight="false" outlineLevel="0" collapsed="false">
      <c r="A87" s="26" t="n">
        <v>82</v>
      </c>
      <c r="B87" s="27" t="n">
        <f aca="false">A87*10/60</f>
        <v>13.6666666666667</v>
      </c>
      <c r="C87" s="21" t="n">
        <f aca="false">X86</f>
        <v>18.6730249835055</v>
      </c>
      <c r="D87" s="27" t="n">
        <f aca="false">D86+W86</f>
        <v>0</v>
      </c>
      <c r="E87" s="26" t="n">
        <f aca="false">E86+IF(U86="SW",1,0)</f>
        <v>12</v>
      </c>
      <c r="F87" s="26" t="n">
        <f aca="false">F86+IF(U86="AB",1,0)</f>
        <v>10</v>
      </c>
      <c r="G87" s="26" t="n">
        <f aca="false">G86+IF(U86="SC",1,0)</f>
        <v>7</v>
      </c>
      <c r="H87" s="26" t="n">
        <f aca="false">H86+IF(U86="Mag",1,0)</f>
        <v>5</v>
      </c>
      <c r="I87" s="26" t="n">
        <f aca="false">MAX(I86,IF(U86="OR",1,0))</f>
        <v>1</v>
      </c>
      <c r="J87" s="26" t="n">
        <f aca="false">MAX(J86,IF(U86="HP",1,0))</f>
        <v>1</v>
      </c>
      <c r="K87" s="26" t="n">
        <f aca="false">MAX(K86,IF(U86="FP",1,0))</f>
        <v>1</v>
      </c>
      <c r="L87" s="26" t="n">
        <f aca="false">MAX(L86,IF(U86="transition",1,0))</f>
        <v>1</v>
      </c>
      <c r="M87" s="28" t="n">
        <f aca="false">(Parameters!$B$9+(IF(E87=0,0,(Upgrades!$J$6+E87*Upgrades!$K$6)*POWER(Upgrades!$L$6,E87)))*(IF(Upgrades!$T$7="Solar Wind",POWER(Upgrades!$U$7,F87),1)*IF(Upgrades!$T$8="Solar Wind",POWER(Upgrades!$U$8,G87),1)*IF(Upgrades!$T$9="Solar Wind",POWER(Upgrades!$U$9,H87),1)*IF(Upgrades!$T$10="Solar Wind",POWER(Upgrades!$U$10,I87),1)*IF(Upgrades!$T$11="Solar Wind",POWER(Upgrades!$U$11,J87),1)*IF(Upgrades!$T$12="Solar Wind",POWER(Upgrades!$U$12,K87),1))+(IF(F87=0,0,(Upgrades!$J$7+F87*Upgrades!$K$7)*POWER(Upgrades!$L$7,F87)))*(IF(Upgrades!$T$6="Asteroid Belt",POWER(Upgrades!$U$6,E87),1)*IF(Upgrades!$T$8="Asteroid Belt",POWER(Upgrades!$U$8,G87),1)*IF(Upgrades!$T$9="Asteroid Belt",POWER(Upgrades!$U$9,H87),1)*IF(Upgrades!$T$10="Asteroid Belt",POWER(Upgrades!$U$10,I87),1)*IF(Upgrades!$T$11="Asteroid Belt",POWER(Upgrades!$U$11,J87),1)*IF(Upgrades!$T$12="Asteroid Belt",POWER(Upgrades!$U$12,K87),1))+(IF(G87=0,0,(Upgrades!$J$8+G87*Upgrades!$K$8)*POWER(Upgrades!$L$8,G87)))*(IF(Upgrades!$T$6="Stellar Coupling",POWER(Upgrades!$U$6,E87),1)*IF(Upgrades!$T$7="Stellar Coupling",POWER(Upgrades!$U$7,F87),1)*IF(Upgrades!$T$9="Stellar Coupling",POWER(Upgrades!$U$9,H87),1)*IF(Upgrades!$T$10="Stellar Coupling",POWER(Upgrades!$U$10,I87),1)*IF(Upgrades!$T$11="Stellar Coupling",POWER(Upgrades!$U$11,J87),1)*IF(Upgrades!$T$12="Stellar Coupling",POWER(Upgrades!$U$12,K87),1))+(IF(H87=0,0,(Upgrades!$J$9+H87*Upgrades!$K$9)*POWER(Upgrades!$L$9,H87)))*(IF(Upgrades!$T$6="Magnetosphere",POWER(Upgrades!$U$6,E87),1)*IF(Upgrades!$T$7="Magnetosphere",POWER(Upgrades!$U$7,F87),1)*IF(Upgrades!$T$8="Magnetosphere",POWER(Upgrades!$U$8,G87),1)*IF(Upgrades!$T$10="Magnetosphere",POWER(Upgrades!$U$10,I87),1)*IF(Upgrades!$T$11="Magnetosphere",POWER(Upgrades!$U$11,J87),1)*IF(Upgrades!$T$12="Magnetosphere",POWER(Upgrades!$U$12,K87),1))+(IF(I87=0,0,(Upgrades!$J$10+I87*Upgrades!$K$10)*POWER(Upgrades!$L$10,I87)))*(IF(Upgrades!$T$6="Orbital Resonance",POWER(Upgrades!$U$6,E87),1)*IF(Upgrades!$T$7="Orbital Resonance",POWER(Upgrades!$U$7,F87),1)*IF(Upgrades!$T$8="Orbital Resonance",POWER(Upgrades!$U$8,G87),1)*IF(Upgrades!$T$9="Orbital Resonance",POWER(Upgrades!$U$9,H87),1)*IF(Upgrades!$T$11="Orbital Resonance",POWER(Upgrades!$U$11,J87),1)*IF(Upgrades!$T$12="Orbital Resonance",POWER(Upgrades!$U$12,K87),1))+(IF(J87=0,0,(Upgrades!$J$11+J87*Upgrades!$K$11)*POWER(Upgrades!$L$11,J87)))*(IF(Upgrades!$T$6="Heliopause",POWER(Upgrades!$U$6,E87),1)*IF(Upgrades!$T$7="Heliopause",POWER(Upgrades!$U$7,F87),1)*IF(Upgrades!$T$8="Heliopause",POWER(Upgrades!$U$8,G87),1)*IF(Upgrades!$T$9="Heliopause",POWER(Upgrades!$U$9,H87),1)*IF(Upgrades!$T$10="Heliopause",POWER(Upgrades!$U$10,I87),1)*IF(Upgrades!$T$12="Heliopause",POWER(Upgrades!$U$12,K87),1))+(IF(K87=0,0,(Upgrades!$J$12+K87*Upgrades!$K$12)*POWER(Upgrades!$L$12,K87)))*(IF(Upgrades!$T$6="First Photons",POWER(Upgrades!$U$6,E87),1)*IF(Upgrades!$T$7="First Photons",POWER(Upgrades!$U$7,F87),1)*IF(Upgrades!$T$8="First Photons",POWER(Upgrades!$U$8,G87),1)*IF(Upgrades!$T$9="First Photons",POWER(Upgrades!$U$9,H87),1)*IF(Upgrades!$T$10="First Photons",POWER(Upgrades!$U$10,I87),1)*IF(Upgrades!$T$11="First Photons",POWER(Upgrades!$U$11,J87),1)))*POWER(Upgrades!$Q$6,E87)*POWER(Upgrades!$Q$7,F87)*POWER(Upgrades!$Q$8,G87)*POWER(Upgrades!$Q$9,H87)*POWER(Upgrades!$Q$10,I87)*POWER(Upgrades!$Q$11,J87)*POWER(Upgrades!$Q$12,K87)</f>
        <v>5.61</v>
      </c>
      <c r="N87" s="28" t="n">
        <f aca="false">((IF(E87=0,0,(Upgrades!$G$6+E87*Upgrades!$H$6)*POWER(Upgrades!$I$6,E87)))*(IF(Upgrades!$T$7="Solar Wind",POWER(Upgrades!$U$7,F87),1)*IF(Upgrades!$T$8="Solar Wind",POWER(Upgrades!$U$8,G87),1)*IF(Upgrades!$T$9="Solar Wind",POWER(Upgrades!$U$9,H87),1)*IF(Upgrades!$T$10="Solar Wind",POWER(Upgrades!$U$10,I87),1)*IF(Upgrades!$T$11="Solar Wind",POWER(Upgrades!$U$11,J87),1)*IF(Upgrades!$T$12="Solar Wind",POWER(Upgrades!$U$12,K87),1))+(IF(F87=0,0,(Upgrades!$G$7+F87*Upgrades!$H$7)*POWER(Upgrades!$I$7,F87)))*(IF(Upgrades!$T$6="Asteroid Belt",POWER(Upgrades!$U$6,E87),1)*IF(Upgrades!$T$8="Asteroid Belt",POWER(Upgrades!$U$8,G87),1)*IF(Upgrades!$T$9="Asteroid Belt",POWER(Upgrades!$U$9,H87),1)*IF(Upgrades!$T$10="Asteroid Belt",POWER(Upgrades!$U$10,I87),1)*IF(Upgrades!$T$11="Asteroid Belt",POWER(Upgrades!$U$11,J87),1)*IF(Upgrades!$T$12="Asteroid Belt",POWER(Upgrades!$U$12,K87),1))+(IF(G87=0,0,(Upgrades!$G$8+G87*Upgrades!$H$8)*POWER(Upgrades!$I$8,G87)))*(IF(Upgrades!$T$6="Stellar Coupling",POWER(Upgrades!$U$6,E87),1)*IF(Upgrades!$T$7="Stellar Coupling",POWER(Upgrades!$U$7,F87),1)*IF(Upgrades!$T$9="Stellar Coupling",POWER(Upgrades!$U$9,H87),1)*IF(Upgrades!$T$10="Stellar Coupling",POWER(Upgrades!$U$10,I87),1)*IF(Upgrades!$T$11="Stellar Coupling",POWER(Upgrades!$U$11,J87),1)*IF(Upgrades!$T$12="Stellar Coupling",POWER(Upgrades!$U$12,K87),1))+(IF(H87=0,0,(Upgrades!$G$9+H87*Upgrades!$H$9)*POWER(Upgrades!$I$9,H87)))*(IF(Upgrades!$T$6="Magnetosphere",POWER(Upgrades!$U$6,E87),1)*IF(Upgrades!$T$7="Magnetosphere",POWER(Upgrades!$U$7,F87),1)*IF(Upgrades!$T$8="Magnetosphere",POWER(Upgrades!$U$8,G87),1)*IF(Upgrades!$T$10="Magnetosphere",POWER(Upgrades!$U$10,I87),1)*IF(Upgrades!$T$11="Magnetosphere",POWER(Upgrades!$U$11,J87),1)*IF(Upgrades!$T$12="Magnetosphere",POWER(Upgrades!$U$12,K87),1))+(IF(I87=0,0,(Upgrades!$G$10+I87*Upgrades!$H$10)*POWER(Upgrades!$I$10,I87)))*(IF(Upgrades!$T$6="Orbital Resonance",POWER(Upgrades!$U$6,E87),1)*IF(Upgrades!$T$7="Orbital Resonance",POWER(Upgrades!$U$7,F87),1)*IF(Upgrades!$T$8="Orbital Resonance",POWER(Upgrades!$U$8,G87),1)*IF(Upgrades!$T$9="Orbital Resonance",POWER(Upgrades!$U$9,H87),1)*IF(Upgrades!$T$11="Orbital Resonance",POWER(Upgrades!$U$11,J87),1)*IF(Upgrades!$T$12="Orbital Resonance",POWER(Upgrades!$U$12,K87),1))+(IF(J87=0,0,(Upgrades!$G$11+J87*Upgrades!$H$11)*POWER(Upgrades!$I$11,J87)))*(IF(Upgrades!$T$6="Heliopause",POWER(Upgrades!$U$6,E87),1)*IF(Upgrades!$T$7="Heliopause",POWER(Upgrades!$U$7,F87),1)*IF(Upgrades!$T$8="Heliopause",POWER(Upgrades!$U$8,G87),1)*IF(Upgrades!$T$9="Heliopause",POWER(Upgrades!$U$9,H87),1)*IF(Upgrades!$T$10="Heliopause",POWER(Upgrades!$U$10,I87),1)*IF(Upgrades!$T$12="Heliopause",POWER(Upgrades!$U$12,K87),1))+(IF(K87=0,0,(Upgrades!$G$12+K87*Upgrades!$H$12)*POWER(Upgrades!$I$12,K87)))*(IF(Upgrades!$T$6="First Photons",POWER(Upgrades!$U$6,E87),1)*IF(Upgrades!$T$7="First Photons",POWER(Upgrades!$U$7,F87),1)*IF(Upgrades!$T$8="First Photons",POWER(Upgrades!$U$8,G87),1)*IF(Upgrades!$T$9="First Photons",POWER(Upgrades!$U$9,H87),1)*IF(Upgrades!$T$10="First Photons",POWER(Upgrades!$U$10,I87),1)*IF(Upgrades!$T$11="First Photons",POWER(Upgrades!$U$11,J87),1)))*POWER(Upgrades!$P$6,E87)*POWER(Upgrades!$P$7,F87)*POWER(Upgrades!$P$8,G87)*POWER(Upgrades!$P$9,H87)*POWER(Upgrades!$P$10,I87)*POWER(Upgrades!$P$11,J87)*POWER(Upgrades!$P$12,K87)</f>
        <v>11.2</v>
      </c>
      <c r="O87" s="28" t="n">
        <f aca="false">((IF(E87=0,0,(Upgrades!$M$6+E87*Upgrades!$N$6)*POWER(Upgrades!$O$6,E87)))*(IF(Upgrades!$T$7="Solar Wind",POWER(Upgrades!$U$7,F87),1)*IF(Upgrades!$T$8="Solar Wind",POWER(Upgrades!$U$8,G87),1)*IF(Upgrades!$T$9="Solar Wind",POWER(Upgrades!$U$9,H87),1)*IF(Upgrades!$T$10="Solar Wind",POWER(Upgrades!$U$10,I87),1)*IF(Upgrades!$T$11="Solar Wind",POWER(Upgrades!$U$11,J87),1)*IF(Upgrades!$T$12="Solar Wind",POWER(Upgrades!$U$12,K87),1))+(IF(F87=0,0,(Upgrades!$M$7+F87*Upgrades!$N$7)*POWER(Upgrades!$O$7,F87)))*(IF(Upgrades!$T$6="Asteroid Belt",POWER(Upgrades!$U$6,E87),1)*IF(Upgrades!$T$8="Asteroid Belt",POWER(Upgrades!$U$8,G87),1)*IF(Upgrades!$T$9="Asteroid Belt",POWER(Upgrades!$U$9,H87),1)*IF(Upgrades!$T$10="Asteroid Belt",POWER(Upgrades!$U$10,I87),1)*IF(Upgrades!$T$11="Asteroid Belt",POWER(Upgrades!$U$11,J87),1)*IF(Upgrades!$T$12="Asteroid Belt",POWER(Upgrades!$U$12,K87),1))+(IF(G87=0,0,(Upgrades!$M$8+G87*Upgrades!$N$8)*POWER(Upgrades!$O$8,G87)))*(IF(Upgrades!$T$6="Stellar Coupling",POWER(Upgrades!$U$6,E87),1)*IF(Upgrades!$T$7="Stellar Coupling",POWER(Upgrades!$U$7,F87),1)*IF(Upgrades!$T$9="Stellar Coupling",POWER(Upgrades!$U$9,H87),1)*IF(Upgrades!$T$10="Stellar Coupling",POWER(Upgrades!$U$10,I87),1)*IF(Upgrades!$T$11="Stellar Coupling",POWER(Upgrades!$U$11,J87),1)*IF(Upgrades!$T$12="Stellar Coupling",POWER(Upgrades!$U$12,K87),1))+(IF(H87=0,0,(Upgrades!$M$9+H87*Upgrades!$N$9)*POWER(Upgrades!$O$9,H87)))*(IF(Upgrades!$T$6="Magnetosphere",POWER(Upgrades!$U$6,E87),1)*IF(Upgrades!$T$7="Magnetosphere",POWER(Upgrades!$U$7,F87),1)*IF(Upgrades!$T$8="Magnetosphere",POWER(Upgrades!$U$8,G87),1)*IF(Upgrades!$T$10="Magnetosphere",POWER(Upgrades!$U$10,I87),1)*IF(Upgrades!$T$11="Magnetosphere",POWER(Upgrades!$U$11,J87),1)*IF(Upgrades!$T$12="Magnetosphere",POWER(Upgrades!$U$12,K87),1))+(IF(I87=0,0,(Upgrades!$M$10+I87*Upgrades!$N$10)*POWER(Upgrades!$O$10,I87)))*(IF(Upgrades!$T$6="Orbital Resonance",POWER(Upgrades!$U$6,E87),1)*IF(Upgrades!$T$7="Orbital Resonance",POWER(Upgrades!$U$7,F87),1)*IF(Upgrades!$T$8="Orbital Resonance",POWER(Upgrades!$U$8,G87),1)*IF(Upgrades!$T$9="Orbital Resonance",POWER(Upgrades!$U$9,H87),1)*IF(Upgrades!$T$11="Orbital Resonance",POWER(Upgrades!$U$11,J87),1)*IF(Upgrades!$T$12="Orbital Resonance",POWER(Upgrades!$U$12,K87),1))+(IF(J87=0,0,(Upgrades!$M$11+J87*Upgrades!$N$11)*POWER(Upgrades!$O$11,J87)))*(IF(Upgrades!$T$6="Heliopause",POWER(Upgrades!$U$6,E87),1)*IF(Upgrades!$T$7="Heliopause",POWER(Upgrades!$U$7,F87),1)*IF(Upgrades!$T$8="Heliopause",POWER(Upgrades!$U$8,G87),1)*IF(Upgrades!$T$9="Heliopause",POWER(Upgrades!$U$9,H87),1)*IF(Upgrades!$T$10="Heliopause",POWER(Upgrades!$U$10,I87),1)*IF(Upgrades!$T$12="Heliopause",POWER(Upgrades!$U$12,K87),1))+(IF(K87=0,0,(Upgrades!$M$12+K87*Upgrades!$N$12)*POWER(Upgrades!$O$12,K87)))*(IF(Upgrades!$T$6="First Photons",POWER(Upgrades!$U$6,E87),1)*IF(Upgrades!$T$7="First Photons",POWER(Upgrades!$U$7,F87),1)*IF(Upgrades!$T$8="First Photons",POWER(Upgrades!$U$8,G87),1)*IF(Upgrades!$T$9="First Photons",POWER(Upgrades!$U$9,H87),1)*IF(Upgrades!$T$10="First Photons",POWER(Upgrades!$U$10,I87),1)*IF(Upgrades!$T$11="First Photons",POWER(Upgrades!$U$11,J87),1)))*POWER(Upgrades!$R$6,E87)*POWER(Upgrades!$R$7,F87)*POWER(Upgrades!$R$8,G87)*POWER(Upgrades!$R$9,H87)*POWER(Upgrades!$R$10,I87)*POWER(Upgrades!$R$11,J87)*POWER(Upgrades!$R$12,K87)</f>
        <v>0</v>
      </c>
      <c r="P87" s="27" t="n">
        <f aca="false">IF(L87=1,0,M87*Parameters!$B$10/60*Parameters!$B$11*10)</f>
        <v>0</v>
      </c>
      <c r="Q87" s="27" t="n">
        <f aca="false">IF(L87=1,0,O87*M87*10)</f>
        <v>0</v>
      </c>
      <c r="R87" s="27" t="n">
        <f aca="false">IF(L87=1,0,N87*10)</f>
        <v>0</v>
      </c>
      <c r="S87" s="27" t="n">
        <f aca="false">P87+Q87+R87</f>
        <v>0</v>
      </c>
      <c r="T87" s="21" t="n">
        <f aca="false">C87+S87</f>
        <v>18.6730249835055</v>
      </c>
      <c r="U87" s="34" t="str">
        <f aca="false">AX87</f>
        <v/>
      </c>
      <c r="V87" s="21" t="n">
        <f aca="false">IF(U87="",0,IF(U87="transition",0,IF(U87="SW",AG87,IF(U87="AB",AH87,IF(U87="SC",AI87,IF(U87="Mag",AJ87,IF(U87="OR",AK87,IF(U87="HP",AL87,IF(U87="FP",AM87,0)))))))))</f>
        <v>0</v>
      </c>
      <c r="W87" s="27" t="n">
        <f aca="false">IF(U87="OR",Upgrades!$F$10,IF(U87="HP",Upgrades!$F$11,IF(U87="transition",-Parameters!$B$18,0)))</f>
        <v>0</v>
      </c>
      <c r="X87" s="21" t="n">
        <f aca="false">T87-V87</f>
        <v>18.6730249835055</v>
      </c>
      <c r="Y87" s="30" t="n">
        <f aca="false">M87*Parameters!$B$10/60*Parameters!$B$11+O87*M87+N87</f>
        <v>20.55</v>
      </c>
      <c r="Z87" s="35" t="str">
        <f aca="false">IF(U87="transition","→ Tier 2 (Stellar Neighborhood)",IF(U87="FP","First Photons — light begins, system quickens",IF(U87="HP","Heliopause acquired",IF(U87="OR","Orbital Resonance — passive multiplier active",IF(AND(AO87=1,L87=0,AN87&lt;&gt;1),"Cohesion ready (waiting on completionist upgrades)","")))))</f>
        <v/>
      </c>
      <c r="AA87" s="27" t="n">
        <f aca="false">(IF(E87=0,0,(Upgrades!$G$6+E87*Upgrades!$H$6)*POWER(Upgrades!$I$6,E87)))*(IF(Upgrades!$T$7="Solar Wind",POWER(Upgrades!$U$7,F87),1)*IF(Upgrades!$T$8="Solar Wind",POWER(Upgrades!$U$8,G87),1)*IF(Upgrades!$T$9="Solar Wind",POWER(Upgrades!$U$9,H87),1)*IF(Upgrades!$T$10="Solar Wind",POWER(Upgrades!$U$10,I87),1)*IF(Upgrades!$T$11="Solar Wind",POWER(Upgrades!$U$11,J87),1)*IF(Upgrades!$T$12="Solar Wind",POWER(Upgrades!$U$12,K87),1))*POWER(Upgrades!$P$6,E87)*POWER(Upgrades!$P$7,F87)*POWER(Upgrades!$P$8,G87)*POWER(Upgrades!$P$9,H87)*POWER(Upgrades!$P$10,I87)*POWER(Upgrades!$P$11,J87)*POWER(Upgrades!$P$12,K87)*60</f>
        <v>72</v>
      </c>
      <c r="AB87" s="27" t="n">
        <f aca="false">(IF(F87=0,0,(Upgrades!$G$7+F87*Upgrades!$H$7)*POWER(Upgrades!$I$7,F87)))*(IF(Upgrades!$T$6="Asteroid Belt",POWER(Upgrades!$U$6,E87),1)*IF(Upgrades!$T$8="Asteroid Belt",POWER(Upgrades!$U$8,G87),1)*IF(Upgrades!$T$9="Asteroid Belt",POWER(Upgrades!$U$9,H87),1)*IF(Upgrades!$T$10="Asteroid Belt",POWER(Upgrades!$U$10,I87),1)*IF(Upgrades!$T$11="Asteroid Belt",POWER(Upgrades!$U$11,J87),1)*IF(Upgrades!$T$12="Asteroid Belt",POWER(Upgrades!$U$12,K87),1))*POWER(Upgrades!$P$6,E87)*POWER(Upgrades!$P$7,F87)*POWER(Upgrades!$P$8,G87)*POWER(Upgrades!$P$9,H87)*POWER(Upgrades!$P$10,I87)*POWER(Upgrades!$P$11,J87)*POWER(Upgrades!$P$12,K87)*60</f>
        <v>150</v>
      </c>
      <c r="AC87" s="27" t="n">
        <f aca="false">(IF(G87=0,0,(Upgrades!$J$8+G87*Upgrades!$K$8)*POWER(Upgrades!$L$8,G87)))*(IF(Upgrades!$T$6="Stellar Coupling",POWER(Upgrades!$U$6,E87),1)*IF(Upgrades!$T$7="Stellar Coupling",POWER(Upgrades!$U$7,F87),1)*IF(Upgrades!$T$9="Stellar Coupling",POWER(Upgrades!$U$9,H87),1)*IF(Upgrades!$T$10="Stellar Coupling",POWER(Upgrades!$U$10,I87),1)*IF(Upgrades!$T$11="Stellar Coupling",POWER(Upgrades!$U$11,J87),1)*IF(Upgrades!$T$12="Stellar Coupling",POWER(Upgrades!$U$12,K87),1))*POWER(Upgrades!$Q$6,E87)*POWER(Upgrades!$Q$7,F87)*POWER(Upgrades!$Q$8,G87)*POWER(Upgrades!$Q$9,H87)*POWER(Upgrades!$Q$10,I87)*POWER(Upgrades!$Q$11,J87)*POWER(Upgrades!$Q$12,K87)*Parameters!$B$10*Parameters!$B$11</f>
        <v>441</v>
      </c>
      <c r="AD87" s="27" t="n">
        <f aca="false">(IF(H87=0,0,(Upgrades!$G$9+H87*Upgrades!$H$9)*POWER(Upgrades!$I$9,H87)))*(IF(Upgrades!$T$6="Magnetosphere",POWER(Upgrades!$U$6,E87),1)*IF(Upgrades!$T$7="Magnetosphere",POWER(Upgrades!$U$7,F87),1)*IF(Upgrades!$T$8="Magnetosphere",POWER(Upgrades!$U$8,G87),1)*IF(Upgrades!$T$10="Magnetosphere",POWER(Upgrades!$U$10,I87),1)*IF(Upgrades!$T$11="Magnetosphere",POWER(Upgrades!$U$11,J87),1)*IF(Upgrades!$T$12="Magnetosphere",POWER(Upgrades!$U$12,K87),1))*POWER(Upgrades!$P$6,E87)*POWER(Upgrades!$P$7,F87)*POWER(Upgrades!$P$8,G87)*POWER(Upgrades!$P$9,H87)*POWER(Upgrades!$P$10,I87)*POWER(Upgrades!$P$11,J87)*POWER(Upgrades!$P$12,K87)*60</f>
        <v>375</v>
      </c>
      <c r="AE87" s="27" t="n">
        <f aca="false">(IF(K87=0,0,(Upgrades!$G$12+K87*Upgrades!$H$12)*POWER(Upgrades!$I$12,K87)))*(IF(Upgrades!$T$6="First Photons",POWER(Upgrades!$U$6,E87),1)*IF(Upgrades!$T$7="First Photons",POWER(Upgrades!$U$7,F87),1)*IF(Upgrades!$T$8="First Photons",POWER(Upgrades!$U$8,G87),1)*IF(Upgrades!$T$9="First Photons",POWER(Upgrades!$U$9,H87),1)*IF(Upgrades!$T$10="First Photons",POWER(Upgrades!$U$10,I87),1)*IF(Upgrades!$T$11="First Photons",POWER(Upgrades!$U$11,J87),1))*POWER(Upgrades!$P$6,E87)*POWER(Upgrades!$P$7,F87)*POWER(Upgrades!$P$8,G87)*POWER(Upgrades!$P$9,H87)*POWER(Upgrades!$P$10,I87)*POWER(Upgrades!$P$11,J87)*POWER(Upgrades!$P$12,K87)*60</f>
        <v>75</v>
      </c>
      <c r="AF87" s="27" t="n">
        <f aca="false">Parameters!$B$9*POWER(Upgrades!$Q$6,E87)*POWER(Upgrades!$Q$7,F87)*POWER(Upgrades!$Q$8,G87)*POWER(Upgrades!$Q$9,H87)*POWER(Upgrades!$Q$10,I87)*POWER(Upgrades!$Q$11,J87)*POWER(Upgrades!$Q$12,K87)*(Parameters!$B$10*Parameters!$B$11+O87*60)</f>
        <v>120</v>
      </c>
      <c r="AG87" s="21" t="n">
        <f aca="false">IF(E87&gt;=Upgrades!$E$6,"",Upgrades!$C$6*POWER(Upgrades!$D$6,E87))</f>
        <v>37.4517507383159</v>
      </c>
      <c r="AH87" s="21" t="n">
        <f aca="false">IF(F87&gt;=Upgrades!$E$7,"",Upgrades!$C$7*POWER(Upgrades!$D$7,F87))</f>
        <v>80.9111547141581</v>
      </c>
      <c r="AI87" s="21" t="n">
        <f aca="false">IF(G87&gt;=Upgrades!$E$8,"",Upgrades!$C$8*POWER(Upgrades!$D$8,G87))</f>
        <v>231.9097088</v>
      </c>
      <c r="AJ87" s="21" t="str">
        <f aca="false">IF(H87&gt;=Upgrades!$E$9,"",Upgrades!$C$9*POWER(Upgrades!$D$9,H87))</f>
        <v/>
      </c>
      <c r="AK87" s="21" t="str">
        <f aca="false">IF(I87&gt;=Upgrades!$E$10,"",Upgrades!$C$10*POWER(Upgrades!$D$10,I87))</f>
        <v/>
      </c>
      <c r="AL87" s="21" t="str">
        <f aca="false">IF(J87&gt;=Upgrades!$E$11,"",Upgrades!$C$11*POWER(Upgrades!$D$11,J87))</f>
        <v/>
      </c>
      <c r="AM87" s="21" t="str">
        <f aca="false">IF(K87&gt;=Upgrades!$E$12,"",Upgrades!$C$12*POWER(Upgrades!$D$12,K87))</f>
        <v/>
      </c>
      <c r="AN87" s="26" t="str">
        <f aca="false">IF(AND(D87&gt;=Parameters!$B$18,(H87&gt;=Upgrades!$E$9)*(K87&gt;=Upgrades!$E$12)=1,L87=0),1,"")</f>
        <v/>
      </c>
      <c r="AO87" s="26" t="str">
        <f aca="false">IF(AND(D87&gt;=Parameters!$B$18,L87=0),1,"")</f>
        <v/>
      </c>
      <c r="AP87" s="21" t="n">
        <f aca="false">MIN(IF(ISNUMBER(AK87),AK87,9000000000000000),IF(ISNUMBER(AL87),AL87,9000000000000000),IF(ISNUMBER(AM87),AM87,9000000000000000))</f>
        <v>9000000000000000</v>
      </c>
      <c r="AQ87" s="21" t="n">
        <f aca="false">MIN(IF(ISNUMBER(AG87),AG87,9000000000000000),IF(ISNUMBER(AH87),AH87,9000000000000000),IF(ISNUMBER(AI87),AI87,9000000000000000),IF(ISNUMBER(AJ87),AJ87,9000000000000000))</f>
        <v>37.4517507383159</v>
      </c>
      <c r="AR87" s="32" t="b">
        <f aca="false">IF(AW87&gt;Parameters!$B$21*(MAX(IF(AND(NOT(AND(AO87=1,AN87&lt;&gt;1)),ISNUMBER(AG87),AG87&lt;=T87),AS87,0),IF(AND(NOT(AND(AO87=1,AN87&lt;&gt;1)),ISNUMBER(AH87),AH87&lt;=T87),AT87,0),IF(AND(NOT(AND(AO87=1,AN87&lt;&gt;1)),ISNUMBER(AI87),AI87&lt;=T87),AU87,0),IF(AND(ISNUMBER(AJ87),AJ87&lt;=T87),AV87,0))),TRUE(),FALSE())</f>
        <v>1</v>
      </c>
      <c r="AS87" s="33" t="n">
        <f aca="false">IFERROR(Upgrades!$H$6*(POWER(Upgrades!$P$6,E87)*POWER(Upgrades!$P$7,F87)*POWER(Upgrades!$P$8,G87)*POWER(Upgrades!$P$9,H87)*POWER(Upgrades!$P$10,I87)*POWER(Upgrades!$P$11,J87)*POWER(Upgrades!$P$12,K87))*(IF(Upgrades!$T$7="Solar Wind",POWER(Upgrades!$U$7,F87),1)*IF(Upgrades!$T$8="Solar Wind",POWER(Upgrades!$U$8,G87),1)*IF(Upgrades!$T$9="Solar Wind",POWER(Upgrades!$U$9,H87),1)*IF(Upgrades!$T$10="Solar Wind",POWER(Upgrades!$U$10,I87),1)*IF(Upgrades!$T$11="Solar Wind",POWER(Upgrades!$U$11,J87),1)*IF(Upgrades!$T$12="Solar Wind",POWER(Upgrades!$U$12,K87),1))/AG87,0)</f>
        <v>0.0026701021455238</v>
      </c>
      <c r="AT87" s="33" t="n">
        <f aca="false">IFERROR(Upgrades!$H$7*(POWER(Upgrades!$P$6,E87)*POWER(Upgrades!$P$7,F87)*POWER(Upgrades!$P$8,G87)*POWER(Upgrades!$P$9,H87)*POWER(Upgrades!$P$10,I87)*POWER(Upgrades!$P$11,J87)*POWER(Upgrades!$P$12,K87))*(IF(Upgrades!$T$6="Asteroid Belt",POWER(Upgrades!$U$6,E87),1)*IF(Upgrades!$T$8="Asteroid Belt",POWER(Upgrades!$U$8,G87),1)*IF(Upgrades!$T$9="Asteroid Belt",POWER(Upgrades!$U$9,H87),1)*IF(Upgrades!$T$10="Asteroid Belt",POWER(Upgrades!$U$10,I87),1)*IF(Upgrades!$T$11="Asteroid Belt",POWER(Upgrades!$U$11,J87),1)*IF(Upgrades!$T$12="Asteroid Belt",POWER(Upgrades!$U$12,K87),1))/AH87,0)</f>
        <v>0.00308980882652332</v>
      </c>
      <c r="AU87" s="33" t="n">
        <f aca="false">IFERROR(Upgrades!$K$8*(POWER(Upgrades!$Q$6,E87)*POWER(Upgrades!$Q$7,F87)*POWER(Upgrades!$Q$8,G87)*POWER(Upgrades!$Q$9,H87)*POWER(Upgrades!$Q$10,I87)*POWER(Upgrades!$Q$11,J87)*POWER(Upgrades!$Q$12,K87))*(IF(Upgrades!$T$6="Stellar Coupling",POWER(Upgrades!$U$6,E87),1)*IF(Upgrades!$T$7="Stellar Coupling",POWER(Upgrades!$U$7,F87),1)*IF(Upgrades!$T$9="Stellar Coupling",POWER(Upgrades!$U$9,H87),1)*IF(Upgrades!$T$10="Stellar Coupling",POWER(Upgrades!$U$10,I87),1)*IF(Upgrades!$T$11="Stellar Coupling",POWER(Upgrades!$U$11,J87),1)*IF(Upgrades!$T$12="Stellar Coupling",POWER(Upgrades!$U$12,K87),1))*Parameters!$B$10*Parameters!$B$11/60/AI87,0)</f>
        <v>0.00452762415783776</v>
      </c>
      <c r="AV87" s="33" t="n">
        <f aca="false">IFERROR(Upgrades!$H$9*(POWER(Upgrades!$P$6,E87)*POWER(Upgrades!$P$7,F87)*POWER(Upgrades!$P$8,G87)*POWER(Upgrades!$P$9,H87)*POWER(Upgrades!$P$10,I87)*POWER(Upgrades!$P$11,J87)*POWER(Upgrades!$P$12,K87))*(IF(Upgrades!$T$6="Magnetosphere",POWER(Upgrades!$U$6,E87),1)*IF(Upgrades!$T$7="Magnetosphere",POWER(Upgrades!$U$7,F87),1)*IF(Upgrades!$T$8="Magnetosphere",POWER(Upgrades!$U$8,G87),1)*IF(Upgrades!$T$10="Magnetosphere",POWER(Upgrades!$U$10,I87),1)*IF(Upgrades!$T$11="Magnetosphere",POWER(Upgrades!$U$11,J87),1)*IF(Upgrades!$T$12="Magnetosphere",POWER(Upgrades!$U$12,K87),1))/AJ87,0)</f>
        <v>0</v>
      </c>
      <c r="AW87" s="33" t="n">
        <f aca="false">MAX(IF(I87&gt;0,0,IFERROR(0.25*N87/Upgrades!$C$10,0)),IF(J87&gt;0,0,IFERROR(0.5*((IF(G87=0,0,(Upgrades!$J$8+G87*Upgrades!$K$8)*POWER(Upgrades!$L$8,G87)))*(IF(Upgrades!$T$6="Stellar Coupling",POWER(Upgrades!$U$6,E87),1)*IF(Upgrades!$T$7="Stellar Coupling",POWER(Upgrades!$U$7,F87),1)*IF(Upgrades!$T$9="Stellar Coupling",POWER(Upgrades!$U$9,H87),1)*IF(Upgrades!$T$10="Stellar Coupling",POWER(Upgrades!$U$10,I87),1)*IF(Upgrades!$T$11="Stellar Coupling",POWER(Upgrades!$U$11,J87),1)*IF(Upgrades!$T$12="Stellar Coupling",POWER(Upgrades!$U$12,K87),1))*(POWER(Upgrades!$Q$6,E87)*POWER(Upgrades!$Q$7,F87)*POWER(Upgrades!$Q$8,G87)*POWER(Upgrades!$Q$9,H87)*POWER(Upgrades!$Q$10,I87)*POWER(Upgrades!$Q$11,J87)*POWER(Upgrades!$Q$12,K87))*Parameters!$B$10*Parameters!$B$11/60)/Upgrades!$C$11,0)),IF(K87&gt;0,0,IFERROR((1*(POWER(Upgrades!$P$6,E87)*POWER(Upgrades!$P$7,F87)*POWER(Upgrades!$P$8,G87)*POWER(Upgrades!$P$9,H87)*POWER(Upgrades!$P$10,I87)*POWER(Upgrades!$P$11,J87)*POWER(Upgrades!$P$12,K87))+0.2*M87*Parameters!$B$10*Parameters!$B$11/60)/Upgrades!$C$12,0)),IF(AND(ISNUMBER(AG87),AG87&gt;T87),AS87,0),IF(AND(ISNUMBER(AH87),AH87&gt;T87),AT87,0),IF(AND(ISNUMBER(AI87),AI87&gt;T87),AU87,0),IF(AND(ISNUMBER(AJ87),AJ87&gt;T87),AV87,0))</f>
        <v>0.00452762415783776</v>
      </c>
      <c r="AX87" s="29" t="str">
        <f aca="false">IF(AN87=1,"transition",IF(MIN(IF(AND(I87=0,ISNUMBER(AK87),AK87&lt;=T87),AK87,9000000000000000),IF(AND(J87=0,ISNUMBER(AL87),AL87&lt;=T87),AL87,9000000000000000),IF(AND(K87=0,ISNUMBER(AM87),AM87&lt;=T87),AM87,9000000000000000))&lt;9000000000000000,IF(AND(AND(I87=0,ISNUMBER(AK87),AK87&lt;=T87),AK87=MIN(IF(AND(I87=0,ISNUMBER(AK87),AK87&lt;=T87),AK87,9000000000000000),IF(AND(J87=0,ISNUMBER(AL87),AL87&lt;=T87),AL87,9000000000000000),IF(AND(K87=0,ISNUMBER(AM87),AM87&lt;=T87),AM87,9000000000000000))),"OR",IF(AND(AND(J87=0,ISNUMBER(AL87),AL87&lt;=T87),AL87=MIN(IF(AND(I87=0,ISNUMBER(AK87),AK87&lt;=T87),AK87,9000000000000000),IF(AND(J87=0,ISNUMBER(AL87),AL87&lt;=T87),AL87,9000000000000000),IF(AND(K87=0,ISNUMBER(AM87),AM87&lt;=T87),AM87,9000000000000000))),"HP","FP")),IF(AR87=TRUE(),"",IF(MAX(IF(AND(NOT(AND(AO87=1,AN87&lt;&gt;1)),ISNUMBER(AG87),AG87&lt;=T87),AS87,0),IF(AND(NOT(AND(AO87=1,AN87&lt;&gt;1)),ISNUMBER(AH87),AH87&lt;=T87),AT87,0),IF(AND(NOT(AND(AO87=1,AN87&lt;&gt;1)),ISNUMBER(AI87),AI87&lt;=T87),AU87,0),IF(AND(ISNUMBER(AJ87),AJ87&lt;=T87),AV87,0))&lt;=0,"",IF(AND(IF(AND(NOT(AND(AO87=1,AN87&lt;&gt;1)),ISNUMBER(AG87),AG87&lt;=T87),AS87,0)&gt;0,IF(AND(NOT(AND(AO87=1,AN87&lt;&gt;1)),ISNUMBER(AG87),AG87&lt;=T87),AS87,0)=MAX(IF(AND(NOT(AND(AO87=1,AN87&lt;&gt;1)),ISNUMBER(AG87),AG87&lt;=T87),AS87,0),IF(AND(NOT(AND(AO87=1,AN87&lt;&gt;1)),ISNUMBER(AH87),AH87&lt;=T87),AT87,0),IF(AND(NOT(AND(AO87=1,AN87&lt;&gt;1)),ISNUMBER(AI87),AI87&lt;=T87),AU87,0),IF(AND(ISNUMBER(AJ87),AJ87&lt;=T87),AV87,0))),"SW",IF(AND(IF(AND(NOT(AND(AO87=1,AN87&lt;&gt;1)),ISNUMBER(AH87),AH87&lt;=T87),AT87,0)&gt;0,IF(AND(NOT(AND(AO87=1,AN87&lt;&gt;1)),ISNUMBER(AH87),AH87&lt;=T87),AT87,0)=MAX(IF(AND(NOT(AND(AO87=1,AN87&lt;&gt;1)),ISNUMBER(AG87),AG87&lt;=T87),AS87,0),IF(AND(NOT(AND(AO87=1,AN87&lt;&gt;1)),ISNUMBER(AH87),AH87&lt;=T87),AT87,0),IF(AND(NOT(AND(AO87=1,AN87&lt;&gt;1)),ISNUMBER(AI87),AI87&lt;=T87),AU87,0),IF(AND(ISNUMBER(AJ87),AJ87&lt;=T87),AV87,0))),"AB",IF(AND(IF(AND(NOT(AND(AO87=1,AN87&lt;&gt;1)),ISNUMBER(AI87),AI87&lt;=T87),AU87,0)&gt;0,IF(AND(NOT(AND(AO87=1,AN87&lt;&gt;1)),ISNUMBER(AI87),AI87&lt;=T87),AU87,0)=MAX(IF(AND(NOT(AND(AO87=1,AN87&lt;&gt;1)),ISNUMBER(AG87),AG87&lt;=T87),AS87,0),IF(AND(NOT(AND(AO87=1,AN87&lt;&gt;1)),ISNUMBER(AH87),AH87&lt;=T87),AT87,0),IF(AND(NOT(AND(AO87=1,AN87&lt;&gt;1)),ISNUMBER(AI87),AI87&lt;=T87),AU87,0),IF(AND(ISNUMBER(AJ87),AJ87&lt;=T87),AV87,0))),"SC","Mag")))))))</f>
        <v/>
      </c>
    </row>
    <row r="88" customFormat="false" ht="15" hidden="false" customHeight="false" outlineLevel="0" collapsed="false">
      <c r="A88" s="26" t="n">
        <v>83</v>
      </c>
      <c r="B88" s="27" t="n">
        <f aca="false">A88*10/60</f>
        <v>13.8333333333333</v>
      </c>
      <c r="C88" s="21" t="n">
        <f aca="false">X87</f>
        <v>18.6730249835055</v>
      </c>
      <c r="D88" s="27" t="n">
        <f aca="false">D87+W87</f>
        <v>0</v>
      </c>
      <c r="E88" s="26" t="n">
        <f aca="false">E87+IF(U87="SW",1,0)</f>
        <v>12</v>
      </c>
      <c r="F88" s="26" t="n">
        <f aca="false">F87+IF(U87="AB",1,0)</f>
        <v>10</v>
      </c>
      <c r="G88" s="26" t="n">
        <f aca="false">G87+IF(U87="SC",1,0)</f>
        <v>7</v>
      </c>
      <c r="H88" s="26" t="n">
        <f aca="false">H87+IF(U87="Mag",1,0)</f>
        <v>5</v>
      </c>
      <c r="I88" s="26" t="n">
        <f aca="false">MAX(I87,IF(U87="OR",1,0))</f>
        <v>1</v>
      </c>
      <c r="J88" s="26" t="n">
        <f aca="false">MAX(J87,IF(U87="HP",1,0))</f>
        <v>1</v>
      </c>
      <c r="K88" s="26" t="n">
        <f aca="false">MAX(K87,IF(U87="FP",1,0))</f>
        <v>1</v>
      </c>
      <c r="L88" s="26" t="n">
        <f aca="false">MAX(L87,IF(U87="transition",1,0))</f>
        <v>1</v>
      </c>
      <c r="M88" s="28" t="n">
        <f aca="false">(Parameters!$B$9+(IF(E88=0,0,(Upgrades!$J$6+E88*Upgrades!$K$6)*POWER(Upgrades!$L$6,E88)))*(IF(Upgrades!$T$7="Solar Wind",POWER(Upgrades!$U$7,F88),1)*IF(Upgrades!$T$8="Solar Wind",POWER(Upgrades!$U$8,G88),1)*IF(Upgrades!$T$9="Solar Wind",POWER(Upgrades!$U$9,H88),1)*IF(Upgrades!$T$10="Solar Wind",POWER(Upgrades!$U$10,I88),1)*IF(Upgrades!$T$11="Solar Wind",POWER(Upgrades!$U$11,J88),1)*IF(Upgrades!$T$12="Solar Wind",POWER(Upgrades!$U$12,K88),1))+(IF(F88=0,0,(Upgrades!$J$7+F88*Upgrades!$K$7)*POWER(Upgrades!$L$7,F88)))*(IF(Upgrades!$T$6="Asteroid Belt",POWER(Upgrades!$U$6,E88),1)*IF(Upgrades!$T$8="Asteroid Belt",POWER(Upgrades!$U$8,G88),1)*IF(Upgrades!$T$9="Asteroid Belt",POWER(Upgrades!$U$9,H88),1)*IF(Upgrades!$T$10="Asteroid Belt",POWER(Upgrades!$U$10,I88),1)*IF(Upgrades!$T$11="Asteroid Belt",POWER(Upgrades!$U$11,J88),1)*IF(Upgrades!$T$12="Asteroid Belt",POWER(Upgrades!$U$12,K88),1))+(IF(G88=0,0,(Upgrades!$J$8+G88*Upgrades!$K$8)*POWER(Upgrades!$L$8,G88)))*(IF(Upgrades!$T$6="Stellar Coupling",POWER(Upgrades!$U$6,E88),1)*IF(Upgrades!$T$7="Stellar Coupling",POWER(Upgrades!$U$7,F88),1)*IF(Upgrades!$T$9="Stellar Coupling",POWER(Upgrades!$U$9,H88),1)*IF(Upgrades!$T$10="Stellar Coupling",POWER(Upgrades!$U$10,I88),1)*IF(Upgrades!$T$11="Stellar Coupling",POWER(Upgrades!$U$11,J88),1)*IF(Upgrades!$T$12="Stellar Coupling",POWER(Upgrades!$U$12,K88),1))+(IF(H88=0,0,(Upgrades!$J$9+H88*Upgrades!$K$9)*POWER(Upgrades!$L$9,H88)))*(IF(Upgrades!$T$6="Magnetosphere",POWER(Upgrades!$U$6,E88),1)*IF(Upgrades!$T$7="Magnetosphere",POWER(Upgrades!$U$7,F88),1)*IF(Upgrades!$T$8="Magnetosphere",POWER(Upgrades!$U$8,G88),1)*IF(Upgrades!$T$10="Magnetosphere",POWER(Upgrades!$U$10,I88),1)*IF(Upgrades!$T$11="Magnetosphere",POWER(Upgrades!$U$11,J88),1)*IF(Upgrades!$T$12="Magnetosphere",POWER(Upgrades!$U$12,K88),1))+(IF(I88=0,0,(Upgrades!$J$10+I88*Upgrades!$K$10)*POWER(Upgrades!$L$10,I88)))*(IF(Upgrades!$T$6="Orbital Resonance",POWER(Upgrades!$U$6,E88),1)*IF(Upgrades!$T$7="Orbital Resonance",POWER(Upgrades!$U$7,F88),1)*IF(Upgrades!$T$8="Orbital Resonance",POWER(Upgrades!$U$8,G88),1)*IF(Upgrades!$T$9="Orbital Resonance",POWER(Upgrades!$U$9,H88),1)*IF(Upgrades!$T$11="Orbital Resonance",POWER(Upgrades!$U$11,J88),1)*IF(Upgrades!$T$12="Orbital Resonance",POWER(Upgrades!$U$12,K88),1))+(IF(J88=0,0,(Upgrades!$J$11+J88*Upgrades!$K$11)*POWER(Upgrades!$L$11,J88)))*(IF(Upgrades!$T$6="Heliopause",POWER(Upgrades!$U$6,E88),1)*IF(Upgrades!$T$7="Heliopause",POWER(Upgrades!$U$7,F88),1)*IF(Upgrades!$T$8="Heliopause",POWER(Upgrades!$U$8,G88),1)*IF(Upgrades!$T$9="Heliopause",POWER(Upgrades!$U$9,H88),1)*IF(Upgrades!$T$10="Heliopause",POWER(Upgrades!$U$10,I88),1)*IF(Upgrades!$T$12="Heliopause",POWER(Upgrades!$U$12,K88),1))+(IF(K88=0,0,(Upgrades!$J$12+K88*Upgrades!$K$12)*POWER(Upgrades!$L$12,K88)))*(IF(Upgrades!$T$6="First Photons",POWER(Upgrades!$U$6,E88),1)*IF(Upgrades!$T$7="First Photons",POWER(Upgrades!$U$7,F88),1)*IF(Upgrades!$T$8="First Photons",POWER(Upgrades!$U$8,G88),1)*IF(Upgrades!$T$9="First Photons",POWER(Upgrades!$U$9,H88),1)*IF(Upgrades!$T$10="First Photons",POWER(Upgrades!$U$10,I88),1)*IF(Upgrades!$T$11="First Photons",POWER(Upgrades!$U$11,J88),1)))*POWER(Upgrades!$Q$6,E88)*POWER(Upgrades!$Q$7,F88)*POWER(Upgrades!$Q$8,G88)*POWER(Upgrades!$Q$9,H88)*POWER(Upgrades!$Q$10,I88)*POWER(Upgrades!$Q$11,J88)*POWER(Upgrades!$Q$12,K88)</f>
        <v>5.61</v>
      </c>
      <c r="N88" s="28" t="n">
        <f aca="false">((IF(E88=0,0,(Upgrades!$G$6+E88*Upgrades!$H$6)*POWER(Upgrades!$I$6,E88)))*(IF(Upgrades!$T$7="Solar Wind",POWER(Upgrades!$U$7,F88),1)*IF(Upgrades!$T$8="Solar Wind",POWER(Upgrades!$U$8,G88),1)*IF(Upgrades!$T$9="Solar Wind",POWER(Upgrades!$U$9,H88),1)*IF(Upgrades!$T$10="Solar Wind",POWER(Upgrades!$U$10,I88),1)*IF(Upgrades!$T$11="Solar Wind",POWER(Upgrades!$U$11,J88),1)*IF(Upgrades!$T$12="Solar Wind",POWER(Upgrades!$U$12,K88),1))+(IF(F88=0,0,(Upgrades!$G$7+F88*Upgrades!$H$7)*POWER(Upgrades!$I$7,F88)))*(IF(Upgrades!$T$6="Asteroid Belt",POWER(Upgrades!$U$6,E88),1)*IF(Upgrades!$T$8="Asteroid Belt",POWER(Upgrades!$U$8,G88),1)*IF(Upgrades!$T$9="Asteroid Belt",POWER(Upgrades!$U$9,H88),1)*IF(Upgrades!$T$10="Asteroid Belt",POWER(Upgrades!$U$10,I88),1)*IF(Upgrades!$T$11="Asteroid Belt",POWER(Upgrades!$U$11,J88),1)*IF(Upgrades!$T$12="Asteroid Belt",POWER(Upgrades!$U$12,K88),1))+(IF(G88=0,0,(Upgrades!$G$8+G88*Upgrades!$H$8)*POWER(Upgrades!$I$8,G88)))*(IF(Upgrades!$T$6="Stellar Coupling",POWER(Upgrades!$U$6,E88),1)*IF(Upgrades!$T$7="Stellar Coupling",POWER(Upgrades!$U$7,F88),1)*IF(Upgrades!$T$9="Stellar Coupling",POWER(Upgrades!$U$9,H88),1)*IF(Upgrades!$T$10="Stellar Coupling",POWER(Upgrades!$U$10,I88),1)*IF(Upgrades!$T$11="Stellar Coupling",POWER(Upgrades!$U$11,J88),1)*IF(Upgrades!$T$12="Stellar Coupling",POWER(Upgrades!$U$12,K88),1))+(IF(H88=0,0,(Upgrades!$G$9+H88*Upgrades!$H$9)*POWER(Upgrades!$I$9,H88)))*(IF(Upgrades!$T$6="Magnetosphere",POWER(Upgrades!$U$6,E88),1)*IF(Upgrades!$T$7="Magnetosphere",POWER(Upgrades!$U$7,F88),1)*IF(Upgrades!$T$8="Magnetosphere",POWER(Upgrades!$U$8,G88),1)*IF(Upgrades!$T$10="Magnetosphere",POWER(Upgrades!$U$10,I88),1)*IF(Upgrades!$T$11="Magnetosphere",POWER(Upgrades!$U$11,J88),1)*IF(Upgrades!$T$12="Magnetosphere",POWER(Upgrades!$U$12,K88),1))+(IF(I88=0,0,(Upgrades!$G$10+I88*Upgrades!$H$10)*POWER(Upgrades!$I$10,I88)))*(IF(Upgrades!$T$6="Orbital Resonance",POWER(Upgrades!$U$6,E88),1)*IF(Upgrades!$T$7="Orbital Resonance",POWER(Upgrades!$U$7,F88),1)*IF(Upgrades!$T$8="Orbital Resonance",POWER(Upgrades!$U$8,G88),1)*IF(Upgrades!$T$9="Orbital Resonance",POWER(Upgrades!$U$9,H88),1)*IF(Upgrades!$T$11="Orbital Resonance",POWER(Upgrades!$U$11,J88),1)*IF(Upgrades!$T$12="Orbital Resonance",POWER(Upgrades!$U$12,K88),1))+(IF(J88=0,0,(Upgrades!$G$11+J88*Upgrades!$H$11)*POWER(Upgrades!$I$11,J88)))*(IF(Upgrades!$T$6="Heliopause",POWER(Upgrades!$U$6,E88),1)*IF(Upgrades!$T$7="Heliopause",POWER(Upgrades!$U$7,F88),1)*IF(Upgrades!$T$8="Heliopause",POWER(Upgrades!$U$8,G88),1)*IF(Upgrades!$T$9="Heliopause",POWER(Upgrades!$U$9,H88),1)*IF(Upgrades!$T$10="Heliopause",POWER(Upgrades!$U$10,I88),1)*IF(Upgrades!$T$12="Heliopause",POWER(Upgrades!$U$12,K88),1))+(IF(K88=0,0,(Upgrades!$G$12+K88*Upgrades!$H$12)*POWER(Upgrades!$I$12,K88)))*(IF(Upgrades!$T$6="First Photons",POWER(Upgrades!$U$6,E88),1)*IF(Upgrades!$T$7="First Photons",POWER(Upgrades!$U$7,F88),1)*IF(Upgrades!$T$8="First Photons",POWER(Upgrades!$U$8,G88),1)*IF(Upgrades!$T$9="First Photons",POWER(Upgrades!$U$9,H88),1)*IF(Upgrades!$T$10="First Photons",POWER(Upgrades!$U$10,I88),1)*IF(Upgrades!$T$11="First Photons",POWER(Upgrades!$U$11,J88),1)))*POWER(Upgrades!$P$6,E88)*POWER(Upgrades!$P$7,F88)*POWER(Upgrades!$P$8,G88)*POWER(Upgrades!$P$9,H88)*POWER(Upgrades!$P$10,I88)*POWER(Upgrades!$P$11,J88)*POWER(Upgrades!$P$12,K88)</f>
        <v>11.2</v>
      </c>
      <c r="O88" s="28" t="n">
        <f aca="false">((IF(E88=0,0,(Upgrades!$M$6+E88*Upgrades!$N$6)*POWER(Upgrades!$O$6,E88)))*(IF(Upgrades!$T$7="Solar Wind",POWER(Upgrades!$U$7,F88),1)*IF(Upgrades!$T$8="Solar Wind",POWER(Upgrades!$U$8,G88),1)*IF(Upgrades!$T$9="Solar Wind",POWER(Upgrades!$U$9,H88),1)*IF(Upgrades!$T$10="Solar Wind",POWER(Upgrades!$U$10,I88),1)*IF(Upgrades!$T$11="Solar Wind",POWER(Upgrades!$U$11,J88),1)*IF(Upgrades!$T$12="Solar Wind",POWER(Upgrades!$U$12,K88),1))+(IF(F88=0,0,(Upgrades!$M$7+F88*Upgrades!$N$7)*POWER(Upgrades!$O$7,F88)))*(IF(Upgrades!$T$6="Asteroid Belt",POWER(Upgrades!$U$6,E88),1)*IF(Upgrades!$T$8="Asteroid Belt",POWER(Upgrades!$U$8,G88),1)*IF(Upgrades!$T$9="Asteroid Belt",POWER(Upgrades!$U$9,H88),1)*IF(Upgrades!$T$10="Asteroid Belt",POWER(Upgrades!$U$10,I88),1)*IF(Upgrades!$T$11="Asteroid Belt",POWER(Upgrades!$U$11,J88),1)*IF(Upgrades!$T$12="Asteroid Belt",POWER(Upgrades!$U$12,K88),1))+(IF(G88=0,0,(Upgrades!$M$8+G88*Upgrades!$N$8)*POWER(Upgrades!$O$8,G88)))*(IF(Upgrades!$T$6="Stellar Coupling",POWER(Upgrades!$U$6,E88),1)*IF(Upgrades!$T$7="Stellar Coupling",POWER(Upgrades!$U$7,F88),1)*IF(Upgrades!$T$9="Stellar Coupling",POWER(Upgrades!$U$9,H88),1)*IF(Upgrades!$T$10="Stellar Coupling",POWER(Upgrades!$U$10,I88),1)*IF(Upgrades!$T$11="Stellar Coupling",POWER(Upgrades!$U$11,J88),1)*IF(Upgrades!$T$12="Stellar Coupling",POWER(Upgrades!$U$12,K88),1))+(IF(H88=0,0,(Upgrades!$M$9+H88*Upgrades!$N$9)*POWER(Upgrades!$O$9,H88)))*(IF(Upgrades!$T$6="Magnetosphere",POWER(Upgrades!$U$6,E88),1)*IF(Upgrades!$T$7="Magnetosphere",POWER(Upgrades!$U$7,F88),1)*IF(Upgrades!$T$8="Magnetosphere",POWER(Upgrades!$U$8,G88),1)*IF(Upgrades!$T$10="Magnetosphere",POWER(Upgrades!$U$10,I88),1)*IF(Upgrades!$T$11="Magnetosphere",POWER(Upgrades!$U$11,J88),1)*IF(Upgrades!$T$12="Magnetosphere",POWER(Upgrades!$U$12,K88),1))+(IF(I88=0,0,(Upgrades!$M$10+I88*Upgrades!$N$10)*POWER(Upgrades!$O$10,I88)))*(IF(Upgrades!$T$6="Orbital Resonance",POWER(Upgrades!$U$6,E88),1)*IF(Upgrades!$T$7="Orbital Resonance",POWER(Upgrades!$U$7,F88),1)*IF(Upgrades!$T$8="Orbital Resonance",POWER(Upgrades!$U$8,G88),1)*IF(Upgrades!$T$9="Orbital Resonance",POWER(Upgrades!$U$9,H88),1)*IF(Upgrades!$T$11="Orbital Resonance",POWER(Upgrades!$U$11,J88),1)*IF(Upgrades!$T$12="Orbital Resonance",POWER(Upgrades!$U$12,K88),1))+(IF(J88=0,0,(Upgrades!$M$11+J88*Upgrades!$N$11)*POWER(Upgrades!$O$11,J88)))*(IF(Upgrades!$T$6="Heliopause",POWER(Upgrades!$U$6,E88),1)*IF(Upgrades!$T$7="Heliopause",POWER(Upgrades!$U$7,F88),1)*IF(Upgrades!$T$8="Heliopause",POWER(Upgrades!$U$8,G88),1)*IF(Upgrades!$T$9="Heliopause",POWER(Upgrades!$U$9,H88),1)*IF(Upgrades!$T$10="Heliopause",POWER(Upgrades!$U$10,I88),1)*IF(Upgrades!$T$12="Heliopause",POWER(Upgrades!$U$12,K88),1))+(IF(K88=0,0,(Upgrades!$M$12+K88*Upgrades!$N$12)*POWER(Upgrades!$O$12,K88)))*(IF(Upgrades!$T$6="First Photons",POWER(Upgrades!$U$6,E88),1)*IF(Upgrades!$T$7="First Photons",POWER(Upgrades!$U$7,F88),1)*IF(Upgrades!$T$8="First Photons",POWER(Upgrades!$U$8,G88),1)*IF(Upgrades!$T$9="First Photons",POWER(Upgrades!$U$9,H88),1)*IF(Upgrades!$T$10="First Photons",POWER(Upgrades!$U$10,I88),1)*IF(Upgrades!$T$11="First Photons",POWER(Upgrades!$U$11,J88),1)))*POWER(Upgrades!$R$6,E88)*POWER(Upgrades!$R$7,F88)*POWER(Upgrades!$R$8,G88)*POWER(Upgrades!$R$9,H88)*POWER(Upgrades!$R$10,I88)*POWER(Upgrades!$R$11,J88)*POWER(Upgrades!$R$12,K88)</f>
        <v>0</v>
      </c>
      <c r="P88" s="27" t="n">
        <f aca="false">IF(L88=1,0,M88*Parameters!$B$10/60*Parameters!$B$11*10)</f>
        <v>0</v>
      </c>
      <c r="Q88" s="27" t="n">
        <f aca="false">IF(L88=1,0,O88*M88*10)</f>
        <v>0</v>
      </c>
      <c r="R88" s="27" t="n">
        <f aca="false">IF(L88=1,0,N88*10)</f>
        <v>0</v>
      </c>
      <c r="S88" s="27" t="n">
        <f aca="false">P88+Q88+R88</f>
        <v>0</v>
      </c>
      <c r="T88" s="21" t="n">
        <f aca="false">C88+S88</f>
        <v>18.6730249835055</v>
      </c>
      <c r="U88" s="34" t="str">
        <f aca="false">AX88</f>
        <v/>
      </c>
      <c r="V88" s="21" t="n">
        <f aca="false">IF(U88="",0,IF(U88="transition",0,IF(U88="SW",AG88,IF(U88="AB",AH88,IF(U88="SC",AI88,IF(U88="Mag",AJ88,IF(U88="OR",AK88,IF(U88="HP",AL88,IF(U88="FP",AM88,0)))))))))</f>
        <v>0</v>
      </c>
      <c r="W88" s="27" t="n">
        <f aca="false">IF(U88="OR",Upgrades!$F$10,IF(U88="HP",Upgrades!$F$11,IF(U88="transition",-Parameters!$B$18,0)))</f>
        <v>0</v>
      </c>
      <c r="X88" s="21" t="n">
        <f aca="false">T88-V88</f>
        <v>18.6730249835055</v>
      </c>
      <c r="Y88" s="30" t="n">
        <f aca="false">M88*Parameters!$B$10/60*Parameters!$B$11+O88*M88+N88</f>
        <v>20.55</v>
      </c>
      <c r="Z88" s="35" t="str">
        <f aca="false">IF(U88="transition","→ Tier 2 (Stellar Neighborhood)",IF(U88="FP","First Photons — light begins, system quickens",IF(U88="HP","Heliopause acquired",IF(U88="OR","Orbital Resonance — passive multiplier active",IF(AND(AO88=1,L88=0,AN88&lt;&gt;1),"Cohesion ready (waiting on completionist upgrades)","")))))</f>
        <v/>
      </c>
      <c r="AA88" s="27" t="n">
        <f aca="false">(IF(E88=0,0,(Upgrades!$G$6+E88*Upgrades!$H$6)*POWER(Upgrades!$I$6,E88)))*(IF(Upgrades!$T$7="Solar Wind",POWER(Upgrades!$U$7,F88),1)*IF(Upgrades!$T$8="Solar Wind",POWER(Upgrades!$U$8,G88),1)*IF(Upgrades!$T$9="Solar Wind",POWER(Upgrades!$U$9,H88),1)*IF(Upgrades!$T$10="Solar Wind",POWER(Upgrades!$U$10,I88),1)*IF(Upgrades!$T$11="Solar Wind",POWER(Upgrades!$U$11,J88),1)*IF(Upgrades!$T$12="Solar Wind",POWER(Upgrades!$U$12,K88),1))*POWER(Upgrades!$P$6,E88)*POWER(Upgrades!$P$7,F88)*POWER(Upgrades!$P$8,G88)*POWER(Upgrades!$P$9,H88)*POWER(Upgrades!$P$10,I88)*POWER(Upgrades!$P$11,J88)*POWER(Upgrades!$P$12,K88)*60</f>
        <v>72</v>
      </c>
      <c r="AB88" s="27" t="n">
        <f aca="false">(IF(F88=0,0,(Upgrades!$G$7+F88*Upgrades!$H$7)*POWER(Upgrades!$I$7,F88)))*(IF(Upgrades!$T$6="Asteroid Belt",POWER(Upgrades!$U$6,E88),1)*IF(Upgrades!$T$8="Asteroid Belt",POWER(Upgrades!$U$8,G88),1)*IF(Upgrades!$T$9="Asteroid Belt",POWER(Upgrades!$U$9,H88),1)*IF(Upgrades!$T$10="Asteroid Belt",POWER(Upgrades!$U$10,I88),1)*IF(Upgrades!$T$11="Asteroid Belt",POWER(Upgrades!$U$11,J88),1)*IF(Upgrades!$T$12="Asteroid Belt",POWER(Upgrades!$U$12,K88),1))*POWER(Upgrades!$P$6,E88)*POWER(Upgrades!$P$7,F88)*POWER(Upgrades!$P$8,G88)*POWER(Upgrades!$P$9,H88)*POWER(Upgrades!$P$10,I88)*POWER(Upgrades!$P$11,J88)*POWER(Upgrades!$P$12,K88)*60</f>
        <v>150</v>
      </c>
      <c r="AC88" s="27" t="n">
        <f aca="false">(IF(G88=0,0,(Upgrades!$J$8+G88*Upgrades!$K$8)*POWER(Upgrades!$L$8,G88)))*(IF(Upgrades!$T$6="Stellar Coupling",POWER(Upgrades!$U$6,E88),1)*IF(Upgrades!$T$7="Stellar Coupling",POWER(Upgrades!$U$7,F88),1)*IF(Upgrades!$T$9="Stellar Coupling",POWER(Upgrades!$U$9,H88),1)*IF(Upgrades!$T$10="Stellar Coupling",POWER(Upgrades!$U$10,I88),1)*IF(Upgrades!$T$11="Stellar Coupling",POWER(Upgrades!$U$11,J88),1)*IF(Upgrades!$T$12="Stellar Coupling",POWER(Upgrades!$U$12,K88),1))*POWER(Upgrades!$Q$6,E88)*POWER(Upgrades!$Q$7,F88)*POWER(Upgrades!$Q$8,G88)*POWER(Upgrades!$Q$9,H88)*POWER(Upgrades!$Q$10,I88)*POWER(Upgrades!$Q$11,J88)*POWER(Upgrades!$Q$12,K88)*Parameters!$B$10*Parameters!$B$11</f>
        <v>441</v>
      </c>
      <c r="AD88" s="27" t="n">
        <f aca="false">(IF(H88=0,0,(Upgrades!$G$9+H88*Upgrades!$H$9)*POWER(Upgrades!$I$9,H88)))*(IF(Upgrades!$T$6="Magnetosphere",POWER(Upgrades!$U$6,E88),1)*IF(Upgrades!$T$7="Magnetosphere",POWER(Upgrades!$U$7,F88),1)*IF(Upgrades!$T$8="Magnetosphere",POWER(Upgrades!$U$8,G88),1)*IF(Upgrades!$T$10="Magnetosphere",POWER(Upgrades!$U$10,I88),1)*IF(Upgrades!$T$11="Magnetosphere",POWER(Upgrades!$U$11,J88),1)*IF(Upgrades!$T$12="Magnetosphere",POWER(Upgrades!$U$12,K88),1))*POWER(Upgrades!$P$6,E88)*POWER(Upgrades!$P$7,F88)*POWER(Upgrades!$P$8,G88)*POWER(Upgrades!$P$9,H88)*POWER(Upgrades!$P$10,I88)*POWER(Upgrades!$P$11,J88)*POWER(Upgrades!$P$12,K88)*60</f>
        <v>375</v>
      </c>
      <c r="AE88" s="27" t="n">
        <f aca="false">(IF(K88=0,0,(Upgrades!$G$12+K88*Upgrades!$H$12)*POWER(Upgrades!$I$12,K88)))*(IF(Upgrades!$T$6="First Photons",POWER(Upgrades!$U$6,E88),1)*IF(Upgrades!$T$7="First Photons",POWER(Upgrades!$U$7,F88),1)*IF(Upgrades!$T$8="First Photons",POWER(Upgrades!$U$8,G88),1)*IF(Upgrades!$T$9="First Photons",POWER(Upgrades!$U$9,H88),1)*IF(Upgrades!$T$10="First Photons",POWER(Upgrades!$U$10,I88),1)*IF(Upgrades!$T$11="First Photons",POWER(Upgrades!$U$11,J88),1))*POWER(Upgrades!$P$6,E88)*POWER(Upgrades!$P$7,F88)*POWER(Upgrades!$P$8,G88)*POWER(Upgrades!$P$9,H88)*POWER(Upgrades!$P$10,I88)*POWER(Upgrades!$P$11,J88)*POWER(Upgrades!$P$12,K88)*60</f>
        <v>75</v>
      </c>
      <c r="AF88" s="27" t="n">
        <f aca="false">Parameters!$B$9*POWER(Upgrades!$Q$6,E88)*POWER(Upgrades!$Q$7,F88)*POWER(Upgrades!$Q$8,G88)*POWER(Upgrades!$Q$9,H88)*POWER(Upgrades!$Q$10,I88)*POWER(Upgrades!$Q$11,J88)*POWER(Upgrades!$Q$12,K88)*(Parameters!$B$10*Parameters!$B$11+O88*60)</f>
        <v>120</v>
      </c>
      <c r="AG88" s="21" t="n">
        <f aca="false">IF(E88&gt;=Upgrades!$E$6,"",Upgrades!$C$6*POWER(Upgrades!$D$6,E88))</f>
        <v>37.4517507383159</v>
      </c>
      <c r="AH88" s="21" t="n">
        <f aca="false">IF(F88&gt;=Upgrades!$E$7,"",Upgrades!$C$7*POWER(Upgrades!$D$7,F88))</f>
        <v>80.9111547141581</v>
      </c>
      <c r="AI88" s="21" t="n">
        <f aca="false">IF(G88&gt;=Upgrades!$E$8,"",Upgrades!$C$8*POWER(Upgrades!$D$8,G88))</f>
        <v>231.9097088</v>
      </c>
      <c r="AJ88" s="21" t="str">
        <f aca="false">IF(H88&gt;=Upgrades!$E$9,"",Upgrades!$C$9*POWER(Upgrades!$D$9,H88))</f>
        <v/>
      </c>
      <c r="AK88" s="21" t="str">
        <f aca="false">IF(I88&gt;=Upgrades!$E$10,"",Upgrades!$C$10*POWER(Upgrades!$D$10,I88))</f>
        <v/>
      </c>
      <c r="AL88" s="21" t="str">
        <f aca="false">IF(J88&gt;=Upgrades!$E$11,"",Upgrades!$C$11*POWER(Upgrades!$D$11,J88))</f>
        <v/>
      </c>
      <c r="AM88" s="21" t="str">
        <f aca="false">IF(K88&gt;=Upgrades!$E$12,"",Upgrades!$C$12*POWER(Upgrades!$D$12,K88))</f>
        <v/>
      </c>
      <c r="AN88" s="26" t="str">
        <f aca="false">IF(AND(D88&gt;=Parameters!$B$18,(H88&gt;=Upgrades!$E$9)*(K88&gt;=Upgrades!$E$12)=1,L88=0),1,"")</f>
        <v/>
      </c>
      <c r="AO88" s="26" t="str">
        <f aca="false">IF(AND(D88&gt;=Parameters!$B$18,L88=0),1,"")</f>
        <v/>
      </c>
      <c r="AP88" s="21" t="n">
        <f aca="false">MIN(IF(ISNUMBER(AK88),AK88,9000000000000000),IF(ISNUMBER(AL88),AL88,9000000000000000),IF(ISNUMBER(AM88),AM88,9000000000000000))</f>
        <v>9000000000000000</v>
      </c>
      <c r="AQ88" s="21" t="n">
        <f aca="false">MIN(IF(ISNUMBER(AG88),AG88,9000000000000000),IF(ISNUMBER(AH88),AH88,9000000000000000),IF(ISNUMBER(AI88),AI88,9000000000000000),IF(ISNUMBER(AJ88),AJ88,9000000000000000))</f>
        <v>37.4517507383159</v>
      </c>
      <c r="AR88" s="32" t="b">
        <f aca="false">IF(AW88&gt;Parameters!$B$21*(MAX(IF(AND(NOT(AND(AO88=1,AN88&lt;&gt;1)),ISNUMBER(AG88),AG88&lt;=T88),AS88,0),IF(AND(NOT(AND(AO88=1,AN88&lt;&gt;1)),ISNUMBER(AH88),AH88&lt;=T88),AT88,0),IF(AND(NOT(AND(AO88=1,AN88&lt;&gt;1)),ISNUMBER(AI88),AI88&lt;=T88),AU88,0),IF(AND(ISNUMBER(AJ88),AJ88&lt;=T88),AV88,0))),TRUE(),FALSE())</f>
        <v>1</v>
      </c>
      <c r="AS88" s="33" t="n">
        <f aca="false">IFERROR(Upgrades!$H$6*(POWER(Upgrades!$P$6,E88)*POWER(Upgrades!$P$7,F88)*POWER(Upgrades!$P$8,G88)*POWER(Upgrades!$P$9,H88)*POWER(Upgrades!$P$10,I88)*POWER(Upgrades!$P$11,J88)*POWER(Upgrades!$P$12,K88))*(IF(Upgrades!$T$7="Solar Wind",POWER(Upgrades!$U$7,F88),1)*IF(Upgrades!$T$8="Solar Wind",POWER(Upgrades!$U$8,G88),1)*IF(Upgrades!$T$9="Solar Wind",POWER(Upgrades!$U$9,H88),1)*IF(Upgrades!$T$10="Solar Wind",POWER(Upgrades!$U$10,I88),1)*IF(Upgrades!$T$11="Solar Wind",POWER(Upgrades!$U$11,J88),1)*IF(Upgrades!$T$12="Solar Wind",POWER(Upgrades!$U$12,K88),1))/AG88,0)</f>
        <v>0.0026701021455238</v>
      </c>
      <c r="AT88" s="33" t="n">
        <f aca="false">IFERROR(Upgrades!$H$7*(POWER(Upgrades!$P$6,E88)*POWER(Upgrades!$P$7,F88)*POWER(Upgrades!$P$8,G88)*POWER(Upgrades!$P$9,H88)*POWER(Upgrades!$P$10,I88)*POWER(Upgrades!$P$11,J88)*POWER(Upgrades!$P$12,K88))*(IF(Upgrades!$T$6="Asteroid Belt",POWER(Upgrades!$U$6,E88),1)*IF(Upgrades!$T$8="Asteroid Belt",POWER(Upgrades!$U$8,G88),1)*IF(Upgrades!$T$9="Asteroid Belt",POWER(Upgrades!$U$9,H88),1)*IF(Upgrades!$T$10="Asteroid Belt",POWER(Upgrades!$U$10,I88),1)*IF(Upgrades!$T$11="Asteroid Belt",POWER(Upgrades!$U$11,J88),1)*IF(Upgrades!$T$12="Asteroid Belt",POWER(Upgrades!$U$12,K88),1))/AH88,0)</f>
        <v>0.00308980882652332</v>
      </c>
      <c r="AU88" s="33" t="n">
        <f aca="false">IFERROR(Upgrades!$K$8*(POWER(Upgrades!$Q$6,E88)*POWER(Upgrades!$Q$7,F88)*POWER(Upgrades!$Q$8,G88)*POWER(Upgrades!$Q$9,H88)*POWER(Upgrades!$Q$10,I88)*POWER(Upgrades!$Q$11,J88)*POWER(Upgrades!$Q$12,K88))*(IF(Upgrades!$T$6="Stellar Coupling",POWER(Upgrades!$U$6,E88),1)*IF(Upgrades!$T$7="Stellar Coupling",POWER(Upgrades!$U$7,F88),1)*IF(Upgrades!$T$9="Stellar Coupling",POWER(Upgrades!$U$9,H88),1)*IF(Upgrades!$T$10="Stellar Coupling",POWER(Upgrades!$U$10,I88),1)*IF(Upgrades!$T$11="Stellar Coupling",POWER(Upgrades!$U$11,J88),1)*IF(Upgrades!$T$12="Stellar Coupling",POWER(Upgrades!$U$12,K88),1))*Parameters!$B$10*Parameters!$B$11/60/AI88,0)</f>
        <v>0.00452762415783776</v>
      </c>
      <c r="AV88" s="33" t="n">
        <f aca="false">IFERROR(Upgrades!$H$9*(POWER(Upgrades!$P$6,E88)*POWER(Upgrades!$P$7,F88)*POWER(Upgrades!$P$8,G88)*POWER(Upgrades!$P$9,H88)*POWER(Upgrades!$P$10,I88)*POWER(Upgrades!$P$11,J88)*POWER(Upgrades!$P$12,K88))*(IF(Upgrades!$T$6="Magnetosphere",POWER(Upgrades!$U$6,E88),1)*IF(Upgrades!$T$7="Magnetosphere",POWER(Upgrades!$U$7,F88),1)*IF(Upgrades!$T$8="Magnetosphere",POWER(Upgrades!$U$8,G88),1)*IF(Upgrades!$T$10="Magnetosphere",POWER(Upgrades!$U$10,I88),1)*IF(Upgrades!$T$11="Magnetosphere",POWER(Upgrades!$U$11,J88),1)*IF(Upgrades!$T$12="Magnetosphere",POWER(Upgrades!$U$12,K88),1))/AJ88,0)</f>
        <v>0</v>
      </c>
      <c r="AW88" s="33" t="n">
        <f aca="false">MAX(IF(I88&gt;0,0,IFERROR(0.25*N88/Upgrades!$C$10,0)),IF(J88&gt;0,0,IFERROR(0.5*((IF(G88=0,0,(Upgrades!$J$8+G88*Upgrades!$K$8)*POWER(Upgrades!$L$8,G88)))*(IF(Upgrades!$T$6="Stellar Coupling",POWER(Upgrades!$U$6,E88),1)*IF(Upgrades!$T$7="Stellar Coupling",POWER(Upgrades!$U$7,F88),1)*IF(Upgrades!$T$9="Stellar Coupling",POWER(Upgrades!$U$9,H88),1)*IF(Upgrades!$T$10="Stellar Coupling",POWER(Upgrades!$U$10,I88),1)*IF(Upgrades!$T$11="Stellar Coupling",POWER(Upgrades!$U$11,J88),1)*IF(Upgrades!$T$12="Stellar Coupling",POWER(Upgrades!$U$12,K88),1))*(POWER(Upgrades!$Q$6,E88)*POWER(Upgrades!$Q$7,F88)*POWER(Upgrades!$Q$8,G88)*POWER(Upgrades!$Q$9,H88)*POWER(Upgrades!$Q$10,I88)*POWER(Upgrades!$Q$11,J88)*POWER(Upgrades!$Q$12,K88))*Parameters!$B$10*Parameters!$B$11/60)/Upgrades!$C$11,0)),IF(K88&gt;0,0,IFERROR((1*(POWER(Upgrades!$P$6,E88)*POWER(Upgrades!$P$7,F88)*POWER(Upgrades!$P$8,G88)*POWER(Upgrades!$P$9,H88)*POWER(Upgrades!$P$10,I88)*POWER(Upgrades!$P$11,J88)*POWER(Upgrades!$P$12,K88))+0.2*M88*Parameters!$B$10*Parameters!$B$11/60)/Upgrades!$C$12,0)),IF(AND(ISNUMBER(AG88),AG88&gt;T88),AS88,0),IF(AND(ISNUMBER(AH88),AH88&gt;T88),AT88,0),IF(AND(ISNUMBER(AI88),AI88&gt;T88),AU88,0),IF(AND(ISNUMBER(AJ88),AJ88&gt;T88),AV88,0))</f>
        <v>0.00452762415783776</v>
      </c>
      <c r="AX88" s="29" t="str">
        <f aca="false">IF(AN88=1,"transition",IF(MIN(IF(AND(I88=0,ISNUMBER(AK88),AK88&lt;=T88),AK88,9000000000000000),IF(AND(J88=0,ISNUMBER(AL88),AL88&lt;=T88),AL88,9000000000000000),IF(AND(K88=0,ISNUMBER(AM88),AM88&lt;=T88),AM88,9000000000000000))&lt;9000000000000000,IF(AND(AND(I88=0,ISNUMBER(AK88),AK88&lt;=T88),AK88=MIN(IF(AND(I88=0,ISNUMBER(AK88),AK88&lt;=T88),AK88,9000000000000000),IF(AND(J88=0,ISNUMBER(AL88),AL88&lt;=T88),AL88,9000000000000000),IF(AND(K88=0,ISNUMBER(AM88),AM88&lt;=T88),AM88,9000000000000000))),"OR",IF(AND(AND(J88=0,ISNUMBER(AL88),AL88&lt;=T88),AL88=MIN(IF(AND(I88=0,ISNUMBER(AK88),AK88&lt;=T88),AK88,9000000000000000),IF(AND(J88=0,ISNUMBER(AL88),AL88&lt;=T88),AL88,9000000000000000),IF(AND(K88=0,ISNUMBER(AM88),AM88&lt;=T88),AM88,9000000000000000))),"HP","FP")),IF(AR88=TRUE(),"",IF(MAX(IF(AND(NOT(AND(AO88=1,AN88&lt;&gt;1)),ISNUMBER(AG88),AG88&lt;=T88),AS88,0),IF(AND(NOT(AND(AO88=1,AN88&lt;&gt;1)),ISNUMBER(AH88),AH88&lt;=T88),AT88,0),IF(AND(NOT(AND(AO88=1,AN88&lt;&gt;1)),ISNUMBER(AI88),AI88&lt;=T88),AU88,0),IF(AND(ISNUMBER(AJ88),AJ88&lt;=T88),AV88,0))&lt;=0,"",IF(AND(IF(AND(NOT(AND(AO88=1,AN88&lt;&gt;1)),ISNUMBER(AG88),AG88&lt;=T88),AS88,0)&gt;0,IF(AND(NOT(AND(AO88=1,AN88&lt;&gt;1)),ISNUMBER(AG88),AG88&lt;=T88),AS88,0)=MAX(IF(AND(NOT(AND(AO88=1,AN88&lt;&gt;1)),ISNUMBER(AG88),AG88&lt;=T88),AS88,0),IF(AND(NOT(AND(AO88=1,AN88&lt;&gt;1)),ISNUMBER(AH88),AH88&lt;=T88),AT88,0),IF(AND(NOT(AND(AO88=1,AN88&lt;&gt;1)),ISNUMBER(AI88),AI88&lt;=T88),AU88,0),IF(AND(ISNUMBER(AJ88),AJ88&lt;=T88),AV88,0))),"SW",IF(AND(IF(AND(NOT(AND(AO88=1,AN88&lt;&gt;1)),ISNUMBER(AH88),AH88&lt;=T88),AT88,0)&gt;0,IF(AND(NOT(AND(AO88=1,AN88&lt;&gt;1)),ISNUMBER(AH88),AH88&lt;=T88),AT88,0)=MAX(IF(AND(NOT(AND(AO88=1,AN88&lt;&gt;1)),ISNUMBER(AG88),AG88&lt;=T88),AS88,0),IF(AND(NOT(AND(AO88=1,AN88&lt;&gt;1)),ISNUMBER(AH88),AH88&lt;=T88),AT88,0),IF(AND(NOT(AND(AO88=1,AN88&lt;&gt;1)),ISNUMBER(AI88),AI88&lt;=T88),AU88,0),IF(AND(ISNUMBER(AJ88),AJ88&lt;=T88),AV88,0))),"AB",IF(AND(IF(AND(NOT(AND(AO88=1,AN88&lt;&gt;1)),ISNUMBER(AI88),AI88&lt;=T88),AU88,0)&gt;0,IF(AND(NOT(AND(AO88=1,AN88&lt;&gt;1)),ISNUMBER(AI88),AI88&lt;=T88),AU88,0)=MAX(IF(AND(NOT(AND(AO88=1,AN88&lt;&gt;1)),ISNUMBER(AG88),AG88&lt;=T88),AS88,0),IF(AND(NOT(AND(AO88=1,AN88&lt;&gt;1)),ISNUMBER(AH88),AH88&lt;=T88),AT88,0),IF(AND(NOT(AND(AO88=1,AN88&lt;&gt;1)),ISNUMBER(AI88),AI88&lt;=T88),AU88,0),IF(AND(ISNUMBER(AJ88),AJ88&lt;=T88),AV88,0))),"SC","Mag")))))))</f>
        <v/>
      </c>
    </row>
    <row r="89" customFormat="false" ht="15" hidden="false" customHeight="false" outlineLevel="0" collapsed="false">
      <c r="A89" s="26" t="n">
        <v>84</v>
      </c>
      <c r="B89" s="27" t="n">
        <f aca="false">A89*10/60</f>
        <v>14</v>
      </c>
      <c r="C89" s="21" t="n">
        <f aca="false">X88</f>
        <v>18.6730249835055</v>
      </c>
      <c r="D89" s="27" t="n">
        <f aca="false">D88+W88</f>
        <v>0</v>
      </c>
      <c r="E89" s="26" t="n">
        <f aca="false">E88+IF(U88="SW",1,0)</f>
        <v>12</v>
      </c>
      <c r="F89" s="26" t="n">
        <f aca="false">F88+IF(U88="AB",1,0)</f>
        <v>10</v>
      </c>
      <c r="G89" s="26" t="n">
        <f aca="false">G88+IF(U88="SC",1,0)</f>
        <v>7</v>
      </c>
      <c r="H89" s="26" t="n">
        <f aca="false">H88+IF(U88="Mag",1,0)</f>
        <v>5</v>
      </c>
      <c r="I89" s="26" t="n">
        <f aca="false">MAX(I88,IF(U88="OR",1,0))</f>
        <v>1</v>
      </c>
      <c r="J89" s="26" t="n">
        <f aca="false">MAX(J88,IF(U88="HP",1,0))</f>
        <v>1</v>
      </c>
      <c r="K89" s="26" t="n">
        <f aca="false">MAX(K88,IF(U88="FP",1,0))</f>
        <v>1</v>
      </c>
      <c r="L89" s="26" t="n">
        <f aca="false">MAX(L88,IF(U88="transition",1,0))</f>
        <v>1</v>
      </c>
      <c r="M89" s="28" t="n">
        <f aca="false">(Parameters!$B$9+(IF(E89=0,0,(Upgrades!$J$6+E89*Upgrades!$K$6)*POWER(Upgrades!$L$6,E89)))*(IF(Upgrades!$T$7="Solar Wind",POWER(Upgrades!$U$7,F89),1)*IF(Upgrades!$T$8="Solar Wind",POWER(Upgrades!$U$8,G89),1)*IF(Upgrades!$T$9="Solar Wind",POWER(Upgrades!$U$9,H89),1)*IF(Upgrades!$T$10="Solar Wind",POWER(Upgrades!$U$10,I89),1)*IF(Upgrades!$T$11="Solar Wind",POWER(Upgrades!$U$11,J89),1)*IF(Upgrades!$T$12="Solar Wind",POWER(Upgrades!$U$12,K89),1))+(IF(F89=0,0,(Upgrades!$J$7+F89*Upgrades!$K$7)*POWER(Upgrades!$L$7,F89)))*(IF(Upgrades!$T$6="Asteroid Belt",POWER(Upgrades!$U$6,E89),1)*IF(Upgrades!$T$8="Asteroid Belt",POWER(Upgrades!$U$8,G89),1)*IF(Upgrades!$T$9="Asteroid Belt",POWER(Upgrades!$U$9,H89),1)*IF(Upgrades!$T$10="Asteroid Belt",POWER(Upgrades!$U$10,I89),1)*IF(Upgrades!$T$11="Asteroid Belt",POWER(Upgrades!$U$11,J89),1)*IF(Upgrades!$T$12="Asteroid Belt",POWER(Upgrades!$U$12,K89),1))+(IF(G89=0,0,(Upgrades!$J$8+G89*Upgrades!$K$8)*POWER(Upgrades!$L$8,G89)))*(IF(Upgrades!$T$6="Stellar Coupling",POWER(Upgrades!$U$6,E89),1)*IF(Upgrades!$T$7="Stellar Coupling",POWER(Upgrades!$U$7,F89),1)*IF(Upgrades!$T$9="Stellar Coupling",POWER(Upgrades!$U$9,H89),1)*IF(Upgrades!$T$10="Stellar Coupling",POWER(Upgrades!$U$10,I89),1)*IF(Upgrades!$T$11="Stellar Coupling",POWER(Upgrades!$U$11,J89),1)*IF(Upgrades!$T$12="Stellar Coupling",POWER(Upgrades!$U$12,K89),1))+(IF(H89=0,0,(Upgrades!$J$9+H89*Upgrades!$K$9)*POWER(Upgrades!$L$9,H89)))*(IF(Upgrades!$T$6="Magnetosphere",POWER(Upgrades!$U$6,E89),1)*IF(Upgrades!$T$7="Magnetosphere",POWER(Upgrades!$U$7,F89),1)*IF(Upgrades!$T$8="Magnetosphere",POWER(Upgrades!$U$8,G89),1)*IF(Upgrades!$T$10="Magnetosphere",POWER(Upgrades!$U$10,I89),1)*IF(Upgrades!$T$11="Magnetosphere",POWER(Upgrades!$U$11,J89),1)*IF(Upgrades!$T$12="Magnetosphere",POWER(Upgrades!$U$12,K89),1))+(IF(I89=0,0,(Upgrades!$J$10+I89*Upgrades!$K$10)*POWER(Upgrades!$L$10,I89)))*(IF(Upgrades!$T$6="Orbital Resonance",POWER(Upgrades!$U$6,E89),1)*IF(Upgrades!$T$7="Orbital Resonance",POWER(Upgrades!$U$7,F89),1)*IF(Upgrades!$T$8="Orbital Resonance",POWER(Upgrades!$U$8,G89),1)*IF(Upgrades!$T$9="Orbital Resonance",POWER(Upgrades!$U$9,H89),1)*IF(Upgrades!$T$11="Orbital Resonance",POWER(Upgrades!$U$11,J89),1)*IF(Upgrades!$T$12="Orbital Resonance",POWER(Upgrades!$U$12,K89),1))+(IF(J89=0,0,(Upgrades!$J$11+J89*Upgrades!$K$11)*POWER(Upgrades!$L$11,J89)))*(IF(Upgrades!$T$6="Heliopause",POWER(Upgrades!$U$6,E89),1)*IF(Upgrades!$T$7="Heliopause",POWER(Upgrades!$U$7,F89),1)*IF(Upgrades!$T$8="Heliopause",POWER(Upgrades!$U$8,G89),1)*IF(Upgrades!$T$9="Heliopause",POWER(Upgrades!$U$9,H89),1)*IF(Upgrades!$T$10="Heliopause",POWER(Upgrades!$U$10,I89),1)*IF(Upgrades!$T$12="Heliopause",POWER(Upgrades!$U$12,K89),1))+(IF(K89=0,0,(Upgrades!$J$12+K89*Upgrades!$K$12)*POWER(Upgrades!$L$12,K89)))*(IF(Upgrades!$T$6="First Photons",POWER(Upgrades!$U$6,E89),1)*IF(Upgrades!$T$7="First Photons",POWER(Upgrades!$U$7,F89),1)*IF(Upgrades!$T$8="First Photons",POWER(Upgrades!$U$8,G89),1)*IF(Upgrades!$T$9="First Photons",POWER(Upgrades!$U$9,H89),1)*IF(Upgrades!$T$10="First Photons",POWER(Upgrades!$U$10,I89),1)*IF(Upgrades!$T$11="First Photons",POWER(Upgrades!$U$11,J89),1)))*POWER(Upgrades!$Q$6,E89)*POWER(Upgrades!$Q$7,F89)*POWER(Upgrades!$Q$8,G89)*POWER(Upgrades!$Q$9,H89)*POWER(Upgrades!$Q$10,I89)*POWER(Upgrades!$Q$11,J89)*POWER(Upgrades!$Q$12,K89)</f>
        <v>5.61</v>
      </c>
      <c r="N89" s="28" t="n">
        <f aca="false">((IF(E89=0,0,(Upgrades!$G$6+E89*Upgrades!$H$6)*POWER(Upgrades!$I$6,E89)))*(IF(Upgrades!$T$7="Solar Wind",POWER(Upgrades!$U$7,F89),1)*IF(Upgrades!$T$8="Solar Wind",POWER(Upgrades!$U$8,G89),1)*IF(Upgrades!$T$9="Solar Wind",POWER(Upgrades!$U$9,H89),1)*IF(Upgrades!$T$10="Solar Wind",POWER(Upgrades!$U$10,I89),1)*IF(Upgrades!$T$11="Solar Wind",POWER(Upgrades!$U$11,J89),1)*IF(Upgrades!$T$12="Solar Wind",POWER(Upgrades!$U$12,K89),1))+(IF(F89=0,0,(Upgrades!$G$7+F89*Upgrades!$H$7)*POWER(Upgrades!$I$7,F89)))*(IF(Upgrades!$T$6="Asteroid Belt",POWER(Upgrades!$U$6,E89),1)*IF(Upgrades!$T$8="Asteroid Belt",POWER(Upgrades!$U$8,G89),1)*IF(Upgrades!$T$9="Asteroid Belt",POWER(Upgrades!$U$9,H89),1)*IF(Upgrades!$T$10="Asteroid Belt",POWER(Upgrades!$U$10,I89),1)*IF(Upgrades!$T$11="Asteroid Belt",POWER(Upgrades!$U$11,J89),1)*IF(Upgrades!$T$12="Asteroid Belt",POWER(Upgrades!$U$12,K89),1))+(IF(G89=0,0,(Upgrades!$G$8+G89*Upgrades!$H$8)*POWER(Upgrades!$I$8,G89)))*(IF(Upgrades!$T$6="Stellar Coupling",POWER(Upgrades!$U$6,E89),1)*IF(Upgrades!$T$7="Stellar Coupling",POWER(Upgrades!$U$7,F89),1)*IF(Upgrades!$T$9="Stellar Coupling",POWER(Upgrades!$U$9,H89),1)*IF(Upgrades!$T$10="Stellar Coupling",POWER(Upgrades!$U$10,I89),1)*IF(Upgrades!$T$11="Stellar Coupling",POWER(Upgrades!$U$11,J89),1)*IF(Upgrades!$T$12="Stellar Coupling",POWER(Upgrades!$U$12,K89),1))+(IF(H89=0,0,(Upgrades!$G$9+H89*Upgrades!$H$9)*POWER(Upgrades!$I$9,H89)))*(IF(Upgrades!$T$6="Magnetosphere",POWER(Upgrades!$U$6,E89),1)*IF(Upgrades!$T$7="Magnetosphere",POWER(Upgrades!$U$7,F89),1)*IF(Upgrades!$T$8="Magnetosphere",POWER(Upgrades!$U$8,G89),1)*IF(Upgrades!$T$10="Magnetosphere",POWER(Upgrades!$U$10,I89),1)*IF(Upgrades!$T$11="Magnetosphere",POWER(Upgrades!$U$11,J89),1)*IF(Upgrades!$T$12="Magnetosphere",POWER(Upgrades!$U$12,K89),1))+(IF(I89=0,0,(Upgrades!$G$10+I89*Upgrades!$H$10)*POWER(Upgrades!$I$10,I89)))*(IF(Upgrades!$T$6="Orbital Resonance",POWER(Upgrades!$U$6,E89),1)*IF(Upgrades!$T$7="Orbital Resonance",POWER(Upgrades!$U$7,F89),1)*IF(Upgrades!$T$8="Orbital Resonance",POWER(Upgrades!$U$8,G89),1)*IF(Upgrades!$T$9="Orbital Resonance",POWER(Upgrades!$U$9,H89),1)*IF(Upgrades!$T$11="Orbital Resonance",POWER(Upgrades!$U$11,J89),1)*IF(Upgrades!$T$12="Orbital Resonance",POWER(Upgrades!$U$12,K89),1))+(IF(J89=0,0,(Upgrades!$G$11+J89*Upgrades!$H$11)*POWER(Upgrades!$I$11,J89)))*(IF(Upgrades!$T$6="Heliopause",POWER(Upgrades!$U$6,E89),1)*IF(Upgrades!$T$7="Heliopause",POWER(Upgrades!$U$7,F89),1)*IF(Upgrades!$T$8="Heliopause",POWER(Upgrades!$U$8,G89),1)*IF(Upgrades!$T$9="Heliopause",POWER(Upgrades!$U$9,H89),1)*IF(Upgrades!$T$10="Heliopause",POWER(Upgrades!$U$10,I89),1)*IF(Upgrades!$T$12="Heliopause",POWER(Upgrades!$U$12,K89),1))+(IF(K89=0,0,(Upgrades!$G$12+K89*Upgrades!$H$12)*POWER(Upgrades!$I$12,K89)))*(IF(Upgrades!$T$6="First Photons",POWER(Upgrades!$U$6,E89),1)*IF(Upgrades!$T$7="First Photons",POWER(Upgrades!$U$7,F89),1)*IF(Upgrades!$T$8="First Photons",POWER(Upgrades!$U$8,G89),1)*IF(Upgrades!$T$9="First Photons",POWER(Upgrades!$U$9,H89),1)*IF(Upgrades!$T$10="First Photons",POWER(Upgrades!$U$10,I89),1)*IF(Upgrades!$T$11="First Photons",POWER(Upgrades!$U$11,J89),1)))*POWER(Upgrades!$P$6,E89)*POWER(Upgrades!$P$7,F89)*POWER(Upgrades!$P$8,G89)*POWER(Upgrades!$P$9,H89)*POWER(Upgrades!$P$10,I89)*POWER(Upgrades!$P$11,J89)*POWER(Upgrades!$P$12,K89)</f>
        <v>11.2</v>
      </c>
      <c r="O89" s="28" t="n">
        <f aca="false">((IF(E89=0,0,(Upgrades!$M$6+E89*Upgrades!$N$6)*POWER(Upgrades!$O$6,E89)))*(IF(Upgrades!$T$7="Solar Wind",POWER(Upgrades!$U$7,F89),1)*IF(Upgrades!$T$8="Solar Wind",POWER(Upgrades!$U$8,G89),1)*IF(Upgrades!$T$9="Solar Wind",POWER(Upgrades!$U$9,H89),1)*IF(Upgrades!$T$10="Solar Wind",POWER(Upgrades!$U$10,I89),1)*IF(Upgrades!$T$11="Solar Wind",POWER(Upgrades!$U$11,J89),1)*IF(Upgrades!$T$12="Solar Wind",POWER(Upgrades!$U$12,K89),1))+(IF(F89=0,0,(Upgrades!$M$7+F89*Upgrades!$N$7)*POWER(Upgrades!$O$7,F89)))*(IF(Upgrades!$T$6="Asteroid Belt",POWER(Upgrades!$U$6,E89),1)*IF(Upgrades!$T$8="Asteroid Belt",POWER(Upgrades!$U$8,G89),1)*IF(Upgrades!$T$9="Asteroid Belt",POWER(Upgrades!$U$9,H89),1)*IF(Upgrades!$T$10="Asteroid Belt",POWER(Upgrades!$U$10,I89),1)*IF(Upgrades!$T$11="Asteroid Belt",POWER(Upgrades!$U$11,J89),1)*IF(Upgrades!$T$12="Asteroid Belt",POWER(Upgrades!$U$12,K89),1))+(IF(G89=0,0,(Upgrades!$M$8+G89*Upgrades!$N$8)*POWER(Upgrades!$O$8,G89)))*(IF(Upgrades!$T$6="Stellar Coupling",POWER(Upgrades!$U$6,E89),1)*IF(Upgrades!$T$7="Stellar Coupling",POWER(Upgrades!$U$7,F89),1)*IF(Upgrades!$T$9="Stellar Coupling",POWER(Upgrades!$U$9,H89),1)*IF(Upgrades!$T$10="Stellar Coupling",POWER(Upgrades!$U$10,I89),1)*IF(Upgrades!$T$11="Stellar Coupling",POWER(Upgrades!$U$11,J89),1)*IF(Upgrades!$T$12="Stellar Coupling",POWER(Upgrades!$U$12,K89),1))+(IF(H89=0,0,(Upgrades!$M$9+H89*Upgrades!$N$9)*POWER(Upgrades!$O$9,H89)))*(IF(Upgrades!$T$6="Magnetosphere",POWER(Upgrades!$U$6,E89),1)*IF(Upgrades!$T$7="Magnetosphere",POWER(Upgrades!$U$7,F89),1)*IF(Upgrades!$T$8="Magnetosphere",POWER(Upgrades!$U$8,G89),1)*IF(Upgrades!$T$10="Magnetosphere",POWER(Upgrades!$U$10,I89),1)*IF(Upgrades!$T$11="Magnetosphere",POWER(Upgrades!$U$11,J89),1)*IF(Upgrades!$T$12="Magnetosphere",POWER(Upgrades!$U$12,K89),1))+(IF(I89=0,0,(Upgrades!$M$10+I89*Upgrades!$N$10)*POWER(Upgrades!$O$10,I89)))*(IF(Upgrades!$T$6="Orbital Resonance",POWER(Upgrades!$U$6,E89),1)*IF(Upgrades!$T$7="Orbital Resonance",POWER(Upgrades!$U$7,F89),1)*IF(Upgrades!$T$8="Orbital Resonance",POWER(Upgrades!$U$8,G89),1)*IF(Upgrades!$T$9="Orbital Resonance",POWER(Upgrades!$U$9,H89),1)*IF(Upgrades!$T$11="Orbital Resonance",POWER(Upgrades!$U$11,J89),1)*IF(Upgrades!$T$12="Orbital Resonance",POWER(Upgrades!$U$12,K89),1))+(IF(J89=0,0,(Upgrades!$M$11+J89*Upgrades!$N$11)*POWER(Upgrades!$O$11,J89)))*(IF(Upgrades!$T$6="Heliopause",POWER(Upgrades!$U$6,E89),1)*IF(Upgrades!$T$7="Heliopause",POWER(Upgrades!$U$7,F89),1)*IF(Upgrades!$T$8="Heliopause",POWER(Upgrades!$U$8,G89),1)*IF(Upgrades!$T$9="Heliopause",POWER(Upgrades!$U$9,H89),1)*IF(Upgrades!$T$10="Heliopause",POWER(Upgrades!$U$10,I89),1)*IF(Upgrades!$T$12="Heliopause",POWER(Upgrades!$U$12,K89),1))+(IF(K89=0,0,(Upgrades!$M$12+K89*Upgrades!$N$12)*POWER(Upgrades!$O$12,K89)))*(IF(Upgrades!$T$6="First Photons",POWER(Upgrades!$U$6,E89),1)*IF(Upgrades!$T$7="First Photons",POWER(Upgrades!$U$7,F89),1)*IF(Upgrades!$T$8="First Photons",POWER(Upgrades!$U$8,G89),1)*IF(Upgrades!$T$9="First Photons",POWER(Upgrades!$U$9,H89),1)*IF(Upgrades!$T$10="First Photons",POWER(Upgrades!$U$10,I89),1)*IF(Upgrades!$T$11="First Photons",POWER(Upgrades!$U$11,J89),1)))*POWER(Upgrades!$R$6,E89)*POWER(Upgrades!$R$7,F89)*POWER(Upgrades!$R$8,G89)*POWER(Upgrades!$R$9,H89)*POWER(Upgrades!$R$10,I89)*POWER(Upgrades!$R$11,J89)*POWER(Upgrades!$R$12,K89)</f>
        <v>0</v>
      </c>
      <c r="P89" s="27" t="n">
        <f aca="false">IF(L89=1,0,M89*Parameters!$B$10/60*Parameters!$B$11*10)</f>
        <v>0</v>
      </c>
      <c r="Q89" s="27" t="n">
        <f aca="false">IF(L89=1,0,O89*M89*10)</f>
        <v>0</v>
      </c>
      <c r="R89" s="27" t="n">
        <f aca="false">IF(L89=1,0,N89*10)</f>
        <v>0</v>
      </c>
      <c r="S89" s="27" t="n">
        <f aca="false">P89+Q89+R89</f>
        <v>0</v>
      </c>
      <c r="T89" s="21" t="n">
        <f aca="false">C89+S89</f>
        <v>18.6730249835055</v>
      </c>
      <c r="U89" s="34" t="str">
        <f aca="false">AX89</f>
        <v/>
      </c>
      <c r="V89" s="21" t="n">
        <f aca="false">IF(U89="",0,IF(U89="transition",0,IF(U89="SW",AG89,IF(U89="AB",AH89,IF(U89="SC",AI89,IF(U89="Mag",AJ89,IF(U89="OR",AK89,IF(U89="HP",AL89,IF(U89="FP",AM89,0)))))))))</f>
        <v>0</v>
      </c>
      <c r="W89" s="27" t="n">
        <f aca="false">IF(U89="OR",Upgrades!$F$10,IF(U89="HP",Upgrades!$F$11,IF(U89="transition",-Parameters!$B$18,0)))</f>
        <v>0</v>
      </c>
      <c r="X89" s="21" t="n">
        <f aca="false">T89-V89</f>
        <v>18.6730249835055</v>
      </c>
      <c r="Y89" s="30" t="n">
        <f aca="false">M89*Parameters!$B$10/60*Parameters!$B$11+O89*M89+N89</f>
        <v>20.55</v>
      </c>
      <c r="Z89" s="35" t="str">
        <f aca="false">IF(U89="transition","→ Tier 2 (Stellar Neighborhood)",IF(U89="FP","First Photons — light begins, system quickens",IF(U89="HP","Heliopause acquired",IF(U89="OR","Orbital Resonance — passive multiplier active",IF(AND(AO89=1,L89=0,AN89&lt;&gt;1),"Cohesion ready (waiting on completionist upgrades)","")))))</f>
        <v/>
      </c>
      <c r="AA89" s="27" t="n">
        <f aca="false">(IF(E89=0,0,(Upgrades!$G$6+E89*Upgrades!$H$6)*POWER(Upgrades!$I$6,E89)))*(IF(Upgrades!$T$7="Solar Wind",POWER(Upgrades!$U$7,F89),1)*IF(Upgrades!$T$8="Solar Wind",POWER(Upgrades!$U$8,G89),1)*IF(Upgrades!$T$9="Solar Wind",POWER(Upgrades!$U$9,H89),1)*IF(Upgrades!$T$10="Solar Wind",POWER(Upgrades!$U$10,I89),1)*IF(Upgrades!$T$11="Solar Wind",POWER(Upgrades!$U$11,J89),1)*IF(Upgrades!$T$12="Solar Wind",POWER(Upgrades!$U$12,K89),1))*POWER(Upgrades!$P$6,E89)*POWER(Upgrades!$P$7,F89)*POWER(Upgrades!$P$8,G89)*POWER(Upgrades!$P$9,H89)*POWER(Upgrades!$P$10,I89)*POWER(Upgrades!$P$11,J89)*POWER(Upgrades!$P$12,K89)*60</f>
        <v>72</v>
      </c>
      <c r="AB89" s="27" t="n">
        <f aca="false">(IF(F89=0,0,(Upgrades!$G$7+F89*Upgrades!$H$7)*POWER(Upgrades!$I$7,F89)))*(IF(Upgrades!$T$6="Asteroid Belt",POWER(Upgrades!$U$6,E89),1)*IF(Upgrades!$T$8="Asteroid Belt",POWER(Upgrades!$U$8,G89),1)*IF(Upgrades!$T$9="Asteroid Belt",POWER(Upgrades!$U$9,H89),1)*IF(Upgrades!$T$10="Asteroid Belt",POWER(Upgrades!$U$10,I89),1)*IF(Upgrades!$T$11="Asteroid Belt",POWER(Upgrades!$U$11,J89),1)*IF(Upgrades!$T$12="Asteroid Belt",POWER(Upgrades!$U$12,K89),1))*POWER(Upgrades!$P$6,E89)*POWER(Upgrades!$P$7,F89)*POWER(Upgrades!$P$8,G89)*POWER(Upgrades!$P$9,H89)*POWER(Upgrades!$P$10,I89)*POWER(Upgrades!$P$11,J89)*POWER(Upgrades!$P$12,K89)*60</f>
        <v>150</v>
      </c>
      <c r="AC89" s="27" t="n">
        <f aca="false">(IF(G89=0,0,(Upgrades!$J$8+G89*Upgrades!$K$8)*POWER(Upgrades!$L$8,G89)))*(IF(Upgrades!$T$6="Stellar Coupling",POWER(Upgrades!$U$6,E89),1)*IF(Upgrades!$T$7="Stellar Coupling",POWER(Upgrades!$U$7,F89),1)*IF(Upgrades!$T$9="Stellar Coupling",POWER(Upgrades!$U$9,H89),1)*IF(Upgrades!$T$10="Stellar Coupling",POWER(Upgrades!$U$10,I89),1)*IF(Upgrades!$T$11="Stellar Coupling",POWER(Upgrades!$U$11,J89),1)*IF(Upgrades!$T$12="Stellar Coupling",POWER(Upgrades!$U$12,K89),1))*POWER(Upgrades!$Q$6,E89)*POWER(Upgrades!$Q$7,F89)*POWER(Upgrades!$Q$8,G89)*POWER(Upgrades!$Q$9,H89)*POWER(Upgrades!$Q$10,I89)*POWER(Upgrades!$Q$11,J89)*POWER(Upgrades!$Q$12,K89)*Parameters!$B$10*Parameters!$B$11</f>
        <v>441</v>
      </c>
      <c r="AD89" s="27" t="n">
        <f aca="false">(IF(H89=0,0,(Upgrades!$G$9+H89*Upgrades!$H$9)*POWER(Upgrades!$I$9,H89)))*(IF(Upgrades!$T$6="Magnetosphere",POWER(Upgrades!$U$6,E89),1)*IF(Upgrades!$T$7="Magnetosphere",POWER(Upgrades!$U$7,F89),1)*IF(Upgrades!$T$8="Magnetosphere",POWER(Upgrades!$U$8,G89),1)*IF(Upgrades!$T$10="Magnetosphere",POWER(Upgrades!$U$10,I89),1)*IF(Upgrades!$T$11="Magnetosphere",POWER(Upgrades!$U$11,J89),1)*IF(Upgrades!$T$12="Magnetosphere",POWER(Upgrades!$U$12,K89),1))*POWER(Upgrades!$P$6,E89)*POWER(Upgrades!$P$7,F89)*POWER(Upgrades!$P$8,G89)*POWER(Upgrades!$P$9,H89)*POWER(Upgrades!$P$10,I89)*POWER(Upgrades!$P$11,J89)*POWER(Upgrades!$P$12,K89)*60</f>
        <v>375</v>
      </c>
      <c r="AE89" s="27" t="n">
        <f aca="false">(IF(K89=0,0,(Upgrades!$G$12+K89*Upgrades!$H$12)*POWER(Upgrades!$I$12,K89)))*(IF(Upgrades!$T$6="First Photons",POWER(Upgrades!$U$6,E89),1)*IF(Upgrades!$T$7="First Photons",POWER(Upgrades!$U$7,F89),1)*IF(Upgrades!$T$8="First Photons",POWER(Upgrades!$U$8,G89),1)*IF(Upgrades!$T$9="First Photons",POWER(Upgrades!$U$9,H89),1)*IF(Upgrades!$T$10="First Photons",POWER(Upgrades!$U$10,I89),1)*IF(Upgrades!$T$11="First Photons",POWER(Upgrades!$U$11,J89),1))*POWER(Upgrades!$P$6,E89)*POWER(Upgrades!$P$7,F89)*POWER(Upgrades!$P$8,G89)*POWER(Upgrades!$P$9,H89)*POWER(Upgrades!$P$10,I89)*POWER(Upgrades!$P$11,J89)*POWER(Upgrades!$P$12,K89)*60</f>
        <v>75</v>
      </c>
      <c r="AF89" s="27" t="n">
        <f aca="false">Parameters!$B$9*POWER(Upgrades!$Q$6,E89)*POWER(Upgrades!$Q$7,F89)*POWER(Upgrades!$Q$8,G89)*POWER(Upgrades!$Q$9,H89)*POWER(Upgrades!$Q$10,I89)*POWER(Upgrades!$Q$11,J89)*POWER(Upgrades!$Q$12,K89)*(Parameters!$B$10*Parameters!$B$11+O89*60)</f>
        <v>120</v>
      </c>
      <c r="AG89" s="21" t="n">
        <f aca="false">IF(E89&gt;=Upgrades!$E$6,"",Upgrades!$C$6*POWER(Upgrades!$D$6,E89))</f>
        <v>37.4517507383159</v>
      </c>
      <c r="AH89" s="21" t="n">
        <f aca="false">IF(F89&gt;=Upgrades!$E$7,"",Upgrades!$C$7*POWER(Upgrades!$D$7,F89))</f>
        <v>80.9111547141581</v>
      </c>
      <c r="AI89" s="21" t="n">
        <f aca="false">IF(G89&gt;=Upgrades!$E$8,"",Upgrades!$C$8*POWER(Upgrades!$D$8,G89))</f>
        <v>231.9097088</v>
      </c>
      <c r="AJ89" s="21" t="str">
        <f aca="false">IF(H89&gt;=Upgrades!$E$9,"",Upgrades!$C$9*POWER(Upgrades!$D$9,H89))</f>
        <v/>
      </c>
      <c r="AK89" s="21" t="str">
        <f aca="false">IF(I89&gt;=Upgrades!$E$10,"",Upgrades!$C$10*POWER(Upgrades!$D$10,I89))</f>
        <v/>
      </c>
      <c r="AL89" s="21" t="str">
        <f aca="false">IF(J89&gt;=Upgrades!$E$11,"",Upgrades!$C$11*POWER(Upgrades!$D$11,J89))</f>
        <v/>
      </c>
      <c r="AM89" s="21" t="str">
        <f aca="false">IF(K89&gt;=Upgrades!$E$12,"",Upgrades!$C$12*POWER(Upgrades!$D$12,K89))</f>
        <v/>
      </c>
      <c r="AN89" s="26" t="str">
        <f aca="false">IF(AND(D89&gt;=Parameters!$B$18,(H89&gt;=Upgrades!$E$9)*(K89&gt;=Upgrades!$E$12)=1,L89=0),1,"")</f>
        <v/>
      </c>
      <c r="AO89" s="26" t="str">
        <f aca="false">IF(AND(D89&gt;=Parameters!$B$18,L89=0),1,"")</f>
        <v/>
      </c>
      <c r="AP89" s="21" t="n">
        <f aca="false">MIN(IF(ISNUMBER(AK89),AK89,9000000000000000),IF(ISNUMBER(AL89),AL89,9000000000000000),IF(ISNUMBER(AM89),AM89,9000000000000000))</f>
        <v>9000000000000000</v>
      </c>
      <c r="AQ89" s="21" t="n">
        <f aca="false">MIN(IF(ISNUMBER(AG89),AG89,9000000000000000),IF(ISNUMBER(AH89),AH89,9000000000000000),IF(ISNUMBER(AI89),AI89,9000000000000000),IF(ISNUMBER(AJ89),AJ89,9000000000000000))</f>
        <v>37.4517507383159</v>
      </c>
      <c r="AR89" s="32" t="b">
        <f aca="false">IF(AW89&gt;Parameters!$B$21*(MAX(IF(AND(NOT(AND(AO89=1,AN89&lt;&gt;1)),ISNUMBER(AG89),AG89&lt;=T89),AS89,0),IF(AND(NOT(AND(AO89=1,AN89&lt;&gt;1)),ISNUMBER(AH89),AH89&lt;=T89),AT89,0),IF(AND(NOT(AND(AO89=1,AN89&lt;&gt;1)),ISNUMBER(AI89),AI89&lt;=T89),AU89,0),IF(AND(ISNUMBER(AJ89),AJ89&lt;=T89),AV89,0))),TRUE(),FALSE())</f>
        <v>1</v>
      </c>
      <c r="AS89" s="33" t="n">
        <f aca="false">IFERROR(Upgrades!$H$6*(POWER(Upgrades!$P$6,E89)*POWER(Upgrades!$P$7,F89)*POWER(Upgrades!$P$8,G89)*POWER(Upgrades!$P$9,H89)*POWER(Upgrades!$P$10,I89)*POWER(Upgrades!$P$11,J89)*POWER(Upgrades!$P$12,K89))*(IF(Upgrades!$T$7="Solar Wind",POWER(Upgrades!$U$7,F89),1)*IF(Upgrades!$T$8="Solar Wind",POWER(Upgrades!$U$8,G89),1)*IF(Upgrades!$T$9="Solar Wind",POWER(Upgrades!$U$9,H89),1)*IF(Upgrades!$T$10="Solar Wind",POWER(Upgrades!$U$10,I89),1)*IF(Upgrades!$T$11="Solar Wind",POWER(Upgrades!$U$11,J89),1)*IF(Upgrades!$T$12="Solar Wind",POWER(Upgrades!$U$12,K89),1))/AG89,0)</f>
        <v>0.0026701021455238</v>
      </c>
      <c r="AT89" s="33" t="n">
        <f aca="false">IFERROR(Upgrades!$H$7*(POWER(Upgrades!$P$6,E89)*POWER(Upgrades!$P$7,F89)*POWER(Upgrades!$P$8,G89)*POWER(Upgrades!$P$9,H89)*POWER(Upgrades!$P$10,I89)*POWER(Upgrades!$P$11,J89)*POWER(Upgrades!$P$12,K89))*(IF(Upgrades!$T$6="Asteroid Belt",POWER(Upgrades!$U$6,E89),1)*IF(Upgrades!$T$8="Asteroid Belt",POWER(Upgrades!$U$8,G89),1)*IF(Upgrades!$T$9="Asteroid Belt",POWER(Upgrades!$U$9,H89),1)*IF(Upgrades!$T$10="Asteroid Belt",POWER(Upgrades!$U$10,I89),1)*IF(Upgrades!$T$11="Asteroid Belt",POWER(Upgrades!$U$11,J89),1)*IF(Upgrades!$T$12="Asteroid Belt",POWER(Upgrades!$U$12,K89),1))/AH89,0)</f>
        <v>0.00308980882652332</v>
      </c>
      <c r="AU89" s="33" t="n">
        <f aca="false">IFERROR(Upgrades!$K$8*(POWER(Upgrades!$Q$6,E89)*POWER(Upgrades!$Q$7,F89)*POWER(Upgrades!$Q$8,G89)*POWER(Upgrades!$Q$9,H89)*POWER(Upgrades!$Q$10,I89)*POWER(Upgrades!$Q$11,J89)*POWER(Upgrades!$Q$12,K89))*(IF(Upgrades!$T$6="Stellar Coupling",POWER(Upgrades!$U$6,E89),1)*IF(Upgrades!$T$7="Stellar Coupling",POWER(Upgrades!$U$7,F89),1)*IF(Upgrades!$T$9="Stellar Coupling",POWER(Upgrades!$U$9,H89),1)*IF(Upgrades!$T$10="Stellar Coupling",POWER(Upgrades!$U$10,I89),1)*IF(Upgrades!$T$11="Stellar Coupling",POWER(Upgrades!$U$11,J89),1)*IF(Upgrades!$T$12="Stellar Coupling",POWER(Upgrades!$U$12,K89),1))*Parameters!$B$10*Parameters!$B$11/60/AI89,0)</f>
        <v>0.00452762415783776</v>
      </c>
      <c r="AV89" s="33" t="n">
        <f aca="false">IFERROR(Upgrades!$H$9*(POWER(Upgrades!$P$6,E89)*POWER(Upgrades!$P$7,F89)*POWER(Upgrades!$P$8,G89)*POWER(Upgrades!$P$9,H89)*POWER(Upgrades!$P$10,I89)*POWER(Upgrades!$P$11,J89)*POWER(Upgrades!$P$12,K89))*(IF(Upgrades!$T$6="Magnetosphere",POWER(Upgrades!$U$6,E89),1)*IF(Upgrades!$T$7="Magnetosphere",POWER(Upgrades!$U$7,F89),1)*IF(Upgrades!$T$8="Magnetosphere",POWER(Upgrades!$U$8,G89),1)*IF(Upgrades!$T$10="Magnetosphere",POWER(Upgrades!$U$10,I89),1)*IF(Upgrades!$T$11="Magnetosphere",POWER(Upgrades!$U$11,J89),1)*IF(Upgrades!$T$12="Magnetosphere",POWER(Upgrades!$U$12,K89),1))/AJ89,0)</f>
        <v>0</v>
      </c>
      <c r="AW89" s="33" t="n">
        <f aca="false">MAX(IF(I89&gt;0,0,IFERROR(0.25*N89/Upgrades!$C$10,0)),IF(J89&gt;0,0,IFERROR(0.5*((IF(G89=0,0,(Upgrades!$J$8+G89*Upgrades!$K$8)*POWER(Upgrades!$L$8,G89)))*(IF(Upgrades!$T$6="Stellar Coupling",POWER(Upgrades!$U$6,E89),1)*IF(Upgrades!$T$7="Stellar Coupling",POWER(Upgrades!$U$7,F89),1)*IF(Upgrades!$T$9="Stellar Coupling",POWER(Upgrades!$U$9,H89),1)*IF(Upgrades!$T$10="Stellar Coupling",POWER(Upgrades!$U$10,I89),1)*IF(Upgrades!$T$11="Stellar Coupling",POWER(Upgrades!$U$11,J89),1)*IF(Upgrades!$T$12="Stellar Coupling",POWER(Upgrades!$U$12,K89),1))*(POWER(Upgrades!$Q$6,E89)*POWER(Upgrades!$Q$7,F89)*POWER(Upgrades!$Q$8,G89)*POWER(Upgrades!$Q$9,H89)*POWER(Upgrades!$Q$10,I89)*POWER(Upgrades!$Q$11,J89)*POWER(Upgrades!$Q$12,K89))*Parameters!$B$10*Parameters!$B$11/60)/Upgrades!$C$11,0)),IF(K89&gt;0,0,IFERROR((1*(POWER(Upgrades!$P$6,E89)*POWER(Upgrades!$P$7,F89)*POWER(Upgrades!$P$8,G89)*POWER(Upgrades!$P$9,H89)*POWER(Upgrades!$P$10,I89)*POWER(Upgrades!$P$11,J89)*POWER(Upgrades!$P$12,K89))+0.2*M89*Parameters!$B$10*Parameters!$B$11/60)/Upgrades!$C$12,0)),IF(AND(ISNUMBER(AG89),AG89&gt;T89),AS89,0),IF(AND(ISNUMBER(AH89),AH89&gt;T89),AT89,0),IF(AND(ISNUMBER(AI89),AI89&gt;T89),AU89,0),IF(AND(ISNUMBER(AJ89),AJ89&gt;T89),AV89,0))</f>
        <v>0.00452762415783776</v>
      </c>
      <c r="AX89" s="29" t="str">
        <f aca="false">IF(AN89=1,"transition",IF(MIN(IF(AND(I89=0,ISNUMBER(AK89),AK89&lt;=T89),AK89,9000000000000000),IF(AND(J89=0,ISNUMBER(AL89),AL89&lt;=T89),AL89,9000000000000000),IF(AND(K89=0,ISNUMBER(AM89),AM89&lt;=T89),AM89,9000000000000000))&lt;9000000000000000,IF(AND(AND(I89=0,ISNUMBER(AK89),AK89&lt;=T89),AK89=MIN(IF(AND(I89=0,ISNUMBER(AK89),AK89&lt;=T89),AK89,9000000000000000),IF(AND(J89=0,ISNUMBER(AL89),AL89&lt;=T89),AL89,9000000000000000),IF(AND(K89=0,ISNUMBER(AM89),AM89&lt;=T89),AM89,9000000000000000))),"OR",IF(AND(AND(J89=0,ISNUMBER(AL89),AL89&lt;=T89),AL89=MIN(IF(AND(I89=0,ISNUMBER(AK89),AK89&lt;=T89),AK89,9000000000000000),IF(AND(J89=0,ISNUMBER(AL89),AL89&lt;=T89),AL89,9000000000000000),IF(AND(K89=0,ISNUMBER(AM89),AM89&lt;=T89),AM89,9000000000000000))),"HP","FP")),IF(AR89=TRUE(),"",IF(MAX(IF(AND(NOT(AND(AO89=1,AN89&lt;&gt;1)),ISNUMBER(AG89),AG89&lt;=T89),AS89,0),IF(AND(NOT(AND(AO89=1,AN89&lt;&gt;1)),ISNUMBER(AH89),AH89&lt;=T89),AT89,0),IF(AND(NOT(AND(AO89=1,AN89&lt;&gt;1)),ISNUMBER(AI89),AI89&lt;=T89),AU89,0),IF(AND(ISNUMBER(AJ89),AJ89&lt;=T89),AV89,0))&lt;=0,"",IF(AND(IF(AND(NOT(AND(AO89=1,AN89&lt;&gt;1)),ISNUMBER(AG89),AG89&lt;=T89),AS89,0)&gt;0,IF(AND(NOT(AND(AO89=1,AN89&lt;&gt;1)),ISNUMBER(AG89),AG89&lt;=T89),AS89,0)=MAX(IF(AND(NOT(AND(AO89=1,AN89&lt;&gt;1)),ISNUMBER(AG89),AG89&lt;=T89),AS89,0),IF(AND(NOT(AND(AO89=1,AN89&lt;&gt;1)),ISNUMBER(AH89),AH89&lt;=T89),AT89,0),IF(AND(NOT(AND(AO89=1,AN89&lt;&gt;1)),ISNUMBER(AI89),AI89&lt;=T89),AU89,0),IF(AND(ISNUMBER(AJ89),AJ89&lt;=T89),AV89,0))),"SW",IF(AND(IF(AND(NOT(AND(AO89=1,AN89&lt;&gt;1)),ISNUMBER(AH89),AH89&lt;=T89),AT89,0)&gt;0,IF(AND(NOT(AND(AO89=1,AN89&lt;&gt;1)),ISNUMBER(AH89),AH89&lt;=T89),AT89,0)=MAX(IF(AND(NOT(AND(AO89=1,AN89&lt;&gt;1)),ISNUMBER(AG89),AG89&lt;=T89),AS89,0),IF(AND(NOT(AND(AO89=1,AN89&lt;&gt;1)),ISNUMBER(AH89),AH89&lt;=T89),AT89,0),IF(AND(NOT(AND(AO89=1,AN89&lt;&gt;1)),ISNUMBER(AI89),AI89&lt;=T89),AU89,0),IF(AND(ISNUMBER(AJ89),AJ89&lt;=T89),AV89,0))),"AB",IF(AND(IF(AND(NOT(AND(AO89=1,AN89&lt;&gt;1)),ISNUMBER(AI89),AI89&lt;=T89),AU89,0)&gt;0,IF(AND(NOT(AND(AO89=1,AN89&lt;&gt;1)),ISNUMBER(AI89),AI89&lt;=T89),AU89,0)=MAX(IF(AND(NOT(AND(AO89=1,AN89&lt;&gt;1)),ISNUMBER(AG89),AG89&lt;=T89),AS89,0),IF(AND(NOT(AND(AO89=1,AN89&lt;&gt;1)),ISNUMBER(AH89),AH89&lt;=T89),AT89,0),IF(AND(NOT(AND(AO89=1,AN89&lt;&gt;1)),ISNUMBER(AI89),AI89&lt;=T89),AU89,0),IF(AND(ISNUMBER(AJ89),AJ89&lt;=T89),AV89,0))),"SC","Mag")))))))</f>
        <v/>
      </c>
    </row>
    <row r="90" customFormat="false" ht="15" hidden="false" customHeight="false" outlineLevel="0" collapsed="false">
      <c r="A90" s="26" t="n">
        <v>85</v>
      </c>
      <c r="B90" s="27" t="n">
        <f aca="false">A90*10/60</f>
        <v>14.1666666666667</v>
      </c>
      <c r="C90" s="21" t="n">
        <f aca="false">X89</f>
        <v>18.6730249835055</v>
      </c>
      <c r="D90" s="27" t="n">
        <f aca="false">D89+W89</f>
        <v>0</v>
      </c>
      <c r="E90" s="26" t="n">
        <f aca="false">E89+IF(U89="SW",1,0)</f>
        <v>12</v>
      </c>
      <c r="F90" s="26" t="n">
        <f aca="false">F89+IF(U89="AB",1,0)</f>
        <v>10</v>
      </c>
      <c r="G90" s="26" t="n">
        <f aca="false">G89+IF(U89="SC",1,0)</f>
        <v>7</v>
      </c>
      <c r="H90" s="26" t="n">
        <f aca="false">H89+IF(U89="Mag",1,0)</f>
        <v>5</v>
      </c>
      <c r="I90" s="26" t="n">
        <f aca="false">MAX(I89,IF(U89="OR",1,0))</f>
        <v>1</v>
      </c>
      <c r="J90" s="26" t="n">
        <f aca="false">MAX(J89,IF(U89="HP",1,0))</f>
        <v>1</v>
      </c>
      <c r="K90" s="26" t="n">
        <f aca="false">MAX(K89,IF(U89="FP",1,0))</f>
        <v>1</v>
      </c>
      <c r="L90" s="26" t="n">
        <f aca="false">MAX(L89,IF(U89="transition",1,0))</f>
        <v>1</v>
      </c>
      <c r="M90" s="28" t="n">
        <f aca="false">(Parameters!$B$9+(IF(E90=0,0,(Upgrades!$J$6+E90*Upgrades!$K$6)*POWER(Upgrades!$L$6,E90)))*(IF(Upgrades!$T$7="Solar Wind",POWER(Upgrades!$U$7,F90),1)*IF(Upgrades!$T$8="Solar Wind",POWER(Upgrades!$U$8,G90),1)*IF(Upgrades!$T$9="Solar Wind",POWER(Upgrades!$U$9,H90),1)*IF(Upgrades!$T$10="Solar Wind",POWER(Upgrades!$U$10,I90),1)*IF(Upgrades!$T$11="Solar Wind",POWER(Upgrades!$U$11,J90),1)*IF(Upgrades!$T$12="Solar Wind",POWER(Upgrades!$U$12,K90),1))+(IF(F90=0,0,(Upgrades!$J$7+F90*Upgrades!$K$7)*POWER(Upgrades!$L$7,F90)))*(IF(Upgrades!$T$6="Asteroid Belt",POWER(Upgrades!$U$6,E90),1)*IF(Upgrades!$T$8="Asteroid Belt",POWER(Upgrades!$U$8,G90),1)*IF(Upgrades!$T$9="Asteroid Belt",POWER(Upgrades!$U$9,H90),1)*IF(Upgrades!$T$10="Asteroid Belt",POWER(Upgrades!$U$10,I90),1)*IF(Upgrades!$T$11="Asteroid Belt",POWER(Upgrades!$U$11,J90),1)*IF(Upgrades!$T$12="Asteroid Belt",POWER(Upgrades!$U$12,K90),1))+(IF(G90=0,0,(Upgrades!$J$8+G90*Upgrades!$K$8)*POWER(Upgrades!$L$8,G90)))*(IF(Upgrades!$T$6="Stellar Coupling",POWER(Upgrades!$U$6,E90),1)*IF(Upgrades!$T$7="Stellar Coupling",POWER(Upgrades!$U$7,F90),1)*IF(Upgrades!$T$9="Stellar Coupling",POWER(Upgrades!$U$9,H90),1)*IF(Upgrades!$T$10="Stellar Coupling",POWER(Upgrades!$U$10,I90),1)*IF(Upgrades!$T$11="Stellar Coupling",POWER(Upgrades!$U$11,J90),1)*IF(Upgrades!$T$12="Stellar Coupling",POWER(Upgrades!$U$12,K90),1))+(IF(H90=0,0,(Upgrades!$J$9+H90*Upgrades!$K$9)*POWER(Upgrades!$L$9,H90)))*(IF(Upgrades!$T$6="Magnetosphere",POWER(Upgrades!$U$6,E90),1)*IF(Upgrades!$T$7="Magnetosphere",POWER(Upgrades!$U$7,F90),1)*IF(Upgrades!$T$8="Magnetosphere",POWER(Upgrades!$U$8,G90),1)*IF(Upgrades!$T$10="Magnetosphere",POWER(Upgrades!$U$10,I90),1)*IF(Upgrades!$T$11="Magnetosphere",POWER(Upgrades!$U$11,J90),1)*IF(Upgrades!$T$12="Magnetosphere",POWER(Upgrades!$U$12,K90),1))+(IF(I90=0,0,(Upgrades!$J$10+I90*Upgrades!$K$10)*POWER(Upgrades!$L$10,I90)))*(IF(Upgrades!$T$6="Orbital Resonance",POWER(Upgrades!$U$6,E90),1)*IF(Upgrades!$T$7="Orbital Resonance",POWER(Upgrades!$U$7,F90),1)*IF(Upgrades!$T$8="Orbital Resonance",POWER(Upgrades!$U$8,G90),1)*IF(Upgrades!$T$9="Orbital Resonance",POWER(Upgrades!$U$9,H90),1)*IF(Upgrades!$T$11="Orbital Resonance",POWER(Upgrades!$U$11,J90),1)*IF(Upgrades!$T$12="Orbital Resonance",POWER(Upgrades!$U$12,K90),1))+(IF(J90=0,0,(Upgrades!$J$11+J90*Upgrades!$K$11)*POWER(Upgrades!$L$11,J90)))*(IF(Upgrades!$T$6="Heliopause",POWER(Upgrades!$U$6,E90),1)*IF(Upgrades!$T$7="Heliopause",POWER(Upgrades!$U$7,F90),1)*IF(Upgrades!$T$8="Heliopause",POWER(Upgrades!$U$8,G90),1)*IF(Upgrades!$T$9="Heliopause",POWER(Upgrades!$U$9,H90),1)*IF(Upgrades!$T$10="Heliopause",POWER(Upgrades!$U$10,I90),1)*IF(Upgrades!$T$12="Heliopause",POWER(Upgrades!$U$12,K90),1))+(IF(K90=0,0,(Upgrades!$J$12+K90*Upgrades!$K$12)*POWER(Upgrades!$L$12,K90)))*(IF(Upgrades!$T$6="First Photons",POWER(Upgrades!$U$6,E90),1)*IF(Upgrades!$T$7="First Photons",POWER(Upgrades!$U$7,F90),1)*IF(Upgrades!$T$8="First Photons",POWER(Upgrades!$U$8,G90),1)*IF(Upgrades!$T$9="First Photons",POWER(Upgrades!$U$9,H90),1)*IF(Upgrades!$T$10="First Photons",POWER(Upgrades!$U$10,I90),1)*IF(Upgrades!$T$11="First Photons",POWER(Upgrades!$U$11,J90),1)))*POWER(Upgrades!$Q$6,E90)*POWER(Upgrades!$Q$7,F90)*POWER(Upgrades!$Q$8,G90)*POWER(Upgrades!$Q$9,H90)*POWER(Upgrades!$Q$10,I90)*POWER(Upgrades!$Q$11,J90)*POWER(Upgrades!$Q$12,K90)</f>
        <v>5.61</v>
      </c>
      <c r="N90" s="28" t="n">
        <f aca="false">((IF(E90=0,0,(Upgrades!$G$6+E90*Upgrades!$H$6)*POWER(Upgrades!$I$6,E90)))*(IF(Upgrades!$T$7="Solar Wind",POWER(Upgrades!$U$7,F90),1)*IF(Upgrades!$T$8="Solar Wind",POWER(Upgrades!$U$8,G90),1)*IF(Upgrades!$T$9="Solar Wind",POWER(Upgrades!$U$9,H90),1)*IF(Upgrades!$T$10="Solar Wind",POWER(Upgrades!$U$10,I90),1)*IF(Upgrades!$T$11="Solar Wind",POWER(Upgrades!$U$11,J90),1)*IF(Upgrades!$T$12="Solar Wind",POWER(Upgrades!$U$12,K90),1))+(IF(F90=0,0,(Upgrades!$G$7+F90*Upgrades!$H$7)*POWER(Upgrades!$I$7,F90)))*(IF(Upgrades!$T$6="Asteroid Belt",POWER(Upgrades!$U$6,E90),1)*IF(Upgrades!$T$8="Asteroid Belt",POWER(Upgrades!$U$8,G90),1)*IF(Upgrades!$T$9="Asteroid Belt",POWER(Upgrades!$U$9,H90),1)*IF(Upgrades!$T$10="Asteroid Belt",POWER(Upgrades!$U$10,I90),1)*IF(Upgrades!$T$11="Asteroid Belt",POWER(Upgrades!$U$11,J90),1)*IF(Upgrades!$T$12="Asteroid Belt",POWER(Upgrades!$U$12,K90),1))+(IF(G90=0,0,(Upgrades!$G$8+G90*Upgrades!$H$8)*POWER(Upgrades!$I$8,G90)))*(IF(Upgrades!$T$6="Stellar Coupling",POWER(Upgrades!$U$6,E90),1)*IF(Upgrades!$T$7="Stellar Coupling",POWER(Upgrades!$U$7,F90),1)*IF(Upgrades!$T$9="Stellar Coupling",POWER(Upgrades!$U$9,H90),1)*IF(Upgrades!$T$10="Stellar Coupling",POWER(Upgrades!$U$10,I90),1)*IF(Upgrades!$T$11="Stellar Coupling",POWER(Upgrades!$U$11,J90),1)*IF(Upgrades!$T$12="Stellar Coupling",POWER(Upgrades!$U$12,K90),1))+(IF(H90=0,0,(Upgrades!$G$9+H90*Upgrades!$H$9)*POWER(Upgrades!$I$9,H90)))*(IF(Upgrades!$T$6="Magnetosphere",POWER(Upgrades!$U$6,E90),1)*IF(Upgrades!$T$7="Magnetosphere",POWER(Upgrades!$U$7,F90),1)*IF(Upgrades!$T$8="Magnetosphere",POWER(Upgrades!$U$8,G90),1)*IF(Upgrades!$T$10="Magnetosphere",POWER(Upgrades!$U$10,I90),1)*IF(Upgrades!$T$11="Magnetosphere",POWER(Upgrades!$U$11,J90),1)*IF(Upgrades!$T$12="Magnetosphere",POWER(Upgrades!$U$12,K90),1))+(IF(I90=0,0,(Upgrades!$G$10+I90*Upgrades!$H$10)*POWER(Upgrades!$I$10,I90)))*(IF(Upgrades!$T$6="Orbital Resonance",POWER(Upgrades!$U$6,E90),1)*IF(Upgrades!$T$7="Orbital Resonance",POWER(Upgrades!$U$7,F90),1)*IF(Upgrades!$T$8="Orbital Resonance",POWER(Upgrades!$U$8,G90),1)*IF(Upgrades!$T$9="Orbital Resonance",POWER(Upgrades!$U$9,H90),1)*IF(Upgrades!$T$11="Orbital Resonance",POWER(Upgrades!$U$11,J90),1)*IF(Upgrades!$T$12="Orbital Resonance",POWER(Upgrades!$U$12,K90),1))+(IF(J90=0,0,(Upgrades!$G$11+J90*Upgrades!$H$11)*POWER(Upgrades!$I$11,J90)))*(IF(Upgrades!$T$6="Heliopause",POWER(Upgrades!$U$6,E90),1)*IF(Upgrades!$T$7="Heliopause",POWER(Upgrades!$U$7,F90),1)*IF(Upgrades!$T$8="Heliopause",POWER(Upgrades!$U$8,G90),1)*IF(Upgrades!$T$9="Heliopause",POWER(Upgrades!$U$9,H90),1)*IF(Upgrades!$T$10="Heliopause",POWER(Upgrades!$U$10,I90),1)*IF(Upgrades!$T$12="Heliopause",POWER(Upgrades!$U$12,K90),1))+(IF(K90=0,0,(Upgrades!$G$12+K90*Upgrades!$H$12)*POWER(Upgrades!$I$12,K90)))*(IF(Upgrades!$T$6="First Photons",POWER(Upgrades!$U$6,E90),1)*IF(Upgrades!$T$7="First Photons",POWER(Upgrades!$U$7,F90),1)*IF(Upgrades!$T$8="First Photons",POWER(Upgrades!$U$8,G90),1)*IF(Upgrades!$T$9="First Photons",POWER(Upgrades!$U$9,H90),1)*IF(Upgrades!$T$10="First Photons",POWER(Upgrades!$U$10,I90),1)*IF(Upgrades!$T$11="First Photons",POWER(Upgrades!$U$11,J90),1)))*POWER(Upgrades!$P$6,E90)*POWER(Upgrades!$P$7,F90)*POWER(Upgrades!$P$8,G90)*POWER(Upgrades!$P$9,H90)*POWER(Upgrades!$P$10,I90)*POWER(Upgrades!$P$11,J90)*POWER(Upgrades!$P$12,K90)</f>
        <v>11.2</v>
      </c>
      <c r="O90" s="28" t="n">
        <f aca="false">((IF(E90=0,0,(Upgrades!$M$6+E90*Upgrades!$N$6)*POWER(Upgrades!$O$6,E90)))*(IF(Upgrades!$T$7="Solar Wind",POWER(Upgrades!$U$7,F90),1)*IF(Upgrades!$T$8="Solar Wind",POWER(Upgrades!$U$8,G90),1)*IF(Upgrades!$T$9="Solar Wind",POWER(Upgrades!$U$9,H90),1)*IF(Upgrades!$T$10="Solar Wind",POWER(Upgrades!$U$10,I90),1)*IF(Upgrades!$T$11="Solar Wind",POWER(Upgrades!$U$11,J90),1)*IF(Upgrades!$T$12="Solar Wind",POWER(Upgrades!$U$12,K90),1))+(IF(F90=0,0,(Upgrades!$M$7+F90*Upgrades!$N$7)*POWER(Upgrades!$O$7,F90)))*(IF(Upgrades!$T$6="Asteroid Belt",POWER(Upgrades!$U$6,E90),1)*IF(Upgrades!$T$8="Asteroid Belt",POWER(Upgrades!$U$8,G90),1)*IF(Upgrades!$T$9="Asteroid Belt",POWER(Upgrades!$U$9,H90),1)*IF(Upgrades!$T$10="Asteroid Belt",POWER(Upgrades!$U$10,I90),1)*IF(Upgrades!$T$11="Asteroid Belt",POWER(Upgrades!$U$11,J90),1)*IF(Upgrades!$T$12="Asteroid Belt",POWER(Upgrades!$U$12,K90),1))+(IF(G90=0,0,(Upgrades!$M$8+G90*Upgrades!$N$8)*POWER(Upgrades!$O$8,G90)))*(IF(Upgrades!$T$6="Stellar Coupling",POWER(Upgrades!$U$6,E90),1)*IF(Upgrades!$T$7="Stellar Coupling",POWER(Upgrades!$U$7,F90),1)*IF(Upgrades!$T$9="Stellar Coupling",POWER(Upgrades!$U$9,H90),1)*IF(Upgrades!$T$10="Stellar Coupling",POWER(Upgrades!$U$10,I90),1)*IF(Upgrades!$T$11="Stellar Coupling",POWER(Upgrades!$U$11,J90),1)*IF(Upgrades!$T$12="Stellar Coupling",POWER(Upgrades!$U$12,K90),1))+(IF(H90=0,0,(Upgrades!$M$9+H90*Upgrades!$N$9)*POWER(Upgrades!$O$9,H90)))*(IF(Upgrades!$T$6="Magnetosphere",POWER(Upgrades!$U$6,E90),1)*IF(Upgrades!$T$7="Magnetosphere",POWER(Upgrades!$U$7,F90),1)*IF(Upgrades!$T$8="Magnetosphere",POWER(Upgrades!$U$8,G90),1)*IF(Upgrades!$T$10="Magnetosphere",POWER(Upgrades!$U$10,I90),1)*IF(Upgrades!$T$11="Magnetosphere",POWER(Upgrades!$U$11,J90),1)*IF(Upgrades!$T$12="Magnetosphere",POWER(Upgrades!$U$12,K90),1))+(IF(I90=0,0,(Upgrades!$M$10+I90*Upgrades!$N$10)*POWER(Upgrades!$O$10,I90)))*(IF(Upgrades!$T$6="Orbital Resonance",POWER(Upgrades!$U$6,E90),1)*IF(Upgrades!$T$7="Orbital Resonance",POWER(Upgrades!$U$7,F90),1)*IF(Upgrades!$T$8="Orbital Resonance",POWER(Upgrades!$U$8,G90),1)*IF(Upgrades!$T$9="Orbital Resonance",POWER(Upgrades!$U$9,H90),1)*IF(Upgrades!$T$11="Orbital Resonance",POWER(Upgrades!$U$11,J90),1)*IF(Upgrades!$T$12="Orbital Resonance",POWER(Upgrades!$U$12,K90),1))+(IF(J90=0,0,(Upgrades!$M$11+J90*Upgrades!$N$11)*POWER(Upgrades!$O$11,J90)))*(IF(Upgrades!$T$6="Heliopause",POWER(Upgrades!$U$6,E90),1)*IF(Upgrades!$T$7="Heliopause",POWER(Upgrades!$U$7,F90),1)*IF(Upgrades!$T$8="Heliopause",POWER(Upgrades!$U$8,G90),1)*IF(Upgrades!$T$9="Heliopause",POWER(Upgrades!$U$9,H90),1)*IF(Upgrades!$T$10="Heliopause",POWER(Upgrades!$U$10,I90),1)*IF(Upgrades!$T$12="Heliopause",POWER(Upgrades!$U$12,K90),1))+(IF(K90=0,0,(Upgrades!$M$12+K90*Upgrades!$N$12)*POWER(Upgrades!$O$12,K90)))*(IF(Upgrades!$T$6="First Photons",POWER(Upgrades!$U$6,E90),1)*IF(Upgrades!$T$7="First Photons",POWER(Upgrades!$U$7,F90),1)*IF(Upgrades!$T$8="First Photons",POWER(Upgrades!$U$8,G90),1)*IF(Upgrades!$T$9="First Photons",POWER(Upgrades!$U$9,H90),1)*IF(Upgrades!$T$10="First Photons",POWER(Upgrades!$U$10,I90),1)*IF(Upgrades!$T$11="First Photons",POWER(Upgrades!$U$11,J90),1)))*POWER(Upgrades!$R$6,E90)*POWER(Upgrades!$R$7,F90)*POWER(Upgrades!$R$8,G90)*POWER(Upgrades!$R$9,H90)*POWER(Upgrades!$R$10,I90)*POWER(Upgrades!$R$11,J90)*POWER(Upgrades!$R$12,K90)</f>
        <v>0</v>
      </c>
      <c r="P90" s="27" t="n">
        <f aca="false">IF(L90=1,0,M90*Parameters!$B$10/60*Parameters!$B$11*10)</f>
        <v>0</v>
      </c>
      <c r="Q90" s="27" t="n">
        <f aca="false">IF(L90=1,0,O90*M90*10)</f>
        <v>0</v>
      </c>
      <c r="R90" s="27" t="n">
        <f aca="false">IF(L90=1,0,N90*10)</f>
        <v>0</v>
      </c>
      <c r="S90" s="27" t="n">
        <f aca="false">P90+Q90+R90</f>
        <v>0</v>
      </c>
      <c r="T90" s="21" t="n">
        <f aca="false">C90+S90</f>
        <v>18.6730249835055</v>
      </c>
      <c r="U90" s="34" t="str">
        <f aca="false">AX90</f>
        <v/>
      </c>
      <c r="V90" s="21" t="n">
        <f aca="false">IF(U90="",0,IF(U90="transition",0,IF(U90="SW",AG90,IF(U90="AB",AH90,IF(U90="SC",AI90,IF(U90="Mag",AJ90,IF(U90="OR",AK90,IF(U90="HP",AL90,IF(U90="FP",AM90,0)))))))))</f>
        <v>0</v>
      </c>
      <c r="W90" s="27" t="n">
        <f aca="false">IF(U90="OR",Upgrades!$F$10,IF(U90="HP",Upgrades!$F$11,IF(U90="transition",-Parameters!$B$18,0)))</f>
        <v>0</v>
      </c>
      <c r="X90" s="21" t="n">
        <f aca="false">T90-V90</f>
        <v>18.6730249835055</v>
      </c>
      <c r="Y90" s="30" t="n">
        <f aca="false">M90*Parameters!$B$10/60*Parameters!$B$11+O90*M90+N90</f>
        <v>20.55</v>
      </c>
      <c r="Z90" s="35" t="str">
        <f aca="false">IF(U90="transition","→ Tier 2 (Stellar Neighborhood)",IF(U90="FP","First Photons — light begins, system quickens",IF(U90="HP","Heliopause acquired",IF(U90="OR","Orbital Resonance — passive multiplier active",IF(AND(AO90=1,L90=0,AN90&lt;&gt;1),"Cohesion ready (waiting on completionist upgrades)","")))))</f>
        <v/>
      </c>
      <c r="AA90" s="27" t="n">
        <f aca="false">(IF(E90=0,0,(Upgrades!$G$6+E90*Upgrades!$H$6)*POWER(Upgrades!$I$6,E90)))*(IF(Upgrades!$T$7="Solar Wind",POWER(Upgrades!$U$7,F90),1)*IF(Upgrades!$T$8="Solar Wind",POWER(Upgrades!$U$8,G90),1)*IF(Upgrades!$T$9="Solar Wind",POWER(Upgrades!$U$9,H90),1)*IF(Upgrades!$T$10="Solar Wind",POWER(Upgrades!$U$10,I90),1)*IF(Upgrades!$T$11="Solar Wind",POWER(Upgrades!$U$11,J90),1)*IF(Upgrades!$T$12="Solar Wind",POWER(Upgrades!$U$12,K90),1))*POWER(Upgrades!$P$6,E90)*POWER(Upgrades!$P$7,F90)*POWER(Upgrades!$P$8,G90)*POWER(Upgrades!$P$9,H90)*POWER(Upgrades!$P$10,I90)*POWER(Upgrades!$P$11,J90)*POWER(Upgrades!$P$12,K90)*60</f>
        <v>72</v>
      </c>
      <c r="AB90" s="27" t="n">
        <f aca="false">(IF(F90=0,0,(Upgrades!$G$7+F90*Upgrades!$H$7)*POWER(Upgrades!$I$7,F90)))*(IF(Upgrades!$T$6="Asteroid Belt",POWER(Upgrades!$U$6,E90),1)*IF(Upgrades!$T$8="Asteroid Belt",POWER(Upgrades!$U$8,G90),1)*IF(Upgrades!$T$9="Asteroid Belt",POWER(Upgrades!$U$9,H90),1)*IF(Upgrades!$T$10="Asteroid Belt",POWER(Upgrades!$U$10,I90),1)*IF(Upgrades!$T$11="Asteroid Belt",POWER(Upgrades!$U$11,J90),1)*IF(Upgrades!$T$12="Asteroid Belt",POWER(Upgrades!$U$12,K90),1))*POWER(Upgrades!$P$6,E90)*POWER(Upgrades!$P$7,F90)*POWER(Upgrades!$P$8,G90)*POWER(Upgrades!$P$9,H90)*POWER(Upgrades!$P$10,I90)*POWER(Upgrades!$P$11,J90)*POWER(Upgrades!$P$12,K90)*60</f>
        <v>150</v>
      </c>
      <c r="AC90" s="27" t="n">
        <f aca="false">(IF(G90=0,0,(Upgrades!$J$8+G90*Upgrades!$K$8)*POWER(Upgrades!$L$8,G90)))*(IF(Upgrades!$T$6="Stellar Coupling",POWER(Upgrades!$U$6,E90),1)*IF(Upgrades!$T$7="Stellar Coupling",POWER(Upgrades!$U$7,F90),1)*IF(Upgrades!$T$9="Stellar Coupling",POWER(Upgrades!$U$9,H90),1)*IF(Upgrades!$T$10="Stellar Coupling",POWER(Upgrades!$U$10,I90),1)*IF(Upgrades!$T$11="Stellar Coupling",POWER(Upgrades!$U$11,J90),1)*IF(Upgrades!$T$12="Stellar Coupling",POWER(Upgrades!$U$12,K90),1))*POWER(Upgrades!$Q$6,E90)*POWER(Upgrades!$Q$7,F90)*POWER(Upgrades!$Q$8,G90)*POWER(Upgrades!$Q$9,H90)*POWER(Upgrades!$Q$10,I90)*POWER(Upgrades!$Q$11,J90)*POWER(Upgrades!$Q$12,K90)*Parameters!$B$10*Parameters!$B$11</f>
        <v>441</v>
      </c>
      <c r="AD90" s="27" t="n">
        <f aca="false">(IF(H90=0,0,(Upgrades!$G$9+H90*Upgrades!$H$9)*POWER(Upgrades!$I$9,H90)))*(IF(Upgrades!$T$6="Magnetosphere",POWER(Upgrades!$U$6,E90),1)*IF(Upgrades!$T$7="Magnetosphere",POWER(Upgrades!$U$7,F90),1)*IF(Upgrades!$T$8="Magnetosphere",POWER(Upgrades!$U$8,G90),1)*IF(Upgrades!$T$10="Magnetosphere",POWER(Upgrades!$U$10,I90),1)*IF(Upgrades!$T$11="Magnetosphere",POWER(Upgrades!$U$11,J90),1)*IF(Upgrades!$T$12="Magnetosphere",POWER(Upgrades!$U$12,K90),1))*POWER(Upgrades!$P$6,E90)*POWER(Upgrades!$P$7,F90)*POWER(Upgrades!$P$8,G90)*POWER(Upgrades!$P$9,H90)*POWER(Upgrades!$P$10,I90)*POWER(Upgrades!$P$11,J90)*POWER(Upgrades!$P$12,K90)*60</f>
        <v>375</v>
      </c>
      <c r="AE90" s="27" t="n">
        <f aca="false">(IF(K90=0,0,(Upgrades!$G$12+K90*Upgrades!$H$12)*POWER(Upgrades!$I$12,K90)))*(IF(Upgrades!$T$6="First Photons",POWER(Upgrades!$U$6,E90),1)*IF(Upgrades!$T$7="First Photons",POWER(Upgrades!$U$7,F90),1)*IF(Upgrades!$T$8="First Photons",POWER(Upgrades!$U$8,G90),1)*IF(Upgrades!$T$9="First Photons",POWER(Upgrades!$U$9,H90),1)*IF(Upgrades!$T$10="First Photons",POWER(Upgrades!$U$10,I90),1)*IF(Upgrades!$T$11="First Photons",POWER(Upgrades!$U$11,J90),1))*POWER(Upgrades!$P$6,E90)*POWER(Upgrades!$P$7,F90)*POWER(Upgrades!$P$8,G90)*POWER(Upgrades!$P$9,H90)*POWER(Upgrades!$P$10,I90)*POWER(Upgrades!$P$11,J90)*POWER(Upgrades!$P$12,K90)*60</f>
        <v>75</v>
      </c>
      <c r="AF90" s="27" t="n">
        <f aca="false">Parameters!$B$9*POWER(Upgrades!$Q$6,E90)*POWER(Upgrades!$Q$7,F90)*POWER(Upgrades!$Q$8,G90)*POWER(Upgrades!$Q$9,H90)*POWER(Upgrades!$Q$10,I90)*POWER(Upgrades!$Q$11,J90)*POWER(Upgrades!$Q$12,K90)*(Parameters!$B$10*Parameters!$B$11+O90*60)</f>
        <v>120</v>
      </c>
      <c r="AG90" s="21" t="n">
        <f aca="false">IF(E90&gt;=Upgrades!$E$6,"",Upgrades!$C$6*POWER(Upgrades!$D$6,E90))</f>
        <v>37.4517507383159</v>
      </c>
      <c r="AH90" s="21" t="n">
        <f aca="false">IF(F90&gt;=Upgrades!$E$7,"",Upgrades!$C$7*POWER(Upgrades!$D$7,F90))</f>
        <v>80.9111547141581</v>
      </c>
      <c r="AI90" s="21" t="n">
        <f aca="false">IF(G90&gt;=Upgrades!$E$8,"",Upgrades!$C$8*POWER(Upgrades!$D$8,G90))</f>
        <v>231.9097088</v>
      </c>
      <c r="AJ90" s="21" t="str">
        <f aca="false">IF(H90&gt;=Upgrades!$E$9,"",Upgrades!$C$9*POWER(Upgrades!$D$9,H90))</f>
        <v/>
      </c>
      <c r="AK90" s="21" t="str">
        <f aca="false">IF(I90&gt;=Upgrades!$E$10,"",Upgrades!$C$10*POWER(Upgrades!$D$10,I90))</f>
        <v/>
      </c>
      <c r="AL90" s="21" t="str">
        <f aca="false">IF(J90&gt;=Upgrades!$E$11,"",Upgrades!$C$11*POWER(Upgrades!$D$11,J90))</f>
        <v/>
      </c>
      <c r="AM90" s="21" t="str">
        <f aca="false">IF(K90&gt;=Upgrades!$E$12,"",Upgrades!$C$12*POWER(Upgrades!$D$12,K90))</f>
        <v/>
      </c>
      <c r="AN90" s="26" t="str">
        <f aca="false">IF(AND(D90&gt;=Parameters!$B$18,(H90&gt;=Upgrades!$E$9)*(K90&gt;=Upgrades!$E$12)=1,L90=0),1,"")</f>
        <v/>
      </c>
      <c r="AO90" s="26" t="str">
        <f aca="false">IF(AND(D90&gt;=Parameters!$B$18,L90=0),1,"")</f>
        <v/>
      </c>
      <c r="AP90" s="21" t="n">
        <f aca="false">MIN(IF(ISNUMBER(AK90),AK90,9000000000000000),IF(ISNUMBER(AL90),AL90,9000000000000000),IF(ISNUMBER(AM90),AM90,9000000000000000))</f>
        <v>9000000000000000</v>
      </c>
      <c r="AQ90" s="21" t="n">
        <f aca="false">MIN(IF(ISNUMBER(AG90),AG90,9000000000000000),IF(ISNUMBER(AH90),AH90,9000000000000000),IF(ISNUMBER(AI90),AI90,9000000000000000),IF(ISNUMBER(AJ90),AJ90,9000000000000000))</f>
        <v>37.4517507383159</v>
      </c>
      <c r="AR90" s="32" t="b">
        <f aca="false">IF(AW90&gt;Parameters!$B$21*(MAX(IF(AND(NOT(AND(AO90=1,AN90&lt;&gt;1)),ISNUMBER(AG90),AG90&lt;=T90),AS90,0),IF(AND(NOT(AND(AO90=1,AN90&lt;&gt;1)),ISNUMBER(AH90),AH90&lt;=T90),AT90,0),IF(AND(NOT(AND(AO90=1,AN90&lt;&gt;1)),ISNUMBER(AI90),AI90&lt;=T90),AU90,0),IF(AND(ISNUMBER(AJ90),AJ90&lt;=T90),AV90,0))),TRUE(),FALSE())</f>
        <v>1</v>
      </c>
      <c r="AS90" s="33" t="n">
        <f aca="false">IFERROR(Upgrades!$H$6*(POWER(Upgrades!$P$6,E90)*POWER(Upgrades!$P$7,F90)*POWER(Upgrades!$P$8,G90)*POWER(Upgrades!$P$9,H90)*POWER(Upgrades!$P$10,I90)*POWER(Upgrades!$P$11,J90)*POWER(Upgrades!$P$12,K90))*(IF(Upgrades!$T$7="Solar Wind",POWER(Upgrades!$U$7,F90),1)*IF(Upgrades!$T$8="Solar Wind",POWER(Upgrades!$U$8,G90),1)*IF(Upgrades!$T$9="Solar Wind",POWER(Upgrades!$U$9,H90),1)*IF(Upgrades!$T$10="Solar Wind",POWER(Upgrades!$U$10,I90),1)*IF(Upgrades!$T$11="Solar Wind",POWER(Upgrades!$U$11,J90),1)*IF(Upgrades!$T$12="Solar Wind",POWER(Upgrades!$U$12,K90),1))/AG90,0)</f>
        <v>0.0026701021455238</v>
      </c>
      <c r="AT90" s="33" t="n">
        <f aca="false">IFERROR(Upgrades!$H$7*(POWER(Upgrades!$P$6,E90)*POWER(Upgrades!$P$7,F90)*POWER(Upgrades!$P$8,G90)*POWER(Upgrades!$P$9,H90)*POWER(Upgrades!$P$10,I90)*POWER(Upgrades!$P$11,J90)*POWER(Upgrades!$P$12,K90))*(IF(Upgrades!$T$6="Asteroid Belt",POWER(Upgrades!$U$6,E90),1)*IF(Upgrades!$T$8="Asteroid Belt",POWER(Upgrades!$U$8,G90),1)*IF(Upgrades!$T$9="Asteroid Belt",POWER(Upgrades!$U$9,H90),1)*IF(Upgrades!$T$10="Asteroid Belt",POWER(Upgrades!$U$10,I90),1)*IF(Upgrades!$T$11="Asteroid Belt",POWER(Upgrades!$U$11,J90),1)*IF(Upgrades!$T$12="Asteroid Belt",POWER(Upgrades!$U$12,K90),1))/AH90,0)</f>
        <v>0.00308980882652332</v>
      </c>
      <c r="AU90" s="33" t="n">
        <f aca="false">IFERROR(Upgrades!$K$8*(POWER(Upgrades!$Q$6,E90)*POWER(Upgrades!$Q$7,F90)*POWER(Upgrades!$Q$8,G90)*POWER(Upgrades!$Q$9,H90)*POWER(Upgrades!$Q$10,I90)*POWER(Upgrades!$Q$11,J90)*POWER(Upgrades!$Q$12,K90))*(IF(Upgrades!$T$6="Stellar Coupling",POWER(Upgrades!$U$6,E90),1)*IF(Upgrades!$T$7="Stellar Coupling",POWER(Upgrades!$U$7,F90),1)*IF(Upgrades!$T$9="Stellar Coupling",POWER(Upgrades!$U$9,H90),1)*IF(Upgrades!$T$10="Stellar Coupling",POWER(Upgrades!$U$10,I90),1)*IF(Upgrades!$T$11="Stellar Coupling",POWER(Upgrades!$U$11,J90),1)*IF(Upgrades!$T$12="Stellar Coupling",POWER(Upgrades!$U$12,K90),1))*Parameters!$B$10*Parameters!$B$11/60/AI90,0)</f>
        <v>0.00452762415783776</v>
      </c>
      <c r="AV90" s="33" t="n">
        <f aca="false">IFERROR(Upgrades!$H$9*(POWER(Upgrades!$P$6,E90)*POWER(Upgrades!$P$7,F90)*POWER(Upgrades!$P$8,G90)*POWER(Upgrades!$P$9,H90)*POWER(Upgrades!$P$10,I90)*POWER(Upgrades!$P$11,J90)*POWER(Upgrades!$P$12,K90))*(IF(Upgrades!$T$6="Magnetosphere",POWER(Upgrades!$U$6,E90),1)*IF(Upgrades!$T$7="Magnetosphere",POWER(Upgrades!$U$7,F90),1)*IF(Upgrades!$T$8="Magnetosphere",POWER(Upgrades!$U$8,G90),1)*IF(Upgrades!$T$10="Magnetosphere",POWER(Upgrades!$U$10,I90),1)*IF(Upgrades!$T$11="Magnetosphere",POWER(Upgrades!$U$11,J90),1)*IF(Upgrades!$T$12="Magnetosphere",POWER(Upgrades!$U$12,K90),1))/AJ90,0)</f>
        <v>0</v>
      </c>
      <c r="AW90" s="33" t="n">
        <f aca="false">MAX(IF(I90&gt;0,0,IFERROR(0.25*N90/Upgrades!$C$10,0)),IF(J90&gt;0,0,IFERROR(0.5*((IF(G90=0,0,(Upgrades!$J$8+G90*Upgrades!$K$8)*POWER(Upgrades!$L$8,G90)))*(IF(Upgrades!$T$6="Stellar Coupling",POWER(Upgrades!$U$6,E90),1)*IF(Upgrades!$T$7="Stellar Coupling",POWER(Upgrades!$U$7,F90),1)*IF(Upgrades!$T$9="Stellar Coupling",POWER(Upgrades!$U$9,H90),1)*IF(Upgrades!$T$10="Stellar Coupling",POWER(Upgrades!$U$10,I90),1)*IF(Upgrades!$T$11="Stellar Coupling",POWER(Upgrades!$U$11,J90),1)*IF(Upgrades!$T$12="Stellar Coupling",POWER(Upgrades!$U$12,K90),1))*(POWER(Upgrades!$Q$6,E90)*POWER(Upgrades!$Q$7,F90)*POWER(Upgrades!$Q$8,G90)*POWER(Upgrades!$Q$9,H90)*POWER(Upgrades!$Q$10,I90)*POWER(Upgrades!$Q$11,J90)*POWER(Upgrades!$Q$12,K90))*Parameters!$B$10*Parameters!$B$11/60)/Upgrades!$C$11,0)),IF(K90&gt;0,0,IFERROR((1*(POWER(Upgrades!$P$6,E90)*POWER(Upgrades!$P$7,F90)*POWER(Upgrades!$P$8,G90)*POWER(Upgrades!$P$9,H90)*POWER(Upgrades!$P$10,I90)*POWER(Upgrades!$P$11,J90)*POWER(Upgrades!$P$12,K90))+0.2*M90*Parameters!$B$10*Parameters!$B$11/60)/Upgrades!$C$12,0)),IF(AND(ISNUMBER(AG90),AG90&gt;T90),AS90,0),IF(AND(ISNUMBER(AH90),AH90&gt;T90),AT90,0),IF(AND(ISNUMBER(AI90),AI90&gt;T90),AU90,0),IF(AND(ISNUMBER(AJ90),AJ90&gt;T90),AV90,0))</f>
        <v>0.00452762415783776</v>
      </c>
      <c r="AX90" s="29" t="str">
        <f aca="false">IF(AN90=1,"transition",IF(MIN(IF(AND(I90=0,ISNUMBER(AK90),AK90&lt;=T90),AK90,9000000000000000),IF(AND(J90=0,ISNUMBER(AL90),AL90&lt;=T90),AL90,9000000000000000),IF(AND(K90=0,ISNUMBER(AM90),AM90&lt;=T90),AM90,9000000000000000))&lt;9000000000000000,IF(AND(AND(I90=0,ISNUMBER(AK90),AK90&lt;=T90),AK90=MIN(IF(AND(I90=0,ISNUMBER(AK90),AK90&lt;=T90),AK90,9000000000000000),IF(AND(J90=0,ISNUMBER(AL90),AL90&lt;=T90),AL90,9000000000000000),IF(AND(K90=0,ISNUMBER(AM90),AM90&lt;=T90),AM90,9000000000000000))),"OR",IF(AND(AND(J90=0,ISNUMBER(AL90),AL90&lt;=T90),AL90=MIN(IF(AND(I90=0,ISNUMBER(AK90),AK90&lt;=T90),AK90,9000000000000000),IF(AND(J90=0,ISNUMBER(AL90),AL90&lt;=T90),AL90,9000000000000000),IF(AND(K90=0,ISNUMBER(AM90),AM90&lt;=T90),AM90,9000000000000000))),"HP","FP")),IF(AR90=TRUE(),"",IF(MAX(IF(AND(NOT(AND(AO90=1,AN90&lt;&gt;1)),ISNUMBER(AG90),AG90&lt;=T90),AS90,0),IF(AND(NOT(AND(AO90=1,AN90&lt;&gt;1)),ISNUMBER(AH90),AH90&lt;=T90),AT90,0),IF(AND(NOT(AND(AO90=1,AN90&lt;&gt;1)),ISNUMBER(AI90),AI90&lt;=T90),AU90,0),IF(AND(ISNUMBER(AJ90),AJ90&lt;=T90),AV90,0))&lt;=0,"",IF(AND(IF(AND(NOT(AND(AO90=1,AN90&lt;&gt;1)),ISNUMBER(AG90),AG90&lt;=T90),AS90,0)&gt;0,IF(AND(NOT(AND(AO90=1,AN90&lt;&gt;1)),ISNUMBER(AG90),AG90&lt;=T90),AS90,0)=MAX(IF(AND(NOT(AND(AO90=1,AN90&lt;&gt;1)),ISNUMBER(AG90),AG90&lt;=T90),AS90,0),IF(AND(NOT(AND(AO90=1,AN90&lt;&gt;1)),ISNUMBER(AH90),AH90&lt;=T90),AT90,0),IF(AND(NOT(AND(AO90=1,AN90&lt;&gt;1)),ISNUMBER(AI90),AI90&lt;=T90),AU90,0),IF(AND(ISNUMBER(AJ90),AJ90&lt;=T90),AV90,0))),"SW",IF(AND(IF(AND(NOT(AND(AO90=1,AN90&lt;&gt;1)),ISNUMBER(AH90),AH90&lt;=T90),AT90,0)&gt;0,IF(AND(NOT(AND(AO90=1,AN90&lt;&gt;1)),ISNUMBER(AH90),AH90&lt;=T90),AT90,0)=MAX(IF(AND(NOT(AND(AO90=1,AN90&lt;&gt;1)),ISNUMBER(AG90),AG90&lt;=T90),AS90,0),IF(AND(NOT(AND(AO90=1,AN90&lt;&gt;1)),ISNUMBER(AH90),AH90&lt;=T90),AT90,0),IF(AND(NOT(AND(AO90=1,AN90&lt;&gt;1)),ISNUMBER(AI90),AI90&lt;=T90),AU90,0),IF(AND(ISNUMBER(AJ90),AJ90&lt;=T90),AV90,0))),"AB",IF(AND(IF(AND(NOT(AND(AO90=1,AN90&lt;&gt;1)),ISNUMBER(AI90),AI90&lt;=T90),AU90,0)&gt;0,IF(AND(NOT(AND(AO90=1,AN90&lt;&gt;1)),ISNUMBER(AI90),AI90&lt;=T90),AU90,0)=MAX(IF(AND(NOT(AND(AO90=1,AN90&lt;&gt;1)),ISNUMBER(AG90),AG90&lt;=T90),AS90,0),IF(AND(NOT(AND(AO90=1,AN90&lt;&gt;1)),ISNUMBER(AH90),AH90&lt;=T90),AT90,0),IF(AND(NOT(AND(AO90=1,AN90&lt;&gt;1)),ISNUMBER(AI90),AI90&lt;=T90),AU90,0),IF(AND(ISNUMBER(AJ90),AJ90&lt;=T90),AV90,0))),"SC","Mag")))))))</f>
        <v/>
      </c>
    </row>
    <row r="91" customFormat="false" ht="15" hidden="false" customHeight="false" outlineLevel="0" collapsed="false">
      <c r="A91" s="26" t="n">
        <v>86</v>
      </c>
      <c r="B91" s="27" t="n">
        <f aca="false">A91*10/60</f>
        <v>14.3333333333333</v>
      </c>
      <c r="C91" s="21" t="n">
        <f aca="false">X90</f>
        <v>18.6730249835055</v>
      </c>
      <c r="D91" s="27" t="n">
        <f aca="false">D90+W90</f>
        <v>0</v>
      </c>
      <c r="E91" s="26" t="n">
        <f aca="false">E90+IF(U90="SW",1,0)</f>
        <v>12</v>
      </c>
      <c r="F91" s="26" t="n">
        <f aca="false">F90+IF(U90="AB",1,0)</f>
        <v>10</v>
      </c>
      <c r="G91" s="26" t="n">
        <f aca="false">G90+IF(U90="SC",1,0)</f>
        <v>7</v>
      </c>
      <c r="H91" s="26" t="n">
        <f aca="false">H90+IF(U90="Mag",1,0)</f>
        <v>5</v>
      </c>
      <c r="I91" s="26" t="n">
        <f aca="false">MAX(I90,IF(U90="OR",1,0))</f>
        <v>1</v>
      </c>
      <c r="J91" s="26" t="n">
        <f aca="false">MAX(J90,IF(U90="HP",1,0))</f>
        <v>1</v>
      </c>
      <c r="K91" s="26" t="n">
        <f aca="false">MAX(K90,IF(U90="FP",1,0))</f>
        <v>1</v>
      </c>
      <c r="L91" s="26" t="n">
        <f aca="false">MAX(L90,IF(U90="transition",1,0))</f>
        <v>1</v>
      </c>
      <c r="M91" s="28" t="n">
        <f aca="false">(Parameters!$B$9+(IF(E91=0,0,(Upgrades!$J$6+E91*Upgrades!$K$6)*POWER(Upgrades!$L$6,E91)))*(IF(Upgrades!$T$7="Solar Wind",POWER(Upgrades!$U$7,F91),1)*IF(Upgrades!$T$8="Solar Wind",POWER(Upgrades!$U$8,G91),1)*IF(Upgrades!$T$9="Solar Wind",POWER(Upgrades!$U$9,H91),1)*IF(Upgrades!$T$10="Solar Wind",POWER(Upgrades!$U$10,I91),1)*IF(Upgrades!$T$11="Solar Wind",POWER(Upgrades!$U$11,J91),1)*IF(Upgrades!$T$12="Solar Wind",POWER(Upgrades!$U$12,K91),1))+(IF(F91=0,0,(Upgrades!$J$7+F91*Upgrades!$K$7)*POWER(Upgrades!$L$7,F91)))*(IF(Upgrades!$T$6="Asteroid Belt",POWER(Upgrades!$U$6,E91),1)*IF(Upgrades!$T$8="Asteroid Belt",POWER(Upgrades!$U$8,G91),1)*IF(Upgrades!$T$9="Asteroid Belt",POWER(Upgrades!$U$9,H91),1)*IF(Upgrades!$T$10="Asteroid Belt",POWER(Upgrades!$U$10,I91),1)*IF(Upgrades!$T$11="Asteroid Belt",POWER(Upgrades!$U$11,J91),1)*IF(Upgrades!$T$12="Asteroid Belt",POWER(Upgrades!$U$12,K91),1))+(IF(G91=0,0,(Upgrades!$J$8+G91*Upgrades!$K$8)*POWER(Upgrades!$L$8,G91)))*(IF(Upgrades!$T$6="Stellar Coupling",POWER(Upgrades!$U$6,E91),1)*IF(Upgrades!$T$7="Stellar Coupling",POWER(Upgrades!$U$7,F91),1)*IF(Upgrades!$T$9="Stellar Coupling",POWER(Upgrades!$U$9,H91),1)*IF(Upgrades!$T$10="Stellar Coupling",POWER(Upgrades!$U$10,I91),1)*IF(Upgrades!$T$11="Stellar Coupling",POWER(Upgrades!$U$11,J91),1)*IF(Upgrades!$T$12="Stellar Coupling",POWER(Upgrades!$U$12,K91),1))+(IF(H91=0,0,(Upgrades!$J$9+H91*Upgrades!$K$9)*POWER(Upgrades!$L$9,H91)))*(IF(Upgrades!$T$6="Magnetosphere",POWER(Upgrades!$U$6,E91),1)*IF(Upgrades!$T$7="Magnetosphere",POWER(Upgrades!$U$7,F91),1)*IF(Upgrades!$T$8="Magnetosphere",POWER(Upgrades!$U$8,G91),1)*IF(Upgrades!$T$10="Magnetosphere",POWER(Upgrades!$U$10,I91),1)*IF(Upgrades!$T$11="Magnetosphere",POWER(Upgrades!$U$11,J91),1)*IF(Upgrades!$T$12="Magnetosphere",POWER(Upgrades!$U$12,K91),1))+(IF(I91=0,0,(Upgrades!$J$10+I91*Upgrades!$K$10)*POWER(Upgrades!$L$10,I91)))*(IF(Upgrades!$T$6="Orbital Resonance",POWER(Upgrades!$U$6,E91),1)*IF(Upgrades!$T$7="Orbital Resonance",POWER(Upgrades!$U$7,F91),1)*IF(Upgrades!$T$8="Orbital Resonance",POWER(Upgrades!$U$8,G91),1)*IF(Upgrades!$T$9="Orbital Resonance",POWER(Upgrades!$U$9,H91),1)*IF(Upgrades!$T$11="Orbital Resonance",POWER(Upgrades!$U$11,J91),1)*IF(Upgrades!$T$12="Orbital Resonance",POWER(Upgrades!$U$12,K91),1))+(IF(J91=0,0,(Upgrades!$J$11+J91*Upgrades!$K$11)*POWER(Upgrades!$L$11,J91)))*(IF(Upgrades!$T$6="Heliopause",POWER(Upgrades!$U$6,E91),1)*IF(Upgrades!$T$7="Heliopause",POWER(Upgrades!$U$7,F91),1)*IF(Upgrades!$T$8="Heliopause",POWER(Upgrades!$U$8,G91),1)*IF(Upgrades!$T$9="Heliopause",POWER(Upgrades!$U$9,H91),1)*IF(Upgrades!$T$10="Heliopause",POWER(Upgrades!$U$10,I91),1)*IF(Upgrades!$T$12="Heliopause",POWER(Upgrades!$U$12,K91),1))+(IF(K91=0,0,(Upgrades!$J$12+K91*Upgrades!$K$12)*POWER(Upgrades!$L$12,K91)))*(IF(Upgrades!$T$6="First Photons",POWER(Upgrades!$U$6,E91),1)*IF(Upgrades!$T$7="First Photons",POWER(Upgrades!$U$7,F91),1)*IF(Upgrades!$T$8="First Photons",POWER(Upgrades!$U$8,G91),1)*IF(Upgrades!$T$9="First Photons",POWER(Upgrades!$U$9,H91),1)*IF(Upgrades!$T$10="First Photons",POWER(Upgrades!$U$10,I91),1)*IF(Upgrades!$T$11="First Photons",POWER(Upgrades!$U$11,J91),1)))*POWER(Upgrades!$Q$6,E91)*POWER(Upgrades!$Q$7,F91)*POWER(Upgrades!$Q$8,G91)*POWER(Upgrades!$Q$9,H91)*POWER(Upgrades!$Q$10,I91)*POWER(Upgrades!$Q$11,J91)*POWER(Upgrades!$Q$12,K91)</f>
        <v>5.61</v>
      </c>
      <c r="N91" s="28" t="n">
        <f aca="false">((IF(E91=0,0,(Upgrades!$G$6+E91*Upgrades!$H$6)*POWER(Upgrades!$I$6,E91)))*(IF(Upgrades!$T$7="Solar Wind",POWER(Upgrades!$U$7,F91),1)*IF(Upgrades!$T$8="Solar Wind",POWER(Upgrades!$U$8,G91),1)*IF(Upgrades!$T$9="Solar Wind",POWER(Upgrades!$U$9,H91),1)*IF(Upgrades!$T$10="Solar Wind",POWER(Upgrades!$U$10,I91),1)*IF(Upgrades!$T$11="Solar Wind",POWER(Upgrades!$U$11,J91),1)*IF(Upgrades!$T$12="Solar Wind",POWER(Upgrades!$U$12,K91),1))+(IF(F91=0,0,(Upgrades!$G$7+F91*Upgrades!$H$7)*POWER(Upgrades!$I$7,F91)))*(IF(Upgrades!$T$6="Asteroid Belt",POWER(Upgrades!$U$6,E91),1)*IF(Upgrades!$T$8="Asteroid Belt",POWER(Upgrades!$U$8,G91),1)*IF(Upgrades!$T$9="Asteroid Belt",POWER(Upgrades!$U$9,H91),1)*IF(Upgrades!$T$10="Asteroid Belt",POWER(Upgrades!$U$10,I91),1)*IF(Upgrades!$T$11="Asteroid Belt",POWER(Upgrades!$U$11,J91),1)*IF(Upgrades!$T$12="Asteroid Belt",POWER(Upgrades!$U$12,K91),1))+(IF(G91=0,0,(Upgrades!$G$8+G91*Upgrades!$H$8)*POWER(Upgrades!$I$8,G91)))*(IF(Upgrades!$T$6="Stellar Coupling",POWER(Upgrades!$U$6,E91),1)*IF(Upgrades!$T$7="Stellar Coupling",POWER(Upgrades!$U$7,F91),1)*IF(Upgrades!$T$9="Stellar Coupling",POWER(Upgrades!$U$9,H91),1)*IF(Upgrades!$T$10="Stellar Coupling",POWER(Upgrades!$U$10,I91),1)*IF(Upgrades!$T$11="Stellar Coupling",POWER(Upgrades!$U$11,J91),1)*IF(Upgrades!$T$12="Stellar Coupling",POWER(Upgrades!$U$12,K91),1))+(IF(H91=0,0,(Upgrades!$G$9+H91*Upgrades!$H$9)*POWER(Upgrades!$I$9,H91)))*(IF(Upgrades!$T$6="Magnetosphere",POWER(Upgrades!$U$6,E91),1)*IF(Upgrades!$T$7="Magnetosphere",POWER(Upgrades!$U$7,F91),1)*IF(Upgrades!$T$8="Magnetosphere",POWER(Upgrades!$U$8,G91),1)*IF(Upgrades!$T$10="Magnetosphere",POWER(Upgrades!$U$10,I91),1)*IF(Upgrades!$T$11="Magnetosphere",POWER(Upgrades!$U$11,J91),1)*IF(Upgrades!$T$12="Magnetosphere",POWER(Upgrades!$U$12,K91),1))+(IF(I91=0,0,(Upgrades!$G$10+I91*Upgrades!$H$10)*POWER(Upgrades!$I$10,I91)))*(IF(Upgrades!$T$6="Orbital Resonance",POWER(Upgrades!$U$6,E91),1)*IF(Upgrades!$T$7="Orbital Resonance",POWER(Upgrades!$U$7,F91),1)*IF(Upgrades!$T$8="Orbital Resonance",POWER(Upgrades!$U$8,G91),1)*IF(Upgrades!$T$9="Orbital Resonance",POWER(Upgrades!$U$9,H91),1)*IF(Upgrades!$T$11="Orbital Resonance",POWER(Upgrades!$U$11,J91),1)*IF(Upgrades!$T$12="Orbital Resonance",POWER(Upgrades!$U$12,K91),1))+(IF(J91=0,0,(Upgrades!$G$11+J91*Upgrades!$H$11)*POWER(Upgrades!$I$11,J91)))*(IF(Upgrades!$T$6="Heliopause",POWER(Upgrades!$U$6,E91),1)*IF(Upgrades!$T$7="Heliopause",POWER(Upgrades!$U$7,F91),1)*IF(Upgrades!$T$8="Heliopause",POWER(Upgrades!$U$8,G91),1)*IF(Upgrades!$T$9="Heliopause",POWER(Upgrades!$U$9,H91),1)*IF(Upgrades!$T$10="Heliopause",POWER(Upgrades!$U$10,I91),1)*IF(Upgrades!$T$12="Heliopause",POWER(Upgrades!$U$12,K91),1))+(IF(K91=0,0,(Upgrades!$G$12+K91*Upgrades!$H$12)*POWER(Upgrades!$I$12,K91)))*(IF(Upgrades!$T$6="First Photons",POWER(Upgrades!$U$6,E91),1)*IF(Upgrades!$T$7="First Photons",POWER(Upgrades!$U$7,F91),1)*IF(Upgrades!$T$8="First Photons",POWER(Upgrades!$U$8,G91),1)*IF(Upgrades!$T$9="First Photons",POWER(Upgrades!$U$9,H91),1)*IF(Upgrades!$T$10="First Photons",POWER(Upgrades!$U$10,I91),1)*IF(Upgrades!$T$11="First Photons",POWER(Upgrades!$U$11,J91),1)))*POWER(Upgrades!$P$6,E91)*POWER(Upgrades!$P$7,F91)*POWER(Upgrades!$P$8,G91)*POWER(Upgrades!$P$9,H91)*POWER(Upgrades!$P$10,I91)*POWER(Upgrades!$P$11,J91)*POWER(Upgrades!$P$12,K91)</f>
        <v>11.2</v>
      </c>
      <c r="O91" s="28" t="n">
        <f aca="false">((IF(E91=0,0,(Upgrades!$M$6+E91*Upgrades!$N$6)*POWER(Upgrades!$O$6,E91)))*(IF(Upgrades!$T$7="Solar Wind",POWER(Upgrades!$U$7,F91),1)*IF(Upgrades!$T$8="Solar Wind",POWER(Upgrades!$U$8,G91),1)*IF(Upgrades!$T$9="Solar Wind",POWER(Upgrades!$U$9,H91),1)*IF(Upgrades!$T$10="Solar Wind",POWER(Upgrades!$U$10,I91),1)*IF(Upgrades!$T$11="Solar Wind",POWER(Upgrades!$U$11,J91),1)*IF(Upgrades!$T$12="Solar Wind",POWER(Upgrades!$U$12,K91),1))+(IF(F91=0,0,(Upgrades!$M$7+F91*Upgrades!$N$7)*POWER(Upgrades!$O$7,F91)))*(IF(Upgrades!$T$6="Asteroid Belt",POWER(Upgrades!$U$6,E91),1)*IF(Upgrades!$T$8="Asteroid Belt",POWER(Upgrades!$U$8,G91),1)*IF(Upgrades!$T$9="Asteroid Belt",POWER(Upgrades!$U$9,H91),1)*IF(Upgrades!$T$10="Asteroid Belt",POWER(Upgrades!$U$10,I91),1)*IF(Upgrades!$T$11="Asteroid Belt",POWER(Upgrades!$U$11,J91),1)*IF(Upgrades!$T$12="Asteroid Belt",POWER(Upgrades!$U$12,K91),1))+(IF(G91=0,0,(Upgrades!$M$8+G91*Upgrades!$N$8)*POWER(Upgrades!$O$8,G91)))*(IF(Upgrades!$T$6="Stellar Coupling",POWER(Upgrades!$U$6,E91),1)*IF(Upgrades!$T$7="Stellar Coupling",POWER(Upgrades!$U$7,F91),1)*IF(Upgrades!$T$9="Stellar Coupling",POWER(Upgrades!$U$9,H91),1)*IF(Upgrades!$T$10="Stellar Coupling",POWER(Upgrades!$U$10,I91),1)*IF(Upgrades!$T$11="Stellar Coupling",POWER(Upgrades!$U$11,J91),1)*IF(Upgrades!$T$12="Stellar Coupling",POWER(Upgrades!$U$12,K91),1))+(IF(H91=0,0,(Upgrades!$M$9+H91*Upgrades!$N$9)*POWER(Upgrades!$O$9,H91)))*(IF(Upgrades!$T$6="Magnetosphere",POWER(Upgrades!$U$6,E91),1)*IF(Upgrades!$T$7="Magnetosphere",POWER(Upgrades!$U$7,F91),1)*IF(Upgrades!$T$8="Magnetosphere",POWER(Upgrades!$U$8,G91),1)*IF(Upgrades!$T$10="Magnetosphere",POWER(Upgrades!$U$10,I91),1)*IF(Upgrades!$T$11="Magnetosphere",POWER(Upgrades!$U$11,J91),1)*IF(Upgrades!$T$12="Magnetosphere",POWER(Upgrades!$U$12,K91),1))+(IF(I91=0,0,(Upgrades!$M$10+I91*Upgrades!$N$10)*POWER(Upgrades!$O$10,I91)))*(IF(Upgrades!$T$6="Orbital Resonance",POWER(Upgrades!$U$6,E91),1)*IF(Upgrades!$T$7="Orbital Resonance",POWER(Upgrades!$U$7,F91),1)*IF(Upgrades!$T$8="Orbital Resonance",POWER(Upgrades!$U$8,G91),1)*IF(Upgrades!$T$9="Orbital Resonance",POWER(Upgrades!$U$9,H91),1)*IF(Upgrades!$T$11="Orbital Resonance",POWER(Upgrades!$U$11,J91),1)*IF(Upgrades!$T$12="Orbital Resonance",POWER(Upgrades!$U$12,K91),1))+(IF(J91=0,0,(Upgrades!$M$11+J91*Upgrades!$N$11)*POWER(Upgrades!$O$11,J91)))*(IF(Upgrades!$T$6="Heliopause",POWER(Upgrades!$U$6,E91),1)*IF(Upgrades!$T$7="Heliopause",POWER(Upgrades!$U$7,F91),1)*IF(Upgrades!$T$8="Heliopause",POWER(Upgrades!$U$8,G91),1)*IF(Upgrades!$T$9="Heliopause",POWER(Upgrades!$U$9,H91),1)*IF(Upgrades!$T$10="Heliopause",POWER(Upgrades!$U$10,I91),1)*IF(Upgrades!$T$12="Heliopause",POWER(Upgrades!$U$12,K91),1))+(IF(K91=0,0,(Upgrades!$M$12+K91*Upgrades!$N$12)*POWER(Upgrades!$O$12,K91)))*(IF(Upgrades!$T$6="First Photons",POWER(Upgrades!$U$6,E91),1)*IF(Upgrades!$T$7="First Photons",POWER(Upgrades!$U$7,F91),1)*IF(Upgrades!$T$8="First Photons",POWER(Upgrades!$U$8,G91),1)*IF(Upgrades!$T$9="First Photons",POWER(Upgrades!$U$9,H91),1)*IF(Upgrades!$T$10="First Photons",POWER(Upgrades!$U$10,I91),1)*IF(Upgrades!$T$11="First Photons",POWER(Upgrades!$U$11,J91),1)))*POWER(Upgrades!$R$6,E91)*POWER(Upgrades!$R$7,F91)*POWER(Upgrades!$R$8,G91)*POWER(Upgrades!$R$9,H91)*POWER(Upgrades!$R$10,I91)*POWER(Upgrades!$R$11,J91)*POWER(Upgrades!$R$12,K91)</f>
        <v>0</v>
      </c>
      <c r="P91" s="27" t="n">
        <f aca="false">IF(L91=1,0,M91*Parameters!$B$10/60*Parameters!$B$11*10)</f>
        <v>0</v>
      </c>
      <c r="Q91" s="27" t="n">
        <f aca="false">IF(L91=1,0,O91*M91*10)</f>
        <v>0</v>
      </c>
      <c r="R91" s="27" t="n">
        <f aca="false">IF(L91=1,0,N91*10)</f>
        <v>0</v>
      </c>
      <c r="S91" s="27" t="n">
        <f aca="false">P91+Q91+R91</f>
        <v>0</v>
      </c>
      <c r="T91" s="21" t="n">
        <f aca="false">C91+S91</f>
        <v>18.6730249835055</v>
      </c>
      <c r="U91" s="34" t="str">
        <f aca="false">AX91</f>
        <v/>
      </c>
      <c r="V91" s="21" t="n">
        <f aca="false">IF(U91="",0,IF(U91="transition",0,IF(U91="SW",AG91,IF(U91="AB",AH91,IF(U91="SC",AI91,IF(U91="Mag",AJ91,IF(U91="OR",AK91,IF(U91="HP",AL91,IF(U91="FP",AM91,0)))))))))</f>
        <v>0</v>
      </c>
      <c r="W91" s="27" t="n">
        <f aca="false">IF(U91="OR",Upgrades!$F$10,IF(U91="HP",Upgrades!$F$11,IF(U91="transition",-Parameters!$B$18,0)))</f>
        <v>0</v>
      </c>
      <c r="X91" s="21" t="n">
        <f aca="false">T91-V91</f>
        <v>18.6730249835055</v>
      </c>
      <c r="Y91" s="30" t="n">
        <f aca="false">M91*Parameters!$B$10/60*Parameters!$B$11+O91*M91+N91</f>
        <v>20.55</v>
      </c>
      <c r="Z91" s="35" t="str">
        <f aca="false">IF(U91="transition","→ Tier 2 (Stellar Neighborhood)",IF(U91="FP","First Photons — light begins, system quickens",IF(U91="HP","Heliopause acquired",IF(U91="OR","Orbital Resonance — passive multiplier active",IF(AND(AO91=1,L91=0,AN91&lt;&gt;1),"Cohesion ready (waiting on completionist upgrades)","")))))</f>
        <v/>
      </c>
      <c r="AA91" s="27" t="n">
        <f aca="false">(IF(E91=0,0,(Upgrades!$G$6+E91*Upgrades!$H$6)*POWER(Upgrades!$I$6,E91)))*(IF(Upgrades!$T$7="Solar Wind",POWER(Upgrades!$U$7,F91),1)*IF(Upgrades!$T$8="Solar Wind",POWER(Upgrades!$U$8,G91),1)*IF(Upgrades!$T$9="Solar Wind",POWER(Upgrades!$U$9,H91),1)*IF(Upgrades!$T$10="Solar Wind",POWER(Upgrades!$U$10,I91),1)*IF(Upgrades!$T$11="Solar Wind",POWER(Upgrades!$U$11,J91),1)*IF(Upgrades!$T$12="Solar Wind",POWER(Upgrades!$U$12,K91),1))*POWER(Upgrades!$P$6,E91)*POWER(Upgrades!$P$7,F91)*POWER(Upgrades!$P$8,G91)*POWER(Upgrades!$P$9,H91)*POWER(Upgrades!$P$10,I91)*POWER(Upgrades!$P$11,J91)*POWER(Upgrades!$P$12,K91)*60</f>
        <v>72</v>
      </c>
      <c r="AB91" s="27" t="n">
        <f aca="false">(IF(F91=0,0,(Upgrades!$G$7+F91*Upgrades!$H$7)*POWER(Upgrades!$I$7,F91)))*(IF(Upgrades!$T$6="Asteroid Belt",POWER(Upgrades!$U$6,E91),1)*IF(Upgrades!$T$8="Asteroid Belt",POWER(Upgrades!$U$8,G91),1)*IF(Upgrades!$T$9="Asteroid Belt",POWER(Upgrades!$U$9,H91),1)*IF(Upgrades!$T$10="Asteroid Belt",POWER(Upgrades!$U$10,I91),1)*IF(Upgrades!$T$11="Asteroid Belt",POWER(Upgrades!$U$11,J91),1)*IF(Upgrades!$T$12="Asteroid Belt",POWER(Upgrades!$U$12,K91),1))*POWER(Upgrades!$P$6,E91)*POWER(Upgrades!$P$7,F91)*POWER(Upgrades!$P$8,G91)*POWER(Upgrades!$P$9,H91)*POWER(Upgrades!$P$10,I91)*POWER(Upgrades!$P$11,J91)*POWER(Upgrades!$P$12,K91)*60</f>
        <v>150</v>
      </c>
      <c r="AC91" s="27" t="n">
        <f aca="false">(IF(G91=0,0,(Upgrades!$J$8+G91*Upgrades!$K$8)*POWER(Upgrades!$L$8,G91)))*(IF(Upgrades!$T$6="Stellar Coupling",POWER(Upgrades!$U$6,E91),1)*IF(Upgrades!$T$7="Stellar Coupling",POWER(Upgrades!$U$7,F91),1)*IF(Upgrades!$T$9="Stellar Coupling",POWER(Upgrades!$U$9,H91),1)*IF(Upgrades!$T$10="Stellar Coupling",POWER(Upgrades!$U$10,I91),1)*IF(Upgrades!$T$11="Stellar Coupling",POWER(Upgrades!$U$11,J91),1)*IF(Upgrades!$T$12="Stellar Coupling",POWER(Upgrades!$U$12,K91),1))*POWER(Upgrades!$Q$6,E91)*POWER(Upgrades!$Q$7,F91)*POWER(Upgrades!$Q$8,G91)*POWER(Upgrades!$Q$9,H91)*POWER(Upgrades!$Q$10,I91)*POWER(Upgrades!$Q$11,J91)*POWER(Upgrades!$Q$12,K91)*Parameters!$B$10*Parameters!$B$11</f>
        <v>441</v>
      </c>
      <c r="AD91" s="27" t="n">
        <f aca="false">(IF(H91=0,0,(Upgrades!$G$9+H91*Upgrades!$H$9)*POWER(Upgrades!$I$9,H91)))*(IF(Upgrades!$T$6="Magnetosphere",POWER(Upgrades!$U$6,E91),1)*IF(Upgrades!$T$7="Magnetosphere",POWER(Upgrades!$U$7,F91),1)*IF(Upgrades!$T$8="Magnetosphere",POWER(Upgrades!$U$8,G91),1)*IF(Upgrades!$T$10="Magnetosphere",POWER(Upgrades!$U$10,I91),1)*IF(Upgrades!$T$11="Magnetosphere",POWER(Upgrades!$U$11,J91),1)*IF(Upgrades!$T$12="Magnetosphere",POWER(Upgrades!$U$12,K91),1))*POWER(Upgrades!$P$6,E91)*POWER(Upgrades!$P$7,F91)*POWER(Upgrades!$P$8,G91)*POWER(Upgrades!$P$9,H91)*POWER(Upgrades!$P$10,I91)*POWER(Upgrades!$P$11,J91)*POWER(Upgrades!$P$12,K91)*60</f>
        <v>375</v>
      </c>
      <c r="AE91" s="27" t="n">
        <f aca="false">(IF(K91=0,0,(Upgrades!$G$12+K91*Upgrades!$H$12)*POWER(Upgrades!$I$12,K91)))*(IF(Upgrades!$T$6="First Photons",POWER(Upgrades!$U$6,E91),1)*IF(Upgrades!$T$7="First Photons",POWER(Upgrades!$U$7,F91),1)*IF(Upgrades!$T$8="First Photons",POWER(Upgrades!$U$8,G91),1)*IF(Upgrades!$T$9="First Photons",POWER(Upgrades!$U$9,H91),1)*IF(Upgrades!$T$10="First Photons",POWER(Upgrades!$U$10,I91),1)*IF(Upgrades!$T$11="First Photons",POWER(Upgrades!$U$11,J91),1))*POWER(Upgrades!$P$6,E91)*POWER(Upgrades!$P$7,F91)*POWER(Upgrades!$P$8,G91)*POWER(Upgrades!$P$9,H91)*POWER(Upgrades!$P$10,I91)*POWER(Upgrades!$P$11,J91)*POWER(Upgrades!$P$12,K91)*60</f>
        <v>75</v>
      </c>
      <c r="AF91" s="27" t="n">
        <f aca="false">Parameters!$B$9*POWER(Upgrades!$Q$6,E91)*POWER(Upgrades!$Q$7,F91)*POWER(Upgrades!$Q$8,G91)*POWER(Upgrades!$Q$9,H91)*POWER(Upgrades!$Q$10,I91)*POWER(Upgrades!$Q$11,J91)*POWER(Upgrades!$Q$12,K91)*(Parameters!$B$10*Parameters!$B$11+O91*60)</f>
        <v>120</v>
      </c>
      <c r="AG91" s="21" t="n">
        <f aca="false">IF(E91&gt;=Upgrades!$E$6,"",Upgrades!$C$6*POWER(Upgrades!$D$6,E91))</f>
        <v>37.4517507383159</v>
      </c>
      <c r="AH91" s="21" t="n">
        <f aca="false">IF(F91&gt;=Upgrades!$E$7,"",Upgrades!$C$7*POWER(Upgrades!$D$7,F91))</f>
        <v>80.9111547141581</v>
      </c>
      <c r="AI91" s="21" t="n">
        <f aca="false">IF(G91&gt;=Upgrades!$E$8,"",Upgrades!$C$8*POWER(Upgrades!$D$8,G91))</f>
        <v>231.9097088</v>
      </c>
      <c r="AJ91" s="21" t="str">
        <f aca="false">IF(H91&gt;=Upgrades!$E$9,"",Upgrades!$C$9*POWER(Upgrades!$D$9,H91))</f>
        <v/>
      </c>
      <c r="AK91" s="21" t="str">
        <f aca="false">IF(I91&gt;=Upgrades!$E$10,"",Upgrades!$C$10*POWER(Upgrades!$D$10,I91))</f>
        <v/>
      </c>
      <c r="AL91" s="21" t="str">
        <f aca="false">IF(J91&gt;=Upgrades!$E$11,"",Upgrades!$C$11*POWER(Upgrades!$D$11,J91))</f>
        <v/>
      </c>
      <c r="AM91" s="21" t="str">
        <f aca="false">IF(K91&gt;=Upgrades!$E$12,"",Upgrades!$C$12*POWER(Upgrades!$D$12,K91))</f>
        <v/>
      </c>
      <c r="AN91" s="26" t="str">
        <f aca="false">IF(AND(D91&gt;=Parameters!$B$18,(H91&gt;=Upgrades!$E$9)*(K91&gt;=Upgrades!$E$12)=1,L91=0),1,"")</f>
        <v/>
      </c>
      <c r="AO91" s="26" t="str">
        <f aca="false">IF(AND(D91&gt;=Parameters!$B$18,L91=0),1,"")</f>
        <v/>
      </c>
      <c r="AP91" s="21" t="n">
        <f aca="false">MIN(IF(ISNUMBER(AK91),AK91,9000000000000000),IF(ISNUMBER(AL91),AL91,9000000000000000),IF(ISNUMBER(AM91),AM91,9000000000000000))</f>
        <v>9000000000000000</v>
      </c>
      <c r="AQ91" s="21" t="n">
        <f aca="false">MIN(IF(ISNUMBER(AG91),AG91,9000000000000000),IF(ISNUMBER(AH91),AH91,9000000000000000),IF(ISNUMBER(AI91),AI91,9000000000000000),IF(ISNUMBER(AJ91),AJ91,9000000000000000))</f>
        <v>37.4517507383159</v>
      </c>
      <c r="AR91" s="32" t="b">
        <f aca="false">IF(AW91&gt;Parameters!$B$21*(MAX(IF(AND(NOT(AND(AO91=1,AN91&lt;&gt;1)),ISNUMBER(AG91),AG91&lt;=T91),AS91,0),IF(AND(NOT(AND(AO91=1,AN91&lt;&gt;1)),ISNUMBER(AH91),AH91&lt;=T91),AT91,0),IF(AND(NOT(AND(AO91=1,AN91&lt;&gt;1)),ISNUMBER(AI91),AI91&lt;=T91),AU91,0),IF(AND(ISNUMBER(AJ91),AJ91&lt;=T91),AV91,0))),TRUE(),FALSE())</f>
        <v>1</v>
      </c>
      <c r="AS91" s="33" t="n">
        <f aca="false">IFERROR(Upgrades!$H$6*(POWER(Upgrades!$P$6,E91)*POWER(Upgrades!$P$7,F91)*POWER(Upgrades!$P$8,G91)*POWER(Upgrades!$P$9,H91)*POWER(Upgrades!$P$10,I91)*POWER(Upgrades!$P$11,J91)*POWER(Upgrades!$P$12,K91))*(IF(Upgrades!$T$7="Solar Wind",POWER(Upgrades!$U$7,F91),1)*IF(Upgrades!$T$8="Solar Wind",POWER(Upgrades!$U$8,G91),1)*IF(Upgrades!$T$9="Solar Wind",POWER(Upgrades!$U$9,H91),1)*IF(Upgrades!$T$10="Solar Wind",POWER(Upgrades!$U$10,I91),1)*IF(Upgrades!$T$11="Solar Wind",POWER(Upgrades!$U$11,J91),1)*IF(Upgrades!$T$12="Solar Wind",POWER(Upgrades!$U$12,K91),1))/AG91,0)</f>
        <v>0.0026701021455238</v>
      </c>
      <c r="AT91" s="33" t="n">
        <f aca="false">IFERROR(Upgrades!$H$7*(POWER(Upgrades!$P$6,E91)*POWER(Upgrades!$P$7,F91)*POWER(Upgrades!$P$8,G91)*POWER(Upgrades!$P$9,H91)*POWER(Upgrades!$P$10,I91)*POWER(Upgrades!$P$11,J91)*POWER(Upgrades!$P$12,K91))*(IF(Upgrades!$T$6="Asteroid Belt",POWER(Upgrades!$U$6,E91),1)*IF(Upgrades!$T$8="Asteroid Belt",POWER(Upgrades!$U$8,G91),1)*IF(Upgrades!$T$9="Asteroid Belt",POWER(Upgrades!$U$9,H91),1)*IF(Upgrades!$T$10="Asteroid Belt",POWER(Upgrades!$U$10,I91),1)*IF(Upgrades!$T$11="Asteroid Belt",POWER(Upgrades!$U$11,J91),1)*IF(Upgrades!$T$12="Asteroid Belt",POWER(Upgrades!$U$12,K91),1))/AH91,0)</f>
        <v>0.00308980882652332</v>
      </c>
      <c r="AU91" s="33" t="n">
        <f aca="false">IFERROR(Upgrades!$K$8*(POWER(Upgrades!$Q$6,E91)*POWER(Upgrades!$Q$7,F91)*POWER(Upgrades!$Q$8,G91)*POWER(Upgrades!$Q$9,H91)*POWER(Upgrades!$Q$10,I91)*POWER(Upgrades!$Q$11,J91)*POWER(Upgrades!$Q$12,K91))*(IF(Upgrades!$T$6="Stellar Coupling",POWER(Upgrades!$U$6,E91),1)*IF(Upgrades!$T$7="Stellar Coupling",POWER(Upgrades!$U$7,F91),1)*IF(Upgrades!$T$9="Stellar Coupling",POWER(Upgrades!$U$9,H91),1)*IF(Upgrades!$T$10="Stellar Coupling",POWER(Upgrades!$U$10,I91),1)*IF(Upgrades!$T$11="Stellar Coupling",POWER(Upgrades!$U$11,J91),1)*IF(Upgrades!$T$12="Stellar Coupling",POWER(Upgrades!$U$12,K91),1))*Parameters!$B$10*Parameters!$B$11/60/AI91,0)</f>
        <v>0.00452762415783776</v>
      </c>
      <c r="AV91" s="33" t="n">
        <f aca="false">IFERROR(Upgrades!$H$9*(POWER(Upgrades!$P$6,E91)*POWER(Upgrades!$P$7,F91)*POWER(Upgrades!$P$8,G91)*POWER(Upgrades!$P$9,H91)*POWER(Upgrades!$P$10,I91)*POWER(Upgrades!$P$11,J91)*POWER(Upgrades!$P$12,K91))*(IF(Upgrades!$T$6="Magnetosphere",POWER(Upgrades!$U$6,E91),1)*IF(Upgrades!$T$7="Magnetosphere",POWER(Upgrades!$U$7,F91),1)*IF(Upgrades!$T$8="Magnetosphere",POWER(Upgrades!$U$8,G91),1)*IF(Upgrades!$T$10="Magnetosphere",POWER(Upgrades!$U$10,I91),1)*IF(Upgrades!$T$11="Magnetosphere",POWER(Upgrades!$U$11,J91),1)*IF(Upgrades!$T$12="Magnetosphere",POWER(Upgrades!$U$12,K91),1))/AJ91,0)</f>
        <v>0</v>
      </c>
      <c r="AW91" s="33" t="n">
        <f aca="false">MAX(IF(I91&gt;0,0,IFERROR(0.25*N91/Upgrades!$C$10,0)),IF(J91&gt;0,0,IFERROR(0.5*((IF(G91=0,0,(Upgrades!$J$8+G91*Upgrades!$K$8)*POWER(Upgrades!$L$8,G91)))*(IF(Upgrades!$T$6="Stellar Coupling",POWER(Upgrades!$U$6,E91),1)*IF(Upgrades!$T$7="Stellar Coupling",POWER(Upgrades!$U$7,F91),1)*IF(Upgrades!$T$9="Stellar Coupling",POWER(Upgrades!$U$9,H91),1)*IF(Upgrades!$T$10="Stellar Coupling",POWER(Upgrades!$U$10,I91),1)*IF(Upgrades!$T$11="Stellar Coupling",POWER(Upgrades!$U$11,J91),1)*IF(Upgrades!$T$12="Stellar Coupling",POWER(Upgrades!$U$12,K91),1))*(POWER(Upgrades!$Q$6,E91)*POWER(Upgrades!$Q$7,F91)*POWER(Upgrades!$Q$8,G91)*POWER(Upgrades!$Q$9,H91)*POWER(Upgrades!$Q$10,I91)*POWER(Upgrades!$Q$11,J91)*POWER(Upgrades!$Q$12,K91))*Parameters!$B$10*Parameters!$B$11/60)/Upgrades!$C$11,0)),IF(K91&gt;0,0,IFERROR((1*(POWER(Upgrades!$P$6,E91)*POWER(Upgrades!$P$7,F91)*POWER(Upgrades!$P$8,G91)*POWER(Upgrades!$P$9,H91)*POWER(Upgrades!$P$10,I91)*POWER(Upgrades!$P$11,J91)*POWER(Upgrades!$P$12,K91))+0.2*M91*Parameters!$B$10*Parameters!$B$11/60)/Upgrades!$C$12,0)),IF(AND(ISNUMBER(AG91),AG91&gt;T91),AS91,0),IF(AND(ISNUMBER(AH91),AH91&gt;T91),AT91,0),IF(AND(ISNUMBER(AI91),AI91&gt;T91),AU91,0),IF(AND(ISNUMBER(AJ91),AJ91&gt;T91),AV91,0))</f>
        <v>0.00452762415783776</v>
      </c>
      <c r="AX91" s="29" t="str">
        <f aca="false">IF(AN91=1,"transition",IF(MIN(IF(AND(I91=0,ISNUMBER(AK91),AK91&lt;=T91),AK91,9000000000000000),IF(AND(J91=0,ISNUMBER(AL91),AL91&lt;=T91),AL91,9000000000000000),IF(AND(K91=0,ISNUMBER(AM91),AM91&lt;=T91),AM91,9000000000000000))&lt;9000000000000000,IF(AND(AND(I91=0,ISNUMBER(AK91),AK91&lt;=T91),AK91=MIN(IF(AND(I91=0,ISNUMBER(AK91),AK91&lt;=T91),AK91,9000000000000000),IF(AND(J91=0,ISNUMBER(AL91),AL91&lt;=T91),AL91,9000000000000000),IF(AND(K91=0,ISNUMBER(AM91),AM91&lt;=T91),AM91,9000000000000000))),"OR",IF(AND(AND(J91=0,ISNUMBER(AL91),AL91&lt;=T91),AL91=MIN(IF(AND(I91=0,ISNUMBER(AK91),AK91&lt;=T91),AK91,9000000000000000),IF(AND(J91=0,ISNUMBER(AL91),AL91&lt;=T91),AL91,9000000000000000),IF(AND(K91=0,ISNUMBER(AM91),AM91&lt;=T91),AM91,9000000000000000))),"HP","FP")),IF(AR91=TRUE(),"",IF(MAX(IF(AND(NOT(AND(AO91=1,AN91&lt;&gt;1)),ISNUMBER(AG91),AG91&lt;=T91),AS91,0),IF(AND(NOT(AND(AO91=1,AN91&lt;&gt;1)),ISNUMBER(AH91),AH91&lt;=T91),AT91,0),IF(AND(NOT(AND(AO91=1,AN91&lt;&gt;1)),ISNUMBER(AI91),AI91&lt;=T91),AU91,0),IF(AND(ISNUMBER(AJ91),AJ91&lt;=T91),AV91,0))&lt;=0,"",IF(AND(IF(AND(NOT(AND(AO91=1,AN91&lt;&gt;1)),ISNUMBER(AG91),AG91&lt;=T91),AS91,0)&gt;0,IF(AND(NOT(AND(AO91=1,AN91&lt;&gt;1)),ISNUMBER(AG91),AG91&lt;=T91),AS91,0)=MAX(IF(AND(NOT(AND(AO91=1,AN91&lt;&gt;1)),ISNUMBER(AG91),AG91&lt;=T91),AS91,0),IF(AND(NOT(AND(AO91=1,AN91&lt;&gt;1)),ISNUMBER(AH91),AH91&lt;=T91),AT91,0),IF(AND(NOT(AND(AO91=1,AN91&lt;&gt;1)),ISNUMBER(AI91),AI91&lt;=T91),AU91,0),IF(AND(ISNUMBER(AJ91),AJ91&lt;=T91),AV91,0))),"SW",IF(AND(IF(AND(NOT(AND(AO91=1,AN91&lt;&gt;1)),ISNUMBER(AH91),AH91&lt;=T91),AT91,0)&gt;0,IF(AND(NOT(AND(AO91=1,AN91&lt;&gt;1)),ISNUMBER(AH91),AH91&lt;=T91),AT91,0)=MAX(IF(AND(NOT(AND(AO91=1,AN91&lt;&gt;1)),ISNUMBER(AG91),AG91&lt;=T91),AS91,0),IF(AND(NOT(AND(AO91=1,AN91&lt;&gt;1)),ISNUMBER(AH91),AH91&lt;=T91),AT91,0),IF(AND(NOT(AND(AO91=1,AN91&lt;&gt;1)),ISNUMBER(AI91),AI91&lt;=T91),AU91,0),IF(AND(ISNUMBER(AJ91),AJ91&lt;=T91),AV91,0))),"AB",IF(AND(IF(AND(NOT(AND(AO91=1,AN91&lt;&gt;1)),ISNUMBER(AI91),AI91&lt;=T91),AU91,0)&gt;0,IF(AND(NOT(AND(AO91=1,AN91&lt;&gt;1)),ISNUMBER(AI91),AI91&lt;=T91),AU91,0)=MAX(IF(AND(NOT(AND(AO91=1,AN91&lt;&gt;1)),ISNUMBER(AG91),AG91&lt;=T91),AS91,0),IF(AND(NOT(AND(AO91=1,AN91&lt;&gt;1)),ISNUMBER(AH91),AH91&lt;=T91),AT91,0),IF(AND(NOT(AND(AO91=1,AN91&lt;&gt;1)),ISNUMBER(AI91),AI91&lt;=T91),AU91,0),IF(AND(ISNUMBER(AJ91),AJ91&lt;=T91),AV91,0))),"SC","Mag")))))))</f>
        <v/>
      </c>
    </row>
    <row r="92" customFormat="false" ht="15" hidden="false" customHeight="false" outlineLevel="0" collapsed="false">
      <c r="A92" s="26" t="n">
        <v>87</v>
      </c>
      <c r="B92" s="27" t="n">
        <f aca="false">A92*10/60</f>
        <v>14.5</v>
      </c>
      <c r="C92" s="21" t="n">
        <f aca="false">X91</f>
        <v>18.6730249835055</v>
      </c>
      <c r="D92" s="27" t="n">
        <f aca="false">D91+W91</f>
        <v>0</v>
      </c>
      <c r="E92" s="26" t="n">
        <f aca="false">E91+IF(U91="SW",1,0)</f>
        <v>12</v>
      </c>
      <c r="F92" s="26" t="n">
        <f aca="false">F91+IF(U91="AB",1,0)</f>
        <v>10</v>
      </c>
      <c r="G92" s="26" t="n">
        <f aca="false">G91+IF(U91="SC",1,0)</f>
        <v>7</v>
      </c>
      <c r="H92" s="26" t="n">
        <f aca="false">H91+IF(U91="Mag",1,0)</f>
        <v>5</v>
      </c>
      <c r="I92" s="26" t="n">
        <f aca="false">MAX(I91,IF(U91="OR",1,0))</f>
        <v>1</v>
      </c>
      <c r="J92" s="26" t="n">
        <f aca="false">MAX(J91,IF(U91="HP",1,0))</f>
        <v>1</v>
      </c>
      <c r="K92" s="26" t="n">
        <f aca="false">MAX(K91,IF(U91="FP",1,0))</f>
        <v>1</v>
      </c>
      <c r="L92" s="26" t="n">
        <f aca="false">MAX(L91,IF(U91="transition",1,0))</f>
        <v>1</v>
      </c>
      <c r="M92" s="28" t="n">
        <f aca="false">(Parameters!$B$9+(IF(E92=0,0,(Upgrades!$J$6+E92*Upgrades!$K$6)*POWER(Upgrades!$L$6,E92)))*(IF(Upgrades!$T$7="Solar Wind",POWER(Upgrades!$U$7,F92),1)*IF(Upgrades!$T$8="Solar Wind",POWER(Upgrades!$U$8,G92),1)*IF(Upgrades!$T$9="Solar Wind",POWER(Upgrades!$U$9,H92),1)*IF(Upgrades!$T$10="Solar Wind",POWER(Upgrades!$U$10,I92),1)*IF(Upgrades!$T$11="Solar Wind",POWER(Upgrades!$U$11,J92),1)*IF(Upgrades!$T$12="Solar Wind",POWER(Upgrades!$U$12,K92),1))+(IF(F92=0,0,(Upgrades!$J$7+F92*Upgrades!$K$7)*POWER(Upgrades!$L$7,F92)))*(IF(Upgrades!$T$6="Asteroid Belt",POWER(Upgrades!$U$6,E92),1)*IF(Upgrades!$T$8="Asteroid Belt",POWER(Upgrades!$U$8,G92),1)*IF(Upgrades!$T$9="Asteroid Belt",POWER(Upgrades!$U$9,H92),1)*IF(Upgrades!$T$10="Asteroid Belt",POWER(Upgrades!$U$10,I92),1)*IF(Upgrades!$T$11="Asteroid Belt",POWER(Upgrades!$U$11,J92),1)*IF(Upgrades!$T$12="Asteroid Belt",POWER(Upgrades!$U$12,K92),1))+(IF(G92=0,0,(Upgrades!$J$8+G92*Upgrades!$K$8)*POWER(Upgrades!$L$8,G92)))*(IF(Upgrades!$T$6="Stellar Coupling",POWER(Upgrades!$U$6,E92),1)*IF(Upgrades!$T$7="Stellar Coupling",POWER(Upgrades!$U$7,F92),1)*IF(Upgrades!$T$9="Stellar Coupling",POWER(Upgrades!$U$9,H92),1)*IF(Upgrades!$T$10="Stellar Coupling",POWER(Upgrades!$U$10,I92),1)*IF(Upgrades!$T$11="Stellar Coupling",POWER(Upgrades!$U$11,J92),1)*IF(Upgrades!$T$12="Stellar Coupling",POWER(Upgrades!$U$12,K92),1))+(IF(H92=0,0,(Upgrades!$J$9+H92*Upgrades!$K$9)*POWER(Upgrades!$L$9,H92)))*(IF(Upgrades!$T$6="Magnetosphere",POWER(Upgrades!$U$6,E92),1)*IF(Upgrades!$T$7="Magnetosphere",POWER(Upgrades!$U$7,F92),1)*IF(Upgrades!$T$8="Magnetosphere",POWER(Upgrades!$U$8,G92),1)*IF(Upgrades!$T$10="Magnetosphere",POWER(Upgrades!$U$10,I92),1)*IF(Upgrades!$T$11="Magnetosphere",POWER(Upgrades!$U$11,J92),1)*IF(Upgrades!$T$12="Magnetosphere",POWER(Upgrades!$U$12,K92),1))+(IF(I92=0,0,(Upgrades!$J$10+I92*Upgrades!$K$10)*POWER(Upgrades!$L$10,I92)))*(IF(Upgrades!$T$6="Orbital Resonance",POWER(Upgrades!$U$6,E92),1)*IF(Upgrades!$T$7="Orbital Resonance",POWER(Upgrades!$U$7,F92),1)*IF(Upgrades!$T$8="Orbital Resonance",POWER(Upgrades!$U$8,G92),1)*IF(Upgrades!$T$9="Orbital Resonance",POWER(Upgrades!$U$9,H92),1)*IF(Upgrades!$T$11="Orbital Resonance",POWER(Upgrades!$U$11,J92),1)*IF(Upgrades!$T$12="Orbital Resonance",POWER(Upgrades!$U$12,K92),1))+(IF(J92=0,0,(Upgrades!$J$11+J92*Upgrades!$K$11)*POWER(Upgrades!$L$11,J92)))*(IF(Upgrades!$T$6="Heliopause",POWER(Upgrades!$U$6,E92),1)*IF(Upgrades!$T$7="Heliopause",POWER(Upgrades!$U$7,F92),1)*IF(Upgrades!$T$8="Heliopause",POWER(Upgrades!$U$8,G92),1)*IF(Upgrades!$T$9="Heliopause",POWER(Upgrades!$U$9,H92),1)*IF(Upgrades!$T$10="Heliopause",POWER(Upgrades!$U$10,I92),1)*IF(Upgrades!$T$12="Heliopause",POWER(Upgrades!$U$12,K92),1))+(IF(K92=0,0,(Upgrades!$J$12+K92*Upgrades!$K$12)*POWER(Upgrades!$L$12,K92)))*(IF(Upgrades!$T$6="First Photons",POWER(Upgrades!$U$6,E92),1)*IF(Upgrades!$T$7="First Photons",POWER(Upgrades!$U$7,F92),1)*IF(Upgrades!$T$8="First Photons",POWER(Upgrades!$U$8,G92),1)*IF(Upgrades!$T$9="First Photons",POWER(Upgrades!$U$9,H92),1)*IF(Upgrades!$T$10="First Photons",POWER(Upgrades!$U$10,I92),1)*IF(Upgrades!$T$11="First Photons",POWER(Upgrades!$U$11,J92),1)))*POWER(Upgrades!$Q$6,E92)*POWER(Upgrades!$Q$7,F92)*POWER(Upgrades!$Q$8,G92)*POWER(Upgrades!$Q$9,H92)*POWER(Upgrades!$Q$10,I92)*POWER(Upgrades!$Q$11,J92)*POWER(Upgrades!$Q$12,K92)</f>
        <v>5.61</v>
      </c>
      <c r="N92" s="28" t="n">
        <f aca="false">((IF(E92=0,0,(Upgrades!$G$6+E92*Upgrades!$H$6)*POWER(Upgrades!$I$6,E92)))*(IF(Upgrades!$T$7="Solar Wind",POWER(Upgrades!$U$7,F92),1)*IF(Upgrades!$T$8="Solar Wind",POWER(Upgrades!$U$8,G92),1)*IF(Upgrades!$T$9="Solar Wind",POWER(Upgrades!$U$9,H92),1)*IF(Upgrades!$T$10="Solar Wind",POWER(Upgrades!$U$10,I92),1)*IF(Upgrades!$T$11="Solar Wind",POWER(Upgrades!$U$11,J92),1)*IF(Upgrades!$T$12="Solar Wind",POWER(Upgrades!$U$12,K92),1))+(IF(F92=0,0,(Upgrades!$G$7+F92*Upgrades!$H$7)*POWER(Upgrades!$I$7,F92)))*(IF(Upgrades!$T$6="Asteroid Belt",POWER(Upgrades!$U$6,E92),1)*IF(Upgrades!$T$8="Asteroid Belt",POWER(Upgrades!$U$8,G92),1)*IF(Upgrades!$T$9="Asteroid Belt",POWER(Upgrades!$U$9,H92),1)*IF(Upgrades!$T$10="Asteroid Belt",POWER(Upgrades!$U$10,I92),1)*IF(Upgrades!$T$11="Asteroid Belt",POWER(Upgrades!$U$11,J92),1)*IF(Upgrades!$T$12="Asteroid Belt",POWER(Upgrades!$U$12,K92),1))+(IF(G92=0,0,(Upgrades!$G$8+G92*Upgrades!$H$8)*POWER(Upgrades!$I$8,G92)))*(IF(Upgrades!$T$6="Stellar Coupling",POWER(Upgrades!$U$6,E92),1)*IF(Upgrades!$T$7="Stellar Coupling",POWER(Upgrades!$U$7,F92),1)*IF(Upgrades!$T$9="Stellar Coupling",POWER(Upgrades!$U$9,H92),1)*IF(Upgrades!$T$10="Stellar Coupling",POWER(Upgrades!$U$10,I92),1)*IF(Upgrades!$T$11="Stellar Coupling",POWER(Upgrades!$U$11,J92),1)*IF(Upgrades!$T$12="Stellar Coupling",POWER(Upgrades!$U$12,K92),1))+(IF(H92=0,0,(Upgrades!$G$9+H92*Upgrades!$H$9)*POWER(Upgrades!$I$9,H92)))*(IF(Upgrades!$T$6="Magnetosphere",POWER(Upgrades!$U$6,E92),1)*IF(Upgrades!$T$7="Magnetosphere",POWER(Upgrades!$U$7,F92),1)*IF(Upgrades!$T$8="Magnetosphere",POWER(Upgrades!$U$8,G92),1)*IF(Upgrades!$T$10="Magnetosphere",POWER(Upgrades!$U$10,I92),1)*IF(Upgrades!$T$11="Magnetosphere",POWER(Upgrades!$U$11,J92),1)*IF(Upgrades!$T$12="Magnetosphere",POWER(Upgrades!$U$12,K92),1))+(IF(I92=0,0,(Upgrades!$G$10+I92*Upgrades!$H$10)*POWER(Upgrades!$I$10,I92)))*(IF(Upgrades!$T$6="Orbital Resonance",POWER(Upgrades!$U$6,E92),1)*IF(Upgrades!$T$7="Orbital Resonance",POWER(Upgrades!$U$7,F92),1)*IF(Upgrades!$T$8="Orbital Resonance",POWER(Upgrades!$U$8,G92),1)*IF(Upgrades!$T$9="Orbital Resonance",POWER(Upgrades!$U$9,H92),1)*IF(Upgrades!$T$11="Orbital Resonance",POWER(Upgrades!$U$11,J92),1)*IF(Upgrades!$T$12="Orbital Resonance",POWER(Upgrades!$U$12,K92),1))+(IF(J92=0,0,(Upgrades!$G$11+J92*Upgrades!$H$11)*POWER(Upgrades!$I$11,J92)))*(IF(Upgrades!$T$6="Heliopause",POWER(Upgrades!$U$6,E92),1)*IF(Upgrades!$T$7="Heliopause",POWER(Upgrades!$U$7,F92),1)*IF(Upgrades!$T$8="Heliopause",POWER(Upgrades!$U$8,G92),1)*IF(Upgrades!$T$9="Heliopause",POWER(Upgrades!$U$9,H92),1)*IF(Upgrades!$T$10="Heliopause",POWER(Upgrades!$U$10,I92),1)*IF(Upgrades!$T$12="Heliopause",POWER(Upgrades!$U$12,K92),1))+(IF(K92=0,0,(Upgrades!$G$12+K92*Upgrades!$H$12)*POWER(Upgrades!$I$12,K92)))*(IF(Upgrades!$T$6="First Photons",POWER(Upgrades!$U$6,E92),1)*IF(Upgrades!$T$7="First Photons",POWER(Upgrades!$U$7,F92),1)*IF(Upgrades!$T$8="First Photons",POWER(Upgrades!$U$8,G92),1)*IF(Upgrades!$T$9="First Photons",POWER(Upgrades!$U$9,H92),1)*IF(Upgrades!$T$10="First Photons",POWER(Upgrades!$U$10,I92),1)*IF(Upgrades!$T$11="First Photons",POWER(Upgrades!$U$11,J92),1)))*POWER(Upgrades!$P$6,E92)*POWER(Upgrades!$P$7,F92)*POWER(Upgrades!$P$8,G92)*POWER(Upgrades!$P$9,H92)*POWER(Upgrades!$P$10,I92)*POWER(Upgrades!$P$11,J92)*POWER(Upgrades!$P$12,K92)</f>
        <v>11.2</v>
      </c>
      <c r="O92" s="28" t="n">
        <f aca="false">((IF(E92=0,0,(Upgrades!$M$6+E92*Upgrades!$N$6)*POWER(Upgrades!$O$6,E92)))*(IF(Upgrades!$T$7="Solar Wind",POWER(Upgrades!$U$7,F92),1)*IF(Upgrades!$T$8="Solar Wind",POWER(Upgrades!$U$8,G92),1)*IF(Upgrades!$T$9="Solar Wind",POWER(Upgrades!$U$9,H92),1)*IF(Upgrades!$T$10="Solar Wind",POWER(Upgrades!$U$10,I92),1)*IF(Upgrades!$T$11="Solar Wind",POWER(Upgrades!$U$11,J92),1)*IF(Upgrades!$T$12="Solar Wind",POWER(Upgrades!$U$12,K92),1))+(IF(F92=0,0,(Upgrades!$M$7+F92*Upgrades!$N$7)*POWER(Upgrades!$O$7,F92)))*(IF(Upgrades!$T$6="Asteroid Belt",POWER(Upgrades!$U$6,E92),1)*IF(Upgrades!$T$8="Asteroid Belt",POWER(Upgrades!$U$8,G92),1)*IF(Upgrades!$T$9="Asteroid Belt",POWER(Upgrades!$U$9,H92),1)*IF(Upgrades!$T$10="Asteroid Belt",POWER(Upgrades!$U$10,I92),1)*IF(Upgrades!$T$11="Asteroid Belt",POWER(Upgrades!$U$11,J92),1)*IF(Upgrades!$T$12="Asteroid Belt",POWER(Upgrades!$U$12,K92),1))+(IF(G92=0,0,(Upgrades!$M$8+G92*Upgrades!$N$8)*POWER(Upgrades!$O$8,G92)))*(IF(Upgrades!$T$6="Stellar Coupling",POWER(Upgrades!$U$6,E92),1)*IF(Upgrades!$T$7="Stellar Coupling",POWER(Upgrades!$U$7,F92),1)*IF(Upgrades!$T$9="Stellar Coupling",POWER(Upgrades!$U$9,H92),1)*IF(Upgrades!$T$10="Stellar Coupling",POWER(Upgrades!$U$10,I92),1)*IF(Upgrades!$T$11="Stellar Coupling",POWER(Upgrades!$U$11,J92),1)*IF(Upgrades!$T$12="Stellar Coupling",POWER(Upgrades!$U$12,K92),1))+(IF(H92=0,0,(Upgrades!$M$9+H92*Upgrades!$N$9)*POWER(Upgrades!$O$9,H92)))*(IF(Upgrades!$T$6="Magnetosphere",POWER(Upgrades!$U$6,E92),1)*IF(Upgrades!$T$7="Magnetosphere",POWER(Upgrades!$U$7,F92),1)*IF(Upgrades!$T$8="Magnetosphere",POWER(Upgrades!$U$8,G92),1)*IF(Upgrades!$T$10="Magnetosphere",POWER(Upgrades!$U$10,I92),1)*IF(Upgrades!$T$11="Magnetosphere",POWER(Upgrades!$U$11,J92),1)*IF(Upgrades!$T$12="Magnetosphere",POWER(Upgrades!$U$12,K92),1))+(IF(I92=0,0,(Upgrades!$M$10+I92*Upgrades!$N$10)*POWER(Upgrades!$O$10,I92)))*(IF(Upgrades!$T$6="Orbital Resonance",POWER(Upgrades!$U$6,E92),1)*IF(Upgrades!$T$7="Orbital Resonance",POWER(Upgrades!$U$7,F92),1)*IF(Upgrades!$T$8="Orbital Resonance",POWER(Upgrades!$U$8,G92),1)*IF(Upgrades!$T$9="Orbital Resonance",POWER(Upgrades!$U$9,H92),1)*IF(Upgrades!$T$11="Orbital Resonance",POWER(Upgrades!$U$11,J92),1)*IF(Upgrades!$T$12="Orbital Resonance",POWER(Upgrades!$U$12,K92),1))+(IF(J92=0,0,(Upgrades!$M$11+J92*Upgrades!$N$11)*POWER(Upgrades!$O$11,J92)))*(IF(Upgrades!$T$6="Heliopause",POWER(Upgrades!$U$6,E92),1)*IF(Upgrades!$T$7="Heliopause",POWER(Upgrades!$U$7,F92),1)*IF(Upgrades!$T$8="Heliopause",POWER(Upgrades!$U$8,G92),1)*IF(Upgrades!$T$9="Heliopause",POWER(Upgrades!$U$9,H92),1)*IF(Upgrades!$T$10="Heliopause",POWER(Upgrades!$U$10,I92),1)*IF(Upgrades!$T$12="Heliopause",POWER(Upgrades!$U$12,K92),1))+(IF(K92=0,0,(Upgrades!$M$12+K92*Upgrades!$N$12)*POWER(Upgrades!$O$12,K92)))*(IF(Upgrades!$T$6="First Photons",POWER(Upgrades!$U$6,E92),1)*IF(Upgrades!$T$7="First Photons",POWER(Upgrades!$U$7,F92),1)*IF(Upgrades!$T$8="First Photons",POWER(Upgrades!$U$8,G92),1)*IF(Upgrades!$T$9="First Photons",POWER(Upgrades!$U$9,H92),1)*IF(Upgrades!$T$10="First Photons",POWER(Upgrades!$U$10,I92),1)*IF(Upgrades!$T$11="First Photons",POWER(Upgrades!$U$11,J92),1)))*POWER(Upgrades!$R$6,E92)*POWER(Upgrades!$R$7,F92)*POWER(Upgrades!$R$8,G92)*POWER(Upgrades!$R$9,H92)*POWER(Upgrades!$R$10,I92)*POWER(Upgrades!$R$11,J92)*POWER(Upgrades!$R$12,K92)</f>
        <v>0</v>
      </c>
      <c r="P92" s="27" t="n">
        <f aca="false">IF(L92=1,0,M92*Parameters!$B$10/60*Parameters!$B$11*10)</f>
        <v>0</v>
      </c>
      <c r="Q92" s="27" t="n">
        <f aca="false">IF(L92=1,0,O92*M92*10)</f>
        <v>0</v>
      </c>
      <c r="R92" s="27" t="n">
        <f aca="false">IF(L92=1,0,N92*10)</f>
        <v>0</v>
      </c>
      <c r="S92" s="27" t="n">
        <f aca="false">P92+Q92+R92</f>
        <v>0</v>
      </c>
      <c r="T92" s="21" t="n">
        <f aca="false">C92+S92</f>
        <v>18.6730249835055</v>
      </c>
      <c r="U92" s="34" t="str">
        <f aca="false">AX92</f>
        <v/>
      </c>
      <c r="V92" s="21" t="n">
        <f aca="false">IF(U92="",0,IF(U92="transition",0,IF(U92="SW",AG92,IF(U92="AB",AH92,IF(U92="SC",AI92,IF(U92="Mag",AJ92,IF(U92="OR",AK92,IF(U92="HP",AL92,IF(U92="FP",AM92,0)))))))))</f>
        <v>0</v>
      </c>
      <c r="W92" s="27" t="n">
        <f aca="false">IF(U92="OR",Upgrades!$F$10,IF(U92="HP",Upgrades!$F$11,IF(U92="transition",-Parameters!$B$18,0)))</f>
        <v>0</v>
      </c>
      <c r="X92" s="21" t="n">
        <f aca="false">T92-V92</f>
        <v>18.6730249835055</v>
      </c>
      <c r="Y92" s="30" t="n">
        <f aca="false">M92*Parameters!$B$10/60*Parameters!$B$11+O92*M92+N92</f>
        <v>20.55</v>
      </c>
      <c r="Z92" s="35" t="str">
        <f aca="false">IF(U92="transition","→ Tier 2 (Stellar Neighborhood)",IF(U92="FP","First Photons — light begins, system quickens",IF(U92="HP","Heliopause acquired",IF(U92="OR","Orbital Resonance — passive multiplier active",IF(AND(AO92=1,L92=0,AN92&lt;&gt;1),"Cohesion ready (waiting on completionist upgrades)","")))))</f>
        <v/>
      </c>
      <c r="AA92" s="27" t="n">
        <f aca="false">(IF(E92=0,0,(Upgrades!$G$6+E92*Upgrades!$H$6)*POWER(Upgrades!$I$6,E92)))*(IF(Upgrades!$T$7="Solar Wind",POWER(Upgrades!$U$7,F92),1)*IF(Upgrades!$T$8="Solar Wind",POWER(Upgrades!$U$8,G92),1)*IF(Upgrades!$T$9="Solar Wind",POWER(Upgrades!$U$9,H92),1)*IF(Upgrades!$T$10="Solar Wind",POWER(Upgrades!$U$10,I92),1)*IF(Upgrades!$T$11="Solar Wind",POWER(Upgrades!$U$11,J92),1)*IF(Upgrades!$T$12="Solar Wind",POWER(Upgrades!$U$12,K92),1))*POWER(Upgrades!$P$6,E92)*POWER(Upgrades!$P$7,F92)*POWER(Upgrades!$P$8,G92)*POWER(Upgrades!$P$9,H92)*POWER(Upgrades!$P$10,I92)*POWER(Upgrades!$P$11,J92)*POWER(Upgrades!$P$12,K92)*60</f>
        <v>72</v>
      </c>
      <c r="AB92" s="27" t="n">
        <f aca="false">(IF(F92=0,0,(Upgrades!$G$7+F92*Upgrades!$H$7)*POWER(Upgrades!$I$7,F92)))*(IF(Upgrades!$T$6="Asteroid Belt",POWER(Upgrades!$U$6,E92),1)*IF(Upgrades!$T$8="Asteroid Belt",POWER(Upgrades!$U$8,G92),1)*IF(Upgrades!$T$9="Asteroid Belt",POWER(Upgrades!$U$9,H92),1)*IF(Upgrades!$T$10="Asteroid Belt",POWER(Upgrades!$U$10,I92),1)*IF(Upgrades!$T$11="Asteroid Belt",POWER(Upgrades!$U$11,J92),1)*IF(Upgrades!$T$12="Asteroid Belt",POWER(Upgrades!$U$12,K92),1))*POWER(Upgrades!$P$6,E92)*POWER(Upgrades!$P$7,F92)*POWER(Upgrades!$P$8,G92)*POWER(Upgrades!$P$9,H92)*POWER(Upgrades!$P$10,I92)*POWER(Upgrades!$P$11,J92)*POWER(Upgrades!$P$12,K92)*60</f>
        <v>150</v>
      </c>
      <c r="AC92" s="27" t="n">
        <f aca="false">(IF(G92=0,0,(Upgrades!$J$8+G92*Upgrades!$K$8)*POWER(Upgrades!$L$8,G92)))*(IF(Upgrades!$T$6="Stellar Coupling",POWER(Upgrades!$U$6,E92),1)*IF(Upgrades!$T$7="Stellar Coupling",POWER(Upgrades!$U$7,F92),1)*IF(Upgrades!$T$9="Stellar Coupling",POWER(Upgrades!$U$9,H92),1)*IF(Upgrades!$T$10="Stellar Coupling",POWER(Upgrades!$U$10,I92),1)*IF(Upgrades!$T$11="Stellar Coupling",POWER(Upgrades!$U$11,J92),1)*IF(Upgrades!$T$12="Stellar Coupling",POWER(Upgrades!$U$12,K92),1))*POWER(Upgrades!$Q$6,E92)*POWER(Upgrades!$Q$7,F92)*POWER(Upgrades!$Q$8,G92)*POWER(Upgrades!$Q$9,H92)*POWER(Upgrades!$Q$10,I92)*POWER(Upgrades!$Q$11,J92)*POWER(Upgrades!$Q$12,K92)*Parameters!$B$10*Parameters!$B$11</f>
        <v>441</v>
      </c>
      <c r="AD92" s="27" t="n">
        <f aca="false">(IF(H92=0,0,(Upgrades!$G$9+H92*Upgrades!$H$9)*POWER(Upgrades!$I$9,H92)))*(IF(Upgrades!$T$6="Magnetosphere",POWER(Upgrades!$U$6,E92),1)*IF(Upgrades!$T$7="Magnetosphere",POWER(Upgrades!$U$7,F92),1)*IF(Upgrades!$T$8="Magnetosphere",POWER(Upgrades!$U$8,G92),1)*IF(Upgrades!$T$10="Magnetosphere",POWER(Upgrades!$U$10,I92),1)*IF(Upgrades!$T$11="Magnetosphere",POWER(Upgrades!$U$11,J92),1)*IF(Upgrades!$T$12="Magnetosphere",POWER(Upgrades!$U$12,K92),1))*POWER(Upgrades!$P$6,E92)*POWER(Upgrades!$P$7,F92)*POWER(Upgrades!$P$8,G92)*POWER(Upgrades!$P$9,H92)*POWER(Upgrades!$P$10,I92)*POWER(Upgrades!$P$11,J92)*POWER(Upgrades!$P$12,K92)*60</f>
        <v>375</v>
      </c>
      <c r="AE92" s="27" t="n">
        <f aca="false">(IF(K92=0,0,(Upgrades!$G$12+K92*Upgrades!$H$12)*POWER(Upgrades!$I$12,K92)))*(IF(Upgrades!$T$6="First Photons",POWER(Upgrades!$U$6,E92),1)*IF(Upgrades!$T$7="First Photons",POWER(Upgrades!$U$7,F92),1)*IF(Upgrades!$T$8="First Photons",POWER(Upgrades!$U$8,G92),1)*IF(Upgrades!$T$9="First Photons",POWER(Upgrades!$U$9,H92),1)*IF(Upgrades!$T$10="First Photons",POWER(Upgrades!$U$10,I92),1)*IF(Upgrades!$T$11="First Photons",POWER(Upgrades!$U$11,J92),1))*POWER(Upgrades!$P$6,E92)*POWER(Upgrades!$P$7,F92)*POWER(Upgrades!$P$8,G92)*POWER(Upgrades!$P$9,H92)*POWER(Upgrades!$P$10,I92)*POWER(Upgrades!$P$11,J92)*POWER(Upgrades!$P$12,K92)*60</f>
        <v>75</v>
      </c>
      <c r="AF92" s="27" t="n">
        <f aca="false">Parameters!$B$9*POWER(Upgrades!$Q$6,E92)*POWER(Upgrades!$Q$7,F92)*POWER(Upgrades!$Q$8,G92)*POWER(Upgrades!$Q$9,H92)*POWER(Upgrades!$Q$10,I92)*POWER(Upgrades!$Q$11,J92)*POWER(Upgrades!$Q$12,K92)*(Parameters!$B$10*Parameters!$B$11+O92*60)</f>
        <v>120</v>
      </c>
      <c r="AG92" s="21" t="n">
        <f aca="false">IF(E92&gt;=Upgrades!$E$6,"",Upgrades!$C$6*POWER(Upgrades!$D$6,E92))</f>
        <v>37.4517507383159</v>
      </c>
      <c r="AH92" s="21" t="n">
        <f aca="false">IF(F92&gt;=Upgrades!$E$7,"",Upgrades!$C$7*POWER(Upgrades!$D$7,F92))</f>
        <v>80.9111547141581</v>
      </c>
      <c r="AI92" s="21" t="n">
        <f aca="false">IF(G92&gt;=Upgrades!$E$8,"",Upgrades!$C$8*POWER(Upgrades!$D$8,G92))</f>
        <v>231.9097088</v>
      </c>
      <c r="AJ92" s="21" t="str">
        <f aca="false">IF(H92&gt;=Upgrades!$E$9,"",Upgrades!$C$9*POWER(Upgrades!$D$9,H92))</f>
        <v/>
      </c>
      <c r="AK92" s="21" t="str">
        <f aca="false">IF(I92&gt;=Upgrades!$E$10,"",Upgrades!$C$10*POWER(Upgrades!$D$10,I92))</f>
        <v/>
      </c>
      <c r="AL92" s="21" t="str">
        <f aca="false">IF(J92&gt;=Upgrades!$E$11,"",Upgrades!$C$11*POWER(Upgrades!$D$11,J92))</f>
        <v/>
      </c>
      <c r="AM92" s="21" t="str">
        <f aca="false">IF(K92&gt;=Upgrades!$E$12,"",Upgrades!$C$12*POWER(Upgrades!$D$12,K92))</f>
        <v/>
      </c>
      <c r="AN92" s="26" t="str">
        <f aca="false">IF(AND(D92&gt;=Parameters!$B$18,(H92&gt;=Upgrades!$E$9)*(K92&gt;=Upgrades!$E$12)=1,L92=0),1,"")</f>
        <v/>
      </c>
      <c r="AO92" s="26" t="str">
        <f aca="false">IF(AND(D92&gt;=Parameters!$B$18,L92=0),1,"")</f>
        <v/>
      </c>
      <c r="AP92" s="21" t="n">
        <f aca="false">MIN(IF(ISNUMBER(AK92),AK92,9000000000000000),IF(ISNUMBER(AL92),AL92,9000000000000000),IF(ISNUMBER(AM92),AM92,9000000000000000))</f>
        <v>9000000000000000</v>
      </c>
      <c r="AQ92" s="21" t="n">
        <f aca="false">MIN(IF(ISNUMBER(AG92),AG92,9000000000000000),IF(ISNUMBER(AH92),AH92,9000000000000000),IF(ISNUMBER(AI92),AI92,9000000000000000),IF(ISNUMBER(AJ92),AJ92,9000000000000000))</f>
        <v>37.4517507383159</v>
      </c>
      <c r="AR92" s="32" t="b">
        <f aca="false">IF(AW92&gt;Parameters!$B$21*(MAX(IF(AND(NOT(AND(AO92=1,AN92&lt;&gt;1)),ISNUMBER(AG92),AG92&lt;=T92),AS92,0),IF(AND(NOT(AND(AO92=1,AN92&lt;&gt;1)),ISNUMBER(AH92),AH92&lt;=T92),AT92,0),IF(AND(NOT(AND(AO92=1,AN92&lt;&gt;1)),ISNUMBER(AI92),AI92&lt;=T92),AU92,0),IF(AND(ISNUMBER(AJ92),AJ92&lt;=T92),AV92,0))),TRUE(),FALSE())</f>
        <v>1</v>
      </c>
      <c r="AS92" s="33" t="n">
        <f aca="false">IFERROR(Upgrades!$H$6*(POWER(Upgrades!$P$6,E92)*POWER(Upgrades!$P$7,F92)*POWER(Upgrades!$P$8,G92)*POWER(Upgrades!$P$9,H92)*POWER(Upgrades!$P$10,I92)*POWER(Upgrades!$P$11,J92)*POWER(Upgrades!$P$12,K92))*(IF(Upgrades!$T$7="Solar Wind",POWER(Upgrades!$U$7,F92),1)*IF(Upgrades!$T$8="Solar Wind",POWER(Upgrades!$U$8,G92),1)*IF(Upgrades!$T$9="Solar Wind",POWER(Upgrades!$U$9,H92),1)*IF(Upgrades!$T$10="Solar Wind",POWER(Upgrades!$U$10,I92),1)*IF(Upgrades!$T$11="Solar Wind",POWER(Upgrades!$U$11,J92),1)*IF(Upgrades!$T$12="Solar Wind",POWER(Upgrades!$U$12,K92),1))/AG92,0)</f>
        <v>0.0026701021455238</v>
      </c>
      <c r="AT92" s="33" t="n">
        <f aca="false">IFERROR(Upgrades!$H$7*(POWER(Upgrades!$P$6,E92)*POWER(Upgrades!$P$7,F92)*POWER(Upgrades!$P$8,G92)*POWER(Upgrades!$P$9,H92)*POWER(Upgrades!$P$10,I92)*POWER(Upgrades!$P$11,J92)*POWER(Upgrades!$P$12,K92))*(IF(Upgrades!$T$6="Asteroid Belt",POWER(Upgrades!$U$6,E92),1)*IF(Upgrades!$T$8="Asteroid Belt",POWER(Upgrades!$U$8,G92),1)*IF(Upgrades!$T$9="Asteroid Belt",POWER(Upgrades!$U$9,H92),1)*IF(Upgrades!$T$10="Asteroid Belt",POWER(Upgrades!$U$10,I92),1)*IF(Upgrades!$T$11="Asteroid Belt",POWER(Upgrades!$U$11,J92),1)*IF(Upgrades!$T$12="Asteroid Belt",POWER(Upgrades!$U$12,K92),1))/AH92,0)</f>
        <v>0.00308980882652332</v>
      </c>
      <c r="AU92" s="33" t="n">
        <f aca="false">IFERROR(Upgrades!$K$8*(POWER(Upgrades!$Q$6,E92)*POWER(Upgrades!$Q$7,F92)*POWER(Upgrades!$Q$8,G92)*POWER(Upgrades!$Q$9,H92)*POWER(Upgrades!$Q$10,I92)*POWER(Upgrades!$Q$11,J92)*POWER(Upgrades!$Q$12,K92))*(IF(Upgrades!$T$6="Stellar Coupling",POWER(Upgrades!$U$6,E92),1)*IF(Upgrades!$T$7="Stellar Coupling",POWER(Upgrades!$U$7,F92),1)*IF(Upgrades!$T$9="Stellar Coupling",POWER(Upgrades!$U$9,H92),1)*IF(Upgrades!$T$10="Stellar Coupling",POWER(Upgrades!$U$10,I92),1)*IF(Upgrades!$T$11="Stellar Coupling",POWER(Upgrades!$U$11,J92),1)*IF(Upgrades!$T$12="Stellar Coupling",POWER(Upgrades!$U$12,K92),1))*Parameters!$B$10*Parameters!$B$11/60/AI92,0)</f>
        <v>0.00452762415783776</v>
      </c>
      <c r="AV92" s="33" t="n">
        <f aca="false">IFERROR(Upgrades!$H$9*(POWER(Upgrades!$P$6,E92)*POWER(Upgrades!$P$7,F92)*POWER(Upgrades!$P$8,G92)*POWER(Upgrades!$P$9,H92)*POWER(Upgrades!$P$10,I92)*POWER(Upgrades!$P$11,J92)*POWER(Upgrades!$P$12,K92))*(IF(Upgrades!$T$6="Magnetosphere",POWER(Upgrades!$U$6,E92),1)*IF(Upgrades!$T$7="Magnetosphere",POWER(Upgrades!$U$7,F92),1)*IF(Upgrades!$T$8="Magnetosphere",POWER(Upgrades!$U$8,G92),1)*IF(Upgrades!$T$10="Magnetosphere",POWER(Upgrades!$U$10,I92),1)*IF(Upgrades!$T$11="Magnetosphere",POWER(Upgrades!$U$11,J92),1)*IF(Upgrades!$T$12="Magnetosphere",POWER(Upgrades!$U$12,K92),1))/AJ92,0)</f>
        <v>0</v>
      </c>
      <c r="AW92" s="33" t="n">
        <f aca="false">MAX(IF(I92&gt;0,0,IFERROR(0.25*N92/Upgrades!$C$10,0)),IF(J92&gt;0,0,IFERROR(0.5*((IF(G92=0,0,(Upgrades!$J$8+G92*Upgrades!$K$8)*POWER(Upgrades!$L$8,G92)))*(IF(Upgrades!$T$6="Stellar Coupling",POWER(Upgrades!$U$6,E92),1)*IF(Upgrades!$T$7="Stellar Coupling",POWER(Upgrades!$U$7,F92),1)*IF(Upgrades!$T$9="Stellar Coupling",POWER(Upgrades!$U$9,H92),1)*IF(Upgrades!$T$10="Stellar Coupling",POWER(Upgrades!$U$10,I92),1)*IF(Upgrades!$T$11="Stellar Coupling",POWER(Upgrades!$U$11,J92),1)*IF(Upgrades!$T$12="Stellar Coupling",POWER(Upgrades!$U$12,K92),1))*(POWER(Upgrades!$Q$6,E92)*POWER(Upgrades!$Q$7,F92)*POWER(Upgrades!$Q$8,G92)*POWER(Upgrades!$Q$9,H92)*POWER(Upgrades!$Q$10,I92)*POWER(Upgrades!$Q$11,J92)*POWER(Upgrades!$Q$12,K92))*Parameters!$B$10*Parameters!$B$11/60)/Upgrades!$C$11,0)),IF(K92&gt;0,0,IFERROR((1*(POWER(Upgrades!$P$6,E92)*POWER(Upgrades!$P$7,F92)*POWER(Upgrades!$P$8,G92)*POWER(Upgrades!$P$9,H92)*POWER(Upgrades!$P$10,I92)*POWER(Upgrades!$P$11,J92)*POWER(Upgrades!$P$12,K92))+0.2*M92*Parameters!$B$10*Parameters!$B$11/60)/Upgrades!$C$12,0)),IF(AND(ISNUMBER(AG92),AG92&gt;T92),AS92,0),IF(AND(ISNUMBER(AH92),AH92&gt;T92),AT92,0),IF(AND(ISNUMBER(AI92),AI92&gt;T92),AU92,0),IF(AND(ISNUMBER(AJ92),AJ92&gt;T92),AV92,0))</f>
        <v>0.00452762415783776</v>
      </c>
      <c r="AX92" s="29" t="str">
        <f aca="false">IF(AN92=1,"transition",IF(MIN(IF(AND(I92=0,ISNUMBER(AK92),AK92&lt;=T92),AK92,9000000000000000),IF(AND(J92=0,ISNUMBER(AL92),AL92&lt;=T92),AL92,9000000000000000),IF(AND(K92=0,ISNUMBER(AM92),AM92&lt;=T92),AM92,9000000000000000))&lt;9000000000000000,IF(AND(AND(I92=0,ISNUMBER(AK92),AK92&lt;=T92),AK92=MIN(IF(AND(I92=0,ISNUMBER(AK92),AK92&lt;=T92),AK92,9000000000000000),IF(AND(J92=0,ISNUMBER(AL92),AL92&lt;=T92),AL92,9000000000000000),IF(AND(K92=0,ISNUMBER(AM92),AM92&lt;=T92),AM92,9000000000000000))),"OR",IF(AND(AND(J92=0,ISNUMBER(AL92),AL92&lt;=T92),AL92=MIN(IF(AND(I92=0,ISNUMBER(AK92),AK92&lt;=T92),AK92,9000000000000000),IF(AND(J92=0,ISNUMBER(AL92),AL92&lt;=T92),AL92,9000000000000000),IF(AND(K92=0,ISNUMBER(AM92),AM92&lt;=T92),AM92,9000000000000000))),"HP","FP")),IF(AR92=TRUE(),"",IF(MAX(IF(AND(NOT(AND(AO92=1,AN92&lt;&gt;1)),ISNUMBER(AG92),AG92&lt;=T92),AS92,0),IF(AND(NOT(AND(AO92=1,AN92&lt;&gt;1)),ISNUMBER(AH92),AH92&lt;=T92),AT92,0),IF(AND(NOT(AND(AO92=1,AN92&lt;&gt;1)),ISNUMBER(AI92),AI92&lt;=T92),AU92,0),IF(AND(ISNUMBER(AJ92),AJ92&lt;=T92),AV92,0))&lt;=0,"",IF(AND(IF(AND(NOT(AND(AO92=1,AN92&lt;&gt;1)),ISNUMBER(AG92),AG92&lt;=T92),AS92,0)&gt;0,IF(AND(NOT(AND(AO92=1,AN92&lt;&gt;1)),ISNUMBER(AG92),AG92&lt;=T92),AS92,0)=MAX(IF(AND(NOT(AND(AO92=1,AN92&lt;&gt;1)),ISNUMBER(AG92),AG92&lt;=T92),AS92,0),IF(AND(NOT(AND(AO92=1,AN92&lt;&gt;1)),ISNUMBER(AH92),AH92&lt;=T92),AT92,0),IF(AND(NOT(AND(AO92=1,AN92&lt;&gt;1)),ISNUMBER(AI92),AI92&lt;=T92),AU92,0),IF(AND(ISNUMBER(AJ92),AJ92&lt;=T92),AV92,0))),"SW",IF(AND(IF(AND(NOT(AND(AO92=1,AN92&lt;&gt;1)),ISNUMBER(AH92),AH92&lt;=T92),AT92,0)&gt;0,IF(AND(NOT(AND(AO92=1,AN92&lt;&gt;1)),ISNUMBER(AH92),AH92&lt;=T92),AT92,0)=MAX(IF(AND(NOT(AND(AO92=1,AN92&lt;&gt;1)),ISNUMBER(AG92),AG92&lt;=T92),AS92,0),IF(AND(NOT(AND(AO92=1,AN92&lt;&gt;1)),ISNUMBER(AH92),AH92&lt;=T92),AT92,0),IF(AND(NOT(AND(AO92=1,AN92&lt;&gt;1)),ISNUMBER(AI92),AI92&lt;=T92),AU92,0),IF(AND(ISNUMBER(AJ92),AJ92&lt;=T92),AV92,0))),"AB",IF(AND(IF(AND(NOT(AND(AO92=1,AN92&lt;&gt;1)),ISNUMBER(AI92),AI92&lt;=T92),AU92,0)&gt;0,IF(AND(NOT(AND(AO92=1,AN92&lt;&gt;1)),ISNUMBER(AI92),AI92&lt;=T92),AU92,0)=MAX(IF(AND(NOT(AND(AO92=1,AN92&lt;&gt;1)),ISNUMBER(AG92),AG92&lt;=T92),AS92,0),IF(AND(NOT(AND(AO92=1,AN92&lt;&gt;1)),ISNUMBER(AH92),AH92&lt;=T92),AT92,0),IF(AND(NOT(AND(AO92=1,AN92&lt;&gt;1)),ISNUMBER(AI92),AI92&lt;=T92),AU92,0),IF(AND(ISNUMBER(AJ92),AJ92&lt;=T92),AV92,0))),"SC","Mag")))))))</f>
        <v/>
      </c>
    </row>
    <row r="93" customFormat="false" ht="15" hidden="false" customHeight="false" outlineLevel="0" collapsed="false">
      <c r="A93" s="26" t="n">
        <v>88</v>
      </c>
      <c r="B93" s="27" t="n">
        <f aca="false">A93*10/60</f>
        <v>14.6666666666667</v>
      </c>
      <c r="C93" s="21" t="n">
        <f aca="false">X92</f>
        <v>18.6730249835055</v>
      </c>
      <c r="D93" s="27" t="n">
        <f aca="false">D92+W92</f>
        <v>0</v>
      </c>
      <c r="E93" s="26" t="n">
        <f aca="false">E92+IF(U92="SW",1,0)</f>
        <v>12</v>
      </c>
      <c r="F93" s="26" t="n">
        <f aca="false">F92+IF(U92="AB",1,0)</f>
        <v>10</v>
      </c>
      <c r="G93" s="26" t="n">
        <f aca="false">G92+IF(U92="SC",1,0)</f>
        <v>7</v>
      </c>
      <c r="H93" s="26" t="n">
        <f aca="false">H92+IF(U92="Mag",1,0)</f>
        <v>5</v>
      </c>
      <c r="I93" s="26" t="n">
        <f aca="false">MAX(I92,IF(U92="OR",1,0))</f>
        <v>1</v>
      </c>
      <c r="J93" s="26" t="n">
        <f aca="false">MAX(J92,IF(U92="HP",1,0))</f>
        <v>1</v>
      </c>
      <c r="K93" s="26" t="n">
        <f aca="false">MAX(K92,IF(U92="FP",1,0))</f>
        <v>1</v>
      </c>
      <c r="L93" s="26" t="n">
        <f aca="false">MAX(L92,IF(U92="transition",1,0))</f>
        <v>1</v>
      </c>
      <c r="M93" s="28" t="n">
        <f aca="false">(Parameters!$B$9+(IF(E93=0,0,(Upgrades!$J$6+E93*Upgrades!$K$6)*POWER(Upgrades!$L$6,E93)))*(IF(Upgrades!$T$7="Solar Wind",POWER(Upgrades!$U$7,F93),1)*IF(Upgrades!$T$8="Solar Wind",POWER(Upgrades!$U$8,G93),1)*IF(Upgrades!$T$9="Solar Wind",POWER(Upgrades!$U$9,H93),1)*IF(Upgrades!$T$10="Solar Wind",POWER(Upgrades!$U$10,I93),1)*IF(Upgrades!$T$11="Solar Wind",POWER(Upgrades!$U$11,J93),1)*IF(Upgrades!$T$12="Solar Wind",POWER(Upgrades!$U$12,K93),1))+(IF(F93=0,0,(Upgrades!$J$7+F93*Upgrades!$K$7)*POWER(Upgrades!$L$7,F93)))*(IF(Upgrades!$T$6="Asteroid Belt",POWER(Upgrades!$U$6,E93),1)*IF(Upgrades!$T$8="Asteroid Belt",POWER(Upgrades!$U$8,G93),1)*IF(Upgrades!$T$9="Asteroid Belt",POWER(Upgrades!$U$9,H93),1)*IF(Upgrades!$T$10="Asteroid Belt",POWER(Upgrades!$U$10,I93),1)*IF(Upgrades!$T$11="Asteroid Belt",POWER(Upgrades!$U$11,J93),1)*IF(Upgrades!$T$12="Asteroid Belt",POWER(Upgrades!$U$12,K93),1))+(IF(G93=0,0,(Upgrades!$J$8+G93*Upgrades!$K$8)*POWER(Upgrades!$L$8,G93)))*(IF(Upgrades!$T$6="Stellar Coupling",POWER(Upgrades!$U$6,E93),1)*IF(Upgrades!$T$7="Stellar Coupling",POWER(Upgrades!$U$7,F93),1)*IF(Upgrades!$T$9="Stellar Coupling",POWER(Upgrades!$U$9,H93),1)*IF(Upgrades!$T$10="Stellar Coupling",POWER(Upgrades!$U$10,I93),1)*IF(Upgrades!$T$11="Stellar Coupling",POWER(Upgrades!$U$11,J93),1)*IF(Upgrades!$T$12="Stellar Coupling",POWER(Upgrades!$U$12,K93),1))+(IF(H93=0,0,(Upgrades!$J$9+H93*Upgrades!$K$9)*POWER(Upgrades!$L$9,H93)))*(IF(Upgrades!$T$6="Magnetosphere",POWER(Upgrades!$U$6,E93),1)*IF(Upgrades!$T$7="Magnetosphere",POWER(Upgrades!$U$7,F93),1)*IF(Upgrades!$T$8="Magnetosphere",POWER(Upgrades!$U$8,G93),1)*IF(Upgrades!$T$10="Magnetosphere",POWER(Upgrades!$U$10,I93),1)*IF(Upgrades!$T$11="Magnetosphere",POWER(Upgrades!$U$11,J93),1)*IF(Upgrades!$T$12="Magnetosphere",POWER(Upgrades!$U$12,K93),1))+(IF(I93=0,0,(Upgrades!$J$10+I93*Upgrades!$K$10)*POWER(Upgrades!$L$10,I93)))*(IF(Upgrades!$T$6="Orbital Resonance",POWER(Upgrades!$U$6,E93),1)*IF(Upgrades!$T$7="Orbital Resonance",POWER(Upgrades!$U$7,F93),1)*IF(Upgrades!$T$8="Orbital Resonance",POWER(Upgrades!$U$8,G93),1)*IF(Upgrades!$T$9="Orbital Resonance",POWER(Upgrades!$U$9,H93),1)*IF(Upgrades!$T$11="Orbital Resonance",POWER(Upgrades!$U$11,J93),1)*IF(Upgrades!$T$12="Orbital Resonance",POWER(Upgrades!$U$12,K93),1))+(IF(J93=0,0,(Upgrades!$J$11+J93*Upgrades!$K$11)*POWER(Upgrades!$L$11,J93)))*(IF(Upgrades!$T$6="Heliopause",POWER(Upgrades!$U$6,E93),1)*IF(Upgrades!$T$7="Heliopause",POWER(Upgrades!$U$7,F93),1)*IF(Upgrades!$T$8="Heliopause",POWER(Upgrades!$U$8,G93),1)*IF(Upgrades!$T$9="Heliopause",POWER(Upgrades!$U$9,H93),1)*IF(Upgrades!$T$10="Heliopause",POWER(Upgrades!$U$10,I93),1)*IF(Upgrades!$T$12="Heliopause",POWER(Upgrades!$U$12,K93),1))+(IF(K93=0,0,(Upgrades!$J$12+K93*Upgrades!$K$12)*POWER(Upgrades!$L$12,K93)))*(IF(Upgrades!$T$6="First Photons",POWER(Upgrades!$U$6,E93),1)*IF(Upgrades!$T$7="First Photons",POWER(Upgrades!$U$7,F93),1)*IF(Upgrades!$T$8="First Photons",POWER(Upgrades!$U$8,G93),1)*IF(Upgrades!$T$9="First Photons",POWER(Upgrades!$U$9,H93),1)*IF(Upgrades!$T$10="First Photons",POWER(Upgrades!$U$10,I93),1)*IF(Upgrades!$T$11="First Photons",POWER(Upgrades!$U$11,J93),1)))*POWER(Upgrades!$Q$6,E93)*POWER(Upgrades!$Q$7,F93)*POWER(Upgrades!$Q$8,G93)*POWER(Upgrades!$Q$9,H93)*POWER(Upgrades!$Q$10,I93)*POWER(Upgrades!$Q$11,J93)*POWER(Upgrades!$Q$12,K93)</f>
        <v>5.61</v>
      </c>
      <c r="N93" s="28" t="n">
        <f aca="false">((IF(E93=0,0,(Upgrades!$G$6+E93*Upgrades!$H$6)*POWER(Upgrades!$I$6,E93)))*(IF(Upgrades!$T$7="Solar Wind",POWER(Upgrades!$U$7,F93),1)*IF(Upgrades!$T$8="Solar Wind",POWER(Upgrades!$U$8,G93),1)*IF(Upgrades!$T$9="Solar Wind",POWER(Upgrades!$U$9,H93),1)*IF(Upgrades!$T$10="Solar Wind",POWER(Upgrades!$U$10,I93),1)*IF(Upgrades!$T$11="Solar Wind",POWER(Upgrades!$U$11,J93),1)*IF(Upgrades!$T$12="Solar Wind",POWER(Upgrades!$U$12,K93),1))+(IF(F93=0,0,(Upgrades!$G$7+F93*Upgrades!$H$7)*POWER(Upgrades!$I$7,F93)))*(IF(Upgrades!$T$6="Asteroid Belt",POWER(Upgrades!$U$6,E93),1)*IF(Upgrades!$T$8="Asteroid Belt",POWER(Upgrades!$U$8,G93),1)*IF(Upgrades!$T$9="Asteroid Belt",POWER(Upgrades!$U$9,H93),1)*IF(Upgrades!$T$10="Asteroid Belt",POWER(Upgrades!$U$10,I93),1)*IF(Upgrades!$T$11="Asteroid Belt",POWER(Upgrades!$U$11,J93),1)*IF(Upgrades!$T$12="Asteroid Belt",POWER(Upgrades!$U$12,K93),1))+(IF(G93=0,0,(Upgrades!$G$8+G93*Upgrades!$H$8)*POWER(Upgrades!$I$8,G93)))*(IF(Upgrades!$T$6="Stellar Coupling",POWER(Upgrades!$U$6,E93),1)*IF(Upgrades!$T$7="Stellar Coupling",POWER(Upgrades!$U$7,F93),1)*IF(Upgrades!$T$9="Stellar Coupling",POWER(Upgrades!$U$9,H93),1)*IF(Upgrades!$T$10="Stellar Coupling",POWER(Upgrades!$U$10,I93),1)*IF(Upgrades!$T$11="Stellar Coupling",POWER(Upgrades!$U$11,J93),1)*IF(Upgrades!$T$12="Stellar Coupling",POWER(Upgrades!$U$12,K93),1))+(IF(H93=0,0,(Upgrades!$G$9+H93*Upgrades!$H$9)*POWER(Upgrades!$I$9,H93)))*(IF(Upgrades!$T$6="Magnetosphere",POWER(Upgrades!$U$6,E93),1)*IF(Upgrades!$T$7="Magnetosphere",POWER(Upgrades!$U$7,F93),1)*IF(Upgrades!$T$8="Magnetosphere",POWER(Upgrades!$U$8,G93),1)*IF(Upgrades!$T$10="Magnetosphere",POWER(Upgrades!$U$10,I93),1)*IF(Upgrades!$T$11="Magnetosphere",POWER(Upgrades!$U$11,J93),1)*IF(Upgrades!$T$12="Magnetosphere",POWER(Upgrades!$U$12,K93),1))+(IF(I93=0,0,(Upgrades!$G$10+I93*Upgrades!$H$10)*POWER(Upgrades!$I$10,I93)))*(IF(Upgrades!$T$6="Orbital Resonance",POWER(Upgrades!$U$6,E93),1)*IF(Upgrades!$T$7="Orbital Resonance",POWER(Upgrades!$U$7,F93),1)*IF(Upgrades!$T$8="Orbital Resonance",POWER(Upgrades!$U$8,G93),1)*IF(Upgrades!$T$9="Orbital Resonance",POWER(Upgrades!$U$9,H93),1)*IF(Upgrades!$T$11="Orbital Resonance",POWER(Upgrades!$U$11,J93),1)*IF(Upgrades!$T$12="Orbital Resonance",POWER(Upgrades!$U$12,K93),1))+(IF(J93=0,0,(Upgrades!$G$11+J93*Upgrades!$H$11)*POWER(Upgrades!$I$11,J93)))*(IF(Upgrades!$T$6="Heliopause",POWER(Upgrades!$U$6,E93),1)*IF(Upgrades!$T$7="Heliopause",POWER(Upgrades!$U$7,F93),1)*IF(Upgrades!$T$8="Heliopause",POWER(Upgrades!$U$8,G93),1)*IF(Upgrades!$T$9="Heliopause",POWER(Upgrades!$U$9,H93),1)*IF(Upgrades!$T$10="Heliopause",POWER(Upgrades!$U$10,I93),1)*IF(Upgrades!$T$12="Heliopause",POWER(Upgrades!$U$12,K93),1))+(IF(K93=0,0,(Upgrades!$G$12+K93*Upgrades!$H$12)*POWER(Upgrades!$I$12,K93)))*(IF(Upgrades!$T$6="First Photons",POWER(Upgrades!$U$6,E93),1)*IF(Upgrades!$T$7="First Photons",POWER(Upgrades!$U$7,F93),1)*IF(Upgrades!$T$8="First Photons",POWER(Upgrades!$U$8,G93),1)*IF(Upgrades!$T$9="First Photons",POWER(Upgrades!$U$9,H93),1)*IF(Upgrades!$T$10="First Photons",POWER(Upgrades!$U$10,I93),1)*IF(Upgrades!$T$11="First Photons",POWER(Upgrades!$U$11,J93),1)))*POWER(Upgrades!$P$6,E93)*POWER(Upgrades!$P$7,F93)*POWER(Upgrades!$P$8,G93)*POWER(Upgrades!$P$9,H93)*POWER(Upgrades!$P$10,I93)*POWER(Upgrades!$P$11,J93)*POWER(Upgrades!$P$12,K93)</f>
        <v>11.2</v>
      </c>
      <c r="O93" s="28" t="n">
        <f aca="false">((IF(E93=0,0,(Upgrades!$M$6+E93*Upgrades!$N$6)*POWER(Upgrades!$O$6,E93)))*(IF(Upgrades!$T$7="Solar Wind",POWER(Upgrades!$U$7,F93),1)*IF(Upgrades!$T$8="Solar Wind",POWER(Upgrades!$U$8,G93),1)*IF(Upgrades!$T$9="Solar Wind",POWER(Upgrades!$U$9,H93),1)*IF(Upgrades!$T$10="Solar Wind",POWER(Upgrades!$U$10,I93),1)*IF(Upgrades!$T$11="Solar Wind",POWER(Upgrades!$U$11,J93),1)*IF(Upgrades!$T$12="Solar Wind",POWER(Upgrades!$U$12,K93),1))+(IF(F93=0,0,(Upgrades!$M$7+F93*Upgrades!$N$7)*POWER(Upgrades!$O$7,F93)))*(IF(Upgrades!$T$6="Asteroid Belt",POWER(Upgrades!$U$6,E93),1)*IF(Upgrades!$T$8="Asteroid Belt",POWER(Upgrades!$U$8,G93),1)*IF(Upgrades!$T$9="Asteroid Belt",POWER(Upgrades!$U$9,H93),1)*IF(Upgrades!$T$10="Asteroid Belt",POWER(Upgrades!$U$10,I93),1)*IF(Upgrades!$T$11="Asteroid Belt",POWER(Upgrades!$U$11,J93),1)*IF(Upgrades!$T$12="Asteroid Belt",POWER(Upgrades!$U$12,K93),1))+(IF(G93=0,0,(Upgrades!$M$8+G93*Upgrades!$N$8)*POWER(Upgrades!$O$8,G93)))*(IF(Upgrades!$T$6="Stellar Coupling",POWER(Upgrades!$U$6,E93),1)*IF(Upgrades!$T$7="Stellar Coupling",POWER(Upgrades!$U$7,F93),1)*IF(Upgrades!$T$9="Stellar Coupling",POWER(Upgrades!$U$9,H93),1)*IF(Upgrades!$T$10="Stellar Coupling",POWER(Upgrades!$U$10,I93),1)*IF(Upgrades!$T$11="Stellar Coupling",POWER(Upgrades!$U$11,J93),1)*IF(Upgrades!$T$12="Stellar Coupling",POWER(Upgrades!$U$12,K93),1))+(IF(H93=0,0,(Upgrades!$M$9+H93*Upgrades!$N$9)*POWER(Upgrades!$O$9,H93)))*(IF(Upgrades!$T$6="Magnetosphere",POWER(Upgrades!$U$6,E93),1)*IF(Upgrades!$T$7="Magnetosphere",POWER(Upgrades!$U$7,F93),1)*IF(Upgrades!$T$8="Magnetosphere",POWER(Upgrades!$U$8,G93),1)*IF(Upgrades!$T$10="Magnetosphere",POWER(Upgrades!$U$10,I93),1)*IF(Upgrades!$T$11="Magnetosphere",POWER(Upgrades!$U$11,J93),1)*IF(Upgrades!$T$12="Magnetosphere",POWER(Upgrades!$U$12,K93),1))+(IF(I93=0,0,(Upgrades!$M$10+I93*Upgrades!$N$10)*POWER(Upgrades!$O$10,I93)))*(IF(Upgrades!$T$6="Orbital Resonance",POWER(Upgrades!$U$6,E93),1)*IF(Upgrades!$T$7="Orbital Resonance",POWER(Upgrades!$U$7,F93),1)*IF(Upgrades!$T$8="Orbital Resonance",POWER(Upgrades!$U$8,G93),1)*IF(Upgrades!$T$9="Orbital Resonance",POWER(Upgrades!$U$9,H93),1)*IF(Upgrades!$T$11="Orbital Resonance",POWER(Upgrades!$U$11,J93),1)*IF(Upgrades!$T$12="Orbital Resonance",POWER(Upgrades!$U$12,K93),1))+(IF(J93=0,0,(Upgrades!$M$11+J93*Upgrades!$N$11)*POWER(Upgrades!$O$11,J93)))*(IF(Upgrades!$T$6="Heliopause",POWER(Upgrades!$U$6,E93),1)*IF(Upgrades!$T$7="Heliopause",POWER(Upgrades!$U$7,F93),1)*IF(Upgrades!$T$8="Heliopause",POWER(Upgrades!$U$8,G93),1)*IF(Upgrades!$T$9="Heliopause",POWER(Upgrades!$U$9,H93),1)*IF(Upgrades!$T$10="Heliopause",POWER(Upgrades!$U$10,I93),1)*IF(Upgrades!$T$12="Heliopause",POWER(Upgrades!$U$12,K93),1))+(IF(K93=0,0,(Upgrades!$M$12+K93*Upgrades!$N$12)*POWER(Upgrades!$O$12,K93)))*(IF(Upgrades!$T$6="First Photons",POWER(Upgrades!$U$6,E93),1)*IF(Upgrades!$T$7="First Photons",POWER(Upgrades!$U$7,F93),1)*IF(Upgrades!$T$8="First Photons",POWER(Upgrades!$U$8,G93),1)*IF(Upgrades!$T$9="First Photons",POWER(Upgrades!$U$9,H93),1)*IF(Upgrades!$T$10="First Photons",POWER(Upgrades!$U$10,I93),1)*IF(Upgrades!$T$11="First Photons",POWER(Upgrades!$U$11,J93),1)))*POWER(Upgrades!$R$6,E93)*POWER(Upgrades!$R$7,F93)*POWER(Upgrades!$R$8,G93)*POWER(Upgrades!$R$9,H93)*POWER(Upgrades!$R$10,I93)*POWER(Upgrades!$R$11,J93)*POWER(Upgrades!$R$12,K93)</f>
        <v>0</v>
      </c>
      <c r="P93" s="27" t="n">
        <f aca="false">IF(L93=1,0,M93*Parameters!$B$10/60*Parameters!$B$11*10)</f>
        <v>0</v>
      </c>
      <c r="Q93" s="27" t="n">
        <f aca="false">IF(L93=1,0,O93*M93*10)</f>
        <v>0</v>
      </c>
      <c r="R93" s="27" t="n">
        <f aca="false">IF(L93=1,0,N93*10)</f>
        <v>0</v>
      </c>
      <c r="S93" s="27" t="n">
        <f aca="false">P93+Q93+R93</f>
        <v>0</v>
      </c>
      <c r="T93" s="21" t="n">
        <f aca="false">C93+S93</f>
        <v>18.6730249835055</v>
      </c>
      <c r="U93" s="34" t="str">
        <f aca="false">AX93</f>
        <v/>
      </c>
      <c r="V93" s="21" t="n">
        <f aca="false">IF(U93="",0,IF(U93="transition",0,IF(U93="SW",AG93,IF(U93="AB",AH93,IF(U93="SC",AI93,IF(U93="Mag",AJ93,IF(U93="OR",AK93,IF(U93="HP",AL93,IF(U93="FP",AM93,0)))))))))</f>
        <v>0</v>
      </c>
      <c r="W93" s="27" t="n">
        <f aca="false">IF(U93="OR",Upgrades!$F$10,IF(U93="HP",Upgrades!$F$11,IF(U93="transition",-Parameters!$B$18,0)))</f>
        <v>0</v>
      </c>
      <c r="X93" s="21" t="n">
        <f aca="false">T93-V93</f>
        <v>18.6730249835055</v>
      </c>
      <c r="Y93" s="30" t="n">
        <f aca="false">M93*Parameters!$B$10/60*Parameters!$B$11+O93*M93+N93</f>
        <v>20.55</v>
      </c>
      <c r="Z93" s="35" t="str">
        <f aca="false">IF(U93="transition","→ Tier 2 (Stellar Neighborhood)",IF(U93="FP","First Photons — light begins, system quickens",IF(U93="HP","Heliopause acquired",IF(U93="OR","Orbital Resonance — passive multiplier active",IF(AND(AO93=1,L93=0,AN93&lt;&gt;1),"Cohesion ready (waiting on completionist upgrades)","")))))</f>
        <v/>
      </c>
      <c r="AA93" s="27" t="n">
        <f aca="false">(IF(E93=0,0,(Upgrades!$G$6+E93*Upgrades!$H$6)*POWER(Upgrades!$I$6,E93)))*(IF(Upgrades!$T$7="Solar Wind",POWER(Upgrades!$U$7,F93),1)*IF(Upgrades!$T$8="Solar Wind",POWER(Upgrades!$U$8,G93),1)*IF(Upgrades!$T$9="Solar Wind",POWER(Upgrades!$U$9,H93),1)*IF(Upgrades!$T$10="Solar Wind",POWER(Upgrades!$U$10,I93),1)*IF(Upgrades!$T$11="Solar Wind",POWER(Upgrades!$U$11,J93),1)*IF(Upgrades!$T$12="Solar Wind",POWER(Upgrades!$U$12,K93),1))*POWER(Upgrades!$P$6,E93)*POWER(Upgrades!$P$7,F93)*POWER(Upgrades!$P$8,G93)*POWER(Upgrades!$P$9,H93)*POWER(Upgrades!$P$10,I93)*POWER(Upgrades!$P$11,J93)*POWER(Upgrades!$P$12,K93)*60</f>
        <v>72</v>
      </c>
      <c r="AB93" s="27" t="n">
        <f aca="false">(IF(F93=0,0,(Upgrades!$G$7+F93*Upgrades!$H$7)*POWER(Upgrades!$I$7,F93)))*(IF(Upgrades!$T$6="Asteroid Belt",POWER(Upgrades!$U$6,E93),1)*IF(Upgrades!$T$8="Asteroid Belt",POWER(Upgrades!$U$8,G93),1)*IF(Upgrades!$T$9="Asteroid Belt",POWER(Upgrades!$U$9,H93),1)*IF(Upgrades!$T$10="Asteroid Belt",POWER(Upgrades!$U$10,I93),1)*IF(Upgrades!$T$11="Asteroid Belt",POWER(Upgrades!$U$11,J93),1)*IF(Upgrades!$T$12="Asteroid Belt",POWER(Upgrades!$U$12,K93),1))*POWER(Upgrades!$P$6,E93)*POWER(Upgrades!$P$7,F93)*POWER(Upgrades!$P$8,G93)*POWER(Upgrades!$P$9,H93)*POWER(Upgrades!$P$10,I93)*POWER(Upgrades!$P$11,J93)*POWER(Upgrades!$P$12,K93)*60</f>
        <v>150</v>
      </c>
      <c r="AC93" s="27" t="n">
        <f aca="false">(IF(G93=0,0,(Upgrades!$J$8+G93*Upgrades!$K$8)*POWER(Upgrades!$L$8,G93)))*(IF(Upgrades!$T$6="Stellar Coupling",POWER(Upgrades!$U$6,E93),1)*IF(Upgrades!$T$7="Stellar Coupling",POWER(Upgrades!$U$7,F93),1)*IF(Upgrades!$T$9="Stellar Coupling",POWER(Upgrades!$U$9,H93),1)*IF(Upgrades!$T$10="Stellar Coupling",POWER(Upgrades!$U$10,I93),1)*IF(Upgrades!$T$11="Stellar Coupling",POWER(Upgrades!$U$11,J93),1)*IF(Upgrades!$T$12="Stellar Coupling",POWER(Upgrades!$U$12,K93),1))*POWER(Upgrades!$Q$6,E93)*POWER(Upgrades!$Q$7,F93)*POWER(Upgrades!$Q$8,G93)*POWER(Upgrades!$Q$9,H93)*POWER(Upgrades!$Q$10,I93)*POWER(Upgrades!$Q$11,J93)*POWER(Upgrades!$Q$12,K93)*Parameters!$B$10*Parameters!$B$11</f>
        <v>441</v>
      </c>
      <c r="AD93" s="27" t="n">
        <f aca="false">(IF(H93=0,0,(Upgrades!$G$9+H93*Upgrades!$H$9)*POWER(Upgrades!$I$9,H93)))*(IF(Upgrades!$T$6="Magnetosphere",POWER(Upgrades!$U$6,E93),1)*IF(Upgrades!$T$7="Magnetosphere",POWER(Upgrades!$U$7,F93),1)*IF(Upgrades!$T$8="Magnetosphere",POWER(Upgrades!$U$8,G93),1)*IF(Upgrades!$T$10="Magnetosphere",POWER(Upgrades!$U$10,I93),1)*IF(Upgrades!$T$11="Magnetosphere",POWER(Upgrades!$U$11,J93),1)*IF(Upgrades!$T$12="Magnetosphere",POWER(Upgrades!$U$12,K93),1))*POWER(Upgrades!$P$6,E93)*POWER(Upgrades!$P$7,F93)*POWER(Upgrades!$P$8,G93)*POWER(Upgrades!$P$9,H93)*POWER(Upgrades!$P$10,I93)*POWER(Upgrades!$P$11,J93)*POWER(Upgrades!$P$12,K93)*60</f>
        <v>375</v>
      </c>
      <c r="AE93" s="27" t="n">
        <f aca="false">(IF(K93=0,0,(Upgrades!$G$12+K93*Upgrades!$H$12)*POWER(Upgrades!$I$12,K93)))*(IF(Upgrades!$T$6="First Photons",POWER(Upgrades!$U$6,E93),1)*IF(Upgrades!$T$7="First Photons",POWER(Upgrades!$U$7,F93),1)*IF(Upgrades!$T$8="First Photons",POWER(Upgrades!$U$8,G93),1)*IF(Upgrades!$T$9="First Photons",POWER(Upgrades!$U$9,H93),1)*IF(Upgrades!$T$10="First Photons",POWER(Upgrades!$U$10,I93),1)*IF(Upgrades!$T$11="First Photons",POWER(Upgrades!$U$11,J93),1))*POWER(Upgrades!$P$6,E93)*POWER(Upgrades!$P$7,F93)*POWER(Upgrades!$P$8,G93)*POWER(Upgrades!$P$9,H93)*POWER(Upgrades!$P$10,I93)*POWER(Upgrades!$P$11,J93)*POWER(Upgrades!$P$12,K93)*60</f>
        <v>75</v>
      </c>
      <c r="AF93" s="27" t="n">
        <f aca="false">Parameters!$B$9*POWER(Upgrades!$Q$6,E93)*POWER(Upgrades!$Q$7,F93)*POWER(Upgrades!$Q$8,G93)*POWER(Upgrades!$Q$9,H93)*POWER(Upgrades!$Q$10,I93)*POWER(Upgrades!$Q$11,J93)*POWER(Upgrades!$Q$12,K93)*(Parameters!$B$10*Parameters!$B$11+O93*60)</f>
        <v>120</v>
      </c>
      <c r="AG93" s="21" t="n">
        <f aca="false">IF(E93&gt;=Upgrades!$E$6,"",Upgrades!$C$6*POWER(Upgrades!$D$6,E93))</f>
        <v>37.4517507383159</v>
      </c>
      <c r="AH93" s="21" t="n">
        <f aca="false">IF(F93&gt;=Upgrades!$E$7,"",Upgrades!$C$7*POWER(Upgrades!$D$7,F93))</f>
        <v>80.9111547141581</v>
      </c>
      <c r="AI93" s="21" t="n">
        <f aca="false">IF(G93&gt;=Upgrades!$E$8,"",Upgrades!$C$8*POWER(Upgrades!$D$8,G93))</f>
        <v>231.9097088</v>
      </c>
      <c r="AJ93" s="21" t="str">
        <f aca="false">IF(H93&gt;=Upgrades!$E$9,"",Upgrades!$C$9*POWER(Upgrades!$D$9,H93))</f>
        <v/>
      </c>
      <c r="AK93" s="21" t="str">
        <f aca="false">IF(I93&gt;=Upgrades!$E$10,"",Upgrades!$C$10*POWER(Upgrades!$D$10,I93))</f>
        <v/>
      </c>
      <c r="AL93" s="21" t="str">
        <f aca="false">IF(J93&gt;=Upgrades!$E$11,"",Upgrades!$C$11*POWER(Upgrades!$D$11,J93))</f>
        <v/>
      </c>
      <c r="AM93" s="21" t="str">
        <f aca="false">IF(K93&gt;=Upgrades!$E$12,"",Upgrades!$C$12*POWER(Upgrades!$D$12,K93))</f>
        <v/>
      </c>
      <c r="AN93" s="26" t="str">
        <f aca="false">IF(AND(D93&gt;=Parameters!$B$18,(H93&gt;=Upgrades!$E$9)*(K93&gt;=Upgrades!$E$12)=1,L93=0),1,"")</f>
        <v/>
      </c>
      <c r="AO93" s="26" t="str">
        <f aca="false">IF(AND(D93&gt;=Parameters!$B$18,L93=0),1,"")</f>
        <v/>
      </c>
      <c r="AP93" s="21" t="n">
        <f aca="false">MIN(IF(ISNUMBER(AK93),AK93,9000000000000000),IF(ISNUMBER(AL93),AL93,9000000000000000),IF(ISNUMBER(AM93),AM93,9000000000000000))</f>
        <v>9000000000000000</v>
      </c>
      <c r="AQ93" s="21" t="n">
        <f aca="false">MIN(IF(ISNUMBER(AG93),AG93,9000000000000000),IF(ISNUMBER(AH93),AH93,9000000000000000),IF(ISNUMBER(AI93),AI93,9000000000000000),IF(ISNUMBER(AJ93),AJ93,9000000000000000))</f>
        <v>37.4517507383159</v>
      </c>
      <c r="AR93" s="32" t="b">
        <f aca="false">IF(AW93&gt;Parameters!$B$21*(MAX(IF(AND(NOT(AND(AO93=1,AN93&lt;&gt;1)),ISNUMBER(AG93),AG93&lt;=T93),AS93,0),IF(AND(NOT(AND(AO93=1,AN93&lt;&gt;1)),ISNUMBER(AH93),AH93&lt;=T93),AT93,0),IF(AND(NOT(AND(AO93=1,AN93&lt;&gt;1)),ISNUMBER(AI93),AI93&lt;=T93),AU93,0),IF(AND(ISNUMBER(AJ93),AJ93&lt;=T93),AV93,0))),TRUE(),FALSE())</f>
        <v>1</v>
      </c>
      <c r="AS93" s="33" t="n">
        <f aca="false">IFERROR(Upgrades!$H$6*(POWER(Upgrades!$P$6,E93)*POWER(Upgrades!$P$7,F93)*POWER(Upgrades!$P$8,G93)*POWER(Upgrades!$P$9,H93)*POWER(Upgrades!$P$10,I93)*POWER(Upgrades!$P$11,J93)*POWER(Upgrades!$P$12,K93))*(IF(Upgrades!$T$7="Solar Wind",POWER(Upgrades!$U$7,F93),1)*IF(Upgrades!$T$8="Solar Wind",POWER(Upgrades!$U$8,G93),1)*IF(Upgrades!$T$9="Solar Wind",POWER(Upgrades!$U$9,H93),1)*IF(Upgrades!$T$10="Solar Wind",POWER(Upgrades!$U$10,I93),1)*IF(Upgrades!$T$11="Solar Wind",POWER(Upgrades!$U$11,J93),1)*IF(Upgrades!$T$12="Solar Wind",POWER(Upgrades!$U$12,K93),1))/AG93,0)</f>
        <v>0.0026701021455238</v>
      </c>
      <c r="AT93" s="33" t="n">
        <f aca="false">IFERROR(Upgrades!$H$7*(POWER(Upgrades!$P$6,E93)*POWER(Upgrades!$P$7,F93)*POWER(Upgrades!$P$8,G93)*POWER(Upgrades!$P$9,H93)*POWER(Upgrades!$P$10,I93)*POWER(Upgrades!$P$11,J93)*POWER(Upgrades!$P$12,K93))*(IF(Upgrades!$T$6="Asteroid Belt",POWER(Upgrades!$U$6,E93),1)*IF(Upgrades!$T$8="Asteroid Belt",POWER(Upgrades!$U$8,G93),1)*IF(Upgrades!$T$9="Asteroid Belt",POWER(Upgrades!$U$9,H93),1)*IF(Upgrades!$T$10="Asteroid Belt",POWER(Upgrades!$U$10,I93),1)*IF(Upgrades!$T$11="Asteroid Belt",POWER(Upgrades!$U$11,J93),1)*IF(Upgrades!$T$12="Asteroid Belt",POWER(Upgrades!$U$12,K93),1))/AH93,0)</f>
        <v>0.00308980882652332</v>
      </c>
      <c r="AU93" s="33" t="n">
        <f aca="false">IFERROR(Upgrades!$K$8*(POWER(Upgrades!$Q$6,E93)*POWER(Upgrades!$Q$7,F93)*POWER(Upgrades!$Q$8,G93)*POWER(Upgrades!$Q$9,H93)*POWER(Upgrades!$Q$10,I93)*POWER(Upgrades!$Q$11,J93)*POWER(Upgrades!$Q$12,K93))*(IF(Upgrades!$T$6="Stellar Coupling",POWER(Upgrades!$U$6,E93),1)*IF(Upgrades!$T$7="Stellar Coupling",POWER(Upgrades!$U$7,F93),1)*IF(Upgrades!$T$9="Stellar Coupling",POWER(Upgrades!$U$9,H93),1)*IF(Upgrades!$T$10="Stellar Coupling",POWER(Upgrades!$U$10,I93),1)*IF(Upgrades!$T$11="Stellar Coupling",POWER(Upgrades!$U$11,J93),1)*IF(Upgrades!$T$12="Stellar Coupling",POWER(Upgrades!$U$12,K93),1))*Parameters!$B$10*Parameters!$B$11/60/AI93,0)</f>
        <v>0.00452762415783776</v>
      </c>
      <c r="AV93" s="33" t="n">
        <f aca="false">IFERROR(Upgrades!$H$9*(POWER(Upgrades!$P$6,E93)*POWER(Upgrades!$P$7,F93)*POWER(Upgrades!$P$8,G93)*POWER(Upgrades!$P$9,H93)*POWER(Upgrades!$P$10,I93)*POWER(Upgrades!$P$11,J93)*POWER(Upgrades!$P$12,K93))*(IF(Upgrades!$T$6="Magnetosphere",POWER(Upgrades!$U$6,E93),1)*IF(Upgrades!$T$7="Magnetosphere",POWER(Upgrades!$U$7,F93),1)*IF(Upgrades!$T$8="Magnetosphere",POWER(Upgrades!$U$8,G93),1)*IF(Upgrades!$T$10="Magnetosphere",POWER(Upgrades!$U$10,I93),1)*IF(Upgrades!$T$11="Magnetosphere",POWER(Upgrades!$U$11,J93),1)*IF(Upgrades!$T$12="Magnetosphere",POWER(Upgrades!$U$12,K93),1))/AJ93,0)</f>
        <v>0</v>
      </c>
      <c r="AW93" s="33" t="n">
        <f aca="false">MAX(IF(I93&gt;0,0,IFERROR(0.25*N93/Upgrades!$C$10,0)),IF(J93&gt;0,0,IFERROR(0.5*((IF(G93=0,0,(Upgrades!$J$8+G93*Upgrades!$K$8)*POWER(Upgrades!$L$8,G93)))*(IF(Upgrades!$T$6="Stellar Coupling",POWER(Upgrades!$U$6,E93),1)*IF(Upgrades!$T$7="Stellar Coupling",POWER(Upgrades!$U$7,F93),1)*IF(Upgrades!$T$9="Stellar Coupling",POWER(Upgrades!$U$9,H93),1)*IF(Upgrades!$T$10="Stellar Coupling",POWER(Upgrades!$U$10,I93),1)*IF(Upgrades!$T$11="Stellar Coupling",POWER(Upgrades!$U$11,J93),1)*IF(Upgrades!$T$12="Stellar Coupling",POWER(Upgrades!$U$12,K93),1))*(POWER(Upgrades!$Q$6,E93)*POWER(Upgrades!$Q$7,F93)*POWER(Upgrades!$Q$8,G93)*POWER(Upgrades!$Q$9,H93)*POWER(Upgrades!$Q$10,I93)*POWER(Upgrades!$Q$11,J93)*POWER(Upgrades!$Q$12,K93))*Parameters!$B$10*Parameters!$B$11/60)/Upgrades!$C$11,0)),IF(K93&gt;0,0,IFERROR((1*(POWER(Upgrades!$P$6,E93)*POWER(Upgrades!$P$7,F93)*POWER(Upgrades!$P$8,G93)*POWER(Upgrades!$P$9,H93)*POWER(Upgrades!$P$10,I93)*POWER(Upgrades!$P$11,J93)*POWER(Upgrades!$P$12,K93))+0.2*M93*Parameters!$B$10*Parameters!$B$11/60)/Upgrades!$C$12,0)),IF(AND(ISNUMBER(AG93),AG93&gt;T93),AS93,0),IF(AND(ISNUMBER(AH93),AH93&gt;T93),AT93,0),IF(AND(ISNUMBER(AI93),AI93&gt;T93),AU93,0),IF(AND(ISNUMBER(AJ93),AJ93&gt;T93),AV93,0))</f>
        <v>0.00452762415783776</v>
      </c>
      <c r="AX93" s="29" t="str">
        <f aca="false">IF(AN93=1,"transition",IF(MIN(IF(AND(I93=0,ISNUMBER(AK93),AK93&lt;=T93),AK93,9000000000000000),IF(AND(J93=0,ISNUMBER(AL93),AL93&lt;=T93),AL93,9000000000000000),IF(AND(K93=0,ISNUMBER(AM93),AM93&lt;=T93),AM93,9000000000000000))&lt;9000000000000000,IF(AND(AND(I93=0,ISNUMBER(AK93),AK93&lt;=T93),AK93=MIN(IF(AND(I93=0,ISNUMBER(AK93),AK93&lt;=T93),AK93,9000000000000000),IF(AND(J93=0,ISNUMBER(AL93),AL93&lt;=T93),AL93,9000000000000000),IF(AND(K93=0,ISNUMBER(AM93),AM93&lt;=T93),AM93,9000000000000000))),"OR",IF(AND(AND(J93=0,ISNUMBER(AL93),AL93&lt;=T93),AL93=MIN(IF(AND(I93=0,ISNUMBER(AK93),AK93&lt;=T93),AK93,9000000000000000),IF(AND(J93=0,ISNUMBER(AL93),AL93&lt;=T93),AL93,9000000000000000),IF(AND(K93=0,ISNUMBER(AM93),AM93&lt;=T93),AM93,9000000000000000))),"HP","FP")),IF(AR93=TRUE(),"",IF(MAX(IF(AND(NOT(AND(AO93=1,AN93&lt;&gt;1)),ISNUMBER(AG93),AG93&lt;=T93),AS93,0),IF(AND(NOT(AND(AO93=1,AN93&lt;&gt;1)),ISNUMBER(AH93),AH93&lt;=T93),AT93,0),IF(AND(NOT(AND(AO93=1,AN93&lt;&gt;1)),ISNUMBER(AI93),AI93&lt;=T93),AU93,0),IF(AND(ISNUMBER(AJ93),AJ93&lt;=T93),AV93,0))&lt;=0,"",IF(AND(IF(AND(NOT(AND(AO93=1,AN93&lt;&gt;1)),ISNUMBER(AG93),AG93&lt;=T93),AS93,0)&gt;0,IF(AND(NOT(AND(AO93=1,AN93&lt;&gt;1)),ISNUMBER(AG93),AG93&lt;=T93),AS93,0)=MAX(IF(AND(NOT(AND(AO93=1,AN93&lt;&gt;1)),ISNUMBER(AG93),AG93&lt;=T93),AS93,0),IF(AND(NOT(AND(AO93=1,AN93&lt;&gt;1)),ISNUMBER(AH93),AH93&lt;=T93),AT93,0),IF(AND(NOT(AND(AO93=1,AN93&lt;&gt;1)),ISNUMBER(AI93),AI93&lt;=T93),AU93,0),IF(AND(ISNUMBER(AJ93),AJ93&lt;=T93),AV93,0))),"SW",IF(AND(IF(AND(NOT(AND(AO93=1,AN93&lt;&gt;1)),ISNUMBER(AH93),AH93&lt;=T93),AT93,0)&gt;0,IF(AND(NOT(AND(AO93=1,AN93&lt;&gt;1)),ISNUMBER(AH93),AH93&lt;=T93),AT93,0)=MAX(IF(AND(NOT(AND(AO93=1,AN93&lt;&gt;1)),ISNUMBER(AG93),AG93&lt;=T93),AS93,0),IF(AND(NOT(AND(AO93=1,AN93&lt;&gt;1)),ISNUMBER(AH93),AH93&lt;=T93),AT93,0),IF(AND(NOT(AND(AO93=1,AN93&lt;&gt;1)),ISNUMBER(AI93),AI93&lt;=T93),AU93,0),IF(AND(ISNUMBER(AJ93),AJ93&lt;=T93),AV93,0))),"AB",IF(AND(IF(AND(NOT(AND(AO93=1,AN93&lt;&gt;1)),ISNUMBER(AI93),AI93&lt;=T93),AU93,0)&gt;0,IF(AND(NOT(AND(AO93=1,AN93&lt;&gt;1)),ISNUMBER(AI93),AI93&lt;=T93),AU93,0)=MAX(IF(AND(NOT(AND(AO93=1,AN93&lt;&gt;1)),ISNUMBER(AG93),AG93&lt;=T93),AS93,0),IF(AND(NOT(AND(AO93=1,AN93&lt;&gt;1)),ISNUMBER(AH93),AH93&lt;=T93),AT93,0),IF(AND(NOT(AND(AO93=1,AN93&lt;&gt;1)),ISNUMBER(AI93),AI93&lt;=T93),AU93,0),IF(AND(ISNUMBER(AJ93),AJ93&lt;=T93),AV93,0))),"SC","Mag")))))))</f>
        <v/>
      </c>
    </row>
    <row r="94" customFormat="false" ht="15" hidden="false" customHeight="false" outlineLevel="0" collapsed="false">
      <c r="A94" s="26" t="n">
        <v>89</v>
      </c>
      <c r="B94" s="27" t="n">
        <f aca="false">A94*10/60</f>
        <v>14.8333333333333</v>
      </c>
      <c r="C94" s="21" t="n">
        <f aca="false">X93</f>
        <v>18.6730249835055</v>
      </c>
      <c r="D94" s="27" t="n">
        <f aca="false">D93+W93</f>
        <v>0</v>
      </c>
      <c r="E94" s="26" t="n">
        <f aca="false">E93+IF(U93="SW",1,0)</f>
        <v>12</v>
      </c>
      <c r="F94" s="26" t="n">
        <f aca="false">F93+IF(U93="AB",1,0)</f>
        <v>10</v>
      </c>
      <c r="G94" s="26" t="n">
        <f aca="false">G93+IF(U93="SC",1,0)</f>
        <v>7</v>
      </c>
      <c r="H94" s="26" t="n">
        <f aca="false">H93+IF(U93="Mag",1,0)</f>
        <v>5</v>
      </c>
      <c r="I94" s="26" t="n">
        <f aca="false">MAX(I93,IF(U93="OR",1,0))</f>
        <v>1</v>
      </c>
      <c r="J94" s="26" t="n">
        <f aca="false">MAX(J93,IF(U93="HP",1,0))</f>
        <v>1</v>
      </c>
      <c r="K94" s="26" t="n">
        <f aca="false">MAX(K93,IF(U93="FP",1,0))</f>
        <v>1</v>
      </c>
      <c r="L94" s="26" t="n">
        <f aca="false">MAX(L93,IF(U93="transition",1,0))</f>
        <v>1</v>
      </c>
      <c r="M94" s="28" t="n">
        <f aca="false">(Parameters!$B$9+(IF(E94=0,0,(Upgrades!$J$6+E94*Upgrades!$K$6)*POWER(Upgrades!$L$6,E94)))*(IF(Upgrades!$T$7="Solar Wind",POWER(Upgrades!$U$7,F94),1)*IF(Upgrades!$T$8="Solar Wind",POWER(Upgrades!$U$8,G94),1)*IF(Upgrades!$T$9="Solar Wind",POWER(Upgrades!$U$9,H94),1)*IF(Upgrades!$T$10="Solar Wind",POWER(Upgrades!$U$10,I94),1)*IF(Upgrades!$T$11="Solar Wind",POWER(Upgrades!$U$11,J94),1)*IF(Upgrades!$T$12="Solar Wind",POWER(Upgrades!$U$12,K94),1))+(IF(F94=0,0,(Upgrades!$J$7+F94*Upgrades!$K$7)*POWER(Upgrades!$L$7,F94)))*(IF(Upgrades!$T$6="Asteroid Belt",POWER(Upgrades!$U$6,E94),1)*IF(Upgrades!$T$8="Asteroid Belt",POWER(Upgrades!$U$8,G94),1)*IF(Upgrades!$T$9="Asteroid Belt",POWER(Upgrades!$U$9,H94),1)*IF(Upgrades!$T$10="Asteroid Belt",POWER(Upgrades!$U$10,I94),1)*IF(Upgrades!$T$11="Asteroid Belt",POWER(Upgrades!$U$11,J94),1)*IF(Upgrades!$T$12="Asteroid Belt",POWER(Upgrades!$U$12,K94),1))+(IF(G94=0,0,(Upgrades!$J$8+G94*Upgrades!$K$8)*POWER(Upgrades!$L$8,G94)))*(IF(Upgrades!$T$6="Stellar Coupling",POWER(Upgrades!$U$6,E94),1)*IF(Upgrades!$T$7="Stellar Coupling",POWER(Upgrades!$U$7,F94),1)*IF(Upgrades!$T$9="Stellar Coupling",POWER(Upgrades!$U$9,H94),1)*IF(Upgrades!$T$10="Stellar Coupling",POWER(Upgrades!$U$10,I94),1)*IF(Upgrades!$T$11="Stellar Coupling",POWER(Upgrades!$U$11,J94),1)*IF(Upgrades!$T$12="Stellar Coupling",POWER(Upgrades!$U$12,K94),1))+(IF(H94=0,0,(Upgrades!$J$9+H94*Upgrades!$K$9)*POWER(Upgrades!$L$9,H94)))*(IF(Upgrades!$T$6="Magnetosphere",POWER(Upgrades!$U$6,E94),1)*IF(Upgrades!$T$7="Magnetosphere",POWER(Upgrades!$U$7,F94),1)*IF(Upgrades!$T$8="Magnetosphere",POWER(Upgrades!$U$8,G94),1)*IF(Upgrades!$T$10="Magnetosphere",POWER(Upgrades!$U$10,I94),1)*IF(Upgrades!$T$11="Magnetosphere",POWER(Upgrades!$U$11,J94),1)*IF(Upgrades!$T$12="Magnetosphere",POWER(Upgrades!$U$12,K94),1))+(IF(I94=0,0,(Upgrades!$J$10+I94*Upgrades!$K$10)*POWER(Upgrades!$L$10,I94)))*(IF(Upgrades!$T$6="Orbital Resonance",POWER(Upgrades!$U$6,E94),1)*IF(Upgrades!$T$7="Orbital Resonance",POWER(Upgrades!$U$7,F94),1)*IF(Upgrades!$T$8="Orbital Resonance",POWER(Upgrades!$U$8,G94),1)*IF(Upgrades!$T$9="Orbital Resonance",POWER(Upgrades!$U$9,H94),1)*IF(Upgrades!$T$11="Orbital Resonance",POWER(Upgrades!$U$11,J94),1)*IF(Upgrades!$T$12="Orbital Resonance",POWER(Upgrades!$U$12,K94),1))+(IF(J94=0,0,(Upgrades!$J$11+J94*Upgrades!$K$11)*POWER(Upgrades!$L$11,J94)))*(IF(Upgrades!$T$6="Heliopause",POWER(Upgrades!$U$6,E94),1)*IF(Upgrades!$T$7="Heliopause",POWER(Upgrades!$U$7,F94),1)*IF(Upgrades!$T$8="Heliopause",POWER(Upgrades!$U$8,G94),1)*IF(Upgrades!$T$9="Heliopause",POWER(Upgrades!$U$9,H94),1)*IF(Upgrades!$T$10="Heliopause",POWER(Upgrades!$U$10,I94),1)*IF(Upgrades!$T$12="Heliopause",POWER(Upgrades!$U$12,K94),1))+(IF(K94=0,0,(Upgrades!$J$12+K94*Upgrades!$K$12)*POWER(Upgrades!$L$12,K94)))*(IF(Upgrades!$T$6="First Photons",POWER(Upgrades!$U$6,E94),1)*IF(Upgrades!$T$7="First Photons",POWER(Upgrades!$U$7,F94),1)*IF(Upgrades!$T$8="First Photons",POWER(Upgrades!$U$8,G94),1)*IF(Upgrades!$T$9="First Photons",POWER(Upgrades!$U$9,H94),1)*IF(Upgrades!$T$10="First Photons",POWER(Upgrades!$U$10,I94),1)*IF(Upgrades!$T$11="First Photons",POWER(Upgrades!$U$11,J94),1)))*POWER(Upgrades!$Q$6,E94)*POWER(Upgrades!$Q$7,F94)*POWER(Upgrades!$Q$8,G94)*POWER(Upgrades!$Q$9,H94)*POWER(Upgrades!$Q$10,I94)*POWER(Upgrades!$Q$11,J94)*POWER(Upgrades!$Q$12,K94)</f>
        <v>5.61</v>
      </c>
      <c r="N94" s="28" t="n">
        <f aca="false">((IF(E94=0,0,(Upgrades!$G$6+E94*Upgrades!$H$6)*POWER(Upgrades!$I$6,E94)))*(IF(Upgrades!$T$7="Solar Wind",POWER(Upgrades!$U$7,F94),1)*IF(Upgrades!$T$8="Solar Wind",POWER(Upgrades!$U$8,G94),1)*IF(Upgrades!$T$9="Solar Wind",POWER(Upgrades!$U$9,H94),1)*IF(Upgrades!$T$10="Solar Wind",POWER(Upgrades!$U$10,I94),1)*IF(Upgrades!$T$11="Solar Wind",POWER(Upgrades!$U$11,J94),1)*IF(Upgrades!$T$12="Solar Wind",POWER(Upgrades!$U$12,K94),1))+(IF(F94=0,0,(Upgrades!$G$7+F94*Upgrades!$H$7)*POWER(Upgrades!$I$7,F94)))*(IF(Upgrades!$T$6="Asteroid Belt",POWER(Upgrades!$U$6,E94),1)*IF(Upgrades!$T$8="Asteroid Belt",POWER(Upgrades!$U$8,G94),1)*IF(Upgrades!$T$9="Asteroid Belt",POWER(Upgrades!$U$9,H94),1)*IF(Upgrades!$T$10="Asteroid Belt",POWER(Upgrades!$U$10,I94),1)*IF(Upgrades!$T$11="Asteroid Belt",POWER(Upgrades!$U$11,J94),1)*IF(Upgrades!$T$12="Asteroid Belt",POWER(Upgrades!$U$12,K94),1))+(IF(G94=0,0,(Upgrades!$G$8+G94*Upgrades!$H$8)*POWER(Upgrades!$I$8,G94)))*(IF(Upgrades!$T$6="Stellar Coupling",POWER(Upgrades!$U$6,E94),1)*IF(Upgrades!$T$7="Stellar Coupling",POWER(Upgrades!$U$7,F94),1)*IF(Upgrades!$T$9="Stellar Coupling",POWER(Upgrades!$U$9,H94),1)*IF(Upgrades!$T$10="Stellar Coupling",POWER(Upgrades!$U$10,I94),1)*IF(Upgrades!$T$11="Stellar Coupling",POWER(Upgrades!$U$11,J94),1)*IF(Upgrades!$T$12="Stellar Coupling",POWER(Upgrades!$U$12,K94),1))+(IF(H94=0,0,(Upgrades!$G$9+H94*Upgrades!$H$9)*POWER(Upgrades!$I$9,H94)))*(IF(Upgrades!$T$6="Magnetosphere",POWER(Upgrades!$U$6,E94),1)*IF(Upgrades!$T$7="Magnetosphere",POWER(Upgrades!$U$7,F94),1)*IF(Upgrades!$T$8="Magnetosphere",POWER(Upgrades!$U$8,G94),1)*IF(Upgrades!$T$10="Magnetosphere",POWER(Upgrades!$U$10,I94),1)*IF(Upgrades!$T$11="Magnetosphere",POWER(Upgrades!$U$11,J94),1)*IF(Upgrades!$T$12="Magnetosphere",POWER(Upgrades!$U$12,K94),1))+(IF(I94=0,0,(Upgrades!$G$10+I94*Upgrades!$H$10)*POWER(Upgrades!$I$10,I94)))*(IF(Upgrades!$T$6="Orbital Resonance",POWER(Upgrades!$U$6,E94),1)*IF(Upgrades!$T$7="Orbital Resonance",POWER(Upgrades!$U$7,F94),1)*IF(Upgrades!$T$8="Orbital Resonance",POWER(Upgrades!$U$8,G94),1)*IF(Upgrades!$T$9="Orbital Resonance",POWER(Upgrades!$U$9,H94),1)*IF(Upgrades!$T$11="Orbital Resonance",POWER(Upgrades!$U$11,J94),1)*IF(Upgrades!$T$12="Orbital Resonance",POWER(Upgrades!$U$12,K94),1))+(IF(J94=0,0,(Upgrades!$G$11+J94*Upgrades!$H$11)*POWER(Upgrades!$I$11,J94)))*(IF(Upgrades!$T$6="Heliopause",POWER(Upgrades!$U$6,E94),1)*IF(Upgrades!$T$7="Heliopause",POWER(Upgrades!$U$7,F94),1)*IF(Upgrades!$T$8="Heliopause",POWER(Upgrades!$U$8,G94),1)*IF(Upgrades!$T$9="Heliopause",POWER(Upgrades!$U$9,H94),1)*IF(Upgrades!$T$10="Heliopause",POWER(Upgrades!$U$10,I94),1)*IF(Upgrades!$T$12="Heliopause",POWER(Upgrades!$U$12,K94),1))+(IF(K94=0,0,(Upgrades!$G$12+K94*Upgrades!$H$12)*POWER(Upgrades!$I$12,K94)))*(IF(Upgrades!$T$6="First Photons",POWER(Upgrades!$U$6,E94),1)*IF(Upgrades!$T$7="First Photons",POWER(Upgrades!$U$7,F94),1)*IF(Upgrades!$T$8="First Photons",POWER(Upgrades!$U$8,G94),1)*IF(Upgrades!$T$9="First Photons",POWER(Upgrades!$U$9,H94),1)*IF(Upgrades!$T$10="First Photons",POWER(Upgrades!$U$10,I94),1)*IF(Upgrades!$T$11="First Photons",POWER(Upgrades!$U$11,J94),1)))*POWER(Upgrades!$P$6,E94)*POWER(Upgrades!$P$7,F94)*POWER(Upgrades!$P$8,G94)*POWER(Upgrades!$P$9,H94)*POWER(Upgrades!$P$10,I94)*POWER(Upgrades!$P$11,J94)*POWER(Upgrades!$P$12,K94)</f>
        <v>11.2</v>
      </c>
      <c r="O94" s="28" t="n">
        <f aca="false">((IF(E94=0,0,(Upgrades!$M$6+E94*Upgrades!$N$6)*POWER(Upgrades!$O$6,E94)))*(IF(Upgrades!$T$7="Solar Wind",POWER(Upgrades!$U$7,F94),1)*IF(Upgrades!$T$8="Solar Wind",POWER(Upgrades!$U$8,G94),1)*IF(Upgrades!$T$9="Solar Wind",POWER(Upgrades!$U$9,H94),1)*IF(Upgrades!$T$10="Solar Wind",POWER(Upgrades!$U$10,I94),1)*IF(Upgrades!$T$11="Solar Wind",POWER(Upgrades!$U$11,J94),1)*IF(Upgrades!$T$12="Solar Wind",POWER(Upgrades!$U$12,K94),1))+(IF(F94=0,0,(Upgrades!$M$7+F94*Upgrades!$N$7)*POWER(Upgrades!$O$7,F94)))*(IF(Upgrades!$T$6="Asteroid Belt",POWER(Upgrades!$U$6,E94),1)*IF(Upgrades!$T$8="Asteroid Belt",POWER(Upgrades!$U$8,G94),1)*IF(Upgrades!$T$9="Asteroid Belt",POWER(Upgrades!$U$9,H94),1)*IF(Upgrades!$T$10="Asteroid Belt",POWER(Upgrades!$U$10,I94),1)*IF(Upgrades!$T$11="Asteroid Belt",POWER(Upgrades!$U$11,J94),1)*IF(Upgrades!$T$12="Asteroid Belt",POWER(Upgrades!$U$12,K94),1))+(IF(G94=0,0,(Upgrades!$M$8+G94*Upgrades!$N$8)*POWER(Upgrades!$O$8,G94)))*(IF(Upgrades!$T$6="Stellar Coupling",POWER(Upgrades!$U$6,E94),1)*IF(Upgrades!$T$7="Stellar Coupling",POWER(Upgrades!$U$7,F94),1)*IF(Upgrades!$T$9="Stellar Coupling",POWER(Upgrades!$U$9,H94),1)*IF(Upgrades!$T$10="Stellar Coupling",POWER(Upgrades!$U$10,I94),1)*IF(Upgrades!$T$11="Stellar Coupling",POWER(Upgrades!$U$11,J94),1)*IF(Upgrades!$T$12="Stellar Coupling",POWER(Upgrades!$U$12,K94),1))+(IF(H94=0,0,(Upgrades!$M$9+H94*Upgrades!$N$9)*POWER(Upgrades!$O$9,H94)))*(IF(Upgrades!$T$6="Magnetosphere",POWER(Upgrades!$U$6,E94),1)*IF(Upgrades!$T$7="Magnetosphere",POWER(Upgrades!$U$7,F94),1)*IF(Upgrades!$T$8="Magnetosphere",POWER(Upgrades!$U$8,G94),1)*IF(Upgrades!$T$10="Magnetosphere",POWER(Upgrades!$U$10,I94),1)*IF(Upgrades!$T$11="Magnetosphere",POWER(Upgrades!$U$11,J94),1)*IF(Upgrades!$T$12="Magnetosphere",POWER(Upgrades!$U$12,K94),1))+(IF(I94=0,0,(Upgrades!$M$10+I94*Upgrades!$N$10)*POWER(Upgrades!$O$10,I94)))*(IF(Upgrades!$T$6="Orbital Resonance",POWER(Upgrades!$U$6,E94),1)*IF(Upgrades!$T$7="Orbital Resonance",POWER(Upgrades!$U$7,F94),1)*IF(Upgrades!$T$8="Orbital Resonance",POWER(Upgrades!$U$8,G94),1)*IF(Upgrades!$T$9="Orbital Resonance",POWER(Upgrades!$U$9,H94),1)*IF(Upgrades!$T$11="Orbital Resonance",POWER(Upgrades!$U$11,J94),1)*IF(Upgrades!$T$12="Orbital Resonance",POWER(Upgrades!$U$12,K94),1))+(IF(J94=0,0,(Upgrades!$M$11+J94*Upgrades!$N$11)*POWER(Upgrades!$O$11,J94)))*(IF(Upgrades!$T$6="Heliopause",POWER(Upgrades!$U$6,E94),1)*IF(Upgrades!$T$7="Heliopause",POWER(Upgrades!$U$7,F94),1)*IF(Upgrades!$T$8="Heliopause",POWER(Upgrades!$U$8,G94),1)*IF(Upgrades!$T$9="Heliopause",POWER(Upgrades!$U$9,H94),1)*IF(Upgrades!$T$10="Heliopause",POWER(Upgrades!$U$10,I94),1)*IF(Upgrades!$T$12="Heliopause",POWER(Upgrades!$U$12,K94),1))+(IF(K94=0,0,(Upgrades!$M$12+K94*Upgrades!$N$12)*POWER(Upgrades!$O$12,K94)))*(IF(Upgrades!$T$6="First Photons",POWER(Upgrades!$U$6,E94),1)*IF(Upgrades!$T$7="First Photons",POWER(Upgrades!$U$7,F94),1)*IF(Upgrades!$T$8="First Photons",POWER(Upgrades!$U$8,G94),1)*IF(Upgrades!$T$9="First Photons",POWER(Upgrades!$U$9,H94),1)*IF(Upgrades!$T$10="First Photons",POWER(Upgrades!$U$10,I94),1)*IF(Upgrades!$T$11="First Photons",POWER(Upgrades!$U$11,J94),1)))*POWER(Upgrades!$R$6,E94)*POWER(Upgrades!$R$7,F94)*POWER(Upgrades!$R$8,G94)*POWER(Upgrades!$R$9,H94)*POWER(Upgrades!$R$10,I94)*POWER(Upgrades!$R$11,J94)*POWER(Upgrades!$R$12,K94)</f>
        <v>0</v>
      </c>
      <c r="P94" s="27" t="n">
        <f aca="false">IF(L94=1,0,M94*Parameters!$B$10/60*Parameters!$B$11*10)</f>
        <v>0</v>
      </c>
      <c r="Q94" s="27" t="n">
        <f aca="false">IF(L94=1,0,O94*M94*10)</f>
        <v>0</v>
      </c>
      <c r="R94" s="27" t="n">
        <f aca="false">IF(L94=1,0,N94*10)</f>
        <v>0</v>
      </c>
      <c r="S94" s="27" t="n">
        <f aca="false">P94+Q94+R94</f>
        <v>0</v>
      </c>
      <c r="T94" s="21" t="n">
        <f aca="false">C94+S94</f>
        <v>18.6730249835055</v>
      </c>
      <c r="U94" s="34" t="str">
        <f aca="false">AX94</f>
        <v/>
      </c>
      <c r="V94" s="21" t="n">
        <f aca="false">IF(U94="",0,IF(U94="transition",0,IF(U94="SW",AG94,IF(U94="AB",AH94,IF(U94="SC",AI94,IF(U94="Mag",AJ94,IF(U94="OR",AK94,IF(U94="HP",AL94,IF(U94="FP",AM94,0)))))))))</f>
        <v>0</v>
      </c>
      <c r="W94" s="27" t="n">
        <f aca="false">IF(U94="OR",Upgrades!$F$10,IF(U94="HP",Upgrades!$F$11,IF(U94="transition",-Parameters!$B$18,0)))</f>
        <v>0</v>
      </c>
      <c r="X94" s="21" t="n">
        <f aca="false">T94-V94</f>
        <v>18.6730249835055</v>
      </c>
      <c r="Y94" s="30" t="n">
        <f aca="false">M94*Parameters!$B$10/60*Parameters!$B$11+O94*M94+N94</f>
        <v>20.55</v>
      </c>
      <c r="Z94" s="35" t="str">
        <f aca="false">IF(U94="transition","→ Tier 2 (Stellar Neighborhood)",IF(U94="FP","First Photons — light begins, system quickens",IF(U94="HP","Heliopause acquired",IF(U94="OR","Orbital Resonance — passive multiplier active",IF(AND(AO94=1,L94=0,AN94&lt;&gt;1),"Cohesion ready (waiting on completionist upgrades)","")))))</f>
        <v/>
      </c>
      <c r="AA94" s="27" t="n">
        <f aca="false">(IF(E94=0,0,(Upgrades!$G$6+E94*Upgrades!$H$6)*POWER(Upgrades!$I$6,E94)))*(IF(Upgrades!$T$7="Solar Wind",POWER(Upgrades!$U$7,F94),1)*IF(Upgrades!$T$8="Solar Wind",POWER(Upgrades!$U$8,G94),1)*IF(Upgrades!$T$9="Solar Wind",POWER(Upgrades!$U$9,H94),1)*IF(Upgrades!$T$10="Solar Wind",POWER(Upgrades!$U$10,I94),1)*IF(Upgrades!$T$11="Solar Wind",POWER(Upgrades!$U$11,J94),1)*IF(Upgrades!$T$12="Solar Wind",POWER(Upgrades!$U$12,K94),1))*POWER(Upgrades!$P$6,E94)*POWER(Upgrades!$P$7,F94)*POWER(Upgrades!$P$8,G94)*POWER(Upgrades!$P$9,H94)*POWER(Upgrades!$P$10,I94)*POWER(Upgrades!$P$11,J94)*POWER(Upgrades!$P$12,K94)*60</f>
        <v>72</v>
      </c>
      <c r="AB94" s="27" t="n">
        <f aca="false">(IF(F94=0,0,(Upgrades!$G$7+F94*Upgrades!$H$7)*POWER(Upgrades!$I$7,F94)))*(IF(Upgrades!$T$6="Asteroid Belt",POWER(Upgrades!$U$6,E94),1)*IF(Upgrades!$T$8="Asteroid Belt",POWER(Upgrades!$U$8,G94),1)*IF(Upgrades!$T$9="Asteroid Belt",POWER(Upgrades!$U$9,H94),1)*IF(Upgrades!$T$10="Asteroid Belt",POWER(Upgrades!$U$10,I94),1)*IF(Upgrades!$T$11="Asteroid Belt",POWER(Upgrades!$U$11,J94),1)*IF(Upgrades!$T$12="Asteroid Belt",POWER(Upgrades!$U$12,K94),1))*POWER(Upgrades!$P$6,E94)*POWER(Upgrades!$P$7,F94)*POWER(Upgrades!$P$8,G94)*POWER(Upgrades!$P$9,H94)*POWER(Upgrades!$P$10,I94)*POWER(Upgrades!$P$11,J94)*POWER(Upgrades!$P$12,K94)*60</f>
        <v>150</v>
      </c>
      <c r="AC94" s="27" t="n">
        <f aca="false">(IF(G94=0,0,(Upgrades!$J$8+G94*Upgrades!$K$8)*POWER(Upgrades!$L$8,G94)))*(IF(Upgrades!$T$6="Stellar Coupling",POWER(Upgrades!$U$6,E94),1)*IF(Upgrades!$T$7="Stellar Coupling",POWER(Upgrades!$U$7,F94),1)*IF(Upgrades!$T$9="Stellar Coupling",POWER(Upgrades!$U$9,H94),1)*IF(Upgrades!$T$10="Stellar Coupling",POWER(Upgrades!$U$10,I94),1)*IF(Upgrades!$T$11="Stellar Coupling",POWER(Upgrades!$U$11,J94),1)*IF(Upgrades!$T$12="Stellar Coupling",POWER(Upgrades!$U$12,K94),1))*POWER(Upgrades!$Q$6,E94)*POWER(Upgrades!$Q$7,F94)*POWER(Upgrades!$Q$8,G94)*POWER(Upgrades!$Q$9,H94)*POWER(Upgrades!$Q$10,I94)*POWER(Upgrades!$Q$11,J94)*POWER(Upgrades!$Q$12,K94)*Parameters!$B$10*Parameters!$B$11</f>
        <v>441</v>
      </c>
      <c r="AD94" s="27" t="n">
        <f aca="false">(IF(H94=0,0,(Upgrades!$G$9+H94*Upgrades!$H$9)*POWER(Upgrades!$I$9,H94)))*(IF(Upgrades!$T$6="Magnetosphere",POWER(Upgrades!$U$6,E94),1)*IF(Upgrades!$T$7="Magnetosphere",POWER(Upgrades!$U$7,F94),1)*IF(Upgrades!$T$8="Magnetosphere",POWER(Upgrades!$U$8,G94),1)*IF(Upgrades!$T$10="Magnetosphere",POWER(Upgrades!$U$10,I94),1)*IF(Upgrades!$T$11="Magnetosphere",POWER(Upgrades!$U$11,J94),1)*IF(Upgrades!$T$12="Magnetosphere",POWER(Upgrades!$U$12,K94),1))*POWER(Upgrades!$P$6,E94)*POWER(Upgrades!$P$7,F94)*POWER(Upgrades!$P$8,G94)*POWER(Upgrades!$P$9,H94)*POWER(Upgrades!$P$10,I94)*POWER(Upgrades!$P$11,J94)*POWER(Upgrades!$P$12,K94)*60</f>
        <v>375</v>
      </c>
      <c r="AE94" s="27" t="n">
        <f aca="false">(IF(K94=0,0,(Upgrades!$G$12+K94*Upgrades!$H$12)*POWER(Upgrades!$I$12,K94)))*(IF(Upgrades!$T$6="First Photons",POWER(Upgrades!$U$6,E94),1)*IF(Upgrades!$T$7="First Photons",POWER(Upgrades!$U$7,F94),1)*IF(Upgrades!$T$8="First Photons",POWER(Upgrades!$U$8,G94),1)*IF(Upgrades!$T$9="First Photons",POWER(Upgrades!$U$9,H94),1)*IF(Upgrades!$T$10="First Photons",POWER(Upgrades!$U$10,I94),1)*IF(Upgrades!$T$11="First Photons",POWER(Upgrades!$U$11,J94),1))*POWER(Upgrades!$P$6,E94)*POWER(Upgrades!$P$7,F94)*POWER(Upgrades!$P$8,G94)*POWER(Upgrades!$P$9,H94)*POWER(Upgrades!$P$10,I94)*POWER(Upgrades!$P$11,J94)*POWER(Upgrades!$P$12,K94)*60</f>
        <v>75</v>
      </c>
      <c r="AF94" s="27" t="n">
        <f aca="false">Parameters!$B$9*POWER(Upgrades!$Q$6,E94)*POWER(Upgrades!$Q$7,F94)*POWER(Upgrades!$Q$8,G94)*POWER(Upgrades!$Q$9,H94)*POWER(Upgrades!$Q$10,I94)*POWER(Upgrades!$Q$11,J94)*POWER(Upgrades!$Q$12,K94)*(Parameters!$B$10*Parameters!$B$11+O94*60)</f>
        <v>120</v>
      </c>
      <c r="AG94" s="21" t="n">
        <f aca="false">IF(E94&gt;=Upgrades!$E$6,"",Upgrades!$C$6*POWER(Upgrades!$D$6,E94))</f>
        <v>37.4517507383159</v>
      </c>
      <c r="AH94" s="21" t="n">
        <f aca="false">IF(F94&gt;=Upgrades!$E$7,"",Upgrades!$C$7*POWER(Upgrades!$D$7,F94))</f>
        <v>80.9111547141581</v>
      </c>
      <c r="AI94" s="21" t="n">
        <f aca="false">IF(G94&gt;=Upgrades!$E$8,"",Upgrades!$C$8*POWER(Upgrades!$D$8,G94))</f>
        <v>231.9097088</v>
      </c>
      <c r="AJ94" s="21" t="str">
        <f aca="false">IF(H94&gt;=Upgrades!$E$9,"",Upgrades!$C$9*POWER(Upgrades!$D$9,H94))</f>
        <v/>
      </c>
      <c r="AK94" s="21" t="str">
        <f aca="false">IF(I94&gt;=Upgrades!$E$10,"",Upgrades!$C$10*POWER(Upgrades!$D$10,I94))</f>
        <v/>
      </c>
      <c r="AL94" s="21" t="str">
        <f aca="false">IF(J94&gt;=Upgrades!$E$11,"",Upgrades!$C$11*POWER(Upgrades!$D$11,J94))</f>
        <v/>
      </c>
      <c r="AM94" s="21" t="str">
        <f aca="false">IF(K94&gt;=Upgrades!$E$12,"",Upgrades!$C$12*POWER(Upgrades!$D$12,K94))</f>
        <v/>
      </c>
      <c r="AN94" s="26" t="str">
        <f aca="false">IF(AND(D94&gt;=Parameters!$B$18,(H94&gt;=Upgrades!$E$9)*(K94&gt;=Upgrades!$E$12)=1,L94=0),1,"")</f>
        <v/>
      </c>
      <c r="AO94" s="26" t="str">
        <f aca="false">IF(AND(D94&gt;=Parameters!$B$18,L94=0),1,"")</f>
        <v/>
      </c>
      <c r="AP94" s="21" t="n">
        <f aca="false">MIN(IF(ISNUMBER(AK94),AK94,9000000000000000),IF(ISNUMBER(AL94),AL94,9000000000000000),IF(ISNUMBER(AM94),AM94,9000000000000000))</f>
        <v>9000000000000000</v>
      </c>
      <c r="AQ94" s="21" t="n">
        <f aca="false">MIN(IF(ISNUMBER(AG94),AG94,9000000000000000),IF(ISNUMBER(AH94),AH94,9000000000000000),IF(ISNUMBER(AI94),AI94,9000000000000000),IF(ISNUMBER(AJ94),AJ94,9000000000000000))</f>
        <v>37.4517507383159</v>
      </c>
      <c r="AR94" s="32" t="b">
        <f aca="false">IF(AW94&gt;Parameters!$B$21*(MAX(IF(AND(NOT(AND(AO94=1,AN94&lt;&gt;1)),ISNUMBER(AG94),AG94&lt;=T94),AS94,0),IF(AND(NOT(AND(AO94=1,AN94&lt;&gt;1)),ISNUMBER(AH94),AH94&lt;=T94),AT94,0),IF(AND(NOT(AND(AO94=1,AN94&lt;&gt;1)),ISNUMBER(AI94),AI94&lt;=T94),AU94,0),IF(AND(ISNUMBER(AJ94),AJ94&lt;=T94),AV94,0))),TRUE(),FALSE())</f>
        <v>1</v>
      </c>
      <c r="AS94" s="33" t="n">
        <f aca="false">IFERROR(Upgrades!$H$6*(POWER(Upgrades!$P$6,E94)*POWER(Upgrades!$P$7,F94)*POWER(Upgrades!$P$8,G94)*POWER(Upgrades!$P$9,H94)*POWER(Upgrades!$P$10,I94)*POWER(Upgrades!$P$11,J94)*POWER(Upgrades!$P$12,K94))*(IF(Upgrades!$T$7="Solar Wind",POWER(Upgrades!$U$7,F94),1)*IF(Upgrades!$T$8="Solar Wind",POWER(Upgrades!$U$8,G94),1)*IF(Upgrades!$T$9="Solar Wind",POWER(Upgrades!$U$9,H94),1)*IF(Upgrades!$T$10="Solar Wind",POWER(Upgrades!$U$10,I94),1)*IF(Upgrades!$T$11="Solar Wind",POWER(Upgrades!$U$11,J94),1)*IF(Upgrades!$T$12="Solar Wind",POWER(Upgrades!$U$12,K94),1))/AG94,0)</f>
        <v>0.0026701021455238</v>
      </c>
      <c r="AT94" s="33" t="n">
        <f aca="false">IFERROR(Upgrades!$H$7*(POWER(Upgrades!$P$6,E94)*POWER(Upgrades!$P$7,F94)*POWER(Upgrades!$P$8,G94)*POWER(Upgrades!$P$9,H94)*POWER(Upgrades!$P$10,I94)*POWER(Upgrades!$P$11,J94)*POWER(Upgrades!$P$12,K94))*(IF(Upgrades!$T$6="Asteroid Belt",POWER(Upgrades!$U$6,E94),1)*IF(Upgrades!$T$8="Asteroid Belt",POWER(Upgrades!$U$8,G94),1)*IF(Upgrades!$T$9="Asteroid Belt",POWER(Upgrades!$U$9,H94),1)*IF(Upgrades!$T$10="Asteroid Belt",POWER(Upgrades!$U$10,I94),1)*IF(Upgrades!$T$11="Asteroid Belt",POWER(Upgrades!$U$11,J94),1)*IF(Upgrades!$T$12="Asteroid Belt",POWER(Upgrades!$U$12,K94),1))/AH94,0)</f>
        <v>0.00308980882652332</v>
      </c>
      <c r="AU94" s="33" t="n">
        <f aca="false">IFERROR(Upgrades!$K$8*(POWER(Upgrades!$Q$6,E94)*POWER(Upgrades!$Q$7,F94)*POWER(Upgrades!$Q$8,G94)*POWER(Upgrades!$Q$9,H94)*POWER(Upgrades!$Q$10,I94)*POWER(Upgrades!$Q$11,J94)*POWER(Upgrades!$Q$12,K94))*(IF(Upgrades!$T$6="Stellar Coupling",POWER(Upgrades!$U$6,E94),1)*IF(Upgrades!$T$7="Stellar Coupling",POWER(Upgrades!$U$7,F94),1)*IF(Upgrades!$T$9="Stellar Coupling",POWER(Upgrades!$U$9,H94),1)*IF(Upgrades!$T$10="Stellar Coupling",POWER(Upgrades!$U$10,I94),1)*IF(Upgrades!$T$11="Stellar Coupling",POWER(Upgrades!$U$11,J94),1)*IF(Upgrades!$T$12="Stellar Coupling",POWER(Upgrades!$U$12,K94),1))*Parameters!$B$10*Parameters!$B$11/60/AI94,0)</f>
        <v>0.00452762415783776</v>
      </c>
      <c r="AV94" s="33" t="n">
        <f aca="false">IFERROR(Upgrades!$H$9*(POWER(Upgrades!$P$6,E94)*POWER(Upgrades!$P$7,F94)*POWER(Upgrades!$P$8,G94)*POWER(Upgrades!$P$9,H94)*POWER(Upgrades!$P$10,I94)*POWER(Upgrades!$P$11,J94)*POWER(Upgrades!$P$12,K94))*(IF(Upgrades!$T$6="Magnetosphere",POWER(Upgrades!$U$6,E94),1)*IF(Upgrades!$T$7="Magnetosphere",POWER(Upgrades!$U$7,F94),1)*IF(Upgrades!$T$8="Magnetosphere",POWER(Upgrades!$U$8,G94),1)*IF(Upgrades!$T$10="Magnetosphere",POWER(Upgrades!$U$10,I94),1)*IF(Upgrades!$T$11="Magnetosphere",POWER(Upgrades!$U$11,J94),1)*IF(Upgrades!$T$12="Magnetosphere",POWER(Upgrades!$U$12,K94),1))/AJ94,0)</f>
        <v>0</v>
      </c>
      <c r="AW94" s="33" t="n">
        <f aca="false">MAX(IF(I94&gt;0,0,IFERROR(0.25*N94/Upgrades!$C$10,0)),IF(J94&gt;0,0,IFERROR(0.5*((IF(G94=0,0,(Upgrades!$J$8+G94*Upgrades!$K$8)*POWER(Upgrades!$L$8,G94)))*(IF(Upgrades!$T$6="Stellar Coupling",POWER(Upgrades!$U$6,E94),1)*IF(Upgrades!$T$7="Stellar Coupling",POWER(Upgrades!$U$7,F94),1)*IF(Upgrades!$T$9="Stellar Coupling",POWER(Upgrades!$U$9,H94),1)*IF(Upgrades!$T$10="Stellar Coupling",POWER(Upgrades!$U$10,I94),1)*IF(Upgrades!$T$11="Stellar Coupling",POWER(Upgrades!$U$11,J94),1)*IF(Upgrades!$T$12="Stellar Coupling",POWER(Upgrades!$U$12,K94),1))*(POWER(Upgrades!$Q$6,E94)*POWER(Upgrades!$Q$7,F94)*POWER(Upgrades!$Q$8,G94)*POWER(Upgrades!$Q$9,H94)*POWER(Upgrades!$Q$10,I94)*POWER(Upgrades!$Q$11,J94)*POWER(Upgrades!$Q$12,K94))*Parameters!$B$10*Parameters!$B$11/60)/Upgrades!$C$11,0)),IF(K94&gt;0,0,IFERROR((1*(POWER(Upgrades!$P$6,E94)*POWER(Upgrades!$P$7,F94)*POWER(Upgrades!$P$8,G94)*POWER(Upgrades!$P$9,H94)*POWER(Upgrades!$P$10,I94)*POWER(Upgrades!$P$11,J94)*POWER(Upgrades!$P$12,K94))+0.2*M94*Parameters!$B$10*Parameters!$B$11/60)/Upgrades!$C$12,0)),IF(AND(ISNUMBER(AG94),AG94&gt;T94),AS94,0),IF(AND(ISNUMBER(AH94),AH94&gt;T94),AT94,0),IF(AND(ISNUMBER(AI94),AI94&gt;T94),AU94,0),IF(AND(ISNUMBER(AJ94),AJ94&gt;T94),AV94,0))</f>
        <v>0.00452762415783776</v>
      </c>
      <c r="AX94" s="29" t="str">
        <f aca="false">IF(AN94=1,"transition",IF(MIN(IF(AND(I94=0,ISNUMBER(AK94),AK94&lt;=T94),AK94,9000000000000000),IF(AND(J94=0,ISNUMBER(AL94),AL94&lt;=T94),AL94,9000000000000000),IF(AND(K94=0,ISNUMBER(AM94),AM94&lt;=T94),AM94,9000000000000000))&lt;9000000000000000,IF(AND(AND(I94=0,ISNUMBER(AK94),AK94&lt;=T94),AK94=MIN(IF(AND(I94=0,ISNUMBER(AK94),AK94&lt;=T94),AK94,9000000000000000),IF(AND(J94=0,ISNUMBER(AL94),AL94&lt;=T94),AL94,9000000000000000),IF(AND(K94=0,ISNUMBER(AM94),AM94&lt;=T94),AM94,9000000000000000))),"OR",IF(AND(AND(J94=0,ISNUMBER(AL94),AL94&lt;=T94),AL94=MIN(IF(AND(I94=0,ISNUMBER(AK94),AK94&lt;=T94),AK94,9000000000000000),IF(AND(J94=0,ISNUMBER(AL94),AL94&lt;=T94),AL94,9000000000000000),IF(AND(K94=0,ISNUMBER(AM94),AM94&lt;=T94),AM94,9000000000000000))),"HP","FP")),IF(AR94=TRUE(),"",IF(MAX(IF(AND(NOT(AND(AO94=1,AN94&lt;&gt;1)),ISNUMBER(AG94),AG94&lt;=T94),AS94,0),IF(AND(NOT(AND(AO94=1,AN94&lt;&gt;1)),ISNUMBER(AH94),AH94&lt;=T94),AT94,0),IF(AND(NOT(AND(AO94=1,AN94&lt;&gt;1)),ISNUMBER(AI94),AI94&lt;=T94),AU94,0),IF(AND(ISNUMBER(AJ94),AJ94&lt;=T94),AV94,0))&lt;=0,"",IF(AND(IF(AND(NOT(AND(AO94=1,AN94&lt;&gt;1)),ISNUMBER(AG94),AG94&lt;=T94),AS94,0)&gt;0,IF(AND(NOT(AND(AO94=1,AN94&lt;&gt;1)),ISNUMBER(AG94),AG94&lt;=T94),AS94,0)=MAX(IF(AND(NOT(AND(AO94=1,AN94&lt;&gt;1)),ISNUMBER(AG94),AG94&lt;=T94),AS94,0),IF(AND(NOT(AND(AO94=1,AN94&lt;&gt;1)),ISNUMBER(AH94),AH94&lt;=T94),AT94,0),IF(AND(NOT(AND(AO94=1,AN94&lt;&gt;1)),ISNUMBER(AI94),AI94&lt;=T94),AU94,0),IF(AND(ISNUMBER(AJ94),AJ94&lt;=T94),AV94,0))),"SW",IF(AND(IF(AND(NOT(AND(AO94=1,AN94&lt;&gt;1)),ISNUMBER(AH94),AH94&lt;=T94),AT94,0)&gt;0,IF(AND(NOT(AND(AO94=1,AN94&lt;&gt;1)),ISNUMBER(AH94),AH94&lt;=T94),AT94,0)=MAX(IF(AND(NOT(AND(AO94=1,AN94&lt;&gt;1)),ISNUMBER(AG94),AG94&lt;=T94),AS94,0),IF(AND(NOT(AND(AO94=1,AN94&lt;&gt;1)),ISNUMBER(AH94),AH94&lt;=T94),AT94,0),IF(AND(NOT(AND(AO94=1,AN94&lt;&gt;1)),ISNUMBER(AI94),AI94&lt;=T94),AU94,0),IF(AND(ISNUMBER(AJ94),AJ94&lt;=T94),AV94,0))),"AB",IF(AND(IF(AND(NOT(AND(AO94=1,AN94&lt;&gt;1)),ISNUMBER(AI94),AI94&lt;=T94),AU94,0)&gt;0,IF(AND(NOT(AND(AO94=1,AN94&lt;&gt;1)),ISNUMBER(AI94),AI94&lt;=T94),AU94,0)=MAX(IF(AND(NOT(AND(AO94=1,AN94&lt;&gt;1)),ISNUMBER(AG94),AG94&lt;=T94),AS94,0),IF(AND(NOT(AND(AO94=1,AN94&lt;&gt;1)),ISNUMBER(AH94),AH94&lt;=T94),AT94,0),IF(AND(NOT(AND(AO94=1,AN94&lt;&gt;1)),ISNUMBER(AI94),AI94&lt;=T94),AU94,0),IF(AND(ISNUMBER(AJ94),AJ94&lt;=T94),AV94,0))),"SC","Mag")))))))</f>
        <v/>
      </c>
    </row>
    <row r="95" customFormat="false" ht="15" hidden="false" customHeight="false" outlineLevel="0" collapsed="false">
      <c r="A95" s="26" t="n">
        <v>90</v>
      </c>
      <c r="B95" s="27" t="n">
        <f aca="false">A95*10/60</f>
        <v>15</v>
      </c>
      <c r="C95" s="21" t="n">
        <f aca="false">X94</f>
        <v>18.6730249835055</v>
      </c>
      <c r="D95" s="27" t="n">
        <f aca="false">D94+W94</f>
        <v>0</v>
      </c>
      <c r="E95" s="26" t="n">
        <f aca="false">E94+IF(U94="SW",1,0)</f>
        <v>12</v>
      </c>
      <c r="F95" s="26" t="n">
        <f aca="false">F94+IF(U94="AB",1,0)</f>
        <v>10</v>
      </c>
      <c r="G95" s="26" t="n">
        <f aca="false">G94+IF(U94="SC",1,0)</f>
        <v>7</v>
      </c>
      <c r="H95" s="26" t="n">
        <f aca="false">H94+IF(U94="Mag",1,0)</f>
        <v>5</v>
      </c>
      <c r="I95" s="26" t="n">
        <f aca="false">MAX(I94,IF(U94="OR",1,0))</f>
        <v>1</v>
      </c>
      <c r="J95" s="26" t="n">
        <f aca="false">MAX(J94,IF(U94="HP",1,0))</f>
        <v>1</v>
      </c>
      <c r="K95" s="26" t="n">
        <f aca="false">MAX(K94,IF(U94="FP",1,0))</f>
        <v>1</v>
      </c>
      <c r="L95" s="26" t="n">
        <f aca="false">MAX(L94,IF(U94="transition",1,0))</f>
        <v>1</v>
      </c>
      <c r="M95" s="28" t="n">
        <f aca="false">(Parameters!$B$9+(IF(E95=0,0,(Upgrades!$J$6+E95*Upgrades!$K$6)*POWER(Upgrades!$L$6,E95)))*(IF(Upgrades!$T$7="Solar Wind",POWER(Upgrades!$U$7,F95),1)*IF(Upgrades!$T$8="Solar Wind",POWER(Upgrades!$U$8,G95),1)*IF(Upgrades!$T$9="Solar Wind",POWER(Upgrades!$U$9,H95),1)*IF(Upgrades!$T$10="Solar Wind",POWER(Upgrades!$U$10,I95),1)*IF(Upgrades!$T$11="Solar Wind",POWER(Upgrades!$U$11,J95),1)*IF(Upgrades!$T$12="Solar Wind",POWER(Upgrades!$U$12,K95),1))+(IF(F95=0,0,(Upgrades!$J$7+F95*Upgrades!$K$7)*POWER(Upgrades!$L$7,F95)))*(IF(Upgrades!$T$6="Asteroid Belt",POWER(Upgrades!$U$6,E95),1)*IF(Upgrades!$T$8="Asteroid Belt",POWER(Upgrades!$U$8,G95),1)*IF(Upgrades!$T$9="Asteroid Belt",POWER(Upgrades!$U$9,H95),1)*IF(Upgrades!$T$10="Asteroid Belt",POWER(Upgrades!$U$10,I95),1)*IF(Upgrades!$T$11="Asteroid Belt",POWER(Upgrades!$U$11,J95),1)*IF(Upgrades!$T$12="Asteroid Belt",POWER(Upgrades!$U$12,K95),1))+(IF(G95=0,0,(Upgrades!$J$8+G95*Upgrades!$K$8)*POWER(Upgrades!$L$8,G95)))*(IF(Upgrades!$T$6="Stellar Coupling",POWER(Upgrades!$U$6,E95),1)*IF(Upgrades!$T$7="Stellar Coupling",POWER(Upgrades!$U$7,F95),1)*IF(Upgrades!$T$9="Stellar Coupling",POWER(Upgrades!$U$9,H95),1)*IF(Upgrades!$T$10="Stellar Coupling",POWER(Upgrades!$U$10,I95),1)*IF(Upgrades!$T$11="Stellar Coupling",POWER(Upgrades!$U$11,J95),1)*IF(Upgrades!$T$12="Stellar Coupling",POWER(Upgrades!$U$12,K95),1))+(IF(H95=0,0,(Upgrades!$J$9+H95*Upgrades!$K$9)*POWER(Upgrades!$L$9,H95)))*(IF(Upgrades!$T$6="Magnetosphere",POWER(Upgrades!$U$6,E95),1)*IF(Upgrades!$T$7="Magnetosphere",POWER(Upgrades!$U$7,F95),1)*IF(Upgrades!$T$8="Magnetosphere",POWER(Upgrades!$U$8,G95),1)*IF(Upgrades!$T$10="Magnetosphere",POWER(Upgrades!$U$10,I95),1)*IF(Upgrades!$T$11="Magnetosphere",POWER(Upgrades!$U$11,J95),1)*IF(Upgrades!$T$12="Magnetosphere",POWER(Upgrades!$U$12,K95),1))+(IF(I95=0,0,(Upgrades!$J$10+I95*Upgrades!$K$10)*POWER(Upgrades!$L$10,I95)))*(IF(Upgrades!$T$6="Orbital Resonance",POWER(Upgrades!$U$6,E95),1)*IF(Upgrades!$T$7="Orbital Resonance",POWER(Upgrades!$U$7,F95),1)*IF(Upgrades!$T$8="Orbital Resonance",POWER(Upgrades!$U$8,G95),1)*IF(Upgrades!$T$9="Orbital Resonance",POWER(Upgrades!$U$9,H95),1)*IF(Upgrades!$T$11="Orbital Resonance",POWER(Upgrades!$U$11,J95),1)*IF(Upgrades!$T$12="Orbital Resonance",POWER(Upgrades!$U$12,K95),1))+(IF(J95=0,0,(Upgrades!$J$11+J95*Upgrades!$K$11)*POWER(Upgrades!$L$11,J95)))*(IF(Upgrades!$T$6="Heliopause",POWER(Upgrades!$U$6,E95),1)*IF(Upgrades!$T$7="Heliopause",POWER(Upgrades!$U$7,F95),1)*IF(Upgrades!$T$8="Heliopause",POWER(Upgrades!$U$8,G95),1)*IF(Upgrades!$T$9="Heliopause",POWER(Upgrades!$U$9,H95),1)*IF(Upgrades!$T$10="Heliopause",POWER(Upgrades!$U$10,I95),1)*IF(Upgrades!$T$12="Heliopause",POWER(Upgrades!$U$12,K95),1))+(IF(K95=0,0,(Upgrades!$J$12+K95*Upgrades!$K$12)*POWER(Upgrades!$L$12,K95)))*(IF(Upgrades!$T$6="First Photons",POWER(Upgrades!$U$6,E95),1)*IF(Upgrades!$T$7="First Photons",POWER(Upgrades!$U$7,F95),1)*IF(Upgrades!$T$8="First Photons",POWER(Upgrades!$U$8,G95),1)*IF(Upgrades!$T$9="First Photons",POWER(Upgrades!$U$9,H95),1)*IF(Upgrades!$T$10="First Photons",POWER(Upgrades!$U$10,I95),1)*IF(Upgrades!$T$11="First Photons",POWER(Upgrades!$U$11,J95),1)))*POWER(Upgrades!$Q$6,E95)*POWER(Upgrades!$Q$7,F95)*POWER(Upgrades!$Q$8,G95)*POWER(Upgrades!$Q$9,H95)*POWER(Upgrades!$Q$10,I95)*POWER(Upgrades!$Q$11,J95)*POWER(Upgrades!$Q$12,K95)</f>
        <v>5.61</v>
      </c>
      <c r="N95" s="28" t="n">
        <f aca="false">((IF(E95=0,0,(Upgrades!$G$6+E95*Upgrades!$H$6)*POWER(Upgrades!$I$6,E95)))*(IF(Upgrades!$T$7="Solar Wind",POWER(Upgrades!$U$7,F95),1)*IF(Upgrades!$T$8="Solar Wind",POWER(Upgrades!$U$8,G95),1)*IF(Upgrades!$T$9="Solar Wind",POWER(Upgrades!$U$9,H95),1)*IF(Upgrades!$T$10="Solar Wind",POWER(Upgrades!$U$10,I95),1)*IF(Upgrades!$T$11="Solar Wind",POWER(Upgrades!$U$11,J95),1)*IF(Upgrades!$T$12="Solar Wind",POWER(Upgrades!$U$12,K95),1))+(IF(F95=0,0,(Upgrades!$G$7+F95*Upgrades!$H$7)*POWER(Upgrades!$I$7,F95)))*(IF(Upgrades!$T$6="Asteroid Belt",POWER(Upgrades!$U$6,E95),1)*IF(Upgrades!$T$8="Asteroid Belt",POWER(Upgrades!$U$8,G95),1)*IF(Upgrades!$T$9="Asteroid Belt",POWER(Upgrades!$U$9,H95),1)*IF(Upgrades!$T$10="Asteroid Belt",POWER(Upgrades!$U$10,I95),1)*IF(Upgrades!$T$11="Asteroid Belt",POWER(Upgrades!$U$11,J95),1)*IF(Upgrades!$T$12="Asteroid Belt",POWER(Upgrades!$U$12,K95),1))+(IF(G95=0,0,(Upgrades!$G$8+G95*Upgrades!$H$8)*POWER(Upgrades!$I$8,G95)))*(IF(Upgrades!$T$6="Stellar Coupling",POWER(Upgrades!$U$6,E95),1)*IF(Upgrades!$T$7="Stellar Coupling",POWER(Upgrades!$U$7,F95),1)*IF(Upgrades!$T$9="Stellar Coupling",POWER(Upgrades!$U$9,H95),1)*IF(Upgrades!$T$10="Stellar Coupling",POWER(Upgrades!$U$10,I95),1)*IF(Upgrades!$T$11="Stellar Coupling",POWER(Upgrades!$U$11,J95),1)*IF(Upgrades!$T$12="Stellar Coupling",POWER(Upgrades!$U$12,K95),1))+(IF(H95=0,0,(Upgrades!$G$9+H95*Upgrades!$H$9)*POWER(Upgrades!$I$9,H95)))*(IF(Upgrades!$T$6="Magnetosphere",POWER(Upgrades!$U$6,E95),1)*IF(Upgrades!$T$7="Magnetosphere",POWER(Upgrades!$U$7,F95),1)*IF(Upgrades!$T$8="Magnetosphere",POWER(Upgrades!$U$8,G95),1)*IF(Upgrades!$T$10="Magnetosphere",POWER(Upgrades!$U$10,I95),1)*IF(Upgrades!$T$11="Magnetosphere",POWER(Upgrades!$U$11,J95),1)*IF(Upgrades!$T$12="Magnetosphere",POWER(Upgrades!$U$12,K95),1))+(IF(I95=0,0,(Upgrades!$G$10+I95*Upgrades!$H$10)*POWER(Upgrades!$I$10,I95)))*(IF(Upgrades!$T$6="Orbital Resonance",POWER(Upgrades!$U$6,E95),1)*IF(Upgrades!$T$7="Orbital Resonance",POWER(Upgrades!$U$7,F95),1)*IF(Upgrades!$T$8="Orbital Resonance",POWER(Upgrades!$U$8,G95),1)*IF(Upgrades!$T$9="Orbital Resonance",POWER(Upgrades!$U$9,H95),1)*IF(Upgrades!$T$11="Orbital Resonance",POWER(Upgrades!$U$11,J95),1)*IF(Upgrades!$T$12="Orbital Resonance",POWER(Upgrades!$U$12,K95),1))+(IF(J95=0,0,(Upgrades!$G$11+J95*Upgrades!$H$11)*POWER(Upgrades!$I$11,J95)))*(IF(Upgrades!$T$6="Heliopause",POWER(Upgrades!$U$6,E95),1)*IF(Upgrades!$T$7="Heliopause",POWER(Upgrades!$U$7,F95),1)*IF(Upgrades!$T$8="Heliopause",POWER(Upgrades!$U$8,G95),1)*IF(Upgrades!$T$9="Heliopause",POWER(Upgrades!$U$9,H95),1)*IF(Upgrades!$T$10="Heliopause",POWER(Upgrades!$U$10,I95),1)*IF(Upgrades!$T$12="Heliopause",POWER(Upgrades!$U$12,K95),1))+(IF(K95=0,0,(Upgrades!$G$12+K95*Upgrades!$H$12)*POWER(Upgrades!$I$12,K95)))*(IF(Upgrades!$T$6="First Photons",POWER(Upgrades!$U$6,E95),1)*IF(Upgrades!$T$7="First Photons",POWER(Upgrades!$U$7,F95),1)*IF(Upgrades!$T$8="First Photons",POWER(Upgrades!$U$8,G95),1)*IF(Upgrades!$T$9="First Photons",POWER(Upgrades!$U$9,H95),1)*IF(Upgrades!$T$10="First Photons",POWER(Upgrades!$U$10,I95),1)*IF(Upgrades!$T$11="First Photons",POWER(Upgrades!$U$11,J95),1)))*POWER(Upgrades!$P$6,E95)*POWER(Upgrades!$P$7,F95)*POWER(Upgrades!$P$8,G95)*POWER(Upgrades!$P$9,H95)*POWER(Upgrades!$P$10,I95)*POWER(Upgrades!$P$11,J95)*POWER(Upgrades!$P$12,K95)</f>
        <v>11.2</v>
      </c>
      <c r="O95" s="28" t="n">
        <f aca="false">((IF(E95=0,0,(Upgrades!$M$6+E95*Upgrades!$N$6)*POWER(Upgrades!$O$6,E95)))*(IF(Upgrades!$T$7="Solar Wind",POWER(Upgrades!$U$7,F95),1)*IF(Upgrades!$T$8="Solar Wind",POWER(Upgrades!$U$8,G95),1)*IF(Upgrades!$T$9="Solar Wind",POWER(Upgrades!$U$9,H95),1)*IF(Upgrades!$T$10="Solar Wind",POWER(Upgrades!$U$10,I95),1)*IF(Upgrades!$T$11="Solar Wind",POWER(Upgrades!$U$11,J95),1)*IF(Upgrades!$T$12="Solar Wind",POWER(Upgrades!$U$12,K95),1))+(IF(F95=0,0,(Upgrades!$M$7+F95*Upgrades!$N$7)*POWER(Upgrades!$O$7,F95)))*(IF(Upgrades!$T$6="Asteroid Belt",POWER(Upgrades!$U$6,E95),1)*IF(Upgrades!$T$8="Asteroid Belt",POWER(Upgrades!$U$8,G95),1)*IF(Upgrades!$T$9="Asteroid Belt",POWER(Upgrades!$U$9,H95),1)*IF(Upgrades!$T$10="Asteroid Belt",POWER(Upgrades!$U$10,I95),1)*IF(Upgrades!$T$11="Asteroid Belt",POWER(Upgrades!$U$11,J95),1)*IF(Upgrades!$T$12="Asteroid Belt",POWER(Upgrades!$U$12,K95),1))+(IF(G95=0,0,(Upgrades!$M$8+G95*Upgrades!$N$8)*POWER(Upgrades!$O$8,G95)))*(IF(Upgrades!$T$6="Stellar Coupling",POWER(Upgrades!$U$6,E95),1)*IF(Upgrades!$T$7="Stellar Coupling",POWER(Upgrades!$U$7,F95),1)*IF(Upgrades!$T$9="Stellar Coupling",POWER(Upgrades!$U$9,H95),1)*IF(Upgrades!$T$10="Stellar Coupling",POWER(Upgrades!$U$10,I95),1)*IF(Upgrades!$T$11="Stellar Coupling",POWER(Upgrades!$U$11,J95),1)*IF(Upgrades!$T$12="Stellar Coupling",POWER(Upgrades!$U$12,K95),1))+(IF(H95=0,0,(Upgrades!$M$9+H95*Upgrades!$N$9)*POWER(Upgrades!$O$9,H95)))*(IF(Upgrades!$T$6="Magnetosphere",POWER(Upgrades!$U$6,E95),1)*IF(Upgrades!$T$7="Magnetosphere",POWER(Upgrades!$U$7,F95),1)*IF(Upgrades!$T$8="Magnetosphere",POWER(Upgrades!$U$8,G95),1)*IF(Upgrades!$T$10="Magnetosphere",POWER(Upgrades!$U$10,I95),1)*IF(Upgrades!$T$11="Magnetosphere",POWER(Upgrades!$U$11,J95),1)*IF(Upgrades!$T$12="Magnetosphere",POWER(Upgrades!$U$12,K95),1))+(IF(I95=0,0,(Upgrades!$M$10+I95*Upgrades!$N$10)*POWER(Upgrades!$O$10,I95)))*(IF(Upgrades!$T$6="Orbital Resonance",POWER(Upgrades!$U$6,E95),1)*IF(Upgrades!$T$7="Orbital Resonance",POWER(Upgrades!$U$7,F95),1)*IF(Upgrades!$T$8="Orbital Resonance",POWER(Upgrades!$U$8,G95),1)*IF(Upgrades!$T$9="Orbital Resonance",POWER(Upgrades!$U$9,H95),1)*IF(Upgrades!$T$11="Orbital Resonance",POWER(Upgrades!$U$11,J95),1)*IF(Upgrades!$T$12="Orbital Resonance",POWER(Upgrades!$U$12,K95),1))+(IF(J95=0,0,(Upgrades!$M$11+J95*Upgrades!$N$11)*POWER(Upgrades!$O$11,J95)))*(IF(Upgrades!$T$6="Heliopause",POWER(Upgrades!$U$6,E95),1)*IF(Upgrades!$T$7="Heliopause",POWER(Upgrades!$U$7,F95),1)*IF(Upgrades!$T$8="Heliopause",POWER(Upgrades!$U$8,G95),1)*IF(Upgrades!$T$9="Heliopause",POWER(Upgrades!$U$9,H95),1)*IF(Upgrades!$T$10="Heliopause",POWER(Upgrades!$U$10,I95),1)*IF(Upgrades!$T$12="Heliopause",POWER(Upgrades!$U$12,K95),1))+(IF(K95=0,0,(Upgrades!$M$12+K95*Upgrades!$N$12)*POWER(Upgrades!$O$12,K95)))*(IF(Upgrades!$T$6="First Photons",POWER(Upgrades!$U$6,E95),1)*IF(Upgrades!$T$7="First Photons",POWER(Upgrades!$U$7,F95),1)*IF(Upgrades!$T$8="First Photons",POWER(Upgrades!$U$8,G95),1)*IF(Upgrades!$T$9="First Photons",POWER(Upgrades!$U$9,H95),1)*IF(Upgrades!$T$10="First Photons",POWER(Upgrades!$U$10,I95),1)*IF(Upgrades!$T$11="First Photons",POWER(Upgrades!$U$11,J95),1)))*POWER(Upgrades!$R$6,E95)*POWER(Upgrades!$R$7,F95)*POWER(Upgrades!$R$8,G95)*POWER(Upgrades!$R$9,H95)*POWER(Upgrades!$R$10,I95)*POWER(Upgrades!$R$11,J95)*POWER(Upgrades!$R$12,K95)</f>
        <v>0</v>
      </c>
      <c r="P95" s="27" t="n">
        <f aca="false">IF(L95=1,0,M95*Parameters!$B$10/60*Parameters!$B$11*10)</f>
        <v>0</v>
      </c>
      <c r="Q95" s="27" t="n">
        <f aca="false">IF(L95=1,0,O95*M95*10)</f>
        <v>0</v>
      </c>
      <c r="R95" s="27" t="n">
        <f aca="false">IF(L95=1,0,N95*10)</f>
        <v>0</v>
      </c>
      <c r="S95" s="27" t="n">
        <f aca="false">P95+Q95+R95</f>
        <v>0</v>
      </c>
      <c r="T95" s="21" t="n">
        <f aca="false">C95+S95</f>
        <v>18.6730249835055</v>
      </c>
      <c r="U95" s="34" t="str">
        <f aca="false">AX95</f>
        <v/>
      </c>
      <c r="V95" s="21" t="n">
        <f aca="false">IF(U95="",0,IF(U95="transition",0,IF(U95="SW",AG95,IF(U95="AB",AH95,IF(U95="SC",AI95,IF(U95="Mag",AJ95,IF(U95="OR",AK95,IF(U95="HP",AL95,IF(U95="FP",AM95,0)))))))))</f>
        <v>0</v>
      </c>
      <c r="W95" s="27" t="n">
        <f aca="false">IF(U95="OR",Upgrades!$F$10,IF(U95="HP",Upgrades!$F$11,IF(U95="transition",-Parameters!$B$18,0)))</f>
        <v>0</v>
      </c>
      <c r="X95" s="21" t="n">
        <f aca="false">T95-V95</f>
        <v>18.6730249835055</v>
      </c>
      <c r="Y95" s="30" t="n">
        <f aca="false">M95*Parameters!$B$10/60*Parameters!$B$11+O95*M95+N95</f>
        <v>20.55</v>
      </c>
      <c r="Z95" s="35" t="str">
        <f aca="false">IF(U95="transition","→ Tier 2 (Stellar Neighborhood)",IF(U95="FP","First Photons — light begins, system quickens",IF(U95="HP","Heliopause acquired",IF(U95="OR","Orbital Resonance — passive multiplier active",IF(AND(AO95=1,L95=0,AN95&lt;&gt;1),"Cohesion ready (waiting on completionist upgrades)","")))))</f>
        <v/>
      </c>
      <c r="AA95" s="27" t="n">
        <f aca="false">(IF(E95=0,0,(Upgrades!$G$6+E95*Upgrades!$H$6)*POWER(Upgrades!$I$6,E95)))*(IF(Upgrades!$T$7="Solar Wind",POWER(Upgrades!$U$7,F95),1)*IF(Upgrades!$T$8="Solar Wind",POWER(Upgrades!$U$8,G95),1)*IF(Upgrades!$T$9="Solar Wind",POWER(Upgrades!$U$9,H95),1)*IF(Upgrades!$T$10="Solar Wind",POWER(Upgrades!$U$10,I95),1)*IF(Upgrades!$T$11="Solar Wind",POWER(Upgrades!$U$11,J95),1)*IF(Upgrades!$T$12="Solar Wind",POWER(Upgrades!$U$12,K95),1))*POWER(Upgrades!$P$6,E95)*POWER(Upgrades!$P$7,F95)*POWER(Upgrades!$P$8,G95)*POWER(Upgrades!$P$9,H95)*POWER(Upgrades!$P$10,I95)*POWER(Upgrades!$P$11,J95)*POWER(Upgrades!$P$12,K95)*60</f>
        <v>72</v>
      </c>
      <c r="AB95" s="27" t="n">
        <f aca="false">(IF(F95=0,0,(Upgrades!$G$7+F95*Upgrades!$H$7)*POWER(Upgrades!$I$7,F95)))*(IF(Upgrades!$T$6="Asteroid Belt",POWER(Upgrades!$U$6,E95),1)*IF(Upgrades!$T$8="Asteroid Belt",POWER(Upgrades!$U$8,G95),1)*IF(Upgrades!$T$9="Asteroid Belt",POWER(Upgrades!$U$9,H95),1)*IF(Upgrades!$T$10="Asteroid Belt",POWER(Upgrades!$U$10,I95),1)*IF(Upgrades!$T$11="Asteroid Belt",POWER(Upgrades!$U$11,J95),1)*IF(Upgrades!$T$12="Asteroid Belt",POWER(Upgrades!$U$12,K95),1))*POWER(Upgrades!$P$6,E95)*POWER(Upgrades!$P$7,F95)*POWER(Upgrades!$P$8,G95)*POWER(Upgrades!$P$9,H95)*POWER(Upgrades!$P$10,I95)*POWER(Upgrades!$P$11,J95)*POWER(Upgrades!$P$12,K95)*60</f>
        <v>150</v>
      </c>
      <c r="AC95" s="27" t="n">
        <f aca="false">(IF(G95=0,0,(Upgrades!$J$8+G95*Upgrades!$K$8)*POWER(Upgrades!$L$8,G95)))*(IF(Upgrades!$T$6="Stellar Coupling",POWER(Upgrades!$U$6,E95),1)*IF(Upgrades!$T$7="Stellar Coupling",POWER(Upgrades!$U$7,F95),1)*IF(Upgrades!$T$9="Stellar Coupling",POWER(Upgrades!$U$9,H95),1)*IF(Upgrades!$T$10="Stellar Coupling",POWER(Upgrades!$U$10,I95),1)*IF(Upgrades!$T$11="Stellar Coupling",POWER(Upgrades!$U$11,J95),1)*IF(Upgrades!$T$12="Stellar Coupling",POWER(Upgrades!$U$12,K95),1))*POWER(Upgrades!$Q$6,E95)*POWER(Upgrades!$Q$7,F95)*POWER(Upgrades!$Q$8,G95)*POWER(Upgrades!$Q$9,H95)*POWER(Upgrades!$Q$10,I95)*POWER(Upgrades!$Q$11,J95)*POWER(Upgrades!$Q$12,K95)*Parameters!$B$10*Parameters!$B$11</f>
        <v>441</v>
      </c>
      <c r="AD95" s="27" t="n">
        <f aca="false">(IF(H95=0,0,(Upgrades!$G$9+H95*Upgrades!$H$9)*POWER(Upgrades!$I$9,H95)))*(IF(Upgrades!$T$6="Magnetosphere",POWER(Upgrades!$U$6,E95),1)*IF(Upgrades!$T$7="Magnetosphere",POWER(Upgrades!$U$7,F95),1)*IF(Upgrades!$T$8="Magnetosphere",POWER(Upgrades!$U$8,G95),1)*IF(Upgrades!$T$10="Magnetosphere",POWER(Upgrades!$U$10,I95),1)*IF(Upgrades!$T$11="Magnetosphere",POWER(Upgrades!$U$11,J95),1)*IF(Upgrades!$T$12="Magnetosphere",POWER(Upgrades!$U$12,K95),1))*POWER(Upgrades!$P$6,E95)*POWER(Upgrades!$P$7,F95)*POWER(Upgrades!$P$8,G95)*POWER(Upgrades!$P$9,H95)*POWER(Upgrades!$P$10,I95)*POWER(Upgrades!$P$11,J95)*POWER(Upgrades!$P$12,K95)*60</f>
        <v>375</v>
      </c>
      <c r="AE95" s="27" t="n">
        <f aca="false">(IF(K95=0,0,(Upgrades!$G$12+K95*Upgrades!$H$12)*POWER(Upgrades!$I$12,K95)))*(IF(Upgrades!$T$6="First Photons",POWER(Upgrades!$U$6,E95),1)*IF(Upgrades!$T$7="First Photons",POWER(Upgrades!$U$7,F95),1)*IF(Upgrades!$T$8="First Photons",POWER(Upgrades!$U$8,G95),1)*IF(Upgrades!$T$9="First Photons",POWER(Upgrades!$U$9,H95),1)*IF(Upgrades!$T$10="First Photons",POWER(Upgrades!$U$10,I95),1)*IF(Upgrades!$T$11="First Photons",POWER(Upgrades!$U$11,J95),1))*POWER(Upgrades!$P$6,E95)*POWER(Upgrades!$P$7,F95)*POWER(Upgrades!$P$8,G95)*POWER(Upgrades!$P$9,H95)*POWER(Upgrades!$P$10,I95)*POWER(Upgrades!$P$11,J95)*POWER(Upgrades!$P$12,K95)*60</f>
        <v>75</v>
      </c>
      <c r="AF95" s="27" t="n">
        <f aca="false">Parameters!$B$9*POWER(Upgrades!$Q$6,E95)*POWER(Upgrades!$Q$7,F95)*POWER(Upgrades!$Q$8,G95)*POWER(Upgrades!$Q$9,H95)*POWER(Upgrades!$Q$10,I95)*POWER(Upgrades!$Q$11,J95)*POWER(Upgrades!$Q$12,K95)*(Parameters!$B$10*Parameters!$B$11+O95*60)</f>
        <v>120</v>
      </c>
      <c r="AG95" s="21" t="n">
        <f aca="false">IF(E95&gt;=Upgrades!$E$6,"",Upgrades!$C$6*POWER(Upgrades!$D$6,E95))</f>
        <v>37.4517507383159</v>
      </c>
      <c r="AH95" s="21" t="n">
        <f aca="false">IF(F95&gt;=Upgrades!$E$7,"",Upgrades!$C$7*POWER(Upgrades!$D$7,F95))</f>
        <v>80.9111547141581</v>
      </c>
      <c r="AI95" s="21" t="n">
        <f aca="false">IF(G95&gt;=Upgrades!$E$8,"",Upgrades!$C$8*POWER(Upgrades!$D$8,G95))</f>
        <v>231.9097088</v>
      </c>
      <c r="AJ95" s="21" t="str">
        <f aca="false">IF(H95&gt;=Upgrades!$E$9,"",Upgrades!$C$9*POWER(Upgrades!$D$9,H95))</f>
        <v/>
      </c>
      <c r="AK95" s="21" t="str">
        <f aca="false">IF(I95&gt;=Upgrades!$E$10,"",Upgrades!$C$10*POWER(Upgrades!$D$10,I95))</f>
        <v/>
      </c>
      <c r="AL95" s="21" t="str">
        <f aca="false">IF(J95&gt;=Upgrades!$E$11,"",Upgrades!$C$11*POWER(Upgrades!$D$11,J95))</f>
        <v/>
      </c>
      <c r="AM95" s="21" t="str">
        <f aca="false">IF(K95&gt;=Upgrades!$E$12,"",Upgrades!$C$12*POWER(Upgrades!$D$12,K95))</f>
        <v/>
      </c>
      <c r="AN95" s="26" t="str">
        <f aca="false">IF(AND(D95&gt;=Parameters!$B$18,(H95&gt;=Upgrades!$E$9)*(K95&gt;=Upgrades!$E$12)=1,L95=0),1,"")</f>
        <v/>
      </c>
      <c r="AO95" s="26" t="str">
        <f aca="false">IF(AND(D95&gt;=Parameters!$B$18,L95=0),1,"")</f>
        <v/>
      </c>
      <c r="AP95" s="21" t="n">
        <f aca="false">MIN(IF(ISNUMBER(AK95),AK95,9000000000000000),IF(ISNUMBER(AL95),AL95,9000000000000000),IF(ISNUMBER(AM95),AM95,9000000000000000))</f>
        <v>9000000000000000</v>
      </c>
      <c r="AQ95" s="21" t="n">
        <f aca="false">MIN(IF(ISNUMBER(AG95),AG95,9000000000000000),IF(ISNUMBER(AH95),AH95,9000000000000000),IF(ISNUMBER(AI95),AI95,9000000000000000),IF(ISNUMBER(AJ95),AJ95,9000000000000000))</f>
        <v>37.4517507383159</v>
      </c>
      <c r="AR95" s="32" t="b">
        <f aca="false">IF(AW95&gt;Parameters!$B$21*(MAX(IF(AND(NOT(AND(AO95=1,AN95&lt;&gt;1)),ISNUMBER(AG95),AG95&lt;=T95),AS95,0),IF(AND(NOT(AND(AO95=1,AN95&lt;&gt;1)),ISNUMBER(AH95),AH95&lt;=T95),AT95,0),IF(AND(NOT(AND(AO95=1,AN95&lt;&gt;1)),ISNUMBER(AI95),AI95&lt;=T95),AU95,0),IF(AND(ISNUMBER(AJ95),AJ95&lt;=T95),AV95,0))),TRUE(),FALSE())</f>
        <v>1</v>
      </c>
      <c r="AS95" s="33" t="n">
        <f aca="false">IFERROR(Upgrades!$H$6*(POWER(Upgrades!$P$6,E95)*POWER(Upgrades!$P$7,F95)*POWER(Upgrades!$P$8,G95)*POWER(Upgrades!$P$9,H95)*POWER(Upgrades!$P$10,I95)*POWER(Upgrades!$P$11,J95)*POWER(Upgrades!$P$12,K95))*(IF(Upgrades!$T$7="Solar Wind",POWER(Upgrades!$U$7,F95),1)*IF(Upgrades!$T$8="Solar Wind",POWER(Upgrades!$U$8,G95),1)*IF(Upgrades!$T$9="Solar Wind",POWER(Upgrades!$U$9,H95),1)*IF(Upgrades!$T$10="Solar Wind",POWER(Upgrades!$U$10,I95),1)*IF(Upgrades!$T$11="Solar Wind",POWER(Upgrades!$U$11,J95),1)*IF(Upgrades!$T$12="Solar Wind",POWER(Upgrades!$U$12,K95),1))/AG95,0)</f>
        <v>0.0026701021455238</v>
      </c>
      <c r="AT95" s="33" t="n">
        <f aca="false">IFERROR(Upgrades!$H$7*(POWER(Upgrades!$P$6,E95)*POWER(Upgrades!$P$7,F95)*POWER(Upgrades!$P$8,G95)*POWER(Upgrades!$P$9,H95)*POWER(Upgrades!$P$10,I95)*POWER(Upgrades!$P$11,J95)*POWER(Upgrades!$P$12,K95))*(IF(Upgrades!$T$6="Asteroid Belt",POWER(Upgrades!$U$6,E95),1)*IF(Upgrades!$T$8="Asteroid Belt",POWER(Upgrades!$U$8,G95),1)*IF(Upgrades!$T$9="Asteroid Belt",POWER(Upgrades!$U$9,H95),1)*IF(Upgrades!$T$10="Asteroid Belt",POWER(Upgrades!$U$10,I95),1)*IF(Upgrades!$T$11="Asteroid Belt",POWER(Upgrades!$U$11,J95),1)*IF(Upgrades!$T$12="Asteroid Belt",POWER(Upgrades!$U$12,K95),1))/AH95,0)</f>
        <v>0.00308980882652332</v>
      </c>
      <c r="AU95" s="33" t="n">
        <f aca="false">IFERROR(Upgrades!$K$8*(POWER(Upgrades!$Q$6,E95)*POWER(Upgrades!$Q$7,F95)*POWER(Upgrades!$Q$8,G95)*POWER(Upgrades!$Q$9,H95)*POWER(Upgrades!$Q$10,I95)*POWER(Upgrades!$Q$11,J95)*POWER(Upgrades!$Q$12,K95))*(IF(Upgrades!$T$6="Stellar Coupling",POWER(Upgrades!$U$6,E95),1)*IF(Upgrades!$T$7="Stellar Coupling",POWER(Upgrades!$U$7,F95),1)*IF(Upgrades!$T$9="Stellar Coupling",POWER(Upgrades!$U$9,H95),1)*IF(Upgrades!$T$10="Stellar Coupling",POWER(Upgrades!$U$10,I95),1)*IF(Upgrades!$T$11="Stellar Coupling",POWER(Upgrades!$U$11,J95),1)*IF(Upgrades!$T$12="Stellar Coupling",POWER(Upgrades!$U$12,K95),1))*Parameters!$B$10*Parameters!$B$11/60/AI95,0)</f>
        <v>0.00452762415783776</v>
      </c>
      <c r="AV95" s="33" t="n">
        <f aca="false">IFERROR(Upgrades!$H$9*(POWER(Upgrades!$P$6,E95)*POWER(Upgrades!$P$7,F95)*POWER(Upgrades!$P$8,G95)*POWER(Upgrades!$P$9,H95)*POWER(Upgrades!$P$10,I95)*POWER(Upgrades!$P$11,J95)*POWER(Upgrades!$P$12,K95))*(IF(Upgrades!$T$6="Magnetosphere",POWER(Upgrades!$U$6,E95),1)*IF(Upgrades!$T$7="Magnetosphere",POWER(Upgrades!$U$7,F95),1)*IF(Upgrades!$T$8="Magnetosphere",POWER(Upgrades!$U$8,G95),1)*IF(Upgrades!$T$10="Magnetosphere",POWER(Upgrades!$U$10,I95),1)*IF(Upgrades!$T$11="Magnetosphere",POWER(Upgrades!$U$11,J95),1)*IF(Upgrades!$T$12="Magnetosphere",POWER(Upgrades!$U$12,K95),1))/AJ95,0)</f>
        <v>0</v>
      </c>
      <c r="AW95" s="33" t="n">
        <f aca="false">MAX(IF(I95&gt;0,0,IFERROR(0.25*N95/Upgrades!$C$10,0)),IF(J95&gt;0,0,IFERROR(0.5*((IF(G95=0,0,(Upgrades!$J$8+G95*Upgrades!$K$8)*POWER(Upgrades!$L$8,G95)))*(IF(Upgrades!$T$6="Stellar Coupling",POWER(Upgrades!$U$6,E95),1)*IF(Upgrades!$T$7="Stellar Coupling",POWER(Upgrades!$U$7,F95),1)*IF(Upgrades!$T$9="Stellar Coupling",POWER(Upgrades!$U$9,H95),1)*IF(Upgrades!$T$10="Stellar Coupling",POWER(Upgrades!$U$10,I95),1)*IF(Upgrades!$T$11="Stellar Coupling",POWER(Upgrades!$U$11,J95),1)*IF(Upgrades!$T$12="Stellar Coupling",POWER(Upgrades!$U$12,K95),1))*(POWER(Upgrades!$Q$6,E95)*POWER(Upgrades!$Q$7,F95)*POWER(Upgrades!$Q$8,G95)*POWER(Upgrades!$Q$9,H95)*POWER(Upgrades!$Q$10,I95)*POWER(Upgrades!$Q$11,J95)*POWER(Upgrades!$Q$12,K95))*Parameters!$B$10*Parameters!$B$11/60)/Upgrades!$C$11,0)),IF(K95&gt;0,0,IFERROR((1*(POWER(Upgrades!$P$6,E95)*POWER(Upgrades!$P$7,F95)*POWER(Upgrades!$P$8,G95)*POWER(Upgrades!$P$9,H95)*POWER(Upgrades!$P$10,I95)*POWER(Upgrades!$P$11,J95)*POWER(Upgrades!$P$12,K95))+0.2*M95*Parameters!$B$10*Parameters!$B$11/60)/Upgrades!$C$12,0)),IF(AND(ISNUMBER(AG95),AG95&gt;T95),AS95,0),IF(AND(ISNUMBER(AH95),AH95&gt;T95),AT95,0),IF(AND(ISNUMBER(AI95),AI95&gt;T95),AU95,0),IF(AND(ISNUMBER(AJ95),AJ95&gt;T95),AV95,0))</f>
        <v>0.00452762415783776</v>
      </c>
      <c r="AX95" s="29" t="str">
        <f aca="false">IF(AN95=1,"transition",IF(MIN(IF(AND(I95=0,ISNUMBER(AK95),AK95&lt;=T95),AK95,9000000000000000),IF(AND(J95=0,ISNUMBER(AL95),AL95&lt;=T95),AL95,9000000000000000),IF(AND(K95=0,ISNUMBER(AM95),AM95&lt;=T95),AM95,9000000000000000))&lt;9000000000000000,IF(AND(AND(I95=0,ISNUMBER(AK95),AK95&lt;=T95),AK95=MIN(IF(AND(I95=0,ISNUMBER(AK95),AK95&lt;=T95),AK95,9000000000000000),IF(AND(J95=0,ISNUMBER(AL95),AL95&lt;=T95),AL95,9000000000000000),IF(AND(K95=0,ISNUMBER(AM95),AM95&lt;=T95),AM95,9000000000000000))),"OR",IF(AND(AND(J95=0,ISNUMBER(AL95),AL95&lt;=T95),AL95=MIN(IF(AND(I95=0,ISNUMBER(AK95),AK95&lt;=T95),AK95,9000000000000000),IF(AND(J95=0,ISNUMBER(AL95),AL95&lt;=T95),AL95,9000000000000000),IF(AND(K95=0,ISNUMBER(AM95),AM95&lt;=T95),AM95,9000000000000000))),"HP","FP")),IF(AR95=TRUE(),"",IF(MAX(IF(AND(NOT(AND(AO95=1,AN95&lt;&gt;1)),ISNUMBER(AG95),AG95&lt;=T95),AS95,0),IF(AND(NOT(AND(AO95=1,AN95&lt;&gt;1)),ISNUMBER(AH95),AH95&lt;=T95),AT95,0),IF(AND(NOT(AND(AO95=1,AN95&lt;&gt;1)),ISNUMBER(AI95),AI95&lt;=T95),AU95,0),IF(AND(ISNUMBER(AJ95),AJ95&lt;=T95),AV95,0))&lt;=0,"",IF(AND(IF(AND(NOT(AND(AO95=1,AN95&lt;&gt;1)),ISNUMBER(AG95),AG95&lt;=T95),AS95,0)&gt;0,IF(AND(NOT(AND(AO95=1,AN95&lt;&gt;1)),ISNUMBER(AG95),AG95&lt;=T95),AS95,0)=MAX(IF(AND(NOT(AND(AO95=1,AN95&lt;&gt;1)),ISNUMBER(AG95),AG95&lt;=T95),AS95,0),IF(AND(NOT(AND(AO95=1,AN95&lt;&gt;1)),ISNUMBER(AH95),AH95&lt;=T95),AT95,0),IF(AND(NOT(AND(AO95=1,AN95&lt;&gt;1)),ISNUMBER(AI95),AI95&lt;=T95),AU95,0),IF(AND(ISNUMBER(AJ95),AJ95&lt;=T95),AV95,0))),"SW",IF(AND(IF(AND(NOT(AND(AO95=1,AN95&lt;&gt;1)),ISNUMBER(AH95),AH95&lt;=T95),AT95,0)&gt;0,IF(AND(NOT(AND(AO95=1,AN95&lt;&gt;1)),ISNUMBER(AH95),AH95&lt;=T95),AT95,0)=MAX(IF(AND(NOT(AND(AO95=1,AN95&lt;&gt;1)),ISNUMBER(AG95),AG95&lt;=T95),AS95,0),IF(AND(NOT(AND(AO95=1,AN95&lt;&gt;1)),ISNUMBER(AH95),AH95&lt;=T95),AT95,0),IF(AND(NOT(AND(AO95=1,AN95&lt;&gt;1)),ISNUMBER(AI95),AI95&lt;=T95),AU95,0),IF(AND(ISNUMBER(AJ95),AJ95&lt;=T95),AV95,0))),"AB",IF(AND(IF(AND(NOT(AND(AO95=1,AN95&lt;&gt;1)),ISNUMBER(AI95),AI95&lt;=T95),AU95,0)&gt;0,IF(AND(NOT(AND(AO95=1,AN95&lt;&gt;1)),ISNUMBER(AI95),AI95&lt;=T95),AU95,0)=MAX(IF(AND(NOT(AND(AO95=1,AN95&lt;&gt;1)),ISNUMBER(AG95),AG95&lt;=T95),AS95,0),IF(AND(NOT(AND(AO95=1,AN95&lt;&gt;1)),ISNUMBER(AH95),AH95&lt;=T95),AT95,0),IF(AND(NOT(AND(AO95=1,AN95&lt;&gt;1)),ISNUMBER(AI95),AI95&lt;=T95),AU95,0),IF(AND(ISNUMBER(AJ95),AJ95&lt;=T95),AV95,0))),"SC","Mag")))))))</f>
        <v/>
      </c>
    </row>
    <row r="96" customFormat="false" ht="15" hidden="false" customHeight="false" outlineLevel="0" collapsed="false">
      <c r="A96" s="26" t="n">
        <v>91</v>
      </c>
      <c r="B96" s="27" t="n">
        <f aca="false">A96*10/60</f>
        <v>15.1666666666667</v>
      </c>
      <c r="C96" s="21" t="n">
        <f aca="false">X95</f>
        <v>18.6730249835055</v>
      </c>
      <c r="D96" s="27" t="n">
        <f aca="false">D95+W95</f>
        <v>0</v>
      </c>
      <c r="E96" s="26" t="n">
        <f aca="false">E95+IF(U95="SW",1,0)</f>
        <v>12</v>
      </c>
      <c r="F96" s="26" t="n">
        <f aca="false">F95+IF(U95="AB",1,0)</f>
        <v>10</v>
      </c>
      <c r="G96" s="26" t="n">
        <f aca="false">G95+IF(U95="SC",1,0)</f>
        <v>7</v>
      </c>
      <c r="H96" s="26" t="n">
        <f aca="false">H95+IF(U95="Mag",1,0)</f>
        <v>5</v>
      </c>
      <c r="I96" s="26" t="n">
        <f aca="false">MAX(I95,IF(U95="OR",1,0))</f>
        <v>1</v>
      </c>
      <c r="J96" s="26" t="n">
        <f aca="false">MAX(J95,IF(U95="HP",1,0))</f>
        <v>1</v>
      </c>
      <c r="K96" s="26" t="n">
        <f aca="false">MAX(K95,IF(U95="FP",1,0))</f>
        <v>1</v>
      </c>
      <c r="L96" s="26" t="n">
        <f aca="false">MAX(L95,IF(U95="transition",1,0))</f>
        <v>1</v>
      </c>
      <c r="M96" s="28" t="n">
        <f aca="false">(Parameters!$B$9+(IF(E96=0,0,(Upgrades!$J$6+E96*Upgrades!$K$6)*POWER(Upgrades!$L$6,E96)))*(IF(Upgrades!$T$7="Solar Wind",POWER(Upgrades!$U$7,F96),1)*IF(Upgrades!$T$8="Solar Wind",POWER(Upgrades!$U$8,G96),1)*IF(Upgrades!$T$9="Solar Wind",POWER(Upgrades!$U$9,H96),1)*IF(Upgrades!$T$10="Solar Wind",POWER(Upgrades!$U$10,I96),1)*IF(Upgrades!$T$11="Solar Wind",POWER(Upgrades!$U$11,J96),1)*IF(Upgrades!$T$12="Solar Wind",POWER(Upgrades!$U$12,K96),1))+(IF(F96=0,0,(Upgrades!$J$7+F96*Upgrades!$K$7)*POWER(Upgrades!$L$7,F96)))*(IF(Upgrades!$T$6="Asteroid Belt",POWER(Upgrades!$U$6,E96),1)*IF(Upgrades!$T$8="Asteroid Belt",POWER(Upgrades!$U$8,G96),1)*IF(Upgrades!$T$9="Asteroid Belt",POWER(Upgrades!$U$9,H96),1)*IF(Upgrades!$T$10="Asteroid Belt",POWER(Upgrades!$U$10,I96),1)*IF(Upgrades!$T$11="Asteroid Belt",POWER(Upgrades!$U$11,J96),1)*IF(Upgrades!$T$12="Asteroid Belt",POWER(Upgrades!$U$12,K96),1))+(IF(G96=0,0,(Upgrades!$J$8+G96*Upgrades!$K$8)*POWER(Upgrades!$L$8,G96)))*(IF(Upgrades!$T$6="Stellar Coupling",POWER(Upgrades!$U$6,E96),1)*IF(Upgrades!$T$7="Stellar Coupling",POWER(Upgrades!$U$7,F96),1)*IF(Upgrades!$T$9="Stellar Coupling",POWER(Upgrades!$U$9,H96),1)*IF(Upgrades!$T$10="Stellar Coupling",POWER(Upgrades!$U$10,I96),1)*IF(Upgrades!$T$11="Stellar Coupling",POWER(Upgrades!$U$11,J96),1)*IF(Upgrades!$T$12="Stellar Coupling",POWER(Upgrades!$U$12,K96),1))+(IF(H96=0,0,(Upgrades!$J$9+H96*Upgrades!$K$9)*POWER(Upgrades!$L$9,H96)))*(IF(Upgrades!$T$6="Magnetosphere",POWER(Upgrades!$U$6,E96),1)*IF(Upgrades!$T$7="Magnetosphere",POWER(Upgrades!$U$7,F96),1)*IF(Upgrades!$T$8="Magnetosphere",POWER(Upgrades!$U$8,G96),1)*IF(Upgrades!$T$10="Magnetosphere",POWER(Upgrades!$U$10,I96),1)*IF(Upgrades!$T$11="Magnetosphere",POWER(Upgrades!$U$11,J96),1)*IF(Upgrades!$T$12="Magnetosphere",POWER(Upgrades!$U$12,K96),1))+(IF(I96=0,0,(Upgrades!$J$10+I96*Upgrades!$K$10)*POWER(Upgrades!$L$10,I96)))*(IF(Upgrades!$T$6="Orbital Resonance",POWER(Upgrades!$U$6,E96),1)*IF(Upgrades!$T$7="Orbital Resonance",POWER(Upgrades!$U$7,F96),1)*IF(Upgrades!$T$8="Orbital Resonance",POWER(Upgrades!$U$8,G96),1)*IF(Upgrades!$T$9="Orbital Resonance",POWER(Upgrades!$U$9,H96),1)*IF(Upgrades!$T$11="Orbital Resonance",POWER(Upgrades!$U$11,J96),1)*IF(Upgrades!$T$12="Orbital Resonance",POWER(Upgrades!$U$12,K96),1))+(IF(J96=0,0,(Upgrades!$J$11+J96*Upgrades!$K$11)*POWER(Upgrades!$L$11,J96)))*(IF(Upgrades!$T$6="Heliopause",POWER(Upgrades!$U$6,E96),1)*IF(Upgrades!$T$7="Heliopause",POWER(Upgrades!$U$7,F96),1)*IF(Upgrades!$T$8="Heliopause",POWER(Upgrades!$U$8,G96),1)*IF(Upgrades!$T$9="Heliopause",POWER(Upgrades!$U$9,H96),1)*IF(Upgrades!$T$10="Heliopause",POWER(Upgrades!$U$10,I96),1)*IF(Upgrades!$T$12="Heliopause",POWER(Upgrades!$U$12,K96),1))+(IF(K96=0,0,(Upgrades!$J$12+K96*Upgrades!$K$12)*POWER(Upgrades!$L$12,K96)))*(IF(Upgrades!$T$6="First Photons",POWER(Upgrades!$U$6,E96),1)*IF(Upgrades!$T$7="First Photons",POWER(Upgrades!$U$7,F96),1)*IF(Upgrades!$T$8="First Photons",POWER(Upgrades!$U$8,G96),1)*IF(Upgrades!$T$9="First Photons",POWER(Upgrades!$U$9,H96),1)*IF(Upgrades!$T$10="First Photons",POWER(Upgrades!$U$10,I96),1)*IF(Upgrades!$T$11="First Photons",POWER(Upgrades!$U$11,J96),1)))*POWER(Upgrades!$Q$6,E96)*POWER(Upgrades!$Q$7,F96)*POWER(Upgrades!$Q$8,G96)*POWER(Upgrades!$Q$9,H96)*POWER(Upgrades!$Q$10,I96)*POWER(Upgrades!$Q$11,J96)*POWER(Upgrades!$Q$12,K96)</f>
        <v>5.61</v>
      </c>
      <c r="N96" s="28" t="n">
        <f aca="false">((IF(E96=0,0,(Upgrades!$G$6+E96*Upgrades!$H$6)*POWER(Upgrades!$I$6,E96)))*(IF(Upgrades!$T$7="Solar Wind",POWER(Upgrades!$U$7,F96),1)*IF(Upgrades!$T$8="Solar Wind",POWER(Upgrades!$U$8,G96),1)*IF(Upgrades!$T$9="Solar Wind",POWER(Upgrades!$U$9,H96),1)*IF(Upgrades!$T$10="Solar Wind",POWER(Upgrades!$U$10,I96),1)*IF(Upgrades!$T$11="Solar Wind",POWER(Upgrades!$U$11,J96),1)*IF(Upgrades!$T$12="Solar Wind",POWER(Upgrades!$U$12,K96),1))+(IF(F96=0,0,(Upgrades!$G$7+F96*Upgrades!$H$7)*POWER(Upgrades!$I$7,F96)))*(IF(Upgrades!$T$6="Asteroid Belt",POWER(Upgrades!$U$6,E96),1)*IF(Upgrades!$T$8="Asteroid Belt",POWER(Upgrades!$U$8,G96),1)*IF(Upgrades!$T$9="Asteroid Belt",POWER(Upgrades!$U$9,H96),1)*IF(Upgrades!$T$10="Asteroid Belt",POWER(Upgrades!$U$10,I96),1)*IF(Upgrades!$T$11="Asteroid Belt",POWER(Upgrades!$U$11,J96),1)*IF(Upgrades!$T$12="Asteroid Belt",POWER(Upgrades!$U$12,K96),1))+(IF(G96=0,0,(Upgrades!$G$8+G96*Upgrades!$H$8)*POWER(Upgrades!$I$8,G96)))*(IF(Upgrades!$T$6="Stellar Coupling",POWER(Upgrades!$U$6,E96),1)*IF(Upgrades!$T$7="Stellar Coupling",POWER(Upgrades!$U$7,F96),1)*IF(Upgrades!$T$9="Stellar Coupling",POWER(Upgrades!$U$9,H96),1)*IF(Upgrades!$T$10="Stellar Coupling",POWER(Upgrades!$U$10,I96),1)*IF(Upgrades!$T$11="Stellar Coupling",POWER(Upgrades!$U$11,J96),1)*IF(Upgrades!$T$12="Stellar Coupling",POWER(Upgrades!$U$12,K96),1))+(IF(H96=0,0,(Upgrades!$G$9+H96*Upgrades!$H$9)*POWER(Upgrades!$I$9,H96)))*(IF(Upgrades!$T$6="Magnetosphere",POWER(Upgrades!$U$6,E96),1)*IF(Upgrades!$T$7="Magnetosphere",POWER(Upgrades!$U$7,F96),1)*IF(Upgrades!$T$8="Magnetosphere",POWER(Upgrades!$U$8,G96),1)*IF(Upgrades!$T$10="Magnetosphere",POWER(Upgrades!$U$10,I96),1)*IF(Upgrades!$T$11="Magnetosphere",POWER(Upgrades!$U$11,J96),1)*IF(Upgrades!$T$12="Magnetosphere",POWER(Upgrades!$U$12,K96),1))+(IF(I96=0,0,(Upgrades!$G$10+I96*Upgrades!$H$10)*POWER(Upgrades!$I$10,I96)))*(IF(Upgrades!$T$6="Orbital Resonance",POWER(Upgrades!$U$6,E96),1)*IF(Upgrades!$T$7="Orbital Resonance",POWER(Upgrades!$U$7,F96),1)*IF(Upgrades!$T$8="Orbital Resonance",POWER(Upgrades!$U$8,G96),1)*IF(Upgrades!$T$9="Orbital Resonance",POWER(Upgrades!$U$9,H96),1)*IF(Upgrades!$T$11="Orbital Resonance",POWER(Upgrades!$U$11,J96),1)*IF(Upgrades!$T$12="Orbital Resonance",POWER(Upgrades!$U$12,K96),1))+(IF(J96=0,0,(Upgrades!$G$11+J96*Upgrades!$H$11)*POWER(Upgrades!$I$11,J96)))*(IF(Upgrades!$T$6="Heliopause",POWER(Upgrades!$U$6,E96),1)*IF(Upgrades!$T$7="Heliopause",POWER(Upgrades!$U$7,F96),1)*IF(Upgrades!$T$8="Heliopause",POWER(Upgrades!$U$8,G96),1)*IF(Upgrades!$T$9="Heliopause",POWER(Upgrades!$U$9,H96),1)*IF(Upgrades!$T$10="Heliopause",POWER(Upgrades!$U$10,I96),1)*IF(Upgrades!$T$12="Heliopause",POWER(Upgrades!$U$12,K96),1))+(IF(K96=0,0,(Upgrades!$G$12+K96*Upgrades!$H$12)*POWER(Upgrades!$I$12,K96)))*(IF(Upgrades!$T$6="First Photons",POWER(Upgrades!$U$6,E96),1)*IF(Upgrades!$T$7="First Photons",POWER(Upgrades!$U$7,F96),1)*IF(Upgrades!$T$8="First Photons",POWER(Upgrades!$U$8,G96),1)*IF(Upgrades!$T$9="First Photons",POWER(Upgrades!$U$9,H96),1)*IF(Upgrades!$T$10="First Photons",POWER(Upgrades!$U$10,I96),1)*IF(Upgrades!$T$11="First Photons",POWER(Upgrades!$U$11,J96),1)))*POWER(Upgrades!$P$6,E96)*POWER(Upgrades!$P$7,F96)*POWER(Upgrades!$P$8,G96)*POWER(Upgrades!$P$9,H96)*POWER(Upgrades!$P$10,I96)*POWER(Upgrades!$P$11,J96)*POWER(Upgrades!$P$12,K96)</f>
        <v>11.2</v>
      </c>
      <c r="O96" s="28" t="n">
        <f aca="false">((IF(E96=0,0,(Upgrades!$M$6+E96*Upgrades!$N$6)*POWER(Upgrades!$O$6,E96)))*(IF(Upgrades!$T$7="Solar Wind",POWER(Upgrades!$U$7,F96),1)*IF(Upgrades!$T$8="Solar Wind",POWER(Upgrades!$U$8,G96),1)*IF(Upgrades!$T$9="Solar Wind",POWER(Upgrades!$U$9,H96),1)*IF(Upgrades!$T$10="Solar Wind",POWER(Upgrades!$U$10,I96),1)*IF(Upgrades!$T$11="Solar Wind",POWER(Upgrades!$U$11,J96),1)*IF(Upgrades!$T$12="Solar Wind",POWER(Upgrades!$U$12,K96),1))+(IF(F96=0,0,(Upgrades!$M$7+F96*Upgrades!$N$7)*POWER(Upgrades!$O$7,F96)))*(IF(Upgrades!$T$6="Asteroid Belt",POWER(Upgrades!$U$6,E96),1)*IF(Upgrades!$T$8="Asteroid Belt",POWER(Upgrades!$U$8,G96),1)*IF(Upgrades!$T$9="Asteroid Belt",POWER(Upgrades!$U$9,H96),1)*IF(Upgrades!$T$10="Asteroid Belt",POWER(Upgrades!$U$10,I96),1)*IF(Upgrades!$T$11="Asteroid Belt",POWER(Upgrades!$U$11,J96),1)*IF(Upgrades!$T$12="Asteroid Belt",POWER(Upgrades!$U$12,K96),1))+(IF(G96=0,0,(Upgrades!$M$8+G96*Upgrades!$N$8)*POWER(Upgrades!$O$8,G96)))*(IF(Upgrades!$T$6="Stellar Coupling",POWER(Upgrades!$U$6,E96),1)*IF(Upgrades!$T$7="Stellar Coupling",POWER(Upgrades!$U$7,F96),1)*IF(Upgrades!$T$9="Stellar Coupling",POWER(Upgrades!$U$9,H96),1)*IF(Upgrades!$T$10="Stellar Coupling",POWER(Upgrades!$U$10,I96),1)*IF(Upgrades!$T$11="Stellar Coupling",POWER(Upgrades!$U$11,J96),1)*IF(Upgrades!$T$12="Stellar Coupling",POWER(Upgrades!$U$12,K96),1))+(IF(H96=0,0,(Upgrades!$M$9+H96*Upgrades!$N$9)*POWER(Upgrades!$O$9,H96)))*(IF(Upgrades!$T$6="Magnetosphere",POWER(Upgrades!$U$6,E96),1)*IF(Upgrades!$T$7="Magnetosphere",POWER(Upgrades!$U$7,F96),1)*IF(Upgrades!$T$8="Magnetosphere",POWER(Upgrades!$U$8,G96),1)*IF(Upgrades!$T$10="Magnetosphere",POWER(Upgrades!$U$10,I96),1)*IF(Upgrades!$T$11="Magnetosphere",POWER(Upgrades!$U$11,J96),1)*IF(Upgrades!$T$12="Magnetosphere",POWER(Upgrades!$U$12,K96),1))+(IF(I96=0,0,(Upgrades!$M$10+I96*Upgrades!$N$10)*POWER(Upgrades!$O$10,I96)))*(IF(Upgrades!$T$6="Orbital Resonance",POWER(Upgrades!$U$6,E96),1)*IF(Upgrades!$T$7="Orbital Resonance",POWER(Upgrades!$U$7,F96),1)*IF(Upgrades!$T$8="Orbital Resonance",POWER(Upgrades!$U$8,G96),1)*IF(Upgrades!$T$9="Orbital Resonance",POWER(Upgrades!$U$9,H96),1)*IF(Upgrades!$T$11="Orbital Resonance",POWER(Upgrades!$U$11,J96),1)*IF(Upgrades!$T$12="Orbital Resonance",POWER(Upgrades!$U$12,K96),1))+(IF(J96=0,0,(Upgrades!$M$11+J96*Upgrades!$N$11)*POWER(Upgrades!$O$11,J96)))*(IF(Upgrades!$T$6="Heliopause",POWER(Upgrades!$U$6,E96),1)*IF(Upgrades!$T$7="Heliopause",POWER(Upgrades!$U$7,F96),1)*IF(Upgrades!$T$8="Heliopause",POWER(Upgrades!$U$8,G96),1)*IF(Upgrades!$T$9="Heliopause",POWER(Upgrades!$U$9,H96),1)*IF(Upgrades!$T$10="Heliopause",POWER(Upgrades!$U$10,I96),1)*IF(Upgrades!$T$12="Heliopause",POWER(Upgrades!$U$12,K96),1))+(IF(K96=0,0,(Upgrades!$M$12+K96*Upgrades!$N$12)*POWER(Upgrades!$O$12,K96)))*(IF(Upgrades!$T$6="First Photons",POWER(Upgrades!$U$6,E96),1)*IF(Upgrades!$T$7="First Photons",POWER(Upgrades!$U$7,F96),1)*IF(Upgrades!$T$8="First Photons",POWER(Upgrades!$U$8,G96),1)*IF(Upgrades!$T$9="First Photons",POWER(Upgrades!$U$9,H96),1)*IF(Upgrades!$T$10="First Photons",POWER(Upgrades!$U$10,I96),1)*IF(Upgrades!$T$11="First Photons",POWER(Upgrades!$U$11,J96),1)))*POWER(Upgrades!$R$6,E96)*POWER(Upgrades!$R$7,F96)*POWER(Upgrades!$R$8,G96)*POWER(Upgrades!$R$9,H96)*POWER(Upgrades!$R$10,I96)*POWER(Upgrades!$R$11,J96)*POWER(Upgrades!$R$12,K96)</f>
        <v>0</v>
      </c>
      <c r="P96" s="27" t="n">
        <f aca="false">IF(L96=1,0,M96*Parameters!$B$10/60*Parameters!$B$11*10)</f>
        <v>0</v>
      </c>
      <c r="Q96" s="27" t="n">
        <f aca="false">IF(L96=1,0,O96*M96*10)</f>
        <v>0</v>
      </c>
      <c r="R96" s="27" t="n">
        <f aca="false">IF(L96=1,0,N96*10)</f>
        <v>0</v>
      </c>
      <c r="S96" s="27" t="n">
        <f aca="false">P96+Q96+R96</f>
        <v>0</v>
      </c>
      <c r="T96" s="21" t="n">
        <f aca="false">C96+S96</f>
        <v>18.6730249835055</v>
      </c>
      <c r="U96" s="34" t="str">
        <f aca="false">AX96</f>
        <v/>
      </c>
      <c r="V96" s="21" t="n">
        <f aca="false">IF(U96="",0,IF(U96="transition",0,IF(U96="SW",AG96,IF(U96="AB",AH96,IF(U96="SC",AI96,IF(U96="Mag",AJ96,IF(U96="OR",AK96,IF(U96="HP",AL96,IF(U96="FP",AM96,0)))))))))</f>
        <v>0</v>
      </c>
      <c r="W96" s="27" t="n">
        <f aca="false">IF(U96="OR",Upgrades!$F$10,IF(U96="HP",Upgrades!$F$11,IF(U96="transition",-Parameters!$B$18,0)))</f>
        <v>0</v>
      </c>
      <c r="X96" s="21" t="n">
        <f aca="false">T96-V96</f>
        <v>18.6730249835055</v>
      </c>
      <c r="Y96" s="30" t="n">
        <f aca="false">M96*Parameters!$B$10/60*Parameters!$B$11+O96*M96+N96</f>
        <v>20.55</v>
      </c>
      <c r="Z96" s="35" t="str">
        <f aca="false">IF(U96="transition","→ Tier 2 (Stellar Neighborhood)",IF(U96="FP","First Photons — light begins, system quickens",IF(U96="HP","Heliopause acquired",IF(U96="OR","Orbital Resonance — passive multiplier active",IF(AND(AO96=1,L96=0,AN96&lt;&gt;1),"Cohesion ready (waiting on completionist upgrades)","")))))</f>
        <v/>
      </c>
      <c r="AA96" s="27" t="n">
        <f aca="false">(IF(E96=0,0,(Upgrades!$G$6+E96*Upgrades!$H$6)*POWER(Upgrades!$I$6,E96)))*(IF(Upgrades!$T$7="Solar Wind",POWER(Upgrades!$U$7,F96),1)*IF(Upgrades!$T$8="Solar Wind",POWER(Upgrades!$U$8,G96),1)*IF(Upgrades!$T$9="Solar Wind",POWER(Upgrades!$U$9,H96),1)*IF(Upgrades!$T$10="Solar Wind",POWER(Upgrades!$U$10,I96),1)*IF(Upgrades!$T$11="Solar Wind",POWER(Upgrades!$U$11,J96),1)*IF(Upgrades!$T$12="Solar Wind",POWER(Upgrades!$U$12,K96),1))*POWER(Upgrades!$P$6,E96)*POWER(Upgrades!$P$7,F96)*POWER(Upgrades!$P$8,G96)*POWER(Upgrades!$P$9,H96)*POWER(Upgrades!$P$10,I96)*POWER(Upgrades!$P$11,J96)*POWER(Upgrades!$P$12,K96)*60</f>
        <v>72</v>
      </c>
      <c r="AB96" s="27" t="n">
        <f aca="false">(IF(F96=0,0,(Upgrades!$G$7+F96*Upgrades!$H$7)*POWER(Upgrades!$I$7,F96)))*(IF(Upgrades!$T$6="Asteroid Belt",POWER(Upgrades!$U$6,E96),1)*IF(Upgrades!$T$8="Asteroid Belt",POWER(Upgrades!$U$8,G96),1)*IF(Upgrades!$T$9="Asteroid Belt",POWER(Upgrades!$U$9,H96),1)*IF(Upgrades!$T$10="Asteroid Belt",POWER(Upgrades!$U$10,I96),1)*IF(Upgrades!$T$11="Asteroid Belt",POWER(Upgrades!$U$11,J96),1)*IF(Upgrades!$T$12="Asteroid Belt",POWER(Upgrades!$U$12,K96),1))*POWER(Upgrades!$P$6,E96)*POWER(Upgrades!$P$7,F96)*POWER(Upgrades!$P$8,G96)*POWER(Upgrades!$P$9,H96)*POWER(Upgrades!$P$10,I96)*POWER(Upgrades!$P$11,J96)*POWER(Upgrades!$P$12,K96)*60</f>
        <v>150</v>
      </c>
      <c r="AC96" s="27" t="n">
        <f aca="false">(IF(G96=0,0,(Upgrades!$J$8+G96*Upgrades!$K$8)*POWER(Upgrades!$L$8,G96)))*(IF(Upgrades!$T$6="Stellar Coupling",POWER(Upgrades!$U$6,E96),1)*IF(Upgrades!$T$7="Stellar Coupling",POWER(Upgrades!$U$7,F96),1)*IF(Upgrades!$T$9="Stellar Coupling",POWER(Upgrades!$U$9,H96),1)*IF(Upgrades!$T$10="Stellar Coupling",POWER(Upgrades!$U$10,I96),1)*IF(Upgrades!$T$11="Stellar Coupling",POWER(Upgrades!$U$11,J96),1)*IF(Upgrades!$T$12="Stellar Coupling",POWER(Upgrades!$U$12,K96),1))*POWER(Upgrades!$Q$6,E96)*POWER(Upgrades!$Q$7,F96)*POWER(Upgrades!$Q$8,G96)*POWER(Upgrades!$Q$9,H96)*POWER(Upgrades!$Q$10,I96)*POWER(Upgrades!$Q$11,J96)*POWER(Upgrades!$Q$12,K96)*Parameters!$B$10*Parameters!$B$11</f>
        <v>441</v>
      </c>
      <c r="AD96" s="27" t="n">
        <f aca="false">(IF(H96=0,0,(Upgrades!$G$9+H96*Upgrades!$H$9)*POWER(Upgrades!$I$9,H96)))*(IF(Upgrades!$T$6="Magnetosphere",POWER(Upgrades!$U$6,E96),1)*IF(Upgrades!$T$7="Magnetosphere",POWER(Upgrades!$U$7,F96),1)*IF(Upgrades!$T$8="Magnetosphere",POWER(Upgrades!$U$8,G96),1)*IF(Upgrades!$T$10="Magnetosphere",POWER(Upgrades!$U$10,I96),1)*IF(Upgrades!$T$11="Magnetosphere",POWER(Upgrades!$U$11,J96),1)*IF(Upgrades!$T$12="Magnetosphere",POWER(Upgrades!$U$12,K96),1))*POWER(Upgrades!$P$6,E96)*POWER(Upgrades!$P$7,F96)*POWER(Upgrades!$P$8,G96)*POWER(Upgrades!$P$9,H96)*POWER(Upgrades!$P$10,I96)*POWER(Upgrades!$P$11,J96)*POWER(Upgrades!$P$12,K96)*60</f>
        <v>375</v>
      </c>
      <c r="AE96" s="27" t="n">
        <f aca="false">(IF(K96=0,0,(Upgrades!$G$12+K96*Upgrades!$H$12)*POWER(Upgrades!$I$12,K96)))*(IF(Upgrades!$T$6="First Photons",POWER(Upgrades!$U$6,E96),1)*IF(Upgrades!$T$7="First Photons",POWER(Upgrades!$U$7,F96),1)*IF(Upgrades!$T$8="First Photons",POWER(Upgrades!$U$8,G96),1)*IF(Upgrades!$T$9="First Photons",POWER(Upgrades!$U$9,H96),1)*IF(Upgrades!$T$10="First Photons",POWER(Upgrades!$U$10,I96),1)*IF(Upgrades!$T$11="First Photons",POWER(Upgrades!$U$11,J96),1))*POWER(Upgrades!$P$6,E96)*POWER(Upgrades!$P$7,F96)*POWER(Upgrades!$P$8,G96)*POWER(Upgrades!$P$9,H96)*POWER(Upgrades!$P$10,I96)*POWER(Upgrades!$P$11,J96)*POWER(Upgrades!$P$12,K96)*60</f>
        <v>75</v>
      </c>
      <c r="AF96" s="27" t="n">
        <f aca="false">Parameters!$B$9*POWER(Upgrades!$Q$6,E96)*POWER(Upgrades!$Q$7,F96)*POWER(Upgrades!$Q$8,G96)*POWER(Upgrades!$Q$9,H96)*POWER(Upgrades!$Q$10,I96)*POWER(Upgrades!$Q$11,J96)*POWER(Upgrades!$Q$12,K96)*(Parameters!$B$10*Parameters!$B$11+O96*60)</f>
        <v>120</v>
      </c>
      <c r="AG96" s="21" t="n">
        <f aca="false">IF(E96&gt;=Upgrades!$E$6,"",Upgrades!$C$6*POWER(Upgrades!$D$6,E96))</f>
        <v>37.4517507383159</v>
      </c>
      <c r="AH96" s="21" t="n">
        <f aca="false">IF(F96&gt;=Upgrades!$E$7,"",Upgrades!$C$7*POWER(Upgrades!$D$7,F96))</f>
        <v>80.9111547141581</v>
      </c>
      <c r="AI96" s="21" t="n">
        <f aca="false">IF(G96&gt;=Upgrades!$E$8,"",Upgrades!$C$8*POWER(Upgrades!$D$8,G96))</f>
        <v>231.9097088</v>
      </c>
      <c r="AJ96" s="21" t="str">
        <f aca="false">IF(H96&gt;=Upgrades!$E$9,"",Upgrades!$C$9*POWER(Upgrades!$D$9,H96))</f>
        <v/>
      </c>
      <c r="AK96" s="21" t="str">
        <f aca="false">IF(I96&gt;=Upgrades!$E$10,"",Upgrades!$C$10*POWER(Upgrades!$D$10,I96))</f>
        <v/>
      </c>
      <c r="AL96" s="21" t="str">
        <f aca="false">IF(J96&gt;=Upgrades!$E$11,"",Upgrades!$C$11*POWER(Upgrades!$D$11,J96))</f>
        <v/>
      </c>
      <c r="AM96" s="21" t="str">
        <f aca="false">IF(K96&gt;=Upgrades!$E$12,"",Upgrades!$C$12*POWER(Upgrades!$D$12,K96))</f>
        <v/>
      </c>
      <c r="AN96" s="26" t="str">
        <f aca="false">IF(AND(D96&gt;=Parameters!$B$18,(H96&gt;=Upgrades!$E$9)*(K96&gt;=Upgrades!$E$12)=1,L96=0),1,"")</f>
        <v/>
      </c>
      <c r="AO96" s="26" t="str">
        <f aca="false">IF(AND(D96&gt;=Parameters!$B$18,L96=0),1,"")</f>
        <v/>
      </c>
      <c r="AP96" s="21" t="n">
        <f aca="false">MIN(IF(ISNUMBER(AK96),AK96,9000000000000000),IF(ISNUMBER(AL96),AL96,9000000000000000),IF(ISNUMBER(AM96),AM96,9000000000000000))</f>
        <v>9000000000000000</v>
      </c>
      <c r="AQ96" s="21" t="n">
        <f aca="false">MIN(IF(ISNUMBER(AG96),AG96,9000000000000000),IF(ISNUMBER(AH96),AH96,9000000000000000),IF(ISNUMBER(AI96),AI96,9000000000000000),IF(ISNUMBER(AJ96),AJ96,9000000000000000))</f>
        <v>37.4517507383159</v>
      </c>
      <c r="AR96" s="32" t="b">
        <f aca="false">IF(AW96&gt;Parameters!$B$21*(MAX(IF(AND(NOT(AND(AO96=1,AN96&lt;&gt;1)),ISNUMBER(AG96),AG96&lt;=T96),AS96,0),IF(AND(NOT(AND(AO96=1,AN96&lt;&gt;1)),ISNUMBER(AH96),AH96&lt;=T96),AT96,0),IF(AND(NOT(AND(AO96=1,AN96&lt;&gt;1)),ISNUMBER(AI96),AI96&lt;=T96),AU96,0),IF(AND(ISNUMBER(AJ96),AJ96&lt;=T96),AV96,0))),TRUE(),FALSE())</f>
        <v>1</v>
      </c>
      <c r="AS96" s="33" t="n">
        <f aca="false">IFERROR(Upgrades!$H$6*(POWER(Upgrades!$P$6,E96)*POWER(Upgrades!$P$7,F96)*POWER(Upgrades!$P$8,G96)*POWER(Upgrades!$P$9,H96)*POWER(Upgrades!$P$10,I96)*POWER(Upgrades!$P$11,J96)*POWER(Upgrades!$P$12,K96))*(IF(Upgrades!$T$7="Solar Wind",POWER(Upgrades!$U$7,F96),1)*IF(Upgrades!$T$8="Solar Wind",POWER(Upgrades!$U$8,G96),1)*IF(Upgrades!$T$9="Solar Wind",POWER(Upgrades!$U$9,H96),1)*IF(Upgrades!$T$10="Solar Wind",POWER(Upgrades!$U$10,I96),1)*IF(Upgrades!$T$11="Solar Wind",POWER(Upgrades!$U$11,J96),1)*IF(Upgrades!$T$12="Solar Wind",POWER(Upgrades!$U$12,K96),1))/AG96,0)</f>
        <v>0.0026701021455238</v>
      </c>
      <c r="AT96" s="33" t="n">
        <f aca="false">IFERROR(Upgrades!$H$7*(POWER(Upgrades!$P$6,E96)*POWER(Upgrades!$P$7,F96)*POWER(Upgrades!$P$8,G96)*POWER(Upgrades!$P$9,H96)*POWER(Upgrades!$P$10,I96)*POWER(Upgrades!$P$11,J96)*POWER(Upgrades!$P$12,K96))*(IF(Upgrades!$T$6="Asteroid Belt",POWER(Upgrades!$U$6,E96),1)*IF(Upgrades!$T$8="Asteroid Belt",POWER(Upgrades!$U$8,G96),1)*IF(Upgrades!$T$9="Asteroid Belt",POWER(Upgrades!$U$9,H96),1)*IF(Upgrades!$T$10="Asteroid Belt",POWER(Upgrades!$U$10,I96),1)*IF(Upgrades!$T$11="Asteroid Belt",POWER(Upgrades!$U$11,J96),1)*IF(Upgrades!$T$12="Asteroid Belt",POWER(Upgrades!$U$12,K96),1))/AH96,0)</f>
        <v>0.00308980882652332</v>
      </c>
      <c r="AU96" s="33" t="n">
        <f aca="false">IFERROR(Upgrades!$K$8*(POWER(Upgrades!$Q$6,E96)*POWER(Upgrades!$Q$7,F96)*POWER(Upgrades!$Q$8,G96)*POWER(Upgrades!$Q$9,H96)*POWER(Upgrades!$Q$10,I96)*POWER(Upgrades!$Q$11,J96)*POWER(Upgrades!$Q$12,K96))*(IF(Upgrades!$T$6="Stellar Coupling",POWER(Upgrades!$U$6,E96),1)*IF(Upgrades!$T$7="Stellar Coupling",POWER(Upgrades!$U$7,F96),1)*IF(Upgrades!$T$9="Stellar Coupling",POWER(Upgrades!$U$9,H96),1)*IF(Upgrades!$T$10="Stellar Coupling",POWER(Upgrades!$U$10,I96),1)*IF(Upgrades!$T$11="Stellar Coupling",POWER(Upgrades!$U$11,J96),1)*IF(Upgrades!$T$12="Stellar Coupling",POWER(Upgrades!$U$12,K96),1))*Parameters!$B$10*Parameters!$B$11/60/AI96,0)</f>
        <v>0.00452762415783776</v>
      </c>
      <c r="AV96" s="33" t="n">
        <f aca="false">IFERROR(Upgrades!$H$9*(POWER(Upgrades!$P$6,E96)*POWER(Upgrades!$P$7,F96)*POWER(Upgrades!$P$8,G96)*POWER(Upgrades!$P$9,H96)*POWER(Upgrades!$P$10,I96)*POWER(Upgrades!$P$11,J96)*POWER(Upgrades!$P$12,K96))*(IF(Upgrades!$T$6="Magnetosphere",POWER(Upgrades!$U$6,E96),1)*IF(Upgrades!$T$7="Magnetosphere",POWER(Upgrades!$U$7,F96),1)*IF(Upgrades!$T$8="Magnetosphere",POWER(Upgrades!$U$8,G96),1)*IF(Upgrades!$T$10="Magnetosphere",POWER(Upgrades!$U$10,I96),1)*IF(Upgrades!$T$11="Magnetosphere",POWER(Upgrades!$U$11,J96),1)*IF(Upgrades!$T$12="Magnetosphere",POWER(Upgrades!$U$12,K96),1))/AJ96,0)</f>
        <v>0</v>
      </c>
      <c r="AW96" s="33" t="n">
        <f aca="false">MAX(IF(I96&gt;0,0,IFERROR(0.25*N96/Upgrades!$C$10,0)),IF(J96&gt;0,0,IFERROR(0.5*((IF(G96=0,0,(Upgrades!$J$8+G96*Upgrades!$K$8)*POWER(Upgrades!$L$8,G96)))*(IF(Upgrades!$T$6="Stellar Coupling",POWER(Upgrades!$U$6,E96),1)*IF(Upgrades!$T$7="Stellar Coupling",POWER(Upgrades!$U$7,F96),1)*IF(Upgrades!$T$9="Stellar Coupling",POWER(Upgrades!$U$9,H96),1)*IF(Upgrades!$T$10="Stellar Coupling",POWER(Upgrades!$U$10,I96),1)*IF(Upgrades!$T$11="Stellar Coupling",POWER(Upgrades!$U$11,J96),1)*IF(Upgrades!$T$12="Stellar Coupling",POWER(Upgrades!$U$12,K96),1))*(POWER(Upgrades!$Q$6,E96)*POWER(Upgrades!$Q$7,F96)*POWER(Upgrades!$Q$8,G96)*POWER(Upgrades!$Q$9,H96)*POWER(Upgrades!$Q$10,I96)*POWER(Upgrades!$Q$11,J96)*POWER(Upgrades!$Q$12,K96))*Parameters!$B$10*Parameters!$B$11/60)/Upgrades!$C$11,0)),IF(K96&gt;0,0,IFERROR((1*(POWER(Upgrades!$P$6,E96)*POWER(Upgrades!$P$7,F96)*POWER(Upgrades!$P$8,G96)*POWER(Upgrades!$P$9,H96)*POWER(Upgrades!$P$10,I96)*POWER(Upgrades!$P$11,J96)*POWER(Upgrades!$P$12,K96))+0.2*M96*Parameters!$B$10*Parameters!$B$11/60)/Upgrades!$C$12,0)),IF(AND(ISNUMBER(AG96),AG96&gt;T96),AS96,0),IF(AND(ISNUMBER(AH96),AH96&gt;T96),AT96,0),IF(AND(ISNUMBER(AI96),AI96&gt;T96),AU96,0),IF(AND(ISNUMBER(AJ96),AJ96&gt;T96),AV96,0))</f>
        <v>0.00452762415783776</v>
      </c>
      <c r="AX96" s="29" t="str">
        <f aca="false">IF(AN96=1,"transition",IF(MIN(IF(AND(I96=0,ISNUMBER(AK96),AK96&lt;=T96),AK96,9000000000000000),IF(AND(J96=0,ISNUMBER(AL96),AL96&lt;=T96),AL96,9000000000000000),IF(AND(K96=0,ISNUMBER(AM96),AM96&lt;=T96),AM96,9000000000000000))&lt;9000000000000000,IF(AND(AND(I96=0,ISNUMBER(AK96),AK96&lt;=T96),AK96=MIN(IF(AND(I96=0,ISNUMBER(AK96),AK96&lt;=T96),AK96,9000000000000000),IF(AND(J96=0,ISNUMBER(AL96),AL96&lt;=T96),AL96,9000000000000000),IF(AND(K96=0,ISNUMBER(AM96),AM96&lt;=T96),AM96,9000000000000000))),"OR",IF(AND(AND(J96=0,ISNUMBER(AL96),AL96&lt;=T96),AL96=MIN(IF(AND(I96=0,ISNUMBER(AK96),AK96&lt;=T96),AK96,9000000000000000),IF(AND(J96=0,ISNUMBER(AL96),AL96&lt;=T96),AL96,9000000000000000),IF(AND(K96=0,ISNUMBER(AM96),AM96&lt;=T96),AM96,9000000000000000))),"HP","FP")),IF(AR96=TRUE(),"",IF(MAX(IF(AND(NOT(AND(AO96=1,AN96&lt;&gt;1)),ISNUMBER(AG96),AG96&lt;=T96),AS96,0),IF(AND(NOT(AND(AO96=1,AN96&lt;&gt;1)),ISNUMBER(AH96),AH96&lt;=T96),AT96,0),IF(AND(NOT(AND(AO96=1,AN96&lt;&gt;1)),ISNUMBER(AI96),AI96&lt;=T96),AU96,0),IF(AND(ISNUMBER(AJ96),AJ96&lt;=T96),AV96,0))&lt;=0,"",IF(AND(IF(AND(NOT(AND(AO96=1,AN96&lt;&gt;1)),ISNUMBER(AG96),AG96&lt;=T96),AS96,0)&gt;0,IF(AND(NOT(AND(AO96=1,AN96&lt;&gt;1)),ISNUMBER(AG96),AG96&lt;=T96),AS96,0)=MAX(IF(AND(NOT(AND(AO96=1,AN96&lt;&gt;1)),ISNUMBER(AG96),AG96&lt;=T96),AS96,0),IF(AND(NOT(AND(AO96=1,AN96&lt;&gt;1)),ISNUMBER(AH96),AH96&lt;=T96),AT96,0),IF(AND(NOT(AND(AO96=1,AN96&lt;&gt;1)),ISNUMBER(AI96),AI96&lt;=T96),AU96,0),IF(AND(ISNUMBER(AJ96),AJ96&lt;=T96),AV96,0))),"SW",IF(AND(IF(AND(NOT(AND(AO96=1,AN96&lt;&gt;1)),ISNUMBER(AH96),AH96&lt;=T96),AT96,0)&gt;0,IF(AND(NOT(AND(AO96=1,AN96&lt;&gt;1)),ISNUMBER(AH96),AH96&lt;=T96),AT96,0)=MAX(IF(AND(NOT(AND(AO96=1,AN96&lt;&gt;1)),ISNUMBER(AG96),AG96&lt;=T96),AS96,0),IF(AND(NOT(AND(AO96=1,AN96&lt;&gt;1)),ISNUMBER(AH96),AH96&lt;=T96),AT96,0),IF(AND(NOT(AND(AO96=1,AN96&lt;&gt;1)),ISNUMBER(AI96),AI96&lt;=T96),AU96,0),IF(AND(ISNUMBER(AJ96),AJ96&lt;=T96),AV96,0))),"AB",IF(AND(IF(AND(NOT(AND(AO96=1,AN96&lt;&gt;1)),ISNUMBER(AI96),AI96&lt;=T96),AU96,0)&gt;0,IF(AND(NOT(AND(AO96=1,AN96&lt;&gt;1)),ISNUMBER(AI96),AI96&lt;=T96),AU96,0)=MAX(IF(AND(NOT(AND(AO96=1,AN96&lt;&gt;1)),ISNUMBER(AG96),AG96&lt;=T96),AS96,0),IF(AND(NOT(AND(AO96=1,AN96&lt;&gt;1)),ISNUMBER(AH96),AH96&lt;=T96),AT96,0),IF(AND(NOT(AND(AO96=1,AN96&lt;&gt;1)),ISNUMBER(AI96),AI96&lt;=T96),AU96,0),IF(AND(ISNUMBER(AJ96),AJ96&lt;=T96),AV96,0))),"SC","Mag")))))))</f>
        <v/>
      </c>
    </row>
    <row r="97" customFormat="false" ht="15" hidden="false" customHeight="false" outlineLevel="0" collapsed="false">
      <c r="A97" s="26" t="n">
        <v>92</v>
      </c>
      <c r="B97" s="27" t="n">
        <f aca="false">A97*10/60</f>
        <v>15.3333333333333</v>
      </c>
      <c r="C97" s="21" t="n">
        <f aca="false">X96</f>
        <v>18.6730249835055</v>
      </c>
      <c r="D97" s="27" t="n">
        <f aca="false">D96+W96</f>
        <v>0</v>
      </c>
      <c r="E97" s="26" t="n">
        <f aca="false">E96+IF(U96="SW",1,0)</f>
        <v>12</v>
      </c>
      <c r="F97" s="26" t="n">
        <f aca="false">F96+IF(U96="AB",1,0)</f>
        <v>10</v>
      </c>
      <c r="G97" s="26" t="n">
        <f aca="false">G96+IF(U96="SC",1,0)</f>
        <v>7</v>
      </c>
      <c r="H97" s="26" t="n">
        <f aca="false">H96+IF(U96="Mag",1,0)</f>
        <v>5</v>
      </c>
      <c r="I97" s="26" t="n">
        <f aca="false">MAX(I96,IF(U96="OR",1,0))</f>
        <v>1</v>
      </c>
      <c r="J97" s="26" t="n">
        <f aca="false">MAX(J96,IF(U96="HP",1,0))</f>
        <v>1</v>
      </c>
      <c r="K97" s="26" t="n">
        <f aca="false">MAX(K96,IF(U96="FP",1,0))</f>
        <v>1</v>
      </c>
      <c r="L97" s="26" t="n">
        <f aca="false">MAX(L96,IF(U96="transition",1,0))</f>
        <v>1</v>
      </c>
      <c r="M97" s="28" t="n">
        <f aca="false">(Parameters!$B$9+(IF(E97=0,0,(Upgrades!$J$6+E97*Upgrades!$K$6)*POWER(Upgrades!$L$6,E97)))*(IF(Upgrades!$T$7="Solar Wind",POWER(Upgrades!$U$7,F97),1)*IF(Upgrades!$T$8="Solar Wind",POWER(Upgrades!$U$8,G97),1)*IF(Upgrades!$T$9="Solar Wind",POWER(Upgrades!$U$9,H97),1)*IF(Upgrades!$T$10="Solar Wind",POWER(Upgrades!$U$10,I97),1)*IF(Upgrades!$T$11="Solar Wind",POWER(Upgrades!$U$11,J97),1)*IF(Upgrades!$T$12="Solar Wind",POWER(Upgrades!$U$12,K97),1))+(IF(F97=0,0,(Upgrades!$J$7+F97*Upgrades!$K$7)*POWER(Upgrades!$L$7,F97)))*(IF(Upgrades!$T$6="Asteroid Belt",POWER(Upgrades!$U$6,E97),1)*IF(Upgrades!$T$8="Asteroid Belt",POWER(Upgrades!$U$8,G97),1)*IF(Upgrades!$T$9="Asteroid Belt",POWER(Upgrades!$U$9,H97),1)*IF(Upgrades!$T$10="Asteroid Belt",POWER(Upgrades!$U$10,I97),1)*IF(Upgrades!$T$11="Asteroid Belt",POWER(Upgrades!$U$11,J97),1)*IF(Upgrades!$T$12="Asteroid Belt",POWER(Upgrades!$U$12,K97),1))+(IF(G97=0,0,(Upgrades!$J$8+G97*Upgrades!$K$8)*POWER(Upgrades!$L$8,G97)))*(IF(Upgrades!$T$6="Stellar Coupling",POWER(Upgrades!$U$6,E97),1)*IF(Upgrades!$T$7="Stellar Coupling",POWER(Upgrades!$U$7,F97),1)*IF(Upgrades!$T$9="Stellar Coupling",POWER(Upgrades!$U$9,H97),1)*IF(Upgrades!$T$10="Stellar Coupling",POWER(Upgrades!$U$10,I97),1)*IF(Upgrades!$T$11="Stellar Coupling",POWER(Upgrades!$U$11,J97),1)*IF(Upgrades!$T$12="Stellar Coupling",POWER(Upgrades!$U$12,K97),1))+(IF(H97=0,0,(Upgrades!$J$9+H97*Upgrades!$K$9)*POWER(Upgrades!$L$9,H97)))*(IF(Upgrades!$T$6="Magnetosphere",POWER(Upgrades!$U$6,E97),1)*IF(Upgrades!$T$7="Magnetosphere",POWER(Upgrades!$U$7,F97),1)*IF(Upgrades!$T$8="Magnetosphere",POWER(Upgrades!$U$8,G97),1)*IF(Upgrades!$T$10="Magnetosphere",POWER(Upgrades!$U$10,I97),1)*IF(Upgrades!$T$11="Magnetosphere",POWER(Upgrades!$U$11,J97),1)*IF(Upgrades!$T$12="Magnetosphere",POWER(Upgrades!$U$12,K97),1))+(IF(I97=0,0,(Upgrades!$J$10+I97*Upgrades!$K$10)*POWER(Upgrades!$L$10,I97)))*(IF(Upgrades!$T$6="Orbital Resonance",POWER(Upgrades!$U$6,E97),1)*IF(Upgrades!$T$7="Orbital Resonance",POWER(Upgrades!$U$7,F97),1)*IF(Upgrades!$T$8="Orbital Resonance",POWER(Upgrades!$U$8,G97),1)*IF(Upgrades!$T$9="Orbital Resonance",POWER(Upgrades!$U$9,H97),1)*IF(Upgrades!$T$11="Orbital Resonance",POWER(Upgrades!$U$11,J97),1)*IF(Upgrades!$T$12="Orbital Resonance",POWER(Upgrades!$U$12,K97),1))+(IF(J97=0,0,(Upgrades!$J$11+J97*Upgrades!$K$11)*POWER(Upgrades!$L$11,J97)))*(IF(Upgrades!$T$6="Heliopause",POWER(Upgrades!$U$6,E97),1)*IF(Upgrades!$T$7="Heliopause",POWER(Upgrades!$U$7,F97),1)*IF(Upgrades!$T$8="Heliopause",POWER(Upgrades!$U$8,G97),1)*IF(Upgrades!$T$9="Heliopause",POWER(Upgrades!$U$9,H97),1)*IF(Upgrades!$T$10="Heliopause",POWER(Upgrades!$U$10,I97),1)*IF(Upgrades!$T$12="Heliopause",POWER(Upgrades!$U$12,K97),1))+(IF(K97=0,0,(Upgrades!$J$12+K97*Upgrades!$K$12)*POWER(Upgrades!$L$12,K97)))*(IF(Upgrades!$T$6="First Photons",POWER(Upgrades!$U$6,E97),1)*IF(Upgrades!$T$7="First Photons",POWER(Upgrades!$U$7,F97),1)*IF(Upgrades!$T$8="First Photons",POWER(Upgrades!$U$8,G97),1)*IF(Upgrades!$T$9="First Photons",POWER(Upgrades!$U$9,H97),1)*IF(Upgrades!$T$10="First Photons",POWER(Upgrades!$U$10,I97),1)*IF(Upgrades!$T$11="First Photons",POWER(Upgrades!$U$11,J97),1)))*POWER(Upgrades!$Q$6,E97)*POWER(Upgrades!$Q$7,F97)*POWER(Upgrades!$Q$8,G97)*POWER(Upgrades!$Q$9,H97)*POWER(Upgrades!$Q$10,I97)*POWER(Upgrades!$Q$11,J97)*POWER(Upgrades!$Q$12,K97)</f>
        <v>5.61</v>
      </c>
      <c r="N97" s="28" t="n">
        <f aca="false">((IF(E97=0,0,(Upgrades!$G$6+E97*Upgrades!$H$6)*POWER(Upgrades!$I$6,E97)))*(IF(Upgrades!$T$7="Solar Wind",POWER(Upgrades!$U$7,F97),1)*IF(Upgrades!$T$8="Solar Wind",POWER(Upgrades!$U$8,G97),1)*IF(Upgrades!$T$9="Solar Wind",POWER(Upgrades!$U$9,H97),1)*IF(Upgrades!$T$10="Solar Wind",POWER(Upgrades!$U$10,I97),1)*IF(Upgrades!$T$11="Solar Wind",POWER(Upgrades!$U$11,J97),1)*IF(Upgrades!$T$12="Solar Wind",POWER(Upgrades!$U$12,K97),1))+(IF(F97=0,0,(Upgrades!$G$7+F97*Upgrades!$H$7)*POWER(Upgrades!$I$7,F97)))*(IF(Upgrades!$T$6="Asteroid Belt",POWER(Upgrades!$U$6,E97),1)*IF(Upgrades!$T$8="Asteroid Belt",POWER(Upgrades!$U$8,G97),1)*IF(Upgrades!$T$9="Asteroid Belt",POWER(Upgrades!$U$9,H97),1)*IF(Upgrades!$T$10="Asteroid Belt",POWER(Upgrades!$U$10,I97),1)*IF(Upgrades!$T$11="Asteroid Belt",POWER(Upgrades!$U$11,J97),1)*IF(Upgrades!$T$12="Asteroid Belt",POWER(Upgrades!$U$12,K97),1))+(IF(G97=0,0,(Upgrades!$G$8+G97*Upgrades!$H$8)*POWER(Upgrades!$I$8,G97)))*(IF(Upgrades!$T$6="Stellar Coupling",POWER(Upgrades!$U$6,E97),1)*IF(Upgrades!$T$7="Stellar Coupling",POWER(Upgrades!$U$7,F97),1)*IF(Upgrades!$T$9="Stellar Coupling",POWER(Upgrades!$U$9,H97),1)*IF(Upgrades!$T$10="Stellar Coupling",POWER(Upgrades!$U$10,I97),1)*IF(Upgrades!$T$11="Stellar Coupling",POWER(Upgrades!$U$11,J97),1)*IF(Upgrades!$T$12="Stellar Coupling",POWER(Upgrades!$U$12,K97),1))+(IF(H97=0,0,(Upgrades!$G$9+H97*Upgrades!$H$9)*POWER(Upgrades!$I$9,H97)))*(IF(Upgrades!$T$6="Magnetosphere",POWER(Upgrades!$U$6,E97),1)*IF(Upgrades!$T$7="Magnetosphere",POWER(Upgrades!$U$7,F97),1)*IF(Upgrades!$T$8="Magnetosphere",POWER(Upgrades!$U$8,G97),1)*IF(Upgrades!$T$10="Magnetosphere",POWER(Upgrades!$U$10,I97),1)*IF(Upgrades!$T$11="Magnetosphere",POWER(Upgrades!$U$11,J97),1)*IF(Upgrades!$T$12="Magnetosphere",POWER(Upgrades!$U$12,K97),1))+(IF(I97=0,0,(Upgrades!$G$10+I97*Upgrades!$H$10)*POWER(Upgrades!$I$10,I97)))*(IF(Upgrades!$T$6="Orbital Resonance",POWER(Upgrades!$U$6,E97),1)*IF(Upgrades!$T$7="Orbital Resonance",POWER(Upgrades!$U$7,F97),1)*IF(Upgrades!$T$8="Orbital Resonance",POWER(Upgrades!$U$8,G97),1)*IF(Upgrades!$T$9="Orbital Resonance",POWER(Upgrades!$U$9,H97),1)*IF(Upgrades!$T$11="Orbital Resonance",POWER(Upgrades!$U$11,J97),1)*IF(Upgrades!$T$12="Orbital Resonance",POWER(Upgrades!$U$12,K97),1))+(IF(J97=0,0,(Upgrades!$G$11+J97*Upgrades!$H$11)*POWER(Upgrades!$I$11,J97)))*(IF(Upgrades!$T$6="Heliopause",POWER(Upgrades!$U$6,E97),1)*IF(Upgrades!$T$7="Heliopause",POWER(Upgrades!$U$7,F97),1)*IF(Upgrades!$T$8="Heliopause",POWER(Upgrades!$U$8,G97),1)*IF(Upgrades!$T$9="Heliopause",POWER(Upgrades!$U$9,H97),1)*IF(Upgrades!$T$10="Heliopause",POWER(Upgrades!$U$10,I97),1)*IF(Upgrades!$T$12="Heliopause",POWER(Upgrades!$U$12,K97),1))+(IF(K97=0,0,(Upgrades!$G$12+K97*Upgrades!$H$12)*POWER(Upgrades!$I$12,K97)))*(IF(Upgrades!$T$6="First Photons",POWER(Upgrades!$U$6,E97),1)*IF(Upgrades!$T$7="First Photons",POWER(Upgrades!$U$7,F97),1)*IF(Upgrades!$T$8="First Photons",POWER(Upgrades!$U$8,G97),1)*IF(Upgrades!$T$9="First Photons",POWER(Upgrades!$U$9,H97),1)*IF(Upgrades!$T$10="First Photons",POWER(Upgrades!$U$10,I97),1)*IF(Upgrades!$T$11="First Photons",POWER(Upgrades!$U$11,J97),1)))*POWER(Upgrades!$P$6,E97)*POWER(Upgrades!$P$7,F97)*POWER(Upgrades!$P$8,G97)*POWER(Upgrades!$P$9,H97)*POWER(Upgrades!$P$10,I97)*POWER(Upgrades!$P$11,J97)*POWER(Upgrades!$P$12,K97)</f>
        <v>11.2</v>
      </c>
      <c r="O97" s="28" t="n">
        <f aca="false">((IF(E97=0,0,(Upgrades!$M$6+E97*Upgrades!$N$6)*POWER(Upgrades!$O$6,E97)))*(IF(Upgrades!$T$7="Solar Wind",POWER(Upgrades!$U$7,F97),1)*IF(Upgrades!$T$8="Solar Wind",POWER(Upgrades!$U$8,G97),1)*IF(Upgrades!$T$9="Solar Wind",POWER(Upgrades!$U$9,H97),1)*IF(Upgrades!$T$10="Solar Wind",POWER(Upgrades!$U$10,I97),1)*IF(Upgrades!$T$11="Solar Wind",POWER(Upgrades!$U$11,J97),1)*IF(Upgrades!$T$12="Solar Wind",POWER(Upgrades!$U$12,K97),1))+(IF(F97=0,0,(Upgrades!$M$7+F97*Upgrades!$N$7)*POWER(Upgrades!$O$7,F97)))*(IF(Upgrades!$T$6="Asteroid Belt",POWER(Upgrades!$U$6,E97),1)*IF(Upgrades!$T$8="Asteroid Belt",POWER(Upgrades!$U$8,G97),1)*IF(Upgrades!$T$9="Asteroid Belt",POWER(Upgrades!$U$9,H97),1)*IF(Upgrades!$T$10="Asteroid Belt",POWER(Upgrades!$U$10,I97),1)*IF(Upgrades!$T$11="Asteroid Belt",POWER(Upgrades!$U$11,J97),1)*IF(Upgrades!$T$12="Asteroid Belt",POWER(Upgrades!$U$12,K97),1))+(IF(G97=0,0,(Upgrades!$M$8+G97*Upgrades!$N$8)*POWER(Upgrades!$O$8,G97)))*(IF(Upgrades!$T$6="Stellar Coupling",POWER(Upgrades!$U$6,E97),1)*IF(Upgrades!$T$7="Stellar Coupling",POWER(Upgrades!$U$7,F97),1)*IF(Upgrades!$T$9="Stellar Coupling",POWER(Upgrades!$U$9,H97),1)*IF(Upgrades!$T$10="Stellar Coupling",POWER(Upgrades!$U$10,I97),1)*IF(Upgrades!$T$11="Stellar Coupling",POWER(Upgrades!$U$11,J97),1)*IF(Upgrades!$T$12="Stellar Coupling",POWER(Upgrades!$U$12,K97),1))+(IF(H97=0,0,(Upgrades!$M$9+H97*Upgrades!$N$9)*POWER(Upgrades!$O$9,H97)))*(IF(Upgrades!$T$6="Magnetosphere",POWER(Upgrades!$U$6,E97),1)*IF(Upgrades!$T$7="Magnetosphere",POWER(Upgrades!$U$7,F97),1)*IF(Upgrades!$T$8="Magnetosphere",POWER(Upgrades!$U$8,G97),1)*IF(Upgrades!$T$10="Magnetosphere",POWER(Upgrades!$U$10,I97),1)*IF(Upgrades!$T$11="Magnetosphere",POWER(Upgrades!$U$11,J97),1)*IF(Upgrades!$T$12="Magnetosphere",POWER(Upgrades!$U$12,K97),1))+(IF(I97=0,0,(Upgrades!$M$10+I97*Upgrades!$N$10)*POWER(Upgrades!$O$10,I97)))*(IF(Upgrades!$T$6="Orbital Resonance",POWER(Upgrades!$U$6,E97),1)*IF(Upgrades!$T$7="Orbital Resonance",POWER(Upgrades!$U$7,F97),1)*IF(Upgrades!$T$8="Orbital Resonance",POWER(Upgrades!$U$8,G97),1)*IF(Upgrades!$T$9="Orbital Resonance",POWER(Upgrades!$U$9,H97),1)*IF(Upgrades!$T$11="Orbital Resonance",POWER(Upgrades!$U$11,J97),1)*IF(Upgrades!$T$12="Orbital Resonance",POWER(Upgrades!$U$12,K97),1))+(IF(J97=0,0,(Upgrades!$M$11+J97*Upgrades!$N$11)*POWER(Upgrades!$O$11,J97)))*(IF(Upgrades!$T$6="Heliopause",POWER(Upgrades!$U$6,E97),1)*IF(Upgrades!$T$7="Heliopause",POWER(Upgrades!$U$7,F97),1)*IF(Upgrades!$T$8="Heliopause",POWER(Upgrades!$U$8,G97),1)*IF(Upgrades!$T$9="Heliopause",POWER(Upgrades!$U$9,H97),1)*IF(Upgrades!$T$10="Heliopause",POWER(Upgrades!$U$10,I97),1)*IF(Upgrades!$T$12="Heliopause",POWER(Upgrades!$U$12,K97),1))+(IF(K97=0,0,(Upgrades!$M$12+K97*Upgrades!$N$12)*POWER(Upgrades!$O$12,K97)))*(IF(Upgrades!$T$6="First Photons",POWER(Upgrades!$U$6,E97),1)*IF(Upgrades!$T$7="First Photons",POWER(Upgrades!$U$7,F97),1)*IF(Upgrades!$T$8="First Photons",POWER(Upgrades!$U$8,G97),1)*IF(Upgrades!$T$9="First Photons",POWER(Upgrades!$U$9,H97),1)*IF(Upgrades!$T$10="First Photons",POWER(Upgrades!$U$10,I97),1)*IF(Upgrades!$T$11="First Photons",POWER(Upgrades!$U$11,J97),1)))*POWER(Upgrades!$R$6,E97)*POWER(Upgrades!$R$7,F97)*POWER(Upgrades!$R$8,G97)*POWER(Upgrades!$R$9,H97)*POWER(Upgrades!$R$10,I97)*POWER(Upgrades!$R$11,J97)*POWER(Upgrades!$R$12,K97)</f>
        <v>0</v>
      </c>
      <c r="P97" s="27" t="n">
        <f aca="false">IF(L97=1,0,M97*Parameters!$B$10/60*Parameters!$B$11*10)</f>
        <v>0</v>
      </c>
      <c r="Q97" s="27" t="n">
        <f aca="false">IF(L97=1,0,O97*M97*10)</f>
        <v>0</v>
      </c>
      <c r="R97" s="27" t="n">
        <f aca="false">IF(L97=1,0,N97*10)</f>
        <v>0</v>
      </c>
      <c r="S97" s="27" t="n">
        <f aca="false">P97+Q97+R97</f>
        <v>0</v>
      </c>
      <c r="T97" s="21" t="n">
        <f aca="false">C97+S97</f>
        <v>18.6730249835055</v>
      </c>
      <c r="U97" s="34" t="str">
        <f aca="false">AX97</f>
        <v/>
      </c>
      <c r="V97" s="21" t="n">
        <f aca="false">IF(U97="",0,IF(U97="transition",0,IF(U97="SW",AG97,IF(U97="AB",AH97,IF(U97="SC",AI97,IF(U97="Mag",AJ97,IF(U97="OR",AK97,IF(U97="HP",AL97,IF(U97="FP",AM97,0)))))))))</f>
        <v>0</v>
      </c>
      <c r="W97" s="27" t="n">
        <f aca="false">IF(U97="OR",Upgrades!$F$10,IF(U97="HP",Upgrades!$F$11,IF(U97="transition",-Parameters!$B$18,0)))</f>
        <v>0</v>
      </c>
      <c r="X97" s="21" t="n">
        <f aca="false">T97-V97</f>
        <v>18.6730249835055</v>
      </c>
      <c r="Y97" s="30" t="n">
        <f aca="false">M97*Parameters!$B$10/60*Parameters!$B$11+O97*M97+N97</f>
        <v>20.55</v>
      </c>
      <c r="Z97" s="35" t="str">
        <f aca="false">IF(U97="transition","→ Tier 2 (Stellar Neighborhood)",IF(U97="FP","First Photons — light begins, system quickens",IF(U97="HP","Heliopause acquired",IF(U97="OR","Orbital Resonance — passive multiplier active",IF(AND(AO97=1,L97=0,AN97&lt;&gt;1),"Cohesion ready (waiting on completionist upgrades)","")))))</f>
        <v/>
      </c>
      <c r="AA97" s="27" t="n">
        <f aca="false">(IF(E97=0,0,(Upgrades!$G$6+E97*Upgrades!$H$6)*POWER(Upgrades!$I$6,E97)))*(IF(Upgrades!$T$7="Solar Wind",POWER(Upgrades!$U$7,F97),1)*IF(Upgrades!$T$8="Solar Wind",POWER(Upgrades!$U$8,G97),1)*IF(Upgrades!$T$9="Solar Wind",POWER(Upgrades!$U$9,H97),1)*IF(Upgrades!$T$10="Solar Wind",POWER(Upgrades!$U$10,I97),1)*IF(Upgrades!$T$11="Solar Wind",POWER(Upgrades!$U$11,J97),1)*IF(Upgrades!$T$12="Solar Wind",POWER(Upgrades!$U$12,K97),1))*POWER(Upgrades!$P$6,E97)*POWER(Upgrades!$P$7,F97)*POWER(Upgrades!$P$8,G97)*POWER(Upgrades!$P$9,H97)*POWER(Upgrades!$P$10,I97)*POWER(Upgrades!$P$11,J97)*POWER(Upgrades!$P$12,K97)*60</f>
        <v>72</v>
      </c>
      <c r="AB97" s="27" t="n">
        <f aca="false">(IF(F97=0,0,(Upgrades!$G$7+F97*Upgrades!$H$7)*POWER(Upgrades!$I$7,F97)))*(IF(Upgrades!$T$6="Asteroid Belt",POWER(Upgrades!$U$6,E97),1)*IF(Upgrades!$T$8="Asteroid Belt",POWER(Upgrades!$U$8,G97),1)*IF(Upgrades!$T$9="Asteroid Belt",POWER(Upgrades!$U$9,H97),1)*IF(Upgrades!$T$10="Asteroid Belt",POWER(Upgrades!$U$10,I97),1)*IF(Upgrades!$T$11="Asteroid Belt",POWER(Upgrades!$U$11,J97),1)*IF(Upgrades!$T$12="Asteroid Belt",POWER(Upgrades!$U$12,K97),1))*POWER(Upgrades!$P$6,E97)*POWER(Upgrades!$P$7,F97)*POWER(Upgrades!$P$8,G97)*POWER(Upgrades!$P$9,H97)*POWER(Upgrades!$P$10,I97)*POWER(Upgrades!$P$11,J97)*POWER(Upgrades!$P$12,K97)*60</f>
        <v>150</v>
      </c>
      <c r="AC97" s="27" t="n">
        <f aca="false">(IF(G97=0,0,(Upgrades!$J$8+G97*Upgrades!$K$8)*POWER(Upgrades!$L$8,G97)))*(IF(Upgrades!$T$6="Stellar Coupling",POWER(Upgrades!$U$6,E97),1)*IF(Upgrades!$T$7="Stellar Coupling",POWER(Upgrades!$U$7,F97),1)*IF(Upgrades!$T$9="Stellar Coupling",POWER(Upgrades!$U$9,H97),1)*IF(Upgrades!$T$10="Stellar Coupling",POWER(Upgrades!$U$10,I97),1)*IF(Upgrades!$T$11="Stellar Coupling",POWER(Upgrades!$U$11,J97),1)*IF(Upgrades!$T$12="Stellar Coupling",POWER(Upgrades!$U$12,K97),1))*POWER(Upgrades!$Q$6,E97)*POWER(Upgrades!$Q$7,F97)*POWER(Upgrades!$Q$8,G97)*POWER(Upgrades!$Q$9,H97)*POWER(Upgrades!$Q$10,I97)*POWER(Upgrades!$Q$11,J97)*POWER(Upgrades!$Q$12,K97)*Parameters!$B$10*Parameters!$B$11</f>
        <v>441</v>
      </c>
      <c r="AD97" s="27" t="n">
        <f aca="false">(IF(H97=0,0,(Upgrades!$G$9+H97*Upgrades!$H$9)*POWER(Upgrades!$I$9,H97)))*(IF(Upgrades!$T$6="Magnetosphere",POWER(Upgrades!$U$6,E97),1)*IF(Upgrades!$T$7="Magnetosphere",POWER(Upgrades!$U$7,F97),1)*IF(Upgrades!$T$8="Magnetosphere",POWER(Upgrades!$U$8,G97),1)*IF(Upgrades!$T$10="Magnetosphere",POWER(Upgrades!$U$10,I97),1)*IF(Upgrades!$T$11="Magnetosphere",POWER(Upgrades!$U$11,J97),1)*IF(Upgrades!$T$12="Magnetosphere",POWER(Upgrades!$U$12,K97),1))*POWER(Upgrades!$P$6,E97)*POWER(Upgrades!$P$7,F97)*POWER(Upgrades!$P$8,G97)*POWER(Upgrades!$P$9,H97)*POWER(Upgrades!$P$10,I97)*POWER(Upgrades!$P$11,J97)*POWER(Upgrades!$P$12,K97)*60</f>
        <v>375</v>
      </c>
      <c r="AE97" s="27" t="n">
        <f aca="false">(IF(K97=0,0,(Upgrades!$G$12+K97*Upgrades!$H$12)*POWER(Upgrades!$I$12,K97)))*(IF(Upgrades!$T$6="First Photons",POWER(Upgrades!$U$6,E97),1)*IF(Upgrades!$T$7="First Photons",POWER(Upgrades!$U$7,F97),1)*IF(Upgrades!$T$8="First Photons",POWER(Upgrades!$U$8,G97),1)*IF(Upgrades!$T$9="First Photons",POWER(Upgrades!$U$9,H97),1)*IF(Upgrades!$T$10="First Photons",POWER(Upgrades!$U$10,I97),1)*IF(Upgrades!$T$11="First Photons",POWER(Upgrades!$U$11,J97),1))*POWER(Upgrades!$P$6,E97)*POWER(Upgrades!$P$7,F97)*POWER(Upgrades!$P$8,G97)*POWER(Upgrades!$P$9,H97)*POWER(Upgrades!$P$10,I97)*POWER(Upgrades!$P$11,J97)*POWER(Upgrades!$P$12,K97)*60</f>
        <v>75</v>
      </c>
      <c r="AF97" s="27" t="n">
        <f aca="false">Parameters!$B$9*POWER(Upgrades!$Q$6,E97)*POWER(Upgrades!$Q$7,F97)*POWER(Upgrades!$Q$8,G97)*POWER(Upgrades!$Q$9,H97)*POWER(Upgrades!$Q$10,I97)*POWER(Upgrades!$Q$11,J97)*POWER(Upgrades!$Q$12,K97)*(Parameters!$B$10*Parameters!$B$11+O97*60)</f>
        <v>120</v>
      </c>
      <c r="AG97" s="21" t="n">
        <f aca="false">IF(E97&gt;=Upgrades!$E$6,"",Upgrades!$C$6*POWER(Upgrades!$D$6,E97))</f>
        <v>37.4517507383159</v>
      </c>
      <c r="AH97" s="21" t="n">
        <f aca="false">IF(F97&gt;=Upgrades!$E$7,"",Upgrades!$C$7*POWER(Upgrades!$D$7,F97))</f>
        <v>80.9111547141581</v>
      </c>
      <c r="AI97" s="21" t="n">
        <f aca="false">IF(G97&gt;=Upgrades!$E$8,"",Upgrades!$C$8*POWER(Upgrades!$D$8,G97))</f>
        <v>231.9097088</v>
      </c>
      <c r="AJ97" s="21" t="str">
        <f aca="false">IF(H97&gt;=Upgrades!$E$9,"",Upgrades!$C$9*POWER(Upgrades!$D$9,H97))</f>
        <v/>
      </c>
      <c r="AK97" s="21" t="str">
        <f aca="false">IF(I97&gt;=Upgrades!$E$10,"",Upgrades!$C$10*POWER(Upgrades!$D$10,I97))</f>
        <v/>
      </c>
      <c r="AL97" s="21" t="str">
        <f aca="false">IF(J97&gt;=Upgrades!$E$11,"",Upgrades!$C$11*POWER(Upgrades!$D$11,J97))</f>
        <v/>
      </c>
      <c r="AM97" s="21" t="str">
        <f aca="false">IF(K97&gt;=Upgrades!$E$12,"",Upgrades!$C$12*POWER(Upgrades!$D$12,K97))</f>
        <v/>
      </c>
      <c r="AN97" s="26" t="str">
        <f aca="false">IF(AND(D97&gt;=Parameters!$B$18,(H97&gt;=Upgrades!$E$9)*(K97&gt;=Upgrades!$E$12)=1,L97=0),1,"")</f>
        <v/>
      </c>
      <c r="AO97" s="26" t="str">
        <f aca="false">IF(AND(D97&gt;=Parameters!$B$18,L97=0),1,"")</f>
        <v/>
      </c>
      <c r="AP97" s="21" t="n">
        <f aca="false">MIN(IF(ISNUMBER(AK97),AK97,9000000000000000),IF(ISNUMBER(AL97),AL97,9000000000000000),IF(ISNUMBER(AM97),AM97,9000000000000000))</f>
        <v>9000000000000000</v>
      </c>
      <c r="AQ97" s="21" t="n">
        <f aca="false">MIN(IF(ISNUMBER(AG97),AG97,9000000000000000),IF(ISNUMBER(AH97),AH97,9000000000000000),IF(ISNUMBER(AI97),AI97,9000000000000000),IF(ISNUMBER(AJ97),AJ97,9000000000000000))</f>
        <v>37.4517507383159</v>
      </c>
      <c r="AR97" s="32" t="b">
        <f aca="false">IF(AW97&gt;Parameters!$B$21*(MAX(IF(AND(NOT(AND(AO97=1,AN97&lt;&gt;1)),ISNUMBER(AG97),AG97&lt;=T97),AS97,0),IF(AND(NOT(AND(AO97=1,AN97&lt;&gt;1)),ISNUMBER(AH97),AH97&lt;=T97),AT97,0),IF(AND(NOT(AND(AO97=1,AN97&lt;&gt;1)),ISNUMBER(AI97),AI97&lt;=T97),AU97,0),IF(AND(ISNUMBER(AJ97),AJ97&lt;=T97),AV97,0))),TRUE(),FALSE())</f>
        <v>1</v>
      </c>
      <c r="AS97" s="33" t="n">
        <f aca="false">IFERROR(Upgrades!$H$6*(POWER(Upgrades!$P$6,E97)*POWER(Upgrades!$P$7,F97)*POWER(Upgrades!$P$8,G97)*POWER(Upgrades!$P$9,H97)*POWER(Upgrades!$P$10,I97)*POWER(Upgrades!$P$11,J97)*POWER(Upgrades!$P$12,K97))*(IF(Upgrades!$T$7="Solar Wind",POWER(Upgrades!$U$7,F97),1)*IF(Upgrades!$T$8="Solar Wind",POWER(Upgrades!$U$8,G97),1)*IF(Upgrades!$T$9="Solar Wind",POWER(Upgrades!$U$9,H97),1)*IF(Upgrades!$T$10="Solar Wind",POWER(Upgrades!$U$10,I97),1)*IF(Upgrades!$T$11="Solar Wind",POWER(Upgrades!$U$11,J97),1)*IF(Upgrades!$T$12="Solar Wind",POWER(Upgrades!$U$12,K97),1))/AG97,0)</f>
        <v>0.0026701021455238</v>
      </c>
      <c r="AT97" s="33" t="n">
        <f aca="false">IFERROR(Upgrades!$H$7*(POWER(Upgrades!$P$6,E97)*POWER(Upgrades!$P$7,F97)*POWER(Upgrades!$P$8,G97)*POWER(Upgrades!$P$9,H97)*POWER(Upgrades!$P$10,I97)*POWER(Upgrades!$P$11,J97)*POWER(Upgrades!$P$12,K97))*(IF(Upgrades!$T$6="Asteroid Belt",POWER(Upgrades!$U$6,E97),1)*IF(Upgrades!$T$8="Asteroid Belt",POWER(Upgrades!$U$8,G97),1)*IF(Upgrades!$T$9="Asteroid Belt",POWER(Upgrades!$U$9,H97),1)*IF(Upgrades!$T$10="Asteroid Belt",POWER(Upgrades!$U$10,I97),1)*IF(Upgrades!$T$11="Asteroid Belt",POWER(Upgrades!$U$11,J97),1)*IF(Upgrades!$T$12="Asteroid Belt",POWER(Upgrades!$U$12,K97),1))/AH97,0)</f>
        <v>0.00308980882652332</v>
      </c>
      <c r="AU97" s="33" t="n">
        <f aca="false">IFERROR(Upgrades!$K$8*(POWER(Upgrades!$Q$6,E97)*POWER(Upgrades!$Q$7,F97)*POWER(Upgrades!$Q$8,G97)*POWER(Upgrades!$Q$9,H97)*POWER(Upgrades!$Q$10,I97)*POWER(Upgrades!$Q$11,J97)*POWER(Upgrades!$Q$12,K97))*(IF(Upgrades!$T$6="Stellar Coupling",POWER(Upgrades!$U$6,E97),1)*IF(Upgrades!$T$7="Stellar Coupling",POWER(Upgrades!$U$7,F97),1)*IF(Upgrades!$T$9="Stellar Coupling",POWER(Upgrades!$U$9,H97),1)*IF(Upgrades!$T$10="Stellar Coupling",POWER(Upgrades!$U$10,I97),1)*IF(Upgrades!$T$11="Stellar Coupling",POWER(Upgrades!$U$11,J97),1)*IF(Upgrades!$T$12="Stellar Coupling",POWER(Upgrades!$U$12,K97),1))*Parameters!$B$10*Parameters!$B$11/60/AI97,0)</f>
        <v>0.00452762415783776</v>
      </c>
      <c r="AV97" s="33" t="n">
        <f aca="false">IFERROR(Upgrades!$H$9*(POWER(Upgrades!$P$6,E97)*POWER(Upgrades!$P$7,F97)*POWER(Upgrades!$P$8,G97)*POWER(Upgrades!$P$9,H97)*POWER(Upgrades!$P$10,I97)*POWER(Upgrades!$P$11,J97)*POWER(Upgrades!$P$12,K97))*(IF(Upgrades!$T$6="Magnetosphere",POWER(Upgrades!$U$6,E97),1)*IF(Upgrades!$T$7="Magnetosphere",POWER(Upgrades!$U$7,F97),1)*IF(Upgrades!$T$8="Magnetosphere",POWER(Upgrades!$U$8,G97),1)*IF(Upgrades!$T$10="Magnetosphere",POWER(Upgrades!$U$10,I97),1)*IF(Upgrades!$T$11="Magnetosphere",POWER(Upgrades!$U$11,J97),1)*IF(Upgrades!$T$12="Magnetosphere",POWER(Upgrades!$U$12,K97),1))/AJ97,0)</f>
        <v>0</v>
      </c>
      <c r="AW97" s="33" t="n">
        <f aca="false">MAX(IF(I97&gt;0,0,IFERROR(0.25*N97/Upgrades!$C$10,0)),IF(J97&gt;0,0,IFERROR(0.5*((IF(G97=0,0,(Upgrades!$J$8+G97*Upgrades!$K$8)*POWER(Upgrades!$L$8,G97)))*(IF(Upgrades!$T$6="Stellar Coupling",POWER(Upgrades!$U$6,E97),1)*IF(Upgrades!$T$7="Stellar Coupling",POWER(Upgrades!$U$7,F97),1)*IF(Upgrades!$T$9="Stellar Coupling",POWER(Upgrades!$U$9,H97),1)*IF(Upgrades!$T$10="Stellar Coupling",POWER(Upgrades!$U$10,I97),1)*IF(Upgrades!$T$11="Stellar Coupling",POWER(Upgrades!$U$11,J97),1)*IF(Upgrades!$T$12="Stellar Coupling",POWER(Upgrades!$U$12,K97),1))*(POWER(Upgrades!$Q$6,E97)*POWER(Upgrades!$Q$7,F97)*POWER(Upgrades!$Q$8,G97)*POWER(Upgrades!$Q$9,H97)*POWER(Upgrades!$Q$10,I97)*POWER(Upgrades!$Q$11,J97)*POWER(Upgrades!$Q$12,K97))*Parameters!$B$10*Parameters!$B$11/60)/Upgrades!$C$11,0)),IF(K97&gt;0,0,IFERROR((1*(POWER(Upgrades!$P$6,E97)*POWER(Upgrades!$P$7,F97)*POWER(Upgrades!$P$8,G97)*POWER(Upgrades!$P$9,H97)*POWER(Upgrades!$P$10,I97)*POWER(Upgrades!$P$11,J97)*POWER(Upgrades!$P$12,K97))+0.2*M97*Parameters!$B$10*Parameters!$B$11/60)/Upgrades!$C$12,0)),IF(AND(ISNUMBER(AG97),AG97&gt;T97),AS97,0),IF(AND(ISNUMBER(AH97),AH97&gt;T97),AT97,0),IF(AND(ISNUMBER(AI97),AI97&gt;T97),AU97,0),IF(AND(ISNUMBER(AJ97),AJ97&gt;T97),AV97,0))</f>
        <v>0.00452762415783776</v>
      </c>
      <c r="AX97" s="29" t="str">
        <f aca="false">IF(AN97=1,"transition",IF(MIN(IF(AND(I97=0,ISNUMBER(AK97),AK97&lt;=T97),AK97,9000000000000000),IF(AND(J97=0,ISNUMBER(AL97),AL97&lt;=T97),AL97,9000000000000000),IF(AND(K97=0,ISNUMBER(AM97),AM97&lt;=T97),AM97,9000000000000000))&lt;9000000000000000,IF(AND(AND(I97=0,ISNUMBER(AK97),AK97&lt;=T97),AK97=MIN(IF(AND(I97=0,ISNUMBER(AK97),AK97&lt;=T97),AK97,9000000000000000),IF(AND(J97=0,ISNUMBER(AL97),AL97&lt;=T97),AL97,9000000000000000),IF(AND(K97=0,ISNUMBER(AM97),AM97&lt;=T97),AM97,9000000000000000))),"OR",IF(AND(AND(J97=0,ISNUMBER(AL97),AL97&lt;=T97),AL97=MIN(IF(AND(I97=0,ISNUMBER(AK97),AK97&lt;=T97),AK97,9000000000000000),IF(AND(J97=0,ISNUMBER(AL97),AL97&lt;=T97),AL97,9000000000000000),IF(AND(K97=0,ISNUMBER(AM97),AM97&lt;=T97),AM97,9000000000000000))),"HP","FP")),IF(AR97=TRUE(),"",IF(MAX(IF(AND(NOT(AND(AO97=1,AN97&lt;&gt;1)),ISNUMBER(AG97),AG97&lt;=T97),AS97,0),IF(AND(NOT(AND(AO97=1,AN97&lt;&gt;1)),ISNUMBER(AH97),AH97&lt;=T97),AT97,0),IF(AND(NOT(AND(AO97=1,AN97&lt;&gt;1)),ISNUMBER(AI97),AI97&lt;=T97),AU97,0),IF(AND(ISNUMBER(AJ97),AJ97&lt;=T97),AV97,0))&lt;=0,"",IF(AND(IF(AND(NOT(AND(AO97=1,AN97&lt;&gt;1)),ISNUMBER(AG97),AG97&lt;=T97),AS97,0)&gt;0,IF(AND(NOT(AND(AO97=1,AN97&lt;&gt;1)),ISNUMBER(AG97),AG97&lt;=T97),AS97,0)=MAX(IF(AND(NOT(AND(AO97=1,AN97&lt;&gt;1)),ISNUMBER(AG97),AG97&lt;=T97),AS97,0),IF(AND(NOT(AND(AO97=1,AN97&lt;&gt;1)),ISNUMBER(AH97),AH97&lt;=T97),AT97,0),IF(AND(NOT(AND(AO97=1,AN97&lt;&gt;1)),ISNUMBER(AI97),AI97&lt;=T97),AU97,0),IF(AND(ISNUMBER(AJ97),AJ97&lt;=T97),AV97,0))),"SW",IF(AND(IF(AND(NOT(AND(AO97=1,AN97&lt;&gt;1)),ISNUMBER(AH97),AH97&lt;=T97),AT97,0)&gt;0,IF(AND(NOT(AND(AO97=1,AN97&lt;&gt;1)),ISNUMBER(AH97),AH97&lt;=T97),AT97,0)=MAX(IF(AND(NOT(AND(AO97=1,AN97&lt;&gt;1)),ISNUMBER(AG97),AG97&lt;=T97),AS97,0),IF(AND(NOT(AND(AO97=1,AN97&lt;&gt;1)),ISNUMBER(AH97),AH97&lt;=T97),AT97,0),IF(AND(NOT(AND(AO97=1,AN97&lt;&gt;1)),ISNUMBER(AI97),AI97&lt;=T97),AU97,0),IF(AND(ISNUMBER(AJ97),AJ97&lt;=T97),AV97,0))),"AB",IF(AND(IF(AND(NOT(AND(AO97=1,AN97&lt;&gt;1)),ISNUMBER(AI97),AI97&lt;=T97),AU97,0)&gt;0,IF(AND(NOT(AND(AO97=1,AN97&lt;&gt;1)),ISNUMBER(AI97),AI97&lt;=T97),AU97,0)=MAX(IF(AND(NOT(AND(AO97=1,AN97&lt;&gt;1)),ISNUMBER(AG97),AG97&lt;=T97),AS97,0),IF(AND(NOT(AND(AO97=1,AN97&lt;&gt;1)),ISNUMBER(AH97),AH97&lt;=T97),AT97,0),IF(AND(NOT(AND(AO97=1,AN97&lt;&gt;1)),ISNUMBER(AI97),AI97&lt;=T97),AU97,0),IF(AND(ISNUMBER(AJ97),AJ97&lt;=T97),AV97,0))),"SC","Mag")))))))</f>
        <v/>
      </c>
    </row>
    <row r="98" customFormat="false" ht="15" hidden="false" customHeight="false" outlineLevel="0" collapsed="false">
      <c r="A98" s="26" t="n">
        <v>93</v>
      </c>
      <c r="B98" s="27" t="n">
        <f aca="false">A98*10/60</f>
        <v>15.5</v>
      </c>
      <c r="C98" s="21" t="n">
        <f aca="false">X97</f>
        <v>18.6730249835055</v>
      </c>
      <c r="D98" s="27" t="n">
        <f aca="false">D97+W97</f>
        <v>0</v>
      </c>
      <c r="E98" s="26" t="n">
        <f aca="false">E97+IF(U97="SW",1,0)</f>
        <v>12</v>
      </c>
      <c r="F98" s="26" t="n">
        <f aca="false">F97+IF(U97="AB",1,0)</f>
        <v>10</v>
      </c>
      <c r="G98" s="26" t="n">
        <f aca="false">G97+IF(U97="SC",1,0)</f>
        <v>7</v>
      </c>
      <c r="H98" s="26" t="n">
        <f aca="false">H97+IF(U97="Mag",1,0)</f>
        <v>5</v>
      </c>
      <c r="I98" s="26" t="n">
        <f aca="false">MAX(I97,IF(U97="OR",1,0))</f>
        <v>1</v>
      </c>
      <c r="J98" s="26" t="n">
        <f aca="false">MAX(J97,IF(U97="HP",1,0))</f>
        <v>1</v>
      </c>
      <c r="K98" s="26" t="n">
        <f aca="false">MAX(K97,IF(U97="FP",1,0))</f>
        <v>1</v>
      </c>
      <c r="L98" s="26" t="n">
        <f aca="false">MAX(L97,IF(U97="transition",1,0))</f>
        <v>1</v>
      </c>
      <c r="M98" s="28" t="n">
        <f aca="false">(Parameters!$B$9+(IF(E98=0,0,(Upgrades!$J$6+E98*Upgrades!$K$6)*POWER(Upgrades!$L$6,E98)))*(IF(Upgrades!$T$7="Solar Wind",POWER(Upgrades!$U$7,F98),1)*IF(Upgrades!$T$8="Solar Wind",POWER(Upgrades!$U$8,G98),1)*IF(Upgrades!$T$9="Solar Wind",POWER(Upgrades!$U$9,H98),1)*IF(Upgrades!$T$10="Solar Wind",POWER(Upgrades!$U$10,I98),1)*IF(Upgrades!$T$11="Solar Wind",POWER(Upgrades!$U$11,J98),1)*IF(Upgrades!$T$12="Solar Wind",POWER(Upgrades!$U$12,K98),1))+(IF(F98=0,0,(Upgrades!$J$7+F98*Upgrades!$K$7)*POWER(Upgrades!$L$7,F98)))*(IF(Upgrades!$T$6="Asteroid Belt",POWER(Upgrades!$U$6,E98),1)*IF(Upgrades!$T$8="Asteroid Belt",POWER(Upgrades!$U$8,G98),1)*IF(Upgrades!$T$9="Asteroid Belt",POWER(Upgrades!$U$9,H98),1)*IF(Upgrades!$T$10="Asteroid Belt",POWER(Upgrades!$U$10,I98),1)*IF(Upgrades!$T$11="Asteroid Belt",POWER(Upgrades!$U$11,J98),1)*IF(Upgrades!$T$12="Asteroid Belt",POWER(Upgrades!$U$12,K98),1))+(IF(G98=0,0,(Upgrades!$J$8+G98*Upgrades!$K$8)*POWER(Upgrades!$L$8,G98)))*(IF(Upgrades!$T$6="Stellar Coupling",POWER(Upgrades!$U$6,E98),1)*IF(Upgrades!$T$7="Stellar Coupling",POWER(Upgrades!$U$7,F98),1)*IF(Upgrades!$T$9="Stellar Coupling",POWER(Upgrades!$U$9,H98),1)*IF(Upgrades!$T$10="Stellar Coupling",POWER(Upgrades!$U$10,I98),1)*IF(Upgrades!$T$11="Stellar Coupling",POWER(Upgrades!$U$11,J98),1)*IF(Upgrades!$T$12="Stellar Coupling",POWER(Upgrades!$U$12,K98),1))+(IF(H98=0,0,(Upgrades!$J$9+H98*Upgrades!$K$9)*POWER(Upgrades!$L$9,H98)))*(IF(Upgrades!$T$6="Magnetosphere",POWER(Upgrades!$U$6,E98),1)*IF(Upgrades!$T$7="Magnetosphere",POWER(Upgrades!$U$7,F98),1)*IF(Upgrades!$T$8="Magnetosphere",POWER(Upgrades!$U$8,G98),1)*IF(Upgrades!$T$10="Magnetosphere",POWER(Upgrades!$U$10,I98),1)*IF(Upgrades!$T$11="Magnetosphere",POWER(Upgrades!$U$11,J98),1)*IF(Upgrades!$T$12="Magnetosphere",POWER(Upgrades!$U$12,K98),1))+(IF(I98=0,0,(Upgrades!$J$10+I98*Upgrades!$K$10)*POWER(Upgrades!$L$10,I98)))*(IF(Upgrades!$T$6="Orbital Resonance",POWER(Upgrades!$U$6,E98),1)*IF(Upgrades!$T$7="Orbital Resonance",POWER(Upgrades!$U$7,F98),1)*IF(Upgrades!$T$8="Orbital Resonance",POWER(Upgrades!$U$8,G98),1)*IF(Upgrades!$T$9="Orbital Resonance",POWER(Upgrades!$U$9,H98),1)*IF(Upgrades!$T$11="Orbital Resonance",POWER(Upgrades!$U$11,J98),1)*IF(Upgrades!$T$12="Orbital Resonance",POWER(Upgrades!$U$12,K98),1))+(IF(J98=0,0,(Upgrades!$J$11+J98*Upgrades!$K$11)*POWER(Upgrades!$L$11,J98)))*(IF(Upgrades!$T$6="Heliopause",POWER(Upgrades!$U$6,E98),1)*IF(Upgrades!$T$7="Heliopause",POWER(Upgrades!$U$7,F98),1)*IF(Upgrades!$T$8="Heliopause",POWER(Upgrades!$U$8,G98),1)*IF(Upgrades!$T$9="Heliopause",POWER(Upgrades!$U$9,H98),1)*IF(Upgrades!$T$10="Heliopause",POWER(Upgrades!$U$10,I98),1)*IF(Upgrades!$T$12="Heliopause",POWER(Upgrades!$U$12,K98),1))+(IF(K98=0,0,(Upgrades!$J$12+K98*Upgrades!$K$12)*POWER(Upgrades!$L$12,K98)))*(IF(Upgrades!$T$6="First Photons",POWER(Upgrades!$U$6,E98),1)*IF(Upgrades!$T$7="First Photons",POWER(Upgrades!$U$7,F98),1)*IF(Upgrades!$T$8="First Photons",POWER(Upgrades!$U$8,G98),1)*IF(Upgrades!$T$9="First Photons",POWER(Upgrades!$U$9,H98),1)*IF(Upgrades!$T$10="First Photons",POWER(Upgrades!$U$10,I98),1)*IF(Upgrades!$T$11="First Photons",POWER(Upgrades!$U$11,J98),1)))*POWER(Upgrades!$Q$6,E98)*POWER(Upgrades!$Q$7,F98)*POWER(Upgrades!$Q$8,G98)*POWER(Upgrades!$Q$9,H98)*POWER(Upgrades!$Q$10,I98)*POWER(Upgrades!$Q$11,J98)*POWER(Upgrades!$Q$12,K98)</f>
        <v>5.61</v>
      </c>
      <c r="N98" s="28" t="n">
        <f aca="false">((IF(E98=0,0,(Upgrades!$G$6+E98*Upgrades!$H$6)*POWER(Upgrades!$I$6,E98)))*(IF(Upgrades!$T$7="Solar Wind",POWER(Upgrades!$U$7,F98),1)*IF(Upgrades!$T$8="Solar Wind",POWER(Upgrades!$U$8,G98),1)*IF(Upgrades!$T$9="Solar Wind",POWER(Upgrades!$U$9,H98),1)*IF(Upgrades!$T$10="Solar Wind",POWER(Upgrades!$U$10,I98),1)*IF(Upgrades!$T$11="Solar Wind",POWER(Upgrades!$U$11,J98),1)*IF(Upgrades!$T$12="Solar Wind",POWER(Upgrades!$U$12,K98),1))+(IF(F98=0,0,(Upgrades!$G$7+F98*Upgrades!$H$7)*POWER(Upgrades!$I$7,F98)))*(IF(Upgrades!$T$6="Asteroid Belt",POWER(Upgrades!$U$6,E98),1)*IF(Upgrades!$T$8="Asteroid Belt",POWER(Upgrades!$U$8,G98),1)*IF(Upgrades!$T$9="Asteroid Belt",POWER(Upgrades!$U$9,H98),1)*IF(Upgrades!$T$10="Asteroid Belt",POWER(Upgrades!$U$10,I98),1)*IF(Upgrades!$T$11="Asteroid Belt",POWER(Upgrades!$U$11,J98),1)*IF(Upgrades!$T$12="Asteroid Belt",POWER(Upgrades!$U$12,K98),1))+(IF(G98=0,0,(Upgrades!$G$8+G98*Upgrades!$H$8)*POWER(Upgrades!$I$8,G98)))*(IF(Upgrades!$T$6="Stellar Coupling",POWER(Upgrades!$U$6,E98),1)*IF(Upgrades!$T$7="Stellar Coupling",POWER(Upgrades!$U$7,F98),1)*IF(Upgrades!$T$9="Stellar Coupling",POWER(Upgrades!$U$9,H98),1)*IF(Upgrades!$T$10="Stellar Coupling",POWER(Upgrades!$U$10,I98),1)*IF(Upgrades!$T$11="Stellar Coupling",POWER(Upgrades!$U$11,J98),1)*IF(Upgrades!$T$12="Stellar Coupling",POWER(Upgrades!$U$12,K98),1))+(IF(H98=0,0,(Upgrades!$G$9+H98*Upgrades!$H$9)*POWER(Upgrades!$I$9,H98)))*(IF(Upgrades!$T$6="Magnetosphere",POWER(Upgrades!$U$6,E98),1)*IF(Upgrades!$T$7="Magnetosphere",POWER(Upgrades!$U$7,F98),1)*IF(Upgrades!$T$8="Magnetosphere",POWER(Upgrades!$U$8,G98),1)*IF(Upgrades!$T$10="Magnetosphere",POWER(Upgrades!$U$10,I98),1)*IF(Upgrades!$T$11="Magnetosphere",POWER(Upgrades!$U$11,J98),1)*IF(Upgrades!$T$12="Magnetosphere",POWER(Upgrades!$U$12,K98),1))+(IF(I98=0,0,(Upgrades!$G$10+I98*Upgrades!$H$10)*POWER(Upgrades!$I$10,I98)))*(IF(Upgrades!$T$6="Orbital Resonance",POWER(Upgrades!$U$6,E98),1)*IF(Upgrades!$T$7="Orbital Resonance",POWER(Upgrades!$U$7,F98),1)*IF(Upgrades!$T$8="Orbital Resonance",POWER(Upgrades!$U$8,G98),1)*IF(Upgrades!$T$9="Orbital Resonance",POWER(Upgrades!$U$9,H98),1)*IF(Upgrades!$T$11="Orbital Resonance",POWER(Upgrades!$U$11,J98),1)*IF(Upgrades!$T$12="Orbital Resonance",POWER(Upgrades!$U$12,K98),1))+(IF(J98=0,0,(Upgrades!$G$11+J98*Upgrades!$H$11)*POWER(Upgrades!$I$11,J98)))*(IF(Upgrades!$T$6="Heliopause",POWER(Upgrades!$U$6,E98),1)*IF(Upgrades!$T$7="Heliopause",POWER(Upgrades!$U$7,F98),1)*IF(Upgrades!$T$8="Heliopause",POWER(Upgrades!$U$8,G98),1)*IF(Upgrades!$T$9="Heliopause",POWER(Upgrades!$U$9,H98),1)*IF(Upgrades!$T$10="Heliopause",POWER(Upgrades!$U$10,I98),1)*IF(Upgrades!$T$12="Heliopause",POWER(Upgrades!$U$12,K98),1))+(IF(K98=0,0,(Upgrades!$G$12+K98*Upgrades!$H$12)*POWER(Upgrades!$I$12,K98)))*(IF(Upgrades!$T$6="First Photons",POWER(Upgrades!$U$6,E98),1)*IF(Upgrades!$T$7="First Photons",POWER(Upgrades!$U$7,F98),1)*IF(Upgrades!$T$8="First Photons",POWER(Upgrades!$U$8,G98),1)*IF(Upgrades!$T$9="First Photons",POWER(Upgrades!$U$9,H98),1)*IF(Upgrades!$T$10="First Photons",POWER(Upgrades!$U$10,I98),1)*IF(Upgrades!$T$11="First Photons",POWER(Upgrades!$U$11,J98),1)))*POWER(Upgrades!$P$6,E98)*POWER(Upgrades!$P$7,F98)*POWER(Upgrades!$P$8,G98)*POWER(Upgrades!$P$9,H98)*POWER(Upgrades!$P$10,I98)*POWER(Upgrades!$P$11,J98)*POWER(Upgrades!$P$12,K98)</f>
        <v>11.2</v>
      </c>
      <c r="O98" s="28" t="n">
        <f aca="false">((IF(E98=0,0,(Upgrades!$M$6+E98*Upgrades!$N$6)*POWER(Upgrades!$O$6,E98)))*(IF(Upgrades!$T$7="Solar Wind",POWER(Upgrades!$U$7,F98),1)*IF(Upgrades!$T$8="Solar Wind",POWER(Upgrades!$U$8,G98),1)*IF(Upgrades!$T$9="Solar Wind",POWER(Upgrades!$U$9,H98),1)*IF(Upgrades!$T$10="Solar Wind",POWER(Upgrades!$U$10,I98),1)*IF(Upgrades!$T$11="Solar Wind",POWER(Upgrades!$U$11,J98),1)*IF(Upgrades!$T$12="Solar Wind",POWER(Upgrades!$U$12,K98),1))+(IF(F98=0,0,(Upgrades!$M$7+F98*Upgrades!$N$7)*POWER(Upgrades!$O$7,F98)))*(IF(Upgrades!$T$6="Asteroid Belt",POWER(Upgrades!$U$6,E98),1)*IF(Upgrades!$T$8="Asteroid Belt",POWER(Upgrades!$U$8,G98),1)*IF(Upgrades!$T$9="Asteroid Belt",POWER(Upgrades!$U$9,H98),1)*IF(Upgrades!$T$10="Asteroid Belt",POWER(Upgrades!$U$10,I98),1)*IF(Upgrades!$T$11="Asteroid Belt",POWER(Upgrades!$U$11,J98),1)*IF(Upgrades!$T$12="Asteroid Belt",POWER(Upgrades!$U$12,K98),1))+(IF(G98=0,0,(Upgrades!$M$8+G98*Upgrades!$N$8)*POWER(Upgrades!$O$8,G98)))*(IF(Upgrades!$T$6="Stellar Coupling",POWER(Upgrades!$U$6,E98),1)*IF(Upgrades!$T$7="Stellar Coupling",POWER(Upgrades!$U$7,F98),1)*IF(Upgrades!$T$9="Stellar Coupling",POWER(Upgrades!$U$9,H98),1)*IF(Upgrades!$T$10="Stellar Coupling",POWER(Upgrades!$U$10,I98),1)*IF(Upgrades!$T$11="Stellar Coupling",POWER(Upgrades!$U$11,J98),1)*IF(Upgrades!$T$12="Stellar Coupling",POWER(Upgrades!$U$12,K98),1))+(IF(H98=0,0,(Upgrades!$M$9+H98*Upgrades!$N$9)*POWER(Upgrades!$O$9,H98)))*(IF(Upgrades!$T$6="Magnetosphere",POWER(Upgrades!$U$6,E98),1)*IF(Upgrades!$T$7="Magnetosphere",POWER(Upgrades!$U$7,F98),1)*IF(Upgrades!$T$8="Magnetosphere",POWER(Upgrades!$U$8,G98),1)*IF(Upgrades!$T$10="Magnetosphere",POWER(Upgrades!$U$10,I98),1)*IF(Upgrades!$T$11="Magnetosphere",POWER(Upgrades!$U$11,J98),1)*IF(Upgrades!$T$12="Magnetosphere",POWER(Upgrades!$U$12,K98),1))+(IF(I98=0,0,(Upgrades!$M$10+I98*Upgrades!$N$10)*POWER(Upgrades!$O$10,I98)))*(IF(Upgrades!$T$6="Orbital Resonance",POWER(Upgrades!$U$6,E98),1)*IF(Upgrades!$T$7="Orbital Resonance",POWER(Upgrades!$U$7,F98),1)*IF(Upgrades!$T$8="Orbital Resonance",POWER(Upgrades!$U$8,G98),1)*IF(Upgrades!$T$9="Orbital Resonance",POWER(Upgrades!$U$9,H98),1)*IF(Upgrades!$T$11="Orbital Resonance",POWER(Upgrades!$U$11,J98),1)*IF(Upgrades!$T$12="Orbital Resonance",POWER(Upgrades!$U$12,K98),1))+(IF(J98=0,0,(Upgrades!$M$11+J98*Upgrades!$N$11)*POWER(Upgrades!$O$11,J98)))*(IF(Upgrades!$T$6="Heliopause",POWER(Upgrades!$U$6,E98),1)*IF(Upgrades!$T$7="Heliopause",POWER(Upgrades!$U$7,F98),1)*IF(Upgrades!$T$8="Heliopause",POWER(Upgrades!$U$8,G98),1)*IF(Upgrades!$T$9="Heliopause",POWER(Upgrades!$U$9,H98),1)*IF(Upgrades!$T$10="Heliopause",POWER(Upgrades!$U$10,I98),1)*IF(Upgrades!$T$12="Heliopause",POWER(Upgrades!$U$12,K98),1))+(IF(K98=0,0,(Upgrades!$M$12+K98*Upgrades!$N$12)*POWER(Upgrades!$O$12,K98)))*(IF(Upgrades!$T$6="First Photons",POWER(Upgrades!$U$6,E98),1)*IF(Upgrades!$T$7="First Photons",POWER(Upgrades!$U$7,F98),1)*IF(Upgrades!$T$8="First Photons",POWER(Upgrades!$U$8,G98),1)*IF(Upgrades!$T$9="First Photons",POWER(Upgrades!$U$9,H98),1)*IF(Upgrades!$T$10="First Photons",POWER(Upgrades!$U$10,I98),1)*IF(Upgrades!$T$11="First Photons",POWER(Upgrades!$U$11,J98),1)))*POWER(Upgrades!$R$6,E98)*POWER(Upgrades!$R$7,F98)*POWER(Upgrades!$R$8,G98)*POWER(Upgrades!$R$9,H98)*POWER(Upgrades!$R$10,I98)*POWER(Upgrades!$R$11,J98)*POWER(Upgrades!$R$12,K98)</f>
        <v>0</v>
      </c>
      <c r="P98" s="27" t="n">
        <f aca="false">IF(L98=1,0,M98*Parameters!$B$10/60*Parameters!$B$11*10)</f>
        <v>0</v>
      </c>
      <c r="Q98" s="27" t="n">
        <f aca="false">IF(L98=1,0,O98*M98*10)</f>
        <v>0</v>
      </c>
      <c r="R98" s="27" t="n">
        <f aca="false">IF(L98=1,0,N98*10)</f>
        <v>0</v>
      </c>
      <c r="S98" s="27" t="n">
        <f aca="false">P98+Q98+R98</f>
        <v>0</v>
      </c>
      <c r="T98" s="21" t="n">
        <f aca="false">C98+S98</f>
        <v>18.6730249835055</v>
      </c>
      <c r="U98" s="34" t="str">
        <f aca="false">AX98</f>
        <v/>
      </c>
      <c r="V98" s="21" t="n">
        <f aca="false">IF(U98="",0,IF(U98="transition",0,IF(U98="SW",AG98,IF(U98="AB",AH98,IF(U98="SC",AI98,IF(U98="Mag",AJ98,IF(U98="OR",AK98,IF(U98="HP",AL98,IF(U98="FP",AM98,0)))))))))</f>
        <v>0</v>
      </c>
      <c r="W98" s="27" t="n">
        <f aca="false">IF(U98="OR",Upgrades!$F$10,IF(U98="HP",Upgrades!$F$11,IF(U98="transition",-Parameters!$B$18,0)))</f>
        <v>0</v>
      </c>
      <c r="X98" s="21" t="n">
        <f aca="false">T98-V98</f>
        <v>18.6730249835055</v>
      </c>
      <c r="Y98" s="30" t="n">
        <f aca="false">M98*Parameters!$B$10/60*Parameters!$B$11+O98*M98+N98</f>
        <v>20.55</v>
      </c>
      <c r="Z98" s="35" t="str">
        <f aca="false">IF(U98="transition","→ Tier 2 (Stellar Neighborhood)",IF(U98="FP","First Photons — light begins, system quickens",IF(U98="HP","Heliopause acquired",IF(U98="OR","Orbital Resonance — passive multiplier active",IF(AND(AO98=1,L98=0,AN98&lt;&gt;1),"Cohesion ready (waiting on completionist upgrades)","")))))</f>
        <v/>
      </c>
      <c r="AA98" s="27" t="n">
        <f aca="false">(IF(E98=0,0,(Upgrades!$G$6+E98*Upgrades!$H$6)*POWER(Upgrades!$I$6,E98)))*(IF(Upgrades!$T$7="Solar Wind",POWER(Upgrades!$U$7,F98),1)*IF(Upgrades!$T$8="Solar Wind",POWER(Upgrades!$U$8,G98),1)*IF(Upgrades!$T$9="Solar Wind",POWER(Upgrades!$U$9,H98),1)*IF(Upgrades!$T$10="Solar Wind",POWER(Upgrades!$U$10,I98),1)*IF(Upgrades!$T$11="Solar Wind",POWER(Upgrades!$U$11,J98),1)*IF(Upgrades!$T$12="Solar Wind",POWER(Upgrades!$U$12,K98),1))*POWER(Upgrades!$P$6,E98)*POWER(Upgrades!$P$7,F98)*POWER(Upgrades!$P$8,G98)*POWER(Upgrades!$P$9,H98)*POWER(Upgrades!$P$10,I98)*POWER(Upgrades!$P$11,J98)*POWER(Upgrades!$P$12,K98)*60</f>
        <v>72</v>
      </c>
      <c r="AB98" s="27" t="n">
        <f aca="false">(IF(F98=0,0,(Upgrades!$G$7+F98*Upgrades!$H$7)*POWER(Upgrades!$I$7,F98)))*(IF(Upgrades!$T$6="Asteroid Belt",POWER(Upgrades!$U$6,E98),1)*IF(Upgrades!$T$8="Asteroid Belt",POWER(Upgrades!$U$8,G98),1)*IF(Upgrades!$T$9="Asteroid Belt",POWER(Upgrades!$U$9,H98),1)*IF(Upgrades!$T$10="Asteroid Belt",POWER(Upgrades!$U$10,I98),1)*IF(Upgrades!$T$11="Asteroid Belt",POWER(Upgrades!$U$11,J98),1)*IF(Upgrades!$T$12="Asteroid Belt",POWER(Upgrades!$U$12,K98),1))*POWER(Upgrades!$P$6,E98)*POWER(Upgrades!$P$7,F98)*POWER(Upgrades!$P$8,G98)*POWER(Upgrades!$P$9,H98)*POWER(Upgrades!$P$10,I98)*POWER(Upgrades!$P$11,J98)*POWER(Upgrades!$P$12,K98)*60</f>
        <v>150</v>
      </c>
      <c r="AC98" s="27" t="n">
        <f aca="false">(IF(G98=0,0,(Upgrades!$J$8+G98*Upgrades!$K$8)*POWER(Upgrades!$L$8,G98)))*(IF(Upgrades!$T$6="Stellar Coupling",POWER(Upgrades!$U$6,E98),1)*IF(Upgrades!$T$7="Stellar Coupling",POWER(Upgrades!$U$7,F98),1)*IF(Upgrades!$T$9="Stellar Coupling",POWER(Upgrades!$U$9,H98),1)*IF(Upgrades!$T$10="Stellar Coupling",POWER(Upgrades!$U$10,I98),1)*IF(Upgrades!$T$11="Stellar Coupling",POWER(Upgrades!$U$11,J98),1)*IF(Upgrades!$T$12="Stellar Coupling",POWER(Upgrades!$U$12,K98),1))*POWER(Upgrades!$Q$6,E98)*POWER(Upgrades!$Q$7,F98)*POWER(Upgrades!$Q$8,G98)*POWER(Upgrades!$Q$9,H98)*POWER(Upgrades!$Q$10,I98)*POWER(Upgrades!$Q$11,J98)*POWER(Upgrades!$Q$12,K98)*Parameters!$B$10*Parameters!$B$11</f>
        <v>441</v>
      </c>
      <c r="AD98" s="27" t="n">
        <f aca="false">(IF(H98=0,0,(Upgrades!$G$9+H98*Upgrades!$H$9)*POWER(Upgrades!$I$9,H98)))*(IF(Upgrades!$T$6="Magnetosphere",POWER(Upgrades!$U$6,E98),1)*IF(Upgrades!$T$7="Magnetosphere",POWER(Upgrades!$U$7,F98),1)*IF(Upgrades!$T$8="Magnetosphere",POWER(Upgrades!$U$8,G98),1)*IF(Upgrades!$T$10="Magnetosphere",POWER(Upgrades!$U$10,I98),1)*IF(Upgrades!$T$11="Magnetosphere",POWER(Upgrades!$U$11,J98),1)*IF(Upgrades!$T$12="Magnetosphere",POWER(Upgrades!$U$12,K98),1))*POWER(Upgrades!$P$6,E98)*POWER(Upgrades!$P$7,F98)*POWER(Upgrades!$P$8,G98)*POWER(Upgrades!$P$9,H98)*POWER(Upgrades!$P$10,I98)*POWER(Upgrades!$P$11,J98)*POWER(Upgrades!$P$12,K98)*60</f>
        <v>375</v>
      </c>
      <c r="AE98" s="27" t="n">
        <f aca="false">(IF(K98=0,0,(Upgrades!$G$12+K98*Upgrades!$H$12)*POWER(Upgrades!$I$12,K98)))*(IF(Upgrades!$T$6="First Photons",POWER(Upgrades!$U$6,E98),1)*IF(Upgrades!$T$7="First Photons",POWER(Upgrades!$U$7,F98),1)*IF(Upgrades!$T$8="First Photons",POWER(Upgrades!$U$8,G98),1)*IF(Upgrades!$T$9="First Photons",POWER(Upgrades!$U$9,H98),1)*IF(Upgrades!$T$10="First Photons",POWER(Upgrades!$U$10,I98),1)*IF(Upgrades!$T$11="First Photons",POWER(Upgrades!$U$11,J98),1))*POWER(Upgrades!$P$6,E98)*POWER(Upgrades!$P$7,F98)*POWER(Upgrades!$P$8,G98)*POWER(Upgrades!$P$9,H98)*POWER(Upgrades!$P$10,I98)*POWER(Upgrades!$P$11,J98)*POWER(Upgrades!$P$12,K98)*60</f>
        <v>75</v>
      </c>
      <c r="AF98" s="27" t="n">
        <f aca="false">Parameters!$B$9*POWER(Upgrades!$Q$6,E98)*POWER(Upgrades!$Q$7,F98)*POWER(Upgrades!$Q$8,G98)*POWER(Upgrades!$Q$9,H98)*POWER(Upgrades!$Q$10,I98)*POWER(Upgrades!$Q$11,J98)*POWER(Upgrades!$Q$12,K98)*(Parameters!$B$10*Parameters!$B$11+O98*60)</f>
        <v>120</v>
      </c>
      <c r="AG98" s="21" t="n">
        <f aca="false">IF(E98&gt;=Upgrades!$E$6,"",Upgrades!$C$6*POWER(Upgrades!$D$6,E98))</f>
        <v>37.4517507383159</v>
      </c>
      <c r="AH98" s="21" t="n">
        <f aca="false">IF(F98&gt;=Upgrades!$E$7,"",Upgrades!$C$7*POWER(Upgrades!$D$7,F98))</f>
        <v>80.9111547141581</v>
      </c>
      <c r="AI98" s="21" t="n">
        <f aca="false">IF(G98&gt;=Upgrades!$E$8,"",Upgrades!$C$8*POWER(Upgrades!$D$8,G98))</f>
        <v>231.9097088</v>
      </c>
      <c r="AJ98" s="21" t="str">
        <f aca="false">IF(H98&gt;=Upgrades!$E$9,"",Upgrades!$C$9*POWER(Upgrades!$D$9,H98))</f>
        <v/>
      </c>
      <c r="AK98" s="21" t="str">
        <f aca="false">IF(I98&gt;=Upgrades!$E$10,"",Upgrades!$C$10*POWER(Upgrades!$D$10,I98))</f>
        <v/>
      </c>
      <c r="AL98" s="21" t="str">
        <f aca="false">IF(J98&gt;=Upgrades!$E$11,"",Upgrades!$C$11*POWER(Upgrades!$D$11,J98))</f>
        <v/>
      </c>
      <c r="AM98" s="21" t="str">
        <f aca="false">IF(K98&gt;=Upgrades!$E$12,"",Upgrades!$C$12*POWER(Upgrades!$D$12,K98))</f>
        <v/>
      </c>
      <c r="AN98" s="26" t="str">
        <f aca="false">IF(AND(D98&gt;=Parameters!$B$18,(H98&gt;=Upgrades!$E$9)*(K98&gt;=Upgrades!$E$12)=1,L98=0),1,"")</f>
        <v/>
      </c>
      <c r="AO98" s="26" t="str">
        <f aca="false">IF(AND(D98&gt;=Parameters!$B$18,L98=0),1,"")</f>
        <v/>
      </c>
      <c r="AP98" s="21" t="n">
        <f aca="false">MIN(IF(ISNUMBER(AK98),AK98,9000000000000000),IF(ISNUMBER(AL98),AL98,9000000000000000),IF(ISNUMBER(AM98),AM98,9000000000000000))</f>
        <v>9000000000000000</v>
      </c>
      <c r="AQ98" s="21" t="n">
        <f aca="false">MIN(IF(ISNUMBER(AG98),AG98,9000000000000000),IF(ISNUMBER(AH98),AH98,9000000000000000),IF(ISNUMBER(AI98),AI98,9000000000000000),IF(ISNUMBER(AJ98),AJ98,9000000000000000))</f>
        <v>37.4517507383159</v>
      </c>
      <c r="AR98" s="32" t="b">
        <f aca="false">IF(AW98&gt;Parameters!$B$21*(MAX(IF(AND(NOT(AND(AO98=1,AN98&lt;&gt;1)),ISNUMBER(AG98),AG98&lt;=T98),AS98,0),IF(AND(NOT(AND(AO98=1,AN98&lt;&gt;1)),ISNUMBER(AH98),AH98&lt;=T98),AT98,0),IF(AND(NOT(AND(AO98=1,AN98&lt;&gt;1)),ISNUMBER(AI98),AI98&lt;=T98),AU98,0),IF(AND(ISNUMBER(AJ98),AJ98&lt;=T98),AV98,0))),TRUE(),FALSE())</f>
        <v>1</v>
      </c>
      <c r="AS98" s="33" t="n">
        <f aca="false">IFERROR(Upgrades!$H$6*(POWER(Upgrades!$P$6,E98)*POWER(Upgrades!$P$7,F98)*POWER(Upgrades!$P$8,G98)*POWER(Upgrades!$P$9,H98)*POWER(Upgrades!$P$10,I98)*POWER(Upgrades!$P$11,J98)*POWER(Upgrades!$P$12,K98))*(IF(Upgrades!$T$7="Solar Wind",POWER(Upgrades!$U$7,F98),1)*IF(Upgrades!$T$8="Solar Wind",POWER(Upgrades!$U$8,G98),1)*IF(Upgrades!$T$9="Solar Wind",POWER(Upgrades!$U$9,H98),1)*IF(Upgrades!$T$10="Solar Wind",POWER(Upgrades!$U$10,I98),1)*IF(Upgrades!$T$11="Solar Wind",POWER(Upgrades!$U$11,J98),1)*IF(Upgrades!$T$12="Solar Wind",POWER(Upgrades!$U$12,K98),1))/AG98,0)</f>
        <v>0.0026701021455238</v>
      </c>
      <c r="AT98" s="33" t="n">
        <f aca="false">IFERROR(Upgrades!$H$7*(POWER(Upgrades!$P$6,E98)*POWER(Upgrades!$P$7,F98)*POWER(Upgrades!$P$8,G98)*POWER(Upgrades!$P$9,H98)*POWER(Upgrades!$P$10,I98)*POWER(Upgrades!$P$11,J98)*POWER(Upgrades!$P$12,K98))*(IF(Upgrades!$T$6="Asteroid Belt",POWER(Upgrades!$U$6,E98),1)*IF(Upgrades!$T$8="Asteroid Belt",POWER(Upgrades!$U$8,G98),1)*IF(Upgrades!$T$9="Asteroid Belt",POWER(Upgrades!$U$9,H98),1)*IF(Upgrades!$T$10="Asteroid Belt",POWER(Upgrades!$U$10,I98),1)*IF(Upgrades!$T$11="Asteroid Belt",POWER(Upgrades!$U$11,J98),1)*IF(Upgrades!$T$12="Asteroid Belt",POWER(Upgrades!$U$12,K98),1))/AH98,0)</f>
        <v>0.00308980882652332</v>
      </c>
      <c r="AU98" s="33" t="n">
        <f aca="false">IFERROR(Upgrades!$K$8*(POWER(Upgrades!$Q$6,E98)*POWER(Upgrades!$Q$7,F98)*POWER(Upgrades!$Q$8,G98)*POWER(Upgrades!$Q$9,H98)*POWER(Upgrades!$Q$10,I98)*POWER(Upgrades!$Q$11,J98)*POWER(Upgrades!$Q$12,K98))*(IF(Upgrades!$T$6="Stellar Coupling",POWER(Upgrades!$U$6,E98),1)*IF(Upgrades!$T$7="Stellar Coupling",POWER(Upgrades!$U$7,F98),1)*IF(Upgrades!$T$9="Stellar Coupling",POWER(Upgrades!$U$9,H98),1)*IF(Upgrades!$T$10="Stellar Coupling",POWER(Upgrades!$U$10,I98),1)*IF(Upgrades!$T$11="Stellar Coupling",POWER(Upgrades!$U$11,J98),1)*IF(Upgrades!$T$12="Stellar Coupling",POWER(Upgrades!$U$12,K98),1))*Parameters!$B$10*Parameters!$B$11/60/AI98,0)</f>
        <v>0.00452762415783776</v>
      </c>
      <c r="AV98" s="33" t="n">
        <f aca="false">IFERROR(Upgrades!$H$9*(POWER(Upgrades!$P$6,E98)*POWER(Upgrades!$P$7,F98)*POWER(Upgrades!$P$8,G98)*POWER(Upgrades!$P$9,H98)*POWER(Upgrades!$P$10,I98)*POWER(Upgrades!$P$11,J98)*POWER(Upgrades!$P$12,K98))*(IF(Upgrades!$T$6="Magnetosphere",POWER(Upgrades!$U$6,E98),1)*IF(Upgrades!$T$7="Magnetosphere",POWER(Upgrades!$U$7,F98),1)*IF(Upgrades!$T$8="Magnetosphere",POWER(Upgrades!$U$8,G98),1)*IF(Upgrades!$T$10="Magnetosphere",POWER(Upgrades!$U$10,I98),1)*IF(Upgrades!$T$11="Magnetosphere",POWER(Upgrades!$U$11,J98),1)*IF(Upgrades!$T$12="Magnetosphere",POWER(Upgrades!$U$12,K98),1))/AJ98,0)</f>
        <v>0</v>
      </c>
      <c r="AW98" s="33" t="n">
        <f aca="false">MAX(IF(I98&gt;0,0,IFERROR(0.25*N98/Upgrades!$C$10,0)),IF(J98&gt;0,0,IFERROR(0.5*((IF(G98=0,0,(Upgrades!$J$8+G98*Upgrades!$K$8)*POWER(Upgrades!$L$8,G98)))*(IF(Upgrades!$T$6="Stellar Coupling",POWER(Upgrades!$U$6,E98),1)*IF(Upgrades!$T$7="Stellar Coupling",POWER(Upgrades!$U$7,F98),1)*IF(Upgrades!$T$9="Stellar Coupling",POWER(Upgrades!$U$9,H98),1)*IF(Upgrades!$T$10="Stellar Coupling",POWER(Upgrades!$U$10,I98),1)*IF(Upgrades!$T$11="Stellar Coupling",POWER(Upgrades!$U$11,J98),1)*IF(Upgrades!$T$12="Stellar Coupling",POWER(Upgrades!$U$12,K98),1))*(POWER(Upgrades!$Q$6,E98)*POWER(Upgrades!$Q$7,F98)*POWER(Upgrades!$Q$8,G98)*POWER(Upgrades!$Q$9,H98)*POWER(Upgrades!$Q$10,I98)*POWER(Upgrades!$Q$11,J98)*POWER(Upgrades!$Q$12,K98))*Parameters!$B$10*Parameters!$B$11/60)/Upgrades!$C$11,0)),IF(K98&gt;0,0,IFERROR((1*(POWER(Upgrades!$P$6,E98)*POWER(Upgrades!$P$7,F98)*POWER(Upgrades!$P$8,G98)*POWER(Upgrades!$P$9,H98)*POWER(Upgrades!$P$10,I98)*POWER(Upgrades!$P$11,J98)*POWER(Upgrades!$P$12,K98))+0.2*M98*Parameters!$B$10*Parameters!$B$11/60)/Upgrades!$C$12,0)),IF(AND(ISNUMBER(AG98),AG98&gt;T98),AS98,0),IF(AND(ISNUMBER(AH98),AH98&gt;T98),AT98,0),IF(AND(ISNUMBER(AI98),AI98&gt;T98),AU98,0),IF(AND(ISNUMBER(AJ98),AJ98&gt;T98),AV98,0))</f>
        <v>0.00452762415783776</v>
      </c>
      <c r="AX98" s="29" t="str">
        <f aca="false">IF(AN98=1,"transition",IF(MIN(IF(AND(I98=0,ISNUMBER(AK98),AK98&lt;=T98),AK98,9000000000000000),IF(AND(J98=0,ISNUMBER(AL98),AL98&lt;=T98),AL98,9000000000000000),IF(AND(K98=0,ISNUMBER(AM98),AM98&lt;=T98),AM98,9000000000000000))&lt;9000000000000000,IF(AND(AND(I98=0,ISNUMBER(AK98),AK98&lt;=T98),AK98=MIN(IF(AND(I98=0,ISNUMBER(AK98),AK98&lt;=T98),AK98,9000000000000000),IF(AND(J98=0,ISNUMBER(AL98),AL98&lt;=T98),AL98,9000000000000000),IF(AND(K98=0,ISNUMBER(AM98),AM98&lt;=T98),AM98,9000000000000000))),"OR",IF(AND(AND(J98=0,ISNUMBER(AL98),AL98&lt;=T98),AL98=MIN(IF(AND(I98=0,ISNUMBER(AK98),AK98&lt;=T98),AK98,9000000000000000),IF(AND(J98=0,ISNUMBER(AL98),AL98&lt;=T98),AL98,9000000000000000),IF(AND(K98=0,ISNUMBER(AM98),AM98&lt;=T98),AM98,9000000000000000))),"HP","FP")),IF(AR98=TRUE(),"",IF(MAX(IF(AND(NOT(AND(AO98=1,AN98&lt;&gt;1)),ISNUMBER(AG98),AG98&lt;=T98),AS98,0),IF(AND(NOT(AND(AO98=1,AN98&lt;&gt;1)),ISNUMBER(AH98),AH98&lt;=T98),AT98,0),IF(AND(NOT(AND(AO98=1,AN98&lt;&gt;1)),ISNUMBER(AI98),AI98&lt;=T98),AU98,0),IF(AND(ISNUMBER(AJ98),AJ98&lt;=T98),AV98,0))&lt;=0,"",IF(AND(IF(AND(NOT(AND(AO98=1,AN98&lt;&gt;1)),ISNUMBER(AG98),AG98&lt;=T98),AS98,0)&gt;0,IF(AND(NOT(AND(AO98=1,AN98&lt;&gt;1)),ISNUMBER(AG98),AG98&lt;=T98),AS98,0)=MAX(IF(AND(NOT(AND(AO98=1,AN98&lt;&gt;1)),ISNUMBER(AG98),AG98&lt;=T98),AS98,0),IF(AND(NOT(AND(AO98=1,AN98&lt;&gt;1)),ISNUMBER(AH98),AH98&lt;=T98),AT98,0),IF(AND(NOT(AND(AO98=1,AN98&lt;&gt;1)),ISNUMBER(AI98),AI98&lt;=T98),AU98,0),IF(AND(ISNUMBER(AJ98),AJ98&lt;=T98),AV98,0))),"SW",IF(AND(IF(AND(NOT(AND(AO98=1,AN98&lt;&gt;1)),ISNUMBER(AH98),AH98&lt;=T98),AT98,0)&gt;0,IF(AND(NOT(AND(AO98=1,AN98&lt;&gt;1)),ISNUMBER(AH98),AH98&lt;=T98),AT98,0)=MAX(IF(AND(NOT(AND(AO98=1,AN98&lt;&gt;1)),ISNUMBER(AG98),AG98&lt;=T98),AS98,0),IF(AND(NOT(AND(AO98=1,AN98&lt;&gt;1)),ISNUMBER(AH98),AH98&lt;=T98),AT98,0),IF(AND(NOT(AND(AO98=1,AN98&lt;&gt;1)),ISNUMBER(AI98),AI98&lt;=T98),AU98,0),IF(AND(ISNUMBER(AJ98),AJ98&lt;=T98),AV98,0))),"AB",IF(AND(IF(AND(NOT(AND(AO98=1,AN98&lt;&gt;1)),ISNUMBER(AI98),AI98&lt;=T98),AU98,0)&gt;0,IF(AND(NOT(AND(AO98=1,AN98&lt;&gt;1)),ISNUMBER(AI98),AI98&lt;=T98),AU98,0)=MAX(IF(AND(NOT(AND(AO98=1,AN98&lt;&gt;1)),ISNUMBER(AG98),AG98&lt;=T98),AS98,0),IF(AND(NOT(AND(AO98=1,AN98&lt;&gt;1)),ISNUMBER(AH98),AH98&lt;=T98),AT98,0),IF(AND(NOT(AND(AO98=1,AN98&lt;&gt;1)),ISNUMBER(AI98),AI98&lt;=T98),AU98,0),IF(AND(ISNUMBER(AJ98),AJ98&lt;=T98),AV98,0))),"SC","Mag")))))))</f>
        <v/>
      </c>
    </row>
    <row r="99" customFormat="false" ht="15" hidden="false" customHeight="false" outlineLevel="0" collapsed="false">
      <c r="A99" s="26" t="n">
        <v>94</v>
      </c>
      <c r="B99" s="27" t="n">
        <f aca="false">A99*10/60</f>
        <v>15.6666666666667</v>
      </c>
      <c r="C99" s="21" t="n">
        <f aca="false">X98</f>
        <v>18.6730249835055</v>
      </c>
      <c r="D99" s="27" t="n">
        <f aca="false">D98+W98</f>
        <v>0</v>
      </c>
      <c r="E99" s="26" t="n">
        <f aca="false">E98+IF(U98="SW",1,0)</f>
        <v>12</v>
      </c>
      <c r="F99" s="26" t="n">
        <f aca="false">F98+IF(U98="AB",1,0)</f>
        <v>10</v>
      </c>
      <c r="G99" s="26" t="n">
        <f aca="false">G98+IF(U98="SC",1,0)</f>
        <v>7</v>
      </c>
      <c r="H99" s="26" t="n">
        <f aca="false">H98+IF(U98="Mag",1,0)</f>
        <v>5</v>
      </c>
      <c r="I99" s="26" t="n">
        <f aca="false">MAX(I98,IF(U98="OR",1,0))</f>
        <v>1</v>
      </c>
      <c r="J99" s="26" t="n">
        <f aca="false">MAX(J98,IF(U98="HP",1,0))</f>
        <v>1</v>
      </c>
      <c r="K99" s="26" t="n">
        <f aca="false">MAX(K98,IF(U98="FP",1,0))</f>
        <v>1</v>
      </c>
      <c r="L99" s="26" t="n">
        <f aca="false">MAX(L98,IF(U98="transition",1,0))</f>
        <v>1</v>
      </c>
      <c r="M99" s="28" t="n">
        <f aca="false">(Parameters!$B$9+(IF(E99=0,0,(Upgrades!$J$6+E99*Upgrades!$K$6)*POWER(Upgrades!$L$6,E99)))*(IF(Upgrades!$T$7="Solar Wind",POWER(Upgrades!$U$7,F99),1)*IF(Upgrades!$T$8="Solar Wind",POWER(Upgrades!$U$8,G99),1)*IF(Upgrades!$T$9="Solar Wind",POWER(Upgrades!$U$9,H99),1)*IF(Upgrades!$T$10="Solar Wind",POWER(Upgrades!$U$10,I99),1)*IF(Upgrades!$T$11="Solar Wind",POWER(Upgrades!$U$11,J99),1)*IF(Upgrades!$T$12="Solar Wind",POWER(Upgrades!$U$12,K99),1))+(IF(F99=0,0,(Upgrades!$J$7+F99*Upgrades!$K$7)*POWER(Upgrades!$L$7,F99)))*(IF(Upgrades!$T$6="Asteroid Belt",POWER(Upgrades!$U$6,E99),1)*IF(Upgrades!$T$8="Asteroid Belt",POWER(Upgrades!$U$8,G99),1)*IF(Upgrades!$T$9="Asteroid Belt",POWER(Upgrades!$U$9,H99),1)*IF(Upgrades!$T$10="Asteroid Belt",POWER(Upgrades!$U$10,I99),1)*IF(Upgrades!$T$11="Asteroid Belt",POWER(Upgrades!$U$11,J99),1)*IF(Upgrades!$T$12="Asteroid Belt",POWER(Upgrades!$U$12,K99),1))+(IF(G99=0,0,(Upgrades!$J$8+G99*Upgrades!$K$8)*POWER(Upgrades!$L$8,G99)))*(IF(Upgrades!$T$6="Stellar Coupling",POWER(Upgrades!$U$6,E99),1)*IF(Upgrades!$T$7="Stellar Coupling",POWER(Upgrades!$U$7,F99),1)*IF(Upgrades!$T$9="Stellar Coupling",POWER(Upgrades!$U$9,H99),1)*IF(Upgrades!$T$10="Stellar Coupling",POWER(Upgrades!$U$10,I99),1)*IF(Upgrades!$T$11="Stellar Coupling",POWER(Upgrades!$U$11,J99),1)*IF(Upgrades!$T$12="Stellar Coupling",POWER(Upgrades!$U$12,K99),1))+(IF(H99=0,0,(Upgrades!$J$9+H99*Upgrades!$K$9)*POWER(Upgrades!$L$9,H99)))*(IF(Upgrades!$T$6="Magnetosphere",POWER(Upgrades!$U$6,E99),1)*IF(Upgrades!$T$7="Magnetosphere",POWER(Upgrades!$U$7,F99),1)*IF(Upgrades!$T$8="Magnetosphere",POWER(Upgrades!$U$8,G99),1)*IF(Upgrades!$T$10="Magnetosphere",POWER(Upgrades!$U$10,I99),1)*IF(Upgrades!$T$11="Magnetosphere",POWER(Upgrades!$U$11,J99),1)*IF(Upgrades!$T$12="Magnetosphere",POWER(Upgrades!$U$12,K99),1))+(IF(I99=0,0,(Upgrades!$J$10+I99*Upgrades!$K$10)*POWER(Upgrades!$L$10,I99)))*(IF(Upgrades!$T$6="Orbital Resonance",POWER(Upgrades!$U$6,E99),1)*IF(Upgrades!$T$7="Orbital Resonance",POWER(Upgrades!$U$7,F99),1)*IF(Upgrades!$T$8="Orbital Resonance",POWER(Upgrades!$U$8,G99),1)*IF(Upgrades!$T$9="Orbital Resonance",POWER(Upgrades!$U$9,H99),1)*IF(Upgrades!$T$11="Orbital Resonance",POWER(Upgrades!$U$11,J99),1)*IF(Upgrades!$T$12="Orbital Resonance",POWER(Upgrades!$U$12,K99),1))+(IF(J99=0,0,(Upgrades!$J$11+J99*Upgrades!$K$11)*POWER(Upgrades!$L$11,J99)))*(IF(Upgrades!$T$6="Heliopause",POWER(Upgrades!$U$6,E99),1)*IF(Upgrades!$T$7="Heliopause",POWER(Upgrades!$U$7,F99),1)*IF(Upgrades!$T$8="Heliopause",POWER(Upgrades!$U$8,G99),1)*IF(Upgrades!$T$9="Heliopause",POWER(Upgrades!$U$9,H99),1)*IF(Upgrades!$T$10="Heliopause",POWER(Upgrades!$U$10,I99),1)*IF(Upgrades!$T$12="Heliopause",POWER(Upgrades!$U$12,K99),1))+(IF(K99=0,0,(Upgrades!$J$12+K99*Upgrades!$K$12)*POWER(Upgrades!$L$12,K99)))*(IF(Upgrades!$T$6="First Photons",POWER(Upgrades!$U$6,E99),1)*IF(Upgrades!$T$7="First Photons",POWER(Upgrades!$U$7,F99),1)*IF(Upgrades!$T$8="First Photons",POWER(Upgrades!$U$8,G99),1)*IF(Upgrades!$T$9="First Photons",POWER(Upgrades!$U$9,H99),1)*IF(Upgrades!$T$10="First Photons",POWER(Upgrades!$U$10,I99),1)*IF(Upgrades!$T$11="First Photons",POWER(Upgrades!$U$11,J99),1)))*POWER(Upgrades!$Q$6,E99)*POWER(Upgrades!$Q$7,F99)*POWER(Upgrades!$Q$8,G99)*POWER(Upgrades!$Q$9,H99)*POWER(Upgrades!$Q$10,I99)*POWER(Upgrades!$Q$11,J99)*POWER(Upgrades!$Q$12,K99)</f>
        <v>5.61</v>
      </c>
      <c r="N99" s="28" t="n">
        <f aca="false">((IF(E99=0,0,(Upgrades!$G$6+E99*Upgrades!$H$6)*POWER(Upgrades!$I$6,E99)))*(IF(Upgrades!$T$7="Solar Wind",POWER(Upgrades!$U$7,F99),1)*IF(Upgrades!$T$8="Solar Wind",POWER(Upgrades!$U$8,G99),1)*IF(Upgrades!$T$9="Solar Wind",POWER(Upgrades!$U$9,H99),1)*IF(Upgrades!$T$10="Solar Wind",POWER(Upgrades!$U$10,I99),1)*IF(Upgrades!$T$11="Solar Wind",POWER(Upgrades!$U$11,J99),1)*IF(Upgrades!$T$12="Solar Wind",POWER(Upgrades!$U$12,K99),1))+(IF(F99=0,0,(Upgrades!$G$7+F99*Upgrades!$H$7)*POWER(Upgrades!$I$7,F99)))*(IF(Upgrades!$T$6="Asteroid Belt",POWER(Upgrades!$U$6,E99),1)*IF(Upgrades!$T$8="Asteroid Belt",POWER(Upgrades!$U$8,G99),1)*IF(Upgrades!$T$9="Asteroid Belt",POWER(Upgrades!$U$9,H99),1)*IF(Upgrades!$T$10="Asteroid Belt",POWER(Upgrades!$U$10,I99),1)*IF(Upgrades!$T$11="Asteroid Belt",POWER(Upgrades!$U$11,J99),1)*IF(Upgrades!$T$12="Asteroid Belt",POWER(Upgrades!$U$12,K99),1))+(IF(G99=0,0,(Upgrades!$G$8+G99*Upgrades!$H$8)*POWER(Upgrades!$I$8,G99)))*(IF(Upgrades!$T$6="Stellar Coupling",POWER(Upgrades!$U$6,E99),1)*IF(Upgrades!$T$7="Stellar Coupling",POWER(Upgrades!$U$7,F99),1)*IF(Upgrades!$T$9="Stellar Coupling",POWER(Upgrades!$U$9,H99),1)*IF(Upgrades!$T$10="Stellar Coupling",POWER(Upgrades!$U$10,I99),1)*IF(Upgrades!$T$11="Stellar Coupling",POWER(Upgrades!$U$11,J99),1)*IF(Upgrades!$T$12="Stellar Coupling",POWER(Upgrades!$U$12,K99),1))+(IF(H99=0,0,(Upgrades!$G$9+H99*Upgrades!$H$9)*POWER(Upgrades!$I$9,H99)))*(IF(Upgrades!$T$6="Magnetosphere",POWER(Upgrades!$U$6,E99),1)*IF(Upgrades!$T$7="Magnetosphere",POWER(Upgrades!$U$7,F99),1)*IF(Upgrades!$T$8="Magnetosphere",POWER(Upgrades!$U$8,G99),1)*IF(Upgrades!$T$10="Magnetosphere",POWER(Upgrades!$U$10,I99),1)*IF(Upgrades!$T$11="Magnetosphere",POWER(Upgrades!$U$11,J99),1)*IF(Upgrades!$T$12="Magnetosphere",POWER(Upgrades!$U$12,K99),1))+(IF(I99=0,0,(Upgrades!$G$10+I99*Upgrades!$H$10)*POWER(Upgrades!$I$10,I99)))*(IF(Upgrades!$T$6="Orbital Resonance",POWER(Upgrades!$U$6,E99),1)*IF(Upgrades!$T$7="Orbital Resonance",POWER(Upgrades!$U$7,F99),1)*IF(Upgrades!$T$8="Orbital Resonance",POWER(Upgrades!$U$8,G99),1)*IF(Upgrades!$T$9="Orbital Resonance",POWER(Upgrades!$U$9,H99),1)*IF(Upgrades!$T$11="Orbital Resonance",POWER(Upgrades!$U$11,J99),1)*IF(Upgrades!$T$12="Orbital Resonance",POWER(Upgrades!$U$12,K99),1))+(IF(J99=0,0,(Upgrades!$G$11+J99*Upgrades!$H$11)*POWER(Upgrades!$I$11,J99)))*(IF(Upgrades!$T$6="Heliopause",POWER(Upgrades!$U$6,E99),1)*IF(Upgrades!$T$7="Heliopause",POWER(Upgrades!$U$7,F99),1)*IF(Upgrades!$T$8="Heliopause",POWER(Upgrades!$U$8,G99),1)*IF(Upgrades!$T$9="Heliopause",POWER(Upgrades!$U$9,H99),1)*IF(Upgrades!$T$10="Heliopause",POWER(Upgrades!$U$10,I99),1)*IF(Upgrades!$T$12="Heliopause",POWER(Upgrades!$U$12,K99),1))+(IF(K99=0,0,(Upgrades!$G$12+K99*Upgrades!$H$12)*POWER(Upgrades!$I$12,K99)))*(IF(Upgrades!$T$6="First Photons",POWER(Upgrades!$U$6,E99),1)*IF(Upgrades!$T$7="First Photons",POWER(Upgrades!$U$7,F99),1)*IF(Upgrades!$T$8="First Photons",POWER(Upgrades!$U$8,G99),1)*IF(Upgrades!$T$9="First Photons",POWER(Upgrades!$U$9,H99),1)*IF(Upgrades!$T$10="First Photons",POWER(Upgrades!$U$10,I99),1)*IF(Upgrades!$T$11="First Photons",POWER(Upgrades!$U$11,J99),1)))*POWER(Upgrades!$P$6,E99)*POWER(Upgrades!$P$7,F99)*POWER(Upgrades!$P$8,G99)*POWER(Upgrades!$P$9,H99)*POWER(Upgrades!$P$10,I99)*POWER(Upgrades!$P$11,J99)*POWER(Upgrades!$P$12,K99)</f>
        <v>11.2</v>
      </c>
      <c r="O99" s="28" t="n">
        <f aca="false">((IF(E99=0,0,(Upgrades!$M$6+E99*Upgrades!$N$6)*POWER(Upgrades!$O$6,E99)))*(IF(Upgrades!$T$7="Solar Wind",POWER(Upgrades!$U$7,F99),1)*IF(Upgrades!$T$8="Solar Wind",POWER(Upgrades!$U$8,G99),1)*IF(Upgrades!$T$9="Solar Wind",POWER(Upgrades!$U$9,H99),1)*IF(Upgrades!$T$10="Solar Wind",POWER(Upgrades!$U$10,I99),1)*IF(Upgrades!$T$11="Solar Wind",POWER(Upgrades!$U$11,J99),1)*IF(Upgrades!$T$12="Solar Wind",POWER(Upgrades!$U$12,K99),1))+(IF(F99=0,0,(Upgrades!$M$7+F99*Upgrades!$N$7)*POWER(Upgrades!$O$7,F99)))*(IF(Upgrades!$T$6="Asteroid Belt",POWER(Upgrades!$U$6,E99),1)*IF(Upgrades!$T$8="Asteroid Belt",POWER(Upgrades!$U$8,G99),1)*IF(Upgrades!$T$9="Asteroid Belt",POWER(Upgrades!$U$9,H99),1)*IF(Upgrades!$T$10="Asteroid Belt",POWER(Upgrades!$U$10,I99),1)*IF(Upgrades!$T$11="Asteroid Belt",POWER(Upgrades!$U$11,J99),1)*IF(Upgrades!$T$12="Asteroid Belt",POWER(Upgrades!$U$12,K99),1))+(IF(G99=0,0,(Upgrades!$M$8+G99*Upgrades!$N$8)*POWER(Upgrades!$O$8,G99)))*(IF(Upgrades!$T$6="Stellar Coupling",POWER(Upgrades!$U$6,E99),1)*IF(Upgrades!$T$7="Stellar Coupling",POWER(Upgrades!$U$7,F99),1)*IF(Upgrades!$T$9="Stellar Coupling",POWER(Upgrades!$U$9,H99),1)*IF(Upgrades!$T$10="Stellar Coupling",POWER(Upgrades!$U$10,I99),1)*IF(Upgrades!$T$11="Stellar Coupling",POWER(Upgrades!$U$11,J99),1)*IF(Upgrades!$T$12="Stellar Coupling",POWER(Upgrades!$U$12,K99),1))+(IF(H99=0,0,(Upgrades!$M$9+H99*Upgrades!$N$9)*POWER(Upgrades!$O$9,H99)))*(IF(Upgrades!$T$6="Magnetosphere",POWER(Upgrades!$U$6,E99),1)*IF(Upgrades!$T$7="Magnetosphere",POWER(Upgrades!$U$7,F99),1)*IF(Upgrades!$T$8="Magnetosphere",POWER(Upgrades!$U$8,G99),1)*IF(Upgrades!$T$10="Magnetosphere",POWER(Upgrades!$U$10,I99),1)*IF(Upgrades!$T$11="Magnetosphere",POWER(Upgrades!$U$11,J99),1)*IF(Upgrades!$T$12="Magnetosphere",POWER(Upgrades!$U$12,K99),1))+(IF(I99=0,0,(Upgrades!$M$10+I99*Upgrades!$N$10)*POWER(Upgrades!$O$10,I99)))*(IF(Upgrades!$T$6="Orbital Resonance",POWER(Upgrades!$U$6,E99),1)*IF(Upgrades!$T$7="Orbital Resonance",POWER(Upgrades!$U$7,F99),1)*IF(Upgrades!$T$8="Orbital Resonance",POWER(Upgrades!$U$8,G99),1)*IF(Upgrades!$T$9="Orbital Resonance",POWER(Upgrades!$U$9,H99),1)*IF(Upgrades!$T$11="Orbital Resonance",POWER(Upgrades!$U$11,J99),1)*IF(Upgrades!$T$12="Orbital Resonance",POWER(Upgrades!$U$12,K99),1))+(IF(J99=0,0,(Upgrades!$M$11+J99*Upgrades!$N$11)*POWER(Upgrades!$O$11,J99)))*(IF(Upgrades!$T$6="Heliopause",POWER(Upgrades!$U$6,E99),1)*IF(Upgrades!$T$7="Heliopause",POWER(Upgrades!$U$7,F99),1)*IF(Upgrades!$T$8="Heliopause",POWER(Upgrades!$U$8,G99),1)*IF(Upgrades!$T$9="Heliopause",POWER(Upgrades!$U$9,H99),1)*IF(Upgrades!$T$10="Heliopause",POWER(Upgrades!$U$10,I99),1)*IF(Upgrades!$T$12="Heliopause",POWER(Upgrades!$U$12,K99),1))+(IF(K99=0,0,(Upgrades!$M$12+K99*Upgrades!$N$12)*POWER(Upgrades!$O$12,K99)))*(IF(Upgrades!$T$6="First Photons",POWER(Upgrades!$U$6,E99),1)*IF(Upgrades!$T$7="First Photons",POWER(Upgrades!$U$7,F99),1)*IF(Upgrades!$T$8="First Photons",POWER(Upgrades!$U$8,G99),1)*IF(Upgrades!$T$9="First Photons",POWER(Upgrades!$U$9,H99),1)*IF(Upgrades!$T$10="First Photons",POWER(Upgrades!$U$10,I99),1)*IF(Upgrades!$T$11="First Photons",POWER(Upgrades!$U$11,J99),1)))*POWER(Upgrades!$R$6,E99)*POWER(Upgrades!$R$7,F99)*POWER(Upgrades!$R$8,G99)*POWER(Upgrades!$R$9,H99)*POWER(Upgrades!$R$10,I99)*POWER(Upgrades!$R$11,J99)*POWER(Upgrades!$R$12,K99)</f>
        <v>0</v>
      </c>
      <c r="P99" s="27" t="n">
        <f aca="false">IF(L99=1,0,M99*Parameters!$B$10/60*Parameters!$B$11*10)</f>
        <v>0</v>
      </c>
      <c r="Q99" s="27" t="n">
        <f aca="false">IF(L99=1,0,O99*M99*10)</f>
        <v>0</v>
      </c>
      <c r="R99" s="27" t="n">
        <f aca="false">IF(L99=1,0,N99*10)</f>
        <v>0</v>
      </c>
      <c r="S99" s="27" t="n">
        <f aca="false">P99+Q99+R99</f>
        <v>0</v>
      </c>
      <c r="T99" s="21" t="n">
        <f aca="false">C99+S99</f>
        <v>18.6730249835055</v>
      </c>
      <c r="U99" s="34" t="str">
        <f aca="false">AX99</f>
        <v/>
      </c>
      <c r="V99" s="21" t="n">
        <f aca="false">IF(U99="",0,IF(U99="transition",0,IF(U99="SW",AG99,IF(U99="AB",AH99,IF(U99="SC",AI99,IF(U99="Mag",AJ99,IF(U99="OR",AK99,IF(U99="HP",AL99,IF(U99="FP",AM99,0)))))))))</f>
        <v>0</v>
      </c>
      <c r="W99" s="27" t="n">
        <f aca="false">IF(U99="OR",Upgrades!$F$10,IF(U99="HP",Upgrades!$F$11,IF(U99="transition",-Parameters!$B$18,0)))</f>
        <v>0</v>
      </c>
      <c r="X99" s="21" t="n">
        <f aca="false">T99-V99</f>
        <v>18.6730249835055</v>
      </c>
      <c r="Y99" s="30" t="n">
        <f aca="false">M99*Parameters!$B$10/60*Parameters!$B$11+O99*M99+N99</f>
        <v>20.55</v>
      </c>
      <c r="Z99" s="35" t="str">
        <f aca="false">IF(U99="transition","→ Tier 2 (Stellar Neighborhood)",IF(U99="FP","First Photons — light begins, system quickens",IF(U99="HP","Heliopause acquired",IF(U99="OR","Orbital Resonance — passive multiplier active",IF(AND(AO99=1,L99=0,AN99&lt;&gt;1),"Cohesion ready (waiting on completionist upgrades)","")))))</f>
        <v/>
      </c>
      <c r="AA99" s="27" t="n">
        <f aca="false">(IF(E99=0,0,(Upgrades!$G$6+E99*Upgrades!$H$6)*POWER(Upgrades!$I$6,E99)))*(IF(Upgrades!$T$7="Solar Wind",POWER(Upgrades!$U$7,F99),1)*IF(Upgrades!$T$8="Solar Wind",POWER(Upgrades!$U$8,G99),1)*IF(Upgrades!$T$9="Solar Wind",POWER(Upgrades!$U$9,H99),1)*IF(Upgrades!$T$10="Solar Wind",POWER(Upgrades!$U$10,I99),1)*IF(Upgrades!$T$11="Solar Wind",POWER(Upgrades!$U$11,J99),1)*IF(Upgrades!$T$12="Solar Wind",POWER(Upgrades!$U$12,K99),1))*POWER(Upgrades!$P$6,E99)*POWER(Upgrades!$P$7,F99)*POWER(Upgrades!$P$8,G99)*POWER(Upgrades!$P$9,H99)*POWER(Upgrades!$P$10,I99)*POWER(Upgrades!$P$11,J99)*POWER(Upgrades!$P$12,K99)*60</f>
        <v>72</v>
      </c>
      <c r="AB99" s="27" t="n">
        <f aca="false">(IF(F99=0,0,(Upgrades!$G$7+F99*Upgrades!$H$7)*POWER(Upgrades!$I$7,F99)))*(IF(Upgrades!$T$6="Asteroid Belt",POWER(Upgrades!$U$6,E99),1)*IF(Upgrades!$T$8="Asteroid Belt",POWER(Upgrades!$U$8,G99),1)*IF(Upgrades!$T$9="Asteroid Belt",POWER(Upgrades!$U$9,H99),1)*IF(Upgrades!$T$10="Asteroid Belt",POWER(Upgrades!$U$10,I99),1)*IF(Upgrades!$T$11="Asteroid Belt",POWER(Upgrades!$U$11,J99),1)*IF(Upgrades!$T$12="Asteroid Belt",POWER(Upgrades!$U$12,K99),1))*POWER(Upgrades!$P$6,E99)*POWER(Upgrades!$P$7,F99)*POWER(Upgrades!$P$8,G99)*POWER(Upgrades!$P$9,H99)*POWER(Upgrades!$P$10,I99)*POWER(Upgrades!$P$11,J99)*POWER(Upgrades!$P$12,K99)*60</f>
        <v>150</v>
      </c>
      <c r="AC99" s="27" t="n">
        <f aca="false">(IF(G99=0,0,(Upgrades!$J$8+G99*Upgrades!$K$8)*POWER(Upgrades!$L$8,G99)))*(IF(Upgrades!$T$6="Stellar Coupling",POWER(Upgrades!$U$6,E99),1)*IF(Upgrades!$T$7="Stellar Coupling",POWER(Upgrades!$U$7,F99),1)*IF(Upgrades!$T$9="Stellar Coupling",POWER(Upgrades!$U$9,H99),1)*IF(Upgrades!$T$10="Stellar Coupling",POWER(Upgrades!$U$10,I99),1)*IF(Upgrades!$T$11="Stellar Coupling",POWER(Upgrades!$U$11,J99),1)*IF(Upgrades!$T$12="Stellar Coupling",POWER(Upgrades!$U$12,K99),1))*POWER(Upgrades!$Q$6,E99)*POWER(Upgrades!$Q$7,F99)*POWER(Upgrades!$Q$8,G99)*POWER(Upgrades!$Q$9,H99)*POWER(Upgrades!$Q$10,I99)*POWER(Upgrades!$Q$11,J99)*POWER(Upgrades!$Q$12,K99)*Parameters!$B$10*Parameters!$B$11</f>
        <v>441</v>
      </c>
      <c r="AD99" s="27" t="n">
        <f aca="false">(IF(H99=0,0,(Upgrades!$G$9+H99*Upgrades!$H$9)*POWER(Upgrades!$I$9,H99)))*(IF(Upgrades!$T$6="Magnetosphere",POWER(Upgrades!$U$6,E99),1)*IF(Upgrades!$T$7="Magnetosphere",POWER(Upgrades!$U$7,F99),1)*IF(Upgrades!$T$8="Magnetosphere",POWER(Upgrades!$U$8,G99),1)*IF(Upgrades!$T$10="Magnetosphere",POWER(Upgrades!$U$10,I99),1)*IF(Upgrades!$T$11="Magnetosphere",POWER(Upgrades!$U$11,J99),1)*IF(Upgrades!$T$12="Magnetosphere",POWER(Upgrades!$U$12,K99),1))*POWER(Upgrades!$P$6,E99)*POWER(Upgrades!$P$7,F99)*POWER(Upgrades!$P$8,G99)*POWER(Upgrades!$P$9,H99)*POWER(Upgrades!$P$10,I99)*POWER(Upgrades!$P$11,J99)*POWER(Upgrades!$P$12,K99)*60</f>
        <v>375</v>
      </c>
      <c r="AE99" s="27" t="n">
        <f aca="false">(IF(K99=0,0,(Upgrades!$G$12+K99*Upgrades!$H$12)*POWER(Upgrades!$I$12,K99)))*(IF(Upgrades!$T$6="First Photons",POWER(Upgrades!$U$6,E99),1)*IF(Upgrades!$T$7="First Photons",POWER(Upgrades!$U$7,F99),1)*IF(Upgrades!$T$8="First Photons",POWER(Upgrades!$U$8,G99),1)*IF(Upgrades!$T$9="First Photons",POWER(Upgrades!$U$9,H99),1)*IF(Upgrades!$T$10="First Photons",POWER(Upgrades!$U$10,I99),1)*IF(Upgrades!$T$11="First Photons",POWER(Upgrades!$U$11,J99),1))*POWER(Upgrades!$P$6,E99)*POWER(Upgrades!$P$7,F99)*POWER(Upgrades!$P$8,G99)*POWER(Upgrades!$P$9,H99)*POWER(Upgrades!$P$10,I99)*POWER(Upgrades!$P$11,J99)*POWER(Upgrades!$P$12,K99)*60</f>
        <v>75</v>
      </c>
      <c r="AF99" s="27" t="n">
        <f aca="false">Parameters!$B$9*POWER(Upgrades!$Q$6,E99)*POWER(Upgrades!$Q$7,F99)*POWER(Upgrades!$Q$8,G99)*POWER(Upgrades!$Q$9,H99)*POWER(Upgrades!$Q$10,I99)*POWER(Upgrades!$Q$11,J99)*POWER(Upgrades!$Q$12,K99)*(Parameters!$B$10*Parameters!$B$11+O99*60)</f>
        <v>120</v>
      </c>
      <c r="AG99" s="21" t="n">
        <f aca="false">IF(E99&gt;=Upgrades!$E$6,"",Upgrades!$C$6*POWER(Upgrades!$D$6,E99))</f>
        <v>37.4517507383159</v>
      </c>
      <c r="AH99" s="21" t="n">
        <f aca="false">IF(F99&gt;=Upgrades!$E$7,"",Upgrades!$C$7*POWER(Upgrades!$D$7,F99))</f>
        <v>80.9111547141581</v>
      </c>
      <c r="AI99" s="21" t="n">
        <f aca="false">IF(G99&gt;=Upgrades!$E$8,"",Upgrades!$C$8*POWER(Upgrades!$D$8,G99))</f>
        <v>231.9097088</v>
      </c>
      <c r="AJ99" s="21" t="str">
        <f aca="false">IF(H99&gt;=Upgrades!$E$9,"",Upgrades!$C$9*POWER(Upgrades!$D$9,H99))</f>
        <v/>
      </c>
      <c r="AK99" s="21" t="str">
        <f aca="false">IF(I99&gt;=Upgrades!$E$10,"",Upgrades!$C$10*POWER(Upgrades!$D$10,I99))</f>
        <v/>
      </c>
      <c r="AL99" s="21" t="str">
        <f aca="false">IF(J99&gt;=Upgrades!$E$11,"",Upgrades!$C$11*POWER(Upgrades!$D$11,J99))</f>
        <v/>
      </c>
      <c r="AM99" s="21" t="str">
        <f aca="false">IF(K99&gt;=Upgrades!$E$12,"",Upgrades!$C$12*POWER(Upgrades!$D$12,K99))</f>
        <v/>
      </c>
      <c r="AN99" s="26" t="str">
        <f aca="false">IF(AND(D99&gt;=Parameters!$B$18,(H99&gt;=Upgrades!$E$9)*(K99&gt;=Upgrades!$E$12)=1,L99=0),1,"")</f>
        <v/>
      </c>
      <c r="AO99" s="26" t="str">
        <f aca="false">IF(AND(D99&gt;=Parameters!$B$18,L99=0),1,"")</f>
        <v/>
      </c>
      <c r="AP99" s="21" t="n">
        <f aca="false">MIN(IF(ISNUMBER(AK99),AK99,9000000000000000),IF(ISNUMBER(AL99),AL99,9000000000000000),IF(ISNUMBER(AM99),AM99,9000000000000000))</f>
        <v>9000000000000000</v>
      </c>
      <c r="AQ99" s="21" t="n">
        <f aca="false">MIN(IF(ISNUMBER(AG99),AG99,9000000000000000),IF(ISNUMBER(AH99),AH99,9000000000000000),IF(ISNUMBER(AI99),AI99,9000000000000000),IF(ISNUMBER(AJ99),AJ99,9000000000000000))</f>
        <v>37.4517507383159</v>
      </c>
      <c r="AR99" s="32" t="b">
        <f aca="false">IF(AW99&gt;Parameters!$B$21*(MAX(IF(AND(NOT(AND(AO99=1,AN99&lt;&gt;1)),ISNUMBER(AG99),AG99&lt;=T99),AS99,0),IF(AND(NOT(AND(AO99=1,AN99&lt;&gt;1)),ISNUMBER(AH99),AH99&lt;=T99),AT99,0),IF(AND(NOT(AND(AO99=1,AN99&lt;&gt;1)),ISNUMBER(AI99),AI99&lt;=T99),AU99,0),IF(AND(ISNUMBER(AJ99),AJ99&lt;=T99),AV99,0))),TRUE(),FALSE())</f>
        <v>1</v>
      </c>
      <c r="AS99" s="33" t="n">
        <f aca="false">IFERROR(Upgrades!$H$6*(POWER(Upgrades!$P$6,E99)*POWER(Upgrades!$P$7,F99)*POWER(Upgrades!$P$8,G99)*POWER(Upgrades!$P$9,H99)*POWER(Upgrades!$P$10,I99)*POWER(Upgrades!$P$11,J99)*POWER(Upgrades!$P$12,K99))*(IF(Upgrades!$T$7="Solar Wind",POWER(Upgrades!$U$7,F99),1)*IF(Upgrades!$T$8="Solar Wind",POWER(Upgrades!$U$8,G99),1)*IF(Upgrades!$T$9="Solar Wind",POWER(Upgrades!$U$9,H99),1)*IF(Upgrades!$T$10="Solar Wind",POWER(Upgrades!$U$10,I99),1)*IF(Upgrades!$T$11="Solar Wind",POWER(Upgrades!$U$11,J99),1)*IF(Upgrades!$T$12="Solar Wind",POWER(Upgrades!$U$12,K99),1))/AG99,0)</f>
        <v>0.0026701021455238</v>
      </c>
      <c r="AT99" s="33" t="n">
        <f aca="false">IFERROR(Upgrades!$H$7*(POWER(Upgrades!$P$6,E99)*POWER(Upgrades!$P$7,F99)*POWER(Upgrades!$P$8,G99)*POWER(Upgrades!$P$9,H99)*POWER(Upgrades!$P$10,I99)*POWER(Upgrades!$P$11,J99)*POWER(Upgrades!$P$12,K99))*(IF(Upgrades!$T$6="Asteroid Belt",POWER(Upgrades!$U$6,E99),1)*IF(Upgrades!$T$8="Asteroid Belt",POWER(Upgrades!$U$8,G99),1)*IF(Upgrades!$T$9="Asteroid Belt",POWER(Upgrades!$U$9,H99),1)*IF(Upgrades!$T$10="Asteroid Belt",POWER(Upgrades!$U$10,I99),1)*IF(Upgrades!$T$11="Asteroid Belt",POWER(Upgrades!$U$11,J99),1)*IF(Upgrades!$T$12="Asteroid Belt",POWER(Upgrades!$U$12,K99),1))/AH99,0)</f>
        <v>0.00308980882652332</v>
      </c>
      <c r="AU99" s="33" t="n">
        <f aca="false">IFERROR(Upgrades!$K$8*(POWER(Upgrades!$Q$6,E99)*POWER(Upgrades!$Q$7,F99)*POWER(Upgrades!$Q$8,G99)*POWER(Upgrades!$Q$9,H99)*POWER(Upgrades!$Q$10,I99)*POWER(Upgrades!$Q$11,J99)*POWER(Upgrades!$Q$12,K99))*(IF(Upgrades!$T$6="Stellar Coupling",POWER(Upgrades!$U$6,E99),1)*IF(Upgrades!$T$7="Stellar Coupling",POWER(Upgrades!$U$7,F99),1)*IF(Upgrades!$T$9="Stellar Coupling",POWER(Upgrades!$U$9,H99),1)*IF(Upgrades!$T$10="Stellar Coupling",POWER(Upgrades!$U$10,I99),1)*IF(Upgrades!$T$11="Stellar Coupling",POWER(Upgrades!$U$11,J99),1)*IF(Upgrades!$T$12="Stellar Coupling",POWER(Upgrades!$U$12,K99),1))*Parameters!$B$10*Parameters!$B$11/60/AI99,0)</f>
        <v>0.00452762415783776</v>
      </c>
      <c r="AV99" s="33" t="n">
        <f aca="false">IFERROR(Upgrades!$H$9*(POWER(Upgrades!$P$6,E99)*POWER(Upgrades!$P$7,F99)*POWER(Upgrades!$P$8,G99)*POWER(Upgrades!$P$9,H99)*POWER(Upgrades!$P$10,I99)*POWER(Upgrades!$P$11,J99)*POWER(Upgrades!$P$12,K99))*(IF(Upgrades!$T$6="Magnetosphere",POWER(Upgrades!$U$6,E99),1)*IF(Upgrades!$T$7="Magnetosphere",POWER(Upgrades!$U$7,F99),1)*IF(Upgrades!$T$8="Magnetosphere",POWER(Upgrades!$U$8,G99),1)*IF(Upgrades!$T$10="Magnetosphere",POWER(Upgrades!$U$10,I99),1)*IF(Upgrades!$T$11="Magnetosphere",POWER(Upgrades!$U$11,J99),1)*IF(Upgrades!$T$12="Magnetosphere",POWER(Upgrades!$U$12,K99),1))/AJ99,0)</f>
        <v>0</v>
      </c>
      <c r="AW99" s="33" t="n">
        <f aca="false">MAX(IF(I99&gt;0,0,IFERROR(0.25*N99/Upgrades!$C$10,0)),IF(J99&gt;0,0,IFERROR(0.5*((IF(G99=0,0,(Upgrades!$J$8+G99*Upgrades!$K$8)*POWER(Upgrades!$L$8,G99)))*(IF(Upgrades!$T$6="Stellar Coupling",POWER(Upgrades!$U$6,E99),1)*IF(Upgrades!$T$7="Stellar Coupling",POWER(Upgrades!$U$7,F99),1)*IF(Upgrades!$T$9="Stellar Coupling",POWER(Upgrades!$U$9,H99),1)*IF(Upgrades!$T$10="Stellar Coupling",POWER(Upgrades!$U$10,I99),1)*IF(Upgrades!$T$11="Stellar Coupling",POWER(Upgrades!$U$11,J99),1)*IF(Upgrades!$T$12="Stellar Coupling",POWER(Upgrades!$U$12,K99),1))*(POWER(Upgrades!$Q$6,E99)*POWER(Upgrades!$Q$7,F99)*POWER(Upgrades!$Q$8,G99)*POWER(Upgrades!$Q$9,H99)*POWER(Upgrades!$Q$10,I99)*POWER(Upgrades!$Q$11,J99)*POWER(Upgrades!$Q$12,K99))*Parameters!$B$10*Parameters!$B$11/60)/Upgrades!$C$11,0)),IF(K99&gt;0,0,IFERROR((1*(POWER(Upgrades!$P$6,E99)*POWER(Upgrades!$P$7,F99)*POWER(Upgrades!$P$8,G99)*POWER(Upgrades!$P$9,H99)*POWER(Upgrades!$P$10,I99)*POWER(Upgrades!$P$11,J99)*POWER(Upgrades!$P$12,K99))+0.2*M99*Parameters!$B$10*Parameters!$B$11/60)/Upgrades!$C$12,0)),IF(AND(ISNUMBER(AG99),AG99&gt;T99),AS99,0),IF(AND(ISNUMBER(AH99),AH99&gt;T99),AT99,0),IF(AND(ISNUMBER(AI99),AI99&gt;T99),AU99,0),IF(AND(ISNUMBER(AJ99),AJ99&gt;T99),AV99,0))</f>
        <v>0.00452762415783776</v>
      </c>
      <c r="AX99" s="29" t="str">
        <f aca="false">IF(AN99=1,"transition",IF(MIN(IF(AND(I99=0,ISNUMBER(AK99),AK99&lt;=T99),AK99,9000000000000000),IF(AND(J99=0,ISNUMBER(AL99),AL99&lt;=T99),AL99,9000000000000000),IF(AND(K99=0,ISNUMBER(AM99),AM99&lt;=T99),AM99,9000000000000000))&lt;9000000000000000,IF(AND(AND(I99=0,ISNUMBER(AK99),AK99&lt;=T99),AK99=MIN(IF(AND(I99=0,ISNUMBER(AK99),AK99&lt;=T99),AK99,9000000000000000),IF(AND(J99=0,ISNUMBER(AL99),AL99&lt;=T99),AL99,9000000000000000),IF(AND(K99=0,ISNUMBER(AM99),AM99&lt;=T99),AM99,9000000000000000))),"OR",IF(AND(AND(J99=0,ISNUMBER(AL99),AL99&lt;=T99),AL99=MIN(IF(AND(I99=0,ISNUMBER(AK99),AK99&lt;=T99),AK99,9000000000000000),IF(AND(J99=0,ISNUMBER(AL99),AL99&lt;=T99),AL99,9000000000000000),IF(AND(K99=0,ISNUMBER(AM99),AM99&lt;=T99),AM99,9000000000000000))),"HP","FP")),IF(AR99=TRUE(),"",IF(MAX(IF(AND(NOT(AND(AO99=1,AN99&lt;&gt;1)),ISNUMBER(AG99),AG99&lt;=T99),AS99,0),IF(AND(NOT(AND(AO99=1,AN99&lt;&gt;1)),ISNUMBER(AH99),AH99&lt;=T99),AT99,0),IF(AND(NOT(AND(AO99=1,AN99&lt;&gt;1)),ISNUMBER(AI99),AI99&lt;=T99),AU99,0),IF(AND(ISNUMBER(AJ99),AJ99&lt;=T99),AV99,0))&lt;=0,"",IF(AND(IF(AND(NOT(AND(AO99=1,AN99&lt;&gt;1)),ISNUMBER(AG99),AG99&lt;=T99),AS99,0)&gt;0,IF(AND(NOT(AND(AO99=1,AN99&lt;&gt;1)),ISNUMBER(AG99),AG99&lt;=T99),AS99,0)=MAX(IF(AND(NOT(AND(AO99=1,AN99&lt;&gt;1)),ISNUMBER(AG99),AG99&lt;=T99),AS99,0),IF(AND(NOT(AND(AO99=1,AN99&lt;&gt;1)),ISNUMBER(AH99),AH99&lt;=T99),AT99,0),IF(AND(NOT(AND(AO99=1,AN99&lt;&gt;1)),ISNUMBER(AI99),AI99&lt;=T99),AU99,0),IF(AND(ISNUMBER(AJ99),AJ99&lt;=T99),AV99,0))),"SW",IF(AND(IF(AND(NOT(AND(AO99=1,AN99&lt;&gt;1)),ISNUMBER(AH99),AH99&lt;=T99),AT99,0)&gt;0,IF(AND(NOT(AND(AO99=1,AN99&lt;&gt;1)),ISNUMBER(AH99),AH99&lt;=T99),AT99,0)=MAX(IF(AND(NOT(AND(AO99=1,AN99&lt;&gt;1)),ISNUMBER(AG99),AG99&lt;=T99),AS99,0),IF(AND(NOT(AND(AO99=1,AN99&lt;&gt;1)),ISNUMBER(AH99),AH99&lt;=T99),AT99,0),IF(AND(NOT(AND(AO99=1,AN99&lt;&gt;1)),ISNUMBER(AI99),AI99&lt;=T99),AU99,0),IF(AND(ISNUMBER(AJ99),AJ99&lt;=T99),AV99,0))),"AB",IF(AND(IF(AND(NOT(AND(AO99=1,AN99&lt;&gt;1)),ISNUMBER(AI99),AI99&lt;=T99),AU99,0)&gt;0,IF(AND(NOT(AND(AO99=1,AN99&lt;&gt;1)),ISNUMBER(AI99),AI99&lt;=T99),AU99,0)=MAX(IF(AND(NOT(AND(AO99=1,AN99&lt;&gt;1)),ISNUMBER(AG99),AG99&lt;=T99),AS99,0),IF(AND(NOT(AND(AO99=1,AN99&lt;&gt;1)),ISNUMBER(AH99),AH99&lt;=T99),AT99,0),IF(AND(NOT(AND(AO99=1,AN99&lt;&gt;1)),ISNUMBER(AI99),AI99&lt;=T99),AU99,0),IF(AND(ISNUMBER(AJ99),AJ99&lt;=T99),AV99,0))),"SC","Mag")))))))</f>
        <v/>
      </c>
    </row>
    <row r="100" customFormat="false" ht="15" hidden="false" customHeight="false" outlineLevel="0" collapsed="false">
      <c r="A100" s="26" t="n">
        <v>95</v>
      </c>
      <c r="B100" s="27" t="n">
        <f aca="false">A100*10/60</f>
        <v>15.8333333333333</v>
      </c>
      <c r="C100" s="21" t="n">
        <f aca="false">X99</f>
        <v>18.6730249835055</v>
      </c>
      <c r="D100" s="27" t="n">
        <f aca="false">D99+W99</f>
        <v>0</v>
      </c>
      <c r="E100" s="26" t="n">
        <f aca="false">E99+IF(U99="SW",1,0)</f>
        <v>12</v>
      </c>
      <c r="F100" s="26" t="n">
        <f aca="false">F99+IF(U99="AB",1,0)</f>
        <v>10</v>
      </c>
      <c r="G100" s="26" t="n">
        <f aca="false">G99+IF(U99="SC",1,0)</f>
        <v>7</v>
      </c>
      <c r="H100" s="26" t="n">
        <f aca="false">H99+IF(U99="Mag",1,0)</f>
        <v>5</v>
      </c>
      <c r="I100" s="26" t="n">
        <f aca="false">MAX(I99,IF(U99="OR",1,0))</f>
        <v>1</v>
      </c>
      <c r="J100" s="26" t="n">
        <f aca="false">MAX(J99,IF(U99="HP",1,0))</f>
        <v>1</v>
      </c>
      <c r="K100" s="26" t="n">
        <f aca="false">MAX(K99,IF(U99="FP",1,0))</f>
        <v>1</v>
      </c>
      <c r="L100" s="26" t="n">
        <f aca="false">MAX(L99,IF(U99="transition",1,0))</f>
        <v>1</v>
      </c>
      <c r="M100" s="28" t="n">
        <f aca="false">(Parameters!$B$9+(IF(E100=0,0,(Upgrades!$J$6+E100*Upgrades!$K$6)*POWER(Upgrades!$L$6,E100)))*(IF(Upgrades!$T$7="Solar Wind",POWER(Upgrades!$U$7,F100),1)*IF(Upgrades!$T$8="Solar Wind",POWER(Upgrades!$U$8,G100),1)*IF(Upgrades!$T$9="Solar Wind",POWER(Upgrades!$U$9,H100),1)*IF(Upgrades!$T$10="Solar Wind",POWER(Upgrades!$U$10,I100),1)*IF(Upgrades!$T$11="Solar Wind",POWER(Upgrades!$U$11,J100),1)*IF(Upgrades!$T$12="Solar Wind",POWER(Upgrades!$U$12,K100),1))+(IF(F100=0,0,(Upgrades!$J$7+F100*Upgrades!$K$7)*POWER(Upgrades!$L$7,F100)))*(IF(Upgrades!$T$6="Asteroid Belt",POWER(Upgrades!$U$6,E100),1)*IF(Upgrades!$T$8="Asteroid Belt",POWER(Upgrades!$U$8,G100),1)*IF(Upgrades!$T$9="Asteroid Belt",POWER(Upgrades!$U$9,H100),1)*IF(Upgrades!$T$10="Asteroid Belt",POWER(Upgrades!$U$10,I100),1)*IF(Upgrades!$T$11="Asteroid Belt",POWER(Upgrades!$U$11,J100),1)*IF(Upgrades!$T$12="Asteroid Belt",POWER(Upgrades!$U$12,K100),1))+(IF(G100=0,0,(Upgrades!$J$8+G100*Upgrades!$K$8)*POWER(Upgrades!$L$8,G100)))*(IF(Upgrades!$T$6="Stellar Coupling",POWER(Upgrades!$U$6,E100),1)*IF(Upgrades!$T$7="Stellar Coupling",POWER(Upgrades!$U$7,F100),1)*IF(Upgrades!$T$9="Stellar Coupling",POWER(Upgrades!$U$9,H100),1)*IF(Upgrades!$T$10="Stellar Coupling",POWER(Upgrades!$U$10,I100),1)*IF(Upgrades!$T$11="Stellar Coupling",POWER(Upgrades!$U$11,J100),1)*IF(Upgrades!$T$12="Stellar Coupling",POWER(Upgrades!$U$12,K100),1))+(IF(H100=0,0,(Upgrades!$J$9+H100*Upgrades!$K$9)*POWER(Upgrades!$L$9,H100)))*(IF(Upgrades!$T$6="Magnetosphere",POWER(Upgrades!$U$6,E100),1)*IF(Upgrades!$T$7="Magnetosphere",POWER(Upgrades!$U$7,F100),1)*IF(Upgrades!$T$8="Magnetosphere",POWER(Upgrades!$U$8,G100),1)*IF(Upgrades!$T$10="Magnetosphere",POWER(Upgrades!$U$10,I100),1)*IF(Upgrades!$T$11="Magnetosphere",POWER(Upgrades!$U$11,J100),1)*IF(Upgrades!$T$12="Magnetosphere",POWER(Upgrades!$U$12,K100),1))+(IF(I100=0,0,(Upgrades!$J$10+I100*Upgrades!$K$10)*POWER(Upgrades!$L$10,I100)))*(IF(Upgrades!$T$6="Orbital Resonance",POWER(Upgrades!$U$6,E100),1)*IF(Upgrades!$T$7="Orbital Resonance",POWER(Upgrades!$U$7,F100),1)*IF(Upgrades!$T$8="Orbital Resonance",POWER(Upgrades!$U$8,G100),1)*IF(Upgrades!$T$9="Orbital Resonance",POWER(Upgrades!$U$9,H100),1)*IF(Upgrades!$T$11="Orbital Resonance",POWER(Upgrades!$U$11,J100),1)*IF(Upgrades!$T$12="Orbital Resonance",POWER(Upgrades!$U$12,K100),1))+(IF(J100=0,0,(Upgrades!$J$11+J100*Upgrades!$K$11)*POWER(Upgrades!$L$11,J100)))*(IF(Upgrades!$T$6="Heliopause",POWER(Upgrades!$U$6,E100),1)*IF(Upgrades!$T$7="Heliopause",POWER(Upgrades!$U$7,F100),1)*IF(Upgrades!$T$8="Heliopause",POWER(Upgrades!$U$8,G100),1)*IF(Upgrades!$T$9="Heliopause",POWER(Upgrades!$U$9,H100),1)*IF(Upgrades!$T$10="Heliopause",POWER(Upgrades!$U$10,I100),1)*IF(Upgrades!$T$12="Heliopause",POWER(Upgrades!$U$12,K100),1))+(IF(K100=0,0,(Upgrades!$J$12+K100*Upgrades!$K$12)*POWER(Upgrades!$L$12,K100)))*(IF(Upgrades!$T$6="First Photons",POWER(Upgrades!$U$6,E100),1)*IF(Upgrades!$T$7="First Photons",POWER(Upgrades!$U$7,F100),1)*IF(Upgrades!$T$8="First Photons",POWER(Upgrades!$U$8,G100),1)*IF(Upgrades!$T$9="First Photons",POWER(Upgrades!$U$9,H100),1)*IF(Upgrades!$T$10="First Photons",POWER(Upgrades!$U$10,I100),1)*IF(Upgrades!$T$11="First Photons",POWER(Upgrades!$U$11,J100),1)))*POWER(Upgrades!$Q$6,E100)*POWER(Upgrades!$Q$7,F100)*POWER(Upgrades!$Q$8,G100)*POWER(Upgrades!$Q$9,H100)*POWER(Upgrades!$Q$10,I100)*POWER(Upgrades!$Q$11,J100)*POWER(Upgrades!$Q$12,K100)</f>
        <v>5.61</v>
      </c>
      <c r="N100" s="28" t="n">
        <f aca="false">((IF(E100=0,0,(Upgrades!$G$6+E100*Upgrades!$H$6)*POWER(Upgrades!$I$6,E100)))*(IF(Upgrades!$T$7="Solar Wind",POWER(Upgrades!$U$7,F100),1)*IF(Upgrades!$T$8="Solar Wind",POWER(Upgrades!$U$8,G100),1)*IF(Upgrades!$T$9="Solar Wind",POWER(Upgrades!$U$9,H100),1)*IF(Upgrades!$T$10="Solar Wind",POWER(Upgrades!$U$10,I100),1)*IF(Upgrades!$T$11="Solar Wind",POWER(Upgrades!$U$11,J100),1)*IF(Upgrades!$T$12="Solar Wind",POWER(Upgrades!$U$12,K100),1))+(IF(F100=0,0,(Upgrades!$G$7+F100*Upgrades!$H$7)*POWER(Upgrades!$I$7,F100)))*(IF(Upgrades!$T$6="Asteroid Belt",POWER(Upgrades!$U$6,E100),1)*IF(Upgrades!$T$8="Asteroid Belt",POWER(Upgrades!$U$8,G100),1)*IF(Upgrades!$T$9="Asteroid Belt",POWER(Upgrades!$U$9,H100),1)*IF(Upgrades!$T$10="Asteroid Belt",POWER(Upgrades!$U$10,I100),1)*IF(Upgrades!$T$11="Asteroid Belt",POWER(Upgrades!$U$11,J100),1)*IF(Upgrades!$T$12="Asteroid Belt",POWER(Upgrades!$U$12,K100),1))+(IF(G100=0,0,(Upgrades!$G$8+G100*Upgrades!$H$8)*POWER(Upgrades!$I$8,G100)))*(IF(Upgrades!$T$6="Stellar Coupling",POWER(Upgrades!$U$6,E100),1)*IF(Upgrades!$T$7="Stellar Coupling",POWER(Upgrades!$U$7,F100),1)*IF(Upgrades!$T$9="Stellar Coupling",POWER(Upgrades!$U$9,H100),1)*IF(Upgrades!$T$10="Stellar Coupling",POWER(Upgrades!$U$10,I100),1)*IF(Upgrades!$T$11="Stellar Coupling",POWER(Upgrades!$U$11,J100),1)*IF(Upgrades!$T$12="Stellar Coupling",POWER(Upgrades!$U$12,K100),1))+(IF(H100=0,0,(Upgrades!$G$9+H100*Upgrades!$H$9)*POWER(Upgrades!$I$9,H100)))*(IF(Upgrades!$T$6="Magnetosphere",POWER(Upgrades!$U$6,E100),1)*IF(Upgrades!$T$7="Magnetosphere",POWER(Upgrades!$U$7,F100),1)*IF(Upgrades!$T$8="Magnetosphere",POWER(Upgrades!$U$8,G100),1)*IF(Upgrades!$T$10="Magnetosphere",POWER(Upgrades!$U$10,I100),1)*IF(Upgrades!$T$11="Magnetosphere",POWER(Upgrades!$U$11,J100),1)*IF(Upgrades!$T$12="Magnetosphere",POWER(Upgrades!$U$12,K100),1))+(IF(I100=0,0,(Upgrades!$G$10+I100*Upgrades!$H$10)*POWER(Upgrades!$I$10,I100)))*(IF(Upgrades!$T$6="Orbital Resonance",POWER(Upgrades!$U$6,E100),1)*IF(Upgrades!$T$7="Orbital Resonance",POWER(Upgrades!$U$7,F100),1)*IF(Upgrades!$T$8="Orbital Resonance",POWER(Upgrades!$U$8,G100),1)*IF(Upgrades!$T$9="Orbital Resonance",POWER(Upgrades!$U$9,H100),1)*IF(Upgrades!$T$11="Orbital Resonance",POWER(Upgrades!$U$11,J100),1)*IF(Upgrades!$T$12="Orbital Resonance",POWER(Upgrades!$U$12,K100),1))+(IF(J100=0,0,(Upgrades!$G$11+J100*Upgrades!$H$11)*POWER(Upgrades!$I$11,J100)))*(IF(Upgrades!$T$6="Heliopause",POWER(Upgrades!$U$6,E100),1)*IF(Upgrades!$T$7="Heliopause",POWER(Upgrades!$U$7,F100),1)*IF(Upgrades!$T$8="Heliopause",POWER(Upgrades!$U$8,G100),1)*IF(Upgrades!$T$9="Heliopause",POWER(Upgrades!$U$9,H100),1)*IF(Upgrades!$T$10="Heliopause",POWER(Upgrades!$U$10,I100),1)*IF(Upgrades!$T$12="Heliopause",POWER(Upgrades!$U$12,K100),1))+(IF(K100=0,0,(Upgrades!$G$12+K100*Upgrades!$H$12)*POWER(Upgrades!$I$12,K100)))*(IF(Upgrades!$T$6="First Photons",POWER(Upgrades!$U$6,E100),1)*IF(Upgrades!$T$7="First Photons",POWER(Upgrades!$U$7,F100),1)*IF(Upgrades!$T$8="First Photons",POWER(Upgrades!$U$8,G100),1)*IF(Upgrades!$T$9="First Photons",POWER(Upgrades!$U$9,H100),1)*IF(Upgrades!$T$10="First Photons",POWER(Upgrades!$U$10,I100),1)*IF(Upgrades!$T$11="First Photons",POWER(Upgrades!$U$11,J100),1)))*POWER(Upgrades!$P$6,E100)*POWER(Upgrades!$P$7,F100)*POWER(Upgrades!$P$8,G100)*POWER(Upgrades!$P$9,H100)*POWER(Upgrades!$P$10,I100)*POWER(Upgrades!$P$11,J100)*POWER(Upgrades!$P$12,K100)</f>
        <v>11.2</v>
      </c>
      <c r="O100" s="28" t="n">
        <f aca="false">((IF(E100=0,0,(Upgrades!$M$6+E100*Upgrades!$N$6)*POWER(Upgrades!$O$6,E100)))*(IF(Upgrades!$T$7="Solar Wind",POWER(Upgrades!$U$7,F100),1)*IF(Upgrades!$T$8="Solar Wind",POWER(Upgrades!$U$8,G100),1)*IF(Upgrades!$T$9="Solar Wind",POWER(Upgrades!$U$9,H100),1)*IF(Upgrades!$T$10="Solar Wind",POWER(Upgrades!$U$10,I100),1)*IF(Upgrades!$T$11="Solar Wind",POWER(Upgrades!$U$11,J100),1)*IF(Upgrades!$T$12="Solar Wind",POWER(Upgrades!$U$12,K100),1))+(IF(F100=0,0,(Upgrades!$M$7+F100*Upgrades!$N$7)*POWER(Upgrades!$O$7,F100)))*(IF(Upgrades!$T$6="Asteroid Belt",POWER(Upgrades!$U$6,E100),1)*IF(Upgrades!$T$8="Asteroid Belt",POWER(Upgrades!$U$8,G100),1)*IF(Upgrades!$T$9="Asteroid Belt",POWER(Upgrades!$U$9,H100),1)*IF(Upgrades!$T$10="Asteroid Belt",POWER(Upgrades!$U$10,I100),1)*IF(Upgrades!$T$11="Asteroid Belt",POWER(Upgrades!$U$11,J100),1)*IF(Upgrades!$T$12="Asteroid Belt",POWER(Upgrades!$U$12,K100),1))+(IF(G100=0,0,(Upgrades!$M$8+G100*Upgrades!$N$8)*POWER(Upgrades!$O$8,G100)))*(IF(Upgrades!$T$6="Stellar Coupling",POWER(Upgrades!$U$6,E100),1)*IF(Upgrades!$T$7="Stellar Coupling",POWER(Upgrades!$U$7,F100),1)*IF(Upgrades!$T$9="Stellar Coupling",POWER(Upgrades!$U$9,H100),1)*IF(Upgrades!$T$10="Stellar Coupling",POWER(Upgrades!$U$10,I100),1)*IF(Upgrades!$T$11="Stellar Coupling",POWER(Upgrades!$U$11,J100),1)*IF(Upgrades!$T$12="Stellar Coupling",POWER(Upgrades!$U$12,K100),1))+(IF(H100=0,0,(Upgrades!$M$9+H100*Upgrades!$N$9)*POWER(Upgrades!$O$9,H100)))*(IF(Upgrades!$T$6="Magnetosphere",POWER(Upgrades!$U$6,E100),1)*IF(Upgrades!$T$7="Magnetosphere",POWER(Upgrades!$U$7,F100),1)*IF(Upgrades!$T$8="Magnetosphere",POWER(Upgrades!$U$8,G100),1)*IF(Upgrades!$T$10="Magnetosphere",POWER(Upgrades!$U$10,I100),1)*IF(Upgrades!$T$11="Magnetosphere",POWER(Upgrades!$U$11,J100),1)*IF(Upgrades!$T$12="Magnetosphere",POWER(Upgrades!$U$12,K100),1))+(IF(I100=0,0,(Upgrades!$M$10+I100*Upgrades!$N$10)*POWER(Upgrades!$O$10,I100)))*(IF(Upgrades!$T$6="Orbital Resonance",POWER(Upgrades!$U$6,E100),1)*IF(Upgrades!$T$7="Orbital Resonance",POWER(Upgrades!$U$7,F100),1)*IF(Upgrades!$T$8="Orbital Resonance",POWER(Upgrades!$U$8,G100),1)*IF(Upgrades!$T$9="Orbital Resonance",POWER(Upgrades!$U$9,H100),1)*IF(Upgrades!$T$11="Orbital Resonance",POWER(Upgrades!$U$11,J100),1)*IF(Upgrades!$T$12="Orbital Resonance",POWER(Upgrades!$U$12,K100),1))+(IF(J100=0,0,(Upgrades!$M$11+J100*Upgrades!$N$11)*POWER(Upgrades!$O$11,J100)))*(IF(Upgrades!$T$6="Heliopause",POWER(Upgrades!$U$6,E100),1)*IF(Upgrades!$T$7="Heliopause",POWER(Upgrades!$U$7,F100),1)*IF(Upgrades!$T$8="Heliopause",POWER(Upgrades!$U$8,G100),1)*IF(Upgrades!$T$9="Heliopause",POWER(Upgrades!$U$9,H100),1)*IF(Upgrades!$T$10="Heliopause",POWER(Upgrades!$U$10,I100),1)*IF(Upgrades!$T$12="Heliopause",POWER(Upgrades!$U$12,K100),1))+(IF(K100=0,0,(Upgrades!$M$12+K100*Upgrades!$N$12)*POWER(Upgrades!$O$12,K100)))*(IF(Upgrades!$T$6="First Photons",POWER(Upgrades!$U$6,E100),1)*IF(Upgrades!$T$7="First Photons",POWER(Upgrades!$U$7,F100),1)*IF(Upgrades!$T$8="First Photons",POWER(Upgrades!$U$8,G100),1)*IF(Upgrades!$T$9="First Photons",POWER(Upgrades!$U$9,H100),1)*IF(Upgrades!$T$10="First Photons",POWER(Upgrades!$U$10,I100),1)*IF(Upgrades!$T$11="First Photons",POWER(Upgrades!$U$11,J100),1)))*POWER(Upgrades!$R$6,E100)*POWER(Upgrades!$R$7,F100)*POWER(Upgrades!$R$8,G100)*POWER(Upgrades!$R$9,H100)*POWER(Upgrades!$R$10,I100)*POWER(Upgrades!$R$11,J100)*POWER(Upgrades!$R$12,K100)</f>
        <v>0</v>
      </c>
      <c r="P100" s="27" t="n">
        <f aca="false">IF(L100=1,0,M100*Parameters!$B$10/60*Parameters!$B$11*10)</f>
        <v>0</v>
      </c>
      <c r="Q100" s="27" t="n">
        <f aca="false">IF(L100=1,0,O100*M100*10)</f>
        <v>0</v>
      </c>
      <c r="R100" s="27" t="n">
        <f aca="false">IF(L100=1,0,N100*10)</f>
        <v>0</v>
      </c>
      <c r="S100" s="27" t="n">
        <f aca="false">P100+Q100+R100</f>
        <v>0</v>
      </c>
      <c r="T100" s="21" t="n">
        <f aca="false">C100+S100</f>
        <v>18.6730249835055</v>
      </c>
      <c r="U100" s="34" t="str">
        <f aca="false">AX100</f>
        <v/>
      </c>
      <c r="V100" s="21" t="n">
        <f aca="false">IF(U100="",0,IF(U100="transition",0,IF(U100="SW",AG100,IF(U100="AB",AH100,IF(U100="SC",AI100,IF(U100="Mag",AJ100,IF(U100="OR",AK100,IF(U100="HP",AL100,IF(U100="FP",AM100,0)))))))))</f>
        <v>0</v>
      </c>
      <c r="W100" s="27" t="n">
        <f aca="false">IF(U100="OR",Upgrades!$F$10,IF(U100="HP",Upgrades!$F$11,IF(U100="transition",-Parameters!$B$18,0)))</f>
        <v>0</v>
      </c>
      <c r="X100" s="21" t="n">
        <f aca="false">T100-V100</f>
        <v>18.6730249835055</v>
      </c>
      <c r="Y100" s="30" t="n">
        <f aca="false">M100*Parameters!$B$10/60*Parameters!$B$11+O100*M100+N100</f>
        <v>20.55</v>
      </c>
      <c r="Z100" s="35" t="str">
        <f aca="false">IF(U100="transition","→ Tier 2 (Stellar Neighborhood)",IF(U100="FP","First Photons — light begins, system quickens",IF(U100="HP","Heliopause acquired",IF(U100="OR","Orbital Resonance — passive multiplier active",IF(AND(AO100=1,L100=0,AN100&lt;&gt;1),"Cohesion ready (waiting on completionist upgrades)","")))))</f>
        <v/>
      </c>
      <c r="AA100" s="27" t="n">
        <f aca="false">(IF(E100=0,0,(Upgrades!$G$6+E100*Upgrades!$H$6)*POWER(Upgrades!$I$6,E100)))*(IF(Upgrades!$T$7="Solar Wind",POWER(Upgrades!$U$7,F100),1)*IF(Upgrades!$T$8="Solar Wind",POWER(Upgrades!$U$8,G100),1)*IF(Upgrades!$T$9="Solar Wind",POWER(Upgrades!$U$9,H100),1)*IF(Upgrades!$T$10="Solar Wind",POWER(Upgrades!$U$10,I100),1)*IF(Upgrades!$T$11="Solar Wind",POWER(Upgrades!$U$11,J100),1)*IF(Upgrades!$T$12="Solar Wind",POWER(Upgrades!$U$12,K100),1))*POWER(Upgrades!$P$6,E100)*POWER(Upgrades!$P$7,F100)*POWER(Upgrades!$P$8,G100)*POWER(Upgrades!$P$9,H100)*POWER(Upgrades!$P$10,I100)*POWER(Upgrades!$P$11,J100)*POWER(Upgrades!$P$12,K100)*60</f>
        <v>72</v>
      </c>
      <c r="AB100" s="27" t="n">
        <f aca="false">(IF(F100=0,0,(Upgrades!$G$7+F100*Upgrades!$H$7)*POWER(Upgrades!$I$7,F100)))*(IF(Upgrades!$T$6="Asteroid Belt",POWER(Upgrades!$U$6,E100),1)*IF(Upgrades!$T$8="Asteroid Belt",POWER(Upgrades!$U$8,G100),1)*IF(Upgrades!$T$9="Asteroid Belt",POWER(Upgrades!$U$9,H100),1)*IF(Upgrades!$T$10="Asteroid Belt",POWER(Upgrades!$U$10,I100),1)*IF(Upgrades!$T$11="Asteroid Belt",POWER(Upgrades!$U$11,J100),1)*IF(Upgrades!$T$12="Asteroid Belt",POWER(Upgrades!$U$12,K100),1))*POWER(Upgrades!$P$6,E100)*POWER(Upgrades!$P$7,F100)*POWER(Upgrades!$P$8,G100)*POWER(Upgrades!$P$9,H100)*POWER(Upgrades!$P$10,I100)*POWER(Upgrades!$P$11,J100)*POWER(Upgrades!$P$12,K100)*60</f>
        <v>150</v>
      </c>
      <c r="AC100" s="27" t="n">
        <f aca="false">(IF(G100=0,0,(Upgrades!$J$8+G100*Upgrades!$K$8)*POWER(Upgrades!$L$8,G100)))*(IF(Upgrades!$T$6="Stellar Coupling",POWER(Upgrades!$U$6,E100),1)*IF(Upgrades!$T$7="Stellar Coupling",POWER(Upgrades!$U$7,F100),1)*IF(Upgrades!$T$9="Stellar Coupling",POWER(Upgrades!$U$9,H100),1)*IF(Upgrades!$T$10="Stellar Coupling",POWER(Upgrades!$U$10,I100),1)*IF(Upgrades!$T$11="Stellar Coupling",POWER(Upgrades!$U$11,J100),1)*IF(Upgrades!$T$12="Stellar Coupling",POWER(Upgrades!$U$12,K100),1))*POWER(Upgrades!$Q$6,E100)*POWER(Upgrades!$Q$7,F100)*POWER(Upgrades!$Q$8,G100)*POWER(Upgrades!$Q$9,H100)*POWER(Upgrades!$Q$10,I100)*POWER(Upgrades!$Q$11,J100)*POWER(Upgrades!$Q$12,K100)*Parameters!$B$10*Parameters!$B$11</f>
        <v>441</v>
      </c>
      <c r="AD100" s="27" t="n">
        <f aca="false">(IF(H100=0,0,(Upgrades!$G$9+H100*Upgrades!$H$9)*POWER(Upgrades!$I$9,H100)))*(IF(Upgrades!$T$6="Magnetosphere",POWER(Upgrades!$U$6,E100),1)*IF(Upgrades!$T$7="Magnetosphere",POWER(Upgrades!$U$7,F100),1)*IF(Upgrades!$T$8="Magnetosphere",POWER(Upgrades!$U$8,G100),1)*IF(Upgrades!$T$10="Magnetosphere",POWER(Upgrades!$U$10,I100),1)*IF(Upgrades!$T$11="Magnetosphere",POWER(Upgrades!$U$11,J100),1)*IF(Upgrades!$T$12="Magnetosphere",POWER(Upgrades!$U$12,K100),1))*POWER(Upgrades!$P$6,E100)*POWER(Upgrades!$P$7,F100)*POWER(Upgrades!$P$8,G100)*POWER(Upgrades!$P$9,H100)*POWER(Upgrades!$P$10,I100)*POWER(Upgrades!$P$11,J100)*POWER(Upgrades!$P$12,K100)*60</f>
        <v>375</v>
      </c>
      <c r="AE100" s="27" t="n">
        <f aca="false">(IF(K100=0,0,(Upgrades!$G$12+K100*Upgrades!$H$12)*POWER(Upgrades!$I$12,K100)))*(IF(Upgrades!$T$6="First Photons",POWER(Upgrades!$U$6,E100),1)*IF(Upgrades!$T$7="First Photons",POWER(Upgrades!$U$7,F100),1)*IF(Upgrades!$T$8="First Photons",POWER(Upgrades!$U$8,G100),1)*IF(Upgrades!$T$9="First Photons",POWER(Upgrades!$U$9,H100),1)*IF(Upgrades!$T$10="First Photons",POWER(Upgrades!$U$10,I100),1)*IF(Upgrades!$T$11="First Photons",POWER(Upgrades!$U$11,J100),1))*POWER(Upgrades!$P$6,E100)*POWER(Upgrades!$P$7,F100)*POWER(Upgrades!$P$8,G100)*POWER(Upgrades!$P$9,H100)*POWER(Upgrades!$P$10,I100)*POWER(Upgrades!$P$11,J100)*POWER(Upgrades!$P$12,K100)*60</f>
        <v>75</v>
      </c>
      <c r="AF100" s="27" t="n">
        <f aca="false">Parameters!$B$9*POWER(Upgrades!$Q$6,E100)*POWER(Upgrades!$Q$7,F100)*POWER(Upgrades!$Q$8,G100)*POWER(Upgrades!$Q$9,H100)*POWER(Upgrades!$Q$10,I100)*POWER(Upgrades!$Q$11,J100)*POWER(Upgrades!$Q$12,K100)*(Parameters!$B$10*Parameters!$B$11+O100*60)</f>
        <v>120</v>
      </c>
      <c r="AG100" s="21" t="n">
        <f aca="false">IF(E100&gt;=Upgrades!$E$6,"",Upgrades!$C$6*POWER(Upgrades!$D$6,E100))</f>
        <v>37.4517507383159</v>
      </c>
      <c r="AH100" s="21" t="n">
        <f aca="false">IF(F100&gt;=Upgrades!$E$7,"",Upgrades!$C$7*POWER(Upgrades!$D$7,F100))</f>
        <v>80.9111547141581</v>
      </c>
      <c r="AI100" s="21" t="n">
        <f aca="false">IF(G100&gt;=Upgrades!$E$8,"",Upgrades!$C$8*POWER(Upgrades!$D$8,G100))</f>
        <v>231.9097088</v>
      </c>
      <c r="AJ100" s="21" t="str">
        <f aca="false">IF(H100&gt;=Upgrades!$E$9,"",Upgrades!$C$9*POWER(Upgrades!$D$9,H100))</f>
        <v/>
      </c>
      <c r="AK100" s="21" t="str">
        <f aca="false">IF(I100&gt;=Upgrades!$E$10,"",Upgrades!$C$10*POWER(Upgrades!$D$10,I100))</f>
        <v/>
      </c>
      <c r="AL100" s="21" t="str">
        <f aca="false">IF(J100&gt;=Upgrades!$E$11,"",Upgrades!$C$11*POWER(Upgrades!$D$11,J100))</f>
        <v/>
      </c>
      <c r="AM100" s="21" t="str">
        <f aca="false">IF(K100&gt;=Upgrades!$E$12,"",Upgrades!$C$12*POWER(Upgrades!$D$12,K100))</f>
        <v/>
      </c>
      <c r="AN100" s="26" t="str">
        <f aca="false">IF(AND(D100&gt;=Parameters!$B$18,(H100&gt;=Upgrades!$E$9)*(K100&gt;=Upgrades!$E$12)=1,L100=0),1,"")</f>
        <v/>
      </c>
      <c r="AO100" s="26" t="str">
        <f aca="false">IF(AND(D100&gt;=Parameters!$B$18,L100=0),1,"")</f>
        <v/>
      </c>
      <c r="AP100" s="21" t="n">
        <f aca="false">MIN(IF(ISNUMBER(AK100),AK100,9000000000000000),IF(ISNUMBER(AL100),AL100,9000000000000000),IF(ISNUMBER(AM100),AM100,9000000000000000))</f>
        <v>9000000000000000</v>
      </c>
      <c r="AQ100" s="21" t="n">
        <f aca="false">MIN(IF(ISNUMBER(AG100),AG100,9000000000000000),IF(ISNUMBER(AH100),AH100,9000000000000000),IF(ISNUMBER(AI100),AI100,9000000000000000),IF(ISNUMBER(AJ100),AJ100,9000000000000000))</f>
        <v>37.4517507383159</v>
      </c>
      <c r="AR100" s="32" t="b">
        <f aca="false">IF(AW100&gt;Parameters!$B$21*(MAX(IF(AND(NOT(AND(AO100=1,AN100&lt;&gt;1)),ISNUMBER(AG100),AG100&lt;=T100),AS100,0),IF(AND(NOT(AND(AO100=1,AN100&lt;&gt;1)),ISNUMBER(AH100),AH100&lt;=T100),AT100,0),IF(AND(NOT(AND(AO100=1,AN100&lt;&gt;1)),ISNUMBER(AI100),AI100&lt;=T100),AU100,0),IF(AND(ISNUMBER(AJ100),AJ100&lt;=T100),AV100,0))),TRUE(),FALSE())</f>
        <v>1</v>
      </c>
      <c r="AS100" s="33" t="n">
        <f aca="false">IFERROR(Upgrades!$H$6*(POWER(Upgrades!$P$6,E100)*POWER(Upgrades!$P$7,F100)*POWER(Upgrades!$P$8,G100)*POWER(Upgrades!$P$9,H100)*POWER(Upgrades!$P$10,I100)*POWER(Upgrades!$P$11,J100)*POWER(Upgrades!$P$12,K100))*(IF(Upgrades!$T$7="Solar Wind",POWER(Upgrades!$U$7,F100),1)*IF(Upgrades!$T$8="Solar Wind",POWER(Upgrades!$U$8,G100),1)*IF(Upgrades!$T$9="Solar Wind",POWER(Upgrades!$U$9,H100),1)*IF(Upgrades!$T$10="Solar Wind",POWER(Upgrades!$U$10,I100),1)*IF(Upgrades!$T$11="Solar Wind",POWER(Upgrades!$U$11,J100),1)*IF(Upgrades!$T$12="Solar Wind",POWER(Upgrades!$U$12,K100),1))/AG100,0)</f>
        <v>0.0026701021455238</v>
      </c>
      <c r="AT100" s="33" t="n">
        <f aca="false">IFERROR(Upgrades!$H$7*(POWER(Upgrades!$P$6,E100)*POWER(Upgrades!$P$7,F100)*POWER(Upgrades!$P$8,G100)*POWER(Upgrades!$P$9,H100)*POWER(Upgrades!$P$10,I100)*POWER(Upgrades!$P$11,J100)*POWER(Upgrades!$P$12,K100))*(IF(Upgrades!$T$6="Asteroid Belt",POWER(Upgrades!$U$6,E100),1)*IF(Upgrades!$T$8="Asteroid Belt",POWER(Upgrades!$U$8,G100),1)*IF(Upgrades!$T$9="Asteroid Belt",POWER(Upgrades!$U$9,H100),1)*IF(Upgrades!$T$10="Asteroid Belt",POWER(Upgrades!$U$10,I100),1)*IF(Upgrades!$T$11="Asteroid Belt",POWER(Upgrades!$U$11,J100),1)*IF(Upgrades!$T$12="Asteroid Belt",POWER(Upgrades!$U$12,K100),1))/AH100,0)</f>
        <v>0.00308980882652332</v>
      </c>
      <c r="AU100" s="33" t="n">
        <f aca="false">IFERROR(Upgrades!$K$8*(POWER(Upgrades!$Q$6,E100)*POWER(Upgrades!$Q$7,F100)*POWER(Upgrades!$Q$8,G100)*POWER(Upgrades!$Q$9,H100)*POWER(Upgrades!$Q$10,I100)*POWER(Upgrades!$Q$11,J100)*POWER(Upgrades!$Q$12,K100))*(IF(Upgrades!$T$6="Stellar Coupling",POWER(Upgrades!$U$6,E100),1)*IF(Upgrades!$T$7="Stellar Coupling",POWER(Upgrades!$U$7,F100),1)*IF(Upgrades!$T$9="Stellar Coupling",POWER(Upgrades!$U$9,H100),1)*IF(Upgrades!$T$10="Stellar Coupling",POWER(Upgrades!$U$10,I100),1)*IF(Upgrades!$T$11="Stellar Coupling",POWER(Upgrades!$U$11,J100),1)*IF(Upgrades!$T$12="Stellar Coupling",POWER(Upgrades!$U$12,K100),1))*Parameters!$B$10*Parameters!$B$11/60/AI100,0)</f>
        <v>0.00452762415783776</v>
      </c>
      <c r="AV100" s="33" t="n">
        <f aca="false">IFERROR(Upgrades!$H$9*(POWER(Upgrades!$P$6,E100)*POWER(Upgrades!$P$7,F100)*POWER(Upgrades!$P$8,G100)*POWER(Upgrades!$P$9,H100)*POWER(Upgrades!$P$10,I100)*POWER(Upgrades!$P$11,J100)*POWER(Upgrades!$P$12,K100))*(IF(Upgrades!$T$6="Magnetosphere",POWER(Upgrades!$U$6,E100),1)*IF(Upgrades!$T$7="Magnetosphere",POWER(Upgrades!$U$7,F100),1)*IF(Upgrades!$T$8="Magnetosphere",POWER(Upgrades!$U$8,G100),1)*IF(Upgrades!$T$10="Magnetosphere",POWER(Upgrades!$U$10,I100),1)*IF(Upgrades!$T$11="Magnetosphere",POWER(Upgrades!$U$11,J100),1)*IF(Upgrades!$T$12="Magnetosphere",POWER(Upgrades!$U$12,K100),1))/AJ100,0)</f>
        <v>0</v>
      </c>
      <c r="AW100" s="33" t="n">
        <f aca="false">MAX(IF(I100&gt;0,0,IFERROR(0.25*N100/Upgrades!$C$10,0)),IF(J100&gt;0,0,IFERROR(0.5*((IF(G100=0,0,(Upgrades!$J$8+G100*Upgrades!$K$8)*POWER(Upgrades!$L$8,G100)))*(IF(Upgrades!$T$6="Stellar Coupling",POWER(Upgrades!$U$6,E100),1)*IF(Upgrades!$T$7="Stellar Coupling",POWER(Upgrades!$U$7,F100),1)*IF(Upgrades!$T$9="Stellar Coupling",POWER(Upgrades!$U$9,H100),1)*IF(Upgrades!$T$10="Stellar Coupling",POWER(Upgrades!$U$10,I100),1)*IF(Upgrades!$T$11="Stellar Coupling",POWER(Upgrades!$U$11,J100),1)*IF(Upgrades!$T$12="Stellar Coupling",POWER(Upgrades!$U$12,K100),1))*(POWER(Upgrades!$Q$6,E100)*POWER(Upgrades!$Q$7,F100)*POWER(Upgrades!$Q$8,G100)*POWER(Upgrades!$Q$9,H100)*POWER(Upgrades!$Q$10,I100)*POWER(Upgrades!$Q$11,J100)*POWER(Upgrades!$Q$12,K100))*Parameters!$B$10*Parameters!$B$11/60)/Upgrades!$C$11,0)),IF(K100&gt;0,0,IFERROR((1*(POWER(Upgrades!$P$6,E100)*POWER(Upgrades!$P$7,F100)*POWER(Upgrades!$P$8,G100)*POWER(Upgrades!$P$9,H100)*POWER(Upgrades!$P$10,I100)*POWER(Upgrades!$P$11,J100)*POWER(Upgrades!$P$12,K100))+0.2*M100*Parameters!$B$10*Parameters!$B$11/60)/Upgrades!$C$12,0)),IF(AND(ISNUMBER(AG100),AG100&gt;T100),AS100,0),IF(AND(ISNUMBER(AH100),AH100&gt;T100),AT100,0),IF(AND(ISNUMBER(AI100),AI100&gt;T100),AU100,0),IF(AND(ISNUMBER(AJ100),AJ100&gt;T100),AV100,0))</f>
        <v>0.00452762415783776</v>
      </c>
      <c r="AX100" s="29" t="str">
        <f aca="false">IF(AN100=1,"transition",IF(MIN(IF(AND(I100=0,ISNUMBER(AK100),AK100&lt;=T100),AK100,9000000000000000),IF(AND(J100=0,ISNUMBER(AL100),AL100&lt;=T100),AL100,9000000000000000),IF(AND(K100=0,ISNUMBER(AM100),AM100&lt;=T100),AM100,9000000000000000))&lt;9000000000000000,IF(AND(AND(I100=0,ISNUMBER(AK100),AK100&lt;=T100),AK100=MIN(IF(AND(I100=0,ISNUMBER(AK100),AK100&lt;=T100),AK100,9000000000000000),IF(AND(J100=0,ISNUMBER(AL100),AL100&lt;=T100),AL100,9000000000000000),IF(AND(K100=0,ISNUMBER(AM100),AM100&lt;=T100),AM100,9000000000000000))),"OR",IF(AND(AND(J100=0,ISNUMBER(AL100),AL100&lt;=T100),AL100=MIN(IF(AND(I100=0,ISNUMBER(AK100),AK100&lt;=T100),AK100,9000000000000000),IF(AND(J100=0,ISNUMBER(AL100),AL100&lt;=T100),AL100,9000000000000000),IF(AND(K100=0,ISNUMBER(AM100),AM100&lt;=T100),AM100,9000000000000000))),"HP","FP")),IF(AR100=TRUE(),"",IF(MAX(IF(AND(NOT(AND(AO100=1,AN100&lt;&gt;1)),ISNUMBER(AG100),AG100&lt;=T100),AS100,0),IF(AND(NOT(AND(AO100=1,AN100&lt;&gt;1)),ISNUMBER(AH100),AH100&lt;=T100),AT100,0),IF(AND(NOT(AND(AO100=1,AN100&lt;&gt;1)),ISNUMBER(AI100),AI100&lt;=T100),AU100,0),IF(AND(ISNUMBER(AJ100),AJ100&lt;=T100),AV100,0))&lt;=0,"",IF(AND(IF(AND(NOT(AND(AO100=1,AN100&lt;&gt;1)),ISNUMBER(AG100),AG100&lt;=T100),AS100,0)&gt;0,IF(AND(NOT(AND(AO100=1,AN100&lt;&gt;1)),ISNUMBER(AG100),AG100&lt;=T100),AS100,0)=MAX(IF(AND(NOT(AND(AO100=1,AN100&lt;&gt;1)),ISNUMBER(AG100),AG100&lt;=T100),AS100,0),IF(AND(NOT(AND(AO100=1,AN100&lt;&gt;1)),ISNUMBER(AH100),AH100&lt;=T100),AT100,0),IF(AND(NOT(AND(AO100=1,AN100&lt;&gt;1)),ISNUMBER(AI100),AI100&lt;=T100),AU100,0),IF(AND(ISNUMBER(AJ100),AJ100&lt;=T100),AV100,0))),"SW",IF(AND(IF(AND(NOT(AND(AO100=1,AN100&lt;&gt;1)),ISNUMBER(AH100),AH100&lt;=T100),AT100,0)&gt;0,IF(AND(NOT(AND(AO100=1,AN100&lt;&gt;1)),ISNUMBER(AH100),AH100&lt;=T100),AT100,0)=MAX(IF(AND(NOT(AND(AO100=1,AN100&lt;&gt;1)),ISNUMBER(AG100),AG100&lt;=T100),AS100,0),IF(AND(NOT(AND(AO100=1,AN100&lt;&gt;1)),ISNUMBER(AH100),AH100&lt;=T100),AT100,0),IF(AND(NOT(AND(AO100=1,AN100&lt;&gt;1)),ISNUMBER(AI100),AI100&lt;=T100),AU100,0),IF(AND(ISNUMBER(AJ100),AJ100&lt;=T100),AV100,0))),"AB",IF(AND(IF(AND(NOT(AND(AO100=1,AN100&lt;&gt;1)),ISNUMBER(AI100),AI100&lt;=T100),AU100,0)&gt;0,IF(AND(NOT(AND(AO100=1,AN100&lt;&gt;1)),ISNUMBER(AI100),AI100&lt;=T100),AU100,0)=MAX(IF(AND(NOT(AND(AO100=1,AN100&lt;&gt;1)),ISNUMBER(AG100),AG100&lt;=T100),AS100,0),IF(AND(NOT(AND(AO100=1,AN100&lt;&gt;1)),ISNUMBER(AH100),AH100&lt;=T100),AT100,0),IF(AND(NOT(AND(AO100=1,AN100&lt;&gt;1)),ISNUMBER(AI100),AI100&lt;=T100),AU100,0),IF(AND(ISNUMBER(AJ100),AJ100&lt;=T100),AV100,0))),"SC","Mag")))))))</f>
        <v/>
      </c>
    </row>
    <row r="101" customFormat="false" ht="15" hidden="false" customHeight="false" outlineLevel="0" collapsed="false">
      <c r="A101" s="26" t="n">
        <v>96</v>
      </c>
      <c r="B101" s="27" t="n">
        <f aca="false">A101*10/60</f>
        <v>16</v>
      </c>
      <c r="C101" s="21" t="n">
        <f aca="false">X100</f>
        <v>18.6730249835055</v>
      </c>
      <c r="D101" s="27" t="n">
        <f aca="false">D100+W100</f>
        <v>0</v>
      </c>
      <c r="E101" s="26" t="n">
        <f aca="false">E100+IF(U100="SW",1,0)</f>
        <v>12</v>
      </c>
      <c r="F101" s="26" t="n">
        <f aca="false">F100+IF(U100="AB",1,0)</f>
        <v>10</v>
      </c>
      <c r="G101" s="26" t="n">
        <f aca="false">G100+IF(U100="SC",1,0)</f>
        <v>7</v>
      </c>
      <c r="H101" s="26" t="n">
        <f aca="false">H100+IF(U100="Mag",1,0)</f>
        <v>5</v>
      </c>
      <c r="I101" s="26" t="n">
        <f aca="false">MAX(I100,IF(U100="OR",1,0))</f>
        <v>1</v>
      </c>
      <c r="J101" s="26" t="n">
        <f aca="false">MAX(J100,IF(U100="HP",1,0))</f>
        <v>1</v>
      </c>
      <c r="K101" s="26" t="n">
        <f aca="false">MAX(K100,IF(U100="FP",1,0))</f>
        <v>1</v>
      </c>
      <c r="L101" s="26" t="n">
        <f aca="false">MAX(L100,IF(U100="transition",1,0))</f>
        <v>1</v>
      </c>
      <c r="M101" s="28" t="n">
        <f aca="false">(Parameters!$B$9+(IF(E101=0,0,(Upgrades!$J$6+E101*Upgrades!$K$6)*POWER(Upgrades!$L$6,E101)))*(IF(Upgrades!$T$7="Solar Wind",POWER(Upgrades!$U$7,F101),1)*IF(Upgrades!$T$8="Solar Wind",POWER(Upgrades!$U$8,G101),1)*IF(Upgrades!$T$9="Solar Wind",POWER(Upgrades!$U$9,H101),1)*IF(Upgrades!$T$10="Solar Wind",POWER(Upgrades!$U$10,I101),1)*IF(Upgrades!$T$11="Solar Wind",POWER(Upgrades!$U$11,J101),1)*IF(Upgrades!$T$12="Solar Wind",POWER(Upgrades!$U$12,K101),1))+(IF(F101=0,0,(Upgrades!$J$7+F101*Upgrades!$K$7)*POWER(Upgrades!$L$7,F101)))*(IF(Upgrades!$T$6="Asteroid Belt",POWER(Upgrades!$U$6,E101),1)*IF(Upgrades!$T$8="Asteroid Belt",POWER(Upgrades!$U$8,G101),1)*IF(Upgrades!$T$9="Asteroid Belt",POWER(Upgrades!$U$9,H101),1)*IF(Upgrades!$T$10="Asteroid Belt",POWER(Upgrades!$U$10,I101),1)*IF(Upgrades!$T$11="Asteroid Belt",POWER(Upgrades!$U$11,J101),1)*IF(Upgrades!$T$12="Asteroid Belt",POWER(Upgrades!$U$12,K101),1))+(IF(G101=0,0,(Upgrades!$J$8+G101*Upgrades!$K$8)*POWER(Upgrades!$L$8,G101)))*(IF(Upgrades!$T$6="Stellar Coupling",POWER(Upgrades!$U$6,E101),1)*IF(Upgrades!$T$7="Stellar Coupling",POWER(Upgrades!$U$7,F101),1)*IF(Upgrades!$T$9="Stellar Coupling",POWER(Upgrades!$U$9,H101),1)*IF(Upgrades!$T$10="Stellar Coupling",POWER(Upgrades!$U$10,I101),1)*IF(Upgrades!$T$11="Stellar Coupling",POWER(Upgrades!$U$11,J101),1)*IF(Upgrades!$T$12="Stellar Coupling",POWER(Upgrades!$U$12,K101),1))+(IF(H101=0,0,(Upgrades!$J$9+H101*Upgrades!$K$9)*POWER(Upgrades!$L$9,H101)))*(IF(Upgrades!$T$6="Magnetosphere",POWER(Upgrades!$U$6,E101),1)*IF(Upgrades!$T$7="Magnetosphere",POWER(Upgrades!$U$7,F101),1)*IF(Upgrades!$T$8="Magnetosphere",POWER(Upgrades!$U$8,G101),1)*IF(Upgrades!$T$10="Magnetosphere",POWER(Upgrades!$U$10,I101),1)*IF(Upgrades!$T$11="Magnetosphere",POWER(Upgrades!$U$11,J101),1)*IF(Upgrades!$T$12="Magnetosphere",POWER(Upgrades!$U$12,K101),1))+(IF(I101=0,0,(Upgrades!$J$10+I101*Upgrades!$K$10)*POWER(Upgrades!$L$10,I101)))*(IF(Upgrades!$T$6="Orbital Resonance",POWER(Upgrades!$U$6,E101),1)*IF(Upgrades!$T$7="Orbital Resonance",POWER(Upgrades!$U$7,F101),1)*IF(Upgrades!$T$8="Orbital Resonance",POWER(Upgrades!$U$8,G101),1)*IF(Upgrades!$T$9="Orbital Resonance",POWER(Upgrades!$U$9,H101),1)*IF(Upgrades!$T$11="Orbital Resonance",POWER(Upgrades!$U$11,J101),1)*IF(Upgrades!$T$12="Orbital Resonance",POWER(Upgrades!$U$12,K101),1))+(IF(J101=0,0,(Upgrades!$J$11+J101*Upgrades!$K$11)*POWER(Upgrades!$L$11,J101)))*(IF(Upgrades!$T$6="Heliopause",POWER(Upgrades!$U$6,E101),1)*IF(Upgrades!$T$7="Heliopause",POWER(Upgrades!$U$7,F101),1)*IF(Upgrades!$T$8="Heliopause",POWER(Upgrades!$U$8,G101),1)*IF(Upgrades!$T$9="Heliopause",POWER(Upgrades!$U$9,H101),1)*IF(Upgrades!$T$10="Heliopause",POWER(Upgrades!$U$10,I101),1)*IF(Upgrades!$T$12="Heliopause",POWER(Upgrades!$U$12,K101),1))+(IF(K101=0,0,(Upgrades!$J$12+K101*Upgrades!$K$12)*POWER(Upgrades!$L$12,K101)))*(IF(Upgrades!$T$6="First Photons",POWER(Upgrades!$U$6,E101),1)*IF(Upgrades!$T$7="First Photons",POWER(Upgrades!$U$7,F101),1)*IF(Upgrades!$T$8="First Photons",POWER(Upgrades!$U$8,G101),1)*IF(Upgrades!$T$9="First Photons",POWER(Upgrades!$U$9,H101),1)*IF(Upgrades!$T$10="First Photons",POWER(Upgrades!$U$10,I101),1)*IF(Upgrades!$T$11="First Photons",POWER(Upgrades!$U$11,J101),1)))*POWER(Upgrades!$Q$6,E101)*POWER(Upgrades!$Q$7,F101)*POWER(Upgrades!$Q$8,G101)*POWER(Upgrades!$Q$9,H101)*POWER(Upgrades!$Q$10,I101)*POWER(Upgrades!$Q$11,J101)*POWER(Upgrades!$Q$12,K101)</f>
        <v>5.61</v>
      </c>
      <c r="N101" s="28" t="n">
        <f aca="false">((IF(E101=0,0,(Upgrades!$G$6+E101*Upgrades!$H$6)*POWER(Upgrades!$I$6,E101)))*(IF(Upgrades!$T$7="Solar Wind",POWER(Upgrades!$U$7,F101),1)*IF(Upgrades!$T$8="Solar Wind",POWER(Upgrades!$U$8,G101),1)*IF(Upgrades!$T$9="Solar Wind",POWER(Upgrades!$U$9,H101),1)*IF(Upgrades!$T$10="Solar Wind",POWER(Upgrades!$U$10,I101),1)*IF(Upgrades!$T$11="Solar Wind",POWER(Upgrades!$U$11,J101),1)*IF(Upgrades!$T$12="Solar Wind",POWER(Upgrades!$U$12,K101),1))+(IF(F101=0,0,(Upgrades!$G$7+F101*Upgrades!$H$7)*POWER(Upgrades!$I$7,F101)))*(IF(Upgrades!$T$6="Asteroid Belt",POWER(Upgrades!$U$6,E101),1)*IF(Upgrades!$T$8="Asteroid Belt",POWER(Upgrades!$U$8,G101),1)*IF(Upgrades!$T$9="Asteroid Belt",POWER(Upgrades!$U$9,H101),1)*IF(Upgrades!$T$10="Asteroid Belt",POWER(Upgrades!$U$10,I101),1)*IF(Upgrades!$T$11="Asteroid Belt",POWER(Upgrades!$U$11,J101),1)*IF(Upgrades!$T$12="Asteroid Belt",POWER(Upgrades!$U$12,K101),1))+(IF(G101=0,0,(Upgrades!$G$8+G101*Upgrades!$H$8)*POWER(Upgrades!$I$8,G101)))*(IF(Upgrades!$T$6="Stellar Coupling",POWER(Upgrades!$U$6,E101),1)*IF(Upgrades!$T$7="Stellar Coupling",POWER(Upgrades!$U$7,F101),1)*IF(Upgrades!$T$9="Stellar Coupling",POWER(Upgrades!$U$9,H101),1)*IF(Upgrades!$T$10="Stellar Coupling",POWER(Upgrades!$U$10,I101),1)*IF(Upgrades!$T$11="Stellar Coupling",POWER(Upgrades!$U$11,J101),1)*IF(Upgrades!$T$12="Stellar Coupling",POWER(Upgrades!$U$12,K101),1))+(IF(H101=0,0,(Upgrades!$G$9+H101*Upgrades!$H$9)*POWER(Upgrades!$I$9,H101)))*(IF(Upgrades!$T$6="Magnetosphere",POWER(Upgrades!$U$6,E101),1)*IF(Upgrades!$T$7="Magnetosphere",POWER(Upgrades!$U$7,F101),1)*IF(Upgrades!$T$8="Magnetosphere",POWER(Upgrades!$U$8,G101),1)*IF(Upgrades!$T$10="Magnetosphere",POWER(Upgrades!$U$10,I101),1)*IF(Upgrades!$T$11="Magnetosphere",POWER(Upgrades!$U$11,J101),1)*IF(Upgrades!$T$12="Magnetosphere",POWER(Upgrades!$U$12,K101),1))+(IF(I101=0,0,(Upgrades!$G$10+I101*Upgrades!$H$10)*POWER(Upgrades!$I$10,I101)))*(IF(Upgrades!$T$6="Orbital Resonance",POWER(Upgrades!$U$6,E101),1)*IF(Upgrades!$T$7="Orbital Resonance",POWER(Upgrades!$U$7,F101),1)*IF(Upgrades!$T$8="Orbital Resonance",POWER(Upgrades!$U$8,G101),1)*IF(Upgrades!$T$9="Orbital Resonance",POWER(Upgrades!$U$9,H101),1)*IF(Upgrades!$T$11="Orbital Resonance",POWER(Upgrades!$U$11,J101),1)*IF(Upgrades!$T$12="Orbital Resonance",POWER(Upgrades!$U$12,K101),1))+(IF(J101=0,0,(Upgrades!$G$11+J101*Upgrades!$H$11)*POWER(Upgrades!$I$11,J101)))*(IF(Upgrades!$T$6="Heliopause",POWER(Upgrades!$U$6,E101),1)*IF(Upgrades!$T$7="Heliopause",POWER(Upgrades!$U$7,F101),1)*IF(Upgrades!$T$8="Heliopause",POWER(Upgrades!$U$8,G101),1)*IF(Upgrades!$T$9="Heliopause",POWER(Upgrades!$U$9,H101),1)*IF(Upgrades!$T$10="Heliopause",POWER(Upgrades!$U$10,I101),1)*IF(Upgrades!$T$12="Heliopause",POWER(Upgrades!$U$12,K101),1))+(IF(K101=0,0,(Upgrades!$G$12+K101*Upgrades!$H$12)*POWER(Upgrades!$I$12,K101)))*(IF(Upgrades!$T$6="First Photons",POWER(Upgrades!$U$6,E101),1)*IF(Upgrades!$T$7="First Photons",POWER(Upgrades!$U$7,F101),1)*IF(Upgrades!$T$8="First Photons",POWER(Upgrades!$U$8,G101),1)*IF(Upgrades!$T$9="First Photons",POWER(Upgrades!$U$9,H101),1)*IF(Upgrades!$T$10="First Photons",POWER(Upgrades!$U$10,I101),1)*IF(Upgrades!$T$11="First Photons",POWER(Upgrades!$U$11,J101),1)))*POWER(Upgrades!$P$6,E101)*POWER(Upgrades!$P$7,F101)*POWER(Upgrades!$P$8,G101)*POWER(Upgrades!$P$9,H101)*POWER(Upgrades!$P$10,I101)*POWER(Upgrades!$P$11,J101)*POWER(Upgrades!$P$12,K101)</f>
        <v>11.2</v>
      </c>
      <c r="O101" s="28" t="n">
        <f aca="false">((IF(E101=0,0,(Upgrades!$M$6+E101*Upgrades!$N$6)*POWER(Upgrades!$O$6,E101)))*(IF(Upgrades!$T$7="Solar Wind",POWER(Upgrades!$U$7,F101),1)*IF(Upgrades!$T$8="Solar Wind",POWER(Upgrades!$U$8,G101),1)*IF(Upgrades!$T$9="Solar Wind",POWER(Upgrades!$U$9,H101),1)*IF(Upgrades!$T$10="Solar Wind",POWER(Upgrades!$U$10,I101),1)*IF(Upgrades!$T$11="Solar Wind",POWER(Upgrades!$U$11,J101),1)*IF(Upgrades!$T$12="Solar Wind",POWER(Upgrades!$U$12,K101),1))+(IF(F101=0,0,(Upgrades!$M$7+F101*Upgrades!$N$7)*POWER(Upgrades!$O$7,F101)))*(IF(Upgrades!$T$6="Asteroid Belt",POWER(Upgrades!$U$6,E101),1)*IF(Upgrades!$T$8="Asteroid Belt",POWER(Upgrades!$U$8,G101),1)*IF(Upgrades!$T$9="Asteroid Belt",POWER(Upgrades!$U$9,H101),1)*IF(Upgrades!$T$10="Asteroid Belt",POWER(Upgrades!$U$10,I101),1)*IF(Upgrades!$T$11="Asteroid Belt",POWER(Upgrades!$U$11,J101),1)*IF(Upgrades!$T$12="Asteroid Belt",POWER(Upgrades!$U$12,K101),1))+(IF(G101=0,0,(Upgrades!$M$8+G101*Upgrades!$N$8)*POWER(Upgrades!$O$8,G101)))*(IF(Upgrades!$T$6="Stellar Coupling",POWER(Upgrades!$U$6,E101),1)*IF(Upgrades!$T$7="Stellar Coupling",POWER(Upgrades!$U$7,F101),1)*IF(Upgrades!$T$9="Stellar Coupling",POWER(Upgrades!$U$9,H101),1)*IF(Upgrades!$T$10="Stellar Coupling",POWER(Upgrades!$U$10,I101),1)*IF(Upgrades!$T$11="Stellar Coupling",POWER(Upgrades!$U$11,J101),1)*IF(Upgrades!$T$12="Stellar Coupling",POWER(Upgrades!$U$12,K101),1))+(IF(H101=0,0,(Upgrades!$M$9+H101*Upgrades!$N$9)*POWER(Upgrades!$O$9,H101)))*(IF(Upgrades!$T$6="Magnetosphere",POWER(Upgrades!$U$6,E101),1)*IF(Upgrades!$T$7="Magnetosphere",POWER(Upgrades!$U$7,F101),1)*IF(Upgrades!$T$8="Magnetosphere",POWER(Upgrades!$U$8,G101),1)*IF(Upgrades!$T$10="Magnetosphere",POWER(Upgrades!$U$10,I101),1)*IF(Upgrades!$T$11="Magnetosphere",POWER(Upgrades!$U$11,J101),1)*IF(Upgrades!$T$12="Magnetosphere",POWER(Upgrades!$U$12,K101),1))+(IF(I101=0,0,(Upgrades!$M$10+I101*Upgrades!$N$10)*POWER(Upgrades!$O$10,I101)))*(IF(Upgrades!$T$6="Orbital Resonance",POWER(Upgrades!$U$6,E101),1)*IF(Upgrades!$T$7="Orbital Resonance",POWER(Upgrades!$U$7,F101),1)*IF(Upgrades!$T$8="Orbital Resonance",POWER(Upgrades!$U$8,G101),1)*IF(Upgrades!$T$9="Orbital Resonance",POWER(Upgrades!$U$9,H101),1)*IF(Upgrades!$T$11="Orbital Resonance",POWER(Upgrades!$U$11,J101),1)*IF(Upgrades!$T$12="Orbital Resonance",POWER(Upgrades!$U$12,K101),1))+(IF(J101=0,0,(Upgrades!$M$11+J101*Upgrades!$N$11)*POWER(Upgrades!$O$11,J101)))*(IF(Upgrades!$T$6="Heliopause",POWER(Upgrades!$U$6,E101),1)*IF(Upgrades!$T$7="Heliopause",POWER(Upgrades!$U$7,F101),1)*IF(Upgrades!$T$8="Heliopause",POWER(Upgrades!$U$8,G101),1)*IF(Upgrades!$T$9="Heliopause",POWER(Upgrades!$U$9,H101),1)*IF(Upgrades!$T$10="Heliopause",POWER(Upgrades!$U$10,I101),1)*IF(Upgrades!$T$12="Heliopause",POWER(Upgrades!$U$12,K101),1))+(IF(K101=0,0,(Upgrades!$M$12+K101*Upgrades!$N$12)*POWER(Upgrades!$O$12,K101)))*(IF(Upgrades!$T$6="First Photons",POWER(Upgrades!$U$6,E101),1)*IF(Upgrades!$T$7="First Photons",POWER(Upgrades!$U$7,F101),1)*IF(Upgrades!$T$8="First Photons",POWER(Upgrades!$U$8,G101),1)*IF(Upgrades!$T$9="First Photons",POWER(Upgrades!$U$9,H101),1)*IF(Upgrades!$T$10="First Photons",POWER(Upgrades!$U$10,I101),1)*IF(Upgrades!$T$11="First Photons",POWER(Upgrades!$U$11,J101),1)))*POWER(Upgrades!$R$6,E101)*POWER(Upgrades!$R$7,F101)*POWER(Upgrades!$R$8,G101)*POWER(Upgrades!$R$9,H101)*POWER(Upgrades!$R$10,I101)*POWER(Upgrades!$R$11,J101)*POWER(Upgrades!$R$12,K101)</f>
        <v>0</v>
      </c>
      <c r="P101" s="27" t="n">
        <f aca="false">IF(L101=1,0,M101*Parameters!$B$10/60*Parameters!$B$11*10)</f>
        <v>0</v>
      </c>
      <c r="Q101" s="27" t="n">
        <f aca="false">IF(L101=1,0,O101*M101*10)</f>
        <v>0</v>
      </c>
      <c r="R101" s="27" t="n">
        <f aca="false">IF(L101=1,0,N101*10)</f>
        <v>0</v>
      </c>
      <c r="S101" s="27" t="n">
        <f aca="false">P101+Q101+R101</f>
        <v>0</v>
      </c>
      <c r="T101" s="21" t="n">
        <f aca="false">C101+S101</f>
        <v>18.6730249835055</v>
      </c>
      <c r="U101" s="34" t="str">
        <f aca="false">AX101</f>
        <v/>
      </c>
      <c r="V101" s="21" t="n">
        <f aca="false">IF(U101="",0,IF(U101="transition",0,IF(U101="SW",AG101,IF(U101="AB",AH101,IF(U101="SC",AI101,IF(U101="Mag",AJ101,IF(U101="OR",AK101,IF(U101="HP",AL101,IF(U101="FP",AM101,0)))))))))</f>
        <v>0</v>
      </c>
      <c r="W101" s="27" t="n">
        <f aca="false">IF(U101="OR",Upgrades!$F$10,IF(U101="HP",Upgrades!$F$11,IF(U101="transition",-Parameters!$B$18,0)))</f>
        <v>0</v>
      </c>
      <c r="X101" s="21" t="n">
        <f aca="false">T101-V101</f>
        <v>18.6730249835055</v>
      </c>
      <c r="Y101" s="30" t="n">
        <f aca="false">M101*Parameters!$B$10/60*Parameters!$B$11+O101*M101+N101</f>
        <v>20.55</v>
      </c>
      <c r="Z101" s="35" t="str">
        <f aca="false">IF(U101="transition","→ Tier 2 (Stellar Neighborhood)",IF(U101="FP","First Photons — light begins, system quickens",IF(U101="HP","Heliopause acquired",IF(U101="OR","Orbital Resonance — passive multiplier active",IF(AND(AO101=1,L101=0,AN101&lt;&gt;1),"Cohesion ready (waiting on completionist upgrades)","")))))</f>
        <v/>
      </c>
      <c r="AA101" s="27" t="n">
        <f aca="false">(IF(E101=0,0,(Upgrades!$G$6+E101*Upgrades!$H$6)*POWER(Upgrades!$I$6,E101)))*(IF(Upgrades!$T$7="Solar Wind",POWER(Upgrades!$U$7,F101),1)*IF(Upgrades!$T$8="Solar Wind",POWER(Upgrades!$U$8,G101),1)*IF(Upgrades!$T$9="Solar Wind",POWER(Upgrades!$U$9,H101),1)*IF(Upgrades!$T$10="Solar Wind",POWER(Upgrades!$U$10,I101),1)*IF(Upgrades!$T$11="Solar Wind",POWER(Upgrades!$U$11,J101),1)*IF(Upgrades!$T$12="Solar Wind",POWER(Upgrades!$U$12,K101),1))*POWER(Upgrades!$P$6,E101)*POWER(Upgrades!$P$7,F101)*POWER(Upgrades!$P$8,G101)*POWER(Upgrades!$P$9,H101)*POWER(Upgrades!$P$10,I101)*POWER(Upgrades!$P$11,J101)*POWER(Upgrades!$P$12,K101)*60</f>
        <v>72</v>
      </c>
      <c r="AB101" s="27" t="n">
        <f aca="false">(IF(F101=0,0,(Upgrades!$G$7+F101*Upgrades!$H$7)*POWER(Upgrades!$I$7,F101)))*(IF(Upgrades!$T$6="Asteroid Belt",POWER(Upgrades!$U$6,E101),1)*IF(Upgrades!$T$8="Asteroid Belt",POWER(Upgrades!$U$8,G101),1)*IF(Upgrades!$T$9="Asteroid Belt",POWER(Upgrades!$U$9,H101),1)*IF(Upgrades!$T$10="Asteroid Belt",POWER(Upgrades!$U$10,I101),1)*IF(Upgrades!$T$11="Asteroid Belt",POWER(Upgrades!$U$11,J101),1)*IF(Upgrades!$T$12="Asteroid Belt",POWER(Upgrades!$U$12,K101),1))*POWER(Upgrades!$P$6,E101)*POWER(Upgrades!$P$7,F101)*POWER(Upgrades!$P$8,G101)*POWER(Upgrades!$P$9,H101)*POWER(Upgrades!$P$10,I101)*POWER(Upgrades!$P$11,J101)*POWER(Upgrades!$P$12,K101)*60</f>
        <v>150</v>
      </c>
      <c r="AC101" s="27" t="n">
        <f aca="false">(IF(G101=0,0,(Upgrades!$J$8+G101*Upgrades!$K$8)*POWER(Upgrades!$L$8,G101)))*(IF(Upgrades!$T$6="Stellar Coupling",POWER(Upgrades!$U$6,E101),1)*IF(Upgrades!$T$7="Stellar Coupling",POWER(Upgrades!$U$7,F101),1)*IF(Upgrades!$T$9="Stellar Coupling",POWER(Upgrades!$U$9,H101),1)*IF(Upgrades!$T$10="Stellar Coupling",POWER(Upgrades!$U$10,I101),1)*IF(Upgrades!$T$11="Stellar Coupling",POWER(Upgrades!$U$11,J101),1)*IF(Upgrades!$T$12="Stellar Coupling",POWER(Upgrades!$U$12,K101),1))*POWER(Upgrades!$Q$6,E101)*POWER(Upgrades!$Q$7,F101)*POWER(Upgrades!$Q$8,G101)*POWER(Upgrades!$Q$9,H101)*POWER(Upgrades!$Q$10,I101)*POWER(Upgrades!$Q$11,J101)*POWER(Upgrades!$Q$12,K101)*Parameters!$B$10*Parameters!$B$11</f>
        <v>441</v>
      </c>
      <c r="AD101" s="27" t="n">
        <f aca="false">(IF(H101=0,0,(Upgrades!$G$9+H101*Upgrades!$H$9)*POWER(Upgrades!$I$9,H101)))*(IF(Upgrades!$T$6="Magnetosphere",POWER(Upgrades!$U$6,E101),1)*IF(Upgrades!$T$7="Magnetosphere",POWER(Upgrades!$U$7,F101),1)*IF(Upgrades!$T$8="Magnetosphere",POWER(Upgrades!$U$8,G101),1)*IF(Upgrades!$T$10="Magnetosphere",POWER(Upgrades!$U$10,I101),1)*IF(Upgrades!$T$11="Magnetosphere",POWER(Upgrades!$U$11,J101),1)*IF(Upgrades!$T$12="Magnetosphere",POWER(Upgrades!$U$12,K101),1))*POWER(Upgrades!$P$6,E101)*POWER(Upgrades!$P$7,F101)*POWER(Upgrades!$P$8,G101)*POWER(Upgrades!$P$9,H101)*POWER(Upgrades!$P$10,I101)*POWER(Upgrades!$P$11,J101)*POWER(Upgrades!$P$12,K101)*60</f>
        <v>375</v>
      </c>
      <c r="AE101" s="27" t="n">
        <f aca="false">(IF(K101=0,0,(Upgrades!$G$12+K101*Upgrades!$H$12)*POWER(Upgrades!$I$12,K101)))*(IF(Upgrades!$T$6="First Photons",POWER(Upgrades!$U$6,E101),1)*IF(Upgrades!$T$7="First Photons",POWER(Upgrades!$U$7,F101),1)*IF(Upgrades!$T$8="First Photons",POWER(Upgrades!$U$8,G101),1)*IF(Upgrades!$T$9="First Photons",POWER(Upgrades!$U$9,H101),1)*IF(Upgrades!$T$10="First Photons",POWER(Upgrades!$U$10,I101),1)*IF(Upgrades!$T$11="First Photons",POWER(Upgrades!$U$11,J101),1))*POWER(Upgrades!$P$6,E101)*POWER(Upgrades!$P$7,F101)*POWER(Upgrades!$P$8,G101)*POWER(Upgrades!$P$9,H101)*POWER(Upgrades!$P$10,I101)*POWER(Upgrades!$P$11,J101)*POWER(Upgrades!$P$12,K101)*60</f>
        <v>75</v>
      </c>
      <c r="AF101" s="27" t="n">
        <f aca="false">Parameters!$B$9*POWER(Upgrades!$Q$6,E101)*POWER(Upgrades!$Q$7,F101)*POWER(Upgrades!$Q$8,G101)*POWER(Upgrades!$Q$9,H101)*POWER(Upgrades!$Q$10,I101)*POWER(Upgrades!$Q$11,J101)*POWER(Upgrades!$Q$12,K101)*(Parameters!$B$10*Parameters!$B$11+O101*60)</f>
        <v>120</v>
      </c>
      <c r="AG101" s="21" t="n">
        <f aca="false">IF(E101&gt;=Upgrades!$E$6,"",Upgrades!$C$6*POWER(Upgrades!$D$6,E101))</f>
        <v>37.4517507383159</v>
      </c>
      <c r="AH101" s="21" t="n">
        <f aca="false">IF(F101&gt;=Upgrades!$E$7,"",Upgrades!$C$7*POWER(Upgrades!$D$7,F101))</f>
        <v>80.9111547141581</v>
      </c>
      <c r="AI101" s="21" t="n">
        <f aca="false">IF(G101&gt;=Upgrades!$E$8,"",Upgrades!$C$8*POWER(Upgrades!$D$8,G101))</f>
        <v>231.9097088</v>
      </c>
      <c r="AJ101" s="21" t="str">
        <f aca="false">IF(H101&gt;=Upgrades!$E$9,"",Upgrades!$C$9*POWER(Upgrades!$D$9,H101))</f>
        <v/>
      </c>
      <c r="AK101" s="21" t="str">
        <f aca="false">IF(I101&gt;=Upgrades!$E$10,"",Upgrades!$C$10*POWER(Upgrades!$D$10,I101))</f>
        <v/>
      </c>
      <c r="AL101" s="21" t="str">
        <f aca="false">IF(J101&gt;=Upgrades!$E$11,"",Upgrades!$C$11*POWER(Upgrades!$D$11,J101))</f>
        <v/>
      </c>
      <c r="AM101" s="21" t="str">
        <f aca="false">IF(K101&gt;=Upgrades!$E$12,"",Upgrades!$C$12*POWER(Upgrades!$D$12,K101))</f>
        <v/>
      </c>
      <c r="AN101" s="26" t="str">
        <f aca="false">IF(AND(D101&gt;=Parameters!$B$18,(H101&gt;=Upgrades!$E$9)*(K101&gt;=Upgrades!$E$12)=1,L101=0),1,"")</f>
        <v/>
      </c>
      <c r="AO101" s="26" t="str">
        <f aca="false">IF(AND(D101&gt;=Parameters!$B$18,L101=0),1,"")</f>
        <v/>
      </c>
      <c r="AP101" s="21" t="n">
        <f aca="false">MIN(IF(ISNUMBER(AK101),AK101,9000000000000000),IF(ISNUMBER(AL101),AL101,9000000000000000),IF(ISNUMBER(AM101),AM101,9000000000000000))</f>
        <v>9000000000000000</v>
      </c>
      <c r="AQ101" s="21" t="n">
        <f aca="false">MIN(IF(ISNUMBER(AG101),AG101,9000000000000000),IF(ISNUMBER(AH101),AH101,9000000000000000),IF(ISNUMBER(AI101),AI101,9000000000000000),IF(ISNUMBER(AJ101),AJ101,9000000000000000))</f>
        <v>37.4517507383159</v>
      </c>
      <c r="AR101" s="32" t="b">
        <f aca="false">IF(AW101&gt;Parameters!$B$21*(MAX(IF(AND(NOT(AND(AO101=1,AN101&lt;&gt;1)),ISNUMBER(AG101),AG101&lt;=T101),AS101,0),IF(AND(NOT(AND(AO101=1,AN101&lt;&gt;1)),ISNUMBER(AH101),AH101&lt;=T101),AT101,0),IF(AND(NOT(AND(AO101=1,AN101&lt;&gt;1)),ISNUMBER(AI101),AI101&lt;=T101),AU101,0),IF(AND(ISNUMBER(AJ101),AJ101&lt;=T101),AV101,0))),TRUE(),FALSE())</f>
        <v>1</v>
      </c>
      <c r="AS101" s="33" t="n">
        <f aca="false">IFERROR(Upgrades!$H$6*(POWER(Upgrades!$P$6,E101)*POWER(Upgrades!$P$7,F101)*POWER(Upgrades!$P$8,G101)*POWER(Upgrades!$P$9,H101)*POWER(Upgrades!$P$10,I101)*POWER(Upgrades!$P$11,J101)*POWER(Upgrades!$P$12,K101))*(IF(Upgrades!$T$7="Solar Wind",POWER(Upgrades!$U$7,F101),1)*IF(Upgrades!$T$8="Solar Wind",POWER(Upgrades!$U$8,G101),1)*IF(Upgrades!$T$9="Solar Wind",POWER(Upgrades!$U$9,H101),1)*IF(Upgrades!$T$10="Solar Wind",POWER(Upgrades!$U$10,I101),1)*IF(Upgrades!$T$11="Solar Wind",POWER(Upgrades!$U$11,J101),1)*IF(Upgrades!$T$12="Solar Wind",POWER(Upgrades!$U$12,K101),1))/AG101,0)</f>
        <v>0.0026701021455238</v>
      </c>
      <c r="AT101" s="33" t="n">
        <f aca="false">IFERROR(Upgrades!$H$7*(POWER(Upgrades!$P$6,E101)*POWER(Upgrades!$P$7,F101)*POWER(Upgrades!$P$8,G101)*POWER(Upgrades!$P$9,H101)*POWER(Upgrades!$P$10,I101)*POWER(Upgrades!$P$11,J101)*POWER(Upgrades!$P$12,K101))*(IF(Upgrades!$T$6="Asteroid Belt",POWER(Upgrades!$U$6,E101),1)*IF(Upgrades!$T$8="Asteroid Belt",POWER(Upgrades!$U$8,G101),1)*IF(Upgrades!$T$9="Asteroid Belt",POWER(Upgrades!$U$9,H101),1)*IF(Upgrades!$T$10="Asteroid Belt",POWER(Upgrades!$U$10,I101),1)*IF(Upgrades!$T$11="Asteroid Belt",POWER(Upgrades!$U$11,J101),1)*IF(Upgrades!$T$12="Asteroid Belt",POWER(Upgrades!$U$12,K101),1))/AH101,0)</f>
        <v>0.00308980882652332</v>
      </c>
      <c r="AU101" s="33" t="n">
        <f aca="false">IFERROR(Upgrades!$K$8*(POWER(Upgrades!$Q$6,E101)*POWER(Upgrades!$Q$7,F101)*POWER(Upgrades!$Q$8,G101)*POWER(Upgrades!$Q$9,H101)*POWER(Upgrades!$Q$10,I101)*POWER(Upgrades!$Q$11,J101)*POWER(Upgrades!$Q$12,K101))*(IF(Upgrades!$T$6="Stellar Coupling",POWER(Upgrades!$U$6,E101),1)*IF(Upgrades!$T$7="Stellar Coupling",POWER(Upgrades!$U$7,F101),1)*IF(Upgrades!$T$9="Stellar Coupling",POWER(Upgrades!$U$9,H101),1)*IF(Upgrades!$T$10="Stellar Coupling",POWER(Upgrades!$U$10,I101),1)*IF(Upgrades!$T$11="Stellar Coupling",POWER(Upgrades!$U$11,J101),1)*IF(Upgrades!$T$12="Stellar Coupling",POWER(Upgrades!$U$12,K101),1))*Parameters!$B$10*Parameters!$B$11/60/AI101,0)</f>
        <v>0.00452762415783776</v>
      </c>
      <c r="AV101" s="33" t="n">
        <f aca="false">IFERROR(Upgrades!$H$9*(POWER(Upgrades!$P$6,E101)*POWER(Upgrades!$P$7,F101)*POWER(Upgrades!$P$8,G101)*POWER(Upgrades!$P$9,H101)*POWER(Upgrades!$P$10,I101)*POWER(Upgrades!$P$11,J101)*POWER(Upgrades!$P$12,K101))*(IF(Upgrades!$T$6="Magnetosphere",POWER(Upgrades!$U$6,E101),1)*IF(Upgrades!$T$7="Magnetosphere",POWER(Upgrades!$U$7,F101),1)*IF(Upgrades!$T$8="Magnetosphere",POWER(Upgrades!$U$8,G101),1)*IF(Upgrades!$T$10="Magnetosphere",POWER(Upgrades!$U$10,I101),1)*IF(Upgrades!$T$11="Magnetosphere",POWER(Upgrades!$U$11,J101),1)*IF(Upgrades!$T$12="Magnetosphere",POWER(Upgrades!$U$12,K101),1))/AJ101,0)</f>
        <v>0</v>
      </c>
      <c r="AW101" s="33" t="n">
        <f aca="false">MAX(IF(I101&gt;0,0,IFERROR(0.25*N101/Upgrades!$C$10,0)),IF(J101&gt;0,0,IFERROR(0.5*((IF(G101=0,0,(Upgrades!$J$8+G101*Upgrades!$K$8)*POWER(Upgrades!$L$8,G101)))*(IF(Upgrades!$T$6="Stellar Coupling",POWER(Upgrades!$U$6,E101),1)*IF(Upgrades!$T$7="Stellar Coupling",POWER(Upgrades!$U$7,F101),1)*IF(Upgrades!$T$9="Stellar Coupling",POWER(Upgrades!$U$9,H101),1)*IF(Upgrades!$T$10="Stellar Coupling",POWER(Upgrades!$U$10,I101),1)*IF(Upgrades!$T$11="Stellar Coupling",POWER(Upgrades!$U$11,J101),1)*IF(Upgrades!$T$12="Stellar Coupling",POWER(Upgrades!$U$12,K101),1))*(POWER(Upgrades!$Q$6,E101)*POWER(Upgrades!$Q$7,F101)*POWER(Upgrades!$Q$8,G101)*POWER(Upgrades!$Q$9,H101)*POWER(Upgrades!$Q$10,I101)*POWER(Upgrades!$Q$11,J101)*POWER(Upgrades!$Q$12,K101))*Parameters!$B$10*Parameters!$B$11/60)/Upgrades!$C$11,0)),IF(K101&gt;0,0,IFERROR((1*(POWER(Upgrades!$P$6,E101)*POWER(Upgrades!$P$7,F101)*POWER(Upgrades!$P$8,G101)*POWER(Upgrades!$P$9,H101)*POWER(Upgrades!$P$10,I101)*POWER(Upgrades!$P$11,J101)*POWER(Upgrades!$P$12,K101))+0.2*M101*Parameters!$B$10*Parameters!$B$11/60)/Upgrades!$C$12,0)),IF(AND(ISNUMBER(AG101),AG101&gt;T101),AS101,0),IF(AND(ISNUMBER(AH101),AH101&gt;T101),AT101,0),IF(AND(ISNUMBER(AI101),AI101&gt;T101),AU101,0),IF(AND(ISNUMBER(AJ101),AJ101&gt;T101),AV101,0))</f>
        <v>0.00452762415783776</v>
      </c>
      <c r="AX101" s="29" t="str">
        <f aca="false">IF(AN101=1,"transition",IF(MIN(IF(AND(I101=0,ISNUMBER(AK101),AK101&lt;=T101),AK101,9000000000000000),IF(AND(J101=0,ISNUMBER(AL101),AL101&lt;=T101),AL101,9000000000000000),IF(AND(K101=0,ISNUMBER(AM101),AM101&lt;=T101),AM101,9000000000000000))&lt;9000000000000000,IF(AND(AND(I101=0,ISNUMBER(AK101),AK101&lt;=T101),AK101=MIN(IF(AND(I101=0,ISNUMBER(AK101),AK101&lt;=T101),AK101,9000000000000000),IF(AND(J101=0,ISNUMBER(AL101),AL101&lt;=T101),AL101,9000000000000000),IF(AND(K101=0,ISNUMBER(AM101),AM101&lt;=T101),AM101,9000000000000000))),"OR",IF(AND(AND(J101=0,ISNUMBER(AL101),AL101&lt;=T101),AL101=MIN(IF(AND(I101=0,ISNUMBER(AK101),AK101&lt;=T101),AK101,9000000000000000),IF(AND(J101=0,ISNUMBER(AL101),AL101&lt;=T101),AL101,9000000000000000),IF(AND(K101=0,ISNUMBER(AM101),AM101&lt;=T101),AM101,9000000000000000))),"HP","FP")),IF(AR101=TRUE(),"",IF(MAX(IF(AND(NOT(AND(AO101=1,AN101&lt;&gt;1)),ISNUMBER(AG101),AG101&lt;=T101),AS101,0),IF(AND(NOT(AND(AO101=1,AN101&lt;&gt;1)),ISNUMBER(AH101),AH101&lt;=T101),AT101,0),IF(AND(NOT(AND(AO101=1,AN101&lt;&gt;1)),ISNUMBER(AI101),AI101&lt;=T101),AU101,0),IF(AND(ISNUMBER(AJ101),AJ101&lt;=T101),AV101,0))&lt;=0,"",IF(AND(IF(AND(NOT(AND(AO101=1,AN101&lt;&gt;1)),ISNUMBER(AG101),AG101&lt;=T101),AS101,0)&gt;0,IF(AND(NOT(AND(AO101=1,AN101&lt;&gt;1)),ISNUMBER(AG101),AG101&lt;=T101),AS101,0)=MAX(IF(AND(NOT(AND(AO101=1,AN101&lt;&gt;1)),ISNUMBER(AG101),AG101&lt;=T101),AS101,0),IF(AND(NOT(AND(AO101=1,AN101&lt;&gt;1)),ISNUMBER(AH101),AH101&lt;=T101),AT101,0),IF(AND(NOT(AND(AO101=1,AN101&lt;&gt;1)),ISNUMBER(AI101),AI101&lt;=T101),AU101,0),IF(AND(ISNUMBER(AJ101),AJ101&lt;=T101),AV101,0))),"SW",IF(AND(IF(AND(NOT(AND(AO101=1,AN101&lt;&gt;1)),ISNUMBER(AH101),AH101&lt;=T101),AT101,0)&gt;0,IF(AND(NOT(AND(AO101=1,AN101&lt;&gt;1)),ISNUMBER(AH101),AH101&lt;=T101),AT101,0)=MAX(IF(AND(NOT(AND(AO101=1,AN101&lt;&gt;1)),ISNUMBER(AG101),AG101&lt;=T101),AS101,0),IF(AND(NOT(AND(AO101=1,AN101&lt;&gt;1)),ISNUMBER(AH101),AH101&lt;=T101),AT101,0),IF(AND(NOT(AND(AO101=1,AN101&lt;&gt;1)),ISNUMBER(AI101),AI101&lt;=T101),AU101,0),IF(AND(ISNUMBER(AJ101),AJ101&lt;=T101),AV101,0))),"AB",IF(AND(IF(AND(NOT(AND(AO101=1,AN101&lt;&gt;1)),ISNUMBER(AI101),AI101&lt;=T101),AU101,0)&gt;0,IF(AND(NOT(AND(AO101=1,AN101&lt;&gt;1)),ISNUMBER(AI101),AI101&lt;=T101),AU101,0)=MAX(IF(AND(NOT(AND(AO101=1,AN101&lt;&gt;1)),ISNUMBER(AG101),AG101&lt;=T101),AS101,0),IF(AND(NOT(AND(AO101=1,AN101&lt;&gt;1)),ISNUMBER(AH101),AH101&lt;=T101),AT101,0),IF(AND(NOT(AND(AO101=1,AN101&lt;&gt;1)),ISNUMBER(AI101),AI101&lt;=T101),AU101,0),IF(AND(ISNUMBER(AJ101),AJ101&lt;=T101),AV101,0))),"SC","Mag")))))))</f>
        <v/>
      </c>
    </row>
    <row r="102" customFormat="false" ht="15" hidden="false" customHeight="false" outlineLevel="0" collapsed="false">
      <c r="A102" s="26" t="n">
        <v>97</v>
      </c>
      <c r="B102" s="27" t="n">
        <f aca="false">A102*10/60</f>
        <v>16.1666666666667</v>
      </c>
      <c r="C102" s="21" t="n">
        <f aca="false">X101</f>
        <v>18.6730249835055</v>
      </c>
      <c r="D102" s="27" t="n">
        <f aca="false">D101+W101</f>
        <v>0</v>
      </c>
      <c r="E102" s="26" t="n">
        <f aca="false">E101+IF(U101="SW",1,0)</f>
        <v>12</v>
      </c>
      <c r="F102" s="26" t="n">
        <f aca="false">F101+IF(U101="AB",1,0)</f>
        <v>10</v>
      </c>
      <c r="G102" s="26" t="n">
        <f aca="false">G101+IF(U101="SC",1,0)</f>
        <v>7</v>
      </c>
      <c r="H102" s="26" t="n">
        <f aca="false">H101+IF(U101="Mag",1,0)</f>
        <v>5</v>
      </c>
      <c r="I102" s="26" t="n">
        <f aca="false">MAX(I101,IF(U101="OR",1,0))</f>
        <v>1</v>
      </c>
      <c r="J102" s="26" t="n">
        <f aca="false">MAX(J101,IF(U101="HP",1,0))</f>
        <v>1</v>
      </c>
      <c r="K102" s="26" t="n">
        <f aca="false">MAX(K101,IF(U101="FP",1,0))</f>
        <v>1</v>
      </c>
      <c r="L102" s="26" t="n">
        <f aca="false">MAX(L101,IF(U101="transition",1,0))</f>
        <v>1</v>
      </c>
      <c r="M102" s="28" t="n">
        <f aca="false">(Parameters!$B$9+(IF(E102=0,0,(Upgrades!$J$6+E102*Upgrades!$K$6)*POWER(Upgrades!$L$6,E102)))*(IF(Upgrades!$T$7="Solar Wind",POWER(Upgrades!$U$7,F102),1)*IF(Upgrades!$T$8="Solar Wind",POWER(Upgrades!$U$8,G102),1)*IF(Upgrades!$T$9="Solar Wind",POWER(Upgrades!$U$9,H102),1)*IF(Upgrades!$T$10="Solar Wind",POWER(Upgrades!$U$10,I102),1)*IF(Upgrades!$T$11="Solar Wind",POWER(Upgrades!$U$11,J102),1)*IF(Upgrades!$T$12="Solar Wind",POWER(Upgrades!$U$12,K102),1))+(IF(F102=0,0,(Upgrades!$J$7+F102*Upgrades!$K$7)*POWER(Upgrades!$L$7,F102)))*(IF(Upgrades!$T$6="Asteroid Belt",POWER(Upgrades!$U$6,E102),1)*IF(Upgrades!$T$8="Asteroid Belt",POWER(Upgrades!$U$8,G102),1)*IF(Upgrades!$T$9="Asteroid Belt",POWER(Upgrades!$U$9,H102),1)*IF(Upgrades!$T$10="Asteroid Belt",POWER(Upgrades!$U$10,I102),1)*IF(Upgrades!$T$11="Asteroid Belt",POWER(Upgrades!$U$11,J102),1)*IF(Upgrades!$T$12="Asteroid Belt",POWER(Upgrades!$U$12,K102),1))+(IF(G102=0,0,(Upgrades!$J$8+G102*Upgrades!$K$8)*POWER(Upgrades!$L$8,G102)))*(IF(Upgrades!$T$6="Stellar Coupling",POWER(Upgrades!$U$6,E102),1)*IF(Upgrades!$T$7="Stellar Coupling",POWER(Upgrades!$U$7,F102),1)*IF(Upgrades!$T$9="Stellar Coupling",POWER(Upgrades!$U$9,H102),1)*IF(Upgrades!$T$10="Stellar Coupling",POWER(Upgrades!$U$10,I102),1)*IF(Upgrades!$T$11="Stellar Coupling",POWER(Upgrades!$U$11,J102),1)*IF(Upgrades!$T$12="Stellar Coupling",POWER(Upgrades!$U$12,K102),1))+(IF(H102=0,0,(Upgrades!$J$9+H102*Upgrades!$K$9)*POWER(Upgrades!$L$9,H102)))*(IF(Upgrades!$T$6="Magnetosphere",POWER(Upgrades!$U$6,E102),1)*IF(Upgrades!$T$7="Magnetosphere",POWER(Upgrades!$U$7,F102),1)*IF(Upgrades!$T$8="Magnetosphere",POWER(Upgrades!$U$8,G102),1)*IF(Upgrades!$T$10="Magnetosphere",POWER(Upgrades!$U$10,I102),1)*IF(Upgrades!$T$11="Magnetosphere",POWER(Upgrades!$U$11,J102),1)*IF(Upgrades!$T$12="Magnetosphere",POWER(Upgrades!$U$12,K102),1))+(IF(I102=0,0,(Upgrades!$J$10+I102*Upgrades!$K$10)*POWER(Upgrades!$L$10,I102)))*(IF(Upgrades!$T$6="Orbital Resonance",POWER(Upgrades!$U$6,E102),1)*IF(Upgrades!$T$7="Orbital Resonance",POWER(Upgrades!$U$7,F102),1)*IF(Upgrades!$T$8="Orbital Resonance",POWER(Upgrades!$U$8,G102),1)*IF(Upgrades!$T$9="Orbital Resonance",POWER(Upgrades!$U$9,H102),1)*IF(Upgrades!$T$11="Orbital Resonance",POWER(Upgrades!$U$11,J102),1)*IF(Upgrades!$T$12="Orbital Resonance",POWER(Upgrades!$U$12,K102),1))+(IF(J102=0,0,(Upgrades!$J$11+J102*Upgrades!$K$11)*POWER(Upgrades!$L$11,J102)))*(IF(Upgrades!$T$6="Heliopause",POWER(Upgrades!$U$6,E102),1)*IF(Upgrades!$T$7="Heliopause",POWER(Upgrades!$U$7,F102),1)*IF(Upgrades!$T$8="Heliopause",POWER(Upgrades!$U$8,G102),1)*IF(Upgrades!$T$9="Heliopause",POWER(Upgrades!$U$9,H102),1)*IF(Upgrades!$T$10="Heliopause",POWER(Upgrades!$U$10,I102),1)*IF(Upgrades!$T$12="Heliopause",POWER(Upgrades!$U$12,K102),1))+(IF(K102=0,0,(Upgrades!$J$12+K102*Upgrades!$K$12)*POWER(Upgrades!$L$12,K102)))*(IF(Upgrades!$T$6="First Photons",POWER(Upgrades!$U$6,E102),1)*IF(Upgrades!$T$7="First Photons",POWER(Upgrades!$U$7,F102),1)*IF(Upgrades!$T$8="First Photons",POWER(Upgrades!$U$8,G102),1)*IF(Upgrades!$T$9="First Photons",POWER(Upgrades!$U$9,H102),1)*IF(Upgrades!$T$10="First Photons",POWER(Upgrades!$U$10,I102),1)*IF(Upgrades!$T$11="First Photons",POWER(Upgrades!$U$11,J102),1)))*POWER(Upgrades!$Q$6,E102)*POWER(Upgrades!$Q$7,F102)*POWER(Upgrades!$Q$8,G102)*POWER(Upgrades!$Q$9,H102)*POWER(Upgrades!$Q$10,I102)*POWER(Upgrades!$Q$11,J102)*POWER(Upgrades!$Q$12,K102)</f>
        <v>5.61</v>
      </c>
      <c r="N102" s="28" t="n">
        <f aca="false">((IF(E102=0,0,(Upgrades!$G$6+E102*Upgrades!$H$6)*POWER(Upgrades!$I$6,E102)))*(IF(Upgrades!$T$7="Solar Wind",POWER(Upgrades!$U$7,F102),1)*IF(Upgrades!$T$8="Solar Wind",POWER(Upgrades!$U$8,G102),1)*IF(Upgrades!$T$9="Solar Wind",POWER(Upgrades!$U$9,H102),1)*IF(Upgrades!$T$10="Solar Wind",POWER(Upgrades!$U$10,I102),1)*IF(Upgrades!$T$11="Solar Wind",POWER(Upgrades!$U$11,J102),1)*IF(Upgrades!$T$12="Solar Wind",POWER(Upgrades!$U$12,K102),1))+(IF(F102=0,0,(Upgrades!$G$7+F102*Upgrades!$H$7)*POWER(Upgrades!$I$7,F102)))*(IF(Upgrades!$T$6="Asteroid Belt",POWER(Upgrades!$U$6,E102),1)*IF(Upgrades!$T$8="Asteroid Belt",POWER(Upgrades!$U$8,G102),1)*IF(Upgrades!$T$9="Asteroid Belt",POWER(Upgrades!$U$9,H102),1)*IF(Upgrades!$T$10="Asteroid Belt",POWER(Upgrades!$U$10,I102),1)*IF(Upgrades!$T$11="Asteroid Belt",POWER(Upgrades!$U$11,J102),1)*IF(Upgrades!$T$12="Asteroid Belt",POWER(Upgrades!$U$12,K102),1))+(IF(G102=0,0,(Upgrades!$G$8+G102*Upgrades!$H$8)*POWER(Upgrades!$I$8,G102)))*(IF(Upgrades!$T$6="Stellar Coupling",POWER(Upgrades!$U$6,E102),1)*IF(Upgrades!$T$7="Stellar Coupling",POWER(Upgrades!$U$7,F102),1)*IF(Upgrades!$T$9="Stellar Coupling",POWER(Upgrades!$U$9,H102),1)*IF(Upgrades!$T$10="Stellar Coupling",POWER(Upgrades!$U$10,I102),1)*IF(Upgrades!$T$11="Stellar Coupling",POWER(Upgrades!$U$11,J102),1)*IF(Upgrades!$T$12="Stellar Coupling",POWER(Upgrades!$U$12,K102),1))+(IF(H102=0,0,(Upgrades!$G$9+H102*Upgrades!$H$9)*POWER(Upgrades!$I$9,H102)))*(IF(Upgrades!$T$6="Magnetosphere",POWER(Upgrades!$U$6,E102),1)*IF(Upgrades!$T$7="Magnetosphere",POWER(Upgrades!$U$7,F102),1)*IF(Upgrades!$T$8="Magnetosphere",POWER(Upgrades!$U$8,G102),1)*IF(Upgrades!$T$10="Magnetosphere",POWER(Upgrades!$U$10,I102),1)*IF(Upgrades!$T$11="Magnetosphere",POWER(Upgrades!$U$11,J102),1)*IF(Upgrades!$T$12="Magnetosphere",POWER(Upgrades!$U$12,K102),1))+(IF(I102=0,0,(Upgrades!$G$10+I102*Upgrades!$H$10)*POWER(Upgrades!$I$10,I102)))*(IF(Upgrades!$T$6="Orbital Resonance",POWER(Upgrades!$U$6,E102),1)*IF(Upgrades!$T$7="Orbital Resonance",POWER(Upgrades!$U$7,F102),1)*IF(Upgrades!$T$8="Orbital Resonance",POWER(Upgrades!$U$8,G102),1)*IF(Upgrades!$T$9="Orbital Resonance",POWER(Upgrades!$U$9,H102),1)*IF(Upgrades!$T$11="Orbital Resonance",POWER(Upgrades!$U$11,J102),1)*IF(Upgrades!$T$12="Orbital Resonance",POWER(Upgrades!$U$12,K102),1))+(IF(J102=0,0,(Upgrades!$G$11+J102*Upgrades!$H$11)*POWER(Upgrades!$I$11,J102)))*(IF(Upgrades!$T$6="Heliopause",POWER(Upgrades!$U$6,E102),1)*IF(Upgrades!$T$7="Heliopause",POWER(Upgrades!$U$7,F102),1)*IF(Upgrades!$T$8="Heliopause",POWER(Upgrades!$U$8,G102),1)*IF(Upgrades!$T$9="Heliopause",POWER(Upgrades!$U$9,H102),1)*IF(Upgrades!$T$10="Heliopause",POWER(Upgrades!$U$10,I102),1)*IF(Upgrades!$T$12="Heliopause",POWER(Upgrades!$U$12,K102),1))+(IF(K102=0,0,(Upgrades!$G$12+K102*Upgrades!$H$12)*POWER(Upgrades!$I$12,K102)))*(IF(Upgrades!$T$6="First Photons",POWER(Upgrades!$U$6,E102),1)*IF(Upgrades!$T$7="First Photons",POWER(Upgrades!$U$7,F102),1)*IF(Upgrades!$T$8="First Photons",POWER(Upgrades!$U$8,G102),1)*IF(Upgrades!$T$9="First Photons",POWER(Upgrades!$U$9,H102),1)*IF(Upgrades!$T$10="First Photons",POWER(Upgrades!$U$10,I102),1)*IF(Upgrades!$T$11="First Photons",POWER(Upgrades!$U$11,J102),1)))*POWER(Upgrades!$P$6,E102)*POWER(Upgrades!$P$7,F102)*POWER(Upgrades!$P$8,G102)*POWER(Upgrades!$P$9,H102)*POWER(Upgrades!$P$10,I102)*POWER(Upgrades!$P$11,J102)*POWER(Upgrades!$P$12,K102)</f>
        <v>11.2</v>
      </c>
      <c r="O102" s="28" t="n">
        <f aca="false">((IF(E102=0,0,(Upgrades!$M$6+E102*Upgrades!$N$6)*POWER(Upgrades!$O$6,E102)))*(IF(Upgrades!$T$7="Solar Wind",POWER(Upgrades!$U$7,F102),1)*IF(Upgrades!$T$8="Solar Wind",POWER(Upgrades!$U$8,G102),1)*IF(Upgrades!$T$9="Solar Wind",POWER(Upgrades!$U$9,H102),1)*IF(Upgrades!$T$10="Solar Wind",POWER(Upgrades!$U$10,I102),1)*IF(Upgrades!$T$11="Solar Wind",POWER(Upgrades!$U$11,J102),1)*IF(Upgrades!$T$12="Solar Wind",POWER(Upgrades!$U$12,K102),1))+(IF(F102=0,0,(Upgrades!$M$7+F102*Upgrades!$N$7)*POWER(Upgrades!$O$7,F102)))*(IF(Upgrades!$T$6="Asteroid Belt",POWER(Upgrades!$U$6,E102),1)*IF(Upgrades!$T$8="Asteroid Belt",POWER(Upgrades!$U$8,G102),1)*IF(Upgrades!$T$9="Asteroid Belt",POWER(Upgrades!$U$9,H102),1)*IF(Upgrades!$T$10="Asteroid Belt",POWER(Upgrades!$U$10,I102),1)*IF(Upgrades!$T$11="Asteroid Belt",POWER(Upgrades!$U$11,J102),1)*IF(Upgrades!$T$12="Asteroid Belt",POWER(Upgrades!$U$12,K102),1))+(IF(G102=0,0,(Upgrades!$M$8+G102*Upgrades!$N$8)*POWER(Upgrades!$O$8,G102)))*(IF(Upgrades!$T$6="Stellar Coupling",POWER(Upgrades!$U$6,E102),1)*IF(Upgrades!$T$7="Stellar Coupling",POWER(Upgrades!$U$7,F102),1)*IF(Upgrades!$T$9="Stellar Coupling",POWER(Upgrades!$U$9,H102),1)*IF(Upgrades!$T$10="Stellar Coupling",POWER(Upgrades!$U$10,I102),1)*IF(Upgrades!$T$11="Stellar Coupling",POWER(Upgrades!$U$11,J102),1)*IF(Upgrades!$T$12="Stellar Coupling",POWER(Upgrades!$U$12,K102),1))+(IF(H102=0,0,(Upgrades!$M$9+H102*Upgrades!$N$9)*POWER(Upgrades!$O$9,H102)))*(IF(Upgrades!$T$6="Magnetosphere",POWER(Upgrades!$U$6,E102),1)*IF(Upgrades!$T$7="Magnetosphere",POWER(Upgrades!$U$7,F102),1)*IF(Upgrades!$T$8="Magnetosphere",POWER(Upgrades!$U$8,G102),1)*IF(Upgrades!$T$10="Magnetosphere",POWER(Upgrades!$U$10,I102),1)*IF(Upgrades!$T$11="Magnetosphere",POWER(Upgrades!$U$11,J102),1)*IF(Upgrades!$T$12="Magnetosphere",POWER(Upgrades!$U$12,K102),1))+(IF(I102=0,0,(Upgrades!$M$10+I102*Upgrades!$N$10)*POWER(Upgrades!$O$10,I102)))*(IF(Upgrades!$T$6="Orbital Resonance",POWER(Upgrades!$U$6,E102),1)*IF(Upgrades!$T$7="Orbital Resonance",POWER(Upgrades!$U$7,F102),1)*IF(Upgrades!$T$8="Orbital Resonance",POWER(Upgrades!$U$8,G102),1)*IF(Upgrades!$T$9="Orbital Resonance",POWER(Upgrades!$U$9,H102),1)*IF(Upgrades!$T$11="Orbital Resonance",POWER(Upgrades!$U$11,J102),1)*IF(Upgrades!$T$12="Orbital Resonance",POWER(Upgrades!$U$12,K102),1))+(IF(J102=0,0,(Upgrades!$M$11+J102*Upgrades!$N$11)*POWER(Upgrades!$O$11,J102)))*(IF(Upgrades!$T$6="Heliopause",POWER(Upgrades!$U$6,E102),1)*IF(Upgrades!$T$7="Heliopause",POWER(Upgrades!$U$7,F102),1)*IF(Upgrades!$T$8="Heliopause",POWER(Upgrades!$U$8,G102),1)*IF(Upgrades!$T$9="Heliopause",POWER(Upgrades!$U$9,H102),1)*IF(Upgrades!$T$10="Heliopause",POWER(Upgrades!$U$10,I102),1)*IF(Upgrades!$T$12="Heliopause",POWER(Upgrades!$U$12,K102),1))+(IF(K102=0,0,(Upgrades!$M$12+K102*Upgrades!$N$12)*POWER(Upgrades!$O$12,K102)))*(IF(Upgrades!$T$6="First Photons",POWER(Upgrades!$U$6,E102),1)*IF(Upgrades!$T$7="First Photons",POWER(Upgrades!$U$7,F102),1)*IF(Upgrades!$T$8="First Photons",POWER(Upgrades!$U$8,G102),1)*IF(Upgrades!$T$9="First Photons",POWER(Upgrades!$U$9,H102),1)*IF(Upgrades!$T$10="First Photons",POWER(Upgrades!$U$10,I102),1)*IF(Upgrades!$T$11="First Photons",POWER(Upgrades!$U$11,J102),1)))*POWER(Upgrades!$R$6,E102)*POWER(Upgrades!$R$7,F102)*POWER(Upgrades!$R$8,G102)*POWER(Upgrades!$R$9,H102)*POWER(Upgrades!$R$10,I102)*POWER(Upgrades!$R$11,J102)*POWER(Upgrades!$R$12,K102)</f>
        <v>0</v>
      </c>
      <c r="P102" s="27" t="n">
        <f aca="false">IF(L102=1,0,M102*Parameters!$B$10/60*Parameters!$B$11*10)</f>
        <v>0</v>
      </c>
      <c r="Q102" s="27" t="n">
        <f aca="false">IF(L102=1,0,O102*M102*10)</f>
        <v>0</v>
      </c>
      <c r="R102" s="27" t="n">
        <f aca="false">IF(L102=1,0,N102*10)</f>
        <v>0</v>
      </c>
      <c r="S102" s="27" t="n">
        <f aca="false">P102+Q102+R102</f>
        <v>0</v>
      </c>
      <c r="T102" s="21" t="n">
        <f aca="false">C102+S102</f>
        <v>18.6730249835055</v>
      </c>
      <c r="U102" s="34" t="str">
        <f aca="false">AX102</f>
        <v/>
      </c>
      <c r="V102" s="21" t="n">
        <f aca="false">IF(U102="",0,IF(U102="transition",0,IF(U102="SW",AG102,IF(U102="AB",AH102,IF(U102="SC",AI102,IF(U102="Mag",AJ102,IF(U102="OR",AK102,IF(U102="HP",AL102,IF(U102="FP",AM102,0)))))))))</f>
        <v>0</v>
      </c>
      <c r="W102" s="27" t="n">
        <f aca="false">IF(U102="OR",Upgrades!$F$10,IF(U102="HP",Upgrades!$F$11,IF(U102="transition",-Parameters!$B$18,0)))</f>
        <v>0</v>
      </c>
      <c r="X102" s="21" t="n">
        <f aca="false">T102-V102</f>
        <v>18.6730249835055</v>
      </c>
      <c r="Y102" s="30" t="n">
        <f aca="false">M102*Parameters!$B$10/60*Parameters!$B$11+O102*M102+N102</f>
        <v>20.55</v>
      </c>
      <c r="Z102" s="35" t="str">
        <f aca="false">IF(U102="transition","→ Tier 2 (Stellar Neighborhood)",IF(U102="FP","First Photons — light begins, system quickens",IF(U102="HP","Heliopause acquired",IF(U102="OR","Orbital Resonance — passive multiplier active",IF(AND(AO102=1,L102=0,AN102&lt;&gt;1),"Cohesion ready (waiting on completionist upgrades)","")))))</f>
        <v/>
      </c>
      <c r="AA102" s="27" t="n">
        <f aca="false">(IF(E102=0,0,(Upgrades!$G$6+E102*Upgrades!$H$6)*POWER(Upgrades!$I$6,E102)))*(IF(Upgrades!$T$7="Solar Wind",POWER(Upgrades!$U$7,F102),1)*IF(Upgrades!$T$8="Solar Wind",POWER(Upgrades!$U$8,G102),1)*IF(Upgrades!$T$9="Solar Wind",POWER(Upgrades!$U$9,H102),1)*IF(Upgrades!$T$10="Solar Wind",POWER(Upgrades!$U$10,I102),1)*IF(Upgrades!$T$11="Solar Wind",POWER(Upgrades!$U$11,J102),1)*IF(Upgrades!$T$12="Solar Wind",POWER(Upgrades!$U$12,K102),1))*POWER(Upgrades!$P$6,E102)*POWER(Upgrades!$P$7,F102)*POWER(Upgrades!$P$8,G102)*POWER(Upgrades!$P$9,H102)*POWER(Upgrades!$P$10,I102)*POWER(Upgrades!$P$11,J102)*POWER(Upgrades!$P$12,K102)*60</f>
        <v>72</v>
      </c>
      <c r="AB102" s="27" t="n">
        <f aca="false">(IF(F102=0,0,(Upgrades!$G$7+F102*Upgrades!$H$7)*POWER(Upgrades!$I$7,F102)))*(IF(Upgrades!$T$6="Asteroid Belt",POWER(Upgrades!$U$6,E102),1)*IF(Upgrades!$T$8="Asteroid Belt",POWER(Upgrades!$U$8,G102),1)*IF(Upgrades!$T$9="Asteroid Belt",POWER(Upgrades!$U$9,H102),1)*IF(Upgrades!$T$10="Asteroid Belt",POWER(Upgrades!$U$10,I102),1)*IF(Upgrades!$T$11="Asteroid Belt",POWER(Upgrades!$U$11,J102),1)*IF(Upgrades!$T$12="Asteroid Belt",POWER(Upgrades!$U$12,K102),1))*POWER(Upgrades!$P$6,E102)*POWER(Upgrades!$P$7,F102)*POWER(Upgrades!$P$8,G102)*POWER(Upgrades!$P$9,H102)*POWER(Upgrades!$P$10,I102)*POWER(Upgrades!$P$11,J102)*POWER(Upgrades!$P$12,K102)*60</f>
        <v>150</v>
      </c>
      <c r="AC102" s="27" t="n">
        <f aca="false">(IF(G102=0,0,(Upgrades!$J$8+G102*Upgrades!$K$8)*POWER(Upgrades!$L$8,G102)))*(IF(Upgrades!$T$6="Stellar Coupling",POWER(Upgrades!$U$6,E102),1)*IF(Upgrades!$T$7="Stellar Coupling",POWER(Upgrades!$U$7,F102),1)*IF(Upgrades!$T$9="Stellar Coupling",POWER(Upgrades!$U$9,H102),1)*IF(Upgrades!$T$10="Stellar Coupling",POWER(Upgrades!$U$10,I102),1)*IF(Upgrades!$T$11="Stellar Coupling",POWER(Upgrades!$U$11,J102),1)*IF(Upgrades!$T$12="Stellar Coupling",POWER(Upgrades!$U$12,K102),1))*POWER(Upgrades!$Q$6,E102)*POWER(Upgrades!$Q$7,F102)*POWER(Upgrades!$Q$8,G102)*POWER(Upgrades!$Q$9,H102)*POWER(Upgrades!$Q$10,I102)*POWER(Upgrades!$Q$11,J102)*POWER(Upgrades!$Q$12,K102)*Parameters!$B$10*Parameters!$B$11</f>
        <v>441</v>
      </c>
      <c r="AD102" s="27" t="n">
        <f aca="false">(IF(H102=0,0,(Upgrades!$G$9+H102*Upgrades!$H$9)*POWER(Upgrades!$I$9,H102)))*(IF(Upgrades!$T$6="Magnetosphere",POWER(Upgrades!$U$6,E102),1)*IF(Upgrades!$T$7="Magnetosphere",POWER(Upgrades!$U$7,F102),1)*IF(Upgrades!$T$8="Magnetosphere",POWER(Upgrades!$U$8,G102),1)*IF(Upgrades!$T$10="Magnetosphere",POWER(Upgrades!$U$10,I102),1)*IF(Upgrades!$T$11="Magnetosphere",POWER(Upgrades!$U$11,J102),1)*IF(Upgrades!$T$12="Magnetosphere",POWER(Upgrades!$U$12,K102),1))*POWER(Upgrades!$P$6,E102)*POWER(Upgrades!$P$7,F102)*POWER(Upgrades!$P$8,G102)*POWER(Upgrades!$P$9,H102)*POWER(Upgrades!$P$10,I102)*POWER(Upgrades!$P$11,J102)*POWER(Upgrades!$P$12,K102)*60</f>
        <v>375</v>
      </c>
      <c r="AE102" s="27" t="n">
        <f aca="false">(IF(K102=0,0,(Upgrades!$G$12+K102*Upgrades!$H$12)*POWER(Upgrades!$I$12,K102)))*(IF(Upgrades!$T$6="First Photons",POWER(Upgrades!$U$6,E102),1)*IF(Upgrades!$T$7="First Photons",POWER(Upgrades!$U$7,F102),1)*IF(Upgrades!$T$8="First Photons",POWER(Upgrades!$U$8,G102),1)*IF(Upgrades!$T$9="First Photons",POWER(Upgrades!$U$9,H102),1)*IF(Upgrades!$T$10="First Photons",POWER(Upgrades!$U$10,I102),1)*IF(Upgrades!$T$11="First Photons",POWER(Upgrades!$U$11,J102),1))*POWER(Upgrades!$P$6,E102)*POWER(Upgrades!$P$7,F102)*POWER(Upgrades!$P$8,G102)*POWER(Upgrades!$P$9,H102)*POWER(Upgrades!$P$10,I102)*POWER(Upgrades!$P$11,J102)*POWER(Upgrades!$P$12,K102)*60</f>
        <v>75</v>
      </c>
      <c r="AF102" s="27" t="n">
        <f aca="false">Parameters!$B$9*POWER(Upgrades!$Q$6,E102)*POWER(Upgrades!$Q$7,F102)*POWER(Upgrades!$Q$8,G102)*POWER(Upgrades!$Q$9,H102)*POWER(Upgrades!$Q$10,I102)*POWER(Upgrades!$Q$11,J102)*POWER(Upgrades!$Q$12,K102)*(Parameters!$B$10*Parameters!$B$11+O102*60)</f>
        <v>120</v>
      </c>
      <c r="AG102" s="21" t="n">
        <f aca="false">IF(E102&gt;=Upgrades!$E$6,"",Upgrades!$C$6*POWER(Upgrades!$D$6,E102))</f>
        <v>37.4517507383159</v>
      </c>
      <c r="AH102" s="21" t="n">
        <f aca="false">IF(F102&gt;=Upgrades!$E$7,"",Upgrades!$C$7*POWER(Upgrades!$D$7,F102))</f>
        <v>80.9111547141581</v>
      </c>
      <c r="AI102" s="21" t="n">
        <f aca="false">IF(G102&gt;=Upgrades!$E$8,"",Upgrades!$C$8*POWER(Upgrades!$D$8,G102))</f>
        <v>231.9097088</v>
      </c>
      <c r="AJ102" s="21" t="str">
        <f aca="false">IF(H102&gt;=Upgrades!$E$9,"",Upgrades!$C$9*POWER(Upgrades!$D$9,H102))</f>
        <v/>
      </c>
      <c r="AK102" s="21" t="str">
        <f aca="false">IF(I102&gt;=Upgrades!$E$10,"",Upgrades!$C$10*POWER(Upgrades!$D$10,I102))</f>
        <v/>
      </c>
      <c r="AL102" s="21" t="str">
        <f aca="false">IF(J102&gt;=Upgrades!$E$11,"",Upgrades!$C$11*POWER(Upgrades!$D$11,J102))</f>
        <v/>
      </c>
      <c r="AM102" s="21" t="str">
        <f aca="false">IF(K102&gt;=Upgrades!$E$12,"",Upgrades!$C$12*POWER(Upgrades!$D$12,K102))</f>
        <v/>
      </c>
      <c r="AN102" s="26" t="str">
        <f aca="false">IF(AND(D102&gt;=Parameters!$B$18,(H102&gt;=Upgrades!$E$9)*(K102&gt;=Upgrades!$E$12)=1,L102=0),1,"")</f>
        <v/>
      </c>
      <c r="AO102" s="26" t="str">
        <f aca="false">IF(AND(D102&gt;=Parameters!$B$18,L102=0),1,"")</f>
        <v/>
      </c>
      <c r="AP102" s="21" t="n">
        <f aca="false">MIN(IF(ISNUMBER(AK102),AK102,9000000000000000),IF(ISNUMBER(AL102),AL102,9000000000000000),IF(ISNUMBER(AM102),AM102,9000000000000000))</f>
        <v>9000000000000000</v>
      </c>
      <c r="AQ102" s="21" t="n">
        <f aca="false">MIN(IF(ISNUMBER(AG102),AG102,9000000000000000),IF(ISNUMBER(AH102),AH102,9000000000000000),IF(ISNUMBER(AI102),AI102,9000000000000000),IF(ISNUMBER(AJ102),AJ102,9000000000000000))</f>
        <v>37.4517507383159</v>
      </c>
      <c r="AR102" s="32" t="b">
        <f aca="false">IF(AW102&gt;Parameters!$B$21*(MAX(IF(AND(NOT(AND(AO102=1,AN102&lt;&gt;1)),ISNUMBER(AG102),AG102&lt;=T102),AS102,0),IF(AND(NOT(AND(AO102=1,AN102&lt;&gt;1)),ISNUMBER(AH102),AH102&lt;=T102),AT102,0),IF(AND(NOT(AND(AO102=1,AN102&lt;&gt;1)),ISNUMBER(AI102),AI102&lt;=T102),AU102,0),IF(AND(ISNUMBER(AJ102),AJ102&lt;=T102),AV102,0))),TRUE(),FALSE())</f>
        <v>1</v>
      </c>
      <c r="AS102" s="33" t="n">
        <f aca="false">IFERROR(Upgrades!$H$6*(POWER(Upgrades!$P$6,E102)*POWER(Upgrades!$P$7,F102)*POWER(Upgrades!$P$8,G102)*POWER(Upgrades!$P$9,H102)*POWER(Upgrades!$P$10,I102)*POWER(Upgrades!$P$11,J102)*POWER(Upgrades!$P$12,K102))*(IF(Upgrades!$T$7="Solar Wind",POWER(Upgrades!$U$7,F102),1)*IF(Upgrades!$T$8="Solar Wind",POWER(Upgrades!$U$8,G102),1)*IF(Upgrades!$T$9="Solar Wind",POWER(Upgrades!$U$9,H102),1)*IF(Upgrades!$T$10="Solar Wind",POWER(Upgrades!$U$10,I102),1)*IF(Upgrades!$T$11="Solar Wind",POWER(Upgrades!$U$11,J102),1)*IF(Upgrades!$T$12="Solar Wind",POWER(Upgrades!$U$12,K102),1))/AG102,0)</f>
        <v>0.0026701021455238</v>
      </c>
      <c r="AT102" s="33" t="n">
        <f aca="false">IFERROR(Upgrades!$H$7*(POWER(Upgrades!$P$6,E102)*POWER(Upgrades!$P$7,F102)*POWER(Upgrades!$P$8,G102)*POWER(Upgrades!$P$9,H102)*POWER(Upgrades!$P$10,I102)*POWER(Upgrades!$P$11,J102)*POWER(Upgrades!$P$12,K102))*(IF(Upgrades!$T$6="Asteroid Belt",POWER(Upgrades!$U$6,E102),1)*IF(Upgrades!$T$8="Asteroid Belt",POWER(Upgrades!$U$8,G102),1)*IF(Upgrades!$T$9="Asteroid Belt",POWER(Upgrades!$U$9,H102),1)*IF(Upgrades!$T$10="Asteroid Belt",POWER(Upgrades!$U$10,I102),1)*IF(Upgrades!$T$11="Asteroid Belt",POWER(Upgrades!$U$11,J102),1)*IF(Upgrades!$T$12="Asteroid Belt",POWER(Upgrades!$U$12,K102),1))/AH102,0)</f>
        <v>0.00308980882652332</v>
      </c>
      <c r="AU102" s="33" t="n">
        <f aca="false">IFERROR(Upgrades!$K$8*(POWER(Upgrades!$Q$6,E102)*POWER(Upgrades!$Q$7,F102)*POWER(Upgrades!$Q$8,G102)*POWER(Upgrades!$Q$9,H102)*POWER(Upgrades!$Q$10,I102)*POWER(Upgrades!$Q$11,J102)*POWER(Upgrades!$Q$12,K102))*(IF(Upgrades!$T$6="Stellar Coupling",POWER(Upgrades!$U$6,E102),1)*IF(Upgrades!$T$7="Stellar Coupling",POWER(Upgrades!$U$7,F102),1)*IF(Upgrades!$T$9="Stellar Coupling",POWER(Upgrades!$U$9,H102),1)*IF(Upgrades!$T$10="Stellar Coupling",POWER(Upgrades!$U$10,I102),1)*IF(Upgrades!$T$11="Stellar Coupling",POWER(Upgrades!$U$11,J102),1)*IF(Upgrades!$T$12="Stellar Coupling",POWER(Upgrades!$U$12,K102),1))*Parameters!$B$10*Parameters!$B$11/60/AI102,0)</f>
        <v>0.00452762415783776</v>
      </c>
      <c r="AV102" s="33" t="n">
        <f aca="false">IFERROR(Upgrades!$H$9*(POWER(Upgrades!$P$6,E102)*POWER(Upgrades!$P$7,F102)*POWER(Upgrades!$P$8,G102)*POWER(Upgrades!$P$9,H102)*POWER(Upgrades!$P$10,I102)*POWER(Upgrades!$P$11,J102)*POWER(Upgrades!$P$12,K102))*(IF(Upgrades!$T$6="Magnetosphere",POWER(Upgrades!$U$6,E102),1)*IF(Upgrades!$T$7="Magnetosphere",POWER(Upgrades!$U$7,F102),1)*IF(Upgrades!$T$8="Magnetosphere",POWER(Upgrades!$U$8,G102),1)*IF(Upgrades!$T$10="Magnetosphere",POWER(Upgrades!$U$10,I102),1)*IF(Upgrades!$T$11="Magnetosphere",POWER(Upgrades!$U$11,J102),1)*IF(Upgrades!$T$12="Magnetosphere",POWER(Upgrades!$U$12,K102),1))/AJ102,0)</f>
        <v>0</v>
      </c>
      <c r="AW102" s="33" t="n">
        <f aca="false">MAX(IF(I102&gt;0,0,IFERROR(0.25*N102/Upgrades!$C$10,0)),IF(J102&gt;0,0,IFERROR(0.5*((IF(G102=0,0,(Upgrades!$J$8+G102*Upgrades!$K$8)*POWER(Upgrades!$L$8,G102)))*(IF(Upgrades!$T$6="Stellar Coupling",POWER(Upgrades!$U$6,E102),1)*IF(Upgrades!$T$7="Stellar Coupling",POWER(Upgrades!$U$7,F102),1)*IF(Upgrades!$T$9="Stellar Coupling",POWER(Upgrades!$U$9,H102),1)*IF(Upgrades!$T$10="Stellar Coupling",POWER(Upgrades!$U$10,I102),1)*IF(Upgrades!$T$11="Stellar Coupling",POWER(Upgrades!$U$11,J102),1)*IF(Upgrades!$T$12="Stellar Coupling",POWER(Upgrades!$U$12,K102),1))*(POWER(Upgrades!$Q$6,E102)*POWER(Upgrades!$Q$7,F102)*POWER(Upgrades!$Q$8,G102)*POWER(Upgrades!$Q$9,H102)*POWER(Upgrades!$Q$10,I102)*POWER(Upgrades!$Q$11,J102)*POWER(Upgrades!$Q$12,K102))*Parameters!$B$10*Parameters!$B$11/60)/Upgrades!$C$11,0)),IF(K102&gt;0,0,IFERROR((1*(POWER(Upgrades!$P$6,E102)*POWER(Upgrades!$P$7,F102)*POWER(Upgrades!$P$8,G102)*POWER(Upgrades!$P$9,H102)*POWER(Upgrades!$P$10,I102)*POWER(Upgrades!$P$11,J102)*POWER(Upgrades!$P$12,K102))+0.2*M102*Parameters!$B$10*Parameters!$B$11/60)/Upgrades!$C$12,0)),IF(AND(ISNUMBER(AG102),AG102&gt;T102),AS102,0),IF(AND(ISNUMBER(AH102),AH102&gt;T102),AT102,0),IF(AND(ISNUMBER(AI102),AI102&gt;T102),AU102,0),IF(AND(ISNUMBER(AJ102),AJ102&gt;T102),AV102,0))</f>
        <v>0.00452762415783776</v>
      </c>
      <c r="AX102" s="29" t="str">
        <f aca="false">IF(AN102=1,"transition",IF(MIN(IF(AND(I102=0,ISNUMBER(AK102),AK102&lt;=T102),AK102,9000000000000000),IF(AND(J102=0,ISNUMBER(AL102),AL102&lt;=T102),AL102,9000000000000000),IF(AND(K102=0,ISNUMBER(AM102),AM102&lt;=T102),AM102,9000000000000000))&lt;9000000000000000,IF(AND(AND(I102=0,ISNUMBER(AK102),AK102&lt;=T102),AK102=MIN(IF(AND(I102=0,ISNUMBER(AK102),AK102&lt;=T102),AK102,9000000000000000),IF(AND(J102=0,ISNUMBER(AL102),AL102&lt;=T102),AL102,9000000000000000),IF(AND(K102=0,ISNUMBER(AM102),AM102&lt;=T102),AM102,9000000000000000))),"OR",IF(AND(AND(J102=0,ISNUMBER(AL102),AL102&lt;=T102),AL102=MIN(IF(AND(I102=0,ISNUMBER(AK102),AK102&lt;=T102),AK102,9000000000000000),IF(AND(J102=0,ISNUMBER(AL102),AL102&lt;=T102),AL102,9000000000000000),IF(AND(K102=0,ISNUMBER(AM102),AM102&lt;=T102),AM102,9000000000000000))),"HP","FP")),IF(AR102=TRUE(),"",IF(MAX(IF(AND(NOT(AND(AO102=1,AN102&lt;&gt;1)),ISNUMBER(AG102),AG102&lt;=T102),AS102,0),IF(AND(NOT(AND(AO102=1,AN102&lt;&gt;1)),ISNUMBER(AH102),AH102&lt;=T102),AT102,0),IF(AND(NOT(AND(AO102=1,AN102&lt;&gt;1)),ISNUMBER(AI102),AI102&lt;=T102),AU102,0),IF(AND(ISNUMBER(AJ102),AJ102&lt;=T102),AV102,0))&lt;=0,"",IF(AND(IF(AND(NOT(AND(AO102=1,AN102&lt;&gt;1)),ISNUMBER(AG102),AG102&lt;=T102),AS102,0)&gt;0,IF(AND(NOT(AND(AO102=1,AN102&lt;&gt;1)),ISNUMBER(AG102),AG102&lt;=T102),AS102,0)=MAX(IF(AND(NOT(AND(AO102=1,AN102&lt;&gt;1)),ISNUMBER(AG102),AG102&lt;=T102),AS102,0),IF(AND(NOT(AND(AO102=1,AN102&lt;&gt;1)),ISNUMBER(AH102),AH102&lt;=T102),AT102,0),IF(AND(NOT(AND(AO102=1,AN102&lt;&gt;1)),ISNUMBER(AI102),AI102&lt;=T102),AU102,0),IF(AND(ISNUMBER(AJ102),AJ102&lt;=T102),AV102,0))),"SW",IF(AND(IF(AND(NOT(AND(AO102=1,AN102&lt;&gt;1)),ISNUMBER(AH102),AH102&lt;=T102),AT102,0)&gt;0,IF(AND(NOT(AND(AO102=1,AN102&lt;&gt;1)),ISNUMBER(AH102),AH102&lt;=T102),AT102,0)=MAX(IF(AND(NOT(AND(AO102=1,AN102&lt;&gt;1)),ISNUMBER(AG102),AG102&lt;=T102),AS102,0),IF(AND(NOT(AND(AO102=1,AN102&lt;&gt;1)),ISNUMBER(AH102),AH102&lt;=T102),AT102,0),IF(AND(NOT(AND(AO102=1,AN102&lt;&gt;1)),ISNUMBER(AI102),AI102&lt;=T102),AU102,0),IF(AND(ISNUMBER(AJ102),AJ102&lt;=T102),AV102,0))),"AB",IF(AND(IF(AND(NOT(AND(AO102=1,AN102&lt;&gt;1)),ISNUMBER(AI102),AI102&lt;=T102),AU102,0)&gt;0,IF(AND(NOT(AND(AO102=1,AN102&lt;&gt;1)),ISNUMBER(AI102),AI102&lt;=T102),AU102,0)=MAX(IF(AND(NOT(AND(AO102=1,AN102&lt;&gt;1)),ISNUMBER(AG102),AG102&lt;=T102),AS102,0),IF(AND(NOT(AND(AO102=1,AN102&lt;&gt;1)),ISNUMBER(AH102),AH102&lt;=T102),AT102,0),IF(AND(NOT(AND(AO102=1,AN102&lt;&gt;1)),ISNUMBER(AI102),AI102&lt;=T102),AU102,0),IF(AND(ISNUMBER(AJ102),AJ102&lt;=T102),AV102,0))),"SC","Mag")))))))</f>
        <v/>
      </c>
    </row>
    <row r="103" customFormat="false" ht="15" hidden="false" customHeight="false" outlineLevel="0" collapsed="false">
      <c r="A103" s="26" t="n">
        <v>98</v>
      </c>
      <c r="B103" s="27" t="n">
        <f aca="false">A103*10/60</f>
        <v>16.3333333333333</v>
      </c>
      <c r="C103" s="21" t="n">
        <f aca="false">X102</f>
        <v>18.6730249835055</v>
      </c>
      <c r="D103" s="27" t="n">
        <f aca="false">D102+W102</f>
        <v>0</v>
      </c>
      <c r="E103" s="26" t="n">
        <f aca="false">E102+IF(U102="SW",1,0)</f>
        <v>12</v>
      </c>
      <c r="F103" s="26" t="n">
        <f aca="false">F102+IF(U102="AB",1,0)</f>
        <v>10</v>
      </c>
      <c r="G103" s="26" t="n">
        <f aca="false">G102+IF(U102="SC",1,0)</f>
        <v>7</v>
      </c>
      <c r="H103" s="26" t="n">
        <f aca="false">H102+IF(U102="Mag",1,0)</f>
        <v>5</v>
      </c>
      <c r="I103" s="26" t="n">
        <f aca="false">MAX(I102,IF(U102="OR",1,0))</f>
        <v>1</v>
      </c>
      <c r="J103" s="26" t="n">
        <f aca="false">MAX(J102,IF(U102="HP",1,0))</f>
        <v>1</v>
      </c>
      <c r="K103" s="26" t="n">
        <f aca="false">MAX(K102,IF(U102="FP",1,0))</f>
        <v>1</v>
      </c>
      <c r="L103" s="26" t="n">
        <f aca="false">MAX(L102,IF(U102="transition",1,0))</f>
        <v>1</v>
      </c>
      <c r="M103" s="28" t="n">
        <f aca="false">(Parameters!$B$9+(IF(E103=0,0,(Upgrades!$J$6+E103*Upgrades!$K$6)*POWER(Upgrades!$L$6,E103)))*(IF(Upgrades!$T$7="Solar Wind",POWER(Upgrades!$U$7,F103),1)*IF(Upgrades!$T$8="Solar Wind",POWER(Upgrades!$U$8,G103),1)*IF(Upgrades!$T$9="Solar Wind",POWER(Upgrades!$U$9,H103),1)*IF(Upgrades!$T$10="Solar Wind",POWER(Upgrades!$U$10,I103),1)*IF(Upgrades!$T$11="Solar Wind",POWER(Upgrades!$U$11,J103),1)*IF(Upgrades!$T$12="Solar Wind",POWER(Upgrades!$U$12,K103),1))+(IF(F103=0,0,(Upgrades!$J$7+F103*Upgrades!$K$7)*POWER(Upgrades!$L$7,F103)))*(IF(Upgrades!$T$6="Asteroid Belt",POWER(Upgrades!$U$6,E103),1)*IF(Upgrades!$T$8="Asteroid Belt",POWER(Upgrades!$U$8,G103),1)*IF(Upgrades!$T$9="Asteroid Belt",POWER(Upgrades!$U$9,H103),1)*IF(Upgrades!$T$10="Asteroid Belt",POWER(Upgrades!$U$10,I103),1)*IF(Upgrades!$T$11="Asteroid Belt",POWER(Upgrades!$U$11,J103),1)*IF(Upgrades!$T$12="Asteroid Belt",POWER(Upgrades!$U$12,K103),1))+(IF(G103=0,0,(Upgrades!$J$8+G103*Upgrades!$K$8)*POWER(Upgrades!$L$8,G103)))*(IF(Upgrades!$T$6="Stellar Coupling",POWER(Upgrades!$U$6,E103),1)*IF(Upgrades!$T$7="Stellar Coupling",POWER(Upgrades!$U$7,F103),1)*IF(Upgrades!$T$9="Stellar Coupling",POWER(Upgrades!$U$9,H103),1)*IF(Upgrades!$T$10="Stellar Coupling",POWER(Upgrades!$U$10,I103),1)*IF(Upgrades!$T$11="Stellar Coupling",POWER(Upgrades!$U$11,J103),1)*IF(Upgrades!$T$12="Stellar Coupling",POWER(Upgrades!$U$12,K103),1))+(IF(H103=0,0,(Upgrades!$J$9+H103*Upgrades!$K$9)*POWER(Upgrades!$L$9,H103)))*(IF(Upgrades!$T$6="Magnetosphere",POWER(Upgrades!$U$6,E103),1)*IF(Upgrades!$T$7="Magnetosphere",POWER(Upgrades!$U$7,F103),1)*IF(Upgrades!$T$8="Magnetosphere",POWER(Upgrades!$U$8,G103),1)*IF(Upgrades!$T$10="Magnetosphere",POWER(Upgrades!$U$10,I103),1)*IF(Upgrades!$T$11="Magnetosphere",POWER(Upgrades!$U$11,J103),1)*IF(Upgrades!$T$12="Magnetosphere",POWER(Upgrades!$U$12,K103),1))+(IF(I103=0,0,(Upgrades!$J$10+I103*Upgrades!$K$10)*POWER(Upgrades!$L$10,I103)))*(IF(Upgrades!$T$6="Orbital Resonance",POWER(Upgrades!$U$6,E103),1)*IF(Upgrades!$T$7="Orbital Resonance",POWER(Upgrades!$U$7,F103),1)*IF(Upgrades!$T$8="Orbital Resonance",POWER(Upgrades!$U$8,G103),1)*IF(Upgrades!$T$9="Orbital Resonance",POWER(Upgrades!$U$9,H103),1)*IF(Upgrades!$T$11="Orbital Resonance",POWER(Upgrades!$U$11,J103),1)*IF(Upgrades!$T$12="Orbital Resonance",POWER(Upgrades!$U$12,K103),1))+(IF(J103=0,0,(Upgrades!$J$11+J103*Upgrades!$K$11)*POWER(Upgrades!$L$11,J103)))*(IF(Upgrades!$T$6="Heliopause",POWER(Upgrades!$U$6,E103),1)*IF(Upgrades!$T$7="Heliopause",POWER(Upgrades!$U$7,F103),1)*IF(Upgrades!$T$8="Heliopause",POWER(Upgrades!$U$8,G103),1)*IF(Upgrades!$T$9="Heliopause",POWER(Upgrades!$U$9,H103),1)*IF(Upgrades!$T$10="Heliopause",POWER(Upgrades!$U$10,I103),1)*IF(Upgrades!$T$12="Heliopause",POWER(Upgrades!$U$12,K103),1))+(IF(K103=0,0,(Upgrades!$J$12+K103*Upgrades!$K$12)*POWER(Upgrades!$L$12,K103)))*(IF(Upgrades!$T$6="First Photons",POWER(Upgrades!$U$6,E103),1)*IF(Upgrades!$T$7="First Photons",POWER(Upgrades!$U$7,F103),1)*IF(Upgrades!$T$8="First Photons",POWER(Upgrades!$U$8,G103),1)*IF(Upgrades!$T$9="First Photons",POWER(Upgrades!$U$9,H103),1)*IF(Upgrades!$T$10="First Photons",POWER(Upgrades!$U$10,I103),1)*IF(Upgrades!$T$11="First Photons",POWER(Upgrades!$U$11,J103),1)))*POWER(Upgrades!$Q$6,E103)*POWER(Upgrades!$Q$7,F103)*POWER(Upgrades!$Q$8,G103)*POWER(Upgrades!$Q$9,H103)*POWER(Upgrades!$Q$10,I103)*POWER(Upgrades!$Q$11,J103)*POWER(Upgrades!$Q$12,K103)</f>
        <v>5.61</v>
      </c>
      <c r="N103" s="28" t="n">
        <f aca="false">((IF(E103=0,0,(Upgrades!$G$6+E103*Upgrades!$H$6)*POWER(Upgrades!$I$6,E103)))*(IF(Upgrades!$T$7="Solar Wind",POWER(Upgrades!$U$7,F103),1)*IF(Upgrades!$T$8="Solar Wind",POWER(Upgrades!$U$8,G103),1)*IF(Upgrades!$T$9="Solar Wind",POWER(Upgrades!$U$9,H103),1)*IF(Upgrades!$T$10="Solar Wind",POWER(Upgrades!$U$10,I103),1)*IF(Upgrades!$T$11="Solar Wind",POWER(Upgrades!$U$11,J103),1)*IF(Upgrades!$T$12="Solar Wind",POWER(Upgrades!$U$12,K103),1))+(IF(F103=0,0,(Upgrades!$G$7+F103*Upgrades!$H$7)*POWER(Upgrades!$I$7,F103)))*(IF(Upgrades!$T$6="Asteroid Belt",POWER(Upgrades!$U$6,E103),1)*IF(Upgrades!$T$8="Asteroid Belt",POWER(Upgrades!$U$8,G103),1)*IF(Upgrades!$T$9="Asteroid Belt",POWER(Upgrades!$U$9,H103),1)*IF(Upgrades!$T$10="Asteroid Belt",POWER(Upgrades!$U$10,I103),1)*IF(Upgrades!$T$11="Asteroid Belt",POWER(Upgrades!$U$11,J103),1)*IF(Upgrades!$T$12="Asteroid Belt",POWER(Upgrades!$U$12,K103),1))+(IF(G103=0,0,(Upgrades!$G$8+G103*Upgrades!$H$8)*POWER(Upgrades!$I$8,G103)))*(IF(Upgrades!$T$6="Stellar Coupling",POWER(Upgrades!$U$6,E103),1)*IF(Upgrades!$T$7="Stellar Coupling",POWER(Upgrades!$U$7,F103),1)*IF(Upgrades!$T$9="Stellar Coupling",POWER(Upgrades!$U$9,H103),1)*IF(Upgrades!$T$10="Stellar Coupling",POWER(Upgrades!$U$10,I103),1)*IF(Upgrades!$T$11="Stellar Coupling",POWER(Upgrades!$U$11,J103),1)*IF(Upgrades!$T$12="Stellar Coupling",POWER(Upgrades!$U$12,K103),1))+(IF(H103=0,0,(Upgrades!$G$9+H103*Upgrades!$H$9)*POWER(Upgrades!$I$9,H103)))*(IF(Upgrades!$T$6="Magnetosphere",POWER(Upgrades!$U$6,E103),1)*IF(Upgrades!$T$7="Magnetosphere",POWER(Upgrades!$U$7,F103),1)*IF(Upgrades!$T$8="Magnetosphere",POWER(Upgrades!$U$8,G103),1)*IF(Upgrades!$T$10="Magnetosphere",POWER(Upgrades!$U$10,I103),1)*IF(Upgrades!$T$11="Magnetosphere",POWER(Upgrades!$U$11,J103),1)*IF(Upgrades!$T$12="Magnetosphere",POWER(Upgrades!$U$12,K103),1))+(IF(I103=0,0,(Upgrades!$G$10+I103*Upgrades!$H$10)*POWER(Upgrades!$I$10,I103)))*(IF(Upgrades!$T$6="Orbital Resonance",POWER(Upgrades!$U$6,E103),1)*IF(Upgrades!$T$7="Orbital Resonance",POWER(Upgrades!$U$7,F103),1)*IF(Upgrades!$T$8="Orbital Resonance",POWER(Upgrades!$U$8,G103),1)*IF(Upgrades!$T$9="Orbital Resonance",POWER(Upgrades!$U$9,H103),1)*IF(Upgrades!$T$11="Orbital Resonance",POWER(Upgrades!$U$11,J103),1)*IF(Upgrades!$T$12="Orbital Resonance",POWER(Upgrades!$U$12,K103),1))+(IF(J103=0,0,(Upgrades!$G$11+J103*Upgrades!$H$11)*POWER(Upgrades!$I$11,J103)))*(IF(Upgrades!$T$6="Heliopause",POWER(Upgrades!$U$6,E103),1)*IF(Upgrades!$T$7="Heliopause",POWER(Upgrades!$U$7,F103),1)*IF(Upgrades!$T$8="Heliopause",POWER(Upgrades!$U$8,G103),1)*IF(Upgrades!$T$9="Heliopause",POWER(Upgrades!$U$9,H103),1)*IF(Upgrades!$T$10="Heliopause",POWER(Upgrades!$U$10,I103),1)*IF(Upgrades!$T$12="Heliopause",POWER(Upgrades!$U$12,K103),1))+(IF(K103=0,0,(Upgrades!$G$12+K103*Upgrades!$H$12)*POWER(Upgrades!$I$12,K103)))*(IF(Upgrades!$T$6="First Photons",POWER(Upgrades!$U$6,E103),1)*IF(Upgrades!$T$7="First Photons",POWER(Upgrades!$U$7,F103),1)*IF(Upgrades!$T$8="First Photons",POWER(Upgrades!$U$8,G103),1)*IF(Upgrades!$T$9="First Photons",POWER(Upgrades!$U$9,H103),1)*IF(Upgrades!$T$10="First Photons",POWER(Upgrades!$U$10,I103),1)*IF(Upgrades!$T$11="First Photons",POWER(Upgrades!$U$11,J103),1)))*POWER(Upgrades!$P$6,E103)*POWER(Upgrades!$P$7,F103)*POWER(Upgrades!$P$8,G103)*POWER(Upgrades!$P$9,H103)*POWER(Upgrades!$P$10,I103)*POWER(Upgrades!$P$11,J103)*POWER(Upgrades!$P$12,K103)</f>
        <v>11.2</v>
      </c>
      <c r="O103" s="28" t="n">
        <f aca="false">((IF(E103=0,0,(Upgrades!$M$6+E103*Upgrades!$N$6)*POWER(Upgrades!$O$6,E103)))*(IF(Upgrades!$T$7="Solar Wind",POWER(Upgrades!$U$7,F103),1)*IF(Upgrades!$T$8="Solar Wind",POWER(Upgrades!$U$8,G103),1)*IF(Upgrades!$T$9="Solar Wind",POWER(Upgrades!$U$9,H103),1)*IF(Upgrades!$T$10="Solar Wind",POWER(Upgrades!$U$10,I103),1)*IF(Upgrades!$T$11="Solar Wind",POWER(Upgrades!$U$11,J103),1)*IF(Upgrades!$T$12="Solar Wind",POWER(Upgrades!$U$12,K103),1))+(IF(F103=0,0,(Upgrades!$M$7+F103*Upgrades!$N$7)*POWER(Upgrades!$O$7,F103)))*(IF(Upgrades!$T$6="Asteroid Belt",POWER(Upgrades!$U$6,E103),1)*IF(Upgrades!$T$8="Asteroid Belt",POWER(Upgrades!$U$8,G103),1)*IF(Upgrades!$T$9="Asteroid Belt",POWER(Upgrades!$U$9,H103),1)*IF(Upgrades!$T$10="Asteroid Belt",POWER(Upgrades!$U$10,I103),1)*IF(Upgrades!$T$11="Asteroid Belt",POWER(Upgrades!$U$11,J103),1)*IF(Upgrades!$T$12="Asteroid Belt",POWER(Upgrades!$U$12,K103),1))+(IF(G103=0,0,(Upgrades!$M$8+G103*Upgrades!$N$8)*POWER(Upgrades!$O$8,G103)))*(IF(Upgrades!$T$6="Stellar Coupling",POWER(Upgrades!$U$6,E103),1)*IF(Upgrades!$T$7="Stellar Coupling",POWER(Upgrades!$U$7,F103),1)*IF(Upgrades!$T$9="Stellar Coupling",POWER(Upgrades!$U$9,H103),1)*IF(Upgrades!$T$10="Stellar Coupling",POWER(Upgrades!$U$10,I103),1)*IF(Upgrades!$T$11="Stellar Coupling",POWER(Upgrades!$U$11,J103),1)*IF(Upgrades!$T$12="Stellar Coupling",POWER(Upgrades!$U$12,K103),1))+(IF(H103=0,0,(Upgrades!$M$9+H103*Upgrades!$N$9)*POWER(Upgrades!$O$9,H103)))*(IF(Upgrades!$T$6="Magnetosphere",POWER(Upgrades!$U$6,E103),1)*IF(Upgrades!$T$7="Magnetosphere",POWER(Upgrades!$U$7,F103),1)*IF(Upgrades!$T$8="Magnetosphere",POWER(Upgrades!$U$8,G103),1)*IF(Upgrades!$T$10="Magnetosphere",POWER(Upgrades!$U$10,I103),1)*IF(Upgrades!$T$11="Magnetosphere",POWER(Upgrades!$U$11,J103),1)*IF(Upgrades!$T$12="Magnetosphere",POWER(Upgrades!$U$12,K103),1))+(IF(I103=0,0,(Upgrades!$M$10+I103*Upgrades!$N$10)*POWER(Upgrades!$O$10,I103)))*(IF(Upgrades!$T$6="Orbital Resonance",POWER(Upgrades!$U$6,E103),1)*IF(Upgrades!$T$7="Orbital Resonance",POWER(Upgrades!$U$7,F103),1)*IF(Upgrades!$T$8="Orbital Resonance",POWER(Upgrades!$U$8,G103),1)*IF(Upgrades!$T$9="Orbital Resonance",POWER(Upgrades!$U$9,H103),1)*IF(Upgrades!$T$11="Orbital Resonance",POWER(Upgrades!$U$11,J103),1)*IF(Upgrades!$T$12="Orbital Resonance",POWER(Upgrades!$U$12,K103),1))+(IF(J103=0,0,(Upgrades!$M$11+J103*Upgrades!$N$11)*POWER(Upgrades!$O$11,J103)))*(IF(Upgrades!$T$6="Heliopause",POWER(Upgrades!$U$6,E103),1)*IF(Upgrades!$T$7="Heliopause",POWER(Upgrades!$U$7,F103),1)*IF(Upgrades!$T$8="Heliopause",POWER(Upgrades!$U$8,G103),1)*IF(Upgrades!$T$9="Heliopause",POWER(Upgrades!$U$9,H103),1)*IF(Upgrades!$T$10="Heliopause",POWER(Upgrades!$U$10,I103),1)*IF(Upgrades!$T$12="Heliopause",POWER(Upgrades!$U$12,K103),1))+(IF(K103=0,0,(Upgrades!$M$12+K103*Upgrades!$N$12)*POWER(Upgrades!$O$12,K103)))*(IF(Upgrades!$T$6="First Photons",POWER(Upgrades!$U$6,E103),1)*IF(Upgrades!$T$7="First Photons",POWER(Upgrades!$U$7,F103),1)*IF(Upgrades!$T$8="First Photons",POWER(Upgrades!$U$8,G103),1)*IF(Upgrades!$T$9="First Photons",POWER(Upgrades!$U$9,H103),1)*IF(Upgrades!$T$10="First Photons",POWER(Upgrades!$U$10,I103),1)*IF(Upgrades!$T$11="First Photons",POWER(Upgrades!$U$11,J103),1)))*POWER(Upgrades!$R$6,E103)*POWER(Upgrades!$R$7,F103)*POWER(Upgrades!$R$8,G103)*POWER(Upgrades!$R$9,H103)*POWER(Upgrades!$R$10,I103)*POWER(Upgrades!$R$11,J103)*POWER(Upgrades!$R$12,K103)</f>
        <v>0</v>
      </c>
      <c r="P103" s="27" t="n">
        <f aca="false">IF(L103=1,0,M103*Parameters!$B$10/60*Parameters!$B$11*10)</f>
        <v>0</v>
      </c>
      <c r="Q103" s="27" t="n">
        <f aca="false">IF(L103=1,0,O103*M103*10)</f>
        <v>0</v>
      </c>
      <c r="R103" s="27" t="n">
        <f aca="false">IF(L103=1,0,N103*10)</f>
        <v>0</v>
      </c>
      <c r="S103" s="27" t="n">
        <f aca="false">P103+Q103+R103</f>
        <v>0</v>
      </c>
      <c r="T103" s="21" t="n">
        <f aca="false">C103+S103</f>
        <v>18.6730249835055</v>
      </c>
      <c r="U103" s="34" t="str">
        <f aca="false">AX103</f>
        <v/>
      </c>
      <c r="V103" s="21" t="n">
        <f aca="false">IF(U103="",0,IF(U103="transition",0,IF(U103="SW",AG103,IF(U103="AB",AH103,IF(U103="SC",AI103,IF(U103="Mag",AJ103,IF(U103="OR",AK103,IF(U103="HP",AL103,IF(U103="FP",AM103,0)))))))))</f>
        <v>0</v>
      </c>
      <c r="W103" s="27" t="n">
        <f aca="false">IF(U103="OR",Upgrades!$F$10,IF(U103="HP",Upgrades!$F$11,IF(U103="transition",-Parameters!$B$18,0)))</f>
        <v>0</v>
      </c>
      <c r="X103" s="21" t="n">
        <f aca="false">T103-V103</f>
        <v>18.6730249835055</v>
      </c>
      <c r="Y103" s="30" t="n">
        <f aca="false">M103*Parameters!$B$10/60*Parameters!$B$11+O103*M103+N103</f>
        <v>20.55</v>
      </c>
      <c r="Z103" s="35" t="str">
        <f aca="false">IF(U103="transition","→ Tier 2 (Stellar Neighborhood)",IF(U103="FP","First Photons — light begins, system quickens",IF(U103="HP","Heliopause acquired",IF(U103="OR","Orbital Resonance — passive multiplier active",IF(AND(AO103=1,L103=0,AN103&lt;&gt;1),"Cohesion ready (waiting on completionist upgrades)","")))))</f>
        <v/>
      </c>
      <c r="AA103" s="27" t="n">
        <f aca="false">(IF(E103=0,0,(Upgrades!$G$6+E103*Upgrades!$H$6)*POWER(Upgrades!$I$6,E103)))*(IF(Upgrades!$T$7="Solar Wind",POWER(Upgrades!$U$7,F103),1)*IF(Upgrades!$T$8="Solar Wind",POWER(Upgrades!$U$8,G103),1)*IF(Upgrades!$T$9="Solar Wind",POWER(Upgrades!$U$9,H103),1)*IF(Upgrades!$T$10="Solar Wind",POWER(Upgrades!$U$10,I103),1)*IF(Upgrades!$T$11="Solar Wind",POWER(Upgrades!$U$11,J103),1)*IF(Upgrades!$T$12="Solar Wind",POWER(Upgrades!$U$12,K103),1))*POWER(Upgrades!$P$6,E103)*POWER(Upgrades!$P$7,F103)*POWER(Upgrades!$P$8,G103)*POWER(Upgrades!$P$9,H103)*POWER(Upgrades!$P$10,I103)*POWER(Upgrades!$P$11,J103)*POWER(Upgrades!$P$12,K103)*60</f>
        <v>72</v>
      </c>
      <c r="AB103" s="27" t="n">
        <f aca="false">(IF(F103=0,0,(Upgrades!$G$7+F103*Upgrades!$H$7)*POWER(Upgrades!$I$7,F103)))*(IF(Upgrades!$T$6="Asteroid Belt",POWER(Upgrades!$U$6,E103),1)*IF(Upgrades!$T$8="Asteroid Belt",POWER(Upgrades!$U$8,G103),1)*IF(Upgrades!$T$9="Asteroid Belt",POWER(Upgrades!$U$9,H103),1)*IF(Upgrades!$T$10="Asteroid Belt",POWER(Upgrades!$U$10,I103),1)*IF(Upgrades!$T$11="Asteroid Belt",POWER(Upgrades!$U$11,J103),1)*IF(Upgrades!$T$12="Asteroid Belt",POWER(Upgrades!$U$12,K103),1))*POWER(Upgrades!$P$6,E103)*POWER(Upgrades!$P$7,F103)*POWER(Upgrades!$P$8,G103)*POWER(Upgrades!$P$9,H103)*POWER(Upgrades!$P$10,I103)*POWER(Upgrades!$P$11,J103)*POWER(Upgrades!$P$12,K103)*60</f>
        <v>150</v>
      </c>
      <c r="AC103" s="27" t="n">
        <f aca="false">(IF(G103=0,0,(Upgrades!$J$8+G103*Upgrades!$K$8)*POWER(Upgrades!$L$8,G103)))*(IF(Upgrades!$T$6="Stellar Coupling",POWER(Upgrades!$U$6,E103),1)*IF(Upgrades!$T$7="Stellar Coupling",POWER(Upgrades!$U$7,F103),1)*IF(Upgrades!$T$9="Stellar Coupling",POWER(Upgrades!$U$9,H103),1)*IF(Upgrades!$T$10="Stellar Coupling",POWER(Upgrades!$U$10,I103),1)*IF(Upgrades!$T$11="Stellar Coupling",POWER(Upgrades!$U$11,J103),1)*IF(Upgrades!$T$12="Stellar Coupling",POWER(Upgrades!$U$12,K103),1))*POWER(Upgrades!$Q$6,E103)*POWER(Upgrades!$Q$7,F103)*POWER(Upgrades!$Q$8,G103)*POWER(Upgrades!$Q$9,H103)*POWER(Upgrades!$Q$10,I103)*POWER(Upgrades!$Q$11,J103)*POWER(Upgrades!$Q$12,K103)*Parameters!$B$10*Parameters!$B$11</f>
        <v>441</v>
      </c>
      <c r="AD103" s="27" t="n">
        <f aca="false">(IF(H103=0,0,(Upgrades!$G$9+H103*Upgrades!$H$9)*POWER(Upgrades!$I$9,H103)))*(IF(Upgrades!$T$6="Magnetosphere",POWER(Upgrades!$U$6,E103),1)*IF(Upgrades!$T$7="Magnetosphere",POWER(Upgrades!$U$7,F103),1)*IF(Upgrades!$T$8="Magnetosphere",POWER(Upgrades!$U$8,G103),1)*IF(Upgrades!$T$10="Magnetosphere",POWER(Upgrades!$U$10,I103),1)*IF(Upgrades!$T$11="Magnetosphere",POWER(Upgrades!$U$11,J103),1)*IF(Upgrades!$T$12="Magnetosphere",POWER(Upgrades!$U$12,K103),1))*POWER(Upgrades!$P$6,E103)*POWER(Upgrades!$P$7,F103)*POWER(Upgrades!$P$8,G103)*POWER(Upgrades!$P$9,H103)*POWER(Upgrades!$P$10,I103)*POWER(Upgrades!$P$11,J103)*POWER(Upgrades!$P$12,K103)*60</f>
        <v>375</v>
      </c>
      <c r="AE103" s="27" t="n">
        <f aca="false">(IF(K103=0,0,(Upgrades!$G$12+K103*Upgrades!$H$12)*POWER(Upgrades!$I$12,K103)))*(IF(Upgrades!$T$6="First Photons",POWER(Upgrades!$U$6,E103),1)*IF(Upgrades!$T$7="First Photons",POWER(Upgrades!$U$7,F103),1)*IF(Upgrades!$T$8="First Photons",POWER(Upgrades!$U$8,G103),1)*IF(Upgrades!$T$9="First Photons",POWER(Upgrades!$U$9,H103),1)*IF(Upgrades!$T$10="First Photons",POWER(Upgrades!$U$10,I103),1)*IF(Upgrades!$T$11="First Photons",POWER(Upgrades!$U$11,J103),1))*POWER(Upgrades!$P$6,E103)*POWER(Upgrades!$P$7,F103)*POWER(Upgrades!$P$8,G103)*POWER(Upgrades!$P$9,H103)*POWER(Upgrades!$P$10,I103)*POWER(Upgrades!$P$11,J103)*POWER(Upgrades!$P$12,K103)*60</f>
        <v>75</v>
      </c>
      <c r="AF103" s="27" t="n">
        <f aca="false">Parameters!$B$9*POWER(Upgrades!$Q$6,E103)*POWER(Upgrades!$Q$7,F103)*POWER(Upgrades!$Q$8,G103)*POWER(Upgrades!$Q$9,H103)*POWER(Upgrades!$Q$10,I103)*POWER(Upgrades!$Q$11,J103)*POWER(Upgrades!$Q$12,K103)*(Parameters!$B$10*Parameters!$B$11+O103*60)</f>
        <v>120</v>
      </c>
      <c r="AG103" s="21" t="n">
        <f aca="false">IF(E103&gt;=Upgrades!$E$6,"",Upgrades!$C$6*POWER(Upgrades!$D$6,E103))</f>
        <v>37.4517507383159</v>
      </c>
      <c r="AH103" s="21" t="n">
        <f aca="false">IF(F103&gt;=Upgrades!$E$7,"",Upgrades!$C$7*POWER(Upgrades!$D$7,F103))</f>
        <v>80.9111547141581</v>
      </c>
      <c r="AI103" s="21" t="n">
        <f aca="false">IF(G103&gt;=Upgrades!$E$8,"",Upgrades!$C$8*POWER(Upgrades!$D$8,G103))</f>
        <v>231.9097088</v>
      </c>
      <c r="AJ103" s="21" t="str">
        <f aca="false">IF(H103&gt;=Upgrades!$E$9,"",Upgrades!$C$9*POWER(Upgrades!$D$9,H103))</f>
        <v/>
      </c>
      <c r="AK103" s="21" t="str">
        <f aca="false">IF(I103&gt;=Upgrades!$E$10,"",Upgrades!$C$10*POWER(Upgrades!$D$10,I103))</f>
        <v/>
      </c>
      <c r="AL103" s="21" t="str">
        <f aca="false">IF(J103&gt;=Upgrades!$E$11,"",Upgrades!$C$11*POWER(Upgrades!$D$11,J103))</f>
        <v/>
      </c>
      <c r="AM103" s="21" t="str">
        <f aca="false">IF(K103&gt;=Upgrades!$E$12,"",Upgrades!$C$12*POWER(Upgrades!$D$12,K103))</f>
        <v/>
      </c>
      <c r="AN103" s="26" t="str">
        <f aca="false">IF(AND(D103&gt;=Parameters!$B$18,(H103&gt;=Upgrades!$E$9)*(K103&gt;=Upgrades!$E$12)=1,L103=0),1,"")</f>
        <v/>
      </c>
      <c r="AO103" s="26" t="str">
        <f aca="false">IF(AND(D103&gt;=Parameters!$B$18,L103=0),1,"")</f>
        <v/>
      </c>
      <c r="AP103" s="21" t="n">
        <f aca="false">MIN(IF(ISNUMBER(AK103),AK103,9000000000000000),IF(ISNUMBER(AL103),AL103,9000000000000000),IF(ISNUMBER(AM103),AM103,9000000000000000))</f>
        <v>9000000000000000</v>
      </c>
      <c r="AQ103" s="21" t="n">
        <f aca="false">MIN(IF(ISNUMBER(AG103),AG103,9000000000000000),IF(ISNUMBER(AH103),AH103,9000000000000000),IF(ISNUMBER(AI103),AI103,9000000000000000),IF(ISNUMBER(AJ103),AJ103,9000000000000000))</f>
        <v>37.4517507383159</v>
      </c>
      <c r="AR103" s="32" t="b">
        <f aca="false">IF(AW103&gt;Parameters!$B$21*(MAX(IF(AND(NOT(AND(AO103=1,AN103&lt;&gt;1)),ISNUMBER(AG103),AG103&lt;=T103),AS103,0),IF(AND(NOT(AND(AO103=1,AN103&lt;&gt;1)),ISNUMBER(AH103),AH103&lt;=T103),AT103,0),IF(AND(NOT(AND(AO103=1,AN103&lt;&gt;1)),ISNUMBER(AI103),AI103&lt;=T103),AU103,0),IF(AND(ISNUMBER(AJ103),AJ103&lt;=T103),AV103,0))),TRUE(),FALSE())</f>
        <v>1</v>
      </c>
      <c r="AS103" s="33" t="n">
        <f aca="false">IFERROR(Upgrades!$H$6*(POWER(Upgrades!$P$6,E103)*POWER(Upgrades!$P$7,F103)*POWER(Upgrades!$P$8,G103)*POWER(Upgrades!$P$9,H103)*POWER(Upgrades!$P$10,I103)*POWER(Upgrades!$P$11,J103)*POWER(Upgrades!$P$12,K103))*(IF(Upgrades!$T$7="Solar Wind",POWER(Upgrades!$U$7,F103),1)*IF(Upgrades!$T$8="Solar Wind",POWER(Upgrades!$U$8,G103),1)*IF(Upgrades!$T$9="Solar Wind",POWER(Upgrades!$U$9,H103),1)*IF(Upgrades!$T$10="Solar Wind",POWER(Upgrades!$U$10,I103),1)*IF(Upgrades!$T$11="Solar Wind",POWER(Upgrades!$U$11,J103),1)*IF(Upgrades!$T$12="Solar Wind",POWER(Upgrades!$U$12,K103),1))/AG103,0)</f>
        <v>0.0026701021455238</v>
      </c>
      <c r="AT103" s="33" t="n">
        <f aca="false">IFERROR(Upgrades!$H$7*(POWER(Upgrades!$P$6,E103)*POWER(Upgrades!$P$7,F103)*POWER(Upgrades!$P$8,G103)*POWER(Upgrades!$P$9,H103)*POWER(Upgrades!$P$10,I103)*POWER(Upgrades!$P$11,J103)*POWER(Upgrades!$P$12,K103))*(IF(Upgrades!$T$6="Asteroid Belt",POWER(Upgrades!$U$6,E103),1)*IF(Upgrades!$T$8="Asteroid Belt",POWER(Upgrades!$U$8,G103),1)*IF(Upgrades!$T$9="Asteroid Belt",POWER(Upgrades!$U$9,H103),1)*IF(Upgrades!$T$10="Asteroid Belt",POWER(Upgrades!$U$10,I103),1)*IF(Upgrades!$T$11="Asteroid Belt",POWER(Upgrades!$U$11,J103),1)*IF(Upgrades!$T$12="Asteroid Belt",POWER(Upgrades!$U$12,K103),1))/AH103,0)</f>
        <v>0.00308980882652332</v>
      </c>
      <c r="AU103" s="33" t="n">
        <f aca="false">IFERROR(Upgrades!$K$8*(POWER(Upgrades!$Q$6,E103)*POWER(Upgrades!$Q$7,F103)*POWER(Upgrades!$Q$8,G103)*POWER(Upgrades!$Q$9,H103)*POWER(Upgrades!$Q$10,I103)*POWER(Upgrades!$Q$11,J103)*POWER(Upgrades!$Q$12,K103))*(IF(Upgrades!$T$6="Stellar Coupling",POWER(Upgrades!$U$6,E103),1)*IF(Upgrades!$T$7="Stellar Coupling",POWER(Upgrades!$U$7,F103),1)*IF(Upgrades!$T$9="Stellar Coupling",POWER(Upgrades!$U$9,H103),1)*IF(Upgrades!$T$10="Stellar Coupling",POWER(Upgrades!$U$10,I103),1)*IF(Upgrades!$T$11="Stellar Coupling",POWER(Upgrades!$U$11,J103),1)*IF(Upgrades!$T$12="Stellar Coupling",POWER(Upgrades!$U$12,K103),1))*Parameters!$B$10*Parameters!$B$11/60/AI103,0)</f>
        <v>0.00452762415783776</v>
      </c>
      <c r="AV103" s="33" t="n">
        <f aca="false">IFERROR(Upgrades!$H$9*(POWER(Upgrades!$P$6,E103)*POWER(Upgrades!$P$7,F103)*POWER(Upgrades!$P$8,G103)*POWER(Upgrades!$P$9,H103)*POWER(Upgrades!$P$10,I103)*POWER(Upgrades!$P$11,J103)*POWER(Upgrades!$P$12,K103))*(IF(Upgrades!$T$6="Magnetosphere",POWER(Upgrades!$U$6,E103),1)*IF(Upgrades!$T$7="Magnetosphere",POWER(Upgrades!$U$7,F103),1)*IF(Upgrades!$T$8="Magnetosphere",POWER(Upgrades!$U$8,G103),1)*IF(Upgrades!$T$10="Magnetosphere",POWER(Upgrades!$U$10,I103),1)*IF(Upgrades!$T$11="Magnetosphere",POWER(Upgrades!$U$11,J103),1)*IF(Upgrades!$T$12="Magnetosphere",POWER(Upgrades!$U$12,K103),1))/AJ103,0)</f>
        <v>0</v>
      </c>
      <c r="AW103" s="33" t="n">
        <f aca="false">MAX(IF(I103&gt;0,0,IFERROR(0.25*N103/Upgrades!$C$10,0)),IF(J103&gt;0,0,IFERROR(0.5*((IF(G103=0,0,(Upgrades!$J$8+G103*Upgrades!$K$8)*POWER(Upgrades!$L$8,G103)))*(IF(Upgrades!$T$6="Stellar Coupling",POWER(Upgrades!$U$6,E103),1)*IF(Upgrades!$T$7="Stellar Coupling",POWER(Upgrades!$U$7,F103),1)*IF(Upgrades!$T$9="Stellar Coupling",POWER(Upgrades!$U$9,H103),1)*IF(Upgrades!$T$10="Stellar Coupling",POWER(Upgrades!$U$10,I103),1)*IF(Upgrades!$T$11="Stellar Coupling",POWER(Upgrades!$U$11,J103),1)*IF(Upgrades!$T$12="Stellar Coupling",POWER(Upgrades!$U$12,K103),1))*(POWER(Upgrades!$Q$6,E103)*POWER(Upgrades!$Q$7,F103)*POWER(Upgrades!$Q$8,G103)*POWER(Upgrades!$Q$9,H103)*POWER(Upgrades!$Q$10,I103)*POWER(Upgrades!$Q$11,J103)*POWER(Upgrades!$Q$12,K103))*Parameters!$B$10*Parameters!$B$11/60)/Upgrades!$C$11,0)),IF(K103&gt;0,0,IFERROR((1*(POWER(Upgrades!$P$6,E103)*POWER(Upgrades!$P$7,F103)*POWER(Upgrades!$P$8,G103)*POWER(Upgrades!$P$9,H103)*POWER(Upgrades!$P$10,I103)*POWER(Upgrades!$P$11,J103)*POWER(Upgrades!$P$12,K103))+0.2*M103*Parameters!$B$10*Parameters!$B$11/60)/Upgrades!$C$12,0)),IF(AND(ISNUMBER(AG103),AG103&gt;T103),AS103,0),IF(AND(ISNUMBER(AH103),AH103&gt;T103),AT103,0),IF(AND(ISNUMBER(AI103),AI103&gt;T103),AU103,0),IF(AND(ISNUMBER(AJ103),AJ103&gt;T103),AV103,0))</f>
        <v>0.00452762415783776</v>
      </c>
      <c r="AX103" s="29" t="str">
        <f aca="false">IF(AN103=1,"transition",IF(MIN(IF(AND(I103=0,ISNUMBER(AK103),AK103&lt;=T103),AK103,9000000000000000),IF(AND(J103=0,ISNUMBER(AL103),AL103&lt;=T103),AL103,9000000000000000),IF(AND(K103=0,ISNUMBER(AM103),AM103&lt;=T103),AM103,9000000000000000))&lt;9000000000000000,IF(AND(AND(I103=0,ISNUMBER(AK103),AK103&lt;=T103),AK103=MIN(IF(AND(I103=0,ISNUMBER(AK103),AK103&lt;=T103),AK103,9000000000000000),IF(AND(J103=0,ISNUMBER(AL103),AL103&lt;=T103),AL103,9000000000000000),IF(AND(K103=0,ISNUMBER(AM103),AM103&lt;=T103),AM103,9000000000000000))),"OR",IF(AND(AND(J103=0,ISNUMBER(AL103),AL103&lt;=T103),AL103=MIN(IF(AND(I103=0,ISNUMBER(AK103),AK103&lt;=T103),AK103,9000000000000000),IF(AND(J103=0,ISNUMBER(AL103),AL103&lt;=T103),AL103,9000000000000000),IF(AND(K103=0,ISNUMBER(AM103),AM103&lt;=T103),AM103,9000000000000000))),"HP","FP")),IF(AR103=TRUE(),"",IF(MAX(IF(AND(NOT(AND(AO103=1,AN103&lt;&gt;1)),ISNUMBER(AG103),AG103&lt;=T103),AS103,0),IF(AND(NOT(AND(AO103=1,AN103&lt;&gt;1)),ISNUMBER(AH103),AH103&lt;=T103),AT103,0),IF(AND(NOT(AND(AO103=1,AN103&lt;&gt;1)),ISNUMBER(AI103),AI103&lt;=T103),AU103,0),IF(AND(ISNUMBER(AJ103),AJ103&lt;=T103),AV103,0))&lt;=0,"",IF(AND(IF(AND(NOT(AND(AO103=1,AN103&lt;&gt;1)),ISNUMBER(AG103),AG103&lt;=T103),AS103,0)&gt;0,IF(AND(NOT(AND(AO103=1,AN103&lt;&gt;1)),ISNUMBER(AG103),AG103&lt;=T103),AS103,0)=MAX(IF(AND(NOT(AND(AO103=1,AN103&lt;&gt;1)),ISNUMBER(AG103),AG103&lt;=T103),AS103,0),IF(AND(NOT(AND(AO103=1,AN103&lt;&gt;1)),ISNUMBER(AH103),AH103&lt;=T103),AT103,0),IF(AND(NOT(AND(AO103=1,AN103&lt;&gt;1)),ISNUMBER(AI103),AI103&lt;=T103),AU103,0),IF(AND(ISNUMBER(AJ103),AJ103&lt;=T103),AV103,0))),"SW",IF(AND(IF(AND(NOT(AND(AO103=1,AN103&lt;&gt;1)),ISNUMBER(AH103),AH103&lt;=T103),AT103,0)&gt;0,IF(AND(NOT(AND(AO103=1,AN103&lt;&gt;1)),ISNUMBER(AH103),AH103&lt;=T103),AT103,0)=MAX(IF(AND(NOT(AND(AO103=1,AN103&lt;&gt;1)),ISNUMBER(AG103),AG103&lt;=T103),AS103,0),IF(AND(NOT(AND(AO103=1,AN103&lt;&gt;1)),ISNUMBER(AH103),AH103&lt;=T103),AT103,0),IF(AND(NOT(AND(AO103=1,AN103&lt;&gt;1)),ISNUMBER(AI103),AI103&lt;=T103),AU103,0),IF(AND(ISNUMBER(AJ103),AJ103&lt;=T103),AV103,0))),"AB",IF(AND(IF(AND(NOT(AND(AO103=1,AN103&lt;&gt;1)),ISNUMBER(AI103),AI103&lt;=T103),AU103,0)&gt;0,IF(AND(NOT(AND(AO103=1,AN103&lt;&gt;1)),ISNUMBER(AI103),AI103&lt;=T103),AU103,0)=MAX(IF(AND(NOT(AND(AO103=1,AN103&lt;&gt;1)),ISNUMBER(AG103),AG103&lt;=T103),AS103,0),IF(AND(NOT(AND(AO103=1,AN103&lt;&gt;1)),ISNUMBER(AH103),AH103&lt;=T103),AT103,0),IF(AND(NOT(AND(AO103=1,AN103&lt;&gt;1)),ISNUMBER(AI103),AI103&lt;=T103),AU103,0),IF(AND(ISNUMBER(AJ103),AJ103&lt;=T103),AV103,0))),"SC","Mag")))))))</f>
        <v/>
      </c>
    </row>
    <row r="104" customFormat="false" ht="15" hidden="false" customHeight="false" outlineLevel="0" collapsed="false">
      <c r="A104" s="26" t="n">
        <v>99</v>
      </c>
      <c r="B104" s="27" t="n">
        <f aca="false">A104*10/60</f>
        <v>16.5</v>
      </c>
      <c r="C104" s="21" t="n">
        <f aca="false">X103</f>
        <v>18.6730249835055</v>
      </c>
      <c r="D104" s="27" t="n">
        <f aca="false">D103+W103</f>
        <v>0</v>
      </c>
      <c r="E104" s="26" t="n">
        <f aca="false">E103+IF(U103="SW",1,0)</f>
        <v>12</v>
      </c>
      <c r="F104" s="26" t="n">
        <f aca="false">F103+IF(U103="AB",1,0)</f>
        <v>10</v>
      </c>
      <c r="G104" s="26" t="n">
        <f aca="false">G103+IF(U103="SC",1,0)</f>
        <v>7</v>
      </c>
      <c r="H104" s="26" t="n">
        <f aca="false">H103+IF(U103="Mag",1,0)</f>
        <v>5</v>
      </c>
      <c r="I104" s="26" t="n">
        <f aca="false">MAX(I103,IF(U103="OR",1,0))</f>
        <v>1</v>
      </c>
      <c r="J104" s="26" t="n">
        <f aca="false">MAX(J103,IF(U103="HP",1,0))</f>
        <v>1</v>
      </c>
      <c r="K104" s="26" t="n">
        <f aca="false">MAX(K103,IF(U103="FP",1,0))</f>
        <v>1</v>
      </c>
      <c r="L104" s="26" t="n">
        <f aca="false">MAX(L103,IF(U103="transition",1,0))</f>
        <v>1</v>
      </c>
      <c r="M104" s="28" t="n">
        <f aca="false">(Parameters!$B$9+(IF(E104=0,0,(Upgrades!$J$6+E104*Upgrades!$K$6)*POWER(Upgrades!$L$6,E104)))*(IF(Upgrades!$T$7="Solar Wind",POWER(Upgrades!$U$7,F104),1)*IF(Upgrades!$T$8="Solar Wind",POWER(Upgrades!$U$8,G104),1)*IF(Upgrades!$T$9="Solar Wind",POWER(Upgrades!$U$9,H104),1)*IF(Upgrades!$T$10="Solar Wind",POWER(Upgrades!$U$10,I104),1)*IF(Upgrades!$T$11="Solar Wind",POWER(Upgrades!$U$11,J104),1)*IF(Upgrades!$T$12="Solar Wind",POWER(Upgrades!$U$12,K104),1))+(IF(F104=0,0,(Upgrades!$J$7+F104*Upgrades!$K$7)*POWER(Upgrades!$L$7,F104)))*(IF(Upgrades!$T$6="Asteroid Belt",POWER(Upgrades!$U$6,E104),1)*IF(Upgrades!$T$8="Asteroid Belt",POWER(Upgrades!$U$8,G104),1)*IF(Upgrades!$T$9="Asteroid Belt",POWER(Upgrades!$U$9,H104),1)*IF(Upgrades!$T$10="Asteroid Belt",POWER(Upgrades!$U$10,I104),1)*IF(Upgrades!$T$11="Asteroid Belt",POWER(Upgrades!$U$11,J104),1)*IF(Upgrades!$T$12="Asteroid Belt",POWER(Upgrades!$U$12,K104),1))+(IF(G104=0,0,(Upgrades!$J$8+G104*Upgrades!$K$8)*POWER(Upgrades!$L$8,G104)))*(IF(Upgrades!$T$6="Stellar Coupling",POWER(Upgrades!$U$6,E104),1)*IF(Upgrades!$T$7="Stellar Coupling",POWER(Upgrades!$U$7,F104),1)*IF(Upgrades!$T$9="Stellar Coupling",POWER(Upgrades!$U$9,H104),1)*IF(Upgrades!$T$10="Stellar Coupling",POWER(Upgrades!$U$10,I104),1)*IF(Upgrades!$T$11="Stellar Coupling",POWER(Upgrades!$U$11,J104),1)*IF(Upgrades!$T$12="Stellar Coupling",POWER(Upgrades!$U$12,K104),1))+(IF(H104=0,0,(Upgrades!$J$9+H104*Upgrades!$K$9)*POWER(Upgrades!$L$9,H104)))*(IF(Upgrades!$T$6="Magnetosphere",POWER(Upgrades!$U$6,E104),1)*IF(Upgrades!$T$7="Magnetosphere",POWER(Upgrades!$U$7,F104),1)*IF(Upgrades!$T$8="Magnetosphere",POWER(Upgrades!$U$8,G104),1)*IF(Upgrades!$T$10="Magnetosphere",POWER(Upgrades!$U$10,I104),1)*IF(Upgrades!$T$11="Magnetosphere",POWER(Upgrades!$U$11,J104),1)*IF(Upgrades!$T$12="Magnetosphere",POWER(Upgrades!$U$12,K104),1))+(IF(I104=0,0,(Upgrades!$J$10+I104*Upgrades!$K$10)*POWER(Upgrades!$L$10,I104)))*(IF(Upgrades!$T$6="Orbital Resonance",POWER(Upgrades!$U$6,E104),1)*IF(Upgrades!$T$7="Orbital Resonance",POWER(Upgrades!$U$7,F104),1)*IF(Upgrades!$T$8="Orbital Resonance",POWER(Upgrades!$U$8,G104),1)*IF(Upgrades!$T$9="Orbital Resonance",POWER(Upgrades!$U$9,H104),1)*IF(Upgrades!$T$11="Orbital Resonance",POWER(Upgrades!$U$11,J104),1)*IF(Upgrades!$T$12="Orbital Resonance",POWER(Upgrades!$U$12,K104),1))+(IF(J104=0,0,(Upgrades!$J$11+J104*Upgrades!$K$11)*POWER(Upgrades!$L$11,J104)))*(IF(Upgrades!$T$6="Heliopause",POWER(Upgrades!$U$6,E104),1)*IF(Upgrades!$T$7="Heliopause",POWER(Upgrades!$U$7,F104),1)*IF(Upgrades!$T$8="Heliopause",POWER(Upgrades!$U$8,G104),1)*IF(Upgrades!$T$9="Heliopause",POWER(Upgrades!$U$9,H104),1)*IF(Upgrades!$T$10="Heliopause",POWER(Upgrades!$U$10,I104),1)*IF(Upgrades!$T$12="Heliopause",POWER(Upgrades!$U$12,K104),1))+(IF(K104=0,0,(Upgrades!$J$12+K104*Upgrades!$K$12)*POWER(Upgrades!$L$12,K104)))*(IF(Upgrades!$T$6="First Photons",POWER(Upgrades!$U$6,E104),1)*IF(Upgrades!$T$7="First Photons",POWER(Upgrades!$U$7,F104),1)*IF(Upgrades!$T$8="First Photons",POWER(Upgrades!$U$8,G104),1)*IF(Upgrades!$T$9="First Photons",POWER(Upgrades!$U$9,H104),1)*IF(Upgrades!$T$10="First Photons",POWER(Upgrades!$U$10,I104),1)*IF(Upgrades!$T$11="First Photons",POWER(Upgrades!$U$11,J104),1)))*POWER(Upgrades!$Q$6,E104)*POWER(Upgrades!$Q$7,F104)*POWER(Upgrades!$Q$8,G104)*POWER(Upgrades!$Q$9,H104)*POWER(Upgrades!$Q$10,I104)*POWER(Upgrades!$Q$11,J104)*POWER(Upgrades!$Q$12,K104)</f>
        <v>5.61</v>
      </c>
      <c r="N104" s="28" t="n">
        <f aca="false">((IF(E104=0,0,(Upgrades!$G$6+E104*Upgrades!$H$6)*POWER(Upgrades!$I$6,E104)))*(IF(Upgrades!$T$7="Solar Wind",POWER(Upgrades!$U$7,F104),1)*IF(Upgrades!$T$8="Solar Wind",POWER(Upgrades!$U$8,G104),1)*IF(Upgrades!$T$9="Solar Wind",POWER(Upgrades!$U$9,H104),1)*IF(Upgrades!$T$10="Solar Wind",POWER(Upgrades!$U$10,I104),1)*IF(Upgrades!$T$11="Solar Wind",POWER(Upgrades!$U$11,J104),1)*IF(Upgrades!$T$12="Solar Wind",POWER(Upgrades!$U$12,K104),1))+(IF(F104=0,0,(Upgrades!$G$7+F104*Upgrades!$H$7)*POWER(Upgrades!$I$7,F104)))*(IF(Upgrades!$T$6="Asteroid Belt",POWER(Upgrades!$U$6,E104),1)*IF(Upgrades!$T$8="Asteroid Belt",POWER(Upgrades!$U$8,G104),1)*IF(Upgrades!$T$9="Asteroid Belt",POWER(Upgrades!$U$9,H104),1)*IF(Upgrades!$T$10="Asteroid Belt",POWER(Upgrades!$U$10,I104),1)*IF(Upgrades!$T$11="Asteroid Belt",POWER(Upgrades!$U$11,J104),1)*IF(Upgrades!$T$12="Asteroid Belt",POWER(Upgrades!$U$12,K104),1))+(IF(G104=0,0,(Upgrades!$G$8+G104*Upgrades!$H$8)*POWER(Upgrades!$I$8,G104)))*(IF(Upgrades!$T$6="Stellar Coupling",POWER(Upgrades!$U$6,E104),1)*IF(Upgrades!$T$7="Stellar Coupling",POWER(Upgrades!$U$7,F104),1)*IF(Upgrades!$T$9="Stellar Coupling",POWER(Upgrades!$U$9,H104),1)*IF(Upgrades!$T$10="Stellar Coupling",POWER(Upgrades!$U$10,I104),1)*IF(Upgrades!$T$11="Stellar Coupling",POWER(Upgrades!$U$11,J104),1)*IF(Upgrades!$T$12="Stellar Coupling",POWER(Upgrades!$U$12,K104),1))+(IF(H104=0,0,(Upgrades!$G$9+H104*Upgrades!$H$9)*POWER(Upgrades!$I$9,H104)))*(IF(Upgrades!$T$6="Magnetosphere",POWER(Upgrades!$U$6,E104),1)*IF(Upgrades!$T$7="Magnetosphere",POWER(Upgrades!$U$7,F104),1)*IF(Upgrades!$T$8="Magnetosphere",POWER(Upgrades!$U$8,G104),1)*IF(Upgrades!$T$10="Magnetosphere",POWER(Upgrades!$U$10,I104),1)*IF(Upgrades!$T$11="Magnetosphere",POWER(Upgrades!$U$11,J104),1)*IF(Upgrades!$T$12="Magnetosphere",POWER(Upgrades!$U$12,K104),1))+(IF(I104=0,0,(Upgrades!$G$10+I104*Upgrades!$H$10)*POWER(Upgrades!$I$10,I104)))*(IF(Upgrades!$T$6="Orbital Resonance",POWER(Upgrades!$U$6,E104),1)*IF(Upgrades!$T$7="Orbital Resonance",POWER(Upgrades!$U$7,F104),1)*IF(Upgrades!$T$8="Orbital Resonance",POWER(Upgrades!$U$8,G104),1)*IF(Upgrades!$T$9="Orbital Resonance",POWER(Upgrades!$U$9,H104),1)*IF(Upgrades!$T$11="Orbital Resonance",POWER(Upgrades!$U$11,J104),1)*IF(Upgrades!$T$12="Orbital Resonance",POWER(Upgrades!$U$12,K104),1))+(IF(J104=0,0,(Upgrades!$G$11+J104*Upgrades!$H$11)*POWER(Upgrades!$I$11,J104)))*(IF(Upgrades!$T$6="Heliopause",POWER(Upgrades!$U$6,E104),1)*IF(Upgrades!$T$7="Heliopause",POWER(Upgrades!$U$7,F104),1)*IF(Upgrades!$T$8="Heliopause",POWER(Upgrades!$U$8,G104),1)*IF(Upgrades!$T$9="Heliopause",POWER(Upgrades!$U$9,H104),1)*IF(Upgrades!$T$10="Heliopause",POWER(Upgrades!$U$10,I104),1)*IF(Upgrades!$T$12="Heliopause",POWER(Upgrades!$U$12,K104),1))+(IF(K104=0,0,(Upgrades!$G$12+K104*Upgrades!$H$12)*POWER(Upgrades!$I$12,K104)))*(IF(Upgrades!$T$6="First Photons",POWER(Upgrades!$U$6,E104),1)*IF(Upgrades!$T$7="First Photons",POWER(Upgrades!$U$7,F104),1)*IF(Upgrades!$T$8="First Photons",POWER(Upgrades!$U$8,G104),1)*IF(Upgrades!$T$9="First Photons",POWER(Upgrades!$U$9,H104),1)*IF(Upgrades!$T$10="First Photons",POWER(Upgrades!$U$10,I104),1)*IF(Upgrades!$T$11="First Photons",POWER(Upgrades!$U$11,J104),1)))*POWER(Upgrades!$P$6,E104)*POWER(Upgrades!$P$7,F104)*POWER(Upgrades!$P$8,G104)*POWER(Upgrades!$P$9,H104)*POWER(Upgrades!$P$10,I104)*POWER(Upgrades!$P$11,J104)*POWER(Upgrades!$P$12,K104)</f>
        <v>11.2</v>
      </c>
      <c r="O104" s="28" t="n">
        <f aca="false">((IF(E104=0,0,(Upgrades!$M$6+E104*Upgrades!$N$6)*POWER(Upgrades!$O$6,E104)))*(IF(Upgrades!$T$7="Solar Wind",POWER(Upgrades!$U$7,F104),1)*IF(Upgrades!$T$8="Solar Wind",POWER(Upgrades!$U$8,G104),1)*IF(Upgrades!$T$9="Solar Wind",POWER(Upgrades!$U$9,H104),1)*IF(Upgrades!$T$10="Solar Wind",POWER(Upgrades!$U$10,I104),1)*IF(Upgrades!$T$11="Solar Wind",POWER(Upgrades!$U$11,J104),1)*IF(Upgrades!$T$12="Solar Wind",POWER(Upgrades!$U$12,K104),1))+(IF(F104=0,0,(Upgrades!$M$7+F104*Upgrades!$N$7)*POWER(Upgrades!$O$7,F104)))*(IF(Upgrades!$T$6="Asteroid Belt",POWER(Upgrades!$U$6,E104),1)*IF(Upgrades!$T$8="Asteroid Belt",POWER(Upgrades!$U$8,G104),1)*IF(Upgrades!$T$9="Asteroid Belt",POWER(Upgrades!$U$9,H104),1)*IF(Upgrades!$T$10="Asteroid Belt",POWER(Upgrades!$U$10,I104),1)*IF(Upgrades!$T$11="Asteroid Belt",POWER(Upgrades!$U$11,J104),1)*IF(Upgrades!$T$12="Asteroid Belt",POWER(Upgrades!$U$12,K104),1))+(IF(G104=0,0,(Upgrades!$M$8+G104*Upgrades!$N$8)*POWER(Upgrades!$O$8,G104)))*(IF(Upgrades!$T$6="Stellar Coupling",POWER(Upgrades!$U$6,E104),1)*IF(Upgrades!$T$7="Stellar Coupling",POWER(Upgrades!$U$7,F104),1)*IF(Upgrades!$T$9="Stellar Coupling",POWER(Upgrades!$U$9,H104),1)*IF(Upgrades!$T$10="Stellar Coupling",POWER(Upgrades!$U$10,I104),1)*IF(Upgrades!$T$11="Stellar Coupling",POWER(Upgrades!$U$11,J104),1)*IF(Upgrades!$T$12="Stellar Coupling",POWER(Upgrades!$U$12,K104),1))+(IF(H104=0,0,(Upgrades!$M$9+H104*Upgrades!$N$9)*POWER(Upgrades!$O$9,H104)))*(IF(Upgrades!$T$6="Magnetosphere",POWER(Upgrades!$U$6,E104),1)*IF(Upgrades!$T$7="Magnetosphere",POWER(Upgrades!$U$7,F104),1)*IF(Upgrades!$T$8="Magnetosphere",POWER(Upgrades!$U$8,G104),1)*IF(Upgrades!$T$10="Magnetosphere",POWER(Upgrades!$U$10,I104),1)*IF(Upgrades!$T$11="Magnetosphere",POWER(Upgrades!$U$11,J104),1)*IF(Upgrades!$T$12="Magnetosphere",POWER(Upgrades!$U$12,K104),1))+(IF(I104=0,0,(Upgrades!$M$10+I104*Upgrades!$N$10)*POWER(Upgrades!$O$10,I104)))*(IF(Upgrades!$T$6="Orbital Resonance",POWER(Upgrades!$U$6,E104),1)*IF(Upgrades!$T$7="Orbital Resonance",POWER(Upgrades!$U$7,F104),1)*IF(Upgrades!$T$8="Orbital Resonance",POWER(Upgrades!$U$8,G104),1)*IF(Upgrades!$T$9="Orbital Resonance",POWER(Upgrades!$U$9,H104),1)*IF(Upgrades!$T$11="Orbital Resonance",POWER(Upgrades!$U$11,J104),1)*IF(Upgrades!$T$12="Orbital Resonance",POWER(Upgrades!$U$12,K104),1))+(IF(J104=0,0,(Upgrades!$M$11+J104*Upgrades!$N$11)*POWER(Upgrades!$O$11,J104)))*(IF(Upgrades!$T$6="Heliopause",POWER(Upgrades!$U$6,E104),1)*IF(Upgrades!$T$7="Heliopause",POWER(Upgrades!$U$7,F104),1)*IF(Upgrades!$T$8="Heliopause",POWER(Upgrades!$U$8,G104),1)*IF(Upgrades!$T$9="Heliopause",POWER(Upgrades!$U$9,H104),1)*IF(Upgrades!$T$10="Heliopause",POWER(Upgrades!$U$10,I104),1)*IF(Upgrades!$T$12="Heliopause",POWER(Upgrades!$U$12,K104),1))+(IF(K104=0,0,(Upgrades!$M$12+K104*Upgrades!$N$12)*POWER(Upgrades!$O$12,K104)))*(IF(Upgrades!$T$6="First Photons",POWER(Upgrades!$U$6,E104),1)*IF(Upgrades!$T$7="First Photons",POWER(Upgrades!$U$7,F104),1)*IF(Upgrades!$T$8="First Photons",POWER(Upgrades!$U$8,G104),1)*IF(Upgrades!$T$9="First Photons",POWER(Upgrades!$U$9,H104),1)*IF(Upgrades!$T$10="First Photons",POWER(Upgrades!$U$10,I104),1)*IF(Upgrades!$T$11="First Photons",POWER(Upgrades!$U$11,J104),1)))*POWER(Upgrades!$R$6,E104)*POWER(Upgrades!$R$7,F104)*POWER(Upgrades!$R$8,G104)*POWER(Upgrades!$R$9,H104)*POWER(Upgrades!$R$10,I104)*POWER(Upgrades!$R$11,J104)*POWER(Upgrades!$R$12,K104)</f>
        <v>0</v>
      </c>
      <c r="P104" s="27" t="n">
        <f aca="false">IF(L104=1,0,M104*Parameters!$B$10/60*Parameters!$B$11*10)</f>
        <v>0</v>
      </c>
      <c r="Q104" s="27" t="n">
        <f aca="false">IF(L104=1,0,O104*M104*10)</f>
        <v>0</v>
      </c>
      <c r="R104" s="27" t="n">
        <f aca="false">IF(L104=1,0,N104*10)</f>
        <v>0</v>
      </c>
      <c r="S104" s="27" t="n">
        <f aca="false">P104+Q104+R104</f>
        <v>0</v>
      </c>
      <c r="T104" s="21" t="n">
        <f aca="false">C104+S104</f>
        <v>18.6730249835055</v>
      </c>
      <c r="U104" s="34" t="str">
        <f aca="false">AX104</f>
        <v/>
      </c>
      <c r="V104" s="21" t="n">
        <f aca="false">IF(U104="",0,IF(U104="transition",0,IF(U104="SW",AG104,IF(U104="AB",AH104,IF(U104="SC",AI104,IF(U104="Mag",AJ104,IF(U104="OR",AK104,IF(U104="HP",AL104,IF(U104="FP",AM104,0)))))))))</f>
        <v>0</v>
      </c>
      <c r="W104" s="27" t="n">
        <f aca="false">IF(U104="OR",Upgrades!$F$10,IF(U104="HP",Upgrades!$F$11,IF(U104="transition",-Parameters!$B$18,0)))</f>
        <v>0</v>
      </c>
      <c r="X104" s="21" t="n">
        <f aca="false">T104-V104</f>
        <v>18.6730249835055</v>
      </c>
      <c r="Y104" s="30" t="n">
        <f aca="false">M104*Parameters!$B$10/60*Parameters!$B$11+O104*M104+N104</f>
        <v>20.55</v>
      </c>
      <c r="Z104" s="35" t="str">
        <f aca="false">IF(U104="transition","→ Tier 2 (Stellar Neighborhood)",IF(U104="FP","First Photons — light begins, system quickens",IF(U104="HP","Heliopause acquired",IF(U104="OR","Orbital Resonance — passive multiplier active",IF(AND(AO104=1,L104=0,AN104&lt;&gt;1),"Cohesion ready (waiting on completionist upgrades)","")))))</f>
        <v/>
      </c>
      <c r="AA104" s="27" t="n">
        <f aca="false">(IF(E104=0,0,(Upgrades!$G$6+E104*Upgrades!$H$6)*POWER(Upgrades!$I$6,E104)))*(IF(Upgrades!$T$7="Solar Wind",POWER(Upgrades!$U$7,F104),1)*IF(Upgrades!$T$8="Solar Wind",POWER(Upgrades!$U$8,G104),1)*IF(Upgrades!$T$9="Solar Wind",POWER(Upgrades!$U$9,H104),1)*IF(Upgrades!$T$10="Solar Wind",POWER(Upgrades!$U$10,I104),1)*IF(Upgrades!$T$11="Solar Wind",POWER(Upgrades!$U$11,J104),1)*IF(Upgrades!$T$12="Solar Wind",POWER(Upgrades!$U$12,K104),1))*POWER(Upgrades!$P$6,E104)*POWER(Upgrades!$P$7,F104)*POWER(Upgrades!$P$8,G104)*POWER(Upgrades!$P$9,H104)*POWER(Upgrades!$P$10,I104)*POWER(Upgrades!$P$11,J104)*POWER(Upgrades!$P$12,K104)*60</f>
        <v>72</v>
      </c>
      <c r="AB104" s="27" t="n">
        <f aca="false">(IF(F104=0,0,(Upgrades!$G$7+F104*Upgrades!$H$7)*POWER(Upgrades!$I$7,F104)))*(IF(Upgrades!$T$6="Asteroid Belt",POWER(Upgrades!$U$6,E104),1)*IF(Upgrades!$T$8="Asteroid Belt",POWER(Upgrades!$U$8,G104),1)*IF(Upgrades!$T$9="Asteroid Belt",POWER(Upgrades!$U$9,H104),1)*IF(Upgrades!$T$10="Asteroid Belt",POWER(Upgrades!$U$10,I104),1)*IF(Upgrades!$T$11="Asteroid Belt",POWER(Upgrades!$U$11,J104),1)*IF(Upgrades!$T$12="Asteroid Belt",POWER(Upgrades!$U$12,K104),1))*POWER(Upgrades!$P$6,E104)*POWER(Upgrades!$P$7,F104)*POWER(Upgrades!$P$8,G104)*POWER(Upgrades!$P$9,H104)*POWER(Upgrades!$P$10,I104)*POWER(Upgrades!$P$11,J104)*POWER(Upgrades!$P$12,K104)*60</f>
        <v>150</v>
      </c>
      <c r="AC104" s="27" t="n">
        <f aca="false">(IF(G104=0,0,(Upgrades!$J$8+G104*Upgrades!$K$8)*POWER(Upgrades!$L$8,G104)))*(IF(Upgrades!$T$6="Stellar Coupling",POWER(Upgrades!$U$6,E104),1)*IF(Upgrades!$T$7="Stellar Coupling",POWER(Upgrades!$U$7,F104),1)*IF(Upgrades!$T$9="Stellar Coupling",POWER(Upgrades!$U$9,H104),1)*IF(Upgrades!$T$10="Stellar Coupling",POWER(Upgrades!$U$10,I104),1)*IF(Upgrades!$T$11="Stellar Coupling",POWER(Upgrades!$U$11,J104),1)*IF(Upgrades!$T$12="Stellar Coupling",POWER(Upgrades!$U$12,K104),1))*POWER(Upgrades!$Q$6,E104)*POWER(Upgrades!$Q$7,F104)*POWER(Upgrades!$Q$8,G104)*POWER(Upgrades!$Q$9,H104)*POWER(Upgrades!$Q$10,I104)*POWER(Upgrades!$Q$11,J104)*POWER(Upgrades!$Q$12,K104)*Parameters!$B$10*Parameters!$B$11</f>
        <v>441</v>
      </c>
      <c r="AD104" s="27" t="n">
        <f aca="false">(IF(H104=0,0,(Upgrades!$G$9+H104*Upgrades!$H$9)*POWER(Upgrades!$I$9,H104)))*(IF(Upgrades!$T$6="Magnetosphere",POWER(Upgrades!$U$6,E104),1)*IF(Upgrades!$T$7="Magnetosphere",POWER(Upgrades!$U$7,F104),1)*IF(Upgrades!$T$8="Magnetosphere",POWER(Upgrades!$U$8,G104),1)*IF(Upgrades!$T$10="Magnetosphere",POWER(Upgrades!$U$10,I104),1)*IF(Upgrades!$T$11="Magnetosphere",POWER(Upgrades!$U$11,J104),1)*IF(Upgrades!$T$12="Magnetosphere",POWER(Upgrades!$U$12,K104),1))*POWER(Upgrades!$P$6,E104)*POWER(Upgrades!$P$7,F104)*POWER(Upgrades!$P$8,G104)*POWER(Upgrades!$P$9,H104)*POWER(Upgrades!$P$10,I104)*POWER(Upgrades!$P$11,J104)*POWER(Upgrades!$P$12,K104)*60</f>
        <v>375</v>
      </c>
      <c r="AE104" s="27" t="n">
        <f aca="false">(IF(K104=0,0,(Upgrades!$G$12+K104*Upgrades!$H$12)*POWER(Upgrades!$I$12,K104)))*(IF(Upgrades!$T$6="First Photons",POWER(Upgrades!$U$6,E104),1)*IF(Upgrades!$T$7="First Photons",POWER(Upgrades!$U$7,F104),1)*IF(Upgrades!$T$8="First Photons",POWER(Upgrades!$U$8,G104),1)*IF(Upgrades!$T$9="First Photons",POWER(Upgrades!$U$9,H104),1)*IF(Upgrades!$T$10="First Photons",POWER(Upgrades!$U$10,I104),1)*IF(Upgrades!$T$11="First Photons",POWER(Upgrades!$U$11,J104),1))*POWER(Upgrades!$P$6,E104)*POWER(Upgrades!$P$7,F104)*POWER(Upgrades!$P$8,G104)*POWER(Upgrades!$P$9,H104)*POWER(Upgrades!$P$10,I104)*POWER(Upgrades!$P$11,J104)*POWER(Upgrades!$P$12,K104)*60</f>
        <v>75</v>
      </c>
      <c r="AF104" s="27" t="n">
        <f aca="false">Parameters!$B$9*POWER(Upgrades!$Q$6,E104)*POWER(Upgrades!$Q$7,F104)*POWER(Upgrades!$Q$8,G104)*POWER(Upgrades!$Q$9,H104)*POWER(Upgrades!$Q$10,I104)*POWER(Upgrades!$Q$11,J104)*POWER(Upgrades!$Q$12,K104)*(Parameters!$B$10*Parameters!$B$11+O104*60)</f>
        <v>120</v>
      </c>
      <c r="AG104" s="21" t="n">
        <f aca="false">IF(E104&gt;=Upgrades!$E$6,"",Upgrades!$C$6*POWER(Upgrades!$D$6,E104))</f>
        <v>37.4517507383159</v>
      </c>
      <c r="AH104" s="21" t="n">
        <f aca="false">IF(F104&gt;=Upgrades!$E$7,"",Upgrades!$C$7*POWER(Upgrades!$D$7,F104))</f>
        <v>80.9111547141581</v>
      </c>
      <c r="AI104" s="21" t="n">
        <f aca="false">IF(G104&gt;=Upgrades!$E$8,"",Upgrades!$C$8*POWER(Upgrades!$D$8,G104))</f>
        <v>231.9097088</v>
      </c>
      <c r="AJ104" s="21" t="str">
        <f aca="false">IF(H104&gt;=Upgrades!$E$9,"",Upgrades!$C$9*POWER(Upgrades!$D$9,H104))</f>
        <v/>
      </c>
      <c r="AK104" s="21" t="str">
        <f aca="false">IF(I104&gt;=Upgrades!$E$10,"",Upgrades!$C$10*POWER(Upgrades!$D$10,I104))</f>
        <v/>
      </c>
      <c r="AL104" s="21" t="str">
        <f aca="false">IF(J104&gt;=Upgrades!$E$11,"",Upgrades!$C$11*POWER(Upgrades!$D$11,J104))</f>
        <v/>
      </c>
      <c r="AM104" s="21" t="str">
        <f aca="false">IF(K104&gt;=Upgrades!$E$12,"",Upgrades!$C$12*POWER(Upgrades!$D$12,K104))</f>
        <v/>
      </c>
      <c r="AN104" s="26" t="str">
        <f aca="false">IF(AND(D104&gt;=Parameters!$B$18,(H104&gt;=Upgrades!$E$9)*(K104&gt;=Upgrades!$E$12)=1,L104=0),1,"")</f>
        <v/>
      </c>
      <c r="AO104" s="26" t="str">
        <f aca="false">IF(AND(D104&gt;=Parameters!$B$18,L104=0),1,"")</f>
        <v/>
      </c>
      <c r="AP104" s="21" t="n">
        <f aca="false">MIN(IF(ISNUMBER(AK104),AK104,9000000000000000),IF(ISNUMBER(AL104),AL104,9000000000000000),IF(ISNUMBER(AM104),AM104,9000000000000000))</f>
        <v>9000000000000000</v>
      </c>
      <c r="AQ104" s="21" t="n">
        <f aca="false">MIN(IF(ISNUMBER(AG104),AG104,9000000000000000),IF(ISNUMBER(AH104),AH104,9000000000000000),IF(ISNUMBER(AI104),AI104,9000000000000000),IF(ISNUMBER(AJ104),AJ104,9000000000000000))</f>
        <v>37.4517507383159</v>
      </c>
      <c r="AR104" s="32" t="b">
        <f aca="false">IF(AW104&gt;Parameters!$B$21*(MAX(IF(AND(NOT(AND(AO104=1,AN104&lt;&gt;1)),ISNUMBER(AG104),AG104&lt;=T104),AS104,0),IF(AND(NOT(AND(AO104=1,AN104&lt;&gt;1)),ISNUMBER(AH104),AH104&lt;=T104),AT104,0),IF(AND(NOT(AND(AO104=1,AN104&lt;&gt;1)),ISNUMBER(AI104),AI104&lt;=T104),AU104,0),IF(AND(ISNUMBER(AJ104),AJ104&lt;=T104),AV104,0))),TRUE(),FALSE())</f>
        <v>1</v>
      </c>
      <c r="AS104" s="33" t="n">
        <f aca="false">IFERROR(Upgrades!$H$6*(POWER(Upgrades!$P$6,E104)*POWER(Upgrades!$P$7,F104)*POWER(Upgrades!$P$8,G104)*POWER(Upgrades!$P$9,H104)*POWER(Upgrades!$P$10,I104)*POWER(Upgrades!$P$11,J104)*POWER(Upgrades!$P$12,K104))*(IF(Upgrades!$T$7="Solar Wind",POWER(Upgrades!$U$7,F104),1)*IF(Upgrades!$T$8="Solar Wind",POWER(Upgrades!$U$8,G104),1)*IF(Upgrades!$T$9="Solar Wind",POWER(Upgrades!$U$9,H104),1)*IF(Upgrades!$T$10="Solar Wind",POWER(Upgrades!$U$10,I104),1)*IF(Upgrades!$T$11="Solar Wind",POWER(Upgrades!$U$11,J104),1)*IF(Upgrades!$T$12="Solar Wind",POWER(Upgrades!$U$12,K104),1))/AG104,0)</f>
        <v>0.0026701021455238</v>
      </c>
      <c r="AT104" s="33" t="n">
        <f aca="false">IFERROR(Upgrades!$H$7*(POWER(Upgrades!$P$6,E104)*POWER(Upgrades!$P$7,F104)*POWER(Upgrades!$P$8,G104)*POWER(Upgrades!$P$9,H104)*POWER(Upgrades!$P$10,I104)*POWER(Upgrades!$P$11,J104)*POWER(Upgrades!$P$12,K104))*(IF(Upgrades!$T$6="Asteroid Belt",POWER(Upgrades!$U$6,E104),1)*IF(Upgrades!$T$8="Asteroid Belt",POWER(Upgrades!$U$8,G104),1)*IF(Upgrades!$T$9="Asteroid Belt",POWER(Upgrades!$U$9,H104),1)*IF(Upgrades!$T$10="Asteroid Belt",POWER(Upgrades!$U$10,I104),1)*IF(Upgrades!$T$11="Asteroid Belt",POWER(Upgrades!$U$11,J104),1)*IF(Upgrades!$T$12="Asteroid Belt",POWER(Upgrades!$U$12,K104),1))/AH104,0)</f>
        <v>0.00308980882652332</v>
      </c>
      <c r="AU104" s="33" t="n">
        <f aca="false">IFERROR(Upgrades!$K$8*(POWER(Upgrades!$Q$6,E104)*POWER(Upgrades!$Q$7,F104)*POWER(Upgrades!$Q$8,G104)*POWER(Upgrades!$Q$9,H104)*POWER(Upgrades!$Q$10,I104)*POWER(Upgrades!$Q$11,J104)*POWER(Upgrades!$Q$12,K104))*(IF(Upgrades!$T$6="Stellar Coupling",POWER(Upgrades!$U$6,E104),1)*IF(Upgrades!$T$7="Stellar Coupling",POWER(Upgrades!$U$7,F104),1)*IF(Upgrades!$T$9="Stellar Coupling",POWER(Upgrades!$U$9,H104),1)*IF(Upgrades!$T$10="Stellar Coupling",POWER(Upgrades!$U$10,I104),1)*IF(Upgrades!$T$11="Stellar Coupling",POWER(Upgrades!$U$11,J104),1)*IF(Upgrades!$T$12="Stellar Coupling",POWER(Upgrades!$U$12,K104),1))*Parameters!$B$10*Parameters!$B$11/60/AI104,0)</f>
        <v>0.00452762415783776</v>
      </c>
      <c r="AV104" s="33" t="n">
        <f aca="false">IFERROR(Upgrades!$H$9*(POWER(Upgrades!$P$6,E104)*POWER(Upgrades!$P$7,F104)*POWER(Upgrades!$P$8,G104)*POWER(Upgrades!$P$9,H104)*POWER(Upgrades!$P$10,I104)*POWER(Upgrades!$P$11,J104)*POWER(Upgrades!$P$12,K104))*(IF(Upgrades!$T$6="Magnetosphere",POWER(Upgrades!$U$6,E104),1)*IF(Upgrades!$T$7="Magnetosphere",POWER(Upgrades!$U$7,F104),1)*IF(Upgrades!$T$8="Magnetosphere",POWER(Upgrades!$U$8,G104),1)*IF(Upgrades!$T$10="Magnetosphere",POWER(Upgrades!$U$10,I104),1)*IF(Upgrades!$T$11="Magnetosphere",POWER(Upgrades!$U$11,J104),1)*IF(Upgrades!$T$12="Magnetosphere",POWER(Upgrades!$U$12,K104),1))/AJ104,0)</f>
        <v>0</v>
      </c>
      <c r="AW104" s="33" t="n">
        <f aca="false">MAX(IF(I104&gt;0,0,IFERROR(0.25*N104/Upgrades!$C$10,0)),IF(J104&gt;0,0,IFERROR(0.5*((IF(G104=0,0,(Upgrades!$J$8+G104*Upgrades!$K$8)*POWER(Upgrades!$L$8,G104)))*(IF(Upgrades!$T$6="Stellar Coupling",POWER(Upgrades!$U$6,E104),1)*IF(Upgrades!$T$7="Stellar Coupling",POWER(Upgrades!$U$7,F104),1)*IF(Upgrades!$T$9="Stellar Coupling",POWER(Upgrades!$U$9,H104),1)*IF(Upgrades!$T$10="Stellar Coupling",POWER(Upgrades!$U$10,I104),1)*IF(Upgrades!$T$11="Stellar Coupling",POWER(Upgrades!$U$11,J104),1)*IF(Upgrades!$T$12="Stellar Coupling",POWER(Upgrades!$U$12,K104),1))*(POWER(Upgrades!$Q$6,E104)*POWER(Upgrades!$Q$7,F104)*POWER(Upgrades!$Q$8,G104)*POWER(Upgrades!$Q$9,H104)*POWER(Upgrades!$Q$10,I104)*POWER(Upgrades!$Q$11,J104)*POWER(Upgrades!$Q$12,K104))*Parameters!$B$10*Parameters!$B$11/60)/Upgrades!$C$11,0)),IF(K104&gt;0,0,IFERROR((1*(POWER(Upgrades!$P$6,E104)*POWER(Upgrades!$P$7,F104)*POWER(Upgrades!$P$8,G104)*POWER(Upgrades!$P$9,H104)*POWER(Upgrades!$P$10,I104)*POWER(Upgrades!$P$11,J104)*POWER(Upgrades!$P$12,K104))+0.2*M104*Parameters!$B$10*Parameters!$B$11/60)/Upgrades!$C$12,0)),IF(AND(ISNUMBER(AG104),AG104&gt;T104),AS104,0),IF(AND(ISNUMBER(AH104),AH104&gt;T104),AT104,0),IF(AND(ISNUMBER(AI104),AI104&gt;T104),AU104,0),IF(AND(ISNUMBER(AJ104),AJ104&gt;T104),AV104,0))</f>
        <v>0.00452762415783776</v>
      </c>
      <c r="AX104" s="29" t="str">
        <f aca="false">IF(AN104=1,"transition",IF(MIN(IF(AND(I104=0,ISNUMBER(AK104),AK104&lt;=T104),AK104,9000000000000000),IF(AND(J104=0,ISNUMBER(AL104),AL104&lt;=T104),AL104,9000000000000000),IF(AND(K104=0,ISNUMBER(AM104),AM104&lt;=T104),AM104,9000000000000000))&lt;9000000000000000,IF(AND(AND(I104=0,ISNUMBER(AK104),AK104&lt;=T104),AK104=MIN(IF(AND(I104=0,ISNUMBER(AK104),AK104&lt;=T104),AK104,9000000000000000),IF(AND(J104=0,ISNUMBER(AL104),AL104&lt;=T104),AL104,9000000000000000),IF(AND(K104=0,ISNUMBER(AM104),AM104&lt;=T104),AM104,9000000000000000))),"OR",IF(AND(AND(J104=0,ISNUMBER(AL104),AL104&lt;=T104),AL104=MIN(IF(AND(I104=0,ISNUMBER(AK104),AK104&lt;=T104),AK104,9000000000000000),IF(AND(J104=0,ISNUMBER(AL104),AL104&lt;=T104),AL104,9000000000000000),IF(AND(K104=0,ISNUMBER(AM104),AM104&lt;=T104),AM104,9000000000000000))),"HP","FP")),IF(AR104=TRUE(),"",IF(MAX(IF(AND(NOT(AND(AO104=1,AN104&lt;&gt;1)),ISNUMBER(AG104),AG104&lt;=T104),AS104,0),IF(AND(NOT(AND(AO104=1,AN104&lt;&gt;1)),ISNUMBER(AH104),AH104&lt;=T104),AT104,0),IF(AND(NOT(AND(AO104=1,AN104&lt;&gt;1)),ISNUMBER(AI104),AI104&lt;=T104),AU104,0),IF(AND(ISNUMBER(AJ104),AJ104&lt;=T104),AV104,0))&lt;=0,"",IF(AND(IF(AND(NOT(AND(AO104=1,AN104&lt;&gt;1)),ISNUMBER(AG104),AG104&lt;=T104),AS104,0)&gt;0,IF(AND(NOT(AND(AO104=1,AN104&lt;&gt;1)),ISNUMBER(AG104),AG104&lt;=T104),AS104,0)=MAX(IF(AND(NOT(AND(AO104=1,AN104&lt;&gt;1)),ISNUMBER(AG104),AG104&lt;=T104),AS104,0),IF(AND(NOT(AND(AO104=1,AN104&lt;&gt;1)),ISNUMBER(AH104),AH104&lt;=T104),AT104,0),IF(AND(NOT(AND(AO104=1,AN104&lt;&gt;1)),ISNUMBER(AI104),AI104&lt;=T104),AU104,0),IF(AND(ISNUMBER(AJ104),AJ104&lt;=T104),AV104,0))),"SW",IF(AND(IF(AND(NOT(AND(AO104=1,AN104&lt;&gt;1)),ISNUMBER(AH104),AH104&lt;=T104),AT104,0)&gt;0,IF(AND(NOT(AND(AO104=1,AN104&lt;&gt;1)),ISNUMBER(AH104),AH104&lt;=T104),AT104,0)=MAX(IF(AND(NOT(AND(AO104=1,AN104&lt;&gt;1)),ISNUMBER(AG104),AG104&lt;=T104),AS104,0),IF(AND(NOT(AND(AO104=1,AN104&lt;&gt;1)),ISNUMBER(AH104),AH104&lt;=T104),AT104,0),IF(AND(NOT(AND(AO104=1,AN104&lt;&gt;1)),ISNUMBER(AI104),AI104&lt;=T104),AU104,0),IF(AND(ISNUMBER(AJ104),AJ104&lt;=T104),AV104,0))),"AB",IF(AND(IF(AND(NOT(AND(AO104=1,AN104&lt;&gt;1)),ISNUMBER(AI104),AI104&lt;=T104),AU104,0)&gt;0,IF(AND(NOT(AND(AO104=1,AN104&lt;&gt;1)),ISNUMBER(AI104),AI104&lt;=T104),AU104,0)=MAX(IF(AND(NOT(AND(AO104=1,AN104&lt;&gt;1)),ISNUMBER(AG104),AG104&lt;=T104),AS104,0),IF(AND(NOT(AND(AO104=1,AN104&lt;&gt;1)),ISNUMBER(AH104),AH104&lt;=T104),AT104,0),IF(AND(NOT(AND(AO104=1,AN104&lt;&gt;1)),ISNUMBER(AI104),AI104&lt;=T104),AU104,0),IF(AND(ISNUMBER(AJ104),AJ104&lt;=T104),AV104,0))),"SC","Mag")))))))</f>
        <v/>
      </c>
    </row>
    <row r="105" customFormat="false" ht="15" hidden="false" customHeight="false" outlineLevel="0" collapsed="false">
      <c r="A105" s="26" t="n">
        <v>100</v>
      </c>
      <c r="B105" s="27" t="n">
        <f aca="false">A105*10/60</f>
        <v>16.6666666666667</v>
      </c>
      <c r="C105" s="21" t="n">
        <f aca="false">X104</f>
        <v>18.6730249835055</v>
      </c>
      <c r="D105" s="27" t="n">
        <f aca="false">D104+W104</f>
        <v>0</v>
      </c>
      <c r="E105" s="26" t="n">
        <f aca="false">E104+IF(U104="SW",1,0)</f>
        <v>12</v>
      </c>
      <c r="F105" s="26" t="n">
        <f aca="false">F104+IF(U104="AB",1,0)</f>
        <v>10</v>
      </c>
      <c r="G105" s="26" t="n">
        <f aca="false">G104+IF(U104="SC",1,0)</f>
        <v>7</v>
      </c>
      <c r="H105" s="26" t="n">
        <f aca="false">H104+IF(U104="Mag",1,0)</f>
        <v>5</v>
      </c>
      <c r="I105" s="26" t="n">
        <f aca="false">MAX(I104,IF(U104="OR",1,0))</f>
        <v>1</v>
      </c>
      <c r="J105" s="26" t="n">
        <f aca="false">MAX(J104,IF(U104="HP",1,0))</f>
        <v>1</v>
      </c>
      <c r="K105" s="26" t="n">
        <f aca="false">MAX(K104,IF(U104="FP",1,0))</f>
        <v>1</v>
      </c>
      <c r="L105" s="26" t="n">
        <f aca="false">MAX(L104,IF(U104="transition",1,0))</f>
        <v>1</v>
      </c>
      <c r="M105" s="28" t="n">
        <f aca="false">(Parameters!$B$9+(IF(E105=0,0,(Upgrades!$J$6+E105*Upgrades!$K$6)*POWER(Upgrades!$L$6,E105)))*(IF(Upgrades!$T$7="Solar Wind",POWER(Upgrades!$U$7,F105),1)*IF(Upgrades!$T$8="Solar Wind",POWER(Upgrades!$U$8,G105),1)*IF(Upgrades!$T$9="Solar Wind",POWER(Upgrades!$U$9,H105),1)*IF(Upgrades!$T$10="Solar Wind",POWER(Upgrades!$U$10,I105),1)*IF(Upgrades!$T$11="Solar Wind",POWER(Upgrades!$U$11,J105),1)*IF(Upgrades!$T$12="Solar Wind",POWER(Upgrades!$U$12,K105),1))+(IF(F105=0,0,(Upgrades!$J$7+F105*Upgrades!$K$7)*POWER(Upgrades!$L$7,F105)))*(IF(Upgrades!$T$6="Asteroid Belt",POWER(Upgrades!$U$6,E105),1)*IF(Upgrades!$T$8="Asteroid Belt",POWER(Upgrades!$U$8,G105),1)*IF(Upgrades!$T$9="Asteroid Belt",POWER(Upgrades!$U$9,H105),1)*IF(Upgrades!$T$10="Asteroid Belt",POWER(Upgrades!$U$10,I105),1)*IF(Upgrades!$T$11="Asteroid Belt",POWER(Upgrades!$U$11,J105),1)*IF(Upgrades!$T$12="Asteroid Belt",POWER(Upgrades!$U$12,K105),1))+(IF(G105=0,0,(Upgrades!$J$8+G105*Upgrades!$K$8)*POWER(Upgrades!$L$8,G105)))*(IF(Upgrades!$T$6="Stellar Coupling",POWER(Upgrades!$U$6,E105),1)*IF(Upgrades!$T$7="Stellar Coupling",POWER(Upgrades!$U$7,F105),1)*IF(Upgrades!$T$9="Stellar Coupling",POWER(Upgrades!$U$9,H105),1)*IF(Upgrades!$T$10="Stellar Coupling",POWER(Upgrades!$U$10,I105),1)*IF(Upgrades!$T$11="Stellar Coupling",POWER(Upgrades!$U$11,J105),1)*IF(Upgrades!$T$12="Stellar Coupling",POWER(Upgrades!$U$12,K105),1))+(IF(H105=0,0,(Upgrades!$J$9+H105*Upgrades!$K$9)*POWER(Upgrades!$L$9,H105)))*(IF(Upgrades!$T$6="Magnetosphere",POWER(Upgrades!$U$6,E105),1)*IF(Upgrades!$T$7="Magnetosphere",POWER(Upgrades!$U$7,F105),1)*IF(Upgrades!$T$8="Magnetosphere",POWER(Upgrades!$U$8,G105),1)*IF(Upgrades!$T$10="Magnetosphere",POWER(Upgrades!$U$10,I105),1)*IF(Upgrades!$T$11="Magnetosphere",POWER(Upgrades!$U$11,J105),1)*IF(Upgrades!$T$12="Magnetosphere",POWER(Upgrades!$U$12,K105),1))+(IF(I105=0,0,(Upgrades!$J$10+I105*Upgrades!$K$10)*POWER(Upgrades!$L$10,I105)))*(IF(Upgrades!$T$6="Orbital Resonance",POWER(Upgrades!$U$6,E105),1)*IF(Upgrades!$T$7="Orbital Resonance",POWER(Upgrades!$U$7,F105),1)*IF(Upgrades!$T$8="Orbital Resonance",POWER(Upgrades!$U$8,G105),1)*IF(Upgrades!$T$9="Orbital Resonance",POWER(Upgrades!$U$9,H105),1)*IF(Upgrades!$T$11="Orbital Resonance",POWER(Upgrades!$U$11,J105),1)*IF(Upgrades!$T$12="Orbital Resonance",POWER(Upgrades!$U$12,K105),1))+(IF(J105=0,0,(Upgrades!$J$11+J105*Upgrades!$K$11)*POWER(Upgrades!$L$11,J105)))*(IF(Upgrades!$T$6="Heliopause",POWER(Upgrades!$U$6,E105),1)*IF(Upgrades!$T$7="Heliopause",POWER(Upgrades!$U$7,F105),1)*IF(Upgrades!$T$8="Heliopause",POWER(Upgrades!$U$8,G105),1)*IF(Upgrades!$T$9="Heliopause",POWER(Upgrades!$U$9,H105),1)*IF(Upgrades!$T$10="Heliopause",POWER(Upgrades!$U$10,I105),1)*IF(Upgrades!$T$12="Heliopause",POWER(Upgrades!$U$12,K105),1))+(IF(K105=0,0,(Upgrades!$J$12+K105*Upgrades!$K$12)*POWER(Upgrades!$L$12,K105)))*(IF(Upgrades!$T$6="First Photons",POWER(Upgrades!$U$6,E105),1)*IF(Upgrades!$T$7="First Photons",POWER(Upgrades!$U$7,F105),1)*IF(Upgrades!$T$8="First Photons",POWER(Upgrades!$U$8,G105),1)*IF(Upgrades!$T$9="First Photons",POWER(Upgrades!$U$9,H105),1)*IF(Upgrades!$T$10="First Photons",POWER(Upgrades!$U$10,I105),1)*IF(Upgrades!$T$11="First Photons",POWER(Upgrades!$U$11,J105),1)))*POWER(Upgrades!$Q$6,E105)*POWER(Upgrades!$Q$7,F105)*POWER(Upgrades!$Q$8,G105)*POWER(Upgrades!$Q$9,H105)*POWER(Upgrades!$Q$10,I105)*POWER(Upgrades!$Q$11,J105)*POWER(Upgrades!$Q$12,K105)</f>
        <v>5.61</v>
      </c>
      <c r="N105" s="28" t="n">
        <f aca="false">((IF(E105=0,0,(Upgrades!$G$6+E105*Upgrades!$H$6)*POWER(Upgrades!$I$6,E105)))*(IF(Upgrades!$T$7="Solar Wind",POWER(Upgrades!$U$7,F105),1)*IF(Upgrades!$T$8="Solar Wind",POWER(Upgrades!$U$8,G105),1)*IF(Upgrades!$T$9="Solar Wind",POWER(Upgrades!$U$9,H105),1)*IF(Upgrades!$T$10="Solar Wind",POWER(Upgrades!$U$10,I105),1)*IF(Upgrades!$T$11="Solar Wind",POWER(Upgrades!$U$11,J105),1)*IF(Upgrades!$T$12="Solar Wind",POWER(Upgrades!$U$12,K105),1))+(IF(F105=0,0,(Upgrades!$G$7+F105*Upgrades!$H$7)*POWER(Upgrades!$I$7,F105)))*(IF(Upgrades!$T$6="Asteroid Belt",POWER(Upgrades!$U$6,E105),1)*IF(Upgrades!$T$8="Asteroid Belt",POWER(Upgrades!$U$8,G105),1)*IF(Upgrades!$T$9="Asteroid Belt",POWER(Upgrades!$U$9,H105),1)*IF(Upgrades!$T$10="Asteroid Belt",POWER(Upgrades!$U$10,I105),1)*IF(Upgrades!$T$11="Asteroid Belt",POWER(Upgrades!$U$11,J105),1)*IF(Upgrades!$T$12="Asteroid Belt",POWER(Upgrades!$U$12,K105),1))+(IF(G105=0,0,(Upgrades!$G$8+G105*Upgrades!$H$8)*POWER(Upgrades!$I$8,G105)))*(IF(Upgrades!$T$6="Stellar Coupling",POWER(Upgrades!$U$6,E105),1)*IF(Upgrades!$T$7="Stellar Coupling",POWER(Upgrades!$U$7,F105),1)*IF(Upgrades!$T$9="Stellar Coupling",POWER(Upgrades!$U$9,H105),1)*IF(Upgrades!$T$10="Stellar Coupling",POWER(Upgrades!$U$10,I105),1)*IF(Upgrades!$T$11="Stellar Coupling",POWER(Upgrades!$U$11,J105),1)*IF(Upgrades!$T$12="Stellar Coupling",POWER(Upgrades!$U$12,K105),1))+(IF(H105=0,0,(Upgrades!$G$9+H105*Upgrades!$H$9)*POWER(Upgrades!$I$9,H105)))*(IF(Upgrades!$T$6="Magnetosphere",POWER(Upgrades!$U$6,E105),1)*IF(Upgrades!$T$7="Magnetosphere",POWER(Upgrades!$U$7,F105),1)*IF(Upgrades!$T$8="Magnetosphere",POWER(Upgrades!$U$8,G105),1)*IF(Upgrades!$T$10="Magnetosphere",POWER(Upgrades!$U$10,I105),1)*IF(Upgrades!$T$11="Magnetosphere",POWER(Upgrades!$U$11,J105),1)*IF(Upgrades!$T$12="Magnetosphere",POWER(Upgrades!$U$12,K105),1))+(IF(I105=0,0,(Upgrades!$G$10+I105*Upgrades!$H$10)*POWER(Upgrades!$I$10,I105)))*(IF(Upgrades!$T$6="Orbital Resonance",POWER(Upgrades!$U$6,E105),1)*IF(Upgrades!$T$7="Orbital Resonance",POWER(Upgrades!$U$7,F105),1)*IF(Upgrades!$T$8="Orbital Resonance",POWER(Upgrades!$U$8,G105),1)*IF(Upgrades!$T$9="Orbital Resonance",POWER(Upgrades!$U$9,H105),1)*IF(Upgrades!$T$11="Orbital Resonance",POWER(Upgrades!$U$11,J105),1)*IF(Upgrades!$T$12="Orbital Resonance",POWER(Upgrades!$U$12,K105),1))+(IF(J105=0,0,(Upgrades!$G$11+J105*Upgrades!$H$11)*POWER(Upgrades!$I$11,J105)))*(IF(Upgrades!$T$6="Heliopause",POWER(Upgrades!$U$6,E105),1)*IF(Upgrades!$T$7="Heliopause",POWER(Upgrades!$U$7,F105),1)*IF(Upgrades!$T$8="Heliopause",POWER(Upgrades!$U$8,G105),1)*IF(Upgrades!$T$9="Heliopause",POWER(Upgrades!$U$9,H105),1)*IF(Upgrades!$T$10="Heliopause",POWER(Upgrades!$U$10,I105),1)*IF(Upgrades!$T$12="Heliopause",POWER(Upgrades!$U$12,K105),1))+(IF(K105=0,0,(Upgrades!$G$12+K105*Upgrades!$H$12)*POWER(Upgrades!$I$12,K105)))*(IF(Upgrades!$T$6="First Photons",POWER(Upgrades!$U$6,E105),1)*IF(Upgrades!$T$7="First Photons",POWER(Upgrades!$U$7,F105),1)*IF(Upgrades!$T$8="First Photons",POWER(Upgrades!$U$8,G105),1)*IF(Upgrades!$T$9="First Photons",POWER(Upgrades!$U$9,H105),1)*IF(Upgrades!$T$10="First Photons",POWER(Upgrades!$U$10,I105),1)*IF(Upgrades!$T$11="First Photons",POWER(Upgrades!$U$11,J105),1)))*POWER(Upgrades!$P$6,E105)*POWER(Upgrades!$P$7,F105)*POWER(Upgrades!$P$8,G105)*POWER(Upgrades!$P$9,H105)*POWER(Upgrades!$P$10,I105)*POWER(Upgrades!$P$11,J105)*POWER(Upgrades!$P$12,K105)</f>
        <v>11.2</v>
      </c>
      <c r="O105" s="28" t="n">
        <f aca="false">((IF(E105=0,0,(Upgrades!$M$6+E105*Upgrades!$N$6)*POWER(Upgrades!$O$6,E105)))*(IF(Upgrades!$T$7="Solar Wind",POWER(Upgrades!$U$7,F105),1)*IF(Upgrades!$T$8="Solar Wind",POWER(Upgrades!$U$8,G105),1)*IF(Upgrades!$T$9="Solar Wind",POWER(Upgrades!$U$9,H105),1)*IF(Upgrades!$T$10="Solar Wind",POWER(Upgrades!$U$10,I105),1)*IF(Upgrades!$T$11="Solar Wind",POWER(Upgrades!$U$11,J105),1)*IF(Upgrades!$T$12="Solar Wind",POWER(Upgrades!$U$12,K105),1))+(IF(F105=0,0,(Upgrades!$M$7+F105*Upgrades!$N$7)*POWER(Upgrades!$O$7,F105)))*(IF(Upgrades!$T$6="Asteroid Belt",POWER(Upgrades!$U$6,E105),1)*IF(Upgrades!$T$8="Asteroid Belt",POWER(Upgrades!$U$8,G105),1)*IF(Upgrades!$T$9="Asteroid Belt",POWER(Upgrades!$U$9,H105),1)*IF(Upgrades!$T$10="Asteroid Belt",POWER(Upgrades!$U$10,I105),1)*IF(Upgrades!$T$11="Asteroid Belt",POWER(Upgrades!$U$11,J105),1)*IF(Upgrades!$T$12="Asteroid Belt",POWER(Upgrades!$U$12,K105),1))+(IF(G105=0,0,(Upgrades!$M$8+G105*Upgrades!$N$8)*POWER(Upgrades!$O$8,G105)))*(IF(Upgrades!$T$6="Stellar Coupling",POWER(Upgrades!$U$6,E105),1)*IF(Upgrades!$T$7="Stellar Coupling",POWER(Upgrades!$U$7,F105),1)*IF(Upgrades!$T$9="Stellar Coupling",POWER(Upgrades!$U$9,H105),1)*IF(Upgrades!$T$10="Stellar Coupling",POWER(Upgrades!$U$10,I105),1)*IF(Upgrades!$T$11="Stellar Coupling",POWER(Upgrades!$U$11,J105),1)*IF(Upgrades!$T$12="Stellar Coupling",POWER(Upgrades!$U$12,K105),1))+(IF(H105=0,0,(Upgrades!$M$9+H105*Upgrades!$N$9)*POWER(Upgrades!$O$9,H105)))*(IF(Upgrades!$T$6="Magnetosphere",POWER(Upgrades!$U$6,E105),1)*IF(Upgrades!$T$7="Magnetosphere",POWER(Upgrades!$U$7,F105),1)*IF(Upgrades!$T$8="Magnetosphere",POWER(Upgrades!$U$8,G105),1)*IF(Upgrades!$T$10="Magnetosphere",POWER(Upgrades!$U$10,I105),1)*IF(Upgrades!$T$11="Magnetosphere",POWER(Upgrades!$U$11,J105),1)*IF(Upgrades!$T$12="Magnetosphere",POWER(Upgrades!$U$12,K105),1))+(IF(I105=0,0,(Upgrades!$M$10+I105*Upgrades!$N$10)*POWER(Upgrades!$O$10,I105)))*(IF(Upgrades!$T$6="Orbital Resonance",POWER(Upgrades!$U$6,E105),1)*IF(Upgrades!$T$7="Orbital Resonance",POWER(Upgrades!$U$7,F105),1)*IF(Upgrades!$T$8="Orbital Resonance",POWER(Upgrades!$U$8,G105),1)*IF(Upgrades!$T$9="Orbital Resonance",POWER(Upgrades!$U$9,H105),1)*IF(Upgrades!$T$11="Orbital Resonance",POWER(Upgrades!$U$11,J105),1)*IF(Upgrades!$T$12="Orbital Resonance",POWER(Upgrades!$U$12,K105),1))+(IF(J105=0,0,(Upgrades!$M$11+J105*Upgrades!$N$11)*POWER(Upgrades!$O$11,J105)))*(IF(Upgrades!$T$6="Heliopause",POWER(Upgrades!$U$6,E105),1)*IF(Upgrades!$T$7="Heliopause",POWER(Upgrades!$U$7,F105),1)*IF(Upgrades!$T$8="Heliopause",POWER(Upgrades!$U$8,G105),1)*IF(Upgrades!$T$9="Heliopause",POWER(Upgrades!$U$9,H105),1)*IF(Upgrades!$T$10="Heliopause",POWER(Upgrades!$U$10,I105),1)*IF(Upgrades!$T$12="Heliopause",POWER(Upgrades!$U$12,K105),1))+(IF(K105=0,0,(Upgrades!$M$12+K105*Upgrades!$N$12)*POWER(Upgrades!$O$12,K105)))*(IF(Upgrades!$T$6="First Photons",POWER(Upgrades!$U$6,E105),1)*IF(Upgrades!$T$7="First Photons",POWER(Upgrades!$U$7,F105),1)*IF(Upgrades!$T$8="First Photons",POWER(Upgrades!$U$8,G105),1)*IF(Upgrades!$T$9="First Photons",POWER(Upgrades!$U$9,H105),1)*IF(Upgrades!$T$10="First Photons",POWER(Upgrades!$U$10,I105),1)*IF(Upgrades!$T$11="First Photons",POWER(Upgrades!$U$11,J105),1)))*POWER(Upgrades!$R$6,E105)*POWER(Upgrades!$R$7,F105)*POWER(Upgrades!$R$8,G105)*POWER(Upgrades!$R$9,H105)*POWER(Upgrades!$R$10,I105)*POWER(Upgrades!$R$11,J105)*POWER(Upgrades!$R$12,K105)</f>
        <v>0</v>
      </c>
      <c r="P105" s="27" t="n">
        <f aca="false">IF(L105=1,0,M105*Parameters!$B$10/60*Parameters!$B$11*10)</f>
        <v>0</v>
      </c>
      <c r="Q105" s="27" t="n">
        <f aca="false">IF(L105=1,0,O105*M105*10)</f>
        <v>0</v>
      </c>
      <c r="R105" s="27" t="n">
        <f aca="false">IF(L105=1,0,N105*10)</f>
        <v>0</v>
      </c>
      <c r="S105" s="27" t="n">
        <f aca="false">P105+Q105+R105</f>
        <v>0</v>
      </c>
      <c r="T105" s="21" t="n">
        <f aca="false">C105+S105</f>
        <v>18.6730249835055</v>
      </c>
      <c r="U105" s="34" t="str">
        <f aca="false">AX105</f>
        <v/>
      </c>
      <c r="V105" s="21" t="n">
        <f aca="false">IF(U105="",0,IF(U105="transition",0,IF(U105="SW",AG105,IF(U105="AB",AH105,IF(U105="SC",AI105,IF(U105="Mag",AJ105,IF(U105="OR",AK105,IF(U105="HP",AL105,IF(U105="FP",AM105,0)))))))))</f>
        <v>0</v>
      </c>
      <c r="W105" s="27" t="n">
        <f aca="false">IF(U105="OR",Upgrades!$F$10,IF(U105="HP",Upgrades!$F$11,IF(U105="transition",-Parameters!$B$18,0)))</f>
        <v>0</v>
      </c>
      <c r="X105" s="21" t="n">
        <f aca="false">T105-V105</f>
        <v>18.6730249835055</v>
      </c>
      <c r="Y105" s="30" t="n">
        <f aca="false">M105*Parameters!$B$10/60*Parameters!$B$11+O105*M105+N105</f>
        <v>20.55</v>
      </c>
      <c r="Z105" s="35" t="str">
        <f aca="false">IF(U105="transition","→ Tier 2 (Stellar Neighborhood)",IF(U105="FP","First Photons — light begins, system quickens",IF(U105="HP","Heliopause acquired",IF(U105="OR","Orbital Resonance — passive multiplier active",IF(AND(AO105=1,L105=0,AN105&lt;&gt;1),"Cohesion ready (waiting on completionist upgrades)","")))))</f>
        <v/>
      </c>
      <c r="AA105" s="27" t="n">
        <f aca="false">(IF(E105=0,0,(Upgrades!$G$6+E105*Upgrades!$H$6)*POWER(Upgrades!$I$6,E105)))*(IF(Upgrades!$T$7="Solar Wind",POWER(Upgrades!$U$7,F105),1)*IF(Upgrades!$T$8="Solar Wind",POWER(Upgrades!$U$8,G105),1)*IF(Upgrades!$T$9="Solar Wind",POWER(Upgrades!$U$9,H105),1)*IF(Upgrades!$T$10="Solar Wind",POWER(Upgrades!$U$10,I105),1)*IF(Upgrades!$T$11="Solar Wind",POWER(Upgrades!$U$11,J105),1)*IF(Upgrades!$T$12="Solar Wind",POWER(Upgrades!$U$12,K105),1))*POWER(Upgrades!$P$6,E105)*POWER(Upgrades!$P$7,F105)*POWER(Upgrades!$P$8,G105)*POWER(Upgrades!$P$9,H105)*POWER(Upgrades!$P$10,I105)*POWER(Upgrades!$P$11,J105)*POWER(Upgrades!$P$12,K105)*60</f>
        <v>72</v>
      </c>
      <c r="AB105" s="27" t="n">
        <f aca="false">(IF(F105=0,0,(Upgrades!$G$7+F105*Upgrades!$H$7)*POWER(Upgrades!$I$7,F105)))*(IF(Upgrades!$T$6="Asteroid Belt",POWER(Upgrades!$U$6,E105),1)*IF(Upgrades!$T$8="Asteroid Belt",POWER(Upgrades!$U$8,G105),1)*IF(Upgrades!$T$9="Asteroid Belt",POWER(Upgrades!$U$9,H105),1)*IF(Upgrades!$T$10="Asteroid Belt",POWER(Upgrades!$U$10,I105),1)*IF(Upgrades!$T$11="Asteroid Belt",POWER(Upgrades!$U$11,J105),1)*IF(Upgrades!$T$12="Asteroid Belt",POWER(Upgrades!$U$12,K105),1))*POWER(Upgrades!$P$6,E105)*POWER(Upgrades!$P$7,F105)*POWER(Upgrades!$P$8,G105)*POWER(Upgrades!$P$9,H105)*POWER(Upgrades!$P$10,I105)*POWER(Upgrades!$P$11,J105)*POWER(Upgrades!$P$12,K105)*60</f>
        <v>150</v>
      </c>
      <c r="AC105" s="27" t="n">
        <f aca="false">(IF(G105=0,0,(Upgrades!$J$8+G105*Upgrades!$K$8)*POWER(Upgrades!$L$8,G105)))*(IF(Upgrades!$T$6="Stellar Coupling",POWER(Upgrades!$U$6,E105),1)*IF(Upgrades!$T$7="Stellar Coupling",POWER(Upgrades!$U$7,F105),1)*IF(Upgrades!$T$9="Stellar Coupling",POWER(Upgrades!$U$9,H105),1)*IF(Upgrades!$T$10="Stellar Coupling",POWER(Upgrades!$U$10,I105),1)*IF(Upgrades!$T$11="Stellar Coupling",POWER(Upgrades!$U$11,J105),1)*IF(Upgrades!$T$12="Stellar Coupling",POWER(Upgrades!$U$12,K105),1))*POWER(Upgrades!$Q$6,E105)*POWER(Upgrades!$Q$7,F105)*POWER(Upgrades!$Q$8,G105)*POWER(Upgrades!$Q$9,H105)*POWER(Upgrades!$Q$10,I105)*POWER(Upgrades!$Q$11,J105)*POWER(Upgrades!$Q$12,K105)*Parameters!$B$10*Parameters!$B$11</f>
        <v>441</v>
      </c>
      <c r="AD105" s="27" t="n">
        <f aca="false">(IF(H105=0,0,(Upgrades!$G$9+H105*Upgrades!$H$9)*POWER(Upgrades!$I$9,H105)))*(IF(Upgrades!$T$6="Magnetosphere",POWER(Upgrades!$U$6,E105),1)*IF(Upgrades!$T$7="Magnetosphere",POWER(Upgrades!$U$7,F105),1)*IF(Upgrades!$T$8="Magnetosphere",POWER(Upgrades!$U$8,G105),1)*IF(Upgrades!$T$10="Magnetosphere",POWER(Upgrades!$U$10,I105),1)*IF(Upgrades!$T$11="Magnetosphere",POWER(Upgrades!$U$11,J105),1)*IF(Upgrades!$T$12="Magnetosphere",POWER(Upgrades!$U$12,K105),1))*POWER(Upgrades!$P$6,E105)*POWER(Upgrades!$P$7,F105)*POWER(Upgrades!$P$8,G105)*POWER(Upgrades!$P$9,H105)*POWER(Upgrades!$P$10,I105)*POWER(Upgrades!$P$11,J105)*POWER(Upgrades!$P$12,K105)*60</f>
        <v>375</v>
      </c>
      <c r="AE105" s="27" t="n">
        <f aca="false">(IF(K105=0,0,(Upgrades!$G$12+K105*Upgrades!$H$12)*POWER(Upgrades!$I$12,K105)))*(IF(Upgrades!$T$6="First Photons",POWER(Upgrades!$U$6,E105),1)*IF(Upgrades!$T$7="First Photons",POWER(Upgrades!$U$7,F105),1)*IF(Upgrades!$T$8="First Photons",POWER(Upgrades!$U$8,G105),1)*IF(Upgrades!$T$9="First Photons",POWER(Upgrades!$U$9,H105),1)*IF(Upgrades!$T$10="First Photons",POWER(Upgrades!$U$10,I105),1)*IF(Upgrades!$T$11="First Photons",POWER(Upgrades!$U$11,J105),1))*POWER(Upgrades!$P$6,E105)*POWER(Upgrades!$P$7,F105)*POWER(Upgrades!$P$8,G105)*POWER(Upgrades!$P$9,H105)*POWER(Upgrades!$P$10,I105)*POWER(Upgrades!$P$11,J105)*POWER(Upgrades!$P$12,K105)*60</f>
        <v>75</v>
      </c>
      <c r="AF105" s="27" t="n">
        <f aca="false">Parameters!$B$9*POWER(Upgrades!$Q$6,E105)*POWER(Upgrades!$Q$7,F105)*POWER(Upgrades!$Q$8,G105)*POWER(Upgrades!$Q$9,H105)*POWER(Upgrades!$Q$10,I105)*POWER(Upgrades!$Q$11,J105)*POWER(Upgrades!$Q$12,K105)*(Parameters!$B$10*Parameters!$B$11+O105*60)</f>
        <v>120</v>
      </c>
      <c r="AG105" s="21" t="n">
        <f aca="false">IF(E105&gt;=Upgrades!$E$6,"",Upgrades!$C$6*POWER(Upgrades!$D$6,E105))</f>
        <v>37.4517507383159</v>
      </c>
      <c r="AH105" s="21" t="n">
        <f aca="false">IF(F105&gt;=Upgrades!$E$7,"",Upgrades!$C$7*POWER(Upgrades!$D$7,F105))</f>
        <v>80.9111547141581</v>
      </c>
      <c r="AI105" s="21" t="n">
        <f aca="false">IF(G105&gt;=Upgrades!$E$8,"",Upgrades!$C$8*POWER(Upgrades!$D$8,G105))</f>
        <v>231.9097088</v>
      </c>
      <c r="AJ105" s="21" t="str">
        <f aca="false">IF(H105&gt;=Upgrades!$E$9,"",Upgrades!$C$9*POWER(Upgrades!$D$9,H105))</f>
        <v/>
      </c>
      <c r="AK105" s="21" t="str">
        <f aca="false">IF(I105&gt;=Upgrades!$E$10,"",Upgrades!$C$10*POWER(Upgrades!$D$10,I105))</f>
        <v/>
      </c>
      <c r="AL105" s="21" t="str">
        <f aca="false">IF(J105&gt;=Upgrades!$E$11,"",Upgrades!$C$11*POWER(Upgrades!$D$11,J105))</f>
        <v/>
      </c>
      <c r="AM105" s="21" t="str">
        <f aca="false">IF(K105&gt;=Upgrades!$E$12,"",Upgrades!$C$12*POWER(Upgrades!$D$12,K105))</f>
        <v/>
      </c>
      <c r="AN105" s="26" t="str">
        <f aca="false">IF(AND(D105&gt;=Parameters!$B$18,(H105&gt;=Upgrades!$E$9)*(K105&gt;=Upgrades!$E$12)=1,L105=0),1,"")</f>
        <v/>
      </c>
      <c r="AO105" s="26" t="str">
        <f aca="false">IF(AND(D105&gt;=Parameters!$B$18,L105=0),1,"")</f>
        <v/>
      </c>
      <c r="AP105" s="21" t="n">
        <f aca="false">MIN(IF(ISNUMBER(AK105),AK105,9000000000000000),IF(ISNUMBER(AL105),AL105,9000000000000000),IF(ISNUMBER(AM105),AM105,9000000000000000))</f>
        <v>9000000000000000</v>
      </c>
      <c r="AQ105" s="21" t="n">
        <f aca="false">MIN(IF(ISNUMBER(AG105),AG105,9000000000000000),IF(ISNUMBER(AH105),AH105,9000000000000000),IF(ISNUMBER(AI105),AI105,9000000000000000),IF(ISNUMBER(AJ105),AJ105,9000000000000000))</f>
        <v>37.4517507383159</v>
      </c>
      <c r="AR105" s="32" t="b">
        <f aca="false">IF(AW105&gt;Parameters!$B$21*(MAX(IF(AND(NOT(AND(AO105=1,AN105&lt;&gt;1)),ISNUMBER(AG105),AG105&lt;=T105),AS105,0),IF(AND(NOT(AND(AO105=1,AN105&lt;&gt;1)),ISNUMBER(AH105),AH105&lt;=T105),AT105,0),IF(AND(NOT(AND(AO105=1,AN105&lt;&gt;1)),ISNUMBER(AI105),AI105&lt;=T105),AU105,0),IF(AND(ISNUMBER(AJ105),AJ105&lt;=T105),AV105,0))),TRUE(),FALSE())</f>
        <v>1</v>
      </c>
      <c r="AS105" s="33" t="n">
        <f aca="false">IFERROR(Upgrades!$H$6*(POWER(Upgrades!$P$6,E105)*POWER(Upgrades!$P$7,F105)*POWER(Upgrades!$P$8,G105)*POWER(Upgrades!$P$9,H105)*POWER(Upgrades!$P$10,I105)*POWER(Upgrades!$P$11,J105)*POWER(Upgrades!$P$12,K105))*(IF(Upgrades!$T$7="Solar Wind",POWER(Upgrades!$U$7,F105),1)*IF(Upgrades!$T$8="Solar Wind",POWER(Upgrades!$U$8,G105),1)*IF(Upgrades!$T$9="Solar Wind",POWER(Upgrades!$U$9,H105),1)*IF(Upgrades!$T$10="Solar Wind",POWER(Upgrades!$U$10,I105),1)*IF(Upgrades!$T$11="Solar Wind",POWER(Upgrades!$U$11,J105),1)*IF(Upgrades!$T$12="Solar Wind",POWER(Upgrades!$U$12,K105),1))/AG105,0)</f>
        <v>0.0026701021455238</v>
      </c>
      <c r="AT105" s="33" t="n">
        <f aca="false">IFERROR(Upgrades!$H$7*(POWER(Upgrades!$P$6,E105)*POWER(Upgrades!$P$7,F105)*POWER(Upgrades!$P$8,G105)*POWER(Upgrades!$P$9,H105)*POWER(Upgrades!$P$10,I105)*POWER(Upgrades!$P$11,J105)*POWER(Upgrades!$P$12,K105))*(IF(Upgrades!$T$6="Asteroid Belt",POWER(Upgrades!$U$6,E105),1)*IF(Upgrades!$T$8="Asteroid Belt",POWER(Upgrades!$U$8,G105),1)*IF(Upgrades!$T$9="Asteroid Belt",POWER(Upgrades!$U$9,H105),1)*IF(Upgrades!$T$10="Asteroid Belt",POWER(Upgrades!$U$10,I105),1)*IF(Upgrades!$T$11="Asteroid Belt",POWER(Upgrades!$U$11,J105),1)*IF(Upgrades!$T$12="Asteroid Belt",POWER(Upgrades!$U$12,K105),1))/AH105,0)</f>
        <v>0.00308980882652332</v>
      </c>
      <c r="AU105" s="33" t="n">
        <f aca="false">IFERROR(Upgrades!$K$8*(POWER(Upgrades!$Q$6,E105)*POWER(Upgrades!$Q$7,F105)*POWER(Upgrades!$Q$8,G105)*POWER(Upgrades!$Q$9,H105)*POWER(Upgrades!$Q$10,I105)*POWER(Upgrades!$Q$11,J105)*POWER(Upgrades!$Q$12,K105))*(IF(Upgrades!$T$6="Stellar Coupling",POWER(Upgrades!$U$6,E105),1)*IF(Upgrades!$T$7="Stellar Coupling",POWER(Upgrades!$U$7,F105),1)*IF(Upgrades!$T$9="Stellar Coupling",POWER(Upgrades!$U$9,H105),1)*IF(Upgrades!$T$10="Stellar Coupling",POWER(Upgrades!$U$10,I105),1)*IF(Upgrades!$T$11="Stellar Coupling",POWER(Upgrades!$U$11,J105),1)*IF(Upgrades!$T$12="Stellar Coupling",POWER(Upgrades!$U$12,K105),1))*Parameters!$B$10*Parameters!$B$11/60/AI105,0)</f>
        <v>0.00452762415783776</v>
      </c>
      <c r="AV105" s="33" t="n">
        <f aca="false">IFERROR(Upgrades!$H$9*(POWER(Upgrades!$P$6,E105)*POWER(Upgrades!$P$7,F105)*POWER(Upgrades!$P$8,G105)*POWER(Upgrades!$P$9,H105)*POWER(Upgrades!$P$10,I105)*POWER(Upgrades!$P$11,J105)*POWER(Upgrades!$P$12,K105))*(IF(Upgrades!$T$6="Magnetosphere",POWER(Upgrades!$U$6,E105),1)*IF(Upgrades!$T$7="Magnetosphere",POWER(Upgrades!$U$7,F105),1)*IF(Upgrades!$T$8="Magnetosphere",POWER(Upgrades!$U$8,G105),1)*IF(Upgrades!$T$10="Magnetosphere",POWER(Upgrades!$U$10,I105),1)*IF(Upgrades!$T$11="Magnetosphere",POWER(Upgrades!$U$11,J105),1)*IF(Upgrades!$T$12="Magnetosphere",POWER(Upgrades!$U$12,K105),1))/AJ105,0)</f>
        <v>0</v>
      </c>
      <c r="AW105" s="33" t="n">
        <f aca="false">MAX(IF(I105&gt;0,0,IFERROR(0.25*N105/Upgrades!$C$10,0)),IF(J105&gt;0,0,IFERROR(0.5*((IF(G105=0,0,(Upgrades!$J$8+G105*Upgrades!$K$8)*POWER(Upgrades!$L$8,G105)))*(IF(Upgrades!$T$6="Stellar Coupling",POWER(Upgrades!$U$6,E105),1)*IF(Upgrades!$T$7="Stellar Coupling",POWER(Upgrades!$U$7,F105),1)*IF(Upgrades!$T$9="Stellar Coupling",POWER(Upgrades!$U$9,H105),1)*IF(Upgrades!$T$10="Stellar Coupling",POWER(Upgrades!$U$10,I105),1)*IF(Upgrades!$T$11="Stellar Coupling",POWER(Upgrades!$U$11,J105),1)*IF(Upgrades!$T$12="Stellar Coupling",POWER(Upgrades!$U$12,K105),1))*(POWER(Upgrades!$Q$6,E105)*POWER(Upgrades!$Q$7,F105)*POWER(Upgrades!$Q$8,G105)*POWER(Upgrades!$Q$9,H105)*POWER(Upgrades!$Q$10,I105)*POWER(Upgrades!$Q$11,J105)*POWER(Upgrades!$Q$12,K105))*Parameters!$B$10*Parameters!$B$11/60)/Upgrades!$C$11,0)),IF(K105&gt;0,0,IFERROR((1*(POWER(Upgrades!$P$6,E105)*POWER(Upgrades!$P$7,F105)*POWER(Upgrades!$P$8,G105)*POWER(Upgrades!$P$9,H105)*POWER(Upgrades!$P$10,I105)*POWER(Upgrades!$P$11,J105)*POWER(Upgrades!$P$12,K105))+0.2*M105*Parameters!$B$10*Parameters!$B$11/60)/Upgrades!$C$12,0)),IF(AND(ISNUMBER(AG105),AG105&gt;T105),AS105,0),IF(AND(ISNUMBER(AH105),AH105&gt;T105),AT105,0),IF(AND(ISNUMBER(AI105),AI105&gt;T105),AU105,0),IF(AND(ISNUMBER(AJ105),AJ105&gt;T105),AV105,0))</f>
        <v>0.00452762415783776</v>
      </c>
      <c r="AX105" s="29" t="str">
        <f aca="false">IF(AN105=1,"transition",IF(MIN(IF(AND(I105=0,ISNUMBER(AK105),AK105&lt;=T105),AK105,9000000000000000),IF(AND(J105=0,ISNUMBER(AL105),AL105&lt;=T105),AL105,9000000000000000),IF(AND(K105=0,ISNUMBER(AM105),AM105&lt;=T105),AM105,9000000000000000))&lt;9000000000000000,IF(AND(AND(I105=0,ISNUMBER(AK105),AK105&lt;=T105),AK105=MIN(IF(AND(I105=0,ISNUMBER(AK105),AK105&lt;=T105),AK105,9000000000000000),IF(AND(J105=0,ISNUMBER(AL105),AL105&lt;=T105),AL105,9000000000000000),IF(AND(K105=0,ISNUMBER(AM105),AM105&lt;=T105),AM105,9000000000000000))),"OR",IF(AND(AND(J105=0,ISNUMBER(AL105),AL105&lt;=T105),AL105=MIN(IF(AND(I105=0,ISNUMBER(AK105),AK105&lt;=T105),AK105,9000000000000000),IF(AND(J105=0,ISNUMBER(AL105),AL105&lt;=T105),AL105,9000000000000000),IF(AND(K105=0,ISNUMBER(AM105),AM105&lt;=T105),AM105,9000000000000000))),"HP","FP")),IF(AR105=TRUE(),"",IF(MAX(IF(AND(NOT(AND(AO105=1,AN105&lt;&gt;1)),ISNUMBER(AG105),AG105&lt;=T105),AS105,0),IF(AND(NOT(AND(AO105=1,AN105&lt;&gt;1)),ISNUMBER(AH105),AH105&lt;=T105),AT105,0),IF(AND(NOT(AND(AO105=1,AN105&lt;&gt;1)),ISNUMBER(AI105),AI105&lt;=T105),AU105,0),IF(AND(ISNUMBER(AJ105),AJ105&lt;=T105),AV105,0))&lt;=0,"",IF(AND(IF(AND(NOT(AND(AO105=1,AN105&lt;&gt;1)),ISNUMBER(AG105),AG105&lt;=T105),AS105,0)&gt;0,IF(AND(NOT(AND(AO105=1,AN105&lt;&gt;1)),ISNUMBER(AG105),AG105&lt;=T105),AS105,0)=MAX(IF(AND(NOT(AND(AO105=1,AN105&lt;&gt;1)),ISNUMBER(AG105),AG105&lt;=T105),AS105,0),IF(AND(NOT(AND(AO105=1,AN105&lt;&gt;1)),ISNUMBER(AH105),AH105&lt;=T105),AT105,0),IF(AND(NOT(AND(AO105=1,AN105&lt;&gt;1)),ISNUMBER(AI105),AI105&lt;=T105),AU105,0),IF(AND(ISNUMBER(AJ105),AJ105&lt;=T105),AV105,0))),"SW",IF(AND(IF(AND(NOT(AND(AO105=1,AN105&lt;&gt;1)),ISNUMBER(AH105),AH105&lt;=T105),AT105,0)&gt;0,IF(AND(NOT(AND(AO105=1,AN105&lt;&gt;1)),ISNUMBER(AH105),AH105&lt;=T105),AT105,0)=MAX(IF(AND(NOT(AND(AO105=1,AN105&lt;&gt;1)),ISNUMBER(AG105),AG105&lt;=T105),AS105,0),IF(AND(NOT(AND(AO105=1,AN105&lt;&gt;1)),ISNUMBER(AH105),AH105&lt;=T105),AT105,0),IF(AND(NOT(AND(AO105=1,AN105&lt;&gt;1)),ISNUMBER(AI105),AI105&lt;=T105),AU105,0),IF(AND(ISNUMBER(AJ105),AJ105&lt;=T105),AV105,0))),"AB",IF(AND(IF(AND(NOT(AND(AO105=1,AN105&lt;&gt;1)),ISNUMBER(AI105),AI105&lt;=T105),AU105,0)&gt;0,IF(AND(NOT(AND(AO105=1,AN105&lt;&gt;1)),ISNUMBER(AI105),AI105&lt;=T105),AU105,0)=MAX(IF(AND(NOT(AND(AO105=1,AN105&lt;&gt;1)),ISNUMBER(AG105),AG105&lt;=T105),AS105,0),IF(AND(NOT(AND(AO105=1,AN105&lt;&gt;1)),ISNUMBER(AH105),AH105&lt;=T105),AT105,0),IF(AND(NOT(AND(AO105=1,AN105&lt;&gt;1)),ISNUMBER(AI105),AI105&lt;=T105),AU105,0),IF(AND(ISNUMBER(AJ105),AJ105&lt;=T105),AV105,0))),"SC","Mag")))))))</f>
        <v/>
      </c>
    </row>
    <row r="106" customFormat="false" ht="15" hidden="false" customHeight="false" outlineLevel="0" collapsed="false">
      <c r="A106" s="26" t="n">
        <v>101</v>
      </c>
      <c r="B106" s="27" t="n">
        <f aca="false">A106*10/60</f>
        <v>16.8333333333333</v>
      </c>
      <c r="C106" s="21" t="n">
        <f aca="false">X105</f>
        <v>18.6730249835055</v>
      </c>
      <c r="D106" s="27" t="n">
        <f aca="false">D105+W105</f>
        <v>0</v>
      </c>
      <c r="E106" s="26" t="n">
        <f aca="false">E105+IF(U105="SW",1,0)</f>
        <v>12</v>
      </c>
      <c r="F106" s="26" t="n">
        <f aca="false">F105+IF(U105="AB",1,0)</f>
        <v>10</v>
      </c>
      <c r="G106" s="26" t="n">
        <f aca="false">G105+IF(U105="SC",1,0)</f>
        <v>7</v>
      </c>
      <c r="H106" s="26" t="n">
        <f aca="false">H105+IF(U105="Mag",1,0)</f>
        <v>5</v>
      </c>
      <c r="I106" s="26" t="n">
        <f aca="false">MAX(I105,IF(U105="OR",1,0))</f>
        <v>1</v>
      </c>
      <c r="J106" s="26" t="n">
        <f aca="false">MAX(J105,IF(U105="HP",1,0))</f>
        <v>1</v>
      </c>
      <c r="K106" s="26" t="n">
        <f aca="false">MAX(K105,IF(U105="FP",1,0))</f>
        <v>1</v>
      </c>
      <c r="L106" s="26" t="n">
        <f aca="false">MAX(L105,IF(U105="transition",1,0))</f>
        <v>1</v>
      </c>
      <c r="M106" s="28" t="n">
        <f aca="false">(Parameters!$B$9+(IF(E106=0,0,(Upgrades!$J$6+E106*Upgrades!$K$6)*POWER(Upgrades!$L$6,E106)))*(IF(Upgrades!$T$7="Solar Wind",POWER(Upgrades!$U$7,F106),1)*IF(Upgrades!$T$8="Solar Wind",POWER(Upgrades!$U$8,G106),1)*IF(Upgrades!$T$9="Solar Wind",POWER(Upgrades!$U$9,H106),1)*IF(Upgrades!$T$10="Solar Wind",POWER(Upgrades!$U$10,I106),1)*IF(Upgrades!$T$11="Solar Wind",POWER(Upgrades!$U$11,J106),1)*IF(Upgrades!$T$12="Solar Wind",POWER(Upgrades!$U$12,K106),1))+(IF(F106=0,0,(Upgrades!$J$7+F106*Upgrades!$K$7)*POWER(Upgrades!$L$7,F106)))*(IF(Upgrades!$T$6="Asteroid Belt",POWER(Upgrades!$U$6,E106),1)*IF(Upgrades!$T$8="Asteroid Belt",POWER(Upgrades!$U$8,G106),1)*IF(Upgrades!$T$9="Asteroid Belt",POWER(Upgrades!$U$9,H106),1)*IF(Upgrades!$T$10="Asteroid Belt",POWER(Upgrades!$U$10,I106),1)*IF(Upgrades!$T$11="Asteroid Belt",POWER(Upgrades!$U$11,J106),1)*IF(Upgrades!$T$12="Asteroid Belt",POWER(Upgrades!$U$12,K106),1))+(IF(G106=0,0,(Upgrades!$J$8+G106*Upgrades!$K$8)*POWER(Upgrades!$L$8,G106)))*(IF(Upgrades!$T$6="Stellar Coupling",POWER(Upgrades!$U$6,E106),1)*IF(Upgrades!$T$7="Stellar Coupling",POWER(Upgrades!$U$7,F106),1)*IF(Upgrades!$T$9="Stellar Coupling",POWER(Upgrades!$U$9,H106),1)*IF(Upgrades!$T$10="Stellar Coupling",POWER(Upgrades!$U$10,I106),1)*IF(Upgrades!$T$11="Stellar Coupling",POWER(Upgrades!$U$11,J106),1)*IF(Upgrades!$T$12="Stellar Coupling",POWER(Upgrades!$U$12,K106),1))+(IF(H106=0,0,(Upgrades!$J$9+H106*Upgrades!$K$9)*POWER(Upgrades!$L$9,H106)))*(IF(Upgrades!$T$6="Magnetosphere",POWER(Upgrades!$U$6,E106),1)*IF(Upgrades!$T$7="Magnetosphere",POWER(Upgrades!$U$7,F106),1)*IF(Upgrades!$T$8="Magnetosphere",POWER(Upgrades!$U$8,G106),1)*IF(Upgrades!$T$10="Magnetosphere",POWER(Upgrades!$U$10,I106),1)*IF(Upgrades!$T$11="Magnetosphere",POWER(Upgrades!$U$11,J106),1)*IF(Upgrades!$T$12="Magnetosphere",POWER(Upgrades!$U$12,K106),1))+(IF(I106=0,0,(Upgrades!$J$10+I106*Upgrades!$K$10)*POWER(Upgrades!$L$10,I106)))*(IF(Upgrades!$T$6="Orbital Resonance",POWER(Upgrades!$U$6,E106),1)*IF(Upgrades!$T$7="Orbital Resonance",POWER(Upgrades!$U$7,F106),1)*IF(Upgrades!$T$8="Orbital Resonance",POWER(Upgrades!$U$8,G106),1)*IF(Upgrades!$T$9="Orbital Resonance",POWER(Upgrades!$U$9,H106),1)*IF(Upgrades!$T$11="Orbital Resonance",POWER(Upgrades!$U$11,J106),1)*IF(Upgrades!$T$12="Orbital Resonance",POWER(Upgrades!$U$12,K106),1))+(IF(J106=0,0,(Upgrades!$J$11+J106*Upgrades!$K$11)*POWER(Upgrades!$L$11,J106)))*(IF(Upgrades!$T$6="Heliopause",POWER(Upgrades!$U$6,E106),1)*IF(Upgrades!$T$7="Heliopause",POWER(Upgrades!$U$7,F106),1)*IF(Upgrades!$T$8="Heliopause",POWER(Upgrades!$U$8,G106),1)*IF(Upgrades!$T$9="Heliopause",POWER(Upgrades!$U$9,H106),1)*IF(Upgrades!$T$10="Heliopause",POWER(Upgrades!$U$10,I106),1)*IF(Upgrades!$T$12="Heliopause",POWER(Upgrades!$U$12,K106),1))+(IF(K106=0,0,(Upgrades!$J$12+K106*Upgrades!$K$12)*POWER(Upgrades!$L$12,K106)))*(IF(Upgrades!$T$6="First Photons",POWER(Upgrades!$U$6,E106),1)*IF(Upgrades!$T$7="First Photons",POWER(Upgrades!$U$7,F106),1)*IF(Upgrades!$T$8="First Photons",POWER(Upgrades!$U$8,G106),1)*IF(Upgrades!$T$9="First Photons",POWER(Upgrades!$U$9,H106),1)*IF(Upgrades!$T$10="First Photons",POWER(Upgrades!$U$10,I106),1)*IF(Upgrades!$T$11="First Photons",POWER(Upgrades!$U$11,J106),1)))*POWER(Upgrades!$Q$6,E106)*POWER(Upgrades!$Q$7,F106)*POWER(Upgrades!$Q$8,G106)*POWER(Upgrades!$Q$9,H106)*POWER(Upgrades!$Q$10,I106)*POWER(Upgrades!$Q$11,J106)*POWER(Upgrades!$Q$12,K106)</f>
        <v>5.61</v>
      </c>
      <c r="N106" s="28" t="n">
        <f aca="false">((IF(E106=0,0,(Upgrades!$G$6+E106*Upgrades!$H$6)*POWER(Upgrades!$I$6,E106)))*(IF(Upgrades!$T$7="Solar Wind",POWER(Upgrades!$U$7,F106),1)*IF(Upgrades!$T$8="Solar Wind",POWER(Upgrades!$U$8,G106),1)*IF(Upgrades!$T$9="Solar Wind",POWER(Upgrades!$U$9,H106),1)*IF(Upgrades!$T$10="Solar Wind",POWER(Upgrades!$U$10,I106),1)*IF(Upgrades!$T$11="Solar Wind",POWER(Upgrades!$U$11,J106),1)*IF(Upgrades!$T$12="Solar Wind",POWER(Upgrades!$U$12,K106),1))+(IF(F106=0,0,(Upgrades!$G$7+F106*Upgrades!$H$7)*POWER(Upgrades!$I$7,F106)))*(IF(Upgrades!$T$6="Asteroid Belt",POWER(Upgrades!$U$6,E106),1)*IF(Upgrades!$T$8="Asteroid Belt",POWER(Upgrades!$U$8,G106),1)*IF(Upgrades!$T$9="Asteroid Belt",POWER(Upgrades!$U$9,H106),1)*IF(Upgrades!$T$10="Asteroid Belt",POWER(Upgrades!$U$10,I106),1)*IF(Upgrades!$T$11="Asteroid Belt",POWER(Upgrades!$U$11,J106),1)*IF(Upgrades!$T$12="Asteroid Belt",POWER(Upgrades!$U$12,K106),1))+(IF(G106=0,0,(Upgrades!$G$8+G106*Upgrades!$H$8)*POWER(Upgrades!$I$8,G106)))*(IF(Upgrades!$T$6="Stellar Coupling",POWER(Upgrades!$U$6,E106),1)*IF(Upgrades!$T$7="Stellar Coupling",POWER(Upgrades!$U$7,F106),1)*IF(Upgrades!$T$9="Stellar Coupling",POWER(Upgrades!$U$9,H106),1)*IF(Upgrades!$T$10="Stellar Coupling",POWER(Upgrades!$U$10,I106),1)*IF(Upgrades!$T$11="Stellar Coupling",POWER(Upgrades!$U$11,J106),1)*IF(Upgrades!$T$12="Stellar Coupling",POWER(Upgrades!$U$12,K106),1))+(IF(H106=0,0,(Upgrades!$G$9+H106*Upgrades!$H$9)*POWER(Upgrades!$I$9,H106)))*(IF(Upgrades!$T$6="Magnetosphere",POWER(Upgrades!$U$6,E106),1)*IF(Upgrades!$T$7="Magnetosphere",POWER(Upgrades!$U$7,F106),1)*IF(Upgrades!$T$8="Magnetosphere",POWER(Upgrades!$U$8,G106),1)*IF(Upgrades!$T$10="Magnetosphere",POWER(Upgrades!$U$10,I106),1)*IF(Upgrades!$T$11="Magnetosphere",POWER(Upgrades!$U$11,J106),1)*IF(Upgrades!$T$12="Magnetosphere",POWER(Upgrades!$U$12,K106),1))+(IF(I106=0,0,(Upgrades!$G$10+I106*Upgrades!$H$10)*POWER(Upgrades!$I$10,I106)))*(IF(Upgrades!$T$6="Orbital Resonance",POWER(Upgrades!$U$6,E106),1)*IF(Upgrades!$T$7="Orbital Resonance",POWER(Upgrades!$U$7,F106),1)*IF(Upgrades!$T$8="Orbital Resonance",POWER(Upgrades!$U$8,G106),1)*IF(Upgrades!$T$9="Orbital Resonance",POWER(Upgrades!$U$9,H106),1)*IF(Upgrades!$T$11="Orbital Resonance",POWER(Upgrades!$U$11,J106),1)*IF(Upgrades!$T$12="Orbital Resonance",POWER(Upgrades!$U$12,K106),1))+(IF(J106=0,0,(Upgrades!$G$11+J106*Upgrades!$H$11)*POWER(Upgrades!$I$11,J106)))*(IF(Upgrades!$T$6="Heliopause",POWER(Upgrades!$U$6,E106),1)*IF(Upgrades!$T$7="Heliopause",POWER(Upgrades!$U$7,F106),1)*IF(Upgrades!$T$8="Heliopause",POWER(Upgrades!$U$8,G106),1)*IF(Upgrades!$T$9="Heliopause",POWER(Upgrades!$U$9,H106),1)*IF(Upgrades!$T$10="Heliopause",POWER(Upgrades!$U$10,I106),1)*IF(Upgrades!$T$12="Heliopause",POWER(Upgrades!$U$12,K106),1))+(IF(K106=0,0,(Upgrades!$G$12+K106*Upgrades!$H$12)*POWER(Upgrades!$I$12,K106)))*(IF(Upgrades!$T$6="First Photons",POWER(Upgrades!$U$6,E106),1)*IF(Upgrades!$T$7="First Photons",POWER(Upgrades!$U$7,F106),1)*IF(Upgrades!$T$8="First Photons",POWER(Upgrades!$U$8,G106),1)*IF(Upgrades!$T$9="First Photons",POWER(Upgrades!$U$9,H106),1)*IF(Upgrades!$T$10="First Photons",POWER(Upgrades!$U$10,I106),1)*IF(Upgrades!$T$11="First Photons",POWER(Upgrades!$U$11,J106),1)))*POWER(Upgrades!$P$6,E106)*POWER(Upgrades!$P$7,F106)*POWER(Upgrades!$P$8,G106)*POWER(Upgrades!$P$9,H106)*POWER(Upgrades!$P$10,I106)*POWER(Upgrades!$P$11,J106)*POWER(Upgrades!$P$12,K106)</f>
        <v>11.2</v>
      </c>
      <c r="O106" s="28" t="n">
        <f aca="false">((IF(E106=0,0,(Upgrades!$M$6+E106*Upgrades!$N$6)*POWER(Upgrades!$O$6,E106)))*(IF(Upgrades!$T$7="Solar Wind",POWER(Upgrades!$U$7,F106),1)*IF(Upgrades!$T$8="Solar Wind",POWER(Upgrades!$U$8,G106),1)*IF(Upgrades!$T$9="Solar Wind",POWER(Upgrades!$U$9,H106),1)*IF(Upgrades!$T$10="Solar Wind",POWER(Upgrades!$U$10,I106),1)*IF(Upgrades!$T$11="Solar Wind",POWER(Upgrades!$U$11,J106),1)*IF(Upgrades!$T$12="Solar Wind",POWER(Upgrades!$U$12,K106),1))+(IF(F106=0,0,(Upgrades!$M$7+F106*Upgrades!$N$7)*POWER(Upgrades!$O$7,F106)))*(IF(Upgrades!$T$6="Asteroid Belt",POWER(Upgrades!$U$6,E106),1)*IF(Upgrades!$T$8="Asteroid Belt",POWER(Upgrades!$U$8,G106),1)*IF(Upgrades!$T$9="Asteroid Belt",POWER(Upgrades!$U$9,H106),1)*IF(Upgrades!$T$10="Asteroid Belt",POWER(Upgrades!$U$10,I106),1)*IF(Upgrades!$T$11="Asteroid Belt",POWER(Upgrades!$U$11,J106),1)*IF(Upgrades!$T$12="Asteroid Belt",POWER(Upgrades!$U$12,K106),1))+(IF(G106=0,0,(Upgrades!$M$8+G106*Upgrades!$N$8)*POWER(Upgrades!$O$8,G106)))*(IF(Upgrades!$T$6="Stellar Coupling",POWER(Upgrades!$U$6,E106),1)*IF(Upgrades!$T$7="Stellar Coupling",POWER(Upgrades!$U$7,F106),1)*IF(Upgrades!$T$9="Stellar Coupling",POWER(Upgrades!$U$9,H106),1)*IF(Upgrades!$T$10="Stellar Coupling",POWER(Upgrades!$U$10,I106),1)*IF(Upgrades!$T$11="Stellar Coupling",POWER(Upgrades!$U$11,J106),1)*IF(Upgrades!$T$12="Stellar Coupling",POWER(Upgrades!$U$12,K106),1))+(IF(H106=0,0,(Upgrades!$M$9+H106*Upgrades!$N$9)*POWER(Upgrades!$O$9,H106)))*(IF(Upgrades!$T$6="Magnetosphere",POWER(Upgrades!$U$6,E106),1)*IF(Upgrades!$T$7="Magnetosphere",POWER(Upgrades!$U$7,F106),1)*IF(Upgrades!$T$8="Magnetosphere",POWER(Upgrades!$U$8,G106),1)*IF(Upgrades!$T$10="Magnetosphere",POWER(Upgrades!$U$10,I106),1)*IF(Upgrades!$T$11="Magnetosphere",POWER(Upgrades!$U$11,J106),1)*IF(Upgrades!$T$12="Magnetosphere",POWER(Upgrades!$U$12,K106),1))+(IF(I106=0,0,(Upgrades!$M$10+I106*Upgrades!$N$10)*POWER(Upgrades!$O$10,I106)))*(IF(Upgrades!$T$6="Orbital Resonance",POWER(Upgrades!$U$6,E106),1)*IF(Upgrades!$T$7="Orbital Resonance",POWER(Upgrades!$U$7,F106),1)*IF(Upgrades!$T$8="Orbital Resonance",POWER(Upgrades!$U$8,G106),1)*IF(Upgrades!$T$9="Orbital Resonance",POWER(Upgrades!$U$9,H106),1)*IF(Upgrades!$T$11="Orbital Resonance",POWER(Upgrades!$U$11,J106),1)*IF(Upgrades!$T$12="Orbital Resonance",POWER(Upgrades!$U$12,K106),1))+(IF(J106=0,0,(Upgrades!$M$11+J106*Upgrades!$N$11)*POWER(Upgrades!$O$11,J106)))*(IF(Upgrades!$T$6="Heliopause",POWER(Upgrades!$U$6,E106),1)*IF(Upgrades!$T$7="Heliopause",POWER(Upgrades!$U$7,F106),1)*IF(Upgrades!$T$8="Heliopause",POWER(Upgrades!$U$8,G106),1)*IF(Upgrades!$T$9="Heliopause",POWER(Upgrades!$U$9,H106),1)*IF(Upgrades!$T$10="Heliopause",POWER(Upgrades!$U$10,I106),1)*IF(Upgrades!$T$12="Heliopause",POWER(Upgrades!$U$12,K106),1))+(IF(K106=0,0,(Upgrades!$M$12+K106*Upgrades!$N$12)*POWER(Upgrades!$O$12,K106)))*(IF(Upgrades!$T$6="First Photons",POWER(Upgrades!$U$6,E106),1)*IF(Upgrades!$T$7="First Photons",POWER(Upgrades!$U$7,F106),1)*IF(Upgrades!$T$8="First Photons",POWER(Upgrades!$U$8,G106),1)*IF(Upgrades!$T$9="First Photons",POWER(Upgrades!$U$9,H106),1)*IF(Upgrades!$T$10="First Photons",POWER(Upgrades!$U$10,I106),1)*IF(Upgrades!$T$11="First Photons",POWER(Upgrades!$U$11,J106),1)))*POWER(Upgrades!$R$6,E106)*POWER(Upgrades!$R$7,F106)*POWER(Upgrades!$R$8,G106)*POWER(Upgrades!$R$9,H106)*POWER(Upgrades!$R$10,I106)*POWER(Upgrades!$R$11,J106)*POWER(Upgrades!$R$12,K106)</f>
        <v>0</v>
      </c>
      <c r="P106" s="27" t="n">
        <f aca="false">IF(L106=1,0,M106*Parameters!$B$10/60*Parameters!$B$11*10)</f>
        <v>0</v>
      </c>
      <c r="Q106" s="27" t="n">
        <f aca="false">IF(L106=1,0,O106*M106*10)</f>
        <v>0</v>
      </c>
      <c r="R106" s="27" t="n">
        <f aca="false">IF(L106=1,0,N106*10)</f>
        <v>0</v>
      </c>
      <c r="S106" s="27" t="n">
        <f aca="false">P106+Q106+R106</f>
        <v>0</v>
      </c>
      <c r="T106" s="21" t="n">
        <f aca="false">C106+S106</f>
        <v>18.6730249835055</v>
      </c>
      <c r="U106" s="34" t="str">
        <f aca="false">AX106</f>
        <v/>
      </c>
      <c r="V106" s="21" t="n">
        <f aca="false">IF(U106="",0,IF(U106="transition",0,IF(U106="SW",AG106,IF(U106="AB",AH106,IF(U106="SC",AI106,IF(U106="Mag",AJ106,IF(U106="OR",AK106,IF(U106="HP",AL106,IF(U106="FP",AM106,0)))))))))</f>
        <v>0</v>
      </c>
      <c r="W106" s="27" t="n">
        <f aca="false">IF(U106="OR",Upgrades!$F$10,IF(U106="HP",Upgrades!$F$11,IF(U106="transition",-Parameters!$B$18,0)))</f>
        <v>0</v>
      </c>
      <c r="X106" s="21" t="n">
        <f aca="false">T106-V106</f>
        <v>18.6730249835055</v>
      </c>
      <c r="Y106" s="30" t="n">
        <f aca="false">M106*Parameters!$B$10/60*Parameters!$B$11+O106*M106+N106</f>
        <v>20.55</v>
      </c>
      <c r="Z106" s="35" t="str">
        <f aca="false">IF(U106="transition","→ Tier 2 (Stellar Neighborhood)",IF(U106="FP","First Photons — light begins, system quickens",IF(U106="HP","Heliopause acquired",IF(U106="OR","Orbital Resonance — passive multiplier active",IF(AND(AO106=1,L106=0,AN106&lt;&gt;1),"Cohesion ready (waiting on completionist upgrades)","")))))</f>
        <v/>
      </c>
      <c r="AA106" s="27" t="n">
        <f aca="false">(IF(E106=0,0,(Upgrades!$G$6+E106*Upgrades!$H$6)*POWER(Upgrades!$I$6,E106)))*(IF(Upgrades!$T$7="Solar Wind",POWER(Upgrades!$U$7,F106),1)*IF(Upgrades!$T$8="Solar Wind",POWER(Upgrades!$U$8,G106),1)*IF(Upgrades!$T$9="Solar Wind",POWER(Upgrades!$U$9,H106),1)*IF(Upgrades!$T$10="Solar Wind",POWER(Upgrades!$U$10,I106),1)*IF(Upgrades!$T$11="Solar Wind",POWER(Upgrades!$U$11,J106),1)*IF(Upgrades!$T$12="Solar Wind",POWER(Upgrades!$U$12,K106),1))*POWER(Upgrades!$P$6,E106)*POWER(Upgrades!$P$7,F106)*POWER(Upgrades!$P$8,G106)*POWER(Upgrades!$P$9,H106)*POWER(Upgrades!$P$10,I106)*POWER(Upgrades!$P$11,J106)*POWER(Upgrades!$P$12,K106)*60</f>
        <v>72</v>
      </c>
      <c r="AB106" s="27" t="n">
        <f aca="false">(IF(F106=0,0,(Upgrades!$G$7+F106*Upgrades!$H$7)*POWER(Upgrades!$I$7,F106)))*(IF(Upgrades!$T$6="Asteroid Belt",POWER(Upgrades!$U$6,E106),1)*IF(Upgrades!$T$8="Asteroid Belt",POWER(Upgrades!$U$8,G106),1)*IF(Upgrades!$T$9="Asteroid Belt",POWER(Upgrades!$U$9,H106),1)*IF(Upgrades!$T$10="Asteroid Belt",POWER(Upgrades!$U$10,I106),1)*IF(Upgrades!$T$11="Asteroid Belt",POWER(Upgrades!$U$11,J106),1)*IF(Upgrades!$T$12="Asteroid Belt",POWER(Upgrades!$U$12,K106),1))*POWER(Upgrades!$P$6,E106)*POWER(Upgrades!$P$7,F106)*POWER(Upgrades!$P$8,G106)*POWER(Upgrades!$P$9,H106)*POWER(Upgrades!$P$10,I106)*POWER(Upgrades!$P$11,J106)*POWER(Upgrades!$P$12,K106)*60</f>
        <v>150</v>
      </c>
      <c r="AC106" s="27" t="n">
        <f aca="false">(IF(G106=0,0,(Upgrades!$J$8+G106*Upgrades!$K$8)*POWER(Upgrades!$L$8,G106)))*(IF(Upgrades!$T$6="Stellar Coupling",POWER(Upgrades!$U$6,E106),1)*IF(Upgrades!$T$7="Stellar Coupling",POWER(Upgrades!$U$7,F106),1)*IF(Upgrades!$T$9="Stellar Coupling",POWER(Upgrades!$U$9,H106),1)*IF(Upgrades!$T$10="Stellar Coupling",POWER(Upgrades!$U$10,I106),1)*IF(Upgrades!$T$11="Stellar Coupling",POWER(Upgrades!$U$11,J106),1)*IF(Upgrades!$T$12="Stellar Coupling",POWER(Upgrades!$U$12,K106),1))*POWER(Upgrades!$Q$6,E106)*POWER(Upgrades!$Q$7,F106)*POWER(Upgrades!$Q$8,G106)*POWER(Upgrades!$Q$9,H106)*POWER(Upgrades!$Q$10,I106)*POWER(Upgrades!$Q$11,J106)*POWER(Upgrades!$Q$12,K106)*Parameters!$B$10*Parameters!$B$11</f>
        <v>441</v>
      </c>
      <c r="AD106" s="27" t="n">
        <f aca="false">(IF(H106=0,0,(Upgrades!$G$9+H106*Upgrades!$H$9)*POWER(Upgrades!$I$9,H106)))*(IF(Upgrades!$T$6="Magnetosphere",POWER(Upgrades!$U$6,E106),1)*IF(Upgrades!$T$7="Magnetosphere",POWER(Upgrades!$U$7,F106),1)*IF(Upgrades!$T$8="Magnetosphere",POWER(Upgrades!$U$8,G106),1)*IF(Upgrades!$T$10="Magnetosphere",POWER(Upgrades!$U$10,I106),1)*IF(Upgrades!$T$11="Magnetosphere",POWER(Upgrades!$U$11,J106),1)*IF(Upgrades!$T$12="Magnetosphere",POWER(Upgrades!$U$12,K106),1))*POWER(Upgrades!$P$6,E106)*POWER(Upgrades!$P$7,F106)*POWER(Upgrades!$P$8,G106)*POWER(Upgrades!$P$9,H106)*POWER(Upgrades!$P$10,I106)*POWER(Upgrades!$P$11,J106)*POWER(Upgrades!$P$12,K106)*60</f>
        <v>375</v>
      </c>
      <c r="AE106" s="27" t="n">
        <f aca="false">(IF(K106=0,0,(Upgrades!$G$12+K106*Upgrades!$H$12)*POWER(Upgrades!$I$12,K106)))*(IF(Upgrades!$T$6="First Photons",POWER(Upgrades!$U$6,E106),1)*IF(Upgrades!$T$7="First Photons",POWER(Upgrades!$U$7,F106),1)*IF(Upgrades!$T$8="First Photons",POWER(Upgrades!$U$8,G106),1)*IF(Upgrades!$T$9="First Photons",POWER(Upgrades!$U$9,H106),1)*IF(Upgrades!$T$10="First Photons",POWER(Upgrades!$U$10,I106),1)*IF(Upgrades!$T$11="First Photons",POWER(Upgrades!$U$11,J106),1))*POWER(Upgrades!$P$6,E106)*POWER(Upgrades!$P$7,F106)*POWER(Upgrades!$P$8,G106)*POWER(Upgrades!$P$9,H106)*POWER(Upgrades!$P$10,I106)*POWER(Upgrades!$P$11,J106)*POWER(Upgrades!$P$12,K106)*60</f>
        <v>75</v>
      </c>
      <c r="AF106" s="27" t="n">
        <f aca="false">Parameters!$B$9*POWER(Upgrades!$Q$6,E106)*POWER(Upgrades!$Q$7,F106)*POWER(Upgrades!$Q$8,G106)*POWER(Upgrades!$Q$9,H106)*POWER(Upgrades!$Q$10,I106)*POWER(Upgrades!$Q$11,J106)*POWER(Upgrades!$Q$12,K106)*(Parameters!$B$10*Parameters!$B$11+O106*60)</f>
        <v>120</v>
      </c>
      <c r="AG106" s="21" t="n">
        <f aca="false">IF(E106&gt;=Upgrades!$E$6,"",Upgrades!$C$6*POWER(Upgrades!$D$6,E106))</f>
        <v>37.4517507383159</v>
      </c>
      <c r="AH106" s="21" t="n">
        <f aca="false">IF(F106&gt;=Upgrades!$E$7,"",Upgrades!$C$7*POWER(Upgrades!$D$7,F106))</f>
        <v>80.9111547141581</v>
      </c>
      <c r="AI106" s="21" t="n">
        <f aca="false">IF(G106&gt;=Upgrades!$E$8,"",Upgrades!$C$8*POWER(Upgrades!$D$8,G106))</f>
        <v>231.9097088</v>
      </c>
      <c r="AJ106" s="21" t="str">
        <f aca="false">IF(H106&gt;=Upgrades!$E$9,"",Upgrades!$C$9*POWER(Upgrades!$D$9,H106))</f>
        <v/>
      </c>
      <c r="AK106" s="21" t="str">
        <f aca="false">IF(I106&gt;=Upgrades!$E$10,"",Upgrades!$C$10*POWER(Upgrades!$D$10,I106))</f>
        <v/>
      </c>
      <c r="AL106" s="21" t="str">
        <f aca="false">IF(J106&gt;=Upgrades!$E$11,"",Upgrades!$C$11*POWER(Upgrades!$D$11,J106))</f>
        <v/>
      </c>
      <c r="AM106" s="21" t="str">
        <f aca="false">IF(K106&gt;=Upgrades!$E$12,"",Upgrades!$C$12*POWER(Upgrades!$D$12,K106))</f>
        <v/>
      </c>
      <c r="AN106" s="26" t="str">
        <f aca="false">IF(AND(D106&gt;=Parameters!$B$18,(H106&gt;=Upgrades!$E$9)*(K106&gt;=Upgrades!$E$12)=1,L106=0),1,"")</f>
        <v/>
      </c>
      <c r="AO106" s="26" t="str">
        <f aca="false">IF(AND(D106&gt;=Parameters!$B$18,L106=0),1,"")</f>
        <v/>
      </c>
      <c r="AP106" s="21" t="n">
        <f aca="false">MIN(IF(ISNUMBER(AK106),AK106,9000000000000000),IF(ISNUMBER(AL106),AL106,9000000000000000),IF(ISNUMBER(AM106),AM106,9000000000000000))</f>
        <v>9000000000000000</v>
      </c>
      <c r="AQ106" s="21" t="n">
        <f aca="false">MIN(IF(ISNUMBER(AG106),AG106,9000000000000000),IF(ISNUMBER(AH106),AH106,9000000000000000),IF(ISNUMBER(AI106),AI106,9000000000000000),IF(ISNUMBER(AJ106),AJ106,9000000000000000))</f>
        <v>37.4517507383159</v>
      </c>
      <c r="AR106" s="32" t="b">
        <f aca="false">IF(AW106&gt;Parameters!$B$21*(MAX(IF(AND(NOT(AND(AO106=1,AN106&lt;&gt;1)),ISNUMBER(AG106),AG106&lt;=T106),AS106,0),IF(AND(NOT(AND(AO106=1,AN106&lt;&gt;1)),ISNUMBER(AH106),AH106&lt;=T106),AT106,0),IF(AND(NOT(AND(AO106=1,AN106&lt;&gt;1)),ISNUMBER(AI106),AI106&lt;=T106),AU106,0),IF(AND(ISNUMBER(AJ106),AJ106&lt;=T106),AV106,0))),TRUE(),FALSE())</f>
        <v>1</v>
      </c>
      <c r="AS106" s="33" t="n">
        <f aca="false">IFERROR(Upgrades!$H$6*(POWER(Upgrades!$P$6,E106)*POWER(Upgrades!$P$7,F106)*POWER(Upgrades!$P$8,G106)*POWER(Upgrades!$P$9,H106)*POWER(Upgrades!$P$10,I106)*POWER(Upgrades!$P$11,J106)*POWER(Upgrades!$P$12,K106))*(IF(Upgrades!$T$7="Solar Wind",POWER(Upgrades!$U$7,F106),1)*IF(Upgrades!$T$8="Solar Wind",POWER(Upgrades!$U$8,G106),1)*IF(Upgrades!$T$9="Solar Wind",POWER(Upgrades!$U$9,H106),1)*IF(Upgrades!$T$10="Solar Wind",POWER(Upgrades!$U$10,I106),1)*IF(Upgrades!$T$11="Solar Wind",POWER(Upgrades!$U$11,J106),1)*IF(Upgrades!$T$12="Solar Wind",POWER(Upgrades!$U$12,K106),1))/AG106,0)</f>
        <v>0.0026701021455238</v>
      </c>
      <c r="AT106" s="33" t="n">
        <f aca="false">IFERROR(Upgrades!$H$7*(POWER(Upgrades!$P$6,E106)*POWER(Upgrades!$P$7,F106)*POWER(Upgrades!$P$8,G106)*POWER(Upgrades!$P$9,H106)*POWER(Upgrades!$P$10,I106)*POWER(Upgrades!$P$11,J106)*POWER(Upgrades!$P$12,K106))*(IF(Upgrades!$T$6="Asteroid Belt",POWER(Upgrades!$U$6,E106),1)*IF(Upgrades!$T$8="Asteroid Belt",POWER(Upgrades!$U$8,G106),1)*IF(Upgrades!$T$9="Asteroid Belt",POWER(Upgrades!$U$9,H106),1)*IF(Upgrades!$T$10="Asteroid Belt",POWER(Upgrades!$U$10,I106),1)*IF(Upgrades!$T$11="Asteroid Belt",POWER(Upgrades!$U$11,J106),1)*IF(Upgrades!$T$12="Asteroid Belt",POWER(Upgrades!$U$12,K106),1))/AH106,0)</f>
        <v>0.00308980882652332</v>
      </c>
      <c r="AU106" s="33" t="n">
        <f aca="false">IFERROR(Upgrades!$K$8*(POWER(Upgrades!$Q$6,E106)*POWER(Upgrades!$Q$7,F106)*POWER(Upgrades!$Q$8,G106)*POWER(Upgrades!$Q$9,H106)*POWER(Upgrades!$Q$10,I106)*POWER(Upgrades!$Q$11,J106)*POWER(Upgrades!$Q$12,K106))*(IF(Upgrades!$T$6="Stellar Coupling",POWER(Upgrades!$U$6,E106),1)*IF(Upgrades!$T$7="Stellar Coupling",POWER(Upgrades!$U$7,F106),1)*IF(Upgrades!$T$9="Stellar Coupling",POWER(Upgrades!$U$9,H106),1)*IF(Upgrades!$T$10="Stellar Coupling",POWER(Upgrades!$U$10,I106),1)*IF(Upgrades!$T$11="Stellar Coupling",POWER(Upgrades!$U$11,J106),1)*IF(Upgrades!$T$12="Stellar Coupling",POWER(Upgrades!$U$12,K106),1))*Parameters!$B$10*Parameters!$B$11/60/AI106,0)</f>
        <v>0.00452762415783776</v>
      </c>
      <c r="AV106" s="33" t="n">
        <f aca="false">IFERROR(Upgrades!$H$9*(POWER(Upgrades!$P$6,E106)*POWER(Upgrades!$P$7,F106)*POWER(Upgrades!$P$8,G106)*POWER(Upgrades!$P$9,H106)*POWER(Upgrades!$P$10,I106)*POWER(Upgrades!$P$11,J106)*POWER(Upgrades!$P$12,K106))*(IF(Upgrades!$T$6="Magnetosphere",POWER(Upgrades!$U$6,E106),1)*IF(Upgrades!$T$7="Magnetosphere",POWER(Upgrades!$U$7,F106),1)*IF(Upgrades!$T$8="Magnetosphere",POWER(Upgrades!$U$8,G106),1)*IF(Upgrades!$T$10="Magnetosphere",POWER(Upgrades!$U$10,I106),1)*IF(Upgrades!$T$11="Magnetosphere",POWER(Upgrades!$U$11,J106),1)*IF(Upgrades!$T$12="Magnetosphere",POWER(Upgrades!$U$12,K106),1))/AJ106,0)</f>
        <v>0</v>
      </c>
      <c r="AW106" s="33" t="n">
        <f aca="false">MAX(IF(I106&gt;0,0,IFERROR(0.25*N106/Upgrades!$C$10,0)),IF(J106&gt;0,0,IFERROR(0.5*((IF(G106=0,0,(Upgrades!$J$8+G106*Upgrades!$K$8)*POWER(Upgrades!$L$8,G106)))*(IF(Upgrades!$T$6="Stellar Coupling",POWER(Upgrades!$U$6,E106),1)*IF(Upgrades!$T$7="Stellar Coupling",POWER(Upgrades!$U$7,F106),1)*IF(Upgrades!$T$9="Stellar Coupling",POWER(Upgrades!$U$9,H106),1)*IF(Upgrades!$T$10="Stellar Coupling",POWER(Upgrades!$U$10,I106),1)*IF(Upgrades!$T$11="Stellar Coupling",POWER(Upgrades!$U$11,J106),1)*IF(Upgrades!$T$12="Stellar Coupling",POWER(Upgrades!$U$12,K106),1))*(POWER(Upgrades!$Q$6,E106)*POWER(Upgrades!$Q$7,F106)*POWER(Upgrades!$Q$8,G106)*POWER(Upgrades!$Q$9,H106)*POWER(Upgrades!$Q$10,I106)*POWER(Upgrades!$Q$11,J106)*POWER(Upgrades!$Q$12,K106))*Parameters!$B$10*Parameters!$B$11/60)/Upgrades!$C$11,0)),IF(K106&gt;0,0,IFERROR((1*(POWER(Upgrades!$P$6,E106)*POWER(Upgrades!$P$7,F106)*POWER(Upgrades!$P$8,G106)*POWER(Upgrades!$P$9,H106)*POWER(Upgrades!$P$10,I106)*POWER(Upgrades!$P$11,J106)*POWER(Upgrades!$P$12,K106))+0.2*M106*Parameters!$B$10*Parameters!$B$11/60)/Upgrades!$C$12,0)),IF(AND(ISNUMBER(AG106),AG106&gt;T106),AS106,0),IF(AND(ISNUMBER(AH106),AH106&gt;T106),AT106,0),IF(AND(ISNUMBER(AI106),AI106&gt;T106),AU106,0),IF(AND(ISNUMBER(AJ106),AJ106&gt;T106),AV106,0))</f>
        <v>0.00452762415783776</v>
      </c>
      <c r="AX106" s="29" t="str">
        <f aca="false">IF(AN106=1,"transition",IF(MIN(IF(AND(I106=0,ISNUMBER(AK106),AK106&lt;=T106),AK106,9000000000000000),IF(AND(J106=0,ISNUMBER(AL106),AL106&lt;=T106),AL106,9000000000000000),IF(AND(K106=0,ISNUMBER(AM106),AM106&lt;=T106),AM106,9000000000000000))&lt;9000000000000000,IF(AND(AND(I106=0,ISNUMBER(AK106),AK106&lt;=T106),AK106=MIN(IF(AND(I106=0,ISNUMBER(AK106),AK106&lt;=T106),AK106,9000000000000000),IF(AND(J106=0,ISNUMBER(AL106),AL106&lt;=T106),AL106,9000000000000000),IF(AND(K106=0,ISNUMBER(AM106),AM106&lt;=T106),AM106,9000000000000000))),"OR",IF(AND(AND(J106=0,ISNUMBER(AL106),AL106&lt;=T106),AL106=MIN(IF(AND(I106=0,ISNUMBER(AK106),AK106&lt;=T106),AK106,9000000000000000),IF(AND(J106=0,ISNUMBER(AL106),AL106&lt;=T106),AL106,9000000000000000),IF(AND(K106=0,ISNUMBER(AM106),AM106&lt;=T106),AM106,9000000000000000))),"HP","FP")),IF(AR106=TRUE(),"",IF(MAX(IF(AND(NOT(AND(AO106=1,AN106&lt;&gt;1)),ISNUMBER(AG106),AG106&lt;=T106),AS106,0),IF(AND(NOT(AND(AO106=1,AN106&lt;&gt;1)),ISNUMBER(AH106),AH106&lt;=T106),AT106,0),IF(AND(NOT(AND(AO106=1,AN106&lt;&gt;1)),ISNUMBER(AI106),AI106&lt;=T106),AU106,0),IF(AND(ISNUMBER(AJ106),AJ106&lt;=T106),AV106,0))&lt;=0,"",IF(AND(IF(AND(NOT(AND(AO106=1,AN106&lt;&gt;1)),ISNUMBER(AG106),AG106&lt;=T106),AS106,0)&gt;0,IF(AND(NOT(AND(AO106=1,AN106&lt;&gt;1)),ISNUMBER(AG106),AG106&lt;=T106),AS106,0)=MAX(IF(AND(NOT(AND(AO106=1,AN106&lt;&gt;1)),ISNUMBER(AG106),AG106&lt;=T106),AS106,0),IF(AND(NOT(AND(AO106=1,AN106&lt;&gt;1)),ISNUMBER(AH106),AH106&lt;=T106),AT106,0),IF(AND(NOT(AND(AO106=1,AN106&lt;&gt;1)),ISNUMBER(AI106),AI106&lt;=T106),AU106,0),IF(AND(ISNUMBER(AJ106),AJ106&lt;=T106),AV106,0))),"SW",IF(AND(IF(AND(NOT(AND(AO106=1,AN106&lt;&gt;1)),ISNUMBER(AH106),AH106&lt;=T106),AT106,0)&gt;0,IF(AND(NOT(AND(AO106=1,AN106&lt;&gt;1)),ISNUMBER(AH106),AH106&lt;=T106),AT106,0)=MAX(IF(AND(NOT(AND(AO106=1,AN106&lt;&gt;1)),ISNUMBER(AG106),AG106&lt;=T106),AS106,0),IF(AND(NOT(AND(AO106=1,AN106&lt;&gt;1)),ISNUMBER(AH106),AH106&lt;=T106),AT106,0),IF(AND(NOT(AND(AO106=1,AN106&lt;&gt;1)),ISNUMBER(AI106),AI106&lt;=T106),AU106,0),IF(AND(ISNUMBER(AJ106),AJ106&lt;=T106),AV106,0))),"AB",IF(AND(IF(AND(NOT(AND(AO106=1,AN106&lt;&gt;1)),ISNUMBER(AI106),AI106&lt;=T106),AU106,0)&gt;0,IF(AND(NOT(AND(AO106=1,AN106&lt;&gt;1)),ISNUMBER(AI106),AI106&lt;=T106),AU106,0)=MAX(IF(AND(NOT(AND(AO106=1,AN106&lt;&gt;1)),ISNUMBER(AG106),AG106&lt;=T106),AS106,0),IF(AND(NOT(AND(AO106=1,AN106&lt;&gt;1)),ISNUMBER(AH106),AH106&lt;=T106),AT106,0),IF(AND(NOT(AND(AO106=1,AN106&lt;&gt;1)),ISNUMBER(AI106),AI106&lt;=T106),AU106,0),IF(AND(ISNUMBER(AJ106),AJ106&lt;=T106),AV106,0))),"SC","Mag")))))))</f>
        <v/>
      </c>
    </row>
    <row r="107" customFormat="false" ht="15" hidden="false" customHeight="false" outlineLevel="0" collapsed="false">
      <c r="A107" s="26" t="n">
        <v>102</v>
      </c>
      <c r="B107" s="27" t="n">
        <f aca="false">A107*10/60</f>
        <v>17</v>
      </c>
      <c r="C107" s="21" t="n">
        <f aca="false">X106</f>
        <v>18.6730249835055</v>
      </c>
      <c r="D107" s="27" t="n">
        <f aca="false">D106+W106</f>
        <v>0</v>
      </c>
      <c r="E107" s="26" t="n">
        <f aca="false">E106+IF(U106="SW",1,0)</f>
        <v>12</v>
      </c>
      <c r="F107" s="26" t="n">
        <f aca="false">F106+IF(U106="AB",1,0)</f>
        <v>10</v>
      </c>
      <c r="G107" s="26" t="n">
        <f aca="false">G106+IF(U106="SC",1,0)</f>
        <v>7</v>
      </c>
      <c r="H107" s="26" t="n">
        <f aca="false">H106+IF(U106="Mag",1,0)</f>
        <v>5</v>
      </c>
      <c r="I107" s="26" t="n">
        <f aca="false">MAX(I106,IF(U106="OR",1,0))</f>
        <v>1</v>
      </c>
      <c r="J107" s="26" t="n">
        <f aca="false">MAX(J106,IF(U106="HP",1,0))</f>
        <v>1</v>
      </c>
      <c r="K107" s="26" t="n">
        <f aca="false">MAX(K106,IF(U106="FP",1,0))</f>
        <v>1</v>
      </c>
      <c r="L107" s="26" t="n">
        <f aca="false">MAX(L106,IF(U106="transition",1,0))</f>
        <v>1</v>
      </c>
      <c r="M107" s="28" t="n">
        <f aca="false">(Parameters!$B$9+(IF(E107=0,0,(Upgrades!$J$6+E107*Upgrades!$K$6)*POWER(Upgrades!$L$6,E107)))*(IF(Upgrades!$T$7="Solar Wind",POWER(Upgrades!$U$7,F107),1)*IF(Upgrades!$T$8="Solar Wind",POWER(Upgrades!$U$8,G107),1)*IF(Upgrades!$T$9="Solar Wind",POWER(Upgrades!$U$9,H107),1)*IF(Upgrades!$T$10="Solar Wind",POWER(Upgrades!$U$10,I107),1)*IF(Upgrades!$T$11="Solar Wind",POWER(Upgrades!$U$11,J107),1)*IF(Upgrades!$T$12="Solar Wind",POWER(Upgrades!$U$12,K107),1))+(IF(F107=0,0,(Upgrades!$J$7+F107*Upgrades!$K$7)*POWER(Upgrades!$L$7,F107)))*(IF(Upgrades!$T$6="Asteroid Belt",POWER(Upgrades!$U$6,E107),1)*IF(Upgrades!$T$8="Asteroid Belt",POWER(Upgrades!$U$8,G107),1)*IF(Upgrades!$T$9="Asteroid Belt",POWER(Upgrades!$U$9,H107),1)*IF(Upgrades!$T$10="Asteroid Belt",POWER(Upgrades!$U$10,I107),1)*IF(Upgrades!$T$11="Asteroid Belt",POWER(Upgrades!$U$11,J107),1)*IF(Upgrades!$T$12="Asteroid Belt",POWER(Upgrades!$U$12,K107),1))+(IF(G107=0,0,(Upgrades!$J$8+G107*Upgrades!$K$8)*POWER(Upgrades!$L$8,G107)))*(IF(Upgrades!$T$6="Stellar Coupling",POWER(Upgrades!$U$6,E107),1)*IF(Upgrades!$T$7="Stellar Coupling",POWER(Upgrades!$U$7,F107),1)*IF(Upgrades!$T$9="Stellar Coupling",POWER(Upgrades!$U$9,H107),1)*IF(Upgrades!$T$10="Stellar Coupling",POWER(Upgrades!$U$10,I107),1)*IF(Upgrades!$T$11="Stellar Coupling",POWER(Upgrades!$U$11,J107),1)*IF(Upgrades!$T$12="Stellar Coupling",POWER(Upgrades!$U$12,K107),1))+(IF(H107=0,0,(Upgrades!$J$9+H107*Upgrades!$K$9)*POWER(Upgrades!$L$9,H107)))*(IF(Upgrades!$T$6="Magnetosphere",POWER(Upgrades!$U$6,E107),1)*IF(Upgrades!$T$7="Magnetosphere",POWER(Upgrades!$U$7,F107),1)*IF(Upgrades!$T$8="Magnetosphere",POWER(Upgrades!$U$8,G107),1)*IF(Upgrades!$T$10="Magnetosphere",POWER(Upgrades!$U$10,I107),1)*IF(Upgrades!$T$11="Magnetosphere",POWER(Upgrades!$U$11,J107),1)*IF(Upgrades!$T$12="Magnetosphere",POWER(Upgrades!$U$12,K107),1))+(IF(I107=0,0,(Upgrades!$J$10+I107*Upgrades!$K$10)*POWER(Upgrades!$L$10,I107)))*(IF(Upgrades!$T$6="Orbital Resonance",POWER(Upgrades!$U$6,E107),1)*IF(Upgrades!$T$7="Orbital Resonance",POWER(Upgrades!$U$7,F107),1)*IF(Upgrades!$T$8="Orbital Resonance",POWER(Upgrades!$U$8,G107),1)*IF(Upgrades!$T$9="Orbital Resonance",POWER(Upgrades!$U$9,H107),1)*IF(Upgrades!$T$11="Orbital Resonance",POWER(Upgrades!$U$11,J107),1)*IF(Upgrades!$T$12="Orbital Resonance",POWER(Upgrades!$U$12,K107),1))+(IF(J107=0,0,(Upgrades!$J$11+J107*Upgrades!$K$11)*POWER(Upgrades!$L$11,J107)))*(IF(Upgrades!$T$6="Heliopause",POWER(Upgrades!$U$6,E107),1)*IF(Upgrades!$T$7="Heliopause",POWER(Upgrades!$U$7,F107),1)*IF(Upgrades!$T$8="Heliopause",POWER(Upgrades!$U$8,G107),1)*IF(Upgrades!$T$9="Heliopause",POWER(Upgrades!$U$9,H107),1)*IF(Upgrades!$T$10="Heliopause",POWER(Upgrades!$U$10,I107),1)*IF(Upgrades!$T$12="Heliopause",POWER(Upgrades!$U$12,K107),1))+(IF(K107=0,0,(Upgrades!$J$12+K107*Upgrades!$K$12)*POWER(Upgrades!$L$12,K107)))*(IF(Upgrades!$T$6="First Photons",POWER(Upgrades!$U$6,E107),1)*IF(Upgrades!$T$7="First Photons",POWER(Upgrades!$U$7,F107),1)*IF(Upgrades!$T$8="First Photons",POWER(Upgrades!$U$8,G107),1)*IF(Upgrades!$T$9="First Photons",POWER(Upgrades!$U$9,H107),1)*IF(Upgrades!$T$10="First Photons",POWER(Upgrades!$U$10,I107),1)*IF(Upgrades!$T$11="First Photons",POWER(Upgrades!$U$11,J107),1)))*POWER(Upgrades!$Q$6,E107)*POWER(Upgrades!$Q$7,F107)*POWER(Upgrades!$Q$8,G107)*POWER(Upgrades!$Q$9,H107)*POWER(Upgrades!$Q$10,I107)*POWER(Upgrades!$Q$11,J107)*POWER(Upgrades!$Q$12,K107)</f>
        <v>5.61</v>
      </c>
      <c r="N107" s="28" t="n">
        <f aca="false">((IF(E107=0,0,(Upgrades!$G$6+E107*Upgrades!$H$6)*POWER(Upgrades!$I$6,E107)))*(IF(Upgrades!$T$7="Solar Wind",POWER(Upgrades!$U$7,F107),1)*IF(Upgrades!$T$8="Solar Wind",POWER(Upgrades!$U$8,G107),1)*IF(Upgrades!$T$9="Solar Wind",POWER(Upgrades!$U$9,H107),1)*IF(Upgrades!$T$10="Solar Wind",POWER(Upgrades!$U$10,I107),1)*IF(Upgrades!$T$11="Solar Wind",POWER(Upgrades!$U$11,J107),1)*IF(Upgrades!$T$12="Solar Wind",POWER(Upgrades!$U$12,K107),1))+(IF(F107=0,0,(Upgrades!$G$7+F107*Upgrades!$H$7)*POWER(Upgrades!$I$7,F107)))*(IF(Upgrades!$T$6="Asteroid Belt",POWER(Upgrades!$U$6,E107),1)*IF(Upgrades!$T$8="Asteroid Belt",POWER(Upgrades!$U$8,G107),1)*IF(Upgrades!$T$9="Asteroid Belt",POWER(Upgrades!$U$9,H107),1)*IF(Upgrades!$T$10="Asteroid Belt",POWER(Upgrades!$U$10,I107),1)*IF(Upgrades!$T$11="Asteroid Belt",POWER(Upgrades!$U$11,J107),1)*IF(Upgrades!$T$12="Asteroid Belt",POWER(Upgrades!$U$12,K107),1))+(IF(G107=0,0,(Upgrades!$G$8+G107*Upgrades!$H$8)*POWER(Upgrades!$I$8,G107)))*(IF(Upgrades!$T$6="Stellar Coupling",POWER(Upgrades!$U$6,E107),1)*IF(Upgrades!$T$7="Stellar Coupling",POWER(Upgrades!$U$7,F107),1)*IF(Upgrades!$T$9="Stellar Coupling",POWER(Upgrades!$U$9,H107),1)*IF(Upgrades!$T$10="Stellar Coupling",POWER(Upgrades!$U$10,I107),1)*IF(Upgrades!$T$11="Stellar Coupling",POWER(Upgrades!$U$11,J107),1)*IF(Upgrades!$T$12="Stellar Coupling",POWER(Upgrades!$U$12,K107),1))+(IF(H107=0,0,(Upgrades!$G$9+H107*Upgrades!$H$9)*POWER(Upgrades!$I$9,H107)))*(IF(Upgrades!$T$6="Magnetosphere",POWER(Upgrades!$U$6,E107),1)*IF(Upgrades!$T$7="Magnetosphere",POWER(Upgrades!$U$7,F107),1)*IF(Upgrades!$T$8="Magnetosphere",POWER(Upgrades!$U$8,G107),1)*IF(Upgrades!$T$10="Magnetosphere",POWER(Upgrades!$U$10,I107),1)*IF(Upgrades!$T$11="Magnetosphere",POWER(Upgrades!$U$11,J107),1)*IF(Upgrades!$T$12="Magnetosphere",POWER(Upgrades!$U$12,K107),1))+(IF(I107=0,0,(Upgrades!$G$10+I107*Upgrades!$H$10)*POWER(Upgrades!$I$10,I107)))*(IF(Upgrades!$T$6="Orbital Resonance",POWER(Upgrades!$U$6,E107),1)*IF(Upgrades!$T$7="Orbital Resonance",POWER(Upgrades!$U$7,F107),1)*IF(Upgrades!$T$8="Orbital Resonance",POWER(Upgrades!$U$8,G107),1)*IF(Upgrades!$T$9="Orbital Resonance",POWER(Upgrades!$U$9,H107),1)*IF(Upgrades!$T$11="Orbital Resonance",POWER(Upgrades!$U$11,J107),1)*IF(Upgrades!$T$12="Orbital Resonance",POWER(Upgrades!$U$12,K107),1))+(IF(J107=0,0,(Upgrades!$G$11+J107*Upgrades!$H$11)*POWER(Upgrades!$I$11,J107)))*(IF(Upgrades!$T$6="Heliopause",POWER(Upgrades!$U$6,E107),1)*IF(Upgrades!$T$7="Heliopause",POWER(Upgrades!$U$7,F107),1)*IF(Upgrades!$T$8="Heliopause",POWER(Upgrades!$U$8,G107),1)*IF(Upgrades!$T$9="Heliopause",POWER(Upgrades!$U$9,H107),1)*IF(Upgrades!$T$10="Heliopause",POWER(Upgrades!$U$10,I107),1)*IF(Upgrades!$T$12="Heliopause",POWER(Upgrades!$U$12,K107),1))+(IF(K107=0,0,(Upgrades!$G$12+K107*Upgrades!$H$12)*POWER(Upgrades!$I$12,K107)))*(IF(Upgrades!$T$6="First Photons",POWER(Upgrades!$U$6,E107),1)*IF(Upgrades!$T$7="First Photons",POWER(Upgrades!$U$7,F107),1)*IF(Upgrades!$T$8="First Photons",POWER(Upgrades!$U$8,G107),1)*IF(Upgrades!$T$9="First Photons",POWER(Upgrades!$U$9,H107),1)*IF(Upgrades!$T$10="First Photons",POWER(Upgrades!$U$10,I107),1)*IF(Upgrades!$T$11="First Photons",POWER(Upgrades!$U$11,J107),1)))*POWER(Upgrades!$P$6,E107)*POWER(Upgrades!$P$7,F107)*POWER(Upgrades!$P$8,G107)*POWER(Upgrades!$P$9,H107)*POWER(Upgrades!$P$10,I107)*POWER(Upgrades!$P$11,J107)*POWER(Upgrades!$P$12,K107)</f>
        <v>11.2</v>
      </c>
      <c r="O107" s="28" t="n">
        <f aca="false">((IF(E107=0,0,(Upgrades!$M$6+E107*Upgrades!$N$6)*POWER(Upgrades!$O$6,E107)))*(IF(Upgrades!$T$7="Solar Wind",POWER(Upgrades!$U$7,F107),1)*IF(Upgrades!$T$8="Solar Wind",POWER(Upgrades!$U$8,G107),1)*IF(Upgrades!$T$9="Solar Wind",POWER(Upgrades!$U$9,H107),1)*IF(Upgrades!$T$10="Solar Wind",POWER(Upgrades!$U$10,I107),1)*IF(Upgrades!$T$11="Solar Wind",POWER(Upgrades!$U$11,J107),1)*IF(Upgrades!$T$12="Solar Wind",POWER(Upgrades!$U$12,K107),1))+(IF(F107=0,0,(Upgrades!$M$7+F107*Upgrades!$N$7)*POWER(Upgrades!$O$7,F107)))*(IF(Upgrades!$T$6="Asteroid Belt",POWER(Upgrades!$U$6,E107),1)*IF(Upgrades!$T$8="Asteroid Belt",POWER(Upgrades!$U$8,G107),1)*IF(Upgrades!$T$9="Asteroid Belt",POWER(Upgrades!$U$9,H107),1)*IF(Upgrades!$T$10="Asteroid Belt",POWER(Upgrades!$U$10,I107),1)*IF(Upgrades!$T$11="Asteroid Belt",POWER(Upgrades!$U$11,J107),1)*IF(Upgrades!$T$12="Asteroid Belt",POWER(Upgrades!$U$12,K107),1))+(IF(G107=0,0,(Upgrades!$M$8+G107*Upgrades!$N$8)*POWER(Upgrades!$O$8,G107)))*(IF(Upgrades!$T$6="Stellar Coupling",POWER(Upgrades!$U$6,E107),1)*IF(Upgrades!$T$7="Stellar Coupling",POWER(Upgrades!$U$7,F107),1)*IF(Upgrades!$T$9="Stellar Coupling",POWER(Upgrades!$U$9,H107),1)*IF(Upgrades!$T$10="Stellar Coupling",POWER(Upgrades!$U$10,I107),1)*IF(Upgrades!$T$11="Stellar Coupling",POWER(Upgrades!$U$11,J107),1)*IF(Upgrades!$T$12="Stellar Coupling",POWER(Upgrades!$U$12,K107),1))+(IF(H107=0,0,(Upgrades!$M$9+H107*Upgrades!$N$9)*POWER(Upgrades!$O$9,H107)))*(IF(Upgrades!$T$6="Magnetosphere",POWER(Upgrades!$U$6,E107),1)*IF(Upgrades!$T$7="Magnetosphere",POWER(Upgrades!$U$7,F107),1)*IF(Upgrades!$T$8="Magnetosphere",POWER(Upgrades!$U$8,G107),1)*IF(Upgrades!$T$10="Magnetosphere",POWER(Upgrades!$U$10,I107),1)*IF(Upgrades!$T$11="Magnetosphere",POWER(Upgrades!$U$11,J107),1)*IF(Upgrades!$T$12="Magnetosphere",POWER(Upgrades!$U$12,K107),1))+(IF(I107=0,0,(Upgrades!$M$10+I107*Upgrades!$N$10)*POWER(Upgrades!$O$10,I107)))*(IF(Upgrades!$T$6="Orbital Resonance",POWER(Upgrades!$U$6,E107),1)*IF(Upgrades!$T$7="Orbital Resonance",POWER(Upgrades!$U$7,F107),1)*IF(Upgrades!$T$8="Orbital Resonance",POWER(Upgrades!$U$8,G107),1)*IF(Upgrades!$T$9="Orbital Resonance",POWER(Upgrades!$U$9,H107),1)*IF(Upgrades!$T$11="Orbital Resonance",POWER(Upgrades!$U$11,J107),1)*IF(Upgrades!$T$12="Orbital Resonance",POWER(Upgrades!$U$12,K107),1))+(IF(J107=0,0,(Upgrades!$M$11+J107*Upgrades!$N$11)*POWER(Upgrades!$O$11,J107)))*(IF(Upgrades!$T$6="Heliopause",POWER(Upgrades!$U$6,E107),1)*IF(Upgrades!$T$7="Heliopause",POWER(Upgrades!$U$7,F107),1)*IF(Upgrades!$T$8="Heliopause",POWER(Upgrades!$U$8,G107),1)*IF(Upgrades!$T$9="Heliopause",POWER(Upgrades!$U$9,H107),1)*IF(Upgrades!$T$10="Heliopause",POWER(Upgrades!$U$10,I107),1)*IF(Upgrades!$T$12="Heliopause",POWER(Upgrades!$U$12,K107),1))+(IF(K107=0,0,(Upgrades!$M$12+K107*Upgrades!$N$12)*POWER(Upgrades!$O$12,K107)))*(IF(Upgrades!$T$6="First Photons",POWER(Upgrades!$U$6,E107),1)*IF(Upgrades!$T$7="First Photons",POWER(Upgrades!$U$7,F107),1)*IF(Upgrades!$T$8="First Photons",POWER(Upgrades!$U$8,G107),1)*IF(Upgrades!$T$9="First Photons",POWER(Upgrades!$U$9,H107),1)*IF(Upgrades!$T$10="First Photons",POWER(Upgrades!$U$10,I107),1)*IF(Upgrades!$T$11="First Photons",POWER(Upgrades!$U$11,J107),1)))*POWER(Upgrades!$R$6,E107)*POWER(Upgrades!$R$7,F107)*POWER(Upgrades!$R$8,G107)*POWER(Upgrades!$R$9,H107)*POWER(Upgrades!$R$10,I107)*POWER(Upgrades!$R$11,J107)*POWER(Upgrades!$R$12,K107)</f>
        <v>0</v>
      </c>
      <c r="P107" s="27" t="n">
        <f aca="false">IF(L107=1,0,M107*Parameters!$B$10/60*Parameters!$B$11*10)</f>
        <v>0</v>
      </c>
      <c r="Q107" s="27" t="n">
        <f aca="false">IF(L107=1,0,O107*M107*10)</f>
        <v>0</v>
      </c>
      <c r="R107" s="27" t="n">
        <f aca="false">IF(L107=1,0,N107*10)</f>
        <v>0</v>
      </c>
      <c r="S107" s="27" t="n">
        <f aca="false">P107+Q107+R107</f>
        <v>0</v>
      </c>
      <c r="T107" s="21" t="n">
        <f aca="false">C107+S107</f>
        <v>18.6730249835055</v>
      </c>
      <c r="U107" s="34" t="str">
        <f aca="false">AX107</f>
        <v/>
      </c>
      <c r="V107" s="21" t="n">
        <f aca="false">IF(U107="",0,IF(U107="transition",0,IF(U107="SW",AG107,IF(U107="AB",AH107,IF(U107="SC",AI107,IF(U107="Mag",AJ107,IF(U107="OR",AK107,IF(U107="HP",AL107,IF(U107="FP",AM107,0)))))))))</f>
        <v>0</v>
      </c>
      <c r="W107" s="27" t="n">
        <f aca="false">IF(U107="OR",Upgrades!$F$10,IF(U107="HP",Upgrades!$F$11,IF(U107="transition",-Parameters!$B$18,0)))</f>
        <v>0</v>
      </c>
      <c r="X107" s="21" t="n">
        <f aca="false">T107-V107</f>
        <v>18.6730249835055</v>
      </c>
      <c r="Y107" s="30" t="n">
        <f aca="false">M107*Parameters!$B$10/60*Parameters!$B$11+O107*M107+N107</f>
        <v>20.55</v>
      </c>
      <c r="Z107" s="35" t="str">
        <f aca="false">IF(U107="transition","→ Tier 2 (Stellar Neighborhood)",IF(U107="FP","First Photons — light begins, system quickens",IF(U107="HP","Heliopause acquired",IF(U107="OR","Orbital Resonance — passive multiplier active",IF(AND(AO107=1,L107=0,AN107&lt;&gt;1),"Cohesion ready (waiting on completionist upgrades)","")))))</f>
        <v/>
      </c>
      <c r="AA107" s="27" t="n">
        <f aca="false">(IF(E107=0,0,(Upgrades!$G$6+E107*Upgrades!$H$6)*POWER(Upgrades!$I$6,E107)))*(IF(Upgrades!$T$7="Solar Wind",POWER(Upgrades!$U$7,F107),1)*IF(Upgrades!$T$8="Solar Wind",POWER(Upgrades!$U$8,G107),1)*IF(Upgrades!$T$9="Solar Wind",POWER(Upgrades!$U$9,H107),1)*IF(Upgrades!$T$10="Solar Wind",POWER(Upgrades!$U$10,I107),1)*IF(Upgrades!$T$11="Solar Wind",POWER(Upgrades!$U$11,J107),1)*IF(Upgrades!$T$12="Solar Wind",POWER(Upgrades!$U$12,K107),1))*POWER(Upgrades!$P$6,E107)*POWER(Upgrades!$P$7,F107)*POWER(Upgrades!$P$8,G107)*POWER(Upgrades!$P$9,H107)*POWER(Upgrades!$P$10,I107)*POWER(Upgrades!$P$11,J107)*POWER(Upgrades!$P$12,K107)*60</f>
        <v>72</v>
      </c>
      <c r="AB107" s="27" t="n">
        <f aca="false">(IF(F107=0,0,(Upgrades!$G$7+F107*Upgrades!$H$7)*POWER(Upgrades!$I$7,F107)))*(IF(Upgrades!$T$6="Asteroid Belt",POWER(Upgrades!$U$6,E107),1)*IF(Upgrades!$T$8="Asteroid Belt",POWER(Upgrades!$U$8,G107),1)*IF(Upgrades!$T$9="Asteroid Belt",POWER(Upgrades!$U$9,H107),1)*IF(Upgrades!$T$10="Asteroid Belt",POWER(Upgrades!$U$10,I107),1)*IF(Upgrades!$T$11="Asteroid Belt",POWER(Upgrades!$U$11,J107),1)*IF(Upgrades!$T$12="Asteroid Belt",POWER(Upgrades!$U$12,K107),1))*POWER(Upgrades!$P$6,E107)*POWER(Upgrades!$P$7,F107)*POWER(Upgrades!$P$8,G107)*POWER(Upgrades!$P$9,H107)*POWER(Upgrades!$P$10,I107)*POWER(Upgrades!$P$11,J107)*POWER(Upgrades!$P$12,K107)*60</f>
        <v>150</v>
      </c>
      <c r="AC107" s="27" t="n">
        <f aca="false">(IF(G107=0,0,(Upgrades!$J$8+G107*Upgrades!$K$8)*POWER(Upgrades!$L$8,G107)))*(IF(Upgrades!$T$6="Stellar Coupling",POWER(Upgrades!$U$6,E107),1)*IF(Upgrades!$T$7="Stellar Coupling",POWER(Upgrades!$U$7,F107),1)*IF(Upgrades!$T$9="Stellar Coupling",POWER(Upgrades!$U$9,H107),1)*IF(Upgrades!$T$10="Stellar Coupling",POWER(Upgrades!$U$10,I107),1)*IF(Upgrades!$T$11="Stellar Coupling",POWER(Upgrades!$U$11,J107),1)*IF(Upgrades!$T$12="Stellar Coupling",POWER(Upgrades!$U$12,K107),1))*POWER(Upgrades!$Q$6,E107)*POWER(Upgrades!$Q$7,F107)*POWER(Upgrades!$Q$8,G107)*POWER(Upgrades!$Q$9,H107)*POWER(Upgrades!$Q$10,I107)*POWER(Upgrades!$Q$11,J107)*POWER(Upgrades!$Q$12,K107)*Parameters!$B$10*Parameters!$B$11</f>
        <v>441</v>
      </c>
      <c r="AD107" s="27" t="n">
        <f aca="false">(IF(H107=0,0,(Upgrades!$G$9+H107*Upgrades!$H$9)*POWER(Upgrades!$I$9,H107)))*(IF(Upgrades!$T$6="Magnetosphere",POWER(Upgrades!$U$6,E107),1)*IF(Upgrades!$T$7="Magnetosphere",POWER(Upgrades!$U$7,F107),1)*IF(Upgrades!$T$8="Magnetosphere",POWER(Upgrades!$U$8,G107),1)*IF(Upgrades!$T$10="Magnetosphere",POWER(Upgrades!$U$10,I107),1)*IF(Upgrades!$T$11="Magnetosphere",POWER(Upgrades!$U$11,J107),1)*IF(Upgrades!$T$12="Magnetosphere",POWER(Upgrades!$U$12,K107),1))*POWER(Upgrades!$P$6,E107)*POWER(Upgrades!$P$7,F107)*POWER(Upgrades!$P$8,G107)*POWER(Upgrades!$P$9,H107)*POWER(Upgrades!$P$10,I107)*POWER(Upgrades!$P$11,J107)*POWER(Upgrades!$P$12,K107)*60</f>
        <v>375</v>
      </c>
      <c r="AE107" s="27" t="n">
        <f aca="false">(IF(K107=0,0,(Upgrades!$G$12+K107*Upgrades!$H$12)*POWER(Upgrades!$I$12,K107)))*(IF(Upgrades!$T$6="First Photons",POWER(Upgrades!$U$6,E107),1)*IF(Upgrades!$T$7="First Photons",POWER(Upgrades!$U$7,F107),1)*IF(Upgrades!$T$8="First Photons",POWER(Upgrades!$U$8,G107),1)*IF(Upgrades!$T$9="First Photons",POWER(Upgrades!$U$9,H107),1)*IF(Upgrades!$T$10="First Photons",POWER(Upgrades!$U$10,I107),1)*IF(Upgrades!$T$11="First Photons",POWER(Upgrades!$U$11,J107),1))*POWER(Upgrades!$P$6,E107)*POWER(Upgrades!$P$7,F107)*POWER(Upgrades!$P$8,G107)*POWER(Upgrades!$P$9,H107)*POWER(Upgrades!$P$10,I107)*POWER(Upgrades!$P$11,J107)*POWER(Upgrades!$P$12,K107)*60</f>
        <v>75</v>
      </c>
      <c r="AF107" s="27" t="n">
        <f aca="false">Parameters!$B$9*POWER(Upgrades!$Q$6,E107)*POWER(Upgrades!$Q$7,F107)*POWER(Upgrades!$Q$8,G107)*POWER(Upgrades!$Q$9,H107)*POWER(Upgrades!$Q$10,I107)*POWER(Upgrades!$Q$11,J107)*POWER(Upgrades!$Q$12,K107)*(Parameters!$B$10*Parameters!$B$11+O107*60)</f>
        <v>120</v>
      </c>
      <c r="AG107" s="21" t="n">
        <f aca="false">IF(E107&gt;=Upgrades!$E$6,"",Upgrades!$C$6*POWER(Upgrades!$D$6,E107))</f>
        <v>37.4517507383159</v>
      </c>
      <c r="AH107" s="21" t="n">
        <f aca="false">IF(F107&gt;=Upgrades!$E$7,"",Upgrades!$C$7*POWER(Upgrades!$D$7,F107))</f>
        <v>80.9111547141581</v>
      </c>
      <c r="AI107" s="21" t="n">
        <f aca="false">IF(G107&gt;=Upgrades!$E$8,"",Upgrades!$C$8*POWER(Upgrades!$D$8,G107))</f>
        <v>231.9097088</v>
      </c>
      <c r="AJ107" s="21" t="str">
        <f aca="false">IF(H107&gt;=Upgrades!$E$9,"",Upgrades!$C$9*POWER(Upgrades!$D$9,H107))</f>
        <v/>
      </c>
      <c r="AK107" s="21" t="str">
        <f aca="false">IF(I107&gt;=Upgrades!$E$10,"",Upgrades!$C$10*POWER(Upgrades!$D$10,I107))</f>
        <v/>
      </c>
      <c r="AL107" s="21" t="str">
        <f aca="false">IF(J107&gt;=Upgrades!$E$11,"",Upgrades!$C$11*POWER(Upgrades!$D$11,J107))</f>
        <v/>
      </c>
      <c r="AM107" s="21" t="str">
        <f aca="false">IF(K107&gt;=Upgrades!$E$12,"",Upgrades!$C$12*POWER(Upgrades!$D$12,K107))</f>
        <v/>
      </c>
      <c r="AN107" s="26" t="str">
        <f aca="false">IF(AND(D107&gt;=Parameters!$B$18,(H107&gt;=Upgrades!$E$9)*(K107&gt;=Upgrades!$E$12)=1,L107=0),1,"")</f>
        <v/>
      </c>
      <c r="AO107" s="26" t="str">
        <f aca="false">IF(AND(D107&gt;=Parameters!$B$18,L107=0),1,"")</f>
        <v/>
      </c>
      <c r="AP107" s="21" t="n">
        <f aca="false">MIN(IF(ISNUMBER(AK107),AK107,9000000000000000),IF(ISNUMBER(AL107),AL107,9000000000000000),IF(ISNUMBER(AM107),AM107,9000000000000000))</f>
        <v>9000000000000000</v>
      </c>
      <c r="AQ107" s="21" t="n">
        <f aca="false">MIN(IF(ISNUMBER(AG107),AG107,9000000000000000),IF(ISNUMBER(AH107),AH107,9000000000000000),IF(ISNUMBER(AI107),AI107,9000000000000000),IF(ISNUMBER(AJ107),AJ107,9000000000000000))</f>
        <v>37.4517507383159</v>
      </c>
      <c r="AR107" s="32" t="b">
        <f aca="false">IF(AW107&gt;Parameters!$B$21*(MAX(IF(AND(NOT(AND(AO107=1,AN107&lt;&gt;1)),ISNUMBER(AG107),AG107&lt;=T107),AS107,0),IF(AND(NOT(AND(AO107=1,AN107&lt;&gt;1)),ISNUMBER(AH107),AH107&lt;=T107),AT107,0),IF(AND(NOT(AND(AO107=1,AN107&lt;&gt;1)),ISNUMBER(AI107),AI107&lt;=T107),AU107,0),IF(AND(ISNUMBER(AJ107),AJ107&lt;=T107),AV107,0))),TRUE(),FALSE())</f>
        <v>1</v>
      </c>
      <c r="AS107" s="33" t="n">
        <f aca="false">IFERROR(Upgrades!$H$6*(POWER(Upgrades!$P$6,E107)*POWER(Upgrades!$P$7,F107)*POWER(Upgrades!$P$8,G107)*POWER(Upgrades!$P$9,H107)*POWER(Upgrades!$P$10,I107)*POWER(Upgrades!$P$11,J107)*POWER(Upgrades!$P$12,K107))*(IF(Upgrades!$T$7="Solar Wind",POWER(Upgrades!$U$7,F107),1)*IF(Upgrades!$T$8="Solar Wind",POWER(Upgrades!$U$8,G107),1)*IF(Upgrades!$T$9="Solar Wind",POWER(Upgrades!$U$9,H107),1)*IF(Upgrades!$T$10="Solar Wind",POWER(Upgrades!$U$10,I107),1)*IF(Upgrades!$T$11="Solar Wind",POWER(Upgrades!$U$11,J107),1)*IF(Upgrades!$T$12="Solar Wind",POWER(Upgrades!$U$12,K107),1))/AG107,0)</f>
        <v>0.0026701021455238</v>
      </c>
      <c r="AT107" s="33" t="n">
        <f aca="false">IFERROR(Upgrades!$H$7*(POWER(Upgrades!$P$6,E107)*POWER(Upgrades!$P$7,F107)*POWER(Upgrades!$P$8,G107)*POWER(Upgrades!$P$9,H107)*POWER(Upgrades!$P$10,I107)*POWER(Upgrades!$P$11,J107)*POWER(Upgrades!$P$12,K107))*(IF(Upgrades!$T$6="Asteroid Belt",POWER(Upgrades!$U$6,E107),1)*IF(Upgrades!$T$8="Asteroid Belt",POWER(Upgrades!$U$8,G107),1)*IF(Upgrades!$T$9="Asteroid Belt",POWER(Upgrades!$U$9,H107),1)*IF(Upgrades!$T$10="Asteroid Belt",POWER(Upgrades!$U$10,I107),1)*IF(Upgrades!$T$11="Asteroid Belt",POWER(Upgrades!$U$11,J107),1)*IF(Upgrades!$T$12="Asteroid Belt",POWER(Upgrades!$U$12,K107),1))/AH107,0)</f>
        <v>0.00308980882652332</v>
      </c>
      <c r="AU107" s="33" t="n">
        <f aca="false">IFERROR(Upgrades!$K$8*(POWER(Upgrades!$Q$6,E107)*POWER(Upgrades!$Q$7,F107)*POWER(Upgrades!$Q$8,G107)*POWER(Upgrades!$Q$9,H107)*POWER(Upgrades!$Q$10,I107)*POWER(Upgrades!$Q$11,J107)*POWER(Upgrades!$Q$12,K107))*(IF(Upgrades!$T$6="Stellar Coupling",POWER(Upgrades!$U$6,E107),1)*IF(Upgrades!$T$7="Stellar Coupling",POWER(Upgrades!$U$7,F107),1)*IF(Upgrades!$T$9="Stellar Coupling",POWER(Upgrades!$U$9,H107),1)*IF(Upgrades!$T$10="Stellar Coupling",POWER(Upgrades!$U$10,I107),1)*IF(Upgrades!$T$11="Stellar Coupling",POWER(Upgrades!$U$11,J107),1)*IF(Upgrades!$T$12="Stellar Coupling",POWER(Upgrades!$U$12,K107),1))*Parameters!$B$10*Parameters!$B$11/60/AI107,0)</f>
        <v>0.00452762415783776</v>
      </c>
      <c r="AV107" s="33" t="n">
        <f aca="false">IFERROR(Upgrades!$H$9*(POWER(Upgrades!$P$6,E107)*POWER(Upgrades!$P$7,F107)*POWER(Upgrades!$P$8,G107)*POWER(Upgrades!$P$9,H107)*POWER(Upgrades!$P$10,I107)*POWER(Upgrades!$P$11,J107)*POWER(Upgrades!$P$12,K107))*(IF(Upgrades!$T$6="Magnetosphere",POWER(Upgrades!$U$6,E107),1)*IF(Upgrades!$T$7="Magnetosphere",POWER(Upgrades!$U$7,F107),1)*IF(Upgrades!$T$8="Magnetosphere",POWER(Upgrades!$U$8,G107),1)*IF(Upgrades!$T$10="Magnetosphere",POWER(Upgrades!$U$10,I107),1)*IF(Upgrades!$T$11="Magnetosphere",POWER(Upgrades!$U$11,J107),1)*IF(Upgrades!$T$12="Magnetosphere",POWER(Upgrades!$U$12,K107),1))/AJ107,0)</f>
        <v>0</v>
      </c>
      <c r="AW107" s="33" t="n">
        <f aca="false">MAX(IF(I107&gt;0,0,IFERROR(0.25*N107/Upgrades!$C$10,0)),IF(J107&gt;0,0,IFERROR(0.5*((IF(G107=0,0,(Upgrades!$J$8+G107*Upgrades!$K$8)*POWER(Upgrades!$L$8,G107)))*(IF(Upgrades!$T$6="Stellar Coupling",POWER(Upgrades!$U$6,E107),1)*IF(Upgrades!$T$7="Stellar Coupling",POWER(Upgrades!$U$7,F107),1)*IF(Upgrades!$T$9="Stellar Coupling",POWER(Upgrades!$U$9,H107),1)*IF(Upgrades!$T$10="Stellar Coupling",POWER(Upgrades!$U$10,I107),1)*IF(Upgrades!$T$11="Stellar Coupling",POWER(Upgrades!$U$11,J107),1)*IF(Upgrades!$T$12="Stellar Coupling",POWER(Upgrades!$U$12,K107),1))*(POWER(Upgrades!$Q$6,E107)*POWER(Upgrades!$Q$7,F107)*POWER(Upgrades!$Q$8,G107)*POWER(Upgrades!$Q$9,H107)*POWER(Upgrades!$Q$10,I107)*POWER(Upgrades!$Q$11,J107)*POWER(Upgrades!$Q$12,K107))*Parameters!$B$10*Parameters!$B$11/60)/Upgrades!$C$11,0)),IF(K107&gt;0,0,IFERROR((1*(POWER(Upgrades!$P$6,E107)*POWER(Upgrades!$P$7,F107)*POWER(Upgrades!$P$8,G107)*POWER(Upgrades!$P$9,H107)*POWER(Upgrades!$P$10,I107)*POWER(Upgrades!$P$11,J107)*POWER(Upgrades!$P$12,K107))+0.2*M107*Parameters!$B$10*Parameters!$B$11/60)/Upgrades!$C$12,0)),IF(AND(ISNUMBER(AG107),AG107&gt;T107),AS107,0),IF(AND(ISNUMBER(AH107),AH107&gt;T107),AT107,0),IF(AND(ISNUMBER(AI107),AI107&gt;T107),AU107,0),IF(AND(ISNUMBER(AJ107),AJ107&gt;T107),AV107,0))</f>
        <v>0.00452762415783776</v>
      </c>
      <c r="AX107" s="29" t="str">
        <f aca="false">IF(AN107=1,"transition",IF(MIN(IF(AND(I107=0,ISNUMBER(AK107),AK107&lt;=T107),AK107,9000000000000000),IF(AND(J107=0,ISNUMBER(AL107),AL107&lt;=T107),AL107,9000000000000000),IF(AND(K107=0,ISNUMBER(AM107),AM107&lt;=T107),AM107,9000000000000000))&lt;9000000000000000,IF(AND(AND(I107=0,ISNUMBER(AK107),AK107&lt;=T107),AK107=MIN(IF(AND(I107=0,ISNUMBER(AK107),AK107&lt;=T107),AK107,9000000000000000),IF(AND(J107=0,ISNUMBER(AL107),AL107&lt;=T107),AL107,9000000000000000),IF(AND(K107=0,ISNUMBER(AM107),AM107&lt;=T107),AM107,9000000000000000))),"OR",IF(AND(AND(J107=0,ISNUMBER(AL107),AL107&lt;=T107),AL107=MIN(IF(AND(I107=0,ISNUMBER(AK107),AK107&lt;=T107),AK107,9000000000000000),IF(AND(J107=0,ISNUMBER(AL107),AL107&lt;=T107),AL107,9000000000000000),IF(AND(K107=0,ISNUMBER(AM107),AM107&lt;=T107),AM107,9000000000000000))),"HP","FP")),IF(AR107=TRUE(),"",IF(MAX(IF(AND(NOT(AND(AO107=1,AN107&lt;&gt;1)),ISNUMBER(AG107),AG107&lt;=T107),AS107,0),IF(AND(NOT(AND(AO107=1,AN107&lt;&gt;1)),ISNUMBER(AH107),AH107&lt;=T107),AT107,0),IF(AND(NOT(AND(AO107=1,AN107&lt;&gt;1)),ISNUMBER(AI107),AI107&lt;=T107),AU107,0),IF(AND(ISNUMBER(AJ107),AJ107&lt;=T107),AV107,0))&lt;=0,"",IF(AND(IF(AND(NOT(AND(AO107=1,AN107&lt;&gt;1)),ISNUMBER(AG107),AG107&lt;=T107),AS107,0)&gt;0,IF(AND(NOT(AND(AO107=1,AN107&lt;&gt;1)),ISNUMBER(AG107),AG107&lt;=T107),AS107,0)=MAX(IF(AND(NOT(AND(AO107=1,AN107&lt;&gt;1)),ISNUMBER(AG107),AG107&lt;=T107),AS107,0),IF(AND(NOT(AND(AO107=1,AN107&lt;&gt;1)),ISNUMBER(AH107),AH107&lt;=T107),AT107,0),IF(AND(NOT(AND(AO107=1,AN107&lt;&gt;1)),ISNUMBER(AI107),AI107&lt;=T107),AU107,0),IF(AND(ISNUMBER(AJ107),AJ107&lt;=T107),AV107,0))),"SW",IF(AND(IF(AND(NOT(AND(AO107=1,AN107&lt;&gt;1)),ISNUMBER(AH107),AH107&lt;=T107),AT107,0)&gt;0,IF(AND(NOT(AND(AO107=1,AN107&lt;&gt;1)),ISNUMBER(AH107),AH107&lt;=T107),AT107,0)=MAX(IF(AND(NOT(AND(AO107=1,AN107&lt;&gt;1)),ISNUMBER(AG107),AG107&lt;=T107),AS107,0),IF(AND(NOT(AND(AO107=1,AN107&lt;&gt;1)),ISNUMBER(AH107),AH107&lt;=T107),AT107,0),IF(AND(NOT(AND(AO107=1,AN107&lt;&gt;1)),ISNUMBER(AI107),AI107&lt;=T107),AU107,0),IF(AND(ISNUMBER(AJ107),AJ107&lt;=T107),AV107,0))),"AB",IF(AND(IF(AND(NOT(AND(AO107=1,AN107&lt;&gt;1)),ISNUMBER(AI107),AI107&lt;=T107),AU107,0)&gt;0,IF(AND(NOT(AND(AO107=1,AN107&lt;&gt;1)),ISNUMBER(AI107),AI107&lt;=T107),AU107,0)=MAX(IF(AND(NOT(AND(AO107=1,AN107&lt;&gt;1)),ISNUMBER(AG107),AG107&lt;=T107),AS107,0),IF(AND(NOT(AND(AO107=1,AN107&lt;&gt;1)),ISNUMBER(AH107),AH107&lt;=T107),AT107,0),IF(AND(NOT(AND(AO107=1,AN107&lt;&gt;1)),ISNUMBER(AI107),AI107&lt;=T107),AU107,0),IF(AND(ISNUMBER(AJ107),AJ107&lt;=T107),AV107,0))),"SC","Mag")))))))</f>
        <v/>
      </c>
    </row>
    <row r="108" customFormat="false" ht="15" hidden="false" customHeight="false" outlineLevel="0" collapsed="false">
      <c r="A108" s="26" t="n">
        <v>103</v>
      </c>
      <c r="B108" s="27" t="n">
        <f aca="false">A108*10/60</f>
        <v>17.1666666666667</v>
      </c>
      <c r="C108" s="21" t="n">
        <f aca="false">X107</f>
        <v>18.6730249835055</v>
      </c>
      <c r="D108" s="27" t="n">
        <f aca="false">D107+W107</f>
        <v>0</v>
      </c>
      <c r="E108" s="26" t="n">
        <f aca="false">E107+IF(U107="SW",1,0)</f>
        <v>12</v>
      </c>
      <c r="F108" s="26" t="n">
        <f aca="false">F107+IF(U107="AB",1,0)</f>
        <v>10</v>
      </c>
      <c r="G108" s="26" t="n">
        <f aca="false">G107+IF(U107="SC",1,0)</f>
        <v>7</v>
      </c>
      <c r="H108" s="26" t="n">
        <f aca="false">H107+IF(U107="Mag",1,0)</f>
        <v>5</v>
      </c>
      <c r="I108" s="26" t="n">
        <f aca="false">MAX(I107,IF(U107="OR",1,0))</f>
        <v>1</v>
      </c>
      <c r="J108" s="26" t="n">
        <f aca="false">MAX(J107,IF(U107="HP",1,0))</f>
        <v>1</v>
      </c>
      <c r="K108" s="26" t="n">
        <f aca="false">MAX(K107,IF(U107="FP",1,0))</f>
        <v>1</v>
      </c>
      <c r="L108" s="26" t="n">
        <f aca="false">MAX(L107,IF(U107="transition",1,0))</f>
        <v>1</v>
      </c>
      <c r="M108" s="28" t="n">
        <f aca="false">(Parameters!$B$9+(IF(E108=0,0,(Upgrades!$J$6+E108*Upgrades!$K$6)*POWER(Upgrades!$L$6,E108)))*(IF(Upgrades!$T$7="Solar Wind",POWER(Upgrades!$U$7,F108),1)*IF(Upgrades!$T$8="Solar Wind",POWER(Upgrades!$U$8,G108),1)*IF(Upgrades!$T$9="Solar Wind",POWER(Upgrades!$U$9,H108),1)*IF(Upgrades!$T$10="Solar Wind",POWER(Upgrades!$U$10,I108),1)*IF(Upgrades!$T$11="Solar Wind",POWER(Upgrades!$U$11,J108),1)*IF(Upgrades!$T$12="Solar Wind",POWER(Upgrades!$U$12,K108),1))+(IF(F108=0,0,(Upgrades!$J$7+F108*Upgrades!$K$7)*POWER(Upgrades!$L$7,F108)))*(IF(Upgrades!$T$6="Asteroid Belt",POWER(Upgrades!$U$6,E108),1)*IF(Upgrades!$T$8="Asteroid Belt",POWER(Upgrades!$U$8,G108),1)*IF(Upgrades!$T$9="Asteroid Belt",POWER(Upgrades!$U$9,H108),1)*IF(Upgrades!$T$10="Asteroid Belt",POWER(Upgrades!$U$10,I108),1)*IF(Upgrades!$T$11="Asteroid Belt",POWER(Upgrades!$U$11,J108),1)*IF(Upgrades!$T$12="Asteroid Belt",POWER(Upgrades!$U$12,K108),1))+(IF(G108=0,0,(Upgrades!$J$8+G108*Upgrades!$K$8)*POWER(Upgrades!$L$8,G108)))*(IF(Upgrades!$T$6="Stellar Coupling",POWER(Upgrades!$U$6,E108),1)*IF(Upgrades!$T$7="Stellar Coupling",POWER(Upgrades!$U$7,F108),1)*IF(Upgrades!$T$9="Stellar Coupling",POWER(Upgrades!$U$9,H108),1)*IF(Upgrades!$T$10="Stellar Coupling",POWER(Upgrades!$U$10,I108),1)*IF(Upgrades!$T$11="Stellar Coupling",POWER(Upgrades!$U$11,J108),1)*IF(Upgrades!$T$12="Stellar Coupling",POWER(Upgrades!$U$12,K108),1))+(IF(H108=0,0,(Upgrades!$J$9+H108*Upgrades!$K$9)*POWER(Upgrades!$L$9,H108)))*(IF(Upgrades!$T$6="Magnetosphere",POWER(Upgrades!$U$6,E108),1)*IF(Upgrades!$T$7="Magnetosphere",POWER(Upgrades!$U$7,F108),1)*IF(Upgrades!$T$8="Magnetosphere",POWER(Upgrades!$U$8,G108),1)*IF(Upgrades!$T$10="Magnetosphere",POWER(Upgrades!$U$10,I108),1)*IF(Upgrades!$T$11="Magnetosphere",POWER(Upgrades!$U$11,J108),1)*IF(Upgrades!$T$12="Magnetosphere",POWER(Upgrades!$U$12,K108),1))+(IF(I108=0,0,(Upgrades!$J$10+I108*Upgrades!$K$10)*POWER(Upgrades!$L$10,I108)))*(IF(Upgrades!$T$6="Orbital Resonance",POWER(Upgrades!$U$6,E108),1)*IF(Upgrades!$T$7="Orbital Resonance",POWER(Upgrades!$U$7,F108),1)*IF(Upgrades!$T$8="Orbital Resonance",POWER(Upgrades!$U$8,G108),1)*IF(Upgrades!$T$9="Orbital Resonance",POWER(Upgrades!$U$9,H108),1)*IF(Upgrades!$T$11="Orbital Resonance",POWER(Upgrades!$U$11,J108),1)*IF(Upgrades!$T$12="Orbital Resonance",POWER(Upgrades!$U$12,K108),1))+(IF(J108=0,0,(Upgrades!$J$11+J108*Upgrades!$K$11)*POWER(Upgrades!$L$11,J108)))*(IF(Upgrades!$T$6="Heliopause",POWER(Upgrades!$U$6,E108),1)*IF(Upgrades!$T$7="Heliopause",POWER(Upgrades!$U$7,F108),1)*IF(Upgrades!$T$8="Heliopause",POWER(Upgrades!$U$8,G108),1)*IF(Upgrades!$T$9="Heliopause",POWER(Upgrades!$U$9,H108),1)*IF(Upgrades!$T$10="Heliopause",POWER(Upgrades!$U$10,I108),1)*IF(Upgrades!$T$12="Heliopause",POWER(Upgrades!$U$12,K108),1))+(IF(K108=0,0,(Upgrades!$J$12+K108*Upgrades!$K$12)*POWER(Upgrades!$L$12,K108)))*(IF(Upgrades!$T$6="First Photons",POWER(Upgrades!$U$6,E108),1)*IF(Upgrades!$T$7="First Photons",POWER(Upgrades!$U$7,F108),1)*IF(Upgrades!$T$8="First Photons",POWER(Upgrades!$U$8,G108),1)*IF(Upgrades!$T$9="First Photons",POWER(Upgrades!$U$9,H108),1)*IF(Upgrades!$T$10="First Photons",POWER(Upgrades!$U$10,I108),1)*IF(Upgrades!$T$11="First Photons",POWER(Upgrades!$U$11,J108),1)))*POWER(Upgrades!$Q$6,E108)*POWER(Upgrades!$Q$7,F108)*POWER(Upgrades!$Q$8,G108)*POWER(Upgrades!$Q$9,H108)*POWER(Upgrades!$Q$10,I108)*POWER(Upgrades!$Q$11,J108)*POWER(Upgrades!$Q$12,K108)</f>
        <v>5.61</v>
      </c>
      <c r="N108" s="28" t="n">
        <f aca="false">((IF(E108=0,0,(Upgrades!$G$6+E108*Upgrades!$H$6)*POWER(Upgrades!$I$6,E108)))*(IF(Upgrades!$T$7="Solar Wind",POWER(Upgrades!$U$7,F108),1)*IF(Upgrades!$T$8="Solar Wind",POWER(Upgrades!$U$8,G108),1)*IF(Upgrades!$T$9="Solar Wind",POWER(Upgrades!$U$9,H108),1)*IF(Upgrades!$T$10="Solar Wind",POWER(Upgrades!$U$10,I108),1)*IF(Upgrades!$T$11="Solar Wind",POWER(Upgrades!$U$11,J108),1)*IF(Upgrades!$T$12="Solar Wind",POWER(Upgrades!$U$12,K108),1))+(IF(F108=0,0,(Upgrades!$G$7+F108*Upgrades!$H$7)*POWER(Upgrades!$I$7,F108)))*(IF(Upgrades!$T$6="Asteroid Belt",POWER(Upgrades!$U$6,E108),1)*IF(Upgrades!$T$8="Asteroid Belt",POWER(Upgrades!$U$8,G108),1)*IF(Upgrades!$T$9="Asteroid Belt",POWER(Upgrades!$U$9,H108),1)*IF(Upgrades!$T$10="Asteroid Belt",POWER(Upgrades!$U$10,I108),1)*IF(Upgrades!$T$11="Asteroid Belt",POWER(Upgrades!$U$11,J108),1)*IF(Upgrades!$T$12="Asteroid Belt",POWER(Upgrades!$U$12,K108),1))+(IF(G108=0,0,(Upgrades!$G$8+G108*Upgrades!$H$8)*POWER(Upgrades!$I$8,G108)))*(IF(Upgrades!$T$6="Stellar Coupling",POWER(Upgrades!$U$6,E108),1)*IF(Upgrades!$T$7="Stellar Coupling",POWER(Upgrades!$U$7,F108),1)*IF(Upgrades!$T$9="Stellar Coupling",POWER(Upgrades!$U$9,H108),1)*IF(Upgrades!$T$10="Stellar Coupling",POWER(Upgrades!$U$10,I108),1)*IF(Upgrades!$T$11="Stellar Coupling",POWER(Upgrades!$U$11,J108),1)*IF(Upgrades!$T$12="Stellar Coupling",POWER(Upgrades!$U$12,K108),1))+(IF(H108=0,0,(Upgrades!$G$9+H108*Upgrades!$H$9)*POWER(Upgrades!$I$9,H108)))*(IF(Upgrades!$T$6="Magnetosphere",POWER(Upgrades!$U$6,E108),1)*IF(Upgrades!$T$7="Magnetosphere",POWER(Upgrades!$U$7,F108),1)*IF(Upgrades!$T$8="Magnetosphere",POWER(Upgrades!$U$8,G108),1)*IF(Upgrades!$T$10="Magnetosphere",POWER(Upgrades!$U$10,I108),1)*IF(Upgrades!$T$11="Magnetosphere",POWER(Upgrades!$U$11,J108),1)*IF(Upgrades!$T$12="Magnetosphere",POWER(Upgrades!$U$12,K108),1))+(IF(I108=0,0,(Upgrades!$G$10+I108*Upgrades!$H$10)*POWER(Upgrades!$I$10,I108)))*(IF(Upgrades!$T$6="Orbital Resonance",POWER(Upgrades!$U$6,E108),1)*IF(Upgrades!$T$7="Orbital Resonance",POWER(Upgrades!$U$7,F108),1)*IF(Upgrades!$T$8="Orbital Resonance",POWER(Upgrades!$U$8,G108),1)*IF(Upgrades!$T$9="Orbital Resonance",POWER(Upgrades!$U$9,H108),1)*IF(Upgrades!$T$11="Orbital Resonance",POWER(Upgrades!$U$11,J108),1)*IF(Upgrades!$T$12="Orbital Resonance",POWER(Upgrades!$U$12,K108),1))+(IF(J108=0,0,(Upgrades!$G$11+J108*Upgrades!$H$11)*POWER(Upgrades!$I$11,J108)))*(IF(Upgrades!$T$6="Heliopause",POWER(Upgrades!$U$6,E108),1)*IF(Upgrades!$T$7="Heliopause",POWER(Upgrades!$U$7,F108),1)*IF(Upgrades!$T$8="Heliopause",POWER(Upgrades!$U$8,G108),1)*IF(Upgrades!$T$9="Heliopause",POWER(Upgrades!$U$9,H108),1)*IF(Upgrades!$T$10="Heliopause",POWER(Upgrades!$U$10,I108),1)*IF(Upgrades!$T$12="Heliopause",POWER(Upgrades!$U$12,K108),1))+(IF(K108=0,0,(Upgrades!$G$12+K108*Upgrades!$H$12)*POWER(Upgrades!$I$12,K108)))*(IF(Upgrades!$T$6="First Photons",POWER(Upgrades!$U$6,E108),1)*IF(Upgrades!$T$7="First Photons",POWER(Upgrades!$U$7,F108),1)*IF(Upgrades!$T$8="First Photons",POWER(Upgrades!$U$8,G108),1)*IF(Upgrades!$T$9="First Photons",POWER(Upgrades!$U$9,H108),1)*IF(Upgrades!$T$10="First Photons",POWER(Upgrades!$U$10,I108),1)*IF(Upgrades!$T$11="First Photons",POWER(Upgrades!$U$11,J108),1)))*POWER(Upgrades!$P$6,E108)*POWER(Upgrades!$P$7,F108)*POWER(Upgrades!$P$8,G108)*POWER(Upgrades!$P$9,H108)*POWER(Upgrades!$P$10,I108)*POWER(Upgrades!$P$11,J108)*POWER(Upgrades!$P$12,K108)</f>
        <v>11.2</v>
      </c>
      <c r="O108" s="28" t="n">
        <f aca="false">((IF(E108=0,0,(Upgrades!$M$6+E108*Upgrades!$N$6)*POWER(Upgrades!$O$6,E108)))*(IF(Upgrades!$T$7="Solar Wind",POWER(Upgrades!$U$7,F108),1)*IF(Upgrades!$T$8="Solar Wind",POWER(Upgrades!$U$8,G108),1)*IF(Upgrades!$T$9="Solar Wind",POWER(Upgrades!$U$9,H108),1)*IF(Upgrades!$T$10="Solar Wind",POWER(Upgrades!$U$10,I108),1)*IF(Upgrades!$T$11="Solar Wind",POWER(Upgrades!$U$11,J108),1)*IF(Upgrades!$T$12="Solar Wind",POWER(Upgrades!$U$12,K108),1))+(IF(F108=0,0,(Upgrades!$M$7+F108*Upgrades!$N$7)*POWER(Upgrades!$O$7,F108)))*(IF(Upgrades!$T$6="Asteroid Belt",POWER(Upgrades!$U$6,E108),1)*IF(Upgrades!$T$8="Asteroid Belt",POWER(Upgrades!$U$8,G108),1)*IF(Upgrades!$T$9="Asteroid Belt",POWER(Upgrades!$U$9,H108),1)*IF(Upgrades!$T$10="Asteroid Belt",POWER(Upgrades!$U$10,I108),1)*IF(Upgrades!$T$11="Asteroid Belt",POWER(Upgrades!$U$11,J108),1)*IF(Upgrades!$T$12="Asteroid Belt",POWER(Upgrades!$U$12,K108),1))+(IF(G108=0,0,(Upgrades!$M$8+G108*Upgrades!$N$8)*POWER(Upgrades!$O$8,G108)))*(IF(Upgrades!$T$6="Stellar Coupling",POWER(Upgrades!$U$6,E108),1)*IF(Upgrades!$T$7="Stellar Coupling",POWER(Upgrades!$U$7,F108),1)*IF(Upgrades!$T$9="Stellar Coupling",POWER(Upgrades!$U$9,H108),1)*IF(Upgrades!$T$10="Stellar Coupling",POWER(Upgrades!$U$10,I108),1)*IF(Upgrades!$T$11="Stellar Coupling",POWER(Upgrades!$U$11,J108),1)*IF(Upgrades!$T$12="Stellar Coupling",POWER(Upgrades!$U$12,K108),1))+(IF(H108=0,0,(Upgrades!$M$9+H108*Upgrades!$N$9)*POWER(Upgrades!$O$9,H108)))*(IF(Upgrades!$T$6="Magnetosphere",POWER(Upgrades!$U$6,E108),1)*IF(Upgrades!$T$7="Magnetosphere",POWER(Upgrades!$U$7,F108),1)*IF(Upgrades!$T$8="Magnetosphere",POWER(Upgrades!$U$8,G108),1)*IF(Upgrades!$T$10="Magnetosphere",POWER(Upgrades!$U$10,I108),1)*IF(Upgrades!$T$11="Magnetosphere",POWER(Upgrades!$U$11,J108),1)*IF(Upgrades!$T$12="Magnetosphere",POWER(Upgrades!$U$12,K108),1))+(IF(I108=0,0,(Upgrades!$M$10+I108*Upgrades!$N$10)*POWER(Upgrades!$O$10,I108)))*(IF(Upgrades!$T$6="Orbital Resonance",POWER(Upgrades!$U$6,E108),1)*IF(Upgrades!$T$7="Orbital Resonance",POWER(Upgrades!$U$7,F108),1)*IF(Upgrades!$T$8="Orbital Resonance",POWER(Upgrades!$U$8,G108),1)*IF(Upgrades!$T$9="Orbital Resonance",POWER(Upgrades!$U$9,H108),1)*IF(Upgrades!$T$11="Orbital Resonance",POWER(Upgrades!$U$11,J108),1)*IF(Upgrades!$T$12="Orbital Resonance",POWER(Upgrades!$U$12,K108),1))+(IF(J108=0,0,(Upgrades!$M$11+J108*Upgrades!$N$11)*POWER(Upgrades!$O$11,J108)))*(IF(Upgrades!$T$6="Heliopause",POWER(Upgrades!$U$6,E108),1)*IF(Upgrades!$T$7="Heliopause",POWER(Upgrades!$U$7,F108),1)*IF(Upgrades!$T$8="Heliopause",POWER(Upgrades!$U$8,G108),1)*IF(Upgrades!$T$9="Heliopause",POWER(Upgrades!$U$9,H108),1)*IF(Upgrades!$T$10="Heliopause",POWER(Upgrades!$U$10,I108),1)*IF(Upgrades!$T$12="Heliopause",POWER(Upgrades!$U$12,K108),1))+(IF(K108=0,0,(Upgrades!$M$12+K108*Upgrades!$N$12)*POWER(Upgrades!$O$12,K108)))*(IF(Upgrades!$T$6="First Photons",POWER(Upgrades!$U$6,E108),1)*IF(Upgrades!$T$7="First Photons",POWER(Upgrades!$U$7,F108),1)*IF(Upgrades!$T$8="First Photons",POWER(Upgrades!$U$8,G108),1)*IF(Upgrades!$T$9="First Photons",POWER(Upgrades!$U$9,H108),1)*IF(Upgrades!$T$10="First Photons",POWER(Upgrades!$U$10,I108),1)*IF(Upgrades!$T$11="First Photons",POWER(Upgrades!$U$11,J108),1)))*POWER(Upgrades!$R$6,E108)*POWER(Upgrades!$R$7,F108)*POWER(Upgrades!$R$8,G108)*POWER(Upgrades!$R$9,H108)*POWER(Upgrades!$R$10,I108)*POWER(Upgrades!$R$11,J108)*POWER(Upgrades!$R$12,K108)</f>
        <v>0</v>
      </c>
      <c r="P108" s="27" t="n">
        <f aca="false">IF(L108=1,0,M108*Parameters!$B$10/60*Parameters!$B$11*10)</f>
        <v>0</v>
      </c>
      <c r="Q108" s="27" t="n">
        <f aca="false">IF(L108=1,0,O108*M108*10)</f>
        <v>0</v>
      </c>
      <c r="R108" s="27" t="n">
        <f aca="false">IF(L108=1,0,N108*10)</f>
        <v>0</v>
      </c>
      <c r="S108" s="27" t="n">
        <f aca="false">P108+Q108+R108</f>
        <v>0</v>
      </c>
      <c r="T108" s="21" t="n">
        <f aca="false">C108+S108</f>
        <v>18.6730249835055</v>
      </c>
      <c r="U108" s="34" t="str">
        <f aca="false">AX108</f>
        <v/>
      </c>
      <c r="V108" s="21" t="n">
        <f aca="false">IF(U108="",0,IF(U108="transition",0,IF(U108="SW",AG108,IF(U108="AB",AH108,IF(U108="SC",AI108,IF(U108="Mag",AJ108,IF(U108="OR",AK108,IF(U108="HP",AL108,IF(U108="FP",AM108,0)))))))))</f>
        <v>0</v>
      </c>
      <c r="W108" s="27" t="n">
        <f aca="false">IF(U108="OR",Upgrades!$F$10,IF(U108="HP",Upgrades!$F$11,IF(U108="transition",-Parameters!$B$18,0)))</f>
        <v>0</v>
      </c>
      <c r="X108" s="21" t="n">
        <f aca="false">T108-V108</f>
        <v>18.6730249835055</v>
      </c>
      <c r="Y108" s="30" t="n">
        <f aca="false">M108*Parameters!$B$10/60*Parameters!$B$11+O108*M108+N108</f>
        <v>20.55</v>
      </c>
      <c r="Z108" s="35" t="str">
        <f aca="false">IF(U108="transition","→ Tier 2 (Stellar Neighborhood)",IF(U108="FP","First Photons — light begins, system quickens",IF(U108="HP","Heliopause acquired",IF(U108="OR","Orbital Resonance — passive multiplier active",IF(AND(AO108=1,L108=0,AN108&lt;&gt;1),"Cohesion ready (waiting on completionist upgrades)","")))))</f>
        <v/>
      </c>
      <c r="AA108" s="27" t="n">
        <f aca="false">(IF(E108=0,0,(Upgrades!$G$6+E108*Upgrades!$H$6)*POWER(Upgrades!$I$6,E108)))*(IF(Upgrades!$T$7="Solar Wind",POWER(Upgrades!$U$7,F108),1)*IF(Upgrades!$T$8="Solar Wind",POWER(Upgrades!$U$8,G108),1)*IF(Upgrades!$T$9="Solar Wind",POWER(Upgrades!$U$9,H108),1)*IF(Upgrades!$T$10="Solar Wind",POWER(Upgrades!$U$10,I108),1)*IF(Upgrades!$T$11="Solar Wind",POWER(Upgrades!$U$11,J108),1)*IF(Upgrades!$T$12="Solar Wind",POWER(Upgrades!$U$12,K108),1))*POWER(Upgrades!$P$6,E108)*POWER(Upgrades!$P$7,F108)*POWER(Upgrades!$P$8,G108)*POWER(Upgrades!$P$9,H108)*POWER(Upgrades!$P$10,I108)*POWER(Upgrades!$P$11,J108)*POWER(Upgrades!$P$12,K108)*60</f>
        <v>72</v>
      </c>
      <c r="AB108" s="27" t="n">
        <f aca="false">(IF(F108=0,0,(Upgrades!$G$7+F108*Upgrades!$H$7)*POWER(Upgrades!$I$7,F108)))*(IF(Upgrades!$T$6="Asteroid Belt",POWER(Upgrades!$U$6,E108),1)*IF(Upgrades!$T$8="Asteroid Belt",POWER(Upgrades!$U$8,G108),1)*IF(Upgrades!$T$9="Asteroid Belt",POWER(Upgrades!$U$9,H108),1)*IF(Upgrades!$T$10="Asteroid Belt",POWER(Upgrades!$U$10,I108),1)*IF(Upgrades!$T$11="Asteroid Belt",POWER(Upgrades!$U$11,J108),1)*IF(Upgrades!$T$12="Asteroid Belt",POWER(Upgrades!$U$12,K108),1))*POWER(Upgrades!$P$6,E108)*POWER(Upgrades!$P$7,F108)*POWER(Upgrades!$P$8,G108)*POWER(Upgrades!$P$9,H108)*POWER(Upgrades!$P$10,I108)*POWER(Upgrades!$P$11,J108)*POWER(Upgrades!$P$12,K108)*60</f>
        <v>150</v>
      </c>
      <c r="AC108" s="27" t="n">
        <f aca="false">(IF(G108=0,0,(Upgrades!$J$8+G108*Upgrades!$K$8)*POWER(Upgrades!$L$8,G108)))*(IF(Upgrades!$T$6="Stellar Coupling",POWER(Upgrades!$U$6,E108),1)*IF(Upgrades!$T$7="Stellar Coupling",POWER(Upgrades!$U$7,F108),1)*IF(Upgrades!$T$9="Stellar Coupling",POWER(Upgrades!$U$9,H108),1)*IF(Upgrades!$T$10="Stellar Coupling",POWER(Upgrades!$U$10,I108),1)*IF(Upgrades!$T$11="Stellar Coupling",POWER(Upgrades!$U$11,J108),1)*IF(Upgrades!$T$12="Stellar Coupling",POWER(Upgrades!$U$12,K108),1))*POWER(Upgrades!$Q$6,E108)*POWER(Upgrades!$Q$7,F108)*POWER(Upgrades!$Q$8,G108)*POWER(Upgrades!$Q$9,H108)*POWER(Upgrades!$Q$10,I108)*POWER(Upgrades!$Q$11,J108)*POWER(Upgrades!$Q$12,K108)*Parameters!$B$10*Parameters!$B$11</f>
        <v>441</v>
      </c>
      <c r="AD108" s="27" t="n">
        <f aca="false">(IF(H108=0,0,(Upgrades!$G$9+H108*Upgrades!$H$9)*POWER(Upgrades!$I$9,H108)))*(IF(Upgrades!$T$6="Magnetosphere",POWER(Upgrades!$U$6,E108),1)*IF(Upgrades!$T$7="Magnetosphere",POWER(Upgrades!$U$7,F108),1)*IF(Upgrades!$T$8="Magnetosphere",POWER(Upgrades!$U$8,G108),1)*IF(Upgrades!$T$10="Magnetosphere",POWER(Upgrades!$U$10,I108),1)*IF(Upgrades!$T$11="Magnetosphere",POWER(Upgrades!$U$11,J108),1)*IF(Upgrades!$T$12="Magnetosphere",POWER(Upgrades!$U$12,K108),1))*POWER(Upgrades!$P$6,E108)*POWER(Upgrades!$P$7,F108)*POWER(Upgrades!$P$8,G108)*POWER(Upgrades!$P$9,H108)*POWER(Upgrades!$P$10,I108)*POWER(Upgrades!$P$11,J108)*POWER(Upgrades!$P$12,K108)*60</f>
        <v>375</v>
      </c>
      <c r="AE108" s="27" t="n">
        <f aca="false">(IF(K108=0,0,(Upgrades!$G$12+K108*Upgrades!$H$12)*POWER(Upgrades!$I$12,K108)))*(IF(Upgrades!$T$6="First Photons",POWER(Upgrades!$U$6,E108),1)*IF(Upgrades!$T$7="First Photons",POWER(Upgrades!$U$7,F108),1)*IF(Upgrades!$T$8="First Photons",POWER(Upgrades!$U$8,G108),1)*IF(Upgrades!$T$9="First Photons",POWER(Upgrades!$U$9,H108),1)*IF(Upgrades!$T$10="First Photons",POWER(Upgrades!$U$10,I108),1)*IF(Upgrades!$T$11="First Photons",POWER(Upgrades!$U$11,J108),1))*POWER(Upgrades!$P$6,E108)*POWER(Upgrades!$P$7,F108)*POWER(Upgrades!$P$8,G108)*POWER(Upgrades!$P$9,H108)*POWER(Upgrades!$P$10,I108)*POWER(Upgrades!$P$11,J108)*POWER(Upgrades!$P$12,K108)*60</f>
        <v>75</v>
      </c>
      <c r="AF108" s="27" t="n">
        <f aca="false">Parameters!$B$9*POWER(Upgrades!$Q$6,E108)*POWER(Upgrades!$Q$7,F108)*POWER(Upgrades!$Q$8,G108)*POWER(Upgrades!$Q$9,H108)*POWER(Upgrades!$Q$10,I108)*POWER(Upgrades!$Q$11,J108)*POWER(Upgrades!$Q$12,K108)*(Parameters!$B$10*Parameters!$B$11+O108*60)</f>
        <v>120</v>
      </c>
      <c r="AG108" s="21" t="n">
        <f aca="false">IF(E108&gt;=Upgrades!$E$6,"",Upgrades!$C$6*POWER(Upgrades!$D$6,E108))</f>
        <v>37.4517507383159</v>
      </c>
      <c r="AH108" s="21" t="n">
        <f aca="false">IF(F108&gt;=Upgrades!$E$7,"",Upgrades!$C$7*POWER(Upgrades!$D$7,F108))</f>
        <v>80.9111547141581</v>
      </c>
      <c r="AI108" s="21" t="n">
        <f aca="false">IF(G108&gt;=Upgrades!$E$8,"",Upgrades!$C$8*POWER(Upgrades!$D$8,G108))</f>
        <v>231.9097088</v>
      </c>
      <c r="AJ108" s="21" t="str">
        <f aca="false">IF(H108&gt;=Upgrades!$E$9,"",Upgrades!$C$9*POWER(Upgrades!$D$9,H108))</f>
        <v/>
      </c>
      <c r="AK108" s="21" t="str">
        <f aca="false">IF(I108&gt;=Upgrades!$E$10,"",Upgrades!$C$10*POWER(Upgrades!$D$10,I108))</f>
        <v/>
      </c>
      <c r="AL108" s="21" t="str">
        <f aca="false">IF(J108&gt;=Upgrades!$E$11,"",Upgrades!$C$11*POWER(Upgrades!$D$11,J108))</f>
        <v/>
      </c>
      <c r="AM108" s="21" t="str">
        <f aca="false">IF(K108&gt;=Upgrades!$E$12,"",Upgrades!$C$12*POWER(Upgrades!$D$12,K108))</f>
        <v/>
      </c>
      <c r="AN108" s="26" t="str">
        <f aca="false">IF(AND(D108&gt;=Parameters!$B$18,(H108&gt;=Upgrades!$E$9)*(K108&gt;=Upgrades!$E$12)=1,L108=0),1,"")</f>
        <v/>
      </c>
      <c r="AO108" s="26" t="str">
        <f aca="false">IF(AND(D108&gt;=Parameters!$B$18,L108=0),1,"")</f>
        <v/>
      </c>
      <c r="AP108" s="21" t="n">
        <f aca="false">MIN(IF(ISNUMBER(AK108),AK108,9000000000000000),IF(ISNUMBER(AL108),AL108,9000000000000000),IF(ISNUMBER(AM108),AM108,9000000000000000))</f>
        <v>9000000000000000</v>
      </c>
      <c r="AQ108" s="21" t="n">
        <f aca="false">MIN(IF(ISNUMBER(AG108),AG108,9000000000000000),IF(ISNUMBER(AH108),AH108,9000000000000000),IF(ISNUMBER(AI108),AI108,9000000000000000),IF(ISNUMBER(AJ108),AJ108,9000000000000000))</f>
        <v>37.4517507383159</v>
      </c>
      <c r="AR108" s="32" t="b">
        <f aca="false">IF(AW108&gt;Parameters!$B$21*(MAX(IF(AND(NOT(AND(AO108=1,AN108&lt;&gt;1)),ISNUMBER(AG108),AG108&lt;=T108),AS108,0),IF(AND(NOT(AND(AO108=1,AN108&lt;&gt;1)),ISNUMBER(AH108),AH108&lt;=T108),AT108,0),IF(AND(NOT(AND(AO108=1,AN108&lt;&gt;1)),ISNUMBER(AI108),AI108&lt;=T108),AU108,0),IF(AND(ISNUMBER(AJ108),AJ108&lt;=T108),AV108,0))),TRUE(),FALSE())</f>
        <v>1</v>
      </c>
      <c r="AS108" s="33" t="n">
        <f aca="false">IFERROR(Upgrades!$H$6*(POWER(Upgrades!$P$6,E108)*POWER(Upgrades!$P$7,F108)*POWER(Upgrades!$P$8,G108)*POWER(Upgrades!$P$9,H108)*POWER(Upgrades!$P$10,I108)*POWER(Upgrades!$P$11,J108)*POWER(Upgrades!$P$12,K108))*(IF(Upgrades!$T$7="Solar Wind",POWER(Upgrades!$U$7,F108),1)*IF(Upgrades!$T$8="Solar Wind",POWER(Upgrades!$U$8,G108),1)*IF(Upgrades!$T$9="Solar Wind",POWER(Upgrades!$U$9,H108),1)*IF(Upgrades!$T$10="Solar Wind",POWER(Upgrades!$U$10,I108),1)*IF(Upgrades!$T$11="Solar Wind",POWER(Upgrades!$U$11,J108),1)*IF(Upgrades!$T$12="Solar Wind",POWER(Upgrades!$U$12,K108),1))/AG108,0)</f>
        <v>0.0026701021455238</v>
      </c>
      <c r="AT108" s="33" t="n">
        <f aca="false">IFERROR(Upgrades!$H$7*(POWER(Upgrades!$P$6,E108)*POWER(Upgrades!$P$7,F108)*POWER(Upgrades!$P$8,G108)*POWER(Upgrades!$P$9,H108)*POWER(Upgrades!$P$10,I108)*POWER(Upgrades!$P$11,J108)*POWER(Upgrades!$P$12,K108))*(IF(Upgrades!$T$6="Asteroid Belt",POWER(Upgrades!$U$6,E108),1)*IF(Upgrades!$T$8="Asteroid Belt",POWER(Upgrades!$U$8,G108),1)*IF(Upgrades!$T$9="Asteroid Belt",POWER(Upgrades!$U$9,H108),1)*IF(Upgrades!$T$10="Asteroid Belt",POWER(Upgrades!$U$10,I108),1)*IF(Upgrades!$T$11="Asteroid Belt",POWER(Upgrades!$U$11,J108),1)*IF(Upgrades!$T$12="Asteroid Belt",POWER(Upgrades!$U$12,K108),1))/AH108,0)</f>
        <v>0.00308980882652332</v>
      </c>
      <c r="AU108" s="33" t="n">
        <f aca="false">IFERROR(Upgrades!$K$8*(POWER(Upgrades!$Q$6,E108)*POWER(Upgrades!$Q$7,F108)*POWER(Upgrades!$Q$8,G108)*POWER(Upgrades!$Q$9,H108)*POWER(Upgrades!$Q$10,I108)*POWER(Upgrades!$Q$11,J108)*POWER(Upgrades!$Q$12,K108))*(IF(Upgrades!$T$6="Stellar Coupling",POWER(Upgrades!$U$6,E108),1)*IF(Upgrades!$T$7="Stellar Coupling",POWER(Upgrades!$U$7,F108),1)*IF(Upgrades!$T$9="Stellar Coupling",POWER(Upgrades!$U$9,H108),1)*IF(Upgrades!$T$10="Stellar Coupling",POWER(Upgrades!$U$10,I108),1)*IF(Upgrades!$T$11="Stellar Coupling",POWER(Upgrades!$U$11,J108),1)*IF(Upgrades!$T$12="Stellar Coupling",POWER(Upgrades!$U$12,K108),1))*Parameters!$B$10*Parameters!$B$11/60/AI108,0)</f>
        <v>0.00452762415783776</v>
      </c>
      <c r="AV108" s="33" t="n">
        <f aca="false">IFERROR(Upgrades!$H$9*(POWER(Upgrades!$P$6,E108)*POWER(Upgrades!$P$7,F108)*POWER(Upgrades!$P$8,G108)*POWER(Upgrades!$P$9,H108)*POWER(Upgrades!$P$10,I108)*POWER(Upgrades!$P$11,J108)*POWER(Upgrades!$P$12,K108))*(IF(Upgrades!$T$6="Magnetosphere",POWER(Upgrades!$U$6,E108),1)*IF(Upgrades!$T$7="Magnetosphere",POWER(Upgrades!$U$7,F108),1)*IF(Upgrades!$T$8="Magnetosphere",POWER(Upgrades!$U$8,G108),1)*IF(Upgrades!$T$10="Magnetosphere",POWER(Upgrades!$U$10,I108),1)*IF(Upgrades!$T$11="Magnetosphere",POWER(Upgrades!$U$11,J108),1)*IF(Upgrades!$T$12="Magnetosphere",POWER(Upgrades!$U$12,K108),1))/AJ108,0)</f>
        <v>0</v>
      </c>
      <c r="AW108" s="33" t="n">
        <f aca="false">MAX(IF(I108&gt;0,0,IFERROR(0.25*N108/Upgrades!$C$10,0)),IF(J108&gt;0,0,IFERROR(0.5*((IF(G108=0,0,(Upgrades!$J$8+G108*Upgrades!$K$8)*POWER(Upgrades!$L$8,G108)))*(IF(Upgrades!$T$6="Stellar Coupling",POWER(Upgrades!$U$6,E108),1)*IF(Upgrades!$T$7="Stellar Coupling",POWER(Upgrades!$U$7,F108),1)*IF(Upgrades!$T$9="Stellar Coupling",POWER(Upgrades!$U$9,H108),1)*IF(Upgrades!$T$10="Stellar Coupling",POWER(Upgrades!$U$10,I108),1)*IF(Upgrades!$T$11="Stellar Coupling",POWER(Upgrades!$U$11,J108),1)*IF(Upgrades!$T$12="Stellar Coupling",POWER(Upgrades!$U$12,K108),1))*(POWER(Upgrades!$Q$6,E108)*POWER(Upgrades!$Q$7,F108)*POWER(Upgrades!$Q$8,G108)*POWER(Upgrades!$Q$9,H108)*POWER(Upgrades!$Q$10,I108)*POWER(Upgrades!$Q$11,J108)*POWER(Upgrades!$Q$12,K108))*Parameters!$B$10*Parameters!$B$11/60)/Upgrades!$C$11,0)),IF(K108&gt;0,0,IFERROR((1*(POWER(Upgrades!$P$6,E108)*POWER(Upgrades!$P$7,F108)*POWER(Upgrades!$P$8,G108)*POWER(Upgrades!$P$9,H108)*POWER(Upgrades!$P$10,I108)*POWER(Upgrades!$P$11,J108)*POWER(Upgrades!$P$12,K108))+0.2*M108*Parameters!$B$10*Parameters!$B$11/60)/Upgrades!$C$12,0)),IF(AND(ISNUMBER(AG108),AG108&gt;T108),AS108,0),IF(AND(ISNUMBER(AH108),AH108&gt;T108),AT108,0),IF(AND(ISNUMBER(AI108),AI108&gt;T108),AU108,0),IF(AND(ISNUMBER(AJ108),AJ108&gt;T108),AV108,0))</f>
        <v>0.00452762415783776</v>
      </c>
      <c r="AX108" s="29" t="str">
        <f aca="false">IF(AN108=1,"transition",IF(MIN(IF(AND(I108=0,ISNUMBER(AK108),AK108&lt;=T108),AK108,9000000000000000),IF(AND(J108=0,ISNUMBER(AL108),AL108&lt;=T108),AL108,9000000000000000),IF(AND(K108=0,ISNUMBER(AM108),AM108&lt;=T108),AM108,9000000000000000))&lt;9000000000000000,IF(AND(AND(I108=0,ISNUMBER(AK108),AK108&lt;=T108),AK108=MIN(IF(AND(I108=0,ISNUMBER(AK108),AK108&lt;=T108),AK108,9000000000000000),IF(AND(J108=0,ISNUMBER(AL108),AL108&lt;=T108),AL108,9000000000000000),IF(AND(K108=0,ISNUMBER(AM108),AM108&lt;=T108),AM108,9000000000000000))),"OR",IF(AND(AND(J108=0,ISNUMBER(AL108),AL108&lt;=T108),AL108=MIN(IF(AND(I108=0,ISNUMBER(AK108),AK108&lt;=T108),AK108,9000000000000000),IF(AND(J108=0,ISNUMBER(AL108),AL108&lt;=T108),AL108,9000000000000000),IF(AND(K108=0,ISNUMBER(AM108),AM108&lt;=T108),AM108,9000000000000000))),"HP","FP")),IF(AR108=TRUE(),"",IF(MAX(IF(AND(NOT(AND(AO108=1,AN108&lt;&gt;1)),ISNUMBER(AG108),AG108&lt;=T108),AS108,0),IF(AND(NOT(AND(AO108=1,AN108&lt;&gt;1)),ISNUMBER(AH108),AH108&lt;=T108),AT108,0),IF(AND(NOT(AND(AO108=1,AN108&lt;&gt;1)),ISNUMBER(AI108),AI108&lt;=T108),AU108,0),IF(AND(ISNUMBER(AJ108),AJ108&lt;=T108),AV108,0))&lt;=0,"",IF(AND(IF(AND(NOT(AND(AO108=1,AN108&lt;&gt;1)),ISNUMBER(AG108),AG108&lt;=T108),AS108,0)&gt;0,IF(AND(NOT(AND(AO108=1,AN108&lt;&gt;1)),ISNUMBER(AG108),AG108&lt;=T108),AS108,0)=MAX(IF(AND(NOT(AND(AO108=1,AN108&lt;&gt;1)),ISNUMBER(AG108),AG108&lt;=T108),AS108,0),IF(AND(NOT(AND(AO108=1,AN108&lt;&gt;1)),ISNUMBER(AH108),AH108&lt;=T108),AT108,0),IF(AND(NOT(AND(AO108=1,AN108&lt;&gt;1)),ISNUMBER(AI108),AI108&lt;=T108),AU108,0),IF(AND(ISNUMBER(AJ108),AJ108&lt;=T108),AV108,0))),"SW",IF(AND(IF(AND(NOT(AND(AO108=1,AN108&lt;&gt;1)),ISNUMBER(AH108),AH108&lt;=T108),AT108,0)&gt;0,IF(AND(NOT(AND(AO108=1,AN108&lt;&gt;1)),ISNUMBER(AH108),AH108&lt;=T108),AT108,0)=MAX(IF(AND(NOT(AND(AO108=1,AN108&lt;&gt;1)),ISNUMBER(AG108),AG108&lt;=T108),AS108,0),IF(AND(NOT(AND(AO108=1,AN108&lt;&gt;1)),ISNUMBER(AH108),AH108&lt;=T108),AT108,0),IF(AND(NOT(AND(AO108=1,AN108&lt;&gt;1)),ISNUMBER(AI108),AI108&lt;=T108),AU108,0),IF(AND(ISNUMBER(AJ108),AJ108&lt;=T108),AV108,0))),"AB",IF(AND(IF(AND(NOT(AND(AO108=1,AN108&lt;&gt;1)),ISNUMBER(AI108),AI108&lt;=T108),AU108,0)&gt;0,IF(AND(NOT(AND(AO108=1,AN108&lt;&gt;1)),ISNUMBER(AI108),AI108&lt;=T108),AU108,0)=MAX(IF(AND(NOT(AND(AO108=1,AN108&lt;&gt;1)),ISNUMBER(AG108),AG108&lt;=T108),AS108,0),IF(AND(NOT(AND(AO108=1,AN108&lt;&gt;1)),ISNUMBER(AH108),AH108&lt;=T108),AT108,0),IF(AND(NOT(AND(AO108=1,AN108&lt;&gt;1)),ISNUMBER(AI108),AI108&lt;=T108),AU108,0),IF(AND(ISNUMBER(AJ108),AJ108&lt;=T108),AV108,0))),"SC","Mag")))))))</f>
        <v/>
      </c>
    </row>
    <row r="109" customFormat="false" ht="15" hidden="false" customHeight="false" outlineLevel="0" collapsed="false">
      <c r="A109" s="26" t="n">
        <v>104</v>
      </c>
      <c r="B109" s="27" t="n">
        <f aca="false">A109*10/60</f>
        <v>17.3333333333333</v>
      </c>
      <c r="C109" s="21" t="n">
        <f aca="false">X108</f>
        <v>18.6730249835055</v>
      </c>
      <c r="D109" s="27" t="n">
        <f aca="false">D108+W108</f>
        <v>0</v>
      </c>
      <c r="E109" s="26" t="n">
        <f aca="false">E108+IF(U108="SW",1,0)</f>
        <v>12</v>
      </c>
      <c r="F109" s="26" t="n">
        <f aca="false">F108+IF(U108="AB",1,0)</f>
        <v>10</v>
      </c>
      <c r="G109" s="26" t="n">
        <f aca="false">G108+IF(U108="SC",1,0)</f>
        <v>7</v>
      </c>
      <c r="H109" s="26" t="n">
        <f aca="false">H108+IF(U108="Mag",1,0)</f>
        <v>5</v>
      </c>
      <c r="I109" s="26" t="n">
        <f aca="false">MAX(I108,IF(U108="OR",1,0))</f>
        <v>1</v>
      </c>
      <c r="J109" s="26" t="n">
        <f aca="false">MAX(J108,IF(U108="HP",1,0))</f>
        <v>1</v>
      </c>
      <c r="K109" s="26" t="n">
        <f aca="false">MAX(K108,IF(U108="FP",1,0))</f>
        <v>1</v>
      </c>
      <c r="L109" s="26" t="n">
        <f aca="false">MAX(L108,IF(U108="transition",1,0))</f>
        <v>1</v>
      </c>
      <c r="M109" s="28" t="n">
        <f aca="false">(Parameters!$B$9+(IF(E109=0,0,(Upgrades!$J$6+E109*Upgrades!$K$6)*POWER(Upgrades!$L$6,E109)))*(IF(Upgrades!$T$7="Solar Wind",POWER(Upgrades!$U$7,F109),1)*IF(Upgrades!$T$8="Solar Wind",POWER(Upgrades!$U$8,G109),1)*IF(Upgrades!$T$9="Solar Wind",POWER(Upgrades!$U$9,H109),1)*IF(Upgrades!$T$10="Solar Wind",POWER(Upgrades!$U$10,I109),1)*IF(Upgrades!$T$11="Solar Wind",POWER(Upgrades!$U$11,J109),1)*IF(Upgrades!$T$12="Solar Wind",POWER(Upgrades!$U$12,K109),1))+(IF(F109=0,0,(Upgrades!$J$7+F109*Upgrades!$K$7)*POWER(Upgrades!$L$7,F109)))*(IF(Upgrades!$T$6="Asteroid Belt",POWER(Upgrades!$U$6,E109),1)*IF(Upgrades!$T$8="Asteroid Belt",POWER(Upgrades!$U$8,G109),1)*IF(Upgrades!$T$9="Asteroid Belt",POWER(Upgrades!$U$9,H109),1)*IF(Upgrades!$T$10="Asteroid Belt",POWER(Upgrades!$U$10,I109),1)*IF(Upgrades!$T$11="Asteroid Belt",POWER(Upgrades!$U$11,J109),1)*IF(Upgrades!$T$12="Asteroid Belt",POWER(Upgrades!$U$12,K109),1))+(IF(G109=0,0,(Upgrades!$J$8+G109*Upgrades!$K$8)*POWER(Upgrades!$L$8,G109)))*(IF(Upgrades!$T$6="Stellar Coupling",POWER(Upgrades!$U$6,E109),1)*IF(Upgrades!$T$7="Stellar Coupling",POWER(Upgrades!$U$7,F109),1)*IF(Upgrades!$T$9="Stellar Coupling",POWER(Upgrades!$U$9,H109),1)*IF(Upgrades!$T$10="Stellar Coupling",POWER(Upgrades!$U$10,I109),1)*IF(Upgrades!$T$11="Stellar Coupling",POWER(Upgrades!$U$11,J109),1)*IF(Upgrades!$T$12="Stellar Coupling",POWER(Upgrades!$U$12,K109),1))+(IF(H109=0,0,(Upgrades!$J$9+H109*Upgrades!$K$9)*POWER(Upgrades!$L$9,H109)))*(IF(Upgrades!$T$6="Magnetosphere",POWER(Upgrades!$U$6,E109),1)*IF(Upgrades!$T$7="Magnetosphere",POWER(Upgrades!$U$7,F109),1)*IF(Upgrades!$T$8="Magnetosphere",POWER(Upgrades!$U$8,G109),1)*IF(Upgrades!$T$10="Magnetosphere",POWER(Upgrades!$U$10,I109),1)*IF(Upgrades!$T$11="Magnetosphere",POWER(Upgrades!$U$11,J109),1)*IF(Upgrades!$T$12="Magnetosphere",POWER(Upgrades!$U$12,K109),1))+(IF(I109=0,0,(Upgrades!$J$10+I109*Upgrades!$K$10)*POWER(Upgrades!$L$10,I109)))*(IF(Upgrades!$T$6="Orbital Resonance",POWER(Upgrades!$U$6,E109),1)*IF(Upgrades!$T$7="Orbital Resonance",POWER(Upgrades!$U$7,F109),1)*IF(Upgrades!$T$8="Orbital Resonance",POWER(Upgrades!$U$8,G109),1)*IF(Upgrades!$T$9="Orbital Resonance",POWER(Upgrades!$U$9,H109),1)*IF(Upgrades!$T$11="Orbital Resonance",POWER(Upgrades!$U$11,J109),1)*IF(Upgrades!$T$12="Orbital Resonance",POWER(Upgrades!$U$12,K109),1))+(IF(J109=0,0,(Upgrades!$J$11+J109*Upgrades!$K$11)*POWER(Upgrades!$L$11,J109)))*(IF(Upgrades!$T$6="Heliopause",POWER(Upgrades!$U$6,E109),1)*IF(Upgrades!$T$7="Heliopause",POWER(Upgrades!$U$7,F109),1)*IF(Upgrades!$T$8="Heliopause",POWER(Upgrades!$U$8,G109),1)*IF(Upgrades!$T$9="Heliopause",POWER(Upgrades!$U$9,H109),1)*IF(Upgrades!$T$10="Heliopause",POWER(Upgrades!$U$10,I109),1)*IF(Upgrades!$T$12="Heliopause",POWER(Upgrades!$U$12,K109),1))+(IF(K109=0,0,(Upgrades!$J$12+K109*Upgrades!$K$12)*POWER(Upgrades!$L$12,K109)))*(IF(Upgrades!$T$6="First Photons",POWER(Upgrades!$U$6,E109),1)*IF(Upgrades!$T$7="First Photons",POWER(Upgrades!$U$7,F109),1)*IF(Upgrades!$T$8="First Photons",POWER(Upgrades!$U$8,G109),1)*IF(Upgrades!$T$9="First Photons",POWER(Upgrades!$U$9,H109),1)*IF(Upgrades!$T$10="First Photons",POWER(Upgrades!$U$10,I109),1)*IF(Upgrades!$T$11="First Photons",POWER(Upgrades!$U$11,J109),1)))*POWER(Upgrades!$Q$6,E109)*POWER(Upgrades!$Q$7,F109)*POWER(Upgrades!$Q$8,G109)*POWER(Upgrades!$Q$9,H109)*POWER(Upgrades!$Q$10,I109)*POWER(Upgrades!$Q$11,J109)*POWER(Upgrades!$Q$12,K109)</f>
        <v>5.61</v>
      </c>
      <c r="N109" s="28" t="n">
        <f aca="false">((IF(E109=0,0,(Upgrades!$G$6+E109*Upgrades!$H$6)*POWER(Upgrades!$I$6,E109)))*(IF(Upgrades!$T$7="Solar Wind",POWER(Upgrades!$U$7,F109),1)*IF(Upgrades!$T$8="Solar Wind",POWER(Upgrades!$U$8,G109),1)*IF(Upgrades!$T$9="Solar Wind",POWER(Upgrades!$U$9,H109),1)*IF(Upgrades!$T$10="Solar Wind",POWER(Upgrades!$U$10,I109),1)*IF(Upgrades!$T$11="Solar Wind",POWER(Upgrades!$U$11,J109),1)*IF(Upgrades!$T$12="Solar Wind",POWER(Upgrades!$U$12,K109),1))+(IF(F109=0,0,(Upgrades!$G$7+F109*Upgrades!$H$7)*POWER(Upgrades!$I$7,F109)))*(IF(Upgrades!$T$6="Asteroid Belt",POWER(Upgrades!$U$6,E109),1)*IF(Upgrades!$T$8="Asteroid Belt",POWER(Upgrades!$U$8,G109),1)*IF(Upgrades!$T$9="Asteroid Belt",POWER(Upgrades!$U$9,H109),1)*IF(Upgrades!$T$10="Asteroid Belt",POWER(Upgrades!$U$10,I109),1)*IF(Upgrades!$T$11="Asteroid Belt",POWER(Upgrades!$U$11,J109),1)*IF(Upgrades!$T$12="Asteroid Belt",POWER(Upgrades!$U$12,K109),1))+(IF(G109=0,0,(Upgrades!$G$8+G109*Upgrades!$H$8)*POWER(Upgrades!$I$8,G109)))*(IF(Upgrades!$T$6="Stellar Coupling",POWER(Upgrades!$U$6,E109),1)*IF(Upgrades!$T$7="Stellar Coupling",POWER(Upgrades!$U$7,F109),1)*IF(Upgrades!$T$9="Stellar Coupling",POWER(Upgrades!$U$9,H109),1)*IF(Upgrades!$T$10="Stellar Coupling",POWER(Upgrades!$U$10,I109),1)*IF(Upgrades!$T$11="Stellar Coupling",POWER(Upgrades!$U$11,J109),1)*IF(Upgrades!$T$12="Stellar Coupling",POWER(Upgrades!$U$12,K109),1))+(IF(H109=0,0,(Upgrades!$G$9+H109*Upgrades!$H$9)*POWER(Upgrades!$I$9,H109)))*(IF(Upgrades!$T$6="Magnetosphere",POWER(Upgrades!$U$6,E109),1)*IF(Upgrades!$T$7="Magnetosphere",POWER(Upgrades!$U$7,F109),1)*IF(Upgrades!$T$8="Magnetosphere",POWER(Upgrades!$U$8,G109),1)*IF(Upgrades!$T$10="Magnetosphere",POWER(Upgrades!$U$10,I109),1)*IF(Upgrades!$T$11="Magnetosphere",POWER(Upgrades!$U$11,J109),1)*IF(Upgrades!$T$12="Magnetosphere",POWER(Upgrades!$U$12,K109),1))+(IF(I109=0,0,(Upgrades!$G$10+I109*Upgrades!$H$10)*POWER(Upgrades!$I$10,I109)))*(IF(Upgrades!$T$6="Orbital Resonance",POWER(Upgrades!$U$6,E109),1)*IF(Upgrades!$T$7="Orbital Resonance",POWER(Upgrades!$U$7,F109),1)*IF(Upgrades!$T$8="Orbital Resonance",POWER(Upgrades!$U$8,G109),1)*IF(Upgrades!$T$9="Orbital Resonance",POWER(Upgrades!$U$9,H109),1)*IF(Upgrades!$T$11="Orbital Resonance",POWER(Upgrades!$U$11,J109),1)*IF(Upgrades!$T$12="Orbital Resonance",POWER(Upgrades!$U$12,K109),1))+(IF(J109=0,0,(Upgrades!$G$11+J109*Upgrades!$H$11)*POWER(Upgrades!$I$11,J109)))*(IF(Upgrades!$T$6="Heliopause",POWER(Upgrades!$U$6,E109),1)*IF(Upgrades!$T$7="Heliopause",POWER(Upgrades!$U$7,F109),1)*IF(Upgrades!$T$8="Heliopause",POWER(Upgrades!$U$8,G109),1)*IF(Upgrades!$T$9="Heliopause",POWER(Upgrades!$U$9,H109),1)*IF(Upgrades!$T$10="Heliopause",POWER(Upgrades!$U$10,I109),1)*IF(Upgrades!$T$12="Heliopause",POWER(Upgrades!$U$12,K109),1))+(IF(K109=0,0,(Upgrades!$G$12+K109*Upgrades!$H$12)*POWER(Upgrades!$I$12,K109)))*(IF(Upgrades!$T$6="First Photons",POWER(Upgrades!$U$6,E109),1)*IF(Upgrades!$T$7="First Photons",POWER(Upgrades!$U$7,F109),1)*IF(Upgrades!$T$8="First Photons",POWER(Upgrades!$U$8,G109),1)*IF(Upgrades!$T$9="First Photons",POWER(Upgrades!$U$9,H109),1)*IF(Upgrades!$T$10="First Photons",POWER(Upgrades!$U$10,I109),1)*IF(Upgrades!$T$11="First Photons",POWER(Upgrades!$U$11,J109),1)))*POWER(Upgrades!$P$6,E109)*POWER(Upgrades!$P$7,F109)*POWER(Upgrades!$P$8,G109)*POWER(Upgrades!$P$9,H109)*POWER(Upgrades!$P$10,I109)*POWER(Upgrades!$P$11,J109)*POWER(Upgrades!$P$12,K109)</f>
        <v>11.2</v>
      </c>
      <c r="O109" s="28" t="n">
        <f aca="false">((IF(E109=0,0,(Upgrades!$M$6+E109*Upgrades!$N$6)*POWER(Upgrades!$O$6,E109)))*(IF(Upgrades!$T$7="Solar Wind",POWER(Upgrades!$U$7,F109),1)*IF(Upgrades!$T$8="Solar Wind",POWER(Upgrades!$U$8,G109),1)*IF(Upgrades!$T$9="Solar Wind",POWER(Upgrades!$U$9,H109),1)*IF(Upgrades!$T$10="Solar Wind",POWER(Upgrades!$U$10,I109),1)*IF(Upgrades!$T$11="Solar Wind",POWER(Upgrades!$U$11,J109),1)*IF(Upgrades!$T$12="Solar Wind",POWER(Upgrades!$U$12,K109),1))+(IF(F109=0,0,(Upgrades!$M$7+F109*Upgrades!$N$7)*POWER(Upgrades!$O$7,F109)))*(IF(Upgrades!$T$6="Asteroid Belt",POWER(Upgrades!$U$6,E109),1)*IF(Upgrades!$T$8="Asteroid Belt",POWER(Upgrades!$U$8,G109),1)*IF(Upgrades!$T$9="Asteroid Belt",POWER(Upgrades!$U$9,H109),1)*IF(Upgrades!$T$10="Asteroid Belt",POWER(Upgrades!$U$10,I109),1)*IF(Upgrades!$T$11="Asteroid Belt",POWER(Upgrades!$U$11,J109),1)*IF(Upgrades!$T$12="Asteroid Belt",POWER(Upgrades!$U$12,K109),1))+(IF(G109=0,0,(Upgrades!$M$8+G109*Upgrades!$N$8)*POWER(Upgrades!$O$8,G109)))*(IF(Upgrades!$T$6="Stellar Coupling",POWER(Upgrades!$U$6,E109),1)*IF(Upgrades!$T$7="Stellar Coupling",POWER(Upgrades!$U$7,F109),1)*IF(Upgrades!$T$9="Stellar Coupling",POWER(Upgrades!$U$9,H109),1)*IF(Upgrades!$T$10="Stellar Coupling",POWER(Upgrades!$U$10,I109),1)*IF(Upgrades!$T$11="Stellar Coupling",POWER(Upgrades!$U$11,J109),1)*IF(Upgrades!$T$12="Stellar Coupling",POWER(Upgrades!$U$12,K109),1))+(IF(H109=0,0,(Upgrades!$M$9+H109*Upgrades!$N$9)*POWER(Upgrades!$O$9,H109)))*(IF(Upgrades!$T$6="Magnetosphere",POWER(Upgrades!$U$6,E109),1)*IF(Upgrades!$T$7="Magnetosphere",POWER(Upgrades!$U$7,F109),1)*IF(Upgrades!$T$8="Magnetosphere",POWER(Upgrades!$U$8,G109),1)*IF(Upgrades!$T$10="Magnetosphere",POWER(Upgrades!$U$10,I109),1)*IF(Upgrades!$T$11="Magnetosphere",POWER(Upgrades!$U$11,J109),1)*IF(Upgrades!$T$12="Magnetosphere",POWER(Upgrades!$U$12,K109),1))+(IF(I109=0,0,(Upgrades!$M$10+I109*Upgrades!$N$10)*POWER(Upgrades!$O$10,I109)))*(IF(Upgrades!$T$6="Orbital Resonance",POWER(Upgrades!$U$6,E109),1)*IF(Upgrades!$T$7="Orbital Resonance",POWER(Upgrades!$U$7,F109),1)*IF(Upgrades!$T$8="Orbital Resonance",POWER(Upgrades!$U$8,G109),1)*IF(Upgrades!$T$9="Orbital Resonance",POWER(Upgrades!$U$9,H109),1)*IF(Upgrades!$T$11="Orbital Resonance",POWER(Upgrades!$U$11,J109),1)*IF(Upgrades!$T$12="Orbital Resonance",POWER(Upgrades!$U$12,K109),1))+(IF(J109=0,0,(Upgrades!$M$11+J109*Upgrades!$N$11)*POWER(Upgrades!$O$11,J109)))*(IF(Upgrades!$T$6="Heliopause",POWER(Upgrades!$U$6,E109),1)*IF(Upgrades!$T$7="Heliopause",POWER(Upgrades!$U$7,F109),1)*IF(Upgrades!$T$8="Heliopause",POWER(Upgrades!$U$8,G109),1)*IF(Upgrades!$T$9="Heliopause",POWER(Upgrades!$U$9,H109),1)*IF(Upgrades!$T$10="Heliopause",POWER(Upgrades!$U$10,I109),1)*IF(Upgrades!$T$12="Heliopause",POWER(Upgrades!$U$12,K109),1))+(IF(K109=0,0,(Upgrades!$M$12+K109*Upgrades!$N$12)*POWER(Upgrades!$O$12,K109)))*(IF(Upgrades!$T$6="First Photons",POWER(Upgrades!$U$6,E109),1)*IF(Upgrades!$T$7="First Photons",POWER(Upgrades!$U$7,F109),1)*IF(Upgrades!$T$8="First Photons",POWER(Upgrades!$U$8,G109),1)*IF(Upgrades!$T$9="First Photons",POWER(Upgrades!$U$9,H109),1)*IF(Upgrades!$T$10="First Photons",POWER(Upgrades!$U$10,I109),1)*IF(Upgrades!$T$11="First Photons",POWER(Upgrades!$U$11,J109),1)))*POWER(Upgrades!$R$6,E109)*POWER(Upgrades!$R$7,F109)*POWER(Upgrades!$R$8,G109)*POWER(Upgrades!$R$9,H109)*POWER(Upgrades!$R$10,I109)*POWER(Upgrades!$R$11,J109)*POWER(Upgrades!$R$12,K109)</f>
        <v>0</v>
      </c>
      <c r="P109" s="27" t="n">
        <f aca="false">IF(L109=1,0,M109*Parameters!$B$10/60*Parameters!$B$11*10)</f>
        <v>0</v>
      </c>
      <c r="Q109" s="27" t="n">
        <f aca="false">IF(L109=1,0,O109*M109*10)</f>
        <v>0</v>
      </c>
      <c r="R109" s="27" t="n">
        <f aca="false">IF(L109=1,0,N109*10)</f>
        <v>0</v>
      </c>
      <c r="S109" s="27" t="n">
        <f aca="false">P109+Q109+R109</f>
        <v>0</v>
      </c>
      <c r="T109" s="21" t="n">
        <f aca="false">C109+S109</f>
        <v>18.6730249835055</v>
      </c>
      <c r="U109" s="34" t="str">
        <f aca="false">AX109</f>
        <v/>
      </c>
      <c r="V109" s="21" t="n">
        <f aca="false">IF(U109="",0,IF(U109="transition",0,IF(U109="SW",AG109,IF(U109="AB",AH109,IF(U109="SC",AI109,IF(U109="Mag",AJ109,IF(U109="OR",AK109,IF(U109="HP",AL109,IF(U109="FP",AM109,0)))))))))</f>
        <v>0</v>
      </c>
      <c r="W109" s="27" t="n">
        <f aca="false">IF(U109="OR",Upgrades!$F$10,IF(U109="HP",Upgrades!$F$11,IF(U109="transition",-Parameters!$B$18,0)))</f>
        <v>0</v>
      </c>
      <c r="X109" s="21" t="n">
        <f aca="false">T109-V109</f>
        <v>18.6730249835055</v>
      </c>
      <c r="Y109" s="30" t="n">
        <f aca="false">M109*Parameters!$B$10/60*Parameters!$B$11+O109*M109+N109</f>
        <v>20.55</v>
      </c>
      <c r="Z109" s="35" t="str">
        <f aca="false">IF(U109="transition","→ Tier 2 (Stellar Neighborhood)",IF(U109="FP","First Photons — light begins, system quickens",IF(U109="HP","Heliopause acquired",IF(U109="OR","Orbital Resonance — passive multiplier active",IF(AND(AO109=1,L109=0,AN109&lt;&gt;1),"Cohesion ready (waiting on completionist upgrades)","")))))</f>
        <v/>
      </c>
      <c r="AA109" s="27" t="n">
        <f aca="false">(IF(E109=0,0,(Upgrades!$G$6+E109*Upgrades!$H$6)*POWER(Upgrades!$I$6,E109)))*(IF(Upgrades!$T$7="Solar Wind",POWER(Upgrades!$U$7,F109),1)*IF(Upgrades!$T$8="Solar Wind",POWER(Upgrades!$U$8,G109),1)*IF(Upgrades!$T$9="Solar Wind",POWER(Upgrades!$U$9,H109),1)*IF(Upgrades!$T$10="Solar Wind",POWER(Upgrades!$U$10,I109),1)*IF(Upgrades!$T$11="Solar Wind",POWER(Upgrades!$U$11,J109),1)*IF(Upgrades!$T$12="Solar Wind",POWER(Upgrades!$U$12,K109),1))*POWER(Upgrades!$P$6,E109)*POWER(Upgrades!$P$7,F109)*POWER(Upgrades!$P$8,G109)*POWER(Upgrades!$P$9,H109)*POWER(Upgrades!$P$10,I109)*POWER(Upgrades!$P$11,J109)*POWER(Upgrades!$P$12,K109)*60</f>
        <v>72</v>
      </c>
      <c r="AB109" s="27" t="n">
        <f aca="false">(IF(F109=0,0,(Upgrades!$G$7+F109*Upgrades!$H$7)*POWER(Upgrades!$I$7,F109)))*(IF(Upgrades!$T$6="Asteroid Belt",POWER(Upgrades!$U$6,E109),1)*IF(Upgrades!$T$8="Asteroid Belt",POWER(Upgrades!$U$8,G109),1)*IF(Upgrades!$T$9="Asteroid Belt",POWER(Upgrades!$U$9,H109),1)*IF(Upgrades!$T$10="Asteroid Belt",POWER(Upgrades!$U$10,I109),1)*IF(Upgrades!$T$11="Asteroid Belt",POWER(Upgrades!$U$11,J109),1)*IF(Upgrades!$T$12="Asteroid Belt",POWER(Upgrades!$U$12,K109),1))*POWER(Upgrades!$P$6,E109)*POWER(Upgrades!$P$7,F109)*POWER(Upgrades!$P$8,G109)*POWER(Upgrades!$P$9,H109)*POWER(Upgrades!$P$10,I109)*POWER(Upgrades!$P$11,J109)*POWER(Upgrades!$P$12,K109)*60</f>
        <v>150</v>
      </c>
      <c r="AC109" s="27" t="n">
        <f aca="false">(IF(G109=0,0,(Upgrades!$J$8+G109*Upgrades!$K$8)*POWER(Upgrades!$L$8,G109)))*(IF(Upgrades!$T$6="Stellar Coupling",POWER(Upgrades!$U$6,E109),1)*IF(Upgrades!$T$7="Stellar Coupling",POWER(Upgrades!$U$7,F109),1)*IF(Upgrades!$T$9="Stellar Coupling",POWER(Upgrades!$U$9,H109),1)*IF(Upgrades!$T$10="Stellar Coupling",POWER(Upgrades!$U$10,I109),1)*IF(Upgrades!$T$11="Stellar Coupling",POWER(Upgrades!$U$11,J109),1)*IF(Upgrades!$T$12="Stellar Coupling",POWER(Upgrades!$U$12,K109),1))*POWER(Upgrades!$Q$6,E109)*POWER(Upgrades!$Q$7,F109)*POWER(Upgrades!$Q$8,G109)*POWER(Upgrades!$Q$9,H109)*POWER(Upgrades!$Q$10,I109)*POWER(Upgrades!$Q$11,J109)*POWER(Upgrades!$Q$12,K109)*Parameters!$B$10*Parameters!$B$11</f>
        <v>441</v>
      </c>
      <c r="AD109" s="27" t="n">
        <f aca="false">(IF(H109=0,0,(Upgrades!$G$9+H109*Upgrades!$H$9)*POWER(Upgrades!$I$9,H109)))*(IF(Upgrades!$T$6="Magnetosphere",POWER(Upgrades!$U$6,E109),1)*IF(Upgrades!$T$7="Magnetosphere",POWER(Upgrades!$U$7,F109),1)*IF(Upgrades!$T$8="Magnetosphere",POWER(Upgrades!$U$8,G109),1)*IF(Upgrades!$T$10="Magnetosphere",POWER(Upgrades!$U$10,I109),1)*IF(Upgrades!$T$11="Magnetosphere",POWER(Upgrades!$U$11,J109),1)*IF(Upgrades!$T$12="Magnetosphere",POWER(Upgrades!$U$12,K109),1))*POWER(Upgrades!$P$6,E109)*POWER(Upgrades!$P$7,F109)*POWER(Upgrades!$P$8,G109)*POWER(Upgrades!$P$9,H109)*POWER(Upgrades!$P$10,I109)*POWER(Upgrades!$P$11,J109)*POWER(Upgrades!$P$12,K109)*60</f>
        <v>375</v>
      </c>
      <c r="AE109" s="27" t="n">
        <f aca="false">(IF(K109=0,0,(Upgrades!$G$12+K109*Upgrades!$H$12)*POWER(Upgrades!$I$12,K109)))*(IF(Upgrades!$T$6="First Photons",POWER(Upgrades!$U$6,E109),1)*IF(Upgrades!$T$7="First Photons",POWER(Upgrades!$U$7,F109),1)*IF(Upgrades!$T$8="First Photons",POWER(Upgrades!$U$8,G109),1)*IF(Upgrades!$T$9="First Photons",POWER(Upgrades!$U$9,H109),1)*IF(Upgrades!$T$10="First Photons",POWER(Upgrades!$U$10,I109),1)*IF(Upgrades!$T$11="First Photons",POWER(Upgrades!$U$11,J109),1))*POWER(Upgrades!$P$6,E109)*POWER(Upgrades!$P$7,F109)*POWER(Upgrades!$P$8,G109)*POWER(Upgrades!$P$9,H109)*POWER(Upgrades!$P$10,I109)*POWER(Upgrades!$P$11,J109)*POWER(Upgrades!$P$12,K109)*60</f>
        <v>75</v>
      </c>
      <c r="AF109" s="27" t="n">
        <f aca="false">Parameters!$B$9*POWER(Upgrades!$Q$6,E109)*POWER(Upgrades!$Q$7,F109)*POWER(Upgrades!$Q$8,G109)*POWER(Upgrades!$Q$9,H109)*POWER(Upgrades!$Q$10,I109)*POWER(Upgrades!$Q$11,J109)*POWER(Upgrades!$Q$12,K109)*(Parameters!$B$10*Parameters!$B$11+O109*60)</f>
        <v>120</v>
      </c>
      <c r="AG109" s="21" t="n">
        <f aca="false">IF(E109&gt;=Upgrades!$E$6,"",Upgrades!$C$6*POWER(Upgrades!$D$6,E109))</f>
        <v>37.4517507383159</v>
      </c>
      <c r="AH109" s="21" t="n">
        <f aca="false">IF(F109&gt;=Upgrades!$E$7,"",Upgrades!$C$7*POWER(Upgrades!$D$7,F109))</f>
        <v>80.9111547141581</v>
      </c>
      <c r="AI109" s="21" t="n">
        <f aca="false">IF(G109&gt;=Upgrades!$E$8,"",Upgrades!$C$8*POWER(Upgrades!$D$8,G109))</f>
        <v>231.9097088</v>
      </c>
      <c r="AJ109" s="21" t="str">
        <f aca="false">IF(H109&gt;=Upgrades!$E$9,"",Upgrades!$C$9*POWER(Upgrades!$D$9,H109))</f>
        <v/>
      </c>
      <c r="AK109" s="21" t="str">
        <f aca="false">IF(I109&gt;=Upgrades!$E$10,"",Upgrades!$C$10*POWER(Upgrades!$D$10,I109))</f>
        <v/>
      </c>
      <c r="AL109" s="21" t="str">
        <f aca="false">IF(J109&gt;=Upgrades!$E$11,"",Upgrades!$C$11*POWER(Upgrades!$D$11,J109))</f>
        <v/>
      </c>
      <c r="AM109" s="21" t="str">
        <f aca="false">IF(K109&gt;=Upgrades!$E$12,"",Upgrades!$C$12*POWER(Upgrades!$D$12,K109))</f>
        <v/>
      </c>
      <c r="AN109" s="26" t="str">
        <f aca="false">IF(AND(D109&gt;=Parameters!$B$18,(H109&gt;=Upgrades!$E$9)*(K109&gt;=Upgrades!$E$12)=1,L109=0),1,"")</f>
        <v/>
      </c>
      <c r="AO109" s="26" t="str">
        <f aca="false">IF(AND(D109&gt;=Parameters!$B$18,L109=0),1,"")</f>
        <v/>
      </c>
      <c r="AP109" s="21" t="n">
        <f aca="false">MIN(IF(ISNUMBER(AK109),AK109,9000000000000000),IF(ISNUMBER(AL109),AL109,9000000000000000),IF(ISNUMBER(AM109),AM109,9000000000000000))</f>
        <v>9000000000000000</v>
      </c>
      <c r="AQ109" s="21" t="n">
        <f aca="false">MIN(IF(ISNUMBER(AG109),AG109,9000000000000000),IF(ISNUMBER(AH109),AH109,9000000000000000),IF(ISNUMBER(AI109),AI109,9000000000000000),IF(ISNUMBER(AJ109),AJ109,9000000000000000))</f>
        <v>37.4517507383159</v>
      </c>
      <c r="AR109" s="32" t="b">
        <f aca="false">IF(AW109&gt;Parameters!$B$21*(MAX(IF(AND(NOT(AND(AO109=1,AN109&lt;&gt;1)),ISNUMBER(AG109),AG109&lt;=T109),AS109,0),IF(AND(NOT(AND(AO109=1,AN109&lt;&gt;1)),ISNUMBER(AH109),AH109&lt;=T109),AT109,0),IF(AND(NOT(AND(AO109=1,AN109&lt;&gt;1)),ISNUMBER(AI109),AI109&lt;=T109),AU109,0),IF(AND(ISNUMBER(AJ109),AJ109&lt;=T109),AV109,0))),TRUE(),FALSE())</f>
        <v>1</v>
      </c>
      <c r="AS109" s="33" t="n">
        <f aca="false">IFERROR(Upgrades!$H$6*(POWER(Upgrades!$P$6,E109)*POWER(Upgrades!$P$7,F109)*POWER(Upgrades!$P$8,G109)*POWER(Upgrades!$P$9,H109)*POWER(Upgrades!$P$10,I109)*POWER(Upgrades!$P$11,J109)*POWER(Upgrades!$P$12,K109))*(IF(Upgrades!$T$7="Solar Wind",POWER(Upgrades!$U$7,F109),1)*IF(Upgrades!$T$8="Solar Wind",POWER(Upgrades!$U$8,G109),1)*IF(Upgrades!$T$9="Solar Wind",POWER(Upgrades!$U$9,H109),1)*IF(Upgrades!$T$10="Solar Wind",POWER(Upgrades!$U$10,I109),1)*IF(Upgrades!$T$11="Solar Wind",POWER(Upgrades!$U$11,J109),1)*IF(Upgrades!$T$12="Solar Wind",POWER(Upgrades!$U$12,K109),1))/AG109,0)</f>
        <v>0.0026701021455238</v>
      </c>
      <c r="AT109" s="33" t="n">
        <f aca="false">IFERROR(Upgrades!$H$7*(POWER(Upgrades!$P$6,E109)*POWER(Upgrades!$P$7,F109)*POWER(Upgrades!$P$8,G109)*POWER(Upgrades!$P$9,H109)*POWER(Upgrades!$P$10,I109)*POWER(Upgrades!$P$11,J109)*POWER(Upgrades!$P$12,K109))*(IF(Upgrades!$T$6="Asteroid Belt",POWER(Upgrades!$U$6,E109),1)*IF(Upgrades!$T$8="Asteroid Belt",POWER(Upgrades!$U$8,G109),1)*IF(Upgrades!$T$9="Asteroid Belt",POWER(Upgrades!$U$9,H109),1)*IF(Upgrades!$T$10="Asteroid Belt",POWER(Upgrades!$U$10,I109),1)*IF(Upgrades!$T$11="Asteroid Belt",POWER(Upgrades!$U$11,J109),1)*IF(Upgrades!$T$12="Asteroid Belt",POWER(Upgrades!$U$12,K109),1))/AH109,0)</f>
        <v>0.00308980882652332</v>
      </c>
      <c r="AU109" s="33" t="n">
        <f aca="false">IFERROR(Upgrades!$K$8*(POWER(Upgrades!$Q$6,E109)*POWER(Upgrades!$Q$7,F109)*POWER(Upgrades!$Q$8,G109)*POWER(Upgrades!$Q$9,H109)*POWER(Upgrades!$Q$10,I109)*POWER(Upgrades!$Q$11,J109)*POWER(Upgrades!$Q$12,K109))*(IF(Upgrades!$T$6="Stellar Coupling",POWER(Upgrades!$U$6,E109),1)*IF(Upgrades!$T$7="Stellar Coupling",POWER(Upgrades!$U$7,F109),1)*IF(Upgrades!$T$9="Stellar Coupling",POWER(Upgrades!$U$9,H109),1)*IF(Upgrades!$T$10="Stellar Coupling",POWER(Upgrades!$U$10,I109),1)*IF(Upgrades!$T$11="Stellar Coupling",POWER(Upgrades!$U$11,J109),1)*IF(Upgrades!$T$12="Stellar Coupling",POWER(Upgrades!$U$12,K109),1))*Parameters!$B$10*Parameters!$B$11/60/AI109,0)</f>
        <v>0.00452762415783776</v>
      </c>
      <c r="AV109" s="33" t="n">
        <f aca="false">IFERROR(Upgrades!$H$9*(POWER(Upgrades!$P$6,E109)*POWER(Upgrades!$P$7,F109)*POWER(Upgrades!$P$8,G109)*POWER(Upgrades!$P$9,H109)*POWER(Upgrades!$P$10,I109)*POWER(Upgrades!$P$11,J109)*POWER(Upgrades!$P$12,K109))*(IF(Upgrades!$T$6="Magnetosphere",POWER(Upgrades!$U$6,E109),1)*IF(Upgrades!$T$7="Magnetosphere",POWER(Upgrades!$U$7,F109),1)*IF(Upgrades!$T$8="Magnetosphere",POWER(Upgrades!$U$8,G109),1)*IF(Upgrades!$T$10="Magnetosphere",POWER(Upgrades!$U$10,I109),1)*IF(Upgrades!$T$11="Magnetosphere",POWER(Upgrades!$U$11,J109),1)*IF(Upgrades!$T$12="Magnetosphere",POWER(Upgrades!$U$12,K109),1))/AJ109,0)</f>
        <v>0</v>
      </c>
      <c r="AW109" s="33" t="n">
        <f aca="false">MAX(IF(I109&gt;0,0,IFERROR(0.25*N109/Upgrades!$C$10,0)),IF(J109&gt;0,0,IFERROR(0.5*((IF(G109=0,0,(Upgrades!$J$8+G109*Upgrades!$K$8)*POWER(Upgrades!$L$8,G109)))*(IF(Upgrades!$T$6="Stellar Coupling",POWER(Upgrades!$U$6,E109),1)*IF(Upgrades!$T$7="Stellar Coupling",POWER(Upgrades!$U$7,F109),1)*IF(Upgrades!$T$9="Stellar Coupling",POWER(Upgrades!$U$9,H109),1)*IF(Upgrades!$T$10="Stellar Coupling",POWER(Upgrades!$U$10,I109),1)*IF(Upgrades!$T$11="Stellar Coupling",POWER(Upgrades!$U$11,J109),1)*IF(Upgrades!$T$12="Stellar Coupling",POWER(Upgrades!$U$12,K109),1))*(POWER(Upgrades!$Q$6,E109)*POWER(Upgrades!$Q$7,F109)*POWER(Upgrades!$Q$8,G109)*POWER(Upgrades!$Q$9,H109)*POWER(Upgrades!$Q$10,I109)*POWER(Upgrades!$Q$11,J109)*POWER(Upgrades!$Q$12,K109))*Parameters!$B$10*Parameters!$B$11/60)/Upgrades!$C$11,0)),IF(K109&gt;0,0,IFERROR((1*(POWER(Upgrades!$P$6,E109)*POWER(Upgrades!$P$7,F109)*POWER(Upgrades!$P$8,G109)*POWER(Upgrades!$P$9,H109)*POWER(Upgrades!$P$10,I109)*POWER(Upgrades!$P$11,J109)*POWER(Upgrades!$P$12,K109))+0.2*M109*Parameters!$B$10*Parameters!$B$11/60)/Upgrades!$C$12,0)),IF(AND(ISNUMBER(AG109),AG109&gt;T109),AS109,0),IF(AND(ISNUMBER(AH109),AH109&gt;T109),AT109,0),IF(AND(ISNUMBER(AI109),AI109&gt;T109),AU109,0),IF(AND(ISNUMBER(AJ109),AJ109&gt;T109),AV109,0))</f>
        <v>0.00452762415783776</v>
      </c>
      <c r="AX109" s="29" t="str">
        <f aca="false">IF(AN109=1,"transition",IF(MIN(IF(AND(I109=0,ISNUMBER(AK109),AK109&lt;=T109),AK109,9000000000000000),IF(AND(J109=0,ISNUMBER(AL109),AL109&lt;=T109),AL109,9000000000000000),IF(AND(K109=0,ISNUMBER(AM109),AM109&lt;=T109),AM109,9000000000000000))&lt;9000000000000000,IF(AND(AND(I109=0,ISNUMBER(AK109),AK109&lt;=T109),AK109=MIN(IF(AND(I109=0,ISNUMBER(AK109),AK109&lt;=T109),AK109,9000000000000000),IF(AND(J109=0,ISNUMBER(AL109),AL109&lt;=T109),AL109,9000000000000000),IF(AND(K109=0,ISNUMBER(AM109),AM109&lt;=T109),AM109,9000000000000000))),"OR",IF(AND(AND(J109=0,ISNUMBER(AL109),AL109&lt;=T109),AL109=MIN(IF(AND(I109=0,ISNUMBER(AK109),AK109&lt;=T109),AK109,9000000000000000),IF(AND(J109=0,ISNUMBER(AL109),AL109&lt;=T109),AL109,9000000000000000),IF(AND(K109=0,ISNUMBER(AM109),AM109&lt;=T109),AM109,9000000000000000))),"HP","FP")),IF(AR109=TRUE(),"",IF(MAX(IF(AND(NOT(AND(AO109=1,AN109&lt;&gt;1)),ISNUMBER(AG109),AG109&lt;=T109),AS109,0),IF(AND(NOT(AND(AO109=1,AN109&lt;&gt;1)),ISNUMBER(AH109),AH109&lt;=T109),AT109,0),IF(AND(NOT(AND(AO109=1,AN109&lt;&gt;1)),ISNUMBER(AI109),AI109&lt;=T109),AU109,0),IF(AND(ISNUMBER(AJ109),AJ109&lt;=T109),AV109,0))&lt;=0,"",IF(AND(IF(AND(NOT(AND(AO109=1,AN109&lt;&gt;1)),ISNUMBER(AG109),AG109&lt;=T109),AS109,0)&gt;0,IF(AND(NOT(AND(AO109=1,AN109&lt;&gt;1)),ISNUMBER(AG109),AG109&lt;=T109),AS109,0)=MAX(IF(AND(NOT(AND(AO109=1,AN109&lt;&gt;1)),ISNUMBER(AG109),AG109&lt;=T109),AS109,0),IF(AND(NOT(AND(AO109=1,AN109&lt;&gt;1)),ISNUMBER(AH109),AH109&lt;=T109),AT109,0),IF(AND(NOT(AND(AO109=1,AN109&lt;&gt;1)),ISNUMBER(AI109),AI109&lt;=T109),AU109,0),IF(AND(ISNUMBER(AJ109),AJ109&lt;=T109),AV109,0))),"SW",IF(AND(IF(AND(NOT(AND(AO109=1,AN109&lt;&gt;1)),ISNUMBER(AH109),AH109&lt;=T109),AT109,0)&gt;0,IF(AND(NOT(AND(AO109=1,AN109&lt;&gt;1)),ISNUMBER(AH109),AH109&lt;=T109),AT109,0)=MAX(IF(AND(NOT(AND(AO109=1,AN109&lt;&gt;1)),ISNUMBER(AG109),AG109&lt;=T109),AS109,0),IF(AND(NOT(AND(AO109=1,AN109&lt;&gt;1)),ISNUMBER(AH109),AH109&lt;=T109),AT109,0),IF(AND(NOT(AND(AO109=1,AN109&lt;&gt;1)),ISNUMBER(AI109),AI109&lt;=T109),AU109,0),IF(AND(ISNUMBER(AJ109),AJ109&lt;=T109),AV109,0))),"AB",IF(AND(IF(AND(NOT(AND(AO109=1,AN109&lt;&gt;1)),ISNUMBER(AI109),AI109&lt;=T109),AU109,0)&gt;0,IF(AND(NOT(AND(AO109=1,AN109&lt;&gt;1)),ISNUMBER(AI109),AI109&lt;=T109),AU109,0)=MAX(IF(AND(NOT(AND(AO109=1,AN109&lt;&gt;1)),ISNUMBER(AG109),AG109&lt;=T109),AS109,0),IF(AND(NOT(AND(AO109=1,AN109&lt;&gt;1)),ISNUMBER(AH109),AH109&lt;=T109),AT109,0),IF(AND(NOT(AND(AO109=1,AN109&lt;&gt;1)),ISNUMBER(AI109),AI109&lt;=T109),AU109,0),IF(AND(ISNUMBER(AJ109),AJ109&lt;=T109),AV109,0))),"SC","Mag")))))))</f>
        <v/>
      </c>
    </row>
    <row r="110" customFormat="false" ht="15" hidden="false" customHeight="false" outlineLevel="0" collapsed="false">
      <c r="A110" s="26" t="n">
        <v>105</v>
      </c>
      <c r="B110" s="27" t="n">
        <f aca="false">A110*10/60</f>
        <v>17.5</v>
      </c>
      <c r="C110" s="21" t="n">
        <f aca="false">X109</f>
        <v>18.6730249835055</v>
      </c>
      <c r="D110" s="27" t="n">
        <f aca="false">D109+W109</f>
        <v>0</v>
      </c>
      <c r="E110" s="26" t="n">
        <f aca="false">E109+IF(U109="SW",1,0)</f>
        <v>12</v>
      </c>
      <c r="F110" s="26" t="n">
        <f aca="false">F109+IF(U109="AB",1,0)</f>
        <v>10</v>
      </c>
      <c r="G110" s="26" t="n">
        <f aca="false">G109+IF(U109="SC",1,0)</f>
        <v>7</v>
      </c>
      <c r="H110" s="26" t="n">
        <f aca="false">H109+IF(U109="Mag",1,0)</f>
        <v>5</v>
      </c>
      <c r="I110" s="26" t="n">
        <f aca="false">MAX(I109,IF(U109="OR",1,0))</f>
        <v>1</v>
      </c>
      <c r="J110" s="26" t="n">
        <f aca="false">MAX(J109,IF(U109="HP",1,0))</f>
        <v>1</v>
      </c>
      <c r="K110" s="26" t="n">
        <f aca="false">MAX(K109,IF(U109="FP",1,0))</f>
        <v>1</v>
      </c>
      <c r="L110" s="26" t="n">
        <f aca="false">MAX(L109,IF(U109="transition",1,0))</f>
        <v>1</v>
      </c>
      <c r="M110" s="28" t="n">
        <f aca="false">(Parameters!$B$9+(IF(E110=0,0,(Upgrades!$J$6+E110*Upgrades!$K$6)*POWER(Upgrades!$L$6,E110)))*(IF(Upgrades!$T$7="Solar Wind",POWER(Upgrades!$U$7,F110),1)*IF(Upgrades!$T$8="Solar Wind",POWER(Upgrades!$U$8,G110),1)*IF(Upgrades!$T$9="Solar Wind",POWER(Upgrades!$U$9,H110),1)*IF(Upgrades!$T$10="Solar Wind",POWER(Upgrades!$U$10,I110),1)*IF(Upgrades!$T$11="Solar Wind",POWER(Upgrades!$U$11,J110),1)*IF(Upgrades!$T$12="Solar Wind",POWER(Upgrades!$U$12,K110),1))+(IF(F110=0,0,(Upgrades!$J$7+F110*Upgrades!$K$7)*POWER(Upgrades!$L$7,F110)))*(IF(Upgrades!$T$6="Asteroid Belt",POWER(Upgrades!$U$6,E110),1)*IF(Upgrades!$T$8="Asteroid Belt",POWER(Upgrades!$U$8,G110),1)*IF(Upgrades!$T$9="Asteroid Belt",POWER(Upgrades!$U$9,H110),1)*IF(Upgrades!$T$10="Asteroid Belt",POWER(Upgrades!$U$10,I110),1)*IF(Upgrades!$T$11="Asteroid Belt",POWER(Upgrades!$U$11,J110),1)*IF(Upgrades!$T$12="Asteroid Belt",POWER(Upgrades!$U$12,K110),1))+(IF(G110=0,0,(Upgrades!$J$8+G110*Upgrades!$K$8)*POWER(Upgrades!$L$8,G110)))*(IF(Upgrades!$T$6="Stellar Coupling",POWER(Upgrades!$U$6,E110),1)*IF(Upgrades!$T$7="Stellar Coupling",POWER(Upgrades!$U$7,F110),1)*IF(Upgrades!$T$9="Stellar Coupling",POWER(Upgrades!$U$9,H110),1)*IF(Upgrades!$T$10="Stellar Coupling",POWER(Upgrades!$U$10,I110),1)*IF(Upgrades!$T$11="Stellar Coupling",POWER(Upgrades!$U$11,J110),1)*IF(Upgrades!$T$12="Stellar Coupling",POWER(Upgrades!$U$12,K110),1))+(IF(H110=0,0,(Upgrades!$J$9+H110*Upgrades!$K$9)*POWER(Upgrades!$L$9,H110)))*(IF(Upgrades!$T$6="Magnetosphere",POWER(Upgrades!$U$6,E110),1)*IF(Upgrades!$T$7="Magnetosphere",POWER(Upgrades!$U$7,F110),1)*IF(Upgrades!$T$8="Magnetosphere",POWER(Upgrades!$U$8,G110),1)*IF(Upgrades!$T$10="Magnetosphere",POWER(Upgrades!$U$10,I110),1)*IF(Upgrades!$T$11="Magnetosphere",POWER(Upgrades!$U$11,J110),1)*IF(Upgrades!$T$12="Magnetosphere",POWER(Upgrades!$U$12,K110),1))+(IF(I110=0,0,(Upgrades!$J$10+I110*Upgrades!$K$10)*POWER(Upgrades!$L$10,I110)))*(IF(Upgrades!$T$6="Orbital Resonance",POWER(Upgrades!$U$6,E110),1)*IF(Upgrades!$T$7="Orbital Resonance",POWER(Upgrades!$U$7,F110),1)*IF(Upgrades!$T$8="Orbital Resonance",POWER(Upgrades!$U$8,G110),1)*IF(Upgrades!$T$9="Orbital Resonance",POWER(Upgrades!$U$9,H110),1)*IF(Upgrades!$T$11="Orbital Resonance",POWER(Upgrades!$U$11,J110),1)*IF(Upgrades!$T$12="Orbital Resonance",POWER(Upgrades!$U$12,K110),1))+(IF(J110=0,0,(Upgrades!$J$11+J110*Upgrades!$K$11)*POWER(Upgrades!$L$11,J110)))*(IF(Upgrades!$T$6="Heliopause",POWER(Upgrades!$U$6,E110),1)*IF(Upgrades!$T$7="Heliopause",POWER(Upgrades!$U$7,F110),1)*IF(Upgrades!$T$8="Heliopause",POWER(Upgrades!$U$8,G110),1)*IF(Upgrades!$T$9="Heliopause",POWER(Upgrades!$U$9,H110),1)*IF(Upgrades!$T$10="Heliopause",POWER(Upgrades!$U$10,I110),1)*IF(Upgrades!$T$12="Heliopause",POWER(Upgrades!$U$12,K110),1))+(IF(K110=0,0,(Upgrades!$J$12+K110*Upgrades!$K$12)*POWER(Upgrades!$L$12,K110)))*(IF(Upgrades!$T$6="First Photons",POWER(Upgrades!$U$6,E110),1)*IF(Upgrades!$T$7="First Photons",POWER(Upgrades!$U$7,F110),1)*IF(Upgrades!$T$8="First Photons",POWER(Upgrades!$U$8,G110),1)*IF(Upgrades!$T$9="First Photons",POWER(Upgrades!$U$9,H110),1)*IF(Upgrades!$T$10="First Photons",POWER(Upgrades!$U$10,I110),1)*IF(Upgrades!$T$11="First Photons",POWER(Upgrades!$U$11,J110),1)))*POWER(Upgrades!$Q$6,E110)*POWER(Upgrades!$Q$7,F110)*POWER(Upgrades!$Q$8,G110)*POWER(Upgrades!$Q$9,H110)*POWER(Upgrades!$Q$10,I110)*POWER(Upgrades!$Q$11,J110)*POWER(Upgrades!$Q$12,K110)</f>
        <v>5.61</v>
      </c>
      <c r="N110" s="28" t="n">
        <f aca="false">((IF(E110=0,0,(Upgrades!$G$6+E110*Upgrades!$H$6)*POWER(Upgrades!$I$6,E110)))*(IF(Upgrades!$T$7="Solar Wind",POWER(Upgrades!$U$7,F110),1)*IF(Upgrades!$T$8="Solar Wind",POWER(Upgrades!$U$8,G110),1)*IF(Upgrades!$T$9="Solar Wind",POWER(Upgrades!$U$9,H110),1)*IF(Upgrades!$T$10="Solar Wind",POWER(Upgrades!$U$10,I110),1)*IF(Upgrades!$T$11="Solar Wind",POWER(Upgrades!$U$11,J110),1)*IF(Upgrades!$T$12="Solar Wind",POWER(Upgrades!$U$12,K110),1))+(IF(F110=0,0,(Upgrades!$G$7+F110*Upgrades!$H$7)*POWER(Upgrades!$I$7,F110)))*(IF(Upgrades!$T$6="Asteroid Belt",POWER(Upgrades!$U$6,E110),1)*IF(Upgrades!$T$8="Asteroid Belt",POWER(Upgrades!$U$8,G110),1)*IF(Upgrades!$T$9="Asteroid Belt",POWER(Upgrades!$U$9,H110),1)*IF(Upgrades!$T$10="Asteroid Belt",POWER(Upgrades!$U$10,I110),1)*IF(Upgrades!$T$11="Asteroid Belt",POWER(Upgrades!$U$11,J110),1)*IF(Upgrades!$T$12="Asteroid Belt",POWER(Upgrades!$U$12,K110),1))+(IF(G110=0,0,(Upgrades!$G$8+G110*Upgrades!$H$8)*POWER(Upgrades!$I$8,G110)))*(IF(Upgrades!$T$6="Stellar Coupling",POWER(Upgrades!$U$6,E110),1)*IF(Upgrades!$T$7="Stellar Coupling",POWER(Upgrades!$U$7,F110),1)*IF(Upgrades!$T$9="Stellar Coupling",POWER(Upgrades!$U$9,H110),1)*IF(Upgrades!$T$10="Stellar Coupling",POWER(Upgrades!$U$10,I110),1)*IF(Upgrades!$T$11="Stellar Coupling",POWER(Upgrades!$U$11,J110),1)*IF(Upgrades!$T$12="Stellar Coupling",POWER(Upgrades!$U$12,K110),1))+(IF(H110=0,0,(Upgrades!$G$9+H110*Upgrades!$H$9)*POWER(Upgrades!$I$9,H110)))*(IF(Upgrades!$T$6="Magnetosphere",POWER(Upgrades!$U$6,E110),1)*IF(Upgrades!$T$7="Magnetosphere",POWER(Upgrades!$U$7,F110),1)*IF(Upgrades!$T$8="Magnetosphere",POWER(Upgrades!$U$8,G110),1)*IF(Upgrades!$T$10="Magnetosphere",POWER(Upgrades!$U$10,I110),1)*IF(Upgrades!$T$11="Magnetosphere",POWER(Upgrades!$U$11,J110),1)*IF(Upgrades!$T$12="Magnetosphere",POWER(Upgrades!$U$12,K110),1))+(IF(I110=0,0,(Upgrades!$G$10+I110*Upgrades!$H$10)*POWER(Upgrades!$I$10,I110)))*(IF(Upgrades!$T$6="Orbital Resonance",POWER(Upgrades!$U$6,E110),1)*IF(Upgrades!$T$7="Orbital Resonance",POWER(Upgrades!$U$7,F110),1)*IF(Upgrades!$T$8="Orbital Resonance",POWER(Upgrades!$U$8,G110),1)*IF(Upgrades!$T$9="Orbital Resonance",POWER(Upgrades!$U$9,H110),1)*IF(Upgrades!$T$11="Orbital Resonance",POWER(Upgrades!$U$11,J110),1)*IF(Upgrades!$T$12="Orbital Resonance",POWER(Upgrades!$U$12,K110),1))+(IF(J110=0,0,(Upgrades!$G$11+J110*Upgrades!$H$11)*POWER(Upgrades!$I$11,J110)))*(IF(Upgrades!$T$6="Heliopause",POWER(Upgrades!$U$6,E110),1)*IF(Upgrades!$T$7="Heliopause",POWER(Upgrades!$U$7,F110),1)*IF(Upgrades!$T$8="Heliopause",POWER(Upgrades!$U$8,G110),1)*IF(Upgrades!$T$9="Heliopause",POWER(Upgrades!$U$9,H110),1)*IF(Upgrades!$T$10="Heliopause",POWER(Upgrades!$U$10,I110),1)*IF(Upgrades!$T$12="Heliopause",POWER(Upgrades!$U$12,K110),1))+(IF(K110=0,0,(Upgrades!$G$12+K110*Upgrades!$H$12)*POWER(Upgrades!$I$12,K110)))*(IF(Upgrades!$T$6="First Photons",POWER(Upgrades!$U$6,E110),1)*IF(Upgrades!$T$7="First Photons",POWER(Upgrades!$U$7,F110),1)*IF(Upgrades!$T$8="First Photons",POWER(Upgrades!$U$8,G110),1)*IF(Upgrades!$T$9="First Photons",POWER(Upgrades!$U$9,H110),1)*IF(Upgrades!$T$10="First Photons",POWER(Upgrades!$U$10,I110),1)*IF(Upgrades!$T$11="First Photons",POWER(Upgrades!$U$11,J110),1)))*POWER(Upgrades!$P$6,E110)*POWER(Upgrades!$P$7,F110)*POWER(Upgrades!$P$8,G110)*POWER(Upgrades!$P$9,H110)*POWER(Upgrades!$P$10,I110)*POWER(Upgrades!$P$11,J110)*POWER(Upgrades!$P$12,K110)</f>
        <v>11.2</v>
      </c>
      <c r="O110" s="28" t="n">
        <f aca="false">((IF(E110=0,0,(Upgrades!$M$6+E110*Upgrades!$N$6)*POWER(Upgrades!$O$6,E110)))*(IF(Upgrades!$T$7="Solar Wind",POWER(Upgrades!$U$7,F110),1)*IF(Upgrades!$T$8="Solar Wind",POWER(Upgrades!$U$8,G110),1)*IF(Upgrades!$T$9="Solar Wind",POWER(Upgrades!$U$9,H110),1)*IF(Upgrades!$T$10="Solar Wind",POWER(Upgrades!$U$10,I110),1)*IF(Upgrades!$T$11="Solar Wind",POWER(Upgrades!$U$11,J110),1)*IF(Upgrades!$T$12="Solar Wind",POWER(Upgrades!$U$12,K110),1))+(IF(F110=0,0,(Upgrades!$M$7+F110*Upgrades!$N$7)*POWER(Upgrades!$O$7,F110)))*(IF(Upgrades!$T$6="Asteroid Belt",POWER(Upgrades!$U$6,E110),1)*IF(Upgrades!$T$8="Asteroid Belt",POWER(Upgrades!$U$8,G110),1)*IF(Upgrades!$T$9="Asteroid Belt",POWER(Upgrades!$U$9,H110),1)*IF(Upgrades!$T$10="Asteroid Belt",POWER(Upgrades!$U$10,I110),1)*IF(Upgrades!$T$11="Asteroid Belt",POWER(Upgrades!$U$11,J110),1)*IF(Upgrades!$T$12="Asteroid Belt",POWER(Upgrades!$U$12,K110),1))+(IF(G110=0,0,(Upgrades!$M$8+G110*Upgrades!$N$8)*POWER(Upgrades!$O$8,G110)))*(IF(Upgrades!$T$6="Stellar Coupling",POWER(Upgrades!$U$6,E110),1)*IF(Upgrades!$T$7="Stellar Coupling",POWER(Upgrades!$U$7,F110),1)*IF(Upgrades!$T$9="Stellar Coupling",POWER(Upgrades!$U$9,H110),1)*IF(Upgrades!$T$10="Stellar Coupling",POWER(Upgrades!$U$10,I110),1)*IF(Upgrades!$T$11="Stellar Coupling",POWER(Upgrades!$U$11,J110),1)*IF(Upgrades!$T$12="Stellar Coupling",POWER(Upgrades!$U$12,K110),1))+(IF(H110=0,0,(Upgrades!$M$9+H110*Upgrades!$N$9)*POWER(Upgrades!$O$9,H110)))*(IF(Upgrades!$T$6="Magnetosphere",POWER(Upgrades!$U$6,E110),1)*IF(Upgrades!$T$7="Magnetosphere",POWER(Upgrades!$U$7,F110),1)*IF(Upgrades!$T$8="Magnetosphere",POWER(Upgrades!$U$8,G110),1)*IF(Upgrades!$T$10="Magnetosphere",POWER(Upgrades!$U$10,I110),1)*IF(Upgrades!$T$11="Magnetosphere",POWER(Upgrades!$U$11,J110),1)*IF(Upgrades!$T$12="Magnetosphere",POWER(Upgrades!$U$12,K110),1))+(IF(I110=0,0,(Upgrades!$M$10+I110*Upgrades!$N$10)*POWER(Upgrades!$O$10,I110)))*(IF(Upgrades!$T$6="Orbital Resonance",POWER(Upgrades!$U$6,E110),1)*IF(Upgrades!$T$7="Orbital Resonance",POWER(Upgrades!$U$7,F110),1)*IF(Upgrades!$T$8="Orbital Resonance",POWER(Upgrades!$U$8,G110),1)*IF(Upgrades!$T$9="Orbital Resonance",POWER(Upgrades!$U$9,H110),1)*IF(Upgrades!$T$11="Orbital Resonance",POWER(Upgrades!$U$11,J110),1)*IF(Upgrades!$T$12="Orbital Resonance",POWER(Upgrades!$U$12,K110),1))+(IF(J110=0,0,(Upgrades!$M$11+J110*Upgrades!$N$11)*POWER(Upgrades!$O$11,J110)))*(IF(Upgrades!$T$6="Heliopause",POWER(Upgrades!$U$6,E110),1)*IF(Upgrades!$T$7="Heliopause",POWER(Upgrades!$U$7,F110),1)*IF(Upgrades!$T$8="Heliopause",POWER(Upgrades!$U$8,G110),1)*IF(Upgrades!$T$9="Heliopause",POWER(Upgrades!$U$9,H110),1)*IF(Upgrades!$T$10="Heliopause",POWER(Upgrades!$U$10,I110),1)*IF(Upgrades!$T$12="Heliopause",POWER(Upgrades!$U$12,K110),1))+(IF(K110=0,0,(Upgrades!$M$12+K110*Upgrades!$N$12)*POWER(Upgrades!$O$12,K110)))*(IF(Upgrades!$T$6="First Photons",POWER(Upgrades!$U$6,E110),1)*IF(Upgrades!$T$7="First Photons",POWER(Upgrades!$U$7,F110),1)*IF(Upgrades!$T$8="First Photons",POWER(Upgrades!$U$8,G110),1)*IF(Upgrades!$T$9="First Photons",POWER(Upgrades!$U$9,H110),1)*IF(Upgrades!$T$10="First Photons",POWER(Upgrades!$U$10,I110),1)*IF(Upgrades!$T$11="First Photons",POWER(Upgrades!$U$11,J110),1)))*POWER(Upgrades!$R$6,E110)*POWER(Upgrades!$R$7,F110)*POWER(Upgrades!$R$8,G110)*POWER(Upgrades!$R$9,H110)*POWER(Upgrades!$R$10,I110)*POWER(Upgrades!$R$11,J110)*POWER(Upgrades!$R$12,K110)</f>
        <v>0</v>
      </c>
      <c r="P110" s="27" t="n">
        <f aca="false">IF(L110=1,0,M110*Parameters!$B$10/60*Parameters!$B$11*10)</f>
        <v>0</v>
      </c>
      <c r="Q110" s="27" t="n">
        <f aca="false">IF(L110=1,0,O110*M110*10)</f>
        <v>0</v>
      </c>
      <c r="R110" s="27" t="n">
        <f aca="false">IF(L110=1,0,N110*10)</f>
        <v>0</v>
      </c>
      <c r="S110" s="27" t="n">
        <f aca="false">P110+Q110+R110</f>
        <v>0</v>
      </c>
      <c r="T110" s="21" t="n">
        <f aca="false">C110+S110</f>
        <v>18.6730249835055</v>
      </c>
      <c r="U110" s="34" t="str">
        <f aca="false">AX110</f>
        <v/>
      </c>
      <c r="V110" s="21" t="n">
        <f aca="false">IF(U110="",0,IF(U110="transition",0,IF(U110="SW",AG110,IF(U110="AB",AH110,IF(U110="SC",AI110,IF(U110="Mag",AJ110,IF(U110="OR",AK110,IF(U110="HP",AL110,IF(U110="FP",AM110,0)))))))))</f>
        <v>0</v>
      </c>
      <c r="W110" s="27" t="n">
        <f aca="false">IF(U110="OR",Upgrades!$F$10,IF(U110="HP",Upgrades!$F$11,IF(U110="transition",-Parameters!$B$18,0)))</f>
        <v>0</v>
      </c>
      <c r="X110" s="21" t="n">
        <f aca="false">T110-V110</f>
        <v>18.6730249835055</v>
      </c>
      <c r="Y110" s="30" t="n">
        <f aca="false">M110*Parameters!$B$10/60*Parameters!$B$11+O110*M110+N110</f>
        <v>20.55</v>
      </c>
      <c r="Z110" s="35" t="str">
        <f aca="false">IF(U110="transition","→ Tier 2 (Stellar Neighborhood)",IF(U110="FP","First Photons — light begins, system quickens",IF(U110="HP","Heliopause acquired",IF(U110="OR","Orbital Resonance — passive multiplier active",IF(AND(AO110=1,L110=0,AN110&lt;&gt;1),"Cohesion ready (waiting on completionist upgrades)","")))))</f>
        <v/>
      </c>
      <c r="AA110" s="27" t="n">
        <f aca="false">(IF(E110=0,0,(Upgrades!$G$6+E110*Upgrades!$H$6)*POWER(Upgrades!$I$6,E110)))*(IF(Upgrades!$T$7="Solar Wind",POWER(Upgrades!$U$7,F110),1)*IF(Upgrades!$T$8="Solar Wind",POWER(Upgrades!$U$8,G110),1)*IF(Upgrades!$T$9="Solar Wind",POWER(Upgrades!$U$9,H110),1)*IF(Upgrades!$T$10="Solar Wind",POWER(Upgrades!$U$10,I110),1)*IF(Upgrades!$T$11="Solar Wind",POWER(Upgrades!$U$11,J110),1)*IF(Upgrades!$T$12="Solar Wind",POWER(Upgrades!$U$12,K110),1))*POWER(Upgrades!$P$6,E110)*POWER(Upgrades!$P$7,F110)*POWER(Upgrades!$P$8,G110)*POWER(Upgrades!$P$9,H110)*POWER(Upgrades!$P$10,I110)*POWER(Upgrades!$P$11,J110)*POWER(Upgrades!$P$12,K110)*60</f>
        <v>72</v>
      </c>
      <c r="AB110" s="27" t="n">
        <f aca="false">(IF(F110=0,0,(Upgrades!$G$7+F110*Upgrades!$H$7)*POWER(Upgrades!$I$7,F110)))*(IF(Upgrades!$T$6="Asteroid Belt",POWER(Upgrades!$U$6,E110),1)*IF(Upgrades!$T$8="Asteroid Belt",POWER(Upgrades!$U$8,G110),1)*IF(Upgrades!$T$9="Asteroid Belt",POWER(Upgrades!$U$9,H110),1)*IF(Upgrades!$T$10="Asteroid Belt",POWER(Upgrades!$U$10,I110),1)*IF(Upgrades!$T$11="Asteroid Belt",POWER(Upgrades!$U$11,J110),1)*IF(Upgrades!$T$12="Asteroid Belt",POWER(Upgrades!$U$12,K110),1))*POWER(Upgrades!$P$6,E110)*POWER(Upgrades!$P$7,F110)*POWER(Upgrades!$P$8,G110)*POWER(Upgrades!$P$9,H110)*POWER(Upgrades!$P$10,I110)*POWER(Upgrades!$P$11,J110)*POWER(Upgrades!$P$12,K110)*60</f>
        <v>150</v>
      </c>
      <c r="AC110" s="27" t="n">
        <f aca="false">(IF(G110=0,0,(Upgrades!$J$8+G110*Upgrades!$K$8)*POWER(Upgrades!$L$8,G110)))*(IF(Upgrades!$T$6="Stellar Coupling",POWER(Upgrades!$U$6,E110),1)*IF(Upgrades!$T$7="Stellar Coupling",POWER(Upgrades!$U$7,F110),1)*IF(Upgrades!$T$9="Stellar Coupling",POWER(Upgrades!$U$9,H110),1)*IF(Upgrades!$T$10="Stellar Coupling",POWER(Upgrades!$U$10,I110),1)*IF(Upgrades!$T$11="Stellar Coupling",POWER(Upgrades!$U$11,J110),1)*IF(Upgrades!$T$12="Stellar Coupling",POWER(Upgrades!$U$12,K110),1))*POWER(Upgrades!$Q$6,E110)*POWER(Upgrades!$Q$7,F110)*POWER(Upgrades!$Q$8,G110)*POWER(Upgrades!$Q$9,H110)*POWER(Upgrades!$Q$10,I110)*POWER(Upgrades!$Q$11,J110)*POWER(Upgrades!$Q$12,K110)*Parameters!$B$10*Parameters!$B$11</f>
        <v>441</v>
      </c>
      <c r="AD110" s="27" t="n">
        <f aca="false">(IF(H110=0,0,(Upgrades!$G$9+H110*Upgrades!$H$9)*POWER(Upgrades!$I$9,H110)))*(IF(Upgrades!$T$6="Magnetosphere",POWER(Upgrades!$U$6,E110),1)*IF(Upgrades!$T$7="Magnetosphere",POWER(Upgrades!$U$7,F110),1)*IF(Upgrades!$T$8="Magnetosphere",POWER(Upgrades!$U$8,G110),1)*IF(Upgrades!$T$10="Magnetosphere",POWER(Upgrades!$U$10,I110),1)*IF(Upgrades!$T$11="Magnetosphere",POWER(Upgrades!$U$11,J110),1)*IF(Upgrades!$T$12="Magnetosphere",POWER(Upgrades!$U$12,K110),1))*POWER(Upgrades!$P$6,E110)*POWER(Upgrades!$P$7,F110)*POWER(Upgrades!$P$8,G110)*POWER(Upgrades!$P$9,H110)*POWER(Upgrades!$P$10,I110)*POWER(Upgrades!$P$11,J110)*POWER(Upgrades!$P$12,K110)*60</f>
        <v>375</v>
      </c>
      <c r="AE110" s="27" t="n">
        <f aca="false">(IF(K110=0,0,(Upgrades!$G$12+K110*Upgrades!$H$12)*POWER(Upgrades!$I$12,K110)))*(IF(Upgrades!$T$6="First Photons",POWER(Upgrades!$U$6,E110),1)*IF(Upgrades!$T$7="First Photons",POWER(Upgrades!$U$7,F110),1)*IF(Upgrades!$T$8="First Photons",POWER(Upgrades!$U$8,G110),1)*IF(Upgrades!$T$9="First Photons",POWER(Upgrades!$U$9,H110),1)*IF(Upgrades!$T$10="First Photons",POWER(Upgrades!$U$10,I110),1)*IF(Upgrades!$T$11="First Photons",POWER(Upgrades!$U$11,J110),1))*POWER(Upgrades!$P$6,E110)*POWER(Upgrades!$P$7,F110)*POWER(Upgrades!$P$8,G110)*POWER(Upgrades!$P$9,H110)*POWER(Upgrades!$P$10,I110)*POWER(Upgrades!$P$11,J110)*POWER(Upgrades!$P$12,K110)*60</f>
        <v>75</v>
      </c>
      <c r="AF110" s="27" t="n">
        <f aca="false">Parameters!$B$9*POWER(Upgrades!$Q$6,E110)*POWER(Upgrades!$Q$7,F110)*POWER(Upgrades!$Q$8,G110)*POWER(Upgrades!$Q$9,H110)*POWER(Upgrades!$Q$10,I110)*POWER(Upgrades!$Q$11,J110)*POWER(Upgrades!$Q$12,K110)*(Parameters!$B$10*Parameters!$B$11+O110*60)</f>
        <v>120</v>
      </c>
      <c r="AG110" s="21" t="n">
        <f aca="false">IF(E110&gt;=Upgrades!$E$6,"",Upgrades!$C$6*POWER(Upgrades!$D$6,E110))</f>
        <v>37.4517507383159</v>
      </c>
      <c r="AH110" s="21" t="n">
        <f aca="false">IF(F110&gt;=Upgrades!$E$7,"",Upgrades!$C$7*POWER(Upgrades!$D$7,F110))</f>
        <v>80.9111547141581</v>
      </c>
      <c r="AI110" s="21" t="n">
        <f aca="false">IF(G110&gt;=Upgrades!$E$8,"",Upgrades!$C$8*POWER(Upgrades!$D$8,G110))</f>
        <v>231.9097088</v>
      </c>
      <c r="AJ110" s="21" t="str">
        <f aca="false">IF(H110&gt;=Upgrades!$E$9,"",Upgrades!$C$9*POWER(Upgrades!$D$9,H110))</f>
        <v/>
      </c>
      <c r="AK110" s="21" t="str">
        <f aca="false">IF(I110&gt;=Upgrades!$E$10,"",Upgrades!$C$10*POWER(Upgrades!$D$10,I110))</f>
        <v/>
      </c>
      <c r="AL110" s="21" t="str">
        <f aca="false">IF(J110&gt;=Upgrades!$E$11,"",Upgrades!$C$11*POWER(Upgrades!$D$11,J110))</f>
        <v/>
      </c>
      <c r="AM110" s="21" t="str">
        <f aca="false">IF(K110&gt;=Upgrades!$E$12,"",Upgrades!$C$12*POWER(Upgrades!$D$12,K110))</f>
        <v/>
      </c>
      <c r="AN110" s="26" t="str">
        <f aca="false">IF(AND(D110&gt;=Parameters!$B$18,(H110&gt;=Upgrades!$E$9)*(K110&gt;=Upgrades!$E$12)=1,L110=0),1,"")</f>
        <v/>
      </c>
      <c r="AO110" s="26" t="str">
        <f aca="false">IF(AND(D110&gt;=Parameters!$B$18,L110=0),1,"")</f>
        <v/>
      </c>
      <c r="AP110" s="21" t="n">
        <f aca="false">MIN(IF(ISNUMBER(AK110),AK110,9000000000000000),IF(ISNUMBER(AL110),AL110,9000000000000000),IF(ISNUMBER(AM110),AM110,9000000000000000))</f>
        <v>9000000000000000</v>
      </c>
      <c r="AQ110" s="21" t="n">
        <f aca="false">MIN(IF(ISNUMBER(AG110),AG110,9000000000000000),IF(ISNUMBER(AH110),AH110,9000000000000000),IF(ISNUMBER(AI110),AI110,9000000000000000),IF(ISNUMBER(AJ110),AJ110,9000000000000000))</f>
        <v>37.4517507383159</v>
      </c>
      <c r="AR110" s="32" t="b">
        <f aca="false">IF(AW110&gt;Parameters!$B$21*(MAX(IF(AND(NOT(AND(AO110=1,AN110&lt;&gt;1)),ISNUMBER(AG110),AG110&lt;=T110),AS110,0),IF(AND(NOT(AND(AO110=1,AN110&lt;&gt;1)),ISNUMBER(AH110),AH110&lt;=T110),AT110,0),IF(AND(NOT(AND(AO110=1,AN110&lt;&gt;1)),ISNUMBER(AI110),AI110&lt;=T110),AU110,0),IF(AND(ISNUMBER(AJ110),AJ110&lt;=T110),AV110,0))),TRUE(),FALSE())</f>
        <v>1</v>
      </c>
      <c r="AS110" s="33" t="n">
        <f aca="false">IFERROR(Upgrades!$H$6*(POWER(Upgrades!$P$6,E110)*POWER(Upgrades!$P$7,F110)*POWER(Upgrades!$P$8,G110)*POWER(Upgrades!$P$9,H110)*POWER(Upgrades!$P$10,I110)*POWER(Upgrades!$P$11,J110)*POWER(Upgrades!$P$12,K110))*(IF(Upgrades!$T$7="Solar Wind",POWER(Upgrades!$U$7,F110),1)*IF(Upgrades!$T$8="Solar Wind",POWER(Upgrades!$U$8,G110),1)*IF(Upgrades!$T$9="Solar Wind",POWER(Upgrades!$U$9,H110),1)*IF(Upgrades!$T$10="Solar Wind",POWER(Upgrades!$U$10,I110),1)*IF(Upgrades!$T$11="Solar Wind",POWER(Upgrades!$U$11,J110),1)*IF(Upgrades!$T$12="Solar Wind",POWER(Upgrades!$U$12,K110),1))/AG110,0)</f>
        <v>0.0026701021455238</v>
      </c>
      <c r="AT110" s="33" t="n">
        <f aca="false">IFERROR(Upgrades!$H$7*(POWER(Upgrades!$P$6,E110)*POWER(Upgrades!$P$7,F110)*POWER(Upgrades!$P$8,G110)*POWER(Upgrades!$P$9,H110)*POWER(Upgrades!$P$10,I110)*POWER(Upgrades!$P$11,J110)*POWER(Upgrades!$P$12,K110))*(IF(Upgrades!$T$6="Asteroid Belt",POWER(Upgrades!$U$6,E110),1)*IF(Upgrades!$T$8="Asteroid Belt",POWER(Upgrades!$U$8,G110),1)*IF(Upgrades!$T$9="Asteroid Belt",POWER(Upgrades!$U$9,H110),1)*IF(Upgrades!$T$10="Asteroid Belt",POWER(Upgrades!$U$10,I110),1)*IF(Upgrades!$T$11="Asteroid Belt",POWER(Upgrades!$U$11,J110),1)*IF(Upgrades!$T$12="Asteroid Belt",POWER(Upgrades!$U$12,K110),1))/AH110,0)</f>
        <v>0.00308980882652332</v>
      </c>
      <c r="AU110" s="33" t="n">
        <f aca="false">IFERROR(Upgrades!$K$8*(POWER(Upgrades!$Q$6,E110)*POWER(Upgrades!$Q$7,F110)*POWER(Upgrades!$Q$8,G110)*POWER(Upgrades!$Q$9,H110)*POWER(Upgrades!$Q$10,I110)*POWER(Upgrades!$Q$11,J110)*POWER(Upgrades!$Q$12,K110))*(IF(Upgrades!$T$6="Stellar Coupling",POWER(Upgrades!$U$6,E110),1)*IF(Upgrades!$T$7="Stellar Coupling",POWER(Upgrades!$U$7,F110),1)*IF(Upgrades!$T$9="Stellar Coupling",POWER(Upgrades!$U$9,H110),1)*IF(Upgrades!$T$10="Stellar Coupling",POWER(Upgrades!$U$10,I110),1)*IF(Upgrades!$T$11="Stellar Coupling",POWER(Upgrades!$U$11,J110),1)*IF(Upgrades!$T$12="Stellar Coupling",POWER(Upgrades!$U$12,K110),1))*Parameters!$B$10*Parameters!$B$11/60/AI110,0)</f>
        <v>0.00452762415783776</v>
      </c>
      <c r="AV110" s="33" t="n">
        <f aca="false">IFERROR(Upgrades!$H$9*(POWER(Upgrades!$P$6,E110)*POWER(Upgrades!$P$7,F110)*POWER(Upgrades!$P$8,G110)*POWER(Upgrades!$P$9,H110)*POWER(Upgrades!$P$10,I110)*POWER(Upgrades!$P$11,J110)*POWER(Upgrades!$P$12,K110))*(IF(Upgrades!$T$6="Magnetosphere",POWER(Upgrades!$U$6,E110),1)*IF(Upgrades!$T$7="Magnetosphere",POWER(Upgrades!$U$7,F110),1)*IF(Upgrades!$T$8="Magnetosphere",POWER(Upgrades!$U$8,G110),1)*IF(Upgrades!$T$10="Magnetosphere",POWER(Upgrades!$U$10,I110),1)*IF(Upgrades!$T$11="Magnetosphere",POWER(Upgrades!$U$11,J110),1)*IF(Upgrades!$T$12="Magnetosphere",POWER(Upgrades!$U$12,K110),1))/AJ110,0)</f>
        <v>0</v>
      </c>
      <c r="AW110" s="33" t="n">
        <f aca="false">MAX(IF(I110&gt;0,0,IFERROR(0.25*N110/Upgrades!$C$10,0)),IF(J110&gt;0,0,IFERROR(0.5*((IF(G110=0,0,(Upgrades!$J$8+G110*Upgrades!$K$8)*POWER(Upgrades!$L$8,G110)))*(IF(Upgrades!$T$6="Stellar Coupling",POWER(Upgrades!$U$6,E110),1)*IF(Upgrades!$T$7="Stellar Coupling",POWER(Upgrades!$U$7,F110),1)*IF(Upgrades!$T$9="Stellar Coupling",POWER(Upgrades!$U$9,H110),1)*IF(Upgrades!$T$10="Stellar Coupling",POWER(Upgrades!$U$10,I110),1)*IF(Upgrades!$T$11="Stellar Coupling",POWER(Upgrades!$U$11,J110),1)*IF(Upgrades!$T$12="Stellar Coupling",POWER(Upgrades!$U$12,K110),1))*(POWER(Upgrades!$Q$6,E110)*POWER(Upgrades!$Q$7,F110)*POWER(Upgrades!$Q$8,G110)*POWER(Upgrades!$Q$9,H110)*POWER(Upgrades!$Q$10,I110)*POWER(Upgrades!$Q$11,J110)*POWER(Upgrades!$Q$12,K110))*Parameters!$B$10*Parameters!$B$11/60)/Upgrades!$C$11,0)),IF(K110&gt;0,0,IFERROR((1*(POWER(Upgrades!$P$6,E110)*POWER(Upgrades!$P$7,F110)*POWER(Upgrades!$P$8,G110)*POWER(Upgrades!$P$9,H110)*POWER(Upgrades!$P$10,I110)*POWER(Upgrades!$P$11,J110)*POWER(Upgrades!$P$12,K110))+0.2*M110*Parameters!$B$10*Parameters!$B$11/60)/Upgrades!$C$12,0)),IF(AND(ISNUMBER(AG110),AG110&gt;T110),AS110,0),IF(AND(ISNUMBER(AH110),AH110&gt;T110),AT110,0),IF(AND(ISNUMBER(AI110),AI110&gt;T110),AU110,0),IF(AND(ISNUMBER(AJ110),AJ110&gt;T110),AV110,0))</f>
        <v>0.00452762415783776</v>
      </c>
      <c r="AX110" s="29" t="str">
        <f aca="false">IF(AN110=1,"transition",IF(MIN(IF(AND(I110=0,ISNUMBER(AK110),AK110&lt;=T110),AK110,9000000000000000),IF(AND(J110=0,ISNUMBER(AL110),AL110&lt;=T110),AL110,9000000000000000),IF(AND(K110=0,ISNUMBER(AM110),AM110&lt;=T110),AM110,9000000000000000))&lt;9000000000000000,IF(AND(AND(I110=0,ISNUMBER(AK110),AK110&lt;=T110),AK110=MIN(IF(AND(I110=0,ISNUMBER(AK110),AK110&lt;=T110),AK110,9000000000000000),IF(AND(J110=0,ISNUMBER(AL110),AL110&lt;=T110),AL110,9000000000000000),IF(AND(K110=0,ISNUMBER(AM110),AM110&lt;=T110),AM110,9000000000000000))),"OR",IF(AND(AND(J110=0,ISNUMBER(AL110),AL110&lt;=T110),AL110=MIN(IF(AND(I110=0,ISNUMBER(AK110),AK110&lt;=T110),AK110,9000000000000000),IF(AND(J110=0,ISNUMBER(AL110),AL110&lt;=T110),AL110,9000000000000000),IF(AND(K110=0,ISNUMBER(AM110),AM110&lt;=T110),AM110,9000000000000000))),"HP","FP")),IF(AR110=TRUE(),"",IF(MAX(IF(AND(NOT(AND(AO110=1,AN110&lt;&gt;1)),ISNUMBER(AG110),AG110&lt;=T110),AS110,0),IF(AND(NOT(AND(AO110=1,AN110&lt;&gt;1)),ISNUMBER(AH110),AH110&lt;=T110),AT110,0),IF(AND(NOT(AND(AO110=1,AN110&lt;&gt;1)),ISNUMBER(AI110),AI110&lt;=T110),AU110,0),IF(AND(ISNUMBER(AJ110),AJ110&lt;=T110),AV110,0))&lt;=0,"",IF(AND(IF(AND(NOT(AND(AO110=1,AN110&lt;&gt;1)),ISNUMBER(AG110),AG110&lt;=T110),AS110,0)&gt;0,IF(AND(NOT(AND(AO110=1,AN110&lt;&gt;1)),ISNUMBER(AG110),AG110&lt;=T110),AS110,0)=MAX(IF(AND(NOT(AND(AO110=1,AN110&lt;&gt;1)),ISNUMBER(AG110),AG110&lt;=T110),AS110,0),IF(AND(NOT(AND(AO110=1,AN110&lt;&gt;1)),ISNUMBER(AH110),AH110&lt;=T110),AT110,0),IF(AND(NOT(AND(AO110=1,AN110&lt;&gt;1)),ISNUMBER(AI110),AI110&lt;=T110),AU110,0),IF(AND(ISNUMBER(AJ110),AJ110&lt;=T110),AV110,0))),"SW",IF(AND(IF(AND(NOT(AND(AO110=1,AN110&lt;&gt;1)),ISNUMBER(AH110),AH110&lt;=T110),AT110,0)&gt;0,IF(AND(NOT(AND(AO110=1,AN110&lt;&gt;1)),ISNUMBER(AH110),AH110&lt;=T110),AT110,0)=MAX(IF(AND(NOT(AND(AO110=1,AN110&lt;&gt;1)),ISNUMBER(AG110),AG110&lt;=T110),AS110,0),IF(AND(NOT(AND(AO110=1,AN110&lt;&gt;1)),ISNUMBER(AH110),AH110&lt;=T110),AT110,0),IF(AND(NOT(AND(AO110=1,AN110&lt;&gt;1)),ISNUMBER(AI110),AI110&lt;=T110),AU110,0),IF(AND(ISNUMBER(AJ110),AJ110&lt;=T110),AV110,0))),"AB",IF(AND(IF(AND(NOT(AND(AO110=1,AN110&lt;&gt;1)),ISNUMBER(AI110),AI110&lt;=T110),AU110,0)&gt;0,IF(AND(NOT(AND(AO110=1,AN110&lt;&gt;1)),ISNUMBER(AI110),AI110&lt;=T110),AU110,0)=MAX(IF(AND(NOT(AND(AO110=1,AN110&lt;&gt;1)),ISNUMBER(AG110),AG110&lt;=T110),AS110,0),IF(AND(NOT(AND(AO110=1,AN110&lt;&gt;1)),ISNUMBER(AH110),AH110&lt;=T110),AT110,0),IF(AND(NOT(AND(AO110=1,AN110&lt;&gt;1)),ISNUMBER(AI110),AI110&lt;=T110),AU110,0),IF(AND(ISNUMBER(AJ110),AJ110&lt;=T110),AV110,0))),"SC","Mag")))))))</f>
        <v/>
      </c>
    </row>
    <row r="111" customFormat="false" ht="15" hidden="false" customHeight="false" outlineLevel="0" collapsed="false">
      <c r="A111" s="26" t="n">
        <v>106</v>
      </c>
      <c r="B111" s="27" t="n">
        <f aca="false">A111*10/60</f>
        <v>17.6666666666667</v>
      </c>
      <c r="C111" s="21" t="n">
        <f aca="false">X110</f>
        <v>18.6730249835055</v>
      </c>
      <c r="D111" s="27" t="n">
        <f aca="false">D110+W110</f>
        <v>0</v>
      </c>
      <c r="E111" s="26" t="n">
        <f aca="false">E110+IF(U110="SW",1,0)</f>
        <v>12</v>
      </c>
      <c r="F111" s="26" t="n">
        <f aca="false">F110+IF(U110="AB",1,0)</f>
        <v>10</v>
      </c>
      <c r="G111" s="26" t="n">
        <f aca="false">G110+IF(U110="SC",1,0)</f>
        <v>7</v>
      </c>
      <c r="H111" s="26" t="n">
        <f aca="false">H110+IF(U110="Mag",1,0)</f>
        <v>5</v>
      </c>
      <c r="I111" s="26" t="n">
        <f aca="false">MAX(I110,IF(U110="OR",1,0))</f>
        <v>1</v>
      </c>
      <c r="J111" s="26" t="n">
        <f aca="false">MAX(J110,IF(U110="HP",1,0))</f>
        <v>1</v>
      </c>
      <c r="K111" s="26" t="n">
        <f aca="false">MAX(K110,IF(U110="FP",1,0))</f>
        <v>1</v>
      </c>
      <c r="L111" s="26" t="n">
        <f aca="false">MAX(L110,IF(U110="transition",1,0))</f>
        <v>1</v>
      </c>
      <c r="M111" s="28" t="n">
        <f aca="false">(Parameters!$B$9+(IF(E111=0,0,(Upgrades!$J$6+E111*Upgrades!$K$6)*POWER(Upgrades!$L$6,E111)))*(IF(Upgrades!$T$7="Solar Wind",POWER(Upgrades!$U$7,F111),1)*IF(Upgrades!$T$8="Solar Wind",POWER(Upgrades!$U$8,G111),1)*IF(Upgrades!$T$9="Solar Wind",POWER(Upgrades!$U$9,H111),1)*IF(Upgrades!$T$10="Solar Wind",POWER(Upgrades!$U$10,I111),1)*IF(Upgrades!$T$11="Solar Wind",POWER(Upgrades!$U$11,J111),1)*IF(Upgrades!$T$12="Solar Wind",POWER(Upgrades!$U$12,K111),1))+(IF(F111=0,0,(Upgrades!$J$7+F111*Upgrades!$K$7)*POWER(Upgrades!$L$7,F111)))*(IF(Upgrades!$T$6="Asteroid Belt",POWER(Upgrades!$U$6,E111),1)*IF(Upgrades!$T$8="Asteroid Belt",POWER(Upgrades!$U$8,G111),1)*IF(Upgrades!$T$9="Asteroid Belt",POWER(Upgrades!$U$9,H111),1)*IF(Upgrades!$T$10="Asteroid Belt",POWER(Upgrades!$U$10,I111),1)*IF(Upgrades!$T$11="Asteroid Belt",POWER(Upgrades!$U$11,J111),1)*IF(Upgrades!$T$12="Asteroid Belt",POWER(Upgrades!$U$12,K111),1))+(IF(G111=0,0,(Upgrades!$J$8+G111*Upgrades!$K$8)*POWER(Upgrades!$L$8,G111)))*(IF(Upgrades!$T$6="Stellar Coupling",POWER(Upgrades!$U$6,E111),1)*IF(Upgrades!$T$7="Stellar Coupling",POWER(Upgrades!$U$7,F111),1)*IF(Upgrades!$T$9="Stellar Coupling",POWER(Upgrades!$U$9,H111),1)*IF(Upgrades!$T$10="Stellar Coupling",POWER(Upgrades!$U$10,I111),1)*IF(Upgrades!$T$11="Stellar Coupling",POWER(Upgrades!$U$11,J111),1)*IF(Upgrades!$T$12="Stellar Coupling",POWER(Upgrades!$U$12,K111),1))+(IF(H111=0,0,(Upgrades!$J$9+H111*Upgrades!$K$9)*POWER(Upgrades!$L$9,H111)))*(IF(Upgrades!$T$6="Magnetosphere",POWER(Upgrades!$U$6,E111),1)*IF(Upgrades!$T$7="Magnetosphere",POWER(Upgrades!$U$7,F111),1)*IF(Upgrades!$T$8="Magnetosphere",POWER(Upgrades!$U$8,G111),1)*IF(Upgrades!$T$10="Magnetosphere",POWER(Upgrades!$U$10,I111),1)*IF(Upgrades!$T$11="Magnetosphere",POWER(Upgrades!$U$11,J111),1)*IF(Upgrades!$T$12="Magnetosphere",POWER(Upgrades!$U$12,K111),1))+(IF(I111=0,0,(Upgrades!$J$10+I111*Upgrades!$K$10)*POWER(Upgrades!$L$10,I111)))*(IF(Upgrades!$T$6="Orbital Resonance",POWER(Upgrades!$U$6,E111),1)*IF(Upgrades!$T$7="Orbital Resonance",POWER(Upgrades!$U$7,F111),1)*IF(Upgrades!$T$8="Orbital Resonance",POWER(Upgrades!$U$8,G111),1)*IF(Upgrades!$T$9="Orbital Resonance",POWER(Upgrades!$U$9,H111),1)*IF(Upgrades!$T$11="Orbital Resonance",POWER(Upgrades!$U$11,J111),1)*IF(Upgrades!$T$12="Orbital Resonance",POWER(Upgrades!$U$12,K111),1))+(IF(J111=0,0,(Upgrades!$J$11+J111*Upgrades!$K$11)*POWER(Upgrades!$L$11,J111)))*(IF(Upgrades!$T$6="Heliopause",POWER(Upgrades!$U$6,E111),1)*IF(Upgrades!$T$7="Heliopause",POWER(Upgrades!$U$7,F111),1)*IF(Upgrades!$T$8="Heliopause",POWER(Upgrades!$U$8,G111),1)*IF(Upgrades!$T$9="Heliopause",POWER(Upgrades!$U$9,H111),1)*IF(Upgrades!$T$10="Heliopause",POWER(Upgrades!$U$10,I111),1)*IF(Upgrades!$T$12="Heliopause",POWER(Upgrades!$U$12,K111),1))+(IF(K111=0,0,(Upgrades!$J$12+K111*Upgrades!$K$12)*POWER(Upgrades!$L$12,K111)))*(IF(Upgrades!$T$6="First Photons",POWER(Upgrades!$U$6,E111),1)*IF(Upgrades!$T$7="First Photons",POWER(Upgrades!$U$7,F111),1)*IF(Upgrades!$T$8="First Photons",POWER(Upgrades!$U$8,G111),1)*IF(Upgrades!$T$9="First Photons",POWER(Upgrades!$U$9,H111),1)*IF(Upgrades!$T$10="First Photons",POWER(Upgrades!$U$10,I111),1)*IF(Upgrades!$T$11="First Photons",POWER(Upgrades!$U$11,J111),1)))*POWER(Upgrades!$Q$6,E111)*POWER(Upgrades!$Q$7,F111)*POWER(Upgrades!$Q$8,G111)*POWER(Upgrades!$Q$9,H111)*POWER(Upgrades!$Q$10,I111)*POWER(Upgrades!$Q$11,J111)*POWER(Upgrades!$Q$12,K111)</f>
        <v>5.61</v>
      </c>
      <c r="N111" s="28" t="n">
        <f aca="false">((IF(E111=0,0,(Upgrades!$G$6+E111*Upgrades!$H$6)*POWER(Upgrades!$I$6,E111)))*(IF(Upgrades!$T$7="Solar Wind",POWER(Upgrades!$U$7,F111),1)*IF(Upgrades!$T$8="Solar Wind",POWER(Upgrades!$U$8,G111),1)*IF(Upgrades!$T$9="Solar Wind",POWER(Upgrades!$U$9,H111),1)*IF(Upgrades!$T$10="Solar Wind",POWER(Upgrades!$U$10,I111),1)*IF(Upgrades!$T$11="Solar Wind",POWER(Upgrades!$U$11,J111),1)*IF(Upgrades!$T$12="Solar Wind",POWER(Upgrades!$U$12,K111),1))+(IF(F111=0,0,(Upgrades!$G$7+F111*Upgrades!$H$7)*POWER(Upgrades!$I$7,F111)))*(IF(Upgrades!$T$6="Asteroid Belt",POWER(Upgrades!$U$6,E111),1)*IF(Upgrades!$T$8="Asteroid Belt",POWER(Upgrades!$U$8,G111),1)*IF(Upgrades!$T$9="Asteroid Belt",POWER(Upgrades!$U$9,H111),1)*IF(Upgrades!$T$10="Asteroid Belt",POWER(Upgrades!$U$10,I111),1)*IF(Upgrades!$T$11="Asteroid Belt",POWER(Upgrades!$U$11,J111),1)*IF(Upgrades!$T$12="Asteroid Belt",POWER(Upgrades!$U$12,K111),1))+(IF(G111=0,0,(Upgrades!$G$8+G111*Upgrades!$H$8)*POWER(Upgrades!$I$8,G111)))*(IF(Upgrades!$T$6="Stellar Coupling",POWER(Upgrades!$U$6,E111),1)*IF(Upgrades!$T$7="Stellar Coupling",POWER(Upgrades!$U$7,F111),1)*IF(Upgrades!$T$9="Stellar Coupling",POWER(Upgrades!$U$9,H111),1)*IF(Upgrades!$T$10="Stellar Coupling",POWER(Upgrades!$U$10,I111),1)*IF(Upgrades!$T$11="Stellar Coupling",POWER(Upgrades!$U$11,J111),1)*IF(Upgrades!$T$12="Stellar Coupling",POWER(Upgrades!$U$12,K111),1))+(IF(H111=0,0,(Upgrades!$G$9+H111*Upgrades!$H$9)*POWER(Upgrades!$I$9,H111)))*(IF(Upgrades!$T$6="Magnetosphere",POWER(Upgrades!$U$6,E111),1)*IF(Upgrades!$T$7="Magnetosphere",POWER(Upgrades!$U$7,F111),1)*IF(Upgrades!$T$8="Magnetosphere",POWER(Upgrades!$U$8,G111),1)*IF(Upgrades!$T$10="Magnetosphere",POWER(Upgrades!$U$10,I111),1)*IF(Upgrades!$T$11="Magnetosphere",POWER(Upgrades!$U$11,J111),1)*IF(Upgrades!$T$12="Magnetosphere",POWER(Upgrades!$U$12,K111),1))+(IF(I111=0,0,(Upgrades!$G$10+I111*Upgrades!$H$10)*POWER(Upgrades!$I$10,I111)))*(IF(Upgrades!$T$6="Orbital Resonance",POWER(Upgrades!$U$6,E111),1)*IF(Upgrades!$T$7="Orbital Resonance",POWER(Upgrades!$U$7,F111),1)*IF(Upgrades!$T$8="Orbital Resonance",POWER(Upgrades!$U$8,G111),1)*IF(Upgrades!$T$9="Orbital Resonance",POWER(Upgrades!$U$9,H111),1)*IF(Upgrades!$T$11="Orbital Resonance",POWER(Upgrades!$U$11,J111),1)*IF(Upgrades!$T$12="Orbital Resonance",POWER(Upgrades!$U$12,K111),1))+(IF(J111=0,0,(Upgrades!$G$11+J111*Upgrades!$H$11)*POWER(Upgrades!$I$11,J111)))*(IF(Upgrades!$T$6="Heliopause",POWER(Upgrades!$U$6,E111),1)*IF(Upgrades!$T$7="Heliopause",POWER(Upgrades!$U$7,F111),1)*IF(Upgrades!$T$8="Heliopause",POWER(Upgrades!$U$8,G111),1)*IF(Upgrades!$T$9="Heliopause",POWER(Upgrades!$U$9,H111),1)*IF(Upgrades!$T$10="Heliopause",POWER(Upgrades!$U$10,I111),1)*IF(Upgrades!$T$12="Heliopause",POWER(Upgrades!$U$12,K111),1))+(IF(K111=0,0,(Upgrades!$G$12+K111*Upgrades!$H$12)*POWER(Upgrades!$I$12,K111)))*(IF(Upgrades!$T$6="First Photons",POWER(Upgrades!$U$6,E111),1)*IF(Upgrades!$T$7="First Photons",POWER(Upgrades!$U$7,F111),1)*IF(Upgrades!$T$8="First Photons",POWER(Upgrades!$U$8,G111),1)*IF(Upgrades!$T$9="First Photons",POWER(Upgrades!$U$9,H111),1)*IF(Upgrades!$T$10="First Photons",POWER(Upgrades!$U$10,I111),1)*IF(Upgrades!$T$11="First Photons",POWER(Upgrades!$U$11,J111),1)))*POWER(Upgrades!$P$6,E111)*POWER(Upgrades!$P$7,F111)*POWER(Upgrades!$P$8,G111)*POWER(Upgrades!$P$9,H111)*POWER(Upgrades!$P$10,I111)*POWER(Upgrades!$P$11,J111)*POWER(Upgrades!$P$12,K111)</f>
        <v>11.2</v>
      </c>
      <c r="O111" s="28" t="n">
        <f aca="false">((IF(E111=0,0,(Upgrades!$M$6+E111*Upgrades!$N$6)*POWER(Upgrades!$O$6,E111)))*(IF(Upgrades!$T$7="Solar Wind",POWER(Upgrades!$U$7,F111),1)*IF(Upgrades!$T$8="Solar Wind",POWER(Upgrades!$U$8,G111),1)*IF(Upgrades!$T$9="Solar Wind",POWER(Upgrades!$U$9,H111),1)*IF(Upgrades!$T$10="Solar Wind",POWER(Upgrades!$U$10,I111),1)*IF(Upgrades!$T$11="Solar Wind",POWER(Upgrades!$U$11,J111),1)*IF(Upgrades!$T$12="Solar Wind",POWER(Upgrades!$U$12,K111),1))+(IF(F111=0,0,(Upgrades!$M$7+F111*Upgrades!$N$7)*POWER(Upgrades!$O$7,F111)))*(IF(Upgrades!$T$6="Asteroid Belt",POWER(Upgrades!$U$6,E111),1)*IF(Upgrades!$T$8="Asteroid Belt",POWER(Upgrades!$U$8,G111),1)*IF(Upgrades!$T$9="Asteroid Belt",POWER(Upgrades!$U$9,H111),1)*IF(Upgrades!$T$10="Asteroid Belt",POWER(Upgrades!$U$10,I111),1)*IF(Upgrades!$T$11="Asteroid Belt",POWER(Upgrades!$U$11,J111),1)*IF(Upgrades!$T$12="Asteroid Belt",POWER(Upgrades!$U$12,K111),1))+(IF(G111=0,0,(Upgrades!$M$8+G111*Upgrades!$N$8)*POWER(Upgrades!$O$8,G111)))*(IF(Upgrades!$T$6="Stellar Coupling",POWER(Upgrades!$U$6,E111),1)*IF(Upgrades!$T$7="Stellar Coupling",POWER(Upgrades!$U$7,F111),1)*IF(Upgrades!$T$9="Stellar Coupling",POWER(Upgrades!$U$9,H111),1)*IF(Upgrades!$T$10="Stellar Coupling",POWER(Upgrades!$U$10,I111),1)*IF(Upgrades!$T$11="Stellar Coupling",POWER(Upgrades!$U$11,J111),1)*IF(Upgrades!$T$12="Stellar Coupling",POWER(Upgrades!$U$12,K111),1))+(IF(H111=0,0,(Upgrades!$M$9+H111*Upgrades!$N$9)*POWER(Upgrades!$O$9,H111)))*(IF(Upgrades!$T$6="Magnetosphere",POWER(Upgrades!$U$6,E111),1)*IF(Upgrades!$T$7="Magnetosphere",POWER(Upgrades!$U$7,F111),1)*IF(Upgrades!$T$8="Magnetosphere",POWER(Upgrades!$U$8,G111),1)*IF(Upgrades!$T$10="Magnetosphere",POWER(Upgrades!$U$10,I111),1)*IF(Upgrades!$T$11="Magnetosphere",POWER(Upgrades!$U$11,J111),1)*IF(Upgrades!$T$12="Magnetosphere",POWER(Upgrades!$U$12,K111),1))+(IF(I111=0,0,(Upgrades!$M$10+I111*Upgrades!$N$10)*POWER(Upgrades!$O$10,I111)))*(IF(Upgrades!$T$6="Orbital Resonance",POWER(Upgrades!$U$6,E111),1)*IF(Upgrades!$T$7="Orbital Resonance",POWER(Upgrades!$U$7,F111),1)*IF(Upgrades!$T$8="Orbital Resonance",POWER(Upgrades!$U$8,G111),1)*IF(Upgrades!$T$9="Orbital Resonance",POWER(Upgrades!$U$9,H111),1)*IF(Upgrades!$T$11="Orbital Resonance",POWER(Upgrades!$U$11,J111),1)*IF(Upgrades!$T$12="Orbital Resonance",POWER(Upgrades!$U$12,K111),1))+(IF(J111=0,0,(Upgrades!$M$11+J111*Upgrades!$N$11)*POWER(Upgrades!$O$11,J111)))*(IF(Upgrades!$T$6="Heliopause",POWER(Upgrades!$U$6,E111),1)*IF(Upgrades!$T$7="Heliopause",POWER(Upgrades!$U$7,F111),1)*IF(Upgrades!$T$8="Heliopause",POWER(Upgrades!$U$8,G111),1)*IF(Upgrades!$T$9="Heliopause",POWER(Upgrades!$U$9,H111),1)*IF(Upgrades!$T$10="Heliopause",POWER(Upgrades!$U$10,I111),1)*IF(Upgrades!$T$12="Heliopause",POWER(Upgrades!$U$12,K111),1))+(IF(K111=0,0,(Upgrades!$M$12+K111*Upgrades!$N$12)*POWER(Upgrades!$O$12,K111)))*(IF(Upgrades!$T$6="First Photons",POWER(Upgrades!$U$6,E111),1)*IF(Upgrades!$T$7="First Photons",POWER(Upgrades!$U$7,F111),1)*IF(Upgrades!$T$8="First Photons",POWER(Upgrades!$U$8,G111),1)*IF(Upgrades!$T$9="First Photons",POWER(Upgrades!$U$9,H111),1)*IF(Upgrades!$T$10="First Photons",POWER(Upgrades!$U$10,I111),1)*IF(Upgrades!$T$11="First Photons",POWER(Upgrades!$U$11,J111),1)))*POWER(Upgrades!$R$6,E111)*POWER(Upgrades!$R$7,F111)*POWER(Upgrades!$R$8,G111)*POWER(Upgrades!$R$9,H111)*POWER(Upgrades!$R$10,I111)*POWER(Upgrades!$R$11,J111)*POWER(Upgrades!$R$12,K111)</f>
        <v>0</v>
      </c>
      <c r="P111" s="27" t="n">
        <f aca="false">IF(L111=1,0,M111*Parameters!$B$10/60*Parameters!$B$11*10)</f>
        <v>0</v>
      </c>
      <c r="Q111" s="27" t="n">
        <f aca="false">IF(L111=1,0,O111*M111*10)</f>
        <v>0</v>
      </c>
      <c r="R111" s="27" t="n">
        <f aca="false">IF(L111=1,0,N111*10)</f>
        <v>0</v>
      </c>
      <c r="S111" s="27" t="n">
        <f aca="false">P111+Q111+R111</f>
        <v>0</v>
      </c>
      <c r="T111" s="21" t="n">
        <f aca="false">C111+S111</f>
        <v>18.6730249835055</v>
      </c>
      <c r="U111" s="34" t="str">
        <f aca="false">AX111</f>
        <v/>
      </c>
      <c r="V111" s="21" t="n">
        <f aca="false">IF(U111="",0,IF(U111="transition",0,IF(U111="SW",AG111,IF(U111="AB",AH111,IF(U111="SC",AI111,IF(U111="Mag",AJ111,IF(U111="OR",AK111,IF(U111="HP",AL111,IF(U111="FP",AM111,0)))))))))</f>
        <v>0</v>
      </c>
      <c r="W111" s="27" t="n">
        <f aca="false">IF(U111="OR",Upgrades!$F$10,IF(U111="HP",Upgrades!$F$11,IF(U111="transition",-Parameters!$B$18,0)))</f>
        <v>0</v>
      </c>
      <c r="X111" s="21" t="n">
        <f aca="false">T111-V111</f>
        <v>18.6730249835055</v>
      </c>
      <c r="Y111" s="30" t="n">
        <f aca="false">M111*Parameters!$B$10/60*Parameters!$B$11+O111*M111+N111</f>
        <v>20.55</v>
      </c>
      <c r="Z111" s="35" t="str">
        <f aca="false">IF(U111="transition","→ Tier 2 (Stellar Neighborhood)",IF(U111="FP","First Photons — light begins, system quickens",IF(U111="HP","Heliopause acquired",IF(U111="OR","Orbital Resonance — passive multiplier active",IF(AND(AO111=1,L111=0,AN111&lt;&gt;1),"Cohesion ready (waiting on completionist upgrades)","")))))</f>
        <v/>
      </c>
      <c r="AA111" s="27" t="n">
        <f aca="false">(IF(E111=0,0,(Upgrades!$G$6+E111*Upgrades!$H$6)*POWER(Upgrades!$I$6,E111)))*(IF(Upgrades!$T$7="Solar Wind",POWER(Upgrades!$U$7,F111),1)*IF(Upgrades!$T$8="Solar Wind",POWER(Upgrades!$U$8,G111),1)*IF(Upgrades!$T$9="Solar Wind",POWER(Upgrades!$U$9,H111),1)*IF(Upgrades!$T$10="Solar Wind",POWER(Upgrades!$U$10,I111),1)*IF(Upgrades!$T$11="Solar Wind",POWER(Upgrades!$U$11,J111),1)*IF(Upgrades!$T$12="Solar Wind",POWER(Upgrades!$U$12,K111),1))*POWER(Upgrades!$P$6,E111)*POWER(Upgrades!$P$7,F111)*POWER(Upgrades!$P$8,G111)*POWER(Upgrades!$P$9,H111)*POWER(Upgrades!$P$10,I111)*POWER(Upgrades!$P$11,J111)*POWER(Upgrades!$P$12,K111)*60</f>
        <v>72</v>
      </c>
      <c r="AB111" s="27" t="n">
        <f aca="false">(IF(F111=0,0,(Upgrades!$G$7+F111*Upgrades!$H$7)*POWER(Upgrades!$I$7,F111)))*(IF(Upgrades!$T$6="Asteroid Belt",POWER(Upgrades!$U$6,E111),1)*IF(Upgrades!$T$8="Asteroid Belt",POWER(Upgrades!$U$8,G111),1)*IF(Upgrades!$T$9="Asteroid Belt",POWER(Upgrades!$U$9,H111),1)*IF(Upgrades!$T$10="Asteroid Belt",POWER(Upgrades!$U$10,I111),1)*IF(Upgrades!$T$11="Asteroid Belt",POWER(Upgrades!$U$11,J111),1)*IF(Upgrades!$T$12="Asteroid Belt",POWER(Upgrades!$U$12,K111),1))*POWER(Upgrades!$P$6,E111)*POWER(Upgrades!$P$7,F111)*POWER(Upgrades!$P$8,G111)*POWER(Upgrades!$P$9,H111)*POWER(Upgrades!$P$10,I111)*POWER(Upgrades!$P$11,J111)*POWER(Upgrades!$P$12,K111)*60</f>
        <v>150</v>
      </c>
      <c r="AC111" s="27" t="n">
        <f aca="false">(IF(G111=0,0,(Upgrades!$J$8+G111*Upgrades!$K$8)*POWER(Upgrades!$L$8,G111)))*(IF(Upgrades!$T$6="Stellar Coupling",POWER(Upgrades!$U$6,E111),1)*IF(Upgrades!$T$7="Stellar Coupling",POWER(Upgrades!$U$7,F111),1)*IF(Upgrades!$T$9="Stellar Coupling",POWER(Upgrades!$U$9,H111),1)*IF(Upgrades!$T$10="Stellar Coupling",POWER(Upgrades!$U$10,I111),1)*IF(Upgrades!$T$11="Stellar Coupling",POWER(Upgrades!$U$11,J111),1)*IF(Upgrades!$T$12="Stellar Coupling",POWER(Upgrades!$U$12,K111),1))*POWER(Upgrades!$Q$6,E111)*POWER(Upgrades!$Q$7,F111)*POWER(Upgrades!$Q$8,G111)*POWER(Upgrades!$Q$9,H111)*POWER(Upgrades!$Q$10,I111)*POWER(Upgrades!$Q$11,J111)*POWER(Upgrades!$Q$12,K111)*Parameters!$B$10*Parameters!$B$11</f>
        <v>441</v>
      </c>
      <c r="AD111" s="27" t="n">
        <f aca="false">(IF(H111=0,0,(Upgrades!$G$9+H111*Upgrades!$H$9)*POWER(Upgrades!$I$9,H111)))*(IF(Upgrades!$T$6="Magnetosphere",POWER(Upgrades!$U$6,E111),1)*IF(Upgrades!$T$7="Magnetosphere",POWER(Upgrades!$U$7,F111),1)*IF(Upgrades!$T$8="Magnetosphere",POWER(Upgrades!$U$8,G111),1)*IF(Upgrades!$T$10="Magnetosphere",POWER(Upgrades!$U$10,I111),1)*IF(Upgrades!$T$11="Magnetosphere",POWER(Upgrades!$U$11,J111),1)*IF(Upgrades!$T$12="Magnetosphere",POWER(Upgrades!$U$12,K111),1))*POWER(Upgrades!$P$6,E111)*POWER(Upgrades!$P$7,F111)*POWER(Upgrades!$P$8,G111)*POWER(Upgrades!$P$9,H111)*POWER(Upgrades!$P$10,I111)*POWER(Upgrades!$P$11,J111)*POWER(Upgrades!$P$12,K111)*60</f>
        <v>375</v>
      </c>
      <c r="AE111" s="27" t="n">
        <f aca="false">(IF(K111=0,0,(Upgrades!$G$12+K111*Upgrades!$H$12)*POWER(Upgrades!$I$12,K111)))*(IF(Upgrades!$T$6="First Photons",POWER(Upgrades!$U$6,E111),1)*IF(Upgrades!$T$7="First Photons",POWER(Upgrades!$U$7,F111),1)*IF(Upgrades!$T$8="First Photons",POWER(Upgrades!$U$8,G111),1)*IF(Upgrades!$T$9="First Photons",POWER(Upgrades!$U$9,H111),1)*IF(Upgrades!$T$10="First Photons",POWER(Upgrades!$U$10,I111),1)*IF(Upgrades!$T$11="First Photons",POWER(Upgrades!$U$11,J111),1))*POWER(Upgrades!$P$6,E111)*POWER(Upgrades!$P$7,F111)*POWER(Upgrades!$P$8,G111)*POWER(Upgrades!$P$9,H111)*POWER(Upgrades!$P$10,I111)*POWER(Upgrades!$P$11,J111)*POWER(Upgrades!$P$12,K111)*60</f>
        <v>75</v>
      </c>
      <c r="AF111" s="27" t="n">
        <f aca="false">Parameters!$B$9*POWER(Upgrades!$Q$6,E111)*POWER(Upgrades!$Q$7,F111)*POWER(Upgrades!$Q$8,G111)*POWER(Upgrades!$Q$9,H111)*POWER(Upgrades!$Q$10,I111)*POWER(Upgrades!$Q$11,J111)*POWER(Upgrades!$Q$12,K111)*(Parameters!$B$10*Parameters!$B$11+O111*60)</f>
        <v>120</v>
      </c>
      <c r="AG111" s="21" t="n">
        <f aca="false">IF(E111&gt;=Upgrades!$E$6,"",Upgrades!$C$6*POWER(Upgrades!$D$6,E111))</f>
        <v>37.4517507383159</v>
      </c>
      <c r="AH111" s="21" t="n">
        <f aca="false">IF(F111&gt;=Upgrades!$E$7,"",Upgrades!$C$7*POWER(Upgrades!$D$7,F111))</f>
        <v>80.9111547141581</v>
      </c>
      <c r="AI111" s="21" t="n">
        <f aca="false">IF(G111&gt;=Upgrades!$E$8,"",Upgrades!$C$8*POWER(Upgrades!$D$8,G111))</f>
        <v>231.9097088</v>
      </c>
      <c r="AJ111" s="21" t="str">
        <f aca="false">IF(H111&gt;=Upgrades!$E$9,"",Upgrades!$C$9*POWER(Upgrades!$D$9,H111))</f>
        <v/>
      </c>
      <c r="AK111" s="21" t="str">
        <f aca="false">IF(I111&gt;=Upgrades!$E$10,"",Upgrades!$C$10*POWER(Upgrades!$D$10,I111))</f>
        <v/>
      </c>
      <c r="AL111" s="21" t="str">
        <f aca="false">IF(J111&gt;=Upgrades!$E$11,"",Upgrades!$C$11*POWER(Upgrades!$D$11,J111))</f>
        <v/>
      </c>
      <c r="AM111" s="21" t="str">
        <f aca="false">IF(K111&gt;=Upgrades!$E$12,"",Upgrades!$C$12*POWER(Upgrades!$D$12,K111))</f>
        <v/>
      </c>
      <c r="AN111" s="26" t="str">
        <f aca="false">IF(AND(D111&gt;=Parameters!$B$18,(H111&gt;=Upgrades!$E$9)*(K111&gt;=Upgrades!$E$12)=1,L111=0),1,"")</f>
        <v/>
      </c>
      <c r="AO111" s="26" t="str">
        <f aca="false">IF(AND(D111&gt;=Parameters!$B$18,L111=0),1,"")</f>
        <v/>
      </c>
      <c r="AP111" s="21" t="n">
        <f aca="false">MIN(IF(ISNUMBER(AK111),AK111,9000000000000000),IF(ISNUMBER(AL111),AL111,9000000000000000),IF(ISNUMBER(AM111),AM111,9000000000000000))</f>
        <v>9000000000000000</v>
      </c>
      <c r="AQ111" s="21" t="n">
        <f aca="false">MIN(IF(ISNUMBER(AG111),AG111,9000000000000000),IF(ISNUMBER(AH111),AH111,9000000000000000),IF(ISNUMBER(AI111),AI111,9000000000000000),IF(ISNUMBER(AJ111),AJ111,9000000000000000))</f>
        <v>37.4517507383159</v>
      </c>
      <c r="AR111" s="32" t="b">
        <f aca="false">IF(AW111&gt;Parameters!$B$21*(MAX(IF(AND(NOT(AND(AO111=1,AN111&lt;&gt;1)),ISNUMBER(AG111),AG111&lt;=T111),AS111,0),IF(AND(NOT(AND(AO111=1,AN111&lt;&gt;1)),ISNUMBER(AH111),AH111&lt;=T111),AT111,0),IF(AND(NOT(AND(AO111=1,AN111&lt;&gt;1)),ISNUMBER(AI111),AI111&lt;=T111),AU111,0),IF(AND(ISNUMBER(AJ111),AJ111&lt;=T111),AV111,0))),TRUE(),FALSE())</f>
        <v>1</v>
      </c>
      <c r="AS111" s="33" t="n">
        <f aca="false">IFERROR(Upgrades!$H$6*(POWER(Upgrades!$P$6,E111)*POWER(Upgrades!$P$7,F111)*POWER(Upgrades!$P$8,G111)*POWER(Upgrades!$P$9,H111)*POWER(Upgrades!$P$10,I111)*POWER(Upgrades!$P$11,J111)*POWER(Upgrades!$P$12,K111))*(IF(Upgrades!$T$7="Solar Wind",POWER(Upgrades!$U$7,F111),1)*IF(Upgrades!$T$8="Solar Wind",POWER(Upgrades!$U$8,G111),1)*IF(Upgrades!$T$9="Solar Wind",POWER(Upgrades!$U$9,H111),1)*IF(Upgrades!$T$10="Solar Wind",POWER(Upgrades!$U$10,I111),1)*IF(Upgrades!$T$11="Solar Wind",POWER(Upgrades!$U$11,J111),1)*IF(Upgrades!$T$12="Solar Wind",POWER(Upgrades!$U$12,K111),1))/AG111,0)</f>
        <v>0.0026701021455238</v>
      </c>
      <c r="AT111" s="33" t="n">
        <f aca="false">IFERROR(Upgrades!$H$7*(POWER(Upgrades!$P$6,E111)*POWER(Upgrades!$P$7,F111)*POWER(Upgrades!$P$8,G111)*POWER(Upgrades!$P$9,H111)*POWER(Upgrades!$P$10,I111)*POWER(Upgrades!$P$11,J111)*POWER(Upgrades!$P$12,K111))*(IF(Upgrades!$T$6="Asteroid Belt",POWER(Upgrades!$U$6,E111),1)*IF(Upgrades!$T$8="Asteroid Belt",POWER(Upgrades!$U$8,G111),1)*IF(Upgrades!$T$9="Asteroid Belt",POWER(Upgrades!$U$9,H111),1)*IF(Upgrades!$T$10="Asteroid Belt",POWER(Upgrades!$U$10,I111),1)*IF(Upgrades!$T$11="Asteroid Belt",POWER(Upgrades!$U$11,J111),1)*IF(Upgrades!$T$12="Asteroid Belt",POWER(Upgrades!$U$12,K111),1))/AH111,0)</f>
        <v>0.00308980882652332</v>
      </c>
      <c r="AU111" s="33" t="n">
        <f aca="false">IFERROR(Upgrades!$K$8*(POWER(Upgrades!$Q$6,E111)*POWER(Upgrades!$Q$7,F111)*POWER(Upgrades!$Q$8,G111)*POWER(Upgrades!$Q$9,H111)*POWER(Upgrades!$Q$10,I111)*POWER(Upgrades!$Q$11,J111)*POWER(Upgrades!$Q$12,K111))*(IF(Upgrades!$T$6="Stellar Coupling",POWER(Upgrades!$U$6,E111),1)*IF(Upgrades!$T$7="Stellar Coupling",POWER(Upgrades!$U$7,F111),1)*IF(Upgrades!$T$9="Stellar Coupling",POWER(Upgrades!$U$9,H111),1)*IF(Upgrades!$T$10="Stellar Coupling",POWER(Upgrades!$U$10,I111),1)*IF(Upgrades!$T$11="Stellar Coupling",POWER(Upgrades!$U$11,J111),1)*IF(Upgrades!$T$12="Stellar Coupling",POWER(Upgrades!$U$12,K111),1))*Parameters!$B$10*Parameters!$B$11/60/AI111,0)</f>
        <v>0.00452762415783776</v>
      </c>
      <c r="AV111" s="33" t="n">
        <f aca="false">IFERROR(Upgrades!$H$9*(POWER(Upgrades!$P$6,E111)*POWER(Upgrades!$P$7,F111)*POWER(Upgrades!$P$8,G111)*POWER(Upgrades!$P$9,H111)*POWER(Upgrades!$P$10,I111)*POWER(Upgrades!$P$11,J111)*POWER(Upgrades!$P$12,K111))*(IF(Upgrades!$T$6="Magnetosphere",POWER(Upgrades!$U$6,E111),1)*IF(Upgrades!$T$7="Magnetosphere",POWER(Upgrades!$U$7,F111),1)*IF(Upgrades!$T$8="Magnetosphere",POWER(Upgrades!$U$8,G111),1)*IF(Upgrades!$T$10="Magnetosphere",POWER(Upgrades!$U$10,I111),1)*IF(Upgrades!$T$11="Magnetosphere",POWER(Upgrades!$U$11,J111),1)*IF(Upgrades!$T$12="Magnetosphere",POWER(Upgrades!$U$12,K111),1))/AJ111,0)</f>
        <v>0</v>
      </c>
      <c r="AW111" s="33" t="n">
        <f aca="false">MAX(IF(I111&gt;0,0,IFERROR(0.25*N111/Upgrades!$C$10,0)),IF(J111&gt;0,0,IFERROR(0.5*((IF(G111=0,0,(Upgrades!$J$8+G111*Upgrades!$K$8)*POWER(Upgrades!$L$8,G111)))*(IF(Upgrades!$T$6="Stellar Coupling",POWER(Upgrades!$U$6,E111),1)*IF(Upgrades!$T$7="Stellar Coupling",POWER(Upgrades!$U$7,F111),1)*IF(Upgrades!$T$9="Stellar Coupling",POWER(Upgrades!$U$9,H111),1)*IF(Upgrades!$T$10="Stellar Coupling",POWER(Upgrades!$U$10,I111),1)*IF(Upgrades!$T$11="Stellar Coupling",POWER(Upgrades!$U$11,J111),1)*IF(Upgrades!$T$12="Stellar Coupling",POWER(Upgrades!$U$12,K111),1))*(POWER(Upgrades!$Q$6,E111)*POWER(Upgrades!$Q$7,F111)*POWER(Upgrades!$Q$8,G111)*POWER(Upgrades!$Q$9,H111)*POWER(Upgrades!$Q$10,I111)*POWER(Upgrades!$Q$11,J111)*POWER(Upgrades!$Q$12,K111))*Parameters!$B$10*Parameters!$B$11/60)/Upgrades!$C$11,0)),IF(K111&gt;0,0,IFERROR((1*(POWER(Upgrades!$P$6,E111)*POWER(Upgrades!$P$7,F111)*POWER(Upgrades!$P$8,G111)*POWER(Upgrades!$P$9,H111)*POWER(Upgrades!$P$10,I111)*POWER(Upgrades!$P$11,J111)*POWER(Upgrades!$P$12,K111))+0.2*M111*Parameters!$B$10*Parameters!$B$11/60)/Upgrades!$C$12,0)),IF(AND(ISNUMBER(AG111),AG111&gt;T111),AS111,0),IF(AND(ISNUMBER(AH111),AH111&gt;T111),AT111,0),IF(AND(ISNUMBER(AI111),AI111&gt;T111),AU111,0),IF(AND(ISNUMBER(AJ111),AJ111&gt;T111),AV111,0))</f>
        <v>0.00452762415783776</v>
      </c>
      <c r="AX111" s="29" t="str">
        <f aca="false">IF(AN111=1,"transition",IF(MIN(IF(AND(I111=0,ISNUMBER(AK111),AK111&lt;=T111),AK111,9000000000000000),IF(AND(J111=0,ISNUMBER(AL111),AL111&lt;=T111),AL111,9000000000000000),IF(AND(K111=0,ISNUMBER(AM111),AM111&lt;=T111),AM111,9000000000000000))&lt;9000000000000000,IF(AND(AND(I111=0,ISNUMBER(AK111),AK111&lt;=T111),AK111=MIN(IF(AND(I111=0,ISNUMBER(AK111),AK111&lt;=T111),AK111,9000000000000000),IF(AND(J111=0,ISNUMBER(AL111),AL111&lt;=T111),AL111,9000000000000000),IF(AND(K111=0,ISNUMBER(AM111),AM111&lt;=T111),AM111,9000000000000000))),"OR",IF(AND(AND(J111=0,ISNUMBER(AL111),AL111&lt;=T111),AL111=MIN(IF(AND(I111=0,ISNUMBER(AK111),AK111&lt;=T111),AK111,9000000000000000),IF(AND(J111=0,ISNUMBER(AL111),AL111&lt;=T111),AL111,9000000000000000),IF(AND(K111=0,ISNUMBER(AM111),AM111&lt;=T111),AM111,9000000000000000))),"HP","FP")),IF(AR111=TRUE(),"",IF(MAX(IF(AND(NOT(AND(AO111=1,AN111&lt;&gt;1)),ISNUMBER(AG111),AG111&lt;=T111),AS111,0),IF(AND(NOT(AND(AO111=1,AN111&lt;&gt;1)),ISNUMBER(AH111),AH111&lt;=T111),AT111,0),IF(AND(NOT(AND(AO111=1,AN111&lt;&gt;1)),ISNUMBER(AI111),AI111&lt;=T111),AU111,0),IF(AND(ISNUMBER(AJ111),AJ111&lt;=T111),AV111,0))&lt;=0,"",IF(AND(IF(AND(NOT(AND(AO111=1,AN111&lt;&gt;1)),ISNUMBER(AG111),AG111&lt;=T111),AS111,0)&gt;0,IF(AND(NOT(AND(AO111=1,AN111&lt;&gt;1)),ISNUMBER(AG111),AG111&lt;=T111),AS111,0)=MAX(IF(AND(NOT(AND(AO111=1,AN111&lt;&gt;1)),ISNUMBER(AG111),AG111&lt;=T111),AS111,0),IF(AND(NOT(AND(AO111=1,AN111&lt;&gt;1)),ISNUMBER(AH111),AH111&lt;=T111),AT111,0),IF(AND(NOT(AND(AO111=1,AN111&lt;&gt;1)),ISNUMBER(AI111),AI111&lt;=T111),AU111,0),IF(AND(ISNUMBER(AJ111),AJ111&lt;=T111),AV111,0))),"SW",IF(AND(IF(AND(NOT(AND(AO111=1,AN111&lt;&gt;1)),ISNUMBER(AH111),AH111&lt;=T111),AT111,0)&gt;0,IF(AND(NOT(AND(AO111=1,AN111&lt;&gt;1)),ISNUMBER(AH111),AH111&lt;=T111),AT111,0)=MAX(IF(AND(NOT(AND(AO111=1,AN111&lt;&gt;1)),ISNUMBER(AG111),AG111&lt;=T111),AS111,0),IF(AND(NOT(AND(AO111=1,AN111&lt;&gt;1)),ISNUMBER(AH111),AH111&lt;=T111),AT111,0),IF(AND(NOT(AND(AO111=1,AN111&lt;&gt;1)),ISNUMBER(AI111),AI111&lt;=T111),AU111,0),IF(AND(ISNUMBER(AJ111),AJ111&lt;=T111),AV111,0))),"AB",IF(AND(IF(AND(NOT(AND(AO111=1,AN111&lt;&gt;1)),ISNUMBER(AI111),AI111&lt;=T111),AU111,0)&gt;0,IF(AND(NOT(AND(AO111=1,AN111&lt;&gt;1)),ISNUMBER(AI111),AI111&lt;=T111),AU111,0)=MAX(IF(AND(NOT(AND(AO111=1,AN111&lt;&gt;1)),ISNUMBER(AG111),AG111&lt;=T111),AS111,0),IF(AND(NOT(AND(AO111=1,AN111&lt;&gt;1)),ISNUMBER(AH111),AH111&lt;=T111),AT111,0),IF(AND(NOT(AND(AO111=1,AN111&lt;&gt;1)),ISNUMBER(AI111),AI111&lt;=T111),AU111,0),IF(AND(ISNUMBER(AJ111),AJ111&lt;=T111),AV111,0))),"SC","Mag")))))))</f>
        <v/>
      </c>
    </row>
    <row r="112" customFormat="false" ht="15" hidden="false" customHeight="false" outlineLevel="0" collapsed="false">
      <c r="A112" s="26" t="n">
        <v>107</v>
      </c>
      <c r="B112" s="27" t="n">
        <f aca="false">A112*10/60</f>
        <v>17.8333333333333</v>
      </c>
      <c r="C112" s="21" t="n">
        <f aca="false">X111</f>
        <v>18.6730249835055</v>
      </c>
      <c r="D112" s="27" t="n">
        <f aca="false">D111+W111</f>
        <v>0</v>
      </c>
      <c r="E112" s="26" t="n">
        <f aca="false">E111+IF(U111="SW",1,0)</f>
        <v>12</v>
      </c>
      <c r="F112" s="26" t="n">
        <f aca="false">F111+IF(U111="AB",1,0)</f>
        <v>10</v>
      </c>
      <c r="G112" s="26" t="n">
        <f aca="false">G111+IF(U111="SC",1,0)</f>
        <v>7</v>
      </c>
      <c r="H112" s="26" t="n">
        <f aca="false">H111+IF(U111="Mag",1,0)</f>
        <v>5</v>
      </c>
      <c r="I112" s="26" t="n">
        <f aca="false">MAX(I111,IF(U111="OR",1,0))</f>
        <v>1</v>
      </c>
      <c r="J112" s="26" t="n">
        <f aca="false">MAX(J111,IF(U111="HP",1,0))</f>
        <v>1</v>
      </c>
      <c r="K112" s="26" t="n">
        <f aca="false">MAX(K111,IF(U111="FP",1,0))</f>
        <v>1</v>
      </c>
      <c r="L112" s="26" t="n">
        <f aca="false">MAX(L111,IF(U111="transition",1,0))</f>
        <v>1</v>
      </c>
      <c r="M112" s="28" t="n">
        <f aca="false">(Parameters!$B$9+(IF(E112=0,0,(Upgrades!$J$6+E112*Upgrades!$K$6)*POWER(Upgrades!$L$6,E112)))*(IF(Upgrades!$T$7="Solar Wind",POWER(Upgrades!$U$7,F112),1)*IF(Upgrades!$T$8="Solar Wind",POWER(Upgrades!$U$8,G112),1)*IF(Upgrades!$T$9="Solar Wind",POWER(Upgrades!$U$9,H112),1)*IF(Upgrades!$T$10="Solar Wind",POWER(Upgrades!$U$10,I112),1)*IF(Upgrades!$T$11="Solar Wind",POWER(Upgrades!$U$11,J112),1)*IF(Upgrades!$T$12="Solar Wind",POWER(Upgrades!$U$12,K112),1))+(IF(F112=0,0,(Upgrades!$J$7+F112*Upgrades!$K$7)*POWER(Upgrades!$L$7,F112)))*(IF(Upgrades!$T$6="Asteroid Belt",POWER(Upgrades!$U$6,E112),1)*IF(Upgrades!$T$8="Asteroid Belt",POWER(Upgrades!$U$8,G112),1)*IF(Upgrades!$T$9="Asteroid Belt",POWER(Upgrades!$U$9,H112),1)*IF(Upgrades!$T$10="Asteroid Belt",POWER(Upgrades!$U$10,I112),1)*IF(Upgrades!$T$11="Asteroid Belt",POWER(Upgrades!$U$11,J112),1)*IF(Upgrades!$T$12="Asteroid Belt",POWER(Upgrades!$U$12,K112),1))+(IF(G112=0,0,(Upgrades!$J$8+G112*Upgrades!$K$8)*POWER(Upgrades!$L$8,G112)))*(IF(Upgrades!$T$6="Stellar Coupling",POWER(Upgrades!$U$6,E112),1)*IF(Upgrades!$T$7="Stellar Coupling",POWER(Upgrades!$U$7,F112),1)*IF(Upgrades!$T$9="Stellar Coupling",POWER(Upgrades!$U$9,H112),1)*IF(Upgrades!$T$10="Stellar Coupling",POWER(Upgrades!$U$10,I112),1)*IF(Upgrades!$T$11="Stellar Coupling",POWER(Upgrades!$U$11,J112),1)*IF(Upgrades!$T$12="Stellar Coupling",POWER(Upgrades!$U$12,K112),1))+(IF(H112=0,0,(Upgrades!$J$9+H112*Upgrades!$K$9)*POWER(Upgrades!$L$9,H112)))*(IF(Upgrades!$T$6="Magnetosphere",POWER(Upgrades!$U$6,E112),1)*IF(Upgrades!$T$7="Magnetosphere",POWER(Upgrades!$U$7,F112),1)*IF(Upgrades!$T$8="Magnetosphere",POWER(Upgrades!$U$8,G112),1)*IF(Upgrades!$T$10="Magnetosphere",POWER(Upgrades!$U$10,I112),1)*IF(Upgrades!$T$11="Magnetosphere",POWER(Upgrades!$U$11,J112),1)*IF(Upgrades!$T$12="Magnetosphere",POWER(Upgrades!$U$12,K112),1))+(IF(I112=0,0,(Upgrades!$J$10+I112*Upgrades!$K$10)*POWER(Upgrades!$L$10,I112)))*(IF(Upgrades!$T$6="Orbital Resonance",POWER(Upgrades!$U$6,E112),1)*IF(Upgrades!$T$7="Orbital Resonance",POWER(Upgrades!$U$7,F112),1)*IF(Upgrades!$T$8="Orbital Resonance",POWER(Upgrades!$U$8,G112),1)*IF(Upgrades!$T$9="Orbital Resonance",POWER(Upgrades!$U$9,H112),1)*IF(Upgrades!$T$11="Orbital Resonance",POWER(Upgrades!$U$11,J112),1)*IF(Upgrades!$T$12="Orbital Resonance",POWER(Upgrades!$U$12,K112),1))+(IF(J112=0,0,(Upgrades!$J$11+J112*Upgrades!$K$11)*POWER(Upgrades!$L$11,J112)))*(IF(Upgrades!$T$6="Heliopause",POWER(Upgrades!$U$6,E112),1)*IF(Upgrades!$T$7="Heliopause",POWER(Upgrades!$U$7,F112),1)*IF(Upgrades!$T$8="Heliopause",POWER(Upgrades!$U$8,G112),1)*IF(Upgrades!$T$9="Heliopause",POWER(Upgrades!$U$9,H112),1)*IF(Upgrades!$T$10="Heliopause",POWER(Upgrades!$U$10,I112),1)*IF(Upgrades!$T$12="Heliopause",POWER(Upgrades!$U$12,K112),1))+(IF(K112=0,0,(Upgrades!$J$12+K112*Upgrades!$K$12)*POWER(Upgrades!$L$12,K112)))*(IF(Upgrades!$T$6="First Photons",POWER(Upgrades!$U$6,E112),1)*IF(Upgrades!$T$7="First Photons",POWER(Upgrades!$U$7,F112),1)*IF(Upgrades!$T$8="First Photons",POWER(Upgrades!$U$8,G112),1)*IF(Upgrades!$T$9="First Photons",POWER(Upgrades!$U$9,H112),1)*IF(Upgrades!$T$10="First Photons",POWER(Upgrades!$U$10,I112),1)*IF(Upgrades!$T$11="First Photons",POWER(Upgrades!$U$11,J112),1)))*POWER(Upgrades!$Q$6,E112)*POWER(Upgrades!$Q$7,F112)*POWER(Upgrades!$Q$8,G112)*POWER(Upgrades!$Q$9,H112)*POWER(Upgrades!$Q$10,I112)*POWER(Upgrades!$Q$11,J112)*POWER(Upgrades!$Q$12,K112)</f>
        <v>5.61</v>
      </c>
      <c r="N112" s="28" t="n">
        <f aca="false">((IF(E112=0,0,(Upgrades!$G$6+E112*Upgrades!$H$6)*POWER(Upgrades!$I$6,E112)))*(IF(Upgrades!$T$7="Solar Wind",POWER(Upgrades!$U$7,F112),1)*IF(Upgrades!$T$8="Solar Wind",POWER(Upgrades!$U$8,G112),1)*IF(Upgrades!$T$9="Solar Wind",POWER(Upgrades!$U$9,H112),1)*IF(Upgrades!$T$10="Solar Wind",POWER(Upgrades!$U$10,I112),1)*IF(Upgrades!$T$11="Solar Wind",POWER(Upgrades!$U$11,J112),1)*IF(Upgrades!$T$12="Solar Wind",POWER(Upgrades!$U$12,K112),1))+(IF(F112=0,0,(Upgrades!$G$7+F112*Upgrades!$H$7)*POWER(Upgrades!$I$7,F112)))*(IF(Upgrades!$T$6="Asteroid Belt",POWER(Upgrades!$U$6,E112),1)*IF(Upgrades!$T$8="Asteroid Belt",POWER(Upgrades!$U$8,G112),1)*IF(Upgrades!$T$9="Asteroid Belt",POWER(Upgrades!$U$9,H112),1)*IF(Upgrades!$T$10="Asteroid Belt",POWER(Upgrades!$U$10,I112),1)*IF(Upgrades!$T$11="Asteroid Belt",POWER(Upgrades!$U$11,J112),1)*IF(Upgrades!$T$12="Asteroid Belt",POWER(Upgrades!$U$12,K112),1))+(IF(G112=0,0,(Upgrades!$G$8+G112*Upgrades!$H$8)*POWER(Upgrades!$I$8,G112)))*(IF(Upgrades!$T$6="Stellar Coupling",POWER(Upgrades!$U$6,E112),1)*IF(Upgrades!$T$7="Stellar Coupling",POWER(Upgrades!$U$7,F112),1)*IF(Upgrades!$T$9="Stellar Coupling",POWER(Upgrades!$U$9,H112),1)*IF(Upgrades!$T$10="Stellar Coupling",POWER(Upgrades!$U$10,I112),1)*IF(Upgrades!$T$11="Stellar Coupling",POWER(Upgrades!$U$11,J112),1)*IF(Upgrades!$T$12="Stellar Coupling",POWER(Upgrades!$U$12,K112),1))+(IF(H112=0,0,(Upgrades!$G$9+H112*Upgrades!$H$9)*POWER(Upgrades!$I$9,H112)))*(IF(Upgrades!$T$6="Magnetosphere",POWER(Upgrades!$U$6,E112),1)*IF(Upgrades!$T$7="Magnetosphere",POWER(Upgrades!$U$7,F112),1)*IF(Upgrades!$T$8="Magnetosphere",POWER(Upgrades!$U$8,G112),1)*IF(Upgrades!$T$10="Magnetosphere",POWER(Upgrades!$U$10,I112),1)*IF(Upgrades!$T$11="Magnetosphere",POWER(Upgrades!$U$11,J112),1)*IF(Upgrades!$T$12="Magnetosphere",POWER(Upgrades!$U$12,K112),1))+(IF(I112=0,0,(Upgrades!$G$10+I112*Upgrades!$H$10)*POWER(Upgrades!$I$10,I112)))*(IF(Upgrades!$T$6="Orbital Resonance",POWER(Upgrades!$U$6,E112),1)*IF(Upgrades!$T$7="Orbital Resonance",POWER(Upgrades!$U$7,F112),1)*IF(Upgrades!$T$8="Orbital Resonance",POWER(Upgrades!$U$8,G112),1)*IF(Upgrades!$T$9="Orbital Resonance",POWER(Upgrades!$U$9,H112),1)*IF(Upgrades!$T$11="Orbital Resonance",POWER(Upgrades!$U$11,J112),1)*IF(Upgrades!$T$12="Orbital Resonance",POWER(Upgrades!$U$12,K112),1))+(IF(J112=0,0,(Upgrades!$G$11+J112*Upgrades!$H$11)*POWER(Upgrades!$I$11,J112)))*(IF(Upgrades!$T$6="Heliopause",POWER(Upgrades!$U$6,E112),1)*IF(Upgrades!$T$7="Heliopause",POWER(Upgrades!$U$7,F112),1)*IF(Upgrades!$T$8="Heliopause",POWER(Upgrades!$U$8,G112),1)*IF(Upgrades!$T$9="Heliopause",POWER(Upgrades!$U$9,H112),1)*IF(Upgrades!$T$10="Heliopause",POWER(Upgrades!$U$10,I112),1)*IF(Upgrades!$T$12="Heliopause",POWER(Upgrades!$U$12,K112),1))+(IF(K112=0,0,(Upgrades!$G$12+K112*Upgrades!$H$12)*POWER(Upgrades!$I$12,K112)))*(IF(Upgrades!$T$6="First Photons",POWER(Upgrades!$U$6,E112),1)*IF(Upgrades!$T$7="First Photons",POWER(Upgrades!$U$7,F112),1)*IF(Upgrades!$T$8="First Photons",POWER(Upgrades!$U$8,G112),1)*IF(Upgrades!$T$9="First Photons",POWER(Upgrades!$U$9,H112),1)*IF(Upgrades!$T$10="First Photons",POWER(Upgrades!$U$10,I112),1)*IF(Upgrades!$T$11="First Photons",POWER(Upgrades!$U$11,J112),1)))*POWER(Upgrades!$P$6,E112)*POWER(Upgrades!$P$7,F112)*POWER(Upgrades!$P$8,G112)*POWER(Upgrades!$P$9,H112)*POWER(Upgrades!$P$10,I112)*POWER(Upgrades!$P$11,J112)*POWER(Upgrades!$P$12,K112)</f>
        <v>11.2</v>
      </c>
      <c r="O112" s="28" t="n">
        <f aca="false">((IF(E112=0,0,(Upgrades!$M$6+E112*Upgrades!$N$6)*POWER(Upgrades!$O$6,E112)))*(IF(Upgrades!$T$7="Solar Wind",POWER(Upgrades!$U$7,F112),1)*IF(Upgrades!$T$8="Solar Wind",POWER(Upgrades!$U$8,G112),1)*IF(Upgrades!$T$9="Solar Wind",POWER(Upgrades!$U$9,H112),1)*IF(Upgrades!$T$10="Solar Wind",POWER(Upgrades!$U$10,I112),1)*IF(Upgrades!$T$11="Solar Wind",POWER(Upgrades!$U$11,J112),1)*IF(Upgrades!$T$12="Solar Wind",POWER(Upgrades!$U$12,K112),1))+(IF(F112=0,0,(Upgrades!$M$7+F112*Upgrades!$N$7)*POWER(Upgrades!$O$7,F112)))*(IF(Upgrades!$T$6="Asteroid Belt",POWER(Upgrades!$U$6,E112),1)*IF(Upgrades!$T$8="Asteroid Belt",POWER(Upgrades!$U$8,G112),1)*IF(Upgrades!$T$9="Asteroid Belt",POWER(Upgrades!$U$9,H112),1)*IF(Upgrades!$T$10="Asteroid Belt",POWER(Upgrades!$U$10,I112),1)*IF(Upgrades!$T$11="Asteroid Belt",POWER(Upgrades!$U$11,J112),1)*IF(Upgrades!$T$12="Asteroid Belt",POWER(Upgrades!$U$12,K112),1))+(IF(G112=0,0,(Upgrades!$M$8+G112*Upgrades!$N$8)*POWER(Upgrades!$O$8,G112)))*(IF(Upgrades!$T$6="Stellar Coupling",POWER(Upgrades!$U$6,E112),1)*IF(Upgrades!$T$7="Stellar Coupling",POWER(Upgrades!$U$7,F112),1)*IF(Upgrades!$T$9="Stellar Coupling",POWER(Upgrades!$U$9,H112),1)*IF(Upgrades!$T$10="Stellar Coupling",POWER(Upgrades!$U$10,I112),1)*IF(Upgrades!$T$11="Stellar Coupling",POWER(Upgrades!$U$11,J112),1)*IF(Upgrades!$T$12="Stellar Coupling",POWER(Upgrades!$U$12,K112),1))+(IF(H112=0,0,(Upgrades!$M$9+H112*Upgrades!$N$9)*POWER(Upgrades!$O$9,H112)))*(IF(Upgrades!$T$6="Magnetosphere",POWER(Upgrades!$U$6,E112),1)*IF(Upgrades!$T$7="Magnetosphere",POWER(Upgrades!$U$7,F112),1)*IF(Upgrades!$T$8="Magnetosphere",POWER(Upgrades!$U$8,G112),1)*IF(Upgrades!$T$10="Magnetosphere",POWER(Upgrades!$U$10,I112),1)*IF(Upgrades!$T$11="Magnetosphere",POWER(Upgrades!$U$11,J112),1)*IF(Upgrades!$T$12="Magnetosphere",POWER(Upgrades!$U$12,K112),1))+(IF(I112=0,0,(Upgrades!$M$10+I112*Upgrades!$N$10)*POWER(Upgrades!$O$10,I112)))*(IF(Upgrades!$T$6="Orbital Resonance",POWER(Upgrades!$U$6,E112),1)*IF(Upgrades!$T$7="Orbital Resonance",POWER(Upgrades!$U$7,F112),1)*IF(Upgrades!$T$8="Orbital Resonance",POWER(Upgrades!$U$8,G112),1)*IF(Upgrades!$T$9="Orbital Resonance",POWER(Upgrades!$U$9,H112),1)*IF(Upgrades!$T$11="Orbital Resonance",POWER(Upgrades!$U$11,J112),1)*IF(Upgrades!$T$12="Orbital Resonance",POWER(Upgrades!$U$12,K112),1))+(IF(J112=0,0,(Upgrades!$M$11+J112*Upgrades!$N$11)*POWER(Upgrades!$O$11,J112)))*(IF(Upgrades!$T$6="Heliopause",POWER(Upgrades!$U$6,E112),1)*IF(Upgrades!$T$7="Heliopause",POWER(Upgrades!$U$7,F112),1)*IF(Upgrades!$T$8="Heliopause",POWER(Upgrades!$U$8,G112),1)*IF(Upgrades!$T$9="Heliopause",POWER(Upgrades!$U$9,H112),1)*IF(Upgrades!$T$10="Heliopause",POWER(Upgrades!$U$10,I112),1)*IF(Upgrades!$T$12="Heliopause",POWER(Upgrades!$U$12,K112),1))+(IF(K112=0,0,(Upgrades!$M$12+K112*Upgrades!$N$12)*POWER(Upgrades!$O$12,K112)))*(IF(Upgrades!$T$6="First Photons",POWER(Upgrades!$U$6,E112),1)*IF(Upgrades!$T$7="First Photons",POWER(Upgrades!$U$7,F112),1)*IF(Upgrades!$T$8="First Photons",POWER(Upgrades!$U$8,G112),1)*IF(Upgrades!$T$9="First Photons",POWER(Upgrades!$U$9,H112),1)*IF(Upgrades!$T$10="First Photons",POWER(Upgrades!$U$10,I112),1)*IF(Upgrades!$T$11="First Photons",POWER(Upgrades!$U$11,J112),1)))*POWER(Upgrades!$R$6,E112)*POWER(Upgrades!$R$7,F112)*POWER(Upgrades!$R$8,G112)*POWER(Upgrades!$R$9,H112)*POWER(Upgrades!$R$10,I112)*POWER(Upgrades!$R$11,J112)*POWER(Upgrades!$R$12,K112)</f>
        <v>0</v>
      </c>
      <c r="P112" s="27" t="n">
        <f aca="false">IF(L112=1,0,M112*Parameters!$B$10/60*Parameters!$B$11*10)</f>
        <v>0</v>
      </c>
      <c r="Q112" s="27" t="n">
        <f aca="false">IF(L112=1,0,O112*M112*10)</f>
        <v>0</v>
      </c>
      <c r="R112" s="27" t="n">
        <f aca="false">IF(L112=1,0,N112*10)</f>
        <v>0</v>
      </c>
      <c r="S112" s="27" t="n">
        <f aca="false">P112+Q112+R112</f>
        <v>0</v>
      </c>
      <c r="T112" s="21" t="n">
        <f aca="false">C112+S112</f>
        <v>18.6730249835055</v>
      </c>
      <c r="U112" s="34" t="str">
        <f aca="false">AX112</f>
        <v/>
      </c>
      <c r="V112" s="21" t="n">
        <f aca="false">IF(U112="",0,IF(U112="transition",0,IF(U112="SW",AG112,IF(U112="AB",AH112,IF(U112="SC",AI112,IF(U112="Mag",AJ112,IF(U112="OR",AK112,IF(U112="HP",AL112,IF(U112="FP",AM112,0)))))))))</f>
        <v>0</v>
      </c>
      <c r="W112" s="27" t="n">
        <f aca="false">IF(U112="OR",Upgrades!$F$10,IF(U112="HP",Upgrades!$F$11,IF(U112="transition",-Parameters!$B$18,0)))</f>
        <v>0</v>
      </c>
      <c r="X112" s="21" t="n">
        <f aca="false">T112-V112</f>
        <v>18.6730249835055</v>
      </c>
      <c r="Y112" s="30" t="n">
        <f aca="false">M112*Parameters!$B$10/60*Parameters!$B$11+O112*M112+N112</f>
        <v>20.55</v>
      </c>
      <c r="Z112" s="35" t="str">
        <f aca="false">IF(U112="transition","→ Tier 2 (Stellar Neighborhood)",IF(U112="FP","First Photons — light begins, system quickens",IF(U112="HP","Heliopause acquired",IF(U112="OR","Orbital Resonance — passive multiplier active",IF(AND(AO112=1,L112=0,AN112&lt;&gt;1),"Cohesion ready (waiting on completionist upgrades)","")))))</f>
        <v/>
      </c>
      <c r="AA112" s="27" t="n">
        <f aca="false">(IF(E112=0,0,(Upgrades!$G$6+E112*Upgrades!$H$6)*POWER(Upgrades!$I$6,E112)))*(IF(Upgrades!$T$7="Solar Wind",POWER(Upgrades!$U$7,F112),1)*IF(Upgrades!$T$8="Solar Wind",POWER(Upgrades!$U$8,G112),1)*IF(Upgrades!$T$9="Solar Wind",POWER(Upgrades!$U$9,H112),1)*IF(Upgrades!$T$10="Solar Wind",POWER(Upgrades!$U$10,I112),1)*IF(Upgrades!$T$11="Solar Wind",POWER(Upgrades!$U$11,J112),1)*IF(Upgrades!$T$12="Solar Wind",POWER(Upgrades!$U$12,K112),1))*POWER(Upgrades!$P$6,E112)*POWER(Upgrades!$P$7,F112)*POWER(Upgrades!$P$8,G112)*POWER(Upgrades!$P$9,H112)*POWER(Upgrades!$P$10,I112)*POWER(Upgrades!$P$11,J112)*POWER(Upgrades!$P$12,K112)*60</f>
        <v>72</v>
      </c>
      <c r="AB112" s="27" t="n">
        <f aca="false">(IF(F112=0,0,(Upgrades!$G$7+F112*Upgrades!$H$7)*POWER(Upgrades!$I$7,F112)))*(IF(Upgrades!$T$6="Asteroid Belt",POWER(Upgrades!$U$6,E112),1)*IF(Upgrades!$T$8="Asteroid Belt",POWER(Upgrades!$U$8,G112),1)*IF(Upgrades!$T$9="Asteroid Belt",POWER(Upgrades!$U$9,H112),1)*IF(Upgrades!$T$10="Asteroid Belt",POWER(Upgrades!$U$10,I112),1)*IF(Upgrades!$T$11="Asteroid Belt",POWER(Upgrades!$U$11,J112),1)*IF(Upgrades!$T$12="Asteroid Belt",POWER(Upgrades!$U$12,K112),1))*POWER(Upgrades!$P$6,E112)*POWER(Upgrades!$P$7,F112)*POWER(Upgrades!$P$8,G112)*POWER(Upgrades!$P$9,H112)*POWER(Upgrades!$P$10,I112)*POWER(Upgrades!$P$11,J112)*POWER(Upgrades!$P$12,K112)*60</f>
        <v>150</v>
      </c>
      <c r="AC112" s="27" t="n">
        <f aca="false">(IF(G112=0,0,(Upgrades!$J$8+G112*Upgrades!$K$8)*POWER(Upgrades!$L$8,G112)))*(IF(Upgrades!$T$6="Stellar Coupling",POWER(Upgrades!$U$6,E112),1)*IF(Upgrades!$T$7="Stellar Coupling",POWER(Upgrades!$U$7,F112),1)*IF(Upgrades!$T$9="Stellar Coupling",POWER(Upgrades!$U$9,H112),1)*IF(Upgrades!$T$10="Stellar Coupling",POWER(Upgrades!$U$10,I112),1)*IF(Upgrades!$T$11="Stellar Coupling",POWER(Upgrades!$U$11,J112),1)*IF(Upgrades!$T$12="Stellar Coupling",POWER(Upgrades!$U$12,K112),1))*POWER(Upgrades!$Q$6,E112)*POWER(Upgrades!$Q$7,F112)*POWER(Upgrades!$Q$8,G112)*POWER(Upgrades!$Q$9,H112)*POWER(Upgrades!$Q$10,I112)*POWER(Upgrades!$Q$11,J112)*POWER(Upgrades!$Q$12,K112)*Parameters!$B$10*Parameters!$B$11</f>
        <v>441</v>
      </c>
      <c r="AD112" s="27" t="n">
        <f aca="false">(IF(H112=0,0,(Upgrades!$G$9+H112*Upgrades!$H$9)*POWER(Upgrades!$I$9,H112)))*(IF(Upgrades!$T$6="Magnetosphere",POWER(Upgrades!$U$6,E112),1)*IF(Upgrades!$T$7="Magnetosphere",POWER(Upgrades!$U$7,F112),1)*IF(Upgrades!$T$8="Magnetosphere",POWER(Upgrades!$U$8,G112),1)*IF(Upgrades!$T$10="Magnetosphere",POWER(Upgrades!$U$10,I112),1)*IF(Upgrades!$T$11="Magnetosphere",POWER(Upgrades!$U$11,J112),1)*IF(Upgrades!$T$12="Magnetosphere",POWER(Upgrades!$U$12,K112),1))*POWER(Upgrades!$P$6,E112)*POWER(Upgrades!$P$7,F112)*POWER(Upgrades!$P$8,G112)*POWER(Upgrades!$P$9,H112)*POWER(Upgrades!$P$10,I112)*POWER(Upgrades!$P$11,J112)*POWER(Upgrades!$P$12,K112)*60</f>
        <v>375</v>
      </c>
      <c r="AE112" s="27" t="n">
        <f aca="false">(IF(K112=0,0,(Upgrades!$G$12+K112*Upgrades!$H$12)*POWER(Upgrades!$I$12,K112)))*(IF(Upgrades!$T$6="First Photons",POWER(Upgrades!$U$6,E112),1)*IF(Upgrades!$T$7="First Photons",POWER(Upgrades!$U$7,F112),1)*IF(Upgrades!$T$8="First Photons",POWER(Upgrades!$U$8,G112),1)*IF(Upgrades!$T$9="First Photons",POWER(Upgrades!$U$9,H112),1)*IF(Upgrades!$T$10="First Photons",POWER(Upgrades!$U$10,I112),1)*IF(Upgrades!$T$11="First Photons",POWER(Upgrades!$U$11,J112),1))*POWER(Upgrades!$P$6,E112)*POWER(Upgrades!$P$7,F112)*POWER(Upgrades!$P$8,G112)*POWER(Upgrades!$P$9,H112)*POWER(Upgrades!$P$10,I112)*POWER(Upgrades!$P$11,J112)*POWER(Upgrades!$P$12,K112)*60</f>
        <v>75</v>
      </c>
      <c r="AF112" s="27" t="n">
        <f aca="false">Parameters!$B$9*POWER(Upgrades!$Q$6,E112)*POWER(Upgrades!$Q$7,F112)*POWER(Upgrades!$Q$8,G112)*POWER(Upgrades!$Q$9,H112)*POWER(Upgrades!$Q$10,I112)*POWER(Upgrades!$Q$11,J112)*POWER(Upgrades!$Q$12,K112)*(Parameters!$B$10*Parameters!$B$11+O112*60)</f>
        <v>120</v>
      </c>
      <c r="AG112" s="21" t="n">
        <f aca="false">IF(E112&gt;=Upgrades!$E$6,"",Upgrades!$C$6*POWER(Upgrades!$D$6,E112))</f>
        <v>37.4517507383159</v>
      </c>
      <c r="AH112" s="21" t="n">
        <f aca="false">IF(F112&gt;=Upgrades!$E$7,"",Upgrades!$C$7*POWER(Upgrades!$D$7,F112))</f>
        <v>80.9111547141581</v>
      </c>
      <c r="AI112" s="21" t="n">
        <f aca="false">IF(G112&gt;=Upgrades!$E$8,"",Upgrades!$C$8*POWER(Upgrades!$D$8,G112))</f>
        <v>231.9097088</v>
      </c>
      <c r="AJ112" s="21" t="str">
        <f aca="false">IF(H112&gt;=Upgrades!$E$9,"",Upgrades!$C$9*POWER(Upgrades!$D$9,H112))</f>
        <v/>
      </c>
      <c r="AK112" s="21" t="str">
        <f aca="false">IF(I112&gt;=Upgrades!$E$10,"",Upgrades!$C$10*POWER(Upgrades!$D$10,I112))</f>
        <v/>
      </c>
      <c r="AL112" s="21" t="str">
        <f aca="false">IF(J112&gt;=Upgrades!$E$11,"",Upgrades!$C$11*POWER(Upgrades!$D$11,J112))</f>
        <v/>
      </c>
      <c r="AM112" s="21" t="str">
        <f aca="false">IF(K112&gt;=Upgrades!$E$12,"",Upgrades!$C$12*POWER(Upgrades!$D$12,K112))</f>
        <v/>
      </c>
      <c r="AN112" s="26" t="str">
        <f aca="false">IF(AND(D112&gt;=Parameters!$B$18,(H112&gt;=Upgrades!$E$9)*(K112&gt;=Upgrades!$E$12)=1,L112=0),1,"")</f>
        <v/>
      </c>
      <c r="AO112" s="26" t="str">
        <f aca="false">IF(AND(D112&gt;=Parameters!$B$18,L112=0),1,"")</f>
        <v/>
      </c>
      <c r="AP112" s="21" t="n">
        <f aca="false">MIN(IF(ISNUMBER(AK112),AK112,9000000000000000),IF(ISNUMBER(AL112),AL112,9000000000000000),IF(ISNUMBER(AM112),AM112,9000000000000000))</f>
        <v>9000000000000000</v>
      </c>
      <c r="AQ112" s="21" t="n">
        <f aca="false">MIN(IF(ISNUMBER(AG112),AG112,9000000000000000),IF(ISNUMBER(AH112),AH112,9000000000000000),IF(ISNUMBER(AI112),AI112,9000000000000000),IF(ISNUMBER(AJ112),AJ112,9000000000000000))</f>
        <v>37.4517507383159</v>
      </c>
      <c r="AR112" s="32" t="b">
        <f aca="false">IF(AW112&gt;Parameters!$B$21*(MAX(IF(AND(NOT(AND(AO112=1,AN112&lt;&gt;1)),ISNUMBER(AG112),AG112&lt;=T112),AS112,0),IF(AND(NOT(AND(AO112=1,AN112&lt;&gt;1)),ISNUMBER(AH112),AH112&lt;=T112),AT112,0),IF(AND(NOT(AND(AO112=1,AN112&lt;&gt;1)),ISNUMBER(AI112),AI112&lt;=T112),AU112,0),IF(AND(ISNUMBER(AJ112),AJ112&lt;=T112),AV112,0))),TRUE(),FALSE())</f>
        <v>1</v>
      </c>
      <c r="AS112" s="33" t="n">
        <f aca="false">IFERROR(Upgrades!$H$6*(POWER(Upgrades!$P$6,E112)*POWER(Upgrades!$P$7,F112)*POWER(Upgrades!$P$8,G112)*POWER(Upgrades!$P$9,H112)*POWER(Upgrades!$P$10,I112)*POWER(Upgrades!$P$11,J112)*POWER(Upgrades!$P$12,K112))*(IF(Upgrades!$T$7="Solar Wind",POWER(Upgrades!$U$7,F112),1)*IF(Upgrades!$T$8="Solar Wind",POWER(Upgrades!$U$8,G112),1)*IF(Upgrades!$T$9="Solar Wind",POWER(Upgrades!$U$9,H112),1)*IF(Upgrades!$T$10="Solar Wind",POWER(Upgrades!$U$10,I112),1)*IF(Upgrades!$T$11="Solar Wind",POWER(Upgrades!$U$11,J112),1)*IF(Upgrades!$T$12="Solar Wind",POWER(Upgrades!$U$12,K112),1))/AG112,0)</f>
        <v>0.0026701021455238</v>
      </c>
      <c r="AT112" s="33" t="n">
        <f aca="false">IFERROR(Upgrades!$H$7*(POWER(Upgrades!$P$6,E112)*POWER(Upgrades!$P$7,F112)*POWER(Upgrades!$P$8,G112)*POWER(Upgrades!$P$9,H112)*POWER(Upgrades!$P$10,I112)*POWER(Upgrades!$P$11,J112)*POWER(Upgrades!$P$12,K112))*(IF(Upgrades!$T$6="Asteroid Belt",POWER(Upgrades!$U$6,E112),1)*IF(Upgrades!$T$8="Asteroid Belt",POWER(Upgrades!$U$8,G112),1)*IF(Upgrades!$T$9="Asteroid Belt",POWER(Upgrades!$U$9,H112),1)*IF(Upgrades!$T$10="Asteroid Belt",POWER(Upgrades!$U$10,I112),1)*IF(Upgrades!$T$11="Asteroid Belt",POWER(Upgrades!$U$11,J112),1)*IF(Upgrades!$T$12="Asteroid Belt",POWER(Upgrades!$U$12,K112),1))/AH112,0)</f>
        <v>0.00308980882652332</v>
      </c>
      <c r="AU112" s="33" t="n">
        <f aca="false">IFERROR(Upgrades!$K$8*(POWER(Upgrades!$Q$6,E112)*POWER(Upgrades!$Q$7,F112)*POWER(Upgrades!$Q$8,G112)*POWER(Upgrades!$Q$9,H112)*POWER(Upgrades!$Q$10,I112)*POWER(Upgrades!$Q$11,J112)*POWER(Upgrades!$Q$12,K112))*(IF(Upgrades!$T$6="Stellar Coupling",POWER(Upgrades!$U$6,E112),1)*IF(Upgrades!$T$7="Stellar Coupling",POWER(Upgrades!$U$7,F112),1)*IF(Upgrades!$T$9="Stellar Coupling",POWER(Upgrades!$U$9,H112),1)*IF(Upgrades!$T$10="Stellar Coupling",POWER(Upgrades!$U$10,I112),1)*IF(Upgrades!$T$11="Stellar Coupling",POWER(Upgrades!$U$11,J112),1)*IF(Upgrades!$T$12="Stellar Coupling",POWER(Upgrades!$U$12,K112),1))*Parameters!$B$10*Parameters!$B$11/60/AI112,0)</f>
        <v>0.00452762415783776</v>
      </c>
      <c r="AV112" s="33" t="n">
        <f aca="false">IFERROR(Upgrades!$H$9*(POWER(Upgrades!$P$6,E112)*POWER(Upgrades!$P$7,F112)*POWER(Upgrades!$P$8,G112)*POWER(Upgrades!$P$9,H112)*POWER(Upgrades!$P$10,I112)*POWER(Upgrades!$P$11,J112)*POWER(Upgrades!$P$12,K112))*(IF(Upgrades!$T$6="Magnetosphere",POWER(Upgrades!$U$6,E112),1)*IF(Upgrades!$T$7="Magnetosphere",POWER(Upgrades!$U$7,F112),1)*IF(Upgrades!$T$8="Magnetosphere",POWER(Upgrades!$U$8,G112),1)*IF(Upgrades!$T$10="Magnetosphere",POWER(Upgrades!$U$10,I112),1)*IF(Upgrades!$T$11="Magnetosphere",POWER(Upgrades!$U$11,J112),1)*IF(Upgrades!$T$12="Magnetosphere",POWER(Upgrades!$U$12,K112),1))/AJ112,0)</f>
        <v>0</v>
      </c>
      <c r="AW112" s="33" t="n">
        <f aca="false">MAX(IF(I112&gt;0,0,IFERROR(0.25*N112/Upgrades!$C$10,0)),IF(J112&gt;0,0,IFERROR(0.5*((IF(G112=0,0,(Upgrades!$J$8+G112*Upgrades!$K$8)*POWER(Upgrades!$L$8,G112)))*(IF(Upgrades!$T$6="Stellar Coupling",POWER(Upgrades!$U$6,E112),1)*IF(Upgrades!$T$7="Stellar Coupling",POWER(Upgrades!$U$7,F112),1)*IF(Upgrades!$T$9="Stellar Coupling",POWER(Upgrades!$U$9,H112),1)*IF(Upgrades!$T$10="Stellar Coupling",POWER(Upgrades!$U$10,I112),1)*IF(Upgrades!$T$11="Stellar Coupling",POWER(Upgrades!$U$11,J112),1)*IF(Upgrades!$T$12="Stellar Coupling",POWER(Upgrades!$U$12,K112),1))*(POWER(Upgrades!$Q$6,E112)*POWER(Upgrades!$Q$7,F112)*POWER(Upgrades!$Q$8,G112)*POWER(Upgrades!$Q$9,H112)*POWER(Upgrades!$Q$10,I112)*POWER(Upgrades!$Q$11,J112)*POWER(Upgrades!$Q$12,K112))*Parameters!$B$10*Parameters!$B$11/60)/Upgrades!$C$11,0)),IF(K112&gt;0,0,IFERROR((1*(POWER(Upgrades!$P$6,E112)*POWER(Upgrades!$P$7,F112)*POWER(Upgrades!$P$8,G112)*POWER(Upgrades!$P$9,H112)*POWER(Upgrades!$P$10,I112)*POWER(Upgrades!$P$11,J112)*POWER(Upgrades!$P$12,K112))+0.2*M112*Parameters!$B$10*Parameters!$B$11/60)/Upgrades!$C$12,0)),IF(AND(ISNUMBER(AG112),AG112&gt;T112),AS112,0),IF(AND(ISNUMBER(AH112),AH112&gt;T112),AT112,0),IF(AND(ISNUMBER(AI112),AI112&gt;T112),AU112,0),IF(AND(ISNUMBER(AJ112),AJ112&gt;T112),AV112,0))</f>
        <v>0.00452762415783776</v>
      </c>
      <c r="AX112" s="29" t="str">
        <f aca="false">IF(AN112=1,"transition",IF(MIN(IF(AND(I112=0,ISNUMBER(AK112),AK112&lt;=T112),AK112,9000000000000000),IF(AND(J112=0,ISNUMBER(AL112),AL112&lt;=T112),AL112,9000000000000000),IF(AND(K112=0,ISNUMBER(AM112),AM112&lt;=T112),AM112,9000000000000000))&lt;9000000000000000,IF(AND(AND(I112=0,ISNUMBER(AK112),AK112&lt;=T112),AK112=MIN(IF(AND(I112=0,ISNUMBER(AK112),AK112&lt;=T112),AK112,9000000000000000),IF(AND(J112=0,ISNUMBER(AL112),AL112&lt;=T112),AL112,9000000000000000),IF(AND(K112=0,ISNUMBER(AM112),AM112&lt;=T112),AM112,9000000000000000))),"OR",IF(AND(AND(J112=0,ISNUMBER(AL112),AL112&lt;=T112),AL112=MIN(IF(AND(I112=0,ISNUMBER(AK112),AK112&lt;=T112),AK112,9000000000000000),IF(AND(J112=0,ISNUMBER(AL112),AL112&lt;=T112),AL112,9000000000000000),IF(AND(K112=0,ISNUMBER(AM112),AM112&lt;=T112),AM112,9000000000000000))),"HP","FP")),IF(AR112=TRUE(),"",IF(MAX(IF(AND(NOT(AND(AO112=1,AN112&lt;&gt;1)),ISNUMBER(AG112),AG112&lt;=T112),AS112,0),IF(AND(NOT(AND(AO112=1,AN112&lt;&gt;1)),ISNUMBER(AH112),AH112&lt;=T112),AT112,0),IF(AND(NOT(AND(AO112=1,AN112&lt;&gt;1)),ISNUMBER(AI112),AI112&lt;=T112),AU112,0),IF(AND(ISNUMBER(AJ112),AJ112&lt;=T112),AV112,0))&lt;=0,"",IF(AND(IF(AND(NOT(AND(AO112=1,AN112&lt;&gt;1)),ISNUMBER(AG112),AG112&lt;=T112),AS112,0)&gt;0,IF(AND(NOT(AND(AO112=1,AN112&lt;&gt;1)),ISNUMBER(AG112),AG112&lt;=T112),AS112,0)=MAX(IF(AND(NOT(AND(AO112=1,AN112&lt;&gt;1)),ISNUMBER(AG112),AG112&lt;=T112),AS112,0),IF(AND(NOT(AND(AO112=1,AN112&lt;&gt;1)),ISNUMBER(AH112),AH112&lt;=T112),AT112,0),IF(AND(NOT(AND(AO112=1,AN112&lt;&gt;1)),ISNUMBER(AI112),AI112&lt;=T112),AU112,0),IF(AND(ISNUMBER(AJ112),AJ112&lt;=T112),AV112,0))),"SW",IF(AND(IF(AND(NOT(AND(AO112=1,AN112&lt;&gt;1)),ISNUMBER(AH112),AH112&lt;=T112),AT112,0)&gt;0,IF(AND(NOT(AND(AO112=1,AN112&lt;&gt;1)),ISNUMBER(AH112),AH112&lt;=T112),AT112,0)=MAX(IF(AND(NOT(AND(AO112=1,AN112&lt;&gt;1)),ISNUMBER(AG112),AG112&lt;=T112),AS112,0),IF(AND(NOT(AND(AO112=1,AN112&lt;&gt;1)),ISNUMBER(AH112),AH112&lt;=T112),AT112,0),IF(AND(NOT(AND(AO112=1,AN112&lt;&gt;1)),ISNUMBER(AI112),AI112&lt;=T112),AU112,0),IF(AND(ISNUMBER(AJ112),AJ112&lt;=T112),AV112,0))),"AB",IF(AND(IF(AND(NOT(AND(AO112=1,AN112&lt;&gt;1)),ISNUMBER(AI112),AI112&lt;=T112),AU112,0)&gt;0,IF(AND(NOT(AND(AO112=1,AN112&lt;&gt;1)),ISNUMBER(AI112),AI112&lt;=T112),AU112,0)=MAX(IF(AND(NOT(AND(AO112=1,AN112&lt;&gt;1)),ISNUMBER(AG112),AG112&lt;=T112),AS112,0),IF(AND(NOT(AND(AO112=1,AN112&lt;&gt;1)),ISNUMBER(AH112),AH112&lt;=T112),AT112,0),IF(AND(NOT(AND(AO112=1,AN112&lt;&gt;1)),ISNUMBER(AI112),AI112&lt;=T112),AU112,0),IF(AND(ISNUMBER(AJ112),AJ112&lt;=T112),AV112,0))),"SC","Mag")))))))</f>
        <v/>
      </c>
    </row>
    <row r="113" customFormat="false" ht="15" hidden="false" customHeight="false" outlineLevel="0" collapsed="false">
      <c r="A113" s="26" t="n">
        <v>108</v>
      </c>
      <c r="B113" s="27" t="n">
        <f aca="false">A113*10/60</f>
        <v>18</v>
      </c>
      <c r="C113" s="21" t="n">
        <f aca="false">X112</f>
        <v>18.6730249835055</v>
      </c>
      <c r="D113" s="27" t="n">
        <f aca="false">D112+W112</f>
        <v>0</v>
      </c>
      <c r="E113" s="26" t="n">
        <f aca="false">E112+IF(U112="SW",1,0)</f>
        <v>12</v>
      </c>
      <c r="F113" s="26" t="n">
        <f aca="false">F112+IF(U112="AB",1,0)</f>
        <v>10</v>
      </c>
      <c r="G113" s="26" t="n">
        <f aca="false">G112+IF(U112="SC",1,0)</f>
        <v>7</v>
      </c>
      <c r="H113" s="26" t="n">
        <f aca="false">H112+IF(U112="Mag",1,0)</f>
        <v>5</v>
      </c>
      <c r="I113" s="26" t="n">
        <f aca="false">MAX(I112,IF(U112="OR",1,0))</f>
        <v>1</v>
      </c>
      <c r="J113" s="26" t="n">
        <f aca="false">MAX(J112,IF(U112="HP",1,0))</f>
        <v>1</v>
      </c>
      <c r="K113" s="26" t="n">
        <f aca="false">MAX(K112,IF(U112="FP",1,0))</f>
        <v>1</v>
      </c>
      <c r="L113" s="26" t="n">
        <f aca="false">MAX(L112,IF(U112="transition",1,0))</f>
        <v>1</v>
      </c>
      <c r="M113" s="28" t="n">
        <f aca="false">(Parameters!$B$9+(IF(E113=0,0,(Upgrades!$J$6+E113*Upgrades!$K$6)*POWER(Upgrades!$L$6,E113)))*(IF(Upgrades!$T$7="Solar Wind",POWER(Upgrades!$U$7,F113),1)*IF(Upgrades!$T$8="Solar Wind",POWER(Upgrades!$U$8,G113),1)*IF(Upgrades!$T$9="Solar Wind",POWER(Upgrades!$U$9,H113),1)*IF(Upgrades!$T$10="Solar Wind",POWER(Upgrades!$U$10,I113),1)*IF(Upgrades!$T$11="Solar Wind",POWER(Upgrades!$U$11,J113),1)*IF(Upgrades!$T$12="Solar Wind",POWER(Upgrades!$U$12,K113),1))+(IF(F113=0,0,(Upgrades!$J$7+F113*Upgrades!$K$7)*POWER(Upgrades!$L$7,F113)))*(IF(Upgrades!$T$6="Asteroid Belt",POWER(Upgrades!$U$6,E113),1)*IF(Upgrades!$T$8="Asteroid Belt",POWER(Upgrades!$U$8,G113),1)*IF(Upgrades!$T$9="Asteroid Belt",POWER(Upgrades!$U$9,H113),1)*IF(Upgrades!$T$10="Asteroid Belt",POWER(Upgrades!$U$10,I113),1)*IF(Upgrades!$T$11="Asteroid Belt",POWER(Upgrades!$U$11,J113),1)*IF(Upgrades!$T$12="Asteroid Belt",POWER(Upgrades!$U$12,K113),1))+(IF(G113=0,0,(Upgrades!$J$8+G113*Upgrades!$K$8)*POWER(Upgrades!$L$8,G113)))*(IF(Upgrades!$T$6="Stellar Coupling",POWER(Upgrades!$U$6,E113),1)*IF(Upgrades!$T$7="Stellar Coupling",POWER(Upgrades!$U$7,F113),1)*IF(Upgrades!$T$9="Stellar Coupling",POWER(Upgrades!$U$9,H113),1)*IF(Upgrades!$T$10="Stellar Coupling",POWER(Upgrades!$U$10,I113),1)*IF(Upgrades!$T$11="Stellar Coupling",POWER(Upgrades!$U$11,J113),1)*IF(Upgrades!$T$12="Stellar Coupling",POWER(Upgrades!$U$12,K113),1))+(IF(H113=0,0,(Upgrades!$J$9+H113*Upgrades!$K$9)*POWER(Upgrades!$L$9,H113)))*(IF(Upgrades!$T$6="Magnetosphere",POWER(Upgrades!$U$6,E113),1)*IF(Upgrades!$T$7="Magnetosphere",POWER(Upgrades!$U$7,F113),1)*IF(Upgrades!$T$8="Magnetosphere",POWER(Upgrades!$U$8,G113),1)*IF(Upgrades!$T$10="Magnetosphere",POWER(Upgrades!$U$10,I113),1)*IF(Upgrades!$T$11="Magnetosphere",POWER(Upgrades!$U$11,J113),1)*IF(Upgrades!$T$12="Magnetosphere",POWER(Upgrades!$U$12,K113),1))+(IF(I113=0,0,(Upgrades!$J$10+I113*Upgrades!$K$10)*POWER(Upgrades!$L$10,I113)))*(IF(Upgrades!$T$6="Orbital Resonance",POWER(Upgrades!$U$6,E113),1)*IF(Upgrades!$T$7="Orbital Resonance",POWER(Upgrades!$U$7,F113),1)*IF(Upgrades!$T$8="Orbital Resonance",POWER(Upgrades!$U$8,G113),1)*IF(Upgrades!$T$9="Orbital Resonance",POWER(Upgrades!$U$9,H113),1)*IF(Upgrades!$T$11="Orbital Resonance",POWER(Upgrades!$U$11,J113),1)*IF(Upgrades!$T$12="Orbital Resonance",POWER(Upgrades!$U$12,K113),1))+(IF(J113=0,0,(Upgrades!$J$11+J113*Upgrades!$K$11)*POWER(Upgrades!$L$11,J113)))*(IF(Upgrades!$T$6="Heliopause",POWER(Upgrades!$U$6,E113),1)*IF(Upgrades!$T$7="Heliopause",POWER(Upgrades!$U$7,F113),1)*IF(Upgrades!$T$8="Heliopause",POWER(Upgrades!$U$8,G113),1)*IF(Upgrades!$T$9="Heliopause",POWER(Upgrades!$U$9,H113),1)*IF(Upgrades!$T$10="Heliopause",POWER(Upgrades!$U$10,I113),1)*IF(Upgrades!$T$12="Heliopause",POWER(Upgrades!$U$12,K113),1))+(IF(K113=0,0,(Upgrades!$J$12+K113*Upgrades!$K$12)*POWER(Upgrades!$L$12,K113)))*(IF(Upgrades!$T$6="First Photons",POWER(Upgrades!$U$6,E113),1)*IF(Upgrades!$T$7="First Photons",POWER(Upgrades!$U$7,F113),1)*IF(Upgrades!$T$8="First Photons",POWER(Upgrades!$U$8,G113),1)*IF(Upgrades!$T$9="First Photons",POWER(Upgrades!$U$9,H113),1)*IF(Upgrades!$T$10="First Photons",POWER(Upgrades!$U$10,I113),1)*IF(Upgrades!$T$11="First Photons",POWER(Upgrades!$U$11,J113),1)))*POWER(Upgrades!$Q$6,E113)*POWER(Upgrades!$Q$7,F113)*POWER(Upgrades!$Q$8,G113)*POWER(Upgrades!$Q$9,H113)*POWER(Upgrades!$Q$10,I113)*POWER(Upgrades!$Q$11,J113)*POWER(Upgrades!$Q$12,K113)</f>
        <v>5.61</v>
      </c>
      <c r="N113" s="28" t="n">
        <f aca="false">((IF(E113=0,0,(Upgrades!$G$6+E113*Upgrades!$H$6)*POWER(Upgrades!$I$6,E113)))*(IF(Upgrades!$T$7="Solar Wind",POWER(Upgrades!$U$7,F113),1)*IF(Upgrades!$T$8="Solar Wind",POWER(Upgrades!$U$8,G113),1)*IF(Upgrades!$T$9="Solar Wind",POWER(Upgrades!$U$9,H113),1)*IF(Upgrades!$T$10="Solar Wind",POWER(Upgrades!$U$10,I113),1)*IF(Upgrades!$T$11="Solar Wind",POWER(Upgrades!$U$11,J113),1)*IF(Upgrades!$T$12="Solar Wind",POWER(Upgrades!$U$12,K113),1))+(IF(F113=0,0,(Upgrades!$G$7+F113*Upgrades!$H$7)*POWER(Upgrades!$I$7,F113)))*(IF(Upgrades!$T$6="Asteroid Belt",POWER(Upgrades!$U$6,E113),1)*IF(Upgrades!$T$8="Asteroid Belt",POWER(Upgrades!$U$8,G113),1)*IF(Upgrades!$T$9="Asteroid Belt",POWER(Upgrades!$U$9,H113),1)*IF(Upgrades!$T$10="Asteroid Belt",POWER(Upgrades!$U$10,I113),1)*IF(Upgrades!$T$11="Asteroid Belt",POWER(Upgrades!$U$11,J113),1)*IF(Upgrades!$T$12="Asteroid Belt",POWER(Upgrades!$U$12,K113),1))+(IF(G113=0,0,(Upgrades!$G$8+G113*Upgrades!$H$8)*POWER(Upgrades!$I$8,G113)))*(IF(Upgrades!$T$6="Stellar Coupling",POWER(Upgrades!$U$6,E113),1)*IF(Upgrades!$T$7="Stellar Coupling",POWER(Upgrades!$U$7,F113),1)*IF(Upgrades!$T$9="Stellar Coupling",POWER(Upgrades!$U$9,H113),1)*IF(Upgrades!$T$10="Stellar Coupling",POWER(Upgrades!$U$10,I113),1)*IF(Upgrades!$T$11="Stellar Coupling",POWER(Upgrades!$U$11,J113),1)*IF(Upgrades!$T$12="Stellar Coupling",POWER(Upgrades!$U$12,K113),1))+(IF(H113=0,0,(Upgrades!$G$9+H113*Upgrades!$H$9)*POWER(Upgrades!$I$9,H113)))*(IF(Upgrades!$T$6="Magnetosphere",POWER(Upgrades!$U$6,E113),1)*IF(Upgrades!$T$7="Magnetosphere",POWER(Upgrades!$U$7,F113),1)*IF(Upgrades!$T$8="Magnetosphere",POWER(Upgrades!$U$8,G113),1)*IF(Upgrades!$T$10="Magnetosphere",POWER(Upgrades!$U$10,I113),1)*IF(Upgrades!$T$11="Magnetosphere",POWER(Upgrades!$U$11,J113),1)*IF(Upgrades!$T$12="Magnetosphere",POWER(Upgrades!$U$12,K113),1))+(IF(I113=0,0,(Upgrades!$G$10+I113*Upgrades!$H$10)*POWER(Upgrades!$I$10,I113)))*(IF(Upgrades!$T$6="Orbital Resonance",POWER(Upgrades!$U$6,E113),1)*IF(Upgrades!$T$7="Orbital Resonance",POWER(Upgrades!$U$7,F113),1)*IF(Upgrades!$T$8="Orbital Resonance",POWER(Upgrades!$U$8,G113),1)*IF(Upgrades!$T$9="Orbital Resonance",POWER(Upgrades!$U$9,H113),1)*IF(Upgrades!$T$11="Orbital Resonance",POWER(Upgrades!$U$11,J113),1)*IF(Upgrades!$T$12="Orbital Resonance",POWER(Upgrades!$U$12,K113),1))+(IF(J113=0,0,(Upgrades!$G$11+J113*Upgrades!$H$11)*POWER(Upgrades!$I$11,J113)))*(IF(Upgrades!$T$6="Heliopause",POWER(Upgrades!$U$6,E113),1)*IF(Upgrades!$T$7="Heliopause",POWER(Upgrades!$U$7,F113),1)*IF(Upgrades!$T$8="Heliopause",POWER(Upgrades!$U$8,G113),1)*IF(Upgrades!$T$9="Heliopause",POWER(Upgrades!$U$9,H113),1)*IF(Upgrades!$T$10="Heliopause",POWER(Upgrades!$U$10,I113),1)*IF(Upgrades!$T$12="Heliopause",POWER(Upgrades!$U$12,K113),1))+(IF(K113=0,0,(Upgrades!$G$12+K113*Upgrades!$H$12)*POWER(Upgrades!$I$12,K113)))*(IF(Upgrades!$T$6="First Photons",POWER(Upgrades!$U$6,E113),1)*IF(Upgrades!$T$7="First Photons",POWER(Upgrades!$U$7,F113),1)*IF(Upgrades!$T$8="First Photons",POWER(Upgrades!$U$8,G113),1)*IF(Upgrades!$T$9="First Photons",POWER(Upgrades!$U$9,H113),1)*IF(Upgrades!$T$10="First Photons",POWER(Upgrades!$U$10,I113),1)*IF(Upgrades!$T$11="First Photons",POWER(Upgrades!$U$11,J113),1)))*POWER(Upgrades!$P$6,E113)*POWER(Upgrades!$P$7,F113)*POWER(Upgrades!$P$8,G113)*POWER(Upgrades!$P$9,H113)*POWER(Upgrades!$P$10,I113)*POWER(Upgrades!$P$11,J113)*POWER(Upgrades!$P$12,K113)</f>
        <v>11.2</v>
      </c>
      <c r="O113" s="28" t="n">
        <f aca="false">((IF(E113=0,0,(Upgrades!$M$6+E113*Upgrades!$N$6)*POWER(Upgrades!$O$6,E113)))*(IF(Upgrades!$T$7="Solar Wind",POWER(Upgrades!$U$7,F113),1)*IF(Upgrades!$T$8="Solar Wind",POWER(Upgrades!$U$8,G113),1)*IF(Upgrades!$T$9="Solar Wind",POWER(Upgrades!$U$9,H113),1)*IF(Upgrades!$T$10="Solar Wind",POWER(Upgrades!$U$10,I113),1)*IF(Upgrades!$T$11="Solar Wind",POWER(Upgrades!$U$11,J113),1)*IF(Upgrades!$T$12="Solar Wind",POWER(Upgrades!$U$12,K113),1))+(IF(F113=0,0,(Upgrades!$M$7+F113*Upgrades!$N$7)*POWER(Upgrades!$O$7,F113)))*(IF(Upgrades!$T$6="Asteroid Belt",POWER(Upgrades!$U$6,E113),1)*IF(Upgrades!$T$8="Asteroid Belt",POWER(Upgrades!$U$8,G113),1)*IF(Upgrades!$T$9="Asteroid Belt",POWER(Upgrades!$U$9,H113),1)*IF(Upgrades!$T$10="Asteroid Belt",POWER(Upgrades!$U$10,I113),1)*IF(Upgrades!$T$11="Asteroid Belt",POWER(Upgrades!$U$11,J113),1)*IF(Upgrades!$T$12="Asteroid Belt",POWER(Upgrades!$U$12,K113),1))+(IF(G113=0,0,(Upgrades!$M$8+G113*Upgrades!$N$8)*POWER(Upgrades!$O$8,G113)))*(IF(Upgrades!$T$6="Stellar Coupling",POWER(Upgrades!$U$6,E113),1)*IF(Upgrades!$T$7="Stellar Coupling",POWER(Upgrades!$U$7,F113),1)*IF(Upgrades!$T$9="Stellar Coupling",POWER(Upgrades!$U$9,H113),1)*IF(Upgrades!$T$10="Stellar Coupling",POWER(Upgrades!$U$10,I113),1)*IF(Upgrades!$T$11="Stellar Coupling",POWER(Upgrades!$U$11,J113),1)*IF(Upgrades!$T$12="Stellar Coupling",POWER(Upgrades!$U$12,K113),1))+(IF(H113=0,0,(Upgrades!$M$9+H113*Upgrades!$N$9)*POWER(Upgrades!$O$9,H113)))*(IF(Upgrades!$T$6="Magnetosphere",POWER(Upgrades!$U$6,E113),1)*IF(Upgrades!$T$7="Magnetosphere",POWER(Upgrades!$U$7,F113),1)*IF(Upgrades!$T$8="Magnetosphere",POWER(Upgrades!$U$8,G113),1)*IF(Upgrades!$T$10="Magnetosphere",POWER(Upgrades!$U$10,I113),1)*IF(Upgrades!$T$11="Magnetosphere",POWER(Upgrades!$U$11,J113),1)*IF(Upgrades!$T$12="Magnetosphere",POWER(Upgrades!$U$12,K113),1))+(IF(I113=0,0,(Upgrades!$M$10+I113*Upgrades!$N$10)*POWER(Upgrades!$O$10,I113)))*(IF(Upgrades!$T$6="Orbital Resonance",POWER(Upgrades!$U$6,E113),1)*IF(Upgrades!$T$7="Orbital Resonance",POWER(Upgrades!$U$7,F113),1)*IF(Upgrades!$T$8="Orbital Resonance",POWER(Upgrades!$U$8,G113),1)*IF(Upgrades!$T$9="Orbital Resonance",POWER(Upgrades!$U$9,H113),1)*IF(Upgrades!$T$11="Orbital Resonance",POWER(Upgrades!$U$11,J113),1)*IF(Upgrades!$T$12="Orbital Resonance",POWER(Upgrades!$U$12,K113),1))+(IF(J113=0,0,(Upgrades!$M$11+J113*Upgrades!$N$11)*POWER(Upgrades!$O$11,J113)))*(IF(Upgrades!$T$6="Heliopause",POWER(Upgrades!$U$6,E113),1)*IF(Upgrades!$T$7="Heliopause",POWER(Upgrades!$U$7,F113),1)*IF(Upgrades!$T$8="Heliopause",POWER(Upgrades!$U$8,G113),1)*IF(Upgrades!$T$9="Heliopause",POWER(Upgrades!$U$9,H113),1)*IF(Upgrades!$T$10="Heliopause",POWER(Upgrades!$U$10,I113),1)*IF(Upgrades!$T$12="Heliopause",POWER(Upgrades!$U$12,K113),1))+(IF(K113=0,0,(Upgrades!$M$12+K113*Upgrades!$N$12)*POWER(Upgrades!$O$12,K113)))*(IF(Upgrades!$T$6="First Photons",POWER(Upgrades!$U$6,E113),1)*IF(Upgrades!$T$7="First Photons",POWER(Upgrades!$U$7,F113),1)*IF(Upgrades!$T$8="First Photons",POWER(Upgrades!$U$8,G113),1)*IF(Upgrades!$T$9="First Photons",POWER(Upgrades!$U$9,H113),1)*IF(Upgrades!$T$10="First Photons",POWER(Upgrades!$U$10,I113),1)*IF(Upgrades!$T$11="First Photons",POWER(Upgrades!$U$11,J113),1)))*POWER(Upgrades!$R$6,E113)*POWER(Upgrades!$R$7,F113)*POWER(Upgrades!$R$8,G113)*POWER(Upgrades!$R$9,H113)*POWER(Upgrades!$R$10,I113)*POWER(Upgrades!$R$11,J113)*POWER(Upgrades!$R$12,K113)</f>
        <v>0</v>
      </c>
      <c r="P113" s="27" t="n">
        <f aca="false">IF(L113=1,0,M113*Parameters!$B$10/60*Parameters!$B$11*10)</f>
        <v>0</v>
      </c>
      <c r="Q113" s="27" t="n">
        <f aca="false">IF(L113=1,0,O113*M113*10)</f>
        <v>0</v>
      </c>
      <c r="R113" s="27" t="n">
        <f aca="false">IF(L113=1,0,N113*10)</f>
        <v>0</v>
      </c>
      <c r="S113" s="27" t="n">
        <f aca="false">P113+Q113+R113</f>
        <v>0</v>
      </c>
      <c r="T113" s="21" t="n">
        <f aca="false">C113+S113</f>
        <v>18.6730249835055</v>
      </c>
      <c r="U113" s="34" t="str">
        <f aca="false">AX113</f>
        <v/>
      </c>
      <c r="V113" s="21" t="n">
        <f aca="false">IF(U113="",0,IF(U113="transition",0,IF(U113="SW",AG113,IF(U113="AB",AH113,IF(U113="SC",AI113,IF(U113="Mag",AJ113,IF(U113="OR",AK113,IF(U113="HP",AL113,IF(U113="FP",AM113,0)))))))))</f>
        <v>0</v>
      </c>
      <c r="W113" s="27" t="n">
        <f aca="false">IF(U113="OR",Upgrades!$F$10,IF(U113="HP",Upgrades!$F$11,IF(U113="transition",-Parameters!$B$18,0)))</f>
        <v>0</v>
      </c>
      <c r="X113" s="21" t="n">
        <f aca="false">T113-V113</f>
        <v>18.6730249835055</v>
      </c>
      <c r="Y113" s="30" t="n">
        <f aca="false">M113*Parameters!$B$10/60*Parameters!$B$11+O113*M113+N113</f>
        <v>20.55</v>
      </c>
      <c r="Z113" s="35" t="str">
        <f aca="false">IF(U113="transition","→ Tier 2 (Stellar Neighborhood)",IF(U113="FP","First Photons — light begins, system quickens",IF(U113="HP","Heliopause acquired",IF(U113="OR","Orbital Resonance — passive multiplier active",IF(AND(AO113=1,L113=0,AN113&lt;&gt;1),"Cohesion ready (waiting on completionist upgrades)","")))))</f>
        <v/>
      </c>
      <c r="AA113" s="27" t="n">
        <f aca="false">(IF(E113=0,0,(Upgrades!$G$6+E113*Upgrades!$H$6)*POWER(Upgrades!$I$6,E113)))*(IF(Upgrades!$T$7="Solar Wind",POWER(Upgrades!$U$7,F113),1)*IF(Upgrades!$T$8="Solar Wind",POWER(Upgrades!$U$8,G113),1)*IF(Upgrades!$T$9="Solar Wind",POWER(Upgrades!$U$9,H113),1)*IF(Upgrades!$T$10="Solar Wind",POWER(Upgrades!$U$10,I113),1)*IF(Upgrades!$T$11="Solar Wind",POWER(Upgrades!$U$11,J113),1)*IF(Upgrades!$T$12="Solar Wind",POWER(Upgrades!$U$12,K113),1))*POWER(Upgrades!$P$6,E113)*POWER(Upgrades!$P$7,F113)*POWER(Upgrades!$P$8,G113)*POWER(Upgrades!$P$9,H113)*POWER(Upgrades!$P$10,I113)*POWER(Upgrades!$P$11,J113)*POWER(Upgrades!$P$12,K113)*60</f>
        <v>72</v>
      </c>
      <c r="AB113" s="27" t="n">
        <f aca="false">(IF(F113=0,0,(Upgrades!$G$7+F113*Upgrades!$H$7)*POWER(Upgrades!$I$7,F113)))*(IF(Upgrades!$T$6="Asteroid Belt",POWER(Upgrades!$U$6,E113),1)*IF(Upgrades!$T$8="Asteroid Belt",POWER(Upgrades!$U$8,G113),1)*IF(Upgrades!$T$9="Asteroid Belt",POWER(Upgrades!$U$9,H113),1)*IF(Upgrades!$T$10="Asteroid Belt",POWER(Upgrades!$U$10,I113),1)*IF(Upgrades!$T$11="Asteroid Belt",POWER(Upgrades!$U$11,J113),1)*IF(Upgrades!$T$12="Asteroid Belt",POWER(Upgrades!$U$12,K113),1))*POWER(Upgrades!$P$6,E113)*POWER(Upgrades!$P$7,F113)*POWER(Upgrades!$P$8,G113)*POWER(Upgrades!$P$9,H113)*POWER(Upgrades!$P$10,I113)*POWER(Upgrades!$P$11,J113)*POWER(Upgrades!$P$12,K113)*60</f>
        <v>150</v>
      </c>
      <c r="AC113" s="27" t="n">
        <f aca="false">(IF(G113=0,0,(Upgrades!$J$8+G113*Upgrades!$K$8)*POWER(Upgrades!$L$8,G113)))*(IF(Upgrades!$T$6="Stellar Coupling",POWER(Upgrades!$U$6,E113),1)*IF(Upgrades!$T$7="Stellar Coupling",POWER(Upgrades!$U$7,F113),1)*IF(Upgrades!$T$9="Stellar Coupling",POWER(Upgrades!$U$9,H113),1)*IF(Upgrades!$T$10="Stellar Coupling",POWER(Upgrades!$U$10,I113),1)*IF(Upgrades!$T$11="Stellar Coupling",POWER(Upgrades!$U$11,J113),1)*IF(Upgrades!$T$12="Stellar Coupling",POWER(Upgrades!$U$12,K113),1))*POWER(Upgrades!$Q$6,E113)*POWER(Upgrades!$Q$7,F113)*POWER(Upgrades!$Q$8,G113)*POWER(Upgrades!$Q$9,H113)*POWER(Upgrades!$Q$10,I113)*POWER(Upgrades!$Q$11,J113)*POWER(Upgrades!$Q$12,K113)*Parameters!$B$10*Parameters!$B$11</f>
        <v>441</v>
      </c>
      <c r="AD113" s="27" t="n">
        <f aca="false">(IF(H113=0,0,(Upgrades!$G$9+H113*Upgrades!$H$9)*POWER(Upgrades!$I$9,H113)))*(IF(Upgrades!$T$6="Magnetosphere",POWER(Upgrades!$U$6,E113),1)*IF(Upgrades!$T$7="Magnetosphere",POWER(Upgrades!$U$7,F113),1)*IF(Upgrades!$T$8="Magnetosphere",POWER(Upgrades!$U$8,G113),1)*IF(Upgrades!$T$10="Magnetosphere",POWER(Upgrades!$U$10,I113),1)*IF(Upgrades!$T$11="Magnetosphere",POWER(Upgrades!$U$11,J113),1)*IF(Upgrades!$T$12="Magnetosphere",POWER(Upgrades!$U$12,K113),1))*POWER(Upgrades!$P$6,E113)*POWER(Upgrades!$P$7,F113)*POWER(Upgrades!$P$8,G113)*POWER(Upgrades!$P$9,H113)*POWER(Upgrades!$P$10,I113)*POWER(Upgrades!$P$11,J113)*POWER(Upgrades!$P$12,K113)*60</f>
        <v>375</v>
      </c>
      <c r="AE113" s="27" t="n">
        <f aca="false">(IF(K113=0,0,(Upgrades!$G$12+K113*Upgrades!$H$12)*POWER(Upgrades!$I$12,K113)))*(IF(Upgrades!$T$6="First Photons",POWER(Upgrades!$U$6,E113),1)*IF(Upgrades!$T$7="First Photons",POWER(Upgrades!$U$7,F113),1)*IF(Upgrades!$T$8="First Photons",POWER(Upgrades!$U$8,G113),1)*IF(Upgrades!$T$9="First Photons",POWER(Upgrades!$U$9,H113),1)*IF(Upgrades!$T$10="First Photons",POWER(Upgrades!$U$10,I113),1)*IF(Upgrades!$T$11="First Photons",POWER(Upgrades!$U$11,J113),1))*POWER(Upgrades!$P$6,E113)*POWER(Upgrades!$P$7,F113)*POWER(Upgrades!$P$8,G113)*POWER(Upgrades!$P$9,H113)*POWER(Upgrades!$P$10,I113)*POWER(Upgrades!$P$11,J113)*POWER(Upgrades!$P$12,K113)*60</f>
        <v>75</v>
      </c>
      <c r="AF113" s="27" t="n">
        <f aca="false">Parameters!$B$9*POWER(Upgrades!$Q$6,E113)*POWER(Upgrades!$Q$7,F113)*POWER(Upgrades!$Q$8,G113)*POWER(Upgrades!$Q$9,H113)*POWER(Upgrades!$Q$10,I113)*POWER(Upgrades!$Q$11,J113)*POWER(Upgrades!$Q$12,K113)*(Parameters!$B$10*Parameters!$B$11+O113*60)</f>
        <v>120</v>
      </c>
      <c r="AG113" s="21" t="n">
        <f aca="false">IF(E113&gt;=Upgrades!$E$6,"",Upgrades!$C$6*POWER(Upgrades!$D$6,E113))</f>
        <v>37.4517507383159</v>
      </c>
      <c r="AH113" s="21" t="n">
        <f aca="false">IF(F113&gt;=Upgrades!$E$7,"",Upgrades!$C$7*POWER(Upgrades!$D$7,F113))</f>
        <v>80.9111547141581</v>
      </c>
      <c r="AI113" s="21" t="n">
        <f aca="false">IF(G113&gt;=Upgrades!$E$8,"",Upgrades!$C$8*POWER(Upgrades!$D$8,G113))</f>
        <v>231.9097088</v>
      </c>
      <c r="AJ113" s="21" t="str">
        <f aca="false">IF(H113&gt;=Upgrades!$E$9,"",Upgrades!$C$9*POWER(Upgrades!$D$9,H113))</f>
        <v/>
      </c>
      <c r="AK113" s="21" t="str">
        <f aca="false">IF(I113&gt;=Upgrades!$E$10,"",Upgrades!$C$10*POWER(Upgrades!$D$10,I113))</f>
        <v/>
      </c>
      <c r="AL113" s="21" t="str">
        <f aca="false">IF(J113&gt;=Upgrades!$E$11,"",Upgrades!$C$11*POWER(Upgrades!$D$11,J113))</f>
        <v/>
      </c>
      <c r="AM113" s="21" t="str">
        <f aca="false">IF(K113&gt;=Upgrades!$E$12,"",Upgrades!$C$12*POWER(Upgrades!$D$12,K113))</f>
        <v/>
      </c>
      <c r="AN113" s="26" t="str">
        <f aca="false">IF(AND(D113&gt;=Parameters!$B$18,(H113&gt;=Upgrades!$E$9)*(K113&gt;=Upgrades!$E$12)=1,L113=0),1,"")</f>
        <v/>
      </c>
      <c r="AO113" s="26" t="str">
        <f aca="false">IF(AND(D113&gt;=Parameters!$B$18,L113=0),1,"")</f>
        <v/>
      </c>
      <c r="AP113" s="21" t="n">
        <f aca="false">MIN(IF(ISNUMBER(AK113),AK113,9000000000000000),IF(ISNUMBER(AL113),AL113,9000000000000000),IF(ISNUMBER(AM113),AM113,9000000000000000))</f>
        <v>9000000000000000</v>
      </c>
      <c r="AQ113" s="21" t="n">
        <f aca="false">MIN(IF(ISNUMBER(AG113),AG113,9000000000000000),IF(ISNUMBER(AH113),AH113,9000000000000000),IF(ISNUMBER(AI113),AI113,9000000000000000),IF(ISNUMBER(AJ113),AJ113,9000000000000000))</f>
        <v>37.4517507383159</v>
      </c>
      <c r="AR113" s="32" t="b">
        <f aca="false">IF(AW113&gt;Parameters!$B$21*(MAX(IF(AND(NOT(AND(AO113=1,AN113&lt;&gt;1)),ISNUMBER(AG113),AG113&lt;=T113),AS113,0),IF(AND(NOT(AND(AO113=1,AN113&lt;&gt;1)),ISNUMBER(AH113),AH113&lt;=T113),AT113,0),IF(AND(NOT(AND(AO113=1,AN113&lt;&gt;1)),ISNUMBER(AI113),AI113&lt;=T113),AU113,0),IF(AND(ISNUMBER(AJ113),AJ113&lt;=T113),AV113,0))),TRUE(),FALSE())</f>
        <v>1</v>
      </c>
      <c r="AS113" s="33" t="n">
        <f aca="false">IFERROR(Upgrades!$H$6*(POWER(Upgrades!$P$6,E113)*POWER(Upgrades!$P$7,F113)*POWER(Upgrades!$P$8,G113)*POWER(Upgrades!$P$9,H113)*POWER(Upgrades!$P$10,I113)*POWER(Upgrades!$P$11,J113)*POWER(Upgrades!$P$12,K113))*(IF(Upgrades!$T$7="Solar Wind",POWER(Upgrades!$U$7,F113),1)*IF(Upgrades!$T$8="Solar Wind",POWER(Upgrades!$U$8,G113),1)*IF(Upgrades!$T$9="Solar Wind",POWER(Upgrades!$U$9,H113),1)*IF(Upgrades!$T$10="Solar Wind",POWER(Upgrades!$U$10,I113),1)*IF(Upgrades!$T$11="Solar Wind",POWER(Upgrades!$U$11,J113),1)*IF(Upgrades!$T$12="Solar Wind",POWER(Upgrades!$U$12,K113),1))/AG113,0)</f>
        <v>0.0026701021455238</v>
      </c>
      <c r="AT113" s="33" t="n">
        <f aca="false">IFERROR(Upgrades!$H$7*(POWER(Upgrades!$P$6,E113)*POWER(Upgrades!$P$7,F113)*POWER(Upgrades!$P$8,G113)*POWER(Upgrades!$P$9,H113)*POWER(Upgrades!$P$10,I113)*POWER(Upgrades!$P$11,J113)*POWER(Upgrades!$P$12,K113))*(IF(Upgrades!$T$6="Asteroid Belt",POWER(Upgrades!$U$6,E113),1)*IF(Upgrades!$T$8="Asteroid Belt",POWER(Upgrades!$U$8,G113),1)*IF(Upgrades!$T$9="Asteroid Belt",POWER(Upgrades!$U$9,H113),1)*IF(Upgrades!$T$10="Asteroid Belt",POWER(Upgrades!$U$10,I113),1)*IF(Upgrades!$T$11="Asteroid Belt",POWER(Upgrades!$U$11,J113),1)*IF(Upgrades!$T$12="Asteroid Belt",POWER(Upgrades!$U$12,K113),1))/AH113,0)</f>
        <v>0.00308980882652332</v>
      </c>
      <c r="AU113" s="33" t="n">
        <f aca="false">IFERROR(Upgrades!$K$8*(POWER(Upgrades!$Q$6,E113)*POWER(Upgrades!$Q$7,F113)*POWER(Upgrades!$Q$8,G113)*POWER(Upgrades!$Q$9,H113)*POWER(Upgrades!$Q$10,I113)*POWER(Upgrades!$Q$11,J113)*POWER(Upgrades!$Q$12,K113))*(IF(Upgrades!$T$6="Stellar Coupling",POWER(Upgrades!$U$6,E113),1)*IF(Upgrades!$T$7="Stellar Coupling",POWER(Upgrades!$U$7,F113),1)*IF(Upgrades!$T$9="Stellar Coupling",POWER(Upgrades!$U$9,H113),1)*IF(Upgrades!$T$10="Stellar Coupling",POWER(Upgrades!$U$10,I113),1)*IF(Upgrades!$T$11="Stellar Coupling",POWER(Upgrades!$U$11,J113),1)*IF(Upgrades!$T$12="Stellar Coupling",POWER(Upgrades!$U$12,K113),1))*Parameters!$B$10*Parameters!$B$11/60/AI113,0)</f>
        <v>0.00452762415783776</v>
      </c>
      <c r="AV113" s="33" t="n">
        <f aca="false">IFERROR(Upgrades!$H$9*(POWER(Upgrades!$P$6,E113)*POWER(Upgrades!$P$7,F113)*POWER(Upgrades!$P$8,G113)*POWER(Upgrades!$P$9,H113)*POWER(Upgrades!$P$10,I113)*POWER(Upgrades!$P$11,J113)*POWER(Upgrades!$P$12,K113))*(IF(Upgrades!$T$6="Magnetosphere",POWER(Upgrades!$U$6,E113),1)*IF(Upgrades!$T$7="Magnetosphere",POWER(Upgrades!$U$7,F113),1)*IF(Upgrades!$T$8="Magnetosphere",POWER(Upgrades!$U$8,G113),1)*IF(Upgrades!$T$10="Magnetosphere",POWER(Upgrades!$U$10,I113),1)*IF(Upgrades!$T$11="Magnetosphere",POWER(Upgrades!$U$11,J113),1)*IF(Upgrades!$T$12="Magnetosphere",POWER(Upgrades!$U$12,K113),1))/AJ113,0)</f>
        <v>0</v>
      </c>
      <c r="AW113" s="33" t="n">
        <f aca="false">MAX(IF(I113&gt;0,0,IFERROR(0.25*N113/Upgrades!$C$10,0)),IF(J113&gt;0,0,IFERROR(0.5*((IF(G113=0,0,(Upgrades!$J$8+G113*Upgrades!$K$8)*POWER(Upgrades!$L$8,G113)))*(IF(Upgrades!$T$6="Stellar Coupling",POWER(Upgrades!$U$6,E113),1)*IF(Upgrades!$T$7="Stellar Coupling",POWER(Upgrades!$U$7,F113),1)*IF(Upgrades!$T$9="Stellar Coupling",POWER(Upgrades!$U$9,H113),1)*IF(Upgrades!$T$10="Stellar Coupling",POWER(Upgrades!$U$10,I113),1)*IF(Upgrades!$T$11="Stellar Coupling",POWER(Upgrades!$U$11,J113),1)*IF(Upgrades!$T$12="Stellar Coupling",POWER(Upgrades!$U$12,K113),1))*(POWER(Upgrades!$Q$6,E113)*POWER(Upgrades!$Q$7,F113)*POWER(Upgrades!$Q$8,G113)*POWER(Upgrades!$Q$9,H113)*POWER(Upgrades!$Q$10,I113)*POWER(Upgrades!$Q$11,J113)*POWER(Upgrades!$Q$12,K113))*Parameters!$B$10*Parameters!$B$11/60)/Upgrades!$C$11,0)),IF(K113&gt;0,0,IFERROR((1*(POWER(Upgrades!$P$6,E113)*POWER(Upgrades!$P$7,F113)*POWER(Upgrades!$P$8,G113)*POWER(Upgrades!$P$9,H113)*POWER(Upgrades!$P$10,I113)*POWER(Upgrades!$P$11,J113)*POWER(Upgrades!$P$12,K113))+0.2*M113*Parameters!$B$10*Parameters!$B$11/60)/Upgrades!$C$12,0)),IF(AND(ISNUMBER(AG113),AG113&gt;T113),AS113,0),IF(AND(ISNUMBER(AH113),AH113&gt;T113),AT113,0),IF(AND(ISNUMBER(AI113),AI113&gt;T113),AU113,0),IF(AND(ISNUMBER(AJ113),AJ113&gt;T113),AV113,0))</f>
        <v>0.00452762415783776</v>
      </c>
      <c r="AX113" s="29" t="str">
        <f aca="false">IF(AN113=1,"transition",IF(MIN(IF(AND(I113=0,ISNUMBER(AK113),AK113&lt;=T113),AK113,9000000000000000),IF(AND(J113=0,ISNUMBER(AL113),AL113&lt;=T113),AL113,9000000000000000),IF(AND(K113=0,ISNUMBER(AM113),AM113&lt;=T113),AM113,9000000000000000))&lt;9000000000000000,IF(AND(AND(I113=0,ISNUMBER(AK113),AK113&lt;=T113),AK113=MIN(IF(AND(I113=0,ISNUMBER(AK113),AK113&lt;=T113),AK113,9000000000000000),IF(AND(J113=0,ISNUMBER(AL113),AL113&lt;=T113),AL113,9000000000000000),IF(AND(K113=0,ISNUMBER(AM113),AM113&lt;=T113),AM113,9000000000000000))),"OR",IF(AND(AND(J113=0,ISNUMBER(AL113),AL113&lt;=T113),AL113=MIN(IF(AND(I113=0,ISNUMBER(AK113),AK113&lt;=T113),AK113,9000000000000000),IF(AND(J113=0,ISNUMBER(AL113),AL113&lt;=T113),AL113,9000000000000000),IF(AND(K113=0,ISNUMBER(AM113),AM113&lt;=T113),AM113,9000000000000000))),"HP","FP")),IF(AR113=TRUE(),"",IF(MAX(IF(AND(NOT(AND(AO113=1,AN113&lt;&gt;1)),ISNUMBER(AG113),AG113&lt;=T113),AS113,0),IF(AND(NOT(AND(AO113=1,AN113&lt;&gt;1)),ISNUMBER(AH113),AH113&lt;=T113),AT113,0),IF(AND(NOT(AND(AO113=1,AN113&lt;&gt;1)),ISNUMBER(AI113),AI113&lt;=T113),AU113,0),IF(AND(ISNUMBER(AJ113),AJ113&lt;=T113),AV113,0))&lt;=0,"",IF(AND(IF(AND(NOT(AND(AO113=1,AN113&lt;&gt;1)),ISNUMBER(AG113),AG113&lt;=T113),AS113,0)&gt;0,IF(AND(NOT(AND(AO113=1,AN113&lt;&gt;1)),ISNUMBER(AG113),AG113&lt;=T113),AS113,0)=MAX(IF(AND(NOT(AND(AO113=1,AN113&lt;&gt;1)),ISNUMBER(AG113),AG113&lt;=T113),AS113,0),IF(AND(NOT(AND(AO113=1,AN113&lt;&gt;1)),ISNUMBER(AH113),AH113&lt;=T113),AT113,0),IF(AND(NOT(AND(AO113=1,AN113&lt;&gt;1)),ISNUMBER(AI113),AI113&lt;=T113),AU113,0),IF(AND(ISNUMBER(AJ113),AJ113&lt;=T113),AV113,0))),"SW",IF(AND(IF(AND(NOT(AND(AO113=1,AN113&lt;&gt;1)),ISNUMBER(AH113),AH113&lt;=T113),AT113,0)&gt;0,IF(AND(NOT(AND(AO113=1,AN113&lt;&gt;1)),ISNUMBER(AH113),AH113&lt;=T113),AT113,0)=MAX(IF(AND(NOT(AND(AO113=1,AN113&lt;&gt;1)),ISNUMBER(AG113),AG113&lt;=T113),AS113,0),IF(AND(NOT(AND(AO113=1,AN113&lt;&gt;1)),ISNUMBER(AH113),AH113&lt;=T113),AT113,0),IF(AND(NOT(AND(AO113=1,AN113&lt;&gt;1)),ISNUMBER(AI113),AI113&lt;=T113),AU113,0),IF(AND(ISNUMBER(AJ113),AJ113&lt;=T113),AV113,0))),"AB",IF(AND(IF(AND(NOT(AND(AO113=1,AN113&lt;&gt;1)),ISNUMBER(AI113),AI113&lt;=T113),AU113,0)&gt;0,IF(AND(NOT(AND(AO113=1,AN113&lt;&gt;1)),ISNUMBER(AI113),AI113&lt;=T113),AU113,0)=MAX(IF(AND(NOT(AND(AO113=1,AN113&lt;&gt;1)),ISNUMBER(AG113),AG113&lt;=T113),AS113,0),IF(AND(NOT(AND(AO113=1,AN113&lt;&gt;1)),ISNUMBER(AH113),AH113&lt;=T113),AT113,0),IF(AND(NOT(AND(AO113=1,AN113&lt;&gt;1)),ISNUMBER(AI113),AI113&lt;=T113),AU113,0),IF(AND(ISNUMBER(AJ113),AJ113&lt;=T113),AV113,0))),"SC","Mag")))))))</f>
        <v/>
      </c>
    </row>
    <row r="114" customFormat="false" ht="15" hidden="false" customHeight="false" outlineLevel="0" collapsed="false">
      <c r="A114" s="26" t="n">
        <v>109</v>
      </c>
      <c r="B114" s="27" t="n">
        <f aca="false">A114*10/60</f>
        <v>18.1666666666667</v>
      </c>
      <c r="C114" s="21" t="n">
        <f aca="false">X113</f>
        <v>18.6730249835055</v>
      </c>
      <c r="D114" s="27" t="n">
        <f aca="false">D113+W113</f>
        <v>0</v>
      </c>
      <c r="E114" s="26" t="n">
        <f aca="false">E113+IF(U113="SW",1,0)</f>
        <v>12</v>
      </c>
      <c r="F114" s="26" t="n">
        <f aca="false">F113+IF(U113="AB",1,0)</f>
        <v>10</v>
      </c>
      <c r="G114" s="26" t="n">
        <f aca="false">G113+IF(U113="SC",1,0)</f>
        <v>7</v>
      </c>
      <c r="H114" s="26" t="n">
        <f aca="false">H113+IF(U113="Mag",1,0)</f>
        <v>5</v>
      </c>
      <c r="I114" s="26" t="n">
        <f aca="false">MAX(I113,IF(U113="OR",1,0))</f>
        <v>1</v>
      </c>
      <c r="J114" s="26" t="n">
        <f aca="false">MAX(J113,IF(U113="HP",1,0))</f>
        <v>1</v>
      </c>
      <c r="K114" s="26" t="n">
        <f aca="false">MAX(K113,IF(U113="FP",1,0))</f>
        <v>1</v>
      </c>
      <c r="L114" s="26" t="n">
        <f aca="false">MAX(L113,IF(U113="transition",1,0))</f>
        <v>1</v>
      </c>
      <c r="M114" s="28" t="n">
        <f aca="false">(Parameters!$B$9+(IF(E114=0,0,(Upgrades!$J$6+E114*Upgrades!$K$6)*POWER(Upgrades!$L$6,E114)))*(IF(Upgrades!$T$7="Solar Wind",POWER(Upgrades!$U$7,F114),1)*IF(Upgrades!$T$8="Solar Wind",POWER(Upgrades!$U$8,G114),1)*IF(Upgrades!$T$9="Solar Wind",POWER(Upgrades!$U$9,H114),1)*IF(Upgrades!$T$10="Solar Wind",POWER(Upgrades!$U$10,I114),1)*IF(Upgrades!$T$11="Solar Wind",POWER(Upgrades!$U$11,J114),1)*IF(Upgrades!$T$12="Solar Wind",POWER(Upgrades!$U$12,K114),1))+(IF(F114=0,0,(Upgrades!$J$7+F114*Upgrades!$K$7)*POWER(Upgrades!$L$7,F114)))*(IF(Upgrades!$T$6="Asteroid Belt",POWER(Upgrades!$U$6,E114),1)*IF(Upgrades!$T$8="Asteroid Belt",POWER(Upgrades!$U$8,G114),1)*IF(Upgrades!$T$9="Asteroid Belt",POWER(Upgrades!$U$9,H114),1)*IF(Upgrades!$T$10="Asteroid Belt",POWER(Upgrades!$U$10,I114),1)*IF(Upgrades!$T$11="Asteroid Belt",POWER(Upgrades!$U$11,J114),1)*IF(Upgrades!$T$12="Asteroid Belt",POWER(Upgrades!$U$12,K114),1))+(IF(G114=0,0,(Upgrades!$J$8+G114*Upgrades!$K$8)*POWER(Upgrades!$L$8,G114)))*(IF(Upgrades!$T$6="Stellar Coupling",POWER(Upgrades!$U$6,E114),1)*IF(Upgrades!$T$7="Stellar Coupling",POWER(Upgrades!$U$7,F114),1)*IF(Upgrades!$T$9="Stellar Coupling",POWER(Upgrades!$U$9,H114),1)*IF(Upgrades!$T$10="Stellar Coupling",POWER(Upgrades!$U$10,I114),1)*IF(Upgrades!$T$11="Stellar Coupling",POWER(Upgrades!$U$11,J114),1)*IF(Upgrades!$T$12="Stellar Coupling",POWER(Upgrades!$U$12,K114),1))+(IF(H114=0,0,(Upgrades!$J$9+H114*Upgrades!$K$9)*POWER(Upgrades!$L$9,H114)))*(IF(Upgrades!$T$6="Magnetosphere",POWER(Upgrades!$U$6,E114),1)*IF(Upgrades!$T$7="Magnetosphere",POWER(Upgrades!$U$7,F114),1)*IF(Upgrades!$T$8="Magnetosphere",POWER(Upgrades!$U$8,G114),1)*IF(Upgrades!$T$10="Magnetosphere",POWER(Upgrades!$U$10,I114),1)*IF(Upgrades!$T$11="Magnetosphere",POWER(Upgrades!$U$11,J114),1)*IF(Upgrades!$T$12="Magnetosphere",POWER(Upgrades!$U$12,K114),1))+(IF(I114=0,0,(Upgrades!$J$10+I114*Upgrades!$K$10)*POWER(Upgrades!$L$10,I114)))*(IF(Upgrades!$T$6="Orbital Resonance",POWER(Upgrades!$U$6,E114),1)*IF(Upgrades!$T$7="Orbital Resonance",POWER(Upgrades!$U$7,F114),1)*IF(Upgrades!$T$8="Orbital Resonance",POWER(Upgrades!$U$8,G114),1)*IF(Upgrades!$T$9="Orbital Resonance",POWER(Upgrades!$U$9,H114),1)*IF(Upgrades!$T$11="Orbital Resonance",POWER(Upgrades!$U$11,J114),1)*IF(Upgrades!$T$12="Orbital Resonance",POWER(Upgrades!$U$12,K114),1))+(IF(J114=0,0,(Upgrades!$J$11+J114*Upgrades!$K$11)*POWER(Upgrades!$L$11,J114)))*(IF(Upgrades!$T$6="Heliopause",POWER(Upgrades!$U$6,E114),1)*IF(Upgrades!$T$7="Heliopause",POWER(Upgrades!$U$7,F114),1)*IF(Upgrades!$T$8="Heliopause",POWER(Upgrades!$U$8,G114),1)*IF(Upgrades!$T$9="Heliopause",POWER(Upgrades!$U$9,H114),1)*IF(Upgrades!$T$10="Heliopause",POWER(Upgrades!$U$10,I114),1)*IF(Upgrades!$T$12="Heliopause",POWER(Upgrades!$U$12,K114),1))+(IF(K114=0,0,(Upgrades!$J$12+K114*Upgrades!$K$12)*POWER(Upgrades!$L$12,K114)))*(IF(Upgrades!$T$6="First Photons",POWER(Upgrades!$U$6,E114),1)*IF(Upgrades!$T$7="First Photons",POWER(Upgrades!$U$7,F114),1)*IF(Upgrades!$T$8="First Photons",POWER(Upgrades!$U$8,G114),1)*IF(Upgrades!$T$9="First Photons",POWER(Upgrades!$U$9,H114),1)*IF(Upgrades!$T$10="First Photons",POWER(Upgrades!$U$10,I114),1)*IF(Upgrades!$T$11="First Photons",POWER(Upgrades!$U$11,J114),1)))*POWER(Upgrades!$Q$6,E114)*POWER(Upgrades!$Q$7,F114)*POWER(Upgrades!$Q$8,G114)*POWER(Upgrades!$Q$9,H114)*POWER(Upgrades!$Q$10,I114)*POWER(Upgrades!$Q$11,J114)*POWER(Upgrades!$Q$12,K114)</f>
        <v>5.61</v>
      </c>
      <c r="N114" s="28" t="n">
        <f aca="false">((IF(E114=0,0,(Upgrades!$G$6+E114*Upgrades!$H$6)*POWER(Upgrades!$I$6,E114)))*(IF(Upgrades!$T$7="Solar Wind",POWER(Upgrades!$U$7,F114),1)*IF(Upgrades!$T$8="Solar Wind",POWER(Upgrades!$U$8,G114),1)*IF(Upgrades!$T$9="Solar Wind",POWER(Upgrades!$U$9,H114),1)*IF(Upgrades!$T$10="Solar Wind",POWER(Upgrades!$U$10,I114),1)*IF(Upgrades!$T$11="Solar Wind",POWER(Upgrades!$U$11,J114),1)*IF(Upgrades!$T$12="Solar Wind",POWER(Upgrades!$U$12,K114),1))+(IF(F114=0,0,(Upgrades!$G$7+F114*Upgrades!$H$7)*POWER(Upgrades!$I$7,F114)))*(IF(Upgrades!$T$6="Asteroid Belt",POWER(Upgrades!$U$6,E114),1)*IF(Upgrades!$T$8="Asteroid Belt",POWER(Upgrades!$U$8,G114),1)*IF(Upgrades!$T$9="Asteroid Belt",POWER(Upgrades!$U$9,H114),1)*IF(Upgrades!$T$10="Asteroid Belt",POWER(Upgrades!$U$10,I114),1)*IF(Upgrades!$T$11="Asteroid Belt",POWER(Upgrades!$U$11,J114),1)*IF(Upgrades!$T$12="Asteroid Belt",POWER(Upgrades!$U$12,K114),1))+(IF(G114=0,0,(Upgrades!$G$8+G114*Upgrades!$H$8)*POWER(Upgrades!$I$8,G114)))*(IF(Upgrades!$T$6="Stellar Coupling",POWER(Upgrades!$U$6,E114),1)*IF(Upgrades!$T$7="Stellar Coupling",POWER(Upgrades!$U$7,F114),1)*IF(Upgrades!$T$9="Stellar Coupling",POWER(Upgrades!$U$9,H114),1)*IF(Upgrades!$T$10="Stellar Coupling",POWER(Upgrades!$U$10,I114),1)*IF(Upgrades!$T$11="Stellar Coupling",POWER(Upgrades!$U$11,J114),1)*IF(Upgrades!$T$12="Stellar Coupling",POWER(Upgrades!$U$12,K114),1))+(IF(H114=0,0,(Upgrades!$G$9+H114*Upgrades!$H$9)*POWER(Upgrades!$I$9,H114)))*(IF(Upgrades!$T$6="Magnetosphere",POWER(Upgrades!$U$6,E114),1)*IF(Upgrades!$T$7="Magnetosphere",POWER(Upgrades!$U$7,F114),1)*IF(Upgrades!$T$8="Magnetosphere",POWER(Upgrades!$U$8,G114),1)*IF(Upgrades!$T$10="Magnetosphere",POWER(Upgrades!$U$10,I114),1)*IF(Upgrades!$T$11="Magnetosphere",POWER(Upgrades!$U$11,J114),1)*IF(Upgrades!$T$12="Magnetosphere",POWER(Upgrades!$U$12,K114),1))+(IF(I114=0,0,(Upgrades!$G$10+I114*Upgrades!$H$10)*POWER(Upgrades!$I$10,I114)))*(IF(Upgrades!$T$6="Orbital Resonance",POWER(Upgrades!$U$6,E114),1)*IF(Upgrades!$T$7="Orbital Resonance",POWER(Upgrades!$U$7,F114),1)*IF(Upgrades!$T$8="Orbital Resonance",POWER(Upgrades!$U$8,G114),1)*IF(Upgrades!$T$9="Orbital Resonance",POWER(Upgrades!$U$9,H114),1)*IF(Upgrades!$T$11="Orbital Resonance",POWER(Upgrades!$U$11,J114),1)*IF(Upgrades!$T$12="Orbital Resonance",POWER(Upgrades!$U$12,K114),1))+(IF(J114=0,0,(Upgrades!$G$11+J114*Upgrades!$H$11)*POWER(Upgrades!$I$11,J114)))*(IF(Upgrades!$T$6="Heliopause",POWER(Upgrades!$U$6,E114),1)*IF(Upgrades!$T$7="Heliopause",POWER(Upgrades!$U$7,F114),1)*IF(Upgrades!$T$8="Heliopause",POWER(Upgrades!$U$8,G114),1)*IF(Upgrades!$T$9="Heliopause",POWER(Upgrades!$U$9,H114),1)*IF(Upgrades!$T$10="Heliopause",POWER(Upgrades!$U$10,I114),1)*IF(Upgrades!$T$12="Heliopause",POWER(Upgrades!$U$12,K114),1))+(IF(K114=0,0,(Upgrades!$G$12+K114*Upgrades!$H$12)*POWER(Upgrades!$I$12,K114)))*(IF(Upgrades!$T$6="First Photons",POWER(Upgrades!$U$6,E114),1)*IF(Upgrades!$T$7="First Photons",POWER(Upgrades!$U$7,F114),1)*IF(Upgrades!$T$8="First Photons",POWER(Upgrades!$U$8,G114),1)*IF(Upgrades!$T$9="First Photons",POWER(Upgrades!$U$9,H114),1)*IF(Upgrades!$T$10="First Photons",POWER(Upgrades!$U$10,I114),1)*IF(Upgrades!$T$11="First Photons",POWER(Upgrades!$U$11,J114),1)))*POWER(Upgrades!$P$6,E114)*POWER(Upgrades!$P$7,F114)*POWER(Upgrades!$P$8,G114)*POWER(Upgrades!$P$9,H114)*POWER(Upgrades!$P$10,I114)*POWER(Upgrades!$P$11,J114)*POWER(Upgrades!$P$12,K114)</f>
        <v>11.2</v>
      </c>
      <c r="O114" s="28" t="n">
        <f aca="false">((IF(E114=0,0,(Upgrades!$M$6+E114*Upgrades!$N$6)*POWER(Upgrades!$O$6,E114)))*(IF(Upgrades!$T$7="Solar Wind",POWER(Upgrades!$U$7,F114),1)*IF(Upgrades!$T$8="Solar Wind",POWER(Upgrades!$U$8,G114),1)*IF(Upgrades!$T$9="Solar Wind",POWER(Upgrades!$U$9,H114),1)*IF(Upgrades!$T$10="Solar Wind",POWER(Upgrades!$U$10,I114),1)*IF(Upgrades!$T$11="Solar Wind",POWER(Upgrades!$U$11,J114),1)*IF(Upgrades!$T$12="Solar Wind",POWER(Upgrades!$U$12,K114),1))+(IF(F114=0,0,(Upgrades!$M$7+F114*Upgrades!$N$7)*POWER(Upgrades!$O$7,F114)))*(IF(Upgrades!$T$6="Asteroid Belt",POWER(Upgrades!$U$6,E114),1)*IF(Upgrades!$T$8="Asteroid Belt",POWER(Upgrades!$U$8,G114),1)*IF(Upgrades!$T$9="Asteroid Belt",POWER(Upgrades!$U$9,H114),1)*IF(Upgrades!$T$10="Asteroid Belt",POWER(Upgrades!$U$10,I114),1)*IF(Upgrades!$T$11="Asteroid Belt",POWER(Upgrades!$U$11,J114),1)*IF(Upgrades!$T$12="Asteroid Belt",POWER(Upgrades!$U$12,K114),1))+(IF(G114=0,0,(Upgrades!$M$8+G114*Upgrades!$N$8)*POWER(Upgrades!$O$8,G114)))*(IF(Upgrades!$T$6="Stellar Coupling",POWER(Upgrades!$U$6,E114),1)*IF(Upgrades!$T$7="Stellar Coupling",POWER(Upgrades!$U$7,F114),1)*IF(Upgrades!$T$9="Stellar Coupling",POWER(Upgrades!$U$9,H114),1)*IF(Upgrades!$T$10="Stellar Coupling",POWER(Upgrades!$U$10,I114),1)*IF(Upgrades!$T$11="Stellar Coupling",POWER(Upgrades!$U$11,J114),1)*IF(Upgrades!$T$12="Stellar Coupling",POWER(Upgrades!$U$12,K114),1))+(IF(H114=0,0,(Upgrades!$M$9+H114*Upgrades!$N$9)*POWER(Upgrades!$O$9,H114)))*(IF(Upgrades!$T$6="Magnetosphere",POWER(Upgrades!$U$6,E114),1)*IF(Upgrades!$T$7="Magnetosphere",POWER(Upgrades!$U$7,F114),1)*IF(Upgrades!$T$8="Magnetosphere",POWER(Upgrades!$U$8,G114),1)*IF(Upgrades!$T$10="Magnetosphere",POWER(Upgrades!$U$10,I114),1)*IF(Upgrades!$T$11="Magnetosphere",POWER(Upgrades!$U$11,J114),1)*IF(Upgrades!$T$12="Magnetosphere",POWER(Upgrades!$U$12,K114),1))+(IF(I114=0,0,(Upgrades!$M$10+I114*Upgrades!$N$10)*POWER(Upgrades!$O$10,I114)))*(IF(Upgrades!$T$6="Orbital Resonance",POWER(Upgrades!$U$6,E114),1)*IF(Upgrades!$T$7="Orbital Resonance",POWER(Upgrades!$U$7,F114),1)*IF(Upgrades!$T$8="Orbital Resonance",POWER(Upgrades!$U$8,G114),1)*IF(Upgrades!$T$9="Orbital Resonance",POWER(Upgrades!$U$9,H114),1)*IF(Upgrades!$T$11="Orbital Resonance",POWER(Upgrades!$U$11,J114),1)*IF(Upgrades!$T$12="Orbital Resonance",POWER(Upgrades!$U$12,K114),1))+(IF(J114=0,0,(Upgrades!$M$11+J114*Upgrades!$N$11)*POWER(Upgrades!$O$11,J114)))*(IF(Upgrades!$T$6="Heliopause",POWER(Upgrades!$U$6,E114),1)*IF(Upgrades!$T$7="Heliopause",POWER(Upgrades!$U$7,F114),1)*IF(Upgrades!$T$8="Heliopause",POWER(Upgrades!$U$8,G114),1)*IF(Upgrades!$T$9="Heliopause",POWER(Upgrades!$U$9,H114),1)*IF(Upgrades!$T$10="Heliopause",POWER(Upgrades!$U$10,I114),1)*IF(Upgrades!$T$12="Heliopause",POWER(Upgrades!$U$12,K114),1))+(IF(K114=0,0,(Upgrades!$M$12+K114*Upgrades!$N$12)*POWER(Upgrades!$O$12,K114)))*(IF(Upgrades!$T$6="First Photons",POWER(Upgrades!$U$6,E114),1)*IF(Upgrades!$T$7="First Photons",POWER(Upgrades!$U$7,F114),1)*IF(Upgrades!$T$8="First Photons",POWER(Upgrades!$U$8,G114),1)*IF(Upgrades!$T$9="First Photons",POWER(Upgrades!$U$9,H114),1)*IF(Upgrades!$T$10="First Photons",POWER(Upgrades!$U$10,I114),1)*IF(Upgrades!$T$11="First Photons",POWER(Upgrades!$U$11,J114),1)))*POWER(Upgrades!$R$6,E114)*POWER(Upgrades!$R$7,F114)*POWER(Upgrades!$R$8,G114)*POWER(Upgrades!$R$9,H114)*POWER(Upgrades!$R$10,I114)*POWER(Upgrades!$R$11,J114)*POWER(Upgrades!$R$12,K114)</f>
        <v>0</v>
      </c>
      <c r="P114" s="27" t="n">
        <f aca="false">IF(L114=1,0,M114*Parameters!$B$10/60*Parameters!$B$11*10)</f>
        <v>0</v>
      </c>
      <c r="Q114" s="27" t="n">
        <f aca="false">IF(L114=1,0,O114*M114*10)</f>
        <v>0</v>
      </c>
      <c r="R114" s="27" t="n">
        <f aca="false">IF(L114=1,0,N114*10)</f>
        <v>0</v>
      </c>
      <c r="S114" s="27" t="n">
        <f aca="false">P114+Q114+R114</f>
        <v>0</v>
      </c>
      <c r="T114" s="21" t="n">
        <f aca="false">C114+S114</f>
        <v>18.6730249835055</v>
      </c>
      <c r="U114" s="34" t="str">
        <f aca="false">AX114</f>
        <v/>
      </c>
      <c r="V114" s="21" t="n">
        <f aca="false">IF(U114="",0,IF(U114="transition",0,IF(U114="SW",AG114,IF(U114="AB",AH114,IF(U114="SC",AI114,IF(U114="Mag",AJ114,IF(U114="OR",AK114,IF(U114="HP",AL114,IF(U114="FP",AM114,0)))))))))</f>
        <v>0</v>
      </c>
      <c r="W114" s="27" t="n">
        <f aca="false">IF(U114="OR",Upgrades!$F$10,IF(U114="HP",Upgrades!$F$11,IF(U114="transition",-Parameters!$B$18,0)))</f>
        <v>0</v>
      </c>
      <c r="X114" s="21" t="n">
        <f aca="false">T114-V114</f>
        <v>18.6730249835055</v>
      </c>
      <c r="Y114" s="30" t="n">
        <f aca="false">M114*Parameters!$B$10/60*Parameters!$B$11+O114*M114+N114</f>
        <v>20.55</v>
      </c>
      <c r="Z114" s="35" t="str">
        <f aca="false">IF(U114="transition","→ Tier 2 (Stellar Neighborhood)",IF(U114="FP","First Photons — light begins, system quickens",IF(U114="HP","Heliopause acquired",IF(U114="OR","Orbital Resonance — passive multiplier active",IF(AND(AO114=1,L114=0,AN114&lt;&gt;1),"Cohesion ready (waiting on completionist upgrades)","")))))</f>
        <v/>
      </c>
      <c r="AA114" s="27" t="n">
        <f aca="false">(IF(E114=0,0,(Upgrades!$G$6+E114*Upgrades!$H$6)*POWER(Upgrades!$I$6,E114)))*(IF(Upgrades!$T$7="Solar Wind",POWER(Upgrades!$U$7,F114),1)*IF(Upgrades!$T$8="Solar Wind",POWER(Upgrades!$U$8,G114),1)*IF(Upgrades!$T$9="Solar Wind",POWER(Upgrades!$U$9,H114),1)*IF(Upgrades!$T$10="Solar Wind",POWER(Upgrades!$U$10,I114),1)*IF(Upgrades!$T$11="Solar Wind",POWER(Upgrades!$U$11,J114),1)*IF(Upgrades!$T$12="Solar Wind",POWER(Upgrades!$U$12,K114),1))*POWER(Upgrades!$P$6,E114)*POWER(Upgrades!$P$7,F114)*POWER(Upgrades!$P$8,G114)*POWER(Upgrades!$P$9,H114)*POWER(Upgrades!$P$10,I114)*POWER(Upgrades!$P$11,J114)*POWER(Upgrades!$P$12,K114)*60</f>
        <v>72</v>
      </c>
      <c r="AB114" s="27" t="n">
        <f aca="false">(IF(F114=0,0,(Upgrades!$G$7+F114*Upgrades!$H$7)*POWER(Upgrades!$I$7,F114)))*(IF(Upgrades!$T$6="Asteroid Belt",POWER(Upgrades!$U$6,E114),1)*IF(Upgrades!$T$8="Asteroid Belt",POWER(Upgrades!$U$8,G114),1)*IF(Upgrades!$T$9="Asteroid Belt",POWER(Upgrades!$U$9,H114),1)*IF(Upgrades!$T$10="Asteroid Belt",POWER(Upgrades!$U$10,I114),1)*IF(Upgrades!$T$11="Asteroid Belt",POWER(Upgrades!$U$11,J114),1)*IF(Upgrades!$T$12="Asteroid Belt",POWER(Upgrades!$U$12,K114),1))*POWER(Upgrades!$P$6,E114)*POWER(Upgrades!$P$7,F114)*POWER(Upgrades!$P$8,G114)*POWER(Upgrades!$P$9,H114)*POWER(Upgrades!$P$10,I114)*POWER(Upgrades!$P$11,J114)*POWER(Upgrades!$P$12,K114)*60</f>
        <v>150</v>
      </c>
      <c r="AC114" s="27" t="n">
        <f aca="false">(IF(G114=0,0,(Upgrades!$J$8+G114*Upgrades!$K$8)*POWER(Upgrades!$L$8,G114)))*(IF(Upgrades!$T$6="Stellar Coupling",POWER(Upgrades!$U$6,E114),1)*IF(Upgrades!$T$7="Stellar Coupling",POWER(Upgrades!$U$7,F114),1)*IF(Upgrades!$T$9="Stellar Coupling",POWER(Upgrades!$U$9,H114),1)*IF(Upgrades!$T$10="Stellar Coupling",POWER(Upgrades!$U$10,I114),1)*IF(Upgrades!$T$11="Stellar Coupling",POWER(Upgrades!$U$11,J114),1)*IF(Upgrades!$T$12="Stellar Coupling",POWER(Upgrades!$U$12,K114),1))*POWER(Upgrades!$Q$6,E114)*POWER(Upgrades!$Q$7,F114)*POWER(Upgrades!$Q$8,G114)*POWER(Upgrades!$Q$9,H114)*POWER(Upgrades!$Q$10,I114)*POWER(Upgrades!$Q$11,J114)*POWER(Upgrades!$Q$12,K114)*Parameters!$B$10*Parameters!$B$11</f>
        <v>441</v>
      </c>
      <c r="AD114" s="27" t="n">
        <f aca="false">(IF(H114=0,0,(Upgrades!$G$9+H114*Upgrades!$H$9)*POWER(Upgrades!$I$9,H114)))*(IF(Upgrades!$T$6="Magnetosphere",POWER(Upgrades!$U$6,E114),1)*IF(Upgrades!$T$7="Magnetosphere",POWER(Upgrades!$U$7,F114),1)*IF(Upgrades!$T$8="Magnetosphere",POWER(Upgrades!$U$8,G114),1)*IF(Upgrades!$T$10="Magnetosphere",POWER(Upgrades!$U$10,I114),1)*IF(Upgrades!$T$11="Magnetosphere",POWER(Upgrades!$U$11,J114),1)*IF(Upgrades!$T$12="Magnetosphere",POWER(Upgrades!$U$12,K114),1))*POWER(Upgrades!$P$6,E114)*POWER(Upgrades!$P$7,F114)*POWER(Upgrades!$P$8,G114)*POWER(Upgrades!$P$9,H114)*POWER(Upgrades!$P$10,I114)*POWER(Upgrades!$P$11,J114)*POWER(Upgrades!$P$12,K114)*60</f>
        <v>375</v>
      </c>
      <c r="AE114" s="27" t="n">
        <f aca="false">(IF(K114=0,0,(Upgrades!$G$12+K114*Upgrades!$H$12)*POWER(Upgrades!$I$12,K114)))*(IF(Upgrades!$T$6="First Photons",POWER(Upgrades!$U$6,E114),1)*IF(Upgrades!$T$7="First Photons",POWER(Upgrades!$U$7,F114),1)*IF(Upgrades!$T$8="First Photons",POWER(Upgrades!$U$8,G114),1)*IF(Upgrades!$T$9="First Photons",POWER(Upgrades!$U$9,H114),1)*IF(Upgrades!$T$10="First Photons",POWER(Upgrades!$U$10,I114),1)*IF(Upgrades!$T$11="First Photons",POWER(Upgrades!$U$11,J114),1))*POWER(Upgrades!$P$6,E114)*POWER(Upgrades!$P$7,F114)*POWER(Upgrades!$P$8,G114)*POWER(Upgrades!$P$9,H114)*POWER(Upgrades!$P$10,I114)*POWER(Upgrades!$P$11,J114)*POWER(Upgrades!$P$12,K114)*60</f>
        <v>75</v>
      </c>
      <c r="AF114" s="27" t="n">
        <f aca="false">Parameters!$B$9*POWER(Upgrades!$Q$6,E114)*POWER(Upgrades!$Q$7,F114)*POWER(Upgrades!$Q$8,G114)*POWER(Upgrades!$Q$9,H114)*POWER(Upgrades!$Q$10,I114)*POWER(Upgrades!$Q$11,J114)*POWER(Upgrades!$Q$12,K114)*(Parameters!$B$10*Parameters!$B$11+O114*60)</f>
        <v>120</v>
      </c>
      <c r="AG114" s="21" t="n">
        <f aca="false">IF(E114&gt;=Upgrades!$E$6,"",Upgrades!$C$6*POWER(Upgrades!$D$6,E114))</f>
        <v>37.4517507383159</v>
      </c>
      <c r="AH114" s="21" t="n">
        <f aca="false">IF(F114&gt;=Upgrades!$E$7,"",Upgrades!$C$7*POWER(Upgrades!$D$7,F114))</f>
        <v>80.9111547141581</v>
      </c>
      <c r="AI114" s="21" t="n">
        <f aca="false">IF(G114&gt;=Upgrades!$E$8,"",Upgrades!$C$8*POWER(Upgrades!$D$8,G114))</f>
        <v>231.9097088</v>
      </c>
      <c r="AJ114" s="21" t="str">
        <f aca="false">IF(H114&gt;=Upgrades!$E$9,"",Upgrades!$C$9*POWER(Upgrades!$D$9,H114))</f>
        <v/>
      </c>
      <c r="AK114" s="21" t="str">
        <f aca="false">IF(I114&gt;=Upgrades!$E$10,"",Upgrades!$C$10*POWER(Upgrades!$D$10,I114))</f>
        <v/>
      </c>
      <c r="AL114" s="21" t="str">
        <f aca="false">IF(J114&gt;=Upgrades!$E$11,"",Upgrades!$C$11*POWER(Upgrades!$D$11,J114))</f>
        <v/>
      </c>
      <c r="AM114" s="21" t="str">
        <f aca="false">IF(K114&gt;=Upgrades!$E$12,"",Upgrades!$C$12*POWER(Upgrades!$D$12,K114))</f>
        <v/>
      </c>
      <c r="AN114" s="26" t="str">
        <f aca="false">IF(AND(D114&gt;=Parameters!$B$18,(H114&gt;=Upgrades!$E$9)*(K114&gt;=Upgrades!$E$12)=1,L114=0),1,"")</f>
        <v/>
      </c>
      <c r="AO114" s="26" t="str">
        <f aca="false">IF(AND(D114&gt;=Parameters!$B$18,L114=0),1,"")</f>
        <v/>
      </c>
      <c r="AP114" s="21" t="n">
        <f aca="false">MIN(IF(ISNUMBER(AK114),AK114,9000000000000000),IF(ISNUMBER(AL114),AL114,9000000000000000),IF(ISNUMBER(AM114),AM114,9000000000000000))</f>
        <v>9000000000000000</v>
      </c>
      <c r="AQ114" s="21" t="n">
        <f aca="false">MIN(IF(ISNUMBER(AG114),AG114,9000000000000000),IF(ISNUMBER(AH114),AH114,9000000000000000),IF(ISNUMBER(AI114),AI114,9000000000000000),IF(ISNUMBER(AJ114),AJ114,9000000000000000))</f>
        <v>37.4517507383159</v>
      </c>
      <c r="AR114" s="32" t="b">
        <f aca="false">IF(AW114&gt;Parameters!$B$21*(MAX(IF(AND(NOT(AND(AO114=1,AN114&lt;&gt;1)),ISNUMBER(AG114),AG114&lt;=T114),AS114,0),IF(AND(NOT(AND(AO114=1,AN114&lt;&gt;1)),ISNUMBER(AH114),AH114&lt;=T114),AT114,0),IF(AND(NOT(AND(AO114=1,AN114&lt;&gt;1)),ISNUMBER(AI114),AI114&lt;=T114),AU114,0),IF(AND(ISNUMBER(AJ114),AJ114&lt;=T114),AV114,0))),TRUE(),FALSE())</f>
        <v>1</v>
      </c>
      <c r="AS114" s="33" t="n">
        <f aca="false">IFERROR(Upgrades!$H$6*(POWER(Upgrades!$P$6,E114)*POWER(Upgrades!$P$7,F114)*POWER(Upgrades!$P$8,G114)*POWER(Upgrades!$P$9,H114)*POWER(Upgrades!$P$10,I114)*POWER(Upgrades!$P$11,J114)*POWER(Upgrades!$P$12,K114))*(IF(Upgrades!$T$7="Solar Wind",POWER(Upgrades!$U$7,F114),1)*IF(Upgrades!$T$8="Solar Wind",POWER(Upgrades!$U$8,G114),1)*IF(Upgrades!$T$9="Solar Wind",POWER(Upgrades!$U$9,H114),1)*IF(Upgrades!$T$10="Solar Wind",POWER(Upgrades!$U$10,I114),1)*IF(Upgrades!$T$11="Solar Wind",POWER(Upgrades!$U$11,J114),1)*IF(Upgrades!$T$12="Solar Wind",POWER(Upgrades!$U$12,K114),1))/AG114,0)</f>
        <v>0.0026701021455238</v>
      </c>
      <c r="AT114" s="33" t="n">
        <f aca="false">IFERROR(Upgrades!$H$7*(POWER(Upgrades!$P$6,E114)*POWER(Upgrades!$P$7,F114)*POWER(Upgrades!$P$8,G114)*POWER(Upgrades!$P$9,H114)*POWER(Upgrades!$P$10,I114)*POWER(Upgrades!$P$11,J114)*POWER(Upgrades!$P$12,K114))*(IF(Upgrades!$T$6="Asteroid Belt",POWER(Upgrades!$U$6,E114),1)*IF(Upgrades!$T$8="Asteroid Belt",POWER(Upgrades!$U$8,G114),1)*IF(Upgrades!$T$9="Asteroid Belt",POWER(Upgrades!$U$9,H114),1)*IF(Upgrades!$T$10="Asteroid Belt",POWER(Upgrades!$U$10,I114),1)*IF(Upgrades!$T$11="Asteroid Belt",POWER(Upgrades!$U$11,J114),1)*IF(Upgrades!$T$12="Asteroid Belt",POWER(Upgrades!$U$12,K114),1))/AH114,0)</f>
        <v>0.00308980882652332</v>
      </c>
      <c r="AU114" s="33" t="n">
        <f aca="false">IFERROR(Upgrades!$K$8*(POWER(Upgrades!$Q$6,E114)*POWER(Upgrades!$Q$7,F114)*POWER(Upgrades!$Q$8,G114)*POWER(Upgrades!$Q$9,H114)*POWER(Upgrades!$Q$10,I114)*POWER(Upgrades!$Q$11,J114)*POWER(Upgrades!$Q$12,K114))*(IF(Upgrades!$T$6="Stellar Coupling",POWER(Upgrades!$U$6,E114),1)*IF(Upgrades!$T$7="Stellar Coupling",POWER(Upgrades!$U$7,F114),1)*IF(Upgrades!$T$9="Stellar Coupling",POWER(Upgrades!$U$9,H114),1)*IF(Upgrades!$T$10="Stellar Coupling",POWER(Upgrades!$U$10,I114),1)*IF(Upgrades!$T$11="Stellar Coupling",POWER(Upgrades!$U$11,J114),1)*IF(Upgrades!$T$12="Stellar Coupling",POWER(Upgrades!$U$12,K114),1))*Parameters!$B$10*Parameters!$B$11/60/AI114,0)</f>
        <v>0.00452762415783776</v>
      </c>
      <c r="AV114" s="33" t="n">
        <f aca="false">IFERROR(Upgrades!$H$9*(POWER(Upgrades!$P$6,E114)*POWER(Upgrades!$P$7,F114)*POWER(Upgrades!$P$8,G114)*POWER(Upgrades!$P$9,H114)*POWER(Upgrades!$P$10,I114)*POWER(Upgrades!$P$11,J114)*POWER(Upgrades!$P$12,K114))*(IF(Upgrades!$T$6="Magnetosphere",POWER(Upgrades!$U$6,E114),1)*IF(Upgrades!$T$7="Magnetosphere",POWER(Upgrades!$U$7,F114),1)*IF(Upgrades!$T$8="Magnetosphere",POWER(Upgrades!$U$8,G114),1)*IF(Upgrades!$T$10="Magnetosphere",POWER(Upgrades!$U$10,I114),1)*IF(Upgrades!$T$11="Magnetosphere",POWER(Upgrades!$U$11,J114),1)*IF(Upgrades!$T$12="Magnetosphere",POWER(Upgrades!$U$12,K114),1))/AJ114,0)</f>
        <v>0</v>
      </c>
      <c r="AW114" s="33" t="n">
        <f aca="false">MAX(IF(I114&gt;0,0,IFERROR(0.25*N114/Upgrades!$C$10,0)),IF(J114&gt;0,0,IFERROR(0.5*((IF(G114=0,0,(Upgrades!$J$8+G114*Upgrades!$K$8)*POWER(Upgrades!$L$8,G114)))*(IF(Upgrades!$T$6="Stellar Coupling",POWER(Upgrades!$U$6,E114),1)*IF(Upgrades!$T$7="Stellar Coupling",POWER(Upgrades!$U$7,F114),1)*IF(Upgrades!$T$9="Stellar Coupling",POWER(Upgrades!$U$9,H114),1)*IF(Upgrades!$T$10="Stellar Coupling",POWER(Upgrades!$U$10,I114),1)*IF(Upgrades!$T$11="Stellar Coupling",POWER(Upgrades!$U$11,J114),1)*IF(Upgrades!$T$12="Stellar Coupling",POWER(Upgrades!$U$12,K114),1))*(POWER(Upgrades!$Q$6,E114)*POWER(Upgrades!$Q$7,F114)*POWER(Upgrades!$Q$8,G114)*POWER(Upgrades!$Q$9,H114)*POWER(Upgrades!$Q$10,I114)*POWER(Upgrades!$Q$11,J114)*POWER(Upgrades!$Q$12,K114))*Parameters!$B$10*Parameters!$B$11/60)/Upgrades!$C$11,0)),IF(K114&gt;0,0,IFERROR((1*(POWER(Upgrades!$P$6,E114)*POWER(Upgrades!$P$7,F114)*POWER(Upgrades!$P$8,G114)*POWER(Upgrades!$P$9,H114)*POWER(Upgrades!$P$10,I114)*POWER(Upgrades!$P$11,J114)*POWER(Upgrades!$P$12,K114))+0.2*M114*Parameters!$B$10*Parameters!$B$11/60)/Upgrades!$C$12,0)),IF(AND(ISNUMBER(AG114),AG114&gt;T114),AS114,0),IF(AND(ISNUMBER(AH114),AH114&gt;T114),AT114,0),IF(AND(ISNUMBER(AI114),AI114&gt;T114),AU114,0),IF(AND(ISNUMBER(AJ114),AJ114&gt;T114),AV114,0))</f>
        <v>0.00452762415783776</v>
      </c>
      <c r="AX114" s="29" t="str">
        <f aca="false">IF(AN114=1,"transition",IF(MIN(IF(AND(I114=0,ISNUMBER(AK114),AK114&lt;=T114),AK114,9000000000000000),IF(AND(J114=0,ISNUMBER(AL114),AL114&lt;=T114),AL114,9000000000000000),IF(AND(K114=0,ISNUMBER(AM114),AM114&lt;=T114),AM114,9000000000000000))&lt;9000000000000000,IF(AND(AND(I114=0,ISNUMBER(AK114),AK114&lt;=T114),AK114=MIN(IF(AND(I114=0,ISNUMBER(AK114),AK114&lt;=T114),AK114,9000000000000000),IF(AND(J114=0,ISNUMBER(AL114),AL114&lt;=T114),AL114,9000000000000000),IF(AND(K114=0,ISNUMBER(AM114),AM114&lt;=T114),AM114,9000000000000000))),"OR",IF(AND(AND(J114=0,ISNUMBER(AL114),AL114&lt;=T114),AL114=MIN(IF(AND(I114=0,ISNUMBER(AK114),AK114&lt;=T114),AK114,9000000000000000),IF(AND(J114=0,ISNUMBER(AL114),AL114&lt;=T114),AL114,9000000000000000),IF(AND(K114=0,ISNUMBER(AM114),AM114&lt;=T114),AM114,9000000000000000))),"HP","FP")),IF(AR114=TRUE(),"",IF(MAX(IF(AND(NOT(AND(AO114=1,AN114&lt;&gt;1)),ISNUMBER(AG114),AG114&lt;=T114),AS114,0),IF(AND(NOT(AND(AO114=1,AN114&lt;&gt;1)),ISNUMBER(AH114),AH114&lt;=T114),AT114,0),IF(AND(NOT(AND(AO114=1,AN114&lt;&gt;1)),ISNUMBER(AI114),AI114&lt;=T114),AU114,0),IF(AND(ISNUMBER(AJ114),AJ114&lt;=T114),AV114,0))&lt;=0,"",IF(AND(IF(AND(NOT(AND(AO114=1,AN114&lt;&gt;1)),ISNUMBER(AG114),AG114&lt;=T114),AS114,0)&gt;0,IF(AND(NOT(AND(AO114=1,AN114&lt;&gt;1)),ISNUMBER(AG114),AG114&lt;=T114),AS114,0)=MAX(IF(AND(NOT(AND(AO114=1,AN114&lt;&gt;1)),ISNUMBER(AG114),AG114&lt;=T114),AS114,0),IF(AND(NOT(AND(AO114=1,AN114&lt;&gt;1)),ISNUMBER(AH114),AH114&lt;=T114),AT114,0),IF(AND(NOT(AND(AO114=1,AN114&lt;&gt;1)),ISNUMBER(AI114),AI114&lt;=T114),AU114,0),IF(AND(ISNUMBER(AJ114),AJ114&lt;=T114),AV114,0))),"SW",IF(AND(IF(AND(NOT(AND(AO114=1,AN114&lt;&gt;1)),ISNUMBER(AH114),AH114&lt;=T114),AT114,0)&gt;0,IF(AND(NOT(AND(AO114=1,AN114&lt;&gt;1)),ISNUMBER(AH114),AH114&lt;=T114),AT114,0)=MAX(IF(AND(NOT(AND(AO114=1,AN114&lt;&gt;1)),ISNUMBER(AG114),AG114&lt;=T114),AS114,0),IF(AND(NOT(AND(AO114=1,AN114&lt;&gt;1)),ISNUMBER(AH114),AH114&lt;=T114),AT114,0),IF(AND(NOT(AND(AO114=1,AN114&lt;&gt;1)),ISNUMBER(AI114),AI114&lt;=T114),AU114,0),IF(AND(ISNUMBER(AJ114),AJ114&lt;=T114),AV114,0))),"AB",IF(AND(IF(AND(NOT(AND(AO114=1,AN114&lt;&gt;1)),ISNUMBER(AI114),AI114&lt;=T114),AU114,0)&gt;0,IF(AND(NOT(AND(AO114=1,AN114&lt;&gt;1)),ISNUMBER(AI114),AI114&lt;=T114),AU114,0)=MAX(IF(AND(NOT(AND(AO114=1,AN114&lt;&gt;1)),ISNUMBER(AG114),AG114&lt;=T114),AS114,0),IF(AND(NOT(AND(AO114=1,AN114&lt;&gt;1)),ISNUMBER(AH114),AH114&lt;=T114),AT114,0),IF(AND(NOT(AND(AO114=1,AN114&lt;&gt;1)),ISNUMBER(AI114),AI114&lt;=T114),AU114,0),IF(AND(ISNUMBER(AJ114),AJ114&lt;=T114),AV114,0))),"SC","Mag")))))))</f>
        <v/>
      </c>
    </row>
    <row r="115" customFormat="false" ht="15" hidden="false" customHeight="false" outlineLevel="0" collapsed="false">
      <c r="A115" s="26" t="n">
        <v>110</v>
      </c>
      <c r="B115" s="27" t="n">
        <f aca="false">A115*10/60</f>
        <v>18.3333333333333</v>
      </c>
      <c r="C115" s="21" t="n">
        <f aca="false">X114</f>
        <v>18.6730249835055</v>
      </c>
      <c r="D115" s="27" t="n">
        <f aca="false">D114+W114</f>
        <v>0</v>
      </c>
      <c r="E115" s="26" t="n">
        <f aca="false">E114+IF(U114="SW",1,0)</f>
        <v>12</v>
      </c>
      <c r="F115" s="26" t="n">
        <f aca="false">F114+IF(U114="AB",1,0)</f>
        <v>10</v>
      </c>
      <c r="G115" s="26" t="n">
        <f aca="false">G114+IF(U114="SC",1,0)</f>
        <v>7</v>
      </c>
      <c r="H115" s="26" t="n">
        <f aca="false">H114+IF(U114="Mag",1,0)</f>
        <v>5</v>
      </c>
      <c r="I115" s="26" t="n">
        <f aca="false">MAX(I114,IF(U114="OR",1,0))</f>
        <v>1</v>
      </c>
      <c r="J115" s="26" t="n">
        <f aca="false">MAX(J114,IF(U114="HP",1,0))</f>
        <v>1</v>
      </c>
      <c r="K115" s="26" t="n">
        <f aca="false">MAX(K114,IF(U114="FP",1,0))</f>
        <v>1</v>
      </c>
      <c r="L115" s="26" t="n">
        <f aca="false">MAX(L114,IF(U114="transition",1,0))</f>
        <v>1</v>
      </c>
      <c r="M115" s="28" t="n">
        <f aca="false">(Parameters!$B$9+(IF(E115=0,0,(Upgrades!$J$6+E115*Upgrades!$K$6)*POWER(Upgrades!$L$6,E115)))*(IF(Upgrades!$T$7="Solar Wind",POWER(Upgrades!$U$7,F115),1)*IF(Upgrades!$T$8="Solar Wind",POWER(Upgrades!$U$8,G115),1)*IF(Upgrades!$T$9="Solar Wind",POWER(Upgrades!$U$9,H115),1)*IF(Upgrades!$T$10="Solar Wind",POWER(Upgrades!$U$10,I115),1)*IF(Upgrades!$T$11="Solar Wind",POWER(Upgrades!$U$11,J115),1)*IF(Upgrades!$T$12="Solar Wind",POWER(Upgrades!$U$12,K115),1))+(IF(F115=0,0,(Upgrades!$J$7+F115*Upgrades!$K$7)*POWER(Upgrades!$L$7,F115)))*(IF(Upgrades!$T$6="Asteroid Belt",POWER(Upgrades!$U$6,E115),1)*IF(Upgrades!$T$8="Asteroid Belt",POWER(Upgrades!$U$8,G115),1)*IF(Upgrades!$T$9="Asteroid Belt",POWER(Upgrades!$U$9,H115),1)*IF(Upgrades!$T$10="Asteroid Belt",POWER(Upgrades!$U$10,I115),1)*IF(Upgrades!$T$11="Asteroid Belt",POWER(Upgrades!$U$11,J115),1)*IF(Upgrades!$T$12="Asteroid Belt",POWER(Upgrades!$U$12,K115),1))+(IF(G115=0,0,(Upgrades!$J$8+G115*Upgrades!$K$8)*POWER(Upgrades!$L$8,G115)))*(IF(Upgrades!$T$6="Stellar Coupling",POWER(Upgrades!$U$6,E115),1)*IF(Upgrades!$T$7="Stellar Coupling",POWER(Upgrades!$U$7,F115),1)*IF(Upgrades!$T$9="Stellar Coupling",POWER(Upgrades!$U$9,H115),1)*IF(Upgrades!$T$10="Stellar Coupling",POWER(Upgrades!$U$10,I115),1)*IF(Upgrades!$T$11="Stellar Coupling",POWER(Upgrades!$U$11,J115),1)*IF(Upgrades!$T$12="Stellar Coupling",POWER(Upgrades!$U$12,K115),1))+(IF(H115=0,0,(Upgrades!$J$9+H115*Upgrades!$K$9)*POWER(Upgrades!$L$9,H115)))*(IF(Upgrades!$T$6="Magnetosphere",POWER(Upgrades!$U$6,E115),1)*IF(Upgrades!$T$7="Magnetosphere",POWER(Upgrades!$U$7,F115),1)*IF(Upgrades!$T$8="Magnetosphere",POWER(Upgrades!$U$8,G115),1)*IF(Upgrades!$T$10="Magnetosphere",POWER(Upgrades!$U$10,I115),1)*IF(Upgrades!$T$11="Magnetosphere",POWER(Upgrades!$U$11,J115),1)*IF(Upgrades!$T$12="Magnetosphere",POWER(Upgrades!$U$12,K115),1))+(IF(I115=0,0,(Upgrades!$J$10+I115*Upgrades!$K$10)*POWER(Upgrades!$L$10,I115)))*(IF(Upgrades!$T$6="Orbital Resonance",POWER(Upgrades!$U$6,E115),1)*IF(Upgrades!$T$7="Orbital Resonance",POWER(Upgrades!$U$7,F115),1)*IF(Upgrades!$T$8="Orbital Resonance",POWER(Upgrades!$U$8,G115),1)*IF(Upgrades!$T$9="Orbital Resonance",POWER(Upgrades!$U$9,H115),1)*IF(Upgrades!$T$11="Orbital Resonance",POWER(Upgrades!$U$11,J115),1)*IF(Upgrades!$T$12="Orbital Resonance",POWER(Upgrades!$U$12,K115),1))+(IF(J115=0,0,(Upgrades!$J$11+J115*Upgrades!$K$11)*POWER(Upgrades!$L$11,J115)))*(IF(Upgrades!$T$6="Heliopause",POWER(Upgrades!$U$6,E115),1)*IF(Upgrades!$T$7="Heliopause",POWER(Upgrades!$U$7,F115),1)*IF(Upgrades!$T$8="Heliopause",POWER(Upgrades!$U$8,G115),1)*IF(Upgrades!$T$9="Heliopause",POWER(Upgrades!$U$9,H115),1)*IF(Upgrades!$T$10="Heliopause",POWER(Upgrades!$U$10,I115),1)*IF(Upgrades!$T$12="Heliopause",POWER(Upgrades!$U$12,K115),1))+(IF(K115=0,0,(Upgrades!$J$12+K115*Upgrades!$K$12)*POWER(Upgrades!$L$12,K115)))*(IF(Upgrades!$T$6="First Photons",POWER(Upgrades!$U$6,E115),1)*IF(Upgrades!$T$7="First Photons",POWER(Upgrades!$U$7,F115),1)*IF(Upgrades!$T$8="First Photons",POWER(Upgrades!$U$8,G115),1)*IF(Upgrades!$T$9="First Photons",POWER(Upgrades!$U$9,H115),1)*IF(Upgrades!$T$10="First Photons",POWER(Upgrades!$U$10,I115),1)*IF(Upgrades!$T$11="First Photons",POWER(Upgrades!$U$11,J115),1)))*POWER(Upgrades!$Q$6,E115)*POWER(Upgrades!$Q$7,F115)*POWER(Upgrades!$Q$8,G115)*POWER(Upgrades!$Q$9,H115)*POWER(Upgrades!$Q$10,I115)*POWER(Upgrades!$Q$11,J115)*POWER(Upgrades!$Q$12,K115)</f>
        <v>5.61</v>
      </c>
      <c r="N115" s="28" t="n">
        <f aca="false">((IF(E115=0,0,(Upgrades!$G$6+E115*Upgrades!$H$6)*POWER(Upgrades!$I$6,E115)))*(IF(Upgrades!$T$7="Solar Wind",POWER(Upgrades!$U$7,F115),1)*IF(Upgrades!$T$8="Solar Wind",POWER(Upgrades!$U$8,G115),1)*IF(Upgrades!$T$9="Solar Wind",POWER(Upgrades!$U$9,H115),1)*IF(Upgrades!$T$10="Solar Wind",POWER(Upgrades!$U$10,I115),1)*IF(Upgrades!$T$11="Solar Wind",POWER(Upgrades!$U$11,J115),1)*IF(Upgrades!$T$12="Solar Wind",POWER(Upgrades!$U$12,K115),1))+(IF(F115=0,0,(Upgrades!$G$7+F115*Upgrades!$H$7)*POWER(Upgrades!$I$7,F115)))*(IF(Upgrades!$T$6="Asteroid Belt",POWER(Upgrades!$U$6,E115),1)*IF(Upgrades!$T$8="Asteroid Belt",POWER(Upgrades!$U$8,G115),1)*IF(Upgrades!$T$9="Asteroid Belt",POWER(Upgrades!$U$9,H115),1)*IF(Upgrades!$T$10="Asteroid Belt",POWER(Upgrades!$U$10,I115),1)*IF(Upgrades!$T$11="Asteroid Belt",POWER(Upgrades!$U$11,J115),1)*IF(Upgrades!$T$12="Asteroid Belt",POWER(Upgrades!$U$12,K115),1))+(IF(G115=0,0,(Upgrades!$G$8+G115*Upgrades!$H$8)*POWER(Upgrades!$I$8,G115)))*(IF(Upgrades!$T$6="Stellar Coupling",POWER(Upgrades!$U$6,E115),1)*IF(Upgrades!$T$7="Stellar Coupling",POWER(Upgrades!$U$7,F115),1)*IF(Upgrades!$T$9="Stellar Coupling",POWER(Upgrades!$U$9,H115),1)*IF(Upgrades!$T$10="Stellar Coupling",POWER(Upgrades!$U$10,I115),1)*IF(Upgrades!$T$11="Stellar Coupling",POWER(Upgrades!$U$11,J115),1)*IF(Upgrades!$T$12="Stellar Coupling",POWER(Upgrades!$U$12,K115),1))+(IF(H115=0,0,(Upgrades!$G$9+H115*Upgrades!$H$9)*POWER(Upgrades!$I$9,H115)))*(IF(Upgrades!$T$6="Magnetosphere",POWER(Upgrades!$U$6,E115),1)*IF(Upgrades!$T$7="Magnetosphere",POWER(Upgrades!$U$7,F115),1)*IF(Upgrades!$T$8="Magnetosphere",POWER(Upgrades!$U$8,G115),1)*IF(Upgrades!$T$10="Magnetosphere",POWER(Upgrades!$U$10,I115),1)*IF(Upgrades!$T$11="Magnetosphere",POWER(Upgrades!$U$11,J115),1)*IF(Upgrades!$T$12="Magnetosphere",POWER(Upgrades!$U$12,K115),1))+(IF(I115=0,0,(Upgrades!$G$10+I115*Upgrades!$H$10)*POWER(Upgrades!$I$10,I115)))*(IF(Upgrades!$T$6="Orbital Resonance",POWER(Upgrades!$U$6,E115),1)*IF(Upgrades!$T$7="Orbital Resonance",POWER(Upgrades!$U$7,F115),1)*IF(Upgrades!$T$8="Orbital Resonance",POWER(Upgrades!$U$8,G115),1)*IF(Upgrades!$T$9="Orbital Resonance",POWER(Upgrades!$U$9,H115),1)*IF(Upgrades!$T$11="Orbital Resonance",POWER(Upgrades!$U$11,J115),1)*IF(Upgrades!$T$12="Orbital Resonance",POWER(Upgrades!$U$12,K115),1))+(IF(J115=0,0,(Upgrades!$G$11+J115*Upgrades!$H$11)*POWER(Upgrades!$I$11,J115)))*(IF(Upgrades!$T$6="Heliopause",POWER(Upgrades!$U$6,E115),1)*IF(Upgrades!$T$7="Heliopause",POWER(Upgrades!$U$7,F115),1)*IF(Upgrades!$T$8="Heliopause",POWER(Upgrades!$U$8,G115),1)*IF(Upgrades!$T$9="Heliopause",POWER(Upgrades!$U$9,H115),1)*IF(Upgrades!$T$10="Heliopause",POWER(Upgrades!$U$10,I115),1)*IF(Upgrades!$T$12="Heliopause",POWER(Upgrades!$U$12,K115),1))+(IF(K115=0,0,(Upgrades!$G$12+K115*Upgrades!$H$12)*POWER(Upgrades!$I$12,K115)))*(IF(Upgrades!$T$6="First Photons",POWER(Upgrades!$U$6,E115),1)*IF(Upgrades!$T$7="First Photons",POWER(Upgrades!$U$7,F115),1)*IF(Upgrades!$T$8="First Photons",POWER(Upgrades!$U$8,G115),1)*IF(Upgrades!$T$9="First Photons",POWER(Upgrades!$U$9,H115),1)*IF(Upgrades!$T$10="First Photons",POWER(Upgrades!$U$10,I115),1)*IF(Upgrades!$T$11="First Photons",POWER(Upgrades!$U$11,J115),1)))*POWER(Upgrades!$P$6,E115)*POWER(Upgrades!$P$7,F115)*POWER(Upgrades!$P$8,G115)*POWER(Upgrades!$P$9,H115)*POWER(Upgrades!$P$10,I115)*POWER(Upgrades!$P$11,J115)*POWER(Upgrades!$P$12,K115)</f>
        <v>11.2</v>
      </c>
      <c r="O115" s="28" t="n">
        <f aca="false">((IF(E115=0,0,(Upgrades!$M$6+E115*Upgrades!$N$6)*POWER(Upgrades!$O$6,E115)))*(IF(Upgrades!$T$7="Solar Wind",POWER(Upgrades!$U$7,F115),1)*IF(Upgrades!$T$8="Solar Wind",POWER(Upgrades!$U$8,G115),1)*IF(Upgrades!$T$9="Solar Wind",POWER(Upgrades!$U$9,H115),1)*IF(Upgrades!$T$10="Solar Wind",POWER(Upgrades!$U$10,I115),1)*IF(Upgrades!$T$11="Solar Wind",POWER(Upgrades!$U$11,J115),1)*IF(Upgrades!$T$12="Solar Wind",POWER(Upgrades!$U$12,K115),1))+(IF(F115=0,0,(Upgrades!$M$7+F115*Upgrades!$N$7)*POWER(Upgrades!$O$7,F115)))*(IF(Upgrades!$T$6="Asteroid Belt",POWER(Upgrades!$U$6,E115),1)*IF(Upgrades!$T$8="Asteroid Belt",POWER(Upgrades!$U$8,G115),1)*IF(Upgrades!$T$9="Asteroid Belt",POWER(Upgrades!$U$9,H115),1)*IF(Upgrades!$T$10="Asteroid Belt",POWER(Upgrades!$U$10,I115),1)*IF(Upgrades!$T$11="Asteroid Belt",POWER(Upgrades!$U$11,J115),1)*IF(Upgrades!$T$12="Asteroid Belt",POWER(Upgrades!$U$12,K115),1))+(IF(G115=0,0,(Upgrades!$M$8+G115*Upgrades!$N$8)*POWER(Upgrades!$O$8,G115)))*(IF(Upgrades!$T$6="Stellar Coupling",POWER(Upgrades!$U$6,E115),1)*IF(Upgrades!$T$7="Stellar Coupling",POWER(Upgrades!$U$7,F115),1)*IF(Upgrades!$T$9="Stellar Coupling",POWER(Upgrades!$U$9,H115),1)*IF(Upgrades!$T$10="Stellar Coupling",POWER(Upgrades!$U$10,I115),1)*IF(Upgrades!$T$11="Stellar Coupling",POWER(Upgrades!$U$11,J115),1)*IF(Upgrades!$T$12="Stellar Coupling",POWER(Upgrades!$U$12,K115),1))+(IF(H115=0,0,(Upgrades!$M$9+H115*Upgrades!$N$9)*POWER(Upgrades!$O$9,H115)))*(IF(Upgrades!$T$6="Magnetosphere",POWER(Upgrades!$U$6,E115),1)*IF(Upgrades!$T$7="Magnetosphere",POWER(Upgrades!$U$7,F115),1)*IF(Upgrades!$T$8="Magnetosphere",POWER(Upgrades!$U$8,G115),1)*IF(Upgrades!$T$10="Magnetosphere",POWER(Upgrades!$U$10,I115),1)*IF(Upgrades!$T$11="Magnetosphere",POWER(Upgrades!$U$11,J115),1)*IF(Upgrades!$T$12="Magnetosphere",POWER(Upgrades!$U$12,K115),1))+(IF(I115=0,0,(Upgrades!$M$10+I115*Upgrades!$N$10)*POWER(Upgrades!$O$10,I115)))*(IF(Upgrades!$T$6="Orbital Resonance",POWER(Upgrades!$U$6,E115),1)*IF(Upgrades!$T$7="Orbital Resonance",POWER(Upgrades!$U$7,F115),1)*IF(Upgrades!$T$8="Orbital Resonance",POWER(Upgrades!$U$8,G115),1)*IF(Upgrades!$T$9="Orbital Resonance",POWER(Upgrades!$U$9,H115),1)*IF(Upgrades!$T$11="Orbital Resonance",POWER(Upgrades!$U$11,J115),1)*IF(Upgrades!$T$12="Orbital Resonance",POWER(Upgrades!$U$12,K115),1))+(IF(J115=0,0,(Upgrades!$M$11+J115*Upgrades!$N$11)*POWER(Upgrades!$O$11,J115)))*(IF(Upgrades!$T$6="Heliopause",POWER(Upgrades!$U$6,E115),1)*IF(Upgrades!$T$7="Heliopause",POWER(Upgrades!$U$7,F115),1)*IF(Upgrades!$T$8="Heliopause",POWER(Upgrades!$U$8,G115),1)*IF(Upgrades!$T$9="Heliopause",POWER(Upgrades!$U$9,H115),1)*IF(Upgrades!$T$10="Heliopause",POWER(Upgrades!$U$10,I115),1)*IF(Upgrades!$T$12="Heliopause",POWER(Upgrades!$U$12,K115),1))+(IF(K115=0,0,(Upgrades!$M$12+K115*Upgrades!$N$12)*POWER(Upgrades!$O$12,K115)))*(IF(Upgrades!$T$6="First Photons",POWER(Upgrades!$U$6,E115),1)*IF(Upgrades!$T$7="First Photons",POWER(Upgrades!$U$7,F115),1)*IF(Upgrades!$T$8="First Photons",POWER(Upgrades!$U$8,G115),1)*IF(Upgrades!$T$9="First Photons",POWER(Upgrades!$U$9,H115),1)*IF(Upgrades!$T$10="First Photons",POWER(Upgrades!$U$10,I115),1)*IF(Upgrades!$T$11="First Photons",POWER(Upgrades!$U$11,J115),1)))*POWER(Upgrades!$R$6,E115)*POWER(Upgrades!$R$7,F115)*POWER(Upgrades!$R$8,G115)*POWER(Upgrades!$R$9,H115)*POWER(Upgrades!$R$10,I115)*POWER(Upgrades!$R$11,J115)*POWER(Upgrades!$R$12,K115)</f>
        <v>0</v>
      </c>
      <c r="P115" s="27" t="n">
        <f aca="false">IF(L115=1,0,M115*Parameters!$B$10/60*Parameters!$B$11*10)</f>
        <v>0</v>
      </c>
      <c r="Q115" s="27" t="n">
        <f aca="false">IF(L115=1,0,O115*M115*10)</f>
        <v>0</v>
      </c>
      <c r="R115" s="27" t="n">
        <f aca="false">IF(L115=1,0,N115*10)</f>
        <v>0</v>
      </c>
      <c r="S115" s="27" t="n">
        <f aca="false">P115+Q115+R115</f>
        <v>0</v>
      </c>
      <c r="T115" s="21" t="n">
        <f aca="false">C115+S115</f>
        <v>18.6730249835055</v>
      </c>
      <c r="U115" s="34" t="str">
        <f aca="false">AX115</f>
        <v/>
      </c>
      <c r="V115" s="21" t="n">
        <f aca="false">IF(U115="",0,IF(U115="transition",0,IF(U115="SW",AG115,IF(U115="AB",AH115,IF(U115="SC",AI115,IF(U115="Mag",AJ115,IF(U115="OR",AK115,IF(U115="HP",AL115,IF(U115="FP",AM115,0)))))))))</f>
        <v>0</v>
      </c>
      <c r="W115" s="27" t="n">
        <f aca="false">IF(U115="OR",Upgrades!$F$10,IF(U115="HP",Upgrades!$F$11,IF(U115="transition",-Parameters!$B$18,0)))</f>
        <v>0</v>
      </c>
      <c r="X115" s="21" t="n">
        <f aca="false">T115-V115</f>
        <v>18.6730249835055</v>
      </c>
      <c r="Y115" s="30" t="n">
        <f aca="false">M115*Parameters!$B$10/60*Parameters!$B$11+O115*M115+N115</f>
        <v>20.55</v>
      </c>
      <c r="Z115" s="35" t="str">
        <f aca="false">IF(U115="transition","→ Tier 2 (Stellar Neighborhood)",IF(U115="FP","First Photons — light begins, system quickens",IF(U115="HP","Heliopause acquired",IF(U115="OR","Orbital Resonance — passive multiplier active",IF(AND(AO115=1,L115=0,AN115&lt;&gt;1),"Cohesion ready (waiting on completionist upgrades)","")))))</f>
        <v/>
      </c>
      <c r="AA115" s="27" t="n">
        <f aca="false">(IF(E115=0,0,(Upgrades!$G$6+E115*Upgrades!$H$6)*POWER(Upgrades!$I$6,E115)))*(IF(Upgrades!$T$7="Solar Wind",POWER(Upgrades!$U$7,F115),1)*IF(Upgrades!$T$8="Solar Wind",POWER(Upgrades!$U$8,G115),1)*IF(Upgrades!$T$9="Solar Wind",POWER(Upgrades!$U$9,H115),1)*IF(Upgrades!$T$10="Solar Wind",POWER(Upgrades!$U$10,I115),1)*IF(Upgrades!$T$11="Solar Wind",POWER(Upgrades!$U$11,J115),1)*IF(Upgrades!$T$12="Solar Wind",POWER(Upgrades!$U$12,K115),1))*POWER(Upgrades!$P$6,E115)*POWER(Upgrades!$P$7,F115)*POWER(Upgrades!$P$8,G115)*POWER(Upgrades!$P$9,H115)*POWER(Upgrades!$P$10,I115)*POWER(Upgrades!$P$11,J115)*POWER(Upgrades!$P$12,K115)*60</f>
        <v>72</v>
      </c>
      <c r="AB115" s="27" t="n">
        <f aca="false">(IF(F115=0,0,(Upgrades!$G$7+F115*Upgrades!$H$7)*POWER(Upgrades!$I$7,F115)))*(IF(Upgrades!$T$6="Asteroid Belt",POWER(Upgrades!$U$6,E115),1)*IF(Upgrades!$T$8="Asteroid Belt",POWER(Upgrades!$U$8,G115),1)*IF(Upgrades!$T$9="Asteroid Belt",POWER(Upgrades!$U$9,H115),1)*IF(Upgrades!$T$10="Asteroid Belt",POWER(Upgrades!$U$10,I115),1)*IF(Upgrades!$T$11="Asteroid Belt",POWER(Upgrades!$U$11,J115),1)*IF(Upgrades!$T$12="Asteroid Belt",POWER(Upgrades!$U$12,K115),1))*POWER(Upgrades!$P$6,E115)*POWER(Upgrades!$P$7,F115)*POWER(Upgrades!$P$8,G115)*POWER(Upgrades!$P$9,H115)*POWER(Upgrades!$P$10,I115)*POWER(Upgrades!$P$11,J115)*POWER(Upgrades!$P$12,K115)*60</f>
        <v>150</v>
      </c>
      <c r="AC115" s="27" t="n">
        <f aca="false">(IF(G115=0,0,(Upgrades!$J$8+G115*Upgrades!$K$8)*POWER(Upgrades!$L$8,G115)))*(IF(Upgrades!$T$6="Stellar Coupling",POWER(Upgrades!$U$6,E115),1)*IF(Upgrades!$T$7="Stellar Coupling",POWER(Upgrades!$U$7,F115),1)*IF(Upgrades!$T$9="Stellar Coupling",POWER(Upgrades!$U$9,H115),1)*IF(Upgrades!$T$10="Stellar Coupling",POWER(Upgrades!$U$10,I115),1)*IF(Upgrades!$T$11="Stellar Coupling",POWER(Upgrades!$U$11,J115),1)*IF(Upgrades!$T$12="Stellar Coupling",POWER(Upgrades!$U$12,K115),1))*POWER(Upgrades!$Q$6,E115)*POWER(Upgrades!$Q$7,F115)*POWER(Upgrades!$Q$8,G115)*POWER(Upgrades!$Q$9,H115)*POWER(Upgrades!$Q$10,I115)*POWER(Upgrades!$Q$11,J115)*POWER(Upgrades!$Q$12,K115)*Parameters!$B$10*Parameters!$B$11</f>
        <v>441</v>
      </c>
      <c r="AD115" s="27" t="n">
        <f aca="false">(IF(H115=0,0,(Upgrades!$G$9+H115*Upgrades!$H$9)*POWER(Upgrades!$I$9,H115)))*(IF(Upgrades!$T$6="Magnetosphere",POWER(Upgrades!$U$6,E115),1)*IF(Upgrades!$T$7="Magnetosphere",POWER(Upgrades!$U$7,F115),1)*IF(Upgrades!$T$8="Magnetosphere",POWER(Upgrades!$U$8,G115),1)*IF(Upgrades!$T$10="Magnetosphere",POWER(Upgrades!$U$10,I115),1)*IF(Upgrades!$T$11="Magnetosphere",POWER(Upgrades!$U$11,J115),1)*IF(Upgrades!$T$12="Magnetosphere",POWER(Upgrades!$U$12,K115),1))*POWER(Upgrades!$P$6,E115)*POWER(Upgrades!$P$7,F115)*POWER(Upgrades!$P$8,G115)*POWER(Upgrades!$P$9,H115)*POWER(Upgrades!$P$10,I115)*POWER(Upgrades!$P$11,J115)*POWER(Upgrades!$P$12,K115)*60</f>
        <v>375</v>
      </c>
      <c r="AE115" s="27" t="n">
        <f aca="false">(IF(K115=0,0,(Upgrades!$G$12+K115*Upgrades!$H$12)*POWER(Upgrades!$I$12,K115)))*(IF(Upgrades!$T$6="First Photons",POWER(Upgrades!$U$6,E115),1)*IF(Upgrades!$T$7="First Photons",POWER(Upgrades!$U$7,F115),1)*IF(Upgrades!$T$8="First Photons",POWER(Upgrades!$U$8,G115),1)*IF(Upgrades!$T$9="First Photons",POWER(Upgrades!$U$9,H115),1)*IF(Upgrades!$T$10="First Photons",POWER(Upgrades!$U$10,I115),1)*IF(Upgrades!$T$11="First Photons",POWER(Upgrades!$U$11,J115),1))*POWER(Upgrades!$P$6,E115)*POWER(Upgrades!$P$7,F115)*POWER(Upgrades!$P$8,G115)*POWER(Upgrades!$P$9,H115)*POWER(Upgrades!$P$10,I115)*POWER(Upgrades!$P$11,J115)*POWER(Upgrades!$P$12,K115)*60</f>
        <v>75</v>
      </c>
      <c r="AF115" s="27" t="n">
        <f aca="false">Parameters!$B$9*POWER(Upgrades!$Q$6,E115)*POWER(Upgrades!$Q$7,F115)*POWER(Upgrades!$Q$8,G115)*POWER(Upgrades!$Q$9,H115)*POWER(Upgrades!$Q$10,I115)*POWER(Upgrades!$Q$11,J115)*POWER(Upgrades!$Q$12,K115)*(Parameters!$B$10*Parameters!$B$11+O115*60)</f>
        <v>120</v>
      </c>
      <c r="AG115" s="21" t="n">
        <f aca="false">IF(E115&gt;=Upgrades!$E$6,"",Upgrades!$C$6*POWER(Upgrades!$D$6,E115))</f>
        <v>37.4517507383159</v>
      </c>
      <c r="AH115" s="21" t="n">
        <f aca="false">IF(F115&gt;=Upgrades!$E$7,"",Upgrades!$C$7*POWER(Upgrades!$D$7,F115))</f>
        <v>80.9111547141581</v>
      </c>
      <c r="AI115" s="21" t="n">
        <f aca="false">IF(G115&gt;=Upgrades!$E$8,"",Upgrades!$C$8*POWER(Upgrades!$D$8,G115))</f>
        <v>231.9097088</v>
      </c>
      <c r="AJ115" s="21" t="str">
        <f aca="false">IF(H115&gt;=Upgrades!$E$9,"",Upgrades!$C$9*POWER(Upgrades!$D$9,H115))</f>
        <v/>
      </c>
      <c r="AK115" s="21" t="str">
        <f aca="false">IF(I115&gt;=Upgrades!$E$10,"",Upgrades!$C$10*POWER(Upgrades!$D$10,I115))</f>
        <v/>
      </c>
      <c r="AL115" s="21" t="str">
        <f aca="false">IF(J115&gt;=Upgrades!$E$11,"",Upgrades!$C$11*POWER(Upgrades!$D$11,J115))</f>
        <v/>
      </c>
      <c r="AM115" s="21" t="str">
        <f aca="false">IF(K115&gt;=Upgrades!$E$12,"",Upgrades!$C$12*POWER(Upgrades!$D$12,K115))</f>
        <v/>
      </c>
      <c r="AN115" s="26" t="str">
        <f aca="false">IF(AND(D115&gt;=Parameters!$B$18,(H115&gt;=Upgrades!$E$9)*(K115&gt;=Upgrades!$E$12)=1,L115=0),1,"")</f>
        <v/>
      </c>
      <c r="AO115" s="26" t="str">
        <f aca="false">IF(AND(D115&gt;=Parameters!$B$18,L115=0),1,"")</f>
        <v/>
      </c>
      <c r="AP115" s="21" t="n">
        <f aca="false">MIN(IF(ISNUMBER(AK115),AK115,9000000000000000),IF(ISNUMBER(AL115),AL115,9000000000000000),IF(ISNUMBER(AM115),AM115,9000000000000000))</f>
        <v>9000000000000000</v>
      </c>
      <c r="AQ115" s="21" t="n">
        <f aca="false">MIN(IF(ISNUMBER(AG115),AG115,9000000000000000),IF(ISNUMBER(AH115),AH115,9000000000000000),IF(ISNUMBER(AI115),AI115,9000000000000000),IF(ISNUMBER(AJ115),AJ115,9000000000000000))</f>
        <v>37.4517507383159</v>
      </c>
      <c r="AR115" s="32" t="b">
        <f aca="false">IF(AW115&gt;Parameters!$B$21*(MAX(IF(AND(NOT(AND(AO115=1,AN115&lt;&gt;1)),ISNUMBER(AG115),AG115&lt;=T115),AS115,0),IF(AND(NOT(AND(AO115=1,AN115&lt;&gt;1)),ISNUMBER(AH115),AH115&lt;=T115),AT115,0),IF(AND(NOT(AND(AO115=1,AN115&lt;&gt;1)),ISNUMBER(AI115),AI115&lt;=T115),AU115,0),IF(AND(ISNUMBER(AJ115),AJ115&lt;=T115),AV115,0))),TRUE(),FALSE())</f>
        <v>1</v>
      </c>
      <c r="AS115" s="33" t="n">
        <f aca="false">IFERROR(Upgrades!$H$6*(POWER(Upgrades!$P$6,E115)*POWER(Upgrades!$P$7,F115)*POWER(Upgrades!$P$8,G115)*POWER(Upgrades!$P$9,H115)*POWER(Upgrades!$P$10,I115)*POWER(Upgrades!$P$11,J115)*POWER(Upgrades!$P$12,K115))*(IF(Upgrades!$T$7="Solar Wind",POWER(Upgrades!$U$7,F115),1)*IF(Upgrades!$T$8="Solar Wind",POWER(Upgrades!$U$8,G115),1)*IF(Upgrades!$T$9="Solar Wind",POWER(Upgrades!$U$9,H115),1)*IF(Upgrades!$T$10="Solar Wind",POWER(Upgrades!$U$10,I115),1)*IF(Upgrades!$T$11="Solar Wind",POWER(Upgrades!$U$11,J115),1)*IF(Upgrades!$T$12="Solar Wind",POWER(Upgrades!$U$12,K115),1))/AG115,0)</f>
        <v>0.0026701021455238</v>
      </c>
      <c r="AT115" s="33" t="n">
        <f aca="false">IFERROR(Upgrades!$H$7*(POWER(Upgrades!$P$6,E115)*POWER(Upgrades!$P$7,F115)*POWER(Upgrades!$P$8,G115)*POWER(Upgrades!$P$9,H115)*POWER(Upgrades!$P$10,I115)*POWER(Upgrades!$P$11,J115)*POWER(Upgrades!$P$12,K115))*(IF(Upgrades!$T$6="Asteroid Belt",POWER(Upgrades!$U$6,E115),1)*IF(Upgrades!$T$8="Asteroid Belt",POWER(Upgrades!$U$8,G115),1)*IF(Upgrades!$T$9="Asteroid Belt",POWER(Upgrades!$U$9,H115),1)*IF(Upgrades!$T$10="Asteroid Belt",POWER(Upgrades!$U$10,I115),1)*IF(Upgrades!$T$11="Asteroid Belt",POWER(Upgrades!$U$11,J115),1)*IF(Upgrades!$T$12="Asteroid Belt",POWER(Upgrades!$U$12,K115),1))/AH115,0)</f>
        <v>0.00308980882652332</v>
      </c>
      <c r="AU115" s="33" t="n">
        <f aca="false">IFERROR(Upgrades!$K$8*(POWER(Upgrades!$Q$6,E115)*POWER(Upgrades!$Q$7,F115)*POWER(Upgrades!$Q$8,G115)*POWER(Upgrades!$Q$9,H115)*POWER(Upgrades!$Q$10,I115)*POWER(Upgrades!$Q$11,J115)*POWER(Upgrades!$Q$12,K115))*(IF(Upgrades!$T$6="Stellar Coupling",POWER(Upgrades!$U$6,E115),1)*IF(Upgrades!$T$7="Stellar Coupling",POWER(Upgrades!$U$7,F115),1)*IF(Upgrades!$T$9="Stellar Coupling",POWER(Upgrades!$U$9,H115),1)*IF(Upgrades!$T$10="Stellar Coupling",POWER(Upgrades!$U$10,I115),1)*IF(Upgrades!$T$11="Stellar Coupling",POWER(Upgrades!$U$11,J115),1)*IF(Upgrades!$T$12="Stellar Coupling",POWER(Upgrades!$U$12,K115),1))*Parameters!$B$10*Parameters!$B$11/60/AI115,0)</f>
        <v>0.00452762415783776</v>
      </c>
      <c r="AV115" s="33" t="n">
        <f aca="false">IFERROR(Upgrades!$H$9*(POWER(Upgrades!$P$6,E115)*POWER(Upgrades!$P$7,F115)*POWER(Upgrades!$P$8,G115)*POWER(Upgrades!$P$9,H115)*POWER(Upgrades!$P$10,I115)*POWER(Upgrades!$P$11,J115)*POWER(Upgrades!$P$12,K115))*(IF(Upgrades!$T$6="Magnetosphere",POWER(Upgrades!$U$6,E115),1)*IF(Upgrades!$T$7="Magnetosphere",POWER(Upgrades!$U$7,F115),1)*IF(Upgrades!$T$8="Magnetosphere",POWER(Upgrades!$U$8,G115),1)*IF(Upgrades!$T$10="Magnetosphere",POWER(Upgrades!$U$10,I115),1)*IF(Upgrades!$T$11="Magnetosphere",POWER(Upgrades!$U$11,J115),1)*IF(Upgrades!$T$12="Magnetosphere",POWER(Upgrades!$U$12,K115),1))/AJ115,0)</f>
        <v>0</v>
      </c>
      <c r="AW115" s="33" t="n">
        <f aca="false">MAX(IF(I115&gt;0,0,IFERROR(0.25*N115/Upgrades!$C$10,0)),IF(J115&gt;0,0,IFERROR(0.5*((IF(G115=0,0,(Upgrades!$J$8+G115*Upgrades!$K$8)*POWER(Upgrades!$L$8,G115)))*(IF(Upgrades!$T$6="Stellar Coupling",POWER(Upgrades!$U$6,E115),1)*IF(Upgrades!$T$7="Stellar Coupling",POWER(Upgrades!$U$7,F115),1)*IF(Upgrades!$T$9="Stellar Coupling",POWER(Upgrades!$U$9,H115),1)*IF(Upgrades!$T$10="Stellar Coupling",POWER(Upgrades!$U$10,I115),1)*IF(Upgrades!$T$11="Stellar Coupling",POWER(Upgrades!$U$11,J115),1)*IF(Upgrades!$T$12="Stellar Coupling",POWER(Upgrades!$U$12,K115),1))*(POWER(Upgrades!$Q$6,E115)*POWER(Upgrades!$Q$7,F115)*POWER(Upgrades!$Q$8,G115)*POWER(Upgrades!$Q$9,H115)*POWER(Upgrades!$Q$10,I115)*POWER(Upgrades!$Q$11,J115)*POWER(Upgrades!$Q$12,K115))*Parameters!$B$10*Parameters!$B$11/60)/Upgrades!$C$11,0)),IF(K115&gt;0,0,IFERROR((1*(POWER(Upgrades!$P$6,E115)*POWER(Upgrades!$P$7,F115)*POWER(Upgrades!$P$8,G115)*POWER(Upgrades!$P$9,H115)*POWER(Upgrades!$P$10,I115)*POWER(Upgrades!$P$11,J115)*POWER(Upgrades!$P$12,K115))+0.2*M115*Parameters!$B$10*Parameters!$B$11/60)/Upgrades!$C$12,0)),IF(AND(ISNUMBER(AG115),AG115&gt;T115),AS115,0),IF(AND(ISNUMBER(AH115),AH115&gt;T115),AT115,0),IF(AND(ISNUMBER(AI115),AI115&gt;T115),AU115,0),IF(AND(ISNUMBER(AJ115),AJ115&gt;T115),AV115,0))</f>
        <v>0.00452762415783776</v>
      </c>
      <c r="AX115" s="29" t="str">
        <f aca="false">IF(AN115=1,"transition",IF(MIN(IF(AND(I115=0,ISNUMBER(AK115),AK115&lt;=T115),AK115,9000000000000000),IF(AND(J115=0,ISNUMBER(AL115),AL115&lt;=T115),AL115,9000000000000000),IF(AND(K115=0,ISNUMBER(AM115),AM115&lt;=T115),AM115,9000000000000000))&lt;9000000000000000,IF(AND(AND(I115=0,ISNUMBER(AK115),AK115&lt;=T115),AK115=MIN(IF(AND(I115=0,ISNUMBER(AK115),AK115&lt;=T115),AK115,9000000000000000),IF(AND(J115=0,ISNUMBER(AL115),AL115&lt;=T115),AL115,9000000000000000),IF(AND(K115=0,ISNUMBER(AM115),AM115&lt;=T115),AM115,9000000000000000))),"OR",IF(AND(AND(J115=0,ISNUMBER(AL115),AL115&lt;=T115),AL115=MIN(IF(AND(I115=0,ISNUMBER(AK115),AK115&lt;=T115),AK115,9000000000000000),IF(AND(J115=0,ISNUMBER(AL115),AL115&lt;=T115),AL115,9000000000000000),IF(AND(K115=0,ISNUMBER(AM115),AM115&lt;=T115),AM115,9000000000000000))),"HP","FP")),IF(AR115=TRUE(),"",IF(MAX(IF(AND(NOT(AND(AO115=1,AN115&lt;&gt;1)),ISNUMBER(AG115),AG115&lt;=T115),AS115,0),IF(AND(NOT(AND(AO115=1,AN115&lt;&gt;1)),ISNUMBER(AH115),AH115&lt;=T115),AT115,0),IF(AND(NOT(AND(AO115=1,AN115&lt;&gt;1)),ISNUMBER(AI115),AI115&lt;=T115),AU115,0),IF(AND(ISNUMBER(AJ115),AJ115&lt;=T115),AV115,0))&lt;=0,"",IF(AND(IF(AND(NOT(AND(AO115=1,AN115&lt;&gt;1)),ISNUMBER(AG115),AG115&lt;=T115),AS115,0)&gt;0,IF(AND(NOT(AND(AO115=1,AN115&lt;&gt;1)),ISNUMBER(AG115),AG115&lt;=T115),AS115,0)=MAX(IF(AND(NOT(AND(AO115=1,AN115&lt;&gt;1)),ISNUMBER(AG115),AG115&lt;=T115),AS115,0),IF(AND(NOT(AND(AO115=1,AN115&lt;&gt;1)),ISNUMBER(AH115),AH115&lt;=T115),AT115,0),IF(AND(NOT(AND(AO115=1,AN115&lt;&gt;1)),ISNUMBER(AI115),AI115&lt;=T115),AU115,0),IF(AND(ISNUMBER(AJ115),AJ115&lt;=T115),AV115,0))),"SW",IF(AND(IF(AND(NOT(AND(AO115=1,AN115&lt;&gt;1)),ISNUMBER(AH115),AH115&lt;=T115),AT115,0)&gt;0,IF(AND(NOT(AND(AO115=1,AN115&lt;&gt;1)),ISNUMBER(AH115),AH115&lt;=T115),AT115,0)=MAX(IF(AND(NOT(AND(AO115=1,AN115&lt;&gt;1)),ISNUMBER(AG115),AG115&lt;=T115),AS115,0),IF(AND(NOT(AND(AO115=1,AN115&lt;&gt;1)),ISNUMBER(AH115),AH115&lt;=T115),AT115,0),IF(AND(NOT(AND(AO115=1,AN115&lt;&gt;1)),ISNUMBER(AI115),AI115&lt;=T115),AU115,0),IF(AND(ISNUMBER(AJ115),AJ115&lt;=T115),AV115,0))),"AB",IF(AND(IF(AND(NOT(AND(AO115=1,AN115&lt;&gt;1)),ISNUMBER(AI115),AI115&lt;=T115),AU115,0)&gt;0,IF(AND(NOT(AND(AO115=1,AN115&lt;&gt;1)),ISNUMBER(AI115),AI115&lt;=T115),AU115,0)=MAX(IF(AND(NOT(AND(AO115=1,AN115&lt;&gt;1)),ISNUMBER(AG115),AG115&lt;=T115),AS115,0),IF(AND(NOT(AND(AO115=1,AN115&lt;&gt;1)),ISNUMBER(AH115),AH115&lt;=T115),AT115,0),IF(AND(NOT(AND(AO115=1,AN115&lt;&gt;1)),ISNUMBER(AI115),AI115&lt;=T115),AU115,0),IF(AND(ISNUMBER(AJ115),AJ115&lt;=T115),AV115,0))),"SC","Mag")))))))</f>
        <v/>
      </c>
    </row>
    <row r="116" customFormat="false" ht="15" hidden="false" customHeight="false" outlineLevel="0" collapsed="false">
      <c r="A116" s="26" t="n">
        <v>111</v>
      </c>
      <c r="B116" s="27" t="n">
        <f aca="false">A116*10/60</f>
        <v>18.5</v>
      </c>
      <c r="C116" s="21" t="n">
        <f aca="false">X115</f>
        <v>18.6730249835055</v>
      </c>
      <c r="D116" s="27" t="n">
        <f aca="false">D115+W115</f>
        <v>0</v>
      </c>
      <c r="E116" s="26" t="n">
        <f aca="false">E115+IF(U115="SW",1,0)</f>
        <v>12</v>
      </c>
      <c r="F116" s="26" t="n">
        <f aca="false">F115+IF(U115="AB",1,0)</f>
        <v>10</v>
      </c>
      <c r="G116" s="26" t="n">
        <f aca="false">G115+IF(U115="SC",1,0)</f>
        <v>7</v>
      </c>
      <c r="H116" s="26" t="n">
        <f aca="false">H115+IF(U115="Mag",1,0)</f>
        <v>5</v>
      </c>
      <c r="I116" s="26" t="n">
        <f aca="false">MAX(I115,IF(U115="OR",1,0))</f>
        <v>1</v>
      </c>
      <c r="J116" s="26" t="n">
        <f aca="false">MAX(J115,IF(U115="HP",1,0))</f>
        <v>1</v>
      </c>
      <c r="K116" s="26" t="n">
        <f aca="false">MAX(K115,IF(U115="FP",1,0))</f>
        <v>1</v>
      </c>
      <c r="L116" s="26" t="n">
        <f aca="false">MAX(L115,IF(U115="transition",1,0))</f>
        <v>1</v>
      </c>
      <c r="M116" s="28" t="n">
        <f aca="false">(Parameters!$B$9+(IF(E116=0,0,(Upgrades!$J$6+E116*Upgrades!$K$6)*POWER(Upgrades!$L$6,E116)))*(IF(Upgrades!$T$7="Solar Wind",POWER(Upgrades!$U$7,F116),1)*IF(Upgrades!$T$8="Solar Wind",POWER(Upgrades!$U$8,G116),1)*IF(Upgrades!$T$9="Solar Wind",POWER(Upgrades!$U$9,H116),1)*IF(Upgrades!$T$10="Solar Wind",POWER(Upgrades!$U$10,I116),1)*IF(Upgrades!$T$11="Solar Wind",POWER(Upgrades!$U$11,J116),1)*IF(Upgrades!$T$12="Solar Wind",POWER(Upgrades!$U$12,K116),1))+(IF(F116=0,0,(Upgrades!$J$7+F116*Upgrades!$K$7)*POWER(Upgrades!$L$7,F116)))*(IF(Upgrades!$T$6="Asteroid Belt",POWER(Upgrades!$U$6,E116),1)*IF(Upgrades!$T$8="Asteroid Belt",POWER(Upgrades!$U$8,G116),1)*IF(Upgrades!$T$9="Asteroid Belt",POWER(Upgrades!$U$9,H116),1)*IF(Upgrades!$T$10="Asteroid Belt",POWER(Upgrades!$U$10,I116),1)*IF(Upgrades!$T$11="Asteroid Belt",POWER(Upgrades!$U$11,J116),1)*IF(Upgrades!$T$12="Asteroid Belt",POWER(Upgrades!$U$12,K116),1))+(IF(G116=0,0,(Upgrades!$J$8+G116*Upgrades!$K$8)*POWER(Upgrades!$L$8,G116)))*(IF(Upgrades!$T$6="Stellar Coupling",POWER(Upgrades!$U$6,E116),1)*IF(Upgrades!$T$7="Stellar Coupling",POWER(Upgrades!$U$7,F116),1)*IF(Upgrades!$T$9="Stellar Coupling",POWER(Upgrades!$U$9,H116),1)*IF(Upgrades!$T$10="Stellar Coupling",POWER(Upgrades!$U$10,I116),1)*IF(Upgrades!$T$11="Stellar Coupling",POWER(Upgrades!$U$11,J116),1)*IF(Upgrades!$T$12="Stellar Coupling",POWER(Upgrades!$U$12,K116),1))+(IF(H116=0,0,(Upgrades!$J$9+H116*Upgrades!$K$9)*POWER(Upgrades!$L$9,H116)))*(IF(Upgrades!$T$6="Magnetosphere",POWER(Upgrades!$U$6,E116),1)*IF(Upgrades!$T$7="Magnetosphere",POWER(Upgrades!$U$7,F116),1)*IF(Upgrades!$T$8="Magnetosphere",POWER(Upgrades!$U$8,G116),1)*IF(Upgrades!$T$10="Magnetosphere",POWER(Upgrades!$U$10,I116),1)*IF(Upgrades!$T$11="Magnetosphere",POWER(Upgrades!$U$11,J116),1)*IF(Upgrades!$T$12="Magnetosphere",POWER(Upgrades!$U$12,K116),1))+(IF(I116=0,0,(Upgrades!$J$10+I116*Upgrades!$K$10)*POWER(Upgrades!$L$10,I116)))*(IF(Upgrades!$T$6="Orbital Resonance",POWER(Upgrades!$U$6,E116),1)*IF(Upgrades!$T$7="Orbital Resonance",POWER(Upgrades!$U$7,F116),1)*IF(Upgrades!$T$8="Orbital Resonance",POWER(Upgrades!$U$8,G116),1)*IF(Upgrades!$T$9="Orbital Resonance",POWER(Upgrades!$U$9,H116),1)*IF(Upgrades!$T$11="Orbital Resonance",POWER(Upgrades!$U$11,J116),1)*IF(Upgrades!$T$12="Orbital Resonance",POWER(Upgrades!$U$12,K116),1))+(IF(J116=0,0,(Upgrades!$J$11+J116*Upgrades!$K$11)*POWER(Upgrades!$L$11,J116)))*(IF(Upgrades!$T$6="Heliopause",POWER(Upgrades!$U$6,E116),1)*IF(Upgrades!$T$7="Heliopause",POWER(Upgrades!$U$7,F116),1)*IF(Upgrades!$T$8="Heliopause",POWER(Upgrades!$U$8,G116),1)*IF(Upgrades!$T$9="Heliopause",POWER(Upgrades!$U$9,H116),1)*IF(Upgrades!$T$10="Heliopause",POWER(Upgrades!$U$10,I116),1)*IF(Upgrades!$T$12="Heliopause",POWER(Upgrades!$U$12,K116),1))+(IF(K116=0,0,(Upgrades!$J$12+K116*Upgrades!$K$12)*POWER(Upgrades!$L$12,K116)))*(IF(Upgrades!$T$6="First Photons",POWER(Upgrades!$U$6,E116),1)*IF(Upgrades!$T$7="First Photons",POWER(Upgrades!$U$7,F116),1)*IF(Upgrades!$T$8="First Photons",POWER(Upgrades!$U$8,G116),1)*IF(Upgrades!$T$9="First Photons",POWER(Upgrades!$U$9,H116),1)*IF(Upgrades!$T$10="First Photons",POWER(Upgrades!$U$10,I116),1)*IF(Upgrades!$T$11="First Photons",POWER(Upgrades!$U$11,J116),1)))*POWER(Upgrades!$Q$6,E116)*POWER(Upgrades!$Q$7,F116)*POWER(Upgrades!$Q$8,G116)*POWER(Upgrades!$Q$9,H116)*POWER(Upgrades!$Q$10,I116)*POWER(Upgrades!$Q$11,J116)*POWER(Upgrades!$Q$12,K116)</f>
        <v>5.61</v>
      </c>
      <c r="N116" s="28" t="n">
        <f aca="false">((IF(E116=0,0,(Upgrades!$G$6+E116*Upgrades!$H$6)*POWER(Upgrades!$I$6,E116)))*(IF(Upgrades!$T$7="Solar Wind",POWER(Upgrades!$U$7,F116),1)*IF(Upgrades!$T$8="Solar Wind",POWER(Upgrades!$U$8,G116),1)*IF(Upgrades!$T$9="Solar Wind",POWER(Upgrades!$U$9,H116),1)*IF(Upgrades!$T$10="Solar Wind",POWER(Upgrades!$U$10,I116),1)*IF(Upgrades!$T$11="Solar Wind",POWER(Upgrades!$U$11,J116),1)*IF(Upgrades!$T$12="Solar Wind",POWER(Upgrades!$U$12,K116),1))+(IF(F116=0,0,(Upgrades!$G$7+F116*Upgrades!$H$7)*POWER(Upgrades!$I$7,F116)))*(IF(Upgrades!$T$6="Asteroid Belt",POWER(Upgrades!$U$6,E116),1)*IF(Upgrades!$T$8="Asteroid Belt",POWER(Upgrades!$U$8,G116),1)*IF(Upgrades!$T$9="Asteroid Belt",POWER(Upgrades!$U$9,H116),1)*IF(Upgrades!$T$10="Asteroid Belt",POWER(Upgrades!$U$10,I116),1)*IF(Upgrades!$T$11="Asteroid Belt",POWER(Upgrades!$U$11,J116),1)*IF(Upgrades!$T$12="Asteroid Belt",POWER(Upgrades!$U$12,K116),1))+(IF(G116=0,0,(Upgrades!$G$8+G116*Upgrades!$H$8)*POWER(Upgrades!$I$8,G116)))*(IF(Upgrades!$T$6="Stellar Coupling",POWER(Upgrades!$U$6,E116),1)*IF(Upgrades!$T$7="Stellar Coupling",POWER(Upgrades!$U$7,F116),1)*IF(Upgrades!$T$9="Stellar Coupling",POWER(Upgrades!$U$9,H116),1)*IF(Upgrades!$T$10="Stellar Coupling",POWER(Upgrades!$U$10,I116),1)*IF(Upgrades!$T$11="Stellar Coupling",POWER(Upgrades!$U$11,J116),1)*IF(Upgrades!$T$12="Stellar Coupling",POWER(Upgrades!$U$12,K116),1))+(IF(H116=0,0,(Upgrades!$G$9+H116*Upgrades!$H$9)*POWER(Upgrades!$I$9,H116)))*(IF(Upgrades!$T$6="Magnetosphere",POWER(Upgrades!$U$6,E116),1)*IF(Upgrades!$T$7="Magnetosphere",POWER(Upgrades!$U$7,F116),1)*IF(Upgrades!$T$8="Magnetosphere",POWER(Upgrades!$U$8,G116),1)*IF(Upgrades!$T$10="Magnetosphere",POWER(Upgrades!$U$10,I116),1)*IF(Upgrades!$T$11="Magnetosphere",POWER(Upgrades!$U$11,J116),1)*IF(Upgrades!$T$12="Magnetosphere",POWER(Upgrades!$U$12,K116),1))+(IF(I116=0,0,(Upgrades!$G$10+I116*Upgrades!$H$10)*POWER(Upgrades!$I$10,I116)))*(IF(Upgrades!$T$6="Orbital Resonance",POWER(Upgrades!$U$6,E116),1)*IF(Upgrades!$T$7="Orbital Resonance",POWER(Upgrades!$U$7,F116),1)*IF(Upgrades!$T$8="Orbital Resonance",POWER(Upgrades!$U$8,G116),1)*IF(Upgrades!$T$9="Orbital Resonance",POWER(Upgrades!$U$9,H116),1)*IF(Upgrades!$T$11="Orbital Resonance",POWER(Upgrades!$U$11,J116),1)*IF(Upgrades!$T$12="Orbital Resonance",POWER(Upgrades!$U$12,K116),1))+(IF(J116=0,0,(Upgrades!$G$11+J116*Upgrades!$H$11)*POWER(Upgrades!$I$11,J116)))*(IF(Upgrades!$T$6="Heliopause",POWER(Upgrades!$U$6,E116),1)*IF(Upgrades!$T$7="Heliopause",POWER(Upgrades!$U$7,F116),1)*IF(Upgrades!$T$8="Heliopause",POWER(Upgrades!$U$8,G116),1)*IF(Upgrades!$T$9="Heliopause",POWER(Upgrades!$U$9,H116),1)*IF(Upgrades!$T$10="Heliopause",POWER(Upgrades!$U$10,I116),1)*IF(Upgrades!$T$12="Heliopause",POWER(Upgrades!$U$12,K116),1))+(IF(K116=0,0,(Upgrades!$G$12+K116*Upgrades!$H$12)*POWER(Upgrades!$I$12,K116)))*(IF(Upgrades!$T$6="First Photons",POWER(Upgrades!$U$6,E116),1)*IF(Upgrades!$T$7="First Photons",POWER(Upgrades!$U$7,F116),1)*IF(Upgrades!$T$8="First Photons",POWER(Upgrades!$U$8,G116),1)*IF(Upgrades!$T$9="First Photons",POWER(Upgrades!$U$9,H116),1)*IF(Upgrades!$T$10="First Photons",POWER(Upgrades!$U$10,I116),1)*IF(Upgrades!$T$11="First Photons",POWER(Upgrades!$U$11,J116),1)))*POWER(Upgrades!$P$6,E116)*POWER(Upgrades!$P$7,F116)*POWER(Upgrades!$P$8,G116)*POWER(Upgrades!$P$9,H116)*POWER(Upgrades!$P$10,I116)*POWER(Upgrades!$P$11,J116)*POWER(Upgrades!$P$12,K116)</f>
        <v>11.2</v>
      </c>
      <c r="O116" s="28" t="n">
        <f aca="false">((IF(E116=0,0,(Upgrades!$M$6+E116*Upgrades!$N$6)*POWER(Upgrades!$O$6,E116)))*(IF(Upgrades!$T$7="Solar Wind",POWER(Upgrades!$U$7,F116),1)*IF(Upgrades!$T$8="Solar Wind",POWER(Upgrades!$U$8,G116),1)*IF(Upgrades!$T$9="Solar Wind",POWER(Upgrades!$U$9,H116),1)*IF(Upgrades!$T$10="Solar Wind",POWER(Upgrades!$U$10,I116),1)*IF(Upgrades!$T$11="Solar Wind",POWER(Upgrades!$U$11,J116),1)*IF(Upgrades!$T$12="Solar Wind",POWER(Upgrades!$U$12,K116),1))+(IF(F116=0,0,(Upgrades!$M$7+F116*Upgrades!$N$7)*POWER(Upgrades!$O$7,F116)))*(IF(Upgrades!$T$6="Asteroid Belt",POWER(Upgrades!$U$6,E116),1)*IF(Upgrades!$T$8="Asteroid Belt",POWER(Upgrades!$U$8,G116),1)*IF(Upgrades!$T$9="Asteroid Belt",POWER(Upgrades!$U$9,H116),1)*IF(Upgrades!$T$10="Asteroid Belt",POWER(Upgrades!$U$10,I116),1)*IF(Upgrades!$T$11="Asteroid Belt",POWER(Upgrades!$U$11,J116),1)*IF(Upgrades!$T$12="Asteroid Belt",POWER(Upgrades!$U$12,K116),1))+(IF(G116=0,0,(Upgrades!$M$8+G116*Upgrades!$N$8)*POWER(Upgrades!$O$8,G116)))*(IF(Upgrades!$T$6="Stellar Coupling",POWER(Upgrades!$U$6,E116),1)*IF(Upgrades!$T$7="Stellar Coupling",POWER(Upgrades!$U$7,F116),1)*IF(Upgrades!$T$9="Stellar Coupling",POWER(Upgrades!$U$9,H116),1)*IF(Upgrades!$T$10="Stellar Coupling",POWER(Upgrades!$U$10,I116),1)*IF(Upgrades!$T$11="Stellar Coupling",POWER(Upgrades!$U$11,J116),1)*IF(Upgrades!$T$12="Stellar Coupling",POWER(Upgrades!$U$12,K116),1))+(IF(H116=0,0,(Upgrades!$M$9+H116*Upgrades!$N$9)*POWER(Upgrades!$O$9,H116)))*(IF(Upgrades!$T$6="Magnetosphere",POWER(Upgrades!$U$6,E116),1)*IF(Upgrades!$T$7="Magnetosphere",POWER(Upgrades!$U$7,F116),1)*IF(Upgrades!$T$8="Magnetosphere",POWER(Upgrades!$U$8,G116),1)*IF(Upgrades!$T$10="Magnetosphere",POWER(Upgrades!$U$10,I116),1)*IF(Upgrades!$T$11="Magnetosphere",POWER(Upgrades!$U$11,J116),1)*IF(Upgrades!$T$12="Magnetosphere",POWER(Upgrades!$U$12,K116),1))+(IF(I116=0,0,(Upgrades!$M$10+I116*Upgrades!$N$10)*POWER(Upgrades!$O$10,I116)))*(IF(Upgrades!$T$6="Orbital Resonance",POWER(Upgrades!$U$6,E116),1)*IF(Upgrades!$T$7="Orbital Resonance",POWER(Upgrades!$U$7,F116),1)*IF(Upgrades!$T$8="Orbital Resonance",POWER(Upgrades!$U$8,G116),1)*IF(Upgrades!$T$9="Orbital Resonance",POWER(Upgrades!$U$9,H116),1)*IF(Upgrades!$T$11="Orbital Resonance",POWER(Upgrades!$U$11,J116),1)*IF(Upgrades!$T$12="Orbital Resonance",POWER(Upgrades!$U$12,K116),1))+(IF(J116=0,0,(Upgrades!$M$11+J116*Upgrades!$N$11)*POWER(Upgrades!$O$11,J116)))*(IF(Upgrades!$T$6="Heliopause",POWER(Upgrades!$U$6,E116),1)*IF(Upgrades!$T$7="Heliopause",POWER(Upgrades!$U$7,F116),1)*IF(Upgrades!$T$8="Heliopause",POWER(Upgrades!$U$8,G116),1)*IF(Upgrades!$T$9="Heliopause",POWER(Upgrades!$U$9,H116),1)*IF(Upgrades!$T$10="Heliopause",POWER(Upgrades!$U$10,I116),1)*IF(Upgrades!$T$12="Heliopause",POWER(Upgrades!$U$12,K116),1))+(IF(K116=0,0,(Upgrades!$M$12+K116*Upgrades!$N$12)*POWER(Upgrades!$O$12,K116)))*(IF(Upgrades!$T$6="First Photons",POWER(Upgrades!$U$6,E116),1)*IF(Upgrades!$T$7="First Photons",POWER(Upgrades!$U$7,F116),1)*IF(Upgrades!$T$8="First Photons",POWER(Upgrades!$U$8,G116),1)*IF(Upgrades!$T$9="First Photons",POWER(Upgrades!$U$9,H116),1)*IF(Upgrades!$T$10="First Photons",POWER(Upgrades!$U$10,I116),1)*IF(Upgrades!$T$11="First Photons",POWER(Upgrades!$U$11,J116),1)))*POWER(Upgrades!$R$6,E116)*POWER(Upgrades!$R$7,F116)*POWER(Upgrades!$R$8,G116)*POWER(Upgrades!$R$9,H116)*POWER(Upgrades!$R$10,I116)*POWER(Upgrades!$R$11,J116)*POWER(Upgrades!$R$12,K116)</f>
        <v>0</v>
      </c>
      <c r="P116" s="27" t="n">
        <f aca="false">IF(L116=1,0,M116*Parameters!$B$10/60*Parameters!$B$11*10)</f>
        <v>0</v>
      </c>
      <c r="Q116" s="27" t="n">
        <f aca="false">IF(L116=1,0,O116*M116*10)</f>
        <v>0</v>
      </c>
      <c r="R116" s="27" t="n">
        <f aca="false">IF(L116=1,0,N116*10)</f>
        <v>0</v>
      </c>
      <c r="S116" s="27" t="n">
        <f aca="false">P116+Q116+R116</f>
        <v>0</v>
      </c>
      <c r="T116" s="21" t="n">
        <f aca="false">C116+S116</f>
        <v>18.6730249835055</v>
      </c>
      <c r="U116" s="34" t="str">
        <f aca="false">AX116</f>
        <v/>
      </c>
      <c r="V116" s="21" t="n">
        <f aca="false">IF(U116="",0,IF(U116="transition",0,IF(U116="SW",AG116,IF(U116="AB",AH116,IF(U116="SC",AI116,IF(U116="Mag",AJ116,IF(U116="OR",AK116,IF(U116="HP",AL116,IF(U116="FP",AM116,0)))))))))</f>
        <v>0</v>
      </c>
      <c r="W116" s="27" t="n">
        <f aca="false">IF(U116="OR",Upgrades!$F$10,IF(U116="HP",Upgrades!$F$11,IF(U116="transition",-Parameters!$B$18,0)))</f>
        <v>0</v>
      </c>
      <c r="X116" s="21" t="n">
        <f aca="false">T116-V116</f>
        <v>18.6730249835055</v>
      </c>
      <c r="Y116" s="30" t="n">
        <f aca="false">M116*Parameters!$B$10/60*Parameters!$B$11+O116*M116+N116</f>
        <v>20.55</v>
      </c>
      <c r="Z116" s="35" t="str">
        <f aca="false">IF(U116="transition","→ Tier 2 (Stellar Neighborhood)",IF(U116="FP","First Photons — light begins, system quickens",IF(U116="HP","Heliopause acquired",IF(U116="OR","Orbital Resonance — passive multiplier active",IF(AND(AO116=1,L116=0,AN116&lt;&gt;1),"Cohesion ready (waiting on completionist upgrades)","")))))</f>
        <v/>
      </c>
      <c r="AA116" s="27" t="n">
        <f aca="false">(IF(E116=0,0,(Upgrades!$G$6+E116*Upgrades!$H$6)*POWER(Upgrades!$I$6,E116)))*(IF(Upgrades!$T$7="Solar Wind",POWER(Upgrades!$U$7,F116),1)*IF(Upgrades!$T$8="Solar Wind",POWER(Upgrades!$U$8,G116),1)*IF(Upgrades!$T$9="Solar Wind",POWER(Upgrades!$U$9,H116),1)*IF(Upgrades!$T$10="Solar Wind",POWER(Upgrades!$U$10,I116),1)*IF(Upgrades!$T$11="Solar Wind",POWER(Upgrades!$U$11,J116),1)*IF(Upgrades!$T$12="Solar Wind",POWER(Upgrades!$U$12,K116),1))*POWER(Upgrades!$P$6,E116)*POWER(Upgrades!$P$7,F116)*POWER(Upgrades!$P$8,G116)*POWER(Upgrades!$P$9,H116)*POWER(Upgrades!$P$10,I116)*POWER(Upgrades!$P$11,J116)*POWER(Upgrades!$P$12,K116)*60</f>
        <v>72</v>
      </c>
      <c r="AB116" s="27" t="n">
        <f aca="false">(IF(F116=0,0,(Upgrades!$G$7+F116*Upgrades!$H$7)*POWER(Upgrades!$I$7,F116)))*(IF(Upgrades!$T$6="Asteroid Belt",POWER(Upgrades!$U$6,E116),1)*IF(Upgrades!$T$8="Asteroid Belt",POWER(Upgrades!$U$8,G116),1)*IF(Upgrades!$T$9="Asteroid Belt",POWER(Upgrades!$U$9,H116),1)*IF(Upgrades!$T$10="Asteroid Belt",POWER(Upgrades!$U$10,I116),1)*IF(Upgrades!$T$11="Asteroid Belt",POWER(Upgrades!$U$11,J116),1)*IF(Upgrades!$T$12="Asteroid Belt",POWER(Upgrades!$U$12,K116),1))*POWER(Upgrades!$P$6,E116)*POWER(Upgrades!$P$7,F116)*POWER(Upgrades!$P$8,G116)*POWER(Upgrades!$P$9,H116)*POWER(Upgrades!$P$10,I116)*POWER(Upgrades!$P$11,J116)*POWER(Upgrades!$P$12,K116)*60</f>
        <v>150</v>
      </c>
      <c r="AC116" s="27" t="n">
        <f aca="false">(IF(G116=0,0,(Upgrades!$J$8+G116*Upgrades!$K$8)*POWER(Upgrades!$L$8,G116)))*(IF(Upgrades!$T$6="Stellar Coupling",POWER(Upgrades!$U$6,E116),1)*IF(Upgrades!$T$7="Stellar Coupling",POWER(Upgrades!$U$7,F116),1)*IF(Upgrades!$T$9="Stellar Coupling",POWER(Upgrades!$U$9,H116),1)*IF(Upgrades!$T$10="Stellar Coupling",POWER(Upgrades!$U$10,I116),1)*IF(Upgrades!$T$11="Stellar Coupling",POWER(Upgrades!$U$11,J116),1)*IF(Upgrades!$T$12="Stellar Coupling",POWER(Upgrades!$U$12,K116),1))*POWER(Upgrades!$Q$6,E116)*POWER(Upgrades!$Q$7,F116)*POWER(Upgrades!$Q$8,G116)*POWER(Upgrades!$Q$9,H116)*POWER(Upgrades!$Q$10,I116)*POWER(Upgrades!$Q$11,J116)*POWER(Upgrades!$Q$12,K116)*Parameters!$B$10*Parameters!$B$11</f>
        <v>441</v>
      </c>
      <c r="AD116" s="27" t="n">
        <f aca="false">(IF(H116=0,0,(Upgrades!$G$9+H116*Upgrades!$H$9)*POWER(Upgrades!$I$9,H116)))*(IF(Upgrades!$T$6="Magnetosphere",POWER(Upgrades!$U$6,E116),1)*IF(Upgrades!$T$7="Magnetosphere",POWER(Upgrades!$U$7,F116),1)*IF(Upgrades!$T$8="Magnetosphere",POWER(Upgrades!$U$8,G116),1)*IF(Upgrades!$T$10="Magnetosphere",POWER(Upgrades!$U$10,I116),1)*IF(Upgrades!$T$11="Magnetosphere",POWER(Upgrades!$U$11,J116),1)*IF(Upgrades!$T$12="Magnetosphere",POWER(Upgrades!$U$12,K116),1))*POWER(Upgrades!$P$6,E116)*POWER(Upgrades!$P$7,F116)*POWER(Upgrades!$P$8,G116)*POWER(Upgrades!$P$9,H116)*POWER(Upgrades!$P$10,I116)*POWER(Upgrades!$P$11,J116)*POWER(Upgrades!$P$12,K116)*60</f>
        <v>375</v>
      </c>
      <c r="AE116" s="27" t="n">
        <f aca="false">(IF(K116=0,0,(Upgrades!$G$12+K116*Upgrades!$H$12)*POWER(Upgrades!$I$12,K116)))*(IF(Upgrades!$T$6="First Photons",POWER(Upgrades!$U$6,E116),1)*IF(Upgrades!$T$7="First Photons",POWER(Upgrades!$U$7,F116),1)*IF(Upgrades!$T$8="First Photons",POWER(Upgrades!$U$8,G116),1)*IF(Upgrades!$T$9="First Photons",POWER(Upgrades!$U$9,H116),1)*IF(Upgrades!$T$10="First Photons",POWER(Upgrades!$U$10,I116),1)*IF(Upgrades!$T$11="First Photons",POWER(Upgrades!$U$11,J116),1))*POWER(Upgrades!$P$6,E116)*POWER(Upgrades!$P$7,F116)*POWER(Upgrades!$P$8,G116)*POWER(Upgrades!$P$9,H116)*POWER(Upgrades!$P$10,I116)*POWER(Upgrades!$P$11,J116)*POWER(Upgrades!$P$12,K116)*60</f>
        <v>75</v>
      </c>
      <c r="AF116" s="27" t="n">
        <f aca="false">Parameters!$B$9*POWER(Upgrades!$Q$6,E116)*POWER(Upgrades!$Q$7,F116)*POWER(Upgrades!$Q$8,G116)*POWER(Upgrades!$Q$9,H116)*POWER(Upgrades!$Q$10,I116)*POWER(Upgrades!$Q$11,J116)*POWER(Upgrades!$Q$12,K116)*(Parameters!$B$10*Parameters!$B$11+O116*60)</f>
        <v>120</v>
      </c>
      <c r="AG116" s="21" t="n">
        <f aca="false">IF(E116&gt;=Upgrades!$E$6,"",Upgrades!$C$6*POWER(Upgrades!$D$6,E116))</f>
        <v>37.4517507383159</v>
      </c>
      <c r="AH116" s="21" t="n">
        <f aca="false">IF(F116&gt;=Upgrades!$E$7,"",Upgrades!$C$7*POWER(Upgrades!$D$7,F116))</f>
        <v>80.9111547141581</v>
      </c>
      <c r="AI116" s="21" t="n">
        <f aca="false">IF(G116&gt;=Upgrades!$E$8,"",Upgrades!$C$8*POWER(Upgrades!$D$8,G116))</f>
        <v>231.9097088</v>
      </c>
      <c r="AJ116" s="21" t="str">
        <f aca="false">IF(H116&gt;=Upgrades!$E$9,"",Upgrades!$C$9*POWER(Upgrades!$D$9,H116))</f>
        <v/>
      </c>
      <c r="AK116" s="21" t="str">
        <f aca="false">IF(I116&gt;=Upgrades!$E$10,"",Upgrades!$C$10*POWER(Upgrades!$D$10,I116))</f>
        <v/>
      </c>
      <c r="AL116" s="21" t="str">
        <f aca="false">IF(J116&gt;=Upgrades!$E$11,"",Upgrades!$C$11*POWER(Upgrades!$D$11,J116))</f>
        <v/>
      </c>
      <c r="AM116" s="21" t="str">
        <f aca="false">IF(K116&gt;=Upgrades!$E$12,"",Upgrades!$C$12*POWER(Upgrades!$D$12,K116))</f>
        <v/>
      </c>
      <c r="AN116" s="26" t="str">
        <f aca="false">IF(AND(D116&gt;=Parameters!$B$18,(H116&gt;=Upgrades!$E$9)*(K116&gt;=Upgrades!$E$12)=1,L116=0),1,"")</f>
        <v/>
      </c>
      <c r="AO116" s="26" t="str">
        <f aca="false">IF(AND(D116&gt;=Parameters!$B$18,L116=0),1,"")</f>
        <v/>
      </c>
      <c r="AP116" s="21" t="n">
        <f aca="false">MIN(IF(ISNUMBER(AK116),AK116,9000000000000000),IF(ISNUMBER(AL116),AL116,9000000000000000),IF(ISNUMBER(AM116),AM116,9000000000000000))</f>
        <v>9000000000000000</v>
      </c>
      <c r="AQ116" s="21" t="n">
        <f aca="false">MIN(IF(ISNUMBER(AG116),AG116,9000000000000000),IF(ISNUMBER(AH116),AH116,9000000000000000),IF(ISNUMBER(AI116),AI116,9000000000000000),IF(ISNUMBER(AJ116),AJ116,9000000000000000))</f>
        <v>37.4517507383159</v>
      </c>
      <c r="AR116" s="32" t="b">
        <f aca="false">IF(AW116&gt;Parameters!$B$21*(MAX(IF(AND(NOT(AND(AO116=1,AN116&lt;&gt;1)),ISNUMBER(AG116),AG116&lt;=T116),AS116,0),IF(AND(NOT(AND(AO116=1,AN116&lt;&gt;1)),ISNUMBER(AH116),AH116&lt;=T116),AT116,0),IF(AND(NOT(AND(AO116=1,AN116&lt;&gt;1)),ISNUMBER(AI116),AI116&lt;=T116),AU116,0),IF(AND(ISNUMBER(AJ116),AJ116&lt;=T116),AV116,0))),TRUE(),FALSE())</f>
        <v>1</v>
      </c>
      <c r="AS116" s="33" t="n">
        <f aca="false">IFERROR(Upgrades!$H$6*(POWER(Upgrades!$P$6,E116)*POWER(Upgrades!$P$7,F116)*POWER(Upgrades!$P$8,G116)*POWER(Upgrades!$P$9,H116)*POWER(Upgrades!$P$10,I116)*POWER(Upgrades!$P$11,J116)*POWER(Upgrades!$P$12,K116))*(IF(Upgrades!$T$7="Solar Wind",POWER(Upgrades!$U$7,F116),1)*IF(Upgrades!$T$8="Solar Wind",POWER(Upgrades!$U$8,G116),1)*IF(Upgrades!$T$9="Solar Wind",POWER(Upgrades!$U$9,H116),1)*IF(Upgrades!$T$10="Solar Wind",POWER(Upgrades!$U$10,I116),1)*IF(Upgrades!$T$11="Solar Wind",POWER(Upgrades!$U$11,J116),1)*IF(Upgrades!$T$12="Solar Wind",POWER(Upgrades!$U$12,K116),1))/AG116,0)</f>
        <v>0.0026701021455238</v>
      </c>
      <c r="AT116" s="33" t="n">
        <f aca="false">IFERROR(Upgrades!$H$7*(POWER(Upgrades!$P$6,E116)*POWER(Upgrades!$P$7,F116)*POWER(Upgrades!$P$8,G116)*POWER(Upgrades!$P$9,H116)*POWER(Upgrades!$P$10,I116)*POWER(Upgrades!$P$11,J116)*POWER(Upgrades!$P$12,K116))*(IF(Upgrades!$T$6="Asteroid Belt",POWER(Upgrades!$U$6,E116),1)*IF(Upgrades!$T$8="Asteroid Belt",POWER(Upgrades!$U$8,G116),1)*IF(Upgrades!$T$9="Asteroid Belt",POWER(Upgrades!$U$9,H116),1)*IF(Upgrades!$T$10="Asteroid Belt",POWER(Upgrades!$U$10,I116),1)*IF(Upgrades!$T$11="Asteroid Belt",POWER(Upgrades!$U$11,J116),1)*IF(Upgrades!$T$12="Asteroid Belt",POWER(Upgrades!$U$12,K116),1))/AH116,0)</f>
        <v>0.00308980882652332</v>
      </c>
      <c r="AU116" s="33" t="n">
        <f aca="false">IFERROR(Upgrades!$K$8*(POWER(Upgrades!$Q$6,E116)*POWER(Upgrades!$Q$7,F116)*POWER(Upgrades!$Q$8,G116)*POWER(Upgrades!$Q$9,H116)*POWER(Upgrades!$Q$10,I116)*POWER(Upgrades!$Q$11,J116)*POWER(Upgrades!$Q$12,K116))*(IF(Upgrades!$T$6="Stellar Coupling",POWER(Upgrades!$U$6,E116),1)*IF(Upgrades!$T$7="Stellar Coupling",POWER(Upgrades!$U$7,F116),1)*IF(Upgrades!$T$9="Stellar Coupling",POWER(Upgrades!$U$9,H116),1)*IF(Upgrades!$T$10="Stellar Coupling",POWER(Upgrades!$U$10,I116),1)*IF(Upgrades!$T$11="Stellar Coupling",POWER(Upgrades!$U$11,J116),1)*IF(Upgrades!$T$12="Stellar Coupling",POWER(Upgrades!$U$12,K116),1))*Parameters!$B$10*Parameters!$B$11/60/AI116,0)</f>
        <v>0.00452762415783776</v>
      </c>
      <c r="AV116" s="33" t="n">
        <f aca="false">IFERROR(Upgrades!$H$9*(POWER(Upgrades!$P$6,E116)*POWER(Upgrades!$P$7,F116)*POWER(Upgrades!$P$8,G116)*POWER(Upgrades!$P$9,H116)*POWER(Upgrades!$P$10,I116)*POWER(Upgrades!$P$11,J116)*POWER(Upgrades!$P$12,K116))*(IF(Upgrades!$T$6="Magnetosphere",POWER(Upgrades!$U$6,E116),1)*IF(Upgrades!$T$7="Magnetosphere",POWER(Upgrades!$U$7,F116),1)*IF(Upgrades!$T$8="Magnetosphere",POWER(Upgrades!$U$8,G116),1)*IF(Upgrades!$T$10="Magnetosphere",POWER(Upgrades!$U$10,I116),1)*IF(Upgrades!$T$11="Magnetosphere",POWER(Upgrades!$U$11,J116),1)*IF(Upgrades!$T$12="Magnetosphere",POWER(Upgrades!$U$12,K116),1))/AJ116,0)</f>
        <v>0</v>
      </c>
      <c r="AW116" s="33" t="n">
        <f aca="false">MAX(IF(I116&gt;0,0,IFERROR(0.25*N116/Upgrades!$C$10,0)),IF(J116&gt;0,0,IFERROR(0.5*((IF(G116=0,0,(Upgrades!$J$8+G116*Upgrades!$K$8)*POWER(Upgrades!$L$8,G116)))*(IF(Upgrades!$T$6="Stellar Coupling",POWER(Upgrades!$U$6,E116),1)*IF(Upgrades!$T$7="Stellar Coupling",POWER(Upgrades!$U$7,F116),1)*IF(Upgrades!$T$9="Stellar Coupling",POWER(Upgrades!$U$9,H116),1)*IF(Upgrades!$T$10="Stellar Coupling",POWER(Upgrades!$U$10,I116),1)*IF(Upgrades!$T$11="Stellar Coupling",POWER(Upgrades!$U$11,J116),1)*IF(Upgrades!$T$12="Stellar Coupling",POWER(Upgrades!$U$12,K116),1))*(POWER(Upgrades!$Q$6,E116)*POWER(Upgrades!$Q$7,F116)*POWER(Upgrades!$Q$8,G116)*POWER(Upgrades!$Q$9,H116)*POWER(Upgrades!$Q$10,I116)*POWER(Upgrades!$Q$11,J116)*POWER(Upgrades!$Q$12,K116))*Parameters!$B$10*Parameters!$B$11/60)/Upgrades!$C$11,0)),IF(K116&gt;0,0,IFERROR((1*(POWER(Upgrades!$P$6,E116)*POWER(Upgrades!$P$7,F116)*POWER(Upgrades!$P$8,G116)*POWER(Upgrades!$P$9,H116)*POWER(Upgrades!$P$10,I116)*POWER(Upgrades!$P$11,J116)*POWER(Upgrades!$P$12,K116))+0.2*M116*Parameters!$B$10*Parameters!$B$11/60)/Upgrades!$C$12,0)),IF(AND(ISNUMBER(AG116),AG116&gt;T116),AS116,0),IF(AND(ISNUMBER(AH116),AH116&gt;T116),AT116,0),IF(AND(ISNUMBER(AI116),AI116&gt;T116),AU116,0),IF(AND(ISNUMBER(AJ116),AJ116&gt;T116),AV116,0))</f>
        <v>0.00452762415783776</v>
      </c>
      <c r="AX116" s="29" t="str">
        <f aca="false">IF(AN116=1,"transition",IF(MIN(IF(AND(I116=0,ISNUMBER(AK116),AK116&lt;=T116),AK116,9000000000000000),IF(AND(J116=0,ISNUMBER(AL116),AL116&lt;=T116),AL116,9000000000000000),IF(AND(K116=0,ISNUMBER(AM116),AM116&lt;=T116),AM116,9000000000000000))&lt;9000000000000000,IF(AND(AND(I116=0,ISNUMBER(AK116),AK116&lt;=T116),AK116=MIN(IF(AND(I116=0,ISNUMBER(AK116),AK116&lt;=T116),AK116,9000000000000000),IF(AND(J116=0,ISNUMBER(AL116),AL116&lt;=T116),AL116,9000000000000000),IF(AND(K116=0,ISNUMBER(AM116),AM116&lt;=T116),AM116,9000000000000000))),"OR",IF(AND(AND(J116=0,ISNUMBER(AL116),AL116&lt;=T116),AL116=MIN(IF(AND(I116=0,ISNUMBER(AK116),AK116&lt;=T116),AK116,9000000000000000),IF(AND(J116=0,ISNUMBER(AL116),AL116&lt;=T116),AL116,9000000000000000),IF(AND(K116=0,ISNUMBER(AM116),AM116&lt;=T116),AM116,9000000000000000))),"HP","FP")),IF(AR116=TRUE(),"",IF(MAX(IF(AND(NOT(AND(AO116=1,AN116&lt;&gt;1)),ISNUMBER(AG116),AG116&lt;=T116),AS116,0),IF(AND(NOT(AND(AO116=1,AN116&lt;&gt;1)),ISNUMBER(AH116),AH116&lt;=T116),AT116,0),IF(AND(NOT(AND(AO116=1,AN116&lt;&gt;1)),ISNUMBER(AI116),AI116&lt;=T116),AU116,0),IF(AND(ISNUMBER(AJ116),AJ116&lt;=T116),AV116,0))&lt;=0,"",IF(AND(IF(AND(NOT(AND(AO116=1,AN116&lt;&gt;1)),ISNUMBER(AG116),AG116&lt;=T116),AS116,0)&gt;0,IF(AND(NOT(AND(AO116=1,AN116&lt;&gt;1)),ISNUMBER(AG116),AG116&lt;=T116),AS116,0)=MAX(IF(AND(NOT(AND(AO116=1,AN116&lt;&gt;1)),ISNUMBER(AG116),AG116&lt;=T116),AS116,0),IF(AND(NOT(AND(AO116=1,AN116&lt;&gt;1)),ISNUMBER(AH116),AH116&lt;=T116),AT116,0),IF(AND(NOT(AND(AO116=1,AN116&lt;&gt;1)),ISNUMBER(AI116),AI116&lt;=T116),AU116,0),IF(AND(ISNUMBER(AJ116),AJ116&lt;=T116),AV116,0))),"SW",IF(AND(IF(AND(NOT(AND(AO116=1,AN116&lt;&gt;1)),ISNUMBER(AH116),AH116&lt;=T116),AT116,0)&gt;0,IF(AND(NOT(AND(AO116=1,AN116&lt;&gt;1)),ISNUMBER(AH116),AH116&lt;=T116),AT116,0)=MAX(IF(AND(NOT(AND(AO116=1,AN116&lt;&gt;1)),ISNUMBER(AG116),AG116&lt;=T116),AS116,0),IF(AND(NOT(AND(AO116=1,AN116&lt;&gt;1)),ISNUMBER(AH116),AH116&lt;=T116),AT116,0),IF(AND(NOT(AND(AO116=1,AN116&lt;&gt;1)),ISNUMBER(AI116),AI116&lt;=T116),AU116,0),IF(AND(ISNUMBER(AJ116),AJ116&lt;=T116),AV116,0))),"AB",IF(AND(IF(AND(NOT(AND(AO116=1,AN116&lt;&gt;1)),ISNUMBER(AI116),AI116&lt;=T116),AU116,0)&gt;0,IF(AND(NOT(AND(AO116=1,AN116&lt;&gt;1)),ISNUMBER(AI116),AI116&lt;=T116),AU116,0)=MAX(IF(AND(NOT(AND(AO116=1,AN116&lt;&gt;1)),ISNUMBER(AG116),AG116&lt;=T116),AS116,0),IF(AND(NOT(AND(AO116=1,AN116&lt;&gt;1)),ISNUMBER(AH116),AH116&lt;=T116),AT116,0),IF(AND(NOT(AND(AO116=1,AN116&lt;&gt;1)),ISNUMBER(AI116),AI116&lt;=T116),AU116,0),IF(AND(ISNUMBER(AJ116),AJ116&lt;=T116),AV116,0))),"SC","Mag")))))))</f>
        <v/>
      </c>
    </row>
    <row r="117" customFormat="false" ht="15" hidden="false" customHeight="false" outlineLevel="0" collapsed="false">
      <c r="A117" s="26" t="n">
        <v>112</v>
      </c>
      <c r="B117" s="27" t="n">
        <f aca="false">A117*10/60</f>
        <v>18.6666666666667</v>
      </c>
      <c r="C117" s="21" t="n">
        <f aca="false">X116</f>
        <v>18.6730249835055</v>
      </c>
      <c r="D117" s="27" t="n">
        <f aca="false">D116+W116</f>
        <v>0</v>
      </c>
      <c r="E117" s="26" t="n">
        <f aca="false">E116+IF(U116="SW",1,0)</f>
        <v>12</v>
      </c>
      <c r="F117" s="26" t="n">
        <f aca="false">F116+IF(U116="AB",1,0)</f>
        <v>10</v>
      </c>
      <c r="G117" s="26" t="n">
        <f aca="false">G116+IF(U116="SC",1,0)</f>
        <v>7</v>
      </c>
      <c r="H117" s="26" t="n">
        <f aca="false">H116+IF(U116="Mag",1,0)</f>
        <v>5</v>
      </c>
      <c r="I117" s="26" t="n">
        <f aca="false">MAX(I116,IF(U116="OR",1,0))</f>
        <v>1</v>
      </c>
      <c r="J117" s="26" t="n">
        <f aca="false">MAX(J116,IF(U116="HP",1,0))</f>
        <v>1</v>
      </c>
      <c r="K117" s="26" t="n">
        <f aca="false">MAX(K116,IF(U116="FP",1,0))</f>
        <v>1</v>
      </c>
      <c r="L117" s="26" t="n">
        <f aca="false">MAX(L116,IF(U116="transition",1,0))</f>
        <v>1</v>
      </c>
      <c r="M117" s="28" t="n">
        <f aca="false">(Parameters!$B$9+(IF(E117=0,0,(Upgrades!$J$6+E117*Upgrades!$K$6)*POWER(Upgrades!$L$6,E117)))*(IF(Upgrades!$T$7="Solar Wind",POWER(Upgrades!$U$7,F117),1)*IF(Upgrades!$T$8="Solar Wind",POWER(Upgrades!$U$8,G117),1)*IF(Upgrades!$T$9="Solar Wind",POWER(Upgrades!$U$9,H117),1)*IF(Upgrades!$T$10="Solar Wind",POWER(Upgrades!$U$10,I117),1)*IF(Upgrades!$T$11="Solar Wind",POWER(Upgrades!$U$11,J117),1)*IF(Upgrades!$T$12="Solar Wind",POWER(Upgrades!$U$12,K117),1))+(IF(F117=0,0,(Upgrades!$J$7+F117*Upgrades!$K$7)*POWER(Upgrades!$L$7,F117)))*(IF(Upgrades!$T$6="Asteroid Belt",POWER(Upgrades!$U$6,E117),1)*IF(Upgrades!$T$8="Asteroid Belt",POWER(Upgrades!$U$8,G117),1)*IF(Upgrades!$T$9="Asteroid Belt",POWER(Upgrades!$U$9,H117),1)*IF(Upgrades!$T$10="Asteroid Belt",POWER(Upgrades!$U$10,I117),1)*IF(Upgrades!$T$11="Asteroid Belt",POWER(Upgrades!$U$11,J117),1)*IF(Upgrades!$T$12="Asteroid Belt",POWER(Upgrades!$U$12,K117),1))+(IF(G117=0,0,(Upgrades!$J$8+G117*Upgrades!$K$8)*POWER(Upgrades!$L$8,G117)))*(IF(Upgrades!$T$6="Stellar Coupling",POWER(Upgrades!$U$6,E117),1)*IF(Upgrades!$T$7="Stellar Coupling",POWER(Upgrades!$U$7,F117),1)*IF(Upgrades!$T$9="Stellar Coupling",POWER(Upgrades!$U$9,H117),1)*IF(Upgrades!$T$10="Stellar Coupling",POWER(Upgrades!$U$10,I117),1)*IF(Upgrades!$T$11="Stellar Coupling",POWER(Upgrades!$U$11,J117),1)*IF(Upgrades!$T$12="Stellar Coupling",POWER(Upgrades!$U$12,K117),1))+(IF(H117=0,0,(Upgrades!$J$9+H117*Upgrades!$K$9)*POWER(Upgrades!$L$9,H117)))*(IF(Upgrades!$T$6="Magnetosphere",POWER(Upgrades!$U$6,E117),1)*IF(Upgrades!$T$7="Magnetosphere",POWER(Upgrades!$U$7,F117),1)*IF(Upgrades!$T$8="Magnetosphere",POWER(Upgrades!$U$8,G117),1)*IF(Upgrades!$T$10="Magnetosphere",POWER(Upgrades!$U$10,I117),1)*IF(Upgrades!$T$11="Magnetosphere",POWER(Upgrades!$U$11,J117),1)*IF(Upgrades!$T$12="Magnetosphere",POWER(Upgrades!$U$12,K117),1))+(IF(I117=0,0,(Upgrades!$J$10+I117*Upgrades!$K$10)*POWER(Upgrades!$L$10,I117)))*(IF(Upgrades!$T$6="Orbital Resonance",POWER(Upgrades!$U$6,E117),1)*IF(Upgrades!$T$7="Orbital Resonance",POWER(Upgrades!$U$7,F117),1)*IF(Upgrades!$T$8="Orbital Resonance",POWER(Upgrades!$U$8,G117),1)*IF(Upgrades!$T$9="Orbital Resonance",POWER(Upgrades!$U$9,H117),1)*IF(Upgrades!$T$11="Orbital Resonance",POWER(Upgrades!$U$11,J117),1)*IF(Upgrades!$T$12="Orbital Resonance",POWER(Upgrades!$U$12,K117),1))+(IF(J117=0,0,(Upgrades!$J$11+J117*Upgrades!$K$11)*POWER(Upgrades!$L$11,J117)))*(IF(Upgrades!$T$6="Heliopause",POWER(Upgrades!$U$6,E117),1)*IF(Upgrades!$T$7="Heliopause",POWER(Upgrades!$U$7,F117),1)*IF(Upgrades!$T$8="Heliopause",POWER(Upgrades!$U$8,G117),1)*IF(Upgrades!$T$9="Heliopause",POWER(Upgrades!$U$9,H117),1)*IF(Upgrades!$T$10="Heliopause",POWER(Upgrades!$U$10,I117),1)*IF(Upgrades!$T$12="Heliopause",POWER(Upgrades!$U$12,K117),1))+(IF(K117=0,0,(Upgrades!$J$12+K117*Upgrades!$K$12)*POWER(Upgrades!$L$12,K117)))*(IF(Upgrades!$T$6="First Photons",POWER(Upgrades!$U$6,E117),1)*IF(Upgrades!$T$7="First Photons",POWER(Upgrades!$U$7,F117),1)*IF(Upgrades!$T$8="First Photons",POWER(Upgrades!$U$8,G117),1)*IF(Upgrades!$T$9="First Photons",POWER(Upgrades!$U$9,H117),1)*IF(Upgrades!$T$10="First Photons",POWER(Upgrades!$U$10,I117),1)*IF(Upgrades!$T$11="First Photons",POWER(Upgrades!$U$11,J117),1)))*POWER(Upgrades!$Q$6,E117)*POWER(Upgrades!$Q$7,F117)*POWER(Upgrades!$Q$8,G117)*POWER(Upgrades!$Q$9,H117)*POWER(Upgrades!$Q$10,I117)*POWER(Upgrades!$Q$11,J117)*POWER(Upgrades!$Q$12,K117)</f>
        <v>5.61</v>
      </c>
      <c r="N117" s="28" t="n">
        <f aca="false">((IF(E117=0,0,(Upgrades!$G$6+E117*Upgrades!$H$6)*POWER(Upgrades!$I$6,E117)))*(IF(Upgrades!$T$7="Solar Wind",POWER(Upgrades!$U$7,F117),1)*IF(Upgrades!$T$8="Solar Wind",POWER(Upgrades!$U$8,G117),1)*IF(Upgrades!$T$9="Solar Wind",POWER(Upgrades!$U$9,H117),1)*IF(Upgrades!$T$10="Solar Wind",POWER(Upgrades!$U$10,I117),1)*IF(Upgrades!$T$11="Solar Wind",POWER(Upgrades!$U$11,J117),1)*IF(Upgrades!$T$12="Solar Wind",POWER(Upgrades!$U$12,K117),1))+(IF(F117=0,0,(Upgrades!$G$7+F117*Upgrades!$H$7)*POWER(Upgrades!$I$7,F117)))*(IF(Upgrades!$T$6="Asteroid Belt",POWER(Upgrades!$U$6,E117),1)*IF(Upgrades!$T$8="Asteroid Belt",POWER(Upgrades!$U$8,G117),1)*IF(Upgrades!$T$9="Asteroid Belt",POWER(Upgrades!$U$9,H117),1)*IF(Upgrades!$T$10="Asteroid Belt",POWER(Upgrades!$U$10,I117),1)*IF(Upgrades!$T$11="Asteroid Belt",POWER(Upgrades!$U$11,J117),1)*IF(Upgrades!$T$12="Asteroid Belt",POWER(Upgrades!$U$12,K117),1))+(IF(G117=0,0,(Upgrades!$G$8+G117*Upgrades!$H$8)*POWER(Upgrades!$I$8,G117)))*(IF(Upgrades!$T$6="Stellar Coupling",POWER(Upgrades!$U$6,E117),1)*IF(Upgrades!$T$7="Stellar Coupling",POWER(Upgrades!$U$7,F117),1)*IF(Upgrades!$T$9="Stellar Coupling",POWER(Upgrades!$U$9,H117),1)*IF(Upgrades!$T$10="Stellar Coupling",POWER(Upgrades!$U$10,I117),1)*IF(Upgrades!$T$11="Stellar Coupling",POWER(Upgrades!$U$11,J117),1)*IF(Upgrades!$T$12="Stellar Coupling",POWER(Upgrades!$U$12,K117),1))+(IF(H117=0,0,(Upgrades!$G$9+H117*Upgrades!$H$9)*POWER(Upgrades!$I$9,H117)))*(IF(Upgrades!$T$6="Magnetosphere",POWER(Upgrades!$U$6,E117),1)*IF(Upgrades!$T$7="Magnetosphere",POWER(Upgrades!$U$7,F117),1)*IF(Upgrades!$T$8="Magnetosphere",POWER(Upgrades!$U$8,G117),1)*IF(Upgrades!$T$10="Magnetosphere",POWER(Upgrades!$U$10,I117),1)*IF(Upgrades!$T$11="Magnetosphere",POWER(Upgrades!$U$11,J117),1)*IF(Upgrades!$T$12="Magnetosphere",POWER(Upgrades!$U$12,K117),1))+(IF(I117=0,0,(Upgrades!$G$10+I117*Upgrades!$H$10)*POWER(Upgrades!$I$10,I117)))*(IF(Upgrades!$T$6="Orbital Resonance",POWER(Upgrades!$U$6,E117),1)*IF(Upgrades!$T$7="Orbital Resonance",POWER(Upgrades!$U$7,F117),1)*IF(Upgrades!$T$8="Orbital Resonance",POWER(Upgrades!$U$8,G117),1)*IF(Upgrades!$T$9="Orbital Resonance",POWER(Upgrades!$U$9,H117),1)*IF(Upgrades!$T$11="Orbital Resonance",POWER(Upgrades!$U$11,J117),1)*IF(Upgrades!$T$12="Orbital Resonance",POWER(Upgrades!$U$12,K117),1))+(IF(J117=0,0,(Upgrades!$G$11+J117*Upgrades!$H$11)*POWER(Upgrades!$I$11,J117)))*(IF(Upgrades!$T$6="Heliopause",POWER(Upgrades!$U$6,E117),1)*IF(Upgrades!$T$7="Heliopause",POWER(Upgrades!$U$7,F117),1)*IF(Upgrades!$T$8="Heliopause",POWER(Upgrades!$U$8,G117),1)*IF(Upgrades!$T$9="Heliopause",POWER(Upgrades!$U$9,H117),1)*IF(Upgrades!$T$10="Heliopause",POWER(Upgrades!$U$10,I117),1)*IF(Upgrades!$T$12="Heliopause",POWER(Upgrades!$U$12,K117),1))+(IF(K117=0,0,(Upgrades!$G$12+K117*Upgrades!$H$12)*POWER(Upgrades!$I$12,K117)))*(IF(Upgrades!$T$6="First Photons",POWER(Upgrades!$U$6,E117),1)*IF(Upgrades!$T$7="First Photons",POWER(Upgrades!$U$7,F117),1)*IF(Upgrades!$T$8="First Photons",POWER(Upgrades!$U$8,G117),1)*IF(Upgrades!$T$9="First Photons",POWER(Upgrades!$U$9,H117),1)*IF(Upgrades!$T$10="First Photons",POWER(Upgrades!$U$10,I117),1)*IF(Upgrades!$T$11="First Photons",POWER(Upgrades!$U$11,J117),1)))*POWER(Upgrades!$P$6,E117)*POWER(Upgrades!$P$7,F117)*POWER(Upgrades!$P$8,G117)*POWER(Upgrades!$P$9,H117)*POWER(Upgrades!$P$10,I117)*POWER(Upgrades!$P$11,J117)*POWER(Upgrades!$P$12,K117)</f>
        <v>11.2</v>
      </c>
      <c r="O117" s="28" t="n">
        <f aca="false">((IF(E117=0,0,(Upgrades!$M$6+E117*Upgrades!$N$6)*POWER(Upgrades!$O$6,E117)))*(IF(Upgrades!$T$7="Solar Wind",POWER(Upgrades!$U$7,F117),1)*IF(Upgrades!$T$8="Solar Wind",POWER(Upgrades!$U$8,G117),1)*IF(Upgrades!$T$9="Solar Wind",POWER(Upgrades!$U$9,H117),1)*IF(Upgrades!$T$10="Solar Wind",POWER(Upgrades!$U$10,I117),1)*IF(Upgrades!$T$11="Solar Wind",POWER(Upgrades!$U$11,J117),1)*IF(Upgrades!$T$12="Solar Wind",POWER(Upgrades!$U$12,K117),1))+(IF(F117=0,0,(Upgrades!$M$7+F117*Upgrades!$N$7)*POWER(Upgrades!$O$7,F117)))*(IF(Upgrades!$T$6="Asteroid Belt",POWER(Upgrades!$U$6,E117),1)*IF(Upgrades!$T$8="Asteroid Belt",POWER(Upgrades!$U$8,G117),1)*IF(Upgrades!$T$9="Asteroid Belt",POWER(Upgrades!$U$9,H117),1)*IF(Upgrades!$T$10="Asteroid Belt",POWER(Upgrades!$U$10,I117),1)*IF(Upgrades!$T$11="Asteroid Belt",POWER(Upgrades!$U$11,J117),1)*IF(Upgrades!$T$12="Asteroid Belt",POWER(Upgrades!$U$12,K117),1))+(IF(G117=0,0,(Upgrades!$M$8+G117*Upgrades!$N$8)*POWER(Upgrades!$O$8,G117)))*(IF(Upgrades!$T$6="Stellar Coupling",POWER(Upgrades!$U$6,E117),1)*IF(Upgrades!$T$7="Stellar Coupling",POWER(Upgrades!$U$7,F117),1)*IF(Upgrades!$T$9="Stellar Coupling",POWER(Upgrades!$U$9,H117),1)*IF(Upgrades!$T$10="Stellar Coupling",POWER(Upgrades!$U$10,I117),1)*IF(Upgrades!$T$11="Stellar Coupling",POWER(Upgrades!$U$11,J117),1)*IF(Upgrades!$T$12="Stellar Coupling",POWER(Upgrades!$U$12,K117),1))+(IF(H117=0,0,(Upgrades!$M$9+H117*Upgrades!$N$9)*POWER(Upgrades!$O$9,H117)))*(IF(Upgrades!$T$6="Magnetosphere",POWER(Upgrades!$U$6,E117),1)*IF(Upgrades!$T$7="Magnetosphere",POWER(Upgrades!$U$7,F117),1)*IF(Upgrades!$T$8="Magnetosphere",POWER(Upgrades!$U$8,G117),1)*IF(Upgrades!$T$10="Magnetosphere",POWER(Upgrades!$U$10,I117),1)*IF(Upgrades!$T$11="Magnetosphere",POWER(Upgrades!$U$11,J117),1)*IF(Upgrades!$T$12="Magnetosphere",POWER(Upgrades!$U$12,K117),1))+(IF(I117=0,0,(Upgrades!$M$10+I117*Upgrades!$N$10)*POWER(Upgrades!$O$10,I117)))*(IF(Upgrades!$T$6="Orbital Resonance",POWER(Upgrades!$U$6,E117),1)*IF(Upgrades!$T$7="Orbital Resonance",POWER(Upgrades!$U$7,F117),1)*IF(Upgrades!$T$8="Orbital Resonance",POWER(Upgrades!$U$8,G117),1)*IF(Upgrades!$T$9="Orbital Resonance",POWER(Upgrades!$U$9,H117),1)*IF(Upgrades!$T$11="Orbital Resonance",POWER(Upgrades!$U$11,J117),1)*IF(Upgrades!$T$12="Orbital Resonance",POWER(Upgrades!$U$12,K117),1))+(IF(J117=0,0,(Upgrades!$M$11+J117*Upgrades!$N$11)*POWER(Upgrades!$O$11,J117)))*(IF(Upgrades!$T$6="Heliopause",POWER(Upgrades!$U$6,E117),1)*IF(Upgrades!$T$7="Heliopause",POWER(Upgrades!$U$7,F117),1)*IF(Upgrades!$T$8="Heliopause",POWER(Upgrades!$U$8,G117),1)*IF(Upgrades!$T$9="Heliopause",POWER(Upgrades!$U$9,H117),1)*IF(Upgrades!$T$10="Heliopause",POWER(Upgrades!$U$10,I117),1)*IF(Upgrades!$T$12="Heliopause",POWER(Upgrades!$U$12,K117),1))+(IF(K117=0,0,(Upgrades!$M$12+K117*Upgrades!$N$12)*POWER(Upgrades!$O$12,K117)))*(IF(Upgrades!$T$6="First Photons",POWER(Upgrades!$U$6,E117),1)*IF(Upgrades!$T$7="First Photons",POWER(Upgrades!$U$7,F117),1)*IF(Upgrades!$T$8="First Photons",POWER(Upgrades!$U$8,G117),1)*IF(Upgrades!$T$9="First Photons",POWER(Upgrades!$U$9,H117),1)*IF(Upgrades!$T$10="First Photons",POWER(Upgrades!$U$10,I117),1)*IF(Upgrades!$T$11="First Photons",POWER(Upgrades!$U$11,J117),1)))*POWER(Upgrades!$R$6,E117)*POWER(Upgrades!$R$7,F117)*POWER(Upgrades!$R$8,G117)*POWER(Upgrades!$R$9,H117)*POWER(Upgrades!$R$10,I117)*POWER(Upgrades!$R$11,J117)*POWER(Upgrades!$R$12,K117)</f>
        <v>0</v>
      </c>
      <c r="P117" s="27" t="n">
        <f aca="false">IF(L117=1,0,M117*Parameters!$B$10/60*Parameters!$B$11*10)</f>
        <v>0</v>
      </c>
      <c r="Q117" s="27" t="n">
        <f aca="false">IF(L117=1,0,O117*M117*10)</f>
        <v>0</v>
      </c>
      <c r="R117" s="27" t="n">
        <f aca="false">IF(L117=1,0,N117*10)</f>
        <v>0</v>
      </c>
      <c r="S117" s="27" t="n">
        <f aca="false">P117+Q117+R117</f>
        <v>0</v>
      </c>
      <c r="T117" s="21" t="n">
        <f aca="false">C117+S117</f>
        <v>18.6730249835055</v>
      </c>
      <c r="U117" s="34" t="str">
        <f aca="false">AX117</f>
        <v/>
      </c>
      <c r="V117" s="21" t="n">
        <f aca="false">IF(U117="",0,IF(U117="transition",0,IF(U117="SW",AG117,IF(U117="AB",AH117,IF(U117="SC",AI117,IF(U117="Mag",AJ117,IF(U117="OR",AK117,IF(U117="HP",AL117,IF(U117="FP",AM117,0)))))))))</f>
        <v>0</v>
      </c>
      <c r="W117" s="27" t="n">
        <f aca="false">IF(U117="OR",Upgrades!$F$10,IF(U117="HP",Upgrades!$F$11,IF(U117="transition",-Parameters!$B$18,0)))</f>
        <v>0</v>
      </c>
      <c r="X117" s="21" t="n">
        <f aca="false">T117-V117</f>
        <v>18.6730249835055</v>
      </c>
      <c r="Y117" s="30" t="n">
        <f aca="false">M117*Parameters!$B$10/60*Parameters!$B$11+O117*M117+N117</f>
        <v>20.55</v>
      </c>
      <c r="Z117" s="35" t="str">
        <f aca="false">IF(U117="transition","→ Tier 2 (Stellar Neighborhood)",IF(U117="FP","First Photons — light begins, system quickens",IF(U117="HP","Heliopause acquired",IF(U117="OR","Orbital Resonance — passive multiplier active",IF(AND(AO117=1,L117=0,AN117&lt;&gt;1),"Cohesion ready (waiting on completionist upgrades)","")))))</f>
        <v/>
      </c>
      <c r="AA117" s="27" t="n">
        <f aca="false">(IF(E117=0,0,(Upgrades!$G$6+E117*Upgrades!$H$6)*POWER(Upgrades!$I$6,E117)))*(IF(Upgrades!$T$7="Solar Wind",POWER(Upgrades!$U$7,F117),1)*IF(Upgrades!$T$8="Solar Wind",POWER(Upgrades!$U$8,G117),1)*IF(Upgrades!$T$9="Solar Wind",POWER(Upgrades!$U$9,H117),1)*IF(Upgrades!$T$10="Solar Wind",POWER(Upgrades!$U$10,I117),1)*IF(Upgrades!$T$11="Solar Wind",POWER(Upgrades!$U$11,J117),1)*IF(Upgrades!$T$12="Solar Wind",POWER(Upgrades!$U$12,K117),1))*POWER(Upgrades!$P$6,E117)*POWER(Upgrades!$P$7,F117)*POWER(Upgrades!$P$8,G117)*POWER(Upgrades!$P$9,H117)*POWER(Upgrades!$P$10,I117)*POWER(Upgrades!$P$11,J117)*POWER(Upgrades!$P$12,K117)*60</f>
        <v>72</v>
      </c>
      <c r="AB117" s="27" t="n">
        <f aca="false">(IF(F117=0,0,(Upgrades!$G$7+F117*Upgrades!$H$7)*POWER(Upgrades!$I$7,F117)))*(IF(Upgrades!$T$6="Asteroid Belt",POWER(Upgrades!$U$6,E117),1)*IF(Upgrades!$T$8="Asteroid Belt",POWER(Upgrades!$U$8,G117),1)*IF(Upgrades!$T$9="Asteroid Belt",POWER(Upgrades!$U$9,H117),1)*IF(Upgrades!$T$10="Asteroid Belt",POWER(Upgrades!$U$10,I117),1)*IF(Upgrades!$T$11="Asteroid Belt",POWER(Upgrades!$U$11,J117),1)*IF(Upgrades!$T$12="Asteroid Belt",POWER(Upgrades!$U$12,K117),1))*POWER(Upgrades!$P$6,E117)*POWER(Upgrades!$P$7,F117)*POWER(Upgrades!$P$8,G117)*POWER(Upgrades!$P$9,H117)*POWER(Upgrades!$P$10,I117)*POWER(Upgrades!$P$11,J117)*POWER(Upgrades!$P$12,K117)*60</f>
        <v>150</v>
      </c>
      <c r="AC117" s="27" t="n">
        <f aca="false">(IF(G117=0,0,(Upgrades!$J$8+G117*Upgrades!$K$8)*POWER(Upgrades!$L$8,G117)))*(IF(Upgrades!$T$6="Stellar Coupling",POWER(Upgrades!$U$6,E117),1)*IF(Upgrades!$T$7="Stellar Coupling",POWER(Upgrades!$U$7,F117),1)*IF(Upgrades!$T$9="Stellar Coupling",POWER(Upgrades!$U$9,H117),1)*IF(Upgrades!$T$10="Stellar Coupling",POWER(Upgrades!$U$10,I117),1)*IF(Upgrades!$T$11="Stellar Coupling",POWER(Upgrades!$U$11,J117),1)*IF(Upgrades!$T$12="Stellar Coupling",POWER(Upgrades!$U$12,K117),1))*POWER(Upgrades!$Q$6,E117)*POWER(Upgrades!$Q$7,F117)*POWER(Upgrades!$Q$8,G117)*POWER(Upgrades!$Q$9,H117)*POWER(Upgrades!$Q$10,I117)*POWER(Upgrades!$Q$11,J117)*POWER(Upgrades!$Q$12,K117)*Parameters!$B$10*Parameters!$B$11</f>
        <v>441</v>
      </c>
      <c r="AD117" s="27" t="n">
        <f aca="false">(IF(H117=0,0,(Upgrades!$G$9+H117*Upgrades!$H$9)*POWER(Upgrades!$I$9,H117)))*(IF(Upgrades!$T$6="Magnetosphere",POWER(Upgrades!$U$6,E117),1)*IF(Upgrades!$T$7="Magnetosphere",POWER(Upgrades!$U$7,F117),1)*IF(Upgrades!$T$8="Magnetosphere",POWER(Upgrades!$U$8,G117),1)*IF(Upgrades!$T$10="Magnetosphere",POWER(Upgrades!$U$10,I117),1)*IF(Upgrades!$T$11="Magnetosphere",POWER(Upgrades!$U$11,J117),1)*IF(Upgrades!$T$12="Magnetosphere",POWER(Upgrades!$U$12,K117),1))*POWER(Upgrades!$P$6,E117)*POWER(Upgrades!$P$7,F117)*POWER(Upgrades!$P$8,G117)*POWER(Upgrades!$P$9,H117)*POWER(Upgrades!$P$10,I117)*POWER(Upgrades!$P$11,J117)*POWER(Upgrades!$P$12,K117)*60</f>
        <v>375</v>
      </c>
      <c r="AE117" s="27" t="n">
        <f aca="false">(IF(K117=0,0,(Upgrades!$G$12+K117*Upgrades!$H$12)*POWER(Upgrades!$I$12,K117)))*(IF(Upgrades!$T$6="First Photons",POWER(Upgrades!$U$6,E117),1)*IF(Upgrades!$T$7="First Photons",POWER(Upgrades!$U$7,F117),1)*IF(Upgrades!$T$8="First Photons",POWER(Upgrades!$U$8,G117),1)*IF(Upgrades!$T$9="First Photons",POWER(Upgrades!$U$9,H117),1)*IF(Upgrades!$T$10="First Photons",POWER(Upgrades!$U$10,I117),1)*IF(Upgrades!$T$11="First Photons",POWER(Upgrades!$U$11,J117),1))*POWER(Upgrades!$P$6,E117)*POWER(Upgrades!$P$7,F117)*POWER(Upgrades!$P$8,G117)*POWER(Upgrades!$P$9,H117)*POWER(Upgrades!$P$10,I117)*POWER(Upgrades!$P$11,J117)*POWER(Upgrades!$P$12,K117)*60</f>
        <v>75</v>
      </c>
      <c r="AF117" s="27" t="n">
        <f aca="false">Parameters!$B$9*POWER(Upgrades!$Q$6,E117)*POWER(Upgrades!$Q$7,F117)*POWER(Upgrades!$Q$8,G117)*POWER(Upgrades!$Q$9,H117)*POWER(Upgrades!$Q$10,I117)*POWER(Upgrades!$Q$11,J117)*POWER(Upgrades!$Q$12,K117)*(Parameters!$B$10*Parameters!$B$11+O117*60)</f>
        <v>120</v>
      </c>
      <c r="AG117" s="21" t="n">
        <f aca="false">IF(E117&gt;=Upgrades!$E$6,"",Upgrades!$C$6*POWER(Upgrades!$D$6,E117))</f>
        <v>37.4517507383159</v>
      </c>
      <c r="AH117" s="21" t="n">
        <f aca="false">IF(F117&gt;=Upgrades!$E$7,"",Upgrades!$C$7*POWER(Upgrades!$D$7,F117))</f>
        <v>80.9111547141581</v>
      </c>
      <c r="AI117" s="21" t="n">
        <f aca="false">IF(G117&gt;=Upgrades!$E$8,"",Upgrades!$C$8*POWER(Upgrades!$D$8,G117))</f>
        <v>231.9097088</v>
      </c>
      <c r="AJ117" s="21" t="str">
        <f aca="false">IF(H117&gt;=Upgrades!$E$9,"",Upgrades!$C$9*POWER(Upgrades!$D$9,H117))</f>
        <v/>
      </c>
      <c r="AK117" s="21" t="str">
        <f aca="false">IF(I117&gt;=Upgrades!$E$10,"",Upgrades!$C$10*POWER(Upgrades!$D$10,I117))</f>
        <v/>
      </c>
      <c r="AL117" s="21" t="str">
        <f aca="false">IF(J117&gt;=Upgrades!$E$11,"",Upgrades!$C$11*POWER(Upgrades!$D$11,J117))</f>
        <v/>
      </c>
      <c r="AM117" s="21" t="str">
        <f aca="false">IF(K117&gt;=Upgrades!$E$12,"",Upgrades!$C$12*POWER(Upgrades!$D$12,K117))</f>
        <v/>
      </c>
      <c r="AN117" s="26" t="str">
        <f aca="false">IF(AND(D117&gt;=Parameters!$B$18,(H117&gt;=Upgrades!$E$9)*(K117&gt;=Upgrades!$E$12)=1,L117=0),1,"")</f>
        <v/>
      </c>
      <c r="AO117" s="26" t="str">
        <f aca="false">IF(AND(D117&gt;=Parameters!$B$18,L117=0),1,"")</f>
        <v/>
      </c>
      <c r="AP117" s="21" t="n">
        <f aca="false">MIN(IF(ISNUMBER(AK117),AK117,9000000000000000),IF(ISNUMBER(AL117),AL117,9000000000000000),IF(ISNUMBER(AM117),AM117,9000000000000000))</f>
        <v>9000000000000000</v>
      </c>
      <c r="AQ117" s="21" t="n">
        <f aca="false">MIN(IF(ISNUMBER(AG117),AG117,9000000000000000),IF(ISNUMBER(AH117),AH117,9000000000000000),IF(ISNUMBER(AI117),AI117,9000000000000000),IF(ISNUMBER(AJ117),AJ117,9000000000000000))</f>
        <v>37.4517507383159</v>
      </c>
      <c r="AR117" s="32" t="b">
        <f aca="false">IF(AW117&gt;Parameters!$B$21*(MAX(IF(AND(NOT(AND(AO117=1,AN117&lt;&gt;1)),ISNUMBER(AG117),AG117&lt;=T117),AS117,0),IF(AND(NOT(AND(AO117=1,AN117&lt;&gt;1)),ISNUMBER(AH117),AH117&lt;=T117),AT117,0),IF(AND(NOT(AND(AO117=1,AN117&lt;&gt;1)),ISNUMBER(AI117),AI117&lt;=T117),AU117,0),IF(AND(ISNUMBER(AJ117),AJ117&lt;=T117),AV117,0))),TRUE(),FALSE())</f>
        <v>1</v>
      </c>
      <c r="AS117" s="33" t="n">
        <f aca="false">IFERROR(Upgrades!$H$6*(POWER(Upgrades!$P$6,E117)*POWER(Upgrades!$P$7,F117)*POWER(Upgrades!$P$8,G117)*POWER(Upgrades!$P$9,H117)*POWER(Upgrades!$P$10,I117)*POWER(Upgrades!$P$11,J117)*POWER(Upgrades!$P$12,K117))*(IF(Upgrades!$T$7="Solar Wind",POWER(Upgrades!$U$7,F117),1)*IF(Upgrades!$T$8="Solar Wind",POWER(Upgrades!$U$8,G117),1)*IF(Upgrades!$T$9="Solar Wind",POWER(Upgrades!$U$9,H117),1)*IF(Upgrades!$T$10="Solar Wind",POWER(Upgrades!$U$10,I117),1)*IF(Upgrades!$T$11="Solar Wind",POWER(Upgrades!$U$11,J117),1)*IF(Upgrades!$T$12="Solar Wind",POWER(Upgrades!$U$12,K117),1))/AG117,0)</f>
        <v>0.0026701021455238</v>
      </c>
      <c r="AT117" s="33" t="n">
        <f aca="false">IFERROR(Upgrades!$H$7*(POWER(Upgrades!$P$6,E117)*POWER(Upgrades!$P$7,F117)*POWER(Upgrades!$P$8,G117)*POWER(Upgrades!$P$9,H117)*POWER(Upgrades!$P$10,I117)*POWER(Upgrades!$P$11,J117)*POWER(Upgrades!$P$12,K117))*(IF(Upgrades!$T$6="Asteroid Belt",POWER(Upgrades!$U$6,E117),1)*IF(Upgrades!$T$8="Asteroid Belt",POWER(Upgrades!$U$8,G117),1)*IF(Upgrades!$T$9="Asteroid Belt",POWER(Upgrades!$U$9,H117),1)*IF(Upgrades!$T$10="Asteroid Belt",POWER(Upgrades!$U$10,I117),1)*IF(Upgrades!$T$11="Asteroid Belt",POWER(Upgrades!$U$11,J117),1)*IF(Upgrades!$T$12="Asteroid Belt",POWER(Upgrades!$U$12,K117),1))/AH117,0)</f>
        <v>0.00308980882652332</v>
      </c>
      <c r="AU117" s="33" t="n">
        <f aca="false">IFERROR(Upgrades!$K$8*(POWER(Upgrades!$Q$6,E117)*POWER(Upgrades!$Q$7,F117)*POWER(Upgrades!$Q$8,G117)*POWER(Upgrades!$Q$9,H117)*POWER(Upgrades!$Q$10,I117)*POWER(Upgrades!$Q$11,J117)*POWER(Upgrades!$Q$12,K117))*(IF(Upgrades!$T$6="Stellar Coupling",POWER(Upgrades!$U$6,E117),1)*IF(Upgrades!$T$7="Stellar Coupling",POWER(Upgrades!$U$7,F117),1)*IF(Upgrades!$T$9="Stellar Coupling",POWER(Upgrades!$U$9,H117),1)*IF(Upgrades!$T$10="Stellar Coupling",POWER(Upgrades!$U$10,I117),1)*IF(Upgrades!$T$11="Stellar Coupling",POWER(Upgrades!$U$11,J117),1)*IF(Upgrades!$T$12="Stellar Coupling",POWER(Upgrades!$U$12,K117),1))*Parameters!$B$10*Parameters!$B$11/60/AI117,0)</f>
        <v>0.00452762415783776</v>
      </c>
      <c r="AV117" s="33" t="n">
        <f aca="false">IFERROR(Upgrades!$H$9*(POWER(Upgrades!$P$6,E117)*POWER(Upgrades!$P$7,F117)*POWER(Upgrades!$P$8,G117)*POWER(Upgrades!$P$9,H117)*POWER(Upgrades!$P$10,I117)*POWER(Upgrades!$P$11,J117)*POWER(Upgrades!$P$12,K117))*(IF(Upgrades!$T$6="Magnetosphere",POWER(Upgrades!$U$6,E117),1)*IF(Upgrades!$T$7="Magnetosphere",POWER(Upgrades!$U$7,F117),1)*IF(Upgrades!$T$8="Magnetosphere",POWER(Upgrades!$U$8,G117),1)*IF(Upgrades!$T$10="Magnetosphere",POWER(Upgrades!$U$10,I117),1)*IF(Upgrades!$T$11="Magnetosphere",POWER(Upgrades!$U$11,J117),1)*IF(Upgrades!$T$12="Magnetosphere",POWER(Upgrades!$U$12,K117),1))/AJ117,0)</f>
        <v>0</v>
      </c>
      <c r="AW117" s="33" t="n">
        <f aca="false">MAX(IF(I117&gt;0,0,IFERROR(0.25*N117/Upgrades!$C$10,0)),IF(J117&gt;0,0,IFERROR(0.5*((IF(G117=0,0,(Upgrades!$J$8+G117*Upgrades!$K$8)*POWER(Upgrades!$L$8,G117)))*(IF(Upgrades!$T$6="Stellar Coupling",POWER(Upgrades!$U$6,E117),1)*IF(Upgrades!$T$7="Stellar Coupling",POWER(Upgrades!$U$7,F117),1)*IF(Upgrades!$T$9="Stellar Coupling",POWER(Upgrades!$U$9,H117),1)*IF(Upgrades!$T$10="Stellar Coupling",POWER(Upgrades!$U$10,I117),1)*IF(Upgrades!$T$11="Stellar Coupling",POWER(Upgrades!$U$11,J117),1)*IF(Upgrades!$T$12="Stellar Coupling",POWER(Upgrades!$U$12,K117),1))*(POWER(Upgrades!$Q$6,E117)*POWER(Upgrades!$Q$7,F117)*POWER(Upgrades!$Q$8,G117)*POWER(Upgrades!$Q$9,H117)*POWER(Upgrades!$Q$10,I117)*POWER(Upgrades!$Q$11,J117)*POWER(Upgrades!$Q$12,K117))*Parameters!$B$10*Parameters!$B$11/60)/Upgrades!$C$11,0)),IF(K117&gt;0,0,IFERROR((1*(POWER(Upgrades!$P$6,E117)*POWER(Upgrades!$P$7,F117)*POWER(Upgrades!$P$8,G117)*POWER(Upgrades!$P$9,H117)*POWER(Upgrades!$P$10,I117)*POWER(Upgrades!$P$11,J117)*POWER(Upgrades!$P$12,K117))+0.2*M117*Parameters!$B$10*Parameters!$B$11/60)/Upgrades!$C$12,0)),IF(AND(ISNUMBER(AG117),AG117&gt;T117),AS117,0),IF(AND(ISNUMBER(AH117),AH117&gt;T117),AT117,0),IF(AND(ISNUMBER(AI117),AI117&gt;T117),AU117,0),IF(AND(ISNUMBER(AJ117),AJ117&gt;T117),AV117,0))</f>
        <v>0.00452762415783776</v>
      </c>
      <c r="AX117" s="29" t="str">
        <f aca="false">IF(AN117=1,"transition",IF(MIN(IF(AND(I117=0,ISNUMBER(AK117),AK117&lt;=T117),AK117,9000000000000000),IF(AND(J117=0,ISNUMBER(AL117),AL117&lt;=T117),AL117,9000000000000000),IF(AND(K117=0,ISNUMBER(AM117),AM117&lt;=T117),AM117,9000000000000000))&lt;9000000000000000,IF(AND(AND(I117=0,ISNUMBER(AK117),AK117&lt;=T117),AK117=MIN(IF(AND(I117=0,ISNUMBER(AK117),AK117&lt;=T117),AK117,9000000000000000),IF(AND(J117=0,ISNUMBER(AL117),AL117&lt;=T117),AL117,9000000000000000),IF(AND(K117=0,ISNUMBER(AM117),AM117&lt;=T117),AM117,9000000000000000))),"OR",IF(AND(AND(J117=0,ISNUMBER(AL117),AL117&lt;=T117),AL117=MIN(IF(AND(I117=0,ISNUMBER(AK117),AK117&lt;=T117),AK117,9000000000000000),IF(AND(J117=0,ISNUMBER(AL117),AL117&lt;=T117),AL117,9000000000000000),IF(AND(K117=0,ISNUMBER(AM117),AM117&lt;=T117),AM117,9000000000000000))),"HP","FP")),IF(AR117=TRUE(),"",IF(MAX(IF(AND(NOT(AND(AO117=1,AN117&lt;&gt;1)),ISNUMBER(AG117),AG117&lt;=T117),AS117,0),IF(AND(NOT(AND(AO117=1,AN117&lt;&gt;1)),ISNUMBER(AH117),AH117&lt;=T117),AT117,0),IF(AND(NOT(AND(AO117=1,AN117&lt;&gt;1)),ISNUMBER(AI117),AI117&lt;=T117),AU117,0),IF(AND(ISNUMBER(AJ117),AJ117&lt;=T117),AV117,0))&lt;=0,"",IF(AND(IF(AND(NOT(AND(AO117=1,AN117&lt;&gt;1)),ISNUMBER(AG117),AG117&lt;=T117),AS117,0)&gt;0,IF(AND(NOT(AND(AO117=1,AN117&lt;&gt;1)),ISNUMBER(AG117),AG117&lt;=T117),AS117,0)=MAX(IF(AND(NOT(AND(AO117=1,AN117&lt;&gt;1)),ISNUMBER(AG117),AG117&lt;=T117),AS117,0),IF(AND(NOT(AND(AO117=1,AN117&lt;&gt;1)),ISNUMBER(AH117),AH117&lt;=T117),AT117,0),IF(AND(NOT(AND(AO117=1,AN117&lt;&gt;1)),ISNUMBER(AI117),AI117&lt;=T117),AU117,0),IF(AND(ISNUMBER(AJ117),AJ117&lt;=T117),AV117,0))),"SW",IF(AND(IF(AND(NOT(AND(AO117=1,AN117&lt;&gt;1)),ISNUMBER(AH117),AH117&lt;=T117),AT117,0)&gt;0,IF(AND(NOT(AND(AO117=1,AN117&lt;&gt;1)),ISNUMBER(AH117),AH117&lt;=T117),AT117,0)=MAX(IF(AND(NOT(AND(AO117=1,AN117&lt;&gt;1)),ISNUMBER(AG117),AG117&lt;=T117),AS117,0),IF(AND(NOT(AND(AO117=1,AN117&lt;&gt;1)),ISNUMBER(AH117),AH117&lt;=T117),AT117,0),IF(AND(NOT(AND(AO117=1,AN117&lt;&gt;1)),ISNUMBER(AI117),AI117&lt;=T117),AU117,0),IF(AND(ISNUMBER(AJ117),AJ117&lt;=T117),AV117,0))),"AB",IF(AND(IF(AND(NOT(AND(AO117=1,AN117&lt;&gt;1)),ISNUMBER(AI117),AI117&lt;=T117),AU117,0)&gt;0,IF(AND(NOT(AND(AO117=1,AN117&lt;&gt;1)),ISNUMBER(AI117),AI117&lt;=T117),AU117,0)=MAX(IF(AND(NOT(AND(AO117=1,AN117&lt;&gt;1)),ISNUMBER(AG117),AG117&lt;=T117),AS117,0),IF(AND(NOT(AND(AO117=1,AN117&lt;&gt;1)),ISNUMBER(AH117),AH117&lt;=T117),AT117,0),IF(AND(NOT(AND(AO117=1,AN117&lt;&gt;1)),ISNUMBER(AI117),AI117&lt;=T117),AU117,0),IF(AND(ISNUMBER(AJ117),AJ117&lt;=T117),AV117,0))),"SC","Mag")))))))</f>
        <v/>
      </c>
    </row>
    <row r="118" customFormat="false" ht="15" hidden="false" customHeight="false" outlineLevel="0" collapsed="false">
      <c r="A118" s="26" t="n">
        <v>113</v>
      </c>
      <c r="B118" s="27" t="n">
        <f aca="false">A118*10/60</f>
        <v>18.8333333333333</v>
      </c>
      <c r="C118" s="21" t="n">
        <f aca="false">X117</f>
        <v>18.6730249835055</v>
      </c>
      <c r="D118" s="27" t="n">
        <f aca="false">D117+W117</f>
        <v>0</v>
      </c>
      <c r="E118" s="26" t="n">
        <f aca="false">E117+IF(U117="SW",1,0)</f>
        <v>12</v>
      </c>
      <c r="F118" s="26" t="n">
        <f aca="false">F117+IF(U117="AB",1,0)</f>
        <v>10</v>
      </c>
      <c r="G118" s="26" t="n">
        <f aca="false">G117+IF(U117="SC",1,0)</f>
        <v>7</v>
      </c>
      <c r="H118" s="26" t="n">
        <f aca="false">H117+IF(U117="Mag",1,0)</f>
        <v>5</v>
      </c>
      <c r="I118" s="26" t="n">
        <f aca="false">MAX(I117,IF(U117="OR",1,0))</f>
        <v>1</v>
      </c>
      <c r="J118" s="26" t="n">
        <f aca="false">MAX(J117,IF(U117="HP",1,0))</f>
        <v>1</v>
      </c>
      <c r="K118" s="26" t="n">
        <f aca="false">MAX(K117,IF(U117="FP",1,0))</f>
        <v>1</v>
      </c>
      <c r="L118" s="26" t="n">
        <f aca="false">MAX(L117,IF(U117="transition",1,0))</f>
        <v>1</v>
      </c>
      <c r="M118" s="28" t="n">
        <f aca="false">(Parameters!$B$9+(IF(E118=0,0,(Upgrades!$J$6+E118*Upgrades!$K$6)*POWER(Upgrades!$L$6,E118)))*(IF(Upgrades!$T$7="Solar Wind",POWER(Upgrades!$U$7,F118),1)*IF(Upgrades!$T$8="Solar Wind",POWER(Upgrades!$U$8,G118),1)*IF(Upgrades!$T$9="Solar Wind",POWER(Upgrades!$U$9,H118),1)*IF(Upgrades!$T$10="Solar Wind",POWER(Upgrades!$U$10,I118),1)*IF(Upgrades!$T$11="Solar Wind",POWER(Upgrades!$U$11,J118),1)*IF(Upgrades!$T$12="Solar Wind",POWER(Upgrades!$U$12,K118),1))+(IF(F118=0,0,(Upgrades!$J$7+F118*Upgrades!$K$7)*POWER(Upgrades!$L$7,F118)))*(IF(Upgrades!$T$6="Asteroid Belt",POWER(Upgrades!$U$6,E118),1)*IF(Upgrades!$T$8="Asteroid Belt",POWER(Upgrades!$U$8,G118),1)*IF(Upgrades!$T$9="Asteroid Belt",POWER(Upgrades!$U$9,H118),1)*IF(Upgrades!$T$10="Asteroid Belt",POWER(Upgrades!$U$10,I118),1)*IF(Upgrades!$T$11="Asteroid Belt",POWER(Upgrades!$U$11,J118),1)*IF(Upgrades!$T$12="Asteroid Belt",POWER(Upgrades!$U$12,K118),1))+(IF(G118=0,0,(Upgrades!$J$8+G118*Upgrades!$K$8)*POWER(Upgrades!$L$8,G118)))*(IF(Upgrades!$T$6="Stellar Coupling",POWER(Upgrades!$U$6,E118),1)*IF(Upgrades!$T$7="Stellar Coupling",POWER(Upgrades!$U$7,F118),1)*IF(Upgrades!$T$9="Stellar Coupling",POWER(Upgrades!$U$9,H118),1)*IF(Upgrades!$T$10="Stellar Coupling",POWER(Upgrades!$U$10,I118),1)*IF(Upgrades!$T$11="Stellar Coupling",POWER(Upgrades!$U$11,J118),1)*IF(Upgrades!$T$12="Stellar Coupling",POWER(Upgrades!$U$12,K118),1))+(IF(H118=0,0,(Upgrades!$J$9+H118*Upgrades!$K$9)*POWER(Upgrades!$L$9,H118)))*(IF(Upgrades!$T$6="Magnetosphere",POWER(Upgrades!$U$6,E118),1)*IF(Upgrades!$T$7="Magnetosphere",POWER(Upgrades!$U$7,F118),1)*IF(Upgrades!$T$8="Magnetosphere",POWER(Upgrades!$U$8,G118),1)*IF(Upgrades!$T$10="Magnetosphere",POWER(Upgrades!$U$10,I118),1)*IF(Upgrades!$T$11="Magnetosphere",POWER(Upgrades!$U$11,J118),1)*IF(Upgrades!$T$12="Magnetosphere",POWER(Upgrades!$U$12,K118),1))+(IF(I118=0,0,(Upgrades!$J$10+I118*Upgrades!$K$10)*POWER(Upgrades!$L$10,I118)))*(IF(Upgrades!$T$6="Orbital Resonance",POWER(Upgrades!$U$6,E118),1)*IF(Upgrades!$T$7="Orbital Resonance",POWER(Upgrades!$U$7,F118),1)*IF(Upgrades!$T$8="Orbital Resonance",POWER(Upgrades!$U$8,G118),1)*IF(Upgrades!$T$9="Orbital Resonance",POWER(Upgrades!$U$9,H118),1)*IF(Upgrades!$T$11="Orbital Resonance",POWER(Upgrades!$U$11,J118),1)*IF(Upgrades!$T$12="Orbital Resonance",POWER(Upgrades!$U$12,K118),1))+(IF(J118=0,0,(Upgrades!$J$11+J118*Upgrades!$K$11)*POWER(Upgrades!$L$11,J118)))*(IF(Upgrades!$T$6="Heliopause",POWER(Upgrades!$U$6,E118),1)*IF(Upgrades!$T$7="Heliopause",POWER(Upgrades!$U$7,F118),1)*IF(Upgrades!$T$8="Heliopause",POWER(Upgrades!$U$8,G118),1)*IF(Upgrades!$T$9="Heliopause",POWER(Upgrades!$U$9,H118),1)*IF(Upgrades!$T$10="Heliopause",POWER(Upgrades!$U$10,I118),1)*IF(Upgrades!$T$12="Heliopause",POWER(Upgrades!$U$12,K118),1))+(IF(K118=0,0,(Upgrades!$J$12+K118*Upgrades!$K$12)*POWER(Upgrades!$L$12,K118)))*(IF(Upgrades!$T$6="First Photons",POWER(Upgrades!$U$6,E118),1)*IF(Upgrades!$T$7="First Photons",POWER(Upgrades!$U$7,F118),1)*IF(Upgrades!$T$8="First Photons",POWER(Upgrades!$U$8,G118),1)*IF(Upgrades!$T$9="First Photons",POWER(Upgrades!$U$9,H118),1)*IF(Upgrades!$T$10="First Photons",POWER(Upgrades!$U$10,I118),1)*IF(Upgrades!$T$11="First Photons",POWER(Upgrades!$U$11,J118),1)))*POWER(Upgrades!$Q$6,E118)*POWER(Upgrades!$Q$7,F118)*POWER(Upgrades!$Q$8,G118)*POWER(Upgrades!$Q$9,H118)*POWER(Upgrades!$Q$10,I118)*POWER(Upgrades!$Q$11,J118)*POWER(Upgrades!$Q$12,K118)</f>
        <v>5.61</v>
      </c>
      <c r="N118" s="28" t="n">
        <f aca="false">((IF(E118=0,0,(Upgrades!$G$6+E118*Upgrades!$H$6)*POWER(Upgrades!$I$6,E118)))*(IF(Upgrades!$T$7="Solar Wind",POWER(Upgrades!$U$7,F118),1)*IF(Upgrades!$T$8="Solar Wind",POWER(Upgrades!$U$8,G118),1)*IF(Upgrades!$T$9="Solar Wind",POWER(Upgrades!$U$9,H118),1)*IF(Upgrades!$T$10="Solar Wind",POWER(Upgrades!$U$10,I118),1)*IF(Upgrades!$T$11="Solar Wind",POWER(Upgrades!$U$11,J118),1)*IF(Upgrades!$T$12="Solar Wind",POWER(Upgrades!$U$12,K118),1))+(IF(F118=0,0,(Upgrades!$G$7+F118*Upgrades!$H$7)*POWER(Upgrades!$I$7,F118)))*(IF(Upgrades!$T$6="Asteroid Belt",POWER(Upgrades!$U$6,E118),1)*IF(Upgrades!$T$8="Asteroid Belt",POWER(Upgrades!$U$8,G118),1)*IF(Upgrades!$T$9="Asteroid Belt",POWER(Upgrades!$U$9,H118),1)*IF(Upgrades!$T$10="Asteroid Belt",POWER(Upgrades!$U$10,I118),1)*IF(Upgrades!$T$11="Asteroid Belt",POWER(Upgrades!$U$11,J118),1)*IF(Upgrades!$T$12="Asteroid Belt",POWER(Upgrades!$U$12,K118),1))+(IF(G118=0,0,(Upgrades!$G$8+G118*Upgrades!$H$8)*POWER(Upgrades!$I$8,G118)))*(IF(Upgrades!$T$6="Stellar Coupling",POWER(Upgrades!$U$6,E118),1)*IF(Upgrades!$T$7="Stellar Coupling",POWER(Upgrades!$U$7,F118),1)*IF(Upgrades!$T$9="Stellar Coupling",POWER(Upgrades!$U$9,H118),1)*IF(Upgrades!$T$10="Stellar Coupling",POWER(Upgrades!$U$10,I118),1)*IF(Upgrades!$T$11="Stellar Coupling",POWER(Upgrades!$U$11,J118),1)*IF(Upgrades!$T$12="Stellar Coupling",POWER(Upgrades!$U$12,K118),1))+(IF(H118=0,0,(Upgrades!$G$9+H118*Upgrades!$H$9)*POWER(Upgrades!$I$9,H118)))*(IF(Upgrades!$T$6="Magnetosphere",POWER(Upgrades!$U$6,E118),1)*IF(Upgrades!$T$7="Magnetosphere",POWER(Upgrades!$U$7,F118),1)*IF(Upgrades!$T$8="Magnetosphere",POWER(Upgrades!$U$8,G118),1)*IF(Upgrades!$T$10="Magnetosphere",POWER(Upgrades!$U$10,I118),1)*IF(Upgrades!$T$11="Magnetosphere",POWER(Upgrades!$U$11,J118),1)*IF(Upgrades!$T$12="Magnetosphere",POWER(Upgrades!$U$12,K118),1))+(IF(I118=0,0,(Upgrades!$G$10+I118*Upgrades!$H$10)*POWER(Upgrades!$I$10,I118)))*(IF(Upgrades!$T$6="Orbital Resonance",POWER(Upgrades!$U$6,E118),1)*IF(Upgrades!$T$7="Orbital Resonance",POWER(Upgrades!$U$7,F118),1)*IF(Upgrades!$T$8="Orbital Resonance",POWER(Upgrades!$U$8,G118),1)*IF(Upgrades!$T$9="Orbital Resonance",POWER(Upgrades!$U$9,H118),1)*IF(Upgrades!$T$11="Orbital Resonance",POWER(Upgrades!$U$11,J118),1)*IF(Upgrades!$T$12="Orbital Resonance",POWER(Upgrades!$U$12,K118),1))+(IF(J118=0,0,(Upgrades!$G$11+J118*Upgrades!$H$11)*POWER(Upgrades!$I$11,J118)))*(IF(Upgrades!$T$6="Heliopause",POWER(Upgrades!$U$6,E118),1)*IF(Upgrades!$T$7="Heliopause",POWER(Upgrades!$U$7,F118),1)*IF(Upgrades!$T$8="Heliopause",POWER(Upgrades!$U$8,G118),1)*IF(Upgrades!$T$9="Heliopause",POWER(Upgrades!$U$9,H118),1)*IF(Upgrades!$T$10="Heliopause",POWER(Upgrades!$U$10,I118),1)*IF(Upgrades!$T$12="Heliopause",POWER(Upgrades!$U$12,K118),1))+(IF(K118=0,0,(Upgrades!$G$12+K118*Upgrades!$H$12)*POWER(Upgrades!$I$12,K118)))*(IF(Upgrades!$T$6="First Photons",POWER(Upgrades!$U$6,E118),1)*IF(Upgrades!$T$7="First Photons",POWER(Upgrades!$U$7,F118),1)*IF(Upgrades!$T$8="First Photons",POWER(Upgrades!$U$8,G118),1)*IF(Upgrades!$T$9="First Photons",POWER(Upgrades!$U$9,H118),1)*IF(Upgrades!$T$10="First Photons",POWER(Upgrades!$U$10,I118),1)*IF(Upgrades!$T$11="First Photons",POWER(Upgrades!$U$11,J118),1)))*POWER(Upgrades!$P$6,E118)*POWER(Upgrades!$P$7,F118)*POWER(Upgrades!$P$8,G118)*POWER(Upgrades!$P$9,H118)*POWER(Upgrades!$P$10,I118)*POWER(Upgrades!$P$11,J118)*POWER(Upgrades!$P$12,K118)</f>
        <v>11.2</v>
      </c>
      <c r="O118" s="28" t="n">
        <f aca="false">((IF(E118=0,0,(Upgrades!$M$6+E118*Upgrades!$N$6)*POWER(Upgrades!$O$6,E118)))*(IF(Upgrades!$T$7="Solar Wind",POWER(Upgrades!$U$7,F118),1)*IF(Upgrades!$T$8="Solar Wind",POWER(Upgrades!$U$8,G118),1)*IF(Upgrades!$T$9="Solar Wind",POWER(Upgrades!$U$9,H118),1)*IF(Upgrades!$T$10="Solar Wind",POWER(Upgrades!$U$10,I118),1)*IF(Upgrades!$T$11="Solar Wind",POWER(Upgrades!$U$11,J118),1)*IF(Upgrades!$T$12="Solar Wind",POWER(Upgrades!$U$12,K118),1))+(IF(F118=0,0,(Upgrades!$M$7+F118*Upgrades!$N$7)*POWER(Upgrades!$O$7,F118)))*(IF(Upgrades!$T$6="Asteroid Belt",POWER(Upgrades!$U$6,E118),1)*IF(Upgrades!$T$8="Asteroid Belt",POWER(Upgrades!$U$8,G118),1)*IF(Upgrades!$T$9="Asteroid Belt",POWER(Upgrades!$U$9,H118),1)*IF(Upgrades!$T$10="Asteroid Belt",POWER(Upgrades!$U$10,I118),1)*IF(Upgrades!$T$11="Asteroid Belt",POWER(Upgrades!$U$11,J118),1)*IF(Upgrades!$T$12="Asteroid Belt",POWER(Upgrades!$U$12,K118),1))+(IF(G118=0,0,(Upgrades!$M$8+G118*Upgrades!$N$8)*POWER(Upgrades!$O$8,G118)))*(IF(Upgrades!$T$6="Stellar Coupling",POWER(Upgrades!$U$6,E118),1)*IF(Upgrades!$T$7="Stellar Coupling",POWER(Upgrades!$U$7,F118),1)*IF(Upgrades!$T$9="Stellar Coupling",POWER(Upgrades!$U$9,H118),1)*IF(Upgrades!$T$10="Stellar Coupling",POWER(Upgrades!$U$10,I118),1)*IF(Upgrades!$T$11="Stellar Coupling",POWER(Upgrades!$U$11,J118),1)*IF(Upgrades!$T$12="Stellar Coupling",POWER(Upgrades!$U$12,K118),1))+(IF(H118=0,0,(Upgrades!$M$9+H118*Upgrades!$N$9)*POWER(Upgrades!$O$9,H118)))*(IF(Upgrades!$T$6="Magnetosphere",POWER(Upgrades!$U$6,E118),1)*IF(Upgrades!$T$7="Magnetosphere",POWER(Upgrades!$U$7,F118),1)*IF(Upgrades!$T$8="Magnetosphere",POWER(Upgrades!$U$8,G118),1)*IF(Upgrades!$T$10="Magnetosphere",POWER(Upgrades!$U$10,I118),1)*IF(Upgrades!$T$11="Magnetosphere",POWER(Upgrades!$U$11,J118),1)*IF(Upgrades!$T$12="Magnetosphere",POWER(Upgrades!$U$12,K118),1))+(IF(I118=0,0,(Upgrades!$M$10+I118*Upgrades!$N$10)*POWER(Upgrades!$O$10,I118)))*(IF(Upgrades!$T$6="Orbital Resonance",POWER(Upgrades!$U$6,E118),1)*IF(Upgrades!$T$7="Orbital Resonance",POWER(Upgrades!$U$7,F118),1)*IF(Upgrades!$T$8="Orbital Resonance",POWER(Upgrades!$U$8,G118),1)*IF(Upgrades!$T$9="Orbital Resonance",POWER(Upgrades!$U$9,H118),1)*IF(Upgrades!$T$11="Orbital Resonance",POWER(Upgrades!$U$11,J118),1)*IF(Upgrades!$T$12="Orbital Resonance",POWER(Upgrades!$U$12,K118),1))+(IF(J118=0,0,(Upgrades!$M$11+J118*Upgrades!$N$11)*POWER(Upgrades!$O$11,J118)))*(IF(Upgrades!$T$6="Heliopause",POWER(Upgrades!$U$6,E118),1)*IF(Upgrades!$T$7="Heliopause",POWER(Upgrades!$U$7,F118),1)*IF(Upgrades!$T$8="Heliopause",POWER(Upgrades!$U$8,G118),1)*IF(Upgrades!$T$9="Heliopause",POWER(Upgrades!$U$9,H118),1)*IF(Upgrades!$T$10="Heliopause",POWER(Upgrades!$U$10,I118),1)*IF(Upgrades!$T$12="Heliopause",POWER(Upgrades!$U$12,K118),1))+(IF(K118=0,0,(Upgrades!$M$12+K118*Upgrades!$N$12)*POWER(Upgrades!$O$12,K118)))*(IF(Upgrades!$T$6="First Photons",POWER(Upgrades!$U$6,E118),1)*IF(Upgrades!$T$7="First Photons",POWER(Upgrades!$U$7,F118),1)*IF(Upgrades!$T$8="First Photons",POWER(Upgrades!$U$8,G118),1)*IF(Upgrades!$T$9="First Photons",POWER(Upgrades!$U$9,H118),1)*IF(Upgrades!$T$10="First Photons",POWER(Upgrades!$U$10,I118),1)*IF(Upgrades!$T$11="First Photons",POWER(Upgrades!$U$11,J118),1)))*POWER(Upgrades!$R$6,E118)*POWER(Upgrades!$R$7,F118)*POWER(Upgrades!$R$8,G118)*POWER(Upgrades!$R$9,H118)*POWER(Upgrades!$R$10,I118)*POWER(Upgrades!$R$11,J118)*POWER(Upgrades!$R$12,K118)</f>
        <v>0</v>
      </c>
      <c r="P118" s="27" t="n">
        <f aca="false">IF(L118=1,0,M118*Parameters!$B$10/60*Parameters!$B$11*10)</f>
        <v>0</v>
      </c>
      <c r="Q118" s="27" t="n">
        <f aca="false">IF(L118=1,0,O118*M118*10)</f>
        <v>0</v>
      </c>
      <c r="R118" s="27" t="n">
        <f aca="false">IF(L118=1,0,N118*10)</f>
        <v>0</v>
      </c>
      <c r="S118" s="27" t="n">
        <f aca="false">P118+Q118+R118</f>
        <v>0</v>
      </c>
      <c r="T118" s="21" t="n">
        <f aca="false">C118+S118</f>
        <v>18.6730249835055</v>
      </c>
      <c r="U118" s="34" t="str">
        <f aca="false">AX118</f>
        <v/>
      </c>
      <c r="V118" s="21" t="n">
        <f aca="false">IF(U118="",0,IF(U118="transition",0,IF(U118="SW",AG118,IF(U118="AB",AH118,IF(U118="SC",AI118,IF(U118="Mag",AJ118,IF(U118="OR",AK118,IF(U118="HP",AL118,IF(U118="FP",AM118,0)))))))))</f>
        <v>0</v>
      </c>
      <c r="W118" s="27" t="n">
        <f aca="false">IF(U118="OR",Upgrades!$F$10,IF(U118="HP",Upgrades!$F$11,IF(U118="transition",-Parameters!$B$18,0)))</f>
        <v>0</v>
      </c>
      <c r="X118" s="21" t="n">
        <f aca="false">T118-V118</f>
        <v>18.6730249835055</v>
      </c>
      <c r="Y118" s="30" t="n">
        <f aca="false">M118*Parameters!$B$10/60*Parameters!$B$11+O118*M118+N118</f>
        <v>20.55</v>
      </c>
      <c r="Z118" s="35" t="str">
        <f aca="false">IF(U118="transition","→ Tier 2 (Stellar Neighborhood)",IF(U118="FP","First Photons — light begins, system quickens",IF(U118="HP","Heliopause acquired",IF(U118="OR","Orbital Resonance — passive multiplier active",IF(AND(AO118=1,L118=0,AN118&lt;&gt;1),"Cohesion ready (waiting on completionist upgrades)","")))))</f>
        <v/>
      </c>
      <c r="AA118" s="27" t="n">
        <f aca="false">(IF(E118=0,0,(Upgrades!$G$6+E118*Upgrades!$H$6)*POWER(Upgrades!$I$6,E118)))*(IF(Upgrades!$T$7="Solar Wind",POWER(Upgrades!$U$7,F118),1)*IF(Upgrades!$T$8="Solar Wind",POWER(Upgrades!$U$8,G118),1)*IF(Upgrades!$T$9="Solar Wind",POWER(Upgrades!$U$9,H118),1)*IF(Upgrades!$T$10="Solar Wind",POWER(Upgrades!$U$10,I118),1)*IF(Upgrades!$T$11="Solar Wind",POWER(Upgrades!$U$11,J118),1)*IF(Upgrades!$T$12="Solar Wind",POWER(Upgrades!$U$12,K118),1))*POWER(Upgrades!$P$6,E118)*POWER(Upgrades!$P$7,F118)*POWER(Upgrades!$P$8,G118)*POWER(Upgrades!$P$9,H118)*POWER(Upgrades!$P$10,I118)*POWER(Upgrades!$P$11,J118)*POWER(Upgrades!$P$12,K118)*60</f>
        <v>72</v>
      </c>
      <c r="AB118" s="27" t="n">
        <f aca="false">(IF(F118=0,0,(Upgrades!$G$7+F118*Upgrades!$H$7)*POWER(Upgrades!$I$7,F118)))*(IF(Upgrades!$T$6="Asteroid Belt",POWER(Upgrades!$U$6,E118),1)*IF(Upgrades!$T$8="Asteroid Belt",POWER(Upgrades!$U$8,G118),1)*IF(Upgrades!$T$9="Asteroid Belt",POWER(Upgrades!$U$9,H118),1)*IF(Upgrades!$T$10="Asteroid Belt",POWER(Upgrades!$U$10,I118),1)*IF(Upgrades!$T$11="Asteroid Belt",POWER(Upgrades!$U$11,J118),1)*IF(Upgrades!$T$12="Asteroid Belt",POWER(Upgrades!$U$12,K118),1))*POWER(Upgrades!$P$6,E118)*POWER(Upgrades!$P$7,F118)*POWER(Upgrades!$P$8,G118)*POWER(Upgrades!$P$9,H118)*POWER(Upgrades!$P$10,I118)*POWER(Upgrades!$P$11,J118)*POWER(Upgrades!$P$12,K118)*60</f>
        <v>150</v>
      </c>
      <c r="AC118" s="27" t="n">
        <f aca="false">(IF(G118=0,0,(Upgrades!$J$8+G118*Upgrades!$K$8)*POWER(Upgrades!$L$8,G118)))*(IF(Upgrades!$T$6="Stellar Coupling",POWER(Upgrades!$U$6,E118),1)*IF(Upgrades!$T$7="Stellar Coupling",POWER(Upgrades!$U$7,F118),1)*IF(Upgrades!$T$9="Stellar Coupling",POWER(Upgrades!$U$9,H118),1)*IF(Upgrades!$T$10="Stellar Coupling",POWER(Upgrades!$U$10,I118),1)*IF(Upgrades!$T$11="Stellar Coupling",POWER(Upgrades!$U$11,J118),1)*IF(Upgrades!$T$12="Stellar Coupling",POWER(Upgrades!$U$12,K118),1))*POWER(Upgrades!$Q$6,E118)*POWER(Upgrades!$Q$7,F118)*POWER(Upgrades!$Q$8,G118)*POWER(Upgrades!$Q$9,H118)*POWER(Upgrades!$Q$10,I118)*POWER(Upgrades!$Q$11,J118)*POWER(Upgrades!$Q$12,K118)*Parameters!$B$10*Parameters!$B$11</f>
        <v>441</v>
      </c>
      <c r="AD118" s="27" t="n">
        <f aca="false">(IF(H118=0,0,(Upgrades!$G$9+H118*Upgrades!$H$9)*POWER(Upgrades!$I$9,H118)))*(IF(Upgrades!$T$6="Magnetosphere",POWER(Upgrades!$U$6,E118),1)*IF(Upgrades!$T$7="Magnetosphere",POWER(Upgrades!$U$7,F118),1)*IF(Upgrades!$T$8="Magnetosphere",POWER(Upgrades!$U$8,G118),1)*IF(Upgrades!$T$10="Magnetosphere",POWER(Upgrades!$U$10,I118),1)*IF(Upgrades!$T$11="Magnetosphere",POWER(Upgrades!$U$11,J118),1)*IF(Upgrades!$T$12="Magnetosphere",POWER(Upgrades!$U$12,K118),1))*POWER(Upgrades!$P$6,E118)*POWER(Upgrades!$P$7,F118)*POWER(Upgrades!$P$8,G118)*POWER(Upgrades!$P$9,H118)*POWER(Upgrades!$P$10,I118)*POWER(Upgrades!$P$11,J118)*POWER(Upgrades!$P$12,K118)*60</f>
        <v>375</v>
      </c>
      <c r="AE118" s="27" t="n">
        <f aca="false">(IF(K118=0,0,(Upgrades!$G$12+K118*Upgrades!$H$12)*POWER(Upgrades!$I$12,K118)))*(IF(Upgrades!$T$6="First Photons",POWER(Upgrades!$U$6,E118),1)*IF(Upgrades!$T$7="First Photons",POWER(Upgrades!$U$7,F118),1)*IF(Upgrades!$T$8="First Photons",POWER(Upgrades!$U$8,G118),1)*IF(Upgrades!$T$9="First Photons",POWER(Upgrades!$U$9,H118),1)*IF(Upgrades!$T$10="First Photons",POWER(Upgrades!$U$10,I118),1)*IF(Upgrades!$T$11="First Photons",POWER(Upgrades!$U$11,J118),1))*POWER(Upgrades!$P$6,E118)*POWER(Upgrades!$P$7,F118)*POWER(Upgrades!$P$8,G118)*POWER(Upgrades!$P$9,H118)*POWER(Upgrades!$P$10,I118)*POWER(Upgrades!$P$11,J118)*POWER(Upgrades!$P$12,K118)*60</f>
        <v>75</v>
      </c>
      <c r="AF118" s="27" t="n">
        <f aca="false">Parameters!$B$9*POWER(Upgrades!$Q$6,E118)*POWER(Upgrades!$Q$7,F118)*POWER(Upgrades!$Q$8,G118)*POWER(Upgrades!$Q$9,H118)*POWER(Upgrades!$Q$10,I118)*POWER(Upgrades!$Q$11,J118)*POWER(Upgrades!$Q$12,K118)*(Parameters!$B$10*Parameters!$B$11+O118*60)</f>
        <v>120</v>
      </c>
      <c r="AG118" s="21" t="n">
        <f aca="false">IF(E118&gt;=Upgrades!$E$6,"",Upgrades!$C$6*POWER(Upgrades!$D$6,E118))</f>
        <v>37.4517507383159</v>
      </c>
      <c r="AH118" s="21" t="n">
        <f aca="false">IF(F118&gt;=Upgrades!$E$7,"",Upgrades!$C$7*POWER(Upgrades!$D$7,F118))</f>
        <v>80.9111547141581</v>
      </c>
      <c r="AI118" s="21" t="n">
        <f aca="false">IF(G118&gt;=Upgrades!$E$8,"",Upgrades!$C$8*POWER(Upgrades!$D$8,G118))</f>
        <v>231.9097088</v>
      </c>
      <c r="AJ118" s="21" t="str">
        <f aca="false">IF(H118&gt;=Upgrades!$E$9,"",Upgrades!$C$9*POWER(Upgrades!$D$9,H118))</f>
        <v/>
      </c>
      <c r="AK118" s="21" t="str">
        <f aca="false">IF(I118&gt;=Upgrades!$E$10,"",Upgrades!$C$10*POWER(Upgrades!$D$10,I118))</f>
        <v/>
      </c>
      <c r="AL118" s="21" t="str">
        <f aca="false">IF(J118&gt;=Upgrades!$E$11,"",Upgrades!$C$11*POWER(Upgrades!$D$11,J118))</f>
        <v/>
      </c>
      <c r="AM118" s="21" t="str">
        <f aca="false">IF(K118&gt;=Upgrades!$E$12,"",Upgrades!$C$12*POWER(Upgrades!$D$12,K118))</f>
        <v/>
      </c>
      <c r="AN118" s="26" t="str">
        <f aca="false">IF(AND(D118&gt;=Parameters!$B$18,(H118&gt;=Upgrades!$E$9)*(K118&gt;=Upgrades!$E$12)=1,L118=0),1,"")</f>
        <v/>
      </c>
      <c r="AO118" s="26" t="str">
        <f aca="false">IF(AND(D118&gt;=Parameters!$B$18,L118=0),1,"")</f>
        <v/>
      </c>
      <c r="AP118" s="21" t="n">
        <f aca="false">MIN(IF(ISNUMBER(AK118),AK118,9000000000000000),IF(ISNUMBER(AL118),AL118,9000000000000000),IF(ISNUMBER(AM118),AM118,9000000000000000))</f>
        <v>9000000000000000</v>
      </c>
      <c r="AQ118" s="21" t="n">
        <f aca="false">MIN(IF(ISNUMBER(AG118),AG118,9000000000000000),IF(ISNUMBER(AH118),AH118,9000000000000000),IF(ISNUMBER(AI118),AI118,9000000000000000),IF(ISNUMBER(AJ118),AJ118,9000000000000000))</f>
        <v>37.4517507383159</v>
      </c>
      <c r="AR118" s="32" t="b">
        <f aca="false">IF(AW118&gt;Parameters!$B$21*(MAX(IF(AND(NOT(AND(AO118=1,AN118&lt;&gt;1)),ISNUMBER(AG118),AG118&lt;=T118),AS118,0),IF(AND(NOT(AND(AO118=1,AN118&lt;&gt;1)),ISNUMBER(AH118),AH118&lt;=T118),AT118,0),IF(AND(NOT(AND(AO118=1,AN118&lt;&gt;1)),ISNUMBER(AI118),AI118&lt;=T118),AU118,0),IF(AND(ISNUMBER(AJ118),AJ118&lt;=T118),AV118,0))),TRUE(),FALSE())</f>
        <v>1</v>
      </c>
      <c r="AS118" s="33" t="n">
        <f aca="false">IFERROR(Upgrades!$H$6*(POWER(Upgrades!$P$6,E118)*POWER(Upgrades!$P$7,F118)*POWER(Upgrades!$P$8,G118)*POWER(Upgrades!$P$9,H118)*POWER(Upgrades!$P$10,I118)*POWER(Upgrades!$P$11,J118)*POWER(Upgrades!$P$12,K118))*(IF(Upgrades!$T$7="Solar Wind",POWER(Upgrades!$U$7,F118),1)*IF(Upgrades!$T$8="Solar Wind",POWER(Upgrades!$U$8,G118),1)*IF(Upgrades!$T$9="Solar Wind",POWER(Upgrades!$U$9,H118),1)*IF(Upgrades!$T$10="Solar Wind",POWER(Upgrades!$U$10,I118),1)*IF(Upgrades!$T$11="Solar Wind",POWER(Upgrades!$U$11,J118),1)*IF(Upgrades!$T$12="Solar Wind",POWER(Upgrades!$U$12,K118),1))/AG118,0)</f>
        <v>0.0026701021455238</v>
      </c>
      <c r="AT118" s="33" t="n">
        <f aca="false">IFERROR(Upgrades!$H$7*(POWER(Upgrades!$P$6,E118)*POWER(Upgrades!$P$7,F118)*POWER(Upgrades!$P$8,G118)*POWER(Upgrades!$P$9,H118)*POWER(Upgrades!$P$10,I118)*POWER(Upgrades!$P$11,J118)*POWER(Upgrades!$P$12,K118))*(IF(Upgrades!$T$6="Asteroid Belt",POWER(Upgrades!$U$6,E118),1)*IF(Upgrades!$T$8="Asteroid Belt",POWER(Upgrades!$U$8,G118),1)*IF(Upgrades!$T$9="Asteroid Belt",POWER(Upgrades!$U$9,H118),1)*IF(Upgrades!$T$10="Asteroid Belt",POWER(Upgrades!$U$10,I118),1)*IF(Upgrades!$T$11="Asteroid Belt",POWER(Upgrades!$U$11,J118),1)*IF(Upgrades!$T$12="Asteroid Belt",POWER(Upgrades!$U$12,K118),1))/AH118,0)</f>
        <v>0.00308980882652332</v>
      </c>
      <c r="AU118" s="33" t="n">
        <f aca="false">IFERROR(Upgrades!$K$8*(POWER(Upgrades!$Q$6,E118)*POWER(Upgrades!$Q$7,F118)*POWER(Upgrades!$Q$8,G118)*POWER(Upgrades!$Q$9,H118)*POWER(Upgrades!$Q$10,I118)*POWER(Upgrades!$Q$11,J118)*POWER(Upgrades!$Q$12,K118))*(IF(Upgrades!$T$6="Stellar Coupling",POWER(Upgrades!$U$6,E118),1)*IF(Upgrades!$T$7="Stellar Coupling",POWER(Upgrades!$U$7,F118),1)*IF(Upgrades!$T$9="Stellar Coupling",POWER(Upgrades!$U$9,H118),1)*IF(Upgrades!$T$10="Stellar Coupling",POWER(Upgrades!$U$10,I118),1)*IF(Upgrades!$T$11="Stellar Coupling",POWER(Upgrades!$U$11,J118),1)*IF(Upgrades!$T$12="Stellar Coupling",POWER(Upgrades!$U$12,K118),1))*Parameters!$B$10*Parameters!$B$11/60/AI118,0)</f>
        <v>0.00452762415783776</v>
      </c>
      <c r="AV118" s="33" t="n">
        <f aca="false">IFERROR(Upgrades!$H$9*(POWER(Upgrades!$P$6,E118)*POWER(Upgrades!$P$7,F118)*POWER(Upgrades!$P$8,G118)*POWER(Upgrades!$P$9,H118)*POWER(Upgrades!$P$10,I118)*POWER(Upgrades!$P$11,J118)*POWER(Upgrades!$P$12,K118))*(IF(Upgrades!$T$6="Magnetosphere",POWER(Upgrades!$U$6,E118),1)*IF(Upgrades!$T$7="Magnetosphere",POWER(Upgrades!$U$7,F118),1)*IF(Upgrades!$T$8="Magnetosphere",POWER(Upgrades!$U$8,G118),1)*IF(Upgrades!$T$10="Magnetosphere",POWER(Upgrades!$U$10,I118),1)*IF(Upgrades!$T$11="Magnetosphere",POWER(Upgrades!$U$11,J118),1)*IF(Upgrades!$T$12="Magnetosphere",POWER(Upgrades!$U$12,K118),1))/AJ118,0)</f>
        <v>0</v>
      </c>
      <c r="AW118" s="33" t="n">
        <f aca="false">MAX(IF(I118&gt;0,0,IFERROR(0.25*N118/Upgrades!$C$10,0)),IF(J118&gt;0,0,IFERROR(0.5*((IF(G118=0,0,(Upgrades!$J$8+G118*Upgrades!$K$8)*POWER(Upgrades!$L$8,G118)))*(IF(Upgrades!$T$6="Stellar Coupling",POWER(Upgrades!$U$6,E118),1)*IF(Upgrades!$T$7="Stellar Coupling",POWER(Upgrades!$U$7,F118),1)*IF(Upgrades!$T$9="Stellar Coupling",POWER(Upgrades!$U$9,H118),1)*IF(Upgrades!$T$10="Stellar Coupling",POWER(Upgrades!$U$10,I118),1)*IF(Upgrades!$T$11="Stellar Coupling",POWER(Upgrades!$U$11,J118),1)*IF(Upgrades!$T$12="Stellar Coupling",POWER(Upgrades!$U$12,K118),1))*(POWER(Upgrades!$Q$6,E118)*POWER(Upgrades!$Q$7,F118)*POWER(Upgrades!$Q$8,G118)*POWER(Upgrades!$Q$9,H118)*POWER(Upgrades!$Q$10,I118)*POWER(Upgrades!$Q$11,J118)*POWER(Upgrades!$Q$12,K118))*Parameters!$B$10*Parameters!$B$11/60)/Upgrades!$C$11,0)),IF(K118&gt;0,0,IFERROR((1*(POWER(Upgrades!$P$6,E118)*POWER(Upgrades!$P$7,F118)*POWER(Upgrades!$P$8,G118)*POWER(Upgrades!$P$9,H118)*POWER(Upgrades!$P$10,I118)*POWER(Upgrades!$P$11,J118)*POWER(Upgrades!$P$12,K118))+0.2*M118*Parameters!$B$10*Parameters!$B$11/60)/Upgrades!$C$12,0)),IF(AND(ISNUMBER(AG118),AG118&gt;T118),AS118,0),IF(AND(ISNUMBER(AH118),AH118&gt;T118),AT118,0),IF(AND(ISNUMBER(AI118),AI118&gt;T118),AU118,0),IF(AND(ISNUMBER(AJ118),AJ118&gt;T118),AV118,0))</f>
        <v>0.00452762415783776</v>
      </c>
      <c r="AX118" s="29" t="str">
        <f aca="false">IF(AN118=1,"transition",IF(MIN(IF(AND(I118=0,ISNUMBER(AK118),AK118&lt;=T118),AK118,9000000000000000),IF(AND(J118=0,ISNUMBER(AL118),AL118&lt;=T118),AL118,9000000000000000),IF(AND(K118=0,ISNUMBER(AM118),AM118&lt;=T118),AM118,9000000000000000))&lt;9000000000000000,IF(AND(AND(I118=0,ISNUMBER(AK118),AK118&lt;=T118),AK118=MIN(IF(AND(I118=0,ISNUMBER(AK118),AK118&lt;=T118),AK118,9000000000000000),IF(AND(J118=0,ISNUMBER(AL118),AL118&lt;=T118),AL118,9000000000000000),IF(AND(K118=0,ISNUMBER(AM118),AM118&lt;=T118),AM118,9000000000000000))),"OR",IF(AND(AND(J118=0,ISNUMBER(AL118),AL118&lt;=T118),AL118=MIN(IF(AND(I118=0,ISNUMBER(AK118),AK118&lt;=T118),AK118,9000000000000000),IF(AND(J118=0,ISNUMBER(AL118),AL118&lt;=T118),AL118,9000000000000000),IF(AND(K118=0,ISNUMBER(AM118),AM118&lt;=T118),AM118,9000000000000000))),"HP","FP")),IF(AR118=TRUE(),"",IF(MAX(IF(AND(NOT(AND(AO118=1,AN118&lt;&gt;1)),ISNUMBER(AG118),AG118&lt;=T118),AS118,0),IF(AND(NOT(AND(AO118=1,AN118&lt;&gt;1)),ISNUMBER(AH118),AH118&lt;=T118),AT118,0),IF(AND(NOT(AND(AO118=1,AN118&lt;&gt;1)),ISNUMBER(AI118),AI118&lt;=T118),AU118,0),IF(AND(ISNUMBER(AJ118),AJ118&lt;=T118),AV118,0))&lt;=0,"",IF(AND(IF(AND(NOT(AND(AO118=1,AN118&lt;&gt;1)),ISNUMBER(AG118),AG118&lt;=T118),AS118,0)&gt;0,IF(AND(NOT(AND(AO118=1,AN118&lt;&gt;1)),ISNUMBER(AG118),AG118&lt;=T118),AS118,0)=MAX(IF(AND(NOT(AND(AO118=1,AN118&lt;&gt;1)),ISNUMBER(AG118),AG118&lt;=T118),AS118,0),IF(AND(NOT(AND(AO118=1,AN118&lt;&gt;1)),ISNUMBER(AH118),AH118&lt;=T118),AT118,0),IF(AND(NOT(AND(AO118=1,AN118&lt;&gt;1)),ISNUMBER(AI118),AI118&lt;=T118),AU118,0),IF(AND(ISNUMBER(AJ118),AJ118&lt;=T118),AV118,0))),"SW",IF(AND(IF(AND(NOT(AND(AO118=1,AN118&lt;&gt;1)),ISNUMBER(AH118),AH118&lt;=T118),AT118,0)&gt;0,IF(AND(NOT(AND(AO118=1,AN118&lt;&gt;1)),ISNUMBER(AH118),AH118&lt;=T118),AT118,0)=MAX(IF(AND(NOT(AND(AO118=1,AN118&lt;&gt;1)),ISNUMBER(AG118),AG118&lt;=T118),AS118,0),IF(AND(NOT(AND(AO118=1,AN118&lt;&gt;1)),ISNUMBER(AH118),AH118&lt;=T118),AT118,0),IF(AND(NOT(AND(AO118=1,AN118&lt;&gt;1)),ISNUMBER(AI118),AI118&lt;=T118),AU118,0),IF(AND(ISNUMBER(AJ118),AJ118&lt;=T118),AV118,0))),"AB",IF(AND(IF(AND(NOT(AND(AO118=1,AN118&lt;&gt;1)),ISNUMBER(AI118),AI118&lt;=T118),AU118,0)&gt;0,IF(AND(NOT(AND(AO118=1,AN118&lt;&gt;1)),ISNUMBER(AI118),AI118&lt;=T118),AU118,0)=MAX(IF(AND(NOT(AND(AO118=1,AN118&lt;&gt;1)),ISNUMBER(AG118),AG118&lt;=T118),AS118,0),IF(AND(NOT(AND(AO118=1,AN118&lt;&gt;1)),ISNUMBER(AH118),AH118&lt;=T118),AT118,0),IF(AND(NOT(AND(AO118=1,AN118&lt;&gt;1)),ISNUMBER(AI118),AI118&lt;=T118),AU118,0),IF(AND(ISNUMBER(AJ118),AJ118&lt;=T118),AV118,0))),"SC","Mag")))))))</f>
        <v/>
      </c>
    </row>
    <row r="119" customFormat="false" ht="15" hidden="false" customHeight="false" outlineLevel="0" collapsed="false">
      <c r="A119" s="26" t="n">
        <v>114</v>
      </c>
      <c r="B119" s="27" t="n">
        <f aca="false">A119*10/60</f>
        <v>19</v>
      </c>
      <c r="C119" s="21" t="n">
        <f aca="false">X118</f>
        <v>18.6730249835055</v>
      </c>
      <c r="D119" s="27" t="n">
        <f aca="false">D118+W118</f>
        <v>0</v>
      </c>
      <c r="E119" s="26" t="n">
        <f aca="false">E118+IF(U118="SW",1,0)</f>
        <v>12</v>
      </c>
      <c r="F119" s="26" t="n">
        <f aca="false">F118+IF(U118="AB",1,0)</f>
        <v>10</v>
      </c>
      <c r="G119" s="26" t="n">
        <f aca="false">G118+IF(U118="SC",1,0)</f>
        <v>7</v>
      </c>
      <c r="H119" s="26" t="n">
        <f aca="false">H118+IF(U118="Mag",1,0)</f>
        <v>5</v>
      </c>
      <c r="I119" s="26" t="n">
        <f aca="false">MAX(I118,IF(U118="OR",1,0))</f>
        <v>1</v>
      </c>
      <c r="J119" s="26" t="n">
        <f aca="false">MAX(J118,IF(U118="HP",1,0))</f>
        <v>1</v>
      </c>
      <c r="K119" s="26" t="n">
        <f aca="false">MAX(K118,IF(U118="FP",1,0))</f>
        <v>1</v>
      </c>
      <c r="L119" s="26" t="n">
        <f aca="false">MAX(L118,IF(U118="transition",1,0))</f>
        <v>1</v>
      </c>
      <c r="M119" s="28" t="n">
        <f aca="false">(Parameters!$B$9+(IF(E119=0,0,(Upgrades!$J$6+E119*Upgrades!$K$6)*POWER(Upgrades!$L$6,E119)))*(IF(Upgrades!$T$7="Solar Wind",POWER(Upgrades!$U$7,F119),1)*IF(Upgrades!$T$8="Solar Wind",POWER(Upgrades!$U$8,G119),1)*IF(Upgrades!$T$9="Solar Wind",POWER(Upgrades!$U$9,H119),1)*IF(Upgrades!$T$10="Solar Wind",POWER(Upgrades!$U$10,I119),1)*IF(Upgrades!$T$11="Solar Wind",POWER(Upgrades!$U$11,J119),1)*IF(Upgrades!$T$12="Solar Wind",POWER(Upgrades!$U$12,K119),1))+(IF(F119=0,0,(Upgrades!$J$7+F119*Upgrades!$K$7)*POWER(Upgrades!$L$7,F119)))*(IF(Upgrades!$T$6="Asteroid Belt",POWER(Upgrades!$U$6,E119),1)*IF(Upgrades!$T$8="Asteroid Belt",POWER(Upgrades!$U$8,G119),1)*IF(Upgrades!$T$9="Asteroid Belt",POWER(Upgrades!$U$9,H119),1)*IF(Upgrades!$T$10="Asteroid Belt",POWER(Upgrades!$U$10,I119),1)*IF(Upgrades!$T$11="Asteroid Belt",POWER(Upgrades!$U$11,J119),1)*IF(Upgrades!$T$12="Asteroid Belt",POWER(Upgrades!$U$12,K119),1))+(IF(G119=0,0,(Upgrades!$J$8+G119*Upgrades!$K$8)*POWER(Upgrades!$L$8,G119)))*(IF(Upgrades!$T$6="Stellar Coupling",POWER(Upgrades!$U$6,E119),1)*IF(Upgrades!$T$7="Stellar Coupling",POWER(Upgrades!$U$7,F119),1)*IF(Upgrades!$T$9="Stellar Coupling",POWER(Upgrades!$U$9,H119),1)*IF(Upgrades!$T$10="Stellar Coupling",POWER(Upgrades!$U$10,I119),1)*IF(Upgrades!$T$11="Stellar Coupling",POWER(Upgrades!$U$11,J119),1)*IF(Upgrades!$T$12="Stellar Coupling",POWER(Upgrades!$U$12,K119),1))+(IF(H119=0,0,(Upgrades!$J$9+H119*Upgrades!$K$9)*POWER(Upgrades!$L$9,H119)))*(IF(Upgrades!$T$6="Magnetosphere",POWER(Upgrades!$U$6,E119),1)*IF(Upgrades!$T$7="Magnetosphere",POWER(Upgrades!$U$7,F119),1)*IF(Upgrades!$T$8="Magnetosphere",POWER(Upgrades!$U$8,G119),1)*IF(Upgrades!$T$10="Magnetosphere",POWER(Upgrades!$U$10,I119),1)*IF(Upgrades!$T$11="Magnetosphere",POWER(Upgrades!$U$11,J119),1)*IF(Upgrades!$T$12="Magnetosphere",POWER(Upgrades!$U$12,K119),1))+(IF(I119=0,0,(Upgrades!$J$10+I119*Upgrades!$K$10)*POWER(Upgrades!$L$10,I119)))*(IF(Upgrades!$T$6="Orbital Resonance",POWER(Upgrades!$U$6,E119),1)*IF(Upgrades!$T$7="Orbital Resonance",POWER(Upgrades!$U$7,F119),1)*IF(Upgrades!$T$8="Orbital Resonance",POWER(Upgrades!$U$8,G119),1)*IF(Upgrades!$T$9="Orbital Resonance",POWER(Upgrades!$U$9,H119),1)*IF(Upgrades!$T$11="Orbital Resonance",POWER(Upgrades!$U$11,J119),1)*IF(Upgrades!$T$12="Orbital Resonance",POWER(Upgrades!$U$12,K119),1))+(IF(J119=0,0,(Upgrades!$J$11+J119*Upgrades!$K$11)*POWER(Upgrades!$L$11,J119)))*(IF(Upgrades!$T$6="Heliopause",POWER(Upgrades!$U$6,E119),1)*IF(Upgrades!$T$7="Heliopause",POWER(Upgrades!$U$7,F119),1)*IF(Upgrades!$T$8="Heliopause",POWER(Upgrades!$U$8,G119),1)*IF(Upgrades!$T$9="Heliopause",POWER(Upgrades!$U$9,H119),1)*IF(Upgrades!$T$10="Heliopause",POWER(Upgrades!$U$10,I119),1)*IF(Upgrades!$T$12="Heliopause",POWER(Upgrades!$U$12,K119),1))+(IF(K119=0,0,(Upgrades!$J$12+K119*Upgrades!$K$12)*POWER(Upgrades!$L$12,K119)))*(IF(Upgrades!$T$6="First Photons",POWER(Upgrades!$U$6,E119),1)*IF(Upgrades!$T$7="First Photons",POWER(Upgrades!$U$7,F119),1)*IF(Upgrades!$T$8="First Photons",POWER(Upgrades!$U$8,G119),1)*IF(Upgrades!$T$9="First Photons",POWER(Upgrades!$U$9,H119),1)*IF(Upgrades!$T$10="First Photons",POWER(Upgrades!$U$10,I119),1)*IF(Upgrades!$T$11="First Photons",POWER(Upgrades!$U$11,J119),1)))*POWER(Upgrades!$Q$6,E119)*POWER(Upgrades!$Q$7,F119)*POWER(Upgrades!$Q$8,G119)*POWER(Upgrades!$Q$9,H119)*POWER(Upgrades!$Q$10,I119)*POWER(Upgrades!$Q$11,J119)*POWER(Upgrades!$Q$12,K119)</f>
        <v>5.61</v>
      </c>
      <c r="N119" s="28" t="n">
        <f aca="false">((IF(E119=0,0,(Upgrades!$G$6+E119*Upgrades!$H$6)*POWER(Upgrades!$I$6,E119)))*(IF(Upgrades!$T$7="Solar Wind",POWER(Upgrades!$U$7,F119),1)*IF(Upgrades!$T$8="Solar Wind",POWER(Upgrades!$U$8,G119),1)*IF(Upgrades!$T$9="Solar Wind",POWER(Upgrades!$U$9,H119),1)*IF(Upgrades!$T$10="Solar Wind",POWER(Upgrades!$U$10,I119),1)*IF(Upgrades!$T$11="Solar Wind",POWER(Upgrades!$U$11,J119),1)*IF(Upgrades!$T$12="Solar Wind",POWER(Upgrades!$U$12,K119),1))+(IF(F119=0,0,(Upgrades!$G$7+F119*Upgrades!$H$7)*POWER(Upgrades!$I$7,F119)))*(IF(Upgrades!$T$6="Asteroid Belt",POWER(Upgrades!$U$6,E119),1)*IF(Upgrades!$T$8="Asteroid Belt",POWER(Upgrades!$U$8,G119),1)*IF(Upgrades!$T$9="Asteroid Belt",POWER(Upgrades!$U$9,H119),1)*IF(Upgrades!$T$10="Asteroid Belt",POWER(Upgrades!$U$10,I119),1)*IF(Upgrades!$T$11="Asteroid Belt",POWER(Upgrades!$U$11,J119),1)*IF(Upgrades!$T$12="Asteroid Belt",POWER(Upgrades!$U$12,K119),1))+(IF(G119=0,0,(Upgrades!$G$8+G119*Upgrades!$H$8)*POWER(Upgrades!$I$8,G119)))*(IF(Upgrades!$T$6="Stellar Coupling",POWER(Upgrades!$U$6,E119),1)*IF(Upgrades!$T$7="Stellar Coupling",POWER(Upgrades!$U$7,F119),1)*IF(Upgrades!$T$9="Stellar Coupling",POWER(Upgrades!$U$9,H119),1)*IF(Upgrades!$T$10="Stellar Coupling",POWER(Upgrades!$U$10,I119),1)*IF(Upgrades!$T$11="Stellar Coupling",POWER(Upgrades!$U$11,J119),1)*IF(Upgrades!$T$12="Stellar Coupling",POWER(Upgrades!$U$12,K119),1))+(IF(H119=0,0,(Upgrades!$G$9+H119*Upgrades!$H$9)*POWER(Upgrades!$I$9,H119)))*(IF(Upgrades!$T$6="Magnetosphere",POWER(Upgrades!$U$6,E119),1)*IF(Upgrades!$T$7="Magnetosphere",POWER(Upgrades!$U$7,F119),1)*IF(Upgrades!$T$8="Magnetosphere",POWER(Upgrades!$U$8,G119),1)*IF(Upgrades!$T$10="Magnetosphere",POWER(Upgrades!$U$10,I119),1)*IF(Upgrades!$T$11="Magnetosphere",POWER(Upgrades!$U$11,J119),1)*IF(Upgrades!$T$12="Magnetosphere",POWER(Upgrades!$U$12,K119),1))+(IF(I119=0,0,(Upgrades!$G$10+I119*Upgrades!$H$10)*POWER(Upgrades!$I$10,I119)))*(IF(Upgrades!$T$6="Orbital Resonance",POWER(Upgrades!$U$6,E119),1)*IF(Upgrades!$T$7="Orbital Resonance",POWER(Upgrades!$U$7,F119),1)*IF(Upgrades!$T$8="Orbital Resonance",POWER(Upgrades!$U$8,G119),1)*IF(Upgrades!$T$9="Orbital Resonance",POWER(Upgrades!$U$9,H119),1)*IF(Upgrades!$T$11="Orbital Resonance",POWER(Upgrades!$U$11,J119),1)*IF(Upgrades!$T$12="Orbital Resonance",POWER(Upgrades!$U$12,K119),1))+(IF(J119=0,0,(Upgrades!$G$11+J119*Upgrades!$H$11)*POWER(Upgrades!$I$11,J119)))*(IF(Upgrades!$T$6="Heliopause",POWER(Upgrades!$U$6,E119),1)*IF(Upgrades!$T$7="Heliopause",POWER(Upgrades!$U$7,F119),1)*IF(Upgrades!$T$8="Heliopause",POWER(Upgrades!$U$8,G119),1)*IF(Upgrades!$T$9="Heliopause",POWER(Upgrades!$U$9,H119),1)*IF(Upgrades!$T$10="Heliopause",POWER(Upgrades!$U$10,I119),1)*IF(Upgrades!$T$12="Heliopause",POWER(Upgrades!$U$12,K119),1))+(IF(K119=0,0,(Upgrades!$G$12+K119*Upgrades!$H$12)*POWER(Upgrades!$I$12,K119)))*(IF(Upgrades!$T$6="First Photons",POWER(Upgrades!$U$6,E119),1)*IF(Upgrades!$T$7="First Photons",POWER(Upgrades!$U$7,F119),1)*IF(Upgrades!$T$8="First Photons",POWER(Upgrades!$U$8,G119),1)*IF(Upgrades!$T$9="First Photons",POWER(Upgrades!$U$9,H119),1)*IF(Upgrades!$T$10="First Photons",POWER(Upgrades!$U$10,I119),1)*IF(Upgrades!$T$11="First Photons",POWER(Upgrades!$U$11,J119),1)))*POWER(Upgrades!$P$6,E119)*POWER(Upgrades!$P$7,F119)*POWER(Upgrades!$P$8,G119)*POWER(Upgrades!$P$9,H119)*POWER(Upgrades!$P$10,I119)*POWER(Upgrades!$P$11,J119)*POWER(Upgrades!$P$12,K119)</f>
        <v>11.2</v>
      </c>
      <c r="O119" s="28" t="n">
        <f aca="false">((IF(E119=0,0,(Upgrades!$M$6+E119*Upgrades!$N$6)*POWER(Upgrades!$O$6,E119)))*(IF(Upgrades!$T$7="Solar Wind",POWER(Upgrades!$U$7,F119),1)*IF(Upgrades!$T$8="Solar Wind",POWER(Upgrades!$U$8,G119),1)*IF(Upgrades!$T$9="Solar Wind",POWER(Upgrades!$U$9,H119),1)*IF(Upgrades!$T$10="Solar Wind",POWER(Upgrades!$U$10,I119),1)*IF(Upgrades!$T$11="Solar Wind",POWER(Upgrades!$U$11,J119),1)*IF(Upgrades!$T$12="Solar Wind",POWER(Upgrades!$U$12,K119),1))+(IF(F119=0,0,(Upgrades!$M$7+F119*Upgrades!$N$7)*POWER(Upgrades!$O$7,F119)))*(IF(Upgrades!$T$6="Asteroid Belt",POWER(Upgrades!$U$6,E119),1)*IF(Upgrades!$T$8="Asteroid Belt",POWER(Upgrades!$U$8,G119),1)*IF(Upgrades!$T$9="Asteroid Belt",POWER(Upgrades!$U$9,H119),1)*IF(Upgrades!$T$10="Asteroid Belt",POWER(Upgrades!$U$10,I119),1)*IF(Upgrades!$T$11="Asteroid Belt",POWER(Upgrades!$U$11,J119),1)*IF(Upgrades!$T$12="Asteroid Belt",POWER(Upgrades!$U$12,K119),1))+(IF(G119=0,0,(Upgrades!$M$8+G119*Upgrades!$N$8)*POWER(Upgrades!$O$8,G119)))*(IF(Upgrades!$T$6="Stellar Coupling",POWER(Upgrades!$U$6,E119),1)*IF(Upgrades!$T$7="Stellar Coupling",POWER(Upgrades!$U$7,F119),1)*IF(Upgrades!$T$9="Stellar Coupling",POWER(Upgrades!$U$9,H119),1)*IF(Upgrades!$T$10="Stellar Coupling",POWER(Upgrades!$U$10,I119),1)*IF(Upgrades!$T$11="Stellar Coupling",POWER(Upgrades!$U$11,J119),1)*IF(Upgrades!$T$12="Stellar Coupling",POWER(Upgrades!$U$12,K119),1))+(IF(H119=0,0,(Upgrades!$M$9+H119*Upgrades!$N$9)*POWER(Upgrades!$O$9,H119)))*(IF(Upgrades!$T$6="Magnetosphere",POWER(Upgrades!$U$6,E119),1)*IF(Upgrades!$T$7="Magnetosphere",POWER(Upgrades!$U$7,F119),1)*IF(Upgrades!$T$8="Magnetosphere",POWER(Upgrades!$U$8,G119),1)*IF(Upgrades!$T$10="Magnetosphere",POWER(Upgrades!$U$10,I119),1)*IF(Upgrades!$T$11="Magnetosphere",POWER(Upgrades!$U$11,J119),1)*IF(Upgrades!$T$12="Magnetosphere",POWER(Upgrades!$U$12,K119),1))+(IF(I119=0,0,(Upgrades!$M$10+I119*Upgrades!$N$10)*POWER(Upgrades!$O$10,I119)))*(IF(Upgrades!$T$6="Orbital Resonance",POWER(Upgrades!$U$6,E119),1)*IF(Upgrades!$T$7="Orbital Resonance",POWER(Upgrades!$U$7,F119),1)*IF(Upgrades!$T$8="Orbital Resonance",POWER(Upgrades!$U$8,G119),1)*IF(Upgrades!$T$9="Orbital Resonance",POWER(Upgrades!$U$9,H119),1)*IF(Upgrades!$T$11="Orbital Resonance",POWER(Upgrades!$U$11,J119),1)*IF(Upgrades!$T$12="Orbital Resonance",POWER(Upgrades!$U$12,K119),1))+(IF(J119=0,0,(Upgrades!$M$11+J119*Upgrades!$N$11)*POWER(Upgrades!$O$11,J119)))*(IF(Upgrades!$T$6="Heliopause",POWER(Upgrades!$U$6,E119),1)*IF(Upgrades!$T$7="Heliopause",POWER(Upgrades!$U$7,F119),1)*IF(Upgrades!$T$8="Heliopause",POWER(Upgrades!$U$8,G119),1)*IF(Upgrades!$T$9="Heliopause",POWER(Upgrades!$U$9,H119),1)*IF(Upgrades!$T$10="Heliopause",POWER(Upgrades!$U$10,I119),1)*IF(Upgrades!$T$12="Heliopause",POWER(Upgrades!$U$12,K119),1))+(IF(K119=0,0,(Upgrades!$M$12+K119*Upgrades!$N$12)*POWER(Upgrades!$O$12,K119)))*(IF(Upgrades!$T$6="First Photons",POWER(Upgrades!$U$6,E119),1)*IF(Upgrades!$T$7="First Photons",POWER(Upgrades!$U$7,F119),1)*IF(Upgrades!$T$8="First Photons",POWER(Upgrades!$U$8,G119),1)*IF(Upgrades!$T$9="First Photons",POWER(Upgrades!$U$9,H119),1)*IF(Upgrades!$T$10="First Photons",POWER(Upgrades!$U$10,I119),1)*IF(Upgrades!$T$11="First Photons",POWER(Upgrades!$U$11,J119),1)))*POWER(Upgrades!$R$6,E119)*POWER(Upgrades!$R$7,F119)*POWER(Upgrades!$R$8,G119)*POWER(Upgrades!$R$9,H119)*POWER(Upgrades!$R$10,I119)*POWER(Upgrades!$R$11,J119)*POWER(Upgrades!$R$12,K119)</f>
        <v>0</v>
      </c>
      <c r="P119" s="27" t="n">
        <f aca="false">IF(L119=1,0,M119*Parameters!$B$10/60*Parameters!$B$11*10)</f>
        <v>0</v>
      </c>
      <c r="Q119" s="27" t="n">
        <f aca="false">IF(L119=1,0,O119*M119*10)</f>
        <v>0</v>
      </c>
      <c r="R119" s="27" t="n">
        <f aca="false">IF(L119=1,0,N119*10)</f>
        <v>0</v>
      </c>
      <c r="S119" s="27" t="n">
        <f aca="false">P119+Q119+R119</f>
        <v>0</v>
      </c>
      <c r="T119" s="21" t="n">
        <f aca="false">C119+S119</f>
        <v>18.6730249835055</v>
      </c>
      <c r="U119" s="34" t="str">
        <f aca="false">AX119</f>
        <v/>
      </c>
      <c r="V119" s="21" t="n">
        <f aca="false">IF(U119="",0,IF(U119="transition",0,IF(U119="SW",AG119,IF(U119="AB",AH119,IF(U119="SC",AI119,IF(U119="Mag",AJ119,IF(U119="OR",AK119,IF(U119="HP",AL119,IF(U119="FP",AM119,0)))))))))</f>
        <v>0</v>
      </c>
      <c r="W119" s="27" t="n">
        <f aca="false">IF(U119="OR",Upgrades!$F$10,IF(U119="HP",Upgrades!$F$11,IF(U119="transition",-Parameters!$B$18,0)))</f>
        <v>0</v>
      </c>
      <c r="X119" s="21" t="n">
        <f aca="false">T119-V119</f>
        <v>18.6730249835055</v>
      </c>
      <c r="Y119" s="30" t="n">
        <f aca="false">M119*Parameters!$B$10/60*Parameters!$B$11+O119*M119+N119</f>
        <v>20.55</v>
      </c>
      <c r="Z119" s="35" t="str">
        <f aca="false">IF(U119="transition","→ Tier 2 (Stellar Neighborhood)",IF(U119="FP","First Photons — light begins, system quickens",IF(U119="HP","Heliopause acquired",IF(U119="OR","Orbital Resonance — passive multiplier active",IF(AND(AO119=1,L119=0,AN119&lt;&gt;1),"Cohesion ready (waiting on completionist upgrades)","")))))</f>
        <v/>
      </c>
      <c r="AA119" s="27" t="n">
        <f aca="false">(IF(E119=0,0,(Upgrades!$G$6+E119*Upgrades!$H$6)*POWER(Upgrades!$I$6,E119)))*(IF(Upgrades!$T$7="Solar Wind",POWER(Upgrades!$U$7,F119),1)*IF(Upgrades!$T$8="Solar Wind",POWER(Upgrades!$U$8,G119),1)*IF(Upgrades!$T$9="Solar Wind",POWER(Upgrades!$U$9,H119),1)*IF(Upgrades!$T$10="Solar Wind",POWER(Upgrades!$U$10,I119),1)*IF(Upgrades!$T$11="Solar Wind",POWER(Upgrades!$U$11,J119),1)*IF(Upgrades!$T$12="Solar Wind",POWER(Upgrades!$U$12,K119),1))*POWER(Upgrades!$P$6,E119)*POWER(Upgrades!$P$7,F119)*POWER(Upgrades!$P$8,G119)*POWER(Upgrades!$P$9,H119)*POWER(Upgrades!$P$10,I119)*POWER(Upgrades!$P$11,J119)*POWER(Upgrades!$P$12,K119)*60</f>
        <v>72</v>
      </c>
      <c r="AB119" s="27" t="n">
        <f aca="false">(IF(F119=0,0,(Upgrades!$G$7+F119*Upgrades!$H$7)*POWER(Upgrades!$I$7,F119)))*(IF(Upgrades!$T$6="Asteroid Belt",POWER(Upgrades!$U$6,E119),1)*IF(Upgrades!$T$8="Asteroid Belt",POWER(Upgrades!$U$8,G119),1)*IF(Upgrades!$T$9="Asteroid Belt",POWER(Upgrades!$U$9,H119),1)*IF(Upgrades!$T$10="Asteroid Belt",POWER(Upgrades!$U$10,I119),1)*IF(Upgrades!$T$11="Asteroid Belt",POWER(Upgrades!$U$11,J119),1)*IF(Upgrades!$T$12="Asteroid Belt",POWER(Upgrades!$U$12,K119),1))*POWER(Upgrades!$P$6,E119)*POWER(Upgrades!$P$7,F119)*POWER(Upgrades!$P$8,G119)*POWER(Upgrades!$P$9,H119)*POWER(Upgrades!$P$10,I119)*POWER(Upgrades!$P$11,J119)*POWER(Upgrades!$P$12,K119)*60</f>
        <v>150</v>
      </c>
      <c r="AC119" s="27" t="n">
        <f aca="false">(IF(G119=0,0,(Upgrades!$J$8+G119*Upgrades!$K$8)*POWER(Upgrades!$L$8,G119)))*(IF(Upgrades!$T$6="Stellar Coupling",POWER(Upgrades!$U$6,E119),1)*IF(Upgrades!$T$7="Stellar Coupling",POWER(Upgrades!$U$7,F119),1)*IF(Upgrades!$T$9="Stellar Coupling",POWER(Upgrades!$U$9,H119),1)*IF(Upgrades!$T$10="Stellar Coupling",POWER(Upgrades!$U$10,I119),1)*IF(Upgrades!$T$11="Stellar Coupling",POWER(Upgrades!$U$11,J119),1)*IF(Upgrades!$T$12="Stellar Coupling",POWER(Upgrades!$U$12,K119),1))*POWER(Upgrades!$Q$6,E119)*POWER(Upgrades!$Q$7,F119)*POWER(Upgrades!$Q$8,G119)*POWER(Upgrades!$Q$9,H119)*POWER(Upgrades!$Q$10,I119)*POWER(Upgrades!$Q$11,J119)*POWER(Upgrades!$Q$12,K119)*Parameters!$B$10*Parameters!$B$11</f>
        <v>441</v>
      </c>
      <c r="AD119" s="27" t="n">
        <f aca="false">(IF(H119=0,0,(Upgrades!$G$9+H119*Upgrades!$H$9)*POWER(Upgrades!$I$9,H119)))*(IF(Upgrades!$T$6="Magnetosphere",POWER(Upgrades!$U$6,E119),1)*IF(Upgrades!$T$7="Magnetosphere",POWER(Upgrades!$U$7,F119),1)*IF(Upgrades!$T$8="Magnetosphere",POWER(Upgrades!$U$8,G119),1)*IF(Upgrades!$T$10="Magnetosphere",POWER(Upgrades!$U$10,I119),1)*IF(Upgrades!$T$11="Magnetosphere",POWER(Upgrades!$U$11,J119),1)*IF(Upgrades!$T$12="Magnetosphere",POWER(Upgrades!$U$12,K119),1))*POWER(Upgrades!$P$6,E119)*POWER(Upgrades!$P$7,F119)*POWER(Upgrades!$P$8,G119)*POWER(Upgrades!$P$9,H119)*POWER(Upgrades!$P$10,I119)*POWER(Upgrades!$P$11,J119)*POWER(Upgrades!$P$12,K119)*60</f>
        <v>375</v>
      </c>
      <c r="AE119" s="27" t="n">
        <f aca="false">(IF(K119=0,0,(Upgrades!$G$12+K119*Upgrades!$H$12)*POWER(Upgrades!$I$12,K119)))*(IF(Upgrades!$T$6="First Photons",POWER(Upgrades!$U$6,E119),1)*IF(Upgrades!$T$7="First Photons",POWER(Upgrades!$U$7,F119),1)*IF(Upgrades!$T$8="First Photons",POWER(Upgrades!$U$8,G119),1)*IF(Upgrades!$T$9="First Photons",POWER(Upgrades!$U$9,H119),1)*IF(Upgrades!$T$10="First Photons",POWER(Upgrades!$U$10,I119),1)*IF(Upgrades!$T$11="First Photons",POWER(Upgrades!$U$11,J119),1))*POWER(Upgrades!$P$6,E119)*POWER(Upgrades!$P$7,F119)*POWER(Upgrades!$P$8,G119)*POWER(Upgrades!$P$9,H119)*POWER(Upgrades!$P$10,I119)*POWER(Upgrades!$P$11,J119)*POWER(Upgrades!$P$12,K119)*60</f>
        <v>75</v>
      </c>
      <c r="AF119" s="27" t="n">
        <f aca="false">Parameters!$B$9*POWER(Upgrades!$Q$6,E119)*POWER(Upgrades!$Q$7,F119)*POWER(Upgrades!$Q$8,G119)*POWER(Upgrades!$Q$9,H119)*POWER(Upgrades!$Q$10,I119)*POWER(Upgrades!$Q$11,J119)*POWER(Upgrades!$Q$12,K119)*(Parameters!$B$10*Parameters!$B$11+O119*60)</f>
        <v>120</v>
      </c>
      <c r="AG119" s="21" t="n">
        <f aca="false">IF(E119&gt;=Upgrades!$E$6,"",Upgrades!$C$6*POWER(Upgrades!$D$6,E119))</f>
        <v>37.4517507383159</v>
      </c>
      <c r="AH119" s="21" t="n">
        <f aca="false">IF(F119&gt;=Upgrades!$E$7,"",Upgrades!$C$7*POWER(Upgrades!$D$7,F119))</f>
        <v>80.9111547141581</v>
      </c>
      <c r="AI119" s="21" t="n">
        <f aca="false">IF(G119&gt;=Upgrades!$E$8,"",Upgrades!$C$8*POWER(Upgrades!$D$8,G119))</f>
        <v>231.9097088</v>
      </c>
      <c r="AJ119" s="21" t="str">
        <f aca="false">IF(H119&gt;=Upgrades!$E$9,"",Upgrades!$C$9*POWER(Upgrades!$D$9,H119))</f>
        <v/>
      </c>
      <c r="AK119" s="21" t="str">
        <f aca="false">IF(I119&gt;=Upgrades!$E$10,"",Upgrades!$C$10*POWER(Upgrades!$D$10,I119))</f>
        <v/>
      </c>
      <c r="AL119" s="21" t="str">
        <f aca="false">IF(J119&gt;=Upgrades!$E$11,"",Upgrades!$C$11*POWER(Upgrades!$D$11,J119))</f>
        <v/>
      </c>
      <c r="AM119" s="21" t="str">
        <f aca="false">IF(K119&gt;=Upgrades!$E$12,"",Upgrades!$C$12*POWER(Upgrades!$D$12,K119))</f>
        <v/>
      </c>
      <c r="AN119" s="26" t="str">
        <f aca="false">IF(AND(D119&gt;=Parameters!$B$18,(H119&gt;=Upgrades!$E$9)*(K119&gt;=Upgrades!$E$12)=1,L119=0),1,"")</f>
        <v/>
      </c>
      <c r="AO119" s="26" t="str">
        <f aca="false">IF(AND(D119&gt;=Parameters!$B$18,L119=0),1,"")</f>
        <v/>
      </c>
      <c r="AP119" s="21" t="n">
        <f aca="false">MIN(IF(ISNUMBER(AK119),AK119,9000000000000000),IF(ISNUMBER(AL119),AL119,9000000000000000),IF(ISNUMBER(AM119),AM119,9000000000000000))</f>
        <v>9000000000000000</v>
      </c>
      <c r="AQ119" s="21" t="n">
        <f aca="false">MIN(IF(ISNUMBER(AG119),AG119,9000000000000000),IF(ISNUMBER(AH119),AH119,9000000000000000),IF(ISNUMBER(AI119),AI119,9000000000000000),IF(ISNUMBER(AJ119),AJ119,9000000000000000))</f>
        <v>37.4517507383159</v>
      </c>
      <c r="AR119" s="32" t="b">
        <f aca="false">IF(AW119&gt;Parameters!$B$21*(MAX(IF(AND(NOT(AND(AO119=1,AN119&lt;&gt;1)),ISNUMBER(AG119),AG119&lt;=T119),AS119,0),IF(AND(NOT(AND(AO119=1,AN119&lt;&gt;1)),ISNUMBER(AH119),AH119&lt;=T119),AT119,0),IF(AND(NOT(AND(AO119=1,AN119&lt;&gt;1)),ISNUMBER(AI119),AI119&lt;=T119),AU119,0),IF(AND(ISNUMBER(AJ119),AJ119&lt;=T119),AV119,0))),TRUE(),FALSE())</f>
        <v>1</v>
      </c>
      <c r="AS119" s="33" t="n">
        <f aca="false">IFERROR(Upgrades!$H$6*(POWER(Upgrades!$P$6,E119)*POWER(Upgrades!$P$7,F119)*POWER(Upgrades!$P$8,G119)*POWER(Upgrades!$P$9,H119)*POWER(Upgrades!$P$10,I119)*POWER(Upgrades!$P$11,J119)*POWER(Upgrades!$P$12,K119))*(IF(Upgrades!$T$7="Solar Wind",POWER(Upgrades!$U$7,F119),1)*IF(Upgrades!$T$8="Solar Wind",POWER(Upgrades!$U$8,G119),1)*IF(Upgrades!$T$9="Solar Wind",POWER(Upgrades!$U$9,H119),1)*IF(Upgrades!$T$10="Solar Wind",POWER(Upgrades!$U$10,I119),1)*IF(Upgrades!$T$11="Solar Wind",POWER(Upgrades!$U$11,J119),1)*IF(Upgrades!$T$12="Solar Wind",POWER(Upgrades!$U$12,K119),1))/AG119,0)</f>
        <v>0.0026701021455238</v>
      </c>
      <c r="AT119" s="33" t="n">
        <f aca="false">IFERROR(Upgrades!$H$7*(POWER(Upgrades!$P$6,E119)*POWER(Upgrades!$P$7,F119)*POWER(Upgrades!$P$8,G119)*POWER(Upgrades!$P$9,H119)*POWER(Upgrades!$P$10,I119)*POWER(Upgrades!$P$11,J119)*POWER(Upgrades!$P$12,K119))*(IF(Upgrades!$T$6="Asteroid Belt",POWER(Upgrades!$U$6,E119),1)*IF(Upgrades!$T$8="Asteroid Belt",POWER(Upgrades!$U$8,G119),1)*IF(Upgrades!$T$9="Asteroid Belt",POWER(Upgrades!$U$9,H119),1)*IF(Upgrades!$T$10="Asteroid Belt",POWER(Upgrades!$U$10,I119),1)*IF(Upgrades!$T$11="Asteroid Belt",POWER(Upgrades!$U$11,J119),1)*IF(Upgrades!$T$12="Asteroid Belt",POWER(Upgrades!$U$12,K119),1))/AH119,0)</f>
        <v>0.00308980882652332</v>
      </c>
      <c r="AU119" s="33" t="n">
        <f aca="false">IFERROR(Upgrades!$K$8*(POWER(Upgrades!$Q$6,E119)*POWER(Upgrades!$Q$7,F119)*POWER(Upgrades!$Q$8,G119)*POWER(Upgrades!$Q$9,H119)*POWER(Upgrades!$Q$10,I119)*POWER(Upgrades!$Q$11,J119)*POWER(Upgrades!$Q$12,K119))*(IF(Upgrades!$T$6="Stellar Coupling",POWER(Upgrades!$U$6,E119),1)*IF(Upgrades!$T$7="Stellar Coupling",POWER(Upgrades!$U$7,F119),1)*IF(Upgrades!$T$9="Stellar Coupling",POWER(Upgrades!$U$9,H119),1)*IF(Upgrades!$T$10="Stellar Coupling",POWER(Upgrades!$U$10,I119),1)*IF(Upgrades!$T$11="Stellar Coupling",POWER(Upgrades!$U$11,J119),1)*IF(Upgrades!$T$12="Stellar Coupling",POWER(Upgrades!$U$12,K119),1))*Parameters!$B$10*Parameters!$B$11/60/AI119,0)</f>
        <v>0.00452762415783776</v>
      </c>
      <c r="AV119" s="33" t="n">
        <f aca="false">IFERROR(Upgrades!$H$9*(POWER(Upgrades!$P$6,E119)*POWER(Upgrades!$P$7,F119)*POWER(Upgrades!$P$8,G119)*POWER(Upgrades!$P$9,H119)*POWER(Upgrades!$P$10,I119)*POWER(Upgrades!$P$11,J119)*POWER(Upgrades!$P$12,K119))*(IF(Upgrades!$T$6="Magnetosphere",POWER(Upgrades!$U$6,E119),1)*IF(Upgrades!$T$7="Magnetosphere",POWER(Upgrades!$U$7,F119),1)*IF(Upgrades!$T$8="Magnetosphere",POWER(Upgrades!$U$8,G119),1)*IF(Upgrades!$T$10="Magnetosphere",POWER(Upgrades!$U$10,I119),1)*IF(Upgrades!$T$11="Magnetosphere",POWER(Upgrades!$U$11,J119),1)*IF(Upgrades!$T$12="Magnetosphere",POWER(Upgrades!$U$12,K119),1))/AJ119,0)</f>
        <v>0</v>
      </c>
      <c r="AW119" s="33" t="n">
        <f aca="false">MAX(IF(I119&gt;0,0,IFERROR(0.25*N119/Upgrades!$C$10,0)),IF(J119&gt;0,0,IFERROR(0.5*((IF(G119=0,0,(Upgrades!$J$8+G119*Upgrades!$K$8)*POWER(Upgrades!$L$8,G119)))*(IF(Upgrades!$T$6="Stellar Coupling",POWER(Upgrades!$U$6,E119),1)*IF(Upgrades!$T$7="Stellar Coupling",POWER(Upgrades!$U$7,F119),1)*IF(Upgrades!$T$9="Stellar Coupling",POWER(Upgrades!$U$9,H119),1)*IF(Upgrades!$T$10="Stellar Coupling",POWER(Upgrades!$U$10,I119),1)*IF(Upgrades!$T$11="Stellar Coupling",POWER(Upgrades!$U$11,J119),1)*IF(Upgrades!$T$12="Stellar Coupling",POWER(Upgrades!$U$12,K119),1))*(POWER(Upgrades!$Q$6,E119)*POWER(Upgrades!$Q$7,F119)*POWER(Upgrades!$Q$8,G119)*POWER(Upgrades!$Q$9,H119)*POWER(Upgrades!$Q$10,I119)*POWER(Upgrades!$Q$11,J119)*POWER(Upgrades!$Q$12,K119))*Parameters!$B$10*Parameters!$B$11/60)/Upgrades!$C$11,0)),IF(K119&gt;0,0,IFERROR((1*(POWER(Upgrades!$P$6,E119)*POWER(Upgrades!$P$7,F119)*POWER(Upgrades!$P$8,G119)*POWER(Upgrades!$P$9,H119)*POWER(Upgrades!$P$10,I119)*POWER(Upgrades!$P$11,J119)*POWER(Upgrades!$P$12,K119))+0.2*M119*Parameters!$B$10*Parameters!$B$11/60)/Upgrades!$C$12,0)),IF(AND(ISNUMBER(AG119),AG119&gt;T119),AS119,0),IF(AND(ISNUMBER(AH119),AH119&gt;T119),AT119,0),IF(AND(ISNUMBER(AI119),AI119&gt;T119),AU119,0),IF(AND(ISNUMBER(AJ119),AJ119&gt;T119),AV119,0))</f>
        <v>0.00452762415783776</v>
      </c>
      <c r="AX119" s="29" t="str">
        <f aca="false">IF(AN119=1,"transition",IF(MIN(IF(AND(I119=0,ISNUMBER(AK119),AK119&lt;=T119),AK119,9000000000000000),IF(AND(J119=0,ISNUMBER(AL119),AL119&lt;=T119),AL119,9000000000000000),IF(AND(K119=0,ISNUMBER(AM119),AM119&lt;=T119),AM119,9000000000000000))&lt;9000000000000000,IF(AND(AND(I119=0,ISNUMBER(AK119),AK119&lt;=T119),AK119=MIN(IF(AND(I119=0,ISNUMBER(AK119),AK119&lt;=T119),AK119,9000000000000000),IF(AND(J119=0,ISNUMBER(AL119),AL119&lt;=T119),AL119,9000000000000000),IF(AND(K119=0,ISNUMBER(AM119),AM119&lt;=T119),AM119,9000000000000000))),"OR",IF(AND(AND(J119=0,ISNUMBER(AL119),AL119&lt;=T119),AL119=MIN(IF(AND(I119=0,ISNUMBER(AK119),AK119&lt;=T119),AK119,9000000000000000),IF(AND(J119=0,ISNUMBER(AL119),AL119&lt;=T119),AL119,9000000000000000),IF(AND(K119=0,ISNUMBER(AM119),AM119&lt;=T119),AM119,9000000000000000))),"HP","FP")),IF(AR119=TRUE(),"",IF(MAX(IF(AND(NOT(AND(AO119=1,AN119&lt;&gt;1)),ISNUMBER(AG119),AG119&lt;=T119),AS119,0),IF(AND(NOT(AND(AO119=1,AN119&lt;&gt;1)),ISNUMBER(AH119),AH119&lt;=T119),AT119,0),IF(AND(NOT(AND(AO119=1,AN119&lt;&gt;1)),ISNUMBER(AI119),AI119&lt;=T119),AU119,0),IF(AND(ISNUMBER(AJ119),AJ119&lt;=T119),AV119,0))&lt;=0,"",IF(AND(IF(AND(NOT(AND(AO119=1,AN119&lt;&gt;1)),ISNUMBER(AG119),AG119&lt;=T119),AS119,0)&gt;0,IF(AND(NOT(AND(AO119=1,AN119&lt;&gt;1)),ISNUMBER(AG119),AG119&lt;=T119),AS119,0)=MAX(IF(AND(NOT(AND(AO119=1,AN119&lt;&gt;1)),ISNUMBER(AG119),AG119&lt;=T119),AS119,0),IF(AND(NOT(AND(AO119=1,AN119&lt;&gt;1)),ISNUMBER(AH119),AH119&lt;=T119),AT119,0),IF(AND(NOT(AND(AO119=1,AN119&lt;&gt;1)),ISNUMBER(AI119),AI119&lt;=T119),AU119,0),IF(AND(ISNUMBER(AJ119),AJ119&lt;=T119),AV119,0))),"SW",IF(AND(IF(AND(NOT(AND(AO119=1,AN119&lt;&gt;1)),ISNUMBER(AH119),AH119&lt;=T119),AT119,0)&gt;0,IF(AND(NOT(AND(AO119=1,AN119&lt;&gt;1)),ISNUMBER(AH119),AH119&lt;=T119),AT119,0)=MAX(IF(AND(NOT(AND(AO119=1,AN119&lt;&gt;1)),ISNUMBER(AG119),AG119&lt;=T119),AS119,0),IF(AND(NOT(AND(AO119=1,AN119&lt;&gt;1)),ISNUMBER(AH119),AH119&lt;=T119),AT119,0),IF(AND(NOT(AND(AO119=1,AN119&lt;&gt;1)),ISNUMBER(AI119),AI119&lt;=T119),AU119,0),IF(AND(ISNUMBER(AJ119),AJ119&lt;=T119),AV119,0))),"AB",IF(AND(IF(AND(NOT(AND(AO119=1,AN119&lt;&gt;1)),ISNUMBER(AI119),AI119&lt;=T119),AU119,0)&gt;0,IF(AND(NOT(AND(AO119=1,AN119&lt;&gt;1)),ISNUMBER(AI119),AI119&lt;=T119),AU119,0)=MAX(IF(AND(NOT(AND(AO119=1,AN119&lt;&gt;1)),ISNUMBER(AG119),AG119&lt;=T119),AS119,0),IF(AND(NOT(AND(AO119=1,AN119&lt;&gt;1)),ISNUMBER(AH119),AH119&lt;=T119),AT119,0),IF(AND(NOT(AND(AO119=1,AN119&lt;&gt;1)),ISNUMBER(AI119),AI119&lt;=T119),AU119,0),IF(AND(ISNUMBER(AJ119),AJ119&lt;=T119),AV119,0))),"SC","Mag")))))))</f>
        <v/>
      </c>
    </row>
    <row r="120" customFormat="false" ht="15" hidden="false" customHeight="false" outlineLevel="0" collapsed="false">
      <c r="A120" s="26" t="n">
        <v>115</v>
      </c>
      <c r="B120" s="27" t="n">
        <f aca="false">A120*10/60</f>
        <v>19.1666666666667</v>
      </c>
      <c r="C120" s="21" t="n">
        <f aca="false">X119</f>
        <v>18.6730249835055</v>
      </c>
      <c r="D120" s="27" t="n">
        <f aca="false">D119+W119</f>
        <v>0</v>
      </c>
      <c r="E120" s="26" t="n">
        <f aca="false">E119+IF(U119="SW",1,0)</f>
        <v>12</v>
      </c>
      <c r="F120" s="26" t="n">
        <f aca="false">F119+IF(U119="AB",1,0)</f>
        <v>10</v>
      </c>
      <c r="G120" s="26" t="n">
        <f aca="false">G119+IF(U119="SC",1,0)</f>
        <v>7</v>
      </c>
      <c r="H120" s="26" t="n">
        <f aca="false">H119+IF(U119="Mag",1,0)</f>
        <v>5</v>
      </c>
      <c r="I120" s="26" t="n">
        <f aca="false">MAX(I119,IF(U119="OR",1,0))</f>
        <v>1</v>
      </c>
      <c r="J120" s="26" t="n">
        <f aca="false">MAX(J119,IF(U119="HP",1,0))</f>
        <v>1</v>
      </c>
      <c r="K120" s="26" t="n">
        <f aca="false">MAX(K119,IF(U119="FP",1,0))</f>
        <v>1</v>
      </c>
      <c r="L120" s="26" t="n">
        <f aca="false">MAX(L119,IF(U119="transition",1,0))</f>
        <v>1</v>
      </c>
      <c r="M120" s="28" t="n">
        <f aca="false">(Parameters!$B$9+(IF(E120=0,0,(Upgrades!$J$6+E120*Upgrades!$K$6)*POWER(Upgrades!$L$6,E120)))*(IF(Upgrades!$T$7="Solar Wind",POWER(Upgrades!$U$7,F120),1)*IF(Upgrades!$T$8="Solar Wind",POWER(Upgrades!$U$8,G120),1)*IF(Upgrades!$T$9="Solar Wind",POWER(Upgrades!$U$9,H120),1)*IF(Upgrades!$T$10="Solar Wind",POWER(Upgrades!$U$10,I120),1)*IF(Upgrades!$T$11="Solar Wind",POWER(Upgrades!$U$11,J120),1)*IF(Upgrades!$T$12="Solar Wind",POWER(Upgrades!$U$12,K120),1))+(IF(F120=0,0,(Upgrades!$J$7+F120*Upgrades!$K$7)*POWER(Upgrades!$L$7,F120)))*(IF(Upgrades!$T$6="Asteroid Belt",POWER(Upgrades!$U$6,E120),1)*IF(Upgrades!$T$8="Asteroid Belt",POWER(Upgrades!$U$8,G120),1)*IF(Upgrades!$T$9="Asteroid Belt",POWER(Upgrades!$U$9,H120),1)*IF(Upgrades!$T$10="Asteroid Belt",POWER(Upgrades!$U$10,I120),1)*IF(Upgrades!$T$11="Asteroid Belt",POWER(Upgrades!$U$11,J120),1)*IF(Upgrades!$T$12="Asteroid Belt",POWER(Upgrades!$U$12,K120),1))+(IF(G120=0,0,(Upgrades!$J$8+G120*Upgrades!$K$8)*POWER(Upgrades!$L$8,G120)))*(IF(Upgrades!$T$6="Stellar Coupling",POWER(Upgrades!$U$6,E120),1)*IF(Upgrades!$T$7="Stellar Coupling",POWER(Upgrades!$U$7,F120),1)*IF(Upgrades!$T$9="Stellar Coupling",POWER(Upgrades!$U$9,H120),1)*IF(Upgrades!$T$10="Stellar Coupling",POWER(Upgrades!$U$10,I120),1)*IF(Upgrades!$T$11="Stellar Coupling",POWER(Upgrades!$U$11,J120),1)*IF(Upgrades!$T$12="Stellar Coupling",POWER(Upgrades!$U$12,K120),1))+(IF(H120=0,0,(Upgrades!$J$9+H120*Upgrades!$K$9)*POWER(Upgrades!$L$9,H120)))*(IF(Upgrades!$T$6="Magnetosphere",POWER(Upgrades!$U$6,E120),1)*IF(Upgrades!$T$7="Magnetosphere",POWER(Upgrades!$U$7,F120),1)*IF(Upgrades!$T$8="Magnetosphere",POWER(Upgrades!$U$8,G120),1)*IF(Upgrades!$T$10="Magnetosphere",POWER(Upgrades!$U$10,I120),1)*IF(Upgrades!$T$11="Magnetosphere",POWER(Upgrades!$U$11,J120),1)*IF(Upgrades!$T$12="Magnetosphere",POWER(Upgrades!$U$12,K120),1))+(IF(I120=0,0,(Upgrades!$J$10+I120*Upgrades!$K$10)*POWER(Upgrades!$L$10,I120)))*(IF(Upgrades!$T$6="Orbital Resonance",POWER(Upgrades!$U$6,E120),1)*IF(Upgrades!$T$7="Orbital Resonance",POWER(Upgrades!$U$7,F120),1)*IF(Upgrades!$T$8="Orbital Resonance",POWER(Upgrades!$U$8,G120),1)*IF(Upgrades!$T$9="Orbital Resonance",POWER(Upgrades!$U$9,H120),1)*IF(Upgrades!$T$11="Orbital Resonance",POWER(Upgrades!$U$11,J120),1)*IF(Upgrades!$T$12="Orbital Resonance",POWER(Upgrades!$U$12,K120),1))+(IF(J120=0,0,(Upgrades!$J$11+J120*Upgrades!$K$11)*POWER(Upgrades!$L$11,J120)))*(IF(Upgrades!$T$6="Heliopause",POWER(Upgrades!$U$6,E120),1)*IF(Upgrades!$T$7="Heliopause",POWER(Upgrades!$U$7,F120),1)*IF(Upgrades!$T$8="Heliopause",POWER(Upgrades!$U$8,G120),1)*IF(Upgrades!$T$9="Heliopause",POWER(Upgrades!$U$9,H120),1)*IF(Upgrades!$T$10="Heliopause",POWER(Upgrades!$U$10,I120),1)*IF(Upgrades!$T$12="Heliopause",POWER(Upgrades!$U$12,K120),1))+(IF(K120=0,0,(Upgrades!$J$12+K120*Upgrades!$K$12)*POWER(Upgrades!$L$12,K120)))*(IF(Upgrades!$T$6="First Photons",POWER(Upgrades!$U$6,E120),1)*IF(Upgrades!$T$7="First Photons",POWER(Upgrades!$U$7,F120),1)*IF(Upgrades!$T$8="First Photons",POWER(Upgrades!$U$8,G120),1)*IF(Upgrades!$T$9="First Photons",POWER(Upgrades!$U$9,H120),1)*IF(Upgrades!$T$10="First Photons",POWER(Upgrades!$U$10,I120),1)*IF(Upgrades!$T$11="First Photons",POWER(Upgrades!$U$11,J120),1)))*POWER(Upgrades!$Q$6,E120)*POWER(Upgrades!$Q$7,F120)*POWER(Upgrades!$Q$8,G120)*POWER(Upgrades!$Q$9,H120)*POWER(Upgrades!$Q$10,I120)*POWER(Upgrades!$Q$11,J120)*POWER(Upgrades!$Q$12,K120)</f>
        <v>5.61</v>
      </c>
      <c r="N120" s="28" t="n">
        <f aca="false">((IF(E120=0,0,(Upgrades!$G$6+E120*Upgrades!$H$6)*POWER(Upgrades!$I$6,E120)))*(IF(Upgrades!$T$7="Solar Wind",POWER(Upgrades!$U$7,F120),1)*IF(Upgrades!$T$8="Solar Wind",POWER(Upgrades!$U$8,G120),1)*IF(Upgrades!$T$9="Solar Wind",POWER(Upgrades!$U$9,H120),1)*IF(Upgrades!$T$10="Solar Wind",POWER(Upgrades!$U$10,I120),1)*IF(Upgrades!$T$11="Solar Wind",POWER(Upgrades!$U$11,J120),1)*IF(Upgrades!$T$12="Solar Wind",POWER(Upgrades!$U$12,K120),1))+(IF(F120=0,0,(Upgrades!$G$7+F120*Upgrades!$H$7)*POWER(Upgrades!$I$7,F120)))*(IF(Upgrades!$T$6="Asteroid Belt",POWER(Upgrades!$U$6,E120),1)*IF(Upgrades!$T$8="Asteroid Belt",POWER(Upgrades!$U$8,G120),1)*IF(Upgrades!$T$9="Asteroid Belt",POWER(Upgrades!$U$9,H120),1)*IF(Upgrades!$T$10="Asteroid Belt",POWER(Upgrades!$U$10,I120),1)*IF(Upgrades!$T$11="Asteroid Belt",POWER(Upgrades!$U$11,J120),1)*IF(Upgrades!$T$12="Asteroid Belt",POWER(Upgrades!$U$12,K120),1))+(IF(G120=0,0,(Upgrades!$G$8+G120*Upgrades!$H$8)*POWER(Upgrades!$I$8,G120)))*(IF(Upgrades!$T$6="Stellar Coupling",POWER(Upgrades!$U$6,E120),1)*IF(Upgrades!$T$7="Stellar Coupling",POWER(Upgrades!$U$7,F120),1)*IF(Upgrades!$T$9="Stellar Coupling",POWER(Upgrades!$U$9,H120),1)*IF(Upgrades!$T$10="Stellar Coupling",POWER(Upgrades!$U$10,I120),1)*IF(Upgrades!$T$11="Stellar Coupling",POWER(Upgrades!$U$11,J120),1)*IF(Upgrades!$T$12="Stellar Coupling",POWER(Upgrades!$U$12,K120),1))+(IF(H120=0,0,(Upgrades!$G$9+H120*Upgrades!$H$9)*POWER(Upgrades!$I$9,H120)))*(IF(Upgrades!$T$6="Magnetosphere",POWER(Upgrades!$U$6,E120),1)*IF(Upgrades!$T$7="Magnetosphere",POWER(Upgrades!$U$7,F120),1)*IF(Upgrades!$T$8="Magnetosphere",POWER(Upgrades!$U$8,G120),1)*IF(Upgrades!$T$10="Magnetosphere",POWER(Upgrades!$U$10,I120),1)*IF(Upgrades!$T$11="Magnetosphere",POWER(Upgrades!$U$11,J120),1)*IF(Upgrades!$T$12="Magnetosphere",POWER(Upgrades!$U$12,K120),1))+(IF(I120=0,0,(Upgrades!$G$10+I120*Upgrades!$H$10)*POWER(Upgrades!$I$10,I120)))*(IF(Upgrades!$T$6="Orbital Resonance",POWER(Upgrades!$U$6,E120),1)*IF(Upgrades!$T$7="Orbital Resonance",POWER(Upgrades!$U$7,F120),1)*IF(Upgrades!$T$8="Orbital Resonance",POWER(Upgrades!$U$8,G120),1)*IF(Upgrades!$T$9="Orbital Resonance",POWER(Upgrades!$U$9,H120),1)*IF(Upgrades!$T$11="Orbital Resonance",POWER(Upgrades!$U$11,J120),1)*IF(Upgrades!$T$12="Orbital Resonance",POWER(Upgrades!$U$12,K120),1))+(IF(J120=0,0,(Upgrades!$G$11+J120*Upgrades!$H$11)*POWER(Upgrades!$I$11,J120)))*(IF(Upgrades!$T$6="Heliopause",POWER(Upgrades!$U$6,E120),1)*IF(Upgrades!$T$7="Heliopause",POWER(Upgrades!$U$7,F120),1)*IF(Upgrades!$T$8="Heliopause",POWER(Upgrades!$U$8,G120),1)*IF(Upgrades!$T$9="Heliopause",POWER(Upgrades!$U$9,H120),1)*IF(Upgrades!$T$10="Heliopause",POWER(Upgrades!$U$10,I120),1)*IF(Upgrades!$T$12="Heliopause",POWER(Upgrades!$U$12,K120),1))+(IF(K120=0,0,(Upgrades!$G$12+K120*Upgrades!$H$12)*POWER(Upgrades!$I$12,K120)))*(IF(Upgrades!$T$6="First Photons",POWER(Upgrades!$U$6,E120),1)*IF(Upgrades!$T$7="First Photons",POWER(Upgrades!$U$7,F120),1)*IF(Upgrades!$T$8="First Photons",POWER(Upgrades!$U$8,G120),1)*IF(Upgrades!$T$9="First Photons",POWER(Upgrades!$U$9,H120),1)*IF(Upgrades!$T$10="First Photons",POWER(Upgrades!$U$10,I120),1)*IF(Upgrades!$T$11="First Photons",POWER(Upgrades!$U$11,J120),1)))*POWER(Upgrades!$P$6,E120)*POWER(Upgrades!$P$7,F120)*POWER(Upgrades!$P$8,G120)*POWER(Upgrades!$P$9,H120)*POWER(Upgrades!$P$10,I120)*POWER(Upgrades!$P$11,J120)*POWER(Upgrades!$P$12,K120)</f>
        <v>11.2</v>
      </c>
      <c r="O120" s="28" t="n">
        <f aca="false">((IF(E120=0,0,(Upgrades!$M$6+E120*Upgrades!$N$6)*POWER(Upgrades!$O$6,E120)))*(IF(Upgrades!$T$7="Solar Wind",POWER(Upgrades!$U$7,F120),1)*IF(Upgrades!$T$8="Solar Wind",POWER(Upgrades!$U$8,G120),1)*IF(Upgrades!$T$9="Solar Wind",POWER(Upgrades!$U$9,H120),1)*IF(Upgrades!$T$10="Solar Wind",POWER(Upgrades!$U$10,I120),1)*IF(Upgrades!$T$11="Solar Wind",POWER(Upgrades!$U$11,J120),1)*IF(Upgrades!$T$12="Solar Wind",POWER(Upgrades!$U$12,K120),1))+(IF(F120=0,0,(Upgrades!$M$7+F120*Upgrades!$N$7)*POWER(Upgrades!$O$7,F120)))*(IF(Upgrades!$T$6="Asteroid Belt",POWER(Upgrades!$U$6,E120),1)*IF(Upgrades!$T$8="Asteroid Belt",POWER(Upgrades!$U$8,G120),1)*IF(Upgrades!$T$9="Asteroid Belt",POWER(Upgrades!$U$9,H120),1)*IF(Upgrades!$T$10="Asteroid Belt",POWER(Upgrades!$U$10,I120),1)*IF(Upgrades!$T$11="Asteroid Belt",POWER(Upgrades!$U$11,J120),1)*IF(Upgrades!$T$12="Asteroid Belt",POWER(Upgrades!$U$12,K120),1))+(IF(G120=0,0,(Upgrades!$M$8+G120*Upgrades!$N$8)*POWER(Upgrades!$O$8,G120)))*(IF(Upgrades!$T$6="Stellar Coupling",POWER(Upgrades!$U$6,E120),1)*IF(Upgrades!$T$7="Stellar Coupling",POWER(Upgrades!$U$7,F120),1)*IF(Upgrades!$T$9="Stellar Coupling",POWER(Upgrades!$U$9,H120),1)*IF(Upgrades!$T$10="Stellar Coupling",POWER(Upgrades!$U$10,I120),1)*IF(Upgrades!$T$11="Stellar Coupling",POWER(Upgrades!$U$11,J120),1)*IF(Upgrades!$T$12="Stellar Coupling",POWER(Upgrades!$U$12,K120),1))+(IF(H120=0,0,(Upgrades!$M$9+H120*Upgrades!$N$9)*POWER(Upgrades!$O$9,H120)))*(IF(Upgrades!$T$6="Magnetosphere",POWER(Upgrades!$U$6,E120),1)*IF(Upgrades!$T$7="Magnetosphere",POWER(Upgrades!$U$7,F120),1)*IF(Upgrades!$T$8="Magnetosphere",POWER(Upgrades!$U$8,G120),1)*IF(Upgrades!$T$10="Magnetosphere",POWER(Upgrades!$U$10,I120),1)*IF(Upgrades!$T$11="Magnetosphere",POWER(Upgrades!$U$11,J120),1)*IF(Upgrades!$T$12="Magnetosphere",POWER(Upgrades!$U$12,K120),1))+(IF(I120=0,0,(Upgrades!$M$10+I120*Upgrades!$N$10)*POWER(Upgrades!$O$10,I120)))*(IF(Upgrades!$T$6="Orbital Resonance",POWER(Upgrades!$U$6,E120),1)*IF(Upgrades!$T$7="Orbital Resonance",POWER(Upgrades!$U$7,F120),1)*IF(Upgrades!$T$8="Orbital Resonance",POWER(Upgrades!$U$8,G120),1)*IF(Upgrades!$T$9="Orbital Resonance",POWER(Upgrades!$U$9,H120),1)*IF(Upgrades!$T$11="Orbital Resonance",POWER(Upgrades!$U$11,J120),1)*IF(Upgrades!$T$12="Orbital Resonance",POWER(Upgrades!$U$12,K120),1))+(IF(J120=0,0,(Upgrades!$M$11+J120*Upgrades!$N$11)*POWER(Upgrades!$O$11,J120)))*(IF(Upgrades!$T$6="Heliopause",POWER(Upgrades!$U$6,E120),1)*IF(Upgrades!$T$7="Heliopause",POWER(Upgrades!$U$7,F120),1)*IF(Upgrades!$T$8="Heliopause",POWER(Upgrades!$U$8,G120),1)*IF(Upgrades!$T$9="Heliopause",POWER(Upgrades!$U$9,H120),1)*IF(Upgrades!$T$10="Heliopause",POWER(Upgrades!$U$10,I120),1)*IF(Upgrades!$T$12="Heliopause",POWER(Upgrades!$U$12,K120),1))+(IF(K120=0,0,(Upgrades!$M$12+K120*Upgrades!$N$12)*POWER(Upgrades!$O$12,K120)))*(IF(Upgrades!$T$6="First Photons",POWER(Upgrades!$U$6,E120),1)*IF(Upgrades!$T$7="First Photons",POWER(Upgrades!$U$7,F120),1)*IF(Upgrades!$T$8="First Photons",POWER(Upgrades!$U$8,G120),1)*IF(Upgrades!$T$9="First Photons",POWER(Upgrades!$U$9,H120),1)*IF(Upgrades!$T$10="First Photons",POWER(Upgrades!$U$10,I120),1)*IF(Upgrades!$T$11="First Photons",POWER(Upgrades!$U$11,J120),1)))*POWER(Upgrades!$R$6,E120)*POWER(Upgrades!$R$7,F120)*POWER(Upgrades!$R$8,G120)*POWER(Upgrades!$R$9,H120)*POWER(Upgrades!$R$10,I120)*POWER(Upgrades!$R$11,J120)*POWER(Upgrades!$R$12,K120)</f>
        <v>0</v>
      </c>
      <c r="P120" s="27" t="n">
        <f aca="false">IF(L120=1,0,M120*Parameters!$B$10/60*Parameters!$B$11*10)</f>
        <v>0</v>
      </c>
      <c r="Q120" s="27" t="n">
        <f aca="false">IF(L120=1,0,O120*M120*10)</f>
        <v>0</v>
      </c>
      <c r="R120" s="27" t="n">
        <f aca="false">IF(L120=1,0,N120*10)</f>
        <v>0</v>
      </c>
      <c r="S120" s="27" t="n">
        <f aca="false">P120+Q120+R120</f>
        <v>0</v>
      </c>
      <c r="T120" s="21" t="n">
        <f aca="false">C120+S120</f>
        <v>18.6730249835055</v>
      </c>
      <c r="U120" s="34" t="str">
        <f aca="false">AX120</f>
        <v/>
      </c>
      <c r="V120" s="21" t="n">
        <f aca="false">IF(U120="",0,IF(U120="transition",0,IF(U120="SW",AG120,IF(U120="AB",AH120,IF(U120="SC",AI120,IF(U120="Mag",AJ120,IF(U120="OR",AK120,IF(U120="HP",AL120,IF(U120="FP",AM120,0)))))))))</f>
        <v>0</v>
      </c>
      <c r="W120" s="27" t="n">
        <f aca="false">IF(U120="OR",Upgrades!$F$10,IF(U120="HP",Upgrades!$F$11,IF(U120="transition",-Parameters!$B$18,0)))</f>
        <v>0</v>
      </c>
      <c r="X120" s="21" t="n">
        <f aca="false">T120-V120</f>
        <v>18.6730249835055</v>
      </c>
      <c r="Y120" s="30" t="n">
        <f aca="false">M120*Parameters!$B$10/60*Parameters!$B$11+O120*M120+N120</f>
        <v>20.55</v>
      </c>
      <c r="Z120" s="35" t="str">
        <f aca="false">IF(U120="transition","→ Tier 2 (Stellar Neighborhood)",IF(U120="FP","First Photons — light begins, system quickens",IF(U120="HP","Heliopause acquired",IF(U120="OR","Orbital Resonance — passive multiplier active",IF(AND(AO120=1,L120=0,AN120&lt;&gt;1),"Cohesion ready (waiting on completionist upgrades)","")))))</f>
        <v/>
      </c>
      <c r="AA120" s="27" t="n">
        <f aca="false">(IF(E120=0,0,(Upgrades!$G$6+E120*Upgrades!$H$6)*POWER(Upgrades!$I$6,E120)))*(IF(Upgrades!$T$7="Solar Wind",POWER(Upgrades!$U$7,F120),1)*IF(Upgrades!$T$8="Solar Wind",POWER(Upgrades!$U$8,G120),1)*IF(Upgrades!$T$9="Solar Wind",POWER(Upgrades!$U$9,H120),1)*IF(Upgrades!$T$10="Solar Wind",POWER(Upgrades!$U$10,I120),1)*IF(Upgrades!$T$11="Solar Wind",POWER(Upgrades!$U$11,J120),1)*IF(Upgrades!$T$12="Solar Wind",POWER(Upgrades!$U$12,K120),1))*POWER(Upgrades!$P$6,E120)*POWER(Upgrades!$P$7,F120)*POWER(Upgrades!$P$8,G120)*POWER(Upgrades!$P$9,H120)*POWER(Upgrades!$P$10,I120)*POWER(Upgrades!$P$11,J120)*POWER(Upgrades!$P$12,K120)*60</f>
        <v>72</v>
      </c>
      <c r="AB120" s="27" t="n">
        <f aca="false">(IF(F120=0,0,(Upgrades!$G$7+F120*Upgrades!$H$7)*POWER(Upgrades!$I$7,F120)))*(IF(Upgrades!$T$6="Asteroid Belt",POWER(Upgrades!$U$6,E120),1)*IF(Upgrades!$T$8="Asteroid Belt",POWER(Upgrades!$U$8,G120),1)*IF(Upgrades!$T$9="Asteroid Belt",POWER(Upgrades!$U$9,H120),1)*IF(Upgrades!$T$10="Asteroid Belt",POWER(Upgrades!$U$10,I120),1)*IF(Upgrades!$T$11="Asteroid Belt",POWER(Upgrades!$U$11,J120),1)*IF(Upgrades!$T$12="Asteroid Belt",POWER(Upgrades!$U$12,K120),1))*POWER(Upgrades!$P$6,E120)*POWER(Upgrades!$P$7,F120)*POWER(Upgrades!$P$8,G120)*POWER(Upgrades!$P$9,H120)*POWER(Upgrades!$P$10,I120)*POWER(Upgrades!$P$11,J120)*POWER(Upgrades!$P$12,K120)*60</f>
        <v>150</v>
      </c>
      <c r="AC120" s="27" t="n">
        <f aca="false">(IF(G120=0,0,(Upgrades!$J$8+G120*Upgrades!$K$8)*POWER(Upgrades!$L$8,G120)))*(IF(Upgrades!$T$6="Stellar Coupling",POWER(Upgrades!$U$6,E120),1)*IF(Upgrades!$T$7="Stellar Coupling",POWER(Upgrades!$U$7,F120),1)*IF(Upgrades!$T$9="Stellar Coupling",POWER(Upgrades!$U$9,H120),1)*IF(Upgrades!$T$10="Stellar Coupling",POWER(Upgrades!$U$10,I120),1)*IF(Upgrades!$T$11="Stellar Coupling",POWER(Upgrades!$U$11,J120),1)*IF(Upgrades!$T$12="Stellar Coupling",POWER(Upgrades!$U$12,K120),1))*POWER(Upgrades!$Q$6,E120)*POWER(Upgrades!$Q$7,F120)*POWER(Upgrades!$Q$8,G120)*POWER(Upgrades!$Q$9,H120)*POWER(Upgrades!$Q$10,I120)*POWER(Upgrades!$Q$11,J120)*POWER(Upgrades!$Q$12,K120)*Parameters!$B$10*Parameters!$B$11</f>
        <v>441</v>
      </c>
      <c r="AD120" s="27" t="n">
        <f aca="false">(IF(H120=0,0,(Upgrades!$G$9+H120*Upgrades!$H$9)*POWER(Upgrades!$I$9,H120)))*(IF(Upgrades!$T$6="Magnetosphere",POWER(Upgrades!$U$6,E120),1)*IF(Upgrades!$T$7="Magnetosphere",POWER(Upgrades!$U$7,F120),1)*IF(Upgrades!$T$8="Magnetosphere",POWER(Upgrades!$U$8,G120),1)*IF(Upgrades!$T$10="Magnetosphere",POWER(Upgrades!$U$10,I120),1)*IF(Upgrades!$T$11="Magnetosphere",POWER(Upgrades!$U$11,J120),1)*IF(Upgrades!$T$12="Magnetosphere",POWER(Upgrades!$U$12,K120),1))*POWER(Upgrades!$P$6,E120)*POWER(Upgrades!$P$7,F120)*POWER(Upgrades!$P$8,G120)*POWER(Upgrades!$P$9,H120)*POWER(Upgrades!$P$10,I120)*POWER(Upgrades!$P$11,J120)*POWER(Upgrades!$P$12,K120)*60</f>
        <v>375</v>
      </c>
      <c r="AE120" s="27" t="n">
        <f aca="false">(IF(K120=0,0,(Upgrades!$G$12+K120*Upgrades!$H$12)*POWER(Upgrades!$I$12,K120)))*(IF(Upgrades!$T$6="First Photons",POWER(Upgrades!$U$6,E120),1)*IF(Upgrades!$T$7="First Photons",POWER(Upgrades!$U$7,F120),1)*IF(Upgrades!$T$8="First Photons",POWER(Upgrades!$U$8,G120),1)*IF(Upgrades!$T$9="First Photons",POWER(Upgrades!$U$9,H120),1)*IF(Upgrades!$T$10="First Photons",POWER(Upgrades!$U$10,I120),1)*IF(Upgrades!$T$11="First Photons",POWER(Upgrades!$U$11,J120),1))*POWER(Upgrades!$P$6,E120)*POWER(Upgrades!$P$7,F120)*POWER(Upgrades!$P$8,G120)*POWER(Upgrades!$P$9,H120)*POWER(Upgrades!$P$10,I120)*POWER(Upgrades!$P$11,J120)*POWER(Upgrades!$P$12,K120)*60</f>
        <v>75</v>
      </c>
      <c r="AF120" s="27" t="n">
        <f aca="false">Parameters!$B$9*POWER(Upgrades!$Q$6,E120)*POWER(Upgrades!$Q$7,F120)*POWER(Upgrades!$Q$8,G120)*POWER(Upgrades!$Q$9,H120)*POWER(Upgrades!$Q$10,I120)*POWER(Upgrades!$Q$11,J120)*POWER(Upgrades!$Q$12,K120)*(Parameters!$B$10*Parameters!$B$11+O120*60)</f>
        <v>120</v>
      </c>
      <c r="AG120" s="21" t="n">
        <f aca="false">IF(E120&gt;=Upgrades!$E$6,"",Upgrades!$C$6*POWER(Upgrades!$D$6,E120))</f>
        <v>37.4517507383159</v>
      </c>
      <c r="AH120" s="21" t="n">
        <f aca="false">IF(F120&gt;=Upgrades!$E$7,"",Upgrades!$C$7*POWER(Upgrades!$D$7,F120))</f>
        <v>80.9111547141581</v>
      </c>
      <c r="AI120" s="21" t="n">
        <f aca="false">IF(G120&gt;=Upgrades!$E$8,"",Upgrades!$C$8*POWER(Upgrades!$D$8,G120))</f>
        <v>231.9097088</v>
      </c>
      <c r="AJ120" s="21" t="str">
        <f aca="false">IF(H120&gt;=Upgrades!$E$9,"",Upgrades!$C$9*POWER(Upgrades!$D$9,H120))</f>
        <v/>
      </c>
      <c r="AK120" s="21" t="str">
        <f aca="false">IF(I120&gt;=Upgrades!$E$10,"",Upgrades!$C$10*POWER(Upgrades!$D$10,I120))</f>
        <v/>
      </c>
      <c r="AL120" s="21" t="str">
        <f aca="false">IF(J120&gt;=Upgrades!$E$11,"",Upgrades!$C$11*POWER(Upgrades!$D$11,J120))</f>
        <v/>
      </c>
      <c r="AM120" s="21" t="str">
        <f aca="false">IF(K120&gt;=Upgrades!$E$12,"",Upgrades!$C$12*POWER(Upgrades!$D$12,K120))</f>
        <v/>
      </c>
      <c r="AN120" s="26" t="str">
        <f aca="false">IF(AND(D120&gt;=Parameters!$B$18,(H120&gt;=Upgrades!$E$9)*(K120&gt;=Upgrades!$E$12)=1,L120=0),1,"")</f>
        <v/>
      </c>
      <c r="AO120" s="26" t="str">
        <f aca="false">IF(AND(D120&gt;=Parameters!$B$18,L120=0),1,"")</f>
        <v/>
      </c>
      <c r="AP120" s="21" t="n">
        <f aca="false">MIN(IF(ISNUMBER(AK120),AK120,9000000000000000),IF(ISNUMBER(AL120),AL120,9000000000000000),IF(ISNUMBER(AM120),AM120,9000000000000000))</f>
        <v>9000000000000000</v>
      </c>
      <c r="AQ120" s="21" t="n">
        <f aca="false">MIN(IF(ISNUMBER(AG120),AG120,9000000000000000),IF(ISNUMBER(AH120),AH120,9000000000000000),IF(ISNUMBER(AI120),AI120,9000000000000000),IF(ISNUMBER(AJ120),AJ120,9000000000000000))</f>
        <v>37.4517507383159</v>
      </c>
      <c r="AR120" s="32" t="b">
        <f aca="false">IF(AW120&gt;Parameters!$B$21*(MAX(IF(AND(NOT(AND(AO120=1,AN120&lt;&gt;1)),ISNUMBER(AG120),AG120&lt;=T120),AS120,0),IF(AND(NOT(AND(AO120=1,AN120&lt;&gt;1)),ISNUMBER(AH120),AH120&lt;=T120),AT120,0),IF(AND(NOT(AND(AO120=1,AN120&lt;&gt;1)),ISNUMBER(AI120),AI120&lt;=T120),AU120,0),IF(AND(ISNUMBER(AJ120),AJ120&lt;=T120),AV120,0))),TRUE(),FALSE())</f>
        <v>1</v>
      </c>
      <c r="AS120" s="33" t="n">
        <f aca="false">IFERROR(Upgrades!$H$6*(POWER(Upgrades!$P$6,E120)*POWER(Upgrades!$P$7,F120)*POWER(Upgrades!$P$8,G120)*POWER(Upgrades!$P$9,H120)*POWER(Upgrades!$P$10,I120)*POWER(Upgrades!$P$11,J120)*POWER(Upgrades!$P$12,K120))*(IF(Upgrades!$T$7="Solar Wind",POWER(Upgrades!$U$7,F120),1)*IF(Upgrades!$T$8="Solar Wind",POWER(Upgrades!$U$8,G120),1)*IF(Upgrades!$T$9="Solar Wind",POWER(Upgrades!$U$9,H120),1)*IF(Upgrades!$T$10="Solar Wind",POWER(Upgrades!$U$10,I120),1)*IF(Upgrades!$T$11="Solar Wind",POWER(Upgrades!$U$11,J120),1)*IF(Upgrades!$T$12="Solar Wind",POWER(Upgrades!$U$12,K120),1))/AG120,0)</f>
        <v>0.0026701021455238</v>
      </c>
      <c r="AT120" s="33" t="n">
        <f aca="false">IFERROR(Upgrades!$H$7*(POWER(Upgrades!$P$6,E120)*POWER(Upgrades!$P$7,F120)*POWER(Upgrades!$P$8,G120)*POWER(Upgrades!$P$9,H120)*POWER(Upgrades!$P$10,I120)*POWER(Upgrades!$P$11,J120)*POWER(Upgrades!$P$12,K120))*(IF(Upgrades!$T$6="Asteroid Belt",POWER(Upgrades!$U$6,E120),1)*IF(Upgrades!$T$8="Asteroid Belt",POWER(Upgrades!$U$8,G120),1)*IF(Upgrades!$T$9="Asteroid Belt",POWER(Upgrades!$U$9,H120),1)*IF(Upgrades!$T$10="Asteroid Belt",POWER(Upgrades!$U$10,I120),1)*IF(Upgrades!$T$11="Asteroid Belt",POWER(Upgrades!$U$11,J120),1)*IF(Upgrades!$T$12="Asteroid Belt",POWER(Upgrades!$U$12,K120),1))/AH120,0)</f>
        <v>0.00308980882652332</v>
      </c>
      <c r="AU120" s="33" t="n">
        <f aca="false">IFERROR(Upgrades!$K$8*(POWER(Upgrades!$Q$6,E120)*POWER(Upgrades!$Q$7,F120)*POWER(Upgrades!$Q$8,G120)*POWER(Upgrades!$Q$9,H120)*POWER(Upgrades!$Q$10,I120)*POWER(Upgrades!$Q$11,J120)*POWER(Upgrades!$Q$12,K120))*(IF(Upgrades!$T$6="Stellar Coupling",POWER(Upgrades!$U$6,E120),1)*IF(Upgrades!$T$7="Stellar Coupling",POWER(Upgrades!$U$7,F120),1)*IF(Upgrades!$T$9="Stellar Coupling",POWER(Upgrades!$U$9,H120),1)*IF(Upgrades!$T$10="Stellar Coupling",POWER(Upgrades!$U$10,I120),1)*IF(Upgrades!$T$11="Stellar Coupling",POWER(Upgrades!$U$11,J120),1)*IF(Upgrades!$T$12="Stellar Coupling",POWER(Upgrades!$U$12,K120),1))*Parameters!$B$10*Parameters!$B$11/60/AI120,0)</f>
        <v>0.00452762415783776</v>
      </c>
      <c r="AV120" s="33" t="n">
        <f aca="false">IFERROR(Upgrades!$H$9*(POWER(Upgrades!$P$6,E120)*POWER(Upgrades!$P$7,F120)*POWER(Upgrades!$P$8,G120)*POWER(Upgrades!$P$9,H120)*POWER(Upgrades!$P$10,I120)*POWER(Upgrades!$P$11,J120)*POWER(Upgrades!$P$12,K120))*(IF(Upgrades!$T$6="Magnetosphere",POWER(Upgrades!$U$6,E120),1)*IF(Upgrades!$T$7="Magnetosphere",POWER(Upgrades!$U$7,F120),1)*IF(Upgrades!$T$8="Magnetosphere",POWER(Upgrades!$U$8,G120),1)*IF(Upgrades!$T$10="Magnetosphere",POWER(Upgrades!$U$10,I120),1)*IF(Upgrades!$T$11="Magnetosphere",POWER(Upgrades!$U$11,J120),1)*IF(Upgrades!$T$12="Magnetosphere",POWER(Upgrades!$U$12,K120),1))/AJ120,0)</f>
        <v>0</v>
      </c>
      <c r="AW120" s="33" t="n">
        <f aca="false">MAX(IF(I120&gt;0,0,IFERROR(0.25*N120/Upgrades!$C$10,0)),IF(J120&gt;0,0,IFERROR(0.5*((IF(G120=0,0,(Upgrades!$J$8+G120*Upgrades!$K$8)*POWER(Upgrades!$L$8,G120)))*(IF(Upgrades!$T$6="Stellar Coupling",POWER(Upgrades!$U$6,E120),1)*IF(Upgrades!$T$7="Stellar Coupling",POWER(Upgrades!$U$7,F120),1)*IF(Upgrades!$T$9="Stellar Coupling",POWER(Upgrades!$U$9,H120),1)*IF(Upgrades!$T$10="Stellar Coupling",POWER(Upgrades!$U$10,I120),1)*IF(Upgrades!$T$11="Stellar Coupling",POWER(Upgrades!$U$11,J120),1)*IF(Upgrades!$T$12="Stellar Coupling",POWER(Upgrades!$U$12,K120),1))*(POWER(Upgrades!$Q$6,E120)*POWER(Upgrades!$Q$7,F120)*POWER(Upgrades!$Q$8,G120)*POWER(Upgrades!$Q$9,H120)*POWER(Upgrades!$Q$10,I120)*POWER(Upgrades!$Q$11,J120)*POWER(Upgrades!$Q$12,K120))*Parameters!$B$10*Parameters!$B$11/60)/Upgrades!$C$11,0)),IF(K120&gt;0,0,IFERROR((1*(POWER(Upgrades!$P$6,E120)*POWER(Upgrades!$P$7,F120)*POWER(Upgrades!$P$8,G120)*POWER(Upgrades!$P$9,H120)*POWER(Upgrades!$P$10,I120)*POWER(Upgrades!$P$11,J120)*POWER(Upgrades!$P$12,K120))+0.2*M120*Parameters!$B$10*Parameters!$B$11/60)/Upgrades!$C$12,0)),IF(AND(ISNUMBER(AG120),AG120&gt;T120),AS120,0),IF(AND(ISNUMBER(AH120),AH120&gt;T120),AT120,0),IF(AND(ISNUMBER(AI120),AI120&gt;T120),AU120,0),IF(AND(ISNUMBER(AJ120),AJ120&gt;T120),AV120,0))</f>
        <v>0.00452762415783776</v>
      </c>
      <c r="AX120" s="29" t="str">
        <f aca="false">IF(AN120=1,"transition",IF(MIN(IF(AND(I120=0,ISNUMBER(AK120),AK120&lt;=T120),AK120,9000000000000000),IF(AND(J120=0,ISNUMBER(AL120),AL120&lt;=T120),AL120,9000000000000000),IF(AND(K120=0,ISNUMBER(AM120),AM120&lt;=T120),AM120,9000000000000000))&lt;9000000000000000,IF(AND(AND(I120=0,ISNUMBER(AK120),AK120&lt;=T120),AK120=MIN(IF(AND(I120=0,ISNUMBER(AK120),AK120&lt;=T120),AK120,9000000000000000),IF(AND(J120=0,ISNUMBER(AL120),AL120&lt;=T120),AL120,9000000000000000),IF(AND(K120=0,ISNUMBER(AM120),AM120&lt;=T120),AM120,9000000000000000))),"OR",IF(AND(AND(J120=0,ISNUMBER(AL120),AL120&lt;=T120),AL120=MIN(IF(AND(I120=0,ISNUMBER(AK120),AK120&lt;=T120),AK120,9000000000000000),IF(AND(J120=0,ISNUMBER(AL120),AL120&lt;=T120),AL120,9000000000000000),IF(AND(K120=0,ISNUMBER(AM120),AM120&lt;=T120),AM120,9000000000000000))),"HP","FP")),IF(AR120=TRUE(),"",IF(MAX(IF(AND(NOT(AND(AO120=1,AN120&lt;&gt;1)),ISNUMBER(AG120),AG120&lt;=T120),AS120,0),IF(AND(NOT(AND(AO120=1,AN120&lt;&gt;1)),ISNUMBER(AH120),AH120&lt;=T120),AT120,0),IF(AND(NOT(AND(AO120=1,AN120&lt;&gt;1)),ISNUMBER(AI120),AI120&lt;=T120),AU120,0),IF(AND(ISNUMBER(AJ120),AJ120&lt;=T120),AV120,0))&lt;=0,"",IF(AND(IF(AND(NOT(AND(AO120=1,AN120&lt;&gt;1)),ISNUMBER(AG120),AG120&lt;=T120),AS120,0)&gt;0,IF(AND(NOT(AND(AO120=1,AN120&lt;&gt;1)),ISNUMBER(AG120),AG120&lt;=T120),AS120,0)=MAX(IF(AND(NOT(AND(AO120=1,AN120&lt;&gt;1)),ISNUMBER(AG120),AG120&lt;=T120),AS120,0),IF(AND(NOT(AND(AO120=1,AN120&lt;&gt;1)),ISNUMBER(AH120),AH120&lt;=T120),AT120,0),IF(AND(NOT(AND(AO120=1,AN120&lt;&gt;1)),ISNUMBER(AI120),AI120&lt;=T120),AU120,0),IF(AND(ISNUMBER(AJ120),AJ120&lt;=T120),AV120,0))),"SW",IF(AND(IF(AND(NOT(AND(AO120=1,AN120&lt;&gt;1)),ISNUMBER(AH120),AH120&lt;=T120),AT120,0)&gt;0,IF(AND(NOT(AND(AO120=1,AN120&lt;&gt;1)),ISNUMBER(AH120),AH120&lt;=T120),AT120,0)=MAX(IF(AND(NOT(AND(AO120=1,AN120&lt;&gt;1)),ISNUMBER(AG120),AG120&lt;=T120),AS120,0),IF(AND(NOT(AND(AO120=1,AN120&lt;&gt;1)),ISNUMBER(AH120),AH120&lt;=T120),AT120,0),IF(AND(NOT(AND(AO120=1,AN120&lt;&gt;1)),ISNUMBER(AI120),AI120&lt;=T120),AU120,0),IF(AND(ISNUMBER(AJ120),AJ120&lt;=T120),AV120,0))),"AB",IF(AND(IF(AND(NOT(AND(AO120=1,AN120&lt;&gt;1)),ISNUMBER(AI120),AI120&lt;=T120),AU120,0)&gt;0,IF(AND(NOT(AND(AO120=1,AN120&lt;&gt;1)),ISNUMBER(AI120),AI120&lt;=T120),AU120,0)=MAX(IF(AND(NOT(AND(AO120=1,AN120&lt;&gt;1)),ISNUMBER(AG120),AG120&lt;=T120),AS120,0),IF(AND(NOT(AND(AO120=1,AN120&lt;&gt;1)),ISNUMBER(AH120),AH120&lt;=T120),AT120,0),IF(AND(NOT(AND(AO120=1,AN120&lt;&gt;1)),ISNUMBER(AI120),AI120&lt;=T120),AU120,0),IF(AND(ISNUMBER(AJ120),AJ120&lt;=T120),AV120,0))),"SC","Mag")))))))</f>
        <v/>
      </c>
    </row>
    <row r="121" customFormat="false" ht="15" hidden="false" customHeight="false" outlineLevel="0" collapsed="false">
      <c r="A121" s="26" t="n">
        <v>116</v>
      </c>
      <c r="B121" s="27" t="n">
        <f aca="false">A121*10/60</f>
        <v>19.3333333333333</v>
      </c>
      <c r="C121" s="21" t="n">
        <f aca="false">X120</f>
        <v>18.6730249835055</v>
      </c>
      <c r="D121" s="27" t="n">
        <f aca="false">D120+W120</f>
        <v>0</v>
      </c>
      <c r="E121" s="26" t="n">
        <f aca="false">E120+IF(U120="SW",1,0)</f>
        <v>12</v>
      </c>
      <c r="F121" s="26" t="n">
        <f aca="false">F120+IF(U120="AB",1,0)</f>
        <v>10</v>
      </c>
      <c r="G121" s="26" t="n">
        <f aca="false">G120+IF(U120="SC",1,0)</f>
        <v>7</v>
      </c>
      <c r="H121" s="26" t="n">
        <f aca="false">H120+IF(U120="Mag",1,0)</f>
        <v>5</v>
      </c>
      <c r="I121" s="26" t="n">
        <f aca="false">MAX(I120,IF(U120="OR",1,0))</f>
        <v>1</v>
      </c>
      <c r="J121" s="26" t="n">
        <f aca="false">MAX(J120,IF(U120="HP",1,0))</f>
        <v>1</v>
      </c>
      <c r="K121" s="26" t="n">
        <f aca="false">MAX(K120,IF(U120="FP",1,0))</f>
        <v>1</v>
      </c>
      <c r="L121" s="26" t="n">
        <f aca="false">MAX(L120,IF(U120="transition",1,0))</f>
        <v>1</v>
      </c>
      <c r="M121" s="28" t="n">
        <f aca="false">(Parameters!$B$9+(IF(E121=0,0,(Upgrades!$J$6+E121*Upgrades!$K$6)*POWER(Upgrades!$L$6,E121)))*(IF(Upgrades!$T$7="Solar Wind",POWER(Upgrades!$U$7,F121),1)*IF(Upgrades!$T$8="Solar Wind",POWER(Upgrades!$U$8,G121),1)*IF(Upgrades!$T$9="Solar Wind",POWER(Upgrades!$U$9,H121),1)*IF(Upgrades!$T$10="Solar Wind",POWER(Upgrades!$U$10,I121),1)*IF(Upgrades!$T$11="Solar Wind",POWER(Upgrades!$U$11,J121),1)*IF(Upgrades!$T$12="Solar Wind",POWER(Upgrades!$U$12,K121),1))+(IF(F121=0,0,(Upgrades!$J$7+F121*Upgrades!$K$7)*POWER(Upgrades!$L$7,F121)))*(IF(Upgrades!$T$6="Asteroid Belt",POWER(Upgrades!$U$6,E121),1)*IF(Upgrades!$T$8="Asteroid Belt",POWER(Upgrades!$U$8,G121),1)*IF(Upgrades!$T$9="Asteroid Belt",POWER(Upgrades!$U$9,H121),1)*IF(Upgrades!$T$10="Asteroid Belt",POWER(Upgrades!$U$10,I121),1)*IF(Upgrades!$T$11="Asteroid Belt",POWER(Upgrades!$U$11,J121),1)*IF(Upgrades!$T$12="Asteroid Belt",POWER(Upgrades!$U$12,K121),1))+(IF(G121=0,0,(Upgrades!$J$8+G121*Upgrades!$K$8)*POWER(Upgrades!$L$8,G121)))*(IF(Upgrades!$T$6="Stellar Coupling",POWER(Upgrades!$U$6,E121),1)*IF(Upgrades!$T$7="Stellar Coupling",POWER(Upgrades!$U$7,F121),1)*IF(Upgrades!$T$9="Stellar Coupling",POWER(Upgrades!$U$9,H121),1)*IF(Upgrades!$T$10="Stellar Coupling",POWER(Upgrades!$U$10,I121),1)*IF(Upgrades!$T$11="Stellar Coupling",POWER(Upgrades!$U$11,J121),1)*IF(Upgrades!$T$12="Stellar Coupling",POWER(Upgrades!$U$12,K121),1))+(IF(H121=0,0,(Upgrades!$J$9+H121*Upgrades!$K$9)*POWER(Upgrades!$L$9,H121)))*(IF(Upgrades!$T$6="Magnetosphere",POWER(Upgrades!$U$6,E121),1)*IF(Upgrades!$T$7="Magnetosphere",POWER(Upgrades!$U$7,F121),1)*IF(Upgrades!$T$8="Magnetosphere",POWER(Upgrades!$U$8,G121),1)*IF(Upgrades!$T$10="Magnetosphere",POWER(Upgrades!$U$10,I121),1)*IF(Upgrades!$T$11="Magnetosphere",POWER(Upgrades!$U$11,J121),1)*IF(Upgrades!$T$12="Magnetosphere",POWER(Upgrades!$U$12,K121),1))+(IF(I121=0,0,(Upgrades!$J$10+I121*Upgrades!$K$10)*POWER(Upgrades!$L$10,I121)))*(IF(Upgrades!$T$6="Orbital Resonance",POWER(Upgrades!$U$6,E121),1)*IF(Upgrades!$T$7="Orbital Resonance",POWER(Upgrades!$U$7,F121),1)*IF(Upgrades!$T$8="Orbital Resonance",POWER(Upgrades!$U$8,G121),1)*IF(Upgrades!$T$9="Orbital Resonance",POWER(Upgrades!$U$9,H121),1)*IF(Upgrades!$T$11="Orbital Resonance",POWER(Upgrades!$U$11,J121),1)*IF(Upgrades!$T$12="Orbital Resonance",POWER(Upgrades!$U$12,K121),1))+(IF(J121=0,0,(Upgrades!$J$11+J121*Upgrades!$K$11)*POWER(Upgrades!$L$11,J121)))*(IF(Upgrades!$T$6="Heliopause",POWER(Upgrades!$U$6,E121),1)*IF(Upgrades!$T$7="Heliopause",POWER(Upgrades!$U$7,F121),1)*IF(Upgrades!$T$8="Heliopause",POWER(Upgrades!$U$8,G121),1)*IF(Upgrades!$T$9="Heliopause",POWER(Upgrades!$U$9,H121),1)*IF(Upgrades!$T$10="Heliopause",POWER(Upgrades!$U$10,I121),1)*IF(Upgrades!$T$12="Heliopause",POWER(Upgrades!$U$12,K121),1))+(IF(K121=0,0,(Upgrades!$J$12+K121*Upgrades!$K$12)*POWER(Upgrades!$L$12,K121)))*(IF(Upgrades!$T$6="First Photons",POWER(Upgrades!$U$6,E121),1)*IF(Upgrades!$T$7="First Photons",POWER(Upgrades!$U$7,F121),1)*IF(Upgrades!$T$8="First Photons",POWER(Upgrades!$U$8,G121),1)*IF(Upgrades!$T$9="First Photons",POWER(Upgrades!$U$9,H121),1)*IF(Upgrades!$T$10="First Photons",POWER(Upgrades!$U$10,I121),1)*IF(Upgrades!$T$11="First Photons",POWER(Upgrades!$U$11,J121),1)))*POWER(Upgrades!$Q$6,E121)*POWER(Upgrades!$Q$7,F121)*POWER(Upgrades!$Q$8,G121)*POWER(Upgrades!$Q$9,H121)*POWER(Upgrades!$Q$10,I121)*POWER(Upgrades!$Q$11,J121)*POWER(Upgrades!$Q$12,K121)</f>
        <v>5.61</v>
      </c>
      <c r="N121" s="28" t="n">
        <f aca="false">((IF(E121=0,0,(Upgrades!$G$6+E121*Upgrades!$H$6)*POWER(Upgrades!$I$6,E121)))*(IF(Upgrades!$T$7="Solar Wind",POWER(Upgrades!$U$7,F121),1)*IF(Upgrades!$T$8="Solar Wind",POWER(Upgrades!$U$8,G121),1)*IF(Upgrades!$T$9="Solar Wind",POWER(Upgrades!$U$9,H121),1)*IF(Upgrades!$T$10="Solar Wind",POWER(Upgrades!$U$10,I121),1)*IF(Upgrades!$T$11="Solar Wind",POWER(Upgrades!$U$11,J121),1)*IF(Upgrades!$T$12="Solar Wind",POWER(Upgrades!$U$12,K121),1))+(IF(F121=0,0,(Upgrades!$G$7+F121*Upgrades!$H$7)*POWER(Upgrades!$I$7,F121)))*(IF(Upgrades!$T$6="Asteroid Belt",POWER(Upgrades!$U$6,E121),1)*IF(Upgrades!$T$8="Asteroid Belt",POWER(Upgrades!$U$8,G121),1)*IF(Upgrades!$T$9="Asteroid Belt",POWER(Upgrades!$U$9,H121),1)*IF(Upgrades!$T$10="Asteroid Belt",POWER(Upgrades!$U$10,I121),1)*IF(Upgrades!$T$11="Asteroid Belt",POWER(Upgrades!$U$11,J121),1)*IF(Upgrades!$T$12="Asteroid Belt",POWER(Upgrades!$U$12,K121),1))+(IF(G121=0,0,(Upgrades!$G$8+G121*Upgrades!$H$8)*POWER(Upgrades!$I$8,G121)))*(IF(Upgrades!$T$6="Stellar Coupling",POWER(Upgrades!$U$6,E121),1)*IF(Upgrades!$T$7="Stellar Coupling",POWER(Upgrades!$U$7,F121),1)*IF(Upgrades!$T$9="Stellar Coupling",POWER(Upgrades!$U$9,H121),1)*IF(Upgrades!$T$10="Stellar Coupling",POWER(Upgrades!$U$10,I121),1)*IF(Upgrades!$T$11="Stellar Coupling",POWER(Upgrades!$U$11,J121),1)*IF(Upgrades!$T$12="Stellar Coupling",POWER(Upgrades!$U$12,K121),1))+(IF(H121=0,0,(Upgrades!$G$9+H121*Upgrades!$H$9)*POWER(Upgrades!$I$9,H121)))*(IF(Upgrades!$T$6="Magnetosphere",POWER(Upgrades!$U$6,E121),1)*IF(Upgrades!$T$7="Magnetosphere",POWER(Upgrades!$U$7,F121),1)*IF(Upgrades!$T$8="Magnetosphere",POWER(Upgrades!$U$8,G121),1)*IF(Upgrades!$T$10="Magnetosphere",POWER(Upgrades!$U$10,I121),1)*IF(Upgrades!$T$11="Magnetosphere",POWER(Upgrades!$U$11,J121),1)*IF(Upgrades!$T$12="Magnetosphere",POWER(Upgrades!$U$12,K121),1))+(IF(I121=0,0,(Upgrades!$G$10+I121*Upgrades!$H$10)*POWER(Upgrades!$I$10,I121)))*(IF(Upgrades!$T$6="Orbital Resonance",POWER(Upgrades!$U$6,E121),1)*IF(Upgrades!$T$7="Orbital Resonance",POWER(Upgrades!$U$7,F121),1)*IF(Upgrades!$T$8="Orbital Resonance",POWER(Upgrades!$U$8,G121),1)*IF(Upgrades!$T$9="Orbital Resonance",POWER(Upgrades!$U$9,H121),1)*IF(Upgrades!$T$11="Orbital Resonance",POWER(Upgrades!$U$11,J121),1)*IF(Upgrades!$T$12="Orbital Resonance",POWER(Upgrades!$U$12,K121),1))+(IF(J121=0,0,(Upgrades!$G$11+J121*Upgrades!$H$11)*POWER(Upgrades!$I$11,J121)))*(IF(Upgrades!$T$6="Heliopause",POWER(Upgrades!$U$6,E121),1)*IF(Upgrades!$T$7="Heliopause",POWER(Upgrades!$U$7,F121),1)*IF(Upgrades!$T$8="Heliopause",POWER(Upgrades!$U$8,G121),1)*IF(Upgrades!$T$9="Heliopause",POWER(Upgrades!$U$9,H121),1)*IF(Upgrades!$T$10="Heliopause",POWER(Upgrades!$U$10,I121),1)*IF(Upgrades!$T$12="Heliopause",POWER(Upgrades!$U$12,K121),1))+(IF(K121=0,0,(Upgrades!$G$12+K121*Upgrades!$H$12)*POWER(Upgrades!$I$12,K121)))*(IF(Upgrades!$T$6="First Photons",POWER(Upgrades!$U$6,E121),1)*IF(Upgrades!$T$7="First Photons",POWER(Upgrades!$U$7,F121),1)*IF(Upgrades!$T$8="First Photons",POWER(Upgrades!$U$8,G121),1)*IF(Upgrades!$T$9="First Photons",POWER(Upgrades!$U$9,H121),1)*IF(Upgrades!$T$10="First Photons",POWER(Upgrades!$U$10,I121),1)*IF(Upgrades!$T$11="First Photons",POWER(Upgrades!$U$11,J121),1)))*POWER(Upgrades!$P$6,E121)*POWER(Upgrades!$P$7,F121)*POWER(Upgrades!$P$8,G121)*POWER(Upgrades!$P$9,H121)*POWER(Upgrades!$P$10,I121)*POWER(Upgrades!$P$11,J121)*POWER(Upgrades!$P$12,K121)</f>
        <v>11.2</v>
      </c>
      <c r="O121" s="28" t="n">
        <f aca="false">((IF(E121=0,0,(Upgrades!$M$6+E121*Upgrades!$N$6)*POWER(Upgrades!$O$6,E121)))*(IF(Upgrades!$T$7="Solar Wind",POWER(Upgrades!$U$7,F121),1)*IF(Upgrades!$T$8="Solar Wind",POWER(Upgrades!$U$8,G121),1)*IF(Upgrades!$T$9="Solar Wind",POWER(Upgrades!$U$9,H121),1)*IF(Upgrades!$T$10="Solar Wind",POWER(Upgrades!$U$10,I121),1)*IF(Upgrades!$T$11="Solar Wind",POWER(Upgrades!$U$11,J121),1)*IF(Upgrades!$T$12="Solar Wind",POWER(Upgrades!$U$12,K121),1))+(IF(F121=0,0,(Upgrades!$M$7+F121*Upgrades!$N$7)*POWER(Upgrades!$O$7,F121)))*(IF(Upgrades!$T$6="Asteroid Belt",POWER(Upgrades!$U$6,E121),1)*IF(Upgrades!$T$8="Asteroid Belt",POWER(Upgrades!$U$8,G121),1)*IF(Upgrades!$T$9="Asteroid Belt",POWER(Upgrades!$U$9,H121),1)*IF(Upgrades!$T$10="Asteroid Belt",POWER(Upgrades!$U$10,I121),1)*IF(Upgrades!$T$11="Asteroid Belt",POWER(Upgrades!$U$11,J121),1)*IF(Upgrades!$T$12="Asteroid Belt",POWER(Upgrades!$U$12,K121),1))+(IF(G121=0,0,(Upgrades!$M$8+G121*Upgrades!$N$8)*POWER(Upgrades!$O$8,G121)))*(IF(Upgrades!$T$6="Stellar Coupling",POWER(Upgrades!$U$6,E121),1)*IF(Upgrades!$T$7="Stellar Coupling",POWER(Upgrades!$U$7,F121),1)*IF(Upgrades!$T$9="Stellar Coupling",POWER(Upgrades!$U$9,H121),1)*IF(Upgrades!$T$10="Stellar Coupling",POWER(Upgrades!$U$10,I121),1)*IF(Upgrades!$T$11="Stellar Coupling",POWER(Upgrades!$U$11,J121),1)*IF(Upgrades!$T$12="Stellar Coupling",POWER(Upgrades!$U$12,K121),1))+(IF(H121=0,0,(Upgrades!$M$9+H121*Upgrades!$N$9)*POWER(Upgrades!$O$9,H121)))*(IF(Upgrades!$T$6="Magnetosphere",POWER(Upgrades!$U$6,E121),1)*IF(Upgrades!$T$7="Magnetosphere",POWER(Upgrades!$U$7,F121),1)*IF(Upgrades!$T$8="Magnetosphere",POWER(Upgrades!$U$8,G121),1)*IF(Upgrades!$T$10="Magnetosphere",POWER(Upgrades!$U$10,I121),1)*IF(Upgrades!$T$11="Magnetosphere",POWER(Upgrades!$U$11,J121),1)*IF(Upgrades!$T$12="Magnetosphere",POWER(Upgrades!$U$12,K121),1))+(IF(I121=0,0,(Upgrades!$M$10+I121*Upgrades!$N$10)*POWER(Upgrades!$O$10,I121)))*(IF(Upgrades!$T$6="Orbital Resonance",POWER(Upgrades!$U$6,E121),1)*IF(Upgrades!$T$7="Orbital Resonance",POWER(Upgrades!$U$7,F121),1)*IF(Upgrades!$T$8="Orbital Resonance",POWER(Upgrades!$U$8,G121),1)*IF(Upgrades!$T$9="Orbital Resonance",POWER(Upgrades!$U$9,H121),1)*IF(Upgrades!$T$11="Orbital Resonance",POWER(Upgrades!$U$11,J121),1)*IF(Upgrades!$T$12="Orbital Resonance",POWER(Upgrades!$U$12,K121),1))+(IF(J121=0,0,(Upgrades!$M$11+J121*Upgrades!$N$11)*POWER(Upgrades!$O$11,J121)))*(IF(Upgrades!$T$6="Heliopause",POWER(Upgrades!$U$6,E121),1)*IF(Upgrades!$T$7="Heliopause",POWER(Upgrades!$U$7,F121),1)*IF(Upgrades!$T$8="Heliopause",POWER(Upgrades!$U$8,G121),1)*IF(Upgrades!$T$9="Heliopause",POWER(Upgrades!$U$9,H121),1)*IF(Upgrades!$T$10="Heliopause",POWER(Upgrades!$U$10,I121),1)*IF(Upgrades!$T$12="Heliopause",POWER(Upgrades!$U$12,K121),1))+(IF(K121=0,0,(Upgrades!$M$12+K121*Upgrades!$N$12)*POWER(Upgrades!$O$12,K121)))*(IF(Upgrades!$T$6="First Photons",POWER(Upgrades!$U$6,E121),1)*IF(Upgrades!$T$7="First Photons",POWER(Upgrades!$U$7,F121),1)*IF(Upgrades!$T$8="First Photons",POWER(Upgrades!$U$8,G121),1)*IF(Upgrades!$T$9="First Photons",POWER(Upgrades!$U$9,H121),1)*IF(Upgrades!$T$10="First Photons",POWER(Upgrades!$U$10,I121),1)*IF(Upgrades!$T$11="First Photons",POWER(Upgrades!$U$11,J121),1)))*POWER(Upgrades!$R$6,E121)*POWER(Upgrades!$R$7,F121)*POWER(Upgrades!$R$8,G121)*POWER(Upgrades!$R$9,H121)*POWER(Upgrades!$R$10,I121)*POWER(Upgrades!$R$11,J121)*POWER(Upgrades!$R$12,K121)</f>
        <v>0</v>
      </c>
      <c r="P121" s="27" t="n">
        <f aca="false">IF(L121=1,0,M121*Parameters!$B$10/60*Parameters!$B$11*10)</f>
        <v>0</v>
      </c>
      <c r="Q121" s="27" t="n">
        <f aca="false">IF(L121=1,0,O121*M121*10)</f>
        <v>0</v>
      </c>
      <c r="R121" s="27" t="n">
        <f aca="false">IF(L121=1,0,N121*10)</f>
        <v>0</v>
      </c>
      <c r="S121" s="27" t="n">
        <f aca="false">P121+Q121+R121</f>
        <v>0</v>
      </c>
      <c r="T121" s="21" t="n">
        <f aca="false">C121+S121</f>
        <v>18.6730249835055</v>
      </c>
      <c r="U121" s="34" t="str">
        <f aca="false">AX121</f>
        <v/>
      </c>
      <c r="V121" s="21" t="n">
        <f aca="false">IF(U121="",0,IF(U121="transition",0,IF(U121="SW",AG121,IF(U121="AB",AH121,IF(U121="SC",AI121,IF(U121="Mag",AJ121,IF(U121="OR",AK121,IF(U121="HP",AL121,IF(U121="FP",AM121,0)))))))))</f>
        <v>0</v>
      </c>
      <c r="W121" s="27" t="n">
        <f aca="false">IF(U121="OR",Upgrades!$F$10,IF(U121="HP",Upgrades!$F$11,IF(U121="transition",-Parameters!$B$18,0)))</f>
        <v>0</v>
      </c>
      <c r="X121" s="21" t="n">
        <f aca="false">T121-V121</f>
        <v>18.6730249835055</v>
      </c>
      <c r="Y121" s="30" t="n">
        <f aca="false">M121*Parameters!$B$10/60*Parameters!$B$11+O121*M121+N121</f>
        <v>20.55</v>
      </c>
      <c r="Z121" s="35" t="str">
        <f aca="false">IF(U121="transition","→ Tier 2 (Stellar Neighborhood)",IF(U121="FP","First Photons — light begins, system quickens",IF(U121="HP","Heliopause acquired",IF(U121="OR","Orbital Resonance — passive multiplier active",IF(AND(AO121=1,L121=0,AN121&lt;&gt;1),"Cohesion ready (waiting on completionist upgrades)","")))))</f>
        <v/>
      </c>
      <c r="AA121" s="27" t="n">
        <f aca="false">(IF(E121=0,0,(Upgrades!$G$6+E121*Upgrades!$H$6)*POWER(Upgrades!$I$6,E121)))*(IF(Upgrades!$T$7="Solar Wind",POWER(Upgrades!$U$7,F121),1)*IF(Upgrades!$T$8="Solar Wind",POWER(Upgrades!$U$8,G121),1)*IF(Upgrades!$T$9="Solar Wind",POWER(Upgrades!$U$9,H121),1)*IF(Upgrades!$T$10="Solar Wind",POWER(Upgrades!$U$10,I121),1)*IF(Upgrades!$T$11="Solar Wind",POWER(Upgrades!$U$11,J121),1)*IF(Upgrades!$T$12="Solar Wind",POWER(Upgrades!$U$12,K121),1))*POWER(Upgrades!$P$6,E121)*POWER(Upgrades!$P$7,F121)*POWER(Upgrades!$P$8,G121)*POWER(Upgrades!$P$9,H121)*POWER(Upgrades!$P$10,I121)*POWER(Upgrades!$P$11,J121)*POWER(Upgrades!$P$12,K121)*60</f>
        <v>72</v>
      </c>
      <c r="AB121" s="27" t="n">
        <f aca="false">(IF(F121=0,0,(Upgrades!$G$7+F121*Upgrades!$H$7)*POWER(Upgrades!$I$7,F121)))*(IF(Upgrades!$T$6="Asteroid Belt",POWER(Upgrades!$U$6,E121),1)*IF(Upgrades!$T$8="Asteroid Belt",POWER(Upgrades!$U$8,G121),1)*IF(Upgrades!$T$9="Asteroid Belt",POWER(Upgrades!$U$9,H121),1)*IF(Upgrades!$T$10="Asteroid Belt",POWER(Upgrades!$U$10,I121),1)*IF(Upgrades!$T$11="Asteroid Belt",POWER(Upgrades!$U$11,J121),1)*IF(Upgrades!$T$12="Asteroid Belt",POWER(Upgrades!$U$12,K121),1))*POWER(Upgrades!$P$6,E121)*POWER(Upgrades!$P$7,F121)*POWER(Upgrades!$P$8,G121)*POWER(Upgrades!$P$9,H121)*POWER(Upgrades!$P$10,I121)*POWER(Upgrades!$P$11,J121)*POWER(Upgrades!$P$12,K121)*60</f>
        <v>150</v>
      </c>
      <c r="AC121" s="27" t="n">
        <f aca="false">(IF(G121=0,0,(Upgrades!$J$8+G121*Upgrades!$K$8)*POWER(Upgrades!$L$8,G121)))*(IF(Upgrades!$T$6="Stellar Coupling",POWER(Upgrades!$U$6,E121),1)*IF(Upgrades!$T$7="Stellar Coupling",POWER(Upgrades!$U$7,F121),1)*IF(Upgrades!$T$9="Stellar Coupling",POWER(Upgrades!$U$9,H121),1)*IF(Upgrades!$T$10="Stellar Coupling",POWER(Upgrades!$U$10,I121),1)*IF(Upgrades!$T$11="Stellar Coupling",POWER(Upgrades!$U$11,J121),1)*IF(Upgrades!$T$12="Stellar Coupling",POWER(Upgrades!$U$12,K121),1))*POWER(Upgrades!$Q$6,E121)*POWER(Upgrades!$Q$7,F121)*POWER(Upgrades!$Q$8,G121)*POWER(Upgrades!$Q$9,H121)*POWER(Upgrades!$Q$10,I121)*POWER(Upgrades!$Q$11,J121)*POWER(Upgrades!$Q$12,K121)*Parameters!$B$10*Parameters!$B$11</f>
        <v>441</v>
      </c>
      <c r="AD121" s="27" t="n">
        <f aca="false">(IF(H121=0,0,(Upgrades!$G$9+H121*Upgrades!$H$9)*POWER(Upgrades!$I$9,H121)))*(IF(Upgrades!$T$6="Magnetosphere",POWER(Upgrades!$U$6,E121),1)*IF(Upgrades!$T$7="Magnetosphere",POWER(Upgrades!$U$7,F121),1)*IF(Upgrades!$T$8="Magnetosphere",POWER(Upgrades!$U$8,G121),1)*IF(Upgrades!$T$10="Magnetosphere",POWER(Upgrades!$U$10,I121),1)*IF(Upgrades!$T$11="Magnetosphere",POWER(Upgrades!$U$11,J121),1)*IF(Upgrades!$T$12="Magnetosphere",POWER(Upgrades!$U$12,K121),1))*POWER(Upgrades!$P$6,E121)*POWER(Upgrades!$P$7,F121)*POWER(Upgrades!$P$8,G121)*POWER(Upgrades!$P$9,H121)*POWER(Upgrades!$P$10,I121)*POWER(Upgrades!$P$11,J121)*POWER(Upgrades!$P$12,K121)*60</f>
        <v>375</v>
      </c>
      <c r="AE121" s="27" t="n">
        <f aca="false">(IF(K121=0,0,(Upgrades!$G$12+K121*Upgrades!$H$12)*POWER(Upgrades!$I$12,K121)))*(IF(Upgrades!$T$6="First Photons",POWER(Upgrades!$U$6,E121),1)*IF(Upgrades!$T$7="First Photons",POWER(Upgrades!$U$7,F121),1)*IF(Upgrades!$T$8="First Photons",POWER(Upgrades!$U$8,G121),1)*IF(Upgrades!$T$9="First Photons",POWER(Upgrades!$U$9,H121),1)*IF(Upgrades!$T$10="First Photons",POWER(Upgrades!$U$10,I121),1)*IF(Upgrades!$T$11="First Photons",POWER(Upgrades!$U$11,J121),1))*POWER(Upgrades!$P$6,E121)*POWER(Upgrades!$P$7,F121)*POWER(Upgrades!$P$8,G121)*POWER(Upgrades!$P$9,H121)*POWER(Upgrades!$P$10,I121)*POWER(Upgrades!$P$11,J121)*POWER(Upgrades!$P$12,K121)*60</f>
        <v>75</v>
      </c>
      <c r="AF121" s="27" t="n">
        <f aca="false">Parameters!$B$9*POWER(Upgrades!$Q$6,E121)*POWER(Upgrades!$Q$7,F121)*POWER(Upgrades!$Q$8,G121)*POWER(Upgrades!$Q$9,H121)*POWER(Upgrades!$Q$10,I121)*POWER(Upgrades!$Q$11,J121)*POWER(Upgrades!$Q$12,K121)*(Parameters!$B$10*Parameters!$B$11+O121*60)</f>
        <v>120</v>
      </c>
      <c r="AG121" s="21" t="n">
        <f aca="false">IF(E121&gt;=Upgrades!$E$6,"",Upgrades!$C$6*POWER(Upgrades!$D$6,E121))</f>
        <v>37.4517507383159</v>
      </c>
      <c r="AH121" s="21" t="n">
        <f aca="false">IF(F121&gt;=Upgrades!$E$7,"",Upgrades!$C$7*POWER(Upgrades!$D$7,F121))</f>
        <v>80.9111547141581</v>
      </c>
      <c r="AI121" s="21" t="n">
        <f aca="false">IF(G121&gt;=Upgrades!$E$8,"",Upgrades!$C$8*POWER(Upgrades!$D$8,G121))</f>
        <v>231.9097088</v>
      </c>
      <c r="AJ121" s="21" t="str">
        <f aca="false">IF(H121&gt;=Upgrades!$E$9,"",Upgrades!$C$9*POWER(Upgrades!$D$9,H121))</f>
        <v/>
      </c>
      <c r="AK121" s="21" t="str">
        <f aca="false">IF(I121&gt;=Upgrades!$E$10,"",Upgrades!$C$10*POWER(Upgrades!$D$10,I121))</f>
        <v/>
      </c>
      <c r="AL121" s="21" t="str">
        <f aca="false">IF(J121&gt;=Upgrades!$E$11,"",Upgrades!$C$11*POWER(Upgrades!$D$11,J121))</f>
        <v/>
      </c>
      <c r="AM121" s="21" t="str">
        <f aca="false">IF(K121&gt;=Upgrades!$E$12,"",Upgrades!$C$12*POWER(Upgrades!$D$12,K121))</f>
        <v/>
      </c>
      <c r="AN121" s="26" t="str">
        <f aca="false">IF(AND(D121&gt;=Parameters!$B$18,(H121&gt;=Upgrades!$E$9)*(K121&gt;=Upgrades!$E$12)=1,L121=0),1,"")</f>
        <v/>
      </c>
      <c r="AO121" s="26" t="str">
        <f aca="false">IF(AND(D121&gt;=Parameters!$B$18,L121=0),1,"")</f>
        <v/>
      </c>
      <c r="AP121" s="21" t="n">
        <f aca="false">MIN(IF(ISNUMBER(AK121),AK121,9000000000000000),IF(ISNUMBER(AL121),AL121,9000000000000000),IF(ISNUMBER(AM121),AM121,9000000000000000))</f>
        <v>9000000000000000</v>
      </c>
      <c r="AQ121" s="21" t="n">
        <f aca="false">MIN(IF(ISNUMBER(AG121),AG121,9000000000000000),IF(ISNUMBER(AH121),AH121,9000000000000000),IF(ISNUMBER(AI121),AI121,9000000000000000),IF(ISNUMBER(AJ121),AJ121,9000000000000000))</f>
        <v>37.4517507383159</v>
      </c>
      <c r="AR121" s="32" t="b">
        <f aca="false">IF(AW121&gt;Parameters!$B$21*(MAX(IF(AND(NOT(AND(AO121=1,AN121&lt;&gt;1)),ISNUMBER(AG121),AG121&lt;=T121),AS121,0),IF(AND(NOT(AND(AO121=1,AN121&lt;&gt;1)),ISNUMBER(AH121),AH121&lt;=T121),AT121,0),IF(AND(NOT(AND(AO121=1,AN121&lt;&gt;1)),ISNUMBER(AI121),AI121&lt;=T121),AU121,0),IF(AND(ISNUMBER(AJ121),AJ121&lt;=T121),AV121,0))),TRUE(),FALSE())</f>
        <v>1</v>
      </c>
      <c r="AS121" s="33" t="n">
        <f aca="false">IFERROR(Upgrades!$H$6*(POWER(Upgrades!$P$6,E121)*POWER(Upgrades!$P$7,F121)*POWER(Upgrades!$P$8,G121)*POWER(Upgrades!$P$9,H121)*POWER(Upgrades!$P$10,I121)*POWER(Upgrades!$P$11,J121)*POWER(Upgrades!$P$12,K121))*(IF(Upgrades!$T$7="Solar Wind",POWER(Upgrades!$U$7,F121),1)*IF(Upgrades!$T$8="Solar Wind",POWER(Upgrades!$U$8,G121),1)*IF(Upgrades!$T$9="Solar Wind",POWER(Upgrades!$U$9,H121),1)*IF(Upgrades!$T$10="Solar Wind",POWER(Upgrades!$U$10,I121),1)*IF(Upgrades!$T$11="Solar Wind",POWER(Upgrades!$U$11,J121),1)*IF(Upgrades!$T$12="Solar Wind",POWER(Upgrades!$U$12,K121),1))/AG121,0)</f>
        <v>0.0026701021455238</v>
      </c>
      <c r="AT121" s="33" t="n">
        <f aca="false">IFERROR(Upgrades!$H$7*(POWER(Upgrades!$P$6,E121)*POWER(Upgrades!$P$7,F121)*POWER(Upgrades!$P$8,G121)*POWER(Upgrades!$P$9,H121)*POWER(Upgrades!$P$10,I121)*POWER(Upgrades!$P$11,J121)*POWER(Upgrades!$P$12,K121))*(IF(Upgrades!$T$6="Asteroid Belt",POWER(Upgrades!$U$6,E121),1)*IF(Upgrades!$T$8="Asteroid Belt",POWER(Upgrades!$U$8,G121),1)*IF(Upgrades!$T$9="Asteroid Belt",POWER(Upgrades!$U$9,H121),1)*IF(Upgrades!$T$10="Asteroid Belt",POWER(Upgrades!$U$10,I121),1)*IF(Upgrades!$T$11="Asteroid Belt",POWER(Upgrades!$U$11,J121),1)*IF(Upgrades!$T$12="Asteroid Belt",POWER(Upgrades!$U$12,K121),1))/AH121,0)</f>
        <v>0.00308980882652332</v>
      </c>
      <c r="AU121" s="33" t="n">
        <f aca="false">IFERROR(Upgrades!$K$8*(POWER(Upgrades!$Q$6,E121)*POWER(Upgrades!$Q$7,F121)*POWER(Upgrades!$Q$8,G121)*POWER(Upgrades!$Q$9,H121)*POWER(Upgrades!$Q$10,I121)*POWER(Upgrades!$Q$11,J121)*POWER(Upgrades!$Q$12,K121))*(IF(Upgrades!$T$6="Stellar Coupling",POWER(Upgrades!$U$6,E121),1)*IF(Upgrades!$T$7="Stellar Coupling",POWER(Upgrades!$U$7,F121),1)*IF(Upgrades!$T$9="Stellar Coupling",POWER(Upgrades!$U$9,H121),1)*IF(Upgrades!$T$10="Stellar Coupling",POWER(Upgrades!$U$10,I121),1)*IF(Upgrades!$T$11="Stellar Coupling",POWER(Upgrades!$U$11,J121),1)*IF(Upgrades!$T$12="Stellar Coupling",POWER(Upgrades!$U$12,K121),1))*Parameters!$B$10*Parameters!$B$11/60/AI121,0)</f>
        <v>0.00452762415783776</v>
      </c>
      <c r="AV121" s="33" t="n">
        <f aca="false">IFERROR(Upgrades!$H$9*(POWER(Upgrades!$P$6,E121)*POWER(Upgrades!$P$7,F121)*POWER(Upgrades!$P$8,G121)*POWER(Upgrades!$P$9,H121)*POWER(Upgrades!$P$10,I121)*POWER(Upgrades!$P$11,J121)*POWER(Upgrades!$P$12,K121))*(IF(Upgrades!$T$6="Magnetosphere",POWER(Upgrades!$U$6,E121),1)*IF(Upgrades!$T$7="Magnetosphere",POWER(Upgrades!$U$7,F121),1)*IF(Upgrades!$T$8="Magnetosphere",POWER(Upgrades!$U$8,G121),1)*IF(Upgrades!$T$10="Magnetosphere",POWER(Upgrades!$U$10,I121),1)*IF(Upgrades!$T$11="Magnetosphere",POWER(Upgrades!$U$11,J121),1)*IF(Upgrades!$T$12="Magnetosphere",POWER(Upgrades!$U$12,K121),1))/AJ121,0)</f>
        <v>0</v>
      </c>
      <c r="AW121" s="33" t="n">
        <f aca="false">MAX(IF(I121&gt;0,0,IFERROR(0.25*N121/Upgrades!$C$10,0)),IF(J121&gt;0,0,IFERROR(0.5*((IF(G121=0,0,(Upgrades!$J$8+G121*Upgrades!$K$8)*POWER(Upgrades!$L$8,G121)))*(IF(Upgrades!$T$6="Stellar Coupling",POWER(Upgrades!$U$6,E121),1)*IF(Upgrades!$T$7="Stellar Coupling",POWER(Upgrades!$U$7,F121),1)*IF(Upgrades!$T$9="Stellar Coupling",POWER(Upgrades!$U$9,H121),1)*IF(Upgrades!$T$10="Stellar Coupling",POWER(Upgrades!$U$10,I121),1)*IF(Upgrades!$T$11="Stellar Coupling",POWER(Upgrades!$U$11,J121),1)*IF(Upgrades!$T$12="Stellar Coupling",POWER(Upgrades!$U$12,K121),1))*(POWER(Upgrades!$Q$6,E121)*POWER(Upgrades!$Q$7,F121)*POWER(Upgrades!$Q$8,G121)*POWER(Upgrades!$Q$9,H121)*POWER(Upgrades!$Q$10,I121)*POWER(Upgrades!$Q$11,J121)*POWER(Upgrades!$Q$12,K121))*Parameters!$B$10*Parameters!$B$11/60)/Upgrades!$C$11,0)),IF(K121&gt;0,0,IFERROR((1*(POWER(Upgrades!$P$6,E121)*POWER(Upgrades!$P$7,F121)*POWER(Upgrades!$P$8,G121)*POWER(Upgrades!$P$9,H121)*POWER(Upgrades!$P$10,I121)*POWER(Upgrades!$P$11,J121)*POWER(Upgrades!$P$12,K121))+0.2*M121*Parameters!$B$10*Parameters!$B$11/60)/Upgrades!$C$12,0)),IF(AND(ISNUMBER(AG121),AG121&gt;T121),AS121,0),IF(AND(ISNUMBER(AH121),AH121&gt;T121),AT121,0),IF(AND(ISNUMBER(AI121),AI121&gt;T121),AU121,0),IF(AND(ISNUMBER(AJ121),AJ121&gt;T121),AV121,0))</f>
        <v>0.00452762415783776</v>
      </c>
      <c r="AX121" s="29" t="str">
        <f aca="false">IF(AN121=1,"transition",IF(MIN(IF(AND(I121=0,ISNUMBER(AK121),AK121&lt;=T121),AK121,9000000000000000),IF(AND(J121=0,ISNUMBER(AL121),AL121&lt;=T121),AL121,9000000000000000),IF(AND(K121=0,ISNUMBER(AM121),AM121&lt;=T121),AM121,9000000000000000))&lt;9000000000000000,IF(AND(AND(I121=0,ISNUMBER(AK121),AK121&lt;=T121),AK121=MIN(IF(AND(I121=0,ISNUMBER(AK121),AK121&lt;=T121),AK121,9000000000000000),IF(AND(J121=0,ISNUMBER(AL121),AL121&lt;=T121),AL121,9000000000000000),IF(AND(K121=0,ISNUMBER(AM121),AM121&lt;=T121),AM121,9000000000000000))),"OR",IF(AND(AND(J121=0,ISNUMBER(AL121),AL121&lt;=T121),AL121=MIN(IF(AND(I121=0,ISNUMBER(AK121),AK121&lt;=T121),AK121,9000000000000000),IF(AND(J121=0,ISNUMBER(AL121),AL121&lt;=T121),AL121,9000000000000000),IF(AND(K121=0,ISNUMBER(AM121),AM121&lt;=T121),AM121,9000000000000000))),"HP","FP")),IF(AR121=TRUE(),"",IF(MAX(IF(AND(NOT(AND(AO121=1,AN121&lt;&gt;1)),ISNUMBER(AG121),AG121&lt;=T121),AS121,0),IF(AND(NOT(AND(AO121=1,AN121&lt;&gt;1)),ISNUMBER(AH121),AH121&lt;=T121),AT121,0),IF(AND(NOT(AND(AO121=1,AN121&lt;&gt;1)),ISNUMBER(AI121),AI121&lt;=T121),AU121,0),IF(AND(ISNUMBER(AJ121),AJ121&lt;=T121),AV121,0))&lt;=0,"",IF(AND(IF(AND(NOT(AND(AO121=1,AN121&lt;&gt;1)),ISNUMBER(AG121),AG121&lt;=T121),AS121,0)&gt;0,IF(AND(NOT(AND(AO121=1,AN121&lt;&gt;1)),ISNUMBER(AG121),AG121&lt;=T121),AS121,0)=MAX(IF(AND(NOT(AND(AO121=1,AN121&lt;&gt;1)),ISNUMBER(AG121),AG121&lt;=T121),AS121,0),IF(AND(NOT(AND(AO121=1,AN121&lt;&gt;1)),ISNUMBER(AH121),AH121&lt;=T121),AT121,0),IF(AND(NOT(AND(AO121=1,AN121&lt;&gt;1)),ISNUMBER(AI121),AI121&lt;=T121),AU121,0),IF(AND(ISNUMBER(AJ121),AJ121&lt;=T121),AV121,0))),"SW",IF(AND(IF(AND(NOT(AND(AO121=1,AN121&lt;&gt;1)),ISNUMBER(AH121),AH121&lt;=T121),AT121,0)&gt;0,IF(AND(NOT(AND(AO121=1,AN121&lt;&gt;1)),ISNUMBER(AH121),AH121&lt;=T121),AT121,0)=MAX(IF(AND(NOT(AND(AO121=1,AN121&lt;&gt;1)),ISNUMBER(AG121),AG121&lt;=T121),AS121,0),IF(AND(NOT(AND(AO121=1,AN121&lt;&gt;1)),ISNUMBER(AH121),AH121&lt;=T121),AT121,0),IF(AND(NOT(AND(AO121=1,AN121&lt;&gt;1)),ISNUMBER(AI121),AI121&lt;=T121),AU121,0),IF(AND(ISNUMBER(AJ121),AJ121&lt;=T121),AV121,0))),"AB",IF(AND(IF(AND(NOT(AND(AO121=1,AN121&lt;&gt;1)),ISNUMBER(AI121),AI121&lt;=T121),AU121,0)&gt;0,IF(AND(NOT(AND(AO121=1,AN121&lt;&gt;1)),ISNUMBER(AI121),AI121&lt;=T121),AU121,0)=MAX(IF(AND(NOT(AND(AO121=1,AN121&lt;&gt;1)),ISNUMBER(AG121),AG121&lt;=T121),AS121,0),IF(AND(NOT(AND(AO121=1,AN121&lt;&gt;1)),ISNUMBER(AH121),AH121&lt;=T121),AT121,0),IF(AND(NOT(AND(AO121=1,AN121&lt;&gt;1)),ISNUMBER(AI121),AI121&lt;=T121),AU121,0),IF(AND(ISNUMBER(AJ121),AJ121&lt;=T121),AV121,0))),"SC","Mag")))))))</f>
        <v/>
      </c>
    </row>
    <row r="122" customFormat="false" ht="15" hidden="false" customHeight="false" outlineLevel="0" collapsed="false">
      <c r="A122" s="26" t="n">
        <v>117</v>
      </c>
      <c r="B122" s="27" t="n">
        <f aca="false">A122*10/60</f>
        <v>19.5</v>
      </c>
      <c r="C122" s="21" t="n">
        <f aca="false">X121</f>
        <v>18.6730249835055</v>
      </c>
      <c r="D122" s="27" t="n">
        <f aca="false">D121+W121</f>
        <v>0</v>
      </c>
      <c r="E122" s="26" t="n">
        <f aca="false">E121+IF(U121="SW",1,0)</f>
        <v>12</v>
      </c>
      <c r="F122" s="26" t="n">
        <f aca="false">F121+IF(U121="AB",1,0)</f>
        <v>10</v>
      </c>
      <c r="G122" s="26" t="n">
        <f aca="false">G121+IF(U121="SC",1,0)</f>
        <v>7</v>
      </c>
      <c r="H122" s="26" t="n">
        <f aca="false">H121+IF(U121="Mag",1,0)</f>
        <v>5</v>
      </c>
      <c r="I122" s="26" t="n">
        <f aca="false">MAX(I121,IF(U121="OR",1,0))</f>
        <v>1</v>
      </c>
      <c r="J122" s="26" t="n">
        <f aca="false">MAX(J121,IF(U121="HP",1,0))</f>
        <v>1</v>
      </c>
      <c r="K122" s="26" t="n">
        <f aca="false">MAX(K121,IF(U121="FP",1,0))</f>
        <v>1</v>
      </c>
      <c r="L122" s="26" t="n">
        <f aca="false">MAX(L121,IF(U121="transition",1,0))</f>
        <v>1</v>
      </c>
      <c r="M122" s="28" t="n">
        <f aca="false">(Parameters!$B$9+(IF(E122=0,0,(Upgrades!$J$6+E122*Upgrades!$K$6)*POWER(Upgrades!$L$6,E122)))*(IF(Upgrades!$T$7="Solar Wind",POWER(Upgrades!$U$7,F122),1)*IF(Upgrades!$T$8="Solar Wind",POWER(Upgrades!$U$8,G122),1)*IF(Upgrades!$T$9="Solar Wind",POWER(Upgrades!$U$9,H122),1)*IF(Upgrades!$T$10="Solar Wind",POWER(Upgrades!$U$10,I122),1)*IF(Upgrades!$T$11="Solar Wind",POWER(Upgrades!$U$11,J122),1)*IF(Upgrades!$T$12="Solar Wind",POWER(Upgrades!$U$12,K122),1))+(IF(F122=0,0,(Upgrades!$J$7+F122*Upgrades!$K$7)*POWER(Upgrades!$L$7,F122)))*(IF(Upgrades!$T$6="Asteroid Belt",POWER(Upgrades!$U$6,E122),1)*IF(Upgrades!$T$8="Asteroid Belt",POWER(Upgrades!$U$8,G122),1)*IF(Upgrades!$T$9="Asteroid Belt",POWER(Upgrades!$U$9,H122),1)*IF(Upgrades!$T$10="Asteroid Belt",POWER(Upgrades!$U$10,I122),1)*IF(Upgrades!$T$11="Asteroid Belt",POWER(Upgrades!$U$11,J122),1)*IF(Upgrades!$T$12="Asteroid Belt",POWER(Upgrades!$U$12,K122),1))+(IF(G122=0,0,(Upgrades!$J$8+G122*Upgrades!$K$8)*POWER(Upgrades!$L$8,G122)))*(IF(Upgrades!$T$6="Stellar Coupling",POWER(Upgrades!$U$6,E122),1)*IF(Upgrades!$T$7="Stellar Coupling",POWER(Upgrades!$U$7,F122),1)*IF(Upgrades!$T$9="Stellar Coupling",POWER(Upgrades!$U$9,H122),1)*IF(Upgrades!$T$10="Stellar Coupling",POWER(Upgrades!$U$10,I122),1)*IF(Upgrades!$T$11="Stellar Coupling",POWER(Upgrades!$U$11,J122),1)*IF(Upgrades!$T$12="Stellar Coupling",POWER(Upgrades!$U$12,K122),1))+(IF(H122=0,0,(Upgrades!$J$9+H122*Upgrades!$K$9)*POWER(Upgrades!$L$9,H122)))*(IF(Upgrades!$T$6="Magnetosphere",POWER(Upgrades!$U$6,E122),1)*IF(Upgrades!$T$7="Magnetosphere",POWER(Upgrades!$U$7,F122),1)*IF(Upgrades!$T$8="Magnetosphere",POWER(Upgrades!$U$8,G122),1)*IF(Upgrades!$T$10="Magnetosphere",POWER(Upgrades!$U$10,I122),1)*IF(Upgrades!$T$11="Magnetosphere",POWER(Upgrades!$U$11,J122),1)*IF(Upgrades!$T$12="Magnetosphere",POWER(Upgrades!$U$12,K122),1))+(IF(I122=0,0,(Upgrades!$J$10+I122*Upgrades!$K$10)*POWER(Upgrades!$L$10,I122)))*(IF(Upgrades!$T$6="Orbital Resonance",POWER(Upgrades!$U$6,E122),1)*IF(Upgrades!$T$7="Orbital Resonance",POWER(Upgrades!$U$7,F122),1)*IF(Upgrades!$T$8="Orbital Resonance",POWER(Upgrades!$U$8,G122),1)*IF(Upgrades!$T$9="Orbital Resonance",POWER(Upgrades!$U$9,H122),1)*IF(Upgrades!$T$11="Orbital Resonance",POWER(Upgrades!$U$11,J122),1)*IF(Upgrades!$T$12="Orbital Resonance",POWER(Upgrades!$U$12,K122),1))+(IF(J122=0,0,(Upgrades!$J$11+J122*Upgrades!$K$11)*POWER(Upgrades!$L$11,J122)))*(IF(Upgrades!$T$6="Heliopause",POWER(Upgrades!$U$6,E122),1)*IF(Upgrades!$T$7="Heliopause",POWER(Upgrades!$U$7,F122),1)*IF(Upgrades!$T$8="Heliopause",POWER(Upgrades!$U$8,G122),1)*IF(Upgrades!$T$9="Heliopause",POWER(Upgrades!$U$9,H122),1)*IF(Upgrades!$T$10="Heliopause",POWER(Upgrades!$U$10,I122),1)*IF(Upgrades!$T$12="Heliopause",POWER(Upgrades!$U$12,K122),1))+(IF(K122=0,0,(Upgrades!$J$12+K122*Upgrades!$K$12)*POWER(Upgrades!$L$12,K122)))*(IF(Upgrades!$T$6="First Photons",POWER(Upgrades!$U$6,E122),1)*IF(Upgrades!$T$7="First Photons",POWER(Upgrades!$U$7,F122),1)*IF(Upgrades!$T$8="First Photons",POWER(Upgrades!$U$8,G122),1)*IF(Upgrades!$T$9="First Photons",POWER(Upgrades!$U$9,H122),1)*IF(Upgrades!$T$10="First Photons",POWER(Upgrades!$U$10,I122),1)*IF(Upgrades!$T$11="First Photons",POWER(Upgrades!$U$11,J122),1)))*POWER(Upgrades!$Q$6,E122)*POWER(Upgrades!$Q$7,F122)*POWER(Upgrades!$Q$8,G122)*POWER(Upgrades!$Q$9,H122)*POWER(Upgrades!$Q$10,I122)*POWER(Upgrades!$Q$11,J122)*POWER(Upgrades!$Q$12,K122)</f>
        <v>5.61</v>
      </c>
      <c r="N122" s="28" t="n">
        <f aca="false">((IF(E122=0,0,(Upgrades!$G$6+E122*Upgrades!$H$6)*POWER(Upgrades!$I$6,E122)))*(IF(Upgrades!$T$7="Solar Wind",POWER(Upgrades!$U$7,F122),1)*IF(Upgrades!$T$8="Solar Wind",POWER(Upgrades!$U$8,G122),1)*IF(Upgrades!$T$9="Solar Wind",POWER(Upgrades!$U$9,H122),1)*IF(Upgrades!$T$10="Solar Wind",POWER(Upgrades!$U$10,I122),1)*IF(Upgrades!$T$11="Solar Wind",POWER(Upgrades!$U$11,J122),1)*IF(Upgrades!$T$12="Solar Wind",POWER(Upgrades!$U$12,K122),1))+(IF(F122=0,0,(Upgrades!$G$7+F122*Upgrades!$H$7)*POWER(Upgrades!$I$7,F122)))*(IF(Upgrades!$T$6="Asteroid Belt",POWER(Upgrades!$U$6,E122),1)*IF(Upgrades!$T$8="Asteroid Belt",POWER(Upgrades!$U$8,G122),1)*IF(Upgrades!$T$9="Asteroid Belt",POWER(Upgrades!$U$9,H122),1)*IF(Upgrades!$T$10="Asteroid Belt",POWER(Upgrades!$U$10,I122),1)*IF(Upgrades!$T$11="Asteroid Belt",POWER(Upgrades!$U$11,J122),1)*IF(Upgrades!$T$12="Asteroid Belt",POWER(Upgrades!$U$12,K122),1))+(IF(G122=0,0,(Upgrades!$G$8+G122*Upgrades!$H$8)*POWER(Upgrades!$I$8,G122)))*(IF(Upgrades!$T$6="Stellar Coupling",POWER(Upgrades!$U$6,E122),1)*IF(Upgrades!$T$7="Stellar Coupling",POWER(Upgrades!$U$7,F122),1)*IF(Upgrades!$T$9="Stellar Coupling",POWER(Upgrades!$U$9,H122),1)*IF(Upgrades!$T$10="Stellar Coupling",POWER(Upgrades!$U$10,I122),1)*IF(Upgrades!$T$11="Stellar Coupling",POWER(Upgrades!$U$11,J122),1)*IF(Upgrades!$T$12="Stellar Coupling",POWER(Upgrades!$U$12,K122),1))+(IF(H122=0,0,(Upgrades!$G$9+H122*Upgrades!$H$9)*POWER(Upgrades!$I$9,H122)))*(IF(Upgrades!$T$6="Magnetosphere",POWER(Upgrades!$U$6,E122),1)*IF(Upgrades!$T$7="Magnetosphere",POWER(Upgrades!$U$7,F122),1)*IF(Upgrades!$T$8="Magnetosphere",POWER(Upgrades!$U$8,G122),1)*IF(Upgrades!$T$10="Magnetosphere",POWER(Upgrades!$U$10,I122),1)*IF(Upgrades!$T$11="Magnetosphere",POWER(Upgrades!$U$11,J122),1)*IF(Upgrades!$T$12="Magnetosphere",POWER(Upgrades!$U$12,K122),1))+(IF(I122=0,0,(Upgrades!$G$10+I122*Upgrades!$H$10)*POWER(Upgrades!$I$10,I122)))*(IF(Upgrades!$T$6="Orbital Resonance",POWER(Upgrades!$U$6,E122),1)*IF(Upgrades!$T$7="Orbital Resonance",POWER(Upgrades!$U$7,F122),1)*IF(Upgrades!$T$8="Orbital Resonance",POWER(Upgrades!$U$8,G122),1)*IF(Upgrades!$T$9="Orbital Resonance",POWER(Upgrades!$U$9,H122),1)*IF(Upgrades!$T$11="Orbital Resonance",POWER(Upgrades!$U$11,J122),1)*IF(Upgrades!$T$12="Orbital Resonance",POWER(Upgrades!$U$12,K122),1))+(IF(J122=0,0,(Upgrades!$G$11+J122*Upgrades!$H$11)*POWER(Upgrades!$I$11,J122)))*(IF(Upgrades!$T$6="Heliopause",POWER(Upgrades!$U$6,E122),1)*IF(Upgrades!$T$7="Heliopause",POWER(Upgrades!$U$7,F122),1)*IF(Upgrades!$T$8="Heliopause",POWER(Upgrades!$U$8,G122),1)*IF(Upgrades!$T$9="Heliopause",POWER(Upgrades!$U$9,H122),1)*IF(Upgrades!$T$10="Heliopause",POWER(Upgrades!$U$10,I122),1)*IF(Upgrades!$T$12="Heliopause",POWER(Upgrades!$U$12,K122),1))+(IF(K122=0,0,(Upgrades!$G$12+K122*Upgrades!$H$12)*POWER(Upgrades!$I$12,K122)))*(IF(Upgrades!$T$6="First Photons",POWER(Upgrades!$U$6,E122),1)*IF(Upgrades!$T$7="First Photons",POWER(Upgrades!$U$7,F122),1)*IF(Upgrades!$T$8="First Photons",POWER(Upgrades!$U$8,G122),1)*IF(Upgrades!$T$9="First Photons",POWER(Upgrades!$U$9,H122),1)*IF(Upgrades!$T$10="First Photons",POWER(Upgrades!$U$10,I122),1)*IF(Upgrades!$T$11="First Photons",POWER(Upgrades!$U$11,J122),1)))*POWER(Upgrades!$P$6,E122)*POWER(Upgrades!$P$7,F122)*POWER(Upgrades!$P$8,G122)*POWER(Upgrades!$P$9,H122)*POWER(Upgrades!$P$10,I122)*POWER(Upgrades!$P$11,J122)*POWER(Upgrades!$P$12,K122)</f>
        <v>11.2</v>
      </c>
      <c r="O122" s="28" t="n">
        <f aca="false">((IF(E122=0,0,(Upgrades!$M$6+E122*Upgrades!$N$6)*POWER(Upgrades!$O$6,E122)))*(IF(Upgrades!$T$7="Solar Wind",POWER(Upgrades!$U$7,F122),1)*IF(Upgrades!$T$8="Solar Wind",POWER(Upgrades!$U$8,G122),1)*IF(Upgrades!$T$9="Solar Wind",POWER(Upgrades!$U$9,H122),1)*IF(Upgrades!$T$10="Solar Wind",POWER(Upgrades!$U$10,I122),1)*IF(Upgrades!$T$11="Solar Wind",POWER(Upgrades!$U$11,J122),1)*IF(Upgrades!$T$12="Solar Wind",POWER(Upgrades!$U$12,K122),1))+(IF(F122=0,0,(Upgrades!$M$7+F122*Upgrades!$N$7)*POWER(Upgrades!$O$7,F122)))*(IF(Upgrades!$T$6="Asteroid Belt",POWER(Upgrades!$U$6,E122),1)*IF(Upgrades!$T$8="Asteroid Belt",POWER(Upgrades!$U$8,G122),1)*IF(Upgrades!$T$9="Asteroid Belt",POWER(Upgrades!$U$9,H122),1)*IF(Upgrades!$T$10="Asteroid Belt",POWER(Upgrades!$U$10,I122),1)*IF(Upgrades!$T$11="Asteroid Belt",POWER(Upgrades!$U$11,J122),1)*IF(Upgrades!$T$12="Asteroid Belt",POWER(Upgrades!$U$12,K122),1))+(IF(G122=0,0,(Upgrades!$M$8+G122*Upgrades!$N$8)*POWER(Upgrades!$O$8,G122)))*(IF(Upgrades!$T$6="Stellar Coupling",POWER(Upgrades!$U$6,E122),1)*IF(Upgrades!$T$7="Stellar Coupling",POWER(Upgrades!$U$7,F122),1)*IF(Upgrades!$T$9="Stellar Coupling",POWER(Upgrades!$U$9,H122),1)*IF(Upgrades!$T$10="Stellar Coupling",POWER(Upgrades!$U$10,I122),1)*IF(Upgrades!$T$11="Stellar Coupling",POWER(Upgrades!$U$11,J122),1)*IF(Upgrades!$T$12="Stellar Coupling",POWER(Upgrades!$U$12,K122),1))+(IF(H122=0,0,(Upgrades!$M$9+H122*Upgrades!$N$9)*POWER(Upgrades!$O$9,H122)))*(IF(Upgrades!$T$6="Magnetosphere",POWER(Upgrades!$U$6,E122),1)*IF(Upgrades!$T$7="Magnetosphere",POWER(Upgrades!$U$7,F122),1)*IF(Upgrades!$T$8="Magnetosphere",POWER(Upgrades!$U$8,G122),1)*IF(Upgrades!$T$10="Magnetosphere",POWER(Upgrades!$U$10,I122),1)*IF(Upgrades!$T$11="Magnetosphere",POWER(Upgrades!$U$11,J122),1)*IF(Upgrades!$T$12="Magnetosphere",POWER(Upgrades!$U$12,K122),1))+(IF(I122=0,0,(Upgrades!$M$10+I122*Upgrades!$N$10)*POWER(Upgrades!$O$10,I122)))*(IF(Upgrades!$T$6="Orbital Resonance",POWER(Upgrades!$U$6,E122),1)*IF(Upgrades!$T$7="Orbital Resonance",POWER(Upgrades!$U$7,F122),1)*IF(Upgrades!$T$8="Orbital Resonance",POWER(Upgrades!$U$8,G122),1)*IF(Upgrades!$T$9="Orbital Resonance",POWER(Upgrades!$U$9,H122),1)*IF(Upgrades!$T$11="Orbital Resonance",POWER(Upgrades!$U$11,J122),1)*IF(Upgrades!$T$12="Orbital Resonance",POWER(Upgrades!$U$12,K122),1))+(IF(J122=0,0,(Upgrades!$M$11+J122*Upgrades!$N$11)*POWER(Upgrades!$O$11,J122)))*(IF(Upgrades!$T$6="Heliopause",POWER(Upgrades!$U$6,E122),1)*IF(Upgrades!$T$7="Heliopause",POWER(Upgrades!$U$7,F122),1)*IF(Upgrades!$T$8="Heliopause",POWER(Upgrades!$U$8,G122),1)*IF(Upgrades!$T$9="Heliopause",POWER(Upgrades!$U$9,H122),1)*IF(Upgrades!$T$10="Heliopause",POWER(Upgrades!$U$10,I122),1)*IF(Upgrades!$T$12="Heliopause",POWER(Upgrades!$U$12,K122),1))+(IF(K122=0,0,(Upgrades!$M$12+K122*Upgrades!$N$12)*POWER(Upgrades!$O$12,K122)))*(IF(Upgrades!$T$6="First Photons",POWER(Upgrades!$U$6,E122),1)*IF(Upgrades!$T$7="First Photons",POWER(Upgrades!$U$7,F122),1)*IF(Upgrades!$T$8="First Photons",POWER(Upgrades!$U$8,G122),1)*IF(Upgrades!$T$9="First Photons",POWER(Upgrades!$U$9,H122),1)*IF(Upgrades!$T$10="First Photons",POWER(Upgrades!$U$10,I122),1)*IF(Upgrades!$T$11="First Photons",POWER(Upgrades!$U$11,J122),1)))*POWER(Upgrades!$R$6,E122)*POWER(Upgrades!$R$7,F122)*POWER(Upgrades!$R$8,G122)*POWER(Upgrades!$R$9,H122)*POWER(Upgrades!$R$10,I122)*POWER(Upgrades!$R$11,J122)*POWER(Upgrades!$R$12,K122)</f>
        <v>0</v>
      </c>
      <c r="P122" s="27" t="n">
        <f aca="false">IF(L122=1,0,M122*Parameters!$B$10/60*Parameters!$B$11*10)</f>
        <v>0</v>
      </c>
      <c r="Q122" s="27" t="n">
        <f aca="false">IF(L122=1,0,O122*M122*10)</f>
        <v>0</v>
      </c>
      <c r="R122" s="27" t="n">
        <f aca="false">IF(L122=1,0,N122*10)</f>
        <v>0</v>
      </c>
      <c r="S122" s="27" t="n">
        <f aca="false">P122+Q122+R122</f>
        <v>0</v>
      </c>
      <c r="T122" s="21" t="n">
        <f aca="false">C122+S122</f>
        <v>18.6730249835055</v>
      </c>
      <c r="U122" s="34" t="str">
        <f aca="false">AX122</f>
        <v/>
      </c>
      <c r="V122" s="21" t="n">
        <f aca="false">IF(U122="",0,IF(U122="transition",0,IF(U122="SW",AG122,IF(U122="AB",AH122,IF(U122="SC",AI122,IF(U122="Mag",AJ122,IF(U122="OR",AK122,IF(U122="HP",AL122,IF(U122="FP",AM122,0)))))))))</f>
        <v>0</v>
      </c>
      <c r="W122" s="27" t="n">
        <f aca="false">IF(U122="OR",Upgrades!$F$10,IF(U122="HP",Upgrades!$F$11,IF(U122="transition",-Parameters!$B$18,0)))</f>
        <v>0</v>
      </c>
      <c r="X122" s="21" t="n">
        <f aca="false">T122-V122</f>
        <v>18.6730249835055</v>
      </c>
      <c r="Y122" s="30" t="n">
        <f aca="false">M122*Parameters!$B$10/60*Parameters!$B$11+O122*M122+N122</f>
        <v>20.55</v>
      </c>
      <c r="Z122" s="35" t="str">
        <f aca="false">IF(U122="transition","→ Tier 2 (Stellar Neighborhood)",IF(U122="FP","First Photons — light begins, system quickens",IF(U122="HP","Heliopause acquired",IF(U122="OR","Orbital Resonance — passive multiplier active",IF(AND(AO122=1,L122=0,AN122&lt;&gt;1),"Cohesion ready (waiting on completionist upgrades)","")))))</f>
        <v/>
      </c>
      <c r="AA122" s="27" t="n">
        <f aca="false">(IF(E122=0,0,(Upgrades!$G$6+E122*Upgrades!$H$6)*POWER(Upgrades!$I$6,E122)))*(IF(Upgrades!$T$7="Solar Wind",POWER(Upgrades!$U$7,F122),1)*IF(Upgrades!$T$8="Solar Wind",POWER(Upgrades!$U$8,G122),1)*IF(Upgrades!$T$9="Solar Wind",POWER(Upgrades!$U$9,H122),1)*IF(Upgrades!$T$10="Solar Wind",POWER(Upgrades!$U$10,I122),1)*IF(Upgrades!$T$11="Solar Wind",POWER(Upgrades!$U$11,J122),1)*IF(Upgrades!$T$12="Solar Wind",POWER(Upgrades!$U$12,K122),1))*POWER(Upgrades!$P$6,E122)*POWER(Upgrades!$P$7,F122)*POWER(Upgrades!$P$8,G122)*POWER(Upgrades!$P$9,H122)*POWER(Upgrades!$P$10,I122)*POWER(Upgrades!$P$11,J122)*POWER(Upgrades!$P$12,K122)*60</f>
        <v>72</v>
      </c>
      <c r="AB122" s="27" t="n">
        <f aca="false">(IF(F122=0,0,(Upgrades!$G$7+F122*Upgrades!$H$7)*POWER(Upgrades!$I$7,F122)))*(IF(Upgrades!$T$6="Asteroid Belt",POWER(Upgrades!$U$6,E122),1)*IF(Upgrades!$T$8="Asteroid Belt",POWER(Upgrades!$U$8,G122),1)*IF(Upgrades!$T$9="Asteroid Belt",POWER(Upgrades!$U$9,H122),1)*IF(Upgrades!$T$10="Asteroid Belt",POWER(Upgrades!$U$10,I122),1)*IF(Upgrades!$T$11="Asteroid Belt",POWER(Upgrades!$U$11,J122),1)*IF(Upgrades!$T$12="Asteroid Belt",POWER(Upgrades!$U$12,K122),1))*POWER(Upgrades!$P$6,E122)*POWER(Upgrades!$P$7,F122)*POWER(Upgrades!$P$8,G122)*POWER(Upgrades!$P$9,H122)*POWER(Upgrades!$P$10,I122)*POWER(Upgrades!$P$11,J122)*POWER(Upgrades!$P$12,K122)*60</f>
        <v>150</v>
      </c>
      <c r="AC122" s="27" t="n">
        <f aca="false">(IF(G122=0,0,(Upgrades!$J$8+G122*Upgrades!$K$8)*POWER(Upgrades!$L$8,G122)))*(IF(Upgrades!$T$6="Stellar Coupling",POWER(Upgrades!$U$6,E122),1)*IF(Upgrades!$T$7="Stellar Coupling",POWER(Upgrades!$U$7,F122),1)*IF(Upgrades!$T$9="Stellar Coupling",POWER(Upgrades!$U$9,H122),1)*IF(Upgrades!$T$10="Stellar Coupling",POWER(Upgrades!$U$10,I122),1)*IF(Upgrades!$T$11="Stellar Coupling",POWER(Upgrades!$U$11,J122),1)*IF(Upgrades!$T$12="Stellar Coupling",POWER(Upgrades!$U$12,K122),1))*POWER(Upgrades!$Q$6,E122)*POWER(Upgrades!$Q$7,F122)*POWER(Upgrades!$Q$8,G122)*POWER(Upgrades!$Q$9,H122)*POWER(Upgrades!$Q$10,I122)*POWER(Upgrades!$Q$11,J122)*POWER(Upgrades!$Q$12,K122)*Parameters!$B$10*Parameters!$B$11</f>
        <v>441</v>
      </c>
      <c r="AD122" s="27" t="n">
        <f aca="false">(IF(H122=0,0,(Upgrades!$G$9+H122*Upgrades!$H$9)*POWER(Upgrades!$I$9,H122)))*(IF(Upgrades!$T$6="Magnetosphere",POWER(Upgrades!$U$6,E122),1)*IF(Upgrades!$T$7="Magnetosphere",POWER(Upgrades!$U$7,F122),1)*IF(Upgrades!$T$8="Magnetosphere",POWER(Upgrades!$U$8,G122),1)*IF(Upgrades!$T$10="Magnetosphere",POWER(Upgrades!$U$10,I122),1)*IF(Upgrades!$T$11="Magnetosphere",POWER(Upgrades!$U$11,J122),1)*IF(Upgrades!$T$12="Magnetosphere",POWER(Upgrades!$U$12,K122),1))*POWER(Upgrades!$P$6,E122)*POWER(Upgrades!$P$7,F122)*POWER(Upgrades!$P$8,G122)*POWER(Upgrades!$P$9,H122)*POWER(Upgrades!$P$10,I122)*POWER(Upgrades!$P$11,J122)*POWER(Upgrades!$P$12,K122)*60</f>
        <v>375</v>
      </c>
      <c r="AE122" s="27" t="n">
        <f aca="false">(IF(K122=0,0,(Upgrades!$G$12+K122*Upgrades!$H$12)*POWER(Upgrades!$I$12,K122)))*(IF(Upgrades!$T$6="First Photons",POWER(Upgrades!$U$6,E122),1)*IF(Upgrades!$T$7="First Photons",POWER(Upgrades!$U$7,F122),1)*IF(Upgrades!$T$8="First Photons",POWER(Upgrades!$U$8,G122),1)*IF(Upgrades!$T$9="First Photons",POWER(Upgrades!$U$9,H122),1)*IF(Upgrades!$T$10="First Photons",POWER(Upgrades!$U$10,I122),1)*IF(Upgrades!$T$11="First Photons",POWER(Upgrades!$U$11,J122),1))*POWER(Upgrades!$P$6,E122)*POWER(Upgrades!$P$7,F122)*POWER(Upgrades!$P$8,G122)*POWER(Upgrades!$P$9,H122)*POWER(Upgrades!$P$10,I122)*POWER(Upgrades!$P$11,J122)*POWER(Upgrades!$P$12,K122)*60</f>
        <v>75</v>
      </c>
      <c r="AF122" s="27" t="n">
        <f aca="false">Parameters!$B$9*POWER(Upgrades!$Q$6,E122)*POWER(Upgrades!$Q$7,F122)*POWER(Upgrades!$Q$8,G122)*POWER(Upgrades!$Q$9,H122)*POWER(Upgrades!$Q$10,I122)*POWER(Upgrades!$Q$11,J122)*POWER(Upgrades!$Q$12,K122)*(Parameters!$B$10*Parameters!$B$11+O122*60)</f>
        <v>120</v>
      </c>
      <c r="AG122" s="21" t="n">
        <f aca="false">IF(E122&gt;=Upgrades!$E$6,"",Upgrades!$C$6*POWER(Upgrades!$D$6,E122))</f>
        <v>37.4517507383159</v>
      </c>
      <c r="AH122" s="21" t="n">
        <f aca="false">IF(F122&gt;=Upgrades!$E$7,"",Upgrades!$C$7*POWER(Upgrades!$D$7,F122))</f>
        <v>80.9111547141581</v>
      </c>
      <c r="AI122" s="21" t="n">
        <f aca="false">IF(G122&gt;=Upgrades!$E$8,"",Upgrades!$C$8*POWER(Upgrades!$D$8,G122))</f>
        <v>231.9097088</v>
      </c>
      <c r="AJ122" s="21" t="str">
        <f aca="false">IF(H122&gt;=Upgrades!$E$9,"",Upgrades!$C$9*POWER(Upgrades!$D$9,H122))</f>
        <v/>
      </c>
      <c r="AK122" s="21" t="str">
        <f aca="false">IF(I122&gt;=Upgrades!$E$10,"",Upgrades!$C$10*POWER(Upgrades!$D$10,I122))</f>
        <v/>
      </c>
      <c r="AL122" s="21" t="str">
        <f aca="false">IF(J122&gt;=Upgrades!$E$11,"",Upgrades!$C$11*POWER(Upgrades!$D$11,J122))</f>
        <v/>
      </c>
      <c r="AM122" s="21" t="str">
        <f aca="false">IF(K122&gt;=Upgrades!$E$12,"",Upgrades!$C$12*POWER(Upgrades!$D$12,K122))</f>
        <v/>
      </c>
      <c r="AN122" s="26" t="str">
        <f aca="false">IF(AND(D122&gt;=Parameters!$B$18,(H122&gt;=Upgrades!$E$9)*(K122&gt;=Upgrades!$E$12)=1,L122=0),1,"")</f>
        <v/>
      </c>
      <c r="AO122" s="26" t="str">
        <f aca="false">IF(AND(D122&gt;=Parameters!$B$18,L122=0),1,"")</f>
        <v/>
      </c>
      <c r="AP122" s="21" t="n">
        <f aca="false">MIN(IF(ISNUMBER(AK122),AK122,9000000000000000),IF(ISNUMBER(AL122),AL122,9000000000000000),IF(ISNUMBER(AM122),AM122,9000000000000000))</f>
        <v>9000000000000000</v>
      </c>
      <c r="AQ122" s="21" t="n">
        <f aca="false">MIN(IF(ISNUMBER(AG122),AG122,9000000000000000),IF(ISNUMBER(AH122),AH122,9000000000000000),IF(ISNUMBER(AI122),AI122,9000000000000000),IF(ISNUMBER(AJ122),AJ122,9000000000000000))</f>
        <v>37.4517507383159</v>
      </c>
      <c r="AR122" s="32" t="b">
        <f aca="false">IF(AW122&gt;Parameters!$B$21*(MAX(IF(AND(NOT(AND(AO122=1,AN122&lt;&gt;1)),ISNUMBER(AG122),AG122&lt;=T122),AS122,0),IF(AND(NOT(AND(AO122=1,AN122&lt;&gt;1)),ISNUMBER(AH122),AH122&lt;=T122),AT122,0),IF(AND(NOT(AND(AO122=1,AN122&lt;&gt;1)),ISNUMBER(AI122),AI122&lt;=T122),AU122,0),IF(AND(ISNUMBER(AJ122),AJ122&lt;=T122),AV122,0))),TRUE(),FALSE())</f>
        <v>1</v>
      </c>
      <c r="AS122" s="33" t="n">
        <f aca="false">IFERROR(Upgrades!$H$6*(POWER(Upgrades!$P$6,E122)*POWER(Upgrades!$P$7,F122)*POWER(Upgrades!$P$8,G122)*POWER(Upgrades!$P$9,H122)*POWER(Upgrades!$P$10,I122)*POWER(Upgrades!$P$11,J122)*POWER(Upgrades!$P$12,K122))*(IF(Upgrades!$T$7="Solar Wind",POWER(Upgrades!$U$7,F122),1)*IF(Upgrades!$T$8="Solar Wind",POWER(Upgrades!$U$8,G122),1)*IF(Upgrades!$T$9="Solar Wind",POWER(Upgrades!$U$9,H122),1)*IF(Upgrades!$T$10="Solar Wind",POWER(Upgrades!$U$10,I122),1)*IF(Upgrades!$T$11="Solar Wind",POWER(Upgrades!$U$11,J122),1)*IF(Upgrades!$T$12="Solar Wind",POWER(Upgrades!$U$12,K122),1))/AG122,0)</f>
        <v>0.0026701021455238</v>
      </c>
      <c r="AT122" s="33" t="n">
        <f aca="false">IFERROR(Upgrades!$H$7*(POWER(Upgrades!$P$6,E122)*POWER(Upgrades!$P$7,F122)*POWER(Upgrades!$P$8,G122)*POWER(Upgrades!$P$9,H122)*POWER(Upgrades!$P$10,I122)*POWER(Upgrades!$P$11,J122)*POWER(Upgrades!$P$12,K122))*(IF(Upgrades!$T$6="Asteroid Belt",POWER(Upgrades!$U$6,E122),1)*IF(Upgrades!$T$8="Asteroid Belt",POWER(Upgrades!$U$8,G122),1)*IF(Upgrades!$T$9="Asteroid Belt",POWER(Upgrades!$U$9,H122),1)*IF(Upgrades!$T$10="Asteroid Belt",POWER(Upgrades!$U$10,I122),1)*IF(Upgrades!$T$11="Asteroid Belt",POWER(Upgrades!$U$11,J122),1)*IF(Upgrades!$T$12="Asteroid Belt",POWER(Upgrades!$U$12,K122),1))/AH122,0)</f>
        <v>0.00308980882652332</v>
      </c>
      <c r="AU122" s="33" t="n">
        <f aca="false">IFERROR(Upgrades!$K$8*(POWER(Upgrades!$Q$6,E122)*POWER(Upgrades!$Q$7,F122)*POWER(Upgrades!$Q$8,G122)*POWER(Upgrades!$Q$9,H122)*POWER(Upgrades!$Q$10,I122)*POWER(Upgrades!$Q$11,J122)*POWER(Upgrades!$Q$12,K122))*(IF(Upgrades!$T$6="Stellar Coupling",POWER(Upgrades!$U$6,E122),1)*IF(Upgrades!$T$7="Stellar Coupling",POWER(Upgrades!$U$7,F122),1)*IF(Upgrades!$T$9="Stellar Coupling",POWER(Upgrades!$U$9,H122),1)*IF(Upgrades!$T$10="Stellar Coupling",POWER(Upgrades!$U$10,I122),1)*IF(Upgrades!$T$11="Stellar Coupling",POWER(Upgrades!$U$11,J122),1)*IF(Upgrades!$T$12="Stellar Coupling",POWER(Upgrades!$U$12,K122),1))*Parameters!$B$10*Parameters!$B$11/60/AI122,0)</f>
        <v>0.00452762415783776</v>
      </c>
      <c r="AV122" s="33" t="n">
        <f aca="false">IFERROR(Upgrades!$H$9*(POWER(Upgrades!$P$6,E122)*POWER(Upgrades!$P$7,F122)*POWER(Upgrades!$P$8,G122)*POWER(Upgrades!$P$9,H122)*POWER(Upgrades!$P$10,I122)*POWER(Upgrades!$P$11,J122)*POWER(Upgrades!$P$12,K122))*(IF(Upgrades!$T$6="Magnetosphere",POWER(Upgrades!$U$6,E122),1)*IF(Upgrades!$T$7="Magnetosphere",POWER(Upgrades!$U$7,F122),1)*IF(Upgrades!$T$8="Magnetosphere",POWER(Upgrades!$U$8,G122),1)*IF(Upgrades!$T$10="Magnetosphere",POWER(Upgrades!$U$10,I122),1)*IF(Upgrades!$T$11="Magnetosphere",POWER(Upgrades!$U$11,J122),1)*IF(Upgrades!$T$12="Magnetosphere",POWER(Upgrades!$U$12,K122),1))/AJ122,0)</f>
        <v>0</v>
      </c>
      <c r="AW122" s="33" t="n">
        <f aca="false">MAX(IF(I122&gt;0,0,IFERROR(0.25*N122/Upgrades!$C$10,0)),IF(J122&gt;0,0,IFERROR(0.5*((IF(G122=0,0,(Upgrades!$J$8+G122*Upgrades!$K$8)*POWER(Upgrades!$L$8,G122)))*(IF(Upgrades!$T$6="Stellar Coupling",POWER(Upgrades!$U$6,E122),1)*IF(Upgrades!$T$7="Stellar Coupling",POWER(Upgrades!$U$7,F122),1)*IF(Upgrades!$T$9="Stellar Coupling",POWER(Upgrades!$U$9,H122),1)*IF(Upgrades!$T$10="Stellar Coupling",POWER(Upgrades!$U$10,I122),1)*IF(Upgrades!$T$11="Stellar Coupling",POWER(Upgrades!$U$11,J122),1)*IF(Upgrades!$T$12="Stellar Coupling",POWER(Upgrades!$U$12,K122),1))*(POWER(Upgrades!$Q$6,E122)*POWER(Upgrades!$Q$7,F122)*POWER(Upgrades!$Q$8,G122)*POWER(Upgrades!$Q$9,H122)*POWER(Upgrades!$Q$10,I122)*POWER(Upgrades!$Q$11,J122)*POWER(Upgrades!$Q$12,K122))*Parameters!$B$10*Parameters!$B$11/60)/Upgrades!$C$11,0)),IF(K122&gt;0,0,IFERROR((1*(POWER(Upgrades!$P$6,E122)*POWER(Upgrades!$P$7,F122)*POWER(Upgrades!$P$8,G122)*POWER(Upgrades!$P$9,H122)*POWER(Upgrades!$P$10,I122)*POWER(Upgrades!$P$11,J122)*POWER(Upgrades!$P$12,K122))+0.2*M122*Parameters!$B$10*Parameters!$B$11/60)/Upgrades!$C$12,0)),IF(AND(ISNUMBER(AG122),AG122&gt;T122),AS122,0),IF(AND(ISNUMBER(AH122),AH122&gt;T122),AT122,0),IF(AND(ISNUMBER(AI122),AI122&gt;T122),AU122,0),IF(AND(ISNUMBER(AJ122),AJ122&gt;T122),AV122,0))</f>
        <v>0.00452762415783776</v>
      </c>
      <c r="AX122" s="29" t="str">
        <f aca="false">IF(AN122=1,"transition",IF(MIN(IF(AND(I122=0,ISNUMBER(AK122),AK122&lt;=T122),AK122,9000000000000000),IF(AND(J122=0,ISNUMBER(AL122),AL122&lt;=T122),AL122,9000000000000000),IF(AND(K122=0,ISNUMBER(AM122),AM122&lt;=T122),AM122,9000000000000000))&lt;9000000000000000,IF(AND(AND(I122=0,ISNUMBER(AK122),AK122&lt;=T122),AK122=MIN(IF(AND(I122=0,ISNUMBER(AK122),AK122&lt;=T122),AK122,9000000000000000),IF(AND(J122=0,ISNUMBER(AL122),AL122&lt;=T122),AL122,9000000000000000),IF(AND(K122=0,ISNUMBER(AM122),AM122&lt;=T122),AM122,9000000000000000))),"OR",IF(AND(AND(J122=0,ISNUMBER(AL122),AL122&lt;=T122),AL122=MIN(IF(AND(I122=0,ISNUMBER(AK122),AK122&lt;=T122),AK122,9000000000000000),IF(AND(J122=0,ISNUMBER(AL122),AL122&lt;=T122),AL122,9000000000000000),IF(AND(K122=0,ISNUMBER(AM122),AM122&lt;=T122),AM122,9000000000000000))),"HP","FP")),IF(AR122=TRUE(),"",IF(MAX(IF(AND(NOT(AND(AO122=1,AN122&lt;&gt;1)),ISNUMBER(AG122),AG122&lt;=T122),AS122,0),IF(AND(NOT(AND(AO122=1,AN122&lt;&gt;1)),ISNUMBER(AH122),AH122&lt;=T122),AT122,0),IF(AND(NOT(AND(AO122=1,AN122&lt;&gt;1)),ISNUMBER(AI122),AI122&lt;=T122),AU122,0),IF(AND(ISNUMBER(AJ122),AJ122&lt;=T122),AV122,0))&lt;=0,"",IF(AND(IF(AND(NOT(AND(AO122=1,AN122&lt;&gt;1)),ISNUMBER(AG122),AG122&lt;=T122),AS122,0)&gt;0,IF(AND(NOT(AND(AO122=1,AN122&lt;&gt;1)),ISNUMBER(AG122),AG122&lt;=T122),AS122,0)=MAX(IF(AND(NOT(AND(AO122=1,AN122&lt;&gt;1)),ISNUMBER(AG122),AG122&lt;=T122),AS122,0),IF(AND(NOT(AND(AO122=1,AN122&lt;&gt;1)),ISNUMBER(AH122),AH122&lt;=T122),AT122,0),IF(AND(NOT(AND(AO122=1,AN122&lt;&gt;1)),ISNUMBER(AI122),AI122&lt;=T122),AU122,0),IF(AND(ISNUMBER(AJ122),AJ122&lt;=T122),AV122,0))),"SW",IF(AND(IF(AND(NOT(AND(AO122=1,AN122&lt;&gt;1)),ISNUMBER(AH122),AH122&lt;=T122),AT122,0)&gt;0,IF(AND(NOT(AND(AO122=1,AN122&lt;&gt;1)),ISNUMBER(AH122),AH122&lt;=T122),AT122,0)=MAX(IF(AND(NOT(AND(AO122=1,AN122&lt;&gt;1)),ISNUMBER(AG122),AG122&lt;=T122),AS122,0),IF(AND(NOT(AND(AO122=1,AN122&lt;&gt;1)),ISNUMBER(AH122),AH122&lt;=T122),AT122,0),IF(AND(NOT(AND(AO122=1,AN122&lt;&gt;1)),ISNUMBER(AI122),AI122&lt;=T122),AU122,0),IF(AND(ISNUMBER(AJ122),AJ122&lt;=T122),AV122,0))),"AB",IF(AND(IF(AND(NOT(AND(AO122=1,AN122&lt;&gt;1)),ISNUMBER(AI122),AI122&lt;=T122),AU122,0)&gt;0,IF(AND(NOT(AND(AO122=1,AN122&lt;&gt;1)),ISNUMBER(AI122),AI122&lt;=T122),AU122,0)=MAX(IF(AND(NOT(AND(AO122=1,AN122&lt;&gt;1)),ISNUMBER(AG122),AG122&lt;=T122),AS122,0),IF(AND(NOT(AND(AO122=1,AN122&lt;&gt;1)),ISNUMBER(AH122),AH122&lt;=T122),AT122,0),IF(AND(NOT(AND(AO122=1,AN122&lt;&gt;1)),ISNUMBER(AI122),AI122&lt;=T122),AU122,0),IF(AND(ISNUMBER(AJ122),AJ122&lt;=T122),AV122,0))),"SC","Mag")))))))</f>
        <v/>
      </c>
    </row>
    <row r="123" customFormat="false" ht="15" hidden="false" customHeight="false" outlineLevel="0" collapsed="false">
      <c r="A123" s="26" t="n">
        <v>118</v>
      </c>
      <c r="B123" s="27" t="n">
        <f aca="false">A123*10/60</f>
        <v>19.6666666666667</v>
      </c>
      <c r="C123" s="21" t="n">
        <f aca="false">X122</f>
        <v>18.6730249835055</v>
      </c>
      <c r="D123" s="27" t="n">
        <f aca="false">D122+W122</f>
        <v>0</v>
      </c>
      <c r="E123" s="26" t="n">
        <f aca="false">E122+IF(U122="SW",1,0)</f>
        <v>12</v>
      </c>
      <c r="F123" s="26" t="n">
        <f aca="false">F122+IF(U122="AB",1,0)</f>
        <v>10</v>
      </c>
      <c r="G123" s="26" t="n">
        <f aca="false">G122+IF(U122="SC",1,0)</f>
        <v>7</v>
      </c>
      <c r="H123" s="26" t="n">
        <f aca="false">H122+IF(U122="Mag",1,0)</f>
        <v>5</v>
      </c>
      <c r="I123" s="26" t="n">
        <f aca="false">MAX(I122,IF(U122="OR",1,0))</f>
        <v>1</v>
      </c>
      <c r="J123" s="26" t="n">
        <f aca="false">MAX(J122,IF(U122="HP",1,0))</f>
        <v>1</v>
      </c>
      <c r="K123" s="26" t="n">
        <f aca="false">MAX(K122,IF(U122="FP",1,0))</f>
        <v>1</v>
      </c>
      <c r="L123" s="26" t="n">
        <f aca="false">MAX(L122,IF(U122="transition",1,0))</f>
        <v>1</v>
      </c>
      <c r="M123" s="28" t="n">
        <f aca="false">(Parameters!$B$9+(IF(E123=0,0,(Upgrades!$J$6+E123*Upgrades!$K$6)*POWER(Upgrades!$L$6,E123)))*(IF(Upgrades!$T$7="Solar Wind",POWER(Upgrades!$U$7,F123),1)*IF(Upgrades!$T$8="Solar Wind",POWER(Upgrades!$U$8,G123),1)*IF(Upgrades!$T$9="Solar Wind",POWER(Upgrades!$U$9,H123),1)*IF(Upgrades!$T$10="Solar Wind",POWER(Upgrades!$U$10,I123),1)*IF(Upgrades!$T$11="Solar Wind",POWER(Upgrades!$U$11,J123),1)*IF(Upgrades!$T$12="Solar Wind",POWER(Upgrades!$U$12,K123),1))+(IF(F123=0,0,(Upgrades!$J$7+F123*Upgrades!$K$7)*POWER(Upgrades!$L$7,F123)))*(IF(Upgrades!$T$6="Asteroid Belt",POWER(Upgrades!$U$6,E123),1)*IF(Upgrades!$T$8="Asteroid Belt",POWER(Upgrades!$U$8,G123),1)*IF(Upgrades!$T$9="Asteroid Belt",POWER(Upgrades!$U$9,H123),1)*IF(Upgrades!$T$10="Asteroid Belt",POWER(Upgrades!$U$10,I123),1)*IF(Upgrades!$T$11="Asteroid Belt",POWER(Upgrades!$U$11,J123),1)*IF(Upgrades!$T$12="Asteroid Belt",POWER(Upgrades!$U$12,K123),1))+(IF(G123=0,0,(Upgrades!$J$8+G123*Upgrades!$K$8)*POWER(Upgrades!$L$8,G123)))*(IF(Upgrades!$T$6="Stellar Coupling",POWER(Upgrades!$U$6,E123),1)*IF(Upgrades!$T$7="Stellar Coupling",POWER(Upgrades!$U$7,F123),1)*IF(Upgrades!$T$9="Stellar Coupling",POWER(Upgrades!$U$9,H123),1)*IF(Upgrades!$T$10="Stellar Coupling",POWER(Upgrades!$U$10,I123),1)*IF(Upgrades!$T$11="Stellar Coupling",POWER(Upgrades!$U$11,J123),1)*IF(Upgrades!$T$12="Stellar Coupling",POWER(Upgrades!$U$12,K123),1))+(IF(H123=0,0,(Upgrades!$J$9+H123*Upgrades!$K$9)*POWER(Upgrades!$L$9,H123)))*(IF(Upgrades!$T$6="Magnetosphere",POWER(Upgrades!$U$6,E123),1)*IF(Upgrades!$T$7="Magnetosphere",POWER(Upgrades!$U$7,F123),1)*IF(Upgrades!$T$8="Magnetosphere",POWER(Upgrades!$U$8,G123),1)*IF(Upgrades!$T$10="Magnetosphere",POWER(Upgrades!$U$10,I123),1)*IF(Upgrades!$T$11="Magnetosphere",POWER(Upgrades!$U$11,J123),1)*IF(Upgrades!$T$12="Magnetosphere",POWER(Upgrades!$U$12,K123),1))+(IF(I123=0,0,(Upgrades!$J$10+I123*Upgrades!$K$10)*POWER(Upgrades!$L$10,I123)))*(IF(Upgrades!$T$6="Orbital Resonance",POWER(Upgrades!$U$6,E123),1)*IF(Upgrades!$T$7="Orbital Resonance",POWER(Upgrades!$U$7,F123),1)*IF(Upgrades!$T$8="Orbital Resonance",POWER(Upgrades!$U$8,G123),1)*IF(Upgrades!$T$9="Orbital Resonance",POWER(Upgrades!$U$9,H123),1)*IF(Upgrades!$T$11="Orbital Resonance",POWER(Upgrades!$U$11,J123),1)*IF(Upgrades!$T$12="Orbital Resonance",POWER(Upgrades!$U$12,K123),1))+(IF(J123=0,0,(Upgrades!$J$11+J123*Upgrades!$K$11)*POWER(Upgrades!$L$11,J123)))*(IF(Upgrades!$T$6="Heliopause",POWER(Upgrades!$U$6,E123),1)*IF(Upgrades!$T$7="Heliopause",POWER(Upgrades!$U$7,F123),1)*IF(Upgrades!$T$8="Heliopause",POWER(Upgrades!$U$8,G123),1)*IF(Upgrades!$T$9="Heliopause",POWER(Upgrades!$U$9,H123),1)*IF(Upgrades!$T$10="Heliopause",POWER(Upgrades!$U$10,I123),1)*IF(Upgrades!$T$12="Heliopause",POWER(Upgrades!$U$12,K123),1))+(IF(K123=0,0,(Upgrades!$J$12+K123*Upgrades!$K$12)*POWER(Upgrades!$L$12,K123)))*(IF(Upgrades!$T$6="First Photons",POWER(Upgrades!$U$6,E123),1)*IF(Upgrades!$T$7="First Photons",POWER(Upgrades!$U$7,F123),1)*IF(Upgrades!$T$8="First Photons",POWER(Upgrades!$U$8,G123),1)*IF(Upgrades!$T$9="First Photons",POWER(Upgrades!$U$9,H123),1)*IF(Upgrades!$T$10="First Photons",POWER(Upgrades!$U$10,I123),1)*IF(Upgrades!$T$11="First Photons",POWER(Upgrades!$U$11,J123),1)))*POWER(Upgrades!$Q$6,E123)*POWER(Upgrades!$Q$7,F123)*POWER(Upgrades!$Q$8,G123)*POWER(Upgrades!$Q$9,H123)*POWER(Upgrades!$Q$10,I123)*POWER(Upgrades!$Q$11,J123)*POWER(Upgrades!$Q$12,K123)</f>
        <v>5.61</v>
      </c>
      <c r="N123" s="28" t="n">
        <f aca="false">((IF(E123=0,0,(Upgrades!$G$6+E123*Upgrades!$H$6)*POWER(Upgrades!$I$6,E123)))*(IF(Upgrades!$T$7="Solar Wind",POWER(Upgrades!$U$7,F123),1)*IF(Upgrades!$T$8="Solar Wind",POWER(Upgrades!$U$8,G123),1)*IF(Upgrades!$T$9="Solar Wind",POWER(Upgrades!$U$9,H123),1)*IF(Upgrades!$T$10="Solar Wind",POWER(Upgrades!$U$10,I123),1)*IF(Upgrades!$T$11="Solar Wind",POWER(Upgrades!$U$11,J123),1)*IF(Upgrades!$T$12="Solar Wind",POWER(Upgrades!$U$12,K123),1))+(IF(F123=0,0,(Upgrades!$G$7+F123*Upgrades!$H$7)*POWER(Upgrades!$I$7,F123)))*(IF(Upgrades!$T$6="Asteroid Belt",POWER(Upgrades!$U$6,E123),1)*IF(Upgrades!$T$8="Asteroid Belt",POWER(Upgrades!$U$8,G123),1)*IF(Upgrades!$T$9="Asteroid Belt",POWER(Upgrades!$U$9,H123),1)*IF(Upgrades!$T$10="Asteroid Belt",POWER(Upgrades!$U$10,I123),1)*IF(Upgrades!$T$11="Asteroid Belt",POWER(Upgrades!$U$11,J123),1)*IF(Upgrades!$T$12="Asteroid Belt",POWER(Upgrades!$U$12,K123),1))+(IF(G123=0,0,(Upgrades!$G$8+G123*Upgrades!$H$8)*POWER(Upgrades!$I$8,G123)))*(IF(Upgrades!$T$6="Stellar Coupling",POWER(Upgrades!$U$6,E123),1)*IF(Upgrades!$T$7="Stellar Coupling",POWER(Upgrades!$U$7,F123),1)*IF(Upgrades!$T$9="Stellar Coupling",POWER(Upgrades!$U$9,H123),1)*IF(Upgrades!$T$10="Stellar Coupling",POWER(Upgrades!$U$10,I123),1)*IF(Upgrades!$T$11="Stellar Coupling",POWER(Upgrades!$U$11,J123),1)*IF(Upgrades!$T$12="Stellar Coupling",POWER(Upgrades!$U$12,K123),1))+(IF(H123=0,0,(Upgrades!$G$9+H123*Upgrades!$H$9)*POWER(Upgrades!$I$9,H123)))*(IF(Upgrades!$T$6="Magnetosphere",POWER(Upgrades!$U$6,E123),1)*IF(Upgrades!$T$7="Magnetosphere",POWER(Upgrades!$U$7,F123),1)*IF(Upgrades!$T$8="Magnetosphere",POWER(Upgrades!$U$8,G123),1)*IF(Upgrades!$T$10="Magnetosphere",POWER(Upgrades!$U$10,I123),1)*IF(Upgrades!$T$11="Magnetosphere",POWER(Upgrades!$U$11,J123),1)*IF(Upgrades!$T$12="Magnetosphere",POWER(Upgrades!$U$12,K123),1))+(IF(I123=0,0,(Upgrades!$G$10+I123*Upgrades!$H$10)*POWER(Upgrades!$I$10,I123)))*(IF(Upgrades!$T$6="Orbital Resonance",POWER(Upgrades!$U$6,E123),1)*IF(Upgrades!$T$7="Orbital Resonance",POWER(Upgrades!$U$7,F123),1)*IF(Upgrades!$T$8="Orbital Resonance",POWER(Upgrades!$U$8,G123),1)*IF(Upgrades!$T$9="Orbital Resonance",POWER(Upgrades!$U$9,H123),1)*IF(Upgrades!$T$11="Orbital Resonance",POWER(Upgrades!$U$11,J123),1)*IF(Upgrades!$T$12="Orbital Resonance",POWER(Upgrades!$U$12,K123),1))+(IF(J123=0,0,(Upgrades!$G$11+J123*Upgrades!$H$11)*POWER(Upgrades!$I$11,J123)))*(IF(Upgrades!$T$6="Heliopause",POWER(Upgrades!$U$6,E123),1)*IF(Upgrades!$T$7="Heliopause",POWER(Upgrades!$U$7,F123),1)*IF(Upgrades!$T$8="Heliopause",POWER(Upgrades!$U$8,G123),1)*IF(Upgrades!$T$9="Heliopause",POWER(Upgrades!$U$9,H123),1)*IF(Upgrades!$T$10="Heliopause",POWER(Upgrades!$U$10,I123),1)*IF(Upgrades!$T$12="Heliopause",POWER(Upgrades!$U$12,K123),1))+(IF(K123=0,0,(Upgrades!$G$12+K123*Upgrades!$H$12)*POWER(Upgrades!$I$12,K123)))*(IF(Upgrades!$T$6="First Photons",POWER(Upgrades!$U$6,E123),1)*IF(Upgrades!$T$7="First Photons",POWER(Upgrades!$U$7,F123),1)*IF(Upgrades!$T$8="First Photons",POWER(Upgrades!$U$8,G123),1)*IF(Upgrades!$T$9="First Photons",POWER(Upgrades!$U$9,H123),1)*IF(Upgrades!$T$10="First Photons",POWER(Upgrades!$U$10,I123),1)*IF(Upgrades!$T$11="First Photons",POWER(Upgrades!$U$11,J123),1)))*POWER(Upgrades!$P$6,E123)*POWER(Upgrades!$P$7,F123)*POWER(Upgrades!$P$8,G123)*POWER(Upgrades!$P$9,H123)*POWER(Upgrades!$P$10,I123)*POWER(Upgrades!$P$11,J123)*POWER(Upgrades!$P$12,K123)</f>
        <v>11.2</v>
      </c>
      <c r="O123" s="28" t="n">
        <f aca="false">((IF(E123=0,0,(Upgrades!$M$6+E123*Upgrades!$N$6)*POWER(Upgrades!$O$6,E123)))*(IF(Upgrades!$T$7="Solar Wind",POWER(Upgrades!$U$7,F123),1)*IF(Upgrades!$T$8="Solar Wind",POWER(Upgrades!$U$8,G123),1)*IF(Upgrades!$T$9="Solar Wind",POWER(Upgrades!$U$9,H123),1)*IF(Upgrades!$T$10="Solar Wind",POWER(Upgrades!$U$10,I123),1)*IF(Upgrades!$T$11="Solar Wind",POWER(Upgrades!$U$11,J123),1)*IF(Upgrades!$T$12="Solar Wind",POWER(Upgrades!$U$12,K123),1))+(IF(F123=0,0,(Upgrades!$M$7+F123*Upgrades!$N$7)*POWER(Upgrades!$O$7,F123)))*(IF(Upgrades!$T$6="Asteroid Belt",POWER(Upgrades!$U$6,E123),1)*IF(Upgrades!$T$8="Asteroid Belt",POWER(Upgrades!$U$8,G123),1)*IF(Upgrades!$T$9="Asteroid Belt",POWER(Upgrades!$U$9,H123),1)*IF(Upgrades!$T$10="Asteroid Belt",POWER(Upgrades!$U$10,I123),1)*IF(Upgrades!$T$11="Asteroid Belt",POWER(Upgrades!$U$11,J123),1)*IF(Upgrades!$T$12="Asteroid Belt",POWER(Upgrades!$U$12,K123),1))+(IF(G123=0,0,(Upgrades!$M$8+G123*Upgrades!$N$8)*POWER(Upgrades!$O$8,G123)))*(IF(Upgrades!$T$6="Stellar Coupling",POWER(Upgrades!$U$6,E123),1)*IF(Upgrades!$T$7="Stellar Coupling",POWER(Upgrades!$U$7,F123),1)*IF(Upgrades!$T$9="Stellar Coupling",POWER(Upgrades!$U$9,H123),1)*IF(Upgrades!$T$10="Stellar Coupling",POWER(Upgrades!$U$10,I123),1)*IF(Upgrades!$T$11="Stellar Coupling",POWER(Upgrades!$U$11,J123),1)*IF(Upgrades!$T$12="Stellar Coupling",POWER(Upgrades!$U$12,K123),1))+(IF(H123=0,0,(Upgrades!$M$9+H123*Upgrades!$N$9)*POWER(Upgrades!$O$9,H123)))*(IF(Upgrades!$T$6="Magnetosphere",POWER(Upgrades!$U$6,E123),1)*IF(Upgrades!$T$7="Magnetosphere",POWER(Upgrades!$U$7,F123),1)*IF(Upgrades!$T$8="Magnetosphere",POWER(Upgrades!$U$8,G123),1)*IF(Upgrades!$T$10="Magnetosphere",POWER(Upgrades!$U$10,I123),1)*IF(Upgrades!$T$11="Magnetosphere",POWER(Upgrades!$U$11,J123),1)*IF(Upgrades!$T$12="Magnetosphere",POWER(Upgrades!$U$12,K123),1))+(IF(I123=0,0,(Upgrades!$M$10+I123*Upgrades!$N$10)*POWER(Upgrades!$O$10,I123)))*(IF(Upgrades!$T$6="Orbital Resonance",POWER(Upgrades!$U$6,E123),1)*IF(Upgrades!$T$7="Orbital Resonance",POWER(Upgrades!$U$7,F123),1)*IF(Upgrades!$T$8="Orbital Resonance",POWER(Upgrades!$U$8,G123),1)*IF(Upgrades!$T$9="Orbital Resonance",POWER(Upgrades!$U$9,H123),1)*IF(Upgrades!$T$11="Orbital Resonance",POWER(Upgrades!$U$11,J123),1)*IF(Upgrades!$T$12="Orbital Resonance",POWER(Upgrades!$U$12,K123),1))+(IF(J123=0,0,(Upgrades!$M$11+J123*Upgrades!$N$11)*POWER(Upgrades!$O$11,J123)))*(IF(Upgrades!$T$6="Heliopause",POWER(Upgrades!$U$6,E123),1)*IF(Upgrades!$T$7="Heliopause",POWER(Upgrades!$U$7,F123),1)*IF(Upgrades!$T$8="Heliopause",POWER(Upgrades!$U$8,G123),1)*IF(Upgrades!$T$9="Heliopause",POWER(Upgrades!$U$9,H123),1)*IF(Upgrades!$T$10="Heliopause",POWER(Upgrades!$U$10,I123),1)*IF(Upgrades!$T$12="Heliopause",POWER(Upgrades!$U$12,K123),1))+(IF(K123=0,0,(Upgrades!$M$12+K123*Upgrades!$N$12)*POWER(Upgrades!$O$12,K123)))*(IF(Upgrades!$T$6="First Photons",POWER(Upgrades!$U$6,E123),1)*IF(Upgrades!$T$7="First Photons",POWER(Upgrades!$U$7,F123),1)*IF(Upgrades!$T$8="First Photons",POWER(Upgrades!$U$8,G123),1)*IF(Upgrades!$T$9="First Photons",POWER(Upgrades!$U$9,H123),1)*IF(Upgrades!$T$10="First Photons",POWER(Upgrades!$U$10,I123),1)*IF(Upgrades!$T$11="First Photons",POWER(Upgrades!$U$11,J123),1)))*POWER(Upgrades!$R$6,E123)*POWER(Upgrades!$R$7,F123)*POWER(Upgrades!$R$8,G123)*POWER(Upgrades!$R$9,H123)*POWER(Upgrades!$R$10,I123)*POWER(Upgrades!$R$11,J123)*POWER(Upgrades!$R$12,K123)</f>
        <v>0</v>
      </c>
      <c r="P123" s="27" t="n">
        <f aca="false">IF(L123=1,0,M123*Parameters!$B$10/60*Parameters!$B$11*10)</f>
        <v>0</v>
      </c>
      <c r="Q123" s="27" t="n">
        <f aca="false">IF(L123=1,0,O123*M123*10)</f>
        <v>0</v>
      </c>
      <c r="R123" s="27" t="n">
        <f aca="false">IF(L123=1,0,N123*10)</f>
        <v>0</v>
      </c>
      <c r="S123" s="27" t="n">
        <f aca="false">P123+Q123+R123</f>
        <v>0</v>
      </c>
      <c r="T123" s="21" t="n">
        <f aca="false">C123+S123</f>
        <v>18.6730249835055</v>
      </c>
      <c r="U123" s="34" t="str">
        <f aca="false">AX123</f>
        <v/>
      </c>
      <c r="V123" s="21" t="n">
        <f aca="false">IF(U123="",0,IF(U123="transition",0,IF(U123="SW",AG123,IF(U123="AB",AH123,IF(U123="SC",AI123,IF(U123="Mag",AJ123,IF(U123="OR",AK123,IF(U123="HP",AL123,IF(U123="FP",AM123,0)))))))))</f>
        <v>0</v>
      </c>
      <c r="W123" s="27" t="n">
        <f aca="false">IF(U123="OR",Upgrades!$F$10,IF(U123="HP",Upgrades!$F$11,IF(U123="transition",-Parameters!$B$18,0)))</f>
        <v>0</v>
      </c>
      <c r="X123" s="21" t="n">
        <f aca="false">T123-V123</f>
        <v>18.6730249835055</v>
      </c>
      <c r="Y123" s="30" t="n">
        <f aca="false">M123*Parameters!$B$10/60*Parameters!$B$11+O123*M123+N123</f>
        <v>20.55</v>
      </c>
      <c r="Z123" s="35" t="str">
        <f aca="false">IF(U123="transition","→ Tier 2 (Stellar Neighborhood)",IF(U123="FP","First Photons — light begins, system quickens",IF(U123="HP","Heliopause acquired",IF(U123="OR","Orbital Resonance — passive multiplier active",IF(AND(AO123=1,L123=0,AN123&lt;&gt;1),"Cohesion ready (waiting on completionist upgrades)","")))))</f>
        <v/>
      </c>
      <c r="AA123" s="27" t="n">
        <f aca="false">(IF(E123=0,0,(Upgrades!$G$6+E123*Upgrades!$H$6)*POWER(Upgrades!$I$6,E123)))*(IF(Upgrades!$T$7="Solar Wind",POWER(Upgrades!$U$7,F123),1)*IF(Upgrades!$T$8="Solar Wind",POWER(Upgrades!$U$8,G123),1)*IF(Upgrades!$T$9="Solar Wind",POWER(Upgrades!$U$9,H123),1)*IF(Upgrades!$T$10="Solar Wind",POWER(Upgrades!$U$10,I123),1)*IF(Upgrades!$T$11="Solar Wind",POWER(Upgrades!$U$11,J123),1)*IF(Upgrades!$T$12="Solar Wind",POWER(Upgrades!$U$12,K123),1))*POWER(Upgrades!$P$6,E123)*POWER(Upgrades!$P$7,F123)*POWER(Upgrades!$P$8,G123)*POWER(Upgrades!$P$9,H123)*POWER(Upgrades!$P$10,I123)*POWER(Upgrades!$P$11,J123)*POWER(Upgrades!$P$12,K123)*60</f>
        <v>72</v>
      </c>
      <c r="AB123" s="27" t="n">
        <f aca="false">(IF(F123=0,0,(Upgrades!$G$7+F123*Upgrades!$H$7)*POWER(Upgrades!$I$7,F123)))*(IF(Upgrades!$T$6="Asteroid Belt",POWER(Upgrades!$U$6,E123),1)*IF(Upgrades!$T$8="Asteroid Belt",POWER(Upgrades!$U$8,G123),1)*IF(Upgrades!$T$9="Asteroid Belt",POWER(Upgrades!$U$9,H123),1)*IF(Upgrades!$T$10="Asteroid Belt",POWER(Upgrades!$U$10,I123),1)*IF(Upgrades!$T$11="Asteroid Belt",POWER(Upgrades!$U$11,J123),1)*IF(Upgrades!$T$12="Asteroid Belt",POWER(Upgrades!$U$12,K123),1))*POWER(Upgrades!$P$6,E123)*POWER(Upgrades!$P$7,F123)*POWER(Upgrades!$P$8,G123)*POWER(Upgrades!$P$9,H123)*POWER(Upgrades!$P$10,I123)*POWER(Upgrades!$P$11,J123)*POWER(Upgrades!$P$12,K123)*60</f>
        <v>150</v>
      </c>
      <c r="AC123" s="27" t="n">
        <f aca="false">(IF(G123=0,0,(Upgrades!$J$8+G123*Upgrades!$K$8)*POWER(Upgrades!$L$8,G123)))*(IF(Upgrades!$T$6="Stellar Coupling",POWER(Upgrades!$U$6,E123),1)*IF(Upgrades!$T$7="Stellar Coupling",POWER(Upgrades!$U$7,F123),1)*IF(Upgrades!$T$9="Stellar Coupling",POWER(Upgrades!$U$9,H123),1)*IF(Upgrades!$T$10="Stellar Coupling",POWER(Upgrades!$U$10,I123),1)*IF(Upgrades!$T$11="Stellar Coupling",POWER(Upgrades!$U$11,J123),1)*IF(Upgrades!$T$12="Stellar Coupling",POWER(Upgrades!$U$12,K123),1))*POWER(Upgrades!$Q$6,E123)*POWER(Upgrades!$Q$7,F123)*POWER(Upgrades!$Q$8,G123)*POWER(Upgrades!$Q$9,H123)*POWER(Upgrades!$Q$10,I123)*POWER(Upgrades!$Q$11,J123)*POWER(Upgrades!$Q$12,K123)*Parameters!$B$10*Parameters!$B$11</f>
        <v>441</v>
      </c>
      <c r="AD123" s="27" t="n">
        <f aca="false">(IF(H123=0,0,(Upgrades!$G$9+H123*Upgrades!$H$9)*POWER(Upgrades!$I$9,H123)))*(IF(Upgrades!$T$6="Magnetosphere",POWER(Upgrades!$U$6,E123),1)*IF(Upgrades!$T$7="Magnetosphere",POWER(Upgrades!$U$7,F123),1)*IF(Upgrades!$T$8="Magnetosphere",POWER(Upgrades!$U$8,G123),1)*IF(Upgrades!$T$10="Magnetosphere",POWER(Upgrades!$U$10,I123),1)*IF(Upgrades!$T$11="Magnetosphere",POWER(Upgrades!$U$11,J123),1)*IF(Upgrades!$T$12="Magnetosphere",POWER(Upgrades!$U$12,K123),1))*POWER(Upgrades!$P$6,E123)*POWER(Upgrades!$P$7,F123)*POWER(Upgrades!$P$8,G123)*POWER(Upgrades!$P$9,H123)*POWER(Upgrades!$P$10,I123)*POWER(Upgrades!$P$11,J123)*POWER(Upgrades!$P$12,K123)*60</f>
        <v>375</v>
      </c>
      <c r="AE123" s="27" t="n">
        <f aca="false">(IF(K123=0,0,(Upgrades!$G$12+K123*Upgrades!$H$12)*POWER(Upgrades!$I$12,K123)))*(IF(Upgrades!$T$6="First Photons",POWER(Upgrades!$U$6,E123),1)*IF(Upgrades!$T$7="First Photons",POWER(Upgrades!$U$7,F123),1)*IF(Upgrades!$T$8="First Photons",POWER(Upgrades!$U$8,G123),1)*IF(Upgrades!$T$9="First Photons",POWER(Upgrades!$U$9,H123),1)*IF(Upgrades!$T$10="First Photons",POWER(Upgrades!$U$10,I123),1)*IF(Upgrades!$T$11="First Photons",POWER(Upgrades!$U$11,J123),1))*POWER(Upgrades!$P$6,E123)*POWER(Upgrades!$P$7,F123)*POWER(Upgrades!$P$8,G123)*POWER(Upgrades!$P$9,H123)*POWER(Upgrades!$P$10,I123)*POWER(Upgrades!$P$11,J123)*POWER(Upgrades!$P$12,K123)*60</f>
        <v>75</v>
      </c>
      <c r="AF123" s="27" t="n">
        <f aca="false">Parameters!$B$9*POWER(Upgrades!$Q$6,E123)*POWER(Upgrades!$Q$7,F123)*POWER(Upgrades!$Q$8,G123)*POWER(Upgrades!$Q$9,H123)*POWER(Upgrades!$Q$10,I123)*POWER(Upgrades!$Q$11,J123)*POWER(Upgrades!$Q$12,K123)*(Parameters!$B$10*Parameters!$B$11+O123*60)</f>
        <v>120</v>
      </c>
      <c r="AG123" s="21" t="n">
        <f aca="false">IF(E123&gt;=Upgrades!$E$6,"",Upgrades!$C$6*POWER(Upgrades!$D$6,E123))</f>
        <v>37.4517507383159</v>
      </c>
      <c r="AH123" s="21" t="n">
        <f aca="false">IF(F123&gt;=Upgrades!$E$7,"",Upgrades!$C$7*POWER(Upgrades!$D$7,F123))</f>
        <v>80.9111547141581</v>
      </c>
      <c r="AI123" s="21" t="n">
        <f aca="false">IF(G123&gt;=Upgrades!$E$8,"",Upgrades!$C$8*POWER(Upgrades!$D$8,G123))</f>
        <v>231.9097088</v>
      </c>
      <c r="AJ123" s="21" t="str">
        <f aca="false">IF(H123&gt;=Upgrades!$E$9,"",Upgrades!$C$9*POWER(Upgrades!$D$9,H123))</f>
        <v/>
      </c>
      <c r="AK123" s="21" t="str">
        <f aca="false">IF(I123&gt;=Upgrades!$E$10,"",Upgrades!$C$10*POWER(Upgrades!$D$10,I123))</f>
        <v/>
      </c>
      <c r="AL123" s="21" t="str">
        <f aca="false">IF(J123&gt;=Upgrades!$E$11,"",Upgrades!$C$11*POWER(Upgrades!$D$11,J123))</f>
        <v/>
      </c>
      <c r="AM123" s="21" t="str">
        <f aca="false">IF(K123&gt;=Upgrades!$E$12,"",Upgrades!$C$12*POWER(Upgrades!$D$12,K123))</f>
        <v/>
      </c>
      <c r="AN123" s="26" t="str">
        <f aca="false">IF(AND(D123&gt;=Parameters!$B$18,(H123&gt;=Upgrades!$E$9)*(K123&gt;=Upgrades!$E$12)=1,L123=0),1,"")</f>
        <v/>
      </c>
      <c r="AO123" s="26" t="str">
        <f aca="false">IF(AND(D123&gt;=Parameters!$B$18,L123=0),1,"")</f>
        <v/>
      </c>
      <c r="AP123" s="21" t="n">
        <f aca="false">MIN(IF(ISNUMBER(AK123),AK123,9000000000000000),IF(ISNUMBER(AL123),AL123,9000000000000000),IF(ISNUMBER(AM123),AM123,9000000000000000))</f>
        <v>9000000000000000</v>
      </c>
      <c r="AQ123" s="21" t="n">
        <f aca="false">MIN(IF(ISNUMBER(AG123),AG123,9000000000000000),IF(ISNUMBER(AH123),AH123,9000000000000000),IF(ISNUMBER(AI123),AI123,9000000000000000),IF(ISNUMBER(AJ123),AJ123,9000000000000000))</f>
        <v>37.4517507383159</v>
      </c>
      <c r="AR123" s="32" t="b">
        <f aca="false">IF(AW123&gt;Parameters!$B$21*(MAX(IF(AND(NOT(AND(AO123=1,AN123&lt;&gt;1)),ISNUMBER(AG123),AG123&lt;=T123),AS123,0),IF(AND(NOT(AND(AO123=1,AN123&lt;&gt;1)),ISNUMBER(AH123),AH123&lt;=T123),AT123,0),IF(AND(NOT(AND(AO123=1,AN123&lt;&gt;1)),ISNUMBER(AI123),AI123&lt;=T123),AU123,0),IF(AND(ISNUMBER(AJ123),AJ123&lt;=T123),AV123,0))),TRUE(),FALSE())</f>
        <v>1</v>
      </c>
      <c r="AS123" s="33" t="n">
        <f aca="false">IFERROR(Upgrades!$H$6*(POWER(Upgrades!$P$6,E123)*POWER(Upgrades!$P$7,F123)*POWER(Upgrades!$P$8,G123)*POWER(Upgrades!$P$9,H123)*POWER(Upgrades!$P$10,I123)*POWER(Upgrades!$P$11,J123)*POWER(Upgrades!$P$12,K123))*(IF(Upgrades!$T$7="Solar Wind",POWER(Upgrades!$U$7,F123),1)*IF(Upgrades!$T$8="Solar Wind",POWER(Upgrades!$U$8,G123),1)*IF(Upgrades!$T$9="Solar Wind",POWER(Upgrades!$U$9,H123),1)*IF(Upgrades!$T$10="Solar Wind",POWER(Upgrades!$U$10,I123),1)*IF(Upgrades!$T$11="Solar Wind",POWER(Upgrades!$U$11,J123),1)*IF(Upgrades!$T$12="Solar Wind",POWER(Upgrades!$U$12,K123),1))/AG123,0)</f>
        <v>0.0026701021455238</v>
      </c>
      <c r="AT123" s="33" t="n">
        <f aca="false">IFERROR(Upgrades!$H$7*(POWER(Upgrades!$P$6,E123)*POWER(Upgrades!$P$7,F123)*POWER(Upgrades!$P$8,G123)*POWER(Upgrades!$P$9,H123)*POWER(Upgrades!$P$10,I123)*POWER(Upgrades!$P$11,J123)*POWER(Upgrades!$P$12,K123))*(IF(Upgrades!$T$6="Asteroid Belt",POWER(Upgrades!$U$6,E123),1)*IF(Upgrades!$T$8="Asteroid Belt",POWER(Upgrades!$U$8,G123),1)*IF(Upgrades!$T$9="Asteroid Belt",POWER(Upgrades!$U$9,H123),1)*IF(Upgrades!$T$10="Asteroid Belt",POWER(Upgrades!$U$10,I123),1)*IF(Upgrades!$T$11="Asteroid Belt",POWER(Upgrades!$U$11,J123),1)*IF(Upgrades!$T$12="Asteroid Belt",POWER(Upgrades!$U$12,K123),1))/AH123,0)</f>
        <v>0.00308980882652332</v>
      </c>
      <c r="AU123" s="33" t="n">
        <f aca="false">IFERROR(Upgrades!$K$8*(POWER(Upgrades!$Q$6,E123)*POWER(Upgrades!$Q$7,F123)*POWER(Upgrades!$Q$8,G123)*POWER(Upgrades!$Q$9,H123)*POWER(Upgrades!$Q$10,I123)*POWER(Upgrades!$Q$11,J123)*POWER(Upgrades!$Q$12,K123))*(IF(Upgrades!$T$6="Stellar Coupling",POWER(Upgrades!$U$6,E123),1)*IF(Upgrades!$T$7="Stellar Coupling",POWER(Upgrades!$U$7,F123),1)*IF(Upgrades!$T$9="Stellar Coupling",POWER(Upgrades!$U$9,H123),1)*IF(Upgrades!$T$10="Stellar Coupling",POWER(Upgrades!$U$10,I123),1)*IF(Upgrades!$T$11="Stellar Coupling",POWER(Upgrades!$U$11,J123),1)*IF(Upgrades!$T$12="Stellar Coupling",POWER(Upgrades!$U$12,K123),1))*Parameters!$B$10*Parameters!$B$11/60/AI123,0)</f>
        <v>0.00452762415783776</v>
      </c>
      <c r="AV123" s="33" t="n">
        <f aca="false">IFERROR(Upgrades!$H$9*(POWER(Upgrades!$P$6,E123)*POWER(Upgrades!$P$7,F123)*POWER(Upgrades!$P$8,G123)*POWER(Upgrades!$P$9,H123)*POWER(Upgrades!$P$10,I123)*POWER(Upgrades!$P$11,J123)*POWER(Upgrades!$P$12,K123))*(IF(Upgrades!$T$6="Magnetosphere",POWER(Upgrades!$U$6,E123),1)*IF(Upgrades!$T$7="Magnetosphere",POWER(Upgrades!$U$7,F123),1)*IF(Upgrades!$T$8="Magnetosphere",POWER(Upgrades!$U$8,G123),1)*IF(Upgrades!$T$10="Magnetosphere",POWER(Upgrades!$U$10,I123),1)*IF(Upgrades!$T$11="Magnetosphere",POWER(Upgrades!$U$11,J123),1)*IF(Upgrades!$T$12="Magnetosphere",POWER(Upgrades!$U$12,K123),1))/AJ123,0)</f>
        <v>0</v>
      </c>
      <c r="AW123" s="33" t="n">
        <f aca="false">MAX(IF(I123&gt;0,0,IFERROR(0.25*N123/Upgrades!$C$10,0)),IF(J123&gt;0,0,IFERROR(0.5*((IF(G123=0,0,(Upgrades!$J$8+G123*Upgrades!$K$8)*POWER(Upgrades!$L$8,G123)))*(IF(Upgrades!$T$6="Stellar Coupling",POWER(Upgrades!$U$6,E123),1)*IF(Upgrades!$T$7="Stellar Coupling",POWER(Upgrades!$U$7,F123),1)*IF(Upgrades!$T$9="Stellar Coupling",POWER(Upgrades!$U$9,H123),1)*IF(Upgrades!$T$10="Stellar Coupling",POWER(Upgrades!$U$10,I123),1)*IF(Upgrades!$T$11="Stellar Coupling",POWER(Upgrades!$U$11,J123),1)*IF(Upgrades!$T$12="Stellar Coupling",POWER(Upgrades!$U$12,K123),1))*(POWER(Upgrades!$Q$6,E123)*POWER(Upgrades!$Q$7,F123)*POWER(Upgrades!$Q$8,G123)*POWER(Upgrades!$Q$9,H123)*POWER(Upgrades!$Q$10,I123)*POWER(Upgrades!$Q$11,J123)*POWER(Upgrades!$Q$12,K123))*Parameters!$B$10*Parameters!$B$11/60)/Upgrades!$C$11,0)),IF(K123&gt;0,0,IFERROR((1*(POWER(Upgrades!$P$6,E123)*POWER(Upgrades!$P$7,F123)*POWER(Upgrades!$P$8,G123)*POWER(Upgrades!$P$9,H123)*POWER(Upgrades!$P$10,I123)*POWER(Upgrades!$P$11,J123)*POWER(Upgrades!$P$12,K123))+0.2*M123*Parameters!$B$10*Parameters!$B$11/60)/Upgrades!$C$12,0)),IF(AND(ISNUMBER(AG123),AG123&gt;T123),AS123,0),IF(AND(ISNUMBER(AH123),AH123&gt;T123),AT123,0),IF(AND(ISNUMBER(AI123),AI123&gt;T123),AU123,0),IF(AND(ISNUMBER(AJ123),AJ123&gt;T123),AV123,0))</f>
        <v>0.00452762415783776</v>
      </c>
      <c r="AX123" s="29" t="str">
        <f aca="false">IF(AN123=1,"transition",IF(MIN(IF(AND(I123=0,ISNUMBER(AK123),AK123&lt;=T123),AK123,9000000000000000),IF(AND(J123=0,ISNUMBER(AL123),AL123&lt;=T123),AL123,9000000000000000),IF(AND(K123=0,ISNUMBER(AM123),AM123&lt;=T123),AM123,9000000000000000))&lt;9000000000000000,IF(AND(AND(I123=0,ISNUMBER(AK123),AK123&lt;=T123),AK123=MIN(IF(AND(I123=0,ISNUMBER(AK123),AK123&lt;=T123),AK123,9000000000000000),IF(AND(J123=0,ISNUMBER(AL123),AL123&lt;=T123),AL123,9000000000000000),IF(AND(K123=0,ISNUMBER(AM123),AM123&lt;=T123),AM123,9000000000000000))),"OR",IF(AND(AND(J123=0,ISNUMBER(AL123),AL123&lt;=T123),AL123=MIN(IF(AND(I123=0,ISNUMBER(AK123),AK123&lt;=T123),AK123,9000000000000000),IF(AND(J123=0,ISNUMBER(AL123),AL123&lt;=T123),AL123,9000000000000000),IF(AND(K123=0,ISNUMBER(AM123),AM123&lt;=T123),AM123,9000000000000000))),"HP","FP")),IF(AR123=TRUE(),"",IF(MAX(IF(AND(NOT(AND(AO123=1,AN123&lt;&gt;1)),ISNUMBER(AG123),AG123&lt;=T123),AS123,0),IF(AND(NOT(AND(AO123=1,AN123&lt;&gt;1)),ISNUMBER(AH123),AH123&lt;=T123),AT123,0),IF(AND(NOT(AND(AO123=1,AN123&lt;&gt;1)),ISNUMBER(AI123),AI123&lt;=T123),AU123,0),IF(AND(ISNUMBER(AJ123),AJ123&lt;=T123),AV123,0))&lt;=0,"",IF(AND(IF(AND(NOT(AND(AO123=1,AN123&lt;&gt;1)),ISNUMBER(AG123),AG123&lt;=T123),AS123,0)&gt;0,IF(AND(NOT(AND(AO123=1,AN123&lt;&gt;1)),ISNUMBER(AG123),AG123&lt;=T123),AS123,0)=MAX(IF(AND(NOT(AND(AO123=1,AN123&lt;&gt;1)),ISNUMBER(AG123),AG123&lt;=T123),AS123,0),IF(AND(NOT(AND(AO123=1,AN123&lt;&gt;1)),ISNUMBER(AH123),AH123&lt;=T123),AT123,0),IF(AND(NOT(AND(AO123=1,AN123&lt;&gt;1)),ISNUMBER(AI123),AI123&lt;=T123),AU123,0),IF(AND(ISNUMBER(AJ123),AJ123&lt;=T123),AV123,0))),"SW",IF(AND(IF(AND(NOT(AND(AO123=1,AN123&lt;&gt;1)),ISNUMBER(AH123),AH123&lt;=T123),AT123,0)&gt;0,IF(AND(NOT(AND(AO123=1,AN123&lt;&gt;1)),ISNUMBER(AH123),AH123&lt;=T123),AT123,0)=MAX(IF(AND(NOT(AND(AO123=1,AN123&lt;&gt;1)),ISNUMBER(AG123),AG123&lt;=T123),AS123,0),IF(AND(NOT(AND(AO123=1,AN123&lt;&gt;1)),ISNUMBER(AH123),AH123&lt;=T123),AT123,0),IF(AND(NOT(AND(AO123=1,AN123&lt;&gt;1)),ISNUMBER(AI123),AI123&lt;=T123),AU123,0),IF(AND(ISNUMBER(AJ123),AJ123&lt;=T123),AV123,0))),"AB",IF(AND(IF(AND(NOT(AND(AO123=1,AN123&lt;&gt;1)),ISNUMBER(AI123),AI123&lt;=T123),AU123,0)&gt;0,IF(AND(NOT(AND(AO123=1,AN123&lt;&gt;1)),ISNUMBER(AI123),AI123&lt;=T123),AU123,0)=MAX(IF(AND(NOT(AND(AO123=1,AN123&lt;&gt;1)),ISNUMBER(AG123),AG123&lt;=T123),AS123,0),IF(AND(NOT(AND(AO123=1,AN123&lt;&gt;1)),ISNUMBER(AH123),AH123&lt;=T123),AT123,0),IF(AND(NOT(AND(AO123=1,AN123&lt;&gt;1)),ISNUMBER(AI123),AI123&lt;=T123),AU123,0),IF(AND(ISNUMBER(AJ123),AJ123&lt;=T123),AV123,0))),"SC","Mag")))))))</f>
        <v/>
      </c>
    </row>
    <row r="124" customFormat="false" ht="15" hidden="false" customHeight="false" outlineLevel="0" collapsed="false">
      <c r="A124" s="26" t="n">
        <v>119</v>
      </c>
      <c r="B124" s="27" t="n">
        <f aca="false">A124*10/60</f>
        <v>19.8333333333333</v>
      </c>
      <c r="C124" s="21" t="n">
        <f aca="false">X123</f>
        <v>18.6730249835055</v>
      </c>
      <c r="D124" s="27" t="n">
        <f aca="false">D123+W123</f>
        <v>0</v>
      </c>
      <c r="E124" s="26" t="n">
        <f aca="false">E123+IF(U123="SW",1,0)</f>
        <v>12</v>
      </c>
      <c r="F124" s="26" t="n">
        <f aca="false">F123+IF(U123="AB",1,0)</f>
        <v>10</v>
      </c>
      <c r="G124" s="26" t="n">
        <f aca="false">G123+IF(U123="SC",1,0)</f>
        <v>7</v>
      </c>
      <c r="H124" s="26" t="n">
        <f aca="false">H123+IF(U123="Mag",1,0)</f>
        <v>5</v>
      </c>
      <c r="I124" s="26" t="n">
        <f aca="false">MAX(I123,IF(U123="OR",1,0))</f>
        <v>1</v>
      </c>
      <c r="J124" s="26" t="n">
        <f aca="false">MAX(J123,IF(U123="HP",1,0))</f>
        <v>1</v>
      </c>
      <c r="K124" s="26" t="n">
        <f aca="false">MAX(K123,IF(U123="FP",1,0))</f>
        <v>1</v>
      </c>
      <c r="L124" s="26" t="n">
        <f aca="false">MAX(L123,IF(U123="transition",1,0))</f>
        <v>1</v>
      </c>
      <c r="M124" s="28" t="n">
        <f aca="false">(Parameters!$B$9+(IF(E124=0,0,(Upgrades!$J$6+E124*Upgrades!$K$6)*POWER(Upgrades!$L$6,E124)))*(IF(Upgrades!$T$7="Solar Wind",POWER(Upgrades!$U$7,F124),1)*IF(Upgrades!$T$8="Solar Wind",POWER(Upgrades!$U$8,G124),1)*IF(Upgrades!$T$9="Solar Wind",POWER(Upgrades!$U$9,H124),1)*IF(Upgrades!$T$10="Solar Wind",POWER(Upgrades!$U$10,I124),1)*IF(Upgrades!$T$11="Solar Wind",POWER(Upgrades!$U$11,J124),1)*IF(Upgrades!$T$12="Solar Wind",POWER(Upgrades!$U$12,K124),1))+(IF(F124=0,0,(Upgrades!$J$7+F124*Upgrades!$K$7)*POWER(Upgrades!$L$7,F124)))*(IF(Upgrades!$T$6="Asteroid Belt",POWER(Upgrades!$U$6,E124),1)*IF(Upgrades!$T$8="Asteroid Belt",POWER(Upgrades!$U$8,G124),1)*IF(Upgrades!$T$9="Asteroid Belt",POWER(Upgrades!$U$9,H124),1)*IF(Upgrades!$T$10="Asteroid Belt",POWER(Upgrades!$U$10,I124),1)*IF(Upgrades!$T$11="Asteroid Belt",POWER(Upgrades!$U$11,J124),1)*IF(Upgrades!$T$12="Asteroid Belt",POWER(Upgrades!$U$12,K124),1))+(IF(G124=0,0,(Upgrades!$J$8+G124*Upgrades!$K$8)*POWER(Upgrades!$L$8,G124)))*(IF(Upgrades!$T$6="Stellar Coupling",POWER(Upgrades!$U$6,E124),1)*IF(Upgrades!$T$7="Stellar Coupling",POWER(Upgrades!$U$7,F124),1)*IF(Upgrades!$T$9="Stellar Coupling",POWER(Upgrades!$U$9,H124),1)*IF(Upgrades!$T$10="Stellar Coupling",POWER(Upgrades!$U$10,I124),1)*IF(Upgrades!$T$11="Stellar Coupling",POWER(Upgrades!$U$11,J124),1)*IF(Upgrades!$T$12="Stellar Coupling",POWER(Upgrades!$U$12,K124),1))+(IF(H124=0,0,(Upgrades!$J$9+H124*Upgrades!$K$9)*POWER(Upgrades!$L$9,H124)))*(IF(Upgrades!$T$6="Magnetosphere",POWER(Upgrades!$U$6,E124),1)*IF(Upgrades!$T$7="Magnetosphere",POWER(Upgrades!$U$7,F124),1)*IF(Upgrades!$T$8="Magnetosphere",POWER(Upgrades!$U$8,G124),1)*IF(Upgrades!$T$10="Magnetosphere",POWER(Upgrades!$U$10,I124),1)*IF(Upgrades!$T$11="Magnetosphere",POWER(Upgrades!$U$11,J124),1)*IF(Upgrades!$T$12="Magnetosphere",POWER(Upgrades!$U$12,K124),1))+(IF(I124=0,0,(Upgrades!$J$10+I124*Upgrades!$K$10)*POWER(Upgrades!$L$10,I124)))*(IF(Upgrades!$T$6="Orbital Resonance",POWER(Upgrades!$U$6,E124),1)*IF(Upgrades!$T$7="Orbital Resonance",POWER(Upgrades!$U$7,F124),1)*IF(Upgrades!$T$8="Orbital Resonance",POWER(Upgrades!$U$8,G124),1)*IF(Upgrades!$T$9="Orbital Resonance",POWER(Upgrades!$U$9,H124),1)*IF(Upgrades!$T$11="Orbital Resonance",POWER(Upgrades!$U$11,J124),1)*IF(Upgrades!$T$12="Orbital Resonance",POWER(Upgrades!$U$12,K124),1))+(IF(J124=0,0,(Upgrades!$J$11+J124*Upgrades!$K$11)*POWER(Upgrades!$L$11,J124)))*(IF(Upgrades!$T$6="Heliopause",POWER(Upgrades!$U$6,E124),1)*IF(Upgrades!$T$7="Heliopause",POWER(Upgrades!$U$7,F124),1)*IF(Upgrades!$T$8="Heliopause",POWER(Upgrades!$U$8,G124),1)*IF(Upgrades!$T$9="Heliopause",POWER(Upgrades!$U$9,H124),1)*IF(Upgrades!$T$10="Heliopause",POWER(Upgrades!$U$10,I124),1)*IF(Upgrades!$T$12="Heliopause",POWER(Upgrades!$U$12,K124),1))+(IF(K124=0,0,(Upgrades!$J$12+K124*Upgrades!$K$12)*POWER(Upgrades!$L$12,K124)))*(IF(Upgrades!$T$6="First Photons",POWER(Upgrades!$U$6,E124),1)*IF(Upgrades!$T$7="First Photons",POWER(Upgrades!$U$7,F124),1)*IF(Upgrades!$T$8="First Photons",POWER(Upgrades!$U$8,G124),1)*IF(Upgrades!$T$9="First Photons",POWER(Upgrades!$U$9,H124),1)*IF(Upgrades!$T$10="First Photons",POWER(Upgrades!$U$10,I124),1)*IF(Upgrades!$T$11="First Photons",POWER(Upgrades!$U$11,J124),1)))*POWER(Upgrades!$Q$6,E124)*POWER(Upgrades!$Q$7,F124)*POWER(Upgrades!$Q$8,G124)*POWER(Upgrades!$Q$9,H124)*POWER(Upgrades!$Q$10,I124)*POWER(Upgrades!$Q$11,J124)*POWER(Upgrades!$Q$12,K124)</f>
        <v>5.61</v>
      </c>
      <c r="N124" s="28" t="n">
        <f aca="false">((IF(E124=0,0,(Upgrades!$G$6+E124*Upgrades!$H$6)*POWER(Upgrades!$I$6,E124)))*(IF(Upgrades!$T$7="Solar Wind",POWER(Upgrades!$U$7,F124),1)*IF(Upgrades!$T$8="Solar Wind",POWER(Upgrades!$U$8,G124),1)*IF(Upgrades!$T$9="Solar Wind",POWER(Upgrades!$U$9,H124),1)*IF(Upgrades!$T$10="Solar Wind",POWER(Upgrades!$U$10,I124),1)*IF(Upgrades!$T$11="Solar Wind",POWER(Upgrades!$U$11,J124),1)*IF(Upgrades!$T$12="Solar Wind",POWER(Upgrades!$U$12,K124),1))+(IF(F124=0,0,(Upgrades!$G$7+F124*Upgrades!$H$7)*POWER(Upgrades!$I$7,F124)))*(IF(Upgrades!$T$6="Asteroid Belt",POWER(Upgrades!$U$6,E124),1)*IF(Upgrades!$T$8="Asteroid Belt",POWER(Upgrades!$U$8,G124),1)*IF(Upgrades!$T$9="Asteroid Belt",POWER(Upgrades!$U$9,H124),1)*IF(Upgrades!$T$10="Asteroid Belt",POWER(Upgrades!$U$10,I124),1)*IF(Upgrades!$T$11="Asteroid Belt",POWER(Upgrades!$U$11,J124),1)*IF(Upgrades!$T$12="Asteroid Belt",POWER(Upgrades!$U$12,K124),1))+(IF(G124=0,0,(Upgrades!$G$8+G124*Upgrades!$H$8)*POWER(Upgrades!$I$8,G124)))*(IF(Upgrades!$T$6="Stellar Coupling",POWER(Upgrades!$U$6,E124),1)*IF(Upgrades!$T$7="Stellar Coupling",POWER(Upgrades!$U$7,F124),1)*IF(Upgrades!$T$9="Stellar Coupling",POWER(Upgrades!$U$9,H124),1)*IF(Upgrades!$T$10="Stellar Coupling",POWER(Upgrades!$U$10,I124),1)*IF(Upgrades!$T$11="Stellar Coupling",POWER(Upgrades!$U$11,J124),1)*IF(Upgrades!$T$12="Stellar Coupling",POWER(Upgrades!$U$12,K124),1))+(IF(H124=0,0,(Upgrades!$G$9+H124*Upgrades!$H$9)*POWER(Upgrades!$I$9,H124)))*(IF(Upgrades!$T$6="Magnetosphere",POWER(Upgrades!$U$6,E124),1)*IF(Upgrades!$T$7="Magnetosphere",POWER(Upgrades!$U$7,F124),1)*IF(Upgrades!$T$8="Magnetosphere",POWER(Upgrades!$U$8,G124),1)*IF(Upgrades!$T$10="Magnetosphere",POWER(Upgrades!$U$10,I124),1)*IF(Upgrades!$T$11="Magnetosphere",POWER(Upgrades!$U$11,J124),1)*IF(Upgrades!$T$12="Magnetosphere",POWER(Upgrades!$U$12,K124),1))+(IF(I124=0,0,(Upgrades!$G$10+I124*Upgrades!$H$10)*POWER(Upgrades!$I$10,I124)))*(IF(Upgrades!$T$6="Orbital Resonance",POWER(Upgrades!$U$6,E124),1)*IF(Upgrades!$T$7="Orbital Resonance",POWER(Upgrades!$U$7,F124),1)*IF(Upgrades!$T$8="Orbital Resonance",POWER(Upgrades!$U$8,G124),1)*IF(Upgrades!$T$9="Orbital Resonance",POWER(Upgrades!$U$9,H124),1)*IF(Upgrades!$T$11="Orbital Resonance",POWER(Upgrades!$U$11,J124),1)*IF(Upgrades!$T$12="Orbital Resonance",POWER(Upgrades!$U$12,K124),1))+(IF(J124=0,0,(Upgrades!$G$11+J124*Upgrades!$H$11)*POWER(Upgrades!$I$11,J124)))*(IF(Upgrades!$T$6="Heliopause",POWER(Upgrades!$U$6,E124),1)*IF(Upgrades!$T$7="Heliopause",POWER(Upgrades!$U$7,F124),1)*IF(Upgrades!$T$8="Heliopause",POWER(Upgrades!$U$8,G124),1)*IF(Upgrades!$T$9="Heliopause",POWER(Upgrades!$U$9,H124),1)*IF(Upgrades!$T$10="Heliopause",POWER(Upgrades!$U$10,I124),1)*IF(Upgrades!$T$12="Heliopause",POWER(Upgrades!$U$12,K124),1))+(IF(K124=0,0,(Upgrades!$G$12+K124*Upgrades!$H$12)*POWER(Upgrades!$I$12,K124)))*(IF(Upgrades!$T$6="First Photons",POWER(Upgrades!$U$6,E124),1)*IF(Upgrades!$T$7="First Photons",POWER(Upgrades!$U$7,F124),1)*IF(Upgrades!$T$8="First Photons",POWER(Upgrades!$U$8,G124),1)*IF(Upgrades!$T$9="First Photons",POWER(Upgrades!$U$9,H124),1)*IF(Upgrades!$T$10="First Photons",POWER(Upgrades!$U$10,I124),1)*IF(Upgrades!$T$11="First Photons",POWER(Upgrades!$U$11,J124),1)))*POWER(Upgrades!$P$6,E124)*POWER(Upgrades!$P$7,F124)*POWER(Upgrades!$P$8,G124)*POWER(Upgrades!$P$9,H124)*POWER(Upgrades!$P$10,I124)*POWER(Upgrades!$P$11,J124)*POWER(Upgrades!$P$12,K124)</f>
        <v>11.2</v>
      </c>
      <c r="O124" s="28" t="n">
        <f aca="false">((IF(E124=0,0,(Upgrades!$M$6+E124*Upgrades!$N$6)*POWER(Upgrades!$O$6,E124)))*(IF(Upgrades!$T$7="Solar Wind",POWER(Upgrades!$U$7,F124),1)*IF(Upgrades!$T$8="Solar Wind",POWER(Upgrades!$U$8,G124),1)*IF(Upgrades!$T$9="Solar Wind",POWER(Upgrades!$U$9,H124),1)*IF(Upgrades!$T$10="Solar Wind",POWER(Upgrades!$U$10,I124),1)*IF(Upgrades!$T$11="Solar Wind",POWER(Upgrades!$U$11,J124),1)*IF(Upgrades!$T$12="Solar Wind",POWER(Upgrades!$U$12,K124),1))+(IF(F124=0,0,(Upgrades!$M$7+F124*Upgrades!$N$7)*POWER(Upgrades!$O$7,F124)))*(IF(Upgrades!$T$6="Asteroid Belt",POWER(Upgrades!$U$6,E124),1)*IF(Upgrades!$T$8="Asteroid Belt",POWER(Upgrades!$U$8,G124),1)*IF(Upgrades!$T$9="Asteroid Belt",POWER(Upgrades!$U$9,H124),1)*IF(Upgrades!$T$10="Asteroid Belt",POWER(Upgrades!$U$10,I124),1)*IF(Upgrades!$T$11="Asteroid Belt",POWER(Upgrades!$U$11,J124),1)*IF(Upgrades!$T$12="Asteroid Belt",POWER(Upgrades!$U$12,K124),1))+(IF(G124=0,0,(Upgrades!$M$8+G124*Upgrades!$N$8)*POWER(Upgrades!$O$8,G124)))*(IF(Upgrades!$T$6="Stellar Coupling",POWER(Upgrades!$U$6,E124),1)*IF(Upgrades!$T$7="Stellar Coupling",POWER(Upgrades!$U$7,F124),1)*IF(Upgrades!$T$9="Stellar Coupling",POWER(Upgrades!$U$9,H124),1)*IF(Upgrades!$T$10="Stellar Coupling",POWER(Upgrades!$U$10,I124),1)*IF(Upgrades!$T$11="Stellar Coupling",POWER(Upgrades!$U$11,J124),1)*IF(Upgrades!$T$12="Stellar Coupling",POWER(Upgrades!$U$12,K124),1))+(IF(H124=0,0,(Upgrades!$M$9+H124*Upgrades!$N$9)*POWER(Upgrades!$O$9,H124)))*(IF(Upgrades!$T$6="Magnetosphere",POWER(Upgrades!$U$6,E124),1)*IF(Upgrades!$T$7="Magnetosphere",POWER(Upgrades!$U$7,F124),1)*IF(Upgrades!$T$8="Magnetosphere",POWER(Upgrades!$U$8,G124),1)*IF(Upgrades!$T$10="Magnetosphere",POWER(Upgrades!$U$10,I124),1)*IF(Upgrades!$T$11="Magnetosphere",POWER(Upgrades!$U$11,J124),1)*IF(Upgrades!$T$12="Magnetosphere",POWER(Upgrades!$U$12,K124),1))+(IF(I124=0,0,(Upgrades!$M$10+I124*Upgrades!$N$10)*POWER(Upgrades!$O$10,I124)))*(IF(Upgrades!$T$6="Orbital Resonance",POWER(Upgrades!$U$6,E124),1)*IF(Upgrades!$T$7="Orbital Resonance",POWER(Upgrades!$U$7,F124),1)*IF(Upgrades!$T$8="Orbital Resonance",POWER(Upgrades!$U$8,G124),1)*IF(Upgrades!$T$9="Orbital Resonance",POWER(Upgrades!$U$9,H124),1)*IF(Upgrades!$T$11="Orbital Resonance",POWER(Upgrades!$U$11,J124),1)*IF(Upgrades!$T$12="Orbital Resonance",POWER(Upgrades!$U$12,K124),1))+(IF(J124=0,0,(Upgrades!$M$11+J124*Upgrades!$N$11)*POWER(Upgrades!$O$11,J124)))*(IF(Upgrades!$T$6="Heliopause",POWER(Upgrades!$U$6,E124),1)*IF(Upgrades!$T$7="Heliopause",POWER(Upgrades!$U$7,F124),1)*IF(Upgrades!$T$8="Heliopause",POWER(Upgrades!$U$8,G124),1)*IF(Upgrades!$T$9="Heliopause",POWER(Upgrades!$U$9,H124),1)*IF(Upgrades!$T$10="Heliopause",POWER(Upgrades!$U$10,I124),1)*IF(Upgrades!$T$12="Heliopause",POWER(Upgrades!$U$12,K124),1))+(IF(K124=0,0,(Upgrades!$M$12+K124*Upgrades!$N$12)*POWER(Upgrades!$O$12,K124)))*(IF(Upgrades!$T$6="First Photons",POWER(Upgrades!$U$6,E124),1)*IF(Upgrades!$T$7="First Photons",POWER(Upgrades!$U$7,F124),1)*IF(Upgrades!$T$8="First Photons",POWER(Upgrades!$U$8,G124),1)*IF(Upgrades!$T$9="First Photons",POWER(Upgrades!$U$9,H124),1)*IF(Upgrades!$T$10="First Photons",POWER(Upgrades!$U$10,I124),1)*IF(Upgrades!$T$11="First Photons",POWER(Upgrades!$U$11,J124),1)))*POWER(Upgrades!$R$6,E124)*POWER(Upgrades!$R$7,F124)*POWER(Upgrades!$R$8,G124)*POWER(Upgrades!$R$9,H124)*POWER(Upgrades!$R$10,I124)*POWER(Upgrades!$R$11,J124)*POWER(Upgrades!$R$12,K124)</f>
        <v>0</v>
      </c>
      <c r="P124" s="27" t="n">
        <f aca="false">IF(L124=1,0,M124*Parameters!$B$10/60*Parameters!$B$11*10)</f>
        <v>0</v>
      </c>
      <c r="Q124" s="27" t="n">
        <f aca="false">IF(L124=1,0,O124*M124*10)</f>
        <v>0</v>
      </c>
      <c r="R124" s="27" t="n">
        <f aca="false">IF(L124=1,0,N124*10)</f>
        <v>0</v>
      </c>
      <c r="S124" s="27" t="n">
        <f aca="false">P124+Q124+R124</f>
        <v>0</v>
      </c>
      <c r="T124" s="21" t="n">
        <f aca="false">C124+S124</f>
        <v>18.6730249835055</v>
      </c>
      <c r="U124" s="34" t="str">
        <f aca="false">AX124</f>
        <v/>
      </c>
      <c r="V124" s="21" t="n">
        <f aca="false">IF(U124="",0,IF(U124="transition",0,IF(U124="SW",AG124,IF(U124="AB",AH124,IF(U124="SC",AI124,IF(U124="Mag",AJ124,IF(U124="OR",AK124,IF(U124="HP",AL124,IF(U124="FP",AM124,0)))))))))</f>
        <v>0</v>
      </c>
      <c r="W124" s="27" t="n">
        <f aca="false">IF(U124="OR",Upgrades!$F$10,IF(U124="HP",Upgrades!$F$11,IF(U124="transition",-Parameters!$B$18,0)))</f>
        <v>0</v>
      </c>
      <c r="X124" s="21" t="n">
        <f aca="false">T124-V124</f>
        <v>18.6730249835055</v>
      </c>
      <c r="Y124" s="30" t="n">
        <f aca="false">M124*Parameters!$B$10/60*Parameters!$B$11+O124*M124+N124</f>
        <v>20.55</v>
      </c>
      <c r="Z124" s="35" t="str">
        <f aca="false">IF(U124="transition","→ Tier 2 (Stellar Neighborhood)",IF(U124="FP","First Photons — light begins, system quickens",IF(U124="HP","Heliopause acquired",IF(U124="OR","Orbital Resonance — passive multiplier active",IF(AND(AO124=1,L124=0,AN124&lt;&gt;1),"Cohesion ready (waiting on completionist upgrades)","")))))</f>
        <v/>
      </c>
      <c r="AA124" s="27" t="n">
        <f aca="false">(IF(E124=0,0,(Upgrades!$G$6+E124*Upgrades!$H$6)*POWER(Upgrades!$I$6,E124)))*(IF(Upgrades!$T$7="Solar Wind",POWER(Upgrades!$U$7,F124),1)*IF(Upgrades!$T$8="Solar Wind",POWER(Upgrades!$U$8,G124),1)*IF(Upgrades!$T$9="Solar Wind",POWER(Upgrades!$U$9,H124),1)*IF(Upgrades!$T$10="Solar Wind",POWER(Upgrades!$U$10,I124),1)*IF(Upgrades!$T$11="Solar Wind",POWER(Upgrades!$U$11,J124),1)*IF(Upgrades!$T$12="Solar Wind",POWER(Upgrades!$U$12,K124),1))*POWER(Upgrades!$P$6,E124)*POWER(Upgrades!$P$7,F124)*POWER(Upgrades!$P$8,G124)*POWER(Upgrades!$P$9,H124)*POWER(Upgrades!$P$10,I124)*POWER(Upgrades!$P$11,J124)*POWER(Upgrades!$P$12,K124)*60</f>
        <v>72</v>
      </c>
      <c r="AB124" s="27" t="n">
        <f aca="false">(IF(F124=0,0,(Upgrades!$G$7+F124*Upgrades!$H$7)*POWER(Upgrades!$I$7,F124)))*(IF(Upgrades!$T$6="Asteroid Belt",POWER(Upgrades!$U$6,E124),1)*IF(Upgrades!$T$8="Asteroid Belt",POWER(Upgrades!$U$8,G124),1)*IF(Upgrades!$T$9="Asteroid Belt",POWER(Upgrades!$U$9,H124),1)*IF(Upgrades!$T$10="Asteroid Belt",POWER(Upgrades!$U$10,I124),1)*IF(Upgrades!$T$11="Asteroid Belt",POWER(Upgrades!$U$11,J124),1)*IF(Upgrades!$T$12="Asteroid Belt",POWER(Upgrades!$U$12,K124),1))*POWER(Upgrades!$P$6,E124)*POWER(Upgrades!$P$7,F124)*POWER(Upgrades!$P$8,G124)*POWER(Upgrades!$P$9,H124)*POWER(Upgrades!$P$10,I124)*POWER(Upgrades!$P$11,J124)*POWER(Upgrades!$P$12,K124)*60</f>
        <v>150</v>
      </c>
      <c r="AC124" s="27" t="n">
        <f aca="false">(IF(G124=0,0,(Upgrades!$J$8+G124*Upgrades!$K$8)*POWER(Upgrades!$L$8,G124)))*(IF(Upgrades!$T$6="Stellar Coupling",POWER(Upgrades!$U$6,E124),1)*IF(Upgrades!$T$7="Stellar Coupling",POWER(Upgrades!$U$7,F124),1)*IF(Upgrades!$T$9="Stellar Coupling",POWER(Upgrades!$U$9,H124),1)*IF(Upgrades!$T$10="Stellar Coupling",POWER(Upgrades!$U$10,I124),1)*IF(Upgrades!$T$11="Stellar Coupling",POWER(Upgrades!$U$11,J124),1)*IF(Upgrades!$T$12="Stellar Coupling",POWER(Upgrades!$U$12,K124),1))*POWER(Upgrades!$Q$6,E124)*POWER(Upgrades!$Q$7,F124)*POWER(Upgrades!$Q$8,G124)*POWER(Upgrades!$Q$9,H124)*POWER(Upgrades!$Q$10,I124)*POWER(Upgrades!$Q$11,J124)*POWER(Upgrades!$Q$12,K124)*Parameters!$B$10*Parameters!$B$11</f>
        <v>441</v>
      </c>
      <c r="AD124" s="27" t="n">
        <f aca="false">(IF(H124=0,0,(Upgrades!$G$9+H124*Upgrades!$H$9)*POWER(Upgrades!$I$9,H124)))*(IF(Upgrades!$T$6="Magnetosphere",POWER(Upgrades!$U$6,E124),1)*IF(Upgrades!$T$7="Magnetosphere",POWER(Upgrades!$U$7,F124),1)*IF(Upgrades!$T$8="Magnetosphere",POWER(Upgrades!$U$8,G124),1)*IF(Upgrades!$T$10="Magnetosphere",POWER(Upgrades!$U$10,I124),1)*IF(Upgrades!$T$11="Magnetosphere",POWER(Upgrades!$U$11,J124),1)*IF(Upgrades!$T$12="Magnetosphere",POWER(Upgrades!$U$12,K124),1))*POWER(Upgrades!$P$6,E124)*POWER(Upgrades!$P$7,F124)*POWER(Upgrades!$P$8,G124)*POWER(Upgrades!$P$9,H124)*POWER(Upgrades!$P$10,I124)*POWER(Upgrades!$P$11,J124)*POWER(Upgrades!$P$12,K124)*60</f>
        <v>375</v>
      </c>
      <c r="AE124" s="27" t="n">
        <f aca="false">(IF(K124=0,0,(Upgrades!$G$12+K124*Upgrades!$H$12)*POWER(Upgrades!$I$12,K124)))*(IF(Upgrades!$T$6="First Photons",POWER(Upgrades!$U$6,E124),1)*IF(Upgrades!$T$7="First Photons",POWER(Upgrades!$U$7,F124),1)*IF(Upgrades!$T$8="First Photons",POWER(Upgrades!$U$8,G124),1)*IF(Upgrades!$T$9="First Photons",POWER(Upgrades!$U$9,H124),1)*IF(Upgrades!$T$10="First Photons",POWER(Upgrades!$U$10,I124),1)*IF(Upgrades!$T$11="First Photons",POWER(Upgrades!$U$11,J124),1))*POWER(Upgrades!$P$6,E124)*POWER(Upgrades!$P$7,F124)*POWER(Upgrades!$P$8,G124)*POWER(Upgrades!$P$9,H124)*POWER(Upgrades!$P$10,I124)*POWER(Upgrades!$P$11,J124)*POWER(Upgrades!$P$12,K124)*60</f>
        <v>75</v>
      </c>
      <c r="AF124" s="27" t="n">
        <f aca="false">Parameters!$B$9*POWER(Upgrades!$Q$6,E124)*POWER(Upgrades!$Q$7,F124)*POWER(Upgrades!$Q$8,G124)*POWER(Upgrades!$Q$9,H124)*POWER(Upgrades!$Q$10,I124)*POWER(Upgrades!$Q$11,J124)*POWER(Upgrades!$Q$12,K124)*(Parameters!$B$10*Parameters!$B$11+O124*60)</f>
        <v>120</v>
      </c>
      <c r="AG124" s="21" t="n">
        <f aca="false">IF(E124&gt;=Upgrades!$E$6,"",Upgrades!$C$6*POWER(Upgrades!$D$6,E124))</f>
        <v>37.4517507383159</v>
      </c>
      <c r="AH124" s="21" t="n">
        <f aca="false">IF(F124&gt;=Upgrades!$E$7,"",Upgrades!$C$7*POWER(Upgrades!$D$7,F124))</f>
        <v>80.9111547141581</v>
      </c>
      <c r="AI124" s="21" t="n">
        <f aca="false">IF(G124&gt;=Upgrades!$E$8,"",Upgrades!$C$8*POWER(Upgrades!$D$8,G124))</f>
        <v>231.9097088</v>
      </c>
      <c r="AJ124" s="21" t="str">
        <f aca="false">IF(H124&gt;=Upgrades!$E$9,"",Upgrades!$C$9*POWER(Upgrades!$D$9,H124))</f>
        <v/>
      </c>
      <c r="AK124" s="21" t="str">
        <f aca="false">IF(I124&gt;=Upgrades!$E$10,"",Upgrades!$C$10*POWER(Upgrades!$D$10,I124))</f>
        <v/>
      </c>
      <c r="AL124" s="21" t="str">
        <f aca="false">IF(J124&gt;=Upgrades!$E$11,"",Upgrades!$C$11*POWER(Upgrades!$D$11,J124))</f>
        <v/>
      </c>
      <c r="AM124" s="21" t="str">
        <f aca="false">IF(K124&gt;=Upgrades!$E$12,"",Upgrades!$C$12*POWER(Upgrades!$D$12,K124))</f>
        <v/>
      </c>
      <c r="AN124" s="26" t="str">
        <f aca="false">IF(AND(D124&gt;=Parameters!$B$18,(H124&gt;=Upgrades!$E$9)*(K124&gt;=Upgrades!$E$12)=1,L124=0),1,"")</f>
        <v/>
      </c>
      <c r="AO124" s="26" t="str">
        <f aca="false">IF(AND(D124&gt;=Parameters!$B$18,L124=0),1,"")</f>
        <v/>
      </c>
      <c r="AP124" s="21" t="n">
        <f aca="false">MIN(IF(ISNUMBER(AK124),AK124,9000000000000000),IF(ISNUMBER(AL124),AL124,9000000000000000),IF(ISNUMBER(AM124),AM124,9000000000000000))</f>
        <v>9000000000000000</v>
      </c>
      <c r="AQ124" s="21" t="n">
        <f aca="false">MIN(IF(ISNUMBER(AG124),AG124,9000000000000000),IF(ISNUMBER(AH124),AH124,9000000000000000),IF(ISNUMBER(AI124),AI124,9000000000000000),IF(ISNUMBER(AJ124),AJ124,9000000000000000))</f>
        <v>37.4517507383159</v>
      </c>
      <c r="AR124" s="32" t="b">
        <f aca="false">IF(AW124&gt;Parameters!$B$21*(MAX(IF(AND(NOT(AND(AO124=1,AN124&lt;&gt;1)),ISNUMBER(AG124),AG124&lt;=T124),AS124,0),IF(AND(NOT(AND(AO124=1,AN124&lt;&gt;1)),ISNUMBER(AH124),AH124&lt;=T124),AT124,0),IF(AND(NOT(AND(AO124=1,AN124&lt;&gt;1)),ISNUMBER(AI124),AI124&lt;=T124),AU124,0),IF(AND(ISNUMBER(AJ124),AJ124&lt;=T124),AV124,0))),TRUE(),FALSE())</f>
        <v>1</v>
      </c>
      <c r="AS124" s="33" t="n">
        <f aca="false">IFERROR(Upgrades!$H$6*(POWER(Upgrades!$P$6,E124)*POWER(Upgrades!$P$7,F124)*POWER(Upgrades!$P$8,G124)*POWER(Upgrades!$P$9,H124)*POWER(Upgrades!$P$10,I124)*POWER(Upgrades!$P$11,J124)*POWER(Upgrades!$P$12,K124))*(IF(Upgrades!$T$7="Solar Wind",POWER(Upgrades!$U$7,F124),1)*IF(Upgrades!$T$8="Solar Wind",POWER(Upgrades!$U$8,G124),1)*IF(Upgrades!$T$9="Solar Wind",POWER(Upgrades!$U$9,H124),1)*IF(Upgrades!$T$10="Solar Wind",POWER(Upgrades!$U$10,I124),1)*IF(Upgrades!$T$11="Solar Wind",POWER(Upgrades!$U$11,J124),1)*IF(Upgrades!$T$12="Solar Wind",POWER(Upgrades!$U$12,K124),1))/AG124,0)</f>
        <v>0.0026701021455238</v>
      </c>
      <c r="AT124" s="33" t="n">
        <f aca="false">IFERROR(Upgrades!$H$7*(POWER(Upgrades!$P$6,E124)*POWER(Upgrades!$P$7,F124)*POWER(Upgrades!$P$8,G124)*POWER(Upgrades!$P$9,H124)*POWER(Upgrades!$P$10,I124)*POWER(Upgrades!$P$11,J124)*POWER(Upgrades!$P$12,K124))*(IF(Upgrades!$T$6="Asteroid Belt",POWER(Upgrades!$U$6,E124),1)*IF(Upgrades!$T$8="Asteroid Belt",POWER(Upgrades!$U$8,G124),1)*IF(Upgrades!$T$9="Asteroid Belt",POWER(Upgrades!$U$9,H124),1)*IF(Upgrades!$T$10="Asteroid Belt",POWER(Upgrades!$U$10,I124),1)*IF(Upgrades!$T$11="Asteroid Belt",POWER(Upgrades!$U$11,J124),1)*IF(Upgrades!$T$12="Asteroid Belt",POWER(Upgrades!$U$12,K124),1))/AH124,0)</f>
        <v>0.00308980882652332</v>
      </c>
      <c r="AU124" s="33" t="n">
        <f aca="false">IFERROR(Upgrades!$K$8*(POWER(Upgrades!$Q$6,E124)*POWER(Upgrades!$Q$7,F124)*POWER(Upgrades!$Q$8,G124)*POWER(Upgrades!$Q$9,H124)*POWER(Upgrades!$Q$10,I124)*POWER(Upgrades!$Q$11,J124)*POWER(Upgrades!$Q$12,K124))*(IF(Upgrades!$T$6="Stellar Coupling",POWER(Upgrades!$U$6,E124),1)*IF(Upgrades!$T$7="Stellar Coupling",POWER(Upgrades!$U$7,F124),1)*IF(Upgrades!$T$9="Stellar Coupling",POWER(Upgrades!$U$9,H124),1)*IF(Upgrades!$T$10="Stellar Coupling",POWER(Upgrades!$U$10,I124),1)*IF(Upgrades!$T$11="Stellar Coupling",POWER(Upgrades!$U$11,J124),1)*IF(Upgrades!$T$12="Stellar Coupling",POWER(Upgrades!$U$12,K124),1))*Parameters!$B$10*Parameters!$B$11/60/AI124,0)</f>
        <v>0.00452762415783776</v>
      </c>
      <c r="AV124" s="33" t="n">
        <f aca="false">IFERROR(Upgrades!$H$9*(POWER(Upgrades!$P$6,E124)*POWER(Upgrades!$P$7,F124)*POWER(Upgrades!$P$8,G124)*POWER(Upgrades!$P$9,H124)*POWER(Upgrades!$P$10,I124)*POWER(Upgrades!$P$11,J124)*POWER(Upgrades!$P$12,K124))*(IF(Upgrades!$T$6="Magnetosphere",POWER(Upgrades!$U$6,E124),1)*IF(Upgrades!$T$7="Magnetosphere",POWER(Upgrades!$U$7,F124),1)*IF(Upgrades!$T$8="Magnetosphere",POWER(Upgrades!$U$8,G124),1)*IF(Upgrades!$T$10="Magnetosphere",POWER(Upgrades!$U$10,I124),1)*IF(Upgrades!$T$11="Magnetosphere",POWER(Upgrades!$U$11,J124),1)*IF(Upgrades!$T$12="Magnetosphere",POWER(Upgrades!$U$12,K124),1))/AJ124,0)</f>
        <v>0</v>
      </c>
      <c r="AW124" s="33" t="n">
        <f aca="false">MAX(IF(I124&gt;0,0,IFERROR(0.25*N124/Upgrades!$C$10,0)),IF(J124&gt;0,0,IFERROR(0.5*((IF(G124=0,0,(Upgrades!$J$8+G124*Upgrades!$K$8)*POWER(Upgrades!$L$8,G124)))*(IF(Upgrades!$T$6="Stellar Coupling",POWER(Upgrades!$U$6,E124),1)*IF(Upgrades!$T$7="Stellar Coupling",POWER(Upgrades!$U$7,F124),1)*IF(Upgrades!$T$9="Stellar Coupling",POWER(Upgrades!$U$9,H124),1)*IF(Upgrades!$T$10="Stellar Coupling",POWER(Upgrades!$U$10,I124),1)*IF(Upgrades!$T$11="Stellar Coupling",POWER(Upgrades!$U$11,J124),1)*IF(Upgrades!$T$12="Stellar Coupling",POWER(Upgrades!$U$12,K124),1))*(POWER(Upgrades!$Q$6,E124)*POWER(Upgrades!$Q$7,F124)*POWER(Upgrades!$Q$8,G124)*POWER(Upgrades!$Q$9,H124)*POWER(Upgrades!$Q$10,I124)*POWER(Upgrades!$Q$11,J124)*POWER(Upgrades!$Q$12,K124))*Parameters!$B$10*Parameters!$B$11/60)/Upgrades!$C$11,0)),IF(K124&gt;0,0,IFERROR((1*(POWER(Upgrades!$P$6,E124)*POWER(Upgrades!$P$7,F124)*POWER(Upgrades!$P$8,G124)*POWER(Upgrades!$P$9,H124)*POWER(Upgrades!$P$10,I124)*POWER(Upgrades!$P$11,J124)*POWER(Upgrades!$P$12,K124))+0.2*M124*Parameters!$B$10*Parameters!$B$11/60)/Upgrades!$C$12,0)),IF(AND(ISNUMBER(AG124),AG124&gt;T124),AS124,0),IF(AND(ISNUMBER(AH124),AH124&gt;T124),AT124,0),IF(AND(ISNUMBER(AI124),AI124&gt;T124),AU124,0),IF(AND(ISNUMBER(AJ124),AJ124&gt;T124),AV124,0))</f>
        <v>0.00452762415783776</v>
      </c>
      <c r="AX124" s="29" t="str">
        <f aca="false">IF(AN124=1,"transition",IF(MIN(IF(AND(I124=0,ISNUMBER(AK124),AK124&lt;=T124),AK124,9000000000000000),IF(AND(J124=0,ISNUMBER(AL124),AL124&lt;=T124),AL124,9000000000000000),IF(AND(K124=0,ISNUMBER(AM124),AM124&lt;=T124),AM124,9000000000000000))&lt;9000000000000000,IF(AND(AND(I124=0,ISNUMBER(AK124),AK124&lt;=T124),AK124=MIN(IF(AND(I124=0,ISNUMBER(AK124),AK124&lt;=T124),AK124,9000000000000000),IF(AND(J124=0,ISNUMBER(AL124),AL124&lt;=T124),AL124,9000000000000000),IF(AND(K124=0,ISNUMBER(AM124),AM124&lt;=T124),AM124,9000000000000000))),"OR",IF(AND(AND(J124=0,ISNUMBER(AL124),AL124&lt;=T124),AL124=MIN(IF(AND(I124=0,ISNUMBER(AK124),AK124&lt;=T124),AK124,9000000000000000),IF(AND(J124=0,ISNUMBER(AL124),AL124&lt;=T124),AL124,9000000000000000),IF(AND(K124=0,ISNUMBER(AM124),AM124&lt;=T124),AM124,9000000000000000))),"HP","FP")),IF(AR124=TRUE(),"",IF(MAX(IF(AND(NOT(AND(AO124=1,AN124&lt;&gt;1)),ISNUMBER(AG124),AG124&lt;=T124),AS124,0),IF(AND(NOT(AND(AO124=1,AN124&lt;&gt;1)),ISNUMBER(AH124),AH124&lt;=T124),AT124,0),IF(AND(NOT(AND(AO124=1,AN124&lt;&gt;1)),ISNUMBER(AI124),AI124&lt;=T124),AU124,0),IF(AND(ISNUMBER(AJ124),AJ124&lt;=T124),AV124,0))&lt;=0,"",IF(AND(IF(AND(NOT(AND(AO124=1,AN124&lt;&gt;1)),ISNUMBER(AG124),AG124&lt;=T124),AS124,0)&gt;0,IF(AND(NOT(AND(AO124=1,AN124&lt;&gt;1)),ISNUMBER(AG124),AG124&lt;=T124),AS124,0)=MAX(IF(AND(NOT(AND(AO124=1,AN124&lt;&gt;1)),ISNUMBER(AG124),AG124&lt;=T124),AS124,0),IF(AND(NOT(AND(AO124=1,AN124&lt;&gt;1)),ISNUMBER(AH124),AH124&lt;=T124),AT124,0),IF(AND(NOT(AND(AO124=1,AN124&lt;&gt;1)),ISNUMBER(AI124),AI124&lt;=T124),AU124,0),IF(AND(ISNUMBER(AJ124),AJ124&lt;=T124),AV124,0))),"SW",IF(AND(IF(AND(NOT(AND(AO124=1,AN124&lt;&gt;1)),ISNUMBER(AH124),AH124&lt;=T124),AT124,0)&gt;0,IF(AND(NOT(AND(AO124=1,AN124&lt;&gt;1)),ISNUMBER(AH124),AH124&lt;=T124),AT124,0)=MAX(IF(AND(NOT(AND(AO124=1,AN124&lt;&gt;1)),ISNUMBER(AG124),AG124&lt;=T124),AS124,0),IF(AND(NOT(AND(AO124=1,AN124&lt;&gt;1)),ISNUMBER(AH124),AH124&lt;=T124),AT124,0),IF(AND(NOT(AND(AO124=1,AN124&lt;&gt;1)),ISNUMBER(AI124),AI124&lt;=T124),AU124,0),IF(AND(ISNUMBER(AJ124),AJ124&lt;=T124),AV124,0))),"AB",IF(AND(IF(AND(NOT(AND(AO124=1,AN124&lt;&gt;1)),ISNUMBER(AI124),AI124&lt;=T124),AU124,0)&gt;0,IF(AND(NOT(AND(AO124=1,AN124&lt;&gt;1)),ISNUMBER(AI124),AI124&lt;=T124),AU124,0)=MAX(IF(AND(NOT(AND(AO124=1,AN124&lt;&gt;1)),ISNUMBER(AG124),AG124&lt;=T124),AS124,0),IF(AND(NOT(AND(AO124=1,AN124&lt;&gt;1)),ISNUMBER(AH124),AH124&lt;=T124),AT124,0),IF(AND(NOT(AND(AO124=1,AN124&lt;&gt;1)),ISNUMBER(AI124),AI124&lt;=T124),AU124,0),IF(AND(ISNUMBER(AJ124),AJ124&lt;=T124),AV124,0))),"SC","Mag")))))))</f>
        <v/>
      </c>
    </row>
    <row r="125" customFormat="false" ht="15" hidden="false" customHeight="false" outlineLevel="0" collapsed="false">
      <c r="A125" s="26" t="n">
        <v>120</v>
      </c>
      <c r="B125" s="27" t="n">
        <f aca="false">A125*10/60</f>
        <v>20</v>
      </c>
      <c r="C125" s="21" t="n">
        <f aca="false">X124</f>
        <v>18.6730249835055</v>
      </c>
      <c r="D125" s="27" t="n">
        <f aca="false">D124+W124</f>
        <v>0</v>
      </c>
      <c r="E125" s="26" t="n">
        <f aca="false">E124+IF(U124="SW",1,0)</f>
        <v>12</v>
      </c>
      <c r="F125" s="26" t="n">
        <f aca="false">F124+IF(U124="AB",1,0)</f>
        <v>10</v>
      </c>
      <c r="G125" s="26" t="n">
        <f aca="false">G124+IF(U124="SC",1,0)</f>
        <v>7</v>
      </c>
      <c r="H125" s="26" t="n">
        <f aca="false">H124+IF(U124="Mag",1,0)</f>
        <v>5</v>
      </c>
      <c r="I125" s="26" t="n">
        <f aca="false">MAX(I124,IF(U124="OR",1,0))</f>
        <v>1</v>
      </c>
      <c r="J125" s="26" t="n">
        <f aca="false">MAX(J124,IF(U124="HP",1,0))</f>
        <v>1</v>
      </c>
      <c r="K125" s="26" t="n">
        <f aca="false">MAX(K124,IF(U124="FP",1,0))</f>
        <v>1</v>
      </c>
      <c r="L125" s="26" t="n">
        <f aca="false">MAX(L124,IF(U124="transition",1,0))</f>
        <v>1</v>
      </c>
      <c r="M125" s="28" t="n">
        <f aca="false">(Parameters!$B$9+(IF(E125=0,0,(Upgrades!$J$6+E125*Upgrades!$K$6)*POWER(Upgrades!$L$6,E125)))*(IF(Upgrades!$T$7="Solar Wind",POWER(Upgrades!$U$7,F125),1)*IF(Upgrades!$T$8="Solar Wind",POWER(Upgrades!$U$8,G125),1)*IF(Upgrades!$T$9="Solar Wind",POWER(Upgrades!$U$9,H125),1)*IF(Upgrades!$T$10="Solar Wind",POWER(Upgrades!$U$10,I125),1)*IF(Upgrades!$T$11="Solar Wind",POWER(Upgrades!$U$11,J125),1)*IF(Upgrades!$T$12="Solar Wind",POWER(Upgrades!$U$12,K125),1))+(IF(F125=0,0,(Upgrades!$J$7+F125*Upgrades!$K$7)*POWER(Upgrades!$L$7,F125)))*(IF(Upgrades!$T$6="Asteroid Belt",POWER(Upgrades!$U$6,E125),1)*IF(Upgrades!$T$8="Asteroid Belt",POWER(Upgrades!$U$8,G125),1)*IF(Upgrades!$T$9="Asteroid Belt",POWER(Upgrades!$U$9,H125),1)*IF(Upgrades!$T$10="Asteroid Belt",POWER(Upgrades!$U$10,I125),1)*IF(Upgrades!$T$11="Asteroid Belt",POWER(Upgrades!$U$11,J125),1)*IF(Upgrades!$T$12="Asteroid Belt",POWER(Upgrades!$U$12,K125),1))+(IF(G125=0,0,(Upgrades!$J$8+G125*Upgrades!$K$8)*POWER(Upgrades!$L$8,G125)))*(IF(Upgrades!$T$6="Stellar Coupling",POWER(Upgrades!$U$6,E125),1)*IF(Upgrades!$T$7="Stellar Coupling",POWER(Upgrades!$U$7,F125),1)*IF(Upgrades!$T$9="Stellar Coupling",POWER(Upgrades!$U$9,H125),1)*IF(Upgrades!$T$10="Stellar Coupling",POWER(Upgrades!$U$10,I125),1)*IF(Upgrades!$T$11="Stellar Coupling",POWER(Upgrades!$U$11,J125),1)*IF(Upgrades!$T$12="Stellar Coupling",POWER(Upgrades!$U$12,K125),1))+(IF(H125=0,0,(Upgrades!$J$9+H125*Upgrades!$K$9)*POWER(Upgrades!$L$9,H125)))*(IF(Upgrades!$T$6="Magnetosphere",POWER(Upgrades!$U$6,E125),1)*IF(Upgrades!$T$7="Magnetosphere",POWER(Upgrades!$U$7,F125),1)*IF(Upgrades!$T$8="Magnetosphere",POWER(Upgrades!$U$8,G125),1)*IF(Upgrades!$T$10="Magnetosphere",POWER(Upgrades!$U$10,I125),1)*IF(Upgrades!$T$11="Magnetosphere",POWER(Upgrades!$U$11,J125),1)*IF(Upgrades!$T$12="Magnetosphere",POWER(Upgrades!$U$12,K125),1))+(IF(I125=0,0,(Upgrades!$J$10+I125*Upgrades!$K$10)*POWER(Upgrades!$L$10,I125)))*(IF(Upgrades!$T$6="Orbital Resonance",POWER(Upgrades!$U$6,E125),1)*IF(Upgrades!$T$7="Orbital Resonance",POWER(Upgrades!$U$7,F125),1)*IF(Upgrades!$T$8="Orbital Resonance",POWER(Upgrades!$U$8,G125),1)*IF(Upgrades!$T$9="Orbital Resonance",POWER(Upgrades!$U$9,H125),1)*IF(Upgrades!$T$11="Orbital Resonance",POWER(Upgrades!$U$11,J125),1)*IF(Upgrades!$T$12="Orbital Resonance",POWER(Upgrades!$U$12,K125),1))+(IF(J125=0,0,(Upgrades!$J$11+J125*Upgrades!$K$11)*POWER(Upgrades!$L$11,J125)))*(IF(Upgrades!$T$6="Heliopause",POWER(Upgrades!$U$6,E125),1)*IF(Upgrades!$T$7="Heliopause",POWER(Upgrades!$U$7,F125),1)*IF(Upgrades!$T$8="Heliopause",POWER(Upgrades!$U$8,G125),1)*IF(Upgrades!$T$9="Heliopause",POWER(Upgrades!$U$9,H125),1)*IF(Upgrades!$T$10="Heliopause",POWER(Upgrades!$U$10,I125),1)*IF(Upgrades!$T$12="Heliopause",POWER(Upgrades!$U$12,K125),1))+(IF(K125=0,0,(Upgrades!$J$12+K125*Upgrades!$K$12)*POWER(Upgrades!$L$12,K125)))*(IF(Upgrades!$T$6="First Photons",POWER(Upgrades!$U$6,E125),1)*IF(Upgrades!$T$7="First Photons",POWER(Upgrades!$U$7,F125),1)*IF(Upgrades!$T$8="First Photons",POWER(Upgrades!$U$8,G125),1)*IF(Upgrades!$T$9="First Photons",POWER(Upgrades!$U$9,H125),1)*IF(Upgrades!$T$10="First Photons",POWER(Upgrades!$U$10,I125),1)*IF(Upgrades!$T$11="First Photons",POWER(Upgrades!$U$11,J125),1)))*POWER(Upgrades!$Q$6,E125)*POWER(Upgrades!$Q$7,F125)*POWER(Upgrades!$Q$8,G125)*POWER(Upgrades!$Q$9,H125)*POWER(Upgrades!$Q$10,I125)*POWER(Upgrades!$Q$11,J125)*POWER(Upgrades!$Q$12,K125)</f>
        <v>5.61</v>
      </c>
      <c r="N125" s="28" t="n">
        <f aca="false">((IF(E125=0,0,(Upgrades!$G$6+E125*Upgrades!$H$6)*POWER(Upgrades!$I$6,E125)))*(IF(Upgrades!$T$7="Solar Wind",POWER(Upgrades!$U$7,F125),1)*IF(Upgrades!$T$8="Solar Wind",POWER(Upgrades!$U$8,G125),1)*IF(Upgrades!$T$9="Solar Wind",POWER(Upgrades!$U$9,H125),1)*IF(Upgrades!$T$10="Solar Wind",POWER(Upgrades!$U$10,I125),1)*IF(Upgrades!$T$11="Solar Wind",POWER(Upgrades!$U$11,J125),1)*IF(Upgrades!$T$12="Solar Wind",POWER(Upgrades!$U$12,K125),1))+(IF(F125=0,0,(Upgrades!$G$7+F125*Upgrades!$H$7)*POWER(Upgrades!$I$7,F125)))*(IF(Upgrades!$T$6="Asteroid Belt",POWER(Upgrades!$U$6,E125),1)*IF(Upgrades!$T$8="Asteroid Belt",POWER(Upgrades!$U$8,G125),1)*IF(Upgrades!$T$9="Asteroid Belt",POWER(Upgrades!$U$9,H125),1)*IF(Upgrades!$T$10="Asteroid Belt",POWER(Upgrades!$U$10,I125),1)*IF(Upgrades!$T$11="Asteroid Belt",POWER(Upgrades!$U$11,J125),1)*IF(Upgrades!$T$12="Asteroid Belt",POWER(Upgrades!$U$12,K125),1))+(IF(G125=0,0,(Upgrades!$G$8+G125*Upgrades!$H$8)*POWER(Upgrades!$I$8,G125)))*(IF(Upgrades!$T$6="Stellar Coupling",POWER(Upgrades!$U$6,E125),1)*IF(Upgrades!$T$7="Stellar Coupling",POWER(Upgrades!$U$7,F125),1)*IF(Upgrades!$T$9="Stellar Coupling",POWER(Upgrades!$U$9,H125),1)*IF(Upgrades!$T$10="Stellar Coupling",POWER(Upgrades!$U$10,I125),1)*IF(Upgrades!$T$11="Stellar Coupling",POWER(Upgrades!$U$11,J125),1)*IF(Upgrades!$T$12="Stellar Coupling",POWER(Upgrades!$U$12,K125),1))+(IF(H125=0,0,(Upgrades!$G$9+H125*Upgrades!$H$9)*POWER(Upgrades!$I$9,H125)))*(IF(Upgrades!$T$6="Magnetosphere",POWER(Upgrades!$U$6,E125),1)*IF(Upgrades!$T$7="Magnetosphere",POWER(Upgrades!$U$7,F125),1)*IF(Upgrades!$T$8="Magnetosphere",POWER(Upgrades!$U$8,G125),1)*IF(Upgrades!$T$10="Magnetosphere",POWER(Upgrades!$U$10,I125),1)*IF(Upgrades!$T$11="Magnetosphere",POWER(Upgrades!$U$11,J125),1)*IF(Upgrades!$T$12="Magnetosphere",POWER(Upgrades!$U$12,K125),1))+(IF(I125=0,0,(Upgrades!$G$10+I125*Upgrades!$H$10)*POWER(Upgrades!$I$10,I125)))*(IF(Upgrades!$T$6="Orbital Resonance",POWER(Upgrades!$U$6,E125),1)*IF(Upgrades!$T$7="Orbital Resonance",POWER(Upgrades!$U$7,F125),1)*IF(Upgrades!$T$8="Orbital Resonance",POWER(Upgrades!$U$8,G125),1)*IF(Upgrades!$T$9="Orbital Resonance",POWER(Upgrades!$U$9,H125),1)*IF(Upgrades!$T$11="Orbital Resonance",POWER(Upgrades!$U$11,J125),1)*IF(Upgrades!$T$12="Orbital Resonance",POWER(Upgrades!$U$12,K125),1))+(IF(J125=0,0,(Upgrades!$G$11+J125*Upgrades!$H$11)*POWER(Upgrades!$I$11,J125)))*(IF(Upgrades!$T$6="Heliopause",POWER(Upgrades!$U$6,E125),1)*IF(Upgrades!$T$7="Heliopause",POWER(Upgrades!$U$7,F125),1)*IF(Upgrades!$T$8="Heliopause",POWER(Upgrades!$U$8,G125),1)*IF(Upgrades!$T$9="Heliopause",POWER(Upgrades!$U$9,H125),1)*IF(Upgrades!$T$10="Heliopause",POWER(Upgrades!$U$10,I125),1)*IF(Upgrades!$T$12="Heliopause",POWER(Upgrades!$U$12,K125),1))+(IF(K125=0,0,(Upgrades!$G$12+K125*Upgrades!$H$12)*POWER(Upgrades!$I$12,K125)))*(IF(Upgrades!$T$6="First Photons",POWER(Upgrades!$U$6,E125),1)*IF(Upgrades!$T$7="First Photons",POWER(Upgrades!$U$7,F125),1)*IF(Upgrades!$T$8="First Photons",POWER(Upgrades!$U$8,G125),1)*IF(Upgrades!$T$9="First Photons",POWER(Upgrades!$U$9,H125),1)*IF(Upgrades!$T$10="First Photons",POWER(Upgrades!$U$10,I125),1)*IF(Upgrades!$T$11="First Photons",POWER(Upgrades!$U$11,J125),1)))*POWER(Upgrades!$P$6,E125)*POWER(Upgrades!$P$7,F125)*POWER(Upgrades!$P$8,G125)*POWER(Upgrades!$P$9,H125)*POWER(Upgrades!$P$10,I125)*POWER(Upgrades!$P$11,J125)*POWER(Upgrades!$P$12,K125)</f>
        <v>11.2</v>
      </c>
      <c r="O125" s="28" t="n">
        <f aca="false">((IF(E125=0,0,(Upgrades!$M$6+E125*Upgrades!$N$6)*POWER(Upgrades!$O$6,E125)))*(IF(Upgrades!$T$7="Solar Wind",POWER(Upgrades!$U$7,F125),1)*IF(Upgrades!$T$8="Solar Wind",POWER(Upgrades!$U$8,G125),1)*IF(Upgrades!$T$9="Solar Wind",POWER(Upgrades!$U$9,H125),1)*IF(Upgrades!$T$10="Solar Wind",POWER(Upgrades!$U$10,I125),1)*IF(Upgrades!$T$11="Solar Wind",POWER(Upgrades!$U$11,J125),1)*IF(Upgrades!$T$12="Solar Wind",POWER(Upgrades!$U$12,K125),1))+(IF(F125=0,0,(Upgrades!$M$7+F125*Upgrades!$N$7)*POWER(Upgrades!$O$7,F125)))*(IF(Upgrades!$T$6="Asteroid Belt",POWER(Upgrades!$U$6,E125),1)*IF(Upgrades!$T$8="Asteroid Belt",POWER(Upgrades!$U$8,G125),1)*IF(Upgrades!$T$9="Asteroid Belt",POWER(Upgrades!$U$9,H125),1)*IF(Upgrades!$T$10="Asteroid Belt",POWER(Upgrades!$U$10,I125),1)*IF(Upgrades!$T$11="Asteroid Belt",POWER(Upgrades!$U$11,J125),1)*IF(Upgrades!$T$12="Asteroid Belt",POWER(Upgrades!$U$12,K125),1))+(IF(G125=0,0,(Upgrades!$M$8+G125*Upgrades!$N$8)*POWER(Upgrades!$O$8,G125)))*(IF(Upgrades!$T$6="Stellar Coupling",POWER(Upgrades!$U$6,E125),1)*IF(Upgrades!$T$7="Stellar Coupling",POWER(Upgrades!$U$7,F125),1)*IF(Upgrades!$T$9="Stellar Coupling",POWER(Upgrades!$U$9,H125),1)*IF(Upgrades!$T$10="Stellar Coupling",POWER(Upgrades!$U$10,I125),1)*IF(Upgrades!$T$11="Stellar Coupling",POWER(Upgrades!$U$11,J125),1)*IF(Upgrades!$T$12="Stellar Coupling",POWER(Upgrades!$U$12,K125),1))+(IF(H125=0,0,(Upgrades!$M$9+H125*Upgrades!$N$9)*POWER(Upgrades!$O$9,H125)))*(IF(Upgrades!$T$6="Magnetosphere",POWER(Upgrades!$U$6,E125),1)*IF(Upgrades!$T$7="Magnetosphere",POWER(Upgrades!$U$7,F125),1)*IF(Upgrades!$T$8="Magnetosphere",POWER(Upgrades!$U$8,G125),1)*IF(Upgrades!$T$10="Magnetosphere",POWER(Upgrades!$U$10,I125),1)*IF(Upgrades!$T$11="Magnetosphere",POWER(Upgrades!$U$11,J125),1)*IF(Upgrades!$T$12="Magnetosphere",POWER(Upgrades!$U$12,K125),1))+(IF(I125=0,0,(Upgrades!$M$10+I125*Upgrades!$N$10)*POWER(Upgrades!$O$10,I125)))*(IF(Upgrades!$T$6="Orbital Resonance",POWER(Upgrades!$U$6,E125),1)*IF(Upgrades!$T$7="Orbital Resonance",POWER(Upgrades!$U$7,F125),1)*IF(Upgrades!$T$8="Orbital Resonance",POWER(Upgrades!$U$8,G125),1)*IF(Upgrades!$T$9="Orbital Resonance",POWER(Upgrades!$U$9,H125),1)*IF(Upgrades!$T$11="Orbital Resonance",POWER(Upgrades!$U$11,J125),1)*IF(Upgrades!$T$12="Orbital Resonance",POWER(Upgrades!$U$12,K125),1))+(IF(J125=0,0,(Upgrades!$M$11+J125*Upgrades!$N$11)*POWER(Upgrades!$O$11,J125)))*(IF(Upgrades!$T$6="Heliopause",POWER(Upgrades!$U$6,E125),1)*IF(Upgrades!$T$7="Heliopause",POWER(Upgrades!$U$7,F125),1)*IF(Upgrades!$T$8="Heliopause",POWER(Upgrades!$U$8,G125),1)*IF(Upgrades!$T$9="Heliopause",POWER(Upgrades!$U$9,H125),1)*IF(Upgrades!$T$10="Heliopause",POWER(Upgrades!$U$10,I125),1)*IF(Upgrades!$T$12="Heliopause",POWER(Upgrades!$U$12,K125),1))+(IF(K125=0,0,(Upgrades!$M$12+K125*Upgrades!$N$12)*POWER(Upgrades!$O$12,K125)))*(IF(Upgrades!$T$6="First Photons",POWER(Upgrades!$U$6,E125),1)*IF(Upgrades!$T$7="First Photons",POWER(Upgrades!$U$7,F125),1)*IF(Upgrades!$T$8="First Photons",POWER(Upgrades!$U$8,G125),1)*IF(Upgrades!$T$9="First Photons",POWER(Upgrades!$U$9,H125),1)*IF(Upgrades!$T$10="First Photons",POWER(Upgrades!$U$10,I125),1)*IF(Upgrades!$T$11="First Photons",POWER(Upgrades!$U$11,J125),1)))*POWER(Upgrades!$R$6,E125)*POWER(Upgrades!$R$7,F125)*POWER(Upgrades!$R$8,G125)*POWER(Upgrades!$R$9,H125)*POWER(Upgrades!$R$10,I125)*POWER(Upgrades!$R$11,J125)*POWER(Upgrades!$R$12,K125)</f>
        <v>0</v>
      </c>
      <c r="P125" s="27" t="n">
        <f aca="false">IF(L125=1,0,M125*Parameters!$B$10/60*Parameters!$B$11*10)</f>
        <v>0</v>
      </c>
      <c r="Q125" s="27" t="n">
        <f aca="false">IF(L125=1,0,O125*M125*10)</f>
        <v>0</v>
      </c>
      <c r="R125" s="27" t="n">
        <f aca="false">IF(L125=1,0,N125*10)</f>
        <v>0</v>
      </c>
      <c r="S125" s="27" t="n">
        <f aca="false">P125+Q125+R125</f>
        <v>0</v>
      </c>
      <c r="T125" s="21" t="n">
        <f aca="false">C125+S125</f>
        <v>18.6730249835055</v>
      </c>
      <c r="U125" s="34" t="str">
        <f aca="false">AX125</f>
        <v/>
      </c>
      <c r="V125" s="21" t="n">
        <f aca="false">IF(U125="",0,IF(U125="transition",0,IF(U125="SW",AG125,IF(U125="AB",AH125,IF(U125="SC",AI125,IF(U125="Mag",AJ125,IF(U125="OR",AK125,IF(U125="HP",AL125,IF(U125="FP",AM125,0)))))))))</f>
        <v>0</v>
      </c>
      <c r="W125" s="27" t="n">
        <f aca="false">IF(U125="OR",Upgrades!$F$10,IF(U125="HP",Upgrades!$F$11,IF(U125="transition",-Parameters!$B$18,0)))</f>
        <v>0</v>
      </c>
      <c r="X125" s="21" t="n">
        <f aca="false">T125-V125</f>
        <v>18.6730249835055</v>
      </c>
      <c r="Y125" s="30" t="n">
        <f aca="false">M125*Parameters!$B$10/60*Parameters!$B$11+O125*M125+N125</f>
        <v>20.55</v>
      </c>
      <c r="Z125" s="35" t="str">
        <f aca="false">IF(U125="transition","→ Tier 2 (Stellar Neighborhood)",IF(U125="FP","First Photons — light begins, system quickens",IF(U125="HP","Heliopause acquired",IF(U125="OR","Orbital Resonance — passive multiplier active",IF(AND(AO125=1,L125=0,AN125&lt;&gt;1),"Cohesion ready (waiting on completionist upgrades)","")))))</f>
        <v/>
      </c>
      <c r="AA125" s="27" t="n">
        <f aca="false">(IF(E125=0,0,(Upgrades!$G$6+E125*Upgrades!$H$6)*POWER(Upgrades!$I$6,E125)))*(IF(Upgrades!$T$7="Solar Wind",POWER(Upgrades!$U$7,F125),1)*IF(Upgrades!$T$8="Solar Wind",POWER(Upgrades!$U$8,G125),1)*IF(Upgrades!$T$9="Solar Wind",POWER(Upgrades!$U$9,H125),1)*IF(Upgrades!$T$10="Solar Wind",POWER(Upgrades!$U$10,I125),1)*IF(Upgrades!$T$11="Solar Wind",POWER(Upgrades!$U$11,J125),1)*IF(Upgrades!$T$12="Solar Wind",POWER(Upgrades!$U$12,K125),1))*POWER(Upgrades!$P$6,E125)*POWER(Upgrades!$P$7,F125)*POWER(Upgrades!$P$8,G125)*POWER(Upgrades!$P$9,H125)*POWER(Upgrades!$P$10,I125)*POWER(Upgrades!$P$11,J125)*POWER(Upgrades!$P$12,K125)*60</f>
        <v>72</v>
      </c>
      <c r="AB125" s="27" t="n">
        <f aca="false">(IF(F125=0,0,(Upgrades!$G$7+F125*Upgrades!$H$7)*POWER(Upgrades!$I$7,F125)))*(IF(Upgrades!$T$6="Asteroid Belt",POWER(Upgrades!$U$6,E125),1)*IF(Upgrades!$T$8="Asteroid Belt",POWER(Upgrades!$U$8,G125),1)*IF(Upgrades!$T$9="Asteroid Belt",POWER(Upgrades!$U$9,H125),1)*IF(Upgrades!$T$10="Asteroid Belt",POWER(Upgrades!$U$10,I125),1)*IF(Upgrades!$T$11="Asteroid Belt",POWER(Upgrades!$U$11,J125),1)*IF(Upgrades!$T$12="Asteroid Belt",POWER(Upgrades!$U$12,K125),1))*POWER(Upgrades!$P$6,E125)*POWER(Upgrades!$P$7,F125)*POWER(Upgrades!$P$8,G125)*POWER(Upgrades!$P$9,H125)*POWER(Upgrades!$P$10,I125)*POWER(Upgrades!$P$11,J125)*POWER(Upgrades!$P$12,K125)*60</f>
        <v>150</v>
      </c>
      <c r="AC125" s="27" t="n">
        <f aca="false">(IF(G125=0,0,(Upgrades!$J$8+G125*Upgrades!$K$8)*POWER(Upgrades!$L$8,G125)))*(IF(Upgrades!$T$6="Stellar Coupling",POWER(Upgrades!$U$6,E125),1)*IF(Upgrades!$T$7="Stellar Coupling",POWER(Upgrades!$U$7,F125),1)*IF(Upgrades!$T$9="Stellar Coupling",POWER(Upgrades!$U$9,H125),1)*IF(Upgrades!$T$10="Stellar Coupling",POWER(Upgrades!$U$10,I125),1)*IF(Upgrades!$T$11="Stellar Coupling",POWER(Upgrades!$U$11,J125),1)*IF(Upgrades!$T$12="Stellar Coupling",POWER(Upgrades!$U$12,K125),1))*POWER(Upgrades!$Q$6,E125)*POWER(Upgrades!$Q$7,F125)*POWER(Upgrades!$Q$8,G125)*POWER(Upgrades!$Q$9,H125)*POWER(Upgrades!$Q$10,I125)*POWER(Upgrades!$Q$11,J125)*POWER(Upgrades!$Q$12,K125)*Parameters!$B$10*Parameters!$B$11</f>
        <v>441</v>
      </c>
      <c r="AD125" s="27" t="n">
        <f aca="false">(IF(H125=0,0,(Upgrades!$G$9+H125*Upgrades!$H$9)*POWER(Upgrades!$I$9,H125)))*(IF(Upgrades!$T$6="Magnetosphere",POWER(Upgrades!$U$6,E125),1)*IF(Upgrades!$T$7="Magnetosphere",POWER(Upgrades!$U$7,F125),1)*IF(Upgrades!$T$8="Magnetosphere",POWER(Upgrades!$U$8,G125),1)*IF(Upgrades!$T$10="Magnetosphere",POWER(Upgrades!$U$10,I125),1)*IF(Upgrades!$T$11="Magnetosphere",POWER(Upgrades!$U$11,J125),1)*IF(Upgrades!$T$12="Magnetosphere",POWER(Upgrades!$U$12,K125),1))*POWER(Upgrades!$P$6,E125)*POWER(Upgrades!$P$7,F125)*POWER(Upgrades!$P$8,G125)*POWER(Upgrades!$P$9,H125)*POWER(Upgrades!$P$10,I125)*POWER(Upgrades!$P$11,J125)*POWER(Upgrades!$P$12,K125)*60</f>
        <v>375</v>
      </c>
      <c r="AE125" s="27" t="n">
        <f aca="false">(IF(K125=0,0,(Upgrades!$G$12+K125*Upgrades!$H$12)*POWER(Upgrades!$I$12,K125)))*(IF(Upgrades!$T$6="First Photons",POWER(Upgrades!$U$6,E125),1)*IF(Upgrades!$T$7="First Photons",POWER(Upgrades!$U$7,F125),1)*IF(Upgrades!$T$8="First Photons",POWER(Upgrades!$U$8,G125),1)*IF(Upgrades!$T$9="First Photons",POWER(Upgrades!$U$9,H125),1)*IF(Upgrades!$T$10="First Photons",POWER(Upgrades!$U$10,I125),1)*IF(Upgrades!$T$11="First Photons",POWER(Upgrades!$U$11,J125),1))*POWER(Upgrades!$P$6,E125)*POWER(Upgrades!$P$7,F125)*POWER(Upgrades!$P$8,G125)*POWER(Upgrades!$P$9,H125)*POWER(Upgrades!$P$10,I125)*POWER(Upgrades!$P$11,J125)*POWER(Upgrades!$P$12,K125)*60</f>
        <v>75</v>
      </c>
      <c r="AF125" s="27" t="n">
        <f aca="false">Parameters!$B$9*POWER(Upgrades!$Q$6,E125)*POWER(Upgrades!$Q$7,F125)*POWER(Upgrades!$Q$8,G125)*POWER(Upgrades!$Q$9,H125)*POWER(Upgrades!$Q$10,I125)*POWER(Upgrades!$Q$11,J125)*POWER(Upgrades!$Q$12,K125)*(Parameters!$B$10*Parameters!$B$11+O125*60)</f>
        <v>120</v>
      </c>
      <c r="AG125" s="21" t="n">
        <f aca="false">IF(E125&gt;=Upgrades!$E$6,"",Upgrades!$C$6*POWER(Upgrades!$D$6,E125))</f>
        <v>37.4517507383159</v>
      </c>
      <c r="AH125" s="21" t="n">
        <f aca="false">IF(F125&gt;=Upgrades!$E$7,"",Upgrades!$C$7*POWER(Upgrades!$D$7,F125))</f>
        <v>80.9111547141581</v>
      </c>
      <c r="AI125" s="21" t="n">
        <f aca="false">IF(G125&gt;=Upgrades!$E$8,"",Upgrades!$C$8*POWER(Upgrades!$D$8,G125))</f>
        <v>231.9097088</v>
      </c>
      <c r="AJ125" s="21" t="str">
        <f aca="false">IF(H125&gt;=Upgrades!$E$9,"",Upgrades!$C$9*POWER(Upgrades!$D$9,H125))</f>
        <v/>
      </c>
      <c r="AK125" s="21" t="str">
        <f aca="false">IF(I125&gt;=Upgrades!$E$10,"",Upgrades!$C$10*POWER(Upgrades!$D$10,I125))</f>
        <v/>
      </c>
      <c r="AL125" s="21" t="str">
        <f aca="false">IF(J125&gt;=Upgrades!$E$11,"",Upgrades!$C$11*POWER(Upgrades!$D$11,J125))</f>
        <v/>
      </c>
      <c r="AM125" s="21" t="str">
        <f aca="false">IF(K125&gt;=Upgrades!$E$12,"",Upgrades!$C$12*POWER(Upgrades!$D$12,K125))</f>
        <v/>
      </c>
      <c r="AN125" s="26" t="str">
        <f aca="false">IF(AND(D125&gt;=Parameters!$B$18,(H125&gt;=Upgrades!$E$9)*(K125&gt;=Upgrades!$E$12)=1,L125=0),1,"")</f>
        <v/>
      </c>
      <c r="AO125" s="26" t="str">
        <f aca="false">IF(AND(D125&gt;=Parameters!$B$18,L125=0),1,"")</f>
        <v/>
      </c>
      <c r="AP125" s="21" t="n">
        <f aca="false">MIN(IF(ISNUMBER(AK125),AK125,9000000000000000),IF(ISNUMBER(AL125),AL125,9000000000000000),IF(ISNUMBER(AM125),AM125,9000000000000000))</f>
        <v>9000000000000000</v>
      </c>
      <c r="AQ125" s="21" t="n">
        <f aca="false">MIN(IF(ISNUMBER(AG125),AG125,9000000000000000),IF(ISNUMBER(AH125),AH125,9000000000000000),IF(ISNUMBER(AI125),AI125,9000000000000000),IF(ISNUMBER(AJ125),AJ125,9000000000000000))</f>
        <v>37.4517507383159</v>
      </c>
      <c r="AR125" s="32" t="b">
        <f aca="false">IF(AW125&gt;Parameters!$B$21*(MAX(IF(AND(NOT(AND(AO125=1,AN125&lt;&gt;1)),ISNUMBER(AG125),AG125&lt;=T125),AS125,0),IF(AND(NOT(AND(AO125=1,AN125&lt;&gt;1)),ISNUMBER(AH125),AH125&lt;=T125),AT125,0),IF(AND(NOT(AND(AO125=1,AN125&lt;&gt;1)),ISNUMBER(AI125),AI125&lt;=T125),AU125,0),IF(AND(ISNUMBER(AJ125),AJ125&lt;=T125),AV125,0))),TRUE(),FALSE())</f>
        <v>1</v>
      </c>
      <c r="AS125" s="33" t="n">
        <f aca="false">IFERROR(Upgrades!$H$6*(POWER(Upgrades!$P$6,E125)*POWER(Upgrades!$P$7,F125)*POWER(Upgrades!$P$8,G125)*POWER(Upgrades!$P$9,H125)*POWER(Upgrades!$P$10,I125)*POWER(Upgrades!$P$11,J125)*POWER(Upgrades!$P$12,K125))*(IF(Upgrades!$T$7="Solar Wind",POWER(Upgrades!$U$7,F125),1)*IF(Upgrades!$T$8="Solar Wind",POWER(Upgrades!$U$8,G125),1)*IF(Upgrades!$T$9="Solar Wind",POWER(Upgrades!$U$9,H125),1)*IF(Upgrades!$T$10="Solar Wind",POWER(Upgrades!$U$10,I125),1)*IF(Upgrades!$T$11="Solar Wind",POWER(Upgrades!$U$11,J125),1)*IF(Upgrades!$T$12="Solar Wind",POWER(Upgrades!$U$12,K125),1))/AG125,0)</f>
        <v>0.0026701021455238</v>
      </c>
      <c r="AT125" s="33" t="n">
        <f aca="false">IFERROR(Upgrades!$H$7*(POWER(Upgrades!$P$6,E125)*POWER(Upgrades!$P$7,F125)*POWER(Upgrades!$P$8,G125)*POWER(Upgrades!$P$9,H125)*POWER(Upgrades!$P$10,I125)*POWER(Upgrades!$P$11,J125)*POWER(Upgrades!$P$12,K125))*(IF(Upgrades!$T$6="Asteroid Belt",POWER(Upgrades!$U$6,E125),1)*IF(Upgrades!$T$8="Asteroid Belt",POWER(Upgrades!$U$8,G125),1)*IF(Upgrades!$T$9="Asteroid Belt",POWER(Upgrades!$U$9,H125),1)*IF(Upgrades!$T$10="Asteroid Belt",POWER(Upgrades!$U$10,I125),1)*IF(Upgrades!$T$11="Asteroid Belt",POWER(Upgrades!$U$11,J125),1)*IF(Upgrades!$T$12="Asteroid Belt",POWER(Upgrades!$U$12,K125),1))/AH125,0)</f>
        <v>0.00308980882652332</v>
      </c>
      <c r="AU125" s="33" t="n">
        <f aca="false">IFERROR(Upgrades!$K$8*(POWER(Upgrades!$Q$6,E125)*POWER(Upgrades!$Q$7,F125)*POWER(Upgrades!$Q$8,G125)*POWER(Upgrades!$Q$9,H125)*POWER(Upgrades!$Q$10,I125)*POWER(Upgrades!$Q$11,J125)*POWER(Upgrades!$Q$12,K125))*(IF(Upgrades!$T$6="Stellar Coupling",POWER(Upgrades!$U$6,E125),1)*IF(Upgrades!$T$7="Stellar Coupling",POWER(Upgrades!$U$7,F125),1)*IF(Upgrades!$T$9="Stellar Coupling",POWER(Upgrades!$U$9,H125),1)*IF(Upgrades!$T$10="Stellar Coupling",POWER(Upgrades!$U$10,I125),1)*IF(Upgrades!$T$11="Stellar Coupling",POWER(Upgrades!$U$11,J125),1)*IF(Upgrades!$T$12="Stellar Coupling",POWER(Upgrades!$U$12,K125),1))*Parameters!$B$10*Parameters!$B$11/60/AI125,0)</f>
        <v>0.00452762415783776</v>
      </c>
      <c r="AV125" s="33" t="n">
        <f aca="false">IFERROR(Upgrades!$H$9*(POWER(Upgrades!$P$6,E125)*POWER(Upgrades!$P$7,F125)*POWER(Upgrades!$P$8,G125)*POWER(Upgrades!$P$9,H125)*POWER(Upgrades!$P$10,I125)*POWER(Upgrades!$P$11,J125)*POWER(Upgrades!$P$12,K125))*(IF(Upgrades!$T$6="Magnetosphere",POWER(Upgrades!$U$6,E125),1)*IF(Upgrades!$T$7="Magnetosphere",POWER(Upgrades!$U$7,F125),1)*IF(Upgrades!$T$8="Magnetosphere",POWER(Upgrades!$U$8,G125),1)*IF(Upgrades!$T$10="Magnetosphere",POWER(Upgrades!$U$10,I125),1)*IF(Upgrades!$T$11="Magnetosphere",POWER(Upgrades!$U$11,J125),1)*IF(Upgrades!$T$12="Magnetosphere",POWER(Upgrades!$U$12,K125),1))/AJ125,0)</f>
        <v>0</v>
      </c>
      <c r="AW125" s="33" t="n">
        <f aca="false">MAX(IF(I125&gt;0,0,IFERROR(0.25*N125/Upgrades!$C$10,0)),IF(J125&gt;0,0,IFERROR(0.5*((IF(G125=0,0,(Upgrades!$J$8+G125*Upgrades!$K$8)*POWER(Upgrades!$L$8,G125)))*(IF(Upgrades!$T$6="Stellar Coupling",POWER(Upgrades!$U$6,E125),1)*IF(Upgrades!$T$7="Stellar Coupling",POWER(Upgrades!$U$7,F125),1)*IF(Upgrades!$T$9="Stellar Coupling",POWER(Upgrades!$U$9,H125),1)*IF(Upgrades!$T$10="Stellar Coupling",POWER(Upgrades!$U$10,I125),1)*IF(Upgrades!$T$11="Stellar Coupling",POWER(Upgrades!$U$11,J125),1)*IF(Upgrades!$T$12="Stellar Coupling",POWER(Upgrades!$U$12,K125),1))*(POWER(Upgrades!$Q$6,E125)*POWER(Upgrades!$Q$7,F125)*POWER(Upgrades!$Q$8,G125)*POWER(Upgrades!$Q$9,H125)*POWER(Upgrades!$Q$10,I125)*POWER(Upgrades!$Q$11,J125)*POWER(Upgrades!$Q$12,K125))*Parameters!$B$10*Parameters!$B$11/60)/Upgrades!$C$11,0)),IF(K125&gt;0,0,IFERROR((1*(POWER(Upgrades!$P$6,E125)*POWER(Upgrades!$P$7,F125)*POWER(Upgrades!$P$8,G125)*POWER(Upgrades!$P$9,H125)*POWER(Upgrades!$P$10,I125)*POWER(Upgrades!$P$11,J125)*POWER(Upgrades!$P$12,K125))+0.2*M125*Parameters!$B$10*Parameters!$B$11/60)/Upgrades!$C$12,0)),IF(AND(ISNUMBER(AG125),AG125&gt;T125),AS125,0),IF(AND(ISNUMBER(AH125),AH125&gt;T125),AT125,0),IF(AND(ISNUMBER(AI125),AI125&gt;T125),AU125,0),IF(AND(ISNUMBER(AJ125),AJ125&gt;T125),AV125,0))</f>
        <v>0.00452762415783776</v>
      </c>
      <c r="AX125" s="29" t="str">
        <f aca="false">IF(AN125=1,"transition",IF(MIN(IF(AND(I125=0,ISNUMBER(AK125),AK125&lt;=T125),AK125,9000000000000000),IF(AND(J125=0,ISNUMBER(AL125),AL125&lt;=T125),AL125,9000000000000000),IF(AND(K125=0,ISNUMBER(AM125),AM125&lt;=T125),AM125,9000000000000000))&lt;9000000000000000,IF(AND(AND(I125=0,ISNUMBER(AK125),AK125&lt;=T125),AK125=MIN(IF(AND(I125=0,ISNUMBER(AK125),AK125&lt;=T125),AK125,9000000000000000),IF(AND(J125=0,ISNUMBER(AL125),AL125&lt;=T125),AL125,9000000000000000),IF(AND(K125=0,ISNUMBER(AM125),AM125&lt;=T125),AM125,9000000000000000))),"OR",IF(AND(AND(J125=0,ISNUMBER(AL125),AL125&lt;=T125),AL125=MIN(IF(AND(I125=0,ISNUMBER(AK125),AK125&lt;=T125),AK125,9000000000000000),IF(AND(J125=0,ISNUMBER(AL125),AL125&lt;=T125),AL125,9000000000000000),IF(AND(K125=0,ISNUMBER(AM125),AM125&lt;=T125),AM125,9000000000000000))),"HP","FP")),IF(AR125=TRUE(),"",IF(MAX(IF(AND(NOT(AND(AO125=1,AN125&lt;&gt;1)),ISNUMBER(AG125),AG125&lt;=T125),AS125,0),IF(AND(NOT(AND(AO125=1,AN125&lt;&gt;1)),ISNUMBER(AH125),AH125&lt;=T125),AT125,0),IF(AND(NOT(AND(AO125=1,AN125&lt;&gt;1)),ISNUMBER(AI125),AI125&lt;=T125),AU125,0),IF(AND(ISNUMBER(AJ125),AJ125&lt;=T125),AV125,0))&lt;=0,"",IF(AND(IF(AND(NOT(AND(AO125=1,AN125&lt;&gt;1)),ISNUMBER(AG125),AG125&lt;=T125),AS125,0)&gt;0,IF(AND(NOT(AND(AO125=1,AN125&lt;&gt;1)),ISNUMBER(AG125),AG125&lt;=T125),AS125,0)=MAX(IF(AND(NOT(AND(AO125=1,AN125&lt;&gt;1)),ISNUMBER(AG125),AG125&lt;=T125),AS125,0),IF(AND(NOT(AND(AO125=1,AN125&lt;&gt;1)),ISNUMBER(AH125),AH125&lt;=T125),AT125,0),IF(AND(NOT(AND(AO125=1,AN125&lt;&gt;1)),ISNUMBER(AI125),AI125&lt;=T125),AU125,0),IF(AND(ISNUMBER(AJ125),AJ125&lt;=T125),AV125,0))),"SW",IF(AND(IF(AND(NOT(AND(AO125=1,AN125&lt;&gt;1)),ISNUMBER(AH125),AH125&lt;=T125),AT125,0)&gt;0,IF(AND(NOT(AND(AO125=1,AN125&lt;&gt;1)),ISNUMBER(AH125),AH125&lt;=T125),AT125,0)=MAX(IF(AND(NOT(AND(AO125=1,AN125&lt;&gt;1)),ISNUMBER(AG125),AG125&lt;=T125),AS125,0),IF(AND(NOT(AND(AO125=1,AN125&lt;&gt;1)),ISNUMBER(AH125),AH125&lt;=T125),AT125,0),IF(AND(NOT(AND(AO125=1,AN125&lt;&gt;1)),ISNUMBER(AI125),AI125&lt;=T125),AU125,0),IF(AND(ISNUMBER(AJ125),AJ125&lt;=T125),AV125,0))),"AB",IF(AND(IF(AND(NOT(AND(AO125=1,AN125&lt;&gt;1)),ISNUMBER(AI125),AI125&lt;=T125),AU125,0)&gt;0,IF(AND(NOT(AND(AO125=1,AN125&lt;&gt;1)),ISNUMBER(AI125),AI125&lt;=T125),AU125,0)=MAX(IF(AND(NOT(AND(AO125=1,AN125&lt;&gt;1)),ISNUMBER(AG125),AG125&lt;=T125),AS125,0),IF(AND(NOT(AND(AO125=1,AN125&lt;&gt;1)),ISNUMBER(AH125),AH125&lt;=T125),AT125,0),IF(AND(NOT(AND(AO125=1,AN125&lt;&gt;1)),ISNUMBER(AI125),AI125&lt;=T125),AU125,0),IF(AND(ISNUMBER(AJ125),AJ125&lt;=T125),AV125,0))),"SC","Mag")))))))</f>
        <v/>
      </c>
    </row>
    <row r="126" customFormat="false" ht="15" hidden="false" customHeight="false" outlineLevel="0" collapsed="false">
      <c r="A126" s="26" t="n">
        <v>121</v>
      </c>
      <c r="B126" s="27" t="n">
        <f aca="false">A126*10/60</f>
        <v>20.1666666666667</v>
      </c>
      <c r="C126" s="21" t="n">
        <f aca="false">X125</f>
        <v>18.6730249835055</v>
      </c>
      <c r="D126" s="27" t="n">
        <f aca="false">D125+W125</f>
        <v>0</v>
      </c>
      <c r="E126" s="26" t="n">
        <f aca="false">E125+IF(U125="SW",1,0)</f>
        <v>12</v>
      </c>
      <c r="F126" s="26" t="n">
        <f aca="false">F125+IF(U125="AB",1,0)</f>
        <v>10</v>
      </c>
      <c r="G126" s="26" t="n">
        <f aca="false">G125+IF(U125="SC",1,0)</f>
        <v>7</v>
      </c>
      <c r="H126" s="26" t="n">
        <f aca="false">H125+IF(U125="Mag",1,0)</f>
        <v>5</v>
      </c>
      <c r="I126" s="26" t="n">
        <f aca="false">MAX(I125,IF(U125="OR",1,0))</f>
        <v>1</v>
      </c>
      <c r="J126" s="26" t="n">
        <f aca="false">MAX(J125,IF(U125="HP",1,0))</f>
        <v>1</v>
      </c>
      <c r="K126" s="26" t="n">
        <f aca="false">MAX(K125,IF(U125="FP",1,0))</f>
        <v>1</v>
      </c>
      <c r="L126" s="26" t="n">
        <f aca="false">MAX(L125,IF(U125="transition",1,0))</f>
        <v>1</v>
      </c>
      <c r="M126" s="28" t="n">
        <f aca="false">(Parameters!$B$9+(IF(E126=0,0,(Upgrades!$J$6+E126*Upgrades!$K$6)*POWER(Upgrades!$L$6,E126)))*(IF(Upgrades!$T$7="Solar Wind",POWER(Upgrades!$U$7,F126),1)*IF(Upgrades!$T$8="Solar Wind",POWER(Upgrades!$U$8,G126),1)*IF(Upgrades!$T$9="Solar Wind",POWER(Upgrades!$U$9,H126),1)*IF(Upgrades!$T$10="Solar Wind",POWER(Upgrades!$U$10,I126),1)*IF(Upgrades!$T$11="Solar Wind",POWER(Upgrades!$U$11,J126),1)*IF(Upgrades!$T$12="Solar Wind",POWER(Upgrades!$U$12,K126),1))+(IF(F126=0,0,(Upgrades!$J$7+F126*Upgrades!$K$7)*POWER(Upgrades!$L$7,F126)))*(IF(Upgrades!$T$6="Asteroid Belt",POWER(Upgrades!$U$6,E126),1)*IF(Upgrades!$T$8="Asteroid Belt",POWER(Upgrades!$U$8,G126),1)*IF(Upgrades!$T$9="Asteroid Belt",POWER(Upgrades!$U$9,H126),1)*IF(Upgrades!$T$10="Asteroid Belt",POWER(Upgrades!$U$10,I126),1)*IF(Upgrades!$T$11="Asteroid Belt",POWER(Upgrades!$U$11,J126),1)*IF(Upgrades!$T$12="Asteroid Belt",POWER(Upgrades!$U$12,K126),1))+(IF(G126=0,0,(Upgrades!$J$8+G126*Upgrades!$K$8)*POWER(Upgrades!$L$8,G126)))*(IF(Upgrades!$T$6="Stellar Coupling",POWER(Upgrades!$U$6,E126),1)*IF(Upgrades!$T$7="Stellar Coupling",POWER(Upgrades!$U$7,F126),1)*IF(Upgrades!$T$9="Stellar Coupling",POWER(Upgrades!$U$9,H126),1)*IF(Upgrades!$T$10="Stellar Coupling",POWER(Upgrades!$U$10,I126),1)*IF(Upgrades!$T$11="Stellar Coupling",POWER(Upgrades!$U$11,J126),1)*IF(Upgrades!$T$12="Stellar Coupling",POWER(Upgrades!$U$12,K126),1))+(IF(H126=0,0,(Upgrades!$J$9+H126*Upgrades!$K$9)*POWER(Upgrades!$L$9,H126)))*(IF(Upgrades!$T$6="Magnetosphere",POWER(Upgrades!$U$6,E126),1)*IF(Upgrades!$T$7="Magnetosphere",POWER(Upgrades!$U$7,F126),1)*IF(Upgrades!$T$8="Magnetosphere",POWER(Upgrades!$U$8,G126),1)*IF(Upgrades!$T$10="Magnetosphere",POWER(Upgrades!$U$10,I126),1)*IF(Upgrades!$T$11="Magnetosphere",POWER(Upgrades!$U$11,J126),1)*IF(Upgrades!$T$12="Magnetosphere",POWER(Upgrades!$U$12,K126),1))+(IF(I126=0,0,(Upgrades!$J$10+I126*Upgrades!$K$10)*POWER(Upgrades!$L$10,I126)))*(IF(Upgrades!$T$6="Orbital Resonance",POWER(Upgrades!$U$6,E126),1)*IF(Upgrades!$T$7="Orbital Resonance",POWER(Upgrades!$U$7,F126),1)*IF(Upgrades!$T$8="Orbital Resonance",POWER(Upgrades!$U$8,G126),1)*IF(Upgrades!$T$9="Orbital Resonance",POWER(Upgrades!$U$9,H126),1)*IF(Upgrades!$T$11="Orbital Resonance",POWER(Upgrades!$U$11,J126),1)*IF(Upgrades!$T$12="Orbital Resonance",POWER(Upgrades!$U$12,K126),1))+(IF(J126=0,0,(Upgrades!$J$11+J126*Upgrades!$K$11)*POWER(Upgrades!$L$11,J126)))*(IF(Upgrades!$T$6="Heliopause",POWER(Upgrades!$U$6,E126),1)*IF(Upgrades!$T$7="Heliopause",POWER(Upgrades!$U$7,F126),1)*IF(Upgrades!$T$8="Heliopause",POWER(Upgrades!$U$8,G126),1)*IF(Upgrades!$T$9="Heliopause",POWER(Upgrades!$U$9,H126),1)*IF(Upgrades!$T$10="Heliopause",POWER(Upgrades!$U$10,I126),1)*IF(Upgrades!$T$12="Heliopause",POWER(Upgrades!$U$12,K126),1))+(IF(K126=0,0,(Upgrades!$J$12+K126*Upgrades!$K$12)*POWER(Upgrades!$L$12,K126)))*(IF(Upgrades!$T$6="First Photons",POWER(Upgrades!$U$6,E126),1)*IF(Upgrades!$T$7="First Photons",POWER(Upgrades!$U$7,F126),1)*IF(Upgrades!$T$8="First Photons",POWER(Upgrades!$U$8,G126),1)*IF(Upgrades!$T$9="First Photons",POWER(Upgrades!$U$9,H126),1)*IF(Upgrades!$T$10="First Photons",POWER(Upgrades!$U$10,I126),1)*IF(Upgrades!$T$11="First Photons",POWER(Upgrades!$U$11,J126),1)))*POWER(Upgrades!$Q$6,E126)*POWER(Upgrades!$Q$7,F126)*POWER(Upgrades!$Q$8,G126)*POWER(Upgrades!$Q$9,H126)*POWER(Upgrades!$Q$10,I126)*POWER(Upgrades!$Q$11,J126)*POWER(Upgrades!$Q$12,K126)</f>
        <v>5.61</v>
      </c>
      <c r="N126" s="28" t="n">
        <f aca="false">((IF(E126=0,0,(Upgrades!$G$6+E126*Upgrades!$H$6)*POWER(Upgrades!$I$6,E126)))*(IF(Upgrades!$T$7="Solar Wind",POWER(Upgrades!$U$7,F126),1)*IF(Upgrades!$T$8="Solar Wind",POWER(Upgrades!$U$8,G126),1)*IF(Upgrades!$T$9="Solar Wind",POWER(Upgrades!$U$9,H126),1)*IF(Upgrades!$T$10="Solar Wind",POWER(Upgrades!$U$10,I126),1)*IF(Upgrades!$T$11="Solar Wind",POWER(Upgrades!$U$11,J126),1)*IF(Upgrades!$T$12="Solar Wind",POWER(Upgrades!$U$12,K126),1))+(IF(F126=0,0,(Upgrades!$G$7+F126*Upgrades!$H$7)*POWER(Upgrades!$I$7,F126)))*(IF(Upgrades!$T$6="Asteroid Belt",POWER(Upgrades!$U$6,E126),1)*IF(Upgrades!$T$8="Asteroid Belt",POWER(Upgrades!$U$8,G126),1)*IF(Upgrades!$T$9="Asteroid Belt",POWER(Upgrades!$U$9,H126),1)*IF(Upgrades!$T$10="Asteroid Belt",POWER(Upgrades!$U$10,I126),1)*IF(Upgrades!$T$11="Asteroid Belt",POWER(Upgrades!$U$11,J126),1)*IF(Upgrades!$T$12="Asteroid Belt",POWER(Upgrades!$U$12,K126),1))+(IF(G126=0,0,(Upgrades!$G$8+G126*Upgrades!$H$8)*POWER(Upgrades!$I$8,G126)))*(IF(Upgrades!$T$6="Stellar Coupling",POWER(Upgrades!$U$6,E126),1)*IF(Upgrades!$T$7="Stellar Coupling",POWER(Upgrades!$U$7,F126),1)*IF(Upgrades!$T$9="Stellar Coupling",POWER(Upgrades!$U$9,H126),1)*IF(Upgrades!$T$10="Stellar Coupling",POWER(Upgrades!$U$10,I126),1)*IF(Upgrades!$T$11="Stellar Coupling",POWER(Upgrades!$U$11,J126),1)*IF(Upgrades!$T$12="Stellar Coupling",POWER(Upgrades!$U$12,K126),1))+(IF(H126=0,0,(Upgrades!$G$9+H126*Upgrades!$H$9)*POWER(Upgrades!$I$9,H126)))*(IF(Upgrades!$T$6="Magnetosphere",POWER(Upgrades!$U$6,E126),1)*IF(Upgrades!$T$7="Magnetosphere",POWER(Upgrades!$U$7,F126),1)*IF(Upgrades!$T$8="Magnetosphere",POWER(Upgrades!$U$8,G126),1)*IF(Upgrades!$T$10="Magnetosphere",POWER(Upgrades!$U$10,I126),1)*IF(Upgrades!$T$11="Magnetosphere",POWER(Upgrades!$U$11,J126),1)*IF(Upgrades!$T$12="Magnetosphere",POWER(Upgrades!$U$12,K126),1))+(IF(I126=0,0,(Upgrades!$G$10+I126*Upgrades!$H$10)*POWER(Upgrades!$I$10,I126)))*(IF(Upgrades!$T$6="Orbital Resonance",POWER(Upgrades!$U$6,E126),1)*IF(Upgrades!$T$7="Orbital Resonance",POWER(Upgrades!$U$7,F126),1)*IF(Upgrades!$T$8="Orbital Resonance",POWER(Upgrades!$U$8,G126),1)*IF(Upgrades!$T$9="Orbital Resonance",POWER(Upgrades!$U$9,H126),1)*IF(Upgrades!$T$11="Orbital Resonance",POWER(Upgrades!$U$11,J126),1)*IF(Upgrades!$T$12="Orbital Resonance",POWER(Upgrades!$U$12,K126),1))+(IF(J126=0,0,(Upgrades!$G$11+J126*Upgrades!$H$11)*POWER(Upgrades!$I$11,J126)))*(IF(Upgrades!$T$6="Heliopause",POWER(Upgrades!$U$6,E126),1)*IF(Upgrades!$T$7="Heliopause",POWER(Upgrades!$U$7,F126),1)*IF(Upgrades!$T$8="Heliopause",POWER(Upgrades!$U$8,G126),1)*IF(Upgrades!$T$9="Heliopause",POWER(Upgrades!$U$9,H126),1)*IF(Upgrades!$T$10="Heliopause",POWER(Upgrades!$U$10,I126),1)*IF(Upgrades!$T$12="Heliopause",POWER(Upgrades!$U$12,K126),1))+(IF(K126=0,0,(Upgrades!$G$12+K126*Upgrades!$H$12)*POWER(Upgrades!$I$12,K126)))*(IF(Upgrades!$T$6="First Photons",POWER(Upgrades!$U$6,E126),1)*IF(Upgrades!$T$7="First Photons",POWER(Upgrades!$U$7,F126),1)*IF(Upgrades!$T$8="First Photons",POWER(Upgrades!$U$8,G126),1)*IF(Upgrades!$T$9="First Photons",POWER(Upgrades!$U$9,H126),1)*IF(Upgrades!$T$10="First Photons",POWER(Upgrades!$U$10,I126),1)*IF(Upgrades!$T$11="First Photons",POWER(Upgrades!$U$11,J126),1)))*POWER(Upgrades!$P$6,E126)*POWER(Upgrades!$P$7,F126)*POWER(Upgrades!$P$8,G126)*POWER(Upgrades!$P$9,H126)*POWER(Upgrades!$P$10,I126)*POWER(Upgrades!$P$11,J126)*POWER(Upgrades!$P$12,K126)</f>
        <v>11.2</v>
      </c>
      <c r="O126" s="28" t="n">
        <f aca="false">((IF(E126=0,0,(Upgrades!$M$6+E126*Upgrades!$N$6)*POWER(Upgrades!$O$6,E126)))*(IF(Upgrades!$T$7="Solar Wind",POWER(Upgrades!$U$7,F126),1)*IF(Upgrades!$T$8="Solar Wind",POWER(Upgrades!$U$8,G126),1)*IF(Upgrades!$T$9="Solar Wind",POWER(Upgrades!$U$9,H126),1)*IF(Upgrades!$T$10="Solar Wind",POWER(Upgrades!$U$10,I126),1)*IF(Upgrades!$T$11="Solar Wind",POWER(Upgrades!$U$11,J126),1)*IF(Upgrades!$T$12="Solar Wind",POWER(Upgrades!$U$12,K126),1))+(IF(F126=0,0,(Upgrades!$M$7+F126*Upgrades!$N$7)*POWER(Upgrades!$O$7,F126)))*(IF(Upgrades!$T$6="Asteroid Belt",POWER(Upgrades!$U$6,E126),1)*IF(Upgrades!$T$8="Asteroid Belt",POWER(Upgrades!$U$8,G126),1)*IF(Upgrades!$T$9="Asteroid Belt",POWER(Upgrades!$U$9,H126),1)*IF(Upgrades!$T$10="Asteroid Belt",POWER(Upgrades!$U$10,I126),1)*IF(Upgrades!$T$11="Asteroid Belt",POWER(Upgrades!$U$11,J126),1)*IF(Upgrades!$T$12="Asteroid Belt",POWER(Upgrades!$U$12,K126),1))+(IF(G126=0,0,(Upgrades!$M$8+G126*Upgrades!$N$8)*POWER(Upgrades!$O$8,G126)))*(IF(Upgrades!$T$6="Stellar Coupling",POWER(Upgrades!$U$6,E126),1)*IF(Upgrades!$T$7="Stellar Coupling",POWER(Upgrades!$U$7,F126),1)*IF(Upgrades!$T$9="Stellar Coupling",POWER(Upgrades!$U$9,H126),1)*IF(Upgrades!$T$10="Stellar Coupling",POWER(Upgrades!$U$10,I126),1)*IF(Upgrades!$T$11="Stellar Coupling",POWER(Upgrades!$U$11,J126),1)*IF(Upgrades!$T$12="Stellar Coupling",POWER(Upgrades!$U$12,K126),1))+(IF(H126=0,0,(Upgrades!$M$9+H126*Upgrades!$N$9)*POWER(Upgrades!$O$9,H126)))*(IF(Upgrades!$T$6="Magnetosphere",POWER(Upgrades!$U$6,E126),1)*IF(Upgrades!$T$7="Magnetosphere",POWER(Upgrades!$U$7,F126),1)*IF(Upgrades!$T$8="Magnetosphere",POWER(Upgrades!$U$8,G126),1)*IF(Upgrades!$T$10="Magnetosphere",POWER(Upgrades!$U$10,I126),1)*IF(Upgrades!$T$11="Magnetosphere",POWER(Upgrades!$U$11,J126),1)*IF(Upgrades!$T$12="Magnetosphere",POWER(Upgrades!$U$12,K126),1))+(IF(I126=0,0,(Upgrades!$M$10+I126*Upgrades!$N$10)*POWER(Upgrades!$O$10,I126)))*(IF(Upgrades!$T$6="Orbital Resonance",POWER(Upgrades!$U$6,E126),1)*IF(Upgrades!$T$7="Orbital Resonance",POWER(Upgrades!$U$7,F126),1)*IF(Upgrades!$T$8="Orbital Resonance",POWER(Upgrades!$U$8,G126),1)*IF(Upgrades!$T$9="Orbital Resonance",POWER(Upgrades!$U$9,H126),1)*IF(Upgrades!$T$11="Orbital Resonance",POWER(Upgrades!$U$11,J126),1)*IF(Upgrades!$T$12="Orbital Resonance",POWER(Upgrades!$U$12,K126),1))+(IF(J126=0,0,(Upgrades!$M$11+J126*Upgrades!$N$11)*POWER(Upgrades!$O$11,J126)))*(IF(Upgrades!$T$6="Heliopause",POWER(Upgrades!$U$6,E126),1)*IF(Upgrades!$T$7="Heliopause",POWER(Upgrades!$U$7,F126),1)*IF(Upgrades!$T$8="Heliopause",POWER(Upgrades!$U$8,G126),1)*IF(Upgrades!$T$9="Heliopause",POWER(Upgrades!$U$9,H126),1)*IF(Upgrades!$T$10="Heliopause",POWER(Upgrades!$U$10,I126),1)*IF(Upgrades!$T$12="Heliopause",POWER(Upgrades!$U$12,K126),1))+(IF(K126=0,0,(Upgrades!$M$12+K126*Upgrades!$N$12)*POWER(Upgrades!$O$12,K126)))*(IF(Upgrades!$T$6="First Photons",POWER(Upgrades!$U$6,E126),1)*IF(Upgrades!$T$7="First Photons",POWER(Upgrades!$U$7,F126),1)*IF(Upgrades!$T$8="First Photons",POWER(Upgrades!$U$8,G126),1)*IF(Upgrades!$T$9="First Photons",POWER(Upgrades!$U$9,H126),1)*IF(Upgrades!$T$10="First Photons",POWER(Upgrades!$U$10,I126),1)*IF(Upgrades!$T$11="First Photons",POWER(Upgrades!$U$11,J126),1)))*POWER(Upgrades!$R$6,E126)*POWER(Upgrades!$R$7,F126)*POWER(Upgrades!$R$8,G126)*POWER(Upgrades!$R$9,H126)*POWER(Upgrades!$R$10,I126)*POWER(Upgrades!$R$11,J126)*POWER(Upgrades!$R$12,K126)</f>
        <v>0</v>
      </c>
      <c r="P126" s="27" t="n">
        <f aca="false">IF(L126=1,0,M126*Parameters!$B$10/60*Parameters!$B$11*10)</f>
        <v>0</v>
      </c>
      <c r="Q126" s="27" t="n">
        <f aca="false">IF(L126=1,0,O126*M126*10)</f>
        <v>0</v>
      </c>
      <c r="R126" s="27" t="n">
        <f aca="false">IF(L126=1,0,N126*10)</f>
        <v>0</v>
      </c>
      <c r="S126" s="27" t="n">
        <f aca="false">P126+Q126+R126</f>
        <v>0</v>
      </c>
      <c r="T126" s="21" t="n">
        <f aca="false">C126+S126</f>
        <v>18.6730249835055</v>
      </c>
      <c r="U126" s="34" t="str">
        <f aca="false">AX126</f>
        <v/>
      </c>
      <c r="V126" s="21" t="n">
        <f aca="false">IF(U126="",0,IF(U126="transition",0,IF(U126="SW",AG126,IF(U126="AB",AH126,IF(U126="SC",AI126,IF(U126="Mag",AJ126,IF(U126="OR",AK126,IF(U126="HP",AL126,IF(U126="FP",AM126,0)))))))))</f>
        <v>0</v>
      </c>
      <c r="W126" s="27" t="n">
        <f aca="false">IF(U126="OR",Upgrades!$F$10,IF(U126="HP",Upgrades!$F$11,IF(U126="transition",-Parameters!$B$18,0)))</f>
        <v>0</v>
      </c>
      <c r="X126" s="21" t="n">
        <f aca="false">T126-V126</f>
        <v>18.6730249835055</v>
      </c>
      <c r="Y126" s="30" t="n">
        <f aca="false">M126*Parameters!$B$10/60*Parameters!$B$11+O126*M126+N126</f>
        <v>20.55</v>
      </c>
      <c r="Z126" s="35" t="str">
        <f aca="false">IF(U126="transition","→ Tier 2 (Stellar Neighborhood)",IF(U126="FP","First Photons — light begins, system quickens",IF(U126="HP","Heliopause acquired",IF(U126="OR","Orbital Resonance — passive multiplier active",IF(AND(AO126=1,L126=0,AN126&lt;&gt;1),"Cohesion ready (waiting on completionist upgrades)","")))))</f>
        <v/>
      </c>
      <c r="AA126" s="27" t="n">
        <f aca="false">(IF(E126=0,0,(Upgrades!$G$6+E126*Upgrades!$H$6)*POWER(Upgrades!$I$6,E126)))*(IF(Upgrades!$T$7="Solar Wind",POWER(Upgrades!$U$7,F126),1)*IF(Upgrades!$T$8="Solar Wind",POWER(Upgrades!$U$8,G126),1)*IF(Upgrades!$T$9="Solar Wind",POWER(Upgrades!$U$9,H126),1)*IF(Upgrades!$T$10="Solar Wind",POWER(Upgrades!$U$10,I126),1)*IF(Upgrades!$T$11="Solar Wind",POWER(Upgrades!$U$11,J126),1)*IF(Upgrades!$T$12="Solar Wind",POWER(Upgrades!$U$12,K126),1))*POWER(Upgrades!$P$6,E126)*POWER(Upgrades!$P$7,F126)*POWER(Upgrades!$P$8,G126)*POWER(Upgrades!$P$9,H126)*POWER(Upgrades!$P$10,I126)*POWER(Upgrades!$P$11,J126)*POWER(Upgrades!$P$12,K126)*60</f>
        <v>72</v>
      </c>
      <c r="AB126" s="27" t="n">
        <f aca="false">(IF(F126=0,0,(Upgrades!$G$7+F126*Upgrades!$H$7)*POWER(Upgrades!$I$7,F126)))*(IF(Upgrades!$T$6="Asteroid Belt",POWER(Upgrades!$U$6,E126),1)*IF(Upgrades!$T$8="Asteroid Belt",POWER(Upgrades!$U$8,G126),1)*IF(Upgrades!$T$9="Asteroid Belt",POWER(Upgrades!$U$9,H126),1)*IF(Upgrades!$T$10="Asteroid Belt",POWER(Upgrades!$U$10,I126),1)*IF(Upgrades!$T$11="Asteroid Belt",POWER(Upgrades!$U$11,J126),1)*IF(Upgrades!$T$12="Asteroid Belt",POWER(Upgrades!$U$12,K126),1))*POWER(Upgrades!$P$6,E126)*POWER(Upgrades!$P$7,F126)*POWER(Upgrades!$P$8,G126)*POWER(Upgrades!$P$9,H126)*POWER(Upgrades!$P$10,I126)*POWER(Upgrades!$P$11,J126)*POWER(Upgrades!$P$12,K126)*60</f>
        <v>150</v>
      </c>
      <c r="AC126" s="27" t="n">
        <f aca="false">(IF(G126=0,0,(Upgrades!$J$8+G126*Upgrades!$K$8)*POWER(Upgrades!$L$8,G126)))*(IF(Upgrades!$T$6="Stellar Coupling",POWER(Upgrades!$U$6,E126),1)*IF(Upgrades!$T$7="Stellar Coupling",POWER(Upgrades!$U$7,F126),1)*IF(Upgrades!$T$9="Stellar Coupling",POWER(Upgrades!$U$9,H126),1)*IF(Upgrades!$T$10="Stellar Coupling",POWER(Upgrades!$U$10,I126),1)*IF(Upgrades!$T$11="Stellar Coupling",POWER(Upgrades!$U$11,J126),1)*IF(Upgrades!$T$12="Stellar Coupling",POWER(Upgrades!$U$12,K126),1))*POWER(Upgrades!$Q$6,E126)*POWER(Upgrades!$Q$7,F126)*POWER(Upgrades!$Q$8,G126)*POWER(Upgrades!$Q$9,H126)*POWER(Upgrades!$Q$10,I126)*POWER(Upgrades!$Q$11,J126)*POWER(Upgrades!$Q$12,K126)*Parameters!$B$10*Parameters!$B$11</f>
        <v>441</v>
      </c>
      <c r="AD126" s="27" t="n">
        <f aca="false">(IF(H126=0,0,(Upgrades!$G$9+H126*Upgrades!$H$9)*POWER(Upgrades!$I$9,H126)))*(IF(Upgrades!$T$6="Magnetosphere",POWER(Upgrades!$U$6,E126),1)*IF(Upgrades!$T$7="Magnetosphere",POWER(Upgrades!$U$7,F126),1)*IF(Upgrades!$T$8="Magnetosphere",POWER(Upgrades!$U$8,G126),1)*IF(Upgrades!$T$10="Magnetosphere",POWER(Upgrades!$U$10,I126),1)*IF(Upgrades!$T$11="Magnetosphere",POWER(Upgrades!$U$11,J126),1)*IF(Upgrades!$T$12="Magnetosphere",POWER(Upgrades!$U$12,K126),1))*POWER(Upgrades!$P$6,E126)*POWER(Upgrades!$P$7,F126)*POWER(Upgrades!$P$8,G126)*POWER(Upgrades!$P$9,H126)*POWER(Upgrades!$P$10,I126)*POWER(Upgrades!$P$11,J126)*POWER(Upgrades!$P$12,K126)*60</f>
        <v>375</v>
      </c>
      <c r="AE126" s="27" t="n">
        <f aca="false">(IF(K126=0,0,(Upgrades!$G$12+K126*Upgrades!$H$12)*POWER(Upgrades!$I$12,K126)))*(IF(Upgrades!$T$6="First Photons",POWER(Upgrades!$U$6,E126),1)*IF(Upgrades!$T$7="First Photons",POWER(Upgrades!$U$7,F126),1)*IF(Upgrades!$T$8="First Photons",POWER(Upgrades!$U$8,G126),1)*IF(Upgrades!$T$9="First Photons",POWER(Upgrades!$U$9,H126),1)*IF(Upgrades!$T$10="First Photons",POWER(Upgrades!$U$10,I126),1)*IF(Upgrades!$T$11="First Photons",POWER(Upgrades!$U$11,J126),1))*POWER(Upgrades!$P$6,E126)*POWER(Upgrades!$P$7,F126)*POWER(Upgrades!$P$8,G126)*POWER(Upgrades!$P$9,H126)*POWER(Upgrades!$P$10,I126)*POWER(Upgrades!$P$11,J126)*POWER(Upgrades!$P$12,K126)*60</f>
        <v>75</v>
      </c>
      <c r="AF126" s="27" t="n">
        <f aca="false">Parameters!$B$9*POWER(Upgrades!$Q$6,E126)*POWER(Upgrades!$Q$7,F126)*POWER(Upgrades!$Q$8,G126)*POWER(Upgrades!$Q$9,H126)*POWER(Upgrades!$Q$10,I126)*POWER(Upgrades!$Q$11,J126)*POWER(Upgrades!$Q$12,K126)*(Parameters!$B$10*Parameters!$B$11+O126*60)</f>
        <v>120</v>
      </c>
      <c r="AG126" s="21" t="n">
        <f aca="false">IF(E126&gt;=Upgrades!$E$6,"",Upgrades!$C$6*POWER(Upgrades!$D$6,E126))</f>
        <v>37.4517507383159</v>
      </c>
      <c r="AH126" s="21" t="n">
        <f aca="false">IF(F126&gt;=Upgrades!$E$7,"",Upgrades!$C$7*POWER(Upgrades!$D$7,F126))</f>
        <v>80.9111547141581</v>
      </c>
      <c r="AI126" s="21" t="n">
        <f aca="false">IF(G126&gt;=Upgrades!$E$8,"",Upgrades!$C$8*POWER(Upgrades!$D$8,G126))</f>
        <v>231.9097088</v>
      </c>
      <c r="AJ126" s="21" t="str">
        <f aca="false">IF(H126&gt;=Upgrades!$E$9,"",Upgrades!$C$9*POWER(Upgrades!$D$9,H126))</f>
        <v/>
      </c>
      <c r="AK126" s="21" t="str">
        <f aca="false">IF(I126&gt;=Upgrades!$E$10,"",Upgrades!$C$10*POWER(Upgrades!$D$10,I126))</f>
        <v/>
      </c>
      <c r="AL126" s="21" t="str">
        <f aca="false">IF(J126&gt;=Upgrades!$E$11,"",Upgrades!$C$11*POWER(Upgrades!$D$11,J126))</f>
        <v/>
      </c>
      <c r="AM126" s="21" t="str">
        <f aca="false">IF(K126&gt;=Upgrades!$E$12,"",Upgrades!$C$12*POWER(Upgrades!$D$12,K126))</f>
        <v/>
      </c>
      <c r="AN126" s="26" t="str">
        <f aca="false">IF(AND(D126&gt;=Parameters!$B$18,(H126&gt;=Upgrades!$E$9)*(K126&gt;=Upgrades!$E$12)=1,L126=0),1,"")</f>
        <v/>
      </c>
      <c r="AO126" s="26" t="str">
        <f aca="false">IF(AND(D126&gt;=Parameters!$B$18,L126=0),1,"")</f>
        <v/>
      </c>
      <c r="AP126" s="21" t="n">
        <f aca="false">MIN(IF(ISNUMBER(AK126),AK126,9000000000000000),IF(ISNUMBER(AL126),AL126,9000000000000000),IF(ISNUMBER(AM126),AM126,9000000000000000))</f>
        <v>9000000000000000</v>
      </c>
      <c r="AQ126" s="21" t="n">
        <f aca="false">MIN(IF(ISNUMBER(AG126),AG126,9000000000000000),IF(ISNUMBER(AH126),AH126,9000000000000000),IF(ISNUMBER(AI126),AI126,9000000000000000),IF(ISNUMBER(AJ126),AJ126,9000000000000000))</f>
        <v>37.4517507383159</v>
      </c>
      <c r="AR126" s="32" t="b">
        <f aca="false">IF(AW126&gt;Parameters!$B$21*(MAX(IF(AND(NOT(AND(AO126=1,AN126&lt;&gt;1)),ISNUMBER(AG126),AG126&lt;=T126),AS126,0),IF(AND(NOT(AND(AO126=1,AN126&lt;&gt;1)),ISNUMBER(AH126),AH126&lt;=T126),AT126,0),IF(AND(NOT(AND(AO126=1,AN126&lt;&gt;1)),ISNUMBER(AI126),AI126&lt;=T126),AU126,0),IF(AND(ISNUMBER(AJ126),AJ126&lt;=T126),AV126,0))),TRUE(),FALSE())</f>
        <v>1</v>
      </c>
      <c r="AS126" s="33" t="n">
        <f aca="false">IFERROR(Upgrades!$H$6*(POWER(Upgrades!$P$6,E126)*POWER(Upgrades!$P$7,F126)*POWER(Upgrades!$P$8,G126)*POWER(Upgrades!$P$9,H126)*POWER(Upgrades!$P$10,I126)*POWER(Upgrades!$P$11,J126)*POWER(Upgrades!$P$12,K126))*(IF(Upgrades!$T$7="Solar Wind",POWER(Upgrades!$U$7,F126),1)*IF(Upgrades!$T$8="Solar Wind",POWER(Upgrades!$U$8,G126),1)*IF(Upgrades!$T$9="Solar Wind",POWER(Upgrades!$U$9,H126),1)*IF(Upgrades!$T$10="Solar Wind",POWER(Upgrades!$U$10,I126),1)*IF(Upgrades!$T$11="Solar Wind",POWER(Upgrades!$U$11,J126),1)*IF(Upgrades!$T$12="Solar Wind",POWER(Upgrades!$U$12,K126),1))/AG126,0)</f>
        <v>0.0026701021455238</v>
      </c>
      <c r="AT126" s="33" t="n">
        <f aca="false">IFERROR(Upgrades!$H$7*(POWER(Upgrades!$P$6,E126)*POWER(Upgrades!$P$7,F126)*POWER(Upgrades!$P$8,G126)*POWER(Upgrades!$P$9,H126)*POWER(Upgrades!$P$10,I126)*POWER(Upgrades!$P$11,J126)*POWER(Upgrades!$P$12,K126))*(IF(Upgrades!$T$6="Asteroid Belt",POWER(Upgrades!$U$6,E126),1)*IF(Upgrades!$T$8="Asteroid Belt",POWER(Upgrades!$U$8,G126),1)*IF(Upgrades!$T$9="Asteroid Belt",POWER(Upgrades!$U$9,H126),1)*IF(Upgrades!$T$10="Asteroid Belt",POWER(Upgrades!$U$10,I126),1)*IF(Upgrades!$T$11="Asteroid Belt",POWER(Upgrades!$U$11,J126),1)*IF(Upgrades!$T$12="Asteroid Belt",POWER(Upgrades!$U$12,K126),1))/AH126,0)</f>
        <v>0.00308980882652332</v>
      </c>
      <c r="AU126" s="33" t="n">
        <f aca="false">IFERROR(Upgrades!$K$8*(POWER(Upgrades!$Q$6,E126)*POWER(Upgrades!$Q$7,F126)*POWER(Upgrades!$Q$8,G126)*POWER(Upgrades!$Q$9,H126)*POWER(Upgrades!$Q$10,I126)*POWER(Upgrades!$Q$11,J126)*POWER(Upgrades!$Q$12,K126))*(IF(Upgrades!$T$6="Stellar Coupling",POWER(Upgrades!$U$6,E126),1)*IF(Upgrades!$T$7="Stellar Coupling",POWER(Upgrades!$U$7,F126),1)*IF(Upgrades!$T$9="Stellar Coupling",POWER(Upgrades!$U$9,H126),1)*IF(Upgrades!$T$10="Stellar Coupling",POWER(Upgrades!$U$10,I126),1)*IF(Upgrades!$T$11="Stellar Coupling",POWER(Upgrades!$U$11,J126),1)*IF(Upgrades!$T$12="Stellar Coupling",POWER(Upgrades!$U$12,K126),1))*Parameters!$B$10*Parameters!$B$11/60/AI126,0)</f>
        <v>0.00452762415783776</v>
      </c>
      <c r="AV126" s="33" t="n">
        <f aca="false">IFERROR(Upgrades!$H$9*(POWER(Upgrades!$P$6,E126)*POWER(Upgrades!$P$7,F126)*POWER(Upgrades!$P$8,G126)*POWER(Upgrades!$P$9,H126)*POWER(Upgrades!$P$10,I126)*POWER(Upgrades!$P$11,J126)*POWER(Upgrades!$P$12,K126))*(IF(Upgrades!$T$6="Magnetosphere",POWER(Upgrades!$U$6,E126),1)*IF(Upgrades!$T$7="Magnetosphere",POWER(Upgrades!$U$7,F126),1)*IF(Upgrades!$T$8="Magnetosphere",POWER(Upgrades!$U$8,G126),1)*IF(Upgrades!$T$10="Magnetosphere",POWER(Upgrades!$U$10,I126),1)*IF(Upgrades!$T$11="Magnetosphere",POWER(Upgrades!$U$11,J126),1)*IF(Upgrades!$T$12="Magnetosphere",POWER(Upgrades!$U$12,K126),1))/AJ126,0)</f>
        <v>0</v>
      </c>
      <c r="AW126" s="33" t="n">
        <f aca="false">MAX(IF(I126&gt;0,0,IFERROR(0.25*N126/Upgrades!$C$10,0)),IF(J126&gt;0,0,IFERROR(0.5*((IF(G126=0,0,(Upgrades!$J$8+G126*Upgrades!$K$8)*POWER(Upgrades!$L$8,G126)))*(IF(Upgrades!$T$6="Stellar Coupling",POWER(Upgrades!$U$6,E126),1)*IF(Upgrades!$T$7="Stellar Coupling",POWER(Upgrades!$U$7,F126),1)*IF(Upgrades!$T$9="Stellar Coupling",POWER(Upgrades!$U$9,H126),1)*IF(Upgrades!$T$10="Stellar Coupling",POWER(Upgrades!$U$10,I126),1)*IF(Upgrades!$T$11="Stellar Coupling",POWER(Upgrades!$U$11,J126),1)*IF(Upgrades!$T$12="Stellar Coupling",POWER(Upgrades!$U$12,K126),1))*(POWER(Upgrades!$Q$6,E126)*POWER(Upgrades!$Q$7,F126)*POWER(Upgrades!$Q$8,G126)*POWER(Upgrades!$Q$9,H126)*POWER(Upgrades!$Q$10,I126)*POWER(Upgrades!$Q$11,J126)*POWER(Upgrades!$Q$12,K126))*Parameters!$B$10*Parameters!$B$11/60)/Upgrades!$C$11,0)),IF(K126&gt;0,0,IFERROR((1*(POWER(Upgrades!$P$6,E126)*POWER(Upgrades!$P$7,F126)*POWER(Upgrades!$P$8,G126)*POWER(Upgrades!$P$9,H126)*POWER(Upgrades!$P$10,I126)*POWER(Upgrades!$P$11,J126)*POWER(Upgrades!$P$12,K126))+0.2*M126*Parameters!$B$10*Parameters!$B$11/60)/Upgrades!$C$12,0)),IF(AND(ISNUMBER(AG126),AG126&gt;T126),AS126,0),IF(AND(ISNUMBER(AH126),AH126&gt;T126),AT126,0),IF(AND(ISNUMBER(AI126),AI126&gt;T126),AU126,0),IF(AND(ISNUMBER(AJ126),AJ126&gt;T126),AV126,0))</f>
        <v>0.00452762415783776</v>
      </c>
      <c r="AX126" s="29" t="str">
        <f aca="false">IF(AN126=1,"transition",IF(MIN(IF(AND(I126=0,ISNUMBER(AK126),AK126&lt;=T126),AK126,9000000000000000),IF(AND(J126=0,ISNUMBER(AL126),AL126&lt;=T126),AL126,9000000000000000),IF(AND(K126=0,ISNUMBER(AM126),AM126&lt;=T126),AM126,9000000000000000))&lt;9000000000000000,IF(AND(AND(I126=0,ISNUMBER(AK126),AK126&lt;=T126),AK126=MIN(IF(AND(I126=0,ISNUMBER(AK126),AK126&lt;=T126),AK126,9000000000000000),IF(AND(J126=0,ISNUMBER(AL126),AL126&lt;=T126),AL126,9000000000000000),IF(AND(K126=0,ISNUMBER(AM126),AM126&lt;=T126),AM126,9000000000000000))),"OR",IF(AND(AND(J126=0,ISNUMBER(AL126),AL126&lt;=T126),AL126=MIN(IF(AND(I126=0,ISNUMBER(AK126),AK126&lt;=T126),AK126,9000000000000000),IF(AND(J126=0,ISNUMBER(AL126),AL126&lt;=T126),AL126,9000000000000000),IF(AND(K126=0,ISNUMBER(AM126),AM126&lt;=T126),AM126,9000000000000000))),"HP","FP")),IF(AR126=TRUE(),"",IF(MAX(IF(AND(NOT(AND(AO126=1,AN126&lt;&gt;1)),ISNUMBER(AG126),AG126&lt;=T126),AS126,0),IF(AND(NOT(AND(AO126=1,AN126&lt;&gt;1)),ISNUMBER(AH126),AH126&lt;=T126),AT126,0),IF(AND(NOT(AND(AO126=1,AN126&lt;&gt;1)),ISNUMBER(AI126),AI126&lt;=T126),AU126,0),IF(AND(ISNUMBER(AJ126),AJ126&lt;=T126),AV126,0))&lt;=0,"",IF(AND(IF(AND(NOT(AND(AO126=1,AN126&lt;&gt;1)),ISNUMBER(AG126),AG126&lt;=T126),AS126,0)&gt;0,IF(AND(NOT(AND(AO126=1,AN126&lt;&gt;1)),ISNUMBER(AG126),AG126&lt;=T126),AS126,0)=MAX(IF(AND(NOT(AND(AO126=1,AN126&lt;&gt;1)),ISNUMBER(AG126),AG126&lt;=T126),AS126,0),IF(AND(NOT(AND(AO126=1,AN126&lt;&gt;1)),ISNUMBER(AH126),AH126&lt;=T126),AT126,0),IF(AND(NOT(AND(AO126=1,AN126&lt;&gt;1)),ISNUMBER(AI126),AI126&lt;=T126),AU126,0),IF(AND(ISNUMBER(AJ126),AJ126&lt;=T126),AV126,0))),"SW",IF(AND(IF(AND(NOT(AND(AO126=1,AN126&lt;&gt;1)),ISNUMBER(AH126),AH126&lt;=T126),AT126,0)&gt;0,IF(AND(NOT(AND(AO126=1,AN126&lt;&gt;1)),ISNUMBER(AH126),AH126&lt;=T126),AT126,0)=MAX(IF(AND(NOT(AND(AO126=1,AN126&lt;&gt;1)),ISNUMBER(AG126),AG126&lt;=T126),AS126,0),IF(AND(NOT(AND(AO126=1,AN126&lt;&gt;1)),ISNUMBER(AH126),AH126&lt;=T126),AT126,0),IF(AND(NOT(AND(AO126=1,AN126&lt;&gt;1)),ISNUMBER(AI126),AI126&lt;=T126),AU126,0),IF(AND(ISNUMBER(AJ126),AJ126&lt;=T126),AV126,0))),"AB",IF(AND(IF(AND(NOT(AND(AO126=1,AN126&lt;&gt;1)),ISNUMBER(AI126),AI126&lt;=T126),AU126,0)&gt;0,IF(AND(NOT(AND(AO126=1,AN126&lt;&gt;1)),ISNUMBER(AI126),AI126&lt;=T126),AU126,0)=MAX(IF(AND(NOT(AND(AO126=1,AN126&lt;&gt;1)),ISNUMBER(AG126),AG126&lt;=T126),AS126,0),IF(AND(NOT(AND(AO126=1,AN126&lt;&gt;1)),ISNUMBER(AH126),AH126&lt;=T126),AT126,0),IF(AND(NOT(AND(AO126=1,AN126&lt;&gt;1)),ISNUMBER(AI126),AI126&lt;=T126),AU126,0),IF(AND(ISNUMBER(AJ126),AJ126&lt;=T126),AV126,0))),"SC","Mag")))))))</f>
        <v/>
      </c>
    </row>
    <row r="127" customFormat="false" ht="15" hidden="false" customHeight="false" outlineLevel="0" collapsed="false">
      <c r="A127" s="26" t="n">
        <v>122</v>
      </c>
      <c r="B127" s="27" t="n">
        <f aca="false">A127*10/60</f>
        <v>20.3333333333333</v>
      </c>
      <c r="C127" s="21" t="n">
        <f aca="false">X126</f>
        <v>18.6730249835055</v>
      </c>
      <c r="D127" s="27" t="n">
        <f aca="false">D126+W126</f>
        <v>0</v>
      </c>
      <c r="E127" s="26" t="n">
        <f aca="false">E126+IF(U126="SW",1,0)</f>
        <v>12</v>
      </c>
      <c r="F127" s="26" t="n">
        <f aca="false">F126+IF(U126="AB",1,0)</f>
        <v>10</v>
      </c>
      <c r="G127" s="26" t="n">
        <f aca="false">G126+IF(U126="SC",1,0)</f>
        <v>7</v>
      </c>
      <c r="H127" s="26" t="n">
        <f aca="false">H126+IF(U126="Mag",1,0)</f>
        <v>5</v>
      </c>
      <c r="I127" s="26" t="n">
        <f aca="false">MAX(I126,IF(U126="OR",1,0))</f>
        <v>1</v>
      </c>
      <c r="J127" s="26" t="n">
        <f aca="false">MAX(J126,IF(U126="HP",1,0))</f>
        <v>1</v>
      </c>
      <c r="K127" s="26" t="n">
        <f aca="false">MAX(K126,IF(U126="FP",1,0))</f>
        <v>1</v>
      </c>
      <c r="L127" s="26" t="n">
        <f aca="false">MAX(L126,IF(U126="transition",1,0))</f>
        <v>1</v>
      </c>
      <c r="M127" s="28" t="n">
        <f aca="false">(Parameters!$B$9+(IF(E127=0,0,(Upgrades!$J$6+E127*Upgrades!$K$6)*POWER(Upgrades!$L$6,E127)))*(IF(Upgrades!$T$7="Solar Wind",POWER(Upgrades!$U$7,F127),1)*IF(Upgrades!$T$8="Solar Wind",POWER(Upgrades!$U$8,G127),1)*IF(Upgrades!$T$9="Solar Wind",POWER(Upgrades!$U$9,H127),1)*IF(Upgrades!$T$10="Solar Wind",POWER(Upgrades!$U$10,I127),1)*IF(Upgrades!$T$11="Solar Wind",POWER(Upgrades!$U$11,J127),1)*IF(Upgrades!$T$12="Solar Wind",POWER(Upgrades!$U$12,K127),1))+(IF(F127=0,0,(Upgrades!$J$7+F127*Upgrades!$K$7)*POWER(Upgrades!$L$7,F127)))*(IF(Upgrades!$T$6="Asteroid Belt",POWER(Upgrades!$U$6,E127),1)*IF(Upgrades!$T$8="Asteroid Belt",POWER(Upgrades!$U$8,G127),1)*IF(Upgrades!$T$9="Asteroid Belt",POWER(Upgrades!$U$9,H127),1)*IF(Upgrades!$T$10="Asteroid Belt",POWER(Upgrades!$U$10,I127),1)*IF(Upgrades!$T$11="Asteroid Belt",POWER(Upgrades!$U$11,J127),1)*IF(Upgrades!$T$12="Asteroid Belt",POWER(Upgrades!$U$12,K127),1))+(IF(G127=0,0,(Upgrades!$J$8+G127*Upgrades!$K$8)*POWER(Upgrades!$L$8,G127)))*(IF(Upgrades!$T$6="Stellar Coupling",POWER(Upgrades!$U$6,E127),1)*IF(Upgrades!$T$7="Stellar Coupling",POWER(Upgrades!$U$7,F127),1)*IF(Upgrades!$T$9="Stellar Coupling",POWER(Upgrades!$U$9,H127),1)*IF(Upgrades!$T$10="Stellar Coupling",POWER(Upgrades!$U$10,I127),1)*IF(Upgrades!$T$11="Stellar Coupling",POWER(Upgrades!$U$11,J127),1)*IF(Upgrades!$T$12="Stellar Coupling",POWER(Upgrades!$U$12,K127),1))+(IF(H127=0,0,(Upgrades!$J$9+H127*Upgrades!$K$9)*POWER(Upgrades!$L$9,H127)))*(IF(Upgrades!$T$6="Magnetosphere",POWER(Upgrades!$U$6,E127),1)*IF(Upgrades!$T$7="Magnetosphere",POWER(Upgrades!$U$7,F127),1)*IF(Upgrades!$T$8="Magnetosphere",POWER(Upgrades!$U$8,G127),1)*IF(Upgrades!$T$10="Magnetosphere",POWER(Upgrades!$U$10,I127),1)*IF(Upgrades!$T$11="Magnetosphere",POWER(Upgrades!$U$11,J127),1)*IF(Upgrades!$T$12="Magnetosphere",POWER(Upgrades!$U$12,K127),1))+(IF(I127=0,0,(Upgrades!$J$10+I127*Upgrades!$K$10)*POWER(Upgrades!$L$10,I127)))*(IF(Upgrades!$T$6="Orbital Resonance",POWER(Upgrades!$U$6,E127),1)*IF(Upgrades!$T$7="Orbital Resonance",POWER(Upgrades!$U$7,F127),1)*IF(Upgrades!$T$8="Orbital Resonance",POWER(Upgrades!$U$8,G127),1)*IF(Upgrades!$T$9="Orbital Resonance",POWER(Upgrades!$U$9,H127),1)*IF(Upgrades!$T$11="Orbital Resonance",POWER(Upgrades!$U$11,J127),1)*IF(Upgrades!$T$12="Orbital Resonance",POWER(Upgrades!$U$12,K127),1))+(IF(J127=0,0,(Upgrades!$J$11+J127*Upgrades!$K$11)*POWER(Upgrades!$L$11,J127)))*(IF(Upgrades!$T$6="Heliopause",POWER(Upgrades!$U$6,E127),1)*IF(Upgrades!$T$7="Heliopause",POWER(Upgrades!$U$7,F127),1)*IF(Upgrades!$T$8="Heliopause",POWER(Upgrades!$U$8,G127),1)*IF(Upgrades!$T$9="Heliopause",POWER(Upgrades!$U$9,H127),1)*IF(Upgrades!$T$10="Heliopause",POWER(Upgrades!$U$10,I127),1)*IF(Upgrades!$T$12="Heliopause",POWER(Upgrades!$U$12,K127),1))+(IF(K127=0,0,(Upgrades!$J$12+K127*Upgrades!$K$12)*POWER(Upgrades!$L$12,K127)))*(IF(Upgrades!$T$6="First Photons",POWER(Upgrades!$U$6,E127),1)*IF(Upgrades!$T$7="First Photons",POWER(Upgrades!$U$7,F127),1)*IF(Upgrades!$T$8="First Photons",POWER(Upgrades!$U$8,G127),1)*IF(Upgrades!$T$9="First Photons",POWER(Upgrades!$U$9,H127),1)*IF(Upgrades!$T$10="First Photons",POWER(Upgrades!$U$10,I127),1)*IF(Upgrades!$T$11="First Photons",POWER(Upgrades!$U$11,J127),1)))*POWER(Upgrades!$Q$6,E127)*POWER(Upgrades!$Q$7,F127)*POWER(Upgrades!$Q$8,G127)*POWER(Upgrades!$Q$9,H127)*POWER(Upgrades!$Q$10,I127)*POWER(Upgrades!$Q$11,J127)*POWER(Upgrades!$Q$12,K127)</f>
        <v>5.61</v>
      </c>
      <c r="N127" s="28" t="n">
        <f aca="false">((IF(E127=0,0,(Upgrades!$G$6+E127*Upgrades!$H$6)*POWER(Upgrades!$I$6,E127)))*(IF(Upgrades!$T$7="Solar Wind",POWER(Upgrades!$U$7,F127),1)*IF(Upgrades!$T$8="Solar Wind",POWER(Upgrades!$U$8,G127),1)*IF(Upgrades!$T$9="Solar Wind",POWER(Upgrades!$U$9,H127),1)*IF(Upgrades!$T$10="Solar Wind",POWER(Upgrades!$U$10,I127),1)*IF(Upgrades!$T$11="Solar Wind",POWER(Upgrades!$U$11,J127),1)*IF(Upgrades!$T$12="Solar Wind",POWER(Upgrades!$U$12,K127),1))+(IF(F127=0,0,(Upgrades!$G$7+F127*Upgrades!$H$7)*POWER(Upgrades!$I$7,F127)))*(IF(Upgrades!$T$6="Asteroid Belt",POWER(Upgrades!$U$6,E127),1)*IF(Upgrades!$T$8="Asteroid Belt",POWER(Upgrades!$U$8,G127),1)*IF(Upgrades!$T$9="Asteroid Belt",POWER(Upgrades!$U$9,H127),1)*IF(Upgrades!$T$10="Asteroid Belt",POWER(Upgrades!$U$10,I127),1)*IF(Upgrades!$T$11="Asteroid Belt",POWER(Upgrades!$U$11,J127),1)*IF(Upgrades!$T$12="Asteroid Belt",POWER(Upgrades!$U$12,K127),1))+(IF(G127=0,0,(Upgrades!$G$8+G127*Upgrades!$H$8)*POWER(Upgrades!$I$8,G127)))*(IF(Upgrades!$T$6="Stellar Coupling",POWER(Upgrades!$U$6,E127),1)*IF(Upgrades!$T$7="Stellar Coupling",POWER(Upgrades!$U$7,F127),1)*IF(Upgrades!$T$9="Stellar Coupling",POWER(Upgrades!$U$9,H127),1)*IF(Upgrades!$T$10="Stellar Coupling",POWER(Upgrades!$U$10,I127),1)*IF(Upgrades!$T$11="Stellar Coupling",POWER(Upgrades!$U$11,J127),1)*IF(Upgrades!$T$12="Stellar Coupling",POWER(Upgrades!$U$12,K127),1))+(IF(H127=0,0,(Upgrades!$G$9+H127*Upgrades!$H$9)*POWER(Upgrades!$I$9,H127)))*(IF(Upgrades!$T$6="Magnetosphere",POWER(Upgrades!$U$6,E127),1)*IF(Upgrades!$T$7="Magnetosphere",POWER(Upgrades!$U$7,F127),1)*IF(Upgrades!$T$8="Magnetosphere",POWER(Upgrades!$U$8,G127),1)*IF(Upgrades!$T$10="Magnetosphere",POWER(Upgrades!$U$10,I127),1)*IF(Upgrades!$T$11="Magnetosphere",POWER(Upgrades!$U$11,J127),1)*IF(Upgrades!$T$12="Magnetosphere",POWER(Upgrades!$U$12,K127),1))+(IF(I127=0,0,(Upgrades!$G$10+I127*Upgrades!$H$10)*POWER(Upgrades!$I$10,I127)))*(IF(Upgrades!$T$6="Orbital Resonance",POWER(Upgrades!$U$6,E127),1)*IF(Upgrades!$T$7="Orbital Resonance",POWER(Upgrades!$U$7,F127),1)*IF(Upgrades!$T$8="Orbital Resonance",POWER(Upgrades!$U$8,G127),1)*IF(Upgrades!$T$9="Orbital Resonance",POWER(Upgrades!$U$9,H127),1)*IF(Upgrades!$T$11="Orbital Resonance",POWER(Upgrades!$U$11,J127),1)*IF(Upgrades!$T$12="Orbital Resonance",POWER(Upgrades!$U$12,K127),1))+(IF(J127=0,0,(Upgrades!$G$11+J127*Upgrades!$H$11)*POWER(Upgrades!$I$11,J127)))*(IF(Upgrades!$T$6="Heliopause",POWER(Upgrades!$U$6,E127),1)*IF(Upgrades!$T$7="Heliopause",POWER(Upgrades!$U$7,F127),1)*IF(Upgrades!$T$8="Heliopause",POWER(Upgrades!$U$8,G127),1)*IF(Upgrades!$T$9="Heliopause",POWER(Upgrades!$U$9,H127),1)*IF(Upgrades!$T$10="Heliopause",POWER(Upgrades!$U$10,I127),1)*IF(Upgrades!$T$12="Heliopause",POWER(Upgrades!$U$12,K127),1))+(IF(K127=0,0,(Upgrades!$G$12+K127*Upgrades!$H$12)*POWER(Upgrades!$I$12,K127)))*(IF(Upgrades!$T$6="First Photons",POWER(Upgrades!$U$6,E127),1)*IF(Upgrades!$T$7="First Photons",POWER(Upgrades!$U$7,F127),1)*IF(Upgrades!$T$8="First Photons",POWER(Upgrades!$U$8,G127),1)*IF(Upgrades!$T$9="First Photons",POWER(Upgrades!$U$9,H127),1)*IF(Upgrades!$T$10="First Photons",POWER(Upgrades!$U$10,I127),1)*IF(Upgrades!$T$11="First Photons",POWER(Upgrades!$U$11,J127),1)))*POWER(Upgrades!$P$6,E127)*POWER(Upgrades!$P$7,F127)*POWER(Upgrades!$P$8,G127)*POWER(Upgrades!$P$9,H127)*POWER(Upgrades!$P$10,I127)*POWER(Upgrades!$P$11,J127)*POWER(Upgrades!$P$12,K127)</f>
        <v>11.2</v>
      </c>
      <c r="O127" s="28" t="n">
        <f aca="false">((IF(E127=0,0,(Upgrades!$M$6+E127*Upgrades!$N$6)*POWER(Upgrades!$O$6,E127)))*(IF(Upgrades!$T$7="Solar Wind",POWER(Upgrades!$U$7,F127),1)*IF(Upgrades!$T$8="Solar Wind",POWER(Upgrades!$U$8,G127),1)*IF(Upgrades!$T$9="Solar Wind",POWER(Upgrades!$U$9,H127),1)*IF(Upgrades!$T$10="Solar Wind",POWER(Upgrades!$U$10,I127),1)*IF(Upgrades!$T$11="Solar Wind",POWER(Upgrades!$U$11,J127),1)*IF(Upgrades!$T$12="Solar Wind",POWER(Upgrades!$U$12,K127),1))+(IF(F127=0,0,(Upgrades!$M$7+F127*Upgrades!$N$7)*POWER(Upgrades!$O$7,F127)))*(IF(Upgrades!$T$6="Asteroid Belt",POWER(Upgrades!$U$6,E127),1)*IF(Upgrades!$T$8="Asteroid Belt",POWER(Upgrades!$U$8,G127),1)*IF(Upgrades!$T$9="Asteroid Belt",POWER(Upgrades!$U$9,H127),1)*IF(Upgrades!$T$10="Asteroid Belt",POWER(Upgrades!$U$10,I127),1)*IF(Upgrades!$T$11="Asteroid Belt",POWER(Upgrades!$U$11,J127),1)*IF(Upgrades!$T$12="Asteroid Belt",POWER(Upgrades!$U$12,K127),1))+(IF(G127=0,0,(Upgrades!$M$8+G127*Upgrades!$N$8)*POWER(Upgrades!$O$8,G127)))*(IF(Upgrades!$T$6="Stellar Coupling",POWER(Upgrades!$U$6,E127),1)*IF(Upgrades!$T$7="Stellar Coupling",POWER(Upgrades!$U$7,F127),1)*IF(Upgrades!$T$9="Stellar Coupling",POWER(Upgrades!$U$9,H127),1)*IF(Upgrades!$T$10="Stellar Coupling",POWER(Upgrades!$U$10,I127),1)*IF(Upgrades!$T$11="Stellar Coupling",POWER(Upgrades!$U$11,J127),1)*IF(Upgrades!$T$12="Stellar Coupling",POWER(Upgrades!$U$12,K127),1))+(IF(H127=0,0,(Upgrades!$M$9+H127*Upgrades!$N$9)*POWER(Upgrades!$O$9,H127)))*(IF(Upgrades!$T$6="Magnetosphere",POWER(Upgrades!$U$6,E127),1)*IF(Upgrades!$T$7="Magnetosphere",POWER(Upgrades!$U$7,F127),1)*IF(Upgrades!$T$8="Magnetosphere",POWER(Upgrades!$U$8,G127),1)*IF(Upgrades!$T$10="Magnetosphere",POWER(Upgrades!$U$10,I127),1)*IF(Upgrades!$T$11="Magnetosphere",POWER(Upgrades!$U$11,J127),1)*IF(Upgrades!$T$12="Magnetosphere",POWER(Upgrades!$U$12,K127),1))+(IF(I127=0,0,(Upgrades!$M$10+I127*Upgrades!$N$10)*POWER(Upgrades!$O$10,I127)))*(IF(Upgrades!$T$6="Orbital Resonance",POWER(Upgrades!$U$6,E127),1)*IF(Upgrades!$T$7="Orbital Resonance",POWER(Upgrades!$U$7,F127),1)*IF(Upgrades!$T$8="Orbital Resonance",POWER(Upgrades!$U$8,G127),1)*IF(Upgrades!$T$9="Orbital Resonance",POWER(Upgrades!$U$9,H127),1)*IF(Upgrades!$T$11="Orbital Resonance",POWER(Upgrades!$U$11,J127),1)*IF(Upgrades!$T$12="Orbital Resonance",POWER(Upgrades!$U$12,K127),1))+(IF(J127=0,0,(Upgrades!$M$11+J127*Upgrades!$N$11)*POWER(Upgrades!$O$11,J127)))*(IF(Upgrades!$T$6="Heliopause",POWER(Upgrades!$U$6,E127),1)*IF(Upgrades!$T$7="Heliopause",POWER(Upgrades!$U$7,F127),1)*IF(Upgrades!$T$8="Heliopause",POWER(Upgrades!$U$8,G127),1)*IF(Upgrades!$T$9="Heliopause",POWER(Upgrades!$U$9,H127),1)*IF(Upgrades!$T$10="Heliopause",POWER(Upgrades!$U$10,I127),1)*IF(Upgrades!$T$12="Heliopause",POWER(Upgrades!$U$12,K127),1))+(IF(K127=0,0,(Upgrades!$M$12+K127*Upgrades!$N$12)*POWER(Upgrades!$O$12,K127)))*(IF(Upgrades!$T$6="First Photons",POWER(Upgrades!$U$6,E127),1)*IF(Upgrades!$T$7="First Photons",POWER(Upgrades!$U$7,F127),1)*IF(Upgrades!$T$8="First Photons",POWER(Upgrades!$U$8,G127),1)*IF(Upgrades!$T$9="First Photons",POWER(Upgrades!$U$9,H127),1)*IF(Upgrades!$T$10="First Photons",POWER(Upgrades!$U$10,I127),1)*IF(Upgrades!$T$11="First Photons",POWER(Upgrades!$U$11,J127),1)))*POWER(Upgrades!$R$6,E127)*POWER(Upgrades!$R$7,F127)*POWER(Upgrades!$R$8,G127)*POWER(Upgrades!$R$9,H127)*POWER(Upgrades!$R$10,I127)*POWER(Upgrades!$R$11,J127)*POWER(Upgrades!$R$12,K127)</f>
        <v>0</v>
      </c>
      <c r="P127" s="27" t="n">
        <f aca="false">IF(L127=1,0,M127*Parameters!$B$10/60*Parameters!$B$11*10)</f>
        <v>0</v>
      </c>
      <c r="Q127" s="27" t="n">
        <f aca="false">IF(L127=1,0,O127*M127*10)</f>
        <v>0</v>
      </c>
      <c r="R127" s="27" t="n">
        <f aca="false">IF(L127=1,0,N127*10)</f>
        <v>0</v>
      </c>
      <c r="S127" s="27" t="n">
        <f aca="false">P127+Q127+R127</f>
        <v>0</v>
      </c>
      <c r="T127" s="21" t="n">
        <f aca="false">C127+S127</f>
        <v>18.6730249835055</v>
      </c>
      <c r="U127" s="34" t="str">
        <f aca="false">AX127</f>
        <v/>
      </c>
      <c r="V127" s="21" t="n">
        <f aca="false">IF(U127="",0,IF(U127="transition",0,IF(U127="SW",AG127,IF(U127="AB",AH127,IF(U127="SC",AI127,IF(U127="Mag",AJ127,IF(U127="OR",AK127,IF(U127="HP",AL127,IF(U127="FP",AM127,0)))))))))</f>
        <v>0</v>
      </c>
      <c r="W127" s="27" t="n">
        <f aca="false">IF(U127="OR",Upgrades!$F$10,IF(U127="HP",Upgrades!$F$11,IF(U127="transition",-Parameters!$B$18,0)))</f>
        <v>0</v>
      </c>
      <c r="X127" s="21" t="n">
        <f aca="false">T127-V127</f>
        <v>18.6730249835055</v>
      </c>
      <c r="Y127" s="30" t="n">
        <f aca="false">M127*Parameters!$B$10/60*Parameters!$B$11+O127*M127+N127</f>
        <v>20.55</v>
      </c>
      <c r="Z127" s="35" t="str">
        <f aca="false">IF(U127="transition","→ Tier 2 (Stellar Neighborhood)",IF(U127="FP","First Photons — light begins, system quickens",IF(U127="HP","Heliopause acquired",IF(U127="OR","Orbital Resonance — passive multiplier active",IF(AND(AO127=1,L127=0,AN127&lt;&gt;1),"Cohesion ready (waiting on completionist upgrades)","")))))</f>
        <v/>
      </c>
      <c r="AA127" s="27" t="n">
        <f aca="false">(IF(E127=0,0,(Upgrades!$G$6+E127*Upgrades!$H$6)*POWER(Upgrades!$I$6,E127)))*(IF(Upgrades!$T$7="Solar Wind",POWER(Upgrades!$U$7,F127),1)*IF(Upgrades!$T$8="Solar Wind",POWER(Upgrades!$U$8,G127),1)*IF(Upgrades!$T$9="Solar Wind",POWER(Upgrades!$U$9,H127),1)*IF(Upgrades!$T$10="Solar Wind",POWER(Upgrades!$U$10,I127),1)*IF(Upgrades!$T$11="Solar Wind",POWER(Upgrades!$U$11,J127),1)*IF(Upgrades!$T$12="Solar Wind",POWER(Upgrades!$U$12,K127),1))*POWER(Upgrades!$P$6,E127)*POWER(Upgrades!$P$7,F127)*POWER(Upgrades!$P$8,G127)*POWER(Upgrades!$P$9,H127)*POWER(Upgrades!$P$10,I127)*POWER(Upgrades!$P$11,J127)*POWER(Upgrades!$P$12,K127)*60</f>
        <v>72</v>
      </c>
      <c r="AB127" s="27" t="n">
        <f aca="false">(IF(F127=0,0,(Upgrades!$G$7+F127*Upgrades!$H$7)*POWER(Upgrades!$I$7,F127)))*(IF(Upgrades!$T$6="Asteroid Belt",POWER(Upgrades!$U$6,E127),1)*IF(Upgrades!$T$8="Asteroid Belt",POWER(Upgrades!$U$8,G127),1)*IF(Upgrades!$T$9="Asteroid Belt",POWER(Upgrades!$U$9,H127),1)*IF(Upgrades!$T$10="Asteroid Belt",POWER(Upgrades!$U$10,I127),1)*IF(Upgrades!$T$11="Asteroid Belt",POWER(Upgrades!$U$11,J127),1)*IF(Upgrades!$T$12="Asteroid Belt",POWER(Upgrades!$U$12,K127),1))*POWER(Upgrades!$P$6,E127)*POWER(Upgrades!$P$7,F127)*POWER(Upgrades!$P$8,G127)*POWER(Upgrades!$P$9,H127)*POWER(Upgrades!$P$10,I127)*POWER(Upgrades!$P$11,J127)*POWER(Upgrades!$P$12,K127)*60</f>
        <v>150</v>
      </c>
      <c r="AC127" s="27" t="n">
        <f aca="false">(IF(G127=0,0,(Upgrades!$J$8+G127*Upgrades!$K$8)*POWER(Upgrades!$L$8,G127)))*(IF(Upgrades!$T$6="Stellar Coupling",POWER(Upgrades!$U$6,E127),1)*IF(Upgrades!$T$7="Stellar Coupling",POWER(Upgrades!$U$7,F127),1)*IF(Upgrades!$T$9="Stellar Coupling",POWER(Upgrades!$U$9,H127),1)*IF(Upgrades!$T$10="Stellar Coupling",POWER(Upgrades!$U$10,I127),1)*IF(Upgrades!$T$11="Stellar Coupling",POWER(Upgrades!$U$11,J127),1)*IF(Upgrades!$T$12="Stellar Coupling",POWER(Upgrades!$U$12,K127),1))*POWER(Upgrades!$Q$6,E127)*POWER(Upgrades!$Q$7,F127)*POWER(Upgrades!$Q$8,G127)*POWER(Upgrades!$Q$9,H127)*POWER(Upgrades!$Q$10,I127)*POWER(Upgrades!$Q$11,J127)*POWER(Upgrades!$Q$12,K127)*Parameters!$B$10*Parameters!$B$11</f>
        <v>441</v>
      </c>
      <c r="AD127" s="27" t="n">
        <f aca="false">(IF(H127=0,0,(Upgrades!$G$9+H127*Upgrades!$H$9)*POWER(Upgrades!$I$9,H127)))*(IF(Upgrades!$T$6="Magnetosphere",POWER(Upgrades!$U$6,E127),1)*IF(Upgrades!$T$7="Magnetosphere",POWER(Upgrades!$U$7,F127),1)*IF(Upgrades!$T$8="Magnetosphere",POWER(Upgrades!$U$8,G127),1)*IF(Upgrades!$T$10="Magnetosphere",POWER(Upgrades!$U$10,I127),1)*IF(Upgrades!$T$11="Magnetosphere",POWER(Upgrades!$U$11,J127),1)*IF(Upgrades!$T$12="Magnetosphere",POWER(Upgrades!$U$12,K127),1))*POWER(Upgrades!$P$6,E127)*POWER(Upgrades!$P$7,F127)*POWER(Upgrades!$P$8,G127)*POWER(Upgrades!$P$9,H127)*POWER(Upgrades!$P$10,I127)*POWER(Upgrades!$P$11,J127)*POWER(Upgrades!$P$12,K127)*60</f>
        <v>375</v>
      </c>
      <c r="AE127" s="27" t="n">
        <f aca="false">(IF(K127=0,0,(Upgrades!$G$12+K127*Upgrades!$H$12)*POWER(Upgrades!$I$12,K127)))*(IF(Upgrades!$T$6="First Photons",POWER(Upgrades!$U$6,E127),1)*IF(Upgrades!$T$7="First Photons",POWER(Upgrades!$U$7,F127),1)*IF(Upgrades!$T$8="First Photons",POWER(Upgrades!$U$8,G127),1)*IF(Upgrades!$T$9="First Photons",POWER(Upgrades!$U$9,H127),1)*IF(Upgrades!$T$10="First Photons",POWER(Upgrades!$U$10,I127),1)*IF(Upgrades!$T$11="First Photons",POWER(Upgrades!$U$11,J127),1))*POWER(Upgrades!$P$6,E127)*POWER(Upgrades!$P$7,F127)*POWER(Upgrades!$P$8,G127)*POWER(Upgrades!$P$9,H127)*POWER(Upgrades!$P$10,I127)*POWER(Upgrades!$P$11,J127)*POWER(Upgrades!$P$12,K127)*60</f>
        <v>75</v>
      </c>
      <c r="AF127" s="27" t="n">
        <f aca="false">Parameters!$B$9*POWER(Upgrades!$Q$6,E127)*POWER(Upgrades!$Q$7,F127)*POWER(Upgrades!$Q$8,G127)*POWER(Upgrades!$Q$9,H127)*POWER(Upgrades!$Q$10,I127)*POWER(Upgrades!$Q$11,J127)*POWER(Upgrades!$Q$12,K127)*(Parameters!$B$10*Parameters!$B$11+O127*60)</f>
        <v>120</v>
      </c>
      <c r="AG127" s="21" t="n">
        <f aca="false">IF(E127&gt;=Upgrades!$E$6,"",Upgrades!$C$6*POWER(Upgrades!$D$6,E127))</f>
        <v>37.4517507383159</v>
      </c>
      <c r="AH127" s="21" t="n">
        <f aca="false">IF(F127&gt;=Upgrades!$E$7,"",Upgrades!$C$7*POWER(Upgrades!$D$7,F127))</f>
        <v>80.9111547141581</v>
      </c>
      <c r="AI127" s="21" t="n">
        <f aca="false">IF(G127&gt;=Upgrades!$E$8,"",Upgrades!$C$8*POWER(Upgrades!$D$8,G127))</f>
        <v>231.9097088</v>
      </c>
      <c r="AJ127" s="21" t="str">
        <f aca="false">IF(H127&gt;=Upgrades!$E$9,"",Upgrades!$C$9*POWER(Upgrades!$D$9,H127))</f>
        <v/>
      </c>
      <c r="AK127" s="21" t="str">
        <f aca="false">IF(I127&gt;=Upgrades!$E$10,"",Upgrades!$C$10*POWER(Upgrades!$D$10,I127))</f>
        <v/>
      </c>
      <c r="AL127" s="21" t="str">
        <f aca="false">IF(J127&gt;=Upgrades!$E$11,"",Upgrades!$C$11*POWER(Upgrades!$D$11,J127))</f>
        <v/>
      </c>
      <c r="AM127" s="21" t="str">
        <f aca="false">IF(K127&gt;=Upgrades!$E$12,"",Upgrades!$C$12*POWER(Upgrades!$D$12,K127))</f>
        <v/>
      </c>
      <c r="AN127" s="26" t="str">
        <f aca="false">IF(AND(D127&gt;=Parameters!$B$18,(H127&gt;=Upgrades!$E$9)*(K127&gt;=Upgrades!$E$12)=1,L127=0),1,"")</f>
        <v/>
      </c>
      <c r="AO127" s="26" t="str">
        <f aca="false">IF(AND(D127&gt;=Parameters!$B$18,L127=0),1,"")</f>
        <v/>
      </c>
      <c r="AP127" s="21" t="n">
        <f aca="false">MIN(IF(ISNUMBER(AK127),AK127,9000000000000000),IF(ISNUMBER(AL127),AL127,9000000000000000),IF(ISNUMBER(AM127),AM127,9000000000000000))</f>
        <v>9000000000000000</v>
      </c>
      <c r="AQ127" s="21" t="n">
        <f aca="false">MIN(IF(ISNUMBER(AG127),AG127,9000000000000000),IF(ISNUMBER(AH127),AH127,9000000000000000),IF(ISNUMBER(AI127),AI127,9000000000000000),IF(ISNUMBER(AJ127),AJ127,9000000000000000))</f>
        <v>37.4517507383159</v>
      </c>
      <c r="AR127" s="32" t="b">
        <f aca="false">IF(AW127&gt;Parameters!$B$21*(MAX(IF(AND(NOT(AND(AO127=1,AN127&lt;&gt;1)),ISNUMBER(AG127),AG127&lt;=T127),AS127,0),IF(AND(NOT(AND(AO127=1,AN127&lt;&gt;1)),ISNUMBER(AH127),AH127&lt;=T127),AT127,0),IF(AND(NOT(AND(AO127=1,AN127&lt;&gt;1)),ISNUMBER(AI127),AI127&lt;=T127),AU127,0),IF(AND(ISNUMBER(AJ127),AJ127&lt;=T127),AV127,0))),TRUE(),FALSE())</f>
        <v>1</v>
      </c>
      <c r="AS127" s="33" t="n">
        <f aca="false">IFERROR(Upgrades!$H$6*(POWER(Upgrades!$P$6,E127)*POWER(Upgrades!$P$7,F127)*POWER(Upgrades!$P$8,G127)*POWER(Upgrades!$P$9,H127)*POWER(Upgrades!$P$10,I127)*POWER(Upgrades!$P$11,J127)*POWER(Upgrades!$P$12,K127))*(IF(Upgrades!$T$7="Solar Wind",POWER(Upgrades!$U$7,F127),1)*IF(Upgrades!$T$8="Solar Wind",POWER(Upgrades!$U$8,G127),1)*IF(Upgrades!$T$9="Solar Wind",POWER(Upgrades!$U$9,H127),1)*IF(Upgrades!$T$10="Solar Wind",POWER(Upgrades!$U$10,I127),1)*IF(Upgrades!$T$11="Solar Wind",POWER(Upgrades!$U$11,J127),1)*IF(Upgrades!$T$12="Solar Wind",POWER(Upgrades!$U$12,K127),1))/AG127,0)</f>
        <v>0.0026701021455238</v>
      </c>
      <c r="AT127" s="33" t="n">
        <f aca="false">IFERROR(Upgrades!$H$7*(POWER(Upgrades!$P$6,E127)*POWER(Upgrades!$P$7,F127)*POWER(Upgrades!$P$8,G127)*POWER(Upgrades!$P$9,H127)*POWER(Upgrades!$P$10,I127)*POWER(Upgrades!$P$11,J127)*POWER(Upgrades!$P$12,K127))*(IF(Upgrades!$T$6="Asteroid Belt",POWER(Upgrades!$U$6,E127),1)*IF(Upgrades!$T$8="Asteroid Belt",POWER(Upgrades!$U$8,G127),1)*IF(Upgrades!$T$9="Asteroid Belt",POWER(Upgrades!$U$9,H127),1)*IF(Upgrades!$T$10="Asteroid Belt",POWER(Upgrades!$U$10,I127),1)*IF(Upgrades!$T$11="Asteroid Belt",POWER(Upgrades!$U$11,J127),1)*IF(Upgrades!$T$12="Asteroid Belt",POWER(Upgrades!$U$12,K127),1))/AH127,0)</f>
        <v>0.00308980882652332</v>
      </c>
      <c r="AU127" s="33" t="n">
        <f aca="false">IFERROR(Upgrades!$K$8*(POWER(Upgrades!$Q$6,E127)*POWER(Upgrades!$Q$7,F127)*POWER(Upgrades!$Q$8,G127)*POWER(Upgrades!$Q$9,H127)*POWER(Upgrades!$Q$10,I127)*POWER(Upgrades!$Q$11,J127)*POWER(Upgrades!$Q$12,K127))*(IF(Upgrades!$T$6="Stellar Coupling",POWER(Upgrades!$U$6,E127),1)*IF(Upgrades!$T$7="Stellar Coupling",POWER(Upgrades!$U$7,F127),1)*IF(Upgrades!$T$9="Stellar Coupling",POWER(Upgrades!$U$9,H127),1)*IF(Upgrades!$T$10="Stellar Coupling",POWER(Upgrades!$U$10,I127),1)*IF(Upgrades!$T$11="Stellar Coupling",POWER(Upgrades!$U$11,J127),1)*IF(Upgrades!$T$12="Stellar Coupling",POWER(Upgrades!$U$12,K127),1))*Parameters!$B$10*Parameters!$B$11/60/AI127,0)</f>
        <v>0.00452762415783776</v>
      </c>
      <c r="AV127" s="33" t="n">
        <f aca="false">IFERROR(Upgrades!$H$9*(POWER(Upgrades!$P$6,E127)*POWER(Upgrades!$P$7,F127)*POWER(Upgrades!$P$8,G127)*POWER(Upgrades!$P$9,H127)*POWER(Upgrades!$P$10,I127)*POWER(Upgrades!$P$11,J127)*POWER(Upgrades!$P$12,K127))*(IF(Upgrades!$T$6="Magnetosphere",POWER(Upgrades!$U$6,E127),1)*IF(Upgrades!$T$7="Magnetosphere",POWER(Upgrades!$U$7,F127),1)*IF(Upgrades!$T$8="Magnetosphere",POWER(Upgrades!$U$8,G127),1)*IF(Upgrades!$T$10="Magnetosphere",POWER(Upgrades!$U$10,I127),1)*IF(Upgrades!$T$11="Magnetosphere",POWER(Upgrades!$U$11,J127),1)*IF(Upgrades!$T$12="Magnetosphere",POWER(Upgrades!$U$12,K127),1))/AJ127,0)</f>
        <v>0</v>
      </c>
      <c r="AW127" s="33" t="n">
        <f aca="false">MAX(IF(I127&gt;0,0,IFERROR(0.25*N127/Upgrades!$C$10,0)),IF(J127&gt;0,0,IFERROR(0.5*((IF(G127=0,0,(Upgrades!$J$8+G127*Upgrades!$K$8)*POWER(Upgrades!$L$8,G127)))*(IF(Upgrades!$T$6="Stellar Coupling",POWER(Upgrades!$U$6,E127),1)*IF(Upgrades!$T$7="Stellar Coupling",POWER(Upgrades!$U$7,F127),1)*IF(Upgrades!$T$9="Stellar Coupling",POWER(Upgrades!$U$9,H127),1)*IF(Upgrades!$T$10="Stellar Coupling",POWER(Upgrades!$U$10,I127),1)*IF(Upgrades!$T$11="Stellar Coupling",POWER(Upgrades!$U$11,J127),1)*IF(Upgrades!$T$12="Stellar Coupling",POWER(Upgrades!$U$12,K127),1))*(POWER(Upgrades!$Q$6,E127)*POWER(Upgrades!$Q$7,F127)*POWER(Upgrades!$Q$8,G127)*POWER(Upgrades!$Q$9,H127)*POWER(Upgrades!$Q$10,I127)*POWER(Upgrades!$Q$11,J127)*POWER(Upgrades!$Q$12,K127))*Parameters!$B$10*Parameters!$B$11/60)/Upgrades!$C$11,0)),IF(K127&gt;0,0,IFERROR((1*(POWER(Upgrades!$P$6,E127)*POWER(Upgrades!$P$7,F127)*POWER(Upgrades!$P$8,G127)*POWER(Upgrades!$P$9,H127)*POWER(Upgrades!$P$10,I127)*POWER(Upgrades!$P$11,J127)*POWER(Upgrades!$P$12,K127))+0.2*M127*Parameters!$B$10*Parameters!$B$11/60)/Upgrades!$C$12,0)),IF(AND(ISNUMBER(AG127),AG127&gt;T127),AS127,0),IF(AND(ISNUMBER(AH127),AH127&gt;T127),AT127,0),IF(AND(ISNUMBER(AI127),AI127&gt;T127),AU127,0),IF(AND(ISNUMBER(AJ127),AJ127&gt;T127),AV127,0))</f>
        <v>0.00452762415783776</v>
      </c>
      <c r="AX127" s="29" t="str">
        <f aca="false">IF(AN127=1,"transition",IF(MIN(IF(AND(I127=0,ISNUMBER(AK127),AK127&lt;=T127),AK127,9000000000000000),IF(AND(J127=0,ISNUMBER(AL127),AL127&lt;=T127),AL127,9000000000000000),IF(AND(K127=0,ISNUMBER(AM127),AM127&lt;=T127),AM127,9000000000000000))&lt;9000000000000000,IF(AND(AND(I127=0,ISNUMBER(AK127),AK127&lt;=T127),AK127=MIN(IF(AND(I127=0,ISNUMBER(AK127),AK127&lt;=T127),AK127,9000000000000000),IF(AND(J127=0,ISNUMBER(AL127),AL127&lt;=T127),AL127,9000000000000000),IF(AND(K127=0,ISNUMBER(AM127),AM127&lt;=T127),AM127,9000000000000000))),"OR",IF(AND(AND(J127=0,ISNUMBER(AL127),AL127&lt;=T127),AL127=MIN(IF(AND(I127=0,ISNUMBER(AK127),AK127&lt;=T127),AK127,9000000000000000),IF(AND(J127=0,ISNUMBER(AL127),AL127&lt;=T127),AL127,9000000000000000),IF(AND(K127=0,ISNUMBER(AM127),AM127&lt;=T127),AM127,9000000000000000))),"HP","FP")),IF(AR127=TRUE(),"",IF(MAX(IF(AND(NOT(AND(AO127=1,AN127&lt;&gt;1)),ISNUMBER(AG127),AG127&lt;=T127),AS127,0),IF(AND(NOT(AND(AO127=1,AN127&lt;&gt;1)),ISNUMBER(AH127),AH127&lt;=T127),AT127,0),IF(AND(NOT(AND(AO127=1,AN127&lt;&gt;1)),ISNUMBER(AI127),AI127&lt;=T127),AU127,0),IF(AND(ISNUMBER(AJ127),AJ127&lt;=T127),AV127,0))&lt;=0,"",IF(AND(IF(AND(NOT(AND(AO127=1,AN127&lt;&gt;1)),ISNUMBER(AG127),AG127&lt;=T127),AS127,0)&gt;0,IF(AND(NOT(AND(AO127=1,AN127&lt;&gt;1)),ISNUMBER(AG127),AG127&lt;=T127),AS127,0)=MAX(IF(AND(NOT(AND(AO127=1,AN127&lt;&gt;1)),ISNUMBER(AG127),AG127&lt;=T127),AS127,0),IF(AND(NOT(AND(AO127=1,AN127&lt;&gt;1)),ISNUMBER(AH127),AH127&lt;=T127),AT127,0),IF(AND(NOT(AND(AO127=1,AN127&lt;&gt;1)),ISNUMBER(AI127),AI127&lt;=T127),AU127,0),IF(AND(ISNUMBER(AJ127),AJ127&lt;=T127),AV127,0))),"SW",IF(AND(IF(AND(NOT(AND(AO127=1,AN127&lt;&gt;1)),ISNUMBER(AH127),AH127&lt;=T127),AT127,0)&gt;0,IF(AND(NOT(AND(AO127=1,AN127&lt;&gt;1)),ISNUMBER(AH127),AH127&lt;=T127),AT127,0)=MAX(IF(AND(NOT(AND(AO127=1,AN127&lt;&gt;1)),ISNUMBER(AG127),AG127&lt;=T127),AS127,0),IF(AND(NOT(AND(AO127=1,AN127&lt;&gt;1)),ISNUMBER(AH127),AH127&lt;=T127),AT127,0),IF(AND(NOT(AND(AO127=1,AN127&lt;&gt;1)),ISNUMBER(AI127),AI127&lt;=T127),AU127,0),IF(AND(ISNUMBER(AJ127),AJ127&lt;=T127),AV127,0))),"AB",IF(AND(IF(AND(NOT(AND(AO127=1,AN127&lt;&gt;1)),ISNUMBER(AI127),AI127&lt;=T127),AU127,0)&gt;0,IF(AND(NOT(AND(AO127=1,AN127&lt;&gt;1)),ISNUMBER(AI127),AI127&lt;=T127),AU127,0)=MAX(IF(AND(NOT(AND(AO127=1,AN127&lt;&gt;1)),ISNUMBER(AG127),AG127&lt;=T127),AS127,0),IF(AND(NOT(AND(AO127=1,AN127&lt;&gt;1)),ISNUMBER(AH127),AH127&lt;=T127),AT127,0),IF(AND(NOT(AND(AO127=1,AN127&lt;&gt;1)),ISNUMBER(AI127),AI127&lt;=T127),AU127,0),IF(AND(ISNUMBER(AJ127),AJ127&lt;=T127),AV127,0))),"SC","Mag")))))))</f>
        <v/>
      </c>
    </row>
    <row r="128" customFormat="false" ht="15" hidden="false" customHeight="false" outlineLevel="0" collapsed="false">
      <c r="A128" s="26" t="n">
        <v>123</v>
      </c>
      <c r="B128" s="27" t="n">
        <f aca="false">A128*10/60</f>
        <v>20.5</v>
      </c>
      <c r="C128" s="21" t="n">
        <f aca="false">X127</f>
        <v>18.6730249835055</v>
      </c>
      <c r="D128" s="27" t="n">
        <f aca="false">D127+W127</f>
        <v>0</v>
      </c>
      <c r="E128" s="26" t="n">
        <f aca="false">E127+IF(U127="SW",1,0)</f>
        <v>12</v>
      </c>
      <c r="F128" s="26" t="n">
        <f aca="false">F127+IF(U127="AB",1,0)</f>
        <v>10</v>
      </c>
      <c r="G128" s="26" t="n">
        <f aca="false">G127+IF(U127="SC",1,0)</f>
        <v>7</v>
      </c>
      <c r="H128" s="26" t="n">
        <f aca="false">H127+IF(U127="Mag",1,0)</f>
        <v>5</v>
      </c>
      <c r="I128" s="26" t="n">
        <f aca="false">MAX(I127,IF(U127="OR",1,0))</f>
        <v>1</v>
      </c>
      <c r="J128" s="26" t="n">
        <f aca="false">MAX(J127,IF(U127="HP",1,0))</f>
        <v>1</v>
      </c>
      <c r="K128" s="26" t="n">
        <f aca="false">MAX(K127,IF(U127="FP",1,0))</f>
        <v>1</v>
      </c>
      <c r="L128" s="26" t="n">
        <f aca="false">MAX(L127,IF(U127="transition",1,0))</f>
        <v>1</v>
      </c>
      <c r="M128" s="28" t="n">
        <f aca="false">(Parameters!$B$9+(IF(E128=0,0,(Upgrades!$J$6+E128*Upgrades!$K$6)*POWER(Upgrades!$L$6,E128)))*(IF(Upgrades!$T$7="Solar Wind",POWER(Upgrades!$U$7,F128),1)*IF(Upgrades!$T$8="Solar Wind",POWER(Upgrades!$U$8,G128),1)*IF(Upgrades!$T$9="Solar Wind",POWER(Upgrades!$U$9,H128),1)*IF(Upgrades!$T$10="Solar Wind",POWER(Upgrades!$U$10,I128),1)*IF(Upgrades!$T$11="Solar Wind",POWER(Upgrades!$U$11,J128),1)*IF(Upgrades!$T$12="Solar Wind",POWER(Upgrades!$U$12,K128),1))+(IF(F128=0,0,(Upgrades!$J$7+F128*Upgrades!$K$7)*POWER(Upgrades!$L$7,F128)))*(IF(Upgrades!$T$6="Asteroid Belt",POWER(Upgrades!$U$6,E128),1)*IF(Upgrades!$T$8="Asteroid Belt",POWER(Upgrades!$U$8,G128),1)*IF(Upgrades!$T$9="Asteroid Belt",POWER(Upgrades!$U$9,H128),1)*IF(Upgrades!$T$10="Asteroid Belt",POWER(Upgrades!$U$10,I128),1)*IF(Upgrades!$T$11="Asteroid Belt",POWER(Upgrades!$U$11,J128),1)*IF(Upgrades!$T$12="Asteroid Belt",POWER(Upgrades!$U$12,K128),1))+(IF(G128=0,0,(Upgrades!$J$8+G128*Upgrades!$K$8)*POWER(Upgrades!$L$8,G128)))*(IF(Upgrades!$T$6="Stellar Coupling",POWER(Upgrades!$U$6,E128),1)*IF(Upgrades!$T$7="Stellar Coupling",POWER(Upgrades!$U$7,F128),1)*IF(Upgrades!$T$9="Stellar Coupling",POWER(Upgrades!$U$9,H128),1)*IF(Upgrades!$T$10="Stellar Coupling",POWER(Upgrades!$U$10,I128),1)*IF(Upgrades!$T$11="Stellar Coupling",POWER(Upgrades!$U$11,J128),1)*IF(Upgrades!$T$12="Stellar Coupling",POWER(Upgrades!$U$12,K128),1))+(IF(H128=0,0,(Upgrades!$J$9+H128*Upgrades!$K$9)*POWER(Upgrades!$L$9,H128)))*(IF(Upgrades!$T$6="Magnetosphere",POWER(Upgrades!$U$6,E128),1)*IF(Upgrades!$T$7="Magnetosphere",POWER(Upgrades!$U$7,F128),1)*IF(Upgrades!$T$8="Magnetosphere",POWER(Upgrades!$U$8,G128),1)*IF(Upgrades!$T$10="Magnetosphere",POWER(Upgrades!$U$10,I128),1)*IF(Upgrades!$T$11="Magnetosphere",POWER(Upgrades!$U$11,J128),1)*IF(Upgrades!$T$12="Magnetosphere",POWER(Upgrades!$U$12,K128),1))+(IF(I128=0,0,(Upgrades!$J$10+I128*Upgrades!$K$10)*POWER(Upgrades!$L$10,I128)))*(IF(Upgrades!$T$6="Orbital Resonance",POWER(Upgrades!$U$6,E128),1)*IF(Upgrades!$T$7="Orbital Resonance",POWER(Upgrades!$U$7,F128),1)*IF(Upgrades!$T$8="Orbital Resonance",POWER(Upgrades!$U$8,G128),1)*IF(Upgrades!$T$9="Orbital Resonance",POWER(Upgrades!$U$9,H128),1)*IF(Upgrades!$T$11="Orbital Resonance",POWER(Upgrades!$U$11,J128),1)*IF(Upgrades!$T$12="Orbital Resonance",POWER(Upgrades!$U$12,K128),1))+(IF(J128=0,0,(Upgrades!$J$11+J128*Upgrades!$K$11)*POWER(Upgrades!$L$11,J128)))*(IF(Upgrades!$T$6="Heliopause",POWER(Upgrades!$U$6,E128),1)*IF(Upgrades!$T$7="Heliopause",POWER(Upgrades!$U$7,F128),1)*IF(Upgrades!$T$8="Heliopause",POWER(Upgrades!$U$8,G128),1)*IF(Upgrades!$T$9="Heliopause",POWER(Upgrades!$U$9,H128),1)*IF(Upgrades!$T$10="Heliopause",POWER(Upgrades!$U$10,I128),1)*IF(Upgrades!$T$12="Heliopause",POWER(Upgrades!$U$12,K128),1))+(IF(K128=0,0,(Upgrades!$J$12+K128*Upgrades!$K$12)*POWER(Upgrades!$L$12,K128)))*(IF(Upgrades!$T$6="First Photons",POWER(Upgrades!$U$6,E128),1)*IF(Upgrades!$T$7="First Photons",POWER(Upgrades!$U$7,F128),1)*IF(Upgrades!$T$8="First Photons",POWER(Upgrades!$U$8,G128),1)*IF(Upgrades!$T$9="First Photons",POWER(Upgrades!$U$9,H128),1)*IF(Upgrades!$T$10="First Photons",POWER(Upgrades!$U$10,I128),1)*IF(Upgrades!$T$11="First Photons",POWER(Upgrades!$U$11,J128),1)))*POWER(Upgrades!$Q$6,E128)*POWER(Upgrades!$Q$7,F128)*POWER(Upgrades!$Q$8,G128)*POWER(Upgrades!$Q$9,H128)*POWER(Upgrades!$Q$10,I128)*POWER(Upgrades!$Q$11,J128)*POWER(Upgrades!$Q$12,K128)</f>
        <v>5.61</v>
      </c>
      <c r="N128" s="28" t="n">
        <f aca="false">((IF(E128=0,0,(Upgrades!$G$6+E128*Upgrades!$H$6)*POWER(Upgrades!$I$6,E128)))*(IF(Upgrades!$T$7="Solar Wind",POWER(Upgrades!$U$7,F128),1)*IF(Upgrades!$T$8="Solar Wind",POWER(Upgrades!$U$8,G128),1)*IF(Upgrades!$T$9="Solar Wind",POWER(Upgrades!$U$9,H128),1)*IF(Upgrades!$T$10="Solar Wind",POWER(Upgrades!$U$10,I128),1)*IF(Upgrades!$T$11="Solar Wind",POWER(Upgrades!$U$11,J128),1)*IF(Upgrades!$T$12="Solar Wind",POWER(Upgrades!$U$12,K128),1))+(IF(F128=0,0,(Upgrades!$G$7+F128*Upgrades!$H$7)*POWER(Upgrades!$I$7,F128)))*(IF(Upgrades!$T$6="Asteroid Belt",POWER(Upgrades!$U$6,E128),1)*IF(Upgrades!$T$8="Asteroid Belt",POWER(Upgrades!$U$8,G128),1)*IF(Upgrades!$T$9="Asteroid Belt",POWER(Upgrades!$U$9,H128),1)*IF(Upgrades!$T$10="Asteroid Belt",POWER(Upgrades!$U$10,I128),1)*IF(Upgrades!$T$11="Asteroid Belt",POWER(Upgrades!$U$11,J128),1)*IF(Upgrades!$T$12="Asteroid Belt",POWER(Upgrades!$U$12,K128),1))+(IF(G128=0,0,(Upgrades!$G$8+G128*Upgrades!$H$8)*POWER(Upgrades!$I$8,G128)))*(IF(Upgrades!$T$6="Stellar Coupling",POWER(Upgrades!$U$6,E128),1)*IF(Upgrades!$T$7="Stellar Coupling",POWER(Upgrades!$U$7,F128),1)*IF(Upgrades!$T$9="Stellar Coupling",POWER(Upgrades!$U$9,H128),1)*IF(Upgrades!$T$10="Stellar Coupling",POWER(Upgrades!$U$10,I128),1)*IF(Upgrades!$T$11="Stellar Coupling",POWER(Upgrades!$U$11,J128),1)*IF(Upgrades!$T$12="Stellar Coupling",POWER(Upgrades!$U$12,K128),1))+(IF(H128=0,0,(Upgrades!$G$9+H128*Upgrades!$H$9)*POWER(Upgrades!$I$9,H128)))*(IF(Upgrades!$T$6="Magnetosphere",POWER(Upgrades!$U$6,E128),1)*IF(Upgrades!$T$7="Magnetosphere",POWER(Upgrades!$U$7,F128),1)*IF(Upgrades!$T$8="Magnetosphere",POWER(Upgrades!$U$8,G128),1)*IF(Upgrades!$T$10="Magnetosphere",POWER(Upgrades!$U$10,I128),1)*IF(Upgrades!$T$11="Magnetosphere",POWER(Upgrades!$U$11,J128),1)*IF(Upgrades!$T$12="Magnetosphere",POWER(Upgrades!$U$12,K128),1))+(IF(I128=0,0,(Upgrades!$G$10+I128*Upgrades!$H$10)*POWER(Upgrades!$I$10,I128)))*(IF(Upgrades!$T$6="Orbital Resonance",POWER(Upgrades!$U$6,E128),1)*IF(Upgrades!$T$7="Orbital Resonance",POWER(Upgrades!$U$7,F128),1)*IF(Upgrades!$T$8="Orbital Resonance",POWER(Upgrades!$U$8,G128),1)*IF(Upgrades!$T$9="Orbital Resonance",POWER(Upgrades!$U$9,H128),1)*IF(Upgrades!$T$11="Orbital Resonance",POWER(Upgrades!$U$11,J128),1)*IF(Upgrades!$T$12="Orbital Resonance",POWER(Upgrades!$U$12,K128),1))+(IF(J128=0,0,(Upgrades!$G$11+J128*Upgrades!$H$11)*POWER(Upgrades!$I$11,J128)))*(IF(Upgrades!$T$6="Heliopause",POWER(Upgrades!$U$6,E128),1)*IF(Upgrades!$T$7="Heliopause",POWER(Upgrades!$U$7,F128),1)*IF(Upgrades!$T$8="Heliopause",POWER(Upgrades!$U$8,G128),1)*IF(Upgrades!$T$9="Heliopause",POWER(Upgrades!$U$9,H128),1)*IF(Upgrades!$T$10="Heliopause",POWER(Upgrades!$U$10,I128),1)*IF(Upgrades!$T$12="Heliopause",POWER(Upgrades!$U$12,K128),1))+(IF(K128=0,0,(Upgrades!$G$12+K128*Upgrades!$H$12)*POWER(Upgrades!$I$12,K128)))*(IF(Upgrades!$T$6="First Photons",POWER(Upgrades!$U$6,E128),1)*IF(Upgrades!$T$7="First Photons",POWER(Upgrades!$U$7,F128),1)*IF(Upgrades!$T$8="First Photons",POWER(Upgrades!$U$8,G128),1)*IF(Upgrades!$T$9="First Photons",POWER(Upgrades!$U$9,H128),1)*IF(Upgrades!$T$10="First Photons",POWER(Upgrades!$U$10,I128),1)*IF(Upgrades!$T$11="First Photons",POWER(Upgrades!$U$11,J128),1)))*POWER(Upgrades!$P$6,E128)*POWER(Upgrades!$P$7,F128)*POWER(Upgrades!$P$8,G128)*POWER(Upgrades!$P$9,H128)*POWER(Upgrades!$P$10,I128)*POWER(Upgrades!$P$11,J128)*POWER(Upgrades!$P$12,K128)</f>
        <v>11.2</v>
      </c>
      <c r="O128" s="28" t="n">
        <f aca="false">((IF(E128=0,0,(Upgrades!$M$6+E128*Upgrades!$N$6)*POWER(Upgrades!$O$6,E128)))*(IF(Upgrades!$T$7="Solar Wind",POWER(Upgrades!$U$7,F128),1)*IF(Upgrades!$T$8="Solar Wind",POWER(Upgrades!$U$8,G128),1)*IF(Upgrades!$T$9="Solar Wind",POWER(Upgrades!$U$9,H128),1)*IF(Upgrades!$T$10="Solar Wind",POWER(Upgrades!$U$10,I128),1)*IF(Upgrades!$T$11="Solar Wind",POWER(Upgrades!$U$11,J128),1)*IF(Upgrades!$T$12="Solar Wind",POWER(Upgrades!$U$12,K128),1))+(IF(F128=0,0,(Upgrades!$M$7+F128*Upgrades!$N$7)*POWER(Upgrades!$O$7,F128)))*(IF(Upgrades!$T$6="Asteroid Belt",POWER(Upgrades!$U$6,E128),1)*IF(Upgrades!$T$8="Asteroid Belt",POWER(Upgrades!$U$8,G128),1)*IF(Upgrades!$T$9="Asteroid Belt",POWER(Upgrades!$U$9,H128),1)*IF(Upgrades!$T$10="Asteroid Belt",POWER(Upgrades!$U$10,I128),1)*IF(Upgrades!$T$11="Asteroid Belt",POWER(Upgrades!$U$11,J128),1)*IF(Upgrades!$T$12="Asteroid Belt",POWER(Upgrades!$U$12,K128),1))+(IF(G128=0,0,(Upgrades!$M$8+G128*Upgrades!$N$8)*POWER(Upgrades!$O$8,G128)))*(IF(Upgrades!$T$6="Stellar Coupling",POWER(Upgrades!$U$6,E128),1)*IF(Upgrades!$T$7="Stellar Coupling",POWER(Upgrades!$U$7,F128),1)*IF(Upgrades!$T$9="Stellar Coupling",POWER(Upgrades!$U$9,H128),1)*IF(Upgrades!$T$10="Stellar Coupling",POWER(Upgrades!$U$10,I128),1)*IF(Upgrades!$T$11="Stellar Coupling",POWER(Upgrades!$U$11,J128),1)*IF(Upgrades!$T$12="Stellar Coupling",POWER(Upgrades!$U$12,K128),1))+(IF(H128=0,0,(Upgrades!$M$9+H128*Upgrades!$N$9)*POWER(Upgrades!$O$9,H128)))*(IF(Upgrades!$T$6="Magnetosphere",POWER(Upgrades!$U$6,E128),1)*IF(Upgrades!$T$7="Magnetosphere",POWER(Upgrades!$U$7,F128),1)*IF(Upgrades!$T$8="Magnetosphere",POWER(Upgrades!$U$8,G128),1)*IF(Upgrades!$T$10="Magnetosphere",POWER(Upgrades!$U$10,I128),1)*IF(Upgrades!$T$11="Magnetosphere",POWER(Upgrades!$U$11,J128),1)*IF(Upgrades!$T$12="Magnetosphere",POWER(Upgrades!$U$12,K128),1))+(IF(I128=0,0,(Upgrades!$M$10+I128*Upgrades!$N$10)*POWER(Upgrades!$O$10,I128)))*(IF(Upgrades!$T$6="Orbital Resonance",POWER(Upgrades!$U$6,E128),1)*IF(Upgrades!$T$7="Orbital Resonance",POWER(Upgrades!$U$7,F128),1)*IF(Upgrades!$T$8="Orbital Resonance",POWER(Upgrades!$U$8,G128),1)*IF(Upgrades!$T$9="Orbital Resonance",POWER(Upgrades!$U$9,H128),1)*IF(Upgrades!$T$11="Orbital Resonance",POWER(Upgrades!$U$11,J128),1)*IF(Upgrades!$T$12="Orbital Resonance",POWER(Upgrades!$U$12,K128),1))+(IF(J128=0,0,(Upgrades!$M$11+J128*Upgrades!$N$11)*POWER(Upgrades!$O$11,J128)))*(IF(Upgrades!$T$6="Heliopause",POWER(Upgrades!$U$6,E128),1)*IF(Upgrades!$T$7="Heliopause",POWER(Upgrades!$U$7,F128),1)*IF(Upgrades!$T$8="Heliopause",POWER(Upgrades!$U$8,G128),1)*IF(Upgrades!$T$9="Heliopause",POWER(Upgrades!$U$9,H128),1)*IF(Upgrades!$T$10="Heliopause",POWER(Upgrades!$U$10,I128),1)*IF(Upgrades!$T$12="Heliopause",POWER(Upgrades!$U$12,K128),1))+(IF(K128=0,0,(Upgrades!$M$12+K128*Upgrades!$N$12)*POWER(Upgrades!$O$12,K128)))*(IF(Upgrades!$T$6="First Photons",POWER(Upgrades!$U$6,E128),1)*IF(Upgrades!$T$7="First Photons",POWER(Upgrades!$U$7,F128),1)*IF(Upgrades!$T$8="First Photons",POWER(Upgrades!$U$8,G128),1)*IF(Upgrades!$T$9="First Photons",POWER(Upgrades!$U$9,H128),1)*IF(Upgrades!$T$10="First Photons",POWER(Upgrades!$U$10,I128),1)*IF(Upgrades!$T$11="First Photons",POWER(Upgrades!$U$11,J128),1)))*POWER(Upgrades!$R$6,E128)*POWER(Upgrades!$R$7,F128)*POWER(Upgrades!$R$8,G128)*POWER(Upgrades!$R$9,H128)*POWER(Upgrades!$R$10,I128)*POWER(Upgrades!$R$11,J128)*POWER(Upgrades!$R$12,K128)</f>
        <v>0</v>
      </c>
      <c r="P128" s="27" t="n">
        <f aca="false">IF(L128=1,0,M128*Parameters!$B$10/60*Parameters!$B$11*10)</f>
        <v>0</v>
      </c>
      <c r="Q128" s="27" t="n">
        <f aca="false">IF(L128=1,0,O128*M128*10)</f>
        <v>0</v>
      </c>
      <c r="R128" s="27" t="n">
        <f aca="false">IF(L128=1,0,N128*10)</f>
        <v>0</v>
      </c>
      <c r="S128" s="27" t="n">
        <f aca="false">P128+Q128+R128</f>
        <v>0</v>
      </c>
      <c r="T128" s="21" t="n">
        <f aca="false">C128+S128</f>
        <v>18.6730249835055</v>
      </c>
      <c r="U128" s="34" t="str">
        <f aca="false">AX128</f>
        <v/>
      </c>
      <c r="V128" s="21" t="n">
        <f aca="false">IF(U128="",0,IF(U128="transition",0,IF(U128="SW",AG128,IF(U128="AB",AH128,IF(U128="SC",AI128,IF(U128="Mag",AJ128,IF(U128="OR",AK128,IF(U128="HP",AL128,IF(U128="FP",AM128,0)))))))))</f>
        <v>0</v>
      </c>
      <c r="W128" s="27" t="n">
        <f aca="false">IF(U128="OR",Upgrades!$F$10,IF(U128="HP",Upgrades!$F$11,IF(U128="transition",-Parameters!$B$18,0)))</f>
        <v>0</v>
      </c>
      <c r="X128" s="21" t="n">
        <f aca="false">T128-V128</f>
        <v>18.6730249835055</v>
      </c>
      <c r="Y128" s="30" t="n">
        <f aca="false">M128*Parameters!$B$10/60*Parameters!$B$11+O128*M128+N128</f>
        <v>20.55</v>
      </c>
      <c r="Z128" s="35" t="str">
        <f aca="false">IF(U128="transition","→ Tier 2 (Stellar Neighborhood)",IF(U128="FP","First Photons — light begins, system quickens",IF(U128="HP","Heliopause acquired",IF(U128="OR","Orbital Resonance — passive multiplier active",IF(AND(AO128=1,L128=0,AN128&lt;&gt;1),"Cohesion ready (waiting on completionist upgrades)","")))))</f>
        <v/>
      </c>
      <c r="AA128" s="27" t="n">
        <f aca="false">(IF(E128=0,0,(Upgrades!$G$6+E128*Upgrades!$H$6)*POWER(Upgrades!$I$6,E128)))*(IF(Upgrades!$T$7="Solar Wind",POWER(Upgrades!$U$7,F128),1)*IF(Upgrades!$T$8="Solar Wind",POWER(Upgrades!$U$8,G128),1)*IF(Upgrades!$T$9="Solar Wind",POWER(Upgrades!$U$9,H128),1)*IF(Upgrades!$T$10="Solar Wind",POWER(Upgrades!$U$10,I128),1)*IF(Upgrades!$T$11="Solar Wind",POWER(Upgrades!$U$11,J128),1)*IF(Upgrades!$T$12="Solar Wind",POWER(Upgrades!$U$12,K128),1))*POWER(Upgrades!$P$6,E128)*POWER(Upgrades!$P$7,F128)*POWER(Upgrades!$P$8,G128)*POWER(Upgrades!$P$9,H128)*POWER(Upgrades!$P$10,I128)*POWER(Upgrades!$P$11,J128)*POWER(Upgrades!$P$12,K128)*60</f>
        <v>72</v>
      </c>
      <c r="AB128" s="27" t="n">
        <f aca="false">(IF(F128=0,0,(Upgrades!$G$7+F128*Upgrades!$H$7)*POWER(Upgrades!$I$7,F128)))*(IF(Upgrades!$T$6="Asteroid Belt",POWER(Upgrades!$U$6,E128),1)*IF(Upgrades!$T$8="Asteroid Belt",POWER(Upgrades!$U$8,G128),1)*IF(Upgrades!$T$9="Asteroid Belt",POWER(Upgrades!$U$9,H128),1)*IF(Upgrades!$T$10="Asteroid Belt",POWER(Upgrades!$U$10,I128),1)*IF(Upgrades!$T$11="Asteroid Belt",POWER(Upgrades!$U$11,J128),1)*IF(Upgrades!$T$12="Asteroid Belt",POWER(Upgrades!$U$12,K128),1))*POWER(Upgrades!$P$6,E128)*POWER(Upgrades!$P$7,F128)*POWER(Upgrades!$P$8,G128)*POWER(Upgrades!$P$9,H128)*POWER(Upgrades!$P$10,I128)*POWER(Upgrades!$P$11,J128)*POWER(Upgrades!$P$12,K128)*60</f>
        <v>150</v>
      </c>
      <c r="AC128" s="27" t="n">
        <f aca="false">(IF(G128=0,0,(Upgrades!$J$8+G128*Upgrades!$K$8)*POWER(Upgrades!$L$8,G128)))*(IF(Upgrades!$T$6="Stellar Coupling",POWER(Upgrades!$U$6,E128),1)*IF(Upgrades!$T$7="Stellar Coupling",POWER(Upgrades!$U$7,F128),1)*IF(Upgrades!$T$9="Stellar Coupling",POWER(Upgrades!$U$9,H128),1)*IF(Upgrades!$T$10="Stellar Coupling",POWER(Upgrades!$U$10,I128),1)*IF(Upgrades!$T$11="Stellar Coupling",POWER(Upgrades!$U$11,J128),1)*IF(Upgrades!$T$12="Stellar Coupling",POWER(Upgrades!$U$12,K128),1))*POWER(Upgrades!$Q$6,E128)*POWER(Upgrades!$Q$7,F128)*POWER(Upgrades!$Q$8,G128)*POWER(Upgrades!$Q$9,H128)*POWER(Upgrades!$Q$10,I128)*POWER(Upgrades!$Q$11,J128)*POWER(Upgrades!$Q$12,K128)*Parameters!$B$10*Parameters!$B$11</f>
        <v>441</v>
      </c>
      <c r="AD128" s="27" t="n">
        <f aca="false">(IF(H128=0,0,(Upgrades!$G$9+H128*Upgrades!$H$9)*POWER(Upgrades!$I$9,H128)))*(IF(Upgrades!$T$6="Magnetosphere",POWER(Upgrades!$U$6,E128),1)*IF(Upgrades!$T$7="Magnetosphere",POWER(Upgrades!$U$7,F128),1)*IF(Upgrades!$T$8="Magnetosphere",POWER(Upgrades!$U$8,G128),1)*IF(Upgrades!$T$10="Magnetosphere",POWER(Upgrades!$U$10,I128),1)*IF(Upgrades!$T$11="Magnetosphere",POWER(Upgrades!$U$11,J128),1)*IF(Upgrades!$T$12="Magnetosphere",POWER(Upgrades!$U$12,K128),1))*POWER(Upgrades!$P$6,E128)*POWER(Upgrades!$P$7,F128)*POWER(Upgrades!$P$8,G128)*POWER(Upgrades!$P$9,H128)*POWER(Upgrades!$P$10,I128)*POWER(Upgrades!$P$11,J128)*POWER(Upgrades!$P$12,K128)*60</f>
        <v>375</v>
      </c>
      <c r="AE128" s="27" t="n">
        <f aca="false">(IF(K128=0,0,(Upgrades!$G$12+K128*Upgrades!$H$12)*POWER(Upgrades!$I$12,K128)))*(IF(Upgrades!$T$6="First Photons",POWER(Upgrades!$U$6,E128),1)*IF(Upgrades!$T$7="First Photons",POWER(Upgrades!$U$7,F128),1)*IF(Upgrades!$T$8="First Photons",POWER(Upgrades!$U$8,G128),1)*IF(Upgrades!$T$9="First Photons",POWER(Upgrades!$U$9,H128),1)*IF(Upgrades!$T$10="First Photons",POWER(Upgrades!$U$10,I128),1)*IF(Upgrades!$T$11="First Photons",POWER(Upgrades!$U$11,J128),1))*POWER(Upgrades!$P$6,E128)*POWER(Upgrades!$P$7,F128)*POWER(Upgrades!$P$8,G128)*POWER(Upgrades!$P$9,H128)*POWER(Upgrades!$P$10,I128)*POWER(Upgrades!$P$11,J128)*POWER(Upgrades!$P$12,K128)*60</f>
        <v>75</v>
      </c>
      <c r="AF128" s="27" t="n">
        <f aca="false">Parameters!$B$9*POWER(Upgrades!$Q$6,E128)*POWER(Upgrades!$Q$7,F128)*POWER(Upgrades!$Q$8,G128)*POWER(Upgrades!$Q$9,H128)*POWER(Upgrades!$Q$10,I128)*POWER(Upgrades!$Q$11,J128)*POWER(Upgrades!$Q$12,K128)*(Parameters!$B$10*Parameters!$B$11+O128*60)</f>
        <v>120</v>
      </c>
      <c r="AG128" s="21" t="n">
        <f aca="false">IF(E128&gt;=Upgrades!$E$6,"",Upgrades!$C$6*POWER(Upgrades!$D$6,E128))</f>
        <v>37.4517507383159</v>
      </c>
      <c r="AH128" s="21" t="n">
        <f aca="false">IF(F128&gt;=Upgrades!$E$7,"",Upgrades!$C$7*POWER(Upgrades!$D$7,F128))</f>
        <v>80.9111547141581</v>
      </c>
      <c r="AI128" s="21" t="n">
        <f aca="false">IF(G128&gt;=Upgrades!$E$8,"",Upgrades!$C$8*POWER(Upgrades!$D$8,G128))</f>
        <v>231.9097088</v>
      </c>
      <c r="AJ128" s="21" t="str">
        <f aca="false">IF(H128&gt;=Upgrades!$E$9,"",Upgrades!$C$9*POWER(Upgrades!$D$9,H128))</f>
        <v/>
      </c>
      <c r="AK128" s="21" t="str">
        <f aca="false">IF(I128&gt;=Upgrades!$E$10,"",Upgrades!$C$10*POWER(Upgrades!$D$10,I128))</f>
        <v/>
      </c>
      <c r="AL128" s="21" t="str">
        <f aca="false">IF(J128&gt;=Upgrades!$E$11,"",Upgrades!$C$11*POWER(Upgrades!$D$11,J128))</f>
        <v/>
      </c>
      <c r="AM128" s="21" t="str">
        <f aca="false">IF(K128&gt;=Upgrades!$E$12,"",Upgrades!$C$12*POWER(Upgrades!$D$12,K128))</f>
        <v/>
      </c>
      <c r="AN128" s="26" t="str">
        <f aca="false">IF(AND(D128&gt;=Parameters!$B$18,(H128&gt;=Upgrades!$E$9)*(K128&gt;=Upgrades!$E$12)=1,L128=0),1,"")</f>
        <v/>
      </c>
      <c r="AO128" s="26" t="str">
        <f aca="false">IF(AND(D128&gt;=Parameters!$B$18,L128=0),1,"")</f>
        <v/>
      </c>
      <c r="AP128" s="21" t="n">
        <f aca="false">MIN(IF(ISNUMBER(AK128),AK128,9000000000000000),IF(ISNUMBER(AL128),AL128,9000000000000000),IF(ISNUMBER(AM128),AM128,9000000000000000))</f>
        <v>9000000000000000</v>
      </c>
      <c r="AQ128" s="21" t="n">
        <f aca="false">MIN(IF(ISNUMBER(AG128),AG128,9000000000000000),IF(ISNUMBER(AH128),AH128,9000000000000000),IF(ISNUMBER(AI128),AI128,9000000000000000),IF(ISNUMBER(AJ128),AJ128,9000000000000000))</f>
        <v>37.4517507383159</v>
      </c>
      <c r="AR128" s="32" t="b">
        <f aca="false">IF(AW128&gt;Parameters!$B$21*(MAX(IF(AND(NOT(AND(AO128=1,AN128&lt;&gt;1)),ISNUMBER(AG128),AG128&lt;=T128),AS128,0),IF(AND(NOT(AND(AO128=1,AN128&lt;&gt;1)),ISNUMBER(AH128),AH128&lt;=T128),AT128,0),IF(AND(NOT(AND(AO128=1,AN128&lt;&gt;1)),ISNUMBER(AI128),AI128&lt;=T128),AU128,0),IF(AND(ISNUMBER(AJ128),AJ128&lt;=T128),AV128,0))),TRUE(),FALSE())</f>
        <v>1</v>
      </c>
      <c r="AS128" s="33" t="n">
        <f aca="false">IFERROR(Upgrades!$H$6*(POWER(Upgrades!$P$6,E128)*POWER(Upgrades!$P$7,F128)*POWER(Upgrades!$P$8,G128)*POWER(Upgrades!$P$9,H128)*POWER(Upgrades!$P$10,I128)*POWER(Upgrades!$P$11,J128)*POWER(Upgrades!$P$12,K128))*(IF(Upgrades!$T$7="Solar Wind",POWER(Upgrades!$U$7,F128),1)*IF(Upgrades!$T$8="Solar Wind",POWER(Upgrades!$U$8,G128),1)*IF(Upgrades!$T$9="Solar Wind",POWER(Upgrades!$U$9,H128),1)*IF(Upgrades!$T$10="Solar Wind",POWER(Upgrades!$U$10,I128),1)*IF(Upgrades!$T$11="Solar Wind",POWER(Upgrades!$U$11,J128),1)*IF(Upgrades!$T$12="Solar Wind",POWER(Upgrades!$U$12,K128),1))/AG128,0)</f>
        <v>0.0026701021455238</v>
      </c>
      <c r="AT128" s="33" t="n">
        <f aca="false">IFERROR(Upgrades!$H$7*(POWER(Upgrades!$P$6,E128)*POWER(Upgrades!$P$7,F128)*POWER(Upgrades!$P$8,G128)*POWER(Upgrades!$P$9,H128)*POWER(Upgrades!$P$10,I128)*POWER(Upgrades!$P$11,J128)*POWER(Upgrades!$P$12,K128))*(IF(Upgrades!$T$6="Asteroid Belt",POWER(Upgrades!$U$6,E128),1)*IF(Upgrades!$T$8="Asteroid Belt",POWER(Upgrades!$U$8,G128),1)*IF(Upgrades!$T$9="Asteroid Belt",POWER(Upgrades!$U$9,H128),1)*IF(Upgrades!$T$10="Asteroid Belt",POWER(Upgrades!$U$10,I128),1)*IF(Upgrades!$T$11="Asteroid Belt",POWER(Upgrades!$U$11,J128),1)*IF(Upgrades!$T$12="Asteroid Belt",POWER(Upgrades!$U$12,K128),1))/AH128,0)</f>
        <v>0.00308980882652332</v>
      </c>
      <c r="AU128" s="33" t="n">
        <f aca="false">IFERROR(Upgrades!$K$8*(POWER(Upgrades!$Q$6,E128)*POWER(Upgrades!$Q$7,F128)*POWER(Upgrades!$Q$8,G128)*POWER(Upgrades!$Q$9,H128)*POWER(Upgrades!$Q$10,I128)*POWER(Upgrades!$Q$11,J128)*POWER(Upgrades!$Q$12,K128))*(IF(Upgrades!$T$6="Stellar Coupling",POWER(Upgrades!$U$6,E128),1)*IF(Upgrades!$T$7="Stellar Coupling",POWER(Upgrades!$U$7,F128),1)*IF(Upgrades!$T$9="Stellar Coupling",POWER(Upgrades!$U$9,H128),1)*IF(Upgrades!$T$10="Stellar Coupling",POWER(Upgrades!$U$10,I128),1)*IF(Upgrades!$T$11="Stellar Coupling",POWER(Upgrades!$U$11,J128),1)*IF(Upgrades!$T$12="Stellar Coupling",POWER(Upgrades!$U$12,K128),1))*Parameters!$B$10*Parameters!$B$11/60/AI128,0)</f>
        <v>0.00452762415783776</v>
      </c>
      <c r="AV128" s="33" t="n">
        <f aca="false">IFERROR(Upgrades!$H$9*(POWER(Upgrades!$P$6,E128)*POWER(Upgrades!$P$7,F128)*POWER(Upgrades!$P$8,G128)*POWER(Upgrades!$P$9,H128)*POWER(Upgrades!$P$10,I128)*POWER(Upgrades!$P$11,J128)*POWER(Upgrades!$P$12,K128))*(IF(Upgrades!$T$6="Magnetosphere",POWER(Upgrades!$U$6,E128),1)*IF(Upgrades!$T$7="Magnetosphere",POWER(Upgrades!$U$7,F128),1)*IF(Upgrades!$T$8="Magnetosphere",POWER(Upgrades!$U$8,G128),1)*IF(Upgrades!$T$10="Magnetosphere",POWER(Upgrades!$U$10,I128),1)*IF(Upgrades!$T$11="Magnetosphere",POWER(Upgrades!$U$11,J128),1)*IF(Upgrades!$T$12="Magnetosphere",POWER(Upgrades!$U$12,K128),1))/AJ128,0)</f>
        <v>0</v>
      </c>
      <c r="AW128" s="33" t="n">
        <f aca="false">MAX(IF(I128&gt;0,0,IFERROR(0.25*N128/Upgrades!$C$10,0)),IF(J128&gt;0,0,IFERROR(0.5*((IF(G128=0,0,(Upgrades!$J$8+G128*Upgrades!$K$8)*POWER(Upgrades!$L$8,G128)))*(IF(Upgrades!$T$6="Stellar Coupling",POWER(Upgrades!$U$6,E128),1)*IF(Upgrades!$T$7="Stellar Coupling",POWER(Upgrades!$U$7,F128),1)*IF(Upgrades!$T$9="Stellar Coupling",POWER(Upgrades!$U$9,H128),1)*IF(Upgrades!$T$10="Stellar Coupling",POWER(Upgrades!$U$10,I128),1)*IF(Upgrades!$T$11="Stellar Coupling",POWER(Upgrades!$U$11,J128),1)*IF(Upgrades!$T$12="Stellar Coupling",POWER(Upgrades!$U$12,K128),1))*(POWER(Upgrades!$Q$6,E128)*POWER(Upgrades!$Q$7,F128)*POWER(Upgrades!$Q$8,G128)*POWER(Upgrades!$Q$9,H128)*POWER(Upgrades!$Q$10,I128)*POWER(Upgrades!$Q$11,J128)*POWER(Upgrades!$Q$12,K128))*Parameters!$B$10*Parameters!$B$11/60)/Upgrades!$C$11,0)),IF(K128&gt;0,0,IFERROR((1*(POWER(Upgrades!$P$6,E128)*POWER(Upgrades!$P$7,F128)*POWER(Upgrades!$P$8,G128)*POWER(Upgrades!$P$9,H128)*POWER(Upgrades!$P$10,I128)*POWER(Upgrades!$P$11,J128)*POWER(Upgrades!$P$12,K128))+0.2*M128*Parameters!$B$10*Parameters!$B$11/60)/Upgrades!$C$12,0)),IF(AND(ISNUMBER(AG128),AG128&gt;T128),AS128,0),IF(AND(ISNUMBER(AH128),AH128&gt;T128),AT128,0),IF(AND(ISNUMBER(AI128),AI128&gt;T128),AU128,0),IF(AND(ISNUMBER(AJ128),AJ128&gt;T128),AV128,0))</f>
        <v>0.00452762415783776</v>
      </c>
      <c r="AX128" s="29" t="str">
        <f aca="false">IF(AN128=1,"transition",IF(MIN(IF(AND(I128=0,ISNUMBER(AK128),AK128&lt;=T128),AK128,9000000000000000),IF(AND(J128=0,ISNUMBER(AL128),AL128&lt;=T128),AL128,9000000000000000),IF(AND(K128=0,ISNUMBER(AM128),AM128&lt;=T128),AM128,9000000000000000))&lt;9000000000000000,IF(AND(AND(I128=0,ISNUMBER(AK128),AK128&lt;=T128),AK128=MIN(IF(AND(I128=0,ISNUMBER(AK128),AK128&lt;=T128),AK128,9000000000000000),IF(AND(J128=0,ISNUMBER(AL128),AL128&lt;=T128),AL128,9000000000000000),IF(AND(K128=0,ISNUMBER(AM128),AM128&lt;=T128),AM128,9000000000000000))),"OR",IF(AND(AND(J128=0,ISNUMBER(AL128),AL128&lt;=T128),AL128=MIN(IF(AND(I128=0,ISNUMBER(AK128),AK128&lt;=T128),AK128,9000000000000000),IF(AND(J128=0,ISNUMBER(AL128),AL128&lt;=T128),AL128,9000000000000000),IF(AND(K128=0,ISNUMBER(AM128),AM128&lt;=T128),AM128,9000000000000000))),"HP","FP")),IF(AR128=TRUE(),"",IF(MAX(IF(AND(NOT(AND(AO128=1,AN128&lt;&gt;1)),ISNUMBER(AG128),AG128&lt;=T128),AS128,0),IF(AND(NOT(AND(AO128=1,AN128&lt;&gt;1)),ISNUMBER(AH128),AH128&lt;=T128),AT128,0),IF(AND(NOT(AND(AO128=1,AN128&lt;&gt;1)),ISNUMBER(AI128),AI128&lt;=T128),AU128,0),IF(AND(ISNUMBER(AJ128),AJ128&lt;=T128),AV128,0))&lt;=0,"",IF(AND(IF(AND(NOT(AND(AO128=1,AN128&lt;&gt;1)),ISNUMBER(AG128),AG128&lt;=T128),AS128,0)&gt;0,IF(AND(NOT(AND(AO128=1,AN128&lt;&gt;1)),ISNUMBER(AG128),AG128&lt;=T128),AS128,0)=MAX(IF(AND(NOT(AND(AO128=1,AN128&lt;&gt;1)),ISNUMBER(AG128),AG128&lt;=T128),AS128,0),IF(AND(NOT(AND(AO128=1,AN128&lt;&gt;1)),ISNUMBER(AH128),AH128&lt;=T128),AT128,0),IF(AND(NOT(AND(AO128=1,AN128&lt;&gt;1)),ISNUMBER(AI128),AI128&lt;=T128),AU128,0),IF(AND(ISNUMBER(AJ128),AJ128&lt;=T128),AV128,0))),"SW",IF(AND(IF(AND(NOT(AND(AO128=1,AN128&lt;&gt;1)),ISNUMBER(AH128),AH128&lt;=T128),AT128,0)&gt;0,IF(AND(NOT(AND(AO128=1,AN128&lt;&gt;1)),ISNUMBER(AH128),AH128&lt;=T128),AT128,0)=MAX(IF(AND(NOT(AND(AO128=1,AN128&lt;&gt;1)),ISNUMBER(AG128),AG128&lt;=T128),AS128,0),IF(AND(NOT(AND(AO128=1,AN128&lt;&gt;1)),ISNUMBER(AH128),AH128&lt;=T128),AT128,0),IF(AND(NOT(AND(AO128=1,AN128&lt;&gt;1)),ISNUMBER(AI128),AI128&lt;=T128),AU128,0),IF(AND(ISNUMBER(AJ128),AJ128&lt;=T128),AV128,0))),"AB",IF(AND(IF(AND(NOT(AND(AO128=1,AN128&lt;&gt;1)),ISNUMBER(AI128),AI128&lt;=T128),AU128,0)&gt;0,IF(AND(NOT(AND(AO128=1,AN128&lt;&gt;1)),ISNUMBER(AI128),AI128&lt;=T128),AU128,0)=MAX(IF(AND(NOT(AND(AO128=1,AN128&lt;&gt;1)),ISNUMBER(AG128),AG128&lt;=T128),AS128,0),IF(AND(NOT(AND(AO128=1,AN128&lt;&gt;1)),ISNUMBER(AH128),AH128&lt;=T128),AT128,0),IF(AND(NOT(AND(AO128=1,AN128&lt;&gt;1)),ISNUMBER(AI128),AI128&lt;=T128),AU128,0),IF(AND(ISNUMBER(AJ128),AJ128&lt;=T128),AV128,0))),"SC","Mag")))))))</f>
        <v/>
      </c>
    </row>
    <row r="129" customFormat="false" ht="15" hidden="false" customHeight="false" outlineLevel="0" collapsed="false">
      <c r="A129" s="26" t="n">
        <v>124</v>
      </c>
      <c r="B129" s="27" t="n">
        <f aca="false">A129*10/60</f>
        <v>20.6666666666667</v>
      </c>
      <c r="C129" s="21" t="n">
        <f aca="false">X128</f>
        <v>18.6730249835055</v>
      </c>
      <c r="D129" s="27" t="n">
        <f aca="false">D128+W128</f>
        <v>0</v>
      </c>
      <c r="E129" s="26" t="n">
        <f aca="false">E128+IF(U128="SW",1,0)</f>
        <v>12</v>
      </c>
      <c r="F129" s="26" t="n">
        <f aca="false">F128+IF(U128="AB",1,0)</f>
        <v>10</v>
      </c>
      <c r="G129" s="26" t="n">
        <f aca="false">G128+IF(U128="SC",1,0)</f>
        <v>7</v>
      </c>
      <c r="H129" s="26" t="n">
        <f aca="false">H128+IF(U128="Mag",1,0)</f>
        <v>5</v>
      </c>
      <c r="I129" s="26" t="n">
        <f aca="false">MAX(I128,IF(U128="OR",1,0))</f>
        <v>1</v>
      </c>
      <c r="J129" s="26" t="n">
        <f aca="false">MAX(J128,IF(U128="HP",1,0))</f>
        <v>1</v>
      </c>
      <c r="K129" s="26" t="n">
        <f aca="false">MAX(K128,IF(U128="FP",1,0))</f>
        <v>1</v>
      </c>
      <c r="L129" s="26" t="n">
        <f aca="false">MAX(L128,IF(U128="transition",1,0))</f>
        <v>1</v>
      </c>
      <c r="M129" s="28" t="n">
        <f aca="false">(Parameters!$B$9+(IF(E129=0,0,(Upgrades!$J$6+E129*Upgrades!$K$6)*POWER(Upgrades!$L$6,E129)))*(IF(Upgrades!$T$7="Solar Wind",POWER(Upgrades!$U$7,F129),1)*IF(Upgrades!$T$8="Solar Wind",POWER(Upgrades!$U$8,G129),1)*IF(Upgrades!$T$9="Solar Wind",POWER(Upgrades!$U$9,H129),1)*IF(Upgrades!$T$10="Solar Wind",POWER(Upgrades!$U$10,I129),1)*IF(Upgrades!$T$11="Solar Wind",POWER(Upgrades!$U$11,J129),1)*IF(Upgrades!$T$12="Solar Wind",POWER(Upgrades!$U$12,K129),1))+(IF(F129=0,0,(Upgrades!$J$7+F129*Upgrades!$K$7)*POWER(Upgrades!$L$7,F129)))*(IF(Upgrades!$T$6="Asteroid Belt",POWER(Upgrades!$U$6,E129),1)*IF(Upgrades!$T$8="Asteroid Belt",POWER(Upgrades!$U$8,G129),1)*IF(Upgrades!$T$9="Asteroid Belt",POWER(Upgrades!$U$9,H129),1)*IF(Upgrades!$T$10="Asteroid Belt",POWER(Upgrades!$U$10,I129),1)*IF(Upgrades!$T$11="Asteroid Belt",POWER(Upgrades!$U$11,J129),1)*IF(Upgrades!$T$12="Asteroid Belt",POWER(Upgrades!$U$12,K129),1))+(IF(G129=0,0,(Upgrades!$J$8+G129*Upgrades!$K$8)*POWER(Upgrades!$L$8,G129)))*(IF(Upgrades!$T$6="Stellar Coupling",POWER(Upgrades!$U$6,E129),1)*IF(Upgrades!$T$7="Stellar Coupling",POWER(Upgrades!$U$7,F129),1)*IF(Upgrades!$T$9="Stellar Coupling",POWER(Upgrades!$U$9,H129),1)*IF(Upgrades!$T$10="Stellar Coupling",POWER(Upgrades!$U$10,I129),1)*IF(Upgrades!$T$11="Stellar Coupling",POWER(Upgrades!$U$11,J129),1)*IF(Upgrades!$T$12="Stellar Coupling",POWER(Upgrades!$U$12,K129),1))+(IF(H129=0,0,(Upgrades!$J$9+H129*Upgrades!$K$9)*POWER(Upgrades!$L$9,H129)))*(IF(Upgrades!$T$6="Magnetosphere",POWER(Upgrades!$U$6,E129),1)*IF(Upgrades!$T$7="Magnetosphere",POWER(Upgrades!$U$7,F129),1)*IF(Upgrades!$T$8="Magnetosphere",POWER(Upgrades!$U$8,G129),1)*IF(Upgrades!$T$10="Magnetosphere",POWER(Upgrades!$U$10,I129),1)*IF(Upgrades!$T$11="Magnetosphere",POWER(Upgrades!$U$11,J129),1)*IF(Upgrades!$T$12="Magnetosphere",POWER(Upgrades!$U$12,K129),1))+(IF(I129=0,0,(Upgrades!$J$10+I129*Upgrades!$K$10)*POWER(Upgrades!$L$10,I129)))*(IF(Upgrades!$T$6="Orbital Resonance",POWER(Upgrades!$U$6,E129),1)*IF(Upgrades!$T$7="Orbital Resonance",POWER(Upgrades!$U$7,F129),1)*IF(Upgrades!$T$8="Orbital Resonance",POWER(Upgrades!$U$8,G129),1)*IF(Upgrades!$T$9="Orbital Resonance",POWER(Upgrades!$U$9,H129),1)*IF(Upgrades!$T$11="Orbital Resonance",POWER(Upgrades!$U$11,J129),1)*IF(Upgrades!$T$12="Orbital Resonance",POWER(Upgrades!$U$12,K129),1))+(IF(J129=0,0,(Upgrades!$J$11+J129*Upgrades!$K$11)*POWER(Upgrades!$L$11,J129)))*(IF(Upgrades!$T$6="Heliopause",POWER(Upgrades!$U$6,E129),1)*IF(Upgrades!$T$7="Heliopause",POWER(Upgrades!$U$7,F129),1)*IF(Upgrades!$T$8="Heliopause",POWER(Upgrades!$U$8,G129),1)*IF(Upgrades!$T$9="Heliopause",POWER(Upgrades!$U$9,H129),1)*IF(Upgrades!$T$10="Heliopause",POWER(Upgrades!$U$10,I129),1)*IF(Upgrades!$T$12="Heliopause",POWER(Upgrades!$U$12,K129),1))+(IF(K129=0,0,(Upgrades!$J$12+K129*Upgrades!$K$12)*POWER(Upgrades!$L$12,K129)))*(IF(Upgrades!$T$6="First Photons",POWER(Upgrades!$U$6,E129),1)*IF(Upgrades!$T$7="First Photons",POWER(Upgrades!$U$7,F129),1)*IF(Upgrades!$T$8="First Photons",POWER(Upgrades!$U$8,G129),1)*IF(Upgrades!$T$9="First Photons",POWER(Upgrades!$U$9,H129),1)*IF(Upgrades!$T$10="First Photons",POWER(Upgrades!$U$10,I129),1)*IF(Upgrades!$T$11="First Photons",POWER(Upgrades!$U$11,J129),1)))*POWER(Upgrades!$Q$6,E129)*POWER(Upgrades!$Q$7,F129)*POWER(Upgrades!$Q$8,G129)*POWER(Upgrades!$Q$9,H129)*POWER(Upgrades!$Q$10,I129)*POWER(Upgrades!$Q$11,J129)*POWER(Upgrades!$Q$12,K129)</f>
        <v>5.61</v>
      </c>
      <c r="N129" s="28" t="n">
        <f aca="false">((IF(E129=0,0,(Upgrades!$G$6+E129*Upgrades!$H$6)*POWER(Upgrades!$I$6,E129)))*(IF(Upgrades!$T$7="Solar Wind",POWER(Upgrades!$U$7,F129),1)*IF(Upgrades!$T$8="Solar Wind",POWER(Upgrades!$U$8,G129),1)*IF(Upgrades!$T$9="Solar Wind",POWER(Upgrades!$U$9,H129),1)*IF(Upgrades!$T$10="Solar Wind",POWER(Upgrades!$U$10,I129),1)*IF(Upgrades!$T$11="Solar Wind",POWER(Upgrades!$U$11,J129),1)*IF(Upgrades!$T$12="Solar Wind",POWER(Upgrades!$U$12,K129),1))+(IF(F129=0,0,(Upgrades!$G$7+F129*Upgrades!$H$7)*POWER(Upgrades!$I$7,F129)))*(IF(Upgrades!$T$6="Asteroid Belt",POWER(Upgrades!$U$6,E129),1)*IF(Upgrades!$T$8="Asteroid Belt",POWER(Upgrades!$U$8,G129),1)*IF(Upgrades!$T$9="Asteroid Belt",POWER(Upgrades!$U$9,H129),1)*IF(Upgrades!$T$10="Asteroid Belt",POWER(Upgrades!$U$10,I129),1)*IF(Upgrades!$T$11="Asteroid Belt",POWER(Upgrades!$U$11,J129),1)*IF(Upgrades!$T$12="Asteroid Belt",POWER(Upgrades!$U$12,K129),1))+(IF(G129=0,0,(Upgrades!$G$8+G129*Upgrades!$H$8)*POWER(Upgrades!$I$8,G129)))*(IF(Upgrades!$T$6="Stellar Coupling",POWER(Upgrades!$U$6,E129),1)*IF(Upgrades!$T$7="Stellar Coupling",POWER(Upgrades!$U$7,F129),1)*IF(Upgrades!$T$9="Stellar Coupling",POWER(Upgrades!$U$9,H129),1)*IF(Upgrades!$T$10="Stellar Coupling",POWER(Upgrades!$U$10,I129),1)*IF(Upgrades!$T$11="Stellar Coupling",POWER(Upgrades!$U$11,J129),1)*IF(Upgrades!$T$12="Stellar Coupling",POWER(Upgrades!$U$12,K129),1))+(IF(H129=0,0,(Upgrades!$G$9+H129*Upgrades!$H$9)*POWER(Upgrades!$I$9,H129)))*(IF(Upgrades!$T$6="Magnetosphere",POWER(Upgrades!$U$6,E129),1)*IF(Upgrades!$T$7="Magnetosphere",POWER(Upgrades!$U$7,F129),1)*IF(Upgrades!$T$8="Magnetosphere",POWER(Upgrades!$U$8,G129),1)*IF(Upgrades!$T$10="Magnetosphere",POWER(Upgrades!$U$10,I129),1)*IF(Upgrades!$T$11="Magnetosphere",POWER(Upgrades!$U$11,J129),1)*IF(Upgrades!$T$12="Magnetosphere",POWER(Upgrades!$U$12,K129),1))+(IF(I129=0,0,(Upgrades!$G$10+I129*Upgrades!$H$10)*POWER(Upgrades!$I$10,I129)))*(IF(Upgrades!$T$6="Orbital Resonance",POWER(Upgrades!$U$6,E129),1)*IF(Upgrades!$T$7="Orbital Resonance",POWER(Upgrades!$U$7,F129),1)*IF(Upgrades!$T$8="Orbital Resonance",POWER(Upgrades!$U$8,G129),1)*IF(Upgrades!$T$9="Orbital Resonance",POWER(Upgrades!$U$9,H129),1)*IF(Upgrades!$T$11="Orbital Resonance",POWER(Upgrades!$U$11,J129),1)*IF(Upgrades!$T$12="Orbital Resonance",POWER(Upgrades!$U$12,K129),1))+(IF(J129=0,0,(Upgrades!$G$11+J129*Upgrades!$H$11)*POWER(Upgrades!$I$11,J129)))*(IF(Upgrades!$T$6="Heliopause",POWER(Upgrades!$U$6,E129),1)*IF(Upgrades!$T$7="Heliopause",POWER(Upgrades!$U$7,F129),1)*IF(Upgrades!$T$8="Heliopause",POWER(Upgrades!$U$8,G129),1)*IF(Upgrades!$T$9="Heliopause",POWER(Upgrades!$U$9,H129),1)*IF(Upgrades!$T$10="Heliopause",POWER(Upgrades!$U$10,I129),1)*IF(Upgrades!$T$12="Heliopause",POWER(Upgrades!$U$12,K129),1))+(IF(K129=0,0,(Upgrades!$G$12+K129*Upgrades!$H$12)*POWER(Upgrades!$I$12,K129)))*(IF(Upgrades!$T$6="First Photons",POWER(Upgrades!$U$6,E129),1)*IF(Upgrades!$T$7="First Photons",POWER(Upgrades!$U$7,F129),1)*IF(Upgrades!$T$8="First Photons",POWER(Upgrades!$U$8,G129),1)*IF(Upgrades!$T$9="First Photons",POWER(Upgrades!$U$9,H129),1)*IF(Upgrades!$T$10="First Photons",POWER(Upgrades!$U$10,I129),1)*IF(Upgrades!$T$11="First Photons",POWER(Upgrades!$U$11,J129),1)))*POWER(Upgrades!$P$6,E129)*POWER(Upgrades!$P$7,F129)*POWER(Upgrades!$P$8,G129)*POWER(Upgrades!$P$9,H129)*POWER(Upgrades!$P$10,I129)*POWER(Upgrades!$P$11,J129)*POWER(Upgrades!$P$12,K129)</f>
        <v>11.2</v>
      </c>
      <c r="O129" s="28" t="n">
        <f aca="false">((IF(E129=0,0,(Upgrades!$M$6+E129*Upgrades!$N$6)*POWER(Upgrades!$O$6,E129)))*(IF(Upgrades!$T$7="Solar Wind",POWER(Upgrades!$U$7,F129),1)*IF(Upgrades!$T$8="Solar Wind",POWER(Upgrades!$U$8,G129),1)*IF(Upgrades!$T$9="Solar Wind",POWER(Upgrades!$U$9,H129),1)*IF(Upgrades!$T$10="Solar Wind",POWER(Upgrades!$U$10,I129),1)*IF(Upgrades!$T$11="Solar Wind",POWER(Upgrades!$U$11,J129),1)*IF(Upgrades!$T$12="Solar Wind",POWER(Upgrades!$U$12,K129),1))+(IF(F129=0,0,(Upgrades!$M$7+F129*Upgrades!$N$7)*POWER(Upgrades!$O$7,F129)))*(IF(Upgrades!$T$6="Asteroid Belt",POWER(Upgrades!$U$6,E129),1)*IF(Upgrades!$T$8="Asteroid Belt",POWER(Upgrades!$U$8,G129),1)*IF(Upgrades!$T$9="Asteroid Belt",POWER(Upgrades!$U$9,H129),1)*IF(Upgrades!$T$10="Asteroid Belt",POWER(Upgrades!$U$10,I129),1)*IF(Upgrades!$T$11="Asteroid Belt",POWER(Upgrades!$U$11,J129),1)*IF(Upgrades!$T$12="Asteroid Belt",POWER(Upgrades!$U$12,K129),1))+(IF(G129=0,0,(Upgrades!$M$8+G129*Upgrades!$N$8)*POWER(Upgrades!$O$8,G129)))*(IF(Upgrades!$T$6="Stellar Coupling",POWER(Upgrades!$U$6,E129),1)*IF(Upgrades!$T$7="Stellar Coupling",POWER(Upgrades!$U$7,F129),1)*IF(Upgrades!$T$9="Stellar Coupling",POWER(Upgrades!$U$9,H129),1)*IF(Upgrades!$T$10="Stellar Coupling",POWER(Upgrades!$U$10,I129),1)*IF(Upgrades!$T$11="Stellar Coupling",POWER(Upgrades!$U$11,J129),1)*IF(Upgrades!$T$12="Stellar Coupling",POWER(Upgrades!$U$12,K129),1))+(IF(H129=0,0,(Upgrades!$M$9+H129*Upgrades!$N$9)*POWER(Upgrades!$O$9,H129)))*(IF(Upgrades!$T$6="Magnetosphere",POWER(Upgrades!$U$6,E129),1)*IF(Upgrades!$T$7="Magnetosphere",POWER(Upgrades!$U$7,F129),1)*IF(Upgrades!$T$8="Magnetosphere",POWER(Upgrades!$U$8,G129),1)*IF(Upgrades!$T$10="Magnetosphere",POWER(Upgrades!$U$10,I129),1)*IF(Upgrades!$T$11="Magnetosphere",POWER(Upgrades!$U$11,J129),1)*IF(Upgrades!$T$12="Magnetosphere",POWER(Upgrades!$U$12,K129),1))+(IF(I129=0,0,(Upgrades!$M$10+I129*Upgrades!$N$10)*POWER(Upgrades!$O$10,I129)))*(IF(Upgrades!$T$6="Orbital Resonance",POWER(Upgrades!$U$6,E129),1)*IF(Upgrades!$T$7="Orbital Resonance",POWER(Upgrades!$U$7,F129),1)*IF(Upgrades!$T$8="Orbital Resonance",POWER(Upgrades!$U$8,G129),1)*IF(Upgrades!$T$9="Orbital Resonance",POWER(Upgrades!$U$9,H129),1)*IF(Upgrades!$T$11="Orbital Resonance",POWER(Upgrades!$U$11,J129),1)*IF(Upgrades!$T$12="Orbital Resonance",POWER(Upgrades!$U$12,K129),1))+(IF(J129=0,0,(Upgrades!$M$11+J129*Upgrades!$N$11)*POWER(Upgrades!$O$11,J129)))*(IF(Upgrades!$T$6="Heliopause",POWER(Upgrades!$U$6,E129),1)*IF(Upgrades!$T$7="Heliopause",POWER(Upgrades!$U$7,F129),1)*IF(Upgrades!$T$8="Heliopause",POWER(Upgrades!$U$8,G129),1)*IF(Upgrades!$T$9="Heliopause",POWER(Upgrades!$U$9,H129),1)*IF(Upgrades!$T$10="Heliopause",POWER(Upgrades!$U$10,I129),1)*IF(Upgrades!$T$12="Heliopause",POWER(Upgrades!$U$12,K129),1))+(IF(K129=0,0,(Upgrades!$M$12+K129*Upgrades!$N$12)*POWER(Upgrades!$O$12,K129)))*(IF(Upgrades!$T$6="First Photons",POWER(Upgrades!$U$6,E129),1)*IF(Upgrades!$T$7="First Photons",POWER(Upgrades!$U$7,F129),1)*IF(Upgrades!$T$8="First Photons",POWER(Upgrades!$U$8,G129),1)*IF(Upgrades!$T$9="First Photons",POWER(Upgrades!$U$9,H129),1)*IF(Upgrades!$T$10="First Photons",POWER(Upgrades!$U$10,I129),1)*IF(Upgrades!$T$11="First Photons",POWER(Upgrades!$U$11,J129),1)))*POWER(Upgrades!$R$6,E129)*POWER(Upgrades!$R$7,F129)*POWER(Upgrades!$R$8,G129)*POWER(Upgrades!$R$9,H129)*POWER(Upgrades!$R$10,I129)*POWER(Upgrades!$R$11,J129)*POWER(Upgrades!$R$12,K129)</f>
        <v>0</v>
      </c>
      <c r="P129" s="27" t="n">
        <f aca="false">IF(L129=1,0,M129*Parameters!$B$10/60*Parameters!$B$11*10)</f>
        <v>0</v>
      </c>
      <c r="Q129" s="27" t="n">
        <f aca="false">IF(L129=1,0,O129*M129*10)</f>
        <v>0</v>
      </c>
      <c r="R129" s="27" t="n">
        <f aca="false">IF(L129=1,0,N129*10)</f>
        <v>0</v>
      </c>
      <c r="S129" s="27" t="n">
        <f aca="false">P129+Q129+R129</f>
        <v>0</v>
      </c>
      <c r="T129" s="21" t="n">
        <f aca="false">C129+S129</f>
        <v>18.6730249835055</v>
      </c>
      <c r="U129" s="34" t="str">
        <f aca="false">AX129</f>
        <v/>
      </c>
      <c r="V129" s="21" t="n">
        <f aca="false">IF(U129="",0,IF(U129="transition",0,IF(U129="SW",AG129,IF(U129="AB",AH129,IF(U129="SC",AI129,IF(U129="Mag",AJ129,IF(U129="OR",AK129,IF(U129="HP",AL129,IF(U129="FP",AM129,0)))))))))</f>
        <v>0</v>
      </c>
      <c r="W129" s="27" t="n">
        <f aca="false">IF(U129="OR",Upgrades!$F$10,IF(U129="HP",Upgrades!$F$11,IF(U129="transition",-Parameters!$B$18,0)))</f>
        <v>0</v>
      </c>
      <c r="X129" s="21" t="n">
        <f aca="false">T129-V129</f>
        <v>18.6730249835055</v>
      </c>
      <c r="Y129" s="30" t="n">
        <f aca="false">M129*Parameters!$B$10/60*Parameters!$B$11+O129*M129+N129</f>
        <v>20.55</v>
      </c>
      <c r="Z129" s="35" t="str">
        <f aca="false">IF(U129="transition","→ Tier 2 (Stellar Neighborhood)",IF(U129="FP","First Photons — light begins, system quickens",IF(U129="HP","Heliopause acquired",IF(U129="OR","Orbital Resonance — passive multiplier active",IF(AND(AO129=1,L129=0,AN129&lt;&gt;1),"Cohesion ready (waiting on completionist upgrades)","")))))</f>
        <v/>
      </c>
      <c r="AA129" s="27" t="n">
        <f aca="false">(IF(E129=0,0,(Upgrades!$G$6+E129*Upgrades!$H$6)*POWER(Upgrades!$I$6,E129)))*(IF(Upgrades!$T$7="Solar Wind",POWER(Upgrades!$U$7,F129),1)*IF(Upgrades!$T$8="Solar Wind",POWER(Upgrades!$U$8,G129),1)*IF(Upgrades!$T$9="Solar Wind",POWER(Upgrades!$U$9,H129),1)*IF(Upgrades!$T$10="Solar Wind",POWER(Upgrades!$U$10,I129),1)*IF(Upgrades!$T$11="Solar Wind",POWER(Upgrades!$U$11,J129),1)*IF(Upgrades!$T$12="Solar Wind",POWER(Upgrades!$U$12,K129),1))*POWER(Upgrades!$P$6,E129)*POWER(Upgrades!$P$7,F129)*POWER(Upgrades!$P$8,G129)*POWER(Upgrades!$P$9,H129)*POWER(Upgrades!$P$10,I129)*POWER(Upgrades!$P$11,J129)*POWER(Upgrades!$P$12,K129)*60</f>
        <v>72</v>
      </c>
      <c r="AB129" s="27" t="n">
        <f aca="false">(IF(F129=0,0,(Upgrades!$G$7+F129*Upgrades!$H$7)*POWER(Upgrades!$I$7,F129)))*(IF(Upgrades!$T$6="Asteroid Belt",POWER(Upgrades!$U$6,E129),1)*IF(Upgrades!$T$8="Asteroid Belt",POWER(Upgrades!$U$8,G129),1)*IF(Upgrades!$T$9="Asteroid Belt",POWER(Upgrades!$U$9,H129),1)*IF(Upgrades!$T$10="Asteroid Belt",POWER(Upgrades!$U$10,I129),1)*IF(Upgrades!$T$11="Asteroid Belt",POWER(Upgrades!$U$11,J129),1)*IF(Upgrades!$T$12="Asteroid Belt",POWER(Upgrades!$U$12,K129),1))*POWER(Upgrades!$P$6,E129)*POWER(Upgrades!$P$7,F129)*POWER(Upgrades!$P$8,G129)*POWER(Upgrades!$P$9,H129)*POWER(Upgrades!$P$10,I129)*POWER(Upgrades!$P$11,J129)*POWER(Upgrades!$P$12,K129)*60</f>
        <v>150</v>
      </c>
      <c r="AC129" s="27" t="n">
        <f aca="false">(IF(G129=0,0,(Upgrades!$J$8+G129*Upgrades!$K$8)*POWER(Upgrades!$L$8,G129)))*(IF(Upgrades!$T$6="Stellar Coupling",POWER(Upgrades!$U$6,E129),1)*IF(Upgrades!$T$7="Stellar Coupling",POWER(Upgrades!$U$7,F129),1)*IF(Upgrades!$T$9="Stellar Coupling",POWER(Upgrades!$U$9,H129),1)*IF(Upgrades!$T$10="Stellar Coupling",POWER(Upgrades!$U$10,I129),1)*IF(Upgrades!$T$11="Stellar Coupling",POWER(Upgrades!$U$11,J129),1)*IF(Upgrades!$T$12="Stellar Coupling",POWER(Upgrades!$U$12,K129),1))*POWER(Upgrades!$Q$6,E129)*POWER(Upgrades!$Q$7,F129)*POWER(Upgrades!$Q$8,G129)*POWER(Upgrades!$Q$9,H129)*POWER(Upgrades!$Q$10,I129)*POWER(Upgrades!$Q$11,J129)*POWER(Upgrades!$Q$12,K129)*Parameters!$B$10*Parameters!$B$11</f>
        <v>441</v>
      </c>
      <c r="AD129" s="27" t="n">
        <f aca="false">(IF(H129=0,0,(Upgrades!$G$9+H129*Upgrades!$H$9)*POWER(Upgrades!$I$9,H129)))*(IF(Upgrades!$T$6="Magnetosphere",POWER(Upgrades!$U$6,E129),1)*IF(Upgrades!$T$7="Magnetosphere",POWER(Upgrades!$U$7,F129),1)*IF(Upgrades!$T$8="Magnetosphere",POWER(Upgrades!$U$8,G129),1)*IF(Upgrades!$T$10="Magnetosphere",POWER(Upgrades!$U$10,I129),1)*IF(Upgrades!$T$11="Magnetosphere",POWER(Upgrades!$U$11,J129),1)*IF(Upgrades!$T$12="Magnetosphere",POWER(Upgrades!$U$12,K129),1))*POWER(Upgrades!$P$6,E129)*POWER(Upgrades!$P$7,F129)*POWER(Upgrades!$P$8,G129)*POWER(Upgrades!$P$9,H129)*POWER(Upgrades!$P$10,I129)*POWER(Upgrades!$P$11,J129)*POWER(Upgrades!$P$12,K129)*60</f>
        <v>375</v>
      </c>
      <c r="AE129" s="27" t="n">
        <f aca="false">(IF(K129=0,0,(Upgrades!$G$12+K129*Upgrades!$H$12)*POWER(Upgrades!$I$12,K129)))*(IF(Upgrades!$T$6="First Photons",POWER(Upgrades!$U$6,E129),1)*IF(Upgrades!$T$7="First Photons",POWER(Upgrades!$U$7,F129),1)*IF(Upgrades!$T$8="First Photons",POWER(Upgrades!$U$8,G129),1)*IF(Upgrades!$T$9="First Photons",POWER(Upgrades!$U$9,H129),1)*IF(Upgrades!$T$10="First Photons",POWER(Upgrades!$U$10,I129),1)*IF(Upgrades!$T$11="First Photons",POWER(Upgrades!$U$11,J129),1))*POWER(Upgrades!$P$6,E129)*POWER(Upgrades!$P$7,F129)*POWER(Upgrades!$P$8,G129)*POWER(Upgrades!$P$9,H129)*POWER(Upgrades!$P$10,I129)*POWER(Upgrades!$P$11,J129)*POWER(Upgrades!$P$12,K129)*60</f>
        <v>75</v>
      </c>
      <c r="AF129" s="27" t="n">
        <f aca="false">Parameters!$B$9*POWER(Upgrades!$Q$6,E129)*POWER(Upgrades!$Q$7,F129)*POWER(Upgrades!$Q$8,G129)*POWER(Upgrades!$Q$9,H129)*POWER(Upgrades!$Q$10,I129)*POWER(Upgrades!$Q$11,J129)*POWER(Upgrades!$Q$12,K129)*(Parameters!$B$10*Parameters!$B$11+O129*60)</f>
        <v>120</v>
      </c>
      <c r="AG129" s="21" t="n">
        <f aca="false">IF(E129&gt;=Upgrades!$E$6,"",Upgrades!$C$6*POWER(Upgrades!$D$6,E129))</f>
        <v>37.4517507383159</v>
      </c>
      <c r="AH129" s="21" t="n">
        <f aca="false">IF(F129&gt;=Upgrades!$E$7,"",Upgrades!$C$7*POWER(Upgrades!$D$7,F129))</f>
        <v>80.9111547141581</v>
      </c>
      <c r="AI129" s="21" t="n">
        <f aca="false">IF(G129&gt;=Upgrades!$E$8,"",Upgrades!$C$8*POWER(Upgrades!$D$8,G129))</f>
        <v>231.9097088</v>
      </c>
      <c r="AJ129" s="21" t="str">
        <f aca="false">IF(H129&gt;=Upgrades!$E$9,"",Upgrades!$C$9*POWER(Upgrades!$D$9,H129))</f>
        <v/>
      </c>
      <c r="AK129" s="21" t="str">
        <f aca="false">IF(I129&gt;=Upgrades!$E$10,"",Upgrades!$C$10*POWER(Upgrades!$D$10,I129))</f>
        <v/>
      </c>
      <c r="AL129" s="21" t="str">
        <f aca="false">IF(J129&gt;=Upgrades!$E$11,"",Upgrades!$C$11*POWER(Upgrades!$D$11,J129))</f>
        <v/>
      </c>
      <c r="AM129" s="21" t="str">
        <f aca="false">IF(K129&gt;=Upgrades!$E$12,"",Upgrades!$C$12*POWER(Upgrades!$D$12,K129))</f>
        <v/>
      </c>
      <c r="AN129" s="26" t="str">
        <f aca="false">IF(AND(D129&gt;=Parameters!$B$18,(H129&gt;=Upgrades!$E$9)*(K129&gt;=Upgrades!$E$12)=1,L129=0),1,"")</f>
        <v/>
      </c>
      <c r="AO129" s="26" t="str">
        <f aca="false">IF(AND(D129&gt;=Parameters!$B$18,L129=0),1,"")</f>
        <v/>
      </c>
      <c r="AP129" s="21" t="n">
        <f aca="false">MIN(IF(ISNUMBER(AK129),AK129,9000000000000000),IF(ISNUMBER(AL129),AL129,9000000000000000),IF(ISNUMBER(AM129),AM129,9000000000000000))</f>
        <v>9000000000000000</v>
      </c>
      <c r="AQ129" s="21" t="n">
        <f aca="false">MIN(IF(ISNUMBER(AG129),AG129,9000000000000000),IF(ISNUMBER(AH129),AH129,9000000000000000),IF(ISNUMBER(AI129),AI129,9000000000000000),IF(ISNUMBER(AJ129),AJ129,9000000000000000))</f>
        <v>37.4517507383159</v>
      </c>
      <c r="AR129" s="32" t="b">
        <f aca="false">IF(AW129&gt;Parameters!$B$21*(MAX(IF(AND(NOT(AND(AO129=1,AN129&lt;&gt;1)),ISNUMBER(AG129),AG129&lt;=T129),AS129,0),IF(AND(NOT(AND(AO129=1,AN129&lt;&gt;1)),ISNUMBER(AH129),AH129&lt;=T129),AT129,0),IF(AND(NOT(AND(AO129=1,AN129&lt;&gt;1)),ISNUMBER(AI129),AI129&lt;=T129),AU129,0),IF(AND(ISNUMBER(AJ129),AJ129&lt;=T129),AV129,0))),TRUE(),FALSE())</f>
        <v>1</v>
      </c>
      <c r="AS129" s="33" t="n">
        <f aca="false">IFERROR(Upgrades!$H$6*(POWER(Upgrades!$P$6,E129)*POWER(Upgrades!$P$7,F129)*POWER(Upgrades!$P$8,G129)*POWER(Upgrades!$P$9,H129)*POWER(Upgrades!$P$10,I129)*POWER(Upgrades!$P$11,J129)*POWER(Upgrades!$P$12,K129))*(IF(Upgrades!$T$7="Solar Wind",POWER(Upgrades!$U$7,F129),1)*IF(Upgrades!$T$8="Solar Wind",POWER(Upgrades!$U$8,G129),1)*IF(Upgrades!$T$9="Solar Wind",POWER(Upgrades!$U$9,H129),1)*IF(Upgrades!$T$10="Solar Wind",POWER(Upgrades!$U$10,I129),1)*IF(Upgrades!$T$11="Solar Wind",POWER(Upgrades!$U$11,J129),1)*IF(Upgrades!$T$12="Solar Wind",POWER(Upgrades!$U$12,K129),1))/AG129,0)</f>
        <v>0.0026701021455238</v>
      </c>
      <c r="AT129" s="33" t="n">
        <f aca="false">IFERROR(Upgrades!$H$7*(POWER(Upgrades!$P$6,E129)*POWER(Upgrades!$P$7,F129)*POWER(Upgrades!$P$8,G129)*POWER(Upgrades!$P$9,H129)*POWER(Upgrades!$P$10,I129)*POWER(Upgrades!$P$11,J129)*POWER(Upgrades!$P$12,K129))*(IF(Upgrades!$T$6="Asteroid Belt",POWER(Upgrades!$U$6,E129),1)*IF(Upgrades!$T$8="Asteroid Belt",POWER(Upgrades!$U$8,G129),1)*IF(Upgrades!$T$9="Asteroid Belt",POWER(Upgrades!$U$9,H129),1)*IF(Upgrades!$T$10="Asteroid Belt",POWER(Upgrades!$U$10,I129),1)*IF(Upgrades!$T$11="Asteroid Belt",POWER(Upgrades!$U$11,J129),1)*IF(Upgrades!$T$12="Asteroid Belt",POWER(Upgrades!$U$12,K129),1))/AH129,0)</f>
        <v>0.00308980882652332</v>
      </c>
      <c r="AU129" s="33" t="n">
        <f aca="false">IFERROR(Upgrades!$K$8*(POWER(Upgrades!$Q$6,E129)*POWER(Upgrades!$Q$7,F129)*POWER(Upgrades!$Q$8,G129)*POWER(Upgrades!$Q$9,H129)*POWER(Upgrades!$Q$10,I129)*POWER(Upgrades!$Q$11,J129)*POWER(Upgrades!$Q$12,K129))*(IF(Upgrades!$T$6="Stellar Coupling",POWER(Upgrades!$U$6,E129),1)*IF(Upgrades!$T$7="Stellar Coupling",POWER(Upgrades!$U$7,F129),1)*IF(Upgrades!$T$9="Stellar Coupling",POWER(Upgrades!$U$9,H129),1)*IF(Upgrades!$T$10="Stellar Coupling",POWER(Upgrades!$U$10,I129),1)*IF(Upgrades!$T$11="Stellar Coupling",POWER(Upgrades!$U$11,J129),1)*IF(Upgrades!$T$12="Stellar Coupling",POWER(Upgrades!$U$12,K129),1))*Parameters!$B$10*Parameters!$B$11/60/AI129,0)</f>
        <v>0.00452762415783776</v>
      </c>
      <c r="AV129" s="33" t="n">
        <f aca="false">IFERROR(Upgrades!$H$9*(POWER(Upgrades!$P$6,E129)*POWER(Upgrades!$P$7,F129)*POWER(Upgrades!$P$8,G129)*POWER(Upgrades!$P$9,H129)*POWER(Upgrades!$P$10,I129)*POWER(Upgrades!$P$11,J129)*POWER(Upgrades!$P$12,K129))*(IF(Upgrades!$T$6="Magnetosphere",POWER(Upgrades!$U$6,E129),1)*IF(Upgrades!$T$7="Magnetosphere",POWER(Upgrades!$U$7,F129),1)*IF(Upgrades!$T$8="Magnetosphere",POWER(Upgrades!$U$8,G129),1)*IF(Upgrades!$T$10="Magnetosphere",POWER(Upgrades!$U$10,I129),1)*IF(Upgrades!$T$11="Magnetosphere",POWER(Upgrades!$U$11,J129),1)*IF(Upgrades!$T$12="Magnetosphere",POWER(Upgrades!$U$12,K129),1))/AJ129,0)</f>
        <v>0</v>
      </c>
      <c r="AW129" s="33" t="n">
        <f aca="false">MAX(IF(I129&gt;0,0,IFERROR(0.25*N129/Upgrades!$C$10,0)),IF(J129&gt;0,0,IFERROR(0.5*((IF(G129=0,0,(Upgrades!$J$8+G129*Upgrades!$K$8)*POWER(Upgrades!$L$8,G129)))*(IF(Upgrades!$T$6="Stellar Coupling",POWER(Upgrades!$U$6,E129),1)*IF(Upgrades!$T$7="Stellar Coupling",POWER(Upgrades!$U$7,F129),1)*IF(Upgrades!$T$9="Stellar Coupling",POWER(Upgrades!$U$9,H129),1)*IF(Upgrades!$T$10="Stellar Coupling",POWER(Upgrades!$U$10,I129),1)*IF(Upgrades!$T$11="Stellar Coupling",POWER(Upgrades!$U$11,J129),1)*IF(Upgrades!$T$12="Stellar Coupling",POWER(Upgrades!$U$12,K129),1))*(POWER(Upgrades!$Q$6,E129)*POWER(Upgrades!$Q$7,F129)*POWER(Upgrades!$Q$8,G129)*POWER(Upgrades!$Q$9,H129)*POWER(Upgrades!$Q$10,I129)*POWER(Upgrades!$Q$11,J129)*POWER(Upgrades!$Q$12,K129))*Parameters!$B$10*Parameters!$B$11/60)/Upgrades!$C$11,0)),IF(K129&gt;0,0,IFERROR((1*(POWER(Upgrades!$P$6,E129)*POWER(Upgrades!$P$7,F129)*POWER(Upgrades!$P$8,G129)*POWER(Upgrades!$P$9,H129)*POWER(Upgrades!$P$10,I129)*POWER(Upgrades!$P$11,J129)*POWER(Upgrades!$P$12,K129))+0.2*M129*Parameters!$B$10*Parameters!$B$11/60)/Upgrades!$C$12,0)),IF(AND(ISNUMBER(AG129),AG129&gt;T129),AS129,0),IF(AND(ISNUMBER(AH129),AH129&gt;T129),AT129,0),IF(AND(ISNUMBER(AI129),AI129&gt;T129),AU129,0),IF(AND(ISNUMBER(AJ129),AJ129&gt;T129),AV129,0))</f>
        <v>0.00452762415783776</v>
      </c>
      <c r="AX129" s="29" t="str">
        <f aca="false">IF(AN129=1,"transition",IF(MIN(IF(AND(I129=0,ISNUMBER(AK129),AK129&lt;=T129),AK129,9000000000000000),IF(AND(J129=0,ISNUMBER(AL129),AL129&lt;=T129),AL129,9000000000000000),IF(AND(K129=0,ISNUMBER(AM129),AM129&lt;=T129),AM129,9000000000000000))&lt;9000000000000000,IF(AND(AND(I129=0,ISNUMBER(AK129),AK129&lt;=T129),AK129=MIN(IF(AND(I129=0,ISNUMBER(AK129),AK129&lt;=T129),AK129,9000000000000000),IF(AND(J129=0,ISNUMBER(AL129),AL129&lt;=T129),AL129,9000000000000000),IF(AND(K129=0,ISNUMBER(AM129),AM129&lt;=T129),AM129,9000000000000000))),"OR",IF(AND(AND(J129=0,ISNUMBER(AL129),AL129&lt;=T129),AL129=MIN(IF(AND(I129=0,ISNUMBER(AK129),AK129&lt;=T129),AK129,9000000000000000),IF(AND(J129=0,ISNUMBER(AL129),AL129&lt;=T129),AL129,9000000000000000),IF(AND(K129=0,ISNUMBER(AM129),AM129&lt;=T129),AM129,9000000000000000))),"HP","FP")),IF(AR129=TRUE(),"",IF(MAX(IF(AND(NOT(AND(AO129=1,AN129&lt;&gt;1)),ISNUMBER(AG129),AG129&lt;=T129),AS129,0),IF(AND(NOT(AND(AO129=1,AN129&lt;&gt;1)),ISNUMBER(AH129),AH129&lt;=T129),AT129,0),IF(AND(NOT(AND(AO129=1,AN129&lt;&gt;1)),ISNUMBER(AI129),AI129&lt;=T129),AU129,0),IF(AND(ISNUMBER(AJ129),AJ129&lt;=T129),AV129,0))&lt;=0,"",IF(AND(IF(AND(NOT(AND(AO129=1,AN129&lt;&gt;1)),ISNUMBER(AG129),AG129&lt;=T129),AS129,0)&gt;0,IF(AND(NOT(AND(AO129=1,AN129&lt;&gt;1)),ISNUMBER(AG129),AG129&lt;=T129),AS129,0)=MAX(IF(AND(NOT(AND(AO129=1,AN129&lt;&gt;1)),ISNUMBER(AG129),AG129&lt;=T129),AS129,0),IF(AND(NOT(AND(AO129=1,AN129&lt;&gt;1)),ISNUMBER(AH129),AH129&lt;=T129),AT129,0),IF(AND(NOT(AND(AO129=1,AN129&lt;&gt;1)),ISNUMBER(AI129),AI129&lt;=T129),AU129,0),IF(AND(ISNUMBER(AJ129),AJ129&lt;=T129),AV129,0))),"SW",IF(AND(IF(AND(NOT(AND(AO129=1,AN129&lt;&gt;1)),ISNUMBER(AH129),AH129&lt;=T129),AT129,0)&gt;0,IF(AND(NOT(AND(AO129=1,AN129&lt;&gt;1)),ISNUMBER(AH129),AH129&lt;=T129),AT129,0)=MAX(IF(AND(NOT(AND(AO129=1,AN129&lt;&gt;1)),ISNUMBER(AG129),AG129&lt;=T129),AS129,0),IF(AND(NOT(AND(AO129=1,AN129&lt;&gt;1)),ISNUMBER(AH129),AH129&lt;=T129),AT129,0),IF(AND(NOT(AND(AO129=1,AN129&lt;&gt;1)),ISNUMBER(AI129),AI129&lt;=T129),AU129,0),IF(AND(ISNUMBER(AJ129),AJ129&lt;=T129),AV129,0))),"AB",IF(AND(IF(AND(NOT(AND(AO129=1,AN129&lt;&gt;1)),ISNUMBER(AI129),AI129&lt;=T129),AU129,0)&gt;0,IF(AND(NOT(AND(AO129=1,AN129&lt;&gt;1)),ISNUMBER(AI129),AI129&lt;=T129),AU129,0)=MAX(IF(AND(NOT(AND(AO129=1,AN129&lt;&gt;1)),ISNUMBER(AG129),AG129&lt;=T129),AS129,0),IF(AND(NOT(AND(AO129=1,AN129&lt;&gt;1)),ISNUMBER(AH129),AH129&lt;=T129),AT129,0),IF(AND(NOT(AND(AO129=1,AN129&lt;&gt;1)),ISNUMBER(AI129),AI129&lt;=T129),AU129,0),IF(AND(ISNUMBER(AJ129),AJ129&lt;=T129),AV129,0))),"SC","Mag")))))))</f>
        <v/>
      </c>
    </row>
    <row r="130" customFormat="false" ht="15" hidden="false" customHeight="false" outlineLevel="0" collapsed="false">
      <c r="A130" s="26" t="n">
        <v>125</v>
      </c>
      <c r="B130" s="27" t="n">
        <f aca="false">A130*10/60</f>
        <v>20.8333333333333</v>
      </c>
      <c r="C130" s="21" t="n">
        <f aca="false">X129</f>
        <v>18.6730249835055</v>
      </c>
      <c r="D130" s="27" t="n">
        <f aca="false">D129+W129</f>
        <v>0</v>
      </c>
      <c r="E130" s="26" t="n">
        <f aca="false">E129+IF(U129="SW",1,0)</f>
        <v>12</v>
      </c>
      <c r="F130" s="26" t="n">
        <f aca="false">F129+IF(U129="AB",1,0)</f>
        <v>10</v>
      </c>
      <c r="G130" s="26" t="n">
        <f aca="false">G129+IF(U129="SC",1,0)</f>
        <v>7</v>
      </c>
      <c r="H130" s="26" t="n">
        <f aca="false">H129+IF(U129="Mag",1,0)</f>
        <v>5</v>
      </c>
      <c r="I130" s="26" t="n">
        <f aca="false">MAX(I129,IF(U129="OR",1,0))</f>
        <v>1</v>
      </c>
      <c r="J130" s="26" t="n">
        <f aca="false">MAX(J129,IF(U129="HP",1,0))</f>
        <v>1</v>
      </c>
      <c r="K130" s="26" t="n">
        <f aca="false">MAX(K129,IF(U129="FP",1,0))</f>
        <v>1</v>
      </c>
      <c r="L130" s="26" t="n">
        <f aca="false">MAX(L129,IF(U129="transition",1,0))</f>
        <v>1</v>
      </c>
      <c r="M130" s="28" t="n">
        <f aca="false">(Parameters!$B$9+(IF(E130=0,0,(Upgrades!$J$6+E130*Upgrades!$K$6)*POWER(Upgrades!$L$6,E130)))*(IF(Upgrades!$T$7="Solar Wind",POWER(Upgrades!$U$7,F130),1)*IF(Upgrades!$T$8="Solar Wind",POWER(Upgrades!$U$8,G130),1)*IF(Upgrades!$T$9="Solar Wind",POWER(Upgrades!$U$9,H130),1)*IF(Upgrades!$T$10="Solar Wind",POWER(Upgrades!$U$10,I130),1)*IF(Upgrades!$T$11="Solar Wind",POWER(Upgrades!$U$11,J130),1)*IF(Upgrades!$T$12="Solar Wind",POWER(Upgrades!$U$12,K130),1))+(IF(F130=0,0,(Upgrades!$J$7+F130*Upgrades!$K$7)*POWER(Upgrades!$L$7,F130)))*(IF(Upgrades!$T$6="Asteroid Belt",POWER(Upgrades!$U$6,E130),1)*IF(Upgrades!$T$8="Asteroid Belt",POWER(Upgrades!$U$8,G130),1)*IF(Upgrades!$T$9="Asteroid Belt",POWER(Upgrades!$U$9,H130),1)*IF(Upgrades!$T$10="Asteroid Belt",POWER(Upgrades!$U$10,I130),1)*IF(Upgrades!$T$11="Asteroid Belt",POWER(Upgrades!$U$11,J130),1)*IF(Upgrades!$T$12="Asteroid Belt",POWER(Upgrades!$U$12,K130),1))+(IF(G130=0,0,(Upgrades!$J$8+G130*Upgrades!$K$8)*POWER(Upgrades!$L$8,G130)))*(IF(Upgrades!$T$6="Stellar Coupling",POWER(Upgrades!$U$6,E130),1)*IF(Upgrades!$T$7="Stellar Coupling",POWER(Upgrades!$U$7,F130),1)*IF(Upgrades!$T$9="Stellar Coupling",POWER(Upgrades!$U$9,H130),1)*IF(Upgrades!$T$10="Stellar Coupling",POWER(Upgrades!$U$10,I130),1)*IF(Upgrades!$T$11="Stellar Coupling",POWER(Upgrades!$U$11,J130),1)*IF(Upgrades!$T$12="Stellar Coupling",POWER(Upgrades!$U$12,K130),1))+(IF(H130=0,0,(Upgrades!$J$9+H130*Upgrades!$K$9)*POWER(Upgrades!$L$9,H130)))*(IF(Upgrades!$T$6="Magnetosphere",POWER(Upgrades!$U$6,E130),1)*IF(Upgrades!$T$7="Magnetosphere",POWER(Upgrades!$U$7,F130),1)*IF(Upgrades!$T$8="Magnetosphere",POWER(Upgrades!$U$8,G130),1)*IF(Upgrades!$T$10="Magnetosphere",POWER(Upgrades!$U$10,I130),1)*IF(Upgrades!$T$11="Magnetosphere",POWER(Upgrades!$U$11,J130),1)*IF(Upgrades!$T$12="Magnetosphere",POWER(Upgrades!$U$12,K130),1))+(IF(I130=0,0,(Upgrades!$J$10+I130*Upgrades!$K$10)*POWER(Upgrades!$L$10,I130)))*(IF(Upgrades!$T$6="Orbital Resonance",POWER(Upgrades!$U$6,E130),1)*IF(Upgrades!$T$7="Orbital Resonance",POWER(Upgrades!$U$7,F130),1)*IF(Upgrades!$T$8="Orbital Resonance",POWER(Upgrades!$U$8,G130),1)*IF(Upgrades!$T$9="Orbital Resonance",POWER(Upgrades!$U$9,H130),1)*IF(Upgrades!$T$11="Orbital Resonance",POWER(Upgrades!$U$11,J130),1)*IF(Upgrades!$T$12="Orbital Resonance",POWER(Upgrades!$U$12,K130),1))+(IF(J130=0,0,(Upgrades!$J$11+J130*Upgrades!$K$11)*POWER(Upgrades!$L$11,J130)))*(IF(Upgrades!$T$6="Heliopause",POWER(Upgrades!$U$6,E130),1)*IF(Upgrades!$T$7="Heliopause",POWER(Upgrades!$U$7,F130),1)*IF(Upgrades!$T$8="Heliopause",POWER(Upgrades!$U$8,G130),1)*IF(Upgrades!$T$9="Heliopause",POWER(Upgrades!$U$9,H130),1)*IF(Upgrades!$T$10="Heliopause",POWER(Upgrades!$U$10,I130),1)*IF(Upgrades!$T$12="Heliopause",POWER(Upgrades!$U$12,K130),1))+(IF(K130=0,0,(Upgrades!$J$12+K130*Upgrades!$K$12)*POWER(Upgrades!$L$12,K130)))*(IF(Upgrades!$T$6="First Photons",POWER(Upgrades!$U$6,E130),1)*IF(Upgrades!$T$7="First Photons",POWER(Upgrades!$U$7,F130),1)*IF(Upgrades!$T$8="First Photons",POWER(Upgrades!$U$8,G130),1)*IF(Upgrades!$T$9="First Photons",POWER(Upgrades!$U$9,H130),1)*IF(Upgrades!$T$10="First Photons",POWER(Upgrades!$U$10,I130),1)*IF(Upgrades!$T$11="First Photons",POWER(Upgrades!$U$11,J130),1)))*POWER(Upgrades!$Q$6,E130)*POWER(Upgrades!$Q$7,F130)*POWER(Upgrades!$Q$8,G130)*POWER(Upgrades!$Q$9,H130)*POWER(Upgrades!$Q$10,I130)*POWER(Upgrades!$Q$11,J130)*POWER(Upgrades!$Q$12,K130)</f>
        <v>5.61</v>
      </c>
      <c r="N130" s="28" t="n">
        <f aca="false">((IF(E130=0,0,(Upgrades!$G$6+E130*Upgrades!$H$6)*POWER(Upgrades!$I$6,E130)))*(IF(Upgrades!$T$7="Solar Wind",POWER(Upgrades!$U$7,F130),1)*IF(Upgrades!$T$8="Solar Wind",POWER(Upgrades!$U$8,G130),1)*IF(Upgrades!$T$9="Solar Wind",POWER(Upgrades!$U$9,H130),1)*IF(Upgrades!$T$10="Solar Wind",POWER(Upgrades!$U$10,I130),1)*IF(Upgrades!$T$11="Solar Wind",POWER(Upgrades!$U$11,J130),1)*IF(Upgrades!$T$12="Solar Wind",POWER(Upgrades!$U$12,K130),1))+(IF(F130=0,0,(Upgrades!$G$7+F130*Upgrades!$H$7)*POWER(Upgrades!$I$7,F130)))*(IF(Upgrades!$T$6="Asteroid Belt",POWER(Upgrades!$U$6,E130),1)*IF(Upgrades!$T$8="Asteroid Belt",POWER(Upgrades!$U$8,G130),1)*IF(Upgrades!$T$9="Asteroid Belt",POWER(Upgrades!$U$9,H130),1)*IF(Upgrades!$T$10="Asteroid Belt",POWER(Upgrades!$U$10,I130),1)*IF(Upgrades!$T$11="Asteroid Belt",POWER(Upgrades!$U$11,J130),1)*IF(Upgrades!$T$12="Asteroid Belt",POWER(Upgrades!$U$12,K130),1))+(IF(G130=0,0,(Upgrades!$G$8+G130*Upgrades!$H$8)*POWER(Upgrades!$I$8,G130)))*(IF(Upgrades!$T$6="Stellar Coupling",POWER(Upgrades!$U$6,E130),1)*IF(Upgrades!$T$7="Stellar Coupling",POWER(Upgrades!$U$7,F130),1)*IF(Upgrades!$T$9="Stellar Coupling",POWER(Upgrades!$U$9,H130),1)*IF(Upgrades!$T$10="Stellar Coupling",POWER(Upgrades!$U$10,I130),1)*IF(Upgrades!$T$11="Stellar Coupling",POWER(Upgrades!$U$11,J130),1)*IF(Upgrades!$T$12="Stellar Coupling",POWER(Upgrades!$U$12,K130),1))+(IF(H130=0,0,(Upgrades!$G$9+H130*Upgrades!$H$9)*POWER(Upgrades!$I$9,H130)))*(IF(Upgrades!$T$6="Magnetosphere",POWER(Upgrades!$U$6,E130),1)*IF(Upgrades!$T$7="Magnetosphere",POWER(Upgrades!$U$7,F130),1)*IF(Upgrades!$T$8="Magnetosphere",POWER(Upgrades!$U$8,G130),1)*IF(Upgrades!$T$10="Magnetosphere",POWER(Upgrades!$U$10,I130),1)*IF(Upgrades!$T$11="Magnetosphere",POWER(Upgrades!$U$11,J130),1)*IF(Upgrades!$T$12="Magnetosphere",POWER(Upgrades!$U$12,K130),1))+(IF(I130=0,0,(Upgrades!$G$10+I130*Upgrades!$H$10)*POWER(Upgrades!$I$10,I130)))*(IF(Upgrades!$T$6="Orbital Resonance",POWER(Upgrades!$U$6,E130),1)*IF(Upgrades!$T$7="Orbital Resonance",POWER(Upgrades!$U$7,F130),1)*IF(Upgrades!$T$8="Orbital Resonance",POWER(Upgrades!$U$8,G130),1)*IF(Upgrades!$T$9="Orbital Resonance",POWER(Upgrades!$U$9,H130),1)*IF(Upgrades!$T$11="Orbital Resonance",POWER(Upgrades!$U$11,J130),1)*IF(Upgrades!$T$12="Orbital Resonance",POWER(Upgrades!$U$12,K130),1))+(IF(J130=0,0,(Upgrades!$G$11+J130*Upgrades!$H$11)*POWER(Upgrades!$I$11,J130)))*(IF(Upgrades!$T$6="Heliopause",POWER(Upgrades!$U$6,E130),1)*IF(Upgrades!$T$7="Heliopause",POWER(Upgrades!$U$7,F130),1)*IF(Upgrades!$T$8="Heliopause",POWER(Upgrades!$U$8,G130),1)*IF(Upgrades!$T$9="Heliopause",POWER(Upgrades!$U$9,H130),1)*IF(Upgrades!$T$10="Heliopause",POWER(Upgrades!$U$10,I130),1)*IF(Upgrades!$T$12="Heliopause",POWER(Upgrades!$U$12,K130),1))+(IF(K130=0,0,(Upgrades!$G$12+K130*Upgrades!$H$12)*POWER(Upgrades!$I$12,K130)))*(IF(Upgrades!$T$6="First Photons",POWER(Upgrades!$U$6,E130),1)*IF(Upgrades!$T$7="First Photons",POWER(Upgrades!$U$7,F130),1)*IF(Upgrades!$T$8="First Photons",POWER(Upgrades!$U$8,G130),1)*IF(Upgrades!$T$9="First Photons",POWER(Upgrades!$U$9,H130),1)*IF(Upgrades!$T$10="First Photons",POWER(Upgrades!$U$10,I130),1)*IF(Upgrades!$T$11="First Photons",POWER(Upgrades!$U$11,J130),1)))*POWER(Upgrades!$P$6,E130)*POWER(Upgrades!$P$7,F130)*POWER(Upgrades!$P$8,G130)*POWER(Upgrades!$P$9,H130)*POWER(Upgrades!$P$10,I130)*POWER(Upgrades!$P$11,J130)*POWER(Upgrades!$P$12,K130)</f>
        <v>11.2</v>
      </c>
      <c r="O130" s="28" t="n">
        <f aca="false">((IF(E130=0,0,(Upgrades!$M$6+E130*Upgrades!$N$6)*POWER(Upgrades!$O$6,E130)))*(IF(Upgrades!$T$7="Solar Wind",POWER(Upgrades!$U$7,F130),1)*IF(Upgrades!$T$8="Solar Wind",POWER(Upgrades!$U$8,G130),1)*IF(Upgrades!$T$9="Solar Wind",POWER(Upgrades!$U$9,H130),1)*IF(Upgrades!$T$10="Solar Wind",POWER(Upgrades!$U$10,I130),1)*IF(Upgrades!$T$11="Solar Wind",POWER(Upgrades!$U$11,J130),1)*IF(Upgrades!$T$12="Solar Wind",POWER(Upgrades!$U$12,K130),1))+(IF(F130=0,0,(Upgrades!$M$7+F130*Upgrades!$N$7)*POWER(Upgrades!$O$7,F130)))*(IF(Upgrades!$T$6="Asteroid Belt",POWER(Upgrades!$U$6,E130),1)*IF(Upgrades!$T$8="Asteroid Belt",POWER(Upgrades!$U$8,G130),1)*IF(Upgrades!$T$9="Asteroid Belt",POWER(Upgrades!$U$9,H130),1)*IF(Upgrades!$T$10="Asteroid Belt",POWER(Upgrades!$U$10,I130),1)*IF(Upgrades!$T$11="Asteroid Belt",POWER(Upgrades!$U$11,J130),1)*IF(Upgrades!$T$12="Asteroid Belt",POWER(Upgrades!$U$12,K130),1))+(IF(G130=0,0,(Upgrades!$M$8+G130*Upgrades!$N$8)*POWER(Upgrades!$O$8,G130)))*(IF(Upgrades!$T$6="Stellar Coupling",POWER(Upgrades!$U$6,E130),1)*IF(Upgrades!$T$7="Stellar Coupling",POWER(Upgrades!$U$7,F130),1)*IF(Upgrades!$T$9="Stellar Coupling",POWER(Upgrades!$U$9,H130),1)*IF(Upgrades!$T$10="Stellar Coupling",POWER(Upgrades!$U$10,I130),1)*IF(Upgrades!$T$11="Stellar Coupling",POWER(Upgrades!$U$11,J130),1)*IF(Upgrades!$T$12="Stellar Coupling",POWER(Upgrades!$U$12,K130),1))+(IF(H130=0,0,(Upgrades!$M$9+H130*Upgrades!$N$9)*POWER(Upgrades!$O$9,H130)))*(IF(Upgrades!$T$6="Magnetosphere",POWER(Upgrades!$U$6,E130),1)*IF(Upgrades!$T$7="Magnetosphere",POWER(Upgrades!$U$7,F130),1)*IF(Upgrades!$T$8="Magnetosphere",POWER(Upgrades!$U$8,G130),1)*IF(Upgrades!$T$10="Magnetosphere",POWER(Upgrades!$U$10,I130),1)*IF(Upgrades!$T$11="Magnetosphere",POWER(Upgrades!$U$11,J130),1)*IF(Upgrades!$T$12="Magnetosphere",POWER(Upgrades!$U$12,K130),1))+(IF(I130=0,0,(Upgrades!$M$10+I130*Upgrades!$N$10)*POWER(Upgrades!$O$10,I130)))*(IF(Upgrades!$T$6="Orbital Resonance",POWER(Upgrades!$U$6,E130),1)*IF(Upgrades!$T$7="Orbital Resonance",POWER(Upgrades!$U$7,F130),1)*IF(Upgrades!$T$8="Orbital Resonance",POWER(Upgrades!$U$8,G130),1)*IF(Upgrades!$T$9="Orbital Resonance",POWER(Upgrades!$U$9,H130),1)*IF(Upgrades!$T$11="Orbital Resonance",POWER(Upgrades!$U$11,J130),1)*IF(Upgrades!$T$12="Orbital Resonance",POWER(Upgrades!$U$12,K130),1))+(IF(J130=0,0,(Upgrades!$M$11+J130*Upgrades!$N$11)*POWER(Upgrades!$O$11,J130)))*(IF(Upgrades!$T$6="Heliopause",POWER(Upgrades!$U$6,E130),1)*IF(Upgrades!$T$7="Heliopause",POWER(Upgrades!$U$7,F130),1)*IF(Upgrades!$T$8="Heliopause",POWER(Upgrades!$U$8,G130),1)*IF(Upgrades!$T$9="Heliopause",POWER(Upgrades!$U$9,H130),1)*IF(Upgrades!$T$10="Heliopause",POWER(Upgrades!$U$10,I130),1)*IF(Upgrades!$T$12="Heliopause",POWER(Upgrades!$U$12,K130),1))+(IF(K130=0,0,(Upgrades!$M$12+K130*Upgrades!$N$12)*POWER(Upgrades!$O$12,K130)))*(IF(Upgrades!$T$6="First Photons",POWER(Upgrades!$U$6,E130),1)*IF(Upgrades!$T$7="First Photons",POWER(Upgrades!$U$7,F130),1)*IF(Upgrades!$T$8="First Photons",POWER(Upgrades!$U$8,G130),1)*IF(Upgrades!$T$9="First Photons",POWER(Upgrades!$U$9,H130),1)*IF(Upgrades!$T$10="First Photons",POWER(Upgrades!$U$10,I130),1)*IF(Upgrades!$T$11="First Photons",POWER(Upgrades!$U$11,J130),1)))*POWER(Upgrades!$R$6,E130)*POWER(Upgrades!$R$7,F130)*POWER(Upgrades!$R$8,G130)*POWER(Upgrades!$R$9,H130)*POWER(Upgrades!$R$10,I130)*POWER(Upgrades!$R$11,J130)*POWER(Upgrades!$R$12,K130)</f>
        <v>0</v>
      </c>
      <c r="P130" s="27" t="n">
        <f aca="false">IF(L130=1,0,M130*Parameters!$B$10/60*Parameters!$B$11*10)</f>
        <v>0</v>
      </c>
      <c r="Q130" s="27" t="n">
        <f aca="false">IF(L130=1,0,O130*M130*10)</f>
        <v>0</v>
      </c>
      <c r="R130" s="27" t="n">
        <f aca="false">IF(L130=1,0,N130*10)</f>
        <v>0</v>
      </c>
      <c r="S130" s="27" t="n">
        <f aca="false">P130+Q130+R130</f>
        <v>0</v>
      </c>
      <c r="T130" s="21" t="n">
        <f aca="false">C130+S130</f>
        <v>18.6730249835055</v>
      </c>
      <c r="U130" s="34" t="str">
        <f aca="false">AX130</f>
        <v/>
      </c>
      <c r="V130" s="21" t="n">
        <f aca="false">IF(U130="",0,IF(U130="transition",0,IF(U130="SW",AG130,IF(U130="AB",AH130,IF(U130="SC",AI130,IF(U130="Mag",AJ130,IF(U130="OR",AK130,IF(U130="HP",AL130,IF(U130="FP",AM130,0)))))))))</f>
        <v>0</v>
      </c>
      <c r="W130" s="27" t="n">
        <f aca="false">IF(U130="OR",Upgrades!$F$10,IF(U130="HP",Upgrades!$F$11,IF(U130="transition",-Parameters!$B$18,0)))</f>
        <v>0</v>
      </c>
      <c r="X130" s="21" t="n">
        <f aca="false">T130-V130</f>
        <v>18.6730249835055</v>
      </c>
      <c r="Y130" s="30" t="n">
        <f aca="false">M130*Parameters!$B$10/60*Parameters!$B$11+O130*M130+N130</f>
        <v>20.55</v>
      </c>
      <c r="Z130" s="35" t="str">
        <f aca="false">IF(U130="transition","→ Tier 2 (Stellar Neighborhood)",IF(U130="FP","First Photons — light begins, system quickens",IF(U130="HP","Heliopause acquired",IF(U130="OR","Orbital Resonance — passive multiplier active",IF(AND(AO130=1,L130=0,AN130&lt;&gt;1),"Cohesion ready (waiting on completionist upgrades)","")))))</f>
        <v/>
      </c>
      <c r="AA130" s="27" t="n">
        <f aca="false">(IF(E130=0,0,(Upgrades!$G$6+E130*Upgrades!$H$6)*POWER(Upgrades!$I$6,E130)))*(IF(Upgrades!$T$7="Solar Wind",POWER(Upgrades!$U$7,F130),1)*IF(Upgrades!$T$8="Solar Wind",POWER(Upgrades!$U$8,G130),1)*IF(Upgrades!$T$9="Solar Wind",POWER(Upgrades!$U$9,H130),1)*IF(Upgrades!$T$10="Solar Wind",POWER(Upgrades!$U$10,I130),1)*IF(Upgrades!$T$11="Solar Wind",POWER(Upgrades!$U$11,J130),1)*IF(Upgrades!$T$12="Solar Wind",POWER(Upgrades!$U$12,K130),1))*POWER(Upgrades!$P$6,E130)*POWER(Upgrades!$P$7,F130)*POWER(Upgrades!$P$8,G130)*POWER(Upgrades!$P$9,H130)*POWER(Upgrades!$P$10,I130)*POWER(Upgrades!$P$11,J130)*POWER(Upgrades!$P$12,K130)*60</f>
        <v>72</v>
      </c>
      <c r="AB130" s="27" t="n">
        <f aca="false">(IF(F130=0,0,(Upgrades!$G$7+F130*Upgrades!$H$7)*POWER(Upgrades!$I$7,F130)))*(IF(Upgrades!$T$6="Asteroid Belt",POWER(Upgrades!$U$6,E130),1)*IF(Upgrades!$T$8="Asteroid Belt",POWER(Upgrades!$U$8,G130),1)*IF(Upgrades!$T$9="Asteroid Belt",POWER(Upgrades!$U$9,H130),1)*IF(Upgrades!$T$10="Asteroid Belt",POWER(Upgrades!$U$10,I130),1)*IF(Upgrades!$T$11="Asteroid Belt",POWER(Upgrades!$U$11,J130),1)*IF(Upgrades!$T$12="Asteroid Belt",POWER(Upgrades!$U$12,K130),1))*POWER(Upgrades!$P$6,E130)*POWER(Upgrades!$P$7,F130)*POWER(Upgrades!$P$8,G130)*POWER(Upgrades!$P$9,H130)*POWER(Upgrades!$P$10,I130)*POWER(Upgrades!$P$11,J130)*POWER(Upgrades!$P$12,K130)*60</f>
        <v>150</v>
      </c>
      <c r="AC130" s="27" t="n">
        <f aca="false">(IF(G130=0,0,(Upgrades!$J$8+G130*Upgrades!$K$8)*POWER(Upgrades!$L$8,G130)))*(IF(Upgrades!$T$6="Stellar Coupling",POWER(Upgrades!$U$6,E130),1)*IF(Upgrades!$T$7="Stellar Coupling",POWER(Upgrades!$U$7,F130),1)*IF(Upgrades!$T$9="Stellar Coupling",POWER(Upgrades!$U$9,H130),1)*IF(Upgrades!$T$10="Stellar Coupling",POWER(Upgrades!$U$10,I130),1)*IF(Upgrades!$T$11="Stellar Coupling",POWER(Upgrades!$U$11,J130),1)*IF(Upgrades!$T$12="Stellar Coupling",POWER(Upgrades!$U$12,K130),1))*POWER(Upgrades!$Q$6,E130)*POWER(Upgrades!$Q$7,F130)*POWER(Upgrades!$Q$8,G130)*POWER(Upgrades!$Q$9,H130)*POWER(Upgrades!$Q$10,I130)*POWER(Upgrades!$Q$11,J130)*POWER(Upgrades!$Q$12,K130)*Parameters!$B$10*Parameters!$B$11</f>
        <v>441</v>
      </c>
      <c r="AD130" s="27" t="n">
        <f aca="false">(IF(H130=0,0,(Upgrades!$G$9+H130*Upgrades!$H$9)*POWER(Upgrades!$I$9,H130)))*(IF(Upgrades!$T$6="Magnetosphere",POWER(Upgrades!$U$6,E130),1)*IF(Upgrades!$T$7="Magnetosphere",POWER(Upgrades!$U$7,F130),1)*IF(Upgrades!$T$8="Magnetosphere",POWER(Upgrades!$U$8,G130),1)*IF(Upgrades!$T$10="Magnetosphere",POWER(Upgrades!$U$10,I130),1)*IF(Upgrades!$T$11="Magnetosphere",POWER(Upgrades!$U$11,J130),1)*IF(Upgrades!$T$12="Magnetosphere",POWER(Upgrades!$U$12,K130),1))*POWER(Upgrades!$P$6,E130)*POWER(Upgrades!$P$7,F130)*POWER(Upgrades!$P$8,G130)*POWER(Upgrades!$P$9,H130)*POWER(Upgrades!$P$10,I130)*POWER(Upgrades!$P$11,J130)*POWER(Upgrades!$P$12,K130)*60</f>
        <v>375</v>
      </c>
      <c r="AE130" s="27" t="n">
        <f aca="false">(IF(K130=0,0,(Upgrades!$G$12+K130*Upgrades!$H$12)*POWER(Upgrades!$I$12,K130)))*(IF(Upgrades!$T$6="First Photons",POWER(Upgrades!$U$6,E130),1)*IF(Upgrades!$T$7="First Photons",POWER(Upgrades!$U$7,F130),1)*IF(Upgrades!$T$8="First Photons",POWER(Upgrades!$U$8,G130),1)*IF(Upgrades!$T$9="First Photons",POWER(Upgrades!$U$9,H130),1)*IF(Upgrades!$T$10="First Photons",POWER(Upgrades!$U$10,I130),1)*IF(Upgrades!$T$11="First Photons",POWER(Upgrades!$U$11,J130),1))*POWER(Upgrades!$P$6,E130)*POWER(Upgrades!$P$7,F130)*POWER(Upgrades!$P$8,G130)*POWER(Upgrades!$P$9,H130)*POWER(Upgrades!$P$10,I130)*POWER(Upgrades!$P$11,J130)*POWER(Upgrades!$P$12,K130)*60</f>
        <v>75</v>
      </c>
      <c r="AF130" s="27" t="n">
        <f aca="false">Parameters!$B$9*POWER(Upgrades!$Q$6,E130)*POWER(Upgrades!$Q$7,F130)*POWER(Upgrades!$Q$8,G130)*POWER(Upgrades!$Q$9,H130)*POWER(Upgrades!$Q$10,I130)*POWER(Upgrades!$Q$11,J130)*POWER(Upgrades!$Q$12,K130)*(Parameters!$B$10*Parameters!$B$11+O130*60)</f>
        <v>120</v>
      </c>
      <c r="AG130" s="21" t="n">
        <f aca="false">IF(E130&gt;=Upgrades!$E$6,"",Upgrades!$C$6*POWER(Upgrades!$D$6,E130))</f>
        <v>37.4517507383159</v>
      </c>
      <c r="AH130" s="21" t="n">
        <f aca="false">IF(F130&gt;=Upgrades!$E$7,"",Upgrades!$C$7*POWER(Upgrades!$D$7,F130))</f>
        <v>80.9111547141581</v>
      </c>
      <c r="AI130" s="21" t="n">
        <f aca="false">IF(G130&gt;=Upgrades!$E$8,"",Upgrades!$C$8*POWER(Upgrades!$D$8,G130))</f>
        <v>231.9097088</v>
      </c>
      <c r="AJ130" s="21" t="str">
        <f aca="false">IF(H130&gt;=Upgrades!$E$9,"",Upgrades!$C$9*POWER(Upgrades!$D$9,H130))</f>
        <v/>
      </c>
      <c r="AK130" s="21" t="str">
        <f aca="false">IF(I130&gt;=Upgrades!$E$10,"",Upgrades!$C$10*POWER(Upgrades!$D$10,I130))</f>
        <v/>
      </c>
      <c r="AL130" s="21" t="str">
        <f aca="false">IF(J130&gt;=Upgrades!$E$11,"",Upgrades!$C$11*POWER(Upgrades!$D$11,J130))</f>
        <v/>
      </c>
      <c r="AM130" s="21" t="str">
        <f aca="false">IF(K130&gt;=Upgrades!$E$12,"",Upgrades!$C$12*POWER(Upgrades!$D$12,K130))</f>
        <v/>
      </c>
      <c r="AN130" s="26" t="str">
        <f aca="false">IF(AND(D130&gt;=Parameters!$B$18,(H130&gt;=Upgrades!$E$9)*(K130&gt;=Upgrades!$E$12)=1,L130=0),1,"")</f>
        <v/>
      </c>
      <c r="AO130" s="26" t="str">
        <f aca="false">IF(AND(D130&gt;=Parameters!$B$18,L130=0),1,"")</f>
        <v/>
      </c>
      <c r="AP130" s="21" t="n">
        <f aca="false">MIN(IF(ISNUMBER(AK130),AK130,9000000000000000),IF(ISNUMBER(AL130),AL130,9000000000000000),IF(ISNUMBER(AM130),AM130,9000000000000000))</f>
        <v>9000000000000000</v>
      </c>
      <c r="AQ130" s="21" t="n">
        <f aca="false">MIN(IF(ISNUMBER(AG130),AG130,9000000000000000),IF(ISNUMBER(AH130),AH130,9000000000000000),IF(ISNUMBER(AI130),AI130,9000000000000000),IF(ISNUMBER(AJ130),AJ130,9000000000000000))</f>
        <v>37.4517507383159</v>
      </c>
      <c r="AR130" s="32" t="b">
        <f aca="false">IF(AW130&gt;Parameters!$B$21*(MAX(IF(AND(NOT(AND(AO130=1,AN130&lt;&gt;1)),ISNUMBER(AG130),AG130&lt;=T130),AS130,0),IF(AND(NOT(AND(AO130=1,AN130&lt;&gt;1)),ISNUMBER(AH130),AH130&lt;=T130),AT130,0),IF(AND(NOT(AND(AO130=1,AN130&lt;&gt;1)),ISNUMBER(AI130),AI130&lt;=T130),AU130,0),IF(AND(ISNUMBER(AJ130),AJ130&lt;=T130),AV130,0))),TRUE(),FALSE())</f>
        <v>1</v>
      </c>
      <c r="AS130" s="33" t="n">
        <f aca="false">IFERROR(Upgrades!$H$6*(POWER(Upgrades!$P$6,E130)*POWER(Upgrades!$P$7,F130)*POWER(Upgrades!$P$8,G130)*POWER(Upgrades!$P$9,H130)*POWER(Upgrades!$P$10,I130)*POWER(Upgrades!$P$11,J130)*POWER(Upgrades!$P$12,K130))*(IF(Upgrades!$T$7="Solar Wind",POWER(Upgrades!$U$7,F130),1)*IF(Upgrades!$T$8="Solar Wind",POWER(Upgrades!$U$8,G130),1)*IF(Upgrades!$T$9="Solar Wind",POWER(Upgrades!$U$9,H130),1)*IF(Upgrades!$T$10="Solar Wind",POWER(Upgrades!$U$10,I130),1)*IF(Upgrades!$T$11="Solar Wind",POWER(Upgrades!$U$11,J130),1)*IF(Upgrades!$T$12="Solar Wind",POWER(Upgrades!$U$12,K130),1))/AG130,0)</f>
        <v>0.0026701021455238</v>
      </c>
      <c r="AT130" s="33" t="n">
        <f aca="false">IFERROR(Upgrades!$H$7*(POWER(Upgrades!$P$6,E130)*POWER(Upgrades!$P$7,F130)*POWER(Upgrades!$P$8,G130)*POWER(Upgrades!$P$9,H130)*POWER(Upgrades!$P$10,I130)*POWER(Upgrades!$P$11,J130)*POWER(Upgrades!$P$12,K130))*(IF(Upgrades!$T$6="Asteroid Belt",POWER(Upgrades!$U$6,E130),1)*IF(Upgrades!$T$8="Asteroid Belt",POWER(Upgrades!$U$8,G130),1)*IF(Upgrades!$T$9="Asteroid Belt",POWER(Upgrades!$U$9,H130),1)*IF(Upgrades!$T$10="Asteroid Belt",POWER(Upgrades!$U$10,I130),1)*IF(Upgrades!$T$11="Asteroid Belt",POWER(Upgrades!$U$11,J130),1)*IF(Upgrades!$T$12="Asteroid Belt",POWER(Upgrades!$U$12,K130),1))/AH130,0)</f>
        <v>0.00308980882652332</v>
      </c>
      <c r="AU130" s="33" t="n">
        <f aca="false">IFERROR(Upgrades!$K$8*(POWER(Upgrades!$Q$6,E130)*POWER(Upgrades!$Q$7,F130)*POWER(Upgrades!$Q$8,G130)*POWER(Upgrades!$Q$9,H130)*POWER(Upgrades!$Q$10,I130)*POWER(Upgrades!$Q$11,J130)*POWER(Upgrades!$Q$12,K130))*(IF(Upgrades!$T$6="Stellar Coupling",POWER(Upgrades!$U$6,E130),1)*IF(Upgrades!$T$7="Stellar Coupling",POWER(Upgrades!$U$7,F130),1)*IF(Upgrades!$T$9="Stellar Coupling",POWER(Upgrades!$U$9,H130),1)*IF(Upgrades!$T$10="Stellar Coupling",POWER(Upgrades!$U$10,I130),1)*IF(Upgrades!$T$11="Stellar Coupling",POWER(Upgrades!$U$11,J130),1)*IF(Upgrades!$T$12="Stellar Coupling",POWER(Upgrades!$U$12,K130),1))*Parameters!$B$10*Parameters!$B$11/60/AI130,0)</f>
        <v>0.00452762415783776</v>
      </c>
      <c r="AV130" s="33" t="n">
        <f aca="false">IFERROR(Upgrades!$H$9*(POWER(Upgrades!$P$6,E130)*POWER(Upgrades!$P$7,F130)*POWER(Upgrades!$P$8,G130)*POWER(Upgrades!$P$9,H130)*POWER(Upgrades!$P$10,I130)*POWER(Upgrades!$P$11,J130)*POWER(Upgrades!$P$12,K130))*(IF(Upgrades!$T$6="Magnetosphere",POWER(Upgrades!$U$6,E130),1)*IF(Upgrades!$T$7="Magnetosphere",POWER(Upgrades!$U$7,F130),1)*IF(Upgrades!$T$8="Magnetosphere",POWER(Upgrades!$U$8,G130),1)*IF(Upgrades!$T$10="Magnetosphere",POWER(Upgrades!$U$10,I130),1)*IF(Upgrades!$T$11="Magnetosphere",POWER(Upgrades!$U$11,J130),1)*IF(Upgrades!$T$12="Magnetosphere",POWER(Upgrades!$U$12,K130),1))/AJ130,0)</f>
        <v>0</v>
      </c>
      <c r="AW130" s="33" t="n">
        <f aca="false">MAX(IF(I130&gt;0,0,IFERROR(0.25*N130/Upgrades!$C$10,0)),IF(J130&gt;0,0,IFERROR(0.5*((IF(G130=0,0,(Upgrades!$J$8+G130*Upgrades!$K$8)*POWER(Upgrades!$L$8,G130)))*(IF(Upgrades!$T$6="Stellar Coupling",POWER(Upgrades!$U$6,E130),1)*IF(Upgrades!$T$7="Stellar Coupling",POWER(Upgrades!$U$7,F130),1)*IF(Upgrades!$T$9="Stellar Coupling",POWER(Upgrades!$U$9,H130),1)*IF(Upgrades!$T$10="Stellar Coupling",POWER(Upgrades!$U$10,I130),1)*IF(Upgrades!$T$11="Stellar Coupling",POWER(Upgrades!$U$11,J130),1)*IF(Upgrades!$T$12="Stellar Coupling",POWER(Upgrades!$U$12,K130),1))*(POWER(Upgrades!$Q$6,E130)*POWER(Upgrades!$Q$7,F130)*POWER(Upgrades!$Q$8,G130)*POWER(Upgrades!$Q$9,H130)*POWER(Upgrades!$Q$10,I130)*POWER(Upgrades!$Q$11,J130)*POWER(Upgrades!$Q$12,K130))*Parameters!$B$10*Parameters!$B$11/60)/Upgrades!$C$11,0)),IF(K130&gt;0,0,IFERROR((1*(POWER(Upgrades!$P$6,E130)*POWER(Upgrades!$P$7,F130)*POWER(Upgrades!$P$8,G130)*POWER(Upgrades!$P$9,H130)*POWER(Upgrades!$P$10,I130)*POWER(Upgrades!$P$11,J130)*POWER(Upgrades!$P$12,K130))+0.2*M130*Parameters!$B$10*Parameters!$B$11/60)/Upgrades!$C$12,0)),IF(AND(ISNUMBER(AG130),AG130&gt;T130),AS130,0),IF(AND(ISNUMBER(AH130),AH130&gt;T130),AT130,0),IF(AND(ISNUMBER(AI130),AI130&gt;T130),AU130,0),IF(AND(ISNUMBER(AJ130),AJ130&gt;T130),AV130,0))</f>
        <v>0.00452762415783776</v>
      </c>
      <c r="AX130" s="29" t="str">
        <f aca="false">IF(AN130=1,"transition",IF(MIN(IF(AND(I130=0,ISNUMBER(AK130),AK130&lt;=T130),AK130,9000000000000000),IF(AND(J130=0,ISNUMBER(AL130),AL130&lt;=T130),AL130,9000000000000000),IF(AND(K130=0,ISNUMBER(AM130),AM130&lt;=T130),AM130,9000000000000000))&lt;9000000000000000,IF(AND(AND(I130=0,ISNUMBER(AK130),AK130&lt;=T130),AK130=MIN(IF(AND(I130=0,ISNUMBER(AK130),AK130&lt;=T130),AK130,9000000000000000),IF(AND(J130=0,ISNUMBER(AL130),AL130&lt;=T130),AL130,9000000000000000),IF(AND(K130=0,ISNUMBER(AM130),AM130&lt;=T130),AM130,9000000000000000))),"OR",IF(AND(AND(J130=0,ISNUMBER(AL130),AL130&lt;=T130),AL130=MIN(IF(AND(I130=0,ISNUMBER(AK130),AK130&lt;=T130),AK130,9000000000000000),IF(AND(J130=0,ISNUMBER(AL130),AL130&lt;=T130),AL130,9000000000000000),IF(AND(K130=0,ISNUMBER(AM130),AM130&lt;=T130),AM130,9000000000000000))),"HP","FP")),IF(AR130=TRUE(),"",IF(MAX(IF(AND(NOT(AND(AO130=1,AN130&lt;&gt;1)),ISNUMBER(AG130),AG130&lt;=T130),AS130,0),IF(AND(NOT(AND(AO130=1,AN130&lt;&gt;1)),ISNUMBER(AH130),AH130&lt;=T130),AT130,0),IF(AND(NOT(AND(AO130=1,AN130&lt;&gt;1)),ISNUMBER(AI130),AI130&lt;=T130),AU130,0),IF(AND(ISNUMBER(AJ130),AJ130&lt;=T130),AV130,0))&lt;=0,"",IF(AND(IF(AND(NOT(AND(AO130=1,AN130&lt;&gt;1)),ISNUMBER(AG130),AG130&lt;=T130),AS130,0)&gt;0,IF(AND(NOT(AND(AO130=1,AN130&lt;&gt;1)),ISNUMBER(AG130),AG130&lt;=T130),AS130,0)=MAX(IF(AND(NOT(AND(AO130=1,AN130&lt;&gt;1)),ISNUMBER(AG130),AG130&lt;=T130),AS130,0),IF(AND(NOT(AND(AO130=1,AN130&lt;&gt;1)),ISNUMBER(AH130),AH130&lt;=T130),AT130,0),IF(AND(NOT(AND(AO130=1,AN130&lt;&gt;1)),ISNUMBER(AI130),AI130&lt;=T130),AU130,0),IF(AND(ISNUMBER(AJ130),AJ130&lt;=T130),AV130,0))),"SW",IF(AND(IF(AND(NOT(AND(AO130=1,AN130&lt;&gt;1)),ISNUMBER(AH130),AH130&lt;=T130),AT130,0)&gt;0,IF(AND(NOT(AND(AO130=1,AN130&lt;&gt;1)),ISNUMBER(AH130),AH130&lt;=T130),AT130,0)=MAX(IF(AND(NOT(AND(AO130=1,AN130&lt;&gt;1)),ISNUMBER(AG130),AG130&lt;=T130),AS130,0),IF(AND(NOT(AND(AO130=1,AN130&lt;&gt;1)),ISNUMBER(AH130),AH130&lt;=T130),AT130,0),IF(AND(NOT(AND(AO130=1,AN130&lt;&gt;1)),ISNUMBER(AI130),AI130&lt;=T130),AU130,0),IF(AND(ISNUMBER(AJ130),AJ130&lt;=T130),AV130,0))),"AB",IF(AND(IF(AND(NOT(AND(AO130=1,AN130&lt;&gt;1)),ISNUMBER(AI130),AI130&lt;=T130),AU130,0)&gt;0,IF(AND(NOT(AND(AO130=1,AN130&lt;&gt;1)),ISNUMBER(AI130),AI130&lt;=T130),AU130,0)=MAX(IF(AND(NOT(AND(AO130=1,AN130&lt;&gt;1)),ISNUMBER(AG130),AG130&lt;=T130),AS130,0),IF(AND(NOT(AND(AO130=1,AN130&lt;&gt;1)),ISNUMBER(AH130),AH130&lt;=T130),AT130,0),IF(AND(NOT(AND(AO130=1,AN130&lt;&gt;1)),ISNUMBER(AI130),AI130&lt;=T130),AU130,0),IF(AND(ISNUMBER(AJ130),AJ130&lt;=T130),AV130,0))),"SC","Mag")))))))</f>
        <v/>
      </c>
    </row>
    <row r="131" customFormat="false" ht="15" hidden="false" customHeight="false" outlineLevel="0" collapsed="false">
      <c r="A131" s="26" t="n">
        <v>126</v>
      </c>
      <c r="B131" s="27" t="n">
        <f aca="false">A131*10/60</f>
        <v>21</v>
      </c>
      <c r="C131" s="21" t="n">
        <f aca="false">X130</f>
        <v>18.6730249835055</v>
      </c>
      <c r="D131" s="27" t="n">
        <f aca="false">D130+W130</f>
        <v>0</v>
      </c>
      <c r="E131" s="26" t="n">
        <f aca="false">E130+IF(U130="SW",1,0)</f>
        <v>12</v>
      </c>
      <c r="F131" s="26" t="n">
        <f aca="false">F130+IF(U130="AB",1,0)</f>
        <v>10</v>
      </c>
      <c r="G131" s="26" t="n">
        <f aca="false">G130+IF(U130="SC",1,0)</f>
        <v>7</v>
      </c>
      <c r="H131" s="26" t="n">
        <f aca="false">H130+IF(U130="Mag",1,0)</f>
        <v>5</v>
      </c>
      <c r="I131" s="26" t="n">
        <f aca="false">MAX(I130,IF(U130="OR",1,0))</f>
        <v>1</v>
      </c>
      <c r="J131" s="26" t="n">
        <f aca="false">MAX(J130,IF(U130="HP",1,0))</f>
        <v>1</v>
      </c>
      <c r="K131" s="26" t="n">
        <f aca="false">MAX(K130,IF(U130="FP",1,0))</f>
        <v>1</v>
      </c>
      <c r="L131" s="26" t="n">
        <f aca="false">MAX(L130,IF(U130="transition",1,0))</f>
        <v>1</v>
      </c>
      <c r="M131" s="28" t="n">
        <f aca="false">(Parameters!$B$9+(IF(E131=0,0,(Upgrades!$J$6+E131*Upgrades!$K$6)*POWER(Upgrades!$L$6,E131)))*(IF(Upgrades!$T$7="Solar Wind",POWER(Upgrades!$U$7,F131),1)*IF(Upgrades!$T$8="Solar Wind",POWER(Upgrades!$U$8,G131),1)*IF(Upgrades!$T$9="Solar Wind",POWER(Upgrades!$U$9,H131),1)*IF(Upgrades!$T$10="Solar Wind",POWER(Upgrades!$U$10,I131),1)*IF(Upgrades!$T$11="Solar Wind",POWER(Upgrades!$U$11,J131),1)*IF(Upgrades!$T$12="Solar Wind",POWER(Upgrades!$U$12,K131),1))+(IF(F131=0,0,(Upgrades!$J$7+F131*Upgrades!$K$7)*POWER(Upgrades!$L$7,F131)))*(IF(Upgrades!$T$6="Asteroid Belt",POWER(Upgrades!$U$6,E131),1)*IF(Upgrades!$T$8="Asteroid Belt",POWER(Upgrades!$U$8,G131),1)*IF(Upgrades!$T$9="Asteroid Belt",POWER(Upgrades!$U$9,H131),1)*IF(Upgrades!$T$10="Asteroid Belt",POWER(Upgrades!$U$10,I131),1)*IF(Upgrades!$T$11="Asteroid Belt",POWER(Upgrades!$U$11,J131),1)*IF(Upgrades!$T$12="Asteroid Belt",POWER(Upgrades!$U$12,K131),1))+(IF(G131=0,0,(Upgrades!$J$8+G131*Upgrades!$K$8)*POWER(Upgrades!$L$8,G131)))*(IF(Upgrades!$T$6="Stellar Coupling",POWER(Upgrades!$U$6,E131),1)*IF(Upgrades!$T$7="Stellar Coupling",POWER(Upgrades!$U$7,F131),1)*IF(Upgrades!$T$9="Stellar Coupling",POWER(Upgrades!$U$9,H131),1)*IF(Upgrades!$T$10="Stellar Coupling",POWER(Upgrades!$U$10,I131),1)*IF(Upgrades!$T$11="Stellar Coupling",POWER(Upgrades!$U$11,J131),1)*IF(Upgrades!$T$12="Stellar Coupling",POWER(Upgrades!$U$12,K131),1))+(IF(H131=0,0,(Upgrades!$J$9+H131*Upgrades!$K$9)*POWER(Upgrades!$L$9,H131)))*(IF(Upgrades!$T$6="Magnetosphere",POWER(Upgrades!$U$6,E131),1)*IF(Upgrades!$T$7="Magnetosphere",POWER(Upgrades!$U$7,F131),1)*IF(Upgrades!$T$8="Magnetosphere",POWER(Upgrades!$U$8,G131),1)*IF(Upgrades!$T$10="Magnetosphere",POWER(Upgrades!$U$10,I131),1)*IF(Upgrades!$T$11="Magnetosphere",POWER(Upgrades!$U$11,J131),1)*IF(Upgrades!$T$12="Magnetosphere",POWER(Upgrades!$U$12,K131),1))+(IF(I131=0,0,(Upgrades!$J$10+I131*Upgrades!$K$10)*POWER(Upgrades!$L$10,I131)))*(IF(Upgrades!$T$6="Orbital Resonance",POWER(Upgrades!$U$6,E131),1)*IF(Upgrades!$T$7="Orbital Resonance",POWER(Upgrades!$U$7,F131),1)*IF(Upgrades!$T$8="Orbital Resonance",POWER(Upgrades!$U$8,G131),1)*IF(Upgrades!$T$9="Orbital Resonance",POWER(Upgrades!$U$9,H131),1)*IF(Upgrades!$T$11="Orbital Resonance",POWER(Upgrades!$U$11,J131),1)*IF(Upgrades!$T$12="Orbital Resonance",POWER(Upgrades!$U$12,K131),1))+(IF(J131=0,0,(Upgrades!$J$11+J131*Upgrades!$K$11)*POWER(Upgrades!$L$11,J131)))*(IF(Upgrades!$T$6="Heliopause",POWER(Upgrades!$U$6,E131),1)*IF(Upgrades!$T$7="Heliopause",POWER(Upgrades!$U$7,F131),1)*IF(Upgrades!$T$8="Heliopause",POWER(Upgrades!$U$8,G131),1)*IF(Upgrades!$T$9="Heliopause",POWER(Upgrades!$U$9,H131),1)*IF(Upgrades!$T$10="Heliopause",POWER(Upgrades!$U$10,I131),1)*IF(Upgrades!$T$12="Heliopause",POWER(Upgrades!$U$12,K131),1))+(IF(K131=0,0,(Upgrades!$J$12+K131*Upgrades!$K$12)*POWER(Upgrades!$L$12,K131)))*(IF(Upgrades!$T$6="First Photons",POWER(Upgrades!$U$6,E131),1)*IF(Upgrades!$T$7="First Photons",POWER(Upgrades!$U$7,F131),1)*IF(Upgrades!$T$8="First Photons",POWER(Upgrades!$U$8,G131),1)*IF(Upgrades!$T$9="First Photons",POWER(Upgrades!$U$9,H131),1)*IF(Upgrades!$T$10="First Photons",POWER(Upgrades!$U$10,I131),1)*IF(Upgrades!$T$11="First Photons",POWER(Upgrades!$U$11,J131),1)))*POWER(Upgrades!$Q$6,E131)*POWER(Upgrades!$Q$7,F131)*POWER(Upgrades!$Q$8,G131)*POWER(Upgrades!$Q$9,H131)*POWER(Upgrades!$Q$10,I131)*POWER(Upgrades!$Q$11,J131)*POWER(Upgrades!$Q$12,K131)</f>
        <v>5.61</v>
      </c>
      <c r="N131" s="28" t="n">
        <f aca="false">((IF(E131=0,0,(Upgrades!$G$6+E131*Upgrades!$H$6)*POWER(Upgrades!$I$6,E131)))*(IF(Upgrades!$T$7="Solar Wind",POWER(Upgrades!$U$7,F131),1)*IF(Upgrades!$T$8="Solar Wind",POWER(Upgrades!$U$8,G131),1)*IF(Upgrades!$T$9="Solar Wind",POWER(Upgrades!$U$9,H131),1)*IF(Upgrades!$T$10="Solar Wind",POWER(Upgrades!$U$10,I131),1)*IF(Upgrades!$T$11="Solar Wind",POWER(Upgrades!$U$11,J131),1)*IF(Upgrades!$T$12="Solar Wind",POWER(Upgrades!$U$12,K131),1))+(IF(F131=0,0,(Upgrades!$G$7+F131*Upgrades!$H$7)*POWER(Upgrades!$I$7,F131)))*(IF(Upgrades!$T$6="Asteroid Belt",POWER(Upgrades!$U$6,E131),1)*IF(Upgrades!$T$8="Asteroid Belt",POWER(Upgrades!$U$8,G131),1)*IF(Upgrades!$T$9="Asteroid Belt",POWER(Upgrades!$U$9,H131),1)*IF(Upgrades!$T$10="Asteroid Belt",POWER(Upgrades!$U$10,I131),1)*IF(Upgrades!$T$11="Asteroid Belt",POWER(Upgrades!$U$11,J131),1)*IF(Upgrades!$T$12="Asteroid Belt",POWER(Upgrades!$U$12,K131),1))+(IF(G131=0,0,(Upgrades!$G$8+G131*Upgrades!$H$8)*POWER(Upgrades!$I$8,G131)))*(IF(Upgrades!$T$6="Stellar Coupling",POWER(Upgrades!$U$6,E131),1)*IF(Upgrades!$T$7="Stellar Coupling",POWER(Upgrades!$U$7,F131),1)*IF(Upgrades!$T$9="Stellar Coupling",POWER(Upgrades!$U$9,H131),1)*IF(Upgrades!$T$10="Stellar Coupling",POWER(Upgrades!$U$10,I131),1)*IF(Upgrades!$T$11="Stellar Coupling",POWER(Upgrades!$U$11,J131),1)*IF(Upgrades!$T$12="Stellar Coupling",POWER(Upgrades!$U$12,K131),1))+(IF(H131=0,0,(Upgrades!$G$9+H131*Upgrades!$H$9)*POWER(Upgrades!$I$9,H131)))*(IF(Upgrades!$T$6="Magnetosphere",POWER(Upgrades!$U$6,E131),1)*IF(Upgrades!$T$7="Magnetosphere",POWER(Upgrades!$U$7,F131),1)*IF(Upgrades!$T$8="Magnetosphere",POWER(Upgrades!$U$8,G131),1)*IF(Upgrades!$T$10="Magnetosphere",POWER(Upgrades!$U$10,I131),1)*IF(Upgrades!$T$11="Magnetosphere",POWER(Upgrades!$U$11,J131),1)*IF(Upgrades!$T$12="Magnetosphere",POWER(Upgrades!$U$12,K131),1))+(IF(I131=0,0,(Upgrades!$G$10+I131*Upgrades!$H$10)*POWER(Upgrades!$I$10,I131)))*(IF(Upgrades!$T$6="Orbital Resonance",POWER(Upgrades!$U$6,E131),1)*IF(Upgrades!$T$7="Orbital Resonance",POWER(Upgrades!$U$7,F131),1)*IF(Upgrades!$T$8="Orbital Resonance",POWER(Upgrades!$U$8,G131),1)*IF(Upgrades!$T$9="Orbital Resonance",POWER(Upgrades!$U$9,H131),1)*IF(Upgrades!$T$11="Orbital Resonance",POWER(Upgrades!$U$11,J131),1)*IF(Upgrades!$T$12="Orbital Resonance",POWER(Upgrades!$U$12,K131),1))+(IF(J131=0,0,(Upgrades!$G$11+J131*Upgrades!$H$11)*POWER(Upgrades!$I$11,J131)))*(IF(Upgrades!$T$6="Heliopause",POWER(Upgrades!$U$6,E131),1)*IF(Upgrades!$T$7="Heliopause",POWER(Upgrades!$U$7,F131),1)*IF(Upgrades!$T$8="Heliopause",POWER(Upgrades!$U$8,G131),1)*IF(Upgrades!$T$9="Heliopause",POWER(Upgrades!$U$9,H131),1)*IF(Upgrades!$T$10="Heliopause",POWER(Upgrades!$U$10,I131),1)*IF(Upgrades!$T$12="Heliopause",POWER(Upgrades!$U$12,K131),1))+(IF(K131=0,0,(Upgrades!$G$12+K131*Upgrades!$H$12)*POWER(Upgrades!$I$12,K131)))*(IF(Upgrades!$T$6="First Photons",POWER(Upgrades!$U$6,E131),1)*IF(Upgrades!$T$7="First Photons",POWER(Upgrades!$U$7,F131),1)*IF(Upgrades!$T$8="First Photons",POWER(Upgrades!$U$8,G131),1)*IF(Upgrades!$T$9="First Photons",POWER(Upgrades!$U$9,H131),1)*IF(Upgrades!$T$10="First Photons",POWER(Upgrades!$U$10,I131),1)*IF(Upgrades!$T$11="First Photons",POWER(Upgrades!$U$11,J131),1)))*POWER(Upgrades!$P$6,E131)*POWER(Upgrades!$P$7,F131)*POWER(Upgrades!$P$8,G131)*POWER(Upgrades!$P$9,H131)*POWER(Upgrades!$P$10,I131)*POWER(Upgrades!$P$11,J131)*POWER(Upgrades!$P$12,K131)</f>
        <v>11.2</v>
      </c>
      <c r="O131" s="28" t="n">
        <f aca="false">((IF(E131=0,0,(Upgrades!$M$6+E131*Upgrades!$N$6)*POWER(Upgrades!$O$6,E131)))*(IF(Upgrades!$T$7="Solar Wind",POWER(Upgrades!$U$7,F131),1)*IF(Upgrades!$T$8="Solar Wind",POWER(Upgrades!$U$8,G131),1)*IF(Upgrades!$T$9="Solar Wind",POWER(Upgrades!$U$9,H131),1)*IF(Upgrades!$T$10="Solar Wind",POWER(Upgrades!$U$10,I131),1)*IF(Upgrades!$T$11="Solar Wind",POWER(Upgrades!$U$11,J131),1)*IF(Upgrades!$T$12="Solar Wind",POWER(Upgrades!$U$12,K131),1))+(IF(F131=0,0,(Upgrades!$M$7+F131*Upgrades!$N$7)*POWER(Upgrades!$O$7,F131)))*(IF(Upgrades!$T$6="Asteroid Belt",POWER(Upgrades!$U$6,E131),1)*IF(Upgrades!$T$8="Asteroid Belt",POWER(Upgrades!$U$8,G131),1)*IF(Upgrades!$T$9="Asteroid Belt",POWER(Upgrades!$U$9,H131),1)*IF(Upgrades!$T$10="Asteroid Belt",POWER(Upgrades!$U$10,I131),1)*IF(Upgrades!$T$11="Asteroid Belt",POWER(Upgrades!$U$11,J131),1)*IF(Upgrades!$T$12="Asteroid Belt",POWER(Upgrades!$U$12,K131),1))+(IF(G131=0,0,(Upgrades!$M$8+G131*Upgrades!$N$8)*POWER(Upgrades!$O$8,G131)))*(IF(Upgrades!$T$6="Stellar Coupling",POWER(Upgrades!$U$6,E131),1)*IF(Upgrades!$T$7="Stellar Coupling",POWER(Upgrades!$U$7,F131),1)*IF(Upgrades!$T$9="Stellar Coupling",POWER(Upgrades!$U$9,H131),1)*IF(Upgrades!$T$10="Stellar Coupling",POWER(Upgrades!$U$10,I131),1)*IF(Upgrades!$T$11="Stellar Coupling",POWER(Upgrades!$U$11,J131),1)*IF(Upgrades!$T$12="Stellar Coupling",POWER(Upgrades!$U$12,K131),1))+(IF(H131=0,0,(Upgrades!$M$9+H131*Upgrades!$N$9)*POWER(Upgrades!$O$9,H131)))*(IF(Upgrades!$T$6="Magnetosphere",POWER(Upgrades!$U$6,E131),1)*IF(Upgrades!$T$7="Magnetosphere",POWER(Upgrades!$U$7,F131),1)*IF(Upgrades!$T$8="Magnetosphere",POWER(Upgrades!$U$8,G131),1)*IF(Upgrades!$T$10="Magnetosphere",POWER(Upgrades!$U$10,I131),1)*IF(Upgrades!$T$11="Magnetosphere",POWER(Upgrades!$U$11,J131),1)*IF(Upgrades!$T$12="Magnetosphere",POWER(Upgrades!$U$12,K131),1))+(IF(I131=0,0,(Upgrades!$M$10+I131*Upgrades!$N$10)*POWER(Upgrades!$O$10,I131)))*(IF(Upgrades!$T$6="Orbital Resonance",POWER(Upgrades!$U$6,E131),1)*IF(Upgrades!$T$7="Orbital Resonance",POWER(Upgrades!$U$7,F131),1)*IF(Upgrades!$T$8="Orbital Resonance",POWER(Upgrades!$U$8,G131),1)*IF(Upgrades!$T$9="Orbital Resonance",POWER(Upgrades!$U$9,H131),1)*IF(Upgrades!$T$11="Orbital Resonance",POWER(Upgrades!$U$11,J131),1)*IF(Upgrades!$T$12="Orbital Resonance",POWER(Upgrades!$U$12,K131),1))+(IF(J131=0,0,(Upgrades!$M$11+J131*Upgrades!$N$11)*POWER(Upgrades!$O$11,J131)))*(IF(Upgrades!$T$6="Heliopause",POWER(Upgrades!$U$6,E131),1)*IF(Upgrades!$T$7="Heliopause",POWER(Upgrades!$U$7,F131),1)*IF(Upgrades!$T$8="Heliopause",POWER(Upgrades!$U$8,G131),1)*IF(Upgrades!$T$9="Heliopause",POWER(Upgrades!$U$9,H131),1)*IF(Upgrades!$T$10="Heliopause",POWER(Upgrades!$U$10,I131),1)*IF(Upgrades!$T$12="Heliopause",POWER(Upgrades!$U$12,K131),1))+(IF(K131=0,0,(Upgrades!$M$12+K131*Upgrades!$N$12)*POWER(Upgrades!$O$12,K131)))*(IF(Upgrades!$T$6="First Photons",POWER(Upgrades!$U$6,E131),1)*IF(Upgrades!$T$7="First Photons",POWER(Upgrades!$U$7,F131),1)*IF(Upgrades!$T$8="First Photons",POWER(Upgrades!$U$8,G131),1)*IF(Upgrades!$T$9="First Photons",POWER(Upgrades!$U$9,H131),1)*IF(Upgrades!$T$10="First Photons",POWER(Upgrades!$U$10,I131),1)*IF(Upgrades!$T$11="First Photons",POWER(Upgrades!$U$11,J131),1)))*POWER(Upgrades!$R$6,E131)*POWER(Upgrades!$R$7,F131)*POWER(Upgrades!$R$8,G131)*POWER(Upgrades!$R$9,H131)*POWER(Upgrades!$R$10,I131)*POWER(Upgrades!$R$11,J131)*POWER(Upgrades!$R$12,K131)</f>
        <v>0</v>
      </c>
      <c r="P131" s="27" t="n">
        <f aca="false">IF(L131=1,0,M131*Parameters!$B$10/60*Parameters!$B$11*10)</f>
        <v>0</v>
      </c>
      <c r="Q131" s="27" t="n">
        <f aca="false">IF(L131=1,0,O131*M131*10)</f>
        <v>0</v>
      </c>
      <c r="R131" s="27" t="n">
        <f aca="false">IF(L131=1,0,N131*10)</f>
        <v>0</v>
      </c>
      <c r="S131" s="27" t="n">
        <f aca="false">P131+Q131+R131</f>
        <v>0</v>
      </c>
      <c r="T131" s="21" t="n">
        <f aca="false">C131+S131</f>
        <v>18.6730249835055</v>
      </c>
      <c r="U131" s="34" t="str">
        <f aca="false">AX131</f>
        <v/>
      </c>
      <c r="V131" s="21" t="n">
        <f aca="false">IF(U131="",0,IF(U131="transition",0,IF(U131="SW",AG131,IF(U131="AB",AH131,IF(U131="SC",AI131,IF(U131="Mag",AJ131,IF(U131="OR",AK131,IF(U131="HP",AL131,IF(U131="FP",AM131,0)))))))))</f>
        <v>0</v>
      </c>
      <c r="W131" s="27" t="n">
        <f aca="false">IF(U131="OR",Upgrades!$F$10,IF(U131="HP",Upgrades!$F$11,IF(U131="transition",-Parameters!$B$18,0)))</f>
        <v>0</v>
      </c>
      <c r="X131" s="21" t="n">
        <f aca="false">T131-V131</f>
        <v>18.6730249835055</v>
      </c>
      <c r="Y131" s="30" t="n">
        <f aca="false">M131*Parameters!$B$10/60*Parameters!$B$11+O131*M131+N131</f>
        <v>20.55</v>
      </c>
      <c r="Z131" s="35" t="str">
        <f aca="false">IF(U131="transition","→ Tier 2 (Stellar Neighborhood)",IF(U131="FP","First Photons — light begins, system quickens",IF(U131="HP","Heliopause acquired",IF(U131="OR","Orbital Resonance — passive multiplier active",IF(AND(AO131=1,L131=0,AN131&lt;&gt;1),"Cohesion ready (waiting on completionist upgrades)","")))))</f>
        <v/>
      </c>
      <c r="AA131" s="27" t="n">
        <f aca="false">(IF(E131=0,0,(Upgrades!$G$6+E131*Upgrades!$H$6)*POWER(Upgrades!$I$6,E131)))*(IF(Upgrades!$T$7="Solar Wind",POWER(Upgrades!$U$7,F131),1)*IF(Upgrades!$T$8="Solar Wind",POWER(Upgrades!$U$8,G131),1)*IF(Upgrades!$T$9="Solar Wind",POWER(Upgrades!$U$9,H131),1)*IF(Upgrades!$T$10="Solar Wind",POWER(Upgrades!$U$10,I131),1)*IF(Upgrades!$T$11="Solar Wind",POWER(Upgrades!$U$11,J131),1)*IF(Upgrades!$T$12="Solar Wind",POWER(Upgrades!$U$12,K131),1))*POWER(Upgrades!$P$6,E131)*POWER(Upgrades!$P$7,F131)*POWER(Upgrades!$P$8,G131)*POWER(Upgrades!$P$9,H131)*POWER(Upgrades!$P$10,I131)*POWER(Upgrades!$P$11,J131)*POWER(Upgrades!$P$12,K131)*60</f>
        <v>72</v>
      </c>
      <c r="AB131" s="27" t="n">
        <f aca="false">(IF(F131=0,0,(Upgrades!$G$7+F131*Upgrades!$H$7)*POWER(Upgrades!$I$7,F131)))*(IF(Upgrades!$T$6="Asteroid Belt",POWER(Upgrades!$U$6,E131),1)*IF(Upgrades!$T$8="Asteroid Belt",POWER(Upgrades!$U$8,G131),1)*IF(Upgrades!$T$9="Asteroid Belt",POWER(Upgrades!$U$9,H131),1)*IF(Upgrades!$T$10="Asteroid Belt",POWER(Upgrades!$U$10,I131),1)*IF(Upgrades!$T$11="Asteroid Belt",POWER(Upgrades!$U$11,J131),1)*IF(Upgrades!$T$12="Asteroid Belt",POWER(Upgrades!$U$12,K131),1))*POWER(Upgrades!$P$6,E131)*POWER(Upgrades!$P$7,F131)*POWER(Upgrades!$P$8,G131)*POWER(Upgrades!$P$9,H131)*POWER(Upgrades!$P$10,I131)*POWER(Upgrades!$P$11,J131)*POWER(Upgrades!$P$12,K131)*60</f>
        <v>150</v>
      </c>
      <c r="AC131" s="27" t="n">
        <f aca="false">(IF(G131=0,0,(Upgrades!$J$8+G131*Upgrades!$K$8)*POWER(Upgrades!$L$8,G131)))*(IF(Upgrades!$T$6="Stellar Coupling",POWER(Upgrades!$U$6,E131),1)*IF(Upgrades!$T$7="Stellar Coupling",POWER(Upgrades!$U$7,F131),1)*IF(Upgrades!$T$9="Stellar Coupling",POWER(Upgrades!$U$9,H131),1)*IF(Upgrades!$T$10="Stellar Coupling",POWER(Upgrades!$U$10,I131),1)*IF(Upgrades!$T$11="Stellar Coupling",POWER(Upgrades!$U$11,J131),1)*IF(Upgrades!$T$12="Stellar Coupling",POWER(Upgrades!$U$12,K131),1))*POWER(Upgrades!$Q$6,E131)*POWER(Upgrades!$Q$7,F131)*POWER(Upgrades!$Q$8,G131)*POWER(Upgrades!$Q$9,H131)*POWER(Upgrades!$Q$10,I131)*POWER(Upgrades!$Q$11,J131)*POWER(Upgrades!$Q$12,K131)*Parameters!$B$10*Parameters!$B$11</f>
        <v>441</v>
      </c>
      <c r="AD131" s="27" t="n">
        <f aca="false">(IF(H131=0,0,(Upgrades!$G$9+H131*Upgrades!$H$9)*POWER(Upgrades!$I$9,H131)))*(IF(Upgrades!$T$6="Magnetosphere",POWER(Upgrades!$U$6,E131),1)*IF(Upgrades!$T$7="Magnetosphere",POWER(Upgrades!$U$7,F131),1)*IF(Upgrades!$T$8="Magnetosphere",POWER(Upgrades!$U$8,G131),1)*IF(Upgrades!$T$10="Magnetosphere",POWER(Upgrades!$U$10,I131),1)*IF(Upgrades!$T$11="Magnetosphere",POWER(Upgrades!$U$11,J131),1)*IF(Upgrades!$T$12="Magnetosphere",POWER(Upgrades!$U$12,K131),1))*POWER(Upgrades!$P$6,E131)*POWER(Upgrades!$P$7,F131)*POWER(Upgrades!$P$8,G131)*POWER(Upgrades!$P$9,H131)*POWER(Upgrades!$P$10,I131)*POWER(Upgrades!$P$11,J131)*POWER(Upgrades!$P$12,K131)*60</f>
        <v>375</v>
      </c>
      <c r="AE131" s="27" t="n">
        <f aca="false">(IF(K131=0,0,(Upgrades!$G$12+K131*Upgrades!$H$12)*POWER(Upgrades!$I$12,K131)))*(IF(Upgrades!$T$6="First Photons",POWER(Upgrades!$U$6,E131),1)*IF(Upgrades!$T$7="First Photons",POWER(Upgrades!$U$7,F131),1)*IF(Upgrades!$T$8="First Photons",POWER(Upgrades!$U$8,G131),1)*IF(Upgrades!$T$9="First Photons",POWER(Upgrades!$U$9,H131),1)*IF(Upgrades!$T$10="First Photons",POWER(Upgrades!$U$10,I131),1)*IF(Upgrades!$T$11="First Photons",POWER(Upgrades!$U$11,J131),1))*POWER(Upgrades!$P$6,E131)*POWER(Upgrades!$P$7,F131)*POWER(Upgrades!$P$8,G131)*POWER(Upgrades!$P$9,H131)*POWER(Upgrades!$P$10,I131)*POWER(Upgrades!$P$11,J131)*POWER(Upgrades!$P$12,K131)*60</f>
        <v>75</v>
      </c>
      <c r="AF131" s="27" t="n">
        <f aca="false">Parameters!$B$9*POWER(Upgrades!$Q$6,E131)*POWER(Upgrades!$Q$7,F131)*POWER(Upgrades!$Q$8,G131)*POWER(Upgrades!$Q$9,H131)*POWER(Upgrades!$Q$10,I131)*POWER(Upgrades!$Q$11,J131)*POWER(Upgrades!$Q$12,K131)*(Parameters!$B$10*Parameters!$B$11+O131*60)</f>
        <v>120</v>
      </c>
      <c r="AG131" s="21" t="n">
        <f aca="false">IF(E131&gt;=Upgrades!$E$6,"",Upgrades!$C$6*POWER(Upgrades!$D$6,E131))</f>
        <v>37.4517507383159</v>
      </c>
      <c r="AH131" s="21" t="n">
        <f aca="false">IF(F131&gt;=Upgrades!$E$7,"",Upgrades!$C$7*POWER(Upgrades!$D$7,F131))</f>
        <v>80.9111547141581</v>
      </c>
      <c r="AI131" s="21" t="n">
        <f aca="false">IF(G131&gt;=Upgrades!$E$8,"",Upgrades!$C$8*POWER(Upgrades!$D$8,G131))</f>
        <v>231.9097088</v>
      </c>
      <c r="AJ131" s="21" t="str">
        <f aca="false">IF(H131&gt;=Upgrades!$E$9,"",Upgrades!$C$9*POWER(Upgrades!$D$9,H131))</f>
        <v/>
      </c>
      <c r="AK131" s="21" t="str">
        <f aca="false">IF(I131&gt;=Upgrades!$E$10,"",Upgrades!$C$10*POWER(Upgrades!$D$10,I131))</f>
        <v/>
      </c>
      <c r="AL131" s="21" t="str">
        <f aca="false">IF(J131&gt;=Upgrades!$E$11,"",Upgrades!$C$11*POWER(Upgrades!$D$11,J131))</f>
        <v/>
      </c>
      <c r="AM131" s="21" t="str">
        <f aca="false">IF(K131&gt;=Upgrades!$E$12,"",Upgrades!$C$12*POWER(Upgrades!$D$12,K131))</f>
        <v/>
      </c>
      <c r="AN131" s="26" t="str">
        <f aca="false">IF(AND(D131&gt;=Parameters!$B$18,(H131&gt;=Upgrades!$E$9)*(K131&gt;=Upgrades!$E$12)=1,L131=0),1,"")</f>
        <v/>
      </c>
      <c r="AO131" s="26" t="str">
        <f aca="false">IF(AND(D131&gt;=Parameters!$B$18,L131=0),1,"")</f>
        <v/>
      </c>
      <c r="AP131" s="21" t="n">
        <f aca="false">MIN(IF(ISNUMBER(AK131),AK131,9000000000000000),IF(ISNUMBER(AL131),AL131,9000000000000000),IF(ISNUMBER(AM131),AM131,9000000000000000))</f>
        <v>9000000000000000</v>
      </c>
      <c r="AQ131" s="21" t="n">
        <f aca="false">MIN(IF(ISNUMBER(AG131),AG131,9000000000000000),IF(ISNUMBER(AH131),AH131,9000000000000000),IF(ISNUMBER(AI131),AI131,9000000000000000),IF(ISNUMBER(AJ131),AJ131,9000000000000000))</f>
        <v>37.4517507383159</v>
      </c>
      <c r="AR131" s="32" t="b">
        <f aca="false">IF(AW131&gt;Parameters!$B$21*(MAX(IF(AND(NOT(AND(AO131=1,AN131&lt;&gt;1)),ISNUMBER(AG131),AG131&lt;=T131),AS131,0),IF(AND(NOT(AND(AO131=1,AN131&lt;&gt;1)),ISNUMBER(AH131),AH131&lt;=T131),AT131,0),IF(AND(NOT(AND(AO131=1,AN131&lt;&gt;1)),ISNUMBER(AI131),AI131&lt;=T131),AU131,0),IF(AND(ISNUMBER(AJ131),AJ131&lt;=T131),AV131,0))),TRUE(),FALSE())</f>
        <v>1</v>
      </c>
      <c r="AS131" s="33" t="n">
        <f aca="false">IFERROR(Upgrades!$H$6*(POWER(Upgrades!$P$6,E131)*POWER(Upgrades!$P$7,F131)*POWER(Upgrades!$P$8,G131)*POWER(Upgrades!$P$9,H131)*POWER(Upgrades!$P$10,I131)*POWER(Upgrades!$P$11,J131)*POWER(Upgrades!$P$12,K131))*(IF(Upgrades!$T$7="Solar Wind",POWER(Upgrades!$U$7,F131),1)*IF(Upgrades!$T$8="Solar Wind",POWER(Upgrades!$U$8,G131),1)*IF(Upgrades!$T$9="Solar Wind",POWER(Upgrades!$U$9,H131),1)*IF(Upgrades!$T$10="Solar Wind",POWER(Upgrades!$U$10,I131),1)*IF(Upgrades!$T$11="Solar Wind",POWER(Upgrades!$U$11,J131),1)*IF(Upgrades!$T$12="Solar Wind",POWER(Upgrades!$U$12,K131),1))/AG131,0)</f>
        <v>0.0026701021455238</v>
      </c>
      <c r="AT131" s="33" t="n">
        <f aca="false">IFERROR(Upgrades!$H$7*(POWER(Upgrades!$P$6,E131)*POWER(Upgrades!$P$7,F131)*POWER(Upgrades!$P$8,G131)*POWER(Upgrades!$P$9,H131)*POWER(Upgrades!$P$10,I131)*POWER(Upgrades!$P$11,J131)*POWER(Upgrades!$P$12,K131))*(IF(Upgrades!$T$6="Asteroid Belt",POWER(Upgrades!$U$6,E131),1)*IF(Upgrades!$T$8="Asteroid Belt",POWER(Upgrades!$U$8,G131),1)*IF(Upgrades!$T$9="Asteroid Belt",POWER(Upgrades!$U$9,H131),1)*IF(Upgrades!$T$10="Asteroid Belt",POWER(Upgrades!$U$10,I131),1)*IF(Upgrades!$T$11="Asteroid Belt",POWER(Upgrades!$U$11,J131),1)*IF(Upgrades!$T$12="Asteroid Belt",POWER(Upgrades!$U$12,K131),1))/AH131,0)</f>
        <v>0.00308980882652332</v>
      </c>
      <c r="AU131" s="33" t="n">
        <f aca="false">IFERROR(Upgrades!$K$8*(POWER(Upgrades!$Q$6,E131)*POWER(Upgrades!$Q$7,F131)*POWER(Upgrades!$Q$8,G131)*POWER(Upgrades!$Q$9,H131)*POWER(Upgrades!$Q$10,I131)*POWER(Upgrades!$Q$11,J131)*POWER(Upgrades!$Q$12,K131))*(IF(Upgrades!$T$6="Stellar Coupling",POWER(Upgrades!$U$6,E131),1)*IF(Upgrades!$T$7="Stellar Coupling",POWER(Upgrades!$U$7,F131),1)*IF(Upgrades!$T$9="Stellar Coupling",POWER(Upgrades!$U$9,H131),1)*IF(Upgrades!$T$10="Stellar Coupling",POWER(Upgrades!$U$10,I131),1)*IF(Upgrades!$T$11="Stellar Coupling",POWER(Upgrades!$U$11,J131),1)*IF(Upgrades!$T$12="Stellar Coupling",POWER(Upgrades!$U$12,K131),1))*Parameters!$B$10*Parameters!$B$11/60/AI131,0)</f>
        <v>0.00452762415783776</v>
      </c>
      <c r="AV131" s="33" t="n">
        <f aca="false">IFERROR(Upgrades!$H$9*(POWER(Upgrades!$P$6,E131)*POWER(Upgrades!$P$7,F131)*POWER(Upgrades!$P$8,G131)*POWER(Upgrades!$P$9,H131)*POWER(Upgrades!$P$10,I131)*POWER(Upgrades!$P$11,J131)*POWER(Upgrades!$P$12,K131))*(IF(Upgrades!$T$6="Magnetosphere",POWER(Upgrades!$U$6,E131),1)*IF(Upgrades!$T$7="Magnetosphere",POWER(Upgrades!$U$7,F131),1)*IF(Upgrades!$T$8="Magnetosphere",POWER(Upgrades!$U$8,G131),1)*IF(Upgrades!$T$10="Magnetosphere",POWER(Upgrades!$U$10,I131),1)*IF(Upgrades!$T$11="Magnetosphere",POWER(Upgrades!$U$11,J131),1)*IF(Upgrades!$T$12="Magnetosphere",POWER(Upgrades!$U$12,K131),1))/AJ131,0)</f>
        <v>0</v>
      </c>
      <c r="AW131" s="33" t="n">
        <f aca="false">MAX(IF(I131&gt;0,0,IFERROR(0.25*N131/Upgrades!$C$10,0)),IF(J131&gt;0,0,IFERROR(0.5*((IF(G131=0,0,(Upgrades!$J$8+G131*Upgrades!$K$8)*POWER(Upgrades!$L$8,G131)))*(IF(Upgrades!$T$6="Stellar Coupling",POWER(Upgrades!$U$6,E131),1)*IF(Upgrades!$T$7="Stellar Coupling",POWER(Upgrades!$U$7,F131),1)*IF(Upgrades!$T$9="Stellar Coupling",POWER(Upgrades!$U$9,H131),1)*IF(Upgrades!$T$10="Stellar Coupling",POWER(Upgrades!$U$10,I131),1)*IF(Upgrades!$T$11="Stellar Coupling",POWER(Upgrades!$U$11,J131),1)*IF(Upgrades!$T$12="Stellar Coupling",POWER(Upgrades!$U$12,K131),1))*(POWER(Upgrades!$Q$6,E131)*POWER(Upgrades!$Q$7,F131)*POWER(Upgrades!$Q$8,G131)*POWER(Upgrades!$Q$9,H131)*POWER(Upgrades!$Q$10,I131)*POWER(Upgrades!$Q$11,J131)*POWER(Upgrades!$Q$12,K131))*Parameters!$B$10*Parameters!$B$11/60)/Upgrades!$C$11,0)),IF(K131&gt;0,0,IFERROR((1*(POWER(Upgrades!$P$6,E131)*POWER(Upgrades!$P$7,F131)*POWER(Upgrades!$P$8,G131)*POWER(Upgrades!$P$9,H131)*POWER(Upgrades!$P$10,I131)*POWER(Upgrades!$P$11,J131)*POWER(Upgrades!$P$12,K131))+0.2*M131*Parameters!$B$10*Parameters!$B$11/60)/Upgrades!$C$12,0)),IF(AND(ISNUMBER(AG131),AG131&gt;T131),AS131,0),IF(AND(ISNUMBER(AH131),AH131&gt;T131),AT131,0),IF(AND(ISNUMBER(AI131),AI131&gt;T131),AU131,0),IF(AND(ISNUMBER(AJ131),AJ131&gt;T131),AV131,0))</f>
        <v>0.00452762415783776</v>
      </c>
      <c r="AX131" s="29" t="str">
        <f aca="false">IF(AN131=1,"transition",IF(MIN(IF(AND(I131=0,ISNUMBER(AK131),AK131&lt;=T131),AK131,9000000000000000),IF(AND(J131=0,ISNUMBER(AL131),AL131&lt;=T131),AL131,9000000000000000),IF(AND(K131=0,ISNUMBER(AM131),AM131&lt;=T131),AM131,9000000000000000))&lt;9000000000000000,IF(AND(AND(I131=0,ISNUMBER(AK131),AK131&lt;=T131),AK131=MIN(IF(AND(I131=0,ISNUMBER(AK131),AK131&lt;=T131),AK131,9000000000000000),IF(AND(J131=0,ISNUMBER(AL131),AL131&lt;=T131),AL131,9000000000000000),IF(AND(K131=0,ISNUMBER(AM131),AM131&lt;=T131),AM131,9000000000000000))),"OR",IF(AND(AND(J131=0,ISNUMBER(AL131),AL131&lt;=T131),AL131=MIN(IF(AND(I131=0,ISNUMBER(AK131),AK131&lt;=T131),AK131,9000000000000000),IF(AND(J131=0,ISNUMBER(AL131),AL131&lt;=T131),AL131,9000000000000000),IF(AND(K131=0,ISNUMBER(AM131),AM131&lt;=T131),AM131,9000000000000000))),"HP","FP")),IF(AR131=TRUE(),"",IF(MAX(IF(AND(NOT(AND(AO131=1,AN131&lt;&gt;1)),ISNUMBER(AG131),AG131&lt;=T131),AS131,0),IF(AND(NOT(AND(AO131=1,AN131&lt;&gt;1)),ISNUMBER(AH131),AH131&lt;=T131),AT131,0),IF(AND(NOT(AND(AO131=1,AN131&lt;&gt;1)),ISNUMBER(AI131),AI131&lt;=T131),AU131,0),IF(AND(ISNUMBER(AJ131),AJ131&lt;=T131),AV131,0))&lt;=0,"",IF(AND(IF(AND(NOT(AND(AO131=1,AN131&lt;&gt;1)),ISNUMBER(AG131),AG131&lt;=T131),AS131,0)&gt;0,IF(AND(NOT(AND(AO131=1,AN131&lt;&gt;1)),ISNUMBER(AG131),AG131&lt;=T131),AS131,0)=MAX(IF(AND(NOT(AND(AO131=1,AN131&lt;&gt;1)),ISNUMBER(AG131),AG131&lt;=T131),AS131,0),IF(AND(NOT(AND(AO131=1,AN131&lt;&gt;1)),ISNUMBER(AH131),AH131&lt;=T131),AT131,0),IF(AND(NOT(AND(AO131=1,AN131&lt;&gt;1)),ISNUMBER(AI131),AI131&lt;=T131),AU131,0),IF(AND(ISNUMBER(AJ131),AJ131&lt;=T131),AV131,0))),"SW",IF(AND(IF(AND(NOT(AND(AO131=1,AN131&lt;&gt;1)),ISNUMBER(AH131),AH131&lt;=T131),AT131,0)&gt;0,IF(AND(NOT(AND(AO131=1,AN131&lt;&gt;1)),ISNUMBER(AH131),AH131&lt;=T131),AT131,0)=MAX(IF(AND(NOT(AND(AO131=1,AN131&lt;&gt;1)),ISNUMBER(AG131),AG131&lt;=T131),AS131,0),IF(AND(NOT(AND(AO131=1,AN131&lt;&gt;1)),ISNUMBER(AH131),AH131&lt;=T131),AT131,0),IF(AND(NOT(AND(AO131=1,AN131&lt;&gt;1)),ISNUMBER(AI131),AI131&lt;=T131),AU131,0),IF(AND(ISNUMBER(AJ131),AJ131&lt;=T131),AV131,0))),"AB",IF(AND(IF(AND(NOT(AND(AO131=1,AN131&lt;&gt;1)),ISNUMBER(AI131),AI131&lt;=T131),AU131,0)&gt;0,IF(AND(NOT(AND(AO131=1,AN131&lt;&gt;1)),ISNUMBER(AI131),AI131&lt;=T131),AU131,0)=MAX(IF(AND(NOT(AND(AO131=1,AN131&lt;&gt;1)),ISNUMBER(AG131),AG131&lt;=T131),AS131,0),IF(AND(NOT(AND(AO131=1,AN131&lt;&gt;1)),ISNUMBER(AH131),AH131&lt;=T131),AT131,0),IF(AND(NOT(AND(AO131=1,AN131&lt;&gt;1)),ISNUMBER(AI131),AI131&lt;=T131),AU131,0),IF(AND(ISNUMBER(AJ131),AJ131&lt;=T131),AV131,0))),"SC","Mag")))))))</f>
        <v/>
      </c>
    </row>
    <row r="132" customFormat="false" ht="15" hidden="false" customHeight="false" outlineLevel="0" collapsed="false">
      <c r="A132" s="26" t="n">
        <v>127</v>
      </c>
      <c r="B132" s="27" t="n">
        <f aca="false">A132*10/60</f>
        <v>21.1666666666667</v>
      </c>
      <c r="C132" s="21" t="n">
        <f aca="false">X131</f>
        <v>18.6730249835055</v>
      </c>
      <c r="D132" s="27" t="n">
        <f aca="false">D131+W131</f>
        <v>0</v>
      </c>
      <c r="E132" s="26" t="n">
        <f aca="false">E131+IF(U131="SW",1,0)</f>
        <v>12</v>
      </c>
      <c r="F132" s="26" t="n">
        <f aca="false">F131+IF(U131="AB",1,0)</f>
        <v>10</v>
      </c>
      <c r="G132" s="26" t="n">
        <f aca="false">G131+IF(U131="SC",1,0)</f>
        <v>7</v>
      </c>
      <c r="H132" s="26" t="n">
        <f aca="false">H131+IF(U131="Mag",1,0)</f>
        <v>5</v>
      </c>
      <c r="I132" s="26" t="n">
        <f aca="false">MAX(I131,IF(U131="OR",1,0))</f>
        <v>1</v>
      </c>
      <c r="J132" s="26" t="n">
        <f aca="false">MAX(J131,IF(U131="HP",1,0))</f>
        <v>1</v>
      </c>
      <c r="K132" s="26" t="n">
        <f aca="false">MAX(K131,IF(U131="FP",1,0))</f>
        <v>1</v>
      </c>
      <c r="L132" s="26" t="n">
        <f aca="false">MAX(L131,IF(U131="transition",1,0))</f>
        <v>1</v>
      </c>
      <c r="M132" s="28" t="n">
        <f aca="false">(Parameters!$B$9+(IF(E132=0,0,(Upgrades!$J$6+E132*Upgrades!$K$6)*POWER(Upgrades!$L$6,E132)))*(IF(Upgrades!$T$7="Solar Wind",POWER(Upgrades!$U$7,F132),1)*IF(Upgrades!$T$8="Solar Wind",POWER(Upgrades!$U$8,G132),1)*IF(Upgrades!$T$9="Solar Wind",POWER(Upgrades!$U$9,H132),1)*IF(Upgrades!$T$10="Solar Wind",POWER(Upgrades!$U$10,I132),1)*IF(Upgrades!$T$11="Solar Wind",POWER(Upgrades!$U$11,J132),1)*IF(Upgrades!$T$12="Solar Wind",POWER(Upgrades!$U$12,K132),1))+(IF(F132=0,0,(Upgrades!$J$7+F132*Upgrades!$K$7)*POWER(Upgrades!$L$7,F132)))*(IF(Upgrades!$T$6="Asteroid Belt",POWER(Upgrades!$U$6,E132),1)*IF(Upgrades!$T$8="Asteroid Belt",POWER(Upgrades!$U$8,G132),1)*IF(Upgrades!$T$9="Asteroid Belt",POWER(Upgrades!$U$9,H132),1)*IF(Upgrades!$T$10="Asteroid Belt",POWER(Upgrades!$U$10,I132),1)*IF(Upgrades!$T$11="Asteroid Belt",POWER(Upgrades!$U$11,J132),1)*IF(Upgrades!$T$12="Asteroid Belt",POWER(Upgrades!$U$12,K132),1))+(IF(G132=0,0,(Upgrades!$J$8+G132*Upgrades!$K$8)*POWER(Upgrades!$L$8,G132)))*(IF(Upgrades!$T$6="Stellar Coupling",POWER(Upgrades!$U$6,E132),1)*IF(Upgrades!$T$7="Stellar Coupling",POWER(Upgrades!$U$7,F132),1)*IF(Upgrades!$T$9="Stellar Coupling",POWER(Upgrades!$U$9,H132),1)*IF(Upgrades!$T$10="Stellar Coupling",POWER(Upgrades!$U$10,I132),1)*IF(Upgrades!$T$11="Stellar Coupling",POWER(Upgrades!$U$11,J132),1)*IF(Upgrades!$T$12="Stellar Coupling",POWER(Upgrades!$U$12,K132),1))+(IF(H132=0,0,(Upgrades!$J$9+H132*Upgrades!$K$9)*POWER(Upgrades!$L$9,H132)))*(IF(Upgrades!$T$6="Magnetosphere",POWER(Upgrades!$U$6,E132),1)*IF(Upgrades!$T$7="Magnetosphere",POWER(Upgrades!$U$7,F132),1)*IF(Upgrades!$T$8="Magnetosphere",POWER(Upgrades!$U$8,G132),1)*IF(Upgrades!$T$10="Magnetosphere",POWER(Upgrades!$U$10,I132),1)*IF(Upgrades!$T$11="Magnetosphere",POWER(Upgrades!$U$11,J132),1)*IF(Upgrades!$T$12="Magnetosphere",POWER(Upgrades!$U$12,K132),1))+(IF(I132=0,0,(Upgrades!$J$10+I132*Upgrades!$K$10)*POWER(Upgrades!$L$10,I132)))*(IF(Upgrades!$T$6="Orbital Resonance",POWER(Upgrades!$U$6,E132),1)*IF(Upgrades!$T$7="Orbital Resonance",POWER(Upgrades!$U$7,F132),1)*IF(Upgrades!$T$8="Orbital Resonance",POWER(Upgrades!$U$8,G132),1)*IF(Upgrades!$T$9="Orbital Resonance",POWER(Upgrades!$U$9,H132),1)*IF(Upgrades!$T$11="Orbital Resonance",POWER(Upgrades!$U$11,J132),1)*IF(Upgrades!$T$12="Orbital Resonance",POWER(Upgrades!$U$12,K132),1))+(IF(J132=0,0,(Upgrades!$J$11+J132*Upgrades!$K$11)*POWER(Upgrades!$L$11,J132)))*(IF(Upgrades!$T$6="Heliopause",POWER(Upgrades!$U$6,E132),1)*IF(Upgrades!$T$7="Heliopause",POWER(Upgrades!$U$7,F132),1)*IF(Upgrades!$T$8="Heliopause",POWER(Upgrades!$U$8,G132),1)*IF(Upgrades!$T$9="Heliopause",POWER(Upgrades!$U$9,H132),1)*IF(Upgrades!$T$10="Heliopause",POWER(Upgrades!$U$10,I132),1)*IF(Upgrades!$T$12="Heliopause",POWER(Upgrades!$U$12,K132),1))+(IF(K132=0,0,(Upgrades!$J$12+K132*Upgrades!$K$12)*POWER(Upgrades!$L$12,K132)))*(IF(Upgrades!$T$6="First Photons",POWER(Upgrades!$U$6,E132),1)*IF(Upgrades!$T$7="First Photons",POWER(Upgrades!$U$7,F132),1)*IF(Upgrades!$T$8="First Photons",POWER(Upgrades!$U$8,G132),1)*IF(Upgrades!$T$9="First Photons",POWER(Upgrades!$U$9,H132),1)*IF(Upgrades!$T$10="First Photons",POWER(Upgrades!$U$10,I132),1)*IF(Upgrades!$T$11="First Photons",POWER(Upgrades!$U$11,J132),1)))*POWER(Upgrades!$Q$6,E132)*POWER(Upgrades!$Q$7,F132)*POWER(Upgrades!$Q$8,G132)*POWER(Upgrades!$Q$9,H132)*POWER(Upgrades!$Q$10,I132)*POWER(Upgrades!$Q$11,J132)*POWER(Upgrades!$Q$12,K132)</f>
        <v>5.61</v>
      </c>
      <c r="N132" s="28" t="n">
        <f aca="false">((IF(E132=0,0,(Upgrades!$G$6+E132*Upgrades!$H$6)*POWER(Upgrades!$I$6,E132)))*(IF(Upgrades!$T$7="Solar Wind",POWER(Upgrades!$U$7,F132),1)*IF(Upgrades!$T$8="Solar Wind",POWER(Upgrades!$U$8,G132),1)*IF(Upgrades!$T$9="Solar Wind",POWER(Upgrades!$U$9,H132),1)*IF(Upgrades!$T$10="Solar Wind",POWER(Upgrades!$U$10,I132),1)*IF(Upgrades!$T$11="Solar Wind",POWER(Upgrades!$U$11,J132),1)*IF(Upgrades!$T$12="Solar Wind",POWER(Upgrades!$U$12,K132),1))+(IF(F132=0,0,(Upgrades!$G$7+F132*Upgrades!$H$7)*POWER(Upgrades!$I$7,F132)))*(IF(Upgrades!$T$6="Asteroid Belt",POWER(Upgrades!$U$6,E132),1)*IF(Upgrades!$T$8="Asteroid Belt",POWER(Upgrades!$U$8,G132),1)*IF(Upgrades!$T$9="Asteroid Belt",POWER(Upgrades!$U$9,H132),1)*IF(Upgrades!$T$10="Asteroid Belt",POWER(Upgrades!$U$10,I132),1)*IF(Upgrades!$T$11="Asteroid Belt",POWER(Upgrades!$U$11,J132),1)*IF(Upgrades!$T$12="Asteroid Belt",POWER(Upgrades!$U$12,K132),1))+(IF(G132=0,0,(Upgrades!$G$8+G132*Upgrades!$H$8)*POWER(Upgrades!$I$8,G132)))*(IF(Upgrades!$T$6="Stellar Coupling",POWER(Upgrades!$U$6,E132),1)*IF(Upgrades!$T$7="Stellar Coupling",POWER(Upgrades!$U$7,F132),1)*IF(Upgrades!$T$9="Stellar Coupling",POWER(Upgrades!$U$9,H132),1)*IF(Upgrades!$T$10="Stellar Coupling",POWER(Upgrades!$U$10,I132),1)*IF(Upgrades!$T$11="Stellar Coupling",POWER(Upgrades!$U$11,J132),1)*IF(Upgrades!$T$12="Stellar Coupling",POWER(Upgrades!$U$12,K132),1))+(IF(H132=0,0,(Upgrades!$G$9+H132*Upgrades!$H$9)*POWER(Upgrades!$I$9,H132)))*(IF(Upgrades!$T$6="Magnetosphere",POWER(Upgrades!$U$6,E132),1)*IF(Upgrades!$T$7="Magnetosphere",POWER(Upgrades!$U$7,F132),1)*IF(Upgrades!$T$8="Magnetosphere",POWER(Upgrades!$U$8,G132),1)*IF(Upgrades!$T$10="Magnetosphere",POWER(Upgrades!$U$10,I132),1)*IF(Upgrades!$T$11="Magnetosphere",POWER(Upgrades!$U$11,J132),1)*IF(Upgrades!$T$12="Magnetosphere",POWER(Upgrades!$U$12,K132),1))+(IF(I132=0,0,(Upgrades!$G$10+I132*Upgrades!$H$10)*POWER(Upgrades!$I$10,I132)))*(IF(Upgrades!$T$6="Orbital Resonance",POWER(Upgrades!$U$6,E132),1)*IF(Upgrades!$T$7="Orbital Resonance",POWER(Upgrades!$U$7,F132),1)*IF(Upgrades!$T$8="Orbital Resonance",POWER(Upgrades!$U$8,G132),1)*IF(Upgrades!$T$9="Orbital Resonance",POWER(Upgrades!$U$9,H132),1)*IF(Upgrades!$T$11="Orbital Resonance",POWER(Upgrades!$U$11,J132),1)*IF(Upgrades!$T$12="Orbital Resonance",POWER(Upgrades!$U$12,K132),1))+(IF(J132=0,0,(Upgrades!$G$11+J132*Upgrades!$H$11)*POWER(Upgrades!$I$11,J132)))*(IF(Upgrades!$T$6="Heliopause",POWER(Upgrades!$U$6,E132),1)*IF(Upgrades!$T$7="Heliopause",POWER(Upgrades!$U$7,F132),1)*IF(Upgrades!$T$8="Heliopause",POWER(Upgrades!$U$8,G132),1)*IF(Upgrades!$T$9="Heliopause",POWER(Upgrades!$U$9,H132),1)*IF(Upgrades!$T$10="Heliopause",POWER(Upgrades!$U$10,I132),1)*IF(Upgrades!$T$12="Heliopause",POWER(Upgrades!$U$12,K132),1))+(IF(K132=0,0,(Upgrades!$G$12+K132*Upgrades!$H$12)*POWER(Upgrades!$I$12,K132)))*(IF(Upgrades!$T$6="First Photons",POWER(Upgrades!$U$6,E132),1)*IF(Upgrades!$T$7="First Photons",POWER(Upgrades!$U$7,F132),1)*IF(Upgrades!$T$8="First Photons",POWER(Upgrades!$U$8,G132),1)*IF(Upgrades!$T$9="First Photons",POWER(Upgrades!$U$9,H132),1)*IF(Upgrades!$T$10="First Photons",POWER(Upgrades!$U$10,I132),1)*IF(Upgrades!$T$11="First Photons",POWER(Upgrades!$U$11,J132),1)))*POWER(Upgrades!$P$6,E132)*POWER(Upgrades!$P$7,F132)*POWER(Upgrades!$P$8,G132)*POWER(Upgrades!$P$9,H132)*POWER(Upgrades!$P$10,I132)*POWER(Upgrades!$P$11,J132)*POWER(Upgrades!$P$12,K132)</f>
        <v>11.2</v>
      </c>
      <c r="O132" s="28" t="n">
        <f aca="false">((IF(E132=0,0,(Upgrades!$M$6+E132*Upgrades!$N$6)*POWER(Upgrades!$O$6,E132)))*(IF(Upgrades!$T$7="Solar Wind",POWER(Upgrades!$U$7,F132),1)*IF(Upgrades!$T$8="Solar Wind",POWER(Upgrades!$U$8,G132),1)*IF(Upgrades!$T$9="Solar Wind",POWER(Upgrades!$U$9,H132),1)*IF(Upgrades!$T$10="Solar Wind",POWER(Upgrades!$U$10,I132),1)*IF(Upgrades!$T$11="Solar Wind",POWER(Upgrades!$U$11,J132),1)*IF(Upgrades!$T$12="Solar Wind",POWER(Upgrades!$U$12,K132),1))+(IF(F132=0,0,(Upgrades!$M$7+F132*Upgrades!$N$7)*POWER(Upgrades!$O$7,F132)))*(IF(Upgrades!$T$6="Asteroid Belt",POWER(Upgrades!$U$6,E132),1)*IF(Upgrades!$T$8="Asteroid Belt",POWER(Upgrades!$U$8,G132),1)*IF(Upgrades!$T$9="Asteroid Belt",POWER(Upgrades!$U$9,H132),1)*IF(Upgrades!$T$10="Asteroid Belt",POWER(Upgrades!$U$10,I132),1)*IF(Upgrades!$T$11="Asteroid Belt",POWER(Upgrades!$U$11,J132),1)*IF(Upgrades!$T$12="Asteroid Belt",POWER(Upgrades!$U$12,K132),1))+(IF(G132=0,0,(Upgrades!$M$8+G132*Upgrades!$N$8)*POWER(Upgrades!$O$8,G132)))*(IF(Upgrades!$T$6="Stellar Coupling",POWER(Upgrades!$U$6,E132),1)*IF(Upgrades!$T$7="Stellar Coupling",POWER(Upgrades!$U$7,F132),1)*IF(Upgrades!$T$9="Stellar Coupling",POWER(Upgrades!$U$9,H132),1)*IF(Upgrades!$T$10="Stellar Coupling",POWER(Upgrades!$U$10,I132),1)*IF(Upgrades!$T$11="Stellar Coupling",POWER(Upgrades!$U$11,J132),1)*IF(Upgrades!$T$12="Stellar Coupling",POWER(Upgrades!$U$12,K132),1))+(IF(H132=0,0,(Upgrades!$M$9+H132*Upgrades!$N$9)*POWER(Upgrades!$O$9,H132)))*(IF(Upgrades!$T$6="Magnetosphere",POWER(Upgrades!$U$6,E132),1)*IF(Upgrades!$T$7="Magnetosphere",POWER(Upgrades!$U$7,F132),1)*IF(Upgrades!$T$8="Magnetosphere",POWER(Upgrades!$U$8,G132),1)*IF(Upgrades!$T$10="Magnetosphere",POWER(Upgrades!$U$10,I132),1)*IF(Upgrades!$T$11="Magnetosphere",POWER(Upgrades!$U$11,J132),1)*IF(Upgrades!$T$12="Magnetosphere",POWER(Upgrades!$U$12,K132),1))+(IF(I132=0,0,(Upgrades!$M$10+I132*Upgrades!$N$10)*POWER(Upgrades!$O$10,I132)))*(IF(Upgrades!$T$6="Orbital Resonance",POWER(Upgrades!$U$6,E132),1)*IF(Upgrades!$T$7="Orbital Resonance",POWER(Upgrades!$U$7,F132),1)*IF(Upgrades!$T$8="Orbital Resonance",POWER(Upgrades!$U$8,G132),1)*IF(Upgrades!$T$9="Orbital Resonance",POWER(Upgrades!$U$9,H132),1)*IF(Upgrades!$T$11="Orbital Resonance",POWER(Upgrades!$U$11,J132),1)*IF(Upgrades!$T$12="Orbital Resonance",POWER(Upgrades!$U$12,K132),1))+(IF(J132=0,0,(Upgrades!$M$11+J132*Upgrades!$N$11)*POWER(Upgrades!$O$11,J132)))*(IF(Upgrades!$T$6="Heliopause",POWER(Upgrades!$U$6,E132),1)*IF(Upgrades!$T$7="Heliopause",POWER(Upgrades!$U$7,F132),1)*IF(Upgrades!$T$8="Heliopause",POWER(Upgrades!$U$8,G132),1)*IF(Upgrades!$T$9="Heliopause",POWER(Upgrades!$U$9,H132),1)*IF(Upgrades!$T$10="Heliopause",POWER(Upgrades!$U$10,I132),1)*IF(Upgrades!$T$12="Heliopause",POWER(Upgrades!$U$12,K132),1))+(IF(K132=0,0,(Upgrades!$M$12+K132*Upgrades!$N$12)*POWER(Upgrades!$O$12,K132)))*(IF(Upgrades!$T$6="First Photons",POWER(Upgrades!$U$6,E132),1)*IF(Upgrades!$T$7="First Photons",POWER(Upgrades!$U$7,F132),1)*IF(Upgrades!$T$8="First Photons",POWER(Upgrades!$U$8,G132),1)*IF(Upgrades!$T$9="First Photons",POWER(Upgrades!$U$9,H132),1)*IF(Upgrades!$T$10="First Photons",POWER(Upgrades!$U$10,I132),1)*IF(Upgrades!$T$11="First Photons",POWER(Upgrades!$U$11,J132),1)))*POWER(Upgrades!$R$6,E132)*POWER(Upgrades!$R$7,F132)*POWER(Upgrades!$R$8,G132)*POWER(Upgrades!$R$9,H132)*POWER(Upgrades!$R$10,I132)*POWER(Upgrades!$R$11,J132)*POWER(Upgrades!$R$12,K132)</f>
        <v>0</v>
      </c>
      <c r="P132" s="27" t="n">
        <f aca="false">IF(L132=1,0,M132*Parameters!$B$10/60*Parameters!$B$11*10)</f>
        <v>0</v>
      </c>
      <c r="Q132" s="27" t="n">
        <f aca="false">IF(L132=1,0,O132*M132*10)</f>
        <v>0</v>
      </c>
      <c r="R132" s="27" t="n">
        <f aca="false">IF(L132=1,0,N132*10)</f>
        <v>0</v>
      </c>
      <c r="S132" s="27" t="n">
        <f aca="false">P132+Q132+R132</f>
        <v>0</v>
      </c>
      <c r="T132" s="21" t="n">
        <f aca="false">C132+S132</f>
        <v>18.6730249835055</v>
      </c>
      <c r="U132" s="34" t="str">
        <f aca="false">AX132</f>
        <v/>
      </c>
      <c r="V132" s="21" t="n">
        <f aca="false">IF(U132="",0,IF(U132="transition",0,IF(U132="SW",AG132,IF(U132="AB",AH132,IF(U132="SC",AI132,IF(U132="Mag",AJ132,IF(U132="OR",AK132,IF(U132="HP",AL132,IF(U132="FP",AM132,0)))))))))</f>
        <v>0</v>
      </c>
      <c r="W132" s="27" t="n">
        <f aca="false">IF(U132="OR",Upgrades!$F$10,IF(U132="HP",Upgrades!$F$11,IF(U132="transition",-Parameters!$B$18,0)))</f>
        <v>0</v>
      </c>
      <c r="X132" s="21" t="n">
        <f aca="false">T132-V132</f>
        <v>18.6730249835055</v>
      </c>
      <c r="Y132" s="30" t="n">
        <f aca="false">M132*Parameters!$B$10/60*Parameters!$B$11+O132*M132+N132</f>
        <v>20.55</v>
      </c>
      <c r="Z132" s="35" t="str">
        <f aca="false">IF(U132="transition","→ Tier 2 (Stellar Neighborhood)",IF(U132="FP","First Photons — light begins, system quickens",IF(U132="HP","Heliopause acquired",IF(U132="OR","Orbital Resonance — passive multiplier active",IF(AND(AO132=1,L132=0,AN132&lt;&gt;1),"Cohesion ready (waiting on completionist upgrades)","")))))</f>
        <v/>
      </c>
      <c r="AA132" s="27" t="n">
        <f aca="false">(IF(E132=0,0,(Upgrades!$G$6+E132*Upgrades!$H$6)*POWER(Upgrades!$I$6,E132)))*(IF(Upgrades!$T$7="Solar Wind",POWER(Upgrades!$U$7,F132),1)*IF(Upgrades!$T$8="Solar Wind",POWER(Upgrades!$U$8,G132),1)*IF(Upgrades!$T$9="Solar Wind",POWER(Upgrades!$U$9,H132),1)*IF(Upgrades!$T$10="Solar Wind",POWER(Upgrades!$U$10,I132),1)*IF(Upgrades!$T$11="Solar Wind",POWER(Upgrades!$U$11,J132),1)*IF(Upgrades!$T$12="Solar Wind",POWER(Upgrades!$U$12,K132),1))*POWER(Upgrades!$P$6,E132)*POWER(Upgrades!$P$7,F132)*POWER(Upgrades!$P$8,G132)*POWER(Upgrades!$P$9,H132)*POWER(Upgrades!$P$10,I132)*POWER(Upgrades!$P$11,J132)*POWER(Upgrades!$P$12,K132)*60</f>
        <v>72</v>
      </c>
      <c r="AB132" s="27" t="n">
        <f aca="false">(IF(F132=0,0,(Upgrades!$G$7+F132*Upgrades!$H$7)*POWER(Upgrades!$I$7,F132)))*(IF(Upgrades!$T$6="Asteroid Belt",POWER(Upgrades!$U$6,E132),1)*IF(Upgrades!$T$8="Asteroid Belt",POWER(Upgrades!$U$8,G132),1)*IF(Upgrades!$T$9="Asteroid Belt",POWER(Upgrades!$U$9,H132),1)*IF(Upgrades!$T$10="Asteroid Belt",POWER(Upgrades!$U$10,I132),1)*IF(Upgrades!$T$11="Asteroid Belt",POWER(Upgrades!$U$11,J132),1)*IF(Upgrades!$T$12="Asteroid Belt",POWER(Upgrades!$U$12,K132),1))*POWER(Upgrades!$P$6,E132)*POWER(Upgrades!$P$7,F132)*POWER(Upgrades!$P$8,G132)*POWER(Upgrades!$P$9,H132)*POWER(Upgrades!$P$10,I132)*POWER(Upgrades!$P$11,J132)*POWER(Upgrades!$P$12,K132)*60</f>
        <v>150</v>
      </c>
      <c r="AC132" s="27" t="n">
        <f aca="false">(IF(G132=0,0,(Upgrades!$J$8+G132*Upgrades!$K$8)*POWER(Upgrades!$L$8,G132)))*(IF(Upgrades!$T$6="Stellar Coupling",POWER(Upgrades!$U$6,E132),1)*IF(Upgrades!$T$7="Stellar Coupling",POWER(Upgrades!$U$7,F132),1)*IF(Upgrades!$T$9="Stellar Coupling",POWER(Upgrades!$U$9,H132),1)*IF(Upgrades!$T$10="Stellar Coupling",POWER(Upgrades!$U$10,I132),1)*IF(Upgrades!$T$11="Stellar Coupling",POWER(Upgrades!$U$11,J132),1)*IF(Upgrades!$T$12="Stellar Coupling",POWER(Upgrades!$U$12,K132),1))*POWER(Upgrades!$Q$6,E132)*POWER(Upgrades!$Q$7,F132)*POWER(Upgrades!$Q$8,G132)*POWER(Upgrades!$Q$9,H132)*POWER(Upgrades!$Q$10,I132)*POWER(Upgrades!$Q$11,J132)*POWER(Upgrades!$Q$12,K132)*Parameters!$B$10*Parameters!$B$11</f>
        <v>441</v>
      </c>
      <c r="AD132" s="27" t="n">
        <f aca="false">(IF(H132=0,0,(Upgrades!$G$9+H132*Upgrades!$H$9)*POWER(Upgrades!$I$9,H132)))*(IF(Upgrades!$T$6="Magnetosphere",POWER(Upgrades!$U$6,E132),1)*IF(Upgrades!$T$7="Magnetosphere",POWER(Upgrades!$U$7,F132),1)*IF(Upgrades!$T$8="Magnetosphere",POWER(Upgrades!$U$8,G132),1)*IF(Upgrades!$T$10="Magnetosphere",POWER(Upgrades!$U$10,I132),1)*IF(Upgrades!$T$11="Magnetosphere",POWER(Upgrades!$U$11,J132),1)*IF(Upgrades!$T$12="Magnetosphere",POWER(Upgrades!$U$12,K132),1))*POWER(Upgrades!$P$6,E132)*POWER(Upgrades!$P$7,F132)*POWER(Upgrades!$P$8,G132)*POWER(Upgrades!$P$9,H132)*POWER(Upgrades!$P$10,I132)*POWER(Upgrades!$P$11,J132)*POWER(Upgrades!$P$12,K132)*60</f>
        <v>375</v>
      </c>
      <c r="AE132" s="27" t="n">
        <f aca="false">(IF(K132=0,0,(Upgrades!$G$12+K132*Upgrades!$H$12)*POWER(Upgrades!$I$12,K132)))*(IF(Upgrades!$T$6="First Photons",POWER(Upgrades!$U$6,E132),1)*IF(Upgrades!$T$7="First Photons",POWER(Upgrades!$U$7,F132),1)*IF(Upgrades!$T$8="First Photons",POWER(Upgrades!$U$8,G132),1)*IF(Upgrades!$T$9="First Photons",POWER(Upgrades!$U$9,H132),1)*IF(Upgrades!$T$10="First Photons",POWER(Upgrades!$U$10,I132),1)*IF(Upgrades!$T$11="First Photons",POWER(Upgrades!$U$11,J132),1))*POWER(Upgrades!$P$6,E132)*POWER(Upgrades!$P$7,F132)*POWER(Upgrades!$P$8,G132)*POWER(Upgrades!$P$9,H132)*POWER(Upgrades!$P$10,I132)*POWER(Upgrades!$P$11,J132)*POWER(Upgrades!$P$12,K132)*60</f>
        <v>75</v>
      </c>
      <c r="AF132" s="27" t="n">
        <f aca="false">Parameters!$B$9*POWER(Upgrades!$Q$6,E132)*POWER(Upgrades!$Q$7,F132)*POWER(Upgrades!$Q$8,G132)*POWER(Upgrades!$Q$9,H132)*POWER(Upgrades!$Q$10,I132)*POWER(Upgrades!$Q$11,J132)*POWER(Upgrades!$Q$12,K132)*(Parameters!$B$10*Parameters!$B$11+O132*60)</f>
        <v>120</v>
      </c>
      <c r="AG132" s="21" t="n">
        <f aca="false">IF(E132&gt;=Upgrades!$E$6,"",Upgrades!$C$6*POWER(Upgrades!$D$6,E132))</f>
        <v>37.4517507383159</v>
      </c>
      <c r="AH132" s="21" t="n">
        <f aca="false">IF(F132&gt;=Upgrades!$E$7,"",Upgrades!$C$7*POWER(Upgrades!$D$7,F132))</f>
        <v>80.9111547141581</v>
      </c>
      <c r="AI132" s="21" t="n">
        <f aca="false">IF(G132&gt;=Upgrades!$E$8,"",Upgrades!$C$8*POWER(Upgrades!$D$8,G132))</f>
        <v>231.9097088</v>
      </c>
      <c r="AJ132" s="21" t="str">
        <f aca="false">IF(H132&gt;=Upgrades!$E$9,"",Upgrades!$C$9*POWER(Upgrades!$D$9,H132))</f>
        <v/>
      </c>
      <c r="AK132" s="21" t="str">
        <f aca="false">IF(I132&gt;=Upgrades!$E$10,"",Upgrades!$C$10*POWER(Upgrades!$D$10,I132))</f>
        <v/>
      </c>
      <c r="AL132" s="21" t="str">
        <f aca="false">IF(J132&gt;=Upgrades!$E$11,"",Upgrades!$C$11*POWER(Upgrades!$D$11,J132))</f>
        <v/>
      </c>
      <c r="AM132" s="21" t="str">
        <f aca="false">IF(K132&gt;=Upgrades!$E$12,"",Upgrades!$C$12*POWER(Upgrades!$D$12,K132))</f>
        <v/>
      </c>
      <c r="AN132" s="26" t="str">
        <f aca="false">IF(AND(D132&gt;=Parameters!$B$18,(H132&gt;=Upgrades!$E$9)*(K132&gt;=Upgrades!$E$12)=1,L132=0),1,"")</f>
        <v/>
      </c>
      <c r="AO132" s="26" t="str">
        <f aca="false">IF(AND(D132&gt;=Parameters!$B$18,L132=0),1,"")</f>
        <v/>
      </c>
      <c r="AP132" s="21" t="n">
        <f aca="false">MIN(IF(ISNUMBER(AK132),AK132,9000000000000000),IF(ISNUMBER(AL132),AL132,9000000000000000),IF(ISNUMBER(AM132),AM132,9000000000000000))</f>
        <v>9000000000000000</v>
      </c>
      <c r="AQ132" s="21" t="n">
        <f aca="false">MIN(IF(ISNUMBER(AG132),AG132,9000000000000000),IF(ISNUMBER(AH132),AH132,9000000000000000),IF(ISNUMBER(AI132),AI132,9000000000000000),IF(ISNUMBER(AJ132),AJ132,9000000000000000))</f>
        <v>37.4517507383159</v>
      </c>
      <c r="AR132" s="32" t="b">
        <f aca="false">IF(AW132&gt;Parameters!$B$21*(MAX(IF(AND(NOT(AND(AO132=1,AN132&lt;&gt;1)),ISNUMBER(AG132),AG132&lt;=T132),AS132,0),IF(AND(NOT(AND(AO132=1,AN132&lt;&gt;1)),ISNUMBER(AH132),AH132&lt;=T132),AT132,0),IF(AND(NOT(AND(AO132=1,AN132&lt;&gt;1)),ISNUMBER(AI132),AI132&lt;=T132),AU132,0),IF(AND(ISNUMBER(AJ132),AJ132&lt;=T132),AV132,0))),TRUE(),FALSE())</f>
        <v>1</v>
      </c>
      <c r="AS132" s="33" t="n">
        <f aca="false">IFERROR(Upgrades!$H$6*(POWER(Upgrades!$P$6,E132)*POWER(Upgrades!$P$7,F132)*POWER(Upgrades!$P$8,G132)*POWER(Upgrades!$P$9,H132)*POWER(Upgrades!$P$10,I132)*POWER(Upgrades!$P$11,J132)*POWER(Upgrades!$P$12,K132))*(IF(Upgrades!$T$7="Solar Wind",POWER(Upgrades!$U$7,F132),1)*IF(Upgrades!$T$8="Solar Wind",POWER(Upgrades!$U$8,G132),1)*IF(Upgrades!$T$9="Solar Wind",POWER(Upgrades!$U$9,H132),1)*IF(Upgrades!$T$10="Solar Wind",POWER(Upgrades!$U$10,I132),1)*IF(Upgrades!$T$11="Solar Wind",POWER(Upgrades!$U$11,J132),1)*IF(Upgrades!$T$12="Solar Wind",POWER(Upgrades!$U$12,K132),1))/AG132,0)</f>
        <v>0.0026701021455238</v>
      </c>
      <c r="AT132" s="33" t="n">
        <f aca="false">IFERROR(Upgrades!$H$7*(POWER(Upgrades!$P$6,E132)*POWER(Upgrades!$P$7,F132)*POWER(Upgrades!$P$8,G132)*POWER(Upgrades!$P$9,H132)*POWER(Upgrades!$P$10,I132)*POWER(Upgrades!$P$11,J132)*POWER(Upgrades!$P$12,K132))*(IF(Upgrades!$T$6="Asteroid Belt",POWER(Upgrades!$U$6,E132),1)*IF(Upgrades!$T$8="Asteroid Belt",POWER(Upgrades!$U$8,G132),1)*IF(Upgrades!$T$9="Asteroid Belt",POWER(Upgrades!$U$9,H132),1)*IF(Upgrades!$T$10="Asteroid Belt",POWER(Upgrades!$U$10,I132),1)*IF(Upgrades!$T$11="Asteroid Belt",POWER(Upgrades!$U$11,J132),1)*IF(Upgrades!$T$12="Asteroid Belt",POWER(Upgrades!$U$12,K132),1))/AH132,0)</f>
        <v>0.00308980882652332</v>
      </c>
      <c r="AU132" s="33" t="n">
        <f aca="false">IFERROR(Upgrades!$K$8*(POWER(Upgrades!$Q$6,E132)*POWER(Upgrades!$Q$7,F132)*POWER(Upgrades!$Q$8,G132)*POWER(Upgrades!$Q$9,H132)*POWER(Upgrades!$Q$10,I132)*POWER(Upgrades!$Q$11,J132)*POWER(Upgrades!$Q$12,K132))*(IF(Upgrades!$T$6="Stellar Coupling",POWER(Upgrades!$U$6,E132),1)*IF(Upgrades!$T$7="Stellar Coupling",POWER(Upgrades!$U$7,F132),1)*IF(Upgrades!$T$9="Stellar Coupling",POWER(Upgrades!$U$9,H132),1)*IF(Upgrades!$T$10="Stellar Coupling",POWER(Upgrades!$U$10,I132),1)*IF(Upgrades!$T$11="Stellar Coupling",POWER(Upgrades!$U$11,J132),1)*IF(Upgrades!$T$12="Stellar Coupling",POWER(Upgrades!$U$12,K132),1))*Parameters!$B$10*Parameters!$B$11/60/AI132,0)</f>
        <v>0.00452762415783776</v>
      </c>
      <c r="AV132" s="33" t="n">
        <f aca="false">IFERROR(Upgrades!$H$9*(POWER(Upgrades!$P$6,E132)*POWER(Upgrades!$P$7,F132)*POWER(Upgrades!$P$8,G132)*POWER(Upgrades!$P$9,H132)*POWER(Upgrades!$P$10,I132)*POWER(Upgrades!$P$11,J132)*POWER(Upgrades!$P$12,K132))*(IF(Upgrades!$T$6="Magnetosphere",POWER(Upgrades!$U$6,E132),1)*IF(Upgrades!$T$7="Magnetosphere",POWER(Upgrades!$U$7,F132),1)*IF(Upgrades!$T$8="Magnetosphere",POWER(Upgrades!$U$8,G132),1)*IF(Upgrades!$T$10="Magnetosphere",POWER(Upgrades!$U$10,I132),1)*IF(Upgrades!$T$11="Magnetosphere",POWER(Upgrades!$U$11,J132),1)*IF(Upgrades!$T$12="Magnetosphere",POWER(Upgrades!$U$12,K132),1))/AJ132,0)</f>
        <v>0</v>
      </c>
      <c r="AW132" s="33" t="n">
        <f aca="false">MAX(IF(I132&gt;0,0,IFERROR(0.25*N132/Upgrades!$C$10,0)),IF(J132&gt;0,0,IFERROR(0.5*((IF(G132=0,0,(Upgrades!$J$8+G132*Upgrades!$K$8)*POWER(Upgrades!$L$8,G132)))*(IF(Upgrades!$T$6="Stellar Coupling",POWER(Upgrades!$U$6,E132),1)*IF(Upgrades!$T$7="Stellar Coupling",POWER(Upgrades!$U$7,F132),1)*IF(Upgrades!$T$9="Stellar Coupling",POWER(Upgrades!$U$9,H132),1)*IF(Upgrades!$T$10="Stellar Coupling",POWER(Upgrades!$U$10,I132),1)*IF(Upgrades!$T$11="Stellar Coupling",POWER(Upgrades!$U$11,J132),1)*IF(Upgrades!$T$12="Stellar Coupling",POWER(Upgrades!$U$12,K132),1))*(POWER(Upgrades!$Q$6,E132)*POWER(Upgrades!$Q$7,F132)*POWER(Upgrades!$Q$8,G132)*POWER(Upgrades!$Q$9,H132)*POWER(Upgrades!$Q$10,I132)*POWER(Upgrades!$Q$11,J132)*POWER(Upgrades!$Q$12,K132))*Parameters!$B$10*Parameters!$B$11/60)/Upgrades!$C$11,0)),IF(K132&gt;0,0,IFERROR((1*(POWER(Upgrades!$P$6,E132)*POWER(Upgrades!$P$7,F132)*POWER(Upgrades!$P$8,G132)*POWER(Upgrades!$P$9,H132)*POWER(Upgrades!$P$10,I132)*POWER(Upgrades!$P$11,J132)*POWER(Upgrades!$P$12,K132))+0.2*M132*Parameters!$B$10*Parameters!$B$11/60)/Upgrades!$C$12,0)),IF(AND(ISNUMBER(AG132),AG132&gt;T132),AS132,0),IF(AND(ISNUMBER(AH132),AH132&gt;T132),AT132,0),IF(AND(ISNUMBER(AI132),AI132&gt;T132),AU132,0),IF(AND(ISNUMBER(AJ132),AJ132&gt;T132),AV132,0))</f>
        <v>0.00452762415783776</v>
      </c>
      <c r="AX132" s="29" t="str">
        <f aca="false">IF(AN132=1,"transition",IF(MIN(IF(AND(I132=0,ISNUMBER(AK132),AK132&lt;=T132),AK132,9000000000000000),IF(AND(J132=0,ISNUMBER(AL132),AL132&lt;=T132),AL132,9000000000000000),IF(AND(K132=0,ISNUMBER(AM132),AM132&lt;=T132),AM132,9000000000000000))&lt;9000000000000000,IF(AND(AND(I132=0,ISNUMBER(AK132),AK132&lt;=T132),AK132=MIN(IF(AND(I132=0,ISNUMBER(AK132),AK132&lt;=T132),AK132,9000000000000000),IF(AND(J132=0,ISNUMBER(AL132),AL132&lt;=T132),AL132,9000000000000000),IF(AND(K132=0,ISNUMBER(AM132),AM132&lt;=T132),AM132,9000000000000000))),"OR",IF(AND(AND(J132=0,ISNUMBER(AL132),AL132&lt;=T132),AL132=MIN(IF(AND(I132=0,ISNUMBER(AK132),AK132&lt;=T132),AK132,9000000000000000),IF(AND(J132=0,ISNUMBER(AL132),AL132&lt;=T132),AL132,9000000000000000),IF(AND(K132=0,ISNUMBER(AM132),AM132&lt;=T132),AM132,9000000000000000))),"HP","FP")),IF(AR132=TRUE(),"",IF(MAX(IF(AND(NOT(AND(AO132=1,AN132&lt;&gt;1)),ISNUMBER(AG132),AG132&lt;=T132),AS132,0),IF(AND(NOT(AND(AO132=1,AN132&lt;&gt;1)),ISNUMBER(AH132),AH132&lt;=T132),AT132,0),IF(AND(NOT(AND(AO132=1,AN132&lt;&gt;1)),ISNUMBER(AI132),AI132&lt;=T132),AU132,0),IF(AND(ISNUMBER(AJ132),AJ132&lt;=T132),AV132,0))&lt;=0,"",IF(AND(IF(AND(NOT(AND(AO132=1,AN132&lt;&gt;1)),ISNUMBER(AG132),AG132&lt;=T132),AS132,0)&gt;0,IF(AND(NOT(AND(AO132=1,AN132&lt;&gt;1)),ISNUMBER(AG132),AG132&lt;=T132),AS132,0)=MAX(IF(AND(NOT(AND(AO132=1,AN132&lt;&gt;1)),ISNUMBER(AG132),AG132&lt;=T132),AS132,0),IF(AND(NOT(AND(AO132=1,AN132&lt;&gt;1)),ISNUMBER(AH132),AH132&lt;=T132),AT132,0),IF(AND(NOT(AND(AO132=1,AN132&lt;&gt;1)),ISNUMBER(AI132),AI132&lt;=T132),AU132,0),IF(AND(ISNUMBER(AJ132),AJ132&lt;=T132),AV132,0))),"SW",IF(AND(IF(AND(NOT(AND(AO132=1,AN132&lt;&gt;1)),ISNUMBER(AH132),AH132&lt;=T132),AT132,0)&gt;0,IF(AND(NOT(AND(AO132=1,AN132&lt;&gt;1)),ISNUMBER(AH132),AH132&lt;=T132),AT132,0)=MAX(IF(AND(NOT(AND(AO132=1,AN132&lt;&gt;1)),ISNUMBER(AG132),AG132&lt;=T132),AS132,0),IF(AND(NOT(AND(AO132=1,AN132&lt;&gt;1)),ISNUMBER(AH132),AH132&lt;=T132),AT132,0),IF(AND(NOT(AND(AO132=1,AN132&lt;&gt;1)),ISNUMBER(AI132),AI132&lt;=T132),AU132,0),IF(AND(ISNUMBER(AJ132),AJ132&lt;=T132),AV132,0))),"AB",IF(AND(IF(AND(NOT(AND(AO132=1,AN132&lt;&gt;1)),ISNUMBER(AI132),AI132&lt;=T132),AU132,0)&gt;0,IF(AND(NOT(AND(AO132=1,AN132&lt;&gt;1)),ISNUMBER(AI132),AI132&lt;=T132),AU132,0)=MAX(IF(AND(NOT(AND(AO132=1,AN132&lt;&gt;1)),ISNUMBER(AG132),AG132&lt;=T132),AS132,0),IF(AND(NOT(AND(AO132=1,AN132&lt;&gt;1)),ISNUMBER(AH132),AH132&lt;=T132),AT132,0),IF(AND(NOT(AND(AO132=1,AN132&lt;&gt;1)),ISNUMBER(AI132),AI132&lt;=T132),AU132,0),IF(AND(ISNUMBER(AJ132),AJ132&lt;=T132),AV132,0))),"SC","Mag")))))))</f>
        <v/>
      </c>
    </row>
    <row r="133" customFormat="false" ht="15" hidden="false" customHeight="false" outlineLevel="0" collapsed="false">
      <c r="A133" s="26" t="n">
        <v>128</v>
      </c>
      <c r="B133" s="27" t="n">
        <f aca="false">A133*10/60</f>
        <v>21.3333333333333</v>
      </c>
      <c r="C133" s="21" t="n">
        <f aca="false">X132</f>
        <v>18.6730249835055</v>
      </c>
      <c r="D133" s="27" t="n">
        <f aca="false">D132+W132</f>
        <v>0</v>
      </c>
      <c r="E133" s="26" t="n">
        <f aca="false">E132+IF(U132="SW",1,0)</f>
        <v>12</v>
      </c>
      <c r="F133" s="26" t="n">
        <f aca="false">F132+IF(U132="AB",1,0)</f>
        <v>10</v>
      </c>
      <c r="G133" s="26" t="n">
        <f aca="false">G132+IF(U132="SC",1,0)</f>
        <v>7</v>
      </c>
      <c r="H133" s="26" t="n">
        <f aca="false">H132+IF(U132="Mag",1,0)</f>
        <v>5</v>
      </c>
      <c r="I133" s="26" t="n">
        <f aca="false">MAX(I132,IF(U132="OR",1,0))</f>
        <v>1</v>
      </c>
      <c r="J133" s="26" t="n">
        <f aca="false">MAX(J132,IF(U132="HP",1,0))</f>
        <v>1</v>
      </c>
      <c r="K133" s="26" t="n">
        <f aca="false">MAX(K132,IF(U132="FP",1,0))</f>
        <v>1</v>
      </c>
      <c r="L133" s="26" t="n">
        <f aca="false">MAX(L132,IF(U132="transition",1,0))</f>
        <v>1</v>
      </c>
      <c r="M133" s="28" t="n">
        <f aca="false">(Parameters!$B$9+(IF(E133=0,0,(Upgrades!$J$6+E133*Upgrades!$K$6)*POWER(Upgrades!$L$6,E133)))*(IF(Upgrades!$T$7="Solar Wind",POWER(Upgrades!$U$7,F133),1)*IF(Upgrades!$T$8="Solar Wind",POWER(Upgrades!$U$8,G133),1)*IF(Upgrades!$T$9="Solar Wind",POWER(Upgrades!$U$9,H133),1)*IF(Upgrades!$T$10="Solar Wind",POWER(Upgrades!$U$10,I133),1)*IF(Upgrades!$T$11="Solar Wind",POWER(Upgrades!$U$11,J133),1)*IF(Upgrades!$T$12="Solar Wind",POWER(Upgrades!$U$12,K133),1))+(IF(F133=0,0,(Upgrades!$J$7+F133*Upgrades!$K$7)*POWER(Upgrades!$L$7,F133)))*(IF(Upgrades!$T$6="Asteroid Belt",POWER(Upgrades!$U$6,E133),1)*IF(Upgrades!$T$8="Asteroid Belt",POWER(Upgrades!$U$8,G133),1)*IF(Upgrades!$T$9="Asteroid Belt",POWER(Upgrades!$U$9,H133),1)*IF(Upgrades!$T$10="Asteroid Belt",POWER(Upgrades!$U$10,I133),1)*IF(Upgrades!$T$11="Asteroid Belt",POWER(Upgrades!$U$11,J133),1)*IF(Upgrades!$T$12="Asteroid Belt",POWER(Upgrades!$U$12,K133),1))+(IF(G133=0,0,(Upgrades!$J$8+G133*Upgrades!$K$8)*POWER(Upgrades!$L$8,G133)))*(IF(Upgrades!$T$6="Stellar Coupling",POWER(Upgrades!$U$6,E133),1)*IF(Upgrades!$T$7="Stellar Coupling",POWER(Upgrades!$U$7,F133),1)*IF(Upgrades!$T$9="Stellar Coupling",POWER(Upgrades!$U$9,H133),1)*IF(Upgrades!$T$10="Stellar Coupling",POWER(Upgrades!$U$10,I133),1)*IF(Upgrades!$T$11="Stellar Coupling",POWER(Upgrades!$U$11,J133),1)*IF(Upgrades!$T$12="Stellar Coupling",POWER(Upgrades!$U$12,K133),1))+(IF(H133=0,0,(Upgrades!$J$9+H133*Upgrades!$K$9)*POWER(Upgrades!$L$9,H133)))*(IF(Upgrades!$T$6="Magnetosphere",POWER(Upgrades!$U$6,E133),1)*IF(Upgrades!$T$7="Magnetosphere",POWER(Upgrades!$U$7,F133),1)*IF(Upgrades!$T$8="Magnetosphere",POWER(Upgrades!$U$8,G133),1)*IF(Upgrades!$T$10="Magnetosphere",POWER(Upgrades!$U$10,I133),1)*IF(Upgrades!$T$11="Magnetosphere",POWER(Upgrades!$U$11,J133),1)*IF(Upgrades!$T$12="Magnetosphere",POWER(Upgrades!$U$12,K133),1))+(IF(I133=0,0,(Upgrades!$J$10+I133*Upgrades!$K$10)*POWER(Upgrades!$L$10,I133)))*(IF(Upgrades!$T$6="Orbital Resonance",POWER(Upgrades!$U$6,E133),1)*IF(Upgrades!$T$7="Orbital Resonance",POWER(Upgrades!$U$7,F133),1)*IF(Upgrades!$T$8="Orbital Resonance",POWER(Upgrades!$U$8,G133),1)*IF(Upgrades!$T$9="Orbital Resonance",POWER(Upgrades!$U$9,H133),1)*IF(Upgrades!$T$11="Orbital Resonance",POWER(Upgrades!$U$11,J133),1)*IF(Upgrades!$T$12="Orbital Resonance",POWER(Upgrades!$U$12,K133),1))+(IF(J133=0,0,(Upgrades!$J$11+J133*Upgrades!$K$11)*POWER(Upgrades!$L$11,J133)))*(IF(Upgrades!$T$6="Heliopause",POWER(Upgrades!$U$6,E133),1)*IF(Upgrades!$T$7="Heliopause",POWER(Upgrades!$U$7,F133),1)*IF(Upgrades!$T$8="Heliopause",POWER(Upgrades!$U$8,G133),1)*IF(Upgrades!$T$9="Heliopause",POWER(Upgrades!$U$9,H133),1)*IF(Upgrades!$T$10="Heliopause",POWER(Upgrades!$U$10,I133),1)*IF(Upgrades!$T$12="Heliopause",POWER(Upgrades!$U$12,K133),1))+(IF(K133=0,0,(Upgrades!$J$12+K133*Upgrades!$K$12)*POWER(Upgrades!$L$12,K133)))*(IF(Upgrades!$T$6="First Photons",POWER(Upgrades!$U$6,E133),1)*IF(Upgrades!$T$7="First Photons",POWER(Upgrades!$U$7,F133),1)*IF(Upgrades!$T$8="First Photons",POWER(Upgrades!$U$8,G133),1)*IF(Upgrades!$T$9="First Photons",POWER(Upgrades!$U$9,H133),1)*IF(Upgrades!$T$10="First Photons",POWER(Upgrades!$U$10,I133),1)*IF(Upgrades!$T$11="First Photons",POWER(Upgrades!$U$11,J133),1)))*POWER(Upgrades!$Q$6,E133)*POWER(Upgrades!$Q$7,F133)*POWER(Upgrades!$Q$8,G133)*POWER(Upgrades!$Q$9,H133)*POWER(Upgrades!$Q$10,I133)*POWER(Upgrades!$Q$11,J133)*POWER(Upgrades!$Q$12,K133)</f>
        <v>5.61</v>
      </c>
      <c r="N133" s="28" t="n">
        <f aca="false">((IF(E133=0,0,(Upgrades!$G$6+E133*Upgrades!$H$6)*POWER(Upgrades!$I$6,E133)))*(IF(Upgrades!$T$7="Solar Wind",POWER(Upgrades!$U$7,F133),1)*IF(Upgrades!$T$8="Solar Wind",POWER(Upgrades!$U$8,G133),1)*IF(Upgrades!$T$9="Solar Wind",POWER(Upgrades!$U$9,H133),1)*IF(Upgrades!$T$10="Solar Wind",POWER(Upgrades!$U$10,I133),1)*IF(Upgrades!$T$11="Solar Wind",POWER(Upgrades!$U$11,J133),1)*IF(Upgrades!$T$12="Solar Wind",POWER(Upgrades!$U$12,K133),1))+(IF(F133=0,0,(Upgrades!$G$7+F133*Upgrades!$H$7)*POWER(Upgrades!$I$7,F133)))*(IF(Upgrades!$T$6="Asteroid Belt",POWER(Upgrades!$U$6,E133),1)*IF(Upgrades!$T$8="Asteroid Belt",POWER(Upgrades!$U$8,G133),1)*IF(Upgrades!$T$9="Asteroid Belt",POWER(Upgrades!$U$9,H133),1)*IF(Upgrades!$T$10="Asteroid Belt",POWER(Upgrades!$U$10,I133),1)*IF(Upgrades!$T$11="Asteroid Belt",POWER(Upgrades!$U$11,J133),1)*IF(Upgrades!$T$12="Asteroid Belt",POWER(Upgrades!$U$12,K133),1))+(IF(G133=0,0,(Upgrades!$G$8+G133*Upgrades!$H$8)*POWER(Upgrades!$I$8,G133)))*(IF(Upgrades!$T$6="Stellar Coupling",POWER(Upgrades!$U$6,E133),1)*IF(Upgrades!$T$7="Stellar Coupling",POWER(Upgrades!$U$7,F133),1)*IF(Upgrades!$T$9="Stellar Coupling",POWER(Upgrades!$U$9,H133),1)*IF(Upgrades!$T$10="Stellar Coupling",POWER(Upgrades!$U$10,I133),1)*IF(Upgrades!$T$11="Stellar Coupling",POWER(Upgrades!$U$11,J133),1)*IF(Upgrades!$T$12="Stellar Coupling",POWER(Upgrades!$U$12,K133),1))+(IF(H133=0,0,(Upgrades!$G$9+H133*Upgrades!$H$9)*POWER(Upgrades!$I$9,H133)))*(IF(Upgrades!$T$6="Magnetosphere",POWER(Upgrades!$U$6,E133),1)*IF(Upgrades!$T$7="Magnetosphere",POWER(Upgrades!$U$7,F133),1)*IF(Upgrades!$T$8="Magnetosphere",POWER(Upgrades!$U$8,G133),1)*IF(Upgrades!$T$10="Magnetosphere",POWER(Upgrades!$U$10,I133),1)*IF(Upgrades!$T$11="Magnetosphere",POWER(Upgrades!$U$11,J133),1)*IF(Upgrades!$T$12="Magnetosphere",POWER(Upgrades!$U$12,K133),1))+(IF(I133=0,0,(Upgrades!$G$10+I133*Upgrades!$H$10)*POWER(Upgrades!$I$10,I133)))*(IF(Upgrades!$T$6="Orbital Resonance",POWER(Upgrades!$U$6,E133),1)*IF(Upgrades!$T$7="Orbital Resonance",POWER(Upgrades!$U$7,F133),1)*IF(Upgrades!$T$8="Orbital Resonance",POWER(Upgrades!$U$8,G133),1)*IF(Upgrades!$T$9="Orbital Resonance",POWER(Upgrades!$U$9,H133),1)*IF(Upgrades!$T$11="Orbital Resonance",POWER(Upgrades!$U$11,J133),1)*IF(Upgrades!$T$12="Orbital Resonance",POWER(Upgrades!$U$12,K133),1))+(IF(J133=0,0,(Upgrades!$G$11+J133*Upgrades!$H$11)*POWER(Upgrades!$I$11,J133)))*(IF(Upgrades!$T$6="Heliopause",POWER(Upgrades!$U$6,E133),1)*IF(Upgrades!$T$7="Heliopause",POWER(Upgrades!$U$7,F133),1)*IF(Upgrades!$T$8="Heliopause",POWER(Upgrades!$U$8,G133),1)*IF(Upgrades!$T$9="Heliopause",POWER(Upgrades!$U$9,H133),1)*IF(Upgrades!$T$10="Heliopause",POWER(Upgrades!$U$10,I133),1)*IF(Upgrades!$T$12="Heliopause",POWER(Upgrades!$U$12,K133),1))+(IF(K133=0,0,(Upgrades!$G$12+K133*Upgrades!$H$12)*POWER(Upgrades!$I$12,K133)))*(IF(Upgrades!$T$6="First Photons",POWER(Upgrades!$U$6,E133),1)*IF(Upgrades!$T$7="First Photons",POWER(Upgrades!$U$7,F133),1)*IF(Upgrades!$T$8="First Photons",POWER(Upgrades!$U$8,G133),1)*IF(Upgrades!$T$9="First Photons",POWER(Upgrades!$U$9,H133),1)*IF(Upgrades!$T$10="First Photons",POWER(Upgrades!$U$10,I133),1)*IF(Upgrades!$T$11="First Photons",POWER(Upgrades!$U$11,J133),1)))*POWER(Upgrades!$P$6,E133)*POWER(Upgrades!$P$7,F133)*POWER(Upgrades!$P$8,G133)*POWER(Upgrades!$P$9,H133)*POWER(Upgrades!$P$10,I133)*POWER(Upgrades!$P$11,J133)*POWER(Upgrades!$P$12,K133)</f>
        <v>11.2</v>
      </c>
      <c r="O133" s="28" t="n">
        <f aca="false">((IF(E133=0,0,(Upgrades!$M$6+E133*Upgrades!$N$6)*POWER(Upgrades!$O$6,E133)))*(IF(Upgrades!$T$7="Solar Wind",POWER(Upgrades!$U$7,F133),1)*IF(Upgrades!$T$8="Solar Wind",POWER(Upgrades!$U$8,G133),1)*IF(Upgrades!$T$9="Solar Wind",POWER(Upgrades!$U$9,H133),1)*IF(Upgrades!$T$10="Solar Wind",POWER(Upgrades!$U$10,I133),1)*IF(Upgrades!$T$11="Solar Wind",POWER(Upgrades!$U$11,J133),1)*IF(Upgrades!$T$12="Solar Wind",POWER(Upgrades!$U$12,K133),1))+(IF(F133=0,0,(Upgrades!$M$7+F133*Upgrades!$N$7)*POWER(Upgrades!$O$7,F133)))*(IF(Upgrades!$T$6="Asteroid Belt",POWER(Upgrades!$U$6,E133),1)*IF(Upgrades!$T$8="Asteroid Belt",POWER(Upgrades!$U$8,G133),1)*IF(Upgrades!$T$9="Asteroid Belt",POWER(Upgrades!$U$9,H133),1)*IF(Upgrades!$T$10="Asteroid Belt",POWER(Upgrades!$U$10,I133),1)*IF(Upgrades!$T$11="Asteroid Belt",POWER(Upgrades!$U$11,J133),1)*IF(Upgrades!$T$12="Asteroid Belt",POWER(Upgrades!$U$12,K133),1))+(IF(G133=0,0,(Upgrades!$M$8+G133*Upgrades!$N$8)*POWER(Upgrades!$O$8,G133)))*(IF(Upgrades!$T$6="Stellar Coupling",POWER(Upgrades!$U$6,E133),1)*IF(Upgrades!$T$7="Stellar Coupling",POWER(Upgrades!$U$7,F133),1)*IF(Upgrades!$T$9="Stellar Coupling",POWER(Upgrades!$U$9,H133),1)*IF(Upgrades!$T$10="Stellar Coupling",POWER(Upgrades!$U$10,I133),1)*IF(Upgrades!$T$11="Stellar Coupling",POWER(Upgrades!$U$11,J133),1)*IF(Upgrades!$T$12="Stellar Coupling",POWER(Upgrades!$U$12,K133),1))+(IF(H133=0,0,(Upgrades!$M$9+H133*Upgrades!$N$9)*POWER(Upgrades!$O$9,H133)))*(IF(Upgrades!$T$6="Magnetosphere",POWER(Upgrades!$U$6,E133),1)*IF(Upgrades!$T$7="Magnetosphere",POWER(Upgrades!$U$7,F133),1)*IF(Upgrades!$T$8="Magnetosphere",POWER(Upgrades!$U$8,G133),1)*IF(Upgrades!$T$10="Magnetosphere",POWER(Upgrades!$U$10,I133),1)*IF(Upgrades!$T$11="Magnetosphere",POWER(Upgrades!$U$11,J133),1)*IF(Upgrades!$T$12="Magnetosphere",POWER(Upgrades!$U$12,K133),1))+(IF(I133=0,0,(Upgrades!$M$10+I133*Upgrades!$N$10)*POWER(Upgrades!$O$10,I133)))*(IF(Upgrades!$T$6="Orbital Resonance",POWER(Upgrades!$U$6,E133),1)*IF(Upgrades!$T$7="Orbital Resonance",POWER(Upgrades!$U$7,F133),1)*IF(Upgrades!$T$8="Orbital Resonance",POWER(Upgrades!$U$8,G133),1)*IF(Upgrades!$T$9="Orbital Resonance",POWER(Upgrades!$U$9,H133),1)*IF(Upgrades!$T$11="Orbital Resonance",POWER(Upgrades!$U$11,J133),1)*IF(Upgrades!$T$12="Orbital Resonance",POWER(Upgrades!$U$12,K133),1))+(IF(J133=0,0,(Upgrades!$M$11+J133*Upgrades!$N$11)*POWER(Upgrades!$O$11,J133)))*(IF(Upgrades!$T$6="Heliopause",POWER(Upgrades!$U$6,E133),1)*IF(Upgrades!$T$7="Heliopause",POWER(Upgrades!$U$7,F133),1)*IF(Upgrades!$T$8="Heliopause",POWER(Upgrades!$U$8,G133),1)*IF(Upgrades!$T$9="Heliopause",POWER(Upgrades!$U$9,H133),1)*IF(Upgrades!$T$10="Heliopause",POWER(Upgrades!$U$10,I133),1)*IF(Upgrades!$T$12="Heliopause",POWER(Upgrades!$U$12,K133),1))+(IF(K133=0,0,(Upgrades!$M$12+K133*Upgrades!$N$12)*POWER(Upgrades!$O$12,K133)))*(IF(Upgrades!$T$6="First Photons",POWER(Upgrades!$U$6,E133),1)*IF(Upgrades!$T$7="First Photons",POWER(Upgrades!$U$7,F133),1)*IF(Upgrades!$T$8="First Photons",POWER(Upgrades!$U$8,G133),1)*IF(Upgrades!$T$9="First Photons",POWER(Upgrades!$U$9,H133),1)*IF(Upgrades!$T$10="First Photons",POWER(Upgrades!$U$10,I133),1)*IF(Upgrades!$T$11="First Photons",POWER(Upgrades!$U$11,J133),1)))*POWER(Upgrades!$R$6,E133)*POWER(Upgrades!$R$7,F133)*POWER(Upgrades!$R$8,G133)*POWER(Upgrades!$R$9,H133)*POWER(Upgrades!$R$10,I133)*POWER(Upgrades!$R$11,J133)*POWER(Upgrades!$R$12,K133)</f>
        <v>0</v>
      </c>
      <c r="P133" s="27" t="n">
        <f aca="false">IF(L133=1,0,M133*Parameters!$B$10/60*Parameters!$B$11*10)</f>
        <v>0</v>
      </c>
      <c r="Q133" s="27" t="n">
        <f aca="false">IF(L133=1,0,O133*M133*10)</f>
        <v>0</v>
      </c>
      <c r="R133" s="27" t="n">
        <f aca="false">IF(L133=1,0,N133*10)</f>
        <v>0</v>
      </c>
      <c r="S133" s="27" t="n">
        <f aca="false">P133+Q133+R133</f>
        <v>0</v>
      </c>
      <c r="T133" s="21" t="n">
        <f aca="false">C133+S133</f>
        <v>18.6730249835055</v>
      </c>
      <c r="U133" s="34" t="str">
        <f aca="false">AX133</f>
        <v/>
      </c>
      <c r="V133" s="21" t="n">
        <f aca="false">IF(U133="",0,IF(U133="transition",0,IF(U133="SW",AG133,IF(U133="AB",AH133,IF(U133="SC",AI133,IF(U133="Mag",AJ133,IF(U133="OR",AK133,IF(U133="HP",AL133,IF(U133="FP",AM133,0)))))))))</f>
        <v>0</v>
      </c>
      <c r="W133" s="27" t="n">
        <f aca="false">IF(U133="OR",Upgrades!$F$10,IF(U133="HP",Upgrades!$F$11,IF(U133="transition",-Parameters!$B$18,0)))</f>
        <v>0</v>
      </c>
      <c r="X133" s="21" t="n">
        <f aca="false">T133-V133</f>
        <v>18.6730249835055</v>
      </c>
      <c r="Y133" s="30" t="n">
        <f aca="false">M133*Parameters!$B$10/60*Parameters!$B$11+O133*M133+N133</f>
        <v>20.55</v>
      </c>
      <c r="Z133" s="35" t="str">
        <f aca="false">IF(U133="transition","→ Tier 2 (Stellar Neighborhood)",IF(U133="FP","First Photons — light begins, system quickens",IF(U133="HP","Heliopause acquired",IF(U133="OR","Orbital Resonance — passive multiplier active",IF(AND(AO133=1,L133=0,AN133&lt;&gt;1),"Cohesion ready (waiting on completionist upgrades)","")))))</f>
        <v/>
      </c>
      <c r="AA133" s="27" t="n">
        <f aca="false">(IF(E133=0,0,(Upgrades!$G$6+E133*Upgrades!$H$6)*POWER(Upgrades!$I$6,E133)))*(IF(Upgrades!$T$7="Solar Wind",POWER(Upgrades!$U$7,F133),1)*IF(Upgrades!$T$8="Solar Wind",POWER(Upgrades!$U$8,G133),1)*IF(Upgrades!$T$9="Solar Wind",POWER(Upgrades!$U$9,H133),1)*IF(Upgrades!$T$10="Solar Wind",POWER(Upgrades!$U$10,I133),1)*IF(Upgrades!$T$11="Solar Wind",POWER(Upgrades!$U$11,J133),1)*IF(Upgrades!$T$12="Solar Wind",POWER(Upgrades!$U$12,K133),1))*POWER(Upgrades!$P$6,E133)*POWER(Upgrades!$P$7,F133)*POWER(Upgrades!$P$8,G133)*POWER(Upgrades!$P$9,H133)*POWER(Upgrades!$P$10,I133)*POWER(Upgrades!$P$11,J133)*POWER(Upgrades!$P$12,K133)*60</f>
        <v>72</v>
      </c>
      <c r="AB133" s="27" t="n">
        <f aca="false">(IF(F133=0,0,(Upgrades!$G$7+F133*Upgrades!$H$7)*POWER(Upgrades!$I$7,F133)))*(IF(Upgrades!$T$6="Asteroid Belt",POWER(Upgrades!$U$6,E133),1)*IF(Upgrades!$T$8="Asteroid Belt",POWER(Upgrades!$U$8,G133),1)*IF(Upgrades!$T$9="Asteroid Belt",POWER(Upgrades!$U$9,H133),1)*IF(Upgrades!$T$10="Asteroid Belt",POWER(Upgrades!$U$10,I133),1)*IF(Upgrades!$T$11="Asteroid Belt",POWER(Upgrades!$U$11,J133),1)*IF(Upgrades!$T$12="Asteroid Belt",POWER(Upgrades!$U$12,K133),1))*POWER(Upgrades!$P$6,E133)*POWER(Upgrades!$P$7,F133)*POWER(Upgrades!$P$8,G133)*POWER(Upgrades!$P$9,H133)*POWER(Upgrades!$P$10,I133)*POWER(Upgrades!$P$11,J133)*POWER(Upgrades!$P$12,K133)*60</f>
        <v>150</v>
      </c>
      <c r="AC133" s="27" t="n">
        <f aca="false">(IF(G133=0,0,(Upgrades!$J$8+G133*Upgrades!$K$8)*POWER(Upgrades!$L$8,G133)))*(IF(Upgrades!$T$6="Stellar Coupling",POWER(Upgrades!$U$6,E133),1)*IF(Upgrades!$T$7="Stellar Coupling",POWER(Upgrades!$U$7,F133),1)*IF(Upgrades!$T$9="Stellar Coupling",POWER(Upgrades!$U$9,H133),1)*IF(Upgrades!$T$10="Stellar Coupling",POWER(Upgrades!$U$10,I133),1)*IF(Upgrades!$T$11="Stellar Coupling",POWER(Upgrades!$U$11,J133),1)*IF(Upgrades!$T$12="Stellar Coupling",POWER(Upgrades!$U$12,K133),1))*POWER(Upgrades!$Q$6,E133)*POWER(Upgrades!$Q$7,F133)*POWER(Upgrades!$Q$8,G133)*POWER(Upgrades!$Q$9,H133)*POWER(Upgrades!$Q$10,I133)*POWER(Upgrades!$Q$11,J133)*POWER(Upgrades!$Q$12,K133)*Parameters!$B$10*Parameters!$B$11</f>
        <v>441</v>
      </c>
      <c r="AD133" s="27" t="n">
        <f aca="false">(IF(H133=0,0,(Upgrades!$G$9+H133*Upgrades!$H$9)*POWER(Upgrades!$I$9,H133)))*(IF(Upgrades!$T$6="Magnetosphere",POWER(Upgrades!$U$6,E133),1)*IF(Upgrades!$T$7="Magnetosphere",POWER(Upgrades!$U$7,F133),1)*IF(Upgrades!$T$8="Magnetosphere",POWER(Upgrades!$U$8,G133),1)*IF(Upgrades!$T$10="Magnetosphere",POWER(Upgrades!$U$10,I133),1)*IF(Upgrades!$T$11="Magnetosphere",POWER(Upgrades!$U$11,J133),1)*IF(Upgrades!$T$12="Magnetosphere",POWER(Upgrades!$U$12,K133),1))*POWER(Upgrades!$P$6,E133)*POWER(Upgrades!$P$7,F133)*POWER(Upgrades!$P$8,G133)*POWER(Upgrades!$P$9,H133)*POWER(Upgrades!$P$10,I133)*POWER(Upgrades!$P$11,J133)*POWER(Upgrades!$P$12,K133)*60</f>
        <v>375</v>
      </c>
      <c r="AE133" s="27" t="n">
        <f aca="false">(IF(K133=0,0,(Upgrades!$G$12+K133*Upgrades!$H$12)*POWER(Upgrades!$I$12,K133)))*(IF(Upgrades!$T$6="First Photons",POWER(Upgrades!$U$6,E133),1)*IF(Upgrades!$T$7="First Photons",POWER(Upgrades!$U$7,F133),1)*IF(Upgrades!$T$8="First Photons",POWER(Upgrades!$U$8,G133),1)*IF(Upgrades!$T$9="First Photons",POWER(Upgrades!$U$9,H133),1)*IF(Upgrades!$T$10="First Photons",POWER(Upgrades!$U$10,I133),1)*IF(Upgrades!$T$11="First Photons",POWER(Upgrades!$U$11,J133),1))*POWER(Upgrades!$P$6,E133)*POWER(Upgrades!$P$7,F133)*POWER(Upgrades!$P$8,G133)*POWER(Upgrades!$P$9,H133)*POWER(Upgrades!$P$10,I133)*POWER(Upgrades!$P$11,J133)*POWER(Upgrades!$P$12,K133)*60</f>
        <v>75</v>
      </c>
      <c r="AF133" s="27" t="n">
        <f aca="false">Parameters!$B$9*POWER(Upgrades!$Q$6,E133)*POWER(Upgrades!$Q$7,F133)*POWER(Upgrades!$Q$8,G133)*POWER(Upgrades!$Q$9,H133)*POWER(Upgrades!$Q$10,I133)*POWER(Upgrades!$Q$11,J133)*POWER(Upgrades!$Q$12,K133)*(Parameters!$B$10*Parameters!$B$11+O133*60)</f>
        <v>120</v>
      </c>
      <c r="AG133" s="21" t="n">
        <f aca="false">IF(E133&gt;=Upgrades!$E$6,"",Upgrades!$C$6*POWER(Upgrades!$D$6,E133))</f>
        <v>37.4517507383159</v>
      </c>
      <c r="AH133" s="21" t="n">
        <f aca="false">IF(F133&gt;=Upgrades!$E$7,"",Upgrades!$C$7*POWER(Upgrades!$D$7,F133))</f>
        <v>80.9111547141581</v>
      </c>
      <c r="AI133" s="21" t="n">
        <f aca="false">IF(G133&gt;=Upgrades!$E$8,"",Upgrades!$C$8*POWER(Upgrades!$D$8,G133))</f>
        <v>231.9097088</v>
      </c>
      <c r="AJ133" s="21" t="str">
        <f aca="false">IF(H133&gt;=Upgrades!$E$9,"",Upgrades!$C$9*POWER(Upgrades!$D$9,H133))</f>
        <v/>
      </c>
      <c r="AK133" s="21" t="str">
        <f aca="false">IF(I133&gt;=Upgrades!$E$10,"",Upgrades!$C$10*POWER(Upgrades!$D$10,I133))</f>
        <v/>
      </c>
      <c r="AL133" s="21" t="str">
        <f aca="false">IF(J133&gt;=Upgrades!$E$11,"",Upgrades!$C$11*POWER(Upgrades!$D$11,J133))</f>
        <v/>
      </c>
      <c r="AM133" s="21" t="str">
        <f aca="false">IF(K133&gt;=Upgrades!$E$12,"",Upgrades!$C$12*POWER(Upgrades!$D$12,K133))</f>
        <v/>
      </c>
      <c r="AN133" s="26" t="str">
        <f aca="false">IF(AND(D133&gt;=Parameters!$B$18,(H133&gt;=Upgrades!$E$9)*(K133&gt;=Upgrades!$E$12)=1,L133=0),1,"")</f>
        <v/>
      </c>
      <c r="AO133" s="26" t="str">
        <f aca="false">IF(AND(D133&gt;=Parameters!$B$18,L133=0),1,"")</f>
        <v/>
      </c>
      <c r="AP133" s="21" t="n">
        <f aca="false">MIN(IF(ISNUMBER(AK133),AK133,9000000000000000),IF(ISNUMBER(AL133),AL133,9000000000000000),IF(ISNUMBER(AM133),AM133,9000000000000000))</f>
        <v>9000000000000000</v>
      </c>
      <c r="AQ133" s="21" t="n">
        <f aca="false">MIN(IF(ISNUMBER(AG133),AG133,9000000000000000),IF(ISNUMBER(AH133),AH133,9000000000000000),IF(ISNUMBER(AI133),AI133,9000000000000000),IF(ISNUMBER(AJ133),AJ133,9000000000000000))</f>
        <v>37.4517507383159</v>
      </c>
      <c r="AR133" s="32" t="b">
        <f aca="false">IF(AW133&gt;Parameters!$B$21*(MAX(IF(AND(NOT(AND(AO133=1,AN133&lt;&gt;1)),ISNUMBER(AG133),AG133&lt;=T133),AS133,0),IF(AND(NOT(AND(AO133=1,AN133&lt;&gt;1)),ISNUMBER(AH133),AH133&lt;=T133),AT133,0),IF(AND(NOT(AND(AO133=1,AN133&lt;&gt;1)),ISNUMBER(AI133),AI133&lt;=T133),AU133,0),IF(AND(ISNUMBER(AJ133),AJ133&lt;=T133),AV133,0))),TRUE(),FALSE())</f>
        <v>1</v>
      </c>
      <c r="AS133" s="33" t="n">
        <f aca="false">IFERROR(Upgrades!$H$6*(POWER(Upgrades!$P$6,E133)*POWER(Upgrades!$P$7,F133)*POWER(Upgrades!$P$8,G133)*POWER(Upgrades!$P$9,H133)*POWER(Upgrades!$P$10,I133)*POWER(Upgrades!$P$11,J133)*POWER(Upgrades!$P$12,K133))*(IF(Upgrades!$T$7="Solar Wind",POWER(Upgrades!$U$7,F133),1)*IF(Upgrades!$T$8="Solar Wind",POWER(Upgrades!$U$8,G133),1)*IF(Upgrades!$T$9="Solar Wind",POWER(Upgrades!$U$9,H133),1)*IF(Upgrades!$T$10="Solar Wind",POWER(Upgrades!$U$10,I133),1)*IF(Upgrades!$T$11="Solar Wind",POWER(Upgrades!$U$11,J133),1)*IF(Upgrades!$T$12="Solar Wind",POWER(Upgrades!$U$12,K133),1))/AG133,0)</f>
        <v>0.0026701021455238</v>
      </c>
      <c r="AT133" s="33" t="n">
        <f aca="false">IFERROR(Upgrades!$H$7*(POWER(Upgrades!$P$6,E133)*POWER(Upgrades!$P$7,F133)*POWER(Upgrades!$P$8,G133)*POWER(Upgrades!$P$9,H133)*POWER(Upgrades!$P$10,I133)*POWER(Upgrades!$P$11,J133)*POWER(Upgrades!$P$12,K133))*(IF(Upgrades!$T$6="Asteroid Belt",POWER(Upgrades!$U$6,E133),1)*IF(Upgrades!$T$8="Asteroid Belt",POWER(Upgrades!$U$8,G133),1)*IF(Upgrades!$T$9="Asteroid Belt",POWER(Upgrades!$U$9,H133),1)*IF(Upgrades!$T$10="Asteroid Belt",POWER(Upgrades!$U$10,I133),1)*IF(Upgrades!$T$11="Asteroid Belt",POWER(Upgrades!$U$11,J133),1)*IF(Upgrades!$T$12="Asteroid Belt",POWER(Upgrades!$U$12,K133),1))/AH133,0)</f>
        <v>0.00308980882652332</v>
      </c>
      <c r="AU133" s="33" t="n">
        <f aca="false">IFERROR(Upgrades!$K$8*(POWER(Upgrades!$Q$6,E133)*POWER(Upgrades!$Q$7,F133)*POWER(Upgrades!$Q$8,G133)*POWER(Upgrades!$Q$9,H133)*POWER(Upgrades!$Q$10,I133)*POWER(Upgrades!$Q$11,J133)*POWER(Upgrades!$Q$12,K133))*(IF(Upgrades!$T$6="Stellar Coupling",POWER(Upgrades!$U$6,E133),1)*IF(Upgrades!$T$7="Stellar Coupling",POWER(Upgrades!$U$7,F133),1)*IF(Upgrades!$T$9="Stellar Coupling",POWER(Upgrades!$U$9,H133),1)*IF(Upgrades!$T$10="Stellar Coupling",POWER(Upgrades!$U$10,I133),1)*IF(Upgrades!$T$11="Stellar Coupling",POWER(Upgrades!$U$11,J133),1)*IF(Upgrades!$T$12="Stellar Coupling",POWER(Upgrades!$U$12,K133),1))*Parameters!$B$10*Parameters!$B$11/60/AI133,0)</f>
        <v>0.00452762415783776</v>
      </c>
      <c r="AV133" s="33" t="n">
        <f aca="false">IFERROR(Upgrades!$H$9*(POWER(Upgrades!$P$6,E133)*POWER(Upgrades!$P$7,F133)*POWER(Upgrades!$P$8,G133)*POWER(Upgrades!$P$9,H133)*POWER(Upgrades!$P$10,I133)*POWER(Upgrades!$P$11,J133)*POWER(Upgrades!$P$12,K133))*(IF(Upgrades!$T$6="Magnetosphere",POWER(Upgrades!$U$6,E133),1)*IF(Upgrades!$T$7="Magnetosphere",POWER(Upgrades!$U$7,F133),1)*IF(Upgrades!$T$8="Magnetosphere",POWER(Upgrades!$U$8,G133),1)*IF(Upgrades!$T$10="Magnetosphere",POWER(Upgrades!$U$10,I133),1)*IF(Upgrades!$T$11="Magnetosphere",POWER(Upgrades!$U$11,J133),1)*IF(Upgrades!$T$12="Magnetosphere",POWER(Upgrades!$U$12,K133),1))/AJ133,0)</f>
        <v>0</v>
      </c>
      <c r="AW133" s="33" t="n">
        <f aca="false">MAX(IF(I133&gt;0,0,IFERROR(0.25*N133/Upgrades!$C$10,0)),IF(J133&gt;0,0,IFERROR(0.5*((IF(G133=0,0,(Upgrades!$J$8+G133*Upgrades!$K$8)*POWER(Upgrades!$L$8,G133)))*(IF(Upgrades!$T$6="Stellar Coupling",POWER(Upgrades!$U$6,E133),1)*IF(Upgrades!$T$7="Stellar Coupling",POWER(Upgrades!$U$7,F133),1)*IF(Upgrades!$T$9="Stellar Coupling",POWER(Upgrades!$U$9,H133),1)*IF(Upgrades!$T$10="Stellar Coupling",POWER(Upgrades!$U$10,I133),1)*IF(Upgrades!$T$11="Stellar Coupling",POWER(Upgrades!$U$11,J133),1)*IF(Upgrades!$T$12="Stellar Coupling",POWER(Upgrades!$U$12,K133),1))*(POWER(Upgrades!$Q$6,E133)*POWER(Upgrades!$Q$7,F133)*POWER(Upgrades!$Q$8,G133)*POWER(Upgrades!$Q$9,H133)*POWER(Upgrades!$Q$10,I133)*POWER(Upgrades!$Q$11,J133)*POWER(Upgrades!$Q$12,K133))*Parameters!$B$10*Parameters!$B$11/60)/Upgrades!$C$11,0)),IF(K133&gt;0,0,IFERROR((1*(POWER(Upgrades!$P$6,E133)*POWER(Upgrades!$P$7,F133)*POWER(Upgrades!$P$8,G133)*POWER(Upgrades!$P$9,H133)*POWER(Upgrades!$P$10,I133)*POWER(Upgrades!$P$11,J133)*POWER(Upgrades!$P$12,K133))+0.2*M133*Parameters!$B$10*Parameters!$B$11/60)/Upgrades!$C$12,0)),IF(AND(ISNUMBER(AG133),AG133&gt;T133),AS133,0),IF(AND(ISNUMBER(AH133),AH133&gt;T133),AT133,0),IF(AND(ISNUMBER(AI133),AI133&gt;T133),AU133,0),IF(AND(ISNUMBER(AJ133),AJ133&gt;T133),AV133,0))</f>
        <v>0.00452762415783776</v>
      </c>
      <c r="AX133" s="29" t="str">
        <f aca="false">IF(AN133=1,"transition",IF(MIN(IF(AND(I133=0,ISNUMBER(AK133),AK133&lt;=T133),AK133,9000000000000000),IF(AND(J133=0,ISNUMBER(AL133),AL133&lt;=T133),AL133,9000000000000000),IF(AND(K133=0,ISNUMBER(AM133),AM133&lt;=T133),AM133,9000000000000000))&lt;9000000000000000,IF(AND(AND(I133=0,ISNUMBER(AK133),AK133&lt;=T133),AK133=MIN(IF(AND(I133=0,ISNUMBER(AK133),AK133&lt;=T133),AK133,9000000000000000),IF(AND(J133=0,ISNUMBER(AL133),AL133&lt;=T133),AL133,9000000000000000),IF(AND(K133=0,ISNUMBER(AM133),AM133&lt;=T133),AM133,9000000000000000))),"OR",IF(AND(AND(J133=0,ISNUMBER(AL133),AL133&lt;=T133),AL133=MIN(IF(AND(I133=0,ISNUMBER(AK133),AK133&lt;=T133),AK133,9000000000000000),IF(AND(J133=0,ISNUMBER(AL133),AL133&lt;=T133),AL133,9000000000000000),IF(AND(K133=0,ISNUMBER(AM133),AM133&lt;=T133),AM133,9000000000000000))),"HP","FP")),IF(AR133=TRUE(),"",IF(MAX(IF(AND(NOT(AND(AO133=1,AN133&lt;&gt;1)),ISNUMBER(AG133),AG133&lt;=T133),AS133,0),IF(AND(NOT(AND(AO133=1,AN133&lt;&gt;1)),ISNUMBER(AH133),AH133&lt;=T133),AT133,0),IF(AND(NOT(AND(AO133=1,AN133&lt;&gt;1)),ISNUMBER(AI133),AI133&lt;=T133),AU133,0),IF(AND(ISNUMBER(AJ133),AJ133&lt;=T133),AV133,0))&lt;=0,"",IF(AND(IF(AND(NOT(AND(AO133=1,AN133&lt;&gt;1)),ISNUMBER(AG133),AG133&lt;=T133),AS133,0)&gt;0,IF(AND(NOT(AND(AO133=1,AN133&lt;&gt;1)),ISNUMBER(AG133),AG133&lt;=T133),AS133,0)=MAX(IF(AND(NOT(AND(AO133=1,AN133&lt;&gt;1)),ISNUMBER(AG133),AG133&lt;=T133),AS133,0),IF(AND(NOT(AND(AO133=1,AN133&lt;&gt;1)),ISNUMBER(AH133),AH133&lt;=T133),AT133,0),IF(AND(NOT(AND(AO133=1,AN133&lt;&gt;1)),ISNUMBER(AI133),AI133&lt;=T133),AU133,0),IF(AND(ISNUMBER(AJ133),AJ133&lt;=T133),AV133,0))),"SW",IF(AND(IF(AND(NOT(AND(AO133=1,AN133&lt;&gt;1)),ISNUMBER(AH133),AH133&lt;=T133),AT133,0)&gt;0,IF(AND(NOT(AND(AO133=1,AN133&lt;&gt;1)),ISNUMBER(AH133),AH133&lt;=T133),AT133,0)=MAX(IF(AND(NOT(AND(AO133=1,AN133&lt;&gt;1)),ISNUMBER(AG133),AG133&lt;=T133),AS133,0),IF(AND(NOT(AND(AO133=1,AN133&lt;&gt;1)),ISNUMBER(AH133),AH133&lt;=T133),AT133,0),IF(AND(NOT(AND(AO133=1,AN133&lt;&gt;1)),ISNUMBER(AI133),AI133&lt;=T133),AU133,0),IF(AND(ISNUMBER(AJ133),AJ133&lt;=T133),AV133,0))),"AB",IF(AND(IF(AND(NOT(AND(AO133=1,AN133&lt;&gt;1)),ISNUMBER(AI133),AI133&lt;=T133),AU133,0)&gt;0,IF(AND(NOT(AND(AO133=1,AN133&lt;&gt;1)),ISNUMBER(AI133),AI133&lt;=T133),AU133,0)=MAX(IF(AND(NOT(AND(AO133=1,AN133&lt;&gt;1)),ISNUMBER(AG133),AG133&lt;=T133),AS133,0),IF(AND(NOT(AND(AO133=1,AN133&lt;&gt;1)),ISNUMBER(AH133),AH133&lt;=T133),AT133,0),IF(AND(NOT(AND(AO133=1,AN133&lt;&gt;1)),ISNUMBER(AI133),AI133&lt;=T133),AU133,0),IF(AND(ISNUMBER(AJ133),AJ133&lt;=T133),AV133,0))),"SC","Mag")))))))</f>
        <v/>
      </c>
    </row>
    <row r="134" customFormat="false" ht="15" hidden="false" customHeight="false" outlineLevel="0" collapsed="false">
      <c r="A134" s="26" t="n">
        <v>129</v>
      </c>
      <c r="B134" s="27" t="n">
        <f aca="false">A134*10/60</f>
        <v>21.5</v>
      </c>
      <c r="C134" s="21" t="n">
        <f aca="false">X133</f>
        <v>18.6730249835055</v>
      </c>
      <c r="D134" s="27" t="n">
        <f aca="false">D133+W133</f>
        <v>0</v>
      </c>
      <c r="E134" s="26" t="n">
        <f aca="false">E133+IF(U133="SW",1,0)</f>
        <v>12</v>
      </c>
      <c r="F134" s="26" t="n">
        <f aca="false">F133+IF(U133="AB",1,0)</f>
        <v>10</v>
      </c>
      <c r="G134" s="26" t="n">
        <f aca="false">G133+IF(U133="SC",1,0)</f>
        <v>7</v>
      </c>
      <c r="H134" s="26" t="n">
        <f aca="false">H133+IF(U133="Mag",1,0)</f>
        <v>5</v>
      </c>
      <c r="I134" s="26" t="n">
        <f aca="false">MAX(I133,IF(U133="OR",1,0))</f>
        <v>1</v>
      </c>
      <c r="J134" s="26" t="n">
        <f aca="false">MAX(J133,IF(U133="HP",1,0))</f>
        <v>1</v>
      </c>
      <c r="K134" s="26" t="n">
        <f aca="false">MAX(K133,IF(U133="FP",1,0))</f>
        <v>1</v>
      </c>
      <c r="L134" s="26" t="n">
        <f aca="false">MAX(L133,IF(U133="transition",1,0))</f>
        <v>1</v>
      </c>
      <c r="M134" s="28" t="n">
        <f aca="false">(Parameters!$B$9+(IF(E134=0,0,(Upgrades!$J$6+E134*Upgrades!$K$6)*POWER(Upgrades!$L$6,E134)))*(IF(Upgrades!$T$7="Solar Wind",POWER(Upgrades!$U$7,F134),1)*IF(Upgrades!$T$8="Solar Wind",POWER(Upgrades!$U$8,G134),1)*IF(Upgrades!$T$9="Solar Wind",POWER(Upgrades!$U$9,H134),1)*IF(Upgrades!$T$10="Solar Wind",POWER(Upgrades!$U$10,I134),1)*IF(Upgrades!$T$11="Solar Wind",POWER(Upgrades!$U$11,J134),1)*IF(Upgrades!$T$12="Solar Wind",POWER(Upgrades!$U$12,K134),1))+(IF(F134=0,0,(Upgrades!$J$7+F134*Upgrades!$K$7)*POWER(Upgrades!$L$7,F134)))*(IF(Upgrades!$T$6="Asteroid Belt",POWER(Upgrades!$U$6,E134),1)*IF(Upgrades!$T$8="Asteroid Belt",POWER(Upgrades!$U$8,G134),1)*IF(Upgrades!$T$9="Asteroid Belt",POWER(Upgrades!$U$9,H134),1)*IF(Upgrades!$T$10="Asteroid Belt",POWER(Upgrades!$U$10,I134),1)*IF(Upgrades!$T$11="Asteroid Belt",POWER(Upgrades!$U$11,J134),1)*IF(Upgrades!$T$12="Asteroid Belt",POWER(Upgrades!$U$12,K134),1))+(IF(G134=0,0,(Upgrades!$J$8+G134*Upgrades!$K$8)*POWER(Upgrades!$L$8,G134)))*(IF(Upgrades!$T$6="Stellar Coupling",POWER(Upgrades!$U$6,E134),1)*IF(Upgrades!$T$7="Stellar Coupling",POWER(Upgrades!$U$7,F134),1)*IF(Upgrades!$T$9="Stellar Coupling",POWER(Upgrades!$U$9,H134),1)*IF(Upgrades!$T$10="Stellar Coupling",POWER(Upgrades!$U$10,I134),1)*IF(Upgrades!$T$11="Stellar Coupling",POWER(Upgrades!$U$11,J134),1)*IF(Upgrades!$T$12="Stellar Coupling",POWER(Upgrades!$U$12,K134),1))+(IF(H134=0,0,(Upgrades!$J$9+H134*Upgrades!$K$9)*POWER(Upgrades!$L$9,H134)))*(IF(Upgrades!$T$6="Magnetosphere",POWER(Upgrades!$U$6,E134),1)*IF(Upgrades!$T$7="Magnetosphere",POWER(Upgrades!$U$7,F134),1)*IF(Upgrades!$T$8="Magnetosphere",POWER(Upgrades!$U$8,G134),1)*IF(Upgrades!$T$10="Magnetosphere",POWER(Upgrades!$U$10,I134),1)*IF(Upgrades!$T$11="Magnetosphere",POWER(Upgrades!$U$11,J134),1)*IF(Upgrades!$T$12="Magnetosphere",POWER(Upgrades!$U$12,K134),1))+(IF(I134=0,0,(Upgrades!$J$10+I134*Upgrades!$K$10)*POWER(Upgrades!$L$10,I134)))*(IF(Upgrades!$T$6="Orbital Resonance",POWER(Upgrades!$U$6,E134),1)*IF(Upgrades!$T$7="Orbital Resonance",POWER(Upgrades!$U$7,F134),1)*IF(Upgrades!$T$8="Orbital Resonance",POWER(Upgrades!$U$8,G134),1)*IF(Upgrades!$T$9="Orbital Resonance",POWER(Upgrades!$U$9,H134),1)*IF(Upgrades!$T$11="Orbital Resonance",POWER(Upgrades!$U$11,J134),1)*IF(Upgrades!$T$12="Orbital Resonance",POWER(Upgrades!$U$12,K134),1))+(IF(J134=0,0,(Upgrades!$J$11+J134*Upgrades!$K$11)*POWER(Upgrades!$L$11,J134)))*(IF(Upgrades!$T$6="Heliopause",POWER(Upgrades!$U$6,E134),1)*IF(Upgrades!$T$7="Heliopause",POWER(Upgrades!$U$7,F134),1)*IF(Upgrades!$T$8="Heliopause",POWER(Upgrades!$U$8,G134),1)*IF(Upgrades!$T$9="Heliopause",POWER(Upgrades!$U$9,H134),1)*IF(Upgrades!$T$10="Heliopause",POWER(Upgrades!$U$10,I134),1)*IF(Upgrades!$T$12="Heliopause",POWER(Upgrades!$U$12,K134),1))+(IF(K134=0,0,(Upgrades!$J$12+K134*Upgrades!$K$12)*POWER(Upgrades!$L$12,K134)))*(IF(Upgrades!$T$6="First Photons",POWER(Upgrades!$U$6,E134),1)*IF(Upgrades!$T$7="First Photons",POWER(Upgrades!$U$7,F134),1)*IF(Upgrades!$T$8="First Photons",POWER(Upgrades!$U$8,G134),1)*IF(Upgrades!$T$9="First Photons",POWER(Upgrades!$U$9,H134),1)*IF(Upgrades!$T$10="First Photons",POWER(Upgrades!$U$10,I134),1)*IF(Upgrades!$T$11="First Photons",POWER(Upgrades!$U$11,J134),1)))*POWER(Upgrades!$Q$6,E134)*POWER(Upgrades!$Q$7,F134)*POWER(Upgrades!$Q$8,G134)*POWER(Upgrades!$Q$9,H134)*POWER(Upgrades!$Q$10,I134)*POWER(Upgrades!$Q$11,J134)*POWER(Upgrades!$Q$12,K134)</f>
        <v>5.61</v>
      </c>
      <c r="N134" s="28" t="n">
        <f aca="false">((IF(E134=0,0,(Upgrades!$G$6+E134*Upgrades!$H$6)*POWER(Upgrades!$I$6,E134)))*(IF(Upgrades!$T$7="Solar Wind",POWER(Upgrades!$U$7,F134),1)*IF(Upgrades!$T$8="Solar Wind",POWER(Upgrades!$U$8,G134),1)*IF(Upgrades!$T$9="Solar Wind",POWER(Upgrades!$U$9,H134),1)*IF(Upgrades!$T$10="Solar Wind",POWER(Upgrades!$U$10,I134),1)*IF(Upgrades!$T$11="Solar Wind",POWER(Upgrades!$U$11,J134),1)*IF(Upgrades!$T$12="Solar Wind",POWER(Upgrades!$U$12,K134),1))+(IF(F134=0,0,(Upgrades!$G$7+F134*Upgrades!$H$7)*POWER(Upgrades!$I$7,F134)))*(IF(Upgrades!$T$6="Asteroid Belt",POWER(Upgrades!$U$6,E134),1)*IF(Upgrades!$T$8="Asteroid Belt",POWER(Upgrades!$U$8,G134),1)*IF(Upgrades!$T$9="Asteroid Belt",POWER(Upgrades!$U$9,H134),1)*IF(Upgrades!$T$10="Asteroid Belt",POWER(Upgrades!$U$10,I134),1)*IF(Upgrades!$T$11="Asteroid Belt",POWER(Upgrades!$U$11,J134),1)*IF(Upgrades!$T$12="Asteroid Belt",POWER(Upgrades!$U$12,K134),1))+(IF(G134=0,0,(Upgrades!$G$8+G134*Upgrades!$H$8)*POWER(Upgrades!$I$8,G134)))*(IF(Upgrades!$T$6="Stellar Coupling",POWER(Upgrades!$U$6,E134),1)*IF(Upgrades!$T$7="Stellar Coupling",POWER(Upgrades!$U$7,F134),1)*IF(Upgrades!$T$9="Stellar Coupling",POWER(Upgrades!$U$9,H134),1)*IF(Upgrades!$T$10="Stellar Coupling",POWER(Upgrades!$U$10,I134),1)*IF(Upgrades!$T$11="Stellar Coupling",POWER(Upgrades!$U$11,J134),1)*IF(Upgrades!$T$12="Stellar Coupling",POWER(Upgrades!$U$12,K134),1))+(IF(H134=0,0,(Upgrades!$G$9+H134*Upgrades!$H$9)*POWER(Upgrades!$I$9,H134)))*(IF(Upgrades!$T$6="Magnetosphere",POWER(Upgrades!$U$6,E134),1)*IF(Upgrades!$T$7="Magnetosphere",POWER(Upgrades!$U$7,F134),1)*IF(Upgrades!$T$8="Magnetosphere",POWER(Upgrades!$U$8,G134),1)*IF(Upgrades!$T$10="Magnetosphere",POWER(Upgrades!$U$10,I134),1)*IF(Upgrades!$T$11="Magnetosphere",POWER(Upgrades!$U$11,J134),1)*IF(Upgrades!$T$12="Magnetosphere",POWER(Upgrades!$U$12,K134),1))+(IF(I134=0,0,(Upgrades!$G$10+I134*Upgrades!$H$10)*POWER(Upgrades!$I$10,I134)))*(IF(Upgrades!$T$6="Orbital Resonance",POWER(Upgrades!$U$6,E134),1)*IF(Upgrades!$T$7="Orbital Resonance",POWER(Upgrades!$U$7,F134),1)*IF(Upgrades!$T$8="Orbital Resonance",POWER(Upgrades!$U$8,G134),1)*IF(Upgrades!$T$9="Orbital Resonance",POWER(Upgrades!$U$9,H134),1)*IF(Upgrades!$T$11="Orbital Resonance",POWER(Upgrades!$U$11,J134),1)*IF(Upgrades!$T$12="Orbital Resonance",POWER(Upgrades!$U$12,K134),1))+(IF(J134=0,0,(Upgrades!$G$11+J134*Upgrades!$H$11)*POWER(Upgrades!$I$11,J134)))*(IF(Upgrades!$T$6="Heliopause",POWER(Upgrades!$U$6,E134),1)*IF(Upgrades!$T$7="Heliopause",POWER(Upgrades!$U$7,F134),1)*IF(Upgrades!$T$8="Heliopause",POWER(Upgrades!$U$8,G134),1)*IF(Upgrades!$T$9="Heliopause",POWER(Upgrades!$U$9,H134),1)*IF(Upgrades!$T$10="Heliopause",POWER(Upgrades!$U$10,I134),1)*IF(Upgrades!$T$12="Heliopause",POWER(Upgrades!$U$12,K134),1))+(IF(K134=0,0,(Upgrades!$G$12+K134*Upgrades!$H$12)*POWER(Upgrades!$I$12,K134)))*(IF(Upgrades!$T$6="First Photons",POWER(Upgrades!$U$6,E134),1)*IF(Upgrades!$T$7="First Photons",POWER(Upgrades!$U$7,F134),1)*IF(Upgrades!$T$8="First Photons",POWER(Upgrades!$U$8,G134),1)*IF(Upgrades!$T$9="First Photons",POWER(Upgrades!$U$9,H134),1)*IF(Upgrades!$T$10="First Photons",POWER(Upgrades!$U$10,I134),1)*IF(Upgrades!$T$11="First Photons",POWER(Upgrades!$U$11,J134),1)))*POWER(Upgrades!$P$6,E134)*POWER(Upgrades!$P$7,F134)*POWER(Upgrades!$P$8,G134)*POWER(Upgrades!$P$9,H134)*POWER(Upgrades!$P$10,I134)*POWER(Upgrades!$P$11,J134)*POWER(Upgrades!$P$12,K134)</f>
        <v>11.2</v>
      </c>
      <c r="O134" s="28" t="n">
        <f aca="false">((IF(E134=0,0,(Upgrades!$M$6+E134*Upgrades!$N$6)*POWER(Upgrades!$O$6,E134)))*(IF(Upgrades!$T$7="Solar Wind",POWER(Upgrades!$U$7,F134),1)*IF(Upgrades!$T$8="Solar Wind",POWER(Upgrades!$U$8,G134),1)*IF(Upgrades!$T$9="Solar Wind",POWER(Upgrades!$U$9,H134),1)*IF(Upgrades!$T$10="Solar Wind",POWER(Upgrades!$U$10,I134),1)*IF(Upgrades!$T$11="Solar Wind",POWER(Upgrades!$U$11,J134),1)*IF(Upgrades!$T$12="Solar Wind",POWER(Upgrades!$U$12,K134),1))+(IF(F134=0,0,(Upgrades!$M$7+F134*Upgrades!$N$7)*POWER(Upgrades!$O$7,F134)))*(IF(Upgrades!$T$6="Asteroid Belt",POWER(Upgrades!$U$6,E134),1)*IF(Upgrades!$T$8="Asteroid Belt",POWER(Upgrades!$U$8,G134),1)*IF(Upgrades!$T$9="Asteroid Belt",POWER(Upgrades!$U$9,H134),1)*IF(Upgrades!$T$10="Asteroid Belt",POWER(Upgrades!$U$10,I134),1)*IF(Upgrades!$T$11="Asteroid Belt",POWER(Upgrades!$U$11,J134),1)*IF(Upgrades!$T$12="Asteroid Belt",POWER(Upgrades!$U$12,K134),1))+(IF(G134=0,0,(Upgrades!$M$8+G134*Upgrades!$N$8)*POWER(Upgrades!$O$8,G134)))*(IF(Upgrades!$T$6="Stellar Coupling",POWER(Upgrades!$U$6,E134),1)*IF(Upgrades!$T$7="Stellar Coupling",POWER(Upgrades!$U$7,F134),1)*IF(Upgrades!$T$9="Stellar Coupling",POWER(Upgrades!$U$9,H134),1)*IF(Upgrades!$T$10="Stellar Coupling",POWER(Upgrades!$U$10,I134),1)*IF(Upgrades!$T$11="Stellar Coupling",POWER(Upgrades!$U$11,J134),1)*IF(Upgrades!$T$12="Stellar Coupling",POWER(Upgrades!$U$12,K134),1))+(IF(H134=0,0,(Upgrades!$M$9+H134*Upgrades!$N$9)*POWER(Upgrades!$O$9,H134)))*(IF(Upgrades!$T$6="Magnetosphere",POWER(Upgrades!$U$6,E134),1)*IF(Upgrades!$T$7="Magnetosphere",POWER(Upgrades!$U$7,F134),1)*IF(Upgrades!$T$8="Magnetosphere",POWER(Upgrades!$U$8,G134),1)*IF(Upgrades!$T$10="Magnetosphere",POWER(Upgrades!$U$10,I134),1)*IF(Upgrades!$T$11="Magnetosphere",POWER(Upgrades!$U$11,J134),1)*IF(Upgrades!$T$12="Magnetosphere",POWER(Upgrades!$U$12,K134),1))+(IF(I134=0,0,(Upgrades!$M$10+I134*Upgrades!$N$10)*POWER(Upgrades!$O$10,I134)))*(IF(Upgrades!$T$6="Orbital Resonance",POWER(Upgrades!$U$6,E134),1)*IF(Upgrades!$T$7="Orbital Resonance",POWER(Upgrades!$U$7,F134),1)*IF(Upgrades!$T$8="Orbital Resonance",POWER(Upgrades!$U$8,G134),1)*IF(Upgrades!$T$9="Orbital Resonance",POWER(Upgrades!$U$9,H134),1)*IF(Upgrades!$T$11="Orbital Resonance",POWER(Upgrades!$U$11,J134),1)*IF(Upgrades!$T$12="Orbital Resonance",POWER(Upgrades!$U$12,K134),1))+(IF(J134=0,0,(Upgrades!$M$11+J134*Upgrades!$N$11)*POWER(Upgrades!$O$11,J134)))*(IF(Upgrades!$T$6="Heliopause",POWER(Upgrades!$U$6,E134),1)*IF(Upgrades!$T$7="Heliopause",POWER(Upgrades!$U$7,F134),1)*IF(Upgrades!$T$8="Heliopause",POWER(Upgrades!$U$8,G134),1)*IF(Upgrades!$T$9="Heliopause",POWER(Upgrades!$U$9,H134),1)*IF(Upgrades!$T$10="Heliopause",POWER(Upgrades!$U$10,I134),1)*IF(Upgrades!$T$12="Heliopause",POWER(Upgrades!$U$12,K134),1))+(IF(K134=0,0,(Upgrades!$M$12+K134*Upgrades!$N$12)*POWER(Upgrades!$O$12,K134)))*(IF(Upgrades!$T$6="First Photons",POWER(Upgrades!$U$6,E134),1)*IF(Upgrades!$T$7="First Photons",POWER(Upgrades!$U$7,F134),1)*IF(Upgrades!$T$8="First Photons",POWER(Upgrades!$U$8,G134),1)*IF(Upgrades!$T$9="First Photons",POWER(Upgrades!$U$9,H134),1)*IF(Upgrades!$T$10="First Photons",POWER(Upgrades!$U$10,I134),1)*IF(Upgrades!$T$11="First Photons",POWER(Upgrades!$U$11,J134),1)))*POWER(Upgrades!$R$6,E134)*POWER(Upgrades!$R$7,F134)*POWER(Upgrades!$R$8,G134)*POWER(Upgrades!$R$9,H134)*POWER(Upgrades!$R$10,I134)*POWER(Upgrades!$R$11,J134)*POWER(Upgrades!$R$12,K134)</f>
        <v>0</v>
      </c>
      <c r="P134" s="27" t="n">
        <f aca="false">IF(L134=1,0,M134*Parameters!$B$10/60*Parameters!$B$11*10)</f>
        <v>0</v>
      </c>
      <c r="Q134" s="27" t="n">
        <f aca="false">IF(L134=1,0,O134*M134*10)</f>
        <v>0</v>
      </c>
      <c r="R134" s="27" t="n">
        <f aca="false">IF(L134=1,0,N134*10)</f>
        <v>0</v>
      </c>
      <c r="S134" s="27" t="n">
        <f aca="false">P134+Q134+R134</f>
        <v>0</v>
      </c>
      <c r="T134" s="21" t="n">
        <f aca="false">C134+S134</f>
        <v>18.6730249835055</v>
      </c>
      <c r="U134" s="34" t="str">
        <f aca="false">AX134</f>
        <v/>
      </c>
      <c r="V134" s="21" t="n">
        <f aca="false">IF(U134="",0,IF(U134="transition",0,IF(U134="SW",AG134,IF(U134="AB",AH134,IF(U134="SC",AI134,IF(U134="Mag",AJ134,IF(U134="OR",AK134,IF(U134="HP",AL134,IF(U134="FP",AM134,0)))))))))</f>
        <v>0</v>
      </c>
      <c r="W134" s="27" t="n">
        <f aca="false">IF(U134="OR",Upgrades!$F$10,IF(U134="HP",Upgrades!$F$11,IF(U134="transition",-Parameters!$B$18,0)))</f>
        <v>0</v>
      </c>
      <c r="X134" s="21" t="n">
        <f aca="false">T134-V134</f>
        <v>18.6730249835055</v>
      </c>
      <c r="Y134" s="30" t="n">
        <f aca="false">M134*Parameters!$B$10/60*Parameters!$B$11+O134*M134+N134</f>
        <v>20.55</v>
      </c>
      <c r="Z134" s="35" t="str">
        <f aca="false">IF(U134="transition","→ Tier 2 (Stellar Neighborhood)",IF(U134="FP","First Photons — light begins, system quickens",IF(U134="HP","Heliopause acquired",IF(U134="OR","Orbital Resonance — passive multiplier active",IF(AND(AO134=1,L134=0,AN134&lt;&gt;1),"Cohesion ready (waiting on completionist upgrades)","")))))</f>
        <v/>
      </c>
      <c r="AA134" s="27" t="n">
        <f aca="false">(IF(E134=0,0,(Upgrades!$G$6+E134*Upgrades!$H$6)*POWER(Upgrades!$I$6,E134)))*(IF(Upgrades!$T$7="Solar Wind",POWER(Upgrades!$U$7,F134),1)*IF(Upgrades!$T$8="Solar Wind",POWER(Upgrades!$U$8,G134),1)*IF(Upgrades!$T$9="Solar Wind",POWER(Upgrades!$U$9,H134),1)*IF(Upgrades!$T$10="Solar Wind",POWER(Upgrades!$U$10,I134),1)*IF(Upgrades!$T$11="Solar Wind",POWER(Upgrades!$U$11,J134),1)*IF(Upgrades!$T$12="Solar Wind",POWER(Upgrades!$U$12,K134),1))*POWER(Upgrades!$P$6,E134)*POWER(Upgrades!$P$7,F134)*POWER(Upgrades!$P$8,G134)*POWER(Upgrades!$P$9,H134)*POWER(Upgrades!$P$10,I134)*POWER(Upgrades!$P$11,J134)*POWER(Upgrades!$P$12,K134)*60</f>
        <v>72</v>
      </c>
      <c r="AB134" s="27" t="n">
        <f aca="false">(IF(F134=0,0,(Upgrades!$G$7+F134*Upgrades!$H$7)*POWER(Upgrades!$I$7,F134)))*(IF(Upgrades!$T$6="Asteroid Belt",POWER(Upgrades!$U$6,E134),1)*IF(Upgrades!$T$8="Asteroid Belt",POWER(Upgrades!$U$8,G134),1)*IF(Upgrades!$T$9="Asteroid Belt",POWER(Upgrades!$U$9,H134),1)*IF(Upgrades!$T$10="Asteroid Belt",POWER(Upgrades!$U$10,I134),1)*IF(Upgrades!$T$11="Asteroid Belt",POWER(Upgrades!$U$11,J134),1)*IF(Upgrades!$T$12="Asteroid Belt",POWER(Upgrades!$U$12,K134),1))*POWER(Upgrades!$P$6,E134)*POWER(Upgrades!$P$7,F134)*POWER(Upgrades!$P$8,G134)*POWER(Upgrades!$P$9,H134)*POWER(Upgrades!$P$10,I134)*POWER(Upgrades!$P$11,J134)*POWER(Upgrades!$P$12,K134)*60</f>
        <v>150</v>
      </c>
      <c r="AC134" s="27" t="n">
        <f aca="false">(IF(G134=0,0,(Upgrades!$J$8+G134*Upgrades!$K$8)*POWER(Upgrades!$L$8,G134)))*(IF(Upgrades!$T$6="Stellar Coupling",POWER(Upgrades!$U$6,E134),1)*IF(Upgrades!$T$7="Stellar Coupling",POWER(Upgrades!$U$7,F134),1)*IF(Upgrades!$T$9="Stellar Coupling",POWER(Upgrades!$U$9,H134),1)*IF(Upgrades!$T$10="Stellar Coupling",POWER(Upgrades!$U$10,I134),1)*IF(Upgrades!$T$11="Stellar Coupling",POWER(Upgrades!$U$11,J134),1)*IF(Upgrades!$T$12="Stellar Coupling",POWER(Upgrades!$U$12,K134),1))*POWER(Upgrades!$Q$6,E134)*POWER(Upgrades!$Q$7,F134)*POWER(Upgrades!$Q$8,G134)*POWER(Upgrades!$Q$9,H134)*POWER(Upgrades!$Q$10,I134)*POWER(Upgrades!$Q$11,J134)*POWER(Upgrades!$Q$12,K134)*Parameters!$B$10*Parameters!$B$11</f>
        <v>441</v>
      </c>
      <c r="AD134" s="27" t="n">
        <f aca="false">(IF(H134=0,0,(Upgrades!$G$9+H134*Upgrades!$H$9)*POWER(Upgrades!$I$9,H134)))*(IF(Upgrades!$T$6="Magnetosphere",POWER(Upgrades!$U$6,E134),1)*IF(Upgrades!$T$7="Magnetosphere",POWER(Upgrades!$U$7,F134),1)*IF(Upgrades!$T$8="Magnetosphere",POWER(Upgrades!$U$8,G134),1)*IF(Upgrades!$T$10="Magnetosphere",POWER(Upgrades!$U$10,I134),1)*IF(Upgrades!$T$11="Magnetosphere",POWER(Upgrades!$U$11,J134),1)*IF(Upgrades!$T$12="Magnetosphere",POWER(Upgrades!$U$12,K134),1))*POWER(Upgrades!$P$6,E134)*POWER(Upgrades!$P$7,F134)*POWER(Upgrades!$P$8,G134)*POWER(Upgrades!$P$9,H134)*POWER(Upgrades!$P$10,I134)*POWER(Upgrades!$P$11,J134)*POWER(Upgrades!$P$12,K134)*60</f>
        <v>375</v>
      </c>
      <c r="AE134" s="27" t="n">
        <f aca="false">(IF(K134=0,0,(Upgrades!$G$12+K134*Upgrades!$H$12)*POWER(Upgrades!$I$12,K134)))*(IF(Upgrades!$T$6="First Photons",POWER(Upgrades!$U$6,E134),1)*IF(Upgrades!$T$7="First Photons",POWER(Upgrades!$U$7,F134),1)*IF(Upgrades!$T$8="First Photons",POWER(Upgrades!$U$8,G134),1)*IF(Upgrades!$T$9="First Photons",POWER(Upgrades!$U$9,H134),1)*IF(Upgrades!$T$10="First Photons",POWER(Upgrades!$U$10,I134),1)*IF(Upgrades!$T$11="First Photons",POWER(Upgrades!$U$11,J134),1))*POWER(Upgrades!$P$6,E134)*POWER(Upgrades!$P$7,F134)*POWER(Upgrades!$P$8,G134)*POWER(Upgrades!$P$9,H134)*POWER(Upgrades!$P$10,I134)*POWER(Upgrades!$P$11,J134)*POWER(Upgrades!$P$12,K134)*60</f>
        <v>75</v>
      </c>
      <c r="AF134" s="27" t="n">
        <f aca="false">Parameters!$B$9*POWER(Upgrades!$Q$6,E134)*POWER(Upgrades!$Q$7,F134)*POWER(Upgrades!$Q$8,G134)*POWER(Upgrades!$Q$9,H134)*POWER(Upgrades!$Q$10,I134)*POWER(Upgrades!$Q$11,J134)*POWER(Upgrades!$Q$12,K134)*(Parameters!$B$10*Parameters!$B$11+O134*60)</f>
        <v>120</v>
      </c>
      <c r="AG134" s="21" t="n">
        <f aca="false">IF(E134&gt;=Upgrades!$E$6,"",Upgrades!$C$6*POWER(Upgrades!$D$6,E134))</f>
        <v>37.4517507383159</v>
      </c>
      <c r="AH134" s="21" t="n">
        <f aca="false">IF(F134&gt;=Upgrades!$E$7,"",Upgrades!$C$7*POWER(Upgrades!$D$7,F134))</f>
        <v>80.9111547141581</v>
      </c>
      <c r="AI134" s="21" t="n">
        <f aca="false">IF(G134&gt;=Upgrades!$E$8,"",Upgrades!$C$8*POWER(Upgrades!$D$8,G134))</f>
        <v>231.9097088</v>
      </c>
      <c r="AJ134" s="21" t="str">
        <f aca="false">IF(H134&gt;=Upgrades!$E$9,"",Upgrades!$C$9*POWER(Upgrades!$D$9,H134))</f>
        <v/>
      </c>
      <c r="AK134" s="21" t="str">
        <f aca="false">IF(I134&gt;=Upgrades!$E$10,"",Upgrades!$C$10*POWER(Upgrades!$D$10,I134))</f>
        <v/>
      </c>
      <c r="AL134" s="21" t="str">
        <f aca="false">IF(J134&gt;=Upgrades!$E$11,"",Upgrades!$C$11*POWER(Upgrades!$D$11,J134))</f>
        <v/>
      </c>
      <c r="AM134" s="21" t="str">
        <f aca="false">IF(K134&gt;=Upgrades!$E$12,"",Upgrades!$C$12*POWER(Upgrades!$D$12,K134))</f>
        <v/>
      </c>
      <c r="AN134" s="26" t="str">
        <f aca="false">IF(AND(D134&gt;=Parameters!$B$18,(H134&gt;=Upgrades!$E$9)*(K134&gt;=Upgrades!$E$12)=1,L134=0),1,"")</f>
        <v/>
      </c>
      <c r="AO134" s="26" t="str">
        <f aca="false">IF(AND(D134&gt;=Parameters!$B$18,L134=0),1,"")</f>
        <v/>
      </c>
      <c r="AP134" s="21" t="n">
        <f aca="false">MIN(IF(ISNUMBER(AK134),AK134,9000000000000000),IF(ISNUMBER(AL134),AL134,9000000000000000),IF(ISNUMBER(AM134),AM134,9000000000000000))</f>
        <v>9000000000000000</v>
      </c>
      <c r="AQ134" s="21" t="n">
        <f aca="false">MIN(IF(ISNUMBER(AG134),AG134,9000000000000000),IF(ISNUMBER(AH134),AH134,9000000000000000),IF(ISNUMBER(AI134),AI134,9000000000000000),IF(ISNUMBER(AJ134),AJ134,9000000000000000))</f>
        <v>37.4517507383159</v>
      </c>
      <c r="AR134" s="32" t="b">
        <f aca="false">IF(AW134&gt;Parameters!$B$21*(MAX(IF(AND(NOT(AND(AO134=1,AN134&lt;&gt;1)),ISNUMBER(AG134),AG134&lt;=T134),AS134,0),IF(AND(NOT(AND(AO134=1,AN134&lt;&gt;1)),ISNUMBER(AH134),AH134&lt;=T134),AT134,0),IF(AND(NOT(AND(AO134=1,AN134&lt;&gt;1)),ISNUMBER(AI134),AI134&lt;=T134),AU134,0),IF(AND(ISNUMBER(AJ134),AJ134&lt;=T134),AV134,0))),TRUE(),FALSE())</f>
        <v>1</v>
      </c>
      <c r="AS134" s="33" t="n">
        <f aca="false">IFERROR(Upgrades!$H$6*(POWER(Upgrades!$P$6,E134)*POWER(Upgrades!$P$7,F134)*POWER(Upgrades!$P$8,G134)*POWER(Upgrades!$P$9,H134)*POWER(Upgrades!$P$10,I134)*POWER(Upgrades!$P$11,J134)*POWER(Upgrades!$P$12,K134))*(IF(Upgrades!$T$7="Solar Wind",POWER(Upgrades!$U$7,F134),1)*IF(Upgrades!$T$8="Solar Wind",POWER(Upgrades!$U$8,G134),1)*IF(Upgrades!$T$9="Solar Wind",POWER(Upgrades!$U$9,H134),1)*IF(Upgrades!$T$10="Solar Wind",POWER(Upgrades!$U$10,I134),1)*IF(Upgrades!$T$11="Solar Wind",POWER(Upgrades!$U$11,J134),1)*IF(Upgrades!$T$12="Solar Wind",POWER(Upgrades!$U$12,K134),1))/AG134,0)</f>
        <v>0.0026701021455238</v>
      </c>
      <c r="AT134" s="33" t="n">
        <f aca="false">IFERROR(Upgrades!$H$7*(POWER(Upgrades!$P$6,E134)*POWER(Upgrades!$P$7,F134)*POWER(Upgrades!$P$8,G134)*POWER(Upgrades!$P$9,H134)*POWER(Upgrades!$P$10,I134)*POWER(Upgrades!$P$11,J134)*POWER(Upgrades!$P$12,K134))*(IF(Upgrades!$T$6="Asteroid Belt",POWER(Upgrades!$U$6,E134),1)*IF(Upgrades!$T$8="Asteroid Belt",POWER(Upgrades!$U$8,G134),1)*IF(Upgrades!$T$9="Asteroid Belt",POWER(Upgrades!$U$9,H134),1)*IF(Upgrades!$T$10="Asteroid Belt",POWER(Upgrades!$U$10,I134),1)*IF(Upgrades!$T$11="Asteroid Belt",POWER(Upgrades!$U$11,J134),1)*IF(Upgrades!$T$12="Asteroid Belt",POWER(Upgrades!$U$12,K134),1))/AH134,0)</f>
        <v>0.00308980882652332</v>
      </c>
      <c r="AU134" s="33" t="n">
        <f aca="false">IFERROR(Upgrades!$K$8*(POWER(Upgrades!$Q$6,E134)*POWER(Upgrades!$Q$7,F134)*POWER(Upgrades!$Q$8,G134)*POWER(Upgrades!$Q$9,H134)*POWER(Upgrades!$Q$10,I134)*POWER(Upgrades!$Q$11,J134)*POWER(Upgrades!$Q$12,K134))*(IF(Upgrades!$T$6="Stellar Coupling",POWER(Upgrades!$U$6,E134),1)*IF(Upgrades!$T$7="Stellar Coupling",POWER(Upgrades!$U$7,F134),1)*IF(Upgrades!$T$9="Stellar Coupling",POWER(Upgrades!$U$9,H134),1)*IF(Upgrades!$T$10="Stellar Coupling",POWER(Upgrades!$U$10,I134),1)*IF(Upgrades!$T$11="Stellar Coupling",POWER(Upgrades!$U$11,J134),1)*IF(Upgrades!$T$12="Stellar Coupling",POWER(Upgrades!$U$12,K134),1))*Parameters!$B$10*Parameters!$B$11/60/AI134,0)</f>
        <v>0.00452762415783776</v>
      </c>
      <c r="AV134" s="33" t="n">
        <f aca="false">IFERROR(Upgrades!$H$9*(POWER(Upgrades!$P$6,E134)*POWER(Upgrades!$P$7,F134)*POWER(Upgrades!$P$8,G134)*POWER(Upgrades!$P$9,H134)*POWER(Upgrades!$P$10,I134)*POWER(Upgrades!$P$11,J134)*POWER(Upgrades!$P$12,K134))*(IF(Upgrades!$T$6="Magnetosphere",POWER(Upgrades!$U$6,E134),1)*IF(Upgrades!$T$7="Magnetosphere",POWER(Upgrades!$U$7,F134),1)*IF(Upgrades!$T$8="Magnetosphere",POWER(Upgrades!$U$8,G134),1)*IF(Upgrades!$T$10="Magnetosphere",POWER(Upgrades!$U$10,I134),1)*IF(Upgrades!$T$11="Magnetosphere",POWER(Upgrades!$U$11,J134),1)*IF(Upgrades!$T$12="Magnetosphere",POWER(Upgrades!$U$12,K134),1))/AJ134,0)</f>
        <v>0</v>
      </c>
      <c r="AW134" s="33" t="n">
        <f aca="false">MAX(IF(I134&gt;0,0,IFERROR(0.25*N134/Upgrades!$C$10,0)),IF(J134&gt;0,0,IFERROR(0.5*((IF(G134=0,0,(Upgrades!$J$8+G134*Upgrades!$K$8)*POWER(Upgrades!$L$8,G134)))*(IF(Upgrades!$T$6="Stellar Coupling",POWER(Upgrades!$U$6,E134),1)*IF(Upgrades!$T$7="Stellar Coupling",POWER(Upgrades!$U$7,F134),1)*IF(Upgrades!$T$9="Stellar Coupling",POWER(Upgrades!$U$9,H134),1)*IF(Upgrades!$T$10="Stellar Coupling",POWER(Upgrades!$U$10,I134),1)*IF(Upgrades!$T$11="Stellar Coupling",POWER(Upgrades!$U$11,J134),1)*IF(Upgrades!$T$12="Stellar Coupling",POWER(Upgrades!$U$12,K134),1))*(POWER(Upgrades!$Q$6,E134)*POWER(Upgrades!$Q$7,F134)*POWER(Upgrades!$Q$8,G134)*POWER(Upgrades!$Q$9,H134)*POWER(Upgrades!$Q$10,I134)*POWER(Upgrades!$Q$11,J134)*POWER(Upgrades!$Q$12,K134))*Parameters!$B$10*Parameters!$B$11/60)/Upgrades!$C$11,0)),IF(K134&gt;0,0,IFERROR((1*(POWER(Upgrades!$P$6,E134)*POWER(Upgrades!$P$7,F134)*POWER(Upgrades!$P$8,G134)*POWER(Upgrades!$P$9,H134)*POWER(Upgrades!$P$10,I134)*POWER(Upgrades!$P$11,J134)*POWER(Upgrades!$P$12,K134))+0.2*M134*Parameters!$B$10*Parameters!$B$11/60)/Upgrades!$C$12,0)),IF(AND(ISNUMBER(AG134),AG134&gt;T134),AS134,0),IF(AND(ISNUMBER(AH134),AH134&gt;T134),AT134,0),IF(AND(ISNUMBER(AI134),AI134&gt;T134),AU134,0),IF(AND(ISNUMBER(AJ134),AJ134&gt;T134),AV134,0))</f>
        <v>0.00452762415783776</v>
      </c>
      <c r="AX134" s="29" t="str">
        <f aca="false">IF(AN134=1,"transition",IF(MIN(IF(AND(I134=0,ISNUMBER(AK134),AK134&lt;=T134),AK134,9000000000000000),IF(AND(J134=0,ISNUMBER(AL134),AL134&lt;=T134),AL134,9000000000000000),IF(AND(K134=0,ISNUMBER(AM134),AM134&lt;=T134),AM134,9000000000000000))&lt;9000000000000000,IF(AND(AND(I134=0,ISNUMBER(AK134),AK134&lt;=T134),AK134=MIN(IF(AND(I134=0,ISNUMBER(AK134),AK134&lt;=T134),AK134,9000000000000000),IF(AND(J134=0,ISNUMBER(AL134),AL134&lt;=T134),AL134,9000000000000000),IF(AND(K134=0,ISNUMBER(AM134),AM134&lt;=T134),AM134,9000000000000000))),"OR",IF(AND(AND(J134=0,ISNUMBER(AL134),AL134&lt;=T134),AL134=MIN(IF(AND(I134=0,ISNUMBER(AK134),AK134&lt;=T134),AK134,9000000000000000),IF(AND(J134=0,ISNUMBER(AL134),AL134&lt;=T134),AL134,9000000000000000),IF(AND(K134=0,ISNUMBER(AM134),AM134&lt;=T134),AM134,9000000000000000))),"HP","FP")),IF(AR134=TRUE(),"",IF(MAX(IF(AND(NOT(AND(AO134=1,AN134&lt;&gt;1)),ISNUMBER(AG134),AG134&lt;=T134),AS134,0),IF(AND(NOT(AND(AO134=1,AN134&lt;&gt;1)),ISNUMBER(AH134),AH134&lt;=T134),AT134,0),IF(AND(NOT(AND(AO134=1,AN134&lt;&gt;1)),ISNUMBER(AI134),AI134&lt;=T134),AU134,0),IF(AND(ISNUMBER(AJ134),AJ134&lt;=T134),AV134,0))&lt;=0,"",IF(AND(IF(AND(NOT(AND(AO134=1,AN134&lt;&gt;1)),ISNUMBER(AG134),AG134&lt;=T134),AS134,0)&gt;0,IF(AND(NOT(AND(AO134=1,AN134&lt;&gt;1)),ISNUMBER(AG134),AG134&lt;=T134),AS134,0)=MAX(IF(AND(NOT(AND(AO134=1,AN134&lt;&gt;1)),ISNUMBER(AG134),AG134&lt;=T134),AS134,0),IF(AND(NOT(AND(AO134=1,AN134&lt;&gt;1)),ISNUMBER(AH134),AH134&lt;=T134),AT134,0),IF(AND(NOT(AND(AO134=1,AN134&lt;&gt;1)),ISNUMBER(AI134),AI134&lt;=T134),AU134,0),IF(AND(ISNUMBER(AJ134),AJ134&lt;=T134),AV134,0))),"SW",IF(AND(IF(AND(NOT(AND(AO134=1,AN134&lt;&gt;1)),ISNUMBER(AH134),AH134&lt;=T134),AT134,0)&gt;0,IF(AND(NOT(AND(AO134=1,AN134&lt;&gt;1)),ISNUMBER(AH134),AH134&lt;=T134),AT134,0)=MAX(IF(AND(NOT(AND(AO134=1,AN134&lt;&gt;1)),ISNUMBER(AG134),AG134&lt;=T134),AS134,0),IF(AND(NOT(AND(AO134=1,AN134&lt;&gt;1)),ISNUMBER(AH134),AH134&lt;=T134),AT134,0),IF(AND(NOT(AND(AO134=1,AN134&lt;&gt;1)),ISNUMBER(AI134),AI134&lt;=T134),AU134,0),IF(AND(ISNUMBER(AJ134),AJ134&lt;=T134),AV134,0))),"AB",IF(AND(IF(AND(NOT(AND(AO134=1,AN134&lt;&gt;1)),ISNUMBER(AI134),AI134&lt;=T134),AU134,0)&gt;0,IF(AND(NOT(AND(AO134=1,AN134&lt;&gt;1)),ISNUMBER(AI134),AI134&lt;=T134),AU134,0)=MAX(IF(AND(NOT(AND(AO134=1,AN134&lt;&gt;1)),ISNUMBER(AG134),AG134&lt;=T134),AS134,0),IF(AND(NOT(AND(AO134=1,AN134&lt;&gt;1)),ISNUMBER(AH134),AH134&lt;=T134),AT134,0),IF(AND(NOT(AND(AO134=1,AN134&lt;&gt;1)),ISNUMBER(AI134),AI134&lt;=T134),AU134,0),IF(AND(ISNUMBER(AJ134),AJ134&lt;=T134),AV134,0))),"SC","Mag")))))))</f>
        <v/>
      </c>
    </row>
    <row r="135" customFormat="false" ht="15" hidden="false" customHeight="false" outlineLevel="0" collapsed="false">
      <c r="A135" s="26" t="n">
        <v>130</v>
      </c>
      <c r="B135" s="27" t="n">
        <f aca="false">A135*10/60</f>
        <v>21.6666666666667</v>
      </c>
      <c r="C135" s="21" t="n">
        <f aca="false">X134</f>
        <v>18.6730249835055</v>
      </c>
      <c r="D135" s="27" t="n">
        <f aca="false">D134+W134</f>
        <v>0</v>
      </c>
      <c r="E135" s="26" t="n">
        <f aca="false">E134+IF(U134="SW",1,0)</f>
        <v>12</v>
      </c>
      <c r="F135" s="26" t="n">
        <f aca="false">F134+IF(U134="AB",1,0)</f>
        <v>10</v>
      </c>
      <c r="G135" s="26" t="n">
        <f aca="false">G134+IF(U134="SC",1,0)</f>
        <v>7</v>
      </c>
      <c r="H135" s="26" t="n">
        <f aca="false">H134+IF(U134="Mag",1,0)</f>
        <v>5</v>
      </c>
      <c r="I135" s="26" t="n">
        <f aca="false">MAX(I134,IF(U134="OR",1,0))</f>
        <v>1</v>
      </c>
      <c r="J135" s="26" t="n">
        <f aca="false">MAX(J134,IF(U134="HP",1,0))</f>
        <v>1</v>
      </c>
      <c r="K135" s="26" t="n">
        <f aca="false">MAX(K134,IF(U134="FP",1,0))</f>
        <v>1</v>
      </c>
      <c r="L135" s="26" t="n">
        <f aca="false">MAX(L134,IF(U134="transition",1,0))</f>
        <v>1</v>
      </c>
      <c r="M135" s="28" t="n">
        <f aca="false">(Parameters!$B$9+(IF(E135=0,0,(Upgrades!$J$6+E135*Upgrades!$K$6)*POWER(Upgrades!$L$6,E135)))*(IF(Upgrades!$T$7="Solar Wind",POWER(Upgrades!$U$7,F135),1)*IF(Upgrades!$T$8="Solar Wind",POWER(Upgrades!$U$8,G135),1)*IF(Upgrades!$T$9="Solar Wind",POWER(Upgrades!$U$9,H135),1)*IF(Upgrades!$T$10="Solar Wind",POWER(Upgrades!$U$10,I135),1)*IF(Upgrades!$T$11="Solar Wind",POWER(Upgrades!$U$11,J135),1)*IF(Upgrades!$T$12="Solar Wind",POWER(Upgrades!$U$12,K135),1))+(IF(F135=0,0,(Upgrades!$J$7+F135*Upgrades!$K$7)*POWER(Upgrades!$L$7,F135)))*(IF(Upgrades!$T$6="Asteroid Belt",POWER(Upgrades!$U$6,E135),1)*IF(Upgrades!$T$8="Asteroid Belt",POWER(Upgrades!$U$8,G135),1)*IF(Upgrades!$T$9="Asteroid Belt",POWER(Upgrades!$U$9,H135),1)*IF(Upgrades!$T$10="Asteroid Belt",POWER(Upgrades!$U$10,I135),1)*IF(Upgrades!$T$11="Asteroid Belt",POWER(Upgrades!$U$11,J135),1)*IF(Upgrades!$T$12="Asteroid Belt",POWER(Upgrades!$U$12,K135),1))+(IF(G135=0,0,(Upgrades!$J$8+G135*Upgrades!$K$8)*POWER(Upgrades!$L$8,G135)))*(IF(Upgrades!$T$6="Stellar Coupling",POWER(Upgrades!$U$6,E135),1)*IF(Upgrades!$T$7="Stellar Coupling",POWER(Upgrades!$U$7,F135),1)*IF(Upgrades!$T$9="Stellar Coupling",POWER(Upgrades!$U$9,H135),1)*IF(Upgrades!$T$10="Stellar Coupling",POWER(Upgrades!$U$10,I135),1)*IF(Upgrades!$T$11="Stellar Coupling",POWER(Upgrades!$U$11,J135),1)*IF(Upgrades!$T$12="Stellar Coupling",POWER(Upgrades!$U$12,K135),1))+(IF(H135=0,0,(Upgrades!$J$9+H135*Upgrades!$K$9)*POWER(Upgrades!$L$9,H135)))*(IF(Upgrades!$T$6="Magnetosphere",POWER(Upgrades!$U$6,E135),1)*IF(Upgrades!$T$7="Magnetosphere",POWER(Upgrades!$U$7,F135),1)*IF(Upgrades!$T$8="Magnetosphere",POWER(Upgrades!$U$8,G135),1)*IF(Upgrades!$T$10="Magnetosphere",POWER(Upgrades!$U$10,I135),1)*IF(Upgrades!$T$11="Magnetosphere",POWER(Upgrades!$U$11,J135),1)*IF(Upgrades!$T$12="Magnetosphere",POWER(Upgrades!$U$12,K135),1))+(IF(I135=0,0,(Upgrades!$J$10+I135*Upgrades!$K$10)*POWER(Upgrades!$L$10,I135)))*(IF(Upgrades!$T$6="Orbital Resonance",POWER(Upgrades!$U$6,E135),1)*IF(Upgrades!$T$7="Orbital Resonance",POWER(Upgrades!$U$7,F135),1)*IF(Upgrades!$T$8="Orbital Resonance",POWER(Upgrades!$U$8,G135),1)*IF(Upgrades!$T$9="Orbital Resonance",POWER(Upgrades!$U$9,H135),1)*IF(Upgrades!$T$11="Orbital Resonance",POWER(Upgrades!$U$11,J135),1)*IF(Upgrades!$T$12="Orbital Resonance",POWER(Upgrades!$U$12,K135),1))+(IF(J135=0,0,(Upgrades!$J$11+J135*Upgrades!$K$11)*POWER(Upgrades!$L$11,J135)))*(IF(Upgrades!$T$6="Heliopause",POWER(Upgrades!$U$6,E135),1)*IF(Upgrades!$T$7="Heliopause",POWER(Upgrades!$U$7,F135),1)*IF(Upgrades!$T$8="Heliopause",POWER(Upgrades!$U$8,G135),1)*IF(Upgrades!$T$9="Heliopause",POWER(Upgrades!$U$9,H135),1)*IF(Upgrades!$T$10="Heliopause",POWER(Upgrades!$U$10,I135),1)*IF(Upgrades!$T$12="Heliopause",POWER(Upgrades!$U$12,K135),1))+(IF(K135=0,0,(Upgrades!$J$12+K135*Upgrades!$K$12)*POWER(Upgrades!$L$12,K135)))*(IF(Upgrades!$T$6="First Photons",POWER(Upgrades!$U$6,E135),1)*IF(Upgrades!$T$7="First Photons",POWER(Upgrades!$U$7,F135),1)*IF(Upgrades!$T$8="First Photons",POWER(Upgrades!$U$8,G135),1)*IF(Upgrades!$T$9="First Photons",POWER(Upgrades!$U$9,H135),1)*IF(Upgrades!$T$10="First Photons",POWER(Upgrades!$U$10,I135),1)*IF(Upgrades!$T$11="First Photons",POWER(Upgrades!$U$11,J135),1)))*POWER(Upgrades!$Q$6,E135)*POWER(Upgrades!$Q$7,F135)*POWER(Upgrades!$Q$8,G135)*POWER(Upgrades!$Q$9,H135)*POWER(Upgrades!$Q$10,I135)*POWER(Upgrades!$Q$11,J135)*POWER(Upgrades!$Q$12,K135)</f>
        <v>5.61</v>
      </c>
      <c r="N135" s="28" t="n">
        <f aca="false">((IF(E135=0,0,(Upgrades!$G$6+E135*Upgrades!$H$6)*POWER(Upgrades!$I$6,E135)))*(IF(Upgrades!$T$7="Solar Wind",POWER(Upgrades!$U$7,F135),1)*IF(Upgrades!$T$8="Solar Wind",POWER(Upgrades!$U$8,G135),1)*IF(Upgrades!$T$9="Solar Wind",POWER(Upgrades!$U$9,H135),1)*IF(Upgrades!$T$10="Solar Wind",POWER(Upgrades!$U$10,I135),1)*IF(Upgrades!$T$11="Solar Wind",POWER(Upgrades!$U$11,J135),1)*IF(Upgrades!$T$12="Solar Wind",POWER(Upgrades!$U$12,K135),1))+(IF(F135=0,0,(Upgrades!$G$7+F135*Upgrades!$H$7)*POWER(Upgrades!$I$7,F135)))*(IF(Upgrades!$T$6="Asteroid Belt",POWER(Upgrades!$U$6,E135),1)*IF(Upgrades!$T$8="Asteroid Belt",POWER(Upgrades!$U$8,G135),1)*IF(Upgrades!$T$9="Asteroid Belt",POWER(Upgrades!$U$9,H135),1)*IF(Upgrades!$T$10="Asteroid Belt",POWER(Upgrades!$U$10,I135),1)*IF(Upgrades!$T$11="Asteroid Belt",POWER(Upgrades!$U$11,J135),1)*IF(Upgrades!$T$12="Asteroid Belt",POWER(Upgrades!$U$12,K135),1))+(IF(G135=0,0,(Upgrades!$G$8+G135*Upgrades!$H$8)*POWER(Upgrades!$I$8,G135)))*(IF(Upgrades!$T$6="Stellar Coupling",POWER(Upgrades!$U$6,E135),1)*IF(Upgrades!$T$7="Stellar Coupling",POWER(Upgrades!$U$7,F135),1)*IF(Upgrades!$T$9="Stellar Coupling",POWER(Upgrades!$U$9,H135),1)*IF(Upgrades!$T$10="Stellar Coupling",POWER(Upgrades!$U$10,I135),1)*IF(Upgrades!$T$11="Stellar Coupling",POWER(Upgrades!$U$11,J135),1)*IF(Upgrades!$T$12="Stellar Coupling",POWER(Upgrades!$U$12,K135),1))+(IF(H135=0,0,(Upgrades!$G$9+H135*Upgrades!$H$9)*POWER(Upgrades!$I$9,H135)))*(IF(Upgrades!$T$6="Magnetosphere",POWER(Upgrades!$U$6,E135),1)*IF(Upgrades!$T$7="Magnetosphere",POWER(Upgrades!$U$7,F135),1)*IF(Upgrades!$T$8="Magnetosphere",POWER(Upgrades!$U$8,G135),1)*IF(Upgrades!$T$10="Magnetosphere",POWER(Upgrades!$U$10,I135),1)*IF(Upgrades!$T$11="Magnetosphere",POWER(Upgrades!$U$11,J135),1)*IF(Upgrades!$T$12="Magnetosphere",POWER(Upgrades!$U$12,K135),1))+(IF(I135=0,0,(Upgrades!$G$10+I135*Upgrades!$H$10)*POWER(Upgrades!$I$10,I135)))*(IF(Upgrades!$T$6="Orbital Resonance",POWER(Upgrades!$U$6,E135),1)*IF(Upgrades!$T$7="Orbital Resonance",POWER(Upgrades!$U$7,F135),1)*IF(Upgrades!$T$8="Orbital Resonance",POWER(Upgrades!$U$8,G135),1)*IF(Upgrades!$T$9="Orbital Resonance",POWER(Upgrades!$U$9,H135),1)*IF(Upgrades!$T$11="Orbital Resonance",POWER(Upgrades!$U$11,J135),1)*IF(Upgrades!$T$12="Orbital Resonance",POWER(Upgrades!$U$12,K135),1))+(IF(J135=0,0,(Upgrades!$G$11+J135*Upgrades!$H$11)*POWER(Upgrades!$I$11,J135)))*(IF(Upgrades!$T$6="Heliopause",POWER(Upgrades!$U$6,E135),1)*IF(Upgrades!$T$7="Heliopause",POWER(Upgrades!$U$7,F135),1)*IF(Upgrades!$T$8="Heliopause",POWER(Upgrades!$U$8,G135),1)*IF(Upgrades!$T$9="Heliopause",POWER(Upgrades!$U$9,H135),1)*IF(Upgrades!$T$10="Heliopause",POWER(Upgrades!$U$10,I135),1)*IF(Upgrades!$T$12="Heliopause",POWER(Upgrades!$U$12,K135),1))+(IF(K135=0,0,(Upgrades!$G$12+K135*Upgrades!$H$12)*POWER(Upgrades!$I$12,K135)))*(IF(Upgrades!$T$6="First Photons",POWER(Upgrades!$U$6,E135),1)*IF(Upgrades!$T$7="First Photons",POWER(Upgrades!$U$7,F135),1)*IF(Upgrades!$T$8="First Photons",POWER(Upgrades!$U$8,G135),1)*IF(Upgrades!$T$9="First Photons",POWER(Upgrades!$U$9,H135),1)*IF(Upgrades!$T$10="First Photons",POWER(Upgrades!$U$10,I135),1)*IF(Upgrades!$T$11="First Photons",POWER(Upgrades!$U$11,J135),1)))*POWER(Upgrades!$P$6,E135)*POWER(Upgrades!$P$7,F135)*POWER(Upgrades!$P$8,G135)*POWER(Upgrades!$P$9,H135)*POWER(Upgrades!$P$10,I135)*POWER(Upgrades!$P$11,J135)*POWER(Upgrades!$P$12,K135)</f>
        <v>11.2</v>
      </c>
      <c r="O135" s="28" t="n">
        <f aca="false">((IF(E135=0,0,(Upgrades!$M$6+E135*Upgrades!$N$6)*POWER(Upgrades!$O$6,E135)))*(IF(Upgrades!$T$7="Solar Wind",POWER(Upgrades!$U$7,F135),1)*IF(Upgrades!$T$8="Solar Wind",POWER(Upgrades!$U$8,G135),1)*IF(Upgrades!$T$9="Solar Wind",POWER(Upgrades!$U$9,H135),1)*IF(Upgrades!$T$10="Solar Wind",POWER(Upgrades!$U$10,I135),1)*IF(Upgrades!$T$11="Solar Wind",POWER(Upgrades!$U$11,J135),1)*IF(Upgrades!$T$12="Solar Wind",POWER(Upgrades!$U$12,K135),1))+(IF(F135=0,0,(Upgrades!$M$7+F135*Upgrades!$N$7)*POWER(Upgrades!$O$7,F135)))*(IF(Upgrades!$T$6="Asteroid Belt",POWER(Upgrades!$U$6,E135),1)*IF(Upgrades!$T$8="Asteroid Belt",POWER(Upgrades!$U$8,G135),1)*IF(Upgrades!$T$9="Asteroid Belt",POWER(Upgrades!$U$9,H135),1)*IF(Upgrades!$T$10="Asteroid Belt",POWER(Upgrades!$U$10,I135),1)*IF(Upgrades!$T$11="Asteroid Belt",POWER(Upgrades!$U$11,J135),1)*IF(Upgrades!$T$12="Asteroid Belt",POWER(Upgrades!$U$12,K135),1))+(IF(G135=0,0,(Upgrades!$M$8+G135*Upgrades!$N$8)*POWER(Upgrades!$O$8,G135)))*(IF(Upgrades!$T$6="Stellar Coupling",POWER(Upgrades!$U$6,E135),1)*IF(Upgrades!$T$7="Stellar Coupling",POWER(Upgrades!$U$7,F135),1)*IF(Upgrades!$T$9="Stellar Coupling",POWER(Upgrades!$U$9,H135),1)*IF(Upgrades!$T$10="Stellar Coupling",POWER(Upgrades!$U$10,I135),1)*IF(Upgrades!$T$11="Stellar Coupling",POWER(Upgrades!$U$11,J135),1)*IF(Upgrades!$T$12="Stellar Coupling",POWER(Upgrades!$U$12,K135),1))+(IF(H135=0,0,(Upgrades!$M$9+H135*Upgrades!$N$9)*POWER(Upgrades!$O$9,H135)))*(IF(Upgrades!$T$6="Magnetosphere",POWER(Upgrades!$U$6,E135),1)*IF(Upgrades!$T$7="Magnetosphere",POWER(Upgrades!$U$7,F135),1)*IF(Upgrades!$T$8="Magnetosphere",POWER(Upgrades!$U$8,G135),1)*IF(Upgrades!$T$10="Magnetosphere",POWER(Upgrades!$U$10,I135),1)*IF(Upgrades!$T$11="Magnetosphere",POWER(Upgrades!$U$11,J135),1)*IF(Upgrades!$T$12="Magnetosphere",POWER(Upgrades!$U$12,K135),1))+(IF(I135=0,0,(Upgrades!$M$10+I135*Upgrades!$N$10)*POWER(Upgrades!$O$10,I135)))*(IF(Upgrades!$T$6="Orbital Resonance",POWER(Upgrades!$U$6,E135),1)*IF(Upgrades!$T$7="Orbital Resonance",POWER(Upgrades!$U$7,F135),1)*IF(Upgrades!$T$8="Orbital Resonance",POWER(Upgrades!$U$8,G135),1)*IF(Upgrades!$T$9="Orbital Resonance",POWER(Upgrades!$U$9,H135),1)*IF(Upgrades!$T$11="Orbital Resonance",POWER(Upgrades!$U$11,J135),1)*IF(Upgrades!$T$12="Orbital Resonance",POWER(Upgrades!$U$12,K135),1))+(IF(J135=0,0,(Upgrades!$M$11+J135*Upgrades!$N$11)*POWER(Upgrades!$O$11,J135)))*(IF(Upgrades!$T$6="Heliopause",POWER(Upgrades!$U$6,E135),1)*IF(Upgrades!$T$7="Heliopause",POWER(Upgrades!$U$7,F135),1)*IF(Upgrades!$T$8="Heliopause",POWER(Upgrades!$U$8,G135),1)*IF(Upgrades!$T$9="Heliopause",POWER(Upgrades!$U$9,H135),1)*IF(Upgrades!$T$10="Heliopause",POWER(Upgrades!$U$10,I135),1)*IF(Upgrades!$T$12="Heliopause",POWER(Upgrades!$U$12,K135),1))+(IF(K135=0,0,(Upgrades!$M$12+K135*Upgrades!$N$12)*POWER(Upgrades!$O$12,K135)))*(IF(Upgrades!$T$6="First Photons",POWER(Upgrades!$U$6,E135),1)*IF(Upgrades!$T$7="First Photons",POWER(Upgrades!$U$7,F135),1)*IF(Upgrades!$T$8="First Photons",POWER(Upgrades!$U$8,G135),1)*IF(Upgrades!$T$9="First Photons",POWER(Upgrades!$U$9,H135),1)*IF(Upgrades!$T$10="First Photons",POWER(Upgrades!$U$10,I135),1)*IF(Upgrades!$T$11="First Photons",POWER(Upgrades!$U$11,J135),1)))*POWER(Upgrades!$R$6,E135)*POWER(Upgrades!$R$7,F135)*POWER(Upgrades!$R$8,G135)*POWER(Upgrades!$R$9,H135)*POWER(Upgrades!$R$10,I135)*POWER(Upgrades!$R$11,J135)*POWER(Upgrades!$R$12,K135)</f>
        <v>0</v>
      </c>
      <c r="P135" s="27" t="n">
        <f aca="false">IF(L135=1,0,M135*Parameters!$B$10/60*Parameters!$B$11*10)</f>
        <v>0</v>
      </c>
      <c r="Q135" s="27" t="n">
        <f aca="false">IF(L135=1,0,O135*M135*10)</f>
        <v>0</v>
      </c>
      <c r="R135" s="27" t="n">
        <f aca="false">IF(L135=1,0,N135*10)</f>
        <v>0</v>
      </c>
      <c r="S135" s="27" t="n">
        <f aca="false">P135+Q135+R135</f>
        <v>0</v>
      </c>
      <c r="T135" s="21" t="n">
        <f aca="false">C135+S135</f>
        <v>18.6730249835055</v>
      </c>
      <c r="U135" s="34" t="str">
        <f aca="false">AX135</f>
        <v/>
      </c>
      <c r="V135" s="21" t="n">
        <f aca="false">IF(U135="",0,IF(U135="transition",0,IF(U135="SW",AG135,IF(U135="AB",AH135,IF(U135="SC",AI135,IF(U135="Mag",AJ135,IF(U135="OR",AK135,IF(U135="HP",AL135,IF(U135="FP",AM135,0)))))))))</f>
        <v>0</v>
      </c>
      <c r="W135" s="27" t="n">
        <f aca="false">IF(U135="OR",Upgrades!$F$10,IF(U135="HP",Upgrades!$F$11,IF(U135="transition",-Parameters!$B$18,0)))</f>
        <v>0</v>
      </c>
      <c r="X135" s="21" t="n">
        <f aca="false">T135-V135</f>
        <v>18.6730249835055</v>
      </c>
      <c r="Y135" s="30" t="n">
        <f aca="false">M135*Parameters!$B$10/60*Parameters!$B$11+O135*M135+N135</f>
        <v>20.55</v>
      </c>
      <c r="Z135" s="35" t="str">
        <f aca="false">IF(U135="transition","→ Tier 2 (Stellar Neighborhood)",IF(U135="FP","First Photons — light begins, system quickens",IF(U135="HP","Heliopause acquired",IF(U135="OR","Orbital Resonance — passive multiplier active",IF(AND(AO135=1,L135=0,AN135&lt;&gt;1),"Cohesion ready (waiting on completionist upgrades)","")))))</f>
        <v/>
      </c>
      <c r="AA135" s="27" t="n">
        <f aca="false">(IF(E135=0,0,(Upgrades!$G$6+E135*Upgrades!$H$6)*POWER(Upgrades!$I$6,E135)))*(IF(Upgrades!$T$7="Solar Wind",POWER(Upgrades!$U$7,F135),1)*IF(Upgrades!$T$8="Solar Wind",POWER(Upgrades!$U$8,G135),1)*IF(Upgrades!$T$9="Solar Wind",POWER(Upgrades!$U$9,H135),1)*IF(Upgrades!$T$10="Solar Wind",POWER(Upgrades!$U$10,I135),1)*IF(Upgrades!$T$11="Solar Wind",POWER(Upgrades!$U$11,J135),1)*IF(Upgrades!$T$12="Solar Wind",POWER(Upgrades!$U$12,K135),1))*POWER(Upgrades!$P$6,E135)*POWER(Upgrades!$P$7,F135)*POWER(Upgrades!$P$8,G135)*POWER(Upgrades!$P$9,H135)*POWER(Upgrades!$P$10,I135)*POWER(Upgrades!$P$11,J135)*POWER(Upgrades!$P$12,K135)*60</f>
        <v>72</v>
      </c>
      <c r="AB135" s="27" t="n">
        <f aca="false">(IF(F135=0,0,(Upgrades!$G$7+F135*Upgrades!$H$7)*POWER(Upgrades!$I$7,F135)))*(IF(Upgrades!$T$6="Asteroid Belt",POWER(Upgrades!$U$6,E135),1)*IF(Upgrades!$T$8="Asteroid Belt",POWER(Upgrades!$U$8,G135),1)*IF(Upgrades!$T$9="Asteroid Belt",POWER(Upgrades!$U$9,H135),1)*IF(Upgrades!$T$10="Asteroid Belt",POWER(Upgrades!$U$10,I135),1)*IF(Upgrades!$T$11="Asteroid Belt",POWER(Upgrades!$U$11,J135),1)*IF(Upgrades!$T$12="Asteroid Belt",POWER(Upgrades!$U$12,K135),1))*POWER(Upgrades!$P$6,E135)*POWER(Upgrades!$P$7,F135)*POWER(Upgrades!$P$8,G135)*POWER(Upgrades!$P$9,H135)*POWER(Upgrades!$P$10,I135)*POWER(Upgrades!$P$11,J135)*POWER(Upgrades!$P$12,K135)*60</f>
        <v>150</v>
      </c>
      <c r="AC135" s="27" t="n">
        <f aca="false">(IF(G135=0,0,(Upgrades!$J$8+G135*Upgrades!$K$8)*POWER(Upgrades!$L$8,G135)))*(IF(Upgrades!$T$6="Stellar Coupling",POWER(Upgrades!$U$6,E135),1)*IF(Upgrades!$T$7="Stellar Coupling",POWER(Upgrades!$U$7,F135),1)*IF(Upgrades!$T$9="Stellar Coupling",POWER(Upgrades!$U$9,H135),1)*IF(Upgrades!$T$10="Stellar Coupling",POWER(Upgrades!$U$10,I135),1)*IF(Upgrades!$T$11="Stellar Coupling",POWER(Upgrades!$U$11,J135),1)*IF(Upgrades!$T$12="Stellar Coupling",POWER(Upgrades!$U$12,K135),1))*POWER(Upgrades!$Q$6,E135)*POWER(Upgrades!$Q$7,F135)*POWER(Upgrades!$Q$8,G135)*POWER(Upgrades!$Q$9,H135)*POWER(Upgrades!$Q$10,I135)*POWER(Upgrades!$Q$11,J135)*POWER(Upgrades!$Q$12,K135)*Parameters!$B$10*Parameters!$B$11</f>
        <v>441</v>
      </c>
      <c r="AD135" s="27" t="n">
        <f aca="false">(IF(H135=0,0,(Upgrades!$G$9+H135*Upgrades!$H$9)*POWER(Upgrades!$I$9,H135)))*(IF(Upgrades!$T$6="Magnetosphere",POWER(Upgrades!$U$6,E135),1)*IF(Upgrades!$T$7="Magnetosphere",POWER(Upgrades!$U$7,F135),1)*IF(Upgrades!$T$8="Magnetosphere",POWER(Upgrades!$U$8,G135),1)*IF(Upgrades!$T$10="Magnetosphere",POWER(Upgrades!$U$10,I135),1)*IF(Upgrades!$T$11="Magnetosphere",POWER(Upgrades!$U$11,J135),1)*IF(Upgrades!$T$12="Magnetosphere",POWER(Upgrades!$U$12,K135),1))*POWER(Upgrades!$P$6,E135)*POWER(Upgrades!$P$7,F135)*POWER(Upgrades!$P$8,G135)*POWER(Upgrades!$P$9,H135)*POWER(Upgrades!$P$10,I135)*POWER(Upgrades!$P$11,J135)*POWER(Upgrades!$P$12,K135)*60</f>
        <v>375</v>
      </c>
      <c r="AE135" s="27" t="n">
        <f aca="false">(IF(K135=0,0,(Upgrades!$G$12+K135*Upgrades!$H$12)*POWER(Upgrades!$I$12,K135)))*(IF(Upgrades!$T$6="First Photons",POWER(Upgrades!$U$6,E135),1)*IF(Upgrades!$T$7="First Photons",POWER(Upgrades!$U$7,F135),1)*IF(Upgrades!$T$8="First Photons",POWER(Upgrades!$U$8,G135),1)*IF(Upgrades!$T$9="First Photons",POWER(Upgrades!$U$9,H135),1)*IF(Upgrades!$T$10="First Photons",POWER(Upgrades!$U$10,I135),1)*IF(Upgrades!$T$11="First Photons",POWER(Upgrades!$U$11,J135),1))*POWER(Upgrades!$P$6,E135)*POWER(Upgrades!$P$7,F135)*POWER(Upgrades!$P$8,G135)*POWER(Upgrades!$P$9,H135)*POWER(Upgrades!$P$10,I135)*POWER(Upgrades!$P$11,J135)*POWER(Upgrades!$P$12,K135)*60</f>
        <v>75</v>
      </c>
      <c r="AF135" s="27" t="n">
        <f aca="false">Parameters!$B$9*POWER(Upgrades!$Q$6,E135)*POWER(Upgrades!$Q$7,F135)*POWER(Upgrades!$Q$8,G135)*POWER(Upgrades!$Q$9,H135)*POWER(Upgrades!$Q$10,I135)*POWER(Upgrades!$Q$11,J135)*POWER(Upgrades!$Q$12,K135)*(Parameters!$B$10*Parameters!$B$11+O135*60)</f>
        <v>120</v>
      </c>
      <c r="AG135" s="21" t="n">
        <f aca="false">IF(E135&gt;=Upgrades!$E$6,"",Upgrades!$C$6*POWER(Upgrades!$D$6,E135))</f>
        <v>37.4517507383159</v>
      </c>
      <c r="AH135" s="21" t="n">
        <f aca="false">IF(F135&gt;=Upgrades!$E$7,"",Upgrades!$C$7*POWER(Upgrades!$D$7,F135))</f>
        <v>80.9111547141581</v>
      </c>
      <c r="AI135" s="21" t="n">
        <f aca="false">IF(G135&gt;=Upgrades!$E$8,"",Upgrades!$C$8*POWER(Upgrades!$D$8,G135))</f>
        <v>231.9097088</v>
      </c>
      <c r="AJ135" s="21" t="str">
        <f aca="false">IF(H135&gt;=Upgrades!$E$9,"",Upgrades!$C$9*POWER(Upgrades!$D$9,H135))</f>
        <v/>
      </c>
      <c r="AK135" s="21" t="str">
        <f aca="false">IF(I135&gt;=Upgrades!$E$10,"",Upgrades!$C$10*POWER(Upgrades!$D$10,I135))</f>
        <v/>
      </c>
      <c r="AL135" s="21" t="str">
        <f aca="false">IF(J135&gt;=Upgrades!$E$11,"",Upgrades!$C$11*POWER(Upgrades!$D$11,J135))</f>
        <v/>
      </c>
      <c r="AM135" s="21" t="str">
        <f aca="false">IF(K135&gt;=Upgrades!$E$12,"",Upgrades!$C$12*POWER(Upgrades!$D$12,K135))</f>
        <v/>
      </c>
      <c r="AN135" s="26" t="str">
        <f aca="false">IF(AND(D135&gt;=Parameters!$B$18,(H135&gt;=Upgrades!$E$9)*(K135&gt;=Upgrades!$E$12)=1,L135=0),1,"")</f>
        <v/>
      </c>
      <c r="AO135" s="26" t="str">
        <f aca="false">IF(AND(D135&gt;=Parameters!$B$18,L135=0),1,"")</f>
        <v/>
      </c>
      <c r="AP135" s="21" t="n">
        <f aca="false">MIN(IF(ISNUMBER(AK135),AK135,9000000000000000),IF(ISNUMBER(AL135),AL135,9000000000000000),IF(ISNUMBER(AM135),AM135,9000000000000000))</f>
        <v>9000000000000000</v>
      </c>
      <c r="AQ135" s="21" t="n">
        <f aca="false">MIN(IF(ISNUMBER(AG135),AG135,9000000000000000),IF(ISNUMBER(AH135),AH135,9000000000000000),IF(ISNUMBER(AI135),AI135,9000000000000000),IF(ISNUMBER(AJ135),AJ135,9000000000000000))</f>
        <v>37.4517507383159</v>
      </c>
      <c r="AR135" s="32" t="b">
        <f aca="false">IF(AW135&gt;Parameters!$B$21*(MAX(IF(AND(NOT(AND(AO135=1,AN135&lt;&gt;1)),ISNUMBER(AG135),AG135&lt;=T135),AS135,0),IF(AND(NOT(AND(AO135=1,AN135&lt;&gt;1)),ISNUMBER(AH135),AH135&lt;=T135),AT135,0),IF(AND(NOT(AND(AO135=1,AN135&lt;&gt;1)),ISNUMBER(AI135),AI135&lt;=T135),AU135,0),IF(AND(ISNUMBER(AJ135),AJ135&lt;=T135),AV135,0))),TRUE(),FALSE())</f>
        <v>1</v>
      </c>
      <c r="AS135" s="33" t="n">
        <f aca="false">IFERROR(Upgrades!$H$6*(POWER(Upgrades!$P$6,E135)*POWER(Upgrades!$P$7,F135)*POWER(Upgrades!$P$8,G135)*POWER(Upgrades!$P$9,H135)*POWER(Upgrades!$P$10,I135)*POWER(Upgrades!$P$11,J135)*POWER(Upgrades!$P$12,K135))*(IF(Upgrades!$T$7="Solar Wind",POWER(Upgrades!$U$7,F135),1)*IF(Upgrades!$T$8="Solar Wind",POWER(Upgrades!$U$8,G135),1)*IF(Upgrades!$T$9="Solar Wind",POWER(Upgrades!$U$9,H135),1)*IF(Upgrades!$T$10="Solar Wind",POWER(Upgrades!$U$10,I135),1)*IF(Upgrades!$T$11="Solar Wind",POWER(Upgrades!$U$11,J135),1)*IF(Upgrades!$T$12="Solar Wind",POWER(Upgrades!$U$12,K135),1))/AG135,0)</f>
        <v>0.0026701021455238</v>
      </c>
      <c r="AT135" s="33" t="n">
        <f aca="false">IFERROR(Upgrades!$H$7*(POWER(Upgrades!$P$6,E135)*POWER(Upgrades!$P$7,F135)*POWER(Upgrades!$P$8,G135)*POWER(Upgrades!$P$9,H135)*POWER(Upgrades!$P$10,I135)*POWER(Upgrades!$P$11,J135)*POWER(Upgrades!$P$12,K135))*(IF(Upgrades!$T$6="Asteroid Belt",POWER(Upgrades!$U$6,E135),1)*IF(Upgrades!$T$8="Asteroid Belt",POWER(Upgrades!$U$8,G135),1)*IF(Upgrades!$T$9="Asteroid Belt",POWER(Upgrades!$U$9,H135),1)*IF(Upgrades!$T$10="Asteroid Belt",POWER(Upgrades!$U$10,I135),1)*IF(Upgrades!$T$11="Asteroid Belt",POWER(Upgrades!$U$11,J135),1)*IF(Upgrades!$T$12="Asteroid Belt",POWER(Upgrades!$U$12,K135),1))/AH135,0)</f>
        <v>0.00308980882652332</v>
      </c>
      <c r="AU135" s="33" t="n">
        <f aca="false">IFERROR(Upgrades!$K$8*(POWER(Upgrades!$Q$6,E135)*POWER(Upgrades!$Q$7,F135)*POWER(Upgrades!$Q$8,G135)*POWER(Upgrades!$Q$9,H135)*POWER(Upgrades!$Q$10,I135)*POWER(Upgrades!$Q$11,J135)*POWER(Upgrades!$Q$12,K135))*(IF(Upgrades!$T$6="Stellar Coupling",POWER(Upgrades!$U$6,E135),1)*IF(Upgrades!$T$7="Stellar Coupling",POWER(Upgrades!$U$7,F135),1)*IF(Upgrades!$T$9="Stellar Coupling",POWER(Upgrades!$U$9,H135),1)*IF(Upgrades!$T$10="Stellar Coupling",POWER(Upgrades!$U$10,I135),1)*IF(Upgrades!$T$11="Stellar Coupling",POWER(Upgrades!$U$11,J135),1)*IF(Upgrades!$T$12="Stellar Coupling",POWER(Upgrades!$U$12,K135),1))*Parameters!$B$10*Parameters!$B$11/60/AI135,0)</f>
        <v>0.00452762415783776</v>
      </c>
      <c r="AV135" s="33" t="n">
        <f aca="false">IFERROR(Upgrades!$H$9*(POWER(Upgrades!$P$6,E135)*POWER(Upgrades!$P$7,F135)*POWER(Upgrades!$P$8,G135)*POWER(Upgrades!$P$9,H135)*POWER(Upgrades!$P$10,I135)*POWER(Upgrades!$P$11,J135)*POWER(Upgrades!$P$12,K135))*(IF(Upgrades!$T$6="Magnetosphere",POWER(Upgrades!$U$6,E135),1)*IF(Upgrades!$T$7="Magnetosphere",POWER(Upgrades!$U$7,F135),1)*IF(Upgrades!$T$8="Magnetosphere",POWER(Upgrades!$U$8,G135),1)*IF(Upgrades!$T$10="Magnetosphere",POWER(Upgrades!$U$10,I135),1)*IF(Upgrades!$T$11="Magnetosphere",POWER(Upgrades!$U$11,J135),1)*IF(Upgrades!$T$12="Magnetosphere",POWER(Upgrades!$U$12,K135),1))/AJ135,0)</f>
        <v>0</v>
      </c>
      <c r="AW135" s="33" t="n">
        <f aca="false">MAX(IF(I135&gt;0,0,IFERROR(0.25*N135/Upgrades!$C$10,0)),IF(J135&gt;0,0,IFERROR(0.5*((IF(G135=0,0,(Upgrades!$J$8+G135*Upgrades!$K$8)*POWER(Upgrades!$L$8,G135)))*(IF(Upgrades!$T$6="Stellar Coupling",POWER(Upgrades!$U$6,E135),1)*IF(Upgrades!$T$7="Stellar Coupling",POWER(Upgrades!$U$7,F135),1)*IF(Upgrades!$T$9="Stellar Coupling",POWER(Upgrades!$U$9,H135),1)*IF(Upgrades!$T$10="Stellar Coupling",POWER(Upgrades!$U$10,I135),1)*IF(Upgrades!$T$11="Stellar Coupling",POWER(Upgrades!$U$11,J135),1)*IF(Upgrades!$T$12="Stellar Coupling",POWER(Upgrades!$U$12,K135),1))*(POWER(Upgrades!$Q$6,E135)*POWER(Upgrades!$Q$7,F135)*POWER(Upgrades!$Q$8,G135)*POWER(Upgrades!$Q$9,H135)*POWER(Upgrades!$Q$10,I135)*POWER(Upgrades!$Q$11,J135)*POWER(Upgrades!$Q$12,K135))*Parameters!$B$10*Parameters!$B$11/60)/Upgrades!$C$11,0)),IF(K135&gt;0,0,IFERROR((1*(POWER(Upgrades!$P$6,E135)*POWER(Upgrades!$P$7,F135)*POWER(Upgrades!$P$8,G135)*POWER(Upgrades!$P$9,H135)*POWER(Upgrades!$P$10,I135)*POWER(Upgrades!$P$11,J135)*POWER(Upgrades!$P$12,K135))+0.2*M135*Parameters!$B$10*Parameters!$B$11/60)/Upgrades!$C$12,0)),IF(AND(ISNUMBER(AG135),AG135&gt;T135),AS135,0),IF(AND(ISNUMBER(AH135),AH135&gt;T135),AT135,0),IF(AND(ISNUMBER(AI135),AI135&gt;T135),AU135,0),IF(AND(ISNUMBER(AJ135),AJ135&gt;T135),AV135,0))</f>
        <v>0.00452762415783776</v>
      </c>
      <c r="AX135" s="29" t="str">
        <f aca="false">IF(AN135=1,"transition",IF(MIN(IF(AND(I135=0,ISNUMBER(AK135),AK135&lt;=T135),AK135,9000000000000000),IF(AND(J135=0,ISNUMBER(AL135),AL135&lt;=T135),AL135,9000000000000000),IF(AND(K135=0,ISNUMBER(AM135),AM135&lt;=T135),AM135,9000000000000000))&lt;9000000000000000,IF(AND(AND(I135=0,ISNUMBER(AK135),AK135&lt;=T135),AK135=MIN(IF(AND(I135=0,ISNUMBER(AK135),AK135&lt;=T135),AK135,9000000000000000),IF(AND(J135=0,ISNUMBER(AL135),AL135&lt;=T135),AL135,9000000000000000),IF(AND(K135=0,ISNUMBER(AM135),AM135&lt;=T135),AM135,9000000000000000))),"OR",IF(AND(AND(J135=0,ISNUMBER(AL135),AL135&lt;=T135),AL135=MIN(IF(AND(I135=0,ISNUMBER(AK135),AK135&lt;=T135),AK135,9000000000000000),IF(AND(J135=0,ISNUMBER(AL135),AL135&lt;=T135),AL135,9000000000000000),IF(AND(K135=0,ISNUMBER(AM135),AM135&lt;=T135),AM135,9000000000000000))),"HP","FP")),IF(AR135=TRUE(),"",IF(MAX(IF(AND(NOT(AND(AO135=1,AN135&lt;&gt;1)),ISNUMBER(AG135),AG135&lt;=T135),AS135,0),IF(AND(NOT(AND(AO135=1,AN135&lt;&gt;1)),ISNUMBER(AH135),AH135&lt;=T135),AT135,0),IF(AND(NOT(AND(AO135=1,AN135&lt;&gt;1)),ISNUMBER(AI135),AI135&lt;=T135),AU135,0),IF(AND(ISNUMBER(AJ135),AJ135&lt;=T135),AV135,0))&lt;=0,"",IF(AND(IF(AND(NOT(AND(AO135=1,AN135&lt;&gt;1)),ISNUMBER(AG135),AG135&lt;=T135),AS135,0)&gt;0,IF(AND(NOT(AND(AO135=1,AN135&lt;&gt;1)),ISNUMBER(AG135),AG135&lt;=T135),AS135,0)=MAX(IF(AND(NOT(AND(AO135=1,AN135&lt;&gt;1)),ISNUMBER(AG135),AG135&lt;=T135),AS135,0),IF(AND(NOT(AND(AO135=1,AN135&lt;&gt;1)),ISNUMBER(AH135),AH135&lt;=T135),AT135,0),IF(AND(NOT(AND(AO135=1,AN135&lt;&gt;1)),ISNUMBER(AI135),AI135&lt;=T135),AU135,0),IF(AND(ISNUMBER(AJ135),AJ135&lt;=T135),AV135,0))),"SW",IF(AND(IF(AND(NOT(AND(AO135=1,AN135&lt;&gt;1)),ISNUMBER(AH135),AH135&lt;=T135),AT135,0)&gt;0,IF(AND(NOT(AND(AO135=1,AN135&lt;&gt;1)),ISNUMBER(AH135),AH135&lt;=T135),AT135,0)=MAX(IF(AND(NOT(AND(AO135=1,AN135&lt;&gt;1)),ISNUMBER(AG135),AG135&lt;=T135),AS135,0),IF(AND(NOT(AND(AO135=1,AN135&lt;&gt;1)),ISNUMBER(AH135),AH135&lt;=T135),AT135,0),IF(AND(NOT(AND(AO135=1,AN135&lt;&gt;1)),ISNUMBER(AI135),AI135&lt;=T135),AU135,0),IF(AND(ISNUMBER(AJ135),AJ135&lt;=T135),AV135,0))),"AB",IF(AND(IF(AND(NOT(AND(AO135=1,AN135&lt;&gt;1)),ISNUMBER(AI135),AI135&lt;=T135),AU135,0)&gt;0,IF(AND(NOT(AND(AO135=1,AN135&lt;&gt;1)),ISNUMBER(AI135),AI135&lt;=T135),AU135,0)=MAX(IF(AND(NOT(AND(AO135=1,AN135&lt;&gt;1)),ISNUMBER(AG135),AG135&lt;=T135),AS135,0),IF(AND(NOT(AND(AO135=1,AN135&lt;&gt;1)),ISNUMBER(AH135),AH135&lt;=T135),AT135,0),IF(AND(NOT(AND(AO135=1,AN135&lt;&gt;1)),ISNUMBER(AI135),AI135&lt;=T135),AU135,0),IF(AND(ISNUMBER(AJ135),AJ135&lt;=T135),AV135,0))),"SC","Mag")))))))</f>
        <v/>
      </c>
    </row>
    <row r="136" customFormat="false" ht="15" hidden="false" customHeight="false" outlineLevel="0" collapsed="false">
      <c r="A136" s="26" t="n">
        <v>131</v>
      </c>
      <c r="B136" s="27" t="n">
        <f aca="false">A136*10/60</f>
        <v>21.8333333333333</v>
      </c>
      <c r="C136" s="21" t="n">
        <f aca="false">X135</f>
        <v>18.6730249835055</v>
      </c>
      <c r="D136" s="27" t="n">
        <f aca="false">D135+W135</f>
        <v>0</v>
      </c>
      <c r="E136" s="26" t="n">
        <f aca="false">E135+IF(U135="SW",1,0)</f>
        <v>12</v>
      </c>
      <c r="F136" s="26" t="n">
        <f aca="false">F135+IF(U135="AB",1,0)</f>
        <v>10</v>
      </c>
      <c r="G136" s="26" t="n">
        <f aca="false">G135+IF(U135="SC",1,0)</f>
        <v>7</v>
      </c>
      <c r="H136" s="26" t="n">
        <f aca="false">H135+IF(U135="Mag",1,0)</f>
        <v>5</v>
      </c>
      <c r="I136" s="26" t="n">
        <f aca="false">MAX(I135,IF(U135="OR",1,0))</f>
        <v>1</v>
      </c>
      <c r="J136" s="26" t="n">
        <f aca="false">MAX(J135,IF(U135="HP",1,0))</f>
        <v>1</v>
      </c>
      <c r="K136" s="26" t="n">
        <f aca="false">MAX(K135,IF(U135="FP",1,0))</f>
        <v>1</v>
      </c>
      <c r="L136" s="26" t="n">
        <f aca="false">MAX(L135,IF(U135="transition",1,0))</f>
        <v>1</v>
      </c>
      <c r="M136" s="28" t="n">
        <f aca="false">(Parameters!$B$9+(IF(E136=0,0,(Upgrades!$J$6+E136*Upgrades!$K$6)*POWER(Upgrades!$L$6,E136)))*(IF(Upgrades!$T$7="Solar Wind",POWER(Upgrades!$U$7,F136),1)*IF(Upgrades!$T$8="Solar Wind",POWER(Upgrades!$U$8,G136),1)*IF(Upgrades!$T$9="Solar Wind",POWER(Upgrades!$U$9,H136),1)*IF(Upgrades!$T$10="Solar Wind",POWER(Upgrades!$U$10,I136),1)*IF(Upgrades!$T$11="Solar Wind",POWER(Upgrades!$U$11,J136),1)*IF(Upgrades!$T$12="Solar Wind",POWER(Upgrades!$U$12,K136),1))+(IF(F136=0,0,(Upgrades!$J$7+F136*Upgrades!$K$7)*POWER(Upgrades!$L$7,F136)))*(IF(Upgrades!$T$6="Asteroid Belt",POWER(Upgrades!$U$6,E136),1)*IF(Upgrades!$T$8="Asteroid Belt",POWER(Upgrades!$U$8,G136),1)*IF(Upgrades!$T$9="Asteroid Belt",POWER(Upgrades!$U$9,H136),1)*IF(Upgrades!$T$10="Asteroid Belt",POWER(Upgrades!$U$10,I136),1)*IF(Upgrades!$T$11="Asteroid Belt",POWER(Upgrades!$U$11,J136),1)*IF(Upgrades!$T$12="Asteroid Belt",POWER(Upgrades!$U$12,K136),1))+(IF(G136=0,0,(Upgrades!$J$8+G136*Upgrades!$K$8)*POWER(Upgrades!$L$8,G136)))*(IF(Upgrades!$T$6="Stellar Coupling",POWER(Upgrades!$U$6,E136),1)*IF(Upgrades!$T$7="Stellar Coupling",POWER(Upgrades!$U$7,F136),1)*IF(Upgrades!$T$9="Stellar Coupling",POWER(Upgrades!$U$9,H136),1)*IF(Upgrades!$T$10="Stellar Coupling",POWER(Upgrades!$U$10,I136),1)*IF(Upgrades!$T$11="Stellar Coupling",POWER(Upgrades!$U$11,J136),1)*IF(Upgrades!$T$12="Stellar Coupling",POWER(Upgrades!$U$12,K136),1))+(IF(H136=0,0,(Upgrades!$J$9+H136*Upgrades!$K$9)*POWER(Upgrades!$L$9,H136)))*(IF(Upgrades!$T$6="Magnetosphere",POWER(Upgrades!$U$6,E136),1)*IF(Upgrades!$T$7="Magnetosphere",POWER(Upgrades!$U$7,F136),1)*IF(Upgrades!$T$8="Magnetosphere",POWER(Upgrades!$U$8,G136),1)*IF(Upgrades!$T$10="Magnetosphere",POWER(Upgrades!$U$10,I136),1)*IF(Upgrades!$T$11="Magnetosphere",POWER(Upgrades!$U$11,J136),1)*IF(Upgrades!$T$12="Magnetosphere",POWER(Upgrades!$U$12,K136),1))+(IF(I136=0,0,(Upgrades!$J$10+I136*Upgrades!$K$10)*POWER(Upgrades!$L$10,I136)))*(IF(Upgrades!$T$6="Orbital Resonance",POWER(Upgrades!$U$6,E136),1)*IF(Upgrades!$T$7="Orbital Resonance",POWER(Upgrades!$U$7,F136),1)*IF(Upgrades!$T$8="Orbital Resonance",POWER(Upgrades!$U$8,G136),1)*IF(Upgrades!$T$9="Orbital Resonance",POWER(Upgrades!$U$9,H136),1)*IF(Upgrades!$T$11="Orbital Resonance",POWER(Upgrades!$U$11,J136),1)*IF(Upgrades!$T$12="Orbital Resonance",POWER(Upgrades!$U$12,K136),1))+(IF(J136=0,0,(Upgrades!$J$11+J136*Upgrades!$K$11)*POWER(Upgrades!$L$11,J136)))*(IF(Upgrades!$T$6="Heliopause",POWER(Upgrades!$U$6,E136),1)*IF(Upgrades!$T$7="Heliopause",POWER(Upgrades!$U$7,F136),1)*IF(Upgrades!$T$8="Heliopause",POWER(Upgrades!$U$8,G136),1)*IF(Upgrades!$T$9="Heliopause",POWER(Upgrades!$U$9,H136),1)*IF(Upgrades!$T$10="Heliopause",POWER(Upgrades!$U$10,I136),1)*IF(Upgrades!$T$12="Heliopause",POWER(Upgrades!$U$12,K136),1))+(IF(K136=0,0,(Upgrades!$J$12+K136*Upgrades!$K$12)*POWER(Upgrades!$L$12,K136)))*(IF(Upgrades!$T$6="First Photons",POWER(Upgrades!$U$6,E136),1)*IF(Upgrades!$T$7="First Photons",POWER(Upgrades!$U$7,F136),1)*IF(Upgrades!$T$8="First Photons",POWER(Upgrades!$U$8,G136),1)*IF(Upgrades!$T$9="First Photons",POWER(Upgrades!$U$9,H136),1)*IF(Upgrades!$T$10="First Photons",POWER(Upgrades!$U$10,I136),1)*IF(Upgrades!$T$11="First Photons",POWER(Upgrades!$U$11,J136),1)))*POWER(Upgrades!$Q$6,E136)*POWER(Upgrades!$Q$7,F136)*POWER(Upgrades!$Q$8,G136)*POWER(Upgrades!$Q$9,H136)*POWER(Upgrades!$Q$10,I136)*POWER(Upgrades!$Q$11,J136)*POWER(Upgrades!$Q$12,K136)</f>
        <v>5.61</v>
      </c>
      <c r="N136" s="28" t="n">
        <f aca="false">((IF(E136=0,0,(Upgrades!$G$6+E136*Upgrades!$H$6)*POWER(Upgrades!$I$6,E136)))*(IF(Upgrades!$T$7="Solar Wind",POWER(Upgrades!$U$7,F136),1)*IF(Upgrades!$T$8="Solar Wind",POWER(Upgrades!$U$8,G136),1)*IF(Upgrades!$T$9="Solar Wind",POWER(Upgrades!$U$9,H136),1)*IF(Upgrades!$T$10="Solar Wind",POWER(Upgrades!$U$10,I136),1)*IF(Upgrades!$T$11="Solar Wind",POWER(Upgrades!$U$11,J136),1)*IF(Upgrades!$T$12="Solar Wind",POWER(Upgrades!$U$12,K136),1))+(IF(F136=0,0,(Upgrades!$G$7+F136*Upgrades!$H$7)*POWER(Upgrades!$I$7,F136)))*(IF(Upgrades!$T$6="Asteroid Belt",POWER(Upgrades!$U$6,E136),1)*IF(Upgrades!$T$8="Asteroid Belt",POWER(Upgrades!$U$8,G136),1)*IF(Upgrades!$T$9="Asteroid Belt",POWER(Upgrades!$U$9,H136),1)*IF(Upgrades!$T$10="Asteroid Belt",POWER(Upgrades!$U$10,I136),1)*IF(Upgrades!$T$11="Asteroid Belt",POWER(Upgrades!$U$11,J136),1)*IF(Upgrades!$T$12="Asteroid Belt",POWER(Upgrades!$U$12,K136),1))+(IF(G136=0,0,(Upgrades!$G$8+G136*Upgrades!$H$8)*POWER(Upgrades!$I$8,G136)))*(IF(Upgrades!$T$6="Stellar Coupling",POWER(Upgrades!$U$6,E136),1)*IF(Upgrades!$T$7="Stellar Coupling",POWER(Upgrades!$U$7,F136),1)*IF(Upgrades!$T$9="Stellar Coupling",POWER(Upgrades!$U$9,H136),1)*IF(Upgrades!$T$10="Stellar Coupling",POWER(Upgrades!$U$10,I136),1)*IF(Upgrades!$T$11="Stellar Coupling",POWER(Upgrades!$U$11,J136),1)*IF(Upgrades!$T$12="Stellar Coupling",POWER(Upgrades!$U$12,K136),1))+(IF(H136=0,0,(Upgrades!$G$9+H136*Upgrades!$H$9)*POWER(Upgrades!$I$9,H136)))*(IF(Upgrades!$T$6="Magnetosphere",POWER(Upgrades!$U$6,E136),1)*IF(Upgrades!$T$7="Magnetosphere",POWER(Upgrades!$U$7,F136),1)*IF(Upgrades!$T$8="Magnetosphere",POWER(Upgrades!$U$8,G136),1)*IF(Upgrades!$T$10="Magnetosphere",POWER(Upgrades!$U$10,I136),1)*IF(Upgrades!$T$11="Magnetosphere",POWER(Upgrades!$U$11,J136),1)*IF(Upgrades!$T$12="Magnetosphere",POWER(Upgrades!$U$12,K136),1))+(IF(I136=0,0,(Upgrades!$G$10+I136*Upgrades!$H$10)*POWER(Upgrades!$I$10,I136)))*(IF(Upgrades!$T$6="Orbital Resonance",POWER(Upgrades!$U$6,E136),1)*IF(Upgrades!$T$7="Orbital Resonance",POWER(Upgrades!$U$7,F136),1)*IF(Upgrades!$T$8="Orbital Resonance",POWER(Upgrades!$U$8,G136),1)*IF(Upgrades!$T$9="Orbital Resonance",POWER(Upgrades!$U$9,H136),1)*IF(Upgrades!$T$11="Orbital Resonance",POWER(Upgrades!$U$11,J136),1)*IF(Upgrades!$T$12="Orbital Resonance",POWER(Upgrades!$U$12,K136),1))+(IF(J136=0,0,(Upgrades!$G$11+J136*Upgrades!$H$11)*POWER(Upgrades!$I$11,J136)))*(IF(Upgrades!$T$6="Heliopause",POWER(Upgrades!$U$6,E136),1)*IF(Upgrades!$T$7="Heliopause",POWER(Upgrades!$U$7,F136),1)*IF(Upgrades!$T$8="Heliopause",POWER(Upgrades!$U$8,G136),1)*IF(Upgrades!$T$9="Heliopause",POWER(Upgrades!$U$9,H136),1)*IF(Upgrades!$T$10="Heliopause",POWER(Upgrades!$U$10,I136),1)*IF(Upgrades!$T$12="Heliopause",POWER(Upgrades!$U$12,K136),1))+(IF(K136=0,0,(Upgrades!$G$12+K136*Upgrades!$H$12)*POWER(Upgrades!$I$12,K136)))*(IF(Upgrades!$T$6="First Photons",POWER(Upgrades!$U$6,E136),1)*IF(Upgrades!$T$7="First Photons",POWER(Upgrades!$U$7,F136),1)*IF(Upgrades!$T$8="First Photons",POWER(Upgrades!$U$8,G136),1)*IF(Upgrades!$T$9="First Photons",POWER(Upgrades!$U$9,H136),1)*IF(Upgrades!$T$10="First Photons",POWER(Upgrades!$U$10,I136),1)*IF(Upgrades!$T$11="First Photons",POWER(Upgrades!$U$11,J136),1)))*POWER(Upgrades!$P$6,E136)*POWER(Upgrades!$P$7,F136)*POWER(Upgrades!$P$8,G136)*POWER(Upgrades!$P$9,H136)*POWER(Upgrades!$P$10,I136)*POWER(Upgrades!$P$11,J136)*POWER(Upgrades!$P$12,K136)</f>
        <v>11.2</v>
      </c>
      <c r="O136" s="28" t="n">
        <f aca="false">((IF(E136=0,0,(Upgrades!$M$6+E136*Upgrades!$N$6)*POWER(Upgrades!$O$6,E136)))*(IF(Upgrades!$T$7="Solar Wind",POWER(Upgrades!$U$7,F136),1)*IF(Upgrades!$T$8="Solar Wind",POWER(Upgrades!$U$8,G136),1)*IF(Upgrades!$T$9="Solar Wind",POWER(Upgrades!$U$9,H136),1)*IF(Upgrades!$T$10="Solar Wind",POWER(Upgrades!$U$10,I136),1)*IF(Upgrades!$T$11="Solar Wind",POWER(Upgrades!$U$11,J136),1)*IF(Upgrades!$T$12="Solar Wind",POWER(Upgrades!$U$12,K136),1))+(IF(F136=0,0,(Upgrades!$M$7+F136*Upgrades!$N$7)*POWER(Upgrades!$O$7,F136)))*(IF(Upgrades!$T$6="Asteroid Belt",POWER(Upgrades!$U$6,E136),1)*IF(Upgrades!$T$8="Asteroid Belt",POWER(Upgrades!$U$8,G136),1)*IF(Upgrades!$T$9="Asteroid Belt",POWER(Upgrades!$U$9,H136),1)*IF(Upgrades!$T$10="Asteroid Belt",POWER(Upgrades!$U$10,I136),1)*IF(Upgrades!$T$11="Asteroid Belt",POWER(Upgrades!$U$11,J136),1)*IF(Upgrades!$T$12="Asteroid Belt",POWER(Upgrades!$U$12,K136),1))+(IF(G136=0,0,(Upgrades!$M$8+G136*Upgrades!$N$8)*POWER(Upgrades!$O$8,G136)))*(IF(Upgrades!$T$6="Stellar Coupling",POWER(Upgrades!$U$6,E136),1)*IF(Upgrades!$T$7="Stellar Coupling",POWER(Upgrades!$U$7,F136),1)*IF(Upgrades!$T$9="Stellar Coupling",POWER(Upgrades!$U$9,H136),1)*IF(Upgrades!$T$10="Stellar Coupling",POWER(Upgrades!$U$10,I136),1)*IF(Upgrades!$T$11="Stellar Coupling",POWER(Upgrades!$U$11,J136),1)*IF(Upgrades!$T$12="Stellar Coupling",POWER(Upgrades!$U$12,K136),1))+(IF(H136=0,0,(Upgrades!$M$9+H136*Upgrades!$N$9)*POWER(Upgrades!$O$9,H136)))*(IF(Upgrades!$T$6="Magnetosphere",POWER(Upgrades!$U$6,E136),1)*IF(Upgrades!$T$7="Magnetosphere",POWER(Upgrades!$U$7,F136),1)*IF(Upgrades!$T$8="Magnetosphere",POWER(Upgrades!$U$8,G136),1)*IF(Upgrades!$T$10="Magnetosphere",POWER(Upgrades!$U$10,I136),1)*IF(Upgrades!$T$11="Magnetosphere",POWER(Upgrades!$U$11,J136),1)*IF(Upgrades!$T$12="Magnetosphere",POWER(Upgrades!$U$12,K136),1))+(IF(I136=0,0,(Upgrades!$M$10+I136*Upgrades!$N$10)*POWER(Upgrades!$O$10,I136)))*(IF(Upgrades!$T$6="Orbital Resonance",POWER(Upgrades!$U$6,E136),1)*IF(Upgrades!$T$7="Orbital Resonance",POWER(Upgrades!$U$7,F136),1)*IF(Upgrades!$T$8="Orbital Resonance",POWER(Upgrades!$U$8,G136),1)*IF(Upgrades!$T$9="Orbital Resonance",POWER(Upgrades!$U$9,H136),1)*IF(Upgrades!$T$11="Orbital Resonance",POWER(Upgrades!$U$11,J136),1)*IF(Upgrades!$T$12="Orbital Resonance",POWER(Upgrades!$U$12,K136),1))+(IF(J136=0,0,(Upgrades!$M$11+J136*Upgrades!$N$11)*POWER(Upgrades!$O$11,J136)))*(IF(Upgrades!$T$6="Heliopause",POWER(Upgrades!$U$6,E136),1)*IF(Upgrades!$T$7="Heliopause",POWER(Upgrades!$U$7,F136),1)*IF(Upgrades!$T$8="Heliopause",POWER(Upgrades!$U$8,G136),1)*IF(Upgrades!$T$9="Heliopause",POWER(Upgrades!$U$9,H136),1)*IF(Upgrades!$T$10="Heliopause",POWER(Upgrades!$U$10,I136),1)*IF(Upgrades!$T$12="Heliopause",POWER(Upgrades!$U$12,K136),1))+(IF(K136=0,0,(Upgrades!$M$12+K136*Upgrades!$N$12)*POWER(Upgrades!$O$12,K136)))*(IF(Upgrades!$T$6="First Photons",POWER(Upgrades!$U$6,E136),1)*IF(Upgrades!$T$7="First Photons",POWER(Upgrades!$U$7,F136),1)*IF(Upgrades!$T$8="First Photons",POWER(Upgrades!$U$8,G136),1)*IF(Upgrades!$T$9="First Photons",POWER(Upgrades!$U$9,H136),1)*IF(Upgrades!$T$10="First Photons",POWER(Upgrades!$U$10,I136),1)*IF(Upgrades!$T$11="First Photons",POWER(Upgrades!$U$11,J136),1)))*POWER(Upgrades!$R$6,E136)*POWER(Upgrades!$R$7,F136)*POWER(Upgrades!$R$8,G136)*POWER(Upgrades!$R$9,H136)*POWER(Upgrades!$R$10,I136)*POWER(Upgrades!$R$11,J136)*POWER(Upgrades!$R$12,K136)</f>
        <v>0</v>
      </c>
      <c r="P136" s="27" t="n">
        <f aca="false">IF(L136=1,0,M136*Parameters!$B$10/60*Parameters!$B$11*10)</f>
        <v>0</v>
      </c>
      <c r="Q136" s="27" t="n">
        <f aca="false">IF(L136=1,0,O136*M136*10)</f>
        <v>0</v>
      </c>
      <c r="R136" s="27" t="n">
        <f aca="false">IF(L136=1,0,N136*10)</f>
        <v>0</v>
      </c>
      <c r="S136" s="27" t="n">
        <f aca="false">P136+Q136+R136</f>
        <v>0</v>
      </c>
      <c r="T136" s="21" t="n">
        <f aca="false">C136+S136</f>
        <v>18.6730249835055</v>
      </c>
      <c r="U136" s="34" t="str">
        <f aca="false">AX136</f>
        <v/>
      </c>
      <c r="V136" s="21" t="n">
        <f aca="false">IF(U136="",0,IF(U136="transition",0,IF(U136="SW",AG136,IF(U136="AB",AH136,IF(U136="SC",AI136,IF(U136="Mag",AJ136,IF(U136="OR",AK136,IF(U136="HP",AL136,IF(U136="FP",AM136,0)))))))))</f>
        <v>0</v>
      </c>
      <c r="W136" s="27" t="n">
        <f aca="false">IF(U136="OR",Upgrades!$F$10,IF(U136="HP",Upgrades!$F$11,IF(U136="transition",-Parameters!$B$18,0)))</f>
        <v>0</v>
      </c>
      <c r="X136" s="21" t="n">
        <f aca="false">T136-V136</f>
        <v>18.6730249835055</v>
      </c>
      <c r="Y136" s="30" t="n">
        <f aca="false">M136*Parameters!$B$10/60*Parameters!$B$11+O136*M136+N136</f>
        <v>20.55</v>
      </c>
      <c r="Z136" s="35" t="str">
        <f aca="false">IF(U136="transition","→ Tier 2 (Stellar Neighborhood)",IF(U136="FP","First Photons — light begins, system quickens",IF(U136="HP","Heliopause acquired",IF(U136="OR","Orbital Resonance — passive multiplier active",IF(AND(AO136=1,L136=0,AN136&lt;&gt;1),"Cohesion ready (waiting on completionist upgrades)","")))))</f>
        <v/>
      </c>
      <c r="AA136" s="27" t="n">
        <f aca="false">(IF(E136=0,0,(Upgrades!$G$6+E136*Upgrades!$H$6)*POWER(Upgrades!$I$6,E136)))*(IF(Upgrades!$T$7="Solar Wind",POWER(Upgrades!$U$7,F136),1)*IF(Upgrades!$T$8="Solar Wind",POWER(Upgrades!$U$8,G136),1)*IF(Upgrades!$T$9="Solar Wind",POWER(Upgrades!$U$9,H136),1)*IF(Upgrades!$T$10="Solar Wind",POWER(Upgrades!$U$10,I136),1)*IF(Upgrades!$T$11="Solar Wind",POWER(Upgrades!$U$11,J136),1)*IF(Upgrades!$T$12="Solar Wind",POWER(Upgrades!$U$12,K136),1))*POWER(Upgrades!$P$6,E136)*POWER(Upgrades!$P$7,F136)*POWER(Upgrades!$P$8,G136)*POWER(Upgrades!$P$9,H136)*POWER(Upgrades!$P$10,I136)*POWER(Upgrades!$P$11,J136)*POWER(Upgrades!$P$12,K136)*60</f>
        <v>72</v>
      </c>
      <c r="AB136" s="27" t="n">
        <f aca="false">(IF(F136=0,0,(Upgrades!$G$7+F136*Upgrades!$H$7)*POWER(Upgrades!$I$7,F136)))*(IF(Upgrades!$T$6="Asteroid Belt",POWER(Upgrades!$U$6,E136),1)*IF(Upgrades!$T$8="Asteroid Belt",POWER(Upgrades!$U$8,G136),1)*IF(Upgrades!$T$9="Asteroid Belt",POWER(Upgrades!$U$9,H136),1)*IF(Upgrades!$T$10="Asteroid Belt",POWER(Upgrades!$U$10,I136),1)*IF(Upgrades!$T$11="Asteroid Belt",POWER(Upgrades!$U$11,J136),1)*IF(Upgrades!$T$12="Asteroid Belt",POWER(Upgrades!$U$12,K136),1))*POWER(Upgrades!$P$6,E136)*POWER(Upgrades!$P$7,F136)*POWER(Upgrades!$P$8,G136)*POWER(Upgrades!$P$9,H136)*POWER(Upgrades!$P$10,I136)*POWER(Upgrades!$P$11,J136)*POWER(Upgrades!$P$12,K136)*60</f>
        <v>150</v>
      </c>
      <c r="AC136" s="27" t="n">
        <f aca="false">(IF(G136=0,0,(Upgrades!$J$8+G136*Upgrades!$K$8)*POWER(Upgrades!$L$8,G136)))*(IF(Upgrades!$T$6="Stellar Coupling",POWER(Upgrades!$U$6,E136),1)*IF(Upgrades!$T$7="Stellar Coupling",POWER(Upgrades!$U$7,F136),1)*IF(Upgrades!$T$9="Stellar Coupling",POWER(Upgrades!$U$9,H136),1)*IF(Upgrades!$T$10="Stellar Coupling",POWER(Upgrades!$U$10,I136),1)*IF(Upgrades!$T$11="Stellar Coupling",POWER(Upgrades!$U$11,J136),1)*IF(Upgrades!$T$12="Stellar Coupling",POWER(Upgrades!$U$12,K136),1))*POWER(Upgrades!$Q$6,E136)*POWER(Upgrades!$Q$7,F136)*POWER(Upgrades!$Q$8,G136)*POWER(Upgrades!$Q$9,H136)*POWER(Upgrades!$Q$10,I136)*POWER(Upgrades!$Q$11,J136)*POWER(Upgrades!$Q$12,K136)*Parameters!$B$10*Parameters!$B$11</f>
        <v>441</v>
      </c>
      <c r="AD136" s="27" t="n">
        <f aca="false">(IF(H136=0,0,(Upgrades!$G$9+H136*Upgrades!$H$9)*POWER(Upgrades!$I$9,H136)))*(IF(Upgrades!$T$6="Magnetosphere",POWER(Upgrades!$U$6,E136),1)*IF(Upgrades!$T$7="Magnetosphere",POWER(Upgrades!$U$7,F136),1)*IF(Upgrades!$T$8="Magnetosphere",POWER(Upgrades!$U$8,G136),1)*IF(Upgrades!$T$10="Magnetosphere",POWER(Upgrades!$U$10,I136),1)*IF(Upgrades!$T$11="Magnetosphere",POWER(Upgrades!$U$11,J136),1)*IF(Upgrades!$T$12="Magnetosphere",POWER(Upgrades!$U$12,K136),1))*POWER(Upgrades!$P$6,E136)*POWER(Upgrades!$P$7,F136)*POWER(Upgrades!$P$8,G136)*POWER(Upgrades!$P$9,H136)*POWER(Upgrades!$P$10,I136)*POWER(Upgrades!$P$11,J136)*POWER(Upgrades!$P$12,K136)*60</f>
        <v>375</v>
      </c>
      <c r="AE136" s="27" t="n">
        <f aca="false">(IF(K136=0,0,(Upgrades!$G$12+K136*Upgrades!$H$12)*POWER(Upgrades!$I$12,K136)))*(IF(Upgrades!$T$6="First Photons",POWER(Upgrades!$U$6,E136),1)*IF(Upgrades!$T$7="First Photons",POWER(Upgrades!$U$7,F136),1)*IF(Upgrades!$T$8="First Photons",POWER(Upgrades!$U$8,G136),1)*IF(Upgrades!$T$9="First Photons",POWER(Upgrades!$U$9,H136),1)*IF(Upgrades!$T$10="First Photons",POWER(Upgrades!$U$10,I136),1)*IF(Upgrades!$T$11="First Photons",POWER(Upgrades!$U$11,J136),1))*POWER(Upgrades!$P$6,E136)*POWER(Upgrades!$P$7,F136)*POWER(Upgrades!$P$8,G136)*POWER(Upgrades!$P$9,H136)*POWER(Upgrades!$P$10,I136)*POWER(Upgrades!$P$11,J136)*POWER(Upgrades!$P$12,K136)*60</f>
        <v>75</v>
      </c>
      <c r="AF136" s="27" t="n">
        <f aca="false">Parameters!$B$9*POWER(Upgrades!$Q$6,E136)*POWER(Upgrades!$Q$7,F136)*POWER(Upgrades!$Q$8,G136)*POWER(Upgrades!$Q$9,H136)*POWER(Upgrades!$Q$10,I136)*POWER(Upgrades!$Q$11,J136)*POWER(Upgrades!$Q$12,K136)*(Parameters!$B$10*Parameters!$B$11+O136*60)</f>
        <v>120</v>
      </c>
      <c r="AG136" s="21" t="n">
        <f aca="false">IF(E136&gt;=Upgrades!$E$6,"",Upgrades!$C$6*POWER(Upgrades!$D$6,E136))</f>
        <v>37.4517507383159</v>
      </c>
      <c r="AH136" s="21" t="n">
        <f aca="false">IF(F136&gt;=Upgrades!$E$7,"",Upgrades!$C$7*POWER(Upgrades!$D$7,F136))</f>
        <v>80.9111547141581</v>
      </c>
      <c r="AI136" s="21" t="n">
        <f aca="false">IF(G136&gt;=Upgrades!$E$8,"",Upgrades!$C$8*POWER(Upgrades!$D$8,G136))</f>
        <v>231.9097088</v>
      </c>
      <c r="AJ136" s="21" t="str">
        <f aca="false">IF(H136&gt;=Upgrades!$E$9,"",Upgrades!$C$9*POWER(Upgrades!$D$9,H136))</f>
        <v/>
      </c>
      <c r="AK136" s="21" t="str">
        <f aca="false">IF(I136&gt;=Upgrades!$E$10,"",Upgrades!$C$10*POWER(Upgrades!$D$10,I136))</f>
        <v/>
      </c>
      <c r="AL136" s="21" t="str">
        <f aca="false">IF(J136&gt;=Upgrades!$E$11,"",Upgrades!$C$11*POWER(Upgrades!$D$11,J136))</f>
        <v/>
      </c>
      <c r="AM136" s="21" t="str">
        <f aca="false">IF(K136&gt;=Upgrades!$E$12,"",Upgrades!$C$12*POWER(Upgrades!$D$12,K136))</f>
        <v/>
      </c>
      <c r="AN136" s="26" t="str">
        <f aca="false">IF(AND(D136&gt;=Parameters!$B$18,(H136&gt;=Upgrades!$E$9)*(K136&gt;=Upgrades!$E$12)=1,L136=0),1,"")</f>
        <v/>
      </c>
      <c r="AO136" s="26" t="str">
        <f aca="false">IF(AND(D136&gt;=Parameters!$B$18,L136=0),1,"")</f>
        <v/>
      </c>
      <c r="AP136" s="21" t="n">
        <f aca="false">MIN(IF(ISNUMBER(AK136),AK136,9000000000000000),IF(ISNUMBER(AL136),AL136,9000000000000000),IF(ISNUMBER(AM136),AM136,9000000000000000))</f>
        <v>9000000000000000</v>
      </c>
      <c r="AQ136" s="21" t="n">
        <f aca="false">MIN(IF(ISNUMBER(AG136),AG136,9000000000000000),IF(ISNUMBER(AH136),AH136,9000000000000000),IF(ISNUMBER(AI136),AI136,9000000000000000),IF(ISNUMBER(AJ136),AJ136,9000000000000000))</f>
        <v>37.4517507383159</v>
      </c>
      <c r="AR136" s="32" t="b">
        <f aca="false">IF(AW136&gt;Parameters!$B$21*(MAX(IF(AND(NOT(AND(AO136=1,AN136&lt;&gt;1)),ISNUMBER(AG136),AG136&lt;=T136),AS136,0),IF(AND(NOT(AND(AO136=1,AN136&lt;&gt;1)),ISNUMBER(AH136),AH136&lt;=T136),AT136,0),IF(AND(NOT(AND(AO136=1,AN136&lt;&gt;1)),ISNUMBER(AI136),AI136&lt;=T136),AU136,0),IF(AND(ISNUMBER(AJ136),AJ136&lt;=T136),AV136,0))),TRUE(),FALSE())</f>
        <v>1</v>
      </c>
      <c r="AS136" s="33" t="n">
        <f aca="false">IFERROR(Upgrades!$H$6*(POWER(Upgrades!$P$6,E136)*POWER(Upgrades!$P$7,F136)*POWER(Upgrades!$P$8,G136)*POWER(Upgrades!$P$9,H136)*POWER(Upgrades!$P$10,I136)*POWER(Upgrades!$P$11,J136)*POWER(Upgrades!$P$12,K136))*(IF(Upgrades!$T$7="Solar Wind",POWER(Upgrades!$U$7,F136),1)*IF(Upgrades!$T$8="Solar Wind",POWER(Upgrades!$U$8,G136),1)*IF(Upgrades!$T$9="Solar Wind",POWER(Upgrades!$U$9,H136),1)*IF(Upgrades!$T$10="Solar Wind",POWER(Upgrades!$U$10,I136),1)*IF(Upgrades!$T$11="Solar Wind",POWER(Upgrades!$U$11,J136),1)*IF(Upgrades!$T$12="Solar Wind",POWER(Upgrades!$U$12,K136),1))/AG136,0)</f>
        <v>0.0026701021455238</v>
      </c>
      <c r="AT136" s="33" t="n">
        <f aca="false">IFERROR(Upgrades!$H$7*(POWER(Upgrades!$P$6,E136)*POWER(Upgrades!$P$7,F136)*POWER(Upgrades!$P$8,G136)*POWER(Upgrades!$P$9,H136)*POWER(Upgrades!$P$10,I136)*POWER(Upgrades!$P$11,J136)*POWER(Upgrades!$P$12,K136))*(IF(Upgrades!$T$6="Asteroid Belt",POWER(Upgrades!$U$6,E136),1)*IF(Upgrades!$T$8="Asteroid Belt",POWER(Upgrades!$U$8,G136),1)*IF(Upgrades!$T$9="Asteroid Belt",POWER(Upgrades!$U$9,H136),1)*IF(Upgrades!$T$10="Asteroid Belt",POWER(Upgrades!$U$10,I136),1)*IF(Upgrades!$T$11="Asteroid Belt",POWER(Upgrades!$U$11,J136),1)*IF(Upgrades!$T$12="Asteroid Belt",POWER(Upgrades!$U$12,K136),1))/AH136,0)</f>
        <v>0.00308980882652332</v>
      </c>
      <c r="AU136" s="33" t="n">
        <f aca="false">IFERROR(Upgrades!$K$8*(POWER(Upgrades!$Q$6,E136)*POWER(Upgrades!$Q$7,F136)*POWER(Upgrades!$Q$8,G136)*POWER(Upgrades!$Q$9,H136)*POWER(Upgrades!$Q$10,I136)*POWER(Upgrades!$Q$11,J136)*POWER(Upgrades!$Q$12,K136))*(IF(Upgrades!$T$6="Stellar Coupling",POWER(Upgrades!$U$6,E136),1)*IF(Upgrades!$T$7="Stellar Coupling",POWER(Upgrades!$U$7,F136),1)*IF(Upgrades!$T$9="Stellar Coupling",POWER(Upgrades!$U$9,H136),1)*IF(Upgrades!$T$10="Stellar Coupling",POWER(Upgrades!$U$10,I136),1)*IF(Upgrades!$T$11="Stellar Coupling",POWER(Upgrades!$U$11,J136),1)*IF(Upgrades!$T$12="Stellar Coupling",POWER(Upgrades!$U$12,K136),1))*Parameters!$B$10*Parameters!$B$11/60/AI136,0)</f>
        <v>0.00452762415783776</v>
      </c>
      <c r="AV136" s="33" t="n">
        <f aca="false">IFERROR(Upgrades!$H$9*(POWER(Upgrades!$P$6,E136)*POWER(Upgrades!$P$7,F136)*POWER(Upgrades!$P$8,G136)*POWER(Upgrades!$P$9,H136)*POWER(Upgrades!$P$10,I136)*POWER(Upgrades!$P$11,J136)*POWER(Upgrades!$P$12,K136))*(IF(Upgrades!$T$6="Magnetosphere",POWER(Upgrades!$U$6,E136),1)*IF(Upgrades!$T$7="Magnetosphere",POWER(Upgrades!$U$7,F136),1)*IF(Upgrades!$T$8="Magnetosphere",POWER(Upgrades!$U$8,G136),1)*IF(Upgrades!$T$10="Magnetosphere",POWER(Upgrades!$U$10,I136),1)*IF(Upgrades!$T$11="Magnetosphere",POWER(Upgrades!$U$11,J136),1)*IF(Upgrades!$T$12="Magnetosphere",POWER(Upgrades!$U$12,K136),1))/AJ136,0)</f>
        <v>0</v>
      </c>
      <c r="AW136" s="33" t="n">
        <f aca="false">MAX(IF(I136&gt;0,0,IFERROR(0.25*N136/Upgrades!$C$10,0)),IF(J136&gt;0,0,IFERROR(0.5*((IF(G136=0,0,(Upgrades!$J$8+G136*Upgrades!$K$8)*POWER(Upgrades!$L$8,G136)))*(IF(Upgrades!$T$6="Stellar Coupling",POWER(Upgrades!$U$6,E136),1)*IF(Upgrades!$T$7="Stellar Coupling",POWER(Upgrades!$U$7,F136),1)*IF(Upgrades!$T$9="Stellar Coupling",POWER(Upgrades!$U$9,H136),1)*IF(Upgrades!$T$10="Stellar Coupling",POWER(Upgrades!$U$10,I136),1)*IF(Upgrades!$T$11="Stellar Coupling",POWER(Upgrades!$U$11,J136),1)*IF(Upgrades!$T$12="Stellar Coupling",POWER(Upgrades!$U$12,K136),1))*(POWER(Upgrades!$Q$6,E136)*POWER(Upgrades!$Q$7,F136)*POWER(Upgrades!$Q$8,G136)*POWER(Upgrades!$Q$9,H136)*POWER(Upgrades!$Q$10,I136)*POWER(Upgrades!$Q$11,J136)*POWER(Upgrades!$Q$12,K136))*Parameters!$B$10*Parameters!$B$11/60)/Upgrades!$C$11,0)),IF(K136&gt;0,0,IFERROR((1*(POWER(Upgrades!$P$6,E136)*POWER(Upgrades!$P$7,F136)*POWER(Upgrades!$P$8,G136)*POWER(Upgrades!$P$9,H136)*POWER(Upgrades!$P$10,I136)*POWER(Upgrades!$P$11,J136)*POWER(Upgrades!$P$12,K136))+0.2*M136*Parameters!$B$10*Parameters!$B$11/60)/Upgrades!$C$12,0)),IF(AND(ISNUMBER(AG136),AG136&gt;T136),AS136,0),IF(AND(ISNUMBER(AH136),AH136&gt;T136),AT136,0),IF(AND(ISNUMBER(AI136),AI136&gt;T136),AU136,0),IF(AND(ISNUMBER(AJ136),AJ136&gt;T136),AV136,0))</f>
        <v>0.00452762415783776</v>
      </c>
      <c r="AX136" s="29" t="str">
        <f aca="false">IF(AN136=1,"transition",IF(MIN(IF(AND(I136=0,ISNUMBER(AK136),AK136&lt;=T136),AK136,9000000000000000),IF(AND(J136=0,ISNUMBER(AL136),AL136&lt;=T136),AL136,9000000000000000),IF(AND(K136=0,ISNUMBER(AM136),AM136&lt;=T136),AM136,9000000000000000))&lt;9000000000000000,IF(AND(AND(I136=0,ISNUMBER(AK136),AK136&lt;=T136),AK136=MIN(IF(AND(I136=0,ISNUMBER(AK136),AK136&lt;=T136),AK136,9000000000000000),IF(AND(J136=0,ISNUMBER(AL136),AL136&lt;=T136),AL136,9000000000000000),IF(AND(K136=0,ISNUMBER(AM136),AM136&lt;=T136),AM136,9000000000000000))),"OR",IF(AND(AND(J136=0,ISNUMBER(AL136),AL136&lt;=T136),AL136=MIN(IF(AND(I136=0,ISNUMBER(AK136),AK136&lt;=T136),AK136,9000000000000000),IF(AND(J136=0,ISNUMBER(AL136),AL136&lt;=T136),AL136,9000000000000000),IF(AND(K136=0,ISNUMBER(AM136),AM136&lt;=T136),AM136,9000000000000000))),"HP","FP")),IF(AR136=TRUE(),"",IF(MAX(IF(AND(NOT(AND(AO136=1,AN136&lt;&gt;1)),ISNUMBER(AG136),AG136&lt;=T136),AS136,0),IF(AND(NOT(AND(AO136=1,AN136&lt;&gt;1)),ISNUMBER(AH136),AH136&lt;=T136),AT136,0),IF(AND(NOT(AND(AO136=1,AN136&lt;&gt;1)),ISNUMBER(AI136),AI136&lt;=T136),AU136,0),IF(AND(ISNUMBER(AJ136),AJ136&lt;=T136),AV136,0))&lt;=0,"",IF(AND(IF(AND(NOT(AND(AO136=1,AN136&lt;&gt;1)),ISNUMBER(AG136),AG136&lt;=T136),AS136,0)&gt;0,IF(AND(NOT(AND(AO136=1,AN136&lt;&gt;1)),ISNUMBER(AG136),AG136&lt;=T136),AS136,0)=MAX(IF(AND(NOT(AND(AO136=1,AN136&lt;&gt;1)),ISNUMBER(AG136),AG136&lt;=T136),AS136,0),IF(AND(NOT(AND(AO136=1,AN136&lt;&gt;1)),ISNUMBER(AH136),AH136&lt;=T136),AT136,0),IF(AND(NOT(AND(AO136=1,AN136&lt;&gt;1)),ISNUMBER(AI136),AI136&lt;=T136),AU136,0),IF(AND(ISNUMBER(AJ136),AJ136&lt;=T136),AV136,0))),"SW",IF(AND(IF(AND(NOT(AND(AO136=1,AN136&lt;&gt;1)),ISNUMBER(AH136),AH136&lt;=T136),AT136,0)&gt;0,IF(AND(NOT(AND(AO136=1,AN136&lt;&gt;1)),ISNUMBER(AH136),AH136&lt;=T136),AT136,0)=MAX(IF(AND(NOT(AND(AO136=1,AN136&lt;&gt;1)),ISNUMBER(AG136),AG136&lt;=T136),AS136,0),IF(AND(NOT(AND(AO136=1,AN136&lt;&gt;1)),ISNUMBER(AH136),AH136&lt;=T136),AT136,0),IF(AND(NOT(AND(AO136=1,AN136&lt;&gt;1)),ISNUMBER(AI136),AI136&lt;=T136),AU136,0),IF(AND(ISNUMBER(AJ136),AJ136&lt;=T136),AV136,0))),"AB",IF(AND(IF(AND(NOT(AND(AO136=1,AN136&lt;&gt;1)),ISNUMBER(AI136),AI136&lt;=T136),AU136,0)&gt;0,IF(AND(NOT(AND(AO136=1,AN136&lt;&gt;1)),ISNUMBER(AI136),AI136&lt;=T136),AU136,0)=MAX(IF(AND(NOT(AND(AO136=1,AN136&lt;&gt;1)),ISNUMBER(AG136),AG136&lt;=T136),AS136,0),IF(AND(NOT(AND(AO136=1,AN136&lt;&gt;1)),ISNUMBER(AH136),AH136&lt;=T136),AT136,0),IF(AND(NOT(AND(AO136=1,AN136&lt;&gt;1)),ISNUMBER(AI136),AI136&lt;=T136),AU136,0),IF(AND(ISNUMBER(AJ136),AJ136&lt;=T136),AV136,0))),"SC","Mag")))))))</f>
        <v/>
      </c>
    </row>
    <row r="137" customFormat="false" ht="15" hidden="false" customHeight="false" outlineLevel="0" collapsed="false">
      <c r="A137" s="26" t="n">
        <v>132</v>
      </c>
      <c r="B137" s="27" t="n">
        <f aca="false">A137*10/60</f>
        <v>22</v>
      </c>
      <c r="C137" s="21" t="n">
        <f aca="false">X136</f>
        <v>18.6730249835055</v>
      </c>
      <c r="D137" s="27" t="n">
        <f aca="false">D136+W136</f>
        <v>0</v>
      </c>
      <c r="E137" s="26" t="n">
        <f aca="false">E136+IF(U136="SW",1,0)</f>
        <v>12</v>
      </c>
      <c r="F137" s="26" t="n">
        <f aca="false">F136+IF(U136="AB",1,0)</f>
        <v>10</v>
      </c>
      <c r="G137" s="26" t="n">
        <f aca="false">G136+IF(U136="SC",1,0)</f>
        <v>7</v>
      </c>
      <c r="H137" s="26" t="n">
        <f aca="false">H136+IF(U136="Mag",1,0)</f>
        <v>5</v>
      </c>
      <c r="I137" s="26" t="n">
        <f aca="false">MAX(I136,IF(U136="OR",1,0))</f>
        <v>1</v>
      </c>
      <c r="J137" s="26" t="n">
        <f aca="false">MAX(J136,IF(U136="HP",1,0))</f>
        <v>1</v>
      </c>
      <c r="K137" s="26" t="n">
        <f aca="false">MAX(K136,IF(U136="FP",1,0))</f>
        <v>1</v>
      </c>
      <c r="L137" s="26" t="n">
        <f aca="false">MAX(L136,IF(U136="transition",1,0))</f>
        <v>1</v>
      </c>
      <c r="M137" s="28" t="n">
        <f aca="false">(Parameters!$B$9+(IF(E137=0,0,(Upgrades!$J$6+E137*Upgrades!$K$6)*POWER(Upgrades!$L$6,E137)))*(IF(Upgrades!$T$7="Solar Wind",POWER(Upgrades!$U$7,F137),1)*IF(Upgrades!$T$8="Solar Wind",POWER(Upgrades!$U$8,G137),1)*IF(Upgrades!$T$9="Solar Wind",POWER(Upgrades!$U$9,H137),1)*IF(Upgrades!$T$10="Solar Wind",POWER(Upgrades!$U$10,I137),1)*IF(Upgrades!$T$11="Solar Wind",POWER(Upgrades!$U$11,J137),1)*IF(Upgrades!$T$12="Solar Wind",POWER(Upgrades!$U$12,K137),1))+(IF(F137=0,0,(Upgrades!$J$7+F137*Upgrades!$K$7)*POWER(Upgrades!$L$7,F137)))*(IF(Upgrades!$T$6="Asteroid Belt",POWER(Upgrades!$U$6,E137),1)*IF(Upgrades!$T$8="Asteroid Belt",POWER(Upgrades!$U$8,G137),1)*IF(Upgrades!$T$9="Asteroid Belt",POWER(Upgrades!$U$9,H137),1)*IF(Upgrades!$T$10="Asteroid Belt",POWER(Upgrades!$U$10,I137),1)*IF(Upgrades!$T$11="Asteroid Belt",POWER(Upgrades!$U$11,J137),1)*IF(Upgrades!$T$12="Asteroid Belt",POWER(Upgrades!$U$12,K137),1))+(IF(G137=0,0,(Upgrades!$J$8+G137*Upgrades!$K$8)*POWER(Upgrades!$L$8,G137)))*(IF(Upgrades!$T$6="Stellar Coupling",POWER(Upgrades!$U$6,E137),1)*IF(Upgrades!$T$7="Stellar Coupling",POWER(Upgrades!$U$7,F137),1)*IF(Upgrades!$T$9="Stellar Coupling",POWER(Upgrades!$U$9,H137),1)*IF(Upgrades!$T$10="Stellar Coupling",POWER(Upgrades!$U$10,I137),1)*IF(Upgrades!$T$11="Stellar Coupling",POWER(Upgrades!$U$11,J137),1)*IF(Upgrades!$T$12="Stellar Coupling",POWER(Upgrades!$U$12,K137),1))+(IF(H137=0,0,(Upgrades!$J$9+H137*Upgrades!$K$9)*POWER(Upgrades!$L$9,H137)))*(IF(Upgrades!$T$6="Magnetosphere",POWER(Upgrades!$U$6,E137),1)*IF(Upgrades!$T$7="Magnetosphere",POWER(Upgrades!$U$7,F137),1)*IF(Upgrades!$T$8="Magnetosphere",POWER(Upgrades!$U$8,G137),1)*IF(Upgrades!$T$10="Magnetosphere",POWER(Upgrades!$U$10,I137),1)*IF(Upgrades!$T$11="Magnetosphere",POWER(Upgrades!$U$11,J137),1)*IF(Upgrades!$T$12="Magnetosphere",POWER(Upgrades!$U$12,K137),1))+(IF(I137=0,0,(Upgrades!$J$10+I137*Upgrades!$K$10)*POWER(Upgrades!$L$10,I137)))*(IF(Upgrades!$T$6="Orbital Resonance",POWER(Upgrades!$U$6,E137),1)*IF(Upgrades!$T$7="Orbital Resonance",POWER(Upgrades!$U$7,F137),1)*IF(Upgrades!$T$8="Orbital Resonance",POWER(Upgrades!$U$8,G137),1)*IF(Upgrades!$T$9="Orbital Resonance",POWER(Upgrades!$U$9,H137),1)*IF(Upgrades!$T$11="Orbital Resonance",POWER(Upgrades!$U$11,J137),1)*IF(Upgrades!$T$12="Orbital Resonance",POWER(Upgrades!$U$12,K137),1))+(IF(J137=0,0,(Upgrades!$J$11+J137*Upgrades!$K$11)*POWER(Upgrades!$L$11,J137)))*(IF(Upgrades!$T$6="Heliopause",POWER(Upgrades!$U$6,E137),1)*IF(Upgrades!$T$7="Heliopause",POWER(Upgrades!$U$7,F137),1)*IF(Upgrades!$T$8="Heliopause",POWER(Upgrades!$U$8,G137),1)*IF(Upgrades!$T$9="Heliopause",POWER(Upgrades!$U$9,H137),1)*IF(Upgrades!$T$10="Heliopause",POWER(Upgrades!$U$10,I137),1)*IF(Upgrades!$T$12="Heliopause",POWER(Upgrades!$U$12,K137),1))+(IF(K137=0,0,(Upgrades!$J$12+K137*Upgrades!$K$12)*POWER(Upgrades!$L$12,K137)))*(IF(Upgrades!$T$6="First Photons",POWER(Upgrades!$U$6,E137),1)*IF(Upgrades!$T$7="First Photons",POWER(Upgrades!$U$7,F137),1)*IF(Upgrades!$T$8="First Photons",POWER(Upgrades!$U$8,G137),1)*IF(Upgrades!$T$9="First Photons",POWER(Upgrades!$U$9,H137),1)*IF(Upgrades!$T$10="First Photons",POWER(Upgrades!$U$10,I137),1)*IF(Upgrades!$T$11="First Photons",POWER(Upgrades!$U$11,J137),1)))*POWER(Upgrades!$Q$6,E137)*POWER(Upgrades!$Q$7,F137)*POWER(Upgrades!$Q$8,G137)*POWER(Upgrades!$Q$9,H137)*POWER(Upgrades!$Q$10,I137)*POWER(Upgrades!$Q$11,J137)*POWER(Upgrades!$Q$12,K137)</f>
        <v>5.61</v>
      </c>
      <c r="N137" s="28" t="n">
        <f aca="false">((IF(E137=0,0,(Upgrades!$G$6+E137*Upgrades!$H$6)*POWER(Upgrades!$I$6,E137)))*(IF(Upgrades!$T$7="Solar Wind",POWER(Upgrades!$U$7,F137),1)*IF(Upgrades!$T$8="Solar Wind",POWER(Upgrades!$U$8,G137),1)*IF(Upgrades!$T$9="Solar Wind",POWER(Upgrades!$U$9,H137),1)*IF(Upgrades!$T$10="Solar Wind",POWER(Upgrades!$U$10,I137),1)*IF(Upgrades!$T$11="Solar Wind",POWER(Upgrades!$U$11,J137),1)*IF(Upgrades!$T$12="Solar Wind",POWER(Upgrades!$U$12,K137),1))+(IF(F137=0,0,(Upgrades!$G$7+F137*Upgrades!$H$7)*POWER(Upgrades!$I$7,F137)))*(IF(Upgrades!$T$6="Asteroid Belt",POWER(Upgrades!$U$6,E137),1)*IF(Upgrades!$T$8="Asteroid Belt",POWER(Upgrades!$U$8,G137),1)*IF(Upgrades!$T$9="Asteroid Belt",POWER(Upgrades!$U$9,H137),1)*IF(Upgrades!$T$10="Asteroid Belt",POWER(Upgrades!$U$10,I137),1)*IF(Upgrades!$T$11="Asteroid Belt",POWER(Upgrades!$U$11,J137),1)*IF(Upgrades!$T$12="Asteroid Belt",POWER(Upgrades!$U$12,K137),1))+(IF(G137=0,0,(Upgrades!$G$8+G137*Upgrades!$H$8)*POWER(Upgrades!$I$8,G137)))*(IF(Upgrades!$T$6="Stellar Coupling",POWER(Upgrades!$U$6,E137),1)*IF(Upgrades!$T$7="Stellar Coupling",POWER(Upgrades!$U$7,F137),1)*IF(Upgrades!$T$9="Stellar Coupling",POWER(Upgrades!$U$9,H137),1)*IF(Upgrades!$T$10="Stellar Coupling",POWER(Upgrades!$U$10,I137),1)*IF(Upgrades!$T$11="Stellar Coupling",POWER(Upgrades!$U$11,J137),1)*IF(Upgrades!$T$12="Stellar Coupling",POWER(Upgrades!$U$12,K137),1))+(IF(H137=0,0,(Upgrades!$G$9+H137*Upgrades!$H$9)*POWER(Upgrades!$I$9,H137)))*(IF(Upgrades!$T$6="Magnetosphere",POWER(Upgrades!$U$6,E137),1)*IF(Upgrades!$T$7="Magnetosphere",POWER(Upgrades!$U$7,F137),1)*IF(Upgrades!$T$8="Magnetosphere",POWER(Upgrades!$U$8,G137),1)*IF(Upgrades!$T$10="Magnetosphere",POWER(Upgrades!$U$10,I137),1)*IF(Upgrades!$T$11="Magnetosphere",POWER(Upgrades!$U$11,J137),1)*IF(Upgrades!$T$12="Magnetosphere",POWER(Upgrades!$U$12,K137),1))+(IF(I137=0,0,(Upgrades!$G$10+I137*Upgrades!$H$10)*POWER(Upgrades!$I$10,I137)))*(IF(Upgrades!$T$6="Orbital Resonance",POWER(Upgrades!$U$6,E137),1)*IF(Upgrades!$T$7="Orbital Resonance",POWER(Upgrades!$U$7,F137),1)*IF(Upgrades!$T$8="Orbital Resonance",POWER(Upgrades!$U$8,G137),1)*IF(Upgrades!$T$9="Orbital Resonance",POWER(Upgrades!$U$9,H137),1)*IF(Upgrades!$T$11="Orbital Resonance",POWER(Upgrades!$U$11,J137),1)*IF(Upgrades!$T$12="Orbital Resonance",POWER(Upgrades!$U$12,K137),1))+(IF(J137=0,0,(Upgrades!$G$11+J137*Upgrades!$H$11)*POWER(Upgrades!$I$11,J137)))*(IF(Upgrades!$T$6="Heliopause",POWER(Upgrades!$U$6,E137),1)*IF(Upgrades!$T$7="Heliopause",POWER(Upgrades!$U$7,F137),1)*IF(Upgrades!$T$8="Heliopause",POWER(Upgrades!$U$8,G137),1)*IF(Upgrades!$T$9="Heliopause",POWER(Upgrades!$U$9,H137),1)*IF(Upgrades!$T$10="Heliopause",POWER(Upgrades!$U$10,I137),1)*IF(Upgrades!$T$12="Heliopause",POWER(Upgrades!$U$12,K137),1))+(IF(K137=0,0,(Upgrades!$G$12+K137*Upgrades!$H$12)*POWER(Upgrades!$I$12,K137)))*(IF(Upgrades!$T$6="First Photons",POWER(Upgrades!$U$6,E137),1)*IF(Upgrades!$T$7="First Photons",POWER(Upgrades!$U$7,F137),1)*IF(Upgrades!$T$8="First Photons",POWER(Upgrades!$U$8,G137),1)*IF(Upgrades!$T$9="First Photons",POWER(Upgrades!$U$9,H137),1)*IF(Upgrades!$T$10="First Photons",POWER(Upgrades!$U$10,I137),1)*IF(Upgrades!$T$11="First Photons",POWER(Upgrades!$U$11,J137),1)))*POWER(Upgrades!$P$6,E137)*POWER(Upgrades!$P$7,F137)*POWER(Upgrades!$P$8,G137)*POWER(Upgrades!$P$9,H137)*POWER(Upgrades!$P$10,I137)*POWER(Upgrades!$P$11,J137)*POWER(Upgrades!$P$12,K137)</f>
        <v>11.2</v>
      </c>
      <c r="O137" s="28" t="n">
        <f aca="false">((IF(E137=0,0,(Upgrades!$M$6+E137*Upgrades!$N$6)*POWER(Upgrades!$O$6,E137)))*(IF(Upgrades!$T$7="Solar Wind",POWER(Upgrades!$U$7,F137),1)*IF(Upgrades!$T$8="Solar Wind",POWER(Upgrades!$U$8,G137),1)*IF(Upgrades!$T$9="Solar Wind",POWER(Upgrades!$U$9,H137),1)*IF(Upgrades!$T$10="Solar Wind",POWER(Upgrades!$U$10,I137),1)*IF(Upgrades!$T$11="Solar Wind",POWER(Upgrades!$U$11,J137),1)*IF(Upgrades!$T$12="Solar Wind",POWER(Upgrades!$U$12,K137),1))+(IF(F137=0,0,(Upgrades!$M$7+F137*Upgrades!$N$7)*POWER(Upgrades!$O$7,F137)))*(IF(Upgrades!$T$6="Asteroid Belt",POWER(Upgrades!$U$6,E137),1)*IF(Upgrades!$T$8="Asteroid Belt",POWER(Upgrades!$U$8,G137),1)*IF(Upgrades!$T$9="Asteroid Belt",POWER(Upgrades!$U$9,H137),1)*IF(Upgrades!$T$10="Asteroid Belt",POWER(Upgrades!$U$10,I137),1)*IF(Upgrades!$T$11="Asteroid Belt",POWER(Upgrades!$U$11,J137),1)*IF(Upgrades!$T$12="Asteroid Belt",POWER(Upgrades!$U$12,K137),1))+(IF(G137=0,0,(Upgrades!$M$8+G137*Upgrades!$N$8)*POWER(Upgrades!$O$8,G137)))*(IF(Upgrades!$T$6="Stellar Coupling",POWER(Upgrades!$U$6,E137),1)*IF(Upgrades!$T$7="Stellar Coupling",POWER(Upgrades!$U$7,F137),1)*IF(Upgrades!$T$9="Stellar Coupling",POWER(Upgrades!$U$9,H137),1)*IF(Upgrades!$T$10="Stellar Coupling",POWER(Upgrades!$U$10,I137),1)*IF(Upgrades!$T$11="Stellar Coupling",POWER(Upgrades!$U$11,J137),1)*IF(Upgrades!$T$12="Stellar Coupling",POWER(Upgrades!$U$12,K137),1))+(IF(H137=0,0,(Upgrades!$M$9+H137*Upgrades!$N$9)*POWER(Upgrades!$O$9,H137)))*(IF(Upgrades!$T$6="Magnetosphere",POWER(Upgrades!$U$6,E137),1)*IF(Upgrades!$T$7="Magnetosphere",POWER(Upgrades!$U$7,F137),1)*IF(Upgrades!$T$8="Magnetosphere",POWER(Upgrades!$U$8,G137),1)*IF(Upgrades!$T$10="Magnetosphere",POWER(Upgrades!$U$10,I137),1)*IF(Upgrades!$T$11="Magnetosphere",POWER(Upgrades!$U$11,J137),1)*IF(Upgrades!$T$12="Magnetosphere",POWER(Upgrades!$U$12,K137),1))+(IF(I137=0,0,(Upgrades!$M$10+I137*Upgrades!$N$10)*POWER(Upgrades!$O$10,I137)))*(IF(Upgrades!$T$6="Orbital Resonance",POWER(Upgrades!$U$6,E137),1)*IF(Upgrades!$T$7="Orbital Resonance",POWER(Upgrades!$U$7,F137),1)*IF(Upgrades!$T$8="Orbital Resonance",POWER(Upgrades!$U$8,G137),1)*IF(Upgrades!$T$9="Orbital Resonance",POWER(Upgrades!$U$9,H137),1)*IF(Upgrades!$T$11="Orbital Resonance",POWER(Upgrades!$U$11,J137),1)*IF(Upgrades!$T$12="Orbital Resonance",POWER(Upgrades!$U$12,K137),1))+(IF(J137=0,0,(Upgrades!$M$11+J137*Upgrades!$N$11)*POWER(Upgrades!$O$11,J137)))*(IF(Upgrades!$T$6="Heliopause",POWER(Upgrades!$U$6,E137),1)*IF(Upgrades!$T$7="Heliopause",POWER(Upgrades!$U$7,F137),1)*IF(Upgrades!$T$8="Heliopause",POWER(Upgrades!$U$8,G137),1)*IF(Upgrades!$T$9="Heliopause",POWER(Upgrades!$U$9,H137),1)*IF(Upgrades!$T$10="Heliopause",POWER(Upgrades!$U$10,I137),1)*IF(Upgrades!$T$12="Heliopause",POWER(Upgrades!$U$12,K137),1))+(IF(K137=0,0,(Upgrades!$M$12+K137*Upgrades!$N$12)*POWER(Upgrades!$O$12,K137)))*(IF(Upgrades!$T$6="First Photons",POWER(Upgrades!$U$6,E137),1)*IF(Upgrades!$T$7="First Photons",POWER(Upgrades!$U$7,F137),1)*IF(Upgrades!$T$8="First Photons",POWER(Upgrades!$U$8,G137),1)*IF(Upgrades!$T$9="First Photons",POWER(Upgrades!$U$9,H137),1)*IF(Upgrades!$T$10="First Photons",POWER(Upgrades!$U$10,I137),1)*IF(Upgrades!$T$11="First Photons",POWER(Upgrades!$U$11,J137),1)))*POWER(Upgrades!$R$6,E137)*POWER(Upgrades!$R$7,F137)*POWER(Upgrades!$R$8,G137)*POWER(Upgrades!$R$9,H137)*POWER(Upgrades!$R$10,I137)*POWER(Upgrades!$R$11,J137)*POWER(Upgrades!$R$12,K137)</f>
        <v>0</v>
      </c>
      <c r="P137" s="27" t="n">
        <f aca="false">IF(L137=1,0,M137*Parameters!$B$10/60*Parameters!$B$11*10)</f>
        <v>0</v>
      </c>
      <c r="Q137" s="27" t="n">
        <f aca="false">IF(L137=1,0,O137*M137*10)</f>
        <v>0</v>
      </c>
      <c r="R137" s="27" t="n">
        <f aca="false">IF(L137=1,0,N137*10)</f>
        <v>0</v>
      </c>
      <c r="S137" s="27" t="n">
        <f aca="false">P137+Q137+R137</f>
        <v>0</v>
      </c>
      <c r="T137" s="21" t="n">
        <f aca="false">C137+S137</f>
        <v>18.6730249835055</v>
      </c>
      <c r="U137" s="34" t="str">
        <f aca="false">AX137</f>
        <v/>
      </c>
      <c r="V137" s="21" t="n">
        <f aca="false">IF(U137="",0,IF(U137="transition",0,IF(U137="SW",AG137,IF(U137="AB",AH137,IF(U137="SC",AI137,IF(U137="Mag",AJ137,IF(U137="OR",AK137,IF(U137="HP",AL137,IF(U137="FP",AM137,0)))))))))</f>
        <v>0</v>
      </c>
      <c r="W137" s="27" t="n">
        <f aca="false">IF(U137="OR",Upgrades!$F$10,IF(U137="HP",Upgrades!$F$11,IF(U137="transition",-Parameters!$B$18,0)))</f>
        <v>0</v>
      </c>
      <c r="X137" s="21" t="n">
        <f aca="false">T137-V137</f>
        <v>18.6730249835055</v>
      </c>
      <c r="Y137" s="30" t="n">
        <f aca="false">M137*Parameters!$B$10/60*Parameters!$B$11+O137*M137+N137</f>
        <v>20.55</v>
      </c>
      <c r="Z137" s="35" t="str">
        <f aca="false">IF(U137="transition","→ Tier 2 (Stellar Neighborhood)",IF(U137="FP","First Photons — light begins, system quickens",IF(U137="HP","Heliopause acquired",IF(U137="OR","Orbital Resonance — passive multiplier active",IF(AND(AO137=1,L137=0,AN137&lt;&gt;1),"Cohesion ready (waiting on completionist upgrades)","")))))</f>
        <v/>
      </c>
      <c r="AA137" s="27" t="n">
        <f aca="false">(IF(E137=0,0,(Upgrades!$G$6+E137*Upgrades!$H$6)*POWER(Upgrades!$I$6,E137)))*(IF(Upgrades!$T$7="Solar Wind",POWER(Upgrades!$U$7,F137),1)*IF(Upgrades!$T$8="Solar Wind",POWER(Upgrades!$U$8,G137),1)*IF(Upgrades!$T$9="Solar Wind",POWER(Upgrades!$U$9,H137),1)*IF(Upgrades!$T$10="Solar Wind",POWER(Upgrades!$U$10,I137),1)*IF(Upgrades!$T$11="Solar Wind",POWER(Upgrades!$U$11,J137),1)*IF(Upgrades!$T$12="Solar Wind",POWER(Upgrades!$U$12,K137),1))*POWER(Upgrades!$P$6,E137)*POWER(Upgrades!$P$7,F137)*POWER(Upgrades!$P$8,G137)*POWER(Upgrades!$P$9,H137)*POWER(Upgrades!$P$10,I137)*POWER(Upgrades!$P$11,J137)*POWER(Upgrades!$P$12,K137)*60</f>
        <v>72</v>
      </c>
      <c r="AB137" s="27" t="n">
        <f aca="false">(IF(F137=0,0,(Upgrades!$G$7+F137*Upgrades!$H$7)*POWER(Upgrades!$I$7,F137)))*(IF(Upgrades!$T$6="Asteroid Belt",POWER(Upgrades!$U$6,E137),1)*IF(Upgrades!$T$8="Asteroid Belt",POWER(Upgrades!$U$8,G137),1)*IF(Upgrades!$T$9="Asteroid Belt",POWER(Upgrades!$U$9,H137),1)*IF(Upgrades!$T$10="Asteroid Belt",POWER(Upgrades!$U$10,I137),1)*IF(Upgrades!$T$11="Asteroid Belt",POWER(Upgrades!$U$11,J137),1)*IF(Upgrades!$T$12="Asteroid Belt",POWER(Upgrades!$U$12,K137),1))*POWER(Upgrades!$P$6,E137)*POWER(Upgrades!$P$7,F137)*POWER(Upgrades!$P$8,G137)*POWER(Upgrades!$P$9,H137)*POWER(Upgrades!$P$10,I137)*POWER(Upgrades!$P$11,J137)*POWER(Upgrades!$P$12,K137)*60</f>
        <v>150</v>
      </c>
      <c r="AC137" s="27" t="n">
        <f aca="false">(IF(G137=0,0,(Upgrades!$J$8+G137*Upgrades!$K$8)*POWER(Upgrades!$L$8,G137)))*(IF(Upgrades!$T$6="Stellar Coupling",POWER(Upgrades!$U$6,E137),1)*IF(Upgrades!$T$7="Stellar Coupling",POWER(Upgrades!$U$7,F137),1)*IF(Upgrades!$T$9="Stellar Coupling",POWER(Upgrades!$U$9,H137),1)*IF(Upgrades!$T$10="Stellar Coupling",POWER(Upgrades!$U$10,I137),1)*IF(Upgrades!$T$11="Stellar Coupling",POWER(Upgrades!$U$11,J137),1)*IF(Upgrades!$T$12="Stellar Coupling",POWER(Upgrades!$U$12,K137),1))*POWER(Upgrades!$Q$6,E137)*POWER(Upgrades!$Q$7,F137)*POWER(Upgrades!$Q$8,G137)*POWER(Upgrades!$Q$9,H137)*POWER(Upgrades!$Q$10,I137)*POWER(Upgrades!$Q$11,J137)*POWER(Upgrades!$Q$12,K137)*Parameters!$B$10*Parameters!$B$11</f>
        <v>441</v>
      </c>
      <c r="AD137" s="27" t="n">
        <f aca="false">(IF(H137=0,0,(Upgrades!$G$9+H137*Upgrades!$H$9)*POWER(Upgrades!$I$9,H137)))*(IF(Upgrades!$T$6="Magnetosphere",POWER(Upgrades!$U$6,E137),1)*IF(Upgrades!$T$7="Magnetosphere",POWER(Upgrades!$U$7,F137),1)*IF(Upgrades!$T$8="Magnetosphere",POWER(Upgrades!$U$8,G137),1)*IF(Upgrades!$T$10="Magnetosphere",POWER(Upgrades!$U$10,I137),1)*IF(Upgrades!$T$11="Magnetosphere",POWER(Upgrades!$U$11,J137),1)*IF(Upgrades!$T$12="Magnetosphere",POWER(Upgrades!$U$12,K137),1))*POWER(Upgrades!$P$6,E137)*POWER(Upgrades!$P$7,F137)*POWER(Upgrades!$P$8,G137)*POWER(Upgrades!$P$9,H137)*POWER(Upgrades!$P$10,I137)*POWER(Upgrades!$P$11,J137)*POWER(Upgrades!$P$12,K137)*60</f>
        <v>375</v>
      </c>
      <c r="AE137" s="27" t="n">
        <f aca="false">(IF(K137=0,0,(Upgrades!$G$12+K137*Upgrades!$H$12)*POWER(Upgrades!$I$12,K137)))*(IF(Upgrades!$T$6="First Photons",POWER(Upgrades!$U$6,E137),1)*IF(Upgrades!$T$7="First Photons",POWER(Upgrades!$U$7,F137),1)*IF(Upgrades!$T$8="First Photons",POWER(Upgrades!$U$8,G137),1)*IF(Upgrades!$T$9="First Photons",POWER(Upgrades!$U$9,H137),1)*IF(Upgrades!$T$10="First Photons",POWER(Upgrades!$U$10,I137),1)*IF(Upgrades!$T$11="First Photons",POWER(Upgrades!$U$11,J137),1))*POWER(Upgrades!$P$6,E137)*POWER(Upgrades!$P$7,F137)*POWER(Upgrades!$P$8,G137)*POWER(Upgrades!$P$9,H137)*POWER(Upgrades!$P$10,I137)*POWER(Upgrades!$P$11,J137)*POWER(Upgrades!$P$12,K137)*60</f>
        <v>75</v>
      </c>
      <c r="AF137" s="27" t="n">
        <f aca="false">Parameters!$B$9*POWER(Upgrades!$Q$6,E137)*POWER(Upgrades!$Q$7,F137)*POWER(Upgrades!$Q$8,G137)*POWER(Upgrades!$Q$9,H137)*POWER(Upgrades!$Q$10,I137)*POWER(Upgrades!$Q$11,J137)*POWER(Upgrades!$Q$12,K137)*(Parameters!$B$10*Parameters!$B$11+O137*60)</f>
        <v>120</v>
      </c>
      <c r="AG137" s="21" t="n">
        <f aca="false">IF(E137&gt;=Upgrades!$E$6,"",Upgrades!$C$6*POWER(Upgrades!$D$6,E137))</f>
        <v>37.4517507383159</v>
      </c>
      <c r="AH137" s="21" t="n">
        <f aca="false">IF(F137&gt;=Upgrades!$E$7,"",Upgrades!$C$7*POWER(Upgrades!$D$7,F137))</f>
        <v>80.9111547141581</v>
      </c>
      <c r="AI137" s="21" t="n">
        <f aca="false">IF(G137&gt;=Upgrades!$E$8,"",Upgrades!$C$8*POWER(Upgrades!$D$8,G137))</f>
        <v>231.9097088</v>
      </c>
      <c r="AJ137" s="21" t="str">
        <f aca="false">IF(H137&gt;=Upgrades!$E$9,"",Upgrades!$C$9*POWER(Upgrades!$D$9,H137))</f>
        <v/>
      </c>
      <c r="AK137" s="21" t="str">
        <f aca="false">IF(I137&gt;=Upgrades!$E$10,"",Upgrades!$C$10*POWER(Upgrades!$D$10,I137))</f>
        <v/>
      </c>
      <c r="AL137" s="21" t="str">
        <f aca="false">IF(J137&gt;=Upgrades!$E$11,"",Upgrades!$C$11*POWER(Upgrades!$D$11,J137))</f>
        <v/>
      </c>
      <c r="AM137" s="21" t="str">
        <f aca="false">IF(K137&gt;=Upgrades!$E$12,"",Upgrades!$C$12*POWER(Upgrades!$D$12,K137))</f>
        <v/>
      </c>
      <c r="AN137" s="26" t="str">
        <f aca="false">IF(AND(D137&gt;=Parameters!$B$18,(H137&gt;=Upgrades!$E$9)*(K137&gt;=Upgrades!$E$12)=1,L137=0),1,"")</f>
        <v/>
      </c>
      <c r="AO137" s="26" t="str">
        <f aca="false">IF(AND(D137&gt;=Parameters!$B$18,L137=0),1,"")</f>
        <v/>
      </c>
      <c r="AP137" s="21" t="n">
        <f aca="false">MIN(IF(ISNUMBER(AK137),AK137,9000000000000000),IF(ISNUMBER(AL137),AL137,9000000000000000),IF(ISNUMBER(AM137),AM137,9000000000000000))</f>
        <v>9000000000000000</v>
      </c>
      <c r="AQ137" s="21" t="n">
        <f aca="false">MIN(IF(ISNUMBER(AG137),AG137,9000000000000000),IF(ISNUMBER(AH137),AH137,9000000000000000),IF(ISNUMBER(AI137),AI137,9000000000000000),IF(ISNUMBER(AJ137),AJ137,9000000000000000))</f>
        <v>37.4517507383159</v>
      </c>
      <c r="AR137" s="32" t="b">
        <f aca="false">IF(AW137&gt;Parameters!$B$21*(MAX(IF(AND(NOT(AND(AO137=1,AN137&lt;&gt;1)),ISNUMBER(AG137),AG137&lt;=T137),AS137,0),IF(AND(NOT(AND(AO137=1,AN137&lt;&gt;1)),ISNUMBER(AH137),AH137&lt;=T137),AT137,0),IF(AND(NOT(AND(AO137=1,AN137&lt;&gt;1)),ISNUMBER(AI137),AI137&lt;=T137),AU137,0),IF(AND(ISNUMBER(AJ137),AJ137&lt;=T137),AV137,0))),TRUE(),FALSE())</f>
        <v>1</v>
      </c>
      <c r="AS137" s="33" t="n">
        <f aca="false">IFERROR(Upgrades!$H$6*(POWER(Upgrades!$P$6,E137)*POWER(Upgrades!$P$7,F137)*POWER(Upgrades!$P$8,G137)*POWER(Upgrades!$P$9,H137)*POWER(Upgrades!$P$10,I137)*POWER(Upgrades!$P$11,J137)*POWER(Upgrades!$P$12,K137))*(IF(Upgrades!$T$7="Solar Wind",POWER(Upgrades!$U$7,F137),1)*IF(Upgrades!$T$8="Solar Wind",POWER(Upgrades!$U$8,G137),1)*IF(Upgrades!$T$9="Solar Wind",POWER(Upgrades!$U$9,H137),1)*IF(Upgrades!$T$10="Solar Wind",POWER(Upgrades!$U$10,I137),1)*IF(Upgrades!$T$11="Solar Wind",POWER(Upgrades!$U$11,J137),1)*IF(Upgrades!$T$12="Solar Wind",POWER(Upgrades!$U$12,K137),1))/AG137,0)</f>
        <v>0.0026701021455238</v>
      </c>
      <c r="AT137" s="33" t="n">
        <f aca="false">IFERROR(Upgrades!$H$7*(POWER(Upgrades!$P$6,E137)*POWER(Upgrades!$P$7,F137)*POWER(Upgrades!$P$8,G137)*POWER(Upgrades!$P$9,H137)*POWER(Upgrades!$P$10,I137)*POWER(Upgrades!$P$11,J137)*POWER(Upgrades!$P$12,K137))*(IF(Upgrades!$T$6="Asteroid Belt",POWER(Upgrades!$U$6,E137),1)*IF(Upgrades!$T$8="Asteroid Belt",POWER(Upgrades!$U$8,G137),1)*IF(Upgrades!$T$9="Asteroid Belt",POWER(Upgrades!$U$9,H137),1)*IF(Upgrades!$T$10="Asteroid Belt",POWER(Upgrades!$U$10,I137),1)*IF(Upgrades!$T$11="Asteroid Belt",POWER(Upgrades!$U$11,J137),1)*IF(Upgrades!$T$12="Asteroid Belt",POWER(Upgrades!$U$12,K137),1))/AH137,0)</f>
        <v>0.00308980882652332</v>
      </c>
      <c r="AU137" s="33" t="n">
        <f aca="false">IFERROR(Upgrades!$K$8*(POWER(Upgrades!$Q$6,E137)*POWER(Upgrades!$Q$7,F137)*POWER(Upgrades!$Q$8,G137)*POWER(Upgrades!$Q$9,H137)*POWER(Upgrades!$Q$10,I137)*POWER(Upgrades!$Q$11,J137)*POWER(Upgrades!$Q$12,K137))*(IF(Upgrades!$T$6="Stellar Coupling",POWER(Upgrades!$U$6,E137),1)*IF(Upgrades!$T$7="Stellar Coupling",POWER(Upgrades!$U$7,F137),1)*IF(Upgrades!$T$9="Stellar Coupling",POWER(Upgrades!$U$9,H137),1)*IF(Upgrades!$T$10="Stellar Coupling",POWER(Upgrades!$U$10,I137),1)*IF(Upgrades!$T$11="Stellar Coupling",POWER(Upgrades!$U$11,J137),1)*IF(Upgrades!$T$12="Stellar Coupling",POWER(Upgrades!$U$12,K137),1))*Parameters!$B$10*Parameters!$B$11/60/AI137,0)</f>
        <v>0.00452762415783776</v>
      </c>
      <c r="AV137" s="33" t="n">
        <f aca="false">IFERROR(Upgrades!$H$9*(POWER(Upgrades!$P$6,E137)*POWER(Upgrades!$P$7,F137)*POWER(Upgrades!$P$8,G137)*POWER(Upgrades!$P$9,H137)*POWER(Upgrades!$P$10,I137)*POWER(Upgrades!$P$11,J137)*POWER(Upgrades!$P$12,K137))*(IF(Upgrades!$T$6="Magnetosphere",POWER(Upgrades!$U$6,E137),1)*IF(Upgrades!$T$7="Magnetosphere",POWER(Upgrades!$U$7,F137),1)*IF(Upgrades!$T$8="Magnetosphere",POWER(Upgrades!$U$8,G137),1)*IF(Upgrades!$T$10="Magnetosphere",POWER(Upgrades!$U$10,I137),1)*IF(Upgrades!$T$11="Magnetosphere",POWER(Upgrades!$U$11,J137),1)*IF(Upgrades!$T$12="Magnetosphere",POWER(Upgrades!$U$12,K137),1))/AJ137,0)</f>
        <v>0</v>
      </c>
      <c r="AW137" s="33" t="n">
        <f aca="false">MAX(IF(I137&gt;0,0,IFERROR(0.25*N137/Upgrades!$C$10,0)),IF(J137&gt;0,0,IFERROR(0.5*((IF(G137=0,0,(Upgrades!$J$8+G137*Upgrades!$K$8)*POWER(Upgrades!$L$8,G137)))*(IF(Upgrades!$T$6="Stellar Coupling",POWER(Upgrades!$U$6,E137),1)*IF(Upgrades!$T$7="Stellar Coupling",POWER(Upgrades!$U$7,F137),1)*IF(Upgrades!$T$9="Stellar Coupling",POWER(Upgrades!$U$9,H137),1)*IF(Upgrades!$T$10="Stellar Coupling",POWER(Upgrades!$U$10,I137),1)*IF(Upgrades!$T$11="Stellar Coupling",POWER(Upgrades!$U$11,J137),1)*IF(Upgrades!$T$12="Stellar Coupling",POWER(Upgrades!$U$12,K137),1))*(POWER(Upgrades!$Q$6,E137)*POWER(Upgrades!$Q$7,F137)*POWER(Upgrades!$Q$8,G137)*POWER(Upgrades!$Q$9,H137)*POWER(Upgrades!$Q$10,I137)*POWER(Upgrades!$Q$11,J137)*POWER(Upgrades!$Q$12,K137))*Parameters!$B$10*Parameters!$B$11/60)/Upgrades!$C$11,0)),IF(K137&gt;0,0,IFERROR((1*(POWER(Upgrades!$P$6,E137)*POWER(Upgrades!$P$7,F137)*POWER(Upgrades!$P$8,G137)*POWER(Upgrades!$P$9,H137)*POWER(Upgrades!$P$10,I137)*POWER(Upgrades!$P$11,J137)*POWER(Upgrades!$P$12,K137))+0.2*M137*Parameters!$B$10*Parameters!$B$11/60)/Upgrades!$C$12,0)),IF(AND(ISNUMBER(AG137),AG137&gt;T137),AS137,0),IF(AND(ISNUMBER(AH137),AH137&gt;T137),AT137,0),IF(AND(ISNUMBER(AI137),AI137&gt;T137),AU137,0),IF(AND(ISNUMBER(AJ137),AJ137&gt;T137),AV137,0))</f>
        <v>0.00452762415783776</v>
      </c>
      <c r="AX137" s="29" t="str">
        <f aca="false">IF(AN137=1,"transition",IF(MIN(IF(AND(I137=0,ISNUMBER(AK137),AK137&lt;=T137),AK137,9000000000000000),IF(AND(J137=0,ISNUMBER(AL137),AL137&lt;=T137),AL137,9000000000000000),IF(AND(K137=0,ISNUMBER(AM137),AM137&lt;=T137),AM137,9000000000000000))&lt;9000000000000000,IF(AND(AND(I137=0,ISNUMBER(AK137),AK137&lt;=T137),AK137=MIN(IF(AND(I137=0,ISNUMBER(AK137),AK137&lt;=T137),AK137,9000000000000000),IF(AND(J137=0,ISNUMBER(AL137),AL137&lt;=T137),AL137,9000000000000000),IF(AND(K137=0,ISNUMBER(AM137),AM137&lt;=T137),AM137,9000000000000000))),"OR",IF(AND(AND(J137=0,ISNUMBER(AL137),AL137&lt;=T137),AL137=MIN(IF(AND(I137=0,ISNUMBER(AK137),AK137&lt;=T137),AK137,9000000000000000),IF(AND(J137=0,ISNUMBER(AL137),AL137&lt;=T137),AL137,9000000000000000),IF(AND(K137=0,ISNUMBER(AM137),AM137&lt;=T137),AM137,9000000000000000))),"HP","FP")),IF(AR137=TRUE(),"",IF(MAX(IF(AND(NOT(AND(AO137=1,AN137&lt;&gt;1)),ISNUMBER(AG137),AG137&lt;=T137),AS137,0),IF(AND(NOT(AND(AO137=1,AN137&lt;&gt;1)),ISNUMBER(AH137),AH137&lt;=T137),AT137,0),IF(AND(NOT(AND(AO137=1,AN137&lt;&gt;1)),ISNUMBER(AI137),AI137&lt;=T137),AU137,0),IF(AND(ISNUMBER(AJ137),AJ137&lt;=T137),AV137,0))&lt;=0,"",IF(AND(IF(AND(NOT(AND(AO137=1,AN137&lt;&gt;1)),ISNUMBER(AG137),AG137&lt;=T137),AS137,0)&gt;0,IF(AND(NOT(AND(AO137=1,AN137&lt;&gt;1)),ISNUMBER(AG137),AG137&lt;=T137),AS137,0)=MAX(IF(AND(NOT(AND(AO137=1,AN137&lt;&gt;1)),ISNUMBER(AG137),AG137&lt;=T137),AS137,0),IF(AND(NOT(AND(AO137=1,AN137&lt;&gt;1)),ISNUMBER(AH137),AH137&lt;=T137),AT137,0),IF(AND(NOT(AND(AO137=1,AN137&lt;&gt;1)),ISNUMBER(AI137),AI137&lt;=T137),AU137,0),IF(AND(ISNUMBER(AJ137),AJ137&lt;=T137),AV137,0))),"SW",IF(AND(IF(AND(NOT(AND(AO137=1,AN137&lt;&gt;1)),ISNUMBER(AH137),AH137&lt;=T137),AT137,0)&gt;0,IF(AND(NOT(AND(AO137=1,AN137&lt;&gt;1)),ISNUMBER(AH137),AH137&lt;=T137),AT137,0)=MAX(IF(AND(NOT(AND(AO137=1,AN137&lt;&gt;1)),ISNUMBER(AG137),AG137&lt;=T137),AS137,0),IF(AND(NOT(AND(AO137=1,AN137&lt;&gt;1)),ISNUMBER(AH137),AH137&lt;=T137),AT137,0),IF(AND(NOT(AND(AO137=1,AN137&lt;&gt;1)),ISNUMBER(AI137),AI137&lt;=T137),AU137,0),IF(AND(ISNUMBER(AJ137),AJ137&lt;=T137),AV137,0))),"AB",IF(AND(IF(AND(NOT(AND(AO137=1,AN137&lt;&gt;1)),ISNUMBER(AI137),AI137&lt;=T137),AU137,0)&gt;0,IF(AND(NOT(AND(AO137=1,AN137&lt;&gt;1)),ISNUMBER(AI137),AI137&lt;=T137),AU137,0)=MAX(IF(AND(NOT(AND(AO137=1,AN137&lt;&gt;1)),ISNUMBER(AG137),AG137&lt;=T137),AS137,0),IF(AND(NOT(AND(AO137=1,AN137&lt;&gt;1)),ISNUMBER(AH137),AH137&lt;=T137),AT137,0),IF(AND(NOT(AND(AO137=1,AN137&lt;&gt;1)),ISNUMBER(AI137),AI137&lt;=T137),AU137,0),IF(AND(ISNUMBER(AJ137),AJ137&lt;=T137),AV137,0))),"SC","Mag")))))))</f>
        <v/>
      </c>
    </row>
    <row r="138" customFormat="false" ht="15" hidden="false" customHeight="false" outlineLevel="0" collapsed="false">
      <c r="A138" s="26" t="n">
        <v>133</v>
      </c>
      <c r="B138" s="27" t="n">
        <f aca="false">A138*10/60</f>
        <v>22.1666666666667</v>
      </c>
      <c r="C138" s="21" t="n">
        <f aca="false">X137</f>
        <v>18.6730249835055</v>
      </c>
      <c r="D138" s="27" t="n">
        <f aca="false">D137+W137</f>
        <v>0</v>
      </c>
      <c r="E138" s="26" t="n">
        <f aca="false">E137+IF(U137="SW",1,0)</f>
        <v>12</v>
      </c>
      <c r="F138" s="26" t="n">
        <f aca="false">F137+IF(U137="AB",1,0)</f>
        <v>10</v>
      </c>
      <c r="G138" s="26" t="n">
        <f aca="false">G137+IF(U137="SC",1,0)</f>
        <v>7</v>
      </c>
      <c r="H138" s="26" t="n">
        <f aca="false">H137+IF(U137="Mag",1,0)</f>
        <v>5</v>
      </c>
      <c r="I138" s="26" t="n">
        <f aca="false">MAX(I137,IF(U137="OR",1,0))</f>
        <v>1</v>
      </c>
      <c r="J138" s="26" t="n">
        <f aca="false">MAX(J137,IF(U137="HP",1,0))</f>
        <v>1</v>
      </c>
      <c r="K138" s="26" t="n">
        <f aca="false">MAX(K137,IF(U137="FP",1,0))</f>
        <v>1</v>
      </c>
      <c r="L138" s="26" t="n">
        <f aca="false">MAX(L137,IF(U137="transition",1,0))</f>
        <v>1</v>
      </c>
      <c r="M138" s="28" t="n">
        <f aca="false">(Parameters!$B$9+(IF(E138=0,0,(Upgrades!$J$6+E138*Upgrades!$K$6)*POWER(Upgrades!$L$6,E138)))*(IF(Upgrades!$T$7="Solar Wind",POWER(Upgrades!$U$7,F138),1)*IF(Upgrades!$T$8="Solar Wind",POWER(Upgrades!$U$8,G138),1)*IF(Upgrades!$T$9="Solar Wind",POWER(Upgrades!$U$9,H138),1)*IF(Upgrades!$T$10="Solar Wind",POWER(Upgrades!$U$10,I138),1)*IF(Upgrades!$T$11="Solar Wind",POWER(Upgrades!$U$11,J138),1)*IF(Upgrades!$T$12="Solar Wind",POWER(Upgrades!$U$12,K138),1))+(IF(F138=0,0,(Upgrades!$J$7+F138*Upgrades!$K$7)*POWER(Upgrades!$L$7,F138)))*(IF(Upgrades!$T$6="Asteroid Belt",POWER(Upgrades!$U$6,E138),1)*IF(Upgrades!$T$8="Asteroid Belt",POWER(Upgrades!$U$8,G138),1)*IF(Upgrades!$T$9="Asteroid Belt",POWER(Upgrades!$U$9,H138),1)*IF(Upgrades!$T$10="Asteroid Belt",POWER(Upgrades!$U$10,I138),1)*IF(Upgrades!$T$11="Asteroid Belt",POWER(Upgrades!$U$11,J138),1)*IF(Upgrades!$T$12="Asteroid Belt",POWER(Upgrades!$U$12,K138),1))+(IF(G138=0,0,(Upgrades!$J$8+G138*Upgrades!$K$8)*POWER(Upgrades!$L$8,G138)))*(IF(Upgrades!$T$6="Stellar Coupling",POWER(Upgrades!$U$6,E138),1)*IF(Upgrades!$T$7="Stellar Coupling",POWER(Upgrades!$U$7,F138),1)*IF(Upgrades!$T$9="Stellar Coupling",POWER(Upgrades!$U$9,H138),1)*IF(Upgrades!$T$10="Stellar Coupling",POWER(Upgrades!$U$10,I138),1)*IF(Upgrades!$T$11="Stellar Coupling",POWER(Upgrades!$U$11,J138),1)*IF(Upgrades!$T$12="Stellar Coupling",POWER(Upgrades!$U$12,K138),1))+(IF(H138=0,0,(Upgrades!$J$9+H138*Upgrades!$K$9)*POWER(Upgrades!$L$9,H138)))*(IF(Upgrades!$T$6="Magnetosphere",POWER(Upgrades!$U$6,E138),1)*IF(Upgrades!$T$7="Magnetosphere",POWER(Upgrades!$U$7,F138),1)*IF(Upgrades!$T$8="Magnetosphere",POWER(Upgrades!$U$8,G138),1)*IF(Upgrades!$T$10="Magnetosphere",POWER(Upgrades!$U$10,I138),1)*IF(Upgrades!$T$11="Magnetosphere",POWER(Upgrades!$U$11,J138),1)*IF(Upgrades!$T$12="Magnetosphere",POWER(Upgrades!$U$12,K138),1))+(IF(I138=0,0,(Upgrades!$J$10+I138*Upgrades!$K$10)*POWER(Upgrades!$L$10,I138)))*(IF(Upgrades!$T$6="Orbital Resonance",POWER(Upgrades!$U$6,E138),1)*IF(Upgrades!$T$7="Orbital Resonance",POWER(Upgrades!$U$7,F138),1)*IF(Upgrades!$T$8="Orbital Resonance",POWER(Upgrades!$U$8,G138),1)*IF(Upgrades!$T$9="Orbital Resonance",POWER(Upgrades!$U$9,H138),1)*IF(Upgrades!$T$11="Orbital Resonance",POWER(Upgrades!$U$11,J138),1)*IF(Upgrades!$T$12="Orbital Resonance",POWER(Upgrades!$U$12,K138),1))+(IF(J138=0,0,(Upgrades!$J$11+J138*Upgrades!$K$11)*POWER(Upgrades!$L$11,J138)))*(IF(Upgrades!$T$6="Heliopause",POWER(Upgrades!$U$6,E138),1)*IF(Upgrades!$T$7="Heliopause",POWER(Upgrades!$U$7,F138),1)*IF(Upgrades!$T$8="Heliopause",POWER(Upgrades!$U$8,G138),1)*IF(Upgrades!$T$9="Heliopause",POWER(Upgrades!$U$9,H138),1)*IF(Upgrades!$T$10="Heliopause",POWER(Upgrades!$U$10,I138),1)*IF(Upgrades!$T$12="Heliopause",POWER(Upgrades!$U$12,K138),1))+(IF(K138=0,0,(Upgrades!$J$12+K138*Upgrades!$K$12)*POWER(Upgrades!$L$12,K138)))*(IF(Upgrades!$T$6="First Photons",POWER(Upgrades!$U$6,E138),1)*IF(Upgrades!$T$7="First Photons",POWER(Upgrades!$U$7,F138),1)*IF(Upgrades!$T$8="First Photons",POWER(Upgrades!$U$8,G138),1)*IF(Upgrades!$T$9="First Photons",POWER(Upgrades!$U$9,H138),1)*IF(Upgrades!$T$10="First Photons",POWER(Upgrades!$U$10,I138),1)*IF(Upgrades!$T$11="First Photons",POWER(Upgrades!$U$11,J138),1)))*POWER(Upgrades!$Q$6,E138)*POWER(Upgrades!$Q$7,F138)*POWER(Upgrades!$Q$8,G138)*POWER(Upgrades!$Q$9,H138)*POWER(Upgrades!$Q$10,I138)*POWER(Upgrades!$Q$11,J138)*POWER(Upgrades!$Q$12,K138)</f>
        <v>5.61</v>
      </c>
      <c r="N138" s="28" t="n">
        <f aca="false">((IF(E138=0,0,(Upgrades!$G$6+E138*Upgrades!$H$6)*POWER(Upgrades!$I$6,E138)))*(IF(Upgrades!$T$7="Solar Wind",POWER(Upgrades!$U$7,F138),1)*IF(Upgrades!$T$8="Solar Wind",POWER(Upgrades!$U$8,G138),1)*IF(Upgrades!$T$9="Solar Wind",POWER(Upgrades!$U$9,H138),1)*IF(Upgrades!$T$10="Solar Wind",POWER(Upgrades!$U$10,I138),1)*IF(Upgrades!$T$11="Solar Wind",POWER(Upgrades!$U$11,J138),1)*IF(Upgrades!$T$12="Solar Wind",POWER(Upgrades!$U$12,K138),1))+(IF(F138=0,0,(Upgrades!$G$7+F138*Upgrades!$H$7)*POWER(Upgrades!$I$7,F138)))*(IF(Upgrades!$T$6="Asteroid Belt",POWER(Upgrades!$U$6,E138),1)*IF(Upgrades!$T$8="Asteroid Belt",POWER(Upgrades!$U$8,G138),1)*IF(Upgrades!$T$9="Asteroid Belt",POWER(Upgrades!$U$9,H138),1)*IF(Upgrades!$T$10="Asteroid Belt",POWER(Upgrades!$U$10,I138),1)*IF(Upgrades!$T$11="Asteroid Belt",POWER(Upgrades!$U$11,J138),1)*IF(Upgrades!$T$12="Asteroid Belt",POWER(Upgrades!$U$12,K138),1))+(IF(G138=0,0,(Upgrades!$G$8+G138*Upgrades!$H$8)*POWER(Upgrades!$I$8,G138)))*(IF(Upgrades!$T$6="Stellar Coupling",POWER(Upgrades!$U$6,E138),1)*IF(Upgrades!$T$7="Stellar Coupling",POWER(Upgrades!$U$7,F138),1)*IF(Upgrades!$T$9="Stellar Coupling",POWER(Upgrades!$U$9,H138),1)*IF(Upgrades!$T$10="Stellar Coupling",POWER(Upgrades!$U$10,I138),1)*IF(Upgrades!$T$11="Stellar Coupling",POWER(Upgrades!$U$11,J138),1)*IF(Upgrades!$T$12="Stellar Coupling",POWER(Upgrades!$U$12,K138),1))+(IF(H138=0,0,(Upgrades!$G$9+H138*Upgrades!$H$9)*POWER(Upgrades!$I$9,H138)))*(IF(Upgrades!$T$6="Magnetosphere",POWER(Upgrades!$U$6,E138),1)*IF(Upgrades!$T$7="Magnetosphere",POWER(Upgrades!$U$7,F138),1)*IF(Upgrades!$T$8="Magnetosphere",POWER(Upgrades!$U$8,G138),1)*IF(Upgrades!$T$10="Magnetosphere",POWER(Upgrades!$U$10,I138),1)*IF(Upgrades!$T$11="Magnetosphere",POWER(Upgrades!$U$11,J138),1)*IF(Upgrades!$T$12="Magnetosphere",POWER(Upgrades!$U$12,K138),1))+(IF(I138=0,0,(Upgrades!$G$10+I138*Upgrades!$H$10)*POWER(Upgrades!$I$10,I138)))*(IF(Upgrades!$T$6="Orbital Resonance",POWER(Upgrades!$U$6,E138),1)*IF(Upgrades!$T$7="Orbital Resonance",POWER(Upgrades!$U$7,F138),1)*IF(Upgrades!$T$8="Orbital Resonance",POWER(Upgrades!$U$8,G138),1)*IF(Upgrades!$T$9="Orbital Resonance",POWER(Upgrades!$U$9,H138),1)*IF(Upgrades!$T$11="Orbital Resonance",POWER(Upgrades!$U$11,J138),1)*IF(Upgrades!$T$12="Orbital Resonance",POWER(Upgrades!$U$12,K138),1))+(IF(J138=0,0,(Upgrades!$G$11+J138*Upgrades!$H$11)*POWER(Upgrades!$I$11,J138)))*(IF(Upgrades!$T$6="Heliopause",POWER(Upgrades!$U$6,E138),1)*IF(Upgrades!$T$7="Heliopause",POWER(Upgrades!$U$7,F138),1)*IF(Upgrades!$T$8="Heliopause",POWER(Upgrades!$U$8,G138),1)*IF(Upgrades!$T$9="Heliopause",POWER(Upgrades!$U$9,H138),1)*IF(Upgrades!$T$10="Heliopause",POWER(Upgrades!$U$10,I138),1)*IF(Upgrades!$T$12="Heliopause",POWER(Upgrades!$U$12,K138),1))+(IF(K138=0,0,(Upgrades!$G$12+K138*Upgrades!$H$12)*POWER(Upgrades!$I$12,K138)))*(IF(Upgrades!$T$6="First Photons",POWER(Upgrades!$U$6,E138),1)*IF(Upgrades!$T$7="First Photons",POWER(Upgrades!$U$7,F138),1)*IF(Upgrades!$T$8="First Photons",POWER(Upgrades!$U$8,G138),1)*IF(Upgrades!$T$9="First Photons",POWER(Upgrades!$U$9,H138),1)*IF(Upgrades!$T$10="First Photons",POWER(Upgrades!$U$10,I138),1)*IF(Upgrades!$T$11="First Photons",POWER(Upgrades!$U$11,J138),1)))*POWER(Upgrades!$P$6,E138)*POWER(Upgrades!$P$7,F138)*POWER(Upgrades!$P$8,G138)*POWER(Upgrades!$P$9,H138)*POWER(Upgrades!$P$10,I138)*POWER(Upgrades!$P$11,J138)*POWER(Upgrades!$P$12,K138)</f>
        <v>11.2</v>
      </c>
      <c r="O138" s="28" t="n">
        <f aca="false">((IF(E138=0,0,(Upgrades!$M$6+E138*Upgrades!$N$6)*POWER(Upgrades!$O$6,E138)))*(IF(Upgrades!$T$7="Solar Wind",POWER(Upgrades!$U$7,F138),1)*IF(Upgrades!$T$8="Solar Wind",POWER(Upgrades!$U$8,G138),1)*IF(Upgrades!$T$9="Solar Wind",POWER(Upgrades!$U$9,H138),1)*IF(Upgrades!$T$10="Solar Wind",POWER(Upgrades!$U$10,I138),1)*IF(Upgrades!$T$11="Solar Wind",POWER(Upgrades!$U$11,J138),1)*IF(Upgrades!$T$12="Solar Wind",POWER(Upgrades!$U$12,K138),1))+(IF(F138=0,0,(Upgrades!$M$7+F138*Upgrades!$N$7)*POWER(Upgrades!$O$7,F138)))*(IF(Upgrades!$T$6="Asteroid Belt",POWER(Upgrades!$U$6,E138),1)*IF(Upgrades!$T$8="Asteroid Belt",POWER(Upgrades!$U$8,G138),1)*IF(Upgrades!$T$9="Asteroid Belt",POWER(Upgrades!$U$9,H138),1)*IF(Upgrades!$T$10="Asteroid Belt",POWER(Upgrades!$U$10,I138),1)*IF(Upgrades!$T$11="Asteroid Belt",POWER(Upgrades!$U$11,J138),1)*IF(Upgrades!$T$12="Asteroid Belt",POWER(Upgrades!$U$12,K138),1))+(IF(G138=0,0,(Upgrades!$M$8+G138*Upgrades!$N$8)*POWER(Upgrades!$O$8,G138)))*(IF(Upgrades!$T$6="Stellar Coupling",POWER(Upgrades!$U$6,E138),1)*IF(Upgrades!$T$7="Stellar Coupling",POWER(Upgrades!$U$7,F138),1)*IF(Upgrades!$T$9="Stellar Coupling",POWER(Upgrades!$U$9,H138),1)*IF(Upgrades!$T$10="Stellar Coupling",POWER(Upgrades!$U$10,I138),1)*IF(Upgrades!$T$11="Stellar Coupling",POWER(Upgrades!$U$11,J138),1)*IF(Upgrades!$T$12="Stellar Coupling",POWER(Upgrades!$U$12,K138),1))+(IF(H138=0,0,(Upgrades!$M$9+H138*Upgrades!$N$9)*POWER(Upgrades!$O$9,H138)))*(IF(Upgrades!$T$6="Magnetosphere",POWER(Upgrades!$U$6,E138),1)*IF(Upgrades!$T$7="Magnetosphere",POWER(Upgrades!$U$7,F138),1)*IF(Upgrades!$T$8="Magnetosphere",POWER(Upgrades!$U$8,G138),1)*IF(Upgrades!$T$10="Magnetosphere",POWER(Upgrades!$U$10,I138),1)*IF(Upgrades!$T$11="Magnetosphere",POWER(Upgrades!$U$11,J138),1)*IF(Upgrades!$T$12="Magnetosphere",POWER(Upgrades!$U$12,K138),1))+(IF(I138=0,0,(Upgrades!$M$10+I138*Upgrades!$N$10)*POWER(Upgrades!$O$10,I138)))*(IF(Upgrades!$T$6="Orbital Resonance",POWER(Upgrades!$U$6,E138),1)*IF(Upgrades!$T$7="Orbital Resonance",POWER(Upgrades!$U$7,F138),1)*IF(Upgrades!$T$8="Orbital Resonance",POWER(Upgrades!$U$8,G138),1)*IF(Upgrades!$T$9="Orbital Resonance",POWER(Upgrades!$U$9,H138),1)*IF(Upgrades!$T$11="Orbital Resonance",POWER(Upgrades!$U$11,J138),1)*IF(Upgrades!$T$12="Orbital Resonance",POWER(Upgrades!$U$12,K138),1))+(IF(J138=0,0,(Upgrades!$M$11+J138*Upgrades!$N$11)*POWER(Upgrades!$O$11,J138)))*(IF(Upgrades!$T$6="Heliopause",POWER(Upgrades!$U$6,E138),1)*IF(Upgrades!$T$7="Heliopause",POWER(Upgrades!$U$7,F138),1)*IF(Upgrades!$T$8="Heliopause",POWER(Upgrades!$U$8,G138),1)*IF(Upgrades!$T$9="Heliopause",POWER(Upgrades!$U$9,H138),1)*IF(Upgrades!$T$10="Heliopause",POWER(Upgrades!$U$10,I138),1)*IF(Upgrades!$T$12="Heliopause",POWER(Upgrades!$U$12,K138),1))+(IF(K138=0,0,(Upgrades!$M$12+K138*Upgrades!$N$12)*POWER(Upgrades!$O$12,K138)))*(IF(Upgrades!$T$6="First Photons",POWER(Upgrades!$U$6,E138),1)*IF(Upgrades!$T$7="First Photons",POWER(Upgrades!$U$7,F138),1)*IF(Upgrades!$T$8="First Photons",POWER(Upgrades!$U$8,G138),1)*IF(Upgrades!$T$9="First Photons",POWER(Upgrades!$U$9,H138),1)*IF(Upgrades!$T$10="First Photons",POWER(Upgrades!$U$10,I138),1)*IF(Upgrades!$T$11="First Photons",POWER(Upgrades!$U$11,J138),1)))*POWER(Upgrades!$R$6,E138)*POWER(Upgrades!$R$7,F138)*POWER(Upgrades!$R$8,G138)*POWER(Upgrades!$R$9,H138)*POWER(Upgrades!$R$10,I138)*POWER(Upgrades!$R$11,J138)*POWER(Upgrades!$R$12,K138)</f>
        <v>0</v>
      </c>
      <c r="P138" s="27" t="n">
        <f aca="false">IF(L138=1,0,M138*Parameters!$B$10/60*Parameters!$B$11*10)</f>
        <v>0</v>
      </c>
      <c r="Q138" s="27" t="n">
        <f aca="false">IF(L138=1,0,O138*M138*10)</f>
        <v>0</v>
      </c>
      <c r="R138" s="27" t="n">
        <f aca="false">IF(L138=1,0,N138*10)</f>
        <v>0</v>
      </c>
      <c r="S138" s="27" t="n">
        <f aca="false">P138+Q138+R138</f>
        <v>0</v>
      </c>
      <c r="T138" s="21" t="n">
        <f aca="false">C138+S138</f>
        <v>18.6730249835055</v>
      </c>
      <c r="U138" s="34" t="str">
        <f aca="false">AX138</f>
        <v/>
      </c>
      <c r="V138" s="21" t="n">
        <f aca="false">IF(U138="",0,IF(U138="transition",0,IF(U138="SW",AG138,IF(U138="AB",AH138,IF(U138="SC",AI138,IF(U138="Mag",AJ138,IF(U138="OR",AK138,IF(U138="HP",AL138,IF(U138="FP",AM138,0)))))))))</f>
        <v>0</v>
      </c>
      <c r="W138" s="27" t="n">
        <f aca="false">IF(U138="OR",Upgrades!$F$10,IF(U138="HP",Upgrades!$F$11,IF(U138="transition",-Parameters!$B$18,0)))</f>
        <v>0</v>
      </c>
      <c r="X138" s="21" t="n">
        <f aca="false">T138-V138</f>
        <v>18.6730249835055</v>
      </c>
      <c r="Y138" s="30" t="n">
        <f aca="false">M138*Parameters!$B$10/60*Parameters!$B$11+O138*M138+N138</f>
        <v>20.55</v>
      </c>
      <c r="Z138" s="35" t="str">
        <f aca="false">IF(U138="transition","→ Tier 2 (Stellar Neighborhood)",IF(U138="FP","First Photons — light begins, system quickens",IF(U138="HP","Heliopause acquired",IF(U138="OR","Orbital Resonance — passive multiplier active",IF(AND(AO138=1,L138=0,AN138&lt;&gt;1),"Cohesion ready (waiting on completionist upgrades)","")))))</f>
        <v/>
      </c>
      <c r="AA138" s="27" t="n">
        <f aca="false">(IF(E138=0,0,(Upgrades!$G$6+E138*Upgrades!$H$6)*POWER(Upgrades!$I$6,E138)))*(IF(Upgrades!$T$7="Solar Wind",POWER(Upgrades!$U$7,F138),1)*IF(Upgrades!$T$8="Solar Wind",POWER(Upgrades!$U$8,G138),1)*IF(Upgrades!$T$9="Solar Wind",POWER(Upgrades!$U$9,H138),1)*IF(Upgrades!$T$10="Solar Wind",POWER(Upgrades!$U$10,I138),1)*IF(Upgrades!$T$11="Solar Wind",POWER(Upgrades!$U$11,J138),1)*IF(Upgrades!$T$12="Solar Wind",POWER(Upgrades!$U$12,K138),1))*POWER(Upgrades!$P$6,E138)*POWER(Upgrades!$P$7,F138)*POWER(Upgrades!$P$8,G138)*POWER(Upgrades!$P$9,H138)*POWER(Upgrades!$P$10,I138)*POWER(Upgrades!$P$11,J138)*POWER(Upgrades!$P$12,K138)*60</f>
        <v>72</v>
      </c>
      <c r="AB138" s="27" t="n">
        <f aca="false">(IF(F138=0,0,(Upgrades!$G$7+F138*Upgrades!$H$7)*POWER(Upgrades!$I$7,F138)))*(IF(Upgrades!$T$6="Asteroid Belt",POWER(Upgrades!$U$6,E138),1)*IF(Upgrades!$T$8="Asteroid Belt",POWER(Upgrades!$U$8,G138),1)*IF(Upgrades!$T$9="Asteroid Belt",POWER(Upgrades!$U$9,H138),1)*IF(Upgrades!$T$10="Asteroid Belt",POWER(Upgrades!$U$10,I138),1)*IF(Upgrades!$T$11="Asteroid Belt",POWER(Upgrades!$U$11,J138),1)*IF(Upgrades!$T$12="Asteroid Belt",POWER(Upgrades!$U$12,K138),1))*POWER(Upgrades!$P$6,E138)*POWER(Upgrades!$P$7,F138)*POWER(Upgrades!$P$8,G138)*POWER(Upgrades!$P$9,H138)*POWER(Upgrades!$P$10,I138)*POWER(Upgrades!$P$11,J138)*POWER(Upgrades!$P$12,K138)*60</f>
        <v>150</v>
      </c>
      <c r="AC138" s="27" t="n">
        <f aca="false">(IF(G138=0,0,(Upgrades!$J$8+G138*Upgrades!$K$8)*POWER(Upgrades!$L$8,G138)))*(IF(Upgrades!$T$6="Stellar Coupling",POWER(Upgrades!$U$6,E138),1)*IF(Upgrades!$T$7="Stellar Coupling",POWER(Upgrades!$U$7,F138),1)*IF(Upgrades!$T$9="Stellar Coupling",POWER(Upgrades!$U$9,H138),1)*IF(Upgrades!$T$10="Stellar Coupling",POWER(Upgrades!$U$10,I138),1)*IF(Upgrades!$T$11="Stellar Coupling",POWER(Upgrades!$U$11,J138),1)*IF(Upgrades!$T$12="Stellar Coupling",POWER(Upgrades!$U$12,K138),1))*POWER(Upgrades!$Q$6,E138)*POWER(Upgrades!$Q$7,F138)*POWER(Upgrades!$Q$8,G138)*POWER(Upgrades!$Q$9,H138)*POWER(Upgrades!$Q$10,I138)*POWER(Upgrades!$Q$11,J138)*POWER(Upgrades!$Q$12,K138)*Parameters!$B$10*Parameters!$B$11</f>
        <v>441</v>
      </c>
      <c r="AD138" s="27" t="n">
        <f aca="false">(IF(H138=0,0,(Upgrades!$G$9+H138*Upgrades!$H$9)*POWER(Upgrades!$I$9,H138)))*(IF(Upgrades!$T$6="Magnetosphere",POWER(Upgrades!$U$6,E138),1)*IF(Upgrades!$T$7="Magnetosphere",POWER(Upgrades!$U$7,F138),1)*IF(Upgrades!$T$8="Magnetosphere",POWER(Upgrades!$U$8,G138),1)*IF(Upgrades!$T$10="Magnetosphere",POWER(Upgrades!$U$10,I138),1)*IF(Upgrades!$T$11="Magnetosphere",POWER(Upgrades!$U$11,J138),1)*IF(Upgrades!$T$12="Magnetosphere",POWER(Upgrades!$U$12,K138),1))*POWER(Upgrades!$P$6,E138)*POWER(Upgrades!$P$7,F138)*POWER(Upgrades!$P$8,G138)*POWER(Upgrades!$P$9,H138)*POWER(Upgrades!$P$10,I138)*POWER(Upgrades!$P$11,J138)*POWER(Upgrades!$P$12,K138)*60</f>
        <v>375</v>
      </c>
      <c r="AE138" s="27" t="n">
        <f aca="false">(IF(K138=0,0,(Upgrades!$G$12+K138*Upgrades!$H$12)*POWER(Upgrades!$I$12,K138)))*(IF(Upgrades!$T$6="First Photons",POWER(Upgrades!$U$6,E138),1)*IF(Upgrades!$T$7="First Photons",POWER(Upgrades!$U$7,F138),1)*IF(Upgrades!$T$8="First Photons",POWER(Upgrades!$U$8,G138),1)*IF(Upgrades!$T$9="First Photons",POWER(Upgrades!$U$9,H138),1)*IF(Upgrades!$T$10="First Photons",POWER(Upgrades!$U$10,I138),1)*IF(Upgrades!$T$11="First Photons",POWER(Upgrades!$U$11,J138),1))*POWER(Upgrades!$P$6,E138)*POWER(Upgrades!$P$7,F138)*POWER(Upgrades!$P$8,G138)*POWER(Upgrades!$P$9,H138)*POWER(Upgrades!$P$10,I138)*POWER(Upgrades!$P$11,J138)*POWER(Upgrades!$P$12,K138)*60</f>
        <v>75</v>
      </c>
      <c r="AF138" s="27" t="n">
        <f aca="false">Parameters!$B$9*POWER(Upgrades!$Q$6,E138)*POWER(Upgrades!$Q$7,F138)*POWER(Upgrades!$Q$8,G138)*POWER(Upgrades!$Q$9,H138)*POWER(Upgrades!$Q$10,I138)*POWER(Upgrades!$Q$11,J138)*POWER(Upgrades!$Q$12,K138)*(Parameters!$B$10*Parameters!$B$11+O138*60)</f>
        <v>120</v>
      </c>
      <c r="AG138" s="21" t="n">
        <f aca="false">IF(E138&gt;=Upgrades!$E$6,"",Upgrades!$C$6*POWER(Upgrades!$D$6,E138))</f>
        <v>37.4517507383159</v>
      </c>
      <c r="AH138" s="21" t="n">
        <f aca="false">IF(F138&gt;=Upgrades!$E$7,"",Upgrades!$C$7*POWER(Upgrades!$D$7,F138))</f>
        <v>80.9111547141581</v>
      </c>
      <c r="AI138" s="21" t="n">
        <f aca="false">IF(G138&gt;=Upgrades!$E$8,"",Upgrades!$C$8*POWER(Upgrades!$D$8,G138))</f>
        <v>231.9097088</v>
      </c>
      <c r="AJ138" s="21" t="str">
        <f aca="false">IF(H138&gt;=Upgrades!$E$9,"",Upgrades!$C$9*POWER(Upgrades!$D$9,H138))</f>
        <v/>
      </c>
      <c r="AK138" s="21" t="str">
        <f aca="false">IF(I138&gt;=Upgrades!$E$10,"",Upgrades!$C$10*POWER(Upgrades!$D$10,I138))</f>
        <v/>
      </c>
      <c r="AL138" s="21" t="str">
        <f aca="false">IF(J138&gt;=Upgrades!$E$11,"",Upgrades!$C$11*POWER(Upgrades!$D$11,J138))</f>
        <v/>
      </c>
      <c r="AM138" s="21" t="str">
        <f aca="false">IF(K138&gt;=Upgrades!$E$12,"",Upgrades!$C$12*POWER(Upgrades!$D$12,K138))</f>
        <v/>
      </c>
      <c r="AN138" s="26" t="str">
        <f aca="false">IF(AND(D138&gt;=Parameters!$B$18,(H138&gt;=Upgrades!$E$9)*(K138&gt;=Upgrades!$E$12)=1,L138=0),1,"")</f>
        <v/>
      </c>
      <c r="AO138" s="26" t="str">
        <f aca="false">IF(AND(D138&gt;=Parameters!$B$18,L138=0),1,"")</f>
        <v/>
      </c>
      <c r="AP138" s="21" t="n">
        <f aca="false">MIN(IF(ISNUMBER(AK138),AK138,9000000000000000),IF(ISNUMBER(AL138),AL138,9000000000000000),IF(ISNUMBER(AM138),AM138,9000000000000000))</f>
        <v>9000000000000000</v>
      </c>
      <c r="AQ138" s="21" t="n">
        <f aca="false">MIN(IF(ISNUMBER(AG138),AG138,9000000000000000),IF(ISNUMBER(AH138),AH138,9000000000000000),IF(ISNUMBER(AI138),AI138,9000000000000000),IF(ISNUMBER(AJ138),AJ138,9000000000000000))</f>
        <v>37.4517507383159</v>
      </c>
      <c r="AR138" s="32" t="b">
        <f aca="false">IF(AW138&gt;Parameters!$B$21*(MAX(IF(AND(NOT(AND(AO138=1,AN138&lt;&gt;1)),ISNUMBER(AG138),AG138&lt;=T138),AS138,0),IF(AND(NOT(AND(AO138=1,AN138&lt;&gt;1)),ISNUMBER(AH138),AH138&lt;=T138),AT138,0),IF(AND(NOT(AND(AO138=1,AN138&lt;&gt;1)),ISNUMBER(AI138),AI138&lt;=T138),AU138,0),IF(AND(ISNUMBER(AJ138),AJ138&lt;=T138),AV138,0))),TRUE(),FALSE())</f>
        <v>1</v>
      </c>
      <c r="AS138" s="33" t="n">
        <f aca="false">IFERROR(Upgrades!$H$6*(POWER(Upgrades!$P$6,E138)*POWER(Upgrades!$P$7,F138)*POWER(Upgrades!$P$8,G138)*POWER(Upgrades!$P$9,H138)*POWER(Upgrades!$P$10,I138)*POWER(Upgrades!$P$11,J138)*POWER(Upgrades!$P$12,K138))*(IF(Upgrades!$T$7="Solar Wind",POWER(Upgrades!$U$7,F138),1)*IF(Upgrades!$T$8="Solar Wind",POWER(Upgrades!$U$8,G138),1)*IF(Upgrades!$T$9="Solar Wind",POWER(Upgrades!$U$9,H138),1)*IF(Upgrades!$T$10="Solar Wind",POWER(Upgrades!$U$10,I138),1)*IF(Upgrades!$T$11="Solar Wind",POWER(Upgrades!$U$11,J138),1)*IF(Upgrades!$T$12="Solar Wind",POWER(Upgrades!$U$12,K138),1))/AG138,0)</f>
        <v>0.0026701021455238</v>
      </c>
      <c r="AT138" s="33" t="n">
        <f aca="false">IFERROR(Upgrades!$H$7*(POWER(Upgrades!$P$6,E138)*POWER(Upgrades!$P$7,F138)*POWER(Upgrades!$P$8,G138)*POWER(Upgrades!$P$9,H138)*POWER(Upgrades!$P$10,I138)*POWER(Upgrades!$P$11,J138)*POWER(Upgrades!$P$12,K138))*(IF(Upgrades!$T$6="Asteroid Belt",POWER(Upgrades!$U$6,E138),1)*IF(Upgrades!$T$8="Asteroid Belt",POWER(Upgrades!$U$8,G138),1)*IF(Upgrades!$T$9="Asteroid Belt",POWER(Upgrades!$U$9,H138),1)*IF(Upgrades!$T$10="Asteroid Belt",POWER(Upgrades!$U$10,I138),1)*IF(Upgrades!$T$11="Asteroid Belt",POWER(Upgrades!$U$11,J138),1)*IF(Upgrades!$T$12="Asteroid Belt",POWER(Upgrades!$U$12,K138),1))/AH138,0)</f>
        <v>0.00308980882652332</v>
      </c>
      <c r="AU138" s="33" t="n">
        <f aca="false">IFERROR(Upgrades!$K$8*(POWER(Upgrades!$Q$6,E138)*POWER(Upgrades!$Q$7,F138)*POWER(Upgrades!$Q$8,G138)*POWER(Upgrades!$Q$9,H138)*POWER(Upgrades!$Q$10,I138)*POWER(Upgrades!$Q$11,J138)*POWER(Upgrades!$Q$12,K138))*(IF(Upgrades!$T$6="Stellar Coupling",POWER(Upgrades!$U$6,E138),1)*IF(Upgrades!$T$7="Stellar Coupling",POWER(Upgrades!$U$7,F138),1)*IF(Upgrades!$T$9="Stellar Coupling",POWER(Upgrades!$U$9,H138),1)*IF(Upgrades!$T$10="Stellar Coupling",POWER(Upgrades!$U$10,I138),1)*IF(Upgrades!$T$11="Stellar Coupling",POWER(Upgrades!$U$11,J138),1)*IF(Upgrades!$T$12="Stellar Coupling",POWER(Upgrades!$U$12,K138),1))*Parameters!$B$10*Parameters!$B$11/60/AI138,0)</f>
        <v>0.00452762415783776</v>
      </c>
      <c r="AV138" s="33" t="n">
        <f aca="false">IFERROR(Upgrades!$H$9*(POWER(Upgrades!$P$6,E138)*POWER(Upgrades!$P$7,F138)*POWER(Upgrades!$P$8,G138)*POWER(Upgrades!$P$9,H138)*POWER(Upgrades!$P$10,I138)*POWER(Upgrades!$P$11,J138)*POWER(Upgrades!$P$12,K138))*(IF(Upgrades!$T$6="Magnetosphere",POWER(Upgrades!$U$6,E138),1)*IF(Upgrades!$T$7="Magnetosphere",POWER(Upgrades!$U$7,F138),1)*IF(Upgrades!$T$8="Magnetosphere",POWER(Upgrades!$U$8,G138),1)*IF(Upgrades!$T$10="Magnetosphere",POWER(Upgrades!$U$10,I138),1)*IF(Upgrades!$T$11="Magnetosphere",POWER(Upgrades!$U$11,J138),1)*IF(Upgrades!$T$12="Magnetosphere",POWER(Upgrades!$U$12,K138),1))/AJ138,0)</f>
        <v>0</v>
      </c>
      <c r="AW138" s="33" t="n">
        <f aca="false">MAX(IF(I138&gt;0,0,IFERROR(0.25*N138/Upgrades!$C$10,0)),IF(J138&gt;0,0,IFERROR(0.5*((IF(G138=0,0,(Upgrades!$J$8+G138*Upgrades!$K$8)*POWER(Upgrades!$L$8,G138)))*(IF(Upgrades!$T$6="Stellar Coupling",POWER(Upgrades!$U$6,E138),1)*IF(Upgrades!$T$7="Stellar Coupling",POWER(Upgrades!$U$7,F138),1)*IF(Upgrades!$T$9="Stellar Coupling",POWER(Upgrades!$U$9,H138),1)*IF(Upgrades!$T$10="Stellar Coupling",POWER(Upgrades!$U$10,I138),1)*IF(Upgrades!$T$11="Stellar Coupling",POWER(Upgrades!$U$11,J138),1)*IF(Upgrades!$T$12="Stellar Coupling",POWER(Upgrades!$U$12,K138),1))*(POWER(Upgrades!$Q$6,E138)*POWER(Upgrades!$Q$7,F138)*POWER(Upgrades!$Q$8,G138)*POWER(Upgrades!$Q$9,H138)*POWER(Upgrades!$Q$10,I138)*POWER(Upgrades!$Q$11,J138)*POWER(Upgrades!$Q$12,K138))*Parameters!$B$10*Parameters!$B$11/60)/Upgrades!$C$11,0)),IF(K138&gt;0,0,IFERROR((1*(POWER(Upgrades!$P$6,E138)*POWER(Upgrades!$P$7,F138)*POWER(Upgrades!$P$8,G138)*POWER(Upgrades!$P$9,H138)*POWER(Upgrades!$P$10,I138)*POWER(Upgrades!$P$11,J138)*POWER(Upgrades!$P$12,K138))+0.2*M138*Parameters!$B$10*Parameters!$B$11/60)/Upgrades!$C$12,0)),IF(AND(ISNUMBER(AG138),AG138&gt;T138),AS138,0),IF(AND(ISNUMBER(AH138),AH138&gt;T138),AT138,0),IF(AND(ISNUMBER(AI138),AI138&gt;T138),AU138,0),IF(AND(ISNUMBER(AJ138),AJ138&gt;T138),AV138,0))</f>
        <v>0.00452762415783776</v>
      </c>
      <c r="AX138" s="29" t="str">
        <f aca="false">IF(AN138=1,"transition",IF(MIN(IF(AND(I138=0,ISNUMBER(AK138),AK138&lt;=T138),AK138,9000000000000000),IF(AND(J138=0,ISNUMBER(AL138),AL138&lt;=T138),AL138,9000000000000000),IF(AND(K138=0,ISNUMBER(AM138),AM138&lt;=T138),AM138,9000000000000000))&lt;9000000000000000,IF(AND(AND(I138=0,ISNUMBER(AK138),AK138&lt;=T138),AK138=MIN(IF(AND(I138=0,ISNUMBER(AK138),AK138&lt;=T138),AK138,9000000000000000),IF(AND(J138=0,ISNUMBER(AL138),AL138&lt;=T138),AL138,9000000000000000),IF(AND(K138=0,ISNUMBER(AM138),AM138&lt;=T138),AM138,9000000000000000))),"OR",IF(AND(AND(J138=0,ISNUMBER(AL138),AL138&lt;=T138),AL138=MIN(IF(AND(I138=0,ISNUMBER(AK138),AK138&lt;=T138),AK138,9000000000000000),IF(AND(J138=0,ISNUMBER(AL138),AL138&lt;=T138),AL138,9000000000000000),IF(AND(K138=0,ISNUMBER(AM138),AM138&lt;=T138),AM138,9000000000000000))),"HP","FP")),IF(AR138=TRUE(),"",IF(MAX(IF(AND(NOT(AND(AO138=1,AN138&lt;&gt;1)),ISNUMBER(AG138),AG138&lt;=T138),AS138,0),IF(AND(NOT(AND(AO138=1,AN138&lt;&gt;1)),ISNUMBER(AH138),AH138&lt;=T138),AT138,0),IF(AND(NOT(AND(AO138=1,AN138&lt;&gt;1)),ISNUMBER(AI138),AI138&lt;=T138),AU138,0),IF(AND(ISNUMBER(AJ138),AJ138&lt;=T138),AV138,0))&lt;=0,"",IF(AND(IF(AND(NOT(AND(AO138=1,AN138&lt;&gt;1)),ISNUMBER(AG138),AG138&lt;=T138),AS138,0)&gt;0,IF(AND(NOT(AND(AO138=1,AN138&lt;&gt;1)),ISNUMBER(AG138),AG138&lt;=T138),AS138,0)=MAX(IF(AND(NOT(AND(AO138=1,AN138&lt;&gt;1)),ISNUMBER(AG138),AG138&lt;=T138),AS138,0),IF(AND(NOT(AND(AO138=1,AN138&lt;&gt;1)),ISNUMBER(AH138),AH138&lt;=T138),AT138,0),IF(AND(NOT(AND(AO138=1,AN138&lt;&gt;1)),ISNUMBER(AI138),AI138&lt;=T138),AU138,0),IF(AND(ISNUMBER(AJ138),AJ138&lt;=T138),AV138,0))),"SW",IF(AND(IF(AND(NOT(AND(AO138=1,AN138&lt;&gt;1)),ISNUMBER(AH138),AH138&lt;=T138),AT138,0)&gt;0,IF(AND(NOT(AND(AO138=1,AN138&lt;&gt;1)),ISNUMBER(AH138),AH138&lt;=T138),AT138,0)=MAX(IF(AND(NOT(AND(AO138=1,AN138&lt;&gt;1)),ISNUMBER(AG138),AG138&lt;=T138),AS138,0),IF(AND(NOT(AND(AO138=1,AN138&lt;&gt;1)),ISNUMBER(AH138),AH138&lt;=T138),AT138,0),IF(AND(NOT(AND(AO138=1,AN138&lt;&gt;1)),ISNUMBER(AI138),AI138&lt;=T138),AU138,0),IF(AND(ISNUMBER(AJ138),AJ138&lt;=T138),AV138,0))),"AB",IF(AND(IF(AND(NOT(AND(AO138=1,AN138&lt;&gt;1)),ISNUMBER(AI138),AI138&lt;=T138),AU138,0)&gt;0,IF(AND(NOT(AND(AO138=1,AN138&lt;&gt;1)),ISNUMBER(AI138),AI138&lt;=T138),AU138,0)=MAX(IF(AND(NOT(AND(AO138=1,AN138&lt;&gt;1)),ISNUMBER(AG138),AG138&lt;=T138),AS138,0),IF(AND(NOT(AND(AO138=1,AN138&lt;&gt;1)),ISNUMBER(AH138),AH138&lt;=T138),AT138,0),IF(AND(NOT(AND(AO138=1,AN138&lt;&gt;1)),ISNUMBER(AI138),AI138&lt;=T138),AU138,0),IF(AND(ISNUMBER(AJ138),AJ138&lt;=T138),AV138,0))),"SC","Mag")))))))</f>
        <v/>
      </c>
    </row>
    <row r="139" customFormat="false" ht="15" hidden="false" customHeight="false" outlineLevel="0" collapsed="false">
      <c r="A139" s="26" t="n">
        <v>134</v>
      </c>
      <c r="B139" s="27" t="n">
        <f aca="false">A139*10/60</f>
        <v>22.3333333333333</v>
      </c>
      <c r="C139" s="21" t="n">
        <f aca="false">X138</f>
        <v>18.6730249835055</v>
      </c>
      <c r="D139" s="27" t="n">
        <f aca="false">D138+W138</f>
        <v>0</v>
      </c>
      <c r="E139" s="26" t="n">
        <f aca="false">E138+IF(U138="SW",1,0)</f>
        <v>12</v>
      </c>
      <c r="F139" s="26" t="n">
        <f aca="false">F138+IF(U138="AB",1,0)</f>
        <v>10</v>
      </c>
      <c r="G139" s="26" t="n">
        <f aca="false">G138+IF(U138="SC",1,0)</f>
        <v>7</v>
      </c>
      <c r="H139" s="26" t="n">
        <f aca="false">H138+IF(U138="Mag",1,0)</f>
        <v>5</v>
      </c>
      <c r="I139" s="26" t="n">
        <f aca="false">MAX(I138,IF(U138="OR",1,0))</f>
        <v>1</v>
      </c>
      <c r="J139" s="26" t="n">
        <f aca="false">MAX(J138,IF(U138="HP",1,0))</f>
        <v>1</v>
      </c>
      <c r="K139" s="26" t="n">
        <f aca="false">MAX(K138,IF(U138="FP",1,0))</f>
        <v>1</v>
      </c>
      <c r="L139" s="26" t="n">
        <f aca="false">MAX(L138,IF(U138="transition",1,0))</f>
        <v>1</v>
      </c>
      <c r="M139" s="28" t="n">
        <f aca="false">(Parameters!$B$9+(IF(E139=0,0,(Upgrades!$J$6+E139*Upgrades!$K$6)*POWER(Upgrades!$L$6,E139)))*(IF(Upgrades!$T$7="Solar Wind",POWER(Upgrades!$U$7,F139),1)*IF(Upgrades!$T$8="Solar Wind",POWER(Upgrades!$U$8,G139),1)*IF(Upgrades!$T$9="Solar Wind",POWER(Upgrades!$U$9,H139),1)*IF(Upgrades!$T$10="Solar Wind",POWER(Upgrades!$U$10,I139),1)*IF(Upgrades!$T$11="Solar Wind",POWER(Upgrades!$U$11,J139),1)*IF(Upgrades!$T$12="Solar Wind",POWER(Upgrades!$U$12,K139),1))+(IF(F139=0,0,(Upgrades!$J$7+F139*Upgrades!$K$7)*POWER(Upgrades!$L$7,F139)))*(IF(Upgrades!$T$6="Asteroid Belt",POWER(Upgrades!$U$6,E139),1)*IF(Upgrades!$T$8="Asteroid Belt",POWER(Upgrades!$U$8,G139),1)*IF(Upgrades!$T$9="Asteroid Belt",POWER(Upgrades!$U$9,H139),1)*IF(Upgrades!$T$10="Asteroid Belt",POWER(Upgrades!$U$10,I139),1)*IF(Upgrades!$T$11="Asteroid Belt",POWER(Upgrades!$U$11,J139),1)*IF(Upgrades!$T$12="Asteroid Belt",POWER(Upgrades!$U$12,K139),1))+(IF(G139=0,0,(Upgrades!$J$8+G139*Upgrades!$K$8)*POWER(Upgrades!$L$8,G139)))*(IF(Upgrades!$T$6="Stellar Coupling",POWER(Upgrades!$U$6,E139),1)*IF(Upgrades!$T$7="Stellar Coupling",POWER(Upgrades!$U$7,F139),1)*IF(Upgrades!$T$9="Stellar Coupling",POWER(Upgrades!$U$9,H139),1)*IF(Upgrades!$T$10="Stellar Coupling",POWER(Upgrades!$U$10,I139),1)*IF(Upgrades!$T$11="Stellar Coupling",POWER(Upgrades!$U$11,J139),1)*IF(Upgrades!$T$12="Stellar Coupling",POWER(Upgrades!$U$12,K139),1))+(IF(H139=0,0,(Upgrades!$J$9+H139*Upgrades!$K$9)*POWER(Upgrades!$L$9,H139)))*(IF(Upgrades!$T$6="Magnetosphere",POWER(Upgrades!$U$6,E139),1)*IF(Upgrades!$T$7="Magnetosphere",POWER(Upgrades!$U$7,F139),1)*IF(Upgrades!$T$8="Magnetosphere",POWER(Upgrades!$U$8,G139),1)*IF(Upgrades!$T$10="Magnetosphere",POWER(Upgrades!$U$10,I139),1)*IF(Upgrades!$T$11="Magnetosphere",POWER(Upgrades!$U$11,J139),1)*IF(Upgrades!$T$12="Magnetosphere",POWER(Upgrades!$U$12,K139),1))+(IF(I139=0,0,(Upgrades!$J$10+I139*Upgrades!$K$10)*POWER(Upgrades!$L$10,I139)))*(IF(Upgrades!$T$6="Orbital Resonance",POWER(Upgrades!$U$6,E139),1)*IF(Upgrades!$T$7="Orbital Resonance",POWER(Upgrades!$U$7,F139),1)*IF(Upgrades!$T$8="Orbital Resonance",POWER(Upgrades!$U$8,G139),1)*IF(Upgrades!$T$9="Orbital Resonance",POWER(Upgrades!$U$9,H139),1)*IF(Upgrades!$T$11="Orbital Resonance",POWER(Upgrades!$U$11,J139),1)*IF(Upgrades!$T$12="Orbital Resonance",POWER(Upgrades!$U$12,K139),1))+(IF(J139=0,0,(Upgrades!$J$11+J139*Upgrades!$K$11)*POWER(Upgrades!$L$11,J139)))*(IF(Upgrades!$T$6="Heliopause",POWER(Upgrades!$U$6,E139),1)*IF(Upgrades!$T$7="Heliopause",POWER(Upgrades!$U$7,F139),1)*IF(Upgrades!$T$8="Heliopause",POWER(Upgrades!$U$8,G139),1)*IF(Upgrades!$T$9="Heliopause",POWER(Upgrades!$U$9,H139),1)*IF(Upgrades!$T$10="Heliopause",POWER(Upgrades!$U$10,I139),1)*IF(Upgrades!$T$12="Heliopause",POWER(Upgrades!$U$12,K139),1))+(IF(K139=0,0,(Upgrades!$J$12+K139*Upgrades!$K$12)*POWER(Upgrades!$L$12,K139)))*(IF(Upgrades!$T$6="First Photons",POWER(Upgrades!$U$6,E139),1)*IF(Upgrades!$T$7="First Photons",POWER(Upgrades!$U$7,F139),1)*IF(Upgrades!$T$8="First Photons",POWER(Upgrades!$U$8,G139),1)*IF(Upgrades!$T$9="First Photons",POWER(Upgrades!$U$9,H139),1)*IF(Upgrades!$T$10="First Photons",POWER(Upgrades!$U$10,I139),1)*IF(Upgrades!$T$11="First Photons",POWER(Upgrades!$U$11,J139),1)))*POWER(Upgrades!$Q$6,E139)*POWER(Upgrades!$Q$7,F139)*POWER(Upgrades!$Q$8,G139)*POWER(Upgrades!$Q$9,H139)*POWER(Upgrades!$Q$10,I139)*POWER(Upgrades!$Q$11,J139)*POWER(Upgrades!$Q$12,K139)</f>
        <v>5.61</v>
      </c>
      <c r="N139" s="28" t="n">
        <f aca="false">((IF(E139=0,0,(Upgrades!$G$6+E139*Upgrades!$H$6)*POWER(Upgrades!$I$6,E139)))*(IF(Upgrades!$T$7="Solar Wind",POWER(Upgrades!$U$7,F139),1)*IF(Upgrades!$T$8="Solar Wind",POWER(Upgrades!$U$8,G139),1)*IF(Upgrades!$T$9="Solar Wind",POWER(Upgrades!$U$9,H139),1)*IF(Upgrades!$T$10="Solar Wind",POWER(Upgrades!$U$10,I139),1)*IF(Upgrades!$T$11="Solar Wind",POWER(Upgrades!$U$11,J139),1)*IF(Upgrades!$T$12="Solar Wind",POWER(Upgrades!$U$12,K139),1))+(IF(F139=0,0,(Upgrades!$G$7+F139*Upgrades!$H$7)*POWER(Upgrades!$I$7,F139)))*(IF(Upgrades!$T$6="Asteroid Belt",POWER(Upgrades!$U$6,E139),1)*IF(Upgrades!$T$8="Asteroid Belt",POWER(Upgrades!$U$8,G139),1)*IF(Upgrades!$T$9="Asteroid Belt",POWER(Upgrades!$U$9,H139),1)*IF(Upgrades!$T$10="Asteroid Belt",POWER(Upgrades!$U$10,I139),1)*IF(Upgrades!$T$11="Asteroid Belt",POWER(Upgrades!$U$11,J139),1)*IF(Upgrades!$T$12="Asteroid Belt",POWER(Upgrades!$U$12,K139),1))+(IF(G139=0,0,(Upgrades!$G$8+G139*Upgrades!$H$8)*POWER(Upgrades!$I$8,G139)))*(IF(Upgrades!$T$6="Stellar Coupling",POWER(Upgrades!$U$6,E139),1)*IF(Upgrades!$T$7="Stellar Coupling",POWER(Upgrades!$U$7,F139),1)*IF(Upgrades!$T$9="Stellar Coupling",POWER(Upgrades!$U$9,H139),1)*IF(Upgrades!$T$10="Stellar Coupling",POWER(Upgrades!$U$10,I139),1)*IF(Upgrades!$T$11="Stellar Coupling",POWER(Upgrades!$U$11,J139),1)*IF(Upgrades!$T$12="Stellar Coupling",POWER(Upgrades!$U$12,K139),1))+(IF(H139=0,0,(Upgrades!$G$9+H139*Upgrades!$H$9)*POWER(Upgrades!$I$9,H139)))*(IF(Upgrades!$T$6="Magnetosphere",POWER(Upgrades!$U$6,E139),1)*IF(Upgrades!$T$7="Magnetosphere",POWER(Upgrades!$U$7,F139),1)*IF(Upgrades!$T$8="Magnetosphere",POWER(Upgrades!$U$8,G139),1)*IF(Upgrades!$T$10="Magnetosphere",POWER(Upgrades!$U$10,I139),1)*IF(Upgrades!$T$11="Magnetosphere",POWER(Upgrades!$U$11,J139),1)*IF(Upgrades!$T$12="Magnetosphere",POWER(Upgrades!$U$12,K139),1))+(IF(I139=0,0,(Upgrades!$G$10+I139*Upgrades!$H$10)*POWER(Upgrades!$I$10,I139)))*(IF(Upgrades!$T$6="Orbital Resonance",POWER(Upgrades!$U$6,E139),1)*IF(Upgrades!$T$7="Orbital Resonance",POWER(Upgrades!$U$7,F139),1)*IF(Upgrades!$T$8="Orbital Resonance",POWER(Upgrades!$U$8,G139),1)*IF(Upgrades!$T$9="Orbital Resonance",POWER(Upgrades!$U$9,H139),1)*IF(Upgrades!$T$11="Orbital Resonance",POWER(Upgrades!$U$11,J139),1)*IF(Upgrades!$T$12="Orbital Resonance",POWER(Upgrades!$U$12,K139),1))+(IF(J139=0,0,(Upgrades!$G$11+J139*Upgrades!$H$11)*POWER(Upgrades!$I$11,J139)))*(IF(Upgrades!$T$6="Heliopause",POWER(Upgrades!$U$6,E139),1)*IF(Upgrades!$T$7="Heliopause",POWER(Upgrades!$U$7,F139),1)*IF(Upgrades!$T$8="Heliopause",POWER(Upgrades!$U$8,G139),1)*IF(Upgrades!$T$9="Heliopause",POWER(Upgrades!$U$9,H139),1)*IF(Upgrades!$T$10="Heliopause",POWER(Upgrades!$U$10,I139),1)*IF(Upgrades!$T$12="Heliopause",POWER(Upgrades!$U$12,K139),1))+(IF(K139=0,0,(Upgrades!$G$12+K139*Upgrades!$H$12)*POWER(Upgrades!$I$12,K139)))*(IF(Upgrades!$T$6="First Photons",POWER(Upgrades!$U$6,E139),1)*IF(Upgrades!$T$7="First Photons",POWER(Upgrades!$U$7,F139),1)*IF(Upgrades!$T$8="First Photons",POWER(Upgrades!$U$8,G139),1)*IF(Upgrades!$T$9="First Photons",POWER(Upgrades!$U$9,H139),1)*IF(Upgrades!$T$10="First Photons",POWER(Upgrades!$U$10,I139),1)*IF(Upgrades!$T$11="First Photons",POWER(Upgrades!$U$11,J139),1)))*POWER(Upgrades!$P$6,E139)*POWER(Upgrades!$P$7,F139)*POWER(Upgrades!$P$8,G139)*POWER(Upgrades!$P$9,H139)*POWER(Upgrades!$P$10,I139)*POWER(Upgrades!$P$11,J139)*POWER(Upgrades!$P$12,K139)</f>
        <v>11.2</v>
      </c>
      <c r="O139" s="28" t="n">
        <f aca="false">((IF(E139=0,0,(Upgrades!$M$6+E139*Upgrades!$N$6)*POWER(Upgrades!$O$6,E139)))*(IF(Upgrades!$T$7="Solar Wind",POWER(Upgrades!$U$7,F139),1)*IF(Upgrades!$T$8="Solar Wind",POWER(Upgrades!$U$8,G139),1)*IF(Upgrades!$T$9="Solar Wind",POWER(Upgrades!$U$9,H139),1)*IF(Upgrades!$T$10="Solar Wind",POWER(Upgrades!$U$10,I139),1)*IF(Upgrades!$T$11="Solar Wind",POWER(Upgrades!$U$11,J139),1)*IF(Upgrades!$T$12="Solar Wind",POWER(Upgrades!$U$12,K139),1))+(IF(F139=0,0,(Upgrades!$M$7+F139*Upgrades!$N$7)*POWER(Upgrades!$O$7,F139)))*(IF(Upgrades!$T$6="Asteroid Belt",POWER(Upgrades!$U$6,E139),1)*IF(Upgrades!$T$8="Asteroid Belt",POWER(Upgrades!$U$8,G139),1)*IF(Upgrades!$T$9="Asteroid Belt",POWER(Upgrades!$U$9,H139),1)*IF(Upgrades!$T$10="Asteroid Belt",POWER(Upgrades!$U$10,I139),1)*IF(Upgrades!$T$11="Asteroid Belt",POWER(Upgrades!$U$11,J139),1)*IF(Upgrades!$T$12="Asteroid Belt",POWER(Upgrades!$U$12,K139),1))+(IF(G139=0,0,(Upgrades!$M$8+G139*Upgrades!$N$8)*POWER(Upgrades!$O$8,G139)))*(IF(Upgrades!$T$6="Stellar Coupling",POWER(Upgrades!$U$6,E139),1)*IF(Upgrades!$T$7="Stellar Coupling",POWER(Upgrades!$U$7,F139),1)*IF(Upgrades!$T$9="Stellar Coupling",POWER(Upgrades!$U$9,H139),1)*IF(Upgrades!$T$10="Stellar Coupling",POWER(Upgrades!$U$10,I139),1)*IF(Upgrades!$T$11="Stellar Coupling",POWER(Upgrades!$U$11,J139),1)*IF(Upgrades!$T$12="Stellar Coupling",POWER(Upgrades!$U$12,K139),1))+(IF(H139=0,0,(Upgrades!$M$9+H139*Upgrades!$N$9)*POWER(Upgrades!$O$9,H139)))*(IF(Upgrades!$T$6="Magnetosphere",POWER(Upgrades!$U$6,E139),1)*IF(Upgrades!$T$7="Magnetosphere",POWER(Upgrades!$U$7,F139),1)*IF(Upgrades!$T$8="Magnetosphere",POWER(Upgrades!$U$8,G139),1)*IF(Upgrades!$T$10="Magnetosphere",POWER(Upgrades!$U$10,I139),1)*IF(Upgrades!$T$11="Magnetosphere",POWER(Upgrades!$U$11,J139),1)*IF(Upgrades!$T$12="Magnetosphere",POWER(Upgrades!$U$12,K139),1))+(IF(I139=0,0,(Upgrades!$M$10+I139*Upgrades!$N$10)*POWER(Upgrades!$O$10,I139)))*(IF(Upgrades!$T$6="Orbital Resonance",POWER(Upgrades!$U$6,E139),1)*IF(Upgrades!$T$7="Orbital Resonance",POWER(Upgrades!$U$7,F139),1)*IF(Upgrades!$T$8="Orbital Resonance",POWER(Upgrades!$U$8,G139),1)*IF(Upgrades!$T$9="Orbital Resonance",POWER(Upgrades!$U$9,H139),1)*IF(Upgrades!$T$11="Orbital Resonance",POWER(Upgrades!$U$11,J139),1)*IF(Upgrades!$T$12="Orbital Resonance",POWER(Upgrades!$U$12,K139),1))+(IF(J139=0,0,(Upgrades!$M$11+J139*Upgrades!$N$11)*POWER(Upgrades!$O$11,J139)))*(IF(Upgrades!$T$6="Heliopause",POWER(Upgrades!$U$6,E139),1)*IF(Upgrades!$T$7="Heliopause",POWER(Upgrades!$U$7,F139),1)*IF(Upgrades!$T$8="Heliopause",POWER(Upgrades!$U$8,G139),1)*IF(Upgrades!$T$9="Heliopause",POWER(Upgrades!$U$9,H139),1)*IF(Upgrades!$T$10="Heliopause",POWER(Upgrades!$U$10,I139),1)*IF(Upgrades!$T$12="Heliopause",POWER(Upgrades!$U$12,K139),1))+(IF(K139=0,0,(Upgrades!$M$12+K139*Upgrades!$N$12)*POWER(Upgrades!$O$12,K139)))*(IF(Upgrades!$T$6="First Photons",POWER(Upgrades!$U$6,E139),1)*IF(Upgrades!$T$7="First Photons",POWER(Upgrades!$U$7,F139),1)*IF(Upgrades!$T$8="First Photons",POWER(Upgrades!$U$8,G139),1)*IF(Upgrades!$T$9="First Photons",POWER(Upgrades!$U$9,H139),1)*IF(Upgrades!$T$10="First Photons",POWER(Upgrades!$U$10,I139),1)*IF(Upgrades!$T$11="First Photons",POWER(Upgrades!$U$11,J139),1)))*POWER(Upgrades!$R$6,E139)*POWER(Upgrades!$R$7,F139)*POWER(Upgrades!$R$8,G139)*POWER(Upgrades!$R$9,H139)*POWER(Upgrades!$R$10,I139)*POWER(Upgrades!$R$11,J139)*POWER(Upgrades!$R$12,K139)</f>
        <v>0</v>
      </c>
      <c r="P139" s="27" t="n">
        <f aca="false">IF(L139=1,0,M139*Parameters!$B$10/60*Parameters!$B$11*10)</f>
        <v>0</v>
      </c>
      <c r="Q139" s="27" t="n">
        <f aca="false">IF(L139=1,0,O139*M139*10)</f>
        <v>0</v>
      </c>
      <c r="R139" s="27" t="n">
        <f aca="false">IF(L139=1,0,N139*10)</f>
        <v>0</v>
      </c>
      <c r="S139" s="27" t="n">
        <f aca="false">P139+Q139+R139</f>
        <v>0</v>
      </c>
      <c r="T139" s="21" t="n">
        <f aca="false">C139+S139</f>
        <v>18.6730249835055</v>
      </c>
      <c r="U139" s="34" t="str">
        <f aca="false">AX139</f>
        <v/>
      </c>
      <c r="V139" s="21" t="n">
        <f aca="false">IF(U139="",0,IF(U139="transition",0,IF(U139="SW",AG139,IF(U139="AB",AH139,IF(U139="SC",AI139,IF(U139="Mag",AJ139,IF(U139="OR",AK139,IF(U139="HP",AL139,IF(U139="FP",AM139,0)))))))))</f>
        <v>0</v>
      </c>
      <c r="W139" s="27" t="n">
        <f aca="false">IF(U139="OR",Upgrades!$F$10,IF(U139="HP",Upgrades!$F$11,IF(U139="transition",-Parameters!$B$18,0)))</f>
        <v>0</v>
      </c>
      <c r="X139" s="21" t="n">
        <f aca="false">T139-V139</f>
        <v>18.6730249835055</v>
      </c>
      <c r="Y139" s="30" t="n">
        <f aca="false">M139*Parameters!$B$10/60*Parameters!$B$11+O139*M139+N139</f>
        <v>20.55</v>
      </c>
      <c r="Z139" s="35" t="str">
        <f aca="false">IF(U139="transition","→ Tier 2 (Stellar Neighborhood)",IF(U139="FP","First Photons — light begins, system quickens",IF(U139="HP","Heliopause acquired",IF(U139="OR","Orbital Resonance — passive multiplier active",IF(AND(AO139=1,L139=0,AN139&lt;&gt;1),"Cohesion ready (waiting on completionist upgrades)","")))))</f>
        <v/>
      </c>
      <c r="AA139" s="27" t="n">
        <f aca="false">(IF(E139=0,0,(Upgrades!$G$6+E139*Upgrades!$H$6)*POWER(Upgrades!$I$6,E139)))*(IF(Upgrades!$T$7="Solar Wind",POWER(Upgrades!$U$7,F139),1)*IF(Upgrades!$T$8="Solar Wind",POWER(Upgrades!$U$8,G139),1)*IF(Upgrades!$T$9="Solar Wind",POWER(Upgrades!$U$9,H139),1)*IF(Upgrades!$T$10="Solar Wind",POWER(Upgrades!$U$10,I139),1)*IF(Upgrades!$T$11="Solar Wind",POWER(Upgrades!$U$11,J139),1)*IF(Upgrades!$T$12="Solar Wind",POWER(Upgrades!$U$12,K139),1))*POWER(Upgrades!$P$6,E139)*POWER(Upgrades!$P$7,F139)*POWER(Upgrades!$P$8,G139)*POWER(Upgrades!$P$9,H139)*POWER(Upgrades!$P$10,I139)*POWER(Upgrades!$P$11,J139)*POWER(Upgrades!$P$12,K139)*60</f>
        <v>72</v>
      </c>
      <c r="AB139" s="27" t="n">
        <f aca="false">(IF(F139=0,0,(Upgrades!$G$7+F139*Upgrades!$H$7)*POWER(Upgrades!$I$7,F139)))*(IF(Upgrades!$T$6="Asteroid Belt",POWER(Upgrades!$U$6,E139),1)*IF(Upgrades!$T$8="Asteroid Belt",POWER(Upgrades!$U$8,G139),1)*IF(Upgrades!$T$9="Asteroid Belt",POWER(Upgrades!$U$9,H139),1)*IF(Upgrades!$T$10="Asteroid Belt",POWER(Upgrades!$U$10,I139),1)*IF(Upgrades!$T$11="Asteroid Belt",POWER(Upgrades!$U$11,J139),1)*IF(Upgrades!$T$12="Asteroid Belt",POWER(Upgrades!$U$12,K139),1))*POWER(Upgrades!$P$6,E139)*POWER(Upgrades!$P$7,F139)*POWER(Upgrades!$P$8,G139)*POWER(Upgrades!$P$9,H139)*POWER(Upgrades!$P$10,I139)*POWER(Upgrades!$P$11,J139)*POWER(Upgrades!$P$12,K139)*60</f>
        <v>150</v>
      </c>
      <c r="AC139" s="27" t="n">
        <f aca="false">(IF(G139=0,0,(Upgrades!$J$8+G139*Upgrades!$K$8)*POWER(Upgrades!$L$8,G139)))*(IF(Upgrades!$T$6="Stellar Coupling",POWER(Upgrades!$U$6,E139),1)*IF(Upgrades!$T$7="Stellar Coupling",POWER(Upgrades!$U$7,F139),1)*IF(Upgrades!$T$9="Stellar Coupling",POWER(Upgrades!$U$9,H139),1)*IF(Upgrades!$T$10="Stellar Coupling",POWER(Upgrades!$U$10,I139),1)*IF(Upgrades!$T$11="Stellar Coupling",POWER(Upgrades!$U$11,J139),1)*IF(Upgrades!$T$12="Stellar Coupling",POWER(Upgrades!$U$12,K139),1))*POWER(Upgrades!$Q$6,E139)*POWER(Upgrades!$Q$7,F139)*POWER(Upgrades!$Q$8,G139)*POWER(Upgrades!$Q$9,H139)*POWER(Upgrades!$Q$10,I139)*POWER(Upgrades!$Q$11,J139)*POWER(Upgrades!$Q$12,K139)*Parameters!$B$10*Parameters!$B$11</f>
        <v>441</v>
      </c>
      <c r="AD139" s="27" t="n">
        <f aca="false">(IF(H139=0,0,(Upgrades!$G$9+H139*Upgrades!$H$9)*POWER(Upgrades!$I$9,H139)))*(IF(Upgrades!$T$6="Magnetosphere",POWER(Upgrades!$U$6,E139),1)*IF(Upgrades!$T$7="Magnetosphere",POWER(Upgrades!$U$7,F139),1)*IF(Upgrades!$T$8="Magnetosphere",POWER(Upgrades!$U$8,G139),1)*IF(Upgrades!$T$10="Magnetosphere",POWER(Upgrades!$U$10,I139),1)*IF(Upgrades!$T$11="Magnetosphere",POWER(Upgrades!$U$11,J139),1)*IF(Upgrades!$T$12="Magnetosphere",POWER(Upgrades!$U$12,K139),1))*POWER(Upgrades!$P$6,E139)*POWER(Upgrades!$P$7,F139)*POWER(Upgrades!$P$8,G139)*POWER(Upgrades!$P$9,H139)*POWER(Upgrades!$P$10,I139)*POWER(Upgrades!$P$11,J139)*POWER(Upgrades!$P$12,K139)*60</f>
        <v>375</v>
      </c>
      <c r="AE139" s="27" t="n">
        <f aca="false">(IF(K139=0,0,(Upgrades!$G$12+K139*Upgrades!$H$12)*POWER(Upgrades!$I$12,K139)))*(IF(Upgrades!$T$6="First Photons",POWER(Upgrades!$U$6,E139),1)*IF(Upgrades!$T$7="First Photons",POWER(Upgrades!$U$7,F139),1)*IF(Upgrades!$T$8="First Photons",POWER(Upgrades!$U$8,G139),1)*IF(Upgrades!$T$9="First Photons",POWER(Upgrades!$U$9,H139),1)*IF(Upgrades!$T$10="First Photons",POWER(Upgrades!$U$10,I139),1)*IF(Upgrades!$T$11="First Photons",POWER(Upgrades!$U$11,J139),1))*POWER(Upgrades!$P$6,E139)*POWER(Upgrades!$P$7,F139)*POWER(Upgrades!$P$8,G139)*POWER(Upgrades!$P$9,H139)*POWER(Upgrades!$P$10,I139)*POWER(Upgrades!$P$11,J139)*POWER(Upgrades!$P$12,K139)*60</f>
        <v>75</v>
      </c>
      <c r="AF139" s="27" t="n">
        <f aca="false">Parameters!$B$9*POWER(Upgrades!$Q$6,E139)*POWER(Upgrades!$Q$7,F139)*POWER(Upgrades!$Q$8,G139)*POWER(Upgrades!$Q$9,H139)*POWER(Upgrades!$Q$10,I139)*POWER(Upgrades!$Q$11,J139)*POWER(Upgrades!$Q$12,K139)*(Parameters!$B$10*Parameters!$B$11+O139*60)</f>
        <v>120</v>
      </c>
      <c r="AG139" s="21" t="n">
        <f aca="false">IF(E139&gt;=Upgrades!$E$6,"",Upgrades!$C$6*POWER(Upgrades!$D$6,E139))</f>
        <v>37.4517507383159</v>
      </c>
      <c r="AH139" s="21" t="n">
        <f aca="false">IF(F139&gt;=Upgrades!$E$7,"",Upgrades!$C$7*POWER(Upgrades!$D$7,F139))</f>
        <v>80.9111547141581</v>
      </c>
      <c r="AI139" s="21" t="n">
        <f aca="false">IF(G139&gt;=Upgrades!$E$8,"",Upgrades!$C$8*POWER(Upgrades!$D$8,G139))</f>
        <v>231.9097088</v>
      </c>
      <c r="AJ139" s="21" t="str">
        <f aca="false">IF(H139&gt;=Upgrades!$E$9,"",Upgrades!$C$9*POWER(Upgrades!$D$9,H139))</f>
        <v/>
      </c>
      <c r="AK139" s="21" t="str">
        <f aca="false">IF(I139&gt;=Upgrades!$E$10,"",Upgrades!$C$10*POWER(Upgrades!$D$10,I139))</f>
        <v/>
      </c>
      <c r="AL139" s="21" t="str">
        <f aca="false">IF(J139&gt;=Upgrades!$E$11,"",Upgrades!$C$11*POWER(Upgrades!$D$11,J139))</f>
        <v/>
      </c>
      <c r="AM139" s="21" t="str">
        <f aca="false">IF(K139&gt;=Upgrades!$E$12,"",Upgrades!$C$12*POWER(Upgrades!$D$12,K139))</f>
        <v/>
      </c>
      <c r="AN139" s="26" t="str">
        <f aca="false">IF(AND(D139&gt;=Parameters!$B$18,(H139&gt;=Upgrades!$E$9)*(K139&gt;=Upgrades!$E$12)=1,L139=0),1,"")</f>
        <v/>
      </c>
      <c r="AO139" s="26" t="str">
        <f aca="false">IF(AND(D139&gt;=Parameters!$B$18,L139=0),1,"")</f>
        <v/>
      </c>
      <c r="AP139" s="21" t="n">
        <f aca="false">MIN(IF(ISNUMBER(AK139),AK139,9000000000000000),IF(ISNUMBER(AL139),AL139,9000000000000000),IF(ISNUMBER(AM139),AM139,9000000000000000))</f>
        <v>9000000000000000</v>
      </c>
      <c r="AQ139" s="21" t="n">
        <f aca="false">MIN(IF(ISNUMBER(AG139),AG139,9000000000000000),IF(ISNUMBER(AH139),AH139,9000000000000000),IF(ISNUMBER(AI139),AI139,9000000000000000),IF(ISNUMBER(AJ139),AJ139,9000000000000000))</f>
        <v>37.4517507383159</v>
      </c>
      <c r="AR139" s="32" t="b">
        <f aca="false">IF(AW139&gt;Parameters!$B$21*(MAX(IF(AND(NOT(AND(AO139=1,AN139&lt;&gt;1)),ISNUMBER(AG139),AG139&lt;=T139),AS139,0),IF(AND(NOT(AND(AO139=1,AN139&lt;&gt;1)),ISNUMBER(AH139),AH139&lt;=T139),AT139,0),IF(AND(NOT(AND(AO139=1,AN139&lt;&gt;1)),ISNUMBER(AI139),AI139&lt;=T139),AU139,0),IF(AND(ISNUMBER(AJ139),AJ139&lt;=T139),AV139,0))),TRUE(),FALSE())</f>
        <v>1</v>
      </c>
      <c r="AS139" s="33" t="n">
        <f aca="false">IFERROR(Upgrades!$H$6*(POWER(Upgrades!$P$6,E139)*POWER(Upgrades!$P$7,F139)*POWER(Upgrades!$P$8,G139)*POWER(Upgrades!$P$9,H139)*POWER(Upgrades!$P$10,I139)*POWER(Upgrades!$P$11,J139)*POWER(Upgrades!$P$12,K139))*(IF(Upgrades!$T$7="Solar Wind",POWER(Upgrades!$U$7,F139),1)*IF(Upgrades!$T$8="Solar Wind",POWER(Upgrades!$U$8,G139),1)*IF(Upgrades!$T$9="Solar Wind",POWER(Upgrades!$U$9,H139),1)*IF(Upgrades!$T$10="Solar Wind",POWER(Upgrades!$U$10,I139),1)*IF(Upgrades!$T$11="Solar Wind",POWER(Upgrades!$U$11,J139),1)*IF(Upgrades!$T$12="Solar Wind",POWER(Upgrades!$U$12,K139),1))/AG139,0)</f>
        <v>0.0026701021455238</v>
      </c>
      <c r="AT139" s="33" t="n">
        <f aca="false">IFERROR(Upgrades!$H$7*(POWER(Upgrades!$P$6,E139)*POWER(Upgrades!$P$7,F139)*POWER(Upgrades!$P$8,G139)*POWER(Upgrades!$P$9,H139)*POWER(Upgrades!$P$10,I139)*POWER(Upgrades!$P$11,J139)*POWER(Upgrades!$P$12,K139))*(IF(Upgrades!$T$6="Asteroid Belt",POWER(Upgrades!$U$6,E139),1)*IF(Upgrades!$T$8="Asteroid Belt",POWER(Upgrades!$U$8,G139),1)*IF(Upgrades!$T$9="Asteroid Belt",POWER(Upgrades!$U$9,H139),1)*IF(Upgrades!$T$10="Asteroid Belt",POWER(Upgrades!$U$10,I139),1)*IF(Upgrades!$T$11="Asteroid Belt",POWER(Upgrades!$U$11,J139),1)*IF(Upgrades!$T$12="Asteroid Belt",POWER(Upgrades!$U$12,K139),1))/AH139,0)</f>
        <v>0.00308980882652332</v>
      </c>
      <c r="AU139" s="33" t="n">
        <f aca="false">IFERROR(Upgrades!$K$8*(POWER(Upgrades!$Q$6,E139)*POWER(Upgrades!$Q$7,F139)*POWER(Upgrades!$Q$8,G139)*POWER(Upgrades!$Q$9,H139)*POWER(Upgrades!$Q$10,I139)*POWER(Upgrades!$Q$11,J139)*POWER(Upgrades!$Q$12,K139))*(IF(Upgrades!$T$6="Stellar Coupling",POWER(Upgrades!$U$6,E139),1)*IF(Upgrades!$T$7="Stellar Coupling",POWER(Upgrades!$U$7,F139),1)*IF(Upgrades!$T$9="Stellar Coupling",POWER(Upgrades!$U$9,H139),1)*IF(Upgrades!$T$10="Stellar Coupling",POWER(Upgrades!$U$10,I139),1)*IF(Upgrades!$T$11="Stellar Coupling",POWER(Upgrades!$U$11,J139),1)*IF(Upgrades!$T$12="Stellar Coupling",POWER(Upgrades!$U$12,K139),1))*Parameters!$B$10*Parameters!$B$11/60/AI139,0)</f>
        <v>0.00452762415783776</v>
      </c>
      <c r="AV139" s="33" t="n">
        <f aca="false">IFERROR(Upgrades!$H$9*(POWER(Upgrades!$P$6,E139)*POWER(Upgrades!$P$7,F139)*POWER(Upgrades!$P$8,G139)*POWER(Upgrades!$P$9,H139)*POWER(Upgrades!$P$10,I139)*POWER(Upgrades!$P$11,J139)*POWER(Upgrades!$P$12,K139))*(IF(Upgrades!$T$6="Magnetosphere",POWER(Upgrades!$U$6,E139),1)*IF(Upgrades!$T$7="Magnetosphere",POWER(Upgrades!$U$7,F139),1)*IF(Upgrades!$T$8="Magnetosphere",POWER(Upgrades!$U$8,G139),1)*IF(Upgrades!$T$10="Magnetosphere",POWER(Upgrades!$U$10,I139),1)*IF(Upgrades!$T$11="Magnetosphere",POWER(Upgrades!$U$11,J139),1)*IF(Upgrades!$T$12="Magnetosphere",POWER(Upgrades!$U$12,K139),1))/AJ139,0)</f>
        <v>0</v>
      </c>
      <c r="AW139" s="33" t="n">
        <f aca="false">MAX(IF(I139&gt;0,0,IFERROR(0.25*N139/Upgrades!$C$10,0)),IF(J139&gt;0,0,IFERROR(0.5*((IF(G139=0,0,(Upgrades!$J$8+G139*Upgrades!$K$8)*POWER(Upgrades!$L$8,G139)))*(IF(Upgrades!$T$6="Stellar Coupling",POWER(Upgrades!$U$6,E139),1)*IF(Upgrades!$T$7="Stellar Coupling",POWER(Upgrades!$U$7,F139),1)*IF(Upgrades!$T$9="Stellar Coupling",POWER(Upgrades!$U$9,H139),1)*IF(Upgrades!$T$10="Stellar Coupling",POWER(Upgrades!$U$10,I139),1)*IF(Upgrades!$T$11="Stellar Coupling",POWER(Upgrades!$U$11,J139),1)*IF(Upgrades!$T$12="Stellar Coupling",POWER(Upgrades!$U$12,K139),1))*(POWER(Upgrades!$Q$6,E139)*POWER(Upgrades!$Q$7,F139)*POWER(Upgrades!$Q$8,G139)*POWER(Upgrades!$Q$9,H139)*POWER(Upgrades!$Q$10,I139)*POWER(Upgrades!$Q$11,J139)*POWER(Upgrades!$Q$12,K139))*Parameters!$B$10*Parameters!$B$11/60)/Upgrades!$C$11,0)),IF(K139&gt;0,0,IFERROR((1*(POWER(Upgrades!$P$6,E139)*POWER(Upgrades!$P$7,F139)*POWER(Upgrades!$P$8,G139)*POWER(Upgrades!$P$9,H139)*POWER(Upgrades!$P$10,I139)*POWER(Upgrades!$P$11,J139)*POWER(Upgrades!$P$12,K139))+0.2*M139*Parameters!$B$10*Parameters!$B$11/60)/Upgrades!$C$12,0)),IF(AND(ISNUMBER(AG139),AG139&gt;T139),AS139,0),IF(AND(ISNUMBER(AH139),AH139&gt;T139),AT139,0),IF(AND(ISNUMBER(AI139),AI139&gt;T139),AU139,0),IF(AND(ISNUMBER(AJ139),AJ139&gt;T139),AV139,0))</f>
        <v>0.00452762415783776</v>
      </c>
      <c r="AX139" s="29" t="str">
        <f aca="false">IF(AN139=1,"transition",IF(MIN(IF(AND(I139=0,ISNUMBER(AK139),AK139&lt;=T139),AK139,9000000000000000),IF(AND(J139=0,ISNUMBER(AL139),AL139&lt;=T139),AL139,9000000000000000),IF(AND(K139=0,ISNUMBER(AM139),AM139&lt;=T139),AM139,9000000000000000))&lt;9000000000000000,IF(AND(AND(I139=0,ISNUMBER(AK139),AK139&lt;=T139),AK139=MIN(IF(AND(I139=0,ISNUMBER(AK139),AK139&lt;=T139),AK139,9000000000000000),IF(AND(J139=0,ISNUMBER(AL139),AL139&lt;=T139),AL139,9000000000000000),IF(AND(K139=0,ISNUMBER(AM139),AM139&lt;=T139),AM139,9000000000000000))),"OR",IF(AND(AND(J139=0,ISNUMBER(AL139),AL139&lt;=T139),AL139=MIN(IF(AND(I139=0,ISNUMBER(AK139),AK139&lt;=T139),AK139,9000000000000000),IF(AND(J139=0,ISNUMBER(AL139),AL139&lt;=T139),AL139,9000000000000000),IF(AND(K139=0,ISNUMBER(AM139),AM139&lt;=T139),AM139,9000000000000000))),"HP","FP")),IF(AR139=TRUE(),"",IF(MAX(IF(AND(NOT(AND(AO139=1,AN139&lt;&gt;1)),ISNUMBER(AG139),AG139&lt;=T139),AS139,0),IF(AND(NOT(AND(AO139=1,AN139&lt;&gt;1)),ISNUMBER(AH139),AH139&lt;=T139),AT139,0),IF(AND(NOT(AND(AO139=1,AN139&lt;&gt;1)),ISNUMBER(AI139),AI139&lt;=T139),AU139,0),IF(AND(ISNUMBER(AJ139),AJ139&lt;=T139),AV139,0))&lt;=0,"",IF(AND(IF(AND(NOT(AND(AO139=1,AN139&lt;&gt;1)),ISNUMBER(AG139),AG139&lt;=T139),AS139,0)&gt;0,IF(AND(NOT(AND(AO139=1,AN139&lt;&gt;1)),ISNUMBER(AG139),AG139&lt;=T139),AS139,0)=MAX(IF(AND(NOT(AND(AO139=1,AN139&lt;&gt;1)),ISNUMBER(AG139),AG139&lt;=T139),AS139,0),IF(AND(NOT(AND(AO139=1,AN139&lt;&gt;1)),ISNUMBER(AH139),AH139&lt;=T139),AT139,0),IF(AND(NOT(AND(AO139=1,AN139&lt;&gt;1)),ISNUMBER(AI139),AI139&lt;=T139),AU139,0),IF(AND(ISNUMBER(AJ139),AJ139&lt;=T139),AV139,0))),"SW",IF(AND(IF(AND(NOT(AND(AO139=1,AN139&lt;&gt;1)),ISNUMBER(AH139),AH139&lt;=T139),AT139,0)&gt;0,IF(AND(NOT(AND(AO139=1,AN139&lt;&gt;1)),ISNUMBER(AH139),AH139&lt;=T139),AT139,0)=MAX(IF(AND(NOT(AND(AO139=1,AN139&lt;&gt;1)),ISNUMBER(AG139),AG139&lt;=T139),AS139,0),IF(AND(NOT(AND(AO139=1,AN139&lt;&gt;1)),ISNUMBER(AH139),AH139&lt;=T139),AT139,0),IF(AND(NOT(AND(AO139=1,AN139&lt;&gt;1)),ISNUMBER(AI139),AI139&lt;=T139),AU139,0),IF(AND(ISNUMBER(AJ139),AJ139&lt;=T139),AV139,0))),"AB",IF(AND(IF(AND(NOT(AND(AO139=1,AN139&lt;&gt;1)),ISNUMBER(AI139),AI139&lt;=T139),AU139,0)&gt;0,IF(AND(NOT(AND(AO139=1,AN139&lt;&gt;1)),ISNUMBER(AI139),AI139&lt;=T139),AU139,0)=MAX(IF(AND(NOT(AND(AO139=1,AN139&lt;&gt;1)),ISNUMBER(AG139),AG139&lt;=T139),AS139,0),IF(AND(NOT(AND(AO139=1,AN139&lt;&gt;1)),ISNUMBER(AH139),AH139&lt;=T139),AT139,0),IF(AND(NOT(AND(AO139=1,AN139&lt;&gt;1)),ISNUMBER(AI139),AI139&lt;=T139),AU139,0),IF(AND(ISNUMBER(AJ139),AJ139&lt;=T139),AV139,0))),"SC","Mag")))))))</f>
        <v/>
      </c>
    </row>
    <row r="140" customFormat="false" ht="15" hidden="false" customHeight="false" outlineLevel="0" collapsed="false">
      <c r="A140" s="26" t="n">
        <v>135</v>
      </c>
      <c r="B140" s="27" t="n">
        <f aca="false">A140*10/60</f>
        <v>22.5</v>
      </c>
      <c r="C140" s="21" t="n">
        <f aca="false">X139</f>
        <v>18.6730249835055</v>
      </c>
      <c r="D140" s="27" t="n">
        <f aca="false">D139+W139</f>
        <v>0</v>
      </c>
      <c r="E140" s="26" t="n">
        <f aca="false">E139+IF(U139="SW",1,0)</f>
        <v>12</v>
      </c>
      <c r="F140" s="26" t="n">
        <f aca="false">F139+IF(U139="AB",1,0)</f>
        <v>10</v>
      </c>
      <c r="G140" s="26" t="n">
        <f aca="false">G139+IF(U139="SC",1,0)</f>
        <v>7</v>
      </c>
      <c r="H140" s="26" t="n">
        <f aca="false">H139+IF(U139="Mag",1,0)</f>
        <v>5</v>
      </c>
      <c r="I140" s="26" t="n">
        <f aca="false">MAX(I139,IF(U139="OR",1,0))</f>
        <v>1</v>
      </c>
      <c r="J140" s="26" t="n">
        <f aca="false">MAX(J139,IF(U139="HP",1,0))</f>
        <v>1</v>
      </c>
      <c r="K140" s="26" t="n">
        <f aca="false">MAX(K139,IF(U139="FP",1,0))</f>
        <v>1</v>
      </c>
      <c r="L140" s="26" t="n">
        <f aca="false">MAX(L139,IF(U139="transition",1,0))</f>
        <v>1</v>
      </c>
      <c r="M140" s="28" t="n">
        <f aca="false">(Parameters!$B$9+(IF(E140=0,0,(Upgrades!$J$6+E140*Upgrades!$K$6)*POWER(Upgrades!$L$6,E140)))*(IF(Upgrades!$T$7="Solar Wind",POWER(Upgrades!$U$7,F140),1)*IF(Upgrades!$T$8="Solar Wind",POWER(Upgrades!$U$8,G140),1)*IF(Upgrades!$T$9="Solar Wind",POWER(Upgrades!$U$9,H140),1)*IF(Upgrades!$T$10="Solar Wind",POWER(Upgrades!$U$10,I140),1)*IF(Upgrades!$T$11="Solar Wind",POWER(Upgrades!$U$11,J140),1)*IF(Upgrades!$T$12="Solar Wind",POWER(Upgrades!$U$12,K140),1))+(IF(F140=0,0,(Upgrades!$J$7+F140*Upgrades!$K$7)*POWER(Upgrades!$L$7,F140)))*(IF(Upgrades!$T$6="Asteroid Belt",POWER(Upgrades!$U$6,E140),1)*IF(Upgrades!$T$8="Asteroid Belt",POWER(Upgrades!$U$8,G140),1)*IF(Upgrades!$T$9="Asteroid Belt",POWER(Upgrades!$U$9,H140),1)*IF(Upgrades!$T$10="Asteroid Belt",POWER(Upgrades!$U$10,I140),1)*IF(Upgrades!$T$11="Asteroid Belt",POWER(Upgrades!$U$11,J140),1)*IF(Upgrades!$T$12="Asteroid Belt",POWER(Upgrades!$U$12,K140),1))+(IF(G140=0,0,(Upgrades!$J$8+G140*Upgrades!$K$8)*POWER(Upgrades!$L$8,G140)))*(IF(Upgrades!$T$6="Stellar Coupling",POWER(Upgrades!$U$6,E140),1)*IF(Upgrades!$T$7="Stellar Coupling",POWER(Upgrades!$U$7,F140),1)*IF(Upgrades!$T$9="Stellar Coupling",POWER(Upgrades!$U$9,H140),1)*IF(Upgrades!$T$10="Stellar Coupling",POWER(Upgrades!$U$10,I140),1)*IF(Upgrades!$T$11="Stellar Coupling",POWER(Upgrades!$U$11,J140),1)*IF(Upgrades!$T$12="Stellar Coupling",POWER(Upgrades!$U$12,K140),1))+(IF(H140=0,0,(Upgrades!$J$9+H140*Upgrades!$K$9)*POWER(Upgrades!$L$9,H140)))*(IF(Upgrades!$T$6="Magnetosphere",POWER(Upgrades!$U$6,E140),1)*IF(Upgrades!$T$7="Magnetosphere",POWER(Upgrades!$U$7,F140),1)*IF(Upgrades!$T$8="Magnetosphere",POWER(Upgrades!$U$8,G140),1)*IF(Upgrades!$T$10="Magnetosphere",POWER(Upgrades!$U$10,I140),1)*IF(Upgrades!$T$11="Magnetosphere",POWER(Upgrades!$U$11,J140),1)*IF(Upgrades!$T$12="Magnetosphere",POWER(Upgrades!$U$12,K140),1))+(IF(I140=0,0,(Upgrades!$J$10+I140*Upgrades!$K$10)*POWER(Upgrades!$L$10,I140)))*(IF(Upgrades!$T$6="Orbital Resonance",POWER(Upgrades!$U$6,E140),1)*IF(Upgrades!$T$7="Orbital Resonance",POWER(Upgrades!$U$7,F140),1)*IF(Upgrades!$T$8="Orbital Resonance",POWER(Upgrades!$U$8,G140),1)*IF(Upgrades!$T$9="Orbital Resonance",POWER(Upgrades!$U$9,H140),1)*IF(Upgrades!$T$11="Orbital Resonance",POWER(Upgrades!$U$11,J140),1)*IF(Upgrades!$T$12="Orbital Resonance",POWER(Upgrades!$U$12,K140),1))+(IF(J140=0,0,(Upgrades!$J$11+J140*Upgrades!$K$11)*POWER(Upgrades!$L$11,J140)))*(IF(Upgrades!$T$6="Heliopause",POWER(Upgrades!$U$6,E140),1)*IF(Upgrades!$T$7="Heliopause",POWER(Upgrades!$U$7,F140),1)*IF(Upgrades!$T$8="Heliopause",POWER(Upgrades!$U$8,G140),1)*IF(Upgrades!$T$9="Heliopause",POWER(Upgrades!$U$9,H140),1)*IF(Upgrades!$T$10="Heliopause",POWER(Upgrades!$U$10,I140),1)*IF(Upgrades!$T$12="Heliopause",POWER(Upgrades!$U$12,K140),1))+(IF(K140=0,0,(Upgrades!$J$12+K140*Upgrades!$K$12)*POWER(Upgrades!$L$12,K140)))*(IF(Upgrades!$T$6="First Photons",POWER(Upgrades!$U$6,E140),1)*IF(Upgrades!$T$7="First Photons",POWER(Upgrades!$U$7,F140),1)*IF(Upgrades!$T$8="First Photons",POWER(Upgrades!$U$8,G140),1)*IF(Upgrades!$T$9="First Photons",POWER(Upgrades!$U$9,H140),1)*IF(Upgrades!$T$10="First Photons",POWER(Upgrades!$U$10,I140),1)*IF(Upgrades!$T$11="First Photons",POWER(Upgrades!$U$11,J140),1)))*POWER(Upgrades!$Q$6,E140)*POWER(Upgrades!$Q$7,F140)*POWER(Upgrades!$Q$8,G140)*POWER(Upgrades!$Q$9,H140)*POWER(Upgrades!$Q$10,I140)*POWER(Upgrades!$Q$11,J140)*POWER(Upgrades!$Q$12,K140)</f>
        <v>5.61</v>
      </c>
      <c r="N140" s="28" t="n">
        <f aca="false">((IF(E140=0,0,(Upgrades!$G$6+E140*Upgrades!$H$6)*POWER(Upgrades!$I$6,E140)))*(IF(Upgrades!$T$7="Solar Wind",POWER(Upgrades!$U$7,F140),1)*IF(Upgrades!$T$8="Solar Wind",POWER(Upgrades!$U$8,G140),1)*IF(Upgrades!$T$9="Solar Wind",POWER(Upgrades!$U$9,H140),1)*IF(Upgrades!$T$10="Solar Wind",POWER(Upgrades!$U$10,I140),1)*IF(Upgrades!$T$11="Solar Wind",POWER(Upgrades!$U$11,J140),1)*IF(Upgrades!$T$12="Solar Wind",POWER(Upgrades!$U$12,K140),1))+(IF(F140=0,0,(Upgrades!$G$7+F140*Upgrades!$H$7)*POWER(Upgrades!$I$7,F140)))*(IF(Upgrades!$T$6="Asteroid Belt",POWER(Upgrades!$U$6,E140),1)*IF(Upgrades!$T$8="Asteroid Belt",POWER(Upgrades!$U$8,G140),1)*IF(Upgrades!$T$9="Asteroid Belt",POWER(Upgrades!$U$9,H140),1)*IF(Upgrades!$T$10="Asteroid Belt",POWER(Upgrades!$U$10,I140),1)*IF(Upgrades!$T$11="Asteroid Belt",POWER(Upgrades!$U$11,J140),1)*IF(Upgrades!$T$12="Asteroid Belt",POWER(Upgrades!$U$12,K140),1))+(IF(G140=0,0,(Upgrades!$G$8+G140*Upgrades!$H$8)*POWER(Upgrades!$I$8,G140)))*(IF(Upgrades!$T$6="Stellar Coupling",POWER(Upgrades!$U$6,E140),1)*IF(Upgrades!$T$7="Stellar Coupling",POWER(Upgrades!$U$7,F140),1)*IF(Upgrades!$T$9="Stellar Coupling",POWER(Upgrades!$U$9,H140),1)*IF(Upgrades!$T$10="Stellar Coupling",POWER(Upgrades!$U$10,I140),1)*IF(Upgrades!$T$11="Stellar Coupling",POWER(Upgrades!$U$11,J140),1)*IF(Upgrades!$T$12="Stellar Coupling",POWER(Upgrades!$U$12,K140),1))+(IF(H140=0,0,(Upgrades!$G$9+H140*Upgrades!$H$9)*POWER(Upgrades!$I$9,H140)))*(IF(Upgrades!$T$6="Magnetosphere",POWER(Upgrades!$U$6,E140),1)*IF(Upgrades!$T$7="Magnetosphere",POWER(Upgrades!$U$7,F140),1)*IF(Upgrades!$T$8="Magnetosphere",POWER(Upgrades!$U$8,G140),1)*IF(Upgrades!$T$10="Magnetosphere",POWER(Upgrades!$U$10,I140),1)*IF(Upgrades!$T$11="Magnetosphere",POWER(Upgrades!$U$11,J140),1)*IF(Upgrades!$T$12="Magnetosphere",POWER(Upgrades!$U$12,K140),1))+(IF(I140=0,0,(Upgrades!$G$10+I140*Upgrades!$H$10)*POWER(Upgrades!$I$10,I140)))*(IF(Upgrades!$T$6="Orbital Resonance",POWER(Upgrades!$U$6,E140),1)*IF(Upgrades!$T$7="Orbital Resonance",POWER(Upgrades!$U$7,F140),1)*IF(Upgrades!$T$8="Orbital Resonance",POWER(Upgrades!$U$8,G140),1)*IF(Upgrades!$T$9="Orbital Resonance",POWER(Upgrades!$U$9,H140),1)*IF(Upgrades!$T$11="Orbital Resonance",POWER(Upgrades!$U$11,J140),1)*IF(Upgrades!$T$12="Orbital Resonance",POWER(Upgrades!$U$12,K140),1))+(IF(J140=0,0,(Upgrades!$G$11+J140*Upgrades!$H$11)*POWER(Upgrades!$I$11,J140)))*(IF(Upgrades!$T$6="Heliopause",POWER(Upgrades!$U$6,E140),1)*IF(Upgrades!$T$7="Heliopause",POWER(Upgrades!$U$7,F140),1)*IF(Upgrades!$T$8="Heliopause",POWER(Upgrades!$U$8,G140),1)*IF(Upgrades!$T$9="Heliopause",POWER(Upgrades!$U$9,H140),1)*IF(Upgrades!$T$10="Heliopause",POWER(Upgrades!$U$10,I140),1)*IF(Upgrades!$T$12="Heliopause",POWER(Upgrades!$U$12,K140),1))+(IF(K140=0,0,(Upgrades!$G$12+K140*Upgrades!$H$12)*POWER(Upgrades!$I$12,K140)))*(IF(Upgrades!$T$6="First Photons",POWER(Upgrades!$U$6,E140),1)*IF(Upgrades!$T$7="First Photons",POWER(Upgrades!$U$7,F140),1)*IF(Upgrades!$T$8="First Photons",POWER(Upgrades!$U$8,G140),1)*IF(Upgrades!$T$9="First Photons",POWER(Upgrades!$U$9,H140),1)*IF(Upgrades!$T$10="First Photons",POWER(Upgrades!$U$10,I140),1)*IF(Upgrades!$T$11="First Photons",POWER(Upgrades!$U$11,J140),1)))*POWER(Upgrades!$P$6,E140)*POWER(Upgrades!$P$7,F140)*POWER(Upgrades!$P$8,G140)*POWER(Upgrades!$P$9,H140)*POWER(Upgrades!$P$10,I140)*POWER(Upgrades!$P$11,J140)*POWER(Upgrades!$P$12,K140)</f>
        <v>11.2</v>
      </c>
      <c r="O140" s="28" t="n">
        <f aca="false">((IF(E140=0,0,(Upgrades!$M$6+E140*Upgrades!$N$6)*POWER(Upgrades!$O$6,E140)))*(IF(Upgrades!$T$7="Solar Wind",POWER(Upgrades!$U$7,F140),1)*IF(Upgrades!$T$8="Solar Wind",POWER(Upgrades!$U$8,G140),1)*IF(Upgrades!$T$9="Solar Wind",POWER(Upgrades!$U$9,H140),1)*IF(Upgrades!$T$10="Solar Wind",POWER(Upgrades!$U$10,I140),1)*IF(Upgrades!$T$11="Solar Wind",POWER(Upgrades!$U$11,J140),1)*IF(Upgrades!$T$12="Solar Wind",POWER(Upgrades!$U$12,K140),1))+(IF(F140=0,0,(Upgrades!$M$7+F140*Upgrades!$N$7)*POWER(Upgrades!$O$7,F140)))*(IF(Upgrades!$T$6="Asteroid Belt",POWER(Upgrades!$U$6,E140),1)*IF(Upgrades!$T$8="Asteroid Belt",POWER(Upgrades!$U$8,G140),1)*IF(Upgrades!$T$9="Asteroid Belt",POWER(Upgrades!$U$9,H140),1)*IF(Upgrades!$T$10="Asteroid Belt",POWER(Upgrades!$U$10,I140),1)*IF(Upgrades!$T$11="Asteroid Belt",POWER(Upgrades!$U$11,J140),1)*IF(Upgrades!$T$12="Asteroid Belt",POWER(Upgrades!$U$12,K140),1))+(IF(G140=0,0,(Upgrades!$M$8+G140*Upgrades!$N$8)*POWER(Upgrades!$O$8,G140)))*(IF(Upgrades!$T$6="Stellar Coupling",POWER(Upgrades!$U$6,E140),1)*IF(Upgrades!$T$7="Stellar Coupling",POWER(Upgrades!$U$7,F140),1)*IF(Upgrades!$T$9="Stellar Coupling",POWER(Upgrades!$U$9,H140),1)*IF(Upgrades!$T$10="Stellar Coupling",POWER(Upgrades!$U$10,I140),1)*IF(Upgrades!$T$11="Stellar Coupling",POWER(Upgrades!$U$11,J140),1)*IF(Upgrades!$T$12="Stellar Coupling",POWER(Upgrades!$U$12,K140),1))+(IF(H140=0,0,(Upgrades!$M$9+H140*Upgrades!$N$9)*POWER(Upgrades!$O$9,H140)))*(IF(Upgrades!$T$6="Magnetosphere",POWER(Upgrades!$U$6,E140),1)*IF(Upgrades!$T$7="Magnetosphere",POWER(Upgrades!$U$7,F140),1)*IF(Upgrades!$T$8="Magnetosphere",POWER(Upgrades!$U$8,G140),1)*IF(Upgrades!$T$10="Magnetosphere",POWER(Upgrades!$U$10,I140),1)*IF(Upgrades!$T$11="Magnetosphere",POWER(Upgrades!$U$11,J140),1)*IF(Upgrades!$T$12="Magnetosphere",POWER(Upgrades!$U$12,K140),1))+(IF(I140=0,0,(Upgrades!$M$10+I140*Upgrades!$N$10)*POWER(Upgrades!$O$10,I140)))*(IF(Upgrades!$T$6="Orbital Resonance",POWER(Upgrades!$U$6,E140),1)*IF(Upgrades!$T$7="Orbital Resonance",POWER(Upgrades!$U$7,F140),1)*IF(Upgrades!$T$8="Orbital Resonance",POWER(Upgrades!$U$8,G140),1)*IF(Upgrades!$T$9="Orbital Resonance",POWER(Upgrades!$U$9,H140),1)*IF(Upgrades!$T$11="Orbital Resonance",POWER(Upgrades!$U$11,J140),1)*IF(Upgrades!$T$12="Orbital Resonance",POWER(Upgrades!$U$12,K140),1))+(IF(J140=0,0,(Upgrades!$M$11+J140*Upgrades!$N$11)*POWER(Upgrades!$O$11,J140)))*(IF(Upgrades!$T$6="Heliopause",POWER(Upgrades!$U$6,E140),1)*IF(Upgrades!$T$7="Heliopause",POWER(Upgrades!$U$7,F140),1)*IF(Upgrades!$T$8="Heliopause",POWER(Upgrades!$U$8,G140),1)*IF(Upgrades!$T$9="Heliopause",POWER(Upgrades!$U$9,H140),1)*IF(Upgrades!$T$10="Heliopause",POWER(Upgrades!$U$10,I140),1)*IF(Upgrades!$T$12="Heliopause",POWER(Upgrades!$U$12,K140),1))+(IF(K140=0,0,(Upgrades!$M$12+K140*Upgrades!$N$12)*POWER(Upgrades!$O$12,K140)))*(IF(Upgrades!$T$6="First Photons",POWER(Upgrades!$U$6,E140),1)*IF(Upgrades!$T$7="First Photons",POWER(Upgrades!$U$7,F140),1)*IF(Upgrades!$T$8="First Photons",POWER(Upgrades!$U$8,G140),1)*IF(Upgrades!$T$9="First Photons",POWER(Upgrades!$U$9,H140),1)*IF(Upgrades!$T$10="First Photons",POWER(Upgrades!$U$10,I140),1)*IF(Upgrades!$T$11="First Photons",POWER(Upgrades!$U$11,J140),1)))*POWER(Upgrades!$R$6,E140)*POWER(Upgrades!$R$7,F140)*POWER(Upgrades!$R$8,G140)*POWER(Upgrades!$R$9,H140)*POWER(Upgrades!$R$10,I140)*POWER(Upgrades!$R$11,J140)*POWER(Upgrades!$R$12,K140)</f>
        <v>0</v>
      </c>
      <c r="P140" s="27" t="n">
        <f aca="false">IF(L140=1,0,M140*Parameters!$B$10/60*Parameters!$B$11*10)</f>
        <v>0</v>
      </c>
      <c r="Q140" s="27" t="n">
        <f aca="false">IF(L140=1,0,O140*M140*10)</f>
        <v>0</v>
      </c>
      <c r="R140" s="27" t="n">
        <f aca="false">IF(L140=1,0,N140*10)</f>
        <v>0</v>
      </c>
      <c r="S140" s="27" t="n">
        <f aca="false">P140+Q140+R140</f>
        <v>0</v>
      </c>
      <c r="T140" s="21" t="n">
        <f aca="false">C140+S140</f>
        <v>18.6730249835055</v>
      </c>
      <c r="U140" s="34" t="str">
        <f aca="false">AX140</f>
        <v/>
      </c>
      <c r="V140" s="21" t="n">
        <f aca="false">IF(U140="",0,IF(U140="transition",0,IF(U140="SW",AG140,IF(U140="AB",AH140,IF(U140="SC",AI140,IF(U140="Mag",AJ140,IF(U140="OR",AK140,IF(U140="HP",AL140,IF(U140="FP",AM140,0)))))))))</f>
        <v>0</v>
      </c>
      <c r="W140" s="27" t="n">
        <f aca="false">IF(U140="OR",Upgrades!$F$10,IF(U140="HP",Upgrades!$F$11,IF(U140="transition",-Parameters!$B$18,0)))</f>
        <v>0</v>
      </c>
      <c r="X140" s="21" t="n">
        <f aca="false">T140-V140</f>
        <v>18.6730249835055</v>
      </c>
      <c r="Y140" s="30" t="n">
        <f aca="false">M140*Parameters!$B$10/60*Parameters!$B$11+O140*M140+N140</f>
        <v>20.55</v>
      </c>
      <c r="Z140" s="35" t="str">
        <f aca="false">IF(U140="transition","→ Tier 2 (Stellar Neighborhood)",IF(U140="FP","First Photons — light begins, system quickens",IF(U140="HP","Heliopause acquired",IF(U140="OR","Orbital Resonance — passive multiplier active",IF(AND(AO140=1,L140=0,AN140&lt;&gt;1),"Cohesion ready (waiting on completionist upgrades)","")))))</f>
        <v/>
      </c>
      <c r="AA140" s="27" t="n">
        <f aca="false">(IF(E140=0,0,(Upgrades!$G$6+E140*Upgrades!$H$6)*POWER(Upgrades!$I$6,E140)))*(IF(Upgrades!$T$7="Solar Wind",POWER(Upgrades!$U$7,F140),1)*IF(Upgrades!$T$8="Solar Wind",POWER(Upgrades!$U$8,G140),1)*IF(Upgrades!$T$9="Solar Wind",POWER(Upgrades!$U$9,H140),1)*IF(Upgrades!$T$10="Solar Wind",POWER(Upgrades!$U$10,I140),1)*IF(Upgrades!$T$11="Solar Wind",POWER(Upgrades!$U$11,J140),1)*IF(Upgrades!$T$12="Solar Wind",POWER(Upgrades!$U$12,K140),1))*POWER(Upgrades!$P$6,E140)*POWER(Upgrades!$P$7,F140)*POWER(Upgrades!$P$8,G140)*POWER(Upgrades!$P$9,H140)*POWER(Upgrades!$P$10,I140)*POWER(Upgrades!$P$11,J140)*POWER(Upgrades!$P$12,K140)*60</f>
        <v>72</v>
      </c>
      <c r="AB140" s="27" t="n">
        <f aca="false">(IF(F140=0,0,(Upgrades!$G$7+F140*Upgrades!$H$7)*POWER(Upgrades!$I$7,F140)))*(IF(Upgrades!$T$6="Asteroid Belt",POWER(Upgrades!$U$6,E140),1)*IF(Upgrades!$T$8="Asteroid Belt",POWER(Upgrades!$U$8,G140),1)*IF(Upgrades!$T$9="Asteroid Belt",POWER(Upgrades!$U$9,H140),1)*IF(Upgrades!$T$10="Asteroid Belt",POWER(Upgrades!$U$10,I140),1)*IF(Upgrades!$T$11="Asteroid Belt",POWER(Upgrades!$U$11,J140),1)*IF(Upgrades!$T$12="Asteroid Belt",POWER(Upgrades!$U$12,K140),1))*POWER(Upgrades!$P$6,E140)*POWER(Upgrades!$P$7,F140)*POWER(Upgrades!$P$8,G140)*POWER(Upgrades!$P$9,H140)*POWER(Upgrades!$P$10,I140)*POWER(Upgrades!$P$11,J140)*POWER(Upgrades!$P$12,K140)*60</f>
        <v>150</v>
      </c>
      <c r="AC140" s="27" t="n">
        <f aca="false">(IF(G140=0,0,(Upgrades!$J$8+G140*Upgrades!$K$8)*POWER(Upgrades!$L$8,G140)))*(IF(Upgrades!$T$6="Stellar Coupling",POWER(Upgrades!$U$6,E140),1)*IF(Upgrades!$T$7="Stellar Coupling",POWER(Upgrades!$U$7,F140),1)*IF(Upgrades!$T$9="Stellar Coupling",POWER(Upgrades!$U$9,H140),1)*IF(Upgrades!$T$10="Stellar Coupling",POWER(Upgrades!$U$10,I140),1)*IF(Upgrades!$T$11="Stellar Coupling",POWER(Upgrades!$U$11,J140),1)*IF(Upgrades!$T$12="Stellar Coupling",POWER(Upgrades!$U$12,K140),1))*POWER(Upgrades!$Q$6,E140)*POWER(Upgrades!$Q$7,F140)*POWER(Upgrades!$Q$8,G140)*POWER(Upgrades!$Q$9,H140)*POWER(Upgrades!$Q$10,I140)*POWER(Upgrades!$Q$11,J140)*POWER(Upgrades!$Q$12,K140)*Parameters!$B$10*Parameters!$B$11</f>
        <v>441</v>
      </c>
      <c r="AD140" s="27" t="n">
        <f aca="false">(IF(H140=0,0,(Upgrades!$G$9+H140*Upgrades!$H$9)*POWER(Upgrades!$I$9,H140)))*(IF(Upgrades!$T$6="Magnetosphere",POWER(Upgrades!$U$6,E140),1)*IF(Upgrades!$T$7="Magnetosphere",POWER(Upgrades!$U$7,F140),1)*IF(Upgrades!$T$8="Magnetosphere",POWER(Upgrades!$U$8,G140),1)*IF(Upgrades!$T$10="Magnetosphere",POWER(Upgrades!$U$10,I140),1)*IF(Upgrades!$T$11="Magnetosphere",POWER(Upgrades!$U$11,J140),1)*IF(Upgrades!$T$12="Magnetosphere",POWER(Upgrades!$U$12,K140),1))*POWER(Upgrades!$P$6,E140)*POWER(Upgrades!$P$7,F140)*POWER(Upgrades!$P$8,G140)*POWER(Upgrades!$P$9,H140)*POWER(Upgrades!$P$10,I140)*POWER(Upgrades!$P$11,J140)*POWER(Upgrades!$P$12,K140)*60</f>
        <v>375</v>
      </c>
      <c r="AE140" s="27" t="n">
        <f aca="false">(IF(K140=0,0,(Upgrades!$G$12+K140*Upgrades!$H$12)*POWER(Upgrades!$I$12,K140)))*(IF(Upgrades!$T$6="First Photons",POWER(Upgrades!$U$6,E140),1)*IF(Upgrades!$T$7="First Photons",POWER(Upgrades!$U$7,F140),1)*IF(Upgrades!$T$8="First Photons",POWER(Upgrades!$U$8,G140),1)*IF(Upgrades!$T$9="First Photons",POWER(Upgrades!$U$9,H140),1)*IF(Upgrades!$T$10="First Photons",POWER(Upgrades!$U$10,I140),1)*IF(Upgrades!$T$11="First Photons",POWER(Upgrades!$U$11,J140),1))*POWER(Upgrades!$P$6,E140)*POWER(Upgrades!$P$7,F140)*POWER(Upgrades!$P$8,G140)*POWER(Upgrades!$P$9,H140)*POWER(Upgrades!$P$10,I140)*POWER(Upgrades!$P$11,J140)*POWER(Upgrades!$P$12,K140)*60</f>
        <v>75</v>
      </c>
      <c r="AF140" s="27" t="n">
        <f aca="false">Parameters!$B$9*POWER(Upgrades!$Q$6,E140)*POWER(Upgrades!$Q$7,F140)*POWER(Upgrades!$Q$8,G140)*POWER(Upgrades!$Q$9,H140)*POWER(Upgrades!$Q$10,I140)*POWER(Upgrades!$Q$11,J140)*POWER(Upgrades!$Q$12,K140)*(Parameters!$B$10*Parameters!$B$11+O140*60)</f>
        <v>120</v>
      </c>
      <c r="AG140" s="21" t="n">
        <f aca="false">IF(E140&gt;=Upgrades!$E$6,"",Upgrades!$C$6*POWER(Upgrades!$D$6,E140))</f>
        <v>37.4517507383159</v>
      </c>
      <c r="AH140" s="21" t="n">
        <f aca="false">IF(F140&gt;=Upgrades!$E$7,"",Upgrades!$C$7*POWER(Upgrades!$D$7,F140))</f>
        <v>80.9111547141581</v>
      </c>
      <c r="AI140" s="21" t="n">
        <f aca="false">IF(G140&gt;=Upgrades!$E$8,"",Upgrades!$C$8*POWER(Upgrades!$D$8,G140))</f>
        <v>231.9097088</v>
      </c>
      <c r="AJ140" s="21" t="str">
        <f aca="false">IF(H140&gt;=Upgrades!$E$9,"",Upgrades!$C$9*POWER(Upgrades!$D$9,H140))</f>
        <v/>
      </c>
      <c r="AK140" s="21" t="str">
        <f aca="false">IF(I140&gt;=Upgrades!$E$10,"",Upgrades!$C$10*POWER(Upgrades!$D$10,I140))</f>
        <v/>
      </c>
      <c r="AL140" s="21" t="str">
        <f aca="false">IF(J140&gt;=Upgrades!$E$11,"",Upgrades!$C$11*POWER(Upgrades!$D$11,J140))</f>
        <v/>
      </c>
      <c r="AM140" s="21" t="str">
        <f aca="false">IF(K140&gt;=Upgrades!$E$12,"",Upgrades!$C$12*POWER(Upgrades!$D$12,K140))</f>
        <v/>
      </c>
      <c r="AN140" s="26" t="str">
        <f aca="false">IF(AND(D140&gt;=Parameters!$B$18,(H140&gt;=Upgrades!$E$9)*(K140&gt;=Upgrades!$E$12)=1,L140=0),1,"")</f>
        <v/>
      </c>
      <c r="AO140" s="26" t="str">
        <f aca="false">IF(AND(D140&gt;=Parameters!$B$18,L140=0),1,"")</f>
        <v/>
      </c>
      <c r="AP140" s="21" t="n">
        <f aca="false">MIN(IF(ISNUMBER(AK140),AK140,9000000000000000),IF(ISNUMBER(AL140),AL140,9000000000000000),IF(ISNUMBER(AM140),AM140,9000000000000000))</f>
        <v>9000000000000000</v>
      </c>
      <c r="AQ140" s="21" t="n">
        <f aca="false">MIN(IF(ISNUMBER(AG140),AG140,9000000000000000),IF(ISNUMBER(AH140),AH140,9000000000000000),IF(ISNUMBER(AI140),AI140,9000000000000000),IF(ISNUMBER(AJ140),AJ140,9000000000000000))</f>
        <v>37.4517507383159</v>
      </c>
      <c r="AR140" s="32" t="b">
        <f aca="false">IF(AW140&gt;Parameters!$B$21*(MAX(IF(AND(NOT(AND(AO140=1,AN140&lt;&gt;1)),ISNUMBER(AG140),AG140&lt;=T140),AS140,0),IF(AND(NOT(AND(AO140=1,AN140&lt;&gt;1)),ISNUMBER(AH140),AH140&lt;=T140),AT140,0),IF(AND(NOT(AND(AO140=1,AN140&lt;&gt;1)),ISNUMBER(AI140),AI140&lt;=T140),AU140,0),IF(AND(ISNUMBER(AJ140),AJ140&lt;=T140),AV140,0))),TRUE(),FALSE())</f>
        <v>1</v>
      </c>
      <c r="AS140" s="33" t="n">
        <f aca="false">IFERROR(Upgrades!$H$6*(POWER(Upgrades!$P$6,E140)*POWER(Upgrades!$P$7,F140)*POWER(Upgrades!$P$8,G140)*POWER(Upgrades!$P$9,H140)*POWER(Upgrades!$P$10,I140)*POWER(Upgrades!$P$11,J140)*POWER(Upgrades!$P$12,K140))*(IF(Upgrades!$T$7="Solar Wind",POWER(Upgrades!$U$7,F140),1)*IF(Upgrades!$T$8="Solar Wind",POWER(Upgrades!$U$8,G140),1)*IF(Upgrades!$T$9="Solar Wind",POWER(Upgrades!$U$9,H140),1)*IF(Upgrades!$T$10="Solar Wind",POWER(Upgrades!$U$10,I140),1)*IF(Upgrades!$T$11="Solar Wind",POWER(Upgrades!$U$11,J140),1)*IF(Upgrades!$T$12="Solar Wind",POWER(Upgrades!$U$12,K140),1))/AG140,0)</f>
        <v>0.0026701021455238</v>
      </c>
      <c r="AT140" s="33" t="n">
        <f aca="false">IFERROR(Upgrades!$H$7*(POWER(Upgrades!$P$6,E140)*POWER(Upgrades!$P$7,F140)*POWER(Upgrades!$P$8,G140)*POWER(Upgrades!$P$9,H140)*POWER(Upgrades!$P$10,I140)*POWER(Upgrades!$P$11,J140)*POWER(Upgrades!$P$12,K140))*(IF(Upgrades!$T$6="Asteroid Belt",POWER(Upgrades!$U$6,E140),1)*IF(Upgrades!$T$8="Asteroid Belt",POWER(Upgrades!$U$8,G140),1)*IF(Upgrades!$T$9="Asteroid Belt",POWER(Upgrades!$U$9,H140),1)*IF(Upgrades!$T$10="Asteroid Belt",POWER(Upgrades!$U$10,I140),1)*IF(Upgrades!$T$11="Asteroid Belt",POWER(Upgrades!$U$11,J140),1)*IF(Upgrades!$T$12="Asteroid Belt",POWER(Upgrades!$U$12,K140),1))/AH140,0)</f>
        <v>0.00308980882652332</v>
      </c>
      <c r="AU140" s="33" t="n">
        <f aca="false">IFERROR(Upgrades!$K$8*(POWER(Upgrades!$Q$6,E140)*POWER(Upgrades!$Q$7,F140)*POWER(Upgrades!$Q$8,G140)*POWER(Upgrades!$Q$9,H140)*POWER(Upgrades!$Q$10,I140)*POWER(Upgrades!$Q$11,J140)*POWER(Upgrades!$Q$12,K140))*(IF(Upgrades!$T$6="Stellar Coupling",POWER(Upgrades!$U$6,E140),1)*IF(Upgrades!$T$7="Stellar Coupling",POWER(Upgrades!$U$7,F140),1)*IF(Upgrades!$T$9="Stellar Coupling",POWER(Upgrades!$U$9,H140),1)*IF(Upgrades!$T$10="Stellar Coupling",POWER(Upgrades!$U$10,I140),1)*IF(Upgrades!$T$11="Stellar Coupling",POWER(Upgrades!$U$11,J140),1)*IF(Upgrades!$T$12="Stellar Coupling",POWER(Upgrades!$U$12,K140),1))*Parameters!$B$10*Parameters!$B$11/60/AI140,0)</f>
        <v>0.00452762415783776</v>
      </c>
      <c r="AV140" s="33" t="n">
        <f aca="false">IFERROR(Upgrades!$H$9*(POWER(Upgrades!$P$6,E140)*POWER(Upgrades!$P$7,F140)*POWER(Upgrades!$P$8,G140)*POWER(Upgrades!$P$9,H140)*POWER(Upgrades!$P$10,I140)*POWER(Upgrades!$P$11,J140)*POWER(Upgrades!$P$12,K140))*(IF(Upgrades!$T$6="Magnetosphere",POWER(Upgrades!$U$6,E140),1)*IF(Upgrades!$T$7="Magnetosphere",POWER(Upgrades!$U$7,F140),1)*IF(Upgrades!$T$8="Magnetosphere",POWER(Upgrades!$U$8,G140),1)*IF(Upgrades!$T$10="Magnetosphere",POWER(Upgrades!$U$10,I140),1)*IF(Upgrades!$T$11="Magnetosphere",POWER(Upgrades!$U$11,J140),1)*IF(Upgrades!$T$12="Magnetosphere",POWER(Upgrades!$U$12,K140),1))/AJ140,0)</f>
        <v>0</v>
      </c>
      <c r="AW140" s="33" t="n">
        <f aca="false">MAX(IF(I140&gt;0,0,IFERROR(0.25*N140/Upgrades!$C$10,0)),IF(J140&gt;0,0,IFERROR(0.5*((IF(G140=0,0,(Upgrades!$J$8+G140*Upgrades!$K$8)*POWER(Upgrades!$L$8,G140)))*(IF(Upgrades!$T$6="Stellar Coupling",POWER(Upgrades!$U$6,E140),1)*IF(Upgrades!$T$7="Stellar Coupling",POWER(Upgrades!$U$7,F140),1)*IF(Upgrades!$T$9="Stellar Coupling",POWER(Upgrades!$U$9,H140),1)*IF(Upgrades!$T$10="Stellar Coupling",POWER(Upgrades!$U$10,I140),1)*IF(Upgrades!$T$11="Stellar Coupling",POWER(Upgrades!$U$11,J140),1)*IF(Upgrades!$T$12="Stellar Coupling",POWER(Upgrades!$U$12,K140),1))*(POWER(Upgrades!$Q$6,E140)*POWER(Upgrades!$Q$7,F140)*POWER(Upgrades!$Q$8,G140)*POWER(Upgrades!$Q$9,H140)*POWER(Upgrades!$Q$10,I140)*POWER(Upgrades!$Q$11,J140)*POWER(Upgrades!$Q$12,K140))*Parameters!$B$10*Parameters!$B$11/60)/Upgrades!$C$11,0)),IF(K140&gt;0,0,IFERROR((1*(POWER(Upgrades!$P$6,E140)*POWER(Upgrades!$P$7,F140)*POWER(Upgrades!$P$8,G140)*POWER(Upgrades!$P$9,H140)*POWER(Upgrades!$P$10,I140)*POWER(Upgrades!$P$11,J140)*POWER(Upgrades!$P$12,K140))+0.2*M140*Parameters!$B$10*Parameters!$B$11/60)/Upgrades!$C$12,0)),IF(AND(ISNUMBER(AG140),AG140&gt;T140),AS140,0),IF(AND(ISNUMBER(AH140),AH140&gt;T140),AT140,0),IF(AND(ISNUMBER(AI140),AI140&gt;T140),AU140,0),IF(AND(ISNUMBER(AJ140),AJ140&gt;T140),AV140,0))</f>
        <v>0.00452762415783776</v>
      </c>
      <c r="AX140" s="29" t="str">
        <f aca="false">IF(AN140=1,"transition",IF(MIN(IF(AND(I140=0,ISNUMBER(AK140),AK140&lt;=T140),AK140,9000000000000000),IF(AND(J140=0,ISNUMBER(AL140),AL140&lt;=T140),AL140,9000000000000000),IF(AND(K140=0,ISNUMBER(AM140),AM140&lt;=T140),AM140,9000000000000000))&lt;9000000000000000,IF(AND(AND(I140=0,ISNUMBER(AK140),AK140&lt;=T140),AK140=MIN(IF(AND(I140=0,ISNUMBER(AK140),AK140&lt;=T140),AK140,9000000000000000),IF(AND(J140=0,ISNUMBER(AL140),AL140&lt;=T140),AL140,9000000000000000),IF(AND(K140=0,ISNUMBER(AM140),AM140&lt;=T140),AM140,9000000000000000))),"OR",IF(AND(AND(J140=0,ISNUMBER(AL140),AL140&lt;=T140),AL140=MIN(IF(AND(I140=0,ISNUMBER(AK140),AK140&lt;=T140),AK140,9000000000000000),IF(AND(J140=0,ISNUMBER(AL140),AL140&lt;=T140),AL140,9000000000000000),IF(AND(K140=0,ISNUMBER(AM140),AM140&lt;=T140),AM140,9000000000000000))),"HP","FP")),IF(AR140=TRUE(),"",IF(MAX(IF(AND(NOT(AND(AO140=1,AN140&lt;&gt;1)),ISNUMBER(AG140),AG140&lt;=T140),AS140,0),IF(AND(NOT(AND(AO140=1,AN140&lt;&gt;1)),ISNUMBER(AH140),AH140&lt;=T140),AT140,0),IF(AND(NOT(AND(AO140=1,AN140&lt;&gt;1)),ISNUMBER(AI140),AI140&lt;=T140),AU140,0),IF(AND(ISNUMBER(AJ140),AJ140&lt;=T140),AV140,0))&lt;=0,"",IF(AND(IF(AND(NOT(AND(AO140=1,AN140&lt;&gt;1)),ISNUMBER(AG140),AG140&lt;=T140),AS140,0)&gt;0,IF(AND(NOT(AND(AO140=1,AN140&lt;&gt;1)),ISNUMBER(AG140),AG140&lt;=T140),AS140,0)=MAX(IF(AND(NOT(AND(AO140=1,AN140&lt;&gt;1)),ISNUMBER(AG140),AG140&lt;=T140),AS140,0),IF(AND(NOT(AND(AO140=1,AN140&lt;&gt;1)),ISNUMBER(AH140),AH140&lt;=T140),AT140,0),IF(AND(NOT(AND(AO140=1,AN140&lt;&gt;1)),ISNUMBER(AI140),AI140&lt;=T140),AU140,0),IF(AND(ISNUMBER(AJ140),AJ140&lt;=T140),AV140,0))),"SW",IF(AND(IF(AND(NOT(AND(AO140=1,AN140&lt;&gt;1)),ISNUMBER(AH140),AH140&lt;=T140),AT140,0)&gt;0,IF(AND(NOT(AND(AO140=1,AN140&lt;&gt;1)),ISNUMBER(AH140),AH140&lt;=T140),AT140,0)=MAX(IF(AND(NOT(AND(AO140=1,AN140&lt;&gt;1)),ISNUMBER(AG140),AG140&lt;=T140),AS140,0),IF(AND(NOT(AND(AO140=1,AN140&lt;&gt;1)),ISNUMBER(AH140),AH140&lt;=T140),AT140,0),IF(AND(NOT(AND(AO140=1,AN140&lt;&gt;1)),ISNUMBER(AI140),AI140&lt;=T140),AU140,0),IF(AND(ISNUMBER(AJ140),AJ140&lt;=T140),AV140,0))),"AB",IF(AND(IF(AND(NOT(AND(AO140=1,AN140&lt;&gt;1)),ISNUMBER(AI140),AI140&lt;=T140),AU140,0)&gt;0,IF(AND(NOT(AND(AO140=1,AN140&lt;&gt;1)),ISNUMBER(AI140),AI140&lt;=T140),AU140,0)=MAX(IF(AND(NOT(AND(AO140=1,AN140&lt;&gt;1)),ISNUMBER(AG140),AG140&lt;=T140),AS140,0),IF(AND(NOT(AND(AO140=1,AN140&lt;&gt;1)),ISNUMBER(AH140),AH140&lt;=T140),AT140,0),IF(AND(NOT(AND(AO140=1,AN140&lt;&gt;1)),ISNUMBER(AI140),AI140&lt;=T140),AU140,0),IF(AND(ISNUMBER(AJ140),AJ140&lt;=T140),AV140,0))),"SC","Mag")))))))</f>
        <v/>
      </c>
    </row>
    <row r="141" customFormat="false" ht="15" hidden="false" customHeight="false" outlineLevel="0" collapsed="false">
      <c r="A141" s="26" t="n">
        <v>136</v>
      </c>
      <c r="B141" s="27" t="n">
        <f aca="false">A141*10/60</f>
        <v>22.6666666666667</v>
      </c>
      <c r="C141" s="21" t="n">
        <f aca="false">X140</f>
        <v>18.6730249835055</v>
      </c>
      <c r="D141" s="27" t="n">
        <f aca="false">D140+W140</f>
        <v>0</v>
      </c>
      <c r="E141" s="26" t="n">
        <f aca="false">E140+IF(U140="SW",1,0)</f>
        <v>12</v>
      </c>
      <c r="F141" s="26" t="n">
        <f aca="false">F140+IF(U140="AB",1,0)</f>
        <v>10</v>
      </c>
      <c r="G141" s="26" t="n">
        <f aca="false">G140+IF(U140="SC",1,0)</f>
        <v>7</v>
      </c>
      <c r="H141" s="26" t="n">
        <f aca="false">H140+IF(U140="Mag",1,0)</f>
        <v>5</v>
      </c>
      <c r="I141" s="26" t="n">
        <f aca="false">MAX(I140,IF(U140="OR",1,0))</f>
        <v>1</v>
      </c>
      <c r="J141" s="26" t="n">
        <f aca="false">MAX(J140,IF(U140="HP",1,0))</f>
        <v>1</v>
      </c>
      <c r="K141" s="26" t="n">
        <f aca="false">MAX(K140,IF(U140="FP",1,0))</f>
        <v>1</v>
      </c>
      <c r="L141" s="26" t="n">
        <f aca="false">MAX(L140,IF(U140="transition",1,0))</f>
        <v>1</v>
      </c>
      <c r="M141" s="28" t="n">
        <f aca="false">(Parameters!$B$9+(IF(E141=0,0,(Upgrades!$J$6+E141*Upgrades!$K$6)*POWER(Upgrades!$L$6,E141)))*(IF(Upgrades!$T$7="Solar Wind",POWER(Upgrades!$U$7,F141),1)*IF(Upgrades!$T$8="Solar Wind",POWER(Upgrades!$U$8,G141),1)*IF(Upgrades!$T$9="Solar Wind",POWER(Upgrades!$U$9,H141),1)*IF(Upgrades!$T$10="Solar Wind",POWER(Upgrades!$U$10,I141),1)*IF(Upgrades!$T$11="Solar Wind",POWER(Upgrades!$U$11,J141),1)*IF(Upgrades!$T$12="Solar Wind",POWER(Upgrades!$U$12,K141),1))+(IF(F141=0,0,(Upgrades!$J$7+F141*Upgrades!$K$7)*POWER(Upgrades!$L$7,F141)))*(IF(Upgrades!$T$6="Asteroid Belt",POWER(Upgrades!$U$6,E141),1)*IF(Upgrades!$T$8="Asteroid Belt",POWER(Upgrades!$U$8,G141),1)*IF(Upgrades!$T$9="Asteroid Belt",POWER(Upgrades!$U$9,H141),1)*IF(Upgrades!$T$10="Asteroid Belt",POWER(Upgrades!$U$10,I141),1)*IF(Upgrades!$T$11="Asteroid Belt",POWER(Upgrades!$U$11,J141),1)*IF(Upgrades!$T$12="Asteroid Belt",POWER(Upgrades!$U$12,K141),1))+(IF(G141=0,0,(Upgrades!$J$8+G141*Upgrades!$K$8)*POWER(Upgrades!$L$8,G141)))*(IF(Upgrades!$T$6="Stellar Coupling",POWER(Upgrades!$U$6,E141),1)*IF(Upgrades!$T$7="Stellar Coupling",POWER(Upgrades!$U$7,F141),1)*IF(Upgrades!$T$9="Stellar Coupling",POWER(Upgrades!$U$9,H141),1)*IF(Upgrades!$T$10="Stellar Coupling",POWER(Upgrades!$U$10,I141),1)*IF(Upgrades!$T$11="Stellar Coupling",POWER(Upgrades!$U$11,J141),1)*IF(Upgrades!$T$12="Stellar Coupling",POWER(Upgrades!$U$12,K141),1))+(IF(H141=0,0,(Upgrades!$J$9+H141*Upgrades!$K$9)*POWER(Upgrades!$L$9,H141)))*(IF(Upgrades!$T$6="Magnetosphere",POWER(Upgrades!$U$6,E141),1)*IF(Upgrades!$T$7="Magnetosphere",POWER(Upgrades!$U$7,F141),1)*IF(Upgrades!$T$8="Magnetosphere",POWER(Upgrades!$U$8,G141),1)*IF(Upgrades!$T$10="Magnetosphere",POWER(Upgrades!$U$10,I141),1)*IF(Upgrades!$T$11="Magnetosphere",POWER(Upgrades!$U$11,J141),1)*IF(Upgrades!$T$12="Magnetosphere",POWER(Upgrades!$U$12,K141),1))+(IF(I141=0,0,(Upgrades!$J$10+I141*Upgrades!$K$10)*POWER(Upgrades!$L$10,I141)))*(IF(Upgrades!$T$6="Orbital Resonance",POWER(Upgrades!$U$6,E141),1)*IF(Upgrades!$T$7="Orbital Resonance",POWER(Upgrades!$U$7,F141),1)*IF(Upgrades!$T$8="Orbital Resonance",POWER(Upgrades!$U$8,G141),1)*IF(Upgrades!$T$9="Orbital Resonance",POWER(Upgrades!$U$9,H141),1)*IF(Upgrades!$T$11="Orbital Resonance",POWER(Upgrades!$U$11,J141),1)*IF(Upgrades!$T$12="Orbital Resonance",POWER(Upgrades!$U$12,K141),1))+(IF(J141=0,0,(Upgrades!$J$11+J141*Upgrades!$K$11)*POWER(Upgrades!$L$11,J141)))*(IF(Upgrades!$T$6="Heliopause",POWER(Upgrades!$U$6,E141),1)*IF(Upgrades!$T$7="Heliopause",POWER(Upgrades!$U$7,F141),1)*IF(Upgrades!$T$8="Heliopause",POWER(Upgrades!$U$8,G141),1)*IF(Upgrades!$T$9="Heliopause",POWER(Upgrades!$U$9,H141),1)*IF(Upgrades!$T$10="Heliopause",POWER(Upgrades!$U$10,I141),1)*IF(Upgrades!$T$12="Heliopause",POWER(Upgrades!$U$12,K141),1))+(IF(K141=0,0,(Upgrades!$J$12+K141*Upgrades!$K$12)*POWER(Upgrades!$L$12,K141)))*(IF(Upgrades!$T$6="First Photons",POWER(Upgrades!$U$6,E141),1)*IF(Upgrades!$T$7="First Photons",POWER(Upgrades!$U$7,F141),1)*IF(Upgrades!$T$8="First Photons",POWER(Upgrades!$U$8,G141),1)*IF(Upgrades!$T$9="First Photons",POWER(Upgrades!$U$9,H141),1)*IF(Upgrades!$T$10="First Photons",POWER(Upgrades!$U$10,I141),1)*IF(Upgrades!$T$11="First Photons",POWER(Upgrades!$U$11,J141),1)))*POWER(Upgrades!$Q$6,E141)*POWER(Upgrades!$Q$7,F141)*POWER(Upgrades!$Q$8,G141)*POWER(Upgrades!$Q$9,H141)*POWER(Upgrades!$Q$10,I141)*POWER(Upgrades!$Q$11,J141)*POWER(Upgrades!$Q$12,K141)</f>
        <v>5.61</v>
      </c>
      <c r="N141" s="28" t="n">
        <f aca="false">((IF(E141=0,0,(Upgrades!$G$6+E141*Upgrades!$H$6)*POWER(Upgrades!$I$6,E141)))*(IF(Upgrades!$T$7="Solar Wind",POWER(Upgrades!$U$7,F141),1)*IF(Upgrades!$T$8="Solar Wind",POWER(Upgrades!$U$8,G141),1)*IF(Upgrades!$T$9="Solar Wind",POWER(Upgrades!$U$9,H141),1)*IF(Upgrades!$T$10="Solar Wind",POWER(Upgrades!$U$10,I141),1)*IF(Upgrades!$T$11="Solar Wind",POWER(Upgrades!$U$11,J141),1)*IF(Upgrades!$T$12="Solar Wind",POWER(Upgrades!$U$12,K141),1))+(IF(F141=0,0,(Upgrades!$G$7+F141*Upgrades!$H$7)*POWER(Upgrades!$I$7,F141)))*(IF(Upgrades!$T$6="Asteroid Belt",POWER(Upgrades!$U$6,E141),1)*IF(Upgrades!$T$8="Asteroid Belt",POWER(Upgrades!$U$8,G141),1)*IF(Upgrades!$T$9="Asteroid Belt",POWER(Upgrades!$U$9,H141),1)*IF(Upgrades!$T$10="Asteroid Belt",POWER(Upgrades!$U$10,I141),1)*IF(Upgrades!$T$11="Asteroid Belt",POWER(Upgrades!$U$11,J141),1)*IF(Upgrades!$T$12="Asteroid Belt",POWER(Upgrades!$U$12,K141),1))+(IF(G141=0,0,(Upgrades!$G$8+G141*Upgrades!$H$8)*POWER(Upgrades!$I$8,G141)))*(IF(Upgrades!$T$6="Stellar Coupling",POWER(Upgrades!$U$6,E141),1)*IF(Upgrades!$T$7="Stellar Coupling",POWER(Upgrades!$U$7,F141),1)*IF(Upgrades!$T$9="Stellar Coupling",POWER(Upgrades!$U$9,H141),1)*IF(Upgrades!$T$10="Stellar Coupling",POWER(Upgrades!$U$10,I141),1)*IF(Upgrades!$T$11="Stellar Coupling",POWER(Upgrades!$U$11,J141),1)*IF(Upgrades!$T$12="Stellar Coupling",POWER(Upgrades!$U$12,K141),1))+(IF(H141=0,0,(Upgrades!$G$9+H141*Upgrades!$H$9)*POWER(Upgrades!$I$9,H141)))*(IF(Upgrades!$T$6="Magnetosphere",POWER(Upgrades!$U$6,E141),1)*IF(Upgrades!$T$7="Magnetosphere",POWER(Upgrades!$U$7,F141),1)*IF(Upgrades!$T$8="Magnetosphere",POWER(Upgrades!$U$8,G141),1)*IF(Upgrades!$T$10="Magnetosphere",POWER(Upgrades!$U$10,I141),1)*IF(Upgrades!$T$11="Magnetosphere",POWER(Upgrades!$U$11,J141),1)*IF(Upgrades!$T$12="Magnetosphere",POWER(Upgrades!$U$12,K141),1))+(IF(I141=0,0,(Upgrades!$G$10+I141*Upgrades!$H$10)*POWER(Upgrades!$I$10,I141)))*(IF(Upgrades!$T$6="Orbital Resonance",POWER(Upgrades!$U$6,E141),1)*IF(Upgrades!$T$7="Orbital Resonance",POWER(Upgrades!$U$7,F141),1)*IF(Upgrades!$T$8="Orbital Resonance",POWER(Upgrades!$U$8,G141),1)*IF(Upgrades!$T$9="Orbital Resonance",POWER(Upgrades!$U$9,H141),1)*IF(Upgrades!$T$11="Orbital Resonance",POWER(Upgrades!$U$11,J141),1)*IF(Upgrades!$T$12="Orbital Resonance",POWER(Upgrades!$U$12,K141),1))+(IF(J141=0,0,(Upgrades!$G$11+J141*Upgrades!$H$11)*POWER(Upgrades!$I$11,J141)))*(IF(Upgrades!$T$6="Heliopause",POWER(Upgrades!$U$6,E141),1)*IF(Upgrades!$T$7="Heliopause",POWER(Upgrades!$U$7,F141),1)*IF(Upgrades!$T$8="Heliopause",POWER(Upgrades!$U$8,G141),1)*IF(Upgrades!$T$9="Heliopause",POWER(Upgrades!$U$9,H141),1)*IF(Upgrades!$T$10="Heliopause",POWER(Upgrades!$U$10,I141),1)*IF(Upgrades!$T$12="Heliopause",POWER(Upgrades!$U$12,K141),1))+(IF(K141=0,0,(Upgrades!$G$12+K141*Upgrades!$H$12)*POWER(Upgrades!$I$12,K141)))*(IF(Upgrades!$T$6="First Photons",POWER(Upgrades!$U$6,E141),1)*IF(Upgrades!$T$7="First Photons",POWER(Upgrades!$U$7,F141),1)*IF(Upgrades!$T$8="First Photons",POWER(Upgrades!$U$8,G141),1)*IF(Upgrades!$T$9="First Photons",POWER(Upgrades!$U$9,H141),1)*IF(Upgrades!$T$10="First Photons",POWER(Upgrades!$U$10,I141),1)*IF(Upgrades!$T$11="First Photons",POWER(Upgrades!$U$11,J141),1)))*POWER(Upgrades!$P$6,E141)*POWER(Upgrades!$P$7,F141)*POWER(Upgrades!$P$8,G141)*POWER(Upgrades!$P$9,H141)*POWER(Upgrades!$P$10,I141)*POWER(Upgrades!$P$11,J141)*POWER(Upgrades!$P$12,K141)</f>
        <v>11.2</v>
      </c>
      <c r="O141" s="28" t="n">
        <f aca="false">((IF(E141=0,0,(Upgrades!$M$6+E141*Upgrades!$N$6)*POWER(Upgrades!$O$6,E141)))*(IF(Upgrades!$T$7="Solar Wind",POWER(Upgrades!$U$7,F141),1)*IF(Upgrades!$T$8="Solar Wind",POWER(Upgrades!$U$8,G141),1)*IF(Upgrades!$T$9="Solar Wind",POWER(Upgrades!$U$9,H141),1)*IF(Upgrades!$T$10="Solar Wind",POWER(Upgrades!$U$10,I141),1)*IF(Upgrades!$T$11="Solar Wind",POWER(Upgrades!$U$11,J141),1)*IF(Upgrades!$T$12="Solar Wind",POWER(Upgrades!$U$12,K141),1))+(IF(F141=0,0,(Upgrades!$M$7+F141*Upgrades!$N$7)*POWER(Upgrades!$O$7,F141)))*(IF(Upgrades!$T$6="Asteroid Belt",POWER(Upgrades!$U$6,E141),1)*IF(Upgrades!$T$8="Asteroid Belt",POWER(Upgrades!$U$8,G141),1)*IF(Upgrades!$T$9="Asteroid Belt",POWER(Upgrades!$U$9,H141),1)*IF(Upgrades!$T$10="Asteroid Belt",POWER(Upgrades!$U$10,I141),1)*IF(Upgrades!$T$11="Asteroid Belt",POWER(Upgrades!$U$11,J141),1)*IF(Upgrades!$T$12="Asteroid Belt",POWER(Upgrades!$U$12,K141),1))+(IF(G141=0,0,(Upgrades!$M$8+G141*Upgrades!$N$8)*POWER(Upgrades!$O$8,G141)))*(IF(Upgrades!$T$6="Stellar Coupling",POWER(Upgrades!$U$6,E141),1)*IF(Upgrades!$T$7="Stellar Coupling",POWER(Upgrades!$U$7,F141),1)*IF(Upgrades!$T$9="Stellar Coupling",POWER(Upgrades!$U$9,H141),1)*IF(Upgrades!$T$10="Stellar Coupling",POWER(Upgrades!$U$10,I141),1)*IF(Upgrades!$T$11="Stellar Coupling",POWER(Upgrades!$U$11,J141),1)*IF(Upgrades!$T$12="Stellar Coupling",POWER(Upgrades!$U$12,K141),1))+(IF(H141=0,0,(Upgrades!$M$9+H141*Upgrades!$N$9)*POWER(Upgrades!$O$9,H141)))*(IF(Upgrades!$T$6="Magnetosphere",POWER(Upgrades!$U$6,E141),1)*IF(Upgrades!$T$7="Magnetosphere",POWER(Upgrades!$U$7,F141),1)*IF(Upgrades!$T$8="Magnetosphere",POWER(Upgrades!$U$8,G141),1)*IF(Upgrades!$T$10="Magnetosphere",POWER(Upgrades!$U$10,I141),1)*IF(Upgrades!$T$11="Magnetosphere",POWER(Upgrades!$U$11,J141),1)*IF(Upgrades!$T$12="Magnetosphere",POWER(Upgrades!$U$12,K141),1))+(IF(I141=0,0,(Upgrades!$M$10+I141*Upgrades!$N$10)*POWER(Upgrades!$O$10,I141)))*(IF(Upgrades!$T$6="Orbital Resonance",POWER(Upgrades!$U$6,E141),1)*IF(Upgrades!$T$7="Orbital Resonance",POWER(Upgrades!$U$7,F141),1)*IF(Upgrades!$T$8="Orbital Resonance",POWER(Upgrades!$U$8,G141),1)*IF(Upgrades!$T$9="Orbital Resonance",POWER(Upgrades!$U$9,H141),1)*IF(Upgrades!$T$11="Orbital Resonance",POWER(Upgrades!$U$11,J141),1)*IF(Upgrades!$T$12="Orbital Resonance",POWER(Upgrades!$U$12,K141),1))+(IF(J141=0,0,(Upgrades!$M$11+J141*Upgrades!$N$11)*POWER(Upgrades!$O$11,J141)))*(IF(Upgrades!$T$6="Heliopause",POWER(Upgrades!$U$6,E141),1)*IF(Upgrades!$T$7="Heliopause",POWER(Upgrades!$U$7,F141),1)*IF(Upgrades!$T$8="Heliopause",POWER(Upgrades!$U$8,G141),1)*IF(Upgrades!$T$9="Heliopause",POWER(Upgrades!$U$9,H141),1)*IF(Upgrades!$T$10="Heliopause",POWER(Upgrades!$U$10,I141),1)*IF(Upgrades!$T$12="Heliopause",POWER(Upgrades!$U$12,K141),1))+(IF(K141=0,0,(Upgrades!$M$12+K141*Upgrades!$N$12)*POWER(Upgrades!$O$12,K141)))*(IF(Upgrades!$T$6="First Photons",POWER(Upgrades!$U$6,E141),1)*IF(Upgrades!$T$7="First Photons",POWER(Upgrades!$U$7,F141),1)*IF(Upgrades!$T$8="First Photons",POWER(Upgrades!$U$8,G141),1)*IF(Upgrades!$T$9="First Photons",POWER(Upgrades!$U$9,H141),1)*IF(Upgrades!$T$10="First Photons",POWER(Upgrades!$U$10,I141),1)*IF(Upgrades!$T$11="First Photons",POWER(Upgrades!$U$11,J141),1)))*POWER(Upgrades!$R$6,E141)*POWER(Upgrades!$R$7,F141)*POWER(Upgrades!$R$8,G141)*POWER(Upgrades!$R$9,H141)*POWER(Upgrades!$R$10,I141)*POWER(Upgrades!$R$11,J141)*POWER(Upgrades!$R$12,K141)</f>
        <v>0</v>
      </c>
      <c r="P141" s="27" t="n">
        <f aca="false">IF(L141=1,0,M141*Parameters!$B$10/60*Parameters!$B$11*10)</f>
        <v>0</v>
      </c>
      <c r="Q141" s="27" t="n">
        <f aca="false">IF(L141=1,0,O141*M141*10)</f>
        <v>0</v>
      </c>
      <c r="R141" s="27" t="n">
        <f aca="false">IF(L141=1,0,N141*10)</f>
        <v>0</v>
      </c>
      <c r="S141" s="27" t="n">
        <f aca="false">P141+Q141+R141</f>
        <v>0</v>
      </c>
      <c r="T141" s="21" t="n">
        <f aca="false">C141+S141</f>
        <v>18.6730249835055</v>
      </c>
      <c r="U141" s="34" t="str">
        <f aca="false">AX141</f>
        <v/>
      </c>
      <c r="V141" s="21" t="n">
        <f aca="false">IF(U141="",0,IF(U141="transition",0,IF(U141="SW",AG141,IF(U141="AB",AH141,IF(U141="SC",AI141,IF(U141="Mag",AJ141,IF(U141="OR",AK141,IF(U141="HP",AL141,IF(U141="FP",AM141,0)))))))))</f>
        <v>0</v>
      </c>
      <c r="W141" s="27" t="n">
        <f aca="false">IF(U141="OR",Upgrades!$F$10,IF(U141="HP",Upgrades!$F$11,IF(U141="transition",-Parameters!$B$18,0)))</f>
        <v>0</v>
      </c>
      <c r="X141" s="21" t="n">
        <f aca="false">T141-V141</f>
        <v>18.6730249835055</v>
      </c>
      <c r="Y141" s="30" t="n">
        <f aca="false">M141*Parameters!$B$10/60*Parameters!$B$11+O141*M141+N141</f>
        <v>20.55</v>
      </c>
      <c r="Z141" s="35" t="str">
        <f aca="false">IF(U141="transition","→ Tier 2 (Stellar Neighborhood)",IF(U141="FP","First Photons — light begins, system quickens",IF(U141="HP","Heliopause acquired",IF(U141="OR","Orbital Resonance — passive multiplier active",IF(AND(AO141=1,L141=0,AN141&lt;&gt;1),"Cohesion ready (waiting on completionist upgrades)","")))))</f>
        <v/>
      </c>
      <c r="AA141" s="27" t="n">
        <f aca="false">(IF(E141=0,0,(Upgrades!$G$6+E141*Upgrades!$H$6)*POWER(Upgrades!$I$6,E141)))*(IF(Upgrades!$T$7="Solar Wind",POWER(Upgrades!$U$7,F141),1)*IF(Upgrades!$T$8="Solar Wind",POWER(Upgrades!$U$8,G141),1)*IF(Upgrades!$T$9="Solar Wind",POWER(Upgrades!$U$9,H141),1)*IF(Upgrades!$T$10="Solar Wind",POWER(Upgrades!$U$10,I141),1)*IF(Upgrades!$T$11="Solar Wind",POWER(Upgrades!$U$11,J141),1)*IF(Upgrades!$T$12="Solar Wind",POWER(Upgrades!$U$12,K141),1))*POWER(Upgrades!$P$6,E141)*POWER(Upgrades!$P$7,F141)*POWER(Upgrades!$P$8,G141)*POWER(Upgrades!$P$9,H141)*POWER(Upgrades!$P$10,I141)*POWER(Upgrades!$P$11,J141)*POWER(Upgrades!$P$12,K141)*60</f>
        <v>72</v>
      </c>
      <c r="AB141" s="27" t="n">
        <f aca="false">(IF(F141=0,0,(Upgrades!$G$7+F141*Upgrades!$H$7)*POWER(Upgrades!$I$7,F141)))*(IF(Upgrades!$T$6="Asteroid Belt",POWER(Upgrades!$U$6,E141),1)*IF(Upgrades!$T$8="Asteroid Belt",POWER(Upgrades!$U$8,G141),1)*IF(Upgrades!$T$9="Asteroid Belt",POWER(Upgrades!$U$9,H141),1)*IF(Upgrades!$T$10="Asteroid Belt",POWER(Upgrades!$U$10,I141),1)*IF(Upgrades!$T$11="Asteroid Belt",POWER(Upgrades!$U$11,J141),1)*IF(Upgrades!$T$12="Asteroid Belt",POWER(Upgrades!$U$12,K141),1))*POWER(Upgrades!$P$6,E141)*POWER(Upgrades!$P$7,F141)*POWER(Upgrades!$P$8,G141)*POWER(Upgrades!$P$9,H141)*POWER(Upgrades!$P$10,I141)*POWER(Upgrades!$P$11,J141)*POWER(Upgrades!$P$12,K141)*60</f>
        <v>150</v>
      </c>
      <c r="AC141" s="27" t="n">
        <f aca="false">(IF(G141=0,0,(Upgrades!$J$8+G141*Upgrades!$K$8)*POWER(Upgrades!$L$8,G141)))*(IF(Upgrades!$T$6="Stellar Coupling",POWER(Upgrades!$U$6,E141),1)*IF(Upgrades!$T$7="Stellar Coupling",POWER(Upgrades!$U$7,F141),1)*IF(Upgrades!$T$9="Stellar Coupling",POWER(Upgrades!$U$9,H141),1)*IF(Upgrades!$T$10="Stellar Coupling",POWER(Upgrades!$U$10,I141),1)*IF(Upgrades!$T$11="Stellar Coupling",POWER(Upgrades!$U$11,J141),1)*IF(Upgrades!$T$12="Stellar Coupling",POWER(Upgrades!$U$12,K141),1))*POWER(Upgrades!$Q$6,E141)*POWER(Upgrades!$Q$7,F141)*POWER(Upgrades!$Q$8,G141)*POWER(Upgrades!$Q$9,H141)*POWER(Upgrades!$Q$10,I141)*POWER(Upgrades!$Q$11,J141)*POWER(Upgrades!$Q$12,K141)*Parameters!$B$10*Parameters!$B$11</f>
        <v>441</v>
      </c>
      <c r="AD141" s="27" t="n">
        <f aca="false">(IF(H141=0,0,(Upgrades!$G$9+H141*Upgrades!$H$9)*POWER(Upgrades!$I$9,H141)))*(IF(Upgrades!$T$6="Magnetosphere",POWER(Upgrades!$U$6,E141),1)*IF(Upgrades!$T$7="Magnetosphere",POWER(Upgrades!$U$7,F141),1)*IF(Upgrades!$T$8="Magnetosphere",POWER(Upgrades!$U$8,G141),1)*IF(Upgrades!$T$10="Magnetosphere",POWER(Upgrades!$U$10,I141),1)*IF(Upgrades!$T$11="Magnetosphere",POWER(Upgrades!$U$11,J141),1)*IF(Upgrades!$T$12="Magnetosphere",POWER(Upgrades!$U$12,K141),1))*POWER(Upgrades!$P$6,E141)*POWER(Upgrades!$P$7,F141)*POWER(Upgrades!$P$8,G141)*POWER(Upgrades!$P$9,H141)*POWER(Upgrades!$P$10,I141)*POWER(Upgrades!$P$11,J141)*POWER(Upgrades!$P$12,K141)*60</f>
        <v>375</v>
      </c>
      <c r="AE141" s="27" t="n">
        <f aca="false">(IF(K141=0,0,(Upgrades!$G$12+K141*Upgrades!$H$12)*POWER(Upgrades!$I$12,K141)))*(IF(Upgrades!$T$6="First Photons",POWER(Upgrades!$U$6,E141),1)*IF(Upgrades!$T$7="First Photons",POWER(Upgrades!$U$7,F141),1)*IF(Upgrades!$T$8="First Photons",POWER(Upgrades!$U$8,G141),1)*IF(Upgrades!$T$9="First Photons",POWER(Upgrades!$U$9,H141),1)*IF(Upgrades!$T$10="First Photons",POWER(Upgrades!$U$10,I141),1)*IF(Upgrades!$T$11="First Photons",POWER(Upgrades!$U$11,J141),1))*POWER(Upgrades!$P$6,E141)*POWER(Upgrades!$P$7,F141)*POWER(Upgrades!$P$8,G141)*POWER(Upgrades!$P$9,H141)*POWER(Upgrades!$P$10,I141)*POWER(Upgrades!$P$11,J141)*POWER(Upgrades!$P$12,K141)*60</f>
        <v>75</v>
      </c>
      <c r="AF141" s="27" t="n">
        <f aca="false">Parameters!$B$9*POWER(Upgrades!$Q$6,E141)*POWER(Upgrades!$Q$7,F141)*POWER(Upgrades!$Q$8,G141)*POWER(Upgrades!$Q$9,H141)*POWER(Upgrades!$Q$10,I141)*POWER(Upgrades!$Q$11,J141)*POWER(Upgrades!$Q$12,K141)*(Parameters!$B$10*Parameters!$B$11+O141*60)</f>
        <v>120</v>
      </c>
      <c r="AG141" s="21" t="n">
        <f aca="false">IF(E141&gt;=Upgrades!$E$6,"",Upgrades!$C$6*POWER(Upgrades!$D$6,E141))</f>
        <v>37.4517507383159</v>
      </c>
      <c r="AH141" s="21" t="n">
        <f aca="false">IF(F141&gt;=Upgrades!$E$7,"",Upgrades!$C$7*POWER(Upgrades!$D$7,F141))</f>
        <v>80.9111547141581</v>
      </c>
      <c r="AI141" s="21" t="n">
        <f aca="false">IF(G141&gt;=Upgrades!$E$8,"",Upgrades!$C$8*POWER(Upgrades!$D$8,G141))</f>
        <v>231.9097088</v>
      </c>
      <c r="AJ141" s="21" t="str">
        <f aca="false">IF(H141&gt;=Upgrades!$E$9,"",Upgrades!$C$9*POWER(Upgrades!$D$9,H141))</f>
        <v/>
      </c>
      <c r="AK141" s="21" t="str">
        <f aca="false">IF(I141&gt;=Upgrades!$E$10,"",Upgrades!$C$10*POWER(Upgrades!$D$10,I141))</f>
        <v/>
      </c>
      <c r="AL141" s="21" t="str">
        <f aca="false">IF(J141&gt;=Upgrades!$E$11,"",Upgrades!$C$11*POWER(Upgrades!$D$11,J141))</f>
        <v/>
      </c>
      <c r="AM141" s="21" t="str">
        <f aca="false">IF(K141&gt;=Upgrades!$E$12,"",Upgrades!$C$12*POWER(Upgrades!$D$12,K141))</f>
        <v/>
      </c>
      <c r="AN141" s="26" t="str">
        <f aca="false">IF(AND(D141&gt;=Parameters!$B$18,(H141&gt;=Upgrades!$E$9)*(K141&gt;=Upgrades!$E$12)=1,L141=0),1,"")</f>
        <v/>
      </c>
      <c r="AO141" s="26" t="str">
        <f aca="false">IF(AND(D141&gt;=Parameters!$B$18,L141=0),1,"")</f>
        <v/>
      </c>
      <c r="AP141" s="21" t="n">
        <f aca="false">MIN(IF(ISNUMBER(AK141),AK141,9000000000000000),IF(ISNUMBER(AL141),AL141,9000000000000000),IF(ISNUMBER(AM141),AM141,9000000000000000))</f>
        <v>9000000000000000</v>
      </c>
      <c r="AQ141" s="21" t="n">
        <f aca="false">MIN(IF(ISNUMBER(AG141),AG141,9000000000000000),IF(ISNUMBER(AH141),AH141,9000000000000000),IF(ISNUMBER(AI141),AI141,9000000000000000),IF(ISNUMBER(AJ141),AJ141,9000000000000000))</f>
        <v>37.4517507383159</v>
      </c>
      <c r="AR141" s="32" t="b">
        <f aca="false">IF(AW141&gt;Parameters!$B$21*(MAX(IF(AND(NOT(AND(AO141=1,AN141&lt;&gt;1)),ISNUMBER(AG141),AG141&lt;=T141),AS141,0),IF(AND(NOT(AND(AO141=1,AN141&lt;&gt;1)),ISNUMBER(AH141),AH141&lt;=T141),AT141,0),IF(AND(NOT(AND(AO141=1,AN141&lt;&gt;1)),ISNUMBER(AI141),AI141&lt;=T141),AU141,0),IF(AND(ISNUMBER(AJ141),AJ141&lt;=T141),AV141,0))),TRUE(),FALSE())</f>
        <v>1</v>
      </c>
      <c r="AS141" s="33" t="n">
        <f aca="false">IFERROR(Upgrades!$H$6*(POWER(Upgrades!$P$6,E141)*POWER(Upgrades!$P$7,F141)*POWER(Upgrades!$P$8,G141)*POWER(Upgrades!$P$9,H141)*POWER(Upgrades!$P$10,I141)*POWER(Upgrades!$P$11,J141)*POWER(Upgrades!$P$12,K141))*(IF(Upgrades!$T$7="Solar Wind",POWER(Upgrades!$U$7,F141),1)*IF(Upgrades!$T$8="Solar Wind",POWER(Upgrades!$U$8,G141),1)*IF(Upgrades!$T$9="Solar Wind",POWER(Upgrades!$U$9,H141),1)*IF(Upgrades!$T$10="Solar Wind",POWER(Upgrades!$U$10,I141),1)*IF(Upgrades!$T$11="Solar Wind",POWER(Upgrades!$U$11,J141),1)*IF(Upgrades!$T$12="Solar Wind",POWER(Upgrades!$U$12,K141),1))/AG141,0)</f>
        <v>0.0026701021455238</v>
      </c>
      <c r="AT141" s="33" t="n">
        <f aca="false">IFERROR(Upgrades!$H$7*(POWER(Upgrades!$P$6,E141)*POWER(Upgrades!$P$7,F141)*POWER(Upgrades!$P$8,G141)*POWER(Upgrades!$P$9,H141)*POWER(Upgrades!$P$10,I141)*POWER(Upgrades!$P$11,J141)*POWER(Upgrades!$P$12,K141))*(IF(Upgrades!$T$6="Asteroid Belt",POWER(Upgrades!$U$6,E141),1)*IF(Upgrades!$T$8="Asteroid Belt",POWER(Upgrades!$U$8,G141),1)*IF(Upgrades!$T$9="Asteroid Belt",POWER(Upgrades!$U$9,H141),1)*IF(Upgrades!$T$10="Asteroid Belt",POWER(Upgrades!$U$10,I141),1)*IF(Upgrades!$T$11="Asteroid Belt",POWER(Upgrades!$U$11,J141),1)*IF(Upgrades!$T$12="Asteroid Belt",POWER(Upgrades!$U$12,K141),1))/AH141,0)</f>
        <v>0.00308980882652332</v>
      </c>
      <c r="AU141" s="33" t="n">
        <f aca="false">IFERROR(Upgrades!$K$8*(POWER(Upgrades!$Q$6,E141)*POWER(Upgrades!$Q$7,F141)*POWER(Upgrades!$Q$8,G141)*POWER(Upgrades!$Q$9,H141)*POWER(Upgrades!$Q$10,I141)*POWER(Upgrades!$Q$11,J141)*POWER(Upgrades!$Q$12,K141))*(IF(Upgrades!$T$6="Stellar Coupling",POWER(Upgrades!$U$6,E141),1)*IF(Upgrades!$T$7="Stellar Coupling",POWER(Upgrades!$U$7,F141),1)*IF(Upgrades!$T$9="Stellar Coupling",POWER(Upgrades!$U$9,H141),1)*IF(Upgrades!$T$10="Stellar Coupling",POWER(Upgrades!$U$10,I141),1)*IF(Upgrades!$T$11="Stellar Coupling",POWER(Upgrades!$U$11,J141),1)*IF(Upgrades!$T$12="Stellar Coupling",POWER(Upgrades!$U$12,K141),1))*Parameters!$B$10*Parameters!$B$11/60/AI141,0)</f>
        <v>0.00452762415783776</v>
      </c>
      <c r="AV141" s="33" t="n">
        <f aca="false">IFERROR(Upgrades!$H$9*(POWER(Upgrades!$P$6,E141)*POWER(Upgrades!$P$7,F141)*POWER(Upgrades!$P$8,G141)*POWER(Upgrades!$P$9,H141)*POWER(Upgrades!$P$10,I141)*POWER(Upgrades!$P$11,J141)*POWER(Upgrades!$P$12,K141))*(IF(Upgrades!$T$6="Magnetosphere",POWER(Upgrades!$U$6,E141),1)*IF(Upgrades!$T$7="Magnetosphere",POWER(Upgrades!$U$7,F141),1)*IF(Upgrades!$T$8="Magnetosphere",POWER(Upgrades!$U$8,G141),1)*IF(Upgrades!$T$10="Magnetosphere",POWER(Upgrades!$U$10,I141),1)*IF(Upgrades!$T$11="Magnetosphere",POWER(Upgrades!$U$11,J141),1)*IF(Upgrades!$T$12="Magnetosphere",POWER(Upgrades!$U$12,K141),1))/AJ141,0)</f>
        <v>0</v>
      </c>
      <c r="AW141" s="33" t="n">
        <f aca="false">MAX(IF(I141&gt;0,0,IFERROR(0.25*N141/Upgrades!$C$10,0)),IF(J141&gt;0,0,IFERROR(0.5*((IF(G141=0,0,(Upgrades!$J$8+G141*Upgrades!$K$8)*POWER(Upgrades!$L$8,G141)))*(IF(Upgrades!$T$6="Stellar Coupling",POWER(Upgrades!$U$6,E141),1)*IF(Upgrades!$T$7="Stellar Coupling",POWER(Upgrades!$U$7,F141),1)*IF(Upgrades!$T$9="Stellar Coupling",POWER(Upgrades!$U$9,H141),1)*IF(Upgrades!$T$10="Stellar Coupling",POWER(Upgrades!$U$10,I141),1)*IF(Upgrades!$T$11="Stellar Coupling",POWER(Upgrades!$U$11,J141),1)*IF(Upgrades!$T$12="Stellar Coupling",POWER(Upgrades!$U$12,K141),1))*(POWER(Upgrades!$Q$6,E141)*POWER(Upgrades!$Q$7,F141)*POWER(Upgrades!$Q$8,G141)*POWER(Upgrades!$Q$9,H141)*POWER(Upgrades!$Q$10,I141)*POWER(Upgrades!$Q$11,J141)*POWER(Upgrades!$Q$12,K141))*Parameters!$B$10*Parameters!$B$11/60)/Upgrades!$C$11,0)),IF(K141&gt;0,0,IFERROR((1*(POWER(Upgrades!$P$6,E141)*POWER(Upgrades!$P$7,F141)*POWER(Upgrades!$P$8,G141)*POWER(Upgrades!$P$9,H141)*POWER(Upgrades!$P$10,I141)*POWER(Upgrades!$P$11,J141)*POWER(Upgrades!$P$12,K141))+0.2*M141*Parameters!$B$10*Parameters!$B$11/60)/Upgrades!$C$12,0)),IF(AND(ISNUMBER(AG141),AG141&gt;T141),AS141,0),IF(AND(ISNUMBER(AH141),AH141&gt;T141),AT141,0),IF(AND(ISNUMBER(AI141),AI141&gt;T141),AU141,0),IF(AND(ISNUMBER(AJ141),AJ141&gt;T141),AV141,0))</f>
        <v>0.00452762415783776</v>
      </c>
      <c r="AX141" s="29" t="str">
        <f aca="false">IF(AN141=1,"transition",IF(MIN(IF(AND(I141=0,ISNUMBER(AK141),AK141&lt;=T141),AK141,9000000000000000),IF(AND(J141=0,ISNUMBER(AL141),AL141&lt;=T141),AL141,9000000000000000),IF(AND(K141=0,ISNUMBER(AM141),AM141&lt;=T141),AM141,9000000000000000))&lt;9000000000000000,IF(AND(AND(I141=0,ISNUMBER(AK141),AK141&lt;=T141),AK141=MIN(IF(AND(I141=0,ISNUMBER(AK141),AK141&lt;=T141),AK141,9000000000000000),IF(AND(J141=0,ISNUMBER(AL141),AL141&lt;=T141),AL141,9000000000000000),IF(AND(K141=0,ISNUMBER(AM141),AM141&lt;=T141),AM141,9000000000000000))),"OR",IF(AND(AND(J141=0,ISNUMBER(AL141),AL141&lt;=T141),AL141=MIN(IF(AND(I141=0,ISNUMBER(AK141),AK141&lt;=T141),AK141,9000000000000000),IF(AND(J141=0,ISNUMBER(AL141),AL141&lt;=T141),AL141,9000000000000000),IF(AND(K141=0,ISNUMBER(AM141),AM141&lt;=T141),AM141,9000000000000000))),"HP","FP")),IF(AR141=TRUE(),"",IF(MAX(IF(AND(NOT(AND(AO141=1,AN141&lt;&gt;1)),ISNUMBER(AG141),AG141&lt;=T141),AS141,0),IF(AND(NOT(AND(AO141=1,AN141&lt;&gt;1)),ISNUMBER(AH141),AH141&lt;=T141),AT141,0),IF(AND(NOT(AND(AO141=1,AN141&lt;&gt;1)),ISNUMBER(AI141),AI141&lt;=T141),AU141,0),IF(AND(ISNUMBER(AJ141),AJ141&lt;=T141),AV141,0))&lt;=0,"",IF(AND(IF(AND(NOT(AND(AO141=1,AN141&lt;&gt;1)),ISNUMBER(AG141),AG141&lt;=T141),AS141,0)&gt;0,IF(AND(NOT(AND(AO141=1,AN141&lt;&gt;1)),ISNUMBER(AG141),AG141&lt;=T141),AS141,0)=MAX(IF(AND(NOT(AND(AO141=1,AN141&lt;&gt;1)),ISNUMBER(AG141),AG141&lt;=T141),AS141,0),IF(AND(NOT(AND(AO141=1,AN141&lt;&gt;1)),ISNUMBER(AH141),AH141&lt;=T141),AT141,0),IF(AND(NOT(AND(AO141=1,AN141&lt;&gt;1)),ISNUMBER(AI141),AI141&lt;=T141),AU141,0),IF(AND(ISNUMBER(AJ141),AJ141&lt;=T141),AV141,0))),"SW",IF(AND(IF(AND(NOT(AND(AO141=1,AN141&lt;&gt;1)),ISNUMBER(AH141),AH141&lt;=T141),AT141,0)&gt;0,IF(AND(NOT(AND(AO141=1,AN141&lt;&gt;1)),ISNUMBER(AH141),AH141&lt;=T141),AT141,0)=MAX(IF(AND(NOT(AND(AO141=1,AN141&lt;&gt;1)),ISNUMBER(AG141),AG141&lt;=T141),AS141,0),IF(AND(NOT(AND(AO141=1,AN141&lt;&gt;1)),ISNUMBER(AH141),AH141&lt;=T141),AT141,0),IF(AND(NOT(AND(AO141=1,AN141&lt;&gt;1)),ISNUMBER(AI141),AI141&lt;=T141),AU141,0),IF(AND(ISNUMBER(AJ141),AJ141&lt;=T141),AV141,0))),"AB",IF(AND(IF(AND(NOT(AND(AO141=1,AN141&lt;&gt;1)),ISNUMBER(AI141),AI141&lt;=T141),AU141,0)&gt;0,IF(AND(NOT(AND(AO141=1,AN141&lt;&gt;1)),ISNUMBER(AI141),AI141&lt;=T141),AU141,0)=MAX(IF(AND(NOT(AND(AO141=1,AN141&lt;&gt;1)),ISNUMBER(AG141),AG141&lt;=T141),AS141,0),IF(AND(NOT(AND(AO141=1,AN141&lt;&gt;1)),ISNUMBER(AH141),AH141&lt;=T141),AT141,0),IF(AND(NOT(AND(AO141=1,AN141&lt;&gt;1)),ISNUMBER(AI141),AI141&lt;=T141),AU141,0),IF(AND(ISNUMBER(AJ141),AJ141&lt;=T141),AV141,0))),"SC","Mag")))))))</f>
        <v/>
      </c>
    </row>
    <row r="142" customFormat="false" ht="15" hidden="false" customHeight="false" outlineLevel="0" collapsed="false">
      <c r="A142" s="26" t="n">
        <v>137</v>
      </c>
      <c r="B142" s="27" t="n">
        <f aca="false">A142*10/60</f>
        <v>22.8333333333333</v>
      </c>
      <c r="C142" s="21" t="n">
        <f aca="false">X141</f>
        <v>18.6730249835055</v>
      </c>
      <c r="D142" s="27" t="n">
        <f aca="false">D141+W141</f>
        <v>0</v>
      </c>
      <c r="E142" s="26" t="n">
        <f aca="false">E141+IF(U141="SW",1,0)</f>
        <v>12</v>
      </c>
      <c r="F142" s="26" t="n">
        <f aca="false">F141+IF(U141="AB",1,0)</f>
        <v>10</v>
      </c>
      <c r="G142" s="26" t="n">
        <f aca="false">G141+IF(U141="SC",1,0)</f>
        <v>7</v>
      </c>
      <c r="H142" s="26" t="n">
        <f aca="false">H141+IF(U141="Mag",1,0)</f>
        <v>5</v>
      </c>
      <c r="I142" s="26" t="n">
        <f aca="false">MAX(I141,IF(U141="OR",1,0))</f>
        <v>1</v>
      </c>
      <c r="J142" s="26" t="n">
        <f aca="false">MAX(J141,IF(U141="HP",1,0))</f>
        <v>1</v>
      </c>
      <c r="K142" s="26" t="n">
        <f aca="false">MAX(K141,IF(U141="FP",1,0))</f>
        <v>1</v>
      </c>
      <c r="L142" s="26" t="n">
        <f aca="false">MAX(L141,IF(U141="transition",1,0))</f>
        <v>1</v>
      </c>
      <c r="M142" s="28" t="n">
        <f aca="false">(Parameters!$B$9+(IF(E142=0,0,(Upgrades!$J$6+E142*Upgrades!$K$6)*POWER(Upgrades!$L$6,E142)))*(IF(Upgrades!$T$7="Solar Wind",POWER(Upgrades!$U$7,F142),1)*IF(Upgrades!$T$8="Solar Wind",POWER(Upgrades!$U$8,G142),1)*IF(Upgrades!$T$9="Solar Wind",POWER(Upgrades!$U$9,H142),1)*IF(Upgrades!$T$10="Solar Wind",POWER(Upgrades!$U$10,I142),1)*IF(Upgrades!$T$11="Solar Wind",POWER(Upgrades!$U$11,J142),1)*IF(Upgrades!$T$12="Solar Wind",POWER(Upgrades!$U$12,K142),1))+(IF(F142=0,0,(Upgrades!$J$7+F142*Upgrades!$K$7)*POWER(Upgrades!$L$7,F142)))*(IF(Upgrades!$T$6="Asteroid Belt",POWER(Upgrades!$U$6,E142),1)*IF(Upgrades!$T$8="Asteroid Belt",POWER(Upgrades!$U$8,G142),1)*IF(Upgrades!$T$9="Asteroid Belt",POWER(Upgrades!$U$9,H142),1)*IF(Upgrades!$T$10="Asteroid Belt",POWER(Upgrades!$U$10,I142),1)*IF(Upgrades!$T$11="Asteroid Belt",POWER(Upgrades!$U$11,J142),1)*IF(Upgrades!$T$12="Asteroid Belt",POWER(Upgrades!$U$12,K142),1))+(IF(G142=0,0,(Upgrades!$J$8+G142*Upgrades!$K$8)*POWER(Upgrades!$L$8,G142)))*(IF(Upgrades!$T$6="Stellar Coupling",POWER(Upgrades!$U$6,E142),1)*IF(Upgrades!$T$7="Stellar Coupling",POWER(Upgrades!$U$7,F142),1)*IF(Upgrades!$T$9="Stellar Coupling",POWER(Upgrades!$U$9,H142),1)*IF(Upgrades!$T$10="Stellar Coupling",POWER(Upgrades!$U$10,I142),1)*IF(Upgrades!$T$11="Stellar Coupling",POWER(Upgrades!$U$11,J142),1)*IF(Upgrades!$T$12="Stellar Coupling",POWER(Upgrades!$U$12,K142),1))+(IF(H142=0,0,(Upgrades!$J$9+H142*Upgrades!$K$9)*POWER(Upgrades!$L$9,H142)))*(IF(Upgrades!$T$6="Magnetosphere",POWER(Upgrades!$U$6,E142),1)*IF(Upgrades!$T$7="Magnetosphere",POWER(Upgrades!$U$7,F142),1)*IF(Upgrades!$T$8="Magnetosphere",POWER(Upgrades!$U$8,G142),1)*IF(Upgrades!$T$10="Magnetosphere",POWER(Upgrades!$U$10,I142),1)*IF(Upgrades!$T$11="Magnetosphere",POWER(Upgrades!$U$11,J142),1)*IF(Upgrades!$T$12="Magnetosphere",POWER(Upgrades!$U$12,K142),1))+(IF(I142=0,0,(Upgrades!$J$10+I142*Upgrades!$K$10)*POWER(Upgrades!$L$10,I142)))*(IF(Upgrades!$T$6="Orbital Resonance",POWER(Upgrades!$U$6,E142),1)*IF(Upgrades!$T$7="Orbital Resonance",POWER(Upgrades!$U$7,F142),1)*IF(Upgrades!$T$8="Orbital Resonance",POWER(Upgrades!$U$8,G142),1)*IF(Upgrades!$T$9="Orbital Resonance",POWER(Upgrades!$U$9,H142),1)*IF(Upgrades!$T$11="Orbital Resonance",POWER(Upgrades!$U$11,J142),1)*IF(Upgrades!$T$12="Orbital Resonance",POWER(Upgrades!$U$12,K142),1))+(IF(J142=0,0,(Upgrades!$J$11+J142*Upgrades!$K$11)*POWER(Upgrades!$L$11,J142)))*(IF(Upgrades!$T$6="Heliopause",POWER(Upgrades!$U$6,E142),1)*IF(Upgrades!$T$7="Heliopause",POWER(Upgrades!$U$7,F142),1)*IF(Upgrades!$T$8="Heliopause",POWER(Upgrades!$U$8,G142),1)*IF(Upgrades!$T$9="Heliopause",POWER(Upgrades!$U$9,H142),1)*IF(Upgrades!$T$10="Heliopause",POWER(Upgrades!$U$10,I142),1)*IF(Upgrades!$T$12="Heliopause",POWER(Upgrades!$U$12,K142),1))+(IF(K142=0,0,(Upgrades!$J$12+K142*Upgrades!$K$12)*POWER(Upgrades!$L$12,K142)))*(IF(Upgrades!$T$6="First Photons",POWER(Upgrades!$U$6,E142),1)*IF(Upgrades!$T$7="First Photons",POWER(Upgrades!$U$7,F142),1)*IF(Upgrades!$T$8="First Photons",POWER(Upgrades!$U$8,G142),1)*IF(Upgrades!$T$9="First Photons",POWER(Upgrades!$U$9,H142),1)*IF(Upgrades!$T$10="First Photons",POWER(Upgrades!$U$10,I142),1)*IF(Upgrades!$T$11="First Photons",POWER(Upgrades!$U$11,J142),1)))*POWER(Upgrades!$Q$6,E142)*POWER(Upgrades!$Q$7,F142)*POWER(Upgrades!$Q$8,G142)*POWER(Upgrades!$Q$9,H142)*POWER(Upgrades!$Q$10,I142)*POWER(Upgrades!$Q$11,J142)*POWER(Upgrades!$Q$12,K142)</f>
        <v>5.61</v>
      </c>
      <c r="N142" s="28" t="n">
        <f aca="false">((IF(E142=0,0,(Upgrades!$G$6+E142*Upgrades!$H$6)*POWER(Upgrades!$I$6,E142)))*(IF(Upgrades!$T$7="Solar Wind",POWER(Upgrades!$U$7,F142),1)*IF(Upgrades!$T$8="Solar Wind",POWER(Upgrades!$U$8,G142),1)*IF(Upgrades!$T$9="Solar Wind",POWER(Upgrades!$U$9,H142),1)*IF(Upgrades!$T$10="Solar Wind",POWER(Upgrades!$U$10,I142),1)*IF(Upgrades!$T$11="Solar Wind",POWER(Upgrades!$U$11,J142),1)*IF(Upgrades!$T$12="Solar Wind",POWER(Upgrades!$U$12,K142),1))+(IF(F142=0,0,(Upgrades!$G$7+F142*Upgrades!$H$7)*POWER(Upgrades!$I$7,F142)))*(IF(Upgrades!$T$6="Asteroid Belt",POWER(Upgrades!$U$6,E142),1)*IF(Upgrades!$T$8="Asteroid Belt",POWER(Upgrades!$U$8,G142),1)*IF(Upgrades!$T$9="Asteroid Belt",POWER(Upgrades!$U$9,H142),1)*IF(Upgrades!$T$10="Asteroid Belt",POWER(Upgrades!$U$10,I142),1)*IF(Upgrades!$T$11="Asteroid Belt",POWER(Upgrades!$U$11,J142),1)*IF(Upgrades!$T$12="Asteroid Belt",POWER(Upgrades!$U$12,K142),1))+(IF(G142=0,0,(Upgrades!$G$8+G142*Upgrades!$H$8)*POWER(Upgrades!$I$8,G142)))*(IF(Upgrades!$T$6="Stellar Coupling",POWER(Upgrades!$U$6,E142),1)*IF(Upgrades!$T$7="Stellar Coupling",POWER(Upgrades!$U$7,F142),1)*IF(Upgrades!$T$9="Stellar Coupling",POWER(Upgrades!$U$9,H142),1)*IF(Upgrades!$T$10="Stellar Coupling",POWER(Upgrades!$U$10,I142),1)*IF(Upgrades!$T$11="Stellar Coupling",POWER(Upgrades!$U$11,J142),1)*IF(Upgrades!$T$12="Stellar Coupling",POWER(Upgrades!$U$12,K142),1))+(IF(H142=0,0,(Upgrades!$G$9+H142*Upgrades!$H$9)*POWER(Upgrades!$I$9,H142)))*(IF(Upgrades!$T$6="Magnetosphere",POWER(Upgrades!$U$6,E142),1)*IF(Upgrades!$T$7="Magnetosphere",POWER(Upgrades!$U$7,F142),1)*IF(Upgrades!$T$8="Magnetosphere",POWER(Upgrades!$U$8,G142),1)*IF(Upgrades!$T$10="Magnetosphere",POWER(Upgrades!$U$10,I142),1)*IF(Upgrades!$T$11="Magnetosphere",POWER(Upgrades!$U$11,J142),1)*IF(Upgrades!$T$12="Magnetosphere",POWER(Upgrades!$U$12,K142),1))+(IF(I142=0,0,(Upgrades!$G$10+I142*Upgrades!$H$10)*POWER(Upgrades!$I$10,I142)))*(IF(Upgrades!$T$6="Orbital Resonance",POWER(Upgrades!$U$6,E142),1)*IF(Upgrades!$T$7="Orbital Resonance",POWER(Upgrades!$U$7,F142),1)*IF(Upgrades!$T$8="Orbital Resonance",POWER(Upgrades!$U$8,G142),1)*IF(Upgrades!$T$9="Orbital Resonance",POWER(Upgrades!$U$9,H142),1)*IF(Upgrades!$T$11="Orbital Resonance",POWER(Upgrades!$U$11,J142),1)*IF(Upgrades!$T$12="Orbital Resonance",POWER(Upgrades!$U$12,K142),1))+(IF(J142=0,0,(Upgrades!$G$11+J142*Upgrades!$H$11)*POWER(Upgrades!$I$11,J142)))*(IF(Upgrades!$T$6="Heliopause",POWER(Upgrades!$U$6,E142),1)*IF(Upgrades!$T$7="Heliopause",POWER(Upgrades!$U$7,F142),1)*IF(Upgrades!$T$8="Heliopause",POWER(Upgrades!$U$8,G142),1)*IF(Upgrades!$T$9="Heliopause",POWER(Upgrades!$U$9,H142),1)*IF(Upgrades!$T$10="Heliopause",POWER(Upgrades!$U$10,I142),1)*IF(Upgrades!$T$12="Heliopause",POWER(Upgrades!$U$12,K142),1))+(IF(K142=0,0,(Upgrades!$G$12+K142*Upgrades!$H$12)*POWER(Upgrades!$I$12,K142)))*(IF(Upgrades!$T$6="First Photons",POWER(Upgrades!$U$6,E142),1)*IF(Upgrades!$T$7="First Photons",POWER(Upgrades!$U$7,F142),1)*IF(Upgrades!$T$8="First Photons",POWER(Upgrades!$U$8,G142),1)*IF(Upgrades!$T$9="First Photons",POWER(Upgrades!$U$9,H142),1)*IF(Upgrades!$T$10="First Photons",POWER(Upgrades!$U$10,I142),1)*IF(Upgrades!$T$11="First Photons",POWER(Upgrades!$U$11,J142),1)))*POWER(Upgrades!$P$6,E142)*POWER(Upgrades!$P$7,F142)*POWER(Upgrades!$P$8,G142)*POWER(Upgrades!$P$9,H142)*POWER(Upgrades!$P$10,I142)*POWER(Upgrades!$P$11,J142)*POWER(Upgrades!$P$12,K142)</f>
        <v>11.2</v>
      </c>
      <c r="O142" s="28" t="n">
        <f aca="false">((IF(E142=0,0,(Upgrades!$M$6+E142*Upgrades!$N$6)*POWER(Upgrades!$O$6,E142)))*(IF(Upgrades!$T$7="Solar Wind",POWER(Upgrades!$U$7,F142),1)*IF(Upgrades!$T$8="Solar Wind",POWER(Upgrades!$U$8,G142),1)*IF(Upgrades!$T$9="Solar Wind",POWER(Upgrades!$U$9,H142),1)*IF(Upgrades!$T$10="Solar Wind",POWER(Upgrades!$U$10,I142),1)*IF(Upgrades!$T$11="Solar Wind",POWER(Upgrades!$U$11,J142),1)*IF(Upgrades!$T$12="Solar Wind",POWER(Upgrades!$U$12,K142),1))+(IF(F142=0,0,(Upgrades!$M$7+F142*Upgrades!$N$7)*POWER(Upgrades!$O$7,F142)))*(IF(Upgrades!$T$6="Asteroid Belt",POWER(Upgrades!$U$6,E142),1)*IF(Upgrades!$T$8="Asteroid Belt",POWER(Upgrades!$U$8,G142),1)*IF(Upgrades!$T$9="Asteroid Belt",POWER(Upgrades!$U$9,H142),1)*IF(Upgrades!$T$10="Asteroid Belt",POWER(Upgrades!$U$10,I142),1)*IF(Upgrades!$T$11="Asteroid Belt",POWER(Upgrades!$U$11,J142),1)*IF(Upgrades!$T$12="Asteroid Belt",POWER(Upgrades!$U$12,K142),1))+(IF(G142=0,0,(Upgrades!$M$8+G142*Upgrades!$N$8)*POWER(Upgrades!$O$8,G142)))*(IF(Upgrades!$T$6="Stellar Coupling",POWER(Upgrades!$U$6,E142),1)*IF(Upgrades!$T$7="Stellar Coupling",POWER(Upgrades!$U$7,F142),1)*IF(Upgrades!$T$9="Stellar Coupling",POWER(Upgrades!$U$9,H142),1)*IF(Upgrades!$T$10="Stellar Coupling",POWER(Upgrades!$U$10,I142),1)*IF(Upgrades!$T$11="Stellar Coupling",POWER(Upgrades!$U$11,J142),1)*IF(Upgrades!$T$12="Stellar Coupling",POWER(Upgrades!$U$12,K142),1))+(IF(H142=0,0,(Upgrades!$M$9+H142*Upgrades!$N$9)*POWER(Upgrades!$O$9,H142)))*(IF(Upgrades!$T$6="Magnetosphere",POWER(Upgrades!$U$6,E142),1)*IF(Upgrades!$T$7="Magnetosphere",POWER(Upgrades!$U$7,F142),1)*IF(Upgrades!$T$8="Magnetosphere",POWER(Upgrades!$U$8,G142),1)*IF(Upgrades!$T$10="Magnetosphere",POWER(Upgrades!$U$10,I142),1)*IF(Upgrades!$T$11="Magnetosphere",POWER(Upgrades!$U$11,J142),1)*IF(Upgrades!$T$12="Magnetosphere",POWER(Upgrades!$U$12,K142),1))+(IF(I142=0,0,(Upgrades!$M$10+I142*Upgrades!$N$10)*POWER(Upgrades!$O$10,I142)))*(IF(Upgrades!$T$6="Orbital Resonance",POWER(Upgrades!$U$6,E142),1)*IF(Upgrades!$T$7="Orbital Resonance",POWER(Upgrades!$U$7,F142),1)*IF(Upgrades!$T$8="Orbital Resonance",POWER(Upgrades!$U$8,G142),1)*IF(Upgrades!$T$9="Orbital Resonance",POWER(Upgrades!$U$9,H142),1)*IF(Upgrades!$T$11="Orbital Resonance",POWER(Upgrades!$U$11,J142),1)*IF(Upgrades!$T$12="Orbital Resonance",POWER(Upgrades!$U$12,K142),1))+(IF(J142=0,0,(Upgrades!$M$11+J142*Upgrades!$N$11)*POWER(Upgrades!$O$11,J142)))*(IF(Upgrades!$T$6="Heliopause",POWER(Upgrades!$U$6,E142),1)*IF(Upgrades!$T$7="Heliopause",POWER(Upgrades!$U$7,F142),1)*IF(Upgrades!$T$8="Heliopause",POWER(Upgrades!$U$8,G142),1)*IF(Upgrades!$T$9="Heliopause",POWER(Upgrades!$U$9,H142),1)*IF(Upgrades!$T$10="Heliopause",POWER(Upgrades!$U$10,I142),1)*IF(Upgrades!$T$12="Heliopause",POWER(Upgrades!$U$12,K142),1))+(IF(K142=0,0,(Upgrades!$M$12+K142*Upgrades!$N$12)*POWER(Upgrades!$O$12,K142)))*(IF(Upgrades!$T$6="First Photons",POWER(Upgrades!$U$6,E142),1)*IF(Upgrades!$T$7="First Photons",POWER(Upgrades!$U$7,F142),1)*IF(Upgrades!$T$8="First Photons",POWER(Upgrades!$U$8,G142),1)*IF(Upgrades!$T$9="First Photons",POWER(Upgrades!$U$9,H142),1)*IF(Upgrades!$T$10="First Photons",POWER(Upgrades!$U$10,I142),1)*IF(Upgrades!$T$11="First Photons",POWER(Upgrades!$U$11,J142),1)))*POWER(Upgrades!$R$6,E142)*POWER(Upgrades!$R$7,F142)*POWER(Upgrades!$R$8,G142)*POWER(Upgrades!$R$9,H142)*POWER(Upgrades!$R$10,I142)*POWER(Upgrades!$R$11,J142)*POWER(Upgrades!$R$12,K142)</f>
        <v>0</v>
      </c>
      <c r="P142" s="27" t="n">
        <f aca="false">IF(L142=1,0,M142*Parameters!$B$10/60*Parameters!$B$11*10)</f>
        <v>0</v>
      </c>
      <c r="Q142" s="27" t="n">
        <f aca="false">IF(L142=1,0,O142*M142*10)</f>
        <v>0</v>
      </c>
      <c r="R142" s="27" t="n">
        <f aca="false">IF(L142=1,0,N142*10)</f>
        <v>0</v>
      </c>
      <c r="S142" s="27" t="n">
        <f aca="false">P142+Q142+R142</f>
        <v>0</v>
      </c>
      <c r="T142" s="21" t="n">
        <f aca="false">C142+S142</f>
        <v>18.6730249835055</v>
      </c>
      <c r="U142" s="34" t="str">
        <f aca="false">AX142</f>
        <v/>
      </c>
      <c r="V142" s="21" t="n">
        <f aca="false">IF(U142="",0,IF(U142="transition",0,IF(U142="SW",AG142,IF(U142="AB",AH142,IF(U142="SC",AI142,IF(U142="Mag",AJ142,IF(U142="OR",AK142,IF(U142="HP",AL142,IF(U142="FP",AM142,0)))))))))</f>
        <v>0</v>
      </c>
      <c r="W142" s="27" t="n">
        <f aca="false">IF(U142="OR",Upgrades!$F$10,IF(U142="HP",Upgrades!$F$11,IF(U142="transition",-Parameters!$B$18,0)))</f>
        <v>0</v>
      </c>
      <c r="X142" s="21" t="n">
        <f aca="false">T142-V142</f>
        <v>18.6730249835055</v>
      </c>
      <c r="Y142" s="30" t="n">
        <f aca="false">M142*Parameters!$B$10/60*Parameters!$B$11+O142*M142+N142</f>
        <v>20.55</v>
      </c>
      <c r="Z142" s="35" t="str">
        <f aca="false">IF(U142="transition","→ Tier 2 (Stellar Neighborhood)",IF(U142="FP","First Photons — light begins, system quickens",IF(U142="HP","Heliopause acquired",IF(U142="OR","Orbital Resonance — passive multiplier active",IF(AND(AO142=1,L142=0,AN142&lt;&gt;1),"Cohesion ready (waiting on completionist upgrades)","")))))</f>
        <v/>
      </c>
      <c r="AA142" s="27" t="n">
        <f aca="false">(IF(E142=0,0,(Upgrades!$G$6+E142*Upgrades!$H$6)*POWER(Upgrades!$I$6,E142)))*(IF(Upgrades!$T$7="Solar Wind",POWER(Upgrades!$U$7,F142),1)*IF(Upgrades!$T$8="Solar Wind",POWER(Upgrades!$U$8,G142),1)*IF(Upgrades!$T$9="Solar Wind",POWER(Upgrades!$U$9,H142),1)*IF(Upgrades!$T$10="Solar Wind",POWER(Upgrades!$U$10,I142),1)*IF(Upgrades!$T$11="Solar Wind",POWER(Upgrades!$U$11,J142),1)*IF(Upgrades!$T$12="Solar Wind",POWER(Upgrades!$U$12,K142),1))*POWER(Upgrades!$P$6,E142)*POWER(Upgrades!$P$7,F142)*POWER(Upgrades!$P$8,G142)*POWER(Upgrades!$P$9,H142)*POWER(Upgrades!$P$10,I142)*POWER(Upgrades!$P$11,J142)*POWER(Upgrades!$P$12,K142)*60</f>
        <v>72</v>
      </c>
      <c r="AB142" s="27" t="n">
        <f aca="false">(IF(F142=0,0,(Upgrades!$G$7+F142*Upgrades!$H$7)*POWER(Upgrades!$I$7,F142)))*(IF(Upgrades!$T$6="Asteroid Belt",POWER(Upgrades!$U$6,E142),1)*IF(Upgrades!$T$8="Asteroid Belt",POWER(Upgrades!$U$8,G142),1)*IF(Upgrades!$T$9="Asteroid Belt",POWER(Upgrades!$U$9,H142),1)*IF(Upgrades!$T$10="Asteroid Belt",POWER(Upgrades!$U$10,I142),1)*IF(Upgrades!$T$11="Asteroid Belt",POWER(Upgrades!$U$11,J142),1)*IF(Upgrades!$T$12="Asteroid Belt",POWER(Upgrades!$U$12,K142),1))*POWER(Upgrades!$P$6,E142)*POWER(Upgrades!$P$7,F142)*POWER(Upgrades!$P$8,G142)*POWER(Upgrades!$P$9,H142)*POWER(Upgrades!$P$10,I142)*POWER(Upgrades!$P$11,J142)*POWER(Upgrades!$P$12,K142)*60</f>
        <v>150</v>
      </c>
      <c r="AC142" s="27" t="n">
        <f aca="false">(IF(G142=0,0,(Upgrades!$J$8+G142*Upgrades!$K$8)*POWER(Upgrades!$L$8,G142)))*(IF(Upgrades!$T$6="Stellar Coupling",POWER(Upgrades!$U$6,E142),1)*IF(Upgrades!$T$7="Stellar Coupling",POWER(Upgrades!$U$7,F142),1)*IF(Upgrades!$T$9="Stellar Coupling",POWER(Upgrades!$U$9,H142),1)*IF(Upgrades!$T$10="Stellar Coupling",POWER(Upgrades!$U$10,I142),1)*IF(Upgrades!$T$11="Stellar Coupling",POWER(Upgrades!$U$11,J142),1)*IF(Upgrades!$T$12="Stellar Coupling",POWER(Upgrades!$U$12,K142),1))*POWER(Upgrades!$Q$6,E142)*POWER(Upgrades!$Q$7,F142)*POWER(Upgrades!$Q$8,G142)*POWER(Upgrades!$Q$9,H142)*POWER(Upgrades!$Q$10,I142)*POWER(Upgrades!$Q$11,J142)*POWER(Upgrades!$Q$12,K142)*Parameters!$B$10*Parameters!$B$11</f>
        <v>441</v>
      </c>
      <c r="AD142" s="27" t="n">
        <f aca="false">(IF(H142=0,0,(Upgrades!$G$9+H142*Upgrades!$H$9)*POWER(Upgrades!$I$9,H142)))*(IF(Upgrades!$T$6="Magnetosphere",POWER(Upgrades!$U$6,E142),1)*IF(Upgrades!$T$7="Magnetosphere",POWER(Upgrades!$U$7,F142),1)*IF(Upgrades!$T$8="Magnetosphere",POWER(Upgrades!$U$8,G142),1)*IF(Upgrades!$T$10="Magnetosphere",POWER(Upgrades!$U$10,I142),1)*IF(Upgrades!$T$11="Magnetosphere",POWER(Upgrades!$U$11,J142),1)*IF(Upgrades!$T$12="Magnetosphere",POWER(Upgrades!$U$12,K142),1))*POWER(Upgrades!$P$6,E142)*POWER(Upgrades!$P$7,F142)*POWER(Upgrades!$P$8,G142)*POWER(Upgrades!$P$9,H142)*POWER(Upgrades!$P$10,I142)*POWER(Upgrades!$P$11,J142)*POWER(Upgrades!$P$12,K142)*60</f>
        <v>375</v>
      </c>
      <c r="AE142" s="27" t="n">
        <f aca="false">(IF(K142=0,0,(Upgrades!$G$12+K142*Upgrades!$H$12)*POWER(Upgrades!$I$12,K142)))*(IF(Upgrades!$T$6="First Photons",POWER(Upgrades!$U$6,E142),1)*IF(Upgrades!$T$7="First Photons",POWER(Upgrades!$U$7,F142),1)*IF(Upgrades!$T$8="First Photons",POWER(Upgrades!$U$8,G142),1)*IF(Upgrades!$T$9="First Photons",POWER(Upgrades!$U$9,H142),1)*IF(Upgrades!$T$10="First Photons",POWER(Upgrades!$U$10,I142),1)*IF(Upgrades!$T$11="First Photons",POWER(Upgrades!$U$11,J142),1))*POWER(Upgrades!$P$6,E142)*POWER(Upgrades!$P$7,F142)*POWER(Upgrades!$P$8,G142)*POWER(Upgrades!$P$9,H142)*POWER(Upgrades!$P$10,I142)*POWER(Upgrades!$P$11,J142)*POWER(Upgrades!$P$12,K142)*60</f>
        <v>75</v>
      </c>
      <c r="AF142" s="27" t="n">
        <f aca="false">Parameters!$B$9*POWER(Upgrades!$Q$6,E142)*POWER(Upgrades!$Q$7,F142)*POWER(Upgrades!$Q$8,G142)*POWER(Upgrades!$Q$9,H142)*POWER(Upgrades!$Q$10,I142)*POWER(Upgrades!$Q$11,J142)*POWER(Upgrades!$Q$12,K142)*(Parameters!$B$10*Parameters!$B$11+O142*60)</f>
        <v>120</v>
      </c>
      <c r="AG142" s="21" t="n">
        <f aca="false">IF(E142&gt;=Upgrades!$E$6,"",Upgrades!$C$6*POWER(Upgrades!$D$6,E142))</f>
        <v>37.4517507383159</v>
      </c>
      <c r="AH142" s="21" t="n">
        <f aca="false">IF(F142&gt;=Upgrades!$E$7,"",Upgrades!$C$7*POWER(Upgrades!$D$7,F142))</f>
        <v>80.9111547141581</v>
      </c>
      <c r="AI142" s="21" t="n">
        <f aca="false">IF(G142&gt;=Upgrades!$E$8,"",Upgrades!$C$8*POWER(Upgrades!$D$8,G142))</f>
        <v>231.9097088</v>
      </c>
      <c r="AJ142" s="21" t="str">
        <f aca="false">IF(H142&gt;=Upgrades!$E$9,"",Upgrades!$C$9*POWER(Upgrades!$D$9,H142))</f>
        <v/>
      </c>
      <c r="AK142" s="21" t="str">
        <f aca="false">IF(I142&gt;=Upgrades!$E$10,"",Upgrades!$C$10*POWER(Upgrades!$D$10,I142))</f>
        <v/>
      </c>
      <c r="AL142" s="21" t="str">
        <f aca="false">IF(J142&gt;=Upgrades!$E$11,"",Upgrades!$C$11*POWER(Upgrades!$D$11,J142))</f>
        <v/>
      </c>
      <c r="AM142" s="21" t="str">
        <f aca="false">IF(K142&gt;=Upgrades!$E$12,"",Upgrades!$C$12*POWER(Upgrades!$D$12,K142))</f>
        <v/>
      </c>
      <c r="AN142" s="26" t="str">
        <f aca="false">IF(AND(D142&gt;=Parameters!$B$18,(H142&gt;=Upgrades!$E$9)*(K142&gt;=Upgrades!$E$12)=1,L142=0),1,"")</f>
        <v/>
      </c>
      <c r="AO142" s="26" t="str">
        <f aca="false">IF(AND(D142&gt;=Parameters!$B$18,L142=0),1,"")</f>
        <v/>
      </c>
      <c r="AP142" s="21" t="n">
        <f aca="false">MIN(IF(ISNUMBER(AK142),AK142,9000000000000000),IF(ISNUMBER(AL142),AL142,9000000000000000),IF(ISNUMBER(AM142),AM142,9000000000000000))</f>
        <v>9000000000000000</v>
      </c>
      <c r="AQ142" s="21" t="n">
        <f aca="false">MIN(IF(ISNUMBER(AG142),AG142,9000000000000000),IF(ISNUMBER(AH142),AH142,9000000000000000),IF(ISNUMBER(AI142),AI142,9000000000000000),IF(ISNUMBER(AJ142),AJ142,9000000000000000))</f>
        <v>37.4517507383159</v>
      </c>
      <c r="AR142" s="32" t="b">
        <f aca="false">IF(AW142&gt;Parameters!$B$21*(MAX(IF(AND(NOT(AND(AO142=1,AN142&lt;&gt;1)),ISNUMBER(AG142),AG142&lt;=T142),AS142,0),IF(AND(NOT(AND(AO142=1,AN142&lt;&gt;1)),ISNUMBER(AH142),AH142&lt;=T142),AT142,0),IF(AND(NOT(AND(AO142=1,AN142&lt;&gt;1)),ISNUMBER(AI142),AI142&lt;=T142),AU142,0),IF(AND(ISNUMBER(AJ142),AJ142&lt;=T142),AV142,0))),TRUE(),FALSE())</f>
        <v>1</v>
      </c>
      <c r="AS142" s="33" t="n">
        <f aca="false">IFERROR(Upgrades!$H$6*(POWER(Upgrades!$P$6,E142)*POWER(Upgrades!$P$7,F142)*POWER(Upgrades!$P$8,G142)*POWER(Upgrades!$P$9,H142)*POWER(Upgrades!$P$10,I142)*POWER(Upgrades!$P$11,J142)*POWER(Upgrades!$P$12,K142))*(IF(Upgrades!$T$7="Solar Wind",POWER(Upgrades!$U$7,F142),1)*IF(Upgrades!$T$8="Solar Wind",POWER(Upgrades!$U$8,G142),1)*IF(Upgrades!$T$9="Solar Wind",POWER(Upgrades!$U$9,H142),1)*IF(Upgrades!$T$10="Solar Wind",POWER(Upgrades!$U$10,I142),1)*IF(Upgrades!$T$11="Solar Wind",POWER(Upgrades!$U$11,J142),1)*IF(Upgrades!$T$12="Solar Wind",POWER(Upgrades!$U$12,K142),1))/AG142,0)</f>
        <v>0.0026701021455238</v>
      </c>
      <c r="AT142" s="33" t="n">
        <f aca="false">IFERROR(Upgrades!$H$7*(POWER(Upgrades!$P$6,E142)*POWER(Upgrades!$P$7,F142)*POWER(Upgrades!$P$8,G142)*POWER(Upgrades!$P$9,H142)*POWER(Upgrades!$P$10,I142)*POWER(Upgrades!$P$11,J142)*POWER(Upgrades!$P$12,K142))*(IF(Upgrades!$T$6="Asteroid Belt",POWER(Upgrades!$U$6,E142),1)*IF(Upgrades!$T$8="Asteroid Belt",POWER(Upgrades!$U$8,G142),1)*IF(Upgrades!$T$9="Asteroid Belt",POWER(Upgrades!$U$9,H142),1)*IF(Upgrades!$T$10="Asteroid Belt",POWER(Upgrades!$U$10,I142),1)*IF(Upgrades!$T$11="Asteroid Belt",POWER(Upgrades!$U$11,J142),1)*IF(Upgrades!$T$12="Asteroid Belt",POWER(Upgrades!$U$12,K142),1))/AH142,0)</f>
        <v>0.00308980882652332</v>
      </c>
      <c r="AU142" s="33" t="n">
        <f aca="false">IFERROR(Upgrades!$K$8*(POWER(Upgrades!$Q$6,E142)*POWER(Upgrades!$Q$7,F142)*POWER(Upgrades!$Q$8,G142)*POWER(Upgrades!$Q$9,H142)*POWER(Upgrades!$Q$10,I142)*POWER(Upgrades!$Q$11,J142)*POWER(Upgrades!$Q$12,K142))*(IF(Upgrades!$T$6="Stellar Coupling",POWER(Upgrades!$U$6,E142),1)*IF(Upgrades!$T$7="Stellar Coupling",POWER(Upgrades!$U$7,F142),1)*IF(Upgrades!$T$9="Stellar Coupling",POWER(Upgrades!$U$9,H142),1)*IF(Upgrades!$T$10="Stellar Coupling",POWER(Upgrades!$U$10,I142),1)*IF(Upgrades!$T$11="Stellar Coupling",POWER(Upgrades!$U$11,J142),1)*IF(Upgrades!$T$12="Stellar Coupling",POWER(Upgrades!$U$12,K142),1))*Parameters!$B$10*Parameters!$B$11/60/AI142,0)</f>
        <v>0.00452762415783776</v>
      </c>
      <c r="AV142" s="33" t="n">
        <f aca="false">IFERROR(Upgrades!$H$9*(POWER(Upgrades!$P$6,E142)*POWER(Upgrades!$P$7,F142)*POWER(Upgrades!$P$8,G142)*POWER(Upgrades!$P$9,H142)*POWER(Upgrades!$P$10,I142)*POWER(Upgrades!$P$11,J142)*POWER(Upgrades!$P$12,K142))*(IF(Upgrades!$T$6="Magnetosphere",POWER(Upgrades!$U$6,E142),1)*IF(Upgrades!$T$7="Magnetosphere",POWER(Upgrades!$U$7,F142),1)*IF(Upgrades!$T$8="Magnetosphere",POWER(Upgrades!$U$8,G142),1)*IF(Upgrades!$T$10="Magnetosphere",POWER(Upgrades!$U$10,I142),1)*IF(Upgrades!$T$11="Magnetosphere",POWER(Upgrades!$U$11,J142),1)*IF(Upgrades!$T$12="Magnetosphere",POWER(Upgrades!$U$12,K142),1))/AJ142,0)</f>
        <v>0</v>
      </c>
      <c r="AW142" s="33" t="n">
        <f aca="false">MAX(IF(I142&gt;0,0,IFERROR(0.25*N142/Upgrades!$C$10,0)),IF(J142&gt;0,0,IFERROR(0.5*((IF(G142=0,0,(Upgrades!$J$8+G142*Upgrades!$K$8)*POWER(Upgrades!$L$8,G142)))*(IF(Upgrades!$T$6="Stellar Coupling",POWER(Upgrades!$U$6,E142),1)*IF(Upgrades!$T$7="Stellar Coupling",POWER(Upgrades!$U$7,F142),1)*IF(Upgrades!$T$9="Stellar Coupling",POWER(Upgrades!$U$9,H142),1)*IF(Upgrades!$T$10="Stellar Coupling",POWER(Upgrades!$U$10,I142),1)*IF(Upgrades!$T$11="Stellar Coupling",POWER(Upgrades!$U$11,J142),1)*IF(Upgrades!$T$12="Stellar Coupling",POWER(Upgrades!$U$12,K142),1))*(POWER(Upgrades!$Q$6,E142)*POWER(Upgrades!$Q$7,F142)*POWER(Upgrades!$Q$8,G142)*POWER(Upgrades!$Q$9,H142)*POWER(Upgrades!$Q$10,I142)*POWER(Upgrades!$Q$11,J142)*POWER(Upgrades!$Q$12,K142))*Parameters!$B$10*Parameters!$B$11/60)/Upgrades!$C$11,0)),IF(K142&gt;0,0,IFERROR((1*(POWER(Upgrades!$P$6,E142)*POWER(Upgrades!$P$7,F142)*POWER(Upgrades!$P$8,G142)*POWER(Upgrades!$P$9,H142)*POWER(Upgrades!$P$10,I142)*POWER(Upgrades!$P$11,J142)*POWER(Upgrades!$P$12,K142))+0.2*M142*Parameters!$B$10*Parameters!$B$11/60)/Upgrades!$C$12,0)),IF(AND(ISNUMBER(AG142),AG142&gt;T142),AS142,0),IF(AND(ISNUMBER(AH142),AH142&gt;T142),AT142,0),IF(AND(ISNUMBER(AI142),AI142&gt;T142),AU142,0),IF(AND(ISNUMBER(AJ142),AJ142&gt;T142),AV142,0))</f>
        <v>0.00452762415783776</v>
      </c>
      <c r="AX142" s="29" t="str">
        <f aca="false">IF(AN142=1,"transition",IF(MIN(IF(AND(I142=0,ISNUMBER(AK142),AK142&lt;=T142),AK142,9000000000000000),IF(AND(J142=0,ISNUMBER(AL142),AL142&lt;=T142),AL142,9000000000000000),IF(AND(K142=0,ISNUMBER(AM142),AM142&lt;=T142),AM142,9000000000000000))&lt;9000000000000000,IF(AND(AND(I142=0,ISNUMBER(AK142),AK142&lt;=T142),AK142=MIN(IF(AND(I142=0,ISNUMBER(AK142),AK142&lt;=T142),AK142,9000000000000000),IF(AND(J142=0,ISNUMBER(AL142),AL142&lt;=T142),AL142,9000000000000000),IF(AND(K142=0,ISNUMBER(AM142),AM142&lt;=T142),AM142,9000000000000000))),"OR",IF(AND(AND(J142=0,ISNUMBER(AL142),AL142&lt;=T142),AL142=MIN(IF(AND(I142=0,ISNUMBER(AK142),AK142&lt;=T142),AK142,9000000000000000),IF(AND(J142=0,ISNUMBER(AL142),AL142&lt;=T142),AL142,9000000000000000),IF(AND(K142=0,ISNUMBER(AM142),AM142&lt;=T142),AM142,9000000000000000))),"HP","FP")),IF(AR142=TRUE(),"",IF(MAX(IF(AND(NOT(AND(AO142=1,AN142&lt;&gt;1)),ISNUMBER(AG142),AG142&lt;=T142),AS142,0),IF(AND(NOT(AND(AO142=1,AN142&lt;&gt;1)),ISNUMBER(AH142),AH142&lt;=T142),AT142,0),IF(AND(NOT(AND(AO142=1,AN142&lt;&gt;1)),ISNUMBER(AI142),AI142&lt;=T142),AU142,0),IF(AND(ISNUMBER(AJ142),AJ142&lt;=T142),AV142,0))&lt;=0,"",IF(AND(IF(AND(NOT(AND(AO142=1,AN142&lt;&gt;1)),ISNUMBER(AG142),AG142&lt;=T142),AS142,0)&gt;0,IF(AND(NOT(AND(AO142=1,AN142&lt;&gt;1)),ISNUMBER(AG142),AG142&lt;=T142),AS142,0)=MAX(IF(AND(NOT(AND(AO142=1,AN142&lt;&gt;1)),ISNUMBER(AG142),AG142&lt;=T142),AS142,0),IF(AND(NOT(AND(AO142=1,AN142&lt;&gt;1)),ISNUMBER(AH142),AH142&lt;=T142),AT142,0),IF(AND(NOT(AND(AO142=1,AN142&lt;&gt;1)),ISNUMBER(AI142),AI142&lt;=T142),AU142,0),IF(AND(ISNUMBER(AJ142),AJ142&lt;=T142),AV142,0))),"SW",IF(AND(IF(AND(NOT(AND(AO142=1,AN142&lt;&gt;1)),ISNUMBER(AH142),AH142&lt;=T142),AT142,0)&gt;0,IF(AND(NOT(AND(AO142=1,AN142&lt;&gt;1)),ISNUMBER(AH142),AH142&lt;=T142),AT142,0)=MAX(IF(AND(NOT(AND(AO142=1,AN142&lt;&gt;1)),ISNUMBER(AG142),AG142&lt;=T142),AS142,0),IF(AND(NOT(AND(AO142=1,AN142&lt;&gt;1)),ISNUMBER(AH142),AH142&lt;=T142),AT142,0),IF(AND(NOT(AND(AO142=1,AN142&lt;&gt;1)),ISNUMBER(AI142),AI142&lt;=T142),AU142,0),IF(AND(ISNUMBER(AJ142),AJ142&lt;=T142),AV142,0))),"AB",IF(AND(IF(AND(NOT(AND(AO142=1,AN142&lt;&gt;1)),ISNUMBER(AI142),AI142&lt;=T142),AU142,0)&gt;0,IF(AND(NOT(AND(AO142=1,AN142&lt;&gt;1)),ISNUMBER(AI142),AI142&lt;=T142),AU142,0)=MAX(IF(AND(NOT(AND(AO142=1,AN142&lt;&gt;1)),ISNUMBER(AG142),AG142&lt;=T142),AS142,0),IF(AND(NOT(AND(AO142=1,AN142&lt;&gt;1)),ISNUMBER(AH142),AH142&lt;=T142),AT142,0),IF(AND(NOT(AND(AO142=1,AN142&lt;&gt;1)),ISNUMBER(AI142),AI142&lt;=T142),AU142,0),IF(AND(ISNUMBER(AJ142),AJ142&lt;=T142),AV142,0))),"SC","Mag")))))))</f>
        <v/>
      </c>
    </row>
    <row r="143" customFormat="false" ht="15" hidden="false" customHeight="false" outlineLevel="0" collapsed="false">
      <c r="A143" s="26" t="n">
        <v>138</v>
      </c>
      <c r="B143" s="27" t="n">
        <f aca="false">A143*10/60</f>
        <v>23</v>
      </c>
      <c r="C143" s="21" t="n">
        <f aca="false">X142</f>
        <v>18.6730249835055</v>
      </c>
      <c r="D143" s="27" t="n">
        <f aca="false">D142+W142</f>
        <v>0</v>
      </c>
      <c r="E143" s="26" t="n">
        <f aca="false">E142+IF(U142="SW",1,0)</f>
        <v>12</v>
      </c>
      <c r="F143" s="26" t="n">
        <f aca="false">F142+IF(U142="AB",1,0)</f>
        <v>10</v>
      </c>
      <c r="G143" s="26" t="n">
        <f aca="false">G142+IF(U142="SC",1,0)</f>
        <v>7</v>
      </c>
      <c r="H143" s="26" t="n">
        <f aca="false">H142+IF(U142="Mag",1,0)</f>
        <v>5</v>
      </c>
      <c r="I143" s="26" t="n">
        <f aca="false">MAX(I142,IF(U142="OR",1,0))</f>
        <v>1</v>
      </c>
      <c r="J143" s="26" t="n">
        <f aca="false">MAX(J142,IF(U142="HP",1,0))</f>
        <v>1</v>
      </c>
      <c r="K143" s="26" t="n">
        <f aca="false">MAX(K142,IF(U142="FP",1,0))</f>
        <v>1</v>
      </c>
      <c r="L143" s="26" t="n">
        <f aca="false">MAX(L142,IF(U142="transition",1,0))</f>
        <v>1</v>
      </c>
      <c r="M143" s="28" t="n">
        <f aca="false">(Parameters!$B$9+(IF(E143=0,0,(Upgrades!$J$6+E143*Upgrades!$K$6)*POWER(Upgrades!$L$6,E143)))*(IF(Upgrades!$T$7="Solar Wind",POWER(Upgrades!$U$7,F143),1)*IF(Upgrades!$T$8="Solar Wind",POWER(Upgrades!$U$8,G143),1)*IF(Upgrades!$T$9="Solar Wind",POWER(Upgrades!$U$9,H143),1)*IF(Upgrades!$T$10="Solar Wind",POWER(Upgrades!$U$10,I143),1)*IF(Upgrades!$T$11="Solar Wind",POWER(Upgrades!$U$11,J143),1)*IF(Upgrades!$T$12="Solar Wind",POWER(Upgrades!$U$12,K143),1))+(IF(F143=0,0,(Upgrades!$J$7+F143*Upgrades!$K$7)*POWER(Upgrades!$L$7,F143)))*(IF(Upgrades!$T$6="Asteroid Belt",POWER(Upgrades!$U$6,E143),1)*IF(Upgrades!$T$8="Asteroid Belt",POWER(Upgrades!$U$8,G143),1)*IF(Upgrades!$T$9="Asteroid Belt",POWER(Upgrades!$U$9,H143),1)*IF(Upgrades!$T$10="Asteroid Belt",POWER(Upgrades!$U$10,I143),1)*IF(Upgrades!$T$11="Asteroid Belt",POWER(Upgrades!$U$11,J143),1)*IF(Upgrades!$T$12="Asteroid Belt",POWER(Upgrades!$U$12,K143),1))+(IF(G143=0,0,(Upgrades!$J$8+G143*Upgrades!$K$8)*POWER(Upgrades!$L$8,G143)))*(IF(Upgrades!$T$6="Stellar Coupling",POWER(Upgrades!$U$6,E143),1)*IF(Upgrades!$T$7="Stellar Coupling",POWER(Upgrades!$U$7,F143),1)*IF(Upgrades!$T$9="Stellar Coupling",POWER(Upgrades!$U$9,H143),1)*IF(Upgrades!$T$10="Stellar Coupling",POWER(Upgrades!$U$10,I143),1)*IF(Upgrades!$T$11="Stellar Coupling",POWER(Upgrades!$U$11,J143),1)*IF(Upgrades!$T$12="Stellar Coupling",POWER(Upgrades!$U$12,K143),1))+(IF(H143=0,0,(Upgrades!$J$9+H143*Upgrades!$K$9)*POWER(Upgrades!$L$9,H143)))*(IF(Upgrades!$T$6="Magnetosphere",POWER(Upgrades!$U$6,E143),1)*IF(Upgrades!$T$7="Magnetosphere",POWER(Upgrades!$U$7,F143),1)*IF(Upgrades!$T$8="Magnetosphere",POWER(Upgrades!$U$8,G143),1)*IF(Upgrades!$T$10="Magnetosphere",POWER(Upgrades!$U$10,I143),1)*IF(Upgrades!$T$11="Magnetosphere",POWER(Upgrades!$U$11,J143),1)*IF(Upgrades!$T$12="Magnetosphere",POWER(Upgrades!$U$12,K143),1))+(IF(I143=0,0,(Upgrades!$J$10+I143*Upgrades!$K$10)*POWER(Upgrades!$L$10,I143)))*(IF(Upgrades!$T$6="Orbital Resonance",POWER(Upgrades!$U$6,E143),1)*IF(Upgrades!$T$7="Orbital Resonance",POWER(Upgrades!$U$7,F143),1)*IF(Upgrades!$T$8="Orbital Resonance",POWER(Upgrades!$U$8,G143),1)*IF(Upgrades!$T$9="Orbital Resonance",POWER(Upgrades!$U$9,H143),1)*IF(Upgrades!$T$11="Orbital Resonance",POWER(Upgrades!$U$11,J143),1)*IF(Upgrades!$T$12="Orbital Resonance",POWER(Upgrades!$U$12,K143),1))+(IF(J143=0,0,(Upgrades!$J$11+J143*Upgrades!$K$11)*POWER(Upgrades!$L$11,J143)))*(IF(Upgrades!$T$6="Heliopause",POWER(Upgrades!$U$6,E143),1)*IF(Upgrades!$T$7="Heliopause",POWER(Upgrades!$U$7,F143),1)*IF(Upgrades!$T$8="Heliopause",POWER(Upgrades!$U$8,G143),1)*IF(Upgrades!$T$9="Heliopause",POWER(Upgrades!$U$9,H143),1)*IF(Upgrades!$T$10="Heliopause",POWER(Upgrades!$U$10,I143),1)*IF(Upgrades!$T$12="Heliopause",POWER(Upgrades!$U$12,K143),1))+(IF(K143=0,0,(Upgrades!$J$12+K143*Upgrades!$K$12)*POWER(Upgrades!$L$12,K143)))*(IF(Upgrades!$T$6="First Photons",POWER(Upgrades!$U$6,E143),1)*IF(Upgrades!$T$7="First Photons",POWER(Upgrades!$U$7,F143),1)*IF(Upgrades!$T$8="First Photons",POWER(Upgrades!$U$8,G143),1)*IF(Upgrades!$T$9="First Photons",POWER(Upgrades!$U$9,H143),1)*IF(Upgrades!$T$10="First Photons",POWER(Upgrades!$U$10,I143),1)*IF(Upgrades!$T$11="First Photons",POWER(Upgrades!$U$11,J143),1)))*POWER(Upgrades!$Q$6,E143)*POWER(Upgrades!$Q$7,F143)*POWER(Upgrades!$Q$8,G143)*POWER(Upgrades!$Q$9,H143)*POWER(Upgrades!$Q$10,I143)*POWER(Upgrades!$Q$11,J143)*POWER(Upgrades!$Q$12,K143)</f>
        <v>5.61</v>
      </c>
      <c r="N143" s="28" t="n">
        <f aca="false">((IF(E143=0,0,(Upgrades!$G$6+E143*Upgrades!$H$6)*POWER(Upgrades!$I$6,E143)))*(IF(Upgrades!$T$7="Solar Wind",POWER(Upgrades!$U$7,F143),1)*IF(Upgrades!$T$8="Solar Wind",POWER(Upgrades!$U$8,G143),1)*IF(Upgrades!$T$9="Solar Wind",POWER(Upgrades!$U$9,H143),1)*IF(Upgrades!$T$10="Solar Wind",POWER(Upgrades!$U$10,I143),1)*IF(Upgrades!$T$11="Solar Wind",POWER(Upgrades!$U$11,J143),1)*IF(Upgrades!$T$12="Solar Wind",POWER(Upgrades!$U$12,K143),1))+(IF(F143=0,0,(Upgrades!$G$7+F143*Upgrades!$H$7)*POWER(Upgrades!$I$7,F143)))*(IF(Upgrades!$T$6="Asteroid Belt",POWER(Upgrades!$U$6,E143),1)*IF(Upgrades!$T$8="Asteroid Belt",POWER(Upgrades!$U$8,G143),1)*IF(Upgrades!$T$9="Asteroid Belt",POWER(Upgrades!$U$9,H143),1)*IF(Upgrades!$T$10="Asteroid Belt",POWER(Upgrades!$U$10,I143),1)*IF(Upgrades!$T$11="Asteroid Belt",POWER(Upgrades!$U$11,J143),1)*IF(Upgrades!$T$12="Asteroid Belt",POWER(Upgrades!$U$12,K143),1))+(IF(G143=0,0,(Upgrades!$G$8+G143*Upgrades!$H$8)*POWER(Upgrades!$I$8,G143)))*(IF(Upgrades!$T$6="Stellar Coupling",POWER(Upgrades!$U$6,E143),1)*IF(Upgrades!$T$7="Stellar Coupling",POWER(Upgrades!$U$7,F143),1)*IF(Upgrades!$T$9="Stellar Coupling",POWER(Upgrades!$U$9,H143),1)*IF(Upgrades!$T$10="Stellar Coupling",POWER(Upgrades!$U$10,I143),1)*IF(Upgrades!$T$11="Stellar Coupling",POWER(Upgrades!$U$11,J143),1)*IF(Upgrades!$T$12="Stellar Coupling",POWER(Upgrades!$U$12,K143),1))+(IF(H143=0,0,(Upgrades!$G$9+H143*Upgrades!$H$9)*POWER(Upgrades!$I$9,H143)))*(IF(Upgrades!$T$6="Magnetosphere",POWER(Upgrades!$U$6,E143),1)*IF(Upgrades!$T$7="Magnetosphere",POWER(Upgrades!$U$7,F143),1)*IF(Upgrades!$T$8="Magnetosphere",POWER(Upgrades!$U$8,G143),1)*IF(Upgrades!$T$10="Magnetosphere",POWER(Upgrades!$U$10,I143),1)*IF(Upgrades!$T$11="Magnetosphere",POWER(Upgrades!$U$11,J143),1)*IF(Upgrades!$T$12="Magnetosphere",POWER(Upgrades!$U$12,K143),1))+(IF(I143=0,0,(Upgrades!$G$10+I143*Upgrades!$H$10)*POWER(Upgrades!$I$10,I143)))*(IF(Upgrades!$T$6="Orbital Resonance",POWER(Upgrades!$U$6,E143),1)*IF(Upgrades!$T$7="Orbital Resonance",POWER(Upgrades!$U$7,F143),1)*IF(Upgrades!$T$8="Orbital Resonance",POWER(Upgrades!$U$8,G143),1)*IF(Upgrades!$T$9="Orbital Resonance",POWER(Upgrades!$U$9,H143),1)*IF(Upgrades!$T$11="Orbital Resonance",POWER(Upgrades!$U$11,J143),1)*IF(Upgrades!$T$12="Orbital Resonance",POWER(Upgrades!$U$12,K143),1))+(IF(J143=0,0,(Upgrades!$G$11+J143*Upgrades!$H$11)*POWER(Upgrades!$I$11,J143)))*(IF(Upgrades!$T$6="Heliopause",POWER(Upgrades!$U$6,E143),1)*IF(Upgrades!$T$7="Heliopause",POWER(Upgrades!$U$7,F143),1)*IF(Upgrades!$T$8="Heliopause",POWER(Upgrades!$U$8,G143),1)*IF(Upgrades!$T$9="Heliopause",POWER(Upgrades!$U$9,H143),1)*IF(Upgrades!$T$10="Heliopause",POWER(Upgrades!$U$10,I143),1)*IF(Upgrades!$T$12="Heliopause",POWER(Upgrades!$U$12,K143),1))+(IF(K143=0,0,(Upgrades!$G$12+K143*Upgrades!$H$12)*POWER(Upgrades!$I$12,K143)))*(IF(Upgrades!$T$6="First Photons",POWER(Upgrades!$U$6,E143),1)*IF(Upgrades!$T$7="First Photons",POWER(Upgrades!$U$7,F143),1)*IF(Upgrades!$T$8="First Photons",POWER(Upgrades!$U$8,G143),1)*IF(Upgrades!$T$9="First Photons",POWER(Upgrades!$U$9,H143),1)*IF(Upgrades!$T$10="First Photons",POWER(Upgrades!$U$10,I143),1)*IF(Upgrades!$T$11="First Photons",POWER(Upgrades!$U$11,J143),1)))*POWER(Upgrades!$P$6,E143)*POWER(Upgrades!$P$7,F143)*POWER(Upgrades!$P$8,G143)*POWER(Upgrades!$P$9,H143)*POWER(Upgrades!$P$10,I143)*POWER(Upgrades!$P$11,J143)*POWER(Upgrades!$P$12,K143)</f>
        <v>11.2</v>
      </c>
      <c r="O143" s="28" t="n">
        <f aca="false">((IF(E143=0,0,(Upgrades!$M$6+E143*Upgrades!$N$6)*POWER(Upgrades!$O$6,E143)))*(IF(Upgrades!$T$7="Solar Wind",POWER(Upgrades!$U$7,F143),1)*IF(Upgrades!$T$8="Solar Wind",POWER(Upgrades!$U$8,G143),1)*IF(Upgrades!$T$9="Solar Wind",POWER(Upgrades!$U$9,H143),1)*IF(Upgrades!$T$10="Solar Wind",POWER(Upgrades!$U$10,I143),1)*IF(Upgrades!$T$11="Solar Wind",POWER(Upgrades!$U$11,J143),1)*IF(Upgrades!$T$12="Solar Wind",POWER(Upgrades!$U$12,K143),1))+(IF(F143=0,0,(Upgrades!$M$7+F143*Upgrades!$N$7)*POWER(Upgrades!$O$7,F143)))*(IF(Upgrades!$T$6="Asteroid Belt",POWER(Upgrades!$U$6,E143),1)*IF(Upgrades!$T$8="Asteroid Belt",POWER(Upgrades!$U$8,G143),1)*IF(Upgrades!$T$9="Asteroid Belt",POWER(Upgrades!$U$9,H143),1)*IF(Upgrades!$T$10="Asteroid Belt",POWER(Upgrades!$U$10,I143),1)*IF(Upgrades!$T$11="Asteroid Belt",POWER(Upgrades!$U$11,J143),1)*IF(Upgrades!$T$12="Asteroid Belt",POWER(Upgrades!$U$12,K143),1))+(IF(G143=0,0,(Upgrades!$M$8+G143*Upgrades!$N$8)*POWER(Upgrades!$O$8,G143)))*(IF(Upgrades!$T$6="Stellar Coupling",POWER(Upgrades!$U$6,E143),1)*IF(Upgrades!$T$7="Stellar Coupling",POWER(Upgrades!$U$7,F143),1)*IF(Upgrades!$T$9="Stellar Coupling",POWER(Upgrades!$U$9,H143),1)*IF(Upgrades!$T$10="Stellar Coupling",POWER(Upgrades!$U$10,I143),1)*IF(Upgrades!$T$11="Stellar Coupling",POWER(Upgrades!$U$11,J143),1)*IF(Upgrades!$T$12="Stellar Coupling",POWER(Upgrades!$U$12,K143),1))+(IF(H143=0,0,(Upgrades!$M$9+H143*Upgrades!$N$9)*POWER(Upgrades!$O$9,H143)))*(IF(Upgrades!$T$6="Magnetosphere",POWER(Upgrades!$U$6,E143),1)*IF(Upgrades!$T$7="Magnetosphere",POWER(Upgrades!$U$7,F143),1)*IF(Upgrades!$T$8="Magnetosphere",POWER(Upgrades!$U$8,G143),1)*IF(Upgrades!$T$10="Magnetosphere",POWER(Upgrades!$U$10,I143),1)*IF(Upgrades!$T$11="Magnetosphere",POWER(Upgrades!$U$11,J143),1)*IF(Upgrades!$T$12="Magnetosphere",POWER(Upgrades!$U$12,K143),1))+(IF(I143=0,0,(Upgrades!$M$10+I143*Upgrades!$N$10)*POWER(Upgrades!$O$10,I143)))*(IF(Upgrades!$T$6="Orbital Resonance",POWER(Upgrades!$U$6,E143),1)*IF(Upgrades!$T$7="Orbital Resonance",POWER(Upgrades!$U$7,F143),1)*IF(Upgrades!$T$8="Orbital Resonance",POWER(Upgrades!$U$8,G143),1)*IF(Upgrades!$T$9="Orbital Resonance",POWER(Upgrades!$U$9,H143),1)*IF(Upgrades!$T$11="Orbital Resonance",POWER(Upgrades!$U$11,J143),1)*IF(Upgrades!$T$12="Orbital Resonance",POWER(Upgrades!$U$12,K143),1))+(IF(J143=0,0,(Upgrades!$M$11+J143*Upgrades!$N$11)*POWER(Upgrades!$O$11,J143)))*(IF(Upgrades!$T$6="Heliopause",POWER(Upgrades!$U$6,E143),1)*IF(Upgrades!$T$7="Heliopause",POWER(Upgrades!$U$7,F143),1)*IF(Upgrades!$T$8="Heliopause",POWER(Upgrades!$U$8,G143),1)*IF(Upgrades!$T$9="Heliopause",POWER(Upgrades!$U$9,H143),1)*IF(Upgrades!$T$10="Heliopause",POWER(Upgrades!$U$10,I143),1)*IF(Upgrades!$T$12="Heliopause",POWER(Upgrades!$U$12,K143),1))+(IF(K143=0,0,(Upgrades!$M$12+K143*Upgrades!$N$12)*POWER(Upgrades!$O$12,K143)))*(IF(Upgrades!$T$6="First Photons",POWER(Upgrades!$U$6,E143),1)*IF(Upgrades!$T$7="First Photons",POWER(Upgrades!$U$7,F143),1)*IF(Upgrades!$T$8="First Photons",POWER(Upgrades!$U$8,G143),1)*IF(Upgrades!$T$9="First Photons",POWER(Upgrades!$U$9,H143),1)*IF(Upgrades!$T$10="First Photons",POWER(Upgrades!$U$10,I143),1)*IF(Upgrades!$T$11="First Photons",POWER(Upgrades!$U$11,J143),1)))*POWER(Upgrades!$R$6,E143)*POWER(Upgrades!$R$7,F143)*POWER(Upgrades!$R$8,G143)*POWER(Upgrades!$R$9,H143)*POWER(Upgrades!$R$10,I143)*POWER(Upgrades!$R$11,J143)*POWER(Upgrades!$R$12,K143)</f>
        <v>0</v>
      </c>
      <c r="P143" s="27" t="n">
        <f aca="false">IF(L143=1,0,M143*Parameters!$B$10/60*Parameters!$B$11*10)</f>
        <v>0</v>
      </c>
      <c r="Q143" s="27" t="n">
        <f aca="false">IF(L143=1,0,O143*M143*10)</f>
        <v>0</v>
      </c>
      <c r="R143" s="27" t="n">
        <f aca="false">IF(L143=1,0,N143*10)</f>
        <v>0</v>
      </c>
      <c r="S143" s="27" t="n">
        <f aca="false">P143+Q143+R143</f>
        <v>0</v>
      </c>
      <c r="T143" s="21" t="n">
        <f aca="false">C143+S143</f>
        <v>18.6730249835055</v>
      </c>
      <c r="U143" s="34" t="str">
        <f aca="false">AX143</f>
        <v/>
      </c>
      <c r="V143" s="21" t="n">
        <f aca="false">IF(U143="",0,IF(U143="transition",0,IF(U143="SW",AG143,IF(U143="AB",AH143,IF(U143="SC",AI143,IF(U143="Mag",AJ143,IF(U143="OR",AK143,IF(U143="HP",AL143,IF(U143="FP",AM143,0)))))))))</f>
        <v>0</v>
      </c>
      <c r="W143" s="27" t="n">
        <f aca="false">IF(U143="OR",Upgrades!$F$10,IF(U143="HP",Upgrades!$F$11,IF(U143="transition",-Parameters!$B$18,0)))</f>
        <v>0</v>
      </c>
      <c r="X143" s="21" t="n">
        <f aca="false">T143-V143</f>
        <v>18.6730249835055</v>
      </c>
      <c r="Y143" s="30" t="n">
        <f aca="false">M143*Parameters!$B$10/60*Parameters!$B$11+O143*M143+N143</f>
        <v>20.55</v>
      </c>
      <c r="Z143" s="35" t="str">
        <f aca="false">IF(U143="transition","→ Tier 2 (Stellar Neighborhood)",IF(U143="FP","First Photons — light begins, system quickens",IF(U143="HP","Heliopause acquired",IF(U143="OR","Orbital Resonance — passive multiplier active",IF(AND(AO143=1,L143=0,AN143&lt;&gt;1),"Cohesion ready (waiting on completionist upgrades)","")))))</f>
        <v/>
      </c>
      <c r="AA143" s="27" t="n">
        <f aca="false">(IF(E143=0,0,(Upgrades!$G$6+E143*Upgrades!$H$6)*POWER(Upgrades!$I$6,E143)))*(IF(Upgrades!$T$7="Solar Wind",POWER(Upgrades!$U$7,F143),1)*IF(Upgrades!$T$8="Solar Wind",POWER(Upgrades!$U$8,G143),1)*IF(Upgrades!$T$9="Solar Wind",POWER(Upgrades!$U$9,H143),1)*IF(Upgrades!$T$10="Solar Wind",POWER(Upgrades!$U$10,I143),1)*IF(Upgrades!$T$11="Solar Wind",POWER(Upgrades!$U$11,J143),1)*IF(Upgrades!$T$12="Solar Wind",POWER(Upgrades!$U$12,K143),1))*POWER(Upgrades!$P$6,E143)*POWER(Upgrades!$P$7,F143)*POWER(Upgrades!$P$8,G143)*POWER(Upgrades!$P$9,H143)*POWER(Upgrades!$P$10,I143)*POWER(Upgrades!$P$11,J143)*POWER(Upgrades!$P$12,K143)*60</f>
        <v>72</v>
      </c>
      <c r="AB143" s="27" t="n">
        <f aca="false">(IF(F143=0,0,(Upgrades!$G$7+F143*Upgrades!$H$7)*POWER(Upgrades!$I$7,F143)))*(IF(Upgrades!$T$6="Asteroid Belt",POWER(Upgrades!$U$6,E143),1)*IF(Upgrades!$T$8="Asteroid Belt",POWER(Upgrades!$U$8,G143),1)*IF(Upgrades!$T$9="Asteroid Belt",POWER(Upgrades!$U$9,H143),1)*IF(Upgrades!$T$10="Asteroid Belt",POWER(Upgrades!$U$10,I143),1)*IF(Upgrades!$T$11="Asteroid Belt",POWER(Upgrades!$U$11,J143),1)*IF(Upgrades!$T$12="Asteroid Belt",POWER(Upgrades!$U$12,K143),1))*POWER(Upgrades!$P$6,E143)*POWER(Upgrades!$P$7,F143)*POWER(Upgrades!$P$8,G143)*POWER(Upgrades!$P$9,H143)*POWER(Upgrades!$P$10,I143)*POWER(Upgrades!$P$11,J143)*POWER(Upgrades!$P$12,K143)*60</f>
        <v>150</v>
      </c>
      <c r="AC143" s="27" t="n">
        <f aca="false">(IF(G143=0,0,(Upgrades!$J$8+G143*Upgrades!$K$8)*POWER(Upgrades!$L$8,G143)))*(IF(Upgrades!$T$6="Stellar Coupling",POWER(Upgrades!$U$6,E143),1)*IF(Upgrades!$T$7="Stellar Coupling",POWER(Upgrades!$U$7,F143),1)*IF(Upgrades!$T$9="Stellar Coupling",POWER(Upgrades!$U$9,H143),1)*IF(Upgrades!$T$10="Stellar Coupling",POWER(Upgrades!$U$10,I143),1)*IF(Upgrades!$T$11="Stellar Coupling",POWER(Upgrades!$U$11,J143),1)*IF(Upgrades!$T$12="Stellar Coupling",POWER(Upgrades!$U$12,K143),1))*POWER(Upgrades!$Q$6,E143)*POWER(Upgrades!$Q$7,F143)*POWER(Upgrades!$Q$8,G143)*POWER(Upgrades!$Q$9,H143)*POWER(Upgrades!$Q$10,I143)*POWER(Upgrades!$Q$11,J143)*POWER(Upgrades!$Q$12,K143)*Parameters!$B$10*Parameters!$B$11</f>
        <v>441</v>
      </c>
      <c r="AD143" s="27" t="n">
        <f aca="false">(IF(H143=0,0,(Upgrades!$G$9+H143*Upgrades!$H$9)*POWER(Upgrades!$I$9,H143)))*(IF(Upgrades!$T$6="Magnetosphere",POWER(Upgrades!$U$6,E143),1)*IF(Upgrades!$T$7="Magnetosphere",POWER(Upgrades!$U$7,F143),1)*IF(Upgrades!$T$8="Magnetosphere",POWER(Upgrades!$U$8,G143),1)*IF(Upgrades!$T$10="Magnetosphere",POWER(Upgrades!$U$10,I143),1)*IF(Upgrades!$T$11="Magnetosphere",POWER(Upgrades!$U$11,J143),1)*IF(Upgrades!$T$12="Magnetosphere",POWER(Upgrades!$U$12,K143),1))*POWER(Upgrades!$P$6,E143)*POWER(Upgrades!$P$7,F143)*POWER(Upgrades!$P$8,G143)*POWER(Upgrades!$P$9,H143)*POWER(Upgrades!$P$10,I143)*POWER(Upgrades!$P$11,J143)*POWER(Upgrades!$P$12,K143)*60</f>
        <v>375</v>
      </c>
      <c r="AE143" s="27" t="n">
        <f aca="false">(IF(K143=0,0,(Upgrades!$G$12+K143*Upgrades!$H$12)*POWER(Upgrades!$I$12,K143)))*(IF(Upgrades!$T$6="First Photons",POWER(Upgrades!$U$6,E143),1)*IF(Upgrades!$T$7="First Photons",POWER(Upgrades!$U$7,F143),1)*IF(Upgrades!$T$8="First Photons",POWER(Upgrades!$U$8,G143),1)*IF(Upgrades!$T$9="First Photons",POWER(Upgrades!$U$9,H143),1)*IF(Upgrades!$T$10="First Photons",POWER(Upgrades!$U$10,I143),1)*IF(Upgrades!$T$11="First Photons",POWER(Upgrades!$U$11,J143),1))*POWER(Upgrades!$P$6,E143)*POWER(Upgrades!$P$7,F143)*POWER(Upgrades!$P$8,G143)*POWER(Upgrades!$P$9,H143)*POWER(Upgrades!$P$10,I143)*POWER(Upgrades!$P$11,J143)*POWER(Upgrades!$P$12,K143)*60</f>
        <v>75</v>
      </c>
      <c r="AF143" s="27" t="n">
        <f aca="false">Parameters!$B$9*POWER(Upgrades!$Q$6,E143)*POWER(Upgrades!$Q$7,F143)*POWER(Upgrades!$Q$8,G143)*POWER(Upgrades!$Q$9,H143)*POWER(Upgrades!$Q$10,I143)*POWER(Upgrades!$Q$11,J143)*POWER(Upgrades!$Q$12,K143)*(Parameters!$B$10*Parameters!$B$11+O143*60)</f>
        <v>120</v>
      </c>
      <c r="AG143" s="21" t="n">
        <f aca="false">IF(E143&gt;=Upgrades!$E$6,"",Upgrades!$C$6*POWER(Upgrades!$D$6,E143))</f>
        <v>37.4517507383159</v>
      </c>
      <c r="AH143" s="21" t="n">
        <f aca="false">IF(F143&gt;=Upgrades!$E$7,"",Upgrades!$C$7*POWER(Upgrades!$D$7,F143))</f>
        <v>80.9111547141581</v>
      </c>
      <c r="AI143" s="21" t="n">
        <f aca="false">IF(G143&gt;=Upgrades!$E$8,"",Upgrades!$C$8*POWER(Upgrades!$D$8,G143))</f>
        <v>231.9097088</v>
      </c>
      <c r="AJ143" s="21" t="str">
        <f aca="false">IF(H143&gt;=Upgrades!$E$9,"",Upgrades!$C$9*POWER(Upgrades!$D$9,H143))</f>
        <v/>
      </c>
      <c r="AK143" s="21" t="str">
        <f aca="false">IF(I143&gt;=Upgrades!$E$10,"",Upgrades!$C$10*POWER(Upgrades!$D$10,I143))</f>
        <v/>
      </c>
      <c r="AL143" s="21" t="str">
        <f aca="false">IF(J143&gt;=Upgrades!$E$11,"",Upgrades!$C$11*POWER(Upgrades!$D$11,J143))</f>
        <v/>
      </c>
      <c r="AM143" s="21" t="str">
        <f aca="false">IF(K143&gt;=Upgrades!$E$12,"",Upgrades!$C$12*POWER(Upgrades!$D$12,K143))</f>
        <v/>
      </c>
      <c r="AN143" s="26" t="str">
        <f aca="false">IF(AND(D143&gt;=Parameters!$B$18,(H143&gt;=Upgrades!$E$9)*(K143&gt;=Upgrades!$E$12)=1,L143=0),1,"")</f>
        <v/>
      </c>
      <c r="AO143" s="26" t="str">
        <f aca="false">IF(AND(D143&gt;=Parameters!$B$18,L143=0),1,"")</f>
        <v/>
      </c>
      <c r="AP143" s="21" t="n">
        <f aca="false">MIN(IF(ISNUMBER(AK143),AK143,9000000000000000),IF(ISNUMBER(AL143),AL143,9000000000000000),IF(ISNUMBER(AM143),AM143,9000000000000000))</f>
        <v>9000000000000000</v>
      </c>
      <c r="AQ143" s="21" t="n">
        <f aca="false">MIN(IF(ISNUMBER(AG143),AG143,9000000000000000),IF(ISNUMBER(AH143),AH143,9000000000000000),IF(ISNUMBER(AI143),AI143,9000000000000000),IF(ISNUMBER(AJ143),AJ143,9000000000000000))</f>
        <v>37.4517507383159</v>
      </c>
      <c r="AR143" s="32" t="b">
        <f aca="false">IF(AW143&gt;Parameters!$B$21*(MAX(IF(AND(NOT(AND(AO143=1,AN143&lt;&gt;1)),ISNUMBER(AG143),AG143&lt;=T143),AS143,0),IF(AND(NOT(AND(AO143=1,AN143&lt;&gt;1)),ISNUMBER(AH143),AH143&lt;=T143),AT143,0),IF(AND(NOT(AND(AO143=1,AN143&lt;&gt;1)),ISNUMBER(AI143),AI143&lt;=T143),AU143,0),IF(AND(ISNUMBER(AJ143),AJ143&lt;=T143),AV143,0))),TRUE(),FALSE())</f>
        <v>1</v>
      </c>
      <c r="AS143" s="33" t="n">
        <f aca="false">IFERROR(Upgrades!$H$6*(POWER(Upgrades!$P$6,E143)*POWER(Upgrades!$P$7,F143)*POWER(Upgrades!$P$8,G143)*POWER(Upgrades!$P$9,H143)*POWER(Upgrades!$P$10,I143)*POWER(Upgrades!$P$11,J143)*POWER(Upgrades!$P$12,K143))*(IF(Upgrades!$T$7="Solar Wind",POWER(Upgrades!$U$7,F143),1)*IF(Upgrades!$T$8="Solar Wind",POWER(Upgrades!$U$8,G143),1)*IF(Upgrades!$T$9="Solar Wind",POWER(Upgrades!$U$9,H143),1)*IF(Upgrades!$T$10="Solar Wind",POWER(Upgrades!$U$10,I143),1)*IF(Upgrades!$T$11="Solar Wind",POWER(Upgrades!$U$11,J143),1)*IF(Upgrades!$T$12="Solar Wind",POWER(Upgrades!$U$12,K143),1))/AG143,0)</f>
        <v>0.0026701021455238</v>
      </c>
      <c r="AT143" s="33" t="n">
        <f aca="false">IFERROR(Upgrades!$H$7*(POWER(Upgrades!$P$6,E143)*POWER(Upgrades!$P$7,F143)*POWER(Upgrades!$P$8,G143)*POWER(Upgrades!$P$9,H143)*POWER(Upgrades!$P$10,I143)*POWER(Upgrades!$P$11,J143)*POWER(Upgrades!$P$12,K143))*(IF(Upgrades!$T$6="Asteroid Belt",POWER(Upgrades!$U$6,E143),1)*IF(Upgrades!$T$8="Asteroid Belt",POWER(Upgrades!$U$8,G143),1)*IF(Upgrades!$T$9="Asteroid Belt",POWER(Upgrades!$U$9,H143),1)*IF(Upgrades!$T$10="Asteroid Belt",POWER(Upgrades!$U$10,I143),1)*IF(Upgrades!$T$11="Asteroid Belt",POWER(Upgrades!$U$11,J143),1)*IF(Upgrades!$T$12="Asteroid Belt",POWER(Upgrades!$U$12,K143),1))/AH143,0)</f>
        <v>0.00308980882652332</v>
      </c>
      <c r="AU143" s="33" t="n">
        <f aca="false">IFERROR(Upgrades!$K$8*(POWER(Upgrades!$Q$6,E143)*POWER(Upgrades!$Q$7,F143)*POWER(Upgrades!$Q$8,G143)*POWER(Upgrades!$Q$9,H143)*POWER(Upgrades!$Q$10,I143)*POWER(Upgrades!$Q$11,J143)*POWER(Upgrades!$Q$12,K143))*(IF(Upgrades!$T$6="Stellar Coupling",POWER(Upgrades!$U$6,E143),1)*IF(Upgrades!$T$7="Stellar Coupling",POWER(Upgrades!$U$7,F143),1)*IF(Upgrades!$T$9="Stellar Coupling",POWER(Upgrades!$U$9,H143),1)*IF(Upgrades!$T$10="Stellar Coupling",POWER(Upgrades!$U$10,I143),1)*IF(Upgrades!$T$11="Stellar Coupling",POWER(Upgrades!$U$11,J143),1)*IF(Upgrades!$T$12="Stellar Coupling",POWER(Upgrades!$U$12,K143),1))*Parameters!$B$10*Parameters!$B$11/60/AI143,0)</f>
        <v>0.00452762415783776</v>
      </c>
      <c r="AV143" s="33" t="n">
        <f aca="false">IFERROR(Upgrades!$H$9*(POWER(Upgrades!$P$6,E143)*POWER(Upgrades!$P$7,F143)*POWER(Upgrades!$P$8,G143)*POWER(Upgrades!$P$9,H143)*POWER(Upgrades!$P$10,I143)*POWER(Upgrades!$P$11,J143)*POWER(Upgrades!$P$12,K143))*(IF(Upgrades!$T$6="Magnetosphere",POWER(Upgrades!$U$6,E143),1)*IF(Upgrades!$T$7="Magnetosphere",POWER(Upgrades!$U$7,F143),1)*IF(Upgrades!$T$8="Magnetosphere",POWER(Upgrades!$U$8,G143),1)*IF(Upgrades!$T$10="Magnetosphere",POWER(Upgrades!$U$10,I143),1)*IF(Upgrades!$T$11="Magnetosphere",POWER(Upgrades!$U$11,J143),1)*IF(Upgrades!$T$12="Magnetosphere",POWER(Upgrades!$U$12,K143),1))/AJ143,0)</f>
        <v>0</v>
      </c>
      <c r="AW143" s="33" t="n">
        <f aca="false">MAX(IF(I143&gt;0,0,IFERROR(0.25*N143/Upgrades!$C$10,0)),IF(J143&gt;0,0,IFERROR(0.5*((IF(G143=0,0,(Upgrades!$J$8+G143*Upgrades!$K$8)*POWER(Upgrades!$L$8,G143)))*(IF(Upgrades!$T$6="Stellar Coupling",POWER(Upgrades!$U$6,E143),1)*IF(Upgrades!$T$7="Stellar Coupling",POWER(Upgrades!$U$7,F143),1)*IF(Upgrades!$T$9="Stellar Coupling",POWER(Upgrades!$U$9,H143),1)*IF(Upgrades!$T$10="Stellar Coupling",POWER(Upgrades!$U$10,I143),1)*IF(Upgrades!$T$11="Stellar Coupling",POWER(Upgrades!$U$11,J143),1)*IF(Upgrades!$T$12="Stellar Coupling",POWER(Upgrades!$U$12,K143),1))*(POWER(Upgrades!$Q$6,E143)*POWER(Upgrades!$Q$7,F143)*POWER(Upgrades!$Q$8,G143)*POWER(Upgrades!$Q$9,H143)*POWER(Upgrades!$Q$10,I143)*POWER(Upgrades!$Q$11,J143)*POWER(Upgrades!$Q$12,K143))*Parameters!$B$10*Parameters!$B$11/60)/Upgrades!$C$11,0)),IF(K143&gt;0,0,IFERROR((1*(POWER(Upgrades!$P$6,E143)*POWER(Upgrades!$P$7,F143)*POWER(Upgrades!$P$8,G143)*POWER(Upgrades!$P$9,H143)*POWER(Upgrades!$P$10,I143)*POWER(Upgrades!$P$11,J143)*POWER(Upgrades!$P$12,K143))+0.2*M143*Parameters!$B$10*Parameters!$B$11/60)/Upgrades!$C$12,0)),IF(AND(ISNUMBER(AG143),AG143&gt;T143),AS143,0),IF(AND(ISNUMBER(AH143),AH143&gt;T143),AT143,0),IF(AND(ISNUMBER(AI143),AI143&gt;T143),AU143,0),IF(AND(ISNUMBER(AJ143),AJ143&gt;T143),AV143,0))</f>
        <v>0.00452762415783776</v>
      </c>
      <c r="AX143" s="29" t="str">
        <f aca="false">IF(AN143=1,"transition",IF(MIN(IF(AND(I143=0,ISNUMBER(AK143),AK143&lt;=T143),AK143,9000000000000000),IF(AND(J143=0,ISNUMBER(AL143),AL143&lt;=T143),AL143,9000000000000000),IF(AND(K143=0,ISNUMBER(AM143),AM143&lt;=T143),AM143,9000000000000000))&lt;9000000000000000,IF(AND(AND(I143=0,ISNUMBER(AK143),AK143&lt;=T143),AK143=MIN(IF(AND(I143=0,ISNUMBER(AK143),AK143&lt;=T143),AK143,9000000000000000),IF(AND(J143=0,ISNUMBER(AL143),AL143&lt;=T143),AL143,9000000000000000),IF(AND(K143=0,ISNUMBER(AM143),AM143&lt;=T143),AM143,9000000000000000))),"OR",IF(AND(AND(J143=0,ISNUMBER(AL143),AL143&lt;=T143),AL143=MIN(IF(AND(I143=0,ISNUMBER(AK143),AK143&lt;=T143),AK143,9000000000000000),IF(AND(J143=0,ISNUMBER(AL143),AL143&lt;=T143),AL143,9000000000000000),IF(AND(K143=0,ISNUMBER(AM143),AM143&lt;=T143),AM143,9000000000000000))),"HP","FP")),IF(AR143=TRUE(),"",IF(MAX(IF(AND(NOT(AND(AO143=1,AN143&lt;&gt;1)),ISNUMBER(AG143),AG143&lt;=T143),AS143,0),IF(AND(NOT(AND(AO143=1,AN143&lt;&gt;1)),ISNUMBER(AH143),AH143&lt;=T143),AT143,0),IF(AND(NOT(AND(AO143=1,AN143&lt;&gt;1)),ISNUMBER(AI143),AI143&lt;=T143),AU143,0),IF(AND(ISNUMBER(AJ143),AJ143&lt;=T143),AV143,0))&lt;=0,"",IF(AND(IF(AND(NOT(AND(AO143=1,AN143&lt;&gt;1)),ISNUMBER(AG143),AG143&lt;=T143),AS143,0)&gt;0,IF(AND(NOT(AND(AO143=1,AN143&lt;&gt;1)),ISNUMBER(AG143),AG143&lt;=T143),AS143,0)=MAX(IF(AND(NOT(AND(AO143=1,AN143&lt;&gt;1)),ISNUMBER(AG143),AG143&lt;=T143),AS143,0),IF(AND(NOT(AND(AO143=1,AN143&lt;&gt;1)),ISNUMBER(AH143),AH143&lt;=T143),AT143,0),IF(AND(NOT(AND(AO143=1,AN143&lt;&gt;1)),ISNUMBER(AI143),AI143&lt;=T143),AU143,0),IF(AND(ISNUMBER(AJ143),AJ143&lt;=T143),AV143,0))),"SW",IF(AND(IF(AND(NOT(AND(AO143=1,AN143&lt;&gt;1)),ISNUMBER(AH143),AH143&lt;=T143),AT143,0)&gt;0,IF(AND(NOT(AND(AO143=1,AN143&lt;&gt;1)),ISNUMBER(AH143),AH143&lt;=T143),AT143,0)=MAX(IF(AND(NOT(AND(AO143=1,AN143&lt;&gt;1)),ISNUMBER(AG143),AG143&lt;=T143),AS143,0),IF(AND(NOT(AND(AO143=1,AN143&lt;&gt;1)),ISNUMBER(AH143),AH143&lt;=T143),AT143,0),IF(AND(NOT(AND(AO143=1,AN143&lt;&gt;1)),ISNUMBER(AI143),AI143&lt;=T143),AU143,0),IF(AND(ISNUMBER(AJ143),AJ143&lt;=T143),AV143,0))),"AB",IF(AND(IF(AND(NOT(AND(AO143=1,AN143&lt;&gt;1)),ISNUMBER(AI143),AI143&lt;=T143),AU143,0)&gt;0,IF(AND(NOT(AND(AO143=1,AN143&lt;&gt;1)),ISNUMBER(AI143),AI143&lt;=T143),AU143,0)=MAX(IF(AND(NOT(AND(AO143=1,AN143&lt;&gt;1)),ISNUMBER(AG143),AG143&lt;=T143),AS143,0),IF(AND(NOT(AND(AO143=1,AN143&lt;&gt;1)),ISNUMBER(AH143),AH143&lt;=T143),AT143,0),IF(AND(NOT(AND(AO143=1,AN143&lt;&gt;1)),ISNUMBER(AI143),AI143&lt;=T143),AU143,0),IF(AND(ISNUMBER(AJ143),AJ143&lt;=T143),AV143,0))),"SC","Mag")))))))</f>
        <v/>
      </c>
    </row>
    <row r="144" customFormat="false" ht="15" hidden="false" customHeight="false" outlineLevel="0" collapsed="false">
      <c r="A144" s="26" t="n">
        <v>139</v>
      </c>
      <c r="B144" s="27" t="n">
        <f aca="false">A144*10/60</f>
        <v>23.1666666666667</v>
      </c>
      <c r="C144" s="21" t="n">
        <f aca="false">X143</f>
        <v>18.6730249835055</v>
      </c>
      <c r="D144" s="27" t="n">
        <f aca="false">D143+W143</f>
        <v>0</v>
      </c>
      <c r="E144" s="26" t="n">
        <f aca="false">E143+IF(U143="SW",1,0)</f>
        <v>12</v>
      </c>
      <c r="F144" s="26" t="n">
        <f aca="false">F143+IF(U143="AB",1,0)</f>
        <v>10</v>
      </c>
      <c r="G144" s="26" t="n">
        <f aca="false">G143+IF(U143="SC",1,0)</f>
        <v>7</v>
      </c>
      <c r="H144" s="26" t="n">
        <f aca="false">H143+IF(U143="Mag",1,0)</f>
        <v>5</v>
      </c>
      <c r="I144" s="26" t="n">
        <f aca="false">MAX(I143,IF(U143="OR",1,0))</f>
        <v>1</v>
      </c>
      <c r="J144" s="26" t="n">
        <f aca="false">MAX(J143,IF(U143="HP",1,0))</f>
        <v>1</v>
      </c>
      <c r="K144" s="26" t="n">
        <f aca="false">MAX(K143,IF(U143="FP",1,0))</f>
        <v>1</v>
      </c>
      <c r="L144" s="26" t="n">
        <f aca="false">MAX(L143,IF(U143="transition",1,0))</f>
        <v>1</v>
      </c>
      <c r="M144" s="28" t="n">
        <f aca="false">(Parameters!$B$9+(IF(E144=0,0,(Upgrades!$J$6+E144*Upgrades!$K$6)*POWER(Upgrades!$L$6,E144)))*(IF(Upgrades!$T$7="Solar Wind",POWER(Upgrades!$U$7,F144),1)*IF(Upgrades!$T$8="Solar Wind",POWER(Upgrades!$U$8,G144),1)*IF(Upgrades!$T$9="Solar Wind",POWER(Upgrades!$U$9,H144),1)*IF(Upgrades!$T$10="Solar Wind",POWER(Upgrades!$U$10,I144),1)*IF(Upgrades!$T$11="Solar Wind",POWER(Upgrades!$U$11,J144),1)*IF(Upgrades!$T$12="Solar Wind",POWER(Upgrades!$U$12,K144),1))+(IF(F144=0,0,(Upgrades!$J$7+F144*Upgrades!$K$7)*POWER(Upgrades!$L$7,F144)))*(IF(Upgrades!$T$6="Asteroid Belt",POWER(Upgrades!$U$6,E144),1)*IF(Upgrades!$T$8="Asteroid Belt",POWER(Upgrades!$U$8,G144),1)*IF(Upgrades!$T$9="Asteroid Belt",POWER(Upgrades!$U$9,H144),1)*IF(Upgrades!$T$10="Asteroid Belt",POWER(Upgrades!$U$10,I144),1)*IF(Upgrades!$T$11="Asteroid Belt",POWER(Upgrades!$U$11,J144),1)*IF(Upgrades!$T$12="Asteroid Belt",POWER(Upgrades!$U$12,K144),1))+(IF(G144=0,0,(Upgrades!$J$8+G144*Upgrades!$K$8)*POWER(Upgrades!$L$8,G144)))*(IF(Upgrades!$T$6="Stellar Coupling",POWER(Upgrades!$U$6,E144),1)*IF(Upgrades!$T$7="Stellar Coupling",POWER(Upgrades!$U$7,F144),1)*IF(Upgrades!$T$9="Stellar Coupling",POWER(Upgrades!$U$9,H144),1)*IF(Upgrades!$T$10="Stellar Coupling",POWER(Upgrades!$U$10,I144),1)*IF(Upgrades!$T$11="Stellar Coupling",POWER(Upgrades!$U$11,J144),1)*IF(Upgrades!$T$12="Stellar Coupling",POWER(Upgrades!$U$12,K144),1))+(IF(H144=0,0,(Upgrades!$J$9+H144*Upgrades!$K$9)*POWER(Upgrades!$L$9,H144)))*(IF(Upgrades!$T$6="Magnetosphere",POWER(Upgrades!$U$6,E144),1)*IF(Upgrades!$T$7="Magnetosphere",POWER(Upgrades!$U$7,F144),1)*IF(Upgrades!$T$8="Magnetosphere",POWER(Upgrades!$U$8,G144),1)*IF(Upgrades!$T$10="Magnetosphere",POWER(Upgrades!$U$10,I144),1)*IF(Upgrades!$T$11="Magnetosphere",POWER(Upgrades!$U$11,J144),1)*IF(Upgrades!$T$12="Magnetosphere",POWER(Upgrades!$U$12,K144),1))+(IF(I144=0,0,(Upgrades!$J$10+I144*Upgrades!$K$10)*POWER(Upgrades!$L$10,I144)))*(IF(Upgrades!$T$6="Orbital Resonance",POWER(Upgrades!$U$6,E144),1)*IF(Upgrades!$T$7="Orbital Resonance",POWER(Upgrades!$U$7,F144),1)*IF(Upgrades!$T$8="Orbital Resonance",POWER(Upgrades!$U$8,G144),1)*IF(Upgrades!$T$9="Orbital Resonance",POWER(Upgrades!$U$9,H144),1)*IF(Upgrades!$T$11="Orbital Resonance",POWER(Upgrades!$U$11,J144),1)*IF(Upgrades!$T$12="Orbital Resonance",POWER(Upgrades!$U$12,K144),1))+(IF(J144=0,0,(Upgrades!$J$11+J144*Upgrades!$K$11)*POWER(Upgrades!$L$11,J144)))*(IF(Upgrades!$T$6="Heliopause",POWER(Upgrades!$U$6,E144),1)*IF(Upgrades!$T$7="Heliopause",POWER(Upgrades!$U$7,F144),1)*IF(Upgrades!$T$8="Heliopause",POWER(Upgrades!$U$8,G144),1)*IF(Upgrades!$T$9="Heliopause",POWER(Upgrades!$U$9,H144),1)*IF(Upgrades!$T$10="Heliopause",POWER(Upgrades!$U$10,I144),1)*IF(Upgrades!$T$12="Heliopause",POWER(Upgrades!$U$12,K144),1))+(IF(K144=0,0,(Upgrades!$J$12+K144*Upgrades!$K$12)*POWER(Upgrades!$L$12,K144)))*(IF(Upgrades!$T$6="First Photons",POWER(Upgrades!$U$6,E144),1)*IF(Upgrades!$T$7="First Photons",POWER(Upgrades!$U$7,F144),1)*IF(Upgrades!$T$8="First Photons",POWER(Upgrades!$U$8,G144),1)*IF(Upgrades!$T$9="First Photons",POWER(Upgrades!$U$9,H144),1)*IF(Upgrades!$T$10="First Photons",POWER(Upgrades!$U$10,I144),1)*IF(Upgrades!$T$11="First Photons",POWER(Upgrades!$U$11,J144),1)))*POWER(Upgrades!$Q$6,E144)*POWER(Upgrades!$Q$7,F144)*POWER(Upgrades!$Q$8,G144)*POWER(Upgrades!$Q$9,H144)*POWER(Upgrades!$Q$10,I144)*POWER(Upgrades!$Q$11,J144)*POWER(Upgrades!$Q$12,K144)</f>
        <v>5.61</v>
      </c>
      <c r="N144" s="28" t="n">
        <f aca="false">((IF(E144=0,0,(Upgrades!$G$6+E144*Upgrades!$H$6)*POWER(Upgrades!$I$6,E144)))*(IF(Upgrades!$T$7="Solar Wind",POWER(Upgrades!$U$7,F144),1)*IF(Upgrades!$T$8="Solar Wind",POWER(Upgrades!$U$8,G144),1)*IF(Upgrades!$T$9="Solar Wind",POWER(Upgrades!$U$9,H144),1)*IF(Upgrades!$T$10="Solar Wind",POWER(Upgrades!$U$10,I144),1)*IF(Upgrades!$T$11="Solar Wind",POWER(Upgrades!$U$11,J144),1)*IF(Upgrades!$T$12="Solar Wind",POWER(Upgrades!$U$12,K144),1))+(IF(F144=0,0,(Upgrades!$G$7+F144*Upgrades!$H$7)*POWER(Upgrades!$I$7,F144)))*(IF(Upgrades!$T$6="Asteroid Belt",POWER(Upgrades!$U$6,E144),1)*IF(Upgrades!$T$8="Asteroid Belt",POWER(Upgrades!$U$8,G144),1)*IF(Upgrades!$T$9="Asteroid Belt",POWER(Upgrades!$U$9,H144),1)*IF(Upgrades!$T$10="Asteroid Belt",POWER(Upgrades!$U$10,I144),1)*IF(Upgrades!$T$11="Asteroid Belt",POWER(Upgrades!$U$11,J144),1)*IF(Upgrades!$T$12="Asteroid Belt",POWER(Upgrades!$U$12,K144),1))+(IF(G144=0,0,(Upgrades!$G$8+G144*Upgrades!$H$8)*POWER(Upgrades!$I$8,G144)))*(IF(Upgrades!$T$6="Stellar Coupling",POWER(Upgrades!$U$6,E144),1)*IF(Upgrades!$T$7="Stellar Coupling",POWER(Upgrades!$U$7,F144),1)*IF(Upgrades!$T$9="Stellar Coupling",POWER(Upgrades!$U$9,H144),1)*IF(Upgrades!$T$10="Stellar Coupling",POWER(Upgrades!$U$10,I144),1)*IF(Upgrades!$T$11="Stellar Coupling",POWER(Upgrades!$U$11,J144),1)*IF(Upgrades!$T$12="Stellar Coupling",POWER(Upgrades!$U$12,K144),1))+(IF(H144=0,0,(Upgrades!$G$9+H144*Upgrades!$H$9)*POWER(Upgrades!$I$9,H144)))*(IF(Upgrades!$T$6="Magnetosphere",POWER(Upgrades!$U$6,E144),1)*IF(Upgrades!$T$7="Magnetosphere",POWER(Upgrades!$U$7,F144),1)*IF(Upgrades!$T$8="Magnetosphere",POWER(Upgrades!$U$8,G144),1)*IF(Upgrades!$T$10="Magnetosphere",POWER(Upgrades!$U$10,I144),1)*IF(Upgrades!$T$11="Magnetosphere",POWER(Upgrades!$U$11,J144),1)*IF(Upgrades!$T$12="Magnetosphere",POWER(Upgrades!$U$12,K144),1))+(IF(I144=0,0,(Upgrades!$G$10+I144*Upgrades!$H$10)*POWER(Upgrades!$I$10,I144)))*(IF(Upgrades!$T$6="Orbital Resonance",POWER(Upgrades!$U$6,E144),1)*IF(Upgrades!$T$7="Orbital Resonance",POWER(Upgrades!$U$7,F144),1)*IF(Upgrades!$T$8="Orbital Resonance",POWER(Upgrades!$U$8,G144),1)*IF(Upgrades!$T$9="Orbital Resonance",POWER(Upgrades!$U$9,H144),1)*IF(Upgrades!$T$11="Orbital Resonance",POWER(Upgrades!$U$11,J144),1)*IF(Upgrades!$T$12="Orbital Resonance",POWER(Upgrades!$U$12,K144),1))+(IF(J144=0,0,(Upgrades!$G$11+J144*Upgrades!$H$11)*POWER(Upgrades!$I$11,J144)))*(IF(Upgrades!$T$6="Heliopause",POWER(Upgrades!$U$6,E144),1)*IF(Upgrades!$T$7="Heliopause",POWER(Upgrades!$U$7,F144),1)*IF(Upgrades!$T$8="Heliopause",POWER(Upgrades!$U$8,G144),1)*IF(Upgrades!$T$9="Heliopause",POWER(Upgrades!$U$9,H144),1)*IF(Upgrades!$T$10="Heliopause",POWER(Upgrades!$U$10,I144),1)*IF(Upgrades!$T$12="Heliopause",POWER(Upgrades!$U$12,K144),1))+(IF(K144=0,0,(Upgrades!$G$12+K144*Upgrades!$H$12)*POWER(Upgrades!$I$12,K144)))*(IF(Upgrades!$T$6="First Photons",POWER(Upgrades!$U$6,E144),1)*IF(Upgrades!$T$7="First Photons",POWER(Upgrades!$U$7,F144),1)*IF(Upgrades!$T$8="First Photons",POWER(Upgrades!$U$8,G144),1)*IF(Upgrades!$T$9="First Photons",POWER(Upgrades!$U$9,H144),1)*IF(Upgrades!$T$10="First Photons",POWER(Upgrades!$U$10,I144),1)*IF(Upgrades!$T$11="First Photons",POWER(Upgrades!$U$11,J144),1)))*POWER(Upgrades!$P$6,E144)*POWER(Upgrades!$P$7,F144)*POWER(Upgrades!$P$8,G144)*POWER(Upgrades!$P$9,H144)*POWER(Upgrades!$P$10,I144)*POWER(Upgrades!$P$11,J144)*POWER(Upgrades!$P$12,K144)</f>
        <v>11.2</v>
      </c>
      <c r="O144" s="28" t="n">
        <f aca="false">((IF(E144=0,0,(Upgrades!$M$6+E144*Upgrades!$N$6)*POWER(Upgrades!$O$6,E144)))*(IF(Upgrades!$T$7="Solar Wind",POWER(Upgrades!$U$7,F144),1)*IF(Upgrades!$T$8="Solar Wind",POWER(Upgrades!$U$8,G144),1)*IF(Upgrades!$T$9="Solar Wind",POWER(Upgrades!$U$9,H144),1)*IF(Upgrades!$T$10="Solar Wind",POWER(Upgrades!$U$10,I144),1)*IF(Upgrades!$T$11="Solar Wind",POWER(Upgrades!$U$11,J144),1)*IF(Upgrades!$T$12="Solar Wind",POWER(Upgrades!$U$12,K144),1))+(IF(F144=0,0,(Upgrades!$M$7+F144*Upgrades!$N$7)*POWER(Upgrades!$O$7,F144)))*(IF(Upgrades!$T$6="Asteroid Belt",POWER(Upgrades!$U$6,E144),1)*IF(Upgrades!$T$8="Asteroid Belt",POWER(Upgrades!$U$8,G144),1)*IF(Upgrades!$T$9="Asteroid Belt",POWER(Upgrades!$U$9,H144),1)*IF(Upgrades!$T$10="Asteroid Belt",POWER(Upgrades!$U$10,I144),1)*IF(Upgrades!$T$11="Asteroid Belt",POWER(Upgrades!$U$11,J144),1)*IF(Upgrades!$T$12="Asteroid Belt",POWER(Upgrades!$U$12,K144),1))+(IF(G144=0,0,(Upgrades!$M$8+G144*Upgrades!$N$8)*POWER(Upgrades!$O$8,G144)))*(IF(Upgrades!$T$6="Stellar Coupling",POWER(Upgrades!$U$6,E144),1)*IF(Upgrades!$T$7="Stellar Coupling",POWER(Upgrades!$U$7,F144),1)*IF(Upgrades!$T$9="Stellar Coupling",POWER(Upgrades!$U$9,H144),1)*IF(Upgrades!$T$10="Stellar Coupling",POWER(Upgrades!$U$10,I144),1)*IF(Upgrades!$T$11="Stellar Coupling",POWER(Upgrades!$U$11,J144),1)*IF(Upgrades!$T$12="Stellar Coupling",POWER(Upgrades!$U$12,K144),1))+(IF(H144=0,0,(Upgrades!$M$9+H144*Upgrades!$N$9)*POWER(Upgrades!$O$9,H144)))*(IF(Upgrades!$T$6="Magnetosphere",POWER(Upgrades!$U$6,E144),1)*IF(Upgrades!$T$7="Magnetosphere",POWER(Upgrades!$U$7,F144),1)*IF(Upgrades!$T$8="Magnetosphere",POWER(Upgrades!$U$8,G144),1)*IF(Upgrades!$T$10="Magnetosphere",POWER(Upgrades!$U$10,I144),1)*IF(Upgrades!$T$11="Magnetosphere",POWER(Upgrades!$U$11,J144),1)*IF(Upgrades!$T$12="Magnetosphere",POWER(Upgrades!$U$12,K144),1))+(IF(I144=0,0,(Upgrades!$M$10+I144*Upgrades!$N$10)*POWER(Upgrades!$O$10,I144)))*(IF(Upgrades!$T$6="Orbital Resonance",POWER(Upgrades!$U$6,E144),1)*IF(Upgrades!$T$7="Orbital Resonance",POWER(Upgrades!$U$7,F144),1)*IF(Upgrades!$T$8="Orbital Resonance",POWER(Upgrades!$U$8,G144),1)*IF(Upgrades!$T$9="Orbital Resonance",POWER(Upgrades!$U$9,H144),1)*IF(Upgrades!$T$11="Orbital Resonance",POWER(Upgrades!$U$11,J144),1)*IF(Upgrades!$T$12="Orbital Resonance",POWER(Upgrades!$U$12,K144),1))+(IF(J144=0,0,(Upgrades!$M$11+J144*Upgrades!$N$11)*POWER(Upgrades!$O$11,J144)))*(IF(Upgrades!$T$6="Heliopause",POWER(Upgrades!$U$6,E144),1)*IF(Upgrades!$T$7="Heliopause",POWER(Upgrades!$U$7,F144),1)*IF(Upgrades!$T$8="Heliopause",POWER(Upgrades!$U$8,G144),1)*IF(Upgrades!$T$9="Heliopause",POWER(Upgrades!$U$9,H144),1)*IF(Upgrades!$T$10="Heliopause",POWER(Upgrades!$U$10,I144),1)*IF(Upgrades!$T$12="Heliopause",POWER(Upgrades!$U$12,K144),1))+(IF(K144=0,0,(Upgrades!$M$12+K144*Upgrades!$N$12)*POWER(Upgrades!$O$12,K144)))*(IF(Upgrades!$T$6="First Photons",POWER(Upgrades!$U$6,E144),1)*IF(Upgrades!$T$7="First Photons",POWER(Upgrades!$U$7,F144),1)*IF(Upgrades!$T$8="First Photons",POWER(Upgrades!$U$8,G144),1)*IF(Upgrades!$T$9="First Photons",POWER(Upgrades!$U$9,H144),1)*IF(Upgrades!$T$10="First Photons",POWER(Upgrades!$U$10,I144),1)*IF(Upgrades!$T$11="First Photons",POWER(Upgrades!$U$11,J144),1)))*POWER(Upgrades!$R$6,E144)*POWER(Upgrades!$R$7,F144)*POWER(Upgrades!$R$8,G144)*POWER(Upgrades!$R$9,H144)*POWER(Upgrades!$R$10,I144)*POWER(Upgrades!$R$11,J144)*POWER(Upgrades!$R$12,K144)</f>
        <v>0</v>
      </c>
      <c r="P144" s="27" t="n">
        <f aca="false">IF(L144=1,0,M144*Parameters!$B$10/60*Parameters!$B$11*10)</f>
        <v>0</v>
      </c>
      <c r="Q144" s="27" t="n">
        <f aca="false">IF(L144=1,0,O144*M144*10)</f>
        <v>0</v>
      </c>
      <c r="R144" s="27" t="n">
        <f aca="false">IF(L144=1,0,N144*10)</f>
        <v>0</v>
      </c>
      <c r="S144" s="27" t="n">
        <f aca="false">P144+Q144+R144</f>
        <v>0</v>
      </c>
      <c r="T144" s="21" t="n">
        <f aca="false">C144+S144</f>
        <v>18.6730249835055</v>
      </c>
      <c r="U144" s="34" t="str">
        <f aca="false">AX144</f>
        <v/>
      </c>
      <c r="V144" s="21" t="n">
        <f aca="false">IF(U144="",0,IF(U144="transition",0,IF(U144="SW",AG144,IF(U144="AB",AH144,IF(U144="SC",AI144,IF(U144="Mag",AJ144,IF(U144="OR",AK144,IF(U144="HP",AL144,IF(U144="FP",AM144,0)))))))))</f>
        <v>0</v>
      </c>
      <c r="W144" s="27" t="n">
        <f aca="false">IF(U144="OR",Upgrades!$F$10,IF(U144="HP",Upgrades!$F$11,IF(U144="transition",-Parameters!$B$18,0)))</f>
        <v>0</v>
      </c>
      <c r="X144" s="21" t="n">
        <f aca="false">T144-V144</f>
        <v>18.6730249835055</v>
      </c>
      <c r="Y144" s="30" t="n">
        <f aca="false">M144*Parameters!$B$10/60*Parameters!$B$11+O144*M144+N144</f>
        <v>20.55</v>
      </c>
      <c r="Z144" s="35" t="str">
        <f aca="false">IF(U144="transition","→ Tier 2 (Stellar Neighborhood)",IF(U144="FP","First Photons — light begins, system quickens",IF(U144="HP","Heliopause acquired",IF(U144="OR","Orbital Resonance — passive multiplier active",IF(AND(AO144=1,L144=0,AN144&lt;&gt;1),"Cohesion ready (waiting on completionist upgrades)","")))))</f>
        <v/>
      </c>
      <c r="AA144" s="27" t="n">
        <f aca="false">(IF(E144=0,0,(Upgrades!$G$6+E144*Upgrades!$H$6)*POWER(Upgrades!$I$6,E144)))*(IF(Upgrades!$T$7="Solar Wind",POWER(Upgrades!$U$7,F144),1)*IF(Upgrades!$T$8="Solar Wind",POWER(Upgrades!$U$8,G144),1)*IF(Upgrades!$T$9="Solar Wind",POWER(Upgrades!$U$9,H144),1)*IF(Upgrades!$T$10="Solar Wind",POWER(Upgrades!$U$10,I144),1)*IF(Upgrades!$T$11="Solar Wind",POWER(Upgrades!$U$11,J144),1)*IF(Upgrades!$T$12="Solar Wind",POWER(Upgrades!$U$12,K144),1))*POWER(Upgrades!$P$6,E144)*POWER(Upgrades!$P$7,F144)*POWER(Upgrades!$P$8,G144)*POWER(Upgrades!$P$9,H144)*POWER(Upgrades!$P$10,I144)*POWER(Upgrades!$P$11,J144)*POWER(Upgrades!$P$12,K144)*60</f>
        <v>72</v>
      </c>
      <c r="AB144" s="27" t="n">
        <f aca="false">(IF(F144=0,0,(Upgrades!$G$7+F144*Upgrades!$H$7)*POWER(Upgrades!$I$7,F144)))*(IF(Upgrades!$T$6="Asteroid Belt",POWER(Upgrades!$U$6,E144),1)*IF(Upgrades!$T$8="Asteroid Belt",POWER(Upgrades!$U$8,G144),1)*IF(Upgrades!$T$9="Asteroid Belt",POWER(Upgrades!$U$9,H144),1)*IF(Upgrades!$T$10="Asteroid Belt",POWER(Upgrades!$U$10,I144),1)*IF(Upgrades!$T$11="Asteroid Belt",POWER(Upgrades!$U$11,J144),1)*IF(Upgrades!$T$12="Asteroid Belt",POWER(Upgrades!$U$12,K144),1))*POWER(Upgrades!$P$6,E144)*POWER(Upgrades!$P$7,F144)*POWER(Upgrades!$P$8,G144)*POWER(Upgrades!$P$9,H144)*POWER(Upgrades!$P$10,I144)*POWER(Upgrades!$P$11,J144)*POWER(Upgrades!$P$12,K144)*60</f>
        <v>150</v>
      </c>
      <c r="AC144" s="27" t="n">
        <f aca="false">(IF(G144=0,0,(Upgrades!$J$8+G144*Upgrades!$K$8)*POWER(Upgrades!$L$8,G144)))*(IF(Upgrades!$T$6="Stellar Coupling",POWER(Upgrades!$U$6,E144),1)*IF(Upgrades!$T$7="Stellar Coupling",POWER(Upgrades!$U$7,F144),1)*IF(Upgrades!$T$9="Stellar Coupling",POWER(Upgrades!$U$9,H144),1)*IF(Upgrades!$T$10="Stellar Coupling",POWER(Upgrades!$U$10,I144),1)*IF(Upgrades!$T$11="Stellar Coupling",POWER(Upgrades!$U$11,J144),1)*IF(Upgrades!$T$12="Stellar Coupling",POWER(Upgrades!$U$12,K144),1))*POWER(Upgrades!$Q$6,E144)*POWER(Upgrades!$Q$7,F144)*POWER(Upgrades!$Q$8,G144)*POWER(Upgrades!$Q$9,H144)*POWER(Upgrades!$Q$10,I144)*POWER(Upgrades!$Q$11,J144)*POWER(Upgrades!$Q$12,K144)*Parameters!$B$10*Parameters!$B$11</f>
        <v>441</v>
      </c>
      <c r="AD144" s="27" t="n">
        <f aca="false">(IF(H144=0,0,(Upgrades!$G$9+H144*Upgrades!$H$9)*POWER(Upgrades!$I$9,H144)))*(IF(Upgrades!$T$6="Magnetosphere",POWER(Upgrades!$U$6,E144),1)*IF(Upgrades!$T$7="Magnetosphere",POWER(Upgrades!$U$7,F144),1)*IF(Upgrades!$T$8="Magnetosphere",POWER(Upgrades!$U$8,G144),1)*IF(Upgrades!$T$10="Magnetosphere",POWER(Upgrades!$U$10,I144),1)*IF(Upgrades!$T$11="Magnetosphere",POWER(Upgrades!$U$11,J144),1)*IF(Upgrades!$T$12="Magnetosphere",POWER(Upgrades!$U$12,K144),1))*POWER(Upgrades!$P$6,E144)*POWER(Upgrades!$P$7,F144)*POWER(Upgrades!$P$8,G144)*POWER(Upgrades!$P$9,H144)*POWER(Upgrades!$P$10,I144)*POWER(Upgrades!$P$11,J144)*POWER(Upgrades!$P$12,K144)*60</f>
        <v>375</v>
      </c>
      <c r="AE144" s="27" t="n">
        <f aca="false">(IF(K144=0,0,(Upgrades!$G$12+K144*Upgrades!$H$12)*POWER(Upgrades!$I$12,K144)))*(IF(Upgrades!$T$6="First Photons",POWER(Upgrades!$U$6,E144),1)*IF(Upgrades!$T$7="First Photons",POWER(Upgrades!$U$7,F144),1)*IF(Upgrades!$T$8="First Photons",POWER(Upgrades!$U$8,G144),1)*IF(Upgrades!$T$9="First Photons",POWER(Upgrades!$U$9,H144),1)*IF(Upgrades!$T$10="First Photons",POWER(Upgrades!$U$10,I144),1)*IF(Upgrades!$T$11="First Photons",POWER(Upgrades!$U$11,J144),1))*POWER(Upgrades!$P$6,E144)*POWER(Upgrades!$P$7,F144)*POWER(Upgrades!$P$8,G144)*POWER(Upgrades!$P$9,H144)*POWER(Upgrades!$P$10,I144)*POWER(Upgrades!$P$11,J144)*POWER(Upgrades!$P$12,K144)*60</f>
        <v>75</v>
      </c>
      <c r="AF144" s="27" t="n">
        <f aca="false">Parameters!$B$9*POWER(Upgrades!$Q$6,E144)*POWER(Upgrades!$Q$7,F144)*POWER(Upgrades!$Q$8,G144)*POWER(Upgrades!$Q$9,H144)*POWER(Upgrades!$Q$10,I144)*POWER(Upgrades!$Q$11,J144)*POWER(Upgrades!$Q$12,K144)*(Parameters!$B$10*Parameters!$B$11+O144*60)</f>
        <v>120</v>
      </c>
      <c r="AG144" s="21" t="n">
        <f aca="false">IF(E144&gt;=Upgrades!$E$6,"",Upgrades!$C$6*POWER(Upgrades!$D$6,E144))</f>
        <v>37.4517507383159</v>
      </c>
      <c r="AH144" s="21" t="n">
        <f aca="false">IF(F144&gt;=Upgrades!$E$7,"",Upgrades!$C$7*POWER(Upgrades!$D$7,F144))</f>
        <v>80.9111547141581</v>
      </c>
      <c r="AI144" s="21" t="n">
        <f aca="false">IF(G144&gt;=Upgrades!$E$8,"",Upgrades!$C$8*POWER(Upgrades!$D$8,G144))</f>
        <v>231.9097088</v>
      </c>
      <c r="AJ144" s="21" t="str">
        <f aca="false">IF(H144&gt;=Upgrades!$E$9,"",Upgrades!$C$9*POWER(Upgrades!$D$9,H144))</f>
        <v/>
      </c>
      <c r="AK144" s="21" t="str">
        <f aca="false">IF(I144&gt;=Upgrades!$E$10,"",Upgrades!$C$10*POWER(Upgrades!$D$10,I144))</f>
        <v/>
      </c>
      <c r="AL144" s="21" t="str">
        <f aca="false">IF(J144&gt;=Upgrades!$E$11,"",Upgrades!$C$11*POWER(Upgrades!$D$11,J144))</f>
        <v/>
      </c>
      <c r="AM144" s="21" t="str">
        <f aca="false">IF(K144&gt;=Upgrades!$E$12,"",Upgrades!$C$12*POWER(Upgrades!$D$12,K144))</f>
        <v/>
      </c>
      <c r="AN144" s="26" t="str">
        <f aca="false">IF(AND(D144&gt;=Parameters!$B$18,(H144&gt;=Upgrades!$E$9)*(K144&gt;=Upgrades!$E$12)=1,L144=0),1,"")</f>
        <v/>
      </c>
      <c r="AO144" s="26" t="str">
        <f aca="false">IF(AND(D144&gt;=Parameters!$B$18,L144=0),1,"")</f>
        <v/>
      </c>
      <c r="AP144" s="21" t="n">
        <f aca="false">MIN(IF(ISNUMBER(AK144),AK144,9000000000000000),IF(ISNUMBER(AL144),AL144,9000000000000000),IF(ISNUMBER(AM144),AM144,9000000000000000))</f>
        <v>9000000000000000</v>
      </c>
      <c r="AQ144" s="21" t="n">
        <f aca="false">MIN(IF(ISNUMBER(AG144),AG144,9000000000000000),IF(ISNUMBER(AH144),AH144,9000000000000000),IF(ISNUMBER(AI144),AI144,9000000000000000),IF(ISNUMBER(AJ144),AJ144,9000000000000000))</f>
        <v>37.4517507383159</v>
      </c>
      <c r="AR144" s="32" t="b">
        <f aca="false">IF(AW144&gt;Parameters!$B$21*(MAX(IF(AND(NOT(AND(AO144=1,AN144&lt;&gt;1)),ISNUMBER(AG144),AG144&lt;=T144),AS144,0),IF(AND(NOT(AND(AO144=1,AN144&lt;&gt;1)),ISNUMBER(AH144),AH144&lt;=T144),AT144,0),IF(AND(NOT(AND(AO144=1,AN144&lt;&gt;1)),ISNUMBER(AI144),AI144&lt;=T144),AU144,0),IF(AND(ISNUMBER(AJ144),AJ144&lt;=T144),AV144,0))),TRUE(),FALSE())</f>
        <v>1</v>
      </c>
      <c r="AS144" s="33" t="n">
        <f aca="false">IFERROR(Upgrades!$H$6*(POWER(Upgrades!$P$6,E144)*POWER(Upgrades!$P$7,F144)*POWER(Upgrades!$P$8,G144)*POWER(Upgrades!$P$9,H144)*POWER(Upgrades!$P$10,I144)*POWER(Upgrades!$P$11,J144)*POWER(Upgrades!$P$12,K144))*(IF(Upgrades!$T$7="Solar Wind",POWER(Upgrades!$U$7,F144),1)*IF(Upgrades!$T$8="Solar Wind",POWER(Upgrades!$U$8,G144),1)*IF(Upgrades!$T$9="Solar Wind",POWER(Upgrades!$U$9,H144),1)*IF(Upgrades!$T$10="Solar Wind",POWER(Upgrades!$U$10,I144),1)*IF(Upgrades!$T$11="Solar Wind",POWER(Upgrades!$U$11,J144),1)*IF(Upgrades!$T$12="Solar Wind",POWER(Upgrades!$U$12,K144),1))/AG144,0)</f>
        <v>0.0026701021455238</v>
      </c>
      <c r="AT144" s="33" t="n">
        <f aca="false">IFERROR(Upgrades!$H$7*(POWER(Upgrades!$P$6,E144)*POWER(Upgrades!$P$7,F144)*POWER(Upgrades!$P$8,G144)*POWER(Upgrades!$P$9,H144)*POWER(Upgrades!$P$10,I144)*POWER(Upgrades!$P$11,J144)*POWER(Upgrades!$P$12,K144))*(IF(Upgrades!$T$6="Asteroid Belt",POWER(Upgrades!$U$6,E144),1)*IF(Upgrades!$T$8="Asteroid Belt",POWER(Upgrades!$U$8,G144),1)*IF(Upgrades!$T$9="Asteroid Belt",POWER(Upgrades!$U$9,H144),1)*IF(Upgrades!$T$10="Asteroid Belt",POWER(Upgrades!$U$10,I144),1)*IF(Upgrades!$T$11="Asteroid Belt",POWER(Upgrades!$U$11,J144),1)*IF(Upgrades!$T$12="Asteroid Belt",POWER(Upgrades!$U$12,K144),1))/AH144,0)</f>
        <v>0.00308980882652332</v>
      </c>
      <c r="AU144" s="33" t="n">
        <f aca="false">IFERROR(Upgrades!$K$8*(POWER(Upgrades!$Q$6,E144)*POWER(Upgrades!$Q$7,F144)*POWER(Upgrades!$Q$8,G144)*POWER(Upgrades!$Q$9,H144)*POWER(Upgrades!$Q$10,I144)*POWER(Upgrades!$Q$11,J144)*POWER(Upgrades!$Q$12,K144))*(IF(Upgrades!$T$6="Stellar Coupling",POWER(Upgrades!$U$6,E144),1)*IF(Upgrades!$T$7="Stellar Coupling",POWER(Upgrades!$U$7,F144),1)*IF(Upgrades!$T$9="Stellar Coupling",POWER(Upgrades!$U$9,H144),1)*IF(Upgrades!$T$10="Stellar Coupling",POWER(Upgrades!$U$10,I144),1)*IF(Upgrades!$T$11="Stellar Coupling",POWER(Upgrades!$U$11,J144),1)*IF(Upgrades!$T$12="Stellar Coupling",POWER(Upgrades!$U$12,K144),1))*Parameters!$B$10*Parameters!$B$11/60/AI144,0)</f>
        <v>0.00452762415783776</v>
      </c>
      <c r="AV144" s="33" t="n">
        <f aca="false">IFERROR(Upgrades!$H$9*(POWER(Upgrades!$P$6,E144)*POWER(Upgrades!$P$7,F144)*POWER(Upgrades!$P$8,G144)*POWER(Upgrades!$P$9,H144)*POWER(Upgrades!$P$10,I144)*POWER(Upgrades!$P$11,J144)*POWER(Upgrades!$P$12,K144))*(IF(Upgrades!$T$6="Magnetosphere",POWER(Upgrades!$U$6,E144),1)*IF(Upgrades!$T$7="Magnetosphere",POWER(Upgrades!$U$7,F144),1)*IF(Upgrades!$T$8="Magnetosphere",POWER(Upgrades!$U$8,G144),1)*IF(Upgrades!$T$10="Magnetosphere",POWER(Upgrades!$U$10,I144),1)*IF(Upgrades!$T$11="Magnetosphere",POWER(Upgrades!$U$11,J144),1)*IF(Upgrades!$T$12="Magnetosphere",POWER(Upgrades!$U$12,K144),1))/AJ144,0)</f>
        <v>0</v>
      </c>
      <c r="AW144" s="33" t="n">
        <f aca="false">MAX(IF(I144&gt;0,0,IFERROR(0.25*N144/Upgrades!$C$10,0)),IF(J144&gt;0,0,IFERROR(0.5*((IF(G144=0,0,(Upgrades!$J$8+G144*Upgrades!$K$8)*POWER(Upgrades!$L$8,G144)))*(IF(Upgrades!$T$6="Stellar Coupling",POWER(Upgrades!$U$6,E144),1)*IF(Upgrades!$T$7="Stellar Coupling",POWER(Upgrades!$U$7,F144),1)*IF(Upgrades!$T$9="Stellar Coupling",POWER(Upgrades!$U$9,H144),1)*IF(Upgrades!$T$10="Stellar Coupling",POWER(Upgrades!$U$10,I144),1)*IF(Upgrades!$T$11="Stellar Coupling",POWER(Upgrades!$U$11,J144),1)*IF(Upgrades!$T$12="Stellar Coupling",POWER(Upgrades!$U$12,K144),1))*(POWER(Upgrades!$Q$6,E144)*POWER(Upgrades!$Q$7,F144)*POWER(Upgrades!$Q$8,G144)*POWER(Upgrades!$Q$9,H144)*POWER(Upgrades!$Q$10,I144)*POWER(Upgrades!$Q$11,J144)*POWER(Upgrades!$Q$12,K144))*Parameters!$B$10*Parameters!$B$11/60)/Upgrades!$C$11,0)),IF(K144&gt;0,0,IFERROR((1*(POWER(Upgrades!$P$6,E144)*POWER(Upgrades!$P$7,F144)*POWER(Upgrades!$P$8,G144)*POWER(Upgrades!$P$9,H144)*POWER(Upgrades!$P$10,I144)*POWER(Upgrades!$P$11,J144)*POWER(Upgrades!$P$12,K144))+0.2*M144*Parameters!$B$10*Parameters!$B$11/60)/Upgrades!$C$12,0)),IF(AND(ISNUMBER(AG144),AG144&gt;T144),AS144,0),IF(AND(ISNUMBER(AH144),AH144&gt;T144),AT144,0),IF(AND(ISNUMBER(AI144),AI144&gt;T144),AU144,0),IF(AND(ISNUMBER(AJ144),AJ144&gt;T144),AV144,0))</f>
        <v>0.00452762415783776</v>
      </c>
      <c r="AX144" s="29" t="str">
        <f aca="false">IF(AN144=1,"transition",IF(MIN(IF(AND(I144=0,ISNUMBER(AK144),AK144&lt;=T144),AK144,9000000000000000),IF(AND(J144=0,ISNUMBER(AL144),AL144&lt;=T144),AL144,9000000000000000),IF(AND(K144=0,ISNUMBER(AM144),AM144&lt;=T144),AM144,9000000000000000))&lt;9000000000000000,IF(AND(AND(I144=0,ISNUMBER(AK144),AK144&lt;=T144),AK144=MIN(IF(AND(I144=0,ISNUMBER(AK144),AK144&lt;=T144),AK144,9000000000000000),IF(AND(J144=0,ISNUMBER(AL144),AL144&lt;=T144),AL144,9000000000000000),IF(AND(K144=0,ISNUMBER(AM144),AM144&lt;=T144),AM144,9000000000000000))),"OR",IF(AND(AND(J144=0,ISNUMBER(AL144),AL144&lt;=T144),AL144=MIN(IF(AND(I144=0,ISNUMBER(AK144),AK144&lt;=T144),AK144,9000000000000000),IF(AND(J144=0,ISNUMBER(AL144),AL144&lt;=T144),AL144,9000000000000000),IF(AND(K144=0,ISNUMBER(AM144),AM144&lt;=T144),AM144,9000000000000000))),"HP","FP")),IF(AR144=TRUE(),"",IF(MAX(IF(AND(NOT(AND(AO144=1,AN144&lt;&gt;1)),ISNUMBER(AG144),AG144&lt;=T144),AS144,0),IF(AND(NOT(AND(AO144=1,AN144&lt;&gt;1)),ISNUMBER(AH144),AH144&lt;=T144),AT144,0),IF(AND(NOT(AND(AO144=1,AN144&lt;&gt;1)),ISNUMBER(AI144),AI144&lt;=T144),AU144,0),IF(AND(ISNUMBER(AJ144),AJ144&lt;=T144),AV144,0))&lt;=0,"",IF(AND(IF(AND(NOT(AND(AO144=1,AN144&lt;&gt;1)),ISNUMBER(AG144),AG144&lt;=T144),AS144,0)&gt;0,IF(AND(NOT(AND(AO144=1,AN144&lt;&gt;1)),ISNUMBER(AG144),AG144&lt;=T144),AS144,0)=MAX(IF(AND(NOT(AND(AO144=1,AN144&lt;&gt;1)),ISNUMBER(AG144),AG144&lt;=T144),AS144,0),IF(AND(NOT(AND(AO144=1,AN144&lt;&gt;1)),ISNUMBER(AH144),AH144&lt;=T144),AT144,0),IF(AND(NOT(AND(AO144=1,AN144&lt;&gt;1)),ISNUMBER(AI144),AI144&lt;=T144),AU144,0),IF(AND(ISNUMBER(AJ144),AJ144&lt;=T144),AV144,0))),"SW",IF(AND(IF(AND(NOT(AND(AO144=1,AN144&lt;&gt;1)),ISNUMBER(AH144),AH144&lt;=T144),AT144,0)&gt;0,IF(AND(NOT(AND(AO144=1,AN144&lt;&gt;1)),ISNUMBER(AH144),AH144&lt;=T144),AT144,0)=MAX(IF(AND(NOT(AND(AO144=1,AN144&lt;&gt;1)),ISNUMBER(AG144),AG144&lt;=T144),AS144,0),IF(AND(NOT(AND(AO144=1,AN144&lt;&gt;1)),ISNUMBER(AH144),AH144&lt;=T144),AT144,0),IF(AND(NOT(AND(AO144=1,AN144&lt;&gt;1)),ISNUMBER(AI144),AI144&lt;=T144),AU144,0),IF(AND(ISNUMBER(AJ144),AJ144&lt;=T144),AV144,0))),"AB",IF(AND(IF(AND(NOT(AND(AO144=1,AN144&lt;&gt;1)),ISNUMBER(AI144),AI144&lt;=T144),AU144,0)&gt;0,IF(AND(NOT(AND(AO144=1,AN144&lt;&gt;1)),ISNUMBER(AI144),AI144&lt;=T144),AU144,0)=MAX(IF(AND(NOT(AND(AO144=1,AN144&lt;&gt;1)),ISNUMBER(AG144),AG144&lt;=T144),AS144,0),IF(AND(NOT(AND(AO144=1,AN144&lt;&gt;1)),ISNUMBER(AH144),AH144&lt;=T144),AT144,0),IF(AND(NOT(AND(AO144=1,AN144&lt;&gt;1)),ISNUMBER(AI144),AI144&lt;=T144),AU144,0),IF(AND(ISNUMBER(AJ144),AJ144&lt;=T144),AV144,0))),"SC","Mag")))))))</f>
        <v/>
      </c>
    </row>
    <row r="145" customFormat="false" ht="15" hidden="false" customHeight="false" outlineLevel="0" collapsed="false">
      <c r="A145" s="26" t="n">
        <v>140</v>
      </c>
      <c r="B145" s="27" t="n">
        <f aca="false">A145*10/60</f>
        <v>23.3333333333333</v>
      </c>
      <c r="C145" s="21" t="n">
        <f aca="false">X144</f>
        <v>18.6730249835055</v>
      </c>
      <c r="D145" s="27" t="n">
        <f aca="false">D144+W144</f>
        <v>0</v>
      </c>
      <c r="E145" s="26" t="n">
        <f aca="false">E144+IF(U144="SW",1,0)</f>
        <v>12</v>
      </c>
      <c r="F145" s="26" t="n">
        <f aca="false">F144+IF(U144="AB",1,0)</f>
        <v>10</v>
      </c>
      <c r="G145" s="26" t="n">
        <f aca="false">G144+IF(U144="SC",1,0)</f>
        <v>7</v>
      </c>
      <c r="H145" s="26" t="n">
        <f aca="false">H144+IF(U144="Mag",1,0)</f>
        <v>5</v>
      </c>
      <c r="I145" s="26" t="n">
        <f aca="false">MAX(I144,IF(U144="OR",1,0))</f>
        <v>1</v>
      </c>
      <c r="J145" s="26" t="n">
        <f aca="false">MAX(J144,IF(U144="HP",1,0))</f>
        <v>1</v>
      </c>
      <c r="K145" s="26" t="n">
        <f aca="false">MAX(K144,IF(U144="FP",1,0))</f>
        <v>1</v>
      </c>
      <c r="L145" s="26" t="n">
        <f aca="false">MAX(L144,IF(U144="transition",1,0))</f>
        <v>1</v>
      </c>
      <c r="M145" s="28" t="n">
        <f aca="false">(Parameters!$B$9+(IF(E145=0,0,(Upgrades!$J$6+E145*Upgrades!$K$6)*POWER(Upgrades!$L$6,E145)))*(IF(Upgrades!$T$7="Solar Wind",POWER(Upgrades!$U$7,F145),1)*IF(Upgrades!$T$8="Solar Wind",POWER(Upgrades!$U$8,G145),1)*IF(Upgrades!$T$9="Solar Wind",POWER(Upgrades!$U$9,H145),1)*IF(Upgrades!$T$10="Solar Wind",POWER(Upgrades!$U$10,I145),1)*IF(Upgrades!$T$11="Solar Wind",POWER(Upgrades!$U$11,J145),1)*IF(Upgrades!$T$12="Solar Wind",POWER(Upgrades!$U$12,K145),1))+(IF(F145=0,0,(Upgrades!$J$7+F145*Upgrades!$K$7)*POWER(Upgrades!$L$7,F145)))*(IF(Upgrades!$T$6="Asteroid Belt",POWER(Upgrades!$U$6,E145),1)*IF(Upgrades!$T$8="Asteroid Belt",POWER(Upgrades!$U$8,G145),1)*IF(Upgrades!$T$9="Asteroid Belt",POWER(Upgrades!$U$9,H145),1)*IF(Upgrades!$T$10="Asteroid Belt",POWER(Upgrades!$U$10,I145),1)*IF(Upgrades!$T$11="Asteroid Belt",POWER(Upgrades!$U$11,J145),1)*IF(Upgrades!$T$12="Asteroid Belt",POWER(Upgrades!$U$12,K145),1))+(IF(G145=0,0,(Upgrades!$J$8+G145*Upgrades!$K$8)*POWER(Upgrades!$L$8,G145)))*(IF(Upgrades!$T$6="Stellar Coupling",POWER(Upgrades!$U$6,E145),1)*IF(Upgrades!$T$7="Stellar Coupling",POWER(Upgrades!$U$7,F145),1)*IF(Upgrades!$T$9="Stellar Coupling",POWER(Upgrades!$U$9,H145),1)*IF(Upgrades!$T$10="Stellar Coupling",POWER(Upgrades!$U$10,I145),1)*IF(Upgrades!$T$11="Stellar Coupling",POWER(Upgrades!$U$11,J145),1)*IF(Upgrades!$T$12="Stellar Coupling",POWER(Upgrades!$U$12,K145),1))+(IF(H145=0,0,(Upgrades!$J$9+H145*Upgrades!$K$9)*POWER(Upgrades!$L$9,H145)))*(IF(Upgrades!$T$6="Magnetosphere",POWER(Upgrades!$U$6,E145),1)*IF(Upgrades!$T$7="Magnetosphere",POWER(Upgrades!$U$7,F145),1)*IF(Upgrades!$T$8="Magnetosphere",POWER(Upgrades!$U$8,G145),1)*IF(Upgrades!$T$10="Magnetosphere",POWER(Upgrades!$U$10,I145),1)*IF(Upgrades!$T$11="Magnetosphere",POWER(Upgrades!$U$11,J145),1)*IF(Upgrades!$T$12="Magnetosphere",POWER(Upgrades!$U$12,K145),1))+(IF(I145=0,0,(Upgrades!$J$10+I145*Upgrades!$K$10)*POWER(Upgrades!$L$10,I145)))*(IF(Upgrades!$T$6="Orbital Resonance",POWER(Upgrades!$U$6,E145),1)*IF(Upgrades!$T$7="Orbital Resonance",POWER(Upgrades!$U$7,F145),1)*IF(Upgrades!$T$8="Orbital Resonance",POWER(Upgrades!$U$8,G145),1)*IF(Upgrades!$T$9="Orbital Resonance",POWER(Upgrades!$U$9,H145),1)*IF(Upgrades!$T$11="Orbital Resonance",POWER(Upgrades!$U$11,J145),1)*IF(Upgrades!$T$12="Orbital Resonance",POWER(Upgrades!$U$12,K145),1))+(IF(J145=0,0,(Upgrades!$J$11+J145*Upgrades!$K$11)*POWER(Upgrades!$L$11,J145)))*(IF(Upgrades!$T$6="Heliopause",POWER(Upgrades!$U$6,E145),1)*IF(Upgrades!$T$7="Heliopause",POWER(Upgrades!$U$7,F145),1)*IF(Upgrades!$T$8="Heliopause",POWER(Upgrades!$U$8,G145),1)*IF(Upgrades!$T$9="Heliopause",POWER(Upgrades!$U$9,H145),1)*IF(Upgrades!$T$10="Heliopause",POWER(Upgrades!$U$10,I145),1)*IF(Upgrades!$T$12="Heliopause",POWER(Upgrades!$U$12,K145),1))+(IF(K145=0,0,(Upgrades!$J$12+K145*Upgrades!$K$12)*POWER(Upgrades!$L$12,K145)))*(IF(Upgrades!$T$6="First Photons",POWER(Upgrades!$U$6,E145),1)*IF(Upgrades!$T$7="First Photons",POWER(Upgrades!$U$7,F145),1)*IF(Upgrades!$T$8="First Photons",POWER(Upgrades!$U$8,G145),1)*IF(Upgrades!$T$9="First Photons",POWER(Upgrades!$U$9,H145),1)*IF(Upgrades!$T$10="First Photons",POWER(Upgrades!$U$10,I145),1)*IF(Upgrades!$T$11="First Photons",POWER(Upgrades!$U$11,J145),1)))*POWER(Upgrades!$Q$6,E145)*POWER(Upgrades!$Q$7,F145)*POWER(Upgrades!$Q$8,G145)*POWER(Upgrades!$Q$9,H145)*POWER(Upgrades!$Q$10,I145)*POWER(Upgrades!$Q$11,J145)*POWER(Upgrades!$Q$12,K145)</f>
        <v>5.61</v>
      </c>
      <c r="N145" s="28" t="n">
        <f aca="false">((IF(E145=0,0,(Upgrades!$G$6+E145*Upgrades!$H$6)*POWER(Upgrades!$I$6,E145)))*(IF(Upgrades!$T$7="Solar Wind",POWER(Upgrades!$U$7,F145),1)*IF(Upgrades!$T$8="Solar Wind",POWER(Upgrades!$U$8,G145),1)*IF(Upgrades!$T$9="Solar Wind",POWER(Upgrades!$U$9,H145),1)*IF(Upgrades!$T$10="Solar Wind",POWER(Upgrades!$U$10,I145),1)*IF(Upgrades!$T$11="Solar Wind",POWER(Upgrades!$U$11,J145),1)*IF(Upgrades!$T$12="Solar Wind",POWER(Upgrades!$U$12,K145),1))+(IF(F145=0,0,(Upgrades!$G$7+F145*Upgrades!$H$7)*POWER(Upgrades!$I$7,F145)))*(IF(Upgrades!$T$6="Asteroid Belt",POWER(Upgrades!$U$6,E145),1)*IF(Upgrades!$T$8="Asteroid Belt",POWER(Upgrades!$U$8,G145),1)*IF(Upgrades!$T$9="Asteroid Belt",POWER(Upgrades!$U$9,H145),1)*IF(Upgrades!$T$10="Asteroid Belt",POWER(Upgrades!$U$10,I145),1)*IF(Upgrades!$T$11="Asteroid Belt",POWER(Upgrades!$U$11,J145),1)*IF(Upgrades!$T$12="Asteroid Belt",POWER(Upgrades!$U$12,K145),1))+(IF(G145=0,0,(Upgrades!$G$8+G145*Upgrades!$H$8)*POWER(Upgrades!$I$8,G145)))*(IF(Upgrades!$T$6="Stellar Coupling",POWER(Upgrades!$U$6,E145),1)*IF(Upgrades!$T$7="Stellar Coupling",POWER(Upgrades!$U$7,F145),1)*IF(Upgrades!$T$9="Stellar Coupling",POWER(Upgrades!$U$9,H145),1)*IF(Upgrades!$T$10="Stellar Coupling",POWER(Upgrades!$U$10,I145),1)*IF(Upgrades!$T$11="Stellar Coupling",POWER(Upgrades!$U$11,J145),1)*IF(Upgrades!$T$12="Stellar Coupling",POWER(Upgrades!$U$12,K145),1))+(IF(H145=0,0,(Upgrades!$G$9+H145*Upgrades!$H$9)*POWER(Upgrades!$I$9,H145)))*(IF(Upgrades!$T$6="Magnetosphere",POWER(Upgrades!$U$6,E145),1)*IF(Upgrades!$T$7="Magnetosphere",POWER(Upgrades!$U$7,F145),1)*IF(Upgrades!$T$8="Magnetosphere",POWER(Upgrades!$U$8,G145),1)*IF(Upgrades!$T$10="Magnetosphere",POWER(Upgrades!$U$10,I145),1)*IF(Upgrades!$T$11="Magnetosphere",POWER(Upgrades!$U$11,J145),1)*IF(Upgrades!$T$12="Magnetosphere",POWER(Upgrades!$U$12,K145),1))+(IF(I145=0,0,(Upgrades!$G$10+I145*Upgrades!$H$10)*POWER(Upgrades!$I$10,I145)))*(IF(Upgrades!$T$6="Orbital Resonance",POWER(Upgrades!$U$6,E145),1)*IF(Upgrades!$T$7="Orbital Resonance",POWER(Upgrades!$U$7,F145),1)*IF(Upgrades!$T$8="Orbital Resonance",POWER(Upgrades!$U$8,G145),1)*IF(Upgrades!$T$9="Orbital Resonance",POWER(Upgrades!$U$9,H145),1)*IF(Upgrades!$T$11="Orbital Resonance",POWER(Upgrades!$U$11,J145),1)*IF(Upgrades!$T$12="Orbital Resonance",POWER(Upgrades!$U$12,K145),1))+(IF(J145=0,0,(Upgrades!$G$11+J145*Upgrades!$H$11)*POWER(Upgrades!$I$11,J145)))*(IF(Upgrades!$T$6="Heliopause",POWER(Upgrades!$U$6,E145),1)*IF(Upgrades!$T$7="Heliopause",POWER(Upgrades!$U$7,F145),1)*IF(Upgrades!$T$8="Heliopause",POWER(Upgrades!$U$8,G145),1)*IF(Upgrades!$T$9="Heliopause",POWER(Upgrades!$U$9,H145),1)*IF(Upgrades!$T$10="Heliopause",POWER(Upgrades!$U$10,I145),1)*IF(Upgrades!$T$12="Heliopause",POWER(Upgrades!$U$12,K145),1))+(IF(K145=0,0,(Upgrades!$G$12+K145*Upgrades!$H$12)*POWER(Upgrades!$I$12,K145)))*(IF(Upgrades!$T$6="First Photons",POWER(Upgrades!$U$6,E145),1)*IF(Upgrades!$T$7="First Photons",POWER(Upgrades!$U$7,F145),1)*IF(Upgrades!$T$8="First Photons",POWER(Upgrades!$U$8,G145),1)*IF(Upgrades!$T$9="First Photons",POWER(Upgrades!$U$9,H145),1)*IF(Upgrades!$T$10="First Photons",POWER(Upgrades!$U$10,I145),1)*IF(Upgrades!$T$11="First Photons",POWER(Upgrades!$U$11,J145),1)))*POWER(Upgrades!$P$6,E145)*POWER(Upgrades!$P$7,F145)*POWER(Upgrades!$P$8,G145)*POWER(Upgrades!$P$9,H145)*POWER(Upgrades!$P$10,I145)*POWER(Upgrades!$P$11,J145)*POWER(Upgrades!$P$12,K145)</f>
        <v>11.2</v>
      </c>
      <c r="O145" s="28" t="n">
        <f aca="false">((IF(E145=0,0,(Upgrades!$M$6+E145*Upgrades!$N$6)*POWER(Upgrades!$O$6,E145)))*(IF(Upgrades!$T$7="Solar Wind",POWER(Upgrades!$U$7,F145),1)*IF(Upgrades!$T$8="Solar Wind",POWER(Upgrades!$U$8,G145),1)*IF(Upgrades!$T$9="Solar Wind",POWER(Upgrades!$U$9,H145),1)*IF(Upgrades!$T$10="Solar Wind",POWER(Upgrades!$U$10,I145),1)*IF(Upgrades!$T$11="Solar Wind",POWER(Upgrades!$U$11,J145),1)*IF(Upgrades!$T$12="Solar Wind",POWER(Upgrades!$U$12,K145),1))+(IF(F145=0,0,(Upgrades!$M$7+F145*Upgrades!$N$7)*POWER(Upgrades!$O$7,F145)))*(IF(Upgrades!$T$6="Asteroid Belt",POWER(Upgrades!$U$6,E145),1)*IF(Upgrades!$T$8="Asteroid Belt",POWER(Upgrades!$U$8,G145),1)*IF(Upgrades!$T$9="Asteroid Belt",POWER(Upgrades!$U$9,H145),1)*IF(Upgrades!$T$10="Asteroid Belt",POWER(Upgrades!$U$10,I145),1)*IF(Upgrades!$T$11="Asteroid Belt",POWER(Upgrades!$U$11,J145),1)*IF(Upgrades!$T$12="Asteroid Belt",POWER(Upgrades!$U$12,K145),1))+(IF(G145=0,0,(Upgrades!$M$8+G145*Upgrades!$N$8)*POWER(Upgrades!$O$8,G145)))*(IF(Upgrades!$T$6="Stellar Coupling",POWER(Upgrades!$U$6,E145),1)*IF(Upgrades!$T$7="Stellar Coupling",POWER(Upgrades!$U$7,F145),1)*IF(Upgrades!$T$9="Stellar Coupling",POWER(Upgrades!$U$9,H145),1)*IF(Upgrades!$T$10="Stellar Coupling",POWER(Upgrades!$U$10,I145),1)*IF(Upgrades!$T$11="Stellar Coupling",POWER(Upgrades!$U$11,J145),1)*IF(Upgrades!$T$12="Stellar Coupling",POWER(Upgrades!$U$12,K145),1))+(IF(H145=0,0,(Upgrades!$M$9+H145*Upgrades!$N$9)*POWER(Upgrades!$O$9,H145)))*(IF(Upgrades!$T$6="Magnetosphere",POWER(Upgrades!$U$6,E145),1)*IF(Upgrades!$T$7="Magnetosphere",POWER(Upgrades!$U$7,F145),1)*IF(Upgrades!$T$8="Magnetosphere",POWER(Upgrades!$U$8,G145),1)*IF(Upgrades!$T$10="Magnetosphere",POWER(Upgrades!$U$10,I145),1)*IF(Upgrades!$T$11="Magnetosphere",POWER(Upgrades!$U$11,J145),1)*IF(Upgrades!$T$12="Magnetosphere",POWER(Upgrades!$U$12,K145),1))+(IF(I145=0,0,(Upgrades!$M$10+I145*Upgrades!$N$10)*POWER(Upgrades!$O$10,I145)))*(IF(Upgrades!$T$6="Orbital Resonance",POWER(Upgrades!$U$6,E145),1)*IF(Upgrades!$T$7="Orbital Resonance",POWER(Upgrades!$U$7,F145),1)*IF(Upgrades!$T$8="Orbital Resonance",POWER(Upgrades!$U$8,G145),1)*IF(Upgrades!$T$9="Orbital Resonance",POWER(Upgrades!$U$9,H145),1)*IF(Upgrades!$T$11="Orbital Resonance",POWER(Upgrades!$U$11,J145),1)*IF(Upgrades!$T$12="Orbital Resonance",POWER(Upgrades!$U$12,K145),1))+(IF(J145=0,0,(Upgrades!$M$11+J145*Upgrades!$N$11)*POWER(Upgrades!$O$11,J145)))*(IF(Upgrades!$T$6="Heliopause",POWER(Upgrades!$U$6,E145),1)*IF(Upgrades!$T$7="Heliopause",POWER(Upgrades!$U$7,F145),1)*IF(Upgrades!$T$8="Heliopause",POWER(Upgrades!$U$8,G145),1)*IF(Upgrades!$T$9="Heliopause",POWER(Upgrades!$U$9,H145),1)*IF(Upgrades!$T$10="Heliopause",POWER(Upgrades!$U$10,I145),1)*IF(Upgrades!$T$12="Heliopause",POWER(Upgrades!$U$12,K145),1))+(IF(K145=0,0,(Upgrades!$M$12+K145*Upgrades!$N$12)*POWER(Upgrades!$O$12,K145)))*(IF(Upgrades!$T$6="First Photons",POWER(Upgrades!$U$6,E145),1)*IF(Upgrades!$T$7="First Photons",POWER(Upgrades!$U$7,F145),1)*IF(Upgrades!$T$8="First Photons",POWER(Upgrades!$U$8,G145),1)*IF(Upgrades!$T$9="First Photons",POWER(Upgrades!$U$9,H145),1)*IF(Upgrades!$T$10="First Photons",POWER(Upgrades!$U$10,I145),1)*IF(Upgrades!$T$11="First Photons",POWER(Upgrades!$U$11,J145),1)))*POWER(Upgrades!$R$6,E145)*POWER(Upgrades!$R$7,F145)*POWER(Upgrades!$R$8,G145)*POWER(Upgrades!$R$9,H145)*POWER(Upgrades!$R$10,I145)*POWER(Upgrades!$R$11,J145)*POWER(Upgrades!$R$12,K145)</f>
        <v>0</v>
      </c>
      <c r="P145" s="27" t="n">
        <f aca="false">IF(L145=1,0,M145*Parameters!$B$10/60*Parameters!$B$11*10)</f>
        <v>0</v>
      </c>
      <c r="Q145" s="27" t="n">
        <f aca="false">IF(L145=1,0,O145*M145*10)</f>
        <v>0</v>
      </c>
      <c r="R145" s="27" t="n">
        <f aca="false">IF(L145=1,0,N145*10)</f>
        <v>0</v>
      </c>
      <c r="S145" s="27" t="n">
        <f aca="false">P145+Q145+R145</f>
        <v>0</v>
      </c>
      <c r="T145" s="21" t="n">
        <f aca="false">C145+S145</f>
        <v>18.6730249835055</v>
      </c>
      <c r="U145" s="34" t="str">
        <f aca="false">AX145</f>
        <v/>
      </c>
      <c r="V145" s="21" t="n">
        <f aca="false">IF(U145="",0,IF(U145="transition",0,IF(U145="SW",AG145,IF(U145="AB",AH145,IF(U145="SC",AI145,IF(U145="Mag",AJ145,IF(U145="OR",AK145,IF(U145="HP",AL145,IF(U145="FP",AM145,0)))))))))</f>
        <v>0</v>
      </c>
      <c r="W145" s="27" t="n">
        <f aca="false">IF(U145="OR",Upgrades!$F$10,IF(U145="HP",Upgrades!$F$11,IF(U145="transition",-Parameters!$B$18,0)))</f>
        <v>0</v>
      </c>
      <c r="X145" s="21" t="n">
        <f aca="false">T145-V145</f>
        <v>18.6730249835055</v>
      </c>
      <c r="Y145" s="30" t="n">
        <f aca="false">M145*Parameters!$B$10/60*Parameters!$B$11+O145*M145+N145</f>
        <v>20.55</v>
      </c>
      <c r="Z145" s="35" t="str">
        <f aca="false">IF(U145="transition","→ Tier 2 (Stellar Neighborhood)",IF(U145="FP","First Photons — light begins, system quickens",IF(U145="HP","Heliopause acquired",IF(U145="OR","Orbital Resonance — passive multiplier active",IF(AND(AO145=1,L145=0,AN145&lt;&gt;1),"Cohesion ready (waiting on completionist upgrades)","")))))</f>
        <v/>
      </c>
      <c r="AA145" s="27" t="n">
        <f aca="false">(IF(E145=0,0,(Upgrades!$G$6+E145*Upgrades!$H$6)*POWER(Upgrades!$I$6,E145)))*(IF(Upgrades!$T$7="Solar Wind",POWER(Upgrades!$U$7,F145),1)*IF(Upgrades!$T$8="Solar Wind",POWER(Upgrades!$U$8,G145),1)*IF(Upgrades!$T$9="Solar Wind",POWER(Upgrades!$U$9,H145),1)*IF(Upgrades!$T$10="Solar Wind",POWER(Upgrades!$U$10,I145),1)*IF(Upgrades!$T$11="Solar Wind",POWER(Upgrades!$U$11,J145),1)*IF(Upgrades!$T$12="Solar Wind",POWER(Upgrades!$U$12,K145),1))*POWER(Upgrades!$P$6,E145)*POWER(Upgrades!$P$7,F145)*POWER(Upgrades!$P$8,G145)*POWER(Upgrades!$P$9,H145)*POWER(Upgrades!$P$10,I145)*POWER(Upgrades!$P$11,J145)*POWER(Upgrades!$P$12,K145)*60</f>
        <v>72</v>
      </c>
      <c r="AB145" s="27" t="n">
        <f aca="false">(IF(F145=0,0,(Upgrades!$G$7+F145*Upgrades!$H$7)*POWER(Upgrades!$I$7,F145)))*(IF(Upgrades!$T$6="Asteroid Belt",POWER(Upgrades!$U$6,E145),1)*IF(Upgrades!$T$8="Asteroid Belt",POWER(Upgrades!$U$8,G145),1)*IF(Upgrades!$T$9="Asteroid Belt",POWER(Upgrades!$U$9,H145),1)*IF(Upgrades!$T$10="Asteroid Belt",POWER(Upgrades!$U$10,I145),1)*IF(Upgrades!$T$11="Asteroid Belt",POWER(Upgrades!$U$11,J145),1)*IF(Upgrades!$T$12="Asteroid Belt",POWER(Upgrades!$U$12,K145),1))*POWER(Upgrades!$P$6,E145)*POWER(Upgrades!$P$7,F145)*POWER(Upgrades!$P$8,G145)*POWER(Upgrades!$P$9,H145)*POWER(Upgrades!$P$10,I145)*POWER(Upgrades!$P$11,J145)*POWER(Upgrades!$P$12,K145)*60</f>
        <v>150</v>
      </c>
      <c r="AC145" s="27" t="n">
        <f aca="false">(IF(G145=0,0,(Upgrades!$J$8+G145*Upgrades!$K$8)*POWER(Upgrades!$L$8,G145)))*(IF(Upgrades!$T$6="Stellar Coupling",POWER(Upgrades!$U$6,E145),1)*IF(Upgrades!$T$7="Stellar Coupling",POWER(Upgrades!$U$7,F145),1)*IF(Upgrades!$T$9="Stellar Coupling",POWER(Upgrades!$U$9,H145),1)*IF(Upgrades!$T$10="Stellar Coupling",POWER(Upgrades!$U$10,I145),1)*IF(Upgrades!$T$11="Stellar Coupling",POWER(Upgrades!$U$11,J145),1)*IF(Upgrades!$T$12="Stellar Coupling",POWER(Upgrades!$U$12,K145),1))*POWER(Upgrades!$Q$6,E145)*POWER(Upgrades!$Q$7,F145)*POWER(Upgrades!$Q$8,G145)*POWER(Upgrades!$Q$9,H145)*POWER(Upgrades!$Q$10,I145)*POWER(Upgrades!$Q$11,J145)*POWER(Upgrades!$Q$12,K145)*Parameters!$B$10*Parameters!$B$11</f>
        <v>441</v>
      </c>
      <c r="AD145" s="27" t="n">
        <f aca="false">(IF(H145=0,0,(Upgrades!$G$9+H145*Upgrades!$H$9)*POWER(Upgrades!$I$9,H145)))*(IF(Upgrades!$T$6="Magnetosphere",POWER(Upgrades!$U$6,E145),1)*IF(Upgrades!$T$7="Magnetosphere",POWER(Upgrades!$U$7,F145),1)*IF(Upgrades!$T$8="Magnetosphere",POWER(Upgrades!$U$8,G145),1)*IF(Upgrades!$T$10="Magnetosphere",POWER(Upgrades!$U$10,I145),1)*IF(Upgrades!$T$11="Magnetosphere",POWER(Upgrades!$U$11,J145),1)*IF(Upgrades!$T$12="Magnetosphere",POWER(Upgrades!$U$12,K145),1))*POWER(Upgrades!$P$6,E145)*POWER(Upgrades!$P$7,F145)*POWER(Upgrades!$P$8,G145)*POWER(Upgrades!$P$9,H145)*POWER(Upgrades!$P$10,I145)*POWER(Upgrades!$P$11,J145)*POWER(Upgrades!$P$12,K145)*60</f>
        <v>375</v>
      </c>
      <c r="AE145" s="27" t="n">
        <f aca="false">(IF(K145=0,0,(Upgrades!$G$12+K145*Upgrades!$H$12)*POWER(Upgrades!$I$12,K145)))*(IF(Upgrades!$T$6="First Photons",POWER(Upgrades!$U$6,E145),1)*IF(Upgrades!$T$7="First Photons",POWER(Upgrades!$U$7,F145),1)*IF(Upgrades!$T$8="First Photons",POWER(Upgrades!$U$8,G145),1)*IF(Upgrades!$T$9="First Photons",POWER(Upgrades!$U$9,H145),1)*IF(Upgrades!$T$10="First Photons",POWER(Upgrades!$U$10,I145),1)*IF(Upgrades!$T$11="First Photons",POWER(Upgrades!$U$11,J145),1))*POWER(Upgrades!$P$6,E145)*POWER(Upgrades!$P$7,F145)*POWER(Upgrades!$P$8,G145)*POWER(Upgrades!$P$9,H145)*POWER(Upgrades!$P$10,I145)*POWER(Upgrades!$P$11,J145)*POWER(Upgrades!$P$12,K145)*60</f>
        <v>75</v>
      </c>
      <c r="AF145" s="27" t="n">
        <f aca="false">Parameters!$B$9*POWER(Upgrades!$Q$6,E145)*POWER(Upgrades!$Q$7,F145)*POWER(Upgrades!$Q$8,G145)*POWER(Upgrades!$Q$9,H145)*POWER(Upgrades!$Q$10,I145)*POWER(Upgrades!$Q$11,J145)*POWER(Upgrades!$Q$12,K145)*(Parameters!$B$10*Parameters!$B$11+O145*60)</f>
        <v>120</v>
      </c>
      <c r="AG145" s="21" t="n">
        <f aca="false">IF(E145&gt;=Upgrades!$E$6,"",Upgrades!$C$6*POWER(Upgrades!$D$6,E145))</f>
        <v>37.4517507383159</v>
      </c>
      <c r="AH145" s="21" t="n">
        <f aca="false">IF(F145&gt;=Upgrades!$E$7,"",Upgrades!$C$7*POWER(Upgrades!$D$7,F145))</f>
        <v>80.9111547141581</v>
      </c>
      <c r="AI145" s="21" t="n">
        <f aca="false">IF(G145&gt;=Upgrades!$E$8,"",Upgrades!$C$8*POWER(Upgrades!$D$8,G145))</f>
        <v>231.9097088</v>
      </c>
      <c r="AJ145" s="21" t="str">
        <f aca="false">IF(H145&gt;=Upgrades!$E$9,"",Upgrades!$C$9*POWER(Upgrades!$D$9,H145))</f>
        <v/>
      </c>
      <c r="AK145" s="21" t="str">
        <f aca="false">IF(I145&gt;=Upgrades!$E$10,"",Upgrades!$C$10*POWER(Upgrades!$D$10,I145))</f>
        <v/>
      </c>
      <c r="AL145" s="21" t="str">
        <f aca="false">IF(J145&gt;=Upgrades!$E$11,"",Upgrades!$C$11*POWER(Upgrades!$D$11,J145))</f>
        <v/>
      </c>
      <c r="AM145" s="21" t="str">
        <f aca="false">IF(K145&gt;=Upgrades!$E$12,"",Upgrades!$C$12*POWER(Upgrades!$D$12,K145))</f>
        <v/>
      </c>
      <c r="AN145" s="26" t="str">
        <f aca="false">IF(AND(D145&gt;=Parameters!$B$18,(H145&gt;=Upgrades!$E$9)*(K145&gt;=Upgrades!$E$12)=1,L145=0),1,"")</f>
        <v/>
      </c>
      <c r="AO145" s="26" t="str">
        <f aca="false">IF(AND(D145&gt;=Parameters!$B$18,L145=0),1,"")</f>
        <v/>
      </c>
      <c r="AP145" s="21" t="n">
        <f aca="false">MIN(IF(ISNUMBER(AK145),AK145,9000000000000000),IF(ISNUMBER(AL145),AL145,9000000000000000),IF(ISNUMBER(AM145),AM145,9000000000000000))</f>
        <v>9000000000000000</v>
      </c>
      <c r="AQ145" s="21" t="n">
        <f aca="false">MIN(IF(ISNUMBER(AG145),AG145,9000000000000000),IF(ISNUMBER(AH145),AH145,9000000000000000),IF(ISNUMBER(AI145),AI145,9000000000000000),IF(ISNUMBER(AJ145),AJ145,9000000000000000))</f>
        <v>37.4517507383159</v>
      </c>
      <c r="AR145" s="32" t="b">
        <f aca="false">IF(AW145&gt;Parameters!$B$21*(MAX(IF(AND(NOT(AND(AO145=1,AN145&lt;&gt;1)),ISNUMBER(AG145),AG145&lt;=T145),AS145,0),IF(AND(NOT(AND(AO145=1,AN145&lt;&gt;1)),ISNUMBER(AH145),AH145&lt;=T145),AT145,0),IF(AND(NOT(AND(AO145=1,AN145&lt;&gt;1)),ISNUMBER(AI145),AI145&lt;=T145),AU145,0),IF(AND(ISNUMBER(AJ145),AJ145&lt;=T145),AV145,0))),TRUE(),FALSE())</f>
        <v>1</v>
      </c>
      <c r="AS145" s="33" t="n">
        <f aca="false">IFERROR(Upgrades!$H$6*(POWER(Upgrades!$P$6,E145)*POWER(Upgrades!$P$7,F145)*POWER(Upgrades!$P$8,G145)*POWER(Upgrades!$P$9,H145)*POWER(Upgrades!$P$10,I145)*POWER(Upgrades!$P$11,J145)*POWER(Upgrades!$P$12,K145))*(IF(Upgrades!$T$7="Solar Wind",POWER(Upgrades!$U$7,F145),1)*IF(Upgrades!$T$8="Solar Wind",POWER(Upgrades!$U$8,G145),1)*IF(Upgrades!$T$9="Solar Wind",POWER(Upgrades!$U$9,H145),1)*IF(Upgrades!$T$10="Solar Wind",POWER(Upgrades!$U$10,I145),1)*IF(Upgrades!$T$11="Solar Wind",POWER(Upgrades!$U$11,J145),1)*IF(Upgrades!$T$12="Solar Wind",POWER(Upgrades!$U$12,K145),1))/AG145,0)</f>
        <v>0.0026701021455238</v>
      </c>
      <c r="AT145" s="33" t="n">
        <f aca="false">IFERROR(Upgrades!$H$7*(POWER(Upgrades!$P$6,E145)*POWER(Upgrades!$P$7,F145)*POWER(Upgrades!$P$8,G145)*POWER(Upgrades!$P$9,H145)*POWER(Upgrades!$P$10,I145)*POWER(Upgrades!$P$11,J145)*POWER(Upgrades!$P$12,K145))*(IF(Upgrades!$T$6="Asteroid Belt",POWER(Upgrades!$U$6,E145),1)*IF(Upgrades!$T$8="Asteroid Belt",POWER(Upgrades!$U$8,G145),1)*IF(Upgrades!$T$9="Asteroid Belt",POWER(Upgrades!$U$9,H145),1)*IF(Upgrades!$T$10="Asteroid Belt",POWER(Upgrades!$U$10,I145),1)*IF(Upgrades!$T$11="Asteroid Belt",POWER(Upgrades!$U$11,J145),1)*IF(Upgrades!$T$12="Asteroid Belt",POWER(Upgrades!$U$12,K145),1))/AH145,0)</f>
        <v>0.00308980882652332</v>
      </c>
      <c r="AU145" s="33" t="n">
        <f aca="false">IFERROR(Upgrades!$K$8*(POWER(Upgrades!$Q$6,E145)*POWER(Upgrades!$Q$7,F145)*POWER(Upgrades!$Q$8,G145)*POWER(Upgrades!$Q$9,H145)*POWER(Upgrades!$Q$10,I145)*POWER(Upgrades!$Q$11,J145)*POWER(Upgrades!$Q$12,K145))*(IF(Upgrades!$T$6="Stellar Coupling",POWER(Upgrades!$U$6,E145),1)*IF(Upgrades!$T$7="Stellar Coupling",POWER(Upgrades!$U$7,F145),1)*IF(Upgrades!$T$9="Stellar Coupling",POWER(Upgrades!$U$9,H145),1)*IF(Upgrades!$T$10="Stellar Coupling",POWER(Upgrades!$U$10,I145),1)*IF(Upgrades!$T$11="Stellar Coupling",POWER(Upgrades!$U$11,J145),1)*IF(Upgrades!$T$12="Stellar Coupling",POWER(Upgrades!$U$12,K145),1))*Parameters!$B$10*Parameters!$B$11/60/AI145,0)</f>
        <v>0.00452762415783776</v>
      </c>
      <c r="AV145" s="33" t="n">
        <f aca="false">IFERROR(Upgrades!$H$9*(POWER(Upgrades!$P$6,E145)*POWER(Upgrades!$P$7,F145)*POWER(Upgrades!$P$8,G145)*POWER(Upgrades!$P$9,H145)*POWER(Upgrades!$P$10,I145)*POWER(Upgrades!$P$11,J145)*POWER(Upgrades!$P$12,K145))*(IF(Upgrades!$T$6="Magnetosphere",POWER(Upgrades!$U$6,E145),1)*IF(Upgrades!$T$7="Magnetosphere",POWER(Upgrades!$U$7,F145),1)*IF(Upgrades!$T$8="Magnetosphere",POWER(Upgrades!$U$8,G145),1)*IF(Upgrades!$T$10="Magnetosphere",POWER(Upgrades!$U$10,I145),1)*IF(Upgrades!$T$11="Magnetosphere",POWER(Upgrades!$U$11,J145),1)*IF(Upgrades!$T$12="Magnetosphere",POWER(Upgrades!$U$12,K145),1))/AJ145,0)</f>
        <v>0</v>
      </c>
      <c r="AW145" s="33" t="n">
        <f aca="false">MAX(IF(I145&gt;0,0,IFERROR(0.25*N145/Upgrades!$C$10,0)),IF(J145&gt;0,0,IFERROR(0.5*((IF(G145=0,0,(Upgrades!$J$8+G145*Upgrades!$K$8)*POWER(Upgrades!$L$8,G145)))*(IF(Upgrades!$T$6="Stellar Coupling",POWER(Upgrades!$U$6,E145),1)*IF(Upgrades!$T$7="Stellar Coupling",POWER(Upgrades!$U$7,F145),1)*IF(Upgrades!$T$9="Stellar Coupling",POWER(Upgrades!$U$9,H145),1)*IF(Upgrades!$T$10="Stellar Coupling",POWER(Upgrades!$U$10,I145),1)*IF(Upgrades!$T$11="Stellar Coupling",POWER(Upgrades!$U$11,J145),1)*IF(Upgrades!$T$12="Stellar Coupling",POWER(Upgrades!$U$12,K145),1))*(POWER(Upgrades!$Q$6,E145)*POWER(Upgrades!$Q$7,F145)*POWER(Upgrades!$Q$8,G145)*POWER(Upgrades!$Q$9,H145)*POWER(Upgrades!$Q$10,I145)*POWER(Upgrades!$Q$11,J145)*POWER(Upgrades!$Q$12,K145))*Parameters!$B$10*Parameters!$B$11/60)/Upgrades!$C$11,0)),IF(K145&gt;0,0,IFERROR((1*(POWER(Upgrades!$P$6,E145)*POWER(Upgrades!$P$7,F145)*POWER(Upgrades!$P$8,G145)*POWER(Upgrades!$P$9,H145)*POWER(Upgrades!$P$10,I145)*POWER(Upgrades!$P$11,J145)*POWER(Upgrades!$P$12,K145))+0.2*M145*Parameters!$B$10*Parameters!$B$11/60)/Upgrades!$C$12,0)),IF(AND(ISNUMBER(AG145),AG145&gt;T145),AS145,0),IF(AND(ISNUMBER(AH145),AH145&gt;T145),AT145,0),IF(AND(ISNUMBER(AI145),AI145&gt;T145),AU145,0),IF(AND(ISNUMBER(AJ145),AJ145&gt;T145),AV145,0))</f>
        <v>0.00452762415783776</v>
      </c>
      <c r="AX145" s="29" t="str">
        <f aca="false">IF(AN145=1,"transition",IF(MIN(IF(AND(I145=0,ISNUMBER(AK145),AK145&lt;=T145),AK145,9000000000000000),IF(AND(J145=0,ISNUMBER(AL145),AL145&lt;=T145),AL145,9000000000000000),IF(AND(K145=0,ISNUMBER(AM145),AM145&lt;=T145),AM145,9000000000000000))&lt;9000000000000000,IF(AND(AND(I145=0,ISNUMBER(AK145),AK145&lt;=T145),AK145=MIN(IF(AND(I145=0,ISNUMBER(AK145),AK145&lt;=T145),AK145,9000000000000000),IF(AND(J145=0,ISNUMBER(AL145),AL145&lt;=T145),AL145,9000000000000000),IF(AND(K145=0,ISNUMBER(AM145),AM145&lt;=T145),AM145,9000000000000000))),"OR",IF(AND(AND(J145=0,ISNUMBER(AL145),AL145&lt;=T145),AL145=MIN(IF(AND(I145=0,ISNUMBER(AK145),AK145&lt;=T145),AK145,9000000000000000),IF(AND(J145=0,ISNUMBER(AL145),AL145&lt;=T145),AL145,9000000000000000),IF(AND(K145=0,ISNUMBER(AM145),AM145&lt;=T145),AM145,9000000000000000))),"HP","FP")),IF(AR145=TRUE(),"",IF(MAX(IF(AND(NOT(AND(AO145=1,AN145&lt;&gt;1)),ISNUMBER(AG145),AG145&lt;=T145),AS145,0),IF(AND(NOT(AND(AO145=1,AN145&lt;&gt;1)),ISNUMBER(AH145),AH145&lt;=T145),AT145,0),IF(AND(NOT(AND(AO145=1,AN145&lt;&gt;1)),ISNUMBER(AI145),AI145&lt;=T145),AU145,0),IF(AND(ISNUMBER(AJ145),AJ145&lt;=T145),AV145,0))&lt;=0,"",IF(AND(IF(AND(NOT(AND(AO145=1,AN145&lt;&gt;1)),ISNUMBER(AG145),AG145&lt;=T145),AS145,0)&gt;0,IF(AND(NOT(AND(AO145=1,AN145&lt;&gt;1)),ISNUMBER(AG145),AG145&lt;=T145),AS145,0)=MAX(IF(AND(NOT(AND(AO145=1,AN145&lt;&gt;1)),ISNUMBER(AG145),AG145&lt;=T145),AS145,0),IF(AND(NOT(AND(AO145=1,AN145&lt;&gt;1)),ISNUMBER(AH145),AH145&lt;=T145),AT145,0),IF(AND(NOT(AND(AO145=1,AN145&lt;&gt;1)),ISNUMBER(AI145),AI145&lt;=T145),AU145,0),IF(AND(ISNUMBER(AJ145),AJ145&lt;=T145),AV145,0))),"SW",IF(AND(IF(AND(NOT(AND(AO145=1,AN145&lt;&gt;1)),ISNUMBER(AH145),AH145&lt;=T145),AT145,0)&gt;0,IF(AND(NOT(AND(AO145=1,AN145&lt;&gt;1)),ISNUMBER(AH145),AH145&lt;=T145),AT145,0)=MAX(IF(AND(NOT(AND(AO145=1,AN145&lt;&gt;1)),ISNUMBER(AG145),AG145&lt;=T145),AS145,0),IF(AND(NOT(AND(AO145=1,AN145&lt;&gt;1)),ISNUMBER(AH145),AH145&lt;=T145),AT145,0),IF(AND(NOT(AND(AO145=1,AN145&lt;&gt;1)),ISNUMBER(AI145),AI145&lt;=T145),AU145,0),IF(AND(ISNUMBER(AJ145),AJ145&lt;=T145),AV145,0))),"AB",IF(AND(IF(AND(NOT(AND(AO145=1,AN145&lt;&gt;1)),ISNUMBER(AI145),AI145&lt;=T145),AU145,0)&gt;0,IF(AND(NOT(AND(AO145=1,AN145&lt;&gt;1)),ISNUMBER(AI145),AI145&lt;=T145),AU145,0)=MAX(IF(AND(NOT(AND(AO145=1,AN145&lt;&gt;1)),ISNUMBER(AG145),AG145&lt;=T145),AS145,0),IF(AND(NOT(AND(AO145=1,AN145&lt;&gt;1)),ISNUMBER(AH145),AH145&lt;=T145),AT145,0),IF(AND(NOT(AND(AO145=1,AN145&lt;&gt;1)),ISNUMBER(AI145),AI145&lt;=T145),AU145,0),IF(AND(ISNUMBER(AJ145),AJ145&lt;=T145),AV145,0))),"SC","Mag")))))))</f>
        <v/>
      </c>
    </row>
    <row r="146" customFormat="false" ht="15" hidden="false" customHeight="false" outlineLevel="0" collapsed="false">
      <c r="A146" s="26" t="n">
        <v>141</v>
      </c>
      <c r="B146" s="27" t="n">
        <f aca="false">A146*10/60</f>
        <v>23.5</v>
      </c>
      <c r="C146" s="21" t="n">
        <f aca="false">X145</f>
        <v>18.6730249835055</v>
      </c>
      <c r="D146" s="27" t="n">
        <f aca="false">D145+W145</f>
        <v>0</v>
      </c>
      <c r="E146" s="26" t="n">
        <f aca="false">E145+IF(U145="SW",1,0)</f>
        <v>12</v>
      </c>
      <c r="F146" s="26" t="n">
        <f aca="false">F145+IF(U145="AB",1,0)</f>
        <v>10</v>
      </c>
      <c r="G146" s="26" t="n">
        <f aca="false">G145+IF(U145="SC",1,0)</f>
        <v>7</v>
      </c>
      <c r="H146" s="26" t="n">
        <f aca="false">H145+IF(U145="Mag",1,0)</f>
        <v>5</v>
      </c>
      <c r="I146" s="26" t="n">
        <f aca="false">MAX(I145,IF(U145="OR",1,0))</f>
        <v>1</v>
      </c>
      <c r="J146" s="26" t="n">
        <f aca="false">MAX(J145,IF(U145="HP",1,0))</f>
        <v>1</v>
      </c>
      <c r="K146" s="26" t="n">
        <f aca="false">MAX(K145,IF(U145="FP",1,0))</f>
        <v>1</v>
      </c>
      <c r="L146" s="26" t="n">
        <f aca="false">MAX(L145,IF(U145="transition",1,0))</f>
        <v>1</v>
      </c>
      <c r="M146" s="28" t="n">
        <f aca="false">(Parameters!$B$9+(IF(E146=0,0,(Upgrades!$J$6+E146*Upgrades!$K$6)*POWER(Upgrades!$L$6,E146)))*(IF(Upgrades!$T$7="Solar Wind",POWER(Upgrades!$U$7,F146),1)*IF(Upgrades!$T$8="Solar Wind",POWER(Upgrades!$U$8,G146),1)*IF(Upgrades!$T$9="Solar Wind",POWER(Upgrades!$U$9,H146),1)*IF(Upgrades!$T$10="Solar Wind",POWER(Upgrades!$U$10,I146),1)*IF(Upgrades!$T$11="Solar Wind",POWER(Upgrades!$U$11,J146),1)*IF(Upgrades!$T$12="Solar Wind",POWER(Upgrades!$U$12,K146),1))+(IF(F146=0,0,(Upgrades!$J$7+F146*Upgrades!$K$7)*POWER(Upgrades!$L$7,F146)))*(IF(Upgrades!$T$6="Asteroid Belt",POWER(Upgrades!$U$6,E146),1)*IF(Upgrades!$T$8="Asteroid Belt",POWER(Upgrades!$U$8,G146),1)*IF(Upgrades!$T$9="Asteroid Belt",POWER(Upgrades!$U$9,H146),1)*IF(Upgrades!$T$10="Asteroid Belt",POWER(Upgrades!$U$10,I146),1)*IF(Upgrades!$T$11="Asteroid Belt",POWER(Upgrades!$U$11,J146),1)*IF(Upgrades!$T$12="Asteroid Belt",POWER(Upgrades!$U$12,K146),1))+(IF(G146=0,0,(Upgrades!$J$8+G146*Upgrades!$K$8)*POWER(Upgrades!$L$8,G146)))*(IF(Upgrades!$T$6="Stellar Coupling",POWER(Upgrades!$U$6,E146),1)*IF(Upgrades!$T$7="Stellar Coupling",POWER(Upgrades!$U$7,F146),1)*IF(Upgrades!$T$9="Stellar Coupling",POWER(Upgrades!$U$9,H146),1)*IF(Upgrades!$T$10="Stellar Coupling",POWER(Upgrades!$U$10,I146),1)*IF(Upgrades!$T$11="Stellar Coupling",POWER(Upgrades!$U$11,J146),1)*IF(Upgrades!$T$12="Stellar Coupling",POWER(Upgrades!$U$12,K146),1))+(IF(H146=0,0,(Upgrades!$J$9+H146*Upgrades!$K$9)*POWER(Upgrades!$L$9,H146)))*(IF(Upgrades!$T$6="Magnetosphere",POWER(Upgrades!$U$6,E146),1)*IF(Upgrades!$T$7="Magnetosphere",POWER(Upgrades!$U$7,F146),1)*IF(Upgrades!$T$8="Magnetosphere",POWER(Upgrades!$U$8,G146),1)*IF(Upgrades!$T$10="Magnetosphere",POWER(Upgrades!$U$10,I146),1)*IF(Upgrades!$T$11="Magnetosphere",POWER(Upgrades!$U$11,J146),1)*IF(Upgrades!$T$12="Magnetosphere",POWER(Upgrades!$U$12,K146),1))+(IF(I146=0,0,(Upgrades!$J$10+I146*Upgrades!$K$10)*POWER(Upgrades!$L$10,I146)))*(IF(Upgrades!$T$6="Orbital Resonance",POWER(Upgrades!$U$6,E146),1)*IF(Upgrades!$T$7="Orbital Resonance",POWER(Upgrades!$U$7,F146),1)*IF(Upgrades!$T$8="Orbital Resonance",POWER(Upgrades!$U$8,G146),1)*IF(Upgrades!$T$9="Orbital Resonance",POWER(Upgrades!$U$9,H146),1)*IF(Upgrades!$T$11="Orbital Resonance",POWER(Upgrades!$U$11,J146),1)*IF(Upgrades!$T$12="Orbital Resonance",POWER(Upgrades!$U$12,K146),1))+(IF(J146=0,0,(Upgrades!$J$11+J146*Upgrades!$K$11)*POWER(Upgrades!$L$11,J146)))*(IF(Upgrades!$T$6="Heliopause",POWER(Upgrades!$U$6,E146),1)*IF(Upgrades!$T$7="Heliopause",POWER(Upgrades!$U$7,F146),1)*IF(Upgrades!$T$8="Heliopause",POWER(Upgrades!$U$8,G146),1)*IF(Upgrades!$T$9="Heliopause",POWER(Upgrades!$U$9,H146),1)*IF(Upgrades!$T$10="Heliopause",POWER(Upgrades!$U$10,I146),1)*IF(Upgrades!$T$12="Heliopause",POWER(Upgrades!$U$12,K146),1))+(IF(K146=0,0,(Upgrades!$J$12+K146*Upgrades!$K$12)*POWER(Upgrades!$L$12,K146)))*(IF(Upgrades!$T$6="First Photons",POWER(Upgrades!$U$6,E146),1)*IF(Upgrades!$T$7="First Photons",POWER(Upgrades!$U$7,F146),1)*IF(Upgrades!$T$8="First Photons",POWER(Upgrades!$U$8,G146),1)*IF(Upgrades!$T$9="First Photons",POWER(Upgrades!$U$9,H146),1)*IF(Upgrades!$T$10="First Photons",POWER(Upgrades!$U$10,I146),1)*IF(Upgrades!$T$11="First Photons",POWER(Upgrades!$U$11,J146),1)))*POWER(Upgrades!$Q$6,E146)*POWER(Upgrades!$Q$7,F146)*POWER(Upgrades!$Q$8,G146)*POWER(Upgrades!$Q$9,H146)*POWER(Upgrades!$Q$10,I146)*POWER(Upgrades!$Q$11,J146)*POWER(Upgrades!$Q$12,K146)</f>
        <v>5.61</v>
      </c>
      <c r="N146" s="28" t="n">
        <f aca="false">((IF(E146=0,0,(Upgrades!$G$6+E146*Upgrades!$H$6)*POWER(Upgrades!$I$6,E146)))*(IF(Upgrades!$T$7="Solar Wind",POWER(Upgrades!$U$7,F146),1)*IF(Upgrades!$T$8="Solar Wind",POWER(Upgrades!$U$8,G146),1)*IF(Upgrades!$T$9="Solar Wind",POWER(Upgrades!$U$9,H146),1)*IF(Upgrades!$T$10="Solar Wind",POWER(Upgrades!$U$10,I146),1)*IF(Upgrades!$T$11="Solar Wind",POWER(Upgrades!$U$11,J146),1)*IF(Upgrades!$T$12="Solar Wind",POWER(Upgrades!$U$12,K146),1))+(IF(F146=0,0,(Upgrades!$G$7+F146*Upgrades!$H$7)*POWER(Upgrades!$I$7,F146)))*(IF(Upgrades!$T$6="Asteroid Belt",POWER(Upgrades!$U$6,E146),1)*IF(Upgrades!$T$8="Asteroid Belt",POWER(Upgrades!$U$8,G146),1)*IF(Upgrades!$T$9="Asteroid Belt",POWER(Upgrades!$U$9,H146),1)*IF(Upgrades!$T$10="Asteroid Belt",POWER(Upgrades!$U$10,I146),1)*IF(Upgrades!$T$11="Asteroid Belt",POWER(Upgrades!$U$11,J146),1)*IF(Upgrades!$T$12="Asteroid Belt",POWER(Upgrades!$U$12,K146),1))+(IF(G146=0,0,(Upgrades!$G$8+G146*Upgrades!$H$8)*POWER(Upgrades!$I$8,G146)))*(IF(Upgrades!$T$6="Stellar Coupling",POWER(Upgrades!$U$6,E146),1)*IF(Upgrades!$T$7="Stellar Coupling",POWER(Upgrades!$U$7,F146),1)*IF(Upgrades!$T$9="Stellar Coupling",POWER(Upgrades!$U$9,H146),1)*IF(Upgrades!$T$10="Stellar Coupling",POWER(Upgrades!$U$10,I146),1)*IF(Upgrades!$T$11="Stellar Coupling",POWER(Upgrades!$U$11,J146),1)*IF(Upgrades!$T$12="Stellar Coupling",POWER(Upgrades!$U$12,K146),1))+(IF(H146=0,0,(Upgrades!$G$9+H146*Upgrades!$H$9)*POWER(Upgrades!$I$9,H146)))*(IF(Upgrades!$T$6="Magnetosphere",POWER(Upgrades!$U$6,E146),1)*IF(Upgrades!$T$7="Magnetosphere",POWER(Upgrades!$U$7,F146),1)*IF(Upgrades!$T$8="Magnetosphere",POWER(Upgrades!$U$8,G146),1)*IF(Upgrades!$T$10="Magnetosphere",POWER(Upgrades!$U$10,I146),1)*IF(Upgrades!$T$11="Magnetosphere",POWER(Upgrades!$U$11,J146),1)*IF(Upgrades!$T$12="Magnetosphere",POWER(Upgrades!$U$12,K146),1))+(IF(I146=0,0,(Upgrades!$G$10+I146*Upgrades!$H$10)*POWER(Upgrades!$I$10,I146)))*(IF(Upgrades!$T$6="Orbital Resonance",POWER(Upgrades!$U$6,E146),1)*IF(Upgrades!$T$7="Orbital Resonance",POWER(Upgrades!$U$7,F146),1)*IF(Upgrades!$T$8="Orbital Resonance",POWER(Upgrades!$U$8,G146),1)*IF(Upgrades!$T$9="Orbital Resonance",POWER(Upgrades!$U$9,H146),1)*IF(Upgrades!$T$11="Orbital Resonance",POWER(Upgrades!$U$11,J146),1)*IF(Upgrades!$T$12="Orbital Resonance",POWER(Upgrades!$U$12,K146),1))+(IF(J146=0,0,(Upgrades!$G$11+J146*Upgrades!$H$11)*POWER(Upgrades!$I$11,J146)))*(IF(Upgrades!$T$6="Heliopause",POWER(Upgrades!$U$6,E146),1)*IF(Upgrades!$T$7="Heliopause",POWER(Upgrades!$U$7,F146),1)*IF(Upgrades!$T$8="Heliopause",POWER(Upgrades!$U$8,G146),1)*IF(Upgrades!$T$9="Heliopause",POWER(Upgrades!$U$9,H146),1)*IF(Upgrades!$T$10="Heliopause",POWER(Upgrades!$U$10,I146),1)*IF(Upgrades!$T$12="Heliopause",POWER(Upgrades!$U$12,K146),1))+(IF(K146=0,0,(Upgrades!$G$12+K146*Upgrades!$H$12)*POWER(Upgrades!$I$12,K146)))*(IF(Upgrades!$T$6="First Photons",POWER(Upgrades!$U$6,E146),1)*IF(Upgrades!$T$7="First Photons",POWER(Upgrades!$U$7,F146),1)*IF(Upgrades!$T$8="First Photons",POWER(Upgrades!$U$8,G146),1)*IF(Upgrades!$T$9="First Photons",POWER(Upgrades!$U$9,H146),1)*IF(Upgrades!$T$10="First Photons",POWER(Upgrades!$U$10,I146),1)*IF(Upgrades!$T$11="First Photons",POWER(Upgrades!$U$11,J146),1)))*POWER(Upgrades!$P$6,E146)*POWER(Upgrades!$P$7,F146)*POWER(Upgrades!$P$8,G146)*POWER(Upgrades!$P$9,H146)*POWER(Upgrades!$P$10,I146)*POWER(Upgrades!$P$11,J146)*POWER(Upgrades!$P$12,K146)</f>
        <v>11.2</v>
      </c>
      <c r="O146" s="28" t="n">
        <f aca="false">((IF(E146=0,0,(Upgrades!$M$6+E146*Upgrades!$N$6)*POWER(Upgrades!$O$6,E146)))*(IF(Upgrades!$T$7="Solar Wind",POWER(Upgrades!$U$7,F146),1)*IF(Upgrades!$T$8="Solar Wind",POWER(Upgrades!$U$8,G146),1)*IF(Upgrades!$T$9="Solar Wind",POWER(Upgrades!$U$9,H146),1)*IF(Upgrades!$T$10="Solar Wind",POWER(Upgrades!$U$10,I146),1)*IF(Upgrades!$T$11="Solar Wind",POWER(Upgrades!$U$11,J146),1)*IF(Upgrades!$T$12="Solar Wind",POWER(Upgrades!$U$12,K146),1))+(IF(F146=0,0,(Upgrades!$M$7+F146*Upgrades!$N$7)*POWER(Upgrades!$O$7,F146)))*(IF(Upgrades!$T$6="Asteroid Belt",POWER(Upgrades!$U$6,E146),1)*IF(Upgrades!$T$8="Asteroid Belt",POWER(Upgrades!$U$8,G146),1)*IF(Upgrades!$T$9="Asteroid Belt",POWER(Upgrades!$U$9,H146),1)*IF(Upgrades!$T$10="Asteroid Belt",POWER(Upgrades!$U$10,I146),1)*IF(Upgrades!$T$11="Asteroid Belt",POWER(Upgrades!$U$11,J146),1)*IF(Upgrades!$T$12="Asteroid Belt",POWER(Upgrades!$U$12,K146),1))+(IF(G146=0,0,(Upgrades!$M$8+G146*Upgrades!$N$8)*POWER(Upgrades!$O$8,G146)))*(IF(Upgrades!$T$6="Stellar Coupling",POWER(Upgrades!$U$6,E146),1)*IF(Upgrades!$T$7="Stellar Coupling",POWER(Upgrades!$U$7,F146),1)*IF(Upgrades!$T$9="Stellar Coupling",POWER(Upgrades!$U$9,H146),1)*IF(Upgrades!$T$10="Stellar Coupling",POWER(Upgrades!$U$10,I146),1)*IF(Upgrades!$T$11="Stellar Coupling",POWER(Upgrades!$U$11,J146),1)*IF(Upgrades!$T$12="Stellar Coupling",POWER(Upgrades!$U$12,K146),1))+(IF(H146=0,0,(Upgrades!$M$9+H146*Upgrades!$N$9)*POWER(Upgrades!$O$9,H146)))*(IF(Upgrades!$T$6="Magnetosphere",POWER(Upgrades!$U$6,E146),1)*IF(Upgrades!$T$7="Magnetosphere",POWER(Upgrades!$U$7,F146),1)*IF(Upgrades!$T$8="Magnetosphere",POWER(Upgrades!$U$8,G146),1)*IF(Upgrades!$T$10="Magnetosphere",POWER(Upgrades!$U$10,I146),1)*IF(Upgrades!$T$11="Magnetosphere",POWER(Upgrades!$U$11,J146),1)*IF(Upgrades!$T$12="Magnetosphere",POWER(Upgrades!$U$12,K146),1))+(IF(I146=0,0,(Upgrades!$M$10+I146*Upgrades!$N$10)*POWER(Upgrades!$O$10,I146)))*(IF(Upgrades!$T$6="Orbital Resonance",POWER(Upgrades!$U$6,E146),1)*IF(Upgrades!$T$7="Orbital Resonance",POWER(Upgrades!$U$7,F146),1)*IF(Upgrades!$T$8="Orbital Resonance",POWER(Upgrades!$U$8,G146),1)*IF(Upgrades!$T$9="Orbital Resonance",POWER(Upgrades!$U$9,H146),1)*IF(Upgrades!$T$11="Orbital Resonance",POWER(Upgrades!$U$11,J146),1)*IF(Upgrades!$T$12="Orbital Resonance",POWER(Upgrades!$U$12,K146),1))+(IF(J146=0,0,(Upgrades!$M$11+J146*Upgrades!$N$11)*POWER(Upgrades!$O$11,J146)))*(IF(Upgrades!$T$6="Heliopause",POWER(Upgrades!$U$6,E146),1)*IF(Upgrades!$T$7="Heliopause",POWER(Upgrades!$U$7,F146),1)*IF(Upgrades!$T$8="Heliopause",POWER(Upgrades!$U$8,G146),1)*IF(Upgrades!$T$9="Heliopause",POWER(Upgrades!$U$9,H146),1)*IF(Upgrades!$T$10="Heliopause",POWER(Upgrades!$U$10,I146),1)*IF(Upgrades!$T$12="Heliopause",POWER(Upgrades!$U$12,K146),1))+(IF(K146=0,0,(Upgrades!$M$12+K146*Upgrades!$N$12)*POWER(Upgrades!$O$12,K146)))*(IF(Upgrades!$T$6="First Photons",POWER(Upgrades!$U$6,E146),1)*IF(Upgrades!$T$7="First Photons",POWER(Upgrades!$U$7,F146),1)*IF(Upgrades!$T$8="First Photons",POWER(Upgrades!$U$8,G146),1)*IF(Upgrades!$T$9="First Photons",POWER(Upgrades!$U$9,H146),1)*IF(Upgrades!$T$10="First Photons",POWER(Upgrades!$U$10,I146),1)*IF(Upgrades!$T$11="First Photons",POWER(Upgrades!$U$11,J146),1)))*POWER(Upgrades!$R$6,E146)*POWER(Upgrades!$R$7,F146)*POWER(Upgrades!$R$8,G146)*POWER(Upgrades!$R$9,H146)*POWER(Upgrades!$R$10,I146)*POWER(Upgrades!$R$11,J146)*POWER(Upgrades!$R$12,K146)</f>
        <v>0</v>
      </c>
      <c r="P146" s="27" t="n">
        <f aca="false">IF(L146=1,0,M146*Parameters!$B$10/60*Parameters!$B$11*10)</f>
        <v>0</v>
      </c>
      <c r="Q146" s="27" t="n">
        <f aca="false">IF(L146=1,0,O146*M146*10)</f>
        <v>0</v>
      </c>
      <c r="R146" s="27" t="n">
        <f aca="false">IF(L146=1,0,N146*10)</f>
        <v>0</v>
      </c>
      <c r="S146" s="27" t="n">
        <f aca="false">P146+Q146+R146</f>
        <v>0</v>
      </c>
      <c r="T146" s="21" t="n">
        <f aca="false">C146+S146</f>
        <v>18.6730249835055</v>
      </c>
      <c r="U146" s="34" t="str">
        <f aca="false">AX146</f>
        <v/>
      </c>
      <c r="V146" s="21" t="n">
        <f aca="false">IF(U146="",0,IF(U146="transition",0,IF(U146="SW",AG146,IF(U146="AB",AH146,IF(U146="SC",AI146,IF(U146="Mag",AJ146,IF(U146="OR",AK146,IF(U146="HP",AL146,IF(U146="FP",AM146,0)))))))))</f>
        <v>0</v>
      </c>
      <c r="W146" s="27" t="n">
        <f aca="false">IF(U146="OR",Upgrades!$F$10,IF(U146="HP",Upgrades!$F$11,IF(U146="transition",-Parameters!$B$18,0)))</f>
        <v>0</v>
      </c>
      <c r="X146" s="21" t="n">
        <f aca="false">T146-V146</f>
        <v>18.6730249835055</v>
      </c>
      <c r="Y146" s="30" t="n">
        <f aca="false">M146*Parameters!$B$10/60*Parameters!$B$11+O146*M146+N146</f>
        <v>20.55</v>
      </c>
      <c r="Z146" s="35" t="str">
        <f aca="false">IF(U146="transition","→ Tier 2 (Stellar Neighborhood)",IF(U146="FP","First Photons — light begins, system quickens",IF(U146="HP","Heliopause acquired",IF(U146="OR","Orbital Resonance — passive multiplier active",IF(AND(AO146=1,L146=0,AN146&lt;&gt;1),"Cohesion ready (waiting on completionist upgrades)","")))))</f>
        <v/>
      </c>
      <c r="AA146" s="27" t="n">
        <f aca="false">(IF(E146=0,0,(Upgrades!$G$6+E146*Upgrades!$H$6)*POWER(Upgrades!$I$6,E146)))*(IF(Upgrades!$T$7="Solar Wind",POWER(Upgrades!$U$7,F146),1)*IF(Upgrades!$T$8="Solar Wind",POWER(Upgrades!$U$8,G146),1)*IF(Upgrades!$T$9="Solar Wind",POWER(Upgrades!$U$9,H146),1)*IF(Upgrades!$T$10="Solar Wind",POWER(Upgrades!$U$10,I146),1)*IF(Upgrades!$T$11="Solar Wind",POWER(Upgrades!$U$11,J146),1)*IF(Upgrades!$T$12="Solar Wind",POWER(Upgrades!$U$12,K146),1))*POWER(Upgrades!$P$6,E146)*POWER(Upgrades!$P$7,F146)*POWER(Upgrades!$P$8,G146)*POWER(Upgrades!$P$9,H146)*POWER(Upgrades!$P$10,I146)*POWER(Upgrades!$P$11,J146)*POWER(Upgrades!$P$12,K146)*60</f>
        <v>72</v>
      </c>
      <c r="AB146" s="27" t="n">
        <f aca="false">(IF(F146=0,0,(Upgrades!$G$7+F146*Upgrades!$H$7)*POWER(Upgrades!$I$7,F146)))*(IF(Upgrades!$T$6="Asteroid Belt",POWER(Upgrades!$U$6,E146),1)*IF(Upgrades!$T$8="Asteroid Belt",POWER(Upgrades!$U$8,G146),1)*IF(Upgrades!$T$9="Asteroid Belt",POWER(Upgrades!$U$9,H146),1)*IF(Upgrades!$T$10="Asteroid Belt",POWER(Upgrades!$U$10,I146),1)*IF(Upgrades!$T$11="Asteroid Belt",POWER(Upgrades!$U$11,J146),1)*IF(Upgrades!$T$12="Asteroid Belt",POWER(Upgrades!$U$12,K146),1))*POWER(Upgrades!$P$6,E146)*POWER(Upgrades!$P$7,F146)*POWER(Upgrades!$P$8,G146)*POWER(Upgrades!$P$9,H146)*POWER(Upgrades!$P$10,I146)*POWER(Upgrades!$P$11,J146)*POWER(Upgrades!$P$12,K146)*60</f>
        <v>150</v>
      </c>
      <c r="AC146" s="27" t="n">
        <f aca="false">(IF(G146=0,0,(Upgrades!$J$8+G146*Upgrades!$K$8)*POWER(Upgrades!$L$8,G146)))*(IF(Upgrades!$T$6="Stellar Coupling",POWER(Upgrades!$U$6,E146),1)*IF(Upgrades!$T$7="Stellar Coupling",POWER(Upgrades!$U$7,F146),1)*IF(Upgrades!$T$9="Stellar Coupling",POWER(Upgrades!$U$9,H146),1)*IF(Upgrades!$T$10="Stellar Coupling",POWER(Upgrades!$U$10,I146),1)*IF(Upgrades!$T$11="Stellar Coupling",POWER(Upgrades!$U$11,J146),1)*IF(Upgrades!$T$12="Stellar Coupling",POWER(Upgrades!$U$12,K146),1))*POWER(Upgrades!$Q$6,E146)*POWER(Upgrades!$Q$7,F146)*POWER(Upgrades!$Q$8,G146)*POWER(Upgrades!$Q$9,H146)*POWER(Upgrades!$Q$10,I146)*POWER(Upgrades!$Q$11,J146)*POWER(Upgrades!$Q$12,K146)*Parameters!$B$10*Parameters!$B$11</f>
        <v>441</v>
      </c>
      <c r="AD146" s="27" t="n">
        <f aca="false">(IF(H146=0,0,(Upgrades!$G$9+H146*Upgrades!$H$9)*POWER(Upgrades!$I$9,H146)))*(IF(Upgrades!$T$6="Magnetosphere",POWER(Upgrades!$U$6,E146),1)*IF(Upgrades!$T$7="Magnetosphere",POWER(Upgrades!$U$7,F146),1)*IF(Upgrades!$T$8="Magnetosphere",POWER(Upgrades!$U$8,G146),1)*IF(Upgrades!$T$10="Magnetosphere",POWER(Upgrades!$U$10,I146),1)*IF(Upgrades!$T$11="Magnetosphere",POWER(Upgrades!$U$11,J146),1)*IF(Upgrades!$T$12="Magnetosphere",POWER(Upgrades!$U$12,K146),1))*POWER(Upgrades!$P$6,E146)*POWER(Upgrades!$P$7,F146)*POWER(Upgrades!$P$8,G146)*POWER(Upgrades!$P$9,H146)*POWER(Upgrades!$P$10,I146)*POWER(Upgrades!$P$11,J146)*POWER(Upgrades!$P$12,K146)*60</f>
        <v>375</v>
      </c>
      <c r="AE146" s="27" t="n">
        <f aca="false">(IF(K146=0,0,(Upgrades!$G$12+K146*Upgrades!$H$12)*POWER(Upgrades!$I$12,K146)))*(IF(Upgrades!$T$6="First Photons",POWER(Upgrades!$U$6,E146),1)*IF(Upgrades!$T$7="First Photons",POWER(Upgrades!$U$7,F146),1)*IF(Upgrades!$T$8="First Photons",POWER(Upgrades!$U$8,G146),1)*IF(Upgrades!$T$9="First Photons",POWER(Upgrades!$U$9,H146),1)*IF(Upgrades!$T$10="First Photons",POWER(Upgrades!$U$10,I146),1)*IF(Upgrades!$T$11="First Photons",POWER(Upgrades!$U$11,J146),1))*POWER(Upgrades!$P$6,E146)*POWER(Upgrades!$P$7,F146)*POWER(Upgrades!$P$8,G146)*POWER(Upgrades!$P$9,H146)*POWER(Upgrades!$P$10,I146)*POWER(Upgrades!$P$11,J146)*POWER(Upgrades!$P$12,K146)*60</f>
        <v>75</v>
      </c>
      <c r="AF146" s="27" t="n">
        <f aca="false">Parameters!$B$9*POWER(Upgrades!$Q$6,E146)*POWER(Upgrades!$Q$7,F146)*POWER(Upgrades!$Q$8,G146)*POWER(Upgrades!$Q$9,H146)*POWER(Upgrades!$Q$10,I146)*POWER(Upgrades!$Q$11,J146)*POWER(Upgrades!$Q$12,K146)*(Parameters!$B$10*Parameters!$B$11+O146*60)</f>
        <v>120</v>
      </c>
      <c r="AG146" s="21" t="n">
        <f aca="false">IF(E146&gt;=Upgrades!$E$6,"",Upgrades!$C$6*POWER(Upgrades!$D$6,E146))</f>
        <v>37.4517507383159</v>
      </c>
      <c r="AH146" s="21" t="n">
        <f aca="false">IF(F146&gt;=Upgrades!$E$7,"",Upgrades!$C$7*POWER(Upgrades!$D$7,F146))</f>
        <v>80.9111547141581</v>
      </c>
      <c r="AI146" s="21" t="n">
        <f aca="false">IF(G146&gt;=Upgrades!$E$8,"",Upgrades!$C$8*POWER(Upgrades!$D$8,G146))</f>
        <v>231.9097088</v>
      </c>
      <c r="AJ146" s="21" t="str">
        <f aca="false">IF(H146&gt;=Upgrades!$E$9,"",Upgrades!$C$9*POWER(Upgrades!$D$9,H146))</f>
        <v/>
      </c>
      <c r="AK146" s="21" t="str">
        <f aca="false">IF(I146&gt;=Upgrades!$E$10,"",Upgrades!$C$10*POWER(Upgrades!$D$10,I146))</f>
        <v/>
      </c>
      <c r="AL146" s="21" t="str">
        <f aca="false">IF(J146&gt;=Upgrades!$E$11,"",Upgrades!$C$11*POWER(Upgrades!$D$11,J146))</f>
        <v/>
      </c>
      <c r="AM146" s="21" t="str">
        <f aca="false">IF(K146&gt;=Upgrades!$E$12,"",Upgrades!$C$12*POWER(Upgrades!$D$12,K146))</f>
        <v/>
      </c>
      <c r="AN146" s="26" t="str">
        <f aca="false">IF(AND(D146&gt;=Parameters!$B$18,(H146&gt;=Upgrades!$E$9)*(K146&gt;=Upgrades!$E$12)=1,L146=0),1,"")</f>
        <v/>
      </c>
      <c r="AO146" s="26" t="str">
        <f aca="false">IF(AND(D146&gt;=Parameters!$B$18,L146=0),1,"")</f>
        <v/>
      </c>
      <c r="AP146" s="21" t="n">
        <f aca="false">MIN(IF(ISNUMBER(AK146),AK146,9000000000000000),IF(ISNUMBER(AL146),AL146,9000000000000000),IF(ISNUMBER(AM146),AM146,9000000000000000))</f>
        <v>9000000000000000</v>
      </c>
      <c r="AQ146" s="21" t="n">
        <f aca="false">MIN(IF(ISNUMBER(AG146),AG146,9000000000000000),IF(ISNUMBER(AH146),AH146,9000000000000000),IF(ISNUMBER(AI146),AI146,9000000000000000),IF(ISNUMBER(AJ146),AJ146,9000000000000000))</f>
        <v>37.4517507383159</v>
      </c>
      <c r="AR146" s="32" t="b">
        <f aca="false">IF(AW146&gt;Parameters!$B$21*(MAX(IF(AND(NOT(AND(AO146=1,AN146&lt;&gt;1)),ISNUMBER(AG146),AG146&lt;=T146),AS146,0),IF(AND(NOT(AND(AO146=1,AN146&lt;&gt;1)),ISNUMBER(AH146),AH146&lt;=T146),AT146,0),IF(AND(NOT(AND(AO146=1,AN146&lt;&gt;1)),ISNUMBER(AI146),AI146&lt;=T146),AU146,0),IF(AND(ISNUMBER(AJ146),AJ146&lt;=T146),AV146,0))),TRUE(),FALSE())</f>
        <v>1</v>
      </c>
      <c r="AS146" s="33" t="n">
        <f aca="false">IFERROR(Upgrades!$H$6*(POWER(Upgrades!$P$6,E146)*POWER(Upgrades!$P$7,F146)*POWER(Upgrades!$P$8,G146)*POWER(Upgrades!$P$9,H146)*POWER(Upgrades!$P$10,I146)*POWER(Upgrades!$P$11,J146)*POWER(Upgrades!$P$12,K146))*(IF(Upgrades!$T$7="Solar Wind",POWER(Upgrades!$U$7,F146),1)*IF(Upgrades!$T$8="Solar Wind",POWER(Upgrades!$U$8,G146),1)*IF(Upgrades!$T$9="Solar Wind",POWER(Upgrades!$U$9,H146),1)*IF(Upgrades!$T$10="Solar Wind",POWER(Upgrades!$U$10,I146),1)*IF(Upgrades!$T$11="Solar Wind",POWER(Upgrades!$U$11,J146),1)*IF(Upgrades!$T$12="Solar Wind",POWER(Upgrades!$U$12,K146),1))/AG146,0)</f>
        <v>0.0026701021455238</v>
      </c>
      <c r="AT146" s="33" t="n">
        <f aca="false">IFERROR(Upgrades!$H$7*(POWER(Upgrades!$P$6,E146)*POWER(Upgrades!$P$7,F146)*POWER(Upgrades!$P$8,G146)*POWER(Upgrades!$P$9,H146)*POWER(Upgrades!$P$10,I146)*POWER(Upgrades!$P$11,J146)*POWER(Upgrades!$P$12,K146))*(IF(Upgrades!$T$6="Asteroid Belt",POWER(Upgrades!$U$6,E146),1)*IF(Upgrades!$T$8="Asteroid Belt",POWER(Upgrades!$U$8,G146),1)*IF(Upgrades!$T$9="Asteroid Belt",POWER(Upgrades!$U$9,H146),1)*IF(Upgrades!$T$10="Asteroid Belt",POWER(Upgrades!$U$10,I146),1)*IF(Upgrades!$T$11="Asteroid Belt",POWER(Upgrades!$U$11,J146),1)*IF(Upgrades!$T$12="Asteroid Belt",POWER(Upgrades!$U$12,K146),1))/AH146,0)</f>
        <v>0.00308980882652332</v>
      </c>
      <c r="AU146" s="33" t="n">
        <f aca="false">IFERROR(Upgrades!$K$8*(POWER(Upgrades!$Q$6,E146)*POWER(Upgrades!$Q$7,F146)*POWER(Upgrades!$Q$8,G146)*POWER(Upgrades!$Q$9,H146)*POWER(Upgrades!$Q$10,I146)*POWER(Upgrades!$Q$11,J146)*POWER(Upgrades!$Q$12,K146))*(IF(Upgrades!$T$6="Stellar Coupling",POWER(Upgrades!$U$6,E146),1)*IF(Upgrades!$T$7="Stellar Coupling",POWER(Upgrades!$U$7,F146),1)*IF(Upgrades!$T$9="Stellar Coupling",POWER(Upgrades!$U$9,H146),1)*IF(Upgrades!$T$10="Stellar Coupling",POWER(Upgrades!$U$10,I146),1)*IF(Upgrades!$T$11="Stellar Coupling",POWER(Upgrades!$U$11,J146),1)*IF(Upgrades!$T$12="Stellar Coupling",POWER(Upgrades!$U$12,K146),1))*Parameters!$B$10*Parameters!$B$11/60/AI146,0)</f>
        <v>0.00452762415783776</v>
      </c>
      <c r="AV146" s="33" t="n">
        <f aca="false">IFERROR(Upgrades!$H$9*(POWER(Upgrades!$P$6,E146)*POWER(Upgrades!$P$7,F146)*POWER(Upgrades!$P$8,G146)*POWER(Upgrades!$P$9,H146)*POWER(Upgrades!$P$10,I146)*POWER(Upgrades!$P$11,J146)*POWER(Upgrades!$P$12,K146))*(IF(Upgrades!$T$6="Magnetosphere",POWER(Upgrades!$U$6,E146),1)*IF(Upgrades!$T$7="Magnetosphere",POWER(Upgrades!$U$7,F146),1)*IF(Upgrades!$T$8="Magnetosphere",POWER(Upgrades!$U$8,G146),1)*IF(Upgrades!$T$10="Magnetosphere",POWER(Upgrades!$U$10,I146),1)*IF(Upgrades!$T$11="Magnetosphere",POWER(Upgrades!$U$11,J146),1)*IF(Upgrades!$T$12="Magnetosphere",POWER(Upgrades!$U$12,K146),1))/AJ146,0)</f>
        <v>0</v>
      </c>
      <c r="AW146" s="33" t="n">
        <f aca="false">MAX(IF(I146&gt;0,0,IFERROR(0.25*N146/Upgrades!$C$10,0)),IF(J146&gt;0,0,IFERROR(0.5*((IF(G146=0,0,(Upgrades!$J$8+G146*Upgrades!$K$8)*POWER(Upgrades!$L$8,G146)))*(IF(Upgrades!$T$6="Stellar Coupling",POWER(Upgrades!$U$6,E146),1)*IF(Upgrades!$T$7="Stellar Coupling",POWER(Upgrades!$U$7,F146),1)*IF(Upgrades!$T$9="Stellar Coupling",POWER(Upgrades!$U$9,H146),1)*IF(Upgrades!$T$10="Stellar Coupling",POWER(Upgrades!$U$10,I146),1)*IF(Upgrades!$T$11="Stellar Coupling",POWER(Upgrades!$U$11,J146),1)*IF(Upgrades!$T$12="Stellar Coupling",POWER(Upgrades!$U$12,K146),1))*(POWER(Upgrades!$Q$6,E146)*POWER(Upgrades!$Q$7,F146)*POWER(Upgrades!$Q$8,G146)*POWER(Upgrades!$Q$9,H146)*POWER(Upgrades!$Q$10,I146)*POWER(Upgrades!$Q$11,J146)*POWER(Upgrades!$Q$12,K146))*Parameters!$B$10*Parameters!$B$11/60)/Upgrades!$C$11,0)),IF(K146&gt;0,0,IFERROR((1*(POWER(Upgrades!$P$6,E146)*POWER(Upgrades!$P$7,F146)*POWER(Upgrades!$P$8,G146)*POWER(Upgrades!$P$9,H146)*POWER(Upgrades!$P$10,I146)*POWER(Upgrades!$P$11,J146)*POWER(Upgrades!$P$12,K146))+0.2*M146*Parameters!$B$10*Parameters!$B$11/60)/Upgrades!$C$12,0)),IF(AND(ISNUMBER(AG146),AG146&gt;T146),AS146,0),IF(AND(ISNUMBER(AH146),AH146&gt;T146),AT146,0),IF(AND(ISNUMBER(AI146),AI146&gt;T146),AU146,0),IF(AND(ISNUMBER(AJ146),AJ146&gt;T146),AV146,0))</f>
        <v>0.00452762415783776</v>
      </c>
      <c r="AX146" s="29" t="str">
        <f aca="false">IF(AN146=1,"transition",IF(MIN(IF(AND(I146=0,ISNUMBER(AK146),AK146&lt;=T146),AK146,9000000000000000),IF(AND(J146=0,ISNUMBER(AL146),AL146&lt;=T146),AL146,9000000000000000),IF(AND(K146=0,ISNUMBER(AM146),AM146&lt;=T146),AM146,9000000000000000))&lt;9000000000000000,IF(AND(AND(I146=0,ISNUMBER(AK146),AK146&lt;=T146),AK146=MIN(IF(AND(I146=0,ISNUMBER(AK146),AK146&lt;=T146),AK146,9000000000000000),IF(AND(J146=0,ISNUMBER(AL146),AL146&lt;=T146),AL146,9000000000000000),IF(AND(K146=0,ISNUMBER(AM146),AM146&lt;=T146),AM146,9000000000000000))),"OR",IF(AND(AND(J146=0,ISNUMBER(AL146),AL146&lt;=T146),AL146=MIN(IF(AND(I146=0,ISNUMBER(AK146),AK146&lt;=T146),AK146,9000000000000000),IF(AND(J146=0,ISNUMBER(AL146),AL146&lt;=T146),AL146,9000000000000000),IF(AND(K146=0,ISNUMBER(AM146),AM146&lt;=T146),AM146,9000000000000000))),"HP","FP")),IF(AR146=TRUE(),"",IF(MAX(IF(AND(NOT(AND(AO146=1,AN146&lt;&gt;1)),ISNUMBER(AG146),AG146&lt;=T146),AS146,0),IF(AND(NOT(AND(AO146=1,AN146&lt;&gt;1)),ISNUMBER(AH146),AH146&lt;=T146),AT146,0),IF(AND(NOT(AND(AO146=1,AN146&lt;&gt;1)),ISNUMBER(AI146),AI146&lt;=T146),AU146,0),IF(AND(ISNUMBER(AJ146),AJ146&lt;=T146),AV146,0))&lt;=0,"",IF(AND(IF(AND(NOT(AND(AO146=1,AN146&lt;&gt;1)),ISNUMBER(AG146),AG146&lt;=T146),AS146,0)&gt;0,IF(AND(NOT(AND(AO146=1,AN146&lt;&gt;1)),ISNUMBER(AG146),AG146&lt;=T146),AS146,0)=MAX(IF(AND(NOT(AND(AO146=1,AN146&lt;&gt;1)),ISNUMBER(AG146),AG146&lt;=T146),AS146,0),IF(AND(NOT(AND(AO146=1,AN146&lt;&gt;1)),ISNUMBER(AH146),AH146&lt;=T146),AT146,0),IF(AND(NOT(AND(AO146=1,AN146&lt;&gt;1)),ISNUMBER(AI146),AI146&lt;=T146),AU146,0),IF(AND(ISNUMBER(AJ146),AJ146&lt;=T146),AV146,0))),"SW",IF(AND(IF(AND(NOT(AND(AO146=1,AN146&lt;&gt;1)),ISNUMBER(AH146),AH146&lt;=T146),AT146,0)&gt;0,IF(AND(NOT(AND(AO146=1,AN146&lt;&gt;1)),ISNUMBER(AH146),AH146&lt;=T146),AT146,0)=MAX(IF(AND(NOT(AND(AO146=1,AN146&lt;&gt;1)),ISNUMBER(AG146),AG146&lt;=T146),AS146,0),IF(AND(NOT(AND(AO146=1,AN146&lt;&gt;1)),ISNUMBER(AH146),AH146&lt;=T146),AT146,0),IF(AND(NOT(AND(AO146=1,AN146&lt;&gt;1)),ISNUMBER(AI146),AI146&lt;=T146),AU146,0),IF(AND(ISNUMBER(AJ146),AJ146&lt;=T146),AV146,0))),"AB",IF(AND(IF(AND(NOT(AND(AO146=1,AN146&lt;&gt;1)),ISNUMBER(AI146),AI146&lt;=T146),AU146,0)&gt;0,IF(AND(NOT(AND(AO146=1,AN146&lt;&gt;1)),ISNUMBER(AI146),AI146&lt;=T146),AU146,0)=MAX(IF(AND(NOT(AND(AO146=1,AN146&lt;&gt;1)),ISNUMBER(AG146),AG146&lt;=T146),AS146,0),IF(AND(NOT(AND(AO146=1,AN146&lt;&gt;1)),ISNUMBER(AH146),AH146&lt;=T146),AT146,0),IF(AND(NOT(AND(AO146=1,AN146&lt;&gt;1)),ISNUMBER(AI146),AI146&lt;=T146),AU146,0),IF(AND(ISNUMBER(AJ146),AJ146&lt;=T146),AV146,0))),"SC","Mag")))))))</f>
        <v/>
      </c>
    </row>
    <row r="147" customFormat="false" ht="15" hidden="false" customHeight="false" outlineLevel="0" collapsed="false">
      <c r="A147" s="26" t="n">
        <v>142</v>
      </c>
      <c r="B147" s="27" t="n">
        <f aca="false">A147*10/60</f>
        <v>23.6666666666667</v>
      </c>
      <c r="C147" s="21" t="n">
        <f aca="false">X146</f>
        <v>18.6730249835055</v>
      </c>
      <c r="D147" s="27" t="n">
        <f aca="false">D146+W146</f>
        <v>0</v>
      </c>
      <c r="E147" s="26" t="n">
        <f aca="false">E146+IF(U146="SW",1,0)</f>
        <v>12</v>
      </c>
      <c r="F147" s="26" t="n">
        <f aca="false">F146+IF(U146="AB",1,0)</f>
        <v>10</v>
      </c>
      <c r="G147" s="26" t="n">
        <f aca="false">G146+IF(U146="SC",1,0)</f>
        <v>7</v>
      </c>
      <c r="H147" s="26" t="n">
        <f aca="false">H146+IF(U146="Mag",1,0)</f>
        <v>5</v>
      </c>
      <c r="I147" s="26" t="n">
        <f aca="false">MAX(I146,IF(U146="OR",1,0))</f>
        <v>1</v>
      </c>
      <c r="J147" s="26" t="n">
        <f aca="false">MAX(J146,IF(U146="HP",1,0))</f>
        <v>1</v>
      </c>
      <c r="K147" s="26" t="n">
        <f aca="false">MAX(K146,IF(U146="FP",1,0))</f>
        <v>1</v>
      </c>
      <c r="L147" s="26" t="n">
        <f aca="false">MAX(L146,IF(U146="transition",1,0))</f>
        <v>1</v>
      </c>
      <c r="M147" s="28" t="n">
        <f aca="false">(Parameters!$B$9+(IF(E147=0,0,(Upgrades!$J$6+E147*Upgrades!$K$6)*POWER(Upgrades!$L$6,E147)))*(IF(Upgrades!$T$7="Solar Wind",POWER(Upgrades!$U$7,F147),1)*IF(Upgrades!$T$8="Solar Wind",POWER(Upgrades!$U$8,G147),1)*IF(Upgrades!$T$9="Solar Wind",POWER(Upgrades!$U$9,H147),1)*IF(Upgrades!$T$10="Solar Wind",POWER(Upgrades!$U$10,I147),1)*IF(Upgrades!$T$11="Solar Wind",POWER(Upgrades!$U$11,J147),1)*IF(Upgrades!$T$12="Solar Wind",POWER(Upgrades!$U$12,K147),1))+(IF(F147=0,0,(Upgrades!$J$7+F147*Upgrades!$K$7)*POWER(Upgrades!$L$7,F147)))*(IF(Upgrades!$T$6="Asteroid Belt",POWER(Upgrades!$U$6,E147),1)*IF(Upgrades!$T$8="Asteroid Belt",POWER(Upgrades!$U$8,G147),1)*IF(Upgrades!$T$9="Asteroid Belt",POWER(Upgrades!$U$9,H147),1)*IF(Upgrades!$T$10="Asteroid Belt",POWER(Upgrades!$U$10,I147),1)*IF(Upgrades!$T$11="Asteroid Belt",POWER(Upgrades!$U$11,J147),1)*IF(Upgrades!$T$12="Asteroid Belt",POWER(Upgrades!$U$12,K147),1))+(IF(G147=0,0,(Upgrades!$J$8+G147*Upgrades!$K$8)*POWER(Upgrades!$L$8,G147)))*(IF(Upgrades!$T$6="Stellar Coupling",POWER(Upgrades!$U$6,E147),1)*IF(Upgrades!$T$7="Stellar Coupling",POWER(Upgrades!$U$7,F147),1)*IF(Upgrades!$T$9="Stellar Coupling",POWER(Upgrades!$U$9,H147),1)*IF(Upgrades!$T$10="Stellar Coupling",POWER(Upgrades!$U$10,I147),1)*IF(Upgrades!$T$11="Stellar Coupling",POWER(Upgrades!$U$11,J147),1)*IF(Upgrades!$T$12="Stellar Coupling",POWER(Upgrades!$U$12,K147),1))+(IF(H147=0,0,(Upgrades!$J$9+H147*Upgrades!$K$9)*POWER(Upgrades!$L$9,H147)))*(IF(Upgrades!$T$6="Magnetosphere",POWER(Upgrades!$U$6,E147),1)*IF(Upgrades!$T$7="Magnetosphere",POWER(Upgrades!$U$7,F147),1)*IF(Upgrades!$T$8="Magnetosphere",POWER(Upgrades!$U$8,G147),1)*IF(Upgrades!$T$10="Magnetosphere",POWER(Upgrades!$U$10,I147),1)*IF(Upgrades!$T$11="Magnetosphere",POWER(Upgrades!$U$11,J147),1)*IF(Upgrades!$T$12="Magnetosphere",POWER(Upgrades!$U$12,K147),1))+(IF(I147=0,0,(Upgrades!$J$10+I147*Upgrades!$K$10)*POWER(Upgrades!$L$10,I147)))*(IF(Upgrades!$T$6="Orbital Resonance",POWER(Upgrades!$U$6,E147),1)*IF(Upgrades!$T$7="Orbital Resonance",POWER(Upgrades!$U$7,F147),1)*IF(Upgrades!$T$8="Orbital Resonance",POWER(Upgrades!$U$8,G147),1)*IF(Upgrades!$T$9="Orbital Resonance",POWER(Upgrades!$U$9,H147),1)*IF(Upgrades!$T$11="Orbital Resonance",POWER(Upgrades!$U$11,J147),1)*IF(Upgrades!$T$12="Orbital Resonance",POWER(Upgrades!$U$12,K147),1))+(IF(J147=0,0,(Upgrades!$J$11+J147*Upgrades!$K$11)*POWER(Upgrades!$L$11,J147)))*(IF(Upgrades!$T$6="Heliopause",POWER(Upgrades!$U$6,E147),1)*IF(Upgrades!$T$7="Heliopause",POWER(Upgrades!$U$7,F147),1)*IF(Upgrades!$T$8="Heliopause",POWER(Upgrades!$U$8,G147),1)*IF(Upgrades!$T$9="Heliopause",POWER(Upgrades!$U$9,H147),1)*IF(Upgrades!$T$10="Heliopause",POWER(Upgrades!$U$10,I147),1)*IF(Upgrades!$T$12="Heliopause",POWER(Upgrades!$U$12,K147),1))+(IF(K147=0,0,(Upgrades!$J$12+K147*Upgrades!$K$12)*POWER(Upgrades!$L$12,K147)))*(IF(Upgrades!$T$6="First Photons",POWER(Upgrades!$U$6,E147),1)*IF(Upgrades!$T$7="First Photons",POWER(Upgrades!$U$7,F147),1)*IF(Upgrades!$T$8="First Photons",POWER(Upgrades!$U$8,G147),1)*IF(Upgrades!$T$9="First Photons",POWER(Upgrades!$U$9,H147),1)*IF(Upgrades!$T$10="First Photons",POWER(Upgrades!$U$10,I147),1)*IF(Upgrades!$T$11="First Photons",POWER(Upgrades!$U$11,J147),1)))*POWER(Upgrades!$Q$6,E147)*POWER(Upgrades!$Q$7,F147)*POWER(Upgrades!$Q$8,G147)*POWER(Upgrades!$Q$9,H147)*POWER(Upgrades!$Q$10,I147)*POWER(Upgrades!$Q$11,J147)*POWER(Upgrades!$Q$12,K147)</f>
        <v>5.61</v>
      </c>
      <c r="N147" s="28" t="n">
        <f aca="false">((IF(E147=0,0,(Upgrades!$G$6+E147*Upgrades!$H$6)*POWER(Upgrades!$I$6,E147)))*(IF(Upgrades!$T$7="Solar Wind",POWER(Upgrades!$U$7,F147),1)*IF(Upgrades!$T$8="Solar Wind",POWER(Upgrades!$U$8,G147),1)*IF(Upgrades!$T$9="Solar Wind",POWER(Upgrades!$U$9,H147),1)*IF(Upgrades!$T$10="Solar Wind",POWER(Upgrades!$U$10,I147),1)*IF(Upgrades!$T$11="Solar Wind",POWER(Upgrades!$U$11,J147),1)*IF(Upgrades!$T$12="Solar Wind",POWER(Upgrades!$U$12,K147),1))+(IF(F147=0,0,(Upgrades!$G$7+F147*Upgrades!$H$7)*POWER(Upgrades!$I$7,F147)))*(IF(Upgrades!$T$6="Asteroid Belt",POWER(Upgrades!$U$6,E147),1)*IF(Upgrades!$T$8="Asteroid Belt",POWER(Upgrades!$U$8,G147),1)*IF(Upgrades!$T$9="Asteroid Belt",POWER(Upgrades!$U$9,H147),1)*IF(Upgrades!$T$10="Asteroid Belt",POWER(Upgrades!$U$10,I147),1)*IF(Upgrades!$T$11="Asteroid Belt",POWER(Upgrades!$U$11,J147),1)*IF(Upgrades!$T$12="Asteroid Belt",POWER(Upgrades!$U$12,K147),1))+(IF(G147=0,0,(Upgrades!$G$8+G147*Upgrades!$H$8)*POWER(Upgrades!$I$8,G147)))*(IF(Upgrades!$T$6="Stellar Coupling",POWER(Upgrades!$U$6,E147),1)*IF(Upgrades!$T$7="Stellar Coupling",POWER(Upgrades!$U$7,F147),1)*IF(Upgrades!$T$9="Stellar Coupling",POWER(Upgrades!$U$9,H147),1)*IF(Upgrades!$T$10="Stellar Coupling",POWER(Upgrades!$U$10,I147),1)*IF(Upgrades!$T$11="Stellar Coupling",POWER(Upgrades!$U$11,J147),1)*IF(Upgrades!$T$12="Stellar Coupling",POWER(Upgrades!$U$12,K147),1))+(IF(H147=0,0,(Upgrades!$G$9+H147*Upgrades!$H$9)*POWER(Upgrades!$I$9,H147)))*(IF(Upgrades!$T$6="Magnetosphere",POWER(Upgrades!$U$6,E147),1)*IF(Upgrades!$T$7="Magnetosphere",POWER(Upgrades!$U$7,F147),1)*IF(Upgrades!$T$8="Magnetosphere",POWER(Upgrades!$U$8,G147),1)*IF(Upgrades!$T$10="Magnetosphere",POWER(Upgrades!$U$10,I147),1)*IF(Upgrades!$T$11="Magnetosphere",POWER(Upgrades!$U$11,J147),1)*IF(Upgrades!$T$12="Magnetosphere",POWER(Upgrades!$U$12,K147),1))+(IF(I147=0,0,(Upgrades!$G$10+I147*Upgrades!$H$10)*POWER(Upgrades!$I$10,I147)))*(IF(Upgrades!$T$6="Orbital Resonance",POWER(Upgrades!$U$6,E147),1)*IF(Upgrades!$T$7="Orbital Resonance",POWER(Upgrades!$U$7,F147),1)*IF(Upgrades!$T$8="Orbital Resonance",POWER(Upgrades!$U$8,G147),1)*IF(Upgrades!$T$9="Orbital Resonance",POWER(Upgrades!$U$9,H147),1)*IF(Upgrades!$T$11="Orbital Resonance",POWER(Upgrades!$U$11,J147),1)*IF(Upgrades!$T$12="Orbital Resonance",POWER(Upgrades!$U$12,K147),1))+(IF(J147=0,0,(Upgrades!$G$11+J147*Upgrades!$H$11)*POWER(Upgrades!$I$11,J147)))*(IF(Upgrades!$T$6="Heliopause",POWER(Upgrades!$U$6,E147),1)*IF(Upgrades!$T$7="Heliopause",POWER(Upgrades!$U$7,F147),1)*IF(Upgrades!$T$8="Heliopause",POWER(Upgrades!$U$8,G147),1)*IF(Upgrades!$T$9="Heliopause",POWER(Upgrades!$U$9,H147),1)*IF(Upgrades!$T$10="Heliopause",POWER(Upgrades!$U$10,I147),1)*IF(Upgrades!$T$12="Heliopause",POWER(Upgrades!$U$12,K147),1))+(IF(K147=0,0,(Upgrades!$G$12+K147*Upgrades!$H$12)*POWER(Upgrades!$I$12,K147)))*(IF(Upgrades!$T$6="First Photons",POWER(Upgrades!$U$6,E147),1)*IF(Upgrades!$T$7="First Photons",POWER(Upgrades!$U$7,F147),1)*IF(Upgrades!$T$8="First Photons",POWER(Upgrades!$U$8,G147),1)*IF(Upgrades!$T$9="First Photons",POWER(Upgrades!$U$9,H147),1)*IF(Upgrades!$T$10="First Photons",POWER(Upgrades!$U$10,I147),1)*IF(Upgrades!$T$11="First Photons",POWER(Upgrades!$U$11,J147),1)))*POWER(Upgrades!$P$6,E147)*POWER(Upgrades!$P$7,F147)*POWER(Upgrades!$P$8,G147)*POWER(Upgrades!$P$9,H147)*POWER(Upgrades!$P$10,I147)*POWER(Upgrades!$P$11,J147)*POWER(Upgrades!$P$12,K147)</f>
        <v>11.2</v>
      </c>
      <c r="O147" s="28" t="n">
        <f aca="false">((IF(E147=0,0,(Upgrades!$M$6+E147*Upgrades!$N$6)*POWER(Upgrades!$O$6,E147)))*(IF(Upgrades!$T$7="Solar Wind",POWER(Upgrades!$U$7,F147),1)*IF(Upgrades!$T$8="Solar Wind",POWER(Upgrades!$U$8,G147),1)*IF(Upgrades!$T$9="Solar Wind",POWER(Upgrades!$U$9,H147),1)*IF(Upgrades!$T$10="Solar Wind",POWER(Upgrades!$U$10,I147),1)*IF(Upgrades!$T$11="Solar Wind",POWER(Upgrades!$U$11,J147),1)*IF(Upgrades!$T$12="Solar Wind",POWER(Upgrades!$U$12,K147),1))+(IF(F147=0,0,(Upgrades!$M$7+F147*Upgrades!$N$7)*POWER(Upgrades!$O$7,F147)))*(IF(Upgrades!$T$6="Asteroid Belt",POWER(Upgrades!$U$6,E147),1)*IF(Upgrades!$T$8="Asteroid Belt",POWER(Upgrades!$U$8,G147),1)*IF(Upgrades!$T$9="Asteroid Belt",POWER(Upgrades!$U$9,H147),1)*IF(Upgrades!$T$10="Asteroid Belt",POWER(Upgrades!$U$10,I147),1)*IF(Upgrades!$T$11="Asteroid Belt",POWER(Upgrades!$U$11,J147),1)*IF(Upgrades!$T$12="Asteroid Belt",POWER(Upgrades!$U$12,K147),1))+(IF(G147=0,0,(Upgrades!$M$8+G147*Upgrades!$N$8)*POWER(Upgrades!$O$8,G147)))*(IF(Upgrades!$T$6="Stellar Coupling",POWER(Upgrades!$U$6,E147),1)*IF(Upgrades!$T$7="Stellar Coupling",POWER(Upgrades!$U$7,F147),1)*IF(Upgrades!$T$9="Stellar Coupling",POWER(Upgrades!$U$9,H147),1)*IF(Upgrades!$T$10="Stellar Coupling",POWER(Upgrades!$U$10,I147),1)*IF(Upgrades!$T$11="Stellar Coupling",POWER(Upgrades!$U$11,J147),1)*IF(Upgrades!$T$12="Stellar Coupling",POWER(Upgrades!$U$12,K147),1))+(IF(H147=0,0,(Upgrades!$M$9+H147*Upgrades!$N$9)*POWER(Upgrades!$O$9,H147)))*(IF(Upgrades!$T$6="Magnetosphere",POWER(Upgrades!$U$6,E147),1)*IF(Upgrades!$T$7="Magnetosphere",POWER(Upgrades!$U$7,F147),1)*IF(Upgrades!$T$8="Magnetosphere",POWER(Upgrades!$U$8,G147),1)*IF(Upgrades!$T$10="Magnetosphere",POWER(Upgrades!$U$10,I147),1)*IF(Upgrades!$T$11="Magnetosphere",POWER(Upgrades!$U$11,J147),1)*IF(Upgrades!$T$12="Magnetosphere",POWER(Upgrades!$U$12,K147),1))+(IF(I147=0,0,(Upgrades!$M$10+I147*Upgrades!$N$10)*POWER(Upgrades!$O$10,I147)))*(IF(Upgrades!$T$6="Orbital Resonance",POWER(Upgrades!$U$6,E147),1)*IF(Upgrades!$T$7="Orbital Resonance",POWER(Upgrades!$U$7,F147),1)*IF(Upgrades!$T$8="Orbital Resonance",POWER(Upgrades!$U$8,G147),1)*IF(Upgrades!$T$9="Orbital Resonance",POWER(Upgrades!$U$9,H147),1)*IF(Upgrades!$T$11="Orbital Resonance",POWER(Upgrades!$U$11,J147),1)*IF(Upgrades!$T$12="Orbital Resonance",POWER(Upgrades!$U$12,K147),1))+(IF(J147=0,0,(Upgrades!$M$11+J147*Upgrades!$N$11)*POWER(Upgrades!$O$11,J147)))*(IF(Upgrades!$T$6="Heliopause",POWER(Upgrades!$U$6,E147),1)*IF(Upgrades!$T$7="Heliopause",POWER(Upgrades!$U$7,F147),1)*IF(Upgrades!$T$8="Heliopause",POWER(Upgrades!$U$8,G147),1)*IF(Upgrades!$T$9="Heliopause",POWER(Upgrades!$U$9,H147),1)*IF(Upgrades!$T$10="Heliopause",POWER(Upgrades!$U$10,I147),1)*IF(Upgrades!$T$12="Heliopause",POWER(Upgrades!$U$12,K147),1))+(IF(K147=0,0,(Upgrades!$M$12+K147*Upgrades!$N$12)*POWER(Upgrades!$O$12,K147)))*(IF(Upgrades!$T$6="First Photons",POWER(Upgrades!$U$6,E147),1)*IF(Upgrades!$T$7="First Photons",POWER(Upgrades!$U$7,F147),1)*IF(Upgrades!$T$8="First Photons",POWER(Upgrades!$U$8,G147),1)*IF(Upgrades!$T$9="First Photons",POWER(Upgrades!$U$9,H147),1)*IF(Upgrades!$T$10="First Photons",POWER(Upgrades!$U$10,I147),1)*IF(Upgrades!$T$11="First Photons",POWER(Upgrades!$U$11,J147),1)))*POWER(Upgrades!$R$6,E147)*POWER(Upgrades!$R$7,F147)*POWER(Upgrades!$R$8,G147)*POWER(Upgrades!$R$9,H147)*POWER(Upgrades!$R$10,I147)*POWER(Upgrades!$R$11,J147)*POWER(Upgrades!$R$12,K147)</f>
        <v>0</v>
      </c>
      <c r="P147" s="27" t="n">
        <f aca="false">IF(L147=1,0,M147*Parameters!$B$10/60*Parameters!$B$11*10)</f>
        <v>0</v>
      </c>
      <c r="Q147" s="27" t="n">
        <f aca="false">IF(L147=1,0,O147*M147*10)</f>
        <v>0</v>
      </c>
      <c r="R147" s="27" t="n">
        <f aca="false">IF(L147=1,0,N147*10)</f>
        <v>0</v>
      </c>
      <c r="S147" s="27" t="n">
        <f aca="false">P147+Q147+R147</f>
        <v>0</v>
      </c>
      <c r="T147" s="21" t="n">
        <f aca="false">C147+S147</f>
        <v>18.6730249835055</v>
      </c>
      <c r="U147" s="34" t="str">
        <f aca="false">AX147</f>
        <v/>
      </c>
      <c r="V147" s="21" t="n">
        <f aca="false">IF(U147="",0,IF(U147="transition",0,IF(U147="SW",AG147,IF(U147="AB",AH147,IF(U147="SC",AI147,IF(U147="Mag",AJ147,IF(U147="OR",AK147,IF(U147="HP",AL147,IF(U147="FP",AM147,0)))))))))</f>
        <v>0</v>
      </c>
      <c r="W147" s="27" t="n">
        <f aca="false">IF(U147="OR",Upgrades!$F$10,IF(U147="HP",Upgrades!$F$11,IF(U147="transition",-Parameters!$B$18,0)))</f>
        <v>0</v>
      </c>
      <c r="X147" s="21" t="n">
        <f aca="false">T147-V147</f>
        <v>18.6730249835055</v>
      </c>
      <c r="Y147" s="30" t="n">
        <f aca="false">M147*Parameters!$B$10/60*Parameters!$B$11+O147*M147+N147</f>
        <v>20.55</v>
      </c>
      <c r="Z147" s="35" t="str">
        <f aca="false">IF(U147="transition","→ Tier 2 (Stellar Neighborhood)",IF(U147="FP","First Photons — light begins, system quickens",IF(U147="HP","Heliopause acquired",IF(U147="OR","Orbital Resonance — passive multiplier active",IF(AND(AO147=1,L147=0,AN147&lt;&gt;1),"Cohesion ready (waiting on completionist upgrades)","")))))</f>
        <v/>
      </c>
      <c r="AA147" s="27" t="n">
        <f aca="false">(IF(E147=0,0,(Upgrades!$G$6+E147*Upgrades!$H$6)*POWER(Upgrades!$I$6,E147)))*(IF(Upgrades!$T$7="Solar Wind",POWER(Upgrades!$U$7,F147),1)*IF(Upgrades!$T$8="Solar Wind",POWER(Upgrades!$U$8,G147),1)*IF(Upgrades!$T$9="Solar Wind",POWER(Upgrades!$U$9,H147),1)*IF(Upgrades!$T$10="Solar Wind",POWER(Upgrades!$U$10,I147),1)*IF(Upgrades!$T$11="Solar Wind",POWER(Upgrades!$U$11,J147),1)*IF(Upgrades!$T$12="Solar Wind",POWER(Upgrades!$U$12,K147),1))*POWER(Upgrades!$P$6,E147)*POWER(Upgrades!$P$7,F147)*POWER(Upgrades!$P$8,G147)*POWER(Upgrades!$P$9,H147)*POWER(Upgrades!$P$10,I147)*POWER(Upgrades!$P$11,J147)*POWER(Upgrades!$P$12,K147)*60</f>
        <v>72</v>
      </c>
      <c r="AB147" s="27" t="n">
        <f aca="false">(IF(F147=0,0,(Upgrades!$G$7+F147*Upgrades!$H$7)*POWER(Upgrades!$I$7,F147)))*(IF(Upgrades!$T$6="Asteroid Belt",POWER(Upgrades!$U$6,E147),1)*IF(Upgrades!$T$8="Asteroid Belt",POWER(Upgrades!$U$8,G147),1)*IF(Upgrades!$T$9="Asteroid Belt",POWER(Upgrades!$U$9,H147),1)*IF(Upgrades!$T$10="Asteroid Belt",POWER(Upgrades!$U$10,I147),1)*IF(Upgrades!$T$11="Asteroid Belt",POWER(Upgrades!$U$11,J147),1)*IF(Upgrades!$T$12="Asteroid Belt",POWER(Upgrades!$U$12,K147),1))*POWER(Upgrades!$P$6,E147)*POWER(Upgrades!$P$7,F147)*POWER(Upgrades!$P$8,G147)*POWER(Upgrades!$P$9,H147)*POWER(Upgrades!$P$10,I147)*POWER(Upgrades!$P$11,J147)*POWER(Upgrades!$P$12,K147)*60</f>
        <v>150</v>
      </c>
      <c r="AC147" s="27" t="n">
        <f aca="false">(IF(G147=0,0,(Upgrades!$J$8+G147*Upgrades!$K$8)*POWER(Upgrades!$L$8,G147)))*(IF(Upgrades!$T$6="Stellar Coupling",POWER(Upgrades!$U$6,E147),1)*IF(Upgrades!$T$7="Stellar Coupling",POWER(Upgrades!$U$7,F147),1)*IF(Upgrades!$T$9="Stellar Coupling",POWER(Upgrades!$U$9,H147),1)*IF(Upgrades!$T$10="Stellar Coupling",POWER(Upgrades!$U$10,I147),1)*IF(Upgrades!$T$11="Stellar Coupling",POWER(Upgrades!$U$11,J147),1)*IF(Upgrades!$T$12="Stellar Coupling",POWER(Upgrades!$U$12,K147),1))*POWER(Upgrades!$Q$6,E147)*POWER(Upgrades!$Q$7,F147)*POWER(Upgrades!$Q$8,G147)*POWER(Upgrades!$Q$9,H147)*POWER(Upgrades!$Q$10,I147)*POWER(Upgrades!$Q$11,J147)*POWER(Upgrades!$Q$12,K147)*Parameters!$B$10*Parameters!$B$11</f>
        <v>441</v>
      </c>
      <c r="AD147" s="27" t="n">
        <f aca="false">(IF(H147=0,0,(Upgrades!$G$9+H147*Upgrades!$H$9)*POWER(Upgrades!$I$9,H147)))*(IF(Upgrades!$T$6="Magnetosphere",POWER(Upgrades!$U$6,E147),1)*IF(Upgrades!$T$7="Magnetosphere",POWER(Upgrades!$U$7,F147),1)*IF(Upgrades!$T$8="Magnetosphere",POWER(Upgrades!$U$8,G147),1)*IF(Upgrades!$T$10="Magnetosphere",POWER(Upgrades!$U$10,I147),1)*IF(Upgrades!$T$11="Magnetosphere",POWER(Upgrades!$U$11,J147),1)*IF(Upgrades!$T$12="Magnetosphere",POWER(Upgrades!$U$12,K147),1))*POWER(Upgrades!$P$6,E147)*POWER(Upgrades!$P$7,F147)*POWER(Upgrades!$P$8,G147)*POWER(Upgrades!$P$9,H147)*POWER(Upgrades!$P$10,I147)*POWER(Upgrades!$P$11,J147)*POWER(Upgrades!$P$12,K147)*60</f>
        <v>375</v>
      </c>
      <c r="AE147" s="27" t="n">
        <f aca="false">(IF(K147=0,0,(Upgrades!$G$12+K147*Upgrades!$H$12)*POWER(Upgrades!$I$12,K147)))*(IF(Upgrades!$T$6="First Photons",POWER(Upgrades!$U$6,E147),1)*IF(Upgrades!$T$7="First Photons",POWER(Upgrades!$U$7,F147),1)*IF(Upgrades!$T$8="First Photons",POWER(Upgrades!$U$8,G147),1)*IF(Upgrades!$T$9="First Photons",POWER(Upgrades!$U$9,H147),1)*IF(Upgrades!$T$10="First Photons",POWER(Upgrades!$U$10,I147),1)*IF(Upgrades!$T$11="First Photons",POWER(Upgrades!$U$11,J147),1))*POWER(Upgrades!$P$6,E147)*POWER(Upgrades!$P$7,F147)*POWER(Upgrades!$P$8,G147)*POWER(Upgrades!$P$9,H147)*POWER(Upgrades!$P$10,I147)*POWER(Upgrades!$P$11,J147)*POWER(Upgrades!$P$12,K147)*60</f>
        <v>75</v>
      </c>
      <c r="AF147" s="27" t="n">
        <f aca="false">Parameters!$B$9*POWER(Upgrades!$Q$6,E147)*POWER(Upgrades!$Q$7,F147)*POWER(Upgrades!$Q$8,G147)*POWER(Upgrades!$Q$9,H147)*POWER(Upgrades!$Q$10,I147)*POWER(Upgrades!$Q$11,J147)*POWER(Upgrades!$Q$12,K147)*(Parameters!$B$10*Parameters!$B$11+O147*60)</f>
        <v>120</v>
      </c>
      <c r="AG147" s="21" t="n">
        <f aca="false">IF(E147&gt;=Upgrades!$E$6,"",Upgrades!$C$6*POWER(Upgrades!$D$6,E147))</f>
        <v>37.4517507383159</v>
      </c>
      <c r="AH147" s="21" t="n">
        <f aca="false">IF(F147&gt;=Upgrades!$E$7,"",Upgrades!$C$7*POWER(Upgrades!$D$7,F147))</f>
        <v>80.9111547141581</v>
      </c>
      <c r="AI147" s="21" t="n">
        <f aca="false">IF(G147&gt;=Upgrades!$E$8,"",Upgrades!$C$8*POWER(Upgrades!$D$8,G147))</f>
        <v>231.9097088</v>
      </c>
      <c r="AJ147" s="21" t="str">
        <f aca="false">IF(H147&gt;=Upgrades!$E$9,"",Upgrades!$C$9*POWER(Upgrades!$D$9,H147))</f>
        <v/>
      </c>
      <c r="AK147" s="21" t="str">
        <f aca="false">IF(I147&gt;=Upgrades!$E$10,"",Upgrades!$C$10*POWER(Upgrades!$D$10,I147))</f>
        <v/>
      </c>
      <c r="AL147" s="21" t="str">
        <f aca="false">IF(J147&gt;=Upgrades!$E$11,"",Upgrades!$C$11*POWER(Upgrades!$D$11,J147))</f>
        <v/>
      </c>
      <c r="AM147" s="21" t="str">
        <f aca="false">IF(K147&gt;=Upgrades!$E$12,"",Upgrades!$C$12*POWER(Upgrades!$D$12,K147))</f>
        <v/>
      </c>
      <c r="AN147" s="26" t="str">
        <f aca="false">IF(AND(D147&gt;=Parameters!$B$18,(H147&gt;=Upgrades!$E$9)*(K147&gt;=Upgrades!$E$12)=1,L147=0),1,"")</f>
        <v/>
      </c>
      <c r="AO147" s="26" t="str">
        <f aca="false">IF(AND(D147&gt;=Parameters!$B$18,L147=0),1,"")</f>
        <v/>
      </c>
      <c r="AP147" s="21" t="n">
        <f aca="false">MIN(IF(ISNUMBER(AK147),AK147,9000000000000000),IF(ISNUMBER(AL147),AL147,9000000000000000),IF(ISNUMBER(AM147),AM147,9000000000000000))</f>
        <v>9000000000000000</v>
      </c>
      <c r="AQ147" s="21" t="n">
        <f aca="false">MIN(IF(ISNUMBER(AG147),AG147,9000000000000000),IF(ISNUMBER(AH147),AH147,9000000000000000),IF(ISNUMBER(AI147),AI147,9000000000000000),IF(ISNUMBER(AJ147),AJ147,9000000000000000))</f>
        <v>37.4517507383159</v>
      </c>
      <c r="AR147" s="32" t="b">
        <f aca="false">IF(AW147&gt;Parameters!$B$21*(MAX(IF(AND(NOT(AND(AO147=1,AN147&lt;&gt;1)),ISNUMBER(AG147),AG147&lt;=T147),AS147,0),IF(AND(NOT(AND(AO147=1,AN147&lt;&gt;1)),ISNUMBER(AH147),AH147&lt;=T147),AT147,0),IF(AND(NOT(AND(AO147=1,AN147&lt;&gt;1)),ISNUMBER(AI147),AI147&lt;=T147),AU147,0),IF(AND(ISNUMBER(AJ147),AJ147&lt;=T147),AV147,0))),TRUE(),FALSE())</f>
        <v>1</v>
      </c>
      <c r="AS147" s="33" t="n">
        <f aca="false">IFERROR(Upgrades!$H$6*(POWER(Upgrades!$P$6,E147)*POWER(Upgrades!$P$7,F147)*POWER(Upgrades!$P$8,G147)*POWER(Upgrades!$P$9,H147)*POWER(Upgrades!$P$10,I147)*POWER(Upgrades!$P$11,J147)*POWER(Upgrades!$P$12,K147))*(IF(Upgrades!$T$7="Solar Wind",POWER(Upgrades!$U$7,F147),1)*IF(Upgrades!$T$8="Solar Wind",POWER(Upgrades!$U$8,G147),1)*IF(Upgrades!$T$9="Solar Wind",POWER(Upgrades!$U$9,H147),1)*IF(Upgrades!$T$10="Solar Wind",POWER(Upgrades!$U$10,I147),1)*IF(Upgrades!$T$11="Solar Wind",POWER(Upgrades!$U$11,J147),1)*IF(Upgrades!$T$12="Solar Wind",POWER(Upgrades!$U$12,K147),1))/AG147,0)</f>
        <v>0.0026701021455238</v>
      </c>
      <c r="AT147" s="33" t="n">
        <f aca="false">IFERROR(Upgrades!$H$7*(POWER(Upgrades!$P$6,E147)*POWER(Upgrades!$P$7,F147)*POWER(Upgrades!$P$8,G147)*POWER(Upgrades!$P$9,H147)*POWER(Upgrades!$P$10,I147)*POWER(Upgrades!$P$11,J147)*POWER(Upgrades!$P$12,K147))*(IF(Upgrades!$T$6="Asteroid Belt",POWER(Upgrades!$U$6,E147),1)*IF(Upgrades!$T$8="Asteroid Belt",POWER(Upgrades!$U$8,G147),1)*IF(Upgrades!$T$9="Asteroid Belt",POWER(Upgrades!$U$9,H147),1)*IF(Upgrades!$T$10="Asteroid Belt",POWER(Upgrades!$U$10,I147),1)*IF(Upgrades!$T$11="Asteroid Belt",POWER(Upgrades!$U$11,J147),1)*IF(Upgrades!$T$12="Asteroid Belt",POWER(Upgrades!$U$12,K147),1))/AH147,0)</f>
        <v>0.00308980882652332</v>
      </c>
      <c r="AU147" s="33" t="n">
        <f aca="false">IFERROR(Upgrades!$K$8*(POWER(Upgrades!$Q$6,E147)*POWER(Upgrades!$Q$7,F147)*POWER(Upgrades!$Q$8,G147)*POWER(Upgrades!$Q$9,H147)*POWER(Upgrades!$Q$10,I147)*POWER(Upgrades!$Q$11,J147)*POWER(Upgrades!$Q$12,K147))*(IF(Upgrades!$T$6="Stellar Coupling",POWER(Upgrades!$U$6,E147),1)*IF(Upgrades!$T$7="Stellar Coupling",POWER(Upgrades!$U$7,F147),1)*IF(Upgrades!$T$9="Stellar Coupling",POWER(Upgrades!$U$9,H147),1)*IF(Upgrades!$T$10="Stellar Coupling",POWER(Upgrades!$U$10,I147),1)*IF(Upgrades!$T$11="Stellar Coupling",POWER(Upgrades!$U$11,J147),1)*IF(Upgrades!$T$12="Stellar Coupling",POWER(Upgrades!$U$12,K147),1))*Parameters!$B$10*Parameters!$B$11/60/AI147,0)</f>
        <v>0.00452762415783776</v>
      </c>
      <c r="AV147" s="33" t="n">
        <f aca="false">IFERROR(Upgrades!$H$9*(POWER(Upgrades!$P$6,E147)*POWER(Upgrades!$P$7,F147)*POWER(Upgrades!$P$8,G147)*POWER(Upgrades!$P$9,H147)*POWER(Upgrades!$P$10,I147)*POWER(Upgrades!$P$11,J147)*POWER(Upgrades!$P$12,K147))*(IF(Upgrades!$T$6="Magnetosphere",POWER(Upgrades!$U$6,E147),1)*IF(Upgrades!$T$7="Magnetosphere",POWER(Upgrades!$U$7,F147),1)*IF(Upgrades!$T$8="Magnetosphere",POWER(Upgrades!$U$8,G147),1)*IF(Upgrades!$T$10="Magnetosphere",POWER(Upgrades!$U$10,I147),1)*IF(Upgrades!$T$11="Magnetosphere",POWER(Upgrades!$U$11,J147),1)*IF(Upgrades!$T$12="Magnetosphere",POWER(Upgrades!$U$12,K147),1))/AJ147,0)</f>
        <v>0</v>
      </c>
      <c r="AW147" s="33" t="n">
        <f aca="false">MAX(IF(I147&gt;0,0,IFERROR(0.25*N147/Upgrades!$C$10,0)),IF(J147&gt;0,0,IFERROR(0.5*((IF(G147=0,0,(Upgrades!$J$8+G147*Upgrades!$K$8)*POWER(Upgrades!$L$8,G147)))*(IF(Upgrades!$T$6="Stellar Coupling",POWER(Upgrades!$U$6,E147),1)*IF(Upgrades!$T$7="Stellar Coupling",POWER(Upgrades!$U$7,F147),1)*IF(Upgrades!$T$9="Stellar Coupling",POWER(Upgrades!$U$9,H147),1)*IF(Upgrades!$T$10="Stellar Coupling",POWER(Upgrades!$U$10,I147),1)*IF(Upgrades!$T$11="Stellar Coupling",POWER(Upgrades!$U$11,J147),1)*IF(Upgrades!$T$12="Stellar Coupling",POWER(Upgrades!$U$12,K147),1))*(POWER(Upgrades!$Q$6,E147)*POWER(Upgrades!$Q$7,F147)*POWER(Upgrades!$Q$8,G147)*POWER(Upgrades!$Q$9,H147)*POWER(Upgrades!$Q$10,I147)*POWER(Upgrades!$Q$11,J147)*POWER(Upgrades!$Q$12,K147))*Parameters!$B$10*Parameters!$B$11/60)/Upgrades!$C$11,0)),IF(K147&gt;0,0,IFERROR((1*(POWER(Upgrades!$P$6,E147)*POWER(Upgrades!$P$7,F147)*POWER(Upgrades!$P$8,G147)*POWER(Upgrades!$P$9,H147)*POWER(Upgrades!$P$10,I147)*POWER(Upgrades!$P$11,J147)*POWER(Upgrades!$P$12,K147))+0.2*M147*Parameters!$B$10*Parameters!$B$11/60)/Upgrades!$C$12,0)),IF(AND(ISNUMBER(AG147),AG147&gt;T147),AS147,0),IF(AND(ISNUMBER(AH147),AH147&gt;T147),AT147,0),IF(AND(ISNUMBER(AI147),AI147&gt;T147),AU147,0),IF(AND(ISNUMBER(AJ147),AJ147&gt;T147),AV147,0))</f>
        <v>0.00452762415783776</v>
      </c>
      <c r="AX147" s="29" t="str">
        <f aca="false">IF(AN147=1,"transition",IF(MIN(IF(AND(I147=0,ISNUMBER(AK147),AK147&lt;=T147),AK147,9000000000000000),IF(AND(J147=0,ISNUMBER(AL147),AL147&lt;=T147),AL147,9000000000000000),IF(AND(K147=0,ISNUMBER(AM147),AM147&lt;=T147),AM147,9000000000000000))&lt;9000000000000000,IF(AND(AND(I147=0,ISNUMBER(AK147),AK147&lt;=T147),AK147=MIN(IF(AND(I147=0,ISNUMBER(AK147),AK147&lt;=T147),AK147,9000000000000000),IF(AND(J147=0,ISNUMBER(AL147),AL147&lt;=T147),AL147,9000000000000000),IF(AND(K147=0,ISNUMBER(AM147),AM147&lt;=T147),AM147,9000000000000000))),"OR",IF(AND(AND(J147=0,ISNUMBER(AL147),AL147&lt;=T147),AL147=MIN(IF(AND(I147=0,ISNUMBER(AK147),AK147&lt;=T147),AK147,9000000000000000),IF(AND(J147=0,ISNUMBER(AL147),AL147&lt;=T147),AL147,9000000000000000),IF(AND(K147=0,ISNUMBER(AM147),AM147&lt;=T147),AM147,9000000000000000))),"HP","FP")),IF(AR147=TRUE(),"",IF(MAX(IF(AND(NOT(AND(AO147=1,AN147&lt;&gt;1)),ISNUMBER(AG147),AG147&lt;=T147),AS147,0),IF(AND(NOT(AND(AO147=1,AN147&lt;&gt;1)),ISNUMBER(AH147),AH147&lt;=T147),AT147,0),IF(AND(NOT(AND(AO147=1,AN147&lt;&gt;1)),ISNUMBER(AI147),AI147&lt;=T147),AU147,0),IF(AND(ISNUMBER(AJ147),AJ147&lt;=T147),AV147,0))&lt;=0,"",IF(AND(IF(AND(NOT(AND(AO147=1,AN147&lt;&gt;1)),ISNUMBER(AG147),AG147&lt;=T147),AS147,0)&gt;0,IF(AND(NOT(AND(AO147=1,AN147&lt;&gt;1)),ISNUMBER(AG147),AG147&lt;=T147),AS147,0)=MAX(IF(AND(NOT(AND(AO147=1,AN147&lt;&gt;1)),ISNUMBER(AG147),AG147&lt;=T147),AS147,0),IF(AND(NOT(AND(AO147=1,AN147&lt;&gt;1)),ISNUMBER(AH147),AH147&lt;=T147),AT147,0),IF(AND(NOT(AND(AO147=1,AN147&lt;&gt;1)),ISNUMBER(AI147),AI147&lt;=T147),AU147,0),IF(AND(ISNUMBER(AJ147),AJ147&lt;=T147),AV147,0))),"SW",IF(AND(IF(AND(NOT(AND(AO147=1,AN147&lt;&gt;1)),ISNUMBER(AH147),AH147&lt;=T147),AT147,0)&gt;0,IF(AND(NOT(AND(AO147=1,AN147&lt;&gt;1)),ISNUMBER(AH147),AH147&lt;=T147),AT147,0)=MAX(IF(AND(NOT(AND(AO147=1,AN147&lt;&gt;1)),ISNUMBER(AG147),AG147&lt;=T147),AS147,0),IF(AND(NOT(AND(AO147=1,AN147&lt;&gt;1)),ISNUMBER(AH147),AH147&lt;=T147),AT147,0),IF(AND(NOT(AND(AO147=1,AN147&lt;&gt;1)),ISNUMBER(AI147),AI147&lt;=T147),AU147,0),IF(AND(ISNUMBER(AJ147),AJ147&lt;=T147),AV147,0))),"AB",IF(AND(IF(AND(NOT(AND(AO147=1,AN147&lt;&gt;1)),ISNUMBER(AI147),AI147&lt;=T147),AU147,0)&gt;0,IF(AND(NOT(AND(AO147=1,AN147&lt;&gt;1)),ISNUMBER(AI147),AI147&lt;=T147),AU147,0)=MAX(IF(AND(NOT(AND(AO147=1,AN147&lt;&gt;1)),ISNUMBER(AG147),AG147&lt;=T147),AS147,0),IF(AND(NOT(AND(AO147=1,AN147&lt;&gt;1)),ISNUMBER(AH147),AH147&lt;=T147),AT147,0),IF(AND(NOT(AND(AO147=1,AN147&lt;&gt;1)),ISNUMBER(AI147),AI147&lt;=T147),AU147,0),IF(AND(ISNUMBER(AJ147),AJ147&lt;=T147),AV147,0))),"SC","Mag")))))))</f>
        <v/>
      </c>
    </row>
    <row r="148" customFormat="false" ht="15" hidden="false" customHeight="false" outlineLevel="0" collapsed="false">
      <c r="A148" s="26" t="n">
        <v>143</v>
      </c>
      <c r="B148" s="27" t="n">
        <f aca="false">A148*10/60</f>
        <v>23.8333333333333</v>
      </c>
      <c r="C148" s="21" t="n">
        <f aca="false">X147</f>
        <v>18.6730249835055</v>
      </c>
      <c r="D148" s="27" t="n">
        <f aca="false">D147+W147</f>
        <v>0</v>
      </c>
      <c r="E148" s="26" t="n">
        <f aca="false">E147+IF(U147="SW",1,0)</f>
        <v>12</v>
      </c>
      <c r="F148" s="26" t="n">
        <f aca="false">F147+IF(U147="AB",1,0)</f>
        <v>10</v>
      </c>
      <c r="G148" s="26" t="n">
        <f aca="false">G147+IF(U147="SC",1,0)</f>
        <v>7</v>
      </c>
      <c r="H148" s="26" t="n">
        <f aca="false">H147+IF(U147="Mag",1,0)</f>
        <v>5</v>
      </c>
      <c r="I148" s="26" t="n">
        <f aca="false">MAX(I147,IF(U147="OR",1,0))</f>
        <v>1</v>
      </c>
      <c r="J148" s="26" t="n">
        <f aca="false">MAX(J147,IF(U147="HP",1,0))</f>
        <v>1</v>
      </c>
      <c r="K148" s="26" t="n">
        <f aca="false">MAX(K147,IF(U147="FP",1,0))</f>
        <v>1</v>
      </c>
      <c r="L148" s="26" t="n">
        <f aca="false">MAX(L147,IF(U147="transition",1,0))</f>
        <v>1</v>
      </c>
      <c r="M148" s="28" t="n">
        <f aca="false">(Parameters!$B$9+(IF(E148=0,0,(Upgrades!$J$6+E148*Upgrades!$K$6)*POWER(Upgrades!$L$6,E148)))*(IF(Upgrades!$T$7="Solar Wind",POWER(Upgrades!$U$7,F148),1)*IF(Upgrades!$T$8="Solar Wind",POWER(Upgrades!$U$8,G148),1)*IF(Upgrades!$T$9="Solar Wind",POWER(Upgrades!$U$9,H148),1)*IF(Upgrades!$T$10="Solar Wind",POWER(Upgrades!$U$10,I148),1)*IF(Upgrades!$T$11="Solar Wind",POWER(Upgrades!$U$11,J148),1)*IF(Upgrades!$T$12="Solar Wind",POWER(Upgrades!$U$12,K148),1))+(IF(F148=0,0,(Upgrades!$J$7+F148*Upgrades!$K$7)*POWER(Upgrades!$L$7,F148)))*(IF(Upgrades!$T$6="Asteroid Belt",POWER(Upgrades!$U$6,E148),1)*IF(Upgrades!$T$8="Asteroid Belt",POWER(Upgrades!$U$8,G148),1)*IF(Upgrades!$T$9="Asteroid Belt",POWER(Upgrades!$U$9,H148),1)*IF(Upgrades!$T$10="Asteroid Belt",POWER(Upgrades!$U$10,I148),1)*IF(Upgrades!$T$11="Asteroid Belt",POWER(Upgrades!$U$11,J148),1)*IF(Upgrades!$T$12="Asteroid Belt",POWER(Upgrades!$U$12,K148),1))+(IF(G148=0,0,(Upgrades!$J$8+G148*Upgrades!$K$8)*POWER(Upgrades!$L$8,G148)))*(IF(Upgrades!$T$6="Stellar Coupling",POWER(Upgrades!$U$6,E148),1)*IF(Upgrades!$T$7="Stellar Coupling",POWER(Upgrades!$U$7,F148),1)*IF(Upgrades!$T$9="Stellar Coupling",POWER(Upgrades!$U$9,H148),1)*IF(Upgrades!$T$10="Stellar Coupling",POWER(Upgrades!$U$10,I148),1)*IF(Upgrades!$T$11="Stellar Coupling",POWER(Upgrades!$U$11,J148),1)*IF(Upgrades!$T$12="Stellar Coupling",POWER(Upgrades!$U$12,K148),1))+(IF(H148=0,0,(Upgrades!$J$9+H148*Upgrades!$K$9)*POWER(Upgrades!$L$9,H148)))*(IF(Upgrades!$T$6="Magnetosphere",POWER(Upgrades!$U$6,E148),1)*IF(Upgrades!$T$7="Magnetosphere",POWER(Upgrades!$U$7,F148),1)*IF(Upgrades!$T$8="Magnetosphere",POWER(Upgrades!$U$8,G148),1)*IF(Upgrades!$T$10="Magnetosphere",POWER(Upgrades!$U$10,I148),1)*IF(Upgrades!$T$11="Magnetosphere",POWER(Upgrades!$U$11,J148),1)*IF(Upgrades!$T$12="Magnetosphere",POWER(Upgrades!$U$12,K148),1))+(IF(I148=0,0,(Upgrades!$J$10+I148*Upgrades!$K$10)*POWER(Upgrades!$L$10,I148)))*(IF(Upgrades!$T$6="Orbital Resonance",POWER(Upgrades!$U$6,E148),1)*IF(Upgrades!$T$7="Orbital Resonance",POWER(Upgrades!$U$7,F148),1)*IF(Upgrades!$T$8="Orbital Resonance",POWER(Upgrades!$U$8,G148),1)*IF(Upgrades!$T$9="Orbital Resonance",POWER(Upgrades!$U$9,H148),1)*IF(Upgrades!$T$11="Orbital Resonance",POWER(Upgrades!$U$11,J148),1)*IF(Upgrades!$T$12="Orbital Resonance",POWER(Upgrades!$U$12,K148),1))+(IF(J148=0,0,(Upgrades!$J$11+J148*Upgrades!$K$11)*POWER(Upgrades!$L$11,J148)))*(IF(Upgrades!$T$6="Heliopause",POWER(Upgrades!$U$6,E148),1)*IF(Upgrades!$T$7="Heliopause",POWER(Upgrades!$U$7,F148),1)*IF(Upgrades!$T$8="Heliopause",POWER(Upgrades!$U$8,G148),1)*IF(Upgrades!$T$9="Heliopause",POWER(Upgrades!$U$9,H148),1)*IF(Upgrades!$T$10="Heliopause",POWER(Upgrades!$U$10,I148),1)*IF(Upgrades!$T$12="Heliopause",POWER(Upgrades!$U$12,K148),1))+(IF(K148=0,0,(Upgrades!$J$12+K148*Upgrades!$K$12)*POWER(Upgrades!$L$12,K148)))*(IF(Upgrades!$T$6="First Photons",POWER(Upgrades!$U$6,E148),1)*IF(Upgrades!$T$7="First Photons",POWER(Upgrades!$U$7,F148),1)*IF(Upgrades!$T$8="First Photons",POWER(Upgrades!$U$8,G148),1)*IF(Upgrades!$T$9="First Photons",POWER(Upgrades!$U$9,H148),1)*IF(Upgrades!$T$10="First Photons",POWER(Upgrades!$U$10,I148),1)*IF(Upgrades!$T$11="First Photons",POWER(Upgrades!$U$11,J148),1)))*POWER(Upgrades!$Q$6,E148)*POWER(Upgrades!$Q$7,F148)*POWER(Upgrades!$Q$8,G148)*POWER(Upgrades!$Q$9,H148)*POWER(Upgrades!$Q$10,I148)*POWER(Upgrades!$Q$11,J148)*POWER(Upgrades!$Q$12,K148)</f>
        <v>5.61</v>
      </c>
      <c r="N148" s="28" t="n">
        <f aca="false">((IF(E148=0,0,(Upgrades!$G$6+E148*Upgrades!$H$6)*POWER(Upgrades!$I$6,E148)))*(IF(Upgrades!$T$7="Solar Wind",POWER(Upgrades!$U$7,F148),1)*IF(Upgrades!$T$8="Solar Wind",POWER(Upgrades!$U$8,G148),1)*IF(Upgrades!$T$9="Solar Wind",POWER(Upgrades!$U$9,H148),1)*IF(Upgrades!$T$10="Solar Wind",POWER(Upgrades!$U$10,I148),1)*IF(Upgrades!$T$11="Solar Wind",POWER(Upgrades!$U$11,J148),1)*IF(Upgrades!$T$12="Solar Wind",POWER(Upgrades!$U$12,K148),1))+(IF(F148=0,0,(Upgrades!$G$7+F148*Upgrades!$H$7)*POWER(Upgrades!$I$7,F148)))*(IF(Upgrades!$T$6="Asteroid Belt",POWER(Upgrades!$U$6,E148),1)*IF(Upgrades!$T$8="Asteroid Belt",POWER(Upgrades!$U$8,G148),1)*IF(Upgrades!$T$9="Asteroid Belt",POWER(Upgrades!$U$9,H148),1)*IF(Upgrades!$T$10="Asteroid Belt",POWER(Upgrades!$U$10,I148),1)*IF(Upgrades!$T$11="Asteroid Belt",POWER(Upgrades!$U$11,J148),1)*IF(Upgrades!$T$12="Asteroid Belt",POWER(Upgrades!$U$12,K148),1))+(IF(G148=0,0,(Upgrades!$G$8+G148*Upgrades!$H$8)*POWER(Upgrades!$I$8,G148)))*(IF(Upgrades!$T$6="Stellar Coupling",POWER(Upgrades!$U$6,E148),1)*IF(Upgrades!$T$7="Stellar Coupling",POWER(Upgrades!$U$7,F148),1)*IF(Upgrades!$T$9="Stellar Coupling",POWER(Upgrades!$U$9,H148),1)*IF(Upgrades!$T$10="Stellar Coupling",POWER(Upgrades!$U$10,I148),1)*IF(Upgrades!$T$11="Stellar Coupling",POWER(Upgrades!$U$11,J148),1)*IF(Upgrades!$T$12="Stellar Coupling",POWER(Upgrades!$U$12,K148),1))+(IF(H148=0,0,(Upgrades!$G$9+H148*Upgrades!$H$9)*POWER(Upgrades!$I$9,H148)))*(IF(Upgrades!$T$6="Magnetosphere",POWER(Upgrades!$U$6,E148),1)*IF(Upgrades!$T$7="Magnetosphere",POWER(Upgrades!$U$7,F148),1)*IF(Upgrades!$T$8="Magnetosphere",POWER(Upgrades!$U$8,G148),1)*IF(Upgrades!$T$10="Magnetosphere",POWER(Upgrades!$U$10,I148),1)*IF(Upgrades!$T$11="Magnetosphere",POWER(Upgrades!$U$11,J148),1)*IF(Upgrades!$T$12="Magnetosphere",POWER(Upgrades!$U$12,K148),1))+(IF(I148=0,0,(Upgrades!$G$10+I148*Upgrades!$H$10)*POWER(Upgrades!$I$10,I148)))*(IF(Upgrades!$T$6="Orbital Resonance",POWER(Upgrades!$U$6,E148),1)*IF(Upgrades!$T$7="Orbital Resonance",POWER(Upgrades!$U$7,F148),1)*IF(Upgrades!$T$8="Orbital Resonance",POWER(Upgrades!$U$8,G148),1)*IF(Upgrades!$T$9="Orbital Resonance",POWER(Upgrades!$U$9,H148),1)*IF(Upgrades!$T$11="Orbital Resonance",POWER(Upgrades!$U$11,J148),1)*IF(Upgrades!$T$12="Orbital Resonance",POWER(Upgrades!$U$12,K148),1))+(IF(J148=0,0,(Upgrades!$G$11+J148*Upgrades!$H$11)*POWER(Upgrades!$I$11,J148)))*(IF(Upgrades!$T$6="Heliopause",POWER(Upgrades!$U$6,E148),1)*IF(Upgrades!$T$7="Heliopause",POWER(Upgrades!$U$7,F148),1)*IF(Upgrades!$T$8="Heliopause",POWER(Upgrades!$U$8,G148),1)*IF(Upgrades!$T$9="Heliopause",POWER(Upgrades!$U$9,H148),1)*IF(Upgrades!$T$10="Heliopause",POWER(Upgrades!$U$10,I148),1)*IF(Upgrades!$T$12="Heliopause",POWER(Upgrades!$U$12,K148),1))+(IF(K148=0,0,(Upgrades!$G$12+K148*Upgrades!$H$12)*POWER(Upgrades!$I$12,K148)))*(IF(Upgrades!$T$6="First Photons",POWER(Upgrades!$U$6,E148),1)*IF(Upgrades!$T$7="First Photons",POWER(Upgrades!$U$7,F148),1)*IF(Upgrades!$T$8="First Photons",POWER(Upgrades!$U$8,G148),1)*IF(Upgrades!$T$9="First Photons",POWER(Upgrades!$U$9,H148),1)*IF(Upgrades!$T$10="First Photons",POWER(Upgrades!$U$10,I148),1)*IF(Upgrades!$T$11="First Photons",POWER(Upgrades!$U$11,J148),1)))*POWER(Upgrades!$P$6,E148)*POWER(Upgrades!$P$7,F148)*POWER(Upgrades!$P$8,G148)*POWER(Upgrades!$P$9,H148)*POWER(Upgrades!$P$10,I148)*POWER(Upgrades!$P$11,J148)*POWER(Upgrades!$P$12,K148)</f>
        <v>11.2</v>
      </c>
      <c r="O148" s="28" t="n">
        <f aca="false">((IF(E148=0,0,(Upgrades!$M$6+E148*Upgrades!$N$6)*POWER(Upgrades!$O$6,E148)))*(IF(Upgrades!$T$7="Solar Wind",POWER(Upgrades!$U$7,F148),1)*IF(Upgrades!$T$8="Solar Wind",POWER(Upgrades!$U$8,G148),1)*IF(Upgrades!$T$9="Solar Wind",POWER(Upgrades!$U$9,H148),1)*IF(Upgrades!$T$10="Solar Wind",POWER(Upgrades!$U$10,I148),1)*IF(Upgrades!$T$11="Solar Wind",POWER(Upgrades!$U$11,J148),1)*IF(Upgrades!$T$12="Solar Wind",POWER(Upgrades!$U$12,K148),1))+(IF(F148=0,0,(Upgrades!$M$7+F148*Upgrades!$N$7)*POWER(Upgrades!$O$7,F148)))*(IF(Upgrades!$T$6="Asteroid Belt",POWER(Upgrades!$U$6,E148),1)*IF(Upgrades!$T$8="Asteroid Belt",POWER(Upgrades!$U$8,G148),1)*IF(Upgrades!$T$9="Asteroid Belt",POWER(Upgrades!$U$9,H148),1)*IF(Upgrades!$T$10="Asteroid Belt",POWER(Upgrades!$U$10,I148),1)*IF(Upgrades!$T$11="Asteroid Belt",POWER(Upgrades!$U$11,J148),1)*IF(Upgrades!$T$12="Asteroid Belt",POWER(Upgrades!$U$12,K148),1))+(IF(G148=0,0,(Upgrades!$M$8+G148*Upgrades!$N$8)*POWER(Upgrades!$O$8,G148)))*(IF(Upgrades!$T$6="Stellar Coupling",POWER(Upgrades!$U$6,E148),1)*IF(Upgrades!$T$7="Stellar Coupling",POWER(Upgrades!$U$7,F148),1)*IF(Upgrades!$T$9="Stellar Coupling",POWER(Upgrades!$U$9,H148),1)*IF(Upgrades!$T$10="Stellar Coupling",POWER(Upgrades!$U$10,I148),1)*IF(Upgrades!$T$11="Stellar Coupling",POWER(Upgrades!$U$11,J148),1)*IF(Upgrades!$T$12="Stellar Coupling",POWER(Upgrades!$U$12,K148),1))+(IF(H148=0,0,(Upgrades!$M$9+H148*Upgrades!$N$9)*POWER(Upgrades!$O$9,H148)))*(IF(Upgrades!$T$6="Magnetosphere",POWER(Upgrades!$U$6,E148),1)*IF(Upgrades!$T$7="Magnetosphere",POWER(Upgrades!$U$7,F148),1)*IF(Upgrades!$T$8="Magnetosphere",POWER(Upgrades!$U$8,G148),1)*IF(Upgrades!$T$10="Magnetosphere",POWER(Upgrades!$U$10,I148),1)*IF(Upgrades!$T$11="Magnetosphere",POWER(Upgrades!$U$11,J148),1)*IF(Upgrades!$T$12="Magnetosphere",POWER(Upgrades!$U$12,K148),1))+(IF(I148=0,0,(Upgrades!$M$10+I148*Upgrades!$N$10)*POWER(Upgrades!$O$10,I148)))*(IF(Upgrades!$T$6="Orbital Resonance",POWER(Upgrades!$U$6,E148),1)*IF(Upgrades!$T$7="Orbital Resonance",POWER(Upgrades!$U$7,F148),1)*IF(Upgrades!$T$8="Orbital Resonance",POWER(Upgrades!$U$8,G148),1)*IF(Upgrades!$T$9="Orbital Resonance",POWER(Upgrades!$U$9,H148),1)*IF(Upgrades!$T$11="Orbital Resonance",POWER(Upgrades!$U$11,J148),1)*IF(Upgrades!$T$12="Orbital Resonance",POWER(Upgrades!$U$12,K148),1))+(IF(J148=0,0,(Upgrades!$M$11+J148*Upgrades!$N$11)*POWER(Upgrades!$O$11,J148)))*(IF(Upgrades!$T$6="Heliopause",POWER(Upgrades!$U$6,E148),1)*IF(Upgrades!$T$7="Heliopause",POWER(Upgrades!$U$7,F148),1)*IF(Upgrades!$T$8="Heliopause",POWER(Upgrades!$U$8,G148),1)*IF(Upgrades!$T$9="Heliopause",POWER(Upgrades!$U$9,H148),1)*IF(Upgrades!$T$10="Heliopause",POWER(Upgrades!$U$10,I148),1)*IF(Upgrades!$T$12="Heliopause",POWER(Upgrades!$U$12,K148),1))+(IF(K148=0,0,(Upgrades!$M$12+K148*Upgrades!$N$12)*POWER(Upgrades!$O$12,K148)))*(IF(Upgrades!$T$6="First Photons",POWER(Upgrades!$U$6,E148),1)*IF(Upgrades!$T$7="First Photons",POWER(Upgrades!$U$7,F148),1)*IF(Upgrades!$T$8="First Photons",POWER(Upgrades!$U$8,G148),1)*IF(Upgrades!$T$9="First Photons",POWER(Upgrades!$U$9,H148),1)*IF(Upgrades!$T$10="First Photons",POWER(Upgrades!$U$10,I148),1)*IF(Upgrades!$T$11="First Photons",POWER(Upgrades!$U$11,J148),1)))*POWER(Upgrades!$R$6,E148)*POWER(Upgrades!$R$7,F148)*POWER(Upgrades!$R$8,G148)*POWER(Upgrades!$R$9,H148)*POWER(Upgrades!$R$10,I148)*POWER(Upgrades!$R$11,J148)*POWER(Upgrades!$R$12,K148)</f>
        <v>0</v>
      </c>
      <c r="P148" s="27" t="n">
        <f aca="false">IF(L148=1,0,M148*Parameters!$B$10/60*Parameters!$B$11*10)</f>
        <v>0</v>
      </c>
      <c r="Q148" s="27" t="n">
        <f aca="false">IF(L148=1,0,O148*M148*10)</f>
        <v>0</v>
      </c>
      <c r="R148" s="27" t="n">
        <f aca="false">IF(L148=1,0,N148*10)</f>
        <v>0</v>
      </c>
      <c r="S148" s="27" t="n">
        <f aca="false">P148+Q148+R148</f>
        <v>0</v>
      </c>
      <c r="T148" s="21" t="n">
        <f aca="false">C148+S148</f>
        <v>18.6730249835055</v>
      </c>
      <c r="U148" s="34" t="str">
        <f aca="false">AX148</f>
        <v/>
      </c>
      <c r="V148" s="21" t="n">
        <f aca="false">IF(U148="",0,IF(U148="transition",0,IF(U148="SW",AG148,IF(U148="AB",AH148,IF(U148="SC",AI148,IF(U148="Mag",AJ148,IF(U148="OR",AK148,IF(U148="HP",AL148,IF(U148="FP",AM148,0)))))))))</f>
        <v>0</v>
      </c>
      <c r="W148" s="27" t="n">
        <f aca="false">IF(U148="OR",Upgrades!$F$10,IF(U148="HP",Upgrades!$F$11,IF(U148="transition",-Parameters!$B$18,0)))</f>
        <v>0</v>
      </c>
      <c r="X148" s="21" t="n">
        <f aca="false">T148-V148</f>
        <v>18.6730249835055</v>
      </c>
      <c r="Y148" s="30" t="n">
        <f aca="false">M148*Parameters!$B$10/60*Parameters!$B$11+O148*M148+N148</f>
        <v>20.55</v>
      </c>
      <c r="Z148" s="35" t="str">
        <f aca="false">IF(U148="transition","→ Tier 2 (Stellar Neighborhood)",IF(U148="FP","First Photons — light begins, system quickens",IF(U148="HP","Heliopause acquired",IF(U148="OR","Orbital Resonance — passive multiplier active",IF(AND(AO148=1,L148=0,AN148&lt;&gt;1),"Cohesion ready (waiting on completionist upgrades)","")))))</f>
        <v/>
      </c>
      <c r="AA148" s="27" t="n">
        <f aca="false">(IF(E148=0,0,(Upgrades!$G$6+E148*Upgrades!$H$6)*POWER(Upgrades!$I$6,E148)))*(IF(Upgrades!$T$7="Solar Wind",POWER(Upgrades!$U$7,F148),1)*IF(Upgrades!$T$8="Solar Wind",POWER(Upgrades!$U$8,G148),1)*IF(Upgrades!$T$9="Solar Wind",POWER(Upgrades!$U$9,H148),1)*IF(Upgrades!$T$10="Solar Wind",POWER(Upgrades!$U$10,I148),1)*IF(Upgrades!$T$11="Solar Wind",POWER(Upgrades!$U$11,J148),1)*IF(Upgrades!$T$12="Solar Wind",POWER(Upgrades!$U$12,K148),1))*POWER(Upgrades!$P$6,E148)*POWER(Upgrades!$P$7,F148)*POWER(Upgrades!$P$8,G148)*POWER(Upgrades!$P$9,H148)*POWER(Upgrades!$P$10,I148)*POWER(Upgrades!$P$11,J148)*POWER(Upgrades!$P$12,K148)*60</f>
        <v>72</v>
      </c>
      <c r="AB148" s="27" t="n">
        <f aca="false">(IF(F148=0,0,(Upgrades!$G$7+F148*Upgrades!$H$7)*POWER(Upgrades!$I$7,F148)))*(IF(Upgrades!$T$6="Asteroid Belt",POWER(Upgrades!$U$6,E148),1)*IF(Upgrades!$T$8="Asteroid Belt",POWER(Upgrades!$U$8,G148),1)*IF(Upgrades!$T$9="Asteroid Belt",POWER(Upgrades!$U$9,H148),1)*IF(Upgrades!$T$10="Asteroid Belt",POWER(Upgrades!$U$10,I148),1)*IF(Upgrades!$T$11="Asteroid Belt",POWER(Upgrades!$U$11,J148),1)*IF(Upgrades!$T$12="Asteroid Belt",POWER(Upgrades!$U$12,K148),1))*POWER(Upgrades!$P$6,E148)*POWER(Upgrades!$P$7,F148)*POWER(Upgrades!$P$8,G148)*POWER(Upgrades!$P$9,H148)*POWER(Upgrades!$P$10,I148)*POWER(Upgrades!$P$11,J148)*POWER(Upgrades!$P$12,K148)*60</f>
        <v>150</v>
      </c>
      <c r="AC148" s="27" t="n">
        <f aca="false">(IF(G148=0,0,(Upgrades!$J$8+G148*Upgrades!$K$8)*POWER(Upgrades!$L$8,G148)))*(IF(Upgrades!$T$6="Stellar Coupling",POWER(Upgrades!$U$6,E148),1)*IF(Upgrades!$T$7="Stellar Coupling",POWER(Upgrades!$U$7,F148),1)*IF(Upgrades!$T$9="Stellar Coupling",POWER(Upgrades!$U$9,H148),1)*IF(Upgrades!$T$10="Stellar Coupling",POWER(Upgrades!$U$10,I148),1)*IF(Upgrades!$T$11="Stellar Coupling",POWER(Upgrades!$U$11,J148),1)*IF(Upgrades!$T$12="Stellar Coupling",POWER(Upgrades!$U$12,K148),1))*POWER(Upgrades!$Q$6,E148)*POWER(Upgrades!$Q$7,F148)*POWER(Upgrades!$Q$8,G148)*POWER(Upgrades!$Q$9,H148)*POWER(Upgrades!$Q$10,I148)*POWER(Upgrades!$Q$11,J148)*POWER(Upgrades!$Q$12,K148)*Parameters!$B$10*Parameters!$B$11</f>
        <v>441</v>
      </c>
      <c r="AD148" s="27" t="n">
        <f aca="false">(IF(H148=0,0,(Upgrades!$G$9+H148*Upgrades!$H$9)*POWER(Upgrades!$I$9,H148)))*(IF(Upgrades!$T$6="Magnetosphere",POWER(Upgrades!$U$6,E148),1)*IF(Upgrades!$T$7="Magnetosphere",POWER(Upgrades!$U$7,F148),1)*IF(Upgrades!$T$8="Magnetosphere",POWER(Upgrades!$U$8,G148),1)*IF(Upgrades!$T$10="Magnetosphere",POWER(Upgrades!$U$10,I148),1)*IF(Upgrades!$T$11="Magnetosphere",POWER(Upgrades!$U$11,J148),1)*IF(Upgrades!$T$12="Magnetosphere",POWER(Upgrades!$U$12,K148),1))*POWER(Upgrades!$P$6,E148)*POWER(Upgrades!$P$7,F148)*POWER(Upgrades!$P$8,G148)*POWER(Upgrades!$P$9,H148)*POWER(Upgrades!$P$10,I148)*POWER(Upgrades!$P$11,J148)*POWER(Upgrades!$P$12,K148)*60</f>
        <v>375</v>
      </c>
      <c r="AE148" s="27" t="n">
        <f aca="false">(IF(K148=0,0,(Upgrades!$G$12+K148*Upgrades!$H$12)*POWER(Upgrades!$I$12,K148)))*(IF(Upgrades!$T$6="First Photons",POWER(Upgrades!$U$6,E148),1)*IF(Upgrades!$T$7="First Photons",POWER(Upgrades!$U$7,F148),1)*IF(Upgrades!$T$8="First Photons",POWER(Upgrades!$U$8,G148),1)*IF(Upgrades!$T$9="First Photons",POWER(Upgrades!$U$9,H148),1)*IF(Upgrades!$T$10="First Photons",POWER(Upgrades!$U$10,I148),1)*IF(Upgrades!$T$11="First Photons",POWER(Upgrades!$U$11,J148),1))*POWER(Upgrades!$P$6,E148)*POWER(Upgrades!$P$7,F148)*POWER(Upgrades!$P$8,G148)*POWER(Upgrades!$P$9,H148)*POWER(Upgrades!$P$10,I148)*POWER(Upgrades!$P$11,J148)*POWER(Upgrades!$P$12,K148)*60</f>
        <v>75</v>
      </c>
      <c r="AF148" s="27" t="n">
        <f aca="false">Parameters!$B$9*POWER(Upgrades!$Q$6,E148)*POWER(Upgrades!$Q$7,F148)*POWER(Upgrades!$Q$8,G148)*POWER(Upgrades!$Q$9,H148)*POWER(Upgrades!$Q$10,I148)*POWER(Upgrades!$Q$11,J148)*POWER(Upgrades!$Q$12,K148)*(Parameters!$B$10*Parameters!$B$11+O148*60)</f>
        <v>120</v>
      </c>
      <c r="AG148" s="21" t="n">
        <f aca="false">IF(E148&gt;=Upgrades!$E$6,"",Upgrades!$C$6*POWER(Upgrades!$D$6,E148))</f>
        <v>37.4517507383159</v>
      </c>
      <c r="AH148" s="21" t="n">
        <f aca="false">IF(F148&gt;=Upgrades!$E$7,"",Upgrades!$C$7*POWER(Upgrades!$D$7,F148))</f>
        <v>80.9111547141581</v>
      </c>
      <c r="AI148" s="21" t="n">
        <f aca="false">IF(G148&gt;=Upgrades!$E$8,"",Upgrades!$C$8*POWER(Upgrades!$D$8,G148))</f>
        <v>231.9097088</v>
      </c>
      <c r="AJ148" s="21" t="str">
        <f aca="false">IF(H148&gt;=Upgrades!$E$9,"",Upgrades!$C$9*POWER(Upgrades!$D$9,H148))</f>
        <v/>
      </c>
      <c r="AK148" s="21" t="str">
        <f aca="false">IF(I148&gt;=Upgrades!$E$10,"",Upgrades!$C$10*POWER(Upgrades!$D$10,I148))</f>
        <v/>
      </c>
      <c r="AL148" s="21" t="str">
        <f aca="false">IF(J148&gt;=Upgrades!$E$11,"",Upgrades!$C$11*POWER(Upgrades!$D$11,J148))</f>
        <v/>
      </c>
      <c r="AM148" s="21" t="str">
        <f aca="false">IF(K148&gt;=Upgrades!$E$12,"",Upgrades!$C$12*POWER(Upgrades!$D$12,K148))</f>
        <v/>
      </c>
      <c r="AN148" s="26" t="str">
        <f aca="false">IF(AND(D148&gt;=Parameters!$B$18,(H148&gt;=Upgrades!$E$9)*(K148&gt;=Upgrades!$E$12)=1,L148=0),1,"")</f>
        <v/>
      </c>
      <c r="AO148" s="26" t="str">
        <f aca="false">IF(AND(D148&gt;=Parameters!$B$18,L148=0),1,"")</f>
        <v/>
      </c>
      <c r="AP148" s="21" t="n">
        <f aca="false">MIN(IF(ISNUMBER(AK148),AK148,9000000000000000),IF(ISNUMBER(AL148),AL148,9000000000000000),IF(ISNUMBER(AM148),AM148,9000000000000000))</f>
        <v>9000000000000000</v>
      </c>
      <c r="AQ148" s="21" t="n">
        <f aca="false">MIN(IF(ISNUMBER(AG148),AG148,9000000000000000),IF(ISNUMBER(AH148),AH148,9000000000000000),IF(ISNUMBER(AI148),AI148,9000000000000000),IF(ISNUMBER(AJ148),AJ148,9000000000000000))</f>
        <v>37.4517507383159</v>
      </c>
      <c r="AR148" s="32" t="b">
        <f aca="false">IF(AW148&gt;Parameters!$B$21*(MAX(IF(AND(NOT(AND(AO148=1,AN148&lt;&gt;1)),ISNUMBER(AG148),AG148&lt;=T148),AS148,0),IF(AND(NOT(AND(AO148=1,AN148&lt;&gt;1)),ISNUMBER(AH148),AH148&lt;=T148),AT148,0),IF(AND(NOT(AND(AO148=1,AN148&lt;&gt;1)),ISNUMBER(AI148),AI148&lt;=T148),AU148,0),IF(AND(ISNUMBER(AJ148),AJ148&lt;=T148),AV148,0))),TRUE(),FALSE())</f>
        <v>1</v>
      </c>
      <c r="AS148" s="33" t="n">
        <f aca="false">IFERROR(Upgrades!$H$6*(POWER(Upgrades!$P$6,E148)*POWER(Upgrades!$P$7,F148)*POWER(Upgrades!$P$8,G148)*POWER(Upgrades!$P$9,H148)*POWER(Upgrades!$P$10,I148)*POWER(Upgrades!$P$11,J148)*POWER(Upgrades!$P$12,K148))*(IF(Upgrades!$T$7="Solar Wind",POWER(Upgrades!$U$7,F148),1)*IF(Upgrades!$T$8="Solar Wind",POWER(Upgrades!$U$8,G148),1)*IF(Upgrades!$T$9="Solar Wind",POWER(Upgrades!$U$9,H148),1)*IF(Upgrades!$T$10="Solar Wind",POWER(Upgrades!$U$10,I148),1)*IF(Upgrades!$T$11="Solar Wind",POWER(Upgrades!$U$11,J148),1)*IF(Upgrades!$T$12="Solar Wind",POWER(Upgrades!$U$12,K148),1))/AG148,0)</f>
        <v>0.0026701021455238</v>
      </c>
      <c r="AT148" s="33" t="n">
        <f aca="false">IFERROR(Upgrades!$H$7*(POWER(Upgrades!$P$6,E148)*POWER(Upgrades!$P$7,F148)*POWER(Upgrades!$P$8,G148)*POWER(Upgrades!$P$9,H148)*POWER(Upgrades!$P$10,I148)*POWER(Upgrades!$P$11,J148)*POWER(Upgrades!$P$12,K148))*(IF(Upgrades!$T$6="Asteroid Belt",POWER(Upgrades!$U$6,E148),1)*IF(Upgrades!$T$8="Asteroid Belt",POWER(Upgrades!$U$8,G148),1)*IF(Upgrades!$T$9="Asteroid Belt",POWER(Upgrades!$U$9,H148),1)*IF(Upgrades!$T$10="Asteroid Belt",POWER(Upgrades!$U$10,I148),1)*IF(Upgrades!$T$11="Asteroid Belt",POWER(Upgrades!$U$11,J148),1)*IF(Upgrades!$T$12="Asteroid Belt",POWER(Upgrades!$U$12,K148),1))/AH148,0)</f>
        <v>0.00308980882652332</v>
      </c>
      <c r="AU148" s="33" t="n">
        <f aca="false">IFERROR(Upgrades!$K$8*(POWER(Upgrades!$Q$6,E148)*POWER(Upgrades!$Q$7,F148)*POWER(Upgrades!$Q$8,G148)*POWER(Upgrades!$Q$9,H148)*POWER(Upgrades!$Q$10,I148)*POWER(Upgrades!$Q$11,J148)*POWER(Upgrades!$Q$12,K148))*(IF(Upgrades!$T$6="Stellar Coupling",POWER(Upgrades!$U$6,E148),1)*IF(Upgrades!$T$7="Stellar Coupling",POWER(Upgrades!$U$7,F148),1)*IF(Upgrades!$T$9="Stellar Coupling",POWER(Upgrades!$U$9,H148),1)*IF(Upgrades!$T$10="Stellar Coupling",POWER(Upgrades!$U$10,I148),1)*IF(Upgrades!$T$11="Stellar Coupling",POWER(Upgrades!$U$11,J148),1)*IF(Upgrades!$T$12="Stellar Coupling",POWER(Upgrades!$U$12,K148),1))*Parameters!$B$10*Parameters!$B$11/60/AI148,0)</f>
        <v>0.00452762415783776</v>
      </c>
      <c r="AV148" s="33" t="n">
        <f aca="false">IFERROR(Upgrades!$H$9*(POWER(Upgrades!$P$6,E148)*POWER(Upgrades!$P$7,F148)*POWER(Upgrades!$P$8,G148)*POWER(Upgrades!$P$9,H148)*POWER(Upgrades!$P$10,I148)*POWER(Upgrades!$P$11,J148)*POWER(Upgrades!$P$12,K148))*(IF(Upgrades!$T$6="Magnetosphere",POWER(Upgrades!$U$6,E148),1)*IF(Upgrades!$T$7="Magnetosphere",POWER(Upgrades!$U$7,F148),1)*IF(Upgrades!$T$8="Magnetosphere",POWER(Upgrades!$U$8,G148),1)*IF(Upgrades!$T$10="Magnetosphere",POWER(Upgrades!$U$10,I148),1)*IF(Upgrades!$T$11="Magnetosphere",POWER(Upgrades!$U$11,J148),1)*IF(Upgrades!$T$12="Magnetosphere",POWER(Upgrades!$U$12,K148),1))/AJ148,0)</f>
        <v>0</v>
      </c>
      <c r="AW148" s="33" t="n">
        <f aca="false">MAX(IF(I148&gt;0,0,IFERROR(0.25*N148/Upgrades!$C$10,0)),IF(J148&gt;0,0,IFERROR(0.5*((IF(G148=0,0,(Upgrades!$J$8+G148*Upgrades!$K$8)*POWER(Upgrades!$L$8,G148)))*(IF(Upgrades!$T$6="Stellar Coupling",POWER(Upgrades!$U$6,E148),1)*IF(Upgrades!$T$7="Stellar Coupling",POWER(Upgrades!$U$7,F148),1)*IF(Upgrades!$T$9="Stellar Coupling",POWER(Upgrades!$U$9,H148),1)*IF(Upgrades!$T$10="Stellar Coupling",POWER(Upgrades!$U$10,I148),1)*IF(Upgrades!$T$11="Stellar Coupling",POWER(Upgrades!$U$11,J148),1)*IF(Upgrades!$T$12="Stellar Coupling",POWER(Upgrades!$U$12,K148),1))*(POWER(Upgrades!$Q$6,E148)*POWER(Upgrades!$Q$7,F148)*POWER(Upgrades!$Q$8,G148)*POWER(Upgrades!$Q$9,H148)*POWER(Upgrades!$Q$10,I148)*POWER(Upgrades!$Q$11,J148)*POWER(Upgrades!$Q$12,K148))*Parameters!$B$10*Parameters!$B$11/60)/Upgrades!$C$11,0)),IF(K148&gt;0,0,IFERROR((1*(POWER(Upgrades!$P$6,E148)*POWER(Upgrades!$P$7,F148)*POWER(Upgrades!$P$8,G148)*POWER(Upgrades!$P$9,H148)*POWER(Upgrades!$P$10,I148)*POWER(Upgrades!$P$11,J148)*POWER(Upgrades!$P$12,K148))+0.2*M148*Parameters!$B$10*Parameters!$B$11/60)/Upgrades!$C$12,0)),IF(AND(ISNUMBER(AG148),AG148&gt;T148),AS148,0),IF(AND(ISNUMBER(AH148),AH148&gt;T148),AT148,0),IF(AND(ISNUMBER(AI148),AI148&gt;T148),AU148,0),IF(AND(ISNUMBER(AJ148),AJ148&gt;T148),AV148,0))</f>
        <v>0.00452762415783776</v>
      </c>
      <c r="AX148" s="29" t="str">
        <f aca="false">IF(AN148=1,"transition",IF(MIN(IF(AND(I148=0,ISNUMBER(AK148),AK148&lt;=T148),AK148,9000000000000000),IF(AND(J148=0,ISNUMBER(AL148),AL148&lt;=T148),AL148,9000000000000000),IF(AND(K148=0,ISNUMBER(AM148),AM148&lt;=T148),AM148,9000000000000000))&lt;9000000000000000,IF(AND(AND(I148=0,ISNUMBER(AK148),AK148&lt;=T148),AK148=MIN(IF(AND(I148=0,ISNUMBER(AK148),AK148&lt;=T148),AK148,9000000000000000),IF(AND(J148=0,ISNUMBER(AL148),AL148&lt;=T148),AL148,9000000000000000),IF(AND(K148=0,ISNUMBER(AM148),AM148&lt;=T148),AM148,9000000000000000))),"OR",IF(AND(AND(J148=0,ISNUMBER(AL148),AL148&lt;=T148),AL148=MIN(IF(AND(I148=0,ISNUMBER(AK148),AK148&lt;=T148),AK148,9000000000000000),IF(AND(J148=0,ISNUMBER(AL148),AL148&lt;=T148),AL148,9000000000000000),IF(AND(K148=0,ISNUMBER(AM148),AM148&lt;=T148),AM148,9000000000000000))),"HP","FP")),IF(AR148=TRUE(),"",IF(MAX(IF(AND(NOT(AND(AO148=1,AN148&lt;&gt;1)),ISNUMBER(AG148),AG148&lt;=T148),AS148,0),IF(AND(NOT(AND(AO148=1,AN148&lt;&gt;1)),ISNUMBER(AH148),AH148&lt;=T148),AT148,0),IF(AND(NOT(AND(AO148=1,AN148&lt;&gt;1)),ISNUMBER(AI148),AI148&lt;=T148),AU148,0),IF(AND(ISNUMBER(AJ148),AJ148&lt;=T148),AV148,0))&lt;=0,"",IF(AND(IF(AND(NOT(AND(AO148=1,AN148&lt;&gt;1)),ISNUMBER(AG148),AG148&lt;=T148),AS148,0)&gt;0,IF(AND(NOT(AND(AO148=1,AN148&lt;&gt;1)),ISNUMBER(AG148),AG148&lt;=T148),AS148,0)=MAX(IF(AND(NOT(AND(AO148=1,AN148&lt;&gt;1)),ISNUMBER(AG148),AG148&lt;=T148),AS148,0),IF(AND(NOT(AND(AO148=1,AN148&lt;&gt;1)),ISNUMBER(AH148),AH148&lt;=T148),AT148,0),IF(AND(NOT(AND(AO148=1,AN148&lt;&gt;1)),ISNUMBER(AI148),AI148&lt;=T148),AU148,0),IF(AND(ISNUMBER(AJ148),AJ148&lt;=T148),AV148,0))),"SW",IF(AND(IF(AND(NOT(AND(AO148=1,AN148&lt;&gt;1)),ISNUMBER(AH148),AH148&lt;=T148),AT148,0)&gt;0,IF(AND(NOT(AND(AO148=1,AN148&lt;&gt;1)),ISNUMBER(AH148),AH148&lt;=T148),AT148,0)=MAX(IF(AND(NOT(AND(AO148=1,AN148&lt;&gt;1)),ISNUMBER(AG148),AG148&lt;=T148),AS148,0),IF(AND(NOT(AND(AO148=1,AN148&lt;&gt;1)),ISNUMBER(AH148),AH148&lt;=T148),AT148,0),IF(AND(NOT(AND(AO148=1,AN148&lt;&gt;1)),ISNUMBER(AI148),AI148&lt;=T148),AU148,0),IF(AND(ISNUMBER(AJ148),AJ148&lt;=T148),AV148,0))),"AB",IF(AND(IF(AND(NOT(AND(AO148=1,AN148&lt;&gt;1)),ISNUMBER(AI148),AI148&lt;=T148),AU148,0)&gt;0,IF(AND(NOT(AND(AO148=1,AN148&lt;&gt;1)),ISNUMBER(AI148),AI148&lt;=T148),AU148,0)=MAX(IF(AND(NOT(AND(AO148=1,AN148&lt;&gt;1)),ISNUMBER(AG148),AG148&lt;=T148),AS148,0),IF(AND(NOT(AND(AO148=1,AN148&lt;&gt;1)),ISNUMBER(AH148),AH148&lt;=T148),AT148,0),IF(AND(NOT(AND(AO148=1,AN148&lt;&gt;1)),ISNUMBER(AI148),AI148&lt;=T148),AU148,0),IF(AND(ISNUMBER(AJ148),AJ148&lt;=T148),AV148,0))),"SC","Mag")))))))</f>
        <v/>
      </c>
    </row>
    <row r="149" customFormat="false" ht="15" hidden="false" customHeight="false" outlineLevel="0" collapsed="false">
      <c r="A149" s="26" t="n">
        <v>144</v>
      </c>
      <c r="B149" s="27" t="n">
        <f aca="false">A149*10/60</f>
        <v>24</v>
      </c>
      <c r="C149" s="21" t="n">
        <f aca="false">X148</f>
        <v>18.6730249835055</v>
      </c>
      <c r="D149" s="27" t="n">
        <f aca="false">D148+W148</f>
        <v>0</v>
      </c>
      <c r="E149" s="26" t="n">
        <f aca="false">E148+IF(U148="SW",1,0)</f>
        <v>12</v>
      </c>
      <c r="F149" s="26" t="n">
        <f aca="false">F148+IF(U148="AB",1,0)</f>
        <v>10</v>
      </c>
      <c r="G149" s="26" t="n">
        <f aca="false">G148+IF(U148="SC",1,0)</f>
        <v>7</v>
      </c>
      <c r="H149" s="26" t="n">
        <f aca="false">H148+IF(U148="Mag",1,0)</f>
        <v>5</v>
      </c>
      <c r="I149" s="26" t="n">
        <f aca="false">MAX(I148,IF(U148="OR",1,0))</f>
        <v>1</v>
      </c>
      <c r="J149" s="26" t="n">
        <f aca="false">MAX(J148,IF(U148="HP",1,0))</f>
        <v>1</v>
      </c>
      <c r="K149" s="26" t="n">
        <f aca="false">MAX(K148,IF(U148="FP",1,0))</f>
        <v>1</v>
      </c>
      <c r="L149" s="26" t="n">
        <f aca="false">MAX(L148,IF(U148="transition",1,0))</f>
        <v>1</v>
      </c>
      <c r="M149" s="28" t="n">
        <f aca="false">(Parameters!$B$9+(IF(E149=0,0,(Upgrades!$J$6+E149*Upgrades!$K$6)*POWER(Upgrades!$L$6,E149)))*(IF(Upgrades!$T$7="Solar Wind",POWER(Upgrades!$U$7,F149),1)*IF(Upgrades!$T$8="Solar Wind",POWER(Upgrades!$U$8,G149),1)*IF(Upgrades!$T$9="Solar Wind",POWER(Upgrades!$U$9,H149),1)*IF(Upgrades!$T$10="Solar Wind",POWER(Upgrades!$U$10,I149),1)*IF(Upgrades!$T$11="Solar Wind",POWER(Upgrades!$U$11,J149),1)*IF(Upgrades!$T$12="Solar Wind",POWER(Upgrades!$U$12,K149),1))+(IF(F149=0,0,(Upgrades!$J$7+F149*Upgrades!$K$7)*POWER(Upgrades!$L$7,F149)))*(IF(Upgrades!$T$6="Asteroid Belt",POWER(Upgrades!$U$6,E149),1)*IF(Upgrades!$T$8="Asteroid Belt",POWER(Upgrades!$U$8,G149),1)*IF(Upgrades!$T$9="Asteroid Belt",POWER(Upgrades!$U$9,H149),1)*IF(Upgrades!$T$10="Asteroid Belt",POWER(Upgrades!$U$10,I149),1)*IF(Upgrades!$T$11="Asteroid Belt",POWER(Upgrades!$U$11,J149),1)*IF(Upgrades!$T$12="Asteroid Belt",POWER(Upgrades!$U$12,K149),1))+(IF(G149=0,0,(Upgrades!$J$8+G149*Upgrades!$K$8)*POWER(Upgrades!$L$8,G149)))*(IF(Upgrades!$T$6="Stellar Coupling",POWER(Upgrades!$U$6,E149),1)*IF(Upgrades!$T$7="Stellar Coupling",POWER(Upgrades!$U$7,F149),1)*IF(Upgrades!$T$9="Stellar Coupling",POWER(Upgrades!$U$9,H149),1)*IF(Upgrades!$T$10="Stellar Coupling",POWER(Upgrades!$U$10,I149),1)*IF(Upgrades!$T$11="Stellar Coupling",POWER(Upgrades!$U$11,J149),1)*IF(Upgrades!$T$12="Stellar Coupling",POWER(Upgrades!$U$12,K149),1))+(IF(H149=0,0,(Upgrades!$J$9+H149*Upgrades!$K$9)*POWER(Upgrades!$L$9,H149)))*(IF(Upgrades!$T$6="Magnetosphere",POWER(Upgrades!$U$6,E149),1)*IF(Upgrades!$T$7="Magnetosphere",POWER(Upgrades!$U$7,F149),1)*IF(Upgrades!$T$8="Magnetosphere",POWER(Upgrades!$U$8,G149),1)*IF(Upgrades!$T$10="Magnetosphere",POWER(Upgrades!$U$10,I149),1)*IF(Upgrades!$T$11="Magnetosphere",POWER(Upgrades!$U$11,J149),1)*IF(Upgrades!$T$12="Magnetosphere",POWER(Upgrades!$U$12,K149),1))+(IF(I149=0,0,(Upgrades!$J$10+I149*Upgrades!$K$10)*POWER(Upgrades!$L$10,I149)))*(IF(Upgrades!$T$6="Orbital Resonance",POWER(Upgrades!$U$6,E149),1)*IF(Upgrades!$T$7="Orbital Resonance",POWER(Upgrades!$U$7,F149),1)*IF(Upgrades!$T$8="Orbital Resonance",POWER(Upgrades!$U$8,G149),1)*IF(Upgrades!$T$9="Orbital Resonance",POWER(Upgrades!$U$9,H149),1)*IF(Upgrades!$T$11="Orbital Resonance",POWER(Upgrades!$U$11,J149),1)*IF(Upgrades!$T$12="Orbital Resonance",POWER(Upgrades!$U$12,K149),1))+(IF(J149=0,0,(Upgrades!$J$11+J149*Upgrades!$K$11)*POWER(Upgrades!$L$11,J149)))*(IF(Upgrades!$T$6="Heliopause",POWER(Upgrades!$U$6,E149),1)*IF(Upgrades!$T$7="Heliopause",POWER(Upgrades!$U$7,F149),1)*IF(Upgrades!$T$8="Heliopause",POWER(Upgrades!$U$8,G149),1)*IF(Upgrades!$T$9="Heliopause",POWER(Upgrades!$U$9,H149),1)*IF(Upgrades!$T$10="Heliopause",POWER(Upgrades!$U$10,I149),1)*IF(Upgrades!$T$12="Heliopause",POWER(Upgrades!$U$12,K149),1))+(IF(K149=0,0,(Upgrades!$J$12+K149*Upgrades!$K$12)*POWER(Upgrades!$L$12,K149)))*(IF(Upgrades!$T$6="First Photons",POWER(Upgrades!$U$6,E149),1)*IF(Upgrades!$T$7="First Photons",POWER(Upgrades!$U$7,F149),1)*IF(Upgrades!$T$8="First Photons",POWER(Upgrades!$U$8,G149),1)*IF(Upgrades!$T$9="First Photons",POWER(Upgrades!$U$9,H149),1)*IF(Upgrades!$T$10="First Photons",POWER(Upgrades!$U$10,I149),1)*IF(Upgrades!$T$11="First Photons",POWER(Upgrades!$U$11,J149),1)))*POWER(Upgrades!$Q$6,E149)*POWER(Upgrades!$Q$7,F149)*POWER(Upgrades!$Q$8,G149)*POWER(Upgrades!$Q$9,H149)*POWER(Upgrades!$Q$10,I149)*POWER(Upgrades!$Q$11,J149)*POWER(Upgrades!$Q$12,K149)</f>
        <v>5.61</v>
      </c>
      <c r="N149" s="28" t="n">
        <f aca="false">((IF(E149=0,0,(Upgrades!$G$6+E149*Upgrades!$H$6)*POWER(Upgrades!$I$6,E149)))*(IF(Upgrades!$T$7="Solar Wind",POWER(Upgrades!$U$7,F149),1)*IF(Upgrades!$T$8="Solar Wind",POWER(Upgrades!$U$8,G149),1)*IF(Upgrades!$T$9="Solar Wind",POWER(Upgrades!$U$9,H149),1)*IF(Upgrades!$T$10="Solar Wind",POWER(Upgrades!$U$10,I149),1)*IF(Upgrades!$T$11="Solar Wind",POWER(Upgrades!$U$11,J149),1)*IF(Upgrades!$T$12="Solar Wind",POWER(Upgrades!$U$12,K149),1))+(IF(F149=0,0,(Upgrades!$G$7+F149*Upgrades!$H$7)*POWER(Upgrades!$I$7,F149)))*(IF(Upgrades!$T$6="Asteroid Belt",POWER(Upgrades!$U$6,E149),1)*IF(Upgrades!$T$8="Asteroid Belt",POWER(Upgrades!$U$8,G149),1)*IF(Upgrades!$T$9="Asteroid Belt",POWER(Upgrades!$U$9,H149),1)*IF(Upgrades!$T$10="Asteroid Belt",POWER(Upgrades!$U$10,I149),1)*IF(Upgrades!$T$11="Asteroid Belt",POWER(Upgrades!$U$11,J149),1)*IF(Upgrades!$T$12="Asteroid Belt",POWER(Upgrades!$U$12,K149),1))+(IF(G149=0,0,(Upgrades!$G$8+G149*Upgrades!$H$8)*POWER(Upgrades!$I$8,G149)))*(IF(Upgrades!$T$6="Stellar Coupling",POWER(Upgrades!$U$6,E149),1)*IF(Upgrades!$T$7="Stellar Coupling",POWER(Upgrades!$U$7,F149),1)*IF(Upgrades!$T$9="Stellar Coupling",POWER(Upgrades!$U$9,H149),1)*IF(Upgrades!$T$10="Stellar Coupling",POWER(Upgrades!$U$10,I149),1)*IF(Upgrades!$T$11="Stellar Coupling",POWER(Upgrades!$U$11,J149),1)*IF(Upgrades!$T$12="Stellar Coupling",POWER(Upgrades!$U$12,K149),1))+(IF(H149=0,0,(Upgrades!$G$9+H149*Upgrades!$H$9)*POWER(Upgrades!$I$9,H149)))*(IF(Upgrades!$T$6="Magnetosphere",POWER(Upgrades!$U$6,E149),1)*IF(Upgrades!$T$7="Magnetosphere",POWER(Upgrades!$U$7,F149),1)*IF(Upgrades!$T$8="Magnetosphere",POWER(Upgrades!$U$8,G149),1)*IF(Upgrades!$T$10="Magnetosphere",POWER(Upgrades!$U$10,I149),1)*IF(Upgrades!$T$11="Magnetosphere",POWER(Upgrades!$U$11,J149),1)*IF(Upgrades!$T$12="Magnetosphere",POWER(Upgrades!$U$12,K149),1))+(IF(I149=0,0,(Upgrades!$G$10+I149*Upgrades!$H$10)*POWER(Upgrades!$I$10,I149)))*(IF(Upgrades!$T$6="Orbital Resonance",POWER(Upgrades!$U$6,E149),1)*IF(Upgrades!$T$7="Orbital Resonance",POWER(Upgrades!$U$7,F149),1)*IF(Upgrades!$T$8="Orbital Resonance",POWER(Upgrades!$U$8,G149),1)*IF(Upgrades!$T$9="Orbital Resonance",POWER(Upgrades!$U$9,H149),1)*IF(Upgrades!$T$11="Orbital Resonance",POWER(Upgrades!$U$11,J149),1)*IF(Upgrades!$T$12="Orbital Resonance",POWER(Upgrades!$U$12,K149),1))+(IF(J149=0,0,(Upgrades!$G$11+J149*Upgrades!$H$11)*POWER(Upgrades!$I$11,J149)))*(IF(Upgrades!$T$6="Heliopause",POWER(Upgrades!$U$6,E149),1)*IF(Upgrades!$T$7="Heliopause",POWER(Upgrades!$U$7,F149),1)*IF(Upgrades!$T$8="Heliopause",POWER(Upgrades!$U$8,G149),1)*IF(Upgrades!$T$9="Heliopause",POWER(Upgrades!$U$9,H149),1)*IF(Upgrades!$T$10="Heliopause",POWER(Upgrades!$U$10,I149),1)*IF(Upgrades!$T$12="Heliopause",POWER(Upgrades!$U$12,K149),1))+(IF(K149=0,0,(Upgrades!$G$12+K149*Upgrades!$H$12)*POWER(Upgrades!$I$12,K149)))*(IF(Upgrades!$T$6="First Photons",POWER(Upgrades!$U$6,E149),1)*IF(Upgrades!$T$7="First Photons",POWER(Upgrades!$U$7,F149),1)*IF(Upgrades!$T$8="First Photons",POWER(Upgrades!$U$8,G149),1)*IF(Upgrades!$T$9="First Photons",POWER(Upgrades!$U$9,H149),1)*IF(Upgrades!$T$10="First Photons",POWER(Upgrades!$U$10,I149),1)*IF(Upgrades!$T$11="First Photons",POWER(Upgrades!$U$11,J149),1)))*POWER(Upgrades!$P$6,E149)*POWER(Upgrades!$P$7,F149)*POWER(Upgrades!$P$8,G149)*POWER(Upgrades!$P$9,H149)*POWER(Upgrades!$P$10,I149)*POWER(Upgrades!$P$11,J149)*POWER(Upgrades!$P$12,K149)</f>
        <v>11.2</v>
      </c>
      <c r="O149" s="28" t="n">
        <f aca="false">((IF(E149=0,0,(Upgrades!$M$6+E149*Upgrades!$N$6)*POWER(Upgrades!$O$6,E149)))*(IF(Upgrades!$T$7="Solar Wind",POWER(Upgrades!$U$7,F149),1)*IF(Upgrades!$T$8="Solar Wind",POWER(Upgrades!$U$8,G149),1)*IF(Upgrades!$T$9="Solar Wind",POWER(Upgrades!$U$9,H149),1)*IF(Upgrades!$T$10="Solar Wind",POWER(Upgrades!$U$10,I149),1)*IF(Upgrades!$T$11="Solar Wind",POWER(Upgrades!$U$11,J149),1)*IF(Upgrades!$T$12="Solar Wind",POWER(Upgrades!$U$12,K149),1))+(IF(F149=0,0,(Upgrades!$M$7+F149*Upgrades!$N$7)*POWER(Upgrades!$O$7,F149)))*(IF(Upgrades!$T$6="Asteroid Belt",POWER(Upgrades!$U$6,E149),1)*IF(Upgrades!$T$8="Asteroid Belt",POWER(Upgrades!$U$8,G149),1)*IF(Upgrades!$T$9="Asteroid Belt",POWER(Upgrades!$U$9,H149),1)*IF(Upgrades!$T$10="Asteroid Belt",POWER(Upgrades!$U$10,I149),1)*IF(Upgrades!$T$11="Asteroid Belt",POWER(Upgrades!$U$11,J149),1)*IF(Upgrades!$T$12="Asteroid Belt",POWER(Upgrades!$U$12,K149),1))+(IF(G149=0,0,(Upgrades!$M$8+G149*Upgrades!$N$8)*POWER(Upgrades!$O$8,G149)))*(IF(Upgrades!$T$6="Stellar Coupling",POWER(Upgrades!$U$6,E149),1)*IF(Upgrades!$T$7="Stellar Coupling",POWER(Upgrades!$U$7,F149),1)*IF(Upgrades!$T$9="Stellar Coupling",POWER(Upgrades!$U$9,H149),1)*IF(Upgrades!$T$10="Stellar Coupling",POWER(Upgrades!$U$10,I149),1)*IF(Upgrades!$T$11="Stellar Coupling",POWER(Upgrades!$U$11,J149),1)*IF(Upgrades!$T$12="Stellar Coupling",POWER(Upgrades!$U$12,K149),1))+(IF(H149=0,0,(Upgrades!$M$9+H149*Upgrades!$N$9)*POWER(Upgrades!$O$9,H149)))*(IF(Upgrades!$T$6="Magnetosphere",POWER(Upgrades!$U$6,E149),1)*IF(Upgrades!$T$7="Magnetosphere",POWER(Upgrades!$U$7,F149),1)*IF(Upgrades!$T$8="Magnetosphere",POWER(Upgrades!$U$8,G149),1)*IF(Upgrades!$T$10="Magnetosphere",POWER(Upgrades!$U$10,I149),1)*IF(Upgrades!$T$11="Magnetosphere",POWER(Upgrades!$U$11,J149),1)*IF(Upgrades!$T$12="Magnetosphere",POWER(Upgrades!$U$12,K149),1))+(IF(I149=0,0,(Upgrades!$M$10+I149*Upgrades!$N$10)*POWER(Upgrades!$O$10,I149)))*(IF(Upgrades!$T$6="Orbital Resonance",POWER(Upgrades!$U$6,E149),1)*IF(Upgrades!$T$7="Orbital Resonance",POWER(Upgrades!$U$7,F149),1)*IF(Upgrades!$T$8="Orbital Resonance",POWER(Upgrades!$U$8,G149),1)*IF(Upgrades!$T$9="Orbital Resonance",POWER(Upgrades!$U$9,H149),1)*IF(Upgrades!$T$11="Orbital Resonance",POWER(Upgrades!$U$11,J149),1)*IF(Upgrades!$T$12="Orbital Resonance",POWER(Upgrades!$U$12,K149),1))+(IF(J149=0,0,(Upgrades!$M$11+J149*Upgrades!$N$11)*POWER(Upgrades!$O$11,J149)))*(IF(Upgrades!$T$6="Heliopause",POWER(Upgrades!$U$6,E149),1)*IF(Upgrades!$T$7="Heliopause",POWER(Upgrades!$U$7,F149),1)*IF(Upgrades!$T$8="Heliopause",POWER(Upgrades!$U$8,G149),1)*IF(Upgrades!$T$9="Heliopause",POWER(Upgrades!$U$9,H149),1)*IF(Upgrades!$T$10="Heliopause",POWER(Upgrades!$U$10,I149),1)*IF(Upgrades!$T$12="Heliopause",POWER(Upgrades!$U$12,K149),1))+(IF(K149=0,0,(Upgrades!$M$12+K149*Upgrades!$N$12)*POWER(Upgrades!$O$12,K149)))*(IF(Upgrades!$T$6="First Photons",POWER(Upgrades!$U$6,E149),1)*IF(Upgrades!$T$7="First Photons",POWER(Upgrades!$U$7,F149),1)*IF(Upgrades!$T$8="First Photons",POWER(Upgrades!$U$8,G149),1)*IF(Upgrades!$T$9="First Photons",POWER(Upgrades!$U$9,H149),1)*IF(Upgrades!$T$10="First Photons",POWER(Upgrades!$U$10,I149),1)*IF(Upgrades!$T$11="First Photons",POWER(Upgrades!$U$11,J149),1)))*POWER(Upgrades!$R$6,E149)*POWER(Upgrades!$R$7,F149)*POWER(Upgrades!$R$8,G149)*POWER(Upgrades!$R$9,H149)*POWER(Upgrades!$R$10,I149)*POWER(Upgrades!$R$11,J149)*POWER(Upgrades!$R$12,K149)</f>
        <v>0</v>
      </c>
      <c r="P149" s="27" t="n">
        <f aca="false">IF(L149=1,0,M149*Parameters!$B$10/60*Parameters!$B$11*10)</f>
        <v>0</v>
      </c>
      <c r="Q149" s="27" t="n">
        <f aca="false">IF(L149=1,0,O149*M149*10)</f>
        <v>0</v>
      </c>
      <c r="R149" s="27" t="n">
        <f aca="false">IF(L149=1,0,N149*10)</f>
        <v>0</v>
      </c>
      <c r="S149" s="27" t="n">
        <f aca="false">P149+Q149+R149</f>
        <v>0</v>
      </c>
      <c r="T149" s="21" t="n">
        <f aca="false">C149+S149</f>
        <v>18.6730249835055</v>
      </c>
      <c r="U149" s="34" t="str">
        <f aca="false">AX149</f>
        <v/>
      </c>
      <c r="V149" s="21" t="n">
        <f aca="false">IF(U149="",0,IF(U149="transition",0,IF(U149="SW",AG149,IF(U149="AB",AH149,IF(U149="SC",AI149,IF(U149="Mag",AJ149,IF(U149="OR",AK149,IF(U149="HP",AL149,IF(U149="FP",AM149,0)))))))))</f>
        <v>0</v>
      </c>
      <c r="W149" s="27" t="n">
        <f aca="false">IF(U149="OR",Upgrades!$F$10,IF(U149="HP",Upgrades!$F$11,IF(U149="transition",-Parameters!$B$18,0)))</f>
        <v>0</v>
      </c>
      <c r="X149" s="21" t="n">
        <f aca="false">T149-V149</f>
        <v>18.6730249835055</v>
      </c>
      <c r="Y149" s="30" t="n">
        <f aca="false">M149*Parameters!$B$10/60*Parameters!$B$11+O149*M149+N149</f>
        <v>20.55</v>
      </c>
      <c r="Z149" s="35" t="str">
        <f aca="false">IF(U149="transition","→ Tier 2 (Stellar Neighborhood)",IF(U149="FP","First Photons — light begins, system quickens",IF(U149="HP","Heliopause acquired",IF(U149="OR","Orbital Resonance — passive multiplier active",IF(AND(AO149=1,L149=0,AN149&lt;&gt;1),"Cohesion ready (waiting on completionist upgrades)","")))))</f>
        <v/>
      </c>
      <c r="AA149" s="27" t="n">
        <f aca="false">(IF(E149=0,0,(Upgrades!$G$6+E149*Upgrades!$H$6)*POWER(Upgrades!$I$6,E149)))*(IF(Upgrades!$T$7="Solar Wind",POWER(Upgrades!$U$7,F149),1)*IF(Upgrades!$T$8="Solar Wind",POWER(Upgrades!$U$8,G149),1)*IF(Upgrades!$T$9="Solar Wind",POWER(Upgrades!$U$9,H149),1)*IF(Upgrades!$T$10="Solar Wind",POWER(Upgrades!$U$10,I149),1)*IF(Upgrades!$T$11="Solar Wind",POWER(Upgrades!$U$11,J149),1)*IF(Upgrades!$T$12="Solar Wind",POWER(Upgrades!$U$12,K149),1))*POWER(Upgrades!$P$6,E149)*POWER(Upgrades!$P$7,F149)*POWER(Upgrades!$P$8,G149)*POWER(Upgrades!$P$9,H149)*POWER(Upgrades!$P$10,I149)*POWER(Upgrades!$P$11,J149)*POWER(Upgrades!$P$12,K149)*60</f>
        <v>72</v>
      </c>
      <c r="AB149" s="27" t="n">
        <f aca="false">(IF(F149=0,0,(Upgrades!$G$7+F149*Upgrades!$H$7)*POWER(Upgrades!$I$7,F149)))*(IF(Upgrades!$T$6="Asteroid Belt",POWER(Upgrades!$U$6,E149),1)*IF(Upgrades!$T$8="Asteroid Belt",POWER(Upgrades!$U$8,G149),1)*IF(Upgrades!$T$9="Asteroid Belt",POWER(Upgrades!$U$9,H149),1)*IF(Upgrades!$T$10="Asteroid Belt",POWER(Upgrades!$U$10,I149),1)*IF(Upgrades!$T$11="Asteroid Belt",POWER(Upgrades!$U$11,J149),1)*IF(Upgrades!$T$12="Asteroid Belt",POWER(Upgrades!$U$12,K149),1))*POWER(Upgrades!$P$6,E149)*POWER(Upgrades!$P$7,F149)*POWER(Upgrades!$P$8,G149)*POWER(Upgrades!$P$9,H149)*POWER(Upgrades!$P$10,I149)*POWER(Upgrades!$P$11,J149)*POWER(Upgrades!$P$12,K149)*60</f>
        <v>150</v>
      </c>
      <c r="AC149" s="27" t="n">
        <f aca="false">(IF(G149=0,0,(Upgrades!$J$8+G149*Upgrades!$K$8)*POWER(Upgrades!$L$8,G149)))*(IF(Upgrades!$T$6="Stellar Coupling",POWER(Upgrades!$U$6,E149),1)*IF(Upgrades!$T$7="Stellar Coupling",POWER(Upgrades!$U$7,F149),1)*IF(Upgrades!$T$9="Stellar Coupling",POWER(Upgrades!$U$9,H149),1)*IF(Upgrades!$T$10="Stellar Coupling",POWER(Upgrades!$U$10,I149),1)*IF(Upgrades!$T$11="Stellar Coupling",POWER(Upgrades!$U$11,J149),1)*IF(Upgrades!$T$12="Stellar Coupling",POWER(Upgrades!$U$12,K149),1))*POWER(Upgrades!$Q$6,E149)*POWER(Upgrades!$Q$7,F149)*POWER(Upgrades!$Q$8,G149)*POWER(Upgrades!$Q$9,H149)*POWER(Upgrades!$Q$10,I149)*POWER(Upgrades!$Q$11,J149)*POWER(Upgrades!$Q$12,K149)*Parameters!$B$10*Parameters!$B$11</f>
        <v>441</v>
      </c>
      <c r="AD149" s="27" t="n">
        <f aca="false">(IF(H149=0,0,(Upgrades!$G$9+H149*Upgrades!$H$9)*POWER(Upgrades!$I$9,H149)))*(IF(Upgrades!$T$6="Magnetosphere",POWER(Upgrades!$U$6,E149),1)*IF(Upgrades!$T$7="Magnetosphere",POWER(Upgrades!$U$7,F149),1)*IF(Upgrades!$T$8="Magnetosphere",POWER(Upgrades!$U$8,G149),1)*IF(Upgrades!$T$10="Magnetosphere",POWER(Upgrades!$U$10,I149),1)*IF(Upgrades!$T$11="Magnetosphere",POWER(Upgrades!$U$11,J149),1)*IF(Upgrades!$T$12="Magnetosphere",POWER(Upgrades!$U$12,K149),1))*POWER(Upgrades!$P$6,E149)*POWER(Upgrades!$P$7,F149)*POWER(Upgrades!$P$8,G149)*POWER(Upgrades!$P$9,H149)*POWER(Upgrades!$P$10,I149)*POWER(Upgrades!$P$11,J149)*POWER(Upgrades!$P$12,K149)*60</f>
        <v>375</v>
      </c>
      <c r="AE149" s="27" t="n">
        <f aca="false">(IF(K149=0,0,(Upgrades!$G$12+K149*Upgrades!$H$12)*POWER(Upgrades!$I$12,K149)))*(IF(Upgrades!$T$6="First Photons",POWER(Upgrades!$U$6,E149),1)*IF(Upgrades!$T$7="First Photons",POWER(Upgrades!$U$7,F149),1)*IF(Upgrades!$T$8="First Photons",POWER(Upgrades!$U$8,G149),1)*IF(Upgrades!$T$9="First Photons",POWER(Upgrades!$U$9,H149),1)*IF(Upgrades!$T$10="First Photons",POWER(Upgrades!$U$10,I149),1)*IF(Upgrades!$T$11="First Photons",POWER(Upgrades!$U$11,J149),1))*POWER(Upgrades!$P$6,E149)*POWER(Upgrades!$P$7,F149)*POWER(Upgrades!$P$8,G149)*POWER(Upgrades!$P$9,H149)*POWER(Upgrades!$P$10,I149)*POWER(Upgrades!$P$11,J149)*POWER(Upgrades!$P$12,K149)*60</f>
        <v>75</v>
      </c>
      <c r="AF149" s="27" t="n">
        <f aca="false">Parameters!$B$9*POWER(Upgrades!$Q$6,E149)*POWER(Upgrades!$Q$7,F149)*POWER(Upgrades!$Q$8,G149)*POWER(Upgrades!$Q$9,H149)*POWER(Upgrades!$Q$10,I149)*POWER(Upgrades!$Q$11,J149)*POWER(Upgrades!$Q$12,K149)*(Parameters!$B$10*Parameters!$B$11+O149*60)</f>
        <v>120</v>
      </c>
      <c r="AG149" s="21" t="n">
        <f aca="false">IF(E149&gt;=Upgrades!$E$6,"",Upgrades!$C$6*POWER(Upgrades!$D$6,E149))</f>
        <v>37.4517507383159</v>
      </c>
      <c r="AH149" s="21" t="n">
        <f aca="false">IF(F149&gt;=Upgrades!$E$7,"",Upgrades!$C$7*POWER(Upgrades!$D$7,F149))</f>
        <v>80.9111547141581</v>
      </c>
      <c r="AI149" s="21" t="n">
        <f aca="false">IF(G149&gt;=Upgrades!$E$8,"",Upgrades!$C$8*POWER(Upgrades!$D$8,G149))</f>
        <v>231.9097088</v>
      </c>
      <c r="AJ149" s="21" t="str">
        <f aca="false">IF(H149&gt;=Upgrades!$E$9,"",Upgrades!$C$9*POWER(Upgrades!$D$9,H149))</f>
        <v/>
      </c>
      <c r="AK149" s="21" t="str">
        <f aca="false">IF(I149&gt;=Upgrades!$E$10,"",Upgrades!$C$10*POWER(Upgrades!$D$10,I149))</f>
        <v/>
      </c>
      <c r="AL149" s="21" t="str">
        <f aca="false">IF(J149&gt;=Upgrades!$E$11,"",Upgrades!$C$11*POWER(Upgrades!$D$11,J149))</f>
        <v/>
      </c>
      <c r="AM149" s="21" t="str">
        <f aca="false">IF(K149&gt;=Upgrades!$E$12,"",Upgrades!$C$12*POWER(Upgrades!$D$12,K149))</f>
        <v/>
      </c>
      <c r="AN149" s="26" t="str">
        <f aca="false">IF(AND(D149&gt;=Parameters!$B$18,(H149&gt;=Upgrades!$E$9)*(K149&gt;=Upgrades!$E$12)=1,L149=0),1,"")</f>
        <v/>
      </c>
      <c r="AO149" s="26" t="str">
        <f aca="false">IF(AND(D149&gt;=Parameters!$B$18,L149=0),1,"")</f>
        <v/>
      </c>
      <c r="AP149" s="21" t="n">
        <f aca="false">MIN(IF(ISNUMBER(AK149),AK149,9000000000000000),IF(ISNUMBER(AL149),AL149,9000000000000000),IF(ISNUMBER(AM149),AM149,9000000000000000))</f>
        <v>9000000000000000</v>
      </c>
      <c r="AQ149" s="21" t="n">
        <f aca="false">MIN(IF(ISNUMBER(AG149),AG149,9000000000000000),IF(ISNUMBER(AH149),AH149,9000000000000000),IF(ISNUMBER(AI149),AI149,9000000000000000),IF(ISNUMBER(AJ149),AJ149,9000000000000000))</f>
        <v>37.4517507383159</v>
      </c>
      <c r="AR149" s="32" t="b">
        <f aca="false">IF(AW149&gt;Parameters!$B$21*(MAX(IF(AND(NOT(AND(AO149=1,AN149&lt;&gt;1)),ISNUMBER(AG149),AG149&lt;=T149),AS149,0),IF(AND(NOT(AND(AO149=1,AN149&lt;&gt;1)),ISNUMBER(AH149),AH149&lt;=T149),AT149,0),IF(AND(NOT(AND(AO149=1,AN149&lt;&gt;1)),ISNUMBER(AI149),AI149&lt;=T149),AU149,0),IF(AND(ISNUMBER(AJ149),AJ149&lt;=T149),AV149,0))),TRUE(),FALSE())</f>
        <v>1</v>
      </c>
      <c r="AS149" s="33" t="n">
        <f aca="false">IFERROR(Upgrades!$H$6*(POWER(Upgrades!$P$6,E149)*POWER(Upgrades!$P$7,F149)*POWER(Upgrades!$P$8,G149)*POWER(Upgrades!$P$9,H149)*POWER(Upgrades!$P$10,I149)*POWER(Upgrades!$P$11,J149)*POWER(Upgrades!$P$12,K149))*(IF(Upgrades!$T$7="Solar Wind",POWER(Upgrades!$U$7,F149),1)*IF(Upgrades!$T$8="Solar Wind",POWER(Upgrades!$U$8,G149),1)*IF(Upgrades!$T$9="Solar Wind",POWER(Upgrades!$U$9,H149),1)*IF(Upgrades!$T$10="Solar Wind",POWER(Upgrades!$U$10,I149),1)*IF(Upgrades!$T$11="Solar Wind",POWER(Upgrades!$U$11,J149),1)*IF(Upgrades!$T$12="Solar Wind",POWER(Upgrades!$U$12,K149),1))/AG149,0)</f>
        <v>0.0026701021455238</v>
      </c>
      <c r="AT149" s="33" t="n">
        <f aca="false">IFERROR(Upgrades!$H$7*(POWER(Upgrades!$P$6,E149)*POWER(Upgrades!$P$7,F149)*POWER(Upgrades!$P$8,G149)*POWER(Upgrades!$P$9,H149)*POWER(Upgrades!$P$10,I149)*POWER(Upgrades!$P$11,J149)*POWER(Upgrades!$P$12,K149))*(IF(Upgrades!$T$6="Asteroid Belt",POWER(Upgrades!$U$6,E149),1)*IF(Upgrades!$T$8="Asteroid Belt",POWER(Upgrades!$U$8,G149),1)*IF(Upgrades!$T$9="Asteroid Belt",POWER(Upgrades!$U$9,H149),1)*IF(Upgrades!$T$10="Asteroid Belt",POWER(Upgrades!$U$10,I149),1)*IF(Upgrades!$T$11="Asteroid Belt",POWER(Upgrades!$U$11,J149),1)*IF(Upgrades!$T$12="Asteroid Belt",POWER(Upgrades!$U$12,K149),1))/AH149,0)</f>
        <v>0.00308980882652332</v>
      </c>
      <c r="AU149" s="33" t="n">
        <f aca="false">IFERROR(Upgrades!$K$8*(POWER(Upgrades!$Q$6,E149)*POWER(Upgrades!$Q$7,F149)*POWER(Upgrades!$Q$8,G149)*POWER(Upgrades!$Q$9,H149)*POWER(Upgrades!$Q$10,I149)*POWER(Upgrades!$Q$11,J149)*POWER(Upgrades!$Q$12,K149))*(IF(Upgrades!$T$6="Stellar Coupling",POWER(Upgrades!$U$6,E149),1)*IF(Upgrades!$T$7="Stellar Coupling",POWER(Upgrades!$U$7,F149),1)*IF(Upgrades!$T$9="Stellar Coupling",POWER(Upgrades!$U$9,H149),1)*IF(Upgrades!$T$10="Stellar Coupling",POWER(Upgrades!$U$10,I149),1)*IF(Upgrades!$T$11="Stellar Coupling",POWER(Upgrades!$U$11,J149),1)*IF(Upgrades!$T$12="Stellar Coupling",POWER(Upgrades!$U$12,K149),1))*Parameters!$B$10*Parameters!$B$11/60/AI149,0)</f>
        <v>0.00452762415783776</v>
      </c>
      <c r="AV149" s="33" t="n">
        <f aca="false">IFERROR(Upgrades!$H$9*(POWER(Upgrades!$P$6,E149)*POWER(Upgrades!$P$7,F149)*POWER(Upgrades!$P$8,G149)*POWER(Upgrades!$P$9,H149)*POWER(Upgrades!$P$10,I149)*POWER(Upgrades!$P$11,J149)*POWER(Upgrades!$P$12,K149))*(IF(Upgrades!$T$6="Magnetosphere",POWER(Upgrades!$U$6,E149),1)*IF(Upgrades!$T$7="Magnetosphere",POWER(Upgrades!$U$7,F149),1)*IF(Upgrades!$T$8="Magnetosphere",POWER(Upgrades!$U$8,G149),1)*IF(Upgrades!$T$10="Magnetosphere",POWER(Upgrades!$U$10,I149),1)*IF(Upgrades!$T$11="Magnetosphere",POWER(Upgrades!$U$11,J149),1)*IF(Upgrades!$T$12="Magnetosphere",POWER(Upgrades!$U$12,K149),1))/AJ149,0)</f>
        <v>0</v>
      </c>
      <c r="AW149" s="33" t="n">
        <f aca="false">MAX(IF(I149&gt;0,0,IFERROR(0.25*N149/Upgrades!$C$10,0)),IF(J149&gt;0,0,IFERROR(0.5*((IF(G149=0,0,(Upgrades!$J$8+G149*Upgrades!$K$8)*POWER(Upgrades!$L$8,G149)))*(IF(Upgrades!$T$6="Stellar Coupling",POWER(Upgrades!$U$6,E149),1)*IF(Upgrades!$T$7="Stellar Coupling",POWER(Upgrades!$U$7,F149),1)*IF(Upgrades!$T$9="Stellar Coupling",POWER(Upgrades!$U$9,H149),1)*IF(Upgrades!$T$10="Stellar Coupling",POWER(Upgrades!$U$10,I149),1)*IF(Upgrades!$T$11="Stellar Coupling",POWER(Upgrades!$U$11,J149),1)*IF(Upgrades!$T$12="Stellar Coupling",POWER(Upgrades!$U$12,K149),1))*(POWER(Upgrades!$Q$6,E149)*POWER(Upgrades!$Q$7,F149)*POWER(Upgrades!$Q$8,G149)*POWER(Upgrades!$Q$9,H149)*POWER(Upgrades!$Q$10,I149)*POWER(Upgrades!$Q$11,J149)*POWER(Upgrades!$Q$12,K149))*Parameters!$B$10*Parameters!$B$11/60)/Upgrades!$C$11,0)),IF(K149&gt;0,0,IFERROR((1*(POWER(Upgrades!$P$6,E149)*POWER(Upgrades!$P$7,F149)*POWER(Upgrades!$P$8,G149)*POWER(Upgrades!$P$9,H149)*POWER(Upgrades!$P$10,I149)*POWER(Upgrades!$P$11,J149)*POWER(Upgrades!$P$12,K149))+0.2*M149*Parameters!$B$10*Parameters!$B$11/60)/Upgrades!$C$12,0)),IF(AND(ISNUMBER(AG149),AG149&gt;T149),AS149,0),IF(AND(ISNUMBER(AH149),AH149&gt;T149),AT149,0),IF(AND(ISNUMBER(AI149),AI149&gt;T149),AU149,0),IF(AND(ISNUMBER(AJ149),AJ149&gt;T149),AV149,0))</f>
        <v>0.00452762415783776</v>
      </c>
      <c r="AX149" s="29" t="str">
        <f aca="false">IF(AN149=1,"transition",IF(MIN(IF(AND(I149=0,ISNUMBER(AK149),AK149&lt;=T149),AK149,9000000000000000),IF(AND(J149=0,ISNUMBER(AL149),AL149&lt;=T149),AL149,9000000000000000),IF(AND(K149=0,ISNUMBER(AM149),AM149&lt;=T149),AM149,9000000000000000))&lt;9000000000000000,IF(AND(AND(I149=0,ISNUMBER(AK149),AK149&lt;=T149),AK149=MIN(IF(AND(I149=0,ISNUMBER(AK149),AK149&lt;=T149),AK149,9000000000000000),IF(AND(J149=0,ISNUMBER(AL149),AL149&lt;=T149),AL149,9000000000000000),IF(AND(K149=0,ISNUMBER(AM149),AM149&lt;=T149),AM149,9000000000000000))),"OR",IF(AND(AND(J149=0,ISNUMBER(AL149),AL149&lt;=T149),AL149=MIN(IF(AND(I149=0,ISNUMBER(AK149),AK149&lt;=T149),AK149,9000000000000000),IF(AND(J149=0,ISNUMBER(AL149),AL149&lt;=T149),AL149,9000000000000000),IF(AND(K149=0,ISNUMBER(AM149),AM149&lt;=T149),AM149,9000000000000000))),"HP","FP")),IF(AR149=TRUE(),"",IF(MAX(IF(AND(NOT(AND(AO149=1,AN149&lt;&gt;1)),ISNUMBER(AG149),AG149&lt;=T149),AS149,0),IF(AND(NOT(AND(AO149=1,AN149&lt;&gt;1)),ISNUMBER(AH149),AH149&lt;=T149),AT149,0),IF(AND(NOT(AND(AO149=1,AN149&lt;&gt;1)),ISNUMBER(AI149),AI149&lt;=T149),AU149,0),IF(AND(ISNUMBER(AJ149),AJ149&lt;=T149),AV149,0))&lt;=0,"",IF(AND(IF(AND(NOT(AND(AO149=1,AN149&lt;&gt;1)),ISNUMBER(AG149),AG149&lt;=T149),AS149,0)&gt;0,IF(AND(NOT(AND(AO149=1,AN149&lt;&gt;1)),ISNUMBER(AG149),AG149&lt;=T149),AS149,0)=MAX(IF(AND(NOT(AND(AO149=1,AN149&lt;&gt;1)),ISNUMBER(AG149),AG149&lt;=T149),AS149,0),IF(AND(NOT(AND(AO149=1,AN149&lt;&gt;1)),ISNUMBER(AH149),AH149&lt;=T149),AT149,0),IF(AND(NOT(AND(AO149=1,AN149&lt;&gt;1)),ISNUMBER(AI149),AI149&lt;=T149),AU149,0),IF(AND(ISNUMBER(AJ149),AJ149&lt;=T149),AV149,0))),"SW",IF(AND(IF(AND(NOT(AND(AO149=1,AN149&lt;&gt;1)),ISNUMBER(AH149),AH149&lt;=T149),AT149,0)&gt;0,IF(AND(NOT(AND(AO149=1,AN149&lt;&gt;1)),ISNUMBER(AH149),AH149&lt;=T149),AT149,0)=MAX(IF(AND(NOT(AND(AO149=1,AN149&lt;&gt;1)),ISNUMBER(AG149),AG149&lt;=T149),AS149,0),IF(AND(NOT(AND(AO149=1,AN149&lt;&gt;1)),ISNUMBER(AH149),AH149&lt;=T149),AT149,0),IF(AND(NOT(AND(AO149=1,AN149&lt;&gt;1)),ISNUMBER(AI149),AI149&lt;=T149),AU149,0),IF(AND(ISNUMBER(AJ149),AJ149&lt;=T149),AV149,0))),"AB",IF(AND(IF(AND(NOT(AND(AO149=1,AN149&lt;&gt;1)),ISNUMBER(AI149),AI149&lt;=T149),AU149,0)&gt;0,IF(AND(NOT(AND(AO149=1,AN149&lt;&gt;1)),ISNUMBER(AI149),AI149&lt;=T149),AU149,0)=MAX(IF(AND(NOT(AND(AO149=1,AN149&lt;&gt;1)),ISNUMBER(AG149),AG149&lt;=T149),AS149,0),IF(AND(NOT(AND(AO149=1,AN149&lt;&gt;1)),ISNUMBER(AH149),AH149&lt;=T149),AT149,0),IF(AND(NOT(AND(AO149=1,AN149&lt;&gt;1)),ISNUMBER(AI149),AI149&lt;=T149),AU149,0),IF(AND(ISNUMBER(AJ149),AJ149&lt;=T149),AV149,0))),"SC","Mag")))))))</f>
        <v/>
      </c>
    </row>
    <row r="150" customFormat="false" ht="15" hidden="false" customHeight="false" outlineLevel="0" collapsed="false">
      <c r="A150" s="26" t="n">
        <v>145</v>
      </c>
      <c r="B150" s="27" t="n">
        <f aca="false">A150*10/60</f>
        <v>24.1666666666667</v>
      </c>
      <c r="C150" s="21" t="n">
        <f aca="false">X149</f>
        <v>18.6730249835055</v>
      </c>
      <c r="D150" s="27" t="n">
        <f aca="false">D149+W149</f>
        <v>0</v>
      </c>
      <c r="E150" s="26" t="n">
        <f aca="false">E149+IF(U149="SW",1,0)</f>
        <v>12</v>
      </c>
      <c r="F150" s="26" t="n">
        <f aca="false">F149+IF(U149="AB",1,0)</f>
        <v>10</v>
      </c>
      <c r="G150" s="26" t="n">
        <f aca="false">G149+IF(U149="SC",1,0)</f>
        <v>7</v>
      </c>
      <c r="H150" s="26" t="n">
        <f aca="false">H149+IF(U149="Mag",1,0)</f>
        <v>5</v>
      </c>
      <c r="I150" s="26" t="n">
        <f aca="false">MAX(I149,IF(U149="OR",1,0))</f>
        <v>1</v>
      </c>
      <c r="J150" s="26" t="n">
        <f aca="false">MAX(J149,IF(U149="HP",1,0))</f>
        <v>1</v>
      </c>
      <c r="K150" s="26" t="n">
        <f aca="false">MAX(K149,IF(U149="FP",1,0))</f>
        <v>1</v>
      </c>
      <c r="L150" s="26" t="n">
        <f aca="false">MAX(L149,IF(U149="transition",1,0))</f>
        <v>1</v>
      </c>
      <c r="M150" s="28" t="n">
        <f aca="false">(Parameters!$B$9+(IF(E150=0,0,(Upgrades!$J$6+E150*Upgrades!$K$6)*POWER(Upgrades!$L$6,E150)))*(IF(Upgrades!$T$7="Solar Wind",POWER(Upgrades!$U$7,F150),1)*IF(Upgrades!$T$8="Solar Wind",POWER(Upgrades!$U$8,G150),1)*IF(Upgrades!$T$9="Solar Wind",POWER(Upgrades!$U$9,H150),1)*IF(Upgrades!$T$10="Solar Wind",POWER(Upgrades!$U$10,I150),1)*IF(Upgrades!$T$11="Solar Wind",POWER(Upgrades!$U$11,J150),1)*IF(Upgrades!$T$12="Solar Wind",POWER(Upgrades!$U$12,K150),1))+(IF(F150=0,0,(Upgrades!$J$7+F150*Upgrades!$K$7)*POWER(Upgrades!$L$7,F150)))*(IF(Upgrades!$T$6="Asteroid Belt",POWER(Upgrades!$U$6,E150),1)*IF(Upgrades!$T$8="Asteroid Belt",POWER(Upgrades!$U$8,G150),1)*IF(Upgrades!$T$9="Asteroid Belt",POWER(Upgrades!$U$9,H150),1)*IF(Upgrades!$T$10="Asteroid Belt",POWER(Upgrades!$U$10,I150),1)*IF(Upgrades!$T$11="Asteroid Belt",POWER(Upgrades!$U$11,J150),1)*IF(Upgrades!$T$12="Asteroid Belt",POWER(Upgrades!$U$12,K150),1))+(IF(G150=0,0,(Upgrades!$J$8+G150*Upgrades!$K$8)*POWER(Upgrades!$L$8,G150)))*(IF(Upgrades!$T$6="Stellar Coupling",POWER(Upgrades!$U$6,E150),1)*IF(Upgrades!$T$7="Stellar Coupling",POWER(Upgrades!$U$7,F150),1)*IF(Upgrades!$T$9="Stellar Coupling",POWER(Upgrades!$U$9,H150),1)*IF(Upgrades!$T$10="Stellar Coupling",POWER(Upgrades!$U$10,I150),1)*IF(Upgrades!$T$11="Stellar Coupling",POWER(Upgrades!$U$11,J150),1)*IF(Upgrades!$T$12="Stellar Coupling",POWER(Upgrades!$U$12,K150),1))+(IF(H150=0,0,(Upgrades!$J$9+H150*Upgrades!$K$9)*POWER(Upgrades!$L$9,H150)))*(IF(Upgrades!$T$6="Magnetosphere",POWER(Upgrades!$U$6,E150),1)*IF(Upgrades!$T$7="Magnetosphere",POWER(Upgrades!$U$7,F150),1)*IF(Upgrades!$T$8="Magnetosphere",POWER(Upgrades!$U$8,G150),1)*IF(Upgrades!$T$10="Magnetosphere",POWER(Upgrades!$U$10,I150),1)*IF(Upgrades!$T$11="Magnetosphere",POWER(Upgrades!$U$11,J150),1)*IF(Upgrades!$T$12="Magnetosphere",POWER(Upgrades!$U$12,K150),1))+(IF(I150=0,0,(Upgrades!$J$10+I150*Upgrades!$K$10)*POWER(Upgrades!$L$10,I150)))*(IF(Upgrades!$T$6="Orbital Resonance",POWER(Upgrades!$U$6,E150),1)*IF(Upgrades!$T$7="Orbital Resonance",POWER(Upgrades!$U$7,F150),1)*IF(Upgrades!$T$8="Orbital Resonance",POWER(Upgrades!$U$8,G150),1)*IF(Upgrades!$T$9="Orbital Resonance",POWER(Upgrades!$U$9,H150),1)*IF(Upgrades!$T$11="Orbital Resonance",POWER(Upgrades!$U$11,J150),1)*IF(Upgrades!$T$12="Orbital Resonance",POWER(Upgrades!$U$12,K150),1))+(IF(J150=0,0,(Upgrades!$J$11+J150*Upgrades!$K$11)*POWER(Upgrades!$L$11,J150)))*(IF(Upgrades!$T$6="Heliopause",POWER(Upgrades!$U$6,E150),1)*IF(Upgrades!$T$7="Heliopause",POWER(Upgrades!$U$7,F150),1)*IF(Upgrades!$T$8="Heliopause",POWER(Upgrades!$U$8,G150),1)*IF(Upgrades!$T$9="Heliopause",POWER(Upgrades!$U$9,H150),1)*IF(Upgrades!$T$10="Heliopause",POWER(Upgrades!$U$10,I150),1)*IF(Upgrades!$T$12="Heliopause",POWER(Upgrades!$U$12,K150),1))+(IF(K150=0,0,(Upgrades!$J$12+K150*Upgrades!$K$12)*POWER(Upgrades!$L$12,K150)))*(IF(Upgrades!$T$6="First Photons",POWER(Upgrades!$U$6,E150),1)*IF(Upgrades!$T$7="First Photons",POWER(Upgrades!$U$7,F150),1)*IF(Upgrades!$T$8="First Photons",POWER(Upgrades!$U$8,G150),1)*IF(Upgrades!$T$9="First Photons",POWER(Upgrades!$U$9,H150),1)*IF(Upgrades!$T$10="First Photons",POWER(Upgrades!$U$10,I150),1)*IF(Upgrades!$T$11="First Photons",POWER(Upgrades!$U$11,J150),1)))*POWER(Upgrades!$Q$6,E150)*POWER(Upgrades!$Q$7,F150)*POWER(Upgrades!$Q$8,G150)*POWER(Upgrades!$Q$9,H150)*POWER(Upgrades!$Q$10,I150)*POWER(Upgrades!$Q$11,J150)*POWER(Upgrades!$Q$12,K150)</f>
        <v>5.61</v>
      </c>
      <c r="N150" s="28" t="n">
        <f aca="false">((IF(E150=0,0,(Upgrades!$G$6+E150*Upgrades!$H$6)*POWER(Upgrades!$I$6,E150)))*(IF(Upgrades!$T$7="Solar Wind",POWER(Upgrades!$U$7,F150),1)*IF(Upgrades!$T$8="Solar Wind",POWER(Upgrades!$U$8,G150),1)*IF(Upgrades!$T$9="Solar Wind",POWER(Upgrades!$U$9,H150),1)*IF(Upgrades!$T$10="Solar Wind",POWER(Upgrades!$U$10,I150),1)*IF(Upgrades!$T$11="Solar Wind",POWER(Upgrades!$U$11,J150),1)*IF(Upgrades!$T$12="Solar Wind",POWER(Upgrades!$U$12,K150),1))+(IF(F150=0,0,(Upgrades!$G$7+F150*Upgrades!$H$7)*POWER(Upgrades!$I$7,F150)))*(IF(Upgrades!$T$6="Asteroid Belt",POWER(Upgrades!$U$6,E150),1)*IF(Upgrades!$T$8="Asteroid Belt",POWER(Upgrades!$U$8,G150),1)*IF(Upgrades!$T$9="Asteroid Belt",POWER(Upgrades!$U$9,H150),1)*IF(Upgrades!$T$10="Asteroid Belt",POWER(Upgrades!$U$10,I150),1)*IF(Upgrades!$T$11="Asteroid Belt",POWER(Upgrades!$U$11,J150),1)*IF(Upgrades!$T$12="Asteroid Belt",POWER(Upgrades!$U$12,K150),1))+(IF(G150=0,0,(Upgrades!$G$8+G150*Upgrades!$H$8)*POWER(Upgrades!$I$8,G150)))*(IF(Upgrades!$T$6="Stellar Coupling",POWER(Upgrades!$U$6,E150),1)*IF(Upgrades!$T$7="Stellar Coupling",POWER(Upgrades!$U$7,F150),1)*IF(Upgrades!$T$9="Stellar Coupling",POWER(Upgrades!$U$9,H150),1)*IF(Upgrades!$T$10="Stellar Coupling",POWER(Upgrades!$U$10,I150),1)*IF(Upgrades!$T$11="Stellar Coupling",POWER(Upgrades!$U$11,J150),1)*IF(Upgrades!$T$12="Stellar Coupling",POWER(Upgrades!$U$12,K150),1))+(IF(H150=0,0,(Upgrades!$G$9+H150*Upgrades!$H$9)*POWER(Upgrades!$I$9,H150)))*(IF(Upgrades!$T$6="Magnetosphere",POWER(Upgrades!$U$6,E150),1)*IF(Upgrades!$T$7="Magnetosphere",POWER(Upgrades!$U$7,F150),1)*IF(Upgrades!$T$8="Magnetosphere",POWER(Upgrades!$U$8,G150),1)*IF(Upgrades!$T$10="Magnetosphere",POWER(Upgrades!$U$10,I150),1)*IF(Upgrades!$T$11="Magnetosphere",POWER(Upgrades!$U$11,J150),1)*IF(Upgrades!$T$12="Magnetosphere",POWER(Upgrades!$U$12,K150),1))+(IF(I150=0,0,(Upgrades!$G$10+I150*Upgrades!$H$10)*POWER(Upgrades!$I$10,I150)))*(IF(Upgrades!$T$6="Orbital Resonance",POWER(Upgrades!$U$6,E150),1)*IF(Upgrades!$T$7="Orbital Resonance",POWER(Upgrades!$U$7,F150),1)*IF(Upgrades!$T$8="Orbital Resonance",POWER(Upgrades!$U$8,G150),1)*IF(Upgrades!$T$9="Orbital Resonance",POWER(Upgrades!$U$9,H150),1)*IF(Upgrades!$T$11="Orbital Resonance",POWER(Upgrades!$U$11,J150),1)*IF(Upgrades!$T$12="Orbital Resonance",POWER(Upgrades!$U$12,K150),1))+(IF(J150=0,0,(Upgrades!$G$11+J150*Upgrades!$H$11)*POWER(Upgrades!$I$11,J150)))*(IF(Upgrades!$T$6="Heliopause",POWER(Upgrades!$U$6,E150),1)*IF(Upgrades!$T$7="Heliopause",POWER(Upgrades!$U$7,F150),1)*IF(Upgrades!$T$8="Heliopause",POWER(Upgrades!$U$8,G150),1)*IF(Upgrades!$T$9="Heliopause",POWER(Upgrades!$U$9,H150),1)*IF(Upgrades!$T$10="Heliopause",POWER(Upgrades!$U$10,I150),1)*IF(Upgrades!$T$12="Heliopause",POWER(Upgrades!$U$12,K150),1))+(IF(K150=0,0,(Upgrades!$G$12+K150*Upgrades!$H$12)*POWER(Upgrades!$I$12,K150)))*(IF(Upgrades!$T$6="First Photons",POWER(Upgrades!$U$6,E150),1)*IF(Upgrades!$T$7="First Photons",POWER(Upgrades!$U$7,F150),1)*IF(Upgrades!$T$8="First Photons",POWER(Upgrades!$U$8,G150),1)*IF(Upgrades!$T$9="First Photons",POWER(Upgrades!$U$9,H150),1)*IF(Upgrades!$T$10="First Photons",POWER(Upgrades!$U$10,I150),1)*IF(Upgrades!$T$11="First Photons",POWER(Upgrades!$U$11,J150),1)))*POWER(Upgrades!$P$6,E150)*POWER(Upgrades!$P$7,F150)*POWER(Upgrades!$P$8,G150)*POWER(Upgrades!$P$9,H150)*POWER(Upgrades!$P$10,I150)*POWER(Upgrades!$P$11,J150)*POWER(Upgrades!$P$12,K150)</f>
        <v>11.2</v>
      </c>
      <c r="O150" s="28" t="n">
        <f aca="false">((IF(E150=0,0,(Upgrades!$M$6+E150*Upgrades!$N$6)*POWER(Upgrades!$O$6,E150)))*(IF(Upgrades!$T$7="Solar Wind",POWER(Upgrades!$U$7,F150),1)*IF(Upgrades!$T$8="Solar Wind",POWER(Upgrades!$U$8,G150),1)*IF(Upgrades!$T$9="Solar Wind",POWER(Upgrades!$U$9,H150),1)*IF(Upgrades!$T$10="Solar Wind",POWER(Upgrades!$U$10,I150),1)*IF(Upgrades!$T$11="Solar Wind",POWER(Upgrades!$U$11,J150),1)*IF(Upgrades!$T$12="Solar Wind",POWER(Upgrades!$U$12,K150),1))+(IF(F150=0,0,(Upgrades!$M$7+F150*Upgrades!$N$7)*POWER(Upgrades!$O$7,F150)))*(IF(Upgrades!$T$6="Asteroid Belt",POWER(Upgrades!$U$6,E150),1)*IF(Upgrades!$T$8="Asteroid Belt",POWER(Upgrades!$U$8,G150),1)*IF(Upgrades!$T$9="Asteroid Belt",POWER(Upgrades!$U$9,H150),1)*IF(Upgrades!$T$10="Asteroid Belt",POWER(Upgrades!$U$10,I150),1)*IF(Upgrades!$T$11="Asteroid Belt",POWER(Upgrades!$U$11,J150),1)*IF(Upgrades!$T$12="Asteroid Belt",POWER(Upgrades!$U$12,K150),1))+(IF(G150=0,0,(Upgrades!$M$8+G150*Upgrades!$N$8)*POWER(Upgrades!$O$8,G150)))*(IF(Upgrades!$T$6="Stellar Coupling",POWER(Upgrades!$U$6,E150),1)*IF(Upgrades!$T$7="Stellar Coupling",POWER(Upgrades!$U$7,F150),1)*IF(Upgrades!$T$9="Stellar Coupling",POWER(Upgrades!$U$9,H150),1)*IF(Upgrades!$T$10="Stellar Coupling",POWER(Upgrades!$U$10,I150),1)*IF(Upgrades!$T$11="Stellar Coupling",POWER(Upgrades!$U$11,J150),1)*IF(Upgrades!$T$12="Stellar Coupling",POWER(Upgrades!$U$12,K150),1))+(IF(H150=0,0,(Upgrades!$M$9+H150*Upgrades!$N$9)*POWER(Upgrades!$O$9,H150)))*(IF(Upgrades!$T$6="Magnetosphere",POWER(Upgrades!$U$6,E150),1)*IF(Upgrades!$T$7="Magnetosphere",POWER(Upgrades!$U$7,F150),1)*IF(Upgrades!$T$8="Magnetosphere",POWER(Upgrades!$U$8,G150),1)*IF(Upgrades!$T$10="Magnetosphere",POWER(Upgrades!$U$10,I150),1)*IF(Upgrades!$T$11="Magnetosphere",POWER(Upgrades!$U$11,J150),1)*IF(Upgrades!$T$12="Magnetosphere",POWER(Upgrades!$U$12,K150),1))+(IF(I150=0,0,(Upgrades!$M$10+I150*Upgrades!$N$10)*POWER(Upgrades!$O$10,I150)))*(IF(Upgrades!$T$6="Orbital Resonance",POWER(Upgrades!$U$6,E150),1)*IF(Upgrades!$T$7="Orbital Resonance",POWER(Upgrades!$U$7,F150),1)*IF(Upgrades!$T$8="Orbital Resonance",POWER(Upgrades!$U$8,G150),1)*IF(Upgrades!$T$9="Orbital Resonance",POWER(Upgrades!$U$9,H150),1)*IF(Upgrades!$T$11="Orbital Resonance",POWER(Upgrades!$U$11,J150),1)*IF(Upgrades!$T$12="Orbital Resonance",POWER(Upgrades!$U$12,K150),1))+(IF(J150=0,0,(Upgrades!$M$11+J150*Upgrades!$N$11)*POWER(Upgrades!$O$11,J150)))*(IF(Upgrades!$T$6="Heliopause",POWER(Upgrades!$U$6,E150),1)*IF(Upgrades!$T$7="Heliopause",POWER(Upgrades!$U$7,F150),1)*IF(Upgrades!$T$8="Heliopause",POWER(Upgrades!$U$8,G150),1)*IF(Upgrades!$T$9="Heliopause",POWER(Upgrades!$U$9,H150),1)*IF(Upgrades!$T$10="Heliopause",POWER(Upgrades!$U$10,I150),1)*IF(Upgrades!$T$12="Heliopause",POWER(Upgrades!$U$12,K150),1))+(IF(K150=0,0,(Upgrades!$M$12+K150*Upgrades!$N$12)*POWER(Upgrades!$O$12,K150)))*(IF(Upgrades!$T$6="First Photons",POWER(Upgrades!$U$6,E150),1)*IF(Upgrades!$T$7="First Photons",POWER(Upgrades!$U$7,F150),1)*IF(Upgrades!$T$8="First Photons",POWER(Upgrades!$U$8,G150),1)*IF(Upgrades!$T$9="First Photons",POWER(Upgrades!$U$9,H150),1)*IF(Upgrades!$T$10="First Photons",POWER(Upgrades!$U$10,I150),1)*IF(Upgrades!$T$11="First Photons",POWER(Upgrades!$U$11,J150),1)))*POWER(Upgrades!$R$6,E150)*POWER(Upgrades!$R$7,F150)*POWER(Upgrades!$R$8,G150)*POWER(Upgrades!$R$9,H150)*POWER(Upgrades!$R$10,I150)*POWER(Upgrades!$R$11,J150)*POWER(Upgrades!$R$12,K150)</f>
        <v>0</v>
      </c>
      <c r="P150" s="27" t="n">
        <f aca="false">IF(L150=1,0,M150*Parameters!$B$10/60*Parameters!$B$11*10)</f>
        <v>0</v>
      </c>
      <c r="Q150" s="27" t="n">
        <f aca="false">IF(L150=1,0,O150*M150*10)</f>
        <v>0</v>
      </c>
      <c r="R150" s="27" t="n">
        <f aca="false">IF(L150=1,0,N150*10)</f>
        <v>0</v>
      </c>
      <c r="S150" s="27" t="n">
        <f aca="false">P150+Q150+R150</f>
        <v>0</v>
      </c>
      <c r="T150" s="21" t="n">
        <f aca="false">C150+S150</f>
        <v>18.6730249835055</v>
      </c>
      <c r="U150" s="34" t="str">
        <f aca="false">AX150</f>
        <v/>
      </c>
      <c r="V150" s="21" t="n">
        <f aca="false">IF(U150="",0,IF(U150="transition",0,IF(U150="SW",AG150,IF(U150="AB",AH150,IF(U150="SC",AI150,IF(U150="Mag",AJ150,IF(U150="OR",AK150,IF(U150="HP",AL150,IF(U150="FP",AM150,0)))))))))</f>
        <v>0</v>
      </c>
      <c r="W150" s="27" t="n">
        <f aca="false">IF(U150="OR",Upgrades!$F$10,IF(U150="HP",Upgrades!$F$11,IF(U150="transition",-Parameters!$B$18,0)))</f>
        <v>0</v>
      </c>
      <c r="X150" s="21" t="n">
        <f aca="false">T150-V150</f>
        <v>18.6730249835055</v>
      </c>
      <c r="Y150" s="30" t="n">
        <f aca="false">M150*Parameters!$B$10/60*Parameters!$B$11+O150*M150+N150</f>
        <v>20.55</v>
      </c>
      <c r="Z150" s="35" t="str">
        <f aca="false">IF(U150="transition","→ Tier 2 (Stellar Neighborhood)",IF(U150="FP","First Photons — light begins, system quickens",IF(U150="HP","Heliopause acquired",IF(U150="OR","Orbital Resonance — passive multiplier active",IF(AND(AO150=1,L150=0,AN150&lt;&gt;1),"Cohesion ready (waiting on completionist upgrades)","")))))</f>
        <v/>
      </c>
      <c r="AA150" s="27" t="n">
        <f aca="false">(IF(E150=0,0,(Upgrades!$G$6+E150*Upgrades!$H$6)*POWER(Upgrades!$I$6,E150)))*(IF(Upgrades!$T$7="Solar Wind",POWER(Upgrades!$U$7,F150),1)*IF(Upgrades!$T$8="Solar Wind",POWER(Upgrades!$U$8,G150),1)*IF(Upgrades!$T$9="Solar Wind",POWER(Upgrades!$U$9,H150),1)*IF(Upgrades!$T$10="Solar Wind",POWER(Upgrades!$U$10,I150),1)*IF(Upgrades!$T$11="Solar Wind",POWER(Upgrades!$U$11,J150),1)*IF(Upgrades!$T$12="Solar Wind",POWER(Upgrades!$U$12,K150),1))*POWER(Upgrades!$P$6,E150)*POWER(Upgrades!$P$7,F150)*POWER(Upgrades!$P$8,G150)*POWER(Upgrades!$P$9,H150)*POWER(Upgrades!$P$10,I150)*POWER(Upgrades!$P$11,J150)*POWER(Upgrades!$P$12,K150)*60</f>
        <v>72</v>
      </c>
      <c r="AB150" s="27" t="n">
        <f aca="false">(IF(F150=0,0,(Upgrades!$G$7+F150*Upgrades!$H$7)*POWER(Upgrades!$I$7,F150)))*(IF(Upgrades!$T$6="Asteroid Belt",POWER(Upgrades!$U$6,E150),1)*IF(Upgrades!$T$8="Asteroid Belt",POWER(Upgrades!$U$8,G150),1)*IF(Upgrades!$T$9="Asteroid Belt",POWER(Upgrades!$U$9,H150),1)*IF(Upgrades!$T$10="Asteroid Belt",POWER(Upgrades!$U$10,I150),1)*IF(Upgrades!$T$11="Asteroid Belt",POWER(Upgrades!$U$11,J150),1)*IF(Upgrades!$T$12="Asteroid Belt",POWER(Upgrades!$U$12,K150),1))*POWER(Upgrades!$P$6,E150)*POWER(Upgrades!$P$7,F150)*POWER(Upgrades!$P$8,G150)*POWER(Upgrades!$P$9,H150)*POWER(Upgrades!$P$10,I150)*POWER(Upgrades!$P$11,J150)*POWER(Upgrades!$P$12,K150)*60</f>
        <v>150</v>
      </c>
      <c r="AC150" s="27" t="n">
        <f aca="false">(IF(G150=0,0,(Upgrades!$J$8+G150*Upgrades!$K$8)*POWER(Upgrades!$L$8,G150)))*(IF(Upgrades!$T$6="Stellar Coupling",POWER(Upgrades!$U$6,E150),1)*IF(Upgrades!$T$7="Stellar Coupling",POWER(Upgrades!$U$7,F150),1)*IF(Upgrades!$T$9="Stellar Coupling",POWER(Upgrades!$U$9,H150),1)*IF(Upgrades!$T$10="Stellar Coupling",POWER(Upgrades!$U$10,I150),1)*IF(Upgrades!$T$11="Stellar Coupling",POWER(Upgrades!$U$11,J150),1)*IF(Upgrades!$T$12="Stellar Coupling",POWER(Upgrades!$U$12,K150),1))*POWER(Upgrades!$Q$6,E150)*POWER(Upgrades!$Q$7,F150)*POWER(Upgrades!$Q$8,G150)*POWER(Upgrades!$Q$9,H150)*POWER(Upgrades!$Q$10,I150)*POWER(Upgrades!$Q$11,J150)*POWER(Upgrades!$Q$12,K150)*Parameters!$B$10*Parameters!$B$11</f>
        <v>441</v>
      </c>
      <c r="AD150" s="27" t="n">
        <f aca="false">(IF(H150=0,0,(Upgrades!$G$9+H150*Upgrades!$H$9)*POWER(Upgrades!$I$9,H150)))*(IF(Upgrades!$T$6="Magnetosphere",POWER(Upgrades!$U$6,E150),1)*IF(Upgrades!$T$7="Magnetosphere",POWER(Upgrades!$U$7,F150),1)*IF(Upgrades!$T$8="Magnetosphere",POWER(Upgrades!$U$8,G150),1)*IF(Upgrades!$T$10="Magnetosphere",POWER(Upgrades!$U$10,I150),1)*IF(Upgrades!$T$11="Magnetosphere",POWER(Upgrades!$U$11,J150),1)*IF(Upgrades!$T$12="Magnetosphere",POWER(Upgrades!$U$12,K150),1))*POWER(Upgrades!$P$6,E150)*POWER(Upgrades!$P$7,F150)*POWER(Upgrades!$P$8,G150)*POWER(Upgrades!$P$9,H150)*POWER(Upgrades!$P$10,I150)*POWER(Upgrades!$P$11,J150)*POWER(Upgrades!$P$12,K150)*60</f>
        <v>375</v>
      </c>
      <c r="AE150" s="27" t="n">
        <f aca="false">(IF(K150=0,0,(Upgrades!$G$12+K150*Upgrades!$H$12)*POWER(Upgrades!$I$12,K150)))*(IF(Upgrades!$T$6="First Photons",POWER(Upgrades!$U$6,E150),1)*IF(Upgrades!$T$7="First Photons",POWER(Upgrades!$U$7,F150),1)*IF(Upgrades!$T$8="First Photons",POWER(Upgrades!$U$8,G150),1)*IF(Upgrades!$T$9="First Photons",POWER(Upgrades!$U$9,H150),1)*IF(Upgrades!$T$10="First Photons",POWER(Upgrades!$U$10,I150),1)*IF(Upgrades!$T$11="First Photons",POWER(Upgrades!$U$11,J150),1))*POWER(Upgrades!$P$6,E150)*POWER(Upgrades!$P$7,F150)*POWER(Upgrades!$P$8,G150)*POWER(Upgrades!$P$9,H150)*POWER(Upgrades!$P$10,I150)*POWER(Upgrades!$P$11,J150)*POWER(Upgrades!$P$12,K150)*60</f>
        <v>75</v>
      </c>
      <c r="AF150" s="27" t="n">
        <f aca="false">Parameters!$B$9*POWER(Upgrades!$Q$6,E150)*POWER(Upgrades!$Q$7,F150)*POWER(Upgrades!$Q$8,G150)*POWER(Upgrades!$Q$9,H150)*POWER(Upgrades!$Q$10,I150)*POWER(Upgrades!$Q$11,J150)*POWER(Upgrades!$Q$12,K150)*(Parameters!$B$10*Parameters!$B$11+O150*60)</f>
        <v>120</v>
      </c>
      <c r="AG150" s="21" t="n">
        <f aca="false">IF(E150&gt;=Upgrades!$E$6,"",Upgrades!$C$6*POWER(Upgrades!$D$6,E150))</f>
        <v>37.4517507383159</v>
      </c>
      <c r="AH150" s="21" t="n">
        <f aca="false">IF(F150&gt;=Upgrades!$E$7,"",Upgrades!$C$7*POWER(Upgrades!$D$7,F150))</f>
        <v>80.9111547141581</v>
      </c>
      <c r="AI150" s="21" t="n">
        <f aca="false">IF(G150&gt;=Upgrades!$E$8,"",Upgrades!$C$8*POWER(Upgrades!$D$8,G150))</f>
        <v>231.9097088</v>
      </c>
      <c r="AJ150" s="21" t="str">
        <f aca="false">IF(H150&gt;=Upgrades!$E$9,"",Upgrades!$C$9*POWER(Upgrades!$D$9,H150))</f>
        <v/>
      </c>
      <c r="AK150" s="21" t="str">
        <f aca="false">IF(I150&gt;=Upgrades!$E$10,"",Upgrades!$C$10*POWER(Upgrades!$D$10,I150))</f>
        <v/>
      </c>
      <c r="AL150" s="21" t="str">
        <f aca="false">IF(J150&gt;=Upgrades!$E$11,"",Upgrades!$C$11*POWER(Upgrades!$D$11,J150))</f>
        <v/>
      </c>
      <c r="AM150" s="21" t="str">
        <f aca="false">IF(K150&gt;=Upgrades!$E$12,"",Upgrades!$C$12*POWER(Upgrades!$D$12,K150))</f>
        <v/>
      </c>
      <c r="AN150" s="26" t="str">
        <f aca="false">IF(AND(D150&gt;=Parameters!$B$18,(H150&gt;=Upgrades!$E$9)*(K150&gt;=Upgrades!$E$12)=1,L150=0),1,"")</f>
        <v/>
      </c>
      <c r="AO150" s="26" t="str">
        <f aca="false">IF(AND(D150&gt;=Parameters!$B$18,L150=0),1,"")</f>
        <v/>
      </c>
      <c r="AP150" s="21" t="n">
        <f aca="false">MIN(IF(ISNUMBER(AK150),AK150,9000000000000000),IF(ISNUMBER(AL150),AL150,9000000000000000),IF(ISNUMBER(AM150),AM150,9000000000000000))</f>
        <v>9000000000000000</v>
      </c>
      <c r="AQ150" s="21" t="n">
        <f aca="false">MIN(IF(ISNUMBER(AG150),AG150,9000000000000000),IF(ISNUMBER(AH150),AH150,9000000000000000),IF(ISNUMBER(AI150),AI150,9000000000000000),IF(ISNUMBER(AJ150),AJ150,9000000000000000))</f>
        <v>37.4517507383159</v>
      </c>
      <c r="AR150" s="32" t="b">
        <f aca="false">IF(AW150&gt;Parameters!$B$21*(MAX(IF(AND(NOT(AND(AO150=1,AN150&lt;&gt;1)),ISNUMBER(AG150),AG150&lt;=T150),AS150,0),IF(AND(NOT(AND(AO150=1,AN150&lt;&gt;1)),ISNUMBER(AH150),AH150&lt;=T150),AT150,0),IF(AND(NOT(AND(AO150=1,AN150&lt;&gt;1)),ISNUMBER(AI150),AI150&lt;=T150),AU150,0),IF(AND(ISNUMBER(AJ150),AJ150&lt;=T150),AV150,0))),TRUE(),FALSE())</f>
        <v>1</v>
      </c>
      <c r="AS150" s="33" t="n">
        <f aca="false">IFERROR(Upgrades!$H$6*(POWER(Upgrades!$P$6,E150)*POWER(Upgrades!$P$7,F150)*POWER(Upgrades!$P$8,G150)*POWER(Upgrades!$P$9,H150)*POWER(Upgrades!$P$10,I150)*POWER(Upgrades!$P$11,J150)*POWER(Upgrades!$P$12,K150))*(IF(Upgrades!$T$7="Solar Wind",POWER(Upgrades!$U$7,F150),1)*IF(Upgrades!$T$8="Solar Wind",POWER(Upgrades!$U$8,G150),1)*IF(Upgrades!$T$9="Solar Wind",POWER(Upgrades!$U$9,H150),1)*IF(Upgrades!$T$10="Solar Wind",POWER(Upgrades!$U$10,I150),1)*IF(Upgrades!$T$11="Solar Wind",POWER(Upgrades!$U$11,J150),1)*IF(Upgrades!$T$12="Solar Wind",POWER(Upgrades!$U$12,K150),1))/AG150,0)</f>
        <v>0.0026701021455238</v>
      </c>
      <c r="AT150" s="33" t="n">
        <f aca="false">IFERROR(Upgrades!$H$7*(POWER(Upgrades!$P$6,E150)*POWER(Upgrades!$P$7,F150)*POWER(Upgrades!$P$8,G150)*POWER(Upgrades!$P$9,H150)*POWER(Upgrades!$P$10,I150)*POWER(Upgrades!$P$11,J150)*POWER(Upgrades!$P$12,K150))*(IF(Upgrades!$T$6="Asteroid Belt",POWER(Upgrades!$U$6,E150),1)*IF(Upgrades!$T$8="Asteroid Belt",POWER(Upgrades!$U$8,G150),1)*IF(Upgrades!$T$9="Asteroid Belt",POWER(Upgrades!$U$9,H150),1)*IF(Upgrades!$T$10="Asteroid Belt",POWER(Upgrades!$U$10,I150),1)*IF(Upgrades!$T$11="Asteroid Belt",POWER(Upgrades!$U$11,J150),1)*IF(Upgrades!$T$12="Asteroid Belt",POWER(Upgrades!$U$12,K150),1))/AH150,0)</f>
        <v>0.00308980882652332</v>
      </c>
      <c r="AU150" s="33" t="n">
        <f aca="false">IFERROR(Upgrades!$K$8*(POWER(Upgrades!$Q$6,E150)*POWER(Upgrades!$Q$7,F150)*POWER(Upgrades!$Q$8,G150)*POWER(Upgrades!$Q$9,H150)*POWER(Upgrades!$Q$10,I150)*POWER(Upgrades!$Q$11,J150)*POWER(Upgrades!$Q$12,K150))*(IF(Upgrades!$T$6="Stellar Coupling",POWER(Upgrades!$U$6,E150),1)*IF(Upgrades!$T$7="Stellar Coupling",POWER(Upgrades!$U$7,F150),1)*IF(Upgrades!$T$9="Stellar Coupling",POWER(Upgrades!$U$9,H150),1)*IF(Upgrades!$T$10="Stellar Coupling",POWER(Upgrades!$U$10,I150),1)*IF(Upgrades!$T$11="Stellar Coupling",POWER(Upgrades!$U$11,J150),1)*IF(Upgrades!$T$12="Stellar Coupling",POWER(Upgrades!$U$12,K150),1))*Parameters!$B$10*Parameters!$B$11/60/AI150,0)</f>
        <v>0.00452762415783776</v>
      </c>
      <c r="AV150" s="33" t="n">
        <f aca="false">IFERROR(Upgrades!$H$9*(POWER(Upgrades!$P$6,E150)*POWER(Upgrades!$P$7,F150)*POWER(Upgrades!$P$8,G150)*POWER(Upgrades!$P$9,H150)*POWER(Upgrades!$P$10,I150)*POWER(Upgrades!$P$11,J150)*POWER(Upgrades!$P$12,K150))*(IF(Upgrades!$T$6="Magnetosphere",POWER(Upgrades!$U$6,E150),1)*IF(Upgrades!$T$7="Magnetosphere",POWER(Upgrades!$U$7,F150),1)*IF(Upgrades!$T$8="Magnetosphere",POWER(Upgrades!$U$8,G150),1)*IF(Upgrades!$T$10="Magnetosphere",POWER(Upgrades!$U$10,I150),1)*IF(Upgrades!$T$11="Magnetosphere",POWER(Upgrades!$U$11,J150),1)*IF(Upgrades!$T$12="Magnetosphere",POWER(Upgrades!$U$12,K150),1))/AJ150,0)</f>
        <v>0</v>
      </c>
      <c r="AW150" s="33" t="n">
        <f aca="false">MAX(IF(I150&gt;0,0,IFERROR(0.25*N150/Upgrades!$C$10,0)),IF(J150&gt;0,0,IFERROR(0.5*((IF(G150=0,0,(Upgrades!$J$8+G150*Upgrades!$K$8)*POWER(Upgrades!$L$8,G150)))*(IF(Upgrades!$T$6="Stellar Coupling",POWER(Upgrades!$U$6,E150),1)*IF(Upgrades!$T$7="Stellar Coupling",POWER(Upgrades!$U$7,F150),1)*IF(Upgrades!$T$9="Stellar Coupling",POWER(Upgrades!$U$9,H150),1)*IF(Upgrades!$T$10="Stellar Coupling",POWER(Upgrades!$U$10,I150),1)*IF(Upgrades!$T$11="Stellar Coupling",POWER(Upgrades!$U$11,J150),1)*IF(Upgrades!$T$12="Stellar Coupling",POWER(Upgrades!$U$12,K150),1))*(POWER(Upgrades!$Q$6,E150)*POWER(Upgrades!$Q$7,F150)*POWER(Upgrades!$Q$8,G150)*POWER(Upgrades!$Q$9,H150)*POWER(Upgrades!$Q$10,I150)*POWER(Upgrades!$Q$11,J150)*POWER(Upgrades!$Q$12,K150))*Parameters!$B$10*Parameters!$B$11/60)/Upgrades!$C$11,0)),IF(K150&gt;0,0,IFERROR((1*(POWER(Upgrades!$P$6,E150)*POWER(Upgrades!$P$7,F150)*POWER(Upgrades!$P$8,G150)*POWER(Upgrades!$P$9,H150)*POWER(Upgrades!$P$10,I150)*POWER(Upgrades!$P$11,J150)*POWER(Upgrades!$P$12,K150))+0.2*M150*Parameters!$B$10*Parameters!$B$11/60)/Upgrades!$C$12,0)),IF(AND(ISNUMBER(AG150),AG150&gt;T150),AS150,0),IF(AND(ISNUMBER(AH150),AH150&gt;T150),AT150,0),IF(AND(ISNUMBER(AI150),AI150&gt;T150),AU150,0),IF(AND(ISNUMBER(AJ150),AJ150&gt;T150),AV150,0))</f>
        <v>0.00452762415783776</v>
      </c>
      <c r="AX150" s="29" t="str">
        <f aca="false">IF(AN150=1,"transition",IF(MIN(IF(AND(I150=0,ISNUMBER(AK150),AK150&lt;=T150),AK150,9000000000000000),IF(AND(J150=0,ISNUMBER(AL150),AL150&lt;=T150),AL150,9000000000000000),IF(AND(K150=0,ISNUMBER(AM150),AM150&lt;=T150),AM150,9000000000000000))&lt;9000000000000000,IF(AND(AND(I150=0,ISNUMBER(AK150),AK150&lt;=T150),AK150=MIN(IF(AND(I150=0,ISNUMBER(AK150),AK150&lt;=T150),AK150,9000000000000000),IF(AND(J150=0,ISNUMBER(AL150),AL150&lt;=T150),AL150,9000000000000000),IF(AND(K150=0,ISNUMBER(AM150),AM150&lt;=T150),AM150,9000000000000000))),"OR",IF(AND(AND(J150=0,ISNUMBER(AL150),AL150&lt;=T150),AL150=MIN(IF(AND(I150=0,ISNUMBER(AK150),AK150&lt;=T150),AK150,9000000000000000),IF(AND(J150=0,ISNUMBER(AL150),AL150&lt;=T150),AL150,9000000000000000),IF(AND(K150=0,ISNUMBER(AM150),AM150&lt;=T150),AM150,9000000000000000))),"HP","FP")),IF(AR150=TRUE(),"",IF(MAX(IF(AND(NOT(AND(AO150=1,AN150&lt;&gt;1)),ISNUMBER(AG150),AG150&lt;=T150),AS150,0),IF(AND(NOT(AND(AO150=1,AN150&lt;&gt;1)),ISNUMBER(AH150),AH150&lt;=T150),AT150,0),IF(AND(NOT(AND(AO150=1,AN150&lt;&gt;1)),ISNUMBER(AI150),AI150&lt;=T150),AU150,0),IF(AND(ISNUMBER(AJ150),AJ150&lt;=T150),AV150,0))&lt;=0,"",IF(AND(IF(AND(NOT(AND(AO150=1,AN150&lt;&gt;1)),ISNUMBER(AG150),AG150&lt;=T150),AS150,0)&gt;0,IF(AND(NOT(AND(AO150=1,AN150&lt;&gt;1)),ISNUMBER(AG150),AG150&lt;=T150),AS150,0)=MAX(IF(AND(NOT(AND(AO150=1,AN150&lt;&gt;1)),ISNUMBER(AG150),AG150&lt;=T150),AS150,0),IF(AND(NOT(AND(AO150=1,AN150&lt;&gt;1)),ISNUMBER(AH150),AH150&lt;=T150),AT150,0),IF(AND(NOT(AND(AO150=1,AN150&lt;&gt;1)),ISNUMBER(AI150),AI150&lt;=T150),AU150,0),IF(AND(ISNUMBER(AJ150),AJ150&lt;=T150),AV150,0))),"SW",IF(AND(IF(AND(NOT(AND(AO150=1,AN150&lt;&gt;1)),ISNUMBER(AH150),AH150&lt;=T150),AT150,0)&gt;0,IF(AND(NOT(AND(AO150=1,AN150&lt;&gt;1)),ISNUMBER(AH150),AH150&lt;=T150),AT150,0)=MAX(IF(AND(NOT(AND(AO150=1,AN150&lt;&gt;1)),ISNUMBER(AG150),AG150&lt;=T150),AS150,0),IF(AND(NOT(AND(AO150=1,AN150&lt;&gt;1)),ISNUMBER(AH150),AH150&lt;=T150),AT150,0),IF(AND(NOT(AND(AO150=1,AN150&lt;&gt;1)),ISNUMBER(AI150),AI150&lt;=T150),AU150,0),IF(AND(ISNUMBER(AJ150),AJ150&lt;=T150),AV150,0))),"AB",IF(AND(IF(AND(NOT(AND(AO150=1,AN150&lt;&gt;1)),ISNUMBER(AI150),AI150&lt;=T150),AU150,0)&gt;0,IF(AND(NOT(AND(AO150=1,AN150&lt;&gt;1)),ISNUMBER(AI150),AI150&lt;=T150),AU150,0)=MAX(IF(AND(NOT(AND(AO150=1,AN150&lt;&gt;1)),ISNUMBER(AG150),AG150&lt;=T150),AS150,0),IF(AND(NOT(AND(AO150=1,AN150&lt;&gt;1)),ISNUMBER(AH150),AH150&lt;=T150),AT150,0),IF(AND(NOT(AND(AO150=1,AN150&lt;&gt;1)),ISNUMBER(AI150),AI150&lt;=T150),AU150,0),IF(AND(ISNUMBER(AJ150),AJ150&lt;=T150),AV150,0))),"SC","Mag")))))))</f>
        <v/>
      </c>
    </row>
    <row r="151" customFormat="false" ht="15" hidden="false" customHeight="false" outlineLevel="0" collapsed="false">
      <c r="A151" s="26" t="n">
        <v>146</v>
      </c>
      <c r="B151" s="27" t="n">
        <f aca="false">A151*10/60</f>
        <v>24.3333333333333</v>
      </c>
      <c r="C151" s="21" t="n">
        <f aca="false">X150</f>
        <v>18.6730249835055</v>
      </c>
      <c r="D151" s="27" t="n">
        <f aca="false">D150+W150</f>
        <v>0</v>
      </c>
      <c r="E151" s="26" t="n">
        <f aca="false">E150+IF(U150="SW",1,0)</f>
        <v>12</v>
      </c>
      <c r="F151" s="26" t="n">
        <f aca="false">F150+IF(U150="AB",1,0)</f>
        <v>10</v>
      </c>
      <c r="G151" s="26" t="n">
        <f aca="false">G150+IF(U150="SC",1,0)</f>
        <v>7</v>
      </c>
      <c r="H151" s="26" t="n">
        <f aca="false">H150+IF(U150="Mag",1,0)</f>
        <v>5</v>
      </c>
      <c r="I151" s="26" t="n">
        <f aca="false">MAX(I150,IF(U150="OR",1,0))</f>
        <v>1</v>
      </c>
      <c r="J151" s="26" t="n">
        <f aca="false">MAX(J150,IF(U150="HP",1,0))</f>
        <v>1</v>
      </c>
      <c r="K151" s="26" t="n">
        <f aca="false">MAX(K150,IF(U150="FP",1,0))</f>
        <v>1</v>
      </c>
      <c r="L151" s="26" t="n">
        <f aca="false">MAX(L150,IF(U150="transition",1,0))</f>
        <v>1</v>
      </c>
      <c r="M151" s="28" t="n">
        <f aca="false">(Parameters!$B$9+(IF(E151=0,0,(Upgrades!$J$6+E151*Upgrades!$K$6)*POWER(Upgrades!$L$6,E151)))*(IF(Upgrades!$T$7="Solar Wind",POWER(Upgrades!$U$7,F151),1)*IF(Upgrades!$T$8="Solar Wind",POWER(Upgrades!$U$8,G151),1)*IF(Upgrades!$T$9="Solar Wind",POWER(Upgrades!$U$9,H151),1)*IF(Upgrades!$T$10="Solar Wind",POWER(Upgrades!$U$10,I151),1)*IF(Upgrades!$T$11="Solar Wind",POWER(Upgrades!$U$11,J151),1)*IF(Upgrades!$T$12="Solar Wind",POWER(Upgrades!$U$12,K151),1))+(IF(F151=0,0,(Upgrades!$J$7+F151*Upgrades!$K$7)*POWER(Upgrades!$L$7,F151)))*(IF(Upgrades!$T$6="Asteroid Belt",POWER(Upgrades!$U$6,E151),1)*IF(Upgrades!$T$8="Asteroid Belt",POWER(Upgrades!$U$8,G151),1)*IF(Upgrades!$T$9="Asteroid Belt",POWER(Upgrades!$U$9,H151),1)*IF(Upgrades!$T$10="Asteroid Belt",POWER(Upgrades!$U$10,I151),1)*IF(Upgrades!$T$11="Asteroid Belt",POWER(Upgrades!$U$11,J151),1)*IF(Upgrades!$T$12="Asteroid Belt",POWER(Upgrades!$U$12,K151),1))+(IF(G151=0,0,(Upgrades!$J$8+G151*Upgrades!$K$8)*POWER(Upgrades!$L$8,G151)))*(IF(Upgrades!$T$6="Stellar Coupling",POWER(Upgrades!$U$6,E151),1)*IF(Upgrades!$T$7="Stellar Coupling",POWER(Upgrades!$U$7,F151),1)*IF(Upgrades!$T$9="Stellar Coupling",POWER(Upgrades!$U$9,H151),1)*IF(Upgrades!$T$10="Stellar Coupling",POWER(Upgrades!$U$10,I151),1)*IF(Upgrades!$T$11="Stellar Coupling",POWER(Upgrades!$U$11,J151),1)*IF(Upgrades!$T$12="Stellar Coupling",POWER(Upgrades!$U$12,K151),1))+(IF(H151=0,0,(Upgrades!$J$9+H151*Upgrades!$K$9)*POWER(Upgrades!$L$9,H151)))*(IF(Upgrades!$T$6="Magnetosphere",POWER(Upgrades!$U$6,E151),1)*IF(Upgrades!$T$7="Magnetosphere",POWER(Upgrades!$U$7,F151),1)*IF(Upgrades!$T$8="Magnetosphere",POWER(Upgrades!$U$8,G151),1)*IF(Upgrades!$T$10="Magnetosphere",POWER(Upgrades!$U$10,I151),1)*IF(Upgrades!$T$11="Magnetosphere",POWER(Upgrades!$U$11,J151),1)*IF(Upgrades!$T$12="Magnetosphere",POWER(Upgrades!$U$12,K151),1))+(IF(I151=0,0,(Upgrades!$J$10+I151*Upgrades!$K$10)*POWER(Upgrades!$L$10,I151)))*(IF(Upgrades!$T$6="Orbital Resonance",POWER(Upgrades!$U$6,E151),1)*IF(Upgrades!$T$7="Orbital Resonance",POWER(Upgrades!$U$7,F151),1)*IF(Upgrades!$T$8="Orbital Resonance",POWER(Upgrades!$U$8,G151),1)*IF(Upgrades!$T$9="Orbital Resonance",POWER(Upgrades!$U$9,H151),1)*IF(Upgrades!$T$11="Orbital Resonance",POWER(Upgrades!$U$11,J151),1)*IF(Upgrades!$T$12="Orbital Resonance",POWER(Upgrades!$U$12,K151),1))+(IF(J151=0,0,(Upgrades!$J$11+J151*Upgrades!$K$11)*POWER(Upgrades!$L$11,J151)))*(IF(Upgrades!$T$6="Heliopause",POWER(Upgrades!$U$6,E151),1)*IF(Upgrades!$T$7="Heliopause",POWER(Upgrades!$U$7,F151),1)*IF(Upgrades!$T$8="Heliopause",POWER(Upgrades!$U$8,G151),1)*IF(Upgrades!$T$9="Heliopause",POWER(Upgrades!$U$9,H151),1)*IF(Upgrades!$T$10="Heliopause",POWER(Upgrades!$U$10,I151),1)*IF(Upgrades!$T$12="Heliopause",POWER(Upgrades!$U$12,K151),1))+(IF(K151=0,0,(Upgrades!$J$12+K151*Upgrades!$K$12)*POWER(Upgrades!$L$12,K151)))*(IF(Upgrades!$T$6="First Photons",POWER(Upgrades!$U$6,E151),1)*IF(Upgrades!$T$7="First Photons",POWER(Upgrades!$U$7,F151),1)*IF(Upgrades!$T$8="First Photons",POWER(Upgrades!$U$8,G151),1)*IF(Upgrades!$T$9="First Photons",POWER(Upgrades!$U$9,H151),1)*IF(Upgrades!$T$10="First Photons",POWER(Upgrades!$U$10,I151),1)*IF(Upgrades!$T$11="First Photons",POWER(Upgrades!$U$11,J151),1)))*POWER(Upgrades!$Q$6,E151)*POWER(Upgrades!$Q$7,F151)*POWER(Upgrades!$Q$8,G151)*POWER(Upgrades!$Q$9,H151)*POWER(Upgrades!$Q$10,I151)*POWER(Upgrades!$Q$11,J151)*POWER(Upgrades!$Q$12,K151)</f>
        <v>5.61</v>
      </c>
      <c r="N151" s="28" t="n">
        <f aca="false">((IF(E151=0,0,(Upgrades!$G$6+E151*Upgrades!$H$6)*POWER(Upgrades!$I$6,E151)))*(IF(Upgrades!$T$7="Solar Wind",POWER(Upgrades!$U$7,F151),1)*IF(Upgrades!$T$8="Solar Wind",POWER(Upgrades!$U$8,G151),1)*IF(Upgrades!$T$9="Solar Wind",POWER(Upgrades!$U$9,H151),1)*IF(Upgrades!$T$10="Solar Wind",POWER(Upgrades!$U$10,I151),1)*IF(Upgrades!$T$11="Solar Wind",POWER(Upgrades!$U$11,J151),1)*IF(Upgrades!$T$12="Solar Wind",POWER(Upgrades!$U$12,K151),1))+(IF(F151=0,0,(Upgrades!$G$7+F151*Upgrades!$H$7)*POWER(Upgrades!$I$7,F151)))*(IF(Upgrades!$T$6="Asteroid Belt",POWER(Upgrades!$U$6,E151),1)*IF(Upgrades!$T$8="Asteroid Belt",POWER(Upgrades!$U$8,G151),1)*IF(Upgrades!$T$9="Asteroid Belt",POWER(Upgrades!$U$9,H151),1)*IF(Upgrades!$T$10="Asteroid Belt",POWER(Upgrades!$U$10,I151),1)*IF(Upgrades!$T$11="Asteroid Belt",POWER(Upgrades!$U$11,J151),1)*IF(Upgrades!$T$12="Asteroid Belt",POWER(Upgrades!$U$12,K151),1))+(IF(G151=0,0,(Upgrades!$G$8+G151*Upgrades!$H$8)*POWER(Upgrades!$I$8,G151)))*(IF(Upgrades!$T$6="Stellar Coupling",POWER(Upgrades!$U$6,E151),1)*IF(Upgrades!$T$7="Stellar Coupling",POWER(Upgrades!$U$7,F151),1)*IF(Upgrades!$T$9="Stellar Coupling",POWER(Upgrades!$U$9,H151),1)*IF(Upgrades!$T$10="Stellar Coupling",POWER(Upgrades!$U$10,I151),1)*IF(Upgrades!$T$11="Stellar Coupling",POWER(Upgrades!$U$11,J151),1)*IF(Upgrades!$T$12="Stellar Coupling",POWER(Upgrades!$U$12,K151),1))+(IF(H151=0,0,(Upgrades!$G$9+H151*Upgrades!$H$9)*POWER(Upgrades!$I$9,H151)))*(IF(Upgrades!$T$6="Magnetosphere",POWER(Upgrades!$U$6,E151),1)*IF(Upgrades!$T$7="Magnetosphere",POWER(Upgrades!$U$7,F151),1)*IF(Upgrades!$T$8="Magnetosphere",POWER(Upgrades!$U$8,G151),1)*IF(Upgrades!$T$10="Magnetosphere",POWER(Upgrades!$U$10,I151),1)*IF(Upgrades!$T$11="Magnetosphere",POWER(Upgrades!$U$11,J151),1)*IF(Upgrades!$T$12="Magnetosphere",POWER(Upgrades!$U$12,K151),1))+(IF(I151=0,0,(Upgrades!$G$10+I151*Upgrades!$H$10)*POWER(Upgrades!$I$10,I151)))*(IF(Upgrades!$T$6="Orbital Resonance",POWER(Upgrades!$U$6,E151),1)*IF(Upgrades!$T$7="Orbital Resonance",POWER(Upgrades!$U$7,F151),1)*IF(Upgrades!$T$8="Orbital Resonance",POWER(Upgrades!$U$8,G151),1)*IF(Upgrades!$T$9="Orbital Resonance",POWER(Upgrades!$U$9,H151),1)*IF(Upgrades!$T$11="Orbital Resonance",POWER(Upgrades!$U$11,J151),1)*IF(Upgrades!$T$12="Orbital Resonance",POWER(Upgrades!$U$12,K151),1))+(IF(J151=0,0,(Upgrades!$G$11+J151*Upgrades!$H$11)*POWER(Upgrades!$I$11,J151)))*(IF(Upgrades!$T$6="Heliopause",POWER(Upgrades!$U$6,E151),1)*IF(Upgrades!$T$7="Heliopause",POWER(Upgrades!$U$7,F151),1)*IF(Upgrades!$T$8="Heliopause",POWER(Upgrades!$U$8,G151),1)*IF(Upgrades!$T$9="Heliopause",POWER(Upgrades!$U$9,H151),1)*IF(Upgrades!$T$10="Heliopause",POWER(Upgrades!$U$10,I151),1)*IF(Upgrades!$T$12="Heliopause",POWER(Upgrades!$U$12,K151),1))+(IF(K151=0,0,(Upgrades!$G$12+K151*Upgrades!$H$12)*POWER(Upgrades!$I$12,K151)))*(IF(Upgrades!$T$6="First Photons",POWER(Upgrades!$U$6,E151),1)*IF(Upgrades!$T$7="First Photons",POWER(Upgrades!$U$7,F151),1)*IF(Upgrades!$T$8="First Photons",POWER(Upgrades!$U$8,G151),1)*IF(Upgrades!$T$9="First Photons",POWER(Upgrades!$U$9,H151),1)*IF(Upgrades!$T$10="First Photons",POWER(Upgrades!$U$10,I151),1)*IF(Upgrades!$T$11="First Photons",POWER(Upgrades!$U$11,J151),1)))*POWER(Upgrades!$P$6,E151)*POWER(Upgrades!$P$7,F151)*POWER(Upgrades!$P$8,G151)*POWER(Upgrades!$P$9,H151)*POWER(Upgrades!$P$10,I151)*POWER(Upgrades!$P$11,J151)*POWER(Upgrades!$P$12,K151)</f>
        <v>11.2</v>
      </c>
      <c r="O151" s="28" t="n">
        <f aca="false">((IF(E151=0,0,(Upgrades!$M$6+E151*Upgrades!$N$6)*POWER(Upgrades!$O$6,E151)))*(IF(Upgrades!$T$7="Solar Wind",POWER(Upgrades!$U$7,F151),1)*IF(Upgrades!$T$8="Solar Wind",POWER(Upgrades!$U$8,G151),1)*IF(Upgrades!$T$9="Solar Wind",POWER(Upgrades!$U$9,H151),1)*IF(Upgrades!$T$10="Solar Wind",POWER(Upgrades!$U$10,I151),1)*IF(Upgrades!$T$11="Solar Wind",POWER(Upgrades!$U$11,J151),1)*IF(Upgrades!$T$12="Solar Wind",POWER(Upgrades!$U$12,K151),1))+(IF(F151=0,0,(Upgrades!$M$7+F151*Upgrades!$N$7)*POWER(Upgrades!$O$7,F151)))*(IF(Upgrades!$T$6="Asteroid Belt",POWER(Upgrades!$U$6,E151),1)*IF(Upgrades!$T$8="Asteroid Belt",POWER(Upgrades!$U$8,G151),1)*IF(Upgrades!$T$9="Asteroid Belt",POWER(Upgrades!$U$9,H151),1)*IF(Upgrades!$T$10="Asteroid Belt",POWER(Upgrades!$U$10,I151),1)*IF(Upgrades!$T$11="Asteroid Belt",POWER(Upgrades!$U$11,J151),1)*IF(Upgrades!$T$12="Asteroid Belt",POWER(Upgrades!$U$12,K151),1))+(IF(G151=0,0,(Upgrades!$M$8+G151*Upgrades!$N$8)*POWER(Upgrades!$O$8,G151)))*(IF(Upgrades!$T$6="Stellar Coupling",POWER(Upgrades!$U$6,E151),1)*IF(Upgrades!$T$7="Stellar Coupling",POWER(Upgrades!$U$7,F151),1)*IF(Upgrades!$T$9="Stellar Coupling",POWER(Upgrades!$U$9,H151),1)*IF(Upgrades!$T$10="Stellar Coupling",POWER(Upgrades!$U$10,I151),1)*IF(Upgrades!$T$11="Stellar Coupling",POWER(Upgrades!$U$11,J151),1)*IF(Upgrades!$T$12="Stellar Coupling",POWER(Upgrades!$U$12,K151),1))+(IF(H151=0,0,(Upgrades!$M$9+H151*Upgrades!$N$9)*POWER(Upgrades!$O$9,H151)))*(IF(Upgrades!$T$6="Magnetosphere",POWER(Upgrades!$U$6,E151),1)*IF(Upgrades!$T$7="Magnetosphere",POWER(Upgrades!$U$7,F151),1)*IF(Upgrades!$T$8="Magnetosphere",POWER(Upgrades!$U$8,G151),1)*IF(Upgrades!$T$10="Magnetosphere",POWER(Upgrades!$U$10,I151),1)*IF(Upgrades!$T$11="Magnetosphere",POWER(Upgrades!$U$11,J151),1)*IF(Upgrades!$T$12="Magnetosphere",POWER(Upgrades!$U$12,K151),1))+(IF(I151=0,0,(Upgrades!$M$10+I151*Upgrades!$N$10)*POWER(Upgrades!$O$10,I151)))*(IF(Upgrades!$T$6="Orbital Resonance",POWER(Upgrades!$U$6,E151),1)*IF(Upgrades!$T$7="Orbital Resonance",POWER(Upgrades!$U$7,F151),1)*IF(Upgrades!$T$8="Orbital Resonance",POWER(Upgrades!$U$8,G151),1)*IF(Upgrades!$T$9="Orbital Resonance",POWER(Upgrades!$U$9,H151),1)*IF(Upgrades!$T$11="Orbital Resonance",POWER(Upgrades!$U$11,J151),1)*IF(Upgrades!$T$12="Orbital Resonance",POWER(Upgrades!$U$12,K151),1))+(IF(J151=0,0,(Upgrades!$M$11+J151*Upgrades!$N$11)*POWER(Upgrades!$O$11,J151)))*(IF(Upgrades!$T$6="Heliopause",POWER(Upgrades!$U$6,E151),1)*IF(Upgrades!$T$7="Heliopause",POWER(Upgrades!$U$7,F151),1)*IF(Upgrades!$T$8="Heliopause",POWER(Upgrades!$U$8,G151),1)*IF(Upgrades!$T$9="Heliopause",POWER(Upgrades!$U$9,H151),1)*IF(Upgrades!$T$10="Heliopause",POWER(Upgrades!$U$10,I151),1)*IF(Upgrades!$T$12="Heliopause",POWER(Upgrades!$U$12,K151),1))+(IF(K151=0,0,(Upgrades!$M$12+K151*Upgrades!$N$12)*POWER(Upgrades!$O$12,K151)))*(IF(Upgrades!$T$6="First Photons",POWER(Upgrades!$U$6,E151),1)*IF(Upgrades!$T$7="First Photons",POWER(Upgrades!$U$7,F151),1)*IF(Upgrades!$T$8="First Photons",POWER(Upgrades!$U$8,G151),1)*IF(Upgrades!$T$9="First Photons",POWER(Upgrades!$U$9,H151),1)*IF(Upgrades!$T$10="First Photons",POWER(Upgrades!$U$10,I151),1)*IF(Upgrades!$T$11="First Photons",POWER(Upgrades!$U$11,J151),1)))*POWER(Upgrades!$R$6,E151)*POWER(Upgrades!$R$7,F151)*POWER(Upgrades!$R$8,G151)*POWER(Upgrades!$R$9,H151)*POWER(Upgrades!$R$10,I151)*POWER(Upgrades!$R$11,J151)*POWER(Upgrades!$R$12,K151)</f>
        <v>0</v>
      </c>
      <c r="P151" s="27" t="n">
        <f aca="false">IF(L151=1,0,M151*Parameters!$B$10/60*Parameters!$B$11*10)</f>
        <v>0</v>
      </c>
      <c r="Q151" s="27" t="n">
        <f aca="false">IF(L151=1,0,O151*M151*10)</f>
        <v>0</v>
      </c>
      <c r="R151" s="27" t="n">
        <f aca="false">IF(L151=1,0,N151*10)</f>
        <v>0</v>
      </c>
      <c r="S151" s="27" t="n">
        <f aca="false">P151+Q151+R151</f>
        <v>0</v>
      </c>
      <c r="T151" s="21" t="n">
        <f aca="false">C151+S151</f>
        <v>18.6730249835055</v>
      </c>
      <c r="U151" s="34" t="str">
        <f aca="false">AX151</f>
        <v/>
      </c>
      <c r="V151" s="21" t="n">
        <f aca="false">IF(U151="",0,IF(U151="transition",0,IF(U151="SW",AG151,IF(U151="AB",AH151,IF(U151="SC",AI151,IF(U151="Mag",AJ151,IF(U151="OR",AK151,IF(U151="HP",AL151,IF(U151="FP",AM151,0)))))))))</f>
        <v>0</v>
      </c>
      <c r="W151" s="27" t="n">
        <f aca="false">IF(U151="OR",Upgrades!$F$10,IF(U151="HP",Upgrades!$F$11,IF(U151="transition",-Parameters!$B$18,0)))</f>
        <v>0</v>
      </c>
      <c r="X151" s="21" t="n">
        <f aca="false">T151-V151</f>
        <v>18.6730249835055</v>
      </c>
      <c r="Y151" s="30" t="n">
        <f aca="false">M151*Parameters!$B$10/60*Parameters!$B$11+O151*M151+N151</f>
        <v>20.55</v>
      </c>
      <c r="Z151" s="35" t="str">
        <f aca="false">IF(U151="transition","→ Tier 2 (Stellar Neighborhood)",IF(U151="FP","First Photons — light begins, system quickens",IF(U151="HP","Heliopause acquired",IF(U151="OR","Orbital Resonance — passive multiplier active",IF(AND(AO151=1,L151=0,AN151&lt;&gt;1),"Cohesion ready (waiting on completionist upgrades)","")))))</f>
        <v/>
      </c>
      <c r="AA151" s="27" t="n">
        <f aca="false">(IF(E151=0,0,(Upgrades!$G$6+E151*Upgrades!$H$6)*POWER(Upgrades!$I$6,E151)))*(IF(Upgrades!$T$7="Solar Wind",POWER(Upgrades!$U$7,F151),1)*IF(Upgrades!$T$8="Solar Wind",POWER(Upgrades!$U$8,G151),1)*IF(Upgrades!$T$9="Solar Wind",POWER(Upgrades!$U$9,H151),1)*IF(Upgrades!$T$10="Solar Wind",POWER(Upgrades!$U$10,I151),1)*IF(Upgrades!$T$11="Solar Wind",POWER(Upgrades!$U$11,J151),1)*IF(Upgrades!$T$12="Solar Wind",POWER(Upgrades!$U$12,K151),1))*POWER(Upgrades!$P$6,E151)*POWER(Upgrades!$P$7,F151)*POWER(Upgrades!$P$8,G151)*POWER(Upgrades!$P$9,H151)*POWER(Upgrades!$P$10,I151)*POWER(Upgrades!$P$11,J151)*POWER(Upgrades!$P$12,K151)*60</f>
        <v>72</v>
      </c>
      <c r="AB151" s="27" t="n">
        <f aca="false">(IF(F151=0,0,(Upgrades!$G$7+F151*Upgrades!$H$7)*POWER(Upgrades!$I$7,F151)))*(IF(Upgrades!$T$6="Asteroid Belt",POWER(Upgrades!$U$6,E151),1)*IF(Upgrades!$T$8="Asteroid Belt",POWER(Upgrades!$U$8,G151),1)*IF(Upgrades!$T$9="Asteroid Belt",POWER(Upgrades!$U$9,H151),1)*IF(Upgrades!$T$10="Asteroid Belt",POWER(Upgrades!$U$10,I151),1)*IF(Upgrades!$T$11="Asteroid Belt",POWER(Upgrades!$U$11,J151),1)*IF(Upgrades!$T$12="Asteroid Belt",POWER(Upgrades!$U$12,K151),1))*POWER(Upgrades!$P$6,E151)*POWER(Upgrades!$P$7,F151)*POWER(Upgrades!$P$8,G151)*POWER(Upgrades!$P$9,H151)*POWER(Upgrades!$P$10,I151)*POWER(Upgrades!$P$11,J151)*POWER(Upgrades!$P$12,K151)*60</f>
        <v>150</v>
      </c>
      <c r="AC151" s="27" t="n">
        <f aca="false">(IF(G151=0,0,(Upgrades!$J$8+G151*Upgrades!$K$8)*POWER(Upgrades!$L$8,G151)))*(IF(Upgrades!$T$6="Stellar Coupling",POWER(Upgrades!$U$6,E151),1)*IF(Upgrades!$T$7="Stellar Coupling",POWER(Upgrades!$U$7,F151),1)*IF(Upgrades!$T$9="Stellar Coupling",POWER(Upgrades!$U$9,H151),1)*IF(Upgrades!$T$10="Stellar Coupling",POWER(Upgrades!$U$10,I151),1)*IF(Upgrades!$T$11="Stellar Coupling",POWER(Upgrades!$U$11,J151),1)*IF(Upgrades!$T$12="Stellar Coupling",POWER(Upgrades!$U$12,K151),1))*POWER(Upgrades!$Q$6,E151)*POWER(Upgrades!$Q$7,F151)*POWER(Upgrades!$Q$8,G151)*POWER(Upgrades!$Q$9,H151)*POWER(Upgrades!$Q$10,I151)*POWER(Upgrades!$Q$11,J151)*POWER(Upgrades!$Q$12,K151)*Parameters!$B$10*Parameters!$B$11</f>
        <v>441</v>
      </c>
      <c r="AD151" s="27" t="n">
        <f aca="false">(IF(H151=0,0,(Upgrades!$G$9+H151*Upgrades!$H$9)*POWER(Upgrades!$I$9,H151)))*(IF(Upgrades!$T$6="Magnetosphere",POWER(Upgrades!$U$6,E151),1)*IF(Upgrades!$T$7="Magnetosphere",POWER(Upgrades!$U$7,F151),1)*IF(Upgrades!$T$8="Magnetosphere",POWER(Upgrades!$U$8,G151),1)*IF(Upgrades!$T$10="Magnetosphere",POWER(Upgrades!$U$10,I151),1)*IF(Upgrades!$T$11="Magnetosphere",POWER(Upgrades!$U$11,J151),1)*IF(Upgrades!$T$12="Magnetosphere",POWER(Upgrades!$U$12,K151),1))*POWER(Upgrades!$P$6,E151)*POWER(Upgrades!$P$7,F151)*POWER(Upgrades!$P$8,G151)*POWER(Upgrades!$P$9,H151)*POWER(Upgrades!$P$10,I151)*POWER(Upgrades!$P$11,J151)*POWER(Upgrades!$P$12,K151)*60</f>
        <v>375</v>
      </c>
      <c r="AE151" s="27" t="n">
        <f aca="false">(IF(K151=0,0,(Upgrades!$G$12+K151*Upgrades!$H$12)*POWER(Upgrades!$I$12,K151)))*(IF(Upgrades!$T$6="First Photons",POWER(Upgrades!$U$6,E151),1)*IF(Upgrades!$T$7="First Photons",POWER(Upgrades!$U$7,F151),1)*IF(Upgrades!$T$8="First Photons",POWER(Upgrades!$U$8,G151),1)*IF(Upgrades!$T$9="First Photons",POWER(Upgrades!$U$9,H151),1)*IF(Upgrades!$T$10="First Photons",POWER(Upgrades!$U$10,I151),1)*IF(Upgrades!$T$11="First Photons",POWER(Upgrades!$U$11,J151),1))*POWER(Upgrades!$P$6,E151)*POWER(Upgrades!$P$7,F151)*POWER(Upgrades!$P$8,G151)*POWER(Upgrades!$P$9,H151)*POWER(Upgrades!$P$10,I151)*POWER(Upgrades!$P$11,J151)*POWER(Upgrades!$P$12,K151)*60</f>
        <v>75</v>
      </c>
      <c r="AF151" s="27" t="n">
        <f aca="false">Parameters!$B$9*POWER(Upgrades!$Q$6,E151)*POWER(Upgrades!$Q$7,F151)*POWER(Upgrades!$Q$8,G151)*POWER(Upgrades!$Q$9,H151)*POWER(Upgrades!$Q$10,I151)*POWER(Upgrades!$Q$11,J151)*POWER(Upgrades!$Q$12,K151)*(Parameters!$B$10*Parameters!$B$11+O151*60)</f>
        <v>120</v>
      </c>
      <c r="AG151" s="21" t="n">
        <f aca="false">IF(E151&gt;=Upgrades!$E$6,"",Upgrades!$C$6*POWER(Upgrades!$D$6,E151))</f>
        <v>37.4517507383159</v>
      </c>
      <c r="AH151" s="21" t="n">
        <f aca="false">IF(F151&gt;=Upgrades!$E$7,"",Upgrades!$C$7*POWER(Upgrades!$D$7,F151))</f>
        <v>80.9111547141581</v>
      </c>
      <c r="AI151" s="21" t="n">
        <f aca="false">IF(G151&gt;=Upgrades!$E$8,"",Upgrades!$C$8*POWER(Upgrades!$D$8,G151))</f>
        <v>231.9097088</v>
      </c>
      <c r="AJ151" s="21" t="str">
        <f aca="false">IF(H151&gt;=Upgrades!$E$9,"",Upgrades!$C$9*POWER(Upgrades!$D$9,H151))</f>
        <v/>
      </c>
      <c r="AK151" s="21" t="str">
        <f aca="false">IF(I151&gt;=Upgrades!$E$10,"",Upgrades!$C$10*POWER(Upgrades!$D$10,I151))</f>
        <v/>
      </c>
      <c r="AL151" s="21" t="str">
        <f aca="false">IF(J151&gt;=Upgrades!$E$11,"",Upgrades!$C$11*POWER(Upgrades!$D$11,J151))</f>
        <v/>
      </c>
      <c r="AM151" s="21" t="str">
        <f aca="false">IF(K151&gt;=Upgrades!$E$12,"",Upgrades!$C$12*POWER(Upgrades!$D$12,K151))</f>
        <v/>
      </c>
      <c r="AN151" s="26" t="str">
        <f aca="false">IF(AND(D151&gt;=Parameters!$B$18,(H151&gt;=Upgrades!$E$9)*(K151&gt;=Upgrades!$E$12)=1,L151=0),1,"")</f>
        <v/>
      </c>
      <c r="AO151" s="26" t="str">
        <f aca="false">IF(AND(D151&gt;=Parameters!$B$18,L151=0),1,"")</f>
        <v/>
      </c>
      <c r="AP151" s="21" t="n">
        <f aca="false">MIN(IF(ISNUMBER(AK151),AK151,9000000000000000),IF(ISNUMBER(AL151),AL151,9000000000000000),IF(ISNUMBER(AM151),AM151,9000000000000000))</f>
        <v>9000000000000000</v>
      </c>
      <c r="AQ151" s="21" t="n">
        <f aca="false">MIN(IF(ISNUMBER(AG151),AG151,9000000000000000),IF(ISNUMBER(AH151),AH151,9000000000000000),IF(ISNUMBER(AI151),AI151,9000000000000000),IF(ISNUMBER(AJ151),AJ151,9000000000000000))</f>
        <v>37.4517507383159</v>
      </c>
      <c r="AR151" s="32" t="b">
        <f aca="false">IF(AW151&gt;Parameters!$B$21*(MAX(IF(AND(NOT(AND(AO151=1,AN151&lt;&gt;1)),ISNUMBER(AG151),AG151&lt;=T151),AS151,0),IF(AND(NOT(AND(AO151=1,AN151&lt;&gt;1)),ISNUMBER(AH151),AH151&lt;=T151),AT151,0),IF(AND(NOT(AND(AO151=1,AN151&lt;&gt;1)),ISNUMBER(AI151),AI151&lt;=T151),AU151,0),IF(AND(ISNUMBER(AJ151),AJ151&lt;=T151),AV151,0))),TRUE(),FALSE())</f>
        <v>1</v>
      </c>
      <c r="AS151" s="33" t="n">
        <f aca="false">IFERROR(Upgrades!$H$6*(POWER(Upgrades!$P$6,E151)*POWER(Upgrades!$P$7,F151)*POWER(Upgrades!$P$8,G151)*POWER(Upgrades!$P$9,H151)*POWER(Upgrades!$P$10,I151)*POWER(Upgrades!$P$11,J151)*POWER(Upgrades!$P$12,K151))*(IF(Upgrades!$T$7="Solar Wind",POWER(Upgrades!$U$7,F151),1)*IF(Upgrades!$T$8="Solar Wind",POWER(Upgrades!$U$8,G151),1)*IF(Upgrades!$T$9="Solar Wind",POWER(Upgrades!$U$9,H151),1)*IF(Upgrades!$T$10="Solar Wind",POWER(Upgrades!$U$10,I151),1)*IF(Upgrades!$T$11="Solar Wind",POWER(Upgrades!$U$11,J151),1)*IF(Upgrades!$T$12="Solar Wind",POWER(Upgrades!$U$12,K151),1))/AG151,0)</f>
        <v>0.0026701021455238</v>
      </c>
      <c r="AT151" s="33" t="n">
        <f aca="false">IFERROR(Upgrades!$H$7*(POWER(Upgrades!$P$6,E151)*POWER(Upgrades!$P$7,F151)*POWER(Upgrades!$P$8,G151)*POWER(Upgrades!$P$9,H151)*POWER(Upgrades!$P$10,I151)*POWER(Upgrades!$P$11,J151)*POWER(Upgrades!$P$12,K151))*(IF(Upgrades!$T$6="Asteroid Belt",POWER(Upgrades!$U$6,E151),1)*IF(Upgrades!$T$8="Asteroid Belt",POWER(Upgrades!$U$8,G151),1)*IF(Upgrades!$T$9="Asteroid Belt",POWER(Upgrades!$U$9,H151),1)*IF(Upgrades!$T$10="Asteroid Belt",POWER(Upgrades!$U$10,I151),1)*IF(Upgrades!$T$11="Asteroid Belt",POWER(Upgrades!$U$11,J151),1)*IF(Upgrades!$T$12="Asteroid Belt",POWER(Upgrades!$U$12,K151),1))/AH151,0)</f>
        <v>0.00308980882652332</v>
      </c>
      <c r="AU151" s="33" t="n">
        <f aca="false">IFERROR(Upgrades!$K$8*(POWER(Upgrades!$Q$6,E151)*POWER(Upgrades!$Q$7,F151)*POWER(Upgrades!$Q$8,G151)*POWER(Upgrades!$Q$9,H151)*POWER(Upgrades!$Q$10,I151)*POWER(Upgrades!$Q$11,J151)*POWER(Upgrades!$Q$12,K151))*(IF(Upgrades!$T$6="Stellar Coupling",POWER(Upgrades!$U$6,E151),1)*IF(Upgrades!$T$7="Stellar Coupling",POWER(Upgrades!$U$7,F151),1)*IF(Upgrades!$T$9="Stellar Coupling",POWER(Upgrades!$U$9,H151),1)*IF(Upgrades!$T$10="Stellar Coupling",POWER(Upgrades!$U$10,I151),1)*IF(Upgrades!$T$11="Stellar Coupling",POWER(Upgrades!$U$11,J151),1)*IF(Upgrades!$T$12="Stellar Coupling",POWER(Upgrades!$U$12,K151),1))*Parameters!$B$10*Parameters!$B$11/60/AI151,0)</f>
        <v>0.00452762415783776</v>
      </c>
      <c r="AV151" s="33" t="n">
        <f aca="false">IFERROR(Upgrades!$H$9*(POWER(Upgrades!$P$6,E151)*POWER(Upgrades!$P$7,F151)*POWER(Upgrades!$P$8,G151)*POWER(Upgrades!$P$9,H151)*POWER(Upgrades!$P$10,I151)*POWER(Upgrades!$P$11,J151)*POWER(Upgrades!$P$12,K151))*(IF(Upgrades!$T$6="Magnetosphere",POWER(Upgrades!$U$6,E151),1)*IF(Upgrades!$T$7="Magnetosphere",POWER(Upgrades!$U$7,F151),1)*IF(Upgrades!$T$8="Magnetosphere",POWER(Upgrades!$U$8,G151),1)*IF(Upgrades!$T$10="Magnetosphere",POWER(Upgrades!$U$10,I151),1)*IF(Upgrades!$T$11="Magnetosphere",POWER(Upgrades!$U$11,J151),1)*IF(Upgrades!$T$12="Magnetosphere",POWER(Upgrades!$U$12,K151),1))/AJ151,0)</f>
        <v>0</v>
      </c>
      <c r="AW151" s="33" t="n">
        <f aca="false">MAX(IF(I151&gt;0,0,IFERROR(0.25*N151/Upgrades!$C$10,0)),IF(J151&gt;0,0,IFERROR(0.5*((IF(G151=0,0,(Upgrades!$J$8+G151*Upgrades!$K$8)*POWER(Upgrades!$L$8,G151)))*(IF(Upgrades!$T$6="Stellar Coupling",POWER(Upgrades!$U$6,E151),1)*IF(Upgrades!$T$7="Stellar Coupling",POWER(Upgrades!$U$7,F151),1)*IF(Upgrades!$T$9="Stellar Coupling",POWER(Upgrades!$U$9,H151),1)*IF(Upgrades!$T$10="Stellar Coupling",POWER(Upgrades!$U$10,I151),1)*IF(Upgrades!$T$11="Stellar Coupling",POWER(Upgrades!$U$11,J151),1)*IF(Upgrades!$T$12="Stellar Coupling",POWER(Upgrades!$U$12,K151),1))*(POWER(Upgrades!$Q$6,E151)*POWER(Upgrades!$Q$7,F151)*POWER(Upgrades!$Q$8,G151)*POWER(Upgrades!$Q$9,H151)*POWER(Upgrades!$Q$10,I151)*POWER(Upgrades!$Q$11,J151)*POWER(Upgrades!$Q$12,K151))*Parameters!$B$10*Parameters!$B$11/60)/Upgrades!$C$11,0)),IF(K151&gt;0,0,IFERROR((1*(POWER(Upgrades!$P$6,E151)*POWER(Upgrades!$P$7,F151)*POWER(Upgrades!$P$8,G151)*POWER(Upgrades!$P$9,H151)*POWER(Upgrades!$P$10,I151)*POWER(Upgrades!$P$11,J151)*POWER(Upgrades!$P$12,K151))+0.2*M151*Parameters!$B$10*Parameters!$B$11/60)/Upgrades!$C$12,0)),IF(AND(ISNUMBER(AG151),AG151&gt;T151),AS151,0),IF(AND(ISNUMBER(AH151),AH151&gt;T151),AT151,0),IF(AND(ISNUMBER(AI151),AI151&gt;T151),AU151,0),IF(AND(ISNUMBER(AJ151),AJ151&gt;T151),AV151,0))</f>
        <v>0.00452762415783776</v>
      </c>
      <c r="AX151" s="29" t="str">
        <f aca="false">IF(AN151=1,"transition",IF(MIN(IF(AND(I151=0,ISNUMBER(AK151),AK151&lt;=T151),AK151,9000000000000000),IF(AND(J151=0,ISNUMBER(AL151),AL151&lt;=T151),AL151,9000000000000000),IF(AND(K151=0,ISNUMBER(AM151),AM151&lt;=T151),AM151,9000000000000000))&lt;9000000000000000,IF(AND(AND(I151=0,ISNUMBER(AK151),AK151&lt;=T151),AK151=MIN(IF(AND(I151=0,ISNUMBER(AK151),AK151&lt;=T151),AK151,9000000000000000),IF(AND(J151=0,ISNUMBER(AL151),AL151&lt;=T151),AL151,9000000000000000),IF(AND(K151=0,ISNUMBER(AM151),AM151&lt;=T151),AM151,9000000000000000))),"OR",IF(AND(AND(J151=0,ISNUMBER(AL151),AL151&lt;=T151),AL151=MIN(IF(AND(I151=0,ISNUMBER(AK151),AK151&lt;=T151),AK151,9000000000000000),IF(AND(J151=0,ISNUMBER(AL151),AL151&lt;=T151),AL151,9000000000000000),IF(AND(K151=0,ISNUMBER(AM151),AM151&lt;=T151),AM151,9000000000000000))),"HP","FP")),IF(AR151=TRUE(),"",IF(MAX(IF(AND(NOT(AND(AO151=1,AN151&lt;&gt;1)),ISNUMBER(AG151),AG151&lt;=T151),AS151,0),IF(AND(NOT(AND(AO151=1,AN151&lt;&gt;1)),ISNUMBER(AH151),AH151&lt;=T151),AT151,0),IF(AND(NOT(AND(AO151=1,AN151&lt;&gt;1)),ISNUMBER(AI151),AI151&lt;=T151),AU151,0),IF(AND(ISNUMBER(AJ151),AJ151&lt;=T151),AV151,0))&lt;=0,"",IF(AND(IF(AND(NOT(AND(AO151=1,AN151&lt;&gt;1)),ISNUMBER(AG151),AG151&lt;=T151),AS151,0)&gt;0,IF(AND(NOT(AND(AO151=1,AN151&lt;&gt;1)),ISNUMBER(AG151),AG151&lt;=T151),AS151,0)=MAX(IF(AND(NOT(AND(AO151=1,AN151&lt;&gt;1)),ISNUMBER(AG151),AG151&lt;=T151),AS151,0),IF(AND(NOT(AND(AO151=1,AN151&lt;&gt;1)),ISNUMBER(AH151),AH151&lt;=T151),AT151,0),IF(AND(NOT(AND(AO151=1,AN151&lt;&gt;1)),ISNUMBER(AI151),AI151&lt;=T151),AU151,0),IF(AND(ISNUMBER(AJ151),AJ151&lt;=T151),AV151,0))),"SW",IF(AND(IF(AND(NOT(AND(AO151=1,AN151&lt;&gt;1)),ISNUMBER(AH151),AH151&lt;=T151),AT151,0)&gt;0,IF(AND(NOT(AND(AO151=1,AN151&lt;&gt;1)),ISNUMBER(AH151),AH151&lt;=T151),AT151,0)=MAX(IF(AND(NOT(AND(AO151=1,AN151&lt;&gt;1)),ISNUMBER(AG151),AG151&lt;=T151),AS151,0),IF(AND(NOT(AND(AO151=1,AN151&lt;&gt;1)),ISNUMBER(AH151),AH151&lt;=T151),AT151,0),IF(AND(NOT(AND(AO151=1,AN151&lt;&gt;1)),ISNUMBER(AI151),AI151&lt;=T151),AU151,0),IF(AND(ISNUMBER(AJ151),AJ151&lt;=T151),AV151,0))),"AB",IF(AND(IF(AND(NOT(AND(AO151=1,AN151&lt;&gt;1)),ISNUMBER(AI151),AI151&lt;=T151),AU151,0)&gt;0,IF(AND(NOT(AND(AO151=1,AN151&lt;&gt;1)),ISNUMBER(AI151),AI151&lt;=T151),AU151,0)=MAX(IF(AND(NOT(AND(AO151=1,AN151&lt;&gt;1)),ISNUMBER(AG151),AG151&lt;=T151),AS151,0),IF(AND(NOT(AND(AO151=1,AN151&lt;&gt;1)),ISNUMBER(AH151),AH151&lt;=T151),AT151,0),IF(AND(NOT(AND(AO151=1,AN151&lt;&gt;1)),ISNUMBER(AI151),AI151&lt;=T151),AU151,0),IF(AND(ISNUMBER(AJ151),AJ151&lt;=T151),AV151,0))),"SC","Mag")))))))</f>
        <v/>
      </c>
    </row>
    <row r="152" customFormat="false" ht="15" hidden="false" customHeight="false" outlineLevel="0" collapsed="false">
      <c r="A152" s="26" t="n">
        <v>147</v>
      </c>
      <c r="B152" s="27" t="n">
        <f aca="false">A152*10/60</f>
        <v>24.5</v>
      </c>
      <c r="C152" s="21" t="n">
        <f aca="false">X151</f>
        <v>18.6730249835055</v>
      </c>
      <c r="D152" s="27" t="n">
        <f aca="false">D151+W151</f>
        <v>0</v>
      </c>
      <c r="E152" s="26" t="n">
        <f aca="false">E151+IF(U151="SW",1,0)</f>
        <v>12</v>
      </c>
      <c r="F152" s="26" t="n">
        <f aca="false">F151+IF(U151="AB",1,0)</f>
        <v>10</v>
      </c>
      <c r="G152" s="26" t="n">
        <f aca="false">G151+IF(U151="SC",1,0)</f>
        <v>7</v>
      </c>
      <c r="H152" s="26" t="n">
        <f aca="false">H151+IF(U151="Mag",1,0)</f>
        <v>5</v>
      </c>
      <c r="I152" s="26" t="n">
        <f aca="false">MAX(I151,IF(U151="OR",1,0))</f>
        <v>1</v>
      </c>
      <c r="J152" s="26" t="n">
        <f aca="false">MAX(J151,IF(U151="HP",1,0))</f>
        <v>1</v>
      </c>
      <c r="K152" s="26" t="n">
        <f aca="false">MAX(K151,IF(U151="FP",1,0))</f>
        <v>1</v>
      </c>
      <c r="L152" s="26" t="n">
        <f aca="false">MAX(L151,IF(U151="transition",1,0))</f>
        <v>1</v>
      </c>
      <c r="M152" s="28" t="n">
        <f aca="false">(Parameters!$B$9+(IF(E152=0,0,(Upgrades!$J$6+E152*Upgrades!$K$6)*POWER(Upgrades!$L$6,E152)))*(IF(Upgrades!$T$7="Solar Wind",POWER(Upgrades!$U$7,F152),1)*IF(Upgrades!$T$8="Solar Wind",POWER(Upgrades!$U$8,G152),1)*IF(Upgrades!$T$9="Solar Wind",POWER(Upgrades!$U$9,H152),1)*IF(Upgrades!$T$10="Solar Wind",POWER(Upgrades!$U$10,I152),1)*IF(Upgrades!$T$11="Solar Wind",POWER(Upgrades!$U$11,J152),1)*IF(Upgrades!$T$12="Solar Wind",POWER(Upgrades!$U$12,K152),1))+(IF(F152=0,0,(Upgrades!$J$7+F152*Upgrades!$K$7)*POWER(Upgrades!$L$7,F152)))*(IF(Upgrades!$T$6="Asteroid Belt",POWER(Upgrades!$U$6,E152),1)*IF(Upgrades!$T$8="Asteroid Belt",POWER(Upgrades!$U$8,G152),1)*IF(Upgrades!$T$9="Asteroid Belt",POWER(Upgrades!$U$9,H152),1)*IF(Upgrades!$T$10="Asteroid Belt",POWER(Upgrades!$U$10,I152),1)*IF(Upgrades!$T$11="Asteroid Belt",POWER(Upgrades!$U$11,J152),1)*IF(Upgrades!$T$12="Asteroid Belt",POWER(Upgrades!$U$12,K152),1))+(IF(G152=0,0,(Upgrades!$J$8+G152*Upgrades!$K$8)*POWER(Upgrades!$L$8,G152)))*(IF(Upgrades!$T$6="Stellar Coupling",POWER(Upgrades!$U$6,E152),1)*IF(Upgrades!$T$7="Stellar Coupling",POWER(Upgrades!$U$7,F152),1)*IF(Upgrades!$T$9="Stellar Coupling",POWER(Upgrades!$U$9,H152),1)*IF(Upgrades!$T$10="Stellar Coupling",POWER(Upgrades!$U$10,I152),1)*IF(Upgrades!$T$11="Stellar Coupling",POWER(Upgrades!$U$11,J152),1)*IF(Upgrades!$T$12="Stellar Coupling",POWER(Upgrades!$U$12,K152),1))+(IF(H152=0,0,(Upgrades!$J$9+H152*Upgrades!$K$9)*POWER(Upgrades!$L$9,H152)))*(IF(Upgrades!$T$6="Magnetosphere",POWER(Upgrades!$U$6,E152),1)*IF(Upgrades!$T$7="Magnetosphere",POWER(Upgrades!$U$7,F152),1)*IF(Upgrades!$T$8="Magnetosphere",POWER(Upgrades!$U$8,G152),1)*IF(Upgrades!$T$10="Magnetosphere",POWER(Upgrades!$U$10,I152),1)*IF(Upgrades!$T$11="Magnetosphere",POWER(Upgrades!$U$11,J152),1)*IF(Upgrades!$T$12="Magnetosphere",POWER(Upgrades!$U$12,K152),1))+(IF(I152=0,0,(Upgrades!$J$10+I152*Upgrades!$K$10)*POWER(Upgrades!$L$10,I152)))*(IF(Upgrades!$T$6="Orbital Resonance",POWER(Upgrades!$U$6,E152),1)*IF(Upgrades!$T$7="Orbital Resonance",POWER(Upgrades!$U$7,F152),1)*IF(Upgrades!$T$8="Orbital Resonance",POWER(Upgrades!$U$8,G152),1)*IF(Upgrades!$T$9="Orbital Resonance",POWER(Upgrades!$U$9,H152),1)*IF(Upgrades!$T$11="Orbital Resonance",POWER(Upgrades!$U$11,J152),1)*IF(Upgrades!$T$12="Orbital Resonance",POWER(Upgrades!$U$12,K152),1))+(IF(J152=0,0,(Upgrades!$J$11+J152*Upgrades!$K$11)*POWER(Upgrades!$L$11,J152)))*(IF(Upgrades!$T$6="Heliopause",POWER(Upgrades!$U$6,E152),1)*IF(Upgrades!$T$7="Heliopause",POWER(Upgrades!$U$7,F152),1)*IF(Upgrades!$T$8="Heliopause",POWER(Upgrades!$U$8,G152),1)*IF(Upgrades!$T$9="Heliopause",POWER(Upgrades!$U$9,H152),1)*IF(Upgrades!$T$10="Heliopause",POWER(Upgrades!$U$10,I152),1)*IF(Upgrades!$T$12="Heliopause",POWER(Upgrades!$U$12,K152),1))+(IF(K152=0,0,(Upgrades!$J$12+K152*Upgrades!$K$12)*POWER(Upgrades!$L$12,K152)))*(IF(Upgrades!$T$6="First Photons",POWER(Upgrades!$U$6,E152),1)*IF(Upgrades!$T$7="First Photons",POWER(Upgrades!$U$7,F152),1)*IF(Upgrades!$T$8="First Photons",POWER(Upgrades!$U$8,G152),1)*IF(Upgrades!$T$9="First Photons",POWER(Upgrades!$U$9,H152),1)*IF(Upgrades!$T$10="First Photons",POWER(Upgrades!$U$10,I152),1)*IF(Upgrades!$T$11="First Photons",POWER(Upgrades!$U$11,J152),1)))*POWER(Upgrades!$Q$6,E152)*POWER(Upgrades!$Q$7,F152)*POWER(Upgrades!$Q$8,G152)*POWER(Upgrades!$Q$9,H152)*POWER(Upgrades!$Q$10,I152)*POWER(Upgrades!$Q$11,J152)*POWER(Upgrades!$Q$12,K152)</f>
        <v>5.61</v>
      </c>
      <c r="N152" s="28" t="n">
        <f aca="false">((IF(E152=0,0,(Upgrades!$G$6+E152*Upgrades!$H$6)*POWER(Upgrades!$I$6,E152)))*(IF(Upgrades!$T$7="Solar Wind",POWER(Upgrades!$U$7,F152),1)*IF(Upgrades!$T$8="Solar Wind",POWER(Upgrades!$U$8,G152),1)*IF(Upgrades!$T$9="Solar Wind",POWER(Upgrades!$U$9,H152),1)*IF(Upgrades!$T$10="Solar Wind",POWER(Upgrades!$U$10,I152),1)*IF(Upgrades!$T$11="Solar Wind",POWER(Upgrades!$U$11,J152),1)*IF(Upgrades!$T$12="Solar Wind",POWER(Upgrades!$U$12,K152),1))+(IF(F152=0,0,(Upgrades!$G$7+F152*Upgrades!$H$7)*POWER(Upgrades!$I$7,F152)))*(IF(Upgrades!$T$6="Asteroid Belt",POWER(Upgrades!$U$6,E152),1)*IF(Upgrades!$T$8="Asteroid Belt",POWER(Upgrades!$U$8,G152),1)*IF(Upgrades!$T$9="Asteroid Belt",POWER(Upgrades!$U$9,H152),1)*IF(Upgrades!$T$10="Asteroid Belt",POWER(Upgrades!$U$10,I152),1)*IF(Upgrades!$T$11="Asteroid Belt",POWER(Upgrades!$U$11,J152),1)*IF(Upgrades!$T$12="Asteroid Belt",POWER(Upgrades!$U$12,K152),1))+(IF(G152=0,0,(Upgrades!$G$8+G152*Upgrades!$H$8)*POWER(Upgrades!$I$8,G152)))*(IF(Upgrades!$T$6="Stellar Coupling",POWER(Upgrades!$U$6,E152),1)*IF(Upgrades!$T$7="Stellar Coupling",POWER(Upgrades!$U$7,F152),1)*IF(Upgrades!$T$9="Stellar Coupling",POWER(Upgrades!$U$9,H152),1)*IF(Upgrades!$T$10="Stellar Coupling",POWER(Upgrades!$U$10,I152),1)*IF(Upgrades!$T$11="Stellar Coupling",POWER(Upgrades!$U$11,J152),1)*IF(Upgrades!$T$12="Stellar Coupling",POWER(Upgrades!$U$12,K152),1))+(IF(H152=0,0,(Upgrades!$G$9+H152*Upgrades!$H$9)*POWER(Upgrades!$I$9,H152)))*(IF(Upgrades!$T$6="Magnetosphere",POWER(Upgrades!$U$6,E152),1)*IF(Upgrades!$T$7="Magnetosphere",POWER(Upgrades!$U$7,F152),1)*IF(Upgrades!$T$8="Magnetosphere",POWER(Upgrades!$U$8,G152),1)*IF(Upgrades!$T$10="Magnetosphere",POWER(Upgrades!$U$10,I152),1)*IF(Upgrades!$T$11="Magnetosphere",POWER(Upgrades!$U$11,J152),1)*IF(Upgrades!$T$12="Magnetosphere",POWER(Upgrades!$U$12,K152),1))+(IF(I152=0,0,(Upgrades!$G$10+I152*Upgrades!$H$10)*POWER(Upgrades!$I$10,I152)))*(IF(Upgrades!$T$6="Orbital Resonance",POWER(Upgrades!$U$6,E152),1)*IF(Upgrades!$T$7="Orbital Resonance",POWER(Upgrades!$U$7,F152),1)*IF(Upgrades!$T$8="Orbital Resonance",POWER(Upgrades!$U$8,G152),1)*IF(Upgrades!$T$9="Orbital Resonance",POWER(Upgrades!$U$9,H152),1)*IF(Upgrades!$T$11="Orbital Resonance",POWER(Upgrades!$U$11,J152),1)*IF(Upgrades!$T$12="Orbital Resonance",POWER(Upgrades!$U$12,K152),1))+(IF(J152=0,0,(Upgrades!$G$11+J152*Upgrades!$H$11)*POWER(Upgrades!$I$11,J152)))*(IF(Upgrades!$T$6="Heliopause",POWER(Upgrades!$U$6,E152),1)*IF(Upgrades!$T$7="Heliopause",POWER(Upgrades!$U$7,F152),1)*IF(Upgrades!$T$8="Heliopause",POWER(Upgrades!$U$8,G152),1)*IF(Upgrades!$T$9="Heliopause",POWER(Upgrades!$U$9,H152),1)*IF(Upgrades!$T$10="Heliopause",POWER(Upgrades!$U$10,I152),1)*IF(Upgrades!$T$12="Heliopause",POWER(Upgrades!$U$12,K152),1))+(IF(K152=0,0,(Upgrades!$G$12+K152*Upgrades!$H$12)*POWER(Upgrades!$I$12,K152)))*(IF(Upgrades!$T$6="First Photons",POWER(Upgrades!$U$6,E152),1)*IF(Upgrades!$T$7="First Photons",POWER(Upgrades!$U$7,F152),1)*IF(Upgrades!$T$8="First Photons",POWER(Upgrades!$U$8,G152),1)*IF(Upgrades!$T$9="First Photons",POWER(Upgrades!$U$9,H152),1)*IF(Upgrades!$T$10="First Photons",POWER(Upgrades!$U$10,I152),1)*IF(Upgrades!$T$11="First Photons",POWER(Upgrades!$U$11,J152),1)))*POWER(Upgrades!$P$6,E152)*POWER(Upgrades!$P$7,F152)*POWER(Upgrades!$P$8,G152)*POWER(Upgrades!$P$9,H152)*POWER(Upgrades!$P$10,I152)*POWER(Upgrades!$P$11,J152)*POWER(Upgrades!$P$12,K152)</f>
        <v>11.2</v>
      </c>
      <c r="O152" s="28" t="n">
        <f aca="false">((IF(E152=0,0,(Upgrades!$M$6+E152*Upgrades!$N$6)*POWER(Upgrades!$O$6,E152)))*(IF(Upgrades!$T$7="Solar Wind",POWER(Upgrades!$U$7,F152),1)*IF(Upgrades!$T$8="Solar Wind",POWER(Upgrades!$U$8,G152),1)*IF(Upgrades!$T$9="Solar Wind",POWER(Upgrades!$U$9,H152),1)*IF(Upgrades!$T$10="Solar Wind",POWER(Upgrades!$U$10,I152),1)*IF(Upgrades!$T$11="Solar Wind",POWER(Upgrades!$U$11,J152),1)*IF(Upgrades!$T$12="Solar Wind",POWER(Upgrades!$U$12,K152),1))+(IF(F152=0,0,(Upgrades!$M$7+F152*Upgrades!$N$7)*POWER(Upgrades!$O$7,F152)))*(IF(Upgrades!$T$6="Asteroid Belt",POWER(Upgrades!$U$6,E152),1)*IF(Upgrades!$T$8="Asteroid Belt",POWER(Upgrades!$U$8,G152),1)*IF(Upgrades!$T$9="Asteroid Belt",POWER(Upgrades!$U$9,H152),1)*IF(Upgrades!$T$10="Asteroid Belt",POWER(Upgrades!$U$10,I152),1)*IF(Upgrades!$T$11="Asteroid Belt",POWER(Upgrades!$U$11,J152),1)*IF(Upgrades!$T$12="Asteroid Belt",POWER(Upgrades!$U$12,K152),1))+(IF(G152=0,0,(Upgrades!$M$8+G152*Upgrades!$N$8)*POWER(Upgrades!$O$8,G152)))*(IF(Upgrades!$T$6="Stellar Coupling",POWER(Upgrades!$U$6,E152),1)*IF(Upgrades!$T$7="Stellar Coupling",POWER(Upgrades!$U$7,F152),1)*IF(Upgrades!$T$9="Stellar Coupling",POWER(Upgrades!$U$9,H152),1)*IF(Upgrades!$T$10="Stellar Coupling",POWER(Upgrades!$U$10,I152),1)*IF(Upgrades!$T$11="Stellar Coupling",POWER(Upgrades!$U$11,J152),1)*IF(Upgrades!$T$12="Stellar Coupling",POWER(Upgrades!$U$12,K152),1))+(IF(H152=0,0,(Upgrades!$M$9+H152*Upgrades!$N$9)*POWER(Upgrades!$O$9,H152)))*(IF(Upgrades!$T$6="Magnetosphere",POWER(Upgrades!$U$6,E152),1)*IF(Upgrades!$T$7="Magnetosphere",POWER(Upgrades!$U$7,F152),1)*IF(Upgrades!$T$8="Magnetosphere",POWER(Upgrades!$U$8,G152),1)*IF(Upgrades!$T$10="Magnetosphere",POWER(Upgrades!$U$10,I152),1)*IF(Upgrades!$T$11="Magnetosphere",POWER(Upgrades!$U$11,J152),1)*IF(Upgrades!$T$12="Magnetosphere",POWER(Upgrades!$U$12,K152),1))+(IF(I152=0,0,(Upgrades!$M$10+I152*Upgrades!$N$10)*POWER(Upgrades!$O$10,I152)))*(IF(Upgrades!$T$6="Orbital Resonance",POWER(Upgrades!$U$6,E152),1)*IF(Upgrades!$T$7="Orbital Resonance",POWER(Upgrades!$U$7,F152),1)*IF(Upgrades!$T$8="Orbital Resonance",POWER(Upgrades!$U$8,G152),1)*IF(Upgrades!$T$9="Orbital Resonance",POWER(Upgrades!$U$9,H152),1)*IF(Upgrades!$T$11="Orbital Resonance",POWER(Upgrades!$U$11,J152),1)*IF(Upgrades!$T$12="Orbital Resonance",POWER(Upgrades!$U$12,K152),1))+(IF(J152=0,0,(Upgrades!$M$11+J152*Upgrades!$N$11)*POWER(Upgrades!$O$11,J152)))*(IF(Upgrades!$T$6="Heliopause",POWER(Upgrades!$U$6,E152),1)*IF(Upgrades!$T$7="Heliopause",POWER(Upgrades!$U$7,F152),1)*IF(Upgrades!$T$8="Heliopause",POWER(Upgrades!$U$8,G152),1)*IF(Upgrades!$T$9="Heliopause",POWER(Upgrades!$U$9,H152),1)*IF(Upgrades!$T$10="Heliopause",POWER(Upgrades!$U$10,I152),1)*IF(Upgrades!$T$12="Heliopause",POWER(Upgrades!$U$12,K152),1))+(IF(K152=0,0,(Upgrades!$M$12+K152*Upgrades!$N$12)*POWER(Upgrades!$O$12,K152)))*(IF(Upgrades!$T$6="First Photons",POWER(Upgrades!$U$6,E152),1)*IF(Upgrades!$T$7="First Photons",POWER(Upgrades!$U$7,F152),1)*IF(Upgrades!$T$8="First Photons",POWER(Upgrades!$U$8,G152),1)*IF(Upgrades!$T$9="First Photons",POWER(Upgrades!$U$9,H152),1)*IF(Upgrades!$T$10="First Photons",POWER(Upgrades!$U$10,I152),1)*IF(Upgrades!$T$11="First Photons",POWER(Upgrades!$U$11,J152),1)))*POWER(Upgrades!$R$6,E152)*POWER(Upgrades!$R$7,F152)*POWER(Upgrades!$R$8,G152)*POWER(Upgrades!$R$9,H152)*POWER(Upgrades!$R$10,I152)*POWER(Upgrades!$R$11,J152)*POWER(Upgrades!$R$12,K152)</f>
        <v>0</v>
      </c>
      <c r="P152" s="27" t="n">
        <f aca="false">IF(L152=1,0,M152*Parameters!$B$10/60*Parameters!$B$11*10)</f>
        <v>0</v>
      </c>
      <c r="Q152" s="27" t="n">
        <f aca="false">IF(L152=1,0,O152*M152*10)</f>
        <v>0</v>
      </c>
      <c r="R152" s="27" t="n">
        <f aca="false">IF(L152=1,0,N152*10)</f>
        <v>0</v>
      </c>
      <c r="S152" s="27" t="n">
        <f aca="false">P152+Q152+R152</f>
        <v>0</v>
      </c>
      <c r="T152" s="21" t="n">
        <f aca="false">C152+S152</f>
        <v>18.6730249835055</v>
      </c>
      <c r="U152" s="34" t="str">
        <f aca="false">AX152</f>
        <v/>
      </c>
      <c r="V152" s="21" t="n">
        <f aca="false">IF(U152="",0,IF(U152="transition",0,IF(U152="SW",AG152,IF(U152="AB",AH152,IF(U152="SC",AI152,IF(U152="Mag",AJ152,IF(U152="OR",AK152,IF(U152="HP",AL152,IF(U152="FP",AM152,0)))))))))</f>
        <v>0</v>
      </c>
      <c r="W152" s="27" t="n">
        <f aca="false">IF(U152="OR",Upgrades!$F$10,IF(U152="HP",Upgrades!$F$11,IF(U152="transition",-Parameters!$B$18,0)))</f>
        <v>0</v>
      </c>
      <c r="X152" s="21" t="n">
        <f aca="false">T152-V152</f>
        <v>18.6730249835055</v>
      </c>
      <c r="Y152" s="30" t="n">
        <f aca="false">M152*Parameters!$B$10/60*Parameters!$B$11+O152*M152+N152</f>
        <v>20.55</v>
      </c>
      <c r="Z152" s="35" t="str">
        <f aca="false">IF(U152="transition","→ Tier 2 (Stellar Neighborhood)",IF(U152="FP","First Photons — light begins, system quickens",IF(U152="HP","Heliopause acquired",IF(U152="OR","Orbital Resonance — passive multiplier active",IF(AND(AO152=1,L152=0,AN152&lt;&gt;1),"Cohesion ready (waiting on completionist upgrades)","")))))</f>
        <v/>
      </c>
      <c r="AA152" s="27" t="n">
        <f aca="false">(IF(E152=0,0,(Upgrades!$G$6+E152*Upgrades!$H$6)*POWER(Upgrades!$I$6,E152)))*(IF(Upgrades!$T$7="Solar Wind",POWER(Upgrades!$U$7,F152),1)*IF(Upgrades!$T$8="Solar Wind",POWER(Upgrades!$U$8,G152),1)*IF(Upgrades!$T$9="Solar Wind",POWER(Upgrades!$U$9,H152),1)*IF(Upgrades!$T$10="Solar Wind",POWER(Upgrades!$U$10,I152),1)*IF(Upgrades!$T$11="Solar Wind",POWER(Upgrades!$U$11,J152),1)*IF(Upgrades!$T$12="Solar Wind",POWER(Upgrades!$U$12,K152),1))*POWER(Upgrades!$P$6,E152)*POWER(Upgrades!$P$7,F152)*POWER(Upgrades!$P$8,G152)*POWER(Upgrades!$P$9,H152)*POWER(Upgrades!$P$10,I152)*POWER(Upgrades!$P$11,J152)*POWER(Upgrades!$P$12,K152)*60</f>
        <v>72</v>
      </c>
      <c r="AB152" s="27" t="n">
        <f aca="false">(IF(F152=0,0,(Upgrades!$G$7+F152*Upgrades!$H$7)*POWER(Upgrades!$I$7,F152)))*(IF(Upgrades!$T$6="Asteroid Belt",POWER(Upgrades!$U$6,E152),1)*IF(Upgrades!$T$8="Asteroid Belt",POWER(Upgrades!$U$8,G152),1)*IF(Upgrades!$T$9="Asteroid Belt",POWER(Upgrades!$U$9,H152),1)*IF(Upgrades!$T$10="Asteroid Belt",POWER(Upgrades!$U$10,I152),1)*IF(Upgrades!$T$11="Asteroid Belt",POWER(Upgrades!$U$11,J152),1)*IF(Upgrades!$T$12="Asteroid Belt",POWER(Upgrades!$U$12,K152),1))*POWER(Upgrades!$P$6,E152)*POWER(Upgrades!$P$7,F152)*POWER(Upgrades!$P$8,G152)*POWER(Upgrades!$P$9,H152)*POWER(Upgrades!$P$10,I152)*POWER(Upgrades!$P$11,J152)*POWER(Upgrades!$P$12,K152)*60</f>
        <v>150</v>
      </c>
      <c r="AC152" s="27" t="n">
        <f aca="false">(IF(G152=0,0,(Upgrades!$J$8+G152*Upgrades!$K$8)*POWER(Upgrades!$L$8,G152)))*(IF(Upgrades!$T$6="Stellar Coupling",POWER(Upgrades!$U$6,E152),1)*IF(Upgrades!$T$7="Stellar Coupling",POWER(Upgrades!$U$7,F152),1)*IF(Upgrades!$T$9="Stellar Coupling",POWER(Upgrades!$U$9,H152),1)*IF(Upgrades!$T$10="Stellar Coupling",POWER(Upgrades!$U$10,I152),1)*IF(Upgrades!$T$11="Stellar Coupling",POWER(Upgrades!$U$11,J152),1)*IF(Upgrades!$T$12="Stellar Coupling",POWER(Upgrades!$U$12,K152),1))*POWER(Upgrades!$Q$6,E152)*POWER(Upgrades!$Q$7,F152)*POWER(Upgrades!$Q$8,G152)*POWER(Upgrades!$Q$9,H152)*POWER(Upgrades!$Q$10,I152)*POWER(Upgrades!$Q$11,J152)*POWER(Upgrades!$Q$12,K152)*Parameters!$B$10*Parameters!$B$11</f>
        <v>441</v>
      </c>
      <c r="AD152" s="27" t="n">
        <f aca="false">(IF(H152=0,0,(Upgrades!$G$9+H152*Upgrades!$H$9)*POWER(Upgrades!$I$9,H152)))*(IF(Upgrades!$T$6="Magnetosphere",POWER(Upgrades!$U$6,E152),1)*IF(Upgrades!$T$7="Magnetosphere",POWER(Upgrades!$U$7,F152),1)*IF(Upgrades!$T$8="Magnetosphere",POWER(Upgrades!$U$8,G152),1)*IF(Upgrades!$T$10="Magnetosphere",POWER(Upgrades!$U$10,I152),1)*IF(Upgrades!$T$11="Magnetosphere",POWER(Upgrades!$U$11,J152),1)*IF(Upgrades!$T$12="Magnetosphere",POWER(Upgrades!$U$12,K152),1))*POWER(Upgrades!$P$6,E152)*POWER(Upgrades!$P$7,F152)*POWER(Upgrades!$P$8,G152)*POWER(Upgrades!$P$9,H152)*POWER(Upgrades!$P$10,I152)*POWER(Upgrades!$P$11,J152)*POWER(Upgrades!$P$12,K152)*60</f>
        <v>375</v>
      </c>
      <c r="AE152" s="27" t="n">
        <f aca="false">(IF(K152=0,0,(Upgrades!$G$12+K152*Upgrades!$H$12)*POWER(Upgrades!$I$12,K152)))*(IF(Upgrades!$T$6="First Photons",POWER(Upgrades!$U$6,E152),1)*IF(Upgrades!$T$7="First Photons",POWER(Upgrades!$U$7,F152),1)*IF(Upgrades!$T$8="First Photons",POWER(Upgrades!$U$8,G152),1)*IF(Upgrades!$T$9="First Photons",POWER(Upgrades!$U$9,H152),1)*IF(Upgrades!$T$10="First Photons",POWER(Upgrades!$U$10,I152),1)*IF(Upgrades!$T$11="First Photons",POWER(Upgrades!$U$11,J152),1))*POWER(Upgrades!$P$6,E152)*POWER(Upgrades!$P$7,F152)*POWER(Upgrades!$P$8,G152)*POWER(Upgrades!$P$9,H152)*POWER(Upgrades!$P$10,I152)*POWER(Upgrades!$P$11,J152)*POWER(Upgrades!$P$12,K152)*60</f>
        <v>75</v>
      </c>
      <c r="AF152" s="27" t="n">
        <f aca="false">Parameters!$B$9*POWER(Upgrades!$Q$6,E152)*POWER(Upgrades!$Q$7,F152)*POWER(Upgrades!$Q$8,G152)*POWER(Upgrades!$Q$9,H152)*POWER(Upgrades!$Q$10,I152)*POWER(Upgrades!$Q$11,J152)*POWER(Upgrades!$Q$12,K152)*(Parameters!$B$10*Parameters!$B$11+O152*60)</f>
        <v>120</v>
      </c>
      <c r="AG152" s="21" t="n">
        <f aca="false">IF(E152&gt;=Upgrades!$E$6,"",Upgrades!$C$6*POWER(Upgrades!$D$6,E152))</f>
        <v>37.4517507383159</v>
      </c>
      <c r="AH152" s="21" t="n">
        <f aca="false">IF(F152&gt;=Upgrades!$E$7,"",Upgrades!$C$7*POWER(Upgrades!$D$7,F152))</f>
        <v>80.9111547141581</v>
      </c>
      <c r="AI152" s="21" t="n">
        <f aca="false">IF(G152&gt;=Upgrades!$E$8,"",Upgrades!$C$8*POWER(Upgrades!$D$8,G152))</f>
        <v>231.9097088</v>
      </c>
      <c r="AJ152" s="21" t="str">
        <f aca="false">IF(H152&gt;=Upgrades!$E$9,"",Upgrades!$C$9*POWER(Upgrades!$D$9,H152))</f>
        <v/>
      </c>
      <c r="AK152" s="21" t="str">
        <f aca="false">IF(I152&gt;=Upgrades!$E$10,"",Upgrades!$C$10*POWER(Upgrades!$D$10,I152))</f>
        <v/>
      </c>
      <c r="AL152" s="21" t="str">
        <f aca="false">IF(J152&gt;=Upgrades!$E$11,"",Upgrades!$C$11*POWER(Upgrades!$D$11,J152))</f>
        <v/>
      </c>
      <c r="AM152" s="21" t="str">
        <f aca="false">IF(K152&gt;=Upgrades!$E$12,"",Upgrades!$C$12*POWER(Upgrades!$D$12,K152))</f>
        <v/>
      </c>
      <c r="AN152" s="26" t="str">
        <f aca="false">IF(AND(D152&gt;=Parameters!$B$18,(H152&gt;=Upgrades!$E$9)*(K152&gt;=Upgrades!$E$12)=1,L152=0),1,"")</f>
        <v/>
      </c>
      <c r="AO152" s="26" t="str">
        <f aca="false">IF(AND(D152&gt;=Parameters!$B$18,L152=0),1,"")</f>
        <v/>
      </c>
      <c r="AP152" s="21" t="n">
        <f aca="false">MIN(IF(ISNUMBER(AK152),AK152,9000000000000000),IF(ISNUMBER(AL152),AL152,9000000000000000),IF(ISNUMBER(AM152),AM152,9000000000000000))</f>
        <v>9000000000000000</v>
      </c>
      <c r="AQ152" s="21" t="n">
        <f aca="false">MIN(IF(ISNUMBER(AG152),AG152,9000000000000000),IF(ISNUMBER(AH152),AH152,9000000000000000),IF(ISNUMBER(AI152),AI152,9000000000000000),IF(ISNUMBER(AJ152),AJ152,9000000000000000))</f>
        <v>37.4517507383159</v>
      </c>
      <c r="AR152" s="32" t="b">
        <f aca="false">IF(AW152&gt;Parameters!$B$21*(MAX(IF(AND(NOT(AND(AO152=1,AN152&lt;&gt;1)),ISNUMBER(AG152),AG152&lt;=T152),AS152,0),IF(AND(NOT(AND(AO152=1,AN152&lt;&gt;1)),ISNUMBER(AH152),AH152&lt;=T152),AT152,0),IF(AND(NOT(AND(AO152=1,AN152&lt;&gt;1)),ISNUMBER(AI152),AI152&lt;=T152),AU152,0),IF(AND(ISNUMBER(AJ152),AJ152&lt;=T152),AV152,0))),TRUE(),FALSE())</f>
        <v>1</v>
      </c>
      <c r="AS152" s="33" t="n">
        <f aca="false">IFERROR(Upgrades!$H$6*(POWER(Upgrades!$P$6,E152)*POWER(Upgrades!$P$7,F152)*POWER(Upgrades!$P$8,G152)*POWER(Upgrades!$P$9,H152)*POWER(Upgrades!$P$10,I152)*POWER(Upgrades!$P$11,J152)*POWER(Upgrades!$P$12,K152))*(IF(Upgrades!$T$7="Solar Wind",POWER(Upgrades!$U$7,F152),1)*IF(Upgrades!$T$8="Solar Wind",POWER(Upgrades!$U$8,G152),1)*IF(Upgrades!$T$9="Solar Wind",POWER(Upgrades!$U$9,H152),1)*IF(Upgrades!$T$10="Solar Wind",POWER(Upgrades!$U$10,I152),1)*IF(Upgrades!$T$11="Solar Wind",POWER(Upgrades!$U$11,J152),1)*IF(Upgrades!$T$12="Solar Wind",POWER(Upgrades!$U$12,K152),1))/AG152,0)</f>
        <v>0.0026701021455238</v>
      </c>
      <c r="AT152" s="33" t="n">
        <f aca="false">IFERROR(Upgrades!$H$7*(POWER(Upgrades!$P$6,E152)*POWER(Upgrades!$P$7,F152)*POWER(Upgrades!$P$8,G152)*POWER(Upgrades!$P$9,H152)*POWER(Upgrades!$P$10,I152)*POWER(Upgrades!$P$11,J152)*POWER(Upgrades!$P$12,K152))*(IF(Upgrades!$T$6="Asteroid Belt",POWER(Upgrades!$U$6,E152),1)*IF(Upgrades!$T$8="Asteroid Belt",POWER(Upgrades!$U$8,G152),1)*IF(Upgrades!$T$9="Asteroid Belt",POWER(Upgrades!$U$9,H152),1)*IF(Upgrades!$T$10="Asteroid Belt",POWER(Upgrades!$U$10,I152),1)*IF(Upgrades!$T$11="Asteroid Belt",POWER(Upgrades!$U$11,J152),1)*IF(Upgrades!$T$12="Asteroid Belt",POWER(Upgrades!$U$12,K152),1))/AH152,0)</f>
        <v>0.00308980882652332</v>
      </c>
      <c r="AU152" s="33" t="n">
        <f aca="false">IFERROR(Upgrades!$K$8*(POWER(Upgrades!$Q$6,E152)*POWER(Upgrades!$Q$7,F152)*POWER(Upgrades!$Q$8,G152)*POWER(Upgrades!$Q$9,H152)*POWER(Upgrades!$Q$10,I152)*POWER(Upgrades!$Q$11,J152)*POWER(Upgrades!$Q$12,K152))*(IF(Upgrades!$T$6="Stellar Coupling",POWER(Upgrades!$U$6,E152),1)*IF(Upgrades!$T$7="Stellar Coupling",POWER(Upgrades!$U$7,F152),1)*IF(Upgrades!$T$9="Stellar Coupling",POWER(Upgrades!$U$9,H152),1)*IF(Upgrades!$T$10="Stellar Coupling",POWER(Upgrades!$U$10,I152),1)*IF(Upgrades!$T$11="Stellar Coupling",POWER(Upgrades!$U$11,J152),1)*IF(Upgrades!$T$12="Stellar Coupling",POWER(Upgrades!$U$12,K152),1))*Parameters!$B$10*Parameters!$B$11/60/AI152,0)</f>
        <v>0.00452762415783776</v>
      </c>
      <c r="AV152" s="33" t="n">
        <f aca="false">IFERROR(Upgrades!$H$9*(POWER(Upgrades!$P$6,E152)*POWER(Upgrades!$P$7,F152)*POWER(Upgrades!$P$8,G152)*POWER(Upgrades!$P$9,H152)*POWER(Upgrades!$P$10,I152)*POWER(Upgrades!$P$11,J152)*POWER(Upgrades!$P$12,K152))*(IF(Upgrades!$T$6="Magnetosphere",POWER(Upgrades!$U$6,E152),1)*IF(Upgrades!$T$7="Magnetosphere",POWER(Upgrades!$U$7,F152),1)*IF(Upgrades!$T$8="Magnetosphere",POWER(Upgrades!$U$8,G152),1)*IF(Upgrades!$T$10="Magnetosphere",POWER(Upgrades!$U$10,I152),1)*IF(Upgrades!$T$11="Magnetosphere",POWER(Upgrades!$U$11,J152),1)*IF(Upgrades!$T$12="Magnetosphere",POWER(Upgrades!$U$12,K152),1))/AJ152,0)</f>
        <v>0</v>
      </c>
      <c r="AW152" s="33" t="n">
        <f aca="false">MAX(IF(I152&gt;0,0,IFERROR(0.25*N152/Upgrades!$C$10,0)),IF(J152&gt;0,0,IFERROR(0.5*((IF(G152=0,0,(Upgrades!$J$8+G152*Upgrades!$K$8)*POWER(Upgrades!$L$8,G152)))*(IF(Upgrades!$T$6="Stellar Coupling",POWER(Upgrades!$U$6,E152),1)*IF(Upgrades!$T$7="Stellar Coupling",POWER(Upgrades!$U$7,F152),1)*IF(Upgrades!$T$9="Stellar Coupling",POWER(Upgrades!$U$9,H152),1)*IF(Upgrades!$T$10="Stellar Coupling",POWER(Upgrades!$U$10,I152),1)*IF(Upgrades!$T$11="Stellar Coupling",POWER(Upgrades!$U$11,J152),1)*IF(Upgrades!$T$12="Stellar Coupling",POWER(Upgrades!$U$12,K152),1))*(POWER(Upgrades!$Q$6,E152)*POWER(Upgrades!$Q$7,F152)*POWER(Upgrades!$Q$8,G152)*POWER(Upgrades!$Q$9,H152)*POWER(Upgrades!$Q$10,I152)*POWER(Upgrades!$Q$11,J152)*POWER(Upgrades!$Q$12,K152))*Parameters!$B$10*Parameters!$B$11/60)/Upgrades!$C$11,0)),IF(K152&gt;0,0,IFERROR((1*(POWER(Upgrades!$P$6,E152)*POWER(Upgrades!$P$7,F152)*POWER(Upgrades!$P$8,G152)*POWER(Upgrades!$P$9,H152)*POWER(Upgrades!$P$10,I152)*POWER(Upgrades!$P$11,J152)*POWER(Upgrades!$P$12,K152))+0.2*M152*Parameters!$B$10*Parameters!$B$11/60)/Upgrades!$C$12,0)),IF(AND(ISNUMBER(AG152),AG152&gt;T152),AS152,0),IF(AND(ISNUMBER(AH152),AH152&gt;T152),AT152,0),IF(AND(ISNUMBER(AI152),AI152&gt;T152),AU152,0),IF(AND(ISNUMBER(AJ152),AJ152&gt;T152),AV152,0))</f>
        <v>0.00452762415783776</v>
      </c>
      <c r="AX152" s="29" t="str">
        <f aca="false">IF(AN152=1,"transition",IF(MIN(IF(AND(I152=0,ISNUMBER(AK152),AK152&lt;=T152),AK152,9000000000000000),IF(AND(J152=0,ISNUMBER(AL152),AL152&lt;=T152),AL152,9000000000000000),IF(AND(K152=0,ISNUMBER(AM152),AM152&lt;=T152),AM152,9000000000000000))&lt;9000000000000000,IF(AND(AND(I152=0,ISNUMBER(AK152),AK152&lt;=T152),AK152=MIN(IF(AND(I152=0,ISNUMBER(AK152),AK152&lt;=T152),AK152,9000000000000000),IF(AND(J152=0,ISNUMBER(AL152),AL152&lt;=T152),AL152,9000000000000000),IF(AND(K152=0,ISNUMBER(AM152),AM152&lt;=T152),AM152,9000000000000000))),"OR",IF(AND(AND(J152=0,ISNUMBER(AL152),AL152&lt;=T152),AL152=MIN(IF(AND(I152=0,ISNUMBER(AK152),AK152&lt;=T152),AK152,9000000000000000),IF(AND(J152=0,ISNUMBER(AL152),AL152&lt;=T152),AL152,9000000000000000),IF(AND(K152=0,ISNUMBER(AM152),AM152&lt;=T152),AM152,9000000000000000))),"HP","FP")),IF(AR152=TRUE(),"",IF(MAX(IF(AND(NOT(AND(AO152=1,AN152&lt;&gt;1)),ISNUMBER(AG152),AG152&lt;=T152),AS152,0),IF(AND(NOT(AND(AO152=1,AN152&lt;&gt;1)),ISNUMBER(AH152),AH152&lt;=T152),AT152,0),IF(AND(NOT(AND(AO152=1,AN152&lt;&gt;1)),ISNUMBER(AI152),AI152&lt;=T152),AU152,0),IF(AND(ISNUMBER(AJ152),AJ152&lt;=T152),AV152,0))&lt;=0,"",IF(AND(IF(AND(NOT(AND(AO152=1,AN152&lt;&gt;1)),ISNUMBER(AG152),AG152&lt;=T152),AS152,0)&gt;0,IF(AND(NOT(AND(AO152=1,AN152&lt;&gt;1)),ISNUMBER(AG152),AG152&lt;=T152),AS152,0)=MAX(IF(AND(NOT(AND(AO152=1,AN152&lt;&gt;1)),ISNUMBER(AG152),AG152&lt;=T152),AS152,0),IF(AND(NOT(AND(AO152=1,AN152&lt;&gt;1)),ISNUMBER(AH152),AH152&lt;=T152),AT152,0),IF(AND(NOT(AND(AO152=1,AN152&lt;&gt;1)),ISNUMBER(AI152),AI152&lt;=T152),AU152,0),IF(AND(ISNUMBER(AJ152),AJ152&lt;=T152),AV152,0))),"SW",IF(AND(IF(AND(NOT(AND(AO152=1,AN152&lt;&gt;1)),ISNUMBER(AH152),AH152&lt;=T152),AT152,0)&gt;0,IF(AND(NOT(AND(AO152=1,AN152&lt;&gt;1)),ISNUMBER(AH152),AH152&lt;=T152),AT152,0)=MAX(IF(AND(NOT(AND(AO152=1,AN152&lt;&gt;1)),ISNUMBER(AG152),AG152&lt;=T152),AS152,0),IF(AND(NOT(AND(AO152=1,AN152&lt;&gt;1)),ISNUMBER(AH152),AH152&lt;=T152),AT152,0),IF(AND(NOT(AND(AO152=1,AN152&lt;&gt;1)),ISNUMBER(AI152),AI152&lt;=T152),AU152,0),IF(AND(ISNUMBER(AJ152),AJ152&lt;=T152),AV152,0))),"AB",IF(AND(IF(AND(NOT(AND(AO152=1,AN152&lt;&gt;1)),ISNUMBER(AI152),AI152&lt;=T152),AU152,0)&gt;0,IF(AND(NOT(AND(AO152=1,AN152&lt;&gt;1)),ISNUMBER(AI152),AI152&lt;=T152),AU152,0)=MAX(IF(AND(NOT(AND(AO152=1,AN152&lt;&gt;1)),ISNUMBER(AG152),AG152&lt;=T152),AS152,0),IF(AND(NOT(AND(AO152=1,AN152&lt;&gt;1)),ISNUMBER(AH152),AH152&lt;=T152),AT152,0),IF(AND(NOT(AND(AO152=1,AN152&lt;&gt;1)),ISNUMBER(AI152),AI152&lt;=T152),AU152,0),IF(AND(ISNUMBER(AJ152),AJ152&lt;=T152),AV152,0))),"SC","Mag")))))))</f>
        <v/>
      </c>
    </row>
    <row r="153" customFormat="false" ht="15" hidden="false" customHeight="false" outlineLevel="0" collapsed="false">
      <c r="A153" s="26" t="n">
        <v>148</v>
      </c>
      <c r="B153" s="27" t="n">
        <f aca="false">A153*10/60</f>
        <v>24.6666666666667</v>
      </c>
      <c r="C153" s="21" t="n">
        <f aca="false">X152</f>
        <v>18.6730249835055</v>
      </c>
      <c r="D153" s="27" t="n">
        <f aca="false">D152+W152</f>
        <v>0</v>
      </c>
      <c r="E153" s="26" t="n">
        <f aca="false">E152+IF(U152="SW",1,0)</f>
        <v>12</v>
      </c>
      <c r="F153" s="26" t="n">
        <f aca="false">F152+IF(U152="AB",1,0)</f>
        <v>10</v>
      </c>
      <c r="G153" s="26" t="n">
        <f aca="false">G152+IF(U152="SC",1,0)</f>
        <v>7</v>
      </c>
      <c r="H153" s="26" t="n">
        <f aca="false">H152+IF(U152="Mag",1,0)</f>
        <v>5</v>
      </c>
      <c r="I153" s="26" t="n">
        <f aca="false">MAX(I152,IF(U152="OR",1,0))</f>
        <v>1</v>
      </c>
      <c r="J153" s="26" t="n">
        <f aca="false">MAX(J152,IF(U152="HP",1,0))</f>
        <v>1</v>
      </c>
      <c r="K153" s="26" t="n">
        <f aca="false">MAX(K152,IF(U152="FP",1,0))</f>
        <v>1</v>
      </c>
      <c r="L153" s="26" t="n">
        <f aca="false">MAX(L152,IF(U152="transition",1,0))</f>
        <v>1</v>
      </c>
      <c r="M153" s="28" t="n">
        <f aca="false">(Parameters!$B$9+(IF(E153=0,0,(Upgrades!$J$6+E153*Upgrades!$K$6)*POWER(Upgrades!$L$6,E153)))*(IF(Upgrades!$T$7="Solar Wind",POWER(Upgrades!$U$7,F153),1)*IF(Upgrades!$T$8="Solar Wind",POWER(Upgrades!$U$8,G153),1)*IF(Upgrades!$T$9="Solar Wind",POWER(Upgrades!$U$9,H153),1)*IF(Upgrades!$T$10="Solar Wind",POWER(Upgrades!$U$10,I153),1)*IF(Upgrades!$T$11="Solar Wind",POWER(Upgrades!$U$11,J153),1)*IF(Upgrades!$T$12="Solar Wind",POWER(Upgrades!$U$12,K153),1))+(IF(F153=0,0,(Upgrades!$J$7+F153*Upgrades!$K$7)*POWER(Upgrades!$L$7,F153)))*(IF(Upgrades!$T$6="Asteroid Belt",POWER(Upgrades!$U$6,E153),1)*IF(Upgrades!$T$8="Asteroid Belt",POWER(Upgrades!$U$8,G153),1)*IF(Upgrades!$T$9="Asteroid Belt",POWER(Upgrades!$U$9,H153),1)*IF(Upgrades!$T$10="Asteroid Belt",POWER(Upgrades!$U$10,I153),1)*IF(Upgrades!$T$11="Asteroid Belt",POWER(Upgrades!$U$11,J153),1)*IF(Upgrades!$T$12="Asteroid Belt",POWER(Upgrades!$U$12,K153),1))+(IF(G153=0,0,(Upgrades!$J$8+G153*Upgrades!$K$8)*POWER(Upgrades!$L$8,G153)))*(IF(Upgrades!$T$6="Stellar Coupling",POWER(Upgrades!$U$6,E153),1)*IF(Upgrades!$T$7="Stellar Coupling",POWER(Upgrades!$U$7,F153),1)*IF(Upgrades!$T$9="Stellar Coupling",POWER(Upgrades!$U$9,H153),1)*IF(Upgrades!$T$10="Stellar Coupling",POWER(Upgrades!$U$10,I153),1)*IF(Upgrades!$T$11="Stellar Coupling",POWER(Upgrades!$U$11,J153),1)*IF(Upgrades!$T$12="Stellar Coupling",POWER(Upgrades!$U$12,K153),1))+(IF(H153=0,0,(Upgrades!$J$9+H153*Upgrades!$K$9)*POWER(Upgrades!$L$9,H153)))*(IF(Upgrades!$T$6="Magnetosphere",POWER(Upgrades!$U$6,E153),1)*IF(Upgrades!$T$7="Magnetosphere",POWER(Upgrades!$U$7,F153),1)*IF(Upgrades!$T$8="Magnetosphere",POWER(Upgrades!$U$8,G153),1)*IF(Upgrades!$T$10="Magnetosphere",POWER(Upgrades!$U$10,I153),1)*IF(Upgrades!$T$11="Magnetosphere",POWER(Upgrades!$U$11,J153),1)*IF(Upgrades!$T$12="Magnetosphere",POWER(Upgrades!$U$12,K153),1))+(IF(I153=0,0,(Upgrades!$J$10+I153*Upgrades!$K$10)*POWER(Upgrades!$L$10,I153)))*(IF(Upgrades!$T$6="Orbital Resonance",POWER(Upgrades!$U$6,E153),1)*IF(Upgrades!$T$7="Orbital Resonance",POWER(Upgrades!$U$7,F153),1)*IF(Upgrades!$T$8="Orbital Resonance",POWER(Upgrades!$U$8,G153),1)*IF(Upgrades!$T$9="Orbital Resonance",POWER(Upgrades!$U$9,H153),1)*IF(Upgrades!$T$11="Orbital Resonance",POWER(Upgrades!$U$11,J153),1)*IF(Upgrades!$T$12="Orbital Resonance",POWER(Upgrades!$U$12,K153),1))+(IF(J153=0,0,(Upgrades!$J$11+J153*Upgrades!$K$11)*POWER(Upgrades!$L$11,J153)))*(IF(Upgrades!$T$6="Heliopause",POWER(Upgrades!$U$6,E153),1)*IF(Upgrades!$T$7="Heliopause",POWER(Upgrades!$U$7,F153),1)*IF(Upgrades!$T$8="Heliopause",POWER(Upgrades!$U$8,G153),1)*IF(Upgrades!$T$9="Heliopause",POWER(Upgrades!$U$9,H153),1)*IF(Upgrades!$T$10="Heliopause",POWER(Upgrades!$U$10,I153),1)*IF(Upgrades!$T$12="Heliopause",POWER(Upgrades!$U$12,K153),1))+(IF(K153=0,0,(Upgrades!$J$12+K153*Upgrades!$K$12)*POWER(Upgrades!$L$12,K153)))*(IF(Upgrades!$T$6="First Photons",POWER(Upgrades!$U$6,E153),1)*IF(Upgrades!$T$7="First Photons",POWER(Upgrades!$U$7,F153),1)*IF(Upgrades!$T$8="First Photons",POWER(Upgrades!$U$8,G153),1)*IF(Upgrades!$T$9="First Photons",POWER(Upgrades!$U$9,H153),1)*IF(Upgrades!$T$10="First Photons",POWER(Upgrades!$U$10,I153),1)*IF(Upgrades!$T$11="First Photons",POWER(Upgrades!$U$11,J153),1)))*POWER(Upgrades!$Q$6,E153)*POWER(Upgrades!$Q$7,F153)*POWER(Upgrades!$Q$8,G153)*POWER(Upgrades!$Q$9,H153)*POWER(Upgrades!$Q$10,I153)*POWER(Upgrades!$Q$11,J153)*POWER(Upgrades!$Q$12,K153)</f>
        <v>5.61</v>
      </c>
      <c r="N153" s="28" t="n">
        <f aca="false">((IF(E153=0,0,(Upgrades!$G$6+E153*Upgrades!$H$6)*POWER(Upgrades!$I$6,E153)))*(IF(Upgrades!$T$7="Solar Wind",POWER(Upgrades!$U$7,F153),1)*IF(Upgrades!$T$8="Solar Wind",POWER(Upgrades!$U$8,G153),1)*IF(Upgrades!$T$9="Solar Wind",POWER(Upgrades!$U$9,H153),1)*IF(Upgrades!$T$10="Solar Wind",POWER(Upgrades!$U$10,I153),1)*IF(Upgrades!$T$11="Solar Wind",POWER(Upgrades!$U$11,J153),1)*IF(Upgrades!$T$12="Solar Wind",POWER(Upgrades!$U$12,K153),1))+(IF(F153=0,0,(Upgrades!$G$7+F153*Upgrades!$H$7)*POWER(Upgrades!$I$7,F153)))*(IF(Upgrades!$T$6="Asteroid Belt",POWER(Upgrades!$U$6,E153),1)*IF(Upgrades!$T$8="Asteroid Belt",POWER(Upgrades!$U$8,G153),1)*IF(Upgrades!$T$9="Asteroid Belt",POWER(Upgrades!$U$9,H153),1)*IF(Upgrades!$T$10="Asteroid Belt",POWER(Upgrades!$U$10,I153),1)*IF(Upgrades!$T$11="Asteroid Belt",POWER(Upgrades!$U$11,J153),1)*IF(Upgrades!$T$12="Asteroid Belt",POWER(Upgrades!$U$12,K153),1))+(IF(G153=0,0,(Upgrades!$G$8+G153*Upgrades!$H$8)*POWER(Upgrades!$I$8,G153)))*(IF(Upgrades!$T$6="Stellar Coupling",POWER(Upgrades!$U$6,E153),1)*IF(Upgrades!$T$7="Stellar Coupling",POWER(Upgrades!$U$7,F153),1)*IF(Upgrades!$T$9="Stellar Coupling",POWER(Upgrades!$U$9,H153),1)*IF(Upgrades!$T$10="Stellar Coupling",POWER(Upgrades!$U$10,I153),1)*IF(Upgrades!$T$11="Stellar Coupling",POWER(Upgrades!$U$11,J153),1)*IF(Upgrades!$T$12="Stellar Coupling",POWER(Upgrades!$U$12,K153),1))+(IF(H153=0,0,(Upgrades!$G$9+H153*Upgrades!$H$9)*POWER(Upgrades!$I$9,H153)))*(IF(Upgrades!$T$6="Magnetosphere",POWER(Upgrades!$U$6,E153),1)*IF(Upgrades!$T$7="Magnetosphere",POWER(Upgrades!$U$7,F153),1)*IF(Upgrades!$T$8="Magnetosphere",POWER(Upgrades!$U$8,G153),1)*IF(Upgrades!$T$10="Magnetosphere",POWER(Upgrades!$U$10,I153),1)*IF(Upgrades!$T$11="Magnetosphere",POWER(Upgrades!$U$11,J153),1)*IF(Upgrades!$T$12="Magnetosphere",POWER(Upgrades!$U$12,K153),1))+(IF(I153=0,0,(Upgrades!$G$10+I153*Upgrades!$H$10)*POWER(Upgrades!$I$10,I153)))*(IF(Upgrades!$T$6="Orbital Resonance",POWER(Upgrades!$U$6,E153),1)*IF(Upgrades!$T$7="Orbital Resonance",POWER(Upgrades!$U$7,F153),1)*IF(Upgrades!$T$8="Orbital Resonance",POWER(Upgrades!$U$8,G153),1)*IF(Upgrades!$T$9="Orbital Resonance",POWER(Upgrades!$U$9,H153),1)*IF(Upgrades!$T$11="Orbital Resonance",POWER(Upgrades!$U$11,J153),1)*IF(Upgrades!$T$12="Orbital Resonance",POWER(Upgrades!$U$12,K153),1))+(IF(J153=0,0,(Upgrades!$G$11+J153*Upgrades!$H$11)*POWER(Upgrades!$I$11,J153)))*(IF(Upgrades!$T$6="Heliopause",POWER(Upgrades!$U$6,E153),1)*IF(Upgrades!$T$7="Heliopause",POWER(Upgrades!$U$7,F153),1)*IF(Upgrades!$T$8="Heliopause",POWER(Upgrades!$U$8,G153),1)*IF(Upgrades!$T$9="Heliopause",POWER(Upgrades!$U$9,H153),1)*IF(Upgrades!$T$10="Heliopause",POWER(Upgrades!$U$10,I153),1)*IF(Upgrades!$T$12="Heliopause",POWER(Upgrades!$U$12,K153),1))+(IF(K153=0,0,(Upgrades!$G$12+K153*Upgrades!$H$12)*POWER(Upgrades!$I$12,K153)))*(IF(Upgrades!$T$6="First Photons",POWER(Upgrades!$U$6,E153),1)*IF(Upgrades!$T$7="First Photons",POWER(Upgrades!$U$7,F153),1)*IF(Upgrades!$T$8="First Photons",POWER(Upgrades!$U$8,G153),1)*IF(Upgrades!$T$9="First Photons",POWER(Upgrades!$U$9,H153),1)*IF(Upgrades!$T$10="First Photons",POWER(Upgrades!$U$10,I153),1)*IF(Upgrades!$T$11="First Photons",POWER(Upgrades!$U$11,J153),1)))*POWER(Upgrades!$P$6,E153)*POWER(Upgrades!$P$7,F153)*POWER(Upgrades!$P$8,G153)*POWER(Upgrades!$P$9,H153)*POWER(Upgrades!$P$10,I153)*POWER(Upgrades!$P$11,J153)*POWER(Upgrades!$P$12,K153)</f>
        <v>11.2</v>
      </c>
      <c r="O153" s="28" t="n">
        <f aca="false">((IF(E153=0,0,(Upgrades!$M$6+E153*Upgrades!$N$6)*POWER(Upgrades!$O$6,E153)))*(IF(Upgrades!$T$7="Solar Wind",POWER(Upgrades!$U$7,F153),1)*IF(Upgrades!$T$8="Solar Wind",POWER(Upgrades!$U$8,G153),1)*IF(Upgrades!$T$9="Solar Wind",POWER(Upgrades!$U$9,H153),1)*IF(Upgrades!$T$10="Solar Wind",POWER(Upgrades!$U$10,I153),1)*IF(Upgrades!$T$11="Solar Wind",POWER(Upgrades!$U$11,J153),1)*IF(Upgrades!$T$12="Solar Wind",POWER(Upgrades!$U$12,K153),1))+(IF(F153=0,0,(Upgrades!$M$7+F153*Upgrades!$N$7)*POWER(Upgrades!$O$7,F153)))*(IF(Upgrades!$T$6="Asteroid Belt",POWER(Upgrades!$U$6,E153),1)*IF(Upgrades!$T$8="Asteroid Belt",POWER(Upgrades!$U$8,G153),1)*IF(Upgrades!$T$9="Asteroid Belt",POWER(Upgrades!$U$9,H153),1)*IF(Upgrades!$T$10="Asteroid Belt",POWER(Upgrades!$U$10,I153),1)*IF(Upgrades!$T$11="Asteroid Belt",POWER(Upgrades!$U$11,J153),1)*IF(Upgrades!$T$12="Asteroid Belt",POWER(Upgrades!$U$12,K153),1))+(IF(G153=0,0,(Upgrades!$M$8+G153*Upgrades!$N$8)*POWER(Upgrades!$O$8,G153)))*(IF(Upgrades!$T$6="Stellar Coupling",POWER(Upgrades!$U$6,E153),1)*IF(Upgrades!$T$7="Stellar Coupling",POWER(Upgrades!$U$7,F153),1)*IF(Upgrades!$T$9="Stellar Coupling",POWER(Upgrades!$U$9,H153),1)*IF(Upgrades!$T$10="Stellar Coupling",POWER(Upgrades!$U$10,I153),1)*IF(Upgrades!$T$11="Stellar Coupling",POWER(Upgrades!$U$11,J153),1)*IF(Upgrades!$T$12="Stellar Coupling",POWER(Upgrades!$U$12,K153),1))+(IF(H153=0,0,(Upgrades!$M$9+H153*Upgrades!$N$9)*POWER(Upgrades!$O$9,H153)))*(IF(Upgrades!$T$6="Magnetosphere",POWER(Upgrades!$U$6,E153),1)*IF(Upgrades!$T$7="Magnetosphere",POWER(Upgrades!$U$7,F153),1)*IF(Upgrades!$T$8="Magnetosphere",POWER(Upgrades!$U$8,G153),1)*IF(Upgrades!$T$10="Magnetosphere",POWER(Upgrades!$U$10,I153),1)*IF(Upgrades!$T$11="Magnetosphere",POWER(Upgrades!$U$11,J153),1)*IF(Upgrades!$T$12="Magnetosphere",POWER(Upgrades!$U$12,K153),1))+(IF(I153=0,0,(Upgrades!$M$10+I153*Upgrades!$N$10)*POWER(Upgrades!$O$10,I153)))*(IF(Upgrades!$T$6="Orbital Resonance",POWER(Upgrades!$U$6,E153),1)*IF(Upgrades!$T$7="Orbital Resonance",POWER(Upgrades!$U$7,F153),1)*IF(Upgrades!$T$8="Orbital Resonance",POWER(Upgrades!$U$8,G153),1)*IF(Upgrades!$T$9="Orbital Resonance",POWER(Upgrades!$U$9,H153),1)*IF(Upgrades!$T$11="Orbital Resonance",POWER(Upgrades!$U$11,J153),1)*IF(Upgrades!$T$12="Orbital Resonance",POWER(Upgrades!$U$12,K153),1))+(IF(J153=0,0,(Upgrades!$M$11+J153*Upgrades!$N$11)*POWER(Upgrades!$O$11,J153)))*(IF(Upgrades!$T$6="Heliopause",POWER(Upgrades!$U$6,E153),1)*IF(Upgrades!$T$7="Heliopause",POWER(Upgrades!$U$7,F153),1)*IF(Upgrades!$T$8="Heliopause",POWER(Upgrades!$U$8,G153),1)*IF(Upgrades!$T$9="Heliopause",POWER(Upgrades!$U$9,H153),1)*IF(Upgrades!$T$10="Heliopause",POWER(Upgrades!$U$10,I153),1)*IF(Upgrades!$T$12="Heliopause",POWER(Upgrades!$U$12,K153),1))+(IF(K153=0,0,(Upgrades!$M$12+K153*Upgrades!$N$12)*POWER(Upgrades!$O$12,K153)))*(IF(Upgrades!$T$6="First Photons",POWER(Upgrades!$U$6,E153),1)*IF(Upgrades!$T$7="First Photons",POWER(Upgrades!$U$7,F153),1)*IF(Upgrades!$T$8="First Photons",POWER(Upgrades!$U$8,G153),1)*IF(Upgrades!$T$9="First Photons",POWER(Upgrades!$U$9,H153),1)*IF(Upgrades!$T$10="First Photons",POWER(Upgrades!$U$10,I153),1)*IF(Upgrades!$T$11="First Photons",POWER(Upgrades!$U$11,J153),1)))*POWER(Upgrades!$R$6,E153)*POWER(Upgrades!$R$7,F153)*POWER(Upgrades!$R$8,G153)*POWER(Upgrades!$R$9,H153)*POWER(Upgrades!$R$10,I153)*POWER(Upgrades!$R$11,J153)*POWER(Upgrades!$R$12,K153)</f>
        <v>0</v>
      </c>
      <c r="P153" s="27" t="n">
        <f aca="false">IF(L153=1,0,M153*Parameters!$B$10/60*Parameters!$B$11*10)</f>
        <v>0</v>
      </c>
      <c r="Q153" s="27" t="n">
        <f aca="false">IF(L153=1,0,O153*M153*10)</f>
        <v>0</v>
      </c>
      <c r="R153" s="27" t="n">
        <f aca="false">IF(L153=1,0,N153*10)</f>
        <v>0</v>
      </c>
      <c r="S153" s="27" t="n">
        <f aca="false">P153+Q153+R153</f>
        <v>0</v>
      </c>
      <c r="T153" s="21" t="n">
        <f aca="false">C153+S153</f>
        <v>18.6730249835055</v>
      </c>
      <c r="U153" s="34" t="str">
        <f aca="false">AX153</f>
        <v/>
      </c>
      <c r="V153" s="21" t="n">
        <f aca="false">IF(U153="",0,IF(U153="transition",0,IF(U153="SW",AG153,IF(U153="AB",AH153,IF(U153="SC",AI153,IF(U153="Mag",AJ153,IF(U153="OR",AK153,IF(U153="HP",AL153,IF(U153="FP",AM153,0)))))))))</f>
        <v>0</v>
      </c>
      <c r="W153" s="27" t="n">
        <f aca="false">IF(U153="OR",Upgrades!$F$10,IF(U153="HP",Upgrades!$F$11,IF(U153="transition",-Parameters!$B$18,0)))</f>
        <v>0</v>
      </c>
      <c r="X153" s="21" t="n">
        <f aca="false">T153-V153</f>
        <v>18.6730249835055</v>
      </c>
      <c r="Y153" s="30" t="n">
        <f aca="false">M153*Parameters!$B$10/60*Parameters!$B$11+O153*M153+N153</f>
        <v>20.55</v>
      </c>
      <c r="Z153" s="35" t="str">
        <f aca="false">IF(U153="transition","→ Tier 2 (Stellar Neighborhood)",IF(U153="FP","First Photons — light begins, system quickens",IF(U153="HP","Heliopause acquired",IF(U153="OR","Orbital Resonance — passive multiplier active",IF(AND(AO153=1,L153=0,AN153&lt;&gt;1),"Cohesion ready (waiting on completionist upgrades)","")))))</f>
        <v/>
      </c>
      <c r="AA153" s="27" t="n">
        <f aca="false">(IF(E153=0,0,(Upgrades!$G$6+E153*Upgrades!$H$6)*POWER(Upgrades!$I$6,E153)))*(IF(Upgrades!$T$7="Solar Wind",POWER(Upgrades!$U$7,F153),1)*IF(Upgrades!$T$8="Solar Wind",POWER(Upgrades!$U$8,G153),1)*IF(Upgrades!$T$9="Solar Wind",POWER(Upgrades!$U$9,H153),1)*IF(Upgrades!$T$10="Solar Wind",POWER(Upgrades!$U$10,I153),1)*IF(Upgrades!$T$11="Solar Wind",POWER(Upgrades!$U$11,J153),1)*IF(Upgrades!$T$12="Solar Wind",POWER(Upgrades!$U$12,K153),1))*POWER(Upgrades!$P$6,E153)*POWER(Upgrades!$P$7,F153)*POWER(Upgrades!$P$8,G153)*POWER(Upgrades!$P$9,H153)*POWER(Upgrades!$P$10,I153)*POWER(Upgrades!$P$11,J153)*POWER(Upgrades!$P$12,K153)*60</f>
        <v>72</v>
      </c>
      <c r="AB153" s="27" t="n">
        <f aca="false">(IF(F153=0,0,(Upgrades!$G$7+F153*Upgrades!$H$7)*POWER(Upgrades!$I$7,F153)))*(IF(Upgrades!$T$6="Asteroid Belt",POWER(Upgrades!$U$6,E153),1)*IF(Upgrades!$T$8="Asteroid Belt",POWER(Upgrades!$U$8,G153),1)*IF(Upgrades!$T$9="Asteroid Belt",POWER(Upgrades!$U$9,H153),1)*IF(Upgrades!$T$10="Asteroid Belt",POWER(Upgrades!$U$10,I153),1)*IF(Upgrades!$T$11="Asteroid Belt",POWER(Upgrades!$U$11,J153),1)*IF(Upgrades!$T$12="Asteroid Belt",POWER(Upgrades!$U$12,K153),1))*POWER(Upgrades!$P$6,E153)*POWER(Upgrades!$P$7,F153)*POWER(Upgrades!$P$8,G153)*POWER(Upgrades!$P$9,H153)*POWER(Upgrades!$P$10,I153)*POWER(Upgrades!$P$11,J153)*POWER(Upgrades!$P$12,K153)*60</f>
        <v>150</v>
      </c>
      <c r="AC153" s="27" t="n">
        <f aca="false">(IF(G153=0,0,(Upgrades!$J$8+G153*Upgrades!$K$8)*POWER(Upgrades!$L$8,G153)))*(IF(Upgrades!$T$6="Stellar Coupling",POWER(Upgrades!$U$6,E153),1)*IF(Upgrades!$T$7="Stellar Coupling",POWER(Upgrades!$U$7,F153),1)*IF(Upgrades!$T$9="Stellar Coupling",POWER(Upgrades!$U$9,H153),1)*IF(Upgrades!$T$10="Stellar Coupling",POWER(Upgrades!$U$10,I153),1)*IF(Upgrades!$T$11="Stellar Coupling",POWER(Upgrades!$U$11,J153),1)*IF(Upgrades!$T$12="Stellar Coupling",POWER(Upgrades!$U$12,K153),1))*POWER(Upgrades!$Q$6,E153)*POWER(Upgrades!$Q$7,F153)*POWER(Upgrades!$Q$8,G153)*POWER(Upgrades!$Q$9,H153)*POWER(Upgrades!$Q$10,I153)*POWER(Upgrades!$Q$11,J153)*POWER(Upgrades!$Q$12,K153)*Parameters!$B$10*Parameters!$B$11</f>
        <v>441</v>
      </c>
      <c r="AD153" s="27" t="n">
        <f aca="false">(IF(H153=0,0,(Upgrades!$G$9+H153*Upgrades!$H$9)*POWER(Upgrades!$I$9,H153)))*(IF(Upgrades!$T$6="Magnetosphere",POWER(Upgrades!$U$6,E153),1)*IF(Upgrades!$T$7="Magnetosphere",POWER(Upgrades!$U$7,F153),1)*IF(Upgrades!$T$8="Magnetosphere",POWER(Upgrades!$U$8,G153),1)*IF(Upgrades!$T$10="Magnetosphere",POWER(Upgrades!$U$10,I153),1)*IF(Upgrades!$T$11="Magnetosphere",POWER(Upgrades!$U$11,J153),1)*IF(Upgrades!$T$12="Magnetosphere",POWER(Upgrades!$U$12,K153),1))*POWER(Upgrades!$P$6,E153)*POWER(Upgrades!$P$7,F153)*POWER(Upgrades!$P$8,G153)*POWER(Upgrades!$P$9,H153)*POWER(Upgrades!$P$10,I153)*POWER(Upgrades!$P$11,J153)*POWER(Upgrades!$P$12,K153)*60</f>
        <v>375</v>
      </c>
      <c r="AE153" s="27" t="n">
        <f aca="false">(IF(K153=0,0,(Upgrades!$G$12+K153*Upgrades!$H$12)*POWER(Upgrades!$I$12,K153)))*(IF(Upgrades!$T$6="First Photons",POWER(Upgrades!$U$6,E153),1)*IF(Upgrades!$T$7="First Photons",POWER(Upgrades!$U$7,F153),1)*IF(Upgrades!$T$8="First Photons",POWER(Upgrades!$U$8,G153),1)*IF(Upgrades!$T$9="First Photons",POWER(Upgrades!$U$9,H153),1)*IF(Upgrades!$T$10="First Photons",POWER(Upgrades!$U$10,I153),1)*IF(Upgrades!$T$11="First Photons",POWER(Upgrades!$U$11,J153),1))*POWER(Upgrades!$P$6,E153)*POWER(Upgrades!$P$7,F153)*POWER(Upgrades!$P$8,G153)*POWER(Upgrades!$P$9,H153)*POWER(Upgrades!$P$10,I153)*POWER(Upgrades!$P$11,J153)*POWER(Upgrades!$P$12,K153)*60</f>
        <v>75</v>
      </c>
      <c r="AF153" s="27" t="n">
        <f aca="false">Parameters!$B$9*POWER(Upgrades!$Q$6,E153)*POWER(Upgrades!$Q$7,F153)*POWER(Upgrades!$Q$8,G153)*POWER(Upgrades!$Q$9,H153)*POWER(Upgrades!$Q$10,I153)*POWER(Upgrades!$Q$11,J153)*POWER(Upgrades!$Q$12,K153)*(Parameters!$B$10*Parameters!$B$11+O153*60)</f>
        <v>120</v>
      </c>
      <c r="AG153" s="21" t="n">
        <f aca="false">IF(E153&gt;=Upgrades!$E$6,"",Upgrades!$C$6*POWER(Upgrades!$D$6,E153))</f>
        <v>37.4517507383159</v>
      </c>
      <c r="AH153" s="21" t="n">
        <f aca="false">IF(F153&gt;=Upgrades!$E$7,"",Upgrades!$C$7*POWER(Upgrades!$D$7,F153))</f>
        <v>80.9111547141581</v>
      </c>
      <c r="AI153" s="21" t="n">
        <f aca="false">IF(G153&gt;=Upgrades!$E$8,"",Upgrades!$C$8*POWER(Upgrades!$D$8,G153))</f>
        <v>231.9097088</v>
      </c>
      <c r="AJ153" s="21" t="str">
        <f aca="false">IF(H153&gt;=Upgrades!$E$9,"",Upgrades!$C$9*POWER(Upgrades!$D$9,H153))</f>
        <v/>
      </c>
      <c r="AK153" s="21" t="str">
        <f aca="false">IF(I153&gt;=Upgrades!$E$10,"",Upgrades!$C$10*POWER(Upgrades!$D$10,I153))</f>
        <v/>
      </c>
      <c r="AL153" s="21" t="str">
        <f aca="false">IF(J153&gt;=Upgrades!$E$11,"",Upgrades!$C$11*POWER(Upgrades!$D$11,J153))</f>
        <v/>
      </c>
      <c r="AM153" s="21" t="str">
        <f aca="false">IF(K153&gt;=Upgrades!$E$12,"",Upgrades!$C$12*POWER(Upgrades!$D$12,K153))</f>
        <v/>
      </c>
      <c r="AN153" s="26" t="str">
        <f aca="false">IF(AND(D153&gt;=Parameters!$B$18,(H153&gt;=Upgrades!$E$9)*(K153&gt;=Upgrades!$E$12)=1,L153=0),1,"")</f>
        <v/>
      </c>
      <c r="AO153" s="26" t="str">
        <f aca="false">IF(AND(D153&gt;=Parameters!$B$18,L153=0),1,"")</f>
        <v/>
      </c>
      <c r="AP153" s="21" t="n">
        <f aca="false">MIN(IF(ISNUMBER(AK153),AK153,9000000000000000),IF(ISNUMBER(AL153),AL153,9000000000000000),IF(ISNUMBER(AM153),AM153,9000000000000000))</f>
        <v>9000000000000000</v>
      </c>
      <c r="AQ153" s="21" t="n">
        <f aca="false">MIN(IF(ISNUMBER(AG153),AG153,9000000000000000),IF(ISNUMBER(AH153),AH153,9000000000000000),IF(ISNUMBER(AI153),AI153,9000000000000000),IF(ISNUMBER(AJ153),AJ153,9000000000000000))</f>
        <v>37.4517507383159</v>
      </c>
      <c r="AR153" s="32" t="b">
        <f aca="false">IF(AW153&gt;Parameters!$B$21*(MAX(IF(AND(NOT(AND(AO153=1,AN153&lt;&gt;1)),ISNUMBER(AG153),AG153&lt;=T153),AS153,0),IF(AND(NOT(AND(AO153=1,AN153&lt;&gt;1)),ISNUMBER(AH153),AH153&lt;=T153),AT153,0),IF(AND(NOT(AND(AO153=1,AN153&lt;&gt;1)),ISNUMBER(AI153),AI153&lt;=T153),AU153,0),IF(AND(ISNUMBER(AJ153),AJ153&lt;=T153),AV153,0))),TRUE(),FALSE())</f>
        <v>1</v>
      </c>
      <c r="AS153" s="33" t="n">
        <f aca="false">IFERROR(Upgrades!$H$6*(POWER(Upgrades!$P$6,E153)*POWER(Upgrades!$P$7,F153)*POWER(Upgrades!$P$8,G153)*POWER(Upgrades!$P$9,H153)*POWER(Upgrades!$P$10,I153)*POWER(Upgrades!$P$11,J153)*POWER(Upgrades!$P$12,K153))*(IF(Upgrades!$T$7="Solar Wind",POWER(Upgrades!$U$7,F153),1)*IF(Upgrades!$T$8="Solar Wind",POWER(Upgrades!$U$8,G153),1)*IF(Upgrades!$T$9="Solar Wind",POWER(Upgrades!$U$9,H153),1)*IF(Upgrades!$T$10="Solar Wind",POWER(Upgrades!$U$10,I153),1)*IF(Upgrades!$T$11="Solar Wind",POWER(Upgrades!$U$11,J153),1)*IF(Upgrades!$T$12="Solar Wind",POWER(Upgrades!$U$12,K153),1))/AG153,0)</f>
        <v>0.0026701021455238</v>
      </c>
      <c r="AT153" s="33" t="n">
        <f aca="false">IFERROR(Upgrades!$H$7*(POWER(Upgrades!$P$6,E153)*POWER(Upgrades!$P$7,F153)*POWER(Upgrades!$P$8,G153)*POWER(Upgrades!$P$9,H153)*POWER(Upgrades!$P$10,I153)*POWER(Upgrades!$P$11,J153)*POWER(Upgrades!$P$12,K153))*(IF(Upgrades!$T$6="Asteroid Belt",POWER(Upgrades!$U$6,E153),1)*IF(Upgrades!$T$8="Asteroid Belt",POWER(Upgrades!$U$8,G153),1)*IF(Upgrades!$T$9="Asteroid Belt",POWER(Upgrades!$U$9,H153),1)*IF(Upgrades!$T$10="Asteroid Belt",POWER(Upgrades!$U$10,I153),1)*IF(Upgrades!$T$11="Asteroid Belt",POWER(Upgrades!$U$11,J153),1)*IF(Upgrades!$T$12="Asteroid Belt",POWER(Upgrades!$U$12,K153),1))/AH153,0)</f>
        <v>0.00308980882652332</v>
      </c>
      <c r="AU153" s="33" t="n">
        <f aca="false">IFERROR(Upgrades!$K$8*(POWER(Upgrades!$Q$6,E153)*POWER(Upgrades!$Q$7,F153)*POWER(Upgrades!$Q$8,G153)*POWER(Upgrades!$Q$9,H153)*POWER(Upgrades!$Q$10,I153)*POWER(Upgrades!$Q$11,J153)*POWER(Upgrades!$Q$12,K153))*(IF(Upgrades!$T$6="Stellar Coupling",POWER(Upgrades!$U$6,E153),1)*IF(Upgrades!$T$7="Stellar Coupling",POWER(Upgrades!$U$7,F153),1)*IF(Upgrades!$T$9="Stellar Coupling",POWER(Upgrades!$U$9,H153),1)*IF(Upgrades!$T$10="Stellar Coupling",POWER(Upgrades!$U$10,I153),1)*IF(Upgrades!$T$11="Stellar Coupling",POWER(Upgrades!$U$11,J153),1)*IF(Upgrades!$T$12="Stellar Coupling",POWER(Upgrades!$U$12,K153),1))*Parameters!$B$10*Parameters!$B$11/60/AI153,0)</f>
        <v>0.00452762415783776</v>
      </c>
      <c r="AV153" s="33" t="n">
        <f aca="false">IFERROR(Upgrades!$H$9*(POWER(Upgrades!$P$6,E153)*POWER(Upgrades!$P$7,F153)*POWER(Upgrades!$P$8,G153)*POWER(Upgrades!$P$9,H153)*POWER(Upgrades!$P$10,I153)*POWER(Upgrades!$P$11,J153)*POWER(Upgrades!$P$12,K153))*(IF(Upgrades!$T$6="Magnetosphere",POWER(Upgrades!$U$6,E153),1)*IF(Upgrades!$T$7="Magnetosphere",POWER(Upgrades!$U$7,F153),1)*IF(Upgrades!$T$8="Magnetosphere",POWER(Upgrades!$U$8,G153),1)*IF(Upgrades!$T$10="Magnetosphere",POWER(Upgrades!$U$10,I153),1)*IF(Upgrades!$T$11="Magnetosphere",POWER(Upgrades!$U$11,J153),1)*IF(Upgrades!$T$12="Magnetosphere",POWER(Upgrades!$U$12,K153),1))/AJ153,0)</f>
        <v>0</v>
      </c>
      <c r="AW153" s="33" t="n">
        <f aca="false">MAX(IF(I153&gt;0,0,IFERROR(0.25*N153/Upgrades!$C$10,0)),IF(J153&gt;0,0,IFERROR(0.5*((IF(G153=0,0,(Upgrades!$J$8+G153*Upgrades!$K$8)*POWER(Upgrades!$L$8,G153)))*(IF(Upgrades!$T$6="Stellar Coupling",POWER(Upgrades!$U$6,E153),1)*IF(Upgrades!$T$7="Stellar Coupling",POWER(Upgrades!$U$7,F153),1)*IF(Upgrades!$T$9="Stellar Coupling",POWER(Upgrades!$U$9,H153),1)*IF(Upgrades!$T$10="Stellar Coupling",POWER(Upgrades!$U$10,I153),1)*IF(Upgrades!$T$11="Stellar Coupling",POWER(Upgrades!$U$11,J153),1)*IF(Upgrades!$T$12="Stellar Coupling",POWER(Upgrades!$U$12,K153),1))*(POWER(Upgrades!$Q$6,E153)*POWER(Upgrades!$Q$7,F153)*POWER(Upgrades!$Q$8,G153)*POWER(Upgrades!$Q$9,H153)*POWER(Upgrades!$Q$10,I153)*POWER(Upgrades!$Q$11,J153)*POWER(Upgrades!$Q$12,K153))*Parameters!$B$10*Parameters!$B$11/60)/Upgrades!$C$11,0)),IF(K153&gt;0,0,IFERROR((1*(POWER(Upgrades!$P$6,E153)*POWER(Upgrades!$P$7,F153)*POWER(Upgrades!$P$8,G153)*POWER(Upgrades!$P$9,H153)*POWER(Upgrades!$P$10,I153)*POWER(Upgrades!$P$11,J153)*POWER(Upgrades!$P$12,K153))+0.2*M153*Parameters!$B$10*Parameters!$B$11/60)/Upgrades!$C$12,0)),IF(AND(ISNUMBER(AG153),AG153&gt;T153),AS153,0),IF(AND(ISNUMBER(AH153),AH153&gt;T153),AT153,0),IF(AND(ISNUMBER(AI153),AI153&gt;T153),AU153,0),IF(AND(ISNUMBER(AJ153),AJ153&gt;T153),AV153,0))</f>
        <v>0.00452762415783776</v>
      </c>
      <c r="AX153" s="29" t="str">
        <f aca="false">IF(AN153=1,"transition",IF(MIN(IF(AND(I153=0,ISNUMBER(AK153),AK153&lt;=T153),AK153,9000000000000000),IF(AND(J153=0,ISNUMBER(AL153),AL153&lt;=T153),AL153,9000000000000000),IF(AND(K153=0,ISNUMBER(AM153),AM153&lt;=T153),AM153,9000000000000000))&lt;9000000000000000,IF(AND(AND(I153=0,ISNUMBER(AK153),AK153&lt;=T153),AK153=MIN(IF(AND(I153=0,ISNUMBER(AK153),AK153&lt;=T153),AK153,9000000000000000),IF(AND(J153=0,ISNUMBER(AL153),AL153&lt;=T153),AL153,9000000000000000),IF(AND(K153=0,ISNUMBER(AM153),AM153&lt;=T153),AM153,9000000000000000))),"OR",IF(AND(AND(J153=0,ISNUMBER(AL153),AL153&lt;=T153),AL153=MIN(IF(AND(I153=0,ISNUMBER(AK153),AK153&lt;=T153),AK153,9000000000000000),IF(AND(J153=0,ISNUMBER(AL153),AL153&lt;=T153),AL153,9000000000000000),IF(AND(K153=0,ISNUMBER(AM153),AM153&lt;=T153),AM153,9000000000000000))),"HP","FP")),IF(AR153=TRUE(),"",IF(MAX(IF(AND(NOT(AND(AO153=1,AN153&lt;&gt;1)),ISNUMBER(AG153),AG153&lt;=T153),AS153,0),IF(AND(NOT(AND(AO153=1,AN153&lt;&gt;1)),ISNUMBER(AH153),AH153&lt;=T153),AT153,0),IF(AND(NOT(AND(AO153=1,AN153&lt;&gt;1)),ISNUMBER(AI153),AI153&lt;=T153),AU153,0),IF(AND(ISNUMBER(AJ153),AJ153&lt;=T153),AV153,0))&lt;=0,"",IF(AND(IF(AND(NOT(AND(AO153=1,AN153&lt;&gt;1)),ISNUMBER(AG153),AG153&lt;=T153),AS153,0)&gt;0,IF(AND(NOT(AND(AO153=1,AN153&lt;&gt;1)),ISNUMBER(AG153),AG153&lt;=T153),AS153,0)=MAX(IF(AND(NOT(AND(AO153=1,AN153&lt;&gt;1)),ISNUMBER(AG153),AG153&lt;=T153),AS153,0),IF(AND(NOT(AND(AO153=1,AN153&lt;&gt;1)),ISNUMBER(AH153),AH153&lt;=T153),AT153,0),IF(AND(NOT(AND(AO153=1,AN153&lt;&gt;1)),ISNUMBER(AI153),AI153&lt;=T153),AU153,0),IF(AND(ISNUMBER(AJ153),AJ153&lt;=T153),AV153,0))),"SW",IF(AND(IF(AND(NOT(AND(AO153=1,AN153&lt;&gt;1)),ISNUMBER(AH153),AH153&lt;=T153),AT153,0)&gt;0,IF(AND(NOT(AND(AO153=1,AN153&lt;&gt;1)),ISNUMBER(AH153),AH153&lt;=T153),AT153,0)=MAX(IF(AND(NOT(AND(AO153=1,AN153&lt;&gt;1)),ISNUMBER(AG153),AG153&lt;=T153),AS153,0),IF(AND(NOT(AND(AO153=1,AN153&lt;&gt;1)),ISNUMBER(AH153),AH153&lt;=T153),AT153,0),IF(AND(NOT(AND(AO153=1,AN153&lt;&gt;1)),ISNUMBER(AI153),AI153&lt;=T153),AU153,0),IF(AND(ISNUMBER(AJ153),AJ153&lt;=T153),AV153,0))),"AB",IF(AND(IF(AND(NOT(AND(AO153=1,AN153&lt;&gt;1)),ISNUMBER(AI153),AI153&lt;=T153),AU153,0)&gt;0,IF(AND(NOT(AND(AO153=1,AN153&lt;&gt;1)),ISNUMBER(AI153),AI153&lt;=T153),AU153,0)=MAX(IF(AND(NOT(AND(AO153=1,AN153&lt;&gt;1)),ISNUMBER(AG153),AG153&lt;=T153),AS153,0),IF(AND(NOT(AND(AO153=1,AN153&lt;&gt;1)),ISNUMBER(AH153),AH153&lt;=T153),AT153,0),IF(AND(NOT(AND(AO153=1,AN153&lt;&gt;1)),ISNUMBER(AI153),AI153&lt;=T153),AU153,0),IF(AND(ISNUMBER(AJ153),AJ153&lt;=T153),AV153,0))),"SC","Mag")))))))</f>
        <v/>
      </c>
    </row>
    <row r="154" customFormat="false" ht="15" hidden="false" customHeight="false" outlineLevel="0" collapsed="false">
      <c r="A154" s="26" t="n">
        <v>149</v>
      </c>
      <c r="B154" s="27" t="n">
        <f aca="false">A154*10/60</f>
        <v>24.8333333333333</v>
      </c>
      <c r="C154" s="21" t="n">
        <f aca="false">X153</f>
        <v>18.6730249835055</v>
      </c>
      <c r="D154" s="27" t="n">
        <f aca="false">D153+W153</f>
        <v>0</v>
      </c>
      <c r="E154" s="26" t="n">
        <f aca="false">E153+IF(U153="SW",1,0)</f>
        <v>12</v>
      </c>
      <c r="F154" s="26" t="n">
        <f aca="false">F153+IF(U153="AB",1,0)</f>
        <v>10</v>
      </c>
      <c r="G154" s="26" t="n">
        <f aca="false">G153+IF(U153="SC",1,0)</f>
        <v>7</v>
      </c>
      <c r="H154" s="26" t="n">
        <f aca="false">H153+IF(U153="Mag",1,0)</f>
        <v>5</v>
      </c>
      <c r="I154" s="26" t="n">
        <f aca="false">MAX(I153,IF(U153="OR",1,0))</f>
        <v>1</v>
      </c>
      <c r="J154" s="26" t="n">
        <f aca="false">MAX(J153,IF(U153="HP",1,0))</f>
        <v>1</v>
      </c>
      <c r="K154" s="26" t="n">
        <f aca="false">MAX(K153,IF(U153="FP",1,0))</f>
        <v>1</v>
      </c>
      <c r="L154" s="26" t="n">
        <f aca="false">MAX(L153,IF(U153="transition",1,0))</f>
        <v>1</v>
      </c>
      <c r="M154" s="28" t="n">
        <f aca="false">(Parameters!$B$9+(IF(E154=0,0,(Upgrades!$J$6+E154*Upgrades!$K$6)*POWER(Upgrades!$L$6,E154)))*(IF(Upgrades!$T$7="Solar Wind",POWER(Upgrades!$U$7,F154),1)*IF(Upgrades!$T$8="Solar Wind",POWER(Upgrades!$U$8,G154),1)*IF(Upgrades!$T$9="Solar Wind",POWER(Upgrades!$U$9,H154),1)*IF(Upgrades!$T$10="Solar Wind",POWER(Upgrades!$U$10,I154),1)*IF(Upgrades!$T$11="Solar Wind",POWER(Upgrades!$U$11,J154),1)*IF(Upgrades!$T$12="Solar Wind",POWER(Upgrades!$U$12,K154),1))+(IF(F154=0,0,(Upgrades!$J$7+F154*Upgrades!$K$7)*POWER(Upgrades!$L$7,F154)))*(IF(Upgrades!$T$6="Asteroid Belt",POWER(Upgrades!$U$6,E154),1)*IF(Upgrades!$T$8="Asteroid Belt",POWER(Upgrades!$U$8,G154),1)*IF(Upgrades!$T$9="Asteroid Belt",POWER(Upgrades!$U$9,H154),1)*IF(Upgrades!$T$10="Asteroid Belt",POWER(Upgrades!$U$10,I154),1)*IF(Upgrades!$T$11="Asteroid Belt",POWER(Upgrades!$U$11,J154),1)*IF(Upgrades!$T$12="Asteroid Belt",POWER(Upgrades!$U$12,K154),1))+(IF(G154=0,0,(Upgrades!$J$8+G154*Upgrades!$K$8)*POWER(Upgrades!$L$8,G154)))*(IF(Upgrades!$T$6="Stellar Coupling",POWER(Upgrades!$U$6,E154),1)*IF(Upgrades!$T$7="Stellar Coupling",POWER(Upgrades!$U$7,F154),1)*IF(Upgrades!$T$9="Stellar Coupling",POWER(Upgrades!$U$9,H154),1)*IF(Upgrades!$T$10="Stellar Coupling",POWER(Upgrades!$U$10,I154),1)*IF(Upgrades!$T$11="Stellar Coupling",POWER(Upgrades!$U$11,J154),1)*IF(Upgrades!$T$12="Stellar Coupling",POWER(Upgrades!$U$12,K154),1))+(IF(H154=0,0,(Upgrades!$J$9+H154*Upgrades!$K$9)*POWER(Upgrades!$L$9,H154)))*(IF(Upgrades!$T$6="Magnetosphere",POWER(Upgrades!$U$6,E154),1)*IF(Upgrades!$T$7="Magnetosphere",POWER(Upgrades!$U$7,F154),1)*IF(Upgrades!$T$8="Magnetosphere",POWER(Upgrades!$U$8,G154),1)*IF(Upgrades!$T$10="Magnetosphere",POWER(Upgrades!$U$10,I154),1)*IF(Upgrades!$T$11="Magnetosphere",POWER(Upgrades!$U$11,J154),1)*IF(Upgrades!$T$12="Magnetosphere",POWER(Upgrades!$U$12,K154),1))+(IF(I154=0,0,(Upgrades!$J$10+I154*Upgrades!$K$10)*POWER(Upgrades!$L$10,I154)))*(IF(Upgrades!$T$6="Orbital Resonance",POWER(Upgrades!$U$6,E154),1)*IF(Upgrades!$T$7="Orbital Resonance",POWER(Upgrades!$U$7,F154),1)*IF(Upgrades!$T$8="Orbital Resonance",POWER(Upgrades!$U$8,G154),1)*IF(Upgrades!$T$9="Orbital Resonance",POWER(Upgrades!$U$9,H154),1)*IF(Upgrades!$T$11="Orbital Resonance",POWER(Upgrades!$U$11,J154),1)*IF(Upgrades!$T$12="Orbital Resonance",POWER(Upgrades!$U$12,K154),1))+(IF(J154=0,0,(Upgrades!$J$11+J154*Upgrades!$K$11)*POWER(Upgrades!$L$11,J154)))*(IF(Upgrades!$T$6="Heliopause",POWER(Upgrades!$U$6,E154),1)*IF(Upgrades!$T$7="Heliopause",POWER(Upgrades!$U$7,F154),1)*IF(Upgrades!$T$8="Heliopause",POWER(Upgrades!$U$8,G154),1)*IF(Upgrades!$T$9="Heliopause",POWER(Upgrades!$U$9,H154),1)*IF(Upgrades!$T$10="Heliopause",POWER(Upgrades!$U$10,I154),1)*IF(Upgrades!$T$12="Heliopause",POWER(Upgrades!$U$12,K154),1))+(IF(K154=0,0,(Upgrades!$J$12+K154*Upgrades!$K$12)*POWER(Upgrades!$L$12,K154)))*(IF(Upgrades!$T$6="First Photons",POWER(Upgrades!$U$6,E154),1)*IF(Upgrades!$T$7="First Photons",POWER(Upgrades!$U$7,F154),1)*IF(Upgrades!$T$8="First Photons",POWER(Upgrades!$U$8,G154),1)*IF(Upgrades!$T$9="First Photons",POWER(Upgrades!$U$9,H154),1)*IF(Upgrades!$T$10="First Photons",POWER(Upgrades!$U$10,I154),1)*IF(Upgrades!$T$11="First Photons",POWER(Upgrades!$U$11,J154),1)))*POWER(Upgrades!$Q$6,E154)*POWER(Upgrades!$Q$7,F154)*POWER(Upgrades!$Q$8,G154)*POWER(Upgrades!$Q$9,H154)*POWER(Upgrades!$Q$10,I154)*POWER(Upgrades!$Q$11,J154)*POWER(Upgrades!$Q$12,K154)</f>
        <v>5.61</v>
      </c>
      <c r="N154" s="28" t="n">
        <f aca="false">((IF(E154=0,0,(Upgrades!$G$6+E154*Upgrades!$H$6)*POWER(Upgrades!$I$6,E154)))*(IF(Upgrades!$T$7="Solar Wind",POWER(Upgrades!$U$7,F154),1)*IF(Upgrades!$T$8="Solar Wind",POWER(Upgrades!$U$8,G154),1)*IF(Upgrades!$T$9="Solar Wind",POWER(Upgrades!$U$9,H154),1)*IF(Upgrades!$T$10="Solar Wind",POWER(Upgrades!$U$10,I154),1)*IF(Upgrades!$T$11="Solar Wind",POWER(Upgrades!$U$11,J154),1)*IF(Upgrades!$T$12="Solar Wind",POWER(Upgrades!$U$12,K154),1))+(IF(F154=0,0,(Upgrades!$G$7+F154*Upgrades!$H$7)*POWER(Upgrades!$I$7,F154)))*(IF(Upgrades!$T$6="Asteroid Belt",POWER(Upgrades!$U$6,E154),1)*IF(Upgrades!$T$8="Asteroid Belt",POWER(Upgrades!$U$8,G154),1)*IF(Upgrades!$T$9="Asteroid Belt",POWER(Upgrades!$U$9,H154),1)*IF(Upgrades!$T$10="Asteroid Belt",POWER(Upgrades!$U$10,I154),1)*IF(Upgrades!$T$11="Asteroid Belt",POWER(Upgrades!$U$11,J154),1)*IF(Upgrades!$T$12="Asteroid Belt",POWER(Upgrades!$U$12,K154),1))+(IF(G154=0,0,(Upgrades!$G$8+G154*Upgrades!$H$8)*POWER(Upgrades!$I$8,G154)))*(IF(Upgrades!$T$6="Stellar Coupling",POWER(Upgrades!$U$6,E154),1)*IF(Upgrades!$T$7="Stellar Coupling",POWER(Upgrades!$U$7,F154),1)*IF(Upgrades!$T$9="Stellar Coupling",POWER(Upgrades!$U$9,H154),1)*IF(Upgrades!$T$10="Stellar Coupling",POWER(Upgrades!$U$10,I154),1)*IF(Upgrades!$T$11="Stellar Coupling",POWER(Upgrades!$U$11,J154),1)*IF(Upgrades!$T$12="Stellar Coupling",POWER(Upgrades!$U$12,K154),1))+(IF(H154=0,0,(Upgrades!$G$9+H154*Upgrades!$H$9)*POWER(Upgrades!$I$9,H154)))*(IF(Upgrades!$T$6="Magnetosphere",POWER(Upgrades!$U$6,E154),1)*IF(Upgrades!$T$7="Magnetosphere",POWER(Upgrades!$U$7,F154),1)*IF(Upgrades!$T$8="Magnetosphere",POWER(Upgrades!$U$8,G154),1)*IF(Upgrades!$T$10="Magnetosphere",POWER(Upgrades!$U$10,I154),1)*IF(Upgrades!$T$11="Magnetosphere",POWER(Upgrades!$U$11,J154),1)*IF(Upgrades!$T$12="Magnetosphere",POWER(Upgrades!$U$12,K154),1))+(IF(I154=0,0,(Upgrades!$G$10+I154*Upgrades!$H$10)*POWER(Upgrades!$I$10,I154)))*(IF(Upgrades!$T$6="Orbital Resonance",POWER(Upgrades!$U$6,E154),1)*IF(Upgrades!$T$7="Orbital Resonance",POWER(Upgrades!$U$7,F154),1)*IF(Upgrades!$T$8="Orbital Resonance",POWER(Upgrades!$U$8,G154),1)*IF(Upgrades!$T$9="Orbital Resonance",POWER(Upgrades!$U$9,H154),1)*IF(Upgrades!$T$11="Orbital Resonance",POWER(Upgrades!$U$11,J154),1)*IF(Upgrades!$T$12="Orbital Resonance",POWER(Upgrades!$U$12,K154),1))+(IF(J154=0,0,(Upgrades!$G$11+J154*Upgrades!$H$11)*POWER(Upgrades!$I$11,J154)))*(IF(Upgrades!$T$6="Heliopause",POWER(Upgrades!$U$6,E154),1)*IF(Upgrades!$T$7="Heliopause",POWER(Upgrades!$U$7,F154),1)*IF(Upgrades!$T$8="Heliopause",POWER(Upgrades!$U$8,G154),1)*IF(Upgrades!$T$9="Heliopause",POWER(Upgrades!$U$9,H154),1)*IF(Upgrades!$T$10="Heliopause",POWER(Upgrades!$U$10,I154),1)*IF(Upgrades!$T$12="Heliopause",POWER(Upgrades!$U$12,K154),1))+(IF(K154=0,0,(Upgrades!$G$12+K154*Upgrades!$H$12)*POWER(Upgrades!$I$12,K154)))*(IF(Upgrades!$T$6="First Photons",POWER(Upgrades!$U$6,E154),1)*IF(Upgrades!$T$7="First Photons",POWER(Upgrades!$U$7,F154),1)*IF(Upgrades!$T$8="First Photons",POWER(Upgrades!$U$8,G154),1)*IF(Upgrades!$T$9="First Photons",POWER(Upgrades!$U$9,H154),1)*IF(Upgrades!$T$10="First Photons",POWER(Upgrades!$U$10,I154),1)*IF(Upgrades!$T$11="First Photons",POWER(Upgrades!$U$11,J154),1)))*POWER(Upgrades!$P$6,E154)*POWER(Upgrades!$P$7,F154)*POWER(Upgrades!$P$8,G154)*POWER(Upgrades!$P$9,H154)*POWER(Upgrades!$P$10,I154)*POWER(Upgrades!$P$11,J154)*POWER(Upgrades!$P$12,K154)</f>
        <v>11.2</v>
      </c>
      <c r="O154" s="28" t="n">
        <f aca="false">((IF(E154=0,0,(Upgrades!$M$6+E154*Upgrades!$N$6)*POWER(Upgrades!$O$6,E154)))*(IF(Upgrades!$T$7="Solar Wind",POWER(Upgrades!$U$7,F154),1)*IF(Upgrades!$T$8="Solar Wind",POWER(Upgrades!$U$8,G154),1)*IF(Upgrades!$T$9="Solar Wind",POWER(Upgrades!$U$9,H154),1)*IF(Upgrades!$T$10="Solar Wind",POWER(Upgrades!$U$10,I154),1)*IF(Upgrades!$T$11="Solar Wind",POWER(Upgrades!$U$11,J154),1)*IF(Upgrades!$T$12="Solar Wind",POWER(Upgrades!$U$12,K154),1))+(IF(F154=0,0,(Upgrades!$M$7+F154*Upgrades!$N$7)*POWER(Upgrades!$O$7,F154)))*(IF(Upgrades!$T$6="Asteroid Belt",POWER(Upgrades!$U$6,E154),1)*IF(Upgrades!$T$8="Asteroid Belt",POWER(Upgrades!$U$8,G154),1)*IF(Upgrades!$T$9="Asteroid Belt",POWER(Upgrades!$U$9,H154),1)*IF(Upgrades!$T$10="Asteroid Belt",POWER(Upgrades!$U$10,I154),1)*IF(Upgrades!$T$11="Asteroid Belt",POWER(Upgrades!$U$11,J154),1)*IF(Upgrades!$T$12="Asteroid Belt",POWER(Upgrades!$U$12,K154),1))+(IF(G154=0,0,(Upgrades!$M$8+G154*Upgrades!$N$8)*POWER(Upgrades!$O$8,G154)))*(IF(Upgrades!$T$6="Stellar Coupling",POWER(Upgrades!$U$6,E154),1)*IF(Upgrades!$T$7="Stellar Coupling",POWER(Upgrades!$U$7,F154),1)*IF(Upgrades!$T$9="Stellar Coupling",POWER(Upgrades!$U$9,H154),1)*IF(Upgrades!$T$10="Stellar Coupling",POWER(Upgrades!$U$10,I154),1)*IF(Upgrades!$T$11="Stellar Coupling",POWER(Upgrades!$U$11,J154),1)*IF(Upgrades!$T$12="Stellar Coupling",POWER(Upgrades!$U$12,K154),1))+(IF(H154=0,0,(Upgrades!$M$9+H154*Upgrades!$N$9)*POWER(Upgrades!$O$9,H154)))*(IF(Upgrades!$T$6="Magnetosphere",POWER(Upgrades!$U$6,E154),1)*IF(Upgrades!$T$7="Magnetosphere",POWER(Upgrades!$U$7,F154),1)*IF(Upgrades!$T$8="Magnetosphere",POWER(Upgrades!$U$8,G154),1)*IF(Upgrades!$T$10="Magnetosphere",POWER(Upgrades!$U$10,I154),1)*IF(Upgrades!$T$11="Magnetosphere",POWER(Upgrades!$U$11,J154),1)*IF(Upgrades!$T$12="Magnetosphere",POWER(Upgrades!$U$12,K154),1))+(IF(I154=0,0,(Upgrades!$M$10+I154*Upgrades!$N$10)*POWER(Upgrades!$O$10,I154)))*(IF(Upgrades!$T$6="Orbital Resonance",POWER(Upgrades!$U$6,E154),1)*IF(Upgrades!$T$7="Orbital Resonance",POWER(Upgrades!$U$7,F154),1)*IF(Upgrades!$T$8="Orbital Resonance",POWER(Upgrades!$U$8,G154),1)*IF(Upgrades!$T$9="Orbital Resonance",POWER(Upgrades!$U$9,H154),1)*IF(Upgrades!$T$11="Orbital Resonance",POWER(Upgrades!$U$11,J154),1)*IF(Upgrades!$T$12="Orbital Resonance",POWER(Upgrades!$U$12,K154),1))+(IF(J154=0,0,(Upgrades!$M$11+J154*Upgrades!$N$11)*POWER(Upgrades!$O$11,J154)))*(IF(Upgrades!$T$6="Heliopause",POWER(Upgrades!$U$6,E154),1)*IF(Upgrades!$T$7="Heliopause",POWER(Upgrades!$U$7,F154),1)*IF(Upgrades!$T$8="Heliopause",POWER(Upgrades!$U$8,G154),1)*IF(Upgrades!$T$9="Heliopause",POWER(Upgrades!$U$9,H154),1)*IF(Upgrades!$T$10="Heliopause",POWER(Upgrades!$U$10,I154),1)*IF(Upgrades!$T$12="Heliopause",POWER(Upgrades!$U$12,K154),1))+(IF(K154=0,0,(Upgrades!$M$12+K154*Upgrades!$N$12)*POWER(Upgrades!$O$12,K154)))*(IF(Upgrades!$T$6="First Photons",POWER(Upgrades!$U$6,E154),1)*IF(Upgrades!$T$7="First Photons",POWER(Upgrades!$U$7,F154),1)*IF(Upgrades!$T$8="First Photons",POWER(Upgrades!$U$8,G154),1)*IF(Upgrades!$T$9="First Photons",POWER(Upgrades!$U$9,H154),1)*IF(Upgrades!$T$10="First Photons",POWER(Upgrades!$U$10,I154),1)*IF(Upgrades!$T$11="First Photons",POWER(Upgrades!$U$11,J154),1)))*POWER(Upgrades!$R$6,E154)*POWER(Upgrades!$R$7,F154)*POWER(Upgrades!$R$8,G154)*POWER(Upgrades!$R$9,H154)*POWER(Upgrades!$R$10,I154)*POWER(Upgrades!$R$11,J154)*POWER(Upgrades!$R$12,K154)</f>
        <v>0</v>
      </c>
      <c r="P154" s="27" t="n">
        <f aca="false">IF(L154=1,0,M154*Parameters!$B$10/60*Parameters!$B$11*10)</f>
        <v>0</v>
      </c>
      <c r="Q154" s="27" t="n">
        <f aca="false">IF(L154=1,0,O154*M154*10)</f>
        <v>0</v>
      </c>
      <c r="R154" s="27" t="n">
        <f aca="false">IF(L154=1,0,N154*10)</f>
        <v>0</v>
      </c>
      <c r="S154" s="27" t="n">
        <f aca="false">P154+Q154+R154</f>
        <v>0</v>
      </c>
      <c r="T154" s="21" t="n">
        <f aca="false">C154+S154</f>
        <v>18.6730249835055</v>
      </c>
      <c r="U154" s="34" t="str">
        <f aca="false">AX154</f>
        <v/>
      </c>
      <c r="V154" s="21" t="n">
        <f aca="false">IF(U154="",0,IF(U154="transition",0,IF(U154="SW",AG154,IF(U154="AB",AH154,IF(U154="SC",AI154,IF(U154="Mag",AJ154,IF(U154="OR",AK154,IF(U154="HP",AL154,IF(U154="FP",AM154,0)))))))))</f>
        <v>0</v>
      </c>
      <c r="W154" s="27" t="n">
        <f aca="false">IF(U154="OR",Upgrades!$F$10,IF(U154="HP",Upgrades!$F$11,IF(U154="transition",-Parameters!$B$18,0)))</f>
        <v>0</v>
      </c>
      <c r="X154" s="21" t="n">
        <f aca="false">T154-V154</f>
        <v>18.6730249835055</v>
      </c>
      <c r="Y154" s="30" t="n">
        <f aca="false">M154*Parameters!$B$10/60*Parameters!$B$11+O154*M154+N154</f>
        <v>20.55</v>
      </c>
      <c r="Z154" s="35" t="str">
        <f aca="false">IF(U154="transition","→ Tier 2 (Stellar Neighborhood)",IF(U154="FP","First Photons — light begins, system quickens",IF(U154="HP","Heliopause acquired",IF(U154="OR","Orbital Resonance — passive multiplier active",IF(AND(AO154=1,L154=0,AN154&lt;&gt;1),"Cohesion ready (waiting on completionist upgrades)","")))))</f>
        <v/>
      </c>
      <c r="AA154" s="27" t="n">
        <f aca="false">(IF(E154=0,0,(Upgrades!$G$6+E154*Upgrades!$H$6)*POWER(Upgrades!$I$6,E154)))*(IF(Upgrades!$T$7="Solar Wind",POWER(Upgrades!$U$7,F154),1)*IF(Upgrades!$T$8="Solar Wind",POWER(Upgrades!$U$8,G154),1)*IF(Upgrades!$T$9="Solar Wind",POWER(Upgrades!$U$9,H154),1)*IF(Upgrades!$T$10="Solar Wind",POWER(Upgrades!$U$10,I154),1)*IF(Upgrades!$T$11="Solar Wind",POWER(Upgrades!$U$11,J154),1)*IF(Upgrades!$T$12="Solar Wind",POWER(Upgrades!$U$12,K154),1))*POWER(Upgrades!$P$6,E154)*POWER(Upgrades!$P$7,F154)*POWER(Upgrades!$P$8,G154)*POWER(Upgrades!$P$9,H154)*POWER(Upgrades!$P$10,I154)*POWER(Upgrades!$P$11,J154)*POWER(Upgrades!$P$12,K154)*60</f>
        <v>72</v>
      </c>
      <c r="AB154" s="27" t="n">
        <f aca="false">(IF(F154=0,0,(Upgrades!$G$7+F154*Upgrades!$H$7)*POWER(Upgrades!$I$7,F154)))*(IF(Upgrades!$T$6="Asteroid Belt",POWER(Upgrades!$U$6,E154),1)*IF(Upgrades!$T$8="Asteroid Belt",POWER(Upgrades!$U$8,G154),1)*IF(Upgrades!$T$9="Asteroid Belt",POWER(Upgrades!$U$9,H154),1)*IF(Upgrades!$T$10="Asteroid Belt",POWER(Upgrades!$U$10,I154),1)*IF(Upgrades!$T$11="Asteroid Belt",POWER(Upgrades!$U$11,J154),1)*IF(Upgrades!$T$12="Asteroid Belt",POWER(Upgrades!$U$12,K154),1))*POWER(Upgrades!$P$6,E154)*POWER(Upgrades!$P$7,F154)*POWER(Upgrades!$P$8,G154)*POWER(Upgrades!$P$9,H154)*POWER(Upgrades!$P$10,I154)*POWER(Upgrades!$P$11,J154)*POWER(Upgrades!$P$12,K154)*60</f>
        <v>150</v>
      </c>
      <c r="AC154" s="27" t="n">
        <f aca="false">(IF(G154=0,0,(Upgrades!$J$8+G154*Upgrades!$K$8)*POWER(Upgrades!$L$8,G154)))*(IF(Upgrades!$T$6="Stellar Coupling",POWER(Upgrades!$U$6,E154),1)*IF(Upgrades!$T$7="Stellar Coupling",POWER(Upgrades!$U$7,F154),1)*IF(Upgrades!$T$9="Stellar Coupling",POWER(Upgrades!$U$9,H154),1)*IF(Upgrades!$T$10="Stellar Coupling",POWER(Upgrades!$U$10,I154),1)*IF(Upgrades!$T$11="Stellar Coupling",POWER(Upgrades!$U$11,J154),1)*IF(Upgrades!$T$12="Stellar Coupling",POWER(Upgrades!$U$12,K154),1))*POWER(Upgrades!$Q$6,E154)*POWER(Upgrades!$Q$7,F154)*POWER(Upgrades!$Q$8,G154)*POWER(Upgrades!$Q$9,H154)*POWER(Upgrades!$Q$10,I154)*POWER(Upgrades!$Q$11,J154)*POWER(Upgrades!$Q$12,K154)*Parameters!$B$10*Parameters!$B$11</f>
        <v>441</v>
      </c>
      <c r="AD154" s="27" t="n">
        <f aca="false">(IF(H154=0,0,(Upgrades!$G$9+H154*Upgrades!$H$9)*POWER(Upgrades!$I$9,H154)))*(IF(Upgrades!$T$6="Magnetosphere",POWER(Upgrades!$U$6,E154),1)*IF(Upgrades!$T$7="Magnetosphere",POWER(Upgrades!$U$7,F154),1)*IF(Upgrades!$T$8="Magnetosphere",POWER(Upgrades!$U$8,G154),1)*IF(Upgrades!$T$10="Magnetosphere",POWER(Upgrades!$U$10,I154),1)*IF(Upgrades!$T$11="Magnetosphere",POWER(Upgrades!$U$11,J154),1)*IF(Upgrades!$T$12="Magnetosphere",POWER(Upgrades!$U$12,K154),1))*POWER(Upgrades!$P$6,E154)*POWER(Upgrades!$P$7,F154)*POWER(Upgrades!$P$8,G154)*POWER(Upgrades!$P$9,H154)*POWER(Upgrades!$P$10,I154)*POWER(Upgrades!$P$11,J154)*POWER(Upgrades!$P$12,K154)*60</f>
        <v>375</v>
      </c>
      <c r="AE154" s="27" t="n">
        <f aca="false">(IF(K154=0,0,(Upgrades!$G$12+K154*Upgrades!$H$12)*POWER(Upgrades!$I$12,K154)))*(IF(Upgrades!$T$6="First Photons",POWER(Upgrades!$U$6,E154),1)*IF(Upgrades!$T$7="First Photons",POWER(Upgrades!$U$7,F154),1)*IF(Upgrades!$T$8="First Photons",POWER(Upgrades!$U$8,G154),1)*IF(Upgrades!$T$9="First Photons",POWER(Upgrades!$U$9,H154),1)*IF(Upgrades!$T$10="First Photons",POWER(Upgrades!$U$10,I154),1)*IF(Upgrades!$T$11="First Photons",POWER(Upgrades!$U$11,J154),1))*POWER(Upgrades!$P$6,E154)*POWER(Upgrades!$P$7,F154)*POWER(Upgrades!$P$8,G154)*POWER(Upgrades!$P$9,H154)*POWER(Upgrades!$P$10,I154)*POWER(Upgrades!$P$11,J154)*POWER(Upgrades!$P$12,K154)*60</f>
        <v>75</v>
      </c>
      <c r="AF154" s="27" t="n">
        <f aca="false">Parameters!$B$9*POWER(Upgrades!$Q$6,E154)*POWER(Upgrades!$Q$7,F154)*POWER(Upgrades!$Q$8,G154)*POWER(Upgrades!$Q$9,H154)*POWER(Upgrades!$Q$10,I154)*POWER(Upgrades!$Q$11,J154)*POWER(Upgrades!$Q$12,K154)*(Parameters!$B$10*Parameters!$B$11+O154*60)</f>
        <v>120</v>
      </c>
      <c r="AG154" s="21" t="n">
        <f aca="false">IF(E154&gt;=Upgrades!$E$6,"",Upgrades!$C$6*POWER(Upgrades!$D$6,E154))</f>
        <v>37.4517507383159</v>
      </c>
      <c r="AH154" s="21" t="n">
        <f aca="false">IF(F154&gt;=Upgrades!$E$7,"",Upgrades!$C$7*POWER(Upgrades!$D$7,F154))</f>
        <v>80.9111547141581</v>
      </c>
      <c r="AI154" s="21" t="n">
        <f aca="false">IF(G154&gt;=Upgrades!$E$8,"",Upgrades!$C$8*POWER(Upgrades!$D$8,G154))</f>
        <v>231.9097088</v>
      </c>
      <c r="AJ154" s="21" t="str">
        <f aca="false">IF(H154&gt;=Upgrades!$E$9,"",Upgrades!$C$9*POWER(Upgrades!$D$9,H154))</f>
        <v/>
      </c>
      <c r="AK154" s="21" t="str">
        <f aca="false">IF(I154&gt;=Upgrades!$E$10,"",Upgrades!$C$10*POWER(Upgrades!$D$10,I154))</f>
        <v/>
      </c>
      <c r="AL154" s="21" t="str">
        <f aca="false">IF(J154&gt;=Upgrades!$E$11,"",Upgrades!$C$11*POWER(Upgrades!$D$11,J154))</f>
        <v/>
      </c>
      <c r="AM154" s="21" t="str">
        <f aca="false">IF(K154&gt;=Upgrades!$E$12,"",Upgrades!$C$12*POWER(Upgrades!$D$12,K154))</f>
        <v/>
      </c>
      <c r="AN154" s="26" t="str">
        <f aca="false">IF(AND(D154&gt;=Parameters!$B$18,(H154&gt;=Upgrades!$E$9)*(K154&gt;=Upgrades!$E$12)=1,L154=0),1,"")</f>
        <v/>
      </c>
      <c r="AO154" s="26" t="str">
        <f aca="false">IF(AND(D154&gt;=Parameters!$B$18,L154=0),1,"")</f>
        <v/>
      </c>
      <c r="AP154" s="21" t="n">
        <f aca="false">MIN(IF(ISNUMBER(AK154),AK154,9000000000000000),IF(ISNUMBER(AL154),AL154,9000000000000000),IF(ISNUMBER(AM154),AM154,9000000000000000))</f>
        <v>9000000000000000</v>
      </c>
      <c r="AQ154" s="21" t="n">
        <f aca="false">MIN(IF(ISNUMBER(AG154),AG154,9000000000000000),IF(ISNUMBER(AH154),AH154,9000000000000000),IF(ISNUMBER(AI154),AI154,9000000000000000),IF(ISNUMBER(AJ154),AJ154,9000000000000000))</f>
        <v>37.4517507383159</v>
      </c>
      <c r="AR154" s="32" t="b">
        <f aca="false">IF(AW154&gt;Parameters!$B$21*(MAX(IF(AND(NOT(AND(AO154=1,AN154&lt;&gt;1)),ISNUMBER(AG154),AG154&lt;=T154),AS154,0),IF(AND(NOT(AND(AO154=1,AN154&lt;&gt;1)),ISNUMBER(AH154),AH154&lt;=T154),AT154,0),IF(AND(NOT(AND(AO154=1,AN154&lt;&gt;1)),ISNUMBER(AI154),AI154&lt;=T154),AU154,0),IF(AND(ISNUMBER(AJ154),AJ154&lt;=T154),AV154,0))),TRUE(),FALSE())</f>
        <v>1</v>
      </c>
      <c r="AS154" s="33" t="n">
        <f aca="false">IFERROR(Upgrades!$H$6*(POWER(Upgrades!$P$6,E154)*POWER(Upgrades!$P$7,F154)*POWER(Upgrades!$P$8,G154)*POWER(Upgrades!$P$9,H154)*POWER(Upgrades!$P$10,I154)*POWER(Upgrades!$P$11,J154)*POWER(Upgrades!$P$12,K154))*(IF(Upgrades!$T$7="Solar Wind",POWER(Upgrades!$U$7,F154),1)*IF(Upgrades!$T$8="Solar Wind",POWER(Upgrades!$U$8,G154),1)*IF(Upgrades!$T$9="Solar Wind",POWER(Upgrades!$U$9,H154),1)*IF(Upgrades!$T$10="Solar Wind",POWER(Upgrades!$U$10,I154),1)*IF(Upgrades!$T$11="Solar Wind",POWER(Upgrades!$U$11,J154),1)*IF(Upgrades!$T$12="Solar Wind",POWER(Upgrades!$U$12,K154),1))/AG154,0)</f>
        <v>0.0026701021455238</v>
      </c>
      <c r="AT154" s="33" t="n">
        <f aca="false">IFERROR(Upgrades!$H$7*(POWER(Upgrades!$P$6,E154)*POWER(Upgrades!$P$7,F154)*POWER(Upgrades!$P$8,G154)*POWER(Upgrades!$P$9,H154)*POWER(Upgrades!$P$10,I154)*POWER(Upgrades!$P$11,J154)*POWER(Upgrades!$P$12,K154))*(IF(Upgrades!$T$6="Asteroid Belt",POWER(Upgrades!$U$6,E154),1)*IF(Upgrades!$T$8="Asteroid Belt",POWER(Upgrades!$U$8,G154),1)*IF(Upgrades!$T$9="Asteroid Belt",POWER(Upgrades!$U$9,H154),1)*IF(Upgrades!$T$10="Asteroid Belt",POWER(Upgrades!$U$10,I154),1)*IF(Upgrades!$T$11="Asteroid Belt",POWER(Upgrades!$U$11,J154),1)*IF(Upgrades!$T$12="Asteroid Belt",POWER(Upgrades!$U$12,K154),1))/AH154,0)</f>
        <v>0.00308980882652332</v>
      </c>
      <c r="AU154" s="33" t="n">
        <f aca="false">IFERROR(Upgrades!$K$8*(POWER(Upgrades!$Q$6,E154)*POWER(Upgrades!$Q$7,F154)*POWER(Upgrades!$Q$8,G154)*POWER(Upgrades!$Q$9,H154)*POWER(Upgrades!$Q$10,I154)*POWER(Upgrades!$Q$11,J154)*POWER(Upgrades!$Q$12,K154))*(IF(Upgrades!$T$6="Stellar Coupling",POWER(Upgrades!$U$6,E154),1)*IF(Upgrades!$T$7="Stellar Coupling",POWER(Upgrades!$U$7,F154),1)*IF(Upgrades!$T$9="Stellar Coupling",POWER(Upgrades!$U$9,H154),1)*IF(Upgrades!$T$10="Stellar Coupling",POWER(Upgrades!$U$10,I154),1)*IF(Upgrades!$T$11="Stellar Coupling",POWER(Upgrades!$U$11,J154),1)*IF(Upgrades!$T$12="Stellar Coupling",POWER(Upgrades!$U$12,K154),1))*Parameters!$B$10*Parameters!$B$11/60/AI154,0)</f>
        <v>0.00452762415783776</v>
      </c>
      <c r="AV154" s="33" t="n">
        <f aca="false">IFERROR(Upgrades!$H$9*(POWER(Upgrades!$P$6,E154)*POWER(Upgrades!$P$7,F154)*POWER(Upgrades!$P$8,G154)*POWER(Upgrades!$P$9,H154)*POWER(Upgrades!$P$10,I154)*POWER(Upgrades!$P$11,J154)*POWER(Upgrades!$P$12,K154))*(IF(Upgrades!$T$6="Magnetosphere",POWER(Upgrades!$U$6,E154),1)*IF(Upgrades!$T$7="Magnetosphere",POWER(Upgrades!$U$7,F154),1)*IF(Upgrades!$T$8="Magnetosphere",POWER(Upgrades!$U$8,G154),1)*IF(Upgrades!$T$10="Magnetosphere",POWER(Upgrades!$U$10,I154),1)*IF(Upgrades!$T$11="Magnetosphere",POWER(Upgrades!$U$11,J154),1)*IF(Upgrades!$T$12="Magnetosphere",POWER(Upgrades!$U$12,K154),1))/AJ154,0)</f>
        <v>0</v>
      </c>
      <c r="AW154" s="33" t="n">
        <f aca="false">MAX(IF(I154&gt;0,0,IFERROR(0.25*N154/Upgrades!$C$10,0)),IF(J154&gt;0,0,IFERROR(0.5*((IF(G154=0,0,(Upgrades!$J$8+G154*Upgrades!$K$8)*POWER(Upgrades!$L$8,G154)))*(IF(Upgrades!$T$6="Stellar Coupling",POWER(Upgrades!$U$6,E154),1)*IF(Upgrades!$T$7="Stellar Coupling",POWER(Upgrades!$U$7,F154),1)*IF(Upgrades!$T$9="Stellar Coupling",POWER(Upgrades!$U$9,H154),1)*IF(Upgrades!$T$10="Stellar Coupling",POWER(Upgrades!$U$10,I154),1)*IF(Upgrades!$T$11="Stellar Coupling",POWER(Upgrades!$U$11,J154),1)*IF(Upgrades!$T$12="Stellar Coupling",POWER(Upgrades!$U$12,K154),1))*(POWER(Upgrades!$Q$6,E154)*POWER(Upgrades!$Q$7,F154)*POWER(Upgrades!$Q$8,G154)*POWER(Upgrades!$Q$9,H154)*POWER(Upgrades!$Q$10,I154)*POWER(Upgrades!$Q$11,J154)*POWER(Upgrades!$Q$12,K154))*Parameters!$B$10*Parameters!$B$11/60)/Upgrades!$C$11,0)),IF(K154&gt;0,0,IFERROR((1*(POWER(Upgrades!$P$6,E154)*POWER(Upgrades!$P$7,F154)*POWER(Upgrades!$P$8,G154)*POWER(Upgrades!$P$9,H154)*POWER(Upgrades!$P$10,I154)*POWER(Upgrades!$P$11,J154)*POWER(Upgrades!$P$12,K154))+0.2*M154*Parameters!$B$10*Parameters!$B$11/60)/Upgrades!$C$12,0)),IF(AND(ISNUMBER(AG154),AG154&gt;T154),AS154,0),IF(AND(ISNUMBER(AH154),AH154&gt;T154),AT154,0),IF(AND(ISNUMBER(AI154),AI154&gt;T154),AU154,0),IF(AND(ISNUMBER(AJ154),AJ154&gt;T154),AV154,0))</f>
        <v>0.00452762415783776</v>
      </c>
      <c r="AX154" s="29" t="str">
        <f aca="false">IF(AN154=1,"transition",IF(MIN(IF(AND(I154=0,ISNUMBER(AK154),AK154&lt;=T154),AK154,9000000000000000),IF(AND(J154=0,ISNUMBER(AL154),AL154&lt;=T154),AL154,9000000000000000),IF(AND(K154=0,ISNUMBER(AM154),AM154&lt;=T154),AM154,9000000000000000))&lt;9000000000000000,IF(AND(AND(I154=0,ISNUMBER(AK154),AK154&lt;=T154),AK154=MIN(IF(AND(I154=0,ISNUMBER(AK154),AK154&lt;=T154),AK154,9000000000000000),IF(AND(J154=0,ISNUMBER(AL154),AL154&lt;=T154),AL154,9000000000000000),IF(AND(K154=0,ISNUMBER(AM154),AM154&lt;=T154),AM154,9000000000000000))),"OR",IF(AND(AND(J154=0,ISNUMBER(AL154),AL154&lt;=T154),AL154=MIN(IF(AND(I154=0,ISNUMBER(AK154),AK154&lt;=T154),AK154,9000000000000000),IF(AND(J154=0,ISNUMBER(AL154),AL154&lt;=T154),AL154,9000000000000000),IF(AND(K154=0,ISNUMBER(AM154),AM154&lt;=T154),AM154,9000000000000000))),"HP","FP")),IF(AR154=TRUE(),"",IF(MAX(IF(AND(NOT(AND(AO154=1,AN154&lt;&gt;1)),ISNUMBER(AG154),AG154&lt;=T154),AS154,0),IF(AND(NOT(AND(AO154=1,AN154&lt;&gt;1)),ISNUMBER(AH154),AH154&lt;=T154),AT154,0),IF(AND(NOT(AND(AO154=1,AN154&lt;&gt;1)),ISNUMBER(AI154),AI154&lt;=T154),AU154,0),IF(AND(ISNUMBER(AJ154),AJ154&lt;=T154),AV154,0))&lt;=0,"",IF(AND(IF(AND(NOT(AND(AO154=1,AN154&lt;&gt;1)),ISNUMBER(AG154),AG154&lt;=T154),AS154,0)&gt;0,IF(AND(NOT(AND(AO154=1,AN154&lt;&gt;1)),ISNUMBER(AG154),AG154&lt;=T154),AS154,0)=MAX(IF(AND(NOT(AND(AO154=1,AN154&lt;&gt;1)),ISNUMBER(AG154),AG154&lt;=T154),AS154,0),IF(AND(NOT(AND(AO154=1,AN154&lt;&gt;1)),ISNUMBER(AH154),AH154&lt;=T154),AT154,0),IF(AND(NOT(AND(AO154=1,AN154&lt;&gt;1)),ISNUMBER(AI154),AI154&lt;=T154),AU154,0),IF(AND(ISNUMBER(AJ154),AJ154&lt;=T154),AV154,0))),"SW",IF(AND(IF(AND(NOT(AND(AO154=1,AN154&lt;&gt;1)),ISNUMBER(AH154),AH154&lt;=T154),AT154,0)&gt;0,IF(AND(NOT(AND(AO154=1,AN154&lt;&gt;1)),ISNUMBER(AH154),AH154&lt;=T154),AT154,0)=MAX(IF(AND(NOT(AND(AO154=1,AN154&lt;&gt;1)),ISNUMBER(AG154),AG154&lt;=T154),AS154,0),IF(AND(NOT(AND(AO154=1,AN154&lt;&gt;1)),ISNUMBER(AH154),AH154&lt;=T154),AT154,0),IF(AND(NOT(AND(AO154=1,AN154&lt;&gt;1)),ISNUMBER(AI154),AI154&lt;=T154),AU154,0),IF(AND(ISNUMBER(AJ154),AJ154&lt;=T154),AV154,0))),"AB",IF(AND(IF(AND(NOT(AND(AO154=1,AN154&lt;&gt;1)),ISNUMBER(AI154),AI154&lt;=T154),AU154,0)&gt;0,IF(AND(NOT(AND(AO154=1,AN154&lt;&gt;1)),ISNUMBER(AI154),AI154&lt;=T154),AU154,0)=MAX(IF(AND(NOT(AND(AO154=1,AN154&lt;&gt;1)),ISNUMBER(AG154),AG154&lt;=T154),AS154,0),IF(AND(NOT(AND(AO154=1,AN154&lt;&gt;1)),ISNUMBER(AH154),AH154&lt;=T154),AT154,0),IF(AND(NOT(AND(AO154=1,AN154&lt;&gt;1)),ISNUMBER(AI154),AI154&lt;=T154),AU154,0),IF(AND(ISNUMBER(AJ154),AJ154&lt;=T154),AV154,0))),"SC","Mag")))))))</f>
        <v/>
      </c>
    </row>
    <row r="155" customFormat="false" ht="15" hidden="false" customHeight="false" outlineLevel="0" collapsed="false">
      <c r="A155" s="26" t="n">
        <v>150</v>
      </c>
      <c r="B155" s="27" t="n">
        <f aca="false">A155*10/60</f>
        <v>25</v>
      </c>
      <c r="C155" s="21" t="n">
        <f aca="false">X154</f>
        <v>18.6730249835055</v>
      </c>
      <c r="D155" s="27" t="n">
        <f aca="false">D154+W154</f>
        <v>0</v>
      </c>
      <c r="E155" s="26" t="n">
        <f aca="false">E154+IF(U154="SW",1,0)</f>
        <v>12</v>
      </c>
      <c r="F155" s="26" t="n">
        <f aca="false">F154+IF(U154="AB",1,0)</f>
        <v>10</v>
      </c>
      <c r="G155" s="26" t="n">
        <f aca="false">G154+IF(U154="SC",1,0)</f>
        <v>7</v>
      </c>
      <c r="H155" s="26" t="n">
        <f aca="false">H154+IF(U154="Mag",1,0)</f>
        <v>5</v>
      </c>
      <c r="I155" s="26" t="n">
        <f aca="false">MAX(I154,IF(U154="OR",1,0))</f>
        <v>1</v>
      </c>
      <c r="J155" s="26" t="n">
        <f aca="false">MAX(J154,IF(U154="HP",1,0))</f>
        <v>1</v>
      </c>
      <c r="K155" s="26" t="n">
        <f aca="false">MAX(K154,IF(U154="FP",1,0))</f>
        <v>1</v>
      </c>
      <c r="L155" s="26" t="n">
        <f aca="false">MAX(L154,IF(U154="transition",1,0))</f>
        <v>1</v>
      </c>
      <c r="M155" s="28" t="n">
        <f aca="false">(Parameters!$B$9+(IF(E155=0,0,(Upgrades!$J$6+E155*Upgrades!$K$6)*POWER(Upgrades!$L$6,E155)))*(IF(Upgrades!$T$7="Solar Wind",POWER(Upgrades!$U$7,F155),1)*IF(Upgrades!$T$8="Solar Wind",POWER(Upgrades!$U$8,G155),1)*IF(Upgrades!$T$9="Solar Wind",POWER(Upgrades!$U$9,H155),1)*IF(Upgrades!$T$10="Solar Wind",POWER(Upgrades!$U$10,I155),1)*IF(Upgrades!$T$11="Solar Wind",POWER(Upgrades!$U$11,J155),1)*IF(Upgrades!$T$12="Solar Wind",POWER(Upgrades!$U$12,K155),1))+(IF(F155=0,0,(Upgrades!$J$7+F155*Upgrades!$K$7)*POWER(Upgrades!$L$7,F155)))*(IF(Upgrades!$T$6="Asteroid Belt",POWER(Upgrades!$U$6,E155),1)*IF(Upgrades!$T$8="Asteroid Belt",POWER(Upgrades!$U$8,G155),1)*IF(Upgrades!$T$9="Asteroid Belt",POWER(Upgrades!$U$9,H155),1)*IF(Upgrades!$T$10="Asteroid Belt",POWER(Upgrades!$U$10,I155),1)*IF(Upgrades!$T$11="Asteroid Belt",POWER(Upgrades!$U$11,J155),1)*IF(Upgrades!$T$12="Asteroid Belt",POWER(Upgrades!$U$12,K155),1))+(IF(G155=0,0,(Upgrades!$J$8+G155*Upgrades!$K$8)*POWER(Upgrades!$L$8,G155)))*(IF(Upgrades!$T$6="Stellar Coupling",POWER(Upgrades!$U$6,E155),1)*IF(Upgrades!$T$7="Stellar Coupling",POWER(Upgrades!$U$7,F155),1)*IF(Upgrades!$T$9="Stellar Coupling",POWER(Upgrades!$U$9,H155),1)*IF(Upgrades!$T$10="Stellar Coupling",POWER(Upgrades!$U$10,I155),1)*IF(Upgrades!$T$11="Stellar Coupling",POWER(Upgrades!$U$11,J155),1)*IF(Upgrades!$T$12="Stellar Coupling",POWER(Upgrades!$U$12,K155),1))+(IF(H155=0,0,(Upgrades!$J$9+H155*Upgrades!$K$9)*POWER(Upgrades!$L$9,H155)))*(IF(Upgrades!$T$6="Magnetosphere",POWER(Upgrades!$U$6,E155),1)*IF(Upgrades!$T$7="Magnetosphere",POWER(Upgrades!$U$7,F155),1)*IF(Upgrades!$T$8="Magnetosphere",POWER(Upgrades!$U$8,G155),1)*IF(Upgrades!$T$10="Magnetosphere",POWER(Upgrades!$U$10,I155),1)*IF(Upgrades!$T$11="Magnetosphere",POWER(Upgrades!$U$11,J155),1)*IF(Upgrades!$T$12="Magnetosphere",POWER(Upgrades!$U$12,K155),1))+(IF(I155=0,0,(Upgrades!$J$10+I155*Upgrades!$K$10)*POWER(Upgrades!$L$10,I155)))*(IF(Upgrades!$T$6="Orbital Resonance",POWER(Upgrades!$U$6,E155),1)*IF(Upgrades!$T$7="Orbital Resonance",POWER(Upgrades!$U$7,F155),1)*IF(Upgrades!$T$8="Orbital Resonance",POWER(Upgrades!$U$8,G155),1)*IF(Upgrades!$T$9="Orbital Resonance",POWER(Upgrades!$U$9,H155),1)*IF(Upgrades!$T$11="Orbital Resonance",POWER(Upgrades!$U$11,J155),1)*IF(Upgrades!$T$12="Orbital Resonance",POWER(Upgrades!$U$12,K155),1))+(IF(J155=0,0,(Upgrades!$J$11+J155*Upgrades!$K$11)*POWER(Upgrades!$L$11,J155)))*(IF(Upgrades!$T$6="Heliopause",POWER(Upgrades!$U$6,E155),1)*IF(Upgrades!$T$7="Heliopause",POWER(Upgrades!$U$7,F155),1)*IF(Upgrades!$T$8="Heliopause",POWER(Upgrades!$U$8,G155),1)*IF(Upgrades!$T$9="Heliopause",POWER(Upgrades!$U$9,H155),1)*IF(Upgrades!$T$10="Heliopause",POWER(Upgrades!$U$10,I155),1)*IF(Upgrades!$T$12="Heliopause",POWER(Upgrades!$U$12,K155),1))+(IF(K155=0,0,(Upgrades!$J$12+K155*Upgrades!$K$12)*POWER(Upgrades!$L$12,K155)))*(IF(Upgrades!$T$6="First Photons",POWER(Upgrades!$U$6,E155),1)*IF(Upgrades!$T$7="First Photons",POWER(Upgrades!$U$7,F155),1)*IF(Upgrades!$T$8="First Photons",POWER(Upgrades!$U$8,G155),1)*IF(Upgrades!$T$9="First Photons",POWER(Upgrades!$U$9,H155),1)*IF(Upgrades!$T$10="First Photons",POWER(Upgrades!$U$10,I155),1)*IF(Upgrades!$T$11="First Photons",POWER(Upgrades!$U$11,J155),1)))*POWER(Upgrades!$Q$6,E155)*POWER(Upgrades!$Q$7,F155)*POWER(Upgrades!$Q$8,G155)*POWER(Upgrades!$Q$9,H155)*POWER(Upgrades!$Q$10,I155)*POWER(Upgrades!$Q$11,J155)*POWER(Upgrades!$Q$12,K155)</f>
        <v>5.61</v>
      </c>
      <c r="N155" s="28" t="n">
        <f aca="false">((IF(E155=0,0,(Upgrades!$G$6+E155*Upgrades!$H$6)*POWER(Upgrades!$I$6,E155)))*(IF(Upgrades!$T$7="Solar Wind",POWER(Upgrades!$U$7,F155),1)*IF(Upgrades!$T$8="Solar Wind",POWER(Upgrades!$U$8,G155),1)*IF(Upgrades!$T$9="Solar Wind",POWER(Upgrades!$U$9,H155),1)*IF(Upgrades!$T$10="Solar Wind",POWER(Upgrades!$U$10,I155),1)*IF(Upgrades!$T$11="Solar Wind",POWER(Upgrades!$U$11,J155),1)*IF(Upgrades!$T$12="Solar Wind",POWER(Upgrades!$U$12,K155),1))+(IF(F155=0,0,(Upgrades!$G$7+F155*Upgrades!$H$7)*POWER(Upgrades!$I$7,F155)))*(IF(Upgrades!$T$6="Asteroid Belt",POWER(Upgrades!$U$6,E155),1)*IF(Upgrades!$T$8="Asteroid Belt",POWER(Upgrades!$U$8,G155),1)*IF(Upgrades!$T$9="Asteroid Belt",POWER(Upgrades!$U$9,H155),1)*IF(Upgrades!$T$10="Asteroid Belt",POWER(Upgrades!$U$10,I155),1)*IF(Upgrades!$T$11="Asteroid Belt",POWER(Upgrades!$U$11,J155),1)*IF(Upgrades!$T$12="Asteroid Belt",POWER(Upgrades!$U$12,K155),1))+(IF(G155=0,0,(Upgrades!$G$8+G155*Upgrades!$H$8)*POWER(Upgrades!$I$8,G155)))*(IF(Upgrades!$T$6="Stellar Coupling",POWER(Upgrades!$U$6,E155),1)*IF(Upgrades!$T$7="Stellar Coupling",POWER(Upgrades!$U$7,F155),1)*IF(Upgrades!$T$9="Stellar Coupling",POWER(Upgrades!$U$9,H155),1)*IF(Upgrades!$T$10="Stellar Coupling",POWER(Upgrades!$U$10,I155),1)*IF(Upgrades!$T$11="Stellar Coupling",POWER(Upgrades!$U$11,J155),1)*IF(Upgrades!$T$12="Stellar Coupling",POWER(Upgrades!$U$12,K155),1))+(IF(H155=0,0,(Upgrades!$G$9+H155*Upgrades!$H$9)*POWER(Upgrades!$I$9,H155)))*(IF(Upgrades!$T$6="Magnetosphere",POWER(Upgrades!$U$6,E155),1)*IF(Upgrades!$T$7="Magnetosphere",POWER(Upgrades!$U$7,F155),1)*IF(Upgrades!$T$8="Magnetosphere",POWER(Upgrades!$U$8,G155),1)*IF(Upgrades!$T$10="Magnetosphere",POWER(Upgrades!$U$10,I155),1)*IF(Upgrades!$T$11="Magnetosphere",POWER(Upgrades!$U$11,J155),1)*IF(Upgrades!$T$12="Magnetosphere",POWER(Upgrades!$U$12,K155),1))+(IF(I155=0,0,(Upgrades!$G$10+I155*Upgrades!$H$10)*POWER(Upgrades!$I$10,I155)))*(IF(Upgrades!$T$6="Orbital Resonance",POWER(Upgrades!$U$6,E155),1)*IF(Upgrades!$T$7="Orbital Resonance",POWER(Upgrades!$U$7,F155),1)*IF(Upgrades!$T$8="Orbital Resonance",POWER(Upgrades!$U$8,G155),1)*IF(Upgrades!$T$9="Orbital Resonance",POWER(Upgrades!$U$9,H155),1)*IF(Upgrades!$T$11="Orbital Resonance",POWER(Upgrades!$U$11,J155),1)*IF(Upgrades!$T$12="Orbital Resonance",POWER(Upgrades!$U$12,K155),1))+(IF(J155=0,0,(Upgrades!$G$11+J155*Upgrades!$H$11)*POWER(Upgrades!$I$11,J155)))*(IF(Upgrades!$T$6="Heliopause",POWER(Upgrades!$U$6,E155),1)*IF(Upgrades!$T$7="Heliopause",POWER(Upgrades!$U$7,F155),1)*IF(Upgrades!$T$8="Heliopause",POWER(Upgrades!$U$8,G155),1)*IF(Upgrades!$T$9="Heliopause",POWER(Upgrades!$U$9,H155),1)*IF(Upgrades!$T$10="Heliopause",POWER(Upgrades!$U$10,I155),1)*IF(Upgrades!$T$12="Heliopause",POWER(Upgrades!$U$12,K155),1))+(IF(K155=0,0,(Upgrades!$G$12+K155*Upgrades!$H$12)*POWER(Upgrades!$I$12,K155)))*(IF(Upgrades!$T$6="First Photons",POWER(Upgrades!$U$6,E155),1)*IF(Upgrades!$T$7="First Photons",POWER(Upgrades!$U$7,F155),1)*IF(Upgrades!$T$8="First Photons",POWER(Upgrades!$U$8,G155),1)*IF(Upgrades!$T$9="First Photons",POWER(Upgrades!$U$9,H155),1)*IF(Upgrades!$T$10="First Photons",POWER(Upgrades!$U$10,I155),1)*IF(Upgrades!$T$11="First Photons",POWER(Upgrades!$U$11,J155),1)))*POWER(Upgrades!$P$6,E155)*POWER(Upgrades!$P$7,F155)*POWER(Upgrades!$P$8,G155)*POWER(Upgrades!$P$9,H155)*POWER(Upgrades!$P$10,I155)*POWER(Upgrades!$P$11,J155)*POWER(Upgrades!$P$12,K155)</f>
        <v>11.2</v>
      </c>
      <c r="O155" s="28" t="n">
        <f aca="false">((IF(E155=0,0,(Upgrades!$M$6+E155*Upgrades!$N$6)*POWER(Upgrades!$O$6,E155)))*(IF(Upgrades!$T$7="Solar Wind",POWER(Upgrades!$U$7,F155),1)*IF(Upgrades!$T$8="Solar Wind",POWER(Upgrades!$U$8,G155),1)*IF(Upgrades!$T$9="Solar Wind",POWER(Upgrades!$U$9,H155),1)*IF(Upgrades!$T$10="Solar Wind",POWER(Upgrades!$U$10,I155),1)*IF(Upgrades!$T$11="Solar Wind",POWER(Upgrades!$U$11,J155),1)*IF(Upgrades!$T$12="Solar Wind",POWER(Upgrades!$U$12,K155),1))+(IF(F155=0,0,(Upgrades!$M$7+F155*Upgrades!$N$7)*POWER(Upgrades!$O$7,F155)))*(IF(Upgrades!$T$6="Asteroid Belt",POWER(Upgrades!$U$6,E155),1)*IF(Upgrades!$T$8="Asteroid Belt",POWER(Upgrades!$U$8,G155),1)*IF(Upgrades!$T$9="Asteroid Belt",POWER(Upgrades!$U$9,H155),1)*IF(Upgrades!$T$10="Asteroid Belt",POWER(Upgrades!$U$10,I155),1)*IF(Upgrades!$T$11="Asteroid Belt",POWER(Upgrades!$U$11,J155),1)*IF(Upgrades!$T$12="Asteroid Belt",POWER(Upgrades!$U$12,K155),1))+(IF(G155=0,0,(Upgrades!$M$8+G155*Upgrades!$N$8)*POWER(Upgrades!$O$8,G155)))*(IF(Upgrades!$T$6="Stellar Coupling",POWER(Upgrades!$U$6,E155),1)*IF(Upgrades!$T$7="Stellar Coupling",POWER(Upgrades!$U$7,F155),1)*IF(Upgrades!$T$9="Stellar Coupling",POWER(Upgrades!$U$9,H155),1)*IF(Upgrades!$T$10="Stellar Coupling",POWER(Upgrades!$U$10,I155),1)*IF(Upgrades!$T$11="Stellar Coupling",POWER(Upgrades!$U$11,J155),1)*IF(Upgrades!$T$12="Stellar Coupling",POWER(Upgrades!$U$12,K155),1))+(IF(H155=0,0,(Upgrades!$M$9+H155*Upgrades!$N$9)*POWER(Upgrades!$O$9,H155)))*(IF(Upgrades!$T$6="Magnetosphere",POWER(Upgrades!$U$6,E155),1)*IF(Upgrades!$T$7="Magnetosphere",POWER(Upgrades!$U$7,F155),1)*IF(Upgrades!$T$8="Magnetosphere",POWER(Upgrades!$U$8,G155),1)*IF(Upgrades!$T$10="Magnetosphere",POWER(Upgrades!$U$10,I155),1)*IF(Upgrades!$T$11="Magnetosphere",POWER(Upgrades!$U$11,J155),1)*IF(Upgrades!$T$12="Magnetosphere",POWER(Upgrades!$U$12,K155),1))+(IF(I155=0,0,(Upgrades!$M$10+I155*Upgrades!$N$10)*POWER(Upgrades!$O$10,I155)))*(IF(Upgrades!$T$6="Orbital Resonance",POWER(Upgrades!$U$6,E155),1)*IF(Upgrades!$T$7="Orbital Resonance",POWER(Upgrades!$U$7,F155),1)*IF(Upgrades!$T$8="Orbital Resonance",POWER(Upgrades!$U$8,G155),1)*IF(Upgrades!$T$9="Orbital Resonance",POWER(Upgrades!$U$9,H155),1)*IF(Upgrades!$T$11="Orbital Resonance",POWER(Upgrades!$U$11,J155),1)*IF(Upgrades!$T$12="Orbital Resonance",POWER(Upgrades!$U$12,K155),1))+(IF(J155=0,0,(Upgrades!$M$11+J155*Upgrades!$N$11)*POWER(Upgrades!$O$11,J155)))*(IF(Upgrades!$T$6="Heliopause",POWER(Upgrades!$U$6,E155),1)*IF(Upgrades!$T$7="Heliopause",POWER(Upgrades!$U$7,F155),1)*IF(Upgrades!$T$8="Heliopause",POWER(Upgrades!$U$8,G155),1)*IF(Upgrades!$T$9="Heliopause",POWER(Upgrades!$U$9,H155),1)*IF(Upgrades!$T$10="Heliopause",POWER(Upgrades!$U$10,I155),1)*IF(Upgrades!$T$12="Heliopause",POWER(Upgrades!$U$12,K155),1))+(IF(K155=0,0,(Upgrades!$M$12+K155*Upgrades!$N$12)*POWER(Upgrades!$O$12,K155)))*(IF(Upgrades!$T$6="First Photons",POWER(Upgrades!$U$6,E155),1)*IF(Upgrades!$T$7="First Photons",POWER(Upgrades!$U$7,F155),1)*IF(Upgrades!$T$8="First Photons",POWER(Upgrades!$U$8,G155),1)*IF(Upgrades!$T$9="First Photons",POWER(Upgrades!$U$9,H155),1)*IF(Upgrades!$T$10="First Photons",POWER(Upgrades!$U$10,I155),1)*IF(Upgrades!$T$11="First Photons",POWER(Upgrades!$U$11,J155),1)))*POWER(Upgrades!$R$6,E155)*POWER(Upgrades!$R$7,F155)*POWER(Upgrades!$R$8,G155)*POWER(Upgrades!$R$9,H155)*POWER(Upgrades!$R$10,I155)*POWER(Upgrades!$R$11,J155)*POWER(Upgrades!$R$12,K155)</f>
        <v>0</v>
      </c>
      <c r="P155" s="27" t="n">
        <f aca="false">IF(L155=1,0,M155*Parameters!$B$10/60*Parameters!$B$11*10)</f>
        <v>0</v>
      </c>
      <c r="Q155" s="27" t="n">
        <f aca="false">IF(L155=1,0,O155*M155*10)</f>
        <v>0</v>
      </c>
      <c r="R155" s="27" t="n">
        <f aca="false">IF(L155=1,0,N155*10)</f>
        <v>0</v>
      </c>
      <c r="S155" s="27" t="n">
        <f aca="false">P155+Q155+R155</f>
        <v>0</v>
      </c>
      <c r="T155" s="21" t="n">
        <f aca="false">C155+S155</f>
        <v>18.6730249835055</v>
      </c>
      <c r="U155" s="34" t="str">
        <f aca="false">AX155</f>
        <v/>
      </c>
      <c r="V155" s="21" t="n">
        <f aca="false">IF(U155="",0,IF(U155="transition",0,IF(U155="SW",AG155,IF(U155="AB",AH155,IF(U155="SC",AI155,IF(U155="Mag",AJ155,IF(U155="OR",AK155,IF(U155="HP",AL155,IF(U155="FP",AM155,0)))))))))</f>
        <v>0</v>
      </c>
      <c r="W155" s="27" t="n">
        <f aca="false">IF(U155="OR",Upgrades!$F$10,IF(U155="HP",Upgrades!$F$11,IF(U155="transition",-Parameters!$B$18,0)))</f>
        <v>0</v>
      </c>
      <c r="X155" s="21" t="n">
        <f aca="false">T155-V155</f>
        <v>18.6730249835055</v>
      </c>
      <c r="Y155" s="30" t="n">
        <f aca="false">M155*Parameters!$B$10/60*Parameters!$B$11+O155*M155+N155</f>
        <v>20.55</v>
      </c>
      <c r="Z155" s="35" t="str">
        <f aca="false">IF(U155="transition","→ Tier 2 (Stellar Neighborhood)",IF(U155="FP","First Photons — light begins, system quickens",IF(U155="HP","Heliopause acquired",IF(U155="OR","Orbital Resonance — passive multiplier active",IF(AND(AO155=1,L155=0,AN155&lt;&gt;1),"Cohesion ready (waiting on completionist upgrades)","")))))</f>
        <v/>
      </c>
      <c r="AA155" s="27" t="n">
        <f aca="false">(IF(E155=0,0,(Upgrades!$G$6+E155*Upgrades!$H$6)*POWER(Upgrades!$I$6,E155)))*(IF(Upgrades!$T$7="Solar Wind",POWER(Upgrades!$U$7,F155),1)*IF(Upgrades!$T$8="Solar Wind",POWER(Upgrades!$U$8,G155),1)*IF(Upgrades!$T$9="Solar Wind",POWER(Upgrades!$U$9,H155),1)*IF(Upgrades!$T$10="Solar Wind",POWER(Upgrades!$U$10,I155),1)*IF(Upgrades!$T$11="Solar Wind",POWER(Upgrades!$U$11,J155),1)*IF(Upgrades!$T$12="Solar Wind",POWER(Upgrades!$U$12,K155),1))*POWER(Upgrades!$P$6,E155)*POWER(Upgrades!$P$7,F155)*POWER(Upgrades!$P$8,G155)*POWER(Upgrades!$P$9,H155)*POWER(Upgrades!$P$10,I155)*POWER(Upgrades!$P$11,J155)*POWER(Upgrades!$P$12,K155)*60</f>
        <v>72</v>
      </c>
      <c r="AB155" s="27" t="n">
        <f aca="false">(IF(F155=0,0,(Upgrades!$G$7+F155*Upgrades!$H$7)*POWER(Upgrades!$I$7,F155)))*(IF(Upgrades!$T$6="Asteroid Belt",POWER(Upgrades!$U$6,E155),1)*IF(Upgrades!$T$8="Asteroid Belt",POWER(Upgrades!$U$8,G155),1)*IF(Upgrades!$T$9="Asteroid Belt",POWER(Upgrades!$U$9,H155),1)*IF(Upgrades!$T$10="Asteroid Belt",POWER(Upgrades!$U$10,I155),1)*IF(Upgrades!$T$11="Asteroid Belt",POWER(Upgrades!$U$11,J155),1)*IF(Upgrades!$T$12="Asteroid Belt",POWER(Upgrades!$U$12,K155),1))*POWER(Upgrades!$P$6,E155)*POWER(Upgrades!$P$7,F155)*POWER(Upgrades!$P$8,G155)*POWER(Upgrades!$P$9,H155)*POWER(Upgrades!$P$10,I155)*POWER(Upgrades!$P$11,J155)*POWER(Upgrades!$P$12,K155)*60</f>
        <v>150</v>
      </c>
      <c r="AC155" s="27" t="n">
        <f aca="false">(IF(G155=0,0,(Upgrades!$J$8+G155*Upgrades!$K$8)*POWER(Upgrades!$L$8,G155)))*(IF(Upgrades!$T$6="Stellar Coupling",POWER(Upgrades!$U$6,E155),1)*IF(Upgrades!$T$7="Stellar Coupling",POWER(Upgrades!$U$7,F155),1)*IF(Upgrades!$T$9="Stellar Coupling",POWER(Upgrades!$U$9,H155),1)*IF(Upgrades!$T$10="Stellar Coupling",POWER(Upgrades!$U$10,I155),1)*IF(Upgrades!$T$11="Stellar Coupling",POWER(Upgrades!$U$11,J155),1)*IF(Upgrades!$T$12="Stellar Coupling",POWER(Upgrades!$U$12,K155),1))*POWER(Upgrades!$Q$6,E155)*POWER(Upgrades!$Q$7,F155)*POWER(Upgrades!$Q$8,G155)*POWER(Upgrades!$Q$9,H155)*POWER(Upgrades!$Q$10,I155)*POWER(Upgrades!$Q$11,J155)*POWER(Upgrades!$Q$12,K155)*Parameters!$B$10*Parameters!$B$11</f>
        <v>441</v>
      </c>
      <c r="AD155" s="27" t="n">
        <f aca="false">(IF(H155=0,0,(Upgrades!$G$9+H155*Upgrades!$H$9)*POWER(Upgrades!$I$9,H155)))*(IF(Upgrades!$T$6="Magnetosphere",POWER(Upgrades!$U$6,E155),1)*IF(Upgrades!$T$7="Magnetosphere",POWER(Upgrades!$U$7,F155),1)*IF(Upgrades!$T$8="Magnetosphere",POWER(Upgrades!$U$8,G155),1)*IF(Upgrades!$T$10="Magnetosphere",POWER(Upgrades!$U$10,I155),1)*IF(Upgrades!$T$11="Magnetosphere",POWER(Upgrades!$U$11,J155),1)*IF(Upgrades!$T$12="Magnetosphere",POWER(Upgrades!$U$12,K155),1))*POWER(Upgrades!$P$6,E155)*POWER(Upgrades!$P$7,F155)*POWER(Upgrades!$P$8,G155)*POWER(Upgrades!$P$9,H155)*POWER(Upgrades!$P$10,I155)*POWER(Upgrades!$P$11,J155)*POWER(Upgrades!$P$12,K155)*60</f>
        <v>375</v>
      </c>
      <c r="AE155" s="27" t="n">
        <f aca="false">(IF(K155=0,0,(Upgrades!$G$12+K155*Upgrades!$H$12)*POWER(Upgrades!$I$12,K155)))*(IF(Upgrades!$T$6="First Photons",POWER(Upgrades!$U$6,E155),1)*IF(Upgrades!$T$7="First Photons",POWER(Upgrades!$U$7,F155),1)*IF(Upgrades!$T$8="First Photons",POWER(Upgrades!$U$8,G155),1)*IF(Upgrades!$T$9="First Photons",POWER(Upgrades!$U$9,H155),1)*IF(Upgrades!$T$10="First Photons",POWER(Upgrades!$U$10,I155),1)*IF(Upgrades!$T$11="First Photons",POWER(Upgrades!$U$11,J155),1))*POWER(Upgrades!$P$6,E155)*POWER(Upgrades!$P$7,F155)*POWER(Upgrades!$P$8,G155)*POWER(Upgrades!$P$9,H155)*POWER(Upgrades!$P$10,I155)*POWER(Upgrades!$P$11,J155)*POWER(Upgrades!$P$12,K155)*60</f>
        <v>75</v>
      </c>
      <c r="AF155" s="27" t="n">
        <f aca="false">Parameters!$B$9*POWER(Upgrades!$Q$6,E155)*POWER(Upgrades!$Q$7,F155)*POWER(Upgrades!$Q$8,G155)*POWER(Upgrades!$Q$9,H155)*POWER(Upgrades!$Q$10,I155)*POWER(Upgrades!$Q$11,J155)*POWER(Upgrades!$Q$12,K155)*(Parameters!$B$10*Parameters!$B$11+O155*60)</f>
        <v>120</v>
      </c>
      <c r="AG155" s="21" t="n">
        <f aca="false">IF(E155&gt;=Upgrades!$E$6,"",Upgrades!$C$6*POWER(Upgrades!$D$6,E155))</f>
        <v>37.4517507383159</v>
      </c>
      <c r="AH155" s="21" t="n">
        <f aca="false">IF(F155&gt;=Upgrades!$E$7,"",Upgrades!$C$7*POWER(Upgrades!$D$7,F155))</f>
        <v>80.9111547141581</v>
      </c>
      <c r="AI155" s="21" t="n">
        <f aca="false">IF(G155&gt;=Upgrades!$E$8,"",Upgrades!$C$8*POWER(Upgrades!$D$8,G155))</f>
        <v>231.9097088</v>
      </c>
      <c r="AJ155" s="21" t="str">
        <f aca="false">IF(H155&gt;=Upgrades!$E$9,"",Upgrades!$C$9*POWER(Upgrades!$D$9,H155))</f>
        <v/>
      </c>
      <c r="AK155" s="21" t="str">
        <f aca="false">IF(I155&gt;=Upgrades!$E$10,"",Upgrades!$C$10*POWER(Upgrades!$D$10,I155))</f>
        <v/>
      </c>
      <c r="AL155" s="21" t="str">
        <f aca="false">IF(J155&gt;=Upgrades!$E$11,"",Upgrades!$C$11*POWER(Upgrades!$D$11,J155))</f>
        <v/>
      </c>
      <c r="AM155" s="21" t="str">
        <f aca="false">IF(K155&gt;=Upgrades!$E$12,"",Upgrades!$C$12*POWER(Upgrades!$D$12,K155))</f>
        <v/>
      </c>
      <c r="AN155" s="26" t="str">
        <f aca="false">IF(AND(D155&gt;=Parameters!$B$18,(H155&gt;=Upgrades!$E$9)*(K155&gt;=Upgrades!$E$12)=1,L155=0),1,"")</f>
        <v/>
      </c>
      <c r="AO155" s="26" t="str">
        <f aca="false">IF(AND(D155&gt;=Parameters!$B$18,L155=0),1,"")</f>
        <v/>
      </c>
      <c r="AP155" s="21" t="n">
        <f aca="false">MIN(IF(ISNUMBER(AK155),AK155,9000000000000000),IF(ISNUMBER(AL155),AL155,9000000000000000),IF(ISNUMBER(AM155),AM155,9000000000000000))</f>
        <v>9000000000000000</v>
      </c>
      <c r="AQ155" s="21" t="n">
        <f aca="false">MIN(IF(ISNUMBER(AG155),AG155,9000000000000000),IF(ISNUMBER(AH155),AH155,9000000000000000),IF(ISNUMBER(AI155),AI155,9000000000000000),IF(ISNUMBER(AJ155),AJ155,9000000000000000))</f>
        <v>37.4517507383159</v>
      </c>
      <c r="AR155" s="32" t="b">
        <f aca="false">IF(AW155&gt;Parameters!$B$21*(MAX(IF(AND(NOT(AND(AO155=1,AN155&lt;&gt;1)),ISNUMBER(AG155),AG155&lt;=T155),AS155,0),IF(AND(NOT(AND(AO155=1,AN155&lt;&gt;1)),ISNUMBER(AH155),AH155&lt;=T155),AT155,0),IF(AND(NOT(AND(AO155=1,AN155&lt;&gt;1)),ISNUMBER(AI155),AI155&lt;=T155),AU155,0),IF(AND(ISNUMBER(AJ155),AJ155&lt;=T155),AV155,0))),TRUE(),FALSE())</f>
        <v>1</v>
      </c>
      <c r="AS155" s="33" t="n">
        <f aca="false">IFERROR(Upgrades!$H$6*(POWER(Upgrades!$P$6,E155)*POWER(Upgrades!$P$7,F155)*POWER(Upgrades!$P$8,G155)*POWER(Upgrades!$P$9,H155)*POWER(Upgrades!$P$10,I155)*POWER(Upgrades!$P$11,J155)*POWER(Upgrades!$P$12,K155))*(IF(Upgrades!$T$7="Solar Wind",POWER(Upgrades!$U$7,F155),1)*IF(Upgrades!$T$8="Solar Wind",POWER(Upgrades!$U$8,G155),1)*IF(Upgrades!$T$9="Solar Wind",POWER(Upgrades!$U$9,H155),1)*IF(Upgrades!$T$10="Solar Wind",POWER(Upgrades!$U$10,I155),1)*IF(Upgrades!$T$11="Solar Wind",POWER(Upgrades!$U$11,J155),1)*IF(Upgrades!$T$12="Solar Wind",POWER(Upgrades!$U$12,K155),1))/AG155,0)</f>
        <v>0.0026701021455238</v>
      </c>
      <c r="AT155" s="33" t="n">
        <f aca="false">IFERROR(Upgrades!$H$7*(POWER(Upgrades!$P$6,E155)*POWER(Upgrades!$P$7,F155)*POWER(Upgrades!$P$8,G155)*POWER(Upgrades!$P$9,H155)*POWER(Upgrades!$P$10,I155)*POWER(Upgrades!$P$11,J155)*POWER(Upgrades!$P$12,K155))*(IF(Upgrades!$T$6="Asteroid Belt",POWER(Upgrades!$U$6,E155),1)*IF(Upgrades!$T$8="Asteroid Belt",POWER(Upgrades!$U$8,G155),1)*IF(Upgrades!$T$9="Asteroid Belt",POWER(Upgrades!$U$9,H155),1)*IF(Upgrades!$T$10="Asteroid Belt",POWER(Upgrades!$U$10,I155),1)*IF(Upgrades!$T$11="Asteroid Belt",POWER(Upgrades!$U$11,J155),1)*IF(Upgrades!$T$12="Asteroid Belt",POWER(Upgrades!$U$12,K155),1))/AH155,0)</f>
        <v>0.00308980882652332</v>
      </c>
      <c r="AU155" s="33" t="n">
        <f aca="false">IFERROR(Upgrades!$K$8*(POWER(Upgrades!$Q$6,E155)*POWER(Upgrades!$Q$7,F155)*POWER(Upgrades!$Q$8,G155)*POWER(Upgrades!$Q$9,H155)*POWER(Upgrades!$Q$10,I155)*POWER(Upgrades!$Q$11,J155)*POWER(Upgrades!$Q$12,K155))*(IF(Upgrades!$T$6="Stellar Coupling",POWER(Upgrades!$U$6,E155),1)*IF(Upgrades!$T$7="Stellar Coupling",POWER(Upgrades!$U$7,F155),1)*IF(Upgrades!$T$9="Stellar Coupling",POWER(Upgrades!$U$9,H155),1)*IF(Upgrades!$T$10="Stellar Coupling",POWER(Upgrades!$U$10,I155),1)*IF(Upgrades!$T$11="Stellar Coupling",POWER(Upgrades!$U$11,J155),1)*IF(Upgrades!$T$12="Stellar Coupling",POWER(Upgrades!$U$12,K155),1))*Parameters!$B$10*Parameters!$B$11/60/AI155,0)</f>
        <v>0.00452762415783776</v>
      </c>
      <c r="AV155" s="33" t="n">
        <f aca="false">IFERROR(Upgrades!$H$9*(POWER(Upgrades!$P$6,E155)*POWER(Upgrades!$P$7,F155)*POWER(Upgrades!$P$8,G155)*POWER(Upgrades!$P$9,H155)*POWER(Upgrades!$P$10,I155)*POWER(Upgrades!$P$11,J155)*POWER(Upgrades!$P$12,K155))*(IF(Upgrades!$T$6="Magnetosphere",POWER(Upgrades!$U$6,E155),1)*IF(Upgrades!$T$7="Magnetosphere",POWER(Upgrades!$U$7,F155),1)*IF(Upgrades!$T$8="Magnetosphere",POWER(Upgrades!$U$8,G155),1)*IF(Upgrades!$T$10="Magnetosphere",POWER(Upgrades!$U$10,I155),1)*IF(Upgrades!$T$11="Magnetosphere",POWER(Upgrades!$U$11,J155),1)*IF(Upgrades!$T$12="Magnetosphere",POWER(Upgrades!$U$12,K155),1))/AJ155,0)</f>
        <v>0</v>
      </c>
      <c r="AW155" s="33" t="n">
        <f aca="false">MAX(IF(I155&gt;0,0,IFERROR(0.25*N155/Upgrades!$C$10,0)),IF(J155&gt;0,0,IFERROR(0.5*((IF(G155=0,0,(Upgrades!$J$8+G155*Upgrades!$K$8)*POWER(Upgrades!$L$8,G155)))*(IF(Upgrades!$T$6="Stellar Coupling",POWER(Upgrades!$U$6,E155),1)*IF(Upgrades!$T$7="Stellar Coupling",POWER(Upgrades!$U$7,F155),1)*IF(Upgrades!$T$9="Stellar Coupling",POWER(Upgrades!$U$9,H155),1)*IF(Upgrades!$T$10="Stellar Coupling",POWER(Upgrades!$U$10,I155),1)*IF(Upgrades!$T$11="Stellar Coupling",POWER(Upgrades!$U$11,J155),1)*IF(Upgrades!$T$12="Stellar Coupling",POWER(Upgrades!$U$12,K155),1))*(POWER(Upgrades!$Q$6,E155)*POWER(Upgrades!$Q$7,F155)*POWER(Upgrades!$Q$8,G155)*POWER(Upgrades!$Q$9,H155)*POWER(Upgrades!$Q$10,I155)*POWER(Upgrades!$Q$11,J155)*POWER(Upgrades!$Q$12,K155))*Parameters!$B$10*Parameters!$B$11/60)/Upgrades!$C$11,0)),IF(K155&gt;0,0,IFERROR((1*(POWER(Upgrades!$P$6,E155)*POWER(Upgrades!$P$7,F155)*POWER(Upgrades!$P$8,G155)*POWER(Upgrades!$P$9,H155)*POWER(Upgrades!$P$10,I155)*POWER(Upgrades!$P$11,J155)*POWER(Upgrades!$P$12,K155))+0.2*M155*Parameters!$B$10*Parameters!$B$11/60)/Upgrades!$C$12,0)),IF(AND(ISNUMBER(AG155),AG155&gt;T155),AS155,0),IF(AND(ISNUMBER(AH155),AH155&gt;T155),AT155,0),IF(AND(ISNUMBER(AI155),AI155&gt;T155),AU155,0),IF(AND(ISNUMBER(AJ155),AJ155&gt;T155),AV155,0))</f>
        <v>0.00452762415783776</v>
      </c>
      <c r="AX155" s="29" t="str">
        <f aca="false">IF(AN155=1,"transition",IF(MIN(IF(AND(I155=0,ISNUMBER(AK155),AK155&lt;=T155),AK155,9000000000000000),IF(AND(J155=0,ISNUMBER(AL155),AL155&lt;=T155),AL155,9000000000000000),IF(AND(K155=0,ISNUMBER(AM155),AM155&lt;=T155),AM155,9000000000000000))&lt;9000000000000000,IF(AND(AND(I155=0,ISNUMBER(AK155),AK155&lt;=T155),AK155=MIN(IF(AND(I155=0,ISNUMBER(AK155),AK155&lt;=T155),AK155,9000000000000000),IF(AND(J155=0,ISNUMBER(AL155),AL155&lt;=T155),AL155,9000000000000000),IF(AND(K155=0,ISNUMBER(AM155),AM155&lt;=T155),AM155,9000000000000000))),"OR",IF(AND(AND(J155=0,ISNUMBER(AL155),AL155&lt;=T155),AL155=MIN(IF(AND(I155=0,ISNUMBER(AK155),AK155&lt;=T155),AK155,9000000000000000),IF(AND(J155=0,ISNUMBER(AL155),AL155&lt;=T155),AL155,9000000000000000),IF(AND(K155=0,ISNUMBER(AM155),AM155&lt;=T155),AM155,9000000000000000))),"HP","FP")),IF(AR155=TRUE(),"",IF(MAX(IF(AND(NOT(AND(AO155=1,AN155&lt;&gt;1)),ISNUMBER(AG155),AG155&lt;=T155),AS155,0),IF(AND(NOT(AND(AO155=1,AN155&lt;&gt;1)),ISNUMBER(AH155),AH155&lt;=T155),AT155,0),IF(AND(NOT(AND(AO155=1,AN155&lt;&gt;1)),ISNUMBER(AI155),AI155&lt;=T155),AU155,0),IF(AND(ISNUMBER(AJ155),AJ155&lt;=T155),AV155,0))&lt;=0,"",IF(AND(IF(AND(NOT(AND(AO155=1,AN155&lt;&gt;1)),ISNUMBER(AG155),AG155&lt;=T155),AS155,0)&gt;0,IF(AND(NOT(AND(AO155=1,AN155&lt;&gt;1)),ISNUMBER(AG155),AG155&lt;=T155),AS155,0)=MAX(IF(AND(NOT(AND(AO155=1,AN155&lt;&gt;1)),ISNUMBER(AG155),AG155&lt;=T155),AS155,0),IF(AND(NOT(AND(AO155=1,AN155&lt;&gt;1)),ISNUMBER(AH155),AH155&lt;=T155),AT155,0),IF(AND(NOT(AND(AO155=1,AN155&lt;&gt;1)),ISNUMBER(AI155),AI155&lt;=T155),AU155,0),IF(AND(ISNUMBER(AJ155),AJ155&lt;=T155),AV155,0))),"SW",IF(AND(IF(AND(NOT(AND(AO155=1,AN155&lt;&gt;1)),ISNUMBER(AH155),AH155&lt;=T155),AT155,0)&gt;0,IF(AND(NOT(AND(AO155=1,AN155&lt;&gt;1)),ISNUMBER(AH155),AH155&lt;=T155),AT155,0)=MAX(IF(AND(NOT(AND(AO155=1,AN155&lt;&gt;1)),ISNUMBER(AG155),AG155&lt;=T155),AS155,0),IF(AND(NOT(AND(AO155=1,AN155&lt;&gt;1)),ISNUMBER(AH155),AH155&lt;=T155),AT155,0),IF(AND(NOT(AND(AO155=1,AN155&lt;&gt;1)),ISNUMBER(AI155),AI155&lt;=T155),AU155,0),IF(AND(ISNUMBER(AJ155),AJ155&lt;=T155),AV155,0))),"AB",IF(AND(IF(AND(NOT(AND(AO155=1,AN155&lt;&gt;1)),ISNUMBER(AI155),AI155&lt;=T155),AU155,0)&gt;0,IF(AND(NOT(AND(AO155=1,AN155&lt;&gt;1)),ISNUMBER(AI155),AI155&lt;=T155),AU155,0)=MAX(IF(AND(NOT(AND(AO155=1,AN155&lt;&gt;1)),ISNUMBER(AG155),AG155&lt;=T155),AS155,0),IF(AND(NOT(AND(AO155=1,AN155&lt;&gt;1)),ISNUMBER(AH155),AH155&lt;=T155),AT155,0),IF(AND(NOT(AND(AO155=1,AN155&lt;&gt;1)),ISNUMBER(AI155),AI155&lt;=T155),AU155,0),IF(AND(ISNUMBER(AJ155),AJ155&lt;=T155),AV155,0))),"SC","Mag")))))))</f>
        <v/>
      </c>
    </row>
    <row r="156" customFormat="false" ht="15" hidden="false" customHeight="false" outlineLevel="0" collapsed="false">
      <c r="A156" s="26" t="n">
        <v>151</v>
      </c>
      <c r="B156" s="27" t="n">
        <f aca="false">A156*10/60</f>
        <v>25.1666666666667</v>
      </c>
      <c r="C156" s="21" t="n">
        <f aca="false">X155</f>
        <v>18.6730249835055</v>
      </c>
      <c r="D156" s="27" t="n">
        <f aca="false">D155+W155</f>
        <v>0</v>
      </c>
      <c r="E156" s="26" t="n">
        <f aca="false">E155+IF(U155="SW",1,0)</f>
        <v>12</v>
      </c>
      <c r="F156" s="26" t="n">
        <f aca="false">F155+IF(U155="AB",1,0)</f>
        <v>10</v>
      </c>
      <c r="G156" s="26" t="n">
        <f aca="false">G155+IF(U155="SC",1,0)</f>
        <v>7</v>
      </c>
      <c r="H156" s="26" t="n">
        <f aca="false">H155+IF(U155="Mag",1,0)</f>
        <v>5</v>
      </c>
      <c r="I156" s="26" t="n">
        <f aca="false">MAX(I155,IF(U155="OR",1,0))</f>
        <v>1</v>
      </c>
      <c r="J156" s="26" t="n">
        <f aca="false">MAX(J155,IF(U155="HP",1,0))</f>
        <v>1</v>
      </c>
      <c r="K156" s="26" t="n">
        <f aca="false">MAX(K155,IF(U155="FP",1,0))</f>
        <v>1</v>
      </c>
      <c r="L156" s="26" t="n">
        <f aca="false">MAX(L155,IF(U155="transition",1,0))</f>
        <v>1</v>
      </c>
      <c r="M156" s="28" t="n">
        <f aca="false">(Parameters!$B$9+(IF(E156=0,0,(Upgrades!$J$6+E156*Upgrades!$K$6)*POWER(Upgrades!$L$6,E156)))*(IF(Upgrades!$T$7="Solar Wind",POWER(Upgrades!$U$7,F156),1)*IF(Upgrades!$T$8="Solar Wind",POWER(Upgrades!$U$8,G156),1)*IF(Upgrades!$T$9="Solar Wind",POWER(Upgrades!$U$9,H156),1)*IF(Upgrades!$T$10="Solar Wind",POWER(Upgrades!$U$10,I156),1)*IF(Upgrades!$T$11="Solar Wind",POWER(Upgrades!$U$11,J156),1)*IF(Upgrades!$T$12="Solar Wind",POWER(Upgrades!$U$12,K156),1))+(IF(F156=0,0,(Upgrades!$J$7+F156*Upgrades!$K$7)*POWER(Upgrades!$L$7,F156)))*(IF(Upgrades!$T$6="Asteroid Belt",POWER(Upgrades!$U$6,E156),1)*IF(Upgrades!$T$8="Asteroid Belt",POWER(Upgrades!$U$8,G156),1)*IF(Upgrades!$T$9="Asteroid Belt",POWER(Upgrades!$U$9,H156),1)*IF(Upgrades!$T$10="Asteroid Belt",POWER(Upgrades!$U$10,I156),1)*IF(Upgrades!$T$11="Asteroid Belt",POWER(Upgrades!$U$11,J156),1)*IF(Upgrades!$T$12="Asteroid Belt",POWER(Upgrades!$U$12,K156),1))+(IF(G156=0,0,(Upgrades!$J$8+G156*Upgrades!$K$8)*POWER(Upgrades!$L$8,G156)))*(IF(Upgrades!$T$6="Stellar Coupling",POWER(Upgrades!$U$6,E156),1)*IF(Upgrades!$T$7="Stellar Coupling",POWER(Upgrades!$U$7,F156),1)*IF(Upgrades!$T$9="Stellar Coupling",POWER(Upgrades!$U$9,H156),1)*IF(Upgrades!$T$10="Stellar Coupling",POWER(Upgrades!$U$10,I156),1)*IF(Upgrades!$T$11="Stellar Coupling",POWER(Upgrades!$U$11,J156),1)*IF(Upgrades!$T$12="Stellar Coupling",POWER(Upgrades!$U$12,K156),1))+(IF(H156=0,0,(Upgrades!$J$9+H156*Upgrades!$K$9)*POWER(Upgrades!$L$9,H156)))*(IF(Upgrades!$T$6="Magnetosphere",POWER(Upgrades!$U$6,E156),1)*IF(Upgrades!$T$7="Magnetosphere",POWER(Upgrades!$U$7,F156),1)*IF(Upgrades!$T$8="Magnetosphere",POWER(Upgrades!$U$8,G156),1)*IF(Upgrades!$T$10="Magnetosphere",POWER(Upgrades!$U$10,I156),1)*IF(Upgrades!$T$11="Magnetosphere",POWER(Upgrades!$U$11,J156),1)*IF(Upgrades!$T$12="Magnetosphere",POWER(Upgrades!$U$12,K156),1))+(IF(I156=0,0,(Upgrades!$J$10+I156*Upgrades!$K$10)*POWER(Upgrades!$L$10,I156)))*(IF(Upgrades!$T$6="Orbital Resonance",POWER(Upgrades!$U$6,E156),1)*IF(Upgrades!$T$7="Orbital Resonance",POWER(Upgrades!$U$7,F156),1)*IF(Upgrades!$T$8="Orbital Resonance",POWER(Upgrades!$U$8,G156),1)*IF(Upgrades!$T$9="Orbital Resonance",POWER(Upgrades!$U$9,H156),1)*IF(Upgrades!$T$11="Orbital Resonance",POWER(Upgrades!$U$11,J156),1)*IF(Upgrades!$T$12="Orbital Resonance",POWER(Upgrades!$U$12,K156),1))+(IF(J156=0,0,(Upgrades!$J$11+J156*Upgrades!$K$11)*POWER(Upgrades!$L$11,J156)))*(IF(Upgrades!$T$6="Heliopause",POWER(Upgrades!$U$6,E156),1)*IF(Upgrades!$T$7="Heliopause",POWER(Upgrades!$U$7,F156),1)*IF(Upgrades!$T$8="Heliopause",POWER(Upgrades!$U$8,G156),1)*IF(Upgrades!$T$9="Heliopause",POWER(Upgrades!$U$9,H156),1)*IF(Upgrades!$T$10="Heliopause",POWER(Upgrades!$U$10,I156),1)*IF(Upgrades!$T$12="Heliopause",POWER(Upgrades!$U$12,K156),1))+(IF(K156=0,0,(Upgrades!$J$12+K156*Upgrades!$K$12)*POWER(Upgrades!$L$12,K156)))*(IF(Upgrades!$T$6="First Photons",POWER(Upgrades!$U$6,E156),1)*IF(Upgrades!$T$7="First Photons",POWER(Upgrades!$U$7,F156),1)*IF(Upgrades!$T$8="First Photons",POWER(Upgrades!$U$8,G156),1)*IF(Upgrades!$T$9="First Photons",POWER(Upgrades!$U$9,H156),1)*IF(Upgrades!$T$10="First Photons",POWER(Upgrades!$U$10,I156),1)*IF(Upgrades!$T$11="First Photons",POWER(Upgrades!$U$11,J156),1)))*POWER(Upgrades!$Q$6,E156)*POWER(Upgrades!$Q$7,F156)*POWER(Upgrades!$Q$8,G156)*POWER(Upgrades!$Q$9,H156)*POWER(Upgrades!$Q$10,I156)*POWER(Upgrades!$Q$11,J156)*POWER(Upgrades!$Q$12,K156)</f>
        <v>5.61</v>
      </c>
      <c r="N156" s="28" t="n">
        <f aca="false">((IF(E156=0,0,(Upgrades!$G$6+E156*Upgrades!$H$6)*POWER(Upgrades!$I$6,E156)))*(IF(Upgrades!$T$7="Solar Wind",POWER(Upgrades!$U$7,F156),1)*IF(Upgrades!$T$8="Solar Wind",POWER(Upgrades!$U$8,G156),1)*IF(Upgrades!$T$9="Solar Wind",POWER(Upgrades!$U$9,H156),1)*IF(Upgrades!$T$10="Solar Wind",POWER(Upgrades!$U$10,I156),1)*IF(Upgrades!$T$11="Solar Wind",POWER(Upgrades!$U$11,J156),1)*IF(Upgrades!$T$12="Solar Wind",POWER(Upgrades!$U$12,K156),1))+(IF(F156=0,0,(Upgrades!$G$7+F156*Upgrades!$H$7)*POWER(Upgrades!$I$7,F156)))*(IF(Upgrades!$T$6="Asteroid Belt",POWER(Upgrades!$U$6,E156),1)*IF(Upgrades!$T$8="Asteroid Belt",POWER(Upgrades!$U$8,G156),1)*IF(Upgrades!$T$9="Asteroid Belt",POWER(Upgrades!$U$9,H156),1)*IF(Upgrades!$T$10="Asteroid Belt",POWER(Upgrades!$U$10,I156),1)*IF(Upgrades!$T$11="Asteroid Belt",POWER(Upgrades!$U$11,J156),1)*IF(Upgrades!$T$12="Asteroid Belt",POWER(Upgrades!$U$12,K156),1))+(IF(G156=0,0,(Upgrades!$G$8+G156*Upgrades!$H$8)*POWER(Upgrades!$I$8,G156)))*(IF(Upgrades!$T$6="Stellar Coupling",POWER(Upgrades!$U$6,E156),1)*IF(Upgrades!$T$7="Stellar Coupling",POWER(Upgrades!$U$7,F156),1)*IF(Upgrades!$T$9="Stellar Coupling",POWER(Upgrades!$U$9,H156),1)*IF(Upgrades!$T$10="Stellar Coupling",POWER(Upgrades!$U$10,I156),1)*IF(Upgrades!$T$11="Stellar Coupling",POWER(Upgrades!$U$11,J156),1)*IF(Upgrades!$T$12="Stellar Coupling",POWER(Upgrades!$U$12,K156),1))+(IF(H156=0,0,(Upgrades!$G$9+H156*Upgrades!$H$9)*POWER(Upgrades!$I$9,H156)))*(IF(Upgrades!$T$6="Magnetosphere",POWER(Upgrades!$U$6,E156),1)*IF(Upgrades!$T$7="Magnetosphere",POWER(Upgrades!$U$7,F156),1)*IF(Upgrades!$T$8="Magnetosphere",POWER(Upgrades!$U$8,G156),1)*IF(Upgrades!$T$10="Magnetosphere",POWER(Upgrades!$U$10,I156),1)*IF(Upgrades!$T$11="Magnetosphere",POWER(Upgrades!$U$11,J156),1)*IF(Upgrades!$T$12="Magnetosphere",POWER(Upgrades!$U$12,K156),1))+(IF(I156=0,0,(Upgrades!$G$10+I156*Upgrades!$H$10)*POWER(Upgrades!$I$10,I156)))*(IF(Upgrades!$T$6="Orbital Resonance",POWER(Upgrades!$U$6,E156),1)*IF(Upgrades!$T$7="Orbital Resonance",POWER(Upgrades!$U$7,F156),1)*IF(Upgrades!$T$8="Orbital Resonance",POWER(Upgrades!$U$8,G156),1)*IF(Upgrades!$T$9="Orbital Resonance",POWER(Upgrades!$U$9,H156),1)*IF(Upgrades!$T$11="Orbital Resonance",POWER(Upgrades!$U$11,J156),1)*IF(Upgrades!$T$12="Orbital Resonance",POWER(Upgrades!$U$12,K156),1))+(IF(J156=0,0,(Upgrades!$G$11+J156*Upgrades!$H$11)*POWER(Upgrades!$I$11,J156)))*(IF(Upgrades!$T$6="Heliopause",POWER(Upgrades!$U$6,E156),1)*IF(Upgrades!$T$7="Heliopause",POWER(Upgrades!$U$7,F156),1)*IF(Upgrades!$T$8="Heliopause",POWER(Upgrades!$U$8,G156),1)*IF(Upgrades!$T$9="Heliopause",POWER(Upgrades!$U$9,H156),1)*IF(Upgrades!$T$10="Heliopause",POWER(Upgrades!$U$10,I156),1)*IF(Upgrades!$T$12="Heliopause",POWER(Upgrades!$U$12,K156),1))+(IF(K156=0,0,(Upgrades!$G$12+K156*Upgrades!$H$12)*POWER(Upgrades!$I$12,K156)))*(IF(Upgrades!$T$6="First Photons",POWER(Upgrades!$U$6,E156),1)*IF(Upgrades!$T$7="First Photons",POWER(Upgrades!$U$7,F156),1)*IF(Upgrades!$T$8="First Photons",POWER(Upgrades!$U$8,G156),1)*IF(Upgrades!$T$9="First Photons",POWER(Upgrades!$U$9,H156),1)*IF(Upgrades!$T$10="First Photons",POWER(Upgrades!$U$10,I156),1)*IF(Upgrades!$T$11="First Photons",POWER(Upgrades!$U$11,J156),1)))*POWER(Upgrades!$P$6,E156)*POWER(Upgrades!$P$7,F156)*POWER(Upgrades!$P$8,G156)*POWER(Upgrades!$P$9,H156)*POWER(Upgrades!$P$10,I156)*POWER(Upgrades!$P$11,J156)*POWER(Upgrades!$P$12,K156)</f>
        <v>11.2</v>
      </c>
      <c r="O156" s="28" t="n">
        <f aca="false">((IF(E156=0,0,(Upgrades!$M$6+E156*Upgrades!$N$6)*POWER(Upgrades!$O$6,E156)))*(IF(Upgrades!$T$7="Solar Wind",POWER(Upgrades!$U$7,F156),1)*IF(Upgrades!$T$8="Solar Wind",POWER(Upgrades!$U$8,G156),1)*IF(Upgrades!$T$9="Solar Wind",POWER(Upgrades!$U$9,H156),1)*IF(Upgrades!$T$10="Solar Wind",POWER(Upgrades!$U$10,I156),1)*IF(Upgrades!$T$11="Solar Wind",POWER(Upgrades!$U$11,J156),1)*IF(Upgrades!$T$12="Solar Wind",POWER(Upgrades!$U$12,K156),1))+(IF(F156=0,0,(Upgrades!$M$7+F156*Upgrades!$N$7)*POWER(Upgrades!$O$7,F156)))*(IF(Upgrades!$T$6="Asteroid Belt",POWER(Upgrades!$U$6,E156),1)*IF(Upgrades!$T$8="Asteroid Belt",POWER(Upgrades!$U$8,G156),1)*IF(Upgrades!$T$9="Asteroid Belt",POWER(Upgrades!$U$9,H156),1)*IF(Upgrades!$T$10="Asteroid Belt",POWER(Upgrades!$U$10,I156),1)*IF(Upgrades!$T$11="Asteroid Belt",POWER(Upgrades!$U$11,J156),1)*IF(Upgrades!$T$12="Asteroid Belt",POWER(Upgrades!$U$12,K156),1))+(IF(G156=0,0,(Upgrades!$M$8+G156*Upgrades!$N$8)*POWER(Upgrades!$O$8,G156)))*(IF(Upgrades!$T$6="Stellar Coupling",POWER(Upgrades!$U$6,E156),1)*IF(Upgrades!$T$7="Stellar Coupling",POWER(Upgrades!$U$7,F156),1)*IF(Upgrades!$T$9="Stellar Coupling",POWER(Upgrades!$U$9,H156),1)*IF(Upgrades!$T$10="Stellar Coupling",POWER(Upgrades!$U$10,I156),1)*IF(Upgrades!$T$11="Stellar Coupling",POWER(Upgrades!$U$11,J156),1)*IF(Upgrades!$T$12="Stellar Coupling",POWER(Upgrades!$U$12,K156),1))+(IF(H156=0,0,(Upgrades!$M$9+H156*Upgrades!$N$9)*POWER(Upgrades!$O$9,H156)))*(IF(Upgrades!$T$6="Magnetosphere",POWER(Upgrades!$U$6,E156),1)*IF(Upgrades!$T$7="Magnetosphere",POWER(Upgrades!$U$7,F156),1)*IF(Upgrades!$T$8="Magnetosphere",POWER(Upgrades!$U$8,G156),1)*IF(Upgrades!$T$10="Magnetosphere",POWER(Upgrades!$U$10,I156),1)*IF(Upgrades!$T$11="Magnetosphere",POWER(Upgrades!$U$11,J156),1)*IF(Upgrades!$T$12="Magnetosphere",POWER(Upgrades!$U$12,K156),1))+(IF(I156=0,0,(Upgrades!$M$10+I156*Upgrades!$N$10)*POWER(Upgrades!$O$10,I156)))*(IF(Upgrades!$T$6="Orbital Resonance",POWER(Upgrades!$U$6,E156),1)*IF(Upgrades!$T$7="Orbital Resonance",POWER(Upgrades!$U$7,F156),1)*IF(Upgrades!$T$8="Orbital Resonance",POWER(Upgrades!$U$8,G156),1)*IF(Upgrades!$T$9="Orbital Resonance",POWER(Upgrades!$U$9,H156),1)*IF(Upgrades!$T$11="Orbital Resonance",POWER(Upgrades!$U$11,J156),1)*IF(Upgrades!$T$12="Orbital Resonance",POWER(Upgrades!$U$12,K156),1))+(IF(J156=0,0,(Upgrades!$M$11+J156*Upgrades!$N$11)*POWER(Upgrades!$O$11,J156)))*(IF(Upgrades!$T$6="Heliopause",POWER(Upgrades!$U$6,E156),1)*IF(Upgrades!$T$7="Heliopause",POWER(Upgrades!$U$7,F156),1)*IF(Upgrades!$T$8="Heliopause",POWER(Upgrades!$U$8,G156),1)*IF(Upgrades!$T$9="Heliopause",POWER(Upgrades!$U$9,H156),1)*IF(Upgrades!$T$10="Heliopause",POWER(Upgrades!$U$10,I156),1)*IF(Upgrades!$T$12="Heliopause",POWER(Upgrades!$U$12,K156),1))+(IF(K156=0,0,(Upgrades!$M$12+K156*Upgrades!$N$12)*POWER(Upgrades!$O$12,K156)))*(IF(Upgrades!$T$6="First Photons",POWER(Upgrades!$U$6,E156),1)*IF(Upgrades!$T$7="First Photons",POWER(Upgrades!$U$7,F156),1)*IF(Upgrades!$T$8="First Photons",POWER(Upgrades!$U$8,G156),1)*IF(Upgrades!$T$9="First Photons",POWER(Upgrades!$U$9,H156),1)*IF(Upgrades!$T$10="First Photons",POWER(Upgrades!$U$10,I156),1)*IF(Upgrades!$T$11="First Photons",POWER(Upgrades!$U$11,J156),1)))*POWER(Upgrades!$R$6,E156)*POWER(Upgrades!$R$7,F156)*POWER(Upgrades!$R$8,G156)*POWER(Upgrades!$R$9,H156)*POWER(Upgrades!$R$10,I156)*POWER(Upgrades!$R$11,J156)*POWER(Upgrades!$R$12,K156)</f>
        <v>0</v>
      </c>
      <c r="P156" s="27" t="n">
        <f aca="false">IF(L156=1,0,M156*Parameters!$B$10/60*Parameters!$B$11*10)</f>
        <v>0</v>
      </c>
      <c r="Q156" s="27" t="n">
        <f aca="false">IF(L156=1,0,O156*M156*10)</f>
        <v>0</v>
      </c>
      <c r="R156" s="27" t="n">
        <f aca="false">IF(L156=1,0,N156*10)</f>
        <v>0</v>
      </c>
      <c r="S156" s="27" t="n">
        <f aca="false">P156+Q156+R156</f>
        <v>0</v>
      </c>
      <c r="T156" s="21" t="n">
        <f aca="false">C156+S156</f>
        <v>18.6730249835055</v>
      </c>
      <c r="U156" s="34" t="str">
        <f aca="false">AX156</f>
        <v/>
      </c>
      <c r="V156" s="21" t="n">
        <f aca="false">IF(U156="",0,IF(U156="transition",0,IF(U156="SW",AG156,IF(U156="AB",AH156,IF(U156="SC",AI156,IF(U156="Mag",AJ156,IF(U156="OR",AK156,IF(U156="HP",AL156,IF(U156="FP",AM156,0)))))))))</f>
        <v>0</v>
      </c>
      <c r="W156" s="27" t="n">
        <f aca="false">IF(U156="OR",Upgrades!$F$10,IF(U156="HP",Upgrades!$F$11,IF(U156="transition",-Parameters!$B$18,0)))</f>
        <v>0</v>
      </c>
      <c r="X156" s="21" t="n">
        <f aca="false">T156-V156</f>
        <v>18.6730249835055</v>
      </c>
      <c r="Y156" s="30" t="n">
        <f aca="false">M156*Parameters!$B$10/60*Parameters!$B$11+O156*M156+N156</f>
        <v>20.55</v>
      </c>
      <c r="Z156" s="35" t="str">
        <f aca="false">IF(U156="transition","→ Tier 2 (Stellar Neighborhood)",IF(U156="FP","First Photons — light begins, system quickens",IF(U156="HP","Heliopause acquired",IF(U156="OR","Orbital Resonance — passive multiplier active",IF(AND(AO156=1,L156=0,AN156&lt;&gt;1),"Cohesion ready (waiting on completionist upgrades)","")))))</f>
        <v/>
      </c>
      <c r="AA156" s="27" t="n">
        <f aca="false">(IF(E156=0,0,(Upgrades!$G$6+E156*Upgrades!$H$6)*POWER(Upgrades!$I$6,E156)))*(IF(Upgrades!$T$7="Solar Wind",POWER(Upgrades!$U$7,F156),1)*IF(Upgrades!$T$8="Solar Wind",POWER(Upgrades!$U$8,G156),1)*IF(Upgrades!$T$9="Solar Wind",POWER(Upgrades!$U$9,H156),1)*IF(Upgrades!$T$10="Solar Wind",POWER(Upgrades!$U$10,I156),1)*IF(Upgrades!$T$11="Solar Wind",POWER(Upgrades!$U$11,J156),1)*IF(Upgrades!$T$12="Solar Wind",POWER(Upgrades!$U$12,K156),1))*POWER(Upgrades!$P$6,E156)*POWER(Upgrades!$P$7,F156)*POWER(Upgrades!$P$8,G156)*POWER(Upgrades!$P$9,H156)*POWER(Upgrades!$P$10,I156)*POWER(Upgrades!$P$11,J156)*POWER(Upgrades!$P$12,K156)*60</f>
        <v>72</v>
      </c>
      <c r="AB156" s="27" t="n">
        <f aca="false">(IF(F156=0,0,(Upgrades!$G$7+F156*Upgrades!$H$7)*POWER(Upgrades!$I$7,F156)))*(IF(Upgrades!$T$6="Asteroid Belt",POWER(Upgrades!$U$6,E156),1)*IF(Upgrades!$T$8="Asteroid Belt",POWER(Upgrades!$U$8,G156),1)*IF(Upgrades!$T$9="Asteroid Belt",POWER(Upgrades!$U$9,H156),1)*IF(Upgrades!$T$10="Asteroid Belt",POWER(Upgrades!$U$10,I156),1)*IF(Upgrades!$T$11="Asteroid Belt",POWER(Upgrades!$U$11,J156),1)*IF(Upgrades!$T$12="Asteroid Belt",POWER(Upgrades!$U$12,K156),1))*POWER(Upgrades!$P$6,E156)*POWER(Upgrades!$P$7,F156)*POWER(Upgrades!$P$8,G156)*POWER(Upgrades!$P$9,H156)*POWER(Upgrades!$P$10,I156)*POWER(Upgrades!$P$11,J156)*POWER(Upgrades!$P$12,K156)*60</f>
        <v>150</v>
      </c>
      <c r="AC156" s="27" t="n">
        <f aca="false">(IF(G156=0,0,(Upgrades!$J$8+G156*Upgrades!$K$8)*POWER(Upgrades!$L$8,G156)))*(IF(Upgrades!$T$6="Stellar Coupling",POWER(Upgrades!$U$6,E156),1)*IF(Upgrades!$T$7="Stellar Coupling",POWER(Upgrades!$U$7,F156),1)*IF(Upgrades!$T$9="Stellar Coupling",POWER(Upgrades!$U$9,H156),1)*IF(Upgrades!$T$10="Stellar Coupling",POWER(Upgrades!$U$10,I156),1)*IF(Upgrades!$T$11="Stellar Coupling",POWER(Upgrades!$U$11,J156),1)*IF(Upgrades!$T$12="Stellar Coupling",POWER(Upgrades!$U$12,K156),1))*POWER(Upgrades!$Q$6,E156)*POWER(Upgrades!$Q$7,F156)*POWER(Upgrades!$Q$8,G156)*POWER(Upgrades!$Q$9,H156)*POWER(Upgrades!$Q$10,I156)*POWER(Upgrades!$Q$11,J156)*POWER(Upgrades!$Q$12,K156)*Parameters!$B$10*Parameters!$B$11</f>
        <v>441</v>
      </c>
      <c r="AD156" s="27" t="n">
        <f aca="false">(IF(H156=0,0,(Upgrades!$G$9+H156*Upgrades!$H$9)*POWER(Upgrades!$I$9,H156)))*(IF(Upgrades!$T$6="Magnetosphere",POWER(Upgrades!$U$6,E156),1)*IF(Upgrades!$T$7="Magnetosphere",POWER(Upgrades!$U$7,F156),1)*IF(Upgrades!$T$8="Magnetosphere",POWER(Upgrades!$U$8,G156),1)*IF(Upgrades!$T$10="Magnetosphere",POWER(Upgrades!$U$10,I156),1)*IF(Upgrades!$T$11="Magnetosphere",POWER(Upgrades!$U$11,J156),1)*IF(Upgrades!$T$12="Magnetosphere",POWER(Upgrades!$U$12,K156),1))*POWER(Upgrades!$P$6,E156)*POWER(Upgrades!$P$7,F156)*POWER(Upgrades!$P$8,G156)*POWER(Upgrades!$P$9,H156)*POWER(Upgrades!$P$10,I156)*POWER(Upgrades!$P$11,J156)*POWER(Upgrades!$P$12,K156)*60</f>
        <v>375</v>
      </c>
      <c r="AE156" s="27" t="n">
        <f aca="false">(IF(K156=0,0,(Upgrades!$G$12+K156*Upgrades!$H$12)*POWER(Upgrades!$I$12,K156)))*(IF(Upgrades!$T$6="First Photons",POWER(Upgrades!$U$6,E156),1)*IF(Upgrades!$T$7="First Photons",POWER(Upgrades!$U$7,F156),1)*IF(Upgrades!$T$8="First Photons",POWER(Upgrades!$U$8,G156),1)*IF(Upgrades!$T$9="First Photons",POWER(Upgrades!$U$9,H156),1)*IF(Upgrades!$T$10="First Photons",POWER(Upgrades!$U$10,I156),1)*IF(Upgrades!$T$11="First Photons",POWER(Upgrades!$U$11,J156),1))*POWER(Upgrades!$P$6,E156)*POWER(Upgrades!$P$7,F156)*POWER(Upgrades!$P$8,G156)*POWER(Upgrades!$P$9,H156)*POWER(Upgrades!$P$10,I156)*POWER(Upgrades!$P$11,J156)*POWER(Upgrades!$P$12,K156)*60</f>
        <v>75</v>
      </c>
      <c r="AF156" s="27" t="n">
        <f aca="false">Parameters!$B$9*POWER(Upgrades!$Q$6,E156)*POWER(Upgrades!$Q$7,F156)*POWER(Upgrades!$Q$8,G156)*POWER(Upgrades!$Q$9,H156)*POWER(Upgrades!$Q$10,I156)*POWER(Upgrades!$Q$11,J156)*POWER(Upgrades!$Q$12,K156)*(Parameters!$B$10*Parameters!$B$11+O156*60)</f>
        <v>120</v>
      </c>
      <c r="AG156" s="21" t="n">
        <f aca="false">IF(E156&gt;=Upgrades!$E$6,"",Upgrades!$C$6*POWER(Upgrades!$D$6,E156))</f>
        <v>37.4517507383159</v>
      </c>
      <c r="AH156" s="21" t="n">
        <f aca="false">IF(F156&gt;=Upgrades!$E$7,"",Upgrades!$C$7*POWER(Upgrades!$D$7,F156))</f>
        <v>80.9111547141581</v>
      </c>
      <c r="AI156" s="21" t="n">
        <f aca="false">IF(G156&gt;=Upgrades!$E$8,"",Upgrades!$C$8*POWER(Upgrades!$D$8,G156))</f>
        <v>231.9097088</v>
      </c>
      <c r="AJ156" s="21" t="str">
        <f aca="false">IF(H156&gt;=Upgrades!$E$9,"",Upgrades!$C$9*POWER(Upgrades!$D$9,H156))</f>
        <v/>
      </c>
      <c r="AK156" s="21" t="str">
        <f aca="false">IF(I156&gt;=Upgrades!$E$10,"",Upgrades!$C$10*POWER(Upgrades!$D$10,I156))</f>
        <v/>
      </c>
      <c r="AL156" s="21" t="str">
        <f aca="false">IF(J156&gt;=Upgrades!$E$11,"",Upgrades!$C$11*POWER(Upgrades!$D$11,J156))</f>
        <v/>
      </c>
      <c r="AM156" s="21" t="str">
        <f aca="false">IF(K156&gt;=Upgrades!$E$12,"",Upgrades!$C$12*POWER(Upgrades!$D$12,K156))</f>
        <v/>
      </c>
      <c r="AN156" s="26" t="str">
        <f aca="false">IF(AND(D156&gt;=Parameters!$B$18,(H156&gt;=Upgrades!$E$9)*(K156&gt;=Upgrades!$E$12)=1,L156=0),1,"")</f>
        <v/>
      </c>
      <c r="AO156" s="26" t="str">
        <f aca="false">IF(AND(D156&gt;=Parameters!$B$18,L156=0),1,"")</f>
        <v/>
      </c>
      <c r="AP156" s="21" t="n">
        <f aca="false">MIN(IF(ISNUMBER(AK156),AK156,9000000000000000),IF(ISNUMBER(AL156),AL156,9000000000000000),IF(ISNUMBER(AM156),AM156,9000000000000000))</f>
        <v>9000000000000000</v>
      </c>
      <c r="AQ156" s="21" t="n">
        <f aca="false">MIN(IF(ISNUMBER(AG156),AG156,9000000000000000),IF(ISNUMBER(AH156),AH156,9000000000000000),IF(ISNUMBER(AI156),AI156,9000000000000000),IF(ISNUMBER(AJ156),AJ156,9000000000000000))</f>
        <v>37.4517507383159</v>
      </c>
      <c r="AR156" s="32" t="b">
        <f aca="false">IF(AW156&gt;Parameters!$B$21*(MAX(IF(AND(NOT(AND(AO156=1,AN156&lt;&gt;1)),ISNUMBER(AG156),AG156&lt;=T156),AS156,0),IF(AND(NOT(AND(AO156=1,AN156&lt;&gt;1)),ISNUMBER(AH156),AH156&lt;=T156),AT156,0),IF(AND(NOT(AND(AO156=1,AN156&lt;&gt;1)),ISNUMBER(AI156),AI156&lt;=T156),AU156,0),IF(AND(ISNUMBER(AJ156),AJ156&lt;=T156),AV156,0))),TRUE(),FALSE())</f>
        <v>1</v>
      </c>
      <c r="AS156" s="33" t="n">
        <f aca="false">IFERROR(Upgrades!$H$6*(POWER(Upgrades!$P$6,E156)*POWER(Upgrades!$P$7,F156)*POWER(Upgrades!$P$8,G156)*POWER(Upgrades!$P$9,H156)*POWER(Upgrades!$P$10,I156)*POWER(Upgrades!$P$11,J156)*POWER(Upgrades!$P$12,K156))*(IF(Upgrades!$T$7="Solar Wind",POWER(Upgrades!$U$7,F156),1)*IF(Upgrades!$T$8="Solar Wind",POWER(Upgrades!$U$8,G156),1)*IF(Upgrades!$T$9="Solar Wind",POWER(Upgrades!$U$9,H156),1)*IF(Upgrades!$T$10="Solar Wind",POWER(Upgrades!$U$10,I156),1)*IF(Upgrades!$T$11="Solar Wind",POWER(Upgrades!$U$11,J156),1)*IF(Upgrades!$T$12="Solar Wind",POWER(Upgrades!$U$12,K156),1))/AG156,0)</f>
        <v>0.0026701021455238</v>
      </c>
      <c r="AT156" s="33" t="n">
        <f aca="false">IFERROR(Upgrades!$H$7*(POWER(Upgrades!$P$6,E156)*POWER(Upgrades!$P$7,F156)*POWER(Upgrades!$P$8,G156)*POWER(Upgrades!$P$9,H156)*POWER(Upgrades!$P$10,I156)*POWER(Upgrades!$P$11,J156)*POWER(Upgrades!$P$12,K156))*(IF(Upgrades!$T$6="Asteroid Belt",POWER(Upgrades!$U$6,E156),1)*IF(Upgrades!$T$8="Asteroid Belt",POWER(Upgrades!$U$8,G156),1)*IF(Upgrades!$T$9="Asteroid Belt",POWER(Upgrades!$U$9,H156),1)*IF(Upgrades!$T$10="Asteroid Belt",POWER(Upgrades!$U$10,I156),1)*IF(Upgrades!$T$11="Asteroid Belt",POWER(Upgrades!$U$11,J156),1)*IF(Upgrades!$T$12="Asteroid Belt",POWER(Upgrades!$U$12,K156),1))/AH156,0)</f>
        <v>0.00308980882652332</v>
      </c>
      <c r="AU156" s="33" t="n">
        <f aca="false">IFERROR(Upgrades!$K$8*(POWER(Upgrades!$Q$6,E156)*POWER(Upgrades!$Q$7,F156)*POWER(Upgrades!$Q$8,G156)*POWER(Upgrades!$Q$9,H156)*POWER(Upgrades!$Q$10,I156)*POWER(Upgrades!$Q$11,J156)*POWER(Upgrades!$Q$12,K156))*(IF(Upgrades!$T$6="Stellar Coupling",POWER(Upgrades!$U$6,E156),1)*IF(Upgrades!$T$7="Stellar Coupling",POWER(Upgrades!$U$7,F156),1)*IF(Upgrades!$T$9="Stellar Coupling",POWER(Upgrades!$U$9,H156),1)*IF(Upgrades!$T$10="Stellar Coupling",POWER(Upgrades!$U$10,I156),1)*IF(Upgrades!$T$11="Stellar Coupling",POWER(Upgrades!$U$11,J156),1)*IF(Upgrades!$T$12="Stellar Coupling",POWER(Upgrades!$U$12,K156),1))*Parameters!$B$10*Parameters!$B$11/60/AI156,0)</f>
        <v>0.00452762415783776</v>
      </c>
      <c r="AV156" s="33" t="n">
        <f aca="false">IFERROR(Upgrades!$H$9*(POWER(Upgrades!$P$6,E156)*POWER(Upgrades!$P$7,F156)*POWER(Upgrades!$P$8,G156)*POWER(Upgrades!$P$9,H156)*POWER(Upgrades!$P$10,I156)*POWER(Upgrades!$P$11,J156)*POWER(Upgrades!$P$12,K156))*(IF(Upgrades!$T$6="Magnetosphere",POWER(Upgrades!$U$6,E156),1)*IF(Upgrades!$T$7="Magnetosphere",POWER(Upgrades!$U$7,F156),1)*IF(Upgrades!$T$8="Magnetosphere",POWER(Upgrades!$U$8,G156),1)*IF(Upgrades!$T$10="Magnetosphere",POWER(Upgrades!$U$10,I156),1)*IF(Upgrades!$T$11="Magnetosphere",POWER(Upgrades!$U$11,J156),1)*IF(Upgrades!$T$12="Magnetosphere",POWER(Upgrades!$U$12,K156),1))/AJ156,0)</f>
        <v>0</v>
      </c>
      <c r="AW156" s="33" t="n">
        <f aca="false">MAX(IF(I156&gt;0,0,IFERROR(0.25*N156/Upgrades!$C$10,0)),IF(J156&gt;0,0,IFERROR(0.5*((IF(G156=0,0,(Upgrades!$J$8+G156*Upgrades!$K$8)*POWER(Upgrades!$L$8,G156)))*(IF(Upgrades!$T$6="Stellar Coupling",POWER(Upgrades!$U$6,E156),1)*IF(Upgrades!$T$7="Stellar Coupling",POWER(Upgrades!$U$7,F156),1)*IF(Upgrades!$T$9="Stellar Coupling",POWER(Upgrades!$U$9,H156),1)*IF(Upgrades!$T$10="Stellar Coupling",POWER(Upgrades!$U$10,I156),1)*IF(Upgrades!$T$11="Stellar Coupling",POWER(Upgrades!$U$11,J156),1)*IF(Upgrades!$T$12="Stellar Coupling",POWER(Upgrades!$U$12,K156),1))*(POWER(Upgrades!$Q$6,E156)*POWER(Upgrades!$Q$7,F156)*POWER(Upgrades!$Q$8,G156)*POWER(Upgrades!$Q$9,H156)*POWER(Upgrades!$Q$10,I156)*POWER(Upgrades!$Q$11,J156)*POWER(Upgrades!$Q$12,K156))*Parameters!$B$10*Parameters!$B$11/60)/Upgrades!$C$11,0)),IF(K156&gt;0,0,IFERROR((1*(POWER(Upgrades!$P$6,E156)*POWER(Upgrades!$P$7,F156)*POWER(Upgrades!$P$8,G156)*POWER(Upgrades!$P$9,H156)*POWER(Upgrades!$P$10,I156)*POWER(Upgrades!$P$11,J156)*POWER(Upgrades!$P$12,K156))+0.2*M156*Parameters!$B$10*Parameters!$B$11/60)/Upgrades!$C$12,0)),IF(AND(ISNUMBER(AG156),AG156&gt;T156),AS156,0),IF(AND(ISNUMBER(AH156),AH156&gt;T156),AT156,0),IF(AND(ISNUMBER(AI156),AI156&gt;T156),AU156,0),IF(AND(ISNUMBER(AJ156),AJ156&gt;T156),AV156,0))</f>
        <v>0.00452762415783776</v>
      </c>
      <c r="AX156" s="29" t="str">
        <f aca="false">IF(AN156=1,"transition",IF(MIN(IF(AND(I156=0,ISNUMBER(AK156),AK156&lt;=T156),AK156,9000000000000000),IF(AND(J156=0,ISNUMBER(AL156),AL156&lt;=T156),AL156,9000000000000000),IF(AND(K156=0,ISNUMBER(AM156),AM156&lt;=T156),AM156,9000000000000000))&lt;9000000000000000,IF(AND(AND(I156=0,ISNUMBER(AK156),AK156&lt;=T156),AK156=MIN(IF(AND(I156=0,ISNUMBER(AK156),AK156&lt;=T156),AK156,9000000000000000),IF(AND(J156=0,ISNUMBER(AL156),AL156&lt;=T156),AL156,9000000000000000),IF(AND(K156=0,ISNUMBER(AM156),AM156&lt;=T156),AM156,9000000000000000))),"OR",IF(AND(AND(J156=0,ISNUMBER(AL156),AL156&lt;=T156),AL156=MIN(IF(AND(I156=0,ISNUMBER(AK156),AK156&lt;=T156),AK156,9000000000000000),IF(AND(J156=0,ISNUMBER(AL156),AL156&lt;=T156),AL156,9000000000000000),IF(AND(K156=0,ISNUMBER(AM156),AM156&lt;=T156),AM156,9000000000000000))),"HP","FP")),IF(AR156=TRUE(),"",IF(MAX(IF(AND(NOT(AND(AO156=1,AN156&lt;&gt;1)),ISNUMBER(AG156),AG156&lt;=T156),AS156,0),IF(AND(NOT(AND(AO156=1,AN156&lt;&gt;1)),ISNUMBER(AH156),AH156&lt;=T156),AT156,0),IF(AND(NOT(AND(AO156=1,AN156&lt;&gt;1)),ISNUMBER(AI156),AI156&lt;=T156),AU156,0),IF(AND(ISNUMBER(AJ156),AJ156&lt;=T156),AV156,0))&lt;=0,"",IF(AND(IF(AND(NOT(AND(AO156=1,AN156&lt;&gt;1)),ISNUMBER(AG156),AG156&lt;=T156),AS156,0)&gt;0,IF(AND(NOT(AND(AO156=1,AN156&lt;&gt;1)),ISNUMBER(AG156),AG156&lt;=T156),AS156,0)=MAX(IF(AND(NOT(AND(AO156=1,AN156&lt;&gt;1)),ISNUMBER(AG156),AG156&lt;=T156),AS156,0),IF(AND(NOT(AND(AO156=1,AN156&lt;&gt;1)),ISNUMBER(AH156),AH156&lt;=T156),AT156,0),IF(AND(NOT(AND(AO156=1,AN156&lt;&gt;1)),ISNUMBER(AI156),AI156&lt;=T156),AU156,0),IF(AND(ISNUMBER(AJ156),AJ156&lt;=T156),AV156,0))),"SW",IF(AND(IF(AND(NOT(AND(AO156=1,AN156&lt;&gt;1)),ISNUMBER(AH156),AH156&lt;=T156),AT156,0)&gt;0,IF(AND(NOT(AND(AO156=1,AN156&lt;&gt;1)),ISNUMBER(AH156),AH156&lt;=T156),AT156,0)=MAX(IF(AND(NOT(AND(AO156=1,AN156&lt;&gt;1)),ISNUMBER(AG156),AG156&lt;=T156),AS156,0),IF(AND(NOT(AND(AO156=1,AN156&lt;&gt;1)),ISNUMBER(AH156),AH156&lt;=T156),AT156,0),IF(AND(NOT(AND(AO156=1,AN156&lt;&gt;1)),ISNUMBER(AI156),AI156&lt;=T156),AU156,0),IF(AND(ISNUMBER(AJ156),AJ156&lt;=T156),AV156,0))),"AB",IF(AND(IF(AND(NOT(AND(AO156=1,AN156&lt;&gt;1)),ISNUMBER(AI156),AI156&lt;=T156),AU156,0)&gt;0,IF(AND(NOT(AND(AO156=1,AN156&lt;&gt;1)),ISNUMBER(AI156),AI156&lt;=T156),AU156,0)=MAX(IF(AND(NOT(AND(AO156=1,AN156&lt;&gt;1)),ISNUMBER(AG156),AG156&lt;=T156),AS156,0),IF(AND(NOT(AND(AO156=1,AN156&lt;&gt;1)),ISNUMBER(AH156),AH156&lt;=T156),AT156,0),IF(AND(NOT(AND(AO156=1,AN156&lt;&gt;1)),ISNUMBER(AI156),AI156&lt;=T156),AU156,0),IF(AND(ISNUMBER(AJ156),AJ156&lt;=T156),AV156,0))),"SC","Mag")))))))</f>
        <v/>
      </c>
    </row>
    <row r="157" customFormat="false" ht="15" hidden="false" customHeight="false" outlineLevel="0" collapsed="false">
      <c r="A157" s="26" t="n">
        <v>152</v>
      </c>
      <c r="B157" s="27" t="n">
        <f aca="false">A157*10/60</f>
        <v>25.3333333333333</v>
      </c>
      <c r="C157" s="21" t="n">
        <f aca="false">X156</f>
        <v>18.6730249835055</v>
      </c>
      <c r="D157" s="27" t="n">
        <f aca="false">D156+W156</f>
        <v>0</v>
      </c>
      <c r="E157" s="26" t="n">
        <f aca="false">E156+IF(U156="SW",1,0)</f>
        <v>12</v>
      </c>
      <c r="F157" s="26" t="n">
        <f aca="false">F156+IF(U156="AB",1,0)</f>
        <v>10</v>
      </c>
      <c r="G157" s="26" t="n">
        <f aca="false">G156+IF(U156="SC",1,0)</f>
        <v>7</v>
      </c>
      <c r="H157" s="26" t="n">
        <f aca="false">H156+IF(U156="Mag",1,0)</f>
        <v>5</v>
      </c>
      <c r="I157" s="26" t="n">
        <f aca="false">MAX(I156,IF(U156="OR",1,0))</f>
        <v>1</v>
      </c>
      <c r="J157" s="26" t="n">
        <f aca="false">MAX(J156,IF(U156="HP",1,0))</f>
        <v>1</v>
      </c>
      <c r="K157" s="26" t="n">
        <f aca="false">MAX(K156,IF(U156="FP",1,0))</f>
        <v>1</v>
      </c>
      <c r="L157" s="26" t="n">
        <f aca="false">MAX(L156,IF(U156="transition",1,0))</f>
        <v>1</v>
      </c>
      <c r="M157" s="28" t="n">
        <f aca="false">(Parameters!$B$9+(IF(E157=0,0,(Upgrades!$J$6+E157*Upgrades!$K$6)*POWER(Upgrades!$L$6,E157)))*(IF(Upgrades!$T$7="Solar Wind",POWER(Upgrades!$U$7,F157),1)*IF(Upgrades!$T$8="Solar Wind",POWER(Upgrades!$U$8,G157),1)*IF(Upgrades!$T$9="Solar Wind",POWER(Upgrades!$U$9,H157),1)*IF(Upgrades!$T$10="Solar Wind",POWER(Upgrades!$U$10,I157),1)*IF(Upgrades!$T$11="Solar Wind",POWER(Upgrades!$U$11,J157),1)*IF(Upgrades!$T$12="Solar Wind",POWER(Upgrades!$U$12,K157),1))+(IF(F157=0,0,(Upgrades!$J$7+F157*Upgrades!$K$7)*POWER(Upgrades!$L$7,F157)))*(IF(Upgrades!$T$6="Asteroid Belt",POWER(Upgrades!$U$6,E157),1)*IF(Upgrades!$T$8="Asteroid Belt",POWER(Upgrades!$U$8,G157),1)*IF(Upgrades!$T$9="Asteroid Belt",POWER(Upgrades!$U$9,H157),1)*IF(Upgrades!$T$10="Asteroid Belt",POWER(Upgrades!$U$10,I157),1)*IF(Upgrades!$T$11="Asteroid Belt",POWER(Upgrades!$U$11,J157),1)*IF(Upgrades!$T$12="Asteroid Belt",POWER(Upgrades!$U$12,K157),1))+(IF(G157=0,0,(Upgrades!$J$8+G157*Upgrades!$K$8)*POWER(Upgrades!$L$8,G157)))*(IF(Upgrades!$T$6="Stellar Coupling",POWER(Upgrades!$U$6,E157),1)*IF(Upgrades!$T$7="Stellar Coupling",POWER(Upgrades!$U$7,F157),1)*IF(Upgrades!$T$9="Stellar Coupling",POWER(Upgrades!$U$9,H157),1)*IF(Upgrades!$T$10="Stellar Coupling",POWER(Upgrades!$U$10,I157),1)*IF(Upgrades!$T$11="Stellar Coupling",POWER(Upgrades!$U$11,J157),1)*IF(Upgrades!$T$12="Stellar Coupling",POWER(Upgrades!$U$12,K157),1))+(IF(H157=0,0,(Upgrades!$J$9+H157*Upgrades!$K$9)*POWER(Upgrades!$L$9,H157)))*(IF(Upgrades!$T$6="Magnetosphere",POWER(Upgrades!$U$6,E157),1)*IF(Upgrades!$T$7="Magnetosphere",POWER(Upgrades!$U$7,F157),1)*IF(Upgrades!$T$8="Magnetosphere",POWER(Upgrades!$U$8,G157),1)*IF(Upgrades!$T$10="Magnetosphere",POWER(Upgrades!$U$10,I157),1)*IF(Upgrades!$T$11="Magnetosphere",POWER(Upgrades!$U$11,J157),1)*IF(Upgrades!$T$12="Magnetosphere",POWER(Upgrades!$U$12,K157),1))+(IF(I157=0,0,(Upgrades!$J$10+I157*Upgrades!$K$10)*POWER(Upgrades!$L$10,I157)))*(IF(Upgrades!$T$6="Orbital Resonance",POWER(Upgrades!$U$6,E157),1)*IF(Upgrades!$T$7="Orbital Resonance",POWER(Upgrades!$U$7,F157),1)*IF(Upgrades!$T$8="Orbital Resonance",POWER(Upgrades!$U$8,G157),1)*IF(Upgrades!$T$9="Orbital Resonance",POWER(Upgrades!$U$9,H157),1)*IF(Upgrades!$T$11="Orbital Resonance",POWER(Upgrades!$U$11,J157),1)*IF(Upgrades!$T$12="Orbital Resonance",POWER(Upgrades!$U$12,K157),1))+(IF(J157=0,0,(Upgrades!$J$11+J157*Upgrades!$K$11)*POWER(Upgrades!$L$11,J157)))*(IF(Upgrades!$T$6="Heliopause",POWER(Upgrades!$U$6,E157),1)*IF(Upgrades!$T$7="Heliopause",POWER(Upgrades!$U$7,F157),1)*IF(Upgrades!$T$8="Heliopause",POWER(Upgrades!$U$8,G157),1)*IF(Upgrades!$T$9="Heliopause",POWER(Upgrades!$U$9,H157),1)*IF(Upgrades!$T$10="Heliopause",POWER(Upgrades!$U$10,I157),1)*IF(Upgrades!$T$12="Heliopause",POWER(Upgrades!$U$12,K157),1))+(IF(K157=0,0,(Upgrades!$J$12+K157*Upgrades!$K$12)*POWER(Upgrades!$L$12,K157)))*(IF(Upgrades!$T$6="First Photons",POWER(Upgrades!$U$6,E157),1)*IF(Upgrades!$T$7="First Photons",POWER(Upgrades!$U$7,F157),1)*IF(Upgrades!$T$8="First Photons",POWER(Upgrades!$U$8,G157),1)*IF(Upgrades!$T$9="First Photons",POWER(Upgrades!$U$9,H157),1)*IF(Upgrades!$T$10="First Photons",POWER(Upgrades!$U$10,I157),1)*IF(Upgrades!$T$11="First Photons",POWER(Upgrades!$U$11,J157),1)))*POWER(Upgrades!$Q$6,E157)*POWER(Upgrades!$Q$7,F157)*POWER(Upgrades!$Q$8,G157)*POWER(Upgrades!$Q$9,H157)*POWER(Upgrades!$Q$10,I157)*POWER(Upgrades!$Q$11,J157)*POWER(Upgrades!$Q$12,K157)</f>
        <v>5.61</v>
      </c>
      <c r="N157" s="28" t="n">
        <f aca="false">((IF(E157=0,0,(Upgrades!$G$6+E157*Upgrades!$H$6)*POWER(Upgrades!$I$6,E157)))*(IF(Upgrades!$T$7="Solar Wind",POWER(Upgrades!$U$7,F157),1)*IF(Upgrades!$T$8="Solar Wind",POWER(Upgrades!$U$8,G157),1)*IF(Upgrades!$T$9="Solar Wind",POWER(Upgrades!$U$9,H157),1)*IF(Upgrades!$T$10="Solar Wind",POWER(Upgrades!$U$10,I157),1)*IF(Upgrades!$T$11="Solar Wind",POWER(Upgrades!$U$11,J157),1)*IF(Upgrades!$T$12="Solar Wind",POWER(Upgrades!$U$12,K157),1))+(IF(F157=0,0,(Upgrades!$G$7+F157*Upgrades!$H$7)*POWER(Upgrades!$I$7,F157)))*(IF(Upgrades!$T$6="Asteroid Belt",POWER(Upgrades!$U$6,E157),1)*IF(Upgrades!$T$8="Asteroid Belt",POWER(Upgrades!$U$8,G157),1)*IF(Upgrades!$T$9="Asteroid Belt",POWER(Upgrades!$U$9,H157),1)*IF(Upgrades!$T$10="Asteroid Belt",POWER(Upgrades!$U$10,I157),1)*IF(Upgrades!$T$11="Asteroid Belt",POWER(Upgrades!$U$11,J157),1)*IF(Upgrades!$T$12="Asteroid Belt",POWER(Upgrades!$U$12,K157),1))+(IF(G157=0,0,(Upgrades!$G$8+G157*Upgrades!$H$8)*POWER(Upgrades!$I$8,G157)))*(IF(Upgrades!$T$6="Stellar Coupling",POWER(Upgrades!$U$6,E157),1)*IF(Upgrades!$T$7="Stellar Coupling",POWER(Upgrades!$U$7,F157),1)*IF(Upgrades!$T$9="Stellar Coupling",POWER(Upgrades!$U$9,H157),1)*IF(Upgrades!$T$10="Stellar Coupling",POWER(Upgrades!$U$10,I157),1)*IF(Upgrades!$T$11="Stellar Coupling",POWER(Upgrades!$U$11,J157),1)*IF(Upgrades!$T$12="Stellar Coupling",POWER(Upgrades!$U$12,K157),1))+(IF(H157=0,0,(Upgrades!$G$9+H157*Upgrades!$H$9)*POWER(Upgrades!$I$9,H157)))*(IF(Upgrades!$T$6="Magnetosphere",POWER(Upgrades!$U$6,E157),1)*IF(Upgrades!$T$7="Magnetosphere",POWER(Upgrades!$U$7,F157),1)*IF(Upgrades!$T$8="Magnetosphere",POWER(Upgrades!$U$8,G157),1)*IF(Upgrades!$T$10="Magnetosphere",POWER(Upgrades!$U$10,I157),1)*IF(Upgrades!$T$11="Magnetosphere",POWER(Upgrades!$U$11,J157),1)*IF(Upgrades!$T$12="Magnetosphere",POWER(Upgrades!$U$12,K157),1))+(IF(I157=0,0,(Upgrades!$G$10+I157*Upgrades!$H$10)*POWER(Upgrades!$I$10,I157)))*(IF(Upgrades!$T$6="Orbital Resonance",POWER(Upgrades!$U$6,E157),1)*IF(Upgrades!$T$7="Orbital Resonance",POWER(Upgrades!$U$7,F157),1)*IF(Upgrades!$T$8="Orbital Resonance",POWER(Upgrades!$U$8,G157),1)*IF(Upgrades!$T$9="Orbital Resonance",POWER(Upgrades!$U$9,H157),1)*IF(Upgrades!$T$11="Orbital Resonance",POWER(Upgrades!$U$11,J157),1)*IF(Upgrades!$T$12="Orbital Resonance",POWER(Upgrades!$U$12,K157),1))+(IF(J157=0,0,(Upgrades!$G$11+J157*Upgrades!$H$11)*POWER(Upgrades!$I$11,J157)))*(IF(Upgrades!$T$6="Heliopause",POWER(Upgrades!$U$6,E157),1)*IF(Upgrades!$T$7="Heliopause",POWER(Upgrades!$U$7,F157),1)*IF(Upgrades!$T$8="Heliopause",POWER(Upgrades!$U$8,G157),1)*IF(Upgrades!$T$9="Heliopause",POWER(Upgrades!$U$9,H157),1)*IF(Upgrades!$T$10="Heliopause",POWER(Upgrades!$U$10,I157),1)*IF(Upgrades!$T$12="Heliopause",POWER(Upgrades!$U$12,K157),1))+(IF(K157=0,0,(Upgrades!$G$12+K157*Upgrades!$H$12)*POWER(Upgrades!$I$12,K157)))*(IF(Upgrades!$T$6="First Photons",POWER(Upgrades!$U$6,E157),1)*IF(Upgrades!$T$7="First Photons",POWER(Upgrades!$U$7,F157),1)*IF(Upgrades!$T$8="First Photons",POWER(Upgrades!$U$8,G157),1)*IF(Upgrades!$T$9="First Photons",POWER(Upgrades!$U$9,H157),1)*IF(Upgrades!$T$10="First Photons",POWER(Upgrades!$U$10,I157),1)*IF(Upgrades!$T$11="First Photons",POWER(Upgrades!$U$11,J157),1)))*POWER(Upgrades!$P$6,E157)*POWER(Upgrades!$P$7,F157)*POWER(Upgrades!$P$8,G157)*POWER(Upgrades!$P$9,H157)*POWER(Upgrades!$P$10,I157)*POWER(Upgrades!$P$11,J157)*POWER(Upgrades!$P$12,K157)</f>
        <v>11.2</v>
      </c>
      <c r="O157" s="28" t="n">
        <f aca="false">((IF(E157=0,0,(Upgrades!$M$6+E157*Upgrades!$N$6)*POWER(Upgrades!$O$6,E157)))*(IF(Upgrades!$T$7="Solar Wind",POWER(Upgrades!$U$7,F157),1)*IF(Upgrades!$T$8="Solar Wind",POWER(Upgrades!$U$8,G157),1)*IF(Upgrades!$T$9="Solar Wind",POWER(Upgrades!$U$9,H157),1)*IF(Upgrades!$T$10="Solar Wind",POWER(Upgrades!$U$10,I157),1)*IF(Upgrades!$T$11="Solar Wind",POWER(Upgrades!$U$11,J157),1)*IF(Upgrades!$T$12="Solar Wind",POWER(Upgrades!$U$12,K157),1))+(IF(F157=0,0,(Upgrades!$M$7+F157*Upgrades!$N$7)*POWER(Upgrades!$O$7,F157)))*(IF(Upgrades!$T$6="Asteroid Belt",POWER(Upgrades!$U$6,E157),1)*IF(Upgrades!$T$8="Asteroid Belt",POWER(Upgrades!$U$8,G157),1)*IF(Upgrades!$T$9="Asteroid Belt",POWER(Upgrades!$U$9,H157),1)*IF(Upgrades!$T$10="Asteroid Belt",POWER(Upgrades!$U$10,I157),1)*IF(Upgrades!$T$11="Asteroid Belt",POWER(Upgrades!$U$11,J157),1)*IF(Upgrades!$T$12="Asteroid Belt",POWER(Upgrades!$U$12,K157),1))+(IF(G157=0,0,(Upgrades!$M$8+G157*Upgrades!$N$8)*POWER(Upgrades!$O$8,G157)))*(IF(Upgrades!$T$6="Stellar Coupling",POWER(Upgrades!$U$6,E157),1)*IF(Upgrades!$T$7="Stellar Coupling",POWER(Upgrades!$U$7,F157),1)*IF(Upgrades!$T$9="Stellar Coupling",POWER(Upgrades!$U$9,H157),1)*IF(Upgrades!$T$10="Stellar Coupling",POWER(Upgrades!$U$10,I157),1)*IF(Upgrades!$T$11="Stellar Coupling",POWER(Upgrades!$U$11,J157),1)*IF(Upgrades!$T$12="Stellar Coupling",POWER(Upgrades!$U$12,K157),1))+(IF(H157=0,0,(Upgrades!$M$9+H157*Upgrades!$N$9)*POWER(Upgrades!$O$9,H157)))*(IF(Upgrades!$T$6="Magnetosphere",POWER(Upgrades!$U$6,E157),1)*IF(Upgrades!$T$7="Magnetosphere",POWER(Upgrades!$U$7,F157),1)*IF(Upgrades!$T$8="Magnetosphere",POWER(Upgrades!$U$8,G157),1)*IF(Upgrades!$T$10="Magnetosphere",POWER(Upgrades!$U$10,I157),1)*IF(Upgrades!$T$11="Magnetosphere",POWER(Upgrades!$U$11,J157),1)*IF(Upgrades!$T$12="Magnetosphere",POWER(Upgrades!$U$12,K157),1))+(IF(I157=0,0,(Upgrades!$M$10+I157*Upgrades!$N$10)*POWER(Upgrades!$O$10,I157)))*(IF(Upgrades!$T$6="Orbital Resonance",POWER(Upgrades!$U$6,E157),1)*IF(Upgrades!$T$7="Orbital Resonance",POWER(Upgrades!$U$7,F157),1)*IF(Upgrades!$T$8="Orbital Resonance",POWER(Upgrades!$U$8,G157),1)*IF(Upgrades!$T$9="Orbital Resonance",POWER(Upgrades!$U$9,H157),1)*IF(Upgrades!$T$11="Orbital Resonance",POWER(Upgrades!$U$11,J157),1)*IF(Upgrades!$T$12="Orbital Resonance",POWER(Upgrades!$U$12,K157),1))+(IF(J157=0,0,(Upgrades!$M$11+J157*Upgrades!$N$11)*POWER(Upgrades!$O$11,J157)))*(IF(Upgrades!$T$6="Heliopause",POWER(Upgrades!$U$6,E157),1)*IF(Upgrades!$T$7="Heliopause",POWER(Upgrades!$U$7,F157),1)*IF(Upgrades!$T$8="Heliopause",POWER(Upgrades!$U$8,G157),1)*IF(Upgrades!$T$9="Heliopause",POWER(Upgrades!$U$9,H157),1)*IF(Upgrades!$T$10="Heliopause",POWER(Upgrades!$U$10,I157),1)*IF(Upgrades!$T$12="Heliopause",POWER(Upgrades!$U$12,K157),1))+(IF(K157=0,0,(Upgrades!$M$12+K157*Upgrades!$N$12)*POWER(Upgrades!$O$12,K157)))*(IF(Upgrades!$T$6="First Photons",POWER(Upgrades!$U$6,E157),1)*IF(Upgrades!$T$7="First Photons",POWER(Upgrades!$U$7,F157),1)*IF(Upgrades!$T$8="First Photons",POWER(Upgrades!$U$8,G157),1)*IF(Upgrades!$T$9="First Photons",POWER(Upgrades!$U$9,H157),1)*IF(Upgrades!$T$10="First Photons",POWER(Upgrades!$U$10,I157),1)*IF(Upgrades!$T$11="First Photons",POWER(Upgrades!$U$11,J157),1)))*POWER(Upgrades!$R$6,E157)*POWER(Upgrades!$R$7,F157)*POWER(Upgrades!$R$8,G157)*POWER(Upgrades!$R$9,H157)*POWER(Upgrades!$R$10,I157)*POWER(Upgrades!$R$11,J157)*POWER(Upgrades!$R$12,K157)</f>
        <v>0</v>
      </c>
      <c r="P157" s="27" t="n">
        <f aca="false">IF(L157=1,0,M157*Parameters!$B$10/60*Parameters!$B$11*10)</f>
        <v>0</v>
      </c>
      <c r="Q157" s="27" t="n">
        <f aca="false">IF(L157=1,0,O157*M157*10)</f>
        <v>0</v>
      </c>
      <c r="R157" s="27" t="n">
        <f aca="false">IF(L157=1,0,N157*10)</f>
        <v>0</v>
      </c>
      <c r="S157" s="27" t="n">
        <f aca="false">P157+Q157+R157</f>
        <v>0</v>
      </c>
      <c r="T157" s="21" t="n">
        <f aca="false">C157+S157</f>
        <v>18.6730249835055</v>
      </c>
      <c r="U157" s="34" t="str">
        <f aca="false">AX157</f>
        <v/>
      </c>
      <c r="V157" s="21" t="n">
        <f aca="false">IF(U157="",0,IF(U157="transition",0,IF(U157="SW",AG157,IF(U157="AB",AH157,IF(U157="SC",AI157,IF(U157="Mag",AJ157,IF(U157="OR",AK157,IF(U157="HP",AL157,IF(U157="FP",AM157,0)))))))))</f>
        <v>0</v>
      </c>
      <c r="W157" s="27" t="n">
        <f aca="false">IF(U157="OR",Upgrades!$F$10,IF(U157="HP",Upgrades!$F$11,IF(U157="transition",-Parameters!$B$18,0)))</f>
        <v>0</v>
      </c>
      <c r="X157" s="21" t="n">
        <f aca="false">T157-V157</f>
        <v>18.6730249835055</v>
      </c>
      <c r="Y157" s="30" t="n">
        <f aca="false">M157*Parameters!$B$10/60*Parameters!$B$11+O157*M157+N157</f>
        <v>20.55</v>
      </c>
      <c r="Z157" s="35" t="str">
        <f aca="false">IF(U157="transition","→ Tier 2 (Stellar Neighborhood)",IF(U157="FP","First Photons — light begins, system quickens",IF(U157="HP","Heliopause acquired",IF(U157="OR","Orbital Resonance — passive multiplier active",IF(AND(AO157=1,L157=0,AN157&lt;&gt;1),"Cohesion ready (waiting on completionist upgrades)","")))))</f>
        <v/>
      </c>
      <c r="AA157" s="27" t="n">
        <f aca="false">(IF(E157=0,0,(Upgrades!$G$6+E157*Upgrades!$H$6)*POWER(Upgrades!$I$6,E157)))*(IF(Upgrades!$T$7="Solar Wind",POWER(Upgrades!$U$7,F157),1)*IF(Upgrades!$T$8="Solar Wind",POWER(Upgrades!$U$8,G157),1)*IF(Upgrades!$T$9="Solar Wind",POWER(Upgrades!$U$9,H157),1)*IF(Upgrades!$T$10="Solar Wind",POWER(Upgrades!$U$10,I157),1)*IF(Upgrades!$T$11="Solar Wind",POWER(Upgrades!$U$11,J157),1)*IF(Upgrades!$T$12="Solar Wind",POWER(Upgrades!$U$12,K157),1))*POWER(Upgrades!$P$6,E157)*POWER(Upgrades!$P$7,F157)*POWER(Upgrades!$P$8,G157)*POWER(Upgrades!$P$9,H157)*POWER(Upgrades!$P$10,I157)*POWER(Upgrades!$P$11,J157)*POWER(Upgrades!$P$12,K157)*60</f>
        <v>72</v>
      </c>
      <c r="AB157" s="27" t="n">
        <f aca="false">(IF(F157=0,0,(Upgrades!$G$7+F157*Upgrades!$H$7)*POWER(Upgrades!$I$7,F157)))*(IF(Upgrades!$T$6="Asteroid Belt",POWER(Upgrades!$U$6,E157),1)*IF(Upgrades!$T$8="Asteroid Belt",POWER(Upgrades!$U$8,G157),1)*IF(Upgrades!$T$9="Asteroid Belt",POWER(Upgrades!$U$9,H157),1)*IF(Upgrades!$T$10="Asteroid Belt",POWER(Upgrades!$U$10,I157),1)*IF(Upgrades!$T$11="Asteroid Belt",POWER(Upgrades!$U$11,J157),1)*IF(Upgrades!$T$12="Asteroid Belt",POWER(Upgrades!$U$12,K157),1))*POWER(Upgrades!$P$6,E157)*POWER(Upgrades!$P$7,F157)*POWER(Upgrades!$P$8,G157)*POWER(Upgrades!$P$9,H157)*POWER(Upgrades!$P$10,I157)*POWER(Upgrades!$P$11,J157)*POWER(Upgrades!$P$12,K157)*60</f>
        <v>150</v>
      </c>
      <c r="AC157" s="27" t="n">
        <f aca="false">(IF(G157=0,0,(Upgrades!$J$8+G157*Upgrades!$K$8)*POWER(Upgrades!$L$8,G157)))*(IF(Upgrades!$T$6="Stellar Coupling",POWER(Upgrades!$U$6,E157),1)*IF(Upgrades!$T$7="Stellar Coupling",POWER(Upgrades!$U$7,F157),1)*IF(Upgrades!$T$9="Stellar Coupling",POWER(Upgrades!$U$9,H157),1)*IF(Upgrades!$T$10="Stellar Coupling",POWER(Upgrades!$U$10,I157),1)*IF(Upgrades!$T$11="Stellar Coupling",POWER(Upgrades!$U$11,J157),1)*IF(Upgrades!$T$12="Stellar Coupling",POWER(Upgrades!$U$12,K157),1))*POWER(Upgrades!$Q$6,E157)*POWER(Upgrades!$Q$7,F157)*POWER(Upgrades!$Q$8,G157)*POWER(Upgrades!$Q$9,H157)*POWER(Upgrades!$Q$10,I157)*POWER(Upgrades!$Q$11,J157)*POWER(Upgrades!$Q$12,K157)*Parameters!$B$10*Parameters!$B$11</f>
        <v>441</v>
      </c>
      <c r="AD157" s="27" t="n">
        <f aca="false">(IF(H157=0,0,(Upgrades!$G$9+H157*Upgrades!$H$9)*POWER(Upgrades!$I$9,H157)))*(IF(Upgrades!$T$6="Magnetosphere",POWER(Upgrades!$U$6,E157),1)*IF(Upgrades!$T$7="Magnetosphere",POWER(Upgrades!$U$7,F157),1)*IF(Upgrades!$T$8="Magnetosphere",POWER(Upgrades!$U$8,G157),1)*IF(Upgrades!$T$10="Magnetosphere",POWER(Upgrades!$U$10,I157),1)*IF(Upgrades!$T$11="Magnetosphere",POWER(Upgrades!$U$11,J157),1)*IF(Upgrades!$T$12="Magnetosphere",POWER(Upgrades!$U$12,K157),1))*POWER(Upgrades!$P$6,E157)*POWER(Upgrades!$P$7,F157)*POWER(Upgrades!$P$8,G157)*POWER(Upgrades!$P$9,H157)*POWER(Upgrades!$P$10,I157)*POWER(Upgrades!$P$11,J157)*POWER(Upgrades!$P$12,K157)*60</f>
        <v>375</v>
      </c>
      <c r="AE157" s="27" t="n">
        <f aca="false">(IF(K157=0,0,(Upgrades!$G$12+K157*Upgrades!$H$12)*POWER(Upgrades!$I$12,K157)))*(IF(Upgrades!$T$6="First Photons",POWER(Upgrades!$U$6,E157),1)*IF(Upgrades!$T$7="First Photons",POWER(Upgrades!$U$7,F157),1)*IF(Upgrades!$T$8="First Photons",POWER(Upgrades!$U$8,G157),1)*IF(Upgrades!$T$9="First Photons",POWER(Upgrades!$U$9,H157),1)*IF(Upgrades!$T$10="First Photons",POWER(Upgrades!$U$10,I157),1)*IF(Upgrades!$T$11="First Photons",POWER(Upgrades!$U$11,J157),1))*POWER(Upgrades!$P$6,E157)*POWER(Upgrades!$P$7,F157)*POWER(Upgrades!$P$8,G157)*POWER(Upgrades!$P$9,H157)*POWER(Upgrades!$P$10,I157)*POWER(Upgrades!$P$11,J157)*POWER(Upgrades!$P$12,K157)*60</f>
        <v>75</v>
      </c>
      <c r="AF157" s="27" t="n">
        <f aca="false">Parameters!$B$9*POWER(Upgrades!$Q$6,E157)*POWER(Upgrades!$Q$7,F157)*POWER(Upgrades!$Q$8,G157)*POWER(Upgrades!$Q$9,H157)*POWER(Upgrades!$Q$10,I157)*POWER(Upgrades!$Q$11,J157)*POWER(Upgrades!$Q$12,K157)*(Parameters!$B$10*Parameters!$B$11+O157*60)</f>
        <v>120</v>
      </c>
      <c r="AG157" s="21" t="n">
        <f aca="false">IF(E157&gt;=Upgrades!$E$6,"",Upgrades!$C$6*POWER(Upgrades!$D$6,E157))</f>
        <v>37.4517507383159</v>
      </c>
      <c r="AH157" s="21" t="n">
        <f aca="false">IF(F157&gt;=Upgrades!$E$7,"",Upgrades!$C$7*POWER(Upgrades!$D$7,F157))</f>
        <v>80.9111547141581</v>
      </c>
      <c r="AI157" s="21" t="n">
        <f aca="false">IF(G157&gt;=Upgrades!$E$8,"",Upgrades!$C$8*POWER(Upgrades!$D$8,G157))</f>
        <v>231.9097088</v>
      </c>
      <c r="AJ157" s="21" t="str">
        <f aca="false">IF(H157&gt;=Upgrades!$E$9,"",Upgrades!$C$9*POWER(Upgrades!$D$9,H157))</f>
        <v/>
      </c>
      <c r="AK157" s="21" t="str">
        <f aca="false">IF(I157&gt;=Upgrades!$E$10,"",Upgrades!$C$10*POWER(Upgrades!$D$10,I157))</f>
        <v/>
      </c>
      <c r="AL157" s="21" t="str">
        <f aca="false">IF(J157&gt;=Upgrades!$E$11,"",Upgrades!$C$11*POWER(Upgrades!$D$11,J157))</f>
        <v/>
      </c>
      <c r="AM157" s="21" t="str">
        <f aca="false">IF(K157&gt;=Upgrades!$E$12,"",Upgrades!$C$12*POWER(Upgrades!$D$12,K157))</f>
        <v/>
      </c>
      <c r="AN157" s="26" t="str">
        <f aca="false">IF(AND(D157&gt;=Parameters!$B$18,(H157&gt;=Upgrades!$E$9)*(K157&gt;=Upgrades!$E$12)=1,L157=0),1,"")</f>
        <v/>
      </c>
      <c r="AO157" s="26" t="str">
        <f aca="false">IF(AND(D157&gt;=Parameters!$B$18,L157=0),1,"")</f>
        <v/>
      </c>
      <c r="AP157" s="21" t="n">
        <f aca="false">MIN(IF(ISNUMBER(AK157),AK157,9000000000000000),IF(ISNUMBER(AL157),AL157,9000000000000000),IF(ISNUMBER(AM157),AM157,9000000000000000))</f>
        <v>9000000000000000</v>
      </c>
      <c r="AQ157" s="21" t="n">
        <f aca="false">MIN(IF(ISNUMBER(AG157),AG157,9000000000000000),IF(ISNUMBER(AH157),AH157,9000000000000000),IF(ISNUMBER(AI157),AI157,9000000000000000),IF(ISNUMBER(AJ157),AJ157,9000000000000000))</f>
        <v>37.4517507383159</v>
      </c>
      <c r="AR157" s="32" t="b">
        <f aca="false">IF(AW157&gt;Parameters!$B$21*(MAX(IF(AND(NOT(AND(AO157=1,AN157&lt;&gt;1)),ISNUMBER(AG157),AG157&lt;=T157),AS157,0),IF(AND(NOT(AND(AO157=1,AN157&lt;&gt;1)),ISNUMBER(AH157),AH157&lt;=T157),AT157,0),IF(AND(NOT(AND(AO157=1,AN157&lt;&gt;1)),ISNUMBER(AI157),AI157&lt;=T157),AU157,0),IF(AND(ISNUMBER(AJ157),AJ157&lt;=T157),AV157,0))),TRUE(),FALSE())</f>
        <v>1</v>
      </c>
      <c r="AS157" s="33" t="n">
        <f aca="false">IFERROR(Upgrades!$H$6*(POWER(Upgrades!$P$6,E157)*POWER(Upgrades!$P$7,F157)*POWER(Upgrades!$P$8,G157)*POWER(Upgrades!$P$9,H157)*POWER(Upgrades!$P$10,I157)*POWER(Upgrades!$P$11,J157)*POWER(Upgrades!$P$12,K157))*(IF(Upgrades!$T$7="Solar Wind",POWER(Upgrades!$U$7,F157),1)*IF(Upgrades!$T$8="Solar Wind",POWER(Upgrades!$U$8,G157),1)*IF(Upgrades!$T$9="Solar Wind",POWER(Upgrades!$U$9,H157),1)*IF(Upgrades!$T$10="Solar Wind",POWER(Upgrades!$U$10,I157),1)*IF(Upgrades!$T$11="Solar Wind",POWER(Upgrades!$U$11,J157),1)*IF(Upgrades!$T$12="Solar Wind",POWER(Upgrades!$U$12,K157),1))/AG157,0)</f>
        <v>0.0026701021455238</v>
      </c>
      <c r="AT157" s="33" t="n">
        <f aca="false">IFERROR(Upgrades!$H$7*(POWER(Upgrades!$P$6,E157)*POWER(Upgrades!$P$7,F157)*POWER(Upgrades!$P$8,G157)*POWER(Upgrades!$P$9,H157)*POWER(Upgrades!$P$10,I157)*POWER(Upgrades!$P$11,J157)*POWER(Upgrades!$P$12,K157))*(IF(Upgrades!$T$6="Asteroid Belt",POWER(Upgrades!$U$6,E157),1)*IF(Upgrades!$T$8="Asteroid Belt",POWER(Upgrades!$U$8,G157),1)*IF(Upgrades!$T$9="Asteroid Belt",POWER(Upgrades!$U$9,H157),1)*IF(Upgrades!$T$10="Asteroid Belt",POWER(Upgrades!$U$10,I157),1)*IF(Upgrades!$T$11="Asteroid Belt",POWER(Upgrades!$U$11,J157),1)*IF(Upgrades!$T$12="Asteroid Belt",POWER(Upgrades!$U$12,K157),1))/AH157,0)</f>
        <v>0.00308980882652332</v>
      </c>
      <c r="AU157" s="33" t="n">
        <f aca="false">IFERROR(Upgrades!$K$8*(POWER(Upgrades!$Q$6,E157)*POWER(Upgrades!$Q$7,F157)*POWER(Upgrades!$Q$8,G157)*POWER(Upgrades!$Q$9,H157)*POWER(Upgrades!$Q$10,I157)*POWER(Upgrades!$Q$11,J157)*POWER(Upgrades!$Q$12,K157))*(IF(Upgrades!$T$6="Stellar Coupling",POWER(Upgrades!$U$6,E157),1)*IF(Upgrades!$T$7="Stellar Coupling",POWER(Upgrades!$U$7,F157),1)*IF(Upgrades!$T$9="Stellar Coupling",POWER(Upgrades!$U$9,H157),1)*IF(Upgrades!$T$10="Stellar Coupling",POWER(Upgrades!$U$10,I157),1)*IF(Upgrades!$T$11="Stellar Coupling",POWER(Upgrades!$U$11,J157),1)*IF(Upgrades!$T$12="Stellar Coupling",POWER(Upgrades!$U$12,K157),1))*Parameters!$B$10*Parameters!$B$11/60/AI157,0)</f>
        <v>0.00452762415783776</v>
      </c>
      <c r="AV157" s="33" t="n">
        <f aca="false">IFERROR(Upgrades!$H$9*(POWER(Upgrades!$P$6,E157)*POWER(Upgrades!$P$7,F157)*POWER(Upgrades!$P$8,G157)*POWER(Upgrades!$P$9,H157)*POWER(Upgrades!$P$10,I157)*POWER(Upgrades!$P$11,J157)*POWER(Upgrades!$P$12,K157))*(IF(Upgrades!$T$6="Magnetosphere",POWER(Upgrades!$U$6,E157),1)*IF(Upgrades!$T$7="Magnetosphere",POWER(Upgrades!$U$7,F157),1)*IF(Upgrades!$T$8="Magnetosphere",POWER(Upgrades!$U$8,G157),1)*IF(Upgrades!$T$10="Magnetosphere",POWER(Upgrades!$U$10,I157),1)*IF(Upgrades!$T$11="Magnetosphere",POWER(Upgrades!$U$11,J157),1)*IF(Upgrades!$T$12="Magnetosphere",POWER(Upgrades!$U$12,K157),1))/AJ157,0)</f>
        <v>0</v>
      </c>
      <c r="AW157" s="33" t="n">
        <f aca="false">MAX(IF(I157&gt;0,0,IFERROR(0.25*N157/Upgrades!$C$10,0)),IF(J157&gt;0,0,IFERROR(0.5*((IF(G157=0,0,(Upgrades!$J$8+G157*Upgrades!$K$8)*POWER(Upgrades!$L$8,G157)))*(IF(Upgrades!$T$6="Stellar Coupling",POWER(Upgrades!$U$6,E157),1)*IF(Upgrades!$T$7="Stellar Coupling",POWER(Upgrades!$U$7,F157),1)*IF(Upgrades!$T$9="Stellar Coupling",POWER(Upgrades!$U$9,H157),1)*IF(Upgrades!$T$10="Stellar Coupling",POWER(Upgrades!$U$10,I157),1)*IF(Upgrades!$T$11="Stellar Coupling",POWER(Upgrades!$U$11,J157),1)*IF(Upgrades!$T$12="Stellar Coupling",POWER(Upgrades!$U$12,K157),1))*(POWER(Upgrades!$Q$6,E157)*POWER(Upgrades!$Q$7,F157)*POWER(Upgrades!$Q$8,G157)*POWER(Upgrades!$Q$9,H157)*POWER(Upgrades!$Q$10,I157)*POWER(Upgrades!$Q$11,J157)*POWER(Upgrades!$Q$12,K157))*Parameters!$B$10*Parameters!$B$11/60)/Upgrades!$C$11,0)),IF(K157&gt;0,0,IFERROR((1*(POWER(Upgrades!$P$6,E157)*POWER(Upgrades!$P$7,F157)*POWER(Upgrades!$P$8,G157)*POWER(Upgrades!$P$9,H157)*POWER(Upgrades!$P$10,I157)*POWER(Upgrades!$P$11,J157)*POWER(Upgrades!$P$12,K157))+0.2*M157*Parameters!$B$10*Parameters!$B$11/60)/Upgrades!$C$12,0)),IF(AND(ISNUMBER(AG157),AG157&gt;T157),AS157,0),IF(AND(ISNUMBER(AH157),AH157&gt;T157),AT157,0),IF(AND(ISNUMBER(AI157),AI157&gt;T157),AU157,0),IF(AND(ISNUMBER(AJ157),AJ157&gt;T157),AV157,0))</f>
        <v>0.00452762415783776</v>
      </c>
      <c r="AX157" s="29" t="str">
        <f aca="false">IF(AN157=1,"transition",IF(MIN(IF(AND(I157=0,ISNUMBER(AK157),AK157&lt;=T157),AK157,9000000000000000),IF(AND(J157=0,ISNUMBER(AL157),AL157&lt;=T157),AL157,9000000000000000),IF(AND(K157=0,ISNUMBER(AM157),AM157&lt;=T157),AM157,9000000000000000))&lt;9000000000000000,IF(AND(AND(I157=0,ISNUMBER(AK157),AK157&lt;=T157),AK157=MIN(IF(AND(I157=0,ISNUMBER(AK157),AK157&lt;=T157),AK157,9000000000000000),IF(AND(J157=0,ISNUMBER(AL157),AL157&lt;=T157),AL157,9000000000000000),IF(AND(K157=0,ISNUMBER(AM157),AM157&lt;=T157),AM157,9000000000000000))),"OR",IF(AND(AND(J157=0,ISNUMBER(AL157),AL157&lt;=T157),AL157=MIN(IF(AND(I157=0,ISNUMBER(AK157),AK157&lt;=T157),AK157,9000000000000000),IF(AND(J157=0,ISNUMBER(AL157),AL157&lt;=T157),AL157,9000000000000000),IF(AND(K157=0,ISNUMBER(AM157),AM157&lt;=T157),AM157,9000000000000000))),"HP","FP")),IF(AR157=TRUE(),"",IF(MAX(IF(AND(NOT(AND(AO157=1,AN157&lt;&gt;1)),ISNUMBER(AG157),AG157&lt;=T157),AS157,0),IF(AND(NOT(AND(AO157=1,AN157&lt;&gt;1)),ISNUMBER(AH157),AH157&lt;=T157),AT157,0),IF(AND(NOT(AND(AO157=1,AN157&lt;&gt;1)),ISNUMBER(AI157),AI157&lt;=T157),AU157,0),IF(AND(ISNUMBER(AJ157),AJ157&lt;=T157),AV157,0))&lt;=0,"",IF(AND(IF(AND(NOT(AND(AO157=1,AN157&lt;&gt;1)),ISNUMBER(AG157),AG157&lt;=T157),AS157,0)&gt;0,IF(AND(NOT(AND(AO157=1,AN157&lt;&gt;1)),ISNUMBER(AG157),AG157&lt;=T157),AS157,0)=MAX(IF(AND(NOT(AND(AO157=1,AN157&lt;&gt;1)),ISNUMBER(AG157),AG157&lt;=T157),AS157,0),IF(AND(NOT(AND(AO157=1,AN157&lt;&gt;1)),ISNUMBER(AH157),AH157&lt;=T157),AT157,0),IF(AND(NOT(AND(AO157=1,AN157&lt;&gt;1)),ISNUMBER(AI157),AI157&lt;=T157),AU157,0),IF(AND(ISNUMBER(AJ157),AJ157&lt;=T157),AV157,0))),"SW",IF(AND(IF(AND(NOT(AND(AO157=1,AN157&lt;&gt;1)),ISNUMBER(AH157),AH157&lt;=T157),AT157,0)&gt;0,IF(AND(NOT(AND(AO157=1,AN157&lt;&gt;1)),ISNUMBER(AH157),AH157&lt;=T157),AT157,0)=MAX(IF(AND(NOT(AND(AO157=1,AN157&lt;&gt;1)),ISNUMBER(AG157),AG157&lt;=T157),AS157,0),IF(AND(NOT(AND(AO157=1,AN157&lt;&gt;1)),ISNUMBER(AH157),AH157&lt;=T157),AT157,0),IF(AND(NOT(AND(AO157=1,AN157&lt;&gt;1)),ISNUMBER(AI157),AI157&lt;=T157),AU157,0),IF(AND(ISNUMBER(AJ157),AJ157&lt;=T157),AV157,0))),"AB",IF(AND(IF(AND(NOT(AND(AO157=1,AN157&lt;&gt;1)),ISNUMBER(AI157),AI157&lt;=T157),AU157,0)&gt;0,IF(AND(NOT(AND(AO157=1,AN157&lt;&gt;1)),ISNUMBER(AI157),AI157&lt;=T157),AU157,0)=MAX(IF(AND(NOT(AND(AO157=1,AN157&lt;&gt;1)),ISNUMBER(AG157),AG157&lt;=T157),AS157,0),IF(AND(NOT(AND(AO157=1,AN157&lt;&gt;1)),ISNUMBER(AH157),AH157&lt;=T157),AT157,0),IF(AND(NOT(AND(AO157=1,AN157&lt;&gt;1)),ISNUMBER(AI157),AI157&lt;=T157),AU157,0),IF(AND(ISNUMBER(AJ157),AJ157&lt;=T157),AV157,0))),"SC","Mag")))))))</f>
        <v/>
      </c>
    </row>
    <row r="158" customFormat="false" ht="15" hidden="false" customHeight="false" outlineLevel="0" collapsed="false">
      <c r="A158" s="26" t="n">
        <v>153</v>
      </c>
      <c r="B158" s="27" t="n">
        <f aca="false">A158*10/60</f>
        <v>25.5</v>
      </c>
      <c r="C158" s="21" t="n">
        <f aca="false">X157</f>
        <v>18.6730249835055</v>
      </c>
      <c r="D158" s="27" t="n">
        <f aca="false">D157+W157</f>
        <v>0</v>
      </c>
      <c r="E158" s="26" t="n">
        <f aca="false">E157+IF(U157="SW",1,0)</f>
        <v>12</v>
      </c>
      <c r="F158" s="26" t="n">
        <f aca="false">F157+IF(U157="AB",1,0)</f>
        <v>10</v>
      </c>
      <c r="G158" s="26" t="n">
        <f aca="false">G157+IF(U157="SC",1,0)</f>
        <v>7</v>
      </c>
      <c r="H158" s="26" t="n">
        <f aca="false">H157+IF(U157="Mag",1,0)</f>
        <v>5</v>
      </c>
      <c r="I158" s="26" t="n">
        <f aca="false">MAX(I157,IF(U157="OR",1,0))</f>
        <v>1</v>
      </c>
      <c r="J158" s="26" t="n">
        <f aca="false">MAX(J157,IF(U157="HP",1,0))</f>
        <v>1</v>
      </c>
      <c r="K158" s="26" t="n">
        <f aca="false">MAX(K157,IF(U157="FP",1,0))</f>
        <v>1</v>
      </c>
      <c r="L158" s="26" t="n">
        <f aca="false">MAX(L157,IF(U157="transition",1,0))</f>
        <v>1</v>
      </c>
      <c r="M158" s="28" t="n">
        <f aca="false">(Parameters!$B$9+(IF(E158=0,0,(Upgrades!$J$6+E158*Upgrades!$K$6)*POWER(Upgrades!$L$6,E158)))*(IF(Upgrades!$T$7="Solar Wind",POWER(Upgrades!$U$7,F158),1)*IF(Upgrades!$T$8="Solar Wind",POWER(Upgrades!$U$8,G158),1)*IF(Upgrades!$T$9="Solar Wind",POWER(Upgrades!$U$9,H158),1)*IF(Upgrades!$T$10="Solar Wind",POWER(Upgrades!$U$10,I158),1)*IF(Upgrades!$T$11="Solar Wind",POWER(Upgrades!$U$11,J158),1)*IF(Upgrades!$T$12="Solar Wind",POWER(Upgrades!$U$12,K158),1))+(IF(F158=0,0,(Upgrades!$J$7+F158*Upgrades!$K$7)*POWER(Upgrades!$L$7,F158)))*(IF(Upgrades!$T$6="Asteroid Belt",POWER(Upgrades!$U$6,E158),1)*IF(Upgrades!$T$8="Asteroid Belt",POWER(Upgrades!$U$8,G158),1)*IF(Upgrades!$T$9="Asteroid Belt",POWER(Upgrades!$U$9,H158),1)*IF(Upgrades!$T$10="Asteroid Belt",POWER(Upgrades!$U$10,I158),1)*IF(Upgrades!$T$11="Asteroid Belt",POWER(Upgrades!$U$11,J158),1)*IF(Upgrades!$T$12="Asteroid Belt",POWER(Upgrades!$U$12,K158),1))+(IF(G158=0,0,(Upgrades!$J$8+G158*Upgrades!$K$8)*POWER(Upgrades!$L$8,G158)))*(IF(Upgrades!$T$6="Stellar Coupling",POWER(Upgrades!$U$6,E158),1)*IF(Upgrades!$T$7="Stellar Coupling",POWER(Upgrades!$U$7,F158),1)*IF(Upgrades!$T$9="Stellar Coupling",POWER(Upgrades!$U$9,H158),1)*IF(Upgrades!$T$10="Stellar Coupling",POWER(Upgrades!$U$10,I158),1)*IF(Upgrades!$T$11="Stellar Coupling",POWER(Upgrades!$U$11,J158),1)*IF(Upgrades!$T$12="Stellar Coupling",POWER(Upgrades!$U$12,K158),1))+(IF(H158=0,0,(Upgrades!$J$9+H158*Upgrades!$K$9)*POWER(Upgrades!$L$9,H158)))*(IF(Upgrades!$T$6="Magnetosphere",POWER(Upgrades!$U$6,E158),1)*IF(Upgrades!$T$7="Magnetosphere",POWER(Upgrades!$U$7,F158),1)*IF(Upgrades!$T$8="Magnetosphere",POWER(Upgrades!$U$8,G158),1)*IF(Upgrades!$T$10="Magnetosphere",POWER(Upgrades!$U$10,I158),1)*IF(Upgrades!$T$11="Magnetosphere",POWER(Upgrades!$U$11,J158),1)*IF(Upgrades!$T$12="Magnetosphere",POWER(Upgrades!$U$12,K158),1))+(IF(I158=0,0,(Upgrades!$J$10+I158*Upgrades!$K$10)*POWER(Upgrades!$L$10,I158)))*(IF(Upgrades!$T$6="Orbital Resonance",POWER(Upgrades!$U$6,E158),1)*IF(Upgrades!$T$7="Orbital Resonance",POWER(Upgrades!$U$7,F158),1)*IF(Upgrades!$T$8="Orbital Resonance",POWER(Upgrades!$U$8,G158),1)*IF(Upgrades!$T$9="Orbital Resonance",POWER(Upgrades!$U$9,H158),1)*IF(Upgrades!$T$11="Orbital Resonance",POWER(Upgrades!$U$11,J158),1)*IF(Upgrades!$T$12="Orbital Resonance",POWER(Upgrades!$U$12,K158),1))+(IF(J158=0,0,(Upgrades!$J$11+J158*Upgrades!$K$11)*POWER(Upgrades!$L$11,J158)))*(IF(Upgrades!$T$6="Heliopause",POWER(Upgrades!$U$6,E158),1)*IF(Upgrades!$T$7="Heliopause",POWER(Upgrades!$U$7,F158),1)*IF(Upgrades!$T$8="Heliopause",POWER(Upgrades!$U$8,G158),1)*IF(Upgrades!$T$9="Heliopause",POWER(Upgrades!$U$9,H158),1)*IF(Upgrades!$T$10="Heliopause",POWER(Upgrades!$U$10,I158),1)*IF(Upgrades!$T$12="Heliopause",POWER(Upgrades!$U$12,K158),1))+(IF(K158=0,0,(Upgrades!$J$12+K158*Upgrades!$K$12)*POWER(Upgrades!$L$12,K158)))*(IF(Upgrades!$T$6="First Photons",POWER(Upgrades!$U$6,E158),1)*IF(Upgrades!$T$7="First Photons",POWER(Upgrades!$U$7,F158),1)*IF(Upgrades!$T$8="First Photons",POWER(Upgrades!$U$8,G158),1)*IF(Upgrades!$T$9="First Photons",POWER(Upgrades!$U$9,H158),1)*IF(Upgrades!$T$10="First Photons",POWER(Upgrades!$U$10,I158),1)*IF(Upgrades!$T$11="First Photons",POWER(Upgrades!$U$11,J158),1)))*POWER(Upgrades!$Q$6,E158)*POWER(Upgrades!$Q$7,F158)*POWER(Upgrades!$Q$8,G158)*POWER(Upgrades!$Q$9,H158)*POWER(Upgrades!$Q$10,I158)*POWER(Upgrades!$Q$11,J158)*POWER(Upgrades!$Q$12,K158)</f>
        <v>5.61</v>
      </c>
      <c r="N158" s="28" t="n">
        <f aca="false">((IF(E158=0,0,(Upgrades!$G$6+E158*Upgrades!$H$6)*POWER(Upgrades!$I$6,E158)))*(IF(Upgrades!$T$7="Solar Wind",POWER(Upgrades!$U$7,F158),1)*IF(Upgrades!$T$8="Solar Wind",POWER(Upgrades!$U$8,G158),1)*IF(Upgrades!$T$9="Solar Wind",POWER(Upgrades!$U$9,H158),1)*IF(Upgrades!$T$10="Solar Wind",POWER(Upgrades!$U$10,I158),1)*IF(Upgrades!$T$11="Solar Wind",POWER(Upgrades!$U$11,J158),1)*IF(Upgrades!$T$12="Solar Wind",POWER(Upgrades!$U$12,K158),1))+(IF(F158=0,0,(Upgrades!$G$7+F158*Upgrades!$H$7)*POWER(Upgrades!$I$7,F158)))*(IF(Upgrades!$T$6="Asteroid Belt",POWER(Upgrades!$U$6,E158),1)*IF(Upgrades!$T$8="Asteroid Belt",POWER(Upgrades!$U$8,G158),1)*IF(Upgrades!$T$9="Asteroid Belt",POWER(Upgrades!$U$9,H158),1)*IF(Upgrades!$T$10="Asteroid Belt",POWER(Upgrades!$U$10,I158),1)*IF(Upgrades!$T$11="Asteroid Belt",POWER(Upgrades!$U$11,J158),1)*IF(Upgrades!$T$12="Asteroid Belt",POWER(Upgrades!$U$12,K158),1))+(IF(G158=0,0,(Upgrades!$G$8+G158*Upgrades!$H$8)*POWER(Upgrades!$I$8,G158)))*(IF(Upgrades!$T$6="Stellar Coupling",POWER(Upgrades!$U$6,E158),1)*IF(Upgrades!$T$7="Stellar Coupling",POWER(Upgrades!$U$7,F158),1)*IF(Upgrades!$T$9="Stellar Coupling",POWER(Upgrades!$U$9,H158),1)*IF(Upgrades!$T$10="Stellar Coupling",POWER(Upgrades!$U$10,I158),1)*IF(Upgrades!$T$11="Stellar Coupling",POWER(Upgrades!$U$11,J158),1)*IF(Upgrades!$T$12="Stellar Coupling",POWER(Upgrades!$U$12,K158),1))+(IF(H158=0,0,(Upgrades!$G$9+H158*Upgrades!$H$9)*POWER(Upgrades!$I$9,H158)))*(IF(Upgrades!$T$6="Magnetosphere",POWER(Upgrades!$U$6,E158),1)*IF(Upgrades!$T$7="Magnetosphere",POWER(Upgrades!$U$7,F158),1)*IF(Upgrades!$T$8="Magnetosphere",POWER(Upgrades!$U$8,G158),1)*IF(Upgrades!$T$10="Magnetosphere",POWER(Upgrades!$U$10,I158),1)*IF(Upgrades!$T$11="Magnetosphere",POWER(Upgrades!$U$11,J158),1)*IF(Upgrades!$T$12="Magnetosphere",POWER(Upgrades!$U$12,K158),1))+(IF(I158=0,0,(Upgrades!$G$10+I158*Upgrades!$H$10)*POWER(Upgrades!$I$10,I158)))*(IF(Upgrades!$T$6="Orbital Resonance",POWER(Upgrades!$U$6,E158),1)*IF(Upgrades!$T$7="Orbital Resonance",POWER(Upgrades!$U$7,F158),1)*IF(Upgrades!$T$8="Orbital Resonance",POWER(Upgrades!$U$8,G158),1)*IF(Upgrades!$T$9="Orbital Resonance",POWER(Upgrades!$U$9,H158),1)*IF(Upgrades!$T$11="Orbital Resonance",POWER(Upgrades!$U$11,J158),1)*IF(Upgrades!$T$12="Orbital Resonance",POWER(Upgrades!$U$12,K158),1))+(IF(J158=0,0,(Upgrades!$G$11+J158*Upgrades!$H$11)*POWER(Upgrades!$I$11,J158)))*(IF(Upgrades!$T$6="Heliopause",POWER(Upgrades!$U$6,E158),1)*IF(Upgrades!$T$7="Heliopause",POWER(Upgrades!$U$7,F158),1)*IF(Upgrades!$T$8="Heliopause",POWER(Upgrades!$U$8,G158),1)*IF(Upgrades!$T$9="Heliopause",POWER(Upgrades!$U$9,H158),1)*IF(Upgrades!$T$10="Heliopause",POWER(Upgrades!$U$10,I158),1)*IF(Upgrades!$T$12="Heliopause",POWER(Upgrades!$U$12,K158),1))+(IF(K158=0,0,(Upgrades!$G$12+K158*Upgrades!$H$12)*POWER(Upgrades!$I$12,K158)))*(IF(Upgrades!$T$6="First Photons",POWER(Upgrades!$U$6,E158),1)*IF(Upgrades!$T$7="First Photons",POWER(Upgrades!$U$7,F158),1)*IF(Upgrades!$T$8="First Photons",POWER(Upgrades!$U$8,G158),1)*IF(Upgrades!$T$9="First Photons",POWER(Upgrades!$U$9,H158),1)*IF(Upgrades!$T$10="First Photons",POWER(Upgrades!$U$10,I158),1)*IF(Upgrades!$T$11="First Photons",POWER(Upgrades!$U$11,J158),1)))*POWER(Upgrades!$P$6,E158)*POWER(Upgrades!$P$7,F158)*POWER(Upgrades!$P$8,G158)*POWER(Upgrades!$P$9,H158)*POWER(Upgrades!$P$10,I158)*POWER(Upgrades!$P$11,J158)*POWER(Upgrades!$P$12,K158)</f>
        <v>11.2</v>
      </c>
      <c r="O158" s="28" t="n">
        <f aca="false">((IF(E158=0,0,(Upgrades!$M$6+E158*Upgrades!$N$6)*POWER(Upgrades!$O$6,E158)))*(IF(Upgrades!$T$7="Solar Wind",POWER(Upgrades!$U$7,F158),1)*IF(Upgrades!$T$8="Solar Wind",POWER(Upgrades!$U$8,G158),1)*IF(Upgrades!$T$9="Solar Wind",POWER(Upgrades!$U$9,H158),1)*IF(Upgrades!$T$10="Solar Wind",POWER(Upgrades!$U$10,I158),1)*IF(Upgrades!$T$11="Solar Wind",POWER(Upgrades!$U$11,J158),1)*IF(Upgrades!$T$12="Solar Wind",POWER(Upgrades!$U$12,K158),1))+(IF(F158=0,0,(Upgrades!$M$7+F158*Upgrades!$N$7)*POWER(Upgrades!$O$7,F158)))*(IF(Upgrades!$T$6="Asteroid Belt",POWER(Upgrades!$U$6,E158),1)*IF(Upgrades!$T$8="Asteroid Belt",POWER(Upgrades!$U$8,G158),1)*IF(Upgrades!$T$9="Asteroid Belt",POWER(Upgrades!$U$9,H158),1)*IF(Upgrades!$T$10="Asteroid Belt",POWER(Upgrades!$U$10,I158),1)*IF(Upgrades!$T$11="Asteroid Belt",POWER(Upgrades!$U$11,J158),1)*IF(Upgrades!$T$12="Asteroid Belt",POWER(Upgrades!$U$12,K158),1))+(IF(G158=0,0,(Upgrades!$M$8+G158*Upgrades!$N$8)*POWER(Upgrades!$O$8,G158)))*(IF(Upgrades!$T$6="Stellar Coupling",POWER(Upgrades!$U$6,E158),1)*IF(Upgrades!$T$7="Stellar Coupling",POWER(Upgrades!$U$7,F158),1)*IF(Upgrades!$T$9="Stellar Coupling",POWER(Upgrades!$U$9,H158),1)*IF(Upgrades!$T$10="Stellar Coupling",POWER(Upgrades!$U$10,I158),1)*IF(Upgrades!$T$11="Stellar Coupling",POWER(Upgrades!$U$11,J158),1)*IF(Upgrades!$T$12="Stellar Coupling",POWER(Upgrades!$U$12,K158),1))+(IF(H158=0,0,(Upgrades!$M$9+H158*Upgrades!$N$9)*POWER(Upgrades!$O$9,H158)))*(IF(Upgrades!$T$6="Magnetosphere",POWER(Upgrades!$U$6,E158),1)*IF(Upgrades!$T$7="Magnetosphere",POWER(Upgrades!$U$7,F158),1)*IF(Upgrades!$T$8="Magnetosphere",POWER(Upgrades!$U$8,G158),1)*IF(Upgrades!$T$10="Magnetosphere",POWER(Upgrades!$U$10,I158),1)*IF(Upgrades!$T$11="Magnetosphere",POWER(Upgrades!$U$11,J158),1)*IF(Upgrades!$T$12="Magnetosphere",POWER(Upgrades!$U$12,K158),1))+(IF(I158=0,0,(Upgrades!$M$10+I158*Upgrades!$N$10)*POWER(Upgrades!$O$10,I158)))*(IF(Upgrades!$T$6="Orbital Resonance",POWER(Upgrades!$U$6,E158),1)*IF(Upgrades!$T$7="Orbital Resonance",POWER(Upgrades!$U$7,F158),1)*IF(Upgrades!$T$8="Orbital Resonance",POWER(Upgrades!$U$8,G158),1)*IF(Upgrades!$T$9="Orbital Resonance",POWER(Upgrades!$U$9,H158),1)*IF(Upgrades!$T$11="Orbital Resonance",POWER(Upgrades!$U$11,J158),1)*IF(Upgrades!$T$12="Orbital Resonance",POWER(Upgrades!$U$12,K158),1))+(IF(J158=0,0,(Upgrades!$M$11+J158*Upgrades!$N$11)*POWER(Upgrades!$O$11,J158)))*(IF(Upgrades!$T$6="Heliopause",POWER(Upgrades!$U$6,E158),1)*IF(Upgrades!$T$7="Heliopause",POWER(Upgrades!$U$7,F158),1)*IF(Upgrades!$T$8="Heliopause",POWER(Upgrades!$U$8,G158),1)*IF(Upgrades!$T$9="Heliopause",POWER(Upgrades!$U$9,H158),1)*IF(Upgrades!$T$10="Heliopause",POWER(Upgrades!$U$10,I158),1)*IF(Upgrades!$T$12="Heliopause",POWER(Upgrades!$U$12,K158),1))+(IF(K158=0,0,(Upgrades!$M$12+K158*Upgrades!$N$12)*POWER(Upgrades!$O$12,K158)))*(IF(Upgrades!$T$6="First Photons",POWER(Upgrades!$U$6,E158),1)*IF(Upgrades!$T$7="First Photons",POWER(Upgrades!$U$7,F158),1)*IF(Upgrades!$T$8="First Photons",POWER(Upgrades!$U$8,G158),1)*IF(Upgrades!$T$9="First Photons",POWER(Upgrades!$U$9,H158),1)*IF(Upgrades!$T$10="First Photons",POWER(Upgrades!$U$10,I158),1)*IF(Upgrades!$T$11="First Photons",POWER(Upgrades!$U$11,J158),1)))*POWER(Upgrades!$R$6,E158)*POWER(Upgrades!$R$7,F158)*POWER(Upgrades!$R$8,G158)*POWER(Upgrades!$R$9,H158)*POWER(Upgrades!$R$10,I158)*POWER(Upgrades!$R$11,J158)*POWER(Upgrades!$R$12,K158)</f>
        <v>0</v>
      </c>
      <c r="P158" s="27" t="n">
        <f aca="false">IF(L158=1,0,M158*Parameters!$B$10/60*Parameters!$B$11*10)</f>
        <v>0</v>
      </c>
      <c r="Q158" s="27" t="n">
        <f aca="false">IF(L158=1,0,O158*M158*10)</f>
        <v>0</v>
      </c>
      <c r="R158" s="27" t="n">
        <f aca="false">IF(L158=1,0,N158*10)</f>
        <v>0</v>
      </c>
      <c r="S158" s="27" t="n">
        <f aca="false">P158+Q158+R158</f>
        <v>0</v>
      </c>
      <c r="T158" s="21" t="n">
        <f aca="false">C158+S158</f>
        <v>18.6730249835055</v>
      </c>
      <c r="U158" s="34" t="str">
        <f aca="false">AX158</f>
        <v/>
      </c>
      <c r="V158" s="21" t="n">
        <f aca="false">IF(U158="",0,IF(U158="transition",0,IF(U158="SW",AG158,IF(U158="AB",AH158,IF(U158="SC",AI158,IF(U158="Mag",AJ158,IF(U158="OR",AK158,IF(U158="HP",AL158,IF(U158="FP",AM158,0)))))))))</f>
        <v>0</v>
      </c>
      <c r="W158" s="27" t="n">
        <f aca="false">IF(U158="OR",Upgrades!$F$10,IF(U158="HP",Upgrades!$F$11,IF(U158="transition",-Parameters!$B$18,0)))</f>
        <v>0</v>
      </c>
      <c r="X158" s="21" t="n">
        <f aca="false">T158-V158</f>
        <v>18.6730249835055</v>
      </c>
      <c r="Y158" s="30" t="n">
        <f aca="false">M158*Parameters!$B$10/60*Parameters!$B$11+O158*M158+N158</f>
        <v>20.55</v>
      </c>
      <c r="Z158" s="35" t="str">
        <f aca="false">IF(U158="transition","→ Tier 2 (Stellar Neighborhood)",IF(U158="FP","First Photons — light begins, system quickens",IF(U158="HP","Heliopause acquired",IF(U158="OR","Orbital Resonance — passive multiplier active",IF(AND(AO158=1,L158=0,AN158&lt;&gt;1),"Cohesion ready (waiting on completionist upgrades)","")))))</f>
        <v/>
      </c>
      <c r="AA158" s="27" t="n">
        <f aca="false">(IF(E158=0,0,(Upgrades!$G$6+E158*Upgrades!$H$6)*POWER(Upgrades!$I$6,E158)))*(IF(Upgrades!$T$7="Solar Wind",POWER(Upgrades!$U$7,F158),1)*IF(Upgrades!$T$8="Solar Wind",POWER(Upgrades!$U$8,G158),1)*IF(Upgrades!$T$9="Solar Wind",POWER(Upgrades!$U$9,H158),1)*IF(Upgrades!$T$10="Solar Wind",POWER(Upgrades!$U$10,I158),1)*IF(Upgrades!$T$11="Solar Wind",POWER(Upgrades!$U$11,J158),1)*IF(Upgrades!$T$12="Solar Wind",POWER(Upgrades!$U$12,K158),1))*POWER(Upgrades!$P$6,E158)*POWER(Upgrades!$P$7,F158)*POWER(Upgrades!$P$8,G158)*POWER(Upgrades!$P$9,H158)*POWER(Upgrades!$P$10,I158)*POWER(Upgrades!$P$11,J158)*POWER(Upgrades!$P$12,K158)*60</f>
        <v>72</v>
      </c>
      <c r="AB158" s="27" t="n">
        <f aca="false">(IF(F158=0,0,(Upgrades!$G$7+F158*Upgrades!$H$7)*POWER(Upgrades!$I$7,F158)))*(IF(Upgrades!$T$6="Asteroid Belt",POWER(Upgrades!$U$6,E158),1)*IF(Upgrades!$T$8="Asteroid Belt",POWER(Upgrades!$U$8,G158),1)*IF(Upgrades!$T$9="Asteroid Belt",POWER(Upgrades!$U$9,H158),1)*IF(Upgrades!$T$10="Asteroid Belt",POWER(Upgrades!$U$10,I158),1)*IF(Upgrades!$T$11="Asteroid Belt",POWER(Upgrades!$U$11,J158),1)*IF(Upgrades!$T$12="Asteroid Belt",POWER(Upgrades!$U$12,K158),1))*POWER(Upgrades!$P$6,E158)*POWER(Upgrades!$P$7,F158)*POWER(Upgrades!$P$8,G158)*POWER(Upgrades!$P$9,H158)*POWER(Upgrades!$P$10,I158)*POWER(Upgrades!$P$11,J158)*POWER(Upgrades!$P$12,K158)*60</f>
        <v>150</v>
      </c>
      <c r="AC158" s="27" t="n">
        <f aca="false">(IF(G158=0,0,(Upgrades!$J$8+G158*Upgrades!$K$8)*POWER(Upgrades!$L$8,G158)))*(IF(Upgrades!$T$6="Stellar Coupling",POWER(Upgrades!$U$6,E158),1)*IF(Upgrades!$T$7="Stellar Coupling",POWER(Upgrades!$U$7,F158),1)*IF(Upgrades!$T$9="Stellar Coupling",POWER(Upgrades!$U$9,H158),1)*IF(Upgrades!$T$10="Stellar Coupling",POWER(Upgrades!$U$10,I158),1)*IF(Upgrades!$T$11="Stellar Coupling",POWER(Upgrades!$U$11,J158),1)*IF(Upgrades!$T$12="Stellar Coupling",POWER(Upgrades!$U$12,K158),1))*POWER(Upgrades!$Q$6,E158)*POWER(Upgrades!$Q$7,F158)*POWER(Upgrades!$Q$8,G158)*POWER(Upgrades!$Q$9,H158)*POWER(Upgrades!$Q$10,I158)*POWER(Upgrades!$Q$11,J158)*POWER(Upgrades!$Q$12,K158)*Parameters!$B$10*Parameters!$B$11</f>
        <v>441</v>
      </c>
      <c r="AD158" s="27" t="n">
        <f aca="false">(IF(H158=0,0,(Upgrades!$G$9+H158*Upgrades!$H$9)*POWER(Upgrades!$I$9,H158)))*(IF(Upgrades!$T$6="Magnetosphere",POWER(Upgrades!$U$6,E158),1)*IF(Upgrades!$T$7="Magnetosphere",POWER(Upgrades!$U$7,F158),1)*IF(Upgrades!$T$8="Magnetosphere",POWER(Upgrades!$U$8,G158),1)*IF(Upgrades!$T$10="Magnetosphere",POWER(Upgrades!$U$10,I158),1)*IF(Upgrades!$T$11="Magnetosphere",POWER(Upgrades!$U$11,J158),1)*IF(Upgrades!$T$12="Magnetosphere",POWER(Upgrades!$U$12,K158),1))*POWER(Upgrades!$P$6,E158)*POWER(Upgrades!$P$7,F158)*POWER(Upgrades!$P$8,G158)*POWER(Upgrades!$P$9,H158)*POWER(Upgrades!$P$10,I158)*POWER(Upgrades!$P$11,J158)*POWER(Upgrades!$P$12,K158)*60</f>
        <v>375</v>
      </c>
      <c r="AE158" s="27" t="n">
        <f aca="false">(IF(K158=0,0,(Upgrades!$G$12+K158*Upgrades!$H$12)*POWER(Upgrades!$I$12,K158)))*(IF(Upgrades!$T$6="First Photons",POWER(Upgrades!$U$6,E158),1)*IF(Upgrades!$T$7="First Photons",POWER(Upgrades!$U$7,F158),1)*IF(Upgrades!$T$8="First Photons",POWER(Upgrades!$U$8,G158),1)*IF(Upgrades!$T$9="First Photons",POWER(Upgrades!$U$9,H158),1)*IF(Upgrades!$T$10="First Photons",POWER(Upgrades!$U$10,I158),1)*IF(Upgrades!$T$11="First Photons",POWER(Upgrades!$U$11,J158),1))*POWER(Upgrades!$P$6,E158)*POWER(Upgrades!$P$7,F158)*POWER(Upgrades!$P$8,G158)*POWER(Upgrades!$P$9,H158)*POWER(Upgrades!$P$10,I158)*POWER(Upgrades!$P$11,J158)*POWER(Upgrades!$P$12,K158)*60</f>
        <v>75</v>
      </c>
      <c r="AF158" s="27" t="n">
        <f aca="false">Parameters!$B$9*POWER(Upgrades!$Q$6,E158)*POWER(Upgrades!$Q$7,F158)*POWER(Upgrades!$Q$8,G158)*POWER(Upgrades!$Q$9,H158)*POWER(Upgrades!$Q$10,I158)*POWER(Upgrades!$Q$11,J158)*POWER(Upgrades!$Q$12,K158)*(Parameters!$B$10*Parameters!$B$11+O158*60)</f>
        <v>120</v>
      </c>
      <c r="AG158" s="21" t="n">
        <f aca="false">IF(E158&gt;=Upgrades!$E$6,"",Upgrades!$C$6*POWER(Upgrades!$D$6,E158))</f>
        <v>37.4517507383159</v>
      </c>
      <c r="AH158" s="21" t="n">
        <f aca="false">IF(F158&gt;=Upgrades!$E$7,"",Upgrades!$C$7*POWER(Upgrades!$D$7,F158))</f>
        <v>80.9111547141581</v>
      </c>
      <c r="AI158" s="21" t="n">
        <f aca="false">IF(G158&gt;=Upgrades!$E$8,"",Upgrades!$C$8*POWER(Upgrades!$D$8,G158))</f>
        <v>231.9097088</v>
      </c>
      <c r="AJ158" s="21" t="str">
        <f aca="false">IF(H158&gt;=Upgrades!$E$9,"",Upgrades!$C$9*POWER(Upgrades!$D$9,H158))</f>
        <v/>
      </c>
      <c r="AK158" s="21" t="str">
        <f aca="false">IF(I158&gt;=Upgrades!$E$10,"",Upgrades!$C$10*POWER(Upgrades!$D$10,I158))</f>
        <v/>
      </c>
      <c r="AL158" s="21" t="str">
        <f aca="false">IF(J158&gt;=Upgrades!$E$11,"",Upgrades!$C$11*POWER(Upgrades!$D$11,J158))</f>
        <v/>
      </c>
      <c r="AM158" s="21" t="str">
        <f aca="false">IF(K158&gt;=Upgrades!$E$12,"",Upgrades!$C$12*POWER(Upgrades!$D$12,K158))</f>
        <v/>
      </c>
      <c r="AN158" s="26" t="str">
        <f aca="false">IF(AND(D158&gt;=Parameters!$B$18,(H158&gt;=Upgrades!$E$9)*(K158&gt;=Upgrades!$E$12)=1,L158=0),1,"")</f>
        <v/>
      </c>
      <c r="AO158" s="26" t="str">
        <f aca="false">IF(AND(D158&gt;=Parameters!$B$18,L158=0),1,"")</f>
        <v/>
      </c>
      <c r="AP158" s="21" t="n">
        <f aca="false">MIN(IF(ISNUMBER(AK158),AK158,9000000000000000),IF(ISNUMBER(AL158),AL158,9000000000000000),IF(ISNUMBER(AM158),AM158,9000000000000000))</f>
        <v>9000000000000000</v>
      </c>
      <c r="AQ158" s="21" t="n">
        <f aca="false">MIN(IF(ISNUMBER(AG158),AG158,9000000000000000),IF(ISNUMBER(AH158),AH158,9000000000000000),IF(ISNUMBER(AI158),AI158,9000000000000000),IF(ISNUMBER(AJ158),AJ158,9000000000000000))</f>
        <v>37.4517507383159</v>
      </c>
      <c r="AR158" s="32" t="b">
        <f aca="false">IF(AW158&gt;Parameters!$B$21*(MAX(IF(AND(NOT(AND(AO158=1,AN158&lt;&gt;1)),ISNUMBER(AG158),AG158&lt;=T158),AS158,0),IF(AND(NOT(AND(AO158=1,AN158&lt;&gt;1)),ISNUMBER(AH158),AH158&lt;=T158),AT158,0),IF(AND(NOT(AND(AO158=1,AN158&lt;&gt;1)),ISNUMBER(AI158),AI158&lt;=T158),AU158,0),IF(AND(ISNUMBER(AJ158),AJ158&lt;=T158),AV158,0))),TRUE(),FALSE())</f>
        <v>1</v>
      </c>
      <c r="AS158" s="33" t="n">
        <f aca="false">IFERROR(Upgrades!$H$6*(POWER(Upgrades!$P$6,E158)*POWER(Upgrades!$P$7,F158)*POWER(Upgrades!$P$8,G158)*POWER(Upgrades!$P$9,H158)*POWER(Upgrades!$P$10,I158)*POWER(Upgrades!$P$11,J158)*POWER(Upgrades!$P$12,K158))*(IF(Upgrades!$T$7="Solar Wind",POWER(Upgrades!$U$7,F158),1)*IF(Upgrades!$T$8="Solar Wind",POWER(Upgrades!$U$8,G158),1)*IF(Upgrades!$T$9="Solar Wind",POWER(Upgrades!$U$9,H158),1)*IF(Upgrades!$T$10="Solar Wind",POWER(Upgrades!$U$10,I158),1)*IF(Upgrades!$T$11="Solar Wind",POWER(Upgrades!$U$11,J158),1)*IF(Upgrades!$T$12="Solar Wind",POWER(Upgrades!$U$12,K158),1))/AG158,0)</f>
        <v>0.0026701021455238</v>
      </c>
      <c r="AT158" s="33" t="n">
        <f aca="false">IFERROR(Upgrades!$H$7*(POWER(Upgrades!$P$6,E158)*POWER(Upgrades!$P$7,F158)*POWER(Upgrades!$P$8,G158)*POWER(Upgrades!$P$9,H158)*POWER(Upgrades!$P$10,I158)*POWER(Upgrades!$P$11,J158)*POWER(Upgrades!$P$12,K158))*(IF(Upgrades!$T$6="Asteroid Belt",POWER(Upgrades!$U$6,E158),1)*IF(Upgrades!$T$8="Asteroid Belt",POWER(Upgrades!$U$8,G158),1)*IF(Upgrades!$T$9="Asteroid Belt",POWER(Upgrades!$U$9,H158),1)*IF(Upgrades!$T$10="Asteroid Belt",POWER(Upgrades!$U$10,I158),1)*IF(Upgrades!$T$11="Asteroid Belt",POWER(Upgrades!$U$11,J158),1)*IF(Upgrades!$T$12="Asteroid Belt",POWER(Upgrades!$U$12,K158),1))/AH158,0)</f>
        <v>0.00308980882652332</v>
      </c>
      <c r="AU158" s="33" t="n">
        <f aca="false">IFERROR(Upgrades!$K$8*(POWER(Upgrades!$Q$6,E158)*POWER(Upgrades!$Q$7,F158)*POWER(Upgrades!$Q$8,G158)*POWER(Upgrades!$Q$9,H158)*POWER(Upgrades!$Q$10,I158)*POWER(Upgrades!$Q$11,J158)*POWER(Upgrades!$Q$12,K158))*(IF(Upgrades!$T$6="Stellar Coupling",POWER(Upgrades!$U$6,E158),1)*IF(Upgrades!$T$7="Stellar Coupling",POWER(Upgrades!$U$7,F158),1)*IF(Upgrades!$T$9="Stellar Coupling",POWER(Upgrades!$U$9,H158),1)*IF(Upgrades!$T$10="Stellar Coupling",POWER(Upgrades!$U$10,I158),1)*IF(Upgrades!$T$11="Stellar Coupling",POWER(Upgrades!$U$11,J158),1)*IF(Upgrades!$T$12="Stellar Coupling",POWER(Upgrades!$U$12,K158),1))*Parameters!$B$10*Parameters!$B$11/60/AI158,0)</f>
        <v>0.00452762415783776</v>
      </c>
      <c r="AV158" s="33" t="n">
        <f aca="false">IFERROR(Upgrades!$H$9*(POWER(Upgrades!$P$6,E158)*POWER(Upgrades!$P$7,F158)*POWER(Upgrades!$P$8,G158)*POWER(Upgrades!$P$9,H158)*POWER(Upgrades!$P$10,I158)*POWER(Upgrades!$P$11,J158)*POWER(Upgrades!$P$12,K158))*(IF(Upgrades!$T$6="Magnetosphere",POWER(Upgrades!$U$6,E158),1)*IF(Upgrades!$T$7="Magnetosphere",POWER(Upgrades!$U$7,F158),1)*IF(Upgrades!$T$8="Magnetosphere",POWER(Upgrades!$U$8,G158),1)*IF(Upgrades!$T$10="Magnetosphere",POWER(Upgrades!$U$10,I158),1)*IF(Upgrades!$T$11="Magnetosphere",POWER(Upgrades!$U$11,J158),1)*IF(Upgrades!$T$12="Magnetosphere",POWER(Upgrades!$U$12,K158),1))/AJ158,0)</f>
        <v>0</v>
      </c>
      <c r="AW158" s="33" t="n">
        <f aca="false">MAX(IF(I158&gt;0,0,IFERROR(0.25*N158/Upgrades!$C$10,0)),IF(J158&gt;0,0,IFERROR(0.5*((IF(G158=0,0,(Upgrades!$J$8+G158*Upgrades!$K$8)*POWER(Upgrades!$L$8,G158)))*(IF(Upgrades!$T$6="Stellar Coupling",POWER(Upgrades!$U$6,E158),1)*IF(Upgrades!$T$7="Stellar Coupling",POWER(Upgrades!$U$7,F158),1)*IF(Upgrades!$T$9="Stellar Coupling",POWER(Upgrades!$U$9,H158),1)*IF(Upgrades!$T$10="Stellar Coupling",POWER(Upgrades!$U$10,I158),1)*IF(Upgrades!$T$11="Stellar Coupling",POWER(Upgrades!$U$11,J158),1)*IF(Upgrades!$T$12="Stellar Coupling",POWER(Upgrades!$U$12,K158),1))*(POWER(Upgrades!$Q$6,E158)*POWER(Upgrades!$Q$7,F158)*POWER(Upgrades!$Q$8,G158)*POWER(Upgrades!$Q$9,H158)*POWER(Upgrades!$Q$10,I158)*POWER(Upgrades!$Q$11,J158)*POWER(Upgrades!$Q$12,K158))*Parameters!$B$10*Parameters!$B$11/60)/Upgrades!$C$11,0)),IF(K158&gt;0,0,IFERROR((1*(POWER(Upgrades!$P$6,E158)*POWER(Upgrades!$P$7,F158)*POWER(Upgrades!$P$8,G158)*POWER(Upgrades!$P$9,H158)*POWER(Upgrades!$P$10,I158)*POWER(Upgrades!$P$11,J158)*POWER(Upgrades!$P$12,K158))+0.2*M158*Parameters!$B$10*Parameters!$B$11/60)/Upgrades!$C$12,0)),IF(AND(ISNUMBER(AG158),AG158&gt;T158),AS158,0),IF(AND(ISNUMBER(AH158),AH158&gt;T158),AT158,0),IF(AND(ISNUMBER(AI158),AI158&gt;T158),AU158,0),IF(AND(ISNUMBER(AJ158),AJ158&gt;T158),AV158,0))</f>
        <v>0.00452762415783776</v>
      </c>
      <c r="AX158" s="29" t="str">
        <f aca="false">IF(AN158=1,"transition",IF(MIN(IF(AND(I158=0,ISNUMBER(AK158),AK158&lt;=T158),AK158,9000000000000000),IF(AND(J158=0,ISNUMBER(AL158),AL158&lt;=T158),AL158,9000000000000000),IF(AND(K158=0,ISNUMBER(AM158),AM158&lt;=T158),AM158,9000000000000000))&lt;9000000000000000,IF(AND(AND(I158=0,ISNUMBER(AK158),AK158&lt;=T158),AK158=MIN(IF(AND(I158=0,ISNUMBER(AK158),AK158&lt;=T158),AK158,9000000000000000),IF(AND(J158=0,ISNUMBER(AL158),AL158&lt;=T158),AL158,9000000000000000),IF(AND(K158=0,ISNUMBER(AM158),AM158&lt;=T158),AM158,9000000000000000))),"OR",IF(AND(AND(J158=0,ISNUMBER(AL158),AL158&lt;=T158),AL158=MIN(IF(AND(I158=0,ISNUMBER(AK158),AK158&lt;=T158),AK158,9000000000000000),IF(AND(J158=0,ISNUMBER(AL158),AL158&lt;=T158),AL158,9000000000000000),IF(AND(K158=0,ISNUMBER(AM158),AM158&lt;=T158),AM158,9000000000000000))),"HP","FP")),IF(AR158=TRUE(),"",IF(MAX(IF(AND(NOT(AND(AO158=1,AN158&lt;&gt;1)),ISNUMBER(AG158),AG158&lt;=T158),AS158,0),IF(AND(NOT(AND(AO158=1,AN158&lt;&gt;1)),ISNUMBER(AH158),AH158&lt;=T158),AT158,0),IF(AND(NOT(AND(AO158=1,AN158&lt;&gt;1)),ISNUMBER(AI158),AI158&lt;=T158),AU158,0),IF(AND(ISNUMBER(AJ158),AJ158&lt;=T158),AV158,0))&lt;=0,"",IF(AND(IF(AND(NOT(AND(AO158=1,AN158&lt;&gt;1)),ISNUMBER(AG158),AG158&lt;=T158),AS158,0)&gt;0,IF(AND(NOT(AND(AO158=1,AN158&lt;&gt;1)),ISNUMBER(AG158),AG158&lt;=T158),AS158,0)=MAX(IF(AND(NOT(AND(AO158=1,AN158&lt;&gt;1)),ISNUMBER(AG158),AG158&lt;=T158),AS158,0),IF(AND(NOT(AND(AO158=1,AN158&lt;&gt;1)),ISNUMBER(AH158),AH158&lt;=T158),AT158,0),IF(AND(NOT(AND(AO158=1,AN158&lt;&gt;1)),ISNUMBER(AI158),AI158&lt;=T158),AU158,0),IF(AND(ISNUMBER(AJ158),AJ158&lt;=T158),AV158,0))),"SW",IF(AND(IF(AND(NOT(AND(AO158=1,AN158&lt;&gt;1)),ISNUMBER(AH158),AH158&lt;=T158),AT158,0)&gt;0,IF(AND(NOT(AND(AO158=1,AN158&lt;&gt;1)),ISNUMBER(AH158),AH158&lt;=T158),AT158,0)=MAX(IF(AND(NOT(AND(AO158=1,AN158&lt;&gt;1)),ISNUMBER(AG158),AG158&lt;=T158),AS158,0),IF(AND(NOT(AND(AO158=1,AN158&lt;&gt;1)),ISNUMBER(AH158),AH158&lt;=T158),AT158,0),IF(AND(NOT(AND(AO158=1,AN158&lt;&gt;1)),ISNUMBER(AI158),AI158&lt;=T158),AU158,0),IF(AND(ISNUMBER(AJ158),AJ158&lt;=T158),AV158,0))),"AB",IF(AND(IF(AND(NOT(AND(AO158=1,AN158&lt;&gt;1)),ISNUMBER(AI158),AI158&lt;=T158),AU158,0)&gt;0,IF(AND(NOT(AND(AO158=1,AN158&lt;&gt;1)),ISNUMBER(AI158),AI158&lt;=T158),AU158,0)=MAX(IF(AND(NOT(AND(AO158=1,AN158&lt;&gt;1)),ISNUMBER(AG158),AG158&lt;=T158),AS158,0),IF(AND(NOT(AND(AO158=1,AN158&lt;&gt;1)),ISNUMBER(AH158),AH158&lt;=T158),AT158,0),IF(AND(NOT(AND(AO158=1,AN158&lt;&gt;1)),ISNUMBER(AI158),AI158&lt;=T158),AU158,0),IF(AND(ISNUMBER(AJ158),AJ158&lt;=T158),AV158,0))),"SC","Mag")))))))</f>
        <v/>
      </c>
    </row>
    <row r="159" customFormat="false" ht="15" hidden="false" customHeight="false" outlineLevel="0" collapsed="false">
      <c r="A159" s="26" t="n">
        <v>154</v>
      </c>
      <c r="B159" s="27" t="n">
        <f aca="false">A159*10/60</f>
        <v>25.6666666666667</v>
      </c>
      <c r="C159" s="21" t="n">
        <f aca="false">X158</f>
        <v>18.6730249835055</v>
      </c>
      <c r="D159" s="27" t="n">
        <f aca="false">D158+W158</f>
        <v>0</v>
      </c>
      <c r="E159" s="26" t="n">
        <f aca="false">E158+IF(U158="SW",1,0)</f>
        <v>12</v>
      </c>
      <c r="F159" s="26" t="n">
        <f aca="false">F158+IF(U158="AB",1,0)</f>
        <v>10</v>
      </c>
      <c r="G159" s="26" t="n">
        <f aca="false">G158+IF(U158="SC",1,0)</f>
        <v>7</v>
      </c>
      <c r="H159" s="26" t="n">
        <f aca="false">H158+IF(U158="Mag",1,0)</f>
        <v>5</v>
      </c>
      <c r="I159" s="26" t="n">
        <f aca="false">MAX(I158,IF(U158="OR",1,0))</f>
        <v>1</v>
      </c>
      <c r="J159" s="26" t="n">
        <f aca="false">MAX(J158,IF(U158="HP",1,0))</f>
        <v>1</v>
      </c>
      <c r="K159" s="26" t="n">
        <f aca="false">MAX(K158,IF(U158="FP",1,0))</f>
        <v>1</v>
      </c>
      <c r="L159" s="26" t="n">
        <f aca="false">MAX(L158,IF(U158="transition",1,0))</f>
        <v>1</v>
      </c>
      <c r="M159" s="28" t="n">
        <f aca="false">(Parameters!$B$9+(IF(E159=0,0,(Upgrades!$J$6+E159*Upgrades!$K$6)*POWER(Upgrades!$L$6,E159)))*(IF(Upgrades!$T$7="Solar Wind",POWER(Upgrades!$U$7,F159),1)*IF(Upgrades!$T$8="Solar Wind",POWER(Upgrades!$U$8,G159),1)*IF(Upgrades!$T$9="Solar Wind",POWER(Upgrades!$U$9,H159),1)*IF(Upgrades!$T$10="Solar Wind",POWER(Upgrades!$U$10,I159),1)*IF(Upgrades!$T$11="Solar Wind",POWER(Upgrades!$U$11,J159),1)*IF(Upgrades!$T$12="Solar Wind",POWER(Upgrades!$U$12,K159),1))+(IF(F159=0,0,(Upgrades!$J$7+F159*Upgrades!$K$7)*POWER(Upgrades!$L$7,F159)))*(IF(Upgrades!$T$6="Asteroid Belt",POWER(Upgrades!$U$6,E159),1)*IF(Upgrades!$T$8="Asteroid Belt",POWER(Upgrades!$U$8,G159),1)*IF(Upgrades!$T$9="Asteroid Belt",POWER(Upgrades!$U$9,H159),1)*IF(Upgrades!$T$10="Asteroid Belt",POWER(Upgrades!$U$10,I159),1)*IF(Upgrades!$T$11="Asteroid Belt",POWER(Upgrades!$U$11,J159),1)*IF(Upgrades!$T$12="Asteroid Belt",POWER(Upgrades!$U$12,K159),1))+(IF(G159=0,0,(Upgrades!$J$8+G159*Upgrades!$K$8)*POWER(Upgrades!$L$8,G159)))*(IF(Upgrades!$T$6="Stellar Coupling",POWER(Upgrades!$U$6,E159),1)*IF(Upgrades!$T$7="Stellar Coupling",POWER(Upgrades!$U$7,F159),1)*IF(Upgrades!$T$9="Stellar Coupling",POWER(Upgrades!$U$9,H159),1)*IF(Upgrades!$T$10="Stellar Coupling",POWER(Upgrades!$U$10,I159),1)*IF(Upgrades!$T$11="Stellar Coupling",POWER(Upgrades!$U$11,J159),1)*IF(Upgrades!$T$12="Stellar Coupling",POWER(Upgrades!$U$12,K159),1))+(IF(H159=0,0,(Upgrades!$J$9+H159*Upgrades!$K$9)*POWER(Upgrades!$L$9,H159)))*(IF(Upgrades!$T$6="Magnetosphere",POWER(Upgrades!$U$6,E159),1)*IF(Upgrades!$T$7="Magnetosphere",POWER(Upgrades!$U$7,F159),1)*IF(Upgrades!$T$8="Magnetosphere",POWER(Upgrades!$U$8,G159),1)*IF(Upgrades!$T$10="Magnetosphere",POWER(Upgrades!$U$10,I159),1)*IF(Upgrades!$T$11="Magnetosphere",POWER(Upgrades!$U$11,J159),1)*IF(Upgrades!$T$12="Magnetosphere",POWER(Upgrades!$U$12,K159),1))+(IF(I159=0,0,(Upgrades!$J$10+I159*Upgrades!$K$10)*POWER(Upgrades!$L$10,I159)))*(IF(Upgrades!$T$6="Orbital Resonance",POWER(Upgrades!$U$6,E159),1)*IF(Upgrades!$T$7="Orbital Resonance",POWER(Upgrades!$U$7,F159),1)*IF(Upgrades!$T$8="Orbital Resonance",POWER(Upgrades!$U$8,G159),1)*IF(Upgrades!$T$9="Orbital Resonance",POWER(Upgrades!$U$9,H159),1)*IF(Upgrades!$T$11="Orbital Resonance",POWER(Upgrades!$U$11,J159),1)*IF(Upgrades!$T$12="Orbital Resonance",POWER(Upgrades!$U$12,K159),1))+(IF(J159=0,0,(Upgrades!$J$11+J159*Upgrades!$K$11)*POWER(Upgrades!$L$11,J159)))*(IF(Upgrades!$T$6="Heliopause",POWER(Upgrades!$U$6,E159),1)*IF(Upgrades!$T$7="Heliopause",POWER(Upgrades!$U$7,F159),1)*IF(Upgrades!$T$8="Heliopause",POWER(Upgrades!$U$8,G159),1)*IF(Upgrades!$T$9="Heliopause",POWER(Upgrades!$U$9,H159),1)*IF(Upgrades!$T$10="Heliopause",POWER(Upgrades!$U$10,I159),1)*IF(Upgrades!$T$12="Heliopause",POWER(Upgrades!$U$12,K159),1))+(IF(K159=0,0,(Upgrades!$J$12+K159*Upgrades!$K$12)*POWER(Upgrades!$L$12,K159)))*(IF(Upgrades!$T$6="First Photons",POWER(Upgrades!$U$6,E159),1)*IF(Upgrades!$T$7="First Photons",POWER(Upgrades!$U$7,F159),1)*IF(Upgrades!$T$8="First Photons",POWER(Upgrades!$U$8,G159),1)*IF(Upgrades!$T$9="First Photons",POWER(Upgrades!$U$9,H159),1)*IF(Upgrades!$T$10="First Photons",POWER(Upgrades!$U$10,I159),1)*IF(Upgrades!$T$11="First Photons",POWER(Upgrades!$U$11,J159),1)))*POWER(Upgrades!$Q$6,E159)*POWER(Upgrades!$Q$7,F159)*POWER(Upgrades!$Q$8,G159)*POWER(Upgrades!$Q$9,H159)*POWER(Upgrades!$Q$10,I159)*POWER(Upgrades!$Q$11,J159)*POWER(Upgrades!$Q$12,K159)</f>
        <v>5.61</v>
      </c>
      <c r="N159" s="28" t="n">
        <f aca="false">((IF(E159=0,0,(Upgrades!$G$6+E159*Upgrades!$H$6)*POWER(Upgrades!$I$6,E159)))*(IF(Upgrades!$T$7="Solar Wind",POWER(Upgrades!$U$7,F159),1)*IF(Upgrades!$T$8="Solar Wind",POWER(Upgrades!$U$8,G159),1)*IF(Upgrades!$T$9="Solar Wind",POWER(Upgrades!$U$9,H159),1)*IF(Upgrades!$T$10="Solar Wind",POWER(Upgrades!$U$10,I159),1)*IF(Upgrades!$T$11="Solar Wind",POWER(Upgrades!$U$11,J159),1)*IF(Upgrades!$T$12="Solar Wind",POWER(Upgrades!$U$12,K159),1))+(IF(F159=0,0,(Upgrades!$G$7+F159*Upgrades!$H$7)*POWER(Upgrades!$I$7,F159)))*(IF(Upgrades!$T$6="Asteroid Belt",POWER(Upgrades!$U$6,E159),1)*IF(Upgrades!$T$8="Asteroid Belt",POWER(Upgrades!$U$8,G159),1)*IF(Upgrades!$T$9="Asteroid Belt",POWER(Upgrades!$U$9,H159),1)*IF(Upgrades!$T$10="Asteroid Belt",POWER(Upgrades!$U$10,I159),1)*IF(Upgrades!$T$11="Asteroid Belt",POWER(Upgrades!$U$11,J159),1)*IF(Upgrades!$T$12="Asteroid Belt",POWER(Upgrades!$U$12,K159),1))+(IF(G159=0,0,(Upgrades!$G$8+G159*Upgrades!$H$8)*POWER(Upgrades!$I$8,G159)))*(IF(Upgrades!$T$6="Stellar Coupling",POWER(Upgrades!$U$6,E159),1)*IF(Upgrades!$T$7="Stellar Coupling",POWER(Upgrades!$U$7,F159),1)*IF(Upgrades!$T$9="Stellar Coupling",POWER(Upgrades!$U$9,H159),1)*IF(Upgrades!$T$10="Stellar Coupling",POWER(Upgrades!$U$10,I159),1)*IF(Upgrades!$T$11="Stellar Coupling",POWER(Upgrades!$U$11,J159),1)*IF(Upgrades!$T$12="Stellar Coupling",POWER(Upgrades!$U$12,K159),1))+(IF(H159=0,0,(Upgrades!$G$9+H159*Upgrades!$H$9)*POWER(Upgrades!$I$9,H159)))*(IF(Upgrades!$T$6="Magnetosphere",POWER(Upgrades!$U$6,E159),1)*IF(Upgrades!$T$7="Magnetosphere",POWER(Upgrades!$U$7,F159),1)*IF(Upgrades!$T$8="Magnetosphere",POWER(Upgrades!$U$8,G159),1)*IF(Upgrades!$T$10="Magnetosphere",POWER(Upgrades!$U$10,I159),1)*IF(Upgrades!$T$11="Magnetosphere",POWER(Upgrades!$U$11,J159),1)*IF(Upgrades!$T$12="Magnetosphere",POWER(Upgrades!$U$12,K159),1))+(IF(I159=0,0,(Upgrades!$G$10+I159*Upgrades!$H$10)*POWER(Upgrades!$I$10,I159)))*(IF(Upgrades!$T$6="Orbital Resonance",POWER(Upgrades!$U$6,E159),1)*IF(Upgrades!$T$7="Orbital Resonance",POWER(Upgrades!$U$7,F159),1)*IF(Upgrades!$T$8="Orbital Resonance",POWER(Upgrades!$U$8,G159),1)*IF(Upgrades!$T$9="Orbital Resonance",POWER(Upgrades!$U$9,H159),1)*IF(Upgrades!$T$11="Orbital Resonance",POWER(Upgrades!$U$11,J159),1)*IF(Upgrades!$T$12="Orbital Resonance",POWER(Upgrades!$U$12,K159),1))+(IF(J159=0,0,(Upgrades!$G$11+J159*Upgrades!$H$11)*POWER(Upgrades!$I$11,J159)))*(IF(Upgrades!$T$6="Heliopause",POWER(Upgrades!$U$6,E159),1)*IF(Upgrades!$T$7="Heliopause",POWER(Upgrades!$U$7,F159),1)*IF(Upgrades!$T$8="Heliopause",POWER(Upgrades!$U$8,G159),1)*IF(Upgrades!$T$9="Heliopause",POWER(Upgrades!$U$9,H159),1)*IF(Upgrades!$T$10="Heliopause",POWER(Upgrades!$U$10,I159),1)*IF(Upgrades!$T$12="Heliopause",POWER(Upgrades!$U$12,K159),1))+(IF(K159=0,0,(Upgrades!$G$12+K159*Upgrades!$H$12)*POWER(Upgrades!$I$12,K159)))*(IF(Upgrades!$T$6="First Photons",POWER(Upgrades!$U$6,E159),1)*IF(Upgrades!$T$7="First Photons",POWER(Upgrades!$U$7,F159),1)*IF(Upgrades!$T$8="First Photons",POWER(Upgrades!$U$8,G159),1)*IF(Upgrades!$T$9="First Photons",POWER(Upgrades!$U$9,H159),1)*IF(Upgrades!$T$10="First Photons",POWER(Upgrades!$U$10,I159),1)*IF(Upgrades!$T$11="First Photons",POWER(Upgrades!$U$11,J159),1)))*POWER(Upgrades!$P$6,E159)*POWER(Upgrades!$P$7,F159)*POWER(Upgrades!$P$8,G159)*POWER(Upgrades!$P$9,H159)*POWER(Upgrades!$P$10,I159)*POWER(Upgrades!$P$11,J159)*POWER(Upgrades!$P$12,K159)</f>
        <v>11.2</v>
      </c>
      <c r="O159" s="28" t="n">
        <f aca="false">((IF(E159=0,0,(Upgrades!$M$6+E159*Upgrades!$N$6)*POWER(Upgrades!$O$6,E159)))*(IF(Upgrades!$T$7="Solar Wind",POWER(Upgrades!$U$7,F159),1)*IF(Upgrades!$T$8="Solar Wind",POWER(Upgrades!$U$8,G159),1)*IF(Upgrades!$T$9="Solar Wind",POWER(Upgrades!$U$9,H159),1)*IF(Upgrades!$T$10="Solar Wind",POWER(Upgrades!$U$10,I159),1)*IF(Upgrades!$T$11="Solar Wind",POWER(Upgrades!$U$11,J159),1)*IF(Upgrades!$T$12="Solar Wind",POWER(Upgrades!$U$12,K159),1))+(IF(F159=0,0,(Upgrades!$M$7+F159*Upgrades!$N$7)*POWER(Upgrades!$O$7,F159)))*(IF(Upgrades!$T$6="Asteroid Belt",POWER(Upgrades!$U$6,E159),1)*IF(Upgrades!$T$8="Asteroid Belt",POWER(Upgrades!$U$8,G159),1)*IF(Upgrades!$T$9="Asteroid Belt",POWER(Upgrades!$U$9,H159),1)*IF(Upgrades!$T$10="Asteroid Belt",POWER(Upgrades!$U$10,I159),1)*IF(Upgrades!$T$11="Asteroid Belt",POWER(Upgrades!$U$11,J159),1)*IF(Upgrades!$T$12="Asteroid Belt",POWER(Upgrades!$U$12,K159),1))+(IF(G159=0,0,(Upgrades!$M$8+G159*Upgrades!$N$8)*POWER(Upgrades!$O$8,G159)))*(IF(Upgrades!$T$6="Stellar Coupling",POWER(Upgrades!$U$6,E159),1)*IF(Upgrades!$T$7="Stellar Coupling",POWER(Upgrades!$U$7,F159),1)*IF(Upgrades!$T$9="Stellar Coupling",POWER(Upgrades!$U$9,H159),1)*IF(Upgrades!$T$10="Stellar Coupling",POWER(Upgrades!$U$10,I159),1)*IF(Upgrades!$T$11="Stellar Coupling",POWER(Upgrades!$U$11,J159),1)*IF(Upgrades!$T$12="Stellar Coupling",POWER(Upgrades!$U$12,K159),1))+(IF(H159=0,0,(Upgrades!$M$9+H159*Upgrades!$N$9)*POWER(Upgrades!$O$9,H159)))*(IF(Upgrades!$T$6="Magnetosphere",POWER(Upgrades!$U$6,E159),1)*IF(Upgrades!$T$7="Magnetosphere",POWER(Upgrades!$U$7,F159),1)*IF(Upgrades!$T$8="Magnetosphere",POWER(Upgrades!$U$8,G159),1)*IF(Upgrades!$T$10="Magnetosphere",POWER(Upgrades!$U$10,I159),1)*IF(Upgrades!$T$11="Magnetosphere",POWER(Upgrades!$U$11,J159),1)*IF(Upgrades!$T$12="Magnetosphere",POWER(Upgrades!$U$12,K159),1))+(IF(I159=0,0,(Upgrades!$M$10+I159*Upgrades!$N$10)*POWER(Upgrades!$O$10,I159)))*(IF(Upgrades!$T$6="Orbital Resonance",POWER(Upgrades!$U$6,E159),1)*IF(Upgrades!$T$7="Orbital Resonance",POWER(Upgrades!$U$7,F159),1)*IF(Upgrades!$T$8="Orbital Resonance",POWER(Upgrades!$U$8,G159),1)*IF(Upgrades!$T$9="Orbital Resonance",POWER(Upgrades!$U$9,H159),1)*IF(Upgrades!$T$11="Orbital Resonance",POWER(Upgrades!$U$11,J159),1)*IF(Upgrades!$T$12="Orbital Resonance",POWER(Upgrades!$U$12,K159),1))+(IF(J159=0,0,(Upgrades!$M$11+J159*Upgrades!$N$11)*POWER(Upgrades!$O$11,J159)))*(IF(Upgrades!$T$6="Heliopause",POWER(Upgrades!$U$6,E159),1)*IF(Upgrades!$T$7="Heliopause",POWER(Upgrades!$U$7,F159),1)*IF(Upgrades!$T$8="Heliopause",POWER(Upgrades!$U$8,G159),1)*IF(Upgrades!$T$9="Heliopause",POWER(Upgrades!$U$9,H159),1)*IF(Upgrades!$T$10="Heliopause",POWER(Upgrades!$U$10,I159),1)*IF(Upgrades!$T$12="Heliopause",POWER(Upgrades!$U$12,K159),1))+(IF(K159=0,0,(Upgrades!$M$12+K159*Upgrades!$N$12)*POWER(Upgrades!$O$12,K159)))*(IF(Upgrades!$T$6="First Photons",POWER(Upgrades!$U$6,E159),1)*IF(Upgrades!$T$7="First Photons",POWER(Upgrades!$U$7,F159),1)*IF(Upgrades!$T$8="First Photons",POWER(Upgrades!$U$8,G159),1)*IF(Upgrades!$T$9="First Photons",POWER(Upgrades!$U$9,H159),1)*IF(Upgrades!$T$10="First Photons",POWER(Upgrades!$U$10,I159),1)*IF(Upgrades!$T$11="First Photons",POWER(Upgrades!$U$11,J159),1)))*POWER(Upgrades!$R$6,E159)*POWER(Upgrades!$R$7,F159)*POWER(Upgrades!$R$8,G159)*POWER(Upgrades!$R$9,H159)*POWER(Upgrades!$R$10,I159)*POWER(Upgrades!$R$11,J159)*POWER(Upgrades!$R$12,K159)</f>
        <v>0</v>
      </c>
      <c r="P159" s="27" t="n">
        <f aca="false">IF(L159=1,0,M159*Parameters!$B$10/60*Parameters!$B$11*10)</f>
        <v>0</v>
      </c>
      <c r="Q159" s="27" t="n">
        <f aca="false">IF(L159=1,0,O159*M159*10)</f>
        <v>0</v>
      </c>
      <c r="R159" s="27" t="n">
        <f aca="false">IF(L159=1,0,N159*10)</f>
        <v>0</v>
      </c>
      <c r="S159" s="27" t="n">
        <f aca="false">P159+Q159+R159</f>
        <v>0</v>
      </c>
      <c r="T159" s="21" t="n">
        <f aca="false">C159+S159</f>
        <v>18.6730249835055</v>
      </c>
      <c r="U159" s="34" t="str">
        <f aca="false">AX159</f>
        <v/>
      </c>
      <c r="V159" s="21" t="n">
        <f aca="false">IF(U159="",0,IF(U159="transition",0,IF(U159="SW",AG159,IF(U159="AB",AH159,IF(U159="SC",AI159,IF(U159="Mag",AJ159,IF(U159="OR",AK159,IF(U159="HP",AL159,IF(U159="FP",AM159,0)))))))))</f>
        <v>0</v>
      </c>
      <c r="W159" s="27" t="n">
        <f aca="false">IF(U159="OR",Upgrades!$F$10,IF(U159="HP",Upgrades!$F$11,IF(U159="transition",-Parameters!$B$18,0)))</f>
        <v>0</v>
      </c>
      <c r="X159" s="21" t="n">
        <f aca="false">T159-V159</f>
        <v>18.6730249835055</v>
      </c>
      <c r="Y159" s="30" t="n">
        <f aca="false">M159*Parameters!$B$10/60*Parameters!$B$11+O159*M159+N159</f>
        <v>20.55</v>
      </c>
      <c r="Z159" s="35" t="str">
        <f aca="false">IF(U159="transition","→ Tier 2 (Stellar Neighborhood)",IF(U159="FP","First Photons — light begins, system quickens",IF(U159="HP","Heliopause acquired",IF(U159="OR","Orbital Resonance — passive multiplier active",IF(AND(AO159=1,L159=0,AN159&lt;&gt;1),"Cohesion ready (waiting on completionist upgrades)","")))))</f>
        <v/>
      </c>
      <c r="AA159" s="27" t="n">
        <f aca="false">(IF(E159=0,0,(Upgrades!$G$6+E159*Upgrades!$H$6)*POWER(Upgrades!$I$6,E159)))*(IF(Upgrades!$T$7="Solar Wind",POWER(Upgrades!$U$7,F159),1)*IF(Upgrades!$T$8="Solar Wind",POWER(Upgrades!$U$8,G159),1)*IF(Upgrades!$T$9="Solar Wind",POWER(Upgrades!$U$9,H159),1)*IF(Upgrades!$T$10="Solar Wind",POWER(Upgrades!$U$10,I159),1)*IF(Upgrades!$T$11="Solar Wind",POWER(Upgrades!$U$11,J159),1)*IF(Upgrades!$T$12="Solar Wind",POWER(Upgrades!$U$12,K159),1))*POWER(Upgrades!$P$6,E159)*POWER(Upgrades!$P$7,F159)*POWER(Upgrades!$P$8,G159)*POWER(Upgrades!$P$9,H159)*POWER(Upgrades!$P$10,I159)*POWER(Upgrades!$P$11,J159)*POWER(Upgrades!$P$12,K159)*60</f>
        <v>72</v>
      </c>
      <c r="AB159" s="27" t="n">
        <f aca="false">(IF(F159=0,0,(Upgrades!$G$7+F159*Upgrades!$H$7)*POWER(Upgrades!$I$7,F159)))*(IF(Upgrades!$T$6="Asteroid Belt",POWER(Upgrades!$U$6,E159),1)*IF(Upgrades!$T$8="Asteroid Belt",POWER(Upgrades!$U$8,G159),1)*IF(Upgrades!$T$9="Asteroid Belt",POWER(Upgrades!$U$9,H159),1)*IF(Upgrades!$T$10="Asteroid Belt",POWER(Upgrades!$U$10,I159),1)*IF(Upgrades!$T$11="Asteroid Belt",POWER(Upgrades!$U$11,J159),1)*IF(Upgrades!$T$12="Asteroid Belt",POWER(Upgrades!$U$12,K159),1))*POWER(Upgrades!$P$6,E159)*POWER(Upgrades!$P$7,F159)*POWER(Upgrades!$P$8,G159)*POWER(Upgrades!$P$9,H159)*POWER(Upgrades!$P$10,I159)*POWER(Upgrades!$P$11,J159)*POWER(Upgrades!$P$12,K159)*60</f>
        <v>150</v>
      </c>
      <c r="AC159" s="27" t="n">
        <f aca="false">(IF(G159=0,0,(Upgrades!$J$8+G159*Upgrades!$K$8)*POWER(Upgrades!$L$8,G159)))*(IF(Upgrades!$T$6="Stellar Coupling",POWER(Upgrades!$U$6,E159),1)*IF(Upgrades!$T$7="Stellar Coupling",POWER(Upgrades!$U$7,F159),1)*IF(Upgrades!$T$9="Stellar Coupling",POWER(Upgrades!$U$9,H159),1)*IF(Upgrades!$T$10="Stellar Coupling",POWER(Upgrades!$U$10,I159),1)*IF(Upgrades!$T$11="Stellar Coupling",POWER(Upgrades!$U$11,J159),1)*IF(Upgrades!$T$12="Stellar Coupling",POWER(Upgrades!$U$12,K159),1))*POWER(Upgrades!$Q$6,E159)*POWER(Upgrades!$Q$7,F159)*POWER(Upgrades!$Q$8,G159)*POWER(Upgrades!$Q$9,H159)*POWER(Upgrades!$Q$10,I159)*POWER(Upgrades!$Q$11,J159)*POWER(Upgrades!$Q$12,K159)*Parameters!$B$10*Parameters!$B$11</f>
        <v>441</v>
      </c>
      <c r="AD159" s="27" t="n">
        <f aca="false">(IF(H159=0,0,(Upgrades!$G$9+H159*Upgrades!$H$9)*POWER(Upgrades!$I$9,H159)))*(IF(Upgrades!$T$6="Magnetosphere",POWER(Upgrades!$U$6,E159),1)*IF(Upgrades!$T$7="Magnetosphere",POWER(Upgrades!$U$7,F159),1)*IF(Upgrades!$T$8="Magnetosphere",POWER(Upgrades!$U$8,G159),1)*IF(Upgrades!$T$10="Magnetosphere",POWER(Upgrades!$U$10,I159),1)*IF(Upgrades!$T$11="Magnetosphere",POWER(Upgrades!$U$11,J159),1)*IF(Upgrades!$T$12="Magnetosphere",POWER(Upgrades!$U$12,K159),1))*POWER(Upgrades!$P$6,E159)*POWER(Upgrades!$P$7,F159)*POWER(Upgrades!$P$8,G159)*POWER(Upgrades!$P$9,H159)*POWER(Upgrades!$P$10,I159)*POWER(Upgrades!$P$11,J159)*POWER(Upgrades!$P$12,K159)*60</f>
        <v>375</v>
      </c>
      <c r="AE159" s="27" t="n">
        <f aca="false">(IF(K159=0,0,(Upgrades!$G$12+K159*Upgrades!$H$12)*POWER(Upgrades!$I$12,K159)))*(IF(Upgrades!$T$6="First Photons",POWER(Upgrades!$U$6,E159),1)*IF(Upgrades!$T$7="First Photons",POWER(Upgrades!$U$7,F159),1)*IF(Upgrades!$T$8="First Photons",POWER(Upgrades!$U$8,G159),1)*IF(Upgrades!$T$9="First Photons",POWER(Upgrades!$U$9,H159),1)*IF(Upgrades!$T$10="First Photons",POWER(Upgrades!$U$10,I159),1)*IF(Upgrades!$T$11="First Photons",POWER(Upgrades!$U$11,J159),1))*POWER(Upgrades!$P$6,E159)*POWER(Upgrades!$P$7,F159)*POWER(Upgrades!$P$8,G159)*POWER(Upgrades!$P$9,H159)*POWER(Upgrades!$P$10,I159)*POWER(Upgrades!$P$11,J159)*POWER(Upgrades!$P$12,K159)*60</f>
        <v>75</v>
      </c>
      <c r="AF159" s="27" t="n">
        <f aca="false">Parameters!$B$9*POWER(Upgrades!$Q$6,E159)*POWER(Upgrades!$Q$7,F159)*POWER(Upgrades!$Q$8,G159)*POWER(Upgrades!$Q$9,H159)*POWER(Upgrades!$Q$10,I159)*POWER(Upgrades!$Q$11,J159)*POWER(Upgrades!$Q$12,K159)*(Parameters!$B$10*Parameters!$B$11+O159*60)</f>
        <v>120</v>
      </c>
      <c r="AG159" s="21" t="n">
        <f aca="false">IF(E159&gt;=Upgrades!$E$6,"",Upgrades!$C$6*POWER(Upgrades!$D$6,E159))</f>
        <v>37.4517507383159</v>
      </c>
      <c r="AH159" s="21" t="n">
        <f aca="false">IF(F159&gt;=Upgrades!$E$7,"",Upgrades!$C$7*POWER(Upgrades!$D$7,F159))</f>
        <v>80.9111547141581</v>
      </c>
      <c r="AI159" s="21" t="n">
        <f aca="false">IF(G159&gt;=Upgrades!$E$8,"",Upgrades!$C$8*POWER(Upgrades!$D$8,G159))</f>
        <v>231.9097088</v>
      </c>
      <c r="AJ159" s="21" t="str">
        <f aca="false">IF(H159&gt;=Upgrades!$E$9,"",Upgrades!$C$9*POWER(Upgrades!$D$9,H159))</f>
        <v/>
      </c>
      <c r="AK159" s="21" t="str">
        <f aca="false">IF(I159&gt;=Upgrades!$E$10,"",Upgrades!$C$10*POWER(Upgrades!$D$10,I159))</f>
        <v/>
      </c>
      <c r="AL159" s="21" t="str">
        <f aca="false">IF(J159&gt;=Upgrades!$E$11,"",Upgrades!$C$11*POWER(Upgrades!$D$11,J159))</f>
        <v/>
      </c>
      <c r="AM159" s="21" t="str">
        <f aca="false">IF(K159&gt;=Upgrades!$E$12,"",Upgrades!$C$12*POWER(Upgrades!$D$12,K159))</f>
        <v/>
      </c>
      <c r="AN159" s="26" t="str">
        <f aca="false">IF(AND(D159&gt;=Parameters!$B$18,(H159&gt;=Upgrades!$E$9)*(K159&gt;=Upgrades!$E$12)=1,L159=0),1,"")</f>
        <v/>
      </c>
      <c r="AO159" s="26" t="str">
        <f aca="false">IF(AND(D159&gt;=Parameters!$B$18,L159=0),1,"")</f>
        <v/>
      </c>
      <c r="AP159" s="21" t="n">
        <f aca="false">MIN(IF(ISNUMBER(AK159),AK159,9000000000000000),IF(ISNUMBER(AL159),AL159,9000000000000000),IF(ISNUMBER(AM159),AM159,9000000000000000))</f>
        <v>9000000000000000</v>
      </c>
      <c r="AQ159" s="21" t="n">
        <f aca="false">MIN(IF(ISNUMBER(AG159),AG159,9000000000000000),IF(ISNUMBER(AH159),AH159,9000000000000000),IF(ISNUMBER(AI159),AI159,9000000000000000),IF(ISNUMBER(AJ159),AJ159,9000000000000000))</f>
        <v>37.4517507383159</v>
      </c>
      <c r="AR159" s="32" t="b">
        <f aca="false">IF(AW159&gt;Parameters!$B$21*(MAX(IF(AND(NOT(AND(AO159=1,AN159&lt;&gt;1)),ISNUMBER(AG159),AG159&lt;=T159),AS159,0),IF(AND(NOT(AND(AO159=1,AN159&lt;&gt;1)),ISNUMBER(AH159),AH159&lt;=T159),AT159,0),IF(AND(NOT(AND(AO159=1,AN159&lt;&gt;1)),ISNUMBER(AI159),AI159&lt;=T159),AU159,0),IF(AND(ISNUMBER(AJ159),AJ159&lt;=T159),AV159,0))),TRUE(),FALSE())</f>
        <v>1</v>
      </c>
      <c r="AS159" s="33" t="n">
        <f aca="false">IFERROR(Upgrades!$H$6*(POWER(Upgrades!$P$6,E159)*POWER(Upgrades!$P$7,F159)*POWER(Upgrades!$P$8,G159)*POWER(Upgrades!$P$9,H159)*POWER(Upgrades!$P$10,I159)*POWER(Upgrades!$P$11,J159)*POWER(Upgrades!$P$12,K159))*(IF(Upgrades!$T$7="Solar Wind",POWER(Upgrades!$U$7,F159),1)*IF(Upgrades!$T$8="Solar Wind",POWER(Upgrades!$U$8,G159),1)*IF(Upgrades!$T$9="Solar Wind",POWER(Upgrades!$U$9,H159),1)*IF(Upgrades!$T$10="Solar Wind",POWER(Upgrades!$U$10,I159),1)*IF(Upgrades!$T$11="Solar Wind",POWER(Upgrades!$U$11,J159),1)*IF(Upgrades!$T$12="Solar Wind",POWER(Upgrades!$U$12,K159),1))/AG159,0)</f>
        <v>0.0026701021455238</v>
      </c>
      <c r="AT159" s="33" t="n">
        <f aca="false">IFERROR(Upgrades!$H$7*(POWER(Upgrades!$P$6,E159)*POWER(Upgrades!$P$7,F159)*POWER(Upgrades!$P$8,G159)*POWER(Upgrades!$P$9,H159)*POWER(Upgrades!$P$10,I159)*POWER(Upgrades!$P$11,J159)*POWER(Upgrades!$P$12,K159))*(IF(Upgrades!$T$6="Asteroid Belt",POWER(Upgrades!$U$6,E159),1)*IF(Upgrades!$T$8="Asteroid Belt",POWER(Upgrades!$U$8,G159),1)*IF(Upgrades!$T$9="Asteroid Belt",POWER(Upgrades!$U$9,H159),1)*IF(Upgrades!$T$10="Asteroid Belt",POWER(Upgrades!$U$10,I159),1)*IF(Upgrades!$T$11="Asteroid Belt",POWER(Upgrades!$U$11,J159),1)*IF(Upgrades!$T$12="Asteroid Belt",POWER(Upgrades!$U$12,K159),1))/AH159,0)</f>
        <v>0.00308980882652332</v>
      </c>
      <c r="AU159" s="33" t="n">
        <f aca="false">IFERROR(Upgrades!$K$8*(POWER(Upgrades!$Q$6,E159)*POWER(Upgrades!$Q$7,F159)*POWER(Upgrades!$Q$8,G159)*POWER(Upgrades!$Q$9,H159)*POWER(Upgrades!$Q$10,I159)*POWER(Upgrades!$Q$11,J159)*POWER(Upgrades!$Q$12,K159))*(IF(Upgrades!$T$6="Stellar Coupling",POWER(Upgrades!$U$6,E159),1)*IF(Upgrades!$T$7="Stellar Coupling",POWER(Upgrades!$U$7,F159),1)*IF(Upgrades!$T$9="Stellar Coupling",POWER(Upgrades!$U$9,H159),1)*IF(Upgrades!$T$10="Stellar Coupling",POWER(Upgrades!$U$10,I159),1)*IF(Upgrades!$T$11="Stellar Coupling",POWER(Upgrades!$U$11,J159),1)*IF(Upgrades!$T$12="Stellar Coupling",POWER(Upgrades!$U$12,K159),1))*Parameters!$B$10*Parameters!$B$11/60/AI159,0)</f>
        <v>0.00452762415783776</v>
      </c>
      <c r="AV159" s="33" t="n">
        <f aca="false">IFERROR(Upgrades!$H$9*(POWER(Upgrades!$P$6,E159)*POWER(Upgrades!$P$7,F159)*POWER(Upgrades!$P$8,G159)*POWER(Upgrades!$P$9,H159)*POWER(Upgrades!$P$10,I159)*POWER(Upgrades!$P$11,J159)*POWER(Upgrades!$P$12,K159))*(IF(Upgrades!$T$6="Magnetosphere",POWER(Upgrades!$U$6,E159),1)*IF(Upgrades!$T$7="Magnetosphere",POWER(Upgrades!$U$7,F159),1)*IF(Upgrades!$T$8="Magnetosphere",POWER(Upgrades!$U$8,G159),1)*IF(Upgrades!$T$10="Magnetosphere",POWER(Upgrades!$U$10,I159),1)*IF(Upgrades!$T$11="Magnetosphere",POWER(Upgrades!$U$11,J159),1)*IF(Upgrades!$T$12="Magnetosphere",POWER(Upgrades!$U$12,K159),1))/AJ159,0)</f>
        <v>0</v>
      </c>
      <c r="AW159" s="33" t="n">
        <f aca="false">MAX(IF(I159&gt;0,0,IFERROR(0.25*N159/Upgrades!$C$10,0)),IF(J159&gt;0,0,IFERROR(0.5*((IF(G159=0,0,(Upgrades!$J$8+G159*Upgrades!$K$8)*POWER(Upgrades!$L$8,G159)))*(IF(Upgrades!$T$6="Stellar Coupling",POWER(Upgrades!$U$6,E159),1)*IF(Upgrades!$T$7="Stellar Coupling",POWER(Upgrades!$U$7,F159),1)*IF(Upgrades!$T$9="Stellar Coupling",POWER(Upgrades!$U$9,H159),1)*IF(Upgrades!$T$10="Stellar Coupling",POWER(Upgrades!$U$10,I159),1)*IF(Upgrades!$T$11="Stellar Coupling",POWER(Upgrades!$U$11,J159),1)*IF(Upgrades!$T$12="Stellar Coupling",POWER(Upgrades!$U$12,K159),1))*(POWER(Upgrades!$Q$6,E159)*POWER(Upgrades!$Q$7,F159)*POWER(Upgrades!$Q$8,G159)*POWER(Upgrades!$Q$9,H159)*POWER(Upgrades!$Q$10,I159)*POWER(Upgrades!$Q$11,J159)*POWER(Upgrades!$Q$12,K159))*Parameters!$B$10*Parameters!$B$11/60)/Upgrades!$C$11,0)),IF(K159&gt;0,0,IFERROR((1*(POWER(Upgrades!$P$6,E159)*POWER(Upgrades!$P$7,F159)*POWER(Upgrades!$P$8,G159)*POWER(Upgrades!$P$9,H159)*POWER(Upgrades!$P$10,I159)*POWER(Upgrades!$P$11,J159)*POWER(Upgrades!$P$12,K159))+0.2*M159*Parameters!$B$10*Parameters!$B$11/60)/Upgrades!$C$12,0)),IF(AND(ISNUMBER(AG159),AG159&gt;T159),AS159,0),IF(AND(ISNUMBER(AH159),AH159&gt;T159),AT159,0),IF(AND(ISNUMBER(AI159),AI159&gt;T159),AU159,0),IF(AND(ISNUMBER(AJ159),AJ159&gt;T159),AV159,0))</f>
        <v>0.00452762415783776</v>
      </c>
      <c r="AX159" s="29" t="str">
        <f aca="false">IF(AN159=1,"transition",IF(MIN(IF(AND(I159=0,ISNUMBER(AK159),AK159&lt;=T159),AK159,9000000000000000),IF(AND(J159=0,ISNUMBER(AL159),AL159&lt;=T159),AL159,9000000000000000),IF(AND(K159=0,ISNUMBER(AM159),AM159&lt;=T159),AM159,9000000000000000))&lt;9000000000000000,IF(AND(AND(I159=0,ISNUMBER(AK159),AK159&lt;=T159),AK159=MIN(IF(AND(I159=0,ISNUMBER(AK159),AK159&lt;=T159),AK159,9000000000000000),IF(AND(J159=0,ISNUMBER(AL159),AL159&lt;=T159),AL159,9000000000000000),IF(AND(K159=0,ISNUMBER(AM159),AM159&lt;=T159),AM159,9000000000000000))),"OR",IF(AND(AND(J159=0,ISNUMBER(AL159),AL159&lt;=T159),AL159=MIN(IF(AND(I159=0,ISNUMBER(AK159),AK159&lt;=T159),AK159,9000000000000000),IF(AND(J159=0,ISNUMBER(AL159),AL159&lt;=T159),AL159,9000000000000000),IF(AND(K159=0,ISNUMBER(AM159),AM159&lt;=T159),AM159,9000000000000000))),"HP","FP")),IF(AR159=TRUE(),"",IF(MAX(IF(AND(NOT(AND(AO159=1,AN159&lt;&gt;1)),ISNUMBER(AG159),AG159&lt;=T159),AS159,0),IF(AND(NOT(AND(AO159=1,AN159&lt;&gt;1)),ISNUMBER(AH159),AH159&lt;=T159),AT159,0),IF(AND(NOT(AND(AO159=1,AN159&lt;&gt;1)),ISNUMBER(AI159),AI159&lt;=T159),AU159,0),IF(AND(ISNUMBER(AJ159),AJ159&lt;=T159),AV159,0))&lt;=0,"",IF(AND(IF(AND(NOT(AND(AO159=1,AN159&lt;&gt;1)),ISNUMBER(AG159),AG159&lt;=T159),AS159,0)&gt;0,IF(AND(NOT(AND(AO159=1,AN159&lt;&gt;1)),ISNUMBER(AG159),AG159&lt;=T159),AS159,0)=MAX(IF(AND(NOT(AND(AO159=1,AN159&lt;&gt;1)),ISNUMBER(AG159),AG159&lt;=T159),AS159,0),IF(AND(NOT(AND(AO159=1,AN159&lt;&gt;1)),ISNUMBER(AH159),AH159&lt;=T159),AT159,0),IF(AND(NOT(AND(AO159=1,AN159&lt;&gt;1)),ISNUMBER(AI159),AI159&lt;=T159),AU159,0),IF(AND(ISNUMBER(AJ159),AJ159&lt;=T159),AV159,0))),"SW",IF(AND(IF(AND(NOT(AND(AO159=1,AN159&lt;&gt;1)),ISNUMBER(AH159),AH159&lt;=T159),AT159,0)&gt;0,IF(AND(NOT(AND(AO159=1,AN159&lt;&gt;1)),ISNUMBER(AH159),AH159&lt;=T159),AT159,0)=MAX(IF(AND(NOT(AND(AO159=1,AN159&lt;&gt;1)),ISNUMBER(AG159),AG159&lt;=T159),AS159,0),IF(AND(NOT(AND(AO159=1,AN159&lt;&gt;1)),ISNUMBER(AH159),AH159&lt;=T159),AT159,0),IF(AND(NOT(AND(AO159=1,AN159&lt;&gt;1)),ISNUMBER(AI159),AI159&lt;=T159),AU159,0),IF(AND(ISNUMBER(AJ159),AJ159&lt;=T159),AV159,0))),"AB",IF(AND(IF(AND(NOT(AND(AO159=1,AN159&lt;&gt;1)),ISNUMBER(AI159),AI159&lt;=T159),AU159,0)&gt;0,IF(AND(NOT(AND(AO159=1,AN159&lt;&gt;1)),ISNUMBER(AI159),AI159&lt;=T159),AU159,0)=MAX(IF(AND(NOT(AND(AO159=1,AN159&lt;&gt;1)),ISNUMBER(AG159),AG159&lt;=T159),AS159,0),IF(AND(NOT(AND(AO159=1,AN159&lt;&gt;1)),ISNUMBER(AH159),AH159&lt;=T159),AT159,0),IF(AND(NOT(AND(AO159=1,AN159&lt;&gt;1)),ISNUMBER(AI159),AI159&lt;=T159),AU159,0),IF(AND(ISNUMBER(AJ159),AJ159&lt;=T159),AV159,0))),"SC","Mag")))))))</f>
        <v/>
      </c>
    </row>
    <row r="160" customFormat="false" ht="15" hidden="false" customHeight="false" outlineLevel="0" collapsed="false">
      <c r="A160" s="26" t="n">
        <v>155</v>
      </c>
      <c r="B160" s="27" t="n">
        <f aca="false">A160*10/60</f>
        <v>25.8333333333333</v>
      </c>
      <c r="C160" s="21" t="n">
        <f aca="false">X159</f>
        <v>18.6730249835055</v>
      </c>
      <c r="D160" s="27" t="n">
        <f aca="false">D159+W159</f>
        <v>0</v>
      </c>
      <c r="E160" s="26" t="n">
        <f aca="false">E159+IF(U159="SW",1,0)</f>
        <v>12</v>
      </c>
      <c r="F160" s="26" t="n">
        <f aca="false">F159+IF(U159="AB",1,0)</f>
        <v>10</v>
      </c>
      <c r="G160" s="26" t="n">
        <f aca="false">G159+IF(U159="SC",1,0)</f>
        <v>7</v>
      </c>
      <c r="H160" s="26" t="n">
        <f aca="false">H159+IF(U159="Mag",1,0)</f>
        <v>5</v>
      </c>
      <c r="I160" s="26" t="n">
        <f aca="false">MAX(I159,IF(U159="OR",1,0))</f>
        <v>1</v>
      </c>
      <c r="J160" s="26" t="n">
        <f aca="false">MAX(J159,IF(U159="HP",1,0))</f>
        <v>1</v>
      </c>
      <c r="K160" s="26" t="n">
        <f aca="false">MAX(K159,IF(U159="FP",1,0))</f>
        <v>1</v>
      </c>
      <c r="L160" s="26" t="n">
        <f aca="false">MAX(L159,IF(U159="transition",1,0))</f>
        <v>1</v>
      </c>
      <c r="M160" s="28" t="n">
        <f aca="false">(Parameters!$B$9+(IF(E160=0,0,(Upgrades!$J$6+E160*Upgrades!$K$6)*POWER(Upgrades!$L$6,E160)))*(IF(Upgrades!$T$7="Solar Wind",POWER(Upgrades!$U$7,F160),1)*IF(Upgrades!$T$8="Solar Wind",POWER(Upgrades!$U$8,G160),1)*IF(Upgrades!$T$9="Solar Wind",POWER(Upgrades!$U$9,H160),1)*IF(Upgrades!$T$10="Solar Wind",POWER(Upgrades!$U$10,I160),1)*IF(Upgrades!$T$11="Solar Wind",POWER(Upgrades!$U$11,J160),1)*IF(Upgrades!$T$12="Solar Wind",POWER(Upgrades!$U$12,K160),1))+(IF(F160=0,0,(Upgrades!$J$7+F160*Upgrades!$K$7)*POWER(Upgrades!$L$7,F160)))*(IF(Upgrades!$T$6="Asteroid Belt",POWER(Upgrades!$U$6,E160),1)*IF(Upgrades!$T$8="Asteroid Belt",POWER(Upgrades!$U$8,G160),1)*IF(Upgrades!$T$9="Asteroid Belt",POWER(Upgrades!$U$9,H160),1)*IF(Upgrades!$T$10="Asteroid Belt",POWER(Upgrades!$U$10,I160),1)*IF(Upgrades!$T$11="Asteroid Belt",POWER(Upgrades!$U$11,J160),1)*IF(Upgrades!$T$12="Asteroid Belt",POWER(Upgrades!$U$12,K160),1))+(IF(G160=0,0,(Upgrades!$J$8+G160*Upgrades!$K$8)*POWER(Upgrades!$L$8,G160)))*(IF(Upgrades!$T$6="Stellar Coupling",POWER(Upgrades!$U$6,E160),1)*IF(Upgrades!$T$7="Stellar Coupling",POWER(Upgrades!$U$7,F160),1)*IF(Upgrades!$T$9="Stellar Coupling",POWER(Upgrades!$U$9,H160),1)*IF(Upgrades!$T$10="Stellar Coupling",POWER(Upgrades!$U$10,I160),1)*IF(Upgrades!$T$11="Stellar Coupling",POWER(Upgrades!$U$11,J160),1)*IF(Upgrades!$T$12="Stellar Coupling",POWER(Upgrades!$U$12,K160),1))+(IF(H160=0,0,(Upgrades!$J$9+H160*Upgrades!$K$9)*POWER(Upgrades!$L$9,H160)))*(IF(Upgrades!$T$6="Magnetosphere",POWER(Upgrades!$U$6,E160),1)*IF(Upgrades!$T$7="Magnetosphere",POWER(Upgrades!$U$7,F160),1)*IF(Upgrades!$T$8="Magnetosphere",POWER(Upgrades!$U$8,G160),1)*IF(Upgrades!$T$10="Magnetosphere",POWER(Upgrades!$U$10,I160),1)*IF(Upgrades!$T$11="Magnetosphere",POWER(Upgrades!$U$11,J160),1)*IF(Upgrades!$T$12="Magnetosphere",POWER(Upgrades!$U$12,K160),1))+(IF(I160=0,0,(Upgrades!$J$10+I160*Upgrades!$K$10)*POWER(Upgrades!$L$10,I160)))*(IF(Upgrades!$T$6="Orbital Resonance",POWER(Upgrades!$U$6,E160),1)*IF(Upgrades!$T$7="Orbital Resonance",POWER(Upgrades!$U$7,F160),1)*IF(Upgrades!$T$8="Orbital Resonance",POWER(Upgrades!$U$8,G160),1)*IF(Upgrades!$T$9="Orbital Resonance",POWER(Upgrades!$U$9,H160),1)*IF(Upgrades!$T$11="Orbital Resonance",POWER(Upgrades!$U$11,J160),1)*IF(Upgrades!$T$12="Orbital Resonance",POWER(Upgrades!$U$12,K160),1))+(IF(J160=0,0,(Upgrades!$J$11+J160*Upgrades!$K$11)*POWER(Upgrades!$L$11,J160)))*(IF(Upgrades!$T$6="Heliopause",POWER(Upgrades!$U$6,E160),1)*IF(Upgrades!$T$7="Heliopause",POWER(Upgrades!$U$7,F160),1)*IF(Upgrades!$T$8="Heliopause",POWER(Upgrades!$U$8,G160),1)*IF(Upgrades!$T$9="Heliopause",POWER(Upgrades!$U$9,H160),1)*IF(Upgrades!$T$10="Heliopause",POWER(Upgrades!$U$10,I160),1)*IF(Upgrades!$T$12="Heliopause",POWER(Upgrades!$U$12,K160),1))+(IF(K160=0,0,(Upgrades!$J$12+K160*Upgrades!$K$12)*POWER(Upgrades!$L$12,K160)))*(IF(Upgrades!$T$6="First Photons",POWER(Upgrades!$U$6,E160),1)*IF(Upgrades!$T$7="First Photons",POWER(Upgrades!$U$7,F160),1)*IF(Upgrades!$T$8="First Photons",POWER(Upgrades!$U$8,G160),1)*IF(Upgrades!$T$9="First Photons",POWER(Upgrades!$U$9,H160),1)*IF(Upgrades!$T$10="First Photons",POWER(Upgrades!$U$10,I160),1)*IF(Upgrades!$T$11="First Photons",POWER(Upgrades!$U$11,J160),1)))*POWER(Upgrades!$Q$6,E160)*POWER(Upgrades!$Q$7,F160)*POWER(Upgrades!$Q$8,G160)*POWER(Upgrades!$Q$9,H160)*POWER(Upgrades!$Q$10,I160)*POWER(Upgrades!$Q$11,J160)*POWER(Upgrades!$Q$12,K160)</f>
        <v>5.61</v>
      </c>
      <c r="N160" s="28" t="n">
        <f aca="false">((IF(E160=0,0,(Upgrades!$G$6+E160*Upgrades!$H$6)*POWER(Upgrades!$I$6,E160)))*(IF(Upgrades!$T$7="Solar Wind",POWER(Upgrades!$U$7,F160),1)*IF(Upgrades!$T$8="Solar Wind",POWER(Upgrades!$U$8,G160),1)*IF(Upgrades!$T$9="Solar Wind",POWER(Upgrades!$U$9,H160),1)*IF(Upgrades!$T$10="Solar Wind",POWER(Upgrades!$U$10,I160),1)*IF(Upgrades!$T$11="Solar Wind",POWER(Upgrades!$U$11,J160),1)*IF(Upgrades!$T$12="Solar Wind",POWER(Upgrades!$U$12,K160),1))+(IF(F160=0,0,(Upgrades!$G$7+F160*Upgrades!$H$7)*POWER(Upgrades!$I$7,F160)))*(IF(Upgrades!$T$6="Asteroid Belt",POWER(Upgrades!$U$6,E160),1)*IF(Upgrades!$T$8="Asteroid Belt",POWER(Upgrades!$U$8,G160),1)*IF(Upgrades!$T$9="Asteroid Belt",POWER(Upgrades!$U$9,H160),1)*IF(Upgrades!$T$10="Asteroid Belt",POWER(Upgrades!$U$10,I160),1)*IF(Upgrades!$T$11="Asteroid Belt",POWER(Upgrades!$U$11,J160),1)*IF(Upgrades!$T$12="Asteroid Belt",POWER(Upgrades!$U$12,K160),1))+(IF(G160=0,0,(Upgrades!$G$8+G160*Upgrades!$H$8)*POWER(Upgrades!$I$8,G160)))*(IF(Upgrades!$T$6="Stellar Coupling",POWER(Upgrades!$U$6,E160),1)*IF(Upgrades!$T$7="Stellar Coupling",POWER(Upgrades!$U$7,F160),1)*IF(Upgrades!$T$9="Stellar Coupling",POWER(Upgrades!$U$9,H160),1)*IF(Upgrades!$T$10="Stellar Coupling",POWER(Upgrades!$U$10,I160),1)*IF(Upgrades!$T$11="Stellar Coupling",POWER(Upgrades!$U$11,J160),1)*IF(Upgrades!$T$12="Stellar Coupling",POWER(Upgrades!$U$12,K160),1))+(IF(H160=0,0,(Upgrades!$G$9+H160*Upgrades!$H$9)*POWER(Upgrades!$I$9,H160)))*(IF(Upgrades!$T$6="Magnetosphere",POWER(Upgrades!$U$6,E160),1)*IF(Upgrades!$T$7="Magnetosphere",POWER(Upgrades!$U$7,F160),1)*IF(Upgrades!$T$8="Magnetosphere",POWER(Upgrades!$U$8,G160),1)*IF(Upgrades!$T$10="Magnetosphere",POWER(Upgrades!$U$10,I160),1)*IF(Upgrades!$T$11="Magnetosphere",POWER(Upgrades!$U$11,J160),1)*IF(Upgrades!$T$12="Magnetosphere",POWER(Upgrades!$U$12,K160),1))+(IF(I160=0,0,(Upgrades!$G$10+I160*Upgrades!$H$10)*POWER(Upgrades!$I$10,I160)))*(IF(Upgrades!$T$6="Orbital Resonance",POWER(Upgrades!$U$6,E160),1)*IF(Upgrades!$T$7="Orbital Resonance",POWER(Upgrades!$U$7,F160),1)*IF(Upgrades!$T$8="Orbital Resonance",POWER(Upgrades!$U$8,G160),1)*IF(Upgrades!$T$9="Orbital Resonance",POWER(Upgrades!$U$9,H160),1)*IF(Upgrades!$T$11="Orbital Resonance",POWER(Upgrades!$U$11,J160),1)*IF(Upgrades!$T$12="Orbital Resonance",POWER(Upgrades!$U$12,K160),1))+(IF(J160=0,0,(Upgrades!$G$11+J160*Upgrades!$H$11)*POWER(Upgrades!$I$11,J160)))*(IF(Upgrades!$T$6="Heliopause",POWER(Upgrades!$U$6,E160),1)*IF(Upgrades!$T$7="Heliopause",POWER(Upgrades!$U$7,F160),1)*IF(Upgrades!$T$8="Heliopause",POWER(Upgrades!$U$8,G160),1)*IF(Upgrades!$T$9="Heliopause",POWER(Upgrades!$U$9,H160),1)*IF(Upgrades!$T$10="Heliopause",POWER(Upgrades!$U$10,I160),1)*IF(Upgrades!$T$12="Heliopause",POWER(Upgrades!$U$12,K160),1))+(IF(K160=0,0,(Upgrades!$G$12+K160*Upgrades!$H$12)*POWER(Upgrades!$I$12,K160)))*(IF(Upgrades!$T$6="First Photons",POWER(Upgrades!$U$6,E160),1)*IF(Upgrades!$T$7="First Photons",POWER(Upgrades!$U$7,F160),1)*IF(Upgrades!$T$8="First Photons",POWER(Upgrades!$U$8,G160),1)*IF(Upgrades!$T$9="First Photons",POWER(Upgrades!$U$9,H160),1)*IF(Upgrades!$T$10="First Photons",POWER(Upgrades!$U$10,I160),1)*IF(Upgrades!$T$11="First Photons",POWER(Upgrades!$U$11,J160),1)))*POWER(Upgrades!$P$6,E160)*POWER(Upgrades!$P$7,F160)*POWER(Upgrades!$P$8,G160)*POWER(Upgrades!$P$9,H160)*POWER(Upgrades!$P$10,I160)*POWER(Upgrades!$P$11,J160)*POWER(Upgrades!$P$12,K160)</f>
        <v>11.2</v>
      </c>
      <c r="O160" s="28" t="n">
        <f aca="false">((IF(E160=0,0,(Upgrades!$M$6+E160*Upgrades!$N$6)*POWER(Upgrades!$O$6,E160)))*(IF(Upgrades!$T$7="Solar Wind",POWER(Upgrades!$U$7,F160),1)*IF(Upgrades!$T$8="Solar Wind",POWER(Upgrades!$U$8,G160),1)*IF(Upgrades!$T$9="Solar Wind",POWER(Upgrades!$U$9,H160),1)*IF(Upgrades!$T$10="Solar Wind",POWER(Upgrades!$U$10,I160),1)*IF(Upgrades!$T$11="Solar Wind",POWER(Upgrades!$U$11,J160),1)*IF(Upgrades!$T$12="Solar Wind",POWER(Upgrades!$U$12,K160),1))+(IF(F160=0,0,(Upgrades!$M$7+F160*Upgrades!$N$7)*POWER(Upgrades!$O$7,F160)))*(IF(Upgrades!$T$6="Asteroid Belt",POWER(Upgrades!$U$6,E160),1)*IF(Upgrades!$T$8="Asteroid Belt",POWER(Upgrades!$U$8,G160),1)*IF(Upgrades!$T$9="Asteroid Belt",POWER(Upgrades!$U$9,H160),1)*IF(Upgrades!$T$10="Asteroid Belt",POWER(Upgrades!$U$10,I160),1)*IF(Upgrades!$T$11="Asteroid Belt",POWER(Upgrades!$U$11,J160),1)*IF(Upgrades!$T$12="Asteroid Belt",POWER(Upgrades!$U$12,K160),1))+(IF(G160=0,0,(Upgrades!$M$8+G160*Upgrades!$N$8)*POWER(Upgrades!$O$8,G160)))*(IF(Upgrades!$T$6="Stellar Coupling",POWER(Upgrades!$U$6,E160),1)*IF(Upgrades!$T$7="Stellar Coupling",POWER(Upgrades!$U$7,F160),1)*IF(Upgrades!$T$9="Stellar Coupling",POWER(Upgrades!$U$9,H160),1)*IF(Upgrades!$T$10="Stellar Coupling",POWER(Upgrades!$U$10,I160),1)*IF(Upgrades!$T$11="Stellar Coupling",POWER(Upgrades!$U$11,J160),1)*IF(Upgrades!$T$12="Stellar Coupling",POWER(Upgrades!$U$12,K160),1))+(IF(H160=0,0,(Upgrades!$M$9+H160*Upgrades!$N$9)*POWER(Upgrades!$O$9,H160)))*(IF(Upgrades!$T$6="Magnetosphere",POWER(Upgrades!$U$6,E160),1)*IF(Upgrades!$T$7="Magnetosphere",POWER(Upgrades!$U$7,F160),1)*IF(Upgrades!$T$8="Magnetosphere",POWER(Upgrades!$U$8,G160),1)*IF(Upgrades!$T$10="Magnetosphere",POWER(Upgrades!$U$10,I160),1)*IF(Upgrades!$T$11="Magnetosphere",POWER(Upgrades!$U$11,J160),1)*IF(Upgrades!$T$12="Magnetosphere",POWER(Upgrades!$U$12,K160),1))+(IF(I160=0,0,(Upgrades!$M$10+I160*Upgrades!$N$10)*POWER(Upgrades!$O$10,I160)))*(IF(Upgrades!$T$6="Orbital Resonance",POWER(Upgrades!$U$6,E160),1)*IF(Upgrades!$T$7="Orbital Resonance",POWER(Upgrades!$U$7,F160),1)*IF(Upgrades!$T$8="Orbital Resonance",POWER(Upgrades!$U$8,G160),1)*IF(Upgrades!$T$9="Orbital Resonance",POWER(Upgrades!$U$9,H160),1)*IF(Upgrades!$T$11="Orbital Resonance",POWER(Upgrades!$U$11,J160),1)*IF(Upgrades!$T$12="Orbital Resonance",POWER(Upgrades!$U$12,K160),1))+(IF(J160=0,0,(Upgrades!$M$11+J160*Upgrades!$N$11)*POWER(Upgrades!$O$11,J160)))*(IF(Upgrades!$T$6="Heliopause",POWER(Upgrades!$U$6,E160),1)*IF(Upgrades!$T$7="Heliopause",POWER(Upgrades!$U$7,F160),1)*IF(Upgrades!$T$8="Heliopause",POWER(Upgrades!$U$8,G160),1)*IF(Upgrades!$T$9="Heliopause",POWER(Upgrades!$U$9,H160),1)*IF(Upgrades!$T$10="Heliopause",POWER(Upgrades!$U$10,I160),1)*IF(Upgrades!$T$12="Heliopause",POWER(Upgrades!$U$12,K160),1))+(IF(K160=0,0,(Upgrades!$M$12+K160*Upgrades!$N$12)*POWER(Upgrades!$O$12,K160)))*(IF(Upgrades!$T$6="First Photons",POWER(Upgrades!$U$6,E160),1)*IF(Upgrades!$T$7="First Photons",POWER(Upgrades!$U$7,F160),1)*IF(Upgrades!$T$8="First Photons",POWER(Upgrades!$U$8,G160),1)*IF(Upgrades!$T$9="First Photons",POWER(Upgrades!$U$9,H160),1)*IF(Upgrades!$T$10="First Photons",POWER(Upgrades!$U$10,I160),1)*IF(Upgrades!$T$11="First Photons",POWER(Upgrades!$U$11,J160),1)))*POWER(Upgrades!$R$6,E160)*POWER(Upgrades!$R$7,F160)*POWER(Upgrades!$R$8,G160)*POWER(Upgrades!$R$9,H160)*POWER(Upgrades!$R$10,I160)*POWER(Upgrades!$R$11,J160)*POWER(Upgrades!$R$12,K160)</f>
        <v>0</v>
      </c>
      <c r="P160" s="27" t="n">
        <f aca="false">IF(L160=1,0,M160*Parameters!$B$10/60*Parameters!$B$11*10)</f>
        <v>0</v>
      </c>
      <c r="Q160" s="27" t="n">
        <f aca="false">IF(L160=1,0,O160*M160*10)</f>
        <v>0</v>
      </c>
      <c r="R160" s="27" t="n">
        <f aca="false">IF(L160=1,0,N160*10)</f>
        <v>0</v>
      </c>
      <c r="S160" s="27" t="n">
        <f aca="false">P160+Q160+R160</f>
        <v>0</v>
      </c>
      <c r="T160" s="21" t="n">
        <f aca="false">C160+S160</f>
        <v>18.6730249835055</v>
      </c>
      <c r="U160" s="34" t="str">
        <f aca="false">AX160</f>
        <v/>
      </c>
      <c r="V160" s="21" t="n">
        <f aca="false">IF(U160="",0,IF(U160="transition",0,IF(U160="SW",AG160,IF(U160="AB",AH160,IF(U160="SC",AI160,IF(U160="Mag",AJ160,IF(U160="OR",AK160,IF(U160="HP",AL160,IF(U160="FP",AM160,0)))))))))</f>
        <v>0</v>
      </c>
      <c r="W160" s="27" t="n">
        <f aca="false">IF(U160="OR",Upgrades!$F$10,IF(U160="HP",Upgrades!$F$11,IF(U160="transition",-Parameters!$B$18,0)))</f>
        <v>0</v>
      </c>
      <c r="X160" s="21" t="n">
        <f aca="false">T160-V160</f>
        <v>18.6730249835055</v>
      </c>
      <c r="Y160" s="30" t="n">
        <f aca="false">M160*Parameters!$B$10/60*Parameters!$B$11+O160*M160+N160</f>
        <v>20.55</v>
      </c>
      <c r="Z160" s="35" t="str">
        <f aca="false">IF(U160="transition","→ Tier 2 (Stellar Neighborhood)",IF(U160="FP","First Photons — light begins, system quickens",IF(U160="HP","Heliopause acquired",IF(U160="OR","Orbital Resonance — passive multiplier active",IF(AND(AO160=1,L160=0,AN160&lt;&gt;1),"Cohesion ready (waiting on completionist upgrades)","")))))</f>
        <v/>
      </c>
      <c r="AA160" s="27" t="n">
        <f aca="false">(IF(E160=0,0,(Upgrades!$G$6+E160*Upgrades!$H$6)*POWER(Upgrades!$I$6,E160)))*(IF(Upgrades!$T$7="Solar Wind",POWER(Upgrades!$U$7,F160),1)*IF(Upgrades!$T$8="Solar Wind",POWER(Upgrades!$U$8,G160),1)*IF(Upgrades!$T$9="Solar Wind",POWER(Upgrades!$U$9,H160),1)*IF(Upgrades!$T$10="Solar Wind",POWER(Upgrades!$U$10,I160),1)*IF(Upgrades!$T$11="Solar Wind",POWER(Upgrades!$U$11,J160),1)*IF(Upgrades!$T$12="Solar Wind",POWER(Upgrades!$U$12,K160),1))*POWER(Upgrades!$P$6,E160)*POWER(Upgrades!$P$7,F160)*POWER(Upgrades!$P$8,G160)*POWER(Upgrades!$P$9,H160)*POWER(Upgrades!$P$10,I160)*POWER(Upgrades!$P$11,J160)*POWER(Upgrades!$P$12,K160)*60</f>
        <v>72</v>
      </c>
      <c r="AB160" s="27" t="n">
        <f aca="false">(IF(F160=0,0,(Upgrades!$G$7+F160*Upgrades!$H$7)*POWER(Upgrades!$I$7,F160)))*(IF(Upgrades!$T$6="Asteroid Belt",POWER(Upgrades!$U$6,E160),1)*IF(Upgrades!$T$8="Asteroid Belt",POWER(Upgrades!$U$8,G160),1)*IF(Upgrades!$T$9="Asteroid Belt",POWER(Upgrades!$U$9,H160),1)*IF(Upgrades!$T$10="Asteroid Belt",POWER(Upgrades!$U$10,I160),1)*IF(Upgrades!$T$11="Asteroid Belt",POWER(Upgrades!$U$11,J160),1)*IF(Upgrades!$T$12="Asteroid Belt",POWER(Upgrades!$U$12,K160),1))*POWER(Upgrades!$P$6,E160)*POWER(Upgrades!$P$7,F160)*POWER(Upgrades!$P$8,G160)*POWER(Upgrades!$P$9,H160)*POWER(Upgrades!$P$10,I160)*POWER(Upgrades!$P$11,J160)*POWER(Upgrades!$P$12,K160)*60</f>
        <v>150</v>
      </c>
      <c r="AC160" s="27" t="n">
        <f aca="false">(IF(G160=0,0,(Upgrades!$J$8+G160*Upgrades!$K$8)*POWER(Upgrades!$L$8,G160)))*(IF(Upgrades!$T$6="Stellar Coupling",POWER(Upgrades!$U$6,E160),1)*IF(Upgrades!$T$7="Stellar Coupling",POWER(Upgrades!$U$7,F160),1)*IF(Upgrades!$T$9="Stellar Coupling",POWER(Upgrades!$U$9,H160),1)*IF(Upgrades!$T$10="Stellar Coupling",POWER(Upgrades!$U$10,I160),1)*IF(Upgrades!$T$11="Stellar Coupling",POWER(Upgrades!$U$11,J160),1)*IF(Upgrades!$T$12="Stellar Coupling",POWER(Upgrades!$U$12,K160),1))*POWER(Upgrades!$Q$6,E160)*POWER(Upgrades!$Q$7,F160)*POWER(Upgrades!$Q$8,G160)*POWER(Upgrades!$Q$9,H160)*POWER(Upgrades!$Q$10,I160)*POWER(Upgrades!$Q$11,J160)*POWER(Upgrades!$Q$12,K160)*Parameters!$B$10*Parameters!$B$11</f>
        <v>441</v>
      </c>
      <c r="AD160" s="27" t="n">
        <f aca="false">(IF(H160=0,0,(Upgrades!$G$9+H160*Upgrades!$H$9)*POWER(Upgrades!$I$9,H160)))*(IF(Upgrades!$T$6="Magnetosphere",POWER(Upgrades!$U$6,E160),1)*IF(Upgrades!$T$7="Magnetosphere",POWER(Upgrades!$U$7,F160),1)*IF(Upgrades!$T$8="Magnetosphere",POWER(Upgrades!$U$8,G160),1)*IF(Upgrades!$T$10="Magnetosphere",POWER(Upgrades!$U$10,I160),1)*IF(Upgrades!$T$11="Magnetosphere",POWER(Upgrades!$U$11,J160),1)*IF(Upgrades!$T$12="Magnetosphere",POWER(Upgrades!$U$12,K160),1))*POWER(Upgrades!$P$6,E160)*POWER(Upgrades!$P$7,F160)*POWER(Upgrades!$P$8,G160)*POWER(Upgrades!$P$9,H160)*POWER(Upgrades!$P$10,I160)*POWER(Upgrades!$P$11,J160)*POWER(Upgrades!$P$12,K160)*60</f>
        <v>375</v>
      </c>
      <c r="AE160" s="27" t="n">
        <f aca="false">(IF(K160=0,0,(Upgrades!$G$12+K160*Upgrades!$H$12)*POWER(Upgrades!$I$12,K160)))*(IF(Upgrades!$T$6="First Photons",POWER(Upgrades!$U$6,E160),1)*IF(Upgrades!$T$7="First Photons",POWER(Upgrades!$U$7,F160),1)*IF(Upgrades!$T$8="First Photons",POWER(Upgrades!$U$8,G160),1)*IF(Upgrades!$T$9="First Photons",POWER(Upgrades!$U$9,H160),1)*IF(Upgrades!$T$10="First Photons",POWER(Upgrades!$U$10,I160),1)*IF(Upgrades!$T$11="First Photons",POWER(Upgrades!$U$11,J160),1))*POWER(Upgrades!$P$6,E160)*POWER(Upgrades!$P$7,F160)*POWER(Upgrades!$P$8,G160)*POWER(Upgrades!$P$9,H160)*POWER(Upgrades!$P$10,I160)*POWER(Upgrades!$P$11,J160)*POWER(Upgrades!$P$12,K160)*60</f>
        <v>75</v>
      </c>
      <c r="AF160" s="27" t="n">
        <f aca="false">Parameters!$B$9*POWER(Upgrades!$Q$6,E160)*POWER(Upgrades!$Q$7,F160)*POWER(Upgrades!$Q$8,G160)*POWER(Upgrades!$Q$9,H160)*POWER(Upgrades!$Q$10,I160)*POWER(Upgrades!$Q$11,J160)*POWER(Upgrades!$Q$12,K160)*(Parameters!$B$10*Parameters!$B$11+O160*60)</f>
        <v>120</v>
      </c>
      <c r="AG160" s="21" t="n">
        <f aca="false">IF(E160&gt;=Upgrades!$E$6,"",Upgrades!$C$6*POWER(Upgrades!$D$6,E160))</f>
        <v>37.4517507383159</v>
      </c>
      <c r="AH160" s="21" t="n">
        <f aca="false">IF(F160&gt;=Upgrades!$E$7,"",Upgrades!$C$7*POWER(Upgrades!$D$7,F160))</f>
        <v>80.9111547141581</v>
      </c>
      <c r="AI160" s="21" t="n">
        <f aca="false">IF(G160&gt;=Upgrades!$E$8,"",Upgrades!$C$8*POWER(Upgrades!$D$8,G160))</f>
        <v>231.9097088</v>
      </c>
      <c r="AJ160" s="21" t="str">
        <f aca="false">IF(H160&gt;=Upgrades!$E$9,"",Upgrades!$C$9*POWER(Upgrades!$D$9,H160))</f>
        <v/>
      </c>
      <c r="AK160" s="21" t="str">
        <f aca="false">IF(I160&gt;=Upgrades!$E$10,"",Upgrades!$C$10*POWER(Upgrades!$D$10,I160))</f>
        <v/>
      </c>
      <c r="AL160" s="21" t="str">
        <f aca="false">IF(J160&gt;=Upgrades!$E$11,"",Upgrades!$C$11*POWER(Upgrades!$D$11,J160))</f>
        <v/>
      </c>
      <c r="AM160" s="21" t="str">
        <f aca="false">IF(K160&gt;=Upgrades!$E$12,"",Upgrades!$C$12*POWER(Upgrades!$D$12,K160))</f>
        <v/>
      </c>
      <c r="AN160" s="26" t="str">
        <f aca="false">IF(AND(D160&gt;=Parameters!$B$18,(H160&gt;=Upgrades!$E$9)*(K160&gt;=Upgrades!$E$12)=1,L160=0),1,"")</f>
        <v/>
      </c>
      <c r="AO160" s="26" t="str">
        <f aca="false">IF(AND(D160&gt;=Parameters!$B$18,L160=0),1,"")</f>
        <v/>
      </c>
      <c r="AP160" s="21" t="n">
        <f aca="false">MIN(IF(ISNUMBER(AK160),AK160,9000000000000000),IF(ISNUMBER(AL160),AL160,9000000000000000),IF(ISNUMBER(AM160),AM160,9000000000000000))</f>
        <v>9000000000000000</v>
      </c>
      <c r="AQ160" s="21" t="n">
        <f aca="false">MIN(IF(ISNUMBER(AG160),AG160,9000000000000000),IF(ISNUMBER(AH160),AH160,9000000000000000),IF(ISNUMBER(AI160),AI160,9000000000000000),IF(ISNUMBER(AJ160),AJ160,9000000000000000))</f>
        <v>37.4517507383159</v>
      </c>
      <c r="AR160" s="32" t="b">
        <f aca="false">IF(AW160&gt;Parameters!$B$21*(MAX(IF(AND(NOT(AND(AO160=1,AN160&lt;&gt;1)),ISNUMBER(AG160),AG160&lt;=T160),AS160,0),IF(AND(NOT(AND(AO160=1,AN160&lt;&gt;1)),ISNUMBER(AH160),AH160&lt;=T160),AT160,0),IF(AND(NOT(AND(AO160=1,AN160&lt;&gt;1)),ISNUMBER(AI160),AI160&lt;=T160),AU160,0),IF(AND(ISNUMBER(AJ160),AJ160&lt;=T160),AV160,0))),TRUE(),FALSE())</f>
        <v>1</v>
      </c>
      <c r="AS160" s="33" t="n">
        <f aca="false">IFERROR(Upgrades!$H$6*(POWER(Upgrades!$P$6,E160)*POWER(Upgrades!$P$7,F160)*POWER(Upgrades!$P$8,G160)*POWER(Upgrades!$P$9,H160)*POWER(Upgrades!$P$10,I160)*POWER(Upgrades!$P$11,J160)*POWER(Upgrades!$P$12,K160))*(IF(Upgrades!$T$7="Solar Wind",POWER(Upgrades!$U$7,F160),1)*IF(Upgrades!$T$8="Solar Wind",POWER(Upgrades!$U$8,G160),1)*IF(Upgrades!$T$9="Solar Wind",POWER(Upgrades!$U$9,H160),1)*IF(Upgrades!$T$10="Solar Wind",POWER(Upgrades!$U$10,I160),1)*IF(Upgrades!$T$11="Solar Wind",POWER(Upgrades!$U$11,J160),1)*IF(Upgrades!$T$12="Solar Wind",POWER(Upgrades!$U$12,K160),1))/AG160,0)</f>
        <v>0.0026701021455238</v>
      </c>
      <c r="AT160" s="33" t="n">
        <f aca="false">IFERROR(Upgrades!$H$7*(POWER(Upgrades!$P$6,E160)*POWER(Upgrades!$P$7,F160)*POWER(Upgrades!$P$8,G160)*POWER(Upgrades!$P$9,H160)*POWER(Upgrades!$P$10,I160)*POWER(Upgrades!$P$11,J160)*POWER(Upgrades!$P$12,K160))*(IF(Upgrades!$T$6="Asteroid Belt",POWER(Upgrades!$U$6,E160),1)*IF(Upgrades!$T$8="Asteroid Belt",POWER(Upgrades!$U$8,G160),1)*IF(Upgrades!$T$9="Asteroid Belt",POWER(Upgrades!$U$9,H160),1)*IF(Upgrades!$T$10="Asteroid Belt",POWER(Upgrades!$U$10,I160),1)*IF(Upgrades!$T$11="Asteroid Belt",POWER(Upgrades!$U$11,J160),1)*IF(Upgrades!$T$12="Asteroid Belt",POWER(Upgrades!$U$12,K160),1))/AH160,0)</f>
        <v>0.00308980882652332</v>
      </c>
      <c r="AU160" s="33" t="n">
        <f aca="false">IFERROR(Upgrades!$K$8*(POWER(Upgrades!$Q$6,E160)*POWER(Upgrades!$Q$7,F160)*POWER(Upgrades!$Q$8,G160)*POWER(Upgrades!$Q$9,H160)*POWER(Upgrades!$Q$10,I160)*POWER(Upgrades!$Q$11,J160)*POWER(Upgrades!$Q$12,K160))*(IF(Upgrades!$T$6="Stellar Coupling",POWER(Upgrades!$U$6,E160),1)*IF(Upgrades!$T$7="Stellar Coupling",POWER(Upgrades!$U$7,F160),1)*IF(Upgrades!$T$9="Stellar Coupling",POWER(Upgrades!$U$9,H160),1)*IF(Upgrades!$T$10="Stellar Coupling",POWER(Upgrades!$U$10,I160),1)*IF(Upgrades!$T$11="Stellar Coupling",POWER(Upgrades!$U$11,J160),1)*IF(Upgrades!$T$12="Stellar Coupling",POWER(Upgrades!$U$12,K160),1))*Parameters!$B$10*Parameters!$B$11/60/AI160,0)</f>
        <v>0.00452762415783776</v>
      </c>
      <c r="AV160" s="33" t="n">
        <f aca="false">IFERROR(Upgrades!$H$9*(POWER(Upgrades!$P$6,E160)*POWER(Upgrades!$P$7,F160)*POWER(Upgrades!$P$8,G160)*POWER(Upgrades!$P$9,H160)*POWER(Upgrades!$P$10,I160)*POWER(Upgrades!$P$11,J160)*POWER(Upgrades!$P$12,K160))*(IF(Upgrades!$T$6="Magnetosphere",POWER(Upgrades!$U$6,E160),1)*IF(Upgrades!$T$7="Magnetosphere",POWER(Upgrades!$U$7,F160),1)*IF(Upgrades!$T$8="Magnetosphere",POWER(Upgrades!$U$8,G160),1)*IF(Upgrades!$T$10="Magnetosphere",POWER(Upgrades!$U$10,I160),1)*IF(Upgrades!$T$11="Magnetosphere",POWER(Upgrades!$U$11,J160),1)*IF(Upgrades!$T$12="Magnetosphere",POWER(Upgrades!$U$12,K160),1))/AJ160,0)</f>
        <v>0</v>
      </c>
      <c r="AW160" s="33" t="n">
        <f aca="false">MAX(IF(I160&gt;0,0,IFERROR(0.25*N160/Upgrades!$C$10,0)),IF(J160&gt;0,0,IFERROR(0.5*((IF(G160=0,0,(Upgrades!$J$8+G160*Upgrades!$K$8)*POWER(Upgrades!$L$8,G160)))*(IF(Upgrades!$T$6="Stellar Coupling",POWER(Upgrades!$U$6,E160),1)*IF(Upgrades!$T$7="Stellar Coupling",POWER(Upgrades!$U$7,F160),1)*IF(Upgrades!$T$9="Stellar Coupling",POWER(Upgrades!$U$9,H160),1)*IF(Upgrades!$T$10="Stellar Coupling",POWER(Upgrades!$U$10,I160),1)*IF(Upgrades!$T$11="Stellar Coupling",POWER(Upgrades!$U$11,J160),1)*IF(Upgrades!$T$12="Stellar Coupling",POWER(Upgrades!$U$12,K160),1))*(POWER(Upgrades!$Q$6,E160)*POWER(Upgrades!$Q$7,F160)*POWER(Upgrades!$Q$8,G160)*POWER(Upgrades!$Q$9,H160)*POWER(Upgrades!$Q$10,I160)*POWER(Upgrades!$Q$11,J160)*POWER(Upgrades!$Q$12,K160))*Parameters!$B$10*Parameters!$B$11/60)/Upgrades!$C$11,0)),IF(K160&gt;0,0,IFERROR((1*(POWER(Upgrades!$P$6,E160)*POWER(Upgrades!$P$7,F160)*POWER(Upgrades!$P$8,G160)*POWER(Upgrades!$P$9,H160)*POWER(Upgrades!$P$10,I160)*POWER(Upgrades!$P$11,J160)*POWER(Upgrades!$P$12,K160))+0.2*M160*Parameters!$B$10*Parameters!$B$11/60)/Upgrades!$C$12,0)),IF(AND(ISNUMBER(AG160),AG160&gt;T160),AS160,0),IF(AND(ISNUMBER(AH160),AH160&gt;T160),AT160,0),IF(AND(ISNUMBER(AI160),AI160&gt;T160),AU160,0),IF(AND(ISNUMBER(AJ160),AJ160&gt;T160),AV160,0))</f>
        <v>0.00452762415783776</v>
      </c>
      <c r="AX160" s="29" t="str">
        <f aca="false">IF(AN160=1,"transition",IF(MIN(IF(AND(I160=0,ISNUMBER(AK160),AK160&lt;=T160),AK160,9000000000000000),IF(AND(J160=0,ISNUMBER(AL160),AL160&lt;=T160),AL160,9000000000000000),IF(AND(K160=0,ISNUMBER(AM160),AM160&lt;=T160),AM160,9000000000000000))&lt;9000000000000000,IF(AND(AND(I160=0,ISNUMBER(AK160),AK160&lt;=T160),AK160=MIN(IF(AND(I160=0,ISNUMBER(AK160),AK160&lt;=T160),AK160,9000000000000000),IF(AND(J160=0,ISNUMBER(AL160),AL160&lt;=T160),AL160,9000000000000000),IF(AND(K160=0,ISNUMBER(AM160),AM160&lt;=T160),AM160,9000000000000000))),"OR",IF(AND(AND(J160=0,ISNUMBER(AL160),AL160&lt;=T160),AL160=MIN(IF(AND(I160=0,ISNUMBER(AK160),AK160&lt;=T160),AK160,9000000000000000),IF(AND(J160=0,ISNUMBER(AL160),AL160&lt;=T160),AL160,9000000000000000),IF(AND(K160=0,ISNUMBER(AM160),AM160&lt;=T160),AM160,9000000000000000))),"HP","FP")),IF(AR160=TRUE(),"",IF(MAX(IF(AND(NOT(AND(AO160=1,AN160&lt;&gt;1)),ISNUMBER(AG160),AG160&lt;=T160),AS160,0),IF(AND(NOT(AND(AO160=1,AN160&lt;&gt;1)),ISNUMBER(AH160),AH160&lt;=T160),AT160,0),IF(AND(NOT(AND(AO160=1,AN160&lt;&gt;1)),ISNUMBER(AI160),AI160&lt;=T160),AU160,0),IF(AND(ISNUMBER(AJ160),AJ160&lt;=T160),AV160,0))&lt;=0,"",IF(AND(IF(AND(NOT(AND(AO160=1,AN160&lt;&gt;1)),ISNUMBER(AG160),AG160&lt;=T160),AS160,0)&gt;0,IF(AND(NOT(AND(AO160=1,AN160&lt;&gt;1)),ISNUMBER(AG160),AG160&lt;=T160),AS160,0)=MAX(IF(AND(NOT(AND(AO160=1,AN160&lt;&gt;1)),ISNUMBER(AG160),AG160&lt;=T160),AS160,0),IF(AND(NOT(AND(AO160=1,AN160&lt;&gt;1)),ISNUMBER(AH160),AH160&lt;=T160),AT160,0),IF(AND(NOT(AND(AO160=1,AN160&lt;&gt;1)),ISNUMBER(AI160),AI160&lt;=T160),AU160,0),IF(AND(ISNUMBER(AJ160),AJ160&lt;=T160),AV160,0))),"SW",IF(AND(IF(AND(NOT(AND(AO160=1,AN160&lt;&gt;1)),ISNUMBER(AH160),AH160&lt;=T160),AT160,0)&gt;0,IF(AND(NOT(AND(AO160=1,AN160&lt;&gt;1)),ISNUMBER(AH160),AH160&lt;=T160),AT160,0)=MAX(IF(AND(NOT(AND(AO160=1,AN160&lt;&gt;1)),ISNUMBER(AG160),AG160&lt;=T160),AS160,0),IF(AND(NOT(AND(AO160=1,AN160&lt;&gt;1)),ISNUMBER(AH160),AH160&lt;=T160),AT160,0),IF(AND(NOT(AND(AO160=1,AN160&lt;&gt;1)),ISNUMBER(AI160),AI160&lt;=T160),AU160,0),IF(AND(ISNUMBER(AJ160),AJ160&lt;=T160),AV160,0))),"AB",IF(AND(IF(AND(NOT(AND(AO160=1,AN160&lt;&gt;1)),ISNUMBER(AI160),AI160&lt;=T160),AU160,0)&gt;0,IF(AND(NOT(AND(AO160=1,AN160&lt;&gt;1)),ISNUMBER(AI160),AI160&lt;=T160),AU160,0)=MAX(IF(AND(NOT(AND(AO160=1,AN160&lt;&gt;1)),ISNUMBER(AG160),AG160&lt;=T160),AS160,0),IF(AND(NOT(AND(AO160=1,AN160&lt;&gt;1)),ISNUMBER(AH160),AH160&lt;=T160),AT160,0),IF(AND(NOT(AND(AO160=1,AN160&lt;&gt;1)),ISNUMBER(AI160),AI160&lt;=T160),AU160,0),IF(AND(ISNUMBER(AJ160),AJ160&lt;=T160),AV160,0))),"SC","Mag")))))))</f>
        <v/>
      </c>
    </row>
    <row r="161" customFormat="false" ht="15" hidden="false" customHeight="false" outlineLevel="0" collapsed="false">
      <c r="A161" s="26" t="n">
        <v>156</v>
      </c>
      <c r="B161" s="27" t="n">
        <f aca="false">A161*10/60</f>
        <v>26</v>
      </c>
      <c r="C161" s="21" t="n">
        <f aca="false">X160</f>
        <v>18.6730249835055</v>
      </c>
      <c r="D161" s="27" t="n">
        <f aca="false">D160+W160</f>
        <v>0</v>
      </c>
      <c r="E161" s="26" t="n">
        <f aca="false">E160+IF(U160="SW",1,0)</f>
        <v>12</v>
      </c>
      <c r="F161" s="26" t="n">
        <f aca="false">F160+IF(U160="AB",1,0)</f>
        <v>10</v>
      </c>
      <c r="G161" s="26" t="n">
        <f aca="false">G160+IF(U160="SC",1,0)</f>
        <v>7</v>
      </c>
      <c r="H161" s="26" t="n">
        <f aca="false">H160+IF(U160="Mag",1,0)</f>
        <v>5</v>
      </c>
      <c r="I161" s="26" t="n">
        <f aca="false">MAX(I160,IF(U160="OR",1,0))</f>
        <v>1</v>
      </c>
      <c r="J161" s="26" t="n">
        <f aca="false">MAX(J160,IF(U160="HP",1,0))</f>
        <v>1</v>
      </c>
      <c r="K161" s="26" t="n">
        <f aca="false">MAX(K160,IF(U160="FP",1,0))</f>
        <v>1</v>
      </c>
      <c r="L161" s="26" t="n">
        <f aca="false">MAX(L160,IF(U160="transition",1,0))</f>
        <v>1</v>
      </c>
      <c r="M161" s="28" t="n">
        <f aca="false">(Parameters!$B$9+(IF(E161=0,0,(Upgrades!$J$6+E161*Upgrades!$K$6)*POWER(Upgrades!$L$6,E161)))*(IF(Upgrades!$T$7="Solar Wind",POWER(Upgrades!$U$7,F161),1)*IF(Upgrades!$T$8="Solar Wind",POWER(Upgrades!$U$8,G161),1)*IF(Upgrades!$T$9="Solar Wind",POWER(Upgrades!$U$9,H161),1)*IF(Upgrades!$T$10="Solar Wind",POWER(Upgrades!$U$10,I161),1)*IF(Upgrades!$T$11="Solar Wind",POWER(Upgrades!$U$11,J161),1)*IF(Upgrades!$T$12="Solar Wind",POWER(Upgrades!$U$12,K161),1))+(IF(F161=0,0,(Upgrades!$J$7+F161*Upgrades!$K$7)*POWER(Upgrades!$L$7,F161)))*(IF(Upgrades!$T$6="Asteroid Belt",POWER(Upgrades!$U$6,E161),1)*IF(Upgrades!$T$8="Asteroid Belt",POWER(Upgrades!$U$8,G161),1)*IF(Upgrades!$T$9="Asteroid Belt",POWER(Upgrades!$U$9,H161),1)*IF(Upgrades!$T$10="Asteroid Belt",POWER(Upgrades!$U$10,I161),1)*IF(Upgrades!$T$11="Asteroid Belt",POWER(Upgrades!$U$11,J161),1)*IF(Upgrades!$T$12="Asteroid Belt",POWER(Upgrades!$U$12,K161),1))+(IF(G161=0,0,(Upgrades!$J$8+G161*Upgrades!$K$8)*POWER(Upgrades!$L$8,G161)))*(IF(Upgrades!$T$6="Stellar Coupling",POWER(Upgrades!$U$6,E161),1)*IF(Upgrades!$T$7="Stellar Coupling",POWER(Upgrades!$U$7,F161),1)*IF(Upgrades!$T$9="Stellar Coupling",POWER(Upgrades!$U$9,H161),1)*IF(Upgrades!$T$10="Stellar Coupling",POWER(Upgrades!$U$10,I161),1)*IF(Upgrades!$T$11="Stellar Coupling",POWER(Upgrades!$U$11,J161),1)*IF(Upgrades!$T$12="Stellar Coupling",POWER(Upgrades!$U$12,K161),1))+(IF(H161=0,0,(Upgrades!$J$9+H161*Upgrades!$K$9)*POWER(Upgrades!$L$9,H161)))*(IF(Upgrades!$T$6="Magnetosphere",POWER(Upgrades!$U$6,E161),1)*IF(Upgrades!$T$7="Magnetosphere",POWER(Upgrades!$U$7,F161),1)*IF(Upgrades!$T$8="Magnetosphere",POWER(Upgrades!$U$8,G161),1)*IF(Upgrades!$T$10="Magnetosphere",POWER(Upgrades!$U$10,I161),1)*IF(Upgrades!$T$11="Magnetosphere",POWER(Upgrades!$U$11,J161),1)*IF(Upgrades!$T$12="Magnetosphere",POWER(Upgrades!$U$12,K161),1))+(IF(I161=0,0,(Upgrades!$J$10+I161*Upgrades!$K$10)*POWER(Upgrades!$L$10,I161)))*(IF(Upgrades!$T$6="Orbital Resonance",POWER(Upgrades!$U$6,E161),1)*IF(Upgrades!$T$7="Orbital Resonance",POWER(Upgrades!$U$7,F161),1)*IF(Upgrades!$T$8="Orbital Resonance",POWER(Upgrades!$U$8,G161),1)*IF(Upgrades!$T$9="Orbital Resonance",POWER(Upgrades!$U$9,H161),1)*IF(Upgrades!$T$11="Orbital Resonance",POWER(Upgrades!$U$11,J161),1)*IF(Upgrades!$T$12="Orbital Resonance",POWER(Upgrades!$U$12,K161),1))+(IF(J161=0,0,(Upgrades!$J$11+J161*Upgrades!$K$11)*POWER(Upgrades!$L$11,J161)))*(IF(Upgrades!$T$6="Heliopause",POWER(Upgrades!$U$6,E161),1)*IF(Upgrades!$T$7="Heliopause",POWER(Upgrades!$U$7,F161),1)*IF(Upgrades!$T$8="Heliopause",POWER(Upgrades!$U$8,G161),1)*IF(Upgrades!$T$9="Heliopause",POWER(Upgrades!$U$9,H161),1)*IF(Upgrades!$T$10="Heliopause",POWER(Upgrades!$U$10,I161),1)*IF(Upgrades!$T$12="Heliopause",POWER(Upgrades!$U$12,K161),1))+(IF(K161=0,0,(Upgrades!$J$12+K161*Upgrades!$K$12)*POWER(Upgrades!$L$12,K161)))*(IF(Upgrades!$T$6="First Photons",POWER(Upgrades!$U$6,E161),1)*IF(Upgrades!$T$7="First Photons",POWER(Upgrades!$U$7,F161),1)*IF(Upgrades!$T$8="First Photons",POWER(Upgrades!$U$8,G161),1)*IF(Upgrades!$T$9="First Photons",POWER(Upgrades!$U$9,H161),1)*IF(Upgrades!$T$10="First Photons",POWER(Upgrades!$U$10,I161),1)*IF(Upgrades!$T$11="First Photons",POWER(Upgrades!$U$11,J161),1)))*POWER(Upgrades!$Q$6,E161)*POWER(Upgrades!$Q$7,F161)*POWER(Upgrades!$Q$8,G161)*POWER(Upgrades!$Q$9,H161)*POWER(Upgrades!$Q$10,I161)*POWER(Upgrades!$Q$11,J161)*POWER(Upgrades!$Q$12,K161)</f>
        <v>5.61</v>
      </c>
      <c r="N161" s="28" t="n">
        <f aca="false">((IF(E161=0,0,(Upgrades!$G$6+E161*Upgrades!$H$6)*POWER(Upgrades!$I$6,E161)))*(IF(Upgrades!$T$7="Solar Wind",POWER(Upgrades!$U$7,F161),1)*IF(Upgrades!$T$8="Solar Wind",POWER(Upgrades!$U$8,G161),1)*IF(Upgrades!$T$9="Solar Wind",POWER(Upgrades!$U$9,H161),1)*IF(Upgrades!$T$10="Solar Wind",POWER(Upgrades!$U$10,I161),1)*IF(Upgrades!$T$11="Solar Wind",POWER(Upgrades!$U$11,J161),1)*IF(Upgrades!$T$12="Solar Wind",POWER(Upgrades!$U$12,K161),1))+(IF(F161=0,0,(Upgrades!$G$7+F161*Upgrades!$H$7)*POWER(Upgrades!$I$7,F161)))*(IF(Upgrades!$T$6="Asteroid Belt",POWER(Upgrades!$U$6,E161),1)*IF(Upgrades!$T$8="Asteroid Belt",POWER(Upgrades!$U$8,G161),1)*IF(Upgrades!$T$9="Asteroid Belt",POWER(Upgrades!$U$9,H161),1)*IF(Upgrades!$T$10="Asteroid Belt",POWER(Upgrades!$U$10,I161),1)*IF(Upgrades!$T$11="Asteroid Belt",POWER(Upgrades!$U$11,J161),1)*IF(Upgrades!$T$12="Asteroid Belt",POWER(Upgrades!$U$12,K161),1))+(IF(G161=0,0,(Upgrades!$G$8+G161*Upgrades!$H$8)*POWER(Upgrades!$I$8,G161)))*(IF(Upgrades!$T$6="Stellar Coupling",POWER(Upgrades!$U$6,E161),1)*IF(Upgrades!$T$7="Stellar Coupling",POWER(Upgrades!$U$7,F161),1)*IF(Upgrades!$T$9="Stellar Coupling",POWER(Upgrades!$U$9,H161),1)*IF(Upgrades!$T$10="Stellar Coupling",POWER(Upgrades!$U$10,I161),1)*IF(Upgrades!$T$11="Stellar Coupling",POWER(Upgrades!$U$11,J161),1)*IF(Upgrades!$T$12="Stellar Coupling",POWER(Upgrades!$U$12,K161),1))+(IF(H161=0,0,(Upgrades!$G$9+H161*Upgrades!$H$9)*POWER(Upgrades!$I$9,H161)))*(IF(Upgrades!$T$6="Magnetosphere",POWER(Upgrades!$U$6,E161),1)*IF(Upgrades!$T$7="Magnetosphere",POWER(Upgrades!$U$7,F161),1)*IF(Upgrades!$T$8="Magnetosphere",POWER(Upgrades!$U$8,G161),1)*IF(Upgrades!$T$10="Magnetosphere",POWER(Upgrades!$U$10,I161),1)*IF(Upgrades!$T$11="Magnetosphere",POWER(Upgrades!$U$11,J161),1)*IF(Upgrades!$T$12="Magnetosphere",POWER(Upgrades!$U$12,K161),1))+(IF(I161=0,0,(Upgrades!$G$10+I161*Upgrades!$H$10)*POWER(Upgrades!$I$10,I161)))*(IF(Upgrades!$T$6="Orbital Resonance",POWER(Upgrades!$U$6,E161),1)*IF(Upgrades!$T$7="Orbital Resonance",POWER(Upgrades!$U$7,F161),1)*IF(Upgrades!$T$8="Orbital Resonance",POWER(Upgrades!$U$8,G161),1)*IF(Upgrades!$T$9="Orbital Resonance",POWER(Upgrades!$U$9,H161),1)*IF(Upgrades!$T$11="Orbital Resonance",POWER(Upgrades!$U$11,J161),1)*IF(Upgrades!$T$12="Orbital Resonance",POWER(Upgrades!$U$12,K161),1))+(IF(J161=0,0,(Upgrades!$G$11+J161*Upgrades!$H$11)*POWER(Upgrades!$I$11,J161)))*(IF(Upgrades!$T$6="Heliopause",POWER(Upgrades!$U$6,E161),1)*IF(Upgrades!$T$7="Heliopause",POWER(Upgrades!$U$7,F161),1)*IF(Upgrades!$T$8="Heliopause",POWER(Upgrades!$U$8,G161),1)*IF(Upgrades!$T$9="Heliopause",POWER(Upgrades!$U$9,H161),1)*IF(Upgrades!$T$10="Heliopause",POWER(Upgrades!$U$10,I161),1)*IF(Upgrades!$T$12="Heliopause",POWER(Upgrades!$U$12,K161),1))+(IF(K161=0,0,(Upgrades!$G$12+K161*Upgrades!$H$12)*POWER(Upgrades!$I$12,K161)))*(IF(Upgrades!$T$6="First Photons",POWER(Upgrades!$U$6,E161),1)*IF(Upgrades!$T$7="First Photons",POWER(Upgrades!$U$7,F161),1)*IF(Upgrades!$T$8="First Photons",POWER(Upgrades!$U$8,G161),1)*IF(Upgrades!$T$9="First Photons",POWER(Upgrades!$U$9,H161),1)*IF(Upgrades!$T$10="First Photons",POWER(Upgrades!$U$10,I161),1)*IF(Upgrades!$T$11="First Photons",POWER(Upgrades!$U$11,J161),1)))*POWER(Upgrades!$P$6,E161)*POWER(Upgrades!$P$7,F161)*POWER(Upgrades!$P$8,G161)*POWER(Upgrades!$P$9,H161)*POWER(Upgrades!$P$10,I161)*POWER(Upgrades!$P$11,J161)*POWER(Upgrades!$P$12,K161)</f>
        <v>11.2</v>
      </c>
      <c r="O161" s="28" t="n">
        <f aca="false">((IF(E161=0,0,(Upgrades!$M$6+E161*Upgrades!$N$6)*POWER(Upgrades!$O$6,E161)))*(IF(Upgrades!$T$7="Solar Wind",POWER(Upgrades!$U$7,F161),1)*IF(Upgrades!$T$8="Solar Wind",POWER(Upgrades!$U$8,G161),1)*IF(Upgrades!$T$9="Solar Wind",POWER(Upgrades!$U$9,H161),1)*IF(Upgrades!$T$10="Solar Wind",POWER(Upgrades!$U$10,I161),1)*IF(Upgrades!$T$11="Solar Wind",POWER(Upgrades!$U$11,J161),1)*IF(Upgrades!$T$12="Solar Wind",POWER(Upgrades!$U$12,K161),1))+(IF(F161=0,0,(Upgrades!$M$7+F161*Upgrades!$N$7)*POWER(Upgrades!$O$7,F161)))*(IF(Upgrades!$T$6="Asteroid Belt",POWER(Upgrades!$U$6,E161),1)*IF(Upgrades!$T$8="Asteroid Belt",POWER(Upgrades!$U$8,G161),1)*IF(Upgrades!$T$9="Asteroid Belt",POWER(Upgrades!$U$9,H161),1)*IF(Upgrades!$T$10="Asteroid Belt",POWER(Upgrades!$U$10,I161),1)*IF(Upgrades!$T$11="Asteroid Belt",POWER(Upgrades!$U$11,J161),1)*IF(Upgrades!$T$12="Asteroid Belt",POWER(Upgrades!$U$12,K161),1))+(IF(G161=0,0,(Upgrades!$M$8+G161*Upgrades!$N$8)*POWER(Upgrades!$O$8,G161)))*(IF(Upgrades!$T$6="Stellar Coupling",POWER(Upgrades!$U$6,E161),1)*IF(Upgrades!$T$7="Stellar Coupling",POWER(Upgrades!$U$7,F161),1)*IF(Upgrades!$T$9="Stellar Coupling",POWER(Upgrades!$U$9,H161),1)*IF(Upgrades!$T$10="Stellar Coupling",POWER(Upgrades!$U$10,I161),1)*IF(Upgrades!$T$11="Stellar Coupling",POWER(Upgrades!$U$11,J161),1)*IF(Upgrades!$T$12="Stellar Coupling",POWER(Upgrades!$U$12,K161),1))+(IF(H161=0,0,(Upgrades!$M$9+H161*Upgrades!$N$9)*POWER(Upgrades!$O$9,H161)))*(IF(Upgrades!$T$6="Magnetosphere",POWER(Upgrades!$U$6,E161),1)*IF(Upgrades!$T$7="Magnetosphere",POWER(Upgrades!$U$7,F161),1)*IF(Upgrades!$T$8="Magnetosphere",POWER(Upgrades!$U$8,G161),1)*IF(Upgrades!$T$10="Magnetosphere",POWER(Upgrades!$U$10,I161),1)*IF(Upgrades!$T$11="Magnetosphere",POWER(Upgrades!$U$11,J161),1)*IF(Upgrades!$T$12="Magnetosphere",POWER(Upgrades!$U$12,K161),1))+(IF(I161=0,0,(Upgrades!$M$10+I161*Upgrades!$N$10)*POWER(Upgrades!$O$10,I161)))*(IF(Upgrades!$T$6="Orbital Resonance",POWER(Upgrades!$U$6,E161),1)*IF(Upgrades!$T$7="Orbital Resonance",POWER(Upgrades!$U$7,F161),1)*IF(Upgrades!$T$8="Orbital Resonance",POWER(Upgrades!$U$8,G161),1)*IF(Upgrades!$T$9="Orbital Resonance",POWER(Upgrades!$U$9,H161),1)*IF(Upgrades!$T$11="Orbital Resonance",POWER(Upgrades!$U$11,J161),1)*IF(Upgrades!$T$12="Orbital Resonance",POWER(Upgrades!$U$12,K161),1))+(IF(J161=0,0,(Upgrades!$M$11+J161*Upgrades!$N$11)*POWER(Upgrades!$O$11,J161)))*(IF(Upgrades!$T$6="Heliopause",POWER(Upgrades!$U$6,E161),1)*IF(Upgrades!$T$7="Heliopause",POWER(Upgrades!$U$7,F161),1)*IF(Upgrades!$T$8="Heliopause",POWER(Upgrades!$U$8,G161),1)*IF(Upgrades!$T$9="Heliopause",POWER(Upgrades!$U$9,H161),1)*IF(Upgrades!$T$10="Heliopause",POWER(Upgrades!$U$10,I161),1)*IF(Upgrades!$T$12="Heliopause",POWER(Upgrades!$U$12,K161),1))+(IF(K161=0,0,(Upgrades!$M$12+K161*Upgrades!$N$12)*POWER(Upgrades!$O$12,K161)))*(IF(Upgrades!$T$6="First Photons",POWER(Upgrades!$U$6,E161),1)*IF(Upgrades!$T$7="First Photons",POWER(Upgrades!$U$7,F161),1)*IF(Upgrades!$T$8="First Photons",POWER(Upgrades!$U$8,G161),1)*IF(Upgrades!$T$9="First Photons",POWER(Upgrades!$U$9,H161),1)*IF(Upgrades!$T$10="First Photons",POWER(Upgrades!$U$10,I161),1)*IF(Upgrades!$T$11="First Photons",POWER(Upgrades!$U$11,J161),1)))*POWER(Upgrades!$R$6,E161)*POWER(Upgrades!$R$7,F161)*POWER(Upgrades!$R$8,G161)*POWER(Upgrades!$R$9,H161)*POWER(Upgrades!$R$10,I161)*POWER(Upgrades!$R$11,J161)*POWER(Upgrades!$R$12,K161)</f>
        <v>0</v>
      </c>
      <c r="P161" s="27" t="n">
        <f aca="false">IF(L161=1,0,M161*Parameters!$B$10/60*Parameters!$B$11*10)</f>
        <v>0</v>
      </c>
      <c r="Q161" s="27" t="n">
        <f aca="false">IF(L161=1,0,O161*M161*10)</f>
        <v>0</v>
      </c>
      <c r="R161" s="27" t="n">
        <f aca="false">IF(L161=1,0,N161*10)</f>
        <v>0</v>
      </c>
      <c r="S161" s="27" t="n">
        <f aca="false">P161+Q161+R161</f>
        <v>0</v>
      </c>
      <c r="T161" s="21" t="n">
        <f aca="false">C161+S161</f>
        <v>18.6730249835055</v>
      </c>
      <c r="U161" s="34" t="str">
        <f aca="false">AX161</f>
        <v/>
      </c>
      <c r="V161" s="21" t="n">
        <f aca="false">IF(U161="",0,IF(U161="transition",0,IF(U161="SW",AG161,IF(U161="AB",AH161,IF(U161="SC",AI161,IF(U161="Mag",AJ161,IF(U161="OR",AK161,IF(U161="HP",AL161,IF(U161="FP",AM161,0)))))))))</f>
        <v>0</v>
      </c>
      <c r="W161" s="27" t="n">
        <f aca="false">IF(U161="OR",Upgrades!$F$10,IF(U161="HP",Upgrades!$F$11,IF(U161="transition",-Parameters!$B$18,0)))</f>
        <v>0</v>
      </c>
      <c r="X161" s="21" t="n">
        <f aca="false">T161-V161</f>
        <v>18.6730249835055</v>
      </c>
      <c r="Y161" s="30" t="n">
        <f aca="false">M161*Parameters!$B$10/60*Parameters!$B$11+O161*M161+N161</f>
        <v>20.55</v>
      </c>
      <c r="Z161" s="35" t="str">
        <f aca="false">IF(U161="transition","→ Tier 2 (Stellar Neighborhood)",IF(U161="FP","First Photons — light begins, system quickens",IF(U161="HP","Heliopause acquired",IF(U161="OR","Orbital Resonance — passive multiplier active",IF(AND(AO161=1,L161=0,AN161&lt;&gt;1),"Cohesion ready (waiting on completionist upgrades)","")))))</f>
        <v/>
      </c>
      <c r="AA161" s="27" t="n">
        <f aca="false">(IF(E161=0,0,(Upgrades!$G$6+E161*Upgrades!$H$6)*POWER(Upgrades!$I$6,E161)))*(IF(Upgrades!$T$7="Solar Wind",POWER(Upgrades!$U$7,F161),1)*IF(Upgrades!$T$8="Solar Wind",POWER(Upgrades!$U$8,G161),1)*IF(Upgrades!$T$9="Solar Wind",POWER(Upgrades!$U$9,H161),1)*IF(Upgrades!$T$10="Solar Wind",POWER(Upgrades!$U$10,I161),1)*IF(Upgrades!$T$11="Solar Wind",POWER(Upgrades!$U$11,J161),1)*IF(Upgrades!$T$12="Solar Wind",POWER(Upgrades!$U$12,K161),1))*POWER(Upgrades!$P$6,E161)*POWER(Upgrades!$P$7,F161)*POWER(Upgrades!$P$8,G161)*POWER(Upgrades!$P$9,H161)*POWER(Upgrades!$P$10,I161)*POWER(Upgrades!$P$11,J161)*POWER(Upgrades!$P$12,K161)*60</f>
        <v>72</v>
      </c>
      <c r="AB161" s="27" t="n">
        <f aca="false">(IF(F161=0,0,(Upgrades!$G$7+F161*Upgrades!$H$7)*POWER(Upgrades!$I$7,F161)))*(IF(Upgrades!$T$6="Asteroid Belt",POWER(Upgrades!$U$6,E161),1)*IF(Upgrades!$T$8="Asteroid Belt",POWER(Upgrades!$U$8,G161),1)*IF(Upgrades!$T$9="Asteroid Belt",POWER(Upgrades!$U$9,H161),1)*IF(Upgrades!$T$10="Asteroid Belt",POWER(Upgrades!$U$10,I161),1)*IF(Upgrades!$T$11="Asteroid Belt",POWER(Upgrades!$U$11,J161),1)*IF(Upgrades!$T$12="Asteroid Belt",POWER(Upgrades!$U$12,K161),1))*POWER(Upgrades!$P$6,E161)*POWER(Upgrades!$P$7,F161)*POWER(Upgrades!$P$8,G161)*POWER(Upgrades!$P$9,H161)*POWER(Upgrades!$P$10,I161)*POWER(Upgrades!$P$11,J161)*POWER(Upgrades!$P$12,K161)*60</f>
        <v>150</v>
      </c>
      <c r="AC161" s="27" t="n">
        <f aca="false">(IF(G161=0,0,(Upgrades!$J$8+G161*Upgrades!$K$8)*POWER(Upgrades!$L$8,G161)))*(IF(Upgrades!$T$6="Stellar Coupling",POWER(Upgrades!$U$6,E161),1)*IF(Upgrades!$T$7="Stellar Coupling",POWER(Upgrades!$U$7,F161),1)*IF(Upgrades!$T$9="Stellar Coupling",POWER(Upgrades!$U$9,H161),1)*IF(Upgrades!$T$10="Stellar Coupling",POWER(Upgrades!$U$10,I161),1)*IF(Upgrades!$T$11="Stellar Coupling",POWER(Upgrades!$U$11,J161),1)*IF(Upgrades!$T$12="Stellar Coupling",POWER(Upgrades!$U$12,K161),1))*POWER(Upgrades!$Q$6,E161)*POWER(Upgrades!$Q$7,F161)*POWER(Upgrades!$Q$8,G161)*POWER(Upgrades!$Q$9,H161)*POWER(Upgrades!$Q$10,I161)*POWER(Upgrades!$Q$11,J161)*POWER(Upgrades!$Q$12,K161)*Parameters!$B$10*Parameters!$B$11</f>
        <v>441</v>
      </c>
      <c r="AD161" s="27" t="n">
        <f aca="false">(IF(H161=0,0,(Upgrades!$G$9+H161*Upgrades!$H$9)*POWER(Upgrades!$I$9,H161)))*(IF(Upgrades!$T$6="Magnetosphere",POWER(Upgrades!$U$6,E161),1)*IF(Upgrades!$T$7="Magnetosphere",POWER(Upgrades!$U$7,F161),1)*IF(Upgrades!$T$8="Magnetosphere",POWER(Upgrades!$U$8,G161),1)*IF(Upgrades!$T$10="Magnetosphere",POWER(Upgrades!$U$10,I161),1)*IF(Upgrades!$T$11="Magnetosphere",POWER(Upgrades!$U$11,J161),1)*IF(Upgrades!$T$12="Magnetosphere",POWER(Upgrades!$U$12,K161),1))*POWER(Upgrades!$P$6,E161)*POWER(Upgrades!$P$7,F161)*POWER(Upgrades!$P$8,G161)*POWER(Upgrades!$P$9,H161)*POWER(Upgrades!$P$10,I161)*POWER(Upgrades!$P$11,J161)*POWER(Upgrades!$P$12,K161)*60</f>
        <v>375</v>
      </c>
      <c r="AE161" s="27" t="n">
        <f aca="false">(IF(K161=0,0,(Upgrades!$G$12+K161*Upgrades!$H$12)*POWER(Upgrades!$I$12,K161)))*(IF(Upgrades!$T$6="First Photons",POWER(Upgrades!$U$6,E161),1)*IF(Upgrades!$T$7="First Photons",POWER(Upgrades!$U$7,F161),1)*IF(Upgrades!$T$8="First Photons",POWER(Upgrades!$U$8,G161),1)*IF(Upgrades!$T$9="First Photons",POWER(Upgrades!$U$9,H161),1)*IF(Upgrades!$T$10="First Photons",POWER(Upgrades!$U$10,I161),1)*IF(Upgrades!$T$11="First Photons",POWER(Upgrades!$U$11,J161),1))*POWER(Upgrades!$P$6,E161)*POWER(Upgrades!$P$7,F161)*POWER(Upgrades!$P$8,G161)*POWER(Upgrades!$P$9,H161)*POWER(Upgrades!$P$10,I161)*POWER(Upgrades!$P$11,J161)*POWER(Upgrades!$P$12,K161)*60</f>
        <v>75</v>
      </c>
      <c r="AF161" s="27" t="n">
        <f aca="false">Parameters!$B$9*POWER(Upgrades!$Q$6,E161)*POWER(Upgrades!$Q$7,F161)*POWER(Upgrades!$Q$8,G161)*POWER(Upgrades!$Q$9,H161)*POWER(Upgrades!$Q$10,I161)*POWER(Upgrades!$Q$11,J161)*POWER(Upgrades!$Q$12,K161)*(Parameters!$B$10*Parameters!$B$11+O161*60)</f>
        <v>120</v>
      </c>
      <c r="AG161" s="21" t="n">
        <f aca="false">IF(E161&gt;=Upgrades!$E$6,"",Upgrades!$C$6*POWER(Upgrades!$D$6,E161))</f>
        <v>37.4517507383159</v>
      </c>
      <c r="AH161" s="21" t="n">
        <f aca="false">IF(F161&gt;=Upgrades!$E$7,"",Upgrades!$C$7*POWER(Upgrades!$D$7,F161))</f>
        <v>80.9111547141581</v>
      </c>
      <c r="AI161" s="21" t="n">
        <f aca="false">IF(G161&gt;=Upgrades!$E$8,"",Upgrades!$C$8*POWER(Upgrades!$D$8,G161))</f>
        <v>231.9097088</v>
      </c>
      <c r="AJ161" s="21" t="str">
        <f aca="false">IF(H161&gt;=Upgrades!$E$9,"",Upgrades!$C$9*POWER(Upgrades!$D$9,H161))</f>
        <v/>
      </c>
      <c r="AK161" s="21" t="str">
        <f aca="false">IF(I161&gt;=Upgrades!$E$10,"",Upgrades!$C$10*POWER(Upgrades!$D$10,I161))</f>
        <v/>
      </c>
      <c r="AL161" s="21" t="str">
        <f aca="false">IF(J161&gt;=Upgrades!$E$11,"",Upgrades!$C$11*POWER(Upgrades!$D$11,J161))</f>
        <v/>
      </c>
      <c r="AM161" s="21" t="str">
        <f aca="false">IF(K161&gt;=Upgrades!$E$12,"",Upgrades!$C$12*POWER(Upgrades!$D$12,K161))</f>
        <v/>
      </c>
      <c r="AN161" s="26" t="str">
        <f aca="false">IF(AND(D161&gt;=Parameters!$B$18,(H161&gt;=Upgrades!$E$9)*(K161&gt;=Upgrades!$E$12)=1,L161=0),1,"")</f>
        <v/>
      </c>
      <c r="AO161" s="26" t="str">
        <f aca="false">IF(AND(D161&gt;=Parameters!$B$18,L161=0),1,"")</f>
        <v/>
      </c>
      <c r="AP161" s="21" t="n">
        <f aca="false">MIN(IF(ISNUMBER(AK161),AK161,9000000000000000),IF(ISNUMBER(AL161),AL161,9000000000000000),IF(ISNUMBER(AM161),AM161,9000000000000000))</f>
        <v>9000000000000000</v>
      </c>
      <c r="AQ161" s="21" t="n">
        <f aca="false">MIN(IF(ISNUMBER(AG161),AG161,9000000000000000),IF(ISNUMBER(AH161),AH161,9000000000000000),IF(ISNUMBER(AI161),AI161,9000000000000000),IF(ISNUMBER(AJ161),AJ161,9000000000000000))</f>
        <v>37.4517507383159</v>
      </c>
      <c r="AR161" s="32" t="b">
        <f aca="false">IF(AW161&gt;Parameters!$B$21*(MAX(IF(AND(NOT(AND(AO161=1,AN161&lt;&gt;1)),ISNUMBER(AG161),AG161&lt;=T161),AS161,0),IF(AND(NOT(AND(AO161=1,AN161&lt;&gt;1)),ISNUMBER(AH161),AH161&lt;=T161),AT161,0),IF(AND(NOT(AND(AO161=1,AN161&lt;&gt;1)),ISNUMBER(AI161),AI161&lt;=T161),AU161,0),IF(AND(ISNUMBER(AJ161),AJ161&lt;=T161),AV161,0))),TRUE(),FALSE())</f>
        <v>1</v>
      </c>
      <c r="AS161" s="33" t="n">
        <f aca="false">IFERROR(Upgrades!$H$6*(POWER(Upgrades!$P$6,E161)*POWER(Upgrades!$P$7,F161)*POWER(Upgrades!$P$8,G161)*POWER(Upgrades!$P$9,H161)*POWER(Upgrades!$P$10,I161)*POWER(Upgrades!$P$11,J161)*POWER(Upgrades!$P$12,K161))*(IF(Upgrades!$T$7="Solar Wind",POWER(Upgrades!$U$7,F161),1)*IF(Upgrades!$T$8="Solar Wind",POWER(Upgrades!$U$8,G161),1)*IF(Upgrades!$T$9="Solar Wind",POWER(Upgrades!$U$9,H161),1)*IF(Upgrades!$T$10="Solar Wind",POWER(Upgrades!$U$10,I161),1)*IF(Upgrades!$T$11="Solar Wind",POWER(Upgrades!$U$11,J161),1)*IF(Upgrades!$T$12="Solar Wind",POWER(Upgrades!$U$12,K161),1))/AG161,0)</f>
        <v>0.0026701021455238</v>
      </c>
      <c r="AT161" s="33" t="n">
        <f aca="false">IFERROR(Upgrades!$H$7*(POWER(Upgrades!$P$6,E161)*POWER(Upgrades!$P$7,F161)*POWER(Upgrades!$P$8,G161)*POWER(Upgrades!$P$9,H161)*POWER(Upgrades!$P$10,I161)*POWER(Upgrades!$P$11,J161)*POWER(Upgrades!$P$12,K161))*(IF(Upgrades!$T$6="Asteroid Belt",POWER(Upgrades!$U$6,E161),1)*IF(Upgrades!$T$8="Asteroid Belt",POWER(Upgrades!$U$8,G161),1)*IF(Upgrades!$T$9="Asteroid Belt",POWER(Upgrades!$U$9,H161),1)*IF(Upgrades!$T$10="Asteroid Belt",POWER(Upgrades!$U$10,I161),1)*IF(Upgrades!$T$11="Asteroid Belt",POWER(Upgrades!$U$11,J161),1)*IF(Upgrades!$T$12="Asteroid Belt",POWER(Upgrades!$U$12,K161),1))/AH161,0)</f>
        <v>0.00308980882652332</v>
      </c>
      <c r="AU161" s="33" t="n">
        <f aca="false">IFERROR(Upgrades!$K$8*(POWER(Upgrades!$Q$6,E161)*POWER(Upgrades!$Q$7,F161)*POWER(Upgrades!$Q$8,G161)*POWER(Upgrades!$Q$9,H161)*POWER(Upgrades!$Q$10,I161)*POWER(Upgrades!$Q$11,J161)*POWER(Upgrades!$Q$12,K161))*(IF(Upgrades!$T$6="Stellar Coupling",POWER(Upgrades!$U$6,E161),1)*IF(Upgrades!$T$7="Stellar Coupling",POWER(Upgrades!$U$7,F161),1)*IF(Upgrades!$T$9="Stellar Coupling",POWER(Upgrades!$U$9,H161),1)*IF(Upgrades!$T$10="Stellar Coupling",POWER(Upgrades!$U$10,I161),1)*IF(Upgrades!$T$11="Stellar Coupling",POWER(Upgrades!$U$11,J161),1)*IF(Upgrades!$T$12="Stellar Coupling",POWER(Upgrades!$U$12,K161),1))*Parameters!$B$10*Parameters!$B$11/60/AI161,0)</f>
        <v>0.00452762415783776</v>
      </c>
      <c r="AV161" s="33" t="n">
        <f aca="false">IFERROR(Upgrades!$H$9*(POWER(Upgrades!$P$6,E161)*POWER(Upgrades!$P$7,F161)*POWER(Upgrades!$P$8,G161)*POWER(Upgrades!$P$9,H161)*POWER(Upgrades!$P$10,I161)*POWER(Upgrades!$P$11,J161)*POWER(Upgrades!$P$12,K161))*(IF(Upgrades!$T$6="Magnetosphere",POWER(Upgrades!$U$6,E161),1)*IF(Upgrades!$T$7="Magnetosphere",POWER(Upgrades!$U$7,F161),1)*IF(Upgrades!$T$8="Magnetosphere",POWER(Upgrades!$U$8,G161),1)*IF(Upgrades!$T$10="Magnetosphere",POWER(Upgrades!$U$10,I161),1)*IF(Upgrades!$T$11="Magnetosphere",POWER(Upgrades!$U$11,J161),1)*IF(Upgrades!$T$12="Magnetosphere",POWER(Upgrades!$U$12,K161),1))/AJ161,0)</f>
        <v>0</v>
      </c>
      <c r="AW161" s="33" t="n">
        <f aca="false">MAX(IF(I161&gt;0,0,IFERROR(0.25*N161/Upgrades!$C$10,0)),IF(J161&gt;0,0,IFERROR(0.5*((IF(G161=0,0,(Upgrades!$J$8+G161*Upgrades!$K$8)*POWER(Upgrades!$L$8,G161)))*(IF(Upgrades!$T$6="Stellar Coupling",POWER(Upgrades!$U$6,E161),1)*IF(Upgrades!$T$7="Stellar Coupling",POWER(Upgrades!$U$7,F161),1)*IF(Upgrades!$T$9="Stellar Coupling",POWER(Upgrades!$U$9,H161),1)*IF(Upgrades!$T$10="Stellar Coupling",POWER(Upgrades!$U$10,I161),1)*IF(Upgrades!$T$11="Stellar Coupling",POWER(Upgrades!$U$11,J161),1)*IF(Upgrades!$T$12="Stellar Coupling",POWER(Upgrades!$U$12,K161),1))*(POWER(Upgrades!$Q$6,E161)*POWER(Upgrades!$Q$7,F161)*POWER(Upgrades!$Q$8,G161)*POWER(Upgrades!$Q$9,H161)*POWER(Upgrades!$Q$10,I161)*POWER(Upgrades!$Q$11,J161)*POWER(Upgrades!$Q$12,K161))*Parameters!$B$10*Parameters!$B$11/60)/Upgrades!$C$11,0)),IF(K161&gt;0,0,IFERROR((1*(POWER(Upgrades!$P$6,E161)*POWER(Upgrades!$P$7,F161)*POWER(Upgrades!$P$8,G161)*POWER(Upgrades!$P$9,H161)*POWER(Upgrades!$P$10,I161)*POWER(Upgrades!$P$11,J161)*POWER(Upgrades!$P$12,K161))+0.2*M161*Parameters!$B$10*Parameters!$B$11/60)/Upgrades!$C$12,0)),IF(AND(ISNUMBER(AG161),AG161&gt;T161),AS161,0),IF(AND(ISNUMBER(AH161),AH161&gt;T161),AT161,0),IF(AND(ISNUMBER(AI161),AI161&gt;T161),AU161,0),IF(AND(ISNUMBER(AJ161),AJ161&gt;T161),AV161,0))</f>
        <v>0.00452762415783776</v>
      </c>
      <c r="AX161" s="29" t="str">
        <f aca="false">IF(AN161=1,"transition",IF(MIN(IF(AND(I161=0,ISNUMBER(AK161),AK161&lt;=T161),AK161,9000000000000000),IF(AND(J161=0,ISNUMBER(AL161),AL161&lt;=T161),AL161,9000000000000000),IF(AND(K161=0,ISNUMBER(AM161),AM161&lt;=T161),AM161,9000000000000000))&lt;9000000000000000,IF(AND(AND(I161=0,ISNUMBER(AK161),AK161&lt;=T161),AK161=MIN(IF(AND(I161=0,ISNUMBER(AK161),AK161&lt;=T161),AK161,9000000000000000),IF(AND(J161=0,ISNUMBER(AL161),AL161&lt;=T161),AL161,9000000000000000),IF(AND(K161=0,ISNUMBER(AM161),AM161&lt;=T161),AM161,9000000000000000))),"OR",IF(AND(AND(J161=0,ISNUMBER(AL161),AL161&lt;=T161),AL161=MIN(IF(AND(I161=0,ISNUMBER(AK161),AK161&lt;=T161),AK161,9000000000000000),IF(AND(J161=0,ISNUMBER(AL161),AL161&lt;=T161),AL161,9000000000000000),IF(AND(K161=0,ISNUMBER(AM161),AM161&lt;=T161),AM161,9000000000000000))),"HP","FP")),IF(AR161=TRUE(),"",IF(MAX(IF(AND(NOT(AND(AO161=1,AN161&lt;&gt;1)),ISNUMBER(AG161),AG161&lt;=T161),AS161,0),IF(AND(NOT(AND(AO161=1,AN161&lt;&gt;1)),ISNUMBER(AH161),AH161&lt;=T161),AT161,0),IF(AND(NOT(AND(AO161=1,AN161&lt;&gt;1)),ISNUMBER(AI161),AI161&lt;=T161),AU161,0),IF(AND(ISNUMBER(AJ161),AJ161&lt;=T161),AV161,0))&lt;=0,"",IF(AND(IF(AND(NOT(AND(AO161=1,AN161&lt;&gt;1)),ISNUMBER(AG161),AG161&lt;=T161),AS161,0)&gt;0,IF(AND(NOT(AND(AO161=1,AN161&lt;&gt;1)),ISNUMBER(AG161),AG161&lt;=T161),AS161,0)=MAX(IF(AND(NOT(AND(AO161=1,AN161&lt;&gt;1)),ISNUMBER(AG161),AG161&lt;=T161),AS161,0),IF(AND(NOT(AND(AO161=1,AN161&lt;&gt;1)),ISNUMBER(AH161),AH161&lt;=T161),AT161,0),IF(AND(NOT(AND(AO161=1,AN161&lt;&gt;1)),ISNUMBER(AI161),AI161&lt;=T161),AU161,0),IF(AND(ISNUMBER(AJ161),AJ161&lt;=T161),AV161,0))),"SW",IF(AND(IF(AND(NOT(AND(AO161=1,AN161&lt;&gt;1)),ISNUMBER(AH161),AH161&lt;=T161),AT161,0)&gt;0,IF(AND(NOT(AND(AO161=1,AN161&lt;&gt;1)),ISNUMBER(AH161),AH161&lt;=T161),AT161,0)=MAX(IF(AND(NOT(AND(AO161=1,AN161&lt;&gt;1)),ISNUMBER(AG161),AG161&lt;=T161),AS161,0),IF(AND(NOT(AND(AO161=1,AN161&lt;&gt;1)),ISNUMBER(AH161),AH161&lt;=T161),AT161,0),IF(AND(NOT(AND(AO161=1,AN161&lt;&gt;1)),ISNUMBER(AI161),AI161&lt;=T161),AU161,0),IF(AND(ISNUMBER(AJ161),AJ161&lt;=T161),AV161,0))),"AB",IF(AND(IF(AND(NOT(AND(AO161=1,AN161&lt;&gt;1)),ISNUMBER(AI161),AI161&lt;=T161),AU161,0)&gt;0,IF(AND(NOT(AND(AO161=1,AN161&lt;&gt;1)),ISNUMBER(AI161),AI161&lt;=T161),AU161,0)=MAX(IF(AND(NOT(AND(AO161=1,AN161&lt;&gt;1)),ISNUMBER(AG161),AG161&lt;=T161),AS161,0),IF(AND(NOT(AND(AO161=1,AN161&lt;&gt;1)),ISNUMBER(AH161),AH161&lt;=T161),AT161,0),IF(AND(NOT(AND(AO161=1,AN161&lt;&gt;1)),ISNUMBER(AI161),AI161&lt;=T161),AU161,0),IF(AND(ISNUMBER(AJ161),AJ161&lt;=T161),AV161,0))),"SC","Mag")))))))</f>
        <v/>
      </c>
    </row>
    <row r="162" customFormat="false" ht="15" hidden="false" customHeight="false" outlineLevel="0" collapsed="false">
      <c r="A162" s="26" t="n">
        <v>157</v>
      </c>
      <c r="B162" s="27" t="n">
        <f aca="false">A162*10/60</f>
        <v>26.1666666666667</v>
      </c>
      <c r="C162" s="21" t="n">
        <f aca="false">X161</f>
        <v>18.6730249835055</v>
      </c>
      <c r="D162" s="27" t="n">
        <f aca="false">D161+W161</f>
        <v>0</v>
      </c>
      <c r="E162" s="26" t="n">
        <f aca="false">E161+IF(U161="SW",1,0)</f>
        <v>12</v>
      </c>
      <c r="F162" s="26" t="n">
        <f aca="false">F161+IF(U161="AB",1,0)</f>
        <v>10</v>
      </c>
      <c r="G162" s="26" t="n">
        <f aca="false">G161+IF(U161="SC",1,0)</f>
        <v>7</v>
      </c>
      <c r="H162" s="26" t="n">
        <f aca="false">H161+IF(U161="Mag",1,0)</f>
        <v>5</v>
      </c>
      <c r="I162" s="26" t="n">
        <f aca="false">MAX(I161,IF(U161="OR",1,0))</f>
        <v>1</v>
      </c>
      <c r="J162" s="26" t="n">
        <f aca="false">MAX(J161,IF(U161="HP",1,0))</f>
        <v>1</v>
      </c>
      <c r="K162" s="26" t="n">
        <f aca="false">MAX(K161,IF(U161="FP",1,0))</f>
        <v>1</v>
      </c>
      <c r="L162" s="26" t="n">
        <f aca="false">MAX(L161,IF(U161="transition",1,0))</f>
        <v>1</v>
      </c>
      <c r="M162" s="28" t="n">
        <f aca="false">(Parameters!$B$9+(IF(E162=0,0,(Upgrades!$J$6+E162*Upgrades!$K$6)*POWER(Upgrades!$L$6,E162)))*(IF(Upgrades!$T$7="Solar Wind",POWER(Upgrades!$U$7,F162),1)*IF(Upgrades!$T$8="Solar Wind",POWER(Upgrades!$U$8,G162),1)*IF(Upgrades!$T$9="Solar Wind",POWER(Upgrades!$U$9,H162),1)*IF(Upgrades!$T$10="Solar Wind",POWER(Upgrades!$U$10,I162),1)*IF(Upgrades!$T$11="Solar Wind",POWER(Upgrades!$U$11,J162),1)*IF(Upgrades!$T$12="Solar Wind",POWER(Upgrades!$U$12,K162),1))+(IF(F162=0,0,(Upgrades!$J$7+F162*Upgrades!$K$7)*POWER(Upgrades!$L$7,F162)))*(IF(Upgrades!$T$6="Asteroid Belt",POWER(Upgrades!$U$6,E162),1)*IF(Upgrades!$T$8="Asteroid Belt",POWER(Upgrades!$U$8,G162),1)*IF(Upgrades!$T$9="Asteroid Belt",POWER(Upgrades!$U$9,H162),1)*IF(Upgrades!$T$10="Asteroid Belt",POWER(Upgrades!$U$10,I162),1)*IF(Upgrades!$T$11="Asteroid Belt",POWER(Upgrades!$U$11,J162),1)*IF(Upgrades!$T$12="Asteroid Belt",POWER(Upgrades!$U$12,K162),1))+(IF(G162=0,0,(Upgrades!$J$8+G162*Upgrades!$K$8)*POWER(Upgrades!$L$8,G162)))*(IF(Upgrades!$T$6="Stellar Coupling",POWER(Upgrades!$U$6,E162),1)*IF(Upgrades!$T$7="Stellar Coupling",POWER(Upgrades!$U$7,F162),1)*IF(Upgrades!$T$9="Stellar Coupling",POWER(Upgrades!$U$9,H162),1)*IF(Upgrades!$T$10="Stellar Coupling",POWER(Upgrades!$U$10,I162),1)*IF(Upgrades!$T$11="Stellar Coupling",POWER(Upgrades!$U$11,J162),1)*IF(Upgrades!$T$12="Stellar Coupling",POWER(Upgrades!$U$12,K162),1))+(IF(H162=0,0,(Upgrades!$J$9+H162*Upgrades!$K$9)*POWER(Upgrades!$L$9,H162)))*(IF(Upgrades!$T$6="Magnetosphere",POWER(Upgrades!$U$6,E162),1)*IF(Upgrades!$T$7="Magnetosphere",POWER(Upgrades!$U$7,F162),1)*IF(Upgrades!$T$8="Magnetosphere",POWER(Upgrades!$U$8,G162),1)*IF(Upgrades!$T$10="Magnetosphere",POWER(Upgrades!$U$10,I162),1)*IF(Upgrades!$T$11="Magnetosphere",POWER(Upgrades!$U$11,J162),1)*IF(Upgrades!$T$12="Magnetosphere",POWER(Upgrades!$U$12,K162),1))+(IF(I162=0,0,(Upgrades!$J$10+I162*Upgrades!$K$10)*POWER(Upgrades!$L$10,I162)))*(IF(Upgrades!$T$6="Orbital Resonance",POWER(Upgrades!$U$6,E162),1)*IF(Upgrades!$T$7="Orbital Resonance",POWER(Upgrades!$U$7,F162),1)*IF(Upgrades!$T$8="Orbital Resonance",POWER(Upgrades!$U$8,G162),1)*IF(Upgrades!$T$9="Orbital Resonance",POWER(Upgrades!$U$9,H162),1)*IF(Upgrades!$T$11="Orbital Resonance",POWER(Upgrades!$U$11,J162),1)*IF(Upgrades!$T$12="Orbital Resonance",POWER(Upgrades!$U$12,K162),1))+(IF(J162=0,0,(Upgrades!$J$11+J162*Upgrades!$K$11)*POWER(Upgrades!$L$11,J162)))*(IF(Upgrades!$T$6="Heliopause",POWER(Upgrades!$U$6,E162),1)*IF(Upgrades!$T$7="Heliopause",POWER(Upgrades!$U$7,F162),1)*IF(Upgrades!$T$8="Heliopause",POWER(Upgrades!$U$8,G162),1)*IF(Upgrades!$T$9="Heliopause",POWER(Upgrades!$U$9,H162),1)*IF(Upgrades!$T$10="Heliopause",POWER(Upgrades!$U$10,I162),1)*IF(Upgrades!$T$12="Heliopause",POWER(Upgrades!$U$12,K162),1))+(IF(K162=0,0,(Upgrades!$J$12+K162*Upgrades!$K$12)*POWER(Upgrades!$L$12,K162)))*(IF(Upgrades!$T$6="First Photons",POWER(Upgrades!$U$6,E162),1)*IF(Upgrades!$T$7="First Photons",POWER(Upgrades!$U$7,F162),1)*IF(Upgrades!$T$8="First Photons",POWER(Upgrades!$U$8,G162),1)*IF(Upgrades!$T$9="First Photons",POWER(Upgrades!$U$9,H162),1)*IF(Upgrades!$T$10="First Photons",POWER(Upgrades!$U$10,I162),1)*IF(Upgrades!$T$11="First Photons",POWER(Upgrades!$U$11,J162),1)))*POWER(Upgrades!$Q$6,E162)*POWER(Upgrades!$Q$7,F162)*POWER(Upgrades!$Q$8,G162)*POWER(Upgrades!$Q$9,H162)*POWER(Upgrades!$Q$10,I162)*POWER(Upgrades!$Q$11,J162)*POWER(Upgrades!$Q$12,K162)</f>
        <v>5.61</v>
      </c>
      <c r="N162" s="28" t="n">
        <f aca="false">((IF(E162=0,0,(Upgrades!$G$6+E162*Upgrades!$H$6)*POWER(Upgrades!$I$6,E162)))*(IF(Upgrades!$T$7="Solar Wind",POWER(Upgrades!$U$7,F162),1)*IF(Upgrades!$T$8="Solar Wind",POWER(Upgrades!$U$8,G162),1)*IF(Upgrades!$T$9="Solar Wind",POWER(Upgrades!$U$9,H162),1)*IF(Upgrades!$T$10="Solar Wind",POWER(Upgrades!$U$10,I162),1)*IF(Upgrades!$T$11="Solar Wind",POWER(Upgrades!$U$11,J162),1)*IF(Upgrades!$T$12="Solar Wind",POWER(Upgrades!$U$12,K162),1))+(IF(F162=0,0,(Upgrades!$G$7+F162*Upgrades!$H$7)*POWER(Upgrades!$I$7,F162)))*(IF(Upgrades!$T$6="Asteroid Belt",POWER(Upgrades!$U$6,E162),1)*IF(Upgrades!$T$8="Asteroid Belt",POWER(Upgrades!$U$8,G162),1)*IF(Upgrades!$T$9="Asteroid Belt",POWER(Upgrades!$U$9,H162),1)*IF(Upgrades!$T$10="Asteroid Belt",POWER(Upgrades!$U$10,I162),1)*IF(Upgrades!$T$11="Asteroid Belt",POWER(Upgrades!$U$11,J162),1)*IF(Upgrades!$T$12="Asteroid Belt",POWER(Upgrades!$U$12,K162),1))+(IF(G162=0,0,(Upgrades!$G$8+G162*Upgrades!$H$8)*POWER(Upgrades!$I$8,G162)))*(IF(Upgrades!$T$6="Stellar Coupling",POWER(Upgrades!$U$6,E162),1)*IF(Upgrades!$T$7="Stellar Coupling",POWER(Upgrades!$U$7,F162),1)*IF(Upgrades!$T$9="Stellar Coupling",POWER(Upgrades!$U$9,H162),1)*IF(Upgrades!$T$10="Stellar Coupling",POWER(Upgrades!$U$10,I162),1)*IF(Upgrades!$T$11="Stellar Coupling",POWER(Upgrades!$U$11,J162),1)*IF(Upgrades!$T$12="Stellar Coupling",POWER(Upgrades!$U$12,K162),1))+(IF(H162=0,0,(Upgrades!$G$9+H162*Upgrades!$H$9)*POWER(Upgrades!$I$9,H162)))*(IF(Upgrades!$T$6="Magnetosphere",POWER(Upgrades!$U$6,E162),1)*IF(Upgrades!$T$7="Magnetosphere",POWER(Upgrades!$U$7,F162),1)*IF(Upgrades!$T$8="Magnetosphere",POWER(Upgrades!$U$8,G162),1)*IF(Upgrades!$T$10="Magnetosphere",POWER(Upgrades!$U$10,I162),1)*IF(Upgrades!$T$11="Magnetosphere",POWER(Upgrades!$U$11,J162),1)*IF(Upgrades!$T$12="Magnetosphere",POWER(Upgrades!$U$12,K162),1))+(IF(I162=0,0,(Upgrades!$G$10+I162*Upgrades!$H$10)*POWER(Upgrades!$I$10,I162)))*(IF(Upgrades!$T$6="Orbital Resonance",POWER(Upgrades!$U$6,E162),1)*IF(Upgrades!$T$7="Orbital Resonance",POWER(Upgrades!$U$7,F162),1)*IF(Upgrades!$T$8="Orbital Resonance",POWER(Upgrades!$U$8,G162),1)*IF(Upgrades!$T$9="Orbital Resonance",POWER(Upgrades!$U$9,H162),1)*IF(Upgrades!$T$11="Orbital Resonance",POWER(Upgrades!$U$11,J162),1)*IF(Upgrades!$T$12="Orbital Resonance",POWER(Upgrades!$U$12,K162),1))+(IF(J162=0,0,(Upgrades!$G$11+J162*Upgrades!$H$11)*POWER(Upgrades!$I$11,J162)))*(IF(Upgrades!$T$6="Heliopause",POWER(Upgrades!$U$6,E162),1)*IF(Upgrades!$T$7="Heliopause",POWER(Upgrades!$U$7,F162),1)*IF(Upgrades!$T$8="Heliopause",POWER(Upgrades!$U$8,G162),1)*IF(Upgrades!$T$9="Heliopause",POWER(Upgrades!$U$9,H162),1)*IF(Upgrades!$T$10="Heliopause",POWER(Upgrades!$U$10,I162),1)*IF(Upgrades!$T$12="Heliopause",POWER(Upgrades!$U$12,K162),1))+(IF(K162=0,0,(Upgrades!$G$12+K162*Upgrades!$H$12)*POWER(Upgrades!$I$12,K162)))*(IF(Upgrades!$T$6="First Photons",POWER(Upgrades!$U$6,E162),1)*IF(Upgrades!$T$7="First Photons",POWER(Upgrades!$U$7,F162),1)*IF(Upgrades!$T$8="First Photons",POWER(Upgrades!$U$8,G162),1)*IF(Upgrades!$T$9="First Photons",POWER(Upgrades!$U$9,H162),1)*IF(Upgrades!$T$10="First Photons",POWER(Upgrades!$U$10,I162),1)*IF(Upgrades!$T$11="First Photons",POWER(Upgrades!$U$11,J162),1)))*POWER(Upgrades!$P$6,E162)*POWER(Upgrades!$P$7,F162)*POWER(Upgrades!$P$8,G162)*POWER(Upgrades!$P$9,H162)*POWER(Upgrades!$P$10,I162)*POWER(Upgrades!$P$11,J162)*POWER(Upgrades!$P$12,K162)</f>
        <v>11.2</v>
      </c>
      <c r="O162" s="28" t="n">
        <f aca="false">((IF(E162=0,0,(Upgrades!$M$6+E162*Upgrades!$N$6)*POWER(Upgrades!$O$6,E162)))*(IF(Upgrades!$T$7="Solar Wind",POWER(Upgrades!$U$7,F162),1)*IF(Upgrades!$T$8="Solar Wind",POWER(Upgrades!$U$8,G162),1)*IF(Upgrades!$T$9="Solar Wind",POWER(Upgrades!$U$9,H162),1)*IF(Upgrades!$T$10="Solar Wind",POWER(Upgrades!$U$10,I162),1)*IF(Upgrades!$T$11="Solar Wind",POWER(Upgrades!$U$11,J162),1)*IF(Upgrades!$T$12="Solar Wind",POWER(Upgrades!$U$12,K162),1))+(IF(F162=0,0,(Upgrades!$M$7+F162*Upgrades!$N$7)*POWER(Upgrades!$O$7,F162)))*(IF(Upgrades!$T$6="Asteroid Belt",POWER(Upgrades!$U$6,E162),1)*IF(Upgrades!$T$8="Asteroid Belt",POWER(Upgrades!$U$8,G162),1)*IF(Upgrades!$T$9="Asteroid Belt",POWER(Upgrades!$U$9,H162),1)*IF(Upgrades!$T$10="Asteroid Belt",POWER(Upgrades!$U$10,I162),1)*IF(Upgrades!$T$11="Asteroid Belt",POWER(Upgrades!$U$11,J162),1)*IF(Upgrades!$T$12="Asteroid Belt",POWER(Upgrades!$U$12,K162),1))+(IF(G162=0,0,(Upgrades!$M$8+G162*Upgrades!$N$8)*POWER(Upgrades!$O$8,G162)))*(IF(Upgrades!$T$6="Stellar Coupling",POWER(Upgrades!$U$6,E162),1)*IF(Upgrades!$T$7="Stellar Coupling",POWER(Upgrades!$U$7,F162),1)*IF(Upgrades!$T$9="Stellar Coupling",POWER(Upgrades!$U$9,H162),1)*IF(Upgrades!$T$10="Stellar Coupling",POWER(Upgrades!$U$10,I162),1)*IF(Upgrades!$T$11="Stellar Coupling",POWER(Upgrades!$U$11,J162),1)*IF(Upgrades!$T$12="Stellar Coupling",POWER(Upgrades!$U$12,K162),1))+(IF(H162=0,0,(Upgrades!$M$9+H162*Upgrades!$N$9)*POWER(Upgrades!$O$9,H162)))*(IF(Upgrades!$T$6="Magnetosphere",POWER(Upgrades!$U$6,E162),1)*IF(Upgrades!$T$7="Magnetosphere",POWER(Upgrades!$U$7,F162),1)*IF(Upgrades!$T$8="Magnetosphere",POWER(Upgrades!$U$8,G162),1)*IF(Upgrades!$T$10="Magnetosphere",POWER(Upgrades!$U$10,I162),1)*IF(Upgrades!$T$11="Magnetosphere",POWER(Upgrades!$U$11,J162),1)*IF(Upgrades!$T$12="Magnetosphere",POWER(Upgrades!$U$12,K162),1))+(IF(I162=0,0,(Upgrades!$M$10+I162*Upgrades!$N$10)*POWER(Upgrades!$O$10,I162)))*(IF(Upgrades!$T$6="Orbital Resonance",POWER(Upgrades!$U$6,E162),1)*IF(Upgrades!$T$7="Orbital Resonance",POWER(Upgrades!$U$7,F162),1)*IF(Upgrades!$T$8="Orbital Resonance",POWER(Upgrades!$U$8,G162),1)*IF(Upgrades!$T$9="Orbital Resonance",POWER(Upgrades!$U$9,H162),1)*IF(Upgrades!$T$11="Orbital Resonance",POWER(Upgrades!$U$11,J162),1)*IF(Upgrades!$T$12="Orbital Resonance",POWER(Upgrades!$U$12,K162),1))+(IF(J162=0,0,(Upgrades!$M$11+J162*Upgrades!$N$11)*POWER(Upgrades!$O$11,J162)))*(IF(Upgrades!$T$6="Heliopause",POWER(Upgrades!$U$6,E162),1)*IF(Upgrades!$T$7="Heliopause",POWER(Upgrades!$U$7,F162),1)*IF(Upgrades!$T$8="Heliopause",POWER(Upgrades!$U$8,G162),1)*IF(Upgrades!$T$9="Heliopause",POWER(Upgrades!$U$9,H162),1)*IF(Upgrades!$T$10="Heliopause",POWER(Upgrades!$U$10,I162),1)*IF(Upgrades!$T$12="Heliopause",POWER(Upgrades!$U$12,K162),1))+(IF(K162=0,0,(Upgrades!$M$12+K162*Upgrades!$N$12)*POWER(Upgrades!$O$12,K162)))*(IF(Upgrades!$T$6="First Photons",POWER(Upgrades!$U$6,E162),1)*IF(Upgrades!$T$7="First Photons",POWER(Upgrades!$U$7,F162),1)*IF(Upgrades!$T$8="First Photons",POWER(Upgrades!$U$8,G162),1)*IF(Upgrades!$T$9="First Photons",POWER(Upgrades!$U$9,H162),1)*IF(Upgrades!$T$10="First Photons",POWER(Upgrades!$U$10,I162),1)*IF(Upgrades!$T$11="First Photons",POWER(Upgrades!$U$11,J162),1)))*POWER(Upgrades!$R$6,E162)*POWER(Upgrades!$R$7,F162)*POWER(Upgrades!$R$8,G162)*POWER(Upgrades!$R$9,H162)*POWER(Upgrades!$R$10,I162)*POWER(Upgrades!$R$11,J162)*POWER(Upgrades!$R$12,K162)</f>
        <v>0</v>
      </c>
      <c r="P162" s="27" t="n">
        <f aca="false">IF(L162=1,0,M162*Parameters!$B$10/60*Parameters!$B$11*10)</f>
        <v>0</v>
      </c>
      <c r="Q162" s="27" t="n">
        <f aca="false">IF(L162=1,0,O162*M162*10)</f>
        <v>0</v>
      </c>
      <c r="R162" s="27" t="n">
        <f aca="false">IF(L162=1,0,N162*10)</f>
        <v>0</v>
      </c>
      <c r="S162" s="27" t="n">
        <f aca="false">P162+Q162+R162</f>
        <v>0</v>
      </c>
      <c r="T162" s="21" t="n">
        <f aca="false">C162+S162</f>
        <v>18.6730249835055</v>
      </c>
      <c r="U162" s="34" t="str">
        <f aca="false">AX162</f>
        <v/>
      </c>
      <c r="V162" s="21" t="n">
        <f aca="false">IF(U162="",0,IF(U162="transition",0,IF(U162="SW",AG162,IF(U162="AB",AH162,IF(U162="SC",AI162,IF(U162="Mag",AJ162,IF(U162="OR",AK162,IF(U162="HP",AL162,IF(U162="FP",AM162,0)))))))))</f>
        <v>0</v>
      </c>
      <c r="W162" s="27" t="n">
        <f aca="false">IF(U162="OR",Upgrades!$F$10,IF(U162="HP",Upgrades!$F$11,IF(U162="transition",-Parameters!$B$18,0)))</f>
        <v>0</v>
      </c>
      <c r="X162" s="21" t="n">
        <f aca="false">T162-V162</f>
        <v>18.6730249835055</v>
      </c>
      <c r="Y162" s="30" t="n">
        <f aca="false">M162*Parameters!$B$10/60*Parameters!$B$11+O162*M162+N162</f>
        <v>20.55</v>
      </c>
      <c r="Z162" s="35" t="str">
        <f aca="false">IF(U162="transition","→ Tier 2 (Stellar Neighborhood)",IF(U162="FP","First Photons — light begins, system quickens",IF(U162="HP","Heliopause acquired",IF(U162="OR","Orbital Resonance — passive multiplier active",IF(AND(AO162=1,L162=0,AN162&lt;&gt;1),"Cohesion ready (waiting on completionist upgrades)","")))))</f>
        <v/>
      </c>
      <c r="AA162" s="27" t="n">
        <f aca="false">(IF(E162=0,0,(Upgrades!$G$6+E162*Upgrades!$H$6)*POWER(Upgrades!$I$6,E162)))*(IF(Upgrades!$T$7="Solar Wind",POWER(Upgrades!$U$7,F162),1)*IF(Upgrades!$T$8="Solar Wind",POWER(Upgrades!$U$8,G162),1)*IF(Upgrades!$T$9="Solar Wind",POWER(Upgrades!$U$9,H162),1)*IF(Upgrades!$T$10="Solar Wind",POWER(Upgrades!$U$10,I162),1)*IF(Upgrades!$T$11="Solar Wind",POWER(Upgrades!$U$11,J162),1)*IF(Upgrades!$T$12="Solar Wind",POWER(Upgrades!$U$12,K162),1))*POWER(Upgrades!$P$6,E162)*POWER(Upgrades!$P$7,F162)*POWER(Upgrades!$P$8,G162)*POWER(Upgrades!$P$9,H162)*POWER(Upgrades!$P$10,I162)*POWER(Upgrades!$P$11,J162)*POWER(Upgrades!$P$12,K162)*60</f>
        <v>72</v>
      </c>
      <c r="AB162" s="27" t="n">
        <f aca="false">(IF(F162=0,0,(Upgrades!$G$7+F162*Upgrades!$H$7)*POWER(Upgrades!$I$7,F162)))*(IF(Upgrades!$T$6="Asteroid Belt",POWER(Upgrades!$U$6,E162),1)*IF(Upgrades!$T$8="Asteroid Belt",POWER(Upgrades!$U$8,G162),1)*IF(Upgrades!$T$9="Asteroid Belt",POWER(Upgrades!$U$9,H162),1)*IF(Upgrades!$T$10="Asteroid Belt",POWER(Upgrades!$U$10,I162),1)*IF(Upgrades!$T$11="Asteroid Belt",POWER(Upgrades!$U$11,J162),1)*IF(Upgrades!$T$12="Asteroid Belt",POWER(Upgrades!$U$12,K162),1))*POWER(Upgrades!$P$6,E162)*POWER(Upgrades!$P$7,F162)*POWER(Upgrades!$P$8,G162)*POWER(Upgrades!$P$9,H162)*POWER(Upgrades!$P$10,I162)*POWER(Upgrades!$P$11,J162)*POWER(Upgrades!$P$12,K162)*60</f>
        <v>150</v>
      </c>
      <c r="AC162" s="27" t="n">
        <f aca="false">(IF(G162=0,0,(Upgrades!$J$8+G162*Upgrades!$K$8)*POWER(Upgrades!$L$8,G162)))*(IF(Upgrades!$T$6="Stellar Coupling",POWER(Upgrades!$U$6,E162),1)*IF(Upgrades!$T$7="Stellar Coupling",POWER(Upgrades!$U$7,F162),1)*IF(Upgrades!$T$9="Stellar Coupling",POWER(Upgrades!$U$9,H162),1)*IF(Upgrades!$T$10="Stellar Coupling",POWER(Upgrades!$U$10,I162),1)*IF(Upgrades!$T$11="Stellar Coupling",POWER(Upgrades!$U$11,J162),1)*IF(Upgrades!$T$12="Stellar Coupling",POWER(Upgrades!$U$12,K162),1))*POWER(Upgrades!$Q$6,E162)*POWER(Upgrades!$Q$7,F162)*POWER(Upgrades!$Q$8,G162)*POWER(Upgrades!$Q$9,H162)*POWER(Upgrades!$Q$10,I162)*POWER(Upgrades!$Q$11,J162)*POWER(Upgrades!$Q$12,K162)*Parameters!$B$10*Parameters!$B$11</f>
        <v>441</v>
      </c>
      <c r="AD162" s="27" t="n">
        <f aca="false">(IF(H162=0,0,(Upgrades!$G$9+H162*Upgrades!$H$9)*POWER(Upgrades!$I$9,H162)))*(IF(Upgrades!$T$6="Magnetosphere",POWER(Upgrades!$U$6,E162),1)*IF(Upgrades!$T$7="Magnetosphere",POWER(Upgrades!$U$7,F162),1)*IF(Upgrades!$T$8="Magnetosphere",POWER(Upgrades!$U$8,G162),1)*IF(Upgrades!$T$10="Magnetosphere",POWER(Upgrades!$U$10,I162),1)*IF(Upgrades!$T$11="Magnetosphere",POWER(Upgrades!$U$11,J162),1)*IF(Upgrades!$T$12="Magnetosphere",POWER(Upgrades!$U$12,K162),1))*POWER(Upgrades!$P$6,E162)*POWER(Upgrades!$P$7,F162)*POWER(Upgrades!$P$8,G162)*POWER(Upgrades!$P$9,H162)*POWER(Upgrades!$P$10,I162)*POWER(Upgrades!$P$11,J162)*POWER(Upgrades!$P$12,K162)*60</f>
        <v>375</v>
      </c>
      <c r="AE162" s="27" t="n">
        <f aca="false">(IF(K162=0,0,(Upgrades!$G$12+K162*Upgrades!$H$12)*POWER(Upgrades!$I$12,K162)))*(IF(Upgrades!$T$6="First Photons",POWER(Upgrades!$U$6,E162),1)*IF(Upgrades!$T$7="First Photons",POWER(Upgrades!$U$7,F162),1)*IF(Upgrades!$T$8="First Photons",POWER(Upgrades!$U$8,G162),1)*IF(Upgrades!$T$9="First Photons",POWER(Upgrades!$U$9,H162),1)*IF(Upgrades!$T$10="First Photons",POWER(Upgrades!$U$10,I162),1)*IF(Upgrades!$T$11="First Photons",POWER(Upgrades!$U$11,J162),1))*POWER(Upgrades!$P$6,E162)*POWER(Upgrades!$P$7,F162)*POWER(Upgrades!$P$8,G162)*POWER(Upgrades!$P$9,H162)*POWER(Upgrades!$P$10,I162)*POWER(Upgrades!$P$11,J162)*POWER(Upgrades!$P$12,K162)*60</f>
        <v>75</v>
      </c>
      <c r="AF162" s="27" t="n">
        <f aca="false">Parameters!$B$9*POWER(Upgrades!$Q$6,E162)*POWER(Upgrades!$Q$7,F162)*POWER(Upgrades!$Q$8,G162)*POWER(Upgrades!$Q$9,H162)*POWER(Upgrades!$Q$10,I162)*POWER(Upgrades!$Q$11,J162)*POWER(Upgrades!$Q$12,K162)*(Parameters!$B$10*Parameters!$B$11+O162*60)</f>
        <v>120</v>
      </c>
      <c r="AG162" s="21" t="n">
        <f aca="false">IF(E162&gt;=Upgrades!$E$6,"",Upgrades!$C$6*POWER(Upgrades!$D$6,E162))</f>
        <v>37.4517507383159</v>
      </c>
      <c r="AH162" s="21" t="n">
        <f aca="false">IF(F162&gt;=Upgrades!$E$7,"",Upgrades!$C$7*POWER(Upgrades!$D$7,F162))</f>
        <v>80.9111547141581</v>
      </c>
      <c r="AI162" s="21" t="n">
        <f aca="false">IF(G162&gt;=Upgrades!$E$8,"",Upgrades!$C$8*POWER(Upgrades!$D$8,G162))</f>
        <v>231.9097088</v>
      </c>
      <c r="AJ162" s="21" t="str">
        <f aca="false">IF(H162&gt;=Upgrades!$E$9,"",Upgrades!$C$9*POWER(Upgrades!$D$9,H162))</f>
        <v/>
      </c>
      <c r="AK162" s="21" t="str">
        <f aca="false">IF(I162&gt;=Upgrades!$E$10,"",Upgrades!$C$10*POWER(Upgrades!$D$10,I162))</f>
        <v/>
      </c>
      <c r="AL162" s="21" t="str">
        <f aca="false">IF(J162&gt;=Upgrades!$E$11,"",Upgrades!$C$11*POWER(Upgrades!$D$11,J162))</f>
        <v/>
      </c>
      <c r="AM162" s="21" t="str">
        <f aca="false">IF(K162&gt;=Upgrades!$E$12,"",Upgrades!$C$12*POWER(Upgrades!$D$12,K162))</f>
        <v/>
      </c>
      <c r="AN162" s="26" t="str">
        <f aca="false">IF(AND(D162&gt;=Parameters!$B$18,(H162&gt;=Upgrades!$E$9)*(K162&gt;=Upgrades!$E$12)=1,L162=0),1,"")</f>
        <v/>
      </c>
      <c r="AO162" s="26" t="str">
        <f aca="false">IF(AND(D162&gt;=Parameters!$B$18,L162=0),1,"")</f>
        <v/>
      </c>
      <c r="AP162" s="21" t="n">
        <f aca="false">MIN(IF(ISNUMBER(AK162),AK162,9000000000000000),IF(ISNUMBER(AL162),AL162,9000000000000000),IF(ISNUMBER(AM162),AM162,9000000000000000))</f>
        <v>9000000000000000</v>
      </c>
      <c r="AQ162" s="21" t="n">
        <f aca="false">MIN(IF(ISNUMBER(AG162),AG162,9000000000000000),IF(ISNUMBER(AH162),AH162,9000000000000000),IF(ISNUMBER(AI162),AI162,9000000000000000),IF(ISNUMBER(AJ162),AJ162,9000000000000000))</f>
        <v>37.4517507383159</v>
      </c>
      <c r="AR162" s="32" t="b">
        <f aca="false">IF(AW162&gt;Parameters!$B$21*(MAX(IF(AND(NOT(AND(AO162=1,AN162&lt;&gt;1)),ISNUMBER(AG162),AG162&lt;=T162),AS162,0),IF(AND(NOT(AND(AO162=1,AN162&lt;&gt;1)),ISNUMBER(AH162),AH162&lt;=T162),AT162,0),IF(AND(NOT(AND(AO162=1,AN162&lt;&gt;1)),ISNUMBER(AI162),AI162&lt;=T162),AU162,0),IF(AND(ISNUMBER(AJ162),AJ162&lt;=T162),AV162,0))),TRUE(),FALSE())</f>
        <v>1</v>
      </c>
      <c r="AS162" s="33" t="n">
        <f aca="false">IFERROR(Upgrades!$H$6*(POWER(Upgrades!$P$6,E162)*POWER(Upgrades!$P$7,F162)*POWER(Upgrades!$P$8,G162)*POWER(Upgrades!$P$9,H162)*POWER(Upgrades!$P$10,I162)*POWER(Upgrades!$P$11,J162)*POWER(Upgrades!$P$12,K162))*(IF(Upgrades!$T$7="Solar Wind",POWER(Upgrades!$U$7,F162),1)*IF(Upgrades!$T$8="Solar Wind",POWER(Upgrades!$U$8,G162),1)*IF(Upgrades!$T$9="Solar Wind",POWER(Upgrades!$U$9,H162),1)*IF(Upgrades!$T$10="Solar Wind",POWER(Upgrades!$U$10,I162),1)*IF(Upgrades!$T$11="Solar Wind",POWER(Upgrades!$U$11,J162),1)*IF(Upgrades!$T$12="Solar Wind",POWER(Upgrades!$U$12,K162),1))/AG162,0)</f>
        <v>0.0026701021455238</v>
      </c>
      <c r="AT162" s="33" t="n">
        <f aca="false">IFERROR(Upgrades!$H$7*(POWER(Upgrades!$P$6,E162)*POWER(Upgrades!$P$7,F162)*POWER(Upgrades!$P$8,G162)*POWER(Upgrades!$P$9,H162)*POWER(Upgrades!$P$10,I162)*POWER(Upgrades!$P$11,J162)*POWER(Upgrades!$P$12,K162))*(IF(Upgrades!$T$6="Asteroid Belt",POWER(Upgrades!$U$6,E162),1)*IF(Upgrades!$T$8="Asteroid Belt",POWER(Upgrades!$U$8,G162),1)*IF(Upgrades!$T$9="Asteroid Belt",POWER(Upgrades!$U$9,H162),1)*IF(Upgrades!$T$10="Asteroid Belt",POWER(Upgrades!$U$10,I162),1)*IF(Upgrades!$T$11="Asteroid Belt",POWER(Upgrades!$U$11,J162),1)*IF(Upgrades!$T$12="Asteroid Belt",POWER(Upgrades!$U$12,K162),1))/AH162,0)</f>
        <v>0.00308980882652332</v>
      </c>
      <c r="AU162" s="33" t="n">
        <f aca="false">IFERROR(Upgrades!$K$8*(POWER(Upgrades!$Q$6,E162)*POWER(Upgrades!$Q$7,F162)*POWER(Upgrades!$Q$8,G162)*POWER(Upgrades!$Q$9,H162)*POWER(Upgrades!$Q$10,I162)*POWER(Upgrades!$Q$11,J162)*POWER(Upgrades!$Q$12,K162))*(IF(Upgrades!$T$6="Stellar Coupling",POWER(Upgrades!$U$6,E162),1)*IF(Upgrades!$T$7="Stellar Coupling",POWER(Upgrades!$U$7,F162),1)*IF(Upgrades!$T$9="Stellar Coupling",POWER(Upgrades!$U$9,H162),1)*IF(Upgrades!$T$10="Stellar Coupling",POWER(Upgrades!$U$10,I162),1)*IF(Upgrades!$T$11="Stellar Coupling",POWER(Upgrades!$U$11,J162),1)*IF(Upgrades!$T$12="Stellar Coupling",POWER(Upgrades!$U$12,K162),1))*Parameters!$B$10*Parameters!$B$11/60/AI162,0)</f>
        <v>0.00452762415783776</v>
      </c>
      <c r="AV162" s="33" t="n">
        <f aca="false">IFERROR(Upgrades!$H$9*(POWER(Upgrades!$P$6,E162)*POWER(Upgrades!$P$7,F162)*POWER(Upgrades!$P$8,G162)*POWER(Upgrades!$P$9,H162)*POWER(Upgrades!$P$10,I162)*POWER(Upgrades!$P$11,J162)*POWER(Upgrades!$P$12,K162))*(IF(Upgrades!$T$6="Magnetosphere",POWER(Upgrades!$U$6,E162),1)*IF(Upgrades!$T$7="Magnetosphere",POWER(Upgrades!$U$7,F162),1)*IF(Upgrades!$T$8="Magnetosphere",POWER(Upgrades!$U$8,G162),1)*IF(Upgrades!$T$10="Magnetosphere",POWER(Upgrades!$U$10,I162),1)*IF(Upgrades!$T$11="Magnetosphere",POWER(Upgrades!$U$11,J162),1)*IF(Upgrades!$T$12="Magnetosphere",POWER(Upgrades!$U$12,K162),1))/AJ162,0)</f>
        <v>0</v>
      </c>
      <c r="AW162" s="33" t="n">
        <f aca="false">MAX(IF(I162&gt;0,0,IFERROR(0.25*N162/Upgrades!$C$10,0)),IF(J162&gt;0,0,IFERROR(0.5*((IF(G162=0,0,(Upgrades!$J$8+G162*Upgrades!$K$8)*POWER(Upgrades!$L$8,G162)))*(IF(Upgrades!$T$6="Stellar Coupling",POWER(Upgrades!$U$6,E162),1)*IF(Upgrades!$T$7="Stellar Coupling",POWER(Upgrades!$U$7,F162),1)*IF(Upgrades!$T$9="Stellar Coupling",POWER(Upgrades!$U$9,H162),1)*IF(Upgrades!$T$10="Stellar Coupling",POWER(Upgrades!$U$10,I162),1)*IF(Upgrades!$T$11="Stellar Coupling",POWER(Upgrades!$U$11,J162),1)*IF(Upgrades!$T$12="Stellar Coupling",POWER(Upgrades!$U$12,K162),1))*(POWER(Upgrades!$Q$6,E162)*POWER(Upgrades!$Q$7,F162)*POWER(Upgrades!$Q$8,G162)*POWER(Upgrades!$Q$9,H162)*POWER(Upgrades!$Q$10,I162)*POWER(Upgrades!$Q$11,J162)*POWER(Upgrades!$Q$12,K162))*Parameters!$B$10*Parameters!$B$11/60)/Upgrades!$C$11,0)),IF(K162&gt;0,0,IFERROR((1*(POWER(Upgrades!$P$6,E162)*POWER(Upgrades!$P$7,F162)*POWER(Upgrades!$P$8,G162)*POWER(Upgrades!$P$9,H162)*POWER(Upgrades!$P$10,I162)*POWER(Upgrades!$P$11,J162)*POWER(Upgrades!$P$12,K162))+0.2*M162*Parameters!$B$10*Parameters!$B$11/60)/Upgrades!$C$12,0)),IF(AND(ISNUMBER(AG162),AG162&gt;T162),AS162,0),IF(AND(ISNUMBER(AH162),AH162&gt;T162),AT162,0),IF(AND(ISNUMBER(AI162),AI162&gt;T162),AU162,0),IF(AND(ISNUMBER(AJ162),AJ162&gt;T162),AV162,0))</f>
        <v>0.00452762415783776</v>
      </c>
      <c r="AX162" s="29" t="str">
        <f aca="false">IF(AN162=1,"transition",IF(MIN(IF(AND(I162=0,ISNUMBER(AK162),AK162&lt;=T162),AK162,9000000000000000),IF(AND(J162=0,ISNUMBER(AL162),AL162&lt;=T162),AL162,9000000000000000),IF(AND(K162=0,ISNUMBER(AM162),AM162&lt;=T162),AM162,9000000000000000))&lt;9000000000000000,IF(AND(AND(I162=0,ISNUMBER(AK162),AK162&lt;=T162),AK162=MIN(IF(AND(I162=0,ISNUMBER(AK162),AK162&lt;=T162),AK162,9000000000000000),IF(AND(J162=0,ISNUMBER(AL162),AL162&lt;=T162),AL162,9000000000000000),IF(AND(K162=0,ISNUMBER(AM162),AM162&lt;=T162),AM162,9000000000000000))),"OR",IF(AND(AND(J162=0,ISNUMBER(AL162),AL162&lt;=T162),AL162=MIN(IF(AND(I162=0,ISNUMBER(AK162),AK162&lt;=T162),AK162,9000000000000000),IF(AND(J162=0,ISNUMBER(AL162),AL162&lt;=T162),AL162,9000000000000000),IF(AND(K162=0,ISNUMBER(AM162),AM162&lt;=T162),AM162,9000000000000000))),"HP","FP")),IF(AR162=TRUE(),"",IF(MAX(IF(AND(NOT(AND(AO162=1,AN162&lt;&gt;1)),ISNUMBER(AG162),AG162&lt;=T162),AS162,0),IF(AND(NOT(AND(AO162=1,AN162&lt;&gt;1)),ISNUMBER(AH162),AH162&lt;=T162),AT162,0),IF(AND(NOT(AND(AO162=1,AN162&lt;&gt;1)),ISNUMBER(AI162),AI162&lt;=T162),AU162,0),IF(AND(ISNUMBER(AJ162),AJ162&lt;=T162),AV162,0))&lt;=0,"",IF(AND(IF(AND(NOT(AND(AO162=1,AN162&lt;&gt;1)),ISNUMBER(AG162),AG162&lt;=T162),AS162,0)&gt;0,IF(AND(NOT(AND(AO162=1,AN162&lt;&gt;1)),ISNUMBER(AG162),AG162&lt;=T162),AS162,0)=MAX(IF(AND(NOT(AND(AO162=1,AN162&lt;&gt;1)),ISNUMBER(AG162),AG162&lt;=T162),AS162,0),IF(AND(NOT(AND(AO162=1,AN162&lt;&gt;1)),ISNUMBER(AH162),AH162&lt;=T162),AT162,0),IF(AND(NOT(AND(AO162=1,AN162&lt;&gt;1)),ISNUMBER(AI162),AI162&lt;=T162),AU162,0),IF(AND(ISNUMBER(AJ162),AJ162&lt;=T162),AV162,0))),"SW",IF(AND(IF(AND(NOT(AND(AO162=1,AN162&lt;&gt;1)),ISNUMBER(AH162),AH162&lt;=T162),AT162,0)&gt;0,IF(AND(NOT(AND(AO162=1,AN162&lt;&gt;1)),ISNUMBER(AH162),AH162&lt;=T162),AT162,0)=MAX(IF(AND(NOT(AND(AO162=1,AN162&lt;&gt;1)),ISNUMBER(AG162),AG162&lt;=T162),AS162,0),IF(AND(NOT(AND(AO162=1,AN162&lt;&gt;1)),ISNUMBER(AH162),AH162&lt;=T162),AT162,0),IF(AND(NOT(AND(AO162=1,AN162&lt;&gt;1)),ISNUMBER(AI162),AI162&lt;=T162),AU162,0),IF(AND(ISNUMBER(AJ162),AJ162&lt;=T162),AV162,0))),"AB",IF(AND(IF(AND(NOT(AND(AO162=1,AN162&lt;&gt;1)),ISNUMBER(AI162),AI162&lt;=T162),AU162,0)&gt;0,IF(AND(NOT(AND(AO162=1,AN162&lt;&gt;1)),ISNUMBER(AI162),AI162&lt;=T162),AU162,0)=MAX(IF(AND(NOT(AND(AO162=1,AN162&lt;&gt;1)),ISNUMBER(AG162),AG162&lt;=T162),AS162,0),IF(AND(NOT(AND(AO162=1,AN162&lt;&gt;1)),ISNUMBER(AH162),AH162&lt;=T162),AT162,0),IF(AND(NOT(AND(AO162=1,AN162&lt;&gt;1)),ISNUMBER(AI162),AI162&lt;=T162),AU162,0),IF(AND(ISNUMBER(AJ162),AJ162&lt;=T162),AV162,0))),"SC","Mag")))))))</f>
        <v/>
      </c>
    </row>
    <row r="163" customFormat="false" ht="15" hidden="false" customHeight="false" outlineLevel="0" collapsed="false">
      <c r="A163" s="26" t="n">
        <v>158</v>
      </c>
      <c r="B163" s="27" t="n">
        <f aca="false">A163*10/60</f>
        <v>26.3333333333333</v>
      </c>
      <c r="C163" s="21" t="n">
        <f aca="false">X162</f>
        <v>18.6730249835055</v>
      </c>
      <c r="D163" s="27" t="n">
        <f aca="false">D162+W162</f>
        <v>0</v>
      </c>
      <c r="E163" s="26" t="n">
        <f aca="false">E162+IF(U162="SW",1,0)</f>
        <v>12</v>
      </c>
      <c r="F163" s="26" t="n">
        <f aca="false">F162+IF(U162="AB",1,0)</f>
        <v>10</v>
      </c>
      <c r="G163" s="26" t="n">
        <f aca="false">G162+IF(U162="SC",1,0)</f>
        <v>7</v>
      </c>
      <c r="H163" s="26" t="n">
        <f aca="false">H162+IF(U162="Mag",1,0)</f>
        <v>5</v>
      </c>
      <c r="I163" s="26" t="n">
        <f aca="false">MAX(I162,IF(U162="OR",1,0))</f>
        <v>1</v>
      </c>
      <c r="J163" s="26" t="n">
        <f aca="false">MAX(J162,IF(U162="HP",1,0))</f>
        <v>1</v>
      </c>
      <c r="K163" s="26" t="n">
        <f aca="false">MAX(K162,IF(U162="FP",1,0))</f>
        <v>1</v>
      </c>
      <c r="L163" s="26" t="n">
        <f aca="false">MAX(L162,IF(U162="transition",1,0))</f>
        <v>1</v>
      </c>
      <c r="M163" s="28" t="n">
        <f aca="false">(Parameters!$B$9+(IF(E163=0,0,(Upgrades!$J$6+E163*Upgrades!$K$6)*POWER(Upgrades!$L$6,E163)))*(IF(Upgrades!$T$7="Solar Wind",POWER(Upgrades!$U$7,F163),1)*IF(Upgrades!$T$8="Solar Wind",POWER(Upgrades!$U$8,G163),1)*IF(Upgrades!$T$9="Solar Wind",POWER(Upgrades!$U$9,H163),1)*IF(Upgrades!$T$10="Solar Wind",POWER(Upgrades!$U$10,I163),1)*IF(Upgrades!$T$11="Solar Wind",POWER(Upgrades!$U$11,J163),1)*IF(Upgrades!$T$12="Solar Wind",POWER(Upgrades!$U$12,K163),1))+(IF(F163=0,0,(Upgrades!$J$7+F163*Upgrades!$K$7)*POWER(Upgrades!$L$7,F163)))*(IF(Upgrades!$T$6="Asteroid Belt",POWER(Upgrades!$U$6,E163),1)*IF(Upgrades!$T$8="Asteroid Belt",POWER(Upgrades!$U$8,G163),1)*IF(Upgrades!$T$9="Asteroid Belt",POWER(Upgrades!$U$9,H163),1)*IF(Upgrades!$T$10="Asteroid Belt",POWER(Upgrades!$U$10,I163),1)*IF(Upgrades!$T$11="Asteroid Belt",POWER(Upgrades!$U$11,J163),1)*IF(Upgrades!$T$12="Asteroid Belt",POWER(Upgrades!$U$12,K163),1))+(IF(G163=0,0,(Upgrades!$J$8+G163*Upgrades!$K$8)*POWER(Upgrades!$L$8,G163)))*(IF(Upgrades!$T$6="Stellar Coupling",POWER(Upgrades!$U$6,E163),1)*IF(Upgrades!$T$7="Stellar Coupling",POWER(Upgrades!$U$7,F163),1)*IF(Upgrades!$T$9="Stellar Coupling",POWER(Upgrades!$U$9,H163),1)*IF(Upgrades!$T$10="Stellar Coupling",POWER(Upgrades!$U$10,I163),1)*IF(Upgrades!$T$11="Stellar Coupling",POWER(Upgrades!$U$11,J163),1)*IF(Upgrades!$T$12="Stellar Coupling",POWER(Upgrades!$U$12,K163),1))+(IF(H163=0,0,(Upgrades!$J$9+H163*Upgrades!$K$9)*POWER(Upgrades!$L$9,H163)))*(IF(Upgrades!$T$6="Magnetosphere",POWER(Upgrades!$U$6,E163),1)*IF(Upgrades!$T$7="Magnetosphere",POWER(Upgrades!$U$7,F163),1)*IF(Upgrades!$T$8="Magnetosphere",POWER(Upgrades!$U$8,G163),1)*IF(Upgrades!$T$10="Magnetosphere",POWER(Upgrades!$U$10,I163),1)*IF(Upgrades!$T$11="Magnetosphere",POWER(Upgrades!$U$11,J163),1)*IF(Upgrades!$T$12="Magnetosphere",POWER(Upgrades!$U$12,K163),1))+(IF(I163=0,0,(Upgrades!$J$10+I163*Upgrades!$K$10)*POWER(Upgrades!$L$10,I163)))*(IF(Upgrades!$T$6="Orbital Resonance",POWER(Upgrades!$U$6,E163),1)*IF(Upgrades!$T$7="Orbital Resonance",POWER(Upgrades!$U$7,F163),1)*IF(Upgrades!$T$8="Orbital Resonance",POWER(Upgrades!$U$8,G163),1)*IF(Upgrades!$T$9="Orbital Resonance",POWER(Upgrades!$U$9,H163),1)*IF(Upgrades!$T$11="Orbital Resonance",POWER(Upgrades!$U$11,J163),1)*IF(Upgrades!$T$12="Orbital Resonance",POWER(Upgrades!$U$12,K163),1))+(IF(J163=0,0,(Upgrades!$J$11+J163*Upgrades!$K$11)*POWER(Upgrades!$L$11,J163)))*(IF(Upgrades!$T$6="Heliopause",POWER(Upgrades!$U$6,E163),1)*IF(Upgrades!$T$7="Heliopause",POWER(Upgrades!$U$7,F163),1)*IF(Upgrades!$T$8="Heliopause",POWER(Upgrades!$U$8,G163),1)*IF(Upgrades!$T$9="Heliopause",POWER(Upgrades!$U$9,H163),1)*IF(Upgrades!$T$10="Heliopause",POWER(Upgrades!$U$10,I163),1)*IF(Upgrades!$T$12="Heliopause",POWER(Upgrades!$U$12,K163),1))+(IF(K163=0,0,(Upgrades!$J$12+K163*Upgrades!$K$12)*POWER(Upgrades!$L$12,K163)))*(IF(Upgrades!$T$6="First Photons",POWER(Upgrades!$U$6,E163),1)*IF(Upgrades!$T$7="First Photons",POWER(Upgrades!$U$7,F163),1)*IF(Upgrades!$T$8="First Photons",POWER(Upgrades!$U$8,G163),1)*IF(Upgrades!$T$9="First Photons",POWER(Upgrades!$U$9,H163),1)*IF(Upgrades!$T$10="First Photons",POWER(Upgrades!$U$10,I163),1)*IF(Upgrades!$T$11="First Photons",POWER(Upgrades!$U$11,J163),1)))*POWER(Upgrades!$Q$6,E163)*POWER(Upgrades!$Q$7,F163)*POWER(Upgrades!$Q$8,G163)*POWER(Upgrades!$Q$9,H163)*POWER(Upgrades!$Q$10,I163)*POWER(Upgrades!$Q$11,J163)*POWER(Upgrades!$Q$12,K163)</f>
        <v>5.61</v>
      </c>
      <c r="N163" s="28" t="n">
        <f aca="false">((IF(E163=0,0,(Upgrades!$G$6+E163*Upgrades!$H$6)*POWER(Upgrades!$I$6,E163)))*(IF(Upgrades!$T$7="Solar Wind",POWER(Upgrades!$U$7,F163),1)*IF(Upgrades!$T$8="Solar Wind",POWER(Upgrades!$U$8,G163),1)*IF(Upgrades!$T$9="Solar Wind",POWER(Upgrades!$U$9,H163),1)*IF(Upgrades!$T$10="Solar Wind",POWER(Upgrades!$U$10,I163),1)*IF(Upgrades!$T$11="Solar Wind",POWER(Upgrades!$U$11,J163),1)*IF(Upgrades!$T$12="Solar Wind",POWER(Upgrades!$U$12,K163),1))+(IF(F163=0,0,(Upgrades!$G$7+F163*Upgrades!$H$7)*POWER(Upgrades!$I$7,F163)))*(IF(Upgrades!$T$6="Asteroid Belt",POWER(Upgrades!$U$6,E163),1)*IF(Upgrades!$T$8="Asteroid Belt",POWER(Upgrades!$U$8,G163),1)*IF(Upgrades!$T$9="Asteroid Belt",POWER(Upgrades!$U$9,H163),1)*IF(Upgrades!$T$10="Asteroid Belt",POWER(Upgrades!$U$10,I163),1)*IF(Upgrades!$T$11="Asteroid Belt",POWER(Upgrades!$U$11,J163),1)*IF(Upgrades!$T$12="Asteroid Belt",POWER(Upgrades!$U$12,K163),1))+(IF(G163=0,0,(Upgrades!$G$8+G163*Upgrades!$H$8)*POWER(Upgrades!$I$8,G163)))*(IF(Upgrades!$T$6="Stellar Coupling",POWER(Upgrades!$U$6,E163),1)*IF(Upgrades!$T$7="Stellar Coupling",POWER(Upgrades!$U$7,F163),1)*IF(Upgrades!$T$9="Stellar Coupling",POWER(Upgrades!$U$9,H163),1)*IF(Upgrades!$T$10="Stellar Coupling",POWER(Upgrades!$U$10,I163),1)*IF(Upgrades!$T$11="Stellar Coupling",POWER(Upgrades!$U$11,J163),1)*IF(Upgrades!$T$12="Stellar Coupling",POWER(Upgrades!$U$12,K163),1))+(IF(H163=0,0,(Upgrades!$G$9+H163*Upgrades!$H$9)*POWER(Upgrades!$I$9,H163)))*(IF(Upgrades!$T$6="Magnetosphere",POWER(Upgrades!$U$6,E163),1)*IF(Upgrades!$T$7="Magnetosphere",POWER(Upgrades!$U$7,F163),1)*IF(Upgrades!$T$8="Magnetosphere",POWER(Upgrades!$U$8,G163),1)*IF(Upgrades!$T$10="Magnetosphere",POWER(Upgrades!$U$10,I163),1)*IF(Upgrades!$T$11="Magnetosphere",POWER(Upgrades!$U$11,J163),1)*IF(Upgrades!$T$12="Magnetosphere",POWER(Upgrades!$U$12,K163),1))+(IF(I163=0,0,(Upgrades!$G$10+I163*Upgrades!$H$10)*POWER(Upgrades!$I$10,I163)))*(IF(Upgrades!$T$6="Orbital Resonance",POWER(Upgrades!$U$6,E163),1)*IF(Upgrades!$T$7="Orbital Resonance",POWER(Upgrades!$U$7,F163),1)*IF(Upgrades!$T$8="Orbital Resonance",POWER(Upgrades!$U$8,G163),1)*IF(Upgrades!$T$9="Orbital Resonance",POWER(Upgrades!$U$9,H163),1)*IF(Upgrades!$T$11="Orbital Resonance",POWER(Upgrades!$U$11,J163),1)*IF(Upgrades!$T$12="Orbital Resonance",POWER(Upgrades!$U$12,K163),1))+(IF(J163=0,0,(Upgrades!$G$11+J163*Upgrades!$H$11)*POWER(Upgrades!$I$11,J163)))*(IF(Upgrades!$T$6="Heliopause",POWER(Upgrades!$U$6,E163),1)*IF(Upgrades!$T$7="Heliopause",POWER(Upgrades!$U$7,F163),1)*IF(Upgrades!$T$8="Heliopause",POWER(Upgrades!$U$8,G163),1)*IF(Upgrades!$T$9="Heliopause",POWER(Upgrades!$U$9,H163),1)*IF(Upgrades!$T$10="Heliopause",POWER(Upgrades!$U$10,I163),1)*IF(Upgrades!$T$12="Heliopause",POWER(Upgrades!$U$12,K163),1))+(IF(K163=0,0,(Upgrades!$G$12+K163*Upgrades!$H$12)*POWER(Upgrades!$I$12,K163)))*(IF(Upgrades!$T$6="First Photons",POWER(Upgrades!$U$6,E163),1)*IF(Upgrades!$T$7="First Photons",POWER(Upgrades!$U$7,F163),1)*IF(Upgrades!$T$8="First Photons",POWER(Upgrades!$U$8,G163),1)*IF(Upgrades!$T$9="First Photons",POWER(Upgrades!$U$9,H163),1)*IF(Upgrades!$T$10="First Photons",POWER(Upgrades!$U$10,I163),1)*IF(Upgrades!$T$11="First Photons",POWER(Upgrades!$U$11,J163),1)))*POWER(Upgrades!$P$6,E163)*POWER(Upgrades!$P$7,F163)*POWER(Upgrades!$P$8,G163)*POWER(Upgrades!$P$9,H163)*POWER(Upgrades!$P$10,I163)*POWER(Upgrades!$P$11,J163)*POWER(Upgrades!$P$12,K163)</f>
        <v>11.2</v>
      </c>
      <c r="O163" s="28" t="n">
        <f aca="false">((IF(E163=0,0,(Upgrades!$M$6+E163*Upgrades!$N$6)*POWER(Upgrades!$O$6,E163)))*(IF(Upgrades!$T$7="Solar Wind",POWER(Upgrades!$U$7,F163),1)*IF(Upgrades!$T$8="Solar Wind",POWER(Upgrades!$U$8,G163),1)*IF(Upgrades!$T$9="Solar Wind",POWER(Upgrades!$U$9,H163),1)*IF(Upgrades!$T$10="Solar Wind",POWER(Upgrades!$U$10,I163),1)*IF(Upgrades!$T$11="Solar Wind",POWER(Upgrades!$U$11,J163),1)*IF(Upgrades!$T$12="Solar Wind",POWER(Upgrades!$U$12,K163),1))+(IF(F163=0,0,(Upgrades!$M$7+F163*Upgrades!$N$7)*POWER(Upgrades!$O$7,F163)))*(IF(Upgrades!$T$6="Asteroid Belt",POWER(Upgrades!$U$6,E163),1)*IF(Upgrades!$T$8="Asteroid Belt",POWER(Upgrades!$U$8,G163),1)*IF(Upgrades!$T$9="Asteroid Belt",POWER(Upgrades!$U$9,H163),1)*IF(Upgrades!$T$10="Asteroid Belt",POWER(Upgrades!$U$10,I163),1)*IF(Upgrades!$T$11="Asteroid Belt",POWER(Upgrades!$U$11,J163),1)*IF(Upgrades!$T$12="Asteroid Belt",POWER(Upgrades!$U$12,K163),1))+(IF(G163=0,0,(Upgrades!$M$8+G163*Upgrades!$N$8)*POWER(Upgrades!$O$8,G163)))*(IF(Upgrades!$T$6="Stellar Coupling",POWER(Upgrades!$U$6,E163),1)*IF(Upgrades!$T$7="Stellar Coupling",POWER(Upgrades!$U$7,F163),1)*IF(Upgrades!$T$9="Stellar Coupling",POWER(Upgrades!$U$9,H163),1)*IF(Upgrades!$T$10="Stellar Coupling",POWER(Upgrades!$U$10,I163),1)*IF(Upgrades!$T$11="Stellar Coupling",POWER(Upgrades!$U$11,J163),1)*IF(Upgrades!$T$12="Stellar Coupling",POWER(Upgrades!$U$12,K163),1))+(IF(H163=0,0,(Upgrades!$M$9+H163*Upgrades!$N$9)*POWER(Upgrades!$O$9,H163)))*(IF(Upgrades!$T$6="Magnetosphere",POWER(Upgrades!$U$6,E163),1)*IF(Upgrades!$T$7="Magnetosphere",POWER(Upgrades!$U$7,F163),1)*IF(Upgrades!$T$8="Magnetosphere",POWER(Upgrades!$U$8,G163),1)*IF(Upgrades!$T$10="Magnetosphere",POWER(Upgrades!$U$10,I163),1)*IF(Upgrades!$T$11="Magnetosphere",POWER(Upgrades!$U$11,J163),1)*IF(Upgrades!$T$12="Magnetosphere",POWER(Upgrades!$U$12,K163),1))+(IF(I163=0,0,(Upgrades!$M$10+I163*Upgrades!$N$10)*POWER(Upgrades!$O$10,I163)))*(IF(Upgrades!$T$6="Orbital Resonance",POWER(Upgrades!$U$6,E163),1)*IF(Upgrades!$T$7="Orbital Resonance",POWER(Upgrades!$U$7,F163),1)*IF(Upgrades!$T$8="Orbital Resonance",POWER(Upgrades!$U$8,G163),1)*IF(Upgrades!$T$9="Orbital Resonance",POWER(Upgrades!$U$9,H163),1)*IF(Upgrades!$T$11="Orbital Resonance",POWER(Upgrades!$U$11,J163),1)*IF(Upgrades!$T$12="Orbital Resonance",POWER(Upgrades!$U$12,K163),1))+(IF(J163=0,0,(Upgrades!$M$11+J163*Upgrades!$N$11)*POWER(Upgrades!$O$11,J163)))*(IF(Upgrades!$T$6="Heliopause",POWER(Upgrades!$U$6,E163),1)*IF(Upgrades!$T$7="Heliopause",POWER(Upgrades!$U$7,F163),1)*IF(Upgrades!$T$8="Heliopause",POWER(Upgrades!$U$8,G163),1)*IF(Upgrades!$T$9="Heliopause",POWER(Upgrades!$U$9,H163),1)*IF(Upgrades!$T$10="Heliopause",POWER(Upgrades!$U$10,I163),1)*IF(Upgrades!$T$12="Heliopause",POWER(Upgrades!$U$12,K163),1))+(IF(K163=0,0,(Upgrades!$M$12+K163*Upgrades!$N$12)*POWER(Upgrades!$O$12,K163)))*(IF(Upgrades!$T$6="First Photons",POWER(Upgrades!$U$6,E163),1)*IF(Upgrades!$T$7="First Photons",POWER(Upgrades!$U$7,F163),1)*IF(Upgrades!$T$8="First Photons",POWER(Upgrades!$U$8,G163),1)*IF(Upgrades!$T$9="First Photons",POWER(Upgrades!$U$9,H163),1)*IF(Upgrades!$T$10="First Photons",POWER(Upgrades!$U$10,I163),1)*IF(Upgrades!$T$11="First Photons",POWER(Upgrades!$U$11,J163),1)))*POWER(Upgrades!$R$6,E163)*POWER(Upgrades!$R$7,F163)*POWER(Upgrades!$R$8,G163)*POWER(Upgrades!$R$9,H163)*POWER(Upgrades!$R$10,I163)*POWER(Upgrades!$R$11,J163)*POWER(Upgrades!$R$12,K163)</f>
        <v>0</v>
      </c>
      <c r="P163" s="27" t="n">
        <f aca="false">IF(L163=1,0,M163*Parameters!$B$10/60*Parameters!$B$11*10)</f>
        <v>0</v>
      </c>
      <c r="Q163" s="27" t="n">
        <f aca="false">IF(L163=1,0,O163*M163*10)</f>
        <v>0</v>
      </c>
      <c r="R163" s="27" t="n">
        <f aca="false">IF(L163=1,0,N163*10)</f>
        <v>0</v>
      </c>
      <c r="S163" s="27" t="n">
        <f aca="false">P163+Q163+R163</f>
        <v>0</v>
      </c>
      <c r="T163" s="21" t="n">
        <f aca="false">C163+S163</f>
        <v>18.6730249835055</v>
      </c>
      <c r="U163" s="34" t="str">
        <f aca="false">AX163</f>
        <v/>
      </c>
      <c r="V163" s="21" t="n">
        <f aca="false">IF(U163="",0,IF(U163="transition",0,IF(U163="SW",AG163,IF(U163="AB",AH163,IF(U163="SC",AI163,IF(U163="Mag",AJ163,IF(U163="OR",AK163,IF(U163="HP",AL163,IF(U163="FP",AM163,0)))))))))</f>
        <v>0</v>
      </c>
      <c r="W163" s="27" t="n">
        <f aca="false">IF(U163="OR",Upgrades!$F$10,IF(U163="HP",Upgrades!$F$11,IF(U163="transition",-Parameters!$B$18,0)))</f>
        <v>0</v>
      </c>
      <c r="X163" s="21" t="n">
        <f aca="false">T163-V163</f>
        <v>18.6730249835055</v>
      </c>
      <c r="Y163" s="30" t="n">
        <f aca="false">M163*Parameters!$B$10/60*Parameters!$B$11+O163*M163+N163</f>
        <v>20.55</v>
      </c>
      <c r="Z163" s="35" t="str">
        <f aca="false">IF(U163="transition","→ Tier 2 (Stellar Neighborhood)",IF(U163="FP","First Photons — light begins, system quickens",IF(U163="HP","Heliopause acquired",IF(U163="OR","Orbital Resonance — passive multiplier active",IF(AND(AO163=1,L163=0,AN163&lt;&gt;1),"Cohesion ready (waiting on completionist upgrades)","")))))</f>
        <v/>
      </c>
      <c r="AA163" s="27" t="n">
        <f aca="false">(IF(E163=0,0,(Upgrades!$G$6+E163*Upgrades!$H$6)*POWER(Upgrades!$I$6,E163)))*(IF(Upgrades!$T$7="Solar Wind",POWER(Upgrades!$U$7,F163),1)*IF(Upgrades!$T$8="Solar Wind",POWER(Upgrades!$U$8,G163),1)*IF(Upgrades!$T$9="Solar Wind",POWER(Upgrades!$U$9,H163),1)*IF(Upgrades!$T$10="Solar Wind",POWER(Upgrades!$U$10,I163),1)*IF(Upgrades!$T$11="Solar Wind",POWER(Upgrades!$U$11,J163),1)*IF(Upgrades!$T$12="Solar Wind",POWER(Upgrades!$U$12,K163),1))*POWER(Upgrades!$P$6,E163)*POWER(Upgrades!$P$7,F163)*POWER(Upgrades!$P$8,G163)*POWER(Upgrades!$P$9,H163)*POWER(Upgrades!$P$10,I163)*POWER(Upgrades!$P$11,J163)*POWER(Upgrades!$P$12,K163)*60</f>
        <v>72</v>
      </c>
      <c r="AB163" s="27" t="n">
        <f aca="false">(IF(F163=0,0,(Upgrades!$G$7+F163*Upgrades!$H$7)*POWER(Upgrades!$I$7,F163)))*(IF(Upgrades!$T$6="Asteroid Belt",POWER(Upgrades!$U$6,E163),1)*IF(Upgrades!$T$8="Asteroid Belt",POWER(Upgrades!$U$8,G163),1)*IF(Upgrades!$T$9="Asteroid Belt",POWER(Upgrades!$U$9,H163),1)*IF(Upgrades!$T$10="Asteroid Belt",POWER(Upgrades!$U$10,I163),1)*IF(Upgrades!$T$11="Asteroid Belt",POWER(Upgrades!$U$11,J163),1)*IF(Upgrades!$T$12="Asteroid Belt",POWER(Upgrades!$U$12,K163),1))*POWER(Upgrades!$P$6,E163)*POWER(Upgrades!$P$7,F163)*POWER(Upgrades!$P$8,G163)*POWER(Upgrades!$P$9,H163)*POWER(Upgrades!$P$10,I163)*POWER(Upgrades!$P$11,J163)*POWER(Upgrades!$P$12,K163)*60</f>
        <v>150</v>
      </c>
      <c r="AC163" s="27" t="n">
        <f aca="false">(IF(G163=0,0,(Upgrades!$J$8+G163*Upgrades!$K$8)*POWER(Upgrades!$L$8,G163)))*(IF(Upgrades!$T$6="Stellar Coupling",POWER(Upgrades!$U$6,E163),1)*IF(Upgrades!$T$7="Stellar Coupling",POWER(Upgrades!$U$7,F163),1)*IF(Upgrades!$T$9="Stellar Coupling",POWER(Upgrades!$U$9,H163),1)*IF(Upgrades!$T$10="Stellar Coupling",POWER(Upgrades!$U$10,I163),1)*IF(Upgrades!$T$11="Stellar Coupling",POWER(Upgrades!$U$11,J163),1)*IF(Upgrades!$T$12="Stellar Coupling",POWER(Upgrades!$U$12,K163),1))*POWER(Upgrades!$Q$6,E163)*POWER(Upgrades!$Q$7,F163)*POWER(Upgrades!$Q$8,G163)*POWER(Upgrades!$Q$9,H163)*POWER(Upgrades!$Q$10,I163)*POWER(Upgrades!$Q$11,J163)*POWER(Upgrades!$Q$12,K163)*Parameters!$B$10*Parameters!$B$11</f>
        <v>441</v>
      </c>
      <c r="AD163" s="27" t="n">
        <f aca="false">(IF(H163=0,0,(Upgrades!$G$9+H163*Upgrades!$H$9)*POWER(Upgrades!$I$9,H163)))*(IF(Upgrades!$T$6="Magnetosphere",POWER(Upgrades!$U$6,E163),1)*IF(Upgrades!$T$7="Magnetosphere",POWER(Upgrades!$U$7,F163),1)*IF(Upgrades!$T$8="Magnetosphere",POWER(Upgrades!$U$8,G163),1)*IF(Upgrades!$T$10="Magnetosphere",POWER(Upgrades!$U$10,I163),1)*IF(Upgrades!$T$11="Magnetosphere",POWER(Upgrades!$U$11,J163),1)*IF(Upgrades!$T$12="Magnetosphere",POWER(Upgrades!$U$12,K163),1))*POWER(Upgrades!$P$6,E163)*POWER(Upgrades!$P$7,F163)*POWER(Upgrades!$P$8,G163)*POWER(Upgrades!$P$9,H163)*POWER(Upgrades!$P$10,I163)*POWER(Upgrades!$P$11,J163)*POWER(Upgrades!$P$12,K163)*60</f>
        <v>375</v>
      </c>
      <c r="AE163" s="27" t="n">
        <f aca="false">(IF(K163=0,0,(Upgrades!$G$12+K163*Upgrades!$H$12)*POWER(Upgrades!$I$12,K163)))*(IF(Upgrades!$T$6="First Photons",POWER(Upgrades!$U$6,E163),1)*IF(Upgrades!$T$7="First Photons",POWER(Upgrades!$U$7,F163),1)*IF(Upgrades!$T$8="First Photons",POWER(Upgrades!$U$8,G163),1)*IF(Upgrades!$T$9="First Photons",POWER(Upgrades!$U$9,H163),1)*IF(Upgrades!$T$10="First Photons",POWER(Upgrades!$U$10,I163),1)*IF(Upgrades!$T$11="First Photons",POWER(Upgrades!$U$11,J163),1))*POWER(Upgrades!$P$6,E163)*POWER(Upgrades!$P$7,F163)*POWER(Upgrades!$P$8,G163)*POWER(Upgrades!$P$9,H163)*POWER(Upgrades!$P$10,I163)*POWER(Upgrades!$P$11,J163)*POWER(Upgrades!$P$12,K163)*60</f>
        <v>75</v>
      </c>
      <c r="AF163" s="27" t="n">
        <f aca="false">Parameters!$B$9*POWER(Upgrades!$Q$6,E163)*POWER(Upgrades!$Q$7,F163)*POWER(Upgrades!$Q$8,G163)*POWER(Upgrades!$Q$9,H163)*POWER(Upgrades!$Q$10,I163)*POWER(Upgrades!$Q$11,J163)*POWER(Upgrades!$Q$12,K163)*(Parameters!$B$10*Parameters!$B$11+O163*60)</f>
        <v>120</v>
      </c>
      <c r="AG163" s="21" t="n">
        <f aca="false">IF(E163&gt;=Upgrades!$E$6,"",Upgrades!$C$6*POWER(Upgrades!$D$6,E163))</f>
        <v>37.4517507383159</v>
      </c>
      <c r="AH163" s="21" t="n">
        <f aca="false">IF(F163&gt;=Upgrades!$E$7,"",Upgrades!$C$7*POWER(Upgrades!$D$7,F163))</f>
        <v>80.9111547141581</v>
      </c>
      <c r="AI163" s="21" t="n">
        <f aca="false">IF(G163&gt;=Upgrades!$E$8,"",Upgrades!$C$8*POWER(Upgrades!$D$8,G163))</f>
        <v>231.9097088</v>
      </c>
      <c r="AJ163" s="21" t="str">
        <f aca="false">IF(H163&gt;=Upgrades!$E$9,"",Upgrades!$C$9*POWER(Upgrades!$D$9,H163))</f>
        <v/>
      </c>
      <c r="AK163" s="21" t="str">
        <f aca="false">IF(I163&gt;=Upgrades!$E$10,"",Upgrades!$C$10*POWER(Upgrades!$D$10,I163))</f>
        <v/>
      </c>
      <c r="AL163" s="21" t="str">
        <f aca="false">IF(J163&gt;=Upgrades!$E$11,"",Upgrades!$C$11*POWER(Upgrades!$D$11,J163))</f>
        <v/>
      </c>
      <c r="AM163" s="21" t="str">
        <f aca="false">IF(K163&gt;=Upgrades!$E$12,"",Upgrades!$C$12*POWER(Upgrades!$D$12,K163))</f>
        <v/>
      </c>
      <c r="AN163" s="26" t="str">
        <f aca="false">IF(AND(D163&gt;=Parameters!$B$18,(H163&gt;=Upgrades!$E$9)*(K163&gt;=Upgrades!$E$12)=1,L163=0),1,"")</f>
        <v/>
      </c>
      <c r="AO163" s="26" t="str">
        <f aca="false">IF(AND(D163&gt;=Parameters!$B$18,L163=0),1,"")</f>
        <v/>
      </c>
      <c r="AP163" s="21" t="n">
        <f aca="false">MIN(IF(ISNUMBER(AK163),AK163,9000000000000000),IF(ISNUMBER(AL163),AL163,9000000000000000),IF(ISNUMBER(AM163),AM163,9000000000000000))</f>
        <v>9000000000000000</v>
      </c>
      <c r="AQ163" s="21" t="n">
        <f aca="false">MIN(IF(ISNUMBER(AG163),AG163,9000000000000000),IF(ISNUMBER(AH163),AH163,9000000000000000),IF(ISNUMBER(AI163),AI163,9000000000000000),IF(ISNUMBER(AJ163),AJ163,9000000000000000))</f>
        <v>37.4517507383159</v>
      </c>
      <c r="AR163" s="32" t="b">
        <f aca="false">IF(AW163&gt;Parameters!$B$21*(MAX(IF(AND(NOT(AND(AO163=1,AN163&lt;&gt;1)),ISNUMBER(AG163),AG163&lt;=T163),AS163,0),IF(AND(NOT(AND(AO163=1,AN163&lt;&gt;1)),ISNUMBER(AH163),AH163&lt;=T163),AT163,0),IF(AND(NOT(AND(AO163=1,AN163&lt;&gt;1)),ISNUMBER(AI163),AI163&lt;=T163),AU163,0),IF(AND(ISNUMBER(AJ163),AJ163&lt;=T163),AV163,0))),TRUE(),FALSE())</f>
        <v>1</v>
      </c>
      <c r="AS163" s="33" t="n">
        <f aca="false">IFERROR(Upgrades!$H$6*(POWER(Upgrades!$P$6,E163)*POWER(Upgrades!$P$7,F163)*POWER(Upgrades!$P$8,G163)*POWER(Upgrades!$P$9,H163)*POWER(Upgrades!$P$10,I163)*POWER(Upgrades!$P$11,J163)*POWER(Upgrades!$P$12,K163))*(IF(Upgrades!$T$7="Solar Wind",POWER(Upgrades!$U$7,F163),1)*IF(Upgrades!$T$8="Solar Wind",POWER(Upgrades!$U$8,G163),1)*IF(Upgrades!$T$9="Solar Wind",POWER(Upgrades!$U$9,H163),1)*IF(Upgrades!$T$10="Solar Wind",POWER(Upgrades!$U$10,I163),1)*IF(Upgrades!$T$11="Solar Wind",POWER(Upgrades!$U$11,J163),1)*IF(Upgrades!$T$12="Solar Wind",POWER(Upgrades!$U$12,K163),1))/AG163,0)</f>
        <v>0.0026701021455238</v>
      </c>
      <c r="AT163" s="33" t="n">
        <f aca="false">IFERROR(Upgrades!$H$7*(POWER(Upgrades!$P$6,E163)*POWER(Upgrades!$P$7,F163)*POWER(Upgrades!$P$8,G163)*POWER(Upgrades!$P$9,H163)*POWER(Upgrades!$P$10,I163)*POWER(Upgrades!$P$11,J163)*POWER(Upgrades!$P$12,K163))*(IF(Upgrades!$T$6="Asteroid Belt",POWER(Upgrades!$U$6,E163),1)*IF(Upgrades!$T$8="Asteroid Belt",POWER(Upgrades!$U$8,G163),1)*IF(Upgrades!$T$9="Asteroid Belt",POWER(Upgrades!$U$9,H163),1)*IF(Upgrades!$T$10="Asteroid Belt",POWER(Upgrades!$U$10,I163),1)*IF(Upgrades!$T$11="Asteroid Belt",POWER(Upgrades!$U$11,J163),1)*IF(Upgrades!$T$12="Asteroid Belt",POWER(Upgrades!$U$12,K163),1))/AH163,0)</f>
        <v>0.00308980882652332</v>
      </c>
      <c r="AU163" s="33" t="n">
        <f aca="false">IFERROR(Upgrades!$K$8*(POWER(Upgrades!$Q$6,E163)*POWER(Upgrades!$Q$7,F163)*POWER(Upgrades!$Q$8,G163)*POWER(Upgrades!$Q$9,H163)*POWER(Upgrades!$Q$10,I163)*POWER(Upgrades!$Q$11,J163)*POWER(Upgrades!$Q$12,K163))*(IF(Upgrades!$T$6="Stellar Coupling",POWER(Upgrades!$U$6,E163),1)*IF(Upgrades!$T$7="Stellar Coupling",POWER(Upgrades!$U$7,F163),1)*IF(Upgrades!$T$9="Stellar Coupling",POWER(Upgrades!$U$9,H163),1)*IF(Upgrades!$T$10="Stellar Coupling",POWER(Upgrades!$U$10,I163),1)*IF(Upgrades!$T$11="Stellar Coupling",POWER(Upgrades!$U$11,J163),1)*IF(Upgrades!$T$12="Stellar Coupling",POWER(Upgrades!$U$12,K163),1))*Parameters!$B$10*Parameters!$B$11/60/AI163,0)</f>
        <v>0.00452762415783776</v>
      </c>
      <c r="AV163" s="33" t="n">
        <f aca="false">IFERROR(Upgrades!$H$9*(POWER(Upgrades!$P$6,E163)*POWER(Upgrades!$P$7,F163)*POWER(Upgrades!$P$8,G163)*POWER(Upgrades!$P$9,H163)*POWER(Upgrades!$P$10,I163)*POWER(Upgrades!$P$11,J163)*POWER(Upgrades!$P$12,K163))*(IF(Upgrades!$T$6="Magnetosphere",POWER(Upgrades!$U$6,E163),1)*IF(Upgrades!$T$7="Magnetosphere",POWER(Upgrades!$U$7,F163),1)*IF(Upgrades!$T$8="Magnetosphere",POWER(Upgrades!$U$8,G163),1)*IF(Upgrades!$T$10="Magnetosphere",POWER(Upgrades!$U$10,I163),1)*IF(Upgrades!$T$11="Magnetosphere",POWER(Upgrades!$U$11,J163),1)*IF(Upgrades!$T$12="Magnetosphere",POWER(Upgrades!$U$12,K163),1))/AJ163,0)</f>
        <v>0</v>
      </c>
      <c r="AW163" s="33" t="n">
        <f aca="false">MAX(IF(I163&gt;0,0,IFERROR(0.25*N163/Upgrades!$C$10,0)),IF(J163&gt;0,0,IFERROR(0.5*((IF(G163=0,0,(Upgrades!$J$8+G163*Upgrades!$K$8)*POWER(Upgrades!$L$8,G163)))*(IF(Upgrades!$T$6="Stellar Coupling",POWER(Upgrades!$U$6,E163),1)*IF(Upgrades!$T$7="Stellar Coupling",POWER(Upgrades!$U$7,F163),1)*IF(Upgrades!$T$9="Stellar Coupling",POWER(Upgrades!$U$9,H163),1)*IF(Upgrades!$T$10="Stellar Coupling",POWER(Upgrades!$U$10,I163),1)*IF(Upgrades!$T$11="Stellar Coupling",POWER(Upgrades!$U$11,J163),1)*IF(Upgrades!$T$12="Stellar Coupling",POWER(Upgrades!$U$12,K163),1))*(POWER(Upgrades!$Q$6,E163)*POWER(Upgrades!$Q$7,F163)*POWER(Upgrades!$Q$8,G163)*POWER(Upgrades!$Q$9,H163)*POWER(Upgrades!$Q$10,I163)*POWER(Upgrades!$Q$11,J163)*POWER(Upgrades!$Q$12,K163))*Parameters!$B$10*Parameters!$B$11/60)/Upgrades!$C$11,0)),IF(K163&gt;0,0,IFERROR((1*(POWER(Upgrades!$P$6,E163)*POWER(Upgrades!$P$7,F163)*POWER(Upgrades!$P$8,G163)*POWER(Upgrades!$P$9,H163)*POWER(Upgrades!$P$10,I163)*POWER(Upgrades!$P$11,J163)*POWER(Upgrades!$P$12,K163))+0.2*M163*Parameters!$B$10*Parameters!$B$11/60)/Upgrades!$C$12,0)),IF(AND(ISNUMBER(AG163),AG163&gt;T163),AS163,0),IF(AND(ISNUMBER(AH163),AH163&gt;T163),AT163,0),IF(AND(ISNUMBER(AI163),AI163&gt;T163),AU163,0),IF(AND(ISNUMBER(AJ163),AJ163&gt;T163),AV163,0))</f>
        <v>0.00452762415783776</v>
      </c>
      <c r="AX163" s="29" t="str">
        <f aca="false">IF(AN163=1,"transition",IF(MIN(IF(AND(I163=0,ISNUMBER(AK163),AK163&lt;=T163),AK163,9000000000000000),IF(AND(J163=0,ISNUMBER(AL163),AL163&lt;=T163),AL163,9000000000000000),IF(AND(K163=0,ISNUMBER(AM163),AM163&lt;=T163),AM163,9000000000000000))&lt;9000000000000000,IF(AND(AND(I163=0,ISNUMBER(AK163),AK163&lt;=T163),AK163=MIN(IF(AND(I163=0,ISNUMBER(AK163),AK163&lt;=T163),AK163,9000000000000000),IF(AND(J163=0,ISNUMBER(AL163),AL163&lt;=T163),AL163,9000000000000000),IF(AND(K163=0,ISNUMBER(AM163),AM163&lt;=T163),AM163,9000000000000000))),"OR",IF(AND(AND(J163=0,ISNUMBER(AL163),AL163&lt;=T163),AL163=MIN(IF(AND(I163=0,ISNUMBER(AK163),AK163&lt;=T163),AK163,9000000000000000),IF(AND(J163=0,ISNUMBER(AL163),AL163&lt;=T163),AL163,9000000000000000),IF(AND(K163=0,ISNUMBER(AM163),AM163&lt;=T163),AM163,9000000000000000))),"HP","FP")),IF(AR163=TRUE(),"",IF(MAX(IF(AND(NOT(AND(AO163=1,AN163&lt;&gt;1)),ISNUMBER(AG163),AG163&lt;=T163),AS163,0),IF(AND(NOT(AND(AO163=1,AN163&lt;&gt;1)),ISNUMBER(AH163),AH163&lt;=T163),AT163,0),IF(AND(NOT(AND(AO163=1,AN163&lt;&gt;1)),ISNUMBER(AI163),AI163&lt;=T163),AU163,0),IF(AND(ISNUMBER(AJ163),AJ163&lt;=T163),AV163,0))&lt;=0,"",IF(AND(IF(AND(NOT(AND(AO163=1,AN163&lt;&gt;1)),ISNUMBER(AG163),AG163&lt;=T163),AS163,0)&gt;0,IF(AND(NOT(AND(AO163=1,AN163&lt;&gt;1)),ISNUMBER(AG163),AG163&lt;=T163),AS163,0)=MAX(IF(AND(NOT(AND(AO163=1,AN163&lt;&gt;1)),ISNUMBER(AG163),AG163&lt;=T163),AS163,0),IF(AND(NOT(AND(AO163=1,AN163&lt;&gt;1)),ISNUMBER(AH163),AH163&lt;=T163),AT163,0),IF(AND(NOT(AND(AO163=1,AN163&lt;&gt;1)),ISNUMBER(AI163),AI163&lt;=T163),AU163,0),IF(AND(ISNUMBER(AJ163),AJ163&lt;=T163),AV163,0))),"SW",IF(AND(IF(AND(NOT(AND(AO163=1,AN163&lt;&gt;1)),ISNUMBER(AH163),AH163&lt;=T163),AT163,0)&gt;0,IF(AND(NOT(AND(AO163=1,AN163&lt;&gt;1)),ISNUMBER(AH163),AH163&lt;=T163),AT163,0)=MAX(IF(AND(NOT(AND(AO163=1,AN163&lt;&gt;1)),ISNUMBER(AG163),AG163&lt;=T163),AS163,0),IF(AND(NOT(AND(AO163=1,AN163&lt;&gt;1)),ISNUMBER(AH163),AH163&lt;=T163),AT163,0),IF(AND(NOT(AND(AO163=1,AN163&lt;&gt;1)),ISNUMBER(AI163),AI163&lt;=T163),AU163,0),IF(AND(ISNUMBER(AJ163),AJ163&lt;=T163),AV163,0))),"AB",IF(AND(IF(AND(NOT(AND(AO163=1,AN163&lt;&gt;1)),ISNUMBER(AI163),AI163&lt;=T163),AU163,0)&gt;0,IF(AND(NOT(AND(AO163=1,AN163&lt;&gt;1)),ISNUMBER(AI163),AI163&lt;=T163),AU163,0)=MAX(IF(AND(NOT(AND(AO163=1,AN163&lt;&gt;1)),ISNUMBER(AG163),AG163&lt;=T163),AS163,0),IF(AND(NOT(AND(AO163=1,AN163&lt;&gt;1)),ISNUMBER(AH163),AH163&lt;=T163),AT163,0),IF(AND(NOT(AND(AO163=1,AN163&lt;&gt;1)),ISNUMBER(AI163),AI163&lt;=T163),AU163,0),IF(AND(ISNUMBER(AJ163),AJ163&lt;=T163),AV163,0))),"SC","Mag")))))))</f>
        <v/>
      </c>
    </row>
    <row r="164" customFormat="false" ht="15" hidden="false" customHeight="false" outlineLevel="0" collapsed="false">
      <c r="A164" s="26" t="n">
        <v>159</v>
      </c>
      <c r="B164" s="27" t="n">
        <f aca="false">A164*10/60</f>
        <v>26.5</v>
      </c>
      <c r="C164" s="21" t="n">
        <f aca="false">X163</f>
        <v>18.6730249835055</v>
      </c>
      <c r="D164" s="27" t="n">
        <f aca="false">D163+W163</f>
        <v>0</v>
      </c>
      <c r="E164" s="26" t="n">
        <f aca="false">E163+IF(U163="SW",1,0)</f>
        <v>12</v>
      </c>
      <c r="F164" s="26" t="n">
        <f aca="false">F163+IF(U163="AB",1,0)</f>
        <v>10</v>
      </c>
      <c r="G164" s="26" t="n">
        <f aca="false">G163+IF(U163="SC",1,0)</f>
        <v>7</v>
      </c>
      <c r="H164" s="26" t="n">
        <f aca="false">H163+IF(U163="Mag",1,0)</f>
        <v>5</v>
      </c>
      <c r="I164" s="26" t="n">
        <f aca="false">MAX(I163,IF(U163="OR",1,0))</f>
        <v>1</v>
      </c>
      <c r="J164" s="26" t="n">
        <f aca="false">MAX(J163,IF(U163="HP",1,0))</f>
        <v>1</v>
      </c>
      <c r="K164" s="26" t="n">
        <f aca="false">MAX(K163,IF(U163="FP",1,0))</f>
        <v>1</v>
      </c>
      <c r="L164" s="26" t="n">
        <f aca="false">MAX(L163,IF(U163="transition",1,0))</f>
        <v>1</v>
      </c>
      <c r="M164" s="28" t="n">
        <f aca="false">(Parameters!$B$9+(IF(E164=0,0,(Upgrades!$J$6+E164*Upgrades!$K$6)*POWER(Upgrades!$L$6,E164)))*(IF(Upgrades!$T$7="Solar Wind",POWER(Upgrades!$U$7,F164),1)*IF(Upgrades!$T$8="Solar Wind",POWER(Upgrades!$U$8,G164),1)*IF(Upgrades!$T$9="Solar Wind",POWER(Upgrades!$U$9,H164),1)*IF(Upgrades!$T$10="Solar Wind",POWER(Upgrades!$U$10,I164),1)*IF(Upgrades!$T$11="Solar Wind",POWER(Upgrades!$U$11,J164),1)*IF(Upgrades!$T$12="Solar Wind",POWER(Upgrades!$U$12,K164),1))+(IF(F164=0,0,(Upgrades!$J$7+F164*Upgrades!$K$7)*POWER(Upgrades!$L$7,F164)))*(IF(Upgrades!$T$6="Asteroid Belt",POWER(Upgrades!$U$6,E164),1)*IF(Upgrades!$T$8="Asteroid Belt",POWER(Upgrades!$U$8,G164),1)*IF(Upgrades!$T$9="Asteroid Belt",POWER(Upgrades!$U$9,H164),1)*IF(Upgrades!$T$10="Asteroid Belt",POWER(Upgrades!$U$10,I164),1)*IF(Upgrades!$T$11="Asteroid Belt",POWER(Upgrades!$U$11,J164),1)*IF(Upgrades!$T$12="Asteroid Belt",POWER(Upgrades!$U$12,K164),1))+(IF(G164=0,0,(Upgrades!$J$8+G164*Upgrades!$K$8)*POWER(Upgrades!$L$8,G164)))*(IF(Upgrades!$T$6="Stellar Coupling",POWER(Upgrades!$U$6,E164),1)*IF(Upgrades!$T$7="Stellar Coupling",POWER(Upgrades!$U$7,F164),1)*IF(Upgrades!$T$9="Stellar Coupling",POWER(Upgrades!$U$9,H164),1)*IF(Upgrades!$T$10="Stellar Coupling",POWER(Upgrades!$U$10,I164),1)*IF(Upgrades!$T$11="Stellar Coupling",POWER(Upgrades!$U$11,J164),1)*IF(Upgrades!$T$12="Stellar Coupling",POWER(Upgrades!$U$12,K164),1))+(IF(H164=0,0,(Upgrades!$J$9+H164*Upgrades!$K$9)*POWER(Upgrades!$L$9,H164)))*(IF(Upgrades!$T$6="Magnetosphere",POWER(Upgrades!$U$6,E164),1)*IF(Upgrades!$T$7="Magnetosphere",POWER(Upgrades!$U$7,F164),1)*IF(Upgrades!$T$8="Magnetosphere",POWER(Upgrades!$U$8,G164),1)*IF(Upgrades!$T$10="Magnetosphere",POWER(Upgrades!$U$10,I164),1)*IF(Upgrades!$T$11="Magnetosphere",POWER(Upgrades!$U$11,J164),1)*IF(Upgrades!$T$12="Magnetosphere",POWER(Upgrades!$U$12,K164),1))+(IF(I164=0,0,(Upgrades!$J$10+I164*Upgrades!$K$10)*POWER(Upgrades!$L$10,I164)))*(IF(Upgrades!$T$6="Orbital Resonance",POWER(Upgrades!$U$6,E164),1)*IF(Upgrades!$T$7="Orbital Resonance",POWER(Upgrades!$U$7,F164),1)*IF(Upgrades!$T$8="Orbital Resonance",POWER(Upgrades!$U$8,G164),1)*IF(Upgrades!$T$9="Orbital Resonance",POWER(Upgrades!$U$9,H164),1)*IF(Upgrades!$T$11="Orbital Resonance",POWER(Upgrades!$U$11,J164),1)*IF(Upgrades!$T$12="Orbital Resonance",POWER(Upgrades!$U$12,K164),1))+(IF(J164=0,0,(Upgrades!$J$11+J164*Upgrades!$K$11)*POWER(Upgrades!$L$11,J164)))*(IF(Upgrades!$T$6="Heliopause",POWER(Upgrades!$U$6,E164),1)*IF(Upgrades!$T$7="Heliopause",POWER(Upgrades!$U$7,F164),1)*IF(Upgrades!$T$8="Heliopause",POWER(Upgrades!$U$8,G164),1)*IF(Upgrades!$T$9="Heliopause",POWER(Upgrades!$U$9,H164),1)*IF(Upgrades!$T$10="Heliopause",POWER(Upgrades!$U$10,I164),1)*IF(Upgrades!$T$12="Heliopause",POWER(Upgrades!$U$12,K164),1))+(IF(K164=0,0,(Upgrades!$J$12+K164*Upgrades!$K$12)*POWER(Upgrades!$L$12,K164)))*(IF(Upgrades!$T$6="First Photons",POWER(Upgrades!$U$6,E164),1)*IF(Upgrades!$T$7="First Photons",POWER(Upgrades!$U$7,F164),1)*IF(Upgrades!$T$8="First Photons",POWER(Upgrades!$U$8,G164),1)*IF(Upgrades!$T$9="First Photons",POWER(Upgrades!$U$9,H164),1)*IF(Upgrades!$T$10="First Photons",POWER(Upgrades!$U$10,I164),1)*IF(Upgrades!$T$11="First Photons",POWER(Upgrades!$U$11,J164),1)))*POWER(Upgrades!$Q$6,E164)*POWER(Upgrades!$Q$7,F164)*POWER(Upgrades!$Q$8,G164)*POWER(Upgrades!$Q$9,H164)*POWER(Upgrades!$Q$10,I164)*POWER(Upgrades!$Q$11,J164)*POWER(Upgrades!$Q$12,K164)</f>
        <v>5.61</v>
      </c>
      <c r="N164" s="28" t="n">
        <f aca="false">((IF(E164=0,0,(Upgrades!$G$6+E164*Upgrades!$H$6)*POWER(Upgrades!$I$6,E164)))*(IF(Upgrades!$T$7="Solar Wind",POWER(Upgrades!$U$7,F164),1)*IF(Upgrades!$T$8="Solar Wind",POWER(Upgrades!$U$8,G164),1)*IF(Upgrades!$T$9="Solar Wind",POWER(Upgrades!$U$9,H164),1)*IF(Upgrades!$T$10="Solar Wind",POWER(Upgrades!$U$10,I164),1)*IF(Upgrades!$T$11="Solar Wind",POWER(Upgrades!$U$11,J164),1)*IF(Upgrades!$T$12="Solar Wind",POWER(Upgrades!$U$12,K164),1))+(IF(F164=0,0,(Upgrades!$G$7+F164*Upgrades!$H$7)*POWER(Upgrades!$I$7,F164)))*(IF(Upgrades!$T$6="Asteroid Belt",POWER(Upgrades!$U$6,E164),1)*IF(Upgrades!$T$8="Asteroid Belt",POWER(Upgrades!$U$8,G164),1)*IF(Upgrades!$T$9="Asteroid Belt",POWER(Upgrades!$U$9,H164),1)*IF(Upgrades!$T$10="Asteroid Belt",POWER(Upgrades!$U$10,I164),1)*IF(Upgrades!$T$11="Asteroid Belt",POWER(Upgrades!$U$11,J164),1)*IF(Upgrades!$T$12="Asteroid Belt",POWER(Upgrades!$U$12,K164),1))+(IF(G164=0,0,(Upgrades!$G$8+G164*Upgrades!$H$8)*POWER(Upgrades!$I$8,G164)))*(IF(Upgrades!$T$6="Stellar Coupling",POWER(Upgrades!$U$6,E164),1)*IF(Upgrades!$T$7="Stellar Coupling",POWER(Upgrades!$U$7,F164),1)*IF(Upgrades!$T$9="Stellar Coupling",POWER(Upgrades!$U$9,H164),1)*IF(Upgrades!$T$10="Stellar Coupling",POWER(Upgrades!$U$10,I164),1)*IF(Upgrades!$T$11="Stellar Coupling",POWER(Upgrades!$U$11,J164),1)*IF(Upgrades!$T$12="Stellar Coupling",POWER(Upgrades!$U$12,K164),1))+(IF(H164=0,0,(Upgrades!$G$9+H164*Upgrades!$H$9)*POWER(Upgrades!$I$9,H164)))*(IF(Upgrades!$T$6="Magnetosphere",POWER(Upgrades!$U$6,E164),1)*IF(Upgrades!$T$7="Magnetosphere",POWER(Upgrades!$U$7,F164),1)*IF(Upgrades!$T$8="Magnetosphere",POWER(Upgrades!$U$8,G164),1)*IF(Upgrades!$T$10="Magnetosphere",POWER(Upgrades!$U$10,I164),1)*IF(Upgrades!$T$11="Magnetosphere",POWER(Upgrades!$U$11,J164),1)*IF(Upgrades!$T$12="Magnetosphere",POWER(Upgrades!$U$12,K164),1))+(IF(I164=0,0,(Upgrades!$G$10+I164*Upgrades!$H$10)*POWER(Upgrades!$I$10,I164)))*(IF(Upgrades!$T$6="Orbital Resonance",POWER(Upgrades!$U$6,E164),1)*IF(Upgrades!$T$7="Orbital Resonance",POWER(Upgrades!$U$7,F164),1)*IF(Upgrades!$T$8="Orbital Resonance",POWER(Upgrades!$U$8,G164),1)*IF(Upgrades!$T$9="Orbital Resonance",POWER(Upgrades!$U$9,H164),1)*IF(Upgrades!$T$11="Orbital Resonance",POWER(Upgrades!$U$11,J164),1)*IF(Upgrades!$T$12="Orbital Resonance",POWER(Upgrades!$U$12,K164),1))+(IF(J164=0,0,(Upgrades!$G$11+J164*Upgrades!$H$11)*POWER(Upgrades!$I$11,J164)))*(IF(Upgrades!$T$6="Heliopause",POWER(Upgrades!$U$6,E164),1)*IF(Upgrades!$T$7="Heliopause",POWER(Upgrades!$U$7,F164),1)*IF(Upgrades!$T$8="Heliopause",POWER(Upgrades!$U$8,G164),1)*IF(Upgrades!$T$9="Heliopause",POWER(Upgrades!$U$9,H164),1)*IF(Upgrades!$T$10="Heliopause",POWER(Upgrades!$U$10,I164),1)*IF(Upgrades!$T$12="Heliopause",POWER(Upgrades!$U$12,K164),1))+(IF(K164=0,0,(Upgrades!$G$12+K164*Upgrades!$H$12)*POWER(Upgrades!$I$12,K164)))*(IF(Upgrades!$T$6="First Photons",POWER(Upgrades!$U$6,E164),1)*IF(Upgrades!$T$7="First Photons",POWER(Upgrades!$U$7,F164),1)*IF(Upgrades!$T$8="First Photons",POWER(Upgrades!$U$8,G164),1)*IF(Upgrades!$T$9="First Photons",POWER(Upgrades!$U$9,H164),1)*IF(Upgrades!$T$10="First Photons",POWER(Upgrades!$U$10,I164),1)*IF(Upgrades!$T$11="First Photons",POWER(Upgrades!$U$11,J164),1)))*POWER(Upgrades!$P$6,E164)*POWER(Upgrades!$P$7,F164)*POWER(Upgrades!$P$8,G164)*POWER(Upgrades!$P$9,H164)*POWER(Upgrades!$P$10,I164)*POWER(Upgrades!$P$11,J164)*POWER(Upgrades!$P$12,K164)</f>
        <v>11.2</v>
      </c>
      <c r="O164" s="28" t="n">
        <f aca="false">((IF(E164=0,0,(Upgrades!$M$6+E164*Upgrades!$N$6)*POWER(Upgrades!$O$6,E164)))*(IF(Upgrades!$T$7="Solar Wind",POWER(Upgrades!$U$7,F164),1)*IF(Upgrades!$T$8="Solar Wind",POWER(Upgrades!$U$8,G164),1)*IF(Upgrades!$T$9="Solar Wind",POWER(Upgrades!$U$9,H164),1)*IF(Upgrades!$T$10="Solar Wind",POWER(Upgrades!$U$10,I164),1)*IF(Upgrades!$T$11="Solar Wind",POWER(Upgrades!$U$11,J164),1)*IF(Upgrades!$T$12="Solar Wind",POWER(Upgrades!$U$12,K164),1))+(IF(F164=0,0,(Upgrades!$M$7+F164*Upgrades!$N$7)*POWER(Upgrades!$O$7,F164)))*(IF(Upgrades!$T$6="Asteroid Belt",POWER(Upgrades!$U$6,E164),1)*IF(Upgrades!$T$8="Asteroid Belt",POWER(Upgrades!$U$8,G164),1)*IF(Upgrades!$T$9="Asteroid Belt",POWER(Upgrades!$U$9,H164),1)*IF(Upgrades!$T$10="Asteroid Belt",POWER(Upgrades!$U$10,I164),1)*IF(Upgrades!$T$11="Asteroid Belt",POWER(Upgrades!$U$11,J164),1)*IF(Upgrades!$T$12="Asteroid Belt",POWER(Upgrades!$U$12,K164),1))+(IF(G164=0,0,(Upgrades!$M$8+G164*Upgrades!$N$8)*POWER(Upgrades!$O$8,G164)))*(IF(Upgrades!$T$6="Stellar Coupling",POWER(Upgrades!$U$6,E164),1)*IF(Upgrades!$T$7="Stellar Coupling",POWER(Upgrades!$U$7,F164),1)*IF(Upgrades!$T$9="Stellar Coupling",POWER(Upgrades!$U$9,H164),1)*IF(Upgrades!$T$10="Stellar Coupling",POWER(Upgrades!$U$10,I164),1)*IF(Upgrades!$T$11="Stellar Coupling",POWER(Upgrades!$U$11,J164),1)*IF(Upgrades!$T$12="Stellar Coupling",POWER(Upgrades!$U$12,K164),1))+(IF(H164=0,0,(Upgrades!$M$9+H164*Upgrades!$N$9)*POWER(Upgrades!$O$9,H164)))*(IF(Upgrades!$T$6="Magnetosphere",POWER(Upgrades!$U$6,E164),1)*IF(Upgrades!$T$7="Magnetosphere",POWER(Upgrades!$U$7,F164),1)*IF(Upgrades!$T$8="Magnetosphere",POWER(Upgrades!$U$8,G164),1)*IF(Upgrades!$T$10="Magnetosphere",POWER(Upgrades!$U$10,I164),1)*IF(Upgrades!$T$11="Magnetosphere",POWER(Upgrades!$U$11,J164),1)*IF(Upgrades!$T$12="Magnetosphere",POWER(Upgrades!$U$12,K164),1))+(IF(I164=0,0,(Upgrades!$M$10+I164*Upgrades!$N$10)*POWER(Upgrades!$O$10,I164)))*(IF(Upgrades!$T$6="Orbital Resonance",POWER(Upgrades!$U$6,E164),1)*IF(Upgrades!$T$7="Orbital Resonance",POWER(Upgrades!$U$7,F164),1)*IF(Upgrades!$T$8="Orbital Resonance",POWER(Upgrades!$U$8,G164),1)*IF(Upgrades!$T$9="Orbital Resonance",POWER(Upgrades!$U$9,H164),1)*IF(Upgrades!$T$11="Orbital Resonance",POWER(Upgrades!$U$11,J164),1)*IF(Upgrades!$T$12="Orbital Resonance",POWER(Upgrades!$U$12,K164),1))+(IF(J164=0,0,(Upgrades!$M$11+J164*Upgrades!$N$11)*POWER(Upgrades!$O$11,J164)))*(IF(Upgrades!$T$6="Heliopause",POWER(Upgrades!$U$6,E164),1)*IF(Upgrades!$T$7="Heliopause",POWER(Upgrades!$U$7,F164),1)*IF(Upgrades!$T$8="Heliopause",POWER(Upgrades!$U$8,G164),1)*IF(Upgrades!$T$9="Heliopause",POWER(Upgrades!$U$9,H164),1)*IF(Upgrades!$T$10="Heliopause",POWER(Upgrades!$U$10,I164),1)*IF(Upgrades!$T$12="Heliopause",POWER(Upgrades!$U$12,K164),1))+(IF(K164=0,0,(Upgrades!$M$12+K164*Upgrades!$N$12)*POWER(Upgrades!$O$12,K164)))*(IF(Upgrades!$T$6="First Photons",POWER(Upgrades!$U$6,E164),1)*IF(Upgrades!$T$7="First Photons",POWER(Upgrades!$U$7,F164),1)*IF(Upgrades!$T$8="First Photons",POWER(Upgrades!$U$8,G164),1)*IF(Upgrades!$T$9="First Photons",POWER(Upgrades!$U$9,H164),1)*IF(Upgrades!$T$10="First Photons",POWER(Upgrades!$U$10,I164),1)*IF(Upgrades!$T$11="First Photons",POWER(Upgrades!$U$11,J164),1)))*POWER(Upgrades!$R$6,E164)*POWER(Upgrades!$R$7,F164)*POWER(Upgrades!$R$8,G164)*POWER(Upgrades!$R$9,H164)*POWER(Upgrades!$R$10,I164)*POWER(Upgrades!$R$11,J164)*POWER(Upgrades!$R$12,K164)</f>
        <v>0</v>
      </c>
      <c r="P164" s="27" t="n">
        <f aca="false">IF(L164=1,0,M164*Parameters!$B$10/60*Parameters!$B$11*10)</f>
        <v>0</v>
      </c>
      <c r="Q164" s="27" t="n">
        <f aca="false">IF(L164=1,0,O164*M164*10)</f>
        <v>0</v>
      </c>
      <c r="R164" s="27" t="n">
        <f aca="false">IF(L164=1,0,N164*10)</f>
        <v>0</v>
      </c>
      <c r="S164" s="27" t="n">
        <f aca="false">P164+Q164+R164</f>
        <v>0</v>
      </c>
      <c r="T164" s="21" t="n">
        <f aca="false">C164+S164</f>
        <v>18.6730249835055</v>
      </c>
      <c r="U164" s="34" t="str">
        <f aca="false">AX164</f>
        <v/>
      </c>
      <c r="V164" s="21" t="n">
        <f aca="false">IF(U164="",0,IF(U164="transition",0,IF(U164="SW",AG164,IF(U164="AB",AH164,IF(U164="SC",AI164,IF(U164="Mag",AJ164,IF(U164="OR",AK164,IF(U164="HP",AL164,IF(U164="FP",AM164,0)))))))))</f>
        <v>0</v>
      </c>
      <c r="W164" s="27" t="n">
        <f aca="false">IF(U164="OR",Upgrades!$F$10,IF(U164="HP",Upgrades!$F$11,IF(U164="transition",-Parameters!$B$18,0)))</f>
        <v>0</v>
      </c>
      <c r="X164" s="21" t="n">
        <f aca="false">T164-V164</f>
        <v>18.6730249835055</v>
      </c>
      <c r="Y164" s="30" t="n">
        <f aca="false">M164*Parameters!$B$10/60*Parameters!$B$11+O164*M164+N164</f>
        <v>20.55</v>
      </c>
      <c r="Z164" s="35" t="str">
        <f aca="false">IF(U164="transition","→ Tier 2 (Stellar Neighborhood)",IF(U164="FP","First Photons — light begins, system quickens",IF(U164="HP","Heliopause acquired",IF(U164="OR","Orbital Resonance — passive multiplier active",IF(AND(AO164=1,L164=0,AN164&lt;&gt;1),"Cohesion ready (waiting on completionist upgrades)","")))))</f>
        <v/>
      </c>
      <c r="AA164" s="27" t="n">
        <f aca="false">(IF(E164=0,0,(Upgrades!$G$6+E164*Upgrades!$H$6)*POWER(Upgrades!$I$6,E164)))*(IF(Upgrades!$T$7="Solar Wind",POWER(Upgrades!$U$7,F164),1)*IF(Upgrades!$T$8="Solar Wind",POWER(Upgrades!$U$8,G164),1)*IF(Upgrades!$T$9="Solar Wind",POWER(Upgrades!$U$9,H164),1)*IF(Upgrades!$T$10="Solar Wind",POWER(Upgrades!$U$10,I164),1)*IF(Upgrades!$T$11="Solar Wind",POWER(Upgrades!$U$11,J164),1)*IF(Upgrades!$T$12="Solar Wind",POWER(Upgrades!$U$12,K164),1))*POWER(Upgrades!$P$6,E164)*POWER(Upgrades!$P$7,F164)*POWER(Upgrades!$P$8,G164)*POWER(Upgrades!$P$9,H164)*POWER(Upgrades!$P$10,I164)*POWER(Upgrades!$P$11,J164)*POWER(Upgrades!$P$12,K164)*60</f>
        <v>72</v>
      </c>
      <c r="AB164" s="27" t="n">
        <f aca="false">(IF(F164=0,0,(Upgrades!$G$7+F164*Upgrades!$H$7)*POWER(Upgrades!$I$7,F164)))*(IF(Upgrades!$T$6="Asteroid Belt",POWER(Upgrades!$U$6,E164),1)*IF(Upgrades!$T$8="Asteroid Belt",POWER(Upgrades!$U$8,G164),1)*IF(Upgrades!$T$9="Asteroid Belt",POWER(Upgrades!$U$9,H164),1)*IF(Upgrades!$T$10="Asteroid Belt",POWER(Upgrades!$U$10,I164),1)*IF(Upgrades!$T$11="Asteroid Belt",POWER(Upgrades!$U$11,J164),1)*IF(Upgrades!$T$12="Asteroid Belt",POWER(Upgrades!$U$12,K164),1))*POWER(Upgrades!$P$6,E164)*POWER(Upgrades!$P$7,F164)*POWER(Upgrades!$P$8,G164)*POWER(Upgrades!$P$9,H164)*POWER(Upgrades!$P$10,I164)*POWER(Upgrades!$P$11,J164)*POWER(Upgrades!$P$12,K164)*60</f>
        <v>150</v>
      </c>
      <c r="AC164" s="27" t="n">
        <f aca="false">(IF(G164=0,0,(Upgrades!$J$8+G164*Upgrades!$K$8)*POWER(Upgrades!$L$8,G164)))*(IF(Upgrades!$T$6="Stellar Coupling",POWER(Upgrades!$U$6,E164),1)*IF(Upgrades!$T$7="Stellar Coupling",POWER(Upgrades!$U$7,F164),1)*IF(Upgrades!$T$9="Stellar Coupling",POWER(Upgrades!$U$9,H164),1)*IF(Upgrades!$T$10="Stellar Coupling",POWER(Upgrades!$U$10,I164),1)*IF(Upgrades!$T$11="Stellar Coupling",POWER(Upgrades!$U$11,J164),1)*IF(Upgrades!$T$12="Stellar Coupling",POWER(Upgrades!$U$12,K164),1))*POWER(Upgrades!$Q$6,E164)*POWER(Upgrades!$Q$7,F164)*POWER(Upgrades!$Q$8,G164)*POWER(Upgrades!$Q$9,H164)*POWER(Upgrades!$Q$10,I164)*POWER(Upgrades!$Q$11,J164)*POWER(Upgrades!$Q$12,K164)*Parameters!$B$10*Parameters!$B$11</f>
        <v>441</v>
      </c>
      <c r="AD164" s="27" t="n">
        <f aca="false">(IF(H164=0,0,(Upgrades!$G$9+H164*Upgrades!$H$9)*POWER(Upgrades!$I$9,H164)))*(IF(Upgrades!$T$6="Magnetosphere",POWER(Upgrades!$U$6,E164),1)*IF(Upgrades!$T$7="Magnetosphere",POWER(Upgrades!$U$7,F164),1)*IF(Upgrades!$T$8="Magnetosphere",POWER(Upgrades!$U$8,G164),1)*IF(Upgrades!$T$10="Magnetosphere",POWER(Upgrades!$U$10,I164),1)*IF(Upgrades!$T$11="Magnetosphere",POWER(Upgrades!$U$11,J164),1)*IF(Upgrades!$T$12="Magnetosphere",POWER(Upgrades!$U$12,K164),1))*POWER(Upgrades!$P$6,E164)*POWER(Upgrades!$P$7,F164)*POWER(Upgrades!$P$8,G164)*POWER(Upgrades!$P$9,H164)*POWER(Upgrades!$P$10,I164)*POWER(Upgrades!$P$11,J164)*POWER(Upgrades!$P$12,K164)*60</f>
        <v>375</v>
      </c>
      <c r="AE164" s="27" t="n">
        <f aca="false">(IF(K164=0,0,(Upgrades!$G$12+K164*Upgrades!$H$12)*POWER(Upgrades!$I$12,K164)))*(IF(Upgrades!$T$6="First Photons",POWER(Upgrades!$U$6,E164),1)*IF(Upgrades!$T$7="First Photons",POWER(Upgrades!$U$7,F164),1)*IF(Upgrades!$T$8="First Photons",POWER(Upgrades!$U$8,G164),1)*IF(Upgrades!$T$9="First Photons",POWER(Upgrades!$U$9,H164),1)*IF(Upgrades!$T$10="First Photons",POWER(Upgrades!$U$10,I164),1)*IF(Upgrades!$T$11="First Photons",POWER(Upgrades!$U$11,J164),1))*POWER(Upgrades!$P$6,E164)*POWER(Upgrades!$P$7,F164)*POWER(Upgrades!$P$8,G164)*POWER(Upgrades!$P$9,H164)*POWER(Upgrades!$P$10,I164)*POWER(Upgrades!$P$11,J164)*POWER(Upgrades!$P$12,K164)*60</f>
        <v>75</v>
      </c>
      <c r="AF164" s="27" t="n">
        <f aca="false">Parameters!$B$9*POWER(Upgrades!$Q$6,E164)*POWER(Upgrades!$Q$7,F164)*POWER(Upgrades!$Q$8,G164)*POWER(Upgrades!$Q$9,H164)*POWER(Upgrades!$Q$10,I164)*POWER(Upgrades!$Q$11,J164)*POWER(Upgrades!$Q$12,K164)*(Parameters!$B$10*Parameters!$B$11+O164*60)</f>
        <v>120</v>
      </c>
      <c r="AG164" s="21" t="n">
        <f aca="false">IF(E164&gt;=Upgrades!$E$6,"",Upgrades!$C$6*POWER(Upgrades!$D$6,E164))</f>
        <v>37.4517507383159</v>
      </c>
      <c r="AH164" s="21" t="n">
        <f aca="false">IF(F164&gt;=Upgrades!$E$7,"",Upgrades!$C$7*POWER(Upgrades!$D$7,F164))</f>
        <v>80.9111547141581</v>
      </c>
      <c r="AI164" s="21" t="n">
        <f aca="false">IF(G164&gt;=Upgrades!$E$8,"",Upgrades!$C$8*POWER(Upgrades!$D$8,G164))</f>
        <v>231.9097088</v>
      </c>
      <c r="AJ164" s="21" t="str">
        <f aca="false">IF(H164&gt;=Upgrades!$E$9,"",Upgrades!$C$9*POWER(Upgrades!$D$9,H164))</f>
        <v/>
      </c>
      <c r="AK164" s="21" t="str">
        <f aca="false">IF(I164&gt;=Upgrades!$E$10,"",Upgrades!$C$10*POWER(Upgrades!$D$10,I164))</f>
        <v/>
      </c>
      <c r="AL164" s="21" t="str">
        <f aca="false">IF(J164&gt;=Upgrades!$E$11,"",Upgrades!$C$11*POWER(Upgrades!$D$11,J164))</f>
        <v/>
      </c>
      <c r="AM164" s="21" t="str">
        <f aca="false">IF(K164&gt;=Upgrades!$E$12,"",Upgrades!$C$12*POWER(Upgrades!$D$12,K164))</f>
        <v/>
      </c>
      <c r="AN164" s="26" t="str">
        <f aca="false">IF(AND(D164&gt;=Parameters!$B$18,(H164&gt;=Upgrades!$E$9)*(K164&gt;=Upgrades!$E$12)=1,L164=0),1,"")</f>
        <v/>
      </c>
      <c r="AO164" s="26" t="str">
        <f aca="false">IF(AND(D164&gt;=Parameters!$B$18,L164=0),1,"")</f>
        <v/>
      </c>
      <c r="AP164" s="21" t="n">
        <f aca="false">MIN(IF(ISNUMBER(AK164),AK164,9000000000000000),IF(ISNUMBER(AL164),AL164,9000000000000000),IF(ISNUMBER(AM164),AM164,9000000000000000))</f>
        <v>9000000000000000</v>
      </c>
      <c r="AQ164" s="21" t="n">
        <f aca="false">MIN(IF(ISNUMBER(AG164),AG164,9000000000000000),IF(ISNUMBER(AH164),AH164,9000000000000000),IF(ISNUMBER(AI164),AI164,9000000000000000),IF(ISNUMBER(AJ164),AJ164,9000000000000000))</f>
        <v>37.4517507383159</v>
      </c>
      <c r="AR164" s="32" t="b">
        <f aca="false">IF(AW164&gt;Parameters!$B$21*(MAX(IF(AND(NOT(AND(AO164=1,AN164&lt;&gt;1)),ISNUMBER(AG164),AG164&lt;=T164),AS164,0),IF(AND(NOT(AND(AO164=1,AN164&lt;&gt;1)),ISNUMBER(AH164),AH164&lt;=T164),AT164,0),IF(AND(NOT(AND(AO164=1,AN164&lt;&gt;1)),ISNUMBER(AI164),AI164&lt;=T164),AU164,0),IF(AND(ISNUMBER(AJ164),AJ164&lt;=T164),AV164,0))),TRUE(),FALSE())</f>
        <v>1</v>
      </c>
      <c r="AS164" s="33" t="n">
        <f aca="false">IFERROR(Upgrades!$H$6*(POWER(Upgrades!$P$6,E164)*POWER(Upgrades!$P$7,F164)*POWER(Upgrades!$P$8,G164)*POWER(Upgrades!$P$9,H164)*POWER(Upgrades!$P$10,I164)*POWER(Upgrades!$P$11,J164)*POWER(Upgrades!$P$12,K164))*(IF(Upgrades!$T$7="Solar Wind",POWER(Upgrades!$U$7,F164),1)*IF(Upgrades!$T$8="Solar Wind",POWER(Upgrades!$U$8,G164),1)*IF(Upgrades!$T$9="Solar Wind",POWER(Upgrades!$U$9,H164),1)*IF(Upgrades!$T$10="Solar Wind",POWER(Upgrades!$U$10,I164),1)*IF(Upgrades!$T$11="Solar Wind",POWER(Upgrades!$U$11,J164),1)*IF(Upgrades!$T$12="Solar Wind",POWER(Upgrades!$U$12,K164),1))/AG164,0)</f>
        <v>0.0026701021455238</v>
      </c>
      <c r="AT164" s="33" t="n">
        <f aca="false">IFERROR(Upgrades!$H$7*(POWER(Upgrades!$P$6,E164)*POWER(Upgrades!$P$7,F164)*POWER(Upgrades!$P$8,G164)*POWER(Upgrades!$P$9,H164)*POWER(Upgrades!$P$10,I164)*POWER(Upgrades!$P$11,J164)*POWER(Upgrades!$P$12,K164))*(IF(Upgrades!$T$6="Asteroid Belt",POWER(Upgrades!$U$6,E164),1)*IF(Upgrades!$T$8="Asteroid Belt",POWER(Upgrades!$U$8,G164),1)*IF(Upgrades!$T$9="Asteroid Belt",POWER(Upgrades!$U$9,H164),1)*IF(Upgrades!$T$10="Asteroid Belt",POWER(Upgrades!$U$10,I164),1)*IF(Upgrades!$T$11="Asteroid Belt",POWER(Upgrades!$U$11,J164),1)*IF(Upgrades!$T$12="Asteroid Belt",POWER(Upgrades!$U$12,K164),1))/AH164,0)</f>
        <v>0.00308980882652332</v>
      </c>
      <c r="AU164" s="33" t="n">
        <f aca="false">IFERROR(Upgrades!$K$8*(POWER(Upgrades!$Q$6,E164)*POWER(Upgrades!$Q$7,F164)*POWER(Upgrades!$Q$8,G164)*POWER(Upgrades!$Q$9,H164)*POWER(Upgrades!$Q$10,I164)*POWER(Upgrades!$Q$11,J164)*POWER(Upgrades!$Q$12,K164))*(IF(Upgrades!$T$6="Stellar Coupling",POWER(Upgrades!$U$6,E164),1)*IF(Upgrades!$T$7="Stellar Coupling",POWER(Upgrades!$U$7,F164),1)*IF(Upgrades!$T$9="Stellar Coupling",POWER(Upgrades!$U$9,H164),1)*IF(Upgrades!$T$10="Stellar Coupling",POWER(Upgrades!$U$10,I164),1)*IF(Upgrades!$T$11="Stellar Coupling",POWER(Upgrades!$U$11,J164),1)*IF(Upgrades!$T$12="Stellar Coupling",POWER(Upgrades!$U$12,K164),1))*Parameters!$B$10*Parameters!$B$11/60/AI164,0)</f>
        <v>0.00452762415783776</v>
      </c>
      <c r="AV164" s="33" t="n">
        <f aca="false">IFERROR(Upgrades!$H$9*(POWER(Upgrades!$P$6,E164)*POWER(Upgrades!$P$7,F164)*POWER(Upgrades!$P$8,G164)*POWER(Upgrades!$P$9,H164)*POWER(Upgrades!$P$10,I164)*POWER(Upgrades!$P$11,J164)*POWER(Upgrades!$P$12,K164))*(IF(Upgrades!$T$6="Magnetosphere",POWER(Upgrades!$U$6,E164),1)*IF(Upgrades!$T$7="Magnetosphere",POWER(Upgrades!$U$7,F164),1)*IF(Upgrades!$T$8="Magnetosphere",POWER(Upgrades!$U$8,G164),1)*IF(Upgrades!$T$10="Magnetosphere",POWER(Upgrades!$U$10,I164),1)*IF(Upgrades!$T$11="Magnetosphere",POWER(Upgrades!$U$11,J164),1)*IF(Upgrades!$T$12="Magnetosphere",POWER(Upgrades!$U$12,K164),1))/AJ164,0)</f>
        <v>0</v>
      </c>
      <c r="AW164" s="33" t="n">
        <f aca="false">MAX(IF(I164&gt;0,0,IFERROR(0.25*N164/Upgrades!$C$10,0)),IF(J164&gt;0,0,IFERROR(0.5*((IF(G164=0,0,(Upgrades!$J$8+G164*Upgrades!$K$8)*POWER(Upgrades!$L$8,G164)))*(IF(Upgrades!$T$6="Stellar Coupling",POWER(Upgrades!$U$6,E164),1)*IF(Upgrades!$T$7="Stellar Coupling",POWER(Upgrades!$U$7,F164),1)*IF(Upgrades!$T$9="Stellar Coupling",POWER(Upgrades!$U$9,H164),1)*IF(Upgrades!$T$10="Stellar Coupling",POWER(Upgrades!$U$10,I164),1)*IF(Upgrades!$T$11="Stellar Coupling",POWER(Upgrades!$U$11,J164),1)*IF(Upgrades!$T$12="Stellar Coupling",POWER(Upgrades!$U$12,K164),1))*(POWER(Upgrades!$Q$6,E164)*POWER(Upgrades!$Q$7,F164)*POWER(Upgrades!$Q$8,G164)*POWER(Upgrades!$Q$9,H164)*POWER(Upgrades!$Q$10,I164)*POWER(Upgrades!$Q$11,J164)*POWER(Upgrades!$Q$12,K164))*Parameters!$B$10*Parameters!$B$11/60)/Upgrades!$C$11,0)),IF(K164&gt;0,0,IFERROR((1*(POWER(Upgrades!$P$6,E164)*POWER(Upgrades!$P$7,F164)*POWER(Upgrades!$P$8,G164)*POWER(Upgrades!$P$9,H164)*POWER(Upgrades!$P$10,I164)*POWER(Upgrades!$P$11,J164)*POWER(Upgrades!$P$12,K164))+0.2*M164*Parameters!$B$10*Parameters!$B$11/60)/Upgrades!$C$12,0)),IF(AND(ISNUMBER(AG164),AG164&gt;T164),AS164,0),IF(AND(ISNUMBER(AH164),AH164&gt;T164),AT164,0),IF(AND(ISNUMBER(AI164),AI164&gt;T164),AU164,0),IF(AND(ISNUMBER(AJ164),AJ164&gt;T164),AV164,0))</f>
        <v>0.00452762415783776</v>
      </c>
      <c r="AX164" s="29" t="str">
        <f aca="false">IF(AN164=1,"transition",IF(MIN(IF(AND(I164=0,ISNUMBER(AK164),AK164&lt;=T164),AK164,9000000000000000),IF(AND(J164=0,ISNUMBER(AL164),AL164&lt;=T164),AL164,9000000000000000),IF(AND(K164=0,ISNUMBER(AM164),AM164&lt;=T164),AM164,9000000000000000))&lt;9000000000000000,IF(AND(AND(I164=0,ISNUMBER(AK164),AK164&lt;=T164),AK164=MIN(IF(AND(I164=0,ISNUMBER(AK164),AK164&lt;=T164),AK164,9000000000000000),IF(AND(J164=0,ISNUMBER(AL164),AL164&lt;=T164),AL164,9000000000000000),IF(AND(K164=0,ISNUMBER(AM164),AM164&lt;=T164),AM164,9000000000000000))),"OR",IF(AND(AND(J164=0,ISNUMBER(AL164),AL164&lt;=T164),AL164=MIN(IF(AND(I164=0,ISNUMBER(AK164),AK164&lt;=T164),AK164,9000000000000000),IF(AND(J164=0,ISNUMBER(AL164),AL164&lt;=T164),AL164,9000000000000000),IF(AND(K164=0,ISNUMBER(AM164),AM164&lt;=T164),AM164,9000000000000000))),"HP","FP")),IF(AR164=TRUE(),"",IF(MAX(IF(AND(NOT(AND(AO164=1,AN164&lt;&gt;1)),ISNUMBER(AG164),AG164&lt;=T164),AS164,0),IF(AND(NOT(AND(AO164=1,AN164&lt;&gt;1)),ISNUMBER(AH164),AH164&lt;=T164),AT164,0),IF(AND(NOT(AND(AO164=1,AN164&lt;&gt;1)),ISNUMBER(AI164),AI164&lt;=T164),AU164,0),IF(AND(ISNUMBER(AJ164),AJ164&lt;=T164),AV164,0))&lt;=0,"",IF(AND(IF(AND(NOT(AND(AO164=1,AN164&lt;&gt;1)),ISNUMBER(AG164),AG164&lt;=T164),AS164,0)&gt;0,IF(AND(NOT(AND(AO164=1,AN164&lt;&gt;1)),ISNUMBER(AG164),AG164&lt;=T164),AS164,0)=MAX(IF(AND(NOT(AND(AO164=1,AN164&lt;&gt;1)),ISNUMBER(AG164),AG164&lt;=T164),AS164,0),IF(AND(NOT(AND(AO164=1,AN164&lt;&gt;1)),ISNUMBER(AH164),AH164&lt;=T164),AT164,0),IF(AND(NOT(AND(AO164=1,AN164&lt;&gt;1)),ISNUMBER(AI164),AI164&lt;=T164),AU164,0),IF(AND(ISNUMBER(AJ164),AJ164&lt;=T164),AV164,0))),"SW",IF(AND(IF(AND(NOT(AND(AO164=1,AN164&lt;&gt;1)),ISNUMBER(AH164),AH164&lt;=T164),AT164,0)&gt;0,IF(AND(NOT(AND(AO164=1,AN164&lt;&gt;1)),ISNUMBER(AH164),AH164&lt;=T164),AT164,0)=MAX(IF(AND(NOT(AND(AO164=1,AN164&lt;&gt;1)),ISNUMBER(AG164),AG164&lt;=T164),AS164,0),IF(AND(NOT(AND(AO164=1,AN164&lt;&gt;1)),ISNUMBER(AH164),AH164&lt;=T164),AT164,0),IF(AND(NOT(AND(AO164=1,AN164&lt;&gt;1)),ISNUMBER(AI164),AI164&lt;=T164),AU164,0),IF(AND(ISNUMBER(AJ164),AJ164&lt;=T164),AV164,0))),"AB",IF(AND(IF(AND(NOT(AND(AO164=1,AN164&lt;&gt;1)),ISNUMBER(AI164),AI164&lt;=T164),AU164,0)&gt;0,IF(AND(NOT(AND(AO164=1,AN164&lt;&gt;1)),ISNUMBER(AI164),AI164&lt;=T164),AU164,0)=MAX(IF(AND(NOT(AND(AO164=1,AN164&lt;&gt;1)),ISNUMBER(AG164),AG164&lt;=T164),AS164,0),IF(AND(NOT(AND(AO164=1,AN164&lt;&gt;1)),ISNUMBER(AH164),AH164&lt;=T164),AT164,0),IF(AND(NOT(AND(AO164=1,AN164&lt;&gt;1)),ISNUMBER(AI164),AI164&lt;=T164),AU164,0),IF(AND(ISNUMBER(AJ164),AJ164&lt;=T164),AV164,0))),"SC","Mag")))))))</f>
        <v/>
      </c>
    </row>
    <row r="165" customFormat="false" ht="15" hidden="false" customHeight="false" outlineLevel="0" collapsed="false">
      <c r="A165" s="26" t="n">
        <v>160</v>
      </c>
      <c r="B165" s="27" t="n">
        <f aca="false">A165*10/60</f>
        <v>26.6666666666667</v>
      </c>
      <c r="C165" s="21" t="n">
        <f aca="false">X164</f>
        <v>18.6730249835055</v>
      </c>
      <c r="D165" s="27" t="n">
        <f aca="false">D164+W164</f>
        <v>0</v>
      </c>
      <c r="E165" s="26" t="n">
        <f aca="false">E164+IF(U164="SW",1,0)</f>
        <v>12</v>
      </c>
      <c r="F165" s="26" t="n">
        <f aca="false">F164+IF(U164="AB",1,0)</f>
        <v>10</v>
      </c>
      <c r="G165" s="26" t="n">
        <f aca="false">G164+IF(U164="SC",1,0)</f>
        <v>7</v>
      </c>
      <c r="H165" s="26" t="n">
        <f aca="false">H164+IF(U164="Mag",1,0)</f>
        <v>5</v>
      </c>
      <c r="I165" s="26" t="n">
        <f aca="false">MAX(I164,IF(U164="OR",1,0))</f>
        <v>1</v>
      </c>
      <c r="J165" s="26" t="n">
        <f aca="false">MAX(J164,IF(U164="HP",1,0))</f>
        <v>1</v>
      </c>
      <c r="K165" s="26" t="n">
        <f aca="false">MAX(K164,IF(U164="FP",1,0))</f>
        <v>1</v>
      </c>
      <c r="L165" s="26" t="n">
        <f aca="false">MAX(L164,IF(U164="transition",1,0))</f>
        <v>1</v>
      </c>
      <c r="M165" s="28" t="n">
        <f aca="false">(Parameters!$B$9+(IF(E165=0,0,(Upgrades!$J$6+E165*Upgrades!$K$6)*POWER(Upgrades!$L$6,E165)))*(IF(Upgrades!$T$7="Solar Wind",POWER(Upgrades!$U$7,F165),1)*IF(Upgrades!$T$8="Solar Wind",POWER(Upgrades!$U$8,G165),1)*IF(Upgrades!$T$9="Solar Wind",POWER(Upgrades!$U$9,H165),1)*IF(Upgrades!$T$10="Solar Wind",POWER(Upgrades!$U$10,I165),1)*IF(Upgrades!$T$11="Solar Wind",POWER(Upgrades!$U$11,J165),1)*IF(Upgrades!$T$12="Solar Wind",POWER(Upgrades!$U$12,K165),1))+(IF(F165=0,0,(Upgrades!$J$7+F165*Upgrades!$K$7)*POWER(Upgrades!$L$7,F165)))*(IF(Upgrades!$T$6="Asteroid Belt",POWER(Upgrades!$U$6,E165),1)*IF(Upgrades!$T$8="Asteroid Belt",POWER(Upgrades!$U$8,G165),1)*IF(Upgrades!$T$9="Asteroid Belt",POWER(Upgrades!$U$9,H165),1)*IF(Upgrades!$T$10="Asteroid Belt",POWER(Upgrades!$U$10,I165),1)*IF(Upgrades!$T$11="Asteroid Belt",POWER(Upgrades!$U$11,J165),1)*IF(Upgrades!$T$12="Asteroid Belt",POWER(Upgrades!$U$12,K165),1))+(IF(G165=0,0,(Upgrades!$J$8+G165*Upgrades!$K$8)*POWER(Upgrades!$L$8,G165)))*(IF(Upgrades!$T$6="Stellar Coupling",POWER(Upgrades!$U$6,E165),1)*IF(Upgrades!$T$7="Stellar Coupling",POWER(Upgrades!$U$7,F165),1)*IF(Upgrades!$T$9="Stellar Coupling",POWER(Upgrades!$U$9,H165),1)*IF(Upgrades!$T$10="Stellar Coupling",POWER(Upgrades!$U$10,I165),1)*IF(Upgrades!$T$11="Stellar Coupling",POWER(Upgrades!$U$11,J165),1)*IF(Upgrades!$T$12="Stellar Coupling",POWER(Upgrades!$U$12,K165),1))+(IF(H165=0,0,(Upgrades!$J$9+H165*Upgrades!$K$9)*POWER(Upgrades!$L$9,H165)))*(IF(Upgrades!$T$6="Magnetosphere",POWER(Upgrades!$U$6,E165),1)*IF(Upgrades!$T$7="Magnetosphere",POWER(Upgrades!$U$7,F165),1)*IF(Upgrades!$T$8="Magnetosphere",POWER(Upgrades!$U$8,G165),1)*IF(Upgrades!$T$10="Magnetosphere",POWER(Upgrades!$U$10,I165),1)*IF(Upgrades!$T$11="Magnetosphere",POWER(Upgrades!$U$11,J165),1)*IF(Upgrades!$T$12="Magnetosphere",POWER(Upgrades!$U$12,K165),1))+(IF(I165=0,0,(Upgrades!$J$10+I165*Upgrades!$K$10)*POWER(Upgrades!$L$10,I165)))*(IF(Upgrades!$T$6="Orbital Resonance",POWER(Upgrades!$U$6,E165),1)*IF(Upgrades!$T$7="Orbital Resonance",POWER(Upgrades!$U$7,F165),1)*IF(Upgrades!$T$8="Orbital Resonance",POWER(Upgrades!$U$8,G165),1)*IF(Upgrades!$T$9="Orbital Resonance",POWER(Upgrades!$U$9,H165),1)*IF(Upgrades!$T$11="Orbital Resonance",POWER(Upgrades!$U$11,J165),1)*IF(Upgrades!$T$12="Orbital Resonance",POWER(Upgrades!$U$12,K165),1))+(IF(J165=0,0,(Upgrades!$J$11+J165*Upgrades!$K$11)*POWER(Upgrades!$L$11,J165)))*(IF(Upgrades!$T$6="Heliopause",POWER(Upgrades!$U$6,E165),1)*IF(Upgrades!$T$7="Heliopause",POWER(Upgrades!$U$7,F165),1)*IF(Upgrades!$T$8="Heliopause",POWER(Upgrades!$U$8,G165),1)*IF(Upgrades!$T$9="Heliopause",POWER(Upgrades!$U$9,H165),1)*IF(Upgrades!$T$10="Heliopause",POWER(Upgrades!$U$10,I165),1)*IF(Upgrades!$T$12="Heliopause",POWER(Upgrades!$U$12,K165),1))+(IF(K165=0,0,(Upgrades!$J$12+K165*Upgrades!$K$12)*POWER(Upgrades!$L$12,K165)))*(IF(Upgrades!$T$6="First Photons",POWER(Upgrades!$U$6,E165),1)*IF(Upgrades!$T$7="First Photons",POWER(Upgrades!$U$7,F165),1)*IF(Upgrades!$T$8="First Photons",POWER(Upgrades!$U$8,G165),1)*IF(Upgrades!$T$9="First Photons",POWER(Upgrades!$U$9,H165),1)*IF(Upgrades!$T$10="First Photons",POWER(Upgrades!$U$10,I165),1)*IF(Upgrades!$T$11="First Photons",POWER(Upgrades!$U$11,J165),1)))*POWER(Upgrades!$Q$6,E165)*POWER(Upgrades!$Q$7,F165)*POWER(Upgrades!$Q$8,G165)*POWER(Upgrades!$Q$9,H165)*POWER(Upgrades!$Q$10,I165)*POWER(Upgrades!$Q$11,J165)*POWER(Upgrades!$Q$12,K165)</f>
        <v>5.61</v>
      </c>
      <c r="N165" s="28" t="n">
        <f aca="false">((IF(E165=0,0,(Upgrades!$G$6+E165*Upgrades!$H$6)*POWER(Upgrades!$I$6,E165)))*(IF(Upgrades!$T$7="Solar Wind",POWER(Upgrades!$U$7,F165),1)*IF(Upgrades!$T$8="Solar Wind",POWER(Upgrades!$U$8,G165),1)*IF(Upgrades!$T$9="Solar Wind",POWER(Upgrades!$U$9,H165),1)*IF(Upgrades!$T$10="Solar Wind",POWER(Upgrades!$U$10,I165),1)*IF(Upgrades!$T$11="Solar Wind",POWER(Upgrades!$U$11,J165),1)*IF(Upgrades!$T$12="Solar Wind",POWER(Upgrades!$U$12,K165),1))+(IF(F165=0,0,(Upgrades!$G$7+F165*Upgrades!$H$7)*POWER(Upgrades!$I$7,F165)))*(IF(Upgrades!$T$6="Asteroid Belt",POWER(Upgrades!$U$6,E165),1)*IF(Upgrades!$T$8="Asteroid Belt",POWER(Upgrades!$U$8,G165),1)*IF(Upgrades!$T$9="Asteroid Belt",POWER(Upgrades!$U$9,H165),1)*IF(Upgrades!$T$10="Asteroid Belt",POWER(Upgrades!$U$10,I165),1)*IF(Upgrades!$T$11="Asteroid Belt",POWER(Upgrades!$U$11,J165),1)*IF(Upgrades!$T$12="Asteroid Belt",POWER(Upgrades!$U$12,K165),1))+(IF(G165=0,0,(Upgrades!$G$8+G165*Upgrades!$H$8)*POWER(Upgrades!$I$8,G165)))*(IF(Upgrades!$T$6="Stellar Coupling",POWER(Upgrades!$U$6,E165),1)*IF(Upgrades!$T$7="Stellar Coupling",POWER(Upgrades!$U$7,F165),1)*IF(Upgrades!$T$9="Stellar Coupling",POWER(Upgrades!$U$9,H165),1)*IF(Upgrades!$T$10="Stellar Coupling",POWER(Upgrades!$U$10,I165),1)*IF(Upgrades!$T$11="Stellar Coupling",POWER(Upgrades!$U$11,J165),1)*IF(Upgrades!$T$12="Stellar Coupling",POWER(Upgrades!$U$12,K165),1))+(IF(H165=0,0,(Upgrades!$G$9+H165*Upgrades!$H$9)*POWER(Upgrades!$I$9,H165)))*(IF(Upgrades!$T$6="Magnetosphere",POWER(Upgrades!$U$6,E165),1)*IF(Upgrades!$T$7="Magnetosphere",POWER(Upgrades!$U$7,F165),1)*IF(Upgrades!$T$8="Magnetosphere",POWER(Upgrades!$U$8,G165),1)*IF(Upgrades!$T$10="Magnetosphere",POWER(Upgrades!$U$10,I165),1)*IF(Upgrades!$T$11="Magnetosphere",POWER(Upgrades!$U$11,J165),1)*IF(Upgrades!$T$12="Magnetosphere",POWER(Upgrades!$U$12,K165),1))+(IF(I165=0,0,(Upgrades!$G$10+I165*Upgrades!$H$10)*POWER(Upgrades!$I$10,I165)))*(IF(Upgrades!$T$6="Orbital Resonance",POWER(Upgrades!$U$6,E165),1)*IF(Upgrades!$T$7="Orbital Resonance",POWER(Upgrades!$U$7,F165),1)*IF(Upgrades!$T$8="Orbital Resonance",POWER(Upgrades!$U$8,G165),1)*IF(Upgrades!$T$9="Orbital Resonance",POWER(Upgrades!$U$9,H165),1)*IF(Upgrades!$T$11="Orbital Resonance",POWER(Upgrades!$U$11,J165),1)*IF(Upgrades!$T$12="Orbital Resonance",POWER(Upgrades!$U$12,K165),1))+(IF(J165=0,0,(Upgrades!$G$11+J165*Upgrades!$H$11)*POWER(Upgrades!$I$11,J165)))*(IF(Upgrades!$T$6="Heliopause",POWER(Upgrades!$U$6,E165),1)*IF(Upgrades!$T$7="Heliopause",POWER(Upgrades!$U$7,F165),1)*IF(Upgrades!$T$8="Heliopause",POWER(Upgrades!$U$8,G165),1)*IF(Upgrades!$T$9="Heliopause",POWER(Upgrades!$U$9,H165),1)*IF(Upgrades!$T$10="Heliopause",POWER(Upgrades!$U$10,I165),1)*IF(Upgrades!$T$12="Heliopause",POWER(Upgrades!$U$12,K165),1))+(IF(K165=0,0,(Upgrades!$G$12+K165*Upgrades!$H$12)*POWER(Upgrades!$I$12,K165)))*(IF(Upgrades!$T$6="First Photons",POWER(Upgrades!$U$6,E165),1)*IF(Upgrades!$T$7="First Photons",POWER(Upgrades!$U$7,F165),1)*IF(Upgrades!$T$8="First Photons",POWER(Upgrades!$U$8,G165),1)*IF(Upgrades!$T$9="First Photons",POWER(Upgrades!$U$9,H165),1)*IF(Upgrades!$T$10="First Photons",POWER(Upgrades!$U$10,I165),1)*IF(Upgrades!$T$11="First Photons",POWER(Upgrades!$U$11,J165),1)))*POWER(Upgrades!$P$6,E165)*POWER(Upgrades!$P$7,F165)*POWER(Upgrades!$P$8,G165)*POWER(Upgrades!$P$9,H165)*POWER(Upgrades!$P$10,I165)*POWER(Upgrades!$P$11,J165)*POWER(Upgrades!$P$12,K165)</f>
        <v>11.2</v>
      </c>
      <c r="O165" s="28" t="n">
        <f aca="false">((IF(E165=0,0,(Upgrades!$M$6+E165*Upgrades!$N$6)*POWER(Upgrades!$O$6,E165)))*(IF(Upgrades!$T$7="Solar Wind",POWER(Upgrades!$U$7,F165),1)*IF(Upgrades!$T$8="Solar Wind",POWER(Upgrades!$U$8,G165),1)*IF(Upgrades!$T$9="Solar Wind",POWER(Upgrades!$U$9,H165),1)*IF(Upgrades!$T$10="Solar Wind",POWER(Upgrades!$U$10,I165),1)*IF(Upgrades!$T$11="Solar Wind",POWER(Upgrades!$U$11,J165),1)*IF(Upgrades!$T$12="Solar Wind",POWER(Upgrades!$U$12,K165),1))+(IF(F165=0,0,(Upgrades!$M$7+F165*Upgrades!$N$7)*POWER(Upgrades!$O$7,F165)))*(IF(Upgrades!$T$6="Asteroid Belt",POWER(Upgrades!$U$6,E165),1)*IF(Upgrades!$T$8="Asteroid Belt",POWER(Upgrades!$U$8,G165),1)*IF(Upgrades!$T$9="Asteroid Belt",POWER(Upgrades!$U$9,H165),1)*IF(Upgrades!$T$10="Asteroid Belt",POWER(Upgrades!$U$10,I165),1)*IF(Upgrades!$T$11="Asteroid Belt",POWER(Upgrades!$U$11,J165),1)*IF(Upgrades!$T$12="Asteroid Belt",POWER(Upgrades!$U$12,K165),1))+(IF(G165=0,0,(Upgrades!$M$8+G165*Upgrades!$N$8)*POWER(Upgrades!$O$8,G165)))*(IF(Upgrades!$T$6="Stellar Coupling",POWER(Upgrades!$U$6,E165),1)*IF(Upgrades!$T$7="Stellar Coupling",POWER(Upgrades!$U$7,F165),1)*IF(Upgrades!$T$9="Stellar Coupling",POWER(Upgrades!$U$9,H165),1)*IF(Upgrades!$T$10="Stellar Coupling",POWER(Upgrades!$U$10,I165),1)*IF(Upgrades!$T$11="Stellar Coupling",POWER(Upgrades!$U$11,J165),1)*IF(Upgrades!$T$12="Stellar Coupling",POWER(Upgrades!$U$12,K165),1))+(IF(H165=0,0,(Upgrades!$M$9+H165*Upgrades!$N$9)*POWER(Upgrades!$O$9,H165)))*(IF(Upgrades!$T$6="Magnetosphere",POWER(Upgrades!$U$6,E165),1)*IF(Upgrades!$T$7="Magnetosphere",POWER(Upgrades!$U$7,F165),1)*IF(Upgrades!$T$8="Magnetosphere",POWER(Upgrades!$U$8,G165),1)*IF(Upgrades!$T$10="Magnetosphere",POWER(Upgrades!$U$10,I165),1)*IF(Upgrades!$T$11="Magnetosphere",POWER(Upgrades!$U$11,J165),1)*IF(Upgrades!$T$12="Magnetosphere",POWER(Upgrades!$U$12,K165),1))+(IF(I165=0,0,(Upgrades!$M$10+I165*Upgrades!$N$10)*POWER(Upgrades!$O$10,I165)))*(IF(Upgrades!$T$6="Orbital Resonance",POWER(Upgrades!$U$6,E165),1)*IF(Upgrades!$T$7="Orbital Resonance",POWER(Upgrades!$U$7,F165),1)*IF(Upgrades!$T$8="Orbital Resonance",POWER(Upgrades!$U$8,G165),1)*IF(Upgrades!$T$9="Orbital Resonance",POWER(Upgrades!$U$9,H165),1)*IF(Upgrades!$T$11="Orbital Resonance",POWER(Upgrades!$U$11,J165),1)*IF(Upgrades!$T$12="Orbital Resonance",POWER(Upgrades!$U$12,K165),1))+(IF(J165=0,0,(Upgrades!$M$11+J165*Upgrades!$N$11)*POWER(Upgrades!$O$11,J165)))*(IF(Upgrades!$T$6="Heliopause",POWER(Upgrades!$U$6,E165),1)*IF(Upgrades!$T$7="Heliopause",POWER(Upgrades!$U$7,F165),1)*IF(Upgrades!$T$8="Heliopause",POWER(Upgrades!$U$8,G165),1)*IF(Upgrades!$T$9="Heliopause",POWER(Upgrades!$U$9,H165),1)*IF(Upgrades!$T$10="Heliopause",POWER(Upgrades!$U$10,I165),1)*IF(Upgrades!$T$12="Heliopause",POWER(Upgrades!$U$12,K165),1))+(IF(K165=0,0,(Upgrades!$M$12+K165*Upgrades!$N$12)*POWER(Upgrades!$O$12,K165)))*(IF(Upgrades!$T$6="First Photons",POWER(Upgrades!$U$6,E165),1)*IF(Upgrades!$T$7="First Photons",POWER(Upgrades!$U$7,F165),1)*IF(Upgrades!$T$8="First Photons",POWER(Upgrades!$U$8,G165),1)*IF(Upgrades!$T$9="First Photons",POWER(Upgrades!$U$9,H165),1)*IF(Upgrades!$T$10="First Photons",POWER(Upgrades!$U$10,I165),1)*IF(Upgrades!$T$11="First Photons",POWER(Upgrades!$U$11,J165),1)))*POWER(Upgrades!$R$6,E165)*POWER(Upgrades!$R$7,F165)*POWER(Upgrades!$R$8,G165)*POWER(Upgrades!$R$9,H165)*POWER(Upgrades!$R$10,I165)*POWER(Upgrades!$R$11,J165)*POWER(Upgrades!$R$12,K165)</f>
        <v>0</v>
      </c>
      <c r="P165" s="27" t="n">
        <f aca="false">IF(L165=1,0,M165*Parameters!$B$10/60*Parameters!$B$11*10)</f>
        <v>0</v>
      </c>
      <c r="Q165" s="27" t="n">
        <f aca="false">IF(L165=1,0,O165*M165*10)</f>
        <v>0</v>
      </c>
      <c r="R165" s="27" t="n">
        <f aca="false">IF(L165=1,0,N165*10)</f>
        <v>0</v>
      </c>
      <c r="S165" s="27" t="n">
        <f aca="false">P165+Q165+R165</f>
        <v>0</v>
      </c>
      <c r="T165" s="21" t="n">
        <f aca="false">C165+S165</f>
        <v>18.6730249835055</v>
      </c>
      <c r="U165" s="34" t="str">
        <f aca="false">AX165</f>
        <v/>
      </c>
      <c r="V165" s="21" t="n">
        <f aca="false">IF(U165="",0,IF(U165="transition",0,IF(U165="SW",AG165,IF(U165="AB",AH165,IF(U165="SC",AI165,IF(U165="Mag",AJ165,IF(U165="OR",AK165,IF(U165="HP",AL165,IF(U165="FP",AM165,0)))))))))</f>
        <v>0</v>
      </c>
      <c r="W165" s="27" t="n">
        <f aca="false">IF(U165="OR",Upgrades!$F$10,IF(U165="HP",Upgrades!$F$11,IF(U165="transition",-Parameters!$B$18,0)))</f>
        <v>0</v>
      </c>
      <c r="X165" s="21" t="n">
        <f aca="false">T165-V165</f>
        <v>18.6730249835055</v>
      </c>
      <c r="Y165" s="30" t="n">
        <f aca="false">M165*Parameters!$B$10/60*Parameters!$B$11+O165*M165+N165</f>
        <v>20.55</v>
      </c>
      <c r="Z165" s="35" t="str">
        <f aca="false">IF(U165="transition","→ Tier 2 (Stellar Neighborhood)",IF(U165="FP","First Photons — light begins, system quickens",IF(U165="HP","Heliopause acquired",IF(U165="OR","Orbital Resonance — passive multiplier active",IF(AND(AO165=1,L165=0,AN165&lt;&gt;1),"Cohesion ready (waiting on completionist upgrades)","")))))</f>
        <v/>
      </c>
      <c r="AA165" s="27" t="n">
        <f aca="false">(IF(E165=0,0,(Upgrades!$G$6+E165*Upgrades!$H$6)*POWER(Upgrades!$I$6,E165)))*(IF(Upgrades!$T$7="Solar Wind",POWER(Upgrades!$U$7,F165),1)*IF(Upgrades!$T$8="Solar Wind",POWER(Upgrades!$U$8,G165),1)*IF(Upgrades!$T$9="Solar Wind",POWER(Upgrades!$U$9,H165),1)*IF(Upgrades!$T$10="Solar Wind",POWER(Upgrades!$U$10,I165),1)*IF(Upgrades!$T$11="Solar Wind",POWER(Upgrades!$U$11,J165),1)*IF(Upgrades!$T$12="Solar Wind",POWER(Upgrades!$U$12,K165),1))*POWER(Upgrades!$P$6,E165)*POWER(Upgrades!$P$7,F165)*POWER(Upgrades!$P$8,G165)*POWER(Upgrades!$P$9,H165)*POWER(Upgrades!$P$10,I165)*POWER(Upgrades!$P$11,J165)*POWER(Upgrades!$P$12,K165)*60</f>
        <v>72</v>
      </c>
      <c r="AB165" s="27" t="n">
        <f aca="false">(IF(F165=0,0,(Upgrades!$G$7+F165*Upgrades!$H$7)*POWER(Upgrades!$I$7,F165)))*(IF(Upgrades!$T$6="Asteroid Belt",POWER(Upgrades!$U$6,E165),1)*IF(Upgrades!$T$8="Asteroid Belt",POWER(Upgrades!$U$8,G165),1)*IF(Upgrades!$T$9="Asteroid Belt",POWER(Upgrades!$U$9,H165),1)*IF(Upgrades!$T$10="Asteroid Belt",POWER(Upgrades!$U$10,I165),1)*IF(Upgrades!$T$11="Asteroid Belt",POWER(Upgrades!$U$11,J165),1)*IF(Upgrades!$T$12="Asteroid Belt",POWER(Upgrades!$U$12,K165),1))*POWER(Upgrades!$P$6,E165)*POWER(Upgrades!$P$7,F165)*POWER(Upgrades!$P$8,G165)*POWER(Upgrades!$P$9,H165)*POWER(Upgrades!$P$10,I165)*POWER(Upgrades!$P$11,J165)*POWER(Upgrades!$P$12,K165)*60</f>
        <v>150</v>
      </c>
      <c r="AC165" s="27" t="n">
        <f aca="false">(IF(G165=0,0,(Upgrades!$J$8+G165*Upgrades!$K$8)*POWER(Upgrades!$L$8,G165)))*(IF(Upgrades!$T$6="Stellar Coupling",POWER(Upgrades!$U$6,E165),1)*IF(Upgrades!$T$7="Stellar Coupling",POWER(Upgrades!$U$7,F165),1)*IF(Upgrades!$T$9="Stellar Coupling",POWER(Upgrades!$U$9,H165),1)*IF(Upgrades!$T$10="Stellar Coupling",POWER(Upgrades!$U$10,I165),1)*IF(Upgrades!$T$11="Stellar Coupling",POWER(Upgrades!$U$11,J165),1)*IF(Upgrades!$T$12="Stellar Coupling",POWER(Upgrades!$U$12,K165),1))*POWER(Upgrades!$Q$6,E165)*POWER(Upgrades!$Q$7,F165)*POWER(Upgrades!$Q$8,G165)*POWER(Upgrades!$Q$9,H165)*POWER(Upgrades!$Q$10,I165)*POWER(Upgrades!$Q$11,J165)*POWER(Upgrades!$Q$12,K165)*Parameters!$B$10*Parameters!$B$11</f>
        <v>441</v>
      </c>
      <c r="AD165" s="27" t="n">
        <f aca="false">(IF(H165=0,0,(Upgrades!$G$9+H165*Upgrades!$H$9)*POWER(Upgrades!$I$9,H165)))*(IF(Upgrades!$T$6="Magnetosphere",POWER(Upgrades!$U$6,E165),1)*IF(Upgrades!$T$7="Magnetosphere",POWER(Upgrades!$U$7,F165),1)*IF(Upgrades!$T$8="Magnetosphere",POWER(Upgrades!$U$8,G165),1)*IF(Upgrades!$T$10="Magnetosphere",POWER(Upgrades!$U$10,I165),1)*IF(Upgrades!$T$11="Magnetosphere",POWER(Upgrades!$U$11,J165),1)*IF(Upgrades!$T$12="Magnetosphere",POWER(Upgrades!$U$12,K165),1))*POWER(Upgrades!$P$6,E165)*POWER(Upgrades!$P$7,F165)*POWER(Upgrades!$P$8,G165)*POWER(Upgrades!$P$9,H165)*POWER(Upgrades!$P$10,I165)*POWER(Upgrades!$P$11,J165)*POWER(Upgrades!$P$12,K165)*60</f>
        <v>375</v>
      </c>
      <c r="AE165" s="27" t="n">
        <f aca="false">(IF(K165=0,0,(Upgrades!$G$12+K165*Upgrades!$H$12)*POWER(Upgrades!$I$12,K165)))*(IF(Upgrades!$T$6="First Photons",POWER(Upgrades!$U$6,E165),1)*IF(Upgrades!$T$7="First Photons",POWER(Upgrades!$U$7,F165),1)*IF(Upgrades!$T$8="First Photons",POWER(Upgrades!$U$8,G165),1)*IF(Upgrades!$T$9="First Photons",POWER(Upgrades!$U$9,H165),1)*IF(Upgrades!$T$10="First Photons",POWER(Upgrades!$U$10,I165),1)*IF(Upgrades!$T$11="First Photons",POWER(Upgrades!$U$11,J165),1))*POWER(Upgrades!$P$6,E165)*POWER(Upgrades!$P$7,F165)*POWER(Upgrades!$P$8,G165)*POWER(Upgrades!$P$9,H165)*POWER(Upgrades!$P$10,I165)*POWER(Upgrades!$P$11,J165)*POWER(Upgrades!$P$12,K165)*60</f>
        <v>75</v>
      </c>
      <c r="AF165" s="27" t="n">
        <f aca="false">Parameters!$B$9*POWER(Upgrades!$Q$6,E165)*POWER(Upgrades!$Q$7,F165)*POWER(Upgrades!$Q$8,G165)*POWER(Upgrades!$Q$9,H165)*POWER(Upgrades!$Q$10,I165)*POWER(Upgrades!$Q$11,J165)*POWER(Upgrades!$Q$12,K165)*(Parameters!$B$10*Parameters!$B$11+O165*60)</f>
        <v>120</v>
      </c>
      <c r="AG165" s="21" t="n">
        <f aca="false">IF(E165&gt;=Upgrades!$E$6,"",Upgrades!$C$6*POWER(Upgrades!$D$6,E165))</f>
        <v>37.4517507383159</v>
      </c>
      <c r="AH165" s="21" t="n">
        <f aca="false">IF(F165&gt;=Upgrades!$E$7,"",Upgrades!$C$7*POWER(Upgrades!$D$7,F165))</f>
        <v>80.9111547141581</v>
      </c>
      <c r="AI165" s="21" t="n">
        <f aca="false">IF(G165&gt;=Upgrades!$E$8,"",Upgrades!$C$8*POWER(Upgrades!$D$8,G165))</f>
        <v>231.9097088</v>
      </c>
      <c r="AJ165" s="21" t="str">
        <f aca="false">IF(H165&gt;=Upgrades!$E$9,"",Upgrades!$C$9*POWER(Upgrades!$D$9,H165))</f>
        <v/>
      </c>
      <c r="AK165" s="21" t="str">
        <f aca="false">IF(I165&gt;=Upgrades!$E$10,"",Upgrades!$C$10*POWER(Upgrades!$D$10,I165))</f>
        <v/>
      </c>
      <c r="AL165" s="21" t="str">
        <f aca="false">IF(J165&gt;=Upgrades!$E$11,"",Upgrades!$C$11*POWER(Upgrades!$D$11,J165))</f>
        <v/>
      </c>
      <c r="AM165" s="21" t="str">
        <f aca="false">IF(K165&gt;=Upgrades!$E$12,"",Upgrades!$C$12*POWER(Upgrades!$D$12,K165))</f>
        <v/>
      </c>
      <c r="AN165" s="26" t="str">
        <f aca="false">IF(AND(D165&gt;=Parameters!$B$18,(H165&gt;=Upgrades!$E$9)*(K165&gt;=Upgrades!$E$12)=1,L165=0),1,"")</f>
        <v/>
      </c>
      <c r="AO165" s="26" t="str">
        <f aca="false">IF(AND(D165&gt;=Parameters!$B$18,L165=0),1,"")</f>
        <v/>
      </c>
      <c r="AP165" s="21" t="n">
        <f aca="false">MIN(IF(ISNUMBER(AK165),AK165,9000000000000000),IF(ISNUMBER(AL165),AL165,9000000000000000),IF(ISNUMBER(AM165),AM165,9000000000000000))</f>
        <v>9000000000000000</v>
      </c>
      <c r="AQ165" s="21" t="n">
        <f aca="false">MIN(IF(ISNUMBER(AG165),AG165,9000000000000000),IF(ISNUMBER(AH165),AH165,9000000000000000),IF(ISNUMBER(AI165),AI165,9000000000000000),IF(ISNUMBER(AJ165),AJ165,9000000000000000))</f>
        <v>37.4517507383159</v>
      </c>
      <c r="AR165" s="32" t="b">
        <f aca="false">IF(AW165&gt;Parameters!$B$21*(MAX(IF(AND(NOT(AND(AO165=1,AN165&lt;&gt;1)),ISNUMBER(AG165),AG165&lt;=T165),AS165,0),IF(AND(NOT(AND(AO165=1,AN165&lt;&gt;1)),ISNUMBER(AH165),AH165&lt;=T165),AT165,0),IF(AND(NOT(AND(AO165=1,AN165&lt;&gt;1)),ISNUMBER(AI165),AI165&lt;=T165),AU165,0),IF(AND(ISNUMBER(AJ165),AJ165&lt;=T165),AV165,0))),TRUE(),FALSE())</f>
        <v>1</v>
      </c>
      <c r="AS165" s="33" t="n">
        <f aca="false">IFERROR(Upgrades!$H$6*(POWER(Upgrades!$P$6,E165)*POWER(Upgrades!$P$7,F165)*POWER(Upgrades!$P$8,G165)*POWER(Upgrades!$P$9,H165)*POWER(Upgrades!$P$10,I165)*POWER(Upgrades!$P$11,J165)*POWER(Upgrades!$P$12,K165))*(IF(Upgrades!$T$7="Solar Wind",POWER(Upgrades!$U$7,F165),1)*IF(Upgrades!$T$8="Solar Wind",POWER(Upgrades!$U$8,G165),1)*IF(Upgrades!$T$9="Solar Wind",POWER(Upgrades!$U$9,H165),1)*IF(Upgrades!$T$10="Solar Wind",POWER(Upgrades!$U$10,I165),1)*IF(Upgrades!$T$11="Solar Wind",POWER(Upgrades!$U$11,J165),1)*IF(Upgrades!$T$12="Solar Wind",POWER(Upgrades!$U$12,K165),1))/AG165,0)</f>
        <v>0.0026701021455238</v>
      </c>
      <c r="AT165" s="33" t="n">
        <f aca="false">IFERROR(Upgrades!$H$7*(POWER(Upgrades!$P$6,E165)*POWER(Upgrades!$P$7,F165)*POWER(Upgrades!$P$8,G165)*POWER(Upgrades!$P$9,H165)*POWER(Upgrades!$P$10,I165)*POWER(Upgrades!$P$11,J165)*POWER(Upgrades!$P$12,K165))*(IF(Upgrades!$T$6="Asteroid Belt",POWER(Upgrades!$U$6,E165),1)*IF(Upgrades!$T$8="Asteroid Belt",POWER(Upgrades!$U$8,G165),1)*IF(Upgrades!$T$9="Asteroid Belt",POWER(Upgrades!$U$9,H165),1)*IF(Upgrades!$T$10="Asteroid Belt",POWER(Upgrades!$U$10,I165),1)*IF(Upgrades!$T$11="Asteroid Belt",POWER(Upgrades!$U$11,J165),1)*IF(Upgrades!$T$12="Asteroid Belt",POWER(Upgrades!$U$12,K165),1))/AH165,0)</f>
        <v>0.00308980882652332</v>
      </c>
      <c r="AU165" s="33" t="n">
        <f aca="false">IFERROR(Upgrades!$K$8*(POWER(Upgrades!$Q$6,E165)*POWER(Upgrades!$Q$7,F165)*POWER(Upgrades!$Q$8,G165)*POWER(Upgrades!$Q$9,H165)*POWER(Upgrades!$Q$10,I165)*POWER(Upgrades!$Q$11,J165)*POWER(Upgrades!$Q$12,K165))*(IF(Upgrades!$T$6="Stellar Coupling",POWER(Upgrades!$U$6,E165),1)*IF(Upgrades!$T$7="Stellar Coupling",POWER(Upgrades!$U$7,F165),1)*IF(Upgrades!$T$9="Stellar Coupling",POWER(Upgrades!$U$9,H165),1)*IF(Upgrades!$T$10="Stellar Coupling",POWER(Upgrades!$U$10,I165),1)*IF(Upgrades!$T$11="Stellar Coupling",POWER(Upgrades!$U$11,J165),1)*IF(Upgrades!$T$12="Stellar Coupling",POWER(Upgrades!$U$12,K165),1))*Parameters!$B$10*Parameters!$B$11/60/AI165,0)</f>
        <v>0.00452762415783776</v>
      </c>
      <c r="AV165" s="33" t="n">
        <f aca="false">IFERROR(Upgrades!$H$9*(POWER(Upgrades!$P$6,E165)*POWER(Upgrades!$P$7,F165)*POWER(Upgrades!$P$8,G165)*POWER(Upgrades!$P$9,H165)*POWER(Upgrades!$P$10,I165)*POWER(Upgrades!$P$11,J165)*POWER(Upgrades!$P$12,K165))*(IF(Upgrades!$T$6="Magnetosphere",POWER(Upgrades!$U$6,E165),1)*IF(Upgrades!$T$7="Magnetosphere",POWER(Upgrades!$U$7,F165),1)*IF(Upgrades!$T$8="Magnetosphere",POWER(Upgrades!$U$8,G165),1)*IF(Upgrades!$T$10="Magnetosphere",POWER(Upgrades!$U$10,I165),1)*IF(Upgrades!$T$11="Magnetosphere",POWER(Upgrades!$U$11,J165),1)*IF(Upgrades!$T$12="Magnetosphere",POWER(Upgrades!$U$12,K165),1))/AJ165,0)</f>
        <v>0</v>
      </c>
      <c r="AW165" s="33" t="n">
        <f aca="false">MAX(IF(I165&gt;0,0,IFERROR(0.25*N165/Upgrades!$C$10,0)),IF(J165&gt;0,0,IFERROR(0.5*((IF(G165=0,0,(Upgrades!$J$8+G165*Upgrades!$K$8)*POWER(Upgrades!$L$8,G165)))*(IF(Upgrades!$T$6="Stellar Coupling",POWER(Upgrades!$U$6,E165),1)*IF(Upgrades!$T$7="Stellar Coupling",POWER(Upgrades!$U$7,F165),1)*IF(Upgrades!$T$9="Stellar Coupling",POWER(Upgrades!$U$9,H165),1)*IF(Upgrades!$T$10="Stellar Coupling",POWER(Upgrades!$U$10,I165),1)*IF(Upgrades!$T$11="Stellar Coupling",POWER(Upgrades!$U$11,J165),1)*IF(Upgrades!$T$12="Stellar Coupling",POWER(Upgrades!$U$12,K165),1))*(POWER(Upgrades!$Q$6,E165)*POWER(Upgrades!$Q$7,F165)*POWER(Upgrades!$Q$8,G165)*POWER(Upgrades!$Q$9,H165)*POWER(Upgrades!$Q$10,I165)*POWER(Upgrades!$Q$11,J165)*POWER(Upgrades!$Q$12,K165))*Parameters!$B$10*Parameters!$B$11/60)/Upgrades!$C$11,0)),IF(K165&gt;0,0,IFERROR((1*(POWER(Upgrades!$P$6,E165)*POWER(Upgrades!$P$7,F165)*POWER(Upgrades!$P$8,G165)*POWER(Upgrades!$P$9,H165)*POWER(Upgrades!$P$10,I165)*POWER(Upgrades!$P$11,J165)*POWER(Upgrades!$P$12,K165))+0.2*M165*Parameters!$B$10*Parameters!$B$11/60)/Upgrades!$C$12,0)),IF(AND(ISNUMBER(AG165),AG165&gt;T165),AS165,0),IF(AND(ISNUMBER(AH165),AH165&gt;T165),AT165,0),IF(AND(ISNUMBER(AI165),AI165&gt;T165),AU165,0),IF(AND(ISNUMBER(AJ165),AJ165&gt;T165),AV165,0))</f>
        <v>0.00452762415783776</v>
      </c>
      <c r="AX165" s="29" t="str">
        <f aca="false">IF(AN165=1,"transition",IF(MIN(IF(AND(I165=0,ISNUMBER(AK165),AK165&lt;=T165),AK165,9000000000000000),IF(AND(J165=0,ISNUMBER(AL165),AL165&lt;=T165),AL165,9000000000000000),IF(AND(K165=0,ISNUMBER(AM165),AM165&lt;=T165),AM165,9000000000000000))&lt;9000000000000000,IF(AND(AND(I165=0,ISNUMBER(AK165),AK165&lt;=T165),AK165=MIN(IF(AND(I165=0,ISNUMBER(AK165),AK165&lt;=T165),AK165,9000000000000000),IF(AND(J165=0,ISNUMBER(AL165),AL165&lt;=T165),AL165,9000000000000000),IF(AND(K165=0,ISNUMBER(AM165),AM165&lt;=T165),AM165,9000000000000000))),"OR",IF(AND(AND(J165=0,ISNUMBER(AL165),AL165&lt;=T165),AL165=MIN(IF(AND(I165=0,ISNUMBER(AK165),AK165&lt;=T165),AK165,9000000000000000),IF(AND(J165=0,ISNUMBER(AL165),AL165&lt;=T165),AL165,9000000000000000),IF(AND(K165=0,ISNUMBER(AM165),AM165&lt;=T165),AM165,9000000000000000))),"HP","FP")),IF(AR165=TRUE(),"",IF(MAX(IF(AND(NOT(AND(AO165=1,AN165&lt;&gt;1)),ISNUMBER(AG165),AG165&lt;=T165),AS165,0),IF(AND(NOT(AND(AO165=1,AN165&lt;&gt;1)),ISNUMBER(AH165),AH165&lt;=T165),AT165,0),IF(AND(NOT(AND(AO165=1,AN165&lt;&gt;1)),ISNUMBER(AI165),AI165&lt;=T165),AU165,0),IF(AND(ISNUMBER(AJ165),AJ165&lt;=T165),AV165,0))&lt;=0,"",IF(AND(IF(AND(NOT(AND(AO165=1,AN165&lt;&gt;1)),ISNUMBER(AG165),AG165&lt;=T165),AS165,0)&gt;0,IF(AND(NOT(AND(AO165=1,AN165&lt;&gt;1)),ISNUMBER(AG165),AG165&lt;=T165),AS165,0)=MAX(IF(AND(NOT(AND(AO165=1,AN165&lt;&gt;1)),ISNUMBER(AG165),AG165&lt;=T165),AS165,0),IF(AND(NOT(AND(AO165=1,AN165&lt;&gt;1)),ISNUMBER(AH165),AH165&lt;=T165),AT165,0),IF(AND(NOT(AND(AO165=1,AN165&lt;&gt;1)),ISNUMBER(AI165),AI165&lt;=T165),AU165,0),IF(AND(ISNUMBER(AJ165),AJ165&lt;=T165),AV165,0))),"SW",IF(AND(IF(AND(NOT(AND(AO165=1,AN165&lt;&gt;1)),ISNUMBER(AH165),AH165&lt;=T165),AT165,0)&gt;0,IF(AND(NOT(AND(AO165=1,AN165&lt;&gt;1)),ISNUMBER(AH165),AH165&lt;=T165),AT165,0)=MAX(IF(AND(NOT(AND(AO165=1,AN165&lt;&gt;1)),ISNUMBER(AG165),AG165&lt;=T165),AS165,0),IF(AND(NOT(AND(AO165=1,AN165&lt;&gt;1)),ISNUMBER(AH165),AH165&lt;=T165),AT165,0),IF(AND(NOT(AND(AO165=1,AN165&lt;&gt;1)),ISNUMBER(AI165),AI165&lt;=T165),AU165,0),IF(AND(ISNUMBER(AJ165),AJ165&lt;=T165),AV165,0))),"AB",IF(AND(IF(AND(NOT(AND(AO165=1,AN165&lt;&gt;1)),ISNUMBER(AI165),AI165&lt;=T165),AU165,0)&gt;0,IF(AND(NOT(AND(AO165=1,AN165&lt;&gt;1)),ISNUMBER(AI165),AI165&lt;=T165),AU165,0)=MAX(IF(AND(NOT(AND(AO165=1,AN165&lt;&gt;1)),ISNUMBER(AG165),AG165&lt;=T165),AS165,0),IF(AND(NOT(AND(AO165=1,AN165&lt;&gt;1)),ISNUMBER(AH165),AH165&lt;=T165),AT165,0),IF(AND(NOT(AND(AO165=1,AN165&lt;&gt;1)),ISNUMBER(AI165),AI165&lt;=T165),AU165,0),IF(AND(ISNUMBER(AJ165),AJ165&lt;=T165),AV165,0))),"SC","Mag")))))))</f>
        <v/>
      </c>
    </row>
    <row r="166" customFormat="false" ht="15" hidden="false" customHeight="false" outlineLevel="0" collapsed="false">
      <c r="A166" s="26" t="n">
        <v>161</v>
      </c>
      <c r="B166" s="27" t="n">
        <f aca="false">A166*10/60</f>
        <v>26.8333333333333</v>
      </c>
      <c r="C166" s="21" t="n">
        <f aca="false">X165</f>
        <v>18.6730249835055</v>
      </c>
      <c r="D166" s="27" t="n">
        <f aca="false">D165+W165</f>
        <v>0</v>
      </c>
      <c r="E166" s="26" t="n">
        <f aca="false">E165+IF(U165="SW",1,0)</f>
        <v>12</v>
      </c>
      <c r="F166" s="26" t="n">
        <f aca="false">F165+IF(U165="AB",1,0)</f>
        <v>10</v>
      </c>
      <c r="G166" s="26" t="n">
        <f aca="false">G165+IF(U165="SC",1,0)</f>
        <v>7</v>
      </c>
      <c r="H166" s="26" t="n">
        <f aca="false">H165+IF(U165="Mag",1,0)</f>
        <v>5</v>
      </c>
      <c r="I166" s="26" t="n">
        <f aca="false">MAX(I165,IF(U165="OR",1,0))</f>
        <v>1</v>
      </c>
      <c r="J166" s="26" t="n">
        <f aca="false">MAX(J165,IF(U165="HP",1,0))</f>
        <v>1</v>
      </c>
      <c r="K166" s="26" t="n">
        <f aca="false">MAX(K165,IF(U165="FP",1,0))</f>
        <v>1</v>
      </c>
      <c r="L166" s="26" t="n">
        <f aca="false">MAX(L165,IF(U165="transition",1,0))</f>
        <v>1</v>
      </c>
      <c r="M166" s="28" t="n">
        <f aca="false">(Parameters!$B$9+(IF(E166=0,0,(Upgrades!$J$6+E166*Upgrades!$K$6)*POWER(Upgrades!$L$6,E166)))*(IF(Upgrades!$T$7="Solar Wind",POWER(Upgrades!$U$7,F166),1)*IF(Upgrades!$T$8="Solar Wind",POWER(Upgrades!$U$8,G166),1)*IF(Upgrades!$T$9="Solar Wind",POWER(Upgrades!$U$9,H166),1)*IF(Upgrades!$T$10="Solar Wind",POWER(Upgrades!$U$10,I166),1)*IF(Upgrades!$T$11="Solar Wind",POWER(Upgrades!$U$11,J166),1)*IF(Upgrades!$T$12="Solar Wind",POWER(Upgrades!$U$12,K166),1))+(IF(F166=0,0,(Upgrades!$J$7+F166*Upgrades!$K$7)*POWER(Upgrades!$L$7,F166)))*(IF(Upgrades!$T$6="Asteroid Belt",POWER(Upgrades!$U$6,E166),1)*IF(Upgrades!$T$8="Asteroid Belt",POWER(Upgrades!$U$8,G166),1)*IF(Upgrades!$T$9="Asteroid Belt",POWER(Upgrades!$U$9,H166),1)*IF(Upgrades!$T$10="Asteroid Belt",POWER(Upgrades!$U$10,I166),1)*IF(Upgrades!$T$11="Asteroid Belt",POWER(Upgrades!$U$11,J166),1)*IF(Upgrades!$T$12="Asteroid Belt",POWER(Upgrades!$U$12,K166),1))+(IF(G166=0,0,(Upgrades!$J$8+G166*Upgrades!$K$8)*POWER(Upgrades!$L$8,G166)))*(IF(Upgrades!$T$6="Stellar Coupling",POWER(Upgrades!$U$6,E166),1)*IF(Upgrades!$T$7="Stellar Coupling",POWER(Upgrades!$U$7,F166),1)*IF(Upgrades!$T$9="Stellar Coupling",POWER(Upgrades!$U$9,H166),1)*IF(Upgrades!$T$10="Stellar Coupling",POWER(Upgrades!$U$10,I166),1)*IF(Upgrades!$T$11="Stellar Coupling",POWER(Upgrades!$U$11,J166),1)*IF(Upgrades!$T$12="Stellar Coupling",POWER(Upgrades!$U$12,K166),1))+(IF(H166=0,0,(Upgrades!$J$9+H166*Upgrades!$K$9)*POWER(Upgrades!$L$9,H166)))*(IF(Upgrades!$T$6="Magnetosphere",POWER(Upgrades!$U$6,E166),1)*IF(Upgrades!$T$7="Magnetosphere",POWER(Upgrades!$U$7,F166),1)*IF(Upgrades!$T$8="Magnetosphere",POWER(Upgrades!$U$8,G166),1)*IF(Upgrades!$T$10="Magnetosphere",POWER(Upgrades!$U$10,I166),1)*IF(Upgrades!$T$11="Magnetosphere",POWER(Upgrades!$U$11,J166),1)*IF(Upgrades!$T$12="Magnetosphere",POWER(Upgrades!$U$12,K166),1))+(IF(I166=0,0,(Upgrades!$J$10+I166*Upgrades!$K$10)*POWER(Upgrades!$L$10,I166)))*(IF(Upgrades!$T$6="Orbital Resonance",POWER(Upgrades!$U$6,E166),1)*IF(Upgrades!$T$7="Orbital Resonance",POWER(Upgrades!$U$7,F166),1)*IF(Upgrades!$T$8="Orbital Resonance",POWER(Upgrades!$U$8,G166),1)*IF(Upgrades!$T$9="Orbital Resonance",POWER(Upgrades!$U$9,H166),1)*IF(Upgrades!$T$11="Orbital Resonance",POWER(Upgrades!$U$11,J166),1)*IF(Upgrades!$T$12="Orbital Resonance",POWER(Upgrades!$U$12,K166),1))+(IF(J166=0,0,(Upgrades!$J$11+J166*Upgrades!$K$11)*POWER(Upgrades!$L$11,J166)))*(IF(Upgrades!$T$6="Heliopause",POWER(Upgrades!$U$6,E166),1)*IF(Upgrades!$T$7="Heliopause",POWER(Upgrades!$U$7,F166),1)*IF(Upgrades!$T$8="Heliopause",POWER(Upgrades!$U$8,G166),1)*IF(Upgrades!$T$9="Heliopause",POWER(Upgrades!$U$9,H166),1)*IF(Upgrades!$T$10="Heliopause",POWER(Upgrades!$U$10,I166),1)*IF(Upgrades!$T$12="Heliopause",POWER(Upgrades!$U$12,K166),1))+(IF(K166=0,0,(Upgrades!$J$12+K166*Upgrades!$K$12)*POWER(Upgrades!$L$12,K166)))*(IF(Upgrades!$T$6="First Photons",POWER(Upgrades!$U$6,E166),1)*IF(Upgrades!$T$7="First Photons",POWER(Upgrades!$U$7,F166),1)*IF(Upgrades!$T$8="First Photons",POWER(Upgrades!$U$8,G166),1)*IF(Upgrades!$T$9="First Photons",POWER(Upgrades!$U$9,H166),1)*IF(Upgrades!$T$10="First Photons",POWER(Upgrades!$U$10,I166),1)*IF(Upgrades!$T$11="First Photons",POWER(Upgrades!$U$11,J166),1)))*POWER(Upgrades!$Q$6,E166)*POWER(Upgrades!$Q$7,F166)*POWER(Upgrades!$Q$8,G166)*POWER(Upgrades!$Q$9,H166)*POWER(Upgrades!$Q$10,I166)*POWER(Upgrades!$Q$11,J166)*POWER(Upgrades!$Q$12,K166)</f>
        <v>5.61</v>
      </c>
      <c r="N166" s="28" t="n">
        <f aca="false">((IF(E166=0,0,(Upgrades!$G$6+E166*Upgrades!$H$6)*POWER(Upgrades!$I$6,E166)))*(IF(Upgrades!$T$7="Solar Wind",POWER(Upgrades!$U$7,F166),1)*IF(Upgrades!$T$8="Solar Wind",POWER(Upgrades!$U$8,G166),1)*IF(Upgrades!$T$9="Solar Wind",POWER(Upgrades!$U$9,H166),1)*IF(Upgrades!$T$10="Solar Wind",POWER(Upgrades!$U$10,I166),1)*IF(Upgrades!$T$11="Solar Wind",POWER(Upgrades!$U$11,J166),1)*IF(Upgrades!$T$12="Solar Wind",POWER(Upgrades!$U$12,K166),1))+(IF(F166=0,0,(Upgrades!$G$7+F166*Upgrades!$H$7)*POWER(Upgrades!$I$7,F166)))*(IF(Upgrades!$T$6="Asteroid Belt",POWER(Upgrades!$U$6,E166),1)*IF(Upgrades!$T$8="Asteroid Belt",POWER(Upgrades!$U$8,G166),1)*IF(Upgrades!$T$9="Asteroid Belt",POWER(Upgrades!$U$9,H166),1)*IF(Upgrades!$T$10="Asteroid Belt",POWER(Upgrades!$U$10,I166),1)*IF(Upgrades!$T$11="Asteroid Belt",POWER(Upgrades!$U$11,J166),1)*IF(Upgrades!$T$12="Asteroid Belt",POWER(Upgrades!$U$12,K166),1))+(IF(G166=0,0,(Upgrades!$G$8+G166*Upgrades!$H$8)*POWER(Upgrades!$I$8,G166)))*(IF(Upgrades!$T$6="Stellar Coupling",POWER(Upgrades!$U$6,E166),1)*IF(Upgrades!$T$7="Stellar Coupling",POWER(Upgrades!$U$7,F166),1)*IF(Upgrades!$T$9="Stellar Coupling",POWER(Upgrades!$U$9,H166),1)*IF(Upgrades!$T$10="Stellar Coupling",POWER(Upgrades!$U$10,I166),1)*IF(Upgrades!$T$11="Stellar Coupling",POWER(Upgrades!$U$11,J166),1)*IF(Upgrades!$T$12="Stellar Coupling",POWER(Upgrades!$U$12,K166),1))+(IF(H166=0,0,(Upgrades!$G$9+H166*Upgrades!$H$9)*POWER(Upgrades!$I$9,H166)))*(IF(Upgrades!$T$6="Magnetosphere",POWER(Upgrades!$U$6,E166),1)*IF(Upgrades!$T$7="Magnetosphere",POWER(Upgrades!$U$7,F166),1)*IF(Upgrades!$T$8="Magnetosphere",POWER(Upgrades!$U$8,G166),1)*IF(Upgrades!$T$10="Magnetosphere",POWER(Upgrades!$U$10,I166),1)*IF(Upgrades!$T$11="Magnetosphere",POWER(Upgrades!$U$11,J166),1)*IF(Upgrades!$T$12="Magnetosphere",POWER(Upgrades!$U$12,K166),1))+(IF(I166=0,0,(Upgrades!$G$10+I166*Upgrades!$H$10)*POWER(Upgrades!$I$10,I166)))*(IF(Upgrades!$T$6="Orbital Resonance",POWER(Upgrades!$U$6,E166),1)*IF(Upgrades!$T$7="Orbital Resonance",POWER(Upgrades!$U$7,F166),1)*IF(Upgrades!$T$8="Orbital Resonance",POWER(Upgrades!$U$8,G166),1)*IF(Upgrades!$T$9="Orbital Resonance",POWER(Upgrades!$U$9,H166),1)*IF(Upgrades!$T$11="Orbital Resonance",POWER(Upgrades!$U$11,J166),1)*IF(Upgrades!$T$12="Orbital Resonance",POWER(Upgrades!$U$12,K166),1))+(IF(J166=0,0,(Upgrades!$G$11+J166*Upgrades!$H$11)*POWER(Upgrades!$I$11,J166)))*(IF(Upgrades!$T$6="Heliopause",POWER(Upgrades!$U$6,E166),1)*IF(Upgrades!$T$7="Heliopause",POWER(Upgrades!$U$7,F166),1)*IF(Upgrades!$T$8="Heliopause",POWER(Upgrades!$U$8,G166),1)*IF(Upgrades!$T$9="Heliopause",POWER(Upgrades!$U$9,H166),1)*IF(Upgrades!$T$10="Heliopause",POWER(Upgrades!$U$10,I166),1)*IF(Upgrades!$T$12="Heliopause",POWER(Upgrades!$U$12,K166),1))+(IF(K166=0,0,(Upgrades!$G$12+K166*Upgrades!$H$12)*POWER(Upgrades!$I$12,K166)))*(IF(Upgrades!$T$6="First Photons",POWER(Upgrades!$U$6,E166),1)*IF(Upgrades!$T$7="First Photons",POWER(Upgrades!$U$7,F166),1)*IF(Upgrades!$T$8="First Photons",POWER(Upgrades!$U$8,G166),1)*IF(Upgrades!$T$9="First Photons",POWER(Upgrades!$U$9,H166),1)*IF(Upgrades!$T$10="First Photons",POWER(Upgrades!$U$10,I166),1)*IF(Upgrades!$T$11="First Photons",POWER(Upgrades!$U$11,J166),1)))*POWER(Upgrades!$P$6,E166)*POWER(Upgrades!$P$7,F166)*POWER(Upgrades!$P$8,G166)*POWER(Upgrades!$P$9,H166)*POWER(Upgrades!$P$10,I166)*POWER(Upgrades!$P$11,J166)*POWER(Upgrades!$P$12,K166)</f>
        <v>11.2</v>
      </c>
      <c r="O166" s="28" t="n">
        <f aca="false">((IF(E166=0,0,(Upgrades!$M$6+E166*Upgrades!$N$6)*POWER(Upgrades!$O$6,E166)))*(IF(Upgrades!$T$7="Solar Wind",POWER(Upgrades!$U$7,F166),1)*IF(Upgrades!$T$8="Solar Wind",POWER(Upgrades!$U$8,G166),1)*IF(Upgrades!$T$9="Solar Wind",POWER(Upgrades!$U$9,H166),1)*IF(Upgrades!$T$10="Solar Wind",POWER(Upgrades!$U$10,I166),1)*IF(Upgrades!$T$11="Solar Wind",POWER(Upgrades!$U$11,J166),1)*IF(Upgrades!$T$12="Solar Wind",POWER(Upgrades!$U$12,K166),1))+(IF(F166=0,0,(Upgrades!$M$7+F166*Upgrades!$N$7)*POWER(Upgrades!$O$7,F166)))*(IF(Upgrades!$T$6="Asteroid Belt",POWER(Upgrades!$U$6,E166),1)*IF(Upgrades!$T$8="Asteroid Belt",POWER(Upgrades!$U$8,G166),1)*IF(Upgrades!$T$9="Asteroid Belt",POWER(Upgrades!$U$9,H166),1)*IF(Upgrades!$T$10="Asteroid Belt",POWER(Upgrades!$U$10,I166),1)*IF(Upgrades!$T$11="Asteroid Belt",POWER(Upgrades!$U$11,J166),1)*IF(Upgrades!$T$12="Asteroid Belt",POWER(Upgrades!$U$12,K166),1))+(IF(G166=0,0,(Upgrades!$M$8+G166*Upgrades!$N$8)*POWER(Upgrades!$O$8,G166)))*(IF(Upgrades!$T$6="Stellar Coupling",POWER(Upgrades!$U$6,E166),1)*IF(Upgrades!$T$7="Stellar Coupling",POWER(Upgrades!$U$7,F166),1)*IF(Upgrades!$T$9="Stellar Coupling",POWER(Upgrades!$U$9,H166),1)*IF(Upgrades!$T$10="Stellar Coupling",POWER(Upgrades!$U$10,I166),1)*IF(Upgrades!$T$11="Stellar Coupling",POWER(Upgrades!$U$11,J166),1)*IF(Upgrades!$T$12="Stellar Coupling",POWER(Upgrades!$U$12,K166),1))+(IF(H166=0,0,(Upgrades!$M$9+H166*Upgrades!$N$9)*POWER(Upgrades!$O$9,H166)))*(IF(Upgrades!$T$6="Magnetosphere",POWER(Upgrades!$U$6,E166),1)*IF(Upgrades!$T$7="Magnetosphere",POWER(Upgrades!$U$7,F166),1)*IF(Upgrades!$T$8="Magnetosphere",POWER(Upgrades!$U$8,G166),1)*IF(Upgrades!$T$10="Magnetosphere",POWER(Upgrades!$U$10,I166),1)*IF(Upgrades!$T$11="Magnetosphere",POWER(Upgrades!$U$11,J166),1)*IF(Upgrades!$T$12="Magnetosphere",POWER(Upgrades!$U$12,K166),1))+(IF(I166=0,0,(Upgrades!$M$10+I166*Upgrades!$N$10)*POWER(Upgrades!$O$10,I166)))*(IF(Upgrades!$T$6="Orbital Resonance",POWER(Upgrades!$U$6,E166),1)*IF(Upgrades!$T$7="Orbital Resonance",POWER(Upgrades!$U$7,F166),1)*IF(Upgrades!$T$8="Orbital Resonance",POWER(Upgrades!$U$8,G166),1)*IF(Upgrades!$T$9="Orbital Resonance",POWER(Upgrades!$U$9,H166),1)*IF(Upgrades!$T$11="Orbital Resonance",POWER(Upgrades!$U$11,J166),1)*IF(Upgrades!$T$12="Orbital Resonance",POWER(Upgrades!$U$12,K166),1))+(IF(J166=0,0,(Upgrades!$M$11+J166*Upgrades!$N$11)*POWER(Upgrades!$O$11,J166)))*(IF(Upgrades!$T$6="Heliopause",POWER(Upgrades!$U$6,E166),1)*IF(Upgrades!$T$7="Heliopause",POWER(Upgrades!$U$7,F166),1)*IF(Upgrades!$T$8="Heliopause",POWER(Upgrades!$U$8,G166),1)*IF(Upgrades!$T$9="Heliopause",POWER(Upgrades!$U$9,H166),1)*IF(Upgrades!$T$10="Heliopause",POWER(Upgrades!$U$10,I166),1)*IF(Upgrades!$T$12="Heliopause",POWER(Upgrades!$U$12,K166),1))+(IF(K166=0,0,(Upgrades!$M$12+K166*Upgrades!$N$12)*POWER(Upgrades!$O$12,K166)))*(IF(Upgrades!$T$6="First Photons",POWER(Upgrades!$U$6,E166),1)*IF(Upgrades!$T$7="First Photons",POWER(Upgrades!$U$7,F166),1)*IF(Upgrades!$T$8="First Photons",POWER(Upgrades!$U$8,G166),1)*IF(Upgrades!$T$9="First Photons",POWER(Upgrades!$U$9,H166),1)*IF(Upgrades!$T$10="First Photons",POWER(Upgrades!$U$10,I166),1)*IF(Upgrades!$T$11="First Photons",POWER(Upgrades!$U$11,J166),1)))*POWER(Upgrades!$R$6,E166)*POWER(Upgrades!$R$7,F166)*POWER(Upgrades!$R$8,G166)*POWER(Upgrades!$R$9,H166)*POWER(Upgrades!$R$10,I166)*POWER(Upgrades!$R$11,J166)*POWER(Upgrades!$R$12,K166)</f>
        <v>0</v>
      </c>
      <c r="P166" s="27" t="n">
        <f aca="false">IF(L166=1,0,M166*Parameters!$B$10/60*Parameters!$B$11*10)</f>
        <v>0</v>
      </c>
      <c r="Q166" s="27" t="n">
        <f aca="false">IF(L166=1,0,O166*M166*10)</f>
        <v>0</v>
      </c>
      <c r="R166" s="27" t="n">
        <f aca="false">IF(L166=1,0,N166*10)</f>
        <v>0</v>
      </c>
      <c r="S166" s="27" t="n">
        <f aca="false">P166+Q166+R166</f>
        <v>0</v>
      </c>
      <c r="T166" s="21" t="n">
        <f aca="false">C166+S166</f>
        <v>18.6730249835055</v>
      </c>
      <c r="U166" s="34" t="str">
        <f aca="false">AX166</f>
        <v/>
      </c>
      <c r="V166" s="21" t="n">
        <f aca="false">IF(U166="",0,IF(U166="transition",0,IF(U166="SW",AG166,IF(U166="AB",AH166,IF(U166="SC",AI166,IF(U166="Mag",AJ166,IF(U166="OR",AK166,IF(U166="HP",AL166,IF(U166="FP",AM166,0)))))))))</f>
        <v>0</v>
      </c>
      <c r="W166" s="27" t="n">
        <f aca="false">IF(U166="OR",Upgrades!$F$10,IF(U166="HP",Upgrades!$F$11,IF(U166="transition",-Parameters!$B$18,0)))</f>
        <v>0</v>
      </c>
      <c r="X166" s="21" t="n">
        <f aca="false">T166-V166</f>
        <v>18.6730249835055</v>
      </c>
      <c r="Y166" s="30" t="n">
        <f aca="false">M166*Parameters!$B$10/60*Parameters!$B$11+O166*M166+N166</f>
        <v>20.55</v>
      </c>
      <c r="Z166" s="35" t="str">
        <f aca="false">IF(U166="transition","→ Tier 2 (Stellar Neighborhood)",IF(U166="FP","First Photons — light begins, system quickens",IF(U166="HP","Heliopause acquired",IF(U166="OR","Orbital Resonance — passive multiplier active",IF(AND(AO166=1,L166=0,AN166&lt;&gt;1),"Cohesion ready (waiting on completionist upgrades)","")))))</f>
        <v/>
      </c>
      <c r="AA166" s="27" t="n">
        <f aca="false">(IF(E166=0,0,(Upgrades!$G$6+E166*Upgrades!$H$6)*POWER(Upgrades!$I$6,E166)))*(IF(Upgrades!$T$7="Solar Wind",POWER(Upgrades!$U$7,F166),1)*IF(Upgrades!$T$8="Solar Wind",POWER(Upgrades!$U$8,G166),1)*IF(Upgrades!$T$9="Solar Wind",POWER(Upgrades!$U$9,H166),1)*IF(Upgrades!$T$10="Solar Wind",POWER(Upgrades!$U$10,I166),1)*IF(Upgrades!$T$11="Solar Wind",POWER(Upgrades!$U$11,J166),1)*IF(Upgrades!$T$12="Solar Wind",POWER(Upgrades!$U$12,K166),1))*POWER(Upgrades!$P$6,E166)*POWER(Upgrades!$P$7,F166)*POWER(Upgrades!$P$8,G166)*POWER(Upgrades!$P$9,H166)*POWER(Upgrades!$P$10,I166)*POWER(Upgrades!$P$11,J166)*POWER(Upgrades!$P$12,K166)*60</f>
        <v>72</v>
      </c>
      <c r="AB166" s="27" t="n">
        <f aca="false">(IF(F166=0,0,(Upgrades!$G$7+F166*Upgrades!$H$7)*POWER(Upgrades!$I$7,F166)))*(IF(Upgrades!$T$6="Asteroid Belt",POWER(Upgrades!$U$6,E166),1)*IF(Upgrades!$T$8="Asteroid Belt",POWER(Upgrades!$U$8,G166),1)*IF(Upgrades!$T$9="Asteroid Belt",POWER(Upgrades!$U$9,H166),1)*IF(Upgrades!$T$10="Asteroid Belt",POWER(Upgrades!$U$10,I166),1)*IF(Upgrades!$T$11="Asteroid Belt",POWER(Upgrades!$U$11,J166),1)*IF(Upgrades!$T$12="Asteroid Belt",POWER(Upgrades!$U$12,K166),1))*POWER(Upgrades!$P$6,E166)*POWER(Upgrades!$P$7,F166)*POWER(Upgrades!$P$8,G166)*POWER(Upgrades!$P$9,H166)*POWER(Upgrades!$P$10,I166)*POWER(Upgrades!$P$11,J166)*POWER(Upgrades!$P$12,K166)*60</f>
        <v>150</v>
      </c>
      <c r="AC166" s="27" t="n">
        <f aca="false">(IF(G166=0,0,(Upgrades!$J$8+G166*Upgrades!$K$8)*POWER(Upgrades!$L$8,G166)))*(IF(Upgrades!$T$6="Stellar Coupling",POWER(Upgrades!$U$6,E166),1)*IF(Upgrades!$T$7="Stellar Coupling",POWER(Upgrades!$U$7,F166),1)*IF(Upgrades!$T$9="Stellar Coupling",POWER(Upgrades!$U$9,H166),1)*IF(Upgrades!$T$10="Stellar Coupling",POWER(Upgrades!$U$10,I166),1)*IF(Upgrades!$T$11="Stellar Coupling",POWER(Upgrades!$U$11,J166),1)*IF(Upgrades!$T$12="Stellar Coupling",POWER(Upgrades!$U$12,K166),1))*POWER(Upgrades!$Q$6,E166)*POWER(Upgrades!$Q$7,F166)*POWER(Upgrades!$Q$8,G166)*POWER(Upgrades!$Q$9,H166)*POWER(Upgrades!$Q$10,I166)*POWER(Upgrades!$Q$11,J166)*POWER(Upgrades!$Q$12,K166)*Parameters!$B$10*Parameters!$B$11</f>
        <v>441</v>
      </c>
      <c r="AD166" s="27" t="n">
        <f aca="false">(IF(H166=0,0,(Upgrades!$G$9+H166*Upgrades!$H$9)*POWER(Upgrades!$I$9,H166)))*(IF(Upgrades!$T$6="Magnetosphere",POWER(Upgrades!$U$6,E166),1)*IF(Upgrades!$T$7="Magnetosphere",POWER(Upgrades!$U$7,F166),1)*IF(Upgrades!$T$8="Magnetosphere",POWER(Upgrades!$U$8,G166),1)*IF(Upgrades!$T$10="Magnetosphere",POWER(Upgrades!$U$10,I166),1)*IF(Upgrades!$T$11="Magnetosphere",POWER(Upgrades!$U$11,J166),1)*IF(Upgrades!$T$12="Magnetosphere",POWER(Upgrades!$U$12,K166),1))*POWER(Upgrades!$P$6,E166)*POWER(Upgrades!$P$7,F166)*POWER(Upgrades!$P$8,G166)*POWER(Upgrades!$P$9,H166)*POWER(Upgrades!$P$10,I166)*POWER(Upgrades!$P$11,J166)*POWER(Upgrades!$P$12,K166)*60</f>
        <v>375</v>
      </c>
      <c r="AE166" s="27" t="n">
        <f aca="false">(IF(K166=0,0,(Upgrades!$G$12+K166*Upgrades!$H$12)*POWER(Upgrades!$I$12,K166)))*(IF(Upgrades!$T$6="First Photons",POWER(Upgrades!$U$6,E166),1)*IF(Upgrades!$T$7="First Photons",POWER(Upgrades!$U$7,F166),1)*IF(Upgrades!$T$8="First Photons",POWER(Upgrades!$U$8,G166),1)*IF(Upgrades!$T$9="First Photons",POWER(Upgrades!$U$9,H166),1)*IF(Upgrades!$T$10="First Photons",POWER(Upgrades!$U$10,I166),1)*IF(Upgrades!$T$11="First Photons",POWER(Upgrades!$U$11,J166),1))*POWER(Upgrades!$P$6,E166)*POWER(Upgrades!$P$7,F166)*POWER(Upgrades!$P$8,G166)*POWER(Upgrades!$P$9,H166)*POWER(Upgrades!$P$10,I166)*POWER(Upgrades!$P$11,J166)*POWER(Upgrades!$P$12,K166)*60</f>
        <v>75</v>
      </c>
      <c r="AF166" s="27" t="n">
        <f aca="false">Parameters!$B$9*POWER(Upgrades!$Q$6,E166)*POWER(Upgrades!$Q$7,F166)*POWER(Upgrades!$Q$8,G166)*POWER(Upgrades!$Q$9,H166)*POWER(Upgrades!$Q$10,I166)*POWER(Upgrades!$Q$11,J166)*POWER(Upgrades!$Q$12,K166)*(Parameters!$B$10*Parameters!$B$11+O166*60)</f>
        <v>120</v>
      </c>
      <c r="AG166" s="21" t="n">
        <f aca="false">IF(E166&gt;=Upgrades!$E$6,"",Upgrades!$C$6*POWER(Upgrades!$D$6,E166))</f>
        <v>37.4517507383159</v>
      </c>
      <c r="AH166" s="21" t="n">
        <f aca="false">IF(F166&gt;=Upgrades!$E$7,"",Upgrades!$C$7*POWER(Upgrades!$D$7,F166))</f>
        <v>80.9111547141581</v>
      </c>
      <c r="AI166" s="21" t="n">
        <f aca="false">IF(G166&gt;=Upgrades!$E$8,"",Upgrades!$C$8*POWER(Upgrades!$D$8,G166))</f>
        <v>231.9097088</v>
      </c>
      <c r="AJ166" s="21" t="str">
        <f aca="false">IF(H166&gt;=Upgrades!$E$9,"",Upgrades!$C$9*POWER(Upgrades!$D$9,H166))</f>
        <v/>
      </c>
      <c r="AK166" s="21" t="str">
        <f aca="false">IF(I166&gt;=Upgrades!$E$10,"",Upgrades!$C$10*POWER(Upgrades!$D$10,I166))</f>
        <v/>
      </c>
      <c r="AL166" s="21" t="str">
        <f aca="false">IF(J166&gt;=Upgrades!$E$11,"",Upgrades!$C$11*POWER(Upgrades!$D$11,J166))</f>
        <v/>
      </c>
      <c r="AM166" s="21" t="str">
        <f aca="false">IF(K166&gt;=Upgrades!$E$12,"",Upgrades!$C$12*POWER(Upgrades!$D$12,K166))</f>
        <v/>
      </c>
      <c r="AN166" s="26" t="str">
        <f aca="false">IF(AND(D166&gt;=Parameters!$B$18,(H166&gt;=Upgrades!$E$9)*(K166&gt;=Upgrades!$E$12)=1,L166=0),1,"")</f>
        <v/>
      </c>
      <c r="AO166" s="26" t="str">
        <f aca="false">IF(AND(D166&gt;=Parameters!$B$18,L166=0),1,"")</f>
        <v/>
      </c>
      <c r="AP166" s="21" t="n">
        <f aca="false">MIN(IF(ISNUMBER(AK166),AK166,9000000000000000),IF(ISNUMBER(AL166),AL166,9000000000000000),IF(ISNUMBER(AM166),AM166,9000000000000000))</f>
        <v>9000000000000000</v>
      </c>
      <c r="AQ166" s="21" t="n">
        <f aca="false">MIN(IF(ISNUMBER(AG166),AG166,9000000000000000),IF(ISNUMBER(AH166),AH166,9000000000000000),IF(ISNUMBER(AI166),AI166,9000000000000000),IF(ISNUMBER(AJ166),AJ166,9000000000000000))</f>
        <v>37.4517507383159</v>
      </c>
      <c r="AR166" s="32" t="b">
        <f aca="false">IF(AW166&gt;Parameters!$B$21*(MAX(IF(AND(NOT(AND(AO166=1,AN166&lt;&gt;1)),ISNUMBER(AG166),AG166&lt;=T166),AS166,0),IF(AND(NOT(AND(AO166=1,AN166&lt;&gt;1)),ISNUMBER(AH166),AH166&lt;=T166),AT166,0),IF(AND(NOT(AND(AO166=1,AN166&lt;&gt;1)),ISNUMBER(AI166),AI166&lt;=T166),AU166,0),IF(AND(ISNUMBER(AJ166),AJ166&lt;=T166),AV166,0))),TRUE(),FALSE())</f>
        <v>1</v>
      </c>
      <c r="AS166" s="33" t="n">
        <f aca="false">IFERROR(Upgrades!$H$6*(POWER(Upgrades!$P$6,E166)*POWER(Upgrades!$P$7,F166)*POWER(Upgrades!$P$8,G166)*POWER(Upgrades!$P$9,H166)*POWER(Upgrades!$P$10,I166)*POWER(Upgrades!$P$11,J166)*POWER(Upgrades!$P$12,K166))*(IF(Upgrades!$T$7="Solar Wind",POWER(Upgrades!$U$7,F166),1)*IF(Upgrades!$T$8="Solar Wind",POWER(Upgrades!$U$8,G166),1)*IF(Upgrades!$T$9="Solar Wind",POWER(Upgrades!$U$9,H166),1)*IF(Upgrades!$T$10="Solar Wind",POWER(Upgrades!$U$10,I166),1)*IF(Upgrades!$T$11="Solar Wind",POWER(Upgrades!$U$11,J166),1)*IF(Upgrades!$T$12="Solar Wind",POWER(Upgrades!$U$12,K166),1))/AG166,0)</f>
        <v>0.0026701021455238</v>
      </c>
      <c r="AT166" s="33" t="n">
        <f aca="false">IFERROR(Upgrades!$H$7*(POWER(Upgrades!$P$6,E166)*POWER(Upgrades!$P$7,F166)*POWER(Upgrades!$P$8,G166)*POWER(Upgrades!$P$9,H166)*POWER(Upgrades!$P$10,I166)*POWER(Upgrades!$P$11,J166)*POWER(Upgrades!$P$12,K166))*(IF(Upgrades!$T$6="Asteroid Belt",POWER(Upgrades!$U$6,E166),1)*IF(Upgrades!$T$8="Asteroid Belt",POWER(Upgrades!$U$8,G166),1)*IF(Upgrades!$T$9="Asteroid Belt",POWER(Upgrades!$U$9,H166),1)*IF(Upgrades!$T$10="Asteroid Belt",POWER(Upgrades!$U$10,I166),1)*IF(Upgrades!$T$11="Asteroid Belt",POWER(Upgrades!$U$11,J166),1)*IF(Upgrades!$T$12="Asteroid Belt",POWER(Upgrades!$U$12,K166),1))/AH166,0)</f>
        <v>0.00308980882652332</v>
      </c>
      <c r="AU166" s="33" t="n">
        <f aca="false">IFERROR(Upgrades!$K$8*(POWER(Upgrades!$Q$6,E166)*POWER(Upgrades!$Q$7,F166)*POWER(Upgrades!$Q$8,G166)*POWER(Upgrades!$Q$9,H166)*POWER(Upgrades!$Q$10,I166)*POWER(Upgrades!$Q$11,J166)*POWER(Upgrades!$Q$12,K166))*(IF(Upgrades!$T$6="Stellar Coupling",POWER(Upgrades!$U$6,E166),1)*IF(Upgrades!$T$7="Stellar Coupling",POWER(Upgrades!$U$7,F166),1)*IF(Upgrades!$T$9="Stellar Coupling",POWER(Upgrades!$U$9,H166),1)*IF(Upgrades!$T$10="Stellar Coupling",POWER(Upgrades!$U$10,I166),1)*IF(Upgrades!$T$11="Stellar Coupling",POWER(Upgrades!$U$11,J166),1)*IF(Upgrades!$T$12="Stellar Coupling",POWER(Upgrades!$U$12,K166),1))*Parameters!$B$10*Parameters!$B$11/60/AI166,0)</f>
        <v>0.00452762415783776</v>
      </c>
      <c r="AV166" s="33" t="n">
        <f aca="false">IFERROR(Upgrades!$H$9*(POWER(Upgrades!$P$6,E166)*POWER(Upgrades!$P$7,F166)*POWER(Upgrades!$P$8,G166)*POWER(Upgrades!$P$9,H166)*POWER(Upgrades!$P$10,I166)*POWER(Upgrades!$P$11,J166)*POWER(Upgrades!$P$12,K166))*(IF(Upgrades!$T$6="Magnetosphere",POWER(Upgrades!$U$6,E166),1)*IF(Upgrades!$T$7="Magnetosphere",POWER(Upgrades!$U$7,F166),1)*IF(Upgrades!$T$8="Magnetosphere",POWER(Upgrades!$U$8,G166),1)*IF(Upgrades!$T$10="Magnetosphere",POWER(Upgrades!$U$10,I166),1)*IF(Upgrades!$T$11="Magnetosphere",POWER(Upgrades!$U$11,J166),1)*IF(Upgrades!$T$12="Magnetosphere",POWER(Upgrades!$U$12,K166),1))/AJ166,0)</f>
        <v>0</v>
      </c>
      <c r="AW166" s="33" t="n">
        <f aca="false">MAX(IF(I166&gt;0,0,IFERROR(0.25*N166/Upgrades!$C$10,0)),IF(J166&gt;0,0,IFERROR(0.5*((IF(G166=0,0,(Upgrades!$J$8+G166*Upgrades!$K$8)*POWER(Upgrades!$L$8,G166)))*(IF(Upgrades!$T$6="Stellar Coupling",POWER(Upgrades!$U$6,E166),1)*IF(Upgrades!$T$7="Stellar Coupling",POWER(Upgrades!$U$7,F166),1)*IF(Upgrades!$T$9="Stellar Coupling",POWER(Upgrades!$U$9,H166),1)*IF(Upgrades!$T$10="Stellar Coupling",POWER(Upgrades!$U$10,I166),1)*IF(Upgrades!$T$11="Stellar Coupling",POWER(Upgrades!$U$11,J166),1)*IF(Upgrades!$T$12="Stellar Coupling",POWER(Upgrades!$U$12,K166),1))*(POWER(Upgrades!$Q$6,E166)*POWER(Upgrades!$Q$7,F166)*POWER(Upgrades!$Q$8,G166)*POWER(Upgrades!$Q$9,H166)*POWER(Upgrades!$Q$10,I166)*POWER(Upgrades!$Q$11,J166)*POWER(Upgrades!$Q$12,K166))*Parameters!$B$10*Parameters!$B$11/60)/Upgrades!$C$11,0)),IF(K166&gt;0,0,IFERROR((1*(POWER(Upgrades!$P$6,E166)*POWER(Upgrades!$P$7,F166)*POWER(Upgrades!$P$8,G166)*POWER(Upgrades!$P$9,H166)*POWER(Upgrades!$P$10,I166)*POWER(Upgrades!$P$11,J166)*POWER(Upgrades!$P$12,K166))+0.2*M166*Parameters!$B$10*Parameters!$B$11/60)/Upgrades!$C$12,0)),IF(AND(ISNUMBER(AG166),AG166&gt;T166),AS166,0),IF(AND(ISNUMBER(AH166),AH166&gt;T166),AT166,0),IF(AND(ISNUMBER(AI166),AI166&gt;T166),AU166,0),IF(AND(ISNUMBER(AJ166),AJ166&gt;T166),AV166,0))</f>
        <v>0.00452762415783776</v>
      </c>
      <c r="AX166" s="29" t="str">
        <f aca="false">IF(AN166=1,"transition",IF(MIN(IF(AND(I166=0,ISNUMBER(AK166),AK166&lt;=T166),AK166,9000000000000000),IF(AND(J166=0,ISNUMBER(AL166),AL166&lt;=T166),AL166,9000000000000000),IF(AND(K166=0,ISNUMBER(AM166),AM166&lt;=T166),AM166,9000000000000000))&lt;9000000000000000,IF(AND(AND(I166=0,ISNUMBER(AK166),AK166&lt;=T166),AK166=MIN(IF(AND(I166=0,ISNUMBER(AK166),AK166&lt;=T166),AK166,9000000000000000),IF(AND(J166=0,ISNUMBER(AL166),AL166&lt;=T166),AL166,9000000000000000),IF(AND(K166=0,ISNUMBER(AM166),AM166&lt;=T166),AM166,9000000000000000))),"OR",IF(AND(AND(J166=0,ISNUMBER(AL166),AL166&lt;=T166),AL166=MIN(IF(AND(I166=0,ISNUMBER(AK166),AK166&lt;=T166),AK166,9000000000000000),IF(AND(J166=0,ISNUMBER(AL166),AL166&lt;=T166),AL166,9000000000000000),IF(AND(K166=0,ISNUMBER(AM166),AM166&lt;=T166),AM166,9000000000000000))),"HP","FP")),IF(AR166=TRUE(),"",IF(MAX(IF(AND(NOT(AND(AO166=1,AN166&lt;&gt;1)),ISNUMBER(AG166),AG166&lt;=T166),AS166,0),IF(AND(NOT(AND(AO166=1,AN166&lt;&gt;1)),ISNUMBER(AH166),AH166&lt;=T166),AT166,0),IF(AND(NOT(AND(AO166=1,AN166&lt;&gt;1)),ISNUMBER(AI166),AI166&lt;=T166),AU166,0),IF(AND(ISNUMBER(AJ166),AJ166&lt;=T166),AV166,0))&lt;=0,"",IF(AND(IF(AND(NOT(AND(AO166=1,AN166&lt;&gt;1)),ISNUMBER(AG166),AG166&lt;=T166),AS166,0)&gt;0,IF(AND(NOT(AND(AO166=1,AN166&lt;&gt;1)),ISNUMBER(AG166),AG166&lt;=T166),AS166,0)=MAX(IF(AND(NOT(AND(AO166=1,AN166&lt;&gt;1)),ISNUMBER(AG166),AG166&lt;=T166),AS166,0),IF(AND(NOT(AND(AO166=1,AN166&lt;&gt;1)),ISNUMBER(AH166),AH166&lt;=T166),AT166,0),IF(AND(NOT(AND(AO166=1,AN166&lt;&gt;1)),ISNUMBER(AI166),AI166&lt;=T166),AU166,0),IF(AND(ISNUMBER(AJ166),AJ166&lt;=T166),AV166,0))),"SW",IF(AND(IF(AND(NOT(AND(AO166=1,AN166&lt;&gt;1)),ISNUMBER(AH166),AH166&lt;=T166),AT166,0)&gt;0,IF(AND(NOT(AND(AO166=1,AN166&lt;&gt;1)),ISNUMBER(AH166),AH166&lt;=T166),AT166,0)=MAX(IF(AND(NOT(AND(AO166=1,AN166&lt;&gt;1)),ISNUMBER(AG166),AG166&lt;=T166),AS166,0),IF(AND(NOT(AND(AO166=1,AN166&lt;&gt;1)),ISNUMBER(AH166),AH166&lt;=T166),AT166,0),IF(AND(NOT(AND(AO166=1,AN166&lt;&gt;1)),ISNUMBER(AI166),AI166&lt;=T166),AU166,0),IF(AND(ISNUMBER(AJ166),AJ166&lt;=T166),AV166,0))),"AB",IF(AND(IF(AND(NOT(AND(AO166=1,AN166&lt;&gt;1)),ISNUMBER(AI166),AI166&lt;=T166),AU166,0)&gt;0,IF(AND(NOT(AND(AO166=1,AN166&lt;&gt;1)),ISNUMBER(AI166),AI166&lt;=T166),AU166,0)=MAX(IF(AND(NOT(AND(AO166=1,AN166&lt;&gt;1)),ISNUMBER(AG166),AG166&lt;=T166),AS166,0),IF(AND(NOT(AND(AO166=1,AN166&lt;&gt;1)),ISNUMBER(AH166),AH166&lt;=T166),AT166,0),IF(AND(NOT(AND(AO166=1,AN166&lt;&gt;1)),ISNUMBER(AI166),AI166&lt;=T166),AU166,0),IF(AND(ISNUMBER(AJ166),AJ166&lt;=T166),AV166,0))),"SC","Mag")))))))</f>
        <v/>
      </c>
    </row>
    <row r="167" customFormat="false" ht="15" hidden="false" customHeight="false" outlineLevel="0" collapsed="false">
      <c r="A167" s="26" t="n">
        <v>162</v>
      </c>
      <c r="B167" s="27" t="n">
        <f aca="false">A167*10/60</f>
        <v>27</v>
      </c>
      <c r="C167" s="21" t="n">
        <f aca="false">X166</f>
        <v>18.6730249835055</v>
      </c>
      <c r="D167" s="27" t="n">
        <f aca="false">D166+W166</f>
        <v>0</v>
      </c>
      <c r="E167" s="26" t="n">
        <f aca="false">E166+IF(U166="SW",1,0)</f>
        <v>12</v>
      </c>
      <c r="F167" s="26" t="n">
        <f aca="false">F166+IF(U166="AB",1,0)</f>
        <v>10</v>
      </c>
      <c r="G167" s="26" t="n">
        <f aca="false">G166+IF(U166="SC",1,0)</f>
        <v>7</v>
      </c>
      <c r="H167" s="26" t="n">
        <f aca="false">H166+IF(U166="Mag",1,0)</f>
        <v>5</v>
      </c>
      <c r="I167" s="26" t="n">
        <f aca="false">MAX(I166,IF(U166="OR",1,0))</f>
        <v>1</v>
      </c>
      <c r="J167" s="26" t="n">
        <f aca="false">MAX(J166,IF(U166="HP",1,0))</f>
        <v>1</v>
      </c>
      <c r="K167" s="26" t="n">
        <f aca="false">MAX(K166,IF(U166="FP",1,0))</f>
        <v>1</v>
      </c>
      <c r="L167" s="26" t="n">
        <f aca="false">MAX(L166,IF(U166="transition",1,0))</f>
        <v>1</v>
      </c>
      <c r="M167" s="28" t="n">
        <f aca="false">(Parameters!$B$9+(IF(E167=0,0,(Upgrades!$J$6+E167*Upgrades!$K$6)*POWER(Upgrades!$L$6,E167)))*(IF(Upgrades!$T$7="Solar Wind",POWER(Upgrades!$U$7,F167),1)*IF(Upgrades!$T$8="Solar Wind",POWER(Upgrades!$U$8,G167),1)*IF(Upgrades!$T$9="Solar Wind",POWER(Upgrades!$U$9,H167),1)*IF(Upgrades!$T$10="Solar Wind",POWER(Upgrades!$U$10,I167),1)*IF(Upgrades!$T$11="Solar Wind",POWER(Upgrades!$U$11,J167),1)*IF(Upgrades!$T$12="Solar Wind",POWER(Upgrades!$U$12,K167),1))+(IF(F167=0,0,(Upgrades!$J$7+F167*Upgrades!$K$7)*POWER(Upgrades!$L$7,F167)))*(IF(Upgrades!$T$6="Asteroid Belt",POWER(Upgrades!$U$6,E167),1)*IF(Upgrades!$T$8="Asteroid Belt",POWER(Upgrades!$U$8,G167),1)*IF(Upgrades!$T$9="Asteroid Belt",POWER(Upgrades!$U$9,H167),1)*IF(Upgrades!$T$10="Asteroid Belt",POWER(Upgrades!$U$10,I167),1)*IF(Upgrades!$T$11="Asteroid Belt",POWER(Upgrades!$U$11,J167),1)*IF(Upgrades!$T$12="Asteroid Belt",POWER(Upgrades!$U$12,K167),1))+(IF(G167=0,0,(Upgrades!$J$8+G167*Upgrades!$K$8)*POWER(Upgrades!$L$8,G167)))*(IF(Upgrades!$T$6="Stellar Coupling",POWER(Upgrades!$U$6,E167),1)*IF(Upgrades!$T$7="Stellar Coupling",POWER(Upgrades!$U$7,F167),1)*IF(Upgrades!$T$9="Stellar Coupling",POWER(Upgrades!$U$9,H167),1)*IF(Upgrades!$T$10="Stellar Coupling",POWER(Upgrades!$U$10,I167),1)*IF(Upgrades!$T$11="Stellar Coupling",POWER(Upgrades!$U$11,J167),1)*IF(Upgrades!$T$12="Stellar Coupling",POWER(Upgrades!$U$12,K167),1))+(IF(H167=0,0,(Upgrades!$J$9+H167*Upgrades!$K$9)*POWER(Upgrades!$L$9,H167)))*(IF(Upgrades!$T$6="Magnetosphere",POWER(Upgrades!$U$6,E167),1)*IF(Upgrades!$T$7="Magnetosphere",POWER(Upgrades!$U$7,F167),1)*IF(Upgrades!$T$8="Magnetosphere",POWER(Upgrades!$U$8,G167),1)*IF(Upgrades!$T$10="Magnetosphere",POWER(Upgrades!$U$10,I167),1)*IF(Upgrades!$T$11="Magnetosphere",POWER(Upgrades!$U$11,J167),1)*IF(Upgrades!$T$12="Magnetosphere",POWER(Upgrades!$U$12,K167),1))+(IF(I167=0,0,(Upgrades!$J$10+I167*Upgrades!$K$10)*POWER(Upgrades!$L$10,I167)))*(IF(Upgrades!$T$6="Orbital Resonance",POWER(Upgrades!$U$6,E167),1)*IF(Upgrades!$T$7="Orbital Resonance",POWER(Upgrades!$U$7,F167),1)*IF(Upgrades!$T$8="Orbital Resonance",POWER(Upgrades!$U$8,G167),1)*IF(Upgrades!$T$9="Orbital Resonance",POWER(Upgrades!$U$9,H167),1)*IF(Upgrades!$T$11="Orbital Resonance",POWER(Upgrades!$U$11,J167),1)*IF(Upgrades!$T$12="Orbital Resonance",POWER(Upgrades!$U$12,K167),1))+(IF(J167=0,0,(Upgrades!$J$11+J167*Upgrades!$K$11)*POWER(Upgrades!$L$11,J167)))*(IF(Upgrades!$T$6="Heliopause",POWER(Upgrades!$U$6,E167),1)*IF(Upgrades!$T$7="Heliopause",POWER(Upgrades!$U$7,F167),1)*IF(Upgrades!$T$8="Heliopause",POWER(Upgrades!$U$8,G167),1)*IF(Upgrades!$T$9="Heliopause",POWER(Upgrades!$U$9,H167),1)*IF(Upgrades!$T$10="Heliopause",POWER(Upgrades!$U$10,I167),1)*IF(Upgrades!$T$12="Heliopause",POWER(Upgrades!$U$12,K167),1))+(IF(K167=0,0,(Upgrades!$J$12+K167*Upgrades!$K$12)*POWER(Upgrades!$L$12,K167)))*(IF(Upgrades!$T$6="First Photons",POWER(Upgrades!$U$6,E167),1)*IF(Upgrades!$T$7="First Photons",POWER(Upgrades!$U$7,F167),1)*IF(Upgrades!$T$8="First Photons",POWER(Upgrades!$U$8,G167),1)*IF(Upgrades!$T$9="First Photons",POWER(Upgrades!$U$9,H167),1)*IF(Upgrades!$T$10="First Photons",POWER(Upgrades!$U$10,I167),1)*IF(Upgrades!$T$11="First Photons",POWER(Upgrades!$U$11,J167),1)))*POWER(Upgrades!$Q$6,E167)*POWER(Upgrades!$Q$7,F167)*POWER(Upgrades!$Q$8,G167)*POWER(Upgrades!$Q$9,H167)*POWER(Upgrades!$Q$10,I167)*POWER(Upgrades!$Q$11,J167)*POWER(Upgrades!$Q$12,K167)</f>
        <v>5.61</v>
      </c>
      <c r="N167" s="28" t="n">
        <f aca="false">((IF(E167=0,0,(Upgrades!$G$6+E167*Upgrades!$H$6)*POWER(Upgrades!$I$6,E167)))*(IF(Upgrades!$T$7="Solar Wind",POWER(Upgrades!$U$7,F167),1)*IF(Upgrades!$T$8="Solar Wind",POWER(Upgrades!$U$8,G167),1)*IF(Upgrades!$T$9="Solar Wind",POWER(Upgrades!$U$9,H167),1)*IF(Upgrades!$T$10="Solar Wind",POWER(Upgrades!$U$10,I167),1)*IF(Upgrades!$T$11="Solar Wind",POWER(Upgrades!$U$11,J167),1)*IF(Upgrades!$T$12="Solar Wind",POWER(Upgrades!$U$12,K167),1))+(IF(F167=0,0,(Upgrades!$G$7+F167*Upgrades!$H$7)*POWER(Upgrades!$I$7,F167)))*(IF(Upgrades!$T$6="Asteroid Belt",POWER(Upgrades!$U$6,E167),1)*IF(Upgrades!$T$8="Asteroid Belt",POWER(Upgrades!$U$8,G167),1)*IF(Upgrades!$T$9="Asteroid Belt",POWER(Upgrades!$U$9,H167),1)*IF(Upgrades!$T$10="Asteroid Belt",POWER(Upgrades!$U$10,I167),1)*IF(Upgrades!$T$11="Asteroid Belt",POWER(Upgrades!$U$11,J167),1)*IF(Upgrades!$T$12="Asteroid Belt",POWER(Upgrades!$U$12,K167),1))+(IF(G167=0,0,(Upgrades!$G$8+G167*Upgrades!$H$8)*POWER(Upgrades!$I$8,G167)))*(IF(Upgrades!$T$6="Stellar Coupling",POWER(Upgrades!$U$6,E167),1)*IF(Upgrades!$T$7="Stellar Coupling",POWER(Upgrades!$U$7,F167),1)*IF(Upgrades!$T$9="Stellar Coupling",POWER(Upgrades!$U$9,H167),1)*IF(Upgrades!$T$10="Stellar Coupling",POWER(Upgrades!$U$10,I167),1)*IF(Upgrades!$T$11="Stellar Coupling",POWER(Upgrades!$U$11,J167),1)*IF(Upgrades!$T$12="Stellar Coupling",POWER(Upgrades!$U$12,K167),1))+(IF(H167=0,0,(Upgrades!$G$9+H167*Upgrades!$H$9)*POWER(Upgrades!$I$9,H167)))*(IF(Upgrades!$T$6="Magnetosphere",POWER(Upgrades!$U$6,E167),1)*IF(Upgrades!$T$7="Magnetosphere",POWER(Upgrades!$U$7,F167),1)*IF(Upgrades!$T$8="Magnetosphere",POWER(Upgrades!$U$8,G167),1)*IF(Upgrades!$T$10="Magnetosphere",POWER(Upgrades!$U$10,I167),1)*IF(Upgrades!$T$11="Magnetosphere",POWER(Upgrades!$U$11,J167),1)*IF(Upgrades!$T$12="Magnetosphere",POWER(Upgrades!$U$12,K167),1))+(IF(I167=0,0,(Upgrades!$G$10+I167*Upgrades!$H$10)*POWER(Upgrades!$I$10,I167)))*(IF(Upgrades!$T$6="Orbital Resonance",POWER(Upgrades!$U$6,E167),1)*IF(Upgrades!$T$7="Orbital Resonance",POWER(Upgrades!$U$7,F167),1)*IF(Upgrades!$T$8="Orbital Resonance",POWER(Upgrades!$U$8,G167),1)*IF(Upgrades!$T$9="Orbital Resonance",POWER(Upgrades!$U$9,H167),1)*IF(Upgrades!$T$11="Orbital Resonance",POWER(Upgrades!$U$11,J167),1)*IF(Upgrades!$T$12="Orbital Resonance",POWER(Upgrades!$U$12,K167),1))+(IF(J167=0,0,(Upgrades!$G$11+J167*Upgrades!$H$11)*POWER(Upgrades!$I$11,J167)))*(IF(Upgrades!$T$6="Heliopause",POWER(Upgrades!$U$6,E167),1)*IF(Upgrades!$T$7="Heliopause",POWER(Upgrades!$U$7,F167),1)*IF(Upgrades!$T$8="Heliopause",POWER(Upgrades!$U$8,G167),1)*IF(Upgrades!$T$9="Heliopause",POWER(Upgrades!$U$9,H167),1)*IF(Upgrades!$T$10="Heliopause",POWER(Upgrades!$U$10,I167),1)*IF(Upgrades!$T$12="Heliopause",POWER(Upgrades!$U$12,K167),1))+(IF(K167=0,0,(Upgrades!$G$12+K167*Upgrades!$H$12)*POWER(Upgrades!$I$12,K167)))*(IF(Upgrades!$T$6="First Photons",POWER(Upgrades!$U$6,E167),1)*IF(Upgrades!$T$7="First Photons",POWER(Upgrades!$U$7,F167),1)*IF(Upgrades!$T$8="First Photons",POWER(Upgrades!$U$8,G167),1)*IF(Upgrades!$T$9="First Photons",POWER(Upgrades!$U$9,H167),1)*IF(Upgrades!$T$10="First Photons",POWER(Upgrades!$U$10,I167),1)*IF(Upgrades!$T$11="First Photons",POWER(Upgrades!$U$11,J167),1)))*POWER(Upgrades!$P$6,E167)*POWER(Upgrades!$P$7,F167)*POWER(Upgrades!$P$8,G167)*POWER(Upgrades!$P$9,H167)*POWER(Upgrades!$P$10,I167)*POWER(Upgrades!$P$11,J167)*POWER(Upgrades!$P$12,K167)</f>
        <v>11.2</v>
      </c>
      <c r="O167" s="28" t="n">
        <f aca="false">((IF(E167=0,0,(Upgrades!$M$6+E167*Upgrades!$N$6)*POWER(Upgrades!$O$6,E167)))*(IF(Upgrades!$T$7="Solar Wind",POWER(Upgrades!$U$7,F167),1)*IF(Upgrades!$T$8="Solar Wind",POWER(Upgrades!$U$8,G167),1)*IF(Upgrades!$T$9="Solar Wind",POWER(Upgrades!$U$9,H167),1)*IF(Upgrades!$T$10="Solar Wind",POWER(Upgrades!$U$10,I167),1)*IF(Upgrades!$T$11="Solar Wind",POWER(Upgrades!$U$11,J167),1)*IF(Upgrades!$T$12="Solar Wind",POWER(Upgrades!$U$12,K167),1))+(IF(F167=0,0,(Upgrades!$M$7+F167*Upgrades!$N$7)*POWER(Upgrades!$O$7,F167)))*(IF(Upgrades!$T$6="Asteroid Belt",POWER(Upgrades!$U$6,E167),1)*IF(Upgrades!$T$8="Asteroid Belt",POWER(Upgrades!$U$8,G167),1)*IF(Upgrades!$T$9="Asteroid Belt",POWER(Upgrades!$U$9,H167),1)*IF(Upgrades!$T$10="Asteroid Belt",POWER(Upgrades!$U$10,I167),1)*IF(Upgrades!$T$11="Asteroid Belt",POWER(Upgrades!$U$11,J167),1)*IF(Upgrades!$T$12="Asteroid Belt",POWER(Upgrades!$U$12,K167),1))+(IF(G167=0,0,(Upgrades!$M$8+G167*Upgrades!$N$8)*POWER(Upgrades!$O$8,G167)))*(IF(Upgrades!$T$6="Stellar Coupling",POWER(Upgrades!$U$6,E167),1)*IF(Upgrades!$T$7="Stellar Coupling",POWER(Upgrades!$U$7,F167),1)*IF(Upgrades!$T$9="Stellar Coupling",POWER(Upgrades!$U$9,H167),1)*IF(Upgrades!$T$10="Stellar Coupling",POWER(Upgrades!$U$10,I167),1)*IF(Upgrades!$T$11="Stellar Coupling",POWER(Upgrades!$U$11,J167),1)*IF(Upgrades!$T$12="Stellar Coupling",POWER(Upgrades!$U$12,K167),1))+(IF(H167=0,0,(Upgrades!$M$9+H167*Upgrades!$N$9)*POWER(Upgrades!$O$9,H167)))*(IF(Upgrades!$T$6="Magnetosphere",POWER(Upgrades!$U$6,E167),1)*IF(Upgrades!$T$7="Magnetosphere",POWER(Upgrades!$U$7,F167),1)*IF(Upgrades!$T$8="Magnetosphere",POWER(Upgrades!$U$8,G167),1)*IF(Upgrades!$T$10="Magnetosphere",POWER(Upgrades!$U$10,I167),1)*IF(Upgrades!$T$11="Magnetosphere",POWER(Upgrades!$U$11,J167),1)*IF(Upgrades!$T$12="Magnetosphere",POWER(Upgrades!$U$12,K167),1))+(IF(I167=0,0,(Upgrades!$M$10+I167*Upgrades!$N$10)*POWER(Upgrades!$O$10,I167)))*(IF(Upgrades!$T$6="Orbital Resonance",POWER(Upgrades!$U$6,E167),1)*IF(Upgrades!$T$7="Orbital Resonance",POWER(Upgrades!$U$7,F167),1)*IF(Upgrades!$T$8="Orbital Resonance",POWER(Upgrades!$U$8,G167),1)*IF(Upgrades!$T$9="Orbital Resonance",POWER(Upgrades!$U$9,H167),1)*IF(Upgrades!$T$11="Orbital Resonance",POWER(Upgrades!$U$11,J167),1)*IF(Upgrades!$T$12="Orbital Resonance",POWER(Upgrades!$U$12,K167),1))+(IF(J167=0,0,(Upgrades!$M$11+J167*Upgrades!$N$11)*POWER(Upgrades!$O$11,J167)))*(IF(Upgrades!$T$6="Heliopause",POWER(Upgrades!$U$6,E167),1)*IF(Upgrades!$T$7="Heliopause",POWER(Upgrades!$U$7,F167),1)*IF(Upgrades!$T$8="Heliopause",POWER(Upgrades!$U$8,G167),1)*IF(Upgrades!$T$9="Heliopause",POWER(Upgrades!$U$9,H167),1)*IF(Upgrades!$T$10="Heliopause",POWER(Upgrades!$U$10,I167),1)*IF(Upgrades!$T$12="Heliopause",POWER(Upgrades!$U$12,K167),1))+(IF(K167=0,0,(Upgrades!$M$12+K167*Upgrades!$N$12)*POWER(Upgrades!$O$12,K167)))*(IF(Upgrades!$T$6="First Photons",POWER(Upgrades!$U$6,E167),1)*IF(Upgrades!$T$7="First Photons",POWER(Upgrades!$U$7,F167),1)*IF(Upgrades!$T$8="First Photons",POWER(Upgrades!$U$8,G167),1)*IF(Upgrades!$T$9="First Photons",POWER(Upgrades!$U$9,H167),1)*IF(Upgrades!$T$10="First Photons",POWER(Upgrades!$U$10,I167),1)*IF(Upgrades!$T$11="First Photons",POWER(Upgrades!$U$11,J167),1)))*POWER(Upgrades!$R$6,E167)*POWER(Upgrades!$R$7,F167)*POWER(Upgrades!$R$8,G167)*POWER(Upgrades!$R$9,H167)*POWER(Upgrades!$R$10,I167)*POWER(Upgrades!$R$11,J167)*POWER(Upgrades!$R$12,K167)</f>
        <v>0</v>
      </c>
      <c r="P167" s="27" t="n">
        <f aca="false">IF(L167=1,0,M167*Parameters!$B$10/60*Parameters!$B$11*10)</f>
        <v>0</v>
      </c>
      <c r="Q167" s="27" t="n">
        <f aca="false">IF(L167=1,0,O167*M167*10)</f>
        <v>0</v>
      </c>
      <c r="R167" s="27" t="n">
        <f aca="false">IF(L167=1,0,N167*10)</f>
        <v>0</v>
      </c>
      <c r="S167" s="27" t="n">
        <f aca="false">P167+Q167+R167</f>
        <v>0</v>
      </c>
      <c r="T167" s="21" t="n">
        <f aca="false">C167+S167</f>
        <v>18.6730249835055</v>
      </c>
      <c r="U167" s="34" t="str">
        <f aca="false">AX167</f>
        <v/>
      </c>
      <c r="V167" s="21" t="n">
        <f aca="false">IF(U167="",0,IF(U167="transition",0,IF(U167="SW",AG167,IF(U167="AB",AH167,IF(U167="SC",AI167,IF(U167="Mag",AJ167,IF(U167="OR",AK167,IF(U167="HP",AL167,IF(U167="FP",AM167,0)))))))))</f>
        <v>0</v>
      </c>
      <c r="W167" s="27" t="n">
        <f aca="false">IF(U167="OR",Upgrades!$F$10,IF(U167="HP",Upgrades!$F$11,IF(U167="transition",-Parameters!$B$18,0)))</f>
        <v>0</v>
      </c>
      <c r="X167" s="21" t="n">
        <f aca="false">T167-V167</f>
        <v>18.6730249835055</v>
      </c>
      <c r="Y167" s="30" t="n">
        <f aca="false">M167*Parameters!$B$10/60*Parameters!$B$11+O167*M167+N167</f>
        <v>20.55</v>
      </c>
      <c r="Z167" s="35" t="str">
        <f aca="false">IF(U167="transition","→ Tier 2 (Stellar Neighborhood)",IF(U167="FP","First Photons — light begins, system quickens",IF(U167="HP","Heliopause acquired",IF(U167="OR","Orbital Resonance — passive multiplier active",IF(AND(AO167=1,L167=0,AN167&lt;&gt;1),"Cohesion ready (waiting on completionist upgrades)","")))))</f>
        <v/>
      </c>
      <c r="AA167" s="27" t="n">
        <f aca="false">(IF(E167=0,0,(Upgrades!$G$6+E167*Upgrades!$H$6)*POWER(Upgrades!$I$6,E167)))*(IF(Upgrades!$T$7="Solar Wind",POWER(Upgrades!$U$7,F167),1)*IF(Upgrades!$T$8="Solar Wind",POWER(Upgrades!$U$8,G167),1)*IF(Upgrades!$T$9="Solar Wind",POWER(Upgrades!$U$9,H167),1)*IF(Upgrades!$T$10="Solar Wind",POWER(Upgrades!$U$10,I167),1)*IF(Upgrades!$T$11="Solar Wind",POWER(Upgrades!$U$11,J167),1)*IF(Upgrades!$T$12="Solar Wind",POWER(Upgrades!$U$12,K167),1))*POWER(Upgrades!$P$6,E167)*POWER(Upgrades!$P$7,F167)*POWER(Upgrades!$P$8,G167)*POWER(Upgrades!$P$9,H167)*POWER(Upgrades!$P$10,I167)*POWER(Upgrades!$P$11,J167)*POWER(Upgrades!$P$12,K167)*60</f>
        <v>72</v>
      </c>
      <c r="AB167" s="27" t="n">
        <f aca="false">(IF(F167=0,0,(Upgrades!$G$7+F167*Upgrades!$H$7)*POWER(Upgrades!$I$7,F167)))*(IF(Upgrades!$T$6="Asteroid Belt",POWER(Upgrades!$U$6,E167),1)*IF(Upgrades!$T$8="Asteroid Belt",POWER(Upgrades!$U$8,G167),1)*IF(Upgrades!$T$9="Asteroid Belt",POWER(Upgrades!$U$9,H167),1)*IF(Upgrades!$T$10="Asteroid Belt",POWER(Upgrades!$U$10,I167),1)*IF(Upgrades!$T$11="Asteroid Belt",POWER(Upgrades!$U$11,J167),1)*IF(Upgrades!$T$12="Asteroid Belt",POWER(Upgrades!$U$12,K167),1))*POWER(Upgrades!$P$6,E167)*POWER(Upgrades!$P$7,F167)*POWER(Upgrades!$P$8,G167)*POWER(Upgrades!$P$9,H167)*POWER(Upgrades!$P$10,I167)*POWER(Upgrades!$P$11,J167)*POWER(Upgrades!$P$12,K167)*60</f>
        <v>150</v>
      </c>
      <c r="AC167" s="27" t="n">
        <f aca="false">(IF(G167=0,0,(Upgrades!$J$8+G167*Upgrades!$K$8)*POWER(Upgrades!$L$8,G167)))*(IF(Upgrades!$T$6="Stellar Coupling",POWER(Upgrades!$U$6,E167),1)*IF(Upgrades!$T$7="Stellar Coupling",POWER(Upgrades!$U$7,F167),1)*IF(Upgrades!$T$9="Stellar Coupling",POWER(Upgrades!$U$9,H167),1)*IF(Upgrades!$T$10="Stellar Coupling",POWER(Upgrades!$U$10,I167),1)*IF(Upgrades!$T$11="Stellar Coupling",POWER(Upgrades!$U$11,J167),1)*IF(Upgrades!$T$12="Stellar Coupling",POWER(Upgrades!$U$12,K167),1))*POWER(Upgrades!$Q$6,E167)*POWER(Upgrades!$Q$7,F167)*POWER(Upgrades!$Q$8,G167)*POWER(Upgrades!$Q$9,H167)*POWER(Upgrades!$Q$10,I167)*POWER(Upgrades!$Q$11,J167)*POWER(Upgrades!$Q$12,K167)*Parameters!$B$10*Parameters!$B$11</f>
        <v>441</v>
      </c>
      <c r="AD167" s="27" t="n">
        <f aca="false">(IF(H167=0,0,(Upgrades!$G$9+H167*Upgrades!$H$9)*POWER(Upgrades!$I$9,H167)))*(IF(Upgrades!$T$6="Magnetosphere",POWER(Upgrades!$U$6,E167),1)*IF(Upgrades!$T$7="Magnetosphere",POWER(Upgrades!$U$7,F167),1)*IF(Upgrades!$T$8="Magnetosphere",POWER(Upgrades!$U$8,G167),1)*IF(Upgrades!$T$10="Magnetosphere",POWER(Upgrades!$U$10,I167),1)*IF(Upgrades!$T$11="Magnetosphere",POWER(Upgrades!$U$11,J167),1)*IF(Upgrades!$T$12="Magnetosphere",POWER(Upgrades!$U$12,K167),1))*POWER(Upgrades!$P$6,E167)*POWER(Upgrades!$P$7,F167)*POWER(Upgrades!$P$8,G167)*POWER(Upgrades!$P$9,H167)*POWER(Upgrades!$P$10,I167)*POWER(Upgrades!$P$11,J167)*POWER(Upgrades!$P$12,K167)*60</f>
        <v>375</v>
      </c>
      <c r="AE167" s="27" t="n">
        <f aca="false">(IF(K167=0,0,(Upgrades!$G$12+K167*Upgrades!$H$12)*POWER(Upgrades!$I$12,K167)))*(IF(Upgrades!$T$6="First Photons",POWER(Upgrades!$U$6,E167),1)*IF(Upgrades!$T$7="First Photons",POWER(Upgrades!$U$7,F167),1)*IF(Upgrades!$T$8="First Photons",POWER(Upgrades!$U$8,G167),1)*IF(Upgrades!$T$9="First Photons",POWER(Upgrades!$U$9,H167),1)*IF(Upgrades!$T$10="First Photons",POWER(Upgrades!$U$10,I167),1)*IF(Upgrades!$T$11="First Photons",POWER(Upgrades!$U$11,J167),1))*POWER(Upgrades!$P$6,E167)*POWER(Upgrades!$P$7,F167)*POWER(Upgrades!$P$8,G167)*POWER(Upgrades!$P$9,H167)*POWER(Upgrades!$P$10,I167)*POWER(Upgrades!$P$11,J167)*POWER(Upgrades!$P$12,K167)*60</f>
        <v>75</v>
      </c>
      <c r="AF167" s="27" t="n">
        <f aca="false">Parameters!$B$9*POWER(Upgrades!$Q$6,E167)*POWER(Upgrades!$Q$7,F167)*POWER(Upgrades!$Q$8,G167)*POWER(Upgrades!$Q$9,H167)*POWER(Upgrades!$Q$10,I167)*POWER(Upgrades!$Q$11,J167)*POWER(Upgrades!$Q$12,K167)*(Parameters!$B$10*Parameters!$B$11+O167*60)</f>
        <v>120</v>
      </c>
      <c r="AG167" s="21" t="n">
        <f aca="false">IF(E167&gt;=Upgrades!$E$6,"",Upgrades!$C$6*POWER(Upgrades!$D$6,E167))</f>
        <v>37.4517507383159</v>
      </c>
      <c r="AH167" s="21" t="n">
        <f aca="false">IF(F167&gt;=Upgrades!$E$7,"",Upgrades!$C$7*POWER(Upgrades!$D$7,F167))</f>
        <v>80.9111547141581</v>
      </c>
      <c r="AI167" s="21" t="n">
        <f aca="false">IF(G167&gt;=Upgrades!$E$8,"",Upgrades!$C$8*POWER(Upgrades!$D$8,G167))</f>
        <v>231.9097088</v>
      </c>
      <c r="AJ167" s="21" t="str">
        <f aca="false">IF(H167&gt;=Upgrades!$E$9,"",Upgrades!$C$9*POWER(Upgrades!$D$9,H167))</f>
        <v/>
      </c>
      <c r="AK167" s="21" t="str">
        <f aca="false">IF(I167&gt;=Upgrades!$E$10,"",Upgrades!$C$10*POWER(Upgrades!$D$10,I167))</f>
        <v/>
      </c>
      <c r="AL167" s="21" t="str">
        <f aca="false">IF(J167&gt;=Upgrades!$E$11,"",Upgrades!$C$11*POWER(Upgrades!$D$11,J167))</f>
        <v/>
      </c>
      <c r="AM167" s="21" t="str">
        <f aca="false">IF(K167&gt;=Upgrades!$E$12,"",Upgrades!$C$12*POWER(Upgrades!$D$12,K167))</f>
        <v/>
      </c>
      <c r="AN167" s="26" t="str">
        <f aca="false">IF(AND(D167&gt;=Parameters!$B$18,(H167&gt;=Upgrades!$E$9)*(K167&gt;=Upgrades!$E$12)=1,L167=0),1,"")</f>
        <v/>
      </c>
      <c r="AO167" s="26" t="str">
        <f aca="false">IF(AND(D167&gt;=Parameters!$B$18,L167=0),1,"")</f>
        <v/>
      </c>
      <c r="AP167" s="21" t="n">
        <f aca="false">MIN(IF(ISNUMBER(AK167),AK167,9000000000000000),IF(ISNUMBER(AL167),AL167,9000000000000000),IF(ISNUMBER(AM167),AM167,9000000000000000))</f>
        <v>9000000000000000</v>
      </c>
      <c r="AQ167" s="21" t="n">
        <f aca="false">MIN(IF(ISNUMBER(AG167),AG167,9000000000000000),IF(ISNUMBER(AH167),AH167,9000000000000000),IF(ISNUMBER(AI167),AI167,9000000000000000),IF(ISNUMBER(AJ167),AJ167,9000000000000000))</f>
        <v>37.4517507383159</v>
      </c>
      <c r="AR167" s="32" t="b">
        <f aca="false">IF(AW167&gt;Parameters!$B$21*(MAX(IF(AND(NOT(AND(AO167=1,AN167&lt;&gt;1)),ISNUMBER(AG167),AG167&lt;=T167),AS167,0),IF(AND(NOT(AND(AO167=1,AN167&lt;&gt;1)),ISNUMBER(AH167),AH167&lt;=T167),AT167,0),IF(AND(NOT(AND(AO167=1,AN167&lt;&gt;1)),ISNUMBER(AI167),AI167&lt;=T167),AU167,0),IF(AND(ISNUMBER(AJ167),AJ167&lt;=T167),AV167,0))),TRUE(),FALSE())</f>
        <v>1</v>
      </c>
      <c r="AS167" s="33" t="n">
        <f aca="false">IFERROR(Upgrades!$H$6*(POWER(Upgrades!$P$6,E167)*POWER(Upgrades!$P$7,F167)*POWER(Upgrades!$P$8,G167)*POWER(Upgrades!$P$9,H167)*POWER(Upgrades!$P$10,I167)*POWER(Upgrades!$P$11,J167)*POWER(Upgrades!$P$12,K167))*(IF(Upgrades!$T$7="Solar Wind",POWER(Upgrades!$U$7,F167),1)*IF(Upgrades!$T$8="Solar Wind",POWER(Upgrades!$U$8,G167),1)*IF(Upgrades!$T$9="Solar Wind",POWER(Upgrades!$U$9,H167),1)*IF(Upgrades!$T$10="Solar Wind",POWER(Upgrades!$U$10,I167),1)*IF(Upgrades!$T$11="Solar Wind",POWER(Upgrades!$U$11,J167),1)*IF(Upgrades!$T$12="Solar Wind",POWER(Upgrades!$U$12,K167),1))/AG167,0)</f>
        <v>0.0026701021455238</v>
      </c>
      <c r="AT167" s="33" t="n">
        <f aca="false">IFERROR(Upgrades!$H$7*(POWER(Upgrades!$P$6,E167)*POWER(Upgrades!$P$7,F167)*POWER(Upgrades!$P$8,G167)*POWER(Upgrades!$P$9,H167)*POWER(Upgrades!$P$10,I167)*POWER(Upgrades!$P$11,J167)*POWER(Upgrades!$P$12,K167))*(IF(Upgrades!$T$6="Asteroid Belt",POWER(Upgrades!$U$6,E167),1)*IF(Upgrades!$T$8="Asteroid Belt",POWER(Upgrades!$U$8,G167),1)*IF(Upgrades!$T$9="Asteroid Belt",POWER(Upgrades!$U$9,H167),1)*IF(Upgrades!$T$10="Asteroid Belt",POWER(Upgrades!$U$10,I167),1)*IF(Upgrades!$T$11="Asteroid Belt",POWER(Upgrades!$U$11,J167),1)*IF(Upgrades!$T$12="Asteroid Belt",POWER(Upgrades!$U$12,K167),1))/AH167,0)</f>
        <v>0.00308980882652332</v>
      </c>
      <c r="AU167" s="33" t="n">
        <f aca="false">IFERROR(Upgrades!$K$8*(POWER(Upgrades!$Q$6,E167)*POWER(Upgrades!$Q$7,F167)*POWER(Upgrades!$Q$8,G167)*POWER(Upgrades!$Q$9,H167)*POWER(Upgrades!$Q$10,I167)*POWER(Upgrades!$Q$11,J167)*POWER(Upgrades!$Q$12,K167))*(IF(Upgrades!$T$6="Stellar Coupling",POWER(Upgrades!$U$6,E167),1)*IF(Upgrades!$T$7="Stellar Coupling",POWER(Upgrades!$U$7,F167),1)*IF(Upgrades!$T$9="Stellar Coupling",POWER(Upgrades!$U$9,H167),1)*IF(Upgrades!$T$10="Stellar Coupling",POWER(Upgrades!$U$10,I167),1)*IF(Upgrades!$T$11="Stellar Coupling",POWER(Upgrades!$U$11,J167),1)*IF(Upgrades!$T$12="Stellar Coupling",POWER(Upgrades!$U$12,K167),1))*Parameters!$B$10*Parameters!$B$11/60/AI167,0)</f>
        <v>0.00452762415783776</v>
      </c>
      <c r="AV167" s="33" t="n">
        <f aca="false">IFERROR(Upgrades!$H$9*(POWER(Upgrades!$P$6,E167)*POWER(Upgrades!$P$7,F167)*POWER(Upgrades!$P$8,G167)*POWER(Upgrades!$P$9,H167)*POWER(Upgrades!$P$10,I167)*POWER(Upgrades!$P$11,J167)*POWER(Upgrades!$P$12,K167))*(IF(Upgrades!$T$6="Magnetosphere",POWER(Upgrades!$U$6,E167),1)*IF(Upgrades!$T$7="Magnetosphere",POWER(Upgrades!$U$7,F167),1)*IF(Upgrades!$T$8="Magnetosphere",POWER(Upgrades!$U$8,G167),1)*IF(Upgrades!$T$10="Magnetosphere",POWER(Upgrades!$U$10,I167),1)*IF(Upgrades!$T$11="Magnetosphere",POWER(Upgrades!$U$11,J167),1)*IF(Upgrades!$T$12="Magnetosphere",POWER(Upgrades!$U$12,K167),1))/AJ167,0)</f>
        <v>0</v>
      </c>
      <c r="AW167" s="33" t="n">
        <f aca="false">MAX(IF(I167&gt;0,0,IFERROR(0.25*N167/Upgrades!$C$10,0)),IF(J167&gt;0,0,IFERROR(0.5*((IF(G167=0,0,(Upgrades!$J$8+G167*Upgrades!$K$8)*POWER(Upgrades!$L$8,G167)))*(IF(Upgrades!$T$6="Stellar Coupling",POWER(Upgrades!$U$6,E167),1)*IF(Upgrades!$T$7="Stellar Coupling",POWER(Upgrades!$U$7,F167),1)*IF(Upgrades!$T$9="Stellar Coupling",POWER(Upgrades!$U$9,H167),1)*IF(Upgrades!$T$10="Stellar Coupling",POWER(Upgrades!$U$10,I167),1)*IF(Upgrades!$T$11="Stellar Coupling",POWER(Upgrades!$U$11,J167),1)*IF(Upgrades!$T$12="Stellar Coupling",POWER(Upgrades!$U$12,K167),1))*(POWER(Upgrades!$Q$6,E167)*POWER(Upgrades!$Q$7,F167)*POWER(Upgrades!$Q$8,G167)*POWER(Upgrades!$Q$9,H167)*POWER(Upgrades!$Q$10,I167)*POWER(Upgrades!$Q$11,J167)*POWER(Upgrades!$Q$12,K167))*Parameters!$B$10*Parameters!$B$11/60)/Upgrades!$C$11,0)),IF(K167&gt;0,0,IFERROR((1*(POWER(Upgrades!$P$6,E167)*POWER(Upgrades!$P$7,F167)*POWER(Upgrades!$P$8,G167)*POWER(Upgrades!$P$9,H167)*POWER(Upgrades!$P$10,I167)*POWER(Upgrades!$P$11,J167)*POWER(Upgrades!$P$12,K167))+0.2*M167*Parameters!$B$10*Parameters!$B$11/60)/Upgrades!$C$12,0)),IF(AND(ISNUMBER(AG167),AG167&gt;T167),AS167,0),IF(AND(ISNUMBER(AH167),AH167&gt;T167),AT167,0),IF(AND(ISNUMBER(AI167),AI167&gt;T167),AU167,0),IF(AND(ISNUMBER(AJ167),AJ167&gt;T167),AV167,0))</f>
        <v>0.00452762415783776</v>
      </c>
      <c r="AX167" s="29" t="str">
        <f aca="false">IF(AN167=1,"transition",IF(MIN(IF(AND(I167=0,ISNUMBER(AK167),AK167&lt;=T167),AK167,9000000000000000),IF(AND(J167=0,ISNUMBER(AL167),AL167&lt;=T167),AL167,9000000000000000),IF(AND(K167=0,ISNUMBER(AM167),AM167&lt;=T167),AM167,9000000000000000))&lt;9000000000000000,IF(AND(AND(I167=0,ISNUMBER(AK167),AK167&lt;=T167),AK167=MIN(IF(AND(I167=0,ISNUMBER(AK167),AK167&lt;=T167),AK167,9000000000000000),IF(AND(J167=0,ISNUMBER(AL167),AL167&lt;=T167),AL167,9000000000000000),IF(AND(K167=0,ISNUMBER(AM167),AM167&lt;=T167),AM167,9000000000000000))),"OR",IF(AND(AND(J167=0,ISNUMBER(AL167),AL167&lt;=T167),AL167=MIN(IF(AND(I167=0,ISNUMBER(AK167),AK167&lt;=T167),AK167,9000000000000000),IF(AND(J167=0,ISNUMBER(AL167),AL167&lt;=T167),AL167,9000000000000000),IF(AND(K167=0,ISNUMBER(AM167),AM167&lt;=T167),AM167,9000000000000000))),"HP","FP")),IF(AR167=TRUE(),"",IF(MAX(IF(AND(NOT(AND(AO167=1,AN167&lt;&gt;1)),ISNUMBER(AG167),AG167&lt;=T167),AS167,0),IF(AND(NOT(AND(AO167=1,AN167&lt;&gt;1)),ISNUMBER(AH167),AH167&lt;=T167),AT167,0),IF(AND(NOT(AND(AO167=1,AN167&lt;&gt;1)),ISNUMBER(AI167),AI167&lt;=T167),AU167,0),IF(AND(ISNUMBER(AJ167),AJ167&lt;=T167),AV167,0))&lt;=0,"",IF(AND(IF(AND(NOT(AND(AO167=1,AN167&lt;&gt;1)),ISNUMBER(AG167),AG167&lt;=T167),AS167,0)&gt;0,IF(AND(NOT(AND(AO167=1,AN167&lt;&gt;1)),ISNUMBER(AG167),AG167&lt;=T167),AS167,0)=MAX(IF(AND(NOT(AND(AO167=1,AN167&lt;&gt;1)),ISNUMBER(AG167),AG167&lt;=T167),AS167,0),IF(AND(NOT(AND(AO167=1,AN167&lt;&gt;1)),ISNUMBER(AH167),AH167&lt;=T167),AT167,0),IF(AND(NOT(AND(AO167=1,AN167&lt;&gt;1)),ISNUMBER(AI167),AI167&lt;=T167),AU167,0),IF(AND(ISNUMBER(AJ167),AJ167&lt;=T167),AV167,0))),"SW",IF(AND(IF(AND(NOT(AND(AO167=1,AN167&lt;&gt;1)),ISNUMBER(AH167),AH167&lt;=T167),AT167,0)&gt;0,IF(AND(NOT(AND(AO167=1,AN167&lt;&gt;1)),ISNUMBER(AH167),AH167&lt;=T167),AT167,0)=MAX(IF(AND(NOT(AND(AO167=1,AN167&lt;&gt;1)),ISNUMBER(AG167),AG167&lt;=T167),AS167,0),IF(AND(NOT(AND(AO167=1,AN167&lt;&gt;1)),ISNUMBER(AH167),AH167&lt;=T167),AT167,0),IF(AND(NOT(AND(AO167=1,AN167&lt;&gt;1)),ISNUMBER(AI167),AI167&lt;=T167),AU167,0),IF(AND(ISNUMBER(AJ167),AJ167&lt;=T167),AV167,0))),"AB",IF(AND(IF(AND(NOT(AND(AO167=1,AN167&lt;&gt;1)),ISNUMBER(AI167),AI167&lt;=T167),AU167,0)&gt;0,IF(AND(NOT(AND(AO167=1,AN167&lt;&gt;1)),ISNUMBER(AI167),AI167&lt;=T167),AU167,0)=MAX(IF(AND(NOT(AND(AO167=1,AN167&lt;&gt;1)),ISNUMBER(AG167),AG167&lt;=T167),AS167,0),IF(AND(NOT(AND(AO167=1,AN167&lt;&gt;1)),ISNUMBER(AH167),AH167&lt;=T167),AT167,0),IF(AND(NOT(AND(AO167=1,AN167&lt;&gt;1)),ISNUMBER(AI167),AI167&lt;=T167),AU167,0),IF(AND(ISNUMBER(AJ167),AJ167&lt;=T167),AV167,0))),"SC","Mag")))))))</f>
        <v/>
      </c>
    </row>
    <row r="168" customFormat="false" ht="15" hidden="false" customHeight="false" outlineLevel="0" collapsed="false">
      <c r="A168" s="26" t="n">
        <v>163</v>
      </c>
      <c r="B168" s="27" t="n">
        <f aca="false">A168*10/60</f>
        <v>27.1666666666667</v>
      </c>
      <c r="C168" s="21" t="n">
        <f aca="false">X167</f>
        <v>18.6730249835055</v>
      </c>
      <c r="D168" s="27" t="n">
        <f aca="false">D167+W167</f>
        <v>0</v>
      </c>
      <c r="E168" s="26" t="n">
        <f aca="false">E167+IF(U167="SW",1,0)</f>
        <v>12</v>
      </c>
      <c r="F168" s="26" t="n">
        <f aca="false">F167+IF(U167="AB",1,0)</f>
        <v>10</v>
      </c>
      <c r="G168" s="26" t="n">
        <f aca="false">G167+IF(U167="SC",1,0)</f>
        <v>7</v>
      </c>
      <c r="H168" s="26" t="n">
        <f aca="false">H167+IF(U167="Mag",1,0)</f>
        <v>5</v>
      </c>
      <c r="I168" s="26" t="n">
        <f aca="false">MAX(I167,IF(U167="OR",1,0))</f>
        <v>1</v>
      </c>
      <c r="J168" s="26" t="n">
        <f aca="false">MAX(J167,IF(U167="HP",1,0))</f>
        <v>1</v>
      </c>
      <c r="K168" s="26" t="n">
        <f aca="false">MAX(K167,IF(U167="FP",1,0))</f>
        <v>1</v>
      </c>
      <c r="L168" s="26" t="n">
        <f aca="false">MAX(L167,IF(U167="transition",1,0))</f>
        <v>1</v>
      </c>
      <c r="M168" s="28" t="n">
        <f aca="false">(Parameters!$B$9+(IF(E168=0,0,(Upgrades!$J$6+E168*Upgrades!$K$6)*POWER(Upgrades!$L$6,E168)))*(IF(Upgrades!$T$7="Solar Wind",POWER(Upgrades!$U$7,F168),1)*IF(Upgrades!$T$8="Solar Wind",POWER(Upgrades!$U$8,G168),1)*IF(Upgrades!$T$9="Solar Wind",POWER(Upgrades!$U$9,H168),1)*IF(Upgrades!$T$10="Solar Wind",POWER(Upgrades!$U$10,I168),1)*IF(Upgrades!$T$11="Solar Wind",POWER(Upgrades!$U$11,J168),1)*IF(Upgrades!$T$12="Solar Wind",POWER(Upgrades!$U$12,K168),1))+(IF(F168=0,0,(Upgrades!$J$7+F168*Upgrades!$K$7)*POWER(Upgrades!$L$7,F168)))*(IF(Upgrades!$T$6="Asteroid Belt",POWER(Upgrades!$U$6,E168),1)*IF(Upgrades!$T$8="Asteroid Belt",POWER(Upgrades!$U$8,G168),1)*IF(Upgrades!$T$9="Asteroid Belt",POWER(Upgrades!$U$9,H168),1)*IF(Upgrades!$T$10="Asteroid Belt",POWER(Upgrades!$U$10,I168),1)*IF(Upgrades!$T$11="Asteroid Belt",POWER(Upgrades!$U$11,J168),1)*IF(Upgrades!$T$12="Asteroid Belt",POWER(Upgrades!$U$12,K168),1))+(IF(G168=0,0,(Upgrades!$J$8+G168*Upgrades!$K$8)*POWER(Upgrades!$L$8,G168)))*(IF(Upgrades!$T$6="Stellar Coupling",POWER(Upgrades!$U$6,E168),1)*IF(Upgrades!$T$7="Stellar Coupling",POWER(Upgrades!$U$7,F168),1)*IF(Upgrades!$T$9="Stellar Coupling",POWER(Upgrades!$U$9,H168),1)*IF(Upgrades!$T$10="Stellar Coupling",POWER(Upgrades!$U$10,I168),1)*IF(Upgrades!$T$11="Stellar Coupling",POWER(Upgrades!$U$11,J168),1)*IF(Upgrades!$T$12="Stellar Coupling",POWER(Upgrades!$U$12,K168),1))+(IF(H168=0,0,(Upgrades!$J$9+H168*Upgrades!$K$9)*POWER(Upgrades!$L$9,H168)))*(IF(Upgrades!$T$6="Magnetosphere",POWER(Upgrades!$U$6,E168),1)*IF(Upgrades!$T$7="Magnetosphere",POWER(Upgrades!$U$7,F168),1)*IF(Upgrades!$T$8="Magnetosphere",POWER(Upgrades!$U$8,G168),1)*IF(Upgrades!$T$10="Magnetosphere",POWER(Upgrades!$U$10,I168),1)*IF(Upgrades!$T$11="Magnetosphere",POWER(Upgrades!$U$11,J168),1)*IF(Upgrades!$T$12="Magnetosphere",POWER(Upgrades!$U$12,K168),1))+(IF(I168=0,0,(Upgrades!$J$10+I168*Upgrades!$K$10)*POWER(Upgrades!$L$10,I168)))*(IF(Upgrades!$T$6="Orbital Resonance",POWER(Upgrades!$U$6,E168),1)*IF(Upgrades!$T$7="Orbital Resonance",POWER(Upgrades!$U$7,F168),1)*IF(Upgrades!$T$8="Orbital Resonance",POWER(Upgrades!$U$8,G168),1)*IF(Upgrades!$T$9="Orbital Resonance",POWER(Upgrades!$U$9,H168),1)*IF(Upgrades!$T$11="Orbital Resonance",POWER(Upgrades!$U$11,J168),1)*IF(Upgrades!$T$12="Orbital Resonance",POWER(Upgrades!$U$12,K168),1))+(IF(J168=0,0,(Upgrades!$J$11+J168*Upgrades!$K$11)*POWER(Upgrades!$L$11,J168)))*(IF(Upgrades!$T$6="Heliopause",POWER(Upgrades!$U$6,E168),1)*IF(Upgrades!$T$7="Heliopause",POWER(Upgrades!$U$7,F168),1)*IF(Upgrades!$T$8="Heliopause",POWER(Upgrades!$U$8,G168),1)*IF(Upgrades!$T$9="Heliopause",POWER(Upgrades!$U$9,H168),1)*IF(Upgrades!$T$10="Heliopause",POWER(Upgrades!$U$10,I168),1)*IF(Upgrades!$T$12="Heliopause",POWER(Upgrades!$U$12,K168),1))+(IF(K168=0,0,(Upgrades!$J$12+K168*Upgrades!$K$12)*POWER(Upgrades!$L$12,K168)))*(IF(Upgrades!$T$6="First Photons",POWER(Upgrades!$U$6,E168),1)*IF(Upgrades!$T$7="First Photons",POWER(Upgrades!$U$7,F168),1)*IF(Upgrades!$T$8="First Photons",POWER(Upgrades!$U$8,G168),1)*IF(Upgrades!$T$9="First Photons",POWER(Upgrades!$U$9,H168),1)*IF(Upgrades!$T$10="First Photons",POWER(Upgrades!$U$10,I168),1)*IF(Upgrades!$T$11="First Photons",POWER(Upgrades!$U$11,J168),1)))*POWER(Upgrades!$Q$6,E168)*POWER(Upgrades!$Q$7,F168)*POWER(Upgrades!$Q$8,G168)*POWER(Upgrades!$Q$9,H168)*POWER(Upgrades!$Q$10,I168)*POWER(Upgrades!$Q$11,J168)*POWER(Upgrades!$Q$12,K168)</f>
        <v>5.61</v>
      </c>
      <c r="N168" s="28" t="n">
        <f aca="false">((IF(E168=0,0,(Upgrades!$G$6+E168*Upgrades!$H$6)*POWER(Upgrades!$I$6,E168)))*(IF(Upgrades!$T$7="Solar Wind",POWER(Upgrades!$U$7,F168),1)*IF(Upgrades!$T$8="Solar Wind",POWER(Upgrades!$U$8,G168),1)*IF(Upgrades!$T$9="Solar Wind",POWER(Upgrades!$U$9,H168),1)*IF(Upgrades!$T$10="Solar Wind",POWER(Upgrades!$U$10,I168),1)*IF(Upgrades!$T$11="Solar Wind",POWER(Upgrades!$U$11,J168),1)*IF(Upgrades!$T$12="Solar Wind",POWER(Upgrades!$U$12,K168),1))+(IF(F168=0,0,(Upgrades!$G$7+F168*Upgrades!$H$7)*POWER(Upgrades!$I$7,F168)))*(IF(Upgrades!$T$6="Asteroid Belt",POWER(Upgrades!$U$6,E168),1)*IF(Upgrades!$T$8="Asteroid Belt",POWER(Upgrades!$U$8,G168),1)*IF(Upgrades!$T$9="Asteroid Belt",POWER(Upgrades!$U$9,H168),1)*IF(Upgrades!$T$10="Asteroid Belt",POWER(Upgrades!$U$10,I168),1)*IF(Upgrades!$T$11="Asteroid Belt",POWER(Upgrades!$U$11,J168),1)*IF(Upgrades!$T$12="Asteroid Belt",POWER(Upgrades!$U$12,K168),1))+(IF(G168=0,0,(Upgrades!$G$8+G168*Upgrades!$H$8)*POWER(Upgrades!$I$8,G168)))*(IF(Upgrades!$T$6="Stellar Coupling",POWER(Upgrades!$U$6,E168),1)*IF(Upgrades!$T$7="Stellar Coupling",POWER(Upgrades!$U$7,F168),1)*IF(Upgrades!$T$9="Stellar Coupling",POWER(Upgrades!$U$9,H168),1)*IF(Upgrades!$T$10="Stellar Coupling",POWER(Upgrades!$U$10,I168),1)*IF(Upgrades!$T$11="Stellar Coupling",POWER(Upgrades!$U$11,J168),1)*IF(Upgrades!$T$12="Stellar Coupling",POWER(Upgrades!$U$12,K168),1))+(IF(H168=0,0,(Upgrades!$G$9+H168*Upgrades!$H$9)*POWER(Upgrades!$I$9,H168)))*(IF(Upgrades!$T$6="Magnetosphere",POWER(Upgrades!$U$6,E168),1)*IF(Upgrades!$T$7="Magnetosphere",POWER(Upgrades!$U$7,F168),1)*IF(Upgrades!$T$8="Magnetosphere",POWER(Upgrades!$U$8,G168),1)*IF(Upgrades!$T$10="Magnetosphere",POWER(Upgrades!$U$10,I168),1)*IF(Upgrades!$T$11="Magnetosphere",POWER(Upgrades!$U$11,J168),1)*IF(Upgrades!$T$12="Magnetosphere",POWER(Upgrades!$U$12,K168),1))+(IF(I168=0,0,(Upgrades!$G$10+I168*Upgrades!$H$10)*POWER(Upgrades!$I$10,I168)))*(IF(Upgrades!$T$6="Orbital Resonance",POWER(Upgrades!$U$6,E168),1)*IF(Upgrades!$T$7="Orbital Resonance",POWER(Upgrades!$U$7,F168),1)*IF(Upgrades!$T$8="Orbital Resonance",POWER(Upgrades!$U$8,G168),1)*IF(Upgrades!$T$9="Orbital Resonance",POWER(Upgrades!$U$9,H168),1)*IF(Upgrades!$T$11="Orbital Resonance",POWER(Upgrades!$U$11,J168),1)*IF(Upgrades!$T$12="Orbital Resonance",POWER(Upgrades!$U$12,K168),1))+(IF(J168=0,0,(Upgrades!$G$11+J168*Upgrades!$H$11)*POWER(Upgrades!$I$11,J168)))*(IF(Upgrades!$T$6="Heliopause",POWER(Upgrades!$U$6,E168),1)*IF(Upgrades!$T$7="Heliopause",POWER(Upgrades!$U$7,F168),1)*IF(Upgrades!$T$8="Heliopause",POWER(Upgrades!$U$8,G168),1)*IF(Upgrades!$T$9="Heliopause",POWER(Upgrades!$U$9,H168),1)*IF(Upgrades!$T$10="Heliopause",POWER(Upgrades!$U$10,I168),1)*IF(Upgrades!$T$12="Heliopause",POWER(Upgrades!$U$12,K168),1))+(IF(K168=0,0,(Upgrades!$G$12+K168*Upgrades!$H$12)*POWER(Upgrades!$I$12,K168)))*(IF(Upgrades!$T$6="First Photons",POWER(Upgrades!$U$6,E168),1)*IF(Upgrades!$T$7="First Photons",POWER(Upgrades!$U$7,F168),1)*IF(Upgrades!$T$8="First Photons",POWER(Upgrades!$U$8,G168),1)*IF(Upgrades!$T$9="First Photons",POWER(Upgrades!$U$9,H168),1)*IF(Upgrades!$T$10="First Photons",POWER(Upgrades!$U$10,I168),1)*IF(Upgrades!$T$11="First Photons",POWER(Upgrades!$U$11,J168),1)))*POWER(Upgrades!$P$6,E168)*POWER(Upgrades!$P$7,F168)*POWER(Upgrades!$P$8,G168)*POWER(Upgrades!$P$9,H168)*POWER(Upgrades!$P$10,I168)*POWER(Upgrades!$P$11,J168)*POWER(Upgrades!$P$12,K168)</f>
        <v>11.2</v>
      </c>
      <c r="O168" s="28" t="n">
        <f aca="false">((IF(E168=0,0,(Upgrades!$M$6+E168*Upgrades!$N$6)*POWER(Upgrades!$O$6,E168)))*(IF(Upgrades!$T$7="Solar Wind",POWER(Upgrades!$U$7,F168),1)*IF(Upgrades!$T$8="Solar Wind",POWER(Upgrades!$U$8,G168),1)*IF(Upgrades!$T$9="Solar Wind",POWER(Upgrades!$U$9,H168),1)*IF(Upgrades!$T$10="Solar Wind",POWER(Upgrades!$U$10,I168),1)*IF(Upgrades!$T$11="Solar Wind",POWER(Upgrades!$U$11,J168),1)*IF(Upgrades!$T$12="Solar Wind",POWER(Upgrades!$U$12,K168),1))+(IF(F168=0,0,(Upgrades!$M$7+F168*Upgrades!$N$7)*POWER(Upgrades!$O$7,F168)))*(IF(Upgrades!$T$6="Asteroid Belt",POWER(Upgrades!$U$6,E168),1)*IF(Upgrades!$T$8="Asteroid Belt",POWER(Upgrades!$U$8,G168),1)*IF(Upgrades!$T$9="Asteroid Belt",POWER(Upgrades!$U$9,H168),1)*IF(Upgrades!$T$10="Asteroid Belt",POWER(Upgrades!$U$10,I168),1)*IF(Upgrades!$T$11="Asteroid Belt",POWER(Upgrades!$U$11,J168),1)*IF(Upgrades!$T$12="Asteroid Belt",POWER(Upgrades!$U$12,K168),1))+(IF(G168=0,0,(Upgrades!$M$8+G168*Upgrades!$N$8)*POWER(Upgrades!$O$8,G168)))*(IF(Upgrades!$T$6="Stellar Coupling",POWER(Upgrades!$U$6,E168),1)*IF(Upgrades!$T$7="Stellar Coupling",POWER(Upgrades!$U$7,F168),1)*IF(Upgrades!$T$9="Stellar Coupling",POWER(Upgrades!$U$9,H168),1)*IF(Upgrades!$T$10="Stellar Coupling",POWER(Upgrades!$U$10,I168),1)*IF(Upgrades!$T$11="Stellar Coupling",POWER(Upgrades!$U$11,J168),1)*IF(Upgrades!$T$12="Stellar Coupling",POWER(Upgrades!$U$12,K168),1))+(IF(H168=0,0,(Upgrades!$M$9+H168*Upgrades!$N$9)*POWER(Upgrades!$O$9,H168)))*(IF(Upgrades!$T$6="Magnetosphere",POWER(Upgrades!$U$6,E168),1)*IF(Upgrades!$T$7="Magnetosphere",POWER(Upgrades!$U$7,F168),1)*IF(Upgrades!$T$8="Magnetosphere",POWER(Upgrades!$U$8,G168),1)*IF(Upgrades!$T$10="Magnetosphere",POWER(Upgrades!$U$10,I168),1)*IF(Upgrades!$T$11="Magnetosphere",POWER(Upgrades!$U$11,J168),1)*IF(Upgrades!$T$12="Magnetosphere",POWER(Upgrades!$U$12,K168),1))+(IF(I168=0,0,(Upgrades!$M$10+I168*Upgrades!$N$10)*POWER(Upgrades!$O$10,I168)))*(IF(Upgrades!$T$6="Orbital Resonance",POWER(Upgrades!$U$6,E168),1)*IF(Upgrades!$T$7="Orbital Resonance",POWER(Upgrades!$U$7,F168),1)*IF(Upgrades!$T$8="Orbital Resonance",POWER(Upgrades!$U$8,G168),1)*IF(Upgrades!$T$9="Orbital Resonance",POWER(Upgrades!$U$9,H168),1)*IF(Upgrades!$T$11="Orbital Resonance",POWER(Upgrades!$U$11,J168),1)*IF(Upgrades!$T$12="Orbital Resonance",POWER(Upgrades!$U$12,K168),1))+(IF(J168=0,0,(Upgrades!$M$11+J168*Upgrades!$N$11)*POWER(Upgrades!$O$11,J168)))*(IF(Upgrades!$T$6="Heliopause",POWER(Upgrades!$U$6,E168),1)*IF(Upgrades!$T$7="Heliopause",POWER(Upgrades!$U$7,F168),1)*IF(Upgrades!$T$8="Heliopause",POWER(Upgrades!$U$8,G168),1)*IF(Upgrades!$T$9="Heliopause",POWER(Upgrades!$U$9,H168),1)*IF(Upgrades!$T$10="Heliopause",POWER(Upgrades!$U$10,I168),1)*IF(Upgrades!$T$12="Heliopause",POWER(Upgrades!$U$12,K168),1))+(IF(K168=0,0,(Upgrades!$M$12+K168*Upgrades!$N$12)*POWER(Upgrades!$O$12,K168)))*(IF(Upgrades!$T$6="First Photons",POWER(Upgrades!$U$6,E168),1)*IF(Upgrades!$T$7="First Photons",POWER(Upgrades!$U$7,F168),1)*IF(Upgrades!$T$8="First Photons",POWER(Upgrades!$U$8,G168),1)*IF(Upgrades!$T$9="First Photons",POWER(Upgrades!$U$9,H168),1)*IF(Upgrades!$T$10="First Photons",POWER(Upgrades!$U$10,I168),1)*IF(Upgrades!$T$11="First Photons",POWER(Upgrades!$U$11,J168),1)))*POWER(Upgrades!$R$6,E168)*POWER(Upgrades!$R$7,F168)*POWER(Upgrades!$R$8,G168)*POWER(Upgrades!$R$9,H168)*POWER(Upgrades!$R$10,I168)*POWER(Upgrades!$R$11,J168)*POWER(Upgrades!$R$12,K168)</f>
        <v>0</v>
      </c>
      <c r="P168" s="27" t="n">
        <f aca="false">IF(L168=1,0,M168*Parameters!$B$10/60*Parameters!$B$11*10)</f>
        <v>0</v>
      </c>
      <c r="Q168" s="27" t="n">
        <f aca="false">IF(L168=1,0,O168*M168*10)</f>
        <v>0</v>
      </c>
      <c r="R168" s="27" t="n">
        <f aca="false">IF(L168=1,0,N168*10)</f>
        <v>0</v>
      </c>
      <c r="S168" s="27" t="n">
        <f aca="false">P168+Q168+R168</f>
        <v>0</v>
      </c>
      <c r="T168" s="21" t="n">
        <f aca="false">C168+S168</f>
        <v>18.6730249835055</v>
      </c>
      <c r="U168" s="34" t="str">
        <f aca="false">AX168</f>
        <v/>
      </c>
      <c r="V168" s="21" t="n">
        <f aca="false">IF(U168="",0,IF(U168="transition",0,IF(U168="SW",AG168,IF(U168="AB",AH168,IF(U168="SC",AI168,IF(U168="Mag",AJ168,IF(U168="OR",AK168,IF(U168="HP",AL168,IF(U168="FP",AM168,0)))))))))</f>
        <v>0</v>
      </c>
      <c r="W168" s="27" t="n">
        <f aca="false">IF(U168="OR",Upgrades!$F$10,IF(U168="HP",Upgrades!$F$11,IF(U168="transition",-Parameters!$B$18,0)))</f>
        <v>0</v>
      </c>
      <c r="X168" s="21" t="n">
        <f aca="false">T168-V168</f>
        <v>18.6730249835055</v>
      </c>
      <c r="Y168" s="30" t="n">
        <f aca="false">M168*Parameters!$B$10/60*Parameters!$B$11+O168*M168+N168</f>
        <v>20.55</v>
      </c>
      <c r="Z168" s="35" t="str">
        <f aca="false">IF(U168="transition","→ Tier 2 (Stellar Neighborhood)",IF(U168="FP","First Photons — light begins, system quickens",IF(U168="HP","Heliopause acquired",IF(U168="OR","Orbital Resonance — passive multiplier active",IF(AND(AO168=1,L168=0,AN168&lt;&gt;1),"Cohesion ready (waiting on completionist upgrades)","")))))</f>
        <v/>
      </c>
      <c r="AA168" s="27" t="n">
        <f aca="false">(IF(E168=0,0,(Upgrades!$G$6+E168*Upgrades!$H$6)*POWER(Upgrades!$I$6,E168)))*(IF(Upgrades!$T$7="Solar Wind",POWER(Upgrades!$U$7,F168),1)*IF(Upgrades!$T$8="Solar Wind",POWER(Upgrades!$U$8,G168),1)*IF(Upgrades!$T$9="Solar Wind",POWER(Upgrades!$U$9,H168),1)*IF(Upgrades!$T$10="Solar Wind",POWER(Upgrades!$U$10,I168),1)*IF(Upgrades!$T$11="Solar Wind",POWER(Upgrades!$U$11,J168),1)*IF(Upgrades!$T$12="Solar Wind",POWER(Upgrades!$U$12,K168),1))*POWER(Upgrades!$P$6,E168)*POWER(Upgrades!$P$7,F168)*POWER(Upgrades!$P$8,G168)*POWER(Upgrades!$P$9,H168)*POWER(Upgrades!$P$10,I168)*POWER(Upgrades!$P$11,J168)*POWER(Upgrades!$P$12,K168)*60</f>
        <v>72</v>
      </c>
      <c r="AB168" s="27" t="n">
        <f aca="false">(IF(F168=0,0,(Upgrades!$G$7+F168*Upgrades!$H$7)*POWER(Upgrades!$I$7,F168)))*(IF(Upgrades!$T$6="Asteroid Belt",POWER(Upgrades!$U$6,E168),1)*IF(Upgrades!$T$8="Asteroid Belt",POWER(Upgrades!$U$8,G168),1)*IF(Upgrades!$T$9="Asteroid Belt",POWER(Upgrades!$U$9,H168),1)*IF(Upgrades!$T$10="Asteroid Belt",POWER(Upgrades!$U$10,I168),1)*IF(Upgrades!$T$11="Asteroid Belt",POWER(Upgrades!$U$11,J168),1)*IF(Upgrades!$T$12="Asteroid Belt",POWER(Upgrades!$U$12,K168),1))*POWER(Upgrades!$P$6,E168)*POWER(Upgrades!$P$7,F168)*POWER(Upgrades!$P$8,G168)*POWER(Upgrades!$P$9,H168)*POWER(Upgrades!$P$10,I168)*POWER(Upgrades!$P$11,J168)*POWER(Upgrades!$P$12,K168)*60</f>
        <v>150</v>
      </c>
      <c r="AC168" s="27" t="n">
        <f aca="false">(IF(G168=0,0,(Upgrades!$J$8+G168*Upgrades!$K$8)*POWER(Upgrades!$L$8,G168)))*(IF(Upgrades!$T$6="Stellar Coupling",POWER(Upgrades!$U$6,E168),1)*IF(Upgrades!$T$7="Stellar Coupling",POWER(Upgrades!$U$7,F168),1)*IF(Upgrades!$T$9="Stellar Coupling",POWER(Upgrades!$U$9,H168),1)*IF(Upgrades!$T$10="Stellar Coupling",POWER(Upgrades!$U$10,I168),1)*IF(Upgrades!$T$11="Stellar Coupling",POWER(Upgrades!$U$11,J168),1)*IF(Upgrades!$T$12="Stellar Coupling",POWER(Upgrades!$U$12,K168),1))*POWER(Upgrades!$Q$6,E168)*POWER(Upgrades!$Q$7,F168)*POWER(Upgrades!$Q$8,G168)*POWER(Upgrades!$Q$9,H168)*POWER(Upgrades!$Q$10,I168)*POWER(Upgrades!$Q$11,J168)*POWER(Upgrades!$Q$12,K168)*Parameters!$B$10*Parameters!$B$11</f>
        <v>441</v>
      </c>
      <c r="AD168" s="27" t="n">
        <f aca="false">(IF(H168=0,0,(Upgrades!$G$9+H168*Upgrades!$H$9)*POWER(Upgrades!$I$9,H168)))*(IF(Upgrades!$T$6="Magnetosphere",POWER(Upgrades!$U$6,E168),1)*IF(Upgrades!$T$7="Magnetosphere",POWER(Upgrades!$U$7,F168),1)*IF(Upgrades!$T$8="Magnetosphere",POWER(Upgrades!$U$8,G168),1)*IF(Upgrades!$T$10="Magnetosphere",POWER(Upgrades!$U$10,I168),1)*IF(Upgrades!$T$11="Magnetosphere",POWER(Upgrades!$U$11,J168),1)*IF(Upgrades!$T$12="Magnetosphere",POWER(Upgrades!$U$12,K168),1))*POWER(Upgrades!$P$6,E168)*POWER(Upgrades!$P$7,F168)*POWER(Upgrades!$P$8,G168)*POWER(Upgrades!$P$9,H168)*POWER(Upgrades!$P$10,I168)*POWER(Upgrades!$P$11,J168)*POWER(Upgrades!$P$12,K168)*60</f>
        <v>375</v>
      </c>
      <c r="AE168" s="27" t="n">
        <f aca="false">(IF(K168=0,0,(Upgrades!$G$12+K168*Upgrades!$H$12)*POWER(Upgrades!$I$12,K168)))*(IF(Upgrades!$T$6="First Photons",POWER(Upgrades!$U$6,E168),1)*IF(Upgrades!$T$7="First Photons",POWER(Upgrades!$U$7,F168),1)*IF(Upgrades!$T$8="First Photons",POWER(Upgrades!$U$8,G168),1)*IF(Upgrades!$T$9="First Photons",POWER(Upgrades!$U$9,H168),1)*IF(Upgrades!$T$10="First Photons",POWER(Upgrades!$U$10,I168),1)*IF(Upgrades!$T$11="First Photons",POWER(Upgrades!$U$11,J168),1))*POWER(Upgrades!$P$6,E168)*POWER(Upgrades!$P$7,F168)*POWER(Upgrades!$P$8,G168)*POWER(Upgrades!$P$9,H168)*POWER(Upgrades!$P$10,I168)*POWER(Upgrades!$P$11,J168)*POWER(Upgrades!$P$12,K168)*60</f>
        <v>75</v>
      </c>
      <c r="AF168" s="27" t="n">
        <f aca="false">Parameters!$B$9*POWER(Upgrades!$Q$6,E168)*POWER(Upgrades!$Q$7,F168)*POWER(Upgrades!$Q$8,G168)*POWER(Upgrades!$Q$9,H168)*POWER(Upgrades!$Q$10,I168)*POWER(Upgrades!$Q$11,J168)*POWER(Upgrades!$Q$12,K168)*(Parameters!$B$10*Parameters!$B$11+O168*60)</f>
        <v>120</v>
      </c>
      <c r="AG168" s="21" t="n">
        <f aca="false">IF(E168&gt;=Upgrades!$E$6,"",Upgrades!$C$6*POWER(Upgrades!$D$6,E168))</f>
        <v>37.4517507383159</v>
      </c>
      <c r="AH168" s="21" t="n">
        <f aca="false">IF(F168&gt;=Upgrades!$E$7,"",Upgrades!$C$7*POWER(Upgrades!$D$7,F168))</f>
        <v>80.9111547141581</v>
      </c>
      <c r="AI168" s="21" t="n">
        <f aca="false">IF(G168&gt;=Upgrades!$E$8,"",Upgrades!$C$8*POWER(Upgrades!$D$8,G168))</f>
        <v>231.9097088</v>
      </c>
      <c r="AJ168" s="21" t="str">
        <f aca="false">IF(H168&gt;=Upgrades!$E$9,"",Upgrades!$C$9*POWER(Upgrades!$D$9,H168))</f>
        <v/>
      </c>
      <c r="AK168" s="21" t="str">
        <f aca="false">IF(I168&gt;=Upgrades!$E$10,"",Upgrades!$C$10*POWER(Upgrades!$D$10,I168))</f>
        <v/>
      </c>
      <c r="AL168" s="21" t="str">
        <f aca="false">IF(J168&gt;=Upgrades!$E$11,"",Upgrades!$C$11*POWER(Upgrades!$D$11,J168))</f>
        <v/>
      </c>
      <c r="AM168" s="21" t="str">
        <f aca="false">IF(K168&gt;=Upgrades!$E$12,"",Upgrades!$C$12*POWER(Upgrades!$D$12,K168))</f>
        <v/>
      </c>
      <c r="AN168" s="26" t="str">
        <f aca="false">IF(AND(D168&gt;=Parameters!$B$18,(H168&gt;=Upgrades!$E$9)*(K168&gt;=Upgrades!$E$12)=1,L168=0),1,"")</f>
        <v/>
      </c>
      <c r="AO168" s="26" t="str">
        <f aca="false">IF(AND(D168&gt;=Parameters!$B$18,L168=0),1,"")</f>
        <v/>
      </c>
      <c r="AP168" s="21" t="n">
        <f aca="false">MIN(IF(ISNUMBER(AK168),AK168,9000000000000000),IF(ISNUMBER(AL168),AL168,9000000000000000),IF(ISNUMBER(AM168),AM168,9000000000000000))</f>
        <v>9000000000000000</v>
      </c>
      <c r="AQ168" s="21" t="n">
        <f aca="false">MIN(IF(ISNUMBER(AG168),AG168,9000000000000000),IF(ISNUMBER(AH168),AH168,9000000000000000),IF(ISNUMBER(AI168),AI168,9000000000000000),IF(ISNUMBER(AJ168),AJ168,9000000000000000))</f>
        <v>37.4517507383159</v>
      </c>
      <c r="AR168" s="32" t="b">
        <f aca="false">IF(AW168&gt;Parameters!$B$21*(MAX(IF(AND(NOT(AND(AO168=1,AN168&lt;&gt;1)),ISNUMBER(AG168),AG168&lt;=T168),AS168,0),IF(AND(NOT(AND(AO168=1,AN168&lt;&gt;1)),ISNUMBER(AH168),AH168&lt;=T168),AT168,0),IF(AND(NOT(AND(AO168=1,AN168&lt;&gt;1)),ISNUMBER(AI168),AI168&lt;=T168),AU168,0),IF(AND(ISNUMBER(AJ168),AJ168&lt;=T168),AV168,0))),TRUE(),FALSE())</f>
        <v>1</v>
      </c>
      <c r="AS168" s="33" t="n">
        <f aca="false">IFERROR(Upgrades!$H$6*(POWER(Upgrades!$P$6,E168)*POWER(Upgrades!$P$7,F168)*POWER(Upgrades!$P$8,G168)*POWER(Upgrades!$P$9,H168)*POWER(Upgrades!$P$10,I168)*POWER(Upgrades!$P$11,J168)*POWER(Upgrades!$P$12,K168))*(IF(Upgrades!$T$7="Solar Wind",POWER(Upgrades!$U$7,F168),1)*IF(Upgrades!$T$8="Solar Wind",POWER(Upgrades!$U$8,G168),1)*IF(Upgrades!$T$9="Solar Wind",POWER(Upgrades!$U$9,H168),1)*IF(Upgrades!$T$10="Solar Wind",POWER(Upgrades!$U$10,I168),1)*IF(Upgrades!$T$11="Solar Wind",POWER(Upgrades!$U$11,J168),1)*IF(Upgrades!$T$12="Solar Wind",POWER(Upgrades!$U$12,K168),1))/AG168,0)</f>
        <v>0.0026701021455238</v>
      </c>
      <c r="AT168" s="33" t="n">
        <f aca="false">IFERROR(Upgrades!$H$7*(POWER(Upgrades!$P$6,E168)*POWER(Upgrades!$P$7,F168)*POWER(Upgrades!$P$8,G168)*POWER(Upgrades!$P$9,H168)*POWER(Upgrades!$P$10,I168)*POWER(Upgrades!$P$11,J168)*POWER(Upgrades!$P$12,K168))*(IF(Upgrades!$T$6="Asteroid Belt",POWER(Upgrades!$U$6,E168),1)*IF(Upgrades!$T$8="Asteroid Belt",POWER(Upgrades!$U$8,G168),1)*IF(Upgrades!$T$9="Asteroid Belt",POWER(Upgrades!$U$9,H168),1)*IF(Upgrades!$T$10="Asteroid Belt",POWER(Upgrades!$U$10,I168),1)*IF(Upgrades!$T$11="Asteroid Belt",POWER(Upgrades!$U$11,J168),1)*IF(Upgrades!$T$12="Asteroid Belt",POWER(Upgrades!$U$12,K168),1))/AH168,0)</f>
        <v>0.00308980882652332</v>
      </c>
      <c r="AU168" s="33" t="n">
        <f aca="false">IFERROR(Upgrades!$K$8*(POWER(Upgrades!$Q$6,E168)*POWER(Upgrades!$Q$7,F168)*POWER(Upgrades!$Q$8,G168)*POWER(Upgrades!$Q$9,H168)*POWER(Upgrades!$Q$10,I168)*POWER(Upgrades!$Q$11,J168)*POWER(Upgrades!$Q$12,K168))*(IF(Upgrades!$T$6="Stellar Coupling",POWER(Upgrades!$U$6,E168),1)*IF(Upgrades!$T$7="Stellar Coupling",POWER(Upgrades!$U$7,F168),1)*IF(Upgrades!$T$9="Stellar Coupling",POWER(Upgrades!$U$9,H168),1)*IF(Upgrades!$T$10="Stellar Coupling",POWER(Upgrades!$U$10,I168),1)*IF(Upgrades!$T$11="Stellar Coupling",POWER(Upgrades!$U$11,J168),1)*IF(Upgrades!$T$12="Stellar Coupling",POWER(Upgrades!$U$12,K168),1))*Parameters!$B$10*Parameters!$B$11/60/AI168,0)</f>
        <v>0.00452762415783776</v>
      </c>
      <c r="AV168" s="33" t="n">
        <f aca="false">IFERROR(Upgrades!$H$9*(POWER(Upgrades!$P$6,E168)*POWER(Upgrades!$P$7,F168)*POWER(Upgrades!$P$8,G168)*POWER(Upgrades!$P$9,H168)*POWER(Upgrades!$P$10,I168)*POWER(Upgrades!$P$11,J168)*POWER(Upgrades!$P$12,K168))*(IF(Upgrades!$T$6="Magnetosphere",POWER(Upgrades!$U$6,E168),1)*IF(Upgrades!$T$7="Magnetosphere",POWER(Upgrades!$U$7,F168),1)*IF(Upgrades!$T$8="Magnetosphere",POWER(Upgrades!$U$8,G168),1)*IF(Upgrades!$T$10="Magnetosphere",POWER(Upgrades!$U$10,I168),1)*IF(Upgrades!$T$11="Magnetosphere",POWER(Upgrades!$U$11,J168),1)*IF(Upgrades!$T$12="Magnetosphere",POWER(Upgrades!$U$12,K168),1))/AJ168,0)</f>
        <v>0</v>
      </c>
      <c r="AW168" s="33" t="n">
        <f aca="false">MAX(IF(I168&gt;0,0,IFERROR(0.25*N168/Upgrades!$C$10,0)),IF(J168&gt;0,0,IFERROR(0.5*((IF(G168=0,0,(Upgrades!$J$8+G168*Upgrades!$K$8)*POWER(Upgrades!$L$8,G168)))*(IF(Upgrades!$T$6="Stellar Coupling",POWER(Upgrades!$U$6,E168),1)*IF(Upgrades!$T$7="Stellar Coupling",POWER(Upgrades!$U$7,F168),1)*IF(Upgrades!$T$9="Stellar Coupling",POWER(Upgrades!$U$9,H168),1)*IF(Upgrades!$T$10="Stellar Coupling",POWER(Upgrades!$U$10,I168),1)*IF(Upgrades!$T$11="Stellar Coupling",POWER(Upgrades!$U$11,J168),1)*IF(Upgrades!$T$12="Stellar Coupling",POWER(Upgrades!$U$12,K168),1))*(POWER(Upgrades!$Q$6,E168)*POWER(Upgrades!$Q$7,F168)*POWER(Upgrades!$Q$8,G168)*POWER(Upgrades!$Q$9,H168)*POWER(Upgrades!$Q$10,I168)*POWER(Upgrades!$Q$11,J168)*POWER(Upgrades!$Q$12,K168))*Parameters!$B$10*Parameters!$B$11/60)/Upgrades!$C$11,0)),IF(K168&gt;0,0,IFERROR((1*(POWER(Upgrades!$P$6,E168)*POWER(Upgrades!$P$7,F168)*POWER(Upgrades!$P$8,G168)*POWER(Upgrades!$P$9,H168)*POWER(Upgrades!$P$10,I168)*POWER(Upgrades!$P$11,J168)*POWER(Upgrades!$P$12,K168))+0.2*M168*Parameters!$B$10*Parameters!$B$11/60)/Upgrades!$C$12,0)),IF(AND(ISNUMBER(AG168),AG168&gt;T168),AS168,0),IF(AND(ISNUMBER(AH168),AH168&gt;T168),AT168,0),IF(AND(ISNUMBER(AI168),AI168&gt;T168),AU168,0),IF(AND(ISNUMBER(AJ168),AJ168&gt;T168),AV168,0))</f>
        <v>0.00452762415783776</v>
      </c>
      <c r="AX168" s="29" t="str">
        <f aca="false">IF(AN168=1,"transition",IF(MIN(IF(AND(I168=0,ISNUMBER(AK168),AK168&lt;=T168),AK168,9000000000000000),IF(AND(J168=0,ISNUMBER(AL168),AL168&lt;=T168),AL168,9000000000000000),IF(AND(K168=0,ISNUMBER(AM168),AM168&lt;=T168),AM168,9000000000000000))&lt;9000000000000000,IF(AND(AND(I168=0,ISNUMBER(AK168),AK168&lt;=T168),AK168=MIN(IF(AND(I168=0,ISNUMBER(AK168),AK168&lt;=T168),AK168,9000000000000000),IF(AND(J168=0,ISNUMBER(AL168),AL168&lt;=T168),AL168,9000000000000000),IF(AND(K168=0,ISNUMBER(AM168),AM168&lt;=T168),AM168,9000000000000000))),"OR",IF(AND(AND(J168=0,ISNUMBER(AL168),AL168&lt;=T168),AL168=MIN(IF(AND(I168=0,ISNUMBER(AK168),AK168&lt;=T168),AK168,9000000000000000),IF(AND(J168=0,ISNUMBER(AL168),AL168&lt;=T168),AL168,9000000000000000),IF(AND(K168=0,ISNUMBER(AM168),AM168&lt;=T168),AM168,9000000000000000))),"HP","FP")),IF(AR168=TRUE(),"",IF(MAX(IF(AND(NOT(AND(AO168=1,AN168&lt;&gt;1)),ISNUMBER(AG168),AG168&lt;=T168),AS168,0),IF(AND(NOT(AND(AO168=1,AN168&lt;&gt;1)),ISNUMBER(AH168),AH168&lt;=T168),AT168,0),IF(AND(NOT(AND(AO168=1,AN168&lt;&gt;1)),ISNUMBER(AI168),AI168&lt;=T168),AU168,0),IF(AND(ISNUMBER(AJ168),AJ168&lt;=T168),AV168,0))&lt;=0,"",IF(AND(IF(AND(NOT(AND(AO168=1,AN168&lt;&gt;1)),ISNUMBER(AG168),AG168&lt;=T168),AS168,0)&gt;0,IF(AND(NOT(AND(AO168=1,AN168&lt;&gt;1)),ISNUMBER(AG168),AG168&lt;=T168),AS168,0)=MAX(IF(AND(NOT(AND(AO168=1,AN168&lt;&gt;1)),ISNUMBER(AG168),AG168&lt;=T168),AS168,0),IF(AND(NOT(AND(AO168=1,AN168&lt;&gt;1)),ISNUMBER(AH168),AH168&lt;=T168),AT168,0),IF(AND(NOT(AND(AO168=1,AN168&lt;&gt;1)),ISNUMBER(AI168),AI168&lt;=T168),AU168,0),IF(AND(ISNUMBER(AJ168),AJ168&lt;=T168),AV168,0))),"SW",IF(AND(IF(AND(NOT(AND(AO168=1,AN168&lt;&gt;1)),ISNUMBER(AH168),AH168&lt;=T168),AT168,0)&gt;0,IF(AND(NOT(AND(AO168=1,AN168&lt;&gt;1)),ISNUMBER(AH168),AH168&lt;=T168),AT168,0)=MAX(IF(AND(NOT(AND(AO168=1,AN168&lt;&gt;1)),ISNUMBER(AG168),AG168&lt;=T168),AS168,0),IF(AND(NOT(AND(AO168=1,AN168&lt;&gt;1)),ISNUMBER(AH168),AH168&lt;=T168),AT168,0),IF(AND(NOT(AND(AO168=1,AN168&lt;&gt;1)),ISNUMBER(AI168),AI168&lt;=T168),AU168,0),IF(AND(ISNUMBER(AJ168),AJ168&lt;=T168),AV168,0))),"AB",IF(AND(IF(AND(NOT(AND(AO168=1,AN168&lt;&gt;1)),ISNUMBER(AI168),AI168&lt;=T168),AU168,0)&gt;0,IF(AND(NOT(AND(AO168=1,AN168&lt;&gt;1)),ISNUMBER(AI168),AI168&lt;=T168),AU168,0)=MAX(IF(AND(NOT(AND(AO168=1,AN168&lt;&gt;1)),ISNUMBER(AG168),AG168&lt;=T168),AS168,0),IF(AND(NOT(AND(AO168=1,AN168&lt;&gt;1)),ISNUMBER(AH168),AH168&lt;=T168),AT168,0),IF(AND(NOT(AND(AO168=1,AN168&lt;&gt;1)),ISNUMBER(AI168),AI168&lt;=T168),AU168,0),IF(AND(ISNUMBER(AJ168),AJ168&lt;=T168),AV168,0))),"SC","Mag")))))))</f>
        <v/>
      </c>
    </row>
    <row r="169" customFormat="false" ht="15" hidden="false" customHeight="false" outlineLevel="0" collapsed="false">
      <c r="A169" s="26" t="n">
        <v>164</v>
      </c>
      <c r="B169" s="27" t="n">
        <f aca="false">A169*10/60</f>
        <v>27.3333333333333</v>
      </c>
      <c r="C169" s="21" t="n">
        <f aca="false">X168</f>
        <v>18.6730249835055</v>
      </c>
      <c r="D169" s="27" t="n">
        <f aca="false">D168+W168</f>
        <v>0</v>
      </c>
      <c r="E169" s="26" t="n">
        <f aca="false">E168+IF(U168="SW",1,0)</f>
        <v>12</v>
      </c>
      <c r="F169" s="26" t="n">
        <f aca="false">F168+IF(U168="AB",1,0)</f>
        <v>10</v>
      </c>
      <c r="G169" s="26" t="n">
        <f aca="false">G168+IF(U168="SC",1,0)</f>
        <v>7</v>
      </c>
      <c r="H169" s="26" t="n">
        <f aca="false">H168+IF(U168="Mag",1,0)</f>
        <v>5</v>
      </c>
      <c r="I169" s="26" t="n">
        <f aca="false">MAX(I168,IF(U168="OR",1,0))</f>
        <v>1</v>
      </c>
      <c r="J169" s="26" t="n">
        <f aca="false">MAX(J168,IF(U168="HP",1,0))</f>
        <v>1</v>
      </c>
      <c r="K169" s="26" t="n">
        <f aca="false">MAX(K168,IF(U168="FP",1,0))</f>
        <v>1</v>
      </c>
      <c r="L169" s="26" t="n">
        <f aca="false">MAX(L168,IF(U168="transition",1,0))</f>
        <v>1</v>
      </c>
      <c r="M169" s="28" t="n">
        <f aca="false">(Parameters!$B$9+(IF(E169=0,0,(Upgrades!$J$6+E169*Upgrades!$K$6)*POWER(Upgrades!$L$6,E169)))*(IF(Upgrades!$T$7="Solar Wind",POWER(Upgrades!$U$7,F169),1)*IF(Upgrades!$T$8="Solar Wind",POWER(Upgrades!$U$8,G169),1)*IF(Upgrades!$T$9="Solar Wind",POWER(Upgrades!$U$9,H169),1)*IF(Upgrades!$T$10="Solar Wind",POWER(Upgrades!$U$10,I169),1)*IF(Upgrades!$T$11="Solar Wind",POWER(Upgrades!$U$11,J169),1)*IF(Upgrades!$T$12="Solar Wind",POWER(Upgrades!$U$12,K169),1))+(IF(F169=0,0,(Upgrades!$J$7+F169*Upgrades!$K$7)*POWER(Upgrades!$L$7,F169)))*(IF(Upgrades!$T$6="Asteroid Belt",POWER(Upgrades!$U$6,E169),1)*IF(Upgrades!$T$8="Asteroid Belt",POWER(Upgrades!$U$8,G169),1)*IF(Upgrades!$T$9="Asteroid Belt",POWER(Upgrades!$U$9,H169),1)*IF(Upgrades!$T$10="Asteroid Belt",POWER(Upgrades!$U$10,I169),1)*IF(Upgrades!$T$11="Asteroid Belt",POWER(Upgrades!$U$11,J169),1)*IF(Upgrades!$T$12="Asteroid Belt",POWER(Upgrades!$U$12,K169),1))+(IF(G169=0,0,(Upgrades!$J$8+G169*Upgrades!$K$8)*POWER(Upgrades!$L$8,G169)))*(IF(Upgrades!$T$6="Stellar Coupling",POWER(Upgrades!$U$6,E169),1)*IF(Upgrades!$T$7="Stellar Coupling",POWER(Upgrades!$U$7,F169),1)*IF(Upgrades!$T$9="Stellar Coupling",POWER(Upgrades!$U$9,H169),1)*IF(Upgrades!$T$10="Stellar Coupling",POWER(Upgrades!$U$10,I169),1)*IF(Upgrades!$T$11="Stellar Coupling",POWER(Upgrades!$U$11,J169),1)*IF(Upgrades!$T$12="Stellar Coupling",POWER(Upgrades!$U$12,K169),1))+(IF(H169=0,0,(Upgrades!$J$9+H169*Upgrades!$K$9)*POWER(Upgrades!$L$9,H169)))*(IF(Upgrades!$T$6="Magnetosphere",POWER(Upgrades!$U$6,E169),1)*IF(Upgrades!$T$7="Magnetosphere",POWER(Upgrades!$U$7,F169),1)*IF(Upgrades!$T$8="Magnetosphere",POWER(Upgrades!$U$8,G169),1)*IF(Upgrades!$T$10="Magnetosphere",POWER(Upgrades!$U$10,I169),1)*IF(Upgrades!$T$11="Magnetosphere",POWER(Upgrades!$U$11,J169),1)*IF(Upgrades!$T$12="Magnetosphere",POWER(Upgrades!$U$12,K169),1))+(IF(I169=0,0,(Upgrades!$J$10+I169*Upgrades!$K$10)*POWER(Upgrades!$L$10,I169)))*(IF(Upgrades!$T$6="Orbital Resonance",POWER(Upgrades!$U$6,E169),1)*IF(Upgrades!$T$7="Orbital Resonance",POWER(Upgrades!$U$7,F169),1)*IF(Upgrades!$T$8="Orbital Resonance",POWER(Upgrades!$U$8,G169),1)*IF(Upgrades!$T$9="Orbital Resonance",POWER(Upgrades!$U$9,H169),1)*IF(Upgrades!$T$11="Orbital Resonance",POWER(Upgrades!$U$11,J169),1)*IF(Upgrades!$T$12="Orbital Resonance",POWER(Upgrades!$U$12,K169),1))+(IF(J169=0,0,(Upgrades!$J$11+J169*Upgrades!$K$11)*POWER(Upgrades!$L$11,J169)))*(IF(Upgrades!$T$6="Heliopause",POWER(Upgrades!$U$6,E169),1)*IF(Upgrades!$T$7="Heliopause",POWER(Upgrades!$U$7,F169),1)*IF(Upgrades!$T$8="Heliopause",POWER(Upgrades!$U$8,G169),1)*IF(Upgrades!$T$9="Heliopause",POWER(Upgrades!$U$9,H169),1)*IF(Upgrades!$T$10="Heliopause",POWER(Upgrades!$U$10,I169),1)*IF(Upgrades!$T$12="Heliopause",POWER(Upgrades!$U$12,K169),1))+(IF(K169=0,0,(Upgrades!$J$12+K169*Upgrades!$K$12)*POWER(Upgrades!$L$12,K169)))*(IF(Upgrades!$T$6="First Photons",POWER(Upgrades!$U$6,E169),1)*IF(Upgrades!$T$7="First Photons",POWER(Upgrades!$U$7,F169),1)*IF(Upgrades!$T$8="First Photons",POWER(Upgrades!$U$8,G169),1)*IF(Upgrades!$T$9="First Photons",POWER(Upgrades!$U$9,H169),1)*IF(Upgrades!$T$10="First Photons",POWER(Upgrades!$U$10,I169),1)*IF(Upgrades!$T$11="First Photons",POWER(Upgrades!$U$11,J169),1)))*POWER(Upgrades!$Q$6,E169)*POWER(Upgrades!$Q$7,F169)*POWER(Upgrades!$Q$8,G169)*POWER(Upgrades!$Q$9,H169)*POWER(Upgrades!$Q$10,I169)*POWER(Upgrades!$Q$11,J169)*POWER(Upgrades!$Q$12,K169)</f>
        <v>5.61</v>
      </c>
      <c r="N169" s="28" t="n">
        <f aca="false">((IF(E169=0,0,(Upgrades!$G$6+E169*Upgrades!$H$6)*POWER(Upgrades!$I$6,E169)))*(IF(Upgrades!$T$7="Solar Wind",POWER(Upgrades!$U$7,F169),1)*IF(Upgrades!$T$8="Solar Wind",POWER(Upgrades!$U$8,G169),1)*IF(Upgrades!$T$9="Solar Wind",POWER(Upgrades!$U$9,H169),1)*IF(Upgrades!$T$10="Solar Wind",POWER(Upgrades!$U$10,I169),1)*IF(Upgrades!$T$11="Solar Wind",POWER(Upgrades!$U$11,J169),1)*IF(Upgrades!$T$12="Solar Wind",POWER(Upgrades!$U$12,K169),1))+(IF(F169=0,0,(Upgrades!$G$7+F169*Upgrades!$H$7)*POWER(Upgrades!$I$7,F169)))*(IF(Upgrades!$T$6="Asteroid Belt",POWER(Upgrades!$U$6,E169),1)*IF(Upgrades!$T$8="Asteroid Belt",POWER(Upgrades!$U$8,G169),1)*IF(Upgrades!$T$9="Asteroid Belt",POWER(Upgrades!$U$9,H169),1)*IF(Upgrades!$T$10="Asteroid Belt",POWER(Upgrades!$U$10,I169),1)*IF(Upgrades!$T$11="Asteroid Belt",POWER(Upgrades!$U$11,J169),1)*IF(Upgrades!$T$12="Asteroid Belt",POWER(Upgrades!$U$12,K169),1))+(IF(G169=0,0,(Upgrades!$G$8+G169*Upgrades!$H$8)*POWER(Upgrades!$I$8,G169)))*(IF(Upgrades!$T$6="Stellar Coupling",POWER(Upgrades!$U$6,E169),1)*IF(Upgrades!$T$7="Stellar Coupling",POWER(Upgrades!$U$7,F169),1)*IF(Upgrades!$T$9="Stellar Coupling",POWER(Upgrades!$U$9,H169),1)*IF(Upgrades!$T$10="Stellar Coupling",POWER(Upgrades!$U$10,I169),1)*IF(Upgrades!$T$11="Stellar Coupling",POWER(Upgrades!$U$11,J169),1)*IF(Upgrades!$T$12="Stellar Coupling",POWER(Upgrades!$U$12,K169),1))+(IF(H169=0,0,(Upgrades!$G$9+H169*Upgrades!$H$9)*POWER(Upgrades!$I$9,H169)))*(IF(Upgrades!$T$6="Magnetosphere",POWER(Upgrades!$U$6,E169),1)*IF(Upgrades!$T$7="Magnetosphere",POWER(Upgrades!$U$7,F169),1)*IF(Upgrades!$T$8="Magnetosphere",POWER(Upgrades!$U$8,G169),1)*IF(Upgrades!$T$10="Magnetosphere",POWER(Upgrades!$U$10,I169),1)*IF(Upgrades!$T$11="Magnetosphere",POWER(Upgrades!$U$11,J169),1)*IF(Upgrades!$T$12="Magnetosphere",POWER(Upgrades!$U$12,K169),1))+(IF(I169=0,0,(Upgrades!$G$10+I169*Upgrades!$H$10)*POWER(Upgrades!$I$10,I169)))*(IF(Upgrades!$T$6="Orbital Resonance",POWER(Upgrades!$U$6,E169),1)*IF(Upgrades!$T$7="Orbital Resonance",POWER(Upgrades!$U$7,F169),1)*IF(Upgrades!$T$8="Orbital Resonance",POWER(Upgrades!$U$8,G169),1)*IF(Upgrades!$T$9="Orbital Resonance",POWER(Upgrades!$U$9,H169),1)*IF(Upgrades!$T$11="Orbital Resonance",POWER(Upgrades!$U$11,J169),1)*IF(Upgrades!$T$12="Orbital Resonance",POWER(Upgrades!$U$12,K169),1))+(IF(J169=0,0,(Upgrades!$G$11+J169*Upgrades!$H$11)*POWER(Upgrades!$I$11,J169)))*(IF(Upgrades!$T$6="Heliopause",POWER(Upgrades!$U$6,E169),1)*IF(Upgrades!$T$7="Heliopause",POWER(Upgrades!$U$7,F169),1)*IF(Upgrades!$T$8="Heliopause",POWER(Upgrades!$U$8,G169),1)*IF(Upgrades!$T$9="Heliopause",POWER(Upgrades!$U$9,H169),1)*IF(Upgrades!$T$10="Heliopause",POWER(Upgrades!$U$10,I169),1)*IF(Upgrades!$T$12="Heliopause",POWER(Upgrades!$U$12,K169),1))+(IF(K169=0,0,(Upgrades!$G$12+K169*Upgrades!$H$12)*POWER(Upgrades!$I$12,K169)))*(IF(Upgrades!$T$6="First Photons",POWER(Upgrades!$U$6,E169),1)*IF(Upgrades!$T$7="First Photons",POWER(Upgrades!$U$7,F169),1)*IF(Upgrades!$T$8="First Photons",POWER(Upgrades!$U$8,G169),1)*IF(Upgrades!$T$9="First Photons",POWER(Upgrades!$U$9,H169),1)*IF(Upgrades!$T$10="First Photons",POWER(Upgrades!$U$10,I169),1)*IF(Upgrades!$T$11="First Photons",POWER(Upgrades!$U$11,J169),1)))*POWER(Upgrades!$P$6,E169)*POWER(Upgrades!$P$7,F169)*POWER(Upgrades!$P$8,G169)*POWER(Upgrades!$P$9,H169)*POWER(Upgrades!$P$10,I169)*POWER(Upgrades!$P$11,J169)*POWER(Upgrades!$P$12,K169)</f>
        <v>11.2</v>
      </c>
      <c r="O169" s="28" t="n">
        <f aca="false">((IF(E169=0,0,(Upgrades!$M$6+E169*Upgrades!$N$6)*POWER(Upgrades!$O$6,E169)))*(IF(Upgrades!$T$7="Solar Wind",POWER(Upgrades!$U$7,F169),1)*IF(Upgrades!$T$8="Solar Wind",POWER(Upgrades!$U$8,G169),1)*IF(Upgrades!$T$9="Solar Wind",POWER(Upgrades!$U$9,H169),1)*IF(Upgrades!$T$10="Solar Wind",POWER(Upgrades!$U$10,I169),1)*IF(Upgrades!$T$11="Solar Wind",POWER(Upgrades!$U$11,J169),1)*IF(Upgrades!$T$12="Solar Wind",POWER(Upgrades!$U$12,K169),1))+(IF(F169=0,0,(Upgrades!$M$7+F169*Upgrades!$N$7)*POWER(Upgrades!$O$7,F169)))*(IF(Upgrades!$T$6="Asteroid Belt",POWER(Upgrades!$U$6,E169),1)*IF(Upgrades!$T$8="Asteroid Belt",POWER(Upgrades!$U$8,G169),1)*IF(Upgrades!$T$9="Asteroid Belt",POWER(Upgrades!$U$9,H169),1)*IF(Upgrades!$T$10="Asteroid Belt",POWER(Upgrades!$U$10,I169),1)*IF(Upgrades!$T$11="Asteroid Belt",POWER(Upgrades!$U$11,J169),1)*IF(Upgrades!$T$12="Asteroid Belt",POWER(Upgrades!$U$12,K169),1))+(IF(G169=0,0,(Upgrades!$M$8+G169*Upgrades!$N$8)*POWER(Upgrades!$O$8,G169)))*(IF(Upgrades!$T$6="Stellar Coupling",POWER(Upgrades!$U$6,E169),1)*IF(Upgrades!$T$7="Stellar Coupling",POWER(Upgrades!$U$7,F169),1)*IF(Upgrades!$T$9="Stellar Coupling",POWER(Upgrades!$U$9,H169),1)*IF(Upgrades!$T$10="Stellar Coupling",POWER(Upgrades!$U$10,I169),1)*IF(Upgrades!$T$11="Stellar Coupling",POWER(Upgrades!$U$11,J169),1)*IF(Upgrades!$T$12="Stellar Coupling",POWER(Upgrades!$U$12,K169),1))+(IF(H169=0,0,(Upgrades!$M$9+H169*Upgrades!$N$9)*POWER(Upgrades!$O$9,H169)))*(IF(Upgrades!$T$6="Magnetosphere",POWER(Upgrades!$U$6,E169),1)*IF(Upgrades!$T$7="Magnetosphere",POWER(Upgrades!$U$7,F169),1)*IF(Upgrades!$T$8="Magnetosphere",POWER(Upgrades!$U$8,G169),1)*IF(Upgrades!$T$10="Magnetosphere",POWER(Upgrades!$U$10,I169),1)*IF(Upgrades!$T$11="Magnetosphere",POWER(Upgrades!$U$11,J169),1)*IF(Upgrades!$T$12="Magnetosphere",POWER(Upgrades!$U$12,K169),1))+(IF(I169=0,0,(Upgrades!$M$10+I169*Upgrades!$N$10)*POWER(Upgrades!$O$10,I169)))*(IF(Upgrades!$T$6="Orbital Resonance",POWER(Upgrades!$U$6,E169),1)*IF(Upgrades!$T$7="Orbital Resonance",POWER(Upgrades!$U$7,F169),1)*IF(Upgrades!$T$8="Orbital Resonance",POWER(Upgrades!$U$8,G169),1)*IF(Upgrades!$T$9="Orbital Resonance",POWER(Upgrades!$U$9,H169),1)*IF(Upgrades!$T$11="Orbital Resonance",POWER(Upgrades!$U$11,J169),1)*IF(Upgrades!$T$12="Orbital Resonance",POWER(Upgrades!$U$12,K169),1))+(IF(J169=0,0,(Upgrades!$M$11+J169*Upgrades!$N$11)*POWER(Upgrades!$O$11,J169)))*(IF(Upgrades!$T$6="Heliopause",POWER(Upgrades!$U$6,E169),1)*IF(Upgrades!$T$7="Heliopause",POWER(Upgrades!$U$7,F169),1)*IF(Upgrades!$T$8="Heliopause",POWER(Upgrades!$U$8,G169),1)*IF(Upgrades!$T$9="Heliopause",POWER(Upgrades!$U$9,H169),1)*IF(Upgrades!$T$10="Heliopause",POWER(Upgrades!$U$10,I169),1)*IF(Upgrades!$T$12="Heliopause",POWER(Upgrades!$U$12,K169),1))+(IF(K169=0,0,(Upgrades!$M$12+K169*Upgrades!$N$12)*POWER(Upgrades!$O$12,K169)))*(IF(Upgrades!$T$6="First Photons",POWER(Upgrades!$U$6,E169),1)*IF(Upgrades!$T$7="First Photons",POWER(Upgrades!$U$7,F169),1)*IF(Upgrades!$T$8="First Photons",POWER(Upgrades!$U$8,G169),1)*IF(Upgrades!$T$9="First Photons",POWER(Upgrades!$U$9,H169),1)*IF(Upgrades!$T$10="First Photons",POWER(Upgrades!$U$10,I169),1)*IF(Upgrades!$T$11="First Photons",POWER(Upgrades!$U$11,J169),1)))*POWER(Upgrades!$R$6,E169)*POWER(Upgrades!$R$7,F169)*POWER(Upgrades!$R$8,G169)*POWER(Upgrades!$R$9,H169)*POWER(Upgrades!$R$10,I169)*POWER(Upgrades!$R$11,J169)*POWER(Upgrades!$R$12,K169)</f>
        <v>0</v>
      </c>
      <c r="P169" s="27" t="n">
        <f aca="false">IF(L169=1,0,M169*Parameters!$B$10/60*Parameters!$B$11*10)</f>
        <v>0</v>
      </c>
      <c r="Q169" s="27" t="n">
        <f aca="false">IF(L169=1,0,O169*M169*10)</f>
        <v>0</v>
      </c>
      <c r="R169" s="27" t="n">
        <f aca="false">IF(L169=1,0,N169*10)</f>
        <v>0</v>
      </c>
      <c r="S169" s="27" t="n">
        <f aca="false">P169+Q169+R169</f>
        <v>0</v>
      </c>
      <c r="T169" s="21" t="n">
        <f aca="false">C169+S169</f>
        <v>18.6730249835055</v>
      </c>
      <c r="U169" s="34" t="str">
        <f aca="false">AX169</f>
        <v/>
      </c>
      <c r="V169" s="21" t="n">
        <f aca="false">IF(U169="",0,IF(U169="transition",0,IF(U169="SW",AG169,IF(U169="AB",AH169,IF(U169="SC",AI169,IF(U169="Mag",AJ169,IF(U169="OR",AK169,IF(U169="HP",AL169,IF(U169="FP",AM169,0)))))))))</f>
        <v>0</v>
      </c>
      <c r="W169" s="27" t="n">
        <f aca="false">IF(U169="OR",Upgrades!$F$10,IF(U169="HP",Upgrades!$F$11,IF(U169="transition",-Parameters!$B$18,0)))</f>
        <v>0</v>
      </c>
      <c r="X169" s="21" t="n">
        <f aca="false">T169-V169</f>
        <v>18.6730249835055</v>
      </c>
      <c r="Y169" s="30" t="n">
        <f aca="false">M169*Parameters!$B$10/60*Parameters!$B$11+O169*M169+N169</f>
        <v>20.55</v>
      </c>
      <c r="Z169" s="35" t="str">
        <f aca="false">IF(U169="transition","→ Tier 2 (Stellar Neighborhood)",IF(U169="FP","First Photons — light begins, system quickens",IF(U169="HP","Heliopause acquired",IF(U169="OR","Orbital Resonance — passive multiplier active",IF(AND(AO169=1,L169=0,AN169&lt;&gt;1),"Cohesion ready (waiting on completionist upgrades)","")))))</f>
        <v/>
      </c>
      <c r="AA169" s="27" t="n">
        <f aca="false">(IF(E169=0,0,(Upgrades!$G$6+E169*Upgrades!$H$6)*POWER(Upgrades!$I$6,E169)))*(IF(Upgrades!$T$7="Solar Wind",POWER(Upgrades!$U$7,F169),1)*IF(Upgrades!$T$8="Solar Wind",POWER(Upgrades!$U$8,G169),1)*IF(Upgrades!$T$9="Solar Wind",POWER(Upgrades!$U$9,H169),1)*IF(Upgrades!$T$10="Solar Wind",POWER(Upgrades!$U$10,I169),1)*IF(Upgrades!$T$11="Solar Wind",POWER(Upgrades!$U$11,J169),1)*IF(Upgrades!$T$12="Solar Wind",POWER(Upgrades!$U$12,K169),1))*POWER(Upgrades!$P$6,E169)*POWER(Upgrades!$P$7,F169)*POWER(Upgrades!$P$8,G169)*POWER(Upgrades!$P$9,H169)*POWER(Upgrades!$P$10,I169)*POWER(Upgrades!$P$11,J169)*POWER(Upgrades!$P$12,K169)*60</f>
        <v>72</v>
      </c>
      <c r="AB169" s="27" t="n">
        <f aca="false">(IF(F169=0,0,(Upgrades!$G$7+F169*Upgrades!$H$7)*POWER(Upgrades!$I$7,F169)))*(IF(Upgrades!$T$6="Asteroid Belt",POWER(Upgrades!$U$6,E169),1)*IF(Upgrades!$T$8="Asteroid Belt",POWER(Upgrades!$U$8,G169),1)*IF(Upgrades!$T$9="Asteroid Belt",POWER(Upgrades!$U$9,H169),1)*IF(Upgrades!$T$10="Asteroid Belt",POWER(Upgrades!$U$10,I169),1)*IF(Upgrades!$T$11="Asteroid Belt",POWER(Upgrades!$U$11,J169),1)*IF(Upgrades!$T$12="Asteroid Belt",POWER(Upgrades!$U$12,K169),1))*POWER(Upgrades!$P$6,E169)*POWER(Upgrades!$P$7,F169)*POWER(Upgrades!$P$8,G169)*POWER(Upgrades!$P$9,H169)*POWER(Upgrades!$P$10,I169)*POWER(Upgrades!$P$11,J169)*POWER(Upgrades!$P$12,K169)*60</f>
        <v>150</v>
      </c>
      <c r="AC169" s="27" t="n">
        <f aca="false">(IF(G169=0,0,(Upgrades!$J$8+G169*Upgrades!$K$8)*POWER(Upgrades!$L$8,G169)))*(IF(Upgrades!$T$6="Stellar Coupling",POWER(Upgrades!$U$6,E169),1)*IF(Upgrades!$T$7="Stellar Coupling",POWER(Upgrades!$U$7,F169),1)*IF(Upgrades!$T$9="Stellar Coupling",POWER(Upgrades!$U$9,H169),1)*IF(Upgrades!$T$10="Stellar Coupling",POWER(Upgrades!$U$10,I169),1)*IF(Upgrades!$T$11="Stellar Coupling",POWER(Upgrades!$U$11,J169),1)*IF(Upgrades!$T$12="Stellar Coupling",POWER(Upgrades!$U$12,K169),1))*POWER(Upgrades!$Q$6,E169)*POWER(Upgrades!$Q$7,F169)*POWER(Upgrades!$Q$8,G169)*POWER(Upgrades!$Q$9,H169)*POWER(Upgrades!$Q$10,I169)*POWER(Upgrades!$Q$11,J169)*POWER(Upgrades!$Q$12,K169)*Parameters!$B$10*Parameters!$B$11</f>
        <v>441</v>
      </c>
      <c r="AD169" s="27" t="n">
        <f aca="false">(IF(H169=0,0,(Upgrades!$G$9+H169*Upgrades!$H$9)*POWER(Upgrades!$I$9,H169)))*(IF(Upgrades!$T$6="Magnetosphere",POWER(Upgrades!$U$6,E169),1)*IF(Upgrades!$T$7="Magnetosphere",POWER(Upgrades!$U$7,F169),1)*IF(Upgrades!$T$8="Magnetosphere",POWER(Upgrades!$U$8,G169),1)*IF(Upgrades!$T$10="Magnetosphere",POWER(Upgrades!$U$10,I169),1)*IF(Upgrades!$T$11="Magnetosphere",POWER(Upgrades!$U$11,J169),1)*IF(Upgrades!$T$12="Magnetosphere",POWER(Upgrades!$U$12,K169),1))*POWER(Upgrades!$P$6,E169)*POWER(Upgrades!$P$7,F169)*POWER(Upgrades!$P$8,G169)*POWER(Upgrades!$P$9,H169)*POWER(Upgrades!$P$10,I169)*POWER(Upgrades!$P$11,J169)*POWER(Upgrades!$P$12,K169)*60</f>
        <v>375</v>
      </c>
      <c r="AE169" s="27" t="n">
        <f aca="false">(IF(K169=0,0,(Upgrades!$G$12+K169*Upgrades!$H$12)*POWER(Upgrades!$I$12,K169)))*(IF(Upgrades!$T$6="First Photons",POWER(Upgrades!$U$6,E169),1)*IF(Upgrades!$T$7="First Photons",POWER(Upgrades!$U$7,F169),1)*IF(Upgrades!$T$8="First Photons",POWER(Upgrades!$U$8,G169),1)*IF(Upgrades!$T$9="First Photons",POWER(Upgrades!$U$9,H169),1)*IF(Upgrades!$T$10="First Photons",POWER(Upgrades!$U$10,I169),1)*IF(Upgrades!$T$11="First Photons",POWER(Upgrades!$U$11,J169),1))*POWER(Upgrades!$P$6,E169)*POWER(Upgrades!$P$7,F169)*POWER(Upgrades!$P$8,G169)*POWER(Upgrades!$P$9,H169)*POWER(Upgrades!$P$10,I169)*POWER(Upgrades!$P$11,J169)*POWER(Upgrades!$P$12,K169)*60</f>
        <v>75</v>
      </c>
      <c r="AF169" s="27" t="n">
        <f aca="false">Parameters!$B$9*POWER(Upgrades!$Q$6,E169)*POWER(Upgrades!$Q$7,F169)*POWER(Upgrades!$Q$8,G169)*POWER(Upgrades!$Q$9,H169)*POWER(Upgrades!$Q$10,I169)*POWER(Upgrades!$Q$11,J169)*POWER(Upgrades!$Q$12,K169)*(Parameters!$B$10*Parameters!$B$11+O169*60)</f>
        <v>120</v>
      </c>
      <c r="AG169" s="21" t="n">
        <f aca="false">IF(E169&gt;=Upgrades!$E$6,"",Upgrades!$C$6*POWER(Upgrades!$D$6,E169))</f>
        <v>37.4517507383159</v>
      </c>
      <c r="AH169" s="21" t="n">
        <f aca="false">IF(F169&gt;=Upgrades!$E$7,"",Upgrades!$C$7*POWER(Upgrades!$D$7,F169))</f>
        <v>80.9111547141581</v>
      </c>
      <c r="AI169" s="21" t="n">
        <f aca="false">IF(G169&gt;=Upgrades!$E$8,"",Upgrades!$C$8*POWER(Upgrades!$D$8,G169))</f>
        <v>231.9097088</v>
      </c>
      <c r="AJ169" s="21" t="str">
        <f aca="false">IF(H169&gt;=Upgrades!$E$9,"",Upgrades!$C$9*POWER(Upgrades!$D$9,H169))</f>
        <v/>
      </c>
      <c r="AK169" s="21" t="str">
        <f aca="false">IF(I169&gt;=Upgrades!$E$10,"",Upgrades!$C$10*POWER(Upgrades!$D$10,I169))</f>
        <v/>
      </c>
      <c r="AL169" s="21" t="str">
        <f aca="false">IF(J169&gt;=Upgrades!$E$11,"",Upgrades!$C$11*POWER(Upgrades!$D$11,J169))</f>
        <v/>
      </c>
      <c r="AM169" s="21" t="str">
        <f aca="false">IF(K169&gt;=Upgrades!$E$12,"",Upgrades!$C$12*POWER(Upgrades!$D$12,K169))</f>
        <v/>
      </c>
      <c r="AN169" s="26" t="str">
        <f aca="false">IF(AND(D169&gt;=Parameters!$B$18,(H169&gt;=Upgrades!$E$9)*(K169&gt;=Upgrades!$E$12)=1,L169=0),1,"")</f>
        <v/>
      </c>
      <c r="AO169" s="26" t="str">
        <f aca="false">IF(AND(D169&gt;=Parameters!$B$18,L169=0),1,"")</f>
        <v/>
      </c>
      <c r="AP169" s="21" t="n">
        <f aca="false">MIN(IF(ISNUMBER(AK169),AK169,9000000000000000),IF(ISNUMBER(AL169),AL169,9000000000000000),IF(ISNUMBER(AM169),AM169,9000000000000000))</f>
        <v>9000000000000000</v>
      </c>
      <c r="AQ169" s="21" t="n">
        <f aca="false">MIN(IF(ISNUMBER(AG169),AG169,9000000000000000),IF(ISNUMBER(AH169),AH169,9000000000000000),IF(ISNUMBER(AI169),AI169,9000000000000000),IF(ISNUMBER(AJ169),AJ169,9000000000000000))</f>
        <v>37.4517507383159</v>
      </c>
      <c r="AR169" s="32" t="b">
        <f aca="false">IF(AW169&gt;Parameters!$B$21*(MAX(IF(AND(NOT(AND(AO169=1,AN169&lt;&gt;1)),ISNUMBER(AG169),AG169&lt;=T169),AS169,0),IF(AND(NOT(AND(AO169=1,AN169&lt;&gt;1)),ISNUMBER(AH169),AH169&lt;=T169),AT169,0),IF(AND(NOT(AND(AO169=1,AN169&lt;&gt;1)),ISNUMBER(AI169),AI169&lt;=T169),AU169,0),IF(AND(ISNUMBER(AJ169),AJ169&lt;=T169),AV169,0))),TRUE(),FALSE())</f>
        <v>1</v>
      </c>
      <c r="AS169" s="33" t="n">
        <f aca="false">IFERROR(Upgrades!$H$6*(POWER(Upgrades!$P$6,E169)*POWER(Upgrades!$P$7,F169)*POWER(Upgrades!$P$8,G169)*POWER(Upgrades!$P$9,H169)*POWER(Upgrades!$P$10,I169)*POWER(Upgrades!$P$11,J169)*POWER(Upgrades!$P$12,K169))*(IF(Upgrades!$T$7="Solar Wind",POWER(Upgrades!$U$7,F169),1)*IF(Upgrades!$T$8="Solar Wind",POWER(Upgrades!$U$8,G169),1)*IF(Upgrades!$T$9="Solar Wind",POWER(Upgrades!$U$9,H169),1)*IF(Upgrades!$T$10="Solar Wind",POWER(Upgrades!$U$10,I169),1)*IF(Upgrades!$T$11="Solar Wind",POWER(Upgrades!$U$11,J169),1)*IF(Upgrades!$T$12="Solar Wind",POWER(Upgrades!$U$12,K169),1))/AG169,0)</f>
        <v>0.0026701021455238</v>
      </c>
      <c r="AT169" s="33" t="n">
        <f aca="false">IFERROR(Upgrades!$H$7*(POWER(Upgrades!$P$6,E169)*POWER(Upgrades!$P$7,F169)*POWER(Upgrades!$P$8,G169)*POWER(Upgrades!$P$9,H169)*POWER(Upgrades!$P$10,I169)*POWER(Upgrades!$P$11,J169)*POWER(Upgrades!$P$12,K169))*(IF(Upgrades!$T$6="Asteroid Belt",POWER(Upgrades!$U$6,E169),1)*IF(Upgrades!$T$8="Asteroid Belt",POWER(Upgrades!$U$8,G169),1)*IF(Upgrades!$T$9="Asteroid Belt",POWER(Upgrades!$U$9,H169),1)*IF(Upgrades!$T$10="Asteroid Belt",POWER(Upgrades!$U$10,I169),1)*IF(Upgrades!$T$11="Asteroid Belt",POWER(Upgrades!$U$11,J169),1)*IF(Upgrades!$T$12="Asteroid Belt",POWER(Upgrades!$U$12,K169),1))/AH169,0)</f>
        <v>0.00308980882652332</v>
      </c>
      <c r="AU169" s="33" t="n">
        <f aca="false">IFERROR(Upgrades!$K$8*(POWER(Upgrades!$Q$6,E169)*POWER(Upgrades!$Q$7,F169)*POWER(Upgrades!$Q$8,G169)*POWER(Upgrades!$Q$9,H169)*POWER(Upgrades!$Q$10,I169)*POWER(Upgrades!$Q$11,J169)*POWER(Upgrades!$Q$12,K169))*(IF(Upgrades!$T$6="Stellar Coupling",POWER(Upgrades!$U$6,E169),1)*IF(Upgrades!$T$7="Stellar Coupling",POWER(Upgrades!$U$7,F169),1)*IF(Upgrades!$T$9="Stellar Coupling",POWER(Upgrades!$U$9,H169),1)*IF(Upgrades!$T$10="Stellar Coupling",POWER(Upgrades!$U$10,I169),1)*IF(Upgrades!$T$11="Stellar Coupling",POWER(Upgrades!$U$11,J169),1)*IF(Upgrades!$T$12="Stellar Coupling",POWER(Upgrades!$U$12,K169),1))*Parameters!$B$10*Parameters!$B$11/60/AI169,0)</f>
        <v>0.00452762415783776</v>
      </c>
      <c r="AV169" s="33" t="n">
        <f aca="false">IFERROR(Upgrades!$H$9*(POWER(Upgrades!$P$6,E169)*POWER(Upgrades!$P$7,F169)*POWER(Upgrades!$P$8,G169)*POWER(Upgrades!$P$9,H169)*POWER(Upgrades!$P$10,I169)*POWER(Upgrades!$P$11,J169)*POWER(Upgrades!$P$12,K169))*(IF(Upgrades!$T$6="Magnetosphere",POWER(Upgrades!$U$6,E169),1)*IF(Upgrades!$T$7="Magnetosphere",POWER(Upgrades!$U$7,F169),1)*IF(Upgrades!$T$8="Magnetosphere",POWER(Upgrades!$U$8,G169),1)*IF(Upgrades!$T$10="Magnetosphere",POWER(Upgrades!$U$10,I169),1)*IF(Upgrades!$T$11="Magnetosphere",POWER(Upgrades!$U$11,J169),1)*IF(Upgrades!$T$12="Magnetosphere",POWER(Upgrades!$U$12,K169),1))/AJ169,0)</f>
        <v>0</v>
      </c>
      <c r="AW169" s="33" t="n">
        <f aca="false">MAX(IF(I169&gt;0,0,IFERROR(0.25*N169/Upgrades!$C$10,0)),IF(J169&gt;0,0,IFERROR(0.5*((IF(G169=0,0,(Upgrades!$J$8+G169*Upgrades!$K$8)*POWER(Upgrades!$L$8,G169)))*(IF(Upgrades!$T$6="Stellar Coupling",POWER(Upgrades!$U$6,E169),1)*IF(Upgrades!$T$7="Stellar Coupling",POWER(Upgrades!$U$7,F169),1)*IF(Upgrades!$T$9="Stellar Coupling",POWER(Upgrades!$U$9,H169),1)*IF(Upgrades!$T$10="Stellar Coupling",POWER(Upgrades!$U$10,I169),1)*IF(Upgrades!$T$11="Stellar Coupling",POWER(Upgrades!$U$11,J169),1)*IF(Upgrades!$T$12="Stellar Coupling",POWER(Upgrades!$U$12,K169),1))*(POWER(Upgrades!$Q$6,E169)*POWER(Upgrades!$Q$7,F169)*POWER(Upgrades!$Q$8,G169)*POWER(Upgrades!$Q$9,H169)*POWER(Upgrades!$Q$10,I169)*POWER(Upgrades!$Q$11,J169)*POWER(Upgrades!$Q$12,K169))*Parameters!$B$10*Parameters!$B$11/60)/Upgrades!$C$11,0)),IF(K169&gt;0,0,IFERROR((1*(POWER(Upgrades!$P$6,E169)*POWER(Upgrades!$P$7,F169)*POWER(Upgrades!$P$8,G169)*POWER(Upgrades!$P$9,H169)*POWER(Upgrades!$P$10,I169)*POWER(Upgrades!$P$11,J169)*POWER(Upgrades!$P$12,K169))+0.2*M169*Parameters!$B$10*Parameters!$B$11/60)/Upgrades!$C$12,0)),IF(AND(ISNUMBER(AG169),AG169&gt;T169),AS169,0),IF(AND(ISNUMBER(AH169),AH169&gt;T169),AT169,0),IF(AND(ISNUMBER(AI169),AI169&gt;T169),AU169,0),IF(AND(ISNUMBER(AJ169),AJ169&gt;T169),AV169,0))</f>
        <v>0.00452762415783776</v>
      </c>
      <c r="AX169" s="29" t="str">
        <f aca="false">IF(AN169=1,"transition",IF(MIN(IF(AND(I169=0,ISNUMBER(AK169),AK169&lt;=T169),AK169,9000000000000000),IF(AND(J169=0,ISNUMBER(AL169),AL169&lt;=T169),AL169,9000000000000000),IF(AND(K169=0,ISNUMBER(AM169),AM169&lt;=T169),AM169,9000000000000000))&lt;9000000000000000,IF(AND(AND(I169=0,ISNUMBER(AK169),AK169&lt;=T169),AK169=MIN(IF(AND(I169=0,ISNUMBER(AK169),AK169&lt;=T169),AK169,9000000000000000),IF(AND(J169=0,ISNUMBER(AL169),AL169&lt;=T169),AL169,9000000000000000),IF(AND(K169=0,ISNUMBER(AM169),AM169&lt;=T169),AM169,9000000000000000))),"OR",IF(AND(AND(J169=0,ISNUMBER(AL169),AL169&lt;=T169),AL169=MIN(IF(AND(I169=0,ISNUMBER(AK169),AK169&lt;=T169),AK169,9000000000000000),IF(AND(J169=0,ISNUMBER(AL169),AL169&lt;=T169),AL169,9000000000000000),IF(AND(K169=0,ISNUMBER(AM169),AM169&lt;=T169),AM169,9000000000000000))),"HP","FP")),IF(AR169=TRUE(),"",IF(MAX(IF(AND(NOT(AND(AO169=1,AN169&lt;&gt;1)),ISNUMBER(AG169),AG169&lt;=T169),AS169,0),IF(AND(NOT(AND(AO169=1,AN169&lt;&gt;1)),ISNUMBER(AH169),AH169&lt;=T169),AT169,0),IF(AND(NOT(AND(AO169=1,AN169&lt;&gt;1)),ISNUMBER(AI169),AI169&lt;=T169),AU169,0),IF(AND(ISNUMBER(AJ169),AJ169&lt;=T169),AV169,0))&lt;=0,"",IF(AND(IF(AND(NOT(AND(AO169=1,AN169&lt;&gt;1)),ISNUMBER(AG169),AG169&lt;=T169),AS169,0)&gt;0,IF(AND(NOT(AND(AO169=1,AN169&lt;&gt;1)),ISNUMBER(AG169),AG169&lt;=T169),AS169,0)=MAX(IF(AND(NOT(AND(AO169=1,AN169&lt;&gt;1)),ISNUMBER(AG169),AG169&lt;=T169),AS169,0),IF(AND(NOT(AND(AO169=1,AN169&lt;&gt;1)),ISNUMBER(AH169),AH169&lt;=T169),AT169,0),IF(AND(NOT(AND(AO169=1,AN169&lt;&gt;1)),ISNUMBER(AI169),AI169&lt;=T169),AU169,0),IF(AND(ISNUMBER(AJ169),AJ169&lt;=T169),AV169,0))),"SW",IF(AND(IF(AND(NOT(AND(AO169=1,AN169&lt;&gt;1)),ISNUMBER(AH169),AH169&lt;=T169),AT169,0)&gt;0,IF(AND(NOT(AND(AO169=1,AN169&lt;&gt;1)),ISNUMBER(AH169),AH169&lt;=T169),AT169,0)=MAX(IF(AND(NOT(AND(AO169=1,AN169&lt;&gt;1)),ISNUMBER(AG169),AG169&lt;=T169),AS169,0),IF(AND(NOT(AND(AO169=1,AN169&lt;&gt;1)),ISNUMBER(AH169),AH169&lt;=T169),AT169,0),IF(AND(NOT(AND(AO169=1,AN169&lt;&gt;1)),ISNUMBER(AI169),AI169&lt;=T169),AU169,0),IF(AND(ISNUMBER(AJ169),AJ169&lt;=T169),AV169,0))),"AB",IF(AND(IF(AND(NOT(AND(AO169=1,AN169&lt;&gt;1)),ISNUMBER(AI169),AI169&lt;=T169),AU169,0)&gt;0,IF(AND(NOT(AND(AO169=1,AN169&lt;&gt;1)),ISNUMBER(AI169),AI169&lt;=T169),AU169,0)=MAX(IF(AND(NOT(AND(AO169=1,AN169&lt;&gt;1)),ISNUMBER(AG169),AG169&lt;=T169),AS169,0),IF(AND(NOT(AND(AO169=1,AN169&lt;&gt;1)),ISNUMBER(AH169),AH169&lt;=T169),AT169,0),IF(AND(NOT(AND(AO169=1,AN169&lt;&gt;1)),ISNUMBER(AI169),AI169&lt;=T169),AU169,0),IF(AND(ISNUMBER(AJ169),AJ169&lt;=T169),AV169,0))),"SC","Mag")))))))</f>
        <v/>
      </c>
    </row>
    <row r="170" customFormat="false" ht="15" hidden="false" customHeight="false" outlineLevel="0" collapsed="false">
      <c r="A170" s="26" t="n">
        <v>165</v>
      </c>
      <c r="B170" s="27" t="n">
        <f aca="false">A170*10/60</f>
        <v>27.5</v>
      </c>
      <c r="C170" s="21" t="n">
        <f aca="false">X169</f>
        <v>18.6730249835055</v>
      </c>
      <c r="D170" s="27" t="n">
        <f aca="false">D169+W169</f>
        <v>0</v>
      </c>
      <c r="E170" s="26" t="n">
        <f aca="false">E169+IF(U169="SW",1,0)</f>
        <v>12</v>
      </c>
      <c r="F170" s="26" t="n">
        <f aca="false">F169+IF(U169="AB",1,0)</f>
        <v>10</v>
      </c>
      <c r="G170" s="26" t="n">
        <f aca="false">G169+IF(U169="SC",1,0)</f>
        <v>7</v>
      </c>
      <c r="H170" s="26" t="n">
        <f aca="false">H169+IF(U169="Mag",1,0)</f>
        <v>5</v>
      </c>
      <c r="I170" s="26" t="n">
        <f aca="false">MAX(I169,IF(U169="OR",1,0))</f>
        <v>1</v>
      </c>
      <c r="J170" s="26" t="n">
        <f aca="false">MAX(J169,IF(U169="HP",1,0))</f>
        <v>1</v>
      </c>
      <c r="K170" s="26" t="n">
        <f aca="false">MAX(K169,IF(U169="FP",1,0))</f>
        <v>1</v>
      </c>
      <c r="L170" s="26" t="n">
        <f aca="false">MAX(L169,IF(U169="transition",1,0))</f>
        <v>1</v>
      </c>
      <c r="M170" s="28" t="n">
        <f aca="false">(Parameters!$B$9+(IF(E170=0,0,(Upgrades!$J$6+E170*Upgrades!$K$6)*POWER(Upgrades!$L$6,E170)))*(IF(Upgrades!$T$7="Solar Wind",POWER(Upgrades!$U$7,F170),1)*IF(Upgrades!$T$8="Solar Wind",POWER(Upgrades!$U$8,G170),1)*IF(Upgrades!$T$9="Solar Wind",POWER(Upgrades!$U$9,H170),1)*IF(Upgrades!$T$10="Solar Wind",POWER(Upgrades!$U$10,I170),1)*IF(Upgrades!$T$11="Solar Wind",POWER(Upgrades!$U$11,J170),1)*IF(Upgrades!$T$12="Solar Wind",POWER(Upgrades!$U$12,K170),1))+(IF(F170=0,0,(Upgrades!$J$7+F170*Upgrades!$K$7)*POWER(Upgrades!$L$7,F170)))*(IF(Upgrades!$T$6="Asteroid Belt",POWER(Upgrades!$U$6,E170),1)*IF(Upgrades!$T$8="Asteroid Belt",POWER(Upgrades!$U$8,G170),1)*IF(Upgrades!$T$9="Asteroid Belt",POWER(Upgrades!$U$9,H170),1)*IF(Upgrades!$T$10="Asteroid Belt",POWER(Upgrades!$U$10,I170),1)*IF(Upgrades!$T$11="Asteroid Belt",POWER(Upgrades!$U$11,J170),1)*IF(Upgrades!$T$12="Asteroid Belt",POWER(Upgrades!$U$12,K170),1))+(IF(G170=0,0,(Upgrades!$J$8+G170*Upgrades!$K$8)*POWER(Upgrades!$L$8,G170)))*(IF(Upgrades!$T$6="Stellar Coupling",POWER(Upgrades!$U$6,E170),1)*IF(Upgrades!$T$7="Stellar Coupling",POWER(Upgrades!$U$7,F170),1)*IF(Upgrades!$T$9="Stellar Coupling",POWER(Upgrades!$U$9,H170),1)*IF(Upgrades!$T$10="Stellar Coupling",POWER(Upgrades!$U$10,I170),1)*IF(Upgrades!$T$11="Stellar Coupling",POWER(Upgrades!$U$11,J170),1)*IF(Upgrades!$T$12="Stellar Coupling",POWER(Upgrades!$U$12,K170),1))+(IF(H170=0,0,(Upgrades!$J$9+H170*Upgrades!$K$9)*POWER(Upgrades!$L$9,H170)))*(IF(Upgrades!$T$6="Magnetosphere",POWER(Upgrades!$U$6,E170),1)*IF(Upgrades!$T$7="Magnetosphere",POWER(Upgrades!$U$7,F170),1)*IF(Upgrades!$T$8="Magnetosphere",POWER(Upgrades!$U$8,G170),1)*IF(Upgrades!$T$10="Magnetosphere",POWER(Upgrades!$U$10,I170),1)*IF(Upgrades!$T$11="Magnetosphere",POWER(Upgrades!$U$11,J170),1)*IF(Upgrades!$T$12="Magnetosphere",POWER(Upgrades!$U$12,K170),1))+(IF(I170=0,0,(Upgrades!$J$10+I170*Upgrades!$K$10)*POWER(Upgrades!$L$10,I170)))*(IF(Upgrades!$T$6="Orbital Resonance",POWER(Upgrades!$U$6,E170),1)*IF(Upgrades!$T$7="Orbital Resonance",POWER(Upgrades!$U$7,F170),1)*IF(Upgrades!$T$8="Orbital Resonance",POWER(Upgrades!$U$8,G170),1)*IF(Upgrades!$T$9="Orbital Resonance",POWER(Upgrades!$U$9,H170),1)*IF(Upgrades!$T$11="Orbital Resonance",POWER(Upgrades!$U$11,J170),1)*IF(Upgrades!$T$12="Orbital Resonance",POWER(Upgrades!$U$12,K170),1))+(IF(J170=0,0,(Upgrades!$J$11+J170*Upgrades!$K$11)*POWER(Upgrades!$L$11,J170)))*(IF(Upgrades!$T$6="Heliopause",POWER(Upgrades!$U$6,E170),1)*IF(Upgrades!$T$7="Heliopause",POWER(Upgrades!$U$7,F170),1)*IF(Upgrades!$T$8="Heliopause",POWER(Upgrades!$U$8,G170),1)*IF(Upgrades!$T$9="Heliopause",POWER(Upgrades!$U$9,H170),1)*IF(Upgrades!$T$10="Heliopause",POWER(Upgrades!$U$10,I170),1)*IF(Upgrades!$T$12="Heliopause",POWER(Upgrades!$U$12,K170),1))+(IF(K170=0,0,(Upgrades!$J$12+K170*Upgrades!$K$12)*POWER(Upgrades!$L$12,K170)))*(IF(Upgrades!$T$6="First Photons",POWER(Upgrades!$U$6,E170),1)*IF(Upgrades!$T$7="First Photons",POWER(Upgrades!$U$7,F170),1)*IF(Upgrades!$T$8="First Photons",POWER(Upgrades!$U$8,G170),1)*IF(Upgrades!$T$9="First Photons",POWER(Upgrades!$U$9,H170),1)*IF(Upgrades!$T$10="First Photons",POWER(Upgrades!$U$10,I170),1)*IF(Upgrades!$T$11="First Photons",POWER(Upgrades!$U$11,J170),1)))*POWER(Upgrades!$Q$6,E170)*POWER(Upgrades!$Q$7,F170)*POWER(Upgrades!$Q$8,G170)*POWER(Upgrades!$Q$9,H170)*POWER(Upgrades!$Q$10,I170)*POWER(Upgrades!$Q$11,J170)*POWER(Upgrades!$Q$12,K170)</f>
        <v>5.61</v>
      </c>
      <c r="N170" s="28" t="n">
        <f aca="false">((IF(E170=0,0,(Upgrades!$G$6+E170*Upgrades!$H$6)*POWER(Upgrades!$I$6,E170)))*(IF(Upgrades!$T$7="Solar Wind",POWER(Upgrades!$U$7,F170),1)*IF(Upgrades!$T$8="Solar Wind",POWER(Upgrades!$U$8,G170),1)*IF(Upgrades!$T$9="Solar Wind",POWER(Upgrades!$U$9,H170),1)*IF(Upgrades!$T$10="Solar Wind",POWER(Upgrades!$U$10,I170),1)*IF(Upgrades!$T$11="Solar Wind",POWER(Upgrades!$U$11,J170),1)*IF(Upgrades!$T$12="Solar Wind",POWER(Upgrades!$U$12,K170),1))+(IF(F170=0,0,(Upgrades!$G$7+F170*Upgrades!$H$7)*POWER(Upgrades!$I$7,F170)))*(IF(Upgrades!$T$6="Asteroid Belt",POWER(Upgrades!$U$6,E170),1)*IF(Upgrades!$T$8="Asteroid Belt",POWER(Upgrades!$U$8,G170),1)*IF(Upgrades!$T$9="Asteroid Belt",POWER(Upgrades!$U$9,H170),1)*IF(Upgrades!$T$10="Asteroid Belt",POWER(Upgrades!$U$10,I170),1)*IF(Upgrades!$T$11="Asteroid Belt",POWER(Upgrades!$U$11,J170),1)*IF(Upgrades!$T$12="Asteroid Belt",POWER(Upgrades!$U$12,K170),1))+(IF(G170=0,0,(Upgrades!$G$8+G170*Upgrades!$H$8)*POWER(Upgrades!$I$8,G170)))*(IF(Upgrades!$T$6="Stellar Coupling",POWER(Upgrades!$U$6,E170),1)*IF(Upgrades!$T$7="Stellar Coupling",POWER(Upgrades!$U$7,F170),1)*IF(Upgrades!$T$9="Stellar Coupling",POWER(Upgrades!$U$9,H170),1)*IF(Upgrades!$T$10="Stellar Coupling",POWER(Upgrades!$U$10,I170),1)*IF(Upgrades!$T$11="Stellar Coupling",POWER(Upgrades!$U$11,J170),1)*IF(Upgrades!$T$12="Stellar Coupling",POWER(Upgrades!$U$12,K170),1))+(IF(H170=0,0,(Upgrades!$G$9+H170*Upgrades!$H$9)*POWER(Upgrades!$I$9,H170)))*(IF(Upgrades!$T$6="Magnetosphere",POWER(Upgrades!$U$6,E170),1)*IF(Upgrades!$T$7="Magnetosphere",POWER(Upgrades!$U$7,F170),1)*IF(Upgrades!$T$8="Magnetosphere",POWER(Upgrades!$U$8,G170),1)*IF(Upgrades!$T$10="Magnetosphere",POWER(Upgrades!$U$10,I170),1)*IF(Upgrades!$T$11="Magnetosphere",POWER(Upgrades!$U$11,J170),1)*IF(Upgrades!$T$12="Magnetosphere",POWER(Upgrades!$U$12,K170),1))+(IF(I170=0,0,(Upgrades!$G$10+I170*Upgrades!$H$10)*POWER(Upgrades!$I$10,I170)))*(IF(Upgrades!$T$6="Orbital Resonance",POWER(Upgrades!$U$6,E170),1)*IF(Upgrades!$T$7="Orbital Resonance",POWER(Upgrades!$U$7,F170),1)*IF(Upgrades!$T$8="Orbital Resonance",POWER(Upgrades!$U$8,G170),1)*IF(Upgrades!$T$9="Orbital Resonance",POWER(Upgrades!$U$9,H170),1)*IF(Upgrades!$T$11="Orbital Resonance",POWER(Upgrades!$U$11,J170),1)*IF(Upgrades!$T$12="Orbital Resonance",POWER(Upgrades!$U$12,K170),1))+(IF(J170=0,0,(Upgrades!$G$11+J170*Upgrades!$H$11)*POWER(Upgrades!$I$11,J170)))*(IF(Upgrades!$T$6="Heliopause",POWER(Upgrades!$U$6,E170),1)*IF(Upgrades!$T$7="Heliopause",POWER(Upgrades!$U$7,F170),1)*IF(Upgrades!$T$8="Heliopause",POWER(Upgrades!$U$8,G170),1)*IF(Upgrades!$T$9="Heliopause",POWER(Upgrades!$U$9,H170),1)*IF(Upgrades!$T$10="Heliopause",POWER(Upgrades!$U$10,I170),1)*IF(Upgrades!$T$12="Heliopause",POWER(Upgrades!$U$12,K170),1))+(IF(K170=0,0,(Upgrades!$G$12+K170*Upgrades!$H$12)*POWER(Upgrades!$I$12,K170)))*(IF(Upgrades!$T$6="First Photons",POWER(Upgrades!$U$6,E170),1)*IF(Upgrades!$T$7="First Photons",POWER(Upgrades!$U$7,F170),1)*IF(Upgrades!$T$8="First Photons",POWER(Upgrades!$U$8,G170),1)*IF(Upgrades!$T$9="First Photons",POWER(Upgrades!$U$9,H170),1)*IF(Upgrades!$T$10="First Photons",POWER(Upgrades!$U$10,I170),1)*IF(Upgrades!$T$11="First Photons",POWER(Upgrades!$U$11,J170),1)))*POWER(Upgrades!$P$6,E170)*POWER(Upgrades!$P$7,F170)*POWER(Upgrades!$P$8,G170)*POWER(Upgrades!$P$9,H170)*POWER(Upgrades!$P$10,I170)*POWER(Upgrades!$P$11,J170)*POWER(Upgrades!$P$12,K170)</f>
        <v>11.2</v>
      </c>
      <c r="O170" s="28" t="n">
        <f aca="false">((IF(E170=0,0,(Upgrades!$M$6+E170*Upgrades!$N$6)*POWER(Upgrades!$O$6,E170)))*(IF(Upgrades!$T$7="Solar Wind",POWER(Upgrades!$U$7,F170),1)*IF(Upgrades!$T$8="Solar Wind",POWER(Upgrades!$U$8,G170),1)*IF(Upgrades!$T$9="Solar Wind",POWER(Upgrades!$U$9,H170),1)*IF(Upgrades!$T$10="Solar Wind",POWER(Upgrades!$U$10,I170),1)*IF(Upgrades!$T$11="Solar Wind",POWER(Upgrades!$U$11,J170),1)*IF(Upgrades!$T$12="Solar Wind",POWER(Upgrades!$U$12,K170),1))+(IF(F170=0,0,(Upgrades!$M$7+F170*Upgrades!$N$7)*POWER(Upgrades!$O$7,F170)))*(IF(Upgrades!$T$6="Asteroid Belt",POWER(Upgrades!$U$6,E170),1)*IF(Upgrades!$T$8="Asteroid Belt",POWER(Upgrades!$U$8,G170),1)*IF(Upgrades!$T$9="Asteroid Belt",POWER(Upgrades!$U$9,H170),1)*IF(Upgrades!$T$10="Asteroid Belt",POWER(Upgrades!$U$10,I170),1)*IF(Upgrades!$T$11="Asteroid Belt",POWER(Upgrades!$U$11,J170),1)*IF(Upgrades!$T$12="Asteroid Belt",POWER(Upgrades!$U$12,K170),1))+(IF(G170=0,0,(Upgrades!$M$8+G170*Upgrades!$N$8)*POWER(Upgrades!$O$8,G170)))*(IF(Upgrades!$T$6="Stellar Coupling",POWER(Upgrades!$U$6,E170),1)*IF(Upgrades!$T$7="Stellar Coupling",POWER(Upgrades!$U$7,F170),1)*IF(Upgrades!$T$9="Stellar Coupling",POWER(Upgrades!$U$9,H170),1)*IF(Upgrades!$T$10="Stellar Coupling",POWER(Upgrades!$U$10,I170),1)*IF(Upgrades!$T$11="Stellar Coupling",POWER(Upgrades!$U$11,J170),1)*IF(Upgrades!$T$12="Stellar Coupling",POWER(Upgrades!$U$12,K170),1))+(IF(H170=0,0,(Upgrades!$M$9+H170*Upgrades!$N$9)*POWER(Upgrades!$O$9,H170)))*(IF(Upgrades!$T$6="Magnetosphere",POWER(Upgrades!$U$6,E170),1)*IF(Upgrades!$T$7="Magnetosphere",POWER(Upgrades!$U$7,F170),1)*IF(Upgrades!$T$8="Magnetosphere",POWER(Upgrades!$U$8,G170),1)*IF(Upgrades!$T$10="Magnetosphere",POWER(Upgrades!$U$10,I170),1)*IF(Upgrades!$T$11="Magnetosphere",POWER(Upgrades!$U$11,J170),1)*IF(Upgrades!$T$12="Magnetosphere",POWER(Upgrades!$U$12,K170),1))+(IF(I170=0,0,(Upgrades!$M$10+I170*Upgrades!$N$10)*POWER(Upgrades!$O$10,I170)))*(IF(Upgrades!$T$6="Orbital Resonance",POWER(Upgrades!$U$6,E170),1)*IF(Upgrades!$T$7="Orbital Resonance",POWER(Upgrades!$U$7,F170),1)*IF(Upgrades!$T$8="Orbital Resonance",POWER(Upgrades!$U$8,G170),1)*IF(Upgrades!$T$9="Orbital Resonance",POWER(Upgrades!$U$9,H170),1)*IF(Upgrades!$T$11="Orbital Resonance",POWER(Upgrades!$U$11,J170),1)*IF(Upgrades!$T$12="Orbital Resonance",POWER(Upgrades!$U$12,K170),1))+(IF(J170=0,0,(Upgrades!$M$11+J170*Upgrades!$N$11)*POWER(Upgrades!$O$11,J170)))*(IF(Upgrades!$T$6="Heliopause",POWER(Upgrades!$U$6,E170),1)*IF(Upgrades!$T$7="Heliopause",POWER(Upgrades!$U$7,F170),1)*IF(Upgrades!$T$8="Heliopause",POWER(Upgrades!$U$8,G170),1)*IF(Upgrades!$T$9="Heliopause",POWER(Upgrades!$U$9,H170),1)*IF(Upgrades!$T$10="Heliopause",POWER(Upgrades!$U$10,I170),1)*IF(Upgrades!$T$12="Heliopause",POWER(Upgrades!$U$12,K170),1))+(IF(K170=0,0,(Upgrades!$M$12+K170*Upgrades!$N$12)*POWER(Upgrades!$O$12,K170)))*(IF(Upgrades!$T$6="First Photons",POWER(Upgrades!$U$6,E170),1)*IF(Upgrades!$T$7="First Photons",POWER(Upgrades!$U$7,F170),1)*IF(Upgrades!$T$8="First Photons",POWER(Upgrades!$U$8,G170),1)*IF(Upgrades!$T$9="First Photons",POWER(Upgrades!$U$9,H170),1)*IF(Upgrades!$T$10="First Photons",POWER(Upgrades!$U$10,I170),1)*IF(Upgrades!$T$11="First Photons",POWER(Upgrades!$U$11,J170),1)))*POWER(Upgrades!$R$6,E170)*POWER(Upgrades!$R$7,F170)*POWER(Upgrades!$R$8,G170)*POWER(Upgrades!$R$9,H170)*POWER(Upgrades!$R$10,I170)*POWER(Upgrades!$R$11,J170)*POWER(Upgrades!$R$12,K170)</f>
        <v>0</v>
      </c>
      <c r="P170" s="27" t="n">
        <f aca="false">IF(L170=1,0,M170*Parameters!$B$10/60*Parameters!$B$11*10)</f>
        <v>0</v>
      </c>
      <c r="Q170" s="27" t="n">
        <f aca="false">IF(L170=1,0,O170*M170*10)</f>
        <v>0</v>
      </c>
      <c r="R170" s="27" t="n">
        <f aca="false">IF(L170=1,0,N170*10)</f>
        <v>0</v>
      </c>
      <c r="S170" s="27" t="n">
        <f aca="false">P170+Q170+R170</f>
        <v>0</v>
      </c>
      <c r="T170" s="21" t="n">
        <f aca="false">C170+S170</f>
        <v>18.6730249835055</v>
      </c>
      <c r="U170" s="34" t="str">
        <f aca="false">AX170</f>
        <v/>
      </c>
      <c r="V170" s="21" t="n">
        <f aca="false">IF(U170="",0,IF(U170="transition",0,IF(U170="SW",AG170,IF(U170="AB",AH170,IF(U170="SC",AI170,IF(U170="Mag",AJ170,IF(U170="OR",AK170,IF(U170="HP",AL170,IF(U170="FP",AM170,0)))))))))</f>
        <v>0</v>
      </c>
      <c r="W170" s="27" t="n">
        <f aca="false">IF(U170="OR",Upgrades!$F$10,IF(U170="HP",Upgrades!$F$11,IF(U170="transition",-Parameters!$B$18,0)))</f>
        <v>0</v>
      </c>
      <c r="X170" s="21" t="n">
        <f aca="false">T170-V170</f>
        <v>18.6730249835055</v>
      </c>
      <c r="Y170" s="30" t="n">
        <f aca="false">M170*Parameters!$B$10/60*Parameters!$B$11+O170*M170+N170</f>
        <v>20.55</v>
      </c>
      <c r="Z170" s="35" t="str">
        <f aca="false">IF(U170="transition","→ Tier 2 (Stellar Neighborhood)",IF(U170="FP","First Photons — light begins, system quickens",IF(U170="HP","Heliopause acquired",IF(U170="OR","Orbital Resonance — passive multiplier active",IF(AND(AO170=1,L170=0,AN170&lt;&gt;1),"Cohesion ready (waiting on completionist upgrades)","")))))</f>
        <v/>
      </c>
      <c r="AA170" s="27" t="n">
        <f aca="false">(IF(E170=0,0,(Upgrades!$G$6+E170*Upgrades!$H$6)*POWER(Upgrades!$I$6,E170)))*(IF(Upgrades!$T$7="Solar Wind",POWER(Upgrades!$U$7,F170),1)*IF(Upgrades!$T$8="Solar Wind",POWER(Upgrades!$U$8,G170),1)*IF(Upgrades!$T$9="Solar Wind",POWER(Upgrades!$U$9,H170),1)*IF(Upgrades!$T$10="Solar Wind",POWER(Upgrades!$U$10,I170),1)*IF(Upgrades!$T$11="Solar Wind",POWER(Upgrades!$U$11,J170),1)*IF(Upgrades!$T$12="Solar Wind",POWER(Upgrades!$U$12,K170),1))*POWER(Upgrades!$P$6,E170)*POWER(Upgrades!$P$7,F170)*POWER(Upgrades!$P$8,G170)*POWER(Upgrades!$P$9,H170)*POWER(Upgrades!$P$10,I170)*POWER(Upgrades!$P$11,J170)*POWER(Upgrades!$P$12,K170)*60</f>
        <v>72</v>
      </c>
      <c r="AB170" s="27" t="n">
        <f aca="false">(IF(F170=0,0,(Upgrades!$G$7+F170*Upgrades!$H$7)*POWER(Upgrades!$I$7,F170)))*(IF(Upgrades!$T$6="Asteroid Belt",POWER(Upgrades!$U$6,E170),1)*IF(Upgrades!$T$8="Asteroid Belt",POWER(Upgrades!$U$8,G170),1)*IF(Upgrades!$T$9="Asteroid Belt",POWER(Upgrades!$U$9,H170),1)*IF(Upgrades!$T$10="Asteroid Belt",POWER(Upgrades!$U$10,I170),1)*IF(Upgrades!$T$11="Asteroid Belt",POWER(Upgrades!$U$11,J170),1)*IF(Upgrades!$T$12="Asteroid Belt",POWER(Upgrades!$U$12,K170),1))*POWER(Upgrades!$P$6,E170)*POWER(Upgrades!$P$7,F170)*POWER(Upgrades!$P$8,G170)*POWER(Upgrades!$P$9,H170)*POWER(Upgrades!$P$10,I170)*POWER(Upgrades!$P$11,J170)*POWER(Upgrades!$P$12,K170)*60</f>
        <v>150</v>
      </c>
      <c r="AC170" s="27" t="n">
        <f aca="false">(IF(G170=0,0,(Upgrades!$J$8+G170*Upgrades!$K$8)*POWER(Upgrades!$L$8,G170)))*(IF(Upgrades!$T$6="Stellar Coupling",POWER(Upgrades!$U$6,E170),1)*IF(Upgrades!$T$7="Stellar Coupling",POWER(Upgrades!$U$7,F170),1)*IF(Upgrades!$T$9="Stellar Coupling",POWER(Upgrades!$U$9,H170),1)*IF(Upgrades!$T$10="Stellar Coupling",POWER(Upgrades!$U$10,I170),1)*IF(Upgrades!$T$11="Stellar Coupling",POWER(Upgrades!$U$11,J170),1)*IF(Upgrades!$T$12="Stellar Coupling",POWER(Upgrades!$U$12,K170),1))*POWER(Upgrades!$Q$6,E170)*POWER(Upgrades!$Q$7,F170)*POWER(Upgrades!$Q$8,G170)*POWER(Upgrades!$Q$9,H170)*POWER(Upgrades!$Q$10,I170)*POWER(Upgrades!$Q$11,J170)*POWER(Upgrades!$Q$12,K170)*Parameters!$B$10*Parameters!$B$11</f>
        <v>441</v>
      </c>
      <c r="AD170" s="27" t="n">
        <f aca="false">(IF(H170=0,0,(Upgrades!$G$9+H170*Upgrades!$H$9)*POWER(Upgrades!$I$9,H170)))*(IF(Upgrades!$T$6="Magnetosphere",POWER(Upgrades!$U$6,E170),1)*IF(Upgrades!$T$7="Magnetosphere",POWER(Upgrades!$U$7,F170),1)*IF(Upgrades!$T$8="Magnetosphere",POWER(Upgrades!$U$8,G170),1)*IF(Upgrades!$T$10="Magnetosphere",POWER(Upgrades!$U$10,I170),1)*IF(Upgrades!$T$11="Magnetosphere",POWER(Upgrades!$U$11,J170),1)*IF(Upgrades!$T$12="Magnetosphere",POWER(Upgrades!$U$12,K170),1))*POWER(Upgrades!$P$6,E170)*POWER(Upgrades!$P$7,F170)*POWER(Upgrades!$P$8,G170)*POWER(Upgrades!$P$9,H170)*POWER(Upgrades!$P$10,I170)*POWER(Upgrades!$P$11,J170)*POWER(Upgrades!$P$12,K170)*60</f>
        <v>375</v>
      </c>
      <c r="AE170" s="27" t="n">
        <f aca="false">(IF(K170=0,0,(Upgrades!$G$12+K170*Upgrades!$H$12)*POWER(Upgrades!$I$12,K170)))*(IF(Upgrades!$T$6="First Photons",POWER(Upgrades!$U$6,E170),1)*IF(Upgrades!$T$7="First Photons",POWER(Upgrades!$U$7,F170),1)*IF(Upgrades!$T$8="First Photons",POWER(Upgrades!$U$8,G170),1)*IF(Upgrades!$T$9="First Photons",POWER(Upgrades!$U$9,H170),1)*IF(Upgrades!$T$10="First Photons",POWER(Upgrades!$U$10,I170),1)*IF(Upgrades!$T$11="First Photons",POWER(Upgrades!$U$11,J170),1))*POWER(Upgrades!$P$6,E170)*POWER(Upgrades!$P$7,F170)*POWER(Upgrades!$P$8,G170)*POWER(Upgrades!$P$9,H170)*POWER(Upgrades!$P$10,I170)*POWER(Upgrades!$P$11,J170)*POWER(Upgrades!$P$12,K170)*60</f>
        <v>75</v>
      </c>
      <c r="AF170" s="27" t="n">
        <f aca="false">Parameters!$B$9*POWER(Upgrades!$Q$6,E170)*POWER(Upgrades!$Q$7,F170)*POWER(Upgrades!$Q$8,G170)*POWER(Upgrades!$Q$9,H170)*POWER(Upgrades!$Q$10,I170)*POWER(Upgrades!$Q$11,J170)*POWER(Upgrades!$Q$12,K170)*(Parameters!$B$10*Parameters!$B$11+O170*60)</f>
        <v>120</v>
      </c>
      <c r="AG170" s="21" t="n">
        <f aca="false">IF(E170&gt;=Upgrades!$E$6,"",Upgrades!$C$6*POWER(Upgrades!$D$6,E170))</f>
        <v>37.4517507383159</v>
      </c>
      <c r="AH170" s="21" t="n">
        <f aca="false">IF(F170&gt;=Upgrades!$E$7,"",Upgrades!$C$7*POWER(Upgrades!$D$7,F170))</f>
        <v>80.9111547141581</v>
      </c>
      <c r="AI170" s="21" t="n">
        <f aca="false">IF(G170&gt;=Upgrades!$E$8,"",Upgrades!$C$8*POWER(Upgrades!$D$8,G170))</f>
        <v>231.9097088</v>
      </c>
      <c r="AJ170" s="21" t="str">
        <f aca="false">IF(H170&gt;=Upgrades!$E$9,"",Upgrades!$C$9*POWER(Upgrades!$D$9,H170))</f>
        <v/>
      </c>
      <c r="AK170" s="21" t="str">
        <f aca="false">IF(I170&gt;=Upgrades!$E$10,"",Upgrades!$C$10*POWER(Upgrades!$D$10,I170))</f>
        <v/>
      </c>
      <c r="AL170" s="21" t="str">
        <f aca="false">IF(J170&gt;=Upgrades!$E$11,"",Upgrades!$C$11*POWER(Upgrades!$D$11,J170))</f>
        <v/>
      </c>
      <c r="AM170" s="21" t="str">
        <f aca="false">IF(K170&gt;=Upgrades!$E$12,"",Upgrades!$C$12*POWER(Upgrades!$D$12,K170))</f>
        <v/>
      </c>
      <c r="AN170" s="26" t="str">
        <f aca="false">IF(AND(D170&gt;=Parameters!$B$18,(H170&gt;=Upgrades!$E$9)*(K170&gt;=Upgrades!$E$12)=1,L170=0),1,"")</f>
        <v/>
      </c>
      <c r="AO170" s="26" t="str">
        <f aca="false">IF(AND(D170&gt;=Parameters!$B$18,L170=0),1,"")</f>
        <v/>
      </c>
      <c r="AP170" s="21" t="n">
        <f aca="false">MIN(IF(ISNUMBER(AK170),AK170,9000000000000000),IF(ISNUMBER(AL170),AL170,9000000000000000),IF(ISNUMBER(AM170),AM170,9000000000000000))</f>
        <v>9000000000000000</v>
      </c>
      <c r="AQ170" s="21" t="n">
        <f aca="false">MIN(IF(ISNUMBER(AG170),AG170,9000000000000000),IF(ISNUMBER(AH170),AH170,9000000000000000),IF(ISNUMBER(AI170),AI170,9000000000000000),IF(ISNUMBER(AJ170),AJ170,9000000000000000))</f>
        <v>37.4517507383159</v>
      </c>
      <c r="AR170" s="32" t="b">
        <f aca="false">IF(AW170&gt;Parameters!$B$21*(MAX(IF(AND(NOT(AND(AO170=1,AN170&lt;&gt;1)),ISNUMBER(AG170),AG170&lt;=T170),AS170,0),IF(AND(NOT(AND(AO170=1,AN170&lt;&gt;1)),ISNUMBER(AH170),AH170&lt;=T170),AT170,0),IF(AND(NOT(AND(AO170=1,AN170&lt;&gt;1)),ISNUMBER(AI170),AI170&lt;=T170),AU170,0),IF(AND(ISNUMBER(AJ170),AJ170&lt;=T170),AV170,0))),TRUE(),FALSE())</f>
        <v>1</v>
      </c>
      <c r="AS170" s="33" t="n">
        <f aca="false">IFERROR(Upgrades!$H$6*(POWER(Upgrades!$P$6,E170)*POWER(Upgrades!$P$7,F170)*POWER(Upgrades!$P$8,G170)*POWER(Upgrades!$P$9,H170)*POWER(Upgrades!$P$10,I170)*POWER(Upgrades!$P$11,J170)*POWER(Upgrades!$P$12,K170))*(IF(Upgrades!$T$7="Solar Wind",POWER(Upgrades!$U$7,F170),1)*IF(Upgrades!$T$8="Solar Wind",POWER(Upgrades!$U$8,G170),1)*IF(Upgrades!$T$9="Solar Wind",POWER(Upgrades!$U$9,H170),1)*IF(Upgrades!$T$10="Solar Wind",POWER(Upgrades!$U$10,I170),1)*IF(Upgrades!$T$11="Solar Wind",POWER(Upgrades!$U$11,J170),1)*IF(Upgrades!$T$12="Solar Wind",POWER(Upgrades!$U$12,K170),1))/AG170,0)</f>
        <v>0.0026701021455238</v>
      </c>
      <c r="AT170" s="33" t="n">
        <f aca="false">IFERROR(Upgrades!$H$7*(POWER(Upgrades!$P$6,E170)*POWER(Upgrades!$P$7,F170)*POWER(Upgrades!$P$8,G170)*POWER(Upgrades!$P$9,H170)*POWER(Upgrades!$P$10,I170)*POWER(Upgrades!$P$11,J170)*POWER(Upgrades!$P$12,K170))*(IF(Upgrades!$T$6="Asteroid Belt",POWER(Upgrades!$U$6,E170),1)*IF(Upgrades!$T$8="Asteroid Belt",POWER(Upgrades!$U$8,G170),1)*IF(Upgrades!$T$9="Asteroid Belt",POWER(Upgrades!$U$9,H170),1)*IF(Upgrades!$T$10="Asteroid Belt",POWER(Upgrades!$U$10,I170),1)*IF(Upgrades!$T$11="Asteroid Belt",POWER(Upgrades!$U$11,J170),1)*IF(Upgrades!$T$12="Asteroid Belt",POWER(Upgrades!$U$12,K170),1))/AH170,0)</f>
        <v>0.00308980882652332</v>
      </c>
      <c r="AU170" s="33" t="n">
        <f aca="false">IFERROR(Upgrades!$K$8*(POWER(Upgrades!$Q$6,E170)*POWER(Upgrades!$Q$7,F170)*POWER(Upgrades!$Q$8,G170)*POWER(Upgrades!$Q$9,H170)*POWER(Upgrades!$Q$10,I170)*POWER(Upgrades!$Q$11,J170)*POWER(Upgrades!$Q$12,K170))*(IF(Upgrades!$T$6="Stellar Coupling",POWER(Upgrades!$U$6,E170),1)*IF(Upgrades!$T$7="Stellar Coupling",POWER(Upgrades!$U$7,F170),1)*IF(Upgrades!$T$9="Stellar Coupling",POWER(Upgrades!$U$9,H170),1)*IF(Upgrades!$T$10="Stellar Coupling",POWER(Upgrades!$U$10,I170),1)*IF(Upgrades!$T$11="Stellar Coupling",POWER(Upgrades!$U$11,J170),1)*IF(Upgrades!$T$12="Stellar Coupling",POWER(Upgrades!$U$12,K170),1))*Parameters!$B$10*Parameters!$B$11/60/AI170,0)</f>
        <v>0.00452762415783776</v>
      </c>
      <c r="AV170" s="33" t="n">
        <f aca="false">IFERROR(Upgrades!$H$9*(POWER(Upgrades!$P$6,E170)*POWER(Upgrades!$P$7,F170)*POWER(Upgrades!$P$8,G170)*POWER(Upgrades!$P$9,H170)*POWER(Upgrades!$P$10,I170)*POWER(Upgrades!$P$11,J170)*POWER(Upgrades!$P$12,K170))*(IF(Upgrades!$T$6="Magnetosphere",POWER(Upgrades!$U$6,E170),1)*IF(Upgrades!$T$7="Magnetosphere",POWER(Upgrades!$U$7,F170),1)*IF(Upgrades!$T$8="Magnetosphere",POWER(Upgrades!$U$8,G170),1)*IF(Upgrades!$T$10="Magnetosphere",POWER(Upgrades!$U$10,I170),1)*IF(Upgrades!$T$11="Magnetosphere",POWER(Upgrades!$U$11,J170),1)*IF(Upgrades!$T$12="Magnetosphere",POWER(Upgrades!$U$12,K170),1))/AJ170,0)</f>
        <v>0</v>
      </c>
      <c r="AW170" s="33" t="n">
        <f aca="false">MAX(IF(I170&gt;0,0,IFERROR(0.25*N170/Upgrades!$C$10,0)),IF(J170&gt;0,0,IFERROR(0.5*((IF(G170=0,0,(Upgrades!$J$8+G170*Upgrades!$K$8)*POWER(Upgrades!$L$8,G170)))*(IF(Upgrades!$T$6="Stellar Coupling",POWER(Upgrades!$U$6,E170),1)*IF(Upgrades!$T$7="Stellar Coupling",POWER(Upgrades!$U$7,F170),1)*IF(Upgrades!$T$9="Stellar Coupling",POWER(Upgrades!$U$9,H170),1)*IF(Upgrades!$T$10="Stellar Coupling",POWER(Upgrades!$U$10,I170),1)*IF(Upgrades!$T$11="Stellar Coupling",POWER(Upgrades!$U$11,J170),1)*IF(Upgrades!$T$12="Stellar Coupling",POWER(Upgrades!$U$12,K170),1))*(POWER(Upgrades!$Q$6,E170)*POWER(Upgrades!$Q$7,F170)*POWER(Upgrades!$Q$8,G170)*POWER(Upgrades!$Q$9,H170)*POWER(Upgrades!$Q$10,I170)*POWER(Upgrades!$Q$11,J170)*POWER(Upgrades!$Q$12,K170))*Parameters!$B$10*Parameters!$B$11/60)/Upgrades!$C$11,0)),IF(K170&gt;0,0,IFERROR((1*(POWER(Upgrades!$P$6,E170)*POWER(Upgrades!$P$7,F170)*POWER(Upgrades!$P$8,G170)*POWER(Upgrades!$P$9,H170)*POWER(Upgrades!$P$10,I170)*POWER(Upgrades!$P$11,J170)*POWER(Upgrades!$P$12,K170))+0.2*M170*Parameters!$B$10*Parameters!$B$11/60)/Upgrades!$C$12,0)),IF(AND(ISNUMBER(AG170),AG170&gt;T170),AS170,0),IF(AND(ISNUMBER(AH170),AH170&gt;T170),AT170,0),IF(AND(ISNUMBER(AI170),AI170&gt;T170),AU170,0),IF(AND(ISNUMBER(AJ170),AJ170&gt;T170),AV170,0))</f>
        <v>0.00452762415783776</v>
      </c>
      <c r="AX170" s="29" t="str">
        <f aca="false">IF(AN170=1,"transition",IF(MIN(IF(AND(I170=0,ISNUMBER(AK170),AK170&lt;=T170),AK170,9000000000000000),IF(AND(J170=0,ISNUMBER(AL170),AL170&lt;=T170),AL170,9000000000000000),IF(AND(K170=0,ISNUMBER(AM170),AM170&lt;=T170),AM170,9000000000000000))&lt;9000000000000000,IF(AND(AND(I170=0,ISNUMBER(AK170),AK170&lt;=T170),AK170=MIN(IF(AND(I170=0,ISNUMBER(AK170),AK170&lt;=T170),AK170,9000000000000000),IF(AND(J170=0,ISNUMBER(AL170),AL170&lt;=T170),AL170,9000000000000000),IF(AND(K170=0,ISNUMBER(AM170),AM170&lt;=T170),AM170,9000000000000000))),"OR",IF(AND(AND(J170=0,ISNUMBER(AL170),AL170&lt;=T170),AL170=MIN(IF(AND(I170=0,ISNUMBER(AK170),AK170&lt;=T170),AK170,9000000000000000),IF(AND(J170=0,ISNUMBER(AL170),AL170&lt;=T170),AL170,9000000000000000),IF(AND(K170=0,ISNUMBER(AM170),AM170&lt;=T170),AM170,9000000000000000))),"HP","FP")),IF(AR170=TRUE(),"",IF(MAX(IF(AND(NOT(AND(AO170=1,AN170&lt;&gt;1)),ISNUMBER(AG170),AG170&lt;=T170),AS170,0),IF(AND(NOT(AND(AO170=1,AN170&lt;&gt;1)),ISNUMBER(AH170),AH170&lt;=T170),AT170,0),IF(AND(NOT(AND(AO170=1,AN170&lt;&gt;1)),ISNUMBER(AI170),AI170&lt;=T170),AU170,0),IF(AND(ISNUMBER(AJ170),AJ170&lt;=T170),AV170,0))&lt;=0,"",IF(AND(IF(AND(NOT(AND(AO170=1,AN170&lt;&gt;1)),ISNUMBER(AG170),AG170&lt;=T170),AS170,0)&gt;0,IF(AND(NOT(AND(AO170=1,AN170&lt;&gt;1)),ISNUMBER(AG170),AG170&lt;=T170),AS170,0)=MAX(IF(AND(NOT(AND(AO170=1,AN170&lt;&gt;1)),ISNUMBER(AG170),AG170&lt;=T170),AS170,0),IF(AND(NOT(AND(AO170=1,AN170&lt;&gt;1)),ISNUMBER(AH170),AH170&lt;=T170),AT170,0),IF(AND(NOT(AND(AO170=1,AN170&lt;&gt;1)),ISNUMBER(AI170),AI170&lt;=T170),AU170,0),IF(AND(ISNUMBER(AJ170),AJ170&lt;=T170),AV170,0))),"SW",IF(AND(IF(AND(NOT(AND(AO170=1,AN170&lt;&gt;1)),ISNUMBER(AH170),AH170&lt;=T170),AT170,0)&gt;0,IF(AND(NOT(AND(AO170=1,AN170&lt;&gt;1)),ISNUMBER(AH170),AH170&lt;=T170),AT170,0)=MAX(IF(AND(NOT(AND(AO170=1,AN170&lt;&gt;1)),ISNUMBER(AG170),AG170&lt;=T170),AS170,0),IF(AND(NOT(AND(AO170=1,AN170&lt;&gt;1)),ISNUMBER(AH170),AH170&lt;=T170),AT170,0),IF(AND(NOT(AND(AO170=1,AN170&lt;&gt;1)),ISNUMBER(AI170),AI170&lt;=T170),AU170,0),IF(AND(ISNUMBER(AJ170),AJ170&lt;=T170),AV170,0))),"AB",IF(AND(IF(AND(NOT(AND(AO170=1,AN170&lt;&gt;1)),ISNUMBER(AI170),AI170&lt;=T170),AU170,0)&gt;0,IF(AND(NOT(AND(AO170=1,AN170&lt;&gt;1)),ISNUMBER(AI170),AI170&lt;=T170),AU170,0)=MAX(IF(AND(NOT(AND(AO170=1,AN170&lt;&gt;1)),ISNUMBER(AG170),AG170&lt;=T170),AS170,0),IF(AND(NOT(AND(AO170=1,AN170&lt;&gt;1)),ISNUMBER(AH170),AH170&lt;=T170),AT170,0),IF(AND(NOT(AND(AO170=1,AN170&lt;&gt;1)),ISNUMBER(AI170),AI170&lt;=T170),AU170,0),IF(AND(ISNUMBER(AJ170),AJ170&lt;=T170),AV170,0))),"SC","Mag")))))))</f>
        <v/>
      </c>
    </row>
    <row r="171" customFormat="false" ht="15" hidden="false" customHeight="false" outlineLevel="0" collapsed="false">
      <c r="A171" s="26" t="n">
        <v>166</v>
      </c>
      <c r="B171" s="27" t="n">
        <f aca="false">A171*10/60</f>
        <v>27.6666666666667</v>
      </c>
      <c r="C171" s="21" t="n">
        <f aca="false">X170</f>
        <v>18.6730249835055</v>
      </c>
      <c r="D171" s="27" t="n">
        <f aca="false">D170+W170</f>
        <v>0</v>
      </c>
      <c r="E171" s="26" t="n">
        <f aca="false">E170+IF(U170="SW",1,0)</f>
        <v>12</v>
      </c>
      <c r="F171" s="26" t="n">
        <f aca="false">F170+IF(U170="AB",1,0)</f>
        <v>10</v>
      </c>
      <c r="G171" s="26" t="n">
        <f aca="false">G170+IF(U170="SC",1,0)</f>
        <v>7</v>
      </c>
      <c r="H171" s="26" t="n">
        <f aca="false">H170+IF(U170="Mag",1,0)</f>
        <v>5</v>
      </c>
      <c r="I171" s="26" t="n">
        <f aca="false">MAX(I170,IF(U170="OR",1,0))</f>
        <v>1</v>
      </c>
      <c r="J171" s="26" t="n">
        <f aca="false">MAX(J170,IF(U170="HP",1,0))</f>
        <v>1</v>
      </c>
      <c r="K171" s="26" t="n">
        <f aca="false">MAX(K170,IF(U170="FP",1,0))</f>
        <v>1</v>
      </c>
      <c r="L171" s="26" t="n">
        <f aca="false">MAX(L170,IF(U170="transition",1,0))</f>
        <v>1</v>
      </c>
      <c r="M171" s="28" t="n">
        <f aca="false">(Parameters!$B$9+(IF(E171=0,0,(Upgrades!$J$6+E171*Upgrades!$K$6)*POWER(Upgrades!$L$6,E171)))*(IF(Upgrades!$T$7="Solar Wind",POWER(Upgrades!$U$7,F171),1)*IF(Upgrades!$T$8="Solar Wind",POWER(Upgrades!$U$8,G171),1)*IF(Upgrades!$T$9="Solar Wind",POWER(Upgrades!$U$9,H171),1)*IF(Upgrades!$T$10="Solar Wind",POWER(Upgrades!$U$10,I171),1)*IF(Upgrades!$T$11="Solar Wind",POWER(Upgrades!$U$11,J171),1)*IF(Upgrades!$T$12="Solar Wind",POWER(Upgrades!$U$12,K171),1))+(IF(F171=0,0,(Upgrades!$J$7+F171*Upgrades!$K$7)*POWER(Upgrades!$L$7,F171)))*(IF(Upgrades!$T$6="Asteroid Belt",POWER(Upgrades!$U$6,E171),1)*IF(Upgrades!$T$8="Asteroid Belt",POWER(Upgrades!$U$8,G171),1)*IF(Upgrades!$T$9="Asteroid Belt",POWER(Upgrades!$U$9,H171),1)*IF(Upgrades!$T$10="Asteroid Belt",POWER(Upgrades!$U$10,I171),1)*IF(Upgrades!$T$11="Asteroid Belt",POWER(Upgrades!$U$11,J171),1)*IF(Upgrades!$T$12="Asteroid Belt",POWER(Upgrades!$U$12,K171),1))+(IF(G171=0,0,(Upgrades!$J$8+G171*Upgrades!$K$8)*POWER(Upgrades!$L$8,G171)))*(IF(Upgrades!$T$6="Stellar Coupling",POWER(Upgrades!$U$6,E171),1)*IF(Upgrades!$T$7="Stellar Coupling",POWER(Upgrades!$U$7,F171),1)*IF(Upgrades!$T$9="Stellar Coupling",POWER(Upgrades!$U$9,H171),1)*IF(Upgrades!$T$10="Stellar Coupling",POWER(Upgrades!$U$10,I171),1)*IF(Upgrades!$T$11="Stellar Coupling",POWER(Upgrades!$U$11,J171),1)*IF(Upgrades!$T$12="Stellar Coupling",POWER(Upgrades!$U$12,K171),1))+(IF(H171=0,0,(Upgrades!$J$9+H171*Upgrades!$K$9)*POWER(Upgrades!$L$9,H171)))*(IF(Upgrades!$T$6="Magnetosphere",POWER(Upgrades!$U$6,E171),1)*IF(Upgrades!$T$7="Magnetosphere",POWER(Upgrades!$U$7,F171),1)*IF(Upgrades!$T$8="Magnetosphere",POWER(Upgrades!$U$8,G171),1)*IF(Upgrades!$T$10="Magnetosphere",POWER(Upgrades!$U$10,I171),1)*IF(Upgrades!$T$11="Magnetosphere",POWER(Upgrades!$U$11,J171),1)*IF(Upgrades!$T$12="Magnetosphere",POWER(Upgrades!$U$12,K171),1))+(IF(I171=0,0,(Upgrades!$J$10+I171*Upgrades!$K$10)*POWER(Upgrades!$L$10,I171)))*(IF(Upgrades!$T$6="Orbital Resonance",POWER(Upgrades!$U$6,E171),1)*IF(Upgrades!$T$7="Orbital Resonance",POWER(Upgrades!$U$7,F171),1)*IF(Upgrades!$T$8="Orbital Resonance",POWER(Upgrades!$U$8,G171),1)*IF(Upgrades!$T$9="Orbital Resonance",POWER(Upgrades!$U$9,H171),1)*IF(Upgrades!$T$11="Orbital Resonance",POWER(Upgrades!$U$11,J171),1)*IF(Upgrades!$T$12="Orbital Resonance",POWER(Upgrades!$U$12,K171),1))+(IF(J171=0,0,(Upgrades!$J$11+J171*Upgrades!$K$11)*POWER(Upgrades!$L$11,J171)))*(IF(Upgrades!$T$6="Heliopause",POWER(Upgrades!$U$6,E171),1)*IF(Upgrades!$T$7="Heliopause",POWER(Upgrades!$U$7,F171),1)*IF(Upgrades!$T$8="Heliopause",POWER(Upgrades!$U$8,G171),1)*IF(Upgrades!$T$9="Heliopause",POWER(Upgrades!$U$9,H171),1)*IF(Upgrades!$T$10="Heliopause",POWER(Upgrades!$U$10,I171),1)*IF(Upgrades!$T$12="Heliopause",POWER(Upgrades!$U$12,K171),1))+(IF(K171=0,0,(Upgrades!$J$12+K171*Upgrades!$K$12)*POWER(Upgrades!$L$12,K171)))*(IF(Upgrades!$T$6="First Photons",POWER(Upgrades!$U$6,E171),1)*IF(Upgrades!$T$7="First Photons",POWER(Upgrades!$U$7,F171),1)*IF(Upgrades!$T$8="First Photons",POWER(Upgrades!$U$8,G171),1)*IF(Upgrades!$T$9="First Photons",POWER(Upgrades!$U$9,H171),1)*IF(Upgrades!$T$10="First Photons",POWER(Upgrades!$U$10,I171),1)*IF(Upgrades!$T$11="First Photons",POWER(Upgrades!$U$11,J171),1)))*POWER(Upgrades!$Q$6,E171)*POWER(Upgrades!$Q$7,F171)*POWER(Upgrades!$Q$8,G171)*POWER(Upgrades!$Q$9,H171)*POWER(Upgrades!$Q$10,I171)*POWER(Upgrades!$Q$11,J171)*POWER(Upgrades!$Q$12,K171)</f>
        <v>5.61</v>
      </c>
      <c r="N171" s="28" t="n">
        <f aca="false">((IF(E171=0,0,(Upgrades!$G$6+E171*Upgrades!$H$6)*POWER(Upgrades!$I$6,E171)))*(IF(Upgrades!$T$7="Solar Wind",POWER(Upgrades!$U$7,F171),1)*IF(Upgrades!$T$8="Solar Wind",POWER(Upgrades!$U$8,G171),1)*IF(Upgrades!$T$9="Solar Wind",POWER(Upgrades!$U$9,H171),1)*IF(Upgrades!$T$10="Solar Wind",POWER(Upgrades!$U$10,I171),1)*IF(Upgrades!$T$11="Solar Wind",POWER(Upgrades!$U$11,J171),1)*IF(Upgrades!$T$12="Solar Wind",POWER(Upgrades!$U$12,K171),1))+(IF(F171=0,0,(Upgrades!$G$7+F171*Upgrades!$H$7)*POWER(Upgrades!$I$7,F171)))*(IF(Upgrades!$T$6="Asteroid Belt",POWER(Upgrades!$U$6,E171),1)*IF(Upgrades!$T$8="Asteroid Belt",POWER(Upgrades!$U$8,G171),1)*IF(Upgrades!$T$9="Asteroid Belt",POWER(Upgrades!$U$9,H171),1)*IF(Upgrades!$T$10="Asteroid Belt",POWER(Upgrades!$U$10,I171),1)*IF(Upgrades!$T$11="Asteroid Belt",POWER(Upgrades!$U$11,J171),1)*IF(Upgrades!$T$12="Asteroid Belt",POWER(Upgrades!$U$12,K171),1))+(IF(G171=0,0,(Upgrades!$G$8+G171*Upgrades!$H$8)*POWER(Upgrades!$I$8,G171)))*(IF(Upgrades!$T$6="Stellar Coupling",POWER(Upgrades!$U$6,E171),1)*IF(Upgrades!$T$7="Stellar Coupling",POWER(Upgrades!$U$7,F171),1)*IF(Upgrades!$T$9="Stellar Coupling",POWER(Upgrades!$U$9,H171),1)*IF(Upgrades!$T$10="Stellar Coupling",POWER(Upgrades!$U$10,I171),1)*IF(Upgrades!$T$11="Stellar Coupling",POWER(Upgrades!$U$11,J171),1)*IF(Upgrades!$T$12="Stellar Coupling",POWER(Upgrades!$U$12,K171),1))+(IF(H171=0,0,(Upgrades!$G$9+H171*Upgrades!$H$9)*POWER(Upgrades!$I$9,H171)))*(IF(Upgrades!$T$6="Magnetosphere",POWER(Upgrades!$U$6,E171),1)*IF(Upgrades!$T$7="Magnetosphere",POWER(Upgrades!$U$7,F171),1)*IF(Upgrades!$T$8="Magnetosphere",POWER(Upgrades!$U$8,G171),1)*IF(Upgrades!$T$10="Magnetosphere",POWER(Upgrades!$U$10,I171),1)*IF(Upgrades!$T$11="Magnetosphere",POWER(Upgrades!$U$11,J171),1)*IF(Upgrades!$T$12="Magnetosphere",POWER(Upgrades!$U$12,K171),1))+(IF(I171=0,0,(Upgrades!$G$10+I171*Upgrades!$H$10)*POWER(Upgrades!$I$10,I171)))*(IF(Upgrades!$T$6="Orbital Resonance",POWER(Upgrades!$U$6,E171),1)*IF(Upgrades!$T$7="Orbital Resonance",POWER(Upgrades!$U$7,F171),1)*IF(Upgrades!$T$8="Orbital Resonance",POWER(Upgrades!$U$8,G171),1)*IF(Upgrades!$T$9="Orbital Resonance",POWER(Upgrades!$U$9,H171),1)*IF(Upgrades!$T$11="Orbital Resonance",POWER(Upgrades!$U$11,J171),1)*IF(Upgrades!$T$12="Orbital Resonance",POWER(Upgrades!$U$12,K171),1))+(IF(J171=0,0,(Upgrades!$G$11+J171*Upgrades!$H$11)*POWER(Upgrades!$I$11,J171)))*(IF(Upgrades!$T$6="Heliopause",POWER(Upgrades!$U$6,E171),1)*IF(Upgrades!$T$7="Heliopause",POWER(Upgrades!$U$7,F171),1)*IF(Upgrades!$T$8="Heliopause",POWER(Upgrades!$U$8,G171),1)*IF(Upgrades!$T$9="Heliopause",POWER(Upgrades!$U$9,H171),1)*IF(Upgrades!$T$10="Heliopause",POWER(Upgrades!$U$10,I171),1)*IF(Upgrades!$T$12="Heliopause",POWER(Upgrades!$U$12,K171),1))+(IF(K171=0,0,(Upgrades!$G$12+K171*Upgrades!$H$12)*POWER(Upgrades!$I$12,K171)))*(IF(Upgrades!$T$6="First Photons",POWER(Upgrades!$U$6,E171),1)*IF(Upgrades!$T$7="First Photons",POWER(Upgrades!$U$7,F171),1)*IF(Upgrades!$T$8="First Photons",POWER(Upgrades!$U$8,G171),1)*IF(Upgrades!$T$9="First Photons",POWER(Upgrades!$U$9,H171),1)*IF(Upgrades!$T$10="First Photons",POWER(Upgrades!$U$10,I171),1)*IF(Upgrades!$T$11="First Photons",POWER(Upgrades!$U$11,J171),1)))*POWER(Upgrades!$P$6,E171)*POWER(Upgrades!$P$7,F171)*POWER(Upgrades!$P$8,G171)*POWER(Upgrades!$P$9,H171)*POWER(Upgrades!$P$10,I171)*POWER(Upgrades!$P$11,J171)*POWER(Upgrades!$P$12,K171)</f>
        <v>11.2</v>
      </c>
      <c r="O171" s="28" t="n">
        <f aca="false">((IF(E171=0,0,(Upgrades!$M$6+E171*Upgrades!$N$6)*POWER(Upgrades!$O$6,E171)))*(IF(Upgrades!$T$7="Solar Wind",POWER(Upgrades!$U$7,F171),1)*IF(Upgrades!$T$8="Solar Wind",POWER(Upgrades!$U$8,G171),1)*IF(Upgrades!$T$9="Solar Wind",POWER(Upgrades!$U$9,H171),1)*IF(Upgrades!$T$10="Solar Wind",POWER(Upgrades!$U$10,I171),1)*IF(Upgrades!$T$11="Solar Wind",POWER(Upgrades!$U$11,J171),1)*IF(Upgrades!$T$12="Solar Wind",POWER(Upgrades!$U$12,K171),1))+(IF(F171=0,0,(Upgrades!$M$7+F171*Upgrades!$N$7)*POWER(Upgrades!$O$7,F171)))*(IF(Upgrades!$T$6="Asteroid Belt",POWER(Upgrades!$U$6,E171),1)*IF(Upgrades!$T$8="Asteroid Belt",POWER(Upgrades!$U$8,G171),1)*IF(Upgrades!$T$9="Asteroid Belt",POWER(Upgrades!$U$9,H171),1)*IF(Upgrades!$T$10="Asteroid Belt",POWER(Upgrades!$U$10,I171),1)*IF(Upgrades!$T$11="Asteroid Belt",POWER(Upgrades!$U$11,J171),1)*IF(Upgrades!$T$12="Asteroid Belt",POWER(Upgrades!$U$12,K171),1))+(IF(G171=0,0,(Upgrades!$M$8+G171*Upgrades!$N$8)*POWER(Upgrades!$O$8,G171)))*(IF(Upgrades!$T$6="Stellar Coupling",POWER(Upgrades!$U$6,E171),1)*IF(Upgrades!$T$7="Stellar Coupling",POWER(Upgrades!$U$7,F171),1)*IF(Upgrades!$T$9="Stellar Coupling",POWER(Upgrades!$U$9,H171),1)*IF(Upgrades!$T$10="Stellar Coupling",POWER(Upgrades!$U$10,I171),1)*IF(Upgrades!$T$11="Stellar Coupling",POWER(Upgrades!$U$11,J171),1)*IF(Upgrades!$T$12="Stellar Coupling",POWER(Upgrades!$U$12,K171),1))+(IF(H171=0,0,(Upgrades!$M$9+H171*Upgrades!$N$9)*POWER(Upgrades!$O$9,H171)))*(IF(Upgrades!$T$6="Magnetosphere",POWER(Upgrades!$U$6,E171),1)*IF(Upgrades!$T$7="Magnetosphere",POWER(Upgrades!$U$7,F171),1)*IF(Upgrades!$T$8="Magnetosphere",POWER(Upgrades!$U$8,G171),1)*IF(Upgrades!$T$10="Magnetosphere",POWER(Upgrades!$U$10,I171),1)*IF(Upgrades!$T$11="Magnetosphere",POWER(Upgrades!$U$11,J171),1)*IF(Upgrades!$T$12="Magnetosphere",POWER(Upgrades!$U$12,K171),1))+(IF(I171=0,0,(Upgrades!$M$10+I171*Upgrades!$N$10)*POWER(Upgrades!$O$10,I171)))*(IF(Upgrades!$T$6="Orbital Resonance",POWER(Upgrades!$U$6,E171),1)*IF(Upgrades!$T$7="Orbital Resonance",POWER(Upgrades!$U$7,F171),1)*IF(Upgrades!$T$8="Orbital Resonance",POWER(Upgrades!$U$8,G171),1)*IF(Upgrades!$T$9="Orbital Resonance",POWER(Upgrades!$U$9,H171),1)*IF(Upgrades!$T$11="Orbital Resonance",POWER(Upgrades!$U$11,J171),1)*IF(Upgrades!$T$12="Orbital Resonance",POWER(Upgrades!$U$12,K171),1))+(IF(J171=0,0,(Upgrades!$M$11+J171*Upgrades!$N$11)*POWER(Upgrades!$O$11,J171)))*(IF(Upgrades!$T$6="Heliopause",POWER(Upgrades!$U$6,E171),1)*IF(Upgrades!$T$7="Heliopause",POWER(Upgrades!$U$7,F171),1)*IF(Upgrades!$T$8="Heliopause",POWER(Upgrades!$U$8,G171),1)*IF(Upgrades!$T$9="Heliopause",POWER(Upgrades!$U$9,H171),1)*IF(Upgrades!$T$10="Heliopause",POWER(Upgrades!$U$10,I171),1)*IF(Upgrades!$T$12="Heliopause",POWER(Upgrades!$U$12,K171),1))+(IF(K171=0,0,(Upgrades!$M$12+K171*Upgrades!$N$12)*POWER(Upgrades!$O$12,K171)))*(IF(Upgrades!$T$6="First Photons",POWER(Upgrades!$U$6,E171),1)*IF(Upgrades!$T$7="First Photons",POWER(Upgrades!$U$7,F171),1)*IF(Upgrades!$T$8="First Photons",POWER(Upgrades!$U$8,G171),1)*IF(Upgrades!$T$9="First Photons",POWER(Upgrades!$U$9,H171),1)*IF(Upgrades!$T$10="First Photons",POWER(Upgrades!$U$10,I171),1)*IF(Upgrades!$T$11="First Photons",POWER(Upgrades!$U$11,J171),1)))*POWER(Upgrades!$R$6,E171)*POWER(Upgrades!$R$7,F171)*POWER(Upgrades!$R$8,G171)*POWER(Upgrades!$R$9,H171)*POWER(Upgrades!$R$10,I171)*POWER(Upgrades!$R$11,J171)*POWER(Upgrades!$R$12,K171)</f>
        <v>0</v>
      </c>
      <c r="P171" s="27" t="n">
        <f aca="false">IF(L171=1,0,M171*Parameters!$B$10/60*Parameters!$B$11*10)</f>
        <v>0</v>
      </c>
      <c r="Q171" s="27" t="n">
        <f aca="false">IF(L171=1,0,O171*M171*10)</f>
        <v>0</v>
      </c>
      <c r="R171" s="27" t="n">
        <f aca="false">IF(L171=1,0,N171*10)</f>
        <v>0</v>
      </c>
      <c r="S171" s="27" t="n">
        <f aca="false">P171+Q171+R171</f>
        <v>0</v>
      </c>
      <c r="T171" s="21" t="n">
        <f aca="false">C171+S171</f>
        <v>18.6730249835055</v>
      </c>
      <c r="U171" s="34" t="str">
        <f aca="false">AX171</f>
        <v/>
      </c>
      <c r="V171" s="21" t="n">
        <f aca="false">IF(U171="",0,IF(U171="transition",0,IF(U171="SW",AG171,IF(U171="AB",AH171,IF(U171="SC",AI171,IF(U171="Mag",AJ171,IF(U171="OR",AK171,IF(U171="HP",AL171,IF(U171="FP",AM171,0)))))))))</f>
        <v>0</v>
      </c>
      <c r="W171" s="27" t="n">
        <f aca="false">IF(U171="OR",Upgrades!$F$10,IF(U171="HP",Upgrades!$F$11,IF(U171="transition",-Parameters!$B$18,0)))</f>
        <v>0</v>
      </c>
      <c r="X171" s="21" t="n">
        <f aca="false">T171-V171</f>
        <v>18.6730249835055</v>
      </c>
      <c r="Y171" s="30" t="n">
        <f aca="false">M171*Parameters!$B$10/60*Parameters!$B$11+O171*M171+N171</f>
        <v>20.55</v>
      </c>
      <c r="Z171" s="35" t="str">
        <f aca="false">IF(U171="transition","→ Tier 2 (Stellar Neighborhood)",IF(U171="FP","First Photons — light begins, system quickens",IF(U171="HP","Heliopause acquired",IF(U171="OR","Orbital Resonance — passive multiplier active",IF(AND(AO171=1,L171=0,AN171&lt;&gt;1),"Cohesion ready (waiting on completionist upgrades)","")))))</f>
        <v/>
      </c>
      <c r="AA171" s="27" t="n">
        <f aca="false">(IF(E171=0,0,(Upgrades!$G$6+E171*Upgrades!$H$6)*POWER(Upgrades!$I$6,E171)))*(IF(Upgrades!$T$7="Solar Wind",POWER(Upgrades!$U$7,F171),1)*IF(Upgrades!$T$8="Solar Wind",POWER(Upgrades!$U$8,G171),1)*IF(Upgrades!$T$9="Solar Wind",POWER(Upgrades!$U$9,H171),1)*IF(Upgrades!$T$10="Solar Wind",POWER(Upgrades!$U$10,I171),1)*IF(Upgrades!$T$11="Solar Wind",POWER(Upgrades!$U$11,J171),1)*IF(Upgrades!$T$12="Solar Wind",POWER(Upgrades!$U$12,K171),1))*POWER(Upgrades!$P$6,E171)*POWER(Upgrades!$P$7,F171)*POWER(Upgrades!$P$8,G171)*POWER(Upgrades!$P$9,H171)*POWER(Upgrades!$P$10,I171)*POWER(Upgrades!$P$11,J171)*POWER(Upgrades!$P$12,K171)*60</f>
        <v>72</v>
      </c>
      <c r="AB171" s="27" t="n">
        <f aca="false">(IF(F171=0,0,(Upgrades!$G$7+F171*Upgrades!$H$7)*POWER(Upgrades!$I$7,F171)))*(IF(Upgrades!$T$6="Asteroid Belt",POWER(Upgrades!$U$6,E171),1)*IF(Upgrades!$T$8="Asteroid Belt",POWER(Upgrades!$U$8,G171),1)*IF(Upgrades!$T$9="Asteroid Belt",POWER(Upgrades!$U$9,H171),1)*IF(Upgrades!$T$10="Asteroid Belt",POWER(Upgrades!$U$10,I171),1)*IF(Upgrades!$T$11="Asteroid Belt",POWER(Upgrades!$U$11,J171),1)*IF(Upgrades!$T$12="Asteroid Belt",POWER(Upgrades!$U$12,K171),1))*POWER(Upgrades!$P$6,E171)*POWER(Upgrades!$P$7,F171)*POWER(Upgrades!$P$8,G171)*POWER(Upgrades!$P$9,H171)*POWER(Upgrades!$P$10,I171)*POWER(Upgrades!$P$11,J171)*POWER(Upgrades!$P$12,K171)*60</f>
        <v>150</v>
      </c>
      <c r="AC171" s="27" t="n">
        <f aca="false">(IF(G171=0,0,(Upgrades!$J$8+G171*Upgrades!$K$8)*POWER(Upgrades!$L$8,G171)))*(IF(Upgrades!$T$6="Stellar Coupling",POWER(Upgrades!$U$6,E171),1)*IF(Upgrades!$T$7="Stellar Coupling",POWER(Upgrades!$U$7,F171),1)*IF(Upgrades!$T$9="Stellar Coupling",POWER(Upgrades!$U$9,H171),1)*IF(Upgrades!$T$10="Stellar Coupling",POWER(Upgrades!$U$10,I171),1)*IF(Upgrades!$T$11="Stellar Coupling",POWER(Upgrades!$U$11,J171),1)*IF(Upgrades!$T$12="Stellar Coupling",POWER(Upgrades!$U$12,K171),1))*POWER(Upgrades!$Q$6,E171)*POWER(Upgrades!$Q$7,F171)*POWER(Upgrades!$Q$8,G171)*POWER(Upgrades!$Q$9,H171)*POWER(Upgrades!$Q$10,I171)*POWER(Upgrades!$Q$11,J171)*POWER(Upgrades!$Q$12,K171)*Parameters!$B$10*Parameters!$B$11</f>
        <v>441</v>
      </c>
      <c r="AD171" s="27" t="n">
        <f aca="false">(IF(H171=0,0,(Upgrades!$G$9+H171*Upgrades!$H$9)*POWER(Upgrades!$I$9,H171)))*(IF(Upgrades!$T$6="Magnetosphere",POWER(Upgrades!$U$6,E171),1)*IF(Upgrades!$T$7="Magnetosphere",POWER(Upgrades!$U$7,F171),1)*IF(Upgrades!$T$8="Magnetosphere",POWER(Upgrades!$U$8,G171),1)*IF(Upgrades!$T$10="Magnetosphere",POWER(Upgrades!$U$10,I171),1)*IF(Upgrades!$T$11="Magnetosphere",POWER(Upgrades!$U$11,J171),1)*IF(Upgrades!$T$12="Magnetosphere",POWER(Upgrades!$U$12,K171),1))*POWER(Upgrades!$P$6,E171)*POWER(Upgrades!$P$7,F171)*POWER(Upgrades!$P$8,G171)*POWER(Upgrades!$P$9,H171)*POWER(Upgrades!$P$10,I171)*POWER(Upgrades!$P$11,J171)*POWER(Upgrades!$P$12,K171)*60</f>
        <v>375</v>
      </c>
      <c r="AE171" s="27" t="n">
        <f aca="false">(IF(K171=0,0,(Upgrades!$G$12+K171*Upgrades!$H$12)*POWER(Upgrades!$I$12,K171)))*(IF(Upgrades!$T$6="First Photons",POWER(Upgrades!$U$6,E171),1)*IF(Upgrades!$T$7="First Photons",POWER(Upgrades!$U$7,F171),1)*IF(Upgrades!$T$8="First Photons",POWER(Upgrades!$U$8,G171),1)*IF(Upgrades!$T$9="First Photons",POWER(Upgrades!$U$9,H171),1)*IF(Upgrades!$T$10="First Photons",POWER(Upgrades!$U$10,I171),1)*IF(Upgrades!$T$11="First Photons",POWER(Upgrades!$U$11,J171),1))*POWER(Upgrades!$P$6,E171)*POWER(Upgrades!$P$7,F171)*POWER(Upgrades!$P$8,G171)*POWER(Upgrades!$P$9,H171)*POWER(Upgrades!$P$10,I171)*POWER(Upgrades!$P$11,J171)*POWER(Upgrades!$P$12,K171)*60</f>
        <v>75</v>
      </c>
      <c r="AF171" s="27" t="n">
        <f aca="false">Parameters!$B$9*POWER(Upgrades!$Q$6,E171)*POWER(Upgrades!$Q$7,F171)*POWER(Upgrades!$Q$8,G171)*POWER(Upgrades!$Q$9,H171)*POWER(Upgrades!$Q$10,I171)*POWER(Upgrades!$Q$11,J171)*POWER(Upgrades!$Q$12,K171)*(Parameters!$B$10*Parameters!$B$11+O171*60)</f>
        <v>120</v>
      </c>
      <c r="AG171" s="21" t="n">
        <f aca="false">IF(E171&gt;=Upgrades!$E$6,"",Upgrades!$C$6*POWER(Upgrades!$D$6,E171))</f>
        <v>37.4517507383159</v>
      </c>
      <c r="AH171" s="21" t="n">
        <f aca="false">IF(F171&gt;=Upgrades!$E$7,"",Upgrades!$C$7*POWER(Upgrades!$D$7,F171))</f>
        <v>80.9111547141581</v>
      </c>
      <c r="AI171" s="21" t="n">
        <f aca="false">IF(G171&gt;=Upgrades!$E$8,"",Upgrades!$C$8*POWER(Upgrades!$D$8,G171))</f>
        <v>231.9097088</v>
      </c>
      <c r="AJ171" s="21" t="str">
        <f aca="false">IF(H171&gt;=Upgrades!$E$9,"",Upgrades!$C$9*POWER(Upgrades!$D$9,H171))</f>
        <v/>
      </c>
      <c r="AK171" s="21" t="str">
        <f aca="false">IF(I171&gt;=Upgrades!$E$10,"",Upgrades!$C$10*POWER(Upgrades!$D$10,I171))</f>
        <v/>
      </c>
      <c r="AL171" s="21" t="str">
        <f aca="false">IF(J171&gt;=Upgrades!$E$11,"",Upgrades!$C$11*POWER(Upgrades!$D$11,J171))</f>
        <v/>
      </c>
      <c r="AM171" s="21" t="str">
        <f aca="false">IF(K171&gt;=Upgrades!$E$12,"",Upgrades!$C$12*POWER(Upgrades!$D$12,K171))</f>
        <v/>
      </c>
      <c r="AN171" s="26" t="str">
        <f aca="false">IF(AND(D171&gt;=Parameters!$B$18,(H171&gt;=Upgrades!$E$9)*(K171&gt;=Upgrades!$E$12)=1,L171=0),1,"")</f>
        <v/>
      </c>
      <c r="AO171" s="26" t="str">
        <f aca="false">IF(AND(D171&gt;=Parameters!$B$18,L171=0),1,"")</f>
        <v/>
      </c>
      <c r="AP171" s="21" t="n">
        <f aca="false">MIN(IF(ISNUMBER(AK171),AK171,9000000000000000),IF(ISNUMBER(AL171),AL171,9000000000000000),IF(ISNUMBER(AM171),AM171,9000000000000000))</f>
        <v>9000000000000000</v>
      </c>
      <c r="AQ171" s="21" t="n">
        <f aca="false">MIN(IF(ISNUMBER(AG171),AG171,9000000000000000),IF(ISNUMBER(AH171),AH171,9000000000000000),IF(ISNUMBER(AI171),AI171,9000000000000000),IF(ISNUMBER(AJ171),AJ171,9000000000000000))</f>
        <v>37.4517507383159</v>
      </c>
      <c r="AR171" s="32" t="b">
        <f aca="false">IF(AW171&gt;Parameters!$B$21*(MAX(IF(AND(NOT(AND(AO171=1,AN171&lt;&gt;1)),ISNUMBER(AG171),AG171&lt;=T171),AS171,0),IF(AND(NOT(AND(AO171=1,AN171&lt;&gt;1)),ISNUMBER(AH171),AH171&lt;=T171),AT171,0),IF(AND(NOT(AND(AO171=1,AN171&lt;&gt;1)),ISNUMBER(AI171),AI171&lt;=T171),AU171,0),IF(AND(ISNUMBER(AJ171),AJ171&lt;=T171),AV171,0))),TRUE(),FALSE())</f>
        <v>1</v>
      </c>
      <c r="AS171" s="33" t="n">
        <f aca="false">IFERROR(Upgrades!$H$6*(POWER(Upgrades!$P$6,E171)*POWER(Upgrades!$P$7,F171)*POWER(Upgrades!$P$8,G171)*POWER(Upgrades!$P$9,H171)*POWER(Upgrades!$P$10,I171)*POWER(Upgrades!$P$11,J171)*POWER(Upgrades!$P$12,K171))*(IF(Upgrades!$T$7="Solar Wind",POWER(Upgrades!$U$7,F171),1)*IF(Upgrades!$T$8="Solar Wind",POWER(Upgrades!$U$8,G171),1)*IF(Upgrades!$T$9="Solar Wind",POWER(Upgrades!$U$9,H171),1)*IF(Upgrades!$T$10="Solar Wind",POWER(Upgrades!$U$10,I171),1)*IF(Upgrades!$T$11="Solar Wind",POWER(Upgrades!$U$11,J171),1)*IF(Upgrades!$T$12="Solar Wind",POWER(Upgrades!$U$12,K171),1))/AG171,0)</f>
        <v>0.0026701021455238</v>
      </c>
      <c r="AT171" s="33" t="n">
        <f aca="false">IFERROR(Upgrades!$H$7*(POWER(Upgrades!$P$6,E171)*POWER(Upgrades!$P$7,F171)*POWER(Upgrades!$P$8,G171)*POWER(Upgrades!$P$9,H171)*POWER(Upgrades!$P$10,I171)*POWER(Upgrades!$P$11,J171)*POWER(Upgrades!$P$12,K171))*(IF(Upgrades!$T$6="Asteroid Belt",POWER(Upgrades!$U$6,E171),1)*IF(Upgrades!$T$8="Asteroid Belt",POWER(Upgrades!$U$8,G171),1)*IF(Upgrades!$T$9="Asteroid Belt",POWER(Upgrades!$U$9,H171),1)*IF(Upgrades!$T$10="Asteroid Belt",POWER(Upgrades!$U$10,I171),1)*IF(Upgrades!$T$11="Asteroid Belt",POWER(Upgrades!$U$11,J171),1)*IF(Upgrades!$T$12="Asteroid Belt",POWER(Upgrades!$U$12,K171),1))/AH171,0)</f>
        <v>0.00308980882652332</v>
      </c>
      <c r="AU171" s="33" t="n">
        <f aca="false">IFERROR(Upgrades!$K$8*(POWER(Upgrades!$Q$6,E171)*POWER(Upgrades!$Q$7,F171)*POWER(Upgrades!$Q$8,G171)*POWER(Upgrades!$Q$9,H171)*POWER(Upgrades!$Q$10,I171)*POWER(Upgrades!$Q$11,J171)*POWER(Upgrades!$Q$12,K171))*(IF(Upgrades!$T$6="Stellar Coupling",POWER(Upgrades!$U$6,E171),1)*IF(Upgrades!$T$7="Stellar Coupling",POWER(Upgrades!$U$7,F171),1)*IF(Upgrades!$T$9="Stellar Coupling",POWER(Upgrades!$U$9,H171),1)*IF(Upgrades!$T$10="Stellar Coupling",POWER(Upgrades!$U$10,I171),1)*IF(Upgrades!$T$11="Stellar Coupling",POWER(Upgrades!$U$11,J171),1)*IF(Upgrades!$T$12="Stellar Coupling",POWER(Upgrades!$U$12,K171),1))*Parameters!$B$10*Parameters!$B$11/60/AI171,0)</f>
        <v>0.00452762415783776</v>
      </c>
      <c r="AV171" s="33" t="n">
        <f aca="false">IFERROR(Upgrades!$H$9*(POWER(Upgrades!$P$6,E171)*POWER(Upgrades!$P$7,F171)*POWER(Upgrades!$P$8,G171)*POWER(Upgrades!$P$9,H171)*POWER(Upgrades!$P$10,I171)*POWER(Upgrades!$P$11,J171)*POWER(Upgrades!$P$12,K171))*(IF(Upgrades!$T$6="Magnetosphere",POWER(Upgrades!$U$6,E171),1)*IF(Upgrades!$T$7="Magnetosphere",POWER(Upgrades!$U$7,F171),1)*IF(Upgrades!$T$8="Magnetosphere",POWER(Upgrades!$U$8,G171),1)*IF(Upgrades!$T$10="Magnetosphere",POWER(Upgrades!$U$10,I171),1)*IF(Upgrades!$T$11="Magnetosphere",POWER(Upgrades!$U$11,J171),1)*IF(Upgrades!$T$12="Magnetosphere",POWER(Upgrades!$U$12,K171),1))/AJ171,0)</f>
        <v>0</v>
      </c>
      <c r="AW171" s="33" t="n">
        <f aca="false">MAX(IF(I171&gt;0,0,IFERROR(0.25*N171/Upgrades!$C$10,0)),IF(J171&gt;0,0,IFERROR(0.5*((IF(G171=0,0,(Upgrades!$J$8+G171*Upgrades!$K$8)*POWER(Upgrades!$L$8,G171)))*(IF(Upgrades!$T$6="Stellar Coupling",POWER(Upgrades!$U$6,E171),1)*IF(Upgrades!$T$7="Stellar Coupling",POWER(Upgrades!$U$7,F171),1)*IF(Upgrades!$T$9="Stellar Coupling",POWER(Upgrades!$U$9,H171),1)*IF(Upgrades!$T$10="Stellar Coupling",POWER(Upgrades!$U$10,I171),1)*IF(Upgrades!$T$11="Stellar Coupling",POWER(Upgrades!$U$11,J171),1)*IF(Upgrades!$T$12="Stellar Coupling",POWER(Upgrades!$U$12,K171),1))*(POWER(Upgrades!$Q$6,E171)*POWER(Upgrades!$Q$7,F171)*POWER(Upgrades!$Q$8,G171)*POWER(Upgrades!$Q$9,H171)*POWER(Upgrades!$Q$10,I171)*POWER(Upgrades!$Q$11,J171)*POWER(Upgrades!$Q$12,K171))*Parameters!$B$10*Parameters!$B$11/60)/Upgrades!$C$11,0)),IF(K171&gt;0,0,IFERROR((1*(POWER(Upgrades!$P$6,E171)*POWER(Upgrades!$P$7,F171)*POWER(Upgrades!$P$8,G171)*POWER(Upgrades!$P$9,H171)*POWER(Upgrades!$P$10,I171)*POWER(Upgrades!$P$11,J171)*POWER(Upgrades!$P$12,K171))+0.2*M171*Parameters!$B$10*Parameters!$B$11/60)/Upgrades!$C$12,0)),IF(AND(ISNUMBER(AG171),AG171&gt;T171),AS171,0),IF(AND(ISNUMBER(AH171),AH171&gt;T171),AT171,0),IF(AND(ISNUMBER(AI171),AI171&gt;T171),AU171,0),IF(AND(ISNUMBER(AJ171),AJ171&gt;T171),AV171,0))</f>
        <v>0.00452762415783776</v>
      </c>
      <c r="AX171" s="29" t="str">
        <f aca="false">IF(AN171=1,"transition",IF(MIN(IF(AND(I171=0,ISNUMBER(AK171),AK171&lt;=T171),AK171,9000000000000000),IF(AND(J171=0,ISNUMBER(AL171),AL171&lt;=T171),AL171,9000000000000000),IF(AND(K171=0,ISNUMBER(AM171),AM171&lt;=T171),AM171,9000000000000000))&lt;9000000000000000,IF(AND(AND(I171=0,ISNUMBER(AK171),AK171&lt;=T171),AK171=MIN(IF(AND(I171=0,ISNUMBER(AK171),AK171&lt;=T171),AK171,9000000000000000),IF(AND(J171=0,ISNUMBER(AL171),AL171&lt;=T171),AL171,9000000000000000),IF(AND(K171=0,ISNUMBER(AM171),AM171&lt;=T171),AM171,9000000000000000))),"OR",IF(AND(AND(J171=0,ISNUMBER(AL171),AL171&lt;=T171),AL171=MIN(IF(AND(I171=0,ISNUMBER(AK171),AK171&lt;=T171),AK171,9000000000000000),IF(AND(J171=0,ISNUMBER(AL171),AL171&lt;=T171),AL171,9000000000000000),IF(AND(K171=0,ISNUMBER(AM171),AM171&lt;=T171),AM171,9000000000000000))),"HP","FP")),IF(AR171=TRUE(),"",IF(MAX(IF(AND(NOT(AND(AO171=1,AN171&lt;&gt;1)),ISNUMBER(AG171),AG171&lt;=T171),AS171,0),IF(AND(NOT(AND(AO171=1,AN171&lt;&gt;1)),ISNUMBER(AH171),AH171&lt;=T171),AT171,0),IF(AND(NOT(AND(AO171=1,AN171&lt;&gt;1)),ISNUMBER(AI171),AI171&lt;=T171),AU171,0),IF(AND(ISNUMBER(AJ171),AJ171&lt;=T171),AV171,0))&lt;=0,"",IF(AND(IF(AND(NOT(AND(AO171=1,AN171&lt;&gt;1)),ISNUMBER(AG171),AG171&lt;=T171),AS171,0)&gt;0,IF(AND(NOT(AND(AO171=1,AN171&lt;&gt;1)),ISNUMBER(AG171),AG171&lt;=T171),AS171,0)=MAX(IF(AND(NOT(AND(AO171=1,AN171&lt;&gt;1)),ISNUMBER(AG171),AG171&lt;=T171),AS171,0),IF(AND(NOT(AND(AO171=1,AN171&lt;&gt;1)),ISNUMBER(AH171),AH171&lt;=T171),AT171,0),IF(AND(NOT(AND(AO171=1,AN171&lt;&gt;1)),ISNUMBER(AI171),AI171&lt;=T171),AU171,0),IF(AND(ISNUMBER(AJ171),AJ171&lt;=T171),AV171,0))),"SW",IF(AND(IF(AND(NOT(AND(AO171=1,AN171&lt;&gt;1)),ISNUMBER(AH171),AH171&lt;=T171),AT171,0)&gt;0,IF(AND(NOT(AND(AO171=1,AN171&lt;&gt;1)),ISNUMBER(AH171),AH171&lt;=T171),AT171,0)=MAX(IF(AND(NOT(AND(AO171=1,AN171&lt;&gt;1)),ISNUMBER(AG171),AG171&lt;=T171),AS171,0),IF(AND(NOT(AND(AO171=1,AN171&lt;&gt;1)),ISNUMBER(AH171),AH171&lt;=T171),AT171,0),IF(AND(NOT(AND(AO171=1,AN171&lt;&gt;1)),ISNUMBER(AI171),AI171&lt;=T171),AU171,0),IF(AND(ISNUMBER(AJ171),AJ171&lt;=T171),AV171,0))),"AB",IF(AND(IF(AND(NOT(AND(AO171=1,AN171&lt;&gt;1)),ISNUMBER(AI171),AI171&lt;=T171),AU171,0)&gt;0,IF(AND(NOT(AND(AO171=1,AN171&lt;&gt;1)),ISNUMBER(AI171),AI171&lt;=T171),AU171,0)=MAX(IF(AND(NOT(AND(AO171=1,AN171&lt;&gt;1)),ISNUMBER(AG171),AG171&lt;=T171),AS171,0),IF(AND(NOT(AND(AO171=1,AN171&lt;&gt;1)),ISNUMBER(AH171),AH171&lt;=T171),AT171,0),IF(AND(NOT(AND(AO171=1,AN171&lt;&gt;1)),ISNUMBER(AI171),AI171&lt;=T171),AU171,0),IF(AND(ISNUMBER(AJ171),AJ171&lt;=T171),AV171,0))),"SC","Mag")))))))</f>
        <v/>
      </c>
    </row>
    <row r="172" customFormat="false" ht="15" hidden="false" customHeight="false" outlineLevel="0" collapsed="false">
      <c r="A172" s="26" t="n">
        <v>167</v>
      </c>
      <c r="B172" s="27" t="n">
        <f aca="false">A172*10/60</f>
        <v>27.8333333333333</v>
      </c>
      <c r="C172" s="21" t="n">
        <f aca="false">X171</f>
        <v>18.6730249835055</v>
      </c>
      <c r="D172" s="27" t="n">
        <f aca="false">D171+W171</f>
        <v>0</v>
      </c>
      <c r="E172" s="26" t="n">
        <f aca="false">E171+IF(U171="SW",1,0)</f>
        <v>12</v>
      </c>
      <c r="F172" s="26" t="n">
        <f aca="false">F171+IF(U171="AB",1,0)</f>
        <v>10</v>
      </c>
      <c r="G172" s="26" t="n">
        <f aca="false">G171+IF(U171="SC",1,0)</f>
        <v>7</v>
      </c>
      <c r="H172" s="26" t="n">
        <f aca="false">H171+IF(U171="Mag",1,0)</f>
        <v>5</v>
      </c>
      <c r="I172" s="26" t="n">
        <f aca="false">MAX(I171,IF(U171="OR",1,0))</f>
        <v>1</v>
      </c>
      <c r="J172" s="26" t="n">
        <f aca="false">MAX(J171,IF(U171="HP",1,0))</f>
        <v>1</v>
      </c>
      <c r="K172" s="26" t="n">
        <f aca="false">MAX(K171,IF(U171="FP",1,0))</f>
        <v>1</v>
      </c>
      <c r="L172" s="26" t="n">
        <f aca="false">MAX(L171,IF(U171="transition",1,0))</f>
        <v>1</v>
      </c>
      <c r="M172" s="28" t="n">
        <f aca="false">(Parameters!$B$9+(IF(E172=0,0,(Upgrades!$J$6+E172*Upgrades!$K$6)*POWER(Upgrades!$L$6,E172)))*(IF(Upgrades!$T$7="Solar Wind",POWER(Upgrades!$U$7,F172),1)*IF(Upgrades!$T$8="Solar Wind",POWER(Upgrades!$U$8,G172),1)*IF(Upgrades!$T$9="Solar Wind",POWER(Upgrades!$U$9,H172),1)*IF(Upgrades!$T$10="Solar Wind",POWER(Upgrades!$U$10,I172),1)*IF(Upgrades!$T$11="Solar Wind",POWER(Upgrades!$U$11,J172),1)*IF(Upgrades!$T$12="Solar Wind",POWER(Upgrades!$U$12,K172),1))+(IF(F172=0,0,(Upgrades!$J$7+F172*Upgrades!$K$7)*POWER(Upgrades!$L$7,F172)))*(IF(Upgrades!$T$6="Asteroid Belt",POWER(Upgrades!$U$6,E172),1)*IF(Upgrades!$T$8="Asteroid Belt",POWER(Upgrades!$U$8,G172),1)*IF(Upgrades!$T$9="Asteroid Belt",POWER(Upgrades!$U$9,H172),1)*IF(Upgrades!$T$10="Asteroid Belt",POWER(Upgrades!$U$10,I172),1)*IF(Upgrades!$T$11="Asteroid Belt",POWER(Upgrades!$U$11,J172),1)*IF(Upgrades!$T$12="Asteroid Belt",POWER(Upgrades!$U$12,K172),1))+(IF(G172=0,0,(Upgrades!$J$8+G172*Upgrades!$K$8)*POWER(Upgrades!$L$8,G172)))*(IF(Upgrades!$T$6="Stellar Coupling",POWER(Upgrades!$U$6,E172),1)*IF(Upgrades!$T$7="Stellar Coupling",POWER(Upgrades!$U$7,F172),1)*IF(Upgrades!$T$9="Stellar Coupling",POWER(Upgrades!$U$9,H172),1)*IF(Upgrades!$T$10="Stellar Coupling",POWER(Upgrades!$U$10,I172),1)*IF(Upgrades!$T$11="Stellar Coupling",POWER(Upgrades!$U$11,J172),1)*IF(Upgrades!$T$12="Stellar Coupling",POWER(Upgrades!$U$12,K172),1))+(IF(H172=0,0,(Upgrades!$J$9+H172*Upgrades!$K$9)*POWER(Upgrades!$L$9,H172)))*(IF(Upgrades!$T$6="Magnetosphere",POWER(Upgrades!$U$6,E172),1)*IF(Upgrades!$T$7="Magnetosphere",POWER(Upgrades!$U$7,F172),1)*IF(Upgrades!$T$8="Magnetosphere",POWER(Upgrades!$U$8,G172),1)*IF(Upgrades!$T$10="Magnetosphere",POWER(Upgrades!$U$10,I172),1)*IF(Upgrades!$T$11="Magnetosphere",POWER(Upgrades!$U$11,J172),1)*IF(Upgrades!$T$12="Magnetosphere",POWER(Upgrades!$U$12,K172),1))+(IF(I172=0,0,(Upgrades!$J$10+I172*Upgrades!$K$10)*POWER(Upgrades!$L$10,I172)))*(IF(Upgrades!$T$6="Orbital Resonance",POWER(Upgrades!$U$6,E172),1)*IF(Upgrades!$T$7="Orbital Resonance",POWER(Upgrades!$U$7,F172),1)*IF(Upgrades!$T$8="Orbital Resonance",POWER(Upgrades!$U$8,G172),1)*IF(Upgrades!$T$9="Orbital Resonance",POWER(Upgrades!$U$9,H172),1)*IF(Upgrades!$T$11="Orbital Resonance",POWER(Upgrades!$U$11,J172),1)*IF(Upgrades!$T$12="Orbital Resonance",POWER(Upgrades!$U$12,K172),1))+(IF(J172=0,0,(Upgrades!$J$11+J172*Upgrades!$K$11)*POWER(Upgrades!$L$11,J172)))*(IF(Upgrades!$T$6="Heliopause",POWER(Upgrades!$U$6,E172),1)*IF(Upgrades!$T$7="Heliopause",POWER(Upgrades!$U$7,F172),1)*IF(Upgrades!$T$8="Heliopause",POWER(Upgrades!$U$8,G172),1)*IF(Upgrades!$T$9="Heliopause",POWER(Upgrades!$U$9,H172),1)*IF(Upgrades!$T$10="Heliopause",POWER(Upgrades!$U$10,I172),1)*IF(Upgrades!$T$12="Heliopause",POWER(Upgrades!$U$12,K172),1))+(IF(K172=0,0,(Upgrades!$J$12+K172*Upgrades!$K$12)*POWER(Upgrades!$L$12,K172)))*(IF(Upgrades!$T$6="First Photons",POWER(Upgrades!$U$6,E172),1)*IF(Upgrades!$T$7="First Photons",POWER(Upgrades!$U$7,F172),1)*IF(Upgrades!$T$8="First Photons",POWER(Upgrades!$U$8,G172),1)*IF(Upgrades!$T$9="First Photons",POWER(Upgrades!$U$9,H172),1)*IF(Upgrades!$T$10="First Photons",POWER(Upgrades!$U$10,I172),1)*IF(Upgrades!$T$11="First Photons",POWER(Upgrades!$U$11,J172),1)))*POWER(Upgrades!$Q$6,E172)*POWER(Upgrades!$Q$7,F172)*POWER(Upgrades!$Q$8,G172)*POWER(Upgrades!$Q$9,H172)*POWER(Upgrades!$Q$10,I172)*POWER(Upgrades!$Q$11,J172)*POWER(Upgrades!$Q$12,K172)</f>
        <v>5.61</v>
      </c>
      <c r="N172" s="28" t="n">
        <f aca="false">((IF(E172=0,0,(Upgrades!$G$6+E172*Upgrades!$H$6)*POWER(Upgrades!$I$6,E172)))*(IF(Upgrades!$T$7="Solar Wind",POWER(Upgrades!$U$7,F172),1)*IF(Upgrades!$T$8="Solar Wind",POWER(Upgrades!$U$8,G172),1)*IF(Upgrades!$T$9="Solar Wind",POWER(Upgrades!$U$9,H172),1)*IF(Upgrades!$T$10="Solar Wind",POWER(Upgrades!$U$10,I172),1)*IF(Upgrades!$T$11="Solar Wind",POWER(Upgrades!$U$11,J172),1)*IF(Upgrades!$T$12="Solar Wind",POWER(Upgrades!$U$12,K172),1))+(IF(F172=0,0,(Upgrades!$G$7+F172*Upgrades!$H$7)*POWER(Upgrades!$I$7,F172)))*(IF(Upgrades!$T$6="Asteroid Belt",POWER(Upgrades!$U$6,E172),1)*IF(Upgrades!$T$8="Asteroid Belt",POWER(Upgrades!$U$8,G172),1)*IF(Upgrades!$T$9="Asteroid Belt",POWER(Upgrades!$U$9,H172),1)*IF(Upgrades!$T$10="Asteroid Belt",POWER(Upgrades!$U$10,I172),1)*IF(Upgrades!$T$11="Asteroid Belt",POWER(Upgrades!$U$11,J172),1)*IF(Upgrades!$T$12="Asteroid Belt",POWER(Upgrades!$U$12,K172),1))+(IF(G172=0,0,(Upgrades!$G$8+G172*Upgrades!$H$8)*POWER(Upgrades!$I$8,G172)))*(IF(Upgrades!$T$6="Stellar Coupling",POWER(Upgrades!$U$6,E172),1)*IF(Upgrades!$T$7="Stellar Coupling",POWER(Upgrades!$U$7,F172),1)*IF(Upgrades!$T$9="Stellar Coupling",POWER(Upgrades!$U$9,H172),1)*IF(Upgrades!$T$10="Stellar Coupling",POWER(Upgrades!$U$10,I172),1)*IF(Upgrades!$T$11="Stellar Coupling",POWER(Upgrades!$U$11,J172),1)*IF(Upgrades!$T$12="Stellar Coupling",POWER(Upgrades!$U$12,K172),1))+(IF(H172=0,0,(Upgrades!$G$9+H172*Upgrades!$H$9)*POWER(Upgrades!$I$9,H172)))*(IF(Upgrades!$T$6="Magnetosphere",POWER(Upgrades!$U$6,E172),1)*IF(Upgrades!$T$7="Magnetosphere",POWER(Upgrades!$U$7,F172),1)*IF(Upgrades!$T$8="Magnetosphere",POWER(Upgrades!$U$8,G172),1)*IF(Upgrades!$T$10="Magnetosphere",POWER(Upgrades!$U$10,I172),1)*IF(Upgrades!$T$11="Magnetosphere",POWER(Upgrades!$U$11,J172),1)*IF(Upgrades!$T$12="Magnetosphere",POWER(Upgrades!$U$12,K172),1))+(IF(I172=0,0,(Upgrades!$G$10+I172*Upgrades!$H$10)*POWER(Upgrades!$I$10,I172)))*(IF(Upgrades!$T$6="Orbital Resonance",POWER(Upgrades!$U$6,E172),1)*IF(Upgrades!$T$7="Orbital Resonance",POWER(Upgrades!$U$7,F172),1)*IF(Upgrades!$T$8="Orbital Resonance",POWER(Upgrades!$U$8,G172),1)*IF(Upgrades!$T$9="Orbital Resonance",POWER(Upgrades!$U$9,H172),1)*IF(Upgrades!$T$11="Orbital Resonance",POWER(Upgrades!$U$11,J172),1)*IF(Upgrades!$T$12="Orbital Resonance",POWER(Upgrades!$U$12,K172),1))+(IF(J172=0,0,(Upgrades!$G$11+J172*Upgrades!$H$11)*POWER(Upgrades!$I$11,J172)))*(IF(Upgrades!$T$6="Heliopause",POWER(Upgrades!$U$6,E172),1)*IF(Upgrades!$T$7="Heliopause",POWER(Upgrades!$U$7,F172),1)*IF(Upgrades!$T$8="Heliopause",POWER(Upgrades!$U$8,G172),1)*IF(Upgrades!$T$9="Heliopause",POWER(Upgrades!$U$9,H172),1)*IF(Upgrades!$T$10="Heliopause",POWER(Upgrades!$U$10,I172),1)*IF(Upgrades!$T$12="Heliopause",POWER(Upgrades!$U$12,K172),1))+(IF(K172=0,0,(Upgrades!$G$12+K172*Upgrades!$H$12)*POWER(Upgrades!$I$12,K172)))*(IF(Upgrades!$T$6="First Photons",POWER(Upgrades!$U$6,E172),1)*IF(Upgrades!$T$7="First Photons",POWER(Upgrades!$U$7,F172),1)*IF(Upgrades!$T$8="First Photons",POWER(Upgrades!$U$8,G172),1)*IF(Upgrades!$T$9="First Photons",POWER(Upgrades!$U$9,H172),1)*IF(Upgrades!$T$10="First Photons",POWER(Upgrades!$U$10,I172),1)*IF(Upgrades!$T$11="First Photons",POWER(Upgrades!$U$11,J172),1)))*POWER(Upgrades!$P$6,E172)*POWER(Upgrades!$P$7,F172)*POWER(Upgrades!$P$8,G172)*POWER(Upgrades!$P$9,H172)*POWER(Upgrades!$P$10,I172)*POWER(Upgrades!$P$11,J172)*POWER(Upgrades!$P$12,K172)</f>
        <v>11.2</v>
      </c>
      <c r="O172" s="28" t="n">
        <f aca="false">((IF(E172=0,0,(Upgrades!$M$6+E172*Upgrades!$N$6)*POWER(Upgrades!$O$6,E172)))*(IF(Upgrades!$T$7="Solar Wind",POWER(Upgrades!$U$7,F172),1)*IF(Upgrades!$T$8="Solar Wind",POWER(Upgrades!$U$8,G172),1)*IF(Upgrades!$T$9="Solar Wind",POWER(Upgrades!$U$9,H172),1)*IF(Upgrades!$T$10="Solar Wind",POWER(Upgrades!$U$10,I172),1)*IF(Upgrades!$T$11="Solar Wind",POWER(Upgrades!$U$11,J172),1)*IF(Upgrades!$T$12="Solar Wind",POWER(Upgrades!$U$12,K172),1))+(IF(F172=0,0,(Upgrades!$M$7+F172*Upgrades!$N$7)*POWER(Upgrades!$O$7,F172)))*(IF(Upgrades!$T$6="Asteroid Belt",POWER(Upgrades!$U$6,E172),1)*IF(Upgrades!$T$8="Asteroid Belt",POWER(Upgrades!$U$8,G172),1)*IF(Upgrades!$T$9="Asteroid Belt",POWER(Upgrades!$U$9,H172),1)*IF(Upgrades!$T$10="Asteroid Belt",POWER(Upgrades!$U$10,I172),1)*IF(Upgrades!$T$11="Asteroid Belt",POWER(Upgrades!$U$11,J172),1)*IF(Upgrades!$T$12="Asteroid Belt",POWER(Upgrades!$U$12,K172),1))+(IF(G172=0,0,(Upgrades!$M$8+G172*Upgrades!$N$8)*POWER(Upgrades!$O$8,G172)))*(IF(Upgrades!$T$6="Stellar Coupling",POWER(Upgrades!$U$6,E172),1)*IF(Upgrades!$T$7="Stellar Coupling",POWER(Upgrades!$U$7,F172),1)*IF(Upgrades!$T$9="Stellar Coupling",POWER(Upgrades!$U$9,H172),1)*IF(Upgrades!$T$10="Stellar Coupling",POWER(Upgrades!$U$10,I172),1)*IF(Upgrades!$T$11="Stellar Coupling",POWER(Upgrades!$U$11,J172),1)*IF(Upgrades!$T$12="Stellar Coupling",POWER(Upgrades!$U$12,K172),1))+(IF(H172=0,0,(Upgrades!$M$9+H172*Upgrades!$N$9)*POWER(Upgrades!$O$9,H172)))*(IF(Upgrades!$T$6="Magnetosphere",POWER(Upgrades!$U$6,E172),1)*IF(Upgrades!$T$7="Magnetosphere",POWER(Upgrades!$U$7,F172),1)*IF(Upgrades!$T$8="Magnetosphere",POWER(Upgrades!$U$8,G172),1)*IF(Upgrades!$T$10="Magnetosphere",POWER(Upgrades!$U$10,I172),1)*IF(Upgrades!$T$11="Magnetosphere",POWER(Upgrades!$U$11,J172),1)*IF(Upgrades!$T$12="Magnetosphere",POWER(Upgrades!$U$12,K172),1))+(IF(I172=0,0,(Upgrades!$M$10+I172*Upgrades!$N$10)*POWER(Upgrades!$O$10,I172)))*(IF(Upgrades!$T$6="Orbital Resonance",POWER(Upgrades!$U$6,E172),1)*IF(Upgrades!$T$7="Orbital Resonance",POWER(Upgrades!$U$7,F172),1)*IF(Upgrades!$T$8="Orbital Resonance",POWER(Upgrades!$U$8,G172),1)*IF(Upgrades!$T$9="Orbital Resonance",POWER(Upgrades!$U$9,H172),1)*IF(Upgrades!$T$11="Orbital Resonance",POWER(Upgrades!$U$11,J172),1)*IF(Upgrades!$T$12="Orbital Resonance",POWER(Upgrades!$U$12,K172),1))+(IF(J172=0,0,(Upgrades!$M$11+J172*Upgrades!$N$11)*POWER(Upgrades!$O$11,J172)))*(IF(Upgrades!$T$6="Heliopause",POWER(Upgrades!$U$6,E172),1)*IF(Upgrades!$T$7="Heliopause",POWER(Upgrades!$U$7,F172),1)*IF(Upgrades!$T$8="Heliopause",POWER(Upgrades!$U$8,G172),1)*IF(Upgrades!$T$9="Heliopause",POWER(Upgrades!$U$9,H172),1)*IF(Upgrades!$T$10="Heliopause",POWER(Upgrades!$U$10,I172),1)*IF(Upgrades!$T$12="Heliopause",POWER(Upgrades!$U$12,K172),1))+(IF(K172=0,0,(Upgrades!$M$12+K172*Upgrades!$N$12)*POWER(Upgrades!$O$12,K172)))*(IF(Upgrades!$T$6="First Photons",POWER(Upgrades!$U$6,E172),1)*IF(Upgrades!$T$7="First Photons",POWER(Upgrades!$U$7,F172),1)*IF(Upgrades!$T$8="First Photons",POWER(Upgrades!$U$8,G172),1)*IF(Upgrades!$T$9="First Photons",POWER(Upgrades!$U$9,H172),1)*IF(Upgrades!$T$10="First Photons",POWER(Upgrades!$U$10,I172),1)*IF(Upgrades!$T$11="First Photons",POWER(Upgrades!$U$11,J172),1)))*POWER(Upgrades!$R$6,E172)*POWER(Upgrades!$R$7,F172)*POWER(Upgrades!$R$8,G172)*POWER(Upgrades!$R$9,H172)*POWER(Upgrades!$R$10,I172)*POWER(Upgrades!$R$11,J172)*POWER(Upgrades!$R$12,K172)</f>
        <v>0</v>
      </c>
      <c r="P172" s="27" t="n">
        <f aca="false">IF(L172=1,0,M172*Parameters!$B$10/60*Parameters!$B$11*10)</f>
        <v>0</v>
      </c>
      <c r="Q172" s="27" t="n">
        <f aca="false">IF(L172=1,0,O172*M172*10)</f>
        <v>0</v>
      </c>
      <c r="R172" s="27" t="n">
        <f aca="false">IF(L172=1,0,N172*10)</f>
        <v>0</v>
      </c>
      <c r="S172" s="27" t="n">
        <f aca="false">P172+Q172+R172</f>
        <v>0</v>
      </c>
      <c r="T172" s="21" t="n">
        <f aca="false">C172+S172</f>
        <v>18.6730249835055</v>
      </c>
      <c r="U172" s="34" t="str">
        <f aca="false">AX172</f>
        <v/>
      </c>
      <c r="V172" s="21" t="n">
        <f aca="false">IF(U172="",0,IF(U172="transition",0,IF(U172="SW",AG172,IF(U172="AB",AH172,IF(U172="SC",AI172,IF(U172="Mag",AJ172,IF(U172="OR",AK172,IF(U172="HP",AL172,IF(U172="FP",AM172,0)))))))))</f>
        <v>0</v>
      </c>
      <c r="W172" s="27" t="n">
        <f aca="false">IF(U172="OR",Upgrades!$F$10,IF(U172="HP",Upgrades!$F$11,IF(U172="transition",-Parameters!$B$18,0)))</f>
        <v>0</v>
      </c>
      <c r="X172" s="21" t="n">
        <f aca="false">T172-V172</f>
        <v>18.6730249835055</v>
      </c>
      <c r="Y172" s="30" t="n">
        <f aca="false">M172*Parameters!$B$10/60*Parameters!$B$11+O172*M172+N172</f>
        <v>20.55</v>
      </c>
      <c r="Z172" s="35" t="str">
        <f aca="false">IF(U172="transition","→ Tier 2 (Stellar Neighborhood)",IF(U172="FP","First Photons — light begins, system quickens",IF(U172="HP","Heliopause acquired",IF(U172="OR","Orbital Resonance — passive multiplier active",IF(AND(AO172=1,L172=0,AN172&lt;&gt;1),"Cohesion ready (waiting on completionist upgrades)","")))))</f>
        <v/>
      </c>
      <c r="AA172" s="27" t="n">
        <f aca="false">(IF(E172=0,0,(Upgrades!$G$6+E172*Upgrades!$H$6)*POWER(Upgrades!$I$6,E172)))*(IF(Upgrades!$T$7="Solar Wind",POWER(Upgrades!$U$7,F172),1)*IF(Upgrades!$T$8="Solar Wind",POWER(Upgrades!$U$8,G172),1)*IF(Upgrades!$T$9="Solar Wind",POWER(Upgrades!$U$9,H172),1)*IF(Upgrades!$T$10="Solar Wind",POWER(Upgrades!$U$10,I172),1)*IF(Upgrades!$T$11="Solar Wind",POWER(Upgrades!$U$11,J172),1)*IF(Upgrades!$T$12="Solar Wind",POWER(Upgrades!$U$12,K172),1))*POWER(Upgrades!$P$6,E172)*POWER(Upgrades!$P$7,F172)*POWER(Upgrades!$P$8,G172)*POWER(Upgrades!$P$9,H172)*POWER(Upgrades!$P$10,I172)*POWER(Upgrades!$P$11,J172)*POWER(Upgrades!$P$12,K172)*60</f>
        <v>72</v>
      </c>
      <c r="AB172" s="27" t="n">
        <f aca="false">(IF(F172=0,0,(Upgrades!$G$7+F172*Upgrades!$H$7)*POWER(Upgrades!$I$7,F172)))*(IF(Upgrades!$T$6="Asteroid Belt",POWER(Upgrades!$U$6,E172),1)*IF(Upgrades!$T$8="Asteroid Belt",POWER(Upgrades!$U$8,G172),1)*IF(Upgrades!$T$9="Asteroid Belt",POWER(Upgrades!$U$9,H172),1)*IF(Upgrades!$T$10="Asteroid Belt",POWER(Upgrades!$U$10,I172),1)*IF(Upgrades!$T$11="Asteroid Belt",POWER(Upgrades!$U$11,J172),1)*IF(Upgrades!$T$12="Asteroid Belt",POWER(Upgrades!$U$12,K172),1))*POWER(Upgrades!$P$6,E172)*POWER(Upgrades!$P$7,F172)*POWER(Upgrades!$P$8,G172)*POWER(Upgrades!$P$9,H172)*POWER(Upgrades!$P$10,I172)*POWER(Upgrades!$P$11,J172)*POWER(Upgrades!$P$12,K172)*60</f>
        <v>150</v>
      </c>
      <c r="AC172" s="27" t="n">
        <f aca="false">(IF(G172=0,0,(Upgrades!$J$8+G172*Upgrades!$K$8)*POWER(Upgrades!$L$8,G172)))*(IF(Upgrades!$T$6="Stellar Coupling",POWER(Upgrades!$U$6,E172),1)*IF(Upgrades!$T$7="Stellar Coupling",POWER(Upgrades!$U$7,F172),1)*IF(Upgrades!$T$9="Stellar Coupling",POWER(Upgrades!$U$9,H172),1)*IF(Upgrades!$T$10="Stellar Coupling",POWER(Upgrades!$U$10,I172),1)*IF(Upgrades!$T$11="Stellar Coupling",POWER(Upgrades!$U$11,J172),1)*IF(Upgrades!$T$12="Stellar Coupling",POWER(Upgrades!$U$12,K172),1))*POWER(Upgrades!$Q$6,E172)*POWER(Upgrades!$Q$7,F172)*POWER(Upgrades!$Q$8,G172)*POWER(Upgrades!$Q$9,H172)*POWER(Upgrades!$Q$10,I172)*POWER(Upgrades!$Q$11,J172)*POWER(Upgrades!$Q$12,K172)*Parameters!$B$10*Parameters!$B$11</f>
        <v>441</v>
      </c>
      <c r="AD172" s="27" t="n">
        <f aca="false">(IF(H172=0,0,(Upgrades!$G$9+H172*Upgrades!$H$9)*POWER(Upgrades!$I$9,H172)))*(IF(Upgrades!$T$6="Magnetosphere",POWER(Upgrades!$U$6,E172),1)*IF(Upgrades!$T$7="Magnetosphere",POWER(Upgrades!$U$7,F172),1)*IF(Upgrades!$T$8="Magnetosphere",POWER(Upgrades!$U$8,G172),1)*IF(Upgrades!$T$10="Magnetosphere",POWER(Upgrades!$U$10,I172),1)*IF(Upgrades!$T$11="Magnetosphere",POWER(Upgrades!$U$11,J172),1)*IF(Upgrades!$T$12="Magnetosphere",POWER(Upgrades!$U$12,K172),1))*POWER(Upgrades!$P$6,E172)*POWER(Upgrades!$P$7,F172)*POWER(Upgrades!$P$8,G172)*POWER(Upgrades!$P$9,H172)*POWER(Upgrades!$P$10,I172)*POWER(Upgrades!$P$11,J172)*POWER(Upgrades!$P$12,K172)*60</f>
        <v>375</v>
      </c>
      <c r="AE172" s="27" t="n">
        <f aca="false">(IF(K172=0,0,(Upgrades!$G$12+K172*Upgrades!$H$12)*POWER(Upgrades!$I$12,K172)))*(IF(Upgrades!$T$6="First Photons",POWER(Upgrades!$U$6,E172),1)*IF(Upgrades!$T$7="First Photons",POWER(Upgrades!$U$7,F172),1)*IF(Upgrades!$T$8="First Photons",POWER(Upgrades!$U$8,G172),1)*IF(Upgrades!$T$9="First Photons",POWER(Upgrades!$U$9,H172),1)*IF(Upgrades!$T$10="First Photons",POWER(Upgrades!$U$10,I172),1)*IF(Upgrades!$T$11="First Photons",POWER(Upgrades!$U$11,J172),1))*POWER(Upgrades!$P$6,E172)*POWER(Upgrades!$P$7,F172)*POWER(Upgrades!$P$8,G172)*POWER(Upgrades!$P$9,H172)*POWER(Upgrades!$P$10,I172)*POWER(Upgrades!$P$11,J172)*POWER(Upgrades!$P$12,K172)*60</f>
        <v>75</v>
      </c>
      <c r="AF172" s="27" t="n">
        <f aca="false">Parameters!$B$9*POWER(Upgrades!$Q$6,E172)*POWER(Upgrades!$Q$7,F172)*POWER(Upgrades!$Q$8,G172)*POWER(Upgrades!$Q$9,H172)*POWER(Upgrades!$Q$10,I172)*POWER(Upgrades!$Q$11,J172)*POWER(Upgrades!$Q$12,K172)*(Parameters!$B$10*Parameters!$B$11+O172*60)</f>
        <v>120</v>
      </c>
      <c r="AG172" s="21" t="n">
        <f aca="false">IF(E172&gt;=Upgrades!$E$6,"",Upgrades!$C$6*POWER(Upgrades!$D$6,E172))</f>
        <v>37.4517507383159</v>
      </c>
      <c r="AH172" s="21" t="n">
        <f aca="false">IF(F172&gt;=Upgrades!$E$7,"",Upgrades!$C$7*POWER(Upgrades!$D$7,F172))</f>
        <v>80.9111547141581</v>
      </c>
      <c r="AI172" s="21" t="n">
        <f aca="false">IF(G172&gt;=Upgrades!$E$8,"",Upgrades!$C$8*POWER(Upgrades!$D$8,G172))</f>
        <v>231.9097088</v>
      </c>
      <c r="AJ172" s="21" t="str">
        <f aca="false">IF(H172&gt;=Upgrades!$E$9,"",Upgrades!$C$9*POWER(Upgrades!$D$9,H172))</f>
        <v/>
      </c>
      <c r="AK172" s="21" t="str">
        <f aca="false">IF(I172&gt;=Upgrades!$E$10,"",Upgrades!$C$10*POWER(Upgrades!$D$10,I172))</f>
        <v/>
      </c>
      <c r="AL172" s="21" t="str">
        <f aca="false">IF(J172&gt;=Upgrades!$E$11,"",Upgrades!$C$11*POWER(Upgrades!$D$11,J172))</f>
        <v/>
      </c>
      <c r="AM172" s="21" t="str">
        <f aca="false">IF(K172&gt;=Upgrades!$E$12,"",Upgrades!$C$12*POWER(Upgrades!$D$12,K172))</f>
        <v/>
      </c>
      <c r="AN172" s="26" t="str">
        <f aca="false">IF(AND(D172&gt;=Parameters!$B$18,(H172&gt;=Upgrades!$E$9)*(K172&gt;=Upgrades!$E$12)=1,L172=0),1,"")</f>
        <v/>
      </c>
      <c r="AO172" s="26" t="str">
        <f aca="false">IF(AND(D172&gt;=Parameters!$B$18,L172=0),1,"")</f>
        <v/>
      </c>
      <c r="AP172" s="21" t="n">
        <f aca="false">MIN(IF(ISNUMBER(AK172),AK172,9000000000000000),IF(ISNUMBER(AL172),AL172,9000000000000000),IF(ISNUMBER(AM172),AM172,9000000000000000))</f>
        <v>9000000000000000</v>
      </c>
      <c r="AQ172" s="21" t="n">
        <f aca="false">MIN(IF(ISNUMBER(AG172),AG172,9000000000000000),IF(ISNUMBER(AH172),AH172,9000000000000000),IF(ISNUMBER(AI172),AI172,9000000000000000),IF(ISNUMBER(AJ172),AJ172,9000000000000000))</f>
        <v>37.4517507383159</v>
      </c>
      <c r="AR172" s="32" t="b">
        <f aca="false">IF(AW172&gt;Parameters!$B$21*(MAX(IF(AND(NOT(AND(AO172=1,AN172&lt;&gt;1)),ISNUMBER(AG172),AG172&lt;=T172),AS172,0),IF(AND(NOT(AND(AO172=1,AN172&lt;&gt;1)),ISNUMBER(AH172),AH172&lt;=T172),AT172,0),IF(AND(NOT(AND(AO172=1,AN172&lt;&gt;1)),ISNUMBER(AI172),AI172&lt;=T172),AU172,0),IF(AND(ISNUMBER(AJ172),AJ172&lt;=T172),AV172,0))),TRUE(),FALSE())</f>
        <v>1</v>
      </c>
      <c r="AS172" s="33" t="n">
        <f aca="false">IFERROR(Upgrades!$H$6*(POWER(Upgrades!$P$6,E172)*POWER(Upgrades!$P$7,F172)*POWER(Upgrades!$P$8,G172)*POWER(Upgrades!$P$9,H172)*POWER(Upgrades!$P$10,I172)*POWER(Upgrades!$P$11,J172)*POWER(Upgrades!$P$12,K172))*(IF(Upgrades!$T$7="Solar Wind",POWER(Upgrades!$U$7,F172),1)*IF(Upgrades!$T$8="Solar Wind",POWER(Upgrades!$U$8,G172),1)*IF(Upgrades!$T$9="Solar Wind",POWER(Upgrades!$U$9,H172),1)*IF(Upgrades!$T$10="Solar Wind",POWER(Upgrades!$U$10,I172),1)*IF(Upgrades!$T$11="Solar Wind",POWER(Upgrades!$U$11,J172),1)*IF(Upgrades!$T$12="Solar Wind",POWER(Upgrades!$U$12,K172),1))/AG172,0)</f>
        <v>0.0026701021455238</v>
      </c>
      <c r="AT172" s="33" t="n">
        <f aca="false">IFERROR(Upgrades!$H$7*(POWER(Upgrades!$P$6,E172)*POWER(Upgrades!$P$7,F172)*POWER(Upgrades!$P$8,G172)*POWER(Upgrades!$P$9,H172)*POWER(Upgrades!$P$10,I172)*POWER(Upgrades!$P$11,J172)*POWER(Upgrades!$P$12,K172))*(IF(Upgrades!$T$6="Asteroid Belt",POWER(Upgrades!$U$6,E172),1)*IF(Upgrades!$T$8="Asteroid Belt",POWER(Upgrades!$U$8,G172),1)*IF(Upgrades!$T$9="Asteroid Belt",POWER(Upgrades!$U$9,H172),1)*IF(Upgrades!$T$10="Asteroid Belt",POWER(Upgrades!$U$10,I172),1)*IF(Upgrades!$T$11="Asteroid Belt",POWER(Upgrades!$U$11,J172),1)*IF(Upgrades!$T$12="Asteroid Belt",POWER(Upgrades!$U$12,K172),1))/AH172,0)</f>
        <v>0.00308980882652332</v>
      </c>
      <c r="AU172" s="33" t="n">
        <f aca="false">IFERROR(Upgrades!$K$8*(POWER(Upgrades!$Q$6,E172)*POWER(Upgrades!$Q$7,F172)*POWER(Upgrades!$Q$8,G172)*POWER(Upgrades!$Q$9,H172)*POWER(Upgrades!$Q$10,I172)*POWER(Upgrades!$Q$11,J172)*POWER(Upgrades!$Q$12,K172))*(IF(Upgrades!$T$6="Stellar Coupling",POWER(Upgrades!$U$6,E172),1)*IF(Upgrades!$T$7="Stellar Coupling",POWER(Upgrades!$U$7,F172),1)*IF(Upgrades!$T$9="Stellar Coupling",POWER(Upgrades!$U$9,H172),1)*IF(Upgrades!$T$10="Stellar Coupling",POWER(Upgrades!$U$10,I172),1)*IF(Upgrades!$T$11="Stellar Coupling",POWER(Upgrades!$U$11,J172),1)*IF(Upgrades!$T$12="Stellar Coupling",POWER(Upgrades!$U$12,K172),1))*Parameters!$B$10*Parameters!$B$11/60/AI172,0)</f>
        <v>0.00452762415783776</v>
      </c>
      <c r="AV172" s="33" t="n">
        <f aca="false">IFERROR(Upgrades!$H$9*(POWER(Upgrades!$P$6,E172)*POWER(Upgrades!$P$7,F172)*POWER(Upgrades!$P$8,G172)*POWER(Upgrades!$P$9,H172)*POWER(Upgrades!$P$10,I172)*POWER(Upgrades!$P$11,J172)*POWER(Upgrades!$P$12,K172))*(IF(Upgrades!$T$6="Magnetosphere",POWER(Upgrades!$U$6,E172),1)*IF(Upgrades!$T$7="Magnetosphere",POWER(Upgrades!$U$7,F172),1)*IF(Upgrades!$T$8="Magnetosphere",POWER(Upgrades!$U$8,G172),1)*IF(Upgrades!$T$10="Magnetosphere",POWER(Upgrades!$U$10,I172),1)*IF(Upgrades!$T$11="Magnetosphere",POWER(Upgrades!$U$11,J172),1)*IF(Upgrades!$T$12="Magnetosphere",POWER(Upgrades!$U$12,K172),1))/AJ172,0)</f>
        <v>0</v>
      </c>
      <c r="AW172" s="33" t="n">
        <f aca="false">MAX(IF(I172&gt;0,0,IFERROR(0.25*N172/Upgrades!$C$10,0)),IF(J172&gt;0,0,IFERROR(0.5*((IF(G172=0,0,(Upgrades!$J$8+G172*Upgrades!$K$8)*POWER(Upgrades!$L$8,G172)))*(IF(Upgrades!$T$6="Stellar Coupling",POWER(Upgrades!$U$6,E172),1)*IF(Upgrades!$T$7="Stellar Coupling",POWER(Upgrades!$U$7,F172),1)*IF(Upgrades!$T$9="Stellar Coupling",POWER(Upgrades!$U$9,H172),1)*IF(Upgrades!$T$10="Stellar Coupling",POWER(Upgrades!$U$10,I172),1)*IF(Upgrades!$T$11="Stellar Coupling",POWER(Upgrades!$U$11,J172),1)*IF(Upgrades!$T$12="Stellar Coupling",POWER(Upgrades!$U$12,K172),1))*(POWER(Upgrades!$Q$6,E172)*POWER(Upgrades!$Q$7,F172)*POWER(Upgrades!$Q$8,G172)*POWER(Upgrades!$Q$9,H172)*POWER(Upgrades!$Q$10,I172)*POWER(Upgrades!$Q$11,J172)*POWER(Upgrades!$Q$12,K172))*Parameters!$B$10*Parameters!$B$11/60)/Upgrades!$C$11,0)),IF(K172&gt;0,0,IFERROR((1*(POWER(Upgrades!$P$6,E172)*POWER(Upgrades!$P$7,F172)*POWER(Upgrades!$P$8,G172)*POWER(Upgrades!$P$9,H172)*POWER(Upgrades!$P$10,I172)*POWER(Upgrades!$P$11,J172)*POWER(Upgrades!$P$12,K172))+0.2*M172*Parameters!$B$10*Parameters!$B$11/60)/Upgrades!$C$12,0)),IF(AND(ISNUMBER(AG172),AG172&gt;T172),AS172,0),IF(AND(ISNUMBER(AH172),AH172&gt;T172),AT172,0),IF(AND(ISNUMBER(AI172),AI172&gt;T172),AU172,0),IF(AND(ISNUMBER(AJ172),AJ172&gt;T172),AV172,0))</f>
        <v>0.00452762415783776</v>
      </c>
      <c r="AX172" s="29" t="str">
        <f aca="false">IF(AN172=1,"transition",IF(MIN(IF(AND(I172=0,ISNUMBER(AK172),AK172&lt;=T172),AK172,9000000000000000),IF(AND(J172=0,ISNUMBER(AL172),AL172&lt;=T172),AL172,9000000000000000),IF(AND(K172=0,ISNUMBER(AM172),AM172&lt;=T172),AM172,9000000000000000))&lt;9000000000000000,IF(AND(AND(I172=0,ISNUMBER(AK172),AK172&lt;=T172),AK172=MIN(IF(AND(I172=0,ISNUMBER(AK172),AK172&lt;=T172),AK172,9000000000000000),IF(AND(J172=0,ISNUMBER(AL172),AL172&lt;=T172),AL172,9000000000000000),IF(AND(K172=0,ISNUMBER(AM172),AM172&lt;=T172),AM172,9000000000000000))),"OR",IF(AND(AND(J172=0,ISNUMBER(AL172),AL172&lt;=T172),AL172=MIN(IF(AND(I172=0,ISNUMBER(AK172),AK172&lt;=T172),AK172,9000000000000000),IF(AND(J172=0,ISNUMBER(AL172),AL172&lt;=T172),AL172,9000000000000000),IF(AND(K172=0,ISNUMBER(AM172),AM172&lt;=T172),AM172,9000000000000000))),"HP","FP")),IF(AR172=TRUE(),"",IF(MAX(IF(AND(NOT(AND(AO172=1,AN172&lt;&gt;1)),ISNUMBER(AG172),AG172&lt;=T172),AS172,0),IF(AND(NOT(AND(AO172=1,AN172&lt;&gt;1)),ISNUMBER(AH172),AH172&lt;=T172),AT172,0),IF(AND(NOT(AND(AO172=1,AN172&lt;&gt;1)),ISNUMBER(AI172),AI172&lt;=T172),AU172,0),IF(AND(ISNUMBER(AJ172),AJ172&lt;=T172),AV172,0))&lt;=0,"",IF(AND(IF(AND(NOT(AND(AO172=1,AN172&lt;&gt;1)),ISNUMBER(AG172),AG172&lt;=T172),AS172,0)&gt;0,IF(AND(NOT(AND(AO172=1,AN172&lt;&gt;1)),ISNUMBER(AG172),AG172&lt;=T172),AS172,0)=MAX(IF(AND(NOT(AND(AO172=1,AN172&lt;&gt;1)),ISNUMBER(AG172),AG172&lt;=T172),AS172,0),IF(AND(NOT(AND(AO172=1,AN172&lt;&gt;1)),ISNUMBER(AH172),AH172&lt;=T172),AT172,0),IF(AND(NOT(AND(AO172=1,AN172&lt;&gt;1)),ISNUMBER(AI172),AI172&lt;=T172),AU172,0),IF(AND(ISNUMBER(AJ172),AJ172&lt;=T172),AV172,0))),"SW",IF(AND(IF(AND(NOT(AND(AO172=1,AN172&lt;&gt;1)),ISNUMBER(AH172),AH172&lt;=T172),AT172,0)&gt;0,IF(AND(NOT(AND(AO172=1,AN172&lt;&gt;1)),ISNUMBER(AH172),AH172&lt;=T172),AT172,0)=MAX(IF(AND(NOT(AND(AO172=1,AN172&lt;&gt;1)),ISNUMBER(AG172),AG172&lt;=T172),AS172,0),IF(AND(NOT(AND(AO172=1,AN172&lt;&gt;1)),ISNUMBER(AH172),AH172&lt;=T172),AT172,0),IF(AND(NOT(AND(AO172=1,AN172&lt;&gt;1)),ISNUMBER(AI172),AI172&lt;=T172),AU172,0),IF(AND(ISNUMBER(AJ172),AJ172&lt;=T172),AV172,0))),"AB",IF(AND(IF(AND(NOT(AND(AO172=1,AN172&lt;&gt;1)),ISNUMBER(AI172),AI172&lt;=T172),AU172,0)&gt;0,IF(AND(NOT(AND(AO172=1,AN172&lt;&gt;1)),ISNUMBER(AI172),AI172&lt;=T172),AU172,0)=MAX(IF(AND(NOT(AND(AO172=1,AN172&lt;&gt;1)),ISNUMBER(AG172),AG172&lt;=T172),AS172,0),IF(AND(NOT(AND(AO172=1,AN172&lt;&gt;1)),ISNUMBER(AH172),AH172&lt;=T172),AT172,0),IF(AND(NOT(AND(AO172=1,AN172&lt;&gt;1)),ISNUMBER(AI172),AI172&lt;=T172),AU172,0),IF(AND(ISNUMBER(AJ172),AJ172&lt;=T172),AV172,0))),"SC","Mag")))))))</f>
        <v/>
      </c>
    </row>
    <row r="173" customFormat="false" ht="15" hidden="false" customHeight="false" outlineLevel="0" collapsed="false">
      <c r="A173" s="26" t="n">
        <v>168</v>
      </c>
      <c r="B173" s="27" t="n">
        <f aca="false">A173*10/60</f>
        <v>28</v>
      </c>
      <c r="C173" s="21" t="n">
        <f aca="false">X172</f>
        <v>18.6730249835055</v>
      </c>
      <c r="D173" s="27" t="n">
        <f aca="false">D172+W172</f>
        <v>0</v>
      </c>
      <c r="E173" s="26" t="n">
        <f aca="false">E172+IF(U172="SW",1,0)</f>
        <v>12</v>
      </c>
      <c r="F173" s="26" t="n">
        <f aca="false">F172+IF(U172="AB",1,0)</f>
        <v>10</v>
      </c>
      <c r="G173" s="26" t="n">
        <f aca="false">G172+IF(U172="SC",1,0)</f>
        <v>7</v>
      </c>
      <c r="H173" s="26" t="n">
        <f aca="false">H172+IF(U172="Mag",1,0)</f>
        <v>5</v>
      </c>
      <c r="I173" s="26" t="n">
        <f aca="false">MAX(I172,IF(U172="OR",1,0))</f>
        <v>1</v>
      </c>
      <c r="J173" s="26" t="n">
        <f aca="false">MAX(J172,IF(U172="HP",1,0))</f>
        <v>1</v>
      </c>
      <c r="K173" s="26" t="n">
        <f aca="false">MAX(K172,IF(U172="FP",1,0))</f>
        <v>1</v>
      </c>
      <c r="L173" s="26" t="n">
        <f aca="false">MAX(L172,IF(U172="transition",1,0))</f>
        <v>1</v>
      </c>
      <c r="M173" s="28" t="n">
        <f aca="false">(Parameters!$B$9+(IF(E173=0,0,(Upgrades!$J$6+E173*Upgrades!$K$6)*POWER(Upgrades!$L$6,E173)))*(IF(Upgrades!$T$7="Solar Wind",POWER(Upgrades!$U$7,F173),1)*IF(Upgrades!$T$8="Solar Wind",POWER(Upgrades!$U$8,G173),1)*IF(Upgrades!$T$9="Solar Wind",POWER(Upgrades!$U$9,H173),1)*IF(Upgrades!$T$10="Solar Wind",POWER(Upgrades!$U$10,I173),1)*IF(Upgrades!$T$11="Solar Wind",POWER(Upgrades!$U$11,J173),1)*IF(Upgrades!$T$12="Solar Wind",POWER(Upgrades!$U$12,K173),1))+(IF(F173=0,0,(Upgrades!$J$7+F173*Upgrades!$K$7)*POWER(Upgrades!$L$7,F173)))*(IF(Upgrades!$T$6="Asteroid Belt",POWER(Upgrades!$U$6,E173),1)*IF(Upgrades!$T$8="Asteroid Belt",POWER(Upgrades!$U$8,G173),1)*IF(Upgrades!$T$9="Asteroid Belt",POWER(Upgrades!$U$9,H173),1)*IF(Upgrades!$T$10="Asteroid Belt",POWER(Upgrades!$U$10,I173),1)*IF(Upgrades!$T$11="Asteroid Belt",POWER(Upgrades!$U$11,J173),1)*IF(Upgrades!$T$12="Asteroid Belt",POWER(Upgrades!$U$12,K173),1))+(IF(G173=0,0,(Upgrades!$J$8+G173*Upgrades!$K$8)*POWER(Upgrades!$L$8,G173)))*(IF(Upgrades!$T$6="Stellar Coupling",POWER(Upgrades!$U$6,E173),1)*IF(Upgrades!$T$7="Stellar Coupling",POWER(Upgrades!$U$7,F173),1)*IF(Upgrades!$T$9="Stellar Coupling",POWER(Upgrades!$U$9,H173),1)*IF(Upgrades!$T$10="Stellar Coupling",POWER(Upgrades!$U$10,I173),1)*IF(Upgrades!$T$11="Stellar Coupling",POWER(Upgrades!$U$11,J173),1)*IF(Upgrades!$T$12="Stellar Coupling",POWER(Upgrades!$U$12,K173),1))+(IF(H173=0,0,(Upgrades!$J$9+H173*Upgrades!$K$9)*POWER(Upgrades!$L$9,H173)))*(IF(Upgrades!$T$6="Magnetosphere",POWER(Upgrades!$U$6,E173),1)*IF(Upgrades!$T$7="Magnetosphere",POWER(Upgrades!$U$7,F173),1)*IF(Upgrades!$T$8="Magnetosphere",POWER(Upgrades!$U$8,G173),1)*IF(Upgrades!$T$10="Magnetosphere",POWER(Upgrades!$U$10,I173),1)*IF(Upgrades!$T$11="Magnetosphere",POWER(Upgrades!$U$11,J173),1)*IF(Upgrades!$T$12="Magnetosphere",POWER(Upgrades!$U$12,K173),1))+(IF(I173=0,0,(Upgrades!$J$10+I173*Upgrades!$K$10)*POWER(Upgrades!$L$10,I173)))*(IF(Upgrades!$T$6="Orbital Resonance",POWER(Upgrades!$U$6,E173),1)*IF(Upgrades!$T$7="Orbital Resonance",POWER(Upgrades!$U$7,F173),1)*IF(Upgrades!$T$8="Orbital Resonance",POWER(Upgrades!$U$8,G173),1)*IF(Upgrades!$T$9="Orbital Resonance",POWER(Upgrades!$U$9,H173),1)*IF(Upgrades!$T$11="Orbital Resonance",POWER(Upgrades!$U$11,J173),1)*IF(Upgrades!$T$12="Orbital Resonance",POWER(Upgrades!$U$12,K173),1))+(IF(J173=0,0,(Upgrades!$J$11+J173*Upgrades!$K$11)*POWER(Upgrades!$L$11,J173)))*(IF(Upgrades!$T$6="Heliopause",POWER(Upgrades!$U$6,E173),1)*IF(Upgrades!$T$7="Heliopause",POWER(Upgrades!$U$7,F173),1)*IF(Upgrades!$T$8="Heliopause",POWER(Upgrades!$U$8,G173),1)*IF(Upgrades!$T$9="Heliopause",POWER(Upgrades!$U$9,H173),1)*IF(Upgrades!$T$10="Heliopause",POWER(Upgrades!$U$10,I173),1)*IF(Upgrades!$T$12="Heliopause",POWER(Upgrades!$U$12,K173),1))+(IF(K173=0,0,(Upgrades!$J$12+K173*Upgrades!$K$12)*POWER(Upgrades!$L$12,K173)))*(IF(Upgrades!$T$6="First Photons",POWER(Upgrades!$U$6,E173),1)*IF(Upgrades!$T$7="First Photons",POWER(Upgrades!$U$7,F173),1)*IF(Upgrades!$T$8="First Photons",POWER(Upgrades!$U$8,G173),1)*IF(Upgrades!$T$9="First Photons",POWER(Upgrades!$U$9,H173),1)*IF(Upgrades!$T$10="First Photons",POWER(Upgrades!$U$10,I173),1)*IF(Upgrades!$T$11="First Photons",POWER(Upgrades!$U$11,J173),1)))*POWER(Upgrades!$Q$6,E173)*POWER(Upgrades!$Q$7,F173)*POWER(Upgrades!$Q$8,G173)*POWER(Upgrades!$Q$9,H173)*POWER(Upgrades!$Q$10,I173)*POWER(Upgrades!$Q$11,J173)*POWER(Upgrades!$Q$12,K173)</f>
        <v>5.61</v>
      </c>
      <c r="N173" s="28" t="n">
        <f aca="false">((IF(E173=0,0,(Upgrades!$G$6+E173*Upgrades!$H$6)*POWER(Upgrades!$I$6,E173)))*(IF(Upgrades!$T$7="Solar Wind",POWER(Upgrades!$U$7,F173),1)*IF(Upgrades!$T$8="Solar Wind",POWER(Upgrades!$U$8,G173),1)*IF(Upgrades!$T$9="Solar Wind",POWER(Upgrades!$U$9,H173),1)*IF(Upgrades!$T$10="Solar Wind",POWER(Upgrades!$U$10,I173),1)*IF(Upgrades!$T$11="Solar Wind",POWER(Upgrades!$U$11,J173),1)*IF(Upgrades!$T$12="Solar Wind",POWER(Upgrades!$U$12,K173),1))+(IF(F173=0,0,(Upgrades!$G$7+F173*Upgrades!$H$7)*POWER(Upgrades!$I$7,F173)))*(IF(Upgrades!$T$6="Asteroid Belt",POWER(Upgrades!$U$6,E173),1)*IF(Upgrades!$T$8="Asteroid Belt",POWER(Upgrades!$U$8,G173),1)*IF(Upgrades!$T$9="Asteroid Belt",POWER(Upgrades!$U$9,H173),1)*IF(Upgrades!$T$10="Asteroid Belt",POWER(Upgrades!$U$10,I173),1)*IF(Upgrades!$T$11="Asteroid Belt",POWER(Upgrades!$U$11,J173),1)*IF(Upgrades!$T$12="Asteroid Belt",POWER(Upgrades!$U$12,K173),1))+(IF(G173=0,0,(Upgrades!$G$8+G173*Upgrades!$H$8)*POWER(Upgrades!$I$8,G173)))*(IF(Upgrades!$T$6="Stellar Coupling",POWER(Upgrades!$U$6,E173),1)*IF(Upgrades!$T$7="Stellar Coupling",POWER(Upgrades!$U$7,F173),1)*IF(Upgrades!$T$9="Stellar Coupling",POWER(Upgrades!$U$9,H173),1)*IF(Upgrades!$T$10="Stellar Coupling",POWER(Upgrades!$U$10,I173),1)*IF(Upgrades!$T$11="Stellar Coupling",POWER(Upgrades!$U$11,J173),1)*IF(Upgrades!$T$12="Stellar Coupling",POWER(Upgrades!$U$12,K173),1))+(IF(H173=0,0,(Upgrades!$G$9+H173*Upgrades!$H$9)*POWER(Upgrades!$I$9,H173)))*(IF(Upgrades!$T$6="Magnetosphere",POWER(Upgrades!$U$6,E173),1)*IF(Upgrades!$T$7="Magnetosphere",POWER(Upgrades!$U$7,F173),1)*IF(Upgrades!$T$8="Magnetosphere",POWER(Upgrades!$U$8,G173),1)*IF(Upgrades!$T$10="Magnetosphere",POWER(Upgrades!$U$10,I173),1)*IF(Upgrades!$T$11="Magnetosphere",POWER(Upgrades!$U$11,J173),1)*IF(Upgrades!$T$12="Magnetosphere",POWER(Upgrades!$U$12,K173),1))+(IF(I173=0,0,(Upgrades!$G$10+I173*Upgrades!$H$10)*POWER(Upgrades!$I$10,I173)))*(IF(Upgrades!$T$6="Orbital Resonance",POWER(Upgrades!$U$6,E173),1)*IF(Upgrades!$T$7="Orbital Resonance",POWER(Upgrades!$U$7,F173),1)*IF(Upgrades!$T$8="Orbital Resonance",POWER(Upgrades!$U$8,G173),1)*IF(Upgrades!$T$9="Orbital Resonance",POWER(Upgrades!$U$9,H173),1)*IF(Upgrades!$T$11="Orbital Resonance",POWER(Upgrades!$U$11,J173),1)*IF(Upgrades!$T$12="Orbital Resonance",POWER(Upgrades!$U$12,K173),1))+(IF(J173=0,0,(Upgrades!$G$11+J173*Upgrades!$H$11)*POWER(Upgrades!$I$11,J173)))*(IF(Upgrades!$T$6="Heliopause",POWER(Upgrades!$U$6,E173),1)*IF(Upgrades!$T$7="Heliopause",POWER(Upgrades!$U$7,F173),1)*IF(Upgrades!$T$8="Heliopause",POWER(Upgrades!$U$8,G173),1)*IF(Upgrades!$T$9="Heliopause",POWER(Upgrades!$U$9,H173),1)*IF(Upgrades!$T$10="Heliopause",POWER(Upgrades!$U$10,I173),1)*IF(Upgrades!$T$12="Heliopause",POWER(Upgrades!$U$12,K173),1))+(IF(K173=0,0,(Upgrades!$G$12+K173*Upgrades!$H$12)*POWER(Upgrades!$I$12,K173)))*(IF(Upgrades!$T$6="First Photons",POWER(Upgrades!$U$6,E173),1)*IF(Upgrades!$T$7="First Photons",POWER(Upgrades!$U$7,F173),1)*IF(Upgrades!$T$8="First Photons",POWER(Upgrades!$U$8,G173),1)*IF(Upgrades!$T$9="First Photons",POWER(Upgrades!$U$9,H173),1)*IF(Upgrades!$T$10="First Photons",POWER(Upgrades!$U$10,I173),1)*IF(Upgrades!$T$11="First Photons",POWER(Upgrades!$U$11,J173),1)))*POWER(Upgrades!$P$6,E173)*POWER(Upgrades!$P$7,F173)*POWER(Upgrades!$P$8,G173)*POWER(Upgrades!$P$9,H173)*POWER(Upgrades!$P$10,I173)*POWER(Upgrades!$P$11,J173)*POWER(Upgrades!$P$12,K173)</f>
        <v>11.2</v>
      </c>
      <c r="O173" s="28" t="n">
        <f aca="false">((IF(E173=0,0,(Upgrades!$M$6+E173*Upgrades!$N$6)*POWER(Upgrades!$O$6,E173)))*(IF(Upgrades!$T$7="Solar Wind",POWER(Upgrades!$U$7,F173),1)*IF(Upgrades!$T$8="Solar Wind",POWER(Upgrades!$U$8,G173),1)*IF(Upgrades!$T$9="Solar Wind",POWER(Upgrades!$U$9,H173),1)*IF(Upgrades!$T$10="Solar Wind",POWER(Upgrades!$U$10,I173),1)*IF(Upgrades!$T$11="Solar Wind",POWER(Upgrades!$U$11,J173),1)*IF(Upgrades!$T$12="Solar Wind",POWER(Upgrades!$U$12,K173),1))+(IF(F173=0,0,(Upgrades!$M$7+F173*Upgrades!$N$7)*POWER(Upgrades!$O$7,F173)))*(IF(Upgrades!$T$6="Asteroid Belt",POWER(Upgrades!$U$6,E173),1)*IF(Upgrades!$T$8="Asteroid Belt",POWER(Upgrades!$U$8,G173),1)*IF(Upgrades!$T$9="Asteroid Belt",POWER(Upgrades!$U$9,H173),1)*IF(Upgrades!$T$10="Asteroid Belt",POWER(Upgrades!$U$10,I173),1)*IF(Upgrades!$T$11="Asteroid Belt",POWER(Upgrades!$U$11,J173),1)*IF(Upgrades!$T$12="Asteroid Belt",POWER(Upgrades!$U$12,K173),1))+(IF(G173=0,0,(Upgrades!$M$8+G173*Upgrades!$N$8)*POWER(Upgrades!$O$8,G173)))*(IF(Upgrades!$T$6="Stellar Coupling",POWER(Upgrades!$U$6,E173),1)*IF(Upgrades!$T$7="Stellar Coupling",POWER(Upgrades!$U$7,F173),1)*IF(Upgrades!$T$9="Stellar Coupling",POWER(Upgrades!$U$9,H173),1)*IF(Upgrades!$T$10="Stellar Coupling",POWER(Upgrades!$U$10,I173),1)*IF(Upgrades!$T$11="Stellar Coupling",POWER(Upgrades!$U$11,J173),1)*IF(Upgrades!$T$12="Stellar Coupling",POWER(Upgrades!$U$12,K173),1))+(IF(H173=0,0,(Upgrades!$M$9+H173*Upgrades!$N$9)*POWER(Upgrades!$O$9,H173)))*(IF(Upgrades!$T$6="Magnetosphere",POWER(Upgrades!$U$6,E173),1)*IF(Upgrades!$T$7="Magnetosphere",POWER(Upgrades!$U$7,F173),1)*IF(Upgrades!$T$8="Magnetosphere",POWER(Upgrades!$U$8,G173),1)*IF(Upgrades!$T$10="Magnetosphere",POWER(Upgrades!$U$10,I173),1)*IF(Upgrades!$T$11="Magnetosphere",POWER(Upgrades!$U$11,J173),1)*IF(Upgrades!$T$12="Magnetosphere",POWER(Upgrades!$U$12,K173),1))+(IF(I173=0,0,(Upgrades!$M$10+I173*Upgrades!$N$10)*POWER(Upgrades!$O$10,I173)))*(IF(Upgrades!$T$6="Orbital Resonance",POWER(Upgrades!$U$6,E173),1)*IF(Upgrades!$T$7="Orbital Resonance",POWER(Upgrades!$U$7,F173),1)*IF(Upgrades!$T$8="Orbital Resonance",POWER(Upgrades!$U$8,G173),1)*IF(Upgrades!$T$9="Orbital Resonance",POWER(Upgrades!$U$9,H173),1)*IF(Upgrades!$T$11="Orbital Resonance",POWER(Upgrades!$U$11,J173),1)*IF(Upgrades!$T$12="Orbital Resonance",POWER(Upgrades!$U$12,K173),1))+(IF(J173=0,0,(Upgrades!$M$11+J173*Upgrades!$N$11)*POWER(Upgrades!$O$11,J173)))*(IF(Upgrades!$T$6="Heliopause",POWER(Upgrades!$U$6,E173),1)*IF(Upgrades!$T$7="Heliopause",POWER(Upgrades!$U$7,F173),1)*IF(Upgrades!$T$8="Heliopause",POWER(Upgrades!$U$8,G173),1)*IF(Upgrades!$T$9="Heliopause",POWER(Upgrades!$U$9,H173),1)*IF(Upgrades!$T$10="Heliopause",POWER(Upgrades!$U$10,I173),1)*IF(Upgrades!$T$12="Heliopause",POWER(Upgrades!$U$12,K173),1))+(IF(K173=0,0,(Upgrades!$M$12+K173*Upgrades!$N$12)*POWER(Upgrades!$O$12,K173)))*(IF(Upgrades!$T$6="First Photons",POWER(Upgrades!$U$6,E173),1)*IF(Upgrades!$T$7="First Photons",POWER(Upgrades!$U$7,F173),1)*IF(Upgrades!$T$8="First Photons",POWER(Upgrades!$U$8,G173),1)*IF(Upgrades!$T$9="First Photons",POWER(Upgrades!$U$9,H173),1)*IF(Upgrades!$T$10="First Photons",POWER(Upgrades!$U$10,I173),1)*IF(Upgrades!$T$11="First Photons",POWER(Upgrades!$U$11,J173),1)))*POWER(Upgrades!$R$6,E173)*POWER(Upgrades!$R$7,F173)*POWER(Upgrades!$R$8,G173)*POWER(Upgrades!$R$9,H173)*POWER(Upgrades!$R$10,I173)*POWER(Upgrades!$R$11,J173)*POWER(Upgrades!$R$12,K173)</f>
        <v>0</v>
      </c>
      <c r="P173" s="27" t="n">
        <f aca="false">IF(L173=1,0,M173*Parameters!$B$10/60*Parameters!$B$11*10)</f>
        <v>0</v>
      </c>
      <c r="Q173" s="27" t="n">
        <f aca="false">IF(L173=1,0,O173*M173*10)</f>
        <v>0</v>
      </c>
      <c r="R173" s="27" t="n">
        <f aca="false">IF(L173=1,0,N173*10)</f>
        <v>0</v>
      </c>
      <c r="S173" s="27" t="n">
        <f aca="false">P173+Q173+R173</f>
        <v>0</v>
      </c>
      <c r="T173" s="21" t="n">
        <f aca="false">C173+S173</f>
        <v>18.6730249835055</v>
      </c>
      <c r="U173" s="34" t="str">
        <f aca="false">AX173</f>
        <v/>
      </c>
      <c r="V173" s="21" t="n">
        <f aca="false">IF(U173="",0,IF(U173="transition",0,IF(U173="SW",AG173,IF(U173="AB",AH173,IF(U173="SC",AI173,IF(U173="Mag",AJ173,IF(U173="OR",AK173,IF(U173="HP",AL173,IF(U173="FP",AM173,0)))))))))</f>
        <v>0</v>
      </c>
      <c r="W173" s="27" t="n">
        <f aca="false">IF(U173="OR",Upgrades!$F$10,IF(U173="HP",Upgrades!$F$11,IF(U173="transition",-Parameters!$B$18,0)))</f>
        <v>0</v>
      </c>
      <c r="X173" s="21" t="n">
        <f aca="false">T173-V173</f>
        <v>18.6730249835055</v>
      </c>
      <c r="Y173" s="30" t="n">
        <f aca="false">M173*Parameters!$B$10/60*Parameters!$B$11+O173*M173+N173</f>
        <v>20.55</v>
      </c>
      <c r="Z173" s="35" t="str">
        <f aca="false">IF(U173="transition","→ Tier 2 (Stellar Neighborhood)",IF(U173="FP","First Photons — light begins, system quickens",IF(U173="HP","Heliopause acquired",IF(U173="OR","Orbital Resonance — passive multiplier active",IF(AND(AO173=1,L173=0,AN173&lt;&gt;1),"Cohesion ready (waiting on completionist upgrades)","")))))</f>
        <v/>
      </c>
      <c r="AA173" s="27" t="n">
        <f aca="false">(IF(E173=0,0,(Upgrades!$G$6+E173*Upgrades!$H$6)*POWER(Upgrades!$I$6,E173)))*(IF(Upgrades!$T$7="Solar Wind",POWER(Upgrades!$U$7,F173),1)*IF(Upgrades!$T$8="Solar Wind",POWER(Upgrades!$U$8,G173),1)*IF(Upgrades!$T$9="Solar Wind",POWER(Upgrades!$U$9,H173),1)*IF(Upgrades!$T$10="Solar Wind",POWER(Upgrades!$U$10,I173),1)*IF(Upgrades!$T$11="Solar Wind",POWER(Upgrades!$U$11,J173),1)*IF(Upgrades!$T$12="Solar Wind",POWER(Upgrades!$U$12,K173),1))*POWER(Upgrades!$P$6,E173)*POWER(Upgrades!$P$7,F173)*POWER(Upgrades!$P$8,G173)*POWER(Upgrades!$P$9,H173)*POWER(Upgrades!$P$10,I173)*POWER(Upgrades!$P$11,J173)*POWER(Upgrades!$P$12,K173)*60</f>
        <v>72</v>
      </c>
      <c r="AB173" s="27" t="n">
        <f aca="false">(IF(F173=0,0,(Upgrades!$G$7+F173*Upgrades!$H$7)*POWER(Upgrades!$I$7,F173)))*(IF(Upgrades!$T$6="Asteroid Belt",POWER(Upgrades!$U$6,E173),1)*IF(Upgrades!$T$8="Asteroid Belt",POWER(Upgrades!$U$8,G173),1)*IF(Upgrades!$T$9="Asteroid Belt",POWER(Upgrades!$U$9,H173),1)*IF(Upgrades!$T$10="Asteroid Belt",POWER(Upgrades!$U$10,I173),1)*IF(Upgrades!$T$11="Asteroid Belt",POWER(Upgrades!$U$11,J173),1)*IF(Upgrades!$T$12="Asteroid Belt",POWER(Upgrades!$U$12,K173),1))*POWER(Upgrades!$P$6,E173)*POWER(Upgrades!$P$7,F173)*POWER(Upgrades!$P$8,G173)*POWER(Upgrades!$P$9,H173)*POWER(Upgrades!$P$10,I173)*POWER(Upgrades!$P$11,J173)*POWER(Upgrades!$P$12,K173)*60</f>
        <v>150</v>
      </c>
      <c r="AC173" s="27" t="n">
        <f aca="false">(IF(G173=0,0,(Upgrades!$J$8+G173*Upgrades!$K$8)*POWER(Upgrades!$L$8,G173)))*(IF(Upgrades!$T$6="Stellar Coupling",POWER(Upgrades!$U$6,E173),1)*IF(Upgrades!$T$7="Stellar Coupling",POWER(Upgrades!$U$7,F173),1)*IF(Upgrades!$T$9="Stellar Coupling",POWER(Upgrades!$U$9,H173),1)*IF(Upgrades!$T$10="Stellar Coupling",POWER(Upgrades!$U$10,I173),1)*IF(Upgrades!$T$11="Stellar Coupling",POWER(Upgrades!$U$11,J173),1)*IF(Upgrades!$T$12="Stellar Coupling",POWER(Upgrades!$U$12,K173),1))*POWER(Upgrades!$Q$6,E173)*POWER(Upgrades!$Q$7,F173)*POWER(Upgrades!$Q$8,G173)*POWER(Upgrades!$Q$9,H173)*POWER(Upgrades!$Q$10,I173)*POWER(Upgrades!$Q$11,J173)*POWER(Upgrades!$Q$12,K173)*Parameters!$B$10*Parameters!$B$11</f>
        <v>441</v>
      </c>
      <c r="AD173" s="27" t="n">
        <f aca="false">(IF(H173=0,0,(Upgrades!$G$9+H173*Upgrades!$H$9)*POWER(Upgrades!$I$9,H173)))*(IF(Upgrades!$T$6="Magnetosphere",POWER(Upgrades!$U$6,E173),1)*IF(Upgrades!$T$7="Magnetosphere",POWER(Upgrades!$U$7,F173),1)*IF(Upgrades!$T$8="Magnetosphere",POWER(Upgrades!$U$8,G173),1)*IF(Upgrades!$T$10="Magnetosphere",POWER(Upgrades!$U$10,I173),1)*IF(Upgrades!$T$11="Magnetosphere",POWER(Upgrades!$U$11,J173),1)*IF(Upgrades!$T$12="Magnetosphere",POWER(Upgrades!$U$12,K173),1))*POWER(Upgrades!$P$6,E173)*POWER(Upgrades!$P$7,F173)*POWER(Upgrades!$P$8,G173)*POWER(Upgrades!$P$9,H173)*POWER(Upgrades!$P$10,I173)*POWER(Upgrades!$P$11,J173)*POWER(Upgrades!$P$12,K173)*60</f>
        <v>375</v>
      </c>
      <c r="AE173" s="27" t="n">
        <f aca="false">(IF(K173=0,0,(Upgrades!$G$12+K173*Upgrades!$H$12)*POWER(Upgrades!$I$12,K173)))*(IF(Upgrades!$T$6="First Photons",POWER(Upgrades!$U$6,E173),1)*IF(Upgrades!$T$7="First Photons",POWER(Upgrades!$U$7,F173),1)*IF(Upgrades!$T$8="First Photons",POWER(Upgrades!$U$8,G173),1)*IF(Upgrades!$T$9="First Photons",POWER(Upgrades!$U$9,H173),1)*IF(Upgrades!$T$10="First Photons",POWER(Upgrades!$U$10,I173),1)*IF(Upgrades!$T$11="First Photons",POWER(Upgrades!$U$11,J173),1))*POWER(Upgrades!$P$6,E173)*POWER(Upgrades!$P$7,F173)*POWER(Upgrades!$P$8,G173)*POWER(Upgrades!$P$9,H173)*POWER(Upgrades!$P$10,I173)*POWER(Upgrades!$P$11,J173)*POWER(Upgrades!$P$12,K173)*60</f>
        <v>75</v>
      </c>
      <c r="AF173" s="27" t="n">
        <f aca="false">Parameters!$B$9*POWER(Upgrades!$Q$6,E173)*POWER(Upgrades!$Q$7,F173)*POWER(Upgrades!$Q$8,G173)*POWER(Upgrades!$Q$9,H173)*POWER(Upgrades!$Q$10,I173)*POWER(Upgrades!$Q$11,J173)*POWER(Upgrades!$Q$12,K173)*(Parameters!$B$10*Parameters!$B$11+O173*60)</f>
        <v>120</v>
      </c>
      <c r="AG173" s="21" t="n">
        <f aca="false">IF(E173&gt;=Upgrades!$E$6,"",Upgrades!$C$6*POWER(Upgrades!$D$6,E173))</f>
        <v>37.4517507383159</v>
      </c>
      <c r="AH173" s="21" t="n">
        <f aca="false">IF(F173&gt;=Upgrades!$E$7,"",Upgrades!$C$7*POWER(Upgrades!$D$7,F173))</f>
        <v>80.9111547141581</v>
      </c>
      <c r="AI173" s="21" t="n">
        <f aca="false">IF(G173&gt;=Upgrades!$E$8,"",Upgrades!$C$8*POWER(Upgrades!$D$8,G173))</f>
        <v>231.9097088</v>
      </c>
      <c r="AJ173" s="21" t="str">
        <f aca="false">IF(H173&gt;=Upgrades!$E$9,"",Upgrades!$C$9*POWER(Upgrades!$D$9,H173))</f>
        <v/>
      </c>
      <c r="AK173" s="21" t="str">
        <f aca="false">IF(I173&gt;=Upgrades!$E$10,"",Upgrades!$C$10*POWER(Upgrades!$D$10,I173))</f>
        <v/>
      </c>
      <c r="AL173" s="21" t="str">
        <f aca="false">IF(J173&gt;=Upgrades!$E$11,"",Upgrades!$C$11*POWER(Upgrades!$D$11,J173))</f>
        <v/>
      </c>
      <c r="AM173" s="21" t="str">
        <f aca="false">IF(K173&gt;=Upgrades!$E$12,"",Upgrades!$C$12*POWER(Upgrades!$D$12,K173))</f>
        <v/>
      </c>
      <c r="AN173" s="26" t="str">
        <f aca="false">IF(AND(D173&gt;=Parameters!$B$18,(H173&gt;=Upgrades!$E$9)*(K173&gt;=Upgrades!$E$12)=1,L173=0),1,"")</f>
        <v/>
      </c>
      <c r="AO173" s="26" t="str">
        <f aca="false">IF(AND(D173&gt;=Parameters!$B$18,L173=0),1,"")</f>
        <v/>
      </c>
      <c r="AP173" s="21" t="n">
        <f aca="false">MIN(IF(ISNUMBER(AK173),AK173,9000000000000000),IF(ISNUMBER(AL173),AL173,9000000000000000),IF(ISNUMBER(AM173),AM173,9000000000000000))</f>
        <v>9000000000000000</v>
      </c>
      <c r="AQ173" s="21" t="n">
        <f aca="false">MIN(IF(ISNUMBER(AG173),AG173,9000000000000000),IF(ISNUMBER(AH173),AH173,9000000000000000),IF(ISNUMBER(AI173),AI173,9000000000000000),IF(ISNUMBER(AJ173),AJ173,9000000000000000))</f>
        <v>37.4517507383159</v>
      </c>
      <c r="AR173" s="32" t="b">
        <f aca="false">IF(AW173&gt;Parameters!$B$21*(MAX(IF(AND(NOT(AND(AO173=1,AN173&lt;&gt;1)),ISNUMBER(AG173),AG173&lt;=T173),AS173,0),IF(AND(NOT(AND(AO173=1,AN173&lt;&gt;1)),ISNUMBER(AH173),AH173&lt;=T173),AT173,0),IF(AND(NOT(AND(AO173=1,AN173&lt;&gt;1)),ISNUMBER(AI173),AI173&lt;=T173),AU173,0),IF(AND(ISNUMBER(AJ173),AJ173&lt;=T173),AV173,0))),TRUE(),FALSE())</f>
        <v>1</v>
      </c>
      <c r="AS173" s="33" t="n">
        <f aca="false">IFERROR(Upgrades!$H$6*(POWER(Upgrades!$P$6,E173)*POWER(Upgrades!$P$7,F173)*POWER(Upgrades!$P$8,G173)*POWER(Upgrades!$P$9,H173)*POWER(Upgrades!$P$10,I173)*POWER(Upgrades!$P$11,J173)*POWER(Upgrades!$P$12,K173))*(IF(Upgrades!$T$7="Solar Wind",POWER(Upgrades!$U$7,F173),1)*IF(Upgrades!$T$8="Solar Wind",POWER(Upgrades!$U$8,G173),1)*IF(Upgrades!$T$9="Solar Wind",POWER(Upgrades!$U$9,H173),1)*IF(Upgrades!$T$10="Solar Wind",POWER(Upgrades!$U$10,I173),1)*IF(Upgrades!$T$11="Solar Wind",POWER(Upgrades!$U$11,J173),1)*IF(Upgrades!$T$12="Solar Wind",POWER(Upgrades!$U$12,K173),1))/AG173,0)</f>
        <v>0.0026701021455238</v>
      </c>
      <c r="AT173" s="33" t="n">
        <f aca="false">IFERROR(Upgrades!$H$7*(POWER(Upgrades!$P$6,E173)*POWER(Upgrades!$P$7,F173)*POWER(Upgrades!$P$8,G173)*POWER(Upgrades!$P$9,H173)*POWER(Upgrades!$P$10,I173)*POWER(Upgrades!$P$11,J173)*POWER(Upgrades!$P$12,K173))*(IF(Upgrades!$T$6="Asteroid Belt",POWER(Upgrades!$U$6,E173),1)*IF(Upgrades!$T$8="Asteroid Belt",POWER(Upgrades!$U$8,G173),1)*IF(Upgrades!$T$9="Asteroid Belt",POWER(Upgrades!$U$9,H173),1)*IF(Upgrades!$T$10="Asteroid Belt",POWER(Upgrades!$U$10,I173),1)*IF(Upgrades!$T$11="Asteroid Belt",POWER(Upgrades!$U$11,J173),1)*IF(Upgrades!$T$12="Asteroid Belt",POWER(Upgrades!$U$12,K173),1))/AH173,0)</f>
        <v>0.00308980882652332</v>
      </c>
      <c r="AU173" s="33" t="n">
        <f aca="false">IFERROR(Upgrades!$K$8*(POWER(Upgrades!$Q$6,E173)*POWER(Upgrades!$Q$7,F173)*POWER(Upgrades!$Q$8,G173)*POWER(Upgrades!$Q$9,H173)*POWER(Upgrades!$Q$10,I173)*POWER(Upgrades!$Q$11,J173)*POWER(Upgrades!$Q$12,K173))*(IF(Upgrades!$T$6="Stellar Coupling",POWER(Upgrades!$U$6,E173),1)*IF(Upgrades!$T$7="Stellar Coupling",POWER(Upgrades!$U$7,F173),1)*IF(Upgrades!$T$9="Stellar Coupling",POWER(Upgrades!$U$9,H173),1)*IF(Upgrades!$T$10="Stellar Coupling",POWER(Upgrades!$U$10,I173),1)*IF(Upgrades!$T$11="Stellar Coupling",POWER(Upgrades!$U$11,J173),1)*IF(Upgrades!$T$12="Stellar Coupling",POWER(Upgrades!$U$12,K173),1))*Parameters!$B$10*Parameters!$B$11/60/AI173,0)</f>
        <v>0.00452762415783776</v>
      </c>
      <c r="AV173" s="33" t="n">
        <f aca="false">IFERROR(Upgrades!$H$9*(POWER(Upgrades!$P$6,E173)*POWER(Upgrades!$P$7,F173)*POWER(Upgrades!$P$8,G173)*POWER(Upgrades!$P$9,H173)*POWER(Upgrades!$P$10,I173)*POWER(Upgrades!$P$11,J173)*POWER(Upgrades!$P$12,K173))*(IF(Upgrades!$T$6="Magnetosphere",POWER(Upgrades!$U$6,E173),1)*IF(Upgrades!$T$7="Magnetosphere",POWER(Upgrades!$U$7,F173),1)*IF(Upgrades!$T$8="Magnetosphere",POWER(Upgrades!$U$8,G173),1)*IF(Upgrades!$T$10="Magnetosphere",POWER(Upgrades!$U$10,I173),1)*IF(Upgrades!$T$11="Magnetosphere",POWER(Upgrades!$U$11,J173),1)*IF(Upgrades!$T$12="Magnetosphere",POWER(Upgrades!$U$12,K173),1))/AJ173,0)</f>
        <v>0</v>
      </c>
      <c r="AW173" s="33" t="n">
        <f aca="false">MAX(IF(I173&gt;0,0,IFERROR(0.25*N173/Upgrades!$C$10,0)),IF(J173&gt;0,0,IFERROR(0.5*((IF(G173=0,0,(Upgrades!$J$8+G173*Upgrades!$K$8)*POWER(Upgrades!$L$8,G173)))*(IF(Upgrades!$T$6="Stellar Coupling",POWER(Upgrades!$U$6,E173),1)*IF(Upgrades!$T$7="Stellar Coupling",POWER(Upgrades!$U$7,F173),1)*IF(Upgrades!$T$9="Stellar Coupling",POWER(Upgrades!$U$9,H173),1)*IF(Upgrades!$T$10="Stellar Coupling",POWER(Upgrades!$U$10,I173),1)*IF(Upgrades!$T$11="Stellar Coupling",POWER(Upgrades!$U$11,J173),1)*IF(Upgrades!$T$12="Stellar Coupling",POWER(Upgrades!$U$12,K173),1))*(POWER(Upgrades!$Q$6,E173)*POWER(Upgrades!$Q$7,F173)*POWER(Upgrades!$Q$8,G173)*POWER(Upgrades!$Q$9,H173)*POWER(Upgrades!$Q$10,I173)*POWER(Upgrades!$Q$11,J173)*POWER(Upgrades!$Q$12,K173))*Parameters!$B$10*Parameters!$B$11/60)/Upgrades!$C$11,0)),IF(K173&gt;0,0,IFERROR((1*(POWER(Upgrades!$P$6,E173)*POWER(Upgrades!$P$7,F173)*POWER(Upgrades!$P$8,G173)*POWER(Upgrades!$P$9,H173)*POWER(Upgrades!$P$10,I173)*POWER(Upgrades!$P$11,J173)*POWER(Upgrades!$P$12,K173))+0.2*M173*Parameters!$B$10*Parameters!$B$11/60)/Upgrades!$C$12,0)),IF(AND(ISNUMBER(AG173),AG173&gt;T173),AS173,0),IF(AND(ISNUMBER(AH173),AH173&gt;T173),AT173,0),IF(AND(ISNUMBER(AI173),AI173&gt;T173),AU173,0),IF(AND(ISNUMBER(AJ173),AJ173&gt;T173),AV173,0))</f>
        <v>0.00452762415783776</v>
      </c>
      <c r="AX173" s="29" t="str">
        <f aca="false">IF(AN173=1,"transition",IF(MIN(IF(AND(I173=0,ISNUMBER(AK173),AK173&lt;=T173),AK173,9000000000000000),IF(AND(J173=0,ISNUMBER(AL173),AL173&lt;=T173),AL173,9000000000000000),IF(AND(K173=0,ISNUMBER(AM173),AM173&lt;=T173),AM173,9000000000000000))&lt;9000000000000000,IF(AND(AND(I173=0,ISNUMBER(AK173),AK173&lt;=T173),AK173=MIN(IF(AND(I173=0,ISNUMBER(AK173),AK173&lt;=T173),AK173,9000000000000000),IF(AND(J173=0,ISNUMBER(AL173),AL173&lt;=T173),AL173,9000000000000000),IF(AND(K173=0,ISNUMBER(AM173),AM173&lt;=T173),AM173,9000000000000000))),"OR",IF(AND(AND(J173=0,ISNUMBER(AL173),AL173&lt;=T173),AL173=MIN(IF(AND(I173=0,ISNUMBER(AK173),AK173&lt;=T173),AK173,9000000000000000),IF(AND(J173=0,ISNUMBER(AL173),AL173&lt;=T173),AL173,9000000000000000),IF(AND(K173=0,ISNUMBER(AM173),AM173&lt;=T173),AM173,9000000000000000))),"HP","FP")),IF(AR173=TRUE(),"",IF(MAX(IF(AND(NOT(AND(AO173=1,AN173&lt;&gt;1)),ISNUMBER(AG173),AG173&lt;=T173),AS173,0),IF(AND(NOT(AND(AO173=1,AN173&lt;&gt;1)),ISNUMBER(AH173),AH173&lt;=T173),AT173,0),IF(AND(NOT(AND(AO173=1,AN173&lt;&gt;1)),ISNUMBER(AI173),AI173&lt;=T173),AU173,0),IF(AND(ISNUMBER(AJ173),AJ173&lt;=T173),AV173,0))&lt;=0,"",IF(AND(IF(AND(NOT(AND(AO173=1,AN173&lt;&gt;1)),ISNUMBER(AG173),AG173&lt;=T173),AS173,0)&gt;0,IF(AND(NOT(AND(AO173=1,AN173&lt;&gt;1)),ISNUMBER(AG173),AG173&lt;=T173),AS173,0)=MAX(IF(AND(NOT(AND(AO173=1,AN173&lt;&gt;1)),ISNUMBER(AG173),AG173&lt;=T173),AS173,0),IF(AND(NOT(AND(AO173=1,AN173&lt;&gt;1)),ISNUMBER(AH173),AH173&lt;=T173),AT173,0),IF(AND(NOT(AND(AO173=1,AN173&lt;&gt;1)),ISNUMBER(AI173),AI173&lt;=T173),AU173,0),IF(AND(ISNUMBER(AJ173),AJ173&lt;=T173),AV173,0))),"SW",IF(AND(IF(AND(NOT(AND(AO173=1,AN173&lt;&gt;1)),ISNUMBER(AH173),AH173&lt;=T173),AT173,0)&gt;0,IF(AND(NOT(AND(AO173=1,AN173&lt;&gt;1)),ISNUMBER(AH173),AH173&lt;=T173),AT173,0)=MAX(IF(AND(NOT(AND(AO173=1,AN173&lt;&gt;1)),ISNUMBER(AG173),AG173&lt;=T173),AS173,0),IF(AND(NOT(AND(AO173=1,AN173&lt;&gt;1)),ISNUMBER(AH173),AH173&lt;=T173),AT173,0),IF(AND(NOT(AND(AO173=1,AN173&lt;&gt;1)),ISNUMBER(AI173),AI173&lt;=T173),AU173,0),IF(AND(ISNUMBER(AJ173),AJ173&lt;=T173),AV173,0))),"AB",IF(AND(IF(AND(NOT(AND(AO173=1,AN173&lt;&gt;1)),ISNUMBER(AI173),AI173&lt;=T173),AU173,0)&gt;0,IF(AND(NOT(AND(AO173=1,AN173&lt;&gt;1)),ISNUMBER(AI173),AI173&lt;=T173),AU173,0)=MAX(IF(AND(NOT(AND(AO173=1,AN173&lt;&gt;1)),ISNUMBER(AG173),AG173&lt;=T173),AS173,0),IF(AND(NOT(AND(AO173=1,AN173&lt;&gt;1)),ISNUMBER(AH173),AH173&lt;=T173),AT173,0),IF(AND(NOT(AND(AO173=1,AN173&lt;&gt;1)),ISNUMBER(AI173),AI173&lt;=T173),AU173,0),IF(AND(ISNUMBER(AJ173),AJ173&lt;=T173),AV173,0))),"SC","Mag")))))))</f>
        <v/>
      </c>
    </row>
    <row r="174" customFormat="false" ht="15" hidden="false" customHeight="false" outlineLevel="0" collapsed="false">
      <c r="A174" s="26" t="n">
        <v>169</v>
      </c>
      <c r="B174" s="27" t="n">
        <f aca="false">A174*10/60</f>
        <v>28.1666666666667</v>
      </c>
      <c r="C174" s="21" t="n">
        <f aca="false">X173</f>
        <v>18.6730249835055</v>
      </c>
      <c r="D174" s="27" t="n">
        <f aca="false">D173+W173</f>
        <v>0</v>
      </c>
      <c r="E174" s="26" t="n">
        <f aca="false">E173+IF(U173="SW",1,0)</f>
        <v>12</v>
      </c>
      <c r="F174" s="26" t="n">
        <f aca="false">F173+IF(U173="AB",1,0)</f>
        <v>10</v>
      </c>
      <c r="G174" s="26" t="n">
        <f aca="false">G173+IF(U173="SC",1,0)</f>
        <v>7</v>
      </c>
      <c r="H174" s="26" t="n">
        <f aca="false">H173+IF(U173="Mag",1,0)</f>
        <v>5</v>
      </c>
      <c r="I174" s="26" t="n">
        <f aca="false">MAX(I173,IF(U173="OR",1,0))</f>
        <v>1</v>
      </c>
      <c r="J174" s="26" t="n">
        <f aca="false">MAX(J173,IF(U173="HP",1,0))</f>
        <v>1</v>
      </c>
      <c r="K174" s="26" t="n">
        <f aca="false">MAX(K173,IF(U173="FP",1,0))</f>
        <v>1</v>
      </c>
      <c r="L174" s="26" t="n">
        <f aca="false">MAX(L173,IF(U173="transition",1,0))</f>
        <v>1</v>
      </c>
      <c r="M174" s="28" t="n">
        <f aca="false">(Parameters!$B$9+(IF(E174=0,0,(Upgrades!$J$6+E174*Upgrades!$K$6)*POWER(Upgrades!$L$6,E174)))*(IF(Upgrades!$T$7="Solar Wind",POWER(Upgrades!$U$7,F174),1)*IF(Upgrades!$T$8="Solar Wind",POWER(Upgrades!$U$8,G174),1)*IF(Upgrades!$T$9="Solar Wind",POWER(Upgrades!$U$9,H174),1)*IF(Upgrades!$T$10="Solar Wind",POWER(Upgrades!$U$10,I174),1)*IF(Upgrades!$T$11="Solar Wind",POWER(Upgrades!$U$11,J174),1)*IF(Upgrades!$T$12="Solar Wind",POWER(Upgrades!$U$12,K174),1))+(IF(F174=0,0,(Upgrades!$J$7+F174*Upgrades!$K$7)*POWER(Upgrades!$L$7,F174)))*(IF(Upgrades!$T$6="Asteroid Belt",POWER(Upgrades!$U$6,E174),1)*IF(Upgrades!$T$8="Asteroid Belt",POWER(Upgrades!$U$8,G174),1)*IF(Upgrades!$T$9="Asteroid Belt",POWER(Upgrades!$U$9,H174),1)*IF(Upgrades!$T$10="Asteroid Belt",POWER(Upgrades!$U$10,I174),1)*IF(Upgrades!$T$11="Asteroid Belt",POWER(Upgrades!$U$11,J174),1)*IF(Upgrades!$T$12="Asteroid Belt",POWER(Upgrades!$U$12,K174),1))+(IF(G174=0,0,(Upgrades!$J$8+G174*Upgrades!$K$8)*POWER(Upgrades!$L$8,G174)))*(IF(Upgrades!$T$6="Stellar Coupling",POWER(Upgrades!$U$6,E174),1)*IF(Upgrades!$T$7="Stellar Coupling",POWER(Upgrades!$U$7,F174),1)*IF(Upgrades!$T$9="Stellar Coupling",POWER(Upgrades!$U$9,H174),1)*IF(Upgrades!$T$10="Stellar Coupling",POWER(Upgrades!$U$10,I174),1)*IF(Upgrades!$T$11="Stellar Coupling",POWER(Upgrades!$U$11,J174),1)*IF(Upgrades!$T$12="Stellar Coupling",POWER(Upgrades!$U$12,K174),1))+(IF(H174=0,0,(Upgrades!$J$9+H174*Upgrades!$K$9)*POWER(Upgrades!$L$9,H174)))*(IF(Upgrades!$T$6="Magnetosphere",POWER(Upgrades!$U$6,E174),1)*IF(Upgrades!$T$7="Magnetosphere",POWER(Upgrades!$U$7,F174),1)*IF(Upgrades!$T$8="Magnetosphere",POWER(Upgrades!$U$8,G174),1)*IF(Upgrades!$T$10="Magnetosphere",POWER(Upgrades!$U$10,I174),1)*IF(Upgrades!$T$11="Magnetosphere",POWER(Upgrades!$U$11,J174),1)*IF(Upgrades!$T$12="Magnetosphere",POWER(Upgrades!$U$12,K174),1))+(IF(I174=0,0,(Upgrades!$J$10+I174*Upgrades!$K$10)*POWER(Upgrades!$L$10,I174)))*(IF(Upgrades!$T$6="Orbital Resonance",POWER(Upgrades!$U$6,E174),1)*IF(Upgrades!$T$7="Orbital Resonance",POWER(Upgrades!$U$7,F174),1)*IF(Upgrades!$T$8="Orbital Resonance",POWER(Upgrades!$U$8,G174),1)*IF(Upgrades!$T$9="Orbital Resonance",POWER(Upgrades!$U$9,H174),1)*IF(Upgrades!$T$11="Orbital Resonance",POWER(Upgrades!$U$11,J174),1)*IF(Upgrades!$T$12="Orbital Resonance",POWER(Upgrades!$U$12,K174),1))+(IF(J174=0,0,(Upgrades!$J$11+J174*Upgrades!$K$11)*POWER(Upgrades!$L$11,J174)))*(IF(Upgrades!$T$6="Heliopause",POWER(Upgrades!$U$6,E174),1)*IF(Upgrades!$T$7="Heliopause",POWER(Upgrades!$U$7,F174),1)*IF(Upgrades!$T$8="Heliopause",POWER(Upgrades!$U$8,G174),1)*IF(Upgrades!$T$9="Heliopause",POWER(Upgrades!$U$9,H174),1)*IF(Upgrades!$T$10="Heliopause",POWER(Upgrades!$U$10,I174),1)*IF(Upgrades!$T$12="Heliopause",POWER(Upgrades!$U$12,K174),1))+(IF(K174=0,0,(Upgrades!$J$12+K174*Upgrades!$K$12)*POWER(Upgrades!$L$12,K174)))*(IF(Upgrades!$T$6="First Photons",POWER(Upgrades!$U$6,E174),1)*IF(Upgrades!$T$7="First Photons",POWER(Upgrades!$U$7,F174),1)*IF(Upgrades!$T$8="First Photons",POWER(Upgrades!$U$8,G174),1)*IF(Upgrades!$T$9="First Photons",POWER(Upgrades!$U$9,H174),1)*IF(Upgrades!$T$10="First Photons",POWER(Upgrades!$U$10,I174),1)*IF(Upgrades!$T$11="First Photons",POWER(Upgrades!$U$11,J174),1)))*POWER(Upgrades!$Q$6,E174)*POWER(Upgrades!$Q$7,F174)*POWER(Upgrades!$Q$8,G174)*POWER(Upgrades!$Q$9,H174)*POWER(Upgrades!$Q$10,I174)*POWER(Upgrades!$Q$11,J174)*POWER(Upgrades!$Q$12,K174)</f>
        <v>5.61</v>
      </c>
      <c r="N174" s="28" t="n">
        <f aca="false">((IF(E174=0,0,(Upgrades!$G$6+E174*Upgrades!$H$6)*POWER(Upgrades!$I$6,E174)))*(IF(Upgrades!$T$7="Solar Wind",POWER(Upgrades!$U$7,F174),1)*IF(Upgrades!$T$8="Solar Wind",POWER(Upgrades!$U$8,G174),1)*IF(Upgrades!$T$9="Solar Wind",POWER(Upgrades!$U$9,H174),1)*IF(Upgrades!$T$10="Solar Wind",POWER(Upgrades!$U$10,I174),1)*IF(Upgrades!$T$11="Solar Wind",POWER(Upgrades!$U$11,J174),1)*IF(Upgrades!$T$12="Solar Wind",POWER(Upgrades!$U$12,K174),1))+(IF(F174=0,0,(Upgrades!$G$7+F174*Upgrades!$H$7)*POWER(Upgrades!$I$7,F174)))*(IF(Upgrades!$T$6="Asteroid Belt",POWER(Upgrades!$U$6,E174),1)*IF(Upgrades!$T$8="Asteroid Belt",POWER(Upgrades!$U$8,G174),1)*IF(Upgrades!$T$9="Asteroid Belt",POWER(Upgrades!$U$9,H174),1)*IF(Upgrades!$T$10="Asteroid Belt",POWER(Upgrades!$U$10,I174),1)*IF(Upgrades!$T$11="Asteroid Belt",POWER(Upgrades!$U$11,J174),1)*IF(Upgrades!$T$12="Asteroid Belt",POWER(Upgrades!$U$12,K174),1))+(IF(G174=0,0,(Upgrades!$G$8+G174*Upgrades!$H$8)*POWER(Upgrades!$I$8,G174)))*(IF(Upgrades!$T$6="Stellar Coupling",POWER(Upgrades!$U$6,E174),1)*IF(Upgrades!$T$7="Stellar Coupling",POWER(Upgrades!$U$7,F174),1)*IF(Upgrades!$T$9="Stellar Coupling",POWER(Upgrades!$U$9,H174),1)*IF(Upgrades!$T$10="Stellar Coupling",POWER(Upgrades!$U$10,I174),1)*IF(Upgrades!$T$11="Stellar Coupling",POWER(Upgrades!$U$11,J174),1)*IF(Upgrades!$T$12="Stellar Coupling",POWER(Upgrades!$U$12,K174),1))+(IF(H174=0,0,(Upgrades!$G$9+H174*Upgrades!$H$9)*POWER(Upgrades!$I$9,H174)))*(IF(Upgrades!$T$6="Magnetosphere",POWER(Upgrades!$U$6,E174),1)*IF(Upgrades!$T$7="Magnetosphere",POWER(Upgrades!$U$7,F174),1)*IF(Upgrades!$T$8="Magnetosphere",POWER(Upgrades!$U$8,G174),1)*IF(Upgrades!$T$10="Magnetosphere",POWER(Upgrades!$U$10,I174),1)*IF(Upgrades!$T$11="Magnetosphere",POWER(Upgrades!$U$11,J174),1)*IF(Upgrades!$T$12="Magnetosphere",POWER(Upgrades!$U$12,K174),1))+(IF(I174=0,0,(Upgrades!$G$10+I174*Upgrades!$H$10)*POWER(Upgrades!$I$10,I174)))*(IF(Upgrades!$T$6="Orbital Resonance",POWER(Upgrades!$U$6,E174),1)*IF(Upgrades!$T$7="Orbital Resonance",POWER(Upgrades!$U$7,F174),1)*IF(Upgrades!$T$8="Orbital Resonance",POWER(Upgrades!$U$8,G174),1)*IF(Upgrades!$T$9="Orbital Resonance",POWER(Upgrades!$U$9,H174),1)*IF(Upgrades!$T$11="Orbital Resonance",POWER(Upgrades!$U$11,J174),1)*IF(Upgrades!$T$12="Orbital Resonance",POWER(Upgrades!$U$12,K174),1))+(IF(J174=0,0,(Upgrades!$G$11+J174*Upgrades!$H$11)*POWER(Upgrades!$I$11,J174)))*(IF(Upgrades!$T$6="Heliopause",POWER(Upgrades!$U$6,E174),1)*IF(Upgrades!$T$7="Heliopause",POWER(Upgrades!$U$7,F174),1)*IF(Upgrades!$T$8="Heliopause",POWER(Upgrades!$U$8,G174),1)*IF(Upgrades!$T$9="Heliopause",POWER(Upgrades!$U$9,H174),1)*IF(Upgrades!$T$10="Heliopause",POWER(Upgrades!$U$10,I174),1)*IF(Upgrades!$T$12="Heliopause",POWER(Upgrades!$U$12,K174),1))+(IF(K174=0,0,(Upgrades!$G$12+K174*Upgrades!$H$12)*POWER(Upgrades!$I$12,K174)))*(IF(Upgrades!$T$6="First Photons",POWER(Upgrades!$U$6,E174),1)*IF(Upgrades!$T$7="First Photons",POWER(Upgrades!$U$7,F174),1)*IF(Upgrades!$T$8="First Photons",POWER(Upgrades!$U$8,G174),1)*IF(Upgrades!$T$9="First Photons",POWER(Upgrades!$U$9,H174),1)*IF(Upgrades!$T$10="First Photons",POWER(Upgrades!$U$10,I174),1)*IF(Upgrades!$T$11="First Photons",POWER(Upgrades!$U$11,J174),1)))*POWER(Upgrades!$P$6,E174)*POWER(Upgrades!$P$7,F174)*POWER(Upgrades!$P$8,G174)*POWER(Upgrades!$P$9,H174)*POWER(Upgrades!$P$10,I174)*POWER(Upgrades!$P$11,J174)*POWER(Upgrades!$P$12,K174)</f>
        <v>11.2</v>
      </c>
      <c r="O174" s="28" t="n">
        <f aca="false">((IF(E174=0,0,(Upgrades!$M$6+E174*Upgrades!$N$6)*POWER(Upgrades!$O$6,E174)))*(IF(Upgrades!$T$7="Solar Wind",POWER(Upgrades!$U$7,F174),1)*IF(Upgrades!$T$8="Solar Wind",POWER(Upgrades!$U$8,G174),1)*IF(Upgrades!$T$9="Solar Wind",POWER(Upgrades!$U$9,H174),1)*IF(Upgrades!$T$10="Solar Wind",POWER(Upgrades!$U$10,I174),1)*IF(Upgrades!$T$11="Solar Wind",POWER(Upgrades!$U$11,J174),1)*IF(Upgrades!$T$12="Solar Wind",POWER(Upgrades!$U$12,K174),1))+(IF(F174=0,0,(Upgrades!$M$7+F174*Upgrades!$N$7)*POWER(Upgrades!$O$7,F174)))*(IF(Upgrades!$T$6="Asteroid Belt",POWER(Upgrades!$U$6,E174),1)*IF(Upgrades!$T$8="Asteroid Belt",POWER(Upgrades!$U$8,G174),1)*IF(Upgrades!$T$9="Asteroid Belt",POWER(Upgrades!$U$9,H174),1)*IF(Upgrades!$T$10="Asteroid Belt",POWER(Upgrades!$U$10,I174),1)*IF(Upgrades!$T$11="Asteroid Belt",POWER(Upgrades!$U$11,J174),1)*IF(Upgrades!$T$12="Asteroid Belt",POWER(Upgrades!$U$12,K174),1))+(IF(G174=0,0,(Upgrades!$M$8+G174*Upgrades!$N$8)*POWER(Upgrades!$O$8,G174)))*(IF(Upgrades!$T$6="Stellar Coupling",POWER(Upgrades!$U$6,E174),1)*IF(Upgrades!$T$7="Stellar Coupling",POWER(Upgrades!$U$7,F174),1)*IF(Upgrades!$T$9="Stellar Coupling",POWER(Upgrades!$U$9,H174),1)*IF(Upgrades!$T$10="Stellar Coupling",POWER(Upgrades!$U$10,I174),1)*IF(Upgrades!$T$11="Stellar Coupling",POWER(Upgrades!$U$11,J174),1)*IF(Upgrades!$T$12="Stellar Coupling",POWER(Upgrades!$U$12,K174),1))+(IF(H174=0,0,(Upgrades!$M$9+H174*Upgrades!$N$9)*POWER(Upgrades!$O$9,H174)))*(IF(Upgrades!$T$6="Magnetosphere",POWER(Upgrades!$U$6,E174),1)*IF(Upgrades!$T$7="Magnetosphere",POWER(Upgrades!$U$7,F174),1)*IF(Upgrades!$T$8="Magnetosphere",POWER(Upgrades!$U$8,G174),1)*IF(Upgrades!$T$10="Magnetosphere",POWER(Upgrades!$U$10,I174),1)*IF(Upgrades!$T$11="Magnetosphere",POWER(Upgrades!$U$11,J174),1)*IF(Upgrades!$T$12="Magnetosphere",POWER(Upgrades!$U$12,K174),1))+(IF(I174=0,0,(Upgrades!$M$10+I174*Upgrades!$N$10)*POWER(Upgrades!$O$10,I174)))*(IF(Upgrades!$T$6="Orbital Resonance",POWER(Upgrades!$U$6,E174),1)*IF(Upgrades!$T$7="Orbital Resonance",POWER(Upgrades!$U$7,F174),1)*IF(Upgrades!$T$8="Orbital Resonance",POWER(Upgrades!$U$8,G174),1)*IF(Upgrades!$T$9="Orbital Resonance",POWER(Upgrades!$U$9,H174),1)*IF(Upgrades!$T$11="Orbital Resonance",POWER(Upgrades!$U$11,J174),1)*IF(Upgrades!$T$12="Orbital Resonance",POWER(Upgrades!$U$12,K174),1))+(IF(J174=0,0,(Upgrades!$M$11+J174*Upgrades!$N$11)*POWER(Upgrades!$O$11,J174)))*(IF(Upgrades!$T$6="Heliopause",POWER(Upgrades!$U$6,E174),1)*IF(Upgrades!$T$7="Heliopause",POWER(Upgrades!$U$7,F174),1)*IF(Upgrades!$T$8="Heliopause",POWER(Upgrades!$U$8,G174),1)*IF(Upgrades!$T$9="Heliopause",POWER(Upgrades!$U$9,H174),1)*IF(Upgrades!$T$10="Heliopause",POWER(Upgrades!$U$10,I174),1)*IF(Upgrades!$T$12="Heliopause",POWER(Upgrades!$U$12,K174),1))+(IF(K174=0,0,(Upgrades!$M$12+K174*Upgrades!$N$12)*POWER(Upgrades!$O$12,K174)))*(IF(Upgrades!$T$6="First Photons",POWER(Upgrades!$U$6,E174),1)*IF(Upgrades!$T$7="First Photons",POWER(Upgrades!$U$7,F174),1)*IF(Upgrades!$T$8="First Photons",POWER(Upgrades!$U$8,G174),1)*IF(Upgrades!$T$9="First Photons",POWER(Upgrades!$U$9,H174),1)*IF(Upgrades!$T$10="First Photons",POWER(Upgrades!$U$10,I174),1)*IF(Upgrades!$T$11="First Photons",POWER(Upgrades!$U$11,J174),1)))*POWER(Upgrades!$R$6,E174)*POWER(Upgrades!$R$7,F174)*POWER(Upgrades!$R$8,G174)*POWER(Upgrades!$R$9,H174)*POWER(Upgrades!$R$10,I174)*POWER(Upgrades!$R$11,J174)*POWER(Upgrades!$R$12,K174)</f>
        <v>0</v>
      </c>
      <c r="P174" s="27" t="n">
        <f aca="false">IF(L174=1,0,M174*Parameters!$B$10/60*Parameters!$B$11*10)</f>
        <v>0</v>
      </c>
      <c r="Q174" s="27" t="n">
        <f aca="false">IF(L174=1,0,O174*M174*10)</f>
        <v>0</v>
      </c>
      <c r="R174" s="27" t="n">
        <f aca="false">IF(L174=1,0,N174*10)</f>
        <v>0</v>
      </c>
      <c r="S174" s="27" t="n">
        <f aca="false">P174+Q174+R174</f>
        <v>0</v>
      </c>
      <c r="T174" s="21" t="n">
        <f aca="false">C174+S174</f>
        <v>18.6730249835055</v>
      </c>
      <c r="U174" s="34" t="str">
        <f aca="false">AX174</f>
        <v/>
      </c>
      <c r="V174" s="21" t="n">
        <f aca="false">IF(U174="",0,IF(U174="transition",0,IF(U174="SW",AG174,IF(U174="AB",AH174,IF(U174="SC",AI174,IF(U174="Mag",AJ174,IF(U174="OR",AK174,IF(U174="HP",AL174,IF(U174="FP",AM174,0)))))))))</f>
        <v>0</v>
      </c>
      <c r="W174" s="27" t="n">
        <f aca="false">IF(U174="OR",Upgrades!$F$10,IF(U174="HP",Upgrades!$F$11,IF(U174="transition",-Parameters!$B$18,0)))</f>
        <v>0</v>
      </c>
      <c r="X174" s="21" t="n">
        <f aca="false">T174-V174</f>
        <v>18.6730249835055</v>
      </c>
      <c r="Y174" s="30" t="n">
        <f aca="false">M174*Parameters!$B$10/60*Parameters!$B$11+O174*M174+N174</f>
        <v>20.55</v>
      </c>
      <c r="Z174" s="35" t="str">
        <f aca="false">IF(U174="transition","→ Tier 2 (Stellar Neighborhood)",IF(U174="FP","First Photons — light begins, system quickens",IF(U174="HP","Heliopause acquired",IF(U174="OR","Orbital Resonance — passive multiplier active",IF(AND(AO174=1,L174=0,AN174&lt;&gt;1),"Cohesion ready (waiting on completionist upgrades)","")))))</f>
        <v/>
      </c>
      <c r="AA174" s="27" t="n">
        <f aca="false">(IF(E174=0,0,(Upgrades!$G$6+E174*Upgrades!$H$6)*POWER(Upgrades!$I$6,E174)))*(IF(Upgrades!$T$7="Solar Wind",POWER(Upgrades!$U$7,F174),1)*IF(Upgrades!$T$8="Solar Wind",POWER(Upgrades!$U$8,G174),1)*IF(Upgrades!$T$9="Solar Wind",POWER(Upgrades!$U$9,H174),1)*IF(Upgrades!$T$10="Solar Wind",POWER(Upgrades!$U$10,I174),1)*IF(Upgrades!$T$11="Solar Wind",POWER(Upgrades!$U$11,J174),1)*IF(Upgrades!$T$12="Solar Wind",POWER(Upgrades!$U$12,K174),1))*POWER(Upgrades!$P$6,E174)*POWER(Upgrades!$P$7,F174)*POWER(Upgrades!$P$8,G174)*POWER(Upgrades!$P$9,H174)*POWER(Upgrades!$P$10,I174)*POWER(Upgrades!$P$11,J174)*POWER(Upgrades!$P$12,K174)*60</f>
        <v>72</v>
      </c>
      <c r="AB174" s="27" t="n">
        <f aca="false">(IF(F174=0,0,(Upgrades!$G$7+F174*Upgrades!$H$7)*POWER(Upgrades!$I$7,F174)))*(IF(Upgrades!$T$6="Asteroid Belt",POWER(Upgrades!$U$6,E174),1)*IF(Upgrades!$T$8="Asteroid Belt",POWER(Upgrades!$U$8,G174),1)*IF(Upgrades!$T$9="Asteroid Belt",POWER(Upgrades!$U$9,H174),1)*IF(Upgrades!$T$10="Asteroid Belt",POWER(Upgrades!$U$10,I174),1)*IF(Upgrades!$T$11="Asteroid Belt",POWER(Upgrades!$U$11,J174),1)*IF(Upgrades!$T$12="Asteroid Belt",POWER(Upgrades!$U$12,K174),1))*POWER(Upgrades!$P$6,E174)*POWER(Upgrades!$P$7,F174)*POWER(Upgrades!$P$8,G174)*POWER(Upgrades!$P$9,H174)*POWER(Upgrades!$P$10,I174)*POWER(Upgrades!$P$11,J174)*POWER(Upgrades!$P$12,K174)*60</f>
        <v>150</v>
      </c>
      <c r="AC174" s="27" t="n">
        <f aca="false">(IF(G174=0,0,(Upgrades!$J$8+G174*Upgrades!$K$8)*POWER(Upgrades!$L$8,G174)))*(IF(Upgrades!$T$6="Stellar Coupling",POWER(Upgrades!$U$6,E174),1)*IF(Upgrades!$T$7="Stellar Coupling",POWER(Upgrades!$U$7,F174),1)*IF(Upgrades!$T$9="Stellar Coupling",POWER(Upgrades!$U$9,H174),1)*IF(Upgrades!$T$10="Stellar Coupling",POWER(Upgrades!$U$10,I174),1)*IF(Upgrades!$T$11="Stellar Coupling",POWER(Upgrades!$U$11,J174),1)*IF(Upgrades!$T$12="Stellar Coupling",POWER(Upgrades!$U$12,K174),1))*POWER(Upgrades!$Q$6,E174)*POWER(Upgrades!$Q$7,F174)*POWER(Upgrades!$Q$8,G174)*POWER(Upgrades!$Q$9,H174)*POWER(Upgrades!$Q$10,I174)*POWER(Upgrades!$Q$11,J174)*POWER(Upgrades!$Q$12,K174)*Parameters!$B$10*Parameters!$B$11</f>
        <v>441</v>
      </c>
      <c r="AD174" s="27" t="n">
        <f aca="false">(IF(H174=0,0,(Upgrades!$G$9+H174*Upgrades!$H$9)*POWER(Upgrades!$I$9,H174)))*(IF(Upgrades!$T$6="Magnetosphere",POWER(Upgrades!$U$6,E174),1)*IF(Upgrades!$T$7="Magnetosphere",POWER(Upgrades!$U$7,F174),1)*IF(Upgrades!$T$8="Magnetosphere",POWER(Upgrades!$U$8,G174),1)*IF(Upgrades!$T$10="Magnetosphere",POWER(Upgrades!$U$10,I174),1)*IF(Upgrades!$T$11="Magnetosphere",POWER(Upgrades!$U$11,J174),1)*IF(Upgrades!$T$12="Magnetosphere",POWER(Upgrades!$U$12,K174),1))*POWER(Upgrades!$P$6,E174)*POWER(Upgrades!$P$7,F174)*POWER(Upgrades!$P$8,G174)*POWER(Upgrades!$P$9,H174)*POWER(Upgrades!$P$10,I174)*POWER(Upgrades!$P$11,J174)*POWER(Upgrades!$P$12,K174)*60</f>
        <v>375</v>
      </c>
      <c r="AE174" s="27" t="n">
        <f aca="false">(IF(K174=0,0,(Upgrades!$G$12+K174*Upgrades!$H$12)*POWER(Upgrades!$I$12,K174)))*(IF(Upgrades!$T$6="First Photons",POWER(Upgrades!$U$6,E174),1)*IF(Upgrades!$T$7="First Photons",POWER(Upgrades!$U$7,F174),1)*IF(Upgrades!$T$8="First Photons",POWER(Upgrades!$U$8,G174),1)*IF(Upgrades!$T$9="First Photons",POWER(Upgrades!$U$9,H174),1)*IF(Upgrades!$T$10="First Photons",POWER(Upgrades!$U$10,I174),1)*IF(Upgrades!$T$11="First Photons",POWER(Upgrades!$U$11,J174),1))*POWER(Upgrades!$P$6,E174)*POWER(Upgrades!$P$7,F174)*POWER(Upgrades!$P$8,G174)*POWER(Upgrades!$P$9,H174)*POWER(Upgrades!$P$10,I174)*POWER(Upgrades!$P$11,J174)*POWER(Upgrades!$P$12,K174)*60</f>
        <v>75</v>
      </c>
      <c r="AF174" s="27" t="n">
        <f aca="false">Parameters!$B$9*POWER(Upgrades!$Q$6,E174)*POWER(Upgrades!$Q$7,F174)*POWER(Upgrades!$Q$8,G174)*POWER(Upgrades!$Q$9,H174)*POWER(Upgrades!$Q$10,I174)*POWER(Upgrades!$Q$11,J174)*POWER(Upgrades!$Q$12,K174)*(Parameters!$B$10*Parameters!$B$11+O174*60)</f>
        <v>120</v>
      </c>
      <c r="AG174" s="21" t="n">
        <f aca="false">IF(E174&gt;=Upgrades!$E$6,"",Upgrades!$C$6*POWER(Upgrades!$D$6,E174))</f>
        <v>37.4517507383159</v>
      </c>
      <c r="AH174" s="21" t="n">
        <f aca="false">IF(F174&gt;=Upgrades!$E$7,"",Upgrades!$C$7*POWER(Upgrades!$D$7,F174))</f>
        <v>80.9111547141581</v>
      </c>
      <c r="AI174" s="21" t="n">
        <f aca="false">IF(G174&gt;=Upgrades!$E$8,"",Upgrades!$C$8*POWER(Upgrades!$D$8,G174))</f>
        <v>231.9097088</v>
      </c>
      <c r="AJ174" s="21" t="str">
        <f aca="false">IF(H174&gt;=Upgrades!$E$9,"",Upgrades!$C$9*POWER(Upgrades!$D$9,H174))</f>
        <v/>
      </c>
      <c r="AK174" s="21" t="str">
        <f aca="false">IF(I174&gt;=Upgrades!$E$10,"",Upgrades!$C$10*POWER(Upgrades!$D$10,I174))</f>
        <v/>
      </c>
      <c r="AL174" s="21" t="str">
        <f aca="false">IF(J174&gt;=Upgrades!$E$11,"",Upgrades!$C$11*POWER(Upgrades!$D$11,J174))</f>
        <v/>
      </c>
      <c r="AM174" s="21" t="str">
        <f aca="false">IF(K174&gt;=Upgrades!$E$12,"",Upgrades!$C$12*POWER(Upgrades!$D$12,K174))</f>
        <v/>
      </c>
      <c r="AN174" s="26" t="str">
        <f aca="false">IF(AND(D174&gt;=Parameters!$B$18,(H174&gt;=Upgrades!$E$9)*(K174&gt;=Upgrades!$E$12)=1,L174=0),1,"")</f>
        <v/>
      </c>
      <c r="AO174" s="26" t="str">
        <f aca="false">IF(AND(D174&gt;=Parameters!$B$18,L174=0),1,"")</f>
        <v/>
      </c>
      <c r="AP174" s="21" t="n">
        <f aca="false">MIN(IF(ISNUMBER(AK174),AK174,9000000000000000),IF(ISNUMBER(AL174),AL174,9000000000000000),IF(ISNUMBER(AM174),AM174,9000000000000000))</f>
        <v>9000000000000000</v>
      </c>
      <c r="AQ174" s="21" t="n">
        <f aca="false">MIN(IF(ISNUMBER(AG174),AG174,9000000000000000),IF(ISNUMBER(AH174),AH174,9000000000000000),IF(ISNUMBER(AI174),AI174,9000000000000000),IF(ISNUMBER(AJ174),AJ174,9000000000000000))</f>
        <v>37.4517507383159</v>
      </c>
      <c r="AR174" s="32" t="b">
        <f aca="false">IF(AW174&gt;Parameters!$B$21*(MAX(IF(AND(NOT(AND(AO174=1,AN174&lt;&gt;1)),ISNUMBER(AG174),AG174&lt;=T174),AS174,0),IF(AND(NOT(AND(AO174=1,AN174&lt;&gt;1)),ISNUMBER(AH174),AH174&lt;=T174),AT174,0),IF(AND(NOT(AND(AO174=1,AN174&lt;&gt;1)),ISNUMBER(AI174),AI174&lt;=T174),AU174,0),IF(AND(ISNUMBER(AJ174),AJ174&lt;=T174),AV174,0))),TRUE(),FALSE())</f>
        <v>1</v>
      </c>
      <c r="AS174" s="33" t="n">
        <f aca="false">IFERROR(Upgrades!$H$6*(POWER(Upgrades!$P$6,E174)*POWER(Upgrades!$P$7,F174)*POWER(Upgrades!$P$8,G174)*POWER(Upgrades!$P$9,H174)*POWER(Upgrades!$P$10,I174)*POWER(Upgrades!$P$11,J174)*POWER(Upgrades!$P$12,K174))*(IF(Upgrades!$T$7="Solar Wind",POWER(Upgrades!$U$7,F174),1)*IF(Upgrades!$T$8="Solar Wind",POWER(Upgrades!$U$8,G174),1)*IF(Upgrades!$T$9="Solar Wind",POWER(Upgrades!$U$9,H174),1)*IF(Upgrades!$T$10="Solar Wind",POWER(Upgrades!$U$10,I174),1)*IF(Upgrades!$T$11="Solar Wind",POWER(Upgrades!$U$11,J174),1)*IF(Upgrades!$T$12="Solar Wind",POWER(Upgrades!$U$12,K174),1))/AG174,0)</f>
        <v>0.0026701021455238</v>
      </c>
      <c r="AT174" s="33" t="n">
        <f aca="false">IFERROR(Upgrades!$H$7*(POWER(Upgrades!$P$6,E174)*POWER(Upgrades!$P$7,F174)*POWER(Upgrades!$P$8,G174)*POWER(Upgrades!$P$9,H174)*POWER(Upgrades!$P$10,I174)*POWER(Upgrades!$P$11,J174)*POWER(Upgrades!$P$12,K174))*(IF(Upgrades!$T$6="Asteroid Belt",POWER(Upgrades!$U$6,E174),1)*IF(Upgrades!$T$8="Asteroid Belt",POWER(Upgrades!$U$8,G174),1)*IF(Upgrades!$T$9="Asteroid Belt",POWER(Upgrades!$U$9,H174),1)*IF(Upgrades!$T$10="Asteroid Belt",POWER(Upgrades!$U$10,I174),1)*IF(Upgrades!$T$11="Asteroid Belt",POWER(Upgrades!$U$11,J174),1)*IF(Upgrades!$T$12="Asteroid Belt",POWER(Upgrades!$U$12,K174),1))/AH174,0)</f>
        <v>0.00308980882652332</v>
      </c>
      <c r="AU174" s="33" t="n">
        <f aca="false">IFERROR(Upgrades!$K$8*(POWER(Upgrades!$Q$6,E174)*POWER(Upgrades!$Q$7,F174)*POWER(Upgrades!$Q$8,G174)*POWER(Upgrades!$Q$9,H174)*POWER(Upgrades!$Q$10,I174)*POWER(Upgrades!$Q$11,J174)*POWER(Upgrades!$Q$12,K174))*(IF(Upgrades!$T$6="Stellar Coupling",POWER(Upgrades!$U$6,E174),1)*IF(Upgrades!$T$7="Stellar Coupling",POWER(Upgrades!$U$7,F174),1)*IF(Upgrades!$T$9="Stellar Coupling",POWER(Upgrades!$U$9,H174),1)*IF(Upgrades!$T$10="Stellar Coupling",POWER(Upgrades!$U$10,I174),1)*IF(Upgrades!$T$11="Stellar Coupling",POWER(Upgrades!$U$11,J174),1)*IF(Upgrades!$T$12="Stellar Coupling",POWER(Upgrades!$U$12,K174),1))*Parameters!$B$10*Parameters!$B$11/60/AI174,0)</f>
        <v>0.00452762415783776</v>
      </c>
      <c r="AV174" s="33" t="n">
        <f aca="false">IFERROR(Upgrades!$H$9*(POWER(Upgrades!$P$6,E174)*POWER(Upgrades!$P$7,F174)*POWER(Upgrades!$P$8,G174)*POWER(Upgrades!$P$9,H174)*POWER(Upgrades!$P$10,I174)*POWER(Upgrades!$P$11,J174)*POWER(Upgrades!$P$12,K174))*(IF(Upgrades!$T$6="Magnetosphere",POWER(Upgrades!$U$6,E174),1)*IF(Upgrades!$T$7="Magnetosphere",POWER(Upgrades!$U$7,F174),1)*IF(Upgrades!$T$8="Magnetosphere",POWER(Upgrades!$U$8,G174),1)*IF(Upgrades!$T$10="Magnetosphere",POWER(Upgrades!$U$10,I174),1)*IF(Upgrades!$T$11="Magnetosphere",POWER(Upgrades!$U$11,J174),1)*IF(Upgrades!$T$12="Magnetosphere",POWER(Upgrades!$U$12,K174),1))/AJ174,0)</f>
        <v>0</v>
      </c>
      <c r="AW174" s="33" t="n">
        <f aca="false">MAX(IF(I174&gt;0,0,IFERROR(0.25*N174/Upgrades!$C$10,0)),IF(J174&gt;0,0,IFERROR(0.5*((IF(G174=0,0,(Upgrades!$J$8+G174*Upgrades!$K$8)*POWER(Upgrades!$L$8,G174)))*(IF(Upgrades!$T$6="Stellar Coupling",POWER(Upgrades!$U$6,E174),1)*IF(Upgrades!$T$7="Stellar Coupling",POWER(Upgrades!$U$7,F174),1)*IF(Upgrades!$T$9="Stellar Coupling",POWER(Upgrades!$U$9,H174),1)*IF(Upgrades!$T$10="Stellar Coupling",POWER(Upgrades!$U$10,I174),1)*IF(Upgrades!$T$11="Stellar Coupling",POWER(Upgrades!$U$11,J174),1)*IF(Upgrades!$T$12="Stellar Coupling",POWER(Upgrades!$U$12,K174),1))*(POWER(Upgrades!$Q$6,E174)*POWER(Upgrades!$Q$7,F174)*POWER(Upgrades!$Q$8,G174)*POWER(Upgrades!$Q$9,H174)*POWER(Upgrades!$Q$10,I174)*POWER(Upgrades!$Q$11,J174)*POWER(Upgrades!$Q$12,K174))*Parameters!$B$10*Parameters!$B$11/60)/Upgrades!$C$11,0)),IF(K174&gt;0,0,IFERROR((1*(POWER(Upgrades!$P$6,E174)*POWER(Upgrades!$P$7,F174)*POWER(Upgrades!$P$8,G174)*POWER(Upgrades!$P$9,H174)*POWER(Upgrades!$P$10,I174)*POWER(Upgrades!$P$11,J174)*POWER(Upgrades!$P$12,K174))+0.2*M174*Parameters!$B$10*Parameters!$B$11/60)/Upgrades!$C$12,0)),IF(AND(ISNUMBER(AG174),AG174&gt;T174),AS174,0),IF(AND(ISNUMBER(AH174),AH174&gt;T174),AT174,0),IF(AND(ISNUMBER(AI174),AI174&gt;T174),AU174,0),IF(AND(ISNUMBER(AJ174),AJ174&gt;T174),AV174,0))</f>
        <v>0.00452762415783776</v>
      </c>
      <c r="AX174" s="29" t="str">
        <f aca="false">IF(AN174=1,"transition",IF(MIN(IF(AND(I174=0,ISNUMBER(AK174),AK174&lt;=T174),AK174,9000000000000000),IF(AND(J174=0,ISNUMBER(AL174),AL174&lt;=T174),AL174,9000000000000000),IF(AND(K174=0,ISNUMBER(AM174),AM174&lt;=T174),AM174,9000000000000000))&lt;9000000000000000,IF(AND(AND(I174=0,ISNUMBER(AK174),AK174&lt;=T174),AK174=MIN(IF(AND(I174=0,ISNUMBER(AK174),AK174&lt;=T174),AK174,9000000000000000),IF(AND(J174=0,ISNUMBER(AL174),AL174&lt;=T174),AL174,9000000000000000),IF(AND(K174=0,ISNUMBER(AM174),AM174&lt;=T174),AM174,9000000000000000))),"OR",IF(AND(AND(J174=0,ISNUMBER(AL174),AL174&lt;=T174),AL174=MIN(IF(AND(I174=0,ISNUMBER(AK174),AK174&lt;=T174),AK174,9000000000000000),IF(AND(J174=0,ISNUMBER(AL174),AL174&lt;=T174),AL174,9000000000000000),IF(AND(K174=0,ISNUMBER(AM174),AM174&lt;=T174),AM174,9000000000000000))),"HP","FP")),IF(AR174=TRUE(),"",IF(MAX(IF(AND(NOT(AND(AO174=1,AN174&lt;&gt;1)),ISNUMBER(AG174),AG174&lt;=T174),AS174,0),IF(AND(NOT(AND(AO174=1,AN174&lt;&gt;1)),ISNUMBER(AH174),AH174&lt;=T174),AT174,0),IF(AND(NOT(AND(AO174=1,AN174&lt;&gt;1)),ISNUMBER(AI174),AI174&lt;=T174),AU174,0),IF(AND(ISNUMBER(AJ174),AJ174&lt;=T174),AV174,0))&lt;=0,"",IF(AND(IF(AND(NOT(AND(AO174=1,AN174&lt;&gt;1)),ISNUMBER(AG174),AG174&lt;=T174),AS174,0)&gt;0,IF(AND(NOT(AND(AO174=1,AN174&lt;&gt;1)),ISNUMBER(AG174),AG174&lt;=T174),AS174,0)=MAX(IF(AND(NOT(AND(AO174=1,AN174&lt;&gt;1)),ISNUMBER(AG174),AG174&lt;=T174),AS174,0),IF(AND(NOT(AND(AO174=1,AN174&lt;&gt;1)),ISNUMBER(AH174),AH174&lt;=T174),AT174,0),IF(AND(NOT(AND(AO174=1,AN174&lt;&gt;1)),ISNUMBER(AI174),AI174&lt;=T174),AU174,0),IF(AND(ISNUMBER(AJ174),AJ174&lt;=T174),AV174,0))),"SW",IF(AND(IF(AND(NOT(AND(AO174=1,AN174&lt;&gt;1)),ISNUMBER(AH174),AH174&lt;=T174),AT174,0)&gt;0,IF(AND(NOT(AND(AO174=1,AN174&lt;&gt;1)),ISNUMBER(AH174),AH174&lt;=T174),AT174,0)=MAX(IF(AND(NOT(AND(AO174=1,AN174&lt;&gt;1)),ISNUMBER(AG174),AG174&lt;=T174),AS174,0),IF(AND(NOT(AND(AO174=1,AN174&lt;&gt;1)),ISNUMBER(AH174),AH174&lt;=T174),AT174,0),IF(AND(NOT(AND(AO174=1,AN174&lt;&gt;1)),ISNUMBER(AI174),AI174&lt;=T174),AU174,0),IF(AND(ISNUMBER(AJ174),AJ174&lt;=T174),AV174,0))),"AB",IF(AND(IF(AND(NOT(AND(AO174=1,AN174&lt;&gt;1)),ISNUMBER(AI174),AI174&lt;=T174),AU174,0)&gt;0,IF(AND(NOT(AND(AO174=1,AN174&lt;&gt;1)),ISNUMBER(AI174),AI174&lt;=T174),AU174,0)=MAX(IF(AND(NOT(AND(AO174=1,AN174&lt;&gt;1)),ISNUMBER(AG174),AG174&lt;=T174),AS174,0),IF(AND(NOT(AND(AO174=1,AN174&lt;&gt;1)),ISNUMBER(AH174),AH174&lt;=T174),AT174,0),IF(AND(NOT(AND(AO174=1,AN174&lt;&gt;1)),ISNUMBER(AI174),AI174&lt;=T174),AU174,0),IF(AND(ISNUMBER(AJ174),AJ174&lt;=T174),AV174,0))),"SC","Mag")))))))</f>
        <v/>
      </c>
    </row>
    <row r="175" customFormat="false" ht="15" hidden="false" customHeight="false" outlineLevel="0" collapsed="false">
      <c r="A175" s="26" t="n">
        <v>170</v>
      </c>
      <c r="B175" s="27" t="n">
        <f aca="false">A175*10/60</f>
        <v>28.3333333333333</v>
      </c>
      <c r="C175" s="21" t="n">
        <f aca="false">X174</f>
        <v>18.6730249835055</v>
      </c>
      <c r="D175" s="27" t="n">
        <f aca="false">D174+W174</f>
        <v>0</v>
      </c>
      <c r="E175" s="26" t="n">
        <f aca="false">E174+IF(U174="SW",1,0)</f>
        <v>12</v>
      </c>
      <c r="F175" s="26" t="n">
        <f aca="false">F174+IF(U174="AB",1,0)</f>
        <v>10</v>
      </c>
      <c r="G175" s="26" t="n">
        <f aca="false">G174+IF(U174="SC",1,0)</f>
        <v>7</v>
      </c>
      <c r="H175" s="26" t="n">
        <f aca="false">H174+IF(U174="Mag",1,0)</f>
        <v>5</v>
      </c>
      <c r="I175" s="26" t="n">
        <f aca="false">MAX(I174,IF(U174="OR",1,0))</f>
        <v>1</v>
      </c>
      <c r="J175" s="26" t="n">
        <f aca="false">MAX(J174,IF(U174="HP",1,0))</f>
        <v>1</v>
      </c>
      <c r="K175" s="26" t="n">
        <f aca="false">MAX(K174,IF(U174="FP",1,0))</f>
        <v>1</v>
      </c>
      <c r="L175" s="26" t="n">
        <f aca="false">MAX(L174,IF(U174="transition",1,0))</f>
        <v>1</v>
      </c>
      <c r="M175" s="28" t="n">
        <f aca="false">(Parameters!$B$9+(IF(E175=0,0,(Upgrades!$J$6+E175*Upgrades!$K$6)*POWER(Upgrades!$L$6,E175)))*(IF(Upgrades!$T$7="Solar Wind",POWER(Upgrades!$U$7,F175),1)*IF(Upgrades!$T$8="Solar Wind",POWER(Upgrades!$U$8,G175),1)*IF(Upgrades!$T$9="Solar Wind",POWER(Upgrades!$U$9,H175),1)*IF(Upgrades!$T$10="Solar Wind",POWER(Upgrades!$U$10,I175),1)*IF(Upgrades!$T$11="Solar Wind",POWER(Upgrades!$U$11,J175),1)*IF(Upgrades!$T$12="Solar Wind",POWER(Upgrades!$U$12,K175),1))+(IF(F175=0,0,(Upgrades!$J$7+F175*Upgrades!$K$7)*POWER(Upgrades!$L$7,F175)))*(IF(Upgrades!$T$6="Asteroid Belt",POWER(Upgrades!$U$6,E175),1)*IF(Upgrades!$T$8="Asteroid Belt",POWER(Upgrades!$U$8,G175),1)*IF(Upgrades!$T$9="Asteroid Belt",POWER(Upgrades!$U$9,H175),1)*IF(Upgrades!$T$10="Asteroid Belt",POWER(Upgrades!$U$10,I175),1)*IF(Upgrades!$T$11="Asteroid Belt",POWER(Upgrades!$U$11,J175),1)*IF(Upgrades!$T$12="Asteroid Belt",POWER(Upgrades!$U$12,K175),1))+(IF(G175=0,0,(Upgrades!$J$8+G175*Upgrades!$K$8)*POWER(Upgrades!$L$8,G175)))*(IF(Upgrades!$T$6="Stellar Coupling",POWER(Upgrades!$U$6,E175),1)*IF(Upgrades!$T$7="Stellar Coupling",POWER(Upgrades!$U$7,F175),1)*IF(Upgrades!$T$9="Stellar Coupling",POWER(Upgrades!$U$9,H175),1)*IF(Upgrades!$T$10="Stellar Coupling",POWER(Upgrades!$U$10,I175),1)*IF(Upgrades!$T$11="Stellar Coupling",POWER(Upgrades!$U$11,J175),1)*IF(Upgrades!$T$12="Stellar Coupling",POWER(Upgrades!$U$12,K175),1))+(IF(H175=0,0,(Upgrades!$J$9+H175*Upgrades!$K$9)*POWER(Upgrades!$L$9,H175)))*(IF(Upgrades!$T$6="Magnetosphere",POWER(Upgrades!$U$6,E175),1)*IF(Upgrades!$T$7="Magnetosphere",POWER(Upgrades!$U$7,F175),1)*IF(Upgrades!$T$8="Magnetosphere",POWER(Upgrades!$U$8,G175),1)*IF(Upgrades!$T$10="Magnetosphere",POWER(Upgrades!$U$10,I175),1)*IF(Upgrades!$T$11="Magnetosphere",POWER(Upgrades!$U$11,J175),1)*IF(Upgrades!$T$12="Magnetosphere",POWER(Upgrades!$U$12,K175),1))+(IF(I175=0,0,(Upgrades!$J$10+I175*Upgrades!$K$10)*POWER(Upgrades!$L$10,I175)))*(IF(Upgrades!$T$6="Orbital Resonance",POWER(Upgrades!$U$6,E175),1)*IF(Upgrades!$T$7="Orbital Resonance",POWER(Upgrades!$U$7,F175),1)*IF(Upgrades!$T$8="Orbital Resonance",POWER(Upgrades!$U$8,G175),1)*IF(Upgrades!$T$9="Orbital Resonance",POWER(Upgrades!$U$9,H175),1)*IF(Upgrades!$T$11="Orbital Resonance",POWER(Upgrades!$U$11,J175),1)*IF(Upgrades!$T$12="Orbital Resonance",POWER(Upgrades!$U$12,K175),1))+(IF(J175=0,0,(Upgrades!$J$11+J175*Upgrades!$K$11)*POWER(Upgrades!$L$11,J175)))*(IF(Upgrades!$T$6="Heliopause",POWER(Upgrades!$U$6,E175),1)*IF(Upgrades!$T$7="Heliopause",POWER(Upgrades!$U$7,F175),1)*IF(Upgrades!$T$8="Heliopause",POWER(Upgrades!$U$8,G175),1)*IF(Upgrades!$T$9="Heliopause",POWER(Upgrades!$U$9,H175),1)*IF(Upgrades!$T$10="Heliopause",POWER(Upgrades!$U$10,I175),1)*IF(Upgrades!$T$12="Heliopause",POWER(Upgrades!$U$12,K175),1))+(IF(K175=0,0,(Upgrades!$J$12+K175*Upgrades!$K$12)*POWER(Upgrades!$L$12,K175)))*(IF(Upgrades!$T$6="First Photons",POWER(Upgrades!$U$6,E175),1)*IF(Upgrades!$T$7="First Photons",POWER(Upgrades!$U$7,F175),1)*IF(Upgrades!$T$8="First Photons",POWER(Upgrades!$U$8,G175),1)*IF(Upgrades!$T$9="First Photons",POWER(Upgrades!$U$9,H175),1)*IF(Upgrades!$T$10="First Photons",POWER(Upgrades!$U$10,I175),1)*IF(Upgrades!$T$11="First Photons",POWER(Upgrades!$U$11,J175),1)))*POWER(Upgrades!$Q$6,E175)*POWER(Upgrades!$Q$7,F175)*POWER(Upgrades!$Q$8,G175)*POWER(Upgrades!$Q$9,H175)*POWER(Upgrades!$Q$10,I175)*POWER(Upgrades!$Q$11,J175)*POWER(Upgrades!$Q$12,K175)</f>
        <v>5.61</v>
      </c>
      <c r="N175" s="28" t="n">
        <f aca="false">((IF(E175=0,0,(Upgrades!$G$6+E175*Upgrades!$H$6)*POWER(Upgrades!$I$6,E175)))*(IF(Upgrades!$T$7="Solar Wind",POWER(Upgrades!$U$7,F175),1)*IF(Upgrades!$T$8="Solar Wind",POWER(Upgrades!$U$8,G175),1)*IF(Upgrades!$T$9="Solar Wind",POWER(Upgrades!$U$9,H175),1)*IF(Upgrades!$T$10="Solar Wind",POWER(Upgrades!$U$10,I175),1)*IF(Upgrades!$T$11="Solar Wind",POWER(Upgrades!$U$11,J175),1)*IF(Upgrades!$T$12="Solar Wind",POWER(Upgrades!$U$12,K175),1))+(IF(F175=0,0,(Upgrades!$G$7+F175*Upgrades!$H$7)*POWER(Upgrades!$I$7,F175)))*(IF(Upgrades!$T$6="Asteroid Belt",POWER(Upgrades!$U$6,E175),1)*IF(Upgrades!$T$8="Asteroid Belt",POWER(Upgrades!$U$8,G175),1)*IF(Upgrades!$T$9="Asteroid Belt",POWER(Upgrades!$U$9,H175),1)*IF(Upgrades!$T$10="Asteroid Belt",POWER(Upgrades!$U$10,I175),1)*IF(Upgrades!$T$11="Asteroid Belt",POWER(Upgrades!$U$11,J175),1)*IF(Upgrades!$T$12="Asteroid Belt",POWER(Upgrades!$U$12,K175),1))+(IF(G175=0,0,(Upgrades!$G$8+G175*Upgrades!$H$8)*POWER(Upgrades!$I$8,G175)))*(IF(Upgrades!$T$6="Stellar Coupling",POWER(Upgrades!$U$6,E175),1)*IF(Upgrades!$T$7="Stellar Coupling",POWER(Upgrades!$U$7,F175),1)*IF(Upgrades!$T$9="Stellar Coupling",POWER(Upgrades!$U$9,H175),1)*IF(Upgrades!$T$10="Stellar Coupling",POWER(Upgrades!$U$10,I175),1)*IF(Upgrades!$T$11="Stellar Coupling",POWER(Upgrades!$U$11,J175),1)*IF(Upgrades!$T$12="Stellar Coupling",POWER(Upgrades!$U$12,K175),1))+(IF(H175=0,0,(Upgrades!$G$9+H175*Upgrades!$H$9)*POWER(Upgrades!$I$9,H175)))*(IF(Upgrades!$T$6="Magnetosphere",POWER(Upgrades!$U$6,E175),1)*IF(Upgrades!$T$7="Magnetosphere",POWER(Upgrades!$U$7,F175),1)*IF(Upgrades!$T$8="Magnetosphere",POWER(Upgrades!$U$8,G175),1)*IF(Upgrades!$T$10="Magnetosphere",POWER(Upgrades!$U$10,I175),1)*IF(Upgrades!$T$11="Magnetosphere",POWER(Upgrades!$U$11,J175),1)*IF(Upgrades!$T$12="Magnetosphere",POWER(Upgrades!$U$12,K175),1))+(IF(I175=0,0,(Upgrades!$G$10+I175*Upgrades!$H$10)*POWER(Upgrades!$I$10,I175)))*(IF(Upgrades!$T$6="Orbital Resonance",POWER(Upgrades!$U$6,E175),1)*IF(Upgrades!$T$7="Orbital Resonance",POWER(Upgrades!$U$7,F175),1)*IF(Upgrades!$T$8="Orbital Resonance",POWER(Upgrades!$U$8,G175),1)*IF(Upgrades!$T$9="Orbital Resonance",POWER(Upgrades!$U$9,H175),1)*IF(Upgrades!$T$11="Orbital Resonance",POWER(Upgrades!$U$11,J175),1)*IF(Upgrades!$T$12="Orbital Resonance",POWER(Upgrades!$U$12,K175),1))+(IF(J175=0,0,(Upgrades!$G$11+J175*Upgrades!$H$11)*POWER(Upgrades!$I$11,J175)))*(IF(Upgrades!$T$6="Heliopause",POWER(Upgrades!$U$6,E175),1)*IF(Upgrades!$T$7="Heliopause",POWER(Upgrades!$U$7,F175),1)*IF(Upgrades!$T$8="Heliopause",POWER(Upgrades!$U$8,G175),1)*IF(Upgrades!$T$9="Heliopause",POWER(Upgrades!$U$9,H175),1)*IF(Upgrades!$T$10="Heliopause",POWER(Upgrades!$U$10,I175),1)*IF(Upgrades!$T$12="Heliopause",POWER(Upgrades!$U$12,K175),1))+(IF(K175=0,0,(Upgrades!$G$12+K175*Upgrades!$H$12)*POWER(Upgrades!$I$12,K175)))*(IF(Upgrades!$T$6="First Photons",POWER(Upgrades!$U$6,E175),1)*IF(Upgrades!$T$7="First Photons",POWER(Upgrades!$U$7,F175),1)*IF(Upgrades!$T$8="First Photons",POWER(Upgrades!$U$8,G175),1)*IF(Upgrades!$T$9="First Photons",POWER(Upgrades!$U$9,H175),1)*IF(Upgrades!$T$10="First Photons",POWER(Upgrades!$U$10,I175),1)*IF(Upgrades!$T$11="First Photons",POWER(Upgrades!$U$11,J175),1)))*POWER(Upgrades!$P$6,E175)*POWER(Upgrades!$P$7,F175)*POWER(Upgrades!$P$8,G175)*POWER(Upgrades!$P$9,H175)*POWER(Upgrades!$P$10,I175)*POWER(Upgrades!$P$11,J175)*POWER(Upgrades!$P$12,K175)</f>
        <v>11.2</v>
      </c>
      <c r="O175" s="28" t="n">
        <f aca="false">((IF(E175=0,0,(Upgrades!$M$6+E175*Upgrades!$N$6)*POWER(Upgrades!$O$6,E175)))*(IF(Upgrades!$T$7="Solar Wind",POWER(Upgrades!$U$7,F175),1)*IF(Upgrades!$T$8="Solar Wind",POWER(Upgrades!$U$8,G175),1)*IF(Upgrades!$T$9="Solar Wind",POWER(Upgrades!$U$9,H175),1)*IF(Upgrades!$T$10="Solar Wind",POWER(Upgrades!$U$10,I175),1)*IF(Upgrades!$T$11="Solar Wind",POWER(Upgrades!$U$11,J175),1)*IF(Upgrades!$T$12="Solar Wind",POWER(Upgrades!$U$12,K175),1))+(IF(F175=0,0,(Upgrades!$M$7+F175*Upgrades!$N$7)*POWER(Upgrades!$O$7,F175)))*(IF(Upgrades!$T$6="Asteroid Belt",POWER(Upgrades!$U$6,E175),1)*IF(Upgrades!$T$8="Asteroid Belt",POWER(Upgrades!$U$8,G175),1)*IF(Upgrades!$T$9="Asteroid Belt",POWER(Upgrades!$U$9,H175),1)*IF(Upgrades!$T$10="Asteroid Belt",POWER(Upgrades!$U$10,I175),1)*IF(Upgrades!$T$11="Asteroid Belt",POWER(Upgrades!$U$11,J175),1)*IF(Upgrades!$T$12="Asteroid Belt",POWER(Upgrades!$U$12,K175),1))+(IF(G175=0,0,(Upgrades!$M$8+G175*Upgrades!$N$8)*POWER(Upgrades!$O$8,G175)))*(IF(Upgrades!$T$6="Stellar Coupling",POWER(Upgrades!$U$6,E175),1)*IF(Upgrades!$T$7="Stellar Coupling",POWER(Upgrades!$U$7,F175),1)*IF(Upgrades!$T$9="Stellar Coupling",POWER(Upgrades!$U$9,H175),1)*IF(Upgrades!$T$10="Stellar Coupling",POWER(Upgrades!$U$10,I175),1)*IF(Upgrades!$T$11="Stellar Coupling",POWER(Upgrades!$U$11,J175),1)*IF(Upgrades!$T$12="Stellar Coupling",POWER(Upgrades!$U$12,K175),1))+(IF(H175=0,0,(Upgrades!$M$9+H175*Upgrades!$N$9)*POWER(Upgrades!$O$9,H175)))*(IF(Upgrades!$T$6="Magnetosphere",POWER(Upgrades!$U$6,E175),1)*IF(Upgrades!$T$7="Magnetosphere",POWER(Upgrades!$U$7,F175),1)*IF(Upgrades!$T$8="Magnetosphere",POWER(Upgrades!$U$8,G175),1)*IF(Upgrades!$T$10="Magnetosphere",POWER(Upgrades!$U$10,I175),1)*IF(Upgrades!$T$11="Magnetosphere",POWER(Upgrades!$U$11,J175),1)*IF(Upgrades!$T$12="Magnetosphere",POWER(Upgrades!$U$12,K175),1))+(IF(I175=0,0,(Upgrades!$M$10+I175*Upgrades!$N$10)*POWER(Upgrades!$O$10,I175)))*(IF(Upgrades!$T$6="Orbital Resonance",POWER(Upgrades!$U$6,E175),1)*IF(Upgrades!$T$7="Orbital Resonance",POWER(Upgrades!$U$7,F175),1)*IF(Upgrades!$T$8="Orbital Resonance",POWER(Upgrades!$U$8,G175),1)*IF(Upgrades!$T$9="Orbital Resonance",POWER(Upgrades!$U$9,H175),1)*IF(Upgrades!$T$11="Orbital Resonance",POWER(Upgrades!$U$11,J175),1)*IF(Upgrades!$T$12="Orbital Resonance",POWER(Upgrades!$U$12,K175),1))+(IF(J175=0,0,(Upgrades!$M$11+J175*Upgrades!$N$11)*POWER(Upgrades!$O$11,J175)))*(IF(Upgrades!$T$6="Heliopause",POWER(Upgrades!$U$6,E175),1)*IF(Upgrades!$T$7="Heliopause",POWER(Upgrades!$U$7,F175),1)*IF(Upgrades!$T$8="Heliopause",POWER(Upgrades!$U$8,G175),1)*IF(Upgrades!$T$9="Heliopause",POWER(Upgrades!$U$9,H175),1)*IF(Upgrades!$T$10="Heliopause",POWER(Upgrades!$U$10,I175),1)*IF(Upgrades!$T$12="Heliopause",POWER(Upgrades!$U$12,K175),1))+(IF(K175=0,0,(Upgrades!$M$12+K175*Upgrades!$N$12)*POWER(Upgrades!$O$12,K175)))*(IF(Upgrades!$T$6="First Photons",POWER(Upgrades!$U$6,E175),1)*IF(Upgrades!$T$7="First Photons",POWER(Upgrades!$U$7,F175),1)*IF(Upgrades!$T$8="First Photons",POWER(Upgrades!$U$8,G175),1)*IF(Upgrades!$T$9="First Photons",POWER(Upgrades!$U$9,H175),1)*IF(Upgrades!$T$10="First Photons",POWER(Upgrades!$U$10,I175),1)*IF(Upgrades!$T$11="First Photons",POWER(Upgrades!$U$11,J175),1)))*POWER(Upgrades!$R$6,E175)*POWER(Upgrades!$R$7,F175)*POWER(Upgrades!$R$8,G175)*POWER(Upgrades!$R$9,H175)*POWER(Upgrades!$R$10,I175)*POWER(Upgrades!$R$11,J175)*POWER(Upgrades!$R$12,K175)</f>
        <v>0</v>
      </c>
      <c r="P175" s="27" t="n">
        <f aca="false">IF(L175=1,0,M175*Parameters!$B$10/60*Parameters!$B$11*10)</f>
        <v>0</v>
      </c>
      <c r="Q175" s="27" t="n">
        <f aca="false">IF(L175=1,0,O175*M175*10)</f>
        <v>0</v>
      </c>
      <c r="R175" s="27" t="n">
        <f aca="false">IF(L175=1,0,N175*10)</f>
        <v>0</v>
      </c>
      <c r="S175" s="27" t="n">
        <f aca="false">P175+Q175+R175</f>
        <v>0</v>
      </c>
      <c r="T175" s="21" t="n">
        <f aca="false">C175+S175</f>
        <v>18.6730249835055</v>
      </c>
      <c r="U175" s="34" t="str">
        <f aca="false">AX175</f>
        <v/>
      </c>
      <c r="V175" s="21" t="n">
        <f aca="false">IF(U175="",0,IF(U175="transition",0,IF(U175="SW",AG175,IF(U175="AB",AH175,IF(U175="SC",AI175,IF(U175="Mag",AJ175,IF(U175="OR",AK175,IF(U175="HP",AL175,IF(U175="FP",AM175,0)))))))))</f>
        <v>0</v>
      </c>
      <c r="W175" s="27" t="n">
        <f aca="false">IF(U175="OR",Upgrades!$F$10,IF(U175="HP",Upgrades!$F$11,IF(U175="transition",-Parameters!$B$18,0)))</f>
        <v>0</v>
      </c>
      <c r="X175" s="21" t="n">
        <f aca="false">T175-V175</f>
        <v>18.6730249835055</v>
      </c>
      <c r="Y175" s="30" t="n">
        <f aca="false">M175*Parameters!$B$10/60*Parameters!$B$11+O175*M175+N175</f>
        <v>20.55</v>
      </c>
      <c r="Z175" s="35" t="str">
        <f aca="false">IF(U175="transition","→ Tier 2 (Stellar Neighborhood)",IF(U175="FP","First Photons — light begins, system quickens",IF(U175="HP","Heliopause acquired",IF(U175="OR","Orbital Resonance — passive multiplier active",IF(AND(AO175=1,L175=0,AN175&lt;&gt;1),"Cohesion ready (waiting on completionist upgrades)","")))))</f>
        <v/>
      </c>
      <c r="AA175" s="27" t="n">
        <f aca="false">(IF(E175=0,0,(Upgrades!$G$6+E175*Upgrades!$H$6)*POWER(Upgrades!$I$6,E175)))*(IF(Upgrades!$T$7="Solar Wind",POWER(Upgrades!$U$7,F175),1)*IF(Upgrades!$T$8="Solar Wind",POWER(Upgrades!$U$8,G175),1)*IF(Upgrades!$T$9="Solar Wind",POWER(Upgrades!$U$9,H175),1)*IF(Upgrades!$T$10="Solar Wind",POWER(Upgrades!$U$10,I175),1)*IF(Upgrades!$T$11="Solar Wind",POWER(Upgrades!$U$11,J175),1)*IF(Upgrades!$T$12="Solar Wind",POWER(Upgrades!$U$12,K175),1))*POWER(Upgrades!$P$6,E175)*POWER(Upgrades!$P$7,F175)*POWER(Upgrades!$P$8,G175)*POWER(Upgrades!$P$9,H175)*POWER(Upgrades!$P$10,I175)*POWER(Upgrades!$P$11,J175)*POWER(Upgrades!$P$12,K175)*60</f>
        <v>72</v>
      </c>
      <c r="AB175" s="27" t="n">
        <f aca="false">(IF(F175=0,0,(Upgrades!$G$7+F175*Upgrades!$H$7)*POWER(Upgrades!$I$7,F175)))*(IF(Upgrades!$T$6="Asteroid Belt",POWER(Upgrades!$U$6,E175),1)*IF(Upgrades!$T$8="Asteroid Belt",POWER(Upgrades!$U$8,G175),1)*IF(Upgrades!$T$9="Asteroid Belt",POWER(Upgrades!$U$9,H175),1)*IF(Upgrades!$T$10="Asteroid Belt",POWER(Upgrades!$U$10,I175),1)*IF(Upgrades!$T$11="Asteroid Belt",POWER(Upgrades!$U$11,J175),1)*IF(Upgrades!$T$12="Asteroid Belt",POWER(Upgrades!$U$12,K175),1))*POWER(Upgrades!$P$6,E175)*POWER(Upgrades!$P$7,F175)*POWER(Upgrades!$P$8,G175)*POWER(Upgrades!$P$9,H175)*POWER(Upgrades!$P$10,I175)*POWER(Upgrades!$P$11,J175)*POWER(Upgrades!$P$12,K175)*60</f>
        <v>150</v>
      </c>
      <c r="AC175" s="27" t="n">
        <f aca="false">(IF(G175=0,0,(Upgrades!$J$8+G175*Upgrades!$K$8)*POWER(Upgrades!$L$8,G175)))*(IF(Upgrades!$T$6="Stellar Coupling",POWER(Upgrades!$U$6,E175),1)*IF(Upgrades!$T$7="Stellar Coupling",POWER(Upgrades!$U$7,F175),1)*IF(Upgrades!$T$9="Stellar Coupling",POWER(Upgrades!$U$9,H175),1)*IF(Upgrades!$T$10="Stellar Coupling",POWER(Upgrades!$U$10,I175),1)*IF(Upgrades!$T$11="Stellar Coupling",POWER(Upgrades!$U$11,J175),1)*IF(Upgrades!$T$12="Stellar Coupling",POWER(Upgrades!$U$12,K175),1))*POWER(Upgrades!$Q$6,E175)*POWER(Upgrades!$Q$7,F175)*POWER(Upgrades!$Q$8,G175)*POWER(Upgrades!$Q$9,H175)*POWER(Upgrades!$Q$10,I175)*POWER(Upgrades!$Q$11,J175)*POWER(Upgrades!$Q$12,K175)*Parameters!$B$10*Parameters!$B$11</f>
        <v>441</v>
      </c>
      <c r="AD175" s="27" t="n">
        <f aca="false">(IF(H175=0,0,(Upgrades!$G$9+H175*Upgrades!$H$9)*POWER(Upgrades!$I$9,H175)))*(IF(Upgrades!$T$6="Magnetosphere",POWER(Upgrades!$U$6,E175),1)*IF(Upgrades!$T$7="Magnetosphere",POWER(Upgrades!$U$7,F175),1)*IF(Upgrades!$T$8="Magnetosphere",POWER(Upgrades!$U$8,G175),1)*IF(Upgrades!$T$10="Magnetosphere",POWER(Upgrades!$U$10,I175),1)*IF(Upgrades!$T$11="Magnetosphere",POWER(Upgrades!$U$11,J175),1)*IF(Upgrades!$T$12="Magnetosphere",POWER(Upgrades!$U$12,K175),1))*POWER(Upgrades!$P$6,E175)*POWER(Upgrades!$P$7,F175)*POWER(Upgrades!$P$8,G175)*POWER(Upgrades!$P$9,H175)*POWER(Upgrades!$P$10,I175)*POWER(Upgrades!$P$11,J175)*POWER(Upgrades!$P$12,K175)*60</f>
        <v>375</v>
      </c>
      <c r="AE175" s="27" t="n">
        <f aca="false">(IF(K175=0,0,(Upgrades!$G$12+K175*Upgrades!$H$12)*POWER(Upgrades!$I$12,K175)))*(IF(Upgrades!$T$6="First Photons",POWER(Upgrades!$U$6,E175),1)*IF(Upgrades!$T$7="First Photons",POWER(Upgrades!$U$7,F175),1)*IF(Upgrades!$T$8="First Photons",POWER(Upgrades!$U$8,G175),1)*IF(Upgrades!$T$9="First Photons",POWER(Upgrades!$U$9,H175),1)*IF(Upgrades!$T$10="First Photons",POWER(Upgrades!$U$10,I175),1)*IF(Upgrades!$T$11="First Photons",POWER(Upgrades!$U$11,J175),1))*POWER(Upgrades!$P$6,E175)*POWER(Upgrades!$P$7,F175)*POWER(Upgrades!$P$8,G175)*POWER(Upgrades!$P$9,H175)*POWER(Upgrades!$P$10,I175)*POWER(Upgrades!$P$11,J175)*POWER(Upgrades!$P$12,K175)*60</f>
        <v>75</v>
      </c>
      <c r="AF175" s="27" t="n">
        <f aca="false">Parameters!$B$9*POWER(Upgrades!$Q$6,E175)*POWER(Upgrades!$Q$7,F175)*POWER(Upgrades!$Q$8,G175)*POWER(Upgrades!$Q$9,H175)*POWER(Upgrades!$Q$10,I175)*POWER(Upgrades!$Q$11,J175)*POWER(Upgrades!$Q$12,K175)*(Parameters!$B$10*Parameters!$B$11+O175*60)</f>
        <v>120</v>
      </c>
      <c r="AG175" s="21" t="n">
        <f aca="false">IF(E175&gt;=Upgrades!$E$6,"",Upgrades!$C$6*POWER(Upgrades!$D$6,E175))</f>
        <v>37.4517507383159</v>
      </c>
      <c r="AH175" s="21" t="n">
        <f aca="false">IF(F175&gt;=Upgrades!$E$7,"",Upgrades!$C$7*POWER(Upgrades!$D$7,F175))</f>
        <v>80.9111547141581</v>
      </c>
      <c r="AI175" s="21" t="n">
        <f aca="false">IF(G175&gt;=Upgrades!$E$8,"",Upgrades!$C$8*POWER(Upgrades!$D$8,G175))</f>
        <v>231.9097088</v>
      </c>
      <c r="AJ175" s="21" t="str">
        <f aca="false">IF(H175&gt;=Upgrades!$E$9,"",Upgrades!$C$9*POWER(Upgrades!$D$9,H175))</f>
        <v/>
      </c>
      <c r="AK175" s="21" t="str">
        <f aca="false">IF(I175&gt;=Upgrades!$E$10,"",Upgrades!$C$10*POWER(Upgrades!$D$10,I175))</f>
        <v/>
      </c>
      <c r="AL175" s="21" t="str">
        <f aca="false">IF(J175&gt;=Upgrades!$E$11,"",Upgrades!$C$11*POWER(Upgrades!$D$11,J175))</f>
        <v/>
      </c>
      <c r="AM175" s="21" t="str">
        <f aca="false">IF(K175&gt;=Upgrades!$E$12,"",Upgrades!$C$12*POWER(Upgrades!$D$12,K175))</f>
        <v/>
      </c>
      <c r="AN175" s="26" t="str">
        <f aca="false">IF(AND(D175&gt;=Parameters!$B$18,(H175&gt;=Upgrades!$E$9)*(K175&gt;=Upgrades!$E$12)=1,L175=0),1,"")</f>
        <v/>
      </c>
      <c r="AO175" s="26" t="str">
        <f aca="false">IF(AND(D175&gt;=Parameters!$B$18,L175=0),1,"")</f>
        <v/>
      </c>
      <c r="AP175" s="21" t="n">
        <f aca="false">MIN(IF(ISNUMBER(AK175),AK175,9000000000000000),IF(ISNUMBER(AL175),AL175,9000000000000000),IF(ISNUMBER(AM175),AM175,9000000000000000))</f>
        <v>9000000000000000</v>
      </c>
      <c r="AQ175" s="21" t="n">
        <f aca="false">MIN(IF(ISNUMBER(AG175),AG175,9000000000000000),IF(ISNUMBER(AH175),AH175,9000000000000000),IF(ISNUMBER(AI175),AI175,9000000000000000),IF(ISNUMBER(AJ175),AJ175,9000000000000000))</f>
        <v>37.4517507383159</v>
      </c>
      <c r="AR175" s="32" t="b">
        <f aca="false">IF(AW175&gt;Parameters!$B$21*(MAX(IF(AND(NOT(AND(AO175=1,AN175&lt;&gt;1)),ISNUMBER(AG175),AG175&lt;=T175),AS175,0),IF(AND(NOT(AND(AO175=1,AN175&lt;&gt;1)),ISNUMBER(AH175),AH175&lt;=T175),AT175,0),IF(AND(NOT(AND(AO175=1,AN175&lt;&gt;1)),ISNUMBER(AI175),AI175&lt;=T175),AU175,0),IF(AND(ISNUMBER(AJ175),AJ175&lt;=T175),AV175,0))),TRUE(),FALSE())</f>
        <v>1</v>
      </c>
      <c r="AS175" s="33" t="n">
        <f aca="false">IFERROR(Upgrades!$H$6*(POWER(Upgrades!$P$6,E175)*POWER(Upgrades!$P$7,F175)*POWER(Upgrades!$P$8,G175)*POWER(Upgrades!$P$9,H175)*POWER(Upgrades!$P$10,I175)*POWER(Upgrades!$P$11,J175)*POWER(Upgrades!$P$12,K175))*(IF(Upgrades!$T$7="Solar Wind",POWER(Upgrades!$U$7,F175),1)*IF(Upgrades!$T$8="Solar Wind",POWER(Upgrades!$U$8,G175),1)*IF(Upgrades!$T$9="Solar Wind",POWER(Upgrades!$U$9,H175),1)*IF(Upgrades!$T$10="Solar Wind",POWER(Upgrades!$U$10,I175),1)*IF(Upgrades!$T$11="Solar Wind",POWER(Upgrades!$U$11,J175),1)*IF(Upgrades!$T$12="Solar Wind",POWER(Upgrades!$U$12,K175),1))/AG175,0)</f>
        <v>0.0026701021455238</v>
      </c>
      <c r="AT175" s="33" t="n">
        <f aca="false">IFERROR(Upgrades!$H$7*(POWER(Upgrades!$P$6,E175)*POWER(Upgrades!$P$7,F175)*POWER(Upgrades!$P$8,G175)*POWER(Upgrades!$P$9,H175)*POWER(Upgrades!$P$10,I175)*POWER(Upgrades!$P$11,J175)*POWER(Upgrades!$P$12,K175))*(IF(Upgrades!$T$6="Asteroid Belt",POWER(Upgrades!$U$6,E175),1)*IF(Upgrades!$T$8="Asteroid Belt",POWER(Upgrades!$U$8,G175),1)*IF(Upgrades!$T$9="Asteroid Belt",POWER(Upgrades!$U$9,H175),1)*IF(Upgrades!$T$10="Asteroid Belt",POWER(Upgrades!$U$10,I175),1)*IF(Upgrades!$T$11="Asteroid Belt",POWER(Upgrades!$U$11,J175),1)*IF(Upgrades!$T$12="Asteroid Belt",POWER(Upgrades!$U$12,K175),1))/AH175,0)</f>
        <v>0.00308980882652332</v>
      </c>
      <c r="AU175" s="33" t="n">
        <f aca="false">IFERROR(Upgrades!$K$8*(POWER(Upgrades!$Q$6,E175)*POWER(Upgrades!$Q$7,F175)*POWER(Upgrades!$Q$8,G175)*POWER(Upgrades!$Q$9,H175)*POWER(Upgrades!$Q$10,I175)*POWER(Upgrades!$Q$11,J175)*POWER(Upgrades!$Q$12,K175))*(IF(Upgrades!$T$6="Stellar Coupling",POWER(Upgrades!$U$6,E175),1)*IF(Upgrades!$T$7="Stellar Coupling",POWER(Upgrades!$U$7,F175),1)*IF(Upgrades!$T$9="Stellar Coupling",POWER(Upgrades!$U$9,H175),1)*IF(Upgrades!$T$10="Stellar Coupling",POWER(Upgrades!$U$10,I175),1)*IF(Upgrades!$T$11="Stellar Coupling",POWER(Upgrades!$U$11,J175),1)*IF(Upgrades!$T$12="Stellar Coupling",POWER(Upgrades!$U$12,K175),1))*Parameters!$B$10*Parameters!$B$11/60/AI175,0)</f>
        <v>0.00452762415783776</v>
      </c>
      <c r="AV175" s="33" t="n">
        <f aca="false">IFERROR(Upgrades!$H$9*(POWER(Upgrades!$P$6,E175)*POWER(Upgrades!$P$7,F175)*POWER(Upgrades!$P$8,G175)*POWER(Upgrades!$P$9,H175)*POWER(Upgrades!$P$10,I175)*POWER(Upgrades!$P$11,J175)*POWER(Upgrades!$P$12,K175))*(IF(Upgrades!$T$6="Magnetosphere",POWER(Upgrades!$U$6,E175),1)*IF(Upgrades!$T$7="Magnetosphere",POWER(Upgrades!$U$7,F175),1)*IF(Upgrades!$T$8="Magnetosphere",POWER(Upgrades!$U$8,G175),1)*IF(Upgrades!$T$10="Magnetosphere",POWER(Upgrades!$U$10,I175),1)*IF(Upgrades!$T$11="Magnetosphere",POWER(Upgrades!$U$11,J175),1)*IF(Upgrades!$T$12="Magnetosphere",POWER(Upgrades!$U$12,K175),1))/AJ175,0)</f>
        <v>0</v>
      </c>
      <c r="AW175" s="33" t="n">
        <f aca="false">MAX(IF(I175&gt;0,0,IFERROR(0.25*N175/Upgrades!$C$10,0)),IF(J175&gt;0,0,IFERROR(0.5*((IF(G175=0,0,(Upgrades!$J$8+G175*Upgrades!$K$8)*POWER(Upgrades!$L$8,G175)))*(IF(Upgrades!$T$6="Stellar Coupling",POWER(Upgrades!$U$6,E175),1)*IF(Upgrades!$T$7="Stellar Coupling",POWER(Upgrades!$U$7,F175),1)*IF(Upgrades!$T$9="Stellar Coupling",POWER(Upgrades!$U$9,H175),1)*IF(Upgrades!$T$10="Stellar Coupling",POWER(Upgrades!$U$10,I175),1)*IF(Upgrades!$T$11="Stellar Coupling",POWER(Upgrades!$U$11,J175),1)*IF(Upgrades!$T$12="Stellar Coupling",POWER(Upgrades!$U$12,K175),1))*(POWER(Upgrades!$Q$6,E175)*POWER(Upgrades!$Q$7,F175)*POWER(Upgrades!$Q$8,G175)*POWER(Upgrades!$Q$9,H175)*POWER(Upgrades!$Q$10,I175)*POWER(Upgrades!$Q$11,J175)*POWER(Upgrades!$Q$12,K175))*Parameters!$B$10*Parameters!$B$11/60)/Upgrades!$C$11,0)),IF(K175&gt;0,0,IFERROR((1*(POWER(Upgrades!$P$6,E175)*POWER(Upgrades!$P$7,F175)*POWER(Upgrades!$P$8,G175)*POWER(Upgrades!$P$9,H175)*POWER(Upgrades!$P$10,I175)*POWER(Upgrades!$P$11,J175)*POWER(Upgrades!$P$12,K175))+0.2*M175*Parameters!$B$10*Parameters!$B$11/60)/Upgrades!$C$12,0)),IF(AND(ISNUMBER(AG175),AG175&gt;T175),AS175,0),IF(AND(ISNUMBER(AH175),AH175&gt;T175),AT175,0),IF(AND(ISNUMBER(AI175),AI175&gt;T175),AU175,0),IF(AND(ISNUMBER(AJ175),AJ175&gt;T175),AV175,0))</f>
        <v>0.00452762415783776</v>
      </c>
      <c r="AX175" s="29" t="str">
        <f aca="false">IF(AN175=1,"transition",IF(MIN(IF(AND(I175=0,ISNUMBER(AK175),AK175&lt;=T175),AK175,9000000000000000),IF(AND(J175=0,ISNUMBER(AL175),AL175&lt;=T175),AL175,9000000000000000),IF(AND(K175=0,ISNUMBER(AM175),AM175&lt;=T175),AM175,9000000000000000))&lt;9000000000000000,IF(AND(AND(I175=0,ISNUMBER(AK175),AK175&lt;=T175),AK175=MIN(IF(AND(I175=0,ISNUMBER(AK175),AK175&lt;=T175),AK175,9000000000000000),IF(AND(J175=0,ISNUMBER(AL175),AL175&lt;=T175),AL175,9000000000000000),IF(AND(K175=0,ISNUMBER(AM175),AM175&lt;=T175),AM175,9000000000000000))),"OR",IF(AND(AND(J175=0,ISNUMBER(AL175),AL175&lt;=T175),AL175=MIN(IF(AND(I175=0,ISNUMBER(AK175),AK175&lt;=T175),AK175,9000000000000000),IF(AND(J175=0,ISNUMBER(AL175),AL175&lt;=T175),AL175,9000000000000000),IF(AND(K175=0,ISNUMBER(AM175),AM175&lt;=T175),AM175,9000000000000000))),"HP","FP")),IF(AR175=TRUE(),"",IF(MAX(IF(AND(NOT(AND(AO175=1,AN175&lt;&gt;1)),ISNUMBER(AG175),AG175&lt;=T175),AS175,0),IF(AND(NOT(AND(AO175=1,AN175&lt;&gt;1)),ISNUMBER(AH175),AH175&lt;=T175),AT175,0),IF(AND(NOT(AND(AO175=1,AN175&lt;&gt;1)),ISNUMBER(AI175),AI175&lt;=T175),AU175,0),IF(AND(ISNUMBER(AJ175),AJ175&lt;=T175),AV175,0))&lt;=0,"",IF(AND(IF(AND(NOT(AND(AO175=1,AN175&lt;&gt;1)),ISNUMBER(AG175),AG175&lt;=T175),AS175,0)&gt;0,IF(AND(NOT(AND(AO175=1,AN175&lt;&gt;1)),ISNUMBER(AG175),AG175&lt;=T175),AS175,0)=MAX(IF(AND(NOT(AND(AO175=1,AN175&lt;&gt;1)),ISNUMBER(AG175),AG175&lt;=T175),AS175,0),IF(AND(NOT(AND(AO175=1,AN175&lt;&gt;1)),ISNUMBER(AH175),AH175&lt;=T175),AT175,0),IF(AND(NOT(AND(AO175=1,AN175&lt;&gt;1)),ISNUMBER(AI175),AI175&lt;=T175),AU175,0),IF(AND(ISNUMBER(AJ175),AJ175&lt;=T175),AV175,0))),"SW",IF(AND(IF(AND(NOT(AND(AO175=1,AN175&lt;&gt;1)),ISNUMBER(AH175),AH175&lt;=T175),AT175,0)&gt;0,IF(AND(NOT(AND(AO175=1,AN175&lt;&gt;1)),ISNUMBER(AH175),AH175&lt;=T175),AT175,0)=MAX(IF(AND(NOT(AND(AO175=1,AN175&lt;&gt;1)),ISNUMBER(AG175),AG175&lt;=T175),AS175,0),IF(AND(NOT(AND(AO175=1,AN175&lt;&gt;1)),ISNUMBER(AH175),AH175&lt;=T175),AT175,0),IF(AND(NOT(AND(AO175=1,AN175&lt;&gt;1)),ISNUMBER(AI175),AI175&lt;=T175),AU175,0),IF(AND(ISNUMBER(AJ175),AJ175&lt;=T175),AV175,0))),"AB",IF(AND(IF(AND(NOT(AND(AO175=1,AN175&lt;&gt;1)),ISNUMBER(AI175),AI175&lt;=T175),AU175,0)&gt;0,IF(AND(NOT(AND(AO175=1,AN175&lt;&gt;1)),ISNUMBER(AI175),AI175&lt;=T175),AU175,0)=MAX(IF(AND(NOT(AND(AO175=1,AN175&lt;&gt;1)),ISNUMBER(AG175),AG175&lt;=T175),AS175,0),IF(AND(NOT(AND(AO175=1,AN175&lt;&gt;1)),ISNUMBER(AH175),AH175&lt;=T175),AT175,0),IF(AND(NOT(AND(AO175=1,AN175&lt;&gt;1)),ISNUMBER(AI175),AI175&lt;=T175),AU175,0),IF(AND(ISNUMBER(AJ175),AJ175&lt;=T175),AV175,0))),"SC","Mag")))))))</f>
        <v/>
      </c>
    </row>
    <row r="176" customFormat="false" ht="15" hidden="false" customHeight="false" outlineLevel="0" collapsed="false">
      <c r="A176" s="26" t="n">
        <v>171</v>
      </c>
      <c r="B176" s="27" t="n">
        <f aca="false">A176*10/60</f>
        <v>28.5</v>
      </c>
      <c r="C176" s="21" t="n">
        <f aca="false">X175</f>
        <v>18.6730249835055</v>
      </c>
      <c r="D176" s="27" t="n">
        <f aca="false">D175+W175</f>
        <v>0</v>
      </c>
      <c r="E176" s="26" t="n">
        <f aca="false">E175+IF(U175="SW",1,0)</f>
        <v>12</v>
      </c>
      <c r="F176" s="26" t="n">
        <f aca="false">F175+IF(U175="AB",1,0)</f>
        <v>10</v>
      </c>
      <c r="G176" s="26" t="n">
        <f aca="false">G175+IF(U175="SC",1,0)</f>
        <v>7</v>
      </c>
      <c r="H176" s="26" t="n">
        <f aca="false">H175+IF(U175="Mag",1,0)</f>
        <v>5</v>
      </c>
      <c r="I176" s="26" t="n">
        <f aca="false">MAX(I175,IF(U175="OR",1,0))</f>
        <v>1</v>
      </c>
      <c r="J176" s="26" t="n">
        <f aca="false">MAX(J175,IF(U175="HP",1,0))</f>
        <v>1</v>
      </c>
      <c r="K176" s="26" t="n">
        <f aca="false">MAX(K175,IF(U175="FP",1,0))</f>
        <v>1</v>
      </c>
      <c r="L176" s="26" t="n">
        <f aca="false">MAX(L175,IF(U175="transition",1,0))</f>
        <v>1</v>
      </c>
      <c r="M176" s="28" t="n">
        <f aca="false">(Parameters!$B$9+(IF(E176=0,0,(Upgrades!$J$6+E176*Upgrades!$K$6)*POWER(Upgrades!$L$6,E176)))*(IF(Upgrades!$T$7="Solar Wind",POWER(Upgrades!$U$7,F176),1)*IF(Upgrades!$T$8="Solar Wind",POWER(Upgrades!$U$8,G176),1)*IF(Upgrades!$T$9="Solar Wind",POWER(Upgrades!$U$9,H176),1)*IF(Upgrades!$T$10="Solar Wind",POWER(Upgrades!$U$10,I176),1)*IF(Upgrades!$T$11="Solar Wind",POWER(Upgrades!$U$11,J176),1)*IF(Upgrades!$T$12="Solar Wind",POWER(Upgrades!$U$12,K176),1))+(IF(F176=0,0,(Upgrades!$J$7+F176*Upgrades!$K$7)*POWER(Upgrades!$L$7,F176)))*(IF(Upgrades!$T$6="Asteroid Belt",POWER(Upgrades!$U$6,E176),1)*IF(Upgrades!$T$8="Asteroid Belt",POWER(Upgrades!$U$8,G176),1)*IF(Upgrades!$T$9="Asteroid Belt",POWER(Upgrades!$U$9,H176),1)*IF(Upgrades!$T$10="Asteroid Belt",POWER(Upgrades!$U$10,I176),1)*IF(Upgrades!$T$11="Asteroid Belt",POWER(Upgrades!$U$11,J176),1)*IF(Upgrades!$T$12="Asteroid Belt",POWER(Upgrades!$U$12,K176),1))+(IF(G176=0,0,(Upgrades!$J$8+G176*Upgrades!$K$8)*POWER(Upgrades!$L$8,G176)))*(IF(Upgrades!$T$6="Stellar Coupling",POWER(Upgrades!$U$6,E176),1)*IF(Upgrades!$T$7="Stellar Coupling",POWER(Upgrades!$U$7,F176),1)*IF(Upgrades!$T$9="Stellar Coupling",POWER(Upgrades!$U$9,H176),1)*IF(Upgrades!$T$10="Stellar Coupling",POWER(Upgrades!$U$10,I176),1)*IF(Upgrades!$T$11="Stellar Coupling",POWER(Upgrades!$U$11,J176),1)*IF(Upgrades!$T$12="Stellar Coupling",POWER(Upgrades!$U$12,K176),1))+(IF(H176=0,0,(Upgrades!$J$9+H176*Upgrades!$K$9)*POWER(Upgrades!$L$9,H176)))*(IF(Upgrades!$T$6="Magnetosphere",POWER(Upgrades!$U$6,E176),1)*IF(Upgrades!$T$7="Magnetosphere",POWER(Upgrades!$U$7,F176),1)*IF(Upgrades!$T$8="Magnetosphere",POWER(Upgrades!$U$8,G176),1)*IF(Upgrades!$T$10="Magnetosphere",POWER(Upgrades!$U$10,I176),1)*IF(Upgrades!$T$11="Magnetosphere",POWER(Upgrades!$U$11,J176),1)*IF(Upgrades!$T$12="Magnetosphere",POWER(Upgrades!$U$12,K176),1))+(IF(I176=0,0,(Upgrades!$J$10+I176*Upgrades!$K$10)*POWER(Upgrades!$L$10,I176)))*(IF(Upgrades!$T$6="Orbital Resonance",POWER(Upgrades!$U$6,E176),1)*IF(Upgrades!$T$7="Orbital Resonance",POWER(Upgrades!$U$7,F176),1)*IF(Upgrades!$T$8="Orbital Resonance",POWER(Upgrades!$U$8,G176),1)*IF(Upgrades!$T$9="Orbital Resonance",POWER(Upgrades!$U$9,H176),1)*IF(Upgrades!$T$11="Orbital Resonance",POWER(Upgrades!$U$11,J176),1)*IF(Upgrades!$T$12="Orbital Resonance",POWER(Upgrades!$U$12,K176),1))+(IF(J176=0,0,(Upgrades!$J$11+J176*Upgrades!$K$11)*POWER(Upgrades!$L$11,J176)))*(IF(Upgrades!$T$6="Heliopause",POWER(Upgrades!$U$6,E176),1)*IF(Upgrades!$T$7="Heliopause",POWER(Upgrades!$U$7,F176),1)*IF(Upgrades!$T$8="Heliopause",POWER(Upgrades!$U$8,G176),1)*IF(Upgrades!$T$9="Heliopause",POWER(Upgrades!$U$9,H176),1)*IF(Upgrades!$T$10="Heliopause",POWER(Upgrades!$U$10,I176),1)*IF(Upgrades!$T$12="Heliopause",POWER(Upgrades!$U$12,K176),1))+(IF(K176=0,0,(Upgrades!$J$12+K176*Upgrades!$K$12)*POWER(Upgrades!$L$12,K176)))*(IF(Upgrades!$T$6="First Photons",POWER(Upgrades!$U$6,E176),1)*IF(Upgrades!$T$7="First Photons",POWER(Upgrades!$U$7,F176),1)*IF(Upgrades!$T$8="First Photons",POWER(Upgrades!$U$8,G176),1)*IF(Upgrades!$T$9="First Photons",POWER(Upgrades!$U$9,H176),1)*IF(Upgrades!$T$10="First Photons",POWER(Upgrades!$U$10,I176),1)*IF(Upgrades!$T$11="First Photons",POWER(Upgrades!$U$11,J176),1)))*POWER(Upgrades!$Q$6,E176)*POWER(Upgrades!$Q$7,F176)*POWER(Upgrades!$Q$8,G176)*POWER(Upgrades!$Q$9,H176)*POWER(Upgrades!$Q$10,I176)*POWER(Upgrades!$Q$11,J176)*POWER(Upgrades!$Q$12,K176)</f>
        <v>5.61</v>
      </c>
      <c r="N176" s="28" t="n">
        <f aca="false">((IF(E176=0,0,(Upgrades!$G$6+E176*Upgrades!$H$6)*POWER(Upgrades!$I$6,E176)))*(IF(Upgrades!$T$7="Solar Wind",POWER(Upgrades!$U$7,F176),1)*IF(Upgrades!$T$8="Solar Wind",POWER(Upgrades!$U$8,G176),1)*IF(Upgrades!$T$9="Solar Wind",POWER(Upgrades!$U$9,H176),1)*IF(Upgrades!$T$10="Solar Wind",POWER(Upgrades!$U$10,I176),1)*IF(Upgrades!$T$11="Solar Wind",POWER(Upgrades!$U$11,J176),1)*IF(Upgrades!$T$12="Solar Wind",POWER(Upgrades!$U$12,K176),1))+(IF(F176=0,0,(Upgrades!$G$7+F176*Upgrades!$H$7)*POWER(Upgrades!$I$7,F176)))*(IF(Upgrades!$T$6="Asteroid Belt",POWER(Upgrades!$U$6,E176),1)*IF(Upgrades!$T$8="Asteroid Belt",POWER(Upgrades!$U$8,G176),1)*IF(Upgrades!$T$9="Asteroid Belt",POWER(Upgrades!$U$9,H176),1)*IF(Upgrades!$T$10="Asteroid Belt",POWER(Upgrades!$U$10,I176),1)*IF(Upgrades!$T$11="Asteroid Belt",POWER(Upgrades!$U$11,J176),1)*IF(Upgrades!$T$12="Asteroid Belt",POWER(Upgrades!$U$12,K176),1))+(IF(G176=0,0,(Upgrades!$G$8+G176*Upgrades!$H$8)*POWER(Upgrades!$I$8,G176)))*(IF(Upgrades!$T$6="Stellar Coupling",POWER(Upgrades!$U$6,E176),1)*IF(Upgrades!$T$7="Stellar Coupling",POWER(Upgrades!$U$7,F176),1)*IF(Upgrades!$T$9="Stellar Coupling",POWER(Upgrades!$U$9,H176),1)*IF(Upgrades!$T$10="Stellar Coupling",POWER(Upgrades!$U$10,I176),1)*IF(Upgrades!$T$11="Stellar Coupling",POWER(Upgrades!$U$11,J176),1)*IF(Upgrades!$T$12="Stellar Coupling",POWER(Upgrades!$U$12,K176),1))+(IF(H176=0,0,(Upgrades!$G$9+H176*Upgrades!$H$9)*POWER(Upgrades!$I$9,H176)))*(IF(Upgrades!$T$6="Magnetosphere",POWER(Upgrades!$U$6,E176),1)*IF(Upgrades!$T$7="Magnetosphere",POWER(Upgrades!$U$7,F176),1)*IF(Upgrades!$T$8="Magnetosphere",POWER(Upgrades!$U$8,G176),1)*IF(Upgrades!$T$10="Magnetosphere",POWER(Upgrades!$U$10,I176),1)*IF(Upgrades!$T$11="Magnetosphere",POWER(Upgrades!$U$11,J176),1)*IF(Upgrades!$T$12="Magnetosphere",POWER(Upgrades!$U$12,K176),1))+(IF(I176=0,0,(Upgrades!$G$10+I176*Upgrades!$H$10)*POWER(Upgrades!$I$10,I176)))*(IF(Upgrades!$T$6="Orbital Resonance",POWER(Upgrades!$U$6,E176),1)*IF(Upgrades!$T$7="Orbital Resonance",POWER(Upgrades!$U$7,F176),1)*IF(Upgrades!$T$8="Orbital Resonance",POWER(Upgrades!$U$8,G176),1)*IF(Upgrades!$T$9="Orbital Resonance",POWER(Upgrades!$U$9,H176),1)*IF(Upgrades!$T$11="Orbital Resonance",POWER(Upgrades!$U$11,J176),1)*IF(Upgrades!$T$12="Orbital Resonance",POWER(Upgrades!$U$12,K176),1))+(IF(J176=0,0,(Upgrades!$G$11+J176*Upgrades!$H$11)*POWER(Upgrades!$I$11,J176)))*(IF(Upgrades!$T$6="Heliopause",POWER(Upgrades!$U$6,E176),1)*IF(Upgrades!$T$7="Heliopause",POWER(Upgrades!$U$7,F176),1)*IF(Upgrades!$T$8="Heliopause",POWER(Upgrades!$U$8,G176),1)*IF(Upgrades!$T$9="Heliopause",POWER(Upgrades!$U$9,H176),1)*IF(Upgrades!$T$10="Heliopause",POWER(Upgrades!$U$10,I176),1)*IF(Upgrades!$T$12="Heliopause",POWER(Upgrades!$U$12,K176),1))+(IF(K176=0,0,(Upgrades!$G$12+K176*Upgrades!$H$12)*POWER(Upgrades!$I$12,K176)))*(IF(Upgrades!$T$6="First Photons",POWER(Upgrades!$U$6,E176),1)*IF(Upgrades!$T$7="First Photons",POWER(Upgrades!$U$7,F176),1)*IF(Upgrades!$T$8="First Photons",POWER(Upgrades!$U$8,G176),1)*IF(Upgrades!$T$9="First Photons",POWER(Upgrades!$U$9,H176),1)*IF(Upgrades!$T$10="First Photons",POWER(Upgrades!$U$10,I176),1)*IF(Upgrades!$T$11="First Photons",POWER(Upgrades!$U$11,J176),1)))*POWER(Upgrades!$P$6,E176)*POWER(Upgrades!$P$7,F176)*POWER(Upgrades!$P$8,G176)*POWER(Upgrades!$P$9,H176)*POWER(Upgrades!$P$10,I176)*POWER(Upgrades!$P$11,J176)*POWER(Upgrades!$P$12,K176)</f>
        <v>11.2</v>
      </c>
      <c r="O176" s="28" t="n">
        <f aca="false">((IF(E176=0,0,(Upgrades!$M$6+E176*Upgrades!$N$6)*POWER(Upgrades!$O$6,E176)))*(IF(Upgrades!$T$7="Solar Wind",POWER(Upgrades!$U$7,F176),1)*IF(Upgrades!$T$8="Solar Wind",POWER(Upgrades!$U$8,G176),1)*IF(Upgrades!$T$9="Solar Wind",POWER(Upgrades!$U$9,H176),1)*IF(Upgrades!$T$10="Solar Wind",POWER(Upgrades!$U$10,I176),1)*IF(Upgrades!$T$11="Solar Wind",POWER(Upgrades!$U$11,J176),1)*IF(Upgrades!$T$12="Solar Wind",POWER(Upgrades!$U$12,K176),1))+(IF(F176=0,0,(Upgrades!$M$7+F176*Upgrades!$N$7)*POWER(Upgrades!$O$7,F176)))*(IF(Upgrades!$T$6="Asteroid Belt",POWER(Upgrades!$U$6,E176),1)*IF(Upgrades!$T$8="Asteroid Belt",POWER(Upgrades!$U$8,G176),1)*IF(Upgrades!$T$9="Asteroid Belt",POWER(Upgrades!$U$9,H176),1)*IF(Upgrades!$T$10="Asteroid Belt",POWER(Upgrades!$U$10,I176),1)*IF(Upgrades!$T$11="Asteroid Belt",POWER(Upgrades!$U$11,J176),1)*IF(Upgrades!$T$12="Asteroid Belt",POWER(Upgrades!$U$12,K176),1))+(IF(G176=0,0,(Upgrades!$M$8+G176*Upgrades!$N$8)*POWER(Upgrades!$O$8,G176)))*(IF(Upgrades!$T$6="Stellar Coupling",POWER(Upgrades!$U$6,E176),1)*IF(Upgrades!$T$7="Stellar Coupling",POWER(Upgrades!$U$7,F176),1)*IF(Upgrades!$T$9="Stellar Coupling",POWER(Upgrades!$U$9,H176),1)*IF(Upgrades!$T$10="Stellar Coupling",POWER(Upgrades!$U$10,I176),1)*IF(Upgrades!$T$11="Stellar Coupling",POWER(Upgrades!$U$11,J176),1)*IF(Upgrades!$T$12="Stellar Coupling",POWER(Upgrades!$U$12,K176),1))+(IF(H176=0,0,(Upgrades!$M$9+H176*Upgrades!$N$9)*POWER(Upgrades!$O$9,H176)))*(IF(Upgrades!$T$6="Magnetosphere",POWER(Upgrades!$U$6,E176),1)*IF(Upgrades!$T$7="Magnetosphere",POWER(Upgrades!$U$7,F176),1)*IF(Upgrades!$T$8="Magnetosphere",POWER(Upgrades!$U$8,G176),1)*IF(Upgrades!$T$10="Magnetosphere",POWER(Upgrades!$U$10,I176),1)*IF(Upgrades!$T$11="Magnetosphere",POWER(Upgrades!$U$11,J176),1)*IF(Upgrades!$T$12="Magnetosphere",POWER(Upgrades!$U$12,K176),1))+(IF(I176=0,0,(Upgrades!$M$10+I176*Upgrades!$N$10)*POWER(Upgrades!$O$10,I176)))*(IF(Upgrades!$T$6="Orbital Resonance",POWER(Upgrades!$U$6,E176),1)*IF(Upgrades!$T$7="Orbital Resonance",POWER(Upgrades!$U$7,F176),1)*IF(Upgrades!$T$8="Orbital Resonance",POWER(Upgrades!$U$8,G176),1)*IF(Upgrades!$T$9="Orbital Resonance",POWER(Upgrades!$U$9,H176),1)*IF(Upgrades!$T$11="Orbital Resonance",POWER(Upgrades!$U$11,J176),1)*IF(Upgrades!$T$12="Orbital Resonance",POWER(Upgrades!$U$12,K176),1))+(IF(J176=0,0,(Upgrades!$M$11+J176*Upgrades!$N$11)*POWER(Upgrades!$O$11,J176)))*(IF(Upgrades!$T$6="Heliopause",POWER(Upgrades!$U$6,E176),1)*IF(Upgrades!$T$7="Heliopause",POWER(Upgrades!$U$7,F176),1)*IF(Upgrades!$T$8="Heliopause",POWER(Upgrades!$U$8,G176),1)*IF(Upgrades!$T$9="Heliopause",POWER(Upgrades!$U$9,H176),1)*IF(Upgrades!$T$10="Heliopause",POWER(Upgrades!$U$10,I176),1)*IF(Upgrades!$T$12="Heliopause",POWER(Upgrades!$U$12,K176),1))+(IF(K176=0,0,(Upgrades!$M$12+K176*Upgrades!$N$12)*POWER(Upgrades!$O$12,K176)))*(IF(Upgrades!$T$6="First Photons",POWER(Upgrades!$U$6,E176),1)*IF(Upgrades!$T$7="First Photons",POWER(Upgrades!$U$7,F176),1)*IF(Upgrades!$T$8="First Photons",POWER(Upgrades!$U$8,G176),1)*IF(Upgrades!$T$9="First Photons",POWER(Upgrades!$U$9,H176),1)*IF(Upgrades!$T$10="First Photons",POWER(Upgrades!$U$10,I176),1)*IF(Upgrades!$T$11="First Photons",POWER(Upgrades!$U$11,J176),1)))*POWER(Upgrades!$R$6,E176)*POWER(Upgrades!$R$7,F176)*POWER(Upgrades!$R$8,G176)*POWER(Upgrades!$R$9,H176)*POWER(Upgrades!$R$10,I176)*POWER(Upgrades!$R$11,J176)*POWER(Upgrades!$R$12,K176)</f>
        <v>0</v>
      </c>
      <c r="P176" s="27" t="n">
        <f aca="false">IF(L176=1,0,M176*Parameters!$B$10/60*Parameters!$B$11*10)</f>
        <v>0</v>
      </c>
      <c r="Q176" s="27" t="n">
        <f aca="false">IF(L176=1,0,O176*M176*10)</f>
        <v>0</v>
      </c>
      <c r="R176" s="27" t="n">
        <f aca="false">IF(L176=1,0,N176*10)</f>
        <v>0</v>
      </c>
      <c r="S176" s="27" t="n">
        <f aca="false">P176+Q176+R176</f>
        <v>0</v>
      </c>
      <c r="T176" s="21" t="n">
        <f aca="false">C176+S176</f>
        <v>18.6730249835055</v>
      </c>
      <c r="U176" s="34" t="str">
        <f aca="false">AX176</f>
        <v/>
      </c>
      <c r="V176" s="21" t="n">
        <f aca="false">IF(U176="",0,IF(U176="transition",0,IF(U176="SW",AG176,IF(U176="AB",AH176,IF(U176="SC",AI176,IF(U176="Mag",AJ176,IF(U176="OR",AK176,IF(U176="HP",AL176,IF(U176="FP",AM176,0)))))))))</f>
        <v>0</v>
      </c>
      <c r="W176" s="27" t="n">
        <f aca="false">IF(U176="OR",Upgrades!$F$10,IF(U176="HP",Upgrades!$F$11,IF(U176="transition",-Parameters!$B$18,0)))</f>
        <v>0</v>
      </c>
      <c r="X176" s="21" t="n">
        <f aca="false">T176-V176</f>
        <v>18.6730249835055</v>
      </c>
      <c r="Y176" s="30" t="n">
        <f aca="false">M176*Parameters!$B$10/60*Parameters!$B$11+O176*M176+N176</f>
        <v>20.55</v>
      </c>
      <c r="Z176" s="35" t="str">
        <f aca="false">IF(U176="transition","→ Tier 2 (Stellar Neighborhood)",IF(U176="FP","First Photons — light begins, system quickens",IF(U176="HP","Heliopause acquired",IF(U176="OR","Orbital Resonance — passive multiplier active",IF(AND(AO176=1,L176=0,AN176&lt;&gt;1),"Cohesion ready (waiting on completionist upgrades)","")))))</f>
        <v/>
      </c>
      <c r="AA176" s="27" t="n">
        <f aca="false">(IF(E176=0,0,(Upgrades!$G$6+E176*Upgrades!$H$6)*POWER(Upgrades!$I$6,E176)))*(IF(Upgrades!$T$7="Solar Wind",POWER(Upgrades!$U$7,F176),1)*IF(Upgrades!$T$8="Solar Wind",POWER(Upgrades!$U$8,G176),1)*IF(Upgrades!$T$9="Solar Wind",POWER(Upgrades!$U$9,H176),1)*IF(Upgrades!$T$10="Solar Wind",POWER(Upgrades!$U$10,I176),1)*IF(Upgrades!$T$11="Solar Wind",POWER(Upgrades!$U$11,J176),1)*IF(Upgrades!$T$12="Solar Wind",POWER(Upgrades!$U$12,K176),1))*POWER(Upgrades!$P$6,E176)*POWER(Upgrades!$P$7,F176)*POWER(Upgrades!$P$8,G176)*POWER(Upgrades!$P$9,H176)*POWER(Upgrades!$P$10,I176)*POWER(Upgrades!$P$11,J176)*POWER(Upgrades!$P$12,K176)*60</f>
        <v>72</v>
      </c>
      <c r="AB176" s="27" t="n">
        <f aca="false">(IF(F176=0,0,(Upgrades!$G$7+F176*Upgrades!$H$7)*POWER(Upgrades!$I$7,F176)))*(IF(Upgrades!$T$6="Asteroid Belt",POWER(Upgrades!$U$6,E176),1)*IF(Upgrades!$T$8="Asteroid Belt",POWER(Upgrades!$U$8,G176),1)*IF(Upgrades!$T$9="Asteroid Belt",POWER(Upgrades!$U$9,H176),1)*IF(Upgrades!$T$10="Asteroid Belt",POWER(Upgrades!$U$10,I176),1)*IF(Upgrades!$T$11="Asteroid Belt",POWER(Upgrades!$U$11,J176),1)*IF(Upgrades!$T$12="Asteroid Belt",POWER(Upgrades!$U$12,K176),1))*POWER(Upgrades!$P$6,E176)*POWER(Upgrades!$P$7,F176)*POWER(Upgrades!$P$8,G176)*POWER(Upgrades!$P$9,H176)*POWER(Upgrades!$P$10,I176)*POWER(Upgrades!$P$11,J176)*POWER(Upgrades!$P$12,K176)*60</f>
        <v>150</v>
      </c>
      <c r="AC176" s="27" t="n">
        <f aca="false">(IF(G176=0,0,(Upgrades!$J$8+G176*Upgrades!$K$8)*POWER(Upgrades!$L$8,G176)))*(IF(Upgrades!$T$6="Stellar Coupling",POWER(Upgrades!$U$6,E176),1)*IF(Upgrades!$T$7="Stellar Coupling",POWER(Upgrades!$U$7,F176),1)*IF(Upgrades!$T$9="Stellar Coupling",POWER(Upgrades!$U$9,H176),1)*IF(Upgrades!$T$10="Stellar Coupling",POWER(Upgrades!$U$10,I176),1)*IF(Upgrades!$T$11="Stellar Coupling",POWER(Upgrades!$U$11,J176),1)*IF(Upgrades!$T$12="Stellar Coupling",POWER(Upgrades!$U$12,K176),1))*POWER(Upgrades!$Q$6,E176)*POWER(Upgrades!$Q$7,F176)*POWER(Upgrades!$Q$8,G176)*POWER(Upgrades!$Q$9,H176)*POWER(Upgrades!$Q$10,I176)*POWER(Upgrades!$Q$11,J176)*POWER(Upgrades!$Q$12,K176)*Parameters!$B$10*Parameters!$B$11</f>
        <v>441</v>
      </c>
      <c r="AD176" s="27" t="n">
        <f aca="false">(IF(H176=0,0,(Upgrades!$G$9+H176*Upgrades!$H$9)*POWER(Upgrades!$I$9,H176)))*(IF(Upgrades!$T$6="Magnetosphere",POWER(Upgrades!$U$6,E176),1)*IF(Upgrades!$T$7="Magnetosphere",POWER(Upgrades!$U$7,F176),1)*IF(Upgrades!$T$8="Magnetosphere",POWER(Upgrades!$U$8,G176),1)*IF(Upgrades!$T$10="Magnetosphere",POWER(Upgrades!$U$10,I176),1)*IF(Upgrades!$T$11="Magnetosphere",POWER(Upgrades!$U$11,J176),1)*IF(Upgrades!$T$12="Magnetosphere",POWER(Upgrades!$U$12,K176),1))*POWER(Upgrades!$P$6,E176)*POWER(Upgrades!$P$7,F176)*POWER(Upgrades!$P$8,G176)*POWER(Upgrades!$P$9,H176)*POWER(Upgrades!$P$10,I176)*POWER(Upgrades!$P$11,J176)*POWER(Upgrades!$P$12,K176)*60</f>
        <v>375</v>
      </c>
      <c r="AE176" s="27" t="n">
        <f aca="false">(IF(K176=0,0,(Upgrades!$G$12+K176*Upgrades!$H$12)*POWER(Upgrades!$I$12,K176)))*(IF(Upgrades!$T$6="First Photons",POWER(Upgrades!$U$6,E176),1)*IF(Upgrades!$T$7="First Photons",POWER(Upgrades!$U$7,F176),1)*IF(Upgrades!$T$8="First Photons",POWER(Upgrades!$U$8,G176),1)*IF(Upgrades!$T$9="First Photons",POWER(Upgrades!$U$9,H176),1)*IF(Upgrades!$T$10="First Photons",POWER(Upgrades!$U$10,I176),1)*IF(Upgrades!$T$11="First Photons",POWER(Upgrades!$U$11,J176),1))*POWER(Upgrades!$P$6,E176)*POWER(Upgrades!$P$7,F176)*POWER(Upgrades!$P$8,G176)*POWER(Upgrades!$P$9,H176)*POWER(Upgrades!$P$10,I176)*POWER(Upgrades!$P$11,J176)*POWER(Upgrades!$P$12,K176)*60</f>
        <v>75</v>
      </c>
      <c r="AF176" s="27" t="n">
        <f aca="false">Parameters!$B$9*POWER(Upgrades!$Q$6,E176)*POWER(Upgrades!$Q$7,F176)*POWER(Upgrades!$Q$8,G176)*POWER(Upgrades!$Q$9,H176)*POWER(Upgrades!$Q$10,I176)*POWER(Upgrades!$Q$11,J176)*POWER(Upgrades!$Q$12,K176)*(Parameters!$B$10*Parameters!$B$11+O176*60)</f>
        <v>120</v>
      </c>
      <c r="AG176" s="21" t="n">
        <f aca="false">IF(E176&gt;=Upgrades!$E$6,"",Upgrades!$C$6*POWER(Upgrades!$D$6,E176))</f>
        <v>37.4517507383159</v>
      </c>
      <c r="AH176" s="21" t="n">
        <f aca="false">IF(F176&gt;=Upgrades!$E$7,"",Upgrades!$C$7*POWER(Upgrades!$D$7,F176))</f>
        <v>80.9111547141581</v>
      </c>
      <c r="AI176" s="21" t="n">
        <f aca="false">IF(G176&gt;=Upgrades!$E$8,"",Upgrades!$C$8*POWER(Upgrades!$D$8,G176))</f>
        <v>231.9097088</v>
      </c>
      <c r="AJ176" s="21" t="str">
        <f aca="false">IF(H176&gt;=Upgrades!$E$9,"",Upgrades!$C$9*POWER(Upgrades!$D$9,H176))</f>
        <v/>
      </c>
      <c r="AK176" s="21" t="str">
        <f aca="false">IF(I176&gt;=Upgrades!$E$10,"",Upgrades!$C$10*POWER(Upgrades!$D$10,I176))</f>
        <v/>
      </c>
      <c r="AL176" s="21" t="str">
        <f aca="false">IF(J176&gt;=Upgrades!$E$11,"",Upgrades!$C$11*POWER(Upgrades!$D$11,J176))</f>
        <v/>
      </c>
      <c r="AM176" s="21" t="str">
        <f aca="false">IF(K176&gt;=Upgrades!$E$12,"",Upgrades!$C$12*POWER(Upgrades!$D$12,K176))</f>
        <v/>
      </c>
      <c r="AN176" s="26" t="str">
        <f aca="false">IF(AND(D176&gt;=Parameters!$B$18,(H176&gt;=Upgrades!$E$9)*(K176&gt;=Upgrades!$E$12)=1,L176=0),1,"")</f>
        <v/>
      </c>
      <c r="AO176" s="26" t="str">
        <f aca="false">IF(AND(D176&gt;=Parameters!$B$18,L176=0),1,"")</f>
        <v/>
      </c>
      <c r="AP176" s="21" t="n">
        <f aca="false">MIN(IF(ISNUMBER(AK176),AK176,9000000000000000),IF(ISNUMBER(AL176),AL176,9000000000000000),IF(ISNUMBER(AM176),AM176,9000000000000000))</f>
        <v>9000000000000000</v>
      </c>
      <c r="AQ176" s="21" t="n">
        <f aca="false">MIN(IF(ISNUMBER(AG176),AG176,9000000000000000),IF(ISNUMBER(AH176),AH176,9000000000000000),IF(ISNUMBER(AI176),AI176,9000000000000000),IF(ISNUMBER(AJ176),AJ176,9000000000000000))</f>
        <v>37.4517507383159</v>
      </c>
      <c r="AR176" s="32" t="b">
        <f aca="false">IF(AW176&gt;Parameters!$B$21*(MAX(IF(AND(NOT(AND(AO176=1,AN176&lt;&gt;1)),ISNUMBER(AG176),AG176&lt;=T176),AS176,0),IF(AND(NOT(AND(AO176=1,AN176&lt;&gt;1)),ISNUMBER(AH176),AH176&lt;=T176),AT176,0),IF(AND(NOT(AND(AO176=1,AN176&lt;&gt;1)),ISNUMBER(AI176),AI176&lt;=T176),AU176,0),IF(AND(ISNUMBER(AJ176),AJ176&lt;=T176),AV176,0))),TRUE(),FALSE())</f>
        <v>1</v>
      </c>
      <c r="AS176" s="33" t="n">
        <f aca="false">IFERROR(Upgrades!$H$6*(POWER(Upgrades!$P$6,E176)*POWER(Upgrades!$P$7,F176)*POWER(Upgrades!$P$8,G176)*POWER(Upgrades!$P$9,H176)*POWER(Upgrades!$P$10,I176)*POWER(Upgrades!$P$11,J176)*POWER(Upgrades!$P$12,K176))*(IF(Upgrades!$T$7="Solar Wind",POWER(Upgrades!$U$7,F176),1)*IF(Upgrades!$T$8="Solar Wind",POWER(Upgrades!$U$8,G176),1)*IF(Upgrades!$T$9="Solar Wind",POWER(Upgrades!$U$9,H176),1)*IF(Upgrades!$T$10="Solar Wind",POWER(Upgrades!$U$10,I176),1)*IF(Upgrades!$T$11="Solar Wind",POWER(Upgrades!$U$11,J176),1)*IF(Upgrades!$T$12="Solar Wind",POWER(Upgrades!$U$12,K176),1))/AG176,0)</f>
        <v>0.0026701021455238</v>
      </c>
      <c r="AT176" s="33" t="n">
        <f aca="false">IFERROR(Upgrades!$H$7*(POWER(Upgrades!$P$6,E176)*POWER(Upgrades!$P$7,F176)*POWER(Upgrades!$P$8,G176)*POWER(Upgrades!$P$9,H176)*POWER(Upgrades!$P$10,I176)*POWER(Upgrades!$P$11,J176)*POWER(Upgrades!$P$12,K176))*(IF(Upgrades!$T$6="Asteroid Belt",POWER(Upgrades!$U$6,E176),1)*IF(Upgrades!$T$8="Asteroid Belt",POWER(Upgrades!$U$8,G176),1)*IF(Upgrades!$T$9="Asteroid Belt",POWER(Upgrades!$U$9,H176),1)*IF(Upgrades!$T$10="Asteroid Belt",POWER(Upgrades!$U$10,I176),1)*IF(Upgrades!$T$11="Asteroid Belt",POWER(Upgrades!$U$11,J176),1)*IF(Upgrades!$T$12="Asteroid Belt",POWER(Upgrades!$U$12,K176),1))/AH176,0)</f>
        <v>0.00308980882652332</v>
      </c>
      <c r="AU176" s="33" t="n">
        <f aca="false">IFERROR(Upgrades!$K$8*(POWER(Upgrades!$Q$6,E176)*POWER(Upgrades!$Q$7,F176)*POWER(Upgrades!$Q$8,G176)*POWER(Upgrades!$Q$9,H176)*POWER(Upgrades!$Q$10,I176)*POWER(Upgrades!$Q$11,J176)*POWER(Upgrades!$Q$12,K176))*(IF(Upgrades!$T$6="Stellar Coupling",POWER(Upgrades!$U$6,E176),1)*IF(Upgrades!$T$7="Stellar Coupling",POWER(Upgrades!$U$7,F176),1)*IF(Upgrades!$T$9="Stellar Coupling",POWER(Upgrades!$U$9,H176),1)*IF(Upgrades!$T$10="Stellar Coupling",POWER(Upgrades!$U$10,I176),1)*IF(Upgrades!$T$11="Stellar Coupling",POWER(Upgrades!$U$11,J176),1)*IF(Upgrades!$T$12="Stellar Coupling",POWER(Upgrades!$U$12,K176),1))*Parameters!$B$10*Parameters!$B$11/60/AI176,0)</f>
        <v>0.00452762415783776</v>
      </c>
      <c r="AV176" s="33" t="n">
        <f aca="false">IFERROR(Upgrades!$H$9*(POWER(Upgrades!$P$6,E176)*POWER(Upgrades!$P$7,F176)*POWER(Upgrades!$P$8,G176)*POWER(Upgrades!$P$9,H176)*POWER(Upgrades!$P$10,I176)*POWER(Upgrades!$P$11,J176)*POWER(Upgrades!$P$12,K176))*(IF(Upgrades!$T$6="Magnetosphere",POWER(Upgrades!$U$6,E176),1)*IF(Upgrades!$T$7="Magnetosphere",POWER(Upgrades!$U$7,F176),1)*IF(Upgrades!$T$8="Magnetosphere",POWER(Upgrades!$U$8,G176),1)*IF(Upgrades!$T$10="Magnetosphere",POWER(Upgrades!$U$10,I176),1)*IF(Upgrades!$T$11="Magnetosphere",POWER(Upgrades!$U$11,J176),1)*IF(Upgrades!$T$12="Magnetosphere",POWER(Upgrades!$U$12,K176),1))/AJ176,0)</f>
        <v>0</v>
      </c>
      <c r="AW176" s="33" t="n">
        <f aca="false">MAX(IF(I176&gt;0,0,IFERROR(0.25*N176/Upgrades!$C$10,0)),IF(J176&gt;0,0,IFERROR(0.5*((IF(G176=0,0,(Upgrades!$J$8+G176*Upgrades!$K$8)*POWER(Upgrades!$L$8,G176)))*(IF(Upgrades!$T$6="Stellar Coupling",POWER(Upgrades!$U$6,E176),1)*IF(Upgrades!$T$7="Stellar Coupling",POWER(Upgrades!$U$7,F176),1)*IF(Upgrades!$T$9="Stellar Coupling",POWER(Upgrades!$U$9,H176),1)*IF(Upgrades!$T$10="Stellar Coupling",POWER(Upgrades!$U$10,I176),1)*IF(Upgrades!$T$11="Stellar Coupling",POWER(Upgrades!$U$11,J176),1)*IF(Upgrades!$T$12="Stellar Coupling",POWER(Upgrades!$U$12,K176),1))*(POWER(Upgrades!$Q$6,E176)*POWER(Upgrades!$Q$7,F176)*POWER(Upgrades!$Q$8,G176)*POWER(Upgrades!$Q$9,H176)*POWER(Upgrades!$Q$10,I176)*POWER(Upgrades!$Q$11,J176)*POWER(Upgrades!$Q$12,K176))*Parameters!$B$10*Parameters!$B$11/60)/Upgrades!$C$11,0)),IF(K176&gt;0,0,IFERROR((1*(POWER(Upgrades!$P$6,E176)*POWER(Upgrades!$P$7,F176)*POWER(Upgrades!$P$8,G176)*POWER(Upgrades!$P$9,H176)*POWER(Upgrades!$P$10,I176)*POWER(Upgrades!$P$11,J176)*POWER(Upgrades!$P$12,K176))+0.2*M176*Parameters!$B$10*Parameters!$B$11/60)/Upgrades!$C$12,0)),IF(AND(ISNUMBER(AG176),AG176&gt;T176),AS176,0),IF(AND(ISNUMBER(AH176),AH176&gt;T176),AT176,0),IF(AND(ISNUMBER(AI176),AI176&gt;T176),AU176,0),IF(AND(ISNUMBER(AJ176),AJ176&gt;T176),AV176,0))</f>
        <v>0.00452762415783776</v>
      </c>
      <c r="AX176" s="29" t="str">
        <f aca="false">IF(AN176=1,"transition",IF(MIN(IF(AND(I176=0,ISNUMBER(AK176),AK176&lt;=T176),AK176,9000000000000000),IF(AND(J176=0,ISNUMBER(AL176),AL176&lt;=T176),AL176,9000000000000000),IF(AND(K176=0,ISNUMBER(AM176),AM176&lt;=T176),AM176,9000000000000000))&lt;9000000000000000,IF(AND(AND(I176=0,ISNUMBER(AK176),AK176&lt;=T176),AK176=MIN(IF(AND(I176=0,ISNUMBER(AK176),AK176&lt;=T176),AK176,9000000000000000),IF(AND(J176=0,ISNUMBER(AL176),AL176&lt;=T176),AL176,9000000000000000),IF(AND(K176=0,ISNUMBER(AM176),AM176&lt;=T176),AM176,9000000000000000))),"OR",IF(AND(AND(J176=0,ISNUMBER(AL176),AL176&lt;=T176),AL176=MIN(IF(AND(I176=0,ISNUMBER(AK176),AK176&lt;=T176),AK176,9000000000000000),IF(AND(J176=0,ISNUMBER(AL176),AL176&lt;=T176),AL176,9000000000000000),IF(AND(K176=0,ISNUMBER(AM176),AM176&lt;=T176),AM176,9000000000000000))),"HP","FP")),IF(AR176=TRUE(),"",IF(MAX(IF(AND(NOT(AND(AO176=1,AN176&lt;&gt;1)),ISNUMBER(AG176),AG176&lt;=T176),AS176,0),IF(AND(NOT(AND(AO176=1,AN176&lt;&gt;1)),ISNUMBER(AH176),AH176&lt;=T176),AT176,0),IF(AND(NOT(AND(AO176=1,AN176&lt;&gt;1)),ISNUMBER(AI176),AI176&lt;=T176),AU176,0),IF(AND(ISNUMBER(AJ176),AJ176&lt;=T176),AV176,0))&lt;=0,"",IF(AND(IF(AND(NOT(AND(AO176=1,AN176&lt;&gt;1)),ISNUMBER(AG176),AG176&lt;=T176),AS176,0)&gt;0,IF(AND(NOT(AND(AO176=1,AN176&lt;&gt;1)),ISNUMBER(AG176),AG176&lt;=T176),AS176,0)=MAX(IF(AND(NOT(AND(AO176=1,AN176&lt;&gt;1)),ISNUMBER(AG176),AG176&lt;=T176),AS176,0),IF(AND(NOT(AND(AO176=1,AN176&lt;&gt;1)),ISNUMBER(AH176),AH176&lt;=T176),AT176,0),IF(AND(NOT(AND(AO176=1,AN176&lt;&gt;1)),ISNUMBER(AI176),AI176&lt;=T176),AU176,0),IF(AND(ISNUMBER(AJ176),AJ176&lt;=T176),AV176,0))),"SW",IF(AND(IF(AND(NOT(AND(AO176=1,AN176&lt;&gt;1)),ISNUMBER(AH176),AH176&lt;=T176),AT176,0)&gt;0,IF(AND(NOT(AND(AO176=1,AN176&lt;&gt;1)),ISNUMBER(AH176),AH176&lt;=T176),AT176,0)=MAX(IF(AND(NOT(AND(AO176=1,AN176&lt;&gt;1)),ISNUMBER(AG176),AG176&lt;=T176),AS176,0),IF(AND(NOT(AND(AO176=1,AN176&lt;&gt;1)),ISNUMBER(AH176),AH176&lt;=T176),AT176,0),IF(AND(NOT(AND(AO176=1,AN176&lt;&gt;1)),ISNUMBER(AI176),AI176&lt;=T176),AU176,0),IF(AND(ISNUMBER(AJ176),AJ176&lt;=T176),AV176,0))),"AB",IF(AND(IF(AND(NOT(AND(AO176=1,AN176&lt;&gt;1)),ISNUMBER(AI176),AI176&lt;=T176),AU176,0)&gt;0,IF(AND(NOT(AND(AO176=1,AN176&lt;&gt;1)),ISNUMBER(AI176),AI176&lt;=T176),AU176,0)=MAX(IF(AND(NOT(AND(AO176=1,AN176&lt;&gt;1)),ISNUMBER(AG176),AG176&lt;=T176),AS176,0),IF(AND(NOT(AND(AO176=1,AN176&lt;&gt;1)),ISNUMBER(AH176),AH176&lt;=T176),AT176,0),IF(AND(NOT(AND(AO176=1,AN176&lt;&gt;1)),ISNUMBER(AI176),AI176&lt;=T176),AU176,0),IF(AND(ISNUMBER(AJ176),AJ176&lt;=T176),AV176,0))),"SC","Mag")))))))</f>
        <v/>
      </c>
    </row>
    <row r="177" customFormat="false" ht="15" hidden="false" customHeight="false" outlineLevel="0" collapsed="false">
      <c r="A177" s="26" t="n">
        <v>172</v>
      </c>
      <c r="B177" s="27" t="n">
        <f aca="false">A177*10/60</f>
        <v>28.6666666666667</v>
      </c>
      <c r="C177" s="21" t="n">
        <f aca="false">X176</f>
        <v>18.6730249835055</v>
      </c>
      <c r="D177" s="27" t="n">
        <f aca="false">D176+W176</f>
        <v>0</v>
      </c>
      <c r="E177" s="26" t="n">
        <f aca="false">E176+IF(U176="SW",1,0)</f>
        <v>12</v>
      </c>
      <c r="F177" s="26" t="n">
        <f aca="false">F176+IF(U176="AB",1,0)</f>
        <v>10</v>
      </c>
      <c r="G177" s="26" t="n">
        <f aca="false">G176+IF(U176="SC",1,0)</f>
        <v>7</v>
      </c>
      <c r="H177" s="26" t="n">
        <f aca="false">H176+IF(U176="Mag",1,0)</f>
        <v>5</v>
      </c>
      <c r="I177" s="26" t="n">
        <f aca="false">MAX(I176,IF(U176="OR",1,0))</f>
        <v>1</v>
      </c>
      <c r="J177" s="26" t="n">
        <f aca="false">MAX(J176,IF(U176="HP",1,0))</f>
        <v>1</v>
      </c>
      <c r="K177" s="26" t="n">
        <f aca="false">MAX(K176,IF(U176="FP",1,0))</f>
        <v>1</v>
      </c>
      <c r="L177" s="26" t="n">
        <f aca="false">MAX(L176,IF(U176="transition",1,0))</f>
        <v>1</v>
      </c>
      <c r="M177" s="28" t="n">
        <f aca="false">(Parameters!$B$9+(IF(E177=0,0,(Upgrades!$J$6+E177*Upgrades!$K$6)*POWER(Upgrades!$L$6,E177)))*(IF(Upgrades!$T$7="Solar Wind",POWER(Upgrades!$U$7,F177),1)*IF(Upgrades!$T$8="Solar Wind",POWER(Upgrades!$U$8,G177),1)*IF(Upgrades!$T$9="Solar Wind",POWER(Upgrades!$U$9,H177),1)*IF(Upgrades!$T$10="Solar Wind",POWER(Upgrades!$U$10,I177),1)*IF(Upgrades!$T$11="Solar Wind",POWER(Upgrades!$U$11,J177),1)*IF(Upgrades!$T$12="Solar Wind",POWER(Upgrades!$U$12,K177),1))+(IF(F177=0,0,(Upgrades!$J$7+F177*Upgrades!$K$7)*POWER(Upgrades!$L$7,F177)))*(IF(Upgrades!$T$6="Asteroid Belt",POWER(Upgrades!$U$6,E177),1)*IF(Upgrades!$T$8="Asteroid Belt",POWER(Upgrades!$U$8,G177),1)*IF(Upgrades!$T$9="Asteroid Belt",POWER(Upgrades!$U$9,H177),1)*IF(Upgrades!$T$10="Asteroid Belt",POWER(Upgrades!$U$10,I177),1)*IF(Upgrades!$T$11="Asteroid Belt",POWER(Upgrades!$U$11,J177),1)*IF(Upgrades!$T$12="Asteroid Belt",POWER(Upgrades!$U$12,K177),1))+(IF(G177=0,0,(Upgrades!$J$8+G177*Upgrades!$K$8)*POWER(Upgrades!$L$8,G177)))*(IF(Upgrades!$T$6="Stellar Coupling",POWER(Upgrades!$U$6,E177),1)*IF(Upgrades!$T$7="Stellar Coupling",POWER(Upgrades!$U$7,F177),1)*IF(Upgrades!$T$9="Stellar Coupling",POWER(Upgrades!$U$9,H177),1)*IF(Upgrades!$T$10="Stellar Coupling",POWER(Upgrades!$U$10,I177),1)*IF(Upgrades!$T$11="Stellar Coupling",POWER(Upgrades!$U$11,J177),1)*IF(Upgrades!$T$12="Stellar Coupling",POWER(Upgrades!$U$12,K177),1))+(IF(H177=0,0,(Upgrades!$J$9+H177*Upgrades!$K$9)*POWER(Upgrades!$L$9,H177)))*(IF(Upgrades!$T$6="Magnetosphere",POWER(Upgrades!$U$6,E177),1)*IF(Upgrades!$T$7="Magnetosphere",POWER(Upgrades!$U$7,F177),1)*IF(Upgrades!$T$8="Magnetosphere",POWER(Upgrades!$U$8,G177),1)*IF(Upgrades!$T$10="Magnetosphere",POWER(Upgrades!$U$10,I177),1)*IF(Upgrades!$T$11="Magnetosphere",POWER(Upgrades!$U$11,J177),1)*IF(Upgrades!$T$12="Magnetosphere",POWER(Upgrades!$U$12,K177),1))+(IF(I177=0,0,(Upgrades!$J$10+I177*Upgrades!$K$10)*POWER(Upgrades!$L$10,I177)))*(IF(Upgrades!$T$6="Orbital Resonance",POWER(Upgrades!$U$6,E177),1)*IF(Upgrades!$T$7="Orbital Resonance",POWER(Upgrades!$U$7,F177),1)*IF(Upgrades!$T$8="Orbital Resonance",POWER(Upgrades!$U$8,G177),1)*IF(Upgrades!$T$9="Orbital Resonance",POWER(Upgrades!$U$9,H177),1)*IF(Upgrades!$T$11="Orbital Resonance",POWER(Upgrades!$U$11,J177),1)*IF(Upgrades!$T$12="Orbital Resonance",POWER(Upgrades!$U$12,K177),1))+(IF(J177=0,0,(Upgrades!$J$11+J177*Upgrades!$K$11)*POWER(Upgrades!$L$11,J177)))*(IF(Upgrades!$T$6="Heliopause",POWER(Upgrades!$U$6,E177),1)*IF(Upgrades!$T$7="Heliopause",POWER(Upgrades!$U$7,F177),1)*IF(Upgrades!$T$8="Heliopause",POWER(Upgrades!$U$8,G177),1)*IF(Upgrades!$T$9="Heliopause",POWER(Upgrades!$U$9,H177),1)*IF(Upgrades!$T$10="Heliopause",POWER(Upgrades!$U$10,I177),1)*IF(Upgrades!$T$12="Heliopause",POWER(Upgrades!$U$12,K177),1))+(IF(K177=0,0,(Upgrades!$J$12+K177*Upgrades!$K$12)*POWER(Upgrades!$L$12,K177)))*(IF(Upgrades!$T$6="First Photons",POWER(Upgrades!$U$6,E177),1)*IF(Upgrades!$T$7="First Photons",POWER(Upgrades!$U$7,F177),1)*IF(Upgrades!$T$8="First Photons",POWER(Upgrades!$U$8,G177),1)*IF(Upgrades!$T$9="First Photons",POWER(Upgrades!$U$9,H177),1)*IF(Upgrades!$T$10="First Photons",POWER(Upgrades!$U$10,I177),1)*IF(Upgrades!$T$11="First Photons",POWER(Upgrades!$U$11,J177),1)))*POWER(Upgrades!$Q$6,E177)*POWER(Upgrades!$Q$7,F177)*POWER(Upgrades!$Q$8,G177)*POWER(Upgrades!$Q$9,H177)*POWER(Upgrades!$Q$10,I177)*POWER(Upgrades!$Q$11,J177)*POWER(Upgrades!$Q$12,K177)</f>
        <v>5.61</v>
      </c>
      <c r="N177" s="28" t="n">
        <f aca="false">((IF(E177=0,0,(Upgrades!$G$6+E177*Upgrades!$H$6)*POWER(Upgrades!$I$6,E177)))*(IF(Upgrades!$T$7="Solar Wind",POWER(Upgrades!$U$7,F177),1)*IF(Upgrades!$T$8="Solar Wind",POWER(Upgrades!$U$8,G177),1)*IF(Upgrades!$T$9="Solar Wind",POWER(Upgrades!$U$9,H177),1)*IF(Upgrades!$T$10="Solar Wind",POWER(Upgrades!$U$10,I177),1)*IF(Upgrades!$T$11="Solar Wind",POWER(Upgrades!$U$11,J177),1)*IF(Upgrades!$T$12="Solar Wind",POWER(Upgrades!$U$12,K177),1))+(IF(F177=0,0,(Upgrades!$G$7+F177*Upgrades!$H$7)*POWER(Upgrades!$I$7,F177)))*(IF(Upgrades!$T$6="Asteroid Belt",POWER(Upgrades!$U$6,E177),1)*IF(Upgrades!$T$8="Asteroid Belt",POWER(Upgrades!$U$8,G177),1)*IF(Upgrades!$T$9="Asteroid Belt",POWER(Upgrades!$U$9,H177),1)*IF(Upgrades!$T$10="Asteroid Belt",POWER(Upgrades!$U$10,I177),1)*IF(Upgrades!$T$11="Asteroid Belt",POWER(Upgrades!$U$11,J177),1)*IF(Upgrades!$T$12="Asteroid Belt",POWER(Upgrades!$U$12,K177),1))+(IF(G177=0,0,(Upgrades!$G$8+G177*Upgrades!$H$8)*POWER(Upgrades!$I$8,G177)))*(IF(Upgrades!$T$6="Stellar Coupling",POWER(Upgrades!$U$6,E177),1)*IF(Upgrades!$T$7="Stellar Coupling",POWER(Upgrades!$U$7,F177),1)*IF(Upgrades!$T$9="Stellar Coupling",POWER(Upgrades!$U$9,H177),1)*IF(Upgrades!$T$10="Stellar Coupling",POWER(Upgrades!$U$10,I177),1)*IF(Upgrades!$T$11="Stellar Coupling",POWER(Upgrades!$U$11,J177),1)*IF(Upgrades!$T$12="Stellar Coupling",POWER(Upgrades!$U$12,K177),1))+(IF(H177=0,0,(Upgrades!$G$9+H177*Upgrades!$H$9)*POWER(Upgrades!$I$9,H177)))*(IF(Upgrades!$T$6="Magnetosphere",POWER(Upgrades!$U$6,E177),1)*IF(Upgrades!$T$7="Magnetosphere",POWER(Upgrades!$U$7,F177),1)*IF(Upgrades!$T$8="Magnetosphere",POWER(Upgrades!$U$8,G177),1)*IF(Upgrades!$T$10="Magnetosphere",POWER(Upgrades!$U$10,I177),1)*IF(Upgrades!$T$11="Magnetosphere",POWER(Upgrades!$U$11,J177),1)*IF(Upgrades!$T$12="Magnetosphere",POWER(Upgrades!$U$12,K177),1))+(IF(I177=0,0,(Upgrades!$G$10+I177*Upgrades!$H$10)*POWER(Upgrades!$I$10,I177)))*(IF(Upgrades!$T$6="Orbital Resonance",POWER(Upgrades!$U$6,E177),1)*IF(Upgrades!$T$7="Orbital Resonance",POWER(Upgrades!$U$7,F177),1)*IF(Upgrades!$T$8="Orbital Resonance",POWER(Upgrades!$U$8,G177),1)*IF(Upgrades!$T$9="Orbital Resonance",POWER(Upgrades!$U$9,H177),1)*IF(Upgrades!$T$11="Orbital Resonance",POWER(Upgrades!$U$11,J177),1)*IF(Upgrades!$T$12="Orbital Resonance",POWER(Upgrades!$U$12,K177),1))+(IF(J177=0,0,(Upgrades!$G$11+J177*Upgrades!$H$11)*POWER(Upgrades!$I$11,J177)))*(IF(Upgrades!$T$6="Heliopause",POWER(Upgrades!$U$6,E177),1)*IF(Upgrades!$T$7="Heliopause",POWER(Upgrades!$U$7,F177),1)*IF(Upgrades!$T$8="Heliopause",POWER(Upgrades!$U$8,G177),1)*IF(Upgrades!$T$9="Heliopause",POWER(Upgrades!$U$9,H177),1)*IF(Upgrades!$T$10="Heliopause",POWER(Upgrades!$U$10,I177),1)*IF(Upgrades!$T$12="Heliopause",POWER(Upgrades!$U$12,K177),1))+(IF(K177=0,0,(Upgrades!$G$12+K177*Upgrades!$H$12)*POWER(Upgrades!$I$12,K177)))*(IF(Upgrades!$T$6="First Photons",POWER(Upgrades!$U$6,E177),1)*IF(Upgrades!$T$7="First Photons",POWER(Upgrades!$U$7,F177),1)*IF(Upgrades!$T$8="First Photons",POWER(Upgrades!$U$8,G177),1)*IF(Upgrades!$T$9="First Photons",POWER(Upgrades!$U$9,H177),1)*IF(Upgrades!$T$10="First Photons",POWER(Upgrades!$U$10,I177),1)*IF(Upgrades!$T$11="First Photons",POWER(Upgrades!$U$11,J177),1)))*POWER(Upgrades!$P$6,E177)*POWER(Upgrades!$P$7,F177)*POWER(Upgrades!$P$8,G177)*POWER(Upgrades!$P$9,H177)*POWER(Upgrades!$P$10,I177)*POWER(Upgrades!$P$11,J177)*POWER(Upgrades!$P$12,K177)</f>
        <v>11.2</v>
      </c>
      <c r="O177" s="28" t="n">
        <f aca="false">((IF(E177=0,0,(Upgrades!$M$6+E177*Upgrades!$N$6)*POWER(Upgrades!$O$6,E177)))*(IF(Upgrades!$T$7="Solar Wind",POWER(Upgrades!$U$7,F177),1)*IF(Upgrades!$T$8="Solar Wind",POWER(Upgrades!$U$8,G177),1)*IF(Upgrades!$T$9="Solar Wind",POWER(Upgrades!$U$9,H177),1)*IF(Upgrades!$T$10="Solar Wind",POWER(Upgrades!$U$10,I177),1)*IF(Upgrades!$T$11="Solar Wind",POWER(Upgrades!$U$11,J177),1)*IF(Upgrades!$T$12="Solar Wind",POWER(Upgrades!$U$12,K177),1))+(IF(F177=0,0,(Upgrades!$M$7+F177*Upgrades!$N$7)*POWER(Upgrades!$O$7,F177)))*(IF(Upgrades!$T$6="Asteroid Belt",POWER(Upgrades!$U$6,E177),1)*IF(Upgrades!$T$8="Asteroid Belt",POWER(Upgrades!$U$8,G177),1)*IF(Upgrades!$T$9="Asteroid Belt",POWER(Upgrades!$U$9,H177),1)*IF(Upgrades!$T$10="Asteroid Belt",POWER(Upgrades!$U$10,I177),1)*IF(Upgrades!$T$11="Asteroid Belt",POWER(Upgrades!$U$11,J177),1)*IF(Upgrades!$T$12="Asteroid Belt",POWER(Upgrades!$U$12,K177),1))+(IF(G177=0,0,(Upgrades!$M$8+G177*Upgrades!$N$8)*POWER(Upgrades!$O$8,G177)))*(IF(Upgrades!$T$6="Stellar Coupling",POWER(Upgrades!$U$6,E177),1)*IF(Upgrades!$T$7="Stellar Coupling",POWER(Upgrades!$U$7,F177),1)*IF(Upgrades!$T$9="Stellar Coupling",POWER(Upgrades!$U$9,H177),1)*IF(Upgrades!$T$10="Stellar Coupling",POWER(Upgrades!$U$10,I177),1)*IF(Upgrades!$T$11="Stellar Coupling",POWER(Upgrades!$U$11,J177),1)*IF(Upgrades!$T$12="Stellar Coupling",POWER(Upgrades!$U$12,K177),1))+(IF(H177=0,0,(Upgrades!$M$9+H177*Upgrades!$N$9)*POWER(Upgrades!$O$9,H177)))*(IF(Upgrades!$T$6="Magnetosphere",POWER(Upgrades!$U$6,E177),1)*IF(Upgrades!$T$7="Magnetosphere",POWER(Upgrades!$U$7,F177),1)*IF(Upgrades!$T$8="Magnetosphere",POWER(Upgrades!$U$8,G177),1)*IF(Upgrades!$T$10="Magnetosphere",POWER(Upgrades!$U$10,I177),1)*IF(Upgrades!$T$11="Magnetosphere",POWER(Upgrades!$U$11,J177),1)*IF(Upgrades!$T$12="Magnetosphere",POWER(Upgrades!$U$12,K177),1))+(IF(I177=0,0,(Upgrades!$M$10+I177*Upgrades!$N$10)*POWER(Upgrades!$O$10,I177)))*(IF(Upgrades!$T$6="Orbital Resonance",POWER(Upgrades!$U$6,E177),1)*IF(Upgrades!$T$7="Orbital Resonance",POWER(Upgrades!$U$7,F177),1)*IF(Upgrades!$T$8="Orbital Resonance",POWER(Upgrades!$U$8,G177),1)*IF(Upgrades!$T$9="Orbital Resonance",POWER(Upgrades!$U$9,H177),1)*IF(Upgrades!$T$11="Orbital Resonance",POWER(Upgrades!$U$11,J177),1)*IF(Upgrades!$T$12="Orbital Resonance",POWER(Upgrades!$U$12,K177),1))+(IF(J177=0,0,(Upgrades!$M$11+J177*Upgrades!$N$11)*POWER(Upgrades!$O$11,J177)))*(IF(Upgrades!$T$6="Heliopause",POWER(Upgrades!$U$6,E177),1)*IF(Upgrades!$T$7="Heliopause",POWER(Upgrades!$U$7,F177),1)*IF(Upgrades!$T$8="Heliopause",POWER(Upgrades!$U$8,G177),1)*IF(Upgrades!$T$9="Heliopause",POWER(Upgrades!$U$9,H177),1)*IF(Upgrades!$T$10="Heliopause",POWER(Upgrades!$U$10,I177),1)*IF(Upgrades!$T$12="Heliopause",POWER(Upgrades!$U$12,K177),1))+(IF(K177=0,0,(Upgrades!$M$12+K177*Upgrades!$N$12)*POWER(Upgrades!$O$12,K177)))*(IF(Upgrades!$T$6="First Photons",POWER(Upgrades!$U$6,E177),1)*IF(Upgrades!$T$7="First Photons",POWER(Upgrades!$U$7,F177),1)*IF(Upgrades!$T$8="First Photons",POWER(Upgrades!$U$8,G177),1)*IF(Upgrades!$T$9="First Photons",POWER(Upgrades!$U$9,H177),1)*IF(Upgrades!$T$10="First Photons",POWER(Upgrades!$U$10,I177),1)*IF(Upgrades!$T$11="First Photons",POWER(Upgrades!$U$11,J177),1)))*POWER(Upgrades!$R$6,E177)*POWER(Upgrades!$R$7,F177)*POWER(Upgrades!$R$8,G177)*POWER(Upgrades!$R$9,H177)*POWER(Upgrades!$R$10,I177)*POWER(Upgrades!$R$11,J177)*POWER(Upgrades!$R$12,K177)</f>
        <v>0</v>
      </c>
      <c r="P177" s="27" t="n">
        <f aca="false">IF(L177=1,0,M177*Parameters!$B$10/60*Parameters!$B$11*10)</f>
        <v>0</v>
      </c>
      <c r="Q177" s="27" t="n">
        <f aca="false">IF(L177=1,0,O177*M177*10)</f>
        <v>0</v>
      </c>
      <c r="R177" s="27" t="n">
        <f aca="false">IF(L177=1,0,N177*10)</f>
        <v>0</v>
      </c>
      <c r="S177" s="27" t="n">
        <f aca="false">P177+Q177+R177</f>
        <v>0</v>
      </c>
      <c r="T177" s="21" t="n">
        <f aca="false">C177+S177</f>
        <v>18.6730249835055</v>
      </c>
      <c r="U177" s="34" t="str">
        <f aca="false">AX177</f>
        <v/>
      </c>
      <c r="V177" s="21" t="n">
        <f aca="false">IF(U177="",0,IF(U177="transition",0,IF(U177="SW",AG177,IF(U177="AB",AH177,IF(U177="SC",AI177,IF(U177="Mag",AJ177,IF(U177="OR",AK177,IF(U177="HP",AL177,IF(U177="FP",AM177,0)))))))))</f>
        <v>0</v>
      </c>
      <c r="W177" s="27" t="n">
        <f aca="false">IF(U177="OR",Upgrades!$F$10,IF(U177="HP",Upgrades!$F$11,IF(U177="transition",-Parameters!$B$18,0)))</f>
        <v>0</v>
      </c>
      <c r="X177" s="21" t="n">
        <f aca="false">T177-V177</f>
        <v>18.6730249835055</v>
      </c>
      <c r="Y177" s="30" t="n">
        <f aca="false">M177*Parameters!$B$10/60*Parameters!$B$11+O177*M177+N177</f>
        <v>20.55</v>
      </c>
      <c r="Z177" s="35" t="str">
        <f aca="false">IF(U177="transition","→ Tier 2 (Stellar Neighborhood)",IF(U177="FP","First Photons — light begins, system quickens",IF(U177="HP","Heliopause acquired",IF(U177="OR","Orbital Resonance — passive multiplier active",IF(AND(AO177=1,L177=0,AN177&lt;&gt;1),"Cohesion ready (waiting on completionist upgrades)","")))))</f>
        <v/>
      </c>
      <c r="AA177" s="27" t="n">
        <f aca="false">(IF(E177=0,0,(Upgrades!$G$6+E177*Upgrades!$H$6)*POWER(Upgrades!$I$6,E177)))*(IF(Upgrades!$T$7="Solar Wind",POWER(Upgrades!$U$7,F177),1)*IF(Upgrades!$T$8="Solar Wind",POWER(Upgrades!$U$8,G177),1)*IF(Upgrades!$T$9="Solar Wind",POWER(Upgrades!$U$9,H177),1)*IF(Upgrades!$T$10="Solar Wind",POWER(Upgrades!$U$10,I177),1)*IF(Upgrades!$T$11="Solar Wind",POWER(Upgrades!$U$11,J177),1)*IF(Upgrades!$T$12="Solar Wind",POWER(Upgrades!$U$12,K177),1))*POWER(Upgrades!$P$6,E177)*POWER(Upgrades!$P$7,F177)*POWER(Upgrades!$P$8,G177)*POWER(Upgrades!$P$9,H177)*POWER(Upgrades!$P$10,I177)*POWER(Upgrades!$P$11,J177)*POWER(Upgrades!$P$12,K177)*60</f>
        <v>72</v>
      </c>
      <c r="AB177" s="27" t="n">
        <f aca="false">(IF(F177=0,0,(Upgrades!$G$7+F177*Upgrades!$H$7)*POWER(Upgrades!$I$7,F177)))*(IF(Upgrades!$T$6="Asteroid Belt",POWER(Upgrades!$U$6,E177),1)*IF(Upgrades!$T$8="Asteroid Belt",POWER(Upgrades!$U$8,G177),1)*IF(Upgrades!$T$9="Asteroid Belt",POWER(Upgrades!$U$9,H177),1)*IF(Upgrades!$T$10="Asteroid Belt",POWER(Upgrades!$U$10,I177),1)*IF(Upgrades!$T$11="Asteroid Belt",POWER(Upgrades!$U$11,J177),1)*IF(Upgrades!$T$12="Asteroid Belt",POWER(Upgrades!$U$12,K177),1))*POWER(Upgrades!$P$6,E177)*POWER(Upgrades!$P$7,F177)*POWER(Upgrades!$P$8,G177)*POWER(Upgrades!$P$9,H177)*POWER(Upgrades!$P$10,I177)*POWER(Upgrades!$P$11,J177)*POWER(Upgrades!$P$12,K177)*60</f>
        <v>150</v>
      </c>
      <c r="AC177" s="27" t="n">
        <f aca="false">(IF(G177=0,0,(Upgrades!$J$8+G177*Upgrades!$K$8)*POWER(Upgrades!$L$8,G177)))*(IF(Upgrades!$T$6="Stellar Coupling",POWER(Upgrades!$U$6,E177),1)*IF(Upgrades!$T$7="Stellar Coupling",POWER(Upgrades!$U$7,F177),1)*IF(Upgrades!$T$9="Stellar Coupling",POWER(Upgrades!$U$9,H177),1)*IF(Upgrades!$T$10="Stellar Coupling",POWER(Upgrades!$U$10,I177),1)*IF(Upgrades!$T$11="Stellar Coupling",POWER(Upgrades!$U$11,J177),1)*IF(Upgrades!$T$12="Stellar Coupling",POWER(Upgrades!$U$12,K177),1))*POWER(Upgrades!$Q$6,E177)*POWER(Upgrades!$Q$7,F177)*POWER(Upgrades!$Q$8,G177)*POWER(Upgrades!$Q$9,H177)*POWER(Upgrades!$Q$10,I177)*POWER(Upgrades!$Q$11,J177)*POWER(Upgrades!$Q$12,K177)*Parameters!$B$10*Parameters!$B$11</f>
        <v>441</v>
      </c>
      <c r="AD177" s="27" t="n">
        <f aca="false">(IF(H177=0,0,(Upgrades!$G$9+H177*Upgrades!$H$9)*POWER(Upgrades!$I$9,H177)))*(IF(Upgrades!$T$6="Magnetosphere",POWER(Upgrades!$U$6,E177),1)*IF(Upgrades!$T$7="Magnetosphere",POWER(Upgrades!$U$7,F177),1)*IF(Upgrades!$T$8="Magnetosphere",POWER(Upgrades!$U$8,G177),1)*IF(Upgrades!$T$10="Magnetosphere",POWER(Upgrades!$U$10,I177),1)*IF(Upgrades!$T$11="Magnetosphere",POWER(Upgrades!$U$11,J177),1)*IF(Upgrades!$T$12="Magnetosphere",POWER(Upgrades!$U$12,K177),1))*POWER(Upgrades!$P$6,E177)*POWER(Upgrades!$P$7,F177)*POWER(Upgrades!$P$8,G177)*POWER(Upgrades!$P$9,H177)*POWER(Upgrades!$P$10,I177)*POWER(Upgrades!$P$11,J177)*POWER(Upgrades!$P$12,K177)*60</f>
        <v>375</v>
      </c>
      <c r="AE177" s="27" t="n">
        <f aca="false">(IF(K177=0,0,(Upgrades!$G$12+K177*Upgrades!$H$12)*POWER(Upgrades!$I$12,K177)))*(IF(Upgrades!$T$6="First Photons",POWER(Upgrades!$U$6,E177),1)*IF(Upgrades!$T$7="First Photons",POWER(Upgrades!$U$7,F177),1)*IF(Upgrades!$T$8="First Photons",POWER(Upgrades!$U$8,G177),1)*IF(Upgrades!$T$9="First Photons",POWER(Upgrades!$U$9,H177),1)*IF(Upgrades!$T$10="First Photons",POWER(Upgrades!$U$10,I177),1)*IF(Upgrades!$T$11="First Photons",POWER(Upgrades!$U$11,J177),1))*POWER(Upgrades!$P$6,E177)*POWER(Upgrades!$P$7,F177)*POWER(Upgrades!$P$8,G177)*POWER(Upgrades!$P$9,H177)*POWER(Upgrades!$P$10,I177)*POWER(Upgrades!$P$11,J177)*POWER(Upgrades!$P$12,K177)*60</f>
        <v>75</v>
      </c>
      <c r="AF177" s="27" t="n">
        <f aca="false">Parameters!$B$9*POWER(Upgrades!$Q$6,E177)*POWER(Upgrades!$Q$7,F177)*POWER(Upgrades!$Q$8,G177)*POWER(Upgrades!$Q$9,H177)*POWER(Upgrades!$Q$10,I177)*POWER(Upgrades!$Q$11,J177)*POWER(Upgrades!$Q$12,K177)*(Parameters!$B$10*Parameters!$B$11+O177*60)</f>
        <v>120</v>
      </c>
      <c r="AG177" s="21" t="n">
        <f aca="false">IF(E177&gt;=Upgrades!$E$6,"",Upgrades!$C$6*POWER(Upgrades!$D$6,E177))</f>
        <v>37.4517507383159</v>
      </c>
      <c r="AH177" s="21" t="n">
        <f aca="false">IF(F177&gt;=Upgrades!$E$7,"",Upgrades!$C$7*POWER(Upgrades!$D$7,F177))</f>
        <v>80.9111547141581</v>
      </c>
      <c r="AI177" s="21" t="n">
        <f aca="false">IF(G177&gt;=Upgrades!$E$8,"",Upgrades!$C$8*POWER(Upgrades!$D$8,G177))</f>
        <v>231.9097088</v>
      </c>
      <c r="AJ177" s="21" t="str">
        <f aca="false">IF(H177&gt;=Upgrades!$E$9,"",Upgrades!$C$9*POWER(Upgrades!$D$9,H177))</f>
        <v/>
      </c>
      <c r="AK177" s="21" t="str">
        <f aca="false">IF(I177&gt;=Upgrades!$E$10,"",Upgrades!$C$10*POWER(Upgrades!$D$10,I177))</f>
        <v/>
      </c>
      <c r="AL177" s="21" t="str">
        <f aca="false">IF(J177&gt;=Upgrades!$E$11,"",Upgrades!$C$11*POWER(Upgrades!$D$11,J177))</f>
        <v/>
      </c>
      <c r="AM177" s="21" t="str">
        <f aca="false">IF(K177&gt;=Upgrades!$E$12,"",Upgrades!$C$12*POWER(Upgrades!$D$12,K177))</f>
        <v/>
      </c>
      <c r="AN177" s="26" t="str">
        <f aca="false">IF(AND(D177&gt;=Parameters!$B$18,(H177&gt;=Upgrades!$E$9)*(K177&gt;=Upgrades!$E$12)=1,L177=0),1,"")</f>
        <v/>
      </c>
      <c r="AO177" s="26" t="str">
        <f aca="false">IF(AND(D177&gt;=Parameters!$B$18,L177=0),1,"")</f>
        <v/>
      </c>
      <c r="AP177" s="21" t="n">
        <f aca="false">MIN(IF(ISNUMBER(AK177),AK177,9000000000000000),IF(ISNUMBER(AL177),AL177,9000000000000000),IF(ISNUMBER(AM177),AM177,9000000000000000))</f>
        <v>9000000000000000</v>
      </c>
      <c r="AQ177" s="21" t="n">
        <f aca="false">MIN(IF(ISNUMBER(AG177),AG177,9000000000000000),IF(ISNUMBER(AH177),AH177,9000000000000000),IF(ISNUMBER(AI177),AI177,9000000000000000),IF(ISNUMBER(AJ177),AJ177,9000000000000000))</f>
        <v>37.4517507383159</v>
      </c>
      <c r="AR177" s="32" t="b">
        <f aca="false">IF(AW177&gt;Parameters!$B$21*(MAX(IF(AND(NOT(AND(AO177=1,AN177&lt;&gt;1)),ISNUMBER(AG177),AG177&lt;=T177),AS177,0),IF(AND(NOT(AND(AO177=1,AN177&lt;&gt;1)),ISNUMBER(AH177),AH177&lt;=T177),AT177,0),IF(AND(NOT(AND(AO177=1,AN177&lt;&gt;1)),ISNUMBER(AI177),AI177&lt;=T177),AU177,0),IF(AND(ISNUMBER(AJ177),AJ177&lt;=T177),AV177,0))),TRUE(),FALSE())</f>
        <v>1</v>
      </c>
      <c r="AS177" s="33" t="n">
        <f aca="false">IFERROR(Upgrades!$H$6*(POWER(Upgrades!$P$6,E177)*POWER(Upgrades!$P$7,F177)*POWER(Upgrades!$P$8,G177)*POWER(Upgrades!$P$9,H177)*POWER(Upgrades!$P$10,I177)*POWER(Upgrades!$P$11,J177)*POWER(Upgrades!$P$12,K177))*(IF(Upgrades!$T$7="Solar Wind",POWER(Upgrades!$U$7,F177),1)*IF(Upgrades!$T$8="Solar Wind",POWER(Upgrades!$U$8,G177),1)*IF(Upgrades!$T$9="Solar Wind",POWER(Upgrades!$U$9,H177),1)*IF(Upgrades!$T$10="Solar Wind",POWER(Upgrades!$U$10,I177),1)*IF(Upgrades!$T$11="Solar Wind",POWER(Upgrades!$U$11,J177),1)*IF(Upgrades!$T$12="Solar Wind",POWER(Upgrades!$U$12,K177),1))/AG177,0)</f>
        <v>0.0026701021455238</v>
      </c>
      <c r="AT177" s="33" t="n">
        <f aca="false">IFERROR(Upgrades!$H$7*(POWER(Upgrades!$P$6,E177)*POWER(Upgrades!$P$7,F177)*POWER(Upgrades!$P$8,G177)*POWER(Upgrades!$P$9,H177)*POWER(Upgrades!$P$10,I177)*POWER(Upgrades!$P$11,J177)*POWER(Upgrades!$P$12,K177))*(IF(Upgrades!$T$6="Asteroid Belt",POWER(Upgrades!$U$6,E177),1)*IF(Upgrades!$T$8="Asteroid Belt",POWER(Upgrades!$U$8,G177),1)*IF(Upgrades!$T$9="Asteroid Belt",POWER(Upgrades!$U$9,H177),1)*IF(Upgrades!$T$10="Asteroid Belt",POWER(Upgrades!$U$10,I177),1)*IF(Upgrades!$T$11="Asteroid Belt",POWER(Upgrades!$U$11,J177),1)*IF(Upgrades!$T$12="Asteroid Belt",POWER(Upgrades!$U$12,K177),1))/AH177,0)</f>
        <v>0.00308980882652332</v>
      </c>
      <c r="AU177" s="33" t="n">
        <f aca="false">IFERROR(Upgrades!$K$8*(POWER(Upgrades!$Q$6,E177)*POWER(Upgrades!$Q$7,F177)*POWER(Upgrades!$Q$8,G177)*POWER(Upgrades!$Q$9,H177)*POWER(Upgrades!$Q$10,I177)*POWER(Upgrades!$Q$11,J177)*POWER(Upgrades!$Q$12,K177))*(IF(Upgrades!$T$6="Stellar Coupling",POWER(Upgrades!$U$6,E177),1)*IF(Upgrades!$T$7="Stellar Coupling",POWER(Upgrades!$U$7,F177),1)*IF(Upgrades!$T$9="Stellar Coupling",POWER(Upgrades!$U$9,H177),1)*IF(Upgrades!$T$10="Stellar Coupling",POWER(Upgrades!$U$10,I177),1)*IF(Upgrades!$T$11="Stellar Coupling",POWER(Upgrades!$U$11,J177),1)*IF(Upgrades!$T$12="Stellar Coupling",POWER(Upgrades!$U$12,K177),1))*Parameters!$B$10*Parameters!$B$11/60/AI177,0)</f>
        <v>0.00452762415783776</v>
      </c>
      <c r="AV177" s="33" t="n">
        <f aca="false">IFERROR(Upgrades!$H$9*(POWER(Upgrades!$P$6,E177)*POWER(Upgrades!$P$7,F177)*POWER(Upgrades!$P$8,G177)*POWER(Upgrades!$P$9,H177)*POWER(Upgrades!$P$10,I177)*POWER(Upgrades!$P$11,J177)*POWER(Upgrades!$P$12,K177))*(IF(Upgrades!$T$6="Magnetosphere",POWER(Upgrades!$U$6,E177),1)*IF(Upgrades!$T$7="Magnetosphere",POWER(Upgrades!$U$7,F177),1)*IF(Upgrades!$T$8="Magnetosphere",POWER(Upgrades!$U$8,G177),1)*IF(Upgrades!$T$10="Magnetosphere",POWER(Upgrades!$U$10,I177),1)*IF(Upgrades!$T$11="Magnetosphere",POWER(Upgrades!$U$11,J177),1)*IF(Upgrades!$T$12="Magnetosphere",POWER(Upgrades!$U$12,K177),1))/AJ177,0)</f>
        <v>0</v>
      </c>
      <c r="AW177" s="33" t="n">
        <f aca="false">MAX(IF(I177&gt;0,0,IFERROR(0.25*N177/Upgrades!$C$10,0)),IF(J177&gt;0,0,IFERROR(0.5*((IF(G177=0,0,(Upgrades!$J$8+G177*Upgrades!$K$8)*POWER(Upgrades!$L$8,G177)))*(IF(Upgrades!$T$6="Stellar Coupling",POWER(Upgrades!$U$6,E177),1)*IF(Upgrades!$T$7="Stellar Coupling",POWER(Upgrades!$U$7,F177),1)*IF(Upgrades!$T$9="Stellar Coupling",POWER(Upgrades!$U$9,H177),1)*IF(Upgrades!$T$10="Stellar Coupling",POWER(Upgrades!$U$10,I177),1)*IF(Upgrades!$T$11="Stellar Coupling",POWER(Upgrades!$U$11,J177),1)*IF(Upgrades!$T$12="Stellar Coupling",POWER(Upgrades!$U$12,K177),1))*(POWER(Upgrades!$Q$6,E177)*POWER(Upgrades!$Q$7,F177)*POWER(Upgrades!$Q$8,G177)*POWER(Upgrades!$Q$9,H177)*POWER(Upgrades!$Q$10,I177)*POWER(Upgrades!$Q$11,J177)*POWER(Upgrades!$Q$12,K177))*Parameters!$B$10*Parameters!$B$11/60)/Upgrades!$C$11,0)),IF(K177&gt;0,0,IFERROR((1*(POWER(Upgrades!$P$6,E177)*POWER(Upgrades!$P$7,F177)*POWER(Upgrades!$P$8,G177)*POWER(Upgrades!$P$9,H177)*POWER(Upgrades!$P$10,I177)*POWER(Upgrades!$P$11,J177)*POWER(Upgrades!$P$12,K177))+0.2*M177*Parameters!$B$10*Parameters!$B$11/60)/Upgrades!$C$12,0)),IF(AND(ISNUMBER(AG177),AG177&gt;T177),AS177,0),IF(AND(ISNUMBER(AH177),AH177&gt;T177),AT177,0),IF(AND(ISNUMBER(AI177),AI177&gt;T177),AU177,0),IF(AND(ISNUMBER(AJ177),AJ177&gt;T177),AV177,0))</f>
        <v>0.00452762415783776</v>
      </c>
      <c r="AX177" s="29" t="str">
        <f aca="false">IF(AN177=1,"transition",IF(MIN(IF(AND(I177=0,ISNUMBER(AK177),AK177&lt;=T177),AK177,9000000000000000),IF(AND(J177=0,ISNUMBER(AL177),AL177&lt;=T177),AL177,9000000000000000),IF(AND(K177=0,ISNUMBER(AM177),AM177&lt;=T177),AM177,9000000000000000))&lt;9000000000000000,IF(AND(AND(I177=0,ISNUMBER(AK177),AK177&lt;=T177),AK177=MIN(IF(AND(I177=0,ISNUMBER(AK177),AK177&lt;=T177),AK177,9000000000000000),IF(AND(J177=0,ISNUMBER(AL177),AL177&lt;=T177),AL177,9000000000000000),IF(AND(K177=0,ISNUMBER(AM177),AM177&lt;=T177),AM177,9000000000000000))),"OR",IF(AND(AND(J177=0,ISNUMBER(AL177),AL177&lt;=T177),AL177=MIN(IF(AND(I177=0,ISNUMBER(AK177),AK177&lt;=T177),AK177,9000000000000000),IF(AND(J177=0,ISNUMBER(AL177),AL177&lt;=T177),AL177,9000000000000000),IF(AND(K177=0,ISNUMBER(AM177),AM177&lt;=T177),AM177,9000000000000000))),"HP","FP")),IF(AR177=TRUE(),"",IF(MAX(IF(AND(NOT(AND(AO177=1,AN177&lt;&gt;1)),ISNUMBER(AG177),AG177&lt;=T177),AS177,0),IF(AND(NOT(AND(AO177=1,AN177&lt;&gt;1)),ISNUMBER(AH177),AH177&lt;=T177),AT177,0),IF(AND(NOT(AND(AO177=1,AN177&lt;&gt;1)),ISNUMBER(AI177),AI177&lt;=T177),AU177,0),IF(AND(ISNUMBER(AJ177),AJ177&lt;=T177),AV177,0))&lt;=0,"",IF(AND(IF(AND(NOT(AND(AO177=1,AN177&lt;&gt;1)),ISNUMBER(AG177),AG177&lt;=T177),AS177,0)&gt;0,IF(AND(NOT(AND(AO177=1,AN177&lt;&gt;1)),ISNUMBER(AG177),AG177&lt;=T177),AS177,0)=MAX(IF(AND(NOT(AND(AO177=1,AN177&lt;&gt;1)),ISNUMBER(AG177),AG177&lt;=T177),AS177,0),IF(AND(NOT(AND(AO177=1,AN177&lt;&gt;1)),ISNUMBER(AH177),AH177&lt;=T177),AT177,0),IF(AND(NOT(AND(AO177=1,AN177&lt;&gt;1)),ISNUMBER(AI177),AI177&lt;=T177),AU177,0),IF(AND(ISNUMBER(AJ177),AJ177&lt;=T177),AV177,0))),"SW",IF(AND(IF(AND(NOT(AND(AO177=1,AN177&lt;&gt;1)),ISNUMBER(AH177),AH177&lt;=T177),AT177,0)&gt;0,IF(AND(NOT(AND(AO177=1,AN177&lt;&gt;1)),ISNUMBER(AH177),AH177&lt;=T177),AT177,0)=MAX(IF(AND(NOT(AND(AO177=1,AN177&lt;&gt;1)),ISNUMBER(AG177),AG177&lt;=T177),AS177,0),IF(AND(NOT(AND(AO177=1,AN177&lt;&gt;1)),ISNUMBER(AH177),AH177&lt;=T177),AT177,0),IF(AND(NOT(AND(AO177=1,AN177&lt;&gt;1)),ISNUMBER(AI177),AI177&lt;=T177),AU177,0),IF(AND(ISNUMBER(AJ177),AJ177&lt;=T177),AV177,0))),"AB",IF(AND(IF(AND(NOT(AND(AO177=1,AN177&lt;&gt;1)),ISNUMBER(AI177),AI177&lt;=T177),AU177,0)&gt;0,IF(AND(NOT(AND(AO177=1,AN177&lt;&gt;1)),ISNUMBER(AI177),AI177&lt;=T177),AU177,0)=MAX(IF(AND(NOT(AND(AO177=1,AN177&lt;&gt;1)),ISNUMBER(AG177),AG177&lt;=T177),AS177,0),IF(AND(NOT(AND(AO177=1,AN177&lt;&gt;1)),ISNUMBER(AH177),AH177&lt;=T177),AT177,0),IF(AND(NOT(AND(AO177=1,AN177&lt;&gt;1)),ISNUMBER(AI177),AI177&lt;=T177),AU177,0),IF(AND(ISNUMBER(AJ177),AJ177&lt;=T177),AV177,0))),"SC","Mag")))))))</f>
        <v/>
      </c>
    </row>
    <row r="178" customFormat="false" ht="15" hidden="false" customHeight="false" outlineLevel="0" collapsed="false">
      <c r="A178" s="26" t="n">
        <v>173</v>
      </c>
      <c r="B178" s="27" t="n">
        <f aca="false">A178*10/60</f>
        <v>28.8333333333333</v>
      </c>
      <c r="C178" s="21" t="n">
        <f aca="false">X177</f>
        <v>18.6730249835055</v>
      </c>
      <c r="D178" s="27" t="n">
        <f aca="false">D177+W177</f>
        <v>0</v>
      </c>
      <c r="E178" s="26" t="n">
        <f aca="false">E177+IF(U177="SW",1,0)</f>
        <v>12</v>
      </c>
      <c r="F178" s="26" t="n">
        <f aca="false">F177+IF(U177="AB",1,0)</f>
        <v>10</v>
      </c>
      <c r="G178" s="26" t="n">
        <f aca="false">G177+IF(U177="SC",1,0)</f>
        <v>7</v>
      </c>
      <c r="H178" s="26" t="n">
        <f aca="false">H177+IF(U177="Mag",1,0)</f>
        <v>5</v>
      </c>
      <c r="I178" s="26" t="n">
        <f aca="false">MAX(I177,IF(U177="OR",1,0))</f>
        <v>1</v>
      </c>
      <c r="J178" s="26" t="n">
        <f aca="false">MAX(J177,IF(U177="HP",1,0))</f>
        <v>1</v>
      </c>
      <c r="K178" s="26" t="n">
        <f aca="false">MAX(K177,IF(U177="FP",1,0))</f>
        <v>1</v>
      </c>
      <c r="L178" s="26" t="n">
        <f aca="false">MAX(L177,IF(U177="transition",1,0))</f>
        <v>1</v>
      </c>
      <c r="M178" s="28" t="n">
        <f aca="false">(Parameters!$B$9+(IF(E178=0,0,(Upgrades!$J$6+E178*Upgrades!$K$6)*POWER(Upgrades!$L$6,E178)))*(IF(Upgrades!$T$7="Solar Wind",POWER(Upgrades!$U$7,F178),1)*IF(Upgrades!$T$8="Solar Wind",POWER(Upgrades!$U$8,G178),1)*IF(Upgrades!$T$9="Solar Wind",POWER(Upgrades!$U$9,H178),1)*IF(Upgrades!$T$10="Solar Wind",POWER(Upgrades!$U$10,I178),1)*IF(Upgrades!$T$11="Solar Wind",POWER(Upgrades!$U$11,J178),1)*IF(Upgrades!$T$12="Solar Wind",POWER(Upgrades!$U$12,K178),1))+(IF(F178=0,0,(Upgrades!$J$7+F178*Upgrades!$K$7)*POWER(Upgrades!$L$7,F178)))*(IF(Upgrades!$T$6="Asteroid Belt",POWER(Upgrades!$U$6,E178),1)*IF(Upgrades!$T$8="Asteroid Belt",POWER(Upgrades!$U$8,G178),1)*IF(Upgrades!$T$9="Asteroid Belt",POWER(Upgrades!$U$9,H178),1)*IF(Upgrades!$T$10="Asteroid Belt",POWER(Upgrades!$U$10,I178),1)*IF(Upgrades!$T$11="Asteroid Belt",POWER(Upgrades!$U$11,J178),1)*IF(Upgrades!$T$12="Asteroid Belt",POWER(Upgrades!$U$12,K178),1))+(IF(G178=0,0,(Upgrades!$J$8+G178*Upgrades!$K$8)*POWER(Upgrades!$L$8,G178)))*(IF(Upgrades!$T$6="Stellar Coupling",POWER(Upgrades!$U$6,E178),1)*IF(Upgrades!$T$7="Stellar Coupling",POWER(Upgrades!$U$7,F178),1)*IF(Upgrades!$T$9="Stellar Coupling",POWER(Upgrades!$U$9,H178),1)*IF(Upgrades!$T$10="Stellar Coupling",POWER(Upgrades!$U$10,I178),1)*IF(Upgrades!$T$11="Stellar Coupling",POWER(Upgrades!$U$11,J178),1)*IF(Upgrades!$T$12="Stellar Coupling",POWER(Upgrades!$U$12,K178),1))+(IF(H178=0,0,(Upgrades!$J$9+H178*Upgrades!$K$9)*POWER(Upgrades!$L$9,H178)))*(IF(Upgrades!$T$6="Magnetosphere",POWER(Upgrades!$U$6,E178),1)*IF(Upgrades!$T$7="Magnetosphere",POWER(Upgrades!$U$7,F178),1)*IF(Upgrades!$T$8="Magnetosphere",POWER(Upgrades!$U$8,G178),1)*IF(Upgrades!$T$10="Magnetosphere",POWER(Upgrades!$U$10,I178),1)*IF(Upgrades!$T$11="Magnetosphere",POWER(Upgrades!$U$11,J178),1)*IF(Upgrades!$T$12="Magnetosphere",POWER(Upgrades!$U$12,K178),1))+(IF(I178=0,0,(Upgrades!$J$10+I178*Upgrades!$K$10)*POWER(Upgrades!$L$10,I178)))*(IF(Upgrades!$T$6="Orbital Resonance",POWER(Upgrades!$U$6,E178),1)*IF(Upgrades!$T$7="Orbital Resonance",POWER(Upgrades!$U$7,F178),1)*IF(Upgrades!$T$8="Orbital Resonance",POWER(Upgrades!$U$8,G178),1)*IF(Upgrades!$T$9="Orbital Resonance",POWER(Upgrades!$U$9,H178),1)*IF(Upgrades!$T$11="Orbital Resonance",POWER(Upgrades!$U$11,J178),1)*IF(Upgrades!$T$12="Orbital Resonance",POWER(Upgrades!$U$12,K178),1))+(IF(J178=0,0,(Upgrades!$J$11+J178*Upgrades!$K$11)*POWER(Upgrades!$L$11,J178)))*(IF(Upgrades!$T$6="Heliopause",POWER(Upgrades!$U$6,E178),1)*IF(Upgrades!$T$7="Heliopause",POWER(Upgrades!$U$7,F178),1)*IF(Upgrades!$T$8="Heliopause",POWER(Upgrades!$U$8,G178),1)*IF(Upgrades!$T$9="Heliopause",POWER(Upgrades!$U$9,H178),1)*IF(Upgrades!$T$10="Heliopause",POWER(Upgrades!$U$10,I178),1)*IF(Upgrades!$T$12="Heliopause",POWER(Upgrades!$U$12,K178),1))+(IF(K178=0,0,(Upgrades!$J$12+K178*Upgrades!$K$12)*POWER(Upgrades!$L$12,K178)))*(IF(Upgrades!$T$6="First Photons",POWER(Upgrades!$U$6,E178),1)*IF(Upgrades!$T$7="First Photons",POWER(Upgrades!$U$7,F178),1)*IF(Upgrades!$T$8="First Photons",POWER(Upgrades!$U$8,G178),1)*IF(Upgrades!$T$9="First Photons",POWER(Upgrades!$U$9,H178),1)*IF(Upgrades!$T$10="First Photons",POWER(Upgrades!$U$10,I178),1)*IF(Upgrades!$T$11="First Photons",POWER(Upgrades!$U$11,J178),1)))*POWER(Upgrades!$Q$6,E178)*POWER(Upgrades!$Q$7,F178)*POWER(Upgrades!$Q$8,G178)*POWER(Upgrades!$Q$9,H178)*POWER(Upgrades!$Q$10,I178)*POWER(Upgrades!$Q$11,J178)*POWER(Upgrades!$Q$12,K178)</f>
        <v>5.61</v>
      </c>
      <c r="N178" s="28" t="n">
        <f aca="false">((IF(E178=0,0,(Upgrades!$G$6+E178*Upgrades!$H$6)*POWER(Upgrades!$I$6,E178)))*(IF(Upgrades!$T$7="Solar Wind",POWER(Upgrades!$U$7,F178),1)*IF(Upgrades!$T$8="Solar Wind",POWER(Upgrades!$U$8,G178),1)*IF(Upgrades!$T$9="Solar Wind",POWER(Upgrades!$U$9,H178),1)*IF(Upgrades!$T$10="Solar Wind",POWER(Upgrades!$U$10,I178),1)*IF(Upgrades!$T$11="Solar Wind",POWER(Upgrades!$U$11,J178),1)*IF(Upgrades!$T$12="Solar Wind",POWER(Upgrades!$U$12,K178),1))+(IF(F178=0,0,(Upgrades!$G$7+F178*Upgrades!$H$7)*POWER(Upgrades!$I$7,F178)))*(IF(Upgrades!$T$6="Asteroid Belt",POWER(Upgrades!$U$6,E178),1)*IF(Upgrades!$T$8="Asteroid Belt",POWER(Upgrades!$U$8,G178),1)*IF(Upgrades!$T$9="Asteroid Belt",POWER(Upgrades!$U$9,H178),1)*IF(Upgrades!$T$10="Asteroid Belt",POWER(Upgrades!$U$10,I178),1)*IF(Upgrades!$T$11="Asteroid Belt",POWER(Upgrades!$U$11,J178),1)*IF(Upgrades!$T$12="Asteroid Belt",POWER(Upgrades!$U$12,K178),1))+(IF(G178=0,0,(Upgrades!$G$8+G178*Upgrades!$H$8)*POWER(Upgrades!$I$8,G178)))*(IF(Upgrades!$T$6="Stellar Coupling",POWER(Upgrades!$U$6,E178),1)*IF(Upgrades!$T$7="Stellar Coupling",POWER(Upgrades!$U$7,F178),1)*IF(Upgrades!$T$9="Stellar Coupling",POWER(Upgrades!$U$9,H178),1)*IF(Upgrades!$T$10="Stellar Coupling",POWER(Upgrades!$U$10,I178),1)*IF(Upgrades!$T$11="Stellar Coupling",POWER(Upgrades!$U$11,J178),1)*IF(Upgrades!$T$12="Stellar Coupling",POWER(Upgrades!$U$12,K178),1))+(IF(H178=0,0,(Upgrades!$G$9+H178*Upgrades!$H$9)*POWER(Upgrades!$I$9,H178)))*(IF(Upgrades!$T$6="Magnetosphere",POWER(Upgrades!$U$6,E178),1)*IF(Upgrades!$T$7="Magnetosphere",POWER(Upgrades!$U$7,F178),1)*IF(Upgrades!$T$8="Magnetosphere",POWER(Upgrades!$U$8,G178),1)*IF(Upgrades!$T$10="Magnetosphere",POWER(Upgrades!$U$10,I178),1)*IF(Upgrades!$T$11="Magnetosphere",POWER(Upgrades!$U$11,J178),1)*IF(Upgrades!$T$12="Magnetosphere",POWER(Upgrades!$U$12,K178),1))+(IF(I178=0,0,(Upgrades!$G$10+I178*Upgrades!$H$10)*POWER(Upgrades!$I$10,I178)))*(IF(Upgrades!$T$6="Orbital Resonance",POWER(Upgrades!$U$6,E178),1)*IF(Upgrades!$T$7="Orbital Resonance",POWER(Upgrades!$U$7,F178),1)*IF(Upgrades!$T$8="Orbital Resonance",POWER(Upgrades!$U$8,G178),1)*IF(Upgrades!$T$9="Orbital Resonance",POWER(Upgrades!$U$9,H178),1)*IF(Upgrades!$T$11="Orbital Resonance",POWER(Upgrades!$U$11,J178),1)*IF(Upgrades!$T$12="Orbital Resonance",POWER(Upgrades!$U$12,K178),1))+(IF(J178=0,0,(Upgrades!$G$11+J178*Upgrades!$H$11)*POWER(Upgrades!$I$11,J178)))*(IF(Upgrades!$T$6="Heliopause",POWER(Upgrades!$U$6,E178),1)*IF(Upgrades!$T$7="Heliopause",POWER(Upgrades!$U$7,F178),1)*IF(Upgrades!$T$8="Heliopause",POWER(Upgrades!$U$8,G178),1)*IF(Upgrades!$T$9="Heliopause",POWER(Upgrades!$U$9,H178),1)*IF(Upgrades!$T$10="Heliopause",POWER(Upgrades!$U$10,I178),1)*IF(Upgrades!$T$12="Heliopause",POWER(Upgrades!$U$12,K178),1))+(IF(K178=0,0,(Upgrades!$G$12+K178*Upgrades!$H$12)*POWER(Upgrades!$I$12,K178)))*(IF(Upgrades!$T$6="First Photons",POWER(Upgrades!$U$6,E178),1)*IF(Upgrades!$T$7="First Photons",POWER(Upgrades!$U$7,F178),1)*IF(Upgrades!$T$8="First Photons",POWER(Upgrades!$U$8,G178),1)*IF(Upgrades!$T$9="First Photons",POWER(Upgrades!$U$9,H178),1)*IF(Upgrades!$T$10="First Photons",POWER(Upgrades!$U$10,I178),1)*IF(Upgrades!$T$11="First Photons",POWER(Upgrades!$U$11,J178),1)))*POWER(Upgrades!$P$6,E178)*POWER(Upgrades!$P$7,F178)*POWER(Upgrades!$P$8,G178)*POWER(Upgrades!$P$9,H178)*POWER(Upgrades!$P$10,I178)*POWER(Upgrades!$P$11,J178)*POWER(Upgrades!$P$12,K178)</f>
        <v>11.2</v>
      </c>
      <c r="O178" s="28" t="n">
        <f aca="false">((IF(E178=0,0,(Upgrades!$M$6+E178*Upgrades!$N$6)*POWER(Upgrades!$O$6,E178)))*(IF(Upgrades!$T$7="Solar Wind",POWER(Upgrades!$U$7,F178),1)*IF(Upgrades!$T$8="Solar Wind",POWER(Upgrades!$U$8,G178),1)*IF(Upgrades!$T$9="Solar Wind",POWER(Upgrades!$U$9,H178),1)*IF(Upgrades!$T$10="Solar Wind",POWER(Upgrades!$U$10,I178),1)*IF(Upgrades!$T$11="Solar Wind",POWER(Upgrades!$U$11,J178),1)*IF(Upgrades!$T$12="Solar Wind",POWER(Upgrades!$U$12,K178),1))+(IF(F178=0,0,(Upgrades!$M$7+F178*Upgrades!$N$7)*POWER(Upgrades!$O$7,F178)))*(IF(Upgrades!$T$6="Asteroid Belt",POWER(Upgrades!$U$6,E178),1)*IF(Upgrades!$T$8="Asteroid Belt",POWER(Upgrades!$U$8,G178),1)*IF(Upgrades!$T$9="Asteroid Belt",POWER(Upgrades!$U$9,H178),1)*IF(Upgrades!$T$10="Asteroid Belt",POWER(Upgrades!$U$10,I178),1)*IF(Upgrades!$T$11="Asteroid Belt",POWER(Upgrades!$U$11,J178),1)*IF(Upgrades!$T$12="Asteroid Belt",POWER(Upgrades!$U$12,K178),1))+(IF(G178=0,0,(Upgrades!$M$8+G178*Upgrades!$N$8)*POWER(Upgrades!$O$8,G178)))*(IF(Upgrades!$T$6="Stellar Coupling",POWER(Upgrades!$U$6,E178),1)*IF(Upgrades!$T$7="Stellar Coupling",POWER(Upgrades!$U$7,F178),1)*IF(Upgrades!$T$9="Stellar Coupling",POWER(Upgrades!$U$9,H178),1)*IF(Upgrades!$T$10="Stellar Coupling",POWER(Upgrades!$U$10,I178),1)*IF(Upgrades!$T$11="Stellar Coupling",POWER(Upgrades!$U$11,J178),1)*IF(Upgrades!$T$12="Stellar Coupling",POWER(Upgrades!$U$12,K178),1))+(IF(H178=0,0,(Upgrades!$M$9+H178*Upgrades!$N$9)*POWER(Upgrades!$O$9,H178)))*(IF(Upgrades!$T$6="Magnetosphere",POWER(Upgrades!$U$6,E178),1)*IF(Upgrades!$T$7="Magnetosphere",POWER(Upgrades!$U$7,F178),1)*IF(Upgrades!$T$8="Magnetosphere",POWER(Upgrades!$U$8,G178),1)*IF(Upgrades!$T$10="Magnetosphere",POWER(Upgrades!$U$10,I178),1)*IF(Upgrades!$T$11="Magnetosphere",POWER(Upgrades!$U$11,J178),1)*IF(Upgrades!$T$12="Magnetosphere",POWER(Upgrades!$U$12,K178),1))+(IF(I178=0,0,(Upgrades!$M$10+I178*Upgrades!$N$10)*POWER(Upgrades!$O$10,I178)))*(IF(Upgrades!$T$6="Orbital Resonance",POWER(Upgrades!$U$6,E178),1)*IF(Upgrades!$T$7="Orbital Resonance",POWER(Upgrades!$U$7,F178),1)*IF(Upgrades!$T$8="Orbital Resonance",POWER(Upgrades!$U$8,G178),1)*IF(Upgrades!$T$9="Orbital Resonance",POWER(Upgrades!$U$9,H178),1)*IF(Upgrades!$T$11="Orbital Resonance",POWER(Upgrades!$U$11,J178),1)*IF(Upgrades!$T$12="Orbital Resonance",POWER(Upgrades!$U$12,K178),1))+(IF(J178=0,0,(Upgrades!$M$11+J178*Upgrades!$N$11)*POWER(Upgrades!$O$11,J178)))*(IF(Upgrades!$T$6="Heliopause",POWER(Upgrades!$U$6,E178),1)*IF(Upgrades!$T$7="Heliopause",POWER(Upgrades!$U$7,F178),1)*IF(Upgrades!$T$8="Heliopause",POWER(Upgrades!$U$8,G178),1)*IF(Upgrades!$T$9="Heliopause",POWER(Upgrades!$U$9,H178),1)*IF(Upgrades!$T$10="Heliopause",POWER(Upgrades!$U$10,I178),1)*IF(Upgrades!$T$12="Heliopause",POWER(Upgrades!$U$12,K178),1))+(IF(K178=0,0,(Upgrades!$M$12+K178*Upgrades!$N$12)*POWER(Upgrades!$O$12,K178)))*(IF(Upgrades!$T$6="First Photons",POWER(Upgrades!$U$6,E178),1)*IF(Upgrades!$T$7="First Photons",POWER(Upgrades!$U$7,F178),1)*IF(Upgrades!$T$8="First Photons",POWER(Upgrades!$U$8,G178),1)*IF(Upgrades!$T$9="First Photons",POWER(Upgrades!$U$9,H178),1)*IF(Upgrades!$T$10="First Photons",POWER(Upgrades!$U$10,I178),1)*IF(Upgrades!$T$11="First Photons",POWER(Upgrades!$U$11,J178),1)))*POWER(Upgrades!$R$6,E178)*POWER(Upgrades!$R$7,F178)*POWER(Upgrades!$R$8,G178)*POWER(Upgrades!$R$9,H178)*POWER(Upgrades!$R$10,I178)*POWER(Upgrades!$R$11,J178)*POWER(Upgrades!$R$12,K178)</f>
        <v>0</v>
      </c>
      <c r="P178" s="27" t="n">
        <f aca="false">IF(L178=1,0,M178*Parameters!$B$10/60*Parameters!$B$11*10)</f>
        <v>0</v>
      </c>
      <c r="Q178" s="27" t="n">
        <f aca="false">IF(L178=1,0,O178*M178*10)</f>
        <v>0</v>
      </c>
      <c r="R178" s="27" t="n">
        <f aca="false">IF(L178=1,0,N178*10)</f>
        <v>0</v>
      </c>
      <c r="S178" s="27" t="n">
        <f aca="false">P178+Q178+R178</f>
        <v>0</v>
      </c>
      <c r="T178" s="21" t="n">
        <f aca="false">C178+S178</f>
        <v>18.6730249835055</v>
      </c>
      <c r="U178" s="34" t="str">
        <f aca="false">AX178</f>
        <v/>
      </c>
      <c r="V178" s="21" t="n">
        <f aca="false">IF(U178="",0,IF(U178="transition",0,IF(U178="SW",AG178,IF(U178="AB",AH178,IF(U178="SC",AI178,IF(U178="Mag",AJ178,IF(U178="OR",AK178,IF(U178="HP",AL178,IF(U178="FP",AM178,0)))))))))</f>
        <v>0</v>
      </c>
      <c r="W178" s="27" t="n">
        <f aca="false">IF(U178="OR",Upgrades!$F$10,IF(U178="HP",Upgrades!$F$11,IF(U178="transition",-Parameters!$B$18,0)))</f>
        <v>0</v>
      </c>
      <c r="X178" s="21" t="n">
        <f aca="false">T178-V178</f>
        <v>18.6730249835055</v>
      </c>
      <c r="Y178" s="30" t="n">
        <f aca="false">M178*Parameters!$B$10/60*Parameters!$B$11+O178*M178+N178</f>
        <v>20.55</v>
      </c>
      <c r="Z178" s="35" t="str">
        <f aca="false">IF(U178="transition","→ Tier 2 (Stellar Neighborhood)",IF(U178="FP","First Photons — light begins, system quickens",IF(U178="HP","Heliopause acquired",IF(U178="OR","Orbital Resonance — passive multiplier active",IF(AND(AO178=1,L178=0,AN178&lt;&gt;1),"Cohesion ready (waiting on completionist upgrades)","")))))</f>
        <v/>
      </c>
      <c r="AA178" s="27" t="n">
        <f aca="false">(IF(E178=0,0,(Upgrades!$G$6+E178*Upgrades!$H$6)*POWER(Upgrades!$I$6,E178)))*(IF(Upgrades!$T$7="Solar Wind",POWER(Upgrades!$U$7,F178),1)*IF(Upgrades!$T$8="Solar Wind",POWER(Upgrades!$U$8,G178),1)*IF(Upgrades!$T$9="Solar Wind",POWER(Upgrades!$U$9,H178),1)*IF(Upgrades!$T$10="Solar Wind",POWER(Upgrades!$U$10,I178),1)*IF(Upgrades!$T$11="Solar Wind",POWER(Upgrades!$U$11,J178),1)*IF(Upgrades!$T$12="Solar Wind",POWER(Upgrades!$U$12,K178),1))*POWER(Upgrades!$P$6,E178)*POWER(Upgrades!$P$7,F178)*POWER(Upgrades!$P$8,G178)*POWER(Upgrades!$P$9,H178)*POWER(Upgrades!$P$10,I178)*POWER(Upgrades!$P$11,J178)*POWER(Upgrades!$P$12,K178)*60</f>
        <v>72</v>
      </c>
      <c r="AB178" s="27" t="n">
        <f aca="false">(IF(F178=0,0,(Upgrades!$G$7+F178*Upgrades!$H$7)*POWER(Upgrades!$I$7,F178)))*(IF(Upgrades!$T$6="Asteroid Belt",POWER(Upgrades!$U$6,E178),1)*IF(Upgrades!$T$8="Asteroid Belt",POWER(Upgrades!$U$8,G178),1)*IF(Upgrades!$T$9="Asteroid Belt",POWER(Upgrades!$U$9,H178),1)*IF(Upgrades!$T$10="Asteroid Belt",POWER(Upgrades!$U$10,I178),1)*IF(Upgrades!$T$11="Asteroid Belt",POWER(Upgrades!$U$11,J178),1)*IF(Upgrades!$T$12="Asteroid Belt",POWER(Upgrades!$U$12,K178),1))*POWER(Upgrades!$P$6,E178)*POWER(Upgrades!$P$7,F178)*POWER(Upgrades!$P$8,G178)*POWER(Upgrades!$P$9,H178)*POWER(Upgrades!$P$10,I178)*POWER(Upgrades!$P$11,J178)*POWER(Upgrades!$P$12,K178)*60</f>
        <v>150</v>
      </c>
      <c r="AC178" s="27" t="n">
        <f aca="false">(IF(G178=0,0,(Upgrades!$J$8+G178*Upgrades!$K$8)*POWER(Upgrades!$L$8,G178)))*(IF(Upgrades!$T$6="Stellar Coupling",POWER(Upgrades!$U$6,E178),1)*IF(Upgrades!$T$7="Stellar Coupling",POWER(Upgrades!$U$7,F178),1)*IF(Upgrades!$T$9="Stellar Coupling",POWER(Upgrades!$U$9,H178),1)*IF(Upgrades!$T$10="Stellar Coupling",POWER(Upgrades!$U$10,I178),1)*IF(Upgrades!$T$11="Stellar Coupling",POWER(Upgrades!$U$11,J178),1)*IF(Upgrades!$T$12="Stellar Coupling",POWER(Upgrades!$U$12,K178),1))*POWER(Upgrades!$Q$6,E178)*POWER(Upgrades!$Q$7,F178)*POWER(Upgrades!$Q$8,G178)*POWER(Upgrades!$Q$9,H178)*POWER(Upgrades!$Q$10,I178)*POWER(Upgrades!$Q$11,J178)*POWER(Upgrades!$Q$12,K178)*Parameters!$B$10*Parameters!$B$11</f>
        <v>441</v>
      </c>
      <c r="AD178" s="27" t="n">
        <f aca="false">(IF(H178=0,0,(Upgrades!$G$9+H178*Upgrades!$H$9)*POWER(Upgrades!$I$9,H178)))*(IF(Upgrades!$T$6="Magnetosphere",POWER(Upgrades!$U$6,E178),1)*IF(Upgrades!$T$7="Magnetosphere",POWER(Upgrades!$U$7,F178),1)*IF(Upgrades!$T$8="Magnetosphere",POWER(Upgrades!$U$8,G178),1)*IF(Upgrades!$T$10="Magnetosphere",POWER(Upgrades!$U$10,I178),1)*IF(Upgrades!$T$11="Magnetosphere",POWER(Upgrades!$U$11,J178),1)*IF(Upgrades!$T$12="Magnetosphere",POWER(Upgrades!$U$12,K178),1))*POWER(Upgrades!$P$6,E178)*POWER(Upgrades!$P$7,F178)*POWER(Upgrades!$P$8,G178)*POWER(Upgrades!$P$9,H178)*POWER(Upgrades!$P$10,I178)*POWER(Upgrades!$P$11,J178)*POWER(Upgrades!$P$12,K178)*60</f>
        <v>375</v>
      </c>
      <c r="AE178" s="27" t="n">
        <f aca="false">(IF(K178=0,0,(Upgrades!$G$12+K178*Upgrades!$H$12)*POWER(Upgrades!$I$12,K178)))*(IF(Upgrades!$T$6="First Photons",POWER(Upgrades!$U$6,E178),1)*IF(Upgrades!$T$7="First Photons",POWER(Upgrades!$U$7,F178),1)*IF(Upgrades!$T$8="First Photons",POWER(Upgrades!$U$8,G178),1)*IF(Upgrades!$T$9="First Photons",POWER(Upgrades!$U$9,H178),1)*IF(Upgrades!$T$10="First Photons",POWER(Upgrades!$U$10,I178),1)*IF(Upgrades!$T$11="First Photons",POWER(Upgrades!$U$11,J178),1))*POWER(Upgrades!$P$6,E178)*POWER(Upgrades!$P$7,F178)*POWER(Upgrades!$P$8,G178)*POWER(Upgrades!$P$9,H178)*POWER(Upgrades!$P$10,I178)*POWER(Upgrades!$P$11,J178)*POWER(Upgrades!$P$12,K178)*60</f>
        <v>75</v>
      </c>
      <c r="AF178" s="27" t="n">
        <f aca="false">Parameters!$B$9*POWER(Upgrades!$Q$6,E178)*POWER(Upgrades!$Q$7,F178)*POWER(Upgrades!$Q$8,G178)*POWER(Upgrades!$Q$9,H178)*POWER(Upgrades!$Q$10,I178)*POWER(Upgrades!$Q$11,J178)*POWER(Upgrades!$Q$12,K178)*(Parameters!$B$10*Parameters!$B$11+O178*60)</f>
        <v>120</v>
      </c>
      <c r="AG178" s="21" t="n">
        <f aca="false">IF(E178&gt;=Upgrades!$E$6,"",Upgrades!$C$6*POWER(Upgrades!$D$6,E178))</f>
        <v>37.4517507383159</v>
      </c>
      <c r="AH178" s="21" t="n">
        <f aca="false">IF(F178&gt;=Upgrades!$E$7,"",Upgrades!$C$7*POWER(Upgrades!$D$7,F178))</f>
        <v>80.9111547141581</v>
      </c>
      <c r="AI178" s="21" t="n">
        <f aca="false">IF(G178&gt;=Upgrades!$E$8,"",Upgrades!$C$8*POWER(Upgrades!$D$8,G178))</f>
        <v>231.9097088</v>
      </c>
      <c r="AJ178" s="21" t="str">
        <f aca="false">IF(H178&gt;=Upgrades!$E$9,"",Upgrades!$C$9*POWER(Upgrades!$D$9,H178))</f>
        <v/>
      </c>
      <c r="AK178" s="21" t="str">
        <f aca="false">IF(I178&gt;=Upgrades!$E$10,"",Upgrades!$C$10*POWER(Upgrades!$D$10,I178))</f>
        <v/>
      </c>
      <c r="AL178" s="21" t="str">
        <f aca="false">IF(J178&gt;=Upgrades!$E$11,"",Upgrades!$C$11*POWER(Upgrades!$D$11,J178))</f>
        <v/>
      </c>
      <c r="AM178" s="21" t="str">
        <f aca="false">IF(K178&gt;=Upgrades!$E$12,"",Upgrades!$C$12*POWER(Upgrades!$D$12,K178))</f>
        <v/>
      </c>
      <c r="AN178" s="26" t="str">
        <f aca="false">IF(AND(D178&gt;=Parameters!$B$18,(H178&gt;=Upgrades!$E$9)*(K178&gt;=Upgrades!$E$12)=1,L178=0),1,"")</f>
        <v/>
      </c>
      <c r="AO178" s="26" t="str">
        <f aca="false">IF(AND(D178&gt;=Parameters!$B$18,L178=0),1,"")</f>
        <v/>
      </c>
      <c r="AP178" s="21" t="n">
        <f aca="false">MIN(IF(ISNUMBER(AK178),AK178,9000000000000000),IF(ISNUMBER(AL178),AL178,9000000000000000),IF(ISNUMBER(AM178),AM178,9000000000000000))</f>
        <v>9000000000000000</v>
      </c>
      <c r="AQ178" s="21" t="n">
        <f aca="false">MIN(IF(ISNUMBER(AG178),AG178,9000000000000000),IF(ISNUMBER(AH178),AH178,9000000000000000),IF(ISNUMBER(AI178),AI178,9000000000000000),IF(ISNUMBER(AJ178),AJ178,9000000000000000))</f>
        <v>37.4517507383159</v>
      </c>
      <c r="AR178" s="32" t="b">
        <f aca="false">IF(AW178&gt;Parameters!$B$21*(MAX(IF(AND(NOT(AND(AO178=1,AN178&lt;&gt;1)),ISNUMBER(AG178),AG178&lt;=T178),AS178,0),IF(AND(NOT(AND(AO178=1,AN178&lt;&gt;1)),ISNUMBER(AH178),AH178&lt;=T178),AT178,0),IF(AND(NOT(AND(AO178=1,AN178&lt;&gt;1)),ISNUMBER(AI178),AI178&lt;=T178),AU178,0),IF(AND(ISNUMBER(AJ178),AJ178&lt;=T178),AV178,0))),TRUE(),FALSE())</f>
        <v>1</v>
      </c>
      <c r="AS178" s="33" t="n">
        <f aca="false">IFERROR(Upgrades!$H$6*(POWER(Upgrades!$P$6,E178)*POWER(Upgrades!$P$7,F178)*POWER(Upgrades!$P$8,G178)*POWER(Upgrades!$P$9,H178)*POWER(Upgrades!$P$10,I178)*POWER(Upgrades!$P$11,J178)*POWER(Upgrades!$P$12,K178))*(IF(Upgrades!$T$7="Solar Wind",POWER(Upgrades!$U$7,F178),1)*IF(Upgrades!$T$8="Solar Wind",POWER(Upgrades!$U$8,G178),1)*IF(Upgrades!$T$9="Solar Wind",POWER(Upgrades!$U$9,H178),1)*IF(Upgrades!$T$10="Solar Wind",POWER(Upgrades!$U$10,I178),1)*IF(Upgrades!$T$11="Solar Wind",POWER(Upgrades!$U$11,J178),1)*IF(Upgrades!$T$12="Solar Wind",POWER(Upgrades!$U$12,K178),1))/AG178,0)</f>
        <v>0.0026701021455238</v>
      </c>
      <c r="AT178" s="33" t="n">
        <f aca="false">IFERROR(Upgrades!$H$7*(POWER(Upgrades!$P$6,E178)*POWER(Upgrades!$P$7,F178)*POWER(Upgrades!$P$8,G178)*POWER(Upgrades!$P$9,H178)*POWER(Upgrades!$P$10,I178)*POWER(Upgrades!$P$11,J178)*POWER(Upgrades!$P$12,K178))*(IF(Upgrades!$T$6="Asteroid Belt",POWER(Upgrades!$U$6,E178),1)*IF(Upgrades!$T$8="Asteroid Belt",POWER(Upgrades!$U$8,G178),1)*IF(Upgrades!$T$9="Asteroid Belt",POWER(Upgrades!$U$9,H178),1)*IF(Upgrades!$T$10="Asteroid Belt",POWER(Upgrades!$U$10,I178),1)*IF(Upgrades!$T$11="Asteroid Belt",POWER(Upgrades!$U$11,J178),1)*IF(Upgrades!$T$12="Asteroid Belt",POWER(Upgrades!$U$12,K178),1))/AH178,0)</f>
        <v>0.00308980882652332</v>
      </c>
      <c r="AU178" s="33" t="n">
        <f aca="false">IFERROR(Upgrades!$K$8*(POWER(Upgrades!$Q$6,E178)*POWER(Upgrades!$Q$7,F178)*POWER(Upgrades!$Q$8,G178)*POWER(Upgrades!$Q$9,H178)*POWER(Upgrades!$Q$10,I178)*POWER(Upgrades!$Q$11,J178)*POWER(Upgrades!$Q$12,K178))*(IF(Upgrades!$T$6="Stellar Coupling",POWER(Upgrades!$U$6,E178),1)*IF(Upgrades!$T$7="Stellar Coupling",POWER(Upgrades!$U$7,F178),1)*IF(Upgrades!$T$9="Stellar Coupling",POWER(Upgrades!$U$9,H178),1)*IF(Upgrades!$T$10="Stellar Coupling",POWER(Upgrades!$U$10,I178),1)*IF(Upgrades!$T$11="Stellar Coupling",POWER(Upgrades!$U$11,J178),1)*IF(Upgrades!$T$12="Stellar Coupling",POWER(Upgrades!$U$12,K178),1))*Parameters!$B$10*Parameters!$B$11/60/AI178,0)</f>
        <v>0.00452762415783776</v>
      </c>
      <c r="AV178" s="33" t="n">
        <f aca="false">IFERROR(Upgrades!$H$9*(POWER(Upgrades!$P$6,E178)*POWER(Upgrades!$P$7,F178)*POWER(Upgrades!$P$8,G178)*POWER(Upgrades!$P$9,H178)*POWER(Upgrades!$P$10,I178)*POWER(Upgrades!$P$11,J178)*POWER(Upgrades!$P$12,K178))*(IF(Upgrades!$T$6="Magnetosphere",POWER(Upgrades!$U$6,E178),1)*IF(Upgrades!$T$7="Magnetosphere",POWER(Upgrades!$U$7,F178),1)*IF(Upgrades!$T$8="Magnetosphere",POWER(Upgrades!$U$8,G178),1)*IF(Upgrades!$T$10="Magnetosphere",POWER(Upgrades!$U$10,I178),1)*IF(Upgrades!$T$11="Magnetosphere",POWER(Upgrades!$U$11,J178),1)*IF(Upgrades!$T$12="Magnetosphere",POWER(Upgrades!$U$12,K178),1))/AJ178,0)</f>
        <v>0</v>
      </c>
      <c r="AW178" s="33" t="n">
        <f aca="false">MAX(IF(I178&gt;0,0,IFERROR(0.25*N178/Upgrades!$C$10,0)),IF(J178&gt;0,0,IFERROR(0.5*((IF(G178=0,0,(Upgrades!$J$8+G178*Upgrades!$K$8)*POWER(Upgrades!$L$8,G178)))*(IF(Upgrades!$T$6="Stellar Coupling",POWER(Upgrades!$U$6,E178),1)*IF(Upgrades!$T$7="Stellar Coupling",POWER(Upgrades!$U$7,F178),1)*IF(Upgrades!$T$9="Stellar Coupling",POWER(Upgrades!$U$9,H178),1)*IF(Upgrades!$T$10="Stellar Coupling",POWER(Upgrades!$U$10,I178),1)*IF(Upgrades!$T$11="Stellar Coupling",POWER(Upgrades!$U$11,J178),1)*IF(Upgrades!$T$12="Stellar Coupling",POWER(Upgrades!$U$12,K178),1))*(POWER(Upgrades!$Q$6,E178)*POWER(Upgrades!$Q$7,F178)*POWER(Upgrades!$Q$8,G178)*POWER(Upgrades!$Q$9,H178)*POWER(Upgrades!$Q$10,I178)*POWER(Upgrades!$Q$11,J178)*POWER(Upgrades!$Q$12,K178))*Parameters!$B$10*Parameters!$B$11/60)/Upgrades!$C$11,0)),IF(K178&gt;0,0,IFERROR((1*(POWER(Upgrades!$P$6,E178)*POWER(Upgrades!$P$7,F178)*POWER(Upgrades!$P$8,G178)*POWER(Upgrades!$P$9,H178)*POWER(Upgrades!$P$10,I178)*POWER(Upgrades!$P$11,J178)*POWER(Upgrades!$P$12,K178))+0.2*M178*Parameters!$B$10*Parameters!$B$11/60)/Upgrades!$C$12,0)),IF(AND(ISNUMBER(AG178),AG178&gt;T178),AS178,0),IF(AND(ISNUMBER(AH178),AH178&gt;T178),AT178,0),IF(AND(ISNUMBER(AI178),AI178&gt;T178),AU178,0),IF(AND(ISNUMBER(AJ178),AJ178&gt;T178),AV178,0))</f>
        <v>0.00452762415783776</v>
      </c>
      <c r="AX178" s="29" t="str">
        <f aca="false">IF(AN178=1,"transition",IF(MIN(IF(AND(I178=0,ISNUMBER(AK178),AK178&lt;=T178),AK178,9000000000000000),IF(AND(J178=0,ISNUMBER(AL178),AL178&lt;=T178),AL178,9000000000000000),IF(AND(K178=0,ISNUMBER(AM178),AM178&lt;=T178),AM178,9000000000000000))&lt;9000000000000000,IF(AND(AND(I178=0,ISNUMBER(AK178),AK178&lt;=T178),AK178=MIN(IF(AND(I178=0,ISNUMBER(AK178),AK178&lt;=T178),AK178,9000000000000000),IF(AND(J178=0,ISNUMBER(AL178),AL178&lt;=T178),AL178,9000000000000000),IF(AND(K178=0,ISNUMBER(AM178),AM178&lt;=T178),AM178,9000000000000000))),"OR",IF(AND(AND(J178=0,ISNUMBER(AL178),AL178&lt;=T178),AL178=MIN(IF(AND(I178=0,ISNUMBER(AK178),AK178&lt;=T178),AK178,9000000000000000),IF(AND(J178=0,ISNUMBER(AL178),AL178&lt;=T178),AL178,9000000000000000),IF(AND(K178=0,ISNUMBER(AM178),AM178&lt;=T178),AM178,9000000000000000))),"HP","FP")),IF(AR178=TRUE(),"",IF(MAX(IF(AND(NOT(AND(AO178=1,AN178&lt;&gt;1)),ISNUMBER(AG178),AG178&lt;=T178),AS178,0),IF(AND(NOT(AND(AO178=1,AN178&lt;&gt;1)),ISNUMBER(AH178),AH178&lt;=T178),AT178,0),IF(AND(NOT(AND(AO178=1,AN178&lt;&gt;1)),ISNUMBER(AI178),AI178&lt;=T178),AU178,0),IF(AND(ISNUMBER(AJ178),AJ178&lt;=T178),AV178,0))&lt;=0,"",IF(AND(IF(AND(NOT(AND(AO178=1,AN178&lt;&gt;1)),ISNUMBER(AG178),AG178&lt;=T178),AS178,0)&gt;0,IF(AND(NOT(AND(AO178=1,AN178&lt;&gt;1)),ISNUMBER(AG178),AG178&lt;=T178),AS178,0)=MAX(IF(AND(NOT(AND(AO178=1,AN178&lt;&gt;1)),ISNUMBER(AG178),AG178&lt;=T178),AS178,0),IF(AND(NOT(AND(AO178=1,AN178&lt;&gt;1)),ISNUMBER(AH178),AH178&lt;=T178),AT178,0),IF(AND(NOT(AND(AO178=1,AN178&lt;&gt;1)),ISNUMBER(AI178),AI178&lt;=T178),AU178,0),IF(AND(ISNUMBER(AJ178),AJ178&lt;=T178),AV178,0))),"SW",IF(AND(IF(AND(NOT(AND(AO178=1,AN178&lt;&gt;1)),ISNUMBER(AH178),AH178&lt;=T178),AT178,0)&gt;0,IF(AND(NOT(AND(AO178=1,AN178&lt;&gt;1)),ISNUMBER(AH178),AH178&lt;=T178),AT178,0)=MAX(IF(AND(NOT(AND(AO178=1,AN178&lt;&gt;1)),ISNUMBER(AG178),AG178&lt;=T178),AS178,0),IF(AND(NOT(AND(AO178=1,AN178&lt;&gt;1)),ISNUMBER(AH178),AH178&lt;=T178),AT178,0),IF(AND(NOT(AND(AO178=1,AN178&lt;&gt;1)),ISNUMBER(AI178),AI178&lt;=T178),AU178,0),IF(AND(ISNUMBER(AJ178),AJ178&lt;=T178),AV178,0))),"AB",IF(AND(IF(AND(NOT(AND(AO178=1,AN178&lt;&gt;1)),ISNUMBER(AI178),AI178&lt;=T178),AU178,0)&gt;0,IF(AND(NOT(AND(AO178=1,AN178&lt;&gt;1)),ISNUMBER(AI178),AI178&lt;=T178),AU178,0)=MAX(IF(AND(NOT(AND(AO178=1,AN178&lt;&gt;1)),ISNUMBER(AG178),AG178&lt;=T178),AS178,0),IF(AND(NOT(AND(AO178=1,AN178&lt;&gt;1)),ISNUMBER(AH178),AH178&lt;=T178),AT178,0),IF(AND(NOT(AND(AO178=1,AN178&lt;&gt;1)),ISNUMBER(AI178),AI178&lt;=T178),AU178,0),IF(AND(ISNUMBER(AJ178),AJ178&lt;=T178),AV178,0))),"SC","Mag")))))))</f>
        <v/>
      </c>
    </row>
    <row r="179" customFormat="false" ht="15" hidden="false" customHeight="false" outlineLevel="0" collapsed="false">
      <c r="A179" s="26" t="n">
        <v>174</v>
      </c>
      <c r="B179" s="27" t="n">
        <f aca="false">A179*10/60</f>
        <v>29</v>
      </c>
      <c r="C179" s="21" t="n">
        <f aca="false">X178</f>
        <v>18.6730249835055</v>
      </c>
      <c r="D179" s="27" t="n">
        <f aca="false">D178+W178</f>
        <v>0</v>
      </c>
      <c r="E179" s="26" t="n">
        <f aca="false">E178+IF(U178="SW",1,0)</f>
        <v>12</v>
      </c>
      <c r="F179" s="26" t="n">
        <f aca="false">F178+IF(U178="AB",1,0)</f>
        <v>10</v>
      </c>
      <c r="G179" s="26" t="n">
        <f aca="false">G178+IF(U178="SC",1,0)</f>
        <v>7</v>
      </c>
      <c r="H179" s="26" t="n">
        <f aca="false">H178+IF(U178="Mag",1,0)</f>
        <v>5</v>
      </c>
      <c r="I179" s="26" t="n">
        <f aca="false">MAX(I178,IF(U178="OR",1,0))</f>
        <v>1</v>
      </c>
      <c r="J179" s="26" t="n">
        <f aca="false">MAX(J178,IF(U178="HP",1,0))</f>
        <v>1</v>
      </c>
      <c r="K179" s="26" t="n">
        <f aca="false">MAX(K178,IF(U178="FP",1,0))</f>
        <v>1</v>
      </c>
      <c r="L179" s="26" t="n">
        <f aca="false">MAX(L178,IF(U178="transition",1,0))</f>
        <v>1</v>
      </c>
      <c r="M179" s="28" t="n">
        <f aca="false">(Parameters!$B$9+(IF(E179=0,0,(Upgrades!$J$6+E179*Upgrades!$K$6)*POWER(Upgrades!$L$6,E179)))*(IF(Upgrades!$T$7="Solar Wind",POWER(Upgrades!$U$7,F179),1)*IF(Upgrades!$T$8="Solar Wind",POWER(Upgrades!$U$8,G179),1)*IF(Upgrades!$T$9="Solar Wind",POWER(Upgrades!$U$9,H179),1)*IF(Upgrades!$T$10="Solar Wind",POWER(Upgrades!$U$10,I179),1)*IF(Upgrades!$T$11="Solar Wind",POWER(Upgrades!$U$11,J179),1)*IF(Upgrades!$T$12="Solar Wind",POWER(Upgrades!$U$12,K179),1))+(IF(F179=0,0,(Upgrades!$J$7+F179*Upgrades!$K$7)*POWER(Upgrades!$L$7,F179)))*(IF(Upgrades!$T$6="Asteroid Belt",POWER(Upgrades!$U$6,E179),1)*IF(Upgrades!$T$8="Asteroid Belt",POWER(Upgrades!$U$8,G179),1)*IF(Upgrades!$T$9="Asteroid Belt",POWER(Upgrades!$U$9,H179),1)*IF(Upgrades!$T$10="Asteroid Belt",POWER(Upgrades!$U$10,I179),1)*IF(Upgrades!$T$11="Asteroid Belt",POWER(Upgrades!$U$11,J179),1)*IF(Upgrades!$T$12="Asteroid Belt",POWER(Upgrades!$U$12,K179),1))+(IF(G179=0,0,(Upgrades!$J$8+G179*Upgrades!$K$8)*POWER(Upgrades!$L$8,G179)))*(IF(Upgrades!$T$6="Stellar Coupling",POWER(Upgrades!$U$6,E179),1)*IF(Upgrades!$T$7="Stellar Coupling",POWER(Upgrades!$U$7,F179),1)*IF(Upgrades!$T$9="Stellar Coupling",POWER(Upgrades!$U$9,H179),1)*IF(Upgrades!$T$10="Stellar Coupling",POWER(Upgrades!$U$10,I179),1)*IF(Upgrades!$T$11="Stellar Coupling",POWER(Upgrades!$U$11,J179),1)*IF(Upgrades!$T$12="Stellar Coupling",POWER(Upgrades!$U$12,K179),1))+(IF(H179=0,0,(Upgrades!$J$9+H179*Upgrades!$K$9)*POWER(Upgrades!$L$9,H179)))*(IF(Upgrades!$T$6="Magnetosphere",POWER(Upgrades!$U$6,E179),1)*IF(Upgrades!$T$7="Magnetosphere",POWER(Upgrades!$U$7,F179),1)*IF(Upgrades!$T$8="Magnetosphere",POWER(Upgrades!$U$8,G179),1)*IF(Upgrades!$T$10="Magnetosphere",POWER(Upgrades!$U$10,I179),1)*IF(Upgrades!$T$11="Magnetosphere",POWER(Upgrades!$U$11,J179),1)*IF(Upgrades!$T$12="Magnetosphere",POWER(Upgrades!$U$12,K179),1))+(IF(I179=0,0,(Upgrades!$J$10+I179*Upgrades!$K$10)*POWER(Upgrades!$L$10,I179)))*(IF(Upgrades!$T$6="Orbital Resonance",POWER(Upgrades!$U$6,E179),1)*IF(Upgrades!$T$7="Orbital Resonance",POWER(Upgrades!$U$7,F179),1)*IF(Upgrades!$T$8="Orbital Resonance",POWER(Upgrades!$U$8,G179),1)*IF(Upgrades!$T$9="Orbital Resonance",POWER(Upgrades!$U$9,H179),1)*IF(Upgrades!$T$11="Orbital Resonance",POWER(Upgrades!$U$11,J179),1)*IF(Upgrades!$T$12="Orbital Resonance",POWER(Upgrades!$U$12,K179),1))+(IF(J179=0,0,(Upgrades!$J$11+J179*Upgrades!$K$11)*POWER(Upgrades!$L$11,J179)))*(IF(Upgrades!$T$6="Heliopause",POWER(Upgrades!$U$6,E179),1)*IF(Upgrades!$T$7="Heliopause",POWER(Upgrades!$U$7,F179),1)*IF(Upgrades!$T$8="Heliopause",POWER(Upgrades!$U$8,G179),1)*IF(Upgrades!$T$9="Heliopause",POWER(Upgrades!$U$9,H179),1)*IF(Upgrades!$T$10="Heliopause",POWER(Upgrades!$U$10,I179),1)*IF(Upgrades!$T$12="Heliopause",POWER(Upgrades!$U$12,K179),1))+(IF(K179=0,0,(Upgrades!$J$12+K179*Upgrades!$K$12)*POWER(Upgrades!$L$12,K179)))*(IF(Upgrades!$T$6="First Photons",POWER(Upgrades!$U$6,E179),1)*IF(Upgrades!$T$7="First Photons",POWER(Upgrades!$U$7,F179),1)*IF(Upgrades!$T$8="First Photons",POWER(Upgrades!$U$8,G179),1)*IF(Upgrades!$T$9="First Photons",POWER(Upgrades!$U$9,H179),1)*IF(Upgrades!$T$10="First Photons",POWER(Upgrades!$U$10,I179),1)*IF(Upgrades!$T$11="First Photons",POWER(Upgrades!$U$11,J179),1)))*POWER(Upgrades!$Q$6,E179)*POWER(Upgrades!$Q$7,F179)*POWER(Upgrades!$Q$8,G179)*POWER(Upgrades!$Q$9,H179)*POWER(Upgrades!$Q$10,I179)*POWER(Upgrades!$Q$11,J179)*POWER(Upgrades!$Q$12,K179)</f>
        <v>5.61</v>
      </c>
      <c r="N179" s="28" t="n">
        <f aca="false">((IF(E179=0,0,(Upgrades!$G$6+E179*Upgrades!$H$6)*POWER(Upgrades!$I$6,E179)))*(IF(Upgrades!$T$7="Solar Wind",POWER(Upgrades!$U$7,F179),1)*IF(Upgrades!$T$8="Solar Wind",POWER(Upgrades!$U$8,G179),1)*IF(Upgrades!$T$9="Solar Wind",POWER(Upgrades!$U$9,H179),1)*IF(Upgrades!$T$10="Solar Wind",POWER(Upgrades!$U$10,I179),1)*IF(Upgrades!$T$11="Solar Wind",POWER(Upgrades!$U$11,J179),1)*IF(Upgrades!$T$12="Solar Wind",POWER(Upgrades!$U$12,K179),1))+(IF(F179=0,0,(Upgrades!$G$7+F179*Upgrades!$H$7)*POWER(Upgrades!$I$7,F179)))*(IF(Upgrades!$T$6="Asteroid Belt",POWER(Upgrades!$U$6,E179),1)*IF(Upgrades!$T$8="Asteroid Belt",POWER(Upgrades!$U$8,G179),1)*IF(Upgrades!$T$9="Asteroid Belt",POWER(Upgrades!$U$9,H179),1)*IF(Upgrades!$T$10="Asteroid Belt",POWER(Upgrades!$U$10,I179),1)*IF(Upgrades!$T$11="Asteroid Belt",POWER(Upgrades!$U$11,J179),1)*IF(Upgrades!$T$12="Asteroid Belt",POWER(Upgrades!$U$12,K179),1))+(IF(G179=0,0,(Upgrades!$G$8+G179*Upgrades!$H$8)*POWER(Upgrades!$I$8,G179)))*(IF(Upgrades!$T$6="Stellar Coupling",POWER(Upgrades!$U$6,E179),1)*IF(Upgrades!$T$7="Stellar Coupling",POWER(Upgrades!$U$7,F179),1)*IF(Upgrades!$T$9="Stellar Coupling",POWER(Upgrades!$U$9,H179),1)*IF(Upgrades!$T$10="Stellar Coupling",POWER(Upgrades!$U$10,I179),1)*IF(Upgrades!$T$11="Stellar Coupling",POWER(Upgrades!$U$11,J179),1)*IF(Upgrades!$T$12="Stellar Coupling",POWER(Upgrades!$U$12,K179),1))+(IF(H179=0,0,(Upgrades!$G$9+H179*Upgrades!$H$9)*POWER(Upgrades!$I$9,H179)))*(IF(Upgrades!$T$6="Magnetosphere",POWER(Upgrades!$U$6,E179),1)*IF(Upgrades!$T$7="Magnetosphere",POWER(Upgrades!$U$7,F179),1)*IF(Upgrades!$T$8="Magnetosphere",POWER(Upgrades!$U$8,G179),1)*IF(Upgrades!$T$10="Magnetosphere",POWER(Upgrades!$U$10,I179),1)*IF(Upgrades!$T$11="Magnetosphere",POWER(Upgrades!$U$11,J179),1)*IF(Upgrades!$T$12="Magnetosphere",POWER(Upgrades!$U$12,K179),1))+(IF(I179=0,0,(Upgrades!$G$10+I179*Upgrades!$H$10)*POWER(Upgrades!$I$10,I179)))*(IF(Upgrades!$T$6="Orbital Resonance",POWER(Upgrades!$U$6,E179),1)*IF(Upgrades!$T$7="Orbital Resonance",POWER(Upgrades!$U$7,F179),1)*IF(Upgrades!$T$8="Orbital Resonance",POWER(Upgrades!$U$8,G179),1)*IF(Upgrades!$T$9="Orbital Resonance",POWER(Upgrades!$U$9,H179),1)*IF(Upgrades!$T$11="Orbital Resonance",POWER(Upgrades!$U$11,J179),1)*IF(Upgrades!$T$12="Orbital Resonance",POWER(Upgrades!$U$12,K179),1))+(IF(J179=0,0,(Upgrades!$G$11+J179*Upgrades!$H$11)*POWER(Upgrades!$I$11,J179)))*(IF(Upgrades!$T$6="Heliopause",POWER(Upgrades!$U$6,E179),1)*IF(Upgrades!$T$7="Heliopause",POWER(Upgrades!$U$7,F179),1)*IF(Upgrades!$T$8="Heliopause",POWER(Upgrades!$U$8,G179),1)*IF(Upgrades!$T$9="Heliopause",POWER(Upgrades!$U$9,H179),1)*IF(Upgrades!$T$10="Heliopause",POWER(Upgrades!$U$10,I179),1)*IF(Upgrades!$T$12="Heliopause",POWER(Upgrades!$U$12,K179),1))+(IF(K179=0,0,(Upgrades!$G$12+K179*Upgrades!$H$12)*POWER(Upgrades!$I$12,K179)))*(IF(Upgrades!$T$6="First Photons",POWER(Upgrades!$U$6,E179),1)*IF(Upgrades!$T$7="First Photons",POWER(Upgrades!$U$7,F179),1)*IF(Upgrades!$T$8="First Photons",POWER(Upgrades!$U$8,G179),1)*IF(Upgrades!$T$9="First Photons",POWER(Upgrades!$U$9,H179),1)*IF(Upgrades!$T$10="First Photons",POWER(Upgrades!$U$10,I179),1)*IF(Upgrades!$T$11="First Photons",POWER(Upgrades!$U$11,J179),1)))*POWER(Upgrades!$P$6,E179)*POWER(Upgrades!$P$7,F179)*POWER(Upgrades!$P$8,G179)*POWER(Upgrades!$P$9,H179)*POWER(Upgrades!$P$10,I179)*POWER(Upgrades!$P$11,J179)*POWER(Upgrades!$P$12,K179)</f>
        <v>11.2</v>
      </c>
      <c r="O179" s="28" t="n">
        <f aca="false">((IF(E179=0,0,(Upgrades!$M$6+E179*Upgrades!$N$6)*POWER(Upgrades!$O$6,E179)))*(IF(Upgrades!$T$7="Solar Wind",POWER(Upgrades!$U$7,F179),1)*IF(Upgrades!$T$8="Solar Wind",POWER(Upgrades!$U$8,G179),1)*IF(Upgrades!$T$9="Solar Wind",POWER(Upgrades!$U$9,H179),1)*IF(Upgrades!$T$10="Solar Wind",POWER(Upgrades!$U$10,I179),1)*IF(Upgrades!$T$11="Solar Wind",POWER(Upgrades!$U$11,J179),1)*IF(Upgrades!$T$12="Solar Wind",POWER(Upgrades!$U$12,K179),1))+(IF(F179=0,0,(Upgrades!$M$7+F179*Upgrades!$N$7)*POWER(Upgrades!$O$7,F179)))*(IF(Upgrades!$T$6="Asteroid Belt",POWER(Upgrades!$U$6,E179),1)*IF(Upgrades!$T$8="Asteroid Belt",POWER(Upgrades!$U$8,G179),1)*IF(Upgrades!$T$9="Asteroid Belt",POWER(Upgrades!$U$9,H179),1)*IF(Upgrades!$T$10="Asteroid Belt",POWER(Upgrades!$U$10,I179),1)*IF(Upgrades!$T$11="Asteroid Belt",POWER(Upgrades!$U$11,J179),1)*IF(Upgrades!$T$12="Asteroid Belt",POWER(Upgrades!$U$12,K179),1))+(IF(G179=0,0,(Upgrades!$M$8+G179*Upgrades!$N$8)*POWER(Upgrades!$O$8,G179)))*(IF(Upgrades!$T$6="Stellar Coupling",POWER(Upgrades!$U$6,E179),1)*IF(Upgrades!$T$7="Stellar Coupling",POWER(Upgrades!$U$7,F179),1)*IF(Upgrades!$T$9="Stellar Coupling",POWER(Upgrades!$U$9,H179),1)*IF(Upgrades!$T$10="Stellar Coupling",POWER(Upgrades!$U$10,I179),1)*IF(Upgrades!$T$11="Stellar Coupling",POWER(Upgrades!$U$11,J179),1)*IF(Upgrades!$T$12="Stellar Coupling",POWER(Upgrades!$U$12,K179),1))+(IF(H179=0,0,(Upgrades!$M$9+H179*Upgrades!$N$9)*POWER(Upgrades!$O$9,H179)))*(IF(Upgrades!$T$6="Magnetosphere",POWER(Upgrades!$U$6,E179),1)*IF(Upgrades!$T$7="Magnetosphere",POWER(Upgrades!$U$7,F179),1)*IF(Upgrades!$T$8="Magnetosphere",POWER(Upgrades!$U$8,G179),1)*IF(Upgrades!$T$10="Magnetosphere",POWER(Upgrades!$U$10,I179),1)*IF(Upgrades!$T$11="Magnetosphere",POWER(Upgrades!$U$11,J179),1)*IF(Upgrades!$T$12="Magnetosphere",POWER(Upgrades!$U$12,K179),1))+(IF(I179=0,0,(Upgrades!$M$10+I179*Upgrades!$N$10)*POWER(Upgrades!$O$10,I179)))*(IF(Upgrades!$T$6="Orbital Resonance",POWER(Upgrades!$U$6,E179),1)*IF(Upgrades!$T$7="Orbital Resonance",POWER(Upgrades!$U$7,F179),1)*IF(Upgrades!$T$8="Orbital Resonance",POWER(Upgrades!$U$8,G179),1)*IF(Upgrades!$T$9="Orbital Resonance",POWER(Upgrades!$U$9,H179),1)*IF(Upgrades!$T$11="Orbital Resonance",POWER(Upgrades!$U$11,J179),1)*IF(Upgrades!$T$12="Orbital Resonance",POWER(Upgrades!$U$12,K179),1))+(IF(J179=0,0,(Upgrades!$M$11+J179*Upgrades!$N$11)*POWER(Upgrades!$O$11,J179)))*(IF(Upgrades!$T$6="Heliopause",POWER(Upgrades!$U$6,E179),1)*IF(Upgrades!$T$7="Heliopause",POWER(Upgrades!$U$7,F179),1)*IF(Upgrades!$T$8="Heliopause",POWER(Upgrades!$U$8,G179),1)*IF(Upgrades!$T$9="Heliopause",POWER(Upgrades!$U$9,H179),1)*IF(Upgrades!$T$10="Heliopause",POWER(Upgrades!$U$10,I179),1)*IF(Upgrades!$T$12="Heliopause",POWER(Upgrades!$U$12,K179),1))+(IF(K179=0,0,(Upgrades!$M$12+K179*Upgrades!$N$12)*POWER(Upgrades!$O$12,K179)))*(IF(Upgrades!$T$6="First Photons",POWER(Upgrades!$U$6,E179),1)*IF(Upgrades!$T$7="First Photons",POWER(Upgrades!$U$7,F179),1)*IF(Upgrades!$T$8="First Photons",POWER(Upgrades!$U$8,G179),1)*IF(Upgrades!$T$9="First Photons",POWER(Upgrades!$U$9,H179),1)*IF(Upgrades!$T$10="First Photons",POWER(Upgrades!$U$10,I179),1)*IF(Upgrades!$T$11="First Photons",POWER(Upgrades!$U$11,J179),1)))*POWER(Upgrades!$R$6,E179)*POWER(Upgrades!$R$7,F179)*POWER(Upgrades!$R$8,G179)*POWER(Upgrades!$R$9,H179)*POWER(Upgrades!$R$10,I179)*POWER(Upgrades!$R$11,J179)*POWER(Upgrades!$R$12,K179)</f>
        <v>0</v>
      </c>
      <c r="P179" s="27" t="n">
        <f aca="false">IF(L179=1,0,M179*Parameters!$B$10/60*Parameters!$B$11*10)</f>
        <v>0</v>
      </c>
      <c r="Q179" s="27" t="n">
        <f aca="false">IF(L179=1,0,O179*M179*10)</f>
        <v>0</v>
      </c>
      <c r="R179" s="27" t="n">
        <f aca="false">IF(L179=1,0,N179*10)</f>
        <v>0</v>
      </c>
      <c r="S179" s="27" t="n">
        <f aca="false">P179+Q179+R179</f>
        <v>0</v>
      </c>
      <c r="T179" s="21" t="n">
        <f aca="false">C179+S179</f>
        <v>18.6730249835055</v>
      </c>
      <c r="U179" s="34" t="str">
        <f aca="false">AX179</f>
        <v/>
      </c>
      <c r="V179" s="21" t="n">
        <f aca="false">IF(U179="",0,IF(U179="transition",0,IF(U179="SW",AG179,IF(U179="AB",AH179,IF(U179="SC",AI179,IF(U179="Mag",AJ179,IF(U179="OR",AK179,IF(U179="HP",AL179,IF(U179="FP",AM179,0)))))))))</f>
        <v>0</v>
      </c>
      <c r="W179" s="27" t="n">
        <f aca="false">IF(U179="OR",Upgrades!$F$10,IF(U179="HP",Upgrades!$F$11,IF(U179="transition",-Parameters!$B$18,0)))</f>
        <v>0</v>
      </c>
      <c r="X179" s="21" t="n">
        <f aca="false">T179-V179</f>
        <v>18.6730249835055</v>
      </c>
      <c r="Y179" s="30" t="n">
        <f aca="false">M179*Parameters!$B$10/60*Parameters!$B$11+O179*M179+N179</f>
        <v>20.55</v>
      </c>
      <c r="Z179" s="35" t="str">
        <f aca="false">IF(U179="transition","→ Tier 2 (Stellar Neighborhood)",IF(U179="FP","First Photons — light begins, system quickens",IF(U179="HP","Heliopause acquired",IF(U179="OR","Orbital Resonance — passive multiplier active",IF(AND(AO179=1,L179=0,AN179&lt;&gt;1),"Cohesion ready (waiting on completionist upgrades)","")))))</f>
        <v/>
      </c>
      <c r="AA179" s="27" t="n">
        <f aca="false">(IF(E179=0,0,(Upgrades!$G$6+E179*Upgrades!$H$6)*POWER(Upgrades!$I$6,E179)))*(IF(Upgrades!$T$7="Solar Wind",POWER(Upgrades!$U$7,F179),1)*IF(Upgrades!$T$8="Solar Wind",POWER(Upgrades!$U$8,G179),1)*IF(Upgrades!$T$9="Solar Wind",POWER(Upgrades!$U$9,H179),1)*IF(Upgrades!$T$10="Solar Wind",POWER(Upgrades!$U$10,I179),1)*IF(Upgrades!$T$11="Solar Wind",POWER(Upgrades!$U$11,J179),1)*IF(Upgrades!$T$12="Solar Wind",POWER(Upgrades!$U$12,K179),1))*POWER(Upgrades!$P$6,E179)*POWER(Upgrades!$P$7,F179)*POWER(Upgrades!$P$8,G179)*POWER(Upgrades!$P$9,H179)*POWER(Upgrades!$P$10,I179)*POWER(Upgrades!$P$11,J179)*POWER(Upgrades!$P$12,K179)*60</f>
        <v>72</v>
      </c>
      <c r="AB179" s="27" t="n">
        <f aca="false">(IF(F179=0,0,(Upgrades!$G$7+F179*Upgrades!$H$7)*POWER(Upgrades!$I$7,F179)))*(IF(Upgrades!$T$6="Asteroid Belt",POWER(Upgrades!$U$6,E179),1)*IF(Upgrades!$T$8="Asteroid Belt",POWER(Upgrades!$U$8,G179),1)*IF(Upgrades!$T$9="Asteroid Belt",POWER(Upgrades!$U$9,H179),1)*IF(Upgrades!$T$10="Asteroid Belt",POWER(Upgrades!$U$10,I179),1)*IF(Upgrades!$T$11="Asteroid Belt",POWER(Upgrades!$U$11,J179),1)*IF(Upgrades!$T$12="Asteroid Belt",POWER(Upgrades!$U$12,K179),1))*POWER(Upgrades!$P$6,E179)*POWER(Upgrades!$P$7,F179)*POWER(Upgrades!$P$8,G179)*POWER(Upgrades!$P$9,H179)*POWER(Upgrades!$P$10,I179)*POWER(Upgrades!$P$11,J179)*POWER(Upgrades!$P$12,K179)*60</f>
        <v>150</v>
      </c>
      <c r="AC179" s="27" t="n">
        <f aca="false">(IF(G179=0,0,(Upgrades!$J$8+G179*Upgrades!$K$8)*POWER(Upgrades!$L$8,G179)))*(IF(Upgrades!$T$6="Stellar Coupling",POWER(Upgrades!$U$6,E179),1)*IF(Upgrades!$T$7="Stellar Coupling",POWER(Upgrades!$U$7,F179),1)*IF(Upgrades!$T$9="Stellar Coupling",POWER(Upgrades!$U$9,H179),1)*IF(Upgrades!$T$10="Stellar Coupling",POWER(Upgrades!$U$10,I179),1)*IF(Upgrades!$T$11="Stellar Coupling",POWER(Upgrades!$U$11,J179),1)*IF(Upgrades!$T$12="Stellar Coupling",POWER(Upgrades!$U$12,K179),1))*POWER(Upgrades!$Q$6,E179)*POWER(Upgrades!$Q$7,F179)*POWER(Upgrades!$Q$8,G179)*POWER(Upgrades!$Q$9,H179)*POWER(Upgrades!$Q$10,I179)*POWER(Upgrades!$Q$11,J179)*POWER(Upgrades!$Q$12,K179)*Parameters!$B$10*Parameters!$B$11</f>
        <v>441</v>
      </c>
      <c r="AD179" s="27" t="n">
        <f aca="false">(IF(H179=0,0,(Upgrades!$G$9+H179*Upgrades!$H$9)*POWER(Upgrades!$I$9,H179)))*(IF(Upgrades!$T$6="Magnetosphere",POWER(Upgrades!$U$6,E179),1)*IF(Upgrades!$T$7="Magnetosphere",POWER(Upgrades!$U$7,F179),1)*IF(Upgrades!$T$8="Magnetosphere",POWER(Upgrades!$U$8,G179),1)*IF(Upgrades!$T$10="Magnetosphere",POWER(Upgrades!$U$10,I179),1)*IF(Upgrades!$T$11="Magnetosphere",POWER(Upgrades!$U$11,J179),1)*IF(Upgrades!$T$12="Magnetosphere",POWER(Upgrades!$U$12,K179),1))*POWER(Upgrades!$P$6,E179)*POWER(Upgrades!$P$7,F179)*POWER(Upgrades!$P$8,G179)*POWER(Upgrades!$P$9,H179)*POWER(Upgrades!$P$10,I179)*POWER(Upgrades!$P$11,J179)*POWER(Upgrades!$P$12,K179)*60</f>
        <v>375</v>
      </c>
      <c r="AE179" s="27" t="n">
        <f aca="false">(IF(K179=0,0,(Upgrades!$G$12+K179*Upgrades!$H$12)*POWER(Upgrades!$I$12,K179)))*(IF(Upgrades!$T$6="First Photons",POWER(Upgrades!$U$6,E179),1)*IF(Upgrades!$T$7="First Photons",POWER(Upgrades!$U$7,F179),1)*IF(Upgrades!$T$8="First Photons",POWER(Upgrades!$U$8,G179),1)*IF(Upgrades!$T$9="First Photons",POWER(Upgrades!$U$9,H179),1)*IF(Upgrades!$T$10="First Photons",POWER(Upgrades!$U$10,I179),1)*IF(Upgrades!$T$11="First Photons",POWER(Upgrades!$U$11,J179),1))*POWER(Upgrades!$P$6,E179)*POWER(Upgrades!$P$7,F179)*POWER(Upgrades!$P$8,G179)*POWER(Upgrades!$P$9,H179)*POWER(Upgrades!$P$10,I179)*POWER(Upgrades!$P$11,J179)*POWER(Upgrades!$P$12,K179)*60</f>
        <v>75</v>
      </c>
      <c r="AF179" s="27" t="n">
        <f aca="false">Parameters!$B$9*POWER(Upgrades!$Q$6,E179)*POWER(Upgrades!$Q$7,F179)*POWER(Upgrades!$Q$8,G179)*POWER(Upgrades!$Q$9,H179)*POWER(Upgrades!$Q$10,I179)*POWER(Upgrades!$Q$11,J179)*POWER(Upgrades!$Q$12,K179)*(Parameters!$B$10*Parameters!$B$11+O179*60)</f>
        <v>120</v>
      </c>
      <c r="AG179" s="21" t="n">
        <f aca="false">IF(E179&gt;=Upgrades!$E$6,"",Upgrades!$C$6*POWER(Upgrades!$D$6,E179))</f>
        <v>37.4517507383159</v>
      </c>
      <c r="AH179" s="21" t="n">
        <f aca="false">IF(F179&gt;=Upgrades!$E$7,"",Upgrades!$C$7*POWER(Upgrades!$D$7,F179))</f>
        <v>80.9111547141581</v>
      </c>
      <c r="AI179" s="21" t="n">
        <f aca="false">IF(G179&gt;=Upgrades!$E$8,"",Upgrades!$C$8*POWER(Upgrades!$D$8,G179))</f>
        <v>231.9097088</v>
      </c>
      <c r="AJ179" s="21" t="str">
        <f aca="false">IF(H179&gt;=Upgrades!$E$9,"",Upgrades!$C$9*POWER(Upgrades!$D$9,H179))</f>
        <v/>
      </c>
      <c r="AK179" s="21" t="str">
        <f aca="false">IF(I179&gt;=Upgrades!$E$10,"",Upgrades!$C$10*POWER(Upgrades!$D$10,I179))</f>
        <v/>
      </c>
      <c r="AL179" s="21" t="str">
        <f aca="false">IF(J179&gt;=Upgrades!$E$11,"",Upgrades!$C$11*POWER(Upgrades!$D$11,J179))</f>
        <v/>
      </c>
      <c r="AM179" s="21" t="str">
        <f aca="false">IF(K179&gt;=Upgrades!$E$12,"",Upgrades!$C$12*POWER(Upgrades!$D$12,K179))</f>
        <v/>
      </c>
      <c r="AN179" s="26" t="str">
        <f aca="false">IF(AND(D179&gt;=Parameters!$B$18,(H179&gt;=Upgrades!$E$9)*(K179&gt;=Upgrades!$E$12)=1,L179=0),1,"")</f>
        <v/>
      </c>
      <c r="AO179" s="26" t="str">
        <f aca="false">IF(AND(D179&gt;=Parameters!$B$18,L179=0),1,"")</f>
        <v/>
      </c>
      <c r="AP179" s="21" t="n">
        <f aca="false">MIN(IF(ISNUMBER(AK179),AK179,9000000000000000),IF(ISNUMBER(AL179),AL179,9000000000000000),IF(ISNUMBER(AM179),AM179,9000000000000000))</f>
        <v>9000000000000000</v>
      </c>
      <c r="AQ179" s="21" t="n">
        <f aca="false">MIN(IF(ISNUMBER(AG179),AG179,9000000000000000),IF(ISNUMBER(AH179),AH179,9000000000000000),IF(ISNUMBER(AI179),AI179,9000000000000000),IF(ISNUMBER(AJ179),AJ179,9000000000000000))</f>
        <v>37.4517507383159</v>
      </c>
      <c r="AR179" s="32" t="b">
        <f aca="false">IF(AW179&gt;Parameters!$B$21*(MAX(IF(AND(NOT(AND(AO179=1,AN179&lt;&gt;1)),ISNUMBER(AG179),AG179&lt;=T179),AS179,0),IF(AND(NOT(AND(AO179=1,AN179&lt;&gt;1)),ISNUMBER(AH179),AH179&lt;=T179),AT179,0),IF(AND(NOT(AND(AO179=1,AN179&lt;&gt;1)),ISNUMBER(AI179),AI179&lt;=T179),AU179,0),IF(AND(ISNUMBER(AJ179),AJ179&lt;=T179),AV179,0))),TRUE(),FALSE())</f>
        <v>1</v>
      </c>
      <c r="AS179" s="33" t="n">
        <f aca="false">IFERROR(Upgrades!$H$6*(POWER(Upgrades!$P$6,E179)*POWER(Upgrades!$P$7,F179)*POWER(Upgrades!$P$8,G179)*POWER(Upgrades!$P$9,H179)*POWER(Upgrades!$P$10,I179)*POWER(Upgrades!$P$11,J179)*POWER(Upgrades!$P$12,K179))*(IF(Upgrades!$T$7="Solar Wind",POWER(Upgrades!$U$7,F179),1)*IF(Upgrades!$T$8="Solar Wind",POWER(Upgrades!$U$8,G179),1)*IF(Upgrades!$T$9="Solar Wind",POWER(Upgrades!$U$9,H179),1)*IF(Upgrades!$T$10="Solar Wind",POWER(Upgrades!$U$10,I179),1)*IF(Upgrades!$T$11="Solar Wind",POWER(Upgrades!$U$11,J179),1)*IF(Upgrades!$T$12="Solar Wind",POWER(Upgrades!$U$12,K179),1))/AG179,0)</f>
        <v>0.0026701021455238</v>
      </c>
      <c r="AT179" s="33" t="n">
        <f aca="false">IFERROR(Upgrades!$H$7*(POWER(Upgrades!$P$6,E179)*POWER(Upgrades!$P$7,F179)*POWER(Upgrades!$P$8,G179)*POWER(Upgrades!$P$9,H179)*POWER(Upgrades!$P$10,I179)*POWER(Upgrades!$P$11,J179)*POWER(Upgrades!$P$12,K179))*(IF(Upgrades!$T$6="Asteroid Belt",POWER(Upgrades!$U$6,E179),1)*IF(Upgrades!$T$8="Asteroid Belt",POWER(Upgrades!$U$8,G179),1)*IF(Upgrades!$T$9="Asteroid Belt",POWER(Upgrades!$U$9,H179),1)*IF(Upgrades!$T$10="Asteroid Belt",POWER(Upgrades!$U$10,I179),1)*IF(Upgrades!$T$11="Asteroid Belt",POWER(Upgrades!$U$11,J179),1)*IF(Upgrades!$T$12="Asteroid Belt",POWER(Upgrades!$U$12,K179),1))/AH179,0)</f>
        <v>0.00308980882652332</v>
      </c>
      <c r="AU179" s="33" t="n">
        <f aca="false">IFERROR(Upgrades!$K$8*(POWER(Upgrades!$Q$6,E179)*POWER(Upgrades!$Q$7,F179)*POWER(Upgrades!$Q$8,G179)*POWER(Upgrades!$Q$9,H179)*POWER(Upgrades!$Q$10,I179)*POWER(Upgrades!$Q$11,J179)*POWER(Upgrades!$Q$12,K179))*(IF(Upgrades!$T$6="Stellar Coupling",POWER(Upgrades!$U$6,E179),1)*IF(Upgrades!$T$7="Stellar Coupling",POWER(Upgrades!$U$7,F179),1)*IF(Upgrades!$T$9="Stellar Coupling",POWER(Upgrades!$U$9,H179),1)*IF(Upgrades!$T$10="Stellar Coupling",POWER(Upgrades!$U$10,I179),1)*IF(Upgrades!$T$11="Stellar Coupling",POWER(Upgrades!$U$11,J179),1)*IF(Upgrades!$T$12="Stellar Coupling",POWER(Upgrades!$U$12,K179),1))*Parameters!$B$10*Parameters!$B$11/60/AI179,0)</f>
        <v>0.00452762415783776</v>
      </c>
      <c r="AV179" s="33" t="n">
        <f aca="false">IFERROR(Upgrades!$H$9*(POWER(Upgrades!$P$6,E179)*POWER(Upgrades!$P$7,F179)*POWER(Upgrades!$P$8,G179)*POWER(Upgrades!$P$9,H179)*POWER(Upgrades!$P$10,I179)*POWER(Upgrades!$P$11,J179)*POWER(Upgrades!$P$12,K179))*(IF(Upgrades!$T$6="Magnetosphere",POWER(Upgrades!$U$6,E179),1)*IF(Upgrades!$T$7="Magnetosphere",POWER(Upgrades!$U$7,F179),1)*IF(Upgrades!$T$8="Magnetosphere",POWER(Upgrades!$U$8,G179),1)*IF(Upgrades!$T$10="Magnetosphere",POWER(Upgrades!$U$10,I179),1)*IF(Upgrades!$T$11="Magnetosphere",POWER(Upgrades!$U$11,J179),1)*IF(Upgrades!$T$12="Magnetosphere",POWER(Upgrades!$U$12,K179),1))/AJ179,0)</f>
        <v>0</v>
      </c>
      <c r="AW179" s="33" t="n">
        <f aca="false">MAX(IF(I179&gt;0,0,IFERROR(0.25*N179/Upgrades!$C$10,0)),IF(J179&gt;0,0,IFERROR(0.5*((IF(G179=0,0,(Upgrades!$J$8+G179*Upgrades!$K$8)*POWER(Upgrades!$L$8,G179)))*(IF(Upgrades!$T$6="Stellar Coupling",POWER(Upgrades!$U$6,E179),1)*IF(Upgrades!$T$7="Stellar Coupling",POWER(Upgrades!$U$7,F179),1)*IF(Upgrades!$T$9="Stellar Coupling",POWER(Upgrades!$U$9,H179),1)*IF(Upgrades!$T$10="Stellar Coupling",POWER(Upgrades!$U$10,I179),1)*IF(Upgrades!$T$11="Stellar Coupling",POWER(Upgrades!$U$11,J179),1)*IF(Upgrades!$T$12="Stellar Coupling",POWER(Upgrades!$U$12,K179),1))*(POWER(Upgrades!$Q$6,E179)*POWER(Upgrades!$Q$7,F179)*POWER(Upgrades!$Q$8,G179)*POWER(Upgrades!$Q$9,H179)*POWER(Upgrades!$Q$10,I179)*POWER(Upgrades!$Q$11,J179)*POWER(Upgrades!$Q$12,K179))*Parameters!$B$10*Parameters!$B$11/60)/Upgrades!$C$11,0)),IF(K179&gt;0,0,IFERROR((1*(POWER(Upgrades!$P$6,E179)*POWER(Upgrades!$P$7,F179)*POWER(Upgrades!$P$8,G179)*POWER(Upgrades!$P$9,H179)*POWER(Upgrades!$P$10,I179)*POWER(Upgrades!$P$11,J179)*POWER(Upgrades!$P$12,K179))+0.2*M179*Parameters!$B$10*Parameters!$B$11/60)/Upgrades!$C$12,0)),IF(AND(ISNUMBER(AG179),AG179&gt;T179),AS179,0),IF(AND(ISNUMBER(AH179),AH179&gt;T179),AT179,0),IF(AND(ISNUMBER(AI179),AI179&gt;T179),AU179,0),IF(AND(ISNUMBER(AJ179),AJ179&gt;T179),AV179,0))</f>
        <v>0.00452762415783776</v>
      </c>
      <c r="AX179" s="29" t="str">
        <f aca="false">IF(AN179=1,"transition",IF(MIN(IF(AND(I179=0,ISNUMBER(AK179),AK179&lt;=T179),AK179,9000000000000000),IF(AND(J179=0,ISNUMBER(AL179),AL179&lt;=T179),AL179,9000000000000000),IF(AND(K179=0,ISNUMBER(AM179),AM179&lt;=T179),AM179,9000000000000000))&lt;9000000000000000,IF(AND(AND(I179=0,ISNUMBER(AK179),AK179&lt;=T179),AK179=MIN(IF(AND(I179=0,ISNUMBER(AK179),AK179&lt;=T179),AK179,9000000000000000),IF(AND(J179=0,ISNUMBER(AL179),AL179&lt;=T179),AL179,9000000000000000),IF(AND(K179=0,ISNUMBER(AM179),AM179&lt;=T179),AM179,9000000000000000))),"OR",IF(AND(AND(J179=0,ISNUMBER(AL179),AL179&lt;=T179),AL179=MIN(IF(AND(I179=0,ISNUMBER(AK179),AK179&lt;=T179),AK179,9000000000000000),IF(AND(J179=0,ISNUMBER(AL179),AL179&lt;=T179),AL179,9000000000000000),IF(AND(K179=0,ISNUMBER(AM179),AM179&lt;=T179),AM179,9000000000000000))),"HP","FP")),IF(AR179=TRUE(),"",IF(MAX(IF(AND(NOT(AND(AO179=1,AN179&lt;&gt;1)),ISNUMBER(AG179),AG179&lt;=T179),AS179,0),IF(AND(NOT(AND(AO179=1,AN179&lt;&gt;1)),ISNUMBER(AH179),AH179&lt;=T179),AT179,0),IF(AND(NOT(AND(AO179=1,AN179&lt;&gt;1)),ISNUMBER(AI179),AI179&lt;=T179),AU179,0),IF(AND(ISNUMBER(AJ179),AJ179&lt;=T179),AV179,0))&lt;=0,"",IF(AND(IF(AND(NOT(AND(AO179=1,AN179&lt;&gt;1)),ISNUMBER(AG179),AG179&lt;=T179),AS179,0)&gt;0,IF(AND(NOT(AND(AO179=1,AN179&lt;&gt;1)),ISNUMBER(AG179),AG179&lt;=T179),AS179,0)=MAX(IF(AND(NOT(AND(AO179=1,AN179&lt;&gt;1)),ISNUMBER(AG179),AG179&lt;=T179),AS179,0),IF(AND(NOT(AND(AO179=1,AN179&lt;&gt;1)),ISNUMBER(AH179),AH179&lt;=T179),AT179,0),IF(AND(NOT(AND(AO179=1,AN179&lt;&gt;1)),ISNUMBER(AI179),AI179&lt;=T179),AU179,0),IF(AND(ISNUMBER(AJ179),AJ179&lt;=T179),AV179,0))),"SW",IF(AND(IF(AND(NOT(AND(AO179=1,AN179&lt;&gt;1)),ISNUMBER(AH179),AH179&lt;=T179),AT179,0)&gt;0,IF(AND(NOT(AND(AO179=1,AN179&lt;&gt;1)),ISNUMBER(AH179),AH179&lt;=T179),AT179,0)=MAX(IF(AND(NOT(AND(AO179=1,AN179&lt;&gt;1)),ISNUMBER(AG179),AG179&lt;=T179),AS179,0),IF(AND(NOT(AND(AO179=1,AN179&lt;&gt;1)),ISNUMBER(AH179),AH179&lt;=T179),AT179,0),IF(AND(NOT(AND(AO179=1,AN179&lt;&gt;1)),ISNUMBER(AI179),AI179&lt;=T179),AU179,0),IF(AND(ISNUMBER(AJ179),AJ179&lt;=T179),AV179,0))),"AB",IF(AND(IF(AND(NOT(AND(AO179=1,AN179&lt;&gt;1)),ISNUMBER(AI179),AI179&lt;=T179),AU179,0)&gt;0,IF(AND(NOT(AND(AO179=1,AN179&lt;&gt;1)),ISNUMBER(AI179),AI179&lt;=T179),AU179,0)=MAX(IF(AND(NOT(AND(AO179=1,AN179&lt;&gt;1)),ISNUMBER(AG179),AG179&lt;=T179),AS179,0),IF(AND(NOT(AND(AO179=1,AN179&lt;&gt;1)),ISNUMBER(AH179),AH179&lt;=T179),AT179,0),IF(AND(NOT(AND(AO179=1,AN179&lt;&gt;1)),ISNUMBER(AI179),AI179&lt;=T179),AU179,0),IF(AND(ISNUMBER(AJ179),AJ179&lt;=T179),AV179,0))),"SC","Mag")))))))</f>
        <v/>
      </c>
    </row>
    <row r="180" customFormat="false" ht="15" hidden="false" customHeight="false" outlineLevel="0" collapsed="false">
      <c r="A180" s="26" t="n">
        <v>175</v>
      </c>
      <c r="B180" s="27" t="n">
        <f aca="false">A180*10/60</f>
        <v>29.1666666666667</v>
      </c>
      <c r="C180" s="21" t="n">
        <f aca="false">X179</f>
        <v>18.6730249835055</v>
      </c>
      <c r="D180" s="27" t="n">
        <f aca="false">D179+W179</f>
        <v>0</v>
      </c>
      <c r="E180" s="26" t="n">
        <f aca="false">E179+IF(U179="SW",1,0)</f>
        <v>12</v>
      </c>
      <c r="F180" s="26" t="n">
        <f aca="false">F179+IF(U179="AB",1,0)</f>
        <v>10</v>
      </c>
      <c r="G180" s="26" t="n">
        <f aca="false">G179+IF(U179="SC",1,0)</f>
        <v>7</v>
      </c>
      <c r="H180" s="26" t="n">
        <f aca="false">H179+IF(U179="Mag",1,0)</f>
        <v>5</v>
      </c>
      <c r="I180" s="26" t="n">
        <f aca="false">MAX(I179,IF(U179="OR",1,0))</f>
        <v>1</v>
      </c>
      <c r="J180" s="26" t="n">
        <f aca="false">MAX(J179,IF(U179="HP",1,0))</f>
        <v>1</v>
      </c>
      <c r="K180" s="26" t="n">
        <f aca="false">MAX(K179,IF(U179="FP",1,0))</f>
        <v>1</v>
      </c>
      <c r="L180" s="26" t="n">
        <f aca="false">MAX(L179,IF(U179="transition",1,0))</f>
        <v>1</v>
      </c>
      <c r="M180" s="28" t="n">
        <f aca="false">(Parameters!$B$9+(IF(E180=0,0,(Upgrades!$J$6+E180*Upgrades!$K$6)*POWER(Upgrades!$L$6,E180)))*(IF(Upgrades!$T$7="Solar Wind",POWER(Upgrades!$U$7,F180),1)*IF(Upgrades!$T$8="Solar Wind",POWER(Upgrades!$U$8,G180),1)*IF(Upgrades!$T$9="Solar Wind",POWER(Upgrades!$U$9,H180),1)*IF(Upgrades!$T$10="Solar Wind",POWER(Upgrades!$U$10,I180),1)*IF(Upgrades!$T$11="Solar Wind",POWER(Upgrades!$U$11,J180),1)*IF(Upgrades!$T$12="Solar Wind",POWER(Upgrades!$U$12,K180),1))+(IF(F180=0,0,(Upgrades!$J$7+F180*Upgrades!$K$7)*POWER(Upgrades!$L$7,F180)))*(IF(Upgrades!$T$6="Asteroid Belt",POWER(Upgrades!$U$6,E180),1)*IF(Upgrades!$T$8="Asteroid Belt",POWER(Upgrades!$U$8,G180),1)*IF(Upgrades!$T$9="Asteroid Belt",POWER(Upgrades!$U$9,H180),1)*IF(Upgrades!$T$10="Asteroid Belt",POWER(Upgrades!$U$10,I180),1)*IF(Upgrades!$T$11="Asteroid Belt",POWER(Upgrades!$U$11,J180),1)*IF(Upgrades!$T$12="Asteroid Belt",POWER(Upgrades!$U$12,K180),1))+(IF(G180=0,0,(Upgrades!$J$8+G180*Upgrades!$K$8)*POWER(Upgrades!$L$8,G180)))*(IF(Upgrades!$T$6="Stellar Coupling",POWER(Upgrades!$U$6,E180),1)*IF(Upgrades!$T$7="Stellar Coupling",POWER(Upgrades!$U$7,F180),1)*IF(Upgrades!$T$9="Stellar Coupling",POWER(Upgrades!$U$9,H180),1)*IF(Upgrades!$T$10="Stellar Coupling",POWER(Upgrades!$U$10,I180),1)*IF(Upgrades!$T$11="Stellar Coupling",POWER(Upgrades!$U$11,J180),1)*IF(Upgrades!$T$12="Stellar Coupling",POWER(Upgrades!$U$12,K180),1))+(IF(H180=0,0,(Upgrades!$J$9+H180*Upgrades!$K$9)*POWER(Upgrades!$L$9,H180)))*(IF(Upgrades!$T$6="Magnetosphere",POWER(Upgrades!$U$6,E180),1)*IF(Upgrades!$T$7="Magnetosphere",POWER(Upgrades!$U$7,F180),1)*IF(Upgrades!$T$8="Magnetosphere",POWER(Upgrades!$U$8,G180),1)*IF(Upgrades!$T$10="Magnetosphere",POWER(Upgrades!$U$10,I180),1)*IF(Upgrades!$T$11="Magnetosphere",POWER(Upgrades!$U$11,J180),1)*IF(Upgrades!$T$12="Magnetosphere",POWER(Upgrades!$U$12,K180),1))+(IF(I180=0,0,(Upgrades!$J$10+I180*Upgrades!$K$10)*POWER(Upgrades!$L$10,I180)))*(IF(Upgrades!$T$6="Orbital Resonance",POWER(Upgrades!$U$6,E180),1)*IF(Upgrades!$T$7="Orbital Resonance",POWER(Upgrades!$U$7,F180),1)*IF(Upgrades!$T$8="Orbital Resonance",POWER(Upgrades!$U$8,G180),1)*IF(Upgrades!$T$9="Orbital Resonance",POWER(Upgrades!$U$9,H180),1)*IF(Upgrades!$T$11="Orbital Resonance",POWER(Upgrades!$U$11,J180),1)*IF(Upgrades!$T$12="Orbital Resonance",POWER(Upgrades!$U$12,K180),1))+(IF(J180=0,0,(Upgrades!$J$11+J180*Upgrades!$K$11)*POWER(Upgrades!$L$11,J180)))*(IF(Upgrades!$T$6="Heliopause",POWER(Upgrades!$U$6,E180),1)*IF(Upgrades!$T$7="Heliopause",POWER(Upgrades!$U$7,F180),1)*IF(Upgrades!$T$8="Heliopause",POWER(Upgrades!$U$8,G180),1)*IF(Upgrades!$T$9="Heliopause",POWER(Upgrades!$U$9,H180),1)*IF(Upgrades!$T$10="Heliopause",POWER(Upgrades!$U$10,I180),1)*IF(Upgrades!$T$12="Heliopause",POWER(Upgrades!$U$12,K180),1))+(IF(K180=0,0,(Upgrades!$J$12+K180*Upgrades!$K$12)*POWER(Upgrades!$L$12,K180)))*(IF(Upgrades!$T$6="First Photons",POWER(Upgrades!$U$6,E180),1)*IF(Upgrades!$T$7="First Photons",POWER(Upgrades!$U$7,F180),1)*IF(Upgrades!$T$8="First Photons",POWER(Upgrades!$U$8,G180),1)*IF(Upgrades!$T$9="First Photons",POWER(Upgrades!$U$9,H180),1)*IF(Upgrades!$T$10="First Photons",POWER(Upgrades!$U$10,I180),1)*IF(Upgrades!$T$11="First Photons",POWER(Upgrades!$U$11,J180),1)))*POWER(Upgrades!$Q$6,E180)*POWER(Upgrades!$Q$7,F180)*POWER(Upgrades!$Q$8,G180)*POWER(Upgrades!$Q$9,H180)*POWER(Upgrades!$Q$10,I180)*POWER(Upgrades!$Q$11,J180)*POWER(Upgrades!$Q$12,K180)</f>
        <v>5.61</v>
      </c>
      <c r="N180" s="28" t="n">
        <f aca="false">((IF(E180=0,0,(Upgrades!$G$6+E180*Upgrades!$H$6)*POWER(Upgrades!$I$6,E180)))*(IF(Upgrades!$T$7="Solar Wind",POWER(Upgrades!$U$7,F180),1)*IF(Upgrades!$T$8="Solar Wind",POWER(Upgrades!$U$8,G180),1)*IF(Upgrades!$T$9="Solar Wind",POWER(Upgrades!$U$9,H180),1)*IF(Upgrades!$T$10="Solar Wind",POWER(Upgrades!$U$10,I180),1)*IF(Upgrades!$T$11="Solar Wind",POWER(Upgrades!$U$11,J180),1)*IF(Upgrades!$T$12="Solar Wind",POWER(Upgrades!$U$12,K180),1))+(IF(F180=0,0,(Upgrades!$G$7+F180*Upgrades!$H$7)*POWER(Upgrades!$I$7,F180)))*(IF(Upgrades!$T$6="Asteroid Belt",POWER(Upgrades!$U$6,E180),1)*IF(Upgrades!$T$8="Asteroid Belt",POWER(Upgrades!$U$8,G180),1)*IF(Upgrades!$T$9="Asteroid Belt",POWER(Upgrades!$U$9,H180),1)*IF(Upgrades!$T$10="Asteroid Belt",POWER(Upgrades!$U$10,I180),1)*IF(Upgrades!$T$11="Asteroid Belt",POWER(Upgrades!$U$11,J180),1)*IF(Upgrades!$T$12="Asteroid Belt",POWER(Upgrades!$U$12,K180),1))+(IF(G180=0,0,(Upgrades!$G$8+G180*Upgrades!$H$8)*POWER(Upgrades!$I$8,G180)))*(IF(Upgrades!$T$6="Stellar Coupling",POWER(Upgrades!$U$6,E180),1)*IF(Upgrades!$T$7="Stellar Coupling",POWER(Upgrades!$U$7,F180),1)*IF(Upgrades!$T$9="Stellar Coupling",POWER(Upgrades!$U$9,H180),1)*IF(Upgrades!$T$10="Stellar Coupling",POWER(Upgrades!$U$10,I180),1)*IF(Upgrades!$T$11="Stellar Coupling",POWER(Upgrades!$U$11,J180),1)*IF(Upgrades!$T$12="Stellar Coupling",POWER(Upgrades!$U$12,K180),1))+(IF(H180=0,0,(Upgrades!$G$9+H180*Upgrades!$H$9)*POWER(Upgrades!$I$9,H180)))*(IF(Upgrades!$T$6="Magnetosphere",POWER(Upgrades!$U$6,E180),1)*IF(Upgrades!$T$7="Magnetosphere",POWER(Upgrades!$U$7,F180),1)*IF(Upgrades!$T$8="Magnetosphere",POWER(Upgrades!$U$8,G180),1)*IF(Upgrades!$T$10="Magnetosphere",POWER(Upgrades!$U$10,I180),1)*IF(Upgrades!$T$11="Magnetosphere",POWER(Upgrades!$U$11,J180),1)*IF(Upgrades!$T$12="Magnetosphere",POWER(Upgrades!$U$12,K180),1))+(IF(I180=0,0,(Upgrades!$G$10+I180*Upgrades!$H$10)*POWER(Upgrades!$I$10,I180)))*(IF(Upgrades!$T$6="Orbital Resonance",POWER(Upgrades!$U$6,E180),1)*IF(Upgrades!$T$7="Orbital Resonance",POWER(Upgrades!$U$7,F180),1)*IF(Upgrades!$T$8="Orbital Resonance",POWER(Upgrades!$U$8,G180),1)*IF(Upgrades!$T$9="Orbital Resonance",POWER(Upgrades!$U$9,H180),1)*IF(Upgrades!$T$11="Orbital Resonance",POWER(Upgrades!$U$11,J180),1)*IF(Upgrades!$T$12="Orbital Resonance",POWER(Upgrades!$U$12,K180),1))+(IF(J180=0,0,(Upgrades!$G$11+J180*Upgrades!$H$11)*POWER(Upgrades!$I$11,J180)))*(IF(Upgrades!$T$6="Heliopause",POWER(Upgrades!$U$6,E180),1)*IF(Upgrades!$T$7="Heliopause",POWER(Upgrades!$U$7,F180),1)*IF(Upgrades!$T$8="Heliopause",POWER(Upgrades!$U$8,G180),1)*IF(Upgrades!$T$9="Heliopause",POWER(Upgrades!$U$9,H180),1)*IF(Upgrades!$T$10="Heliopause",POWER(Upgrades!$U$10,I180),1)*IF(Upgrades!$T$12="Heliopause",POWER(Upgrades!$U$12,K180),1))+(IF(K180=0,0,(Upgrades!$G$12+K180*Upgrades!$H$12)*POWER(Upgrades!$I$12,K180)))*(IF(Upgrades!$T$6="First Photons",POWER(Upgrades!$U$6,E180),1)*IF(Upgrades!$T$7="First Photons",POWER(Upgrades!$U$7,F180),1)*IF(Upgrades!$T$8="First Photons",POWER(Upgrades!$U$8,G180),1)*IF(Upgrades!$T$9="First Photons",POWER(Upgrades!$U$9,H180),1)*IF(Upgrades!$T$10="First Photons",POWER(Upgrades!$U$10,I180),1)*IF(Upgrades!$T$11="First Photons",POWER(Upgrades!$U$11,J180),1)))*POWER(Upgrades!$P$6,E180)*POWER(Upgrades!$P$7,F180)*POWER(Upgrades!$P$8,G180)*POWER(Upgrades!$P$9,H180)*POWER(Upgrades!$P$10,I180)*POWER(Upgrades!$P$11,J180)*POWER(Upgrades!$P$12,K180)</f>
        <v>11.2</v>
      </c>
      <c r="O180" s="28" t="n">
        <f aca="false">((IF(E180=0,0,(Upgrades!$M$6+E180*Upgrades!$N$6)*POWER(Upgrades!$O$6,E180)))*(IF(Upgrades!$T$7="Solar Wind",POWER(Upgrades!$U$7,F180),1)*IF(Upgrades!$T$8="Solar Wind",POWER(Upgrades!$U$8,G180),1)*IF(Upgrades!$T$9="Solar Wind",POWER(Upgrades!$U$9,H180),1)*IF(Upgrades!$T$10="Solar Wind",POWER(Upgrades!$U$10,I180),1)*IF(Upgrades!$T$11="Solar Wind",POWER(Upgrades!$U$11,J180),1)*IF(Upgrades!$T$12="Solar Wind",POWER(Upgrades!$U$12,K180),1))+(IF(F180=0,0,(Upgrades!$M$7+F180*Upgrades!$N$7)*POWER(Upgrades!$O$7,F180)))*(IF(Upgrades!$T$6="Asteroid Belt",POWER(Upgrades!$U$6,E180),1)*IF(Upgrades!$T$8="Asteroid Belt",POWER(Upgrades!$U$8,G180),1)*IF(Upgrades!$T$9="Asteroid Belt",POWER(Upgrades!$U$9,H180),1)*IF(Upgrades!$T$10="Asteroid Belt",POWER(Upgrades!$U$10,I180),1)*IF(Upgrades!$T$11="Asteroid Belt",POWER(Upgrades!$U$11,J180),1)*IF(Upgrades!$T$12="Asteroid Belt",POWER(Upgrades!$U$12,K180),1))+(IF(G180=0,0,(Upgrades!$M$8+G180*Upgrades!$N$8)*POWER(Upgrades!$O$8,G180)))*(IF(Upgrades!$T$6="Stellar Coupling",POWER(Upgrades!$U$6,E180),1)*IF(Upgrades!$T$7="Stellar Coupling",POWER(Upgrades!$U$7,F180),1)*IF(Upgrades!$T$9="Stellar Coupling",POWER(Upgrades!$U$9,H180),1)*IF(Upgrades!$T$10="Stellar Coupling",POWER(Upgrades!$U$10,I180),1)*IF(Upgrades!$T$11="Stellar Coupling",POWER(Upgrades!$U$11,J180),1)*IF(Upgrades!$T$12="Stellar Coupling",POWER(Upgrades!$U$12,K180),1))+(IF(H180=0,0,(Upgrades!$M$9+H180*Upgrades!$N$9)*POWER(Upgrades!$O$9,H180)))*(IF(Upgrades!$T$6="Magnetosphere",POWER(Upgrades!$U$6,E180),1)*IF(Upgrades!$T$7="Magnetosphere",POWER(Upgrades!$U$7,F180),1)*IF(Upgrades!$T$8="Magnetosphere",POWER(Upgrades!$U$8,G180),1)*IF(Upgrades!$T$10="Magnetosphere",POWER(Upgrades!$U$10,I180),1)*IF(Upgrades!$T$11="Magnetosphere",POWER(Upgrades!$U$11,J180),1)*IF(Upgrades!$T$12="Magnetosphere",POWER(Upgrades!$U$12,K180),1))+(IF(I180=0,0,(Upgrades!$M$10+I180*Upgrades!$N$10)*POWER(Upgrades!$O$10,I180)))*(IF(Upgrades!$T$6="Orbital Resonance",POWER(Upgrades!$U$6,E180),1)*IF(Upgrades!$T$7="Orbital Resonance",POWER(Upgrades!$U$7,F180),1)*IF(Upgrades!$T$8="Orbital Resonance",POWER(Upgrades!$U$8,G180),1)*IF(Upgrades!$T$9="Orbital Resonance",POWER(Upgrades!$U$9,H180),1)*IF(Upgrades!$T$11="Orbital Resonance",POWER(Upgrades!$U$11,J180),1)*IF(Upgrades!$T$12="Orbital Resonance",POWER(Upgrades!$U$12,K180),1))+(IF(J180=0,0,(Upgrades!$M$11+J180*Upgrades!$N$11)*POWER(Upgrades!$O$11,J180)))*(IF(Upgrades!$T$6="Heliopause",POWER(Upgrades!$U$6,E180),1)*IF(Upgrades!$T$7="Heliopause",POWER(Upgrades!$U$7,F180),1)*IF(Upgrades!$T$8="Heliopause",POWER(Upgrades!$U$8,G180),1)*IF(Upgrades!$T$9="Heliopause",POWER(Upgrades!$U$9,H180),1)*IF(Upgrades!$T$10="Heliopause",POWER(Upgrades!$U$10,I180),1)*IF(Upgrades!$T$12="Heliopause",POWER(Upgrades!$U$12,K180),1))+(IF(K180=0,0,(Upgrades!$M$12+K180*Upgrades!$N$12)*POWER(Upgrades!$O$12,K180)))*(IF(Upgrades!$T$6="First Photons",POWER(Upgrades!$U$6,E180),1)*IF(Upgrades!$T$7="First Photons",POWER(Upgrades!$U$7,F180),1)*IF(Upgrades!$T$8="First Photons",POWER(Upgrades!$U$8,G180),1)*IF(Upgrades!$T$9="First Photons",POWER(Upgrades!$U$9,H180),1)*IF(Upgrades!$T$10="First Photons",POWER(Upgrades!$U$10,I180),1)*IF(Upgrades!$T$11="First Photons",POWER(Upgrades!$U$11,J180),1)))*POWER(Upgrades!$R$6,E180)*POWER(Upgrades!$R$7,F180)*POWER(Upgrades!$R$8,G180)*POWER(Upgrades!$R$9,H180)*POWER(Upgrades!$R$10,I180)*POWER(Upgrades!$R$11,J180)*POWER(Upgrades!$R$12,K180)</f>
        <v>0</v>
      </c>
      <c r="P180" s="27" t="n">
        <f aca="false">IF(L180=1,0,M180*Parameters!$B$10/60*Parameters!$B$11*10)</f>
        <v>0</v>
      </c>
      <c r="Q180" s="27" t="n">
        <f aca="false">IF(L180=1,0,O180*M180*10)</f>
        <v>0</v>
      </c>
      <c r="R180" s="27" t="n">
        <f aca="false">IF(L180=1,0,N180*10)</f>
        <v>0</v>
      </c>
      <c r="S180" s="27" t="n">
        <f aca="false">P180+Q180+R180</f>
        <v>0</v>
      </c>
      <c r="T180" s="21" t="n">
        <f aca="false">C180+S180</f>
        <v>18.6730249835055</v>
      </c>
      <c r="U180" s="34" t="str">
        <f aca="false">AX180</f>
        <v/>
      </c>
      <c r="V180" s="21" t="n">
        <f aca="false">IF(U180="",0,IF(U180="transition",0,IF(U180="SW",AG180,IF(U180="AB",AH180,IF(U180="SC",AI180,IF(U180="Mag",AJ180,IF(U180="OR",AK180,IF(U180="HP",AL180,IF(U180="FP",AM180,0)))))))))</f>
        <v>0</v>
      </c>
      <c r="W180" s="27" t="n">
        <f aca="false">IF(U180="OR",Upgrades!$F$10,IF(U180="HP",Upgrades!$F$11,IF(U180="transition",-Parameters!$B$18,0)))</f>
        <v>0</v>
      </c>
      <c r="X180" s="21" t="n">
        <f aca="false">T180-V180</f>
        <v>18.6730249835055</v>
      </c>
      <c r="Y180" s="30" t="n">
        <f aca="false">M180*Parameters!$B$10/60*Parameters!$B$11+O180*M180+N180</f>
        <v>20.55</v>
      </c>
      <c r="Z180" s="35" t="str">
        <f aca="false">IF(U180="transition","→ Tier 2 (Stellar Neighborhood)",IF(U180="FP","First Photons — light begins, system quickens",IF(U180="HP","Heliopause acquired",IF(U180="OR","Orbital Resonance — passive multiplier active",IF(AND(AO180=1,L180=0,AN180&lt;&gt;1),"Cohesion ready (waiting on completionist upgrades)","")))))</f>
        <v/>
      </c>
      <c r="AA180" s="27" t="n">
        <f aca="false">(IF(E180=0,0,(Upgrades!$G$6+E180*Upgrades!$H$6)*POWER(Upgrades!$I$6,E180)))*(IF(Upgrades!$T$7="Solar Wind",POWER(Upgrades!$U$7,F180),1)*IF(Upgrades!$T$8="Solar Wind",POWER(Upgrades!$U$8,G180),1)*IF(Upgrades!$T$9="Solar Wind",POWER(Upgrades!$U$9,H180),1)*IF(Upgrades!$T$10="Solar Wind",POWER(Upgrades!$U$10,I180),1)*IF(Upgrades!$T$11="Solar Wind",POWER(Upgrades!$U$11,J180),1)*IF(Upgrades!$T$12="Solar Wind",POWER(Upgrades!$U$12,K180),1))*POWER(Upgrades!$P$6,E180)*POWER(Upgrades!$P$7,F180)*POWER(Upgrades!$P$8,G180)*POWER(Upgrades!$P$9,H180)*POWER(Upgrades!$P$10,I180)*POWER(Upgrades!$P$11,J180)*POWER(Upgrades!$P$12,K180)*60</f>
        <v>72</v>
      </c>
      <c r="AB180" s="27" t="n">
        <f aca="false">(IF(F180=0,0,(Upgrades!$G$7+F180*Upgrades!$H$7)*POWER(Upgrades!$I$7,F180)))*(IF(Upgrades!$T$6="Asteroid Belt",POWER(Upgrades!$U$6,E180),1)*IF(Upgrades!$T$8="Asteroid Belt",POWER(Upgrades!$U$8,G180),1)*IF(Upgrades!$T$9="Asteroid Belt",POWER(Upgrades!$U$9,H180),1)*IF(Upgrades!$T$10="Asteroid Belt",POWER(Upgrades!$U$10,I180),1)*IF(Upgrades!$T$11="Asteroid Belt",POWER(Upgrades!$U$11,J180),1)*IF(Upgrades!$T$12="Asteroid Belt",POWER(Upgrades!$U$12,K180),1))*POWER(Upgrades!$P$6,E180)*POWER(Upgrades!$P$7,F180)*POWER(Upgrades!$P$8,G180)*POWER(Upgrades!$P$9,H180)*POWER(Upgrades!$P$10,I180)*POWER(Upgrades!$P$11,J180)*POWER(Upgrades!$P$12,K180)*60</f>
        <v>150</v>
      </c>
      <c r="AC180" s="27" t="n">
        <f aca="false">(IF(G180=0,0,(Upgrades!$J$8+G180*Upgrades!$K$8)*POWER(Upgrades!$L$8,G180)))*(IF(Upgrades!$T$6="Stellar Coupling",POWER(Upgrades!$U$6,E180),1)*IF(Upgrades!$T$7="Stellar Coupling",POWER(Upgrades!$U$7,F180),1)*IF(Upgrades!$T$9="Stellar Coupling",POWER(Upgrades!$U$9,H180),1)*IF(Upgrades!$T$10="Stellar Coupling",POWER(Upgrades!$U$10,I180),1)*IF(Upgrades!$T$11="Stellar Coupling",POWER(Upgrades!$U$11,J180),1)*IF(Upgrades!$T$12="Stellar Coupling",POWER(Upgrades!$U$12,K180),1))*POWER(Upgrades!$Q$6,E180)*POWER(Upgrades!$Q$7,F180)*POWER(Upgrades!$Q$8,G180)*POWER(Upgrades!$Q$9,H180)*POWER(Upgrades!$Q$10,I180)*POWER(Upgrades!$Q$11,J180)*POWER(Upgrades!$Q$12,K180)*Parameters!$B$10*Parameters!$B$11</f>
        <v>441</v>
      </c>
      <c r="AD180" s="27" t="n">
        <f aca="false">(IF(H180=0,0,(Upgrades!$G$9+H180*Upgrades!$H$9)*POWER(Upgrades!$I$9,H180)))*(IF(Upgrades!$T$6="Magnetosphere",POWER(Upgrades!$U$6,E180),1)*IF(Upgrades!$T$7="Magnetosphere",POWER(Upgrades!$U$7,F180),1)*IF(Upgrades!$T$8="Magnetosphere",POWER(Upgrades!$U$8,G180),1)*IF(Upgrades!$T$10="Magnetosphere",POWER(Upgrades!$U$10,I180),1)*IF(Upgrades!$T$11="Magnetosphere",POWER(Upgrades!$U$11,J180),1)*IF(Upgrades!$T$12="Magnetosphere",POWER(Upgrades!$U$12,K180),1))*POWER(Upgrades!$P$6,E180)*POWER(Upgrades!$P$7,F180)*POWER(Upgrades!$P$8,G180)*POWER(Upgrades!$P$9,H180)*POWER(Upgrades!$P$10,I180)*POWER(Upgrades!$P$11,J180)*POWER(Upgrades!$P$12,K180)*60</f>
        <v>375</v>
      </c>
      <c r="AE180" s="27" t="n">
        <f aca="false">(IF(K180=0,0,(Upgrades!$G$12+K180*Upgrades!$H$12)*POWER(Upgrades!$I$12,K180)))*(IF(Upgrades!$T$6="First Photons",POWER(Upgrades!$U$6,E180),1)*IF(Upgrades!$T$7="First Photons",POWER(Upgrades!$U$7,F180),1)*IF(Upgrades!$T$8="First Photons",POWER(Upgrades!$U$8,G180),1)*IF(Upgrades!$T$9="First Photons",POWER(Upgrades!$U$9,H180),1)*IF(Upgrades!$T$10="First Photons",POWER(Upgrades!$U$10,I180),1)*IF(Upgrades!$T$11="First Photons",POWER(Upgrades!$U$11,J180),1))*POWER(Upgrades!$P$6,E180)*POWER(Upgrades!$P$7,F180)*POWER(Upgrades!$P$8,G180)*POWER(Upgrades!$P$9,H180)*POWER(Upgrades!$P$10,I180)*POWER(Upgrades!$P$11,J180)*POWER(Upgrades!$P$12,K180)*60</f>
        <v>75</v>
      </c>
      <c r="AF180" s="27" t="n">
        <f aca="false">Parameters!$B$9*POWER(Upgrades!$Q$6,E180)*POWER(Upgrades!$Q$7,F180)*POWER(Upgrades!$Q$8,G180)*POWER(Upgrades!$Q$9,H180)*POWER(Upgrades!$Q$10,I180)*POWER(Upgrades!$Q$11,J180)*POWER(Upgrades!$Q$12,K180)*(Parameters!$B$10*Parameters!$B$11+O180*60)</f>
        <v>120</v>
      </c>
      <c r="AG180" s="21" t="n">
        <f aca="false">IF(E180&gt;=Upgrades!$E$6,"",Upgrades!$C$6*POWER(Upgrades!$D$6,E180))</f>
        <v>37.4517507383159</v>
      </c>
      <c r="AH180" s="21" t="n">
        <f aca="false">IF(F180&gt;=Upgrades!$E$7,"",Upgrades!$C$7*POWER(Upgrades!$D$7,F180))</f>
        <v>80.9111547141581</v>
      </c>
      <c r="AI180" s="21" t="n">
        <f aca="false">IF(G180&gt;=Upgrades!$E$8,"",Upgrades!$C$8*POWER(Upgrades!$D$8,G180))</f>
        <v>231.9097088</v>
      </c>
      <c r="AJ180" s="21" t="str">
        <f aca="false">IF(H180&gt;=Upgrades!$E$9,"",Upgrades!$C$9*POWER(Upgrades!$D$9,H180))</f>
        <v/>
      </c>
      <c r="AK180" s="21" t="str">
        <f aca="false">IF(I180&gt;=Upgrades!$E$10,"",Upgrades!$C$10*POWER(Upgrades!$D$10,I180))</f>
        <v/>
      </c>
      <c r="AL180" s="21" t="str">
        <f aca="false">IF(J180&gt;=Upgrades!$E$11,"",Upgrades!$C$11*POWER(Upgrades!$D$11,J180))</f>
        <v/>
      </c>
      <c r="AM180" s="21" t="str">
        <f aca="false">IF(K180&gt;=Upgrades!$E$12,"",Upgrades!$C$12*POWER(Upgrades!$D$12,K180))</f>
        <v/>
      </c>
      <c r="AN180" s="26" t="str">
        <f aca="false">IF(AND(D180&gt;=Parameters!$B$18,(H180&gt;=Upgrades!$E$9)*(K180&gt;=Upgrades!$E$12)=1,L180=0),1,"")</f>
        <v/>
      </c>
      <c r="AO180" s="26" t="str">
        <f aca="false">IF(AND(D180&gt;=Parameters!$B$18,L180=0),1,"")</f>
        <v/>
      </c>
      <c r="AP180" s="21" t="n">
        <f aca="false">MIN(IF(ISNUMBER(AK180),AK180,9000000000000000),IF(ISNUMBER(AL180),AL180,9000000000000000),IF(ISNUMBER(AM180),AM180,9000000000000000))</f>
        <v>9000000000000000</v>
      </c>
      <c r="AQ180" s="21" t="n">
        <f aca="false">MIN(IF(ISNUMBER(AG180),AG180,9000000000000000),IF(ISNUMBER(AH180),AH180,9000000000000000),IF(ISNUMBER(AI180),AI180,9000000000000000),IF(ISNUMBER(AJ180),AJ180,9000000000000000))</f>
        <v>37.4517507383159</v>
      </c>
      <c r="AR180" s="32" t="b">
        <f aca="false">IF(AW180&gt;Parameters!$B$21*(MAX(IF(AND(NOT(AND(AO180=1,AN180&lt;&gt;1)),ISNUMBER(AG180),AG180&lt;=T180),AS180,0),IF(AND(NOT(AND(AO180=1,AN180&lt;&gt;1)),ISNUMBER(AH180),AH180&lt;=T180),AT180,0),IF(AND(NOT(AND(AO180=1,AN180&lt;&gt;1)),ISNUMBER(AI180),AI180&lt;=T180),AU180,0),IF(AND(ISNUMBER(AJ180),AJ180&lt;=T180),AV180,0))),TRUE(),FALSE())</f>
        <v>1</v>
      </c>
      <c r="AS180" s="33" t="n">
        <f aca="false">IFERROR(Upgrades!$H$6*(POWER(Upgrades!$P$6,E180)*POWER(Upgrades!$P$7,F180)*POWER(Upgrades!$P$8,G180)*POWER(Upgrades!$P$9,H180)*POWER(Upgrades!$P$10,I180)*POWER(Upgrades!$P$11,J180)*POWER(Upgrades!$P$12,K180))*(IF(Upgrades!$T$7="Solar Wind",POWER(Upgrades!$U$7,F180),1)*IF(Upgrades!$T$8="Solar Wind",POWER(Upgrades!$U$8,G180),1)*IF(Upgrades!$T$9="Solar Wind",POWER(Upgrades!$U$9,H180),1)*IF(Upgrades!$T$10="Solar Wind",POWER(Upgrades!$U$10,I180),1)*IF(Upgrades!$T$11="Solar Wind",POWER(Upgrades!$U$11,J180),1)*IF(Upgrades!$T$12="Solar Wind",POWER(Upgrades!$U$12,K180),1))/AG180,0)</f>
        <v>0.0026701021455238</v>
      </c>
      <c r="AT180" s="33" t="n">
        <f aca="false">IFERROR(Upgrades!$H$7*(POWER(Upgrades!$P$6,E180)*POWER(Upgrades!$P$7,F180)*POWER(Upgrades!$P$8,G180)*POWER(Upgrades!$P$9,H180)*POWER(Upgrades!$P$10,I180)*POWER(Upgrades!$P$11,J180)*POWER(Upgrades!$P$12,K180))*(IF(Upgrades!$T$6="Asteroid Belt",POWER(Upgrades!$U$6,E180),1)*IF(Upgrades!$T$8="Asteroid Belt",POWER(Upgrades!$U$8,G180),1)*IF(Upgrades!$T$9="Asteroid Belt",POWER(Upgrades!$U$9,H180),1)*IF(Upgrades!$T$10="Asteroid Belt",POWER(Upgrades!$U$10,I180),1)*IF(Upgrades!$T$11="Asteroid Belt",POWER(Upgrades!$U$11,J180),1)*IF(Upgrades!$T$12="Asteroid Belt",POWER(Upgrades!$U$12,K180),1))/AH180,0)</f>
        <v>0.00308980882652332</v>
      </c>
      <c r="AU180" s="33" t="n">
        <f aca="false">IFERROR(Upgrades!$K$8*(POWER(Upgrades!$Q$6,E180)*POWER(Upgrades!$Q$7,F180)*POWER(Upgrades!$Q$8,G180)*POWER(Upgrades!$Q$9,H180)*POWER(Upgrades!$Q$10,I180)*POWER(Upgrades!$Q$11,J180)*POWER(Upgrades!$Q$12,K180))*(IF(Upgrades!$T$6="Stellar Coupling",POWER(Upgrades!$U$6,E180),1)*IF(Upgrades!$T$7="Stellar Coupling",POWER(Upgrades!$U$7,F180),1)*IF(Upgrades!$T$9="Stellar Coupling",POWER(Upgrades!$U$9,H180),1)*IF(Upgrades!$T$10="Stellar Coupling",POWER(Upgrades!$U$10,I180),1)*IF(Upgrades!$T$11="Stellar Coupling",POWER(Upgrades!$U$11,J180),1)*IF(Upgrades!$T$12="Stellar Coupling",POWER(Upgrades!$U$12,K180),1))*Parameters!$B$10*Parameters!$B$11/60/AI180,0)</f>
        <v>0.00452762415783776</v>
      </c>
      <c r="AV180" s="33" t="n">
        <f aca="false">IFERROR(Upgrades!$H$9*(POWER(Upgrades!$P$6,E180)*POWER(Upgrades!$P$7,F180)*POWER(Upgrades!$P$8,G180)*POWER(Upgrades!$P$9,H180)*POWER(Upgrades!$P$10,I180)*POWER(Upgrades!$P$11,J180)*POWER(Upgrades!$P$12,K180))*(IF(Upgrades!$T$6="Magnetosphere",POWER(Upgrades!$U$6,E180),1)*IF(Upgrades!$T$7="Magnetosphere",POWER(Upgrades!$U$7,F180),1)*IF(Upgrades!$T$8="Magnetosphere",POWER(Upgrades!$U$8,G180),1)*IF(Upgrades!$T$10="Magnetosphere",POWER(Upgrades!$U$10,I180),1)*IF(Upgrades!$T$11="Magnetosphere",POWER(Upgrades!$U$11,J180),1)*IF(Upgrades!$T$12="Magnetosphere",POWER(Upgrades!$U$12,K180),1))/AJ180,0)</f>
        <v>0</v>
      </c>
      <c r="AW180" s="33" t="n">
        <f aca="false">MAX(IF(I180&gt;0,0,IFERROR(0.25*N180/Upgrades!$C$10,0)),IF(J180&gt;0,0,IFERROR(0.5*((IF(G180=0,0,(Upgrades!$J$8+G180*Upgrades!$K$8)*POWER(Upgrades!$L$8,G180)))*(IF(Upgrades!$T$6="Stellar Coupling",POWER(Upgrades!$U$6,E180),1)*IF(Upgrades!$T$7="Stellar Coupling",POWER(Upgrades!$U$7,F180),1)*IF(Upgrades!$T$9="Stellar Coupling",POWER(Upgrades!$U$9,H180),1)*IF(Upgrades!$T$10="Stellar Coupling",POWER(Upgrades!$U$10,I180),1)*IF(Upgrades!$T$11="Stellar Coupling",POWER(Upgrades!$U$11,J180),1)*IF(Upgrades!$T$12="Stellar Coupling",POWER(Upgrades!$U$12,K180),1))*(POWER(Upgrades!$Q$6,E180)*POWER(Upgrades!$Q$7,F180)*POWER(Upgrades!$Q$8,G180)*POWER(Upgrades!$Q$9,H180)*POWER(Upgrades!$Q$10,I180)*POWER(Upgrades!$Q$11,J180)*POWER(Upgrades!$Q$12,K180))*Parameters!$B$10*Parameters!$B$11/60)/Upgrades!$C$11,0)),IF(K180&gt;0,0,IFERROR((1*(POWER(Upgrades!$P$6,E180)*POWER(Upgrades!$P$7,F180)*POWER(Upgrades!$P$8,G180)*POWER(Upgrades!$P$9,H180)*POWER(Upgrades!$P$10,I180)*POWER(Upgrades!$P$11,J180)*POWER(Upgrades!$P$12,K180))+0.2*M180*Parameters!$B$10*Parameters!$B$11/60)/Upgrades!$C$12,0)),IF(AND(ISNUMBER(AG180),AG180&gt;T180),AS180,0),IF(AND(ISNUMBER(AH180),AH180&gt;T180),AT180,0),IF(AND(ISNUMBER(AI180),AI180&gt;T180),AU180,0),IF(AND(ISNUMBER(AJ180),AJ180&gt;T180),AV180,0))</f>
        <v>0.00452762415783776</v>
      </c>
      <c r="AX180" s="29" t="str">
        <f aca="false">IF(AN180=1,"transition",IF(MIN(IF(AND(I180=0,ISNUMBER(AK180),AK180&lt;=T180),AK180,9000000000000000),IF(AND(J180=0,ISNUMBER(AL180),AL180&lt;=T180),AL180,9000000000000000),IF(AND(K180=0,ISNUMBER(AM180),AM180&lt;=T180),AM180,9000000000000000))&lt;9000000000000000,IF(AND(AND(I180=0,ISNUMBER(AK180),AK180&lt;=T180),AK180=MIN(IF(AND(I180=0,ISNUMBER(AK180),AK180&lt;=T180),AK180,9000000000000000),IF(AND(J180=0,ISNUMBER(AL180),AL180&lt;=T180),AL180,9000000000000000),IF(AND(K180=0,ISNUMBER(AM180),AM180&lt;=T180),AM180,9000000000000000))),"OR",IF(AND(AND(J180=0,ISNUMBER(AL180),AL180&lt;=T180),AL180=MIN(IF(AND(I180=0,ISNUMBER(AK180),AK180&lt;=T180),AK180,9000000000000000),IF(AND(J180=0,ISNUMBER(AL180),AL180&lt;=T180),AL180,9000000000000000),IF(AND(K180=0,ISNUMBER(AM180),AM180&lt;=T180),AM180,9000000000000000))),"HP","FP")),IF(AR180=TRUE(),"",IF(MAX(IF(AND(NOT(AND(AO180=1,AN180&lt;&gt;1)),ISNUMBER(AG180),AG180&lt;=T180),AS180,0),IF(AND(NOT(AND(AO180=1,AN180&lt;&gt;1)),ISNUMBER(AH180),AH180&lt;=T180),AT180,0),IF(AND(NOT(AND(AO180=1,AN180&lt;&gt;1)),ISNUMBER(AI180),AI180&lt;=T180),AU180,0),IF(AND(ISNUMBER(AJ180),AJ180&lt;=T180),AV180,0))&lt;=0,"",IF(AND(IF(AND(NOT(AND(AO180=1,AN180&lt;&gt;1)),ISNUMBER(AG180),AG180&lt;=T180),AS180,0)&gt;0,IF(AND(NOT(AND(AO180=1,AN180&lt;&gt;1)),ISNUMBER(AG180),AG180&lt;=T180),AS180,0)=MAX(IF(AND(NOT(AND(AO180=1,AN180&lt;&gt;1)),ISNUMBER(AG180),AG180&lt;=T180),AS180,0),IF(AND(NOT(AND(AO180=1,AN180&lt;&gt;1)),ISNUMBER(AH180),AH180&lt;=T180),AT180,0),IF(AND(NOT(AND(AO180=1,AN180&lt;&gt;1)),ISNUMBER(AI180),AI180&lt;=T180),AU180,0),IF(AND(ISNUMBER(AJ180),AJ180&lt;=T180),AV180,0))),"SW",IF(AND(IF(AND(NOT(AND(AO180=1,AN180&lt;&gt;1)),ISNUMBER(AH180),AH180&lt;=T180),AT180,0)&gt;0,IF(AND(NOT(AND(AO180=1,AN180&lt;&gt;1)),ISNUMBER(AH180),AH180&lt;=T180),AT180,0)=MAX(IF(AND(NOT(AND(AO180=1,AN180&lt;&gt;1)),ISNUMBER(AG180),AG180&lt;=T180),AS180,0),IF(AND(NOT(AND(AO180=1,AN180&lt;&gt;1)),ISNUMBER(AH180),AH180&lt;=T180),AT180,0),IF(AND(NOT(AND(AO180=1,AN180&lt;&gt;1)),ISNUMBER(AI180),AI180&lt;=T180),AU180,0),IF(AND(ISNUMBER(AJ180),AJ180&lt;=T180),AV180,0))),"AB",IF(AND(IF(AND(NOT(AND(AO180=1,AN180&lt;&gt;1)),ISNUMBER(AI180),AI180&lt;=T180),AU180,0)&gt;0,IF(AND(NOT(AND(AO180=1,AN180&lt;&gt;1)),ISNUMBER(AI180),AI180&lt;=T180),AU180,0)=MAX(IF(AND(NOT(AND(AO180=1,AN180&lt;&gt;1)),ISNUMBER(AG180),AG180&lt;=T180),AS180,0),IF(AND(NOT(AND(AO180=1,AN180&lt;&gt;1)),ISNUMBER(AH180),AH180&lt;=T180),AT180,0),IF(AND(NOT(AND(AO180=1,AN180&lt;&gt;1)),ISNUMBER(AI180),AI180&lt;=T180),AU180,0),IF(AND(ISNUMBER(AJ180),AJ180&lt;=T180),AV180,0))),"SC","Mag")))))))</f>
        <v/>
      </c>
    </row>
    <row r="181" customFormat="false" ht="15" hidden="false" customHeight="false" outlineLevel="0" collapsed="false">
      <c r="A181" s="26" t="n">
        <v>176</v>
      </c>
      <c r="B181" s="27" t="n">
        <f aca="false">A181*10/60</f>
        <v>29.3333333333333</v>
      </c>
      <c r="C181" s="21" t="n">
        <f aca="false">X180</f>
        <v>18.6730249835055</v>
      </c>
      <c r="D181" s="27" t="n">
        <f aca="false">D180+W180</f>
        <v>0</v>
      </c>
      <c r="E181" s="26" t="n">
        <f aca="false">E180+IF(U180="SW",1,0)</f>
        <v>12</v>
      </c>
      <c r="F181" s="26" t="n">
        <f aca="false">F180+IF(U180="AB",1,0)</f>
        <v>10</v>
      </c>
      <c r="G181" s="26" t="n">
        <f aca="false">G180+IF(U180="SC",1,0)</f>
        <v>7</v>
      </c>
      <c r="H181" s="26" t="n">
        <f aca="false">H180+IF(U180="Mag",1,0)</f>
        <v>5</v>
      </c>
      <c r="I181" s="26" t="n">
        <f aca="false">MAX(I180,IF(U180="OR",1,0))</f>
        <v>1</v>
      </c>
      <c r="J181" s="26" t="n">
        <f aca="false">MAX(J180,IF(U180="HP",1,0))</f>
        <v>1</v>
      </c>
      <c r="K181" s="26" t="n">
        <f aca="false">MAX(K180,IF(U180="FP",1,0))</f>
        <v>1</v>
      </c>
      <c r="L181" s="26" t="n">
        <f aca="false">MAX(L180,IF(U180="transition",1,0))</f>
        <v>1</v>
      </c>
      <c r="M181" s="28" t="n">
        <f aca="false">(Parameters!$B$9+(IF(E181=0,0,(Upgrades!$J$6+E181*Upgrades!$K$6)*POWER(Upgrades!$L$6,E181)))*(IF(Upgrades!$T$7="Solar Wind",POWER(Upgrades!$U$7,F181),1)*IF(Upgrades!$T$8="Solar Wind",POWER(Upgrades!$U$8,G181),1)*IF(Upgrades!$T$9="Solar Wind",POWER(Upgrades!$U$9,H181),1)*IF(Upgrades!$T$10="Solar Wind",POWER(Upgrades!$U$10,I181),1)*IF(Upgrades!$T$11="Solar Wind",POWER(Upgrades!$U$11,J181),1)*IF(Upgrades!$T$12="Solar Wind",POWER(Upgrades!$U$12,K181),1))+(IF(F181=0,0,(Upgrades!$J$7+F181*Upgrades!$K$7)*POWER(Upgrades!$L$7,F181)))*(IF(Upgrades!$T$6="Asteroid Belt",POWER(Upgrades!$U$6,E181),1)*IF(Upgrades!$T$8="Asteroid Belt",POWER(Upgrades!$U$8,G181),1)*IF(Upgrades!$T$9="Asteroid Belt",POWER(Upgrades!$U$9,H181),1)*IF(Upgrades!$T$10="Asteroid Belt",POWER(Upgrades!$U$10,I181),1)*IF(Upgrades!$T$11="Asteroid Belt",POWER(Upgrades!$U$11,J181),1)*IF(Upgrades!$T$12="Asteroid Belt",POWER(Upgrades!$U$12,K181),1))+(IF(G181=0,0,(Upgrades!$J$8+G181*Upgrades!$K$8)*POWER(Upgrades!$L$8,G181)))*(IF(Upgrades!$T$6="Stellar Coupling",POWER(Upgrades!$U$6,E181),1)*IF(Upgrades!$T$7="Stellar Coupling",POWER(Upgrades!$U$7,F181),1)*IF(Upgrades!$T$9="Stellar Coupling",POWER(Upgrades!$U$9,H181),1)*IF(Upgrades!$T$10="Stellar Coupling",POWER(Upgrades!$U$10,I181),1)*IF(Upgrades!$T$11="Stellar Coupling",POWER(Upgrades!$U$11,J181),1)*IF(Upgrades!$T$12="Stellar Coupling",POWER(Upgrades!$U$12,K181),1))+(IF(H181=0,0,(Upgrades!$J$9+H181*Upgrades!$K$9)*POWER(Upgrades!$L$9,H181)))*(IF(Upgrades!$T$6="Magnetosphere",POWER(Upgrades!$U$6,E181),1)*IF(Upgrades!$T$7="Magnetosphere",POWER(Upgrades!$U$7,F181),1)*IF(Upgrades!$T$8="Magnetosphere",POWER(Upgrades!$U$8,G181),1)*IF(Upgrades!$T$10="Magnetosphere",POWER(Upgrades!$U$10,I181),1)*IF(Upgrades!$T$11="Magnetosphere",POWER(Upgrades!$U$11,J181),1)*IF(Upgrades!$T$12="Magnetosphere",POWER(Upgrades!$U$12,K181),1))+(IF(I181=0,0,(Upgrades!$J$10+I181*Upgrades!$K$10)*POWER(Upgrades!$L$10,I181)))*(IF(Upgrades!$T$6="Orbital Resonance",POWER(Upgrades!$U$6,E181),1)*IF(Upgrades!$T$7="Orbital Resonance",POWER(Upgrades!$U$7,F181),1)*IF(Upgrades!$T$8="Orbital Resonance",POWER(Upgrades!$U$8,G181),1)*IF(Upgrades!$T$9="Orbital Resonance",POWER(Upgrades!$U$9,H181),1)*IF(Upgrades!$T$11="Orbital Resonance",POWER(Upgrades!$U$11,J181),1)*IF(Upgrades!$T$12="Orbital Resonance",POWER(Upgrades!$U$12,K181),1))+(IF(J181=0,0,(Upgrades!$J$11+J181*Upgrades!$K$11)*POWER(Upgrades!$L$11,J181)))*(IF(Upgrades!$T$6="Heliopause",POWER(Upgrades!$U$6,E181),1)*IF(Upgrades!$T$7="Heliopause",POWER(Upgrades!$U$7,F181),1)*IF(Upgrades!$T$8="Heliopause",POWER(Upgrades!$U$8,G181),1)*IF(Upgrades!$T$9="Heliopause",POWER(Upgrades!$U$9,H181),1)*IF(Upgrades!$T$10="Heliopause",POWER(Upgrades!$U$10,I181),1)*IF(Upgrades!$T$12="Heliopause",POWER(Upgrades!$U$12,K181),1))+(IF(K181=0,0,(Upgrades!$J$12+K181*Upgrades!$K$12)*POWER(Upgrades!$L$12,K181)))*(IF(Upgrades!$T$6="First Photons",POWER(Upgrades!$U$6,E181),1)*IF(Upgrades!$T$7="First Photons",POWER(Upgrades!$U$7,F181),1)*IF(Upgrades!$T$8="First Photons",POWER(Upgrades!$U$8,G181),1)*IF(Upgrades!$T$9="First Photons",POWER(Upgrades!$U$9,H181),1)*IF(Upgrades!$T$10="First Photons",POWER(Upgrades!$U$10,I181),1)*IF(Upgrades!$T$11="First Photons",POWER(Upgrades!$U$11,J181),1)))*POWER(Upgrades!$Q$6,E181)*POWER(Upgrades!$Q$7,F181)*POWER(Upgrades!$Q$8,G181)*POWER(Upgrades!$Q$9,H181)*POWER(Upgrades!$Q$10,I181)*POWER(Upgrades!$Q$11,J181)*POWER(Upgrades!$Q$12,K181)</f>
        <v>5.61</v>
      </c>
      <c r="N181" s="28" t="n">
        <f aca="false">((IF(E181=0,0,(Upgrades!$G$6+E181*Upgrades!$H$6)*POWER(Upgrades!$I$6,E181)))*(IF(Upgrades!$T$7="Solar Wind",POWER(Upgrades!$U$7,F181),1)*IF(Upgrades!$T$8="Solar Wind",POWER(Upgrades!$U$8,G181),1)*IF(Upgrades!$T$9="Solar Wind",POWER(Upgrades!$U$9,H181),1)*IF(Upgrades!$T$10="Solar Wind",POWER(Upgrades!$U$10,I181),1)*IF(Upgrades!$T$11="Solar Wind",POWER(Upgrades!$U$11,J181),1)*IF(Upgrades!$T$12="Solar Wind",POWER(Upgrades!$U$12,K181),1))+(IF(F181=0,0,(Upgrades!$G$7+F181*Upgrades!$H$7)*POWER(Upgrades!$I$7,F181)))*(IF(Upgrades!$T$6="Asteroid Belt",POWER(Upgrades!$U$6,E181),1)*IF(Upgrades!$T$8="Asteroid Belt",POWER(Upgrades!$U$8,G181),1)*IF(Upgrades!$T$9="Asteroid Belt",POWER(Upgrades!$U$9,H181),1)*IF(Upgrades!$T$10="Asteroid Belt",POWER(Upgrades!$U$10,I181),1)*IF(Upgrades!$T$11="Asteroid Belt",POWER(Upgrades!$U$11,J181),1)*IF(Upgrades!$T$12="Asteroid Belt",POWER(Upgrades!$U$12,K181),1))+(IF(G181=0,0,(Upgrades!$G$8+G181*Upgrades!$H$8)*POWER(Upgrades!$I$8,G181)))*(IF(Upgrades!$T$6="Stellar Coupling",POWER(Upgrades!$U$6,E181),1)*IF(Upgrades!$T$7="Stellar Coupling",POWER(Upgrades!$U$7,F181),1)*IF(Upgrades!$T$9="Stellar Coupling",POWER(Upgrades!$U$9,H181),1)*IF(Upgrades!$T$10="Stellar Coupling",POWER(Upgrades!$U$10,I181),1)*IF(Upgrades!$T$11="Stellar Coupling",POWER(Upgrades!$U$11,J181),1)*IF(Upgrades!$T$12="Stellar Coupling",POWER(Upgrades!$U$12,K181),1))+(IF(H181=0,0,(Upgrades!$G$9+H181*Upgrades!$H$9)*POWER(Upgrades!$I$9,H181)))*(IF(Upgrades!$T$6="Magnetosphere",POWER(Upgrades!$U$6,E181),1)*IF(Upgrades!$T$7="Magnetosphere",POWER(Upgrades!$U$7,F181),1)*IF(Upgrades!$T$8="Magnetosphere",POWER(Upgrades!$U$8,G181),1)*IF(Upgrades!$T$10="Magnetosphere",POWER(Upgrades!$U$10,I181),1)*IF(Upgrades!$T$11="Magnetosphere",POWER(Upgrades!$U$11,J181),1)*IF(Upgrades!$T$12="Magnetosphere",POWER(Upgrades!$U$12,K181),1))+(IF(I181=0,0,(Upgrades!$G$10+I181*Upgrades!$H$10)*POWER(Upgrades!$I$10,I181)))*(IF(Upgrades!$T$6="Orbital Resonance",POWER(Upgrades!$U$6,E181),1)*IF(Upgrades!$T$7="Orbital Resonance",POWER(Upgrades!$U$7,F181),1)*IF(Upgrades!$T$8="Orbital Resonance",POWER(Upgrades!$U$8,G181),1)*IF(Upgrades!$T$9="Orbital Resonance",POWER(Upgrades!$U$9,H181),1)*IF(Upgrades!$T$11="Orbital Resonance",POWER(Upgrades!$U$11,J181),1)*IF(Upgrades!$T$12="Orbital Resonance",POWER(Upgrades!$U$12,K181),1))+(IF(J181=0,0,(Upgrades!$G$11+J181*Upgrades!$H$11)*POWER(Upgrades!$I$11,J181)))*(IF(Upgrades!$T$6="Heliopause",POWER(Upgrades!$U$6,E181),1)*IF(Upgrades!$T$7="Heliopause",POWER(Upgrades!$U$7,F181),1)*IF(Upgrades!$T$8="Heliopause",POWER(Upgrades!$U$8,G181),1)*IF(Upgrades!$T$9="Heliopause",POWER(Upgrades!$U$9,H181),1)*IF(Upgrades!$T$10="Heliopause",POWER(Upgrades!$U$10,I181),1)*IF(Upgrades!$T$12="Heliopause",POWER(Upgrades!$U$12,K181),1))+(IF(K181=0,0,(Upgrades!$G$12+K181*Upgrades!$H$12)*POWER(Upgrades!$I$12,K181)))*(IF(Upgrades!$T$6="First Photons",POWER(Upgrades!$U$6,E181),1)*IF(Upgrades!$T$7="First Photons",POWER(Upgrades!$U$7,F181),1)*IF(Upgrades!$T$8="First Photons",POWER(Upgrades!$U$8,G181),1)*IF(Upgrades!$T$9="First Photons",POWER(Upgrades!$U$9,H181),1)*IF(Upgrades!$T$10="First Photons",POWER(Upgrades!$U$10,I181),1)*IF(Upgrades!$T$11="First Photons",POWER(Upgrades!$U$11,J181),1)))*POWER(Upgrades!$P$6,E181)*POWER(Upgrades!$P$7,F181)*POWER(Upgrades!$P$8,G181)*POWER(Upgrades!$P$9,H181)*POWER(Upgrades!$P$10,I181)*POWER(Upgrades!$P$11,J181)*POWER(Upgrades!$P$12,K181)</f>
        <v>11.2</v>
      </c>
      <c r="O181" s="28" t="n">
        <f aca="false">((IF(E181=0,0,(Upgrades!$M$6+E181*Upgrades!$N$6)*POWER(Upgrades!$O$6,E181)))*(IF(Upgrades!$T$7="Solar Wind",POWER(Upgrades!$U$7,F181),1)*IF(Upgrades!$T$8="Solar Wind",POWER(Upgrades!$U$8,G181),1)*IF(Upgrades!$T$9="Solar Wind",POWER(Upgrades!$U$9,H181),1)*IF(Upgrades!$T$10="Solar Wind",POWER(Upgrades!$U$10,I181),1)*IF(Upgrades!$T$11="Solar Wind",POWER(Upgrades!$U$11,J181),1)*IF(Upgrades!$T$12="Solar Wind",POWER(Upgrades!$U$12,K181),1))+(IF(F181=0,0,(Upgrades!$M$7+F181*Upgrades!$N$7)*POWER(Upgrades!$O$7,F181)))*(IF(Upgrades!$T$6="Asteroid Belt",POWER(Upgrades!$U$6,E181),1)*IF(Upgrades!$T$8="Asteroid Belt",POWER(Upgrades!$U$8,G181),1)*IF(Upgrades!$T$9="Asteroid Belt",POWER(Upgrades!$U$9,H181),1)*IF(Upgrades!$T$10="Asteroid Belt",POWER(Upgrades!$U$10,I181),1)*IF(Upgrades!$T$11="Asteroid Belt",POWER(Upgrades!$U$11,J181),1)*IF(Upgrades!$T$12="Asteroid Belt",POWER(Upgrades!$U$12,K181),1))+(IF(G181=0,0,(Upgrades!$M$8+G181*Upgrades!$N$8)*POWER(Upgrades!$O$8,G181)))*(IF(Upgrades!$T$6="Stellar Coupling",POWER(Upgrades!$U$6,E181),1)*IF(Upgrades!$T$7="Stellar Coupling",POWER(Upgrades!$U$7,F181),1)*IF(Upgrades!$T$9="Stellar Coupling",POWER(Upgrades!$U$9,H181),1)*IF(Upgrades!$T$10="Stellar Coupling",POWER(Upgrades!$U$10,I181),1)*IF(Upgrades!$T$11="Stellar Coupling",POWER(Upgrades!$U$11,J181),1)*IF(Upgrades!$T$12="Stellar Coupling",POWER(Upgrades!$U$12,K181),1))+(IF(H181=0,0,(Upgrades!$M$9+H181*Upgrades!$N$9)*POWER(Upgrades!$O$9,H181)))*(IF(Upgrades!$T$6="Magnetosphere",POWER(Upgrades!$U$6,E181),1)*IF(Upgrades!$T$7="Magnetosphere",POWER(Upgrades!$U$7,F181),1)*IF(Upgrades!$T$8="Magnetosphere",POWER(Upgrades!$U$8,G181),1)*IF(Upgrades!$T$10="Magnetosphere",POWER(Upgrades!$U$10,I181),1)*IF(Upgrades!$T$11="Magnetosphere",POWER(Upgrades!$U$11,J181),1)*IF(Upgrades!$T$12="Magnetosphere",POWER(Upgrades!$U$12,K181),1))+(IF(I181=0,0,(Upgrades!$M$10+I181*Upgrades!$N$10)*POWER(Upgrades!$O$10,I181)))*(IF(Upgrades!$T$6="Orbital Resonance",POWER(Upgrades!$U$6,E181),1)*IF(Upgrades!$T$7="Orbital Resonance",POWER(Upgrades!$U$7,F181),1)*IF(Upgrades!$T$8="Orbital Resonance",POWER(Upgrades!$U$8,G181),1)*IF(Upgrades!$T$9="Orbital Resonance",POWER(Upgrades!$U$9,H181),1)*IF(Upgrades!$T$11="Orbital Resonance",POWER(Upgrades!$U$11,J181),1)*IF(Upgrades!$T$12="Orbital Resonance",POWER(Upgrades!$U$12,K181),1))+(IF(J181=0,0,(Upgrades!$M$11+J181*Upgrades!$N$11)*POWER(Upgrades!$O$11,J181)))*(IF(Upgrades!$T$6="Heliopause",POWER(Upgrades!$U$6,E181),1)*IF(Upgrades!$T$7="Heliopause",POWER(Upgrades!$U$7,F181),1)*IF(Upgrades!$T$8="Heliopause",POWER(Upgrades!$U$8,G181),1)*IF(Upgrades!$T$9="Heliopause",POWER(Upgrades!$U$9,H181),1)*IF(Upgrades!$T$10="Heliopause",POWER(Upgrades!$U$10,I181),1)*IF(Upgrades!$T$12="Heliopause",POWER(Upgrades!$U$12,K181),1))+(IF(K181=0,0,(Upgrades!$M$12+K181*Upgrades!$N$12)*POWER(Upgrades!$O$12,K181)))*(IF(Upgrades!$T$6="First Photons",POWER(Upgrades!$U$6,E181),1)*IF(Upgrades!$T$7="First Photons",POWER(Upgrades!$U$7,F181),1)*IF(Upgrades!$T$8="First Photons",POWER(Upgrades!$U$8,G181),1)*IF(Upgrades!$T$9="First Photons",POWER(Upgrades!$U$9,H181),1)*IF(Upgrades!$T$10="First Photons",POWER(Upgrades!$U$10,I181),1)*IF(Upgrades!$T$11="First Photons",POWER(Upgrades!$U$11,J181),1)))*POWER(Upgrades!$R$6,E181)*POWER(Upgrades!$R$7,F181)*POWER(Upgrades!$R$8,G181)*POWER(Upgrades!$R$9,H181)*POWER(Upgrades!$R$10,I181)*POWER(Upgrades!$R$11,J181)*POWER(Upgrades!$R$12,K181)</f>
        <v>0</v>
      </c>
      <c r="P181" s="27" t="n">
        <f aca="false">IF(L181=1,0,M181*Parameters!$B$10/60*Parameters!$B$11*10)</f>
        <v>0</v>
      </c>
      <c r="Q181" s="27" t="n">
        <f aca="false">IF(L181=1,0,O181*M181*10)</f>
        <v>0</v>
      </c>
      <c r="R181" s="27" t="n">
        <f aca="false">IF(L181=1,0,N181*10)</f>
        <v>0</v>
      </c>
      <c r="S181" s="27" t="n">
        <f aca="false">P181+Q181+R181</f>
        <v>0</v>
      </c>
      <c r="T181" s="21" t="n">
        <f aca="false">C181+S181</f>
        <v>18.6730249835055</v>
      </c>
      <c r="U181" s="34" t="str">
        <f aca="false">AX181</f>
        <v/>
      </c>
      <c r="V181" s="21" t="n">
        <f aca="false">IF(U181="",0,IF(U181="transition",0,IF(U181="SW",AG181,IF(U181="AB",AH181,IF(U181="SC",AI181,IF(U181="Mag",AJ181,IF(U181="OR",AK181,IF(U181="HP",AL181,IF(U181="FP",AM181,0)))))))))</f>
        <v>0</v>
      </c>
      <c r="W181" s="27" t="n">
        <f aca="false">IF(U181="OR",Upgrades!$F$10,IF(U181="HP",Upgrades!$F$11,IF(U181="transition",-Parameters!$B$18,0)))</f>
        <v>0</v>
      </c>
      <c r="X181" s="21" t="n">
        <f aca="false">T181-V181</f>
        <v>18.6730249835055</v>
      </c>
      <c r="Y181" s="30" t="n">
        <f aca="false">M181*Parameters!$B$10/60*Parameters!$B$11+O181*M181+N181</f>
        <v>20.55</v>
      </c>
      <c r="Z181" s="35" t="str">
        <f aca="false">IF(U181="transition","→ Tier 2 (Stellar Neighborhood)",IF(U181="FP","First Photons — light begins, system quickens",IF(U181="HP","Heliopause acquired",IF(U181="OR","Orbital Resonance — passive multiplier active",IF(AND(AO181=1,L181=0,AN181&lt;&gt;1),"Cohesion ready (waiting on completionist upgrades)","")))))</f>
        <v/>
      </c>
      <c r="AA181" s="27" t="n">
        <f aca="false">(IF(E181=0,0,(Upgrades!$G$6+E181*Upgrades!$H$6)*POWER(Upgrades!$I$6,E181)))*(IF(Upgrades!$T$7="Solar Wind",POWER(Upgrades!$U$7,F181),1)*IF(Upgrades!$T$8="Solar Wind",POWER(Upgrades!$U$8,G181),1)*IF(Upgrades!$T$9="Solar Wind",POWER(Upgrades!$U$9,H181),1)*IF(Upgrades!$T$10="Solar Wind",POWER(Upgrades!$U$10,I181),1)*IF(Upgrades!$T$11="Solar Wind",POWER(Upgrades!$U$11,J181),1)*IF(Upgrades!$T$12="Solar Wind",POWER(Upgrades!$U$12,K181),1))*POWER(Upgrades!$P$6,E181)*POWER(Upgrades!$P$7,F181)*POWER(Upgrades!$P$8,G181)*POWER(Upgrades!$P$9,H181)*POWER(Upgrades!$P$10,I181)*POWER(Upgrades!$P$11,J181)*POWER(Upgrades!$P$12,K181)*60</f>
        <v>72</v>
      </c>
      <c r="AB181" s="27" t="n">
        <f aca="false">(IF(F181=0,0,(Upgrades!$G$7+F181*Upgrades!$H$7)*POWER(Upgrades!$I$7,F181)))*(IF(Upgrades!$T$6="Asteroid Belt",POWER(Upgrades!$U$6,E181),1)*IF(Upgrades!$T$8="Asteroid Belt",POWER(Upgrades!$U$8,G181),1)*IF(Upgrades!$T$9="Asteroid Belt",POWER(Upgrades!$U$9,H181),1)*IF(Upgrades!$T$10="Asteroid Belt",POWER(Upgrades!$U$10,I181),1)*IF(Upgrades!$T$11="Asteroid Belt",POWER(Upgrades!$U$11,J181),1)*IF(Upgrades!$T$12="Asteroid Belt",POWER(Upgrades!$U$12,K181),1))*POWER(Upgrades!$P$6,E181)*POWER(Upgrades!$P$7,F181)*POWER(Upgrades!$P$8,G181)*POWER(Upgrades!$P$9,H181)*POWER(Upgrades!$P$10,I181)*POWER(Upgrades!$P$11,J181)*POWER(Upgrades!$P$12,K181)*60</f>
        <v>150</v>
      </c>
      <c r="AC181" s="27" t="n">
        <f aca="false">(IF(G181=0,0,(Upgrades!$J$8+G181*Upgrades!$K$8)*POWER(Upgrades!$L$8,G181)))*(IF(Upgrades!$T$6="Stellar Coupling",POWER(Upgrades!$U$6,E181),1)*IF(Upgrades!$T$7="Stellar Coupling",POWER(Upgrades!$U$7,F181),1)*IF(Upgrades!$T$9="Stellar Coupling",POWER(Upgrades!$U$9,H181),1)*IF(Upgrades!$T$10="Stellar Coupling",POWER(Upgrades!$U$10,I181),1)*IF(Upgrades!$T$11="Stellar Coupling",POWER(Upgrades!$U$11,J181),1)*IF(Upgrades!$T$12="Stellar Coupling",POWER(Upgrades!$U$12,K181),1))*POWER(Upgrades!$Q$6,E181)*POWER(Upgrades!$Q$7,F181)*POWER(Upgrades!$Q$8,G181)*POWER(Upgrades!$Q$9,H181)*POWER(Upgrades!$Q$10,I181)*POWER(Upgrades!$Q$11,J181)*POWER(Upgrades!$Q$12,K181)*Parameters!$B$10*Parameters!$B$11</f>
        <v>441</v>
      </c>
      <c r="AD181" s="27" t="n">
        <f aca="false">(IF(H181=0,0,(Upgrades!$G$9+H181*Upgrades!$H$9)*POWER(Upgrades!$I$9,H181)))*(IF(Upgrades!$T$6="Magnetosphere",POWER(Upgrades!$U$6,E181),1)*IF(Upgrades!$T$7="Magnetosphere",POWER(Upgrades!$U$7,F181),1)*IF(Upgrades!$T$8="Magnetosphere",POWER(Upgrades!$U$8,G181),1)*IF(Upgrades!$T$10="Magnetosphere",POWER(Upgrades!$U$10,I181),1)*IF(Upgrades!$T$11="Magnetosphere",POWER(Upgrades!$U$11,J181),1)*IF(Upgrades!$T$12="Magnetosphere",POWER(Upgrades!$U$12,K181),1))*POWER(Upgrades!$P$6,E181)*POWER(Upgrades!$P$7,F181)*POWER(Upgrades!$P$8,G181)*POWER(Upgrades!$P$9,H181)*POWER(Upgrades!$P$10,I181)*POWER(Upgrades!$P$11,J181)*POWER(Upgrades!$P$12,K181)*60</f>
        <v>375</v>
      </c>
      <c r="AE181" s="27" t="n">
        <f aca="false">(IF(K181=0,0,(Upgrades!$G$12+K181*Upgrades!$H$12)*POWER(Upgrades!$I$12,K181)))*(IF(Upgrades!$T$6="First Photons",POWER(Upgrades!$U$6,E181),1)*IF(Upgrades!$T$7="First Photons",POWER(Upgrades!$U$7,F181),1)*IF(Upgrades!$T$8="First Photons",POWER(Upgrades!$U$8,G181),1)*IF(Upgrades!$T$9="First Photons",POWER(Upgrades!$U$9,H181),1)*IF(Upgrades!$T$10="First Photons",POWER(Upgrades!$U$10,I181),1)*IF(Upgrades!$T$11="First Photons",POWER(Upgrades!$U$11,J181),1))*POWER(Upgrades!$P$6,E181)*POWER(Upgrades!$P$7,F181)*POWER(Upgrades!$P$8,G181)*POWER(Upgrades!$P$9,H181)*POWER(Upgrades!$P$10,I181)*POWER(Upgrades!$P$11,J181)*POWER(Upgrades!$P$12,K181)*60</f>
        <v>75</v>
      </c>
      <c r="AF181" s="27" t="n">
        <f aca="false">Parameters!$B$9*POWER(Upgrades!$Q$6,E181)*POWER(Upgrades!$Q$7,F181)*POWER(Upgrades!$Q$8,G181)*POWER(Upgrades!$Q$9,H181)*POWER(Upgrades!$Q$10,I181)*POWER(Upgrades!$Q$11,J181)*POWER(Upgrades!$Q$12,K181)*(Parameters!$B$10*Parameters!$B$11+O181*60)</f>
        <v>120</v>
      </c>
      <c r="AG181" s="21" t="n">
        <f aca="false">IF(E181&gt;=Upgrades!$E$6,"",Upgrades!$C$6*POWER(Upgrades!$D$6,E181))</f>
        <v>37.4517507383159</v>
      </c>
      <c r="AH181" s="21" t="n">
        <f aca="false">IF(F181&gt;=Upgrades!$E$7,"",Upgrades!$C$7*POWER(Upgrades!$D$7,F181))</f>
        <v>80.9111547141581</v>
      </c>
      <c r="AI181" s="21" t="n">
        <f aca="false">IF(G181&gt;=Upgrades!$E$8,"",Upgrades!$C$8*POWER(Upgrades!$D$8,G181))</f>
        <v>231.9097088</v>
      </c>
      <c r="AJ181" s="21" t="str">
        <f aca="false">IF(H181&gt;=Upgrades!$E$9,"",Upgrades!$C$9*POWER(Upgrades!$D$9,H181))</f>
        <v/>
      </c>
      <c r="AK181" s="21" t="str">
        <f aca="false">IF(I181&gt;=Upgrades!$E$10,"",Upgrades!$C$10*POWER(Upgrades!$D$10,I181))</f>
        <v/>
      </c>
      <c r="AL181" s="21" t="str">
        <f aca="false">IF(J181&gt;=Upgrades!$E$11,"",Upgrades!$C$11*POWER(Upgrades!$D$11,J181))</f>
        <v/>
      </c>
      <c r="AM181" s="21" t="str">
        <f aca="false">IF(K181&gt;=Upgrades!$E$12,"",Upgrades!$C$12*POWER(Upgrades!$D$12,K181))</f>
        <v/>
      </c>
      <c r="AN181" s="26" t="str">
        <f aca="false">IF(AND(D181&gt;=Parameters!$B$18,(H181&gt;=Upgrades!$E$9)*(K181&gt;=Upgrades!$E$12)=1,L181=0),1,"")</f>
        <v/>
      </c>
      <c r="AO181" s="26" t="str">
        <f aca="false">IF(AND(D181&gt;=Parameters!$B$18,L181=0),1,"")</f>
        <v/>
      </c>
      <c r="AP181" s="21" t="n">
        <f aca="false">MIN(IF(ISNUMBER(AK181),AK181,9000000000000000),IF(ISNUMBER(AL181),AL181,9000000000000000),IF(ISNUMBER(AM181),AM181,9000000000000000))</f>
        <v>9000000000000000</v>
      </c>
      <c r="AQ181" s="21" t="n">
        <f aca="false">MIN(IF(ISNUMBER(AG181),AG181,9000000000000000),IF(ISNUMBER(AH181),AH181,9000000000000000),IF(ISNUMBER(AI181),AI181,9000000000000000),IF(ISNUMBER(AJ181),AJ181,9000000000000000))</f>
        <v>37.4517507383159</v>
      </c>
      <c r="AR181" s="32" t="b">
        <f aca="false">IF(AW181&gt;Parameters!$B$21*(MAX(IF(AND(NOT(AND(AO181=1,AN181&lt;&gt;1)),ISNUMBER(AG181),AG181&lt;=T181),AS181,0),IF(AND(NOT(AND(AO181=1,AN181&lt;&gt;1)),ISNUMBER(AH181),AH181&lt;=T181),AT181,0),IF(AND(NOT(AND(AO181=1,AN181&lt;&gt;1)),ISNUMBER(AI181),AI181&lt;=T181),AU181,0),IF(AND(ISNUMBER(AJ181),AJ181&lt;=T181),AV181,0))),TRUE(),FALSE())</f>
        <v>1</v>
      </c>
      <c r="AS181" s="33" t="n">
        <f aca="false">IFERROR(Upgrades!$H$6*(POWER(Upgrades!$P$6,E181)*POWER(Upgrades!$P$7,F181)*POWER(Upgrades!$P$8,G181)*POWER(Upgrades!$P$9,H181)*POWER(Upgrades!$P$10,I181)*POWER(Upgrades!$P$11,J181)*POWER(Upgrades!$P$12,K181))*(IF(Upgrades!$T$7="Solar Wind",POWER(Upgrades!$U$7,F181),1)*IF(Upgrades!$T$8="Solar Wind",POWER(Upgrades!$U$8,G181),1)*IF(Upgrades!$T$9="Solar Wind",POWER(Upgrades!$U$9,H181),1)*IF(Upgrades!$T$10="Solar Wind",POWER(Upgrades!$U$10,I181),1)*IF(Upgrades!$T$11="Solar Wind",POWER(Upgrades!$U$11,J181),1)*IF(Upgrades!$T$12="Solar Wind",POWER(Upgrades!$U$12,K181),1))/AG181,0)</f>
        <v>0.0026701021455238</v>
      </c>
      <c r="AT181" s="33" t="n">
        <f aca="false">IFERROR(Upgrades!$H$7*(POWER(Upgrades!$P$6,E181)*POWER(Upgrades!$P$7,F181)*POWER(Upgrades!$P$8,G181)*POWER(Upgrades!$P$9,H181)*POWER(Upgrades!$P$10,I181)*POWER(Upgrades!$P$11,J181)*POWER(Upgrades!$P$12,K181))*(IF(Upgrades!$T$6="Asteroid Belt",POWER(Upgrades!$U$6,E181),1)*IF(Upgrades!$T$8="Asteroid Belt",POWER(Upgrades!$U$8,G181),1)*IF(Upgrades!$T$9="Asteroid Belt",POWER(Upgrades!$U$9,H181),1)*IF(Upgrades!$T$10="Asteroid Belt",POWER(Upgrades!$U$10,I181),1)*IF(Upgrades!$T$11="Asteroid Belt",POWER(Upgrades!$U$11,J181),1)*IF(Upgrades!$T$12="Asteroid Belt",POWER(Upgrades!$U$12,K181),1))/AH181,0)</f>
        <v>0.00308980882652332</v>
      </c>
      <c r="AU181" s="33" t="n">
        <f aca="false">IFERROR(Upgrades!$K$8*(POWER(Upgrades!$Q$6,E181)*POWER(Upgrades!$Q$7,F181)*POWER(Upgrades!$Q$8,G181)*POWER(Upgrades!$Q$9,H181)*POWER(Upgrades!$Q$10,I181)*POWER(Upgrades!$Q$11,J181)*POWER(Upgrades!$Q$12,K181))*(IF(Upgrades!$T$6="Stellar Coupling",POWER(Upgrades!$U$6,E181),1)*IF(Upgrades!$T$7="Stellar Coupling",POWER(Upgrades!$U$7,F181),1)*IF(Upgrades!$T$9="Stellar Coupling",POWER(Upgrades!$U$9,H181),1)*IF(Upgrades!$T$10="Stellar Coupling",POWER(Upgrades!$U$10,I181),1)*IF(Upgrades!$T$11="Stellar Coupling",POWER(Upgrades!$U$11,J181),1)*IF(Upgrades!$T$12="Stellar Coupling",POWER(Upgrades!$U$12,K181),1))*Parameters!$B$10*Parameters!$B$11/60/AI181,0)</f>
        <v>0.00452762415783776</v>
      </c>
      <c r="AV181" s="33" t="n">
        <f aca="false">IFERROR(Upgrades!$H$9*(POWER(Upgrades!$P$6,E181)*POWER(Upgrades!$P$7,F181)*POWER(Upgrades!$P$8,G181)*POWER(Upgrades!$P$9,H181)*POWER(Upgrades!$P$10,I181)*POWER(Upgrades!$P$11,J181)*POWER(Upgrades!$P$12,K181))*(IF(Upgrades!$T$6="Magnetosphere",POWER(Upgrades!$U$6,E181),1)*IF(Upgrades!$T$7="Magnetosphere",POWER(Upgrades!$U$7,F181),1)*IF(Upgrades!$T$8="Magnetosphere",POWER(Upgrades!$U$8,G181),1)*IF(Upgrades!$T$10="Magnetosphere",POWER(Upgrades!$U$10,I181),1)*IF(Upgrades!$T$11="Magnetosphere",POWER(Upgrades!$U$11,J181),1)*IF(Upgrades!$T$12="Magnetosphere",POWER(Upgrades!$U$12,K181),1))/AJ181,0)</f>
        <v>0</v>
      </c>
      <c r="AW181" s="33" t="n">
        <f aca="false">MAX(IF(I181&gt;0,0,IFERROR(0.25*N181/Upgrades!$C$10,0)),IF(J181&gt;0,0,IFERROR(0.5*((IF(G181=0,0,(Upgrades!$J$8+G181*Upgrades!$K$8)*POWER(Upgrades!$L$8,G181)))*(IF(Upgrades!$T$6="Stellar Coupling",POWER(Upgrades!$U$6,E181),1)*IF(Upgrades!$T$7="Stellar Coupling",POWER(Upgrades!$U$7,F181),1)*IF(Upgrades!$T$9="Stellar Coupling",POWER(Upgrades!$U$9,H181),1)*IF(Upgrades!$T$10="Stellar Coupling",POWER(Upgrades!$U$10,I181),1)*IF(Upgrades!$T$11="Stellar Coupling",POWER(Upgrades!$U$11,J181),1)*IF(Upgrades!$T$12="Stellar Coupling",POWER(Upgrades!$U$12,K181),1))*(POWER(Upgrades!$Q$6,E181)*POWER(Upgrades!$Q$7,F181)*POWER(Upgrades!$Q$8,G181)*POWER(Upgrades!$Q$9,H181)*POWER(Upgrades!$Q$10,I181)*POWER(Upgrades!$Q$11,J181)*POWER(Upgrades!$Q$12,K181))*Parameters!$B$10*Parameters!$B$11/60)/Upgrades!$C$11,0)),IF(K181&gt;0,0,IFERROR((1*(POWER(Upgrades!$P$6,E181)*POWER(Upgrades!$P$7,F181)*POWER(Upgrades!$P$8,G181)*POWER(Upgrades!$P$9,H181)*POWER(Upgrades!$P$10,I181)*POWER(Upgrades!$P$11,J181)*POWER(Upgrades!$P$12,K181))+0.2*M181*Parameters!$B$10*Parameters!$B$11/60)/Upgrades!$C$12,0)),IF(AND(ISNUMBER(AG181),AG181&gt;T181),AS181,0),IF(AND(ISNUMBER(AH181),AH181&gt;T181),AT181,0),IF(AND(ISNUMBER(AI181),AI181&gt;T181),AU181,0),IF(AND(ISNUMBER(AJ181),AJ181&gt;T181),AV181,0))</f>
        <v>0.00452762415783776</v>
      </c>
      <c r="AX181" s="29" t="str">
        <f aca="false">IF(AN181=1,"transition",IF(MIN(IF(AND(I181=0,ISNUMBER(AK181),AK181&lt;=T181),AK181,9000000000000000),IF(AND(J181=0,ISNUMBER(AL181),AL181&lt;=T181),AL181,9000000000000000),IF(AND(K181=0,ISNUMBER(AM181),AM181&lt;=T181),AM181,9000000000000000))&lt;9000000000000000,IF(AND(AND(I181=0,ISNUMBER(AK181),AK181&lt;=T181),AK181=MIN(IF(AND(I181=0,ISNUMBER(AK181),AK181&lt;=T181),AK181,9000000000000000),IF(AND(J181=0,ISNUMBER(AL181),AL181&lt;=T181),AL181,9000000000000000),IF(AND(K181=0,ISNUMBER(AM181),AM181&lt;=T181),AM181,9000000000000000))),"OR",IF(AND(AND(J181=0,ISNUMBER(AL181),AL181&lt;=T181),AL181=MIN(IF(AND(I181=0,ISNUMBER(AK181),AK181&lt;=T181),AK181,9000000000000000),IF(AND(J181=0,ISNUMBER(AL181),AL181&lt;=T181),AL181,9000000000000000),IF(AND(K181=0,ISNUMBER(AM181),AM181&lt;=T181),AM181,9000000000000000))),"HP","FP")),IF(AR181=TRUE(),"",IF(MAX(IF(AND(NOT(AND(AO181=1,AN181&lt;&gt;1)),ISNUMBER(AG181),AG181&lt;=T181),AS181,0),IF(AND(NOT(AND(AO181=1,AN181&lt;&gt;1)),ISNUMBER(AH181),AH181&lt;=T181),AT181,0),IF(AND(NOT(AND(AO181=1,AN181&lt;&gt;1)),ISNUMBER(AI181),AI181&lt;=T181),AU181,0),IF(AND(ISNUMBER(AJ181),AJ181&lt;=T181),AV181,0))&lt;=0,"",IF(AND(IF(AND(NOT(AND(AO181=1,AN181&lt;&gt;1)),ISNUMBER(AG181),AG181&lt;=T181),AS181,0)&gt;0,IF(AND(NOT(AND(AO181=1,AN181&lt;&gt;1)),ISNUMBER(AG181),AG181&lt;=T181),AS181,0)=MAX(IF(AND(NOT(AND(AO181=1,AN181&lt;&gt;1)),ISNUMBER(AG181),AG181&lt;=T181),AS181,0),IF(AND(NOT(AND(AO181=1,AN181&lt;&gt;1)),ISNUMBER(AH181),AH181&lt;=T181),AT181,0),IF(AND(NOT(AND(AO181=1,AN181&lt;&gt;1)),ISNUMBER(AI181),AI181&lt;=T181),AU181,0),IF(AND(ISNUMBER(AJ181),AJ181&lt;=T181),AV181,0))),"SW",IF(AND(IF(AND(NOT(AND(AO181=1,AN181&lt;&gt;1)),ISNUMBER(AH181),AH181&lt;=T181),AT181,0)&gt;0,IF(AND(NOT(AND(AO181=1,AN181&lt;&gt;1)),ISNUMBER(AH181),AH181&lt;=T181),AT181,0)=MAX(IF(AND(NOT(AND(AO181=1,AN181&lt;&gt;1)),ISNUMBER(AG181),AG181&lt;=T181),AS181,0),IF(AND(NOT(AND(AO181=1,AN181&lt;&gt;1)),ISNUMBER(AH181),AH181&lt;=T181),AT181,0),IF(AND(NOT(AND(AO181=1,AN181&lt;&gt;1)),ISNUMBER(AI181),AI181&lt;=T181),AU181,0),IF(AND(ISNUMBER(AJ181),AJ181&lt;=T181),AV181,0))),"AB",IF(AND(IF(AND(NOT(AND(AO181=1,AN181&lt;&gt;1)),ISNUMBER(AI181),AI181&lt;=T181),AU181,0)&gt;0,IF(AND(NOT(AND(AO181=1,AN181&lt;&gt;1)),ISNUMBER(AI181),AI181&lt;=T181),AU181,0)=MAX(IF(AND(NOT(AND(AO181=1,AN181&lt;&gt;1)),ISNUMBER(AG181),AG181&lt;=T181),AS181,0),IF(AND(NOT(AND(AO181=1,AN181&lt;&gt;1)),ISNUMBER(AH181),AH181&lt;=T181),AT181,0),IF(AND(NOT(AND(AO181=1,AN181&lt;&gt;1)),ISNUMBER(AI181),AI181&lt;=T181),AU181,0),IF(AND(ISNUMBER(AJ181),AJ181&lt;=T181),AV181,0))),"SC","Mag")))))))</f>
        <v/>
      </c>
    </row>
    <row r="182" customFormat="false" ht="15" hidden="false" customHeight="false" outlineLevel="0" collapsed="false">
      <c r="A182" s="26" t="n">
        <v>177</v>
      </c>
      <c r="B182" s="27" t="n">
        <f aca="false">A182*10/60</f>
        <v>29.5</v>
      </c>
      <c r="C182" s="21" t="n">
        <f aca="false">X181</f>
        <v>18.6730249835055</v>
      </c>
      <c r="D182" s="27" t="n">
        <f aca="false">D181+W181</f>
        <v>0</v>
      </c>
      <c r="E182" s="26" t="n">
        <f aca="false">E181+IF(U181="SW",1,0)</f>
        <v>12</v>
      </c>
      <c r="F182" s="26" t="n">
        <f aca="false">F181+IF(U181="AB",1,0)</f>
        <v>10</v>
      </c>
      <c r="G182" s="26" t="n">
        <f aca="false">G181+IF(U181="SC",1,0)</f>
        <v>7</v>
      </c>
      <c r="H182" s="26" t="n">
        <f aca="false">H181+IF(U181="Mag",1,0)</f>
        <v>5</v>
      </c>
      <c r="I182" s="26" t="n">
        <f aca="false">MAX(I181,IF(U181="OR",1,0))</f>
        <v>1</v>
      </c>
      <c r="J182" s="26" t="n">
        <f aca="false">MAX(J181,IF(U181="HP",1,0))</f>
        <v>1</v>
      </c>
      <c r="K182" s="26" t="n">
        <f aca="false">MAX(K181,IF(U181="FP",1,0))</f>
        <v>1</v>
      </c>
      <c r="L182" s="26" t="n">
        <f aca="false">MAX(L181,IF(U181="transition",1,0))</f>
        <v>1</v>
      </c>
      <c r="M182" s="28" t="n">
        <f aca="false">(Parameters!$B$9+(IF(E182=0,0,(Upgrades!$J$6+E182*Upgrades!$K$6)*POWER(Upgrades!$L$6,E182)))*(IF(Upgrades!$T$7="Solar Wind",POWER(Upgrades!$U$7,F182),1)*IF(Upgrades!$T$8="Solar Wind",POWER(Upgrades!$U$8,G182),1)*IF(Upgrades!$T$9="Solar Wind",POWER(Upgrades!$U$9,H182),1)*IF(Upgrades!$T$10="Solar Wind",POWER(Upgrades!$U$10,I182),1)*IF(Upgrades!$T$11="Solar Wind",POWER(Upgrades!$U$11,J182),1)*IF(Upgrades!$T$12="Solar Wind",POWER(Upgrades!$U$12,K182),1))+(IF(F182=0,0,(Upgrades!$J$7+F182*Upgrades!$K$7)*POWER(Upgrades!$L$7,F182)))*(IF(Upgrades!$T$6="Asteroid Belt",POWER(Upgrades!$U$6,E182),1)*IF(Upgrades!$T$8="Asteroid Belt",POWER(Upgrades!$U$8,G182),1)*IF(Upgrades!$T$9="Asteroid Belt",POWER(Upgrades!$U$9,H182),1)*IF(Upgrades!$T$10="Asteroid Belt",POWER(Upgrades!$U$10,I182),1)*IF(Upgrades!$T$11="Asteroid Belt",POWER(Upgrades!$U$11,J182),1)*IF(Upgrades!$T$12="Asteroid Belt",POWER(Upgrades!$U$12,K182),1))+(IF(G182=0,0,(Upgrades!$J$8+G182*Upgrades!$K$8)*POWER(Upgrades!$L$8,G182)))*(IF(Upgrades!$T$6="Stellar Coupling",POWER(Upgrades!$U$6,E182),1)*IF(Upgrades!$T$7="Stellar Coupling",POWER(Upgrades!$U$7,F182),1)*IF(Upgrades!$T$9="Stellar Coupling",POWER(Upgrades!$U$9,H182),1)*IF(Upgrades!$T$10="Stellar Coupling",POWER(Upgrades!$U$10,I182),1)*IF(Upgrades!$T$11="Stellar Coupling",POWER(Upgrades!$U$11,J182),1)*IF(Upgrades!$T$12="Stellar Coupling",POWER(Upgrades!$U$12,K182),1))+(IF(H182=0,0,(Upgrades!$J$9+H182*Upgrades!$K$9)*POWER(Upgrades!$L$9,H182)))*(IF(Upgrades!$T$6="Magnetosphere",POWER(Upgrades!$U$6,E182),1)*IF(Upgrades!$T$7="Magnetosphere",POWER(Upgrades!$U$7,F182),1)*IF(Upgrades!$T$8="Magnetosphere",POWER(Upgrades!$U$8,G182),1)*IF(Upgrades!$T$10="Magnetosphere",POWER(Upgrades!$U$10,I182),1)*IF(Upgrades!$T$11="Magnetosphere",POWER(Upgrades!$U$11,J182),1)*IF(Upgrades!$T$12="Magnetosphere",POWER(Upgrades!$U$12,K182),1))+(IF(I182=0,0,(Upgrades!$J$10+I182*Upgrades!$K$10)*POWER(Upgrades!$L$10,I182)))*(IF(Upgrades!$T$6="Orbital Resonance",POWER(Upgrades!$U$6,E182),1)*IF(Upgrades!$T$7="Orbital Resonance",POWER(Upgrades!$U$7,F182),1)*IF(Upgrades!$T$8="Orbital Resonance",POWER(Upgrades!$U$8,G182),1)*IF(Upgrades!$T$9="Orbital Resonance",POWER(Upgrades!$U$9,H182),1)*IF(Upgrades!$T$11="Orbital Resonance",POWER(Upgrades!$U$11,J182),1)*IF(Upgrades!$T$12="Orbital Resonance",POWER(Upgrades!$U$12,K182),1))+(IF(J182=0,0,(Upgrades!$J$11+J182*Upgrades!$K$11)*POWER(Upgrades!$L$11,J182)))*(IF(Upgrades!$T$6="Heliopause",POWER(Upgrades!$U$6,E182),1)*IF(Upgrades!$T$7="Heliopause",POWER(Upgrades!$U$7,F182),1)*IF(Upgrades!$T$8="Heliopause",POWER(Upgrades!$U$8,G182),1)*IF(Upgrades!$T$9="Heliopause",POWER(Upgrades!$U$9,H182),1)*IF(Upgrades!$T$10="Heliopause",POWER(Upgrades!$U$10,I182),1)*IF(Upgrades!$T$12="Heliopause",POWER(Upgrades!$U$12,K182),1))+(IF(K182=0,0,(Upgrades!$J$12+K182*Upgrades!$K$12)*POWER(Upgrades!$L$12,K182)))*(IF(Upgrades!$T$6="First Photons",POWER(Upgrades!$U$6,E182),1)*IF(Upgrades!$T$7="First Photons",POWER(Upgrades!$U$7,F182),1)*IF(Upgrades!$T$8="First Photons",POWER(Upgrades!$U$8,G182),1)*IF(Upgrades!$T$9="First Photons",POWER(Upgrades!$U$9,H182),1)*IF(Upgrades!$T$10="First Photons",POWER(Upgrades!$U$10,I182),1)*IF(Upgrades!$T$11="First Photons",POWER(Upgrades!$U$11,J182),1)))*POWER(Upgrades!$Q$6,E182)*POWER(Upgrades!$Q$7,F182)*POWER(Upgrades!$Q$8,G182)*POWER(Upgrades!$Q$9,H182)*POWER(Upgrades!$Q$10,I182)*POWER(Upgrades!$Q$11,J182)*POWER(Upgrades!$Q$12,K182)</f>
        <v>5.61</v>
      </c>
      <c r="N182" s="28" t="n">
        <f aca="false">((IF(E182=0,0,(Upgrades!$G$6+E182*Upgrades!$H$6)*POWER(Upgrades!$I$6,E182)))*(IF(Upgrades!$T$7="Solar Wind",POWER(Upgrades!$U$7,F182),1)*IF(Upgrades!$T$8="Solar Wind",POWER(Upgrades!$U$8,G182),1)*IF(Upgrades!$T$9="Solar Wind",POWER(Upgrades!$U$9,H182),1)*IF(Upgrades!$T$10="Solar Wind",POWER(Upgrades!$U$10,I182),1)*IF(Upgrades!$T$11="Solar Wind",POWER(Upgrades!$U$11,J182),1)*IF(Upgrades!$T$12="Solar Wind",POWER(Upgrades!$U$12,K182),1))+(IF(F182=0,0,(Upgrades!$G$7+F182*Upgrades!$H$7)*POWER(Upgrades!$I$7,F182)))*(IF(Upgrades!$T$6="Asteroid Belt",POWER(Upgrades!$U$6,E182),1)*IF(Upgrades!$T$8="Asteroid Belt",POWER(Upgrades!$U$8,G182),1)*IF(Upgrades!$T$9="Asteroid Belt",POWER(Upgrades!$U$9,H182),1)*IF(Upgrades!$T$10="Asteroid Belt",POWER(Upgrades!$U$10,I182),1)*IF(Upgrades!$T$11="Asteroid Belt",POWER(Upgrades!$U$11,J182),1)*IF(Upgrades!$T$12="Asteroid Belt",POWER(Upgrades!$U$12,K182),1))+(IF(G182=0,0,(Upgrades!$G$8+G182*Upgrades!$H$8)*POWER(Upgrades!$I$8,G182)))*(IF(Upgrades!$T$6="Stellar Coupling",POWER(Upgrades!$U$6,E182),1)*IF(Upgrades!$T$7="Stellar Coupling",POWER(Upgrades!$U$7,F182),1)*IF(Upgrades!$T$9="Stellar Coupling",POWER(Upgrades!$U$9,H182),1)*IF(Upgrades!$T$10="Stellar Coupling",POWER(Upgrades!$U$10,I182),1)*IF(Upgrades!$T$11="Stellar Coupling",POWER(Upgrades!$U$11,J182),1)*IF(Upgrades!$T$12="Stellar Coupling",POWER(Upgrades!$U$12,K182),1))+(IF(H182=0,0,(Upgrades!$G$9+H182*Upgrades!$H$9)*POWER(Upgrades!$I$9,H182)))*(IF(Upgrades!$T$6="Magnetosphere",POWER(Upgrades!$U$6,E182),1)*IF(Upgrades!$T$7="Magnetosphere",POWER(Upgrades!$U$7,F182),1)*IF(Upgrades!$T$8="Magnetosphere",POWER(Upgrades!$U$8,G182),1)*IF(Upgrades!$T$10="Magnetosphere",POWER(Upgrades!$U$10,I182),1)*IF(Upgrades!$T$11="Magnetosphere",POWER(Upgrades!$U$11,J182),1)*IF(Upgrades!$T$12="Magnetosphere",POWER(Upgrades!$U$12,K182),1))+(IF(I182=0,0,(Upgrades!$G$10+I182*Upgrades!$H$10)*POWER(Upgrades!$I$10,I182)))*(IF(Upgrades!$T$6="Orbital Resonance",POWER(Upgrades!$U$6,E182),1)*IF(Upgrades!$T$7="Orbital Resonance",POWER(Upgrades!$U$7,F182),1)*IF(Upgrades!$T$8="Orbital Resonance",POWER(Upgrades!$U$8,G182),1)*IF(Upgrades!$T$9="Orbital Resonance",POWER(Upgrades!$U$9,H182),1)*IF(Upgrades!$T$11="Orbital Resonance",POWER(Upgrades!$U$11,J182),1)*IF(Upgrades!$T$12="Orbital Resonance",POWER(Upgrades!$U$12,K182),1))+(IF(J182=0,0,(Upgrades!$G$11+J182*Upgrades!$H$11)*POWER(Upgrades!$I$11,J182)))*(IF(Upgrades!$T$6="Heliopause",POWER(Upgrades!$U$6,E182),1)*IF(Upgrades!$T$7="Heliopause",POWER(Upgrades!$U$7,F182),1)*IF(Upgrades!$T$8="Heliopause",POWER(Upgrades!$U$8,G182),1)*IF(Upgrades!$T$9="Heliopause",POWER(Upgrades!$U$9,H182),1)*IF(Upgrades!$T$10="Heliopause",POWER(Upgrades!$U$10,I182),1)*IF(Upgrades!$T$12="Heliopause",POWER(Upgrades!$U$12,K182),1))+(IF(K182=0,0,(Upgrades!$G$12+K182*Upgrades!$H$12)*POWER(Upgrades!$I$12,K182)))*(IF(Upgrades!$T$6="First Photons",POWER(Upgrades!$U$6,E182),1)*IF(Upgrades!$T$7="First Photons",POWER(Upgrades!$U$7,F182),1)*IF(Upgrades!$T$8="First Photons",POWER(Upgrades!$U$8,G182),1)*IF(Upgrades!$T$9="First Photons",POWER(Upgrades!$U$9,H182),1)*IF(Upgrades!$T$10="First Photons",POWER(Upgrades!$U$10,I182),1)*IF(Upgrades!$T$11="First Photons",POWER(Upgrades!$U$11,J182),1)))*POWER(Upgrades!$P$6,E182)*POWER(Upgrades!$P$7,F182)*POWER(Upgrades!$P$8,G182)*POWER(Upgrades!$P$9,H182)*POWER(Upgrades!$P$10,I182)*POWER(Upgrades!$P$11,J182)*POWER(Upgrades!$P$12,K182)</f>
        <v>11.2</v>
      </c>
      <c r="O182" s="28" t="n">
        <f aca="false">((IF(E182=0,0,(Upgrades!$M$6+E182*Upgrades!$N$6)*POWER(Upgrades!$O$6,E182)))*(IF(Upgrades!$T$7="Solar Wind",POWER(Upgrades!$U$7,F182),1)*IF(Upgrades!$T$8="Solar Wind",POWER(Upgrades!$U$8,G182),1)*IF(Upgrades!$T$9="Solar Wind",POWER(Upgrades!$U$9,H182),1)*IF(Upgrades!$T$10="Solar Wind",POWER(Upgrades!$U$10,I182),1)*IF(Upgrades!$T$11="Solar Wind",POWER(Upgrades!$U$11,J182),1)*IF(Upgrades!$T$12="Solar Wind",POWER(Upgrades!$U$12,K182),1))+(IF(F182=0,0,(Upgrades!$M$7+F182*Upgrades!$N$7)*POWER(Upgrades!$O$7,F182)))*(IF(Upgrades!$T$6="Asteroid Belt",POWER(Upgrades!$U$6,E182),1)*IF(Upgrades!$T$8="Asteroid Belt",POWER(Upgrades!$U$8,G182),1)*IF(Upgrades!$T$9="Asteroid Belt",POWER(Upgrades!$U$9,H182),1)*IF(Upgrades!$T$10="Asteroid Belt",POWER(Upgrades!$U$10,I182),1)*IF(Upgrades!$T$11="Asteroid Belt",POWER(Upgrades!$U$11,J182),1)*IF(Upgrades!$T$12="Asteroid Belt",POWER(Upgrades!$U$12,K182),1))+(IF(G182=0,0,(Upgrades!$M$8+G182*Upgrades!$N$8)*POWER(Upgrades!$O$8,G182)))*(IF(Upgrades!$T$6="Stellar Coupling",POWER(Upgrades!$U$6,E182),1)*IF(Upgrades!$T$7="Stellar Coupling",POWER(Upgrades!$U$7,F182),1)*IF(Upgrades!$T$9="Stellar Coupling",POWER(Upgrades!$U$9,H182),1)*IF(Upgrades!$T$10="Stellar Coupling",POWER(Upgrades!$U$10,I182),1)*IF(Upgrades!$T$11="Stellar Coupling",POWER(Upgrades!$U$11,J182),1)*IF(Upgrades!$T$12="Stellar Coupling",POWER(Upgrades!$U$12,K182),1))+(IF(H182=0,0,(Upgrades!$M$9+H182*Upgrades!$N$9)*POWER(Upgrades!$O$9,H182)))*(IF(Upgrades!$T$6="Magnetosphere",POWER(Upgrades!$U$6,E182),1)*IF(Upgrades!$T$7="Magnetosphere",POWER(Upgrades!$U$7,F182),1)*IF(Upgrades!$T$8="Magnetosphere",POWER(Upgrades!$U$8,G182),1)*IF(Upgrades!$T$10="Magnetosphere",POWER(Upgrades!$U$10,I182),1)*IF(Upgrades!$T$11="Magnetosphere",POWER(Upgrades!$U$11,J182),1)*IF(Upgrades!$T$12="Magnetosphere",POWER(Upgrades!$U$12,K182),1))+(IF(I182=0,0,(Upgrades!$M$10+I182*Upgrades!$N$10)*POWER(Upgrades!$O$10,I182)))*(IF(Upgrades!$T$6="Orbital Resonance",POWER(Upgrades!$U$6,E182),1)*IF(Upgrades!$T$7="Orbital Resonance",POWER(Upgrades!$U$7,F182),1)*IF(Upgrades!$T$8="Orbital Resonance",POWER(Upgrades!$U$8,G182),1)*IF(Upgrades!$T$9="Orbital Resonance",POWER(Upgrades!$U$9,H182),1)*IF(Upgrades!$T$11="Orbital Resonance",POWER(Upgrades!$U$11,J182),1)*IF(Upgrades!$T$12="Orbital Resonance",POWER(Upgrades!$U$12,K182),1))+(IF(J182=0,0,(Upgrades!$M$11+J182*Upgrades!$N$11)*POWER(Upgrades!$O$11,J182)))*(IF(Upgrades!$T$6="Heliopause",POWER(Upgrades!$U$6,E182),1)*IF(Upgrades!$T$7="Heliopause",POWER(Upgrades!$U$7,F182),1)*IF(Upgrades!$T$8="Heliopause",POWER(Upgrades!$U$8,G182),1)*IF(Upgrades!$T$9="Heliopause",POWER(Upgrades!$U$9,H182),1)*IF(Upgrades!$T$10="Heliopause",POWER(Upgrades!$U$10,I182),1)*IF(Upgrades!$T$12="Heliopause",POWER(Upgrades!$U$12,K182),1))+(IF(K182=0,0,(Upgrades!$M$12+K182*Upgrades!$N$12)*POWER(Upgrades!$O$12,K182)))*(IF(Upgrades!$T$6="First Photons",POWER(Upgrades!$U$6,E182),1)*IF(Upgrades!$T$7="First Photons",POWER(Upgrades!$U$7,F182),1)*IF(Upgrades!$T$8="First Photons",POWER(Upgrades!$U$8,G182),1)*IF(Upgrades!$T$9="First Photons",POWER(Upgrades!$U$9,H182),1)*IF(Upgrades!$T$10="First Photons",POWER(Upgrades!$U$10,I182),1)*IF(Upgrades!$T$11="First Photons",POWER(Upgrades!$U$11,J182),1)))*POWER(Upgrades!$R$6,E182)*POWER(Upgrades!$R$7,F182)*POWER(Upgrades!$R$8,G182)*POWER(Upgrades!$R$9,H182)*POWER(Upgrades!$R$10,I182)*POWER(Upgrades!$R$11,J182)*POWER(Upgrades!$R$12,K182)</f>
        <v>0</v>
      </c>
      <c r="P182" s="27" t="n">
        <f aca="false">IF(L182=1,0,M182*Parameters!$B$10/60*Parameters!$B$11*10)</f>
        <v>0</v>
      </c>
      <c r="Q182" s="27" t="n">
        <f aca="false">IF(L182=1,0,O182*M182*10)</f>
        <v>0</v>
      </c>
      <c r="R182" s="27" t="n">
        <f aca="false">IF(L182=1,0,N182*10)</f>
        <v>0</v>
      </c>
      <c r="S182" s="27" t="n">
        <f aca="false">P182+Q182+R182</f>
        <v>0</v>
      </c>
      <c r="T182" s="21" t="n">
        <f aca="false">C182+S182</f>
        <v>18.6730249835055</v>
      </c>
      <c r="U182" s="34" t="str">
        <f aca="false">AX182</f>
        <v/>
      </c>
      <c r="V182" s="21" t="n">
        <f aca="false">IF(U182="",0,IF(U182="transition",0,IF(U182="SW",AG182,IF(U182="AB",AH182,IF(U182="SC",AI182,IF(U182="Mag",AJ182,IF(U182="OR",AK182,IF(U182="HP",AL182,IF(U182="FP",AM182,0)))))))))</f>
        <v>0</v>
      </c>
      <c r="W182" s="27" t="n">
        <f aca="false">IF(U182="OR",Upgrades!$F$10,IF(U182="HP",Upgrades!$F$11,IF(U182="transition",-Parameters!$B$18,0)))</f>
        <v>0</v>
      </c>
      <c r="X182" s="21" t="n">
        <f aca="false">T182-V182</f>
        <v>18.6730249835055</v>
      </c>
      <c r="Y182" s="30" t="n">
        <f aca="false">M182*Parameters!$B$10/60*Parameters!$B$11+O182*M182+N182</f>
        <v>20.55</v>
      </c>
      <c r="Z182" s="35" t="str">
        <f aca="false">IF(U182="transition","→ Tier 2 (Stellar Neighborhood)",IF(U182="FP","First Photons — light begins, system quickens",IF(U182="HP","Heliopause acquired",IF(U182="OR","Orbital Resonance — passive multiplier active",IF(AND(AO182=1,L182=0,AN182&lt;&gt;1),"Cohesion ready (waiting on completionist upgrades)","")))))</f>
        <v/>
      </c>
      <c r="AA182" s="27" t="n">
        <f aca="false">(IF(E182=0,0,(Upgrades!$G$6+E182*Upgrades!$H$6)*POWER(Upgrades!$I$6,E182)))*(IF(Upgrades!$T$7="Solar Wind",POWER(Upgrades!$U$7,F182),1)*IF(Upgrades!$T$8="Solar Wind",POWER(Upgrades!$U$8,G182),1)*IF(Upgrades!$T$9="Solar Wind",POWER(Upgrades!$U$9,H182),1)*IF(Upgrades!$T$10="Solar Wind",POWER(Upgrades!$U$10,I182),1)*IF(Upgrades!$T$11="Solar Wind",POWER(Upgrades!$U$11,J182),1)*IF(Upgrades!$T$12="Solar Wind",POWER(Upgrades!$U$12,K182),1))*POWER(Upgrades!$P$6,E182)*POWER(Upgrades!$P$7,F182)*POWER(Upgrades!$P$8,G182)*POWER(Upgrades!$P$9,H182)*POWER(Upgrades!$P$10,I182)*POWER(Upgrades!$P$11,J182)*POWER(Upgrades!$P$12,K182)*60</f>
        <v>72</v>
      </c>
      <c r="AB182" s="27" t="n">
        <f aca="false">(IF(F182=0,0,(Upgrades!$G$7+F182*Upgrades!$H$7)*POWER(Upgrades!$I$7,F182)))*(IF(Upgrades!$T$6="Asteroid Belt",POWER(Upgrades!$U$6,E182),1)*IF(Upgrades!$T$8="Asteroid Belt",POWER(Upgrades!$U$8,G182),1)*IF(Upgrades!$T$9="Asteroid Belt",POWER(Upgrades!$U$9,H182),1)*IF(Upgrades!$T$10="Asteroid Belt",POWER(Upgrades!$U$10,I182),1)*IF(Upgrades!$T$11="Asteroid Belt",POWER(Upgrades!$U$11,J182),1)*IF(Upgrades!$T$12="Asteroid Belt",POWER(Upgrades!$U$12,K182),1))*POWER(Upgrades!$P$6,E182)*POWER(Upgrades!$P$7,F182)*POWER(Upgrades!$P$8,G182)*POWER(Upgrades!$P$9,H182)*POWER(Upgrades!$P$10,I182)*POWER(Upgrades!$P$11,J182)*POWER(Upgrades!$P$12,K182)*60</f>
        <v>150</v>
      </c>
      <c r="AC182" s="27" t="n">
        <f aca="false">(IF(G182=0,0,(Upgrades!$J$8+G182*Upgrades!$K$8)*POWER(Upgrades!$L$8,G182)))*(IF(Upgrades!$T$6="Stellar Coupling",POWER(Upgrades!$U$6,E182),1)*IF(Upgrades!$T$7="Stellar Coupling",POWER(Upgrades!$U$7,F182),1)*IF(Upgrades!$T$9="Stellar Coupling",POWER(Upgrades!$U$9,H182),1)*IF(Upgrades!$T$10="Stellar Coupling",POWER(Upgrades!$U$10,I182),1)*IF(Upgrades!$T$11="Stellar Coupling",POWER(Upgrades!$U$11,J182),1)*IF(Upgrades!$T$12="Stellar Coupling",POWER(Upgrades!$U$12,K182),1))*POWER(Upgrades!$Q$6,E182)*POWER(Upgrades!$Q$7,F182)*POWER(Upgrades!$Q$8,G182)*POWER(Upgrades!$Q$9,H182)*POWER(Upgrades!$Q$10,I182)*POWER(Upgrades!$Q$11,J182)*POWER(Upgrades!$Q$12,K182)*Parameters!$B$10*Parameters!$B$11</f>
        <v>441</v>
      </c>
      <c r="AD182" s="27" t="n">
        <f aca="false">(IF(H182=0,0,(Upgrades!$G$9+H182*Upgrades!$H$9)*POWER(Upgrades!$I$9,H182)))*(IF(Upgrades!$T$6="Magnetosphere",POWER(Upgrades!$U$6,E182),1)*IF(Upgrades!$T$7="Magnetosphere",POWER(Upgrades!$U$7,F182),1)*IF(Upgrades!$T$8="Magnetosphere",POWER(Upgrades!$U$8,G182),1)*IF(Upgrades!$T$10="Magnetosphere",POWER(Upgrades!$U$10,I182),1)*IF(Upgrades!$T$11="Magnetosphere",POWER(Upgrades!$U$11,J182),1)*IF(Upgrades!$T$12="Magnetosphere",POWER(Upgrades!$U$12,K182),1))*POWER(Upgrades!$P$6,E182)*POWER(Upgrades!$P$7,F182)*POWER(Upgrades!$P$8,G182)*POWER(Upgrades!$P$9,H182)*POWER(Upgrades!$P$10,I182)*POWER(Upgrades!$P$11,J182)*POWER(Upgrades!$P$12,K182)*60</f>
        <v>375</v>
      </c>
      <c r="AE182" s="27" t="n">
        <f aca="false">(IF(K182=0,0,(Upgrades!$G$12+K182*Upgrades!$H$12)*POWER(Upgrades!$I$12,K182)))*(IF(Upgrades!$T$6="First Photons",POWER(Upgrades!$U$6,E182),1)*IF(Upgrades!$T$7="First Photons",POWER(Upgrades!$U$7,F182),1)*IF(Upgrades!$T$8="First Photons",POWER(Upgrades!$U$8,G182),1)*IF(Upgrades!$T$9="First Photons",POWER(Upgrades!$U$9,H182),1)*IF(Upgrades!$T$10="First Photons",POWER(Upgrades!$U$10,I182),1)*IF(Upgrades!$T$11="First Photons",POWER(Upgrades!$U$11,J182),1))*POWER(Upgrades!$P$6,E182)*POWER(Upgrades!$P$7,F182)*POWER(Upgrades!$P$8,G182)*POWER(Upgrades!$P$9,H182)*POWER(Upgrades!$P$10,I182)*POWER(Upgrades!$P$11,J182)*POWER(Upgrades!$P$12,K182)*60</f>
        <v>75</v>
      </c>
      <c r="AF182" s="27" t="n">
        <f aca="false">Parameters!$B$9*POWER(Upgrades!$Q$6,E182)*POWER(Upgrades!$Q$7,F182)*POWER(Upgrades!$Q$8,G182)*POWER(Upgrades!$Q$9,H182)*POWER(Upgrades!$Q$10,I182)*POWER(Upgrades!$Q$11,J182)*POWER(Upgrades!$Q$12,K182)*(Parameters!$B$10*Parameters!$B$11+O182*60)</f>
        <v>120</v>
      </c>
      <c r="AG182" s="21" t="n">
        <f aca="false">IF(E182&gt;=Upgrades!$E$6,"",Upgrades!$C$6*POWER(Upgrades!$D$6,E182))</f>
        <v>37.4517507383159</v>
      </c>
      <c r="AH182" s="21" t="n">
        <f aca="false">IF(F182&gt;=Upgrades!$E$7,"",Upgrades!$C$7*POWER(Upgrades!$D$7,F182))</f>
        <v>80.9111547141581</v>
      </c>
      <c r="AI182" s="21" t="n">
        <f aca="false">IF(G182&gt;=Upgrades!$E$8,"",Upgrades!$C$8*POWER(Upgrades!$D$8,G182))</f>
        <v>231.9097088</v>
      </c>
      <c r="AJ182" s="21" t="str">
        <f aca="false">IF(H182&gt;=Upgrades!$E$9,"",Upgrades!$C$9*POWER(Upgrades!$D$9,H182))</f>
        <v/>
      </c>
      <c r="AK182" s="21" t="str">
        <f aca="false">IF(I182&gt;=Upgrades!$E$10,"",Upgrades!$C$10*POWER(Upgrades!$D$10,I182))</f>
        <v/>
      </c>
      <c r="AL182" s="21" t="str">
        <f aca="false">IF(J182&gt;=Upgrades!$E$11,"",Upgrades!$C$11*POWER(Upgrades!$D$11,J182))</f>
        <v/>
      </c>
      <c r="AM182" s="21" t="str">
        <f aca="false">IF(K182&gt;=Upgrades!$E$12,"",Upgrades!$C$12*POWER(Upgrades!$D$12,K182))</f>
        <v/>
      </c>
      <c r="AN182" s="26" t="str">
        <f aca="false">IF(AND(D182&gt;=Parameters!$B$18,(H182&gt;=Upgrades!$E$9)*(K182&gt;=Upgrades!$E$12)=1,L182=0),1,"")</f>
        <v/>
      </c>
      <c r="AO182" s="26" t="str">
        <f aca="false">IF(AND(D182&gt;=Parameters!$B$18,L182=0),1,"")</f>
        <v/>
      </c>
      <c r="AP182" s="21" t="n">
        <f aca="false">MIN(IF(ISNUMBER(AK182),AK182,9000000000000000),IF(ISNUMBER(AL182),AL182,9000000000000000),IF(ISNUMBER(AM182),AM182,9000000000000000))</f>
        <v>9000000000000000</v>
      </c>
      <c r="AQ182" s="21" t="n">
        <f aca="false">MIN(IF(ISNUMBER(AG182),AG182,9000000000000000),IF(ISNUMBER(AH182),AH182,9000000000000000),IF(ISNUMBER(AI182),AI182,9000000000000000),IF(ISNUMBER(AJ182),AJ182,9000000000000000))</f>
        <v>37.4517507383159</v>
      </c>
      <c r="AR182" s="32" t="b">
        <f aca="false">IF(AW182&gt;Parameters!$B$21*(MAX(IF(AND(NOT(AND(AO182=1,AN182&lt;&gt;1)),ISNUMBER(AG182),AG182&lt;=T182),AS182,0),IF(AND(NOT(AND(AO182=1,AN182&lt;&gt;1)),ISNUMBER(AH182),AH182&lt;=T182),AT182,0),IF(AND(NOT(AND(AO182=1,AN182&lt;&gt;1)),ISNUMBER(AI182),AI182&lt;=T182),AU182,0),IF(AND(ISNUMBER(AJ182),AJ182&lt;=T182),AV182,0))),TRUE(),FALSE())</f>
        <v>1</v>
      </c>
      <c r="AS182" s="33" t="n">
        <f aca="false">IFERROR(Upgrades!$H$6*(POWER(Upgrades!$P$6,E182)*POWER(Upgrades!$P$7,F182)*POWER(Upgrades!$P$8,G182)*POWER(Upgrades!$P$9,H182)*POWER(Upgrades!$P$10,I182)*POWER(Upgrades!$P$11,J182)*POWER(Upgrades!$P$12,K182))*(IF(Upgrades!$T$7="Solar Wind",POWER(Upgrades!$U$7,F182),1)*IF(Upgrades!$T$8="Solar Wind",POWER(Upgrades!$U$8,G182),1)*IF(Upgrades!$T$9="Solar Wind",POWER(Upgrades!$U$9,H182),1)*IF(Upgrades!$T$10="Solar Wind",POWER(Upgrades!$U$10,I182),1)*IF(Upgrades!$T$11="Solar Wind",POWER(Upgrades!$U$11,J182),1)*IF(Upgrades!$T$12="Solar Wind",POWER(Upgrades!$U$12,K182),1))/AG182,0)</f>
        <v>0.0026701021455238</v>
      </c>
      <c r="AT182" s="33" t="n">
        <f aca="false">IFERROR(Upgrades!$H$7*(POWER(Upgrades!$P$6,E182)*POWER(Upgrades!$P$7,F182)*POWER(Upgrades!$P$8,G182)*POWER(Upgrades!$P$9,H182)*POWER(Upgrades!$P$10,I182)*POWER(Upgrades!$P$11,J182)*POWER(Upgrades!$P$12,K182))*(IF(Upgrades!$T$6="Asteroid Belt",POWER(Upgrades!$U$6,E182),1)*IF(Upgrades!$T$8="Asteroid Belt",POWER(Upgrades!$U$8,G182),1)*IF(Upgrades!$T$9="Asteroid Belt",POWER(Upgrades!$U$9,H182),1)*IF(Upgrades!$T$10="Asteroid Belt",POWER(Upgrades!$U$10,I182),1)*IF(Upgrades!$T$11="Asteroid Belt",POWER(Upgrades!$U$11,J182),1)*IF(Upgrades!$T$12="Asteroid Belt",POWER(Upgrades!$U$12,K182),1))/AH182,0)</f>
        <v>0.00308980882652332</v>
      </c>
      <c r="AU182" s="33" t="n">
        <f aca="false">IFERROR(Upgrades!$K$8*(POWER(Upgrades!$Q$6,E182)*POWER(Upgrades!$Q$7,F182)*POWER(Upgrades!$Q$8,G182)*POWER(Upgrades!$Q$9,H182)*POWER(Upgrades!$Q$10,I182)*POWER(Upgrades!$Q$11,J182)*POWER(Upgrades!$Q$12,K182))*(IF(Upgrades!$T$6="Stellar Coupling",POWER(Upgrades!$U$6,E182),1)*IF(Upgrades!$T$7="Stellar Coupling",POWER(Upgrades!$U$7,F182),1)*IF(Upgrades!$T$9="Stellar Coupling",POWER(Upgrades!$U$9,H182),1)*IF(Upgrades!$T$10="Stellar Coupling",POWER(Upgrades!$U$10,I182),1)*IF(Upgrades!$T$11="Stellar Coupling",POWER(Upgrades!$U$11,J182),1)*IF(Upgrades!$T$12="Stellar Coupling",POWER(Upgrades!$U$12,K182),1))*Parameters!$B$10*Parameters!$B$11/60/AI182,0)</f>
        <v>0.00452762415783776</v>
      </c>
      <c r="AV182" s="33" t="n">
        <f aca="false">IFERROR(Upgrades!$H$9*(POWER(Upgrades!$P$6,E182)*POWER(Upgrades!$P$7,F182)*POWER(Upgrades!$P$8,G182)*POWER(Upgrades!$P$9,H182)*POWER(Upgrades!$P$10,I182)*POWER(Upgrades!$P$11,J182)*POWER(Upgrades!$P$12,K182))*(IF(Upgrades!$T$6="Magnetosphere",POWER(Upgrades!$U$6,E182),1)*IF(Upgrades!$T$7="Magnetosphere",POWER(Upgrades!$U$7,F182),1)*IF(Upgrades!$T$8="Magnetosphere",POWER(Upgrades!$U$8,G182),1)*IF(Upgrades!$T$10="Magnetosphere",POWER(Upgrades!$U$10,I182),1)*IF(Upgrades!$T$11="Magnetosphere",POWER(Upgrades!$U$11,J182),1)*IF(Upgrades!$T$12="Magnetosphere",POWER(Upgrades!$U$12,K182),1))/AJ182,0)</f>
        <v>0</v>
      </c>
      <c r="AW182" s="33" t="n">
        <f aca="false">MAX(IF(I182&gt;0,0,IFERROR(0.25*N182/Upgrades!$C$10,0)),IF(J182&gt;0,0,IFERROR(0.5*((IF(G182=0,0,(Upgrades!$J$8+G182*Upgrades!$K$8)*POWER(Upgrades!$L$8,G182)))*(IF(Upgrades!$T$6="Stellar Coupling",POWER(Upgrades!$U$6,E182),1)*IF(Upgrades!$T$7="Stellar Coupling",POWER(Upgrades!$U$7,F182),1)*IF(Upgrades!$T$9="Stellar Coupling",POWER(Upgrades!$U$9,H182),1)*IF(Upgrades!$T$10="Stellar Coupling",POWER(Upgrades!$U$10,I182),1)*IF(Upgrades!$T$11="Stellar Coupling",POWER(Upgrades!$U$11,J182),1)*IF(Upgrades!$T$12="Stellar Coupling",POWER(Upgrades!$U$12,K182),1))*(POWER(Upgrades!$Q$6,E182)*POWER(Upgrades!$Q$7,F182)*POWER(Upgrades!$Q$8,G182)*POWER(Upgrades!$Q$9,H182)*POWER(Upgrades!$Q$10,I182)*POWER(Upgrades!$Q$11,J182)*POWER(Upgrades!$Q$12,K182))*Parameters!$B$10*Parameters!$B$11/60)/Upgrades!$C$11,0)),IF(K182&gt;0,0,IFERROR((1*(POWER(Upgrades!$P$6,E182)*POWER(Upgrades!$P$7,F182)*POWER(Upgrades!$P$8,G182)*POWER(Upgrades!$P$9,H182)*POWER(Upgrades!$P$10,I182)*POWER(Upgrades!$P$11,J182)*POWER(Upgrades!$P$12,K182))+0.2*M182*Parameters!$B$10*Parameters!$B$11/60)/Upgrades!$C$12,0)),IF(AND(ISNUMBER(AG182),AG182&gt;T182),AS182,0),IF(AND(ISNUMBER(AH182),AH182&gt;T182),AT182,0),IF(AND(ISNUMBER(AI182),AI182&gt;T182),AU182,0),IF(AND(ISNUMBER(AJ182),AJ182&gt;T182),AV182,0))</f>
        <v>0.00452762415783776</v>
      </c>
      <c r="AX182" s="29" t="str">
        <f aca="false">IF(AN182=1,"transition",IF(MIN(IF(AND(I182=0,ISNUMBER(AK182),AK182&lt;=T182),AK182,9000000000000000),IF(AND(J182=0,ISNUMBER(AL182),AL182&lt;=T182),AL182,9000000000000000),IF(AND(K182=0,ISNUMBER(AM182),AM182&lt;=T182),AM182,9000000000000000))&lt;9000000000000000,IF(AND(AND(I182=0,ISNUMBER(AK182),AK182&lt;=T182),AK182=MIN(IF(AND(I182=0,ISNUMBER(AK182),AK182&lt;=T182),AK182,9000000000000000),IF(AND(J182=0,ISNUMBER(AL182),AL182&lt;=T182),AL182,9000000000000000),IF(AND(K182=0,ISNUMBER(AM182),AM182&lt;=T182),AM182,9000000000000000))),"OR",IF(AND(AND(J182=0,ISNUMBER(AL182),AL182&lt;=T182),AL182=MIN(IF(AND(I182=0,ISNUMBER(AK182),AK182&lt;=T182),AK182,9000000000000000),IF(AND(J182=0,ISNUMBER(AL182),AL182&lt;=T182),AL182,9000000000000000),IF(AND(K182=0,ISNUMBER(AM182),AM182&lt;=T182),AM182,9000000000000000))),"HP","FP")),IF(AR182=TRUE(),"",IF(MAX(IF(AND(NOT(AND(AO182=1,AN182&lt;&gt;1)),ISNUMBER(AG182),AG182&lt;=T182),AS182,0),IF(AND(NOT(AND(AO182=1,AN182&lt;&gt;1)),ISNUMBER(AH182),AH182&lt;=T182),AT182,0),IF(AND(NOT(AND(AO182=1,AN182&lt;&gt;1)),ISNUMBER(AI182),AI182&lt;=T182),AU182,0),IF(AND(ISNUMBER(AJ182),AJ182&lt;=T182),AV182,0))&lt;=0,"",IF(AND(IF(AND(NOT(AND(AO182=1,AN182&lt;&gt;1)),ISNUMBER(AG182),AG182&lt;=T182),AS182,0)&gt;0,IF(AND(NOT(AND(AO182=1,AN182&lt;&gt;1)),ISNUMBER(AG182),AG182&lt;=T182),AS182,0)=MAX(IF(AND(NOT(AND(AO182=1,AN182&lt;&gt;1)),ISNUMBER(AG182),AG182&lt;=T182),AS182,0),IF(AND(NOT(AND(AO182=1,AN182&lt;&gt;1)),ISNUMBER(AH182),AH182&lt;=T182),AT182,0),IF(AND(NOT(AND(AO182=1,AN182&lt;&gt;1)),ISNUMBER(AI182),AI182&lt;=T182),AU182,0),IF(AND(ISNUMBER(AJ182),AJ182&lt;=T182),AV182,0))),"SW",IF(AND(IF(AND(NOT(AND(AO182=1,AN182&lt;&gt;1)),ISNUMBER(AH182),AH182&lt;=T182),AT182,0)&gt;0,IF(AND(NOT(AND(AO182=1,AN182&lt;&gt;1)),ISNUMBER(AH182),AH182&lt;=T182),AT182,0)=MAX(IF(AND(NOT(AND(AO182=1,AN182&lt;&gt;1)),ISNUMBER(AG182),AG182&lt;=T182),AS182,0),IF(AND(NOT(AND(AO182=1,AN182&lt;&gt;1)),ISNUMBER(AH182),AH182&lt;=T182),AT182,0),IF(AND(NOT(AND(AO182=1,AN182&lt;&gt;1)),ISNUMBER(AI182),AI182&lt;=T182),AU182,0),IF(AND(ISNUMBER(AJ182),AJ182&lt;=T182),AV182,0))),"AB",IF(AND(IF(AND(NOT(AND(AO182=1,AN182&lt;&gt;1)),ISNUMBER(AI182),AI182&lt;=T182),AU182,0)&gt;0,IF(AND(NOT(AND(AO182=1,AN182&lt;&gt;1)),ISNUMBER(AI182),AI182&lt;=T182),AU182,0)=MAX(IF(AND(NOT(AND(AO182=1,AN182&lt;&gt;1)),ISNUMBER(AG182),AG182&lt;=T182),AS182,0),IF(AND(NOT(AND(AO182=1,AN182&lt;&gt;1)),ISNUMBER(AH182),AH182&lt;=T182),AT182,0),IF(AND(NOT(AND(AO182=1,AN182&lt;&gt;1)),ISNUMBER(AI182),AI182&lt;=T182),AU182,0),IF(AND(ISNUMBER(AJ182),AJ182&lt;=T182),AV182,0))),"SC","Mag")))))))</f>
        <v/>
      </c>
    </row>
    <row r="183" customFormat="false" ht="15" hidden="false" customHeight="false" outlineLevel="0" collapsed="false">
      <c r="A183" s="26" t="n">
        <v>178</v>
      </c>
      <c r="B183" s="27" t="n">
        <f aca="false">A183*10/60</f>
        <v>29.6666666666667</v>
      </c>
      <c r="C183" s="21" t="n">
        <f aca="false">X182</f>
        <v>18.6730249835055</v>
      </c>
      <c r="D183" s="27" t="n">
        <f aca="false">D182+W182</f>
        <v>0</v>
      </c>
      <c r="E183" s="26" t="n">
        <f aca="false">E182+IF(U182="SW",1,0)</f>
        <v>12</v>
      </c>
      <c r="F183" s="26" t="n">
        <f aca="false">F182+IF(U182="AB",1,0)</f>
        <v>10</v>
      </c>
      <c r="G183" s="26" t="n">
        <f aca="false">G182+IF(U182="SC",1,0)</f>
        <v>7</v>
      </c>
      <c r="H183" s="26" t="n">
        <f aca="false">H182+IF(U182="Mag",1,0)</f>
        <v>5</v>
      </c>
      <c r="I183" s="26" t="n">
        <f aca="false">MAX(I182,IF(U182="OR",1,0))</f>
        <v>1</v>
      </c>
      <c r="J183" s="26" t="n">
        <f aca="false">MAX(J182,IF(U182="HP",1,0))</f>
        <v>1</v>
      </c>
      <c r="K183" s="26" t="n">
        <f aca="false">MAX(K182,IF(U182="FP",1,0))</f>
        <v>1</v>
      </c>
      <c r="L183" s="26" t="n">
        <f aca="false">MAX(L182,IF(U182="transition",1,0))</f>
        <v>1</v>
      </c>
      <c r="M183" s="28" t="n">
        <f aca="false">(Parameters!$B$9+(IF(E183=0,0,(Upgrades!$J$6+E183*Upgrades!$K$6)*POWER(Upgrades!$L$6,E183)))*(IF(Upgrades!$T$7="Solar Wind",POWER(Upgrades!$U$7,F183),1)*IF(Upgrades!$T$8="Solar Wind",POWER(Upgrades!$U$8,G183),1)*IF(Upgrades!$T$9="Solar Wind",POWER(Upgrades!$U$9,H183),1)*IF(Upgrades!$T$10="Solar Wind",POWER(Upgrades!$U$10,I183),1)*IF(Upgrades!$T$11="Solar Wind",POWER(Upgrades!$U$11,J183),1)*IF(Upgrades!$T$12="Solar Wind",POWER(Upgrades!$U$12,K183),1))+(IF(F183=0,0,(Upgrades!$J$7+F183*Upgrades!$K$7)*POWER(Upgrades!$L$7,F183)))*(IF(Upgrades!$T$6="Asteroid Belt",POWER(Upgrades!$U$6,E183),1)*IF(Upgrades!$T$8="Asteroid Belt",POWER(Upgrades!$U$8,G183),1)*IF(Upgrades!$T$9="Asteroid Belt",POWER(Upgrades!$U$9,H183),1)*IF(Upgrades!$T$10="Asteroid Belt",POWER(Upgrades!$U$10,I183),1)*IF(Upgrades!$T$11="Asteroid Belt",POWER(Upgrades!$U$11,J183),1)*IF(Upgrades!$T$12="Asteroid Belt",POWER(Upgrades!$U$12,K183),1))+(IF(G183=0,0,(Upgrades!$J$8+G183*Upgrades!$K$8)*POWER(Upgrades!$L$8,G183)))*(IF(Upgrades!$T$6="Stellar Coupling",POWER(Upgrades!$U$6,E183),1)*IF(Upgrades!$T$7="Stellar Coupling",POWER(Upgrades!$U$7,F183),1)*IF(Upgrades!$T$9="Stellar Coupling",POWER(Upgrades!$U$9,H183),1)*IF(Upgrades!$T$10="Stellar Coupling",POWER(Upgrades!$U$10,I183),1)*IF(Upgrades!$T$11="Stellar Coupling",POWER(Upgrades!$U$11,J183),1)*IF(Upgrades!$T$12="Stellar Coupling",POWER(Upgrades!$U$12,K183),1))+(IF(H183=0,0,(Upgrades!$J$9+H183*Upgrades!$K$9)*POWER(Upgrades!$L$9,H183)))*(IF(Upgrades!$T$6="Magnetosphere",POWER(Upgrades!$U$6,E183),1)*IF(Upgrades!$T$7="Magnetosphere",POWER(Upgrades!$U$7,F183),1)*IF(Upgrades!$T$8="Magnetosphere",POWER(Upgrades!$U$8,G183),1)*IF(Upgrades!$T$10="Magnetosphere",POWER(Upgrades!$U$10,I183),1)*IF(Upgrades!$T$11="Magnetosphere",POWER(Upgrades!$U$11,J183),1)*IF(Upgrades!$T$12="Magnetosphere",POWER(Upgrades!$U$12,K183),1))+(IF(I183=0,0,(Upgrades!$J$10+I183*Upgrades!$K$10)*POWER(Upgrades!$L$10,I183)))*(IF(Upgrades!$T$6="Orbital Resonance",POWER(Upgrades!$U$6,E183),1)*IF(Upgrades!$T$7="Orbital Resonance",POWER(Upgrades!$U$7,F183),1)*IF(Upgrades!$T$8="Orbital Resonance",POWER(Upgrades!$U$8,G183),1)*IF(Upgrades!$T$9="Orbital Resonance",POWER(Upgrades!$U$9,H183),1)*IF(Upgrades!$T$11="Orbital Resonance",POWER(Upgrades!$U$11,J183),1)*IF(Upgrades!$T$12="Orbital Resonance",POWER(Upgrades!$U$12,K183),1))+(IF(J183=0,0,(Upgrades!$J$11+J183*Upgrades!$K$11)*POWER(Upgrades!$L$11,J183)))*(IF(Upgrades!$T$6="Heliopause",POWER(Upgrades!$U$6,E183),1)*IF(Upgrades!$T$7="Heliopause",POWER(Upgrades!$U$7,F183),1)*IF(Upgrades!$T$8="Heliopause",POWER(Upgrades!$U$8,G183),1)*IF(Upgrades!$T$9="Heliopause",POWER(Upgrades!$U$9,H183),1)*IF(Upgrades!$T$10="Heliopause",POWER(Upgrades!$U$10,I183),1)*IF(Upgrades!$T$12="Heliopause",POWER(Upgrades!$U$12,K183),1))+(IF(K183=0,0,(Upgrades!$J$12+K183*Upgrades!$K$12)*POWER(Upgrades!$L$12,K183)))*(IF(Upgrades!$T$6="First Photons",POWER(Upgrades!$U$6,E183),1)*IF(Upgrades!$T$7="First Photons",POWER(Upgrades!$U$7,F183),1)*IF(Upgrades!$T$8="First Photons",POWER(Upgrades!$U$8,G183),1)*IF(Upgrades!$T$9="First Photons",POWER(Upgrades!$U$9,H183),1)*IF(Upgrades!$T$10="First Photons",POWER(Upgrades!$U$10,I183),1)*IF(Upgrades!$T$11="First Photons",POWER(Upgrades!$U$11,J183),1)))*POWER(Upgrades!$Q$6,E183)*POWER(Upgrades!$Q$7,F183)*POWER(Upgrades!$Q$8,G183)*POWER(Upgrades!$Q$9,H183)*POWER(Upgrades!$Q$10,I183)*POWER(Upgrades!$Q$11,J183)*POWER(Upgrades!$Q$12,K183)</f>
        <v>5.61</v>
      </c>
      <c r="N183" s="28" t="n">
        <f aca="false">((IF(E183=0,0,(Upgrades!$G$6+E183*Upgrades!$H$6)*POWER(Upgrades!$I$6,E183)))*(IF(Upgrades!$T$7="Solar Wind",POWER(Upgrades!$U$7,F183),1)*IF(Upgrades!$T$8="Solar Wind",POWER(Upgrades!$U$8,G183),1)*IF(Upgrades!$T$9="Solar Wind",POWER(Upgrades!$U$9,H183),1)*IF(Upgrades!$T$10="Solar Wind",POWER(Upgrades!$U$10,I183),1)*IF(Upgrades!$T$11="Solar Wind",POWER(Upgrades!$U$11,J183),1)*IF(Upgrades!$T$12="Solar Wind",POWER(Upgrades!$U$12,K183),1))+(IF(F183=0,0,(Upgrades!$G$7+F183*Upgrades!$H$7)*POWER(Upgrades!$I$7,F183)))*(IF(Upgrades!$T$6="Asteroid Belt",POWER(Upgrades!$U$6,E183),1)*IF(Upgrades!$T$8="Asteroid Belt",POWER(Upgrades!$U$8,G183),1)*IF(Upgrades!$T$9="Asteroid Belt",POWER(Upgrades!$U$9,H183),1)*IF(Upgrades!$T$10="Asteroid Belt",POWER(Upgrades!$U$10,I183),1)*IF(Upgrades!$T$11="Asteroid Belt",POWER(Upgrades!$U$11,J183),1)*IF(Upgrades!$T$12="Asteroid Belt",POWER(Upgrades!$U$12,K183),1))+(IF(G183=0,0,(Upgrades!$G$8+G183*Upgrades!$H$8)*POWER(Upgrades!$I$8,G183)))*(IF(Upgrades!$T$6="Stellar Coupling",POWER(Upgrades!$U$6,E183),1)*IF(Upgrades!$T$7="Stellar Coupling",POWER(Upgrades!$U$7,F183),1)*IF(Upgrades!$T$9="Stellar Coupling",POWER(Upgrades!$U$9,H183),1)*IF(Upgrades!$T$10="Stellar Coupling",POWER(Upgrades!$U$10,I183),1)*IF(Upgrades!$T$11="Stellar Coupling",POWER(Upgrades!$U$11,J183),1)*IF(Upgrades!$T$12="Stellar Coupling",POWER(Upgrades!$U$12,K183),1))+(IF(H183=0,0,(Upgrades!$G$9+H183*Upgrades!$H$9)*POWER(Upgrades!$I$9,H183)))*(IF(Upgrades!$T$6="Magnetosphere",POWER(Upgrades!$U$6,E183),1)*IF(Upgrades!$T$7="Magnetosphere",POWER(Upgrades!$U$7,F183),1)*IF(Upgrades!$T$8="Magnetosphere",POWER(Upgrades!$U$8,G183),1)*IF(Upgrades!$T$10="Magnetosphere",POWER(Upgrades!$U$10,I183),1)*IF(Upgrades!$T$11="Magnetosphere",POWER(Upgrades!$U$11,J183),1)*IF(Upgrades!$T$12="Magnetosphere",POWER(Upgrades!$U$12,K183),1))+(IF(I183=0,0,(Upgrades!$G$10+I183*Upgrades!$H$10)*POWER(Upgrades!$I$10,I183)))*(IF(Upgrades!$T$6="Orbital Resonance",POWER(Upgrades!$U$6,E183),1)*IF(Upgrades!$T$7="Orbital Resonance",POWER(Upgrades!$U$7,F183),1)*IF(Upgrades!$T$8="Orbital Resonance",POWER(Upgrades!$U$8,G183),1)*IF(Upgrades!$T$9="Orbital Resonance",POWER(Upgrades!$U$9,H183),1)*IF(Upgrades!$T$11="Orbital Resonance",POWER(Upgrades!$U$11,J183),1)*IF(Upgrades!$T$12="Orbital Resonance",POWER(Upgrades!$U$12,K183),1))+(IF(J183=0,0,(Upgrades!$G$11+J183*Upgrades!$H$11)*POWER(Upgrades!$I$11,J183)))*(IF(Upgrades!$T$6="Heliopause",POWER(Upgrades!$U$6,E183),1)*IF(Upgrades!$T$7="Heliopause",POWER(Upgrades!$U$7,F183),1)*IF(Upgrades!$T$8="Heliopause",POWER(Upgrades!$U$8,G183),1)*IF(Upgrades!$T$9="Heliopause",POWER(Upgrades!$U$9,H183),1)*IF(Upgrades!$T$10="Heliopause",POWER(Upgrades!$U$10,I183),1)*IF(Upgrades!$T$12="Heliopause",POWER(Upgrades!$U$12,K183),1))+(IF(K183=0,0,(Upgrades!$G$12+K183*Upgrades!$H$12)*POWER(Upgrades!$I$12,K183)))*(IF(Upgrades!$T$6="First Photons",POWER(Upgrades!$U$6,E183),1)*IF(Upgrades!$T$7="First Photons",POWER(Upgrades!$U$7,F183),1)*IF(Upgrades!$T$8="First Photons",POWER(Upgrades!$U$8,G183),1)*IF(Upgrades!$T$9="First Photons",POWER(Upgrades!$U$9,H183),1)*IF(Upgrades!$T$10="First Photons",POWER(Upgrades!$U$10,I183),1)*IF(Upgrades!$T$11="First Photons",POWER(Upgrades!$U$11,J183),1)))*POWER(Upgrades!$P$6,E183)*POWER(Upgrades!$P$7,F183)*POWER(Upgrades!$P$8,G183)*POWER(Upgrades!$P$9,H183)*POWER(Upgrades!$P$10,I183)*POWER(Upgrades!$P$11,J183)*POWER(Upgrades!$P$12,K183)</f>
        <v>11.2</v>
      </c>
      <c r="O183" s="28" t="n">
        <f aca="false">((IF(E183=0,0,(Upgrades!$M$6+E183*Upgrades!$N$6)*POWER(Upgrades!$O$6,E183)))*(IF(Upgrades!$T$7="Solar Wind",POWER(Upgrades!$U$7,F183),1)*IF(Upgrades!$T$8="Solar Wind",POWER(Upgrades!$U$8,G183),1)*IF(Upgrades!$T$9="Solar Wind",POWER(Upgrades!$U$9,H183),1)*IF(Upgrades!$T$10="Solar Wind",POWER(Upgrades!$U$10,I183),1)*IF(Upgrades!$T$11="Solar Wind",POWER(Upgrades!$U$11,J183),1)*IF(Upgrades!$T$12="Solar Wind",POWER(Upgrades!$U$12,K183),1))+(IF(F183=0,0,(Upgrades!$M$7+F183*Upgrades!$N$7)*POWER(Upgrades!$O$7,F183)))*(IF(Upgrades!$T$6="Asteroid Belt",POWER(Upgrades!$U$6,E183),1)*IF(Upgrades!$T$8="Asteroid Belt",POWER(Upgrades!$U$8,G183),1)*IF(Upgrades!$T$9="Asteroid Belt",POWER(Upgrades!$U$9,H183),1)*IF(Upgrades!$T$10="Asteroid Belt",POWER(Upgrades!$U$10,I183),1)*IF(Upgrades!$T$11="Asteroid Belt",POWER(Upgrades!$U$11,J183),1)*IF(Upgrades!$T$12="Asteroid Belt",POWER(Upgrades!$U$12,K183),1))+(IF(G183=0,0,(Upgrades!$M$8+G183*Upgrades!$N$8)*POWER(Upgrades!$O$8,G183)))*(IF(Upgrades!$T$6="Stellar Coupling",POWER(Upgrades!$U$6,E183),1)*IF(Upgrades!$T$7="Stellar Coupling",POWER(Upgrades!$U$7,F183),1)*IF(Upgrades!$T$9="Stellar Coupling",POWER(Upgrades!$U$9,H183),1)*IF(Upgrades!$T$10="Stellar Coupling",POWER(Upgrades!$U$10,I183),1)*IF(Upgrades!$T$11="Stellar Coupling",POWER(Upgrades!$U$11,J183),1)*IF(Upgrades!$T$12="Stellar Coupling",POWER(Upgrades!$U$12,K183),1))+(IF(H183=0,0,(Upgrades!$M$9+H183*Upgrades!$N$9)*POWER(Upgrades!$O$9,H183)))*(IF(Upgrades!$T$6="Magnetosphere",POWER(Upgrades!$U$6,E183),1)*IF(Upgrades!$T$7="Magnetosphere",POWER(Upgrades!$U$7,F183),1)*IF(Upgrades!$T$8="Magnetosphere",POWER(Upgrades!$U$8,G183),1)*IF(Upgrades!$T$10="Magnetosphere",POWER(Upgrades!$U$10,I183),1)*IF(Upgrades!$T$11="Magnetosphere",POWER(Upgrades!$U$11,J183),1)*IF(Upgrades!$T$12="Magnetosphere",POWER(Upgrades!$U$12,K183),1))+(IF(I183=0,0,(Upgrades!$M$10+I183*Upgrades!$N$10)*POWER(Upgrades!$O$10,I183)))*(IF(Upgrades!$T$6="Orbital Resonance",POWER(Upgrades!$U$6,E183),1)*IF(Upgrades!$T$7="Orbital Resonance",POWER(Upgrades!$U$7,F183),1)*IF(Upgrades!$T$8="Orbital Resonance",POWER(Upgrades!$U$8,G183),1)*IF(Upgrades!$T$9="Orbital Resonance",POWER(Upgrades!$U$9,H183),1)*IF(Upgrades!$T$11="Orbital Resonance",POWER(Upgrades!$U$11,J183),1)*IF(Upgrades!$T$12="Orbital Resonance",POWER(Upgrades!$U$12,K183),1))+(IF(J183=0,0,(Upgrades!$M$11+J183*Upgrades!$N$11)*POWER(Upgrades!$O$11,J183)))*(IF(Upgrades!$T$6="Heliopause",POWER(Upgrades!$U$6,E183),1)*IF(Upgrades!$T$7="Heliopause",POWER(Upgrades!$U$7,F183),1)*IF(Upgrades!$T$8="Heliopause",POWER(Upgrades!$U$8,G183),1)*IF(Upgrades!$T$9="Heliopause",POWER(Upgrades!$U$9,H183),1)*IF(Upgrades!$T$10="Heliopause",POWER(Upgrades!$U$10,I183),1)*IF(Upgrades!$T$12="Heliopause",POWER(Upgrades!$U$12,K183),1))+(IF(K183=0,0,(Upgrades!$M$12+K183*Upgrades!$N$12)*POWER(Upgrades!$O$12,K183)))*(IF(Upgrades!$T$6="First Photons",POWER(Upgrades!$U$6,E183),1)*IF(Upgrades!$T$7="First Photons",POWER(Upgrades!$U$7,F183),1)*IF(Upgrades!$T$8="First Photons",POWER(Upgrades!$U$8,G183),1)*IF(Upgrades!$T$9="First Photons",POWER(Upgrades!$U$9,H183),1)*IF(Upgrades!$T$10="First Photons",POWER(Upgrades!$U$10,I183),1)*IF(Upgrades!$T$11="First Photons",POWER(Upgrades!$U$11,J183),1)))*POWER(Upgrades!$R$6,E183)*POWER(Upgrades!$R$7,F183)*POWER(Upgrades!$R$8,G183)*POWER(Upgrades!$R$9,H183)*POWER(Upgrades!$R$10,I183)*POWER(Upgrades!$R$11,J183)*POWER(Upgrades!$R$12,K183)</f>
        <v>0</v>
      </c>
      <c r="P183" s="27" t="n">
        <f aca="false">IF(L183=1,0,M183*Parameters!$B$10/60*Parameters!$B$11*10)</f>
        <v>0</v>
      </c>
      <c r="Q183" s="27" t="n">
        <f aca="false">IF(L183=1,0,O183*M183*10)</f>
        <v>0</v>
      </c>
      <c r="R183" s="27" t="n">
        <f aca="false">IF(L183=1,0,N183*10)</f>
        <v>0</v>
      </c>
      <c r="S183" s="27" t="n">
        <f aca="false">P183+Q183+R183</f>
        <v>0</v>
      </c>
      <c r="T183" s="21" t="n">
        <f aca="false">C183+S183</f>
        <v>18.6730249835055</v>
      </c>
      <c r="U183" s="34" t="str">
        <f aca="false">AX183</f>
        <v/>
      </c>
      <c r="V183" s="21" t="n">
        <f aca="false">IF(U183="",0,IF(U183="transition",0,IF(U183="SW",AG183,IF(U183="AB",AH183,IF(U183="SC",AI183,IF(U183="Mag",AJ183,IF(U183="OR",AK183,IF(U183="HP",AL183,IF(U183="FP",AM183,0)))))))))</f>
        <v>0</v>
      </c>
      <c r="W183" s="27" t="n">
        <f aca="false">IF(U183="OR",Upgrades!$F$10,IF(U183="HP",Upgrades!$F$11,IF(U183="transition",-Parameters!$B$18,0)))</f>
        <v>0</v>
      </c>
      <c r="X183" s="21" t="n">
        <f aca="false">T183-V183</f>
        <v>18.6730249835055</v>
      </c>
      <c r="Y183" s="30" t="n">
        <f aca="false">M183*Parameters!$B$10/60*Parameters!$B$11+O183*M183+N183</f>
        <v>20.55</v>
      </c>
      <c r="Z183" s="35" t="str">
        <f aca="false">IF(U183="transition","→ Tier 2 (Stellar Neighborhood)",IF(U183="FP","First Photons — light begins, system quickens",IF(U183="HP","Heliopause acquired",IF(U183="OR","Orbital Resonance — passive multiplier active",IF(AND(AO183=1,L183=0,AN183&lt;&gt;1),"Cohesion ready (waiting on completionist upgrades)","")))))</f>
        <v/>
      </c>
      <c r="AA183" s="27" t="n">
        <f aca="false">(IF(E183=0,0,(Upgrades!$G$6+E183*Upgrades!$H$6)*POWER(Upgrades!$I$6,E183)))*(IF(Upgrades!$T$7="Solar Wind",POWER(Upgrades!$U$7,F183),1)*IF(Upgrades!$T$8="Solar Wind",POWER(Upgrades!$U$8,G183),1)*IF(Upgrades!$T$9="Solar Wind",POWER(Upgrades!$U$9,H183),1)*IF(Upgrades!$T$10="Solar Wind",POWER(Upgrades!$U$10,I183),1)*IF(Upgrades!$T$11="Solar Wind",POWER(Upgrades!$U$11,J183),1)*IF(Upgrades!$T$12="Solar Wind",POWER(Upgrades!$U$12,K183),1))*POWER(Upgrades!$P$6,E183)*POWER(Upgrades!$P$7,F183)*POWER(Upgrades!$P$8,G183)*POWER(Upgrades!$P$9,H183)*POWER(Upgrades!$P$10,I183)*POWER(Upgrades!$P$11,J183)*POWER(Upgrades!$P$12,K183)*60</f>
        <v>72</v>
      </c>
      <c r="AB183" s="27" t="n">
        <f aca="false">(IF(F183=0,0,(Upgrades!$G$7+F183*Upgrades!$H$7)*POWER(Upgrades!$I$7,F183)))*(IF(Upgrades!$T$6="Asteroid Belt",POWER(Upgrades!$U$6,E183),1)*IF(Upgrades!$T$8="Asteroid Belt",POWER(Upgrades!$U$8,G183),1)*IF(Upgrades!$T$9="Asteroid Belt",POWER(Upgrades!$U$9,H183),1)*IF(Upgrades!$T$10="Asteroid Belt",POWER(Upgrades!$U$10,I183),1)*IF(Upgrades!$T$11="Asteroid Belt",POWER(Upgrades!$U$11,J183),1)*IF(Upgrades!$T$12="Asteroid Belt",POWER(Upgrades!$U$12,K183),1))*POWER(Upgrades!$P$6,E183)*POWER(Upgrades!$P$7,F183)*POWER(Upgrades!$P$8,G183)*POWER(Upgrades!$P$9,H183)*POWER(Upgrades!$P$10,I183)*POWER(Upgrades!$P$11,J183)*POWER(Upgrades!$P$12,K183)*60</f>
        <v>150</v>
      </c>
      <c r="AC183" s="27" t="n">
        <f aca="false">(IF(G183=0,0,(Upgrades!$J$8+G183*Upgrades!$K$8)*POWER(Upgrades!$L$8,G183)))*(IF(Upgrades!$T$6="Stellar Coupling",POWER(Upgrades!$U$6,E183),1)*IF(Upgrades!$T$7="Stellar Coupling",POWER(Upgrades!$U$7,F183),1)*IF(Upgrades!$T$9="Stellar Coupling",POWER(Upgrades!$U$9,H183),1)*IF(Upgrades!$T$10="Stellar Coupling",POWER(Upgrades!$U$10,I183),1)*IF(Upgrades!$T$11="Stellar Coupling",POWER(Upgrades!$U$11,J183),1)*IF(Upgrades!$T$12="Stellar Coupling",POWER(Upgrades!$U$12,K183),1))*POWER(Upgrades!$Q$6,E183)*POWER(Upgrades!$Q$7,F183)*POWER(Upgrades!$Q$8,G183)*POWER(Upgrades!$Q$9,H183)*POWER(Upgrades!$Q$10,I183)*POWER(Upgrades!$Q$11,J183)*POWER(Upgrades!$Q$12,K183)*Parameters!$B$10*Parameters!$B$11</f>
        <v>441</v>
      </c>
      <c r="AD183" s="27" t="n">
        <f aca="false">(IF(H183=0,0,(Upgrades!$G$9+H183*Upgrades!$H$9)*POWER(Upgrades!$I$9,H183)))*(IF(Upgrades!$T$6="Magnetosphere",POWER(Upgrades!$U$6,E183),1)*IF(Upgrades!$T$7="Magnetosphere",POWER(Upgrades!$U$7,F183),1)*IF(Upgrades!$T$8="Magnetosphere",POWER(Upgrades!$U$8,G183),1)*IF(Upgrades!$T$10="Magnetosphere",POWER(Upgrades!$U$10,I183),1)*IF(Upgrades!$T$11="Magnetosphere",POWER(Upgrades!$U$11,J183),1)*IF(Upgrades!$T$12="Magnetosphere",POWER(Upgrades!$U$12,K183),1))*POWER(Upgrades!$P$6,E183)*POWER(Upgrades!$P$7,F183)*POWER(Upgrades!$P$8,G183)*POWER(Upgrades!$P$9,H183)*POWER(Upgrades!$P$10,I183)*POWER(Upgrades!$P$11,J183)*POWER(Upgrades!$P$12,K183)*60</f>
        <v>375</v>
      </c>
      <c r="AE183" s="27" t="n">
        <f aca="false">(IF(K183=0,0,(Upgrades!$G$12+K183*Upgrades!$H$12)*POWER(Upgrades!$I$12,K183)))*(IF(Upgrades!$T$6="First Photons",POWER(Upgrades!$U$6,E183),1)*IF(Upgrades!$T$7="First Photons",POWER(Upgrades!$U$7,F183),1)*IF(Upgrades!$T$8="First Photons",POWER(Upgrades!$U$8,G183),1)*IF(Upgrades!$T$9="First Photons",POWER(Upgrades!$U$9,H183),1)*IF(Upgrades!$T$10="First Photons",POWER(Upgrades!$U$10,I183),1)*IF(Upgrades!$T$11="First Photons",POWER(Upgrades!$U$11,J183),1))*POWER(Upgrades!$P$6,E183)*POWER(Upgrades!$P$7,F183)*POWER(Upgrades!$P$8,G183)*POWER(Upgrades!$P$9,H183)*POWER(Upgrades!$P$10,I183)*POWER(Upgrades!$P$11,J183)*POWER(Upgrades!$P$12,K183)*60</f>
        <v>75</v>
      </c>
      <c r="AF183" s="27" t="n">
        <f aca="false">Parameters!$B$9*POWER(Upgrades!$Q$6,E183)*POWER(Upgrades!$Q$7,F183)*POWER(Upgrades!$Q$8,G183)*POWER(Upgrades!$Q$9,H183)*POWER(Upgrades!$Q$10,I183)*POWER(Upgrades!$Q$11,J183)*POWER(Upgrades!$Q$12,K183)*(Parameters!$B$10*Parameters!$B$11+O183*60)</f>
        <v>120</v>
      </c>
      <c r="AG183" s="21" t="n">
        <f aca="false">IF(E183&gt;=Upgrades!$E$6,"",Upgrades!$C$6*POWER(Upgrades!$D$6,E183))</f>
        <v>37.4517507383159</v>
      </c>
      <c r="AH183" s="21" t="n">
        <f aca="false">IF(F183&gt;=Upgrades!$E$7,"",Upgrades!$C$7*POWER(Upgrades!$D$7,F183))</f>
        <v>80.9111547141581</v>
      </c>
      <c r="AI183" s="21" t="n">
        <f aca="false">IF(G183&gt;=Upgrades!$E$8,"",Upgrades!$C$8*POWER(Upgrades!$D$8,G183))</f>
        <v>231.9097088</v>
      </c>
      <c r="AJ183" s="21" t="str">
        <f aca="false">IF(H183&gt;=Upgrades!$E$9,"",Upgrades!$C$9*POWER(Upgrades!$D$9,H183))</f>
        <v/>
      </c>
      <c r="AK183" s="21" t="str">
        <f aca="false">IF(I183&gt;=Upgrades!$E$10,"",Upgrades!$C$10*POWER(Upgrades!$D$10,I183))</f>
        <v/>
      </c>
      <c r="AL183" s="21" t="str">
        <f aca="false">IF(J183&gt;=Upgrades!$E$11,"",Upgrades!$C$11*POWER(Upgrades!$D$11,J183))</f>
        <v/>
      </c>
      <c r="AM183" s="21" t="str">
        <f aca="false">IF(K183&gt;=Upgrades!$E$12,"",Upgrades!$C$12*POWER(Upgrades!$D$12,K183))</f>
        <v/>
      </c>
      <c r="AN183" s="26" t="str">
        <f aca="false">IF(AND(D183&gt;=Parameters!$B$18,(H183&gt;=Upgrades!$E$9)*(K183&gt;=Upgrades!$E$12)=1,L183=0),1,"")</f>
        <v/>
      </c>
      <c r="AO183" s="26" t="str">
        <f aca="false">IF(AND(D183&gt;=Parameters!$B$18,L183=0),1,"")</f>
        <v/>
      </c>
      <c r="AP183" s="21" t="n">
        <f aca="false">MIN(IF(ISNUMBER(AK183),AK183,9000000000000000),IF(ISNUMBER(AL183),AL183,9000000000000000),IF(ISNUMBER(AM183),AM183,9000000000000000))</f>
        <v>9000000000000000</v>
      </c>
      <c r="AQ183" s="21" t="n">
        <f aca="false">MIN(IF(ISNUMBER(AG183),AG183,9000000000000000),IF(ISNUMBER(AH183),AH183,9000000000000000),IF(ISNUMBER(AI183),AI183,9000000000000000),IF(ISNUMBER(AJ183),AJ183,9000000000000000))</f>
        <v>37.4517507383159</v>
      </c>
      <c r="AR183" s="32" t="b">
        <f aca="false">IF(AW183&gt;Parameters!$B$21*(MAX(IF(AND(NOT(AND(AO183=1,AN183&lt;&gt;1)),ISNUMBER(AG183),AG183&lt;=T183),AS183,0),IF(AND(NOT(AND(AO183=1,AN183&lt;&gt;1)),ISNUMBER(AH183),AH183&lt;=T183),AT183,0),IF(AND(NOT(AND(AO183=1,AN183&lt;&gt;1)),ISNUMBER(AI183),AI183&lt;=T183),AU183,0),IF(AND(ISNUMBER(AJ183),AJ183&lt;=T183),AV183,0))),TRUE(),FALSE())</f>
        <v>1</v>
      </c>
      <c r="AS183" s="33" t="n">
        <f aca="false">IFERROR(Upgrades!$H$6*(POWER(Upgrades!$P$6,E183)*POWER(Upgrades!$P$7,F183)*POWER(Upgrades!$P$8,G183)*POWER(Upgrades!$P$9,H183)*POWER(Upgrades!$P$10,I183)*POWER(Upgrades!$P$11,J183)*POWER(Upgrades!$P$12,K183))*(IF(Upgrades!$T$7="Solar Wind",POWER(Upgrades!$U$7,F183),1)*IF(Upgrades!$T$8="Solar Wind",POWER(Upgrades!$U$8,G183),1)*IF(Upgrades!$T$9="Solar Wind",POWER(Upgrades!$U$9,H183),1)*IF(Upgrades!$T$10="Solar Wind",POWER(Upgrades!$U$10,I183),1)*IF(Upgrades!$T$11="Solar Wind",POWER(Upgrades!$U$11,J183),1)*IF(Upgrades!$T$12="Solar Wind",POWER(Upgrades!$U$12,K183),1))/AG183,0)</f>
        <v>0.0026701021455238</v>
      </c>
      <c r="AT183" s="33" t="n">
        <f aca="false">IFERROR(Upgrades!$H$7*(POWER(Upgrades!$P$6,E183)*POWER(Upgrades!$P$7,F183)*POWER(Upgrades!$P$8,G183)*POWER(Upgrades!$P$9,H183)*POWER(Upgrades!$P$10,I183)*POWER(Upgrades!$P$11,J183)*POWER(Upgrades!$P$12,K183))*(IF(Upgrades!$T$6="Asteroid Belt",POWER(Upgrades!$U$6,E183),1)*IF(Upgrades!$T$8="Asteroid Belt",POWER(Upgrades!$U$8,G183),1)*IF(Upgrades!$T$9="Asteroid Belt",POWER(Upgrades!$U$9,H183),1)*IF(Upgrades!$T$10="Asteroid Belt",POWER(Upgrades!$U$10,I183),1)*IF(Upgrades!$T$11="Asteroid Belt",POWER(Upgrades!$U$11,J183),1)*IF(Upgrades!$T$12="Asteroid Belt",POWER(Upgrades!$U$12,K183),1))/AH183,0)</f>
        <v>0.00308980882652332</v>
      </c>
      <c r="AU183" s="33" t="n">
        <f aca="false">IFERROR(Upgrades!$K$8*(POWER(Upgrades!$Q$6,E183)*POWER(Upgrades!$Q$7,F183)*POWER(Upgrades!$Q$8,G183)*POWER(Upgrades!$Q$9,H183)*POWER(Upgrades!$Q$10,I183)*POWER(Upgrades!$Q$11,J183)*POWER(Upgrades!$Q$12,K183))*(IF(Upgrades!$T$6="Stellar Coupling",POWER(Upgrades!$U$6,E183),1)*IF(Upgrades!$T$7="Stellar Coupling",POWER(Upgrades!$U$7,F183),1)*IF(Upgrades!$T$9="Stellar Coupling",POWER(Upgrades!$U$9,H183),1)*IF(Upgrades!$T$10="Stellar Coupling",POWER(Upgrades!$U$10,I183),1)*IF(Upgrades!$T$11="Stellar Coupling",POWER(Upgrades!$U$11,J183),1)*IF(Upgrades!$T$12="Stellar Coupling",POWER(Upgrades!$U$12,K183),1))*Parameters!$B$10*Parameters!$B$11/60/AI183,0)</f>
        <v>0.00452762415783776</v>
      </c>
      <c r="AV183" s="33" t="n">
        <f aca="false">IFERROR(Upgrades!$H$9*(POWER(Upgrades!$P$6,E183)*POWER(Upgrades!$P$7,F183)*POWER(Upgrades!$P$8,G183)*POWER(Upgrades!$P$9,H183)*POWER(Upgrades!$P$10,I183)*POWER(Upgrades!$P$11,J183)*POWER(Upgrades!$P$12,K183))*(IF(Upgrades!$T$6="Magnetosphere",POWER(Upgrades!$U$6,E183),1)*IF(Upgrades!$T$7="Magnetosphere",POWER(Upgrades!$U$7,F183),1)*IF(Upgrades!$T$8="Magnetosphere",POWER(Upgrades!$U$8,G183),1)*IF(Upgrades!$T$10="Magnetosphere",POWER(Upgrades!$U$10,I183),1)*IF(Upgrades!$T$11="Magnetosphere",POWER(Upgrades!$U$11,J183),1)*IF(Upgrades!$T$12="Magnetosphere",POWER(Upgrades!$U$12,K183),1))/AJ183,0)</f>
        <v>0</v>
      </c>
      <c r="AW183" s="33" t="n">
        <f aca="false">MAX(IF(I183&gt;0,0,IFERROR(0.25*N183/Upgrades!$C$10,0)),IF(J183&gt;0,0,IFERROR(0.5*((IF(G183=0,0,(Upgrades!$J$8+G183*Upgrades!$K$8)*POWER(Upgrades!$L$8,G183)))*(IF(Upgrades!$T$6="Stellar Coupling",POWER(Upgrades!$U$6,E183),1)*IF(Upgrades!$T$7="Stellar Coupling",POWER(Upgrades!$U$7,F183),1)*IF(Upgrades!$T$9="Stellar Coupling",POWER(Upgrades!$U$9,H183),1)*IF(Upgrades!$T$10="Stellar Coupling",POWER(Upgrades!$U$10,I183),1)*IF(Upgrades!$T$11="Stellar Coupling",POWER(Upgrades!$U$11,J183),1)*IF(Upgrades!$T$12="Stellar Coupling",POWER(Upgrades!$U$12,K183),1))*(POWER(Upgrades!$Q$6,E183)*POWER(Upgrades!$Q$7,F183)*POWER(Upgrades!$Q$8,G183)*POWER(Upgrades!$Q$9,H183)*POWER(Upgrades!$Q$10,I183)*POWER(Upgrades!$Q$11,J183)*POWER(Upgrades!$Q$12,K183))*Parameters!$B$10*Parameters!$B$11/60)/Upgrades!$C$11,0)),IF(K183&gt;0,0,IFERROR((1*(POWER(Upgrades!$P$6,E183)*POWER(Upgrades!$P$7,F183)*POWER(Upgrades!$P$8,G183)*POWER(Upgrades!$P$9,H183)*POWER(Upgrades!$P$10,I183)*POWER(Upgrades!$P$11,J183)*POWER(Upgrades!$P$12,K183))+0.2*M183*Parameters!$B$10*Parameters!$B$11/60)/Upgrades!$C$12,0)),IF(AND(ISNUMBER(AG183),AG183&gt;T183),AS183,0),IF(AND(ISNUMBER(AH183),AH183&gt;T183),AT183,0),IF(AND(ISNUMBER(AI183),AI183&gt;T183),AU183,0),IF(AND(ISNUMBER(AJ183),AJ183&gt;T183),AV183,0))</f>
        <v>0.00452762415783776</v>
      </c>
      <c r="AX183" s="29" t="str">
        <f aca="false">IF(AN183=1,"transition",IF(MIN(IF(AND(I183=0,ISNUMBER(AK183),AK183&lt;=T183),AK183,9000000000000000),IF(AND(J183=0,ISNUMBER(AL183),AL183&lt;=T183),AL183,9000000000000000),IF(AND(K183=0,ISNUMBER(AM183),AM183&lt;=T183),AM183,9000000000000000))&lt;9000000000000000,IF(AND(AND(I183=0,ISNUMBER(AK183),AK183&lt;=T183),AK183=MIN(IF(AND(I183=0,ISNUMBER(AK183),AK183&lt;=T183),AK183,9000000000000000),IF(AND(J183=0,ISNUMBER(AL183),AL183&lt;=T183),AL183,9000000000000000),IF(AND(K183=0,ISNUMBER(AM183),AM183&lt;=T183),AM183,9000000000000000))),"OR",IF(AND(AND(J183=0,ISNUMBER(AL183),AL183&lt;=T183),AL183=MIN(IF(AND(I183=0,ISNUMBER(AK183),AK183&lt;=T183),AK183,9000000000000000),IF(AND(J183=0,ISNUMBER(AL183),AL183&lt;=T183),AL183,9000000000000000),IF(AND(K183=0,ISNUMBER(AM183),AM183&lt;=T183),AM183,9000000000000000))),"HP","FP")),IF(AR183=TRUE(),"",IF(MAX(IF(AND(NOT(AND(AO183=1,AN183&lt;&gt;1)),ISNUMBER(AG183),AG183&lt;=T183),AS183,0),IF(AND(NOT(AND(AO183=1,AN183&lt;&gt;1)),ISNUMBER(AH183),AH183&lt;=T183),AT183,0),IF(AND(NOT(AND(AO183=1,AN183&lt;&gt;1)),ISNUMBER(AI183),AI183&lt;=T183),AU183,0),IF(AND(ISNUMBER(AJ183),AJ183&lt;=T183),AV183,0))&lt;=0,"",IF(AND(IF(AND(NOT(AND(AO183=1,AN183&lt;&gt;1)),ISNUMBER(AG183),AG183&lt;=T183),AS183,0)&gt;0,IF(AND(NOT(AND(AO183=1,AN183&lt;&gt;1)),ISNUMBER(AG183),AG183&lt;=T183),AS183,0)=MAX(IF(AND(NOT(AND(AO183=1,AN183&lt;&gt;1)),ISNUMBER(AG183),AG183&lt;=T183),AS183,0),IF(AND(NOT(AND(AO183=1,AN183&lt;&gt;1)),ISNUMBER(AH183),AH183&lt;=T183),AT183,0),IF(AND(NOT(AND(AO183=1,AN183&lt;&gt;1)),ISNUMBER(AI183),AI183&lt;=T183),AU183,0),IF(AND(ISNUMBER(AJ183),AJ183&lt;=T183),AV183,0))),"SW",IF(AND(IF(AND(NOT(AND(AO183=1,AN183&lt;&gt;1)),ISNUMBER(AH183),AH183&lt;=T183),AT183,0)&gt;0,IF(AND(NOT(AND(AO183=1,AN183&lt;&gt;1)),ISNUMBER(AH183),AH183&lt;=T183),AT183,0)=MAX(IF(AND(NOT(AND(AO183=1,AN183&lt;&gt;1)),ISNUMBER(AG183),AG183&lt;=T183),AS183,0),IF(AND(NOT(AND(AO183=1,AN183&lt;&gt;1)),ISNUMBER(AH183),AH183&lt;=T183),AT183,0),IF(AND(NOT(AND(AO183=1,AN183&lt;&gt;1)),ISNUMBER(AI183),AI183&lt;=T183),AU183,0),IF(AND(ISNUMBER(AJ183),AJ183&lt;=T183),AV183,0))),"AB",IF(AND(IF(AND(NOT(AND(AO183=1,AN183&lt;&gt;1)),ISNUMBER(AI183),AI183&lt;=T183),AU183,0)&gt;0,IF(AND(NOT(AND(AO183=1,AN183&lt;&gt;1)),ISNUMBER(AI183),AI183&lt;=T183),AU183,0)=MAX(IF(AND(NOT(AND(AO183=1,AN183&lt;&gt;1)),ISNUMBER(AG183),AG183&lt;=T183),AS183,0),IF(AND(NOT(AND(AO183=1,AN183&lt;&gt;1)),ISNUMBER(AH183),AH183&lt;=T183),AT183,0),IF(AND(NOT(AND(AO183=1,AN183&lt;&gt;1)),ISNUMBER(AI183),AI183&lt;=T183),AU183,0),IF(AND(ISNUMBER(AJ183),AJ183&lt;=T183),AV183,0))),"SC","Mag")))))))</f>
        <v/>
      </c>
    </row>
    <row r="184" customFormat="false" ht="15" hidden="false" customHeight="false" outlineLevel="0" collapsed="false">
      <c r="A184" s="26" t="n">
        <v>179</v>
      </c>
      <c r="B184" s="27" t="n">
        <f aca="false">A184*10/60</f>
        <v>29.8333333333333</v>
      </c>
      <c r="C184" s="21" t="n">
        <f aca="false">X183</f>
        <v>18.6730249835055</v>
      </c>
      <c r="D184" s="27" t="n">
        <f aca="false">D183+W183</f>
        <v>0</v>
      </c>
      <c r="E184" s="26" t="n">
        <f aca="false">E183+IF(U183="SW",1,0)</f>
        <v>12</v>
      </c>
      <c r="F184" s="26" t="n">
        <f aca="false">F183+IF(U183="AB",1,0)</f>
        <v>10</v>
      </c>
      <c r="G184" s="26" t="n">
        <f aca="false">G183+IF(U183="SC",1,0)</f>
        <v>7</v>
      </c>
      <c r="H184" s="26" t="n">
        <f aca="false">H183+IF(U183="Mag",1,0)</f>
        <v>5</v>
      </c>
      <c r="I184" s="26" t="n">
        <f aca="false">MAX(I183,IF(U183="OR",1,0))</f>
        <v>1</v>
      </c>
      <c r="J184" s="26" t="n">
        <f aca="false">MAX(J183,IF(U183="HP",1,0))</f>
        <v>1</v>
      </c>
      <c r="K184" s="26" t="n">
        <f aca="false">MAX(K183,IF(U183="FP",1,0))</f>
        <v>1</v>
      </c>
      <c r="L184" s="26" t="n">
        <f aca="false">MAX(L183,IF(U183="transition",1,0))</f>
        <v>1</v>
      </c>
      <c r="M184" s="28" t="n">
        <f aca="false">(Parameters!$B$9+(IF(E184=0,0,(Upgrades!$J$6+E184*Upgrades!$K$6)*POWER(Upgrades!$L$6,E184)))*(IF(Upgrades!$T$7="Solar Wind",POWER(Upgrades!$U$7,F184),1)*IF(Upgrades!$T$8="Solar Wind",POWER(Upgrades!$U$8,G184),1)*IF(Upgrades!$T$9="Solar Wind",POWER(Upgrades!$U$9,H184),1)*IF(Upgrades!$T$10="Solar Wind",POWER(Upgrades!$U$10,I184),1)*IF(Upgrades!$T$11="Solar Wind",POWER(Upgrades!$U$11,J184),1)*IF(Upgrades!$T$12="Solar Wind",POWER(Upgrades!$U$12,K184),1))+(IF(F184=0,0,(Upgrades!$J$7+F184*Upgrades!$K$7)*POWER(Upgrades!$L$7,F184)))*(IF(Upgrades!$T$6="Asteroid Belt",POWER(Upgrades!$U$6,E184),1)*IF(Upgrades!$T$8="Asteroid Belt",POWER(Upgrades!$U$8,G184),1)*IF(Upgrades!$T$9="Asteroid Belt",POWER(Upgrades!$U$9,H184),1)*IF(Upgrades!$T$10="Asteroid Belt",POWER(Upgrades!$U$10,I184),1)*IF(Upgrades!$T$11="Asteroid Belt",POWER(Upgrades!$U$11,J184),1)*IF(Upgrades!$T$12="Asteroid Belt",POWER(Upgrades!$U$12,K184),1))+(IF(G184=0,0,(Upgrades!$J$8+G184*Upgrades!$K$8)*POWER(Upgrades!$L$8,G184)))*(IF(Upgrades!$T$6="Stellar Coupling",POWER(Upgrades!$U$6,E184),1)*IF(Upgrades!$T$7="Stellar Coupling",POWER(Upgrades!$U$7,F184),1)*IF(Upgrades!$T$9="Stellar Coupling",POWER(Upgrades!$U$9,H184),1)*IF(Upgrades!$T$10="Stellar Coupling",POWER(Upgrades!$U$10,I184),1)*IF(Upgrades!$T$11="Stellar Coupling",POWER(Upgrades!$U$11,J184),1)*IF(Upgrades!$T$12="Stellar Coupling",POWER(Upgrades!$U$12,K184),1))+(IF(H184=0,0,(Upgrades!$J$9+H184*Upgrades!$K$9)*POWER(Upgrades!$L$9,H184)))*(IF(Upgrades!$T$6="Magnetosphere",POWER(Upgrades!$U$6,E184),1)*IF(Upgrades!$T$7="Magnetosphere",POWER(Upgrades!$U$7,F184),1)*IF(Upgrades!$T$8="Magnetosphere",POWER(Upgrades!$U$8,G184),1)*IF(Upgrades!$T$10="Magnetosphere",POWER(Upgrades!$U$10,I184),1)*IF(Upgrades!$T$11="Magnetosphere",POWER(Upgrades!$U$11,J184),1)*IF(Upgrades!$T$12="Magnetosphere",POWER(Upgrades!$U$12,K184),1))+(IF(I184=0,0,(Upgrades!$J$10+I184*Upgrades!$K$10)*POWER(Upgrades!$L$10,I184)))*(IF(Upgrades!$T$6="Orbital Resonance",POWER(Upgrades!$U$6,E184),1)*IF(Upgrades!$T$7="Orbital Resonance",POWER(Upgrades!$U$7,F184),1)*IF(Upgrades!$T$8="Orbital Resonance",POWER(Upgrades!$U$8,G184),1)*IF(Upgrades!$T$9="Orbital Resonance",POWER(Upgrades!$U$9,H184),1)*IF(Upgrades!$T$11="Orbital Resonance",POWER(Upgrades!$U$11,J184),1)*IF(Upgrades!$T$12="Orbital Resonance",POWER(Upgrades!$U$12,K184),1))+(IF(J184=0,0,(Upgrades!$J$11+J184*Upgrades!$K$11)*POWER(Upgrades!$L$11,J184)))*(IF(Upgrades!$T$6="Heliopause",POWER(Upgrades!$U$6,E184),1)*IF(Upgrades!$T$7="Heliopause",POWER(Upgrades!$U$7,F184),1)*IF(Upgrades!$T$8="Heliopause",POWER(Upgrades!$U$8,G184),1)*IF(Upgrades!$T$9="Heliopause",POWER(Upgrades!$U$9,H184),1)*IF(Upgrades!$T$10="Heliopause",POWER(Upgrades!$U$10,I184),1)*IF(Upgrades!$T$12="Heliopause",POWER(Upgrades!$U$12,K184),1))+(IF(K184=0,0,(Upgrades!$J$12+K184*Upgrades!$K$12)*POWER(Upgrades!$L$12,K184)))*(IF(Upgrades!$T$6="First Photons",POWER(Upgrades!$U$6,E184),1)*IF(Upgrades!$T$7="First Photons",POWER(Upgrades!$U$7,F184),1)*IF(Upgrades!$T$8="First Photons",POWER(Upgrades!$U$8,G184),1)*IF(Upgrades!$T$9="First Photons",POWER(Upgrades!$U$9,H184),1)*IF(Upgrades!$T$10="First Photons",POWER(Upgrades!$U$10,I184),1)*IF(Upgrades!$T$11="First Photons",POWER(Upgrades!$U$11,J184),1)))*POWER(Upgrades!$Q$6,E184)*POWER(Upgrades!$Q$7,F184)*POWER(Upgrades!$Q$8,G184)*POWER(Upgrades!$Q$9,H184)*POWER(Upgrades!$Q$10,I184)*POWER(Upgrades!$Q$11,J184)*POWER(Upgrades!$Q$12,K184)</f>
        <v>5.61</v>
      </c>
      <c r="N184" s="28" t="n">
        <f aca="false">((IF(E184=0,0,(Upgrades!$G$6+E184*Upgrades!$H$6)*POWER(Upgrades!$I$6,E184)))*(IF(Upgrades!$T$7="Solar Wind",POWER(Upgrades!$U$7,F184),1)*IF(Upgrades!$T$8="Solar Wind",POWER(Upgrades!$U$8,G184),1)*IF(Upgrades!$T$9="Solar Wind",POWER(Upgrades!$U$9,H184),1)*IF(Upgrades!$T$10="Solar Wind",POWER(Upgrades!$U$10,I184),1)*IF(Upgrades!$T$11="Solar Wind",POWER(Upgrades!$U$11,J184),1)*IF(Upgrades!$T$12="Solar Wind",POWER(Upgrades!$U$12,K184),1))+(IF(F184=0,0,(Upgrades!$G$7+F184*Upgrades!$H$7)*POWER(Upgrades!$I$7,F184)))*(IF(Upgrades!$T$6="Asteroid Belt",POWER(Upgrades!$U$6,E184),1)*IF(Upgrades!$T$8="Asteroid Belt",POWER(Upgrades!$U$8,G184),1)*IF(Upgrades!$T$9="Asteroid Belt",POWER(Upgrades!$U$9,H184),1)*IF(Upgrades!$T$10="Asteroid Belt",POWER(Upgrades!$U$10,I184),1)*IF(Upgrades!$T$11="Asteroid Belt",POWER(Upgrades!$U$11,J184),1)*IF(Upgrades!$T$12="Asteroid Belt",POWER(Upgrades!$U$12,K184),1))+(IF(G184=0,0,(Upgrades!$G$8+G184*Upgrades!$H$8)*POWER(Upgrades!$I$8,G184)))*(IF(Upgrades!$T$6="Stellar Coupling",POWER(Upgrades!$U$6,E184),1)*IF(Upgrades!$T$7="Stellar Coupling",POWER(Upgrades!$U$7,F184),1)*IF(Upgrades!$T$9="Stellar Coupling",POWER(Upgrades!$U$9,H184),1)*IF(Upgrades!$T$10="Stellar Coupling",POWER(Upgrades!$U$10,I184),1)*IF(Upgrades!$T$11="Stellar Coupling",POWER(Upgrades!$U$11,J184),1)*IF(Upgrades!$T$12="Stellar Coupling",POWER(Upgrades!$U$12,K184),1))+(IF(H184=0,0,(Upgrades!$G$9+H184*Upgrades!$H$9)*POWER(Upgrades!$I$9,H184)))*(IF(Upgrades!$T$6="Magnetosphere",POWER(Upgrades!$U$6,E184),1)*IF(Upgrades!$T$7="Magnetosphere",POWER(Upgrades!$U$7,F184),1)*IF(Upgrades!$T$8="Magnetosphere",POWER(Upgrades!$U$8,G184),1)*IF(Upgrades!$T$10="Magnetosphere",POWER(Upgrades!$U$10,I184),1)*IF(Upgrades!$T$11="Magnetosphere",POWER(Upgrades!$U$11,J184),1)*IF(Upgrades!$T$12="Magnetosphere",POWER(Upgrades!$U$12,K184),1))+(IF(I184=0,0,(Upgrades!$G$10+I184*Upgrades!$H$10)*POWER(Upgrades!$I$10,I184)))*(IF(Upgrades!$T$6="Orbital Resonance",POWER(Upgrades!$U$6,E184),1)*IF(Upgrades!$T$7="Orbital Resonance",POWER(Upgrades!$U$7,F184),1)*IF(Upgrades!$T$8="Orbital Resonance",POWER(Upgrades!$U$8,G184),1)*IF(Upgrades!$T$9="Orbital Resonance",POWER(Upgrades!$U$9,H184),1)*IF(Upgrades!$T$11="Orbital Resonance",POWER(Upgrades!$U$11,J184),1)*IF(Upgrades!$T$12="Orbital Resonance",POWER(Upgrades!$U$12,K184),1))+(IF(J184=0,0,(Upgrades!$G$11+J184*Upgrades!$H$11)*POWER(Upgrades!$I$11,J184)))*(IF(Upgrades!$T$6="Heliopause",POWER(Upgrades!$U$6,E184),1)*IF(Upgrades!$T$7="Heliopause",POWER(Upgrades!$U$7,F184),1)*IF(Upgrades!$T$8="Heliopause",POWER(Upgrades!$U$8,G184),1)*IF(Upgrades!$T$9="Heliopause",POWER(Upgrades!$U$9,H184),1)*IF(Upgrades!$T$10="Heliopause",POWER(Upgrades!$U$10,I184),1)*IF(Upgrades!$T$12="Heliopause",POWER(Upgrades!$U$12,K184),1))+(IF(K184=0,0,(Upgrades!$G$12+K184*Upgrades!$H$12)*POWER(Upgrades!$I$12,K184)))*(IF(Upgrades!$T$6="First Photons",POWER(Upgrades!$U$6,E184),1)*IF(Upgrades!$T$7="First Photons",POWER(Upgrades!$U$7,F184),1)*IF(Upgrades!$T$8="First Photons",POWER(Upgrades!$U$8,G184),1)*IF(Upgrades!$T$9="First Photons",POWER(Upgrades!$U$9,H184),1)*IF(Upgrades!$T$10="First Photons",POWER(Upgrades!$U$10,I184),1)*IF(Upgrades!$T$11="First Photons",POWER(Upgrades!$U$11,J184),1)))*POWER(Upgrades!$P$6,E184)*POWER(Upgrades!$P$7,F184)*POWER(Upgrades!$P$8,G184)*POWER(Upgrades!$P$9,H184)*POWER(Upgrades!$P$10,I184)*POWER(Upgrades!$P$11,J184)*POWER(Upgrades!$P$12,K184)</f>
        <v>11.2</v>
      </c>
      <c r="O184" s="28" t="n">
        <f aca="false">((IF(E184=0,0,(Upgrades!$M$6+E184*Upgrades!$N$6)*POWER(Upgrades!$O$6,E184)))*(IF(Upgrades!$T$7="Solar Wind",POWER(Upgrades!$U$7,F184),1)*IF(Upgrades!$T$8="Solar Wind",POWER(Upgrades!$U$8,G184),1)*IF(Upgrades!$T$9="Solar Wind",POWER(Upgrades!$U$9,H184),1)*IF(Upgrades!$T$10="Solar Wind",POWER(Upgrades!$U$10,I184),1)*IF(Upgrades!$T$11="Solar Wind",POWER(Upgrades!$U$11,J184),1)*IF(Upgrades!$T$12="Solar Wind",POWER(Upgrades!$U$12,K184),1))+(IF(F184=0,0,(Upgrades!$M$7+F184*Upgrades!$N$7)*POWER(Upgrades!$O$7,F184)))*(IF(Upgrades!$T$6="Asteroid Belt",POWER(Upgrades!$U$6,E184),1)*IF(Upgrades!$T$8="Asteroid Belt",POWER(Upgrades!$U$8,G184),1)*IF(Upgrades!$T$9="Asteroid Belt",POWER(Upgrades!$U$9,H184),1)*IF(Upgrades!$T$10="Asteroid Belt",POWER(Upgrades!$U$10,I184),1)*IF(Upgrades!$T$11="Asteroid Belt",POWER(Upgrades!$U$11,J184),1)*IF(Upgrades!$T$12="Asteroid Belt",POWER(Upgrades!$U$12,K184),1))+(IF(G184=0,0,(Upgrades!$M$8+G184*Upgrades!$N$8)*POWER(Upgrades!$O$8,G184)))*(IF(Upgrades!$T$6="Stellar Coupling",POWER(Upgrades!$U$6,E184),1)*IF(Upgrades!$T$7="Stellar Coupling",POWER(Upgrades!$U$7,F184),1)*IF(Upgrades!$T$9="Stellar Coupling",POWER(Upgrades!$U$9,H184),1)*IF(Upgrades!$T$10="Stellar Coupling",POWER(Upgrades!$U$10,I184),1)*IF(Upgrades!$T$11="Stellar Coupling",POWER(Upgrades!$U$11,J184),1)*IF(Upgrades!$T$12="Stellar Coupling",POWER(Upgrades!$U$12,K184),1))+(IF(H184=0,0,(Upgrades!$M$9+H184*Upgrades!$N$9)*POWER(Upgrades!$O$9,H184)))*(IF(Upgrades!$T$6="Magnetosphere",POWER(Upgrades!$U$6,E184),1)*IF(Upgrades!$T$7="Magnetosphere",POWER(Upgrades!$U$7,F184),1)*IF(Upgrades!$T$8="Magnetosphere",POWER(Upgrades!$U$8,G184),1)*IF(Upgrades!$T$10="Magnetosphere",POWER(Upgrades!$U$10,I184),1)*IF(Upgrades!$T$11="Magnetosphere",POWER(Upgrades!$U$11,J184),1)*IF(Upgrades!$T$12="Magnetosphere",POWER(Upgrades!$U$12,K184),1))+(IF(I184=0,0,(Upgrades!$M$10+I184*Upgrades!$N$10)*POWER(Upgrades!$O$10,I184)))*(IF(Upgrades!$T$6="Orbital Resonance",POWER(Upgrades!$U$6,E184),1)*IF(Upgrades!$T$7="Orbital Resonance",POWER(Upgrades!$U$7,F184),1)*IF(Upgrades!$T$8="Orbital Resonance",POWER(Upgrades!$U$8,G184),1)*IF(Upgrades!$T$9="Orbital Resonance",POWER(Upgrades!$U$9,H184),1)*IF(Upgrades!$T$11="Orbital Resonance",POWER(Upgrades!$U$11,J184),1)*IF(Upgrades!$T$12="Orbital Resonance",POWER(Upgrades!$U$12,K184),1))+(IF(J184=0,0,(Upgrades!$M$11+J184*Upgrades!$N$11)*POWER(Upgrades!$O$11,J184)))*(IF(Upgrades!$T$6="Heliopause",POWER(Upgrades!$U$6,E184),1)*IF(Upgrades!$T$7="Heliopause",POWER(Upgrades!$U$7,F184),1)*IF(Upgrades!$T$8="Heliopause",POWER(Upgrades!$U$8,G184),1)*IF(Upgrades!$T$9="Heliopause",POWER(Upgrades!$U$9,H184),1)*IF(Upgrades!$T$10="Heliopause",POWER(Upgrades!$U$10,I184),1)*IF(Upgrades!$T$12="Heliopause",POWER(Upgrades!$U$12,K184),1))+(IF(K184=0,0,(Upgrades!$M$12+K184*Upgrades!$N$12)*POWER(Upgrades!$O$12,K184)))*(IF(Upgrades!$T$6="First Photons",POWER(Upgrades!$U$6,E184),1)*IF(Upgrades!$T$7="First Photons",POWER(Upgrades!$U$7,F184),1)*IF(Upgrades!$T$8="First Photons",POWER(Upgrades!$U$8,G184),1)*IF(Upgrades!$T$9="First Photons",POWER(Upgrades!$U$9,H184),1)*IF(Upgrades!$T$10="First Photons",POWER(Upgrades!$U$10,I184),1)*IF(Upgrades!$T$11="First Photons",POWER(Upgrades!$U$11,J184),1)))*POWER(Upgrades!$R$6,E184)*POWER(Upgrades!$R$7,F184)*POWER(Upgrades!$R$8,G184)*POWER(Upgrades!$R$9,H184)*POWER(Upgrades!$R$10,I184)*POWER(Upgrades!$R$11,J184)*POWER(Upgrades!$R$12,K184)</f>
        <v>0</v>
      </c>
      <c r="P184" s="27" t="n">
        <f aca="false">IF(L184=1,0,M184*Parameters!$B$10/60*Parameters!$B$11*10)</f>
        <v>0</v>
      </c>
      <c r="Q184" s="27" t="n">
        <f aca="false">IF(L184=1,0,O184*M184*10)</f>
        <v>0</v>
      </c>
      <c r="R184" s="27" t="n">
        <f aca="false">IF(L184=1,0,N184*10)</f>
        <v>0</v>
      </c>
      <c r="S184" s="27" t="n">
        <f aca="false">P184+Q184+R184</f>
        <v>0</v>
      </c>
      <c r="T184" s="21" t="n">
        <f aca="false">C184+S184</f>
        <v>18.6730249835055</v>
      </c>
      <c r="U184" s="34" t="str">
        <f aca="false">AX184</f>
        <v/>
      </c>
      <c r="V184" s="21" t="n">
        <f aca="false">IF(U184="",0,IF(U184="transition",0,IF(U184="SW",AG184,IF(U184="AB",AH184,IF(U184="SC",AI184,IF(U184="Mag",AJ184,IF(U184="OR",AK184,IF(U184="HP",AL184,IF(U184="FP",AM184,0)))))))))</f>
        <v>0</v>
      </c>
      <c r="W184" s="27" t="n">
        <f aca="false">IF(U184="OR",Upgrades!$F$10,IF(U184="HP",Upgrades!$F$11,IF(U184="transition",-Parameters!$B$18,0)))</f>
        <v>0</v>
      </c>
      <c r="X184" s="21" t="n">
        <f aca="false">T184-V184</f>
        <v>18.6730249835055</v>
      </c>
      <c r="Y184" s="30" t="n">
        <f aca="false">M184*Parameters!$B$10/60*Parameters!$B$11+O184*M184+N184</f>
        <v>20.55</v>
      </c>
      <c r="Z184" s="35" t="str">
        <f aca="false">IF(U184="transition","→ Tier 2 (Stellar Neighborhood)",IF(U184="FP","First Photons — light begins, system quickens",IF(U184="HP","Heliopause acquired",IF(U184="OR","Orbital Resonance — passive multiplier active",IF(AND(AO184=1,L184=0,AN184&lt;&gt;1),"Cohesion ready (waiting on completionist upgrades)","")))))</f>
        <v/>
      </c>
      <c r="AA184" s="27" t="n">
        <f aca="false">(IF(E184=0,0,(Upgrades!$G$6+E184*Upgrades!$H$6)*POWER(Upgrades!$I$6,E184)))*(IF(Upgrades!$T$7="Solar Wind",POWER(Upgrades!$U$7,F184),1)*IF(Upgrades!$T$8="Solar Wind",POWER(Upgrades!$U$8,G184),1)*IF(Upgrades!$T$9="Solar Wind",POWER(Upgrades!$U$9,H184),1)*IF(Upgrades!$T$10="Solar Wind",POWER(Upgrades!$U$10,I184),1)*IF(Upgrades!$T$11="Solar Wind",POWER(Upgrades!$U$11,J184),1)*IF(Upgrades!$T$12="Solar Wind",POWER(Upgrades!$U$12,K184),1))*POWER(Upgrades!$P$6,E184)*POWER(Upgrades!$P$7,F184)*POWER(Upgrades!$P$8,G184)*POWER(Upgrades!$P$9,H184)*POWER(Upgrades!$P$10,I184)*POWER(Upgrades!$P$11,J184)*POWER(Upgrades!$P$12,K184)*60</f>
        <v>72</v>
      </c>
      <c r="AB184" s="27" t="n">
        <f aca="false">(IF(F184=0,0,(Upgrades!$G$7+F184*Upgrades!$H$7)*POWER(Upgrades!$I$7,F184)))*(IF(Upgrades!$T$6="Asteroid Belt",POWER(Upgrades!$U$6,E184),1)*IF(Upgrades!$T$8="Asteroid Belt",POWER(Upgrades!$U$8,G184),1)*IF(Upgrades!$T$9="Asteroid Belt",POWER(Upgrades!$U$9,H184),1)*IF(Upgrades!$T$10="Asteroid Belt",POWER(Upgrades!$U$10,I184),1)*IF(Upgrades!$T$11="Asteroid Belt",POWER(Upgrades!$U$11,J184),1)*IF(Upgrades!$T$12="Asteroid Belt",POWER(Upgrades!$U$12,K184),1))*POWER(Upgrades!$P$6,E184)*POWER(Upgrades!$P$7,F184)*POWER(Upgrades!$P$8,G184)*POWER(Upgrades!$P$9,H184)*POWER(Upgrades!$P$10,I184)*POWER(Upgrades!$P$11,J184)*POWER(Upgrades!$P$12,K184)*60</f>
        <v>150</v>
      </c>
      <c r="AC184" s="27" t="n">
        <f aca="false">(IF(G184=0,0,(Upgrades!$J$8+G184*Upgrades!$K$8)*POWER(Upgrades!$L$8,G184)))*(IF(Upgrades!$T$6="Stellar Coupling",POWER(Upgrades!$U$6,E184),1)*IF(Upgrades!$T$7="Stellar Coupling",POWER(Upgrades!$U$7,F184),1)*IF(Upgrades!$T$9="Stellar Coupling",POWER(Upgrades!$U$9,H184),1)*IF(Upgrades!$T$10="Stellar Coupling",POWER(Upgrades!$U$10,I184),1)*IF(Upgrades!$T$11="Stellar Coupling",POWER(Upgrades!$U$11,J184),1)*IF(Upgrades!$T$12="Stellar Coupling",POWER(Upgrades!$U$12,K184),1))*POWER(Upgrades!$Q$6,E184)*POWER(Upgrades!$Q$7,F184)*POWER(Upgrades!$Q$8,G184)*POWER(Upgrades!$Q$9,H184)*POWER(Upgrades!$Q$10,I184)*POWER(Upgrades!$Q$11,J184)*POWER(Upgrades!$Q$12,K184)*Parameters!$B$10*Parameters!$B$11</f>
        <v>441</v>
      </c>
      <c r="AD184" s="27" t="n">
        <f aca="false">(IF(H184=0,0,(Upgrades!$G$9+H184*Upgrades!$H$9)*POWER(Upgrades!$I$9,H184)))*(IF(Upgrades!$T$6="Magnetosphere",POWER(Upgrades!$U$6,E184),1)*IF(Upgrades!$T$7="Magnetosphere",POWER(Upgrades!$U$7,F184),1)*IF(Upgrades!$T$8="Magnetosphere",POWER(Upgrades!$U$8,G184),1)*IF(Upgrades!$T$10="Magnetosphere",POWER(Upgrades!$U$10,I184),1)*IF(Upgrades!$T$11="Magnetosphere",POWER(Upgrades!$U$11,J184),1)*IF(Upgrades!$T$12="Magnetosphere",POWER(Upgrades!$U$12,K184),1))*POWER(Upgrades!$P$6,E184)*POWER(Upgrades!$P$7,F184)*POWER(Upgrades!$P$8,G184)*POWER(Upgrades!$P$9,H184)*POWER(Upgrades!$P$10,I184)*POWER(Upgrades!$P$11,J184)*POWER(Upgrades!$P$12,K184)*60</f>
        <v>375</v>
      </c>
      <c r="AE184" s="27" t="n">
        <f aca="false">(IF(K184=0,0,(Upgrades!$G$12+K184*Upgrades!$H$12)*POWER(Upgrades!$I$12,K184)))*(IF(Upgrades!$T$6="First Photons",POWER(Upgrades!$U$6,E184),1)*IF(Upgrades!$T$7="First Photons",POWER(Upgrades!$U$7,F184),1)*IF(Upgrades!$T$8="First Photons",POWER(Upgrades!$U$8,G184),1)*IF(Upgrades!$T$9="First Photons",POWER(Upgrades!$U$9,H184),1)*IF(Upgrades!$T$10="First Photons",POWER(Upgrades!$U$10,I184),1)*IF(Upgrades!$T$11="First Photons",POWER(Upgrades!$U$11,J184),1))*POWER(Upgrades!$P$6,E184)*POWER(Upgrades!$P$7,F184)*POWER(Upgrades!$P$8,G184)*POWER(Upgrades!$P$9,H184)*POWER(Upgrades!$P$10,I184)*POWER(Upgrades!$P$11,J184)*POWER(Upgrades!$P$12,K184)*60</f>
        <v>75</v>
      </c>
      <c r="AF184" s="27" t="n">
        <f aca="false">Parameters!$B$9*POWER(Upgrades!$Q$6,E184)*POWER(Upgrades!$Q$7,F184)*POWER(Upgrades!$Q$8,G184)*POWER(Upgrades!$Q$9,H184)*POWER(Upgrades!$Q$10,I184)*POWER(Upgrades!$Q$11,J184)*POWER(Upgrades!$Q$12,K184)*(Parameters!$B$10*Parameters!$B$11+O184*60)</f>
        <v>120</v>
      </c>
      <c r="AG184" s="21" t="n">
        <f aca="false">IF(E184&gt;=Upgrades!$E$6,"",Upgrades!$C$6*POWER(Upgrades!$D$6,E184))</f>
        <v>37.4517507383159</v>
      </c>
      <c r="AH184" s="21" t="n">
        <f aca="false">IF(F184&gt;=Upgrades!$E$7,"",Upgrades!$C$7*POWER(Upgrades!$D$7,F184))</f>
        <v>80.9111547141581</v>
      </c>
      <c r="AI184" s="21" t="n">
        <f aca="false">IF(G184&gt;=Upgrades!$E$8,"",Upgrades!$C$8*POWER(Upgrades!$D$8,G184))</f>
        <v>231.9097088</v>
      </c>
      <c r="AJ184" s="21" t="str">
        <f aca="false">IF(H184&gt;=Upgrades!$E$9,"",Upgrades!$C$9*POWER(Upgrades!$D$9,H184))</f>
        <v/>
      </c>
      <c r="AK184" s="21" t="str">
        <f aca="false">IF(I184&gt;=Upgrades!$E$10,"",Upgrades!$C$10*POWER(Upgrades!$D$10,I184))</f>
        <v/>
      </c>
      <c r="AL184" s="21" t="str">
        <f aca="false">IF(J184&gt;=Upgrades!$E$11,"",Upgrades!$C$11*POWER(Upgrades!$D$11,J184))</f>
        <v/>
      </c>
      <c r="AM184" s="21" t="str">
        <f aca="false">IF(K184&gt;=Upgrades!$E$12,"",Upgrades!$C$12*POWER(Upgrades!$D$12,K184))</f>
        <v/>
      </c>
      <c r="AN184" s="26" t="str">
        <f aca="false">IF(AND(D184&gt;=Parameters!$B$18,(H184&gt;=Upgrades!$E$9)*(K184&gt;=Upgrades!$E$12)=1,L184=0),1,"")</f>
        <v/>
      </c>
      <c r="AO184" s="26" t="str">
        <f aca="false">IF(AND(D184&gt;=Parameters!$B$18,L184=0),1,"")</f>
        <v/>
      </c>
      <c r="AP184" s="21" t="n">
        <f aca="false">MIN(IF(ISNUMBER(AK184),AK184,9000000000000000),IF(ISNUMBER(AL184),AL184,9000000000000000),IF(ISNUMBER(AM184),AM184,9000000000000000))</f>
        <v>9000000000000000</v>
      </c>
      <c r="AQ184" s="21" t="n">
        <f aca="false">MIN(IF(ISNUMBER(AG184),AG184,9000000000000000),IF(ISNUMBER(AH184),AH184,9000000000000000),IF(ISNUMBER(AI184),AI184,9000000000000000),IF(ISNUMBER(AJ184),AJ184,9000000000000000))</f>
        <v>37.4517507383159</v>
      </c>
      <c r="AR184" s="32" t="b">
        <f aca="false">IF(AW184&gt;Parameters!$B$21*(MAX(IF(AND(NOT(AND(AO184=1,AN184&lt;&gt;1)),ISNUMBER(AG184),AG184&lt;=T184),AS184,0),IF(AND(NOT(AND(AO184=1,AN184&lt;&gt;1)),ISNUMBER(AH184),AH184&lt;=T184),AT184,0),IF(AND(NOT(AND(AO184=1,AN184&lt;&gt;1)),ISNUMBER(AI184),AI184&lt;=T184),AU184,0),IF(AND(ISNUMBER(AJ184),AJ184&lt;=T184),AV184,0))),TRUE(),FALSE())</f>
        <v>1</v>
      </c>
      <c r="AS184" s="33" t="n">
        <f aca="false">IFERROR(Upgrades!$H$6*(POWER(Upgrades!$P$6,E184)*POWER(Upgrades!$P$7,F184)*POWER(Upgrades!$P$8,G184)*POWER(Upgrades!$P$9,H184)*POWER(Upgrades!$P$10,I184)*POWER(Upgrades!$P$11,J184)*POWER(Upgrades!$P$12,K184))*(IF(Upgrades!$T$7="Solar Wind",POWER(Upgrades!$U$7,F184),1)*IF(Upgrades!$T$8="Solar Wind",POWER(Upgrades!$U$8,G184),1)*IF(Upgrades!$T$9="Solar Wind",POWER(Upgrades!$U$9,H184),1)*IF(Upgrades!$T$10="Solar Wind",POWER(Upgrades!$U$10,I184),1)*IF(Upgrades!$T$11="Solar Wind",POWER(Upgrades!$U$11,J184),1)*IF(Upgrades!$T$12="Solar Wind",POWER(Upgrades!$U$12,K184),1))/AG184,0)</f>
        <v>0.0026701021455238</v>
      </c>
      <c r="AT184" s="33" t="n">
        <f aca="false">IFERROR(Upgrades!$H$7*(POWER(Upgrades!$P$6,E184)*POWER(Upgrades!$P$7,F184)*POWER(Upgrades!$P$8,G184)*POWER(Upgrades!$P$9,H184)*POWER(Upgrades!$P$10,I184)*POWER(Upgrades!$P$11,J184)*POWER(Upgrades!$P$12,K184))*(IF(Upgrades!$T$6="Asteroid Belt",POWER(Upgrades!$U$6,E184),1)*IF(Upgrades!$T$8="Asteroid Belt",POWER(Upgrades!$U$8,G184),1)*IF(Upgrades!$T$9="Asteroid Belt",POWER(Upgrades!$U$9,H184),1)*IF(Upgrades!$T$10="Asteroid Belt",POWER(Upgrades!$U$10,I184),1)*IF(Upgrades!$T$11="Asteroid Belt",POWER(Upgrades!$U$11,J184),1)*IF(Upgrades!$T$12="Asteroid Belt",POWER(Upgrades!$U$12,K184),1))/AH184,0)</f>
        <v>0.00308980882652332</v>
      </c>
      <c r="AU184" s="33" t="n">
        <f aca="false">IFERROR(Upgrades!$K$8*(POWER(Upgrades!$Q$6,E184)*POWER(Upgrades!$Q$7,F184)*POWER(Upgrades!$Q$8,G184)*POWER(Upgrades!$Q$9,H184)*POWER(Upgrades!$Q$10,I184)*POWER(Upgrades!$Q$11,J184)*POWER(Upgrades!$Q$12,K184))*(IF(Upgrades!$T$6="Stellar Coupling",POWER(Upgrades!$U$6,E184),1)*IF(Upgrades!$T$7="Stellar Coupling",POWER(Upgrades!$U$7,F184),1)*IF(Upgrades!$T$9="Stellar Coupling",POWER(Upgrades!$U$9,H184),1)*IF(Upgrades!$T$10="Stellar Coupling",POWER(Upgrades!$U$10,I184),1)*IF(Upgrades!$T$11="Stellar Coupling",POWER(Upgrades!$U$11,J184),1)*IF(Upgrades!$T$12="Stellar Coupling",POWER(Upgrades!$U$12,K184),1))*Parameters!$B$10*Parameters!$B$11/60/AI184,0)</f>
        <v>0.00452762415783776</v>
      </c>
      <c r="AV184" s="33" t="n">
        <f aca="false">IFERROR(Upgrades!$H$9*(POWER(Upgrades!$P$6,E184)*POWER(Upgrades!$P$7,F184)*POWER(Upgrades!$P$8,G184)*POWER(Upgrades!$P$9,H184)*POWER(Upgrades!$P$10,I184)*POWER(Upgrades!$P$11,J184)*POWER(Upgrades!$P$12,K184))*(IF(Upgrades!$T$6="Magnetosphere",POWER(Upgrades!$U$6,E184),1)*IF(Upgrades!$T$7="Magnetosphere",POWER(Upgrades!$U$7,F184),1)*IF(Upgrades!$T$8="Magnetosphere",POWER(Upgrades!$U$8,G184),1)*IF(Upgrades!$T$10="Magnetosphere",POWER(Upgrades!$U$10,I184),1)*IF(Upgrades!$T$11="Magnetosphere",POWER(Upgrades!$U$11,J184),1)*IF(Upgrades!$T$12="Magnetosphere",POWER(Upgrades!$U$12,K184),1))/AJ184,0)</f>
        <v>0</v>
      </c>
      <c r="AW184" s="33" t="n">
        <f aca="false">MAX(IF(I184&gt;0,0,IFERROR(0.25*N184/Upgrades!$C$10,0)),IF(J184&gt;0,0,IFERROR(0.5*((IF(G184=0,0,(Upgrades!$J$8+G184*Upgrades!$K$8)*POWER(Upgrades!$L$8,G184)))*(IF(Upgrades!$T$6="Stellar Coupling",POWER(Upgrades!$U$6,E184),1)*IF(Upgrades!$T$7="Stellar Coupling",POWER(Upgrades!$U$7,F184),1)*IF(Upgrades!$T$9="Stellar Coupling",POWER(Upgrades!$U$9,H184),1)*IF(Upgrades!$T$10="Stellar Coupling",POWER(Upgrades!$U$10,I184),1)*IF(Upgrades!$T$11="Stellar Coupling",POWER(Upgrades!$U$11,J184),1)*IF(Upgrades!$T$12="Stellar Coupling",POWER(Upgrades!$U$12,K184),1))*(POWER(Upgrades!$Q$6,E184)*POWER(Upgrades!$Q$7,F184)*POWER(Upgrades!$Q$8,G184)*POWER(Upgrades!$Q$9,H184)*POWER(Upgrades!$Q$10,I184)*POWER(Upgrades!$Q$11,J184)*POWER(Upgrades!$Q$12,K184))*Parameters!$B$10*Parameters!$B$11/60)/Upgrades!$C$11,0)),IF(K184&gt;0,0,IFERROR((1*(POWER(Upgrades!$P$6,E184)*POWER(Upgrades!$P$7,F184)*POWER(Upgrades!$P$8,G184)*POWER(Upgrades!$P$9,H184)*POWER(Upgrades!$P$10,I184)*POWER(Upgrades!$P$11,J184)*POWER(Upgrades!$P$12,K184))+0.2*M184*Parameters!$B$10*Parameters!$B$11/60)/Upgrades!$C$12,0)),IF(AND(ISNUMBER(AG184),AG184&gt;T184),AS184,0),IF(AND(ISNUMBER(AH184),AH184&gt;T184),AT184,0),IF(AND(ISNUMBER(AI184),AI184&gt;T184),AU184,0),IF(AND(ISNUMBER(AJ184),AJ184&gt;T184),AV184,0))</f>
        <v>0.00452762415783776</v>
      </c>
      <c r="AX184" s="29" t="str">
        <f aca="false">IF(AN184=1,"transition",IF(MIN(IF(AND(I184=0,ISNUMBER(AK184),AK184&lt;=T184),AK184,9000000000000000),IF(AND(J184=0,ISNUMBER(AL184),AL184&lt;=T184),AL184,9000000000000000),IF(AND(K184=0,ISNUMBER(AM184),AM184&lt;=T184),AM184,9000000000000000))&lt;9000000000000000,IF(AND(AND(I184=0,ISNUMBER(AK184),AK184&lt;=T184),AK184=MIN(IF(AND(I184=0,ISNUMBER(AK184),AK184&lt;=T184),AK184,9000000000000000),IF(AND(J184=0,ISNUMBER(AL184),AL184&lt;=T184),AL184,9000000000000000),IF(AND(K184=0,ISNUMBER(AM184),AM184&lt;=T184),AM184,9000000000000000))),"OR",IF(AND(AND(J184=0,ISNUMBER(AL184),AL184&lt;=T184),AL184=MIN(IF(AND(I184=0,ISNUMBER(AK184),AK184&lt;=T184),AK184,9000000000000000),IF(AND(J184=0,ISNUMBER(AL184),AL184&lt;=T184),AL184,9000000000000000),IF(AND(K184=0,ISNUMBER(AM184),AM184&lt;=T184),AM184,9000000000000000))),"HP","FP")),IF(AR184=TRUE(),"",IF(MAX(IF(AND(NOT(AND(AO184=1,AN184&lt;&gt;1)),ISNUMBER(AG184),AG184&lt;=T184),AS184,0),IF(AND(NOT(AND(AO184=1,AN184&lt;&gt;1)),ISNUMBER(AH184),AH184&lt;=T184),AT184,0),IF(AND(NOT(AND(AO184=1,AN184&lt;&gt;1)),ISNUMBER(AI184),AI184&lt;=T184),AU184,0),IF(AND(ISNUMBER(AJ184),AJ184&lt;=T184),AV184,0))&lt;=0,"",IF(AND(IF(AND(NOT(AND(AO184=1,AN184&lt;&gt;1)),ISNUMBER(AG184),AG184&lt;=T184),AS184,0)&gt;0,IF(AND(NOT(AND(AO184=1,AN184&lt;&gt;1)),ISNUMBER(AG184),AG184&lt;=T184),AS184,0)=MAX(IF(AND(NOT(AND(AO184=1,AN184&lt;&gt;1)),ISNUMBER(AG184),AG184&lt;=T184),AS184,0),IF(AND(NOT(AND(AO184=1,AN184&lt;&gt;1)),ISNUMBER(AH184),AH184&lt;=T184),AT184,0),IF(AND(NOT(AND(AO184=1,AN184&lt;&gt;1)),ISNUMBER(AI184),AI184&lt;=T184),AU184,0),IF(AND(ISNUMBER(AJ184),AJ184&lt;=T184),AV184,0))),"SW",IF(AND(IF(AND(NOT(AND(AO184=1,AN184&lt;&gt;1)),ISNUMBER(AH184),AH184&lt;=T184),AT184,0)&gt;0,IF(AND(NOT(AND(AO184=1,AN184&lt;&gt;1)),ISNUMBER(AH184),AH184&lt;=T184),AT184,0)=MAX(IF(AND(NOT(AND(AO184=1,AN184&lt;&gt;1)),ISNUMBER(AG184),AG184&lt;=T184),AS184,0),IF(AND(NOT(AND(AO184=1,AN184&lt;&gt;1)),ISNUMBER(AH184),AH184&lt;=T184),AT184,0),IF(AND(NOT(AND(AO184=1,AN184&lt;&gt;1)),ISNUMBER(AI184),AI184&lt;=T184),AU184,0),IF(AND(ISNUMBER(AJ184),AJ184&lt;=T184),AV184,0))),"AB",IF(AND(IF(AND(NOT(AND(AO184=1,AN184&lt;&gt;1)),ISNUMBER(AI184),AI184&lt;=T184),AU184,0)&gt;0,IF(AND(NOT(AND(AO184=1,AN184&lt;&gt;1)),ISNUMBER(AI184),AI184&lt;=T184),AU184,0)=MAX(IF(AND(NOT(AND(AO184=1,AN184&lt;&gt;1)),ISNUMBER(AG184),AG184&lt;=T184),AS184,0),IF(AND(NOT(AND(AO184=1,AN184&lt;&gt;1)),ISNUMBER(AH184),AH184&lt;=T184),AT184,0),IF(AND(NOT(AND(AO184=1,AN184&lt;&gt;1)),ISNUMBER(AI184),AI184&lt;=T184),AU184,0),IF(AND(ISNUMBER(AJ184),AJ184&lt;=T184),AV184,0))),"SC","Mag")))))))</f>
        <v/>
      </c>
    </row>
    <row r="185" customFormat="false" ht="15" hidden="false" customHeight="false" outlineLevel="0" collapsed="false">
      <c r="A185" s="26" t="n">
        <v>180</v>
      </c>
      <c r="B185" s="27" t="n">
        <f aca="false">A185*10/60</f>
        <v>30</v>
      </c>
      <c r="C185" s="21" t="n">
        <f aca="false">X184</f>
        <v>18.6730249835055</v>
      </c>
      <c r="D185" s="27" t="n">
        <f aca="false">D184+W184</f>
        <v>0</v>
      </c>
      <c r="E185" s="26" t="n">
        <f aca="false">E184+IF(U184="SW",1,0)</f>
        <v>12</v>
      </c>
      <c r="F185" s="26" t="n">
        <f aca="false">F184+IF(U184="AB",1,0)</f>
        <v>10</v>
      </c>
      <c r="G185" s="26" t="n">
        <f aca="false">G184+IF(U184="SC",1,0)</f>
        <v>7</v>
      </c>
      <c r="H185" s="26" t="n">
        <f aca="false">H184+IF(U184="Mag",1,0)</f>
        <v>5</v>
      </c>
      <c r="I185" s="26" t="n">
        <f aca="false">MAX(I184,IF(U184="OR",1,0))</f>
        <v>1</v>
      </c>
      <c r="J185" s="26" t="n">
        <f aca="false">MAX(J184,IF(U184="HP",1,0))</f>
        <v>1</v>
      </c>
      <c r="K185" s="26" t="n">
        <f aca="false">MAX(K184,IF(U184="FP",1,0))</f>
        <v>1</v>
      </c>
      <c r="L185" s="26" t="n">
        <f aca="false">MAX(L184,IF(U184="transition",1,0))</f>
        <v>1</v>
      </c>
      <c r="M185" s="28" t="n">
        <f aca="false">(Parameters!$B$9+(IF(E185=0,0,(Upgrades!$J$6+E185*Upgrades!$K$6)*POWER(Upgrades!$L$6,E185)))*(IF(Upgrades!$T$7="Solar Wind",POWER(Upgrades!$U$7,F185),1)*IF(Upgrades!$T$8="Solar Wind",POWER(Upgrades!$U$8,G185),1)*IF(Upgrades!$T$9="Solar Wind",POWER(Upgrades!$U$9,H185),1)*IF(Upgrades!$T$10="Solar Wind",POWER(Upgrades!$U$10,I185),1)*IF(Upgrades!$T$11="Solar Wind",POWER(Upgrades!$U$11,J185),1)*IF(Upgrades!$T$12="Solar Wind",POWER(Upgrades!$U$12,K185),1))+(IF(F185=0,0,(Upgrades!$J$7+F185*Upgrades!$K$7)*POWER(Upgrades!$L$7,F185)))*(IF(Upgrades!$T$6="Asteroid Belt",POWER(Upgrades!$U$6,E185),1)*IF(Upgrades!$T$8="Asteroid Belt",POWER(Upgrades!$U$8,G185),1)*IF(Upgrades!$T$9="Asteroid Belt",POWER(Upgrades!$U$9,H185),1)*IF(Upgrades!$T$10="Asteroid Belt",POWER(Upgrades!$U$10,I185),1)*IF(Upgrades!$T$11="Asteroid Belt",POWER(Upgrades!$U$11,J185),1)*IF(Upgrades!$T$12="Asteroid Belt",POWER(Upgrades!$U$12,K185),1))+(IF(G185=0,0,(Upgrades!$J$8+G185*Upgrades!$K$8)*POWER(Upgrades!$L$8,G185)))*(IF(Upgrades!$T$6="Stellar Coupling",POWER(Upgrades!$U$6,E185),1)*IF(Upgrades!$T$7="Stellar Coupling",POWER(Upgrades!$U$7,F185),1)*IF(Upgrades!$T$9="Stellar Coupling",POWER(Upgrades!$U$9,H185),1)*IF(Upgrades!$T$10="Stellar Coupling",POWER(Upgrades!$U$10,I185),1)*IF(Upgrades!$T$11="Stellar Coupling",POWER(Upgrades!$U$11,J185),1)*IF(Upgrades!$T$12="Stellar Coupling",POWER(Upgrades!$U$12,K185),1))+(IF(H185=0,0,(Upgrades!$J$9+H185*Upgrades!$K$9)*POWER(Upgrades!$L$9,H185)))*(IF(Upgrades!$T$6="Magnetosphere",POWER(Upgrades!$U$6,E185),1)*IF(Upgrades!$T$7="Magnetosphere",POWER(Upgrades!$U$7,F185),1)*IF(Upgrades!$T$8="Magnetosphere",POWER(Upgrades!$U$8,G185),1)*IF(Upgrades!$T$10="Magnetosphere",POWER(Upgrades!$U$10,I185),1)*IF(Upgrades!$T$11="Magnetosphere",POWER(Upgrades!$U$11,J185),1)*IF(Upgrades!$T$12="Magnetosphere",POWER(Upgrades!$U$12,K185),1))+(IF(I185=0,0,(Upgrades!$J$10+I185*Upgrades!$K$10)*POWER(Upgrades!$L$10,I185)))*(IF(Upgrades!$T$6="Orbital Resonance",POWER(Upgrades!$U$6,E185),1)*IF(Upgrades!$T$7="Orbital Resonance",POWER(Upgrades!$U$7,F185),1)*IF(Upgrades!$T$8="Orbital Resonance",POWER(Upgrades!$U$8,G185),1)*IF(Upgrades!$T$9="Orbital Resonance",POWER(Upgrades!$U$9,H185),1)*IF(Upgrades!$T$11="Orbital Resonance",POWER(Upgrades!$U$11,J185),1)*IF(Upgrades!$T$12="Orbital Resonance",POWER(Upgrades!$U$12,K185),1))+(IF(J185=0,0,(Upgrades!$J$11+J185*Upgrades!$K$11)*POWER(Upgrades!$L$11,J185)))*(IF(Upgrades!$T$6="Heliopause",POWER(Upgrades!$U$6,E185),1)*IF(Upgrades!$T$7="Heliopause",POWER(Upgrades!$U$7,F185),1)*IF(Upgrades!$T$8="Heliopause",POWER(Upgrades!$U$8,G185),1)*IF(Upgrades!$T$9="Heliopause",POWER(Upgrades!$U$9,H185),1)*IF(Upgrades!$T$10="Heliopause",POWER(Upgrades!$U$10,I185),1)*IF(Upgrades!$T$12="Heliopause",POWER(Upgrades!$U$12,K185),1))+(IF(K185=0,0,(Upgrades!$J$12+K185*Upgrades!$K$12)*POWER(Upgrades!$L$12,K185)))*(IF(Upgrades!$T$6="First Photons",POWER(Upgrades!$U$6,E185),1)*IF(Upgrades!$T$7="First Photons",POWER(Upgrades!$U$7,F185),1)*IF(Upgrades!$T$8="First Photons",POWER(Upgrades!$U$8,G185),1)*IF(Upgrades!$T$9="First Photons",POWER(Upgrades!$U$9,H185),1)*IF(Upgrades!$T$10="First Photons",POWER(Upgrades!$U$10,I185),1)*IF(Upgrades!$T$11="First Photons",POWER(Upgrades!$U$11,J185),1)))*POWER(Upgrades!$Q$6,E185)*POWER(Upgrades!$Q$7,F185)*POWER(Upgrades!$Q$8,G185)*POWER(Upgrades!$Q$9,H185)*POWER(Upgrades!$Q$10,I185)*POWER(Upgrades!$Q$11,J185)*POWER(Upgrades!$Q$12,K185)</f>
        <v>5.61</v>
      </c>
      <c r="N185" s="28" t="n">
        <f aca="false">((IF(E185=0,0,(Upgrades!$G$6+E185*Upgrades!$H$6)*POWER(Upgrades!$I$6,E185)))*(IF(Upgrades!$T$7="Solar Wind",POWER(Upgrades!$U$7,F185),1)*IF(Upgrades!$T$8="Solar Wind",POWER(Upgrades!$U$8,G185),1)*IF(Upgrades!$T$9="Solar Wind",POWER(Upgrades!$U$9,H185),1)*IF(Upgrades!$T$10="Solar Wind",POWER(Upgrades!$U$10,I185),1)*IF(Upgrades!$T$11="Solar Wind",POWER(Upgrades!$U$11,J185),1)*IF(Upgrades!$T$12="Solar Wind",POWER(Upgrades!$U$12,K185),1))+(IF(F185=0,0,(Upgrades!$G$7+F185*Upgrades!$H$7)*POWER(Upgrades!$I$7,F185)))*(IF(Upgrades!$T$6="Asteroid Belt",POWER(Upgrades!$U$6,E185),1)*IF(Upgrades!$T$8="Asteroid Belt",POWER(Upgrades!$U$8,G185),1)*IF(Upgrades!$T$9="Asteroid Belt",POWER(Upgrades!$U$9,H185),1)*IF(Upgrades!$T$10="Asteroid Belt",POWER(Upgrades!$U$10,I185),1)*IF(Upgrades!$T$11="Asteroid Belt",POWER(Upgrades!$U$11,J185),1)*IF(Upgrades!$T$12="Asteroid Belt",POWER(Upgrades!$U$12,K185),1))+(IF(G185=0,0,(Upgrades!$G$8+G185*Upgrades!$H$8)*POWER(Upgrades!$I$8,G185)))*(IF(Upgrades!$T$6="Stellar Coupling",POWER(Upgrades!$U$6,E185),1)*IF(Upgrades!$T$7="Stellar Coupling",POWER(Upgrades!$U$7,F185),1)*IF(Upgrades!$T$9="Stellar Coupling",POWER(Upgrades!$U$9,H185),1)*IF(Upgrades!$T$10="Stellar Coupling",POWER(Upgrades!$U$10,I185),1)*IF(Upgrades!$T$11="Stellar Coupling",POWER(Upgrades!$U$11,J185),1)*IF(Upgrades!$T$12="Stellar Coupling",POWER(Upgrades!$U$12,K185),1))+(IF(H185=0,0,(Upgrades!$G$9+H185*Upgrades!$H$9)*POWER(Upgrades!$I$9,H185)))*(IF(Upgrades!$T$6="Magnetosphere",POWER(Upgrades!$U$6,E185),1)*IF(Upgrades!$T$7="Magnetosphere",POWER(Upgrades!$U$7,F185),1)*IF(Upgrades!$T$8="Magnetosphere",POWER(Upgrades!$U$8,G185),1)*IF(Upgrades!$T$10="Magnetosphere",POWER(Upgrades!$U$10,I185),1)*IF(Upgrades!$T$11="Magnetosphere",POWER(Upgrades!$U$11,J185),1)*IF(Upgrades!$T$12="Magnetosphere",POWER(Upgrades!$U$12,K185),1))+(IF(I185=0,0,(Upgrades!$G$10+I185*Upgrades!$H$10)*POWER(Upgrades!$I$10,I185)))*(IF(Upgrades!$T$6="Orbital Resonance",POWER(Upgrades!$U$6,E185),1)*IF(Upgrades!$T$7="Orbital Resonance",POWER(Upgrades!$U$7,F185),1)*IF(Upgrades!$T$8="Orbital Resonance",POWER(Upgrades!$U$8,G185),1)*IF(Upgrades!$T$9="Orbital Resonance",POWER(Upgrades!$U$9,H185),1)*IF(Upgrades!$T$11="Orbital Resonance",POWER(Upgrades!$U$11,J185),1)*IF(Upgrades!$T$12="Orbital Resonance",POWER(Upgrades!$U$12,K185),1))+(IF(J185=0,0,(Upgrades!$G$11+J185*Upgrades!$H$11)*POWER(Upgrades!$I$11,J185)))*(IF(Upgrades!$T$6="Heliopause",POWER(Upgrades!$U$6,E185),1)*IF(Upgrades!$T$7="Heliopause",POWER(Upgrades!$U$7,F185),1)*IF(Upgrades!$T$8="Heliopause",POWER(Upgrades!$U$8,G185),1)*IF(Upgrades!$T$9="Heliopause",POWER(Upgrades!$U$9,H185),1)*IF(Upgrades!$T$10="Heliopause",POWER(Upgrades!$U$10,I185),1)*IF(Upgrades!$T$12="Heliopause",POWER(Upgrades!$U$12,K185),1))+(IF(K185=0,0,(Upgrades!$G$12+K185*Upgrades!$H$12)*POWER(Upgrades!$I$12,K185)))*(IF(Upgrades!$T$6="First Photons",POWER(Upgrades!$U$6,E185),1)*IF(Upgrades!$T$7="First Photons",POWER(Upgrades!$U$7,F185),1)*IF(Upgrades!$T$8="First Photons",POWER(Upgrades!$U$8,G185),1)*IF(Upgrades!$T$9="First Photons",POWER(Upgrades!$U$9,H185),1)*IF(Upgrades!$T$10="First Photons",POWER(Upgrades!$U$10,I185),1)*IF(Upgrades!$T$11="First Photons",POWER(Upgrades!$U$11,J185),1)))*POWER(Upgrades!$P$6,E185)*POWER(Upgrades!$P$7,F185)*POWER(Upgrades!$P$8,G185)*POWER(Upgrades!$P$9,H185)*POWER(Upgrades!$P$10,I185)*POWER(Upgrades!$P$11,J185)*POWER(Upgrades!$P$12,K185)</f>
        <v>11.2</v>
      </c>
      <c r="O185" s="28" t="n">
        <f aca="false">((IF(E185=0,0,(Upgrades!$M$6+E185*Upgrades!$N$6)*POWER(Upgrades!$O$6,E185)))*(IF(Upgrades!$T$7="Solar Wind",POWER(Upgrades!$U$7,F185),1)*IF(Upgrades!$T$8="Solar Wind",POWER(Upgrades!$U$8,G185),1)*IF(Upgrades!$T$9="Solar Wind",POWER(Upgrades!$U$9,H185),1)*IF(Upgrades!$T$10="Solar Wind",POWER(Upgrades!$U$10,I185),1)*IF(Upgrades!$T$11="Solar Wind",POWER(Upgrades!$U$11,J185),1)*IF(Upgrades!$T$12="Solar Wind",POWER(Upgrades!$U$12,K185),1))+(IF(F185=0,0,(Upgrades!$M$7+F185*Upgrades!$N$7)*POWER(Upgrades!$O$7,F185)))*(IF(Upgrades!$T$6="Asteroid Belt",POWER(Upgrades!$U$6,E185),1)*IF(Upgrades!$T$8="Asteroid Belt",POWER(Upgrades!$U$8,G185),1)*IF(Upgrades!$T$9="Asteroid Belt",POWER(Upgrades!$U$9,H185),1)*IF(Upgrades!$T$10="Asteroid Belt",POWER(Upgrades!$U$10,I185),1)*IF(Upgrades!$T$11="Asteroid Belt",POWER(Upgrades!$U$11,J185),1)*IF(Upgrades!$T$12="Asteroid Belt",POWER(Upgrades!$U$12,K185),1))+(IF(G185=0,0,(Upgrades!$M$8+G185*Upgrades!$N$8)*POWER(Upgrades!$O$8,G185)))*(IF(Upgrades!$T$6="Stellar Coupling",POWER(Upgrades!$U$6,E185),1)*IF(Upgrades!$T$7="Stellar Coupling",POWER(Upgrades!$U$7,F185),1)*IF(Upgrades!$T$9="Stellar Coupling",POWER(Upgrades!$U$9,H185),1)*IF(Upgrades!$T$10="Stellar Coupling",POWER(Upgrades!$U$10,I185),1)*IF(Upgrades!$T$11="Stellar Coupling",POWER(Upgrades!$U$11,J185),1)*IF(Upgrades!$T$12="Stellar Coupling",POWER(Upgrades!$U$12,K185),1))+(IF(H185=0,0,(Upgrades!$M$9+H185*Upgrades!$N$9)*POWER(Upgrades!$O$9,H185)))*(IF(Upgrades!$T$6="Magnetosphere",POWER(Upgrades!$U$6,E185),1)*IF(Upgrades!$T$7="Magnetosphere",POWER(Upgrades!$U$7,F185),1)*IF(Upgrades!$T$8="Magnetosphere",POWER(Upgrades!$U$8,G185),1)*IF(Upgrades!$T$10="Magnetosphere",POWER(Upgrades!$U$10,I185),1)*IF(Upgrades!$T$11="Magnetosphere",POWER(Upgrades!$U$11,J185),1)*IF(Upgrades!$T$12="Magnetosphere",POWER(Upgrades!$U$12,K185),1))+(IF(I185=0,0,(Upgrades!$M$10+I185*Upgrades!$N$10)*POWER(Upgrades!$O$10,I185)))*(IF(Upgrades!$T$6="Orbital Resonance",POWER(Upgrades!$U$6,E185),1)*IF(Upgrades!$T$7="Orbital Resonance",POWER(Upgrades!$U$7,F185),1)*IF(Upgrades!$T$8="Orbital Resonance",POWER(Upgrades!$U$8,G185),1)*IF(Upgrades!$T$9="Orbital Resonance",POWER(Upgrades!$U$9,H185),1)*IF(Upgrades!$T$11="Orbital Resonance",POWER(Upgrades!$U$11,J185),1)*IF(Upgrades!$T$12="Orbital Resonance",POWER(Upgrades!$U$12,K185),1))+(IF(J185=0,0,(Upgrades!$M$11+J185*Upgrades!$N$11)*POWER(Upgrades!$O$11,J185)))*(IF(Upgrades!$T$6="Heliopause",POWER(Upgrades!$U$6,E185),1)*IF(Upgrades!$T$7="Heliopause",POWER(Upgrades!$U$7,F185),1)*IF(Upgrades!$T$8="Heliopause",POWER(Upgrades!$U$8,G185),1)*IF(Upgrades!$T$9="Heliopause",POWER(Upgrades!$U$9,H185),1)*IF(Upgrades!$T$10="Heliopause",POWER(Upgrades!$U$10,I185),1)*IF(Upgrades!$T$12="Heliopause",POWER(Upgrades!$U$12,K185),1))+(IF(K185=0,0,(Upgrades!$M$12+K185*Upgrades!$N$12)*POWER(Upgrades!$O$12,K185)))*(IF(Upgrades!$T$6="First Photons",POWER(Upgrades!$U$6,E185),1)*IF(Upgrades!$T$7="First Photons",POWER(Upgrades!$U$7,F185),1)*IF(Upgrades!$T$8="First Photons",POWER(Upgrades!$U$8,G185),1)*IF(Upgrades!$T$9="First Photons",POWER(Upgrades!$U$9,H185),1)*IF(Upgrades!$T$10="First Photons",POWER(Upgrades!$U$10,I185),1)*IF(Upgrades!$T$11="First Photons",POWER(Upgrades!$U$11,J185),1)))*POWER(Upgrades!$R$6,E185)*POWER(Upgrades!$R$7,F185)*POWER(Upgrades!$R$8,G185)*POWER(Upgrades!$R$9,H185)*POWER(Upgrades!$R$10,I185)*POWER(Upgrades!$R$11,J185)*POWER(Upgrades!$R$12,K185)</f>
        <v>0</v>
      </c>
      <c r="P185" s="27" t="n">
        <f aca="false">IF(L185=1,0,M185*Parameters!$B$10/60*Parameters!$B$11*10)</f>
        <v>0</v>
      </c>
      <c r="Q185" s="27" t="n">
        <f aca="false">IF(L185=1,0,O185*M185*10)</f>
        <v>0</v>
      </c>
      <c r="R185" s="27" t="n">
        <f aca="false">IF(L185=1,0,N185*10)</f>
        <v>0</v>
      </c>
      <c r="S185" s="27" t="n">
        <f aca="false">P185+Q185+R185</f>
        <v>0</v>
      </c>
      <c r="T185" s="21" t="n">
        <f aca="false">C185+S185</f>
        <v>18.6730249835055</v>
      </c>
      <c r="U185" s="34" t="str">
        <f aca="false">AX185</f>
        <v/>
      </c>
      <c r="V185" s="21" t="n">
        <f aca="false">IF(U185="",0,IF(U185="transition",0,IF(U185="SW",AG185,IF(U185="AB",AH185,IF(U185="SC",AI185,IF(U185="Mag",AJ185,IF(U185="OR",AK185,IF(U185="HP",AL185,IF(U185="FP",AM185,0)))))))))</f>
        <v>0</v>
      </c>
      <c r="W185" s="27" t="n">
        <f aca="false">IF(U185="OR",Upgrades!$F$10,IF(U185="HP",Upgrades!$F$11,IF(U185="transition",-Parameters!$B$18,0)))</f>
        <v>0</v>
      </c>
      <c r="X185" s="21" t="n">
        <f aca="false">T185-V185</f>
        <v>18.6730249835055</v>
      </c>
      <c r="Y185" s="30" t="n">
        <f aca="false">M185*Parameters!$B$10/60*Parameters!$B$11+O185*M185+N185</f>
        <v>20.55</v>
      </c>
      <c r="Z185" s="35" t="str">
        <f aca="false">IF(U185="transition","→ Tier 2 (Stellar Neighborhood)",IF(U185="FP","First Photons — light begins, system quickens",IF(U185="HP","Heliopause acquired",IF(U185="OR","Orbital Resonance — passive multiplier active",IF(AND(AO185=1,L185=0,AN185&lt;&gt;1),"Cohesion ready (waiting on completionist upgrades)","")))))</f>
        <v/>
      </c>
      <c r="AA185" s="27" t="n">
        <f aca="false">(IF(E185=0,0,(Upgrades!$G$6+E185*Upgrades!$H$6)*POWER(Upgrades!$I$6,E185)))*(IF(Upgrades!$T$7="Solar Wind",POWER(Upgrades!$U$7,F185),1)*IF(Upgrades!$T$8="Solar Wind",POWER(Upgrades!$U$8,G185),1)*IF(Upgrades!$T$9="Solar Wind",POWER(Upgrades!$U$9,H185),1)*IF(Upgrades!$T$10="Solar Wind",POWER(Upgrades!$U$10,I185),1)*IF(Upgrades!$T$11="Solar Wind",POWER(Upgrades!$U$11,J185),1)*IF(Upgrades!$T$12="Solar Wind",POWER(Upgrades!$U$12,K185),1))*POWER(Upgrades!$P$6,E185)*POWER(Upgrades!$P$7,F185)*POWER(Upgrades!$P$8,G185)*POWER(Upgrades!$P$9,H185)*POWER(Upgrades!$P$10,I185)*POWER(Upgrades!$P$11,J185)*POWER(Upgrades!$P$12,K185)*60</f>
        <v>72</v>
      </c>
      <c r="AB185" s="27" t="n">
        <f aca="false">(IF(F185=0,0,(Upgrades!$G$7+F185*Upgrades!$H$7)*POWER(Upgrades!$I$7,F185)))*(IF(Upgrades!$T$6="Asteroid Belt",POWER(Upgrades!$U$6,E185),1)*IF(Upgrades!$T$8="Asteroid Belt",POWER(Upgrades!$U$8,G185),1)*IF(Upgrades!$T$9="Asteroid Belt",POWER(Upgrades!$U$9,H185),1)*IF(Upgrades!$T$10="Asteroid Belt",POWER(Upgrades!$U$10,I185),1)*IF(Upgrades!$T$11="Asteroid Belt",POWER(Upgrades!$U$11,J185),1)*IF(Upgrades!$T$12="Asteroid Belt",POWER(Upgrades!$U$12,K185),1))*POWER(Upgrades!$P$6,E185)*POWER(Upgrades!$P$7,F185)*POWER(Upgrades!$P$8,G185)*POWER(Upgrades!$P$9,H185)*POWER(Upgrades!$P$10,I185)*POWER(Upgrades!$P$11,J185)*POWER(Upgrades!$P$12,K185)*60</f>
        <v>150</v>
      </c>
      <c r="AC185" s="27" t="n">
        <f aca="false">(IF(G185=0,0,(Upgrades!$J$8+G185*Upgrades!$K$8)*POWER(Upgrades!$L$8,G185)))*(IF(Upgrades!$T$6="Stellar Coupling",POWER(Upgrades!$U$6,E185),1)*IF(Upgrades!$T$7="Stellar Coupling",POWER(Upgrades!$U$7,F185),1)*IF(Upgrades!$T$9="Stellar Coupling",POWER(Upgrades!$U$9,H185),1)*IF(Upgrades!$T$10="Stellar Coupling",POWER(Upgrades!$U$10,I185),1)*IF(Upgrades!$T$11="Stellar Coupling",POWER(Upgrades!$U$11,J185),1)*IF(Upgrades!$T$12="Stellar Coupling",POWER(Upgrades!$U$12,K185),1))*POWER(Upgrades!$Q$6,E185)*POWER(Upgrades!$Q$7,F185)*POWER(Upgrades!$Q$8,G185)*POWER(Upgrades!$Q$9,H185)*POWER(Upgrades!$Q$10,I185)*POWER(Upgrades!$Q$11,J185)*POWER(Upgrades!$Q$12,K185)*Parameters!$B$10*Parameters!$B$11</f>
        <v>441</v>
      </c>
      <c r="AD185" s="27" t="n">
        <f aca="false">(IF(H185=0,0,(Upgrades!$G$9+H185*Upgrades!$H$9)*POWER(Upgrades!$I$9,H185)))*(IF(Upgrades!$T$6="Magnetosphere",POWER(Upgrades!$U$6,E185),1)*IF(Upgrades!$T$7="Magnetosphere",POWER(Upgrades!$U$7,F185),1)*IF(Upgrades!$T$8="Magnetosphere",POWER(Upgrades!$U$8,G185),1)*IF(Upgrades!$T$10="Magnetosphere",POWER(Upgrades!$U$10,I185),1)*IF(Upgrades!$T$11="Magnetosphere",POWER(Upgrades!$U$11,J185),1)*IF(Upgrades!$T$12="Magnetosphere",POWER(Upgrades!$U$12,K185),1))*POWER(Upgrades!$P$6,E185)*POWER(Upgrades!$P$7,F185)*POWER(Upgrades!$P$8,G185)*POWER(Upgrades!$P$9,H185)*POWER(Upgrades!$P$10,I185)*POWER(Upgrades!$P$11,J185)*POWER(Upgrades!$P$12,K185)*60</f>
        <v>375</v>
      </c>
      <c r="AE185" s="27" t="n">
        <f aca="false">(IF(K185=0,0,(Upgrades!$G$12+K185*Upgrades!$H$12)*POWER(Upgrades!$I$12,K185)))*(IF(Upgrades!$T$6="First Photons",POWER(Upgrades!$U$6,E185),1)*IF(Upgrades!$T$7="First Photons",POWER(Upgrades!$U$7,F185),1)*IF(Upgrades!$T$8="First Photons",POWER(Upgrades!$U$8,G185),1)*IF(Upgrades!$T$9="First Photons",POWER(Upgrades!$U$9,H185),1)*IF(Upgrades!$T$10="First Photons",POWER(Upgrades!$U$10,I185),1)*IF(Upgrades!$T$11="First Photons",POWER(Upgrades!$U$11,J185),1))*POWER(Upgrades!$P$6,E185)*POWER(Upgrades!$P$7,F185)*POWER(Upgrades!$P$8,G185)*POWER(Upgrades!$P$9,H185)*POWER(Upgrades!$P$10,I185)*POWER(Upgrades!$P$11,J185)*POWER(Upgrades!$P$12,K185)*60</f>
        <v>75</v>
      </c>
      <c r="AF185" s="27" t="n">
        <f aca="false">Parameters!$B$9*POWER(Upgrades!$Q$6,E185)*POWER(Upgrades!$Q$7,F185)*POWER(Upgrades!$Q$8,G185)*POWER(Upgrades!$Q$9,H185)*POWER(Upgrades!$Q$10,I185)*POWER(Upgrades!$Q$11,J185)*POWER(Upgrades!$Q$12,K185)*(Parameters!$B$10*Parameters!$B$11+O185*60)</f>
        <v>120</v>
      </c>
      <c r="AG185" s="21" t="n">
        <f aca="false">IF(E185&gt;=Upgrades!$E$6,"",Upgrades!$C$6*POWER(Upgrades!$D$6,E185))</f>
        <v>37.4517507383159</v>
      </c>
      <c r="AH185" s="21" t="n">
        <f aca="false">IF(F185&gt;=Upgrades!$E$7,"",Upgrades!$C$7*POWER(Upgrades!$D$7,F185))</f>
        <v>80.9111547141581</v>
      </c>
      <c r="AI185" s="21" t="n">
        <f aca="false">IF(G185&gt;=Upgrades!$E$8,"",Upgrades!$C$8*POWER(Upgrades!$D$8,G185))</f>
        <v>231.9097088</v>
      </c>
      <c r="AJ185" s="21" t="str">
        <f aca="false">IF(H185&gt;=Upgrades!$E$9,"",Upgrades!$C$9*POWER(Upgrades!$D$9,H185))</f>
        <v/>
      </c>
      <c r="AK185" s="21" t="str">
        <f aca="false">IF(I185&gt;=Upgrades!$E$10,"",Upgrades!$C$10*POWER(Upgrades!$D$10,I185))</f>
        <v/>
      </c>
      <c r="AL185" s="21" t="str">
        <f aca="false">IF(J185&gt;=Upgrades!$E$11,"",Upgrades!$C$11*POWER(Upgrades!$D$11,J185))</f>
        <v/>
      </c>
      <c r="AM185" s="21" t="str">
        <f aca="false">IF(K185&gt;=Upgrades!$E$12,"",Upgrades!$C$12*POWER(Upgrades!$D$12,K185))</f>
        <v/>
      </c>
      <c r="AN185" s="26" t="str">
        <f aca="false">IF(AND(D185&gt;=Parameters!$B$18,(H185&gt;=Upgrades!$E$9)*(K185&gt;=Upgrades!$E$12)=1,L185=0),1,"")</f>
        <v/>
      </c>
      <c r="AO185" s="26" t="str">
        <f aca="false">IF(AND(D185&gt;=Parameters!$B$18,L185=0),1,"")</f>
        <v/>
      </c>
      <c r="AP185" s="21" t="n">
        <f aca="false">MIN(IF(ISNUMBER(AK185),AK185,9000000000000000),IF(ISNUMBER(AL185),AL185,9000000000000000),IF(ISNUMBER(AM185),AM185,9000000000000000))</f>
        <v>9000000000000000</v>
      </c>
      <c r="AQ185" s="21" t="n">
        <f aca="false">MIN(IF(ISNUMBER(AG185),AG185,9000000000000000),IF(ISNUMBER(AH185),AH185,9000000000000000),IF(ISNUMBER(AI185),AI185,9000000000000000),IF(ISNUMBER(AJ185),AJ185,9000000000000000))</f>
        <v>37.4517507383159</v>
      </c>
      <c r="AR185" s="32" t="b">
        <f aca="false">IF(AW185&gt;Parameters!$B$21*(MAX(IF(AND(NOT(AND(AO185=1,AN185&lt;&gt;1)),ISNUMBER(AG185),AG185&lt;=T185),AS185,0),IF(AND(NOT(AND(AO185=1,AN185&lt;&gt;1)),ISNUMBER(AH185),AH185&lt;=T185),AT185,0),IF(AND(NOT(AND(AO185=1,AN185&lt;&gt;1)),ISNUMBER(AI185),AI185&lt;=T185),AU185,0),IF(AND(ISNUMBER(AJ185),AJ185&lt;=T185),AV185,0))),TRUE(),FALSE())</f>
        <v>1</v>
      </c>
      <c r="AS185" s="33" t="n">
        <f aca="false">IFERROR(Upgrades!$H$6*(POWER(Upgrades!$P$6,E185)*POWER(Upgrades!$P$7,F185)*POWER(Upgrades!$P$8,G185)*POWER(Upgrades!$P$9,H185)*POWER(Upgrades!$P$10,I185)*POWER(Upgrades!$P$11,J185)*POWER(Upgrades!$P$12,K185))*(IF(Upgrades!$T$7="Solar Wind",POWER(Upgrades!$U$7,F185),1)*IF(Upgrades!$T$8="Solar Wind",POWER(Upgrades!$U$8,G185),1)*IF(Upgrades!$T$9="Solar Wind",POWER(Upgrades!$U$9,H185),1)*IF(Upgrades!$T$10="Solar Wind",POWER(Upgrades!$U$10,I185),1)*IF(Upgrades!$T$11="Solar Wind",POWER(Upgrades!$U$11,J185),1)*IF(Upgrades!$T$12="Solar Wind",POWER(Upgrades!$U$12,K185),1))/AG185,0)</f>
        <v>0.0026701021455238</v>
      </c>
      <c r="AT185" s="33" t="n">
        <f aca="false">IFERROR(Upgrades!$H$7*(POWER(Upgrades!$P$6,E185)*POWER(Upgrades!$P$7,F185)*POWER(Upgrades!$P$8,G185)*POWER(Upgrades!$P$9,H185)*POWER(Upgrades!$P$10,I185)*POWER(Upgrades!$P$11,J185)*POWER(Upgrades!$P$12,K185))*(IF(Upgrades!$T$6="Asteroid Belt",POWER(Upgrades!$U$6,E185),1)*IF(Upgrades!$T$8="Asteroid Belt",POWER(Upgrades!$U$8,G185),1)*IF(Upgrades!$T$9="Asteroid Belt",POWER(Upgrades!$U$9,H185),1)*IF(Upgrades!$T$10="Asteroid Belt",POWER(Upgrades!$U$10,I185),1)*IF(Upgrades!$T$11="Asteroid Belt",POWER(Upgrades!$U$11,J185),1)*IF(Upgrades!$T$12="Asteroid Belt",POWER(Upgrades!$U$12,K185),1))/AH185,0)</f>
        <v>0.00308980882652332</v>
      </c>
      <c r="AU185" s="33" t="n">
        <f aca="false">IFERROR(Upgrades!$K$8*(POWER(Upgrades!$Q$6,E185)*POWER(Upgrades!$Q$7,F185)*POWER(Upgrades!$Q$8,G185)*POWER(Upgrades!$Q$9,H185)*POWER(Upgrades!$Q$10,I185)*POWER(Upgrades!$Q$11,J185)*POWER(Upgrades!$Q$12,K185))*(IF(Upgrades!$T$6="Stellar Coupling",POWER(Upgrades!$U$6,E185),1)*IF(Upgrades!$T$7="Stellar Coupling",POWER(Upgrades!$U$7,F185),1)*IF(Upgrades!$T$9="Stellar Coupling",POWER(Upgrades!$U$9,H185),1)*IF(Upgrades!$T$10="Stellar Coupling",POWER(Upgrades!$U$10,I185),1)*IF(Upgrades!$T$11="Stellar Coupling",POWER(Upgrades!$U$11,J185),1)*IF(Upgrades!$T$12="Stellar Coupling",POWER(Upgrades!$U$12,K185),1))*Parameters!$B$10*Parameters!$B$11/60/AI185,0)</f>
        <v>0.00452762415783776</v>
      </c>
      <c r="AV185" s="33" t="n">
        <f aca="false">IFERROR(Upgrades!$H$9*(POWER(Upgrades!$P$6,E185)*POWER(Upgrades!$P$7,F185)*POWER(Upgrades!$P$8,G185)*POWER(Upgrades!$P$9,H185)*POWER(Upgrades!$P$10,I185)*POWER(Upgrades!$P$11,J185)*POWER(Upgrades!$P$12,K185))*(IF(Upgrades!$T$6="Magnetosphere",POWER(Upgrades!$U$6,E185),1)*IF(Upgrades!$T$7="Magnetosphere",POWER(Upgrades!$U$7,F185),1)*IF(Upgrades!$T$8="Magnetosphere",POWER(Upgrades!$U$8,G185),1)*IF(Upgrades!$T$10="Magnetosphere",POWER(Upgrades!$U$10,I185),1)*IF(Upgrades!$T$11="Magnetosphere",POWER(Upgrades!$U$11,J185),1)*IF(Upgrades!$T$12="Magnetosphere",POWER(Upgrades!$U$12,K185),1))/AJ185,0)</f>
        <v>0</v>
      </c>
      <c r="AW185" s="33" t="n">
        <f aca="false">MAX(IF(I185&gt;0,0,IFERROR(0.25*N185/Upgrades!$C$10,0)),IF(J185&gt;0,0,IFERROR(0.5*((IF(G185=0,0,(Upgrades!$J$8+G185*Upgrades!$K$8)*POWER(Upgrades!$L$8,G185)))*(IF(Upgrades!$T$6="Stellar Coupling",POWER(Upgrades!$U$6,E185),1)*IF(Upgrades!$T$7="Stellar Coupling",POWER(Upgrades!$U$7,F185),1)*IF(Upgrades!$T$9="Stellar Coupling",POWER(Upgrades!$U$9,H185),1)*IF(Upgrades!$T$10="Stellar Coupling",POWER(Upgrades!$U$10,I185),1)*IF(Upgrades!$T$11="Stellar Coupling",POWER(Upgrades!$U$11,J185),1)*IF(Upgrades!$T$12="Stellar Coupling",POWER(Upgrades!$U$12,K185),1))*(POWER(Upgrades!$Q$6,E185)*POWER(Upgrades!$Q$7,F185)*POWER(Upgrades!$Q$8,G185)*POWER(Upgrades!$Q$9,H185)*POWER(Upgrades!$Q$10,I185)*POWER(Upgrades!$Q$11,J185)*POWER(Upgrades!$Q$12,K185))*Parameters!$B$10*Parameters!$B$11/60)/Upgrades!$C$11,0)),IF(K185&gt;0,0,IFERROR((1*(POWER(Upgrades!$P$6,E185)*POWER(Upgrades!$P$7,F185)*POWER(Upgrades!$P$8,G185)*POWER(Upgrades!$P$9,H185)*POWER(Upgrades!$P$10,I185)*POWER(Upgrades!$P$11,J185)*POWER(Upgrades!$P$12,K185))+0.2*M185*Parameters!$B$10*Parameters!$B$11/60)/Upgrades!$C$12,0)),IF(AND(ISNUMBER(AG185),AG185&gt;T185),AS185,0),IF(AND(ISNUMBER(AH185),AH185&gt;T185),AT185,0),IF(AND(ISNUMBER(AI185),AI185&gt;T185),AU185,0),IF(AND(ISNUMBER(AJ185),AJ185&gt;T185),AV185,0))</f>
        <v>0.00452762415783776</v>
      </c>
      <c r="AX185" s="29" t="str">
        <f aca="false">IF(AN185=1,"transition",IF(MIN(IF(AND(I185=0,ISNUMBER(AK185),AK185&lt;=T185),AK185,9000000000000000),IF(AND(J185=0,ISNUMBER(AL185),AL185&lt;=T185),AL185,9000000000000000),IF(AND(K185=0,ISNUMBER(AM185),AM185&lt;=T185),AM185,9000000000000000))&lt;9000000000000000,IF(AND(AND(I185=0,ISNUMBER(AK185),AK185&lt;=T185),AK185=MIN(IF(AND(I185=0,ISNUMBER(AK185),AK185&lt;=T185),AK185,9000000000000000),IF(AND(J185=0,ISNUMBER(AL185),AL185&lt;=T185),AL185,9000000000000000),IF(AND(K185=0,ISNUMBER(AM185),AM185&lt;=T185),AM185,9000000000000000))),"OR",IF(AND(AND(J185=0,ISNUMBER(AL185),AL185&lt;=T185),AL185=MIN(IF(AND(I185=0,ISNUMBER(AK185),AK185&lt;=T185),AK185,9000000000000000),IF(AND(J185=0,ISNUMBER(AL185),AL185&lt;=T185),AL185,9000000000000000),IF(AND(K185=0,ISNUMBER(AM185),AM185&lt;=T185),AM185,9000000000000000))),"HP","FP")),IF(AR185=TRUE(),"",IF(MAX(IF(AND(NOT(AND(AO185=1,AN185&lt;&gt;1)),ISNUMBER(AG185),AG185&lt;=T185),AS185,0),IF(AND(NOT(AND(AO185=1,AN185&lt;&gt;1)),ISNUMBER(AH185),AH185&lt;=T185),AT185,0),IF(AND(NOT(AND(AO185=1,AN185&lt;&gt;1)),ISNUMBER(AI185),AI185&lt;=T185),AU185,0),IF(AND(ISNUMBER(AJ185),AJ185&lt;=T185),AV185,0))&lt;=0,"",IF(AND(IF(AND(NOT(AND(AO185=1,AN185&lt;&gt;1)),ISNUMBER(AG185),AG185&lt;=T185),AS185,0)&gt;0,IF(AND(NOT(AND(AO185=1,AN185&lt;&gt;1)),ISNUMBER(AG185),AG185&lt;=T185),AS185,0)=MAX(IF(AND(NOT(AND(AO185=1,AN185&lt;&gt;1)),ISNUMBER(AG185),AG185&lt;=T185),AS185,0),IF(AND(NOT(AND(AO185=1,AN185&lt;&gt;1)),ISNUMBER(AH185),AH185&lt;=T185),AT185,0),IF(AND(NOT(AND(AO185=1,AN185&lt;&gt;1)),ISNUMBER(AI185),AI185&lt;=T185),AU185,0),IF(AND(ISNUMBER(AJ185),AJ185&lt;=T185),AV185,0))),"SW",IF(AND(IF(AND(NOT(AND(AO185=1,AN185&lt;&gt;1)),ISNUMBER(AH185),AH185&lt;=T185),AT185,0)&gt;0,IF(AND(NOT(AND(AO185=1,AN185&lt;&gt;1)),ISNUMBER(AH185),AH185&lt;=T185),AT185,0)=MAX(IF(AND(NOT(AND(AO185=1,AN185&lt;&gt;1)),ISNUMBER(AG185),AG185&lt;=T185),AS185,0),IF(AND(NOT(AND(AO185=1,AN185&lt;&gt;1)),ISNUMBER(AH185),AH185&lt;=T185),AT185,0),IF(AND(NOT(AND(AO185=1,AN185&lt;&gt;1)),ISNUMBER(AI185),AI185&lt;=T185),AU185,0),IF(AND(ISNUMBER(AJ185),AJ185&lt;=T185),AV185,0))),"AB",IF(AND(IF(AND(NOT(AND(AO185=1,AN185&lt;&gt;1)),ISNUMBER(AI185),AI185&lt;=T185),AU185,0)&gt;0,IF(AND(NOT(AND(AO185=1,AN185&lt;&gt;1)),ISNUMBER(AI185),AI185&lt;=T185),AU185,0)=MAX(IF(AND(NOT(AND(AO185=1,AN185&lt;&gt;1)),ISNUMBER(AG185),AG185&lt;=T185),AS185,0),IF(AND(NOT(AND(AO185=1,AN185&lt;&gt;1)),ISNUMBER(AH185),AH185&lt;=T185),AT185,0),IF(AND(NOT(AND(AO185=1,AN185&lt;&gt;1)),ISNUMBER(AI185),AI185&lt;=T185),AU185,0),IF(AND(ISNUMBER(AJ185),AJ185&lt;=T185),AV185,0))),"SC","Mag")))))))</f>
        <v/>
      </c>
    </row>
    <row r="186" customFormat="false" ht="15" hidden="false" customHeight="false" outlineLevel="0" collapsed="false">
      <c r="A186" s="26" t="n">
        <v>181</v>
      </c>
      <c r="B186" s="27" t="n">
        <f aca="false">A186*10/60</f>
        <v>30.1666666666667</v>
      </c>
      <c r="C186" s="21" t="n">
        <f aca="false">X185</f>
        <v>18.6730249835055</v>
      </c>
      <c r="D186" s="27" t="n">
        <f aca="false">D185+W185</f>
        <v>0</v>
      </c>
      <c r="E186" s="26" t="n">
        <f aca="false">E185+IF(U185="SW",1,0)</f>
        <v>12</v>
      </c>
      <c r="F186" s="26" t="n">
        <f aca="false">F185+IF(U185="AB",1,0)</f>
        <v>10</v>
      </c>
      <c r="G186" s="26" t="n">
        <f aca="false">G185+IF(U185="SC",1,0)</f>
        <v>7</v>
      </c>
      <c r="H186" s="26" t="n">
        <f aca="false">H185+IF(U185="Mag",1,0)</f>
        <v>5</v>
      </c>
      <c r="I186" s="26" t="n">
        <f aca="false">MAX(I185,IF(U185="OR",1,0))</f>
        <v>1</v>
      </c>
      <c r="J186" s="26" t="n">
        <f aca="false">MAX(J185,IF(U185="HP",1,0))</f>
        <v>1</v>
      </c>
      <c r="K186" s="26" t="n">
        <f aca="false">MAX(K185,IF(U185="FP",1,0))</f>
        <v>1</v>
      </c>
      <c r="L186" s="26" t="n">
        <f aca="false">MAX(L185,IF(U185="transition",1,0))</f>
        <v>1</v>
      </c>
      <c r="M186" s="28" t="n">
        <f aca="false">(Parameters!$B$9+(IF(E186=0,0,(Upgrades!$J$6+E186*Upgrades!$K$6)*POWER(Upgrades!$L$6,E186)))*(IF(Upgrades!$T$7="Solar Wind",POWER(Upgrades!$U$7,F186),1)*IF(Upgrades!$T$8="Solar Wind",POWER(Upgrades!$U$8,G186),1)*IF(Upgrades!$T$9="Solar Wind",POWER(Upgrades!$U$9,H186),1)*IF(Upgrades!$T$10="Solar Wind",POWER(Upgrades!$U$10,I186),1)*IF(Upgrades!$T$11="Solar Wind",POWER(Upgrades!$U$11,J186),1)*IF(Upgrades!$T$12="Solar Wind",POWER(Upgrades!$U$12,K186),1))+(IF(F186=0,0,(Upgrades!$J$7+F186*Upgrades!$K$7)*POWER(Upgrades!$L$7,F186)))*(IF(Upgrades!$T$6="Asteroid Belt",POWER(Upgrades!$U$6,E186),1)*IF(Upgrades!$T$8="Asteroid Belt",POWER(Upgrades!$U$8,G186),1)*IF(Upgrades!$T$9="Asteroid Belt",POWER(Upgrades!$U$9,H186),1)*IF(Upgrades!$T$10="Asteroid Belt",POWER(Upgrades!$U$10,I186),1)*IF(Upgrades!$T$11="Asteroid Belt",POWER(Upgrades!$U$11,J186),1)*IF(Upgrades!$T$12="Asteroid Belt",POWER(Upgrades!$U$12,K186),1))+(IF(G186=0,0,(Upgrades!$J$8+G186*Upgrades!$K$8)*POWER(Upgrades!$L$8,G186)))*(IF(Upgrades!$T$6="Stellar Coupling",POWER(Upgrades!$U$6,E186),1)*IF(Upgrades!$T$7="Stellar Coupling",POWER(Upgrades!$U$7,F186),1)*IF(Upgrades!$T$9="Stellar Coupling",POWER(Upgrades!$U$9,H186),1)*IF(Upgrades!$T$10="Stellar Coupling",POWER(Upgrades!$U$10,I186),1)*IF(Upgrades!$T$11="Stellar Coupling",POWER(Upgrades!$U$11,J186),1)*IF(Upgrades!$T$12="Stellar Coupling",POWER(Upgrades!$U$12,K186),1))+(IF(H186=0,0,(Upgrades!$J$9+H186*Upgrades!$K$9)*POWER(Upgrades!$L$9,H186)))*(IF(Upgrades!$T$6="Magnetosphere",POWER(Upgrades!$U$6,E186),1)*IF(Upgrades!$T$7="Magnetosphere",POWER(Upgrades!$U$7,F186),1)*IF(Upgrades!$T$8="Magnetosphere",POWER(Upgrades!$U$8,G186),1)*IF(Upgrades!$T$10="Magnetosphere",POWER(Upgrades!$U$10,I186),1)*IF(Upgrades!$T$11="Magnetosphere",POWER(Upgrades!$U$11,J186),1)*IF(Upgrades!$T$12="Magnetosphere",POWER(Upgrades!$U$12,K186),1))+(IF(I186=0,0,(Upgrades!$J$10+I186*Upgrades!$K$10)*POWER(Upgrades!$L$10,I186)))*(IF(Upgrades!$T$6="Orbital Resonance",POWER(Upgrades!$U$6,E186),1)*IF(Upgrades!$T$7="Orbital Resonance",POWER(Upgrades!$U$7,F186),1)*IF(Upgrades!$T$8="Orbital Resonance",POWER(Upgrades!$U$8,G186),1)*IF(Upgrades!$T$9="Orbital Resonance",POWER(Upgrades!$U$9,H186),1)*IF(Upgrades!$T$11="Orbital Resonance",POWER(Upgrades!$U$11,J186),1)*IF(Upgrades!$T$12="Orbital Resonance",POWER(Upgrades!$U$12,K186),1))+(IF(J186=0,0,(Upgrades!$J$11+J186*Upgrades!$K$11)*POWER(Upgrades!$L$11,J186)))*(IF(Upgrades!$T$6="Heliopause",POWER(Upgrades!$U$6,E186),1)*IF(Upgrades!$T$7="Heliopause",POWER(Upgrades!$U$7,F186),1)*IF(Upgrades!$T$8="Heliopause",POWER(Upgrades!$U$8,G186),1)*IF(Upgrades!$T$9="Heliopause",POWER(Upgrades!$U$9,H186),1)*IF(Upgrades!$T$10="Heliopause",POWER(Upgrades!$U$10,I186),1)*IF(Upgrades!$T$12="Heliopause",POWER(Upgrades!$U$12,K186),1))+(IF(K186=0,0,(Upgrades!$J$12+K186*Upgrades!$K$12)*POWER(Upgrades!$L$12,K186)))*(IF(Upgrades!$T$6="First Photons",POWER(Upgrades!$U$6,E186),1)*IF(Upgrades!$T$7="First Photons",POWER(Upgrades!$U$7,F186),1)*IF(Upgrades!$T$8="First Photons",POWER(Upgrades!$U$8,G186),1)*IF(Upgrades!$T$9="First Photons",POWER(Upgrades!$U$9,H186),1)*IF(Upgrades!$T$10="First Photons",POWER(Upgrades!$U$10,I186),1)*IF(Upgrades!$T$11="First Photons",POWER(Upgrades!$U$11,J186),1)))*POWER(Upgrades!$Q$6,E186)*POWER(Upgrades!$Q$7,F186)*POWER(Upgrades!$Q$8,G186)*POWER(Upgrades!$Q$9,H186)*POWER(Upgrades!$Q$10,I186)*POWER(Upgrades!$Q$11,J186)*POWER(Upgrades!$Q$12,K186)</f>
        <v>5.61</v>
      </c>
      <c r="N186" s="28" t="n">
        <f aca="false">((IF(E186=0,0,(Upgrades!$G$6+E186*Upgrades!$H$6)*POWER(Upgrades!$I$6,E186)))*(IF(Upgrades!$T$7="Solar Wind",POWER(Upgrades!$U$7,F186),1)*IF(Upgrades!$T$8="Solar Wind",POWER(Upgrades!$U$8,G186),1)*IF(Upgrades!$T$9="Solar Wind",POWER(Upgrades!$U$9,H186),1)*IF(Upgrades!$T$10="Solar Wind",POWER(Upgrades!$U$10,I186),1)*IF(Upgrades!$T$11="Solar Wind",POWER(Upgrades!$U$11,J186),1)*IF(Upgrades!$T$12="Solar Wind",POWER(Upgrades!$U$12,K186),1))+(IF(F186=0,0,(Upgrades!$G$7+F186*Upgrades!$H$7)*POWER(Upgrades!$I$7,F186)))*(IF(Upgrades!$T$6="Asteroid Belt",POWER(Upgrades!$U$6,E186),1)*IF(Upgrades!$T$8="Asteroid Belt",POWER(Upgrades!$U$8,G186),1)*IF(Upgrades!$T$9="Asteroid Belt",POWER(Upgrades!$U$9,H186),1)*IF(Upgrades!$T$10="Asteroid Belt",POWER(Upgrades!$U$10,I186),1)*IF(Upgrades!$T$11="Asteroid Belt",POWER(Upgrades!$U$11,J186),1)*IF(Upgrades!$T$12="Asteroid Belt",POWER(Upgrades!$U$12,K186),1))+(IF(G186=0,0,(Upgrades!$G$8+G186*Upgrades!$H$8)*POWER(Upgrades!$I$8,G186)))*(IF(Upgrades!$T$6="Stellar Coupling",POWER(Upgrades!$U$6,E186),1)*IF(Upgrades!$T$7="Stellar Coupling",POWER(Upgrades!$U$7,F186),1)*IF(Upgrades!$T$9="Stellar Coupling",POWER(Upgrades!$U$9,H186),1)*IF(Upgrades!$T$10="Stellar Coupling",POWER(Upgrades!$U$10,I186),1)*IF(Upgrades!$T$11="Stellar Coupling",POWER(Upgrades!$U$11,J186),1)*IF(Upgrades!$T$12="Stellar Coupling",POWER(Upgrades!$U$12,K186),1))+(IF(H186=0,0,(Upgrades!$G$9+H186*Upgrades!$H$9)*POWER(Upgrades!$I$9,H186)))*(IF(Upgrades!$T$6="Magnetosphere",POWER(Upgrades!$U$6,E186),1)*IF(Upgrades!$T$7="Magnetosphere",POWER(Upgrades!$U$7,F186),1)*IF(Upgrades!$T$8="Magnetosphere",POWER(Upgrades!$U$8,G186),1)*IF(Upgrades!$T$10="Magnetosphere",POWER(Upgrades!$U$10,I186),1)*IF(Upgrades!$T$11="Magnetosphere",POWER(Upgrades!$U$11,J186),1)*IF(Upgrades!$T$12="Magnetosphere",POWER(Upgrades!$U$12,K186),1))+(IF(I186=0,0,(Upgrades!$G$10+I186*Upgrades!$H$10)*POWER(Upgrades!$I$10,I186)))*(IF(Upgrades!$T$6="Orbital Resonance",POWER(Upgrades!$U$6,E186),1)*IF(Upgrades!$T$7="Orbital Resonance",POWER(Upgrades!$U$7,F186),1)*IF(Upgrades!$T$8="Orbital Resonance",POWER(Upgrades!$U$8,G186),1)*IF(Upgrades!$T$9="Orbital Resonance",POWER(Upgrades!$U$9,H186),1)*IF(Upgrades!$T$11="Orbital Resonance",POWER(Upgrades!$U$11,J186),1)*IF(Upgrades!$T$12="Orbital Resonance",POWER(Upgrades!$U$12,K186),1))+(IF(J186=0,0,(Upgrades!$G$11+J186*Upgrades!$H$11)*POWER(Upgrades!$I$11,J186)))*(IF(Upgrades!$T$6="Heliopause",POWER(Upgrades!$U$6,E186),1)*IF(Upgrades!$T$7="Heliopause",POWER(Upgrades!$U$7,F186),1)*IF(Upgrades!$T$8="Heliopause",POWER(Upgrades!$U$8,G186),1)*IF(Upgrades!$T$9="Heliopause",POWER(Upgrades!$U$9,H186),1)*IF(Upgrades!$T$10="Heliopause",POWER(Upgrades!$U$10,I186),1)*IF(Upgrades!$T$12="Heliopause",POWER(Upgrades!$U$12,K186),1))+(IF(K186=0,0,(Upgrades!$G$12+K186*Upgrades!$H$12)*POWER(Upgrades!$I$12,K186)))*(IF(Upgrades!$T$6="First Photons",POWER(Upgrades!$U$6,E186),1)*IF(Upgrades!$T$7="First Photons",POWER(Upgrades!$U$7,F186),1)*IF(Upgrades!$T$8="First Photons",POWER(Upgrades!$U$8,G186),1)*IF(Upgrades!$T$9="First Photons",POWER(Upgrades!$U$9,H186),1)*IF(Upgrades!$T$10="First Photons",POWER(Upgrades!$U$10,I186),1)*IF(Upgrades!$T$11="First Photons",POWER(Upgrades!$U$11,J186),1)))*POWER(Upgrades!$P$6,E186)*POWER(Upgrades!$P$7,F186)*POWER(Upgrades!$P$8,G186)*POWER(Upgrades!$P$9,H186)*POWER(Upgrades!$P$10,I186)*POWER(Upgrades!$P$11,J186)*POWER(Upgrades!$P$12,K186)</f>
        <v>11.2</v>
      </c>
      <c r="O186" s="28" t="n">
        <f aca="false">((IF(E186=0,0,(Upgrades!$M$6+E186*Upgrades!$N$6)*POWER(Upgrades!$O$6,E186)))*(IF(Upgrades!$T$7="Solar Wind",POWER(Upgrades!$U$7,F186),1)*IF(Upgrades!$T$8="Solar Wind",POWER(Upgrades!$U$8,G186),1)*IF(Upgrades!$T$9="Solar Wind",POWER(Upgrades!$U$9,H186),1)*IF(Upgrades!$T$10="Solar Wind",POWER(Upgrades!$U$10,I186),1)*IF(Upgrades!$T$11="Solar Wind",POWER(Upgrades!$U$11,J186),1)*IF(Upgrades!$T$12="Solar Wind",POWER(Upgrades!$U$12,K186),1))+(IF(F186=0,0,(Upgrades!$M$7+F186*Upgrades!$N$7)*POWER(Upgrades!$O$7,F186)))*(IF(Upgrades!$T$6="Asteroid Belt",POWER(Upgrades!$U$6,E186),1)*IF(Upgrades!$T$8="Asteroid Belt",POWER(Upgrades!$U$8,G186),1)*IF(Upgrades!$T$9="Asteroid Belt",POWER(Upgrades!$U$9,H186),1)*IF(Upgrades!$T$10="Asteroid Belt",POWER(Upgrades!$U$10,I186),1)*IF(Upgrades!$T$11="Asteroid Belt",POWER(Upgrades!$U$11,J186),1)*IF(Upgrades!$T$12="Asteroid Belt",POWER(Upgrades!$U$12,K186),1))+(IF(G186=0,0,(Upgrades!$M$8+G186*Upgrades!$N$8)*POWER(Upgrades!$O$8,G186)))*(IF(Upgrades!$T$6="Stellar Coupling",POWER(Upgrades!$U$6,E186),1)*IF(Upgrades!$T$7="Stellar Coupling",POWER(Upgrades!$U$7,F186),1)*IF(Upgrades!$T$9="Stellar Coupling",POWER(Upgrades!$U$9,H186),1)*IF(Upgrades!$T$10="Stellar Coupling",POWER(Upgrades!$U$10,I186),1)*IF(Upgrades!$T$11="Stellar Coupling",POWER(Upgrades!$U$11,J186),1)*IF(Upgrades!$T$12="Stellar Coupling",POWER(Upgrades!$U$12,K186),1))+(IF(H186=0,0,(Upgrades!$M$9+H186*Upgrades!$N$9)*POWER(Upgrades!$O$9,H186)))*(IF(Upgrades!$T$6="Magnetosphere",POWER(Upgrades!$U$6,E186),1)*IF(Upgrades!$T$7="Magnetosphere",POWER(Upgrades!$U$7,F186),1)*IF(Upgrades!$T$8="Magnetosphere",POWER(Upgrades!$U$8,G186),1)*IF(Upgrades!$T$10="Magnetosphere",POWER(Upgrades!$U$10,I186),1)*IF(Upgrades!$T$11="Magnetosphere",POWER(Upgrades!$U$11,J186),1)*IF(Upgrades!$T$12="Magnetosphere",POWER(Upgrades!$U$12,K186),1))+(IF(I186=0,0,(Upgrades!$M$10+I186*Upgrades!$N$10)*POWER(Upgrades!$O$10,I186)))*(IF(Upgrades!$T$6="Orbital Resonance",POWER(Upgrades!$U$6,E186),1)*IF(Upgrades!$T$7="Orbital Resonance",POWER(Upgrades!$U$7,F186),1)*IF(Upgrades!$T$8="Orbital Resonance",POWER(Upgrades!$U$8,G186),1)*IF(Upgrades!$T$9="Orbital Resonance",POWER(Upgrades!$U$9,H186),1)*IF(Upgrades!$T$11="Orbital Resonance",POWER(Upgrades!$U$11,J186),1)*IF(Upgrades!$T$12="Orbital Resonance",POWER(Upgrades!$U$12,K186),1))+(IF(J186=0,0,(Upgrades!$M$11+J186*Upgrades!$N$11)*POWER(Upgrades!$O$11,J186)))*(IF(Upgrades!$T$6="Heliopause",POWER(Upgrades!$U$6,E186),1)*IF(Upgrades!$T$7="Heliopause",POWER(Upgrades!$U$7,F186),1)*IF(Upgrades!$T$8="Heliopause",POWER(Upgrades!$U$8,G186),1)*IF(Upgrades!$T$9="Heliopause",POWER(Upgrades!$U$9,H186),1)*IF(Upgrades!$T$10="Heliopause",POWER(Upgrades!$U$10,I186),1)*IF(Upgrades!$T$12="Heliopause",POWER(Upgrades!$U$12,K186),1))+(IF(K186=0,0,(Upgrades!$M$12+K186*Upgrades!$N$12)*POWER(Upgrades!$O$12,K186)))*(IF(Upgrades!$T$6="First Photons",POWER(Upgrades!$U$6,E186),1)*IF(Upgrades!$T$7="First Photons",POWER(Upgrades!$U$7,F186),1)*IF(Upgrades!$T$8="First Photons",POWER(Upgrades!$U$8,G186),1)*IF(Upgrades!$T$9="First Photons",POWER(Upgrades!$U$9,H186),1)*IF(Upgrades!$T$10="First Photons",POWER(Upgrades!$U$10,I186),1)*IF(Upgrades!$T$11="First Photons",POWER(Upgrades!$U$11,J186),1)))*POWER(Upgrades!$R$6,E186)*POWER(Upgrades!$R$7,F186)*POWER(Upgrades!$R$8,G186)*POWER(Upgrades!$R$9,H186)*POWER(Upgrades!$R$10,I186)*POWER(Upgrades!$R$11,J186)*POWER(Upgrades!$R$12,K186)</f>
        <v>0</v>
      </c>
      <c r="P186" s="27" t="n">
        <f aca="false">IF(L186=1,0,M186*Parameters!$B$10/60*Parameters!$B$11*10)</f>
        <v>0</v>
      </c>
      <c r="Q186" s="27" t="n">
        <f aca="false">IF(L186=1,0,O186*M186*10)</f>
        <v>0</v>
      </c>
      <c r="R186" s="27" t="n">
        <f aca="false">IF(L186=1,0,N186*10)</f>
        <v>0</v>
      </c>
      <c r="S186" s="27" t="n">
        <f aca="false">P186+Q186+R186</f>
        <v>0</v>
      </c>
      <c r="T186" s="21" t="n">
        <f aca="false">C186+S186</f>
        <v>18.6730249835055</v>
      </c>
      <c r="U186" s="34" t="str">
        <f aca="false">AX186</f>
        <v/>
      </c>
      <c r="V186" s="21" t="n">
        <f aca="false">IF(U186="",0,IF(U186="transition",0,IF(U186="SW",AG186,IF(U186="AB",AH186,IF(U186="SC",AI186,IF(U186="Mag",AJ186,IF(U186="OR",AK186,IF(U186="HP",AL186,IF(U186="FP",AM186,0)))))))))</f>
        <v>0</v>
      </c>
      <c r="W186" s="27" t="n">
        <f aca="false">IF(U186="OR",Upgrades!$F$10,IF(U186="HP",Upgrades!$F$11,IF(U186="transition",-Parameters!$B$18,0)))</f>
        <v>0</v>
      </c>
      <c r="X186" s="21" t="n">
        <f aca="false">T186-V186</f>
        <v>18.6730249835055</v>
      </c>
      <c r="Y186" s="30" t="n">
        <f aca="false">M186*Parameters!$B$10/60*Parameters!$B$11+O186*M186+N186</f>
        <v>20.55</v>
      </c>
      <c r="Z186" s="35" t="str">
        <f aca="false">IF(U186="transition","→ Tier 2 (Stellar Neighborhood)",IF(U186="FP","First Photons — light begins, system quickens",IF(U186="HP","Heliopause acquired",IF(U186="OR","Orbital Resonance — passive multiplier active",IF(AND(AO186=1,L186=0,AN186&lt;&gt;1),"Cohesion ready (waiting on completionist upgrades)","")))))</f>
        <v/>
      </c>
      <c r="AA186" s="27" t="n">
        <f aca="false">(IF(E186=0,0,(Upgrades!$G$6+E186*Upgrades!$H$6)*POWER(Upgrades!$I$6,E186)))*(IF(Upgrades!$T$7="Solar Wind",POWER(Upgrades!$U$7,F186),1)*IF(Upgrades!$T$8="Solar Wind",POWER(Upgrades!$U$8,G186),1)*IF(Upgrades!$T$9="Solar Wind",POWER(Upgrades!$U$9,H186),1)*IF(Upgrades!$T$10="Solar Wind",POWER(Upgrades!$U$10,I186),1)*IF(Upgrades!$T$11="Solar Wind",POWER(Upgrades!$U$11,J186),1)*IF(Upgrades!$T$12="Solar Wind",POWER(Upgrades!$U$12,K186),1))*POWER(Upgrades!$P$6,E186)*POWER(Upgrades!$P$7,F186)*POWER(Upgrades!$P$8,G186)*POWER(Upgrades!$P$9,H186)*POWER(Upgrades!$P$10,I186)*POWER(Upgrades!$P$11,J186)*POWER(Upgrades!$P$12,K186)*60</f>
        <v>72</v>
      </c>
      <c r="AB186" s="27" t="n">
        <f aca="false">(IF(F186=0,0,(Upgrades!$G$7+F186*Upgrades!$H$7)*POWER(Upgrades!$I$7,F186)))*(IF(Upgrades!$T$6="Asteroid Belt",POWER(Upgrades!$U$6,E186),1)*IF(Upgrades!$T$8="Asteroid Belt",POWER(Upgrades!$U$8,G186),1)*IF(Upgrades!$T$9="Asteroid Belt",POWER(Upgrades!$U$9,H186),1)*IF(Upgrades!$T$10="Asteroid Belt",POWER(Upgrades!$U$10,I186),1)*IF(Upgrades!$T$11="Asteroid Belt",POWER(Upgrades!$U$11,J186),1)*IF(Upgrades!$T$12="Asteroid Belt",POWER(Upgrades!$U$12,K186),1))*POWER(Upgrades!$P$6,E186)*POWER(Upgrades!$P$7,F186)*POWER(Upgrades!$P$8,G186)*POWER(Upgrades!$P$9,H186)*POWER(Upgrades!$P$10,I186)*POWER(Upgrades!$P$11,J186)*POWER(Upgrades!$P$12,K186)*60</f>
        <v>150</v>
      </c>
      <c r="AC186" s="27" t="n">
        <f aca="false">(IF(G186=0,0,(Upgrades!$J$8+G186*Upgrades!$K$8)*POWER(Upgrades!$L$8,G186)))*(IF(Upgrades!$T$6="Stellar Coupling",POWER(Upgrades!$U$6,E186),1)*IF(Upgrades!$T$7="Stellar Coupling",POWER(Upgrades!$U$7,F186),1)*IF(Upgrades!$T$9="Stellar Coupling",POWER(Upgrades!$U$9,H186),1)*IF(Upgrades!$T$10="Stellar Coupling",POWER(Upgrades!$U$10,I186),1)*IF(Upgrades!$T$11="Stellar Coupling",POWER(Upgrades!$U$11,J186),1)*IF(Upgrades!$T$12="Stellar Coupling",POWER(Upgrades!$U$12,K186),1))*POWER(Upgrades!$Q$6,E186)*POWER(Upgrades!$Q$7,F186)*POWER(Upgrades!$Q$8,G186)*POWER(Upgrades!$Q$9,H186)*POWER(Upgrades!$Q$10,I186)*POWER(Upgrades!$Q$11,J186)*POWER(Upgrades!$Q$12,K186)*Parameters!$B$10*Parameters!$B$11</f>
        <v>441</v>
      </c>
      <c r="AD186" s="27" t="n">
        <f aca="false">(IF(H186=0,0,(Upgrades!$G$9+H186*Upgrades!$H$9)*POWER(Upgrades!$I$9,H186)))*(IF(Upgrades!$T$6="Magnetosphere",POWER(Upgrades!$U$6,E186),1)*IF(Upgrades!$T$7="Magnetosphere",POWER(Upgrades!$U$7,F186),1)*IF(Upgrades!$T$8="Magnetosphere",POWER(Upgrades!$U$8,G186),1)*IF(Upgrades!$T$10="Magnetosphere",POWER(Upgrades!$U$10,I186),1)*IF(Upgrades!$T$11="Magnetosphere",POWER(Upgrades!$U$11,J186),1)*IF(Upgrades!$T$12="Magnetosphere",POWER(Upgrades!$U$12,K186),1))*POWER(Upgrades!$P$6,E186)*POWER(Upgrades!$P$7,F186)*POWER(Upgrades!$P$8,G186)*POWER(Upgrades!$P$9,H186)*POWER(Upgrades!$P$10,I186)*POWER(Upgrades!$P$11,J186)*POWER(Upgrades!$P$12,K186)*60</f>
        <v>375</v>
      </c>
      <c r="AE186" s="27" t="n">
        <f aca="false">(IF(K186=0,0,(Upgrades!$G$12+K186*Upgrades!$H$12)*POWER(Upgrades!$I$12,K186)))*(IF(Upgrades!$T$6="First Photons",POWER(Upgrades!$U$6,E186),1)*IF(Upgrades!$T$7="First Photons",POWER(Upgrades!$U$7,F186),1)*IF(Upgrades!$T$8="First Photons",POWER(Upgrades!$U$8,G186),1)*IF(Upgrades!$T$9="First Photons",POWER(Upgrades!$U$9,H186),1)*IF(Upgrades!$T$10="First Photons",POWER(Upgrades!$U$10,I186),1)*IF(Upgrades!$T$11="First Photons",POWER(Upgrades!$U$11,J186),1))*POWER(Upgrades!$P$6,E186)*POWER(Upgrades!$P$7,F186)*POWER(Upgrades!$P$8,G186)*POWER(Upgrades!$P$9,H186)*POWER(Upgrades!$P$10,I186)*POWER(Upgrades!$P$11,J186)*POWER(Upgrades!$P$12,K186)*60</f>
        <v>75</v>
      </c>
      <c r="AF186" s="27" t="n">
        <f aca="false">Parameters!$B$9*POWER(Upgrades!$Q$6,E186)*POWER(Upgrades!$Q$7,F186)*POWER(Upgrades!$Q$8,G186)*POWER(Upgrades!$Q$9,H186)*POWER(Upgrades!$Q$10,I186)*POWER(Upgrades!$Q$11,J186)*POWER(Upgrades!$Q$12,K186)*(Parameters!$B$10*Parameters!$B$11+O186*60)</f>
        <v>120</v>
      </c>
      <c r="AG186" s="21" t="n">
        <f aca="false">IF(E186&gt;=Upgrades!$E$6,"",Upgrades!$C$6*POWER(Upgrades!$D$6,E186))</f>
        <v>37.4517507383159</v>
      </c>
      <c r="AH186" s="21" t="n">
        <f aca="false">IF(F186&gt;=Upgrades!$E$7,"",Upgrades!$C$7*POWER(Upgrades!$D$7,F186))</f>
        <v>80.9111547141581</v>
      </c>
      <c r="AI186" s="21" t="n">
        <f aca="false">IF(G186&gt;=Upgrades!$E$8,"",Upgrades!$C$8*POWER(Upgrades!$D$8,G186))</f>
        <v>231.9097088</v>
      </c>
      <c r="AJ186" s="21" t="str">
        <f aca="false">IF(H186&gt;=Upgrades!$E$9,"",Upgrades!$C$9*POWER(Upgrades!$D$9,H186))</f>
        <v/>
      </c>
      <c r="AK186" s="21" t="str">
        <f aca="false">IF(I186&gt;=Upgrades!$E$10,"",Upgrades!$C$10*POWER(Upgrades!$D$10,I186))</f>
        <v/>
      </c>
      <c r="AL186" s="21" t="str">
        <f aca="false">IF(J186&gt;=Upgrades!$E$11,"",Upgrades!$C$11*POWER(Upgrades!$D$11,J186))</f>
        <v/>
      </c>
      <c r="AM186" s="21" t="str">
        <f aca="false">IF(K186&gt;=Upgrades!$E$12,"",Upgrades!$C$12*POWER(Upgrades!$D$12,K186))</f>
        <v/>
      </c>
      <c r="AN186" s="26" t="str">
        <f aca="false">IF(AND(D186&gt;=Parameters!$B$18,(H186&gt;=Upgrades!$E$9)*(K186&gt;=Upgrades!$E$12)=1,L186=0),1,"")</f>
        <v/>
      </c>
      <c r="AO186" s="26" t="str">
        <f aca="false">IF(AND(D186&gt;=Parameters!$B$18,L186=0),1,"")</f>
        <v/>
      </c>
      <c r="AP186" s="21" t="n">
        <f aca="false">MIN(IF(ISNUMBER(AK186),AK186,9000000000000000),IF(ISNUMBER(AL186),AL186,9000000000000000),IF(ISNUMBER(AM186),AM186,9000000000000000))</f>
        <v>9000000000000000</v>
      </c>
      <c r="AQ186" s="21" t="n">
        <f aca="false">MIN(IF(ISNUMBER(AG186),AG186,9000000000000000),IF(ISNUMBER(AH186),AH186,9000000000000000),IF(ISNUMBER(AI186),AI186,9000000000000000),IF(ISNUMBER(AJ186),AJ186,9000000000000000))</f>
        <v>37.4517507383159</v>
      </c>
      <c r="AR186" s="32" t="b">
        <f aca="false">IF(AW186&gt;Parameters!$B$21*(MAX(IF(AND(NOT(AND(AO186=1,AN186&lt;&gt;1)),ISNUMBER(AG186),AG186&lt;=T186),AS186,0),IF(AND(NOT(AND(AO186=1,AN186&lt;&gt;1)),ISNUMBER(AH186),AH186&lt;=T186),AT186,0),IF(AND(NOT(AND(AO186=1,AN186&lt;&gt;1)),ISNUMBER(AI186),AI186&lt;=T186),AU186,0),IF(AND(ISNUMBER(AJ186),AJ186&lt;=T186),AV186,0))),TRUE(),FALSE())</f>
        <v>1</v>
      </c>
      <c r="AS186" s="33" t="n">
        <f aca="false">IFERROR(Upgrades!$H$6*(POWER(Upgrades!$P$6,E186)*POWER(Upgrades!$P$7,F186)*POWER(Upgrades!$P$8,G186)*POWER(Upgrades!$P$9,H186)*POWER(Upgrades!$P$10,I186)*POWER(Upgrades!$P$11,J186)*POWER(Upgrades!$P$12,K186))*(IF(Upgrades!$T$7="Solar Wind",POWER(Upgrades!$U$7,F186),1)*IF(Upgrades!$T$8="Solar Wind",POWER(Upgrades!$U$8,G186),1)*IF(Upgrades!$T$9="Solar Wind",POWER(Upgrades!$U$9,H186),1)*IF(Upgrades!$T$10="Solar Wind",POWER(Upgrades!$U$10,I186),1)*IF(Upgrades!$T$11="Solar Wind",POWER(Upgrades!$U$11,J186),1)*IF(Upgrades!$T$12="Solar Wind",POWER(Upgrades!$U$12,K186),1))/AG186,0)</f>
        <v>0.0026701021455238</v>
      </c>
      <c r="AT186" s="33" t="n">
        <f aca="false">IFERROR(Upgrades!$H$7*(POWER(Upgrades!$P$6,E186)*POWER(Upgrades!$P$7,F186)*POWER(Upgrades!$P$8,G186)*POWER(Upgrades!$P$9,H186)*POWER(Upgrades!$P$10,I186)*POWER(Upgrades!$P$11,J186)*POWER(Upgrades!$P$12,K186))*(IF(Upgrades!$T$6="Asteroid Belt",POWER(Upgrades!$U$6,E186),1)*IF(Upgrades!$T$8="Asteroid Belt",POWER(Upgrades!$U$8,G186),1)*IF(Upgrades!$T$9="Asteroid Belt",POWER(Upgrades!$U$9,H186),1)*IF(Upgrades!$T$10="Asteroid Belt",POWER(Upgrades!$U$10,I186),1)*IF(Upgrades!$T$11="Asteroid Belt",POWER(Upgrades!$U$11,J186),1)*IF(Upgrades!$T$12="Asteroid Belt",POWER(Upgrades!$U$12,K186),1))/AH186,0)</f>
        <v>0.00308980882652332</v>
      </c>
      <c r="AU186" s="33" t="n">
        <f aca="false">IFERROR(Upgrades!$K$8*(POWER(Upgrades!$Q$6,E186)*POWER(Upgrades!$Q$7,F186)*POWER(Upgrades!$Q$8,G186)*POWER(Upgrades!$Q$9,H186)*POWER(Upgrades!$Q$10,I186)*POWER(Upgrades!$Q$11,J186)*POWER(Upgrades!$Q$12,K186))*(IF(Upgrades!$T$6="Stellar Coupling",POWER(Upgrades!$U$6,E186),1)*IF(Upgrades!$T$7="Stellar Coupling",POWER(Upgrades!$U$7,F186),1)*IF(Upgrades!$T$9="Stellar Coupling",POWER(Upgrades!$U$9,H186),1)*IF(Upgrades!$T$10="Stellar Coupling",POWER(Upgrades!$U$10,I186),1)*IF(Upgrades!$T$11="Stellar Coupling",POWER(Upgrades!$U$11,J186),1)*IF(Upgrades!$T$12="Stellar Coupling",POWER(Upgrades!$U$12,K186),1))*Parameters!$B$10*Parameters!$B$11/60/AI186,0)</f>
        <v>0.00452762415783776</v>
      </c>
      <c r="AV186" s="33" t="n">
        <f aca="false">IFERROR(Upgrades!$H$9*(POWER(Upgrades!$P$6,E186)*POWER(Upgrades!$P$7,F186)*POWER(Upgrades!$P$8,G186)*POWER(Upgrades!$P$9,H186)*POWER(Upgrades!$P$10,I186)*POWER(Upgrades!$P$11,J186)*POWER(Upgrades!$P$12,K186))*(IF(Upgrades!$T$6="Magnetosphere",POWER(Upgrades!$U$6,E186),1)*IF(Upgrades!$T$7="Magnetosphere",POWER(Upgrades!$U$7,F186),1)*IF(Upgrades!$T$8="Magnetosphere",POWER(Upgrades!$U$8,G186),1)*IF(Upgrades!$T$10="Magnetosphere",POWER(Upgrades!$U$10,I186),1)*IF(Upgrades!$T$11="Magnetosphere",POWER(Upgrades!$U$11,J186),1)*IF(Upgrades!$T$12="Magnetosphere",POWER(Upgrades!$U$12,K186),1))/AJ186,0)</f>
        <v>0</v>
      </c>
      <c r="AW186" s="33" t="n">
        <f aca="false">MAX(IF(I186&gt;0,0,IFERROR(0.25*N186/Upgrades!$C$10,0)),IF(J186&gt;0,0,IFERROR(0.5*((IF(G186=0,0,(Upgrades!$J$8+G186*Upgrades!$K$8)*POWER(Upgrades!$L$8,G186)))*(IF(Upgrades!$T$6="Stellar Coupling",POWER(Upgrades!$U$6,E186),1)*IF(Upgrades!$T$7="Stellar Coupling",POWER(Upgrades!$U$7,F186),1)*IF(Upgrades!$T$9="Stellar Coupling",POWER(Upgrades!$U$9,H186),1)*IF(Upgrades!$T$10="Stellar Coupling",POWER(Upgrades!$U$10,I186),1)*IF(Upgrades!$T$11="Stellar Coupling",POWER(Upgrades!$U$11,J186),1)*IF(Upgrades!$T$12="Stellar Coupling",POWER(Upgrades!$U$12,K186),1))*(POWER(Upgrades!$Q$6,E186)*POWER(Upgrades!$Q$7,F186)*POWER(Upgrades!$Q$8,G186)*POWER(Upgrades!$Q$9,H186)*POWER(Upgrades!$Q$10,I186)*POWER(Upgrades!$Q$11,J186)*POWER(Upgrades!$Q$12,K186))*Parameters!$B$10*Parameters!$B$11/60)/Upgrades!$C$11,0)),IF(K186&gt;0,0,IFERROR((1*(POWER(Upgrades!$P$6,E186)*POWER(Upgrades!$P$7,F186)*POWER(Upgrades!$P$8,G186)*POWER(Upgrades!$P$9,H186)*POWER(Upgrades!$P$10,I186)*POWER(Upgrades!$P$11,J186)*POWER(Upgrades!$P$12,K186))+0.2*M186*Parameters!$B$10*Parameters!$B$11/60)/Upgrades!$C$12,0)),IF(AND(ISNUMBER(AG186),AG186&gt;T186),AS186,0),IF(AND(ISNUMBER(AH186),AH186&gt;T186),AT186,0),IF(AND(ISNUMBER(AI186),AI186&gt;T186),AU186,0),IF(AND(ISNUMBER(AJ186),AJ186&gt;T186),AV186,0))</f>
        <v>0.00452762415783776</v>
      </c>
      <c r="AX186" s="29" t="str">
        <f aca="false">IF(AN186=1,"transition",IF(MIN(IF(AND(I186=0,ISNUMBER(AK186),AK186&lt;=T186),AK186,9000000000000000),IF(AND(J186=0,ISNUMBER(AL186),AL186&lt;=T186),AL186,9000000000000000),IF(AND(K186=0,ISNUMBER(AM186),AM186&lt;=T186),AM186,9000000000000000))&lt;9000000000000000,IF(AND(AND(I186=0,ISNUMBER(AK186),AK186&lt;=T186),AK186=MIN(IF(AND(I186=0,ISNUMBER(AK186),AK186&lt;=T186),AK186,9000000000000000),IF(AND(J186=0,ISNUMBER(AL186),AL186&lt;=T186),AL186,9000000000000000),IF(AND(K186=0,ISNUMBER(AM186),AM186&lt;=T186),AM186,9000000000000000))),"OR",IF(AND(AND(J186=0,ISNUMBER(AL186),AL186&lt;=T186),AL186=MIN(IF(AND(I186=0,ISNUMBER(AK186),AK186&lt;=T186),AK186,9000000000000000),IF(AND(J186=0,ISNUMBER(AL186),AL186&lt;=T186),AL186,9000000000000000),IF(AND(K186=0,ISNUMBER(AM186),AM186&lt;=T186),AM186,9000000000000000))),"HP","FP")),IF(AR186=TRUE(),"",IF(MAX(IF(AND(NOT(AND(AO186=1,AN186&lt;&gt;1)),ISNUMBER(AG186),AG186&lt;=T186),AS186,0),IF(AND(NOT(AND(AO186=1,AN186&lt;&gt;1)),ISNUMBER(AH186),AH186&lt;=T186),AT186,0),IF(AND(NOT(AND(AO186=1,AN186&lt;&gt;1)),ISNUMBER(AI186),AI186&lt;=T186),AU186,0),IF(AND(ISNUMBER(AJ186),AJ186&lt;=T186),AV186,0))&lt;=0,"",IF(AND(IF(AND(NOT(AND(AO186=1,AN186&lt;&gt;1)),ISNUMBER(AG186),AG186&lt;=T186),AS186,0)&gt;0,IF(AND(NOT(AND(AO186=1,AN186&lt;&gt;1)),ISNUMBER(AG186),AG186&lt;=T186),AS186,0)=MAX(IF(AND(NOT(AND(AO186=1,AN186&lt;&gt;1)),ISNUMBER(AG186),AG186&lt;=T186),AS186,0),IF(AND(NOT(AND(AO186=1,AN186&lt;&gt;1)),ISNUMBER(AH186),AH186&lt;=T186),AT186,0),IF(AND(NOT(AND(AO186=1,AN186&lt;&gt;1)),ISNUMBER(AI186),AI186&lt;=T186),AU186,0),IF(AND(ISNUMBER(AJ186),AJ186&lt;=T186),AV186,0))),"SW",IF(AND(IF(AND(NOT(AND(AO186=1,AN186&lt;&gt;1)),ISNUMBER(AH186),AH186&lt;=T186),AT186,0)&gt;0,IF(AND(NOT(AND(AO186=1,AN186&lt;&gt;1)),ISNUMBER(AH186),AH186&lt;=T186),AT186,0)=MAX(IF(AND(NOT(AND(AO186=1,AN186&lt;&gt;1)),ISNUMBER(AG186),AG186&lt;=T186),AS186,0),IF(AND(NOT(AND(AO186=1,AN186&lt;&gt;1)),ISNUMBER(AH186),AH186&lt;=T186),AT186,0),IF(AND(NOT(AND(AO186=1,AN186&lt;&gt;1)),ISNUMBER(AI186),AI186&lt;=T186),AU186,0),IF(AND(ISNUMBER(AJ186),AJ186&lt;=T186),AV186,0))),"AB",IF(AND(IF(AND(NOT(AND(AO186=1,AN186&lt;&gt;1)),ISNUMBER(AI186),AI186&lt;=T186),AU186,0)&gt;0,IF(AND(NOT(AND(AO186=1,AN186&lt;&gt;1)),ISNUMBER(AI186),AI186&lt;=T186),AU186,0)=MAX(IF(AND(NOT(AND(AO186=1,AN186&lt;&gt;1)),ISNUMBER(AG186),AG186&lt;=T186),AS186,0),IF(AND(NOT(AND(AO186=1,AN186&lt;&gt;1)),ISNUMBER(AH186),AH186&lt;=T186),AT186,0),IF(AND(NOT(AND(AO186=1,AN186&lt;&gt;1)),ISNUMBER(AI186),AI186&lt;=T186),AU186,0),IF(AND(ISNUMBER(AJ186),AJ186&lt;=T186),AV186,0))),"SC","Mag")))))))</f>
        <v/>
      </c>
    </row>
    <row r="187" customFormat="false" ht="15" hidden="false" customHeight="false" outlineLevel="0" collapsed="false">
      <c r="A187" s="26" t="n">
        <v>182</v>
      </c>
      <c r="B187" s="27" t="n">
        <f aca="false">A187*10/60</f>
        <v>30.3333333333333</v>
      </c>
      <c r="C187" s="21" t="n">
        <f aca="false">X186</f>
        <v>18.6730249835055</v>
      </c>
      <c r="D187" s="27" t="n">
        <f aca="false">D186+W186</f>
        <v>0</v>
      </c>
      <c r="E187" s="26" t="n">
        <f aca="false">E186+IF(U186="SW",1,0)</f>
        <v>12</v>
      </c>
      <c r="F187" s="26" t="n">
        <f aca="false">F186+IF(U186="AB",1,0)</f>
        <v>10</v>
      </c>
      <c r="G187" s="26" t="n">
        <f aca="false">G186+IF(U186="SC",1,0)</f>
        <v>7</v>
      </c>
      <c r="H187" s="26" t="n">
        <f aca="false">H186+IF(U186="Mag",1,0)</f>
        <v>5</v>
      </c>
      <c r="I187" s="26" t="n">
        <f aca="false">MAX(I186,IF(U186="OR",1,0))</f>
        <v>1</v>
      </c>
      <c r="J187" s="26" t="n">
        <f aca="false">MAX(J186,IF(U186="HP",1,0))</f>
        <v>1</v>
      </c>
      <c r="K187" s="26" t="n">
        <f aca="false">MAX(K186,IF(U186="FP",1,0))</f>
        <v>1</v>
      </c>
      <c r="L187" s="26" t="n">
        <f aca="false">MAX(L186,IF(U186="transition",1,0))</f>
        <v>1</v>
      </c>
      <c r="M187" s="28" t="n">
        <f aca="false">(Parameters!$B$9+(IF(E187=0,0,(Upgrades!$J$6+E187*Upgrades!$K$6)*POWER(Upgrades!$L$6,E187)))*(IF(Upgrades!$T$7="Solar Wind",POWER(Upgrades!$U$7,F187),1)*IF(Upgrades!$T$8="Solar Wind",POWER(Upgrades!$U$8,G187),1)*IF(Upgrades!$T$9="Solar Wind",POWER(Upgrades!$U$9,H187),1)*IF(Upgrades!$T$10="Solar Wind",POWER(Upgrades!$U$10,I187),1)*IF(Upgrades!$T$11="Solar Wind",POWER(Upgrades!$U$11,J187),1)*IF(Upgrades!$T$12="Solar Wind",POWER(Upgrades!$U$12,K187),1))+(IF(F187=0,0,(Upgrades!$J$7+F187*Upgrades!$K$7)*POWER(Upgrades!$L$7,F187)))*(IF(Upgrades!$T$6="Asteroid Belt",POWER(Upgrades!$U$6,E187),1)*IF(Upgrades!$T$8="Asteroid Belt",POWER(Upgrades!$U$8,G187),1)*IF(Upgrades!$T$9="Asteroid Belt",POWER(Upgrades!$U$9,H187),1)*IF(Upgrades!$T$10="Asteroid Belt",POWER(Upgrades!$U$10,I187),1)*IF(Upgrades!$T$11="Asteroid Belt",POWER(Upgrades!$U$11,J187),1)*IF(Upgrades!$T$12="Asteroid Belt",POWER(Upgrades!$U$12,K187),1))+(IF(G187=0,0,(Upgrades!$J$8+G187*Upgrades!$K$8)*POWER(Upgrades!$L$8,G187)))*(IF(Upgrades!$T$6="Stellar Coupling",POWER(Upgrades!$U$6,E187),1)*IF(Upgrades!$T$7="Stellar Coupling",POWER(Upgrades!$U$7,F187),1)*IF(Upgrades!$T$9="Stellar Coupling",POWER(Upgrades!$U$9,H187),1)*IF(Upgrades!$T$10="Stellar Coupling",POWER(Upgrades!$U$10,I187),1)*IF(Upgrades!$T$11="Stellar Coupling",POWER(Upgrades!$U$11,J187),1)*IF(Upgrades!$T$12="Stellar Coupling",POWER(Upgrades!$U$12,K187),1))+(IF(H187=0,0,(Upgrades!$J$9+H187*Upgrades!$K$9)*POWER(Upgrades!$L$9,H187)))*(IF(Upgrades!$T$6="Magnetosphere",POWER(Upgrades!$U$6,E187),1)*IF(Upgrades!$T$7="Magnetosphere",POWER(Upgrades!$U$7,F187),1)*IF(Upgrades!$T$8="Magnetosphere",POWER(Upgrades!$U$8,G187),1)*IF(Upgrades!$T$10="Magnetosphere",POWER(Upgrades!$U$10,I187),1)*IF(Upgrades!$T$11="Magnetosphere",POWER(Upgrades!$U$11,J187),1)*IF(Upgrades!$T$12="Magnetosphere",POWER(Upgrades!$U$12,K187),1))+(IF(I187=0,0,(Upgrades!$J$10+I187*Upgrades!$K$10)*POWER(Upgrades!$L$10,I187)))*(IF(Upgrades!$T$6="Orbital Resonance",POWER(Upgrades!$U$6,E187),1)*IF(Upgrades!$T$7="Orbital Resonance",POWER(Upgrades!$U$7,F187),1)*IF(Upgrades!$T$8="Orbital Resonance",POWER(Upgrades!$U$8,G187),1)*IF(Upgrades!$T$9="Orbital Resonance",POWER(Upgrades!$U$9,H187),1)*IF(Upgrades!$T$11="Orbital Resonance",POWER(Upgrades!$U$11,J187),1)*IF(Upgrades!$T$12="Orbital Resonance",POWER(Upgrades!$U$12,K187),1))+(IF(J187=0,0,(Upgrades!$J$11+J187*Upgrades!$K$11)*POWER(Upgrades!$L$11,J187)))*(IF(Upgrades!$T$6="Heliopause",POWER(Upgrades!$U$6,E187),1)*IF(Upgrades!$T$7="Heliopause",POWER(Upgrades!$U$7,F187),1)*IF(Upgrades!$T$8="Heliopause",POWER(Upgrades!$U$8,G187),1)*IF(Upgrades!$T$9="Heliopause",POWER(Upgrades!$U$9,H187),1)*IF(Upgrades!$T$10="Heliopause",POWER(Upgrades!$U$10,I187),1)*IF(Upgrades!$T$12="Heliopause",POWER(Upgrades!$U$12,K187),1))+(IF(K187=0,0,(Upgrades!$J$12+K187*Upgrades!$K$12)*POWER(Upgrades!$L$12,K187)))*(IF(Upgrades!$T$6="First Photons",POWER(Upgrades!$U$6,E187),1)*IF(Upgrades!$T$7="First Photons",POWER(Upgrades!$U$7,F187),1)*IF(Upgrades!$T$8="First Photons",POWER(Upgrades!$U$8,G187),1)*IF(Upgrades!$T$9="First Photons",POWER(Upgrades!$U$9,H187),1)*IF(Upgrades!$T$10="First Photons",POWER(Upgrades!$U$10,I187),1)*IF(Upgrades!$T$11="First Photons",POWER(Upgrades!$U$11,J187),1)))*POWER(Upgrades!$Q$6,E187)*POWER(Upgrades!$Q$7,F187)*POWER(Upgrades!$Q$8,G187)*POWER(Upgrades!$Q$9,H187)*POWER(Upgrades!$Q$10,I187)*POWER(Upgrades!$Q$11,J187)*POWER(Upgrades!$Q$12,K187)</f>
        <v>5.61</v>
      </c>
      <c r="N187" s="28" t="n">
        <f aca="false">((IF(E187=0,0,(Upgrades!$G$6+E187*Upgrades!$H$6)*POWER(Upgrades!$I$6,E187)))*(IF(Upgrades!$T$7="Solar Wind",POWER(Upgrades!$U$7,F187),1)*IF(Upgrades!$T$8="Solar Wind",POWER(Upgrades!$U$8,G187),1)*IF(Upgrades!$T$9="Solar Wind",POWER(Upgrades!$U$9,H187),1)*IF(Upgrades!$T$10="Solar Wind",POWER(Upgrades!$U$10,I187),1)*IF(Upgrades!$T$11="Solar Wind",POWER(Upgrades!$U$11,J187),1)*IF(Upgrades!$T$12="Solar Wind",POWER(Upgrades!$U$12,K187),1))+(IF(F187=0,0,(Upgrades!$G$7+F187*Upgrades!$H$7)*POWER(Upgrades!$I$7,F187)))*(IF(Upgrades!$T$6="Asteroid Belt",POWER(Upgrades!$U$6,E187),1)*IF(Upgrades!$T$8="Asteroid Belt",POWER(Upgrades!$U$8,G187),1)*IF(Upgrades!$T$9="Asteroid Belt",POWER(Upgrades!$U$9,H187),1)*IF(Upgrades!$T$10="Asteroid Belt",POWER(Upgrades!$U$10,I187),1)*IF(Upgrades!$T$11="Asteroid Belt",POWER(Upgrades!$U$11,J187),1)*IF(Upgrades!$T$12="Asteroid Belt",POWER(Upgrades!$U$12,K187),1))+(IF(G187=0,0,(Upgrades!$G$8+G187*Upgrades!$H$8)*POWER(Upgrades!$I$8,G187)))*(IF(Upgrades!$T$6="Stellar Coupling",POWER(Upgrades!$U$6,E187),1)*IF(Upgrades!$T$7="Stellar Coupling",POWER(Upgrades!$U$7,F187),1)*IF(Upgrades!$T$9="Stellar Coupling",POWER(Upgrades!$U$9,H187),1)*IF(Upgrades!$T$10="Stellar Coupling",POWER(Upgrades!$U$10,I187),1)*IF(Upgrades!$T$11="Stellar Coupling",POWER(Upgrades!$U$11,J187),1)*IF(Upgrades!$T$12="Stellar Coupling",POWER(Upgrades!$U$12,K187),1))+(IF(H187=0,0,(Upgrades!$G$9+H187*Upgrades!$H$9)*POWER(Upgrades!$I$9,H187)))*(IF(Upgrades!$T$6="Magnetosphere",POWER(Upgrades!$U$6,E187),1)*IF(Upgrades!$T$7="Magnetosphere",POWER(Upgrades!$U$7,F187),1)*IF(Upgrades!$T$8="Magnetosphere",POWER(Upgrades!$U$8,G187),1)*IF(Upgrades!$T$10="Magnetosphere",POWER(Upgrades!$U$10,I187),1)*IF(Upgrades!$T$11="Magnetosphere",POWER(Upgrades!$U$11,J187),1)*IF(Upgrades!$T$12="Magnetosphere",POWER(Upgrades!$U$12,K187),1))+(IF(I187=0,0,(Upgrades!$G$10+I187*Upgrades!$H$10)*POWER(Upgrades!$I$10,I187)))*(IF(Upgrades!$T$6="Orbital Resonance",POWER(Upgrades!$U$6,E187),1)*IF(Upgrades!$T$7="Orbital Resonance",POWER(Upgrades!$U$7,F187),1)*IF(Upgrades!$T$8="Orbital Resonance",POWER(Upgrades!$U$8,G187),1)*IF(Upgrades!$T$9="Orbital Resonance",POWER(Upgrades!$U$9,H187),1)*IF(Upgrades!$T$11="Orbital Resonance",POWER(Upgrades!$U$11,J187),1)*IF(Upgrades!$T$12="Orbital Resonance",POWER(Upgrades!$U$12,K187),1))+(IF(J187=0,0,(Upgrades!$G$11+J187*Upgrades!$H$11)*POWER(Upgrades!$I$11,J187)))*(IF(Upgrades!$T$6="Heliopause",POWER(Upgrades!$U$6,E187),1)*IF(Upgrades!$T$7="Heliopause",POWER(Upgrades!$U$7,F187),1)*IF(Upgrades!$T$8="Heliopause",POWER(Upgrades!$U$8,G187),1)*IF(Upgrades!$T$9="Heliopause",POWER(Upgrades!$U$9,H187),1)*IF(Upgrades!$T$10="Heliopause",POWER(Upgrades!$U$10,I187),1)*IF(Upgrades!$T$12="Heliopause",POWER(Upgrades!$U$12,K187),1))+(IF(K187=0,0,(Upgrades!$G$12+K187*Upgrades!$H$12)*POWER(Upgrades!$I$12,K187)))*(IF(Upgrades!$T$6="First Photons",POWER(Upgrades!$U$6,E187),1)*IF(Upgrades!$T$7="First Photons",POWER(Upgrades!$U$7,F187),1)*IF(Upgrades!$T$8="First Photons",POWER(Upgrades!$U$8,G187),1)*IF(Upgrades!$T$9="First Photons",POWER(Upgrades!$U$9,H187),1)*IF(Upgrades!$T$10="First Photons",POWER(Upgrades!$U$10,I187),1)*IF(Upgrades!$T$11="First Photons",POWER(Upgrades!$U$11,J187),1)))*POWER(Upgrades!$P$6,E187)*POWER(Upgrades!$P$7,F187)*POWER(Upgrades!$P$8,G187)*POWER(Upgrades!$P$9,H187)*POWER(Upgrades!$P$10,I187)*POWER(Upgrades!$P$11,J187)*POWER(Upgrades!$P$12,K187)</f>
        <v>11.2</v>
      </c>
      <c r="O187" s="28" t="n">
        <f aca="false">((IF(E187=0,0,(Upgrades!$M$6+E187*Upgrades!$N$6)*POWER(Upgrades!$O$6,E187)))*(IF(Upgrades!$T$7="Solar Wind",POWER(Upgrades!$U$7,F187),1)*IF(Upgrades!$T$8="Solar Wind",POWER(Upgrades!$U$8,G187),1)*IF(Upgrades!$T$9="Solar Wind",POWER(Upgrades!$U$9,H187),1)*IF(Upgrades!$T$10="Solar Wind",POWER(Upgrades!$U$10,I187),1)*IF(Upgrades!$T$11="Solar Wind",POWER(Upgrades!$U$11,J187),1)*IF(Upgrades!$T$12="Solar Wind",POWER(Upgrades!$U$12,K187),1))+(IF(F187=0,0,(Upgrades!$M$7+F187*Upgrades!$N$7)*POWER(Upgrades!$O$7,F187)))*(IF(Upgrades!$T$6="Asteroid Belt",POWER(Upgrades!$U$6,E187),1)*IF(Upgrades!$T$8="Asteroid Belt",POWER(Upgrades!$U$8,G187),1)*IF(Upgrades!$T$9="Asteroid Belt",POWER(Upgrades!$U$9,H187),1)*IF(Upgrades!$T$10="Asteroid Belt",POWER(Upgrades!$U$10,I187),1)*IF(Upgrades!$T$11="Asteroid Belt",POWER(Upgrades!$U$11,J187),1)*IF(Upgrades!$T$12="Asteroid Belt",POWER(Upgrades!$U$12,K187),1))+(IF(G187=0,0,(Upgrades!$M$8+G187*Upgrades!$N$8)*POWER(Upgrades!$O$8,G187)))*(IF(Upgrades!$T$6="Stellar Coupling",POWER(Upgrades!$U$6,E187),1)*IF(Upgrades!$T$7="Stellar Coupling",POWER(Upgrades!$U$7,F187),1)*IF(Upgrades!$T$9="Stellar Coupling",POWER(Upgrades!$U$9,H187),1)*IF(Upgrades!$T$10="Stellar Coupling",POWER(Upgrades!$U$10,I187),1)*IF(Upgrades!$T$11="Stellar Coupling",POWER(Upgrades!$U$11,J187),1)*IF(Upgrades!$T$12="Stellar Coupling",POWER(Upgrades!$U$12,K187),1))+(IF(H187=0,0,(Upgrades!$M$9+H187*Upgrades!$N$9)*POWER(Upgrades!$O$9,H187)))*(IF(Upgrades!$T$6="Magnetosphere",POWER(Upgrades!$U$6,E187),1)*IF(Upgrades!$T$7="Magnetosphere",POWER(Upgrades!$U$7,F187),1)*IF(Upgrades!$T$8="Magnetosphere",POWER(Upgrades!$U$8,G187),1)*IF(Upgrades!$T$10="Magnetosphere",POWER(Upgrades!$U$10,I187),1)*IF(Upgrades!$T$11="Magnetosphere",POWER(Upgrades!$U$11,J187),1)*IF(Upgrades!$T$12="Magnetosphere",POWER(Upgrades!$U$12,K187),1))+(IF(I187=0,0,(Upgrades!$M$10+I187*Upgrades!$N$10)*POWER(Upgrades!$O$10,I187)))*(IF(Upgrades!$T$6="Orbital Resonance",POWER(Upgrades!$U$6,E187),1)*IF(Upgrades!$T$7="Orbital Resonance",POWER(Upgrades!$U$7,F187),1)*IF(Upgrades!$T$8="Orbital Resonance",POWER(Upgrades!$U$8,G187),1)*IF(Upgrades!$T$9="Orbital Resonance",POWER(Upgrades!$U$9,H187),1)*IF(Upgrades!$T$11="Orbital Resonance",POWER(Upgrades!$U$11,J187),1)*IF(Upgrades!$T$12="Orbital Resonance",POWER(Upgrades!$U$12,K187),1))+(IF(J187=0,0,(Upgrades!$M$11+J187*Upgrades!$N$11)*POWER(Upgrades!$O$11,J187)))*(IF(Upgrades!$T$6="Heliopause",POWER(Upgrades!$U$6,E187),1)*IF(Upgrades!$T$7="Heliopause",POWER(Upgrades!$U$7,F187),1)*IF(Upgrades!$T$8="Heliopause",POWER(Upgrades!$U$8,G187),1)*IF(Upgrades!$T$9="Heliopause",POWER(Upgrades!$U$9,H187),1)*IF(Upgrades!$T$10="Heliopause",POWER(Upgrades!$U$10,I187),1)*IF(Upgrades!$T$12="Heliopause",POWER(Upgrades!$U$12,K187),1))+(IF(K187=0,0,(Upgrades!$M$12+K187*Upgrades!$N$12)*POWER(Upgrades!$O$12,K187)))*(IF(Upgrades!$T$6="First Photons",POWER(Upgrades!$U$6,E187),1)*IF(Upgrades!$T$7="First Photons",POWER(Upgrades!$U$7,F187),1)*IF(Upgrades!$T$8="First Photons",POWER(Upgrades!$U$8,G187),1)*IF(Upgrades!$T$9="First Photons",POWER(Upgrades!$U$9,H187),1)*IF(Upgrades!$T$10="First Photons",POWER(Upgrades!$U$10,I187),1)*IF(Upgrades!$T$11="First Photons",POWER(Upgrades!$U$11,J187),1)))*POWER(Upgrades!$R$6,E187)*POWER(Upgrades!$R$7,F187)*POWER(Upgrades!$R$8,G187)*POWER(Upgrades!$R$9,H187)*POWER(Upgrades!$R$10,I187)*POWER(Upgrades!$R$11,J187)*POWER(Upgrades!$R$12,K187)</f>
        <v>0</v>
      </c>
      <c r="P187" s="27" t="n">
        <f aca="false">IF(L187=1,0,M187*Parameters!$B$10/60*Parameters!$B$11*10)</f>
        <v>0</v>
      </c>
      <c r="Q187" s="27" t="n">
        <f aca="false">IF(L187=1,0,O187*M187*10)</f>
        <v>0</v>
      </c>
      <c r="R187" s="27" t="n">
        <f aca="false">IF(L187=1,0,N187*10)</f>
        <v>0</v>
      </c>
      <c r="S187" s="27" t="n">
        <f aca="false">P187+Q187+R187</f>
        <v>0</v>
      </c>
      <c r="T187" s="21" t="n">
        <f aca="false">C187+S187</f>
        <v>18.6730249835055</v>
      </c>
      <c r="U187" s="34" t="str">
        <f aca="false">AX187</f>
        <v/>
      </c>
      <c r="V187" s="21" t="n">
        <f aca="false">IF(U187="",0,IF(U187="transition",0,IF(U187="SW",AG187,IF(U187="AB",AH187,IF(U187="SC",AI187,IF(U187="Mag",AJ187,IF(U187="OR",AK187,IF(U187="HP",AL187,IF(U187="FP",AM187,0)))))))))</f>
        <v>0</v>
      </c>
      <c r="W187" s="27" t="n">
        <f aca="false">IF(U187="OR",Upgrades!$F$10,IF(U187="HP",Upgrades!$F$11,IF(U187="transition",-Parameters!$B$18,0)))</f>
        <v>0</v>
      </c>
      <c r="X187" s="21" t="n">
        <f aca="false">T187-V187</f>
        <v>18.6730249835055</v>
      </c>
      <c r="Y187" s="30" t="n">
        <f aca="false">M187*Parameters!$B$10/60*Parameters!$B$11+O187*M187+N187</f>
        <v>20.55</v>
      </c>
      <c r="Z187" s="35" t="str">
        <f aca="false">IF(U187="transition","→ Tier 2 (Stellar Neighborhood)",IF(U187="FP","First Photons — light begins, system quickens",IF(U187="HP","Heliopause acquired",IF(U187="OR","Orbital Resonance — passive multiplier active",IF(AND(AO187=1,L187=0,AN187&lt;&gt;1),"Cohesion ready (waiting on completionist upgrades)","")))))</f>
        <v/>
      </c>
      <c r="AA187" s="27" t="n">
        <f aca="false">(IF(E187=0,0,(Upgrades!$G$6+E187*Upgrades!$H$6)*POWER(Upgrades!$I$6,E187)))*(IF(Upgrades!$T$7="Solar Wind",POWER(Upgrades!$U$7,F187),1)*IF(Upgrades!$T$8="Solar Wind",POWER(Upgrades!$U$8,G187),1)*IF(Upgrades!$T$9="Solar Wind",POWER(Upgrades!$U$9,H187),1)*IF(Upgrades!$T$10="Solar Wind",POWER(Upgrades!$U$10,I187),1)*IF(Upgrades!$T$11="Solar Wind",POWER(Upgrades!$U$11,J187),1)*IF(Upgrades!$T$12="Solar Wind",POWER(Upgrades!$U$12,K187),1))*POWER(Upgrades!$P$6,E187)*POWER(Upgrades!$P$7,F187)*POWER(Upgrades!$P$8,G187)*POWER(Upgrades!$P$9,H187)*POWER(Upgrades!$P$10,I187)*POWER(Upgrades!$P$11,J187)*POWER(Upgrades!$P$12,K187)*60</f>
        <v>72</v>
      </c>
      <c r="AB187" s="27" t="n">
        <f aca="false">(IF(F187=0,0,(Upgrades!$G$7+F187*Upgrades!$H$7)*POWER(Upgrades!$I$7,F187)))*(IF(Upgrades!$T$6="Asteroid Belt",POWER(Upgrades!$U$6,E187),1)*IF(Upgrades!$T$8="Asteroid Belt",POWER(Upgrades!$U$8,G187),1)*IF(Upgrades!$T$9="Asteroid Belt",POWER(Upgrades!$U$9,H187),1)*IF(Upgrades!$T$10="Asteroid Belt",POWER(Upgrades!$U$10,I187),1)*IF(Upgrades!$T$11="Asteroid Belt",POWER(Upgrades!$U$11,J187),1)*IF(Upgrades!$T$12="Asteroid Belt",POWER(Upgrades!$U$12,K187),1))*POWER(Upgrades!$P$6,E187)*POWER(Upgrades!$P$7,F187)*POWER(Upgrades!$P$8,G187)*POWER(Upgrades!$P$9,H187)*POWER(Upgrades!$P$10,I187)*POWER(Upgrades!$P$11,J187)*POWER(Upgrades!$P$12,K187)*60</f>
        <v>150</v>
      </c>
      <c r="AC187" s="27" t="n">
        <f aca="false">(IF(G187=0,0,(Upgrades!$J$8+G187*Upgrades!$K$8)*POWER(Upgrades!$L$8,G187)))*(IF(Upgrades!$T$6="Stellar Coupling",POWER(Upgrades!$U$6,E187),1)*IF(Upgrades!$T$7="Stellar Coupling",POWER(Upgrades!$U$7,F187),1)*IF(Upgrades!$T$9="Stellar Coupling",POWER(Upgrades!$U$9,H187),1)*IF(Upgrades!$T$10="Stellar Coupling",POWER(Upgrades!$U$10,I187),1)*IF(Upgrades!$T$11="Stellar Coupling",POWER(Upgrades!$U$11,J187),1)*IF(Upgrades!$T$12="Stellar Coupling",POWER(Upgrades!$U$12,K187),1))*POWER(Upgrades!$Q$6,E187)*POWER(Upgrades!$Q$7,F187)*POWER(Upgrades!$Q$8,G187)*POWER(Upgrades!$Q$9,H187)*POWER(Upgrades!$Q$10,I187)*POWER(Upgrades!$Q$11,J187)*POWER(Upgrades!$Q$12,K187)*Parameters!$B$10*Parameters!$B$11</f>
        <v>441</v>
      </c>
      <c r="AD187" s="27" t="n">
        <f aca="false">(IF(H187=0,0,(Upgrades!$G$9+H187*Upgrades!$H$9)*POWER(Upgrades!$I$9,H187)))*(IF(Upgrades!$T$6="Magnetosphere",POWER(Upgrades!$U$6,E187),1)*IF(Upgrades!$T$7="Magnetosphere",POWER(Upgrades!$U$7,F187),1)*IF(Upgrades!$T$8="Magnetosphere",POWER(Upgrades!$U$8,G187),1)*IF(Upgrades!$T$10="Magnetosphere",POWER(Upgrades!$U$10,I187),1)*IF(Upgrades!$T$11="Magnetosphere",POWER(Upgrades!$U$11,J187),1)*IF(Upgrades!$T$12="Magnetosphere",POWER(Upgrades!$U$12,K187),1))*POWER(Upgrades!$P$6,E187)*POWER(Upgrades!$P$7,F187)*POWER(Upgrades!$P$8,G187)*POWER(Upgrades!$P$9,H187)*POWER(Upgrades!$P$10,I187)*POWER(Upgrades!$P$11,J187)*POWER(Upgrades!$P$12,K187)*60</f>
        <v>375</v>
      </c>
      <c r="AE187" s="27" t="n">
        <f aca="false">(IF(K187=0,0,(Upgrades!$G$12+K187*Upgrades!$H$12)*POWER(Upgrades!$I$12,K187)))*(IF(Upgrades!$T$6="First Photons",POWER(Upgrades!$U$6,E187),1)*IF(Upgrades!$T$7="First Photons",POWER(Upgrades!$U$7,F187),1)*IF(Upgrades!$T$8="First Photons",POWER(Upgrades!$U$8,G187),1)*IF(Upgrades!$T$9="First Photons",POWER(Upgrades!$U$9,H187),1)*IF(Upgrades!$T$10="First Photons",POWER(Upgrades!$U$10,I187),1)*IF(Upgrades!$T$11="First Photons",POWER(Upgrades!$U$11,J187),1))*POWER(Upgrades!$P$6,E187)*POWER(Upgrades!$P$7,F187)*POWER(Upgrades!$P$8,G187)*POWER(Upgrades!$P$9,H187)*POWER(Upgrades!$P$10,I187)*POWER(Upgrades!$P$11,J187)*POWER(Upgrades!$P$12,K187)*60</f>
        <v>75</v>
      </c>
      <c r="AF187" s="27" t="n">
        <f aca="false">Parameters!$B$9*POWER(Upgrades!$Q$6,E187)*POWER(Upgrades!$Q$7,F187)*POWER(Upgrades!$Q$8,G187)*POWER(Upgrades!$Q$9,H187)*POWER(Upgrades!$Q$10,I187)*POWER(Upgrades!$Q$11,J187)*POWER(Upgrades!$Q$12,K187)*(Parameters!$B$10*Parameters!$B$11+O187*60)</f>
        <v>120</v>
      </c>
      <c r="AG187" s="21" t="n">
        <f aca="false">IF(E187&gt;=Upgrades!$E$6,"",Upgrades!$C$6*POWER(Upgrades!$D$6,E187))</f>
        <v>37.4517507383159</v>
      </c>
      <c r="AH187" s="21" t="n">
        <f aca="false">IF(F187&gt;=Upgrades!$E$7,"",Upgrades!$C$7*POWER(Upgrades!$D$7,F187))</f>
        <v>80.9111547141581</v>
      </c>
      <c r="AI187" s="21" t="n">
        <f aca="false">IF(G187&gt;=Upgrades!$E$8,"",Upgrades!$C$8*POWER(Upgrades!$D$8,G187))</f>
        <v>231.9097088</v>
      </c>
      <c r="AJ187" s="21" t="str">
        <f aca="false">IF(H187&gt;=Upgrades!$E$9,"",Upgrades!$C$9*POWER(Upgrades!$D$9,H187))</f>
        <v/>
      </c>
      <c r="AK187" s="21" t="str">
        <f aca="false">IF(I187&gt;=Upgrades!$E$10,"",Upgrades!$C$10*POWER(Upgrades!$D$10,I187))</f>
        <v/>
      </c>
      <c r="AL187" s="21" t="str">
        <f aca="false">IF(J187&gt;=Upgrades!$E$11,"",Upgrades!$C$11*POWER(Upgrades!$D$11,J187))</f>
        <v/>
      </c>
      <c r="AM187" s="21" t="str">
        <f aca="false">IF(K187&gt;=Upgrades!$E$12,"",Upgrades!$C$12*POWER(Upgrades!$D$12,K187))</f>
        <v/>
      </c>
      <c r="AN187" s="26" t="str">
        <f aca="false">IF(AND(D187&gt;=Parameters!$B$18,(H187&gt;=Upgrades!$E$9)*(K187&gt;=Upgrades!$E$12)=1,L187=0),1,"")</f>
        <v/>
      </c>
      <c r="AO187" s="26" t="str">
        <f aca="false">IF(AND(D187&gt;=Parameters!$B$18,L187=0),1,"")</f>
        <v/>
      </c>
      <c r="AP187" s="21" t="n">
        <f aca="false">MIN(IF(ISNUMBER(AK187),AK187,9000000000000000),IF(ISNUMBER(AL187),AL187,9000000000000000),IF(ISNUMBER(AM187),AM187,9000000000000000))</f>
        <v>9000000000000000</v>
      </c>
      <c r="AQ187" s="21" t="n">
        <f aca="false">MIN(IF(ISNUMBER(AG187),AG187,9000000000000000),IF(ISNUMBER(AH187),AH187,9000000000000000),IF(ISNUMBER(AI187),AI187,9000000000000000),IF(ISNUMBER(AJ187),AJ187,9000000000000000))</f>
        <v>37.4517507383159</v>
      </c>
      <c r="AR187" s="32" t="b">
        <f aca="false">IF(AW187&gt;Parameters!$B$21*(MAX(IF(AND(NOT(AND(AO187=1,AN187&lt;&gt;1)),ISNUMBER(AG187),AG187&lt;=T187),AS187,0),IF(AND(NOT(AND(AO187=1,AN187&lt;&gt;1)),ISNUMBER(AH187),AH187&lt;=T187),AT187,0),IF(AND(NOT(AND(AO187=1,AN187&lt;&gt;1)),ISNUMBER(AI187),AI187&lt;=T187),AU187,0),IF(AND(ISNUMBER(AJ187),AJ187&lt;=T187),AV187,0))),TRUE(),FALSE())</f>
        <v>1</v>
      </c>
      <c r="AS187" s="33" t="n">
        <f aca="false">IFERROR(Upgrades!$H$6*(POWER(Upgrades!$P$6,E187)*POWER(Upgrades!$P$7,F187)*POWER(Upgrades!$P$8,G187)*POWER(Upgrades!$P$9,H187)*POWER(Upgrades!$P$10,I187)*POWER(Upgrades!$P$11,J187)*POWER(Upgrades!$P$12,K187))*(IF(Upgrades!$T$7="Solar Wind",POWER(Upgrades!$U$7,F187),1)*IF(Upgrades!$T$8="Solar Wind",POWER(Upgrades!$U$8,G187),1)*IF(Upgrades!$T$9="Solar Wind",POWER(Upgrades!$U$9,H187),1)*IF(Upgrades!$T$10="Solar Wind",POWER(Upgrades!$U$10,I187),1)*IF(Upgrades!$T$11="Solar Wind",POWER(Upgrades!$U$11,J187),1)*IF(Upgrades!$T$12="Solar Wind",POWER(Upgrades!$U$12,K187),1))/AG187,0)</f>
        <v>0.0026701021455238</v>
      </c>
      <c r="AT187" s="33" t="n">
        <f aca="false">IFERROR(Upgrades!$H$7*(POWER(Upgrades!$P$6,E187)*POWER(Upgrades!$P$7,F187)*POWER(Upgrades!$P$8,G187)*POWER(Upgrades!$P$9,H187)*POWER(Upgrades!$P$10,I187)*POWER(Upgrades!$P$11,J187)*POWER(Upgrades!$P$12,K187))*(IF(Upgrades!$T$6="Asteroid Belt",POWER(Upgrades!$U$6,E187),1)*IF(Upgrades!$T$8="Asteroid Belt",POWER(Upgrades!$U$8,G187),1)*IF(Upgrades!$T$9="Asteroid Belt",POWER(Upgrades!$U$9,H187),1)*IF(Upgrades!$T$10="Asteroid Belt",POWER(Upgrades!$U$10,I187),1)*IF(Upgrades!$T$11="Asteroid Belt",POWER(Upgrades!$U$11,J187),1)*IF(Upgrades!$T$12="Asteroid Belt",POWER(Upgrades!$U$12,K187),1))/AH187,0)</f>
        <v>0.00308980882652332</v>
      </c>
      <c r="AU187" s="33" t="n">
        <f aca="false">IFERROR(Upgrades!$K$8*(POWER(Upgrades!$Q$6,E187)*POWER(Upgrades!$Q$7,F187)*POWER(Upgrades!$Q$8,G187)*POWER(Upgrades!$Q$9,H187)*POWER(Upgrades!$Q$10,I187)*POWER(Upgrades!$Q$11,J187)*POWER(Upgrades!$Q$12,K187))*(IF(Upgrades!$T$6="Stellar Coupling",POWER(Upgrades!$U$6,E187),1)*IF(Upgrades!$T$7="Stellar Coupling",POWER(Upgrades!$U$7,F187),1)*IF(Upgrades!$T$9="Stellar Coupling",POWER(Upgrades!$U$9,H187),1)*IF(Upgrades!$T$10="Stellar Coupling",POWER(Upgrades!$U$10,I187),1)*IF(Upgrades!$T$11="Stellar Coupling",POWER(Upgrades!$U$11,J187),1)*IF(Upgrades!$T$12="Stellar Coupling",POWER(Upgrades!$U$12,K187),1))*Parameters!$B$10*Parameters!$B$11/60/AI187,0)</f>
        <v>0.00452762415783776</v>
      </c>
      <c r="AV187" s="33" t="n">
        <f aca="false">IFERROR(Upgrades!$H$9*(POWER(Upgrades!$P$6,E187)*POWER(Upgrades!$P$7,F187)*POWER(Upgrades!$P$8,G187)*POWER(Upgrades!$P$9,H187)*POWER(Upgrades!$P$10,I187)*POWER(Upgrades!$P$11,J187)*POWER(Upgrades!$P$12,K187))*(IF(Upgrades!$T$6="Magnetosphere",POWER(Upgrades!$U$6,E187),1)*IF(Upgrades!$T$7="Magnetosphere",POWER(Upgrades!$U$7,F187),1)*IF(Upgrades!$T$8="Magnetosphere",POWER(Upgrades!$U$8,G187),1)*IF(Upgrades!$T$10="Magnetosphere",POWER(Upgrades!$U$10,I187),1)*IF(Upgrades!$T$11="Magnetosphere",POWER(Upgrades!$U$11,J187),1)*IF(Upgrades!$T$12="Magnetosphere",POWER(Upgrades!$U$12,K187),1))/AJ187,0)</f>
        <v>0</v>
      </c>
      <c r="AW187" s="33" t="n">
        <f aca="false">MAX(IF(I187&gt;0,0,IFERROR(0.25*N187/Upgrades!$C$10,0)),IF(J187&gt;0,0,IFERROR(0.5*((IF(G187=0,0,(Upgrades!$J$8+G187*Upgrades!$K$8)*POWER(Upgrades!$L$8,G187)))*(IF(Upgrades!$T$6="Stellar Coupling",POWER(Upgrades!$U$6,E187),1)*IF(Upgrades!$T$7="Stellar Coupling",POWER(Upgrades!$U$7,F187),1)*IF(Upgrades!$T$9="Stellar Coupling",POWER(Upgrades!$U$9,H187),1)*IF(Upgrades!$T$10="Stellar Coupling",POWER(Upgrades!$U$10,I187),1)*IF(Upgrades!$T$11="Stellar Coupling",POWER(Upgrades!$U$11,J187),1)*IF(Upgrades!$T$12="Stellar Coupling",POWER(Upgrades!$U$12,K187),1))*(POWER(Upgrades!$Q$6,E187)*POWER(Upgrades!$Q$7,F187)*POWER(Upgrades!$Q$8,G187)*POWER(Upgrades!$Q$9,H187)*POWER(Upgrades!$Q$10,I187)*POWER(Upgrades!$Q$11,J187)*POWER(Upgrades!$Q$12,K187))*Parameters!$B$10*Parameters!$B$11/60)/Upgrades!$C$11,0)),IF(K187&gt;0,0,IFERROR((1*(POWER(Upgrades!$P$6,E187)*POWER(Upgrades!$P$7,F187)*POWER(Upgrades!$P$8,G187)*POWER(Upgrades!$P$9,H187)*POWER(Upgrades!$P$10,I187)*POWER(Upgrades!$P$11,J187)*POWER(Upgrades!$P$12,K187))+0.2*M187*Parameters!$B$10*Parameters!$B$11/60)/Upgrades!$C$12,0)),IF(AND(ISNUMBER(AG187),AG187&gt;T187),AS187,0),IF(AND(ISNUMBER(AH187),AH187&gt;T187),AT187,0),IF(AND(ISNUMBER(AI187),AI187&gt;T187),AU187,0),IF(AND(ISNUMBER(AJ187),AJ187&gt;T187),AV187,0))</f>
        <v>0.00452762415783776</v>
      </c>
      <c r="AX187" s="29" t="str">
        <f aca="false">IF(AN187=1,"transition",IF(MIN(IF(AND(I187=0,ISNUMBER(AK187),AK187&lt;=T187),AK187,9000000000000000),IF(AND(J187=0,ISNUMBER(AL187),AL187&lt;=T187),AL187,9000000000000000),IF(AND(K187=0,ISNUMBER(AM187),AM187&lt;=T187),AM187,9000000000000000))&lt;9000000000000000,IF(AND(AND(I187=0,ISNUMBER(AK187),AK187&lt;=T187),AK187=MIN(IF(AND(I187=0,ISNUMBER(AK187),AK187&lt;=T187),AK187,9000000000000000),IF(AND(J187=0,ISNUMBER(AL187),AL187&lt;=T187),AL187,9000000000000000),IF(AND(K187=0,ISNUMBER(AM187),AM187&lt;=T187),AM187,9000000000000000))),"OR",IF(AND(AND(J187=0,ISNUMBER(AL187),AL187&lt;=T187),AL187=MIN(IF(AND(I187=0,ISNUMBER(AK187),AK187&lt;=T187),AK187,9000000000000000),IF(AND(J187=0,ISNUMBER(AL187),AL187&lt;=T187),AL187,9000000000000000),IF(AND(K187=0,ISNUMBER(AM187),AM187&lt;=T187),AM187,9000000000000000))),"HP","FP")),IF(AR187=TRUE(),"",IF(MAX(IF(AND(NOT(AND(AO187=1,AN187&lt;&gt;1)),ISNUMBER(AG187),AG187&lt;=T187),AS187,0),IF(AND(NOT(AND(AO187=1,AN187&lt;&gt;1)),ISNUMBER(AH187),AH187&lt;=T187),AT187,0),IF(AND(NOT(AND(AO187=1,AN187&lt;&gt;1)),ISNUMBER(AI187),AI187&lt;=T187),AU187,0),IF(AND(ISNUMBER(AJ187),AJ187&lt;=T187),AV187,0))&lt;=0,"",IF(AND(IF(AND(NOT(AND(AO187=1,AN187&lt;&gt;1)),ISNUMBER(AG187),AG187&lt;=T187),AS187,0)&gt;0,IF(AND(NOT(AND(AO187=1,AN187&lt;&gt;1)),ISNUMBER(AG187),AG187&lt;=T187),AS187,0)=MAX(IF(AND(NOT(AND(AO187=1,AN187&lt;&gt;1)),ISNUMBER(AG187),AG187&lt;=T187),AS187,0),IF(AND(NOT(AND(AO187=1,AN187&lt;&gt;1)),ISNUMBER(AH187),AH187&lt;=T187),AT187,0),IF(AND(NOT(AND(AO187=1,AN187&lt;&gt;1)),ISNUMBER(AI187),AI187&lt;=T187),AU187,0),IF(AND(ISNUMBER(AJ187),AJ187&lt;=T187),AV187,0))),"SW",IF(AND(IF(AND(NOT(AND(AO187=1,AN187&lt;&gt;1)),ISNUMBER(AH187),AH187&lt;=T187),AT187,0)&gt;0,IF(AND(NOT(AND(AO187=1,AN187&lt;&gt;1)),ISNUMBER(AH187),AH187&lt;=T187),AT187,0)=MAX(IF(AND(NOT(AND(AO187=1,AN187&lt;&gt;1)),ISNUMBER(AG187),AG187&lt;=T187),AS187,0),IF(AND(NOT(AND(AO187=1,AN187&lt;&gt;1)),ISNUMBER(AH187),AH187&lt;=T187),AT187,0),IF(AND(NOT(AND(AO187=1,AN187&lt;&gt;1)),ISNUMBER(AI187),AI187&lt;=T187),AU187,0),IF(AND(ISNUMBER(AJ187),AJ187&lt;=T187),AV187,0))),"AB",IF(AND(IF(AND(NOT(AND(AO187=1,AN187&lt;&gt;1)),ISNUMBER(AI187),AI187&lt;=T187),AU187,0)&gt;0,IF(AND(NOT(AND(AO187=1,AN187&lt;&gt;1)),ISNUMBER(AI187),AI187&lt;=T187),AU187,0)=MAX(IF(AND(NOT(AND(AO187=1,AN187&lt;&gt;1)),ISNUMBER(AG187),AG187&lt;=T187),AS187,0),IF(AND(NOT(AND(AO187=1,AN187&lt;&gt;1)),ISNUMBER(AH187),AH187&lt;=T187),AT187,0),IF(AND(NOT(AND(AO187=1,AN187&lt;&gt;1)),ISNUMBER(AI187),AI187&lt;=T187),AU187,0),IF(AND(ISNUMBER(AJ187),AJ187&lt;=T187),AV187,0))),"SC","Mag")))))))</f>
        <v/>
      </c>
    </row>
    <row r="188" customFormat="false" ht="15" hidden="false" customHeight="false" outlineLevel="0" collapsed="false">
      <c r="A188" s="26" t="n">
        <v>183</v>
      </c>
      <c r="B188" s="27" t="n">
        <f aca="false">A188*10/60</f>
        <v>30.5</v>
      </c>
      <c r="C188" s="21" t="n">
        <f aca="false">X187</f>
        <v>18.6730249835055</v>
      </c>
      <c r="D188" s="27" t="n">
        <f aca="false">D187+W187</f>
        <v>0</v>
      </c>
      <c r="E188" s="26" t="n">
        <f aca="false">E187+IF(U187="SW",1,0)</f>
        <v>12</v>
      </c>
      <c r="F188" s="26" t="n">
        <f aca="false">F187+IF(U187="AB",1,0)</f>
        <v>10</v>
      </c>
      <c r="G188" s="26" t="n">
        <f aca="false">G187+IF(U187="SC",1,0)</f>
        <v>7</v>
      </c>
      <c r="H188" s="26" t="n">
        <f aca="false">H187+IF(U187="Mag",1,0)</f>
        <v>5</v>
      </c>
      <c r="I188" s="26" t="n">
        <f aca="false">MAX(I187,IF(U187="OR",1,0))</f>
        <v>1</v>
      </c>
      <c r="J188" s="26" t="n">
        <f aca="false">MAX(J187,IF(U187="HP",1,0))</f>
        <v>1</v>
      </c>
      <c r="K188" s="26" t="n">
        <f aca="false">MAX(K187,IF(U187="FP",1,0))</f>
        <v>1</v>
      </c>
      <c r="L188" s="26" t="n">
        <f aca="false">MAX(L187,IF(U187="transition",1,0))</f>
        <v>1</v>
      </c>
      <c r="M188" s="28" t="n">
        <f aca="false">(Parameters!$B$9+(IF(E188=0,0,(Upgrades!$J$6+E188*Upgrades!$K$6)*POWER(Upgrades!$L$6,E188)))*(IF(Upgrades!$T$7="Solar Wind",POWER(Upgrades!$U$7,F188),1)*IF(Upgrades!$T$8="Solar Wind",POWER(Upgrades!$U$8,G188),1)*IF(Upgrades!$T$9="Solar Wind",POWER(Upgrades!$U$9,H188),1)*IF(Upgrades!$T$10="Solar Wind",POWER(Upgrades!$U$10,I188),1)*IF(Upgrades!$T$11="Solar Wind",POWER(Upgrades!$U$11,J188),1)*IF(Upgrades!$T$12="Solar Wind",POWER(Upgrades!$U$12,K188),1))+(IF(F188=0,0,(Upgrades!$J$7+F188*Upgrades!$K$7)*POWER(Upgrades!$L$7,F188)))*(IF(Upgrades!$T$6="Asteroid Belt",POWER(Upgrades!$U$6,E188),1)*IF(Upgrades!$T$8="Asteroid Belt",POWER(Upgrades!$U$8,G188),1)*IF(Upgrades!$T$9="Asteroid Belt",POWER(Upgrades!$U$9,H188),1)*IF(Upgrades!$T$10="Asteroid Belt",POWER(Upgrades!$U$10,I188),1)*IF(Upgrades!$T$11="Asteroid Belt",POWER(Upgrades!$U$11,J188),1)*IF(Upgrades!$T$12="Asteroid Belt",POWER(Upgrades!$U$12,K188),1))+(IF(G188=0,0,(Upgrades!$J$8+G188*Upgrades!$K$8)*POWER(Upgrades!$L$8,G188)))*(IF(Upgrades!$T$6="Stellar Coupling",POWER(Upgrades!$U$6,E188),1)*IF(Upgrades!$T$7="Stellar Coupling",POWER(Upgrades!$U$7,F188),1)*IF(Upgrades!$T$9="Stellar Coupling",POWER(Upgrades!$U$9,H188),1)*IF(Upgrades!$T$10="Stellar Coupling",POWER(Upgrades!$U$10,I188),1)*IF(Upgrades!$T$11="Stellar Coupling",POWER(Upgrades!$U$11,J188),1)*IF(Upgrades!$T$12="Stellar Coupling",POWER(Upgrades!$U$12,K188),1))+(IF(H188=0,0,(Upgrades!$J$9+H188*Upgrades!$K$9)*POWER(Upgrades!$L$9,H188)))*(IF(Upgrades!$T$6="Magnetosphere",POWER(Upgrades!$U$6,E188),1)*IF(Upgrades!$T$7="Magnetosphere",POWER(Upgrades!$U$7,F188),1)*IF(Upgrades!$T$8="Magnetosphere",POWER(Upgrades!$U$8,G188),1)*IF(Upgrades!$T$10="Magnetosphere",POWER(Upgrades!$U$10,I188),1)*IF(Upgrades!$T$11="Magnetosphere",POWER(Upgrades!$U$11,J188),1)*IF(Upgrades!$T$12="Magnetosphere",POWER(Upgrades!$U$12,K188),1))+(IF(I188=0,0,(Upgrades!$J$10+I188*Upgrades!$K$10)*POWER(Upgrades!$L$10,I188)))*(IF(Upgrades!$T$6="Orbital Resonance",POWER(Upgrades!$U$6,E188),1)*IF(Upgrades!$T$7="Orbital Resonance",POWER(Upgrades!$U$7,F188),1)*IF(Upgrades!$T$8="Orbital Resonance",POWER(Upgrades!$U$8,G188),1)*IF(Upgrades!$T$9="Orbital Resonance",POWER(Upgrades!$U$9,H188),1)*IF(Upgrades!$T$11="Orbital Resonance",POWER(Upgrades!$U$11,J188),1)*IF(Upgrades!$T$12="Orbital Resonance",POWER(Upgrades!$U$12,K188),1))+(IF(J188=0,0,(Upgrades!$J$11+J188*Upgrades!$K$11)*POWER(Upgrades!$L$11,J188)))*(IF(Upgrades!$T$6="Heliopause",POWER(Upgrades!$U$6,E188),1)*IF(Upgrades!$T$7="Heliopause",POWER(Upgrades!$U$7,F188),1)*IF(Upgrades!$T$8="Heliopause",POWER(Upgrades!$U$8,G188),1)*IF(Upgrades!$T$9="Heliopause",POWER(Upgrades!$U$9,H188),1)*IF(Upgrades!$T$10="Heliopause",POWER(Upgrades!$U$10,I188),1)*IF(Upgrades!$T$12="Heliopause",POWER(Upgrades!$U$12,K188),1))+(IF(K188=0,0,(Upgrades!$J$12+K188*Upgrades!$K$12)*POWER(Upgrades!$L$12,K188)))*(IF(Upgrades!$T$6="First Photons",POWER(Upgrades!$U$6,E188),1)*IF(Upgrades!$T$7="First Photons",POWER(Upgrades!$U$7,F188),1)*IF(Upgrades!$T$8="First Photons",POWER(Upgrades!$U$8,G188),1)*IF(Upgrades!$T$9="First Photons",POWER(Upgrades!$U$9,H188),1)*IF(Upgrades!$T$10="First Photons",POWER(Upgrades!$U$10,I188),1)*IF(Upgrades!$T$11="First Photons",POWER(Upgrades!$U$11,J188),1)))*POWER(Upgrades!$Q$6,E188)*POWER(Upgrades!$Q$7,F188)*POWER(Upgrades!$Q$8,G188)*POWER(Upgrades!$Q$9,H188)*POWER(Upgrades!$Q$10,I188)*POWER(Upgrades!$Q$11,J188)*POWER(Upgrades!$Q$12,K188)</f>
        <v>5.61</v>
      </c>
      <c r="N188" s="28" t="n">
        <f aca="false">((IF(E188=0,0,(Upgrades!$G$6+E188*Upgrades!$H$6)*POWER(Upgrades!$I$6,E188)))*(IF(Upgrades!$T$7="Solar Wind",POWER(Upgrades!$U$7,F188),1)*IF(Upgrades!$T$8="Solar Wind",POWER(Upgrades!$U$8,G188),1)*IF(Upgrades!$T$9="Solar Wind",POWER(Upgrades!$U$9,H188),1)*IF(Upgrades!$T$10="Solar Wind",POWER(Upgrades!$U$10,I188),1)*IF(Upgrades!$T$11="Solar Wind",POWER(Upgrades!$U$11,J188),1)*IF(Upgrades!$T$12="Solar Wind",POWER(Upgrades!$U$12,K188),1))+(IF(F188=0,0,(Upgrades!$G$7+F188*Upgrades!$H$7)*POWER(Upgrades!$I$7,F188)))*(IF(Upgrades!$T$6="Asteroid Belt",POWER(Upgrades!$U$6,E188),1)*IF(Upgrades!$T$8="Asteroid Belt",POWER(Upgrades!$U$8,G188),1)*IF(Upgrades!$T$9="Asteroid Belt",POWER(Upgrades!$U$9,H188),1)*IF(Upgrades!$T$10="Asteroid Belt",POWER(Upgrades!$U$10,I188),1)*IF(Upgrades!$T$11="Asteroid Belt",POWER(Upgrades!$U$11,J188),1)*IF(Upgrades!$T$12="Asteroid Belt",POWER(Upgrades!$U$12,K188),1))+(IF(G188=0,0,(Upgrades!$G$8+G188*Upgrades!$H$8)*POWER(Upgrades!$I$8,G188)))*(IF(Upgrades!$T$6="Stellar Coupling",POWER(Upgrades!$U$6,E188),1)*IF(Upgrades!$T$7="Stellar Coupling",POWER(Upgrades!$U$7,F188),1)*IF(Upgrades!$T$9="Stellar Coupling",POWER(Upgrades!$U$9,H188),1)*IF(Upgrades!$T$10="Stellar Coupling",POWER(Upgrades!$U$10,I188),1)*IF(Upgrades!$T$11="Stellar Coupling",POWER(Upgrades!$U$11,J188),1)*IF(Upgrades!$T$12="Stellar Coupling",POWER(Upgrades!$U$12,K188),1))+(IF(H188=0,0,(Upgrades!$G$9+H188*Upgrades!$H$9)*POWER(Upgrades!$I$9,H188)))*(IF(Upgrades!$T$6="Magnetosphere",POWER(Upgrades!$U$6,E188),1)*IF(Upgrades!$T$7="Magnetosphere",POWER(Upgrades!$U$7,F188),1)*IF(Upgrades!$T$8="Magnetosphere",POWER(Upgrades!$U$8,G188),1)*IF(Upgrades!$T$10="Magnetosphere",POWER(Upgrades!$U$10,I188),1)*IF(Upgrades!$T$11="Magnetosphere",POWER(Upgrades!$U$11,J188),1)*IF(Upgrades!$T$12="Magnetosphere",POWER(Upgrades!$U$12,K188),1))+(IF(I188=0,0,(Upgrades!$G$10+I188*Upgrades!$H$10)*POWER(Upgrades!$I$10,I188)))*(IF(Upgrades!$T$6="Orbital Resonance",POWER(Upgrades!$U$6,E188),1)*IF(Upgrades!$T$7="Orbital Resonance",POWER(Upgrades!$U$7,F188),1)*IF(Upgrades!$T$8="Orbital Resonance",POWER(Upgrades!$U$8,G188),1)*IF(Upgrades!$T$9="Orbital Resonance",POWER(Upgrades!$U$9,H188),1)*IF(Upgrades!$T$11="Orbital Resonance",POWER(Upgrades!$U$11,J188),1)*IF(Upgrades!$T$12="Orbital Resonance",POWER(Upgrades!$U$12,K188),1))+(IF(J188=0,0,(Upgrades!$G$11+J188*Upgrades!$H$11)*POWER(Upgrades!$I$11,J188)))*(IF(Upgrades!$T$6="Heliopause",POWER(Upgrades!$U$6,E188),1)*IF(Upgrades!$T$7="Heliopause",POWER(Upgrades!$U$7,F188),1)*IF(Upgrades!$T$8="Heliopause",POWER(Upgrades!$U$8,G188),1)*IF(Upgrades!$T$9="Heliopause",POWER(Upgrades!$U$9,H188),1)*IF(Upgrades!$T$10="Heliopause",POWER(Upgrades!$U$10,I188),1)*IF(Upgrades!$T$12="Heliopause",POWER(Upgrades!$U$12,K188),1))+(IF(K188=0,0,(Upgrades!$G$12+K188*Upgrades!$H$12)*POWER(Upgrades!$I$12,K188)))*(IF(Upgrades!$T$6="First Photons",POWER(Upgrades!$U$6,E188),1)*IF(Upgrades!$T$7="First Photons",POWER(Upgrades!$U$7,F188),1)*IF(Upgrades!$T$8="First Photons",POWER(Upgrades!$U$8,G188),1)*IF(Upgrades!$T$9="First Photons",POWER(Upgrades!$U$9,H188),1)*IF(Upgrades!$T$10="First Photons",POWER(Upgrades!$U$10,I188),1)*IF(Upgrades!$T$11="First Photons",POWER(Upgrades!$U$11,J188),1)))*POWER(Upgrades!$P$6,E188)*POWER(Upgrades!$P$7,F188)*POWER(Upgrades!$P$8,G188)*POWER(Upgrades!$P$9,H188)*POWER(Upgrades!$P$10,I188)*POWER(Upgrades!$P$11,J188)*POWER(Upgrades!$P$12,K188)</f>
        <v>11.2</v>
      </c>
      <c r="O188" s="28" t="n">
        <f aca="false">((IF(E188=0,0,(Upgrades!$M$6+E188*Upgrades!$N$6)*POWER(Upgrades!$O$6,E188)))*(IF(Upgrades!$T$7="Solar Wind",POWER(Upgrades!$U$7,F188),1)*IF(Upgrades!$T$8="Solar Wind",POWER(Upgrades!$U$8,G188),1)*IF(Upgrades!$T$9="Solar Wind",POWER(Upgrades!$U$9,H188),1)*IF(Upgrades!$T$10="Solar Wind",POWER(Upgrades!$U$10,I188),1)*IF(Upgrades!$T$11="Solar Wind",POWER(Upgrades!$U$11,J188),1)*IF(Upgrades!$T$12="Solar Wind",POWER(Upgrades!$U$12,K188),1))+(IF(F188=0,0,(Upgrades!$M$7+F188*Upgrades!$N$7)*POWER(Upgrades!$O$7,F188)))*(IF(Upgrades!$T$6="Asteroid Belt",POWER(Upgrades!$U$6,E188),1)*IF(Upgrades!$T$8="Asteroid Belt",POWER(Upgrades!$U$8,G188),1)*IF(Upgrades!$T$9="Asteroid Belt",POWER(Upgrades!$U$9,H188),1)*IF(Upgrades!$T$10="Asteroid Belt",POWER(Upgrades!$U$10,I188),1)*IF(Upgrades!$T$11="Asteroid Belt",POWER(Upgrades!$U$11,J188),1)*IF(Upgrades!$T$12="Asteroid Belt",POWER(Upgrades!$U$12,K188),1))+(IF(G188=0,0,(Upgrades!$M$8+G188*Upgrades!$N$8)*POWER(Upgrades!$O$8,G188)))*(IF(Upgrades!$T$6="Stellar Coupling",POWER(Upgrades!$U$6,E188),1)*IF(Upgrades!$T$7="Stellar Coupling",POWER(Upgrades!$U$7,F188),1)*IF(Upgrades!$T$9="Stellar Coupling",POWER(Upgrades!$U$9,H188),1)*IF(Upgrades!$T$10="Stellar Coupling",POWER(Upgrades!$U$10,I188),1)*IF(Upgrades!$T$11="Stellar Coupling",POWER(Upgrades!$U$11,J188),1)*IF(Upgrades!$T$12="Stellar Coupling",POWER(Upgrades!$U$12,K188),1))+(IF(H188=0,0,(Upgrades!$M$9+H188*Upgrades!$N$9)*POWER(Upgrades!$O$9,H188)))*(IF(Upgrades!$T$6="Magnetosphere",POWER(Upgrades!$U$6,E188),1)*IF(Upgrades!$T$7="Magnetosphere",POWER(Upgrades!$U$7,F188),1)*IF(Upgrades!$T$8="Magnetosphere",POWER(Upgrades!$U$8,G188),1)*IF(Upgrades!$T$10="Magnetosphere",POWER(Upgrades!$U$10,I188),1)*IF(Upgrades!$T$11="Magnetosphere",POWER(Upgrades!$U$11,J188),1)*IF(Upgrades!$T$12="Magnetosphere",POWER(Upgrades!$U$12,K188),1))+(IF(I188=0,0,(Upgrades!$M$10+I188*Upgrades!$N$10)*POWER(Upgrades!$O$10,I188)))*(IF(Upgrades!$T$6="Orbital Resonance",POWER(Upgrades!$U$6,E188),1)*IF(Upgrades!$T$7="Orbital Resonance",POWER(Upgrades!$U$7,F188),1)*IF(Upgrades!$T$8="Orbital Resonance",POWER(Upgrades!$U$8,G188),1)*IF(Upgrades!$T$9="Orbital Resonance",POWER(Upgrades!$U$9,H188),1)*IF(Upgrades!$T$11="Orbital Resonance",POWER(Upgrades!$U$11,J188),1)*IF(Upgrades!$T$12="Orbital Resonance",POWER(Upgrades!$U$12,K188),1))+(IF(J188=0,0,(Upgrades!$M$11+J188*Upgrades!$N$11)*POWER(Upgrades!$O$11,J188)))*(IF(Upgrades!$T$6="Heliopause",POWER(Upgrades!$U$6,E188),1)*IF(Upgrades!$T$7="Heliopause",POWER(Upgrades!$U$7,F188),1)*IF(Upgrades!$T$8="Heliopause",POWER(Upgrades!$U$8,G188),1)*IF(Upgrades!$T$9="Heliopause",POWER(Upgrades!$U$9,H188),1)*IF(Upgrades!$T$10="Heliopause",POWER(Upgrades!$U$10,I188),1)*IF(Upgrades!$T$12="Heliopause",POWER(Upgrades!$U$12,K188),1))+(IF(K188=0,0,(Upgrades!$M$12+K188*Upgrades!$N$12)*POWER(Upgrades!$O$12,K188)))*(IF(Upgrades!$T$6="First Photons",POWER(Upgrades!$U$6,E188),1)*IF(Upgrades!$T$7="First Photons",POWER(Upgrades!$U$7,F188),1)*IF(Upgrades!$T$8="First Photons",POWER(Upgrades!$U$8,G188),1)*IF(Upgrades!$T$9="First Photons",POWER(Upgrades!$U$9,H188),1)*IF(Upgrades!$T$10="First Photons",POWER(Upgrades!$U$10,I188),1)*IF(Upgrades!$T$11="First Photons",POWER(Upgrades!$U$11,J188),1)))*POWER(Upgrades!$R$6,E188)*POWER(Upgrades!$R$7,F188)*POWER(Upgrades!$R$8,G188)*POWER(Upgrades!$R$9,H188)*POWER(Upgrades!$R$10,I188)*POWER(Upgrades!$R$11,J188)*POWER(Upgrades!$R$12,K188)</f>
        <v>0</v>
      </c>
      <c r="P188" s="27" t="n">
        <f aca="false">IF(L188=1,0,M188*Parameters!$B$10/60*Parameters!$B$11*10)</f>
        <v>0</v>
      </c>
      <c r="Q188" s="27" t="n">
        <f aca="false">IF(L188=1,0,O188*M188*10)</f>
        <v>0</v>
      </c>
      <c r="R188" s="27" t="n">
        <f aca="false">IF(L188=1,0,N188*10)</f>
        <v>0</v>
      </c>
      <c r="S188" s="27" t="n">
        <f aca="false">P188+Q188+R188</f>
        <v>0</v>
      </c>
      <c r="T188" s="21" t="n">
        <f aca="false">C188+S188</f>
        <v>18.6730249835055</v>
      </c>
      <c r="U188" s="34" t="str">
        <f aca="false">AX188</f>
        <v/>
      </c>
      <c r="V188" s="21" t="n">
        <f aca="false">IF(U188="",0,IF(U188="transition",0,IF(U188="SW",AG188,IF(U188="AB",AH188,IF(U188="SC",AI188,IF(U188="Mag",AJ188,IF(U188="OR",AK188,IF(U188="HP",AL188,IF(U188="FP",AM188,0)))))))))</f>
        <v>0</v>
      </c>
      <c r="W188" s="27" t="n">
        <f aca="false">IF(U188="OR",Upgrades!$F$10,IF(U188="HP",Upgrades!$F$11,IF(U188="transition",-Parameters!$B$18,0)))</f>
        <v>0</v>
      </c>
      <c r="X188" s="21" t="n">
        <f aca="false">T188-V188</f>
        <v>18.6730249835055</v>
      </c>
      <c r="Y188" s="30" t="n">
        <f aca="false">M188*Parameters!$B$10/60*Parameters!$B$11+O188*M188+N188</f>
        <v>20.55</v>
      </c>
      <c r="Z188" s="35" t="str">
        <f aca="false">IF(U188="transition","→ Tier 2 (Stellar Neighborhood)",IF(U188="FP","First Photons — light begins, system quickens",IF(U188="HP","Heliopause acquired",IF(U188="OR","Orbital Resonance — passive multiplier active",IF(AND(AO188=1,L188=0,AN188&lt;&gt;1),"Cohesion ready (waiting on completionist upgrades)","")))))</f>
        <v/>
      </c>
      <c r="AA188" s="27" t="n">
        <f aca="false">(IF(E188=0,0,(Upgrades!$G$6+E188*Upgrades!$H$6)*POWER(Upgrades!$I$6,E188)))*(IF(Upgrades!$T$7="Solar Wind",POWER(Upgrades!$U$7,F188),1)*IF(Upgrades!$T$8="Solar Wind",POWER(Upgrades!$U$8,G188),1)*IF(Upgrades!$T$9="Solar Wind",POWER(Upgrades!$U$9,H188),1)*IF(Upgrades!$T$10="Solar Wind",POWER(Upgrades!$U$10,I188),1)*IF(Upgrades!$T$11="Solar Wind",POWER(Upgrades!$U$11,J188),1)*IF(Upgrades!$T$12="Solar Wind",POWER(Upgrades!$U$12,K188),1))*POWER(Upgrades!$P$6,E188)*POWER(Upgrades!$P$7,F188)*POWER(Upgrades!$P$8,G188)*POWER(Upgrades!$P$9,H188)*POWER(Upgrades!$P$10,I188)*POWER(Upgrades!$P$11,J188)*POWER(Upgrades!$P$12,K188)*60</f>
        <v>72</v>
      </c>
      <c r="AB188" s="27" t="n">
        <f aca="false">(IF(F188=0,0,(Upgrades!$G$7+F188*Upgrades!$H$7)*POWER(Upgrades!$I$7,F188)))*(IF(Upgrades!$T$6="Asteroid Belt",POWER(Upgrades!$U$6,E188),1)*IF(Upgrades!$T$8="Asteroid Belt",POWER(Upgrades!$U$8,G188),1)*IF(Upgrades!$T$9="Asteroid Belt",POWER(Upgrades!$U$9,H188),1)*IF(Upgrades!$T$10="Asteroid Belt",POWER(Upgrades!$U$10,I188),1)*IF(Upgrades!$T$11="Asteroid Belt",POWER(Upgrades!$U$11,J188),1)*IF(Upgrades!$T$12="Asteroid Belt",POWER(Upgrades!$U$12,K188),1))*POWER(Upgrades!$P$6,E188)*POWER(Upgrades!$P$7,F188)*POWER(Upgrades!$P$8,G188)*POWER(Upgrades!$P$9,H188)*POWER(Upgrades!$P$10,I188)*POWER(Upgrades!$P$11,J188)*POWER(Upgrades!$P$12,K188)*60</f>
        <v>150</v>
      </c>
      <c r="AC188" s="27" t="n">
        <f aca="false">(IF(G188=0,0,(Upgrades!$J$8+G188*Upgrades!$K$8)*POWER(Upgrades!$L$8,G188)))*(IF(Upgrades!$T$6="Stellar Coupling",POWER(Upgrades!$U$6,E188),1)*IF(Upgrades!$T$7="Stellar Coupling",POWER(Upgrades!$U$7,F188),1)*IF(Upgrades!$T$9="Stellar Coupling",POWER(Upgrades!$U$9,H188),1)*IF(Upgrades!$T$10="Stellar Coupling",POWER(Upgrades!$U$10,I188),1)*IF(Upgrades!$T$11="Stellar Coupling",POWER(Upgrades!$U$11,J188),1)*IF(Upgrades!$T$12="Stellar Coupling",POWER(Upgrades!$U$12,K188),1))*POWER(Upgrades!$Q$6,E188)*POWER(Upgrades!$Q$7,F188)*POWER(Upgrades!$Q$8,G188)*POWER(Upgrades!$Q$9,H188)*POWER(Upgrades!$Q$10,I188)*POWER(Upgrades!$Q$11,J188)*POWER(Upgrades!$Q$12,K188)*Parameters!$B$10*Parameters!$B$11</f>
        <v>441</v>
      </c>
      <c r="AD188" s="27" t="n">
        <f aca="false">(IF(H188=0,0,(Upgrades!$G$9+H188*Upgrades!$H$9)*POWER(Upgrades!$I$9,H188)))*(IF(Upgrades!$T$6="Magnetosphere",POWER(Upgrades!$U$6,E188),1)*IF(Upgrades!$T$7="Magnetosphere",POWER(Upgrades!$U$7,F188),1)*IF(Upgrades!$T$8="Magnetosphere",POWER(Upgrades!$U$8,G188),1)*IF(Upgrades!$T$10="Magnetosphere",POWER(Upgrades!$U$10,I188),1)*IF(Upgrades!$T$11="Magnetosphere",POWER(Upgrades!$U$11,J188),1)*IF(Upgrades!$T$12="Magnetosphere",POWER(Upgrades!$U$12,K188),1))*POWER(Upgrades!$P$6,E188)*POWER(Upgrades!$P$7,F188)*POWER(Upgrades!$P$8,G188)*POWER(Upgrades!$P$9,H188)*POWER(Upgrades!$P$10,I188)*POWER(Upgrades!$P$11,J188)*POWER(Upgrades!$P$12,K188)*60</f>
        <v>375</v>
      </c>
      <c r="AE188" s="27" t="n">
        <f aca="false">(IF(K188=0,0,(Upgrades!$G$12+K188*Upgrades!$H$12)*POWER(Upgrades!$I$12,K188)))*(IF(Upgrades!$T$6="First Photons",POWER(Upgrades!$U$6,E188),1)*IF(Upgrades!$T$7="First Photons",POWER(Upgrades!$U$7,F188),1)*IF(Upgrades!$T$8="First Photons",POWER(Upgrades!$U$8,G188),1)*IF(Upgrades!$T$9="First Photons",POWER(Upgrades!$U$9,H188),1)*IF(Upgrades!$T$10="First Photons",POWER(Upgrades!$U$10,I188),1)*IF(Upgrades!$T$11="First Photons",POWER(Upgrades!$U$11,J188),1))*POWER(Upgrades!$P$6,E188)*POWER(Upgrades!$P$7,F188)*POWER(Upgrades!$P$8,G188)*POWER(Upgrades!$P$9,H188)*POWER(Upgrades!$P$10,I188)*POWER(Upgrades!$P$11,J188)*POWER(Upgrades!$P$12,K188)*60</f>
        <v>75</v>
      </c>
      <c r="AF188" s="27" t="n">
        <f aca="false">Parameters!$B$9*POWER(Upgrades!$Q$6,E188)*POWER(Upgrades!$Q$7,F188)*POWER(Upgrades!$Q$8,G188)*POWER(Upgrades!$Q$9,H188)*POWER(Upgrades!$Q$10,I188)*POWER(Upgrades!$Q$11,J188)*POWER(Upgrades!$Q$12,K188)*(Parameters!$B$10*Parameters!$B$11+O188*60)</f>
        <v>120</v>
      </c>
      <c r="AG188" s="21" t="n">
        <f aca="false">IF(E188&gt;=Upgrades!$E$6,"",Upgrades!$C$6*POWER(Upgrades!$D$6,E188))</f>
        <v>37.4517507383159</v>
      </c>
      <c r="AH188" s="21" t="n">
        <f aca="false">IF(F188&gt;=Upgrades!$E$7,"",Upgrades!$C$7*POWER(Upgrades!$D$7,F188))</f>
        <v>80.9111547141581</v>
      </c>
      <c r="AI188" s="21" t="n">
        <f aca="false">IF(G188&gt;=Upgrades!$E$8,"",Upgrades!$C$8*POWER(Upgrades!$D$8,G188))</f>
        <v>231.9097088</v>
      </c>
      <c r="AJ188" s="21" t="str">
        <f aca="false">IF(H188&gt;=Upgrades!$E$9,"",Upgrades!$C$9*POWER(Upgrades!$D$9,H188))</f>
        <v/>
      </c>
      <c r="AK188" s="21" t="str">
        <f aca="false">IF(I188&gt;=Upgrades!$E$10,"",Upgrades!$C$10*POWER(Upgrades!$D$10,I188))</f>
        <v/>
      </c>
      <c r="AL188" s="21" t="str">
        <f aca="false">IF(J188&gt;=Upgrades!$E$11,"",Upgrades!$C$11*POWER(Upgrades!$D$11,J188))</f>
        <v/>
      </c>
      <c r="AM188" s="21" t="str">
        <f aca="false">IF(K188&gt;=Upgrades!$E$12,"",Upgrades!$C$12*POWER(Upgrades!$D$12,K188))</f>
        <v/>
      </c>
      <c r="AN188" s="26" t="str">
        <f aca="false">IF(AND(D188&gt;=Parameters!$B$18,(H188&gt;=Upgrades!$E$9)*(K188&gt;=Upgrades!$E$12)=1,L188=0),1,"")</f>
        <v/>
      </c>
      <c r="AO188" s="26" t="str">
        <f aca="false">IF(AND(D188&gt;=Parameters!$B$18,L188=0),1,"")</f>
        <v/>
      </c>
      <c r="AP188" s="21" t="n">
        <f aca="false">MIN(IF(ISNUMBER(AK188),AK188,9000000000000000),IF(ISNUMBER(AL188),AL188,9000000000000000),IF(ISNUMBER(AM188),AM188,9000000000000000))</f>
        <v>9000000000000000</v>
      </c>
      <c r="AQ188" s="21" t="n">
        <f aca="false">MIN(IF(ISNUMBER(AG188),AG188,9000000000000000),IF(ISNUMBER(AH188),AH188,9000000000000000),IF(ISNUMBER(AI188),AI188,9000000000000000),IF(ISNUMBER(AJ188),AJ188,9000000000000000))</f>
        <v>37.4517507383159</v>
      </c>
      <c r="AR188" s="32" t="b">
        <f aca="false">IF(AW188&gt;Parameters!$B$21*(MAX(IF(AND(NOT(AND(AO188=1,AN188&lt;&gt;1)),ISNUMBER(AG188),AG188&lt;=T188),AS188,0),IF(AND(NOT(AND(AO188=1,AN188&lt;&gt;1)),ISNUMBER(AH188),AH188&lt;=T188),AT188,0),IF(AND(NOT(AND(AO188=1,AN188&lt;&gt;1)),ISNUMBER(AI188),AI188&lt;=T188),AU188,0),IF(AND(ISNUMBER(AJ188),AJ188&lt;=T188),AV188,0))),TRUE(),FALSE())</f>
        <v>1</v>
      </c>
      <c r="AS188" s="33" t="n">
        <f aca="false">IFERROR(Upgrades!$H$6*(POWER(Upgrades!$P$6,E188)*POWER(Upgrades!$P$7,F188)*POWER(Upgrades!$P$8,G188)*POWER(Upgrades!$P$9,H188)*POWER(Upgrades!$P$10,I188)*POWER(Upgrades!$P$11,J188)*POWER(Upgrades!$P$12,K188))*(IF(Upgrades!$T$7="Solar Wind",POWER(Upgrades!$U$7,F188),1)*IF(Upgrades!$T$8="Solar Wind",POWER(Upgrades!$U$8,G188),1)*IF(Upgrades!$T$9="Solar Wind",POWER(Upgrades!$U$9,H188),1)*IF(Upgrades!$T$10="Solar Wind",POWER(Upgrades!$U$10,I188),1)*IF(Upgrades!$T$11="Solar Wind",POWER(Upgrades!$U$11,J188),1)*IF(Upgrades!$T$12="Solar Wind",POWER(Upgrades!$U$12,K188),1))/AG188,0)</f>
        <v>0.0026701021455238</v>
      </c>
      <c r="AT188" s="33" t="n">
        <f aca="false">IFERROR(Upgrades!$H$7*(POWER(Upgrades!$P$6,E188)*POWER(Upgrades!$P$7,F188)*POWER(Upgrades!$P$8,G188)*POWER(Upgrades!$P$9,H188)*POWER(Upgrades!$P$10,I188)*POWER(Upgrades!$P$11,J188)*POWER(Upgrades!$P$12,K188))*(IF(Upgrades!$T$6="Asteroid Belt",POWER(Upgrades!$U$6,E188),1)*IF(Upgrades!$T$8="Asteroid Belt",POWER(Upgrades!$U$8,G188),1)*IF(Upgrades!$T$9="Asteroid Belt",POWER(Upgrades!$U$9,H188),1)*IF(Upgrades!$T$10="Asteroid Belt",POWER(Upgrades!$U$10,I188),1)*IF(Upgrades!$T$11="Asteroid Belt",POWER(Upgrades!$U$11,J188),1)*IF(Upgrades!$T$12="Asteroid Belt",POWER(Upgrades!$U$12,K188),1))/AH188,0)</f>
        <v>0.00308980882652332</v>
      </c>
      <c r="AU188" s="33" t="n">
        <f aca="false">IFERROR(Upgrades!$K$8*(POWER(Upgrades!$Q$6,E188)*POWER(Upgrades!$Q$7,F188)*POWER(Upgrades!$Q$8,G188)*POWER(Upgrades!$Q$9,H188)*POWER(Upgrades!$Q$10,I188)*POWER(Upgrades!$Q$11,J188)*POWER(Upgrades!$Q$12,K188))*(IF(Upgrades!$T$6="Stellar Coupling",POWER(Upgrades!$U$6,E188),1)*IF(Upgrades!$T$7="Stellar Coupling",POWER(Upgrades!$U$7,F188),1)*IF(Upgrades!$T$9="Stellar Coupling",POWER(Upgrades!$U$9,H188),1)*IF(Upgrades!$T$10="Stellar Coupling",POWER(Upgrades!$U$10,I188),1)*IF(Upgrades!$T$11="Stellar Coupling",POWER(Upgrades!$U$11,J188),1)*IF(Upgrades!$T$12="Stellar Coupling",POWER(Upgrades!$U$12,K188),1))*Parameters!$B$10*Parameters!$B$11/60/AI188,0)</f>
        <v>0.00452762415783776</v>
      </c>
      <c r="AV188" s="33" t="n">
        <f aca="false">IFERROR(Upgrades!$H$9*(POWER(Upgrades!$P$6,E188)*POWER(Upgrades!$P$7,F188)*POWER(Upgrades!$P$8,G188)*POWER(Upgrades!$P$9,H188)*POWER(Upgrades!$P$10,I188)*POWER(Upgrades!$P$11,J188)*POWER(Upgrades!$P$12,K188))*(IF(Upgrades!$T$6="Magnetosphere",POWER(Upgrades!$U$6,E188),1)*IF(Upgrades!$T$7="Magnetosphere",POWER(Upgrades!$U$7,F188),1)*IF(Upgrades!$T$8="Magnetosphere",POWER(Upgrades!$U$8,G188),1)*IF(Upgrades!$T$10="Magnetosphere",POWER(Upgrades!$U$10,I188),1)*IF(Upgrades!$T$11="Magnetosphere",POWER(Upgrades!$U$11,J188),1)*IF(Upgrades!$T$12="Magnetosphere",POWER(Upgrades!$U$12,K188),1))/AJ188,0)</f>
        <v>0</v>
      </c>
      <c r="AW188" s="33" t="n">
        <f aca="false">MAX(IF(I188&gt;0,0,IFERROR(0.25*N188/Upgrades!$C$10,0)),IF(J188&gt;0,0,IFERROR(0.5*((IF(G188=0,0,(Upgrades!$J$8+G188*Upgrades!$K$8)*POWER(Upgrades!$L$8,G188)))*(IF(Upgrades!$T$6="Stellar Coupling",POWER(Upgrades!$U$6,E188),1)*IF(Upgrades!$T$7="Stellar Coupling",POWER(Upgrades!$U$7,F188),1)*IF(Upgrades!$T$9="Stellar Coupling",POWER(Upgrades!$U$9,H188),1)*IF(Upgrades!$T$10="Stellar Coupling",POWER(Upgrades!$U$10,I188),1)*IF(Upgrades!$T$11="Stellar Coupling",POWER(Upgrades!$U$11,J188),1)*IF(Upgrades!$T$12="Stellar Coupling",POWER(Upgrades!$U$12,K188),1))*(POWER(Upgrades!$Q$6,E188)*POWER(Upgrades!$Q$7,F188)*POWER(Upgrades!$Q$8,G188)*POWER(Upgrades!$Q$9,H188)*POWER(Upgrades!$Q$10,I188)*POWER(Upgrades!$Q$11,J188)*POWER(Upgrades!$Q$12,K188))*Parameters!$B$10*Parameters!$B$11/60)/Upgrades!$C$11,0)),IF(K188&gt;0,0,IFERROR((1*(POWER(Upgrades!$P$6,E188)*POWER(Upgrades!$P$7,F188)*POWER(Upgrades!$P$8,G188)*POWER(Upgrades!$P$9,H188)*POWER(Upgrades!$P$10,I188)*POWER(Upgrades!$P$11,J188)*POWER(Upgrades!$P$12,K188))+0.2*M188*Parameters!$B$10*Parameters!$B$11/60)/Upgrades!$C$12,0)),IF(AND(ISNUMBER(AG188),AG188&gt;T188),AS188,0),IF(AND(ISNUMBER(AH188),AH188&gt;T188),AT188,0),IF(AND(ISNUMBER(AI188),AI188&gt;T188),AU188,0),IF(AND(ISNUMBER(AJ188),AJ188&gt;T188),AV188,0))</f>
        <v>0.00452762415783776</v>
      </c>
      <c r="AX188" s="29" t="str">
        <f aca="false">IF(AN188=1,"transition",IF(MIN(IF(AND(I188=0,ISNUMBER(AK188),AK188&lt;=T188),AK188,9000000000000000),IF(AND(J188=0,ISNUMBER(AL188),AL188&lt;=T188),AL188,9000000000000000),IF(AND(K188=0,ISNUMBER(AM188),AM188&lt;=T188),AM188,9000000000000000))&lt;9000000000000000,IF(AND(AND(I188=0,ISNUMBER(AK188),AK188&lt;=T188),AK188=MIN(IF(AND(I188=0,ISNUMBER(AK188),AK188&lt;=T188),AK188,9000000000000000),IF(AND(J188=0,ISNUMBER(AL188),AL188&lt;=T188),AL188,9000000000000000),IF(AND(K188=0,ISNUMBER(AM188),AM188&lt;=T188),AM188,9000000000000000))),"OR",IF(AND(AND(J188=0,ISNUMBER(AL188),AL188&lt;=T188),AL188=MIN(IF(AND(I188=0,ISNUMBER(AK188),AK188&lt;=T188),AK188,9000000000000000),IF(AND(J188=0,ISNUMBER(AL188),AL188&lt;=T188),AL188,9000000000000000),IF(AND(K188=0,ISNUMBER(AM188),AM188&lt;=T188),AM188,9000000000000000))),"HP","FP")),IF(AR188=TRUE(),"",IF(MAX(IF(AND(NOT(AND(AO188=1,AN188&lt;&gt;1)),ISNUMBER(AG188),AG188&lt;=T188),AS188,0),IF(AND(NOT(AND(AO188=1,AN188&lt;&gt;1)),ISNUMBER(AH188),AH188&lt;=T188),AT188,0),IF(AND(NOT(AND(AO188=1,AN188&lt;&gt;1)),ISNUMBER(AI188),AI188&lt;=T188),AU188,0),IF(AND(ISNUMBER(AJ188),AJ188&lt;=T188),AV188,0))&lt;=0,"",IF(AND(IF(AND(NOT(AND(AO188=1,AN188&lt;&gt;1)),ISNUMBER(AG188),AG188&lt;=T188),AS188,0)&gt;0,IF(AND(NOT(AND(AO188=1,AN188&lt;&gt;1)),ISNUMBER(AG188),AG188&lt;=T188),AS188,0)=MAX(IF(AND(NOT(AND(AO188=1,AN188&lt;&gt;1)),ISNUMBER(AG188),AG188&lt;=T188),AS188,0),IF(AND(NOT(AND(AO188=1,AN188&lt;&gt;1)),ISNUMBER(AH188),AH188&lt;=T188),AT188,0),IF(AND(NOT(AND(AO188=1,AN188&lt;&gt;1)),ISNUMBER(AI188),AI188&lt;=T188),AU188,0),IF(AND(ISNUMBER(AJ188),AJ188&lt;=T188),AV188,0))),"SW",IF(AND(IF(AND(NOT(AND(AO188=1,AN188&lt;&gt;1)),ISNUMBER(AH188),AH188&lt;=T188),AT188,0)&gt;0,IF(AND(NOT(AND(AO188=1,AN188&lt;&gt;1)),ISNUMBER(AH188),AH188&lt;=T188),AT188,0)=MAX(IF(AND(NOT(AND(AO188=1,AN188&lt;&gt;1)),ISNUMBER(AG188),AG188&lt;=T188),AS188,0),IF(AND(NOT(AND(AO188=1,AN188&lt;&gt;1)),ISNUMBER(AH188),AH188&lt;=T188),AT188,0),IF(AND(NOT(AND(AO188=1,AN188&lt;&gt;1)),ISNUMBER(AI188),AI188&lt;=T188),AU188,0),IF(AND(ISNUMBER(AJ188),AJ188&lt;=T188),AV188,0))),"AB",IF(AND(IF(AND(NOT(AND(AO188=1,AN188&lt;&gt;1)),ISNUMBER(AI188),AI188&lt;=T188),AU188,0)&gt;0,IF(AND(NOT(AND(AO188=1,AN188&lt;&gt;1)),ISNUMBER(AI188),AI188&lt;=T188),AU188,0)=MAX(IF(AND(NOT(AND(AO188=1,AN188&lt;&gt;1)),ISNUMBER(AG188),AG188&lt;=T188),AS188,0),IF(AND(NOT(AND(AO188=1,AN188&lt;&gt;1)),ISNUMBER(AH188),AH188&lt;=T188),AT188,0),IF(AND(NOT(AND(AO188=1,AN188&lt;&gt;1)),ISNUMBER(AI188),AI188&lt;=T188),AU188,0),IF(AND(ISNUMBER(AJ188),AJ188&lt;=T188),AV188,0))),"SC","Mag")))))))</f>
        <v/>
      </c>
    </row>
    <row r="189" customFormat="false" ht="15" hidden="false" customHeight="false" outlineLevel="0" collapsed="false">
      <c r="A189" s="26" t="n">
        <v>184</v>
      </c>
      <c r="B189" s="27" t="n">
        <f aca="false">A189*10/60</f>
        <v>30.6666666666667</v>
      </c>
      <c r="C189" s="21" t="n">
        <f aca="false">X188</f>
        <v>18.6730249835055</v>
      </c>
      <c r="D189" s="27" t="n">
        <f aca="false">D188+W188</f>
        <v>0</v>
      </c>
      <c r="E189" s="26" t="n">
        <f aca="false">E188+IF(U188="SW",1,0)</f>
        <v>12</v>
      </c>
      <c r="F189" s="26" t="n">
        <f aca="false">F188+IF(U188="AB",1,0)</f>
        <v>10</v>
      </c>
      <c r="G189" s="26" t="n">
        <f aca="false">G188+IF(U188="SC",1,0)</f>
        <v>7</v>
      </c>
      <c r="H189" s="26" t="n">
        <f aca="false">H188+IF(U188="Mag",1,0)</f>
        <v>5</v>
      </c>
      <c r="I189" s="26" t="n">
        <f aca="false">MAX(I188,IF(U188="OR",1,0))</f>
        <v>1</v>
      </c>
      <c r="J189" s="26" t="n">
        <f aca="false">MAX(J188,IF(U188="HP",1,0))</f>
        <v>1</v>
      </c>
      <c r="K189" s="26" t="n">
        <f aca="false">MAX(K188,IF(U188="FP",1,0))</f>
        <v>1</v>
      </c>
      <c r="L189" s="26" t="n">
        <f aca="false">MAX(L188,IF(U188="transition",1,0))</f>
        <v>1</v>
      </c>
      <c r="M189" s="28" t="n">
        <f aca="false">(Parameters!$B$9+(IF(E189=0,0,(Upgrades!$J$6+E189*Upgrades!$K$6)*POWER(Upgrades!$L$6,E189)))*(IF(Upgrades!$T$7="Solar Wind",POWER(Upgrades!$U$7,F189),1)*IF(Upgrades!$T$8="Solar Wind",POWER(Upgrades!$U$8,G189),1)*IF(Upgrades!$T$9="Solar Wind",POWER(Upgrades!$U$9,H189),1)*IF(Upgrades!$T$10="Solar Wind",POWER(Upgrades!$U$10,I189),1)*IF(Upgrades!$T$11="Solar Wind",POWER(Upgrades!$U$11,J189),1)*IF(Upgrades!$T$12="Solar Wind",POWER(Upgrades!$U$12,K189),1))+(IF(F189=0,0,(Upgrades!$J$7+F189*Upgrades!$K$7)*POWER(Upgrades!$L$7,F189)))*(IF(Upgrades!$T$6="Asteroid Belt",POWER(Upgrades!$U$6,E189),1)*IF(Upgrades!$T$8="Asteroid Belt",POWER(Upgrades!$U$8,G189),1)*IF(Upgrades!$T$9="Asteroid Belt",POWER(Upgrades!$U$9,H189),1)*IF(Upgrades!$T$10="Asteroid Belt",POWER(Upgrades!$U$10,I189),1)*IF(Upgrades!$T$11="Asteroid Belt",POWER(Upgrades!$U$11,J189),1)*IF(Upgrades!$T$12="Asteroid Belt",POWER(Upgrades!$U$12,K189),1))+(IF(G189=0,0,(Upgrades!$J$8+G189*Upgrades!$K$8)*POWER(Upgrades!$L$8,G189)))*(IF(Upgrades!$T$6="Stellar Coupling",POWER(Upgrades!$U$6,E189),1)*IF(Upgrades!$T$7="Stellar Coupling",POWER(Upgrades!$U$7,F189),1)*IF(Upgrades!$T$9="Stellar Coupling",POWER(Upgrades!$U$9,H189),1)*IF(Upgrades!$T$10="Stellar Coupling",POWER(Upgrades!$U$10,I189),1)*IF(Upgrades!$T$11="Stellar Coupling",POWER(Upgrades!$U$11,J189),1)*IF(Upgrades!$T$12="Stellar Coupling",POWER(Upgrades!$U$12,K189),1))+(IF(H189=0,0,(Upgrades!$J$9+H189*Upgrades!$K$9)*POWER(Upgrades!$L$9,H189)))*(IF(Upgrades!$T$6="Magnetosphere",POWER(Upgrades!$U$6,E189),1)*IF(Upgrades!$T$7="Magnetosphere",POWER(Upgrades!$U$7,F189),1)*IF(Upgrades!$T$8="Magnetosphere",POWER(Upgrades!$U$8,G189),1)*IF(Upgrades!$T$10="Magnetosphere",POWER(Upgrades!$U$10,I189),1)*IF(Upgrades!$T$11="Magnetosphere",POWER(Upgrades!$U$11,J189),1)*IF(Upgrades!$T$12="Magnetosphere",POWER(Upgrades!$U$12,K189),1))+(IF(I189=0,0,(Upgrades!$J$10+I189*Upgrades!$K$10)*POWER(Upgrades!$L$10,I189)))*(IF(Upgrades!$T$6="Orbital Resonance",POWER(Upgrades!$U$6,E189),1)*IF(Upgrades!$T$7="Orbital Resonance",POWER(Upgrades!$U$7,F189),1)*IF(Upgrades!$T$8="Orbital Resonance",POWER(Upgrades!$U$8,G189),1)*IF(Upgrades!$T$9="Orbital Resonance",POWER(Upgrades!$U$9,H189),1)*IF(Upgrades!$T$11="Orbital Resonance",POWER(Upgrades!$U$11,J189),1)*IF(Upgrades!$T$12="Orbital Resonance",POWER(Upgrades!$U$12,K189),1))+(IF(J189=0,0,(Upgrades!$J$11+J189*Upgrades!$K$11)*POWER(Upgrades!$L$11,J189)))*(IF(Upgrades!$T$6="Heliopause",POWER(Upgrades!$U$6,E189),1)*IF(Upgrades!$T$7="Heliopause",POWER(Upgrades!$U$7,F189),1)*IF(Upgrades!$T$8="Heliopause",POWER(Upgrades!$U$8,G189),1)*IF(Upgrades!$T$9="Heliopause",POWER(Upgrades!$U$9,H189),1)*IF(Upgrades!$T$10="Heliopause",POWER(Upgrades!$U$10,I189),1)*IF(Upgrades!$T$12="Heliopause",POWER(Upgrades!$U$12,K189),1))+(IF(K189=0,0,(Upgrades!$J$12+K189*Upgrades!$K$12)*POWER(Upgrades!$L$12,K189)))*(IF(Upgrades!$T$6="First Photons",POWER(Upgrades!$U$6,E189),1)*IF(Upgrades!$T$7="First Photons",POWER(Upgrades!$U$7,F189),1)*IF(Upgrades!$T$8="First Photons",POWER(Upgrades!$U$8,G189),1)*IF(Upgrades!$T$9="First Photons",POWER(Upgrades!$U$9,H189),1)*IF(Upgrades!$T$10="First Photons",POWER(Upgrades!$U$10,I189),1)*IF(Upgrades!$T$11="First Photons",POWER(Upgrades!$U$11,J189),1)))*POWER(Upgrades!$Q$6,E189)*POWER(Upgrades!$Q$7,F189)*POWER(Upgrades!$Q$8,G189)*POWER(Upgrades!$Q$9,H189)*POWER(Upgrades!$Q$10,I189)*POWER(Upgrades!$Q$11,J189)*POWER(Upgrades!$Q$12,K189)</f>
        <v>5.61</v>
      </c>
      <c r="N189" s="28" t="n">
        <f aca="false">((IF(E189=0,0,(Upgrades!$G$6+E189*Upgrades!$H$6)*POWER(Upgrades!$I$6,E189)))*(IF(Upgrades!$T$7="Solar Wind",POWER(Upgrades!$U$7,F189),1)*IF(Upgrades!$T$8="Solar Wind",POWER(Upgrades!$U$8,G189),1)*IF(Upgrades!$T$9="Solar Wind",POWER(Upgrades!$U$9,H189),1)*IF(Upgrades!$T$10="Solar Wind",POWER(Upgrades!$U$10,I189),1)*IF(Upgrades!$T$11="Solar Wind",POWER(Upgrades!$U$11,J189),1)*IF(Upgrades!$T$12="Solar Wind",POWER(Upgrades!$U$12,K189),1))+(IF(F189=0,0,(Upgrades!$G$7+F189*Upgrades!$H$7)*POWER(Upgrades!$I$7,F189)))*(IF(Upgrades!$T$6="Asteroid Belt",POWER(Upgrades!$U$6,E189),1)*IF(Upgrades!$T$8="Asteroid Belt",POWER(Upgrades!$U$8,G189),1)*IF(Upgrades!$T$9="Asteroid Belt",POWER(Upgrades!$U$9,H189),1)*IF(Upgrades!$T$10="Asteroid Belt",POWER(Upgrades!$U$10,I189),1)*IF(Upgrades!$T$11="Asteroid Belt",POWER(Upgrades!$U$11,J189),1)*IF(Upgrades!$T$12="Asteroid Belt",POWER(Upgrades!$U$12,K189),1))+(IF(G189=0,0,(Upgrades!$G$8+G189*Upgrades!$H$8)*POWER(Upgrades!$I$8,G189)))*(IF(Upgrades!$T$6="Stellar Coupling",POWER(Upgrades!$U$6,E189),1)*IF(Upgrades!$T$7="Stellar Coupling",POWER(Upgrades!$U$7,F189),1)*IF(Upgrades!$T$9="Stellar Coupling",POWER(Upgrades!$U$9,H189),1)*IF(Upgrades!$T$10="Stellar Coupling",POWER(Upgrades!$U$10,I189),1)*IF(Upgrades!$T$11="Stellar Coupling",POWER(Upgrades!$U$11,J189),1)*IF(Upgrades!$T$12="Stellar Coupling",POWER(Upgrades!$U$12,K189),1))+(IF(H189=0,0,(Upgrades!$G$9+H189*Upgrades!$H$9)*POWER(Upgrades!$I$9,H189)))*(IF(Upgrades!$T$6="Magnetosphere",POWER(Upgrades!$U$6,E189),1)*IF(Upgrades!$T$7="Magnetosphere",POWER(Upgrades!$U$7,F189),1)*IF(Upgrades!$T$8="Magnetosphere",POWER(Upgrades!$U$8,G189),1)*IF(Upgrades!$T$10="Magnetosphere",POWER(Upgrades!$U$10,I189),1)*IF(Upgrades!$T$11="Magnetosphere",POWER(Upgrades!$U$11,J189),1)*IF(Upgrades!$T$12="Magnetosphere",POWER(Upgrades!$U$12,K189),1))+(IF(I189=0,0,(Upgrades!$G$10+I189*Upgrades!$H$10)*POWER(Upgrades!$I$10,I189)))*(IF(Upgrades!$T$6="Orbital Resonance",POWER(Upgrades!$U$6,E189),1)*IF(Upgrades!$T$7="Orbital Resonance",POWER(Upgrades!$U$7,F189),1)*IF(Upgrades!$T$8="Orbital Resonance",POWER(Upgrades!$U$8,G189),1)*IF(Upgrades!$T$9="Orbital Resonance",POWER(Upgrades!$U$9,H189),1)*IF(Upgrades!$T$11="Orbital Resonance",POWER(Upgrades!$U$11,J189),1)*IF(Upgrades!$T$12="Orbital Resonance",POWER(Upgrades!$U$12,K189),1))+(IF(J189=0,0,(Upgrades!$G$11+J189*Upgrades!$H$11)*POWER(Upgrades!$I$11,J189)))*(IF(Upgrades!$T$6="Heliopause",POWER(Upgrades!$U$6,E189),1)*IF(Upgrades!$T$7="Heliopause",POWER(Upgrades!$U$7,F189),1)*IF(Upgrades!$T$8="Heliopause",POWER(Upgrades!$U$8,G189),1)*IF(Upgrades!$T$9="Heliopause",POWER(Upgrades!$U$9,H189),1)*IF(Upgrades!$T$10="Heliopause",POWER(Upgrades!$U$10,I189),1)*IF(Upgrades!$T$12="Heliopause",POWER(Upgrades!$U$12,K189),1))+(IF(K189=0,0,(Upgrades!$G$12+K189*Upgrades!$H$12)*POWER(Upgrades!$I$12,K189)))*(IF(Upgrades!$T$6="First Photons",POWER(Upgrades!$U$6,E189),1)*IF(Upgrades!$T$7="First Photons",POWER(Upgrades!$U$7,F189),1)*IF(Upgrades!$T$8="First Photons",POWER(Upgrades!$U$8,G189),1)*IF(Upgrades!$T$9="First Photons",POWER(Upgrades!$U$9,H189),1)*IF(Upgrades!$T$10="First Photons",POWER(Upgrades!$U$10,I189),1)*IF(Upgrades!$T$11="First Photons",POWER(Upgrades!$U$11,J189),1)))*POWER(Upgrades!$P$6,E189)*POWER(Upgrades!$P$7,F189)*POWER(Upgrades!$P$8,G189)*POWER(Upgrades!$P$9,H189)*POWER(Upgrades!$P$10,I189)*POWER(Upgrades!$P$11,J189)*POWER(Upgrades!$P$12,K189)</f>
        <v>11.2</v>
      </c>
      <c r="O189" s="28" t="n">
        <f aca="false">((IF(E189=0,0,(Upgrades!$M$6+E189*Upgrades!$N$6)*POWER(Upgrades!$O$6,E189)))*(IF(Upgrades!$T$7="Solar Wind",POWER(Upgrades!$U$7,F189),1)*IF(Upgrades!$T$8="Solar Wind",POWER(Upgrades!$U$8,G189),1)*IF(Upgrades!$T$9="Solar Wind",POWER(Upgrades!$U$9,H189),1)*IF(Upgrades!$T$10="Solar Wind",POWER(Upgrades!$U$10,I189),1)*IF(Upgrades!$T$11="Solar Wind",POWER(Upgrades!$U$11,J189),1)*IF(Upgrades!$T$12="Solar Wind",POWER(Upgrades!$U$12,K189),1))+(IF(F189=0,0,(Upgrades!$M$7+F189*Upgrades!$N$7)*POWER(Upgrades!$O$7,F189)))*(IF(Upgrades!$T$6="Asteroid Belt",POWER(Upgrades!$U$6,E189),1)*IF(Upgrades!$T$8="Asteroid Belt",POWER(Upgrades!$U$8,G189),1)*IF(Upgrades!$T$9="Asteroid Belt",POWER(Upgrades!$U$9,H189),1)*IF(Upgrades!$T$10="Asteroid Belt",POWER(Upgrades!$U$10,I189),1)*IF(Upgrades!$T$11="Asteroid Belt",POWER(Upgrades!$U$11,J189),1)*IF(Upgrades!$T$12="Asteroid Belt",POWER(Upgrades!$U$12,K189),1))+(IF(G189=0,0,(Upgrades!$M$8+G189*Upgrades!$N$8)*POWER(Upgrades!$O$8,G189)))*(IF(Upgrades!$T$6="Stellar Coupling",POWER(Upgrades!$U$6,E189),1)*IF(Upgrades!$T$7="Stellar Coupling",POWER(Upgrades!$U$7,F189),1)*IF(Upgrades!$T$9="Stellar Coupling",POWER(Upgrades!$U$9,H189),1)*IF(Upgrades!$T$10="Stellar Coupling",POWER(Upgrades!$U$10,I189),1)*IF(Upgrades!$T$11="Stellar Coupling",POWER(Upgrades!$U$11,J189),1)*IF(Upgrades!$T$12="Stellar Coupling",POWER(Upgrades!$U$12,K189),1))+(IF(H189=0,0,(Upgrades!$M$9+H189*Upgrades!$N$9)*POWER(Upgrades!$O$9,H189)))*(IF(Upgrades!$T$6="Magnetosphere",POWER(Upgrades!$U$6,E189),1)*IF(Upgrades!$T$7="Magnetosphere",POWER(Upgrades!$U$7,F189),1)*IF(Upgrades!$T$8="Magnetosphere",POWER(Upgrades!$U$8,G189),1)*IF(Upgrades!$T$10="Magnetosphere",POWER(Upgrades!$U$10,I189),1)*IF(Upgrades!$T$11="Magnetosphere",POWER(Upgrades!$U$11,J189),1)*IF(Upgrades!$T$12="Magnetosphere",POWER(Upgrades!$U$12,K189),1))+(IF(I189=0,0,(Upgrades!$M$10+I189*Upgrades!$N$10)*POWER(Upgrades!$O$10,I189)))*(IF(Upgrades!$T$6="Orbital Resonance",POWER(Upgrades!$U$6,E189),1)*IF(Upgrades!$T$7="Orbital Resonance",POWER(Upgrades!$U$7,F189),1)*IF(Upgrades!$T$8="Orbital Resonance",POWER(Upgrades!$U$8,G189),1)*IF(Upgrades!$T$9="Orbital Resonance",POWER(Upgrades!$U$9,H189),1)*IF(Upgrades!$T$11="Orbital Resonance",POWER(Upgrades!$U$11,J189),1)*IF(Upgrades!$T$12="Orbital Resonance",POWER(Upgrades!$U$12,K189),1))+(IF(J189=0,0,(Upgrades!$M$11+J189*Upgrades!$N$11)*POWER(Upgrades!$O$11,J189)))*(IF(Upgrades!$T$6="Heliopause",POWER(Upgrades!$U$6,E189),1)*IF(Upgrades!$T$7="Heliopause",POWER(Upgrades!$U$7,F189),1)*IF(Upgrades!$T$8="Heliopause",POWER(Upgrades!$U$8,G189),1)*IF(Upgrades!$T$9="Heliopause",POWER(Upgrades!$U$9,H189),1)*IF(Upgrades!$T$10="Heliopause",POWER(Upgrades!$U$10,I189),1)*IF(Upgrades!$T$12="Heliopause",POWER(Upgrades!$U$12,K189),1))+(IF(K189=0,0,(Upgrades!$M$12+K189*Upgrades!$N$12)*POWER(Upgrades!$O$12,K189)))*(IF(Upgrades!$T$6="First Photons",POWER(Upgrades!$U$6,E189),1)*IF(Upgrades!$T$7="First Photons",POWER(Upgrades!$U$7,F189),1)*IF(Upgrades!$T$8="First Photons",POWER(Upgrades!$U$8,G189),1)*IF(Upgrades!$T$9="First Photons",POWER(Upgrades!$U$9,H189),1)*IF(Upgrades!$T$10="First Photons",POWER(Upgrades!$U$10,I189),1)*IF(Upgrades!$T$11="First Photons",POWER(Upgrades!$U$11,J189),1)))*POWER(Upgrades!$R$6,E189)*POWER(Upgrades!$R$7,F189)*POWER(Upgrades!$R$8,G189)*POWER(Upgrades!$R$9,H189)*POWER(Upgrades!$R$10,I189)*POWER(Upgrades!$R$11,J189)*POWER(Upgrades!$R$12,K189)</f>
        <v>0</v>
      </c>
      <c r="P189" s="27" t="n">
        <f aca="false">IF(L189=1,0,M189*Parameters!$B$10/60*Parameters!$B$11*10)</f>
        <v>0</v>
      </c>
      <c r="Q189" s="27" t="n">
        <f aca="false">IF(L189=1,0,O189*M189*10)</f>
        <v>0</v>
      </c>
      <c r="R189" s="27" t="n">
        <f aca="false">IF(L189=1,0,N189*10)</f>
        <v>0</v>
      </c>
      <c r="S189" s="27" t="n">
        <f aca="false">P189+Q189+R189</f>
        <v>0</v>
      </c>
      <c r="T189" s="21" t="n">
        <f aca="false">C189+S189</f>
        <v>18.6730249835055</v>
      </c>
      <c r="U189" s="34" t="str">
        <f aca="false">AX189</f>
        <v/>
      </c>
      <c r="V189" s="21" t="n">
        <f aca="false">IF(U189="",0,IF(U189="transition",0,IF(U189="SW",AG189,IF(U189="AB",AH189,IF(U189="SC",AI189,IF(U189="Mag",AJ189,IF(U189="OR",AK189,IF(U189="HP",AL189,IF(U189="FP",AM189,0)))))))))</f>
        <v>0</v>
      </c>
      <c r="W189" s="27" t="n">
        <f aca="false">IF(U189="OR",Upgrades!$F$10,IF(U189="HP",Upgrades!$F$11,IF(U189="transition",-Parameters!$B$18,0)))</f>
        <v>0</v>
      </c>
      <c r="X189" s="21" t="n">
        <f aca="false">T189-V189</f>
        <v>18.6730249835055</v>
      </c>
      <c r="Y189" s="30" t="n">
        <f aca="false">M189*Parameters!$B$10/60*Parameters!$B$11+O189*M189+N189</f>
        <v>20.55</v>
      </c>
      <c r="Z189" s="35" t="str">
        <f aca="false">IF(U189="transition","→ Tier 2 (Stellar Neighborhood)",IF(U189="FP","First Photons — light begins, system quickens",IF(U189="HP","Heliopause acquired",IF(U189="OR","Orbital Resonance — passive multiplier active",IF(AND(AO189=1,L189=0,AN189&lt;&gt;1),"Cohesion ready (waiting on completionist upgrades)","")))))</f>
        <v/>
      </c>
      <c r="AA189" s="27" t="n">
        <f aca="false">(IF(E189=0,0,(Upgrades!$G$6+E189*Upgrades!$H$6)*POWER(Upgrades!$I$6,E189)))*(IF(Upgrades!$T$7="Solar Wind",POWER(Upgrades!$U$7,F189),1)*IF(Upgrades!$T$8="Solar Wind",POWER(Upgrades!$U$8,G189),1)*IF(Upgrades!$T$9="Solar Wind",POWER(Upgrades!$U$9,H189),1)*IF(Upgrades!$T$10="Solar Wind",POWER(Upgrades!$U$10,I189),1)*IF(Upgrades!$T$11="Solar Wind",POWER(Upgrades!$U$11,J189),1)*IF(Upgrades!$T$12="Solar Wind",POWER(Upgrades!$U$12,K189),1))*POWER(Upgrades!$P$6,E189)*POWER(Upgrades!$P$7,F189)*POWER(Upgrades!$P$8,G189)*POWER(Upgrades!$P$9,H189)*POWER(Upgrades!$P$10,I189)*POWER(Upgrades!$P$11,J189)*POWER(Upgrades!$P$12,K189)*60</f>
        <v>72</v>
      </c>
      <c r="AB189" s="27" t="n">
        <f aca="false">(IF(F189=0,0,(Upgrades!$G$7+F189*Upgrades!$H$7)*POWER(Upgrades!$I$7,F189)))*(IF(Upgrades!$T$6="Asteroid Belt",POWER(Upgrades!$U$6,E189),1)*IF(Upgrades!$T$8="Asteroid Belt",POWER(Upgrades!$U$8,G189),1)*IF(Upgrades!$T$9="Asteroid Belt",POWER(Upgrades!$U$9,H189),1)*IF(Upgrades!$T$10="Asteroid Belt",POWER(Upgrades!$U$10,I189),1)*IF(Upgrades!$T$11="Asteroid Belt",POWER(Upgrades!$U$11,J189),1)*IF(Upgrades!$T$12="Asteroid Belt",POWER(Upgrades!$U$12,K189),1))*POWER(Upgrades!$P$6,E189)*POWER(Upgrades!$P$7,F189)*POWER(Upgrades!$P$8,G189)*POWER(Upgrades!$P$9,H189)*POWER(Upgrades!$P$10,I189)*POWER(Upgrades!$P$11,J189)*POWER(Upgrades!$P$12,K189)*60</f>
        <v>150</v>
      </c>
      <c r="AC189" s="27" t="n">
        <f aca="false">(IF(G189=0,0,(Upgrades!$J$8+G189*Upgrades!$K$8)*POWER(Upgrades!$L$8,G189)))*(IF(Upgrades!$T$6="Stellar Coupling",POWER(Upgrades!$U$6,E189),1)*IF(Upgrades!$T$7="Stellar Coupling",POWER(Upgrades!$U$7,F189),1)*IF(Upgrades!$T$9="Stellar Coupling",POWER(Upgrades!$U$9,H189),1)*IF(Upgrades!$T$10="Stellar Coupling",POWER(Upgrades!$U$10,I189),1)*IF(Upgrades!$T$11="Stellar Coupling",POWER(Upgrades!$U$11,J189),1)*IF(Upgrades!$T$12="Stellar Coupling",POWER(Upgrades!$U$12,K189),1))*POWER(Upgrades!$Q$6,E189)*POWER(Upgrades!$Q$7,F189)*POWER(Upgrades!$Q$8,G189)*POWER(Upgrades!$Q$9,H189)*POWER(Upgrades!$Q$10,I189)*POWER(Upgrades!$Q$11,J189)*POWER(Upgrades!$Q$12,K189)*Parameters!$B$10*Parameters!$B$11</f>
        <v>441</v>
      </c>
      <c r="AD189" s="27" t="n">
        <f aca="false">(IF(H189=0,0,(Upgrades!$G$9+H189*Upgrades!$H$9)*POWER(Upgrades!$I$9,H189)))*(IF(Upgrades!$T$6="Magnetosphere",POWER(Upgrades!$U$6,E189),1)*IF(Upgrades!$T$7="Magnetosphere",POWER(Upgrades!$U$7,F189),1)*IF(Upgrades!$T$8="Magnetosphere",POWER(Upgrades!$U$8,G189),1)*IF(Upgrades!$T$10="Magnetosphere",POWER(Upgrades!$U$10,I189),1)*IF(Upgrades!$T$11="Magnetosphere",POWER(Upgrades!$U$11,J189),1)*IF(Upgrades!$T$12="Magnetosphere",POWER(Upgrades!$U$12,K189),1))*POWER(Upgrades!$P$6,E189)*POWER(Upgrades!$P$7,F189)*POWER(Upgrades!$P$8,G189)*POWER(Upgrades!$P$9,H189)*POWER(Upgrades!$P$10,I189)*POWER(Upgrades!$P$11,J189)*POWER(Upgrades!$P$12,K189)*60</f>
        <v>375</v>
      </c>
      <c r="AE189" s="27" t="n">
        <f aca="false">(IF(K189=0,0,(Upgrades!$G$12+K189*Upgrades!$H$12)*POWER(Upgrades!$I$12,K189)))*(IF(Upgrades!$T$6="First Photons",POWER(Upgrades!$U$6,E189),1)*IF(Upgrades!$T$7="First Photons",POWER(Upgrades!$U$7,F189),1)*IF(Upgrades!$T$8="First Photons",POWER(Upgrades!$U$8,G189),1)*IF(Upgrades!$T$9="First Photons",POWER(Upgrades!$U$9,H189),1)*IF(Upgrades!$T$10="First Photons",POWER(Upgrades!$U$10,I189),1)*IF(Upgrades!$T$11="First Photons",POWER(Upgrades!$U$11,J189),1))*POWER(Upgrades!$P$6,E189)*POWER(Upgrades!$P$7,F189)*POWER(Upgrades!$P$8,G189)*POWER(Upgrades!$P$9,H189)*POWER(Upgrades!$P$10,I189)*POWER(Upgrades!$P$11,J189)*POWER(Upgrades!$P$12,K189)*60</f>
        <v>75</v>
      </c>
      <c r="AF189" s="27" t="n">
        <f aca="false">Parameters!$B$9*POWER(Upgrades!$Q$6,E189)*POWER(Upgrades!$Q$7,F189)*POWER(Upgrades!$Q$8,G189)*POWER(Upgrades!$Q$9,H189)*POWER(Upgrades!$Q$10,I189)*POWER(Upgrades!$Q$11,J189)*POWER(Upgrades!$Q$12,K189)*(Parameters!$B$10*Parameters!$B$11+O189*60)</f>
        <v>120</v>
      </c>
      <c r="AG189" s="21" t="n">
        <f aca="false">IF(E189&gt;=Upgrades!$E$6,"",Upgrades!$C$6*POWER(Upgrades!$D$6,E189))</f>
        <v>37.4517507383159</v>
      </c>
      <c r="AH189" s="21" t="n">
        <f aca="false">IF(F189&gt;=Upgrades!$E$7,"",Upgrades!$C$7*POWER(Upgrades!$D$7,F189))</f>
        <v>80.9111547141581</v>
      </c>
      <c r="AI189" s="21" t="n">
        <f aca="false">IF(G189&gt;=Upgrades!$E$8,"",Upgrades!$C$8*POWER(Upgrades!$D$8,G189))</f>
        <v>231.9097088</v>
      </c>
      <c r="AJ189" s="21" t="str">
        <f aca="false">IF(H189&gt;=Upgrades!$E$9,"",Upgrades!$C$9*POWER(Upgrades!$D$9,H189))</f>
        <v/>
      </c>
      <c r="AK189" s="21" t="str">
        <f aca="false">IF(I189&gt;=Upgrades!$E$10,"",Upgrades!$C$10*POWER(Upgrades!$D$10,I189))</f>
        <v/>
      </c>
      <c r="AL189" s="21" t="str">
        <f aca="false">IF(J189&gt;=Upgrades!$E$11,"",Upgrades!$C$11*POWER(Upgrades!$D$11,J189))</f>
        <v/>
      </c>
      <c r="AM189" s="21" t="str">
        <f aca="false">IF(K189&gt;=Upgrades!$E$12,"",Upgrades!$C$12*POWER(Upgrades!$D$12,K189))</f>
        <v/>
      </c>
      <c r="AN189" s="26" t="str">
        <f aca="false">IF(AND(D189&gt;=Parameters!$B$18,(H189&gt;=Upgrades!$E$9)*(K189&gt;=Upgrades!$E$12)=1,L189=0),1,"")</f>
        <v/>
      </c>
      <c r="AO189" s="26" t="str">
        <f aca="false">IF(AND(D189&gt;=Parameters!$B$18,L189=0),1,"")</f>
        <v/>
      </c>
      <c r="AP189" s="21" t="n">
        <f aca="false">MIN(IF(ISNUMBER(AK189),AK189,9000000000000000),IF(ISNUMBER(AL189),AL189,9000000000000000),IF(ISNUMBER(AM189),AM189,9000000000000000))</f>
        <v>9000000000000000</v>
      </c>
      <c r="AQ189" s="21" t="n">
        <f aca="false">MIN(IF(ISNUMBER(AG189),AG189,9000000000000000),IF(ISNUMBER(AH189),AH189,9000000000000000),IF(ISNUMBER(AI189),AI189,9000000000000000),IF(ISNUMBER(AJ189),AJ189,9000000000000000))</f>
        <v>37.4517507383159</v>
      </c>
      <c r="AR189" s="32" t="b">
        <f aca="false">IF(AW189&gt;Parameters!$B$21*(MAX(IF(AND(NOT(AND(AO189=1,AN189&lt;&gt;1)),ISNUMBER(AG189),AG189&lt;=T189),AS189,0),IF(AND(NOT(AND(AO189=1,AN189&lt;&gt;1)),ISNUMBER(AH189),AH189&lt;=T189),AT189,0),IF(AND(NOT(AND(AO189=1,AN189&lt;&gt;1)),ISNUMBER(AI189),AI189&lt;=T189),AU189,0),IF(AND(ISNUMBER(AJ189),AJ189&lt;=T189),AV189,0))),TRUE(),FALSE())</f>
        <v>1</v>
      </c>
      <c r="AS189" s="33" t="n">
        <f aca="false">IFERROR(Upgrades!$H$6*(POWER(Upgrades!$P$6,E189)*POWER(Upgrades!$P$7,F189)*POWER(Upgrades!$P$8,G189)*POWER(Upgrades!$P$9,H189)*POWER(Upgrades!$P$10,I189)*POWER(Upgrades!$P$11,J189)*POWER(Upgrades!$P$12,K189))*(IF(Upgrades!$T$7="Solar Wind",POWER(Upgrades!$U$7,F189),1)*IF(Upgrades!$T$8="Solar Wind",POWER(Upgrades!$U$8,G189),1)*IF(Upgrades!$T$9="Solar Wind",POWER(Upgrades!$U$9,H189),1)*IF(Upgrades!$T$10="Solar Wind",POWER(Upgrades!$U$10,I189),1)*IF(Upgrades!$T$11="Solar Wind",POWER(Upgrades!$U$11,J189),1)*IF(Upgrades!$T$12="Solar Wind",POWER(Upgrades!$U$12,K189),1))/AG189,0)</f>
        <v>0.0026701021455238</v>
      </c>
      <c r="AT189" s="33" t="n">
        <f aca="false">IFERROR(Upgrades!$H$7*(POWER(Upgrades!$P$6,E189)*POWER(Upgrades!$P$7,F189)*POWER(Upgrades!$P$8,G189)*POWER(Upgrades!$P$9,H189)*POWER(Upgrades!$P$10,I189)*POWER(Upgrades!$P$11,J189)*POWER(Upgrades!$P$12,K189))*(IF(Upgrades!$T$6="Asteroid Belt",POWER(Upgrades!$U$6,E189),1)*IF(Upgrades!$T$8="Asteroid Belt",POWER(Upgrades!$U$8,G189),1)*IF(Upgrades!$T$9="Asteroid Belt",POWER(Upgrades!$U$9,H189),1)*IF(Upgrades!$T$10="Asteroid Belt",POWER(Upgrades!$U$10,I189),1)*IF(Upgrades!$T$11="Asteroid Belt",POWER(Upgrades!$U$11,J189),1)*IF(Upgrades!$T$12="Asteroid Belt",POWER(Upgrades!$U$12,K189),1))/AH189,0)</f>
        <v>0.00308980882652332</v>
      </c>
      <c r="AU189" s="33" t="n">
        <f aca="false">IFERROR(Upgrades!$K$8*(POWER(Upgrades!$Q$6,E189)*POWER(Upgrades!$Q$7,F189)*POWER(Upgrades!$Q$8,G189)*POWER(Upgrades!$Q$9,H189)*POWER(Upgrades!$Q$10,I189)*POWER(Upgrades!$Q$11,J189)*POWER(Upgrades!$Q$12,K189))*(IF(Upgrades!$T$6="Stellar Coupling",POWER(Upgrades!$U$6,E189),1)*IF(Upgrades!$T$7="Stellar Coupling",POWER(Upgrades!$U$7,F189),1)*IF(Upgrades!$T$9="Stellar Coupling",POWER(Upgrades!$U$9,H189),1)*IF(Upgrades!$T$10="Stellar Coupling",POWER(Upgrades!$U$10,I189),1)*IF(Upgrades!$T$11="Stellar Coupling",POWER(Upgrades!$U$11,J189),1)*IF(Upgrades!$T$12="Stellar Coupling",POWER(Upgrades!$U$12,K189),1))*Parameters!$B$10*Parameters!$B$11/60/AI189,0)</f>
        <v>0.00452762415783776</v>
      </c>
      <c r="AV189" s="33" t="n">
        <f aca="false">IFERROR(Upgrades!$H$9*(POWER(Upgrades!$P$6,E189)*POWER(Upgrades!$P$7,F189)*POWER(Upgrades!$P$8,G189)*POWER(Upgrades!$P$9,H189)*POWER(Upgrades!$P$10,I189)*POWER(Upgrades!$P$11,J189)*POWER(Upgrades!$P$12,K189))*(IF(Upgrades!$T$6="Magnetosphere",POWER(Upgrades!$U$6,E189),1)*IF(Upgrades!$T$7="Magnetosphere",POWER(Upgrades!$U$7,F189),1)*IF(Upgrades!$T$8="Magnetosphere",POWER(Upgrades!$U$8,G189),1)*IF(Upgrades!$T$10="Magnetosphere",POWER(Upgrades!$U$10,I189),1)*IF(Upgrades!$T$11="Magnetosphere",POWER(Upgrades!$U$11,J189),1)*IF(Upgrades!$T$12="Magnetosphere",POWER(Upgrades!$U$12,K189),1))/AJ189,0)</f>
        <v>0</v>
      </c>
      <c r="AW189" s="33" t="n">
        <f aca="false">MAX(IF(I189&gt;0,0,IFERROR(0.25*N189/Upgrades!$C$10,0)),IF(J189&gt;0,0,IFERROR(0.5*((IF(G189=0,0,(Upgrades!$J$8+G189*Upgrades!$K$8)*POWER(Upgrades!$L$8,G189)))*(IF(Upgrades!$T$6="Stellar Coupling",POWER(Upgrades!$U$6,E189),1)*IF(Upgrades!$T$7="Stellar Coupling",POWER(Upgrades!$U$7,F189),1)*IF(Upgrades!$T$9="Stellar Coupling",POWER(Upgrades!$U$9,H189),1)*IF(Upgrades!$T$10="Stellar Coupling",POWER(Upgrades!$U$10,I189),1)*IF(Upgrades!$T$11="Stellar Coupling",POWER(Upgrades!$U$11,J189),1)*IF(Upgrades!$T$12="Stellar Coupling",POWER(Upgrades!$U$12,K189),1))*(POWER(Upgrades!$Q$6,E189)*POWER(Upgrades!$Q$7,F189)*POWER(Upgrades!$Q$8,G189)*POWER(Upgrades!$Q$9,H189)*POWER(Upgrades!$Q$10,I189)*POWER(Upgrades!$Q$11,J189)*POWER(Upgrades!$Q$12,K189))*Parameters!$B$10*Parameters!$B$11/60)/Upgrades!$C$11,0)),IF(K189&gt;0,0,IFERROR((1*(POWER(Upgrades!$P$6,E189)*POWER(Upgrades!$P$7,F189)*POWER(Upgrades!$P$8,G189)*POWER(Upgrades!$P$9,H189)*POWER(Upgrades!$P$10,I189)*POWER(Upgrades!$P$11,J189)*POWER(Upgrades!$P$12,K189))+0.2*M189*Parameters!$B$10*Parameters!$B$11/60)/Upgrades!$C$12,0)),IF(AND(ISNUMBER(AG189),AG189&gt;T189),AS189,0),IF(AND(ISNUMBER(AH189),AH189&gt;T189),AT189,0),IF(AND(ISNUMBER(AI189),AI189&gt;T189),AU189,0),IF(AND(ISNUMBER(AJ189),AJ189&gt;T189),AV189,0))</f>
        <v>0.00452762415783776</v>
      </c>
      <c r="AX189" s="29" t="str">
        <f aca="false">IF(AN189=1,"transition",IF(MIN(IF(AND(I189=0,ISNUMBER(AK189),AK189&lt;=T189),AK189,9000000000000000),IF(AND(J189=0,ISNUMBER(AL189),AL189&lt;=T189),AL189,9000000000000000),IF(AND(K189=0,ISNUMBER(AM189),AM189&lt;=T189),AM189,9000000000000000))&lt;9000000000000000,IF(AND(AND(I189=0,ISNUMBER(AK189),AK189&lt;=T189),AK189=MIN(IF(AND(I189=0,ISNUMBER(AK189),AK189&lt;=T189),AK189,9000000000000000),IF(AND(J189=0,ISNUMBER(AL189),AL189&lt;=T189),AL189,9000000000000000),IF(AND(K189=0,ISNUMBER(AM189),AM189&lt;=T189),AM189,9000000000000000))),"OR",IF(AND(AND(J189=0,ISNUMBER(AL189),AL189&lt;=T189),AL189=MIN(IF(AND(I189=0,ISNUMBER(AK189),AK189&lt;=T189),AK189,9000000000000000),IF(AND(J189=0,ISNUMBER(AL189),AL189&lt;=T189),AL189,9000000000000000),IF(AND(K189=0,ISNUMBER(AM189),AM189&lt;=T189),AM189,9000000000000000))),"HP","FP")),IF(AR189=TRUE(),"",IF(MAX(IF(AND(NOT(AND(AO189=1,AN189&lt;&gt;1)),ISNUMBER(AG189),AG189&lt;=T189),AS189,0),IF(AND(NOT(AND(AO189=1,AN189&lt;&gt;1)),ISNUMBER(AH189),AH189&lt;=T189),AT189,0),IF(AND(NOT(AND(AO189=1,AN189&lt;&gt;1)),ISNUMBER(AI189),AI189&lt;=T189),AU189,0),IF(AND(ISNUMBER(AJ189),AJ189&lt;=T189),AV189,0))&lt;=0,"",IF(AND(IF(AND(NOT(AND(AO189=1,AN189&lt;&gt;1)),ISNUMBER(AG189),AG189&lt;=T189),AS189,0)&gt;0,IF(AND(NOT(AND(AO189=1,AN189&lt;&gt;1)),ISNUMBER(AG189),AG189&lt;=T189),AS189,0)=MAX(IF(AND(NOT(AND(AO189=1,AN189&lt;&gt;1)),ISNUMBER(AG189),AG189&lt;=T189),AS189,0),IF(AND(NOT(AND(AO189=1,AN189&lt;&gt;1)),ISNUMBER(AH189),AH189&lt;=T189),AT189,0),IF(AND(NOT(AND(AO189=1,AN189&lt;&gt;1)),ISNUMBER(AI189),AI189&lt;=T189),AU189,0),IF(AND(ISNUMBER(AJ189),AJ189&lt;=T189),AV189,0))),"SW",IF(AND(IF(AND(NOT(AND(AO189=1,AN189&lt;&gt;1)),ISNUMBER(AH189),AH189&lt;=T189),AT189,0)&gt;0,IF(AND(NOT(AND(AO189=1,AN189&lt;&gt;1)),ISNUMBER(AH189),AH189&lt;=T189),AT189,0)=MAX(IF(AND(NOT(AND(AO189=1,AN189&lt;&gt;1)),ISNUMBER(AG189),AG189&lt;=T189),AS189,0),IF(AND(NOT(AND(AO189=1,AN189&lt;&gt;1)),ISNUMBER(AH189),AH189&lt;=T189),AT189,0),IF(AND(NOT(AND(AO189=1,AN189&lt;&gt;1)),ISNUMBER(AI189),AI189&lt;=T189),AU189,0),IF(AND(ISNUMBER(AJ189),AJ189&lt;=T189),AV189,0))),"AB",IF(AND(IF(AND(NOT(AND(AO189=1,AN189&lt;&gt;1)),ISNUMBER(AI189),AI189&lt;=T189),AU189,0)&gt;0,IF(AND(NOT(AND(AO189=1,AN189&lt;&gt;1)),ISNUMBER(AI189),AI189&lt;=T189),AU189,0)=MAX(IF(AND(NOT(AND(AO189=1,AN189&lt;&gt;1)),ISNUMBER(AG189),AG189&lt;=T189),AS189,0),IF(AND(NOT(AND(AO189=1,AN189&lt;&gt;1)),ISNUMBER(AH189),AH189&lt;=T189),AT189,0),IF(AND(NOT(AND(AO189=1,AN189&lt;&gt;1)),ISNUMBER(AI189),AI189&lt;=T189),AU189,0),IF(AND(ISNUMBER(AJ189),AJ189&lt;=T189),AV189,0))),"SC","Mag")))))))</f>
        <v/>
      </c>
    </row>
    <row r="190" customFormat="false" ht="15" hidden="false" customHeight="false" outlineLevel="0" collapsed="false">
      <c r="A190" s="26" t="n">
        <v>185</v>
      </c>
      <c r="B190" s="27" t="n">
        <f aca="false">A190*10/60</f>
        <v>30.8333333333333</v>
      </c>
      <c r="C190" s="21" t="n">
        <f aca="false">X189</f>
        <v>18.6730249835055</v>
      </c>
      <c r="D190" s="27" t="n">
        <f aca="false">D189+W189</f>
        <v>0</v>
      </c>
      <c r="E190" s="26" t="n">
        <f aca="false">E189+IF(U189="SW",1,0)</f>
        <v>12</v>
      </c>
      <c r="F190" s="26" t="n">
        <f aca="false">F189+IF(U189="AB",1,0)</f>
        <v>10</v>
      </c>
      <c r="G190" s="26" t="n">
        <f aca="false">G189+IF(U189="SC",1,0)</f>
        <v>7</v>
      </c>
      <c r="H190" s="26" t="n">
        <f aca="false">H189+IF(U189="Mag",1,0)</f>
        <v>5</v>
      </c>
      <c r="I190" s="26" t="n">
        <f aca="false">MAX(I189,IF(U189="OR",1,0))</f>
        <v>1</v>
      </c>
      <c r="J190" s="26" t="n">
        <f aca="false">MAX(J189,IF(U189="HP",1,0))</f>
        <v>1</v>
      </c>
      <c r="K190" s="26" t="n">
        <f aca="false">MAX(K189,IF(U189="FP",1,0))</f>
        <v>1</v>
      </c>
      <c r="L190" s="26" t="n">
        <f aca="false">MAX(L189,IF(U189="transition",1,0))</f>
        <v>1</v>
      </c>
      <c r="M190" s="28" t="n">
        <f aca="false">(Parameters!$B$9+(IF(E190=0,0,(Upgrades!$J$6+E190*Upgrades!$K$6)*POWER(Upgrades!$L$6,E190)))*(IF(Upgrades!$T$7="Solar Wind",POWER(Upgrades!$U$7,F190),1)*IF(Upgrades!$T$8="Solar Wind",POWER(Upgrades!$U$8,G190),1)*IF(Upgrades!$T$9="Solar Wind",POWER(Upgrades!$U$9,H190),1)*IF(Upgrades!$T$10="Solar Wind",POWER(Upgrades!$U$10,I190),1)*IF(Upgrades!$T$11="Solar Wind",POWER(Upgrades!$U$11,J190),1)*IF(Upgrades!$T$12="Solar Wind",POWER(Upgrades!$U$12,K190),1))+(IF(F190=0,0,(Upgrades!$J$7+F190*Upgrades!$K$7)*POWER(Upgrades!$L$7,F190)))*(IF(Upgrades!$T$6="Asteroid Belt",POWER(Upgrades!$U$6,E190),1)*IF(Upgrades!$T$8="Asteroid Belt",POWER(Upgrades!$U$8,G190),1)*IF(Upgrades!$T$9="Asteroid Belt",POWER(Upgrades!$U$9,H190),1)*IF(Upgrades!$T$10="Asteroid Belt",POWER(Upgrades!$U$10,I190),1)*IF(Upgrades!$T$11="Asteroid Belt",POWER(Upgrades!$U$11,J190),1)*IF(Upgrades!$T$12="Asteroid Belt",POWER(Upgrades!$U$12,K190),1))+(IF(G190=0,0,(Upgrades!$J$8+G190*Upgrades!$K$8)*POWER(Upgrades!$L$8,G190)))*(IF(Upgrades!$T$6="Stellar Coupling",POWER(Upgrades!$U$6,E190),1)*IF(Upgrades!$T$7="Stellar Coupling",POWER(Upgrades!$U$7,F190),1)*IF(Upgrades!$T$9="Stellar Coupling",POWER(Upgrades!$U$9,H190),1)*IF(Upgrades!$T$10="Stellar Coupling",POWER(Upgrades!$U$10,I190),1)*IF(Upgrades!$T$11="Stellar Coupling",POWER(Upgrades!$U$11,J190),1)*IF(Upgrades!$T$12="Stellar Coupling",POWER(Upgrades!$U$12,K190),1))+(IF(H190=0,0,(Upgrades!$J$9+H190*Upgrades!$K$9)*POWER(Upgrades!$L$9,H190)))*(IF(Upgrades!$T$6="Magnetosphere",POWER(Upgrades!$U$6,E190),1)*IF(Upgrades!$T$7="Magnetosphere",POWER(Upgrades!$U$7,F190),1)*IF(Upgrades!$T$8="Magnetosphere",POWER(Upgrades!$U$8,G190),1)*IF(Upgrades!$T$10="Magnetosphere",POWER(Upgrades!$U$10,I190),1)*IF(Upgrades!$T$11="Magnetosphere",POWER(Upgrades!$U$11,J190),1)*IF(Upgrades!$T$12="Magnetosphere",POWER(Upgrades!$U$12,K190),1))+(IF(I190=0,0,(Upgrades!$J$10+I190*Upgrades!$K$10)*POWER(Upgrades!$L$10,I190)))*(IF(Upgrades!$T$6="Orbital Resonance",POWER(Upgrades!$U$6,E190),1)*IF(Upgrades!$T$7="Orbital Resonance",POWER(Upgrades!$U$7,F190),1)*IF(Upgrades!$T$8="Orbital Resonance",POWER(Upgrades!$U$8,G190),1)*IF(Upgrades!$T$9="Orbital Resonance",POWER(Upgrades!$U$9,H190),1)*IF(Upgrades!$T$11="Orbital Resonance",POWER(Upgrades!$U$11,J190),1)*IF(Upgrades!$T$12="Orbital Resonance",POWER(Upgrades!$U$12,K190),1))+(IF(J190=0,0,(Upgrades!$J$11+J190*Upgrades!$K$11)*POWER(Upgrades!$L$11,J190)))*(IF(Upgrades!$T$6="Heliopause",POWER(Upgrades!$U$6,E190),1)*IF(Upgrades!$T$7="Heliopause",POWER(Upgrades!$U$7,F190),1)*IF(Upgrades!$T$8="Heliopause",POWER(Upgrades!$U$8,G190),1)*IF(Upgrades!$T$9="Heliopause",POWER(Upgrades!$U$9,H190),1)*IF(Upgrades!$T$10="Heliopause",POWER(Upgrades!$U$10,I190),1)*IF(Upgrades!$T$12="Heliopause",POWER(Upgrades!$U$12,K190),1))+(IF(K190=0,0,(Upgrades!$J$12+K190*Upgrades!$K$12)*POWER(Upgrades!$L$12,K190)))*(IF(Upgrades!$T$6="First Photons",POWER(Upgrades!$U$6,E190),1)*IF(Upgrades!$T$7="First Photons",POWER(Upgrades!$U$7,F190),1)*IF(Upgrades!$T$8="First Photons",POWER(Upgrades!$U$8,G190),1)*IF(Upgrades!$T$9="First Photons",POWER(Upgrades!$U$9,H190),1)*IF(Upgrades!$T$10="First Photons",POWER(Upgrades!$U$10,I190),1)*IF(Upgrades!$T$11="First Photons",POWER(Upgrades!$U$11,J190),1)))*POWER(Upgrades!$Q$6,E190)*POWER(Upgrades!$Q$7,F190)*POWER(Upgrades!$Q$8,G190)*POWER(Upgrades!$Q$9,H190)*POWER(Upgrades!$Q$10,I190)*POWER(Upgrades!$Q$11,J190)*POWER(Upgrades!$Q$12,K190)</f>
        <v>5.61</v>
      </c>
      <c r="N190" s="28" t="n">
        <f aca="false">((IF(E190=0,0,(Upgrades!$G$6+E190*Upgrades!$H$6)*POWER(Upgrades!$I$6,E190)))*(IF(Upgrades!$T$7="Solar Wind",POWER(Upgrades!$U$7,F190),1)*IF(Upgrades!$T$8="Solar Wind",POWER(Upgrades!$U$8,G190),1)*IF(Upgrades!$T$9="Solar Wind",POWER(Upgrades!$U$9,H190),1)*IF(Upgrades!$T$10="Solar Wind",POWER(Upgrades!$U$10,I190),1)*IF(Upgrades!$T$11="Solar Wind",POWER(Upgrades!$U$11,J190),1)*IF(Upgrades!$T$12="Solar Wind",POWER(Upgrades!$U$12,K190),1))+(IF(F190=0,0,(Upgrades!$G$7+F190*Upgrades!$H$7)*POWER(Upgrades!$I$7,F190)))*(IF(Upgrades!$T$6="Asteroid Belt",POWER(Upgrades!$U$6,E190),1)*IF(Upgrades!$T$8="Asteroid Belt",POWER(Upgrades!$U$8,G190),1)*IF(Upgrades!$T$9="Asteroid Belt",POWER(Upgrades!$U$9,H190),1)*IF(Upgrades!$T$10="Asteroid Belt",POWER(Upgrades!$U$10,I190),1)*IF(Upgrades!$T$11="Asteroid Belt",POWER(Upgrades!$U$11,J190),1)*IF(Upgrades!$T$12="Asteroid Belt",POWER(Upgrades!$U$12,K190),1))+(IF(G190=0,0,(Upgrades!$G$8+G190*Upgrades!$H$8)*POWER(Upgrades!$I$8,G190)))*(IF(Upgrades!$T$6="Stellar Coupling",POWER(Upgrades!$U$6,E190),1)*IF(Upgrades!$T$7="Stellar Coupling",POWER(Upgrades!$U$7,F190),1)*IF(Upgrades!$T$9="Stellar Coupling",POWER(Upgrades!$U$9,H190),1)*IF(Upgrades!$T$10="Stellar Coupling",POWER(Upgrades!$U$10,I190),1)*IF(Upgrades!$T$11="Stellar Coupling",POWER(Upgrades!$U$11,J190),1)*IF(Upgrades!$T$12="Stellar Coupling",POWER(Upgrades!$U$12,K190),1))+(IF(H190=0,0,(Upgrades!$G$9+H190*Upgrades!$H$9)*POWER(Upgrades!$I$9,H190)))*(IF(Upgrades!$T$6="Magnetosphere",POWER(Upgrades!$U$6,E190),1)*IF(Upgrades!$T$7="Magnetosphere",POWER(Upgrades!$U$7,F190),1)*IF(Upgrades!$T$8="Magnetosphere",POWER(Upgrades!$U$8,G190),1)*IF(Upgrades!$T$10="Magnetosphere",POWER(Upgrades!$U$10,I190),1)*IF(Upgrades!$T$11="Magnetosphere",POWER(Upgrades!$U$11,J190),1)*IF(Upgrades!$T$12="Magnetosphere",POWER(Upgrades!$U$12,K190),1))+(IF(I190=0,0,(Upgrades!$G$10+I190*Upgrades!$H$10)*POWER(Upgrades!$I$10,I190)))*(IF(Upgrades!$T$6="Orbital Resonance",POWER(Upgrades!$U$6,E190),1)*IF(Upgrades!$T$7="Orbital Resonance",POWER(Upgrades!$U$7,F190),1)*IF(Upgrades!$T$8="Orbital Resonance",POWER(Upgrades!$U$8,G190),1)*IF(Upgrades!$T$9="Orbital Resonance",POWER(Upgrades!$U$9,H190),1)*IF(Upgrades!$T$11="Orbital Resonance",POWER(Upgrades!$U$11,J190),1)*IF(Upgrades!$T$12="Orbital Resonance",POWER(Upgrades!$U$12,K190),1))+(IF(J190=0,0,(Upgrades!$G$11+J190*Upgrades!$H$11)*POWER(Upgrades!$I$11,J190)))*(IF(Upgrades!$T$6="Heliopause",POWER(Upgrades!$U$6,E190),1)*IF(Upgrades!$T$7="Heliopause",POWER(Upgrades!$U$7,F190),1)*IF(Upgrades!$T$8="Heliopause",POWER(Upgrades!$U$8,G190),1)*IF(Upgrades!$T$9="Heliopause",POWER(Upgrades!$U$9,H190),1)*IF(Upgrades!$T$10="Heliopause",POWER(Upgrades!$U$10,I190),1)*IF(Upgrades!$T$12="Heliopause",POWER(Upgrades!$U$12,K190),1))+(IF(K190=0,0,(Upgrades!$G$12+K190*Upgrades!$H$12)*POWER(Upgrades!$I$12,K190)))*(IF(Upgrades!$T$6="First Photons",POWER(Upgrades!$U$6,E190),1)*IF(Upgrades!$T$7="First Photons",POWER(Upgrades!$U$7,F190),1)*IF(Upgrades!$T$8="First Photons",POWER(Upgrades!$U$8,G190),1)*IF(Upgrades!$T$9="First Photons",POWER(Upgrades!$U$9,H190),1)*IF(Upgrades!$T$10="First Photons",POWER(Upgrades!$U$10,I190),1)*IF(Upgrades!$T$11="First Photons",POWER(Upgrades!$U$11,J190),1)))*POWER(Upgrades!$P$6,E190)*POWER(Upgrades!$P$7,F190)*POWER(Upgrades!$P$8,G190)*POWER(Upgrades!$P$9,H190)*POWER(Upgrades!$P$10,I190)*POWER(Upgrades!$P$11,J190)*POWER(Upgrades!$P$12,K190)</f>
        <v>11.2</v>
      </c>
      <c r="O190" s="28" t="n">
        <f aca="false">((IF(E190=0,0,(Upgrades!$M$6+E190*Upgrades!$N$6)*POWER(Upgrades!$O$6,E190)))*(IF(Upgrades!$T$7="Solar Wind",POWER(Upgrades!$U$7,F190),1)*IF(Upgrades!$T$8="Solar Wind",POWER(Upgrades!$U$8,G190),1)*IF(Upgrades!$T$9="Solar Wind",POWER(Upgrades!$U$9,H190),1)*IF(Upgrades!$T$10="Solar Wind",POWER(Upgrades!$U$10,I190),1)*IF(Upgrades!$T$11="Solar Wind",POWER(Upgrades!$U$11,J190),1)*IF(Upgrades!$T$12="Solar Wind",POWER(Upgrades!$U$12,K190),1))+(IF(F190=0,0,(Upgrades!$M$7+F190*Upgrades!$N$7)*POWER(Upgrades!$O$7,F190)))*(IF(Upgrades!$T$6="Asteroid Belt",POWER(Upgrades!$U$6,E190),1)*IF(Upgrades!$T$8="Asteroid Belt",POWER(Upgrades!$U$8,G190),1)*IF(Upgrades!$T$9="Asteroid Belt",POWER(Upgrades!$U$9,H190),1)*IF(Upgrades!$T$10="Asteroid Belt",POWER(Upgrades!$U$10,I190),1)*IF(Upgrades!$T$11="Asteroid Belt",POWER(Upgrades!$U$11,J190),1)*IF(Upgrades!$T$12="Asteroid Belt",POWER(Upgrades!$U$12,K190),1))+(IF(G190=0,0,(Upgrades!$M$8+G190*Upgrades!$N$8)*POWER(Upgrades!$O$8,G190)))*(IF(Upgrades!$T$6="Stellar Coupling",POWER(Upgrades!$U$6,E190),1)*IF(Upgrades!$T$7="Stellar Coupling",POWER(Upgrades!$U$7,F190),1)*IF(Upgrades!$T$9="Stellar Coupling",POWER(Upgrades!$U$9,H190),1)*IF(Upgrades!$T$10="Stellar Coupling",POWER(Upgrades!$U$10,I190),1)*IF(Upgrades!$T$11="Stellar Coupling",POWER(Upgrades!$U$11,J190),1)*IF(Upgrades!$T$12="Stellar Coupling",POWER(Upgrades!$U$12,K190),1))+(IF(H190=0,0,(Upgrades!$M$9+H190*Upgrades!$N$9)*POWER(Upgrades!$O$9,H190)))*(IF(Upgrades!$T$6="Magnetosphere",POWER(Upgrades!$U$6,E190),1)*IF(Upgrades!$T$7="Magnetosphere",POWER(Upgrades!$U$7,F190),1)*IF(Upgrades!$T$8="Magnetosphere",POWER(Upgrades!$U$8,G190),1)*IF(Upgrades!$T$10="Magnetosphere",POWER(Upgrades!$U$10,I190),1)*IF(Upgrades!$T$11="Magnetosphere",POWER(Upgrades!$U$11,J190),1)*IF(Upgrades!$T$12="Magnetosphere",POWER(Upgrades!$U$12,K190),1))+(IF(I190=0,0,(Upgrades!$M$10+I190*Upgrades!$N$10)*POWER(Upgrades!$O$10,I190)))*(IF(Upgrades!$T$6="Orbital Resonance",POWER(Upgrades!$U$6,E190),1)*IF(Upgrades!$T$7="Orbital Resonance",POWER(Upgrades!$U$7,F190),1)*IF(Upgrades!$T$8="Orbital Resonance",POWER(Upgrades!$U$8,G190),1)*IF(Upgrades!$T$9="Orbital Resonance",POWER(Upgrades!$U$9,H190),1)*IF(Upgrades!$T$11="Orbital Resonance",POWER(Upgrades!$U$11,J190),1)*IF(Upgrades!$T$12="Orbital Resonance",POWER(Upgrades!$U$12,K190),1))+(IF(J190=0,0,(Upgrades!$M$11+J190*Upgrades!$N$11)*POWER(Upgrades!$O$11,J190)))*(IF(Upgrades!$T$6="Heliopause",POWER(Upgrades!$U$6,E190),1)*IF(Upgrades!$T$7="Heliopause",POWER(Upgrades!$U$7,F190),1)*IF(Upgrades!$T$8="Heliopause",POWER(Upgrades!$U$8,G190),1)*IF(Upgrades!$T$9="Heliopause",POWER(Upgrades!$U$9,H190),1)*IF(Upgrades!$T$10="Heliopause",POWER(Upgrades!$U$10,I190),1)*IF(Upgrades!$T$12="Heliopause",POWER(Upgrades!$U$12,K190),1))+(IF(K190=0,0,(Upgrades!$M$12+K190*Upgrades!$N$12)*POWER(Upgrades!$O$12,K190)))*(IF(Upgrades!$T$6="First Photons",POWER(Upgrades!$U$6,E190),1)*IF(Upgrades!$T$7="First Photons",POWER(Upgrades!$U$7,F190),1)*IF(Upgrades!$T$8="First Photons",POWER(Upgrades!$U$8,G190),1)*IF(Upgrades!$T$9="First Photons",POWER(Upgrades!$U$9,H190),1)*IF(Upgrades!$T$10="First Photons",POWER(Upgrades!$U$10,I190),1)*IF(Upgrades!$T$11="First Photons",POWER(Upgrades!$U$11,J190),1)))*POWER(Upgrades!$R$6,E190)*POWER(Upgrades!$R$7,F190)*POWER(Upgrades!$R$8,G190)*POWER(Upgrades!$R$9,H190)*POWER(Upgrades!$R$10,I190)*POWER(Upgrades!$R$11,J190)*POWER(Upgrades!$R$12,K190)</f>
        <v>0</v>
      </c>
      <c r="P190" s="27" t="n">
        <f aca="false">IF(L190=1,0,M190*Parameters!$B$10/60*Parameters!$B$11*10)</f>
        <v>0</v>
      </c>
      <c r="Q190" s="27" t="n">
        <f aca="false">IF(L190=1,0,O190*M190*10)</f>
        <v>0</v>
      </c>
      <c r="R190" s="27" t="n">
        <f aca="false">IF(L190=1,0,N190*10)</f>
        <v>0</v>
      </c>
      <c r="S190" s="27" t="n">
        <f aca="false">P190+Q190+R190</f>
        <v>0</v>
      </c>
      <c r="T190" s="21" t="n">
        <f aca="false">C190+S190</f>
        <v>18.6730249835055</v>
      </c>
      <c r="U190" s="34" t="str">
        <f aca="false">AX190</f>
        <v/>
      </c>
      <c r="V190" s="21" t="n">
        <f aca="false">IF(U190="",0,IF(U190="transition",0,IF(U190="SW",AG190,IF(U190="AB",AH190,IF(U190="SC",AI190,IF(U190="Mag",AJ190,IF(U190="OR",AK190,IF(U190="HP",AL190,IF(U190="FP",AM190,0)))))))))</f>
        <v>0</v>
      </c>
      <c r="W190" s="27" t="n">
        <f aca="false">IF(U190="OR",Upgrades!$F$10,IF(U190="HP",Upgrades!$F$11,IF(U190="transition",-Parameters!$B$18,0)))</f>
        <v>0</v>
      </c>
      <c r="X190" s="21" t="n">
        <f aca="false">T190-V190</f>
        <v>18.6730249835055</v>
      </c>
      <c r="Y190" s="30" t="n">
        <f aca="false">M190*Parameters!$B$10/60*Parameters!$B$11+O190*M190+N190</f>
        <v>20.55</v>
      </c>
      <c r="Z190" s="35" t="str">
        <f aca="false">IF(U190="transition","→ Tier 2 (Stellar Neighborhood)",IF(U190="FP","First Photons — light begins, system quickens",IF(U190="HP","Heliopause acquired",IF(U190="OR","Orbital Resonance — passive multiplier active",IF(AND(AO190=1,L190=0,AN190&lt;&gt;1),"Cohesion ready (waiting on completionist upgrades)","")))))</f>
        <v/>
      </c>
      <c r="AA190" s="27" t="n">
        <f aca="false">(IF(E190=0,0,(Upgrades!$G$6+E190*Upgrades!$H$6)*POWER(Upgrades!$I$6,E190)))*(IF(Upgrades!$T$7="Solar Wind",POWER(Upgrades!$U$7,F190),1)*IF(Upgrades!$T$8="Solar Wind",POWER(Upgrades!$U$8,G190),1)*IF(Upgrades!$T$9="Solar Wind",POWER(Upgrades!$U$9,H190),1)*IF(Upgrades!$T$10="Solar Wind",POWER(Upgrades!$U$10,I190),1)*IF(Upgrades!$T$11="Solar Wind",POWER(Upgrades!$U$11,J190),1)*IF(Upgrades!$T$12="Solar Wind",POWER(Upgrades!$U$12,K190),1))*POWER(Upgrades!$P$6,E190)*POWER(Upgrades!$P$7,F190)*POWER(Upgrades!$P$8,G190)*POWER(Upgrades!$P$9,H190)*POWER(Upgrades!$P$10,I190)*POWER(Upgrades!$P$11,J190)*POWER(Upgrades!$P$12,K190)*60</f>
        <v>72</v>
      </c>
      <c r="AB190" s="27" t="n">
        <f aca="false">(IF(F190=0,0,(Upgrades!$G$7+F190*Upgrades!$H$7)*POWER(Upgrades!$I$7,F190)))*(IF(Upgrades!$T$6="Asteroid Belt",POWER(Upgrades!$U$6,E190),1)*IF(Upgrades!$T$8="Asteroid Belt",POWER(Upgrades!$U$8,G190),1)*IF(Upgrades!$T$9="Asteroid Belt",POWER(Upgrades!$U$9,H190),1)*IF(Upgrades!$T$10="Asteroid Belt",POWER(Upgrades!$U$10,I190),1)*IF(Upgrades!$T$11="Asteroid Belt",POWER(Upgrades!$U$11,J190),1)*IF(Upgrades!$T$12="Asteroid Belt",POWER(Upgrades!$U$12,K190),1))*POWER(Upgrades!$P$6,E190)*POWER(Upgrades!$P$7,F190)*POWER(Upgrades!$P$8,G190)*POWER(Upgrades!$P$9,H190)*POWER(Upgrades!$P$10,I190)*POWER(Upgrades!$P$11,J190)*POWER(Upgrades!$P$12,K190)*60</f>
        <v>150</v>
      </c>
      <c r="AC190" s="27" t="n">
        <f aca="false">(IF(G190=0,0,(Upgrades!$J$8+G190*Upgrades!$K$8)*POWER(Upgrades!$L$8,G190)))*(IF(Upgrades!$T$6="Stellar Coupling",POWER(Upgrades!$U$6,E190),1)*IF(Upgrades!$T$7="Stellar Coupling",POWER(Upgrades!$U$7,F190),1)*IF(Upgrades!$T$9="Stellar Coupling",POWER(Upgrades!$U$9,H190),1)*IF(Upgrades!$T$10="Stellar Coupling",POWER(Upgrades!$U$10,I190),1)*IF(Upgrades!$T$11="Stellar Coupling",POWER(Upgrades!$U$11,J190),1)*IF(Upgrades!$T$12="Stellar Coupling",POWER(Upgrades!$U$12,K190),1))*POWER(Upgrades!$Q$6,E190)*POWER(Upgrades!$Q$7,F190)*POWER(Upgrades!$Q$8,G190)*POWER(Upgrades!$Q$9,H190)*POWER(Upgrades!$Q$10,I190)*POWER(Upgrades!$Q$11,J190)*POWER(Upgrades!$Q$12,K190)*Parameters!$B$10*Parameters!$B$11</f>
        <v>441</v>
      </c>
      <c r="AD190" s="27" t="n">
        <f aca="false">(IF(H190=0,0,(Upgrades!$G$9+H190*Upgrades!$H$9)*POWER(Upgrades!$I$9,H190)))*(IF(Upgrades!$T$6="Magnetosphere",POWER(Upgrades!$U$6,E190),1)*IF(Upgrades!$T$7="Magnetosphere",POWER(Upgrades!$U$7,F190),1)*IF(Upgrades!$T$8="Magnetosphere",POWER(Upgrades!$U$8,G190),1)*IF(Upgrades!$T$10="Magnetosphere",POWER(Upgrades!$U$10,I190),1)*IF(Upgrades!$T$11="Magnetosphere",POWER(Upgrades!$U$11,J190),1)*IF(Upgrades!$T$12="Magnetosphere",POWER(Upgrades!$U$12,K190),1))*POWER(Upgrades!$P$6,E190)*POWER(Upgrades!$P$7,F190)*POWER(Upgrades!$P$8,G190)*POWER(Upgrades!$P$9,H190)*POWER(Upgrades!$P$10,I190)*POWER(Upgrades!$P$11,J190)*POWER(Upgrades!$P$12,K190)*60</f>
        <v>375</v>
      </c>
      <c r="AE190" s="27" t="n">
        <f aca="false">(IF(K190=0,0,(Upgrades!$G$12+K190*Upgrades!$H$12)*POWER(Upgrades!$I$12,K190)))*(IF(Upgrades!$T$6="First Photons",POWER(Upgrades!$U$6,E190),1)*IF(Upgrades!$T$7="First Photons",POWER(Upgrades!$U$7,F190),1)*IF(Upgrades!$T$8="First Photons",POWER(Upgrades!$U$8,G190),1)*IF(Upgrades!$T$9="First Photons",POWER(Upgrades!$U$9,H190),1)*IF(Upgrades!$T$10="First Photons",POWER(Upgrades!$U$10,I190),1)*IF(Upgrades!$T$11="First Photons",POWER(Upgrades!$U$11,J190),1))*POWER(Upgrades!$P$6,E190)*POWER(Upgrades!$P$7,F190)*POWER(Upgrades!$P$8,G190)*POWER(Upgrades!$P$9,H190)*POWER(Upgrades!$P$10,I190)*POWER(Upgrades!$P$11,J190)*POWER(Upgrades!$P$12,K190)*60</f>
        <v>75</v>
      </c>
      <c r="AF190" s="27" t="n">
        <f aca="false">Parameters!$B$9*POWER(Upgrades!$Q$6,E190)*POWER(Upgrades!$Q$7,F190)*POWER(Upgrades!$Q$8,G190)*POWER(Upgrades!$Q$9,H190)*POWER(Upgrades!$Q$10,I190)*POWER(Upgrades!$Q$11,J190)*POWER(Upgrades!$Q$12,K190)*(Parameters!$B$10*Parameters!$B$11+O190*60)</f>
        <v>120</v>
      </c>
      <c r="AG190" s="21" t="n">
        <f aca="false">IF(E190&gt;=Upgrades!$E$6,"",Upgrades!$C$6*POWER(Upgrades!$D$6,E190))</f>
        <v>37.4517507383159</v>
      </c>
      <c r="AH190" s="21" t="n">
        <f aca="false">IF(F190&gt;=Upgrades!$E$7,"",Upgrades!$C$7*POWER(Upgrades!$D$7,F190))</f>
        <v>80.9111547141581</v>
      </c>
      <c r="AI190" s="21" t="n">
        <f aca="false">IF(G190&gt;=Upgrades!$E$8,"",Upgrades!$C$8*POWER(Upgrades!$D$8,G190))</f>
        <v>231.9097088</v>
      </c>
      <c r="AJ190" s="21" t="str">
        <f aca="false">IF(H190&gt;=Upgrades!$E$9,"",Upgrades!$C$9*POWER(Upgrades!$D$9,H190))</f>
        <v/>
      </c>
      <c r="AK190" s="21" t="str">
        <f aca="false">IF(I190&gt;=Upgrades!$E$10,"",Upgrades!$C$10*POWER(Upgrades!$D$10,I190))</f>
        <v/>
      </c>
      <c r="AL190" s="21" t="str">
        <f aca="false">IF(J190&gt;=Upgrades!$E$11,"",Upgrades!$C$11*POWER(Upgrades!$D$11,J190))</f>
        <v/>
      </c>
      <c r="AM190" s="21" t="str">
        <f aca="false">IF(K190&gt;=Upgrades!$E$12,"",Upgrades!$C$12*POWER(Upgrades!$D$12,K190))</f>
        <v/>
      </c>
      <c r="AN190" s="26" t="str">
        <f aca="false">IF(AND(D190&gt;=Parameters!$B$18,(H190&gt;=Upgrades!$E$9)*(K190&gt;=Upgrades!$E$12)=1,L190=0),1,"")</f>
        <v/>
      </c>
      <c r="AO190" s="26" t="str">
        <f aca="false">IF(AND(D190&gt;=Parameters!$B$18,L190=0),1,"")</f>
        <v/>
      </c>
      <c r="AP190" s="21" t="n">
        <f aca="false">MIN(IF(ISNUMBER(AK190),AK190,9000000000000000),IF(ISNUMBER(AL190),AL190,9000000000000000),IF(ISNUMBER(AM190),AM190,9000000000000000))</f>
        <v>9000000000000000</v>
      </c>
      <c r="AQ190" s="21" t="n">
        <f aca="false">MIN(IF(ISNUMBER(AG190),AG190,9000000000000000),IF(ISNUMBER(AH190),AH190,9000000000000000),IF(ISNUMBER(AI190),AI190,9000000000000000),IF(ISNUMBER(AJ190),AJ190,9000000000000000))</f>
        <v>37.4517507383159</v>
      </c>
      <c r="AR190" s="32" t="b">
        <f aca="false">IF(AW190&gt;Parameters!$B$21*(MAX(IF(AND(NOT(AND(AO190=1,AN190&lt;&gt;1)),ISNUMBER(AG190),AG190&lt;=T190),AS190,0),IF(AND(NOT(AND(AO190=1,AN190&lt;&gt;1)),ISNUMBER(AH190),AH190&lt;=T190),AT190,0),IF(AND(NOT(AND(AO190=1,AN190&lt;&gt;1)),ISNUMBER(AI190),AI190&lt;=T190),AU190,0),IF(AND(ISNUMBER(AJ190),AJ190&lt;=T190),AV190,0))),TRUE(),FALSE())</f>
        <v>1</v>
      </c>
      <c r="AS190" s="33" t="n">
        <f aca="false">IFERROR(Upgrades!$H$6*(POWER(Upgrades!$P$6,E190)*POWER(Upgrades!$P$7,F190)*POWER(Upgrades!$P$8,G190)*POWER(Upgrades!$P$9,H190)*POWER(Upgrades!$P$10,I190)*POWER(Upgrades!$P$11,J190)*POWER(Upgrades!$P$12,K190))*(IF(Upgrades!$T$7="Solar Wind",POWER(Upgrades!$U$7,F190),1)*IF(Upgrades!$T$8="Solar Wind",POWER(Upgrades!$U$8,G190),1)*IF(Upgrades!$T$9="Solar Wind",POWER(Upgrades!$U$9,H190),1)*IF(Upgrades!$T$10="Solar Wind",POWER(Upgrades!$U$10,I190),1)*IF(Upgrades!$T$11="Solar Wind",POWER(Upgrades!$U$11,J190),1)*IF(Upgrades!$T$12="Solar Wind",POWER(Upgrades!$U$12,K190),1))/AG190,0)</f>
        <v>0.0026701021455238</v>
      </c>
      <c r="AT190" s="33" t="n">
        <f aca="false">IFERROR(Upgrades!$H$7*(POWER(Upgrades!$P$6,E190)*POWER(Upgrades!$P$7,F190)*POWER(Upgrades!$P$8,G190)*POWER(Upgrades!$P$9,H190)*POWER(Upgrades!$P$10,I190)*POWER(Upgrades!$P$11,J190)*POWER(Upgrades!$P$12,K190))*(IF(Upgrades!$T$6="Asteroid Belt",POWER(Upgrades!$U$6,E190),1)*IF(Upgrades!$T$8="Asteroid Belt",POWER(Upgrades!$U$8,G190),1)*IF(Upgrades!$T$9="Asteroid Belt",POWER(Upgrades!$U$9,H190),1)*IF(Upgrades!$T$10="Asteroid Belt",POWER(Upgrades!$U$10,I190),1)*IF(Upgrades!$T$11="Asteroid Belt",POWER(Upgrades!$U$11,J190),1)*IF(Upgrades!$T$12="Asteroid Belt",POWER(Upgrades!$U$12,K190),1))/AH190,0)</f>
        <v>0.00308980882652332</v>
      </c>
      <c r="AU190" s="33" t="n">
        <f aca="false">IFERROR(Upgrades!$K$8*(POWER(Upgrades!$Q$6,E190)*POWER(Upgrades!$Q$7,F190)*POWER(Upgrades!$Q$8,G190)*POWER(Upgrades!$Q$9,H190)*POWER(Upgrades!$Q$10,I190)*POWER(Upgrades!$Q$11,J190)*POWER(Upgrades!$Q$12,K190))*(IF(Upgrades!$T$6="Stellar Coupling",POWER(Upgrades!$U$6,E190),1)*IF(Upgrades!$T$7="Stellar Coupling",POWER(Upgrades!$U$7,F190),1)*IF(Upgrades!$T$9="Stellar Coupling",POWER(Upgrades!$U$9,H190),1)*IF(Upgrades!$T$10="Stellar Coupling",POWER(Upgrades!$U$10,I190),1)*IF(Upgrades!$T$11="Stellar Coupling",POWER(Upgrades!$U$11,J190),1)*IF(Upgrades!$T$12="Stellar Coupling",POWER(Upgrades!$U$12,K190),1))*Parameters!$B$10*Parameters!$B$11/60/AI190,0)</f>
        <v>0.00452762415783776</v>
      </c>
      <c r="AV190" s="33" t="n">
        <f aca="false">IFERROR(Upgrades!$H$9*(POWER(Upgrades!$P$6,E190)*POWER(Upgrades!$P$7,F190)*POWER(Upgrades!$P$8,G190)*POWER(Upgrades!$P$9,H190)*POWER(Upgrades!$P$10,I190)*POWER(Upgrades!$P$11,J190)*POWER(Upgrades!$P$12,K190))*(IF(Upgrades!$T$6="Magnetosphere",POWER(Upgrades!$U$6,E190),1)*IF(Upgrades!$T$7="Magnetosphere",POWER(Upgrades!$U$7,F190),1)*IF(Upgrades!$T$8="Magnetosphere",POWER(Upgrades!$U$8,G190),1)*IF(Upgrades!$T$10="Magnetosphere",POWER(Upgrades!$U$10,I190),1)*IF(Upgrades!$T$11="Magnetosphere",POWER(Upgrades!$U$11,J190),1)*IF(Upgrades!$T$12="Magnetosphere",POWER(Upgrades!$U$12,K190),1))/AJ190,0)</f>
        <v>0</v>
      </c>
      <c r="AW190" s="33" t="n">
        <f aca="false">MAX(IF(I190&gt;0,0,IFERROR(0.25*N190/Upgrades!$C$10,0)),IF(J190&gt;0,0,IFERROR(0.5*((IF(G190=0,0,(Upgrades!$J$8+G190*Upgrades!$K$8)*POWER(Upgrades!$L$8,G190)))*(IF(Upgrades!$T$6="Stellar Coupling",POWER(Upgrades!$U$6,E190),1)*IF(Upgrades!$T$7="Stellar Coupling",POWER(Upgrades!$U$7,F190),1)*IF(Upgrades!$T$9="Stellar Coupling",POWER(Upgrades!$U$9,H190),1)*IF(Upgrades!$T$10="Stellar Coupling",POWER(Upgrades!$U$10,I190),1)*IF(Upgrades!$T$11="Stellar Coupling",POWER(Upgrades!$U$11,J190),1)*IF(Upgrades!$T$12="Stellar Coupling",POWER(Upgrades!$U$12,K190),1))*(POWER(Upgrades!$Q$6,E190)*POWER(Upgrades!$Q$7,F190)*POWER(Upgrades!$Q$8,G190)*POWER(Upgrades!$Q$9,H190)*POWER(Upgrades!$Q$10,I190)*POWER(Upgrades!$Q$11,J190)*POWER(Upgrades!$Q$12,K190))*Parameters!$B$10*Parameters!$B$11/60)/Upgrades!$C$11,0)),IF(K190&gt;0,0,IFERROR((1*(POWER(Upgrades!$P$6,E190)*POWER(Upgrades!$P$7,F190)*POWER(Upgrades!$P$8,G190)*POWER(Upgrades!$P$9,H190)*POWER(Upgrades!$P$10,I190)*POWER(Upgrades!$P$11,J190)*POWER(Upgrades!$P$12,K190))+0.2*M190*Parameters!$B$10*Parameters!$B$11/60)/Upgrades!$C$12,0)),IF(AND(ISNUMBER(AG190),AG190&gt;T190),AS190,0),IF(AND(ISNUMBER(AH190),AH190&gt;T190),AT190,0),IF(AND(ISNUMBER(AI190),AI190&gt;T190),AU190,0),IF(AND(ISNUMBER(AJ190),AJ190&gt;T190),AV190,0))</f>
        <v>0.00452762415783776</v>
      </c>
      <c r="AX190" s="29" t="str">
        <f aca="false">IF(AN190=1,"transition",IF(MIN(IF(AND(I190=0,ISNUMBER(AK190),AK190&lt;=T190),AK190,9000000000000000),IF(AND(J190=0,ISNUMBER(AL190),AL190&lt;=T190),AL190,9000000000000000),IF(AND(K190=0,ISNUMBER(AM190),AM190&lt;=T190),AM190,9000000000000000))&lt;9000000000000000,IF(AND(AND(I190=0,ISNUMBER(AK190),AK190&lt;=T190),AK190=MIN(IF(AND(I190=0,ISNUMBER(AK190),AK190&lt;=T190),AK190,9000000000000000),IF(AND(J190=0,ISNUMBER(AL190),AL190&lt;=T190),AL190,9000000000000000),IF(AND(K190=0,ISNUMBER(AM190),AM190&lt;=T190),AM190,9000000000000000))),"OR",IF(AND(AND(J190=0,ISNUMBER(AL190),AL190&lt;=T190),AL190=MIN(IF(AND(I190=0,ISNUMBER(AK190),AK190&lt;=T190),AK190,9000000000000000),IF(AND(J190=0,ISNUMBER(AL190),AL190&lt;=T190),AL190,9000000000000000),IF(AND(K190=0,ISNUMBER(AM190),AM190&lt;=T190),AM190,9000000000000000))),"HP","FP")),IF(AR190=TRUE(),"",IF(MAX(IF(AND(NOT(AND(AO190=1,AN190&lt;&gt;1)),ISNUMBER(AG190),AG190&lt;=T190),AS190,0),IF(AND(NOT(AND(AO190=1,AN190&lt;&gt;1)),ISNUMBER(AH190),AH190&lt;=T190),AT190,0),IF(AND(NOT(AND(AO190=1,AN190&lt;&gt;1)),ISNUMBER(AI190),AI190&lt;=T190),AU190,0),IF(AND(ISNUMBER(AJ190),AJ190&lt;=T190),AV190,0))&lt;=0,"",IF(AND(IF(AND(NOT(AND(AO190=1,AN190&lt;&gt;1)),ISNUMBER(AG190),AG190&lt;=T190),AS190,0)&gt;0,IF(AND(NOT(AND(AO190=1,AN190&lt;&gt;1)),ISNUMBER(AG190),AG190&lt;=T190),AS190,0)=MAX(IF(AND(NOT(AND(AO190=1,AN190&lt;&gt;1)),ISNUMBER(AG190),AG190&lt;=T190),AS190,0),IF(AND(NOT(AND(AO190=1,AN190&lt;&gt;1)),ISNUMBER(AH190),AH190&lt;=T190),AT190,0),IF(AND(NOT(AND(AO190=1,AN190&lt;&gt;1)),ISNUMBER(AI190),AI190&lt;=T190),AU190,0),IF(AND(ISNUMBER(AJ190),AJ190&lt;=T190),AV190,0))),"SW",IF(AND(IF(AND(NOT(AND(AO190=1,AN190&lt;&gt;1)),ISNUMBER(AH190),AH190&lt;=T190),AT190,0)&gt;0,IF(AND(NOT(AND(AO190=1,AN190&lt;&gt;1)),ISNUMBER(AH190),AH190&lt;=T190),AT190,0)=MAX(IF(AND(NOT(AND(AO190=1,AN190&lt;&gt;1)),ISNUMBER(AG190),AG190&lt;=T190),AS190,0),IF(AND(NOT(AND(AO190=1,AN190&lt;&gt;1)),ISNUMBER(AH190),AH190&lt;=T190),AT190,0),IF(AND(NOT(AND(AO190=1,AN190&lt;&gt;1)),ISNUMBER(AI190),AI190&lt;=T190),AU190,0),IF(AND(ISNUMBER(AJ190),AJ190&lt;=T190),AV190,0))),"AB",IF(AND(IF(AND(NOT(AND(AO190=1,AN190&lt;&gt;1)),ISNUMBER(AI190),AI190&lt;=T190),AU190,0)&gt;0,IF(AND(NOT(AND(AO190=1,AN190&lt;&gt;1)),ISNUMBER(AI190),AI190&lt;=T190),AU190,0)=MAX(IF(AND(NOT(AND(AO190=1,AN190&lt;&gt;1)),ISNUMBER(AG190),AG190&lt;=T190),AS190,0),IF(AND(NOT(AND(AO190=1,AN190&lt;&gt;1)),ISNUMBER(AH190),AH190&lt;=T190),AT190,0),IF(AND(NOT(AND(AO190=1,AN190&lt;&gt;1)),ISNUMBER(AI190),AI190&lt;=T190),AU190,0),IF(AND(ISNUMBER(AJ190),AJ190&lt;=T190),AV190,0))),"SC","Mag")))))))</f>
        <v/>
      </c>
    </row>
    <row r="191" customFormat="false" ht="15" hidden="false" customHeight="false" outlineLevel="0" collapsed="false">
      <c r="A191" s="26" t="n">
        <v>186</v>
      </c>
      <c r="B191" s="27" t="n">
        <f aca="false">A191*10/60</f>
        <v>31</v>
      </c>
      <c r="C191" s="21" t="n">
        <f aca="false">X190</f>
        <v>18.6730249835055</v>
      </c>
      <c r="D191" s="27" t="n">
        <f aca="false">D190+W190</f>
        <v>0</v>
      </c>
      <c r="E191" s="26" t="n">
        <f aca="false">E190+IF(U190="SW",1,0)</f>
        <v>12</v>
      </c>
      <c r="F191" s="26" t="n">
        <f aca="false">F190+IF(U190="AB",1,0)</f>
        <v>10</v>
      </c>
      <c r="G191" s="26" t="n">
        <f aca="false">G190+IF(U190="SC",1,0)</f>
        <v>7</v>
      </c>
      <c r="H191" s="26" t="n">
        <f aca="false">H190+IF(U190="Mag",1,0)</f>
        <v>5</v>
      </c>
      <c r="I191" s="26" t="n">
        <f aca="false">MAX(I190,IF(U190="OR",1,0))</f>
        <v>1</v>
      </c>
      <c r="J191" s="26" t="n">
        <f aca="false">MAX(J190,IF(U190="HP",1,0))</f>
        <v>1</v>
      </c>
      <c r="K191" s="26" t="n">
        <f aca="false">MAX(K190,IF(U190="FP",1,0))</f>
        <v>1</v>
      </c>
      <c r="L191" s="26" t="n">
        <f aca="false">MAX(L190,IF(U190="transition",1,0))</f>
        <v>1</v>
      </c>
      <c r="M191" s="28" t="n">
        <f aca="false">(Parameters!$B$9+(IF(E191=0,0,(Upgrades!$J$6+E191*Upgrades!$K$6)*POWER(Upgrades!$L$6,E191)))*(IF(Upgrades!$T$7="Solar Wind",POWER(Upgrades!$U$7,F191),1)*IF(Upgrades!$T$8="Solar Wind",POWER(Upgrades!$U$8,G191),1)*IF(Upgrades!$T$9="Solar Wind",POWER(Upgrades!$U$9,H191),1)*IF(Upgrades!$T$10="Solar Wind",POWER(Upgrades!$U$10,I191),1)*IF(Upgrades!$T$11="Solar Wind",POWER(Upgrades!$U$11,J191),1)*IF(Upgrades!$T$12="Solar Wind",POWER(Upgrades!$U$12,K191),1))+(IF(F191=0,0,(Upgrades!$J$7+F191*Upgrades!$K$7)*POWER(Upgrades!$L$7,F191)))*(IF(Upgrades!$T$6="Asteroid Belt",POWER(Upgrades!$U$6,E191),1)*IF(Upgrades!$T$8="Asteroid Belt",POWER(Upgrades!$U$8,G191),1)*IF(Upgrades!$T$9="Asteroid Belt",POWER(Upgrades!$U$9,H191),1)*IF(Upgrades!$T$10="Asteroid Belt",POWER(Upgrades!$U$10,I191),1)*IF(Upgrades!$T$11="Asteroid Belt",POWER(Upgrades!$U$11,J191),1)*IF(Upgrades!$T$12="Asteroid Belt",POWER(Upgrades!$U$12,K191),1))+(IF(G191=0,0,(Upgrades!$J$8+G191*Upgrades!$K$8)*POWER(Upgrades!$L$8,G191)))*(IF(Upgrades!$T$6="Stellar Coupling",POWER(Upgrades!$U$6,E191),1)*IF(Upgrades!$T$7="Stellar Coupling",POWER(Upgrades!$U$7,F191),1)*IF(Upgrades!$T$9="Stellar Coupling",POWER(Upgrades!$U$9,H191),1)*IF(Upgrades!$T$10="Stellar Coupling",POWER(Upgrades!$U$10,I191),1)*IF(Upgrades!$T$11="Stellar Coupling",POWER(Upgrades!$U$11,J191),1)*IF(Upgrades!$T$12="Stellar Coupling",POWER(Upgrades!$U$12,K191),1))+(IF(H191=0,0,(Upgrades!$J$9+H191*Upgrades!$K$9)*POWER(Upgrades!$L$9,H191)))*(IF(Upgrades!$T$6="Magnetosphere",POWER(Upgrades!$U$6,E191),1)*IF(Upgrades!$T$7="Magnetosphere",POWER(Upgrades!$U$7,F191),1)*IF(Upgrades!$T$8="Magnetosphere",POWER(Upgrades!$U$8,G191),1)*IF(Upgrades!$T$10="Magnetosphere",POWER(Upgrades!$U$10,I191),1)*IF(Upgrades!$T$11="Magnetosphere",POWER(Upgrades!$U$11,J191),1)*IF(Upgrades!$T$12="Magnetosphere",POWER(Upgrades!$U$12,K191),1))+(IF(I191=0,0,(Upgrades!$J$10+I191*Upgrades!$K$10)*POWER(Upgrades!$L$10,I191)))*(IF(Upgrades!$T$6="Orbital Resonance",POWER(Upgrades!$U$6,E191),1)*IF(Upgrades!$T$7="Orbital Resonance",POWER(Upgrades!$U$7,F191),1)*IF(Upgrades!$T$8="Orbital Resonance",POWER(Upgrades!$U$8,G191),1)*IF(Upgrades!$T$9="Orbital Resonance",POWER(Upgrades!$U$9,H191),1)*IF(Upgrades!$T$11="Orbital Resonance",POWER(Upgrades!$U$11,J191),1)*IF(Upgrades!$T$12="Orbital Resonance",POWER(Upgrades!$U$12,K191),1))+(IF(J191=0,0,(Upgrades!$J$11+J191*Upgrades!$K$11)*POWER(Upgrades!$L$11,J191)))*(IF(Upgrades!$T$6="Heliopause",POWER(Upgrades!$U$6,E191),1)*IF(Upgrades!$T$7="Heliopause",POWER(Upgrades!$U$7,F191),1)*IF(Upgrades!$T$8="Heliopause",POWER(Upgrades!$U$8,G191),1)*IF(Upgrades!$T$9="Heliopause",POWER(Upgrades!$U$9,H191),1)*IF(Upgrades!$T$10="Heliopause",POWER(Upgrades!$U$10,I191),1)*IF(Upgrades!$T$12="Heliopause",POWER(Upgrades!$U$12,K191),1))+(IF(K191=0,0,(Upgrades!$J$12+K191*Upgrades!$K$12)*POWER(Upgrades!$L$12,K191)))*(IF(Upgrades!$T$6="First Photons",POWER(Upgrades!$U$6,E191),1)*IF(Upgrades!$T$7="First Photons",POWER(Upgrades!$U$7,F191),1)*IF(Upgrades!$T$8="First Photons",POWER(Upgrades!$U$8,G191),1)*IF(Upgrades!$T$9="First Photons",POWER(Upgrades!$U$9,H191),1)*IF(Upgrades!$T$10="First Photons",POWER(Upgrades!$U$10,I191),1)*IF(Upgrades!$T$11="First Photons",POWER(Upgrades!$U$11,J191),1)))*POWER(Upgrades!$Q$6,E191)*POWER(Upgrades!$Q$7,F191)*POWER(Upgrades!$Q$8,G191)*POWER(Upgrades!$Q$9,H191)*POWER(Upgrades!$Q$10,I191)*POWER(Upgrades!$Q$11,J191)*POWER(Upgrades!$Q$12,K191)</f>
        <v>5.61</v>
      </c>
      <c r="N191" s="28" t="n">
        <f aca="false">((IF(E191=0,0,(Upgrades!$G$6+E191*Upgrades!$H$6)*POWER(Upgrades!$I$6,E191)))*(IF(Upgrades!$T$7="Solar Wind",POWER(Upgrades!$U$7,F191),1)*IF(Upgrades!$T$8="Solar Wind",POWER(Upgrades!$U$8,G191),1)*IF(Upgrades!$T$9="Solar Wind",POWER(Upgrades!$U$9,H191),1)*IF(Upgrades!$T$10="Solar Wind",POWER(Upgrades!$U$10,I191),1)*IF(Upgrades!$T$11="Solar Wind",POWER(Upgrades!$U$11,J191),1)*IF(Upgrades!$T$12="Solar Wind",POWER(Upgrades!$U$12,K191),1))+(IF(F191=0,0,(Upgrades!$G$7+F191*Upgrades!$H$7)*POWER(Upgrades!$I$7,F191)))*(IF(Upgrades!$T$6="Asteroid Belt",POWER(Upgrades!$U$6,E191),1)*IF(Upgrades!$T$8="Asteroid Belt",POWER(Upgrades!$U$8,G191),1)*IF(Upgrades!$T$9="Asteroid Belt",POWER(Upgrades!$U$9,H191),1)*IF(Upgrades!$T$10="Asteroid Belt",POWER(Upgrades!$U$10,I191),1)*IF(Upgrades!$T$11="Asteroid Belt",POWER(Upgrades!$U$11,J191),1)*IF(Upgrades!$T$12="Asteroid Belt",POWER(Upgrades!$U$12,K191),1))+(IF(G191=0,0,(Upgrades!$G$8+G191*Upgrades!$H$8)*POWER(Upgrades!$I$8,G191)))*(IF(Upgrades!$T$6="Stellar Coupling",POWER(Upgrades!$U$6,E191),1)*IF(Upgrades!$T$7="Stellar Coupling",POWER(Upgrades!$U$7,F191),1)*IF(Upgrades!$T$9="Stellar Coupling",POWER(Upgrades!$U$9,H191),1)*IF(Upgrades!$T$10="Stellar Coupling",POWER(Upgrades!$U$10,I191),1)*IF(Upgrades!$T$11="Stellar Coupling",POWER(Upgrades!$U$11,J191),1)*IF(Upgrades!$T$12="Stellar Coupling",POWER(Upgrades!$U$12,K191),1))+(IF(H191=0,0,(Upgrades!$G$9+H191*Upgrades!$H$9)*POWER(Upgrades!$I$9,H191)))*(IF(Upgrades!$T$6="Magnetosphere",POWER(Upgrades!$U$6,E191),1)*IF(Upgrades!$T$7="Magnetosphere",POWER(Upgrades!$U$7,F191),1)*IF(Upgrades!$T$8="Magnetosphere",POWER(Upgrades!$U$8,G191),1)*IF(Upgrades!$T$10="Magnetosphere",POWER(Upgrades!$U$10,I191),1)*IF(Upgrades!$T$11="Magnetosphere",POWER(Upgrades!$U$11,J191),1)*IF(Upgrades!$T$12="Magnetosphere",POWER(Upgrades!$U$12,K191),1))+(IF(I191=0,0,(Upgrades!$G$10+I191*Upgrades!$H$10)*POWER(Upgrades!$I$10,I191)))*(IF(Upgrades!$T$6="Orbital Resonance",POWER(Upgrades!$U$6,E191),1)*IF(Upgrades!$T$7="Orbital Resonance",POWER(Upgrades!$U$7,F191),1)*IF(Upgrades!$T$8="Orbital Resonance",POWER(Upgrades!$U$8,G191),1)*IF(Upgrades!$T$9="Orbital Resonance",POWER(Upgrades!$U$9,H191),1)*IF(Upgrades!$T$11="Orbital Resonance",POWER(Upgrades!$U$11,J191),1)*IF(Upgrades!$T$12="Orbital Resonance",POWER(Upgrades!$U$12,K191),1))+(IF(J191=0,0,(Upgrades!$G$11+J191*Upgrades!$H$11)*POWER(Upgrades!$I$11,J191)))*(IF(Upgrades!$T$6="Heliopause",POWER(Upgrades!$U$6,E191),1)*IF(Upgrades!$T$7="Heliopause",POWER(Upgrades!$U$7,F191),1)*IF(Upgrades!$T$8="Heliopause",POWER(Upgrades!$U$8,G191),1)*IF(Upgrades!$T$9="Heliopause",POWER(Upgrades!$U$9,H191),1)*IF(Upgrades!$T$10="Heliopause",POWER(Upgrades!$U$10,I191),1)*IF(Upgrades!$T$12="Heliopause",POWER(Upgrades!$U$12,K191),1))+(IF(K191=0,0,(Upgrades!$G$12+K191*Upgrades!$H$12)*POWER(Upgrades!$I$12,K191)))*(IF(Upgrades!$T$6="First Photons",POWER(Upgrades!$U$6,E191),1)*IF(Upgrades!$T$7="First Photons",POWER(Upgrades!$U$7,F191),1)*IF(Upgrades!$T$8="First Photons",POWER(Upgrades!$U$8,G191),1)*IF(Upgrades!$T$9="First Photons",POWER(Upgrades!$U$9,H191),1)*IF(Upgrades!$T$10="First Photons",POWER(Upgrades!$U$10,I191),1)*IF(Upgrades!$T$11="First Photons",POWER(Upgrades!$U$11,J191),1)))*POWER(Upgrades!$P$6,E191)*POWER(Upgrades!$P$7,F191)*POWER(Upgrades!$P$8,G191)*POWER(Upgrades!$P$9,H191)*POWER(Upgrades!$P$10,I191)*POWER(Upgrades!$P$11,J191)*POWER(Upgrades!$P$12,K191)</f>
        <v>11.2</v>
      </c>
      <c r="O191" s="28" t="n">
        <f aca="false">((IF(E191=0,0,(Upgrades!$M$6+E191*Upgrades!$N$6)*POWER(Upgrades!$O$6,E191)))*(IF(Upgrades!$T$7="Solar Wind",POWER(Upgrades!$U$7,F191),1)*IF(Upgrades!$T$8="Solar Wind",POWER(Upgrades!$U$8,G191),1)*IF(Upgrades!$T$9="Solar Wind",POWER(Upgrades!$U$9,H191),1)*IF(Upgrades!$T$10="Solar Wind",POWER(Upgrades!$U$10,I191),1)*IF(Upgrades!$T$11="Solar Wind",POWER(Upgrades!$U$11,J191),1)*IF(Upgrades!$T$12="Solar Wind",POWER(Upgrades!$U$12,K191),1))+(IF(F191=0,0,(Upgrades!$M$7+F191*Upgrades!$N$7)*POWER(Upgrades!$O$7,F191)))*(IF(Upgrades!$T$6="Asteroid Belt",POWER(Upgrades!$U$6,E191),1)*IF(Upgrades!$T$8="Asteroid Belt",POWER(Upgrades!$U$8,G191),1)*IF(Upgrades!$T$9="Asteroid Belt",POWER(Upgrades!$U$9,H191),1)*IF(Upgrades!$T$10="Asteroid Belt",POWER(Upgrades!$U$10,I191),1)*IF(Upgrades!$T$11="Asteroid Belt",POWER(Upgrades!$U$11,J191),1)*IF(Upgrades!$T$12="Asteroid Belt",POWER(Upgrades!$U$12,K191),1))+(IF(G191=0,0,(Upgrades!$M$8+G191*Upgrades!$N$8)*POWER(Upgrades!$O$8,G191)))*(IF(Upgrades!$T$6="Stellar Coupling",POWER(Upgrades!$U$6,E191),1)*IF(Upgrades!$T$7="Stellar Coupling",POWER(Upgrades!$U$7,F191),1)*IF(Upgrades!$T$9="Stellar Coupling",POWER(Upgrades!$U$9,H191),1)*IF(Upgrades!$T$10="Stellar Coupling",POWER(Upgrades!$U$10,I191),1)*IF(Upgrades!$T$11="Stellar Coupling",POWER(Upgrades!$U$11,J191),1)*IF(Upgrades!$T$12="Stellar Coupling",POWER(Upgrades!$U$12,K191),1))+(IF(H191=0,0,(Upgrades!$M$9+H191*Upgrades!$N$9)*POWER(Upgrades!$O$9,H191)))*(IF(Upgrades!$T$6="Magnetosphere",POWER(Upgrades!$U$6,E191),1)*IF(Upgrades!$T$7="Magnetosphere",POWER(Upgrades!$U$7,F191),1)*IF(Upgrades!$T$8="Magnetosphere",POWER(Upgrades!$U$8,G191),1)*IF(Upgrades!$T$10="Magnetosphere",POWER(Upgrades!$U$10,I191),1)*IF(Upgrades!$T$11="Magnetosphere",POWER(Upgrades!$U$11,J191),1)*IF(Upgrades!$T$12="Magnetosphere",POWER(Upgrades!$U$12,K191),1))+(IF(I191=0,0,(Upgrades!$M$10+I191*Upgrades!$N$10)*POWER(Upgrades!$O$10,I191)))*(IF(Upgrades!$T$6="Orbital Resonance",POWER(Upgrades!$U$6,E191),1)*IF(Upgrades!$T$7="Orbital Resonance",POWER(Upgrades!$U$7,F191),1)*IF(Upgrades!$T$8="Orbital Resonance",POWER(Upgrades!$U$8,G191),1)*IF(Upgrades!$T$9="Orbital Resonance",POWER(Upgrades!$U$9,H191),1)*IF(Upgrades!$T$11="Orbital Resonance",POWER(Upgrades!$U$11,J191),1)*IF(Upgrades!$T$12="Orbital Resonance",POWER(Upgrades!$U$12,K191),1))+(IF(J191=0,0,(Upgrades!$M$11+J191*Upgrades!$N$11)*POWER(Upgrades!$O$11,J191)))*(IF(Upgrades!$T$6="Heliopause",POWER(Upgrades!$U$6,E191),1)*IF(Upgrades!$T$7="Heliopause",POWER(Upgrades!$U$7,F191),1)*IF(Upgrades!$T$8="Heliopause",POWER(Upgrades!$U$8,G191),1)*IF(Upgrades!$T$9="Heliopause",POWER(Upgrades!$U$9,H191),1)*IF(Upgrades!$T$10="Heliopause",POWER(Upgrades!$U$10,I191),1)*IF(Upgrades!$T$12="Heliopause",POWER(Upgrades!$U$12,K191),1))+(IF(K191=0,0,(Upgrades!$M$12+K191*Upgrades!$N$12)*POWER(Upgrades!$O$12,K191)))*(IF(Upgrades!$T$6="First Photons",POWER(Upgrades!$U$6,E191),1)*IF(Upgrades!$T$7="First Photons",POWER(Upgrades!$U$7,F191),1)*IF(Upgrades!$T$8="First Photons",POWER(Upgrades!$U$8,G191),1)*IF(Upgrades!$T$9="First Photons",POWER(Upgrades!$U$9,H191),1)*IF(Upgrades!$T$10="First Photons",POWER(Upgrades!$U$10,I191),1)*IF(Upgrades!$T$11="First Photons",POWER(Upgrades!$U$11,J191),1)))*POWER(Upgrades!$R$6,E191)*POWER(Upgrades!$R$7,F191)*POWER(Upgrades!$R$8,G191)*POWER(Upgrades!$R$9,H191)*POWER(Upgrades!$R$10,I191)*POWER(Upgrades!$R$11,J191)*POWER(Upgrades!$R$12,K191)</f>
        <v>0</v>
      </c>
      <c r="P191" s="27" t="n">
        <f aca="false">IF(L191=1,0,M191*Parameters!$B$10/60*Parameters!$B$11*10)</f>
        <v>0</v>
      </c>
      <c r="Q191" s="27" t="n">
        <f aca="false">IF(L191=1,0,O191*M191*10)</f>
        <v>0</v>
      </c>
      <c r="R191" s="27" t="n">
        <f aca="false">IF(L191=1,0,N191*10)</f>
        <v>0</v>
      </c>
      <c r="S191" s="27" t="n">
        <f aca="false">P191+Q191+R191</f>
        <v>0</v>
      </c>
      <c r="T191" s="21" t="n">
        <f aca="false">C191+S191</f>
        <v>18.6730249835055</v>
      </c>
      <c r="U191" s="34" t="str">
        <f aca="false">AX191</f>
        <v/>
      </c>
      <c r="V191" s="21" t="n">
        <f aca="false">IF(U191="",0,IF(U191="transition",0,IF(U191="SW",AG191,IF(U191="AB",AH191,IF(U191="SC",AI191,IF(U191="Mag",AJ191,IF(U191="OR",AK191,IF(U191="HP",AL191,IF(U191="FP",AM191,0)))))))))</f>
        <v>0</v>
      </c>
      <c r="W191" s="27" t="n">
        <f aca="false">IF(U191="OR",Upgrades!$F$10,IF(U191="HP",Upgrades!$F$11,IF(U191="transition",-Parameters!$B$18,0)))</f>
        <v>0</v>
      </c>
      <c r="X191" s="21" t="n">
        <f aca="false">T191-V191</f>
        <v>18.6730249835055</v>
      </c>
      <c r="Y191" s="30" t="n">
        <f aca="false">M191*Parameters!$B$10/60*Parameters!$B$11+O191*M191+N191</f>
        <v>20.55</v>
      </c>
      <c r="Z191" s="35" t="str">
        <f aca="false">IF(U191="transition","→ Tier 2 (Stellar Neighborhood)",IF(U191="FP","First Photons — light begins, system quickens",IF(U191="HP","Heliopause acquired",IF(U191="OR","Orbital Resonance — passive multiplier active",IF(AND(AO191=1,L191=0,AN191&lt;&gt;1),"Cohesion ready (waiting on completionist upgrades)","")))))</f>
        <v/>
      </c>
      <c r="AA191" s="27" t="n">
        <f aca="false">(IF(E191=0,0,(Upgrades!$G$6+E191*Upgrades!$H$6)*POWER(Upgrades!$I$6,E191)))*(IF(Upgrades!$T$7="Solar Wind",POWER(Upgrades!$U$7,F191),1)*IF(Upgrades!$T$8="Solar Wind",POWER(Upgrades!$U$8,G191),1)*IF(Upgrades!$T$9="Solar Wind",POWER(Upgrades!$U$9,H191),1)*IF(Upgrades!$T$10="Solar Wind",POWER(Upgrades!$U$10,I191),1)*IF(Upgrades!$T$11="Solar Wind",POWER(Upgrades!$U$11,J191),1)*IF(Upgrades!$T$12="Solar Wind",POWER(Upgrades!$U$12,K191),1))*POWER(Upgrades!$P$6,E191)*POWER(Upgrades!$P$7,F191)*POWER(Upgrades!$P$8,G191)*POWER(Upgrades!$P$9,H191)*POWER(Upgrades!$P$10,I191)*POWER(Upgrades!$P$11,J191)*POWER(Upgrades!$P$12,K191)*60</f>
        <v>72</v>
      </c>
      <c r="AB191" s="27" t="n">
        <f aca="false">(IF(F191=0,0,(Upgrades!$G$7+F191*Upgrades!$H$7)*POWER(Upgrades!$I$7,F191)))*(IF(Upgrades!$T$6="Asteroid Belt",POWER(Upgrades!$U$6,E191),1)*IF(Upgrades!$T$8="Asteroid Belt",POWER(Upgrades!$U$8,G191),1)*IF(Upgrades!$T$9="Asteroid Belt",POWER(Upgrades!$U$9,H191),1)*IF(Upgrades!$T$10="Asteroid Belt",POWER(Upgrades!$U$10,I191),1)*IF(Upgrades!$T$11="Asteroid Belt",POWER(Upgrades!$U$11,J191),1)*IF(Upgrades!$T$12="Asteroid Belt",POWER(Upgrades!$U$12,K191),1))*POWER(Upgrades!$P$6,E191)*POWER(Upgrades!$P$7,F191)*POWER(Upgrades!$P$8,G191)*POWER(Upgrades!$P$9,H191)*POWER(Upgrades!$P$10,I191)*POWER(Upgrades!$P$11,J191)*POWER(Upgrades!$P$12,K191)*60</f>
        <v>150</v>
      </c>
      <c r="AC191" s="27" t="n">
        <f aca="false">(IF(G191=0,0,(Upgrades!$J$8+G191*Upgrades!$K$8)*POWER(Upgrades!$L$8,G191)))*(IF(Upgrades!$T$6="Stellar Coupling",POWER(Upgrades!$U$6,E191),1)*IF(Upgrades!$T$7="Stellar Coupling",POWER(Upgrades!$U$7,F191),1)*IF(Upgrades!$T$9="Stellar Coupling",POWER(Upgrades!$U$9,H191),1)*IF(Upgrades!$T$10="Stellar Coupling",POWER(Upgrades!$U$10,I191),1)*IF(Upgrades!$T$11="Stellar Coupling",POWER(Upgrades!$U$11,J191),1)*IF(Upgrades!$T$12="Stellar Coupling",POWER(Upgrades!$U$12,K191),1))*POWER(Upgrades!$Q$6,E191)*POWER(Upgrades!$Q$7,F191)*POWER(Upgrades!$Q$8,G191)*POWER(Upgrades!$Q$9,H191)*POWER(Upgrades!$Q$10,I191)*POWER(Upgrades!$Q$11,J191)*POWER(Upgrades!$Q$12,K191)*Parameters!$B$10*Parameters!$B$11</f>
        <v>441</v>
      </c>
      <c r="AD191" s="27" t="n">
        <f aca="false">(IF(H191=0,0,(Upgrades!$G$9+H191*Upgrades!$H$9)*POWER(Upgrades!$I$9,H191)))*(IF(Upgrades!$T$6="Magnetosphere",POWER(Upgrades!$U$6,E191),1)*IF(Upgrades!$T$7="Magnetosphere",POWER(Upgrades!$U$7,F191),1)*IF(Upgrades!$T$8="Magnetosphere",POWER(Upgrades!$U$8,G191),1)*IF(Upgrades!$T$10="Magnetosphere",POWER(Upgrades!$U$10,I191),1)*IF(Upgrades!$T$11="Magnetosphere",POWER(Upgrades!$U$11,J191),1)*IF(Upgrades!$T$12="Magnetosphere",POWER(Upgrades!$U$12,K191),1))*POWER(Upgrades!$P$6,E191)*POWER(Upgrades!$P$7,F191)*POWER(Upgrades!$P$8,G191)*POWER(Upgrades!$P$9,H191)*POWER(Upgrades!$P$10,I191)*POWER(Upgrades!$P$11,J191)*POWER(Upgrades!$P$12,K191)*60</f>
        <v>375</v>
      </c>
      <c r="AE191" s="27" t="n">
        <f aca="false">(IF(K191=0,0,(Upgrades!$G$12+K191*Upgrades!$H$12)*POWER(Upgrades!$I$12,K191)))*(IF(Upgrades!$T$6="First Photons",POWER(Upgrades!$U$6,E191),1)*IF(Upgrades!$T$7="First Photons",POWER(Upgrades!$U$7,F191),1)*IF(Upgrades!$T$8="First Photons",POWER(Upgrades!$U$8,G191),1)*IF(Upgrades!$T$9="First Photons",POWER(Upgrades!$U$9,H191),1)*IF(Upgrades!$T$10="First Photons",POWER(Upgrades!$U$10,I191),1)*IF(Upgrades!$T$11="First Photons",POWER(Upgrades!$U$11,J191),1))*POWER(Upgrades!$P$6,E191)*POWER(Upgrades!$P$7,F191)*POWER(Upgrades!$P$8,G191)*POWER(Upgrades!$P$9,H191)*POWER(Upgrades!$P$10,I191)*POWER(Upgrades!$P$11,J191)*POWER(Upgrades!$P$12,K191)*60</f>
        <v>75</v>
      </c>
      <c r="AF191" s="27" t="n">
        <f aca="false">Parameters!$B$9*POWER(Upgrades!$Q$6,E191)*POWER(Upgrades!$Q$7,F191)*POWER(Upgrades!$Q$8,G191)*POWER(Upgrades!$Q$9,H191)*POWER(Upgrades!$Q$10,I191)*POWER(Upgrades!$Q$11,J191)*POWER(Upgrades!$Q$12,K191)*(Parameters!$B$10*Parameters!$B$11+O191*60)</f>
        <v>120</v>
      </c>
      <c r="AG191" s="21" t="n">
        <f aca="false">IF(E191&gt;=Upgrades!$E$6,"",Upgrades!$C$6*POWER(Upgrades!$D$6,E191))</f>
        <v>37.4517507383159</v>
      </c>
      <c r="AH191" s="21" t="n">
        <f aca="false">IF(F191&gt;=Upgrades!$E$7,"",Upgrades!$C$7*POWER(Upgrades!$D$7,F191))</f>
        <v>80.9111547141581</v>
      </c>
      <c r="AI191" s="21" t="n">
        <f aca="false">IF(G191&gt;=Upgrades!$E$8,"",Upgrades!$C$8*POWER(Upgrades!$D$8,G191))</f>
        <v>231.9097088</v>
      </c>
      <c r="AJ191" s="21" t="str">
        <f aca="false">IF(H191&gt;=Upgrades!$E$9,"",Upgrades!$C$9*POWER(Upgrades!$D$9,H191))</f>
        <v/>
      </c>
      <c r="AK191" s="21" t="str">
        <f aca="false">IF(I191&gt;=Upgrades!$E$10,"",Upgrades!$C$10*POWER(Upgrades!$D$10,I191))</f>
        <v/>
      </c>
      <c r="AL191" s="21" t="str">
        <f aca="false">IF(J191&gt;=Upgrades!$E$11,"",Upgrades!$C$11*POWER(Upgrades!$D$11,J191))</f>
        <v/>
      </c>
      <c r="AM191" s="21" t="str">
        <f aca="false">IF(K191&gt;=Upgrades!$E$12,"",Upgrades!$C$12*POWER(Upgrades!$D$12,K191))</f>
        <v/>
      </c>
      <c r="AN191" s="26" t="str">
        <f aca="false">IF(AND(D191&gt;=Parameters!$B$18,(H191&gt;=Upgrades!$E$9)*(K191&gt;=Upgrades!$E$12)=1,L191=0),1,"")</f>
        <v/>
      </c>
      <c r="AO191" s="26" t="str">
        <f aca="false">IF(AND(D191&gt;=Parameters!$B$18,L191=0),1,"")</f>
        <v/>
      </c>
      <c r="AP191" s="21" t="n">
        <f aca="false">MIN(IF(ISNUMBER(AK191),AK191,9000000000000000),IF(ISNUMBER(AL191),AL191,9000000000000000),IF(ISNUMBER(AM191),AM191,9000000000000000))</f>
        <v>9000000000000000</v>
      </c>
      <c r="AQ191" s="21" t="n">
        <f aca="false">MIN(IF(ISNUMBER(AG191),AG191,9000000000000000),IF(ISNUMBER(AH191),AH191,9000000000000000),IF(ISNUMBER(AI191),AI191,9000000000000000),IF(ISNUMBER(AJ191),AJ191,9000000000000000))</f>
        <v>37.4517507383159</v>
      </c>
      <c r="AR191" s="32" t="b">
        <f aca="false">IF(AW191&gt;Parameters!$B$21*(MAX(IF(AND(NOT(AND(AO191=1,AN191&lt;&gt;1)),ISNUMBER(AG191),AG191&lt;=T191),AS191,0),IF(AND(NOT(AND(AO191=1,AN191&lt;&gt;1)),ISNUMBER(AH191),AH191&lt;=T191),AT191,0),IF(AND(NOT(AND(AO191=1,AN191&lt;&gt;1)),ISNUMBER(AI191),AI191&lt;=T191),AU191,0),IF(AND(ISNUMBER(AJ191),AJ191&lt;=T191),AV191,0))),TRUE(),FALSE())</f>
        <v>1</v>
      </c>
      <c r="AS191" s="33" t="n">
        <f aca="false">IFERROR(Upgrades!$H$6*(POWER(Upgrades!$P$6,E191)*POWER(Upgrades!$P$7,F191)*POWER(Upgrades!$P$8,G191)*POWER(Upgrades!$P$9,H191)*POWER(Upgrades!$P$10,I191)*POWER(Upgrades!$P$11,J191)*POWER(Upgrades!$P$12,K191))*(IF(Upgrades!$T$7="Solar Wind",POWER(Upgrades!$U$7,F191),1)*IF(Upgrades!$T$8="Solar Wind",POWER(Upgrades!$U$8,G191),1)*IF(Upgrades!$T$9="Solar Wind",POWER(Upgrades!$U$9,H191),1)*IF(Upgrades!$T$10="Solar Wind",POWER(Upgrades!$U$10,I191),1)*IF(Upgrades!$T$11="Solar Wind",POWER(Upgrades!$U$11,J191),1)*IF(Upgrades!$T$12="Solar Wind",POWER(Upgrades!$U$12,K191),1))/AG191,0)</f>
        <v>0.0026701021455238</v>
      </c>
      <c r="AT191" s="33" t="n">
        <f aca="false">IFERROR(Upgrades!$H$7*(POWER(Upgrades!$P$6,E191)*POWER(Upgrades!$P$7,F191)*POWER(Upgrades!$P$8,G191)*POWER(Upgrades!$P$9,H191)*POWER(Upgrades!$P$10,I191)*POWER(Upgrades!$P$11,J191)*POWER(Upgrades!$P$12,K191))*(IF(Upgrades!$T$6="Asteroid Belt",POWER(Upgrades!$U$6,E191),1)*IF(Upgrades!$T$8="Asteroid Belt",POWER(Upgrades!$U$8,G191),1)*IF(Upgrades!$T$9="Asteroid Belt",POWER(Upgrades!$U$9,H191),1)*IF(Upgrades!$T$10="Asteroid Belt",POWER(Upgrades!$U$10,I191),1)*IF(Upgrades!$T$11="Asteroid Belt",POWER(Upgrades!$U$11,J191),1)*IF(Upgrades!$T$12="Asteroid Belt",POWER(Upgrades!$U$12,K191),1))/AH191,0)</f>
        <v>0.00308980882652332</v>
      </c>
      <c r="AU191" s="33" t="n">
        <f aca="false">IFERROR(Upgrades!$K$8*(POWER(Upgrades!$Q$6,E191)*POWER(Upgrades!$Q$7,F191)*POWER(Upgrades!$Q$8,G191)*POWER(Upgrades!$Q$9,H191)*POWER(Upgrades!$Q$10,I191)*POWER(Upgrades!$Q$11,J191)*POWER(Upgrades!$Q$12,K191))*(IF(Upgrades!$T$6="Stellar Coupling",POWER(Upgrades!$U$6,E191),1)*IF(Upgrades!$T$7="Stellar Coupling",POWER(Upgrades!$U$7,F191),1)*IF(Upgrades!$T$9="Stellar Coupling",POWER(Upgrades!$U$9,H191),1)*IF(Upgrades!$T$10="Stellar Coupling",POWER(Upgrades!$U$10,I191),1)*IF(Upgrades!$T$11="Stellar Coupling",POWER(Upgrades!$U$11,J191),1)*IF(Upgrades!$T$12="Stellar Coupling",POWER(Upgrades!$U$12,K191),1))*Parameters!$B$10*Parameters!$B$11/60/AI191,0)</f>
        <v>0.00452762415783776</v>
      </c>
      <c r="AV191" s="33" t="n">
        <f aca="false">IFERROR(Upgrades!$H$9*(POWER(Upgrades!$P$6,E191)*POWER(Upgrades!$P$7,F191)*POWER(Upgrades!$P$8,G191)*POWER(Upgrades!$P$9,H191)*POWER(Upgrades!$P$10,I191)*POWER(Upgrades!$P$11,J191)*POWER(Upgrades!$P$12,K191))*(IF(Upgrades!$T$6="Magnetosphere",POWER(Upgrades!$U$6,E191),1)*IF(Upgrades!$T$7="Magnetosphere",POWER(Upgrades!$U$7,F191),1)*IF(Upgrades!$T$8="Magnetosphere",POWER(Upgrades!$U$8,G191),1)*IF(Upgrades!$T$10="Magnetosphere",POWER(Upgrades!$U$10,I191),1)*IF(Upgrades!$T$11="Magnetosphere",POWER(Upgrades!$U$11,J191),1)*IF(Upgrades!$T$12="Magnetosphere",POWER(Upgrades!$U$12,K191),1))/AJ191,0)</f>
        <v>0</v>
      </c>
      <c r="AW191" s="33" t="n">
        <f aca="false">MAX(IF(I191&gt;0,0,IFERROR(0.25*N191/Upgrades!$C$10,0)),IF(J191&gt;0,0,IFERROR(0.5*((IF(G191=0,0,(Upgrades!$J$8+G191*Upgrades!$K$8)*POWER(Upgrades!$L$8,G191)))*(IF(Upgrades!$T$6="Stellar Coupling",POWER(Upgrades!$U$6,E191),1)*IF(Upgrades!$T$7="Stellar Coupling",POWER(Upgrades!$U$7,F191),1)*IF(Upgrades!$T$9="Stellar Coupling",POWER(Upgrades!$U$9,H191),1)*IF(Upgrades!$T$10="Stellar Coupling",POWER(Upgrades!$U$10,I191),1)*IF(Upgrades!$T$11="Stellar Coupling",POWER(Upgrades!$U$11,J191),1)*IF(Upgrades!$T$12="Stellar Coupling",POWER(Upgrades!$U$12,K191),1))*(POWER(Upgrades!$Q$6,E191)*POWER(Upgrades!$Q$7,F191)*POWER(Upgrades!$Q$8,G191)*POWER(Upgrades!$Q$9,H191)*POWER(Upgrades!$Q$10,I191)*POWER(Upgrades!$Q$11,J191)*POWER(Upgrades!$Q$12,K191))*Parameters!$B$10*Parameters!$B$11/60)/Upgrades!$C$11,0)),IF(K191&gt;0,0,IFERROR((1*(POWER(Upgrades!$P$6,E191)*POWER(Upgrades!$P$7,F191)*POWER(Upgrades!$P$8,G191)*POWER(Upgrades!$P$9,H191)*POWER(Upgrades!$P$10,I191)*POWER(Upgrades!$P$11,J191)*POWER(Upgrades!$P$12,K191))+0.2*M191*Parameters!$B$10*Parameters!$B$11/60)/Upgrades!$C$12,0)),IF(AND(ISNUMBER(AG191),AG191&gt;T191),AS191,0),IF(AND(ISNUMBER(AH191),AH191&gt;T191),AT191,0),IF(AND(ISNUMBER(AI191),AI191&gt;T191),AU191,0),IF(AND(ISNUMBER(AJ191),AJ191&gt;T191),AV191,0))</f>
        <v>0.00452762415783776</v>
      </c>
      <c r="AX191" s="29" t="str">
        <f aca="false">IF(AN191=1,"transition",IF(MIN(IF(AND(I191=0,ISNUMBER(AK191),AK191&lt;=T191),AK191,9000000000000000),IF(AND(J191=0,ISNUMBER(AL191),AL191&lt;=T191),AL191,9000000000000000),IF(AND(K191=0,ISNUMBER(AM191),AM191&lt;=T191),AM191,9000000000000000))&lt;9000000000000000,IF(AND(AND(I191=0,ISNUMBER(AK191),AK191&lt;=T191),AK191=MIN(IF(AND(I191=0,ISNUMBER(AK191),AK191&lt;=T191),AK191,9000000000000000),IF(AND(J191=0,ISNUMBER(AL191),AL191&lt;=T191),AL191,9000000000000000),IF(AND(K191=0,ISNUMBER(AM191),AM191&lt;=T191),AM191,9000000000000000))),"OR",IF(AND(AND(J191=0,ISNUMBER(AL191),AL191&lt;=T191),AL191=MIN(IF(AND(I191=0,ISNUMBER(AK191),AK191&lt;=T191),AK191,9000000000000000),IF(AND(J191=0,ISNUMBER(AL191),AL191&lt;=T191),AL191,9000000000000000),IF(AND(K191=0,ISNUMBER(AM191),AM191&lt;=T191),AM191,9000000000000000))),"HP","FP")),IF(AR191=TRUE(),"",IF(MAX(IF(AND(NOT(AND(AO191=1,AN191&lt;&gt;1)),ISNUMBER(AG191),AG191&lt;=T191),AS191,0),IF(AND(NOT(AND(AO191=1,AN191&lt;&gt;1)),ISNUMBER(AH191),AH191&lt;=T191),AT191,0),IF(AND(NOT(AND(AO191=1,AN191&lt;&gt;1)),ISNUMBER(AI191),AI191&lt;=T191),AU191,0),IF(AND(ISNUMBER(AJ191),AJ191&lt;=T191),AV191,0))&lt;=0,"",IF(AND(IF(AND(NOT(AND(AO191=1,AN191&lt;&gt;1)),ISNUMBER(AG191),AG191&lt;=T191),AS191,0)&gt;0,IF(AND(NOT(AND(AO191=1,AN191&lt;&gt;1)),ISNUMBER(AG191),AG191&lt;=T191),AS191,0)=MAX(IF(AND(NOT(AND(AO191=1,AN191&lt;&gt;1)),ISNUMBER(AG191),AG191&lt;=T191),AS191,0),IF(AND(NOT(AND(AO191=1,AN191&lt;&gt;1)),ISNUMBER(AH191),AH191&lt;=T191),AT191,0),IF(AND(NOT(AND(AO191=1,AN191&lt;&gt;1)),ISNUMBER(AI191),AI191&lt;=T191),AU191,0),IF(AND(ISNUMBER(AJ191),AJ191&lt;=T191),AV191,0))),"SW",IF(AND(IF(AND(NOT(AND(AO191=1,AN191&lt;&gt;1)),ISNUMBER(AH191),AH191&lt;=T191),AT191,0)&gt;0,IF(AND(NOT(AND(AO191=1,AN191&lt;&gt;1)),ISNUMBER(AH191),AH191&lt;=T191),AT191,0)=MAX(IF(AND(NOT(AND(AO191=1,AN191&lt;&gt;1)),ISNUMBER(AG191),AG191&lt;=T191),AS191,0),IF(AND(NOT(AND(AO191=1,AN191&lt;&gt;1)),ISNUMBER(AH191),AH191&lt;=T191),AT191,0),IF(AND(NOT(AND(AO191=1,AN191&lt;&gt;1)),ISNUMBER(AI191),AI191&lt;=T191),AU191,0),IF(AND(ISNUMBER(AJ191),AJ191&lt;=T191),AV191,0))),"AB",IF(AND(IF(AND(NOT(AND(AO191=1,AN191&lt;&gt;1)),ISNUMBER(AI191),AI191&lt;=T191),AU191,0)&gt;0,IF(AND(NOT(AND(AO191=1,AN191&lt;&gt;1)),ISNUMBER(AI191),AI191&lt;=T191),AU191,0)=MAX(IF(AND(NOT(AND(AO191=1,AN191&lt;&gt;1)),ISNUMBER(AG191),AG191&lt;=T191),AS191,0),IF(AND(NOT(AND(AO191=1,AN191&lt;&gt;1)),ISNUMBER(AH191),AH191&lt;=T191),AT191,0),IF(AND(NOT(AND(AO191=1,AN191&lt;&gt;1)),ISNUMBER(AI191),AI191&lt;=T191),AU191,0),IF(AND(ISNUMBER(AJ191),AJ191&lt;=T191),AV191,0))),"SC","Mag")))))))</f>
        <v/>
      </c>
    </row>
    <row r="192" customFormat="false" ht="15" hidden="false" customHeight="false" outlineLevel="0" collapsed="false">
      <c r="A192" s="26" t="n">
        <v>187</v>
      </c>
      <c r="B192" s="27" t="n">
        <f aca="false">A192*10/60</f>
        <v>31.1666666666667</v>
      </c>
      <c r="C192" s="21" t="n">
        <f aca="false">X191</f>
        <v>18.6730249835055</v>
      </c>
      <c r="D192" s="27" t="n">
        <f aca="false">D191+W191</f>
        <v>0</v>
      </c>
      <c r="E192" s="26" t="n">
        <f aca="false">E191+IF(U191="SW",1,0)</f>
        <v>12</v>
      </c>
      <c r="F192" s="26" t="n">
        <f aca="false">F191+IF(U191="AB",1,0)</f>
        <v>10</v>
      </c>
      <c r="G192" s="26" t="n">
        <f aca="false">G191+IF(U191="SC",1,0)</f>
        <v>7</v>
      </c>
      <c r="H192" s="26" t="n">
        <f aca="false">H191+IF(U191="Mag",1,0)</f>
        <v>5</v>
      </c>
      <c r="I192" s="26" t="n">
        <f aca="false">MAX(I191,IF(U191="OR",1,0))</f>
        <v>1</v>
      </c>
      <c r="J192" s="26" t="n">
        <f aca="false">MAX(J191,IF(U191="HP",1,0))</f>
        <v>1</v>
      </c>
      <c r="K192" s="26" t="n">
        <f aca="false">MAX(K191,IF(U191="FP",1,0))</f>
        <v>1</v>
      </c>
      <c r="L192" s="26" t="n">
        <f aca="false">MAX(L191,IF(U191="transition",1,0))</f>
        <v>1</v>
      </c>
      <c r="M192" s="28" t="n">
        <f aca="false">(Parameters!$B$9+(IF(E192=0,0,(Upgrades!$J$6+E192*Upgrades!$K$6)*POWER(Upgrades!$L$6,E192)))*(IF(Upgrades!$T$7="Solar Wind",POWER(Upgrades!$U$7,F192),1)*IF(Upgrades!$T$8="Solar Wind",POWER(Upgrades!$U$8,G192),1)*IF(Upgrades!$T$9="Solar Wind",POWER(Upgrades!$U$9,H192),1)*IF(Upgrades!$T$10="Solar Wind",POWER(Upgrades!$U$10,I192),1)*IF(Upgrades!$T$11="Solar Wind",POWER(Upgrades!$U$11,J192),1)*IF(Upgrades!$T$12="Solar Wind",POWER(Upgrades!$U$12,K192),1))+(IF(F192=0,0,(Upgrades!$J$7+F192*Upgrades!$K$7)*POWER(Upgrades!$L$7,F192)))*(IF(Upgrades!$T$6="Asteroid Belt",POWER(Upgrades!$U$6,E192),1)*IF(Upgrades!$T$8="Asteroid Belt",POWER(Upgrades!$U$8,G192),1)*IF(Upgrades!$T$9="Asteroid Belt",POWER(Upgrades!$U$9,H192),1)*IF(Upgrades!$T$10="Asteroid Belt",POWER(Upgrades!$U$10,I192),1)*IF(Upgrades!$T$11="Asteroid Belt",POWER(Upgrades!$U$11,J192),1)*IF(Upgrades!$T$12="Asteroid Belt",POWER(Upgrades!$U$12,K192),1))+(IF(G192=0,0,(Upgrades!$J$8+G192*Upgrades!$K$8)*POWER(Upgrades!$L$8,G192)))*(IF(Upgrades!$T$6="Stellar Coupling",POWER(Upgrades!$U$6,E192),1)*IF(Upgrades!$T$7="Stellar Coupling",POWER(Upgrades!$U$7,F192),1)*IF(Upgrades!$T$9="Stellar Coupling",POWER(Upgrades!$U$9,H192),1)*IF(Upgrades!$T$10="Stellar Coupling",POWER(Upgrades!$U$10,I192),1)*IF(Upgrades!$T$11="Stellar Coupling",POWER(Upgrades!$U$11,J192),1)*IF(Upgrades!$T$12="Stellar Coupling",POWER(Upgrades!$U$12,K192),1))+(IF(H192=0,0,(Upgrades!$J$9+H192*Upgrades!$K$9)*POWER(Upgrades!$L$9,H192)))*(IF(Upgrades!$T$6="Magnetosphere",POWER(Upgrades!$U$6,E192),1)*IF(Upgrades!$T$7="Magnetosphere",POWER(Upgrades!$U$7,F192),1)*IF(Upgrades!$T$8="Magnetosphere",POWER(Upgrades!$U$8,G192),1)*IF(Upgrades!$T$10="Magnetosphere",POWER(Upgrades!$U$10,I192),1)*IF(Upgrades!$T$11="Magnetosphere",POWER(Upgrades!$U$11,J192),1)*IF(Upgrades!$T$12="Magnetosphere",POWER(Upgrades!$U$12,K192),1))+(IF(I192=0,0,(Upgrades!$J$10+I192*Upgrades!$K$10)*POWER(Upgrades!$L$10,I192)))*(IF(Upgrades!$T$6="Orbital Resonance",POWER(Upgrades!$U$6,E192),1)*IF(Upgrades!$T$7="Orbital Resonance",POWER(Upgrades!$U$7,F192),1)*IF(Upgrades!$T$8="Orbital Resonance",POWER(Upgrades!$U$8,G192),1)*IF(Upgrades!$T$9="Orbital Resonance",POWER(Upgrades!$U$9,H192),1)*IF(Upgrades!$T$11="Orbital Resonance",POWER(Upgrades!$U$11,J192),1)*IF(Upgrades!$T$12="Orbital Resonance",POWER(Upgrades!$U$12,K192),1))+(IF(J192=0,0,(Upgrades!$J$11+J192*Upgrades!$K$11)*POWER(Upgrades!$L$11,J192)))*(IF(Upgrades!$T$6="Heliopause",POWER(Upgrades!$U$6,E192),1)*IF(Upgrades!$T$7="Heliopause",POWER(Upgrades!$U$7,F192),1)*IF(Upgrades!$T$8="Heliopause",POWER(Upgrades!$U$8,G192),1)*IF(Upgrades!$T$9="Heliopause",POWER(Upgrades!$U$9,H192),1)*IF(Upgrades!$T$10="Heliopause",POWER(Upgrades!$U$10,I192),1)*IF(Upgrades!$T$12="Heliopause",POWER(Upgrades!$U$12,K192),1))+(IF(K192=0,0,(Upgrades!$J$12+K192*Upgrades!$K$12)*POWER(Upgrades!$L$12,K192)))*(IF(Upgrades!$T$6="First Photons",POWER(Upgrades!$U$6,E192),1)*IF(Upgrades!$T$7="First Photons",POWER(Upgrades!$U$7,F192),1)*IF(Upgrades!$T$8="First Photons",POWER(Upgrades!$U$8,G192),1)*IF(Upgrades!$T$9="First Photons",POWER(Upgrades!$U$9,H192),1)*IF(Upgrades!$T$10="First Photons",POWER(Upgrades!$U$10,I192),1)*IF(Upgrades!$T$11="First Photons",POWER(Upgrades!$U$11,J192),1)))*POWER(Upgrades!$Q$6,E192)*POWER(Upgrades!$Q$7,F192)*POWER(Upgrades!$Q$8,G192)*POWER(Upgrades!$Q$9,H192)*POWER(Upgrades!$Q$10,I192)*POWER(Upgrades!$Q$11,J192)*POWER(Upgrades!$Q$12,K192)</f>
        <v>5.61</v>
      </c>
      <c r="N192" s="28" t="n">
        <f aca="false">((IF(E192=0,0,(Upgrades!$G$6+E192*Upgrades!$H$6)*POWER(Upgrades!$I$6,E192)))*(IF(Upgrades!$T$7="Solar Wind",POWER(Upgrades!$U$7,F192),1)*IF(Upgrades!$T$8="Solar Wind",POWER(Upgrades!$U$8,G192),1)*IF(Upgrades!$T$9="Solar Wind",POWER(Upgrades!$U$9,H192),1)*IF(Upgrades!$T$10="Solar Wind",POWER(Upgrades!$U$10,I192),1)*IF(Upgrades!$T$11="Solar Wind",POWER(Upgrades!$U$11,J192),1)*IF(Upgrades!$T$12="Solar Wind",POWER(Upgrades!$U$12,K192),1))+(IF(F192=0,0,(Upgrades!$G$7+F192*Upgrades!$H$7)*POWER(Upgrades!$I$7,F192)))*(IF(Upgrades!$T$6="Asteroid Belt",POWER(Upgrades!$U$6,E192),1)*IF(Upgrades!$T$8="Asteroid Belt",POWER(Upgrades!$U$8,G192),1)*IF(Upgrades!$T$9="Asteroid Belt",POWER(Upgrades!$U$9,H192),1)*IF(Upgrades!$T$10="Asteroid Belt",POWER(Upgrades!$U$10,I192),1)*IF(Upgrades!$T$11="Asteroid Belt",POWER(Upgrades!$U$11,J192),1)*IF(Upgrades!$T$12="Asteroid Belt",POWER(Upgrades!$U$12,K192),1))+(IF(G192=0,0,(Upgrades!$G$8+G192*Upgrades!$H$8)*POWER(Upgrades!$I$8,G192)))*(IF(Upgrades!$T$6="Stellar Coupling",POWER(Upgrades!$U$6,E192),1)*IF(Upgrades!$T$7="Stellar Coupling",POWER(Upgrades!$U$7,F192),1)*IF(Upgrades!$T$9="Stellar Coupling",POWER(Upgrades!$U$9,H192),1)*IF(Upgrades!$T$10="Stellar Coupling",POWER(Upgrades!$U$10,I192),1)*IF(Upgrades!$T$11="Stellar Coupling",POWER(Upgrades!$U$11,J192),1)*IF(Upgrades!$T$12="Stellar Coupling",POWER(Upgrades!$U$12,K192),1))+(IF(H192=0,0,(Upgrades!$G$9+H192*Upgrades!$H$9)*POWER(Upgrades!$I$9,H192)))*(IF(Upgrades!$T$6="Magnetosphere",POWER(Upgrades!$U$6,E192),1)*IF(Upgrades!$T$7="Magnetosphere",POWER(Upgrades!$U$7,F192),1)*IF(Upgrades!$T$8="Magnetosphere",POWER(Upgrades!$U$8,G192),1)*IF(Upgrades!$T$10="Magnetosphere",POWER(Upgrades!$U$10,I192),1)*IF(Upgrades!$T$11="Magnetosphere",POWER(Upgrades!$U$11,J192),1)*IF(Upgrades!$T$12="Magnetosphere",POWER(Upgrades!$U$12,K192),1))+(IF(I192=0,0,(Upgrades!$G$10+I192*Upgrades!$H$10)*POWER(Upgrades!$I$10,I192)))*(IF(Upgrades!$T$6="Orbital Resonance",POWER(Upgrades!$U$6,E192),1)*IF(Upgrades!$T$7="Orbital Resonance",POWER(Upgrades!$U$7,F192),1)*IF(Upgrades!$T$8="Orbital Resonance",POWER(Upgrades!$U$8,G192),1)*IF(Upgrades!$T$9="Orbital Resonance",POWER(Upgrades!$U$9,H192),1)*IF(Upgrades!$T$11="Orbital Resonance",POWER(Upgrades!$U$11,J192),1)*IF(Upgrades!$T$12="Orbital Resonance",POWER(Upgrades!$U$12,K192),1))+(IF(J192=0,0,(Upgrades!$G$11+J192*Upgrades!$H$11)*POWER(Upgrades!$I$11,J192)))*(IF(Upgrades!$T$6="Heliopause",POWER(Upgrades!$U$6,E192),1)*IF(Upgrades!$T$7="Heliopause",POWER(Upgrades!$U$7,F192),1)*IF(Upgrades!$T$8="Heliopause",POWER(Upgrades!$U$8,G192),1)*IF(Upgrades!$T$9="Heliopause",POWER(Upgrades!$U$9,H192),1)*IF(Upgrades!$T$10="Heliopause",POWER(Upgrades!$U$10,I192),1)*IF(Upgrades!$T$12="Heliopause",POWER(Upgrades!$U$12,K192),1))+(IF(K192=0,0,(Upgrades!$G$12+K192*Upgrades!$H$12)*POWER(Upgrades!$I$12,K192)))*(IF(Upgrades!$T$6="First Photons",POWER(Upgrades!$U$6,E192),1)*IF(Upgrades!$T$7="First Photons",POWER(Upgrades!$U$7,F192),1)*IF(Upgrades!$T$8="First Photons",POWER(Upgrades!$U$8,G192),1)*IF(Upgrades!$T$9="First Photons",POWER(Upgrades!$U$9,H192),1)*IF(Upgrades!$T$10="First Photons",POWER(Upgrades!$U$10,I192),1)*IF(Upgrades!$T$11="First Photons",POWER(Upgrades!$U$11,J192),1)))*POWER(Upgrades!$P$6,E192)*POWER(Upgrades!$P$7,F192)*POWER(Upgrades!$P$8,G192)*POWER(Upgrades!$P$9,H192)*POWER(Upgrades!$P$10,I192)*POWER(Upgrades!$P$11,J192)*POWER(Upgrades!$P$12,K192)</f>
        <v>11.2</v>
      </c>
      <c r="O192" s="28" t="n">
        <f aca="false">((IF(E192=0,0,(Upgrades!$M$6+E192*Upgrades!$N$6)*POWER(Upgrades!$O$6,E192)))*(IF(Upgrades!$T$7="Solar Wind",POWER(Upgrades!$U$7,F192),1)*IF(Upgrades!$T$8="Solar Wind",POWER(Upgrades!$U$8,G192),1)*IF(Upgrades!$T$9="Solar Wind",POWER(Upgrades!$U$9,H192),1)*IF(Upgrades!$T$10="Solar Wind",POWER(Upgrades!$U$10,I192),1)*IF(Upgrades!$T$11="Solar Wind",POWER(Upgrades!$U$11,J192),1)*IF(Upgrades!$T$12="Solar Wind",POWER(Upgrades!$U$12,K192),1))+(IF(F192=0,0,(Upgrades!$M$7+F192*Upgrades!$N$7)*POWER(Upgrades!$O$7,F192)))*(IF(Upgrades!$T$6="Asteroid Belt",POWER(Upgrades!$U$6,E192),1)*IF(Upgrades!$T$8="Asteroid Belt",POWER(Upgrades!$U$8,G192),1)*IF(Upgrades!$T$9="Asteroid Belt",POWER(Upgrades!$U$9,H192),1)*IF(Upgrades!$T$10="Asteroid Belt",POWER(Upgrades!$U$10,I192),1)*IF(Upgrades!$T$11="Asteroid Belt",POWER(Upgrades!$U$11,J192),1)*IF(Upgrades!$T$12="Asteroid Belt",POWER(Upgrades!$U$12,K192),1))+(IF(G192=0,0,(Upgrades!$M$8+G192*Upgrades!$N$8)*POWER(Upgrades!$O$8,G192)))*(IF(Upgrades!$T$6="Stellar Coupling",POWER(Upgrades!$U$6,E192),1)*IF(Upgrades!$T$7="Stellar Coupling",POWER(Upgrades!$U$7,F192),1)*IF(Upgrades!$T$9="Stellar Coupling",POWER(Upgrades!$U$9,H192),1)*IF(Upgrades!$T$10="Stellar Coupling",POWER(Upgrades!$U$10,I192),1)*IF(Upgrades!$T$11="Stellar Coupling",POWER(Upgrades!$U$11,J192),1)*IF(Upgrades!$T$12="Stellar Coupling",POWER(Upgrades!$U$12,K192),1))+(IF(H192=0,0,(Upgrades!$M$9+H192*Upgrades!$N$9)*POWER(Upgrades!$O$9,H192)))*(IF(Upgrades!$T$6="Magnetosphere",POWER(Upgrades!$U$6,E192),1)*IF(Upgrades!$T$7="Magnetosphere",POWER(Upgrades!$U$7,F192),1)*IF(Upgrades!$T$8="Magnetosphere",POWER(Upgrades!$U$8,G192),1)*IF(Upgrades!$T$10="Magnetosphere",POWER(Upgrades!$U$10,I192),1)*IF(Upgrades!$T$11="Magnetosphere",POWER(Upgrades!$U$11,J192),1)*IF(Upgrades!$T$12="Magnetosphere",POWER(Upgrades!$U$12,K192),1))+(IF(I192=0,0,(Upgrades!$M$10+I192*Upgrades!$N$10)*POWER(Upgrades!$O$10,I192)))*(IF(Upgrades!$T$6="Orbital Resonance",POWER(Upgrades!$U$6,E192),1)*IF(Upgrades!$T$7="Orbital Resonance",POWER(Upgrades!$U$7,F192),1)*IF(Upgrades!$T$8="Orbital Resonance",POWER(Upgrades!$U$8,G192),1)*IF(Upgrades!$T$9="Orbital Resonance",POWER(Upgrades!$U$9,H192),1)*IF(Upgrades!$T$11="Orbital Resonance",POWER(Upgrades!$U$11,J192),1)*IF(Upgrades!$T$12="Orbital Resonance",POWER(Upgrades!$U$12,K192),1))+(IF(J192=0,0,(Upgrades!$M$11+J192*Upgrades!$N$11)*POWER(Upgrades!$O$11,J192)))*(IF(Upgrades!$T$6="Heliopause",POWER(Upgrades!$U$6,E192),1)*IF(Upgrades!$T$7="Heliopause",POWER(Upgrades!$U$7,F192),1)*IF(Upgrades!$T$8="Heliopause",POWER(Upgrades!$U$8,G192),1)*IF(Upgrades!$T$9="Heliopause",POWER(Upgrades!$U$9,H192),1)*IF(Upgrades!$T$10="Heliopause",POWER(Upgrades!$U$10,I192),1)*IF(Upgrades!$T$12="Heliopause",POWER(Upgrades!$U$12,K192),1))+(IF(K192=0,0,(Upgrades!$M$12+K192*Upgrades!$N$12)*POWER(Upgrades!$O$12,K192)))*(IF(Upgrades!$T$6="First Photons",POWER(Upgrades!$U$6,E192),1)*IF(Upgrades!$T$7="First Photons",POWER(Upgrades!$U$7,F192),1)*IF(Upgrades!$T$8="First Photons",POWER(Upgrades!$U$8,G192),1)*IF(Upgrades!$T$9="First Photons",POWER(Upgrades!$U$9,H192),1)*IF(Upgrades!$T$10="First Photons",POWER(Upgrades!$U$10,I192),1)*IF(Upgrades!$T$11="First Photons",POWER(Upgrades!$U$11,J192),1)))*POWER(Upgrades!$R$6,E192)*POWER(Upgrades!$R$7,F192)*POWER(Upgrades!$R$8,G192)*POWER(Upgrades!$R$9,H192)*POWER(Upgrades!$R$10,I192)*POWER(Upgrades!$R$11,J192)*POWER(Upgrades!$R$12,K192)</f>
        <v>0</v>
      </c>
      <c r="P192" s="27" t="n">
        <f aca="false">IF(L192=1,0,M192*Parameters!$B$10/60*Parameters!$B$11*10)</f>
        <v>0</v>
      </c>
      <c r="Q192" s="27" t="n">
        <f aca="false">IF(L192=1,0,O192*M192*10)</f>
        <v>0</v>
      </c>
      <c r="R192" s="27" t="n">
        <f aca="false">IF(L192=1,0,N192*10)</f>
        <v>0</v>
      </c>
      <c r="S192" s="27" t="n">
        <f aca="false">P192+Q192+R192</f>
        <v>0</v>
      </c>
      <c r="T192" s="21" t="n">
        <f aca="false">C192+S192</f>
        <v>18.6730249835055</v>
      </c>
      <c r="U192" s="34" t="str">
        <f aca="false">AX192</f>
        <v/>
      </c>
      <c r="V192" s="21" t="n">
        <f aca="false">IF(U192="",0,IF(U192="transition",0,IF(U192="SW",AG192,IF(U192="AB",AH192,IF(U192="SC",AI192,IF(U192="Mag",AJ192,IF(U192="OR",AK192,IF(U192="HP",AL192,IF(U192="FP",AM192,0)))))))))</f>
        <v>0</v>
      </c>
      <c r="W192" s="27" t="n">
        <f aca="false">IF(U192="OR",Upgrades!$F$10,IF(U192="HP",Upgrades!$F$11,IF(U192="transition",-Parameters!$B$18,0)))</f>
        <v>0</v>
      </c>
      <c r="X192" s="21" t="n">
        <f aca="false">T192-V192</f>
        <v>18.6730249835055</v>
      </c>
      <c r="Y192" s="30" t="n">
        <f aca="false">M192*Parameters!$B$10/60*Parameters!$B$11+O192*M192+N192</f>
        <v>20.55</v>
      </c>
      <c r="Z192" s="35" t="str">
        <f aca="false">IF(U192="transition","→ Tier 2 (Stellar Neighborhood)",IF(U192="FP","First Photons — light begins, system quickens",IF(U192="HP","Heliopause acquired",IF(U192="OR","Orbital Resonance — passive multiplier active",IF(AND(AO192=1,L192=0,AN192&lt;&gt;1),"Cohesion ready (waiting on completionist upgrades)","")))))</f>
        <v/>
      </c>
      <c r="AA192" s="27" t="n">
        <f aca="false">(IF(E192=0,0,(Upgrades!$G$6+E192*Upgrades!$H$6)*POWER(Upgrades!$I$6,E192)))*(IF(Upgrades!$T$7="Solar Wind",POWER(Upgrades!$U$7,F192),1)*IF(Upgrades!$T$8="Solar Wind",POWER(Upgrades!$U$8,G192),1)*IF(Upgrades!$T$9="Solar Wind",POWER(Upgrades!$U$9,H192),1)*IF(Upgrades!$T$10="Solar Wind",POWER(Upgrades!$U$10,I192),1)*IF(Upgrades!$T$11="Solar Wind",POWER(Upgrades!$U$11,J192),1)*IF(Upgrades!$T$12="Solar Wind",POWER(Upgrades!$U$12,K192),1))*POWER(Upgrades!$P$6,E192)*POWER(Upgrades!$P$7,F192)*POWER(Upgrades!$P$8,G192)*POWER(Upgrades!$P$9,H192)*POWER(Upgrades!$P$10,I192)*POWER(Upgrades!$P$11,J192)*POWER(Upgrades!$P$12,K192)*60</f>
        <v>72</v>
      </c>
      <c r="AB192" s="27" t="n">
        <f aca="false">(IF(F192=0,0,(Upgrades!$G$7+F192*Upgrades!$H$7)*POWER(Upgrades!$I$7,F192)))*(IF(Upgrades!$T$6="Asteroid Belt",POWER(Upgrades!$U$6,E192),1)*IF(Upgrades!$T$8="Asteroid Belt",POWER(Upgrades!$U$8,G192),1)*IF(Upgrades!$T$9="Asteroid Belt",POWER(Upgrades!$U$9,H192),1)*IF(Upgrades!$T$10="Asteroid Belt",POWER(Upgrades!$U$10,I192),1)*IF(Upgrades!$T$11="Asteroid Belt",POWER(Upgrades!$U$11,J192),1)*IF(Upgrades!$T$12="Asteroid Belt",POWER(Upgrades!$U$12,K192),1))*POWER(Upgrades!$P$6,E192)*POWER(Upgrades!$P$7,F192)*POWER(Upgrades!$P$8,G192)*POWER(Upgrades!$P$9,H192)*POWER(Upgrades!$P$10,I192)*POWER(Upgrades!$P$11,J192)*POWER(Upgrades!$P$12,K192)*60</f>
        <v>150</v>
      </c>
      <c r="AC192" s="27" t="n">
        <f aca="false">(IF(G192=0,0,(Upgrades!$J$8+G192*Upgrades!$K$8)*POWER(Upgrades!$L$8,G192)))*(IF(Upgrades!$T$6="Stellar Coupling",POWER(Upgrades!$U$6,E192),1)*IF(Upgrades!$T$7="Stellar Coupling",POWER(Upgrades!$U$7,F192),1)*IF(Upgrades!$T$9="Stellar Coupling",POWER(Upgrades!$U$9,H192),1)*IF(Upgrades!$T$10="Stellar Coupling",POWER(Upgrades!$U$10,I192),1)*IF(Upgrades!$T$11="Stellar Coupling",POWER(Upgrades!$U$11,J192),1)*IF(Upgrades!$T$12="Stellar Coupling",POWER(Upgrades!$U$12,K192),1))*POWER(Upgrades!$Q$6,E192)*POWER(Upgrades!$Q$7,F192)*POWER(Upgrades!$Q$8,G192)*POWER(Upgrades!$Q$9,H192)*POWER(Upgrades!$Q$10,I192)*POWER(Upgrades!$Q$11,J192)*POWER(Upgrades!$Q$12,K192)*Parameters!$B$10*Parameters!$B$11</f>
        <v>441</v>
      </c>
      <c r="AD192" s="27" t="n">
        <f aca="false">(IF(H192=0,0,(Upgrades!$G$9+H192*Upgrades!$H$9)*POWER(Upgrades!$I$9,H192)))*(IF(Upgrades!$T$6="Magnetosphere",POWER(Upgrades!$U$6,E192),1)*IF(Upgrades!$T$7="Magnetosphere",POWER(Upgrades!$U$7,F192),1)*IF(Upgrades!$T$8="Magnetosphere",POWER(Upgrades!$U$8,G192),1)*IF(Upgrades!$T$10="Magnetosphere",POWER(Upgrades!$U$10,I192),1)*IF(Upgrades!$T$11="Magnetosphere",POWER(Upgrades!$U$11,J192),1)*IF(Upgrades!$T$12="Magnetosphere",POWER(Upgrades!$U$12,K192),1))*POWER(Upgrades!$P$6,E192)*POWER(Upgrades!$P$7,F192)*POWER(Upgrades!$P$8,G192)*POWER(Upgrades!$P$9,H192)*POWER(Upgrades!$P$10,I192)*POWER(Upgrades!$P$11,J192)*POWER(Upgrades!$P$12,K192)*60</f>
        <v>375</v>
      </c>
      <c r="AE192" s="27" t="n">
        <f aca="false">(IF(K192=0,0,(Upgrades!$G$12+K192*Upgrades!$H$12)*POWER(Upgrades!$I$12,K192)))*(IF(Upgrades!$T$6="First Photons",POWER(Upgrades!$U$6,E192),1)*IF(Upgrades!$T$7="First Photons",POWER(Upgrades!$U$7,F192),1)*IF(Upgrades!$T$8="First Photons",POWER(Upgrades!$U$8,G192),1)*IF(Upgrades!$T$9="First Photons",POWER(Upgrades!$U$9,H192),1)*IF(Upgrades!$T$10="First Photons",POWER(Upgrades!$U$10,I192),1)*IF(Upgrades!$T$11="First Photons",POWER(Upgrades!$U$11,J192),1))*POWER(Upgrades!$P$6,E192)*POWER(Upgrades!$P$7,F192)*POWER(Upgrades!$P$8,G192)*POWER(Upgrades!$P$9,H192)*POWER(Upgrades!$P$10,I192)*POWER(Upgrades!$P$11,J192)*POWER(Upgrades!$P$12,K192)*60</f>
        <v>75</v>
      </c>
      <c r="AF192" s="27" t="n">
        <f aca="false">Parameters!$B$9*POWER(Upgrades!$Q$6,E192)*POWER(Upgrades!$Q$7,F192)*POWER(Upgrades!$Q$8,G192)*POWER(Upgrades!$Q$9,H192)*POWER(Upgrades!$Q$10,I192)*POWER(Upgrades!$Q$11,J192)*POWER(Upgrades!$Q$12,K192)*(Parameters!$B$10*Parameters!$B$11+O192*60)</f>
        <v>120</v>
      </c>
      <c r="AG192" s="21" t="n">
        <f aca="false">IF(E192&gt;=Upgrades!$E$6,"",Upgrades!$C$6*POWER(Upgrades!$D$6,E192))</f>
        <v>37.4517507383159</v>
      </c>
      <c r="AH192" s="21" t="n">
        <f aca="false">IF(F192&gt;=Upgrades!$E$7,"",Upgrades!$C$7*POWER(Upgrades!$D$7,F192))</f>
        <v>80.9111547141581</v>
      </c>
      <c r="AI192" s="21" t="n">
        <f aca="false">IF(G192&gt;=Upgrades!$E$8,"",Upgrades!$C$8*POWER(Upgrades!$D$8,G192))</f>
        <v>231.9097088</v>
      </c>
      <c r="AJ192" s="21" t="str">
        <f aca="false">IF(H192&gt;=Upgrades!$E$9,"",Upgrades!$C$9*POWER(Upgrades!$D$9,H192))</f>
        <v/>
      </c>
      <c r="AK192" s="21" t="str">
        <f aca="false">IF(I192&gt;=Upgrades!$E$10,"",Upgrades!$C$10*POWER(Upgrades!$D$10,I192))</f>
        <v/>
      </c>
      <c r="AL192" s="21" t="str">
        <f aca="false">IF(J192&gt;=Upgrades!$E$11,"",Upgrades!$C$11*POWER(Upgrades!$D$11,J192))</f>
        <v/>
      </c>
      <c r="AM192" s="21" t="str">
        <f aca="false">IF(K192&gt;=Upgrades!$E$12,"",Upgrades!$C$12*POWER(Upgrades!$D$12,K192))</f>
        <v/>
      </c>
      <c r="AN192" s="26" t="str">
        <f aca="false">IF(AND(D192&gt;=Parameters!$B$18,(H192&gt;=Upgrades!$E$9)*(K192&gt;=Upgrades!$E$12)=1,L192=0),1,"")</f>
        <v/>
      </c>
      <c r="AO192" s="26" t="str">
        <f aca="false">IF(AND(D192&gt;=Parameters!$B$18,L192=0),1,"")</f>
        <v/>
      </c>
      <c r="AP192" s="21" t="n">
        <f aca="false">MIN(IF(ISNUMBER(AK192),AK192,9000000000000000),IF(ISNUMBER(AL192),AL192,9000000000000000),IF(ISNUMBER(AM192),AM192,9000000000000000))</f>
        <v>9000000000000000</v>
      </c>
      <c r="AQ192" s="21" t="n">
        <f aca="false">MIN(IF(ISNUMBER(AG192),AG192,9000000000000000),IF(ISNUMBER(AH192),AH192,9000000000000000),IF(ISNUMBER(AI192),AI192,9000000000000000),IF(ISNUMBER(AJ192),AJ192,9000000000000000))</f>
        <v>37.4517507383159</v>
      </c>
      <c r="AR192" s="32" t="b">
        <f aca="false">IF(AW192&gt;Parameters!$B$21*(MAX(IF(AND(NOT(AND(AO192=1,AN192&lt;&gt;1)),ISNUMBER(AG192),AG192&lt;=T192),AS192,0),IF(AND(NOT(AND(AO192=1,AN192&lt;&gt;1)),ISNUMBER(AH192),AH192&lt;=T192),AT192,0),IF(AND(NOT(AND(AO192=1,AN192&lt;&gt;1)),ISNUMBER(AI192),AI192&lt;=T192),AU192,0),IF(AND(ISNUMBER(AJ192),AJ192&lt;=T192),AV192,0))),TRUE(),FALSE())</f>
        <v>1</v>
      </c>
      <c r="AS192" s="33" t="n">
        <f aca="false">IFERROR(Upgrades!$H$6*(POWER(Upgrades!$P$6,E192)*POWER(Upgrades!$P$7,F192)*POWER(Upgrades!$P$8,G192)*POWER(Upgrades!$P$9,H192)*POWER(Upgrades!$P$10,I192)*POWER(Upgrades!$P$11,J192)*POWER(Upgrades!$P$12,K192))*(IF(Upgrades!$T$7="Solar Wind",POWER(Upgrades!$U$7,F192),1)*IF(Upgrades!$T$8="Solar Wind",POWER(Upgrades!$U$8,G192),1)*IF(Upgrades!$T$9="Solar Wind",POWER(Upgrades!$U$9,H192),1)*IF(Upgrades!$T$10="Solar Wind",POWER(Upgrades!$U$10,I192),1)*IF(Upgrades!$T$11="Solar Wind",POWER(Upgrades!$U$11,J192),1)*IF(Upgrades!$T$12="Solar Wind",POWER(Upgrades!$U$12,K192),1))/AG192,0)</f>
        <v>0.0026701021455238</v>
      </c>
      <c r="AT192" s="33" t="n">
        <f aca="false">IFERROR(Upgrades!$H$7*(POWER(Upgrades!$P$6,E192)*POWER(Upgrades!$P$7,F192)*POWER(Upgrades!$P$8,G192)*POWER(Upgrades!$P$9,H192)*POWER(Upgrades!$P$10,I192)*POWER(Upgrades!$P$11,J192)*POWER(Upgrades!$P$12,K192))*(IF(Upgrades!$T$6="Asteroid Belt",POWER(Upgrades!$U$6,E192),1)*IF(Upgrades!$T$8="Asteroid Belt",POWER(Upgrades!$U$8,G192),1)*IF(Upgrades!$T$9="Asteroid Belt",POWER(Upgrades!$U$9,H192),1)*IF(Upgrades!$T$10="Asteroid Belt",POWER(Upgrades!$U$10,I192),1)*IF(Upgrades!$T$11="Asteroid Belt",POWER(Upgrades!$U$11,J192),1)*IF(Upgrades!$T$12="Asteroid Belt",POWER(Upgrades!$U$12,K192),1))/AH192,0)</f>
        <v>0.00308980882652332</v>
      </c>
      <c r="AU192" s="33" t="n">
        <f aca="false">IFERROR(Upgrades!$K$8*(POWER(Upgrades!$Q$6,E192)*POWER(Upgrades!$Q$7,F192)*POWER(Upgrades!$Q$8,G192)*POWER(Upgrades!$Q$9,H192)*POWER(Upgrades!$Q$10,I192)*POWER(Upgrades!$Q$11,J192)*POWER(Upgrades!$Q$12,K192))*(IF(Upgrades!$T$6="Stellar Coupling",POWER(Upgrades!$U$6,E192),1)*IF(Upgrades!$T$7="Stellar Coupling",POWER(Upgrades!$U$7,F192),1)*IF(Upgrades!$T$9="Stellar Coupling",POWER(Upgrades!$U$9,H192),1)*IF(Upgrades!$T$10="Stellar Coupling",POWER(Upgrades!$U$10,I192),1)*IF(Upgrades!$T$11="Stellar Coupling",POWER(Upgrades!$U$11,J192),1)*IF(Upgrades!$T$12="Stellar Coupling",POWER(Upgrades!$U$12,K192),1))*Parameters!$B$10*Parameters!$B$11/60/AI192,0)</f>
        <v>0.00452762415783776</v>
      </c>
      <c r="AV192" s="33" t="n">
        <f aca="false">IFERROR(Upgrades!$H$9*(POWER(Upgrades!$P$6,E192)*POWER(Upgrades!$P$7,F192)*POWER(Upgrades!$P$8,G192)*POWER(Upgrades!$P$9,H192)*POWER(Upgrades!$P$10,I192)*POWER(Upgrades!$P$11,J192)*POWER(Upgrades!$P$12,K192))*(IF(Upgrades!$T$6="Magnetosphere",POWER(Upgrades!$U$6,E192),1)*IF(Upgrades!$T$7="Magnetosphere",POWER(Upgrades!$U$7,F192),1)*IF(Upgrades!$T$8="Magnetosphere",POWER(Upgrades!$U$8,G192),1)*IF(Upgrades!$T$10="Magnetosphere",POWER(Upgrades!$U$10,I192),1)*IF(Upgrades!$T$11="Magnetosphere",POWER(Upgrades!$U$11,J192),1)*IF(Upgrades!$T$12="Magnetosphere",POWER(Upgrades!$U$12,K192),1))/AJ192,0)</f>
        <v>0</v>
      </c>
      <c r="AW192" s="33" t="n">
        <f aca="false">MAX(IF(I192&gt;0,0,IFERROR(0.25*N192/Upgrades!$C$10,0)),IF(J192&gt;0,0,IFERROR(0.5*((IF(G192=0,0,(Upgrades!$J$8+G192*Upgrades!$K$8)*POWER(Upgrades!$L$8,G192)))*(IF(Upgrades!$T$6="Stellar Coupling",POWER(Upgrades!$U$6,E192),1)*IF(Upgrades!$T$7="Stellar Coupling",POWER(Upgrades!$U$7,F192),1)*IF(Upgrades!$T$9="Stellar Coupling",POWER(Upgrades!$U$9,H192),1)*IF(Upgrades!$T$10="Stellar Coupling",POWER(Upgrades!$U$10,I192),1)*IF(Upgrades!$T$11="Stellar Coupling",POWER(Upgrades!$U$11,J192),1)*IF(Upgrades!$T$12="Stellar Coupling",POWER(Upgrades!$U$12,K192),1))*(POWER(Upgrades!$Q$6,E192)*POWER(Upgrades!$Q$7,F192)*POWER(Upgrades!$Q$8,G192)*POWER(Upgrades!$Q$9,H192)*POWER(Upgrades!$Q$10,I192)*POWER(Upgrades!$Q$11,J192)*POWER(Upgrades!$Q$12,K192))*Parameters!$B$10*Parameters!$B$11/60)/Upgrades!$C$11,0)),IF(K192&gt;0,0,IFERROR((1*(POWER(Upgrades!$P$6,E192)*POWER(Upgrades!$P$7,F192)*POWER(Upgrades!$P$8,G192)*POWER(Upgrades!$P$9,H192)*POWER(Upgrades!$P$10,I192)*POWER(Upgrades!$P$11,J192)*POWER(Upgrades!$P$12,K192))+0.2*M192*Parameters!$B$10*Parameters!$B$11/60)/Upgrades!$C$12,0)),IF(AND(ISNUMBER(AG192),AG192&gt;T192),AS192,0),IF(AND(ISNUMBER(AH192),AH192&gt;T192),AT192,0),IF(AND(ISNUMBER(AI192),AI192&gt;T192),AU192,0),IF(AND(ISNUMBER(AJ192),AJ192&gt;T192),AV192,0))</f>
        <v>0.00452762415783776</v>
      </c>
      <c r="AX192" s="29" t="str">
        <f aca="false">IF(AN192=1,"transition",IF(MIN(IF(AND(I192=0,ISNUMBER(AK192),AK192&lt;=T192),AK192,9000000000000000),IF(AND(J192=0,ISNUMBER(AL192),AL192&lt;=T192),AL192,9000000000000000),IF(AND(K192=0,ISNUMBER(AM192),AM192&lt;=T192),AM192,9000000000000000))&lt;9000000000000000,IF(AND(AND(I192=0,ISNUMBER(AK192),AK192&lt;=T192),AK192=MIN(IF(AND(I192=0,ISNUMBER(AK192),AK192&lt;=T192),AK192,9000000000000000),IF(AND(J192=0,ISNUMBER(AL192),AL192&lt;=T192),AL192,9000000000000000),IF(AND(K192=0,ISNUMBER(AM192),AM192&lt;=T192),AM192,9000000000000000))),"OR",IF(AND(AND(J192=0,ISNUMBER(AL192),AL192&lt;=T192),AL192=MIN(IF(AND(I192=0,ISNUMBER(AK192),AK192&lt;=T192),AK192,9000000000000000),IF(AND(J192=0,ISNUMBER(AL192),AL192&lt;=T192),AL192,9000000000000000),IF(AND(K192=0,ISNUMBER(AM192),AM192&lt;=T192),AM192,9000000000000000))),"HP","FP")),IF(AR192=TRUE(),"",IF(MAX(IF(AND(NOT(AND(AO192=1,AN192&lt;&gt;1)),ISNUMBER(AG192),AG192&lt;=T192),AS192,0),IF(AND(NOT(AND(AO192=1,AN192&lt;&gt;1)),ISNUMBER(AH192),AH192&lt;=T192),AT192,0),IF(AND(NOT(AND(AO192=1,AN192&lt;&gt;1)),ISNUMBER(AI192),AI192&lt;=T192),AU192,0),IF(AND(ISNUMBER(AJ192),AJ192&lt;=T192),AV192,0))&lt;=0,"",IF(AND(IF(AND(NOT(AND(AO192=1,AN192&lt;&gt;1)),ISNUMBER(AG192),AG192&lt;=T192),AS192,0)&gt;0,IF(AND(NOT(AND(AO192=1,AN192&lt;&gt;1)),ISNUMBER(AG192),AG192&lt;=T192),AS192,0)=MAX(IF(AND(NOT(AND(AO192=1,AN192&lt;&gt;1)),ISNUMBER(AG192),AG192&lt;=T192),AS192,0),IF(AND(NOT(AND(AO192=1,AN192&lt;&gt;1)),ISNUMBER(AH192),AH192&lt;=T192),AT192,0),IF(AND(NOT(AND(AO192=1,AN192&lt;&gt;1)),ISNUMBER(AI192),AI192&lt;=T192),AU192,0),IF(AND(ISNUMBER(AJ192),AJ192&lt;=T192),AV192,0))),"SW",IF(AND(IF(AND(NOT(AND(AO192=1,AN192&lt;&gt;1)),ISNUMBER(AH192),AH192&lt;=T192),AT192,0)&gt;0,IF(AND(NOT(AND(AO192=1,AN192&lt;&gt;1)),ISNUMBER(AH192),AH192&lt;=T192),AT192,0)=MAX(IF(AND(NOT(AND(AO192=1,AN192&lt;&gt;1)),ISNUMBER(AG192),AG192&lt;=T192),AS192,0),IF(AND(NOT(AND(AO192=1,AN192&lt;&gt;1)),ISNUMBER(AH192),AH192&lt;=T192),AT192,0),IF(AND(NOT(AND(AO192=1,AN192&lt;&gt;1)),ISNUMBER(AI192),AI192&lt;=T192),AU192,0),IF(AND(ISNUMBER(AJ192),AJ192&lt;=T192),AV192,0))),"AB",IF(AND(IF(AND(NOT(AND(AO192=1,AN192&lt;&gt;1)),ISNUMBER(AI192),AI192&lt;=T192),AU192,0)&gt;0,IF(AND(NOT(AND(AO192=1,AN192&lt;&gt;1)),ISNUMBER(AI192),AI192&lt;=T192),AU192,0)=MAX(IF(AND(NOT(AND(AO192=1,AN192&lt;&gt;1)),ISNUMBER(AG192),AG192&lt;=T192),AS192,0),IF(AND(NOT(AND(AO192=1,AN192&lt;&gt;1)),ISNUMBER(AH192),AH192&lt;=T192),AT192,0),IF(AND(NOT(AND(AO192=1,AN192&lt;&gt;1)),ISNUMBER(AI192),AI192&lt;=T192),AU192,0),IF(AND(ISNUMBER(AJ192),AJ192&lt;=T192),AV192,0))),"SC","Mag")))))))</f>
        <v/>
      </c>
    </row>
    <row r="193" customFormat="false" ht="15" hidden="false" customHeight="false" outlineLevel="0" collapsed="false">
      <c r="A193" s="26" t="n">
        <v>188</v>
      </c>
      <c r="B193" s="27" t="n">
        <f aca="false">A193*10/60</f>
        <v>31.3333333333333</v>
      </c>
      <c r="C193" s="21" t="n">
        <f aca="false">X192</f>
        <v>18.6730249835055</v>
      </c>
      <c r="D193" s="27" t="n">
        <f aca="false">D192+W192</f>
        <v>0</v>
      </c>
      <c r="E193" s="26" t="n">
        <f aca="false">E192+IF(U192="SW",1,0)</f>
        <v>12</v>
      </c>
      <c r="F193" s="26" t="n">
        <f aca="false">F192+IF(U192="AB",1,0)</f>
        <v>10</v>
      </c>
      <c r="G193" s="26" t="n">
        <f aca="false">G192+IF(U192="SC",1,0)</f>
        <v>7</v>
      </c>
      <c r="H193" s="26" t="n">
        <f aca="false">H192+IF(U192="Mag",1,0)</f>
        <v>5</v>
      </c>
      <c r="I193" s="26" t="n">
        <f aca="false">MAX(I192,IF(U192="OR",1,0))</f>
        <v>1</v>
      </c>
      <c r="J193" s="26" t="n">
        <f aca="false">MAX(J192,IF(U192="HP",1,0))</f>
        <v>1</v>
      </c>
      <c r="K193" s="26" t="n">
        <f aca="false">MAX(K192,IF(U192="FP",1,0))</f>
        <v>1</v>
      </c>
      <c r="L193" s="26" t="n">
        <f aca="false">MAX(L192,IF(U192="transition",1,0))</f>
        <v>1</v>
      </c>
      <c r="M193" s="28" t="n">
        <f aca="false">(Parameters!$B$9+(IF(E193=0,0,(Upgrades!$J$6+E193*Upgrades!$K$6)*POWER(Upgrades!$L$6,E193)))*(IF(Upgrades!$T$7="Solar Wind",POWER(Upgrades!$U$7,F193),1)*IF(Upgrades!$T$8="Solar Wind",POWER(Upgrades!$U$8,G193),1)*IF(Upgrades!$T$9="Solar Wind",POWER(Upgrades!$U$9,H193),1)*IF(Upgrades!$T$10="Solar Wind",POWER(Upgrades!$U$10,I193),1)*IF(Upgrades!$T$11="Solar Wind",POWER(Upgrades!$U$11,J193),1)*IF(Upgrades!$T$12="Solar Wind",POWER(Upgrades!$U$12,K193),1))+(IF(F193=0,0,(Upgrades!$J$7+F193*Upgrades!$K$7)*POWER(Upgrades!$L$7,F193)))*(IF(Upgrades!$T$6="Asteroid Belt",POWER(Upgrades!$U$6,E193),1)*IF(Upgrades!$T$8="Asteroid Belt",POWER(Upgrades!$U$8,G193),1)*IF(Upgrades!$T$9="Asteroid Belt",POWER(Upgrades!$U$9,H193),1)*IF(Upgrades!$T$10="Asteroid Belt",POWER(Upgrades!$U$10,I193),1)*IF(Upgrades!$T$11="Asteroid Belt",POWER(Upgrades!$U$11,J193),1)*IF(Upgrades!$T$12="Asteroid Belt",POWER(Upgrades!$U$12,K193),1))+(IF(G193=0,0,(Upgrades!$J$8+G193*Upgrades!$K$8)*POWER(Upgrades!$L$8,G193)))*(IF(Upgrades!$T$6="Stellar Coupling",POWER(Upgrades!$U$6,E193),1)*IF(Upgrades!$T$7="Stellar Coupling",POWER(Upgrades!$U$7,F193),1)*IF(Upgrades!$T$9="Stellar Coupling",POWER(Upgrades!$U$9,H193),1)*IF(Upgrades!$T$10="Stellar Coupling",POWER(Upgrades!$U$10,I193),1)*IF(Upgrades!$T$11="Stellar Coupling",POWER(Upgrades!$U$11,J193),1)*IF(Upgrades!$T$12="Stellar Coupling",POWER(Upgrades!$U$12,K193),1))+(IF(H193=0,0,(Upgrades!$J$9+H193*Upgrades!$K$9)*POWER(Upgrades!$L$9,H193)))*(IF(Upgrades!$T$6="Magnetosphere",POWER(Upgrades!$U$6,E193),1)*IF(Upgrades!$T$7="Magnetosphere",POWER(Upgrades!$U$7,F193),1)*IF(Upgrades!$T$8="Magnetosphere",POWER(Upgrades!$U$8,G193),1)*IF(Upgrades!$T$10="Magnetosphere",POWER(Upgrades!$U$10,I193),1)*IF(Upgrades!$T$11="Magnetosphere",POWER(Upgrades!$U$11,J193),1)*IF(Upgrades!$T$12="Magnetosphere",POWER(Upgrades!$U$12,K193),1))+(IF(I193=0,0,(Upgrades!$J$10+I193*Upgrades!$K$10)*POWER(Upgrades!$L$10,I193)))*(IF(Upgrades!$T$6="Orbital Resonance",POWER(Upgrades!$U$6,E193),1)*IF(Upgrades!$T$7="Orbital Resonance",POWER(Upgrades!$U$7,F193),1)*IF(Upgrades!$T$8="Orbital Resonance",POWER(Upgrades!$U$8,G193),1)*IF(Upgrades!$T$9="Orbital Resonance",POWER(Upgrades!$U$9,H193),1)*IF(Upgrades!$T$11="Orbital Resonance",POWER(Upgrades!$U$11,J193),1)*IF(Upgrades!$T$12="Orbital Resonance",POWER(Upgrades!$U$12,K193),1))+(IF(J193=0,0,(Upgrades!$J$11+J193*Upgrades!$K$11)*POWER(Upgrades!$L$11,J193)))*(IF(Upgrades!$T$6="Heliopause",POWER(Upgrades!$U$6,E193),1)*IF(Upgrades!$T$7="Heliopause",POWER(Upgrades!$U$7,F193),1)*IF(Upgrades!$T$8="Heliopause",POWER(Upgrades!$U$8,G193),1)*IF(Upgrades!$T$9="Heliopause",POWER(Upgrades!$U$9,H193),1)*IF(Upgrades!$T$10="Heliopause",POWER(Upgrades!$U$10,I193),1)*IF(Upgrades!$T$12="Heliopause",POWER(Upgrades!$U$12,K193),1))+(IF(K193=0,0,(Upgrades!$J$12+K193*Upgrades!$K$12)*POWER(Upgrades!$L$12,K193)))*(IF(Upgrades!$T$6="First Photons",POWER(Upgrades!$U$6,E193),1)*IF(Upgrades!$T$7="First Photons",POWER(Upgrades!$U$7,F193),1)*IF(Upgrades!$T$8="First Photons",POWER(Upgrades!$U$8,G193),1)*IF(Upgrades!$T$9="First Photons",POWER(Upgrades!$U$9,H193),1)*IF(Upgrades!$T$10="First Photons",POWER(Upgrades!$U$10,I193),1)*IF(Upgrades!$T$11="First Photons",POWER(Upgrades!$U$11,J193),1)))*POWER(Upgrades!$Q$6,E193)*POWER(Upgrades!$Q$7,F193)*POWER(Upgrades!$Q$8,G193)*POWER(Upgrades!$Q$9,H193)*POWER(Upgrades!$Q$10,I193)*POWER(Upgrades!$Q$11,J193)*POWER(Upgrades!$Q$12,K193)</f>
        <v>5.61</v>
      </c>
      <c r="N193" s="28" t="n">
        <f aca="false">((IF(E193=0,0,(Upgrades!$G$6+E193*Upgrades!$H$6)*POWER(Upgrades!$I$6,E193)))*(IF(Upgrades!$T$7="Solar Wind",POWER(Upgrades!$U$7,F193),1)*IF(Upgrades!$T$8="Solar Wind",POWER(Upgrades!$U$8,G193),1)*IF(Upgrades!$T$9="Solar Wind",POWER(Upgrades!$U$9,H193),1)*IF(Upgrades!$T$10="Solar Wind",POWER(Upgrades!$U$10,I193),1)*IF(Upgrades!$T$11="Solar Wind",POWER(Upgrades!$U$11,J193),1)*IF(Upgrades!$T$12="Solar Wind",POWER(Upgrades!$U$12,K193),1))+(IF(F193=0,0,(Upgrades!$G$7+F193*Upgrades!$H$7)*POWER(Upgrades!$I$7,F193)))*(IF(Upgrades!$T$6="Asteroid Belt",POWER(Upgrades!$U$6,E193),1)*IF(Upgrades!$T$8="Asteroid Belt",POWER(Upgrades!$U$8,G193),1)*IF(Upgrades!$T$9="Asteroid Belt",POWER(Upgrades!$U$9,H193),1)*IF(Upgrades!$T$10="Asteroid Belt",POWER(Upgrades!$U$10,I193),1)*IF(Upgrades!$T$11="Asteroid Belt",POWER(Upgrades!$U$11,J193),1)*IF(Upgrades!$T$12="Asteroid Belt",POWER(Upgrades!$U$12,K193),1))+(IF(G193=0,0,(Upgrades!$G$8+G193*Upgrades!$H$8)*POWER(Upgrades!$I$8,G193)))*(IF(Upgrades!$T$6="Stellar Coupling",POWER(Upgrades!$U$6,E193),1)*IF(Upgrades!$T$7="Stellar Coupling",POWER(Upgrades!$U$7,F193),1)*IF(Upgrades!$T$9="Stellar Coupling",POWER(Upgrades!$U$9,H193),1)*IF(Upgrades!$T$10="Stellar Coupling",POWER(Upgrades!$U$10,I193),1)*IF(Upgrades!$T$11="Stellar Coupling",POWER(Upgrades!$U$11,J193),1)*IF(Upgrades!$T$12="Stellar Coupling",POWER(Upgrades!$U$12,K193),1))+(IF(H193=0,0,(Upgrades!$G$9+H193*Upgrades!$H$9)*POWER(Upgrades!$I$9,H193)))*(IF(Upgrades!$T$6="Magnetosphere",POWER(Upgrades!$U$6,E193),1)*IF(Upgrades!$T$7="Magnetosphere",POWER(Upgrades!$U$7,F193),1)*IF(Upgrades!$T$8="Magnetosphere",POWER(Upgrades!$U$8,G193),1)*IF(Upgrades!$T$10="Magnetosphere",POWER(Upgrades!$U$10,I193),1)*IF(Upgrades!$T$11="Magnetosphere",POWER(Upgrades!$U$11,J193),1)*IF(Upgrades!$T$12="Magnetosphere",POWER(Upgrades!$U$12,K193),1))+(IF(I193=0,0,(Upgrades!$G$10+I193*Upgrades!$H$10)*POWER(Upgrades!$I$10,I193)))*(IF(Upgrades!$T$6="Orbital Resonance",POWER(Upgrades!$U$6,E193),1)*IF(Upgrades!$T$7="Orbital Resonance",POWER(Upgrades!$U$7,F193),1)*IF(Upgrades!$T$8="Orbital Resonance",POWER(Upgrades!$U$8,G193),1)*IF(Upgrades!$T$9="Orbital Resonance",POWER(Upgrades!$U$9,H193),1)*IF(Upgrades!$T$11="Orbital Resonance",POWER(Upgrades!$U$11,J193),1)*IF(Upgrades!$T$12="Orbital Resonance",POWER(Upgrades!$U$12,K193),1))+(IF(J193=0,0,(Upgrades!$G$11+J193*Upgrades!$H$11)*POWER(Upgrades!$I$11,J193)))*(IF(Upgrades!$T$6="Heliopause",POWER(Upgrades!$U$6,E193),1)*IF(Upgrades!$T$7="Heliopause",POWER(Upgrades!$U$7,F193),1)*IF(Upgrades!$T$8="Heliopause",POWER(Upgrades!$U$8,G193),1)*IF(Upgrades!$T$9="Heliopause",POWER(Upgrades!$U$9,H193),1)*IF(Upgrades!$T$10="Heliopause",POWER(Upgrades!$U$10,I193),1)*IF(Upgrades!$T$12="Heliopause",POWER(Upgrades!$U$12,K193),1))+(IF(K193=0,0,(Upgrades!$G$12+K193*Upgrades!$H$12)*POWER(Upgrades!$I$12,K193)))*(IF(Upgrades!$T$6="First Photons",POWER(Upgrades!$U$6,E193),1)*IF(Upgrades!$T$7="First Photons",POWER(Upgrades!$U$7,F193),1)*IF(Upgrades!$T$8="First Photons",POWER(Upgrades!$U$8,G193),1)*IF(Upgrades!$T$9="First Photons",POWER(Upgrades!$U$9,H193),1)*IF(Upgrades!$T$10="First Photons",POWER(Upgrades!$U$10,I193),1)*IF(Upgrades!$T$11="First Photons",POWER(Upgrades!$U$11,J193),1)))*POWER(Upgrades!$P$6,E193)*POWER(Upgrades!$P$7,F193)*POWER(Upgrades!$P$8,G193)*POWER(Upgrades!$P$9,H193)*POWER(Upgrades!$P$10,I193)*POWER(Upgrades!$P$11,J193)*POWER(Upgrades!$P$12,K193)</f>
        <v>11.2</v>
      </c>
      <c r="O193" s="28" t="n">
        <f aca="false">((IF(E193=0,0,(Upgrades!$M$6+E193*Upgrades!$N$6)*POWER(Upgrades!$O$6,E193)))*(IF(Upgrades!$T$7="Solar Wind",POWER(Upgrades!$U$7,F193),1)*IF(Upgrades!$T$8="Solar Wind",POWER(Upgrades!$U$8,G193),1)*IF(Upgrades!$T$9="Solar Wind",POWER(Upgrades!$U$9,H193),1)*IF(Upgrades!$T$10="Solar Wind",POWER(Upgrades!$U$10,I193),1)*IF(Upgrades!$T$11="Solar Wind",POWER(Upgrades!$U$11,J193),1)*IF(Upgrades!$T$12="Solar Wind",POWER(Upgrades!$U$12,K193),1))+(IF(F193=0,0,(Upgrades!$M$7+F193*Upgrades!$N$7)*POWER(Upgrades!$O$7,F193)))*(IF(Upgrades!$T$6="Asteroid Belt",POWER(Upgrades!$U$6,E193),1)*IF(Upgrades!$T$8="Asteroid Belt",POWER(Upgrades!$U$8,G193),1)*IF(Upgrades!$T$9="Asteroid Belt",POWER(Upgrades!$U$9,H193),1)*IF(Upgrades!$T$10="Asteroid Belt",POWER(Upgrades!$U$10,I193),1)*IF(Upgrades!$T$11="Asteroid Belt",POWER(Upgrades!$U$11,J193),1)*IF(Upgrades!$T$12="Asteroid Belt",POWER(Upgrades!$U$12,K193),1))+(IF(G193=0,0,(Upgrades!$M$8+G193*Upgrades!$N$8)*POWER(Upgrades!$O$8,G193)))*(IF(Upgrades!$T$6="Stellar Coupling",POWER(Upgrades!$U$6,E193),1)*IF(Upgrades!$T$7="Stellar Coupling",POWER(Upgrades!$U$7,F193),1)*IF(Upgrades!$T$9="Stellar Coupling",POWER(Upgrades!$U$9,H193),1)*IF(Upgrades!$T$10="Stellar Coupling",POWER(Upgrades!$U$10,I193),1)*IF(Upgrades!$T$11="Stellar Coupling",POWER(Upgrades!$U$11,J193),1)*IF(Upgrades!$T$12="Stellar Coupling",POWER(Upgrades!$U$12,K193),1))+(IF(H193=0,0,(Upgrades!$M$9+H193*Upgrades!$N$9)*POWER(Upgrades!$O$9,H193)))*(IF(Upgrades!$T$6="Magnetosphere",POWER(Upgrades!$U$6,E193),1)*IF(Upgrades!$T$7="Magnetosphere",POWER(Upgrades!$U$7,F193),1)*IF(Upgrades!$T$8="Magnetosphere",POWER(Upgrades!$U$8,G193),1)*IF(Upgrades!$T$10="Magnetosphere",POWER(Upgrades!$U$10,I193),1)*IF(Upgrades!$T$11="Magnetosphere",POWER(Upgrades!$U$11,J193),1)*IF(Upgrades!$T$12="Magnetosphere",POWER(Upgrades!$U$12,K193),1))+(IF(I193=0,0,(Upgrades!$M$10+I193*Upgrades!$N$10)*POWER(Upgrades!$O$10,I193)))*(IF(Upgrades!$T$6="Orbital Resonance",POWER(Upgrades!$U$6,E193),1)*IF(Upgrades!$T$7="Orbital Resonance",POWER(Upgrades!$U$7,F193),1)*IF(Upgrades!$T$8="Orbital Resonance",POWER(Upgrades!$U$8,G193),1)*IF(Upgrades!$T$9="Orbital Resonance",POWER(Upgrades!$U$9,H193),1)*IF(Upgrades!$T$11="Orbital Resonance",POWER(Upgrades!$U$11,J193),1)*IF(Upgrades!$T$12="Orbital Resonance",POWER(Upgrades!$U$12,K193),1))+(IF(J193=0,0,(Upgrades!$M$11+J193*Upgrades!$N$11)*POWER(Upgrades!$O$11,J193)))*(IF(Upgrades!$T$6="Heliopause",POWER(Upgrades!$U$6,E193),1)*IF(Upgrades!$T$7="Heliopause",POWER(Upgrades!$U$7,F193),1)*IF(Upgrades!$T$8="Heliopause",POWER(Upgrades!$U$8,G193),1)*IF(Upgrades!$T$9="Heliopause",POWER(Upgrades!$U$9,H193),1)*IF(Upgrades!$T$10="Heliopause",POWER(Upgrades!$U$10,I193),1)*IF(Upgrades!$T$12="Heliopause",POWER(Upgrades!$U$12,K193),1))+(IF(K193=0,0,(Upgrades!$M$12+K193*Upgrades!$N$12)*POWER(Upgrades!$O$12,K193)))*(IF(Upgrades!$T$6="First Photons",POWER(Upgrades!$U$6,E193),1)*IF(Upgrades!$T$7="First Photons",POWER(Upgrades!$U$7,F193),1)*IF(Upgrades!$T$8="First Photons",POWER(Upgrades!$U$8,G193),1)*IF(Upgrades!$T$9="First Photons",POWER(Upgrades!$U$9,H193),1)*IF(Upgrades!$T$10="First Photons",POWER(Upgrades!$U$10,I193),1)*IF(Upgrades!$T$11="First Photons",POWER(Upgrades!$U$11,J193),1)))*POWER(Upgrades!$R$6,E193)*POWER(Upgrades!$R$7,F193)*POWER(Upgrades!$R$8,G193)*POWER(Upgrades!$R$9,H193)*POWER(Upgrades!$R$10,I193)*POWER(Upgrades!$R$11,J193)*POWER(Upgrades!$R$12,K193)</f>
        <v>0</v>
      </c>
      <c r="P193" s="27" t="n">
        <f aca="false">IF(L193=1,0,M193*Parameters!$B$10/60*Parameters!$B$11*10)</f>
        <v>0</v>
      </c>
      <c r="Q193" s="27" t="n">
        <f aca="false">IF(L193=1,0,O193*M193*10)</f>
        <v>0</v>
      </c>
      <c r="R193" s="27" t="n">
        <f aca="false">IF(L193=1,0,N193*10)</f>
        <v>0</v>
      </c>
      <c r="S193" s="27" t="n">
        <f aca="false">P193+Q193+R193</f>
        <v>0</v>
      </c>
      <c r="T193" s="21" t="n">
        <f aca="false">C193+S193</f>
        <v>18.6730249835055</v>
      </c>
      <c r="U193" s="34" t="str">
        <f aca="false">AX193</f>
        <v/>
      </c>
      <c r="V193" s="21" t="n">
        <f aca="false">IF(U193="",0,IF(U193="transition",0,IF(U193="SW",AG193,IF(U193="AB",AH193,IF(U193="SC",AI193,IF(U193="Mag",AJ193,IF(U193="OR",AK193,IF(U193="HP",AL193,IF(U193="FP",AM193,0)))))))))</f>
        <v>0</v>
      </c>
      <c r="W193" s="27" t="n">
        <f aca="false">IF(U193="OR",Upgrades!$F$10,IF(U193="HP",Upgrades!$F$11,IF(U193="transition",-Parameters!$B$18,0)))</f>
        <v>0</v>
      </c>
      <c r="X193" s="21" t="n">
        <f aca="false">T193-V193</f>
        <v>18.6730249835055</v>
      </c>
      <c r="Y193" s="30" t="n">
        <f aca="false">M193*Parameters!$B$10/60*Parameters!$B$11+O193*M193+N193</f>
        <v>20.55</v>
      </c>
      <c r="Z193" s="35" t="str">
        <f aca="false">IF(U193="transition","→ Tier 2 (Stellar Neighborhood)",IF(U193="FP","First Photons — light begins, system quickens",IF(U193="HP","Heliopause acquired",IF(U193="OR","Orbital Resonance — passive multiplier active",IF(AND(AO193=1,L193=0,AN193&lt;&gt;1),"Cohesion ready (waiting on completionist upgrades)","")))))</f>
        <v/>
      </c>
      <c r="AA193" s="27" t="n">
        <f aca="false">(IF(E193=0,0,(Upgrades!$G$6+E193*Upgrades!$H$6)*POWER(Upgrades!$I$6,E193)))*(IF(Upgrades!$T$7="Solar Wind",POWER(Upgrades!$U$7,F193),1)*IF(Upgrades!$T$8="Solar Wind",POWER(Upgrades!$U$8,G193),1)*IF(Upgrades!$T$9="Solar Wind",POWER(Upgrades!$U$9,H193),1)*IF(Upgrades!$T$10="Solar Wind",POWER(Upgrades!$U$10,I193),1)*IF(Upgrades!$T$11="Solar Wind",POWER(Upgrades!$U$11,J193),1)*IF(Upgrades!$T$12="Solar Wind",POWER(Upgrades!$U$12,K193),1))*POWER(Upgrades!$P$6,E193)*POWER(Upgrades!$P$7,F193)*POWER(Upgrades!$P$8,G193)*POWER(Upgrades!$P$9,H193)*POWER(Upgrades!$P$10,I193)*POWER(Upgrades!$P$11,J193)*POWER(Upgrades!$P$12,K193)*60</f>
        <v>72</v>
      </c>
      <c r="AB193" s="27" t="n">
        <f aca="false">(IF(F193=0,0,(Upgrades!$G$7+F193*Upgrades!$H$7)*POWER(Upgrades!$I$7,F193)))*(IF(Upgrades!$T$6="Asteroid Belt",POWER(Upgrades!$U$6,E193),1)*IF(Upgrades!$T$8="Asteroid Belt",POWER(Upgrades!$U$8,G193),1)*IF(Upgrades!$T$9="Asteroid Belt",POWER(Upgrades!$U$9,H193),1)*IF(Upgrades!$T$10="Asteroid Belt",POWER(Upgrades!$U$10,I193),1)*IF(Upgrades!$T$11="Asteroid Belt",POWER(Upgrades!$U$11,J193),1)*IF(Upgrades!$T$12="Asteroid Belt",POWER(Upgrades!$U$12,K193),1))*POWER(Upgrades!$P$6,E193)*POWER(Upgrades!$P$7,F193)*POWER(Upgrades!$P$8,G193)*POWER(Upgrades!$P$9,H193)*POWER(Upgrades!$P$10,I193)*POWER(Upgrades!$P$11,J193)*POWER(Upgrades!$P$12,K193)*60</f>
        <v>150</v>
      </c>
      <c r="AC193" s="27" t="n">
        <f aca="false">(IF(G193=0,0,(Upgrades!$J$8+G193*Upgrades!$K$8)*POWER(Upgrades!$L$8,G193)))*(IF(Upgrades!$T$6="Stellar Coupling",POWER(Upgrades!$U$6,E193),1)*IF(Upgrades!$T$7="Stellar Coupling",POWER(Upgrades!$U$7,F193),1)*IF(Upgrades!$T$9="Stellar Coupling",POWER(Upgrades!$U$9,H193),1)*IF(Upgrades!$T$10="Stellar Coupling",POWER(Upgrades!$U$10,I193),1)*IF(Upgrades!$T$11="Stellar Coupling",POWER(Upgrades!$U$11,J193),1)*IF(Upgrades!$T$12="Stellar Coupling",POWER(Upgrades!$U$12,K193),1))*POWER(Upgrades!$Q$6,E193)*POWER(Upgrades!$Q$7,F193)*POWER(Upgrades!$Q$8,G193)*POWER(Upgrades!$Q$9,H193)*POWER(Upgrades!$Q$10,I193)*POWER(Upgrades!$Q$11,J193)*POWER(Upgrades!$Q$12,K193)*Parameters!$B$10*Parameters!$B$11</f>
        <v>441</v>
      </c>
      <c r="AD193" s="27" t="n">
        <f aca="false">(IF(H193=0,0,(Upgrades!$G$9+H193*Upgrades!$H$9)*POWER(Upgrades!$I$9,H193)))*(IF(Upgrades!$T$6="Magnetosphere",POWER(Upgrades!$U$6,E193),1)*IF(Upgrades!$T$7="Magnetosphere",POWER(Upgrades!$U$7,F193),1)*IF(Upgrades!$T$8="Magnetosphere",POWER(Upgrades!$U$8,G193),1)*IF(Upgrades!$T$10="Magnetosphere",POWER(Upgrades!$U$10,I193),1)*IF(Upgrades!$T$11="Magnetosphere",POWER(Upgrades!$U$11,J193),1)*IF(Upgrades!$T$12="Magnetosphere",POWER(Upgrades!$U$12,K193),1))*POWER(Upgrades!$P$6,E193)*POWER(Upgrades!$P$7,F193)*POWER(Upgrades!$P$8,G193)*POWER(Upgrades!$P$9,H193)*POWER(Upgrades!$P$10,I193)*POWER(Upgrades!$P$11,J193)*POWER(Upgrades!$P$12,K193)*60</f>
        <v>375</v>
      </c>
      <c r="AE193" s="27" t="n">
        <f aca="false">(IF(K193=0,0,(Upgrades!$G$12+K193*Upgrades!$H$12)*POWER(Upgrades!$I$12,K193)))*(IF(Upgrades!$T$6="First Photons",POWER(Upgrades!$U$6,E193),1)*IF(Upgrades!$T$7="First Photons",POWER(Upgrades!$U$7,F193),1)*IF(Upgrades!$T$8="First Photons",POWER(Upgrades!$U$8,G193),1)*IF(Upgrades!$T$9="First Photons",POWER(Upgrades!$U$9,H193),1)*IF(Upgrades!$T$10="First Photons",POWER(Upgrades!$U$10,I193),1)*IF(Upgrades!$T$11="First Photons",POWER(Upgrades!$U$11,J193),1))*POWER(Upgrades!$P$6,E193)*POWER(Upgrades!$P$7,F193)*POWER(Upgrades!$P$8,G193)*POWER(Upgrades!$P$9,H193)*POWER(Upgrades!$P$10,I193)*POWER(Upgrades!$P$11,J193)*POWER(Upgrades!$P$12,K193)*60</f>
        <v>75</v>
      </c>
      <c r="AF193" s="27" t="n">
        <f aca="false">Parameters!$B$9*POWER(Upgrades!$Q$6,E193)*POWER(Upgrades!$Q$7,F193)*POWER(Upgrades!$Q$8,G193)*POWER(Upgrades!$Q$9,H193)*POWER(Upgrades!$Q$10,I193)*POWER(Upgrades!$Q$11,J193)*POWER(Upgrades!$Q$12,K193)*(Parameters!$B$10*Parameters!$B$11+O193*60)</f>
        <v>120</v>
      </c>
      <c r="AG193" s="21" t="n">
        <f aca="false">IF(E193&gt;=Upgrades!$E$6,"",Upgrades!$C$6*POWER(Upgrades!$D$6,E193))</f>
        <v>37.4517507383159</v>
      </c>
      <c r="AH193" s="21" t="n">
        <f aca="false">IF(F193&gt;=Upgrades!$E$7,"",Upgrades!$C$7*POWER(Upgrades!$D$7,F193))</f>
        <v>80.9111547141581</v>
      </c>
      <c r="AI193" s="21" t="n">
        <f aca="false">IF(G193&gt;=Upgrades!$E$8,"",Upgrades!$C$8*POWER(Upgrades!$D$8,G193))</f>
        <v>231.9097088</v>
      </c>
      <c r="AJ193" s="21" t="str">
        <f aca="false">IF(H193&gt;=Upgrades!$E$9,"",Upgrades!$C$9*POWER(Upgrades!$D$9,H193))</f>
        <v/>
      </c>
      <c r="AK193" s="21" t="str">
        <f aca="false">IF(I193&gt;=Upgrades!$E$10,"",Upgrades!$C$10*POWER(Upgrades!$D$10,I193))</f>
        <v/>
      </c>
      <c r="AL193" s="21" t="str">
        <f aca="false">IF(J193&gt;=Upgrades!$E$11,"",Upgrades!$C$11*POWER(Upgrades!$D$11,J193))</f>
        <v/>
      </c>
      <c r="AM193" s="21" t="str">
        <f aca="false">IF(K193&gt;=Upgrades!$E$12,"",Upgrades!$C$12*POWER(Upgrades!$D$12,K193))</f>
        <v/>
      </c>
      <c r="AN193" s="26" t="str">
        <f aca="false">IF(AND(D193&gt;=Parameters!$B$18,(H193&gt;=Upgrades!$E$9)*(K193&gt;=Upgrades!$E$12)=1,L193=0),1,"")</f>
        <v/>
      </c>
      <c r="AO193" s="26" t="str">
        <f aca="false">IF(AND(D193&gt;=Parameters!$B$18,L193=0),1,"")</f>
        <v/>
      </c>
      <c r="AP193" s="21" t="n">
        <f aca="false">MIN(IF(ISNUMBER(AK193),AK193,9000000000000000),IF(ISNUMBER(AL193),AL193,9000000000000000),IF(ISNUMBER(AM193),AM193,9000000000000000))</f>
        <v>9000000000000000</v>
      </c>
      <c r="AQ193" s="21" t="n">
        <f aca="false">MIN(IF(ISNUMBER(AG193),AG193,9000000000000000),IF(ISNUMBER(AH193),AH193,9000000000000000),IF(ISNUMBER(AI193),AI193,9000000000000000),IF(ISNUMBER(AJ193),AJ193,9000000000000000))</f>
        <v>37.4517507383159</v>
      </c>
      <c r="AR193" s="32" t="b">
        <f aca="false">IF(AW193&gt;Parameters!$B$21*(MAX(IF(AND(NOT(AND(AO193=1,AN193&lt;&gt;1)),ISNUMBER(AG193),AG193&lt;=T193),AS193,0),IF(AND(NOT(AND(AO193=1,AN193&lt;&gt;1)),ISNUMBER(AH193),AH193&lt;=T193),AT193,0),IF(AND(NOT(AND(AO193=1,AN193&lt;&gt;1)),ISNUMBER(AI193),AI193&lt;=T193),AU193,0),IF(AND(ISNUMBER(AJ193),AJ193&lt;=T193),AV193,0))),TRUE(),FALSE())</f>
        <v>1</v>
      </c>
      <c r="AS193" s="33" t="n">
        <f aca="false">IFERROR(Upgrades!$H$6*(POWER(Upgrades!$P$6,E193)*POWER(Upgrades!$P$7,F193)*POWER(Upgrades!$P$8,G193)*POWER(Upgrades!$P$9,H193)*POWER(Upgrades!$P$10,I193)*POWER(Upgrades!$P$11,J193)*POWER(Upgrades!$P$12,K193))*(IF(Upgrades!$T$7="Solar Wind",POWER(Upgrades!$U$7,F193),1)*IF(Upgrades!$T$8="Solar Wind",POWER(Upgrades!$U$8,G193),1)*IF(Upgrades!$T$9="Solar Wind",POWER(Upgrades!$U$9,H193),1)*IF(Upgrades!$T$10="Solar Wind",POWER(Upgrades!$U$10,I193),1)*IF(Upgrades!$T$11="Solar Wind",POWER(Upgrades!$U$11,J193),1)*IF(Upgrades!$T$12="Solar Wind",POWER(Upgrades!$U$12,K193),1))/AG193,0)</f>
        <v>0.0026701021455238</v>
      </c>
      <c r="AT193" s="33" t="n">
        <f aca="false">IFERROR(Upgrades!$H$7*(POWER(Upgrades!$P$6,E193)*POWER(Upgrades!$P$7,F193)*POWER(Upgrades!$P$8,G193)*POWER(Upgrades!$P$9,H193)*POWER(Upgrades!$P$10,I193)*POWER(Upgrades!$P$11,J193)*POWER(Upgrades!$P$12,K193))*(IF(Upgrades!$T$6="Asteroid Belt",POWER(Upgrades!$U$6,E193),1)*IF(Upgrades!$T$8="Asteroid Belt",POWER(Upgrades!$U$8,G193),1)*IF(Upgrades!$T$9="Asteroid Belt",POWER(Upgrades!$U$9,H193),1)*IF(Upgrades!$T$10="Asteroid Belt",POWER(Upgrades!$U$10,I193),1)*IF(Upgrades!$T$11="Asteroid Belt",POWER(Upgrades!$U$11,J193),1)*IF(Upgrades!$T$12="Asteroid Belt",POWER(Upgrades!$U$12,K193),1))/AH193,0)</f>
        <v>0.00308980882652332</v>
      </c>
      <c r="AU193" s="33" t="n">
        <f aca="false">IFERROR(Upgrades!$K$8*(POWER(Upgrades!$Q$6,E193)*POWER(Upgrades!$Q$7,F193)*POWER(Upgrades!$Q$8,G193)*POWER(Upgrades!$Q$9,H193)*POWER(Upgrades!$Q$10,I193)*POWER(Upgrades!$Q$11,J193)*POWER(Upgrades!$Q$12,K193))*(IF(Upgrades!$T$6="Stellar Coupling",POWER(Upgrades!$U$6,E193),1)*IF(Upgrades!$T$7="Stellar Coupling",POWER(Upgrades!$U$7,F193),1)*IF(Upgrades!$T$9="Stellar Coupling",POWER(Upgrades!$U$9,H193),1)*IF(Upgrades!$T$10="Stellar Coupling",POWER(Upgrades!$U$10,I193),1)*IF(Upgrades!$T$11="Stellar Coupling",POWER(Upgrades!$U$11,J193),1)*IF(Upgrades!$T$12="Stellar Coupling",POWER(Upgrades!$U$12,K193),1))*Parameters!$B$10*Parameters!$B$11/60/AI193,0)</f>
        <v>0.00452762415783776</v>
      </c>
      <c r="AV193" s="33" t="n">
        <f aca="false">IFERROR(Upgrades!$H$9*(POWER(Upgrades!$P$6,E193)*POWER(Upgrades!$P$7,F193)*POWER(Upgrades!$P$8,G193)*POWER(Upgrades!$P$9,H193)*POWER(Upgrades!$P$10,I193)*POWER(Upgrades!$P$11,J193)*POWER(Upgrades!$P$12,K193))*(IF(Upgrades!$T$6="Magnetosphere",POWER(Upgrades!$U$6,E193),1)*IF(Upgrades!$T$7="Magnetosphere",POWER(Upgrades!$U$7,F193),1)*IF(Upgrades!$T$8="Magnetosphere",POWER(Upgrades!$U$8,G193),1)*IF(Upgrades!$T$10="Magnetosphere",POWER(Upgrades!$U$10,I193),1)*IF(Upgrades!$T$11="Magnetosphere",POWER(Upgrades!$U$11,J193),1)*IF(Upgrades!$T$12="Magnetosphere",POWER(Upgrades!$U$12,K193),1))/AJ193,0)</f>
        <v>0</v>
      </c>
      <c r="AW193" s="33" t="n">
        <f aca="false">MAX(IF(I193&gt;0,0,IFERROR(0.25*N193/Upgrades!$C$10,0)),IF(J193&gt;0,0,IFERROR(0.5*((IF(G193=0,0,(Upgrades!$J$8+G193*Upgrades!$K$8)*POWER(Upgrades!$L$8,G193)))*(IF(Upgrades!$T$6="Stellar Coupling",POWER(Upgrades!$U$6,E193),1)*IF(Upgrades!$T$7="Stellar Coupling",POWER(Upgrades!$U$7,F193),1)*IF(Upgrades!$T$9="Stellar Coupling",POWER(Upgrades!$U$9,H193),1)*IF(Upgrades!$T$10="Stellar Coupling",POWER(Upgrades!$U$10,I193),1)*IF(Upgrades!$T$11="Stellar Coupling",POWER(Upgrades!$U$11,J193),1)*IF(Upgrades!$T$12="Stellar Coupling",POWER(Upgrades!$U$12,K193),1))*(POWER(Upgrades!$Q$6,E193)*POWER(Upgrades!$Q$7,F193)*POWER(Upgrades!$Q$8,G193)*POWER(Upgrades!$Q$9,H193)*POWER(Upgrades!$Q$10,I193)*POWER(Upgrades!$Q$11,J193)*POWER(Upgrades!$Q$12,K193))*Parameters!$B$10*Parameters!$B$11/60)/Upgrades!$C$11,0)),IF(K193&gt;0,0,IFERROR((1*(POWER(Upgrades!$P$6,E193)*POWER(Upgrades!$P$7,F193)*POWER(Upgrades!$P$8,G193)*POWER(Upgrades!$P$9,H193)*POWER(Upgrades!$P$10,I193)*POWER(Upgrades!$P$11,J193)*POWER(Upgrades!$P$12,K193))+0.2*M193*Parameters!$B$10*Parameters!$B$11/60)/Upgrades!$C$12,0)),IF(AND(ISNUMBER(AG193),AG193&gt;T193),AS193,0),IF(AND(ISNUMBER(AH193),AH193&gt;T193),AT193,0),IF(AND(ISNUMBER(AI193),AI193&gt;T193),AU193,0),IF(AND(ISNUMBER(AJ193),AJ193&gt;T193),AV193,0))</f>
        <v>0.00452762415783776</v>
      </c>
      <c r="AX193" s="29" t="str">
        <f aca="false">IF(AN193=1,"transition",IF(MIN(IF(AND(I193=0,ISNUMBER(AK193),AK193&lt;=T193),AK193,9000000000000000),IF(AND(J193=0,ISNUMBER(AL193),AL193&lt;=T193),AL193,9000000000000000),IF(AND(K193=0,ISNUMBER(AM193),AM193&lt;=T193),AM193,9000000000000000))&lt;9000000000000000,IF(AND(AND(I193=0,ISNUMBER(AK193),AK193&lt;=T193),AK193=MIN(IF(AND(I193=0,ISNUMBER(AK193),AK193&lt;=T193),AK193,9000000000000000),IF(AND(J193=0,ISNUMBER(AL193),AL193&lt;=T193),AL193,9000000000000000),IF(AND(K193=0,ISNUMBER(AM193),AM193&lt;=T193),AM193,9000000000000000))),"OR",IF(AND(AND(J193=0,ISNUMBER(AL193),AL193&lt;=T193),AL193=MIN(IF(AND(I193=0,ISNUMBER(AK193),AK193&lt;=T193),AK193,9000000000000000),IF(AND(J193=0,ISNUMBER(AL193),AL193&lt;=T193),AL193,9000000000000000),IF(AND(K193=0,ISNUMBER(AM193),AM193&lt;=T193),AM193,9000000000000000))),"HP","FP")),IF(AR193=TRUE(),"",IF(MAX(IF(AND(NOT(AND(AO193=1,AN193&lt;&gt;1)),ISNUMBER(AG193),AG193&lt;=T193),AS193,0),IF(AND(NOT(AND(AO193=1,AN193&lt;&gt;1)),ISNUMBER(AH193),AH193&lt;=T193),AT193,0),IF(AND(NOT(AND(AO193=1,AN193&lt;&gt;1)),ISNUMBER(AI193),AI193&lt;=T193),AU193,0),IF(AND(ISNUMBER(AJ193),AJ193&lt;=T193),AV193,0))&lt;=0,"",IF(AND(IF(AND(NOT(AND(AO193=1,AN193&lt;&gt;1)),ISNUMBER(AG193),AG193&lt;=T193),AS193,0)&gt;0,IF(AND(NOT(AND(AO193=1,AN193&lt;&gt;1)),ISNUMBER(AG193),AG193&lt;=T193),AS193,0)=MAX(IF(AND(NOT(AND(AO193=1,AN193&lt;&gt;1)),ISNUMBER(AG193),AG193&lt;=T193),AS193,0),IF(AND(NOT(AND(AO193=1,AN193&lt;&gt;1)),ISNUMBER(AH193),AH193&lt;=T193),AT193,0),IF(AND(NOT(AND(AO193=1,AN193&lt;&gt;1)),ISNUMBER(AI193),AI193&lt;=T193),AU193,0),IF(AND(ISNUMBER(AJ193),AJ193&lt;=T193),AV193,0))),"SW",IF(AND(IF(AND(NOT(AND(AO193=1,AN193&lt;&gt;1)),ISNUMBER(AH193),AH193&lt;=T193),AT193,0)&gt;0,IF(AND(NOT(AND(AO193=1,AN193&lt;&gt;1)),ISNUMBER(AH193),AH193&lt;=T193),AT193,0)=MAX(IF(AND(NOT(AND(AO193=1,AN193&lt;&gt;1)),ISNUMBER(AG193),AG193&lt;=T193),AS193,0),IF(AND(NOT(AND(AO193=1,AN193&lt;&gt;1)),ISNUMBER(AH193),AH193&lt;=T193),AT193,0),IF(AND(NOT(AND(AO193=1,AN193&lt;&gt;1)),ISNUMBER(AI193),AI193&lt;=T193),AU193,0),IF(AND(ISNUMBER(AJ193),AJ193&lt;=T193),AV193,0))),"AB",IF(AND(IF(AND(NOT(AND(AO193=1,AN193&lt;&gt;1)),ISNUMBER(AI193),AI193&lt;=T193),AU193,0)&gt;0,IF(AND(NOT(AND(AO193=1,AN193&lt;&gt;1)),ISNUMBER(AI193),AI193&lt;=T193),AU193,0)=MAX(IF(AND(NOT(AND(AO193=1,AN193&lt;&gt;1)),ISNUMBER(AG193),AG193&lt;=T193),AS193,0),IF(AND(NOT(AND(AO193=1,AN193&lt;&gt;1)),ISNUMBER(AH193),AH193&lt;=T193),AT193,0),IF(AND(NOT(AND(AO193=1,AN193&lt;&gt;1)),ISNUMBER(AI193),AI193&lt;=T193),AU193,0),IF(AND(ISNUMBER(AJ193),AJ193&lt;=T193),AV193,0))),"SC","Mag")))))))</f>
        <v/>
      </c>
    </row>
    <row r="194" customFormat="false" ht="15" hidden="false" customHeight="false" outlineLevel="0" collapsed="false">
      <c r="A194" s="26" t="n">
        <v>189</v>
      </c>
      <c r="B194" s="27" t="n">
        <f aca="false">A194*10/60</f>
        <v>31.5</v>
      </c>
      <c r="C194" s="21" t="n">
        <f aca="false">X193</f>
        <v>18.6730249835055</v>
      </c>
      <c r="D194" s="27" t="n">
        <f aca="false">D193+W193</f>
        <v>0</v>
      </c>
      <c r="E194" s="26" t="n">
        <f aca="false">E193+IF(U193="SW",1,0)</f>
        <v>12</v>
      </c>
      <c r="F194" s="26" t="n">
        <f aca="false">F193+IF(U193="AB",1,0)</f>
        <v>10</v>
      </c>
      <c r="G194" s="26" t="n">
        <f aca="false">G193+IF(U193="SC",1,0)</f>
        <v>7</v>
      </c>
      <c r="H194" s="26" t="n">
        <f aca="false">H193+IF(U193="Mag",1,0)</f>
        <v>5</v>
      </c>
      <c r="I194" s="26" t="n">
        <f aca="false">MAX(I193,IF(U193="OR",1,0))</f>
        <v>1</v>
      </c>
      <c r="J194" s="26" t="n">
        <f aca="false">MAX(J193,IF(U193="HP",1,0))</f>
        <v>1</v>
      </c>
      <c r="K194" s="26" t="n">
        <f aca="false">MAX(K193,IF(U193="FP",1,0))</f>
        <v>1</v>
      </c>
      <c r="L194" s="26" t="n">
        <f aca="false">MAX(L193,IF(U193="transition",1,0))</f>
        <v>1</v>
      </c>
      <c r="M194" s="28" t="n">
        <f aca="false">(Parameters!$B$9+(IF(E194=0,0,(Upgrades!$J$6+E194*Upgrades!$K$6)*POWER(Upgrades!$L$6,E194)))*(IF(Upgrades!$T$7="Solar Wind",POWER(Upgrades!$U$7,F194),1)*IF(Upgrades!$T$8="Solar Wind",POWER(Upgrades!$U$8,G194),1)*IF(Upgrades!$T$9="Solar Wind",POWER(Upgrades!$U$9,H194),1)*IF(Upgrades!$T$10="Solar Wind",POWER(Upgrades!$U$10,I194),1)*IF(Upgrades!$T$11="Solar Wind",POWER(Upgrades!$U$11,J194),1)*IF(Upgrades!$T$12="Solar Wind",POWER(Upgrades!$U$12,K194),1))+(IF(F194=0,0,(Upgrades!$J$7+F194*Upgrades!$K$7)*POWER(Upgrades!$L$7,F194)))*(IF(Upgrades!$T$6="Asteroid Belt",POWER(Upgrades!$U$6,E194),1)*IF(Upgrades!$T$8="Asteroid Belt",POWER(Upgrades!$U$8,G194),1)*IF(Upgrades!$T$9="Asteroid Belt",POWER(Upgrades!$U$9,H194),1)*IF(Upgrades!$T$10="Asteroid Belt",POWER(Upgrades!$U$10,I194),1)*IF(Upgrades!$T$11="Asteroid Belt",POWER(Upgrades!$U$11,J194),1)*IF(Upgrades!$T$12="Asteroid Belt",POWER(Upgrades!$U$12,K194),1))+(IF(G194=0,0,(Upgrades!$J$8+G194*Upgrades!$K$8)*POWER(Upgrades!$L$8,G194)))*(IF(Upgrades!$T$6="Stellar Coupling",POWER(Upgrades!$U$6,E194),1)*IF(Upgrades!$T$7="Stellar Coupling",POWER(Upgrades!$U$7,F194),1)*IF(Upgrades!$T$9="Stellar Coupling",POWER(Upgrades!$U$9,H194),1)*IF(Upgrades!$T$10="Stellar Coupling",POWER(Upgrades!$U$10,I194),1)*IF(Upgrades!$T$11="Stellar Coupling",POWER(Upgrades!$U$11,J194),1)*IF(Upgrades!$T$12="Stellar Coupling",POWER(Upgrades!$U$12,K194),1))+(IF(H194=0,0,(Upgrades!$J$9+H194*Upgrades!$K$9)*POWER(Upgrades!$L$9,H194)))*(IF(Upgrades!$T$6="Magnetosphere",POWER(Upgrades!$U$6,E194),1)*IF(Upgrades!$T$7="Magnetosphere",POWER(Upgrades!$U$7,F194),1)*IF(Upgrades!$T$8="Magnetosphere",POWER(Upgrades!$U$8,G194),1)*IF(Upgrades!$T$10="Magnetosphere",POWER(Upgrades!$U$10,I194),1)*IF(Upgrades!$T$11="Magnetosphere",POWER(Upgrades!$U$11,J194),1)*IF(Upgrades!$T$12="Magnetosphere",POWER(Upgrades!$U$12,K194),1))+(IF(I194=0,0,(Upgrades!$J$10+I194*Upgrades!$K$10)*POWER(Upgrades!$L$10,I194)))*(IF(Upgrades!$T$6="Orbital Resonance",POWER(Upgrades!$U$6,E194),1)*IF(Upgrades!$T$7="Orbital Resonance",POWER(Upgrades!$U$7,F194),1)*IF(Upgrades!$T$8="Orbital Resonance",POWER(Upgrades!$U$8,G194),1)*IF(Upgrades!$T$9="Orbital Resonance",POWER(Upgrades!$U$9,H194),1)*IF(Upgrades!$T$11="Orbital Resonance",POWER(Upgrades!$U$11,J194),1)*IF(Upgrades!$T$12="Orbital Resonance",POWER(Upgrades!$U$12,K194),1))+(IF(J194=0,0,(Upgrades!$J$11+J194*Upgrades!$K$11)*POWER(Upgrades!$L$11,J194)))*(IF(Upgrades!$T$6="Heliopause",POWER(Upgrades!$U$6,E194),1)*IF(Upgrades!$T$7="Heliopause",POWER(Upgrades!$U$7,F194),1)*IF(Upgrades!$T$8="Heliopause",POWER(Upgrades!$U$8,G194),1)*IF(Upgrades!$T$9="Heliopause",POWER(Upgrades!$U$9,H194),1)*IF(Upgrades!$T$10="Heliopause",POWER(Upgrades!$U$10,I194),1)*IF(Upgrades!$T$12="Heliopause",POWER(Upgrades!$U$12,K194),1))+(IF(K194=0,0,(Upgrades!$J$12+K194*Upgrades!$K$12)*POWER(Upgrades!$L$12,K194)))*(IF(Upgrades!$T$6="First Photons",POWER(Upgrades!$U$6,E194),1)*IF(Upgrades!$T$7="First Photons",POWER(Upgrades!$U$7,F194),1)*IF(Upgrades!$T$8="First Photons",POWER(Upgrades!$U$8,G194),1)*IF(Upgrades!$T$9="First Photons",POWER(Upgrades!$U$9,H194),1)*IF(Upgrades!$T$10="First Photons",POWER(Upgrades!$U$10,I194),1)*IF(Upgrades!$T$11="First Photons",POWER(Upgrades!$U$11,J194),1)))*POWER(Upgrades!$Q$6,E194)*POWER(Upgrades!$Q$7,F194)*POWER(Upgrades!$Q$8,G194)*POWER(Upgrades!$Q$9,H194)*POWER(Upgrades!$Q$10,I194)*POWER(Upgrades!$Q$11,J194)*POWER(Upgrades!$Q$12,K194)</f>
        <v>5.61</v>
      </c>
      <c r="N194" s="28" t="n">
        <f aca="false">((IF(E194=0,0,(Upgrades!$G$6+E194*Upgrades!$H$6)*POWER(Upgrades!$I$6,E194)))*(IF(Upgrades!$T$7="Solar Wind",POWER(Upgrades!$U$7,F194),1)*IF(Upgrades!$T$8="Solar Wind",POWER(Upgrades!$U$8,G194),1)*IF(Upgrades!$T$9="Solar Wind",POWER(Upgrades!$U$9,H194),1)*IF(Upgrades!$T$10="Solar Wind",POWER(Upgrades!$U$10,I194),1)*IF(Upgrades!$T$11="Solar Wind",POWER(Upgrades!$U$11,J194),1)*IF(Upgrades!$T$12="Solar Wind",POWER(Upgrades!$U$12,K194),1))+(IF(F194=0,0,(Upgrades!$G$7+F194*Upgrades!$H$7)*POWER(Upgrades!$I$7,F194)))*(IF(Upgrades!$T$6="Asteroid Belt",POWER(Upgrades!$U$6,E194),1)*IF(Upgrades!$T$8="Asteroid Belt",POWER(Upgrades!$U$8,G194),1)*IF(Upgrades!$T$9="Asteroid Belt",POWER(Upgrades!$U$9,H194),1)*IF(Upgrades!$T$10="Asteroid Belt",POWER(Upgrades!$U$10,I194),1)*IF(Upgrades!$T$11="Asteroid Belt",POWER(Upgrades!$U$11,J194),1)*IF(Upgrades!$T$12="Asteroid Belt",POWER(Upgrades!$U$12,K194),1))+(IF(G194=0,0,(Upgrades!$G$8+G194*Upgrades!$H$8)*POWER(Upgrades!$I$8,G194)))*(IF(Upgrades!$T$6="Stellar Coupling",POWER(Upgrades!$U$6,E194),1)*IF(Upgrades!$T$7="Stellar Coupling",POWER(Upgrades!$U$7,F194),1)*IF(Upgrades!$T$9="Stellar Coupling",POWER(Upgrades!$U$9,H194),1)*IF(Upgrades!$T$10="Stellar Coupling",POWER(Upgrades!$U$10,I194),1)*IF(Upgrades!$T$11="Stellar Coupling",POWER(Upgrades!$U$11,J194),1)*IF(Upgrades!$T$12="Stellar Coupling",POWER(Upgrades!$U$12,K194),1))+(IF(H194=0,0,(Upgrades!$G$9+H194*Upgrades!$H$9)*POWER(Upgrades!$I$9,H194)))*(IF(Upgrades!$T$6="Magnetosphere",POWER(Upgrades!$U$6,E194),1)*IF(Upgrades!$T$7="Magnetosphere",POWER(Upgrades!$U$7,F194),1)*IF(Upgrades!$T$8="Magnetosphere",POWER(Upgrades!$U$8,G194),1)*IF(Upgrades!$T$10="Magnetosphere",POWER(Upgrades!$U$10,I194),1)*IF(Upgrades!$T$11="Magnetosphere",POWER(Upgrades!$U$11,J194),1)*IF(Upgrades!$T$12="Magnetosphere",POWER(Upgrades!$U$12,K194),1))+(IF(I194=0,0,(Upgrades!$G$10+I194*Upgrades!$H$10)*POWER(Upgrades!$I$10,I194)))*(IF(Upgrades!$T$6="Orbital Resonance",POWER(Upgrades!$U$6,E194),1)*IF(Upgrades!$T$7="Orbital Resonance",POWER(Upgrades!$U$7,F194),1)*IF(Upgrades!$T$8="Orbital Resonance",POWER(Upgrades!$U$8,G194),1)*IF(Upgrades!$T$9="Orbital Resonance",POWER(Upgrades!$U$9,H194),1)*IF(Upgrades!$T$11="Orbital Resonance",POWER(Upgrades!$U$11,J194),1)*IF(Upgrades!$T$12="Orbital Resonance",POWER(Upgrades!$U$12,K194),1))+(IF(J194=0,0,(Upgrades!$G$11+J194*Upgrades!$H$11)*POWER(Upgrades!$I$11,J194)))*(IF(Upgrades!$T$6="Heliopause",POWER(Upgrades!$U$6,E194),1)*IF(Upgrades!$T$7="Heliopause",POWER(Upgrades!$U$7,F194),1)*IF(Upgrades!$T$8="Heliopause",POWER(Upgrades!$U$8,G194),1)*IF(Upgrades!$T$9="Heliopause",POWER(Upgrades!$U$9,H194),1)*IF(Upgrades!$T$10="Heliopause",POWER(Upgrades!$U$10,I194),1)*IF(Upgrades!$T$12="Heliopause",POWER(Upgrades!$U$12,K194),1))+(IF(K194=0,0,(Upgrades!$G$12+K194*Upgrades!$H$12)*POWER(Upgrades!$I$12,K194)))*(IF(Upgrades!$T$6="First Photons",POWER(Upgrades!$U$6,E194),1)*IF(Upgrades!$T$7="First Photons",POWER(Upgrades!$U$7,F194),1)*IF(Upgrades!$T$8="First Photons",POWER(Upgrades!$U$8,G194),1)*IF(Upgrades!$T$9="First Photons",POWER(Upgrades!$U$9,H194),1)*IF(Upgrades!$T$10="First Photons",POWER(Upgrades!$U$10,I194),1)*IF(Upgrades!$T$11="First Photons",POWER(Upgrades!$U$11,J194),1)))*POWER(Upgrades!$P$6,E194)*POWER(Upgrades!$P$7,F194)*POWER(Upgrades!$P$8,G194)*POWER(Upgrades!$P$9,H194)*POWER(Upgrades!$P$10,I194)*POWER(Upgrades!$P$11,J194)*POWER(Upgrades!$P$12,K194)</f>
        <v>11.2</v>
      </c>
      <c r="O194" s="28" t="n">
        <f aca="false">((IF(E194=0,0,(Upgrades!$M$6+E194*Upgrades!$N$6)*POWER(Upgrades!$O$6,E194)))*(IF(Upgrades!$T$7="Solar Wind",POWER(Upgrades!$U$7,F194),1)*IF(Upgrades!$T$8="Solar Wind",POWER(Upgrades!$U$8,G194),1)*IF(Upgrades!$T$9="Solar Wind",POWER(Upgrades!$U$9,H194),1)*IF(Upgrades!$T$10="Solar Wind",POWER(Upgrades!$U$10,I194),1)*IF(Upgrades!$T$11="Solar Wind",POWER(Upgrades!$U$11,J194),1)*IF(Upgrades!$T$12="Solar Wind",POWER(Upgrades!$U$12,K194),1))+(IF(F194=0,0,(Upgrades!$M$7+F194*Upgrades!$N$7)*POWER(Upgrades!$O$7,F194)))*(IF(Upgrades!$T$6="Asteroid Belt",POWER(Upgrades!$U$6,E194),1)*IF(Upgrades!$T$8="Asteroid Belt",POWER(Upgrades!$U$8,G194),1)*IF(Upgrades!$T$9="Asteroid Belt",POWER(Upgrades!$U$9,H194),1)*IF(Upgrades!$T$10="Asteroid Belt",POWER(Upgrades!$U$10,I194),1)*IF(Upgrades!$T$11="Asteroid Belt",POWER(Upgrades!$U$11,J194),1)*IF(Upgrades!$T$12="Asteroid Belt",POWER(Upgrades!$U$12,K194),1))+(IF(G194=0,0,(Upgrades!$M$8+G194*Upgrades!$N$8)*POWER(Upgrades!$O$8,G194)))*(IF(Upgrades!$T$6="Stellar Coupling",POWER(Upgrades!$U$6,E194),1)*IF(Upgrades!$T$7="Stellar Coupling",POWER(Upgrades!$U$7,F194),1)*IF(Upgrades!$T$9="Stellar Coupling",POWER(Upgrades!$U$9,H194),1)*IF(Upgrades!$T$10="Stellar Coupling",POWER(Upgrades!$U$10,I194),1)*IF(Upgrades!$T$11="Stellar Coupling",POWER(Upgrades!$U$11,J194),1)*IF(Upgrades!$T$12="Stellar Coupling",POWER(Upgrades!$U$12,K194),1))+(IF(H194=0,0,(Upgrades!$M$9+H194*Upgrades!$N$9)*POWER(Upgrades!$O$9,H194)))*(IF(Upgrades!$T$6="Magnetosphere",POWER(Upgrades!$U$6,E194),1)*IF(Upgrades!$T$7="Magnetosphere",POWER(Upgrades!$U$7,F194),1)*IF(Upgrades!$T$8="Magnetosphere",POWER(Upgrades!$U$8,G194),1)*IF(Upgrades!$T$10="Magnetosphere",POWER(Upgrades!$U$10,I194),1)*IF(Upgrades!$T$11="Magnetosphere",POWER(Upgrades!$U$11,J194),1)*IF(Upgrades!$T$12="Magnetosphere",POWER(Upgrades!$U$12,K194),1))+(IF(I194=0,0,(Upgrades!$M$10+I194*Upgrades!$N$10)*POWER(Upgrades!$O$10,I194)))*(IF(Upgrades!$T$6="Orbital Resonance",POWER(Upgrades!$U$6,E194),1)*IF(Upgrades!$T$7="Orbital Resonance",POWER(Upgrades!$U$7,F194),1)*IF(Upgrades!$T$8="Orbital Resonance",POWER(Upgrades!$U$8,G194),1)*IF(Upgrades!$T$9="Orbital Resonance",POWER(Upgrades!$U$9,H194),1)*IF(Upgrades!$T$11="Orbital Resonance",POWER(Upgrades!$U$11,J194),1)*IF(Upgrades!$T$12="Orbital Resonance",POWER(Upgrades!$U$12,K194),1))+(IF(J194=0,0,(Upgrades!$M$11+J194*Upgrades!$N$11)*POWER(Upgrades!$O$11,J194)))*(IF(Upgrades!$T$6="Heliopause",POWER(Upgrades!$U$6,E194),1)*IF(Upgrades!$T$7="Heliopause",POWER(Upgrades!$U$7,F194),1)*IF(Upgrades!$T$8="Heliopause",POWER(Upgrades!$U$8,G194),1)*IF(Upgrades!$T$9="Heliopause",POWER(Upgrades!$U$9,H194),1)*IF(Upgrades!$T$10="Heliopause",POWER(Upgrades!$U$10,I194),1)*IF(Upgrades!$T$12="Heliopause",POWER(Upgrades!$U$12,K194),1))+(IF(K194=0,0,(Upgrades!$M$12+K194*Upgrades!$N$12)*POWER(Upgrades!$O$12,K194)))*(IF(Upgrades!$T$6="First Photons",POWER(Upgrades!$U$6,E194),1)*IF(Upgrades!$T$7="First Photons",POWER(Upgrades!$U$7,F194),1)*IF(Upgrades!$T$8="First Photons",POWER(Upgrades!$U$8,G194),1)*IF(Upgrades!$T$9="First Photons",POWER(Upgrades!$U$9,H194),1)*IF(Upgrades!$T$10="First Photons",POWER(Upgrades!$U$10,I194),1)*IF(Upgrades!$T$11="First Photons",POWER(Upgrades!$U$11,J194),1)))*POWER(Upgrades!$R$6,E194)*POWER(Upgrades!$R$7,F194)*POWER(Upgrades!$R$8,G194)*POWER(Upgrades!$R$9,H194)*POWER(Upgrades!$R$10,I194)*POWER(Upgrades!$R$11,J194)*POWER(Upgrades!$R$12,K194)</f>
        <v>0</v>
      </c>
      <c r="P194" s="27" t="n">
        <f aca="false">IF(L194=1,0,M194*Parameters!$B$10/60*Parameters!$B$11*10)</f>
        <v>0</v>
      </c>
      <c r="Q194" s="27" t="n">
        <f aca="false">IF(L194=1,0,O194*M194*10)</f>
        <v>0</v>
      </c>
      <c r="R194" s="27" t="n">
        <f aca="false">IF(L194=1,0,N194*10)</f>
        <v>0</v>
      </c>
      <c r="S194" s="27" t="n">
        <f aca="false">P194+Q194+R194</f>
        <v>0</v>
      </c>
      <c r="T194" s="21" t="n">
        <f aca="false">C194+S194</f>
        <v>18.6730249835055</v>
      </c>
      <c r="U194" s="34" t="str">
        <f aca="false">AX194</f>
        <v/>
      </c>
      <c r="V194" s="21" t="n">
        <f aca="false">IF(U194="",0,IF(U194="transition",0,IF(U194="SW",AG194,IF(U194="AB",AH194,IF(U194="SC",AI194,IF(U194="Mag",AJ194,IF(U194="OR",AK194,IF(U194="HP",AL194,IF(U194="FP",AM194,0)))))))))</f>
        <v>0</v>
      </c>
      <c r="W194" s="27" t="n">
        <f aca="false">IF(U194="OR",Upgrades!$F$10,IF(U194="HP",Upgrades!$F$11,IF(U194="transition",-Parameters!$B$18,0)))</f>
        <v>0</v>
      </c>
      <c r="X194" s="21" t="n">
        <f aca="false">T194-V194</f>
        <v>18.6730249835055</v>
      </c>
      <c r="Y194" s="30" t="n">
        <f aca="false">M194*Parameters!$B$10/60*Parameters!$B$11+O194*M194+N194</f>
        <v>20.55</v>
      </c>
      <c r="Z194" s="35" t="str">
        <f aca="false">IF(U194="transition","→ Tier 2 (Stellar Neighborhood)",IF(U194="FP","First Photons — light begins, system quickens",IF(U194="HP","Heliopause acquired",IF(U194="OR","Orbital Resonance — passive multiplier active",IF(AND(AO194=1,L194=0,AN194&lt;&gt;1),"Cohesion ready (waiting on completionist upgrades)","")))))</f>
        <v/>
      </c>
      <c r="AA194" s="27" t="n">
        <f aca="false">(IF(E194=0,0,(Upgrades!$G$6+E194*Upgrades!$H$6)*POWER(Upgrades!$I$6,E194)))*(IF(Upgrades!$T$7="Solar Wind",POWER(Upgrades!$U$7,F194),1)*IF(Upgrades!$T$8="Solar Wind",POWER(Upgrades!$U$8,G194),1)*IF(Upgrades!$T$9="Solar Wind",POWER(Upgrades!$U$9,H194),1)*IF(Upgrades!$T$10="Solar Wind",POWER(Upgrades!$U$10,I194),1)*IF(Upgrades!$T$11="Solar Wind",POWER(Upgrades!$U$11,J194),1)*IF(Upgrades!$T$12="Solar Wind",POWER(Upgrades!$U$12,K194),1))*POWER(Upgrades!$P$6,E194)*POWER(Upgrades!$P$7,F194)*POWER(Upgrades!$P$8,G194)*POWER(Upgrades!$P$9,H194)*POWER(Upgrades!$P$10,I194)*POWER(Upgrades!$P$11,J194)*POWER(Upgrades!$P$12,K194)*60</f>
        <v>72</v>
      </c>
      <c r="AB194" s="27" t="n">
        <f aca="false">(IF(F194=0,0,(Upgrades!$G$7+F194*Upgrades!$H$7)*POWER(Upgrades!$I$7,F194)))*(IF(Upgrades!$T$6="Asteroid Belt",POWER(Upgrades!$U$6,E194),1)*IF(Upgrades!$T$8="Asteroid Belt",POWER(Upgrades!$U$8,G194),1)*IF(Upgrades!$T$9="Asteroid Belt",POWER(Upgrades!$U$9,H194),1)*IF(Upgrades!$T$10="Asteroid Belt",POWER(Upgrades!$U$10,I194),1)*IF(Upgrades!$T$11="Asteroid Belt",POWER(Upgrades!$U$11,J194),1)*IF(Upgrades!$T$12="Asteroid Belt",POWER(Upgrades!$U$12,K194),1))*POWER(Upgrades!$P$6,E194)*POWER(Upgrades!$P$7,F194)*POWER(Upgrades!$P$8,G194)*POWER(Upgrades!$P$9,H194)*POWER(Upgrades!$P$10,I194)*POWER(Upgrades!$P$11,J194)*POWER(Upgrades!$P$12,K194)*60</f>
        <v>150</v>
      </c>
      <c r="AC194" s="27" t="n">
        <f aca="false">(IF(G194=0,0,(Upgrades!$J$8+G194*Upgrades!$K$8)*POWER(Upgrades!$L$8,G194)))*(IF(Upgrades!$T$6="Stellar Coupling",POWER(Upgrades!$U$6,E194),1)*IF(Upgrades!$T$7="Stellar Coupling",POWER(Upgrades!$U$7,F194),1)*IF(Upgrades!$T$9="Stellar Coupling",POWER(Upgrades!$U$9,H194),1)*IF(Upgrades!$T$10="Stellar Coupling",POWER(Upgrades!$U$10,I194),1)*IF(Upgrades!$T$11="Stellar Coupling",POWER(Upgrades!$U$11,J194),1)*IF(Upgrades!$T$12="Stellar Coupling",POWER(Upgrades!$U$12,K194),1))*POWER(Upgrades!$Q$6,E194)*POWER(Upgrades!$Q$7,F194)*POWER(Upgrades!$Q$8,G194)*POWER(Upgrades!$Q$9,H194)*POWER(Upgrades!$Q$10,I194)*POWER(Upgrades!$Q$11,J194)*POWER(Upgrades!$Q$12,K194)*Parameters!$B$10*Parameters!$B$11</f>
        <v>441</v>
      </c>
      <c r="AD194" s="27" t="n">
        <f aca="false">(IF(H194=0,0,(Upgrades!$G$9+H194*Upgrades!$H$9)*POWER(Upgrades!$I$9,H194)))*(IF(Upgrades!$T$6="Magnetosphere",POWER(Upgrades!$U$6,E194),1)*IF(Upgrades!$T$7="Magnetosphere",POWER(Upgrades!$U$7,F194),1)*IF(Upgrades!$T$8="Magnetosphere",POWER(Upgrades!$U$8,G194),1)*IF(Upgrades!$T$10="Magnetosphere",POWER(Upgrades!$U$10,I194),1)*IF(Upgrades!$T$11="Magnetosphere",POWER(Upgrades!$U$11,J194),1)*IF(Upgrades!$T$12="Magnetosphere",POWER(Upgrades!$U$12,K194),1))*POWER(Upgrades!$P$6,E194)*POWER(Upgrades!$P$7,F194)*POWER(Upgrades!$P$8,G194)*POWER(Upgrades!$P$9,H194)*POWER(Upgrades!$P$10,I194)*POWER(Upgrades!$P$11,J194)*POWER(Upgrades!$P$12,K194)*60</f>
        <v>375</v>
      </c>
      <c r="AE194" s="27" t="n">
        <f aca="false">(IF(K194=0,0,(Upgrades!$G$12+K194*Upgrades!$H$12)*POWER(Upgrades!$I$12,K194)))*(IF(Upgrades!$T$6="First Photons",POWER(Upgrades!$U$6,E194),1)*IF(Upgrades!$T$7="First Photons",POWER(Upgrades!$U$7,F194),1)*IF(Upgrades!$T$8="First Photons",POWER(Upgrades!$U$8,G194),1)*IF(Upgrades!$T$9="First Photons",POWER(Upgrades!$U$9,H194),1)*IF(Upgrades!$T$10="First Photons",POWER(Upgrades!$U$10,I194),1)*IF(Upgrades!$T$11="First Photons",POWER(Upgrades!$U$11,J194),1))*POWER(Upgrades!$P$6,E194)*POWER(Upgrades!$P$7,F194)*POWER(Upgrades!$P$8,G194)*POWER(Upgrades!$P$9,H194)*POWER(Upgrades!$P$10,I194)*POWER(Upgrades!$P$11,J194)*POWER(Upgrades!$P$12,K194)*60</f>
        <v>75</v>
      </c>
      <c r="AF194" s="27" t="n">
        <f aca="false">Parameters!$B$9*POWER(Upgrades!$Q$6,E194)*POWER(Upgrades!$Q$7,F194)*POWER(Upgrades!$Q$8,G194)*POWER(Upgrades!$Q$9,H194)*POWER(Upgrades!$Q$10,I194)*POWER(Upgrades!$Q$11,J194)*POWER(Upgrades!$Q$12,K194)*(Parameters!$B$10*Parameters!$B$11+O194*60)</f>
        <v>120</v>
      </c>
      <c r="AG194" s="21" t="n">
        <f aca="false">IF(E194&gt;=Upgrades!$E$6,"",Upgrades!$C$6*POWER(Upgrades!$D$6,E194))</f>
        <v>37.4517507383159</v>
      </c>
      <c r="AH194" s="21" t="n">
        <f aca="false">IF(F194&gt;=Upgrades!$E$7,"",Upgrades!$C$7*POWER(Upgrades!$D$7,F194))</f>
        <v>80.9111547141581</v>
      </c>
      <c r="AI194" s="21" t="n">
        <f aca="false">IF(G194&gt;=Upgrades!$E$8,"",Upgrades!$C$8*POWER(Upgrades!$D$8,G194))</f>
        <v>231.9097088</v>
      </c>
      <c r="AJ194" s="21" t="str">
        <f aca="false">IF(H194&gt;=Upgrades!$E$9,"",Upgrades!$C$9*POWER(Upgrades!$D$9,H194))</f>
        <v/>
      </c>
      <c r="AK194" s="21" t="str">
        <f aca="false">IF(I194&gt;=Upgrades!$E$10,"",Upgrades!$C$10*POWER(Upgrades!$D$10,I194))</f>
        <v/>
      </c>
      <c r="AL194" s="21" t="str">
        <f aca="false">IF(J194&gt;=Upgrades!$E$11,"",Upgrades!$C$11*POWER(Upgrades!$D$11,J194))</f>
        <v/>
      </c>
      <c r="AM194" s="21" t="str">
        <f aca="false">IF(K194&gt;=Upgrades!$E$12,"",Upgrades!$C$12*POWER(Upgrades!$D$12,K194))</f>
        <v/>
      </c>
      <c r="AN194" s="26" t="str">
        <f aca="false">IF(AND(D194&gt;=Parameters!$B$18,(H194&gt;=Upgrades!$E$9)*(K194&gt;=Upgrades!$E$12)=1,L194=0),1,"")</f>
        <v/>
      </c>
      <c r="AO194" s="26" t="str">
        <f aca="false">IF(AND(D194&gt;=Parameters!$B$18,L194=0),1,"")</f>
        <v/>
      </c>
      <c r="AP194" s="21" t="n">
        <f aca="false">MIN(IF(ISNUMBER(AK194),AK194,9000000000000000),IF(ISNUMBER(AL194),AL194,9000000000000000),IF(ISNUMBER(AM194),AM194,9000000000000000))</f>
        <v>9000000000000000</v>
      </c>
      <c r="AQ194" s="21" t="n">
        <f aca="false">MIN(IF(ISNUMBER(AG194),AG194,9000000000000000),IF(ISNUMBER(AH194),AH194,9000000000000000),IF(ISNUMBER(AI194),AI194,9000000000000000),IF(ISNUMBER(AJ194),AJ194,9000000000000000))</f>
        <v>37.4517507383159</v>
      </c>
      <c r="AR194" s="32" t="b">
        <f aca="false">IF(AW194&gt;Parameters!$B$21*(MAX(IF(AND(NOT(AND(AO194=1,AN194&lt;&gt;1)),ISNUMBER(AG194),AG194&lt;=T194),AS194,0),IF(AND(NOT(AND(AO194=1,AN194&lt;&gt;1)),ISNUMBER(AH194),AH194&lt;=T194),AT194,0),IF(AND(NOT(AND(AO194=1,AN194&lt;&gt;1)),ISNUMBER(AI194),AI194&lt;=T194),AU194,0),IF(AND(ISNUMBER(AJ194),AJ194&lt;=T194),AV194,0))),TRUE(),FALSE())</f>
        <v>1</v>
      </c>
      <c r="AS194" s="33" t="n">
        <f aca="false">IFERROR(Upgrades!$H$6*(POWER(Upgrades!$P$6,E194)*POWER(Upgrades!$P$7,F194)*POWER(Upgrades!$P$8,G194)*POWER(Upgrades!$P$9,H194)*POWER(Upgrades!$P$10,I194)*POWER(Upgrades!$P$11,J194)*POWER(Upgrades!$P$12,K194))*(IF(Upgrades!$T$7="Solar Wind",POWER(Upgrades!$U$7,F194),1)*IF(Upgrades!$T$8="Solar Wind",POWER(Upgrades!$U$8,G194),1)*IF(Upgrades!$T$9="Solar Wind",POWER(Upgrades!$U$9,H194),1)*IF(Upgrades!$T$10="Solar Wind",POWER(Upgrades!$U$10,I194),1)*IF(Upgrades!$T$11="Solar Wind",POWER(Upgrades!$U$11,J194),1)*IF(Upgrades!$T$12="Solar Wind",POWER(Upgrades!$U$12,K194),1))/AG194,0)</f>
        <v>0.0026701021455238</v>
      </c>
      <c r="AT194" s="33" t="n">
        <f aca="false">IFERROR(Upgrades!$H$7*(POWER(Upgrades!$P$6,E194)*POWER(Upgrades!$P$7,F194)*POWER(Upgrades!$P$8,G194)*POWER(Upgrades!$P$9,H194)*POWER(Upgrades!$P$10,I194)*POWER(Upgrades!$P$11,J194)*POWER(Upgrades!$P$12,K194))*(IF(Upgrades!$T$6="Asteroid Belt",POWER(Upgrades!$U$6,E194),1)*IF(Upgrades!$T$8="Asteroid Belt",POWER(Upgrades!$U$8,G194),1)*IF(Upgrades!$T$9="Asteroid Belt",POWER(Upgrades!$U$9,H194),1)*IF(Upgrades!$T$10="Asteroid Belt",POWER(Upgrades!$U$10,I194),1)*IF(Upgrades!$T$11="Asteroid Belt",POWER(Upgrades!$U$11,J194),1)*IF(Upgrades!$T$12="Asteroid Belt",POWER(Upgrades!$U$12,K194),1))/AH194,0)</f>
        <v>0.00308980882652332</v>
      </c>
      <c r="AU194" s="33" t="n">
        <f aca="false">IFERROR(Upgrades!$K$8*(POWER(Upgrades!$Q$6,E194)*POWER(Upgrades!$Q$7,F194)*POWER(Upgrades!$Q$8,G194)*POWER(Upgrades!$Q$9,H194)*POWER(Upgrades!$Q$10,I194)*POWER(Upgrades!$Q$11,J194)*POWER(Upgrades!$Q$12,K194))*(IF(Upgrades!$T$6="Stellar Coupling",POWER(Upgrades!$U$6,E194),1)*IF(Upgrades!$T$7="Stellar Coupling",POWER(Upgrades!$U$7,F194),1)*IF(Upgrades!$T$9="Stellar Coupling",POWER(Upgrades!$U$9,H194),1)*IF(Upgrades!$T$10="Stellar Coupling",POWER(Upgrades!$U$10,I194),1)*IF(Upgrades!$T$11="Stellar Coupling",POWER(Upgrades!$U$11,J194),1)*IF(Upgrades!$T$12="Stellar Coupling",POWER(Upgrades!$U$12,K194),1))*Parameters!$B$10*Parameters!$B$11/60/AI194,0)</f>
        <v>0.00452762415783776</v>
      </c>
      <c r="AV194" s="33" t="n">
        <f aca="false">IFERROR(Upgrades!$H$9*(POWER(Upgrades!$P$6,E194)*POWER(Upgrades!$P$7,F194)*POWER(Upgrades!$P$8,G194)*POWER(Upgrades!$P$9,H194)*POWER(Upgrades!$P$10,I194)*POWER(Upgrades!$P$11,J194)*POWER(Upgrades!$P$12,K194))*(IF(Upgrades!$T$6="Magnetosphere",POWER(Upgrades!$U$6,E194),1)*IF(Upgrades!$T$7="Magnetosphere",POWER(Upgrades!$U$7,F194),1)*IF(Upgrades!$T$8="Magnetosphere",POWER(Upgrades!$U$8,G194),1)*IF(Upgrades!$T$10="Magnetosphere",POWER(Upgrades!$U$10,I194),1)*IF(Upgrades!$T$11="Magnetosphere",POWER(Upgrades!$U$11,J194),1)*IF(Upgrades!$T$12="Magnetosphere",POWER(Upgrades!$U$12,K194),1))/AJ194,0)</f>
        <v>0</v>
      </c>
      <c r="AW194" s="33" t="n">
        <f aca="false">MAX(IF(I194&gt;0,0,IFERROR(0.25*N194/Upgrades!$C$10,0)),IF(J194&gt;0,0,IFERROR(0.5*((IF(G194=0,0,(Upgrades!$J$8+G194*Upgrades!$K$8)*POWER(Upgrades!$L$8,G194)))*(IF(Upgrades!$T$6="Stellar Coupling",POWER(Upgrades!$U$6,E194),1)*IF(Upgrades!$T$7="Stellar Coupling",POWER(Upgrades!$U$7,F194),1)*IF(Upgrades!$T$9="Stellar Coupling",POWER(Upgrades!$U$9,H194),1)*IF(Upgrades!$T$10="Stellar Coupling",POWER(Upgrades!$U$10,I194),1)*IF(Upgrades!$T$11="Stellar Coupling",POWER(Upgrades!$U$11,J194),1)*IF(Upgrades!$T$12="Stellar Coupling",POWER(Upgrades!$U$12,K194),1))*(POWER(Upgrades!$Q$6,E194)*POWER(Upgrades!$Q$7,F194)*POWER(Upgrades!$Q$8,G194)*POWER(Upgrades!$Q$9,H194)*POWER(Upgrades!$Q$10,I194)*POWER(Upgrades!$Q$11,J194)*POWER(Upgrades!$Q$12,K194))*Parameters!$B$10*Parameters!$B$11/60)/Upgrades!$C$11,0)),IF(K194&gt;0,0,IFERROR((1*(POWER(Upgrades!$P$6,E194)*POWER(Upgrades!$P$7,F194)*POWER(Upgrades!$P$8,G194)*POWER(Upgrades!$P$9,H194)*POWER(Upgrades!$P$10,I194)*POWER(Upgrades!$P$11,J194)*POWER(Upgrades!$P$12,K194))+0.2*M194*Parameters!$B$10*Parameters!$B$11/60)/Upgrades!$C$12,0)),IF(AND(ISNUMBER(AG194),AG194&gt;T194),AS194,0),IF(AND(ISNUMBER(AH194),AH194&gt;T194),AT194,0),IF(AND(ISNUMBER(AI194),AI194&gt;T194),AU194,0),IF(AND(ISNUMBER(AJ194),AJ194&gt;T194),AV194,0))</f>
        <v>0.00452762415783776</v>
      </c>
      <c r="AX194" s="29" t="str">
        <f aca="false">IF(AN194=1,"transition",IF(MIN(IF(AND(I194=0,ISNUMBER(AK194),AK194&lt;=T194),AK194,9000000000000000),IF(AND(J194=0,ISNUMBER(AL194),AL194&lt;=T194),AL194,9000000000000000),IF(AND(K194=0,ISNUMBER(AM194),AM194&lt;=T194),AM194,9000000000000000))&lt;9000000000000000,IF(AND(AND(I194=0,ISNUMBER(AK194),AK194&lt;=T194),AK194=MIN(IF(AND(I194=0,ISNUMBER(AK194),AK194&lt;=T194),AK194,9000000000000000),IF(AND(J194=0,ISNUMBER(AL194),AL194&lt;=T194),AL194,9000000000000000),IF(AND(K194=0,ISNUMBER(AM194),AM194&lt;=T194),AM194,9000000000000000))),"OR",IF(AND(AND(J194=0,ISNUMBER(AL194),AL194&lt;=T194),AL194=MIN(IF(AND(I194=0,ISNUMBER(AK194),AK194&lt;=T194),AK194,9000000000000000),IF(AND(J194=0,ISNUMBER(AL194),AL194&lt;=T194),AL194,9000000000000000),IF(AND(K194=0,ISNUMBER(AM194),AM194&lt;=T194),AM194,9000000000000000))),"HP","FP")),IF(AR194=TRUE(),"",IF(MAX(IF(AND(NOT(AND(AO194=1,AN194&lt;&gt;1)),ISNUMBER(AG194),AG194&lt;=T194),AS194,0),IF(AND(NOT(AND(AO194=1,AN194&lt;&gt;1)),ISNUMBER(AH194),AH194&lt;=T194),AT194,0),IF(AND(NOT(AND(AO194=1,AN194&lt;&gt;1)),ISNUMBER(AI194),AI194&lt;=T194),AU194,0),IF(AND(ISNUMBER(AJ194),AJ194&lt;=T194),AV194,0))&lt;=0,"",IF(AND(IF(AND(NOT(AND(AO194=1,AN194&lt;&gt;1)),ISNUMBER(AG194),AG194&lt;=T194),AS194,0)&gt;0,IF(AND(NOT(AND(AO194=1,AN194&lt;&gt;1)),ISNUMBER(AG194),AG194&lt;=T194),AS194,0)=MAX(IF(AND(NOT(AND(AO194=1,AN194&lt;&gt;1)),ISNUMBER(AG194),AG194&lt;=T194),AS194,0),IF(AND(NOT(AND(AO194=1,AN194&lt;&gt;1)),ISNUMBER(AH194),AH194&lt;=T194),AT194,0),IF(AND(NOT(AND(AO194=1,AN194&lt;&gt;1)),ISNUMBER(AI194),AI194&lt;=T194),AU194,0),IF(AND(ISNUMBER(AJ194),AJ194&lt;=T194),AV194,0))),"SW",IF(AND(IF(AND(NOT(AND(AO194=1,AN194&lt;&gt;1)),ISNUMBER(AH194),AH194&lt;=T194),AT194,0)&gt;0,IF(AND(NOT(AND(AO194=1,AN194&lt;&gt;1)),ISNUMBER(AH194),AH194&lt;=T194),AT194,0)=MAX(IF(AND(NOT(AND(AO194=1,AN194&lt;&gt;1)),ISNUMBER(AG194),AG194&lt;=T194),AS194,0),IF(AND(NOT(AND(AO194=1,AN194&lt;&gt;1)),ISNUMBER(AH194),AH194&lt;=T194),AT194,0),IF(AND(NOT(AND(AO194=1,AN194&lt;&gt;1)),ISNUMBER(AI194),AI194&lt;=T194),AU194,0),IF(AND(ISNUMBER(AJ194),AJ194&lt;=T194),AV194,0))),"AB",IF(AND(IF(AND(NOT(AND(AO194=1,AN194&lt;&gt;1)),ISNUMBER(AI194),AI194&lt;=T194),AU194,0)&gt;0,IF(AND(NOT(AND(AO194=1,AN194&lt;&gt;1)),ISNUMBER(AI194),AI194&lt;=T194),AU194,0)=MAX(IF(AND(NOT(AND(AO194=1,AN194&lt;&gt;1)),ISNUMBER(AG194),AG194&lt;=T194),AS194,0),IF(AND(NOT(AND(AO194=1,AN194&lt;&gt;1)),ISNUMBER(AH194),AH194&lt;=T194),AT194,0),IF(AND(NOT(AND(AO194=1,AN194&lt;&gt;1)),ISNUMBER(AI194),AI194&lt;=T194),AU194,0),IF(AND(ISNUMBER(AJ194),AJ194&lt;=T194),AV194,0))),"SC","Mag")))))))</f>
        <v/>
      </c>
    </row>
    <row r="195" customFormat="false" ht="15" hidden="false" customHeight="false" outlineLevel="0" collapsed="false">
      <c r="A195" s="26" t="n">
        <v>190</v>
      </c>
      <c r="B195" s="27" t="n">
        <f aca="false">A195*10/60</f>
        <v>31.6666666666667</v>
      </c>
      <c r="C195" s="21" t="n">
        <f aca="false">X194</f>
        <v>18.6730249835055</v>
      </c>
      <c r="D195" s="27" t="n">
        <f aca="false">D194+W194</f>
        <v>0</v>
      </c>
      <c r="E195" s="26" t="n">
        <f aca="false">E194+IF(U194="SW",1,0)</f>
        <v>12</v>
      </c>
      <c r="F195" s="26" t="n">
        <f aca="false">F194+IF(U194="AB",1,0)</f>
        <v>10</v>
      </c>
      <c r="G195" s="26" t="n">
        <f aca="false">G194+IF(U194="SC",1,0)</f>
        <v>7</v>
      </c>
      <c r="H195" s="26" t="n">
        <f aca="false">H194+IF(U194="Mag",1,0)</f>
        <v>5</v>
      </c>
      <c r="I195" s="26" t="n">
        <f aca="false">MAX(I194,IF(U194="OR",1,0))</f>
        <v>1</v>
      </c>
      <c r="J195" s="26" t="n">
        <f aca="false">MAX(J194,IF(U194="HP",1,0))</f>
        <v>1</v>
      </c>
      <c r="K195" s="26" t="n">
        <f aca="false">MAX(K194,IF(U194="FP",1,0))</f>
        <v>1</v>
      </c>
      <c r="L195" s="26" t="n">
        <f aca="false">MAX(L194,IF(U194="transition",1,0))</f>
        <v>1</v>
      </c>
      <c r="M195" s="28" t="n">
        <f aca="false">(Parameters!$B$9+(IF(E195=0,0,(Upgrades!$J$6+E195*Upgrades!$K$6)*POWER(Upgrades!$L$6,E195)))*(IF(Upgrades!$T$7="Solar Wind",POWER(Upgrades!$U$7,F195),1)*IF(Upgrades!$T$8="Solar Wind",POWER(Upgrades!$U$8,G195),1)*IF(Upgrades!$T$9="Solar Wind",POWER(Upgrades!$U$9,H195),1)*IF(Upgrades!$T$10="Solar Wind",POWER(Upgrades!$U$10,I195),1)*IF(Upgrades!$T$11="Solar Wind",POWER(Upgrades!$U$11,J195),1)*IF(Upgrades!$T$12="Solar Wind",POWER(Upgrades!$U$12,K195),1))+(IF(F195=0,0,(Upgrades!$J$7+F195*Upgrades!$K$7)*POWER(Upgrades!$L$7,F195)))*(IF(Upgrades!$T$6="Asteroid Belt",POWER(Upgrades!$U$6,E195),1)*IF(Upgrades!$T$8="Asteroid Belt",POWER(Upgrades!$U$8,G195),1)*IF(Upgrades!$T$9="Asteroid Belt",POWER(Upgrades!$U$9,H195),1)*IF(Upgrades!$T$10="Asteroid Belt",POWER(Upgrades!$U$10,I195),1)*IF(Upgrades!$T$11="Asteroid Belt",POWER(Upgrades!$U$11,J195),1)*IF(Upgrades!$T$12="Asteroid Belt",POWER(Upgrades!$U$12,K195),1))+(IF(G195=0,0,(Upgrades!$J$8+G195*Upgrades!$K$8)*POWER(Upgrades!$L$8,G195)))*(IF(Upgrades!$T$6="Stellar Coupling",POWER(Upgrades!$U$6,E195),1)*IF(Upgrades!$T$7="Stellar Coupling",POWER(Upgrades!$U$7,F195),1)*IF(Upgrades!$T$9="Stellar Coupling",POWER(Upgrades!$U$9,H195),1)*IF(Upgrades!$T$10="Stellar Coupling",POWER(Upgrades!$U$10,I195),1)*IF(Upgrades!$T$11="Stellar Coupling",POWER(Upgrades!$U$11,J195),1)*IF(Upgrades!$T$12="Stellar Coupling",POWER(Upgrades!$U$12,K195),1))+(IF(H195=0,0,(Upgrades!$J$9+H195*Upgrades!$K$9)*POWER(Upgrades!$L$9,H195)))*(IF(Upgrades!$T$6="Magnetosphere",POWER(Upgrades!$U$6,E195),1)*IF(Upgrades!$T$7="Magnetosphere",POWER(Upgrades!$U$7,F195),1)*IF(Upgrades!$T$8="Magnetosphere",POWER(Upgrades!$U$8,G195),1)*IF(Upgrades!$T$10="Magnetosphere",POWER(Upgrades!$U$10,I195),1)*IF(Upgrades!$T$11="Magnetosphere",POWER(Upgrades!$U$11,J195),1)*IF(Upgrades!$T$12="Magnetosphere",POWER(Upgrades!$U$12,K195),1))+(IF(I195=0,0,(Upgrades!$J$10+I195*Upgrades!$K$10)*POWER(Upgrades!$L$10,I195)))*(IF(Upgrades!$T$6="Orbital Resonance",POWER(Upgrades!$U$6,E195),1)*IF(Upgrades!$T$7="Orbital Resonance",POWER(Upgrades!$U$7,F195),1)*IF(Upgrades!$T$8="Orbital Resonance",POWER(Upgrades!$U$8,G195),1)*IF(Upgrades!$T$9="Orbital Resonance",POWER(Upgrades!$U$9,H195),1)*IF(Upgrades!$T$11="Orbital Resonance",POWER(Upgrades!$U$11,J195),1)*IF(Upgrades!$T$12="Orbital Resonance",POWER(Upgrades!$U$12,K195),1))+(IF(J195=0,0,(Upgrades!$J$11+J195*Upgrades!$K$11)*POWER(Upgrades!$L$11,J195)))*(IF(Upgrades!$T$6="Heliopause",POWER(Upgrades!$U$6,E195),1)*IF(Upgrades!$T$7="Heliopause",POWER(Upgrades!$U$7,F195),1)*IF(Upgrades!$T$8="Heliopause",POWER(Upgrades!$U$8,G195),1)*IF(Upgrades!$T$9="Heliopause",POWER(Upgrades!$U$9,H195),1)*IF(Upgrades!$T$10="Heliopause",POWER(Upgrades!$U$10,I195),1)*IF(Upgrades!$T$12="Heliopause",POWER(Upgrades!$U$12,K195),1))+(IF(K195=0,0,(Upgrades!$J$12+K195*Upgrades!$K$12)*POWER(Upgrades!$L$12,K195)))*(IF(Upgrades!$T$6="First Photons",POWER(Upgrades!$U$6,E195),1)*IF(Upgrades!$T$7="First Photons",POWER(Upgrades!$U$7,F195),1)*IF(Upgrades!$T$8="First Photons",POWER(Upgrades!$U$8,G195),1)*IF(Upgrades!$T$9="First Photons",POWER(Upgrades!$U$9,H195),1)*IF(Upgrades!$T$10="First Photons",POWER(Upgrades!$U$10,I195),1)*IF(Upgrades!$T$11="First Photons",POWER(Upgrades!$U$11,J195),1)))*POWER(Upgrades!$Q$6,E195)*POWER(Upgrades!$Q$7,F195)*POWER(Upgrades!$Q$8,G195)*POWER(Upgrades!$Q$9,H195)*POWER(Upgrades!$Q$10,I195)*POWER(Upgrades!$Q$11,J195)*POWER(Upgrades!$Q$12,K195)</f>
        <v>5.61</v>
      </c>
      <c r="N195" s="28" t="n">
        <f aca="false">((IF(E195=0,0,(Upgrades!$G$6+E195*Upgrades!$H$6)*POWER(Upgrades!$I$6,E195)))*(IF(Upgrades!$T$7="Solar Wind",POWER(Upgrades!$U$7,F195),1)*IF(Upgrades!$T$8="Solar Wind",POWER(Upgrades!$U$8,G195),1)*IF(Upgrades!$T$9="Solar Wind",POWER(Upgrades!$U$9,H195),1)*IF(Upgrades!$T$10="Solar Wind",POWER(Upgrades!$U$10,I195),1)*IF(Upgrades!$T$11="Solar Wind",POWER(Upgrades!$U$11,J195),1)*IF(Upgrades!$T$12="Solar Wind",POWER(Upgrades!$U$12,K195),1))+(IF(F195=0,0,(Upgrades!$G$7+F195*Upgrades!$H$7)*POWER(Upgrades!$I$7,F195)))*(IF(Upgrades!$T$6="Asteroid Belt",POWER(Upgrades!$U$6,E195),1)*IF(Upgrades!$T$8="Asteroid Belt",POWER(Upgrades!$U$8,G195),1)*IF(Upgrades!$T$9="Asteroid Belt",POWER(Upgrades!$U$9,H195),1)*IF(Upgrades!$T$10="Asteroid Belt",POWER(Upgrades!$U$10,I195),1)*IF(Upgrades!$T$11="Asteroid Belt",POWER(Upgrades!$U$11,J195),1)*IF(Upgrades!$T$12="Asteroid Belt",POWER(Upgrades!$U$12,K195),1))+(IF(G195=0,0,(Upgrades!$G$8+G195*Upgrades!$H$8)*POWER(Upgrades!$I$8,G195)))*(IF(Upgrades!$T$6="Stellar Coupling",POWER(Upgrades!$U$6,E195),1)*IF(Upgrades!$T$7="Stellar Coupling",POWER(Upgrades!$U$7,F195),1)*IF(Upgrades!$T$9="Stellar Coupling",POWER(Upgrades!$U$9,H195),1)*IF(Upgrades!$T$10="Stellar Coupling",POWER(Upgrades!$U$10,I195),1)*IF(Upgrades!$T$11="Stellar Coupling",POWER(Upgrades!$U$11,J195),1)*IF(Upgrades!$T$12="Stellar Coupling",POWER(Upgrades!$U$12,K195),1))+(IF(H195=0,0,(Upgrades!$G$9+H195*Upgrades!$H$9)*POWER(Upgrades!$I$9,H195)))*(IF(Upgrades!$T$6="Magnetosphere",POWER(Upgrades!$U$6,E195),1)*IF(Upgrades!$T$7="Magnetosphere",POWER(Upgrades!$U$7,F195),1)*IF(Upgrades!$T$8="Magnetosphere",POWER(Upgrades!$U$8,G195),1)*IF(Upgrades!$T$10="Magnetosphere",POWER(Upgrades!$U$10,I195),1)*IF(Upgrades!$T$11="Magnetosphere",POWER(Upgrades!$U$11,J195),1)*IF(Upgrades!$T$12="Magnetosphere",POWER(Upgrades!$U$12,K195),1))+(IF(I195=0,0,(Upgrades!$G$10+I195*Upgrades!$H$10)*POWER(Upgrades!$I$10,I195)))*(IF(Upgrades!$T$6="Orbital Resonance",POWER(Upgrades!$U$6,E195),1)*IF(Upgrades!$T$7="Orbital Resonance",POWER(Upgrades!$U$7,F195),1)*IF(Upgrades!$T$8="Orbital Resonance",POWER(Upgrades!$U$8,G195),1)*IF(Upgrades!$T$9="Orbital Resonance",POWER(Upgrades!$U$9,H195),1)*IF(Upgrades!$T$11="Orbital Resonance",POWER(Upgrades!$U$11,J195),1)*IF(Upgrades!$T$12="Orbital Resonance",POWER(Upgrades!$U$12,K195),1))+(IF(J195=0,0,(Upgrades!$G$11+J195*Upgrades!$H$11)*POWER(Upgrades!$I$11,J195)))*(IF(Upgrades!$T$6="Heliopause",POWER(Upgrades!$U$6,E195),1)*IF(Upgrades!$T$7="Heliopause",POWER(Upgrades!$U$7,F195),1)*IF(Upgrades!$T$8="Heliopause",POWER(Upgrades!$U$8,G195),1)*IF(Upgrades!$T$9="Heliopause",POWER(Upgrades!$U$9,H195),1)*IF(Upgrades!$T$10="Heliopause",POWER(Upgrades!$U$10,I195),1)*IF(Upgrades!$T$12="Heliopause",POWER(Upgrades!$U$12,K195),1))+(IF(K195=0,0,(Upgrades!$G$12+K195*Upgrades!$H$12)*POWER(Upgrades!$I$12,K195)))*(IF(Upgrades!$T$6="First Photons",POWER(Upgrades!$U$6,E195),1)*IF(Upgrades!$T$7="First Photons",POWER(Upgrades!$U$7,F195),1)*IF(Upgrades!$T$8="First Photons",POWER(Upgrades!$U$8,G195),1)*IF(Upgrades!$T$9="First Photons",POWER(Upgrades!$U$9,H195),1)*IF(Upgrades!$T$10="First Photons",POWER(Upgrades!$U$10,I195),1)*IF(Upgrades!$T$11="First Photons",POWER(Upgrades!$U$11,J195),1)))*POWER(Upgrades!$P$6,E195)*POWER(Upgrades!$P$7,F195)*POWER(Upgrades!$P$8,G195)*POWER(Upgrades!$P$9,H195)*POWER(Upgrades!$P$10,I195)*POWER(Upgrades!$P$11,J195)*POWER(Upgrades!$P$12,K195)</f>
        <v>11.2</v>
      </c>
      <c r="O195" s="28" t="n">
        <f aca="false">((IF(E195=0,0,(Upgrades!$M$6+E195*Upgrades!$N$6)*POWER(Upgrades!$O$6,E195)))*(IF(Upgrades!$T$7="Solar Wind",POWER(Upgrades!$U$7,F195),1)*IF(Upgrades!$T$8="Solar Wind",POWER(Upgrades!$U$8,G195),1)*IF(Upgrades!$T$9="Solar Wind",POWER(Upgrades!$U$9,H195),1)*IF(Upgrades!$T$10="Solar Wind",POWER(Upgrades!$U$10,I195),1)*IF(Upgrades!$T$11="Solar Wind",POWER(Upgrades!$U$11,J195),1)*IF(Upgrades!$T$12="Solar Wind",POWER(Upgrades!$U$12,K195),1))+(IF(F195=0,0,(Upgrades!$M$7+F195*Upgrades!$N$7)*POWER(Upgrades!$O$7,F195)))*(IF(Upgrades!$T$6="Asteroid Belt",POWER(Upgrades!$U$6,E195),1)*IF(Upgrades!$T$8="Asteroid Belt",POWER(Upgrades!$U$8,G195),1)*IF(Upgrades!$T$9="Asteroid Belt",POWER(Upgrades!$U$9,H195),1)*IF(Upgrades!$T$10="Asteroid Belt",POWER(Upgrades!$U$10,I195),1)*IF(Upgrades!$T$11="Asteroid Belt",POWER(Upgrades!$U$11,J195),1)*IF(Upgrades!$T$12="Asteroid Belt",POWER(Upgrades!$U$12,K195),1))+(IF(G195=0,0,(Upgrades!$M$8+G195*Upgrades!$N$8)*POWER(Upgrades!$O$8,G195)))*(IF(Upgrades!$T$6="Stellar Coupling",POWER(Upgrades!$U$6,E195),1)*IF(Upgrades!$T$7="Stellar Coupling",POWER(Upgrades!$U$7,F195),1)*IF(Upgrades!$T$9="Stellar Coupling",POWER(Upgrades!$U$9,H195),1)*IF(Upgrades!$T$10="Stellar Coupling",POWER(Upgrades!$U$10,I195),1)*IF(Upgrades!$T$11="Stellar Coupling",POWER(Upgrades!$U$11,J195),1)*IF(Upgrades!$T$12="Stellar Coupling",POWER(Upgrades!$U$12,K195),1))+(IF(H195=0,0,(Upgrades!$M$9+H195*Upgrades!$N$9)*POWER(Upgrades!$O$9,H195)))*(IF(Upgrades!$T$6="Magnetosphere",POWER(Upgrades!$U$6,E195),1)*IF(Upgrades!$T$7="Magnetosphere",POWER(Upgrades!$U$7,F195),1)*IF(Upgrades!$T$8="Magnetosphere",POWER(Upgrades!$U$8,G195),1)*IF(Upgrades!$T$10="Magnetosphere",POWER(Upgrades!$U$10,I195),1)*IF(Upgrades!$T$11="Magnetosphere",POWER(Upgrades!$U$11,J195),1)*IF(Upgrades!$T$12="Magnetosphere",POWER(Upgrades!$U$12,K195),1))+(IF(I195=0,0,(Upgrades!$M$10+I195*Upgrades!$N$10)*POWER(Upgrades!$O$10,I195)))*(IF(Upgrades!$T$6="Orbital Resonance",POWER(Upgrades!$U$6,E195),1)*IF(Upgrades!$T$7="Orbital Resonance",POWER(Upgrades!$U$7,F195),1)*IF(Upgrades!$T$8="Orbital Resonance",POWER(Upgrades!$U$8,G195),1)*IF(Upgrades!$T$9="Orbital Resonance",POWER(Upgrades!$U$9,H195),1)*IF(Upgrades!$T$11="Orbital Resonance",POWER(Upgrades!$U$11,J195),1)*IF(Upgrades!$T$12="Orbital Resonance",POWER(Upgrades!$U$12,K195),1))+(IF(J195=0,0,(Upgrades!$M$11+J195*Upgrades!$N$11)*POWER(Upgrades!$O$11,J195)))*(IF(Upgrades!$T$6="Heliopause",POWER(Upgrades!$U$6,E195),1)*IF(Upgrades!$T$7="Heliopause",POWER(Upgrades!$U$7,F195),1)*IF(Upgrades!$T$8="Heliopause",POWER(Upgrades!$U$8,G195),1)*IF(Upgrades!$T$9="Heliopause",POWER(Upgrades!$U$9,H195),1)*IF(Upgrades!$T$10="Heliopause",POWER(Upgrades!$U$10,I195),1)*IF(Upgrades!$T$12="Heliopause",POWER(Upgrades!$U$12,K195),1))+(IF(K195=0,0,(Upgrades!$M$12+K195*Upgrades!$N$12)*POWER(Upgrades!$O$12,K195)))*(IF(Upgrades!$T$6="First Photons",POWER(Upgrades!$U$6,E195),1)*IF(Upgrades!$T$7="First Photons",POWER(Upgrades!$U$7,F195),1)*IF(Upgrades!$T$8="First Photons",POWER(Upgrades!$U$8,G195),1)*IF(Upgrades!$T$9="First Photons",POWER(Upgrades!$U$9,H195),1)*IF(Upgrades!$T$10="First Photons",POWER(Upgrades!$U$10,I195),1)*IF(Upgrades!$T$11="First Photons",POWER(Upgrades!$U$11,J195),1)))*POWER(Upgrades!$R$6,E195)*POWER(Upgrades!$R$7,F195)*POWER(Upgrades!$R$8,G195)*POWER(Upgrades!$R$9,H195)*POWER(Upgrades!$R$10,I195)*POWER(Upgrades!$R$11,J195)*POWER(Upgrades!$R$12,K195)</f>
        <v>0</v>
      </c>
      <c r="P195" s="27" t="n">
        <f aca="false">IF(L195=1,0,M195*Parameters!$B$10/60*Parameters!$B$11*10)</f>
        <v>0</v>
      </c>
      <c r="Q195" s="27" t="n">
        <f aca="false">IF(L195=1,0,O195*M195*10)</f>
        <v>0</v>
      </c>
      <c r="R195" s="27" t="n">
        <f aca="false">IF(L195=1,0,N195*10)</f>
        <v>0</v>
      </c>
      <c r="S195" s="27" t="n">
        <f aca="false">P195+Q195+R195</f>
        <v>0</v>
      </c>
      <c r="T195" s="21" t="n">
        <f aca="false">C195+S195</f>
        <v>18.6730249835055</v>
      </c>
      <c r="U195" s="34" t="str">
        <f aca="false">AX195</f>
        <v/>
      </c>
      <c r="V195" s="21" t="n">
        <f aca="false">IF(U195="",0,IF(U195="transition",0,IF(U195="SW",AG195,IF(U195="AB",AH195,IF(U195="SC",AI195,IF(U195="Mag",AJ195,IF(U195="OR",AK195,IF(U195="HP",AL195,IF(U195="FP",AM195,0)))))))))</f>
        <v>0</v>
      </c>
      <c r="W195" s="27" t="n">
        <f aca="false">IF(U195="OR",Upgrades!$F$10,IF(U195="HP",Upgrades!$F$11,IF(U195="transition",-Parameters!$B$18,0)))</f>
        <v>0</v>
      </c>
      <c r="X195" s="21" t="n">
        <f aca="false">T195-V195</f>
        <v>18.6730249835055</v>
      </c>
      <c r="Y195" s="30" t="n">
        <f aca="false">M195*Parameters!$B$10/60*Parameters!$B$11+O195*M195+N195</f>
        <v>20.55</v>
      </c>
      <c r="Z195" s="35" t="str">
        <f aca="false">IF(U195="transition","→ Tier 2 (Stellar Neighborhood)",IF(U195="FP","First Photons — light begins, system quickens",IF(U195="HP","Heliopause acquired",IF(U195="OR","Orbital Resonance — passive multiplier active",IF(AND(AO195=1,L195=0,AN195&lt;&gt;1),"Cohesion ready (waiting on completionist upgrades)","")))))</f>
        <v/>
      </c>
      <c r="AA195" s="27" t="n">
        <f aca="false">(IF(E195=0,0,(Upgrades!$G$6+E195*Upgrades!$H$6)*POWER(Upgrades!$I$6,E195)))*(IF(Upgrades!$T$7="Solar Wind",POWER(Upgrades!$U$7,F195),1)*IF(Upgrades!$T$8="Solar Wind",POWER(Upgrades!$U$8,G195),1)*IF(Upgrades!$T$9="Solar Wind",POWER(Upgrades!$U$9,H195),1)*IF(Upgrades!$T$10="Solar Wind",POWER(Upgrades!$U$10,I195),1)*IF(Upgrades!$T$11="Solar Wind",POWER(Upgrades!$U$11,J195),1)*IF(Upgrades!$T$12="Solar Wind",POWER(Upgrades!$U$12,K195),1))*POWER(Upgrades!$P$6,E195)*POWER(Upgrades!$P$7,F195)*POWER(Upgrades!$P$8,G195)*POWER(Upgrades!$P$9,H195)*POWER(Upgrades!$P$10,I195)*POWER(Upgrades!$P$11,J195)*POWER(Upgrades!$P$12,K195)*60</f>
        <v>72</v>
      </c>
      <c r="AB195" s="27" t="n">
        <f aca="false">(IF(F195=0,0,(Upgrades!$G$7+F195*Upgrades!$H$7)*POWER(Upgrades!$I$7,F195)))*(IF(Upgrades!$T$6="Asteroid Belt",POWER(Upgrades!$U$6,E195),1)*IF(Upgrades!$T$8="Asteroid Belt",POWER(Upgrades!$U$8,G195),1)*IF(Upgrades!$T$9="Asteroid Belt",POWER(Upgrades!$U$9,H195),1)*IF(Upgrades!$T$10="Asteroid Belt",POWER(Upgrades!$U$10,I195),1)*IF(Upgrades!$T$11="Asteroid Belt",POWER(Upgrades!$U$11,J195),1)*IF(Upgrades!$T$12="Asteroid Belt",POWER(Upgrades!$U$12,K195),1))*POWER(Upgrades!$P$6,E195)*POWER(Upgrades!$P$7,F195)*POWER(Upgrades!$P$8,G195)*POWER(Upgrades!$P$9,H195)*POWER(Upgrades!$P$10,I195)*POWER(Upgrades!$P$11,J195)*POWER(Upgrades!$P$12,K195)*60</f>
        <v>150</v>
      </c>
      <c r="AC195" s="27" t="n">
        <f aca="false">(IF(G195=0,0,(Upgrades!$J$8+G195*Upgrades!$K$8)*POWER(Upgrades!$L$8,G195)))*(IF(Upgrades!$T$6="Stellar Coupling",POWER(Upgrades!$U$6,E195),1)*IF(Upgrades!$T$7="Stellar Coupling",POWER(Upgrades!$U$7,F195),1)*IF(Upgrades!$T$9="Stellar Coupling",POWER(Upgrades!$U$9,H195),1)*IF(Upgrades!$T$10="Stellar Coupling",POWER(Upgrades!$U$10,I195),1)*IF(Upgrades!$T$11="Stellar Coupling",POWER(Upgrades!$U$11,J195),1)*IF(Upgrades!$T$12="Stellar Coupling",POWER(Upgrades!$U$12,K195),1))*POWER(Upgrades!$Q$6,E195)*POWER(Upgrades!$Q$7,F195)*POWER(Upgrades!$Q$8,G195)*POWER(Upgrades!$Q$9,H195)*POWER(Upgrades!$Q$10,I195)*POWER(Upgrades!$Q$11,J195)*POWER(Upgrades!$Q$12,K195)*Parameters!$B$10*Parameters!$B$11</f>
        <v>441</v>
      </c>
      <c r="AD195" s="27" t="n">
        <f aca="false">(IF(H195=0,0,(Upgrades!$G$9+H195*Upgrades!$H$9)*POWER(Upgrades!$I$9,H195)))*(IF(Upgrades!$T$6="Magnetosphere",POWER(Upgrades!$U$6,E195),1)*IF(Upgrades!$T$7="Magnetosphere",POWER(Upgrades!$U$7,F195),1)*IF(Upgrades!$T$8="Magnetosphere",POWER(Upgrades!$U$8,G195),1)*IF(Upgrades!$T$10="Magnetosphere",POWER(Upgrades!$U$10,I195),1)*IF(Upgrades!$T$11="Magnetosphere",POWER(Upgrades!$U$11,J195),1)*IF(Upgrades!$T$12="Magnetosphere",POWER(Upgrades!$U$12,K195),1))*POWER(Upgrades!$P$6,E195)*POWER(Upgrades!$P$7,F195)*POWER(Upgrades!$P$8,G195)*POWER(Upgrades!$P$9,H195)*POWER(Upgrades!$P$10,I195)*POWER(Upgrades!$P$11,J195)*POWER(Upgrades!$P$12,K195)*60</f>
        <v>375</v>
      </c>
      <c r="AE195" s="27" t="n">
        <f aca="false">(IF(K195=0,0,(Upgrades!$G$12+K195*Upgrades!$H$12)*POWER(Upgrades!$I$12,K195)))*(IF(Upgrades!$T$6="First Photons",POWER(Upgrades!$U$6,E195),1)*IF(Upgrades!$T$7="First Photons",POWER(Upgrades!$U$7,F195),1)*IF(Upgrades!$T$8="First Photons",POWER(Upgrades!$U$8,G195),1)*IF(Upgrades!$T$9="First Photons",POWER(Upgrades!$U$9,H195),1)*IF(Upgrades!$T$10="First Photons",POWER(Upgrades!$U$10,I195),1)*IF(Upgrades!$T$11="First Photons",POWER(Upgrades!$U$11,J195),1))*POWER(Upgrades!$P$6,E195)*POWER(Upgrades!$P$7,F195)*POWER(Upgrades!$P$8,G195)*POWER(Upgrades!$P$9,H195)*POWER(Upgrades!$P$10,I195)*POWER(Upgrades!$P$11,J195)*POWER(Upgrades!$P$12,K195)*60</f>
        <v>75</v>
      </c>
      <c r="AF195" s="27" t="n">
        <f aca="false">Parameters!$B$9*POWER(Upgrades!$Q$6,E195)*POWER(Upgrades!$Q$7,F195)*POWER(Upgrades!$Q$8,G195)*POWER(Upgrades!$Q$9,H195)*POWER(Upgrades!$Q$10,I195)*POWER(Upgrades!$Q$11,J195)*POWER(Upgrades!$Q$12,K195)*(Parameters!$B$10*Parameters!$B$11+O195*60)</f>
        <v>120</v>
      </c>
      <c r="AG195" s="21" t="n">
        <f aca="false">IF(E195&gt;=Upgrades!$E$6,"",Upgrades!$C$6*POWER(Upgrades!$D$6,E195))</f>
        <v>37.4517507383159</v>
      </c>
      <c r="AH195" s="21" t="n">
        <f aca="false">IF(F195&gt;=Upgrades!$E$7,"",Upgrades!$C$7*POWER(Upgrades!$D$7,F195))</f>
        <v>80.9111547141581</v>
      </c>
      <c r="AI195" s="21" t="n">
        <f aca="false">IF(G195&gt;=Upgrades!$E$8,"",Upgrades!$C$8*POWER(Upgrades!$D$8,G195))</f>
        <v>231.9097088</v>
      </c>
      <c r="AJ195" s="21" t="str">
        <f aca="false">IF(H195&gt;=Upgrades!$E$9,"",Upgrades!$C$9*POWER(Upgrades!$D$9,H195))</f>
        <v/>
      </c>
      <c r="AK195" s="21" t="str">
        <f aca="false">IF(I195&gt;=Upgrades!$E$10,"",Upgrades!$C$10*POWER(Upgrades!$D$10,I195))</f>
        <v/>
      </c>
      <c r="AL195" s="21" t="str">
        <f aca="false">IF(J195&gt;=Upgrades!$E$11,"",Upgrades!$C$11*POWER(Upgrades!$D$11,J195))</f>
        <v/>
      </c>
      <c r="AM195" s="21" t="str">
        <f aca="false">IF(K195&gt;=Upgrades!$E$12,"",Upgrades!$C$12*POWER(Upgrades!$D$12,K195))</f>
        <v/>
      </c>
      <c r="AN195" s="26" t="str">
        <f aca="false">IF(AND(D195&gt;=Parameters!$B$18,(H195&gt;=Upgrades!$E$9)*(K195&gt;=Upgrades!$E$12)=1,L195=0),1,"")</f>
        <v/>
      </c>
      <c r="AO195" s="26" t="str">
        <f aca="false">IF(AND(D195&gt;=Parameters!$B$18,L195=0),1,"")</f>
        <v/>
      </c>
      <c r="AP195" s="21" t="n">
        <f aca="false">MIN(IF(ISNUMBER(AK195),AK195,9000000000000000),IF(ISNUMBER(AL195),AL195,9000000000000000),IF(ISNUMBER(AM195),AM195,9000000000000000))</f>
        <v>9000000000000000</v>
      </c>
      <c r="AQ195" s="21" t="n">
        <f aca="false">MIN(IF(ISNUMBER(AG195),AG195,9000000000000000),IF(ISNUMBER(AH195),AH195,9000000000000000),IF(ISNUMBER(AI195),AI195,9000000000000000),IF(ISNUMBER(AJ195),AJ195,9000000000000000))</f>
        <v>37.4517507383159</v>
      </c>
      <c r="AR195" s="32" t="b">
        <f aca="false">IF(AW195&gt;Parameters!$B$21*(MAX(IF(AND(NOT(AND(AO195=1,AN195&lt;&gt;1)),ISNUMBER(AG195),AG195&lt;=T195),AS195,0),IF(AND(NOT(AND(AO195=1,AN195&lt;&gt;1)),ISNUMBER(AH195),AH195&lt;=T195),AT195,0),IF(AND(NOT(AND(AO195=1,AN195&lt;&gt;1)),ISNUMBER(AI195),AI195&lt;=T195),AU195,0),IF(AND(ISNUMBER(AJ195),AJ195&lt;=T195),AV195,0))),TRUE(),FALSE())</f>
        <v>1</v>
      </c>
      <c r="AS195" s="33" t="n">
        <f aca="false">IFERROR(Upgrades!$H$6*(POWER(Upgrades!$P$6,E195)*POWER(Upgrades!$P$7,F195)*POWER(Upgrades!$P$8,G195)*POWER(Upgrades!$P$9,H195)*POWER(Upgrades!$P$10,I195)*POWER(Upgrades!$P$11,J195)*POWER(Upgrades!$P$12,K195))*(IF(Upgrades!$T$7="Solar Wind",POWER(Upgrades!$U$7,F195),1)*IF(Upgrades!$T$8="Solar Wind",POWER(Upgrades!$U$8,G195),1)*IF(Upgrades!$T$9="Solar Wind",POWER(Upgrades!$U$9,H195),1)*IF(Upgrades!$T$10="Solar Wind",POWER(Upgrades!$U$10,I195),1)*IF(Upgrades!$T$11="Solar Wind",POWER(Upgrades!$U$11,J195),1)*IF(Upgrades!$T$12="Solar Wind",POWER(Upgrades!$U$12,K195),1))/AG195,0)</f>
        <v>0.0026701021455238</v>
      </c>
      <c r="AT195" s="33" t="n">
        <f aca="false">IFERROR(Upgrades!$H$7*(POWER(Upgrades!$P$6,E195)*POWER(Upgrades!$P$7,F195)*POWER(Upgrades!$P$8,G195)*POWER(Upgrades!$P$9,H195)*POWER(Upgrades!$P$10,I195)*POWER(Upgrades!$P$11,J195)*POWER(Upgrades!$P$12,K195))*(IF(Upgrades!$T$6="Asteroid Belt",POWER(Upgrades!$U$6,E195),1)*IF(Upgrades!$T$8="Asteroid Belt",POWER(Upgrades!$U$8,G195),1)*IF(Upgrades!$T$9="Asteroid Belt",POWER(Upgrades!$U$9,H195),1)*IF(Upgrades!$T$10="Asteroid Belt",POWER(Upgrades!$U$10,I195),1)*IF(Upgrades!$T$11="Asteroid Belt",POWER(Upgrades!$U$11,J195),1)*IF(Upgrades!$T$12="Asteroid Belt",POWER(Upgrades!$U$12,K195),1))/AH195,0)</f>
        <v>0.00308980882652332</v>
      </c>
      <c r="AU195" s="33" t="n">
        <f aca="false">IFERROR(Upgrades!$K$8*(POWER(Upgrades!$Q$6,E195)*POWER(Upgrades!$Q$7,F195)*POWER(Upgrades!$Q$8,G195)*POWER(Upgrades!$Q$9,H195)*POWER(Upgrades!$Q$10,I195)*POWER(Upgrades!$Q$11,J195)*POWER(Upgrades!$Q$12,K195))*(IF(Upgrades!$T$6="Stellar Coupling",POWER(Upgrades!$U$6,E195),1)*IF(Upgrades!$T$7="Stellar Coupling",POWER(Upgrades!$U$7,F195),1)*IF(Upgrades!$T$9="Stellar Coupling",POWER(Upgrades!$U$9,H195),1)*IF(Upgrades!$T$10="Stellar Coupling",POWER(Upgrades!$U$10,I195),1)*IF(Upgrades!$T$11="Stellar Coupling",POWER(Upgrades!$U$11,J195),1)*IF(Upgrades!$T$12="Stellar Coupling",POWER(Upgrades!$U$12,K195),1))*Parameters!$B$10*Parameters!$B$11/60/AI195,0)</f>
        <v>0.00452762415783776</v>
      </c>
      <c r="AV195" s="33" t="n">
        <f aca="false">IFERROR(Upgrades!$H$9*(POWER(Upgrades!$P$6,E195)*POWER(Upgrades!$P$7,F195)*POWER(Upgrades!$P$8,G195)*POWER(Upgrades!$P$9,H195)*POWER(Upgrades!$P$10,I195)*POWER(Upgrades!$P$11,J195)*POWER(Upgrades!$P$12,K195))*(IF(Upgrades!$T$6="Magnetosphere",POWER(Upgrades!$U$6,E195),1)*IF(Upgrades!$T$7="Magnetosphere",POWER(Upgrades!$U$7,F195),1)*IF(Upgrades!$T$8="Magnetosphere",POWER(Upgrades!$U$8,G195),1)*IF(Upgrades!$T$10="Magnetosphere",POWER(Upgrades!$U$10,I195),1)*IF(Upgrades!$T$11="Magnetosphere",POWER(Upgrades!$U$11,J195),1)*IF(Upgrades!$T$12="Magnetosphere",POWER(Upgrades!$U$12,K195),1))/AJ195,0)</f>
        <v>0</v>
      </c>
      <c r="AW195" s="33" t="n">
        <f aca="false">MAX(IF(I195&gt;0,0,IFERROR(0.25*N195/Upgrades!$C$10,0)),IF(J195&gt;0,0,IFERROR(0.5*((IF(G195=0,0,(Upgrades!$J$8+G195*Upgrades!$K$8)*POWER(Upgrades!$L$8,G195)))*(IF(Upgrades!$T$6="Stellar Coupling",POWER(Upgrades!$U$6,E195),1)*IF(Upgrades!$T$7="Stellar Coupling",POWER(Upgrades!$U$7,F195),1)*IF(Upgrades!$T$9="Stellar Coupling",POWER(Upgrades!$U$9,H195),1)*IF(Upgrades!$T$10="Stellar Coupling",POWER(Upgrades!$U$10,I195),1)*IF(Upgrades!$T$11="Stellar Coupling",POWER(Upgrades!$U$11,J195),1)*IF(Upgrades!$T$12="Stellar Coupling",POWER(Upgrades!$U$12,K195),1))*(POWER(Upgrades!$Q$6,E195)*POWER(Upgrades!$Q$7,F195)*POWER(Upgrades!$Q$8,G195)*POWER(Upgrades!$Q$9,H195)*POWER(Upgrades!$Q$10,I195)*POWER(Upgrades!$Q$11,J195)*POWER(Upgrades!$Q$12,K195))*Parameters!$B$10*Parameters!$B$11/60)/Upgrades!$C$11,0)),IF(K195&gt;0,0,IFERROR((1*(POWER(Upgrades!$P$6,E195)*POWER(Upgrades!$P$7,F195)*POWER(Upgrades!$P$8,G195)*POWER(Upgrades!$P$9,H195)*POWER(Upgrades!$P$10,I195)*POWER(Upgrades!$P$11,J195)*POWER(Upgrades!$P$12,K195))+0.2*M195*Parameters!$B$10*Parameters!$B$11/60)/Upgrades!$C$12,0)),IF(AND(ISNUMBER(AG195),AG195&gt;T195),AS195,0),IF(AND(ISNUMBER(AH195),AH195&gt;T195),AT195,0),IF(AND(ISNUMBER(AI195),AI195&gt;T195),AU195,0),IF(AND(ISNUMBER(AJ195),AJ195&gt;T195),AV195,0))</f>
        <v>0.00452762415783776</v>
      </c>
      <c r="AX195" s="29" t="str">
        <f aca="false">IF(AN195=1,"transition",IF(MIN(IF(AND(I195=0,ISNUMBER(AK195),AK195&lt;=T195),AK195,9000000000000000),IF(AND(J195=0,ISNUMBER(AL195),AL195&lt;=T195),AL195,9000000000000000),IF(AND(K195=0,ISNUMBER(AM195),AM195&lt;=T195),AM195,9000000000000000))&lt;9000000000000000,IF(AND(AND(I195=0,ISNUMBER(AK195),AK195&lt;=T195),AK195=MIN(IF(AND(I195=0,ISNUMBER(AK195),AK195&lt;=T195),AK195,9000000000000000),IF(AND(J195=0,ISNUMBER(AL195),AL195&lt;=T195),AL195,9000000000000000),IF(AND(K195=0,ISNUMBER(AM195),AM195&lt;=T195),AM195,9000000000000000))),"OR",IF(AND(AND(J195=0,ISNUMBER(AL195),AL195&lt;=T195),AL195=MIN(IF(AND(I195=0,ISNUMBER(AK195),AK195&lt;=T195),AK195,9000000000000000),IF(AND(J195=0,ISNUMBER(AL195),AL195&lt;=T195),AL195,9000000000000000),IF(AND(K195=0,ISNUMBER(AM195),AM195&lt;=T195),AM195,9000000000000000))),"HP","FP")),IF(AR195=TRUE(),"",IF(MAX(IF(AND(NOT(AND(AO195=1,AN195&lt;&gt;1)),ISNUMBER(AG195),AG195&lt;=T195),AS195,0),IF(AND(NOT(AND(AO195=1,AN195&lt;&gt;1)),ISNUMBER(AH195),AH195&lt;=T195),AT195,0),IF(AND(NOT(AND(AO195=1,AN195&lt;&gt;1)),ISNUMBER(AI195),AI195&lt;=T195),AU195,0),IF(AND(ISNUMBER(AJ195),AJ195&lt;=T195),AV195,0))&lt;=0,"",IF(AND(IF(AND(NOT(AND(AO195=1,AN195&lt;&gt;1)),ISNUMBER(AG195),AG195&lt;=T195),AS195,0)&gt;0,IF(AND(NOT(AND(AO195=1,AN195&lt;&gt;1)),ISNUMBER(AG195),AG195&lt;=T195),AS195,0)=MAX(IF(AND(NOT(AND(AO195=1,AN195&lt;&gt;1)),ISNUMBER(AG195),AG195&lt;=T195),AS195,0),IF(AND(NOT(AND(AO195=1,AN195&lt;&gt;1)),ISNUMBER(AH195),AH195&lt;=T195),AT195,0),IF(AND(NOT(AND(AO195=1,AN195&lt;&gt;1)),ISNUMBER(AI195),AI195&lt;=T195),AU195,0),IF(AND(ISNUMBER(AJ195),AJ195&lt;=T195),AV195,0))),"SW",IF(AND(IF(AND(NOT(AND(AO195=1,AN195&lt;&gt;1)),ISNUMBER(AH195),AH195&lt;=T195),AT195,0)&gt;0,IF(AND(NOT(AND(AO195=1,AN195&lt;&gt;1)),ISNUMBER(AH195),AH195&lt;=T195),AT195,0)=MAX(IF(AND(NOT(AND(AO195=1,AN195&lt;&gt;1)),ISNUMBER(AG195),AG195&lt;=T195),AS195,0),IF(AND(NOT(AND(AO195=1,AN195&lt;&gt;1)),ISNUMBER(AH195),AH195&lt;=T195),AT195,0),IF(AND(NOT(AND(AO195=1,AN195&lt;&gt;1)),ISNUMBER(AI195),AI195&lt;=T195),AU195,0),IF(AND(ISNUMBER(AJ195),AJ195&lt;=T195),AV195,0))),"AB",IF(AND(IF(AND(NOT(AND(AO195=1,AN195&lt;&gt;1)),ISNUMBER(AI195),AI195&lt;=T195),AU195,0)&gt;0,IF(AND(NOT(AND(AO195=1,AN195&lt;&gt;1)),ISNUMBER(AI195),AI195&lt;=T195),AU195,0)=MAX(IF(AND(NOT(AND(AO195=1,AN195&lt;&gt;1)),ISNUMBER(AG195),AG195&lt;=T195),AS195,0),IF(AND(NOT(AND(AO195=1,AN195&lt;&gt;1)),ISNUMBER(AH195),AH195&lt;=T195),AT195,0),IF(AND(NOT(AND(AO195=1,AN195&lt;&gt;1)),ISNUMBER(AI195),AI195&lt;=T195),AU195,0),IF(AND(ISNUMBER(AJ195),AJ195&lt;=T195),AV195,0))),"SC","Mag")))))))</f>
        <v/>
      </c>
    </row>
    <row r="196" customFormat="false" ht="15" hidden="false" customHeight="false" outlineLevel="0" collapsed="false">
      <c r="A196" s="26" t="n">
        <v>191</v>
      </c>
      <c r="B196" s="27" t="n">
        <f aca="false">A196*10/60</f>
        <v>31.8333333333333</v>
      </c>
      <c r="C196" s="21" t="n">
        <f aca="false">X195</f>
        <v>18.6730249835055</v>
      </c>
      <c r="D196" s="27" t="n">
        <f aca="false">D195+W195</f>
        <v>0</v>
      </c>
      <c r="E196" s="26" t="n">
        <f aca="false">E195+IF(U195="SW",1,0)</f>
        <v>12</v>
      </c>
      <c r="F196" s="26" t="n">
        <f aca="false">F195+IF(U195="AB",1,0)</f>
        <v>10</v>
      </c>
      <c r="G196" s="26" t="n">
        <f aca="false">G195+IF(U195="SC",1,0)</f>
        <v>7</v>
      </c>
      <c r="H196" s="26" t="n">
        <f aca="false">H195+IF(U195="Mag",1,0)</f>
        <v>5</v>
      </c>
      <c r="I196" s="26" t="n">
        <f aca="false">MAX(I195,IF(U195="OR",1,0))</f>
        <v>1</v>
      </c>
      <c r="J196" s="26" t="n">
        <f aca="false">MAX(J195,IF(U195="HP",1,0))</f>
        <v>1</v>
      </c>
      <c r="K196" s="26" t="n">
        <f aca="false">MAX(K195,IF(U195="FP",1,0))</f>
        <v>1</v>
      </c>
      <c r="L196" s="26" t="n">
        <f aca="false">MAX(L195,IF(U195="transition",1,0))</f>
        <v>1</v>
      </c>
      <c r="M196" s="28" t="n">
        <f aca="false">(Parameters!$B$9+(IF(E196=0,0,(Upgrades!$J$6+E196*Upgrades!$K$6)*POWER(Upgrades!$L$6,E196)))*(IF(Upgrades!$T$7="Solar Wind",POWER(Upgrades!$U$7,F196),1)*IF(Upgrades!$T$8="Solar Wind",POWER(Upgrades!$U$8,G196),1)*IF(Upgrades!$T$9="Solar Wind",POWER(Upgrades!$U$9,H196),1)*IF(Upgrades!$T$10="Solar Wind",POWER(Upgrades!$U$10,I196),1)*IF(Upgrades!$T$11="Solar Wind",POWER(Upgrades!$U$11,J196),1)*IF(Upgrades!$T$12="Solar Wind",POWER(Upgrades!$U$12,K196),1))+(IF(F196=0,0,(Upgrades!$J$7+F196*Upgrades!$K$7)*POWER(Upgrades!$L$7,F196)))*(IF(Upgrades!$T$6="Asteroid Belt",POWER(Upgrades!$U$6,E196),1)*IF(Upgrades!$T$8="Asteroid Belt",POWER(Upgrades!$U$8,G196),1)*IF(Upgrades!$T$9="Asteroid Belt",POWER(Upgrades!$U$9,H196),1)*IF(Upgrades!$T$10="Asteroid Belt",POWER(Upgrades!$U$10,I196),1)*IF(Upgrades!$T$11="Asteroid Belt",POWER(Upgrades!$U$11,J196),1)*IF(Upgrades!$T$12="Asteroid Belt",POWER(Upgrades!$U$12,K196),1))+(IF(G196=0,0,(Upgrades!$J$8+G196*Upgrades!$K$8)*POWER(Upgrades!$L$8,G196)))*(IF(Upgrades!$T$6="Stellar Coupling",POWER(Upgrades!$U$6,E196),1)*IF(Upgrades!$T$7="Stellar Coupling",POWER(Upgrades!$U$7,F196),1)*IF(Upgrades!$T$9="Stellar Coupling",POWER(Upgrades!$U$9,H196),1)*IF(Upgrades!$T$10="Stellar Coupling",POWER(Upgrades!$U$10,I196),1)*IF(Upgrades!$T$11="Stellar Coupling",POWER(Upgrades!$U$11,J196),1)*IF(Upgrades!$T$12="Stellar Coupling",POWER(Upgrades!$U$12,K196),1))+(IF(H196=0,0,(Upgrades!$J$9+H196*Upgrades!$K$9)*POWER(Upgrades!$L$9,H196)))*(IF(Upgrades!$T$6="Magnetosphere",POWER(Upgrades!$U$6,E196),1)*IF(Upgrades!$T$7="Magnetosphere",POWER(Upgrades!$U$7,F196),1)*IF(Upgrades!$T$8="Magnetosphere",POWER(Upgrades!$U$8,G196),1)*IF(Upgrades!$T$10="Magnetosphere",POWER(Upgrades!$U$10,I196),1)*IF(Upgrades!$T$11="Magnetosphere",POWER(Upgrades!$U$11,J196),1)*IF(Upgrades!$T$12="Magnetosphere",POWER(Upgrades!$U$12,K196),1))+(IF(I196=0,0,(Upgrades!$J$10+I196*Upgrades!$K$10)*POWER(Upgrades!$L$10,I196)))*(IF(Upgrades!$T$6="Orbital Resonance",POWER(Upgrades!$U$6,E196),1)*IF(Upgrades!$T$7="Orbital Resonance",POWER(Upgrades!$U$7,F196),1)*IF(Upgrades!$T$8="Orbital Resonance",POWER(Upgrades!$U$8,G196),1)*IF(Upgrades!$T$9="Orbital Resonance",POWER(Upgrades!$U$9,H196),1)*IF(Upgrades!$T$11="Orbital Resonance",POWER(Upgrades!$U$11,J196),1)*IF(Upgrades!$T$12="Orbital Resonance",POWER(Upgrades!$U$12,K196),1))+(IF(J196=0,0,(Upgrades!$J$11+J196*Upgrades!$K$11)*POWER(Upgrades!$L$11,J196)))*(IF(Upgrades!$T$6="Heliopause",POWER(Upgrades!$U$6,E196),1)*IF(Upgrades!$T$7="Heliopause",POWER(Upgrades!$U$7,F196),1)*IF(Upgrades!$T$8="Heliopause",POWER(Upgrades!$U$8,G196),1)*IF(Upgrades!$T$9="Heliopause",POWER(Upgrades!$U$9,H196),1)*IF(Upgrades!$T$10="Heliopause",POWER(Upgrades!$U$10,I196),1)*IF(Upgrades!$T$12="Heliopause",POWER(Upgrades!$U$12,K196),1))+(IF(K196=0,0,(Upgrades!$J$12+K196*Upgrades!$K$12)*POWER(Upgrades!$L$12,K196)))*(IF(Upgrades!$T$6="First Photons",POWER(Upgrades!$U$6,E196),1)*IF(Upgrades!$T$7="First Photons",POWER(Upgrades!$U$7,F196),1)*IF(Upgrades!$T$8="First Photons",POWER(Upgrades!$U$8,G196),1)*IF(Upgrades!$T$9="First Photons",POWER(Upgrades!$U$9,H196),1)*IF(Upgrades!$T$10="First Photons",POWER(Upgrades!$U$10,I196),1)*IF(Upgrades!$T$11="First Photons",POWER(Upgrades!$U$11,J196),1)))*POWER(Upgrades!$Q$6,E196)*POWER(Upgrades!$Q$7,F196)*POWER(Upgrades!$Q$8,G196)*POWER(Upgrades!$Q$9,H196)*POWER(Upgrades!$Q$10,I196)*POWER(Upgrades!$Q$11,J196)*POWER(Upgrades!$Q$12,K196)</f>
        <v>5.61</v>
      </c>
      <c r="N196" s="28" t="n">
        <f aca="false">((IF(E196=0,0,(Upgrades!$G$6+E196*Upgrades!$H$6)*POWER(Upgrades!$I$6,E196)))*(IF(Upgrades!$T$7="Solar Wind",POWER(Upgrades!$U$7,F196),1)*IF(Upgrades!$T$8="Solar Wind",POWER(Upgrades!$U$8,G196),1)*IF(Upgrades!$T$9="Solar Wind",POWER(Upgrades!$U$9,H196),1)*IF(Upgrades!$T$10="Solar Wind",POWER(Upgrades!$U$10,I196),1)*IF(Upgrades!$T$11="Solar Wind",POWER(Upgrades!$U$11,J196),1)*IF(Upgrades!$T$12="Solar Wind",POWER(Upgrades!$U$12,K196),1))+(IF(F196=0,0,(Upgrades!$G$7+F196*Upgrades!$H$7)*POWER(Upgrades!$I$7,F196)))*(IF(Upgrades!$T$6="Asteroid Belt",POWER(Upgrades!$U$6,E196),1)*IF(Upgrades!$T$8="Asteroid Belt",POWER(Upgrades!$U$8,G196),1)*IF(Upgrades!$T$9="Asteroid Belt",POWER(Upgrades!$U$9,H196),1)*IF(Upgrades!$T$10="Asteroid Belt",POWER(Upgrades!$U$10,I196),1)*IF(Upgrades!$T$11="Asteroid Belt",POWER(Upgrades!$U$11,J196),1)*IF(Upgrades!$T$12="Asteroid Belt",POWER(Upgrades!$U$12,K196),1))+(IF(G196=0,0,(Upgrades!$G$8+G196*Upgrades!$H$8)*POWER(Upgrades!$I$8,G196)))*(IF(Upgrades!$T$6="Stellar Coupling",POWER(Upgrades!$U$6,E196),1)*IF(Upgrades!$T$7="Stellar Coupling",POWER(Upgrades!$U$7,F196),1)*IF(Upgrades!$T$9="Stellar Coupling",POWER(Upgrades!$U$9,H196),1)*IF(Upgrades!$T$10="Stellar Coupling",POWER(Upgrades!$U$10,I196),1)*IF(Upgrades!$T$11="Stellar Coupling",POWER(Upgrades!$U$11,J196),1)*IF(Upgrades!$T$12="Stellar Coupling",POWER(Upgrades!$U$12,K196),1))+(IF(H196=0,0,(Upgrades!$G$9+H196*Upgrades!$H$9)*POWER(Upgrades!$I$9,H196)))*(IF(Upgrades!$T$6="Magnetosphere",POWER(Upgrades!$U$6,E196),1)*IF(Upgrades!$T$7="Magnetosphere",POWER(Upgrades!$U$7,F196),1)*IF(Upgrades!$T$8="Magnetosphere",POWER(Upgrades!$U$8,G196),1)*IF(Upgrades!$T$10="Magnetosphere",POWER(Upgrades!$U$10,I196),1)*IF(Upgrades!$T$11="Magnetosphere",POWER(Upgrades!$U$11,J196),1)*IF(Upgrades!$T$12="Magnetosphere",POWER(Upgrades!$U$12,K196),1))+(IF(I196=0,0,(Upgrades!$G$10+I196*Upgrades!$H$10)*POWER(Upgrades!$I$10,I196)))*(IF(Upgrades!$T$6="Orbital Resonance",POWER(Upgrades!$U$6,E196),1)*IF(Upgrades!$T$7="Orbital Resonance",POWER(Upgrades!$U$7,F196),1)*IF(Upgrades!$T$8="Orbital Resonance",POWER(Upgrades!$U$8,G196),1)*IF(Upgrades!$T$9="Orbital Resonance",POWER(Upgrades!$U$9,H196),1)*IF(Upgrades!$T$11="Orbital Resonance",POWER(Upgrades!$U$11,J196),1)*IF(Upgrades!$T$12="Orbital Resonance",POWER(Upgrades!$U$12,K196),1))+(IF(J196=0,0,(Upgrades!$G$11+J196*Upgrades!$H$11)*POWER(Upgrades!$I$11,J196)))*(IF(Upgrades!$T$6="Heliopause",POWER(Upgrades!$U$6,E196),1)*IF(Upgrades!$T$7="Heliopause",POWER(Upgrades!$U$7,F196),1)*IF(Upgrades!$T$8="Heliopause",POWER(Upgrades!$U$8,G196),1)*IF(Upgrades!$T$9="Heliopause",POWER(Upgrades!$U$9,H196),1)*IF(Upgrades!$T$10="Heliopause",POWER(Upgrades!$U$10,I196),1)*IF(Upgrades!$T$12="Heliopause",POWER(Upgrades!$U$12,K196),1))+(IF(K196=0,0,(Upgrades!$G$12+K196*Upgrades!$H$12)*POWER(Upgrades!$I$12,K196)))*(IF(Upgrades!$T$6="First Photons",POWER(Upgrades!$U$6,E196),1)*IF(Upgrades!$T$7="First Photons",POWER(Upgrades!$U$7,F196),1)*IF(Upgrades!$T$8="First Photons",POWER(Upgrades!$U$8,G196),1)*IF(Upgrades!$T$9="First Photons",POWER(Upgrades!$U$9,H196),1)*IF(Upgrades!$T$10="First Photons",POWER(Upgrades!$U$10,I196),1)*IF(Upgrades!$T$11="First Photons",POWER(Upgrades!$U$11,J196),1)))*POWER(Upgrades!$P$6,E196)*POWER(Upgrades!$P$7,F196)*POWER(Upgrades!$P$8,G196)*POWER(Upgrades!$P$9,H196)*POWER(Upgrades!$P$10,I196)*POWER(Upgrades!$P$11,J196)*POWER(Upgrades!$P$12,K196)</f>
        <v>11.2</v>
      </c>
      <c r="O196" s="28" t="n">
        <f aca="false">((IF(E196=0,0,(Upgrades!$M$6+E196*Upgrades!$N$6)*POWER(Upgrades!$O$6,E196)))*(IF(Upgrades!$T$7="Solar Wind",POWER(Upgrades!$U$7,F196),1)*IF(Upgrades!$T$8="Solar Wind",POWER(Upgrades!$U$8,G196),1)*IF(Upgrades!$T$9="Solar Wind",POWER(Upgrades!$U$9,H196),1)*IF(Upgrades!$T$10="Solar Wind",POWER(Upgrades!$U$10,I196),1)*IF(Upgrades!$T$11="Solar Wind",POWER(Upgrades!$U$11,J196),1)*IF(Upgrades!$T$12="Solar Wind",POWER(Upgrades!$U$12,K196),1))+(IF(F196=0,0,(Upgrades!$M$7+F196*Upgrades!$N$7)*POWER(Upgrades!$O$7,F196)))*(IF(Upgrades!$T$6="Asteroid Belt",POWER(Upgrades!$U$6,E196),1)*IF(Upgrades!$T$8="Asteroid Belt",POWER(Upgrades!$U$8,G196),1)*IF(Upgrades!$T$9="Asteroid Belt",POWER(Upgrades!$U$9,H196),1)*IF(Upgrades!$T$10="Asteroid Belt",POWER(Upgrades!$U$10,I196),1)*IF(Upgrades!$T$11="Asteroid Belt",POWER(Upgrades!$U$11,J196),1)*IF(Upgrades!$T$12="Asteroid Belt",POWER(Upgrades!$U$12,K196),1))+(IF(G196=0,0,(Upgrades!$M$8+G196*Upgrades!$N$8)*POWER(Upgrades!$O$8,G196)))*(IF(Upgrades!$T$6="Stellar Coupling",POWER(Upgrades!$U$6,E196),1)*IF(Upgrades!$T$7="Stellar Coupling",POWER(Upgrades!$U$7,F196),1)*IF(Upgrades!$T$9="Stellar Coupling",POWER(Upgrades!$U$9,H196),1)*IF(Upgrades!$T$10="Stellar Coupling",POWER(Upgrades!$U$10,I196),1)*IF(Upgrades!$T$11="Stellar Coupling",POWER(Upgrades!$U$11,J196),1)*IF(Upgrades!$T$12="Stellar Coupling",POWER(Upgrades!$U$12,K196),1))+(IF(H196=0,0,(Upgrades!$M$9+H196*Upgrades!$N$9)*POWER(Upgrades!$O$9,H196)))*(IF(Upgrades!$T$6="Magnetosphere",POWER(Upgrades!$U$6,E196),1)*IF(Upgrades!$T$7="Magnetosphere",POWER(Upgrades!$U$7,F196),1)*IF(Upgrades!$T$8="Magnetosphere",POWER(Upgrades!$U$8,G196),1)*IF(Upgrades!$T$10="Magnetosphere",POWER(Upgrades!$U$10,I196),1)*IF(Upgrades!$T$11="Magnetosphere",POWER(Upgrades!$U$11,J196),1)*IF(Upgrades!$T$12="Magnetosphere",POWER(Upgrades!$U$12,K196),1))+(IF(I196=0,0,(Upgrades!$M$10+I196*Upgrades!$N$10)*POWER(Upgrades!$O$10,I196)))*(IF(Upgrades!$T$6="Orbital Resonance",POWER(Upgrades!$U$6,E196),1)*IF(Upgrades!$T$7="Orbital Resonance",POWER(Upgrades!$U$7,F196),1)*IF(Upgrades!$T$8="Orbital Resonance",POWER(Upgrades!$U$8,G196),1)*IF(Upgrades!$T$9="Orbital Resonance",POWER(Upgrades!$U$9,H196),1)*IF(Upgrades!$T$11="Orbital Resonance",POWER(Upgrades!$U$11,J196),1)*IF(Upgrades!$T$12="Orbital Resonance",POWER(Upgrades!$U$12,K196),1))+(IF(J196=0,0,(Upgrades!$M$11+J196*Upgrades!$N$11)*POWER(Upgrades!$O$11,J196)))*(IF(Upgrades!$T$6="Heliopause",POWER(Upgrades!$U$6,E196),1)*IF(Upgrades!$T$7="Heliopause",POWER(Upgrades!$U$7,F196),1)*IF(Upgrades!$T$8="Heliopause",POWER(Upgrades!$U$8,G196),1)*IF(Upgrades!$T$9="Heliopause",POWER(Upgrades!$U$9,H196),1)*IF(Upgrades!$T$10="Heliopause",POWER(Upgrades!$U$10,I196),1)*IF(Upgrades!$T$12="Heliopause",POWER(Upgrades!$U$12,K196),1))+(IF(K196=0,0,(Upgrades!$M$12+K196*Upgrades!$N$12)*POWER(Upgrades!$O$12,K196)))*(IF(Upgrades!$T$6="First Photons",POWER(Upgrades!$U$6,E196),1)*IF(Upgrades!$T$7="First Photons",POWER(Upgrades!$U$7,F196),1)*IF(Upgrades!$T$8="First Photons",POWER(Upgrades!$U$8,G196),1)*IF(Upgrades!$T$9="First Photons",POWER(Upgrades!$U$9,H196),1)*IF(Upgrades!$T$10="First Photons",POWER(Upgrades!$U$10,I196),1)*IF(Upgrades!$T$11="First Photons",POWER(Upgrades!$U$11,J196),1)))*POWER(Upgrades!$R$6,E196)*POWER(Upgrades!$R$7,F196)*POWER(Upgrades!$R$8,G196)*POWER(Upgrades!$R$9,H196)*POWER(Upgrades!$R$10,I196)*POWER(Upgrades!$R$11,J196)*POWER(Upgrades!$R$12,K196)</f>
        <v>0</v>
      </c>
      <c r="P196" s="27" t="n">
        <f aca="false">IF(L196=1,0,M196*Parameters!$B$10/60*Parameters!$B$11*10)</f>
        <v>0</v>
      </c>
      <c r="Q196" s="27" t="n">
        <f aca="false">IF(L196=1,0,O196*M196*10)</f>
        <v>0</v>
      </c>
      <c r="R196" s="27" t="n">
        <f aca="false">IF(L196=1,0,N196*10)</f>
        <v>0</v>
      </c>
      <c r="S196" s="27" t="n">
        <f aca="false">P196+Q196+R196</f>
        <v>0</v>
      </c>
      <c r="T196" s="21" t="n">
        <f aca="false">C196+S196</f>
        <v>18.6730249835055</v>
      </c>
      <c r="U196" s="34" t="str">
        <f aca="false">AX196</f>
        <v/>
      </c>
      <c r="V196" s="21" t="n">
        <f aca="false">IF(U196="",0,IF(U196="transition",0,IF(U196="SW",AG196,IF(U196="AB",AH196,IF(U196="SC",AI196,IF(U196="Mag",AJ196,IF(U196="OR",AK196,IF(U196="HP",AL196,IF(U196="FP",AM196,0)))))))))</f>
        <v>0</v>
      </c>
      <c r="W196" s="27" t="n">
        <f aca="false">IF(U196="OR",Upgrades!$F$10,IF(U196="HP",Upgrades!$F$11,IF(U196="transition",-Parameters!$B$18,0)))</f>
        <v>0</v>
      </c>
      <c r="X196" s="21" t="n">
        <f aca="false">T196-V196</f>
        <v>18.6730249835055</v>
      </c>
      <c r="Y196" s="30" t="n">
        <f aca="false">M196*Parameters!$B$10/60*Parameters!$B$11+O196*M196+N196</f>
        <v>20.55</v>
      </c>
      <c r="Z196" s="35" t="str">
        <f aca="false">IF(U196="transition","→ Tier 2 (Stellar Neighborhood)",IF(U196="FP","First Photons — light begins, system quickens",IF(U196="HP","Heliopause acquired",IF(U196="OR","Orbital Resonance — passive multiplier active",IF(AND(AO196=1,L196=0,AN196&lt;&gt;1),"Cohesion ready (waiting on completionist upgrades)","")))))</f>
        <v/>
      </c>
      <c r="AA196" s="27" t="n">
        <f aca="false">(IF(E196=0,0,(Upgrades!$G$6+E196*Upgrades!$H$6)*POWER(Upgrades!$I$6,E196)))*(IF(Upgrades!$T$7="Solar Wind",POWER(Upgrades!$U$7,F196),1)*IF(Upgrades!$T$8="Solar Wind",POWER(Upgrades!$U$8,G196),1)*IF(Upgrades!$T$9="Solar Wind",POWER(Upgrades!$U$9,H196),1)*IF(Upgrades!$T$10="Solar Wind",POWER(Upgrades!$U$10,I196),1)*IF(Upgrades!$T$11="Solar Wind",POWER(Upgrades!$U$11,J196),1)*IF(Upgrades!$T$12="Solar Wind",POWER(Upgrades!$U$12,K196),1))*POWER(Upgrades!$P$6,E196)*POWER(Upgrades!$P$7,F196)*POWER(Upgrades!$P$8,G196)*POWER(Upgrades!$P$9,H196)*POWER(Upgrades!$P$10,I196)*POWER(Upgrades!$P$11,J196)*POWER(Upgrades!$P$12,K196)*60</f>
        <v>72</v>
      </c>
      <c r="AB196" s="27" t="n">
        <f aca="false">(IF(F196=0,0,(Upgrades!$G$7+F196*Upgrades!$H$7)*POWER(Upgrades!$I$7,F196)))*(IF(Upgrades!$T$6="Asteroid Belt",POWER(Upgrades!$U$6,E196),1)*IF(Upgrades!$T$8="Asteroid Belt",POWER(Upgrades!$U$8,G196),1)*IF(Upgrades!$T$9="Asteroid Belt",POWER(Upgrades!$U$9,H196),1)*IF(Upgrades!$T$10="Asteroid Belt",POWER(Upgrades!$U$10,I196),1)*IF(Upgrades!$T$11="Asteroid Belt",POWER(Upgrades!$U$11,J196),1)*IF(Upgrades!$T$12="Asteroid Belt",POWER(Upgrades!$U$12,K196),1))*POWER(Upgrades!$P$6,E196)*POWER(Upgrades!$P$7,F196)*POWER(Upgrades!$P$8,G196)*POWER(Upgrades!$P$9,H196)*POWER(Upgrades!$P$10,I196)*POWER(Upgrades!$P$11,J196)*POWER(Upgrades!$P$12,K196)*60</f>
        <v>150</v>
      </c>
      <c r="AC196" s="27" t="n">
        <f aca="false">(IF(G196=0,0,(Upgrades!$J$8+G196*Upgrades!$K$8)*POWER(Upgrades!$L$8,G196)))*(IF(Upgrades!$T$6="Stellar Coupling",POWER(Upgrades!$U$6,E196),1)*IF(Upgrades!$T$7="Stellar Coupling",POWER(Upgrades!$U$7,F196),1)*IF(Upgrades!$T$9="Stellar Coupling",POWER(Upgrades!$U$9,H196),1)*IF(Upgrades!$T$10="Stellar Coupling",POWER(Upgrades!$U$10,I196),1)*IF(Upgrades!$T$11="Stellar Coupling",POWER(Upgrades!$U$11,J196),1)*IF(Upgrades!$T$12="Stellar Coupling",POWER(Upgrades!$U$12,K196),1))*POWER(Upgrades!$Q$6,E196)*POWER(Upgrades!$Q$7,F196)*POWER(Upgrades!$Q$8,G196)*POWER(Upgrades!$Q$9,H196)*POWER(Upgrades!$Q$10,I196)*POWER(Upgrades!$Q$11,J196)*POWER(Upgrades!$Q$12,K196)*Parameters!$B$10*Parameters!$B$11</f>
        <v>441</v>
      </c>
      <c r="AD196" s="27" t="n">
        <f aca="false">(IF(H196=0,0,(Upgrades!$G$9+H196*Upgrades!$H$9)*POWER(Upgrades!$I$9,H196)))*(IF(Upgrades!$T$6="Magnetosphere",POWER(Upgrades!$U$6,E196),1)*IF(Upgrades!$T$7="Magnetosphere",POWER(Upgrades!$U$7,F196),1)*IF(Upgrades!$T$8="Magnetosphere",POWER(Upgrades!$U$8,G196),1)*IF(Upgrades!$T$10="Magnetosphere",POWER(Upgrades!$U$10,I196),1)*IF(Upgrades!$T$11="Magnetosphere",POWER(Upgrades!$U$11,J196),1)*IF(Upgrades!$T$12="Magnetosphere",POWER(Upgrades!$U$12,K196),1))*POWER(Upgrades!$P$6,E196)*POWER(Upgrades!$P$7,F196)*POWER(Upgrades!$P$8,G196)*POWER(Upgrades!$P$9,H196)*POWER(Upgrades!$P$10,I196)*POWER(Upgrades!$P$11,J196)*POWER(Upgrades!$P$12,K196)*60</f>
        <v>375</v>
      </c>
      <c r="AE196" s="27" t="n">
        <f aca="false">(IF(K196=0,0,(Upgrades!$G$12+K196*Upgrades!$H$12)*POWER(Upgrades!$I$12,K196)))*(IF(Upgrades!$T$6="First Photons",POWER(Upgrades!$U$6,E196),1)*IF(Upgrades!$T$7="First Photons",POWER(Upgrades!$U$7,F196),1)*IF(Upgrades!$T$8="First Photons",POWER(Upgrades!$U$8,G196),1)*IF(Upgrades!$T$9="First Photons",POWER(Upgrades!$U$9,H196),1)*IF(Upgrades!$T$10="First Photons",POWER(Upgrades!$U$10,I196),1)*IF(Upgrades!$T$11="First Photons",POWER(Upgrades!$U$11,J196),1))*POWER(Upgrades!$P$6,E196)*POWER(Upgrades!$P$7,F196)*POWER(Upgrades!$P$8,G196)*POWER(Upgrades!$P$9,H196)*POWER(Upgrades!$P$10,I196)*POWER(Upgrades!$P$11,J196)*POWER(Upgrades!$P$12,K196)*60</f>
        <v>75</v>
      </c>
      <c r="AF196" s="27" t="n">
        <f aca="false">Parameters!$B$9*POWER(Upgrades!$Q$6,E196)*POWER(Upgrades!$Q$7,F196)*POWER(Upgrades!$Q$8,G196)*POWER(Upgrades!$Q$9,H196)*POWER(Upgrades!$Q$10,I196)*POWER(Upgrades!$Q$11,J196)*POWER(Upgrades!$Q$12,K196)*(Parameters!$B$10*Parameters!$B$11+O196*60)</f>
        <v>120</v>
      </c>
      <c r="AG196" s="21" t="n">
        <f aca="false">IF(E196&gt;=Upgrades!$E$6,"",Upgrades!$C$6*POWER(Upgrades!$D$6,E196))</f>
        <v>37.4517507383159</v>
      </c>
      <c r="AH196" s="21" t="n">
        <f aca="false">IF(F196&gt;=Upgrades!$E$7,"",Upgrades!$C$7*POWER(Upgrades!$D$7,F196))</f>
        <v>80.9111547141581</v>
      </c>
      <c r="AI196" s="21" t="n">
        <f aca="false">IF(G196&gt;=Upgrades!$E$8,"",Upgrades!$C$8*POWER(Upgrades!$D$8,G196))</f>
        <v>231.9097088</v>
      </c>
      <c r="AJ196" s="21" t="str">
        <f aca="false">IF(H196&gt;=Upgrades!$E$9,"",Upgrades!$C$9*POWER(Upgrades!$D$9,H196))</f>
        <v/>
      </c>
      <c r="AK196" s="21" t="str">
        <f aca="false">IF(I196&gt;=Upgrades!$E$10,"",Upgrades!$C$10*POWER(Upgrades!$D$10,I196))</f>
        <v/>
      </c>
      <c r="AL196" s="21" t="str">
        <f aca="false">IF(J196&gt;=Upgrades!$E$11,"",Upgrades!$C$11*POWER(Upgrades!$D$11,J196))</f>
        <v/>
      </c>
      <c r="AM196" s="21" t="str">
        <f aca="false">IF(K196&gt;=Upgrades!$E$12,"",Upgrades!$C$12*POWER(Upgrades!$D$12,K196))</f>
        <v/>
      </c>
      <c r="AN196" s="26" t="str">
        <f aca="false">IF(AND(D196&gt;=Parameters!$B$18,(H196&gt;=Upgrades!$E$9)*(K196&gt;=Upgrades!$E$12)=1,L196=0),1,"")</f>
        <v/>
      </c>
      <c r="AO196" s="26" t="str">
        <f aca="false">IF(AND(D196&gt;=Parameters!$B$18,L196=0),1,"")</f>
        <v/>
      </c>
      <c r="AP196" s="21" t="n">
        <f aca="false">MIN(IF(ISNUMBER(AK196),AK196,9000000000000000),IF(ISNUMBER(AL196),AL196,9000000000000000),IF(ISNUMBER(AM196),AM196,9000000000000000))</f>
        <v>9000000000000000</v>
      </c>
      <c r="AQ196" s="21" t="n">
        <f aca="false">MIN(IF(ISNUMBER(AG196),AG196,9000000000000000),IF(ISNUMBER(AH196),AH196,9000000000000000),IF(ISNUMBER(AI196),AI196,9000000000000000),IF(ISNUMBER(AJ196),AJ196,9000000000000000))</f>
        <v>37.4517507383159</v>
      </c>
      <c r="AR196" s="32" t="b">
        <f aca="false">IF(AW196&gt;Parameters!$B$21*(MAX(IF(AND(NOT(AND(AO196=1,AN196&lt;&gt;1)),ISNUMBER(AG196),AG196&lt;=T196),AS196,0),IF(AND(NOT(AND(AO196=1,AN196&lt;&gt;1)),ISNUMBER(AH196),AH196&lt;=T196),AT196,0),IF(AND(NOT(AND(AO196=1,AN196&lt;&gt;1)),ISNUMBER(AI196),AI196&lt;=T196),AU196,0),IF(AND(ISNUMBER(AJ196),AJ196&lt;=T196),AV196,0))),TRUE(),FALSE())</f>
        <v>1</v>
      </c>
      <c r="AS196" s="33" t="n">
        <f aca="false">IFERROR(Upgrades!$H$6*(POWER(Upgrades!$P$6,E196)*POWER(Upgrades!$P$7,F196)*POWER(Upgrades!$P$8,G196)*POWER(Upgrades!$P$9,H196)*POWER(Upgrades!$P$10,I196)*POWER(Upgrades!$P$11,J196)*POWER(Upgrades!$P$12,K196))*(IF(Upgrades!$T$7="Solar Wind",POWER(Upgrades!$U$7,F196),1)*IF(Upgrades!$T$8="Solar Wind",POWER(Upgrades!$U$8,G196),1)*IF(Upgrades!$T$9="Solar Wind",POWER(Upgrades!$U$9,H196),1)*IF(Upgrades!$T$10="Solar Wind",POWER(Upgrades!$U$10,I196),1)*IF(Upgrades!$T$11="Solar Wind",POWER(Upgrades!$U$11,J196),1)*IF(Upgrades!$T$12="Solar Wind",POWER(Upgrades!$U$12,K196),1))/AG196,0)</f>
        <v>0.0026701021455238</v>
      </c>
      <c r="AT196" s="33" t="n">
        <f aca="false">IFERROR(Upgrades!$H$7*(POWER(Upgrades!$P$6,E196)*POWER(Upgrades!$P$7,F196)*POWER(Upgrades!$P$8,G196)*POWER(Upgrades!$P$9,H196)*POWER(Upgrades!$P$10,I196)*POWER(Upgrades!$P$11,J196)*POWER(Upgrades!$P$12,K196))*(IF(Upgrades!$T$6="Asteroid Belt",POWER(Upgrades!$U$6,E196),1)*IF(Upgrades!$T$8="Asteroid Belt",POWER(Upgrades!$U$8,G196),1)*IF(Upgrades!$T$9="Asteroid Belt",POWER(Upgrades!$U$9,H196),1)*IF(Upgrades!$T$10="Asteroid Belt",POWER(Upgrades!$U$10,I196),1)*IF(Upgrades!$T$11="Asteroid Belt",POWER(Upgrades!$U$11,J196),1)*IF(Upgrades!$T$12="Asteroid Belt",POWER(Upgrades!$U$12,K196),1))/AH196,0)</f>
        <v>0.00308980882652332</v>
      </c>
      <c r="AU196" s="33" t="n">
        <f aca="false">IFERROR(Upgrades!$K$8*(POWER(Upgrades!$Q$6,E196)*POWER(Upgrades!$Q$7,F196)*POWER(Upgrades!$Q$8,G196)*POWER(Upgrades!$Q$9,H196)*POWER(Upgrades!$Q$10,I196)*POWER(Upgrades!$Q$11,J196)*POWER(Upgrades!$Q$12,K196))*(IF(Upgrades!$T$6="Stellar Coupling",POWER(Upgrades!$U$6,E196),1)*IF(Upgrades!$T$7="Stellar Coupling",POWER(Upgrades!$U$7,F196),1)*IF(Upgrades!$T$9="Stellar Coupling",POWER(Upgrades!$U$9,H196),1)*IF(Upgrades!$T$10="Stellar Coupling",POWER(Upgrades!$U$10,I196),1)*IF(Upgrades!$T$11="Stellar Coupling",POWER(Upgrades!$U$11,J196),1)*IF(Upgrades!$T$12="Stellar Coupling",POWER(Upgrades!$U$12,K196),1))*Parameters!$B$10*Parameters!$B$11/60/AI196,0)</f>
        <v>0.00452762415783776</v>
      </c>
      <c r="AV196" s="33" t="n">
        <f aca="false">IFERROR(Upgrades!$H$9*(POWER(Upgrades!$P$6,E196)*POWER(Upgrades!$P$7,F196)*POWER(Upgrades!$P$8,G196)*POWER(Upgrades!$P$9,H196)*POWER(Upgrades!$P$10,I196)*POWER(Upgrades!$P$11,J196)*POWER(Upgrades!$P$12,K196))*(IF(Upgrades!$T$6="Magnetosphere",POWER(Upgrades!$U$6,E196),1)*IF(Upgrades!$T$7="Magnetosphere",POWER(Upgrades!$U$7,F196),1)*IF(Upgrades!$T$8="Magnetosphere",POWER(Upgrades!$U$8,G196),1)*IF(Upgrades!$T$10="Magnetosphere",POWER(Upgrades!$U$10,I196),1)*IF(Upgrades!$T$11="Magnetosphere",POWER(Upgrades!$U$11,J196),1)*IF(Upgrades!$T$12="Magnetosphere",POWER(Upgrades!$U$12,K196),1))/AJ196,0)</f>
        <v>0</v>
      </c>
      <c r="AW196" s="33" t="n">
        <f aca="false">MAX(IF(I196&gt;0,0,IFERROR(0.25*N196/Upgrades!$C$10,0)),IF(J196&gt;0,0,IFERROR(0.5*((IF(G196=0,0,(Upgrades!$J$8+G196*Upgrades!$K$8)*POWER(Upgrades!$L$8,G196)))*(IF(Upgrades!$T$6="Stellar Coupling",POWER(Upgrades!$U$6,E196),1)*IF(Upgrades!$T$7="Stellar Coupling",POWER(Upgrades!$U$7,F196),1)*IF(Upgrades!$T$9="Stellar Coupling",POWER(Upgrades!$U$9,H196),1)*IF(Upgrades!$T$10="Stellar Coupling",POWER(Upgrades!$U$10,I196),1)*IF(Upgrades!$T$11="Stellar Coupling",POWER(Upgrades!$U$11,J196),1)*IF(Upgrades!$T$12="Stellar Coupling",POWER(Upgrades!$U$12,K196),1))*(POWER(Upgrades!$Q$6,E196)*POWER(Upgrades!$Q$7,F196)*POWER(Upgrades!$Q$8,G196)*POWER(Upgrades!$Q$9,H196)*POWER(Upgrades!$Q$10,I196)*POWER(Upgrades!$Q$11,J196)*POWER(Upgrades!$Q$12,K196))*Parameters!$B$10*Parameters!$B$11/60)/Upgrades!$C$11,0)),IF(K196&gt;0,0,IFERROR((1*(POWER(Upgrades!$P$6,E196)*POWER(Upgrades!$P$7,F196)*POWER(Upgrades!$P$8,G196)*POWER(Upgrades!$P$9,H196)*POWER(Upgrades!$P$10,I196)*POWER(Upgrades!$P$11,J196)*POWER(Upgrades!$P$12,K196))+0.2*M196*Parameters!$B$10*Parameters!$B$11/60)/Upgrades!$C$12,0)),IF(AND(ISNUMBER(AG196),AG196&gt;T196),AS196,0),IF(AND(ISNUMBER(AH196),AH196&gt;T196),AT196,0),IF(AND(ISNUMBER(AI196),AI196&gt;T196),AU196,0),IF(AND(ISNUMBER(AJ196),AJ196&gt;T196),AV196,0))</f>
        <v>0.00452762415783776</v>
      </c>
      <c r="AX196" s="29" t="str">
        <f aca="false">IF(AN196=1,"transition",IF(MIN(IF(AND(I196=0,ISNUMBER(AK196),AK196&lt;=T196),AK196,9000000000000000),IF(AND(J196=0,ISNUMBER(AL196),AL196&lt;=T196),AL196,9000000000000000),IF(AND(K196=0,ISNUMBER(AM196),AM196&lt;=T196),AM196,9000000000000000))&lt;9000000000000000,IF(AND(AND(I196=0,ISNUMBER(AK196),AK196&lt;=T196),AK196=MIN(IF(AND(I196=0,ISNUMBER(AK196),AK196&lt;=T196),AK196,9000000000000000),IF(AND(J196=0,ISNUMBER(AL196),AL196&lt;=T196),AL196,9000000000000000),IF(AND(K196=0,ISNUMBER(AM196),AM196&lt;=T196),AM196,9000000000000000))),"OR",IF(AND(AND(J196=0,ISNUMBER(AL196),AL196&lt;=T196),AL196=MIN(IF(AND(I196=0,ISNUMBER(AK196),AK196&lt;=T196),AK196,9000000000000000),IF(AND(J196=0,ISNUMBER(AL196),AL196&lt;=T196),AL196,9000000000000000),IF(AND(K196=0,ISNUMBER(AM196),AM196&lt;=T196),AM196,9000000000000000))),"HP","FP")),IF(AR196=TRUE(),"",IF(MAX(IF(AND(NOT(AND(AO196=1,AN196&lt;&gt;1)),ISNUMBER(AG196),AG196&lt;=T196),AS196,0),IF(AND(NOT(AND(AO196=1,AN196&lt;&gt;1)),ISNUMBER(AH196),AH196&lt;=T196),AT196,0),IF(AND(NOT(AND(AO196=1,AN196&lt;&gt;1)),ISNUMBER(AI196),AI196&lt;=T196),AU196,0),IF(AND(ISNUMBER(AJ196),AJ196&lt;=T196),AV196,0))&lt;=0,"",IF(AND(IF(AND(NOT(AND(AO196=1,AN196&lt;&gt;1)),ISNUMBER(AG196),AG196&lt;=T196),AS196,0)&gt;0,IF(AND(NOT(AND(AO196=1,AN196&lt;&gt;1)),ISNUMBER(AG196),AG196&lt;=T196),AS196,0)=MAX(IF(AND(NOT(AND(AO196=1,AN196&lt;&gt;1)),ISNUMBER(AG196),AG196&lt;=T196),AS196,0),IF(AND(NOT(AND(AO196=1,AN196&lt;&gt;1)),ISNUMBER(AH196),AH196&lt;=T196),AT196,0),IF(AND(NOT(AND(AO196=1,AN196&lt;&gt;1)),ISNUMBER(AI196),AI196&lt;=T196),AU196,0),IF(AND(ISNUMBER(AJ196),AJ196&lt;=T196),AV196,0))),"SW",IF(AND(IF(AND(NOT(AND(AO196=1,AN196&lt;&gt;1)),ISNUMBER(AH196),AH196&lt;=T196),AT196,0)&gt;0,IF(AND(NOT(AND(AO196=1,AN196&lt;&gt;1)),ISNUMBER(AH196),AH196&lt;=T196),AT196,0)=MAX(IF(AND(NOT(AND(AO196=1,AN196&lt;&gt;1)),ISNUMBER(AG196),AG196&lt;=T196),AS196,0),IF(AND(NOT(AND(AO196=1,AN196&lt;&gt;1)),ISNUMBER(AH196),AH196&lt;=T196),AT196,0),IF(AND(NOT(AND(AO196=1,AN196&lt;&gt;1)),ISNUMBER(AI196),AI196&lt;=T196),AU196,0),IF(AND(ISNUMBER(AJ196),AJ196&lt;=T196),AV196,0))),"AB",IF(AND(IF(AND(NOT(AND(AO196=1,AN196&lt;&gt;1)),ISNUMBER(AI196),AI196&lt;=T196),AU196,0)&gt;0,IF(AND(NOT(AND(AO196=1,AN196&lt;&gt;1)),ISNUMBER(AI196),AI196&lt;=T196),AU196,0)=MAX(IF(AND(NOT(AND(AO196=1,AN196&lt;&gt;1)),ISNUMBER(AG196),AG196&lt;=T196),AS196,0),IF(AND(NOT(AND(AO196=1,AN196&lt;&gt;1)),ISNUMBER(AH196),AH196&lt;=T196),AT196,0),IF(AND(NOT(AND(AO196=1,AN196&lt;&gt;1)),ISNUMBER(AI196),AI196&lt;=T196),AU196,0),IF(AND(ISNUMBER(AJ196),AJ196&lt;=T196),AV196,0))),"SC","Mag")))))))</f>
        <v/>
      </c>
    </row>
    <row r="197" customFormat="false" ht="15" hidden="false" customHeight="false" outlineLevel="0" collapsed="false">
      <c r="A197" s="26" t="n">
        <v>192</v>
      </c>
      <c r="B197" s="27" t="n">
        <f aca="false">A197*10/60</f>
        <v>32</v>
      </c>
      <c r="C197" s="21" t="n">
        <f aca="false">X196</f>
        <v>18.6730249835055</v>
      </c>
      <c r="D197" s="27" t="n">
        <f aca="false">D196+W196</f>
        <v>0</v>
      </c>
      <c r="E197" s="26" t="n">
        <f aca="false">E196+IF(U196="SW",1,0)</f>
        <v>12</v>
      </c>
      <c r="F197" s="26" t="n">
        <f aca="false">F196+IF(U196="AB",1,0)</f>
        <v>10</v>
      </c>
      <c r="G197" s="26" t="n">
        <f aca="false">G196+IF(U196="SC",1,0)</f>
        <v>7</v>
      </c>
      <c r="H197" s="26" t="n">
        <f aca="false">H196+IF(U196="Mag",1,0)</f>
        <v>5</v>
      </c>
      <c r="I197" s="26" t="n">
        <f aca="false">MAX(I196,IF(U196="OR",1,0))</f>
        <v>1</v>
      </c>
      <c r="J197" s="26" t="n">
        <f aca="false">MAX(J196,IF(U196="HP",1,0))</f>
        <v>1</v>
      </c>
      <c r="K197" s="26" t="n">
        <f aca="false">MAX(K196,IF(U196="FP",1,0))</f>
        <v>1</v>
      </c>
      <c r="L197" s="26" t="n">
        <f aca="false">MAX(L196,IF(U196="transition",1,0))</f>
        <v>1</v>
      </c>
      <c r="M197" s="28" t="n">
        <f aca="false">(Parameters!$B$9+(IF(E197=0,0,(Upgrades!$J$6+E197*Upgrades!$K$6)*POWER(Upgrades!$L$6,E197)))*(IF(Upgrades!$T$7="Solar Wind",POWER(Upgrades!$U$7,F197),1)*IF(Upgrades!$T$8="Solar Wind",POWER(Upgrades!$U$8,G197),1)*IF(Upgrades!$T$9="Solar Wind",POWER(Upgrades!$U$9,H197),1)*IF(Upgrades!$T$10="Solar Wind",POWER(Upgrades!$U$10,I197),1)*IF(Upgrades!$T$11="Solar Wind",POWER(Upgrades!$U$11,J197),1)*IF(Upgrades!$T$12="Solar Wind",POWER(Upgrades!$U$12,K197),1))+(IF(F197=0,0,(Upgrades!$J$7+F197*Upgrades!$K$7)*POWER(Upgrades!$L$7,F197)))*(IF(Upgrades!$T$6="Asteroid Belt",POWER(Upgrades!$U$6,E197),1)*IF(Upgrades!$T$8="Asteroid Belt",POWER(Upgrades!$U$8,G197),1)*IF(Upgrades!$T$9="Asteroid Belt",POWER(Upgrades!$U$9,H197),1)*IF(Upgrades!$T$10="Asteroid Belt",POWER(Upgrades!$U$10,I197),1)*IF(Upgrades!$T$11="Asteroid Belt",POWER(Upgrades!$U$11,J197),1)*IF(Upgrades!$T$12="Asteroid Belt",POWER(Upgrades!$U$12,K197),1))+(IF(G197=0,0,(Upgrades!$J$8+G197*Upgrades!$K$8)*POWER(Upgrades!$L$8,G197)))*(IF(Upgrades!$T$6="Stellar Coupling",POWER(Upgrades!$U$6,E197),1)*IF(Upgrades!$T$7="Stellar Coupling",POWER(Upgrades!$U$7,F197),1)*IF(Upgrades!$T$9="Stellar Coupling",POWER(Upgrades!$U$9,H197),1)*IF(Upgrades!$T$10="Stellar Coupling",POWER(Upgrades!$U$10,I197),1)*IF(Upgrades!$T$11="Stellar Coupling",POWER(Upgrades!$U$11,J197),1)*IF(Upgrades!$T$12="Stellar Coupling",POWER(Upgrades!$U$12,K197),1))+(IF(H197=0,0,(Upgrades!$J$9+H197*Upgrades!$K$9)*POWER(Upgrades!$L$9,H197)))*(IF(Upgrades!$T$6="Magnetosphere",POWER(Upgrades!$U$6,E197),1)*IF(Upgrades!$T$7="Magnetosphere",POWER(Upgrades!$U$7,F197),1)*IF(Upgrades!$T$8="Magnetosphere",POWER(Upgrades!$U$8,G197),1)*IF(Upgrades!$T$10="Magnetosphere",POWER(Upgrades!$U$10,I197),1)*IF(Upgrades!$T$11="Magnetosphere",POWER(Upgrades!$U$11,J197),1)*IF(Upgrades!$T$12="Magnetosphere",POWER(Upgrades!$U$12,K197),1))+(IF(I197=0,0,(Upgrades!$J$10+I197*Upgrades!$K$10)*POWER(Upgrades!$L$10,I197)))*(IF(Upgrades!$T$6="Orbital Resonance",POWER(Upgrades!$U$6,E197),1)*IF(Upgrades!$T$7="Orbital Resonance",POWER(Upgrades!$U$7,F197),1)*IF(Upgrades!$T$8="Orbital Resonance",POWER(Upgrades!$U$8,G197),1)*IF(Upgrades!$T$9="Orbital Resonance",POWER(Upgrades!$U$9,H197),1)*IF(Upgrades!$T$11="Orbital Resonance",POWER(Upgrades!$U$11,J197),1)*IF(Upgrades!$T$12="Orbital Resonance",POWER(Upgrades!$U$12,K197),1))+(IF(J197=0,0,(Upgrades!$J$11+J197*Upgrades!$K$11)*POWER(Upgrades!$L$11,J197)))*(IF(Upgrades!$T$6="Heliopause",POWER(Upgrades!$U$6,E197),1)*IF(Upgrades!$T$7="Heliopause",POWER(Upgrades!$U$7,F197),1)*IF(Upgrades!$T$8="Heliopause",POWER(Upgrades!$U$8,G197),1)*IF(Upgrades!$T$9="Heliopause",POWER(Upgrades!$U$9,H197),1)*IF(Upgrades!$T$10="Heliopause",POWER(Upgrades!$U$10,I197),1)*IF(Upgrades!$T$12="Heliopause",POWER(Upgrades!$U$12,K197),1))+(IF(K197=0,0,(Upgrades!$J$12+K197*Upgrades!$K$12)*POWER(Upgrades!$L$12,K197)))*(IF(Upgrades!$T$6="First Photons",POWER(Upgrades!$U$6,E197),1)*IF(Upgrades!$T$7="First Photons",POWER(Upgrades!$U$7,F197),1)*IF(Upgrades!$T$8="First Photons",POWER(Upgrades!$U$8,G197),1)*IF(Upgrades!$T$9="First Photons",POWER(Upgrades!$U$9,H197),1)*IF(Upgrades!$T$10="First Photons",POWER(Upgrades!$U$10,I197),1)*IF(Upgrades!$T$11="First Photons",POWER(Upgrades!$U$11,J197),1)))*POWER(Upgrades!$Q$6,E197)*POWER(Upgrades!$Q$7,F197)*POWER(Upgrades!$Q$8,G197)*POWER(Upgrades!$Q$9,H197)*POWER(Upgrades!$Q$10,I197)*POWER(Upgrades!$Q$11,J197)*POWER(Upgrades!$Q$12,K197)</f>
        <v>5.61</v>
      </c>
      <c r="N197" s="28" t="n">
        <f aca="false">((IF(E197=0,0,(Upgrades!$G$6+E197*Upgrades!$H$6)*POWER(Upgrades!$I$6,E197)))*(IF(Upgrades!$T$7="Solar Wind",POWER(Upgrades!$U$7,F197),1)*IF(Upgrades!$T$8="Solar Wind",POWER(Upgrades!$U$8,G197),1)*IF(Upgrades!$T$9="Solar Wind",POWER(Upgrades!$U$9,H197),1)*IF(Upgrades!$T$10="Solar Wind",POWER(Upgrades!$U$10,I197),1)*IF(Upgrades!$T$11="Solar Wind",POWER(Upgrades!$U$11,J197),1)*IF(Upgrades!$T$12="Solar Wind",POWER(Upgrades!$U$12,K197),1))+(IF(F197=0,0,(Upgrades!$G$7+F197*Upgrades!$H$7)*POWER(Upgrades!$I$7,F197)))*(IF(Upgrades!$T$6="Asteroid Belt",POWER(Upgrades!$U$6,E197),1)*IF(Upgrades!$T$8="Asteroid Belt",POWER(Upgrades!$U$8,G197),1)*IF(Upgrades!$T$9="Asteroid Belt",POWER(Upgrades!$U$9,H197),1)*IF(Upgrades!$T$10="Asteroid Belt",POWER(Upgrades!$U$10,I197),1)*IF(Upgrades!$T$11="Asteroid Belt",POWER(Upgrades!$U$11,J197),1)*IF(Upgrades!$T$12="Asteroid Belt",POWER(Upgrades!$U$12,K197),1))+(IF(G197=0,0,(Upgrades!$G$8+G197*Upgrades!$H$8)*POWER(Upgrades!$I$8,G197)))*(IF(Upgrades!$T$6="Stellar Coupling",POWER(Upgrades!$U$6,E197),1)*IF(Upgrades!$T$7="Stellar Coupling",POWER(Upgrades!$U$7,F197),1)*IF(Upgrades!$T$9="Stellar Coupling",POWER(Upgrades!$U$9,H197),1)*IF(Upgrades!$T$10="Stellar Coupling",POWER(Upgrades!$U$10,I197),1)*IF(Upgrades!$T$11="Stellar Coupling",POWER(Upgrades!$U$11,J197),1)*IF(Upgrades!$T$12="Stellar Coupling",POWER(Upgrades!$U$12,K197),1))+(IF(H197=0,0,(Upgrades!$G$9+H197*Upgrades!$H$9)*POWER(Upgrades!$I$9,H197)))*(IF(Upgrades!$T$6="Magnetosphere",POWER(Upgrades!$U$6,E197),1)*IF(Upgrades!$T$7="Magnetosphere",POWER(Upgrades!$U$7,F197),1)*IF(Upgrades!$T$8="Magnetosphere",POWER(Upgrades!$U$8,G197),1)*IF(Upgrades!$T$10="Magnetosphere",POWER(Upgrades!$U$10,I197),1)*IF(Upgrades!$T$11="Magnetosphere",POWER(Upgrades!$U$11,J197),1)*IF(Upgrades!$T$12="Magnetosphere",POWER(Upgrades!$U$12,K197),1))+(IF(I197=0,0,(Upgrades!$G$10+I197*Upgrades!$H$10)*POWER(Upgrades!$I$10,I197)))*(IF(Upgrades!$T$6="Orbital Resonance",POWER(Upgrades!$U$6,E197),1)*IF(Upgrades!$T$7="Orbital Resonance",POWER(Upgrades!$U$7,F197),1)*IF(Upgrades!$T$8="Orbital Resonance",POWER(Upgrades!$U$8,G197),1)*IF(Upgrades!$T$9="Orbital Resonance",POWER(Upgrades!$U$9,H197),1)*IF(Upgrades!$T$11="Orbital Resonance",POWER(Upgrades!$U$11,J197),1)*IF(Upgrades!$T$12="Orbital Resonance",POWER(Upgrades!$U$12,K197),1))+(IF(J197=0,0,(Upgrades!$G$11+J197*Upgrades!$H$11)*POWER(Upgrades!$I$11,J197)))*(IF(Upgrades!$T$6="Heliopause",POWER(Upgrades!$U$6,E197),1)*IF(Upgrades!$T$7="Heliopause",POWER(Upgrades!$U$7,F197),1)*IF(Upgrades!$T$8="Heliopause",POWER(Upgrades!$U$8,G197),1)*IF(Upgrades!$T$9="Heliopause",POWER(Upgrades!$U$9,H197),1)*IF(Upgrades!$T$10="Heliopause",POWER(Upgrades!$U$10,I197),1)*IF(Upgrades!$T$12="Heliopause",POWER(Upgrades!$U$12,K197),1))+(IF(K197=0,0,(Upgrades!$G$12+K197*Upgrades!$H$12)*POWER(Upgrades!$I$12,K197)))*(IF(Upgrades!$T$6="First Photons",POWER(Upgrades!$U$6,E197),1)*IF(Upgrades!$T$7="First Photons",POWER(Upgrades!$U$7,F197),1)*IF(Upgrades!$T$8="First Photons",POWER(Upgrades!$U$8,G197),1)*IF(Upgrades!$T$9="First Photons",POWER(Upgrades!$U$9,H197),1)*IF(Upgrades!$T$10="First Photons",POWER(Upgrades!$U$10,I197),1)*IF(Upgrades!$T$11="First Photons",POWER(Upgrades!$U$11,J197),1)))*POWER(Upgrades!$P$6,E197)*POWER(Upgrades!$P$7,F197)*POWER(Upgrades!$P$8,G197)*POWER(Upgrades!$P$9,H197)*POWER(Upgrades!$P$10,I197)*POWER(Upgrades!$P$11,J197)*POWER(Upgrades!$P$12,K197)</f>
        <v>11.2</v>
      </c>
      <c r="O197" s="28" t="n">
        <f aca="false">((IF(E197=0,0,(Upgrades!$M$6+E197*Upgrades!$N$6)*POWER(Upgrades!$O$6,E197)))*(IF(Upgrades!$T$7="Solar Wind",POWER(Upgrades!$U$7,F197),1)*IF(Upgrades!$T$8="Solar Wind",POWER(Upgrades!$U$8,G197),1)*IF(Upgrades!$T$9="Solar Wind",POWER(Upgrades!$U$9,H197),1)*IF(Upgrades!$T$10="Solar Wind",POWER(Upgrades!$U$10,I197),1)*IF(Upgrades!$T$11="Solar Wind",POWER(Upgrades!$U$11,J197),1)*IF(Upgrades!$T$12="Solar Wind",POWER(Upgrades!$U$12,K197),1))+(IF(F197=0,0,(Upgrades!$M$7+F197*Upgrades!$N$7)*POWER(Upgrades!$O$7,F197)))*(IF(Upgrades!$T$6="Asteroid Belt",POWER(Upgrades!$U$6,E197),1)*IF(Upgrades!$T$8="Asteroid Belt",POWER(Upgrades!$U$8,G197),1)*IF(Upgrades!$T$9="Asteroid Belt",POWER(Upgrades!$U$9,H197),1)*IF(Upgrades!$T$10="Asteroid Belt",POWER(Upgrades!$U$10,I197),1)*IF(Upgrades!$T$11="Asteroid Belt",POWER(Upgrades!$U$11,J197),1)*IF(Upgrades!$T$12="Asteroid Belt",POWER(Upgrades!$U$12,K197),1))+(IF(G197=0,0,(Upgrades!$M$8+G197*Upgrades!$N$8)*POWER(Upgrades!$O$8,G197)))*(IF(Upgrades!$T$6="Stellar Coupling",POWER(Upgrades!$U$6,E197),1)*IF(Upgrades!$T$7="Stellar Coupling",POWER(Upgrades!$U$7,F197),1)*IF(Upgrades!$T$9="Stellar Coupling",POWER(Upgrades!$U$9,H197),1)*IF(Upgrades!$T$10="Stellar Coupling",POWER(Upgrades!$U$10,I197),1)*IF(Upgrades!$T$11="Stellar Coupling",POWER(Upgrades!$U$11,J197),1)*IF(Upgrades!$T$12="Stellar Coupling",POWER(Upgrades!$U$12,K197),1))+(IF(H197=0,0,(Upgrades!$M$9+H197*Upgrades!$N$9)*POWER(Upgrades!$O$9,H197)))*(IF(Upgrades!$T$6="Magnetosphere",POWER(Upgrades!$U$6,E197),1)*IF(Upgrades!$T$7="Magnetosphere",POWER(Upgrades!$U$7,F197),1)*IF(Upgrades!$T$8="Magnetosphere",POWER(Upgrades!$U$8,G197),1)*IF(Upgrades!$T$10="Magnetosphere",POWER(Upgrades!$U$10,I197),1)*IF(Upgrades!$T$11="Magnetosphere",POWER(Upgrades!$U$11,J197),1)*IF(Upgrades!$T$12="Magnetosphere",POWER(Upgrades!$U$12,K197),1))+(IF(I197=0,0,(Upgrades!$M$10+I197*Upgrades!$N$10)*POWER(Upgrades!$O$10,I197)))*(IF(Upgrades!$T$6="Orbital Resonance",POWER(Upgrades!$U$6,E197),1)*IF(Upgrades!$T$7="Orbital Resonance",POWER(Upgrades!$U$7,F197),1)*IF(Upgrades!$T$8="Orbital Resonance",POWER(Upgrades!$U$8,G197),1)*IF(Upgrades!$T$9="Orbital Resonance",POWER(Upgrades!$U$9,H197),1)*IF(Upgrades!$T$11="Orbital Resonance",POWER(Upgrades!$U$11,J197),1)*IF(Upgrades!$T$12="Orbital Resonance",POWER(Upgrades!$U$12,K197),1))+(IF(J197=0,0,(Upgrades!$M$11+J197*Upgrades!$N$11)*POWER(Upgrades!$O$11,J197)))*(IF(Upgrades!$T$6="Heliopause",POWER(Upgrades!$U$6,E197),1)*IF(Upgrades!$T$7="Heliopause",POWER(Upgrades!$U$7,F197),1)*IF(Upgrades!$T$8="Heliopause",POWER(Upgrades!$U$8,G197),1)*IF(Upgrades!$T$9="Heliopause",POWER(Upgrades!$U$9,H197),1)*IF(Upgrades!$T$10="Heliopause",POWER(Upgrades!$U$10,I197),1)*IF(Upgrades!$T$12="Heliopause",POWER(Upgrades!$U$12,K197),1))+(IF(K197=0,0,(Upgrades!$M$12+K197*Upgrades!$N$12)*POWER(Upgrades!$O$12,K197)))*(IF(Upgrades!$T$6="First Photons",POWER(Upgrades!$U$6,E197),1)*IF(Upgrades!$T$7="First Photons",POWER(Upgrades!$U$7,F197),1)*IF(Upgrades!$T$8="First Photons",POWER(Upgrades!$U$8,G197),1)*IF(Upgrades!$T$9="First Photons",POWER(Upgrades!$U$9,H197),1)*IF(Upgrades!$T$10="First Photons",POWER(Upgrades!$U$10,I197),1)*IF(Upgrades!$T$11="First Photons",POWER(Upgrades!$U$11,J197),1)))*POWER(Upgrades!$R$6,E197)*POWER(Upgrades!$R$7,F197)*POWER(Upgrades!$R$8,G197)*POWER(Upgrades!$R$9,H197)*POWER(Upgrades!$R$10,I197)*POWER(Upgrades!$R$11,J197)*POWER(Upgrades!$R$12,K197)</f>
        <v>0</v>
      </c>
      <c r="P197" s="27" t="n">
        <f aca="false">IF(L197=1,0,M197*Parameters!$B$10/60*Parameters!$B$11*10)</f>
        <v>0</v>
      </c>
      <c r="Q197" s="27" t="n">
        <f aca="false">IF(L197=1,0,O197*M197*10)</f>
        <v>0</v>
      </c>
      <c r="R197" s="27" t="n">
        <f aca="false">IF(L197=1,0,N197*10)</f>
        <v>0</v>
      </c>
      <c r="S197" s="27" t="n">
        <f aca="false">P197+Q197+R197</f>
        <v>0</v>
      </c>
      <c r="T197" s="21" t="n">
        <f aca="false">C197+S197</f>
        <v>18.6730249835055</v>
      </c>
      <c r="U197" s="34" t="str">
        <f aca="false">AX197</f>
        <v/>
      </c>
      <c r="V197" s="21" t="n">
        <f aca="false">IF(U197="",0,IF(U197="transition",0,IF(U197="SW",AG197,IF(U197="AB",AH197,IF(U197="SC",AI197,IF(U197="Mag",AJ197,IF(U197="OR",AK197,IF(U197="HP",AL197,IF(U197="FP",AM197,0)))))))))</f>
        <v>0</v>
      </c>
      <c r="W197" s="27" t="n">
        <f aca="false">IF(U197="OR",Upgrades!$F$10,IF(U197="HP",Upgrades!$F$11,IF(U197="transition",-Parameters!$B$18,0)))</f>
        <v>0</v>
      </c>
      <c r="X197" s="21" t="n">
        <f aca="false">T197-V197</f>
        <v>18.6730249835055</v>
      </c>
      <c r="Y197" s="30" t="n">
        <f aca="false">M197*Parameters!$B$10/60*Parameters!$B$11+O197*M197+N197</f>
        <v>20.55</v>
      </c>
      <c r="Z197" s="35" t="str">
        <f aca="false">IF(U197="transition","→ Tier 2 (Stellar Neighborhood)",IF(U197="FP","First Photons — light begins, system quickens",IF(U197="HP","Heliopause acquired",IF(U197="OR","Orbital Resonance — passive multiplier active",IF(AND(AO197=1,L197=0,AN197&lt;&gt;1),"Cohesion ready (waiting on completionist upgrades)","")))))</f>
        <v/>
      </c>
      <c r="AA197" s="27" t="n">
        <f aca="false">(IF(E197=0,0,(Upgrades!$G$6+E197*Upgrades!$H$6)*POWER(Upgrades!$I$6,E197)))*(IF(Upgrades!$T$7="Solar Wind",POWER(Upgrades!$U$7,F197),1)*IF(Upgrades!$T$8="Solar Wind",POWER(Upgrades!$U$8,G197),1)*IF(Upgrades!$T$9="Solar Wind",POWER(Upgrades!$U$9,H197),1)*IF(Upgrades!$T$10="Solar Wind",POWER(Upgrades!$U$10,I197),1)*IF(Upgrades!$T$11="Solar Wind",POWER(Upgrades!$U$11,J197),1)*IF(Upgrades!$T$12="Solar Wind",POWER(Upgrades!$U$12,K197),1))*POWER(Upgrades!$P$6,E197)*POWER(Upgrades!$P$7,F197)*POWER(Upgrades!$P$8,G197)*POWER(Upgrades!$P$9,H197)*POWER(Upgrades!$P$10,I197)*POWER(Upgrades!$P$11,J197)*POWER(Upgrades!$P$12,K197)*60</f>
        <v>72</v>
      </c>
      <c r="AB197" s="27" t="n">
        <f aca="false">(IF(F197=0,0,(Upgrades!$G$7+F197*Upgrades!$H$7)*POWER(Upgrades!$I$7,F197)))*(IF(Upgrades!$T$6="Asteroid Belt",POWER(Upgrades!$U$6,E197),1)*IF(Upgrades!$T$8="Asteroid Belt",POWER(Upgrades!$U$8,G197),1)*IF(Upgrades!$T$9="Asteroid Belt",POWER(Upgrades!$U$9,H197),1)*IF(Upgrades!$T$10="Asteroid Belt",POWER(Upgrades!$U$10,I197),1)*IF(Upgrades!$T$11="Asteroid Belt",POWER(Upgrades!$U$11,J197),1)*IF(Upgrades!$T$12="Asteroid Belt",POWER(Upgrades!$U$12,K197),1))*POWER(Upgrades!$P$6,E197)*POWER(Upgrades!$P$7,F197)*POWER(Upgrades!$P$8,G197)*POWER(Upgrades!$P$9,H197)*POWER(Upgrades!$P$10,I197)*POWER(Upgrades!$P$11,J197)*POWER(Upgrades!$P$12,K197)*60</f>
        <v>150</v>
      </c>
      <c r="AC197" s="27" t="n">
        <f aca="false">(IF(G197=0,0,(Upgrades!$J$8+G197*Upgrades!$K$8)*POWER(Upgrades!$L$8,G197)))*(IF(Upgrades!$T$6="Stellar Coupling",POWER(Upgrades!$U$6,E197),1)*IF(Upgrades!$T$7="Stellar Coupling",POWER(Upgrades!$U$7,F197),1)*IF(Upgrades!$T$9="Stellar Coupling",POWER(Upgrades!$U$9,H197),1)*IF(Upgrades!$T$10="Stellar Coupling",POWER(Upgrades!$U$10,I197),1)*IF(Upgrades!$T$11="Stellar Coupling",POWER(Upgrades!$U$11,J197),1)*IF(Upgrades!$T$12="Stellar Coupling",POWER(Upgrades!$U$12,K197),1))*POWER(Upgrades!$Q$6,E197)*POWER(Upgrades!$Q$7,F197)*POWER(Upgrades!$Q$8,G197)*POWER(Upgrades!$Q$9,H197)*POWER(Upgrades!$Q$10,I197)*POWER(Upgrades!$Q$11,J197)*POWER(Upgrades!$Q$12,K197)*Parameters!$B$10*Parameters!$B$11</f>
        <v>441</v>
      </c>
      <c r="AD197" s="27" t="n">
        <f aca="false">(IF(H197=0,0,(Upgrades!$G$9+H197*Upgrades!$H$9)*POWER(Upgrades!$I$9,H197)))*(IF(Upgrades!$T$6="Magnetosphere",POWER(Upgrades!$U$6,E197),1)*IF(Upgrades!$T$7="Magnetosphere",POWER(Upgrades!$U$7,F197),1)*IF(Upgrades!$T$8="Magnetosphere",POWER(Upgrades!$U$8,G197),1)*IF(Upgrades!$T$10="Magnetosphere",POWER(Upgrades!$U$10,I197),1)*IF(Upgrades!$T$11="Magnetosphere",POWER(Upgrades!$U$11,J197),1)*IF(Upgrades!$T$12="Magnetosphere",POWER(Upgrades!$U$12,K197),1))*POWER(Upgrades!$P$6,E197)*POWER(Upgrades!$P$7,F197)*POWER(Upgrades!$P$8,G197)*POWER(Upgrades!$P$9,H197)*POWER(Upgrades!$P$10,I197)*POWER(Upgrades!$P$11,J197)*POWER(Upgrades!$P$12,K197)*60</f>
        <v>375</v>
      </c>
      <c r="AE197" s="27" t="n">
        <f aca="false">(IF(K197=0,0,(Upgrades!$G$12+K197*Upgrades!$H$12)*POWER(Upgrades!$I$12,K197)))*(IF(Upgrades!$T$6="First Photons",POWER(Upgrades!$U$6,E197),1)*IF(Upgrades!$T$7="First Photons",POWER(Upgrades!$U$7,F197),1)*IF(Upgrades!$T$8="First Photons",POWER(Upgrades!$U$8,G197),1)*IF(Upgrades!$T$9="First Photons",POWER(Upgrades!$U$9,H197),1)*IF(Upgrades!$T$10="First Photons",POWER(Upgrades!$U$10,I197),1)*IF(Upgrades!$T$11="First Photons",POWER(Upgrades!$U$11,J197),1))*POWER(Upgrades!$P$6,E197)*POWER(Upgrades!$P$7,F197)*POWER(Upgrades!$P$8,G197)*POWER(Upgrades!$P$9,H197)*POWER(Upgrades!$P$10,I197)*POWER(Upgrades!$P$11,J197)*POWER(Upgrades!$P$12,K197)*60</f>
        <v>75</v>
      </c>
      <c r="AF197" s="27" t="n">
        <f aca="false">Parameters!$B$9*POWER(Upgrades!$Q$6,E197)*POWER(Upgrades!$Q$7,F197)*POWER(Upgrades!$Q$8,G197)*POWER(Upgrades!$Q$9,H197)*POWER(Upgrades!$Q$10,I197)*POWER(Upgrades!$Q$11,J197)*POWER(Upgrades!$Q$12,K197)*(Parameters!$B$10*Parameters!$B$11+O197*60)</f>
        <v>120</v>
      </c>
      <c r="AG197" s="21" t="n">
        <f aca="false">IF(E197&gt;=Upgrades!$E$6,"",Upgrades!$C$6*POWER(Upgrades!$D$6,E197))</f>
        <v>37.4517507383159</v>
      </c>
      <c r="AH197" s="21" t="n">
        <f aca="false">IF(F197&gt;=Upgrades!$E$7,"",Upgrades!$C$7*POWER(Upgrades!$D$7,F197))</f>
        <v>80.9111547141581</v>
      </c>
      <c r="AI197" s="21" t="n">
        <f aca="false">IF(G197&gt;=Upgrades!$E$8,"",Upgrades!$C$8*POWER(Upgrades!$D$8,G197))</f>
        <v>231.9097088</v>
      </c>
      <c r="AJ197" s="21" t="str">
        <f aca="false">IF(H197&gt;=Upgrades!$E$9,"",Upgrades!$C$9*POWER(Upgrades!$D$9,H197))</f>
        <v/>
      </c>
      <c r="AK197" s="21" t="str">
        <f aca="false">IF(I197&gt;=Upgrades!$E$10,"",Upgrades!$C$10*POWER(Upgrades!$D$10,I197))</f>
        <v/>
      </c>
      <c r="AL197" s="21" t="str">
        <f aca="false">IF(J197&gt;=Upgrades!$E$11,"",Upgrades!$C$11*POWER(Upgrades!$D$11,J197))</f>
        <v/>
      </c>
      <c r="AM197" s="21" t="str">
        <f aca="false">IF(K197&gt;=Upgrades!$E$12,"",Upgrades!$C$12*POWER(Upgrades!$D$12,K197))</f>
        <v/>
      </c>
      <c r="AN197" s="26" t="str">
        <f aca="false">IF(AND(D197&gt;=Parameters!$B$18,(H197&gt;=Upgrades!$E$9)*(K197&gt;=Upgrades!$E$12)=1,L197=0),1,"")</f>
        <v/>
      </c>
      <c r="AO197" s="26" t="str">
        <f aca="false">IF(AND(D197&gt;=Parameters!$B$18,L197=0),1,"")</f>
        <v/>
      </c>
      <c r="AP197" s="21" t="n">
        <f aca="false">MIN(IF(ISNUMBER(AK197),AK197,9000000000000000),IF(ISNUMBER(AL197),AL197,9000000000000000),IF(ISNUMBER(AM197),AM197,9000000000000000))</f>
        <v>9000000000000000</v>
      </c>
      <c r="AQ197" s="21" t="n">
        <f aca="false">MIN(IF(ISNUMBER(AG197),AG197,9000000000000000),IF(ISNUMBER(AH197),AH197,9000000000000000),IF(ISNUMBER(AI197),AI197,9000000000000000),IF(ISNUMBER(AJ197),AJ197,9000000000000000))</f>
        <v>37.4517507383159</v>
      </c>
      <c r="AR197" s="32" t="b">
        <f aca="false">IF(AW197&gt;Parameters!$B$21*(MAX(IF(AND(NOT(AND(AO197=1,AN197&lt;&gt;1)),ISNUMBER(AG197),AG197&lt;=T197),AS197,0),IF(AND(NOT(AND(AO197=1,AN197&lt;&gt;1)),ISNUMBER(AH197),AH197&lt;=T197),AT197,0),IF(AND(NOT(AND(AO197=1,AN197&lt;&gt;1)),ISNUMBER(AI197),AI197&lt;=T197),AU197,0),IF(AND(ISNUMBER(AJ197),AJ197&lt;=T197),AV197,0))),TRUE(),FALSE())</f>
        <v>1</v>
      </c>
      <c r="AS197" s="33" t="n">
        <f aca="false">IFERROR(Upgrades!$H$6*(POWER(Upgrades!$P$6,E197)*POWER(Upgrades!$P$7,F197)*POWER(Upgrades!$P$8,G197)*POWER(Upgrades!$P$9,H197)*POWER(Upgrades!$P$10,I197)*POWER(Upgrades!$P$11,J197)*POWER(Upgrades!$P$12,K197))*(IF(Upgrades!$T$7="Solar Wind",POWER(Upgrades!$U$7,F197),1)*IF(Upgrades!$T$8="Solar Wind",POWER(Upgrades!$U$8,G197),1)*IF(Upgrades!$T$9="Solar Wind",POWER(Upgrades!$U$9,H197),1)*IF(Upgrades!$T$10="Solar Wind",POWER(Upgrades!$U$10,I197),1)*IF(Upgrades!$T$11="Solar Wind",POWER(Upgrades!$U$11,J197),1)*IF(Upgrades!$T$12="Solar Wind",POWER(Upgrades!$U$12,K197),1))/AG197,0)</f>
        <v>0.0026701021455238</v>
      </c>
      <c r="AT197" s="33" t="n">
        <f aca="false">IFERROR(Upgrades!$H$7*(POWER(Upgrades!$P$6,E197)*POWER(Upgrades!$P$7,F197)*POWER(Upgrades!$P$8,G197)*POWER(Upgrades!$P$9,H197)*POWER(Upgrades!$P$10,I197)*POWER(Upgrades!$P$11,J197)*POWER(Upgrades!$P$12,K197))*(IF(Upgrades!$T$6="Asteroid Belt",POWER(Upgrades!$U$6,E197),1)*IF(Upgrades!$T$8="Asteroid Belt",POWER(Upgrades!$U$8,G197),1)*IF(Upgrades!$T$9="Asteroid Belt",POWER(Upgrades!$U$9,H197),1)*IF(Upgrades!$T$10="Asteroid Belt",POWER(Upgrades!$U$10,I197),1)*IF(Upgrades!$T$11="Asteroid Belt",POWER(Upgrades!$U$11,J197),1)*IF(Upgrades!$T$12="Asteroid Belt",POWER(Upgrades!$U$12,K197),1))/AH197,0)</f>
        <v>0.00308980882652332</v>
      </c>
      <c r="AU197" s="33" t="n">
        <f aca="false">IFERROR(Upgrades!$K$8*(POWER(Upgrades!$Q$6,E197)*POWER(Upgrades!$Q$7,F197)*POWER(Upgrades!$Q$8,G197)*POWER(Upgrades!$Q$9,H197)*POWER(Upgrades!$Q$10,I197)*POWER(Upgrades!$Q$11,J197)*POWER(Upgrades!$Q$12,K197))*(IF(Upgrades!$T$6="Stellar Coupling",POWER(Upgrades!$U$6,E197),1)*IF(Upgrades!$T$7="Stellar Coupling",POWER(Upgrades!$U$7,F197),1)*IF(Upgrades!$T$9="Stellar Coupling",POWER(Upgrades!$U$9,H197),1)*IF(Upgrades!$T$10="Stellar Coupling",POWER(Upgrades!$U$10,I197),1)*IF(Upgrades!$T$11="Stellar Coupling",POWER(Upgrades!$U$11,J197),1)*IF(Upgrades!$T$12="Stellar Coupling",POWER(Upgrades!$U$12,K197),1))*Parameters!$B$10*Parameters!$B$11/60/AI197,0)</f>
        <v>0.00452762415783776</v>
      </c>
      <c r="AV197" s="33" t="n">
        <f aca="false">IFERROR(Upgrades!$H$9*(POWER(Upgrades!$P$6,E197)*POWER(Upgrades!$P$7,F197)*POWER(Upgrades!$P$8,G197)*POWER(Upgrades!$P$9,H197)*POWER(Upgrades!$P$10,I197)*POWER(Upgrades!$P$11,J197)*POWER(Upgrades!$P$12,K197))*(IF(Upgrades!$T$6="Magnetosphere",POWER(Upgrades!$U$6,E197),1)*IF(Upgrades!$T$7="Magnetosphere",POWER(Upgrades!$U$7,F197),1)*IF(Upgrades!$T$8="Magnetosphere",POWER(Upgrades!$U$8,G197),1)*IF(Upgrades!$T$10="Magnetosphere",POWER(Upgrades!$U$10,I197),1)*IF(Upgrades!$T$11="Magnetosphere",POWER(Upgrades!$U$11,J197),1)*IF(Upgrades!$T$12="Magnetosphere",POWER(Upgrades!$U$12,K197),1))/AJ197,0)</f>
        <v>0</v>
      </c>
      <c r="AW197" s="33" t="n">
        <f aca="false">MAX(IF(I197&gt;0,0,IFERROR(0.25*N197/Upgrades!$C$10,0)),IF(J197&gt;0,0,IFERROR(0.5*((IF(G197=0,0,(Upgrades!$J$8+G197*Upgrades!$K$8)*POWER(Upgrades!$L$8,G197)))*(IF(Upgrades!$T$6="Stellar Coupling",POWER(Upgrades!$U$6,E197),1)*IF(Upgrades!$T$7="Stellar Coupling",POWER(Upgrades!$U$7,F197),1)*IF(Upgrades!$T$9="Stellar Coupling",POWER(Upgrades!$U$9,H197),1)*IF(Upgrades!$T$10="Stellar Coupling",POWER(Upgrades!$U$10,I197),1)*IF(Upgrades!$T$11="Stellar Coupling",POWER(Upgrades!$U$11,J197),1)*IF(Upgrades!$T$12="Stellar Coupling",POWER(Upgrades!$U$12,K197),1))*(POWER(Upgrades!$Q$6,E197)*POWER(Upgrades!$Q$7,F197)*POWER(Upgrades!$Q$8,G197)*POWER(Upgrades!$Q$9,H197)*POWER(Upgrades!$Q$10,I197)*POWER(Upgrades!$Q$11,J197)*POWER(Upgrades!$Q$12,K197))*Parameters!$B$10*Parameters!$B$11/60)/Upgrades!$C$11,0)),IF(K197&gt;0,0,IFERROR((1*(POWER(Upgrades!$P$6,E197)*POWER(Upgrades!$P$7,F197)*POWER(Upgrades!$P$8,G197)*POWER(Upgrades!$P$9,H197)*POWER(Upgrades!$P$10,I197)*POWER(Upgrades!$P$11,J197)*POWER(Upgrades!$P$12,K197))+0.2*M197*Parameters!$B$10*Parameters!$B$11/60)/Upgrades!$C$12,0)),IF(AND(ISNUMBER(AG197),AG197&gt;T197),AS197,0),IF(AND(ISNUMBER(AH197),AH197&gt;T197),AT197,0),IF(AND(ISNUMBER(AI197),AI197&gt;T197),AU197,0),IF(AND(ISNUMBER(AJ197),AJ197&gt;T197),AV197,0))</f>
        <v>0.00452762415783776</v>
      </c>
      <c r="AX197" s="29" t="str">
        <f aca="false">IF(AN197=1,"transition",IF(MIN(IF(AND(I197=0,ISNUMBER(AK197),AK197&lt;=T197),AK197,9000000000000000),IF(AND(J197=0,ISNUMBER(AL197),AL197&lt;=T197),AL197,9000000000000000),IF(AND(K197=0,ISNUMBER(AM197),AM197&lt;=T197),AM197,9000000000000000))&lt;9000000000000000,IF(AND(AND(I197=0,ISNUMBER(AK197),AK197&lt;=T197),AK197=MIN(IF(AND(I197=0,ISNUMBER(AK197),AK197&lt;=T197),AK197,9000000000000000),IF(AND(J197=0,ISNUMBER(AL197),AL197&lt;=T197),AL197,9000000000000000),IF(AND(K197=0,ISNUMBER(AM197),AM197&lt;=T197),AM197,9000000000000000))),"OR",IF(AND(AND(J197=0,ISNUMBER(AL197),AL197&lt;=T197),AL197=MIN(IF(AND(I197=0,ISNUMBER(AK197),AK197&lt;=T197),AK197,9000000000000000),IF(AND(J197=0,ISNUMBER(AL197),AL197&lt;=T197),AL197,9000000000000000),IF(AND(K197=0,ISNUMBER(AM197),AM197&lt;=T197),AM197,9000000000000000))),"HP","FP")),IF(AR197=TRUE(),"",IF(MAX(IF(AND(NOT(AND(AO197=1,AN197&lt;&gt;1)),ISNUMBER(AG197),AG197&lt;=T197),AS197,0),IF(AND(NOT(AND(AO197=1,AN197&lt;&gt;1)),ISNUMBER(AH197),AH197&lt;=T197),AT197,0),IF(AND(NOT(AND(AO197=1,AN197&lt;&gt;1)),ISNUMBER(AI197),AI197&lt;=T197),AU197,0),IF(AND(ISNUMBER(AJ197),AJ197&lt;=T197),AV197,0))&lt;=0,"",IF(AND(IF(AND(NOT(AND(AO197=1,AN197&lt;&gt;1)),ISNUMBER(AG197),AG197&lt;=T197),AS197,0)&gt;0,IF(AND(NOT(AND(AO197=1,AN197&lt;&gt;1)),ISNUMBER(AG197),AG197&lt;=T197),AS197,0)=MAX(IF(AND(NOT(AND(AO197=1,AN197&lt;&gt;1)),ISNUMBER(AG197),AG197&lt;=T197),AS197,0),IF(AND(NOT(AND(AO197=1,AN197&lt;&gt;1)),ISNUMBER(AH197),AH197&lt;=T197),AT197,0),IF(AND(NOT(AND(AO197=1,AN197&lt;&gt;1)),ISNUMBER(AI197),AI197&lt;=T197),AU197,0),IF(AND(ISNUMBER(AJ197),AJ197&lt;=T197),AV197,0))),"SW",IF(AND(IF(AND(NOT(AND(AO197=1,AN197&lt;&gt;1)),ISNUMBER(AH197),AH197&lt;=T197),AT197,0)&gt;0,IF(AND(NOT(AND(AO197=1,AN197&lt;&gt;1)),ISNUMBER(AH197),AH197&lt;=T197),AT197,0)=MAX(IF(AND(NOT(AND(AO197=1,AN197&lt;&gt;1)),ISNUMBER(AG197),AG197&lt;=T197),AS197,0),IF(AND(NOT(AND(AO197=1,AN197&lt;&gt;1)),ISNUMBER(AH197),AH197&lt;=T197),AT197,0),IF(AND(NOT(AND(AO197=1,AN197&lt;&gt;1)),ISNUMBER(AI197),AI197&lt;=T197),AU197,0),IF(AND(ISNUMBER(AJ197),AJ197&lt;=T197),AV197,0))),"AB",IF(AND(IF(AND(NOT(AND(AO197=1,AN197&lt;&gt;1)),ISNUMBER(AI197),AI197&lt;=T197),AU197,0)&gt;0,IF(AND(NOT(AND(AO197=1,AN197&lt;&gt;1)),ISNUMBER(AI197),AI197&lt;=T197),AU197,0)=MAX(IF(AND(NOT(AND(AO197=1,AN197&lt;&gt;1)),ISNUMBER(AG197),AG197&lt;=T197),AS197,0),IF(AND(NOT(AND(AO197=1,AN197&lt;&gt;1)),ISNUMBER(AH197),AH197&lt;=T197),AT197,0),IF(AND(NOT(AND(AO197=1,AN197&lt;&gt;1)),ISNUMBER(AI197),AI197&lt;=T197),AU197,0),IF(AND(ISNUMBER(AJ197),AJ197&lt;=T197),AV197,0))),"SC","Mag")))))))</f>
        <v/>
      </c>
    </row>
    <row r="198" customFormat="false" ht="15" hidden="false" customHeight="false" outlineLevel="0" collapsed="false">
      <c r="A198" s="26" t="n">
        <v>193</v>
      </c>
      <c r="B198" s="27" t="n">
        <f aca="false">A198*10/60</f>
        <v>32.1666666666667</v>
      </c>
      <c r="C198" s="21" t="n">
        <f aca="false">X197</f>
        <v>18.6730249835055</v>
      </c>
      <c r="D198" s="27" t="n">
        <f aca="false">D197+W197</f>
        <v>0</v>
      </c>
      <c r="E198" s="26" t="n">
        <f aca="false">E197+IF(U197="SW",1,0)</f>
        <v>12</v>
      </c>
      <c r="F198" s="26" t="n">
        <f aca="false">F197+IF(U197="AB",1,0)</f>
        <v>10</v>
      </c>
      <c r="G198" s="26" t="n">
        <f aca="false">G197+IF(U197="SC",1,0)</f>
        <v>7</v>
      </c>
      <c r="H198" s="26" t="n">
        <f aca="false">H197+IF(U197="Mag",1,0)</f>
        <v>5</v>
      </c>
      <c r="I198" s="26" t="n">
        <f aca="false">MAX(I197,IF(U197="OR",1,0))</f>
        <v>1</v>
      </c>
      <c r="J198" s="26" t="n">
        <f aca="false">MAX(J197,IF(U197="HP",1,0))</f>
        <v>1</v>
      </c>
      <c r="K198" s="26" t="n">
        <f aca="false">MAX(K197,IF(U197="FP",1,0))</f>
        <v>1</v>
      </c>
      <c r="L198" s="26" t="n">
        <f aca="false">MAX(L197,IF(U197="transition",1,0))</f>
        <v>1</v>
      </c>
      <c r="M198" s="28" t="n">
        <f aca="false">(Parameters!$B$9+(IF(E198=0,0,(Upgrades!$J$6+E198*Upgrades!$K$6)*POWER(Upgrades!$L$6,E198)))*(IF(Upgrades!$T$7="Solar Wind",POWER(Upgrades!$U$7,F198),1)*IF(Upgrades!$T$8="Solar Wind",POWER(Upgrades!$U$8,G198),1)*IF(Upgrades!$T$9="Solar Wind",POWER(Upgrades!$U$9,H198),1)*IF(Upgrades!$T$10="Solar Wind",POWER(Upgrades!$U$10,I198),1)*IF(Upgrades!$T$11="Solar Wind",POWER(Upgrades!$U$11,J198),1)*IF(Upgrades!$T$12="Solar Wind",POWER(Upgrades!$U$12,K198),1))+(IF(F198=0,0,(Upgrades!$J$7+F198*Upgrades!$K$7)*POWER(Upgrades!$L$7,F198)))*(IF(Upgrades!$T$6="Asteroid Belt",POWER(Upgrades!$U$6,E198),1)*IF(Upgrades!$T$8="Asteroid Belt",POWER(Upgrades!$U$8,G198),1)*IF(Upgrades!$T$9="Asteroid Belt",POWER(Upgrades!$U$9,H198),1)*IF(Upgrades!$T$10="Asteroid Belt",POWER(Upgrades!$U$10,I198),1)*IF(Upgrades!$T$11="Asteroid Belt",POWER(Upgrades!$U$11,J198),1)*IF(Upgrades!$T$12="Asteroid Belt",POWER(Upgrades!$U$12,K198),1))+(IF(G198=0,0,(Upgrades!$J$8+G198*Upgrades!$K$8)*POWER(Upgrades!$L$8,G198)))*(IF(Upgrades!$T$6="Stellar Coupling",POWER(Upgrades!$U$6,E198),1)*IF(Upgrades!$T$7="Stellar Coupling",POWER(Upgrades!$U$7,F198),1)*IF(Upgrades!$T$9="Stellar Coupling",POWER(Upgrades!$U$9,H198),1)*IF(Upgrades!$T$10="Stellar Coupling",POWER(Upgrades!$U$10,I198),1)*IF(Upgrades!$T$11="Stellar Coupling",POWER(Upgrades!$U$11,J198),1)*IF(Upgrades!$T$12="Stellar Coupling",POWER(Upgrades!$U$12,K198),1))+(IF(H198=0,0,(Upgrades!$J$9+H198*Upgrades!$K$9)*POWER(Upgrades!$L$9,H198)))*(IF(Upgrades!$T$6="Magnetosphere",POWER(Upgrades!$U$6,E198),1)*IF(Upgrades!$T$7="Magnetosphere",POWER(Upgrades!$U$7,F198),1)*IF(Upgrades!$T$8="Magnetosphere",POWER(Upgrades!$U$8,G198),1)*IF(Upgrades!$T$10="Magnetosphere",POWER(Upgrades!$U$10,I198),1)*IF(Upgrades!$T$11="Magnetosphere",POWER(Upgrades!$U$11,J198),1)*IF(Upgrades!$T$12="Magnetosphere",POWER(Upgrades!$U$12,K198),1))+(IF(I198=0,0,(Upgrades!$J$10+I198*Upgrades!$K$10)*POWER(Upgrades!$L$10,I198)))*(IF(Upgrades!$T$6="Orbital Resonance",POWER(Upgrades!$U$6,E198),1)*IF(Upgrades!$T$7="Orbital Resonance",POWER(Upgrades!$U$7,F198),1)*IF(Upgrades!$T$8="Orbital Resonance",POWER(Upgrades!$U$8,G198),1)*IF(Upgrades!$T$9="Orbital Resonance",POWER(Upgrades!$U$9,H198),1)*IF(Upgrades!$T$11="Orbital Resonance",POWER(Upgrades!$U$11,J198),1)*IF(Upgrades!$T$12="Orbital Resonance",POWER(Upgrades!$U$12,K198),1))+(IF(J198=0,0,(Upgrades!$J$11+J198*Upgrades!$K$11)*POWER(Upgrades!$L$11,J198)))*(IF(Upgrades!$T$6="Heliopause",POWER(Upgrades!$U$6,E198),1)*IF(Upgrades!$T$7="Heliopause",POWER(Upgrades!$U$7,F198),1)*IF(Upgrades!$T$8="Heliopause",POWER(Upgrades!$U$8,G198),1)*IF(Upgrades!$T$9="Heliopause",POWER(Upgrades!$U$9,H198),1)*IF(Upgrades!$T$10="Heliopause",POWER(Upgrades!$U$10,I198),1)*IF(Upgrades!$T$12="Heliopause",POWER(Upgrades!$U$12,K198),1))+(IF(K198=0,0,(Upgrades!$J$12+K198*Upgrades!$K$12)*POWER(Upgrades!$L$12,K198)))*(IF(Upgrades!$T$6="First Photons",POWER(Upgrades!$U$6,E198),1)*IF(Upgrades!$T$7="First Photons",POWER(Upgrades!$U$7,F198),1)*IF(Upgrades!$T$8="First Photons",POWER(Upgrades!$U$8,G198),1)*IF(Upgrades!$T$9="First Photons",POWER(Upgrades!$U$9,H198),1)*IF(Upgrades!$T$10="First Photons",POWER(Upgrades!$U$10,I198),1)*IF(Upgrades!$T$11="First Photons",POWER(Upgrades!$U$11,J198),1)))*POWER(Upgrades!$Q$6,E198)*POWER(Upgrades!$Q$7,F198)*POWER(Upgrades!$Q$8,G198)*POWER(Upgrades!$Q$9,H198)*POWER(Upgrades!$Q$10,I198)*POWER(Upgrades!$Q$11,J198)*POWER(Upgrades!$Q$12,K198)</f>
        <v>5.61</v>
      </c>
      <c r="N198" s="28" t="n">
        <f aca="false">((IF(E198=0,0,(Upgrades!$G$6+E198*Upgrades!$H$6)*POWER(Upgrades!$I$6,E198)))*(IF(Upgrades!$T$7="Solar Wind",POWER(Upgrades!$U$7,F198),1)*IF(Upgrades!$T$8="Solar Wind",POWER(Upgrades!$U$8,G198),1)*IF(Upgrades!$T$9="Solar Wind",POWER(Upgrades!$U$9,H198),1)*IF(Upgrades!$T$10="Solar Wind",POWER(Upgrades!$U$10,I198),1)*IF(Upgrades!$T$11="Solar Wind",POWER(Upgrades!$U$11,J198),1)*IF(Upgrades!$T$12="Solar Wind",POWER(Upgrades!$U$12,K198),1))+(IF(F198=0,0,(Upgrades!$G$7+F198*Upgrades!$H$7)*POWER(Upgrades!$I$7,F198)))*(IF(Upgrades!$T$6="Asteroid Belt",POWER(Upgrades!$U$6,E198),1)*IF(Upgrades!$T$8="Asteroid Belt",POWER(Upgrades!$U$8,G198),1)*IF(Upgrades!$T$9="Asteroid Belt",POWER(Upgrades!$U$9,H198),1)*IF(Upgrades!$T$10="Asteroid Belt",POWER(Upgrades!$U$10,I198),1)*IF(Upgrades!$T$11="Asteroid Belt",POWER(Upgrades!$U$11,J198),1)*IF(Upgrades!$T$12="Asteroid Belt",POWER(Upgrades!$U$12,K198),1))+(IF(G198=0,0,(Upgrades!$G$8+G198*Upgrades!$H$8)*POWER(Upgrades!$I$8,G198)))*(IF(Upgrades!$T$6="Stellar Coupling",POWER(Upgrades!$U$6,E198),1)*IF(Upgrades!$T$7="Stellar Coupling",POWER(Upgrades!$U$7,F198),1)*IF(Upgrades!$T$9="Stellar Coupling",POWER(Upgrades!$U$9,H198),1)*IF(Upgrades!$T$10="Stellar Coupling",POWER(Upgrades!$U$10,I198),1)*IF(Upgrades!$T$11="Stellar Coupling",POWER(Upgrades!$U$11,J198),1)*IF(Upgrades!$T$12="Stellar Coupling",POWER(Upgrades!$U$12,K198),1))+(IF(H198=0,0,(Upgrades!$G$9+H198*Upgrades!$H$9)*POWER(Upgrades!$I$9,H198)))*(IF(Upgrades!$T$6="Magnetosphere",POWER(Upgrades!$U$6,E198),1)*IF(Upgrades!$T$7="Magnetosphere",POWER(Upgrades!$U$7,F198),1)*IF(Upgrades!$T$8="Magnetosphere",POWER(Upgrades!$U$8,G198),1)*IF(Upgrades!$T$10="Magnetosphere",POWER(Upgrades!$U$10,I198),1)*IF(Upgrades!$T$11="Magnetosphere",POWER(Upgrades!$U$11,J198),1)*IF(Upgrades!$T$12="Magnetosphere",POWER(Upgrades!$U$12,K198),1))+(IF(I198=0,0,(Upgrades!$G$10+I198*Upgrades!$H$10)*POWER(Upgrades!$I$10,I198)))*(IF(Upgrades!$T$6="Orbital Resonance",POWER(Upgrades!$U$6,E198),1)*IF(Upgrades!$T$7="Orbital Resonance",POWER(Upgrades!$U$7,F198),1)*IF(Upgrades!$T$8="Orbital Resonance",POWER(Upgrades!$U$8,G198),1)*IF(Upgrades!$T$9="Orbital Resonance",POWER(Upgrades!$U$9,H198),1)*IF(Upgrades!$T$11="Orbital Resonance",POWER(Upgrades!$U$11,J198),1)*IF(Upgrades!$T$12="Orbital Resonance",POWER(Upgrades!$U$12,K198),1))+(IF(J198=0,0,(Upgrades!$G$11+J198*Upgrades!$H$11)*POWER(Upgrades!$I$11,J198)))*(IF(Upgrades!$T$6="Heliopause",POWER(Upgrades!$U$6,E198),1)*IF(Upgrades!$T$7="Heliopause",POWER(Upgrades!$U$7,F198),1)*IF(Upgrades!$T$8="Heliopause",POWER(Upgrades!$U$8,G198),1)*IF(Upgrades!$T$9="Heliopause",POWER(Upgrades!$U$9,H198),1)*IF(Upgrades!$T$10="Heliopause",POWER(Upgrades!$U$10,I198),1)*IF(Upgrades!$T$12="Heliopause",POWER(Upgrades!$U$12,K198),1))+(IF(K198=0,0,(Upgrades!$G$12+K198*Upgrades!$H$12)*POWER(Upgrades!$I$12,K198)))*(IF(Upgrades!$T$6="First Photons",POWER(Upgrades!$U$6,E198),1)*IF(Upgrades!$T$7="First Photons",POWER(Upgrades!$U$7,F198),1)*IF(Upgrades!$T$8="First Photons",POWER(Upgrades!$U$8,G198),1)*IF(Upgrades!$T$9="First Photons",POWER(Upgrades!$U$9,H198),1)*IF(Upgrades!$T$10="First Photons",POWER(Upgrades!$U$10,I198),1)*IF(Upgrades!$T$11="First Photons",POWER(Upgrades!$U$11,J198),1)))*POWER(Upgrades!$P$6,E198)*POWER(Upgrades!$P$7,F198)*POWER(Upgrades!$P$8,G198)*POWER(Upgrades!$P$9,H198)*POWER(Upgrades!$P$10,I198)*POWER(Upgrades!$P$11,J198)*POWER(Upgrades!$P$12,K198)</f>
        <v>11.2</v>
      </c>
      <c r="O198" s="28" t="n">
        <f aca="false">((IF(E198=0,0,(Upgrades!$M$6+E198*Upgrades!$N$6)*POWER(Upgrades!$O$6,E198)))*(IF(Upgrades!$T$7="Solar Wind",POWER(Upgrades!$U$7,F198),1)*IF(Upgrades!$T$8="Solar Wind",POWER(Upgrades!$U$8,G198),1)*IF(Upgrades!$T$9="Solar Wind",POWER(Upgrades!$U$9,H198),1)*IF(Upgrades!$T$10="Solar Wind",POWER(Upgrades!$U$10,I198),1)*IF(Upgrades!$T$11="Solar Wind",POWER(Upgrades!$U$11,J198),1)*IF(Upgrades!$T$12="Solar Wind",POWER(Upgrades!$U$12,K198),1))+(IF(F198=0,0,(Upgrades!$M$7+F198*Upgrades!$N$7)*POWER(Upgrades!$O$7,F198)))*(IF(Upgrades!$T$6="Asteroid Belt",POWER(Upgrades!$U$6,E198),1)*IF(Upgrades!$T$8="Asteroid Belt",POWER(Upgrades!$U$8,G198),1)*IF(Upgrades!$T$9="Asteroid Belt",POWER(Upgrades!$U$9,H198),1)*IF(Upgrades!$T$10="Asteroid Belt",POWER(Upgrades!$U$10,I198),1)*IF(Upgrades!$T$11="Asteroid Belt",POWER(Upgrades!$U$11,J198),1)*IF(Upgrades!$T$12="Asteroid Belt",POWER(Upgrades!$U$12,K198),1))+(IF(G198=0,0,(Upgrades!$M$8+G198*Upgrades!$N$8)*POWER(Upgrades!$O$8,G198)))*(IF(Upgrades!$T$6="Stellar Coupling",POWER(Upgrades!$U$6,E198),1)*IF(Upgrades!$T$7="Stellar Coupling",POWER(Upgrades!$U$7,F198),1)*IF(Upgrades!$T$9="Stellar Coupling",POWER(Upgrades!$U$9,H198),1)*IF(Upgrades!$T$10="Stellar Coupling",POWER(Upgrades!$U$10,I198),1)*IF(Upgrades!$T$11="Stellar Coupling",POWER(Upgrades!$U$11,J198),1)*IF(Upgrades!$T$12="Stellar Coupling",POWER(Upgrades!$U$12,K198),1))+(IF(H198=0,0,(Upgrades!$M$9+H198*Upgrades!$N$9)*POWER(Upgrades!$O$9,H198)))*(IF(Upgrades!$T$6="Magnetosphere",POWER(Upgrades!$U$6,E198),1)*IF(Upgrades!$T$7="Magnetosphere",POWER(Upgrades!$U$7,F198),1)*IF(Upgrades!$T$8="Magnetosphere",POWER(Upgrades!$U$8,G198),1)*IF(Upgrades!$T$10="Magnetosphere",POWER(Upgrades!$U$10,I198),1)*IF(Upgrades!$T$11="Magnetosphere",POWER(Upgrades!$U$11,J198),1)*IF(Upgrades!$T$12="Magnetosphere",POWER(Upgrades!$U$12,K198),1))+(IF(I198=0,0,(Upgrades!$M$10+I198*Upgrades!$N$10)*POWER(Upgrades!$O$10,I198)))*(IF(Upgrades!$T$6="Orbital Resonance",POWER(Upgrades!$U$6,E198),1)*IF(Upgrades!$T$7="Orbital Resonance",POWER(Upgrades!$U$7,F198),1)*IF(Upgrades!$T$8="Orbital Resonance",POWER(Upgrades!$U$8,G198),1)*IF(Upgrades!$T$9="Orbital Resonance",POWER(Upgrades!$U$9,H198),1)*IF(Upgrades!$T$11="Orbital Resonance",POWER(Upgrades!$U$11,J198),1)*IF(Upgrades!$T$12="Orbital Resonance",POWER(Upgrades!$U$12,K198),1))+(IF(J198=0,0,(Upgrades!$M$11+J198*Upgrades!$N$11)*POWER(Upgrades!$O$11,J198)))*(IF(Upgrades!$T$6="Heliopause",POWER(Upgrades!$U$6,E198),1)*IF(Upgrades!$T$7="Heliopause",POWER(Upgrades!$U$7,F198),1)*IF(Upgrades!$T$8="Heliopause",POWER(Upgrades!$U$8,G198),1)*IF(Upgrades!$T$9="Heliopause",POWER(Upgrades!$U$9,H198),1)*IF(Upgrades!$T$10="Heliopause",POWER(Upgrades!$U$10,I198),1)*IF(Upgrades!$T$12="Heliopause",POWER(Upgrades!$U$12,K198),1))+(IF(K198=0,0,(Upgrades!$M$12+K198*Upgrades!$N$12)*POWER(Upgrades!$O$12,K198)))*(IF(Upgrades!$T$6="First Photons",POWER(Upgrades!$U$6,E198),1)*IF(Upgrades!$T$7="First Photons",POWER(Upgrades!$U$7,F198),1)*IF(Upgrades!$T$8="First Photons",POWER(Upgrades!$U$8,G198),1)*IF(Upgrades!$T$9="First Photons",POWER(Upgrades!$U$9,H198),1)*IF(Upgrades!$T$10="First Photons",POWER(Upgrades!$U$10,I198),1)*IF(Upgrades!$T$11="First Photons",POWER(Upgrades!$U$11,J198),1)))*POWER(Upgrades!$R$6,E198)*POWER(Upgrades!$R$7,F198)*POWER(Upgrades!$R$8,G198)*POWER(Upgrades!$R$9,H198)*POWER(Upgrades!$R$10,I198)*POWER(Upgrades!$R$11,J198)*POWER(Upgrades!$R$12,K198)</f>
        <v>0</v>
      </c>
      <c r="P198" s="27" t="n">
        <f aca="false">IF(L198=1,0,M198*Parameters!$B$10/60*Parameters!$B$11*10)</f>
        <v>0</v>
      </c>
      <c r="Q198" s="27" t="n">
        <f aca="false">IF(L198=1,0,O198*M198*10)</f>
        <v>0</v>
      </c>
      <c r="R198" s="27" t="n">
        <f aca="false">IF(L198=1,0,N198*10)</f>
        <v>0</v>
      </c>
      <c r="S198" s="27" t="n">
        <f aca="false">P198+Q198+R198</f>
        <v>0</v>
      </c>
      <c r="T198" s="21" t="n">
        <f aca="false">C198+S198</f>
        <v>18.6730249835055</v>
      </c>
      <c r="U198" s="34" t="str">
        <f aca="false">AX198</f>
        <v/>
      </c>
      <c r="V198" s="21" t="n">
        <f aca="false">IF(U198="",0,IF(U198="transition",0,IF(U198="SW",AG198,IF(U198="AB",AH198,IF(U198="SC",AI198,IF(U198="Mag",AJ198,IF(U198="OR",AK198,IF(U198="HP",AL198,IF(U198="FP",AM198,0)))))))))</f>
        <v>0</v>
      </c>
      <c r="W198" s="27" t="n">
        <f aca="false">IF(U198="OR",Upgrades!$F$10,IF(U198="HP",Upgrades!$F$11,IF(U198="transition",-Parameters!$B$18,0)))</f>
        <v>0</v>
      </c>
      <c r="X198" s="21" t="n">
        <f aca="false">T198-V198</f>
        <v>18.6730249835055</v>
      </c>
      <c r="Y198" s="30" t="n">
        <f aca="false">M198*Parameters!$B$10/60*Parameters!$B$11+O198*M198+N198</f>
        <v>20.55</v>
      </c>
      <c r="Z198" s="35" t="str">
        <f aca="false">IF(U198="transition","→ Tier 2 (Stellar Neighborhood)",IF(U198="FP","First Photons — light begins, system quickens",IF(U198="HP","Heliopause acquired",IF(U198="OR","Orbital Resonance — passive multiplier active",IF(AND(AO198=1,L198=0,AN198&lt;&gt;1),"Cohesion ready (waiting on completionist upgrades)","")))))</f>
        <v/>
      </c>
      <c r="AA198" s="27" t="n">
        <f aca="false">(IF(E198=0,0,(Upgrades!$G$6+E198*Upgrades!$H$6)*POWER(Upgrades!$I$6,E198)))*(IF(Upgrades!$T$7="Solar Wind",POWER(Upgrades!$U$7,F198),1)*IF(Upgrades!$T$8="Solar Wind",POWER(Upgrades!$U$8,G198),1)*IF(Upgrades!$T$9="Solar Wind",POWER(Upgrades!$U$9,H198),1)*IF(Upgrades!$T$10="Solar Wind",POWER(Upgrades!$U$10,I198),1)*IF(Upgrades!$T$11="Solar Wind",POWER(Upgrades!$U$11,J198),1)*IF(Upgrades!$T$12="Solar Wind",POWER(Upgrades!$U$12,K198),1))*POWER(Upgrades!$P$6,E198)*POWER(Upgrades!$P$7,F198)*POWER(Upgrades!$P$8,G198)*POWER(Upgrades!$P$9,H198)*POWER(Upgrades!$P$10,I198)*POWER(Upgrades!$P$11,J198)*POWER(Upgrades!$P$12,K198)*60</f>
        <v>72</v>
      </c>
      <c r="AB198" s="27" t="n">
        <f aca="false">(IF(F198=0,0,(Upgrades!$G$7+F198*Upgrades!$H$7)*POWER(Upgrades!$I$7,F198)))*(IF(Upgrades!$T$6="Asteroid Belt",POWER(Upgrades!$U$6,E198),1)*IF(Upgrades!$T$8="Asteroid Belt",POWER(Upgrades!$U$8,G198),1)*IF(Upgrades!$T$9="Asteroid Belt",POWER(Upgrades!$U$9,H198),1)*IF(Upgrades!$T$10="Asteroid Belt",POWER(Upgrades!$U$10,I198),1)*IF(Upgrades!$T$11="Asteroid Belt",POWER(Upgrades!$U$11,J198),1)*IF(Upgrades!$T$12="Asteroid Belt",POWER(Upgrades!$U$12,K198),1))*POWER(Upgrades!$P$6,E198)*POWER(Upgrades!$P$7,F198)*POWER(Upgrades!$P$8,G198)*POWER(Upgrades!$P$9,H198)*POWER(Upgrades!$P$10,I198)*POWER(Upgrades!$P$11,J198)*POWER(Upgrades!$P$12,K198)*60</f>
        <v>150</v>
      </c>
      <c r="AC198" s="27" t="n">
        <f aca="false">(IF(G198=0,0,(Upgrades!$J$8+G198*Upgrades!$K$8)*POWER(Upgrades!$L$8,G198)))*(IF(Upgrades!$T$6="Stellar Coupling",POWER(Upgrades!$U$6,E198),1)*IF(Upgrades!$T$7="Stellar Coupling",POWER(Upgrades!$U$7,F198),1)*IF(Upgrades!$T$9="Stellar Coupling",POWER(Upgrades!$U$9,H198),1)*IF(Upgrades!$T$10="Stellar Coupling",POWER(Upgrades!$U$10,I198),1)*IF(Upgrades!$T$11="Stellar Coupling",POWER(Upgrades!$U$11,J198),1)*IF(Upgrades!$T$12="Stellar Coupling",POWER(Upgrades!$U$12,K198),1))*POWER(Upgrades!$Q$6,E198)*POWER(Upgrades!$Q$7,F198)*POWER(Upgrades!$Q$8,G198)*POWER(Upgrades!$Q$9,H198)*POWER(Upgrades!$Q$10,I198)*POWER(Upgrades!$Q$11,J198)*POWER(Upgrades!$Q$12,K198)*Parameters!$B$10*Parameters!$B$11</f>
        <v>441</v>
      </c>
      <c r="AD198" s="27" t="n">
        <f aca="false">(IF(H198=0,0,(Upgrades!$G$9+H198*Upgrades!$H$9)*POWER(Upgrades!$I$9,H198)))*(IF(Upgrades!$T$6="Magnetosphere",POWER(Upgrades!$U$6,E198),1)*IF(Upgrades!$T$7="Magnetosphere",POWER(Upgrades!$U$7,F198),1)*IF(Upgrades!$T$8="Magnetosphere",POWER(Upgrades!$U$8,G198),1)*IF(Upgrades!$T$10="Magnetosphere",POWER(Upgrades!$U$10,I198),1)*IF(Upgrades!$T$11="Magnetosphere",POWER(Upgrades!$U$11,J198),1)*IF(Upgrades!$T$12="Magnetosphere",POWER(Upgrades!$U$12,K198),1))*POWER(Upgrades!$P$6,E198)*POWER(Upgrades!$P$7,F198)*POWER(Upgrades!$P$8,G198)*POWER(Upgrades!$P$9,H198)*POWER(Upgrades!$P$10,I198)*POWER(Upgrades!$P$11,J198)*POWER(Upgrades!$P$12,K198)*60</f>
        <v>375</v>
      </c>
      <c r="AE198" s="27" t="n">
        <f aca="false">(IF(K198=0,0,(Upgrades!$G$12+K198*Upgrades!$H$12)*POWER(Upgrades!$I$12,K198)))*(IF(Upgrades!$T$6="First Photons",POWER(Upgrades!$U$6,E198),1)*IF(Upgrades!$T$7="First Photons",POWER(Upgrades!$U$7,F198),1)*IF(Upgrades!$T$8="First Photons",POWER(Upgrades!$U$8,G198),1)*IF(Upgrades!$T$9="First Photons",POWER(Upgrades!$U$9,H198),1)*IF(Upgrades!$T$10="First Photons",POWER(Upgrades!$U$10,I198),1)*IF(Upgrades!$T$11="First Photons",POWER(Upgrades!$U$11,J198),1))*POWER(Upgrades!$P$6,E198)*POWER(Upgrades!$P$7,F198)*POWER(Upgrades!$P$8,G198)*POWER(Upgrades!$P$9,H198)*POWER(Upgrades!$P$10,I198)*POWER(Upgrades!$P$11,J198)*POWER(Upgrades!$P$12,K198)*60</f>
        <v>75</v>
      </c>
      <c r="AF198" s="27" t="n">
        <f aca="false">Parameters!$B$9*POWER(Upgrades!$Q$6,E198)*POWER(Upgrades!$Q$7,F198)*POWER(Upgrades!$Q$8,G198)*POWER(Upgrades!$Q$9,H198)*POWER(Upgrades!$Q$10,I198)*POWER(Upgrades!$Q$11,J198)*POWER(Upgrades!$Q$12,K198)*(Parameters!$B$10*Parameters!$B$11+O198*60)</f>
        <v>120</v>
      </c>
      <c r="AG198" s="21" t="n">
        <f aca="false">IF(E198&gt;=Upgrades!$E$6,"",Upgrades!$C$6*POWER(Upgrades!$D$6,E198))</f>
        <v>37.4517507383159</v>
      </c>
      <c r="AH198" s="21" t="n">
        <f aca="false">IF(F198&gt;=Upgrades!$E$7,"",Upgrades!$C$7*POWER(Upgrades!$D$7,F198))</f>
        <v>80.9111547141581</v>
      </c>
      <c r="AI198" s="21" t="n">
        <f aca="false">IF(G198&gt;=Upgrades!$E$8,"",Upgrades!$C$8*POWER(Upgrades!$D$8,G198))</f>
        <v>231.9097088</v>
      </c>
      <c r="AJ198" s="21" t="str">
        <f aca="false">IF(H198&gt;=Upgrades!$E$9,"",Upgrades!$C$9*POWER(Upgrades!$D$9,H198))</f>
        <v/>
      </c>
      <c r="AK198" s="21" t="str">
        <f aca="false">IF(I198&gt;=Upgrades!$E$10,"",Upgrades!$C$10*POWER(Upgrades!$D$10,I198))</f>
        <v/>
      </c>
      <c r="AL198" s="21" t="str">
        <f aca="false">IF(J198&gt;=Upgrades!$E$11,"",Upgrades!$C$11*POWER(Upgrades!$D$11,J198))</f>
        <v/>
      </c>
      <c r="AM198" s="21" t="str">
        <f aca="false">IF(K198&gt;=Upgrades!$E$12,"",Upgrades!$C$12*POWER(Upgrades!$D$12,K198))</f>
        <v/>
      </c>
      <c r="AN198" s="26" t="str">
        <f aca="false">IF(AND(D198&gt;=Parameters!$B$18,(H198&gt;=Upgrades!$E$9)*(K198&gt;=Upgrades!$E$12)=1,L198=0),1,"")</f>
        <v/>
      </c>
      <c r="AO198" s="26" t="str">
        <f aca="false">IF(AND(D198&gt;=Parameters!$B$18,L198=0),1,"")</f>
        <v/>
      </c>
      <c r="AP198" s="21" t="n">
        <f aca="false">MIN(IF(ISNUMBER(AK198),AK198,9000000000000000),IF(ISNUMBER(AL198),AL198,9000000000000000),IF(ISNUMBER(AM198),AM198,9000000000000000))</f>
        <v>9000000000000000</v>
      </c>
      <c r="AQ198" s="21" t="n">
        <f aca="false">MIN(IF(ISNUMBER(AG198),AG198,9000000000000000),IF(ISNUMBER(AH198),AH198,9000000000000000),IF(ISNUMBER(AI198),AI198,9000000000000000),IF(ISNUMBER(AJ198),AJ198,9000000000000000))</f>
        <v>37.4517507383159</v>
      </c>
      <c r="AR198" s="32" t="b">
        <f aca="false">IF(AW198&gt;Parameters!$B$21*(MAX(IF(AND(NOT(AND(AO198=1,AN198&lt;&gt;1)),ISNUMBER(AG198),AG198&lt;=T198),AS198,0),IF(AND(NOT(AND(AO198=1,AN198&lt;&gt;1)),ISNUMBER(AH198),AH198&lt;=T198),AT198,0),IF(AND(NOT(AND(AO198=1,AN198&lt;&gt;1)),ISNUMBER(AI198),AI198&lt;=T198),AU198,0),IF(AND(ISNUMBER(AJ198),AJ198&lt;=T198),AV198,0))),TRUE(),FALSE())</f>
        <v>1</v>
      </c>
      <c r="AS198" s="33" t="n">
        <f aca="false">IFERROR(Upgrades!$H$6*(POWER(Upgrades!$P$6,E198)*POWER(Upgrades!$P$7,F198)*POWER(Upgrades!$P$8,G198)*POWER(Upgrades!$P$9,H198)*POWER(Upgrades!$P$10,I198)*POWER(Upgrades!$P$11,J198)*POWER(Upgrades!$P$12,K198))*(IF(Upgrades!$T$7="Solar Wind",POWER(Upgrades!$U$7,F198),1)*IF(Upgrades!$T$8="Solar Wind",POWER(Upgrades!$U$8,G198),1)*IF(Upgrades!$T$9="Solar Wind",POWER(Upgrades!$U$9,H198),1)*IF(Upgrades!$T$10="Solar Wind",POWER(Upgrades!$U$10,I198),1)*IF(Upgrades!$T$11="Solar Wind",POWER(Upgrades!$U$11,J198),1)*IF(Upgrades!$T$12="Solar Wind",POWER(Upgrades!$U$12,K198),1))/AG198,0)</f>
        <v>0.0026701021455238</v>
      </c>
      <c r="AT198" s="33" t="n">
        <f aca="false">IFERROR(Upgrades!$H$7*(POWER(Upgrades!$P$6,E198)*POWER(Upgrades!$P$7,F198)*POWER(Upgrades!$P$8,G198)*POWER(Upgrades!$P$9,H198)*POWER(Upgrades!$P$10,I198)*POWER(Upgrades!$P$11,J198)*POWER(Upgrades!$P$12,K198))*(IF(Upgrades!$T$6="Asteroid Belt",POWER(Upgrades!$U$6,E198),1)*IF(Upgrades!$T$8="Asteroid Belt",POWER(Upgrades!$U$8,G198),1)*IF(Upgrades!$T$9="Asteroid Belt",POWER(Upgrades!$U$9,H198),1)*IF(Upgrades!$T$10="Asteroid Belt",POWER(Upgrades!$U$10,I198),1)*IF(Upgrades!$T$11="Asteroid Belt",POWER(Upgrades!$U$11,J198),1)*IF(Upgrades!$T$12="Asteroid Belt",POWER(Upgrades!$U$12,K198),1))/AH198,0)</f>
        <v>0.00308980882652332</v>
      </c>
      <c r="AU198" s="33" t="n">
        <f aca="false">IFERROR(Upgrades!$K$8*(POWER(Upgrades!$Q$6,E198)*POWER(Upgrades!$Q$7,F198)*POWER(Upgrades!$Q$8,G198)*POWER(Upgrades!$Q$9,H198)*POWER(Upgrades!$Q$10,I198)*POWER(Upgrades!$Q$11,J198)*POWER(Upgrades!$Q$12,K198))*(IF(Upgrades!$T$6="Stellar Coupling",POWER(Upgrades!$U$6,E198),1)*IF(Upgrades!$T$7="Stellar Coupling",POWER(Upgrades!$U$7,F198),1)*IF(Upgrades!$T$9="Stellar Coupling",POWER(Upgrades!$U$9,H198),1)*IF(Upgrades!$T$10="Stellar Coupling",POWER(Upgrades!$U$10,I198),1)*IF(Upgrades!$T$11="Stellar Coupling",POWER(Upgrades!$U$11,J198),1)*IF(Upgrades!$T$12="Stellar Coupling",POWER(Upgrades!$U$12,K198),1))*Parameters!$B$10*Parameters!$B$11/60/AI198,0)</f>
        <v>0.00452762415783776</v>
      </c>
      <c r="AV198" s="33" t="n">
        <f aca="false">IFERROR(Upgrades!$H$9*(POWER(Upgrades!$P$6,E198)*POWER(Upgrades!$P$7,F198)*POWER(Upgrades!$P$8,G198)*POWER(Upgrades!$P$9,H198)*POWER(Upgrades!$P$10,I198)*POWER(Upgrades!$P$11,J198)*POWER(Upgrades!$P$12,K198))*(IF(Upgrades!$T$6="Magnetosphere",POWER(Upgrades!$U$6,E198),1)*IF(Upgrades!$T$7="Magnetosphere",POWER(Upgrades!$U$7,F198),1)*IF(Upgrades!$T$8="Magnetosphere",POWER(Upgrades!$U$8,G198),1)*IF(Upgrades!$T$10="Magnetosphere",POWER(Upgrades!$U$10,I198),1)*IF(Upgrades!$T$11="Magnetosphere",POWER(Upgrades!$U$11,J198),1)*IF(Upgrades!$T$12="Magnetosphere",POWER(Upgrades!$U$12,K198),1))/AJ198,0)</f>
        <v>0</v>
      </c>
      <c r="AW198" s="33" t="n">
        <f aca="false">MAX(IF(I198&gt;0,0,IFERROR(0.25*N198/Upgrades!$C$10,0)),IF(J198&gt;0,0,IFERROR(0.5*((IF(G198=0,0,(Upgrades!$J$8+G198*Upgrades!$K$8)*POWER(Upgrades!$L$8,G198)))*(IF(Upgrades!$T$6="Stellar Coupling",POWER(Upgrades!$U$6,E198),1)*IF(Upgrades!$T$7="Stellar Coupling",POWER(Upgrades!$U$7,F198),1)*IF(Upgrades!$T$9="Stellar Coupling",POWER(Upgrades!$U$9,H198),1)*IF(Upgrades!$T$10="Stellar Coupling",POWER(Upgrades!$U$10,I198),1)*IF(Upgrades!$T$11="Stellar Coupling",POWER(Upgrades!$U$11,J198),1)*IF(Upgrades!$T$12="Stellar Coupling",POWER(Upgrades!$U$12,K198),1))*(POWER(Upgrades!$Q$6,E198)*POWER(Upgrades!$Q$7,F198)*POWER(Upgrades!$Q$8,G198)*POWER(Upgrades!$Q$9,H198)*POWER(Upgrades!$Q$10,I198)*POWER(Upgrades!$Q$11,J198)*POWER(Upgrades!$Q$12,K198))*Parameters!$B$10*Parameters!$B$11/60)/Upgrades!$C$11,0)),IF(K198&gt;0,0,IFERROR((1*(POWER(Upgrades!$P$6,E198)*POWER(Upgrades!$P$7,F198)*POWER(Upgrades!$P$8,G198)*POWER(Upgrades!$P$9,H198)*POWER(Upgrades!$P$10,I198)*POWER(Upgrades!$P$11,J198)*POWER(Upgrades!$P$12,K198))+0.2*M198*Parameters!$B$10*Parameters!$B$11/60)/Upgrades!$C$12,0)),IF(AND(ISNUMBER(AG198),AG198&gt;T198),AS198,0),IF(AND(ISNUMBER(AH198),AH198&gt;T198),AT198,0),IF(AND(ISNUMBER(AI198),AI198&gt;T198),AU198,0),IF(AND(ISNUMBER(AJ198),AJ198&gt;T198),AV198,0))</f>
        <v>0.00452762415783776</v>
      </c>
      <c r="AX198" s="29" t="str">
        <f aca="false">IF(AN198=1,"transition",IF(MIN(IF(AND(I198=0,ISNUMBER(AK198),AK198&lt;=T198),AK198,9000000000000000),IF(AND(J198=0,ISNUMBER(AL198),AL198&lt;=T198),AL198,9000000000000000),IF(AND(K198=0,ISNUMBER(AM198),AM198&lt;=T198),AM198,9000000000000000))&lt;9000000000000000,IF(AND(AND(I198=0,ISNUMBER(AK198),AK198&lt;=T198),AK198=MIN(IF(AND(I198=0,ISNUMBER(AK198),AK198&lt;=T198),AK198,9000000000000000),IF(AND(J198=0,ISNUMBER(AL198),AL198&lt;=T198),AL198,9000000000000000),IF(AND(K198=0,ISNUMBER(AM198),AM198&lt;=T198),AM198,9000000000000000))),"OR",IF(AND(AND(J198=0,ISNUMBER(AL198),AL198&lt;=T198),AL198=MIN(IF(AND(I198=0,ISNUMBER(AK198),AK198&lt;=T198),AK198,9000000000000000),IF(AND(J198=0,ISNUMBER(AL198),AL198&lt;=T198),AL198,9000000000000000),IF(AND(K198=0,ISNUMBER(AM198),AM198&lt;=T198),AM198,9000000000000000))),"HP","FP")),IF(AR198=TRUE(),"",IF(MAX(IF(AND(NOT(AND(AO198=1,AN198&lt;&gt;1)),ISNUMBER(AG198),AG198&lt;=T198),AS198,0),IF(AND(NOT(AND(AO198=1,AN198&lt;&gt;1)),ISNUMBER(AH198),AH198&lt;=T198),AT198,0),IF(AND(NOT(AND(AO198=1,AN198&lt;&gt;1)),ISNUMBER(AI198),AI198&lt;=T198),AU198,0),IF(AND(ISNUMBER(AJ198),AJ198&lt;=T198),AV198,0))&lt;=0,"",IF(AND(IF(AND(NOT(AND(AO198=1,AN198&lt;&gt;1)),ISNUMBER(AG198),AG198&lt;=T198),AS198,0)&gt;0,IF(AND(NOT(AND(AO198=1,AN198&lt;&gt;1)),ISNUMBER(AG198),AG198&lt;=T198),AS198,0)=MAX(IF(AND(NOT(AND(AO198=1,AN198&lt;&gt;1)),ISNUMBER(AG198),AG198&lt;=T198),AS198,0),IF(AND(NOT(AND(AO198=1,AN198&lt;&gt;1)),ISNUMBER(AH198),AH198&lt;=T198),AT198,0),IF(AND(NOT(AND(AO198=1,AN198&lt;&gt;1)),ISNUMBER(AI198),AI198&lt;=T198),AU198,0),IF(AND(ISNUMBER(AJ198),AJ198&lt;=T198),AV198,0))),"SW",IF(AND(IF(AND(NOT(AND(AO198=1,AN198&lt;&gt;1)),ISNUMBER(AH198),AH198&lt;=T198),AT198,0)&gt;0,IF(AND(NOT(AND(AO198=1,AN198&lt;&gt;1)),ISNUMBER(AH198),AH198&lt;=T198),AT198,0)=MAX(IF(AND(NOT(AND(AO198=1,AN198&lt;&gt;1)),ISNUMBER(AG198),AG198&lt;=T198),AS198,0),IF(AND(NOT(AND(AO198=1,AN198&lt;&gt;1)),ISNUMBER(AH198),AH198&lt;=T198),AT198,0),IF(AND(NOT(AND(AO198=1,AN198&lt;&gt;1)),ISNUMBER(AI198),AI198&lt;=T198),AU198,0),IF(AND(ISNUMBER(AJ198),AJ198&lt;=T198),AV198,0))),"AB",IF(AND(IF(AND(NOT(AND(AO198=1,AN198&lt;&gt;1)),ISNUMBER(AI198),AI198&lt;=T198),AU198,0)&gt;0,IF(AND(NOT(AND(AO198=1,AN198&lt;&gt;1)),ISNUMBER(AI198),AI198&lt;=T198),AU198,0)=MAX(IF(AND(NOT(AND(AO198=1,AN198&lt;&gt;1)),ISNUMBER(AG198),AG198&lt;=T198),AS198,0),IF(AND(NOT(AND(AO198=1,AN198&lt;&gt;1)),ISNUMBER(AH198),AH198&lt;=T198),AT198,0),IF(AND(NOT(AND(AO198=1,AN198&lt;&gt;1)),ISNUMBER(AI198),AI198&lt;=T198),AU198,0),IF(AND(ISNUMBER(AJ198),AJ198&lt;=T198),AV198,0))),"SC","Mag")))))))</f>
        <v/>
      </c>
    </row>
    <row r="199" customFormat="false" ht="15" hidden="false" customHeight="false" outlineLevel="0" collapsed="false">
      <c r="A199" s="26" t="n">
        <v>194</v>
      </c>
      <c r="B199" s="27" t="n">
        <f aca="false">A199*10/60</f>
        <v>32.3333333333333</v>
      </c>
      <c r="C199" s="21" t="n">
        <f aca="false">X198</f>
        <v>18.6730249835055</v>
      </c>
      <c r="D199" s="27" t="n">
        <f aca="false">D198+W198</f>
        <v>0</v>
      </c>
      <c r="E199" s="26" t="n">
        <f aca="false">E198+IF(U198="SW",1,0)</f>
        <v>12</v>
      </c>
      <c r="F199" s="26" t="n">
        <f aca="false">F198+IF(U198="AB",1,0)</f>
        <v>10</v>
      </c>
      <c r="G199" s="26" t="n">
        <f aca="false">G198+IF(U198="SC",1,0)</f>
        <v>7</v>
      </c>
      <c r="H199" s="26" t="n">
        <f aca="false">H198+IF(U198="Mag",1,0)</f>
        <v>5</v>
      </c>
      <c r="I199" s="26" t="n">
        <f aca="false">MAX(I198,IF(U198="OR",1,0))</f>
        <v>1</v>
      </c>
      <c r="J199" s="26" t="n">
        <f aca="false">MAX(J198,IF(U198="HP",1,0))</f>
        <v>1</v>
      </c>
      <c r="K199" s="26" t="n">
        <f aca="false">MAX(K198,IF(U198="FP",1,0))</f>
        <v>1</v>
      </c>
      <c r="L199" s="26" t="n">
        <f aca="false">MAX(L198,IF(U198="transition",1,0))</f>
        <v>1</v>
      </c>
      <c r="M199" s="28" t="n">
        <f aca="false">(Parameters!$B$9+(IF(E199=0,0,(Upgrades!$J$6+E199*Upgrades!$K$6)*POWER(Upgrades!$L$6,E199)))*(IF(Upgrades!$T$7="Solar Wind",POWER(Upgrades!$U$7,F199),1)*IF(Upgrades!$T$8="Solar Wind",POWER(Upgrades!$U$8,G199),1)*IF(Upgrades!$T$9="Solar Wind",POWER(Upgrades!$U$9,H199),1)*IF(Upgrades!$T$10="Solar Wind",POWER(Upgrades!$U$10,I199),1)*IF(Upgrades!$T$11="Solar Wind",POWER(Upgrades!$U$11,J199),1)*IF(Upgrades!$T$12="Solar Wind",POWER(Upgrades!$U$12,K199),1))+(IF(F199=0,0,(Upgrades!$J$7+F199*Upgrades!$K$7)*POWER(Upgrades!$L$7,F199)))*(IF(Upgrades!$T$6="Asteroid Belt",POWER(Upgrades!$U$6,E199),1)*IF(Upgrades!$T$8="Asteroid Belt",POWER(Upgrades!$U$8,G199),1)*IF(Upgrades!$T$9="Asteroid Belt",POWER(Upgrades!$U$9,H199),1)*IF(Upgrades!$T$10="Asteroid Belt",POWER(Upgrades!$U$10,I199),1)*IF(Upgrades!$T$11="Asteroid Belt",POWER(Upgrades!$U$11,J199),1)*IF(Upgrades!$T$12="Asteroid Belt",POWER(Upgrades!$U$12,K199),1))+(IF(G199=0,0,(Upgrades!$J$8+G199*Upgrades!$K$8)*POWER(Upgrades!$L$8,G199)))*(IF(Upgrades!$T$6="Stellar Coupling",POWER(Upgrades!$U$6,E199),1)*IF(Upgrades!$T$7="Stellar Coupling",POWER(Upgrades!$U$7,F199),1)*IF(Upgrades!$T$9="Stellar Coupling",POWER(Upgrades!$U$9,H199),1)*IF(Upgrades!$T$10="Stellar Coupling",POWER(Upgrades!$U$10,I199),1)*IF(Upgrades!$T$11="Stellar Coupling",POWER(Upgrades!$U$11,J199),1)*IF(Upgrades!$T$12="Stellar Coupling",POWER(Upgrades!$U$12,K199),1))+(IF(H199=0,0,(Upgrades!$J$9+H199*Upgrades!$K$9)*POWER(Upgrades!$L$9,H199)))*(IF(Upgrades!$T$6="Magnetosphere",POWER(Upgrades!$U$6,E199),1)*IF(Upgrades!$T$7="Magnetosphere",POWER(Upgrades!$U$7,F199),1)*IF(Upgrades!$T$8="Magnetosphere",POWER(Upgrades!$U$8,G199),1)*IF(Upgrades!$T$10="Magnetosphere",POWER(Upgrades!$U$10,I199),1)*IF(Upgrades!$T$11="Magnetosphere",POWER(Upgrades!$U$11,J199),1)*IF(Upgrades!$T$12="Magnetosphere",POWER(Upgrades!$U$12,K199),1))+(IF(I199=0,0,(Upgrades!$J$10+I199*Upgrades!$K$10)*POWER(Upgrades!$L$10,I199)))*(IF(Upgrades!$T$6="Orbital Resonance",POWER(Upgrades!$U$6,E199),1)*IF(Upgrades!$T$7="Orbital Resonance",POWER(Upgrades!$U$7,F199),1)*IF(Upgrades!$T$8="Orbital Resonance",POWER(Upgrades!$U$8,G199),1)*IF(Upgrades!$T$9="Orbital Resonance",POWER(Upgrades!$U$9,H199),1)*IF(Upgrades!$T$11="Orbital Resonance",POWER(Upgrades!$U$11,J199),1)*IF(Upgrades!$T$12="Orbital Resonance",POWER(Upgrades!$U$12,K199),1))+(IF(J199=0,0,(Upgrades!$J$11+J199*Upgrades!$K$11)*POWER(Upgrades!$L$11,J199)))*(IF(Upgrades!$T$6="Heliopause",POWER(Upgrades!$U$6,E199),1)*IF(Upgrades!$T$7="Heliopause",POWER(Upgrades!$U$7,F199),1)*IF(Upgrades!$T$8="Heliopause",POWER(Upgrades!$U$8,G199),1)*IF(Upgrades!$T$9="Heliopause",POWER(Upgrades!$U$9,H199),1)*IF(Upgrades!$T$10="Heliopause",POWER(Upgrades!$U$10,I199),1)*IF(Upgrades!$T$12="Heliopause",POWER(Upgrades!$U$12,K199),1))+(IF(K199=0,0,(Upgrades!$J$12+K199*Upgrades!$K$12)*POWER(Upgrades!$L$12,K199)))*(IF(Upgrades!$T$6="First Photons",POWER(Upgrades!$U$6,E199),1)*IF(Upgrades!$T$7="First Photons",POWER(Upgrades!$U$7,F199),1)*IF(Upgrades!$T$8="First Photons",POWER(Upgrades!$U$8,G199),1)*IF(Upgrades!$T$9="First Photons",POWER(Upgrades!$U$9,H199),1)*IF(Upgrades!$T$10="First Photons",POWER(Upgrades!$U$10,I199),1)*IF(Upgrades!$T$11="First Photons",POWER(Upgrades!$U$11,J199),1)))*POWER(Upgrades!$Q$6,E199)*POWER(Upgrades!$Q$7,F199)*POWER(Upgrades!$Q$8,G199)*POWER(Upgrades!$Q$9,H199)*POWER(Upgrades!$Q$10,I199)*POWER(Upgrades!$Q$11,J199)*POWER(Upgrades!$Q$12,K199)</f>
        <v>5.61</v>
      </c>
      <c r="N199" s="28" t="n">
        <f aca="false">((IF(E199=0,0,(Upgrades!$G$6+E199*Upgrades!$H$6)*POWER(Upgrades!$I$6,E199)))*(IF(Upgrades!$T$7="Solar Wind",POWER(Upgrades!$U$7,F199),1)*IF(Upgrades!$T$8="Solar Wind",POWER(Upgrades!$U$8,G199),1)*IF(Upgrades!$T$9="Solar Wind",POWER(Upgrades!$U$9,H199),1)*IF(Upgrades!$T$10="Solar Wind",POWER(Upgrades!$U$10,I199),1)*IF(Upgrades!$T$11="Solar Wind",POWER(Upgrades!$U$11,J199),1)*IF(Upgrades!$T$12="Solar Wind",POWER(Upgrades!$U$12,K199),1))+(IF(F199=0,0,(Upgrades!$G$7+F199*Upgrades!$H$7)*POWER(Upgrades!$I$7,F199)))*(IF(Upgrades!$T$6="Asteroid Belt",POWER(Upgrades!$U$6,E199),1)*IF(Upgrades!$T$8="Asteroid Belt",POWER(Upgrades!$U$8,G199),1)*IF(Upgrades!$T$9="Asteroid Belt",POWER(Upgrades!$U$9,H199),1)*IF(Upgrades!$T$10="Asteroid Belt",POWER(Upgrades!$U$10,I199),1)*IF(Upgrades!$T$11="Asteroid Belt",POWER(Upgrades!$U$11,J199),1)*IF(Upgrades!$T$12="Asteroid Belt",POWER(Upgrades!$U$12,K199),1))+(IF(G199=0,0,(Upgrades!$G$8+G199*Upgrades!$H$8)*POWER(Upgrades!$I$8,G199)))*(IF(Upgrades!$T$6="Stellar Coupling",POWER(Upgrades!$U$6,E199),1)*IF(Upgrades!$T$7="Stellar Coupling",POWER(Upgrades!$U$7,F199),1)*IF(Upgrades!$T$9="Stellar Coupling",POWER(Upgrades!$U$9,H199),1)*IF(Upgrades!$T$10="Stellar Coupling",POWER(Upgrades!$U$10,I199),1)*IF(Upgrades!$T$11="Stellar Coupling",POWER(Upgrades!$U$11,J199),1)*IF(Upgrades!$T$12="Stellar Coupling",POWER(Upgrades!$U$12,K199),1))+(IF(H199=0,0,(Upgrades!$G$9+H199*Upgrades!$H$9)*POWER(Upgrades!$I$9,H199)))*(IF(Upgrades!$T$6="Magnetosphere",POWER(Upgrades!$U$6,E199),1)*IF(Upgrades!$T$7="Magnetosphere",POWER(Upgrades!$U$7,F199),1)*IF(Upgrades!$T$8="Magnetosphere",POWER(Upgrades!$U$8,G199),1)*IF(Upgrades!$T$10="Magnetosphere",POWER(Upgrades!$U$10,I199),1)*IF(Upgrades!$T$11="Magnetosphere",POWER(Upgrades!$U$11,J199),1)*IF(Upgrades!$T$12="Magnetosphere",POWER(Upgrades!$U$12,K199),1))+(IF(I199=0,0,(Upgrades!$G$10+I199*Upgrades!$H$10)*POWER(Upgrades!$I$10,I199)))*(IF(Upgrades!$T$6="Orbital Resonance",POWER(Upgrades!$U$6,E199),1)*IF(Upgrades!$T$7="Orbital Resonance",POWER(Upgrades!$U$7,F199),1)*IF(Upgrades!$T$8="Orbital Resonance",POWER(Upgrades!$U$8,G199),1)*IF(Upgrades!$T$9="Orbital Resonance",POWER(Upgrades!$U$9,H199),1)*IF(Upgrades!$T$11="Orbital Resonance",POWER(Upgrades!$U$11,J199),1)*IF(Upgrades!$T$12="Orbital Resonance",POWER(Upgrades!$U$12,K199),1))+(IF(J199=0,0,(Upgrades!$G$11+J199*Upgrades!$H$11)*POWER(Upgrades!$I$11,J199)))*(IF(Upgrades!$T$6="Heliopause",POWER(Upgrades!$U$6,E199),1)*IF(Upgrades!$T$7="Heliopause",POWER(Upgrades!$U$7,F199),1)*IF(Upgrades!$T$8="Heliopause",POWER(Upgrades!$U$8,G199),1)*IF(Upgrades!$T$9="Heliopause",POWER(Upgrades!$U$9,H199),1)*IF(Upgrades!$T$10="Heliopause",POWER(Upgrades!$U$10,I199),1)*IF(Upgrades!$T$12="Heliopause",POWER(Upgrades!$U$12,K199),1))+(IF(K199=0,0,(Upgrades!$G$12+K199*Upgrades!$H$12)*POWER(Upgrades!$I$12,K199)))*(IF(Upgrades!$T$6="First Photons",POWER(Upgrades!$U$6,E199),1)*IF(Upgrades!$T$7="First Photons",POWER(Upgrades!$U$7,F199),1)*IF(Upgrades!$T$8="First Photons",POWER(Upgrades!$U$8,G199),1)*IF(Upgrades!$T$9="First Photons",POWER(Upgrades!$U$9,H199),1)*IF(Upgrades!$T$10="First Photons",POWER(Upgrades!$U$10,I199),1)*IF(Upgrades!$T$11="First Photons",POWER(Upgrades!$U$11,J199),1)))*POWER(Upgrades!$P$6,E199)*POWER(Upgrades!$P$7,F199)*POWER(Upgrades!$P$8,G199)*POWER(Upgrades!$P$9,H199)*POWER(Upgrades!$P$10,I199)*POWER(Upgrades!$P$11,J199)*POWER(Upgrades!$P$12,K199)</f>
        <v>11.2</v>
      </c>
      <c r="O199" s="28" t="n">
        <f aca="false">((IF(E199=0,0,(Upgrades!$M$6+E199*Upgrades!$N$6)*POWER(Upgrades!$O$6,E199)))*(IF(Upgrades!$T$7="Solar Wind",POWER(Upgrades!$U$7,F199),1)*IF(Upgrades!$T$8="Solar Wind",POWER(Upgrades!$U$8,G199),1)*IF(Upgrades!$T$9="Solar Wind",POWER(Upgrades!$U$9,H199),1)*IF(Upgrades!$T$10="Solar Wind",POWER(Upgrades!$U$10,I199),1)*IF(Upgrades!$T$11="Solar Wind",POWER(Upgrades!$U$11,J199),1)*IF(Upgrades!$T$12="Solar Wind",POWER(Upgrades!$U$12,K199),1))+(IF(F199=0,0,(Upgrades!$M$7+F199*Upgrades!$N$7)*POWER(Upgrades!$O$7,F199)))*(IF(Upgrades!$T$6="Asteroid Belt",POWER(Upgrades!$U$6,E199),1)*IF(Upgrades!$T$8="Asteroid Belt",POWER(Upgrades!$U$8,G199),1)*IF(Upgrades!$T$9="Asteroid Belt",POWER(Upgrades!$U$9,H199),1)*IF(Upgrades!$T$10="Asteroid Belt",POWER(Upgrades!$U$10,I199),1)*IF(Upgrades!$T$11="Asteroid Belt",POWER(Upgrades!$U$11,J199),1)*IF(Upgrades!$T$12="Asteroid Belt",POWER(Upgrades!$U$12,K199),1))+(IF(G199=0,0,(Upgrades!$M$8+G199*Upgrades!$N$8)*POWER(Upgrades!$O$8,G199)))*(IF(Upgrades!$T$6="Stellar Coupling",POWER(Upgrades!$U$6,E199),1)*IF(Upgrades!$T$7="Stellar Coupling",POWER(Upgrades!$U$7,F199),1)*IF(Upgrades!$T$9="Stellar Coupling",POWER(Upgrades!$U$9,H199),1)*IF(Upgrades!$T$10="Stellar Coupling",POWER(Upgrades!$U$10,I199),1)*IF(Upgrades!$T$11="Stellar Coupling",POWER(Upgrades!$U$11,J199),1)*IF(Upgrades!$T$12="Stellar Coupling",POWER(Upgrades!$U$12,K199),1))+(IF(H199=0,0,(Upgrades!$M$9+H199*Upgrades!$N$9)*POWER(Upgrades!$O$9,H199)))*(IF(Upgrades!$T$6="Magnetosphere",POWER(Upgrades!$U$6,E199),1)*IF(Upgrades!$T$7="Magnetosphere",POWER(Upgrades!$U$7,F199),1)*IF(Upgrades!$T$8="Magnetosphere",POWER(Upgrades!$U$8,G199),1)*IF(Upgrades!$T$10="Magnetosphere",POWER(Upgrades!$U$10,I199),1)*IF(Upgrades!$T$11="Magnetosphere",POWER(Upgrades!$U$11,J199),1)*IF(Upgrades!$T$12="Magnetosphere",POWER(Upgrades!$U$12,K199),1))+(IF(I199=0,0,(Upgrades!$M$10+I199*Upgrades!$N$10)*POWER(Upgrades!$O$10,I199)))*(IF(Upgrades!$T$6="Orbital Resonance",POWER(Upgrades!$U$6,E199),1)*IF(Upgrades!$T$7="Orbital Resonance",POWER(Upgrades!$U$7,F199),1)*IF(Upgrades!$T$8="Orbital Resonance",POWER(Upgrades!$U$8,G199),1)*IF(Upgrades!$T$9="Orbital Resonance",POWER(Upgrades!$U$9,H199),1)*IF(Upgrades!$T$11="Orbital Resonance",POWER(Upgrades!$U$11,J199),1)*IF(Upgrades!$T$12="Orbital Resonance",POWER(Upgrades!$U$12,K199),1))+(IF(J199=0,0,(Upgrades!$M$11+J199*Upgrades!$N$11)*POWER(Upgrades!$O$11,J199)))*(IF(Upgrades!$T$6="Heliopause",POWER(Upgrades!$U$6,E199),1)*IF(Upgrades!$T$7="Heliopause",POWER(Upgrades!$U$7,F199),1)*IF(Upgrades!$T$8="Heliopause",POWER(Upgrades!$U$8,G199),1)*IF(Upgrades!$T$9="Heliopause",POWER(Upgrades!$U$9,H199),1)*IF(Upgrades!$T$10="Heliopause",POWER(Upgrades!$U$10,I199),1)*IF(Upgrades!$T$12="Heliopause",POWER(Upgrades!$U$12,K199),1))+(IF(K199=0,0,(Upgrades!$M$12+K199*Upgrades!$N$12)*POWER(Upgrades!$O$12,K199)))*(IF(Upgrades!$T$6="First Photons",POWER(Upgrades!$U$6,E199),1)*IF(Upgrades!$T$7="First Photons",POWER(Upgrades!$U$7,F199),1)*IF(Upgrades!$T$8="First Photons",POWER(Upgrades!$U$8,G199),1)*IF(Upgrades!$T$9="First Photons",POWER(Upgrades!$U$9,H199),1)*IF(Upgrades!$T$10="First Photons",POWER(Upgrades!$U$10,I199),1)*IF(Upgrades!$T$11="First Photons",POWER(Upgrades!$U$11,J199),1)))*POWER(Upgrades!$R$6,E199)*POWER(Upgrades!$R$7,F199)*POWER(Upgrades!$R$8,G199)*POWER(Upgrades!$R$9,H199)*POWER(Upgrades!$R$10,I199)*POWER(Upgrades!$R$11,J199)*POWER(Upgrades!$R$12,K199)</f>
        <v>0</v>
      </c>
      <c r="P199" s="27" t="n">
        <f aca="false">IF(L199=1,0,M199*Parameters!$B$10/60*Parameters!$B$11*10)</f>
        <v>0</v>
      </c>
      <c r="Q199" s="27" t="n">
        <f aca="false">IF(L199=1,0,O199*M199*10)</f>
        <v>0</v>
      </c>
      <c r="R199" s="27" t="n">
        <f aca="false">IF(L199=1,0,N199*10)</f>
        <v>0</v>
      </c>
      <c r="S199" s="27" t="n">
        <f aca="false">P199+Q199+R199</f>
        <v>0</v>
      </c>
      <c r="T199" s="21" t="n">
        <f aca="false">C199+S199</f>
        <v>18.6730249835055</v>
      </c>
      <c r="U199" s="34" t="str">
        <f aca="false">AX199</f>
        <v/>
      </c>
      <c r="V199" s="21" t="n">
        <f aca="false">IF(U199="",0,IF(U199="transition",0,IF(U199="SW",AG199,IF(U199="AB",AH199,IF(U199="SC",AI199,IF(U199="Mag",AJ199,IF(U199="OR",AK199,IF(U199="HP",AL199,IF(U199="FP",AM199,0)))))))))</f>
        <v>0</v>
      </c>
      <c r="W199" s="27" t="n">
        <f aca="false">IF(U199="OR",Upgrades!$F$10,IF(U199="HP",Upgrades!$F$11,IF(U199="transition",-Parameters!$B$18,0)))</f>
        <v>0</v>
      </c>
      <c r="X199" s="21" t="n">
        <f aca="false">T199-V199</f>
        <v>18.6730249835055</v>
      </c>
      <c r="Y199" s="30" t="n">
        <f aca="false">M199*Parameters!$B$10/60*Parameters!$B$11+O199*M199+N199</f>
        <v>20.55</v>
      </c>
      <c r="Z199" s="35" t="str">
        <f aca="false">IF(U199="transition","→ Tier 2 (Stellar Neighborhood)",IF(U199="FP","First Photons — light begins, system quickens",IF(U199="HP","Heliopause acquired",IF(U199="OR","Orbital Resonance — passive multiplier active",IF(AND(AO199=1,L199=0,AN199&lt;&gt;1),"Cohesion ready (waiting on completionist upgrades)","")))))</f>
        <v/>
      </c>
      <c r="AA199" s="27" t="n">
        <f aca="false">(IF(E199=0,0,(Upgrades!$G$6+E199*Upgrades!$H$6)*POWER(Upgrades!$I$6,E199)))*(IF(Upgrades!$T$7="Solar Wind",POWER(Upgrades!$U$7,F199),1)*IF(Upgrades!$T$8="Solar Wind",POWER(Upgrades!$U$8,G199),1)*IF(Upgrades!$T$9="Solar Wind",POWER(Upgrades!$U$9,H199),1)*IF(Upgrades!$T$10="Solar Wind",POWER(Upgrades!$U$10,I199),1)*IF(Upgrades!$T$11="Solar Wind",POWER(Upgrades!$U$11,J199),1)*IF(Upgrades!$T$12="Solar Wind",POWER(Upgrades!$U$12,K199),1))*POWER(Upgrades!$P$6,E199)*POWER(Upgrades!$P$7,F199)*POWER(Upgrades!$P$8,G199)*POWER(Upgrades!$P$9,H199)*POWER(Upgrades!$P$10,I199)*POWER(Upgrades!$P$11,J199)*POWER(Upgrades!$P$12,K199)*60</f>
        <v>72</v>
      </c>
      <c r="AB199" s="27" t="n">
        <f aca="false">(IF(F199=0,0,(Upgrades!$G$7+F199*Upgrades!$H$7)*POWER(Upgrades!$I$7,F199)))*(IF(Upgrades!$T$6="Asteroid Belt",POWER(Upgrades!$U$6,E199),1)*IF(Upgrades!$T$8="Asteroid Belt",POWER(Upgrades!$U$8,G199),1)*IF(Upgrades!$T$9="Asteroid Belt",POWER(Upgrades!$U$9,H199),1)*IF(Upgrades!$T$10="Asteroid Belt",POWER(Upgrades!$U$10,I199),1)*IF(Upgrades!$T$11="Asteroid Belt",POWER(Upgrades!$U$11,J199),1)*IF(Upgrades!$T$12="Asteroid Belt",POWER(Upgrades!$U$12,K199),1))*POWER(Upgrades!$P$6,E199)*POWER(Upgrades!$P$7,F199)*POWER(Upgrades!$P$8,G199)*POWER(Upgrades!$P$9,H199)*POWER(Upgrades!$P$10,I199)*POWER(Upgrades!$P$11,J199)*POWER(Upgrades!$P$12,K199)*60</f>
        <v>150</v>
      </c>
      <c r="AC199" s="27" t="n">
        <f aca="false">(IF(G199=0,0,(Upgrades!$J$8+G199*Upgrades!$K$8)*POWER(Upgrades!$L$8,G199)))*(IF(Upgrades!$T$6="Stellar Coupling",POWER(Upgrades!$U$6,E199),1)*IF(Upgrades!$T$7="Stellar Coupling",POWER(Upgrades!$U$7,F199),1)*IF(Upgrades!$T$9="Stellar Coupling",POWER(Upgrades!$U$9,H199),1)*IF(Upgrades!$T$10="Stellar Coupling",POWER(Upgrades!$U$10,I199),1)*IF(Upgrades!$T$11="Stellar Coupling",POWER(Upgrades!$U$11,J199),1)*IF(Upgrades!$T$12="Stellar Coupling",POWER(Upgrades!$U$12,K199),1))*POWER(Upgrades!$Q$6,E199)*POWER(Upgrades!$Q$7,F199)*POWER(Upgrades!$Q$8,G199)*POWER(Upgrades!$Q$9,H199)*POWER(Upgrades!$Q$10,I199)*POWER(Upgrades!$Q$11,J199)*POWER(Upgrades!$Q$12,K199)*Parameters!$B$10*Parameters!$B$11</f>
        <v>441</v>
      </c>
      <c r="AD199" s="27" t="n">
        <f aca="false">(IF(H199=0,0,(Upgrades!$G$9+H199*Upgrades!$H$9)*POWER(Upgrades!$I$9,H199)))*(IF(Upgrades!$T$6="Magnetosphere",POWER(Upgrades!$U$6,E199),1)*IF(Upgrades!$T$7="Magnetosphere",POWER(Upgrades!$U$7,F199),1)*IF(Upgrades!$T$8="Magnetosphere",POWER(Upgrades!$U$8,G199),1)*IF(Upgrades!$T$10="Magnetosphere",POWER(Upgrades!$U$10,I199),1)*IF(Upgrades!$T$11="Magnetosphere",POWER(Upgrades!$U$11,J199),1)*IF(Upgrades!$T$12="Magnetosphere",POWER(Upgrades!$U$12,K199),1))*POWER(Upgrades!$P$6,E199)*POWER(Upgrades!$P$7,F199)*POWER(Upgrades!$P$8,G199)*POWER(Upgrades!$P$9,H199)*POWER(Upgrades!$P$10,I199)*POWER(Upgrades!$P$11,J199)*POWER(Upgrades!$P$12,K199)*60</f>
        <v>375</v>
      </c>
      <c r="AE199" s="27" t="n">
        <f aca="false">(IF(K199=0,0,(Upgrades!$G$12+K199*Upgrades!$H$12)*POWER(Upgrades!$I$12,K199)))*(IF(Upgrades!$T$6="First Photons",POWER(Upgrades!$U$6,E199),1)*IF(Upgrades!$T$7="First Photons",POWER(Upgrades!$U$7,F199),1)*IF(Upgrades!$T$8="First Photons",POWER(Upgrades!$U$8,G199),1)*IF(Upgrades!$T$9="First Photons",POWER(Upgrades!$U$9,H199),1)*IF(Upgrades!$T$10="First Photons",POWER(Upgrades!$U$10,I199),1)*IF(Upgrades!$T$11="First Photons",POWER(Upgrades!$U$11,J199),1))*POWER(Upgrades!$P$6,E199)*POWER(Upgrades!$P$7,F199)*POWER(Upgrades!$P$8,G199)*POWER(Upgrades!$P$9,H199)*POWER(Upgrades!$P$10,I199)*POWER(Upgrades!$P$11,J199)*POWER(Upgrades!$P$12,K199)*60</f>
        <v>75</v>
      </c>
      <c r="AF199" s="27" t="n">
        <f aca="false">Parameters!$B$9*POWER(Upgrades!$Q$6,E199)*POWER(Upgrades!$Q$7,F199)*POWER(Upgrades!$Q$8,G199)*POWER(Upgrades!$Q$9,H199)*POWER(Upgrades!$Q$10,I199)*POWER(Upgrades!$Q$11,J199)*POWER(Upgrades!$Q$12,K199)*(Parameters!$B$10*Parameters!$B$11+O199*60)</f>
        <v>120</v>
      </c>
      <c r="AG199" s="21" t="n">
        <f aca="false">IF(E199&gt;=Upgrades!$E$6,"",Upgrades!$C$6*POWER(Upgrades!$D$6,E199))</f>
        <v>37.4517507383159</v>
      </c>
      <c r="AH199" s="21" t="n">
        <f aca="false">IF(F199&gt;=Upgrades!$E$7,"",Upgrades!$C$7*POWER(Upgrades!$D$7,F199))</f>
        <v>80.9111547141581</v>
      </c>
      <c r="AI199" s="21" t="n">
        <f aca="false">IF(G199&gt;=Upgrades!$E$8,"",Upgrades!$C$8*POWER(Upgrades!$D$8,G199))</f>
        <v>231.9097088</v>
      </c>
      <c r="AJ199" s="21" t="str">
        <f aca="false">IF(H199&gt;=Upgrades!$E$9,"",Upgrades!$C$9*POWER(Upgrades!$D$9,H199))</f>
        <v/>
      </c>
      <c r="AK199" s="21" t="str">
        <f aca="false">IF(I199&gt;=Upgrades!$E$10,"",Upgrades!$C$10*POWER(Upgrades!$D$10,I199))</f>
        <v/>
      </c>
      <c r="AL199" s="21" t="str">
        <f aca="false">IF(J199&gt;=Upgrades!$E$11,"",Upgrades!$C$11*POWER(Upgrades!$D$11,J199))</f>
        <v/>
      </c>
      <c r="AM199" s="21" t="str">
        <f aca="false">IF(K199&gt;=Upgrades!$E$12,"",Upgrades!$C$12*POWER(Upgrades!$D$12,K199))</f>
        <v/>
      </c>
      <c r="AN199" s="26" t="str">
        <f aca="false">IF(AND(D199&gt;=Parameters!$B$18,(H199&gt;=Upgrades!$E$9)*(K199&gt;=Upgrades!$E$12)=1,L199=0),1,"")</f>
        <v/>
      </c>
      <c r="AO199" s="26" t="str">
        <f aca="false">IF(AND(D199&gt;=Parameters!$B$18,L199=0),1,"")</f>
        <v/>
      </c>
      <c r="AP199" s="21" t="n">
        <f aca="false">MIN(IF(ISNUMBER(AK199),AK199,9000000000000000),IF(ISNUMBER(AL199),AL199,9000000000000000),IF(ISNUMBER(AM199),AM199,9000000000000000))</f>
        <v>9000000000000000</v>
      </c>
      <c r="AQ199" s="21" t="n">
        <f aca="false">MIN(IF(ISNUMBER(AG199),AG199,9000000000000000),IF(ISNUMBER(AH199),AH199,9000000000000000),IF(ISNUMBER(AI199),AI199,9000000000000000),IF(ISNUMBER(AJ199),AJ199,9000000000000000))</f>
        <v>37.4517507383159</v>
      </c>
      <c r="AR199" s="32" t="b">
        <f aca="false">IF(AW199&gt;Parameters!$B$21*(MAX(IF(AND(NOT(AND(AO199=1,AN199&lt;&gt;1)),ISNUMBER(AG199),AG199&lt;=T199),AS199,0),IF(AND(NOT(AND(AO199=1,AN199&lt;&gt;1)),ISNUMBER(AH199),AH199&lt;=T199),AT199,0),IF(AND(NOT(AND(AO199=1,AN199&lt;&gt;1)),ISNUMBER(AI199),AI199&lt;=T199),AU199,0),IF(AND(ISNUMBER(AJ199),AJ199&lt;=T199),AV199,0))),TRUE(),FALSE())</f>
        <v>1</v>
      </c>
      <c r="AS199" s="33" t="n">
        <f aca="false">IFERROR(Upgrades!$H$6*(POWER(Upgrades!$P$6,E199)*POWER(Upgrades!$P$7,F199)*POWER(Upgrades!$P$8,G199)*POWER(Upgrades!$P$9,H199)*POWER(Upgrades!$P$10,I199)*POWER(Upgrades!$P$11,J199)*POWER(Upgrades!$P$12,K199))*(IF(Upgrades!$T$7="Solar Wind",POWER(Upgrades!$U$7,F199),1)*IF(Upgrades!$T$8="Solar Wind",POWER(Upgrades!$U$8,G199),1)*IF(Upgrades!$T$9="Solar Wind",POWER(Upgrades!$U$9,H199),1)*IF(Upgrades!$T$10="Solar Wind",POWER(Upgrades!$U$10,I199),1)*IF(Upgrades!$T$11="Solar Wind",POWER(Upgrades!$U$11,J199),1)*IF(Upgrades!$T$12="Solar Wind",POWER(Upgrades!$U$12,K199),1))/AG199,0)</f>
        <v>0.0026701021455238</v>
      </c>
      <c r="AT199" s="33" t="n">
        <f aca="false">IFERROR(Upgrades!$H$7*(POWER(Upgrades!$P$6,E199)*POWER(Upgrades!$P$7,F199)*POWER(Upgrades!$P$8,G199)*POWER(Upgrades!$P$9,H199)*POWER(Upgrades!$P$10,I199)*POWER(Upgrades!$P$11,J199)*POWER(Upgrades!$P$12,K199))*(IF(Upgrades!$T$6="Asteroid Belt",POWER(Upgrades!$U$6,E199),1)*IF(Upgrades!$T$8="Asteroid Belt",POWER(Upgrades!$U$8,G199),1)*IF(Upgrades!$T$9="Asteroid Belt",POWER(Upgrades!$U$9,H199),1)*IF(Upgrades!$T$10="Asteroid Belt",POWER(Upgrades!$U$10,I199),1)*IF(Upgrades!$T$11="Asteroid Belt",POWER(Upgrades!$U$11,J199),1)*IF(Upgrades!$T$12="Asteroid Belt",POWER(Upgrades!$U$12,K199),1))/AH199,0)</f>
        <v>0.00308980882652332</v>
      </c>
      <c r="AU199" s="33" t="n">
        <f aca="false">IFERROR(Upgrades!$K$8*(POWER(Upgrades!$Q$6,E199)*POWER(Upgrades!$Q$7,F199)*POWER(Upgrades!$Q$8,G199)*POWER(Upgrades!$Q$9,H199)*POWER(Upgrades!$Q$10,I199)*POWER(Upgrades!$Q$11,J199)*POWER(Upgrades!$Q$12,K199))*(IF(Upgrades!$T$6="Stellar Coupling",POWER(Upgrades!$U$6,E199),1)*IF(Upgrades!$T$7="Stellar Coupling",POWER(Upgrades!$U$7,F199),1)*IF(Upgrades!$T$9="Stellar Coupling",POWER(Upgrades!$U$9,H199),1)*IF(Upgrades!$T$10="Stellar Coupling",POWER(Upgrades!$U$10,I199),1)*IF(Upgrades!$T$11="Stellar Coupling",POWER(Upgrades!$U$11,J199),1)*IF(Upgrades!$T$12="Stellar Coupling",POWER(Upgrades!$U$12,K199),1))*Parameters!$B$10*Parameters!$B$11/60/AI199,0)</f>
        <v>0.00452762415783776</v>
      </c>
      <c r="AV199" s="33" t="n">
        <f aca="false">IFERROR(Upgrades!$H$9*(POWER(Upgrades!$P$6,E199)*POWER(Upgrades!$P$7,F199)*POWER(Upgrades!$P$8,G199)*POWER(Upgrades!$P$9,H199)*POWER(Upgrades!$P$10,I199)*POWER(Upgrades!$P$11,J199)*POWER(Upgrades!$P$12,K199))*(IF(Upgrades!$T$6="Magnetosphere",POWER(Upgrades!$U$6,E199),1)*IF(Upgrades!$T$7="Magnetosphere",POWER(Upgrades!$U$7,F199),1)*IF(Upgrades!$T$8="Magnetosphere",POWER(Upgrades!$U$8,G199),1)*IF(Upgrades!$T$10="Magnetosphere",POWER(Upgrades!$U$10,I199),1)*IF(Upgrades!$T$11="Magnetosphere",POWER(Upgrades!$U$11,J199),1)*IF(Upgrades!$T$12="Magnetosphere",POWER(Upgrades!$U$12,K199),1))/AJ199,0)</f>
        <v>0</v>
      </c>
      <c r="AW199" s="33" t="n">
        <f aca="false">MAX(IF(I199&gt;0,0,IFERROR(0.25*N199/Upgrades!$C$10,0)),IF(J199&gt;0,0,IFERROR(0.5*((IF(G199=0,0,(Upgrades!$J$8+G199*Upgrades!$K$8)*POWER(Upgrades!$L$8,G199)))*(IF(Upgrades!$T$6="Stellar Coupling",POWER(Upgrades!$U$6,E199),1)*IF(Upgrades!$T$7="Stellar Coupling",POWER(Upgrades!$U$7,F199),1)*IF(Upgrades!$T$9="Stellar Coupling",POWER(Upgrades!$U$9,H199),1)*IF(Upgrades!$T$10="Stellar Coupling",POWER(Upgrades!$U$10,I199),1)*IF(Upgrades!$T$11="Stellar Coupling",POWER(Upgrades!$U$11,J199),1)*IF(Upgrades!$T$12="Stellar Coupling",POWER(Upgrades!$U$12,K199),1))*(POWER(Upgrades!$Q$6,E199)*POWER(Upgrades!$Q$7,F199)*POWER(Upgrades!$Q$8,G199)*POWER(Upgrades!$Q$9,H199)*POWER(Upgrades!$Q$10,I199)*POWER(Upgrades!$Q$11,J199)*POWER(Upgrades!$Q$12,K199))*Parameters!$B$10*Parameters!$B$11/60)/Upgrades!$C$11,0)),IF(K199&gt;0,0,IFERROR((1*(POWER(Upgrades!$P$6,E199)*POWER(Upgrades!$P$7,F199)*POWER(Upgrades!$P$8,G199)*POWER(Upgrades!$P$9,H199)*POWER(Upgrades!$P$10,I199)*POWER(Upgrades!$P$11,J199)*POWER(Upgrades!$P$12,K199))+0.2*M199*Parameters!$B$10*Parameters!$B$11/60)/Upgrades!$C$12,0)),IF(AND(ISNUMBER(AG199),AG199&gt;T199),AS199,0),IF(AND(ISNUMBER(AH199),AH199&gt;T199),AT199,0),IF(AND(ISNUMBER(AI199),AI199&gt;T199),AU199,0),IF(AND(ISNUMBER(AJ199),AJ199&gt;T199),AV199,0))</f>
        <v>0.00452762415783776</v>
      </c>
      <c r="AX199" s="29" t="str">
        <f aca="false">IF(AN199=1,"transition",IF(MIN(IF(AND(I199=0,ISNUMBER(AK199),AK199&lt;=T199),AK199,9000000000000000),IF(AND(J199=0,ISNUMBER(AL199),AL199&lt;=T199),AL199,9000000000000000),IF(AND(K199=0,ISNUMBER(AM199),AM199&lt;=T199),AM199,9000000000000000))&lt;9000000000000000,IF(AND(AND(I199=0,ISNUMBER(AK199),AK199&lt;=T199),AK199=MIN(IF(AND(I199=0,ISNUMBER(AK199),AK199&lt;=T199),AK199,9000000000000000),IF(AND(J199=0,ISNUMBER(AL199),AL199&lt;=T199),AL199,9000000000000000),IF(AND(K199=0,ISNUMBER(AM199),AM199&lt;=T199),AM199,9000000000000000))),"OR",IF(AND(AND(J199=0,ISNUMBER(AL199),AL199&lt;=T199),AL199=MIN(IF(AND(I199=0,ISNUMBER(AK199),AK199&lt;=T199),AK199,9000000000000000),IF(AND(J199=0,ISNUMBER(AL199),AL199&lt;=T199),AL199,9000000000000000),IF(AND(K199=0,ISNUMBER(AM199),AM199&lt;=T199),AM199,9000000000000000))),"HP","FP")),IF(AR199=TRUE(),"",IF(MAX(IF(AND(NOT(AND(AO199=1,AN199&lt;&gt;1)),ISNUMBER(AG199),AG199&lt;=T199),AS199,0),IF(AND(NOT(AND(AO199=1,AN199&lt;&gt;1)),ISNUMBER(AH199),AH199&lt;=T199),AT199,0),IF(AND(NOT(AND(AO199=1,AN199&lt;&gt;1)),ISNUMBER(AI199),AI199&lt;=T199),AU199,0),IF(AND(ISNUMBER(AJ199),AJ199&lt;=T199),AV199,0))&lt;=0,"",IF(AND(IF(AND(NOT(AND(AO199=1,AN199&lt;&gt;1)),ISNUMBER(AG199),AG199&lt;=T199),AS199,0)&gt;0,IF(AND(NOT(AND(AO199=1,AN199&lt;&gt;1)),ISNUMBER(AG199),AG199&lt;=T199),AS199,0)=MAX(IF(AND(NOT(AND(AO199=1,AN199&lt;&gt;1)),ISNUMBER(AG199),AG199&lt;=T199),AS199,0),IF(AND(NOT(AND(AO199=1,AN199&lt;&gt;1)),ISNUMBER(AH199),AH199&lt;=T199),AT199,0),IF(AND(NOT(AND(AO199=1,AN199&lt;&gt;1)),ISNUMBER(AI199),AI199&lt;=T199),AU199,0),IF(AND(ISNUMBER(AJ199),AJ199&lt;=T199),AV199,0))),"SW",IF(AND(IF(AND(NOT(AND(AO199=1,AN199&lt;&gt;1)),ISNUMBER(AH199),AH199&lt;=T199),AT199,0)&gt;0,IF(AND(NOT(AND(AO199=1,AN199&lt;&gt;1)),ISNUMBER(AH199),AH199&lt;=T199),AT199,0)=MAX(IF(AND(NOT(AND(AO199=1,AN199&lt;&gt;1)),ISNUMBER(AG199),AG199&lt;=T199),AS199,0),IF(AND(NOT(AND(AO199=1,AN199&lt;&gt;1)),ISNUMBER(AH199),AH199&lt;=T199),AT199,0),IF(AND(NOT(AND(AO199=1,AN199&lt;&gt;1)),ISNUMBER(AI199),AI199&lt;=T199),AU199,0),IF(AND(ISNUMBER(AJ199),AJ199&lt;=T199),AV199,0))),"AB",IF(AND(IF(AND(NOT(AND(AO199=1,AN199&lt;&gt;1)),ISNUMBER(AI199),AI199&lt;=T199),AU199,0)&gt;0,IF(AND(NOT(AND(AO199=1,AN199&lt;&gt;1)),ISNUMBER(AI199),AI199&lt;=T199),AU199,0)=MAX(IF(AND(NOT(AND(AO199=1,AN199&lt;&gt;1)),ISNUMBER(AG199),AG199&lt;=T199),AS199,0),IF(AND(NOT(AND(AO199=1,AN199&lt;&gt;1)),ISNUMBER(AH199),AH199&lt;=T199),AT199,0),IF(AND(NOT(AND(AO199=1,AN199&lt;&gt;1)),ISNUMBER(AI199),AI199&lt;=T199),AU199,0),IF(AND(ISNUMBER(AJ199),AJ199&lt;=T199),AV199,0))),"SC","Mag")))))))</f>
        <v/>
      </c>
    </row>
    <row r="200" customFormat="false" ht="15" hidden="false" customHeight="false" outlineLevel="0" collapsed="false">
      <c r="A200" s="26" t="n">
        <v>195</v>
      </c>
      <c r="B200" s="27" t="n">
        <f aca="false">A200*10/60</f>
        <v>32.5</v>
      </c>
      <c r="C200" s="21" t="n">
        <f aca="false">X199</f>
        <v>18.6730249835055</v>
      </c>
      <c r="D200" s="27" t="n">
        <f aca="false">D199+W199</f>
        <v>0</v>
      </c>
      <c r="E200" s="26" t="n">
        <f aca="false">E199+IF(U199="SW",1,0)</f>
        <v>12</v>
      </c>
      <c r="F200" s="26" t="n">
        <f aca="false">F199+IF(U199="AB",1,0)</f>
        <v>10</v>
      </c>
      <c r="G200" s="26" t="n">
        <f aca="false">G199+IF(U199="SC",1,0)</f>
        <v>7</v>
      </c>
      <c r="H200" s="26" t="n">
        <f aca="false">H199+IF(U199="Mag",1,0)</f>
        <v>5</v>
      </c>
      <c r="I200" s="26" t="n">
        <f aca="false">MAX(I199,IF(U199="OR",1,0))</f>
        <v>1</v>
      </c>
      <c r="J200" s="26" t="n">
        <f aca="false">MAX(J199,IF(U199="HP",1,0))</f>
        <v>1</v>
      </c>
      <c r="K200" s="26" t="n">
        <f aca="false">MAX(K199,IF(U199="FP",1,0))</f>
        <v>1</v>
      </c>
      <c r="L200" s="26" t="n">
        <f aca="false">MAX(L199,IF(U199="transition",1,0))</f>
        <v>1</v>
      </c>
      <c r="M200" s="28" t="n">
        <f aca="false">(Parameters!$B$9+(IF(E200=0,0,(Upgrades!$J$6+E200*Upgrades!$K$6)*POWER(Upgrades!$L$6,E200)))*(IF(Upgrades!$T$7="Solar Wind",POWER(Upgrades!$U$7,F200),1)*IF(Upgrades!$T$8="Solar Wind",POWER(Upgrades!$U$8,G200),1)*IF(Upgrades!$T$9="Solar Wind",POWER(Upgrades!$U$9,H200),1)*IF(Upgrades!$T$10="Solar Wind",POWER(Upgrades!$U$10,I200),1)*IF(Upgrades!$T$11="Solar Wind",POWER(Upgrades!$U$11,J200),1)*IF(Upgrades!$T$12="Solar Wind",POWER(Upgrades!$U$12,K200),1))+(IF(F200=0,0,(Upgrades!$J$7+F200*Upgrades!$K$7)*POWER(Upgrades!$L$7,F200)))*(IF(Upgrades!$T$6="Asteroid Belt",POWER(Upgrades!$U$6,E200),1)*IF(Upgrades!$T$8="Asteroid Belt",POWER(Upgrades!$U$8,G200),1)*IF(Upgrades!$T$9="Asteroid Belt",POWER(Upgrades!$U$9,H200),1)*IF(Upgrades!$T$10="Asteroid Belt",POWER(Upgrades!$U$10,I200),1)*IF(Upgrades!$T$11="Asteroid Belt",POWER(Upgrades!$U$11,J200),1)*IF(Upgrades!$T$12="Asteroid Belt",POWER(Upgrades!$U$12,K200),1))+(IF(G200=0,0,(Upgrades!$J$8+G200*Upgrades!$K$8)*POWER(Upgrades!$L$8,G200)))*(IF(Upgrades!$T$6="Stellar Coupling",POWER(Upgrades!$U$6,E200),1)*IF(Upgrades!$T$7="Stellar Coupling",POWER(Upgrades!$U$7,F200),1)*IF(Upgrades!$T$9="Stellar Coupling",POWER(Upgrades!$U$9,H200),1)*IF(Upgrades!$T$10="Stellar Coupling",POWER(Upgrades!$U$10,I200),1)*IF(Upgrades!$T$11="Stellar Coupling",POWER(Upgrades!$U$11,J200),1)*IF(Upgrades!$T$12="Stellar Coupling",POWER(Upgrades!$U$12,K200),1))+(IF(H200=0,0,(Upgrades!$J$9+H200*Upgrades!$K$9)*POWER(Upgrades!$L$9,H200)))*(IF(Upgrades!$T$6="Magnetosphere",POWER(Upgrades!$U$6,E200),1)*IF(Upgrades!$T$7="Magnetosphere",POWER(Upgrades!$U$7,F200),1)*IF(Upgrades!$T$8="Magnetosphere",POWER(Upgrades!$U$8,G200),1)*IF(Upgrades!$T$10="Magnetosphere",POWER(Upgrades!$U$10,I200),1)*IF(Upgrades!$T$11="Magnetosphere",POWER(Upgrades!$U$11,J200),1)*IF(Upgrades!$T$12="Magnetosphere",POWER(Upgrades!$U$12,K200),1))+(IF(I200=0,0,(Upgrades!$J$10+I200*Upgrades!$K$10)*POWER(Upgrades!$L$10,I200)))*(IF(Upgrades!$T$6="Orbital Resonance",POWER(Upgrades!$U$6,E200),1)*IF(Upgrades!$T$7="Orbital Resonance",POWER(Upgrades!$U$7,F200),1)*IF(Upgrades!$T$8="Orbital Resonance",POWER(Upgrades!$U$8,G200),1)*IF(Upgrades!$T$9="Orbital Resonance",POWER(Upgrades!$U$9,H200),1)*IF(Upgrades!$T$11="Orbital Resonance",POWER(Upgrades!$U$11,J200),1)*IF(Upgrades!$T$12="Orbital Resonance",POWER(Upgrades!$U$12,K200),1))+(IF(J200=0,0,(Upgrades!$J$11+J200*Upgrades!$K$11)*POWER(Upgrades!$L$11,J200)))*(IF(Upgrades!$T$6="Heliopause",POWER(Upgrades!$U$6,E200),1)*IF(Upgrades!$T$7="Heliopause",POWER(Upgrades!$U$7,F200),1)*IF(Upgrades!$T$8="Heliopause",POWER(Upgrades!$U$8,G200),1)*IF(Upgrades!$T$9="Heliopause",POWER(Upgrades!$U$9,H200),1)*IF(Upgrades!$T$10="Heliopause",POWER(Upgrades!$U$10,I200),1)*IF(Upgrades!$T$12="Heliopause",POWER(Upgrades!$U$12,K200),1))+(IF(K200=0,0,(Upgrades!$J$12+K200*Upgrades!$K$12)*POWER(Upgrades!$L$12,K200)))*(IF(Upgrades!$T$6="First Photons",POWER(Upgrades!$U$6,E200),1)*IF(Upgrades!$T$7="First Photons",POWER(Upgrades!$U$7,F200),1)*IF(Upgrades!$T$8="First Photons",POWER(Upgrades!$U$8,G200),1)*IF(Upgrades!$T$9="First Photons",POWER(Upgrades!$U$9,H200),1)*IF(Upgrades!$T$10="First Photons",POWER(Upgrades!$U$10,I200),1)*IF(Upgrades!$T$11="First Photons",POWER(Upgrades!$U$11,J200),1)))*POWER(Upgrades!$Q$6,E200)*POWER(Upgrades!$Q$7,F200)*POWER(Upgrades!$Q$8,G200)*POWER(Upgrades!$Q$9,H200)*POWER(Upgrades!$Q$10,I200)*POWER(Upgrades!$Q$11,J200)*POWER(Upgrades!$Q$12,K200)</f>
        <v>5.61</v>
      </c>
      <c r="N200" s="28" t="n">
        <f aca="false">((IF(E200=0,0,(Upgrades!$G$6+E200*Upgrades!$H$6)*POWER(Upgrades!$I$6,E200)))*(IF(Upgrades!$T$7="Solar Wind",POWER(Upgrades!$U$7,F200),1)*IF(Upgrades!$T$8="Solar Wind",POWER(Upgrades!$U$8,G200),1)*IF(Upgrades!$T$9="Solar Wind",POWER(Upgrades!$U$9,H200),1)*IF(Upgrades!$T$10="Solar Wind",POWER(Upgrades!$U$10,I200),1)*IF(Upgrades!$T$11="Solar Wind",POWER(Upgrades!$U$11,J200),1)*IF(Upgrades!$T$12="Solar Wind",POWER(Upgrades!$U$12,K200),1))+(IF(F200=0,0,(Upgrades!$G$7+F200*Upgrades!$H$7)*POWER(Upgrades!$I$7,F200)))*(IF(Upgrades!$T$6="Asteroid Belt",POWER(Upgrades!$U$6,E200),1)*IF(Upgrades!$T$8="Asteroid Belt",POWER(Upgrades!$U$8,G200),1)*IF(Upgrades!$T$9="Asteroid Belt",POWER(Upgrades!$U$9,H200),1)*IF(Upgrades!$T$10="Asteroid Belt",POWER(Upgrades!$U$10,I200),1)*IF(Upgrades!$T$11="Asteroid Belt",POWER(Upgrades!$U$11,J200),1)*IF(Upgrades!$T$12="Asteroid Belt",POWER(Upgrades!$U$12,K200),1))+(IF(G200=0,0,(Upgrades!$G$8+G200*Upgrades!$H$8)*POWER(Upgrades!$I$8,G200)))*(IF(Upgrades!$T$6="Stellar Coupling",POWER(Upgrades!$U$6,E200),1)*IF(Upgrades!$T$7="Stellar Coupling",POWER(Upgrades!$U$7,F200),1)*IF(Upgrades!$T$9="Stellar Coupling",POWER(Upgrades!$U$9,H200),1)*IF(Upgrades!$T$10="Stellar Coupling",POWER(Upgrades!$U$10,I200),1)*IF(Upgrades!$T$11="Stellar Coupling",POWER(Upgrades!$U$11,J200),1)*IF(Upgrades!$T$12="Stellar Coupling",POWER(Upgrades!$U$12,K200),1))+(IF(H200=0,0,(Upgrades!$G$9+H200*Upgrades!$H$9)*POWER(Upgrades!$I$9,H200)))*(IF(Upgrades!$T$6="Magnetosphere",POWER(Upgrades!$U$6,E200),1)*IF(Upgrades!$T$7="Magnetosphere",POWER(Upgrades!$U$7,F200),1)*IF(Upgrades!$T$8="Magnetosphere",POWER(Upgrades!$U$8,G200),1)*IF(Upgrades!$T$10="Magnetosphere",POWER(Upgrades!$U$10,I200),1)*IF(Upgrades!$T$11="Magnetosphere",POWER(Upgrades!$U$11,J200),1)*IF(Upgrades!$T$12="Magnetosphere",POWER(Upgrades!$U$12,K200),1))+(IF(I200=0,0,(Upgrades!$G$10+I200*Upgrades!$H$10)*POWER(Upgrades!$I$10,I200)))*(IF(Upgrades!$T$6="Orbital Resonance",POWER(Upgrades!$U$6,E200),1)*IF(Upgrades!$T$7="Orbital Resonance",POWER(Upgrades!$U$7,F200),1)*IF(Upgrades!$T$8="Orbital Resonance",POWER(Upgrades!$U$8,G200),1)*IF(Upgrades!$T$9="Orbital Resonance",POWER(Upgrades!$U$9,H200),1)*IF(Upgrades!$T$11="Orbital Resonance",POWER(Upgrades!$U$11,J200),1)*IF(Upgrades!$T$12="Orbital Resonance",POWER(Upgrades!$U$12,K200),1))+(IF(J200=0,0,(Upgrades!$G$11+J200*Upgrades!$H$11)*POWER(Upgrades!$I$11,J200)))*(IF(Upgrades!$T$6="Heliopause",POWER(Upgrades!$U$6,E200),1)*IF(Upgrades!$T$7="Heliopause",POWER(Upgrades!$U$7,F200),1)*IF(Upgrades!$T$8="Heliopause",POWER(Upgrades!$U$8,G200),1)*IF(Upgrades!$T$9="Heliopause",POWER(Upgrades!$U$9,H200),1)*IF(Upgrades!$T$10="Heliopause",POWER(Upgrades!$U$10,I200),1)*IF(Upgrades!$T$12="Heliopause",POWER(Upgrades!$U$12,K200),1))+(IF(K200=0,0,(Upgrades!$G$12+K200*Upgrades!$H$12)*POWER(Upgrades!$I$12,K200)))*(IF(Upgrades!$T$6="First Photons",POWER(Upgrades!$U$6,E200),1)*IF(Upgrades!$T$7="First Photons",POWER(Upgrades!$U$7,F200),1)*IF(Upgrades!$T$8="First Photons",POWER(Upgrades!$U$8,G200),1)*IF(Upgrades!$T$9="First Photons",POWER(Upgrades!$U$9,H200),1)*IF(Upgrades!$T$10="First Photons",POWER(Upgrades!$U$10,I200),1)*IF(Upgrades!$T$11="First Photons",POWER(Upgrades!$U$11,J200),1)))*POWER(Upgrades!$P$6,E200)*POWER(Upgrades!$P$7,F200)*POWER(Upgrades!$P$8,G200)*POWER(Upgrades!$P$9,H200)*POWER(Upgrades!$P$10,I200)*POWER(Upgrades!$P$11,J200)*POWER(Upgrades!$P$12,K200)</f>
        <v>11.2</v>
      </c>
      <c r="O200" s="28" t="n">
        <f aca="false">((IF(E200=0,0,(Upgrades!$M$6+E200*Upgrades!$N$6)*POWER(Upgrades!$O$6,E200)))*(IF(Upgrades!$T$7="Solar Wind",POWER(Upgrades!$U$7,F200),1)*IF(Upgrades!$T$8="Solar Wind",POWER(Upgrades!$U$8,G200),1)*IF(Upgrades!$T$9="Solar Wind",POWER(Upgrades!$U$9,H200),1)*IF(Upgrades!$T$10="Solar Wind",POWER(Upgrades!$U$10,I200),1)*IF(Upgrades!$T$11="Solar Wind",POWER(Upgrades!$U$11,J200),1)*IF(Upgrades!$T$12="Solar Wind",POWER(Upgrades!$U$12,K200),1))+(IF(F200=0,0,(Upgrades!$M$7+F200*Upgrades!$N$7)*POWER(Upgrades!$O$7,F200)))*(IF(Upgrades!$T$6="Asteroid Belt",POWER(Upgrades!$U$6,E200),1)*IF(Upgrades!$T$8="Asteroid Belt",POWER(Upgrades!$U$8,G200),1)*IF(Upgrades!$T$9="Asteroid Belt",POWER(Upgrades!$U$9,H200),1)*IF(Upgrades!$T$10="Asteroid Belt",POWER(Upgrades!$U$10,I200),1)*IF(Upgrades!$T$11="Asteroid Belt",POWER(Upgrades!$U$11,J200),1)*IF(Upgrades!$T$12="Asteroid Belt",POWER(Upgrades!$U$12,K200),1))+(IF(G200=0,0,(Upgrades!$M$8+G200*Upgrades!$N$8)*POWER(Upgrades!$O$8,G200)))*(IF(Upgrades!$T$6="Stellar Coupling",POWER(Upgrades!$U$6,E200),1)*IF(Upgrades!$T$7="Stellar Coupling",POWER(Upgrades!$U$7,F200),1)*IF(Upgrades!$T$9="Stellar Coupling",POWER(Upgrades!$U$9,H200),1)*IF(Upgrades!$T$10="Stellar Coupling",POWER(Upgrades!$U$10,I200),1)*IF(Upgrades!$T$11="Stellar Coupling",POWER(Upgrades!$U$11,J200),1)*IF(Upgrades!$T$12="Stellar Coupling",POWER(Upgrades!$U$12,K200),1))+(IF(H200=0,0,(Upgrades!$M$9+H200*Upgrades!$N$9)*POWER(Upgrades!$O$9,H200)))*(IF(Upgrades!$T$6="Magnetosphere",POWER(Upgrades!$U$6,E200),1)*IF(Upgrades!$T$7="Magnetosphere",POWER(Upgrades!$U$7,F200),1)*IF(Upgrades!$T$8="Magnetosphere",POWER(Upgrades!$U$8,G200),1)*IF(Upgrades!$T$10="Magnetosphere",POWER(Upgrades!$U$10,I200),1)*IF(Upgrades!$T$11="Magnetosphere",POWER(Upgrades!$U$11,J200),1)*IF(Upgrades!$T$12="Magnetosphere",POWER(Upgrades!$U$12,K200),1))+(IF(I200=0,0,(Upgrades!$M$10+I200*Upgrades!$N$10)*POWER(Upgrades!$O$10,I200)))*(IF(Upgrades!$T$6="Orbital Resonance",POWER(Upgrades!$U$6,E200),1)*IF(Upgrades!$T$7="Orbital Resonance",POWER(Upgrades!$U$7,F200),1)*IF(Upgrades!$T$8="Orbital Resonance",POWER(Upgrades!$U$8,G200),1)*IF(Upgrades!$T$9="Orbital Resonance",POWER(Upgrades!$U$9,H200),1)*IF(Upgrades!$T$11="Orbital Resonance",POWER(Upgrades!$U$11,J200),1)*IF(Upgrades!$T$12="Orbital Resonance",POWER(Upgrades!$U$12,K200),1))+(IF(J200=0,0,(Upgrades!$M$11+J200*Upgrades!$N$11)*POWER(Upgrades!$O$11,J200)))*(IF(Upgrades!$T$6="Heliopause",POWER(Upgrades!$U$6,E200),1)*IF(Upgrades!$T$7="Heliopause",POWER(Upgrades!$U$7,F200),1)*IF(Upgrades!$T$8="Heliopause",POWER(Upgrades!$U$8,G200),1)*IF(Upgrades!$T$9="Heliopause",POWER(Upgrades!$U$9,H200),1)*IF(Upgrades!$T$10="Heliopause",POWER(Upgrades!$U$10,I200),1)*IF(Upgrades!$T$12="Heliopause",POWER(Upgrades!$U$12,K200),1))+(IF(K200=0,0,(Upgrades!$M$12+K200*Upgrades!$N$12)*POWER(Upgrades!$O$12,K200)))*(IF(Upgrades!$T$6="First Photons",POWER(Upgrades!$U$6,E200),1)*IF(Upgrades!$T$7="First Photons",POWER(Upgrades!$U$7,F200),1)*IF(Upgrades!$T$8="First Photons",POWER(Upgrades!$U$8,G200),1)*IF(Upgrades!$T$9="First Photons",POWER(Upgrades!$U$9,H200),1)*IF(Upgrades!$T$10="First Photons",POWER(Upgrades!$U$10,I200),1)*IF(Upgrades!$T$11="First Photons",POWER(Upgrades!$U$11,J200),1)))*POWER(Upgrades!$R$6,E200)*POWER(Upgrades!$R$7,F200)*POWER(Upgrades!$R$8,G200)*POWER(Upgrades!$R$9,H200)*POWER(Upgrades!$R$10,I200)*POWER(Upgrades!$R$11,J200)*POWER(Upgrades!$R$12,K200)</f>
        <v>0</v>
      </c>
      <c r="P200" s="27" t="n">
        <f aca="false">IF(L200=1,0,M200*Parameters!$B$10/60*Parameters!$B$11*10)</f>
        <v>0</v>
      </c>
      <c r="Q200" s="27" t="n">
        <f aca="false">IF(L200=1,0,O200*M200*10)</f>
        <v>0</v>
      </c>
      <c r="R200" s="27" t="n">
        <f aca="false">IF(L200=1,0,N200*10)</f>
        <v>0</v>
      </c>
      <c r="S200" s="27" t="n">
        <f aca="false">P200+Q200+R200</f>
        <v>0</v>
      </c>
      <c r="T200" s="21" t="n">
        <f aca="false">C200+S200</f>
        <v>18.6730249835055</v>
      </c>
      <c r="U200" s="34" t="str">
        <f aca="false">AX200</f>
        <v/>
      </c>
      <c r="V200" s="21" t="n">
        <f aca="false">IF(U200="",0,IF(U200="transition",0,IF(U200="SW",AG200,IF(U200="AB",AH200,IF(U200="SC",AI200,IF(U200="Mag",AJ200,IF(U200="OR",AK200,IF(U200="HP",AL200,IF(U200="FP",AM200,0)))))))))</f>
        <v>0</v>
      </c>
      <c r="W200" s="27" t="n">
        <f aca="false">IF(U200="OR",Upgrades!$F$10,IF(U200="HP",Upgrades!$F$11,IF(U200="transition",-Parameters!$B$18,0)))</f>
        <v>0</v>
      </c>
      <c r="X200" s="21" t="n">
        <f aca="false">T200-V200</f>
        <v>18.6730249835055</v>
      </c>
      <c r="Y200" s="30" t="n">
        <f aca="false">M200*Parameters!$B$10/60*Parameters!$B$11+O200*M200+N200</f>
        <v>20.55</v>
      </c>
      <c r="Z200" s="35" t="str">
        <f aca="false">IF(U200="transition","→ Tier 2 (Stellar Neighborhood)",IF(U200="FP","First Photons — light begins, system quickens",IF(U200="HP","Heliopause acquired",IF(U200="OR","Orbital Resonance — passive multiplier active",IF(AND(AO200=1,L200=0,AN200&lt;&gt;1),"Cohesion ready (waiting on completionist upgrades)","")))))</f>
        <v/>
      </c>
      <c r="AA200" s="27" t="n">
        <f aca="false">(IF(E200=0,0,(Upgrades!$G$6+E200*Upgrades!$H$6)*POWER(Upgrades!$I$6,E200)))*(IF(Upgrades!$T$7="Solar Wind",POWER(Upgrades!$U$7,F200),1)*IF(Upgrades!$T$8="Solar Wind",POWER(Upgrades!$U$8,G200),1)*IF(Upgrades!$T$9="Solar Wind",POWER(Upgrades!$U$9,H200),1)*IF(Upgrades!$T$10="Solar Wind",POWER(Upgrades!$U$10,I200),1)*IF(Upgrades!$T$11="Solar Wind",POWER(Upgrades!$U$11,J200),1)*IF(Upgrades!$T$12="Solar Wind",POWER(Upgrades!$U$12,K200),1))*POWER(Upgrades!$P$6,E200)*POWER(Upgrades!$P$7,F200)*POWER(Upgrades!$P$8,G200)*POWER(Upgrades!$P$9,H200)*POWER(Upgrades!$P$10,I200)*POWER(Upgrades!$P$11,J200)*POWER(Upgrades!$P$12,K200)*60</f>
        <v>72</v>
      </c>
      <c r="AB200" s="27" t="n">
        <f aca="false">(IF(F200=0,0,(Upgrades!$G$7+F200*Upgrades!$H$7)*POWER(Upgrades!$I$7,F200)))*(IF(Upgrades!$T$6="Asteroid Belt",POWER(Upgrades!$U$6,E200),1)*IF(Upgrades!$T$8="Asteroid Belt",POWER(Upgrades!$U$8,G200),1)*IF(Upgrades!$T$9="Asteroid Belt",POWER(Upgrades!$U$9,H200),1)*IF(Upgrades!$T$10="Asteroid Belt",POWER(Upgrades!$U$10,I200),1)*IF(Upgrades!$T$11="Asteroid Belt",POWER(Upgrades!$U$11,J200),1)*IF(Upgrades!$T$12="Asteroid Belt",POWER(Upgrades!$U$12,K200),1))*POWER(Upgrades!$P$6,E200)*POWER(Upgrades!$P$7,F200)*POWER(Upgrades!$P$8,G200)*POWER(Upgrades!$P$9,H200)*POWER(Upgrades!$P$10,I200)*POWER(Upgrades!$P$11,J200)*POWER(Upgrades!$P$12,K200)*60</f>
        <v>150</v>
      </c>
      <c r="AC200" s="27" t="n">
        <f aca="false">(IF(G200=0,0,(Upgrades!$J$8+G200*Upgrades!$K$8)*POWER(Upgrades!$L$8,G200)))*(IF(Upgrades!$T$6="Stellar Coupling",POWER(Upgrades!$U$6,E200),1)*IF(Upgrades!$T$7="Stellar Coupling",POWER(Upgrades!$U$7,F200),1)*IF(Upgrades!$T$9="Stellar Coupling",POWER(Upgrades!$U$9,H200),1)*IF(Upgrades!$T$10="Stellar Coupling",POWER(Upgrades!$U$10,I200),1)*IF(Upgrades!$T$11="Stellar Coupling",POWER(Upgrades!$U$11,J200),1)*IF(Upgrades!$T$12="Stellar Coupling",POWER(Upgrades!$U$12,K200),1))*POWER(Upgrades!$Q$6,E200)*POWER(Upgrades!$Q$7,F200)*POWER(Upgrades!$Q$8,G200)*POWER(Upgrades!$Q$9,H200)*POWER(Upgrades!$Q$10,I200)*POWER(Upgrades!$Q$11,J200)*POWER(Upgrades!$Q$12,K200)*Parameters!$B$10*Parameters!$B$11</f>
        <v>441</v>
      </c>
      <c r="AD200" s="27" t="n">
        <f aca="false">(IF(H200=0,0,(Upgrades!$G$9+H200*Upgrades!$H$9)*POWER(Upgrades!$I$9,H200)))*(IF(Upgrades!$T$6="Magnetosphere",POWER(Upgrades!$U$6,E200),1)*IF(Upgrades!$T$7="Magnetosphere",POWER(Upgrades!$U$7,F200),1)*IF(Upgrades!$T$8="Magnetosphere",POWER(Upgrades!$U$8,G200),1)*IF(Upgrades!$T$10="Magnetosphere",POWER(Upgrades!$U$10,I200),1)*IF(Upgrades!$T$11="Magnetosphere",POWER(Upgrades!$U$11,J200),1)*IF(Upgrades!$T$12="Magnetosphere",POWER(Upgrades!$U$12,K200),1))*POWER(Upgrades!$P$6,E200)*POWER(Upgrades!$P$7,F200)*POWER(Upgrades!$P$8,G200)*POWER(Upgrades!$P$9,H200)*POWER(Upgrades!$P$10,I200)*POWER(Upgrades!$P$11,J200)*POWER(Upgrades!$P$12,K200)*60</f>
        <v>375</v>
      </c>
      <c r="AE200" s="27" t="n">
        <f aca="false">(IF(K200=0,0,(Upgrades!$G$12+K200*Upgrades!$H$12)*POWER(Upgrades!$I$12,K200)))*(IF(Upgrades!$T$6="First Photons",POWER(Upgrades!$U$6,E200),1)*IF(Upgrades!$T$7="First Photons",POWER(Upgrades!$U$7,F200),1)*IF(Upgrades!$T$8="First Photons",POWER(Upgrades!$U$8,G200),1)*IF(Upgrades!$T$9="First Photons",POWER(Upgrades!$U$9,H200),1)*IF(Upgrades!$T$10="First Photons",POWER(Upgrades!$U$10,I200),1)*IF(Upgrades!$T$11="First Photons",POWER(Upgrades!$U$11,J200),1))*POWER(Upgrades!$P$6,E200)*POWER(Upgrades!$P$7,F200)*POWER(Upgrades!$P$8,G200)*POWER(Upgrades!$P$9,H200)*POWER(Upgrades!$P$10,I200)*POWER(Upgrades!$P$11,J200)*POWER(Upgrades!$P$12,K200)*60</f>
        <v>75</v>
      </c>
      <c r="AF200" s="27" t="n">
        <f aca="false">Parameters!$B$9*POWER(Upgrades!$Q$6,E200)*POWER(Upgrades!$Q$7,F200)*POWER(Upgrades!$Q$8,G200)*POWER(Upgrades!$Q$9,H200)*POWER(Upgrades!$Q$10,I200)*POWER(Upgrades!$Q$11,J200)*POWER(Upgrades!$Q$12,K200)*(Parameters!$B$10*Parameters!$B$11+O200*60)</f>
        <v>120</v>
      </c>
      <c r="AG200" s="21" t="n">
        <f aca="false">IF(E200&gt;=Upgrades!$E$6,"",Upgrades!$C$6*POWER(Upgrades!$D$6,E200))</f>
        <v>37.4517507383159</v>
      </c>
      <c r="AH200" s="21" t="n">
        <f aca="false">IF(F200&gt;=Upgrades!$E$7,"",Upgrades!$C$7*POWER(Upgrades!$D$7,F200))</f>
        <v>80.9111547141581</v>
      </c>
      <c r="AI200" s="21" t="n">
        <f aca="false">IF(G200&gt;=Upgrades!$E$8,"",Upgrades!$C$8*POWER(Upgrades!$D$8,G200))</f>
        <v>231.9097088</v>
      </c>
      <c r="AJ200" s="21" t="str">
        <f aca="false">IF(H200&gt;=Upgrades!$E$9,"",Upgrades!$C$9*POWER(Upgrades!$D$9,H200))</f>
        <v/>
      </c>
      <c r="AK200" s="21" t="str">
        <f aca="false">IF(I200&gt;=Upgrades!$E$10,"",Upgrades!$C$10*POWER(Upgrades!$D$10,I200))</f>
        <v/>
      </c>
      <c r="AL200" s="21" t="str">
        <f aca="false">IF(J200&gt;=Upgrades!$E$11,"",Upgrades!$C$11*POWER(Upgrades!$D$11,J200))</f>
        <v/>
      </c>
      <c r="AM200" s="21" t="str">
        <f aca="false">IF(K200&gt;=Upgrades!$E$12,"",Upgrades!$C$12*POWER(Upgrades!$D$12,K200))</f>
        <v/>
      </c>
      <c r="AN200" s="26" t="str">
        <f aca="false">IF(AND(D200&gt;=Parameters!$B$18,(H200&gt;=Upgrades!$E$9)*(K200&gt;=Upgrades!$E$12)=1,L200=0),1,"")</f>
        <v/>
      </c>
      <c r="AO200" s="26" t="str">
        <f aca="false">IF(AND(D200&gt;=Parameters!$B$18,L200=0),1,"")</f>
        <v/>
      </c>
      <c r="AP200" s="21" t="n">
        <f aca="false">MIN(IF(ISNUMBER(AK200),AK200,9000000000000000),IF(ISNUMBER(AL200),AL200,9000000000000000),IF(ISNUMBER(AM200),AM200,9000000000000000))</f>
        <v>9000000000000000</v>
      </c>
      <c r="AQ200" s="21" t="n">
        <f aca="false">MIN(IF(ISNUMBER(AG200),AG200,9000000000000000),IF(ISNUMBER(AH200),AH200,9000000000000000),IF(ISNUMBER(AI200),AI200,9000000000000000),IF(ISNUMBER(AJ200),AJ200,9000000000000000))</f>
        <v>37.4517507383159</v>
      </c>
      <c r="AR200" s="32" t="b">
        <f aca="false">IF(AW200&gt;Parameters!$B$21*(MAX(IF(AND(NOT(AND(AO200=1,AN200&lt;&gt;1)),ISNUMBER(AG200),AG200&lt;=T200),AS200,0),IF(AND(NOT(AND(AO200=1,AN200&lt;&gt;1)),ISNUMBER(AH200),AH200&lt;=T200),AT200,0),IF(AND(NOT(AND(AO200=1,AN200&lt;&gt;1)),ISNUMBER(AI200),AI200&lt;=T200),AU200,0),IF(AND(ISNUMBER(AJ200),AJ200&lt;=T200),AV200,0))),TRUE(),FALSE())</f>
        <v>1</v>
      </c>
      <c r="AS200" s="33" t="n">
        <f aca="false">IFERROR(Upgrades!$H$6*(POWER(Upgrades!$P$6,E200)*POWER(Upgrades!$P$7,F200)*POWER(Upgrades!$P$8,G200)*POWER(Upgrades!$P$9,H200)*POWER(Upgrades!$P$10,I200)*POWER(Upgrades!$P$11,J200)*POWER(Upgrades!$P$12,K200))*(IF(Upgrades!$T$7="Solar Wind",POWER(Upgrades!$U$7,F200),1)*IF(Upgrades!$T$8="Solar Wind",POWER(Upgrades!$U$8,G200),1)*IF(Upgrades!$T$9="Solar Wind",POWER(Upgrades!$U$9,H200),1)*IF(Upgrades!$T$10="Solar Wind",POWER(Upgrades!$U$10,I200),1)*IF(Upgrades!$T$11="Solar Wind",POWER(Upgrades!$U$11,J200),1)*IF(Upgrades!$T$12="Solar Wind",POWER(Upgrades!$U$12,K200),1))/AG200,0)</f>
        <v>0.0026701021455238</v>
      </c>
      <c r="AT200" s="33" t="n">
        <f aca="false">IFERROR(Upgrades!$H$7*(POWER(Upgrades!$P$6,E200)*POWER(Upgrades!$P$7,F200)*POWER(Upgrades!$P$8,G200)*POWER(Upgrades!$P$9,H200)*POWER(Upgrades!$P$10,I200)*POWER(Upgrades!$P$11,J200)*POWER(Upgrades!$P$12,K200))*(IF(Upgrades!$T$6="Asteroid Belt",POWER(Upgrades!$U$6,E200),1)*IF(Upgrades!$T$8="Asteroid Belt",POWER(Upgrades!$U$8,G200),1)*IF(Upgrades!$T$9="Asteroid Belt",POWER(Upgrades!$U$9,H200),1)*IF(Upgrades!$T$10="Asteroid Belt",POWER(Upgrades!$U$10,I200),1)*IF(Upgrades!$T$11="Asteroid Belt",POWER(Upgrades!$U$11,J200),1)*IF(Upgrades!$T$12="Asteroid Belt",POWER(Upgrades!$U$12,K200),1))/AH200,0)</f>
        <v>0.00308980882652332</v>
      </c>
      <c r="AU200" s="33" t="n">
        <f aca="false">IFERROR(Upgrades!$K$8*(POWER(Upgrades!$Q$6,E200)*POWER(Upgrades!$Q$7,F200)*POWER(Upgrades!$Q$8,G200)*POWER(Upgrades!$Q$9,H200)*POWER(Upgrades!$Q$10,I200)*POWER(Upgrades!$Q$11,J200)*POWER(Upgrades!$Q$12,K200))*(IF(Upgrades!$T$6="Stellar Coupling",POWER(Upgrades!$U$6,E200),1)*IF(Upgrades!$T$7="Stellar Coupling",POWER(Upgrades!$U$7,F200),1)*IF(Upgrades!$T$9="Stellar Coupling",POWER(Upgrades!$U$9,H200),1)*IF(Upgrades!$T$10="Stellar Coupling",POWER(Upgrades!$U$10,I200),1)*IF(Upgrades!$T$11="Stellar Coupling",POWER(Upgrades!$U$11,J200),1)*IF(Upgrades!$T$12="Stellar Coupling",POWER(Upgrades!$U$12,K200),1))*Parameters!$B$10*Parameters!$B$11/60/AI200,0)</f>
        <v>0.00452762415783776</v>
      </c>
      <c r="AV200" s="33" t="n">
        <f aca="false">IFERROR(Upgrades!$H$9*(POWER(Upgrades!$P$6,E200)*POWER(Upgrades!$P$7,F200)*POWER(Upgrades!$P$8,G200)*POWER(Upgrades!$P$9,H200)*POWER(Upgrades!$P$10,I200)*POWER(Upgrades!$P$11,J200)*POWER(Upgrades!$P$12,K200))*(IF(Upgrades!$T$6="Magnetosphere",POWER(Upgrades!$U$6,E200),1)*IF(Upgrades!$T$7="Magnetosphere",POWER(Upgrades!$U$7,F200),1)*IF(Upgrades!$T$8="Magnetosphere",POWER(Upgrades!$U$8,G200),1)*IF(Upgrades!$T$10="Magnetosphere",POWER(Upgrades!$U$10,I200),1)*IF(Upgrades!$T$11="Magnetosphere",POWER(Upgrades!$U$11,J200),1)*IF(Upgrades!$T$12="Magnetosphere",POWER(Upgrades!$U$12,K200),1))/AJ200,0)</f>
        <v>0</v>
      </c>
      <c r="AW200" s="33" t="n">
        <f aca="false">MAX(IF(I200&gt;0,0,IFERROR(0.25*N200/Upgrades!$C$10,0)),IF(J200&gt;0,0,IFERROR(0.5*((IF(G200=0,0,(Upgrades!$J$8+G200*Upgrades!$K$8)*POWER(Upgrades!$L$8,G200)))*(IF(Upgrades!$T$6="Stellar Coupling",POWER(Upgrades!$U$6,E200),1)*IF(Upgrades!$T$7="Stellar Coupling",POWER(Upgrades!$U$7,F200),1)*IF(Upgrades!$T$9="Stellar Coupling",POWER(Upgrades!$U$9,H200),1)*IF(Upgrades!$T$10="Stellar Coupling",POWER(Upgrades!$U$10,I200),1)*IF(Upgrades!$T$11="Stellar Coupling",POWER(Upgrades!$U$11,J200),1)*IF(Upgrades!$T$12="Stellar Coupling",POWER(Upgrades!$U$12,K200),1))*(POWER(Upgrades!$Q$6,E200)*POWER(Upgrades!$Q$7,F200)*POWER(Upgrades!$Q$8,G200)*POWER(Upgrades!$Q$9,H200)*POWER(Upgrades!$Q$10,I200)*POWER(Upgrades!$Q$11,J200)*POWER(Upgrades!$Q$12,K200))*Parameters!$B$10*Parameters!$B$11/60)/Upgrades!$C$11,0)),IF(K200&gt;0,0,IFERROR((1*(POWER(Upgrades!$P$6,E200)*POWER(Upgrades!$P$7,F200)*POWER(Upgrades!$P$8,G200)*POWER(Upgrades!$P$9,H200)*POWER(Upgrades!$P$10,I200)*POWER(Upgrades!$P$11,J200)*POWER(Upgrades!$P$12,K200))+0.2*M200*Parameters!$B$10*Parameters!$B$11/60)/Upgrades!$C$12,0)),IF(AND(ISNUMBER(AG200),AG200&gt;T200),AS200,0),IF(AND(ISNUMBER(AH200),AH200&gt;T200),AT200,0),IF(AND(ISNUMBER(AI200),AI200&gt;T200),AU200,0),IF(AND(ISNUMBER(AJ200),AJ200&gt;T200),AV200,0))</f>
        <v>0.00452762415783776</v>
      </c>
      <c r="AX200" s="29" t="str">
        <f aca="false">IF(AN200=1,"transition",IF(MIN(IF(AND(I200=0,ISNUMBER(AK200),AK200&lt;=T200),AK200,9000000000000000),IF(AND(J200=0,ISNUMBER(AL200),AL200&lt;=T200),AL200,9000000000000000),IF(AND(K200=0,ISNUMBER(AM200),AM200&lt;=T200),AM200,9000000000000000))&lt;9000000000000000,IF(AND(AND(I200=0,ISNUMBER(AK200),AK200&lt;=T200),AK200=MIN(IF(AND(I200=0,ISNUMBER(AK200),AK200&lt;=T200),AK200,9000000000000000),IF(AND(J200=0,ISNUMBER(AL200),AL200&lt;=T200),AL200,9000000000000000),IF(AND(K200=0,ISNUMBER(AM200),AM200&lt;=T200),AM200,9000000000000000))),"OR",IF(AND(AND(J200=0,ISNUMBER(AL200),AL200&lt;=T200),AL200=MIN(IF(AND(I200=0,ISNUMBER(AK200),AK200&lt;=T200),AK200,9000000000000000),IF(AND(J200=0,ISNUMBER(AL200),AL200&lt;=T200),AL200,9000000000000000),IF(AND(K200=0,ISNUMBER(AM200),AM200&lt;=T200),AM200,9000000000000000))),"HP","FP")),IF(AR200=TRUE(),"",IF(MAX(IF(AND(NOT(AND(AO200=1,AN200&lt;&gt;1)),ISNUMBER(AG200),AG200&lt;=T200),AS200,0),IF(AND(NOT(AND(AO200=1,AN200&lt;&gt;1)),ISNUMBER(AH200),AH200&lt;=T200),AT200,0),IF(AND(NOT(AND(AO200=1,AN200&lt;&gt;1)),ISNUMBER(AI200),AI200&lt;=T200),AU200,0),IF(AND(ISNUMBER(AJ200),AJ200&lt;=T200),AV200,0))&lt;=0,"",IF(AND(IF(AND(NOT(AND(AO200=1,AN200&lt;&gt;1)),ISNUMBER(AG200),AG200&lt;=T200),AS200,0)&gt;0,IF(AND(NOT(AND(AO200=1,AN200&lt;&gt;1)),ISNUMBER(AG200),AG200&lt;=T200),AS200,0)=MAX(IF(AND(NOT(AND(AO200=1,AN200&lt;&gt;1)),ISNUMBER(AG200),AG200&lt;=T200),AS200,0),IF(AND(NOT(AND(AO200=1,AN200&lt;&gt;1)),ISNUMBER(AH200),AH200&lt;=T200),AT200,0),IF(AND(NOT(AND(AO200=1,AN200&lt;&gt;1)),ISNUMBER(AI200),AI200&lt;=T200),AU200,0),IF(AND(ISNUMBER(AJ200),AJ200&lt;=T200),AV200,0))),"SW",IF(AND(IF(AND(NOT(AND(AO200=1,AN200&lt;&gt;1)),ISNUMBER(AH200),AH200&lt;=T200),AT200,0)&gt;0,IF(AND(NOT(AND(AO200=1,AN200&lt;&gt;1)),ISNUMBER(AH200),AH200&lt;=T200),AT200,0)=MAX(IF(AND(NOT(AND(AO200=1,AN200&lt;&gt;1)),ISNUMBER(AG200),AG200&lt;=T200),AS200,0),IF(AND(NOT(AND(AO200=1,AN200&lt;&gt;1)),ISNUMBER(AH200),AH200&lt;=T200),AT200,0),IF(AND(NOT(AND(AO200=1,AN200&lt;&gt;1)),ISNUMBER(AI200),AI200&lt;=T200),AU200,0),IF(AND(ISNUMBER(AJ200),AJ200&lt;=T200),AV200,0))),"AB",IF(AND(IF(AND(NOT(AND(AO200=1,AN200&lt;&gt;1)),ISNUMBER(AI200),AI200&lt;=T200),AU200,0)&gt;0,IF(AND(NOT(AND(AO200=1,AN200&lt;&gt;1)),ISNUMBER(AI200),AI200&lt;=T200),AU200,0)=MAX(IF(AND(NOT(AND(AO200=1,AN200&lt;&gt;1)),ISNUMBER(AG200),AG200&lt;=T200),AS200,0),IF(AND(NOT(AND(AO200=1,AN200&lt;&gt;1)),ISNUMBER(AH200),AH200&lt;=T200),AT200,0),IF(AND(NOT(AND(AO200=1,AN200&lt;&gt;1)),ISNUMBER(AI200),AI200&lt;=T200),AU200,0),IF(AND(ISNUMBER(AJ200),AJ200&lt;=T200),AV200,0))),"SC","Mag")))))))</f>
        <v/>
      </c>
    </row>
    <row r="201" customFormat="false" ht="15" hidden="false" customHeight="false" outlineLevel="0" collapsed="false">
      <c r="A201" s="26" t="n">
        <v>196</v>
      </c>
      <c r="B201" s="27" t="n">
        <f aca="false">A201*10/60</f>
        <v>32.6666666666667</v>
      </c>
      <c r="C201" s="21" t="n">
        <f aca="false">X200</f>
        <v>18.6730249835055</v>
      </c>
      <c r="D201" s="27" t="n">
        <f aca="false">D200+W200</f>
        <v>0</v>
      </c>
      <c r="E201" s="26" t="n">
        <f aca="false">E200+IF(U200="SW",1,0)</f>
        <v>12</v>
      </c>
      <c r="F201" s="26" t="n">
        <f aca="false">F200+IF(U200="AB",1,0)</f>
        <v>10</v>
      </c>
      <c r="G201" s="26" t="n">
        <f aca="false">G200+IF(U200="SC",1,0)</f>
        <v>7</v>
      </c>
      <c r="H201" s="26" t="n">
        <f aca="false">H200+IF(U200="Mag",1,0)</f>
        <v>5</v>
      </c>
      <c r="I201" s="26" t="n">
        <f aca="false">MAX(I200,IF(U200="OR",1,0))</f>
        <v>1</v>
      </c>
      <c r="J201" s="26" t="n">
        <f aca="false">MAX(J200,IF(U200="HP",1,0))</f>
        <v>1</v>
      </c>
      <c r="K201" s="26" t="n">
        <f aca="false">MAX(K200,IF(U200="FP",1,0))</f>
        <v>1</v>
      </c>
      <c r="L201" s="26" t="n">
        <f aca="false">MAX(L200,IF(U200="transition",1,0))</f>
        <v>1</v>
      </c>
      <c r="M201" s="28" t="n">
        <f aca="false">(Parameters!$B$9+(IF(E201=0,0,(Upgrades!$J$6+E201*Upgrades!$K$6)*POWER(Upgrades!$L$6,E201)))*(IF(Upgrades!$T$7="Solar Wind",POWER(Upgrades!$U$7,F201),1)*IF(Upgrades!$T$8="Solar Wind",POWER(Upgrades!$U$8,G201),1)*IF(Upgrades!$T$9="Solar Wind",POWER(Upgrades!$U$9,H201),1)*IF(Upgrades!$T$10="Solar Wind",POWER(Upgrades!$U$10,I201),1)*IF(Upgrades!$T$11="Solar Wind",POWER(Upgrades!$U$11,J201),1)*IF(Upgrades!$T$12="Solar Wind",POWER(Upgrades!$U$12,K201),1))+(IF(F201=0,0,(Upgrades!$J$7+F201*Upgrades!$K$7)*POWER(Upgrades!$L$7,F201)))*(IF(Upgrades!$T$6="Asteroid Belt",POWER(Upgrades!$U$6,E201),1)*IF(Upgrades!$T$8="Asteroid Belt",POWER(Upgrades!$U$8,G201),1)*IF(Upgrades!$T$9="Asteroid Belt",POWER(Upgrades!$U$9,H201),1)*IF(Upgrades!$T$10="Asteroid Belt",POWER(Upgrades!$U$10,I201),1)*IF(Upgrades!$T$11="Asteroid Belt",POWER(Upgrades!$U$11,J201),1)*IF(Upgrades!$T$12="Asteroid Belt",POWER(Upgrades!$U$12,K201),1))+(IF(G201=0,0,(Upgrades!$J$8+G201*Upgrades!$K$8)*POWER(Upgrades!$L$8,G201)))*(IF(Upgrades!$T$6="Stellar Coupling",POWER(Upgrades!$U$6,E201),1)*IF(Upgrades!$T$7="Stellar Coupling",POWER(Upgrades!$U$7,F201),1)*IF(Upgrades!$T$9="Stellar Coupling",POWER(Upgrades!$U$9,H201),1)*IF(Upgrades!$T$10="Stellar Coupling",POWER(Upgrades!$U$10,I201),1)*IF(Upgrades!$T$11="Stellar Coupling",POWER(Upgrades!$U$11,J201),1)*IF(Upgrades!$T$12="Stellar Coupling",POWER(Upgrades!$U$12,K201),1))+(IF(H201=0,0,(Upgrades!$J$9+H201*Upgrades!$K$9)*POWER(Upgrades!$L$9,H201)))*(IF(Upgrades!$T$6="Magnetosphere",POWER(Upgrades!$U$6,E201),1)*IF(Upgrades!$T$7="Magnetosphere",POWER(Upgrades!$U$7,F201),1)*IF(Upgrades!$T$8="Magnetosphere",POWER(Upgrades!$U$8,G201),1)*IF(Upgrades!$T$10="Magnetosphere",POWER(Upgrades!$U$10,I201),1)*IF(Upgrades!$T$11="Magnetosphere",POWER(Upgrades!$U$11,J201),1)*IF(Upgrades!$T$12="Magnetosphere",POWER(Upgrades!$U$12,K201),1))+(IF(I201=0,0,(Upgrades!$J$10+I201*Upgrades!$K$10)*POWER(Upgrades!$L$10,I201)))*(IF(Upgrades!$T$6="Orbital Resonance",POWER(Upgrades!$U$6,E201),1)*IF(Upgrades!$T$7="Orbital Resonance",POWER(Upgrades!$U$7,F201),1)*IF(Upgrades!$T$8="Orbital Resonance",POWER(Upgrades!$U$8,G201),1)*IF(Upgrades!$T$9="Orbital Resonance",POWER(Upgrades!$U$9,H201),1)*IF(Upgrades!$T$11="Orbital Resonance",POWER(Upgrades!$U$11,J201),1)*IF(Upgrades!$T$12="Orbital Resonance",POWER(Upgrades!$U$12,K201),1))+(IF(J201=0,0,(Upgrades!$J$11+J201*Upgrades!$K$11)*POWER(Upgrades!$L$11,J201)))*(IF(Upgrades!$T$6="Heliopause",POWER(Upgrades!$U$6,E201),1)*IF(Upgrades!$T$7="Heliopause",POWER(Upgrades!$U$7,F201),1)*IF(Upgrades!$T$8="Heliopause",POWER(Upgrades!$U$8,G201),1)*IF(Upgrades!$T$9="Heliopause",POWER(Upgrades!$U$9,H201),1)*IF(Upgrades!$T$10="Heliopause",POWER(Upgrades!$U$10,I201),1)*IF(Upgrades!$T$12="Heliopause",POWER(Upgrades!$U$12,K201),1))+(IF(K201=0,0,(Upgrades!$J$12+K201*Upgrades!$K$12)*POWER(Upgrades!$L$12,K201)))*(IF(Upgrades!$T$6="First Photons",POWER(Upgrades!$U$6,E201),1)*IF(Upgrades!$T$7="First Photons",POWER(Upgrades!$U$7,F201),1)*IF(Upgrades!$T$8="First Photons",POWER(Upgrades!$U$8,G201),1)*IF(Upgrades!$T$9="First Photons",POWER(Upgrades!$U$9,H201),1)*IF(Upgrades!$T$10="First Photons",POWER(Upgrades!$U$10,I201),1)*IF(Upgrades!$T$11="First Photons",POWER(Upgrades!$U$11,J201),1)))*POWER(Upgrades!$Q$6,E201)*POWER(Upgrades!$Q$7,F201)*POWER(Upgrades!$Q$8,G201)*POWER(Upgrades!$Q$9,H201)*POWER(Upgrades!$Q$10,I201)*POWER(Upgrades!$Q$11,J201)*POWER(Upgrades!$Q$12,K201)</f>
        <v>5.61</v>
      </c>
      <c r="N201" s="28" t="n">
        <f aca="false">((IF(E201=0,0,(Upgrades!$G$6+E201*Upgrades!$H$6)*POWER(Upgrades!$I$6,E201)))*(IF(Upgrades!$T$7="Solar Wind",POWER(Upgrades!$U$7,F201),1)*IF(Upgrades!$T$8="Solar Wind",POWER(Upgrades!$U$8,G201),1)*IF(Upgrades!$T$9="Solar Wind",POWER(Upgrades!$U$9,H201),1)*IF(Upgrades!$T$10="Solar Wind",POWER(Upgrades!$U$10,I201),1)*IF(Upgrades!$T$11="Solar Wind",POWER(Upgrades!$U$11,J201),1)*IF(Upgrades!$T$12="Solar Wind",POWER(Upgrades!$U$12,K201),1))+(IF(F201=0,0,(Upgrades!$G$7+F201*Upgrades!$H$7)*POWER(Upgrades!$I$7,F201)))*(IF(Upgrades!$T$6="Asteroid Belt",POWER(Upgrades!$U$6,E201),1)*IF(Upgrades!$T$8="Asteroid Belt",POWER(Upgrades!$U$8,G201),1)*IF(Upgrades!$T$9="Asteroid Belt",POWER(Upgrades!$U$9,H201),1)*IF(Upgrades!$T$10="Asteroid Belt",POWER(Upgrades!$U$10,I201),1)*IF(Upgrades!$T$11="Asteroid Belt",POWER(Upgrades!$U$11,J201),1)*IF(Upgrades!$T$12="Asteroid Belt",POWER(Upgrades!$U$12,K201),1))+(IF(G201=0,0,(Upgrades!$G$8+G201*Upgrades!$H$8)*POWER(Upgrades!$I$8,G201)))*(IF(Upgrades!$T$6="Stellar Coupling",POWER(Upgrades!$U$6,E201),1)*IF(Upgrades!$T$7="Stellar Coupling",POWER(Upgrades!$U$7,F201),1)*IF(Upgrades!$T$9="Stellar Coupling",POWER(Upgrades!$U$9,H201),1)*IF(Upgrades!$T$10="Stellar Coupling",POWER(Upgrades!$U$10,I201),1)*IF(Upgrades!$T$11="Stellar Coupling",POWER(Upgrades!$U$11,J201),1)*IF(Upgrades!$T$12="Stellar Coupling",POWER(Upgrades!$U$12,K201),1))+(IF(H201=0,0,(Upgrades!$G$9+H201*Upgrades!$H$9)*POWER(Upgrades!$I$9,H201)))*(IF(Upgrades!$T$6="Magnetosphere",POWER(Upgrades!$U$6,E201),1)*IF(Upgrades!$T$7="Magnetosphere",POWER(Upgrades!$U$7,F201),1)*IF(Upgrades!$T$8="Magnetosphere",POWER(Upgrades!$U$8,G201),1)*IF(Upgrades!$T$10="Magnetosphere",POWER(Upgrades!$U$10,I201),1)*IF(Upgrades!$T$11="Magnetosphere",POWER(Upgrades!$U$11,J201),1)*IF(Upgrades!$T$12="Magnetosphere",POWER(Upgrades!$U$12,K201),1))+(IF(I201=0,0,(Upgrades!$G$10+I201*Upgrades!$H$10)*POWER(Upgrades!$I$10,I201)))*(IF(Upgrades!$T$6="Orbital Resonance",POWER(Upgrades!$U$6,E201),1)*IF(Upgrades!$T$7="Orbital Resonance",POWER(Upgrades!$U$7,F201),1)*IF(Upgrades!$T$8="Orbital Resonance",POWER(Upgrades!$U$8,G201),1)*IF(Upgrades!$T$9="Orbital Resonance",POWER(Upgrades!$U$9,H201),1)*IF(Upgrades!$T$11="Orbital Resonance",POWER(Upgrades!$U$11,J201),1)*IF(Upgrades!$T$12="Orbital Resonance",POWER(Upgrades!$U$12,K201),1))+(IF(J201=0,0,(Upgrades!$G$11+J201*Upgrades!$H$11)*POWER(Upgrades!$I$11,J201)))*(IF(Upgrades!$T$6="Heliopause",POWER(Upgrades!$U$6,E201),1)*IF(Upgrades!$T$7="Heliopause",POWER(Upgrades!$U$7,F201),1)*IF(Upgrades!$T$8="Heliopause",POWER(Upgrades!$U$8,G201),1)*IF(Upgrades!$T$9="Heliopause",POWER(Upgrades!$U$9,H201),1)*IF(Upgrades!$T$10="Heliopause",POWER(Upgrades!$U$10,I201),1)*IF(Upgrades!$T$12="Heliopause",POWER(Upgrades!$U$12,K201),1))+(IF(K201=0,0,(Upgrades!$G$12+K201*Upgrades!$H$12)*POWER(Upgrades!$I$12,K201)))*(IF(Upgrades!$T$6="First Photons",POWER(Upgrades!$U$6,E201),1)*IF(Upgrades!$T$7="First Photons",POWER(Upgrades!$U$7,F201),1)*IF(Upgrades!$T$8="First Photons",POWER(Upgrades!$U$8,G201),1)*IF(Upgrades!$T$9="First Photons",POWER(Upgrades!$U$9,H201),1)*IF(Upgrades!$T$10="First Photons",POWER(Upgrades!$U$10,I201),1)*IF(Upgrades!$T$11="First Photons",POWER(Upgrades!$U$11,J201),1)))*POWER(Upgrades!$P$6,E201)*POWER(Upgrades!$P$7,F201)*POWER(Upgrades!$P$8,G201)*POWER(Upgrades!$P$9,H201)*POWER(Upgrades!$P$10,I201)*POWER(Upgrades!$P$11,J201)*POWER(Upgrades!$P$12,K201)</f>
        <v>11.2</v>
      </c>
      <c r="O201" s="28" t="n">
        <f aca="false">((IF(E201=0,0,(Upgrades!$M$6+E201*Upgrades!$N$6)*POWER(Upgrades!$O$6,E201)))*(IF(Upgrades!$T$7="Solar Wind",POWER(Upgrades!$U$7,F201),1)*IF(Upgrades!$T$8="Solar Wind",POWER(Upgrades!$U$8,G201),1)*IF(Upgrades!$T$9="Solar Wind",POWER(Upgrades!$U$9,H201),1)*IF(Upgrades!$T$10="Solar Wind",POWER(Upgrades!$U$10,I201),1)*IF(Upgrades!$T$11="Solar Wind",POWER(Upgrades!$U$11,J201),1)*IF(Upgrades!$T$12="Solar Wind",POWER(Upgrades!$U$12,K201),1))+(IF(F201=0,0,(Upgrades!$M$7+F201*Upgrades!$N$7)*POWER(Upgrades!$O$7,F201)))*(IF(Upgrades!$T$6="Asteroid Belt",POWER(Upgrades!$U$6,E201),1)*IF(Upgrades!$T$8="Asteroid Belt",POWER(Upgrades!$U$8,G201),1)*IF(Upgrades!$T$9="Asteroid Belt",POWER(Upgrades!$U$9,H201),1)*IF(Upgrades!$T$10="Asteroid Belt",POWER(Upgrades!$U$10,I201),1)*IF(Upgrades!$T$11="Asteroid Belt",POWER(Upgrades!$U$11,J201),1)*IF(Upgrades!$T$12="Asteroid Belt",POWER(Upgrades!$U$12,K201),1))+(IF(G201=0,0,(Upgrades!$M$8+G201*Upgrades!$N$8)*POWER(Upgrades!$O$8,G201)))*(IF(Upgrades!$T$6="Stellar Coupling",POWER(Upgrades!$U$6,E201),1)*IF(Upgrades!$T$7="Stellar Coupling",POWER(Upgrades!$U$7,F201),1)*IF(Upgrades!$T$9="Stellar Coupling",POWER(Upgrades!$U$9,H201),1)*IF(Upgrades!$T$10="Stellar Coupling",POWER(Upgrades!$U$10,I201),1)*IF(Upgrades!$T$11="Stellar Coupling",POWER(Upgrades!$U$11,J201),1)*IF(Upgrades!$T$12="Stellar Coupling",POWER(Upgrades!$U$12,K201),1))+(IF(H201=0,0,(Upgrades!$M$9+H201*Upgrades!$N$9)*POWER(Upgrades!$O$9,H201)))*(IF(Upgrades!$T$6="Magnetosphere",POWER(Upgrades!$U$6,E201),1)*IF(Upgrades!$T$7="Magnetosphere",POWER(Upgrades!$U$7,F201),1)*IF(Upgrades!$T$8="Magnetosphere",POWER(Upgrades!$U$8,G201),1)*IF(Upgrades!$T$10="Magnetosphere",POWER(Upgrades!$U$10,I201),1)*IF(Upgrades!$T$11="Magnetosphere",POWER(Upgrades!$U$11,J201),1)*IF(Upgrades!$T$12="Magnetosphere",POWER(Upgrades!$U$12,K201),1))+(IF(I201=0,0,(Upgrades!$M$10+I201*Upgrades!$N$10)*POWER(Upgrades!$O$10,I201)))*(IF(Upgrades!$T$6="Orbital Resonance",POWER(Upgrades!$U$6,E201),1)*IF(Upgrades!$T$7="Orbital Resonance",POWER(Upgrades!$U$7,F201),1)*IF(Upgrades!$T$8="Orbital Resonance",POWER(Upgrades!$U$8,G201),1)*IF(Upgrades!$T$9="Orbital Resonance",POWER(Upgrades!$U$9,H201),1)*IF(Upgrades!$T$11="Orbital Resonance",POWER(Upgrades!$U$11,J201),1)*IF(Upgrades!$T$12="Orbital Resonance",POWER(Upgrades!$U$12,K201),1))+(IF(J201=0,0,(Upgrades!$M$11+J201*Upgrades!$N$11)*POWER(Upgrades!$O$11,J201)))*(IF(Upgrades!$T$6="Heliopause",POWER(Upgrades!$U$6,E201),1)*IF(Upgrades!$T$7="Heliopause",POWER(Upgrades!$U$7,F201),1)*IF(Upgrades!$T$8="Heliopause",POWER(Upgrades!$U$8,G201),1)*IF(Upgrades!$T$9="Heliopause",POWER(Upgrades!$U$9,H201),1)*IF(Upgrades!$T$10="Heliopause",POWER(Upgrades!$U$10,I201),1)*IF(Upgrades!$T$12="Heliopause",POWER(Upgrades!$U$12,K201),1))+(IF(K201=0,0,(Upgrades!$M$12+K201*Upgrades!$N$12)*POWER(Upgrades!$O$12,K201)))*(IF(Upgrades!$T$6="First Photons",POWER(Upgrades!$U$6,E201),1)*IF(Upgrades!$T$7="First Photons",POWER(Upgrades!$U$7,F201),1)*IF(Upgrades!$T$8="First Photons",POWER(Upgrades!$U$8,G201),1)*IF(Upgrades!$T$9="First Photons",POWER(Upgrades!$U$9,H201),1)*IF(Upgrades!$T$10="First Photons",POWER(Upgrades!$U$10,I201),1)*IF(Upgrades!$T$11="First Photons",POWER(Upgrades!$U$11,J201),1)))*POWER(Upgrades!$R$6,E201)*POWER(Upgrades!$R$7,F201)*POWER(Upgrades!$R$8,G201)*POWER(Upgrades!$R$9,H201)*POWER(Upgrades!$R$10,I201)*POWER(Upgrades!$R$11,J201)*POWER(Upgrades!$R$12,K201)</f>
        <v>0</v>
      </c>
      <c r="P201" s="27" t="n">
        <f aca="false">IF(L201=1,0,M201*Parameters!$B$10/60*Parameters!$B$11*10)</f>
        <v>0</v>
      </c>
      <c r="Q201" s="27" t="n">
        <f aca="false">IF(L201=1,0,O201*M201*10)</f>
        <v>0</v>
      </c>
      <c r="R201" s="27" t="n">
        <f aca="false">IF(L201=1,0,N201*10)</f>
        <v>0</v>
      </c>
      <c r="S201" s="27" t="n">
        <f aca="false">P201+Q201+R201</f>
        <v>0</v>
      </c>
      <c r="T201" s="21" t="n">
        <f aca="false">C201+S201</f>
        <v>18.6730249835055</v>
      </c>
      <c r="U201" s="34" t="str">
        <f aca="false">AX201</f>
        <v/>
      </c>
      <c r="V201" s="21" t="n">
        <f aca="false">IF(U201="",0,IF(U201="transition",0,IF(U201="SW",AG201,IF(U201="AB",AH201,IF(U201="SC",AI201,IF(U201="Mag",AJ201,IF(U201="OR",AK201,IF(U201="HP",AL201,IF(U201="FP",AM201,0)))))))))</f>
        <v>0</v>
      </c>
      <c r="W201" s="27" t="n">
        <f aca="false">IF(U201="OR",Upgrades!$F$10,IF(U201="HP",Upgrades!$F$11,IF(U201="transition",-Parameters!$B$18,0)))</f>
        <v>0</v>
      </c>
      <c r="X201" s="21" t="n">
        <f aca="false">T201-V201</f>
        <v>18.6730249835055</v>
      </c>
      <c r="Y201" s="30" t="n">
        <f aca="false">M201*Parameters!$B$10/60*Parameters!$B$11+O201*M201+N201</f>
        <v>20.55</v>
      </c>
      <c r="Z201" s="35" t="str">
        <f aca="false">IF(U201="transition","→ Tier 2 (Stellar Neighborhood)",IF(U201="FP","First Photons — light begins, system quickens",IF(U201="HP","Heliopause acquired",IF(U201="OR","Orbital Resonance — passive multiplier active",IF(AND(AO201=1,L201=0,AN201&lt;&gt;1),"Cohesion ready (waiting on completionist upgrades)","")))))</f>
        <v/>
      </c>
      <c r="AA201" s="27" t="n">
        <f aca="false">(IF(E201=0,0,(Upgrades!$G$6+E201*Upgrades!$H$6)*POWER(Upgrades!$I$6,E201)))*(IF(Upgrades!$T$7="Solar Wind",POWER(Upgrades!$U$7,F201),1)*IF(Upgrades!$T$8="Solar Wind",POWER(Upgrades!$U$8,G201),1)*IF(Upgrades!$T$9="Solar Wind",POWER(Upgrades!$U$9,H201),1)*IF(Upgrades!$T$10="Solar Wind",POWER(Upgrades!$U$10,I201),1)*IF(Upgrades!$T$11="Solar Wind",POWER(Upgrades!$U$11,J201),1)*IF(Upgrades!$T$12="Solar Wind",POWER(Upgrades!$U$12,K201),1))*POWER(Upgrades!$P$6,E201)*POWER(Upgrades!$P$7,F201)*POWER(Upgrades!$P$8,G201)*POWER(Upgrades!$P$9,H201)*POWER(Upgrades!$P$10,I201)*POWER(Upgrades!$P$11,J201)*POWER(Upgrades!$P$12,K201)*60</f>
        <v>72</v>
      </c>
      <c r="AB201" s="27" t="n">
        <f aca="false">(IF(F201=0,0,(Upgrades!$G$7+F201*Upgrades!$H$7)*POWER(Upgrades!$I$7,F201)))*(IF(Upgrades!$T$6="Asteroid Belt",POWER(Upgrades!$U$6,E201),1)*IF(Upgrades!$T$8="Asteroid Belt",POWER(Upgrades!$U$8,G201),1)*IF(Upgrades!$T$9="Asteroid Belt",POWER(Upgrades!$U$9,H201),1)*IF(Upgrades!$T$10="Asteroid Belt",POWER(Upgrades!$U$10,I201),1)*IF(Upgrades!$T$11="Asteroid Belt",POWER(Upgrades!$U$11,J201),1)*IF(Upgrades!$T$12="Asteroid Belt",POWER(Upgrades!$U$12,K201),1))*POWER(Upgrades!$P$6,E201)*POWER(Upgrades!$P$7,F201)*POWER(Upgrades!$P$8,G201)*POWER(Upgrades!$P$9,H201)*POWER(Upgrades!$P$10,I201)*POWER(Upgrades!$P$11,J201)*POWER(Upgrades!$P$12,K201)*60</f>
        <v>150</v>
      </c>
      <c r="AC201" s="27" t="n">
        <f aca="false">(IF(G201=0,0,(Upgrades!$J$8+G201*Upgrades!$K$8)*POWER(Upgrades!$L$8,G201)))*(IF(Upgrades!$T$6="Stellar Coupling",POWER(Upgrades!$U$6,E201),1)*IF(Upgrades!$T$7="Stellar Coupling",POWER(Upgrades!$U$7,F201),1)*IF(Upgrades!$T$9="Stellar Coupling",POWER(Upgrades!$U$9,H201),1)*IF(Upgrades!$T$10="Stellar Coupling",POWER(Upgrades!$U$10,I201),1)*IF(Upgrades!$T$11="Stellar Coupling",POWER(Upgrades!$U$11,J201),1)*IF(Upgrades!$T$12="Stellar Coupling",POWER(Upgrades!$U$12,K201),1))*POWER(Upgrades!$Q$6,E201)*POWER(Upgrades!$Q$7,F201)*POWER(Upgrades!$Q$8,G201)*POWER(Upgrades!$Q$9,H201)*POWER(Upgrades!$Q$10,I201)*POWER(Upgrades!$Q$11,J201)*POWER(Upgrades!$Q$12,K201)*Parameters!$B$10*Parameters!$B$11</f>
        <v>441</v>
      </c>
      <c r="AD201" s="27" t="n">
        <f aca="false">(IF(H201=0,0,(Upgrades!$G$9+H201*Upgrades!$H$9)*POWER(Upgrades!$I$9,H201)))*(IF(Upgrades!$T$6="Magnetosphere",POWER(Upgrades!$U$6,E201),1)*IF(Upgrades!$T$7="Magnetosphere",POWER(Upgrades!$U$7,F201),1)*IF(Upgrades!$T$8="Magnetosphere",POWER(Upgrades!$U$8,G201),1)*IF(Upgrades!$T$10="Magnetosphere",POWER(Upgrades!$U$10,I201),1)*IF(Upgrades!$T$11="Magnetosphere",POWER(Upgrades!$U$11,J201),1)*IF(Upgrades!$T$12="Magnetosphere",POWER(Upgrades!$U$12,K201),1))*POWER(Upgrades!$P$6,E201)*POWER(Upgrades!$P$7,F201)*POWER(Upgrades!$P$8,G201)*POWER(Upgrades!$P$9,H201)*POWER(Upgrades!$P$10,I201)*POWER(Upgrades!$P$11,J201)*POWER(Upgrades!$P$12,K201)*60</f>
        <v>375</v>
      </c>
      <c r="AE201" s="27" t="n">
        <f aca="false">(IF(K201=0,0,(Upgrades!$G$12+K201*Upgrades!$H$12)*POWER(Upgrades!$I$12,K201)))*(IF(Upgrades!$T$6="First Photons",POWER(Upgrades!$U$6,E201),1)*IF(Upgrades!$T$7="First Photons",POWER(Upgrades!$U$7,F201),1)*IF(Upgrades!$T$8="First Photons",POWER(Upgrades!$U$8,G201),1)*IF(Upgrades!$T$9="First Photons",POWER(Upgrades!$U$9,H201),1)*IF(Upgrades!$T$10="First Photons",POWER(Upgrades!$U$10,I201),1)*IF(Upgrades!$T$11="First Photons",POWER(Upgrades!$U$11,J201),1))*POWER(Upgrades!$P$6,E201)*POWER(Upgrades!$P$7,F201)*POWER(Upgrades!$P$8,G201)*POWER(Upgrades!$P$9,H201)*POWER(Upgrades!$P$10,I201)*POWER(Upgrades!$P$11,J201)*POWER(Upgrades!$P$12,K201)*60</f>
        <v>75</v>
      </c>
      <c r="AF201" s="27" t="n">
        <f aca="false">Parameters!$B$9*POWER(Upgrades!$Q$6,E201)*POWER(Upgrades!$Q$7,F201)*POWER(Upgrades!$Q$8,G201)*POWER(Upgrades!$Q$9,H201)*POWER(Upgrades!$Q$10,I201)*POWER(Upgrades!$Q$11,J201)*POWER(Upgrades!$Q$12,K201)*(Parameters!$B$10*Parameters!$B$11+O201*60)</f>
        <v>120</v>
      </c>
      <c r="AG201" s="21" t="n">
        <f aca="false">IF(E201&gt;=Upgrades!$E$6,"",Upgrades!$C$6*POWER(Upgrades!$D$6,E201))</f>
        <v>37.4517507383159</v>
      </c>
      <c r="AH201" s="21" t="n">
        <f aca="false">IF(F201&gt;=Upgrades!$E$7,"",Upgrades!$C$7*POWER(Upgrades!$D$7,F201))</f>
        <v>80.9111547141581</v>
      </c>
      <c r="AI201" s="21" t="n">
        <f aca="false">IF(G201&gt;=Upgrades!$E$8,"",Upgrades!$C$8*POWER(Upgrades!$D$8,G201))</f>
        <v>231.9097088</v>
      </c>
      <c r="AJ201" s="21" t="str">
        <f aca="false">IF(H201&gt;=Upgrades!$E$9,"",Upgrades!$C$9*POWER(Upgrades!$D$9,H201))</f>
        <v/>
      </c>
      <c r="AK201" s="21" t="str">
        <f aca="false">IF(I201&gt;=Upgrades!$E$10,"",Upgrades!$C$10*POWER(Upgrades!$D$10,I201))</f>
        <v/>
      </c>
      <c r="AL201" s="21" t="str">
        <f aca="false">IF(J201&gt;=Upgrades!$E$11,"",Upgrades!$C$11*POWER(Upgrades!$D$11,J201))</f>
        <v/>
      </c>
      <c r="AM201" s="21" t="str">
        <f aca="false">IF(K201&gt;=Upgrades!$E$12,"",Upgrades!$C$12*POWER(Upgrades!$D$12,K201))</f>
        <v/>
      </c>
      <c r="AN201" s="26" t="str">
        <f aca="false">IF(AND(D201&gt;=Parameters!$B$18,(H201&gt;=Upgrades!$E$9)*(K201&gt;=Upgrades!$E$12)=1,L201=0),1,"")</f>
        <v/>
      </c>
      <c r="AO201" s="26" t="str">
        <f aca="false">IF(AND(D201&gt;=Parameters!$B$18,L201=0),1,"")</f>
        <v/>
      </c>
      <c r="AP201" s="21" t="n">
        <f aca="false">MIN(IF(ISNUMBER(AK201),AK201,9000000000000000),IF(ISNUMBER(AL201),AL201,9000000000000000),IF(ISNUMBER(AM201),AM201,9000000000000000))</f>
        <v>9000000000000000</v>
      </c>
      <c r="AQ201" s="21" t="n">
        <f aca="false">MIN(IF(ISNUMBER(AG201),AG201,9000000000000000),IF(ISNUMBER(AH201),AH201,9000000000000000),IF(ISNUMBER(AI201),AI201,9000000000000000),IF(ISNUMBER(AJ201),AJ201,9000000000000000))</f>
        <v>37.4517507383159</v>
      </c>
      <c r="AR201" s="32" t="b">
        <f aca="false">IF(AW201&gt;Parameters!$B$21*(MAX(IF(AND(NOT(AND(AO201=1,AN201&lt;&gt;1)),ISNUMBER(AG201),AG201&lt;=T201),AS201,0),IF(AND(NOT(AND(AO201=1,AN201&lt;&gt;1)),ISNUMBER(AH201),AH201&lt;=T201),AT201,0),IF(AND(NOT(AND(AO201=1,AN201&lt;&gt;1)),ISNUMBER(AI201),AI201&lt;=T201),AU201,0),IF(AND(ISNUMBER(AJ201),AJ201&lt;=T201),AV201,0))),TRUE(),FALSE())</f>
        <v>1</v>
      </c>
      <c r="AS201" s="33" t="n">
        <f aca="false">IFERROR(Upgrades!$H$6*(POWER(Upgrades!$P$6,E201)*POWER(Upgrades!$P$7,F201)*POWER(Upgrades!$P$8,G201)*POWER(Upgrades!$P$9,H201)*POWER(Upgrades!$P$10,I201)*POWER(Upgrades!$P$11,J201)*POWER(Upgrades!$P$12,K201))*(IF(Upgrades!$T$7="Solar Wind",POWER(Upgrades!$U$7,F201),1)*IF(Upgrades!$T$8="Solar Wind",POWER(Upgrades!$U$8,G201),1)*IF(Upgrades!$T$9="Solar Wind",POWER(Upgrades!$U$9,H201),1)*IF(Upgrades!$T$10="Solar Wind",POWER(Upgrades!$U$10,I201),1)*IF(Upgrades!$T$11="Solar Wind",POWER(Upgrades!$U$11,J201),1)*IF(Upgrades!$T$12="Solar Wind",POWER(Upgrades!$U$12,K201),1))/AG201,0)</f>
        <v>0.0026701021455238</v>
      </c>
      <c r="AT201" s="33" t="n">
        <f aca="false">IFERROR(Upgrades!$H$7*(POWER(Upgrades!$P$6,E201)*POWER(Upgrades!$P$7,F201)*POWER(Upgrades!$P$8,G201)*POWER(Upgrades!$P$9,H201)*POWER(Upgrades!$P$10,I201)*POWER(Upgrades!$P$11,J201)*POWER(Upgrades!$P$12,K201))*(IF(Upgrades!$T$6="Asteroid Belt",POWER(Upgrades!$U$6,E201),1)*IF(Upgrades!$T$8="Asteroid Belt",POWER(Upgrades!$U$8,G201),1)*IF(Upgrades!$T$9="Asteroid Belt",POWER(Upgrades!$U$9,H201),1)*IF(Upgrades!$T$10="Asteroid Belt",POWER(Upgrades!$U$10,I201),1)*IF(Upgrades!$T$11="Asteroid Belt",POWER(Upgrades!$U$11,J201),1)*IF(Upgrades!$T$12="Asteroid Belt",POWER(Upgrades!$U$12,K201),1))/AH201,0)</f>
        <v>0.00308980882652332</v>
      </c>
      <c r="AU201" s="33" t="n">
        <f aca="false">IFERROR(Upgrades!$K$8*(POWER(Upgrades!$Q$6,E201)*POWER(Upgrades!$Q$7,F201)*POWER(Upgrades!$Q$8,G201)*POWER(Upgrades!$Q$9,H201)*POWER(Upgrades!$Q$10,I201)*POWER(Upgrades!$Q$11,J201)*POWER(Upgrades!$Q$12,K201))*(IF(Upgrades!$T$6="Stellar Coupling",POWER(Upgrades!$U$6,E201),1)*IF(Upgrades!$T$7="Stellar Coupling",POWER(Upgrades!$U$7,F201),1)*IF(Upgrades!$T$9="Stellar Coupling",POWER(Upgrades!$U$9,H201),1)*IF(Upgrades!$T$10="Stellar Coupling",POWER(Upgrades!$U$10,I201),1)*IF(Upgrades!$T$11="Stellar Coupling",POWER(Upgrades!$U$11,J201),1)*IF(Upgrades!$T$12="Stellar Coupling",POWER(Upgrades!$U$12,K201),1))*Parameters!$B$10*Parameters!$B$11/60/AI201,0)</f>
        <v>0.00452762415783776</v>
      </c>
      <c r="AV201" s="33" t="n">
        <f aca="false">IFERROR(Upgrades!$H$9*(POWER(Upgrades!$P$6,E201)*POWER(Upgrades!$P$7,F201)*POWER(Upgrades!$P$8,G201)*POWER(Upgrades!$P$9,H201)*POWER(Upgrades!$P$10,I201)*POWER(Upgrades!$P$11,J201)*POWER(Upgrades!$P$12,K201))*(IF(Upgrades!$T$6="Magnetosphere",POWER(Upgrades!$U$6,E201),1)*IF(Upgrades!$T$7="Magnetosphere",POWER(Upgrades!$U$7,F201),1)*IF(Upgrades!$T$8="Magnetosphere",POWER(Upgrades!$U$8,G201),1)*IF(Upgrades!$T$10="Magnetosphere",POWER(Upgrades!$U$10,I201),1)*IF(Upgrades!$T$11="Magnetosphere",POWER(Upgrades!$U$11,J201),1)*IF(Upgrades!$T$12="Magnetosphere",POWER(Upgrades!$U$12,K201),1))/AJ201,0)</f>
        <v>0</v>
      </c>
      <c r="AW201" s="33" t="n">
        <f aca="false">MAX(IF(I201&gt;0,0,IFERROR(0.25*N201/Upgrades!$C$10,0)),IF(J201&gt;0,0,IFERROR(0.5*((IF(G201=0,0,(Upgrades!$J$8+G201*Upgrades!$K$8)*POWER(Upgrades!$L$8,G201)))*(IF(Upgrades!$T$6="Stellar Coupling",POWER(Upgrades!$U$6,E201),1)*IF(Upgrades!$T$7="Stellar Coupling",POWER(Upgrades!$U$7,F201),1)*IF(Upgrades!$T$9="Stellar Coupling",POWER(Upgrades!$U$9,H201),1)*IF(Upgrades!$T$10="Stellar Coupling",POWER(Upgrades!$U$10,I201),1)*IF(Upgrades!$T$11="Stellar Coupling",POWER(Upgrades!$U$11,J201),1)*IF(Upgrades!$T$12="Stellar Coupling",POWER(Upgrades!$U$12,K201),1))*(POWER(Upgrades!$Q$6,E201)*POWER(Upgrades!$Q$7,F201)*POWER(Upgrades!$Q$8,G201)*POWER(Upgrades!$Q$9,H201)*POWER(Upgrades!$Q$10,I201)*POWER(Upgrades!$Q$11,J201)*POWER(Upgrades!$Q$12,K201))*Parameters!$B$10*Parameters!$B$11/60)/Upgrades!$C$11,0)),IF(K201&gt;0,0,IFERROR((1*(POWER(Upgrades!$P$6,E201)*POWER(Upgrades!$P$7,F201)*POWER(Upgrades!$P$8,G201)*POWER(Upgrades!$P$9,H201)*POWER(Upgrades!$P$10,I201)*POWER(Upgrades!$P$11,J201)*POWER(Upgrades!$P$12,K201))+0.2*M201*Parameters!$B$10*Parameters!$B$11/60)/Upgrades!$C$12,0)),IF(AND(ISNUMBER(AG201),AG201&gt;T201),AS201,0),IF(AND(ISNUMBER(AH201),AH201&gt;T201),AT201,0),IF(AND(ISNUMBER(AI201),AI201&gt;T201),AU201,0),IF(AND(ISNUMBER(AJ201),AJ201&gt;T201),AV201,0))</f>
        <v>0.00452762415783776</v>
      </c>
      <c r="AX201" s="29" t="str">
        <f aca="false">IF(AN201=1,"transition",IF(MIN(IF(AND(I201=0,ISNUMBER(AK201),AK201&lt;=T201),AK201,9000000000000000),IF(AND(J201=0,ISNUMBER(AL201),AL201&lt;=T201),AL201,9000000000000000),IF(AND(K201=0,ISNUMBER(AM201),AM201&lt;=T201),AM201,9000000000000000))&lt;9000000000000000,IF(AND(AND(I201=0,ISNUMBER(AK201),AK201&lt;=T201),AK201=MIN(IF(AND(I201=0,ISNUMBER(AK201),AK201&lt;=T201),AK201,9000000000000000),IF(AND(J201=0,ISNUMBER(AL201),AL201&lt;=T201),AL201,9000000000000000),IF(AND(K201=0,ISNUMBER(AM201),AM201&lt;=T201),AM201,9000000000000000))),"OR",IF(AND(AND(J201=0,ISNUMBER(AL201),AL201&lt;=T201),AL201=MIN(IF(AND(I201=0,ISNUMBER(AK201),AK201&lt;=T201),AK201,9000000000000000),IF(AND(J201=0,ISNUMBER(AL201),AL201&lt;=T201),AL201,9000000000000000),IF(AND(K201=0,ISNUMBER(AM201),AM201&lt;=T201),AM201,9000000000000000))),"HP","FP")),IF(AR201=TRUE(),"",IF(MAX(IF(AND(NOT(AND(AO201=1,AN201&lt;&gt;1)),ISNUMBER(AG201),AG201&lt;=T201),AS201,0),IF(AND(NOT(AND(AO201=1,AN201&lt;&gt;1)),ISNUMBER(AH201),AH201&lt;=T201),AT201,0),IF(AND(NOT(AND(AO201=1,AN201&lt;&gt;1)),ISNUMBER(AI201),AI201&lt;=T201),AU201,0),IF(AND(ISNUMBER(AJ201),AJ201&lt;=T201),AV201,0))&lt;=0,"",IF(AND(IF(AND(NOT(AND(AO201=1,AN201&lt;&gt;1)),ISNUMBER(AG201),AG201&lt;=T201),AS201,0)&gt;0,IF(AND(NOT(AND(AO201=1,AN201&lt;&gt;1)),ISNUMBER(AG201),AG201&lt;=T201),AS201,0)=MAX(IF(AND(NOT(AND(AO201=1,AN201&lt;&gt;1)),ISNUMBER(AG201),AG201&lt;=T201),AS201,0),IF(AND(NOT(AND(AO201=1,AN201&lt;&gt;1)),ISNUMBER(AH201),AH201&lt;=T201),AT201,0),IF(AND(NOT(AND(AO201=1,AN201&lt;&gt;1)),ISNUMBER(AI201),AI201&lt;=T201),AU201,0),IF(AND(ISNUMBER(AJ201),AJ201&lt;=T201),AV201,0))),"SW",IF(AND(IF(AND(NOT(AND(AO201=1,AN201&lt;&gt;1)),ISNUMBER(AH201),AH201&lt;=T201),AT201,0)&gt;0,IF(AND(NOT(AND(AO201=1,AN201&lt;&gt;1)),ISNUMBER(AH201),AH201&lt;=T201),AT201,0)=MAX(IF(AND(NOT(AND(AO201=1,AN201&lt;&gt;1)),ISNUMBER(AG201),AG201&lt;=T201),AS201,0),IF(AND(NOT(AND(AO201=1,AN201&lt;&gt;1)),ISNUMBER(AH201),AH201&lt;=T201),AT201,0),IF(AND(NOT(AND(AO201=1,AN201&lt;&gt;1)),ISNUMBER(AI201),AI201&lt;=T201),AU201,0),IF(AND(ISNUMBER(AJ201),AJ201&lt;=T201),AV201,0))),"AB",IF(AND(IF(AND(NOT(AND(AO201=1,AN201&lt;&gt;1)),ISNUMBER(AI201),AI201&lt;=T201),AU201,0)&gt;0,IF(AND(NOT(AND(AO201=1,AN201&lt;&gt;1)),ISNUMBER(AI201),AI201&lt;=T201),AU201,0)=MAX(IF(AND(NOT(AND(AO201=1,AN201&lt;&gt;1)),ISNUMBER(AG201),AG201&lt;=T201),AS201,0),IF(AND(NOT(AND(AO201=1,AN201&lt;&gt;1)),ISNUMBER(AH201),AH201&lt;=T201),AT201,0),IF(AND(NOT(AND(AO201=1,AN201&lt;&gt;1)),ISNUMBER(AI201),AI201&lt;=T201),AU201,0),IF(AND(ISNUMBER(AJ201),AJ201&lt;=T201),AV201,0))),"SC","Mag")))))))</f>
        <v/>
      </c>
    </row>
    <row r="202" customFormat="false" ht="15" hidden="false" customHeight="false" outlineLevel="0" collapsed="false">
      <c r="A202" s="26" t="n">
        <v>197</v>
      </c>
      <c r="B202" s="27" t="n">
        <f aca="false">A202*10/60</f>
        <v>32.8333333333333</v>
      </c>
      <c r="C202" s="21" t="n">
        <f aca="false">X201</f>
        <v>18.6730249835055</v>
      </c>
      <c r="D202" s="27" t="n">
        <f aca="false">D201+W201</f>
        <v>0</v>
      </c>
      <c r="E202" s="26" t="n">
        <f aca="false">E201+IF(U201="SW",1,0)</f>
        <v>12</v>
      </c>
      <c r="F202" s="26" t="n">
        <f aca="false">F201+IF(U201="AB",1,0)</f>
        <v>10</v>
      </c>
      <c r="G202" s="26" t="n">
        <f aca="false">G201+IF(U201="SC",1,0)</f>
        <v>7</v>
      </c>
      <c r="H202" s="26" t="n">
        <f aca="false">H201+IF(U201="Mag",1,0)</f>
        <v>5</v>
      </c>
      <c r="I202" s="26" t="n">
        <f aca="false">MAX(I201,IF(U201="OR",1,0))</f>
        <v>1</v>
      </c>
      <c r="J202" s="26" t="n">
        <f aca="false">MAX(J201,IF(U201="HP",1,0))</f>
        <v>1</v>
      </c>
      <c r="K202" s="26" t="n">
        <f aca="false">MAX(K201,IF(U201="FP",1,0))</f>
        <v>1</v>
      </c>
      <c r="L202" s="26" t="n">
        <f aca="false">MAX(L201,IF(U201="transition",1,0))</f>
        <v>1</v>
      </c>
      <c r="M202" s="28" t="n">
        <f aca="false">(Parameters!$B$9+(IF(E202=0,0,(Upgrades!$J$6+E202*Upgrades!$K$6)*POWER(Upgrades!$L$6,E202)))*(IF(Upgrades!$T$7="Solar Wind",POWER(Upgrades!$U$7,F202),1)*IF(Upgrades!$T$8="Solar Wind",POWER(Upgrades!$U$8,G202),1)*IF(Upgrades!$T$9="Solar Wind",POWER(Upgrades!$U$9,H202),1)*IF(Upgrades!$T$10="Solar Wind",POWER(Upgrades!$U$10,I202),1)*IF(Upgrades!$T$11="Solar Wind",POWER(Upgrades!$U$11,J202),1)*IF(Upgrades!$T$12="Solar Wind",POWER(Upgrades!$U$12,K202),1))+(IF(F202=0,0,(Upgrades!$J$7+F202*Upgrades!$K$7)*POWER(Upgrades!$L$7,F202)))*(IF(Upgrades!$T$6="Asteroid Belt",POWER(Upgrades!$U$6,E202),1)*IF(Upgrades!$T$8="Asteroid Belt",POWER(Upgrades!$U$8,G202),1)*IF(Upgrades!$T$9="Asteroid Belt",POWER(Upgrades!$U$9,H202),1)*IF(Upgrades!$T$10="Asteroid Belt",POWER(Upgrades!$U$10,I202),1)*IF(Upgrades!$T$11="Asteroid Belt",POWER(Upgrades!$U$11,J202),1)*IF(Upgrades!$T$12="Asteroid Belt",POWER(Upgrades!$U$12,K202),1))+(IF(G202=0,0,(Upgrades!$J$8+G202*Upgrades!$K$8)*POWER(Upgrades!$L$8,G202)))*(IF(Upgrades!$T$6="Stellar Coupling",POWER(Upgrades!$U$6,E202),1)*IF(Upgrades!$T$7="Stellar Coupling",POWER(Upgrades!$U$7,F202),1)*IF(Upgrades!$T$9="Stellar Coupling",POWER(Upgrades!$U$9,H202),1)*IF(Upgrades!$T$10="Stellar Coupling",POWER(Upgrades!$U$10,I202),1)*IF(Upgrades!$T$11="Stellar Coupling",POWER(Upgrades!$U$11,J202),1)*IF(Upgrades!$T$12="Stellar Coupling",POWER(Upgrades!$U$12,K202),1))+(IF(H202=0,0,(Upgrades!$J$9+H202*Upgrades!$K$9)*POWER(Upgrades!$L$9,H202)))*(IF(Upgrades!$T$6="Magnetosphere",POWER(Upgrades!$U$6,E202),1)*IF(Upgrades!$T$7="Magnetosphere",POWER(Upgrades!$U$7,F202),1)*IF(Upgrades!$T$8="Magnetosphere",POWER(Upgrades!$U$8,G202),1)*IF(Upgrades!$T$10="Magnetosphere",POWER(Upgrades!$U$10,I202),1)*IF(Upgrades!$T$11="Magnetosphere",POWER(Upgrades!$U$11,J202),1)*IF(Upgrades!$T$12="Magnetosphere",POWER(Upgrades!$U$12,K202),1))+(IF(I202=0,0,(Upgrades!$J$10+I202*Upgrades!$K$10)*POWER(Upgrades!$L$10,I202)))*(IF(Upgrades!$T$6="Orbital Resonance",POWER(Upgrades!$U$6,E202),1)*IF(Upgrades!$T$7="Orbital Resonance",POWER(Upgrades!$U$7,F202),1)*IF(Upgrades!$T$8="Orbital Resonance",POWER(Upgrades!$U$8,G202),1)*IF(Upgrades!$T$9="Orbital Resonance",POWER(Upgrades!$U$9,H202),1)*IF(Upgrades!$T$11="Orbital Resonance",POWER(Upgrades!$U$11,J202),1)*IF(Upgrades!$T$12="Orbital Resonance",POWER(Upgrades!$U$12,K202),1))+(IF(J202=0,0,(Upgrades!$J$11+J202*Upgrades!$K$11)*POWER(Upgrades!$L$11,J202)))*(IF(Upgrades!$T$6="Heliopause",POWER(Upgrades!$U$6,E202),1)*IF(Upgrades!$T$7="Heliopause",POWER(Upgrades!$U$7,F202),1)*IF(Upgrades!$T$8="Heliopause",POWER(Upgrades!$U$8,G202),1)*IF(Upgrades!$T$9="Heliopause",POWER(Upgrades!$U$9,H202),1)*IF(Upgrades!$T$10="Heliopause",POWER(Upgrades!$U$10,I202),1)*IF(Upgrades!$T$12="Heliopause",POWER(Upgrades!$U$12,K202),1))+(IF(K202=0,0,(Upgrades!$J$12+K202*Upgrades!$K$12)*POWER(Upgrades!$L$12,K202)))*(IF(Upgrades!$T$6="First Photons",POWER(Upgrades!$U$6,E202),1)*IF(Upgrades!$T$7="First Photons",POWER(Upgrades!$U$7,F202),1)*IF(Upgrades!$T$8="First Photons",POWER(Upgrades!$U$8,G202),1)*IF(Upgrades!$T$9="First Photons",POWER(Upgrades!$U$9,H202),1)*IF(Upgrades!$T$10="First Photons",POWER(Upgrades!$U$10,I202),1)*IF(Upgrades!$T$11="First Photons",POWER(Upgrades!$U$11,J202),1)))*POWER(Upgrades!$Q$6,E202)*POWER(Upgrades!$Q$7,F202)*POWER(Upgrades!$Q$8,G202)*POWER(Upgrades!$Q$9,H202)*POWER(Upgrades!$Q$10,I202)*POWER(Upgrades!$Q$11,J202)*POWER(Upgrades!$Q$12,K202)</f>
        <v>5.61</v>
      </c>
      <c r="N202" s="28" t="n">
        <f aca="false">((IF(E202=0,0,(Upgrades!$G$6+E202*Upgrades!$H$6)*POWER(Upgrades!$I$6,E202)))*(IF(Upgrades!$T$7="Solar Wind",POWER(Upgrades!$U$7,F202),1)*IF(Upgrades!$T$8="Solar Wind",POWER(Upgrades!$U$8,G202),1)*IF(Upgrades!$T$9="Solar Wind",POWER(Upgrades!$U$9,H202),1)*IF(Upgrades!$T$10="Solar Wind",POWER(Upgrades!$U$10,I202),1)*IF(Upgrades!$T$11="Solar Wind",POWER(Upgrades!$U$11,J202),1)*IF(Upgrades!$T$12="Solar Wind",POWER(Upgrades!$U$12,K202),1))+(IF(F202=0,0,(Upgrades!$G$7+F202*Upgrades!$H$7)*POWER(Upgrades!$I$7,F202)))*(IF(Upgrades!$T$6="Asteroid Belt",POWER(Upgrades!$U$6,E202),1)*IF(Upgrades!$T$8="Asteroid Belt",POWER(Upgrades!$U$8,G202),1)*IF(Upgrades!$T$9="Asteroid Belt",POWER(Upgrades!$U$9,H202),1)*IF(Upgrades!$T$10="Asteroid Belt",POWER(Upgrades!$U$10,I202),1)*IF(Upgrades!$T$11="Asteroid Belt",POWER(Upgrades!$U$11,J202),1)*IF(Upgrades!$T$12="Asteroid Belt",POWER(Upgrades!$U$12,K202),1))+(IF(G202=0,0,(Upgrades!$G$8+G202*Upgrades!$H$8)*POWER(Upgrades!$I$8,G202)))*(IF(Upgrades!$T$6="Stellar Coupling",POWER(Upgrades!$U$6,E202),1)*IF(Upgrades!$T$7="Stellar Coupling",POWER(Upgrades!$U$7,F202),1)*IF(Upgrades!$T$9="Stellar Coupling",POWER(Upgrades!$U$9,H202),1)*IF(Upgrades!$T$10="Stellar Coupling",POWER(Upgrades!$U$10,I202),1)*IF(Upgrades!$T$11="Stellar Coupling",POWER(Upgrades!$U$11,J202),1)*IF(Upgrades!$T$12="Stellar Coupling",POWER(Upgrades!$U$12,K202),1))+(IF(H202=0,0,(Upgrades!$G$9+H202*Upgrades!$H$9)*POWER(Upgrades!$I$9,H202)))*(IF(Upgrades!$T$6="Magnetosphere",POWER(Upgrades!$U$6,E202),1)*IF(Upgrades!$T$7="Magnetosphere",POWER(Upgrades!$U$7,F202),1)*IF(Upgrades!$T$8="Magnetosphere",POWER(Upgrades!$U$8,G202),1)*IF(Upgrades!$T$10="Magnetosphere",POWER(Upgrades!$U$10,I202),1)*IF(Upgrades!$T$11="Magnetosphere",POWER(Upgrades!$U$11,J202),1)*IF(Upgrades!$T$12="Magnetosphere",POWER(Upgrades!$U$12,K202),1))+(IF(I202=0,0,(Upgrades!$G$10+I202*Upgrades!$H$10)*POWER(Upgrades!$I$10,I202)))*(IF(Upgrades!$T$6="Orbital Resonance",POWER(Upgrades!$U$6,E202),1)*IF(Upgrades!$T$7="Orbital Resonance",POWER(Upgrades!$U$7,F202),1)*IF(Upgrades!$T$8="Orbital Resonance",POWER(Upgrades!$U$8,G202),1)*IF(Upgrades!$T$9="Orbital Resonance",POWER(Upgrades!$U$9,H202),1)*IF(Upgrades!$T$11="Orbital Resonance",POWER(Upgrades!$U$11,J202),1)*IF(Upgrades!$T$12="Orbital Resonance",POWER(Upgrades!$U$12,K202),1))+(IF(J202=0,0,(Upgrades!$G$11+J202*Upgrades!$H$11)*POWER(Upgrades!$I$11,J202)))*(IF(Upgrades!$T$6="Heliopause",POWER(Upgrades!$U$6,E202),1)*IF(Upgrades!$T$7="Heliopause",POWER(Upgrades!$U$7,F202),1)*IF(Upgrades!$T$8="Heliopause",POWER(Upgrades!$U$8,G202),1)*IF(Upgrades!$T$9="Heliopause",POWER(Upgrades!$U$9,H202),1)*IF(Upgrades!$T$10="Heliopause",POWER(Upgrades!$U$10,I202),1)*IF(Upgrades!$T$12="Heliopause",POWER(Upgrades!$U$12,K202),1))+(IF(K202=0,0,(Upgrades!$G$12+K202*Upgrades!$H$12)*POWER(Upgrades!$I$12,K202)))*(IF(Upgrades!$T$6="First Photons",POWER(Upgrades!$U$6,E202),1)*IF(Upgrades!$T$7="First Photons",POWER(Upgrades!$U$7,F202),1)*IF(Upgrades!$T$8="First Photons",POWER(Upgrades!$U$8,G202),1)*IF(Upgrades!$T$9="First Photons",POWER(Upgrades!$U$9,H202),1)*IF(Upgrades!$T$10="First Photons",POWER(Upgrades!$U$10,I202),1)*IF(Upgrades!$T$11="First Photons",POWER(Upgrades!$U$11,J202),1)))*POWER(Upgrades!$P$6,E202)*POWER(Upgrades!$P$7,F202)*POWER(Upgrades!$P$8,G202)*POWER(Upgrades!$P$9,H202)*POWER(Upgrades!$P$10,I202)*POWER(Upgrades!$P$11,J202)*POWER(Upgrades!$P$12,K202)</f>
        <v>11.2</v>
      </c>
      <c r="O202" s="28" t="n">
        <f aca="false">((IF(E202=0,0,(Upgrades!$M$6+E202*Upgrades!$N$6)*POWER(Upgrades!$O$6,E202)))*(IF(Upgrades!$T$7="Solar Wind",POWER(Upgrades!$U$7,F202),1)*IF(Upgrades!$T$8="Solar Wind",POWER(Upgrades!$U$8,G202),1)*IF(Upgrades!$T$9="Solar Wind",POWER(Upgrades!$U$9,H202),1)*IF(Upgrades!$T$10="Solar Wind",POWER(Upgrades!$U$10,I202),1)*IF(Upgrades!$T$11="Solar Wind",POWER(Upgrades!$U$11,J202),1)*IF(Upgrades!$T$12="Solar Wind",POWER(Upgrades!$U$12,K202),1))+(IF(F202=0,0,(Upgrades!$M$7+F202*Upgrades!$N$7)*POWER(Upgrades!$O$7,F202)))*(IF(Upgrades!$T$6="Asteroid Belt",POWER(Upgrades!$U$6,E202),1)*IF(Upgrades!$T$8="Asteroid Belt",POWER(Upgrades!$U$8,G202),1)*IF(Upgrades!$T$9="Asteroid Belt",POWER(Upgrades!$U$9,H202),1)*IF(Upgrades!$T$10="Asteroid Belt",POWER(Upgrades!$U$10,I202),1)*IF(Upgrades!$T$11="Asteroid Belt",POWER(Upgrades!$U$11,J202),1)*IF(Upgrades!$T$12="Asteroid Belt",POWER(Upgrades!$U$12,K202),1))+(IF(G202=0,0,(Upgrades!$M$8+G202*Upgrades!$N$8)*POWER(Upgrades!$O$8,G202)))*(IF(Upgrades!$T$6="Stellar Coupling",POWER(Upgrades!$U$6,E202),1)*IF(Upgrades!$T$7="Stellar Coupling",POWER(Upgrades!$U$7,F202),1)*IF(Upgrades!$T$9="Stellar Coupling",POWER(Upgrades!$U$9,H202),1)*IF(Upgrades!$T$10="Stellar Coupling",POWER(Upgrades!$U$10,I202),1)*IF(Upgrades!$T$11="Stellar Coupling",POWER(Upgrades!$U$11,J202),1)*IF(Upgrades!$T$12="Stellar Coupling",POWER(Upgrades!$U$12,K202),1))+(IF(H202=0,0,(Upgrades!$M$9+H202*Upgrades!$N$9)*POWER(Upgrades!$O$9,H202)))*(IF(Upgrades!$T$6="Magnetosphere",POWER(Upgrades!$U$6,E202),1)*IF(Upgrades!$T$7="Magnetosphere",POWER(Upgrades!$U$7,F202),1)*IF(Upgrades!$T$8="Magnetosphere",POWER(Upgrades!$U$8,G202),1)*IF(Upgrades!$T$10="Magnetosphere",POWER(Upgrades!$U$10,I202),1)*IF(Upgrades!$T$11="Magnetosphere",POWER(Upgrades!$U$11,J202),1)*IF(Upgrades!$T$12="Magnetosphere",POWER(Upgrades!$U$12,K202),1))+(IF(I202=0,0,(Upgrades!$M$10+I202*Upgrades!$N$10)*POWER(Upgrades!$O$10,I202)))*(IF(Upgrades!$T$6="Orbital Resonance",POWER(Upgrades!$U$6,E202),1)*IF(Upgrades!$T$7="Orbital Resonance",POWER(Upgrades!$U$7,F202),1)*IF(Upgrades!$T$8="Orbital Resonance",POWER(Upgrades!$U$8,G202),1)*IF(Upgrades!$T$9="Orbital Resonance",POWER(Upgrades!$U$9,H202),1)*IF(Upgrades!$T$11="Orbital Resonance",POWER(Upgrades!$U$11,J202),1)*IF(Upgrades!$T$12="Orbital Resonance",POWER(Upgrades!$U$12,K202),1))+(IF(J202=0,0,(Upgrades!$M$11+J202*Upgrades!$N$11)*POWER(Upgrades!$O$11,J202)))*(IF(Upgrades!$T$6="Heliopause",POWER(Upgrades!$U$6,E202),1)*IF(Upgrades!$T$7="Heliopause",POWER(Upgrades!$U$7,F202),1)*IF(Upgrades!$T$8="Heliopause",POWER(Upgrades!$U$8,G202),1)*IF(Upgrades!$T$9="Heliopause",POWER(Upgrades!$U$9,H202),1)*IF(Upgrades!$T$10="Heliopause",POWER(Upgrades!$U$10,I202),1)*IF(Upgrades!$T$12="Heliopause",POWER(Upgrades!$U$12,K202),1))+(IF(K202=0,0,(Upgrades!$M$12+K202*Upgrades!$N$12)*POWER(Upgrades!$O$12,K202)))*(IF(Upgrades!$T$6="First Photons",POWER(Upgrades!$U$6,E202),1)*IF(Upgrades!$T$7="First Photons",POWER(Upgrades!$U$7,F202),1)*IF(Upgrades!$T$8="First Photons",POWER(Upgrades!$U$8,G202),1)*IF(Upgrades!$T$9="First Photons",POWER(Upgrades!$U$9,H202),1)*IF(Upgrades!$T$10="First Photons",POWER(Upgrades!$U$10,I202),1)*IF(Upgrades!$T$11="First Photons",POWER(Upgrades!$U$11,J202),1)))*POWER(Upgrades!$R$6,E202)*POWER(Upgrades!$R$7,F202)*POWER(Upgrades!$R$8,G202)*POWER(Upgrades!$R$9,H202)*POWER(Upgrades!$R$10,I202)*POWER(Upgrades!$R$11,J202)*POWER(Upgrades!$R$12,K202)</f>
        <v>0</v>
      </c>
      <c r="P202" s="27" t="n">
        <f aca="false">IF(L202=1,0,M202*Parameters!$B$10/60*Parameters!$B$11*10)</f>
        <v>0</v>
      </c>
      <c r="Q202" s="27" t="n">
        <f aca="false">IF(L202=1,0,O202*M202*10)</f>
        <v>0</v>
      </c>
      <c r="R202" s="27" t="n">
        <f aca="false">IF(L202=1,0,N202*10)</f>
        <v>0</v>
      </c>
      <c r="S202" s="27" t="n">
        <f aca="false">P202+Q202+R202</f>
        <v>0</v>
      </c>
      <c r="T202" s="21" t="n">
        <f aca="false">C202+S202</f>
        <v>18.6730249835055</v>
      </c>
      <c r="U202" s="34" t="str">
        <f aca="false">AX202</f>
        <v/>
      </c>
      <c r="V202" s="21" t="n">
        <f aca="false">IF(U202="",0,IF(U202="transition",0,IF(U202="SW",AG202,IF(U202="AB",AH202,IF(U202="SC",AI202,IF(U202="Mag",AJ202,IF(U202="OR",AK202,IF(U202="HP",AL202,IF(U202="FP",AM202,0)))))))))</f>
        <v>0</v>
      </c>
      <c r="W202" s="27" t="n">
        <f aca="false">IF(U202="OR",Upgrades!$F$10,IF(U202="HP",Upgrades!$F$11,IF(U202="transition",-Parameters!$B$18,0)))</f>
        <v>0</v>
      </c>
      <c r="X202" s="21" t="n">
        <f aca="false">T202-V202</f>
        <v>18.6730249835055</v>
      </c>
      <c r="Y202" s="30" t="n">
        <f aca="false">M202*Parameters!$B$10/60*Parameters!$B$11+O202*M202+N202</f>
        <v>20.55</v>
      </c>
      <c r="Z202" s="35" t="str">
        <f aca="false">IF(U202="transition","→ Tier 2 (Stellar Neighborhood)",IF(U202="FP","First Photons — light begins, system quickens",IF(U202="HP","Heliopause acquired",IF(U202="OR","Orbital Resonance — passive multiplier active",IF(AND(AO202=1,L202=0,AN202&lt;&gt;1),"Cohesion ready (waiting on completionist upgrades)","")))))</f>
        <v/>
      </c>
      <c r="AA202" s="27" t="n">
        <f aca="false">(IF(E202=0,0,(Upgrades!$G$6+E202*Upgrades!$H$6)*POWER(Upgrades!$I$6,E202)))*(IF(Upgrades!$T$7="Solar Wind",POWER(Upgrades!$U$7,F202),1)*IF(Upgrades!$T$8="Solar Wind",POWER(Upgrades!$U$8,G202),1)*IF(Upgrades!$T$9="Solar Wind",POWER(Upgrades!$U$9,H202),1)*IF(Upgrades!$T$10="Solar Wind",POWER(Upgrades!$U$10,I202),1)*IF(Upgrades!$T$11="Solar Wind",POWER(Upgrades!$U$11,J202),1)*IF(Upgrades!$T$12="Solar Wind",POWER(Upgrades!$U$12,K202),1))*POWER(Upgrades!$P$6,E202)*POWER(Upgrades!$P$7,F202)*POWER(Upgrades!$P$8,G202)*POWER(Upgrades!$P$9,H202)*POWER(Upgrades!$P$10,I202)*POWER(Upgrades!$P$11,J202)*POWER(Upgrades!$P$12,K202)*60</f>
        <v>72</v>
      </c>
      <c r="AB202" s="27" t="n">
        <f aca="false">(IF(F202=0,0,(Upgrades!$G$7+F202*Upgrades!$H$7)*POWER(Upgrades!$I$7,F202)))*(IF(Upgrades!$T$6="Asteroid Belt",POWER(Upgrades!$U$6,E202),1)*IF(Upgrades!$T$8="Asteroid Belt",POWER(Upgrades!$U$8,G202),1)*IF(Upgrades!$T$9="Asteroid Belt",POWER(Upgrades!$U$9,H202),1)*IF(Upgrades!$T$10="Asteroid Belt",POWER(Upgrades!$U$10,I202),1)*IF(Upgrades!$T$11="Asteroid Belt",POWER(Upgrades!$U$11,J202),1)*IF(Upgrades!$T$12="Asteroid Belt",POWER(Upgrades!$U$12,K202),1))*POWER(Upgrades!$P$6,E202)*POWER(Upgrades!$P$7,F202)*POWER(Upgrades!$P$8,G202)*POWER(Upgrades!$P$9,H202)*POWER(Upgrades!$P$10,I202)*POWER(Upgrades!$P$11,J202)*POWER(Upgrades!$P$12,K202)*60</f>
        <v>150</v>
      </c>
      <c r="AC202" s="27" t="n">
        <f aca="false">(IF(G202=0,0,(Upgrades!$J$8+G202*Upgrades!$K$8)*POWER(Upgrades!$L$8,G202)))*(IF(Upgrades!$T$6="Stellar Coupling",POWER(Upgrades!$U$6,E202),1)*IF(Upgrades!$T$7="Stellar Coupling",POWER(Upgrades!$U$7,F202),1)*IF(Upgrades!$T$9="Stellar Coupling",POWER(Upgrades!$U$9,H202),1)*IF(Upgrades!$T$10="Stellar Coupling",POWER(Upgrades!$U$10,I202),1)*IF(Upgrades!$T$11="Stellar Coupling",POWER(Upgrades!$U$11,J202),1)*IF(Upgrades!$T$12="Stellar Coupling",POWER(Upgrades!$U$12,K202),1))*POWER(Upgrades!$Q$6,E202)*POWER(Upgrades!$Q$7,F202)*POWER(Upgrades!$Q$8,G202)*POWER(Upgrades!$Q$9,H202)*POWER(Upgrades!$Q$10,I202)*POWER(Upgrades!$Q$11,J202)*POWER(Upgrades!$Q$12,K202)*Parameters!$B$10*Parameters!$B$11</f>
        <v>441</v>
      </c>
      <c r="AD202" s="27" t="n">
        <f aca="false">(IF(H202=0,0,(Upgrades!$G$9+H202*Upgrades!$H$9)*POWER(Upgrades!$I$9,H202)))*(IF(Upgrades!$T$6="Magnetosphere",POWER(Upgrades!$U$6,E202),1)*IF(Upgrades!$T$7="Magnetosphere",POWER(Upgrades!$U$7,F202),1)*IF(Upgrades!$T$8="Magnetosphere",POWER(Upgrades!$U$8,G202),1)*IF(Upgrades!$T$10="Magnetosphere",POWER(Upgrades!$U$10,I202),1)*IF(Upgrades!$T$11="Magnetosphere",POWER(Upgrades!$U$11,J202),1)*IF(Upgrades!$T$12="Magnetosphere",POWER(Upgrades!$U$12,K202),1))*POWER(Upgrades!$P$6,E202)*POWER(Upgrades!$P$7,F202)*POWER(Upgrades!$P$8,G202)*POWER(Upgrades!$P$9,H202)*POWER(Upgrades!$P$10,I202)*POWER(Upgrades!$P$11,J202)*POWER(Upgrades!$P$12,K202)*60</f>
        <v>375</v>
      </c>
      <c r="AE202" s="27" t="n">
        <f aca="false">(IF(K202=0,0,(Upgrades!$G$12+K202*Upgrades!$H$12)*POWER(Upgrades!$I$12,K202)))*(IF(Upgrades!$T$6="First Photons",POWER(Upgrades!$U$6,E202),1)*IF(Upgrades!$T$7="First Photons",POWER(Upgrades!$U$7,F202),1)*IF(Upgrades!$T$8="First Photons",POWER(Upgrades!$U$8,G202),1)*IF(Upgrades!$T$9="First Photons",POWER(Upgrades!$U$9,H202),1)*IF(Upgrades!$T$10="First Photons",POWER(Upgrades!$U$10,I202),1)*IF(Upgrades!$T$11="First Photons",POWER(Upgrades!$U$11,J202),1))*POWER(Upgrades!$P$6,E202)*POWER(Upgrades!$P$7,F202)*POWER(Upgrades!$P$8,G202)*POWER(Upgrades!$P$9,H202)*POWER(Upgrades!$P$10,I202)*POWER(Upgrades!$P$11,J202)*POWER(Upgrades!$P$12,K202)*60</f>
        <v>75</v>
      </c>
      <c r="AF202" s="27" t="n">
        <f aca="false">Parameters!$B$9*POWER(Upgrades!$Q$6,E202)*POWER(Upgrades!$Q$7,F202)*POWER(Upgrades!$Q$8,G202)*POWER(Upgrades!$Q$9,H202)*POWER(Upgrades!$Q$10,I202)*POWER(Upgrades!$Q$11,J202)*POWER(Upgrades!$Q$12,K202)*(Parameters!$B$10*Parameters!$B$11+O202*60)</f>
        <v>120</v>
      </c>
      <c r="AG202" s="21" t="n">
        <f aca="false">IF(E202&gt;=Upgrades!$E$6,"",Upgrades!$C$6*POWER(Upgrades!$D$6,E202))</f>
        <v>37.4517507383159</v>
      </c>
      <c r="AH202" s="21" t="n">
        <f aca="false">IF(F202&gt;=Upgrades!$E$7,"",Upgrades!$C$7*POWER(Upgrades!$D$7,F202))</f>
        <v>80.9111547141581</v>
      </c>
      <c r="AI202" s="21" t="n">
        <f aca="false">IF(G202&gt;=Upgrades!$E$8,"",Upgrades!$C$8*POWER(Upgrades!$D$8,G202))</f>
        <v>231.9097088</v>
      </c>
      <c r="AJ202" s="21" t="str">
        <f aca="false">IF(H202&gt;=Upgrades!$E$9,"",Upgrades!$C$9*POWER(Upgrades!$D$9,H202))</f>
        <v/>
      </c>
      <c r="AK202" s="21" t="str">
        <f aca="false">IF(I202&gt;=Upgrades!$E$10,"",Upgrades!$C$10*POWER(Upgrades!$D$10,I202))</f>
        <v/>
      </c>
      <c r="AL202" s="21" t="str">
        <f aca="false">IF(J202&gt;=Upgrades!$E$11,"",Upgrades!$C$11*POWER(Upgrades!$D$11,J202))</f>
        <v/>
      </c>
      <c r="AM202" s="21" t="str">
        <f aca="false">IF(K202&gt;=Upgrades!$E$12,"",Upgrades!$C$12*POWER(Upgrades!$D$12,K202))</f>
        <v/>
      </c>
      <c r="AN202" s="26" t="str">
        <f aca="false">IF(AND(D202&gt;=Parameters!$B$18,(H202&gt;=Upgrades!$E$9)*(K202&gt;=Upgrades!$E$12)=1,L202=0),1,"")</f>
        <v/>
      </c>
      <c r="AO202" s="26" t="str">
        <f aca="false">IF(AND(D202&gt;=Parameters!$B$18,L202=0),1,"")</f>
        <v/>
      </c>
      <c r="AP202" s="21" t="n">
        <f aca="false">MIN(IF(ISNUMBER(AK202),AK202,9000000000000000),IF(ISNUMBER(AL202),AL202,9000000000000000),IF(ISNUMBER(AM202),AM202,9000000000000000))</f>
        <v>9000000000000000</v>
      </c>
      <c r="AQ202" s="21" t="n">
        <f aca="false">MIN(IF(ISNUMBER(AG202),AG202,9000000000000000),IF(ISNUMBER(AH202),AH202,9000000000000000),IF(ISNUMBER(AI202),AI202,9000000000000000),IF(ISNUMBER(AJ202),AJ202,9000000000000000))</f>
        <v>37.4517507383159</v>
      </c>
      <c r="AR202" s="32" t="b">
        <f aca="false">IF(AW202&gt;Parameters!$B$21*(MAX(IF(AND(NOT(AND(AO202=1,AN202&lt;&gt;1)),ISNUMBER(AG202),AG202&lt;=T202),AS202,0),IF(AND(NOT(AND(AO202=1,AN202&lt;&gt;1)),ISNUMBER(AH202),AH202&lt;=T202),AT202,0),IF(AND(NOT(AND(AO202=1,AN202&lt;&gt;1)),ISNUMBER(AI202),AI202&lt;=T202),AU202,0),IF(AND(ISNUMBER(AJ202),AJ202&lt;=T202),AV202,0))),TRUE(),FALSE())</f>
        <v>1</v>
      </c>
      <c r="AS202" s="33" t="n">
        <f aca="false">IFERROR(Upgrades!$H$6*(POWER(Upgrades!$P$6,E202)*POWER(Upgrades!$P$7,F202)*POWER(Upgrades!$P$8,G202)*POWER(Upgrades!$P$9,H202)*POWER(Upgrades!$P$10,I202)*POWER(Upgrades!$P$11,J202)*POWER(Upgrades!$P$12,K202))*(IF(Upgrades!$T$7="Solar Wind",POWER(Upgrades!$U$7,F202),1)*IF(Upgrades!$T$8="Solar Wind",POWER(Upgrades!$U$8,G202),1)*IF(Upgrades!$T$9="Solar Wind",POWER(Upgrades!$U$9,H202),1)*IF(Upgrades!$T$10="Solar Wind",POWER(Upgrades!$U$10,I202),1)*IF(Upgrades!$T$11="Solar Wind",POWER(Upgrades!$U$11,J202),1)*IF(Upgrades!$T$12="Solar Wind",POWER(Upgrades!$U$12,K202),1))/AG202,0)</f>
        <v>0.0026701021455238</v>
      </c>
      <c r="AT202" s="33" t="n">
        <f aca="false">IFERROR(Upgrades!$H$7*(POWER(Upgrades!$P$6,E202)*POWER(Upgrades!$P$7,F202)*POWER(Upgrades!$P$8,G202)*POWER(Upgrades!$P$9,H202)*POWER(Upgrades!$P$10,I202)*POWER(Upgrades!$P$11,J202)*POWER(Upgrades!$P$12,K202))*(IF(Upgrades!$T$6="Asteroid Belt",POWER(Upgrades!$U$6,E202),1)*IF(Upgrades!$T$8="Asteroid Belt",POWER(Upgrades!$U$8,G202),1)*IF(Upgrades!$T$9="Asteroid Belt",POWER(Upgrades!$U$9,H202),1)*IF(Upgrades!$T$10="Asteroid Belt",POWER(Upgrades!$U$10,I202),1)*IF(Upgrades!$T$11="Asteroid Belt",POWER(Upgrades!$U$11,J202),1)*IF(Upgrades!$T$12="Asteroid Belt",POWER(Upgrades!$U$12,K202),1))/AH202,0)</f>
        <v>0.00308980882652332</v>
      </c>
      <c r="AU202" s="33" t="n">
        <f aca="false">IFERROR(Upgrades!$K$8*(POWER(Upgrades!$Q$6,E202)*POWER(Upgrades!$Q$7,F202)*POWER(Upgrades!$Q$8,G202)*POWER(Upgrades!$Q$9,H202)*POWER(Upgrades!$Q$10,I202)*POWER(Upgrades!$Q$11,J202)*POWER(Upgrades!$Q$12,K202))*(IF(Upgrades!$T$6="Stellar Coupling",POWER(Upgrades!$U$6,E202),1)*IF(Upgrades!$T$7="Stellar Coupling",POWER(Upgrades!$U$7,F202),1)*IF(Upgrades!$T$9="Stellar Coupling",POWER(Upgrades!$U$9,H202),1)*IF(Upgrades!$T$10="Stellar Coupling",POWER(Upgrades!$U$10,I202),1)*IF(Upgrades!$T$11="Stellar Coupling",POWER(Upgrades!$U$11,J202),1)*IF(Upgrades!$T$12="Stellar Coupling",POWER(Upgrades!$U$12,K202),1))*Parameters!$B$10*Parameters!$B$11/60/AI202,0)</f>
        <v>0.00452762415783776</v>
      </c>
      <c r="AV202" s="33" t="n">
        <f aca="false">IFERROR(Upgrades!$H$9*(POWER(Upgrades!$P$6,E202)*POWER(Upgrades!$P$7,F202)*POWER(Upgrades!$P$8,G202)*POWER(Upgrades!$P$9,H202)*POWER(Upgrades!$P$10,I202)*POWER(Upgrades!$P$11,J202)*POWER(Upgrades!$P$12,K202))*(IF(Upgrades!$T$6="Magnetosphere",POWER(Upgrades!$U$6,E202),1)*IF(Upgrades!$T$7="Magnetosphere",POWER(Upgrades!$U$7,F202),1)*IF(Upgrades!$T$8="Magnetosphere",POWER(Upgrades!$U$8,G202),1)*IF(Upgrades!$T$10="Magnetosphere",POWER(Upgrades!$U$10,I202),1)*IF(Upgrades!$T$11="Magnetosphere",POWER(Upgrades!$U$11,J202),1)*IF(Upgrades!$T$12="Magnetosphere",POWER(Upgrades!$U$12,K202),1))/AJ202,0)</f>
        <v>0</v>
      </c>
      <c r="AW202" s="33" t="n">
        <f aca="false">MAX(IF(I202&gt;0,0,IFERROR(0.25*N202/Upgrades!$C$10,0)),IF(J202&gt;0,0,IFERROR(0.5*((IF(G202=0,0,(Upgrades!$J$8+G202*Upgrades!$K$8)*POWER(Upgrades!$L$8,G202)))*(IF(Upgrades!$T$6="Stellar Coupling",POWER(Upgrades!$U$6,E202),1)*IF(Upgrades!$T$7="Stellar Coupling",POWER(Upgrades!$U$7,F202),1)*IF(Upgrades!$T$9="Stellar Coupling",POWER(Upgrades!$U$9,H202),1)*IF(Upgrades!$T$10="Stellar Coupling",POWER(Upgrades!$U$10,I202),1)*IF(Upgrades!$T$11="Stellar Coupling",POWER(Upgrades!$U$11,J202),1)*IF(Upgrades!$T$12="Stellar Coupling",POWER(Upgrades!$U$12,K202),1))*(POWER(Upgrades!$Q$6,E202)*POWER(Upgrades!$Q$7,F202)*POWER(Upgrades!$Q$8,G202)*POWER(Upgrades!$Q$9,H202)*POWER(Upgrades!$Q$10,I202)*POWER(Upgrades!$Q$11,J202)*POWER(Upgrades!$Q$12,K202))*Parameters!$B$10*Parameters!$B$11/60)/Upgrades!$C$11,0)),IF(K202&gt;0,0,IFERROR((1*(POWER(Upgrades!$P$6,E202)*POWER(Upgrades!$P$7,F202)*POWER(Upgrades!$P$8,G202)*POWER(Upgrades!$P$9,H202)*POWER(Upgrades!$P$10,I202)*POWER(Upgrades!$P$11,J202)*POWER(Upgrades!$P$12,K202))+0.2*M202*Parameters!$B$10*Parameters!$B$11/60)/Upgrades!$C$12,0)),IF(AND(ISNUMBER(AG202),AG202&gt;T202),AS202,0),IF(AND(ISNUMBER(AH202),AH202&gt;T202),AT202,0),IF(AND(ISNUMBER(AI202),AI202&gt;T202),AU202,0),IF(AND(ISNUMBER(AJ202),AJ202&gt;T202),AV202,0))</f>
        <v>0.00452762415783776</v>
      </c>
      <c r="AX202" s="29" t="str">
        <f aca="false">IF(AN202=1,"transition",IF(MIN(IF(AND(I202=0,ISNUMBER(AK202),AK202&lt;=T202),AK202,9000000000000000),IF(AND(J202=0,ISNUMBER(AL202),AL202&lt;=T202),AL202,9000000000000000),IF(AND(K202=0,ISNUMBER(AM202),AM202&lt;=T202),AM202,9000000000000000))&lt;9000000000000000,IF(AND(AND(I202=0,ISNUMBER(AK202),AK202&lt;=T202),AK202=MIN(IF(AND(I202=0,ISNUMBER(AK202),AK202&lt;=T202),AK202,9000000000000000),IF(AND(J202=0,ISNUMBER(AL202),AL202&lt;=T202),AL202,9000000000000000),IF(AND(K202=0,ISNUMBER(AM202),AM202&lt;=T202),AM202,9000000000000000))),"OR",IF(AND(AND(J202=0,ISNUMBER(AL202),AL202&lt;=T202),AL202=MIN(IF(AND(I202=0,ISNUMBER(AK202),AK202&lt;=T202),AK202,9000000000000000),IF(AND(J202=0,ISNUMBER(AL202),AL202&lt;=T202),AL202,9000000000000000),IF(AND(K202=0,ISNUMBER(AM202),AM202&lt;=T202),AM202,9000000000000000))),"HP","FP")),IF(AR202=TRUE(),"",IF(MAX(IF(AND(NOT(AND(AO202=1,AN202&lt;&gt;1)),ISNUMBER(AG202),AG202&lt;=T202),AS202,0),IF(AND(NOT(AND(AO202=1,AN202&lt;&gt;1)),ISNUMBER(AH202),AH202&lt;=T202),AT202,0),IF(AND(NOT(AND(AO202=1,AN202&lt;&gt;1)),ISNUMBER(AI202),AI202&lt;=T202),AU202,0),IF(AND(ISNUMBER(AJ202),AJ202&lt;=T202),AV202,0))&lt;=0,"",IF(AND(IF(AND(NOT(AND(AO202=1,AN202&lt;&gt;1)),ISNUMBER(AG202),AG202&lt;=T202),AS202,0)&gt;0,IF(AND(NOT(AND(AO202=1,AN202&lt;&gt;1)),ISNUMBER(AG202),AG202&lt;=T202),AS202,0)=MAX(IF(AND(NOT(AND(AO202=1,AN202&lt;&gt;1)),ISNUMBER(AG202),AG202&lt;=T202),AS202,0),IF(AND(NOT(AND(AO202=1,AN202&lt;&gt;1)),ISNUMBER(AH202),AH202&lt;=T202),AT202,0),IF(AND(NOT(AND(AO202=1,AN202&lt;&gt;1)),ISNUMBER(AI202),AI202&lt;=T202),AU202,0),IF(AND(ISNUMBER(AJ202),AJ202&lt;=T202),AV202,0))),"SW",IF(AND(IF(AND(NOT(AND(AO202=1,AN202&lt;&gt;1)),ISNUMBER(AH202),AH202&lt;=T202),AT202,0)&gt;0,IF(AND(NOT(AND(AO202=1,AN202&lt;&gt;1)),ISNUMBER(AH202),AH202&lt;=T202),AT202,0)=MAX(IF(AND(NOT(AND(AO202=1,AN202&lt;&gt;1)),ISNUMBER(AG202),AG202&lt;=T202),AS202,0),IF(AND(NOT(AND(AO202=1,AN202&lt;&gt;1)),ISNUMBER(AH202),AH202&lt;=T202),AT202,0),IF(AND(NOT(AND(AO202=1,AN202&lt;&gt;1)),ISNUMBER(AI202),AI202&lt;=T202),AU202,0),IF(AND(ISNUMBER(AJ202),AJ202&lt;=T202),AV202,0))),"AB",IF(AND(IF(AND(NOT(AND(AO202=1,AN202&lt;&gt;1)),ISNUMBER(AI202),AI202&lt;=T202),AU202,0)&gt;0,IF(AND(NOT(AND(AO202=1,AN202&lt;&gt;1)),ISNUMBER(AI202),AI202&lt;=T202),AU202,0)=MAX(IF(AND(NOT(AND(AO202=1,AN202&lt;&gt;1)),ISNUMBER(AG202),AG202&lt;=T202),AS202,0),IF(AND(NOT(AND(AO202=1,AN202&lt;&gt;1)),ISNUMBER(AH202),AH202&lt;=T202),AT202,0),IF(AND(NOT(AND(AO202=1,AN202&lt;&gt;1)),ISNUMBER(AI202),AI202&lt;=T202),AU202,0),IF(AND(ISNUMBER(AJ202),AJ202&lt;=T202),AV202,0))),"SC","Mag")))))))</f>
        <v/>
      </c>
    </row>
    <row r="203" customFormat="false" ht="15" hidden="false" customHeight="false" outlineLevel="0" collapsed="false">
      <c r="A203" s="26" t="n">
        <v>198</v>
      </c>
      <c r="B203" s="27" t="n">
        <f aca="false">A203*10/60</f>
        <v>33</v>
      </c>
      <c r="C203" s="21" t="n">
        <f aca="false">X202</f>
        <v>18.6730249835055</v>
      </c>
      <c r="D203" s="27" t="n">
        <f aca="false">D202+W202</f>
        <v>0</v>
      </c>
      <c r="E203" s="26" t="n">
        <f aca="false">E202+IF(U202="SW",1,0)</f>
        <v>12</v>
      </c>
      <c r="F203" s="26" t="n">
        <f aca="false">F202+IF(U202="AB",1,0)</f>
        <v>10</v>
      </c>
      <c r="G203" s="26" t="n">
        <f aca="false">G202+IF(U202="SC",1,0)</f>
        <v>7</v>
      </c>
      <c r="H203" s="26" t="n">
        <f aca="false">H202+IF(U202="Mag",1,0)</f>
        <v>5</v>
      </c>
      <c r="I203" s="26" t="n">
        <f aca="false">MAX(I202,IF(U202="OR",1,0))</f>
        <v>1</v>
      </c>
      <c r="J203" s="26" t="n">
        <f aca="false">MAX(J202,IF(U202="HP",1,0))</f>
        <v>1</v>
      </c>
      <c r="K203" s="26" t="n">
        <f aca="false">MAX(K202,IF(U202="FP",1,0))</f>
        <v>1</v>
      </c>
      <c r="L203" s="26" t="n">
        <f aca="false">MAX(L202,IF(U202="transition",1,0))</f>
        <v>1</v>
      </c>
      <c r="M203" s="28" t="n">
        <f aca="false">(Parameters!$B$9+(IF(E203=0,0,(Upgrades!$J$6+E203*Upgrades!$K$6)*POWER(Upgrades!$L$6,E203)))*(IF(Upgrades!$T$7="Solar Wind",POWER(Upgrades!$U$7,F203),1)*IF(Upgrades!$T$8="Solar Wind",POWER(Upgrades!$U$8,G203),1)*IF(Upgrades!$T$9="Solar Wind",POWER(Upgrades!$U$9,H203),1)*IF(Upgrades!$T$10="Solar Wind",POWER(Upgrades!$U$10,I203),1)*IF(Upgrades!$T$11="Solar Wind",POWER(Upgrades!$U$11,J203),1)*IF(Upgrades!$T$12="Solar Wind",POWER(Upgrades!$U$12,K203),1))+(IF(F203=0,0,(Upgrades!$J$7+F203*Upgrades!$K$7)*POWER(Upgrades!$L$7,F203)))*(IF(Upgrades!$T$6="Asteroid Belt",POWER(Upgrades!$U$6,E203),1)*IF(Upgrades!$T$8="Asteroid Belt",POWER(Upgrades!$U$8,G203),1)*IF(Upgrades!$T$9="Asteroid Belt",POWER(Upgrades!$U$9,H203),1)*IF(Upgrades!$T$10="Asteroid Belt",POWER(Upgrades!$U$10,I203),1)*IF(Upgrades!$T$11="Asteroid Belt",POWER(Upgrades!$U$11,J203),1)*IF(Upgrades!$T$12="Asteroid Belt",POWER(Upgrades!$U$12,K203),1))+(IF(G203=0,0,(Upgrades!$J$8+G203*Upgrades!$K$8)*POWER(Upgrades!$L$8,G203)))*(IF(Upgrades!$T$6="Stellar Coupling",POWER(Upgrades!$U$6,E203),1)*IF(Upgrades!$T$7="Stellar Coupling",POWER(Upgrades!$U$7,F203),1)*IF(Upgrades!$T$9="Stellar Coupling",POWER(Upgrades!$U$9,H203),1)*IF(Upgrades!$T$10="Stellar Coupling",POWER(Upgrades!$U$10,I203),1)*IF(Upgrades!$T$11="Stellar Coupling",POWER(Upgrades!$U$11,J203),1)*IF(Upgrades!$T$12="Stellar Coupling",POWER(Upgrades!$U$12,K203),1))+(IF(H203=0,0,(Upgrades!$J$9+H203*Upgrades!$K$9)*POWER(Upgrades!$L$9,H203)))*(IF(Upgrades!$T$6="Magnetosphere",POWER(Upgrades!$U$6,E203),1)*IF(Upgrades!$T$7="Magnetosphere",POWER(Upgrades!$U$7,F203),1)*IF(Upgrades!$T$8="Magnetosphere",POWER(Upgrades!$U$8,G203),1)*IF(Upgrades!$T$10="Magnetosphere",POWER(Upgrades!$U$10,I203),1)*IF(Upgrades!$T$11="Magnetosphere",POWER(Upgrades!$U$11,J203),1)*IF(Upgrades!$T$12="Magnetosphere",POWER(Upgrades!$U$12,K203),1))+(IF(I203=0,0,(Upgrades!$J$10+I203*Upgrades!$K$10)*POWER(Upgrades!$L$10,I203)))*(IF(Upgrades!$T$6="Orbital Resonance",POWER(Upgrades!$U$6,E203),1)*IF(Upgrades!$T$7="Orbital Resonance",POWER(Upgrades!$U$7,F203),1)*IF(Upgrades!$T$8="Orbital Resonance",POWER(Upgrades!$U$8,G203),1)*IF(Upgrades!$T$9="Orbital Resonance",POWER(Upgrades!$U$9,H203),1)*IF(Upgrades!$T$11="Orbital Resonance",POWER(Upgrades!$U$11,J203),1)*IF(Upgrades!$T$12="Orbital Resonance",POWER(Upgrades!$U$12,K203),1))+(IF(J203=0,0,(Upgrades!$J$11+J203*Upgrades!$K$11)*POWER(Upgrades!$L$11,J203)))*(IF(Upgrades!$T$6="Heliopause",POWER(Upgrades!$U$6,E203),1)*IF(Upgrades!$T$7="Heliopause",POWER(Upgrades!$U$7,F203),1)*IF(Upgrades!$T$8="Heliopause",POWER(Upgrades!$U$8,G203),1)*IF(Upgrades!$T$9="Heliopause",POWER(Upgrades!$U$9,H203),1)*IF(Upgrades!$T$10="Heliopause",POWER(Upgrades!$U$10,I203),1)*IF(Upgrades!$T$12="Heliopause",POWER(Upgrades!$U$12,K203),1))+(IF(K203=0,0,(Upgrades!$J$12+K203*Upgrades!$K$12)*POWER(Upgrades!$L$12,K203)))*(IF(Upgrades!$T$6="First Photons",POWER(Upgrades!$U$6,E203),1)*IF(Upgrades!$T$7="First Photons",POWER(Upgrades!$U$7,F203),1)*IF(Upgrades!$T$8="First Photons",POWER(Upgrades!$U$8,G203),1)*IF(Upgrades!$T$9="First Photons",POWER(Upgrades!$U$9,H203),1)*IF(Upgrades!$T$10="First Photons",POWER(Upgrades!$U$10,I203),1)*IF(Upgrades!$T$11="First Photons",POWER(Upgrades!$U$11,J203),1)))*POWER(Upgrades!$Q$6,E203)*POWER(Upgrades!$Q$7,F203)*POWER(Upgrades!$Q$8,G203)*POWER(Upgrades!$Q$9,H203)*POWER(Upgrades!$Q$10,I203)*POWER(Upgrades!$Q$11,J203)*POWER(Upgrades!$Q$12,K203)</f>
        <v>5.61</v>
      </c>
      <c r="N203" s="28" t="n">
        <f aca="false">((IF(E203=0,0,(Upgrades!$G$6+E203*Upgrades!$H$6)*POWER(Upgrades!$I$6,E203)))*(IF(Upgrades!$T$7="Solar Wind",POWER(Upgrades!$U$7,F203),1)*IF(Upgrades!$T$8="Solar Wind",POWER(Upgrades!$U$8,G203),1)*IF(Upgrades!$T$9="Solar Wind",POWER(Upgrades!$U$9,H203),1)*IF(Upgrades!$T$10="Solar Wind",POWER(Upgrades!$U$10,I203),1)*IF(Upgrades!$T$11="Solar Wind",POWER(Upgrades!$U$11,J203),1)*IF(Upgrades!$T$12="Solar Wind",POWER(Upgrades!$U$12,K203),1))+(IF(F203=0,0,(Upgrades!$G$7+F203*Upgrades!$H$7)*POWER(Upgrades!$I$7,F203)))*(IF(Upgrades!$T$6="Asteroid Belt",POWER(Upgrades!$U$6,E203),1)*IF(Upgrades!$T$8="Asteroid Belt",POWER(Upgrades!$U$8,G203),1)*IF(Upgrades!$T$9="Asteroid Belt",POWER(Upgrades!$U$9,H203),1)*IF(Upgrades!$T$10="Asteroid Belt",POWER(Upgrades!$U$10,I203),1)*IF(Upgrades!$T$11="Asteroid Belt",POWER(Upgrades!$U$11,J203),1)*IF(Upgrades!$T$12="Asteroid Belt",POWER(Upgrades!$U$12,K203),1))+(IF(G203=0,0,(Upgrades!$G$8+G203*Upgrades!$H$8)*POWER(Upgrades!$I$8,G203)))*(IF(Upgrades!$T$6="Stellar Coupling",POWER(Upgrades!$U$6,E203),1)*IF(Upgrades!$T$7="Stellar Coupling",POWER(Upgrades!$U$7,F203),1)*IF(Upgrades!$T$9="Stellar Coupling",POWER(Upgrades!$U$9,H203),1)*IF(Upgrades!$T$10="Stellar Coupling",POWER(Upgrades!$U$10,I203),1)*IF(Upgrades!$T$11="Stellar Coupling",POWER(Upgrades!$U$11,J203),1)*IF(Upgrades!$T$12="Stellar Coupling",POWER(Upgrades!$U$12,K203),1))+(IF(H203=0,0,(Upgrades!$G$9+H203*Upgrades!$H$9)*POWER(Upgrades!$I$9,H203)))*(IF(Upgrades!$T$6="Magnetosphere",POWER(Upgrades!$U$6,E203),1)*IF(Upgrades!$T$7="Magnetosphere",POWER(Upgrades!$U$7,F203),1)*IF(Upgrades!$T$8="Magnetosphere",POWER(Upgrades!$U$8,G203),1)*IF(Upgrades!$T$10="Magnetosphere",POWER(Upgrades!$U$10,I203),1)*IF(Upgrades!$T$11="Magnetosphere",POWER(Upgrades!$U$11,J203),1)*IF(Upgrades!$T$12="Magnetosphere",POWER(Upgrades!$U$12,K203),1))+(IF(I203=0,0,(Upgrades!$G$10+I203*Upgrades!$H$10)*POWER(Upgrades!$I$10,I203)))*(IF(Upgrades!$T$6="Orbital Resonance",POWER(Upgrades!$U$6,E203),1)*IF(Upgrades!$T$7="Orbital Resonance",POWER(Upgrades!$U$7,F203),1)*IF(Upgrades!$T$8="Orbital Resonance",POWER(Upgrades!$U$8,G203),1)*IF(Upgrades!$T$9="Orbital Resonance",POWER(Upgrades!$U$9,H203),1)*IF(Upgrades!$T$11="Orbital Resonance",POWER(Upgrades!$U$11,J203),1)*IF(Upgrades!$T$12="Orbital Resonance",POWER(Upgrades!$U$12,K203),1))+(IF(J203=0,0,(Upgrades!$G$11+J203*Upgrades!$H$11)*POWER(Upgrades!$I$11,J203)))*(IF(Upgrades!$T$6="Heliopause",POWER(Upgrades!$U$6,E203),1)*IF(Upgrades!$T$7="Heliopause",POWER(Upgrades!$U$7,F203),1)*IF(Upgrades!$T$8="Heliopause",POWER(Upgrades!$U$8,G203),1)*IF(Upgrades!$T$9="Heliopause",POWER(Upgrades!$U$9,H203),1)*IF(Upgrades!$T$10="Heliopause",POWER(Upgrades!$U$10,I203),1)*IF(Upgrades!$T$12="Heliopause",POWER(Upgrades!$U$12,K203),1))+(IF(K203=0,0,(Upgrades!$G$12+K203*Upgrades!$H$12)*POWER(Upgrades!$I$12,K203)))*(IF(Upgrades!$T$6="First Photons",POWER(Upgrades!$U$6,E203),1)*IF(Upgrades!$T$7="First Photons",POWER(Upgrades!$U$7,F203),1)*IF(Upgrades!$T$8="First Photons",POWER(Upgrades!$U$8,G203),1)*IF(Upgrades!$T$9="First Photons",POWER(Upgrades!$U$9,H203),1)*IF(Upgrades!$T$10="First Photons",POWER(Upgrades!$U$10,I203),1)*IF(Upgrades!$T$11="First Photons",POWER(Upgrades!$U$11,J203),1)))*POWER(Upgrades!$P$6,E203)*POWER(Upgrades!$P$7,F203)*POWER(Upgrades!$P$8,G203)*POWER(Upgrades!$P$9,H203)*POWER(Upgrades!$P$10,I203)*POWER(Upgrades!$P$11,J203)*POWER(Upgrades!$P$12,K203)</f>
        <v>11.2</v>
      </c>
      <c r="O203" s="28" t="n">
        <f aca="false">((IF(E203=0,0,(Upgrades!$M$6+E203*Upgrades!$N$6)*POWER(Upgrades!$O$6,E203)))*(IF(Upgrades!$T$7="Solar Wind",POWER(Upgrades!$U$7,F203),1)*IF(Upgrades!$T$8="Solar Wind",POWER(Upgrades!$U$8,G203),1)*IF(Upgrades!$T$9="Solar Wind",POWER(Upgrades!$U$9,H203),1)*IF(Upgrades!$T$10="Solar Wind",POWER(Upgrades!$U$10,I203),1)*IF(Upgrades!$T$11="Solar Wind",POWER(Upgrades!$U$11,J203),1)*IF(Upgrades!$T$12="Solar Wind",POWER(Upgrades!$U$12,K203),1))+(IF(F203=0,0,(Upgrades!$M$7+F203*Upgrades!$N$7)*POWER(Upgrades!$O$7,F203)))*(IF(Upgrades!$T$6="Asteroid Belt",POWER(Upgrades!$U$6,E203),1)*IF(Upgrades!$T$8="Asteroid Belt",POWER(Upgrades!$U$8,G203),1)*IF(Upgrades!$T$9="Asteroid Belt",POWER(Upgrades!$U$9,H203),1)*IF(Upgrades!$T$10="Asteroid Belt",POWER(Upgrades!$U$10,I203),1)*IF(Upgrades!$T$11="Asteroid Belt",POWER(Upgrades!$U$11,J203),1)*IF(Upgrades!$T$12="Asteroid Belt",POWER(Upgrades!$U$12,K203),1))+(IF(G203=0,0,(Upgrades!$M$8+G203*Upgrades!$N$8)*POWER(Upgrades!$O$8,G203)))*(IF(Upgrades!$T$6="Stellar Coupling",POWER(Upgrades!$U$6,E203),1)*IF(Upgrades!$T$7="Stellar Coupling",POWER(Upgrades!$U$7,F203),1)*IF(Upgrades!$T$9="Stellar Coupling",POWER(Upgrades!$U$9,H203),1)*IF(Upgrades!$T$10="Stellar Coupling",POWER(Upgrades!$U$10,I203),1)*IF(Upgrades!$T$11="Stellar Coupling",POWER(Upgrades!$U$11,J203),1)*IF(Upgrades!$T$12="Stellar Coupling",POWER(Upgrades!$U$12,K203),1))+(IF(H203=0,0,(Upgrades!$M$9+H203*Upgrades!$N$9)*POWER(Upgrades!$O$9,H203)))*(IF(Upgrades!$T$6="Magnetosphere",POWER(Upgrades!$U$6,E203),1)*IF(Upgrades!$T$7="Magnetosphere",POWER(Upgrades!$U$7,F203),1)*IF(Upgrades!$T$8="Magnetosphere",POWER(Upgrades!$U$8,G203),1)*IF(Upgrades!$T$10="Magnetosphere",POWER(Upgrades!$U$10,I203),1)*IF(Upgrades!$T$11="Magnetosphere",POWER(Upgrades!$U$11,J203),1)*IF(Upgrades!$T$12="Magnetosphere",POWER(Upgrades!$U$12,K203),1))+(IF(I203=0,0,(Upgrades!$M$10+I203*Upgrades!$N$10)*POWER(Upgrades!$O$10,I203)))*(IF(Upgrades!$T$6="Orbital Resonance",POWER(Upgrades!$U$6,E203),1)*IF(Upgrades!$T$7="Orbital Resonance",POWER(Upgrades!$U$7,F203),1)*IF(Upgrades!$T$8="Orbital Resonance",POWER(Upgrades!$U$8,G203),1)*IF(Upgrades!$T$9="Orbital Resonance",POWER(Upgrades!$U$9,H203),1)*IF(Upgrades!$T$11="Orbital Resonance",POWER(Upgrades!$U$11,J203),1)*IF(Upgrades!$T$12="Orbital Resonance",POWER(Upgrades!$U$12,K203),1))+(IF(J203=0,0,(Upgrades!$M$11+J203*Upgrades!$N$11)*POWER(Upgrades!$O$11,J203)))*(IF(Upgrades!$T$6="Heliopause",POWER(Upgrades!$U$6,E203),1)*IF(Upgrades!$T$7="Heliopause",POWER(Upgrades!$U$7,F203),1)*IF(Upgrades!$T$8="Heliopause",POWER(Upgrades!$U$8,G203),1)*IF(Upgrades!$T$9="Heliopause",POWER(Upgrades!$U$9,H203),1)*IF(Upgrades!$T$10="Heliopause",POWER(Upgrades!$U$10,I203),1)*IF(Upgrades!$T$12="Heliopause",POWER(Upgrades!$U$12,K203),1))+(IF(K203=0,0,(Upgrades!$M$12+K203*Upgrades!$N$12)*POWER(Upgrades!$O$12,K203)))*(IF(Upgrades!$T$6="First Photons",POWER(Upgrades!$U$6,E203),1)*IF(Upgrades!$T$7="First Photons",POWER(Upgrades!$U$7,F203),1)*IF(Upgrades!$T$8="First Photons",POWER(Upgrades!$U$8,G203),1)*IF(Upgrades!$T$9="First Photons",POWER(Upgrades!$U$9,H203),1)*IF(Upgrades!$T$10="First Photons",POWER(Upgrades!$U$10,I203),1)*IF(Upgrades!$T$11="First Photons",POWER(Upgrades!$U$11,J203),1)))*POWER(Upgrades!$R$6,E203)*POWER(Upgrades!$R$7,F203)*POWER(Upgrades!$R$8,G203)*POWER(Upgrades!$R$9,H203)*POWER(Upgrades!$R$10,I203)*POWER(Upgrades!$R$11,J203)*POWER(Upgrades!$R$12,K203)</f>
        <v>0</v>
      </c>
      <c r="P203" s="27" t="n">
        <f aca="false">IF(L203=1,0,M203*Parameters!$B$10/60*Parameters!$B$11*10)</f>
        <v>0</v>
      </c>
      <c r="Q203" s="27" t="n">
        <f aca="false">IF(L203=1,0,O203*M203*10)</f>
        <v>0</v>
      </c>
      <c r="R203" s="27" t="n">
        <f aca="false">IF(L203=1,0,N203*10)</f>
        <v>0</v>
      </c>
      <c r="S203" s="27" t="n">
        <f aca="false">P203+Q203+R203</f>
        <v>0</v>
      </c>
      <c r="T203" s="21" t="n">
        <f aca="false">C203+S203</f>
        <v>18.6730249835055</v>
      </c>
      <c r="U203" s="34" t="str">
        <f aca="false">AX203</f>
        <v/>
      </c>
      <c r="V203" s="21" t="n">
        <f aca="false">IF(U203="",0,IF(U203="transition",0,IF(U203="SW",AG203,IF(U203="AB",AH203,IF(U203="SC",AI203,IF(U203="Mag",AJ203,IF(U203="OR",AK203,IF(U203="HP",AL203,IF(U203="FP",AM203,0)))))))))</f>
        <v>0</v>
      </c>
      <c r="W203" s="27" t="n">
        <f aca="false">IF(U203="OR",Upgrades!$F$10,IF(U203="HP",Upgrades!$F$11,IF(U203="transition",-Parameters!$B$18,0)))</f>
        <v>0</v>
      </c>
      <c r="X203" s="21" t="n">
        <f aca="false">T203-V203</f>
        <v>18.6730249835055</v>
      </c>
      <c r="Y203" s="30" t="n">
        <f aca="false">M203*Parameters!$B$10/60*Parameters!$B$11+O203*M203+N203</f>
        <v>20.55</v>
      </c>
      <c r="Z203" s="35" t="str">
        <f aca="false">IF(U203="transition","→ Tier 2 (Stellar Neighborhood)",IF(U203="FP","First Photons — light begins, system quickens",IF(U203="HP","Heliopause acquired",IF(U203="OR","Orbital Resonance — passive multiplier active",IF(AND(AO203=1,L203=0,AN203&lt;&gt;1),"Cohesion ready (waiting on completionist upgrades)","")))))</f>
        <v/>
      </c>
      <c r="AA203" s="27" t="n">
        <f aca="false">(IF(E203=0,0,(Upgrades!$G$6+E203*Upgrades!$H$6)*POWER(Upgrades!$I$6,E203)))*(IF(Upgrades!$T$7="Solar Wind",POWER(Upgrades!$U$7,F203),1)*IF(Upgrades!$T$8="Solar Wind",POWER(Upgrades!$U$8,G203),1)*IF(Upgrades!$T$9="Solar Wind",POWER(Upgrades!$U$9,H203),1)*IF(Upgrades!$T$10="Solar Wind",POWER(Upgrades!$U$10,I203),1)*IF(Upgrades!$T$11="Solar Wind",POWER(Upgrades!$U$11,J203),1)*IF(Upgrades!$T$12="Solar Wind",POWER(Upgrades!$U$12,K203),1))*POWER(Upgrades!$P$6,E203)*POWER(Upgrades!$P$7,F203)*POWER(Upgrades!$P$8,G203)*POWER(Upgrades!$P$9,H203)*POWER(Upgrades!$P$10,I203)*POWER(Upgrades!$P$11,J203)*POWER(Upgrades!$P$12,K203)*60</f>
        <v>72</v>
      </c>
      <c r="AB203" s="27" t="n">
        <f aca="false">(IF(F203=0,0,(Upgrades!$G$7+F203*Upgrades!$H$7)*POWER(Upgrades!$I$7,F203)))*(IF(Upgrades!$T$6="Asteroid Belt",POWER(Upgrades!$U$6,E203),1)*IF(Upgrades!$T$8="Asteroid Belt",POWER(Upgrades!$U$8,G203),1)*IF(Upgrades!$T$9="Asteroid Belt",POWER(Upgrades!$U$9,H203),1)*IF(Upgrades!$T$10="Asteroid Belt",POWER(Upgrades!$U$10,I203),1)*IF(Upgrades!$T$11="Asteroid Belt",POWER(Upgrades!$U$11,J203),1)*IF(Upgrades!$T$12="Asteroid Belt",POWER(Upgrades!$U$12,K203),1))*POWER(Upgrades!$P$6,E203)*POWER(Upgrades!$P$7,F203)*POWER(Upgrades!$P$8,G203)*POWER(Upgrades!$P$9,H203)*POWER(Upgrades!$P$10,I203)*POWER(Upgrades!$P$11,J203)*POWER(Upgrades!$P$12,K203)*60</f>
        <v>150</v>
      </c>
      <c r="AC203" s="27" t="n">
        <f aca="false">(IF(G203=0,0,(Upgrades!$J$8+G203*Upgrades!$K$8)*POWER(Upgrades!$L$8,G203)))*(IF(Upgrades!$T$6="Stellar Coupling",POWER(Upgrades!$U$6,E203),1)*IF(Upgrades!$T$7="Stellar Coupling",POWER(Upgrades!$U$7,F203),1)*IF(Upgrades!$T$9="Stellar Coupling",POWER(Upgrades!$U$9,H203),1)*IF(Upgrades!$T$10="Stellar Coupling",POWER(Upgrades!$U$10,I203),1)*IF(Upgrades!$T$11="Stellar Coupling",POWER(Upgrades!$U$11,J203),1)*IF(Upgrades!$T$12="Stellar Coupling",POWER(Upgrades!$U$12,K203),1))*POWER(Upgrades!$Q$6,E203)*POWER(Upgrades!$Q$7,F203)*POWER(Upgrades!$Q$8,G203)*POWER(Upgrades!$Q$9,H203)*POWER(Upgrades!$Q$10,I203)*POWER(Upgrades!$Q$11,J203)*POWER(Upgrades!$Q$12,K203)*Parameters!$B$10*Parameters!$B$11</f>
        <v>441</v>
      </c>
      <c r="AD203" s="27" t="n">
        <f aca="false">(IF(H203=0,0,(Upgrades!$G$9+H203*Upgrades!$H$9)*POWER(Upgrades!$I$9,H203)))*(IF(Upgrades!$T$6="Magnetosphere",POWER(Upgrades!$U$6,E203),1)*IF(Upgrades!$T$7="Magnetosphere",POWER(Upgrades!$U$7,F203),1)*IF(Upgrades!$T$8="Magnetosphere",POWER(Upgrades!$U$8,G203),1)*IF(Upgrades!$T$10="Magnetosphere",POWER(Upgrades!$U$10,I203),1)*IF(Upgrades!$T$11="Magnetosphere",POWER(Upgrades!$U$11,J203),1)*IF(Upgrades!$T$12="Magnetosphere",POWER(Upgrades!$U$12,K203),1))*POWER(Upgrades!$P$6,E203)*POWER(Upgrades!$P$7,F203)*POWER(Upgrades!$P$8,G203)*POWER(Upgrades!$P$9,H203)*POWER(Upgrades!$P$10,I203)*POWER(Upgrades!$P$11,J203)*POWER(Upgrades!$P$12,K203)*60</f>
        <v>375</v>
      </c>
      <c r="AE203" s="27" t="n">
        <f aca="false">(IF(K203=0,0,(Upgrades!$G$12+K203*Upgrades!$H$12)*POWER(Upgrades!$I$12,K203)))*(IF(Upgrades!$T$6="First Photons",POWER(Upgrades!$U$6,E203),1)*IF(Upgrades!$T$7="First Photons",POWER(Upgrades!$U$7,F203),1)*IF(Upgrades!$T$8="First Photons",POWER(Upgrades!$U$8,G203),1)*IF(Upgrades!$T$9="First Photons",POWER(Upgrades!$U$9,H203),1)*IF(Upgrades!$T$10="First Photons",POWER(Upgrades!$U$10,I203),1)*IF(Upgrades!$T$11="First Photons",POWER(Upgrades!$U$11,J203),1))*POWER(Upgrades!$P$6,E203)*POWER(Upgrades!$P$7,F203)*POWER(Upgrades!$P$8,G203)*POWER(Upgrades!$P$9,H203)*POWER(Upgrades!$P$10,I203)*POWER(Upgrades!$P$11,J203)*POWER(Upgrades!$P$12,K203)*60</f>
        <v>75</v>
      </c>
      <c r="AF203" s="27" t="n">
        <f aca="false">Parameters!$B$9*POWER(Upgrades!$Q$6,E203)*POWER(Upgrades!$Q$7,F203)*POWER(Upgrades!$Q$8,G203)*POWER(Upgrades!$Q$9,H203)*POWER(Upgrades!$Q$10,I203)*POWER(Upgrades!$Q$11,J203)*POWER(Upgrades!$Q$12,K203)*(Parameters!$B$10*Parameters!$B$11+O203*60)</f>
        <v>120</v>
      </c>
      <c r="AG203" s="21" t="n">
        <f aca="false">IF(E203&gt;=Upgrades!$E$6,"",Upgrades!$C$6*POWER(Upgrades!$D$6,E203))</f>
        <v>37.4517507383159</v>
      </c>
      <c r="AH203" s="21" t="n">
        <f aca="false">IF(F203&gt;=Upgrades!$E$7,"",Upgrades!$C$7*POWER(Upgrades!$D$7,F203))</f>
        <v>80.9111547141581</v>
      </c>
      <c r="AI203" s="21" t="n">
        <f aca="false">IF(G203&gt;=Upgrades!$E$8,"",Upgrades!$C$8*POWER(Upgrades!$D$8,G203))</f>
        <v>231.9097088</v>
      </c>
      <c r="AJ203" s="21" t="str">
        <f aca="false">IF(H203&gt;=Upgrades!$E$9,"",Upgrades!$C$9*POWER(Upgrades!$D$9,H203))</f>
        <v/>
      </c>
      <c r="AK203" s="21" t="str">
        <f aca="false">IF(I203&gt;=Upgrades!$E$10,"",Upgrades!$C$10*POWER(Upgrades!$D$10,I203))</f>
        <v/>
      </c>
      <c r="AL203" s="21" t="str">
        <f aca="false">IF(J203&gt;=Upgrades!$E$11,"",Upgrades!$C$11*POWER(Upgrades!$D$11,J203))</f>
        <v/>
      </c>
      <c r="AM203" s="21" t="str">
        <f aca="false">IF(K203&gt;=Upgrades!$E$12,"",Upgrades!$C$12*POWER(Upgrades!$D$12,K203))</f>
        <v/>
      </c>
      <c r="AN203" s="26" t="str">
        <f aca="false">IF(AND(D203&gt;=Parameters!$B$18,(H203&gt;=Upgrades!$E$9)*(K203&gt;=Upgrades!$E$12)=1,L203=0),1,"")</f>
        <v/>
      </c>
      <c r="AO203" s="26" t="str">
        <f aca="false">IF(AND(D203&gt;=Parameters!$B$18,L203=0),1,"")</f>
        <v/>
      </c>
      <c r="AP203" s="21" t="n">
        <f aca="false">MIN(IF(ISNUMBER(AK203),AK203,9000000000000000),IF(ISNUMBER(AL203),AL203,9000000000000000),IF(ISNUMBER(AM203),AM203,9000000000000000))</f>
        <v>9000000000000000</v>
      </c>
      <c r="AQ203" s="21" t="n">
        <f aca="false">MIN(IF(ISNUMBER(AG203),AG203,9000000000000000),IF(ISNUMBER(AH203),AH203,9000000000000000),IF(ISNUMBER(AI203),AI203,9000000000000000),IF(ISNUMBER(AJ203),AJ203,9000000000000000))</f>
        <v>37.4517507383159</v>
      </c>
      <c r="AR203" s="32" t="b">
        <f aca="false">IF(AW203&gt;Parameters!$B$21*(MAX(IF(AND(NOT(AND(AO203=1,AN203&lt;&gt;1)),ISNUMBER(AG203),AG203&lt;=T203),AS203,0),IF(AND(NOT(AND(AO203=1,AN203&lt;&gt;1)),ISNUMBER(AH203),AH203&lt;=T203),AT203,0),IF(AND(NOT(AND(AO203=1,AN203&lt;&gt;1)),ISNUMBER(AI203),AI203&lt;=T203),AU203,0),IF(AND(ISNUMBER(AJ203),AJ203&lt;=T203),AV203,0))),TRUE(),FALSE())</f>
        <v>1</v>
      </c>
      <c r="AS203" s="33" t="n">
        <f aca="false">IFERROR(Upgrades!$H$6*(POWER(Upgrades!$P$6,E203)*POWER(Upgrades!$P$7,F203)*POWER(Upgrades!$P$8,G203)*POWER(Upgrades!$P$9,H203)*POWER(Upgrades!$P$10,I203)*POWER(Upgrades!$P$11,J203)*POWER(Upgrades!$P$12,K203))*(IF(Upgrades!$T$7="Solar Wind",POWER(Upgrades!$U$7,F203),1)*IF(Upgrades!$T$8="Solar Wind",POWER(Upgrades!$U$8,G203),1)*IF(Upgrades!$T$9="Solar Wind",POWER(Upgrades!$U$9,H203),1)*IF(Upgrades!$T$10="Solar Wind",POWER(Upgrades!$U$10,I203),1)*IF(Upgrades!$T$11="Solar Wind",POWER(Upgrades!$U$11,J203),1)*IF(Upgrades!$T$12="Solar Wind",POWER(Upgrades!$U$12,K203),1))/AG203,0)</f>
        <v>0.0026701021455238</v>
      </c>
      <c r="AT203" s="33" t="n">
        <f aca="false">IFERROR(Upgrades!$H$7*(POWER(Upgrades!$P$6,E203)*POWER(Upgrades!$P$7,F203)*POWER(Upgrades!$P$8,G203)*POWER(Upgrades!$P$9,H203)*POWER(Upgrades!$P$10,I203)*POWER(Upgrades!$P$11,J203)*POWER(Upgrades!$P$12,K203))*(IF(Upgrades!$T$6="Asteroid Belt",POWER(Upgrades!$U$6,E203),1)*IF(Upgrades!$T$8="Asteroid Belt",POWER(Upgrades!$U$8,G203),1)*IF(Upgrades!$T$9="Asteroid Belt",POWER(Upgrades!$U$9,H203),1)*IF(Upgrades!$T$10="Asteroid Belt",POWER(Upgrades!$U$10,I203),1)*IF(Upgrades!$T$11="Asteroid Belt",POWER(Upgrades!$U$11,J203),1)*IF(Upgrades!$T$12="Asteroid Belt",POWER(Upgrades!$U$12,K203),1))/AH203,0)</f>
        <v>0.00308980882652332</v>
      </c>
      <c r="AU203" s="33" t="n">
        <f aca="false">IFERROR(Upgrades!$K$8*(POWER(Upgrades!$Q$6,E203)*POWER(Upgrades!$Q$7,F203)*POWER(Upgrades!$Q$8,G203)*POWER(Upgrades!$Q$9,H203)*POWER(Upgrades!$Q$10,I203)*POWER(Upgrades!$Q$11,J203)*POWER(Upgrades!$Q$12,K203))*(IF(Upgrades!$T$6="Stellar Coupling",POWER(Upgrades!$U$6,E203),1)*IF(Upgrades!$T$7="Stellar Coupling",POWER(Upgrades!$U$7,F203),1)*IF(Upgrades!$T$9="Stellar Coupling",POWER(Upgrades!$U$9,H203),1)*IF(Upgrades!$T$10="Stellar Coupling",POWER(Upgrades!$U$10,I203),1)*IF(Upgrades!$T$11="Stellar Coupling",POWER(Upgrades!$U$11,J203),1)*IF(Upgrades!$T$12="Stellar Coupling",POWER(Upgrades!$U$12,K203),1))*Parameters!$B$10*Parameters!$B$11/60/AI203,0)</f>
        <v>0.00452762415783776</v>
      </c>
      <c r="AV203" s="33" t="n">
        <f aca="false">IFERROR(Upgrades!$H$9*(POWER(Upgrades!$P$6,E203)*POWER(Upgrades!$P$7,F203)*POWER(Upgrades!$P$8,G203)*POWER(Upgrades!$P$9,H203)*POWER(Upgrades!$P$10,I203)*POWER(Upgrades!$P$11,J203)*POWER(Upgrades!$P$12,K203))*(IF(Upgrades!$T$6="Magnetosphere",POWER(Upgrades!$U$6,E203),1)*IF(Upgrades!$T$7="Magnetosphere",POWER(Upgrades!$U$7,F203),1)*IF(Upgrades!$T$8="Magnetosphere",POWER(Upgrades!$U$8,G203),1)*IF(Upgrades!$T$10="Magnetosphere",POWER(Upgrades!$U$10,I203),1)*IF(Upgrades!$T$11="Magnetosphere",POWER(Upgrades!$U$11,J203),1)*IF(Upgrades!$T$12="Magnetosphere",POWER(Upgrades!$U$12,K203),1))/AJ203,0)</f>
        <v>0</v>
      </c>
      <c r="AW203" s="33" t="n">
        <f aca="false">MAX(IF(I203&gt;0,0,IFERROR(0.25*N203/Upgrades!$C$10,0)),IF(J203&gt;0,0,IFERROR(0.5*((IF(G203=0,0,(Upgrades!$J$8+G203*Upgrades!$K$8)*POWER(Upgrades!$L$8,G203)))*(IF(Upgrades!$T$6="Stellar Coupling",POWER(Upgrades!$U$6,E203),1)*IF(Upgrades!$T$7="Stellar Coupling",POWER(Upgrades!$U$7,F203),1)*IF(Upgrades!$T$9="Stellar Coupling",POWER(Upgrades!$U$9,H203),1)*IF(Upgrades!$T$10="Stellar Coupling",POWER(Upgrades!$U$10,I203),1)*IF(Upgrades!$T$11="Stellar Coupling",POWER(Upgrades!$U$11,J203),1)*IF(Upgrades!$T$12="Stellar Coupling",POWER(Upgrades!$U$12,K203),1))*(POWER(Upgrades!$Q$6,E203)*POWER(Upgrades!$Q$7,F203)*POWER(Upgrades!$Q$8,G203)*POWER(Upgrades!$Q$9,H203)*POWER(Upgrades!$Q$10,I203)*POWER(Upgrades!$Q$11,J203)*POWER(Upgrades!$Q$12,K203))*Parameters!$B$10*Parameters!$B$11/60)/Upgrades!$C$11,0)),IF(K203&gt;0,0,IFERROR((1*(POWER(Upgrades!$P$6,E203)*POWER(Upgrades!$P$7,F203)*POWER(Upgrades!$P$8,G203)*POWER(Upgrades!$P$9,H203)*POWER(Upgrades!$P$10,I203)*POWER(Upgrades!$P$11,J203)*POWER(Upgrades!$P$12,K203))+0.2*M203*Parameters!$B$10*Parameters!$B$11/60)/Upgrades!$C$12,0)),IF(AND(ISNUMBER(AG203),AG203&gt;T203),AS203,0),IF(AND(ISNUMBER(AH203),AH203&gt;T203),AT203,0),IF(AND(ISNUMBER(AI203),AI203&gt;T203),AU203,0),IF(AND(ISNUMBER(AJ203),AJ203&gt;T203),AV203,0))</f>
        <v>0.00452762415783776</v>
      </c>
      <c r="AX203" s="29" t="str">
        <f aca="false">IF(AN203=1,"transition",IF(MIN(IF(AND(I203=0,ISNUMBER(AK203),AK203&lt;=T203),AK203,9000000000000000),IF(AND(J203=0,ISNUMBER(AL203),AL203&lt;=T203),AL203,9000000000000000),IF(AND(K203=0,ISNUMBER(AM203),AM203&lt;=T203),AM203,9000000000000000))&lt;9000000000000000,IF(AND(AND(I203=0,ISNUMBER(AK203),AK203&lt;=T203),AK203=MIN(IF(AND(I203=0,ISNUMBER(AK203),AK203&lt;=T203),AK203,9000000000000000),IF(AND(J203=0,ISNUMBER(AL203),AL203&lt;=T203),AL203,9000000000000000),IF(AND(K203=0,ISNUMBER(AM203),AM203&lt;=T203),AM203,9000000000000000))),"OR",IF(AND(AND(J203=0,ISNUMBER(AL203),AL203&lt;=T203),AL203=MIN(IF(AND(I203=0,ISNUMBER(AK203),AK203&lt;=T203),AK203,9000000000000000),IF(AND(J203=0,ISNUMBER(AL203),AL203&lt;=T203),AL203,9000000000000000),IF(AND(K203=0,ISNUMBER(AM203),AM203&lt;=T203),AM203,9000000000000000))),"HP","FP")),IF(AR203=TRUE(),"",IF(MAX(IF(AND(NOT(AND(AO203=1,AN203&lt;&gt;1)),ISNUMBER(AG203),AG203&lt;=T203),AS203,0),IF(AND(NOT(AND(AO203=1,AN203&lt;&gt;1)),ISNUMBER(AH203),AH203&lt;=T203),AT203,0),IF(AND(NOT(AND(AO203=1,AN203&lt;&gt;1)),ISNUMBER(AI203),AI203&lt;=T203),AU203,0),IF(AND(ISNUMBER(AJ203),AJ203&lt;=T203),AV203,0))&lt;=0,"",IF(AND(IF(AND(NOT(AND(AO203=1,AN203&lt;&gt;1)),ISNUMBER(AG203),AG203&lt;=T203),AS203,0)&gt;0,IF(AND(NOT(AND(AO203=1,AN203&lt;&gt;1)),ISNUMBER(AG203),AG203&lt;=T203),AS203,0)=MAX(IF(AND(NOT(AND(AO203=1,AN203&lt;&gt;1)),ISNUMBER(AG203),AG203&lt;=T203),AS203,0),IF(AND(NOT(AND(AO203=1,AN203&lt;&gt;1)),ISNUMBER(AH203),AH203&lt;=T203),AT203,0),IF(AND(NOT(AND(AO203=1,AN203&lt;&gt;1)),ISNUMBER(AI203),AI203&lt;=T203),AU203,0),IF(AND(ISNUMBER(AJ203),AJ203&lt;=T203),AV203,0))),"SW",IF(AND(IF(AND(NOT(AND(AO203=1,AN203&lt;&gt;1)),ISNUMBER(AH203),AH203&lt;=T203),AT203,0)&gt;0,IF(AND(NOT(AND(AO203=1,AN203&lt;&gt;1)),ISNUMBER(AH203),AH203&lt;=T203),AT203,0)=MAX(IF(AND(NOT(AND(AO203=1,AN203&lt;&gt;1)),ISNUMBER(AG203),AG203&lt;=T203),AS203,0),IF(AND(NOT(AND(AO203=1,AN203&lt;&gt;1)),ISNUMBER(AH203),AH203&lt;=T203),AT203,0),IF(AND(NOT(AND(AO203=1,AN203&lt;&gt;1)),ISNUMBER(AI203),AI203&lt;=T203),AU203,0),IF(AND(ISNUMBER(AJ203),AJ203&lt;=T203),AV203,0))),"AB",IF(AND(IF(AND(NOT(AND(AO203=1,AN203&lt;&gt;1)),ISNUMBER(AI203),AI203&lt;=T203),AU203,0)&gt;0,IF(AND(NOT(AND(AO203=1,AN203&lt;&gt;1)),ISNUMBER(AI203),AI203&lt;=T203),AU203,0)=MAX(IF(AND(NOT(AND(AO203=1,AN203&lt;&gt;1)),ISNUMBER(AG203),AG203&lt;=T203),AS203,0),IF(AND(NOT(AND(AO203=1,AN203&lt;&gt;1)),ISNUMBER(AH203),AH203&lt;=T203),AT203,0),IF(AND(NOT(AND(AO203=1,AN203&lt;&gt;1)),ISNUMBER(AI203),AI203&lt;=T203),AU203,0),IF(AND(ISNUMBER(AJ203),AJ203&lt;=T203),AV203,0))),"SC","Mag")))))))</f>
        <v/>
      </c>
    </row>
    <row r="204" customFormat="false" ht="15" hidden="false" customHeight="false" outlineLevel="0" collapsed="false">
      <c r="A204" s="26" t="n">
        <v>199</v>
      </c>
      <c r="B204" s="27" t="n">
        <f aca="false">A204*10/60</f>
        <v>33.1666666666667</v>
      </c>
      <c r="C204" s="21" t="n">
        <f aca="false">X203</f>
        <v>18.6730249835055</v>
      </c>
      <c r="D204" s="27" t="n">
        <f aca="false">D203+W203</f>
        <v>0</v>
      </c>
      <c r="E204" s="26" t="n">
        <f aca="false">E203+IF(U203="SW",1,0)</f>
        <v>12</v>
      </c>
      <c r="F204" s="26" t="n">
        <f aca="false">F203+IF(U203="AB",1,0)</f>
        <v>10</v>
      </c>
      <c r="G204" s="26" t="n">
        <f aca="false">G203+IF(U203="SC",1,0)</f>
        <v>7</v>
      </c>
      <c r="H204" s="26" t="n">
        <f aca="false">H203+IF(U203="Mag",1,0)</f>
        <v>5</v>
      </c>
      <c r="I204" s="26" t="n">
        <f aca="false">MAX(I203,IF(U203="OR",1,0))</f>
        <v>1</v>
      </c>
      <c r="J204" s="26" t="n">
        <f aca="false">MAX(J203,IF(U203="HP",1,0))</f>
        <v>1</v>
      </c>
      <c r="K204" s="26" t="n">
        <f aca="false">MAX(K203,IF(U203="FP",1,0))</f>
        <v>1</v>
      </c>
      <c r="L204" s="26" t="n">
        <f aca="false">MAX(L203,IF(U203="transition",1,0))</f>
        <v>1</v>
      </c>
      <c r="M204" s="28" t="n">
        <f aca="false">(Parameters!$B$9+(IF(E204=0,0,(Upgrades!$J$6+E204*Upgrades!$K$6)*POWER(Upgrades!$L$6,E204)))*(IF(Upgrades!$T$7="Solar Wind",POWER(Upgrades!$U$7,F204),1)*IF(Upgrades!$T$8="Solar Wind",POWER(Upgrades!$U$8,G204),1)*IF(Upgrades!$T$9="Solar Wind",POWER(Upgrades!$U$9,H204),1)*IF(Upgrades!$T$10="Solar Wind",POWER(Upgrades!$U$10,I204),1)*IF(Upgrades!$T$11="Solar Wind",POWER(Upgrades!$U$11,J204),1)*IF(Upgrades!$T$12="Solar Wind",POWER(Upgrades!$U$12,K204),1))+(IF(F204=0,0,(Upgrades!$J$7+F204*Upgrades!$K$7)*POWER(Upgrades!$L$7,F204)))*(IF(Upgrades!$T$6="Asteroid Belt",POWER(Upgrades!$U$6,E204),1)*IF(Upgrades!$T$8="Asteroid Belt",POWER(Upgrades!$U$8,G204),1)*IF(Upgrades!$T$9="Asteroid Belt",POWER(Upgrades!$U$9,H204),1)*IF(Upgrades!$T$10="Asteroid Belt",POWER(Upgrades!$U$10,I204),1)*IF(Upgrades!$T$11="Asteroid Belt",POWER(Upgrades!$U$11,J204),1)*IF(Upgrades!$T$12="Asteroid Belt",POWER(Upgrades!$U$12,K204),1))+(IF(G204=0,0,(Upgrades!$J$8+G204*Upgrades!$K$8)*POWER(Upgrades!$L$8,G204)))*(IF(Upgrades!$T$6="Stellar Coupling",POWER(Upgrades!$U$6,E204),1)*IF(Upgrades!$T$7="Stellar Coupling",POWER(Upgrades!$U$7,F204),1)*IF(Upgrades!$T$9="Stellar Coupling",POWER(Upgrades!$U$9,H204),1)*IF(Upgrades!$T$10="Stellar Coupling",POWER(Upgrades!$U$10,I204),1)*IF(Upgrades!$T$11="Stellar Coupling",POWER(Upgrades!$U$11,J204),1)*IF(Upgrades!$T$12="Stellar Coupling",POWER(Upgrades!$U$12,K204),1))+(IF(H204=0,0,(Upgrades!$J$9+H204*Upgrades!$K$9)*POWER(Upgrades!$L$9,H204)))*(IF(Upgrades!$T$6="Magnetosphere",POWER(Upgrades!$U$6,E204),1)*IF(Upgrades!$T$7="Magnetosphere",POWER(Upgrades!$U$7,F204),1)*IF(Upgrades!$T$8="Magnetosphere",POWER(Upgrades!$U$8,G204),1)*IF(Upgrades!$T$10="Magnetosphere",POWER(Upgrades!$U$10,I204),1)*IF(Upgrades!$T$11="Magnetosphere",POWER(Upgrades!$U$11,J204),1)*IF(Upgrades!$T$12="Magnetosphere",POWER(Upgrades!$U$12,K204),1))+(IF(I204=0,0,(Upgrades!$J$10+I204*Upgrades!$K$10)*POWER(Upgrades!$L$10,I204)))*(IF(Upgrades!$T$6="Orbital Resonance",POWER(Upgrades!$U$6,E204),1)*IF(Upgrades!$T$7="Orbital Resonance",POWER(Upgrades!$U$7,F204),1)*IF(Upgrades!$T$8="Orbital Resonance",POWER(Upgrades!$U$8,G204),1)*IF(Upgrades!$T$9="Orbital Resonance",POWER(Upgrades!$U$9,H204),1)*IF(Upgrades!$T$11="Orbital Resonance",POWER(Upgrades!$U$11,J204),1)*IF(Upgrades!$T$12="Orbital Resonance",POWER(Upgrades!$U$12,K204),1))+(IF(J204=0,0,(Upgrades!$J$11+J204*Upgrades!$K$11)*POWER(Upgrades!$L$11,J204)))*(IF(Upgrades!$T$6="Heliopause",POWER(Upgrades!$U$6,E204),1)*IF(Upgrades!$T$7="Heliopause",POWER(Upgrades!$U$7,F204),1)*IF(Upgrades!$T$8="Heliopause",POWER(Upgrades!$U$8,G204),1)*IF(Upgrades!$T$9="Heliopause",POWER(Upgrades!$U$9,H204),1)*IF(Upgrades!$T$10="Heliopause",POWER(Upgrades!$U$10,I204),1)*IF(Upgrades!$T$12="Heliopause",POWER(Upgrades!$U$12,K204),1))+(IF(K204=0,0,(Upgrades!$J$12+K204*Upgrades!$K$12)*POWER(Upgrades!$L$12,K204)))*(IF(Upgrades!$T$6="First Photons",POWER(Upgrades!$U$6,E204),1)*IF(Upgrades!$T$7="First Photons",POWER(Upgrades!$U$7,F204),1)*IF(Upgrades!$T$8="First Photons",POWER(Upgrades!$U$8,G204),1)*IF(Upgrades!$T$9="First Photons",POWER(Upgrades!$U$9,H204),1)*IF(Upgrades!$T$10="First Photons",POWER(Upgrades!$U$10,I204),1)*IF(Upgrades!$T$11="First Photons",POWER(Upgrades!$U$11,J204),1)))*POWER(Upgrades!$Q$6,E204)*POWER(Upgrades!$Q$7,F204)*POWER(Upgrades!$Q$8,G204)*POWER(Upgrades!$Q$9,H204)*POWER(Upgrades!$Q$10,I204)*POWER(Upgrades!$Q$11,J204)*POWER(Upgrades!$Q$12,K204)</f>
        <v>5.61</v>
      </c>
      <c r="N204" s="28" t="n">
        <f aca="false">((IF(E204=0,0,(Upgrades!$G$6+E204*Upgrades!$H$6)*POWER(Upgrades!$I$6,E204)))*(IF(Upgrades!$T$7="Solar Wind",POWER(Upgrades!$U$7,F204),1)*IF(Upgrades!$T$8="Solar Wind",POWER(Upgrades!$U$8,G204),1)*IF(Upgrades!$T$9="Solar Wind",POWER(Upgrades!$U$9,H204),1)*IF(Upgrades!$T$10="Solar Wind",POWER(Upgrades!$U$10,I204),1)*IF(Upgrades!$T$11="Solar Wind",POWER(Upgrades!$U$11,J204),1)*IF(Upgrades!$T$12="Solar Wind",POWER(Upgrades!$U$12,K204),1))+(IF(F204=0,0,(Upgrades!$G$7+F204*Upgrades!$H$7)*POWER(Upgrades!$I$7,F204)))*(IF(Upgrades!$T$6="Asteroid Belt",POWER(Upgrades!$U$6,E204),1)*IF(Upgrades!$T$8="Asteroid Belt",POWER(Upgrades!$U$8,G204),1)*IF(Upgrades!$T$9="Asteroid Belt",POWER(Upgrades!$U$9,H204),1)*IF(Upgrades!$T$10="Asteroid Belt",POWER(Upgrades!$U$10,I204),1)*IF(Upgrades!$T$11="Asteroid Belt",POWER(Upgrades!$U$11,J204),1)*IF(Upgrades!$T$12="Asteroid Belt",POWER(Upgrades!$U$12,K204),1))+(IF(G204=0,0,(Upgrades!$G$8+G204*Upgrades!$H$8)*POWER(Upgrades!$I$8,G204)))*(IF(Upgrades!$T$6="Stellar Coupling",POWER(Upgrades!$U$6,E204),1)*IF(Upgrades!$T$7="Stellar Coupling",POWER(Upgrades!$U$7,F204),1)*IF(Upgrades!$T$9="Stellar Coupling",POWER(Upgrades!$U$9,H204),1)*IF(Upgrades!$T$10="Stellar Coupling",POWER(Upgrades!$U$10,I204),1)*IF(Upgrades!$T$11="Stellar Coupling",POWER(Upgrades!$U$11,J204),1)*IF(Upgrades!$T$12="Stellar Coupling",POWER(Upgrades!$U$12,K204),1))+(IF(H204=0,0,(Upgrades!$G$9+H204*Upgrades!$H$9)*POWER(Upgrades!$I$9,H204)))*(IF(Upgrades!$T$6="Magnetosphere",POWER(Upgrades!$U$6,E204),1)*IF(Upgrades!$T$7="Magnetosphere",POWER(Upgrades!$U$7,F204),1)*IF(Upgrades!$T$8="Magnetosphere",POWER(Upgrades!$U$8,G204),1)*IF(Upgrades!$T$10="Magnetosphere",POWER(Upgrades!$U$10,I204),1)*IF(Upgrades!$T$11="Magnetosphere",POWER(Upgrades!$U$11,J204),1)*IF(Upgrades!$T$12="Magnetosphere",POWER(Upgrades!$U$12,K204),1))+(IF(I204=0,0,(Upgrades!$G$10+I204*Upgrades!$H$10)*POWER(Upgrades!$I$10,I204)))*(IF(Upgrades!$T$6="Orbital Resonance",POWER(Upgrades!$U$6,E204),1)*IF(Upgrades!$T$7="Orbital Resonance",POWER(Upgrades!$U$7,F204),1)*IF(Upgrades!$T$8="Orbital Resonance",POWER(Upgrades!$U$8,G204),1)*IF(Upgrades!$T$9="Orbital Resonance",POWER(Upgrades!$U$9,H204),1)*IF(Upgrades!$T$11="Orbital Resonance",POWER(Upgrades!$U$11,J204),1)*IF(Upgrades!$T$12="Orbital Resonance",POWER(Upgrades!$U$12,K204),1))+(IF(J204=0,0,(Upgrades!$G$11+J204*Upgrades!$H$11)*POWER(Upgrades!$I$11,J204)))*(IF(Upgrades!$T$6="Heliopause",POWER(Upgrades!$U$6,E204),1)*IF(Upgrades!$T$7="Heliopause",POWER(Upgrades!$U$7,F204),1)*IF(Upgrades!$T$8="Heliopause",POWER(Upgrades!$U$8,G204),1)*IF(Upgrades!$T$9="Heliopause",POWER(Upgrades!$U$9,H204),1)*IF(Upgrades!$T$10="Heliopause",POWER(Upgrades!$U$10,I204),1)*IF(Upgrades!$T$12="Heliopause",POWER(Upgrades!$U$12,K204),1))+(IF(K204=0,0,(Upgrades!$G$12+K204*Upgrades!$H$12)*POWER(Upgrades!$I$12,K204)))*(IF(Upgrades!$T$6="First Photons",POWER(Upgrades!$U$6,E204),1)*IF(Upgrades!$T$7="First Photons",POWER(Upgrades!$U$7,F204),1)*IF(Upgrades!$T$8="First Photons",POWER(Upgrades!$U$8,G204),1)*IF(Upgrades!$T$9="First Photons",POWER(Upgrades!$U$9,H204),1)*IF(Upgrades!$T$10="First Photons",POWER(Upgrades!$U$10,I204),1)*IF(Upgrades!$T$11="First Photons",POWER(Upgrades!$U$11,J204),1)))*POWER(Upgrades!$P$6,E204)*POWER(Upgrades!$P$7,F204)*POWER(Upgrades!$P$8,G204)*POWER(Upgrades!$P$9,H204)*POWER(Upgrades!$P$10,I204)*POWER(Upgrades!$P$11,J204)*POWER(Upgrades!$P$12,K204)</f>
        <v>11.2</v>
      </c>
      <c r="O204" s="28" t="n">
        <f aca="false">((IF(E204=0,0,(Upgrades!$M$6+E204*Upgrades!$N$6)*POWER(Upgrades!$O$6,E204)))*(IF(Upgrades!$T$7="Solar Wind",POWER(Upgrades!$U$7,F204),1)*IF(Upgrades!$T$8="Solar Wind",POWER(Upgrades!$U$8,G204),1)*IF(Upgrades!$T$9="Solar Wind",POWER(Upgrades!$U$9,H204),1)*IF(Upgrades!$T$10="Solar Wind",POWER(Upgrades!$U$10,I204),1)*IF(Upgrades!$T$11="Solar Wind",POWER(Upgrades!$U$11,J204),1)*IF(Upgrades!$T$12="Solar Wind",POWER(Upgrades!$U$12,K204),1))+(IF(F204=0,0,(Upgrades!$M$7+F204*Upgrades!$N$7)*POWER(Upgrades!$O$7,F204)))*(IF(Upgrades!$T$6="Asteroid Belt",POWER(Upgrades!$U$6,E204),1)*IF(Upgrades!$T$8="Asteroid Belt",POWER(Upgrades!$U$8,G204),1)*IF(Upgrades!$T$9="Asteroid Belt",POWER(Upgrades!$U$9,H204),1)*IF(Upgrades!$T$10="Asteroid Belt",POWER(Upgrades!$U$10,I204),1)*IF(Upgrades!$T$11="Asteroid Belt",POWER(Upgrades!$U$11,J204),1)*IF(Upgrades!$T$12="Asteroid Belt",POWER(Upgrades!$U$12,K204),1))+(IF(G204=0,0,(Upgrades!$M$8+G204*Upgrades!$N$8)*POWER(Upgrades!$O$8,G204)))*(IF(Upgrades!$T$6="Stellar Coupling",POWER(Upgrades!$U$6,E204),1)*IF(Upgrades!$T$7="Stellar Coupling",POWER(Upgrades!$U$7,F204),1)*IF(Upgrades!$T$9="Stellar Coupling",POWER(Upgrades!$U$9,H204),1)*IF(Upgrades!$T$10="Stellar Coupling",POWER(Upgrades!$U$10,I204),1)*IF(Upgrades!$T$11="Stellar Coupling",POWER(Upgrades!$U$11,J204),1)*IF(Upgrades!$T$12="Stellar Coupling",POWER(Upgrades!$U$12,K204),1))+(IF(H204=0,0,(Upgrades!$M$9+H204*Upgrades!$N$9)*POWER(Upgrades!$O$9,H204)))*(IF(Upgrades!$T$6="Magnetosphere",POWER(Upgrades!$U$6,E204),1)*IF(Upgrades!$T$7="Magnetosphere",POWER(Upgrades!$U$7,F204),1)*IF(Upgrades!$T$8="Magnetosphere",POWER(Upgrades!$U$8,G204),1)*IF(Upgrades!$T$10="Magnetosphere",POWER(Upgrades!$U$10,I204),1)*IF(Upgrades!$T$11="Magnetosphere",POWER(Upgrades!$U$11,J204),1)*IF(Upgrades!$T$12="Magnetosphere",POWER(Upgrades!$U$12,K204),1))+(IF(I204=0,0,(Upgrades!$M$10+I204*Upgrades!$N$10)*POWER(Upgrades!$O$10,I204)))*(IF(Upgrades!$T$6="Orbital Resonance",POWER(Upgrades!$U$6,E204),1)*IF(Upgrades!$T$7="Orbital Resonance",POWER(Upgrades!$U$7,F204),1)*IF(Upgrades!$T$8="Orbital Resonance",POWER(Upgrades!$U$8,G204),1)*IF(Upgrades!$T$9="Orbital Resonance",POWER(Upgrades!$U$9,H204),1)*IF(Upgrades!$T$11="Orbital Resonance",POWER(Upgrades!$U$11,J204),1)*IF(Upgrades!$T$12="Orbital Resonance",POWER(Upgrades!$U$12,K204),1))+(IF(J204=0,0,(Upgrades!$M$11+J204*Upgrades!$N$11)*POWER(Upgrades!$O$11,J204)))*(IF(Upgrades!$T$6="Heliopause",POWER(Upgrades!$U$6,E204),1)*IF(Upgrades!$T$7="Heliopause",POWER(Upgrades!$U$7,F204),1)*IF(Upgrades!$T$8="Heliopause",POWER(Upgrades!$U$8,G204),1)*IF(Upgrades!$T$9="Heliopause",POWER(Upgrades!$U$9,H204),1)*IF(Upgrades!$T$10="Heliopause",POWER(Upgrades!$U$10,I204),1)*IF(Upgrades!$T$12="Heliopause",POWER(Upgrades!$U$12,K204),1))+(IF(K204=0,0,(Upgrades!$M$12+K204*Upgrades!$N$12)*POWER(Upgrades!$O$12,K204)))*(IF(Upgrades!$T$6="First Photons",POWER(Upgrades!$U$6,E204),1)*IF(Upgrades!$T$7="First Photons",POWER(Upgrades!$U$7,F204),1)*IF(Upgrades!$T$8="First Photons",POWER(Upgrades!$U$8,G204),1)*IF(Upgrades!$T$9="First Photons",POWER(Upgrades!$U$9,H204),1)*IF(Upgrades!$T$10="First Photons",POWER(Upgrades!$U$10,I204),1)*IF(Upgrades!$T$11="First Photons",POWER(Upgrades!$U$11,J204),1)))*POWER(Upgrades!$R$6,E204)*POWER(Upgrades!$R$7,F204)*POWER(Upgrades!$R$8,G204)*POWER(Upgrades!$R$9,H204)*POWER(Upgrades!$R$10,I204)*POWER(Upgrades!$R$11,J204)*POWER(Upgrades!$R$12,K204)</f>
        <v>0</v>
      </c>
      <c r="P204" s="27" t="n">
        <f aca="false">IF(L204=1,0,M204*Parameters!$B$10/60*Parameters!$B$11*10)</f>
        <v>0</v>
      </c>
      <c r="Q204" s="27" t="n">
        <f aca="false">IF(L204=1,0,O204*M204*10)</f>
        <v>0</v>
      </c>
      <c r="R204" s="27" t="n">
        <f aca="false">IF(L204=1,0,N204*10)</f>
        <v>0</v>
      </c>
      <c r="S204" s="27" t="n">
        <f aca="false">P204+Q204+R204</f>
        <v>0</v>
      </c>
      <c r="T204" s="21" t="n">
        <f aca="false">C204+S204</f>
        <v>18.6730249835055</v>
      </c>
      <c r="U204" s="34" t="str">
        <f aca="false">AX204</f>
        <v/>
      </c>
      <c r="V204" s="21" t="n">
        <f aca="false">IF(U204="",0,IF(U204="transition",0,IF(U204="SW",AG204,IF(U204="AB",AH204,IF(U204="SC",AI204,IF(U204="Mag",AJ204,IF(U204="OR",AK204,IF(U204="HP",AL204,IF(U204="FP",AM204,0)))))))))</f>
        <v>0</v>
      </c>
      <c r="W204" s="27" t="n">
        <f aca="false">IF(U204="OR",Upgrades!$F$10,IF(U204="HP",Upgrades!$F$11,IF(U204="transition",-Parameters!$B$18,0)))</f>
        <v>0</v>
      </c>
      <c r="X204" s="21" t="n">
        <f aca="false">T204-V204</f>
        <v>18.6730249835055</v>
      </c>
      <c r="Y204" s="30" t="n">
        <f aca="false">M204*Parameters!$B$10/60*Parameters!$B$11+O204*M204+N204</f>
        <v>20.55</v>
      </c>
      <c r="Z204" s="35" t="str">
        <f aca="false">IF(U204="transition","→ Tier 2 (Stellar Neighborhood)",IF(U204="FP","First Photons — light begins, system quickens",IF(U204="HP","Heliopause acquired",IF(U204="OR","Orbital Resonance — passive multiplier active",IF(AND(AO204=1,L204=0,AN204&lt;&gt;1),"Cohesion ready (waiting on completionist upgrades)","")))))</f>
        <v/>
      </c>
      <c r="AA204" s="27" t="n">
        <f aca="false">(IF(E204=0,0,(Upgrades!$G$6+E204*Upgrades!$H$6)*POWER(Upgrades!$I$6,E204)))*(IF(Upgrades!$T$7="Solar Wind",POWER(Upgrades!$U$7,F204),1)*IF(Upgrades!$T$8="Solar Wind",POWER(Upgrades!$U$8,G204),1)*IF(Upgrades!$T$9="Solar Wind",POWER(Upgrades!$U$9,H204),1)*IF(Upgrades!$T$10="Solar Wind",POWER(Upgrades!$U$10,I204),1)*IF(Upgrades!$T$11="Solar Wind",POWER(Upgrades!$U$11,J204),1)*IF(Upgrades!$T$12="Solar Wind",POWER(Upgrades!$U$12,K204),1))*POWER(Upgrades!$P$6,E204)*POWER(Upgrades!$P$7,F204)*POWER(Upgrades!$P$8,G204)*POWER(Upgrades!$P$9,H204)*POWER(Upgrades!$P$10,I204)*POWER(Upgrades!$P$11,J204)*POWER(Upgrades!$P$12,K204)*60</f>
        <v>72</v>
      </c>
      <c r="AB204" s="27" t="n">
        <f aca="false">(IF(F204=0,0,(Upgrades!$G$7+F204*Upgrades!$H$7)*POWER(Upgrades!$I$7,F204)))*(IF(Upgrades!$T$6="Asteroid Belt",POWER(Upgrades!$U$6,E204),1)*IF(Upgrades!$T$8="Asteroid Belt",POWER(Upgrades!$U$8,G204),1)*IF(Upgrades!$T$9="Asteroid Belt",POWER(Upgrades!$U$9,H204),1)*IF(Upgrades!$T$10="Asteroid Belt",POWER(Upgrades!$U$10,I204),1)*IF(Upgrades!$T$11="Asteroid Belt",POWER(Upgrades!$U$11,J204),1)*IF(Upgrades!$T$12="Asteroid Belt",POWER(Upgrades!$U$12,K204),1))*POWER(Upgrades!$P$6,E204)*POWER(Upgrades!$P$7,F204)*POWER(Upgrades!$P$8,G204)*POWER(Upgrades!$P$9,H204)*POWER(Upgrades!$P$10,I204)*POWER(Upgrades!$P$11,J204)*POWER(Upgrades!$P$12,K204)*60</f>
        <v>150</v>
      </c>
      <c r="AC204" s="27" t="n">
        <f aca="false">(IF(G204=0,0,(Upgrades!$J$8+G204*Upgrades!$K$8)*POWER(Upgrades!$L$8,G204)))*(IF(Upgrades!$T$6="Stellar Coupling",POWER(Upgrades!$U$6,E204),1)*IF(Upgrades!$T$7="Stellar Coupling",POWER(Upgrades!$U$7,F204),1)*IF(Upgrades!$T$9="Stellar Coupling",POWER(Upgrades!$U$9,H204),1)*IF(Upgrades!$T$10="Stellar Coupling",POWER(Upgrades!$U$10,I204),1)*IF(Upgrades!$T$11="Stellar Coupling",POWER(Upgrades!$U$11,J204),1)*IF(Upgrades!$T$12="Stellar Coupling",POWER(Upgrades!$U$12,K204),1))*POWER(Upgrades!$Q$6,E204)*POWER(Upgrades!$Q$7,F204)*POWER(Upgrades!$Q$8,G204)*POWER(Upgrades!$Q$9,H204)*POWER(Upgrades!$Q$10,I204)*POWER(Upgrades!$Q$11,J204)*POWER(Upgrades!$Q$12,K204)*Parameters!$B$10*Parameters!$B$11</f>
        <v>441</v>
      </c>
      <c r="AD204" s="27" t="n">
        <f aca="false">(IF(H204=0,0,(Upgrades!$G$9+H204*Upgrades!$H$9)*POWER(Upgrades!$I$9,H204)))*(IF(Upgrades!$T$6="Magnetosphere",POWER(Upgrades!$U$6,E204),1)*IF(Upgrades!$T$7="Magnetosphere",POWER(Upgrades!$U$7,F204),1)*IF(Upgrades!$T$8="Magnetosphere",POWER(Upgrades!$U$8,G204),1)*IF(Upgrades!$T$10="Magnetosphere",POWER(Upgrades!$U$10,I204),1)*IF(Upgrades!$T$11="Magnetosphere",POWER(Upgrades!$U$11,J204),1)*IF(Upgrades!$T$12="Magnetosphere",POWER(Upgrades!$U$12,K204),1))*POWER(Upgrades!$P$6,E204)*POWER(Upgrades!$P$7,F204)*POWER(Upgrades!$P$8,G204)*POWER(Upgrades!$P$9,H204)*POWER(Upgrades!$P$10,I204)*POWER(Upgrades!$P$11,J204)*POWER(Upgrades!$P$12,K204)*60</f>
        <v>375</v>
      </c>
      <c r="AE204" s="27" t="n">
        <f aca="false">(IF(K204=0,0,(Upgrades!$G$12+K204*Upgrades!$H$12)*POWER(Upgrades!$I$12,K204)))*(IF(Upgrades!$T$6="First Photons",POWER(Upgrades!$U$6,E204),1)*IF(Upgrades!$T$7="First Photons",POWER(Upgrades!$U$7,F204),1)*IF(Upgrades!$T$8="First Photons",POWER(Upgrades!$U$8,G204),1)*IF(Upgrades!$T$9="First Photons",POWER(Upgrades!$U$9,H204),1)*IF(Upgrades!$T$10="First Photons",POWER(Upgrades!$U$10,I204),1)*IF(Upgrades!$T$11="First Photons",POWER(Upgrades!$U$11,J204),1))*POWER(Upgrades!$P$6,E204)*POWER(Upgrades!$P$7,F204)*POWER(Upgrades!$P$8,G204)*POWER(Upgrades!$P$9,H204)*POWER(Upgrades!$P$10,I204)*POWER(Upgrades!$P$11,J204)*POWER(Upgrades!$P$12,K204)*60</f>
        <v>75</v>
      </c>
      <c r="AF204" s="27" t="n">
        <f aca="false">Parameters!$B$9*POWER(Upgrades!$Q$6,E204)*POWER(Upgrades!$Q$7,F204)*POWER(Upgrades!$Q$8,G204)*POWER(Upgrades!$Q$9,H204)*POWER(Upgrades!$Q$10,I204)*POWER(Upgrades!$Q$11,J204)*POWER(Upgrades!$Q$12,K204)*(Parameters!$B$10*Parameters!$B$11+O204*60)</f>
        <v>120</v>
      </c>
      <c r="AG204" s="21" t="n">
        <f aca="false">IF(E204&gt;=Upgrades!$E$6,"",Upgrades!$C$6*POWER(Upgrades!$D$6,E204))</f>
        <v>37.4517507383159</v>
      </c>
      <c r="AH204" s="21" t="n">
        <f aca="false">IF(F204&gt;=Upgrades!$E$7,"",Upgrades!$C$7*POWER(Upgrades!$D$7,F204))</f>
        <v>80.9111547141581</v>
      </c>
      <c r="AI204" s="21" t="n">
        <f aca="false">IF(G204&gt;=Upgrades!$E$8,"",Upgrades!$C$8*POWER(Upgrades!$D$8,G204))</f>
        <v>231.9097088</v>
      </c>
      <c r="AJ204" s="21" t="str">
        <f aca="false">IF(H204&gt;=Upgrades!$E$9,"",Upgrades!$C$9*POWER(Upgrades!$D$9,H204))</f>
        <v/>
      </c>
      <c r="AK204" s="21" t="str">
        <f aca="false">IF(I204&gt;=Upgrades!$E$10,"",Upgrades!$C$10*POWER(Upgrades!$D$10,I204))</f>
        <v/>
      </c>
      <c r="AL204" s="21" t="str">
        <f aca="false">IF(J204&gt;=Upgrades!$E$11,"",Upgrades!$C$11*POWER(Upgrades!$D$11,J204))</f>
        <v/>
      </c>
      <c r="AM204" s="21" t="str">
        <f aca="false">IF(K204&gt;=Upgrades!$E$12,"",Upgrades!$C$12*POWER(Upgrades!$D$12,K204))</f>
        <v/>
      </c>
      <c r="AN204" s="26" t="str">
        <f aca="false">IF(AND(D204&gt;=Parameters!$B$18,(H204&gt;=Upgrades!$E$9)*(K204&gt;=Upgrades!$E$12)=1,L204=0),1,"")</f>
        <v/>
      </c>
      <c r="AO204" s="26" t="str">
        <f aca="false">IF(AND(D204&gt;=Parameters!$B$18,L204=0),1,"")</f>
        <v/>
      </c>
      <c r="AP204" s="21" t="n">
        <f aca="false">MIN(IF(ISNUMBER(AK204),AK204,9000000000000000),IF(ISNUMBER(AL204),AL204,9000000000000000),IF(ISNUMBER(AM204),AM204,9000000000000000))</f>
        <v>9000000000000000</v>
      </c>
      <c r="AQ204" s="21" t="n">
        <f aca="false">MIN(IF(ISNUMBER(AG204),AG204,9000000000000000),IF(ISNUMBER(AH204),AH204,9000000000000000),IF(ISNUMBER(AI204),AI204,9000000000000000),IF(ISNUMBER(AJ204),AJ204,9000000000000000))</f>
        <v>37.4517507383159</v>
      </c>
      <c r="AR204" s="32" t="b">
        <f aca="false">IF(AW204&gt;Parameters!$B$21*(MAX(IF(AND(NOT(AND(AO204=1,AN204&lt;&gt;1)),ISNUMBER(AG204),AG204&lt;=T204),AS204,0),IF(AND(NOT(AND(AO204=1,AN204&lt;&gt;1)),ISNUMBER(AH204),AH204&lt;=T204),AT204,0),IF(AND(NOT(AND(AO204=1,AN204&lt;&gt;1)),ISNUMBER(AI204),AI204&lt;=T204),AU204,0),IF(AND(ISNUMBER(AJ204),AJ204&lt;=T204),AV204,0))),TRUE(),FALSE())</f>
        <v>1</v>
      </c>
      <c r="AS204" s="33" t="n">
        <f aca="false">IFERROR(Upgrades!$H$6*(POWER(Upgrades!$P$6,E204)*POWER(Upgrades!$P$7,F204)*POWER(Upgrades!$P$8,G204)*POWER(Upgrades!$P$9,H204)*POWER(Upgrades!$P$10,I204)*POWER(Upgrades!$P$11,J204)*POWER(Upgrades!$P$12,K204))*(IF(Upgrades!$T$7="Solar Wind",POWER(Upgrades!$U$7,F204),1)*IF(Upgrades!$T$8="Solar Wind",POWER(Upgrades!$U$8,G204),1)*IF(Upgrades!$T$9="Solar Wind",POWER(Upgrades!$U$9,H204),1)*IF(Upgrades!$T$10="Solar Wind",POWER(Upgrades!$U$10,I204),1)*IF(Upgrades!$T$11="Solar Wind",POWER(Upgrades!$U$11,J204),1)*IF(Upgrades!$T$12="Solar Wind",POWER(Upgrades!$U$12,K204),1))/AG204,0)</f>
        <v>0.0026701021455238</v>
      </c>
      <c r="AT204" s="33" t="n">
        <f aca="false">IFERROR(Upgrades!$H$7*(POWER(Upgrades!$P$6,E204)*POWER(Upgrades!$P$7,F204)*POWER(Upgrades!$P$8,G204)*POWER(Upgrades!$P$9,H204)*POWER(Upgrades!$P$10,I204)*POWER(Upgrades!$P$11,J204)*POWER(Upgrades!$P$12,K204))*(IF(Upgrades!$T$6="Asteroid Belt",POWER(Upgrades!$U$6,E204),1)*IF(Upgrades!$T$8="Asteroid Belt",POWER(Upgrades!$U$8,G204),1)*IF(Upgrades!$T$9="Asteroid Belt",POWER(Upgrades!$U$9,H204),1)*IF(Upgrades!$T$10="Asteroid Belt",POWER(Upgrades!$U$10,I204),1)*IF(Upgrades!$T$11="Asteroid Belt",POWER(Upgrades!$U$11,J204),1)*IF(Upgrades!$T$12="Asteroid Belt",POWER(Upgrades!$U$12,K204),1))/AH204,0)</f>
        <v>0.00308980882652332</v>
      </c>
      <c r="AU204" s="33" t="n">
        <f aca="false">IFERROR(Upgrades!$K$8*(POWER(Upgrades!$Q$6,E204)*POWER(Upgrades!$Q$7,F204)*POWER(Upgrades!$Q$8,G204)*POWER(Upgrades!$Q$9,H204)*POWER(Upgrades!$Q$10,I204)*POWER(Upgrades!$Q$11,J204)*POWER(Upgrades!$Q$12,K204))*(IF(Upgrades!$T$6="Stellar Coupling",POWER(Upgrades!$U$6,E204),1)*IF(Upgrades!$T$7="Stellar Coupling",POWER(Upgrades!$U$7,F204),1)*IF(Upgrades!$T$9="Stellar Coupling",POWER(Upgrades!$U$9,H204),1)*IF(Upgrades!$T$10="Stellar Coupling",POWER(Upgrades!$U$10,I204),1)*IF(Upgrades!$T$11="Stellar Coupling",POWER(Upgrades!$U$11,J204),1)*IF(Upgrades!$T$12="Stellar Coupling",POWER(Upgrades!$U$12,K204),1))*Parameters!$B$10*Parameters!$B$11/60/AI204,0)</f>
        <v>0.00452762415783776</v>
      </c>
      <c r="AV204" s="33" t="n">
        <f aca="false">IFERROR(Upgrades!$H$9*(POWER(Upgrades!$P$6,E204)*POWER(Upgrades!$P$7,F204)*POWER(Upgrades!$P$8,G204)*POWER(Upgrades!$P$9,H204)*POWER(Upgrades!$P$10,I204)*POWER(Upgrades!$P$11,J204)*POWER(Upgrades!$P$12,K204))*(IF(Upgrades!$T$6="Magnetosphere",POWER(Upgrades!$U$6,E204),1)*IF(Upgrades!$T$7="Magnetosphere",POWER(Upgrades!$U$7,F204),1)*IF(Upgrades!$T$8="Magnetosphere",POWER(Upgrades!$U$8,G204),1)*IF(Upgrades!$T$10="Magnetosphere",POWER(Upgrades!$U$10,I204),1)*IF(Upgrades!$T$11="Magnetosphere",POWER(Upgrades!$U$11,J204),1)*IF(Upgrades!$T$12="Magnetosphere",POWER(Upgrades!$U$12,K204),1))/AJ204,0)</f>
        <v>0</v>
      </c>
      <c r="AW204" s="33" t="n">
        <f aca="false">MAX(IF(I204&gt;0,0,IFERROR(0.25*N204/Upgrades!$C$10,0)),IF(J204&gt;0,0,IFERROR(0.5*((IF(G204=0,0,(Upgrades!$J$8+G204*Upgrades!$K$8)*POWER(Upgrades!$L$8,G204)))*(IF(Upgrades!$T$6="Stellar Coupling",POWER(Upgrades!$U$6,E204),1)*IF(Upgrades!$T$7="Stellar Coupling",POWER(Upgrades!$U$7,F204),1)*IF(Upgrades!$T$9="Stellar Coupling",POWER(Upgrades!$U$9,H204),1)*IF(Upgrades!$T$10="Stellar Coupling",POWER(Upgrades!$U$10,I204),1)*IF(Upgrades!$T$11="Stellar Coupling",POWER(Upgrades!$U$11,J204),1)*IF(Upgrades!$T$12="Stellar Coupling",POWER(Upgrades!$U$12,K204),1))*(POWER(Upgrades!$Q$6,E204)*POWER(Upgrades!$Q$7,F204)*POWER(Upgrades!$Q$8,G204)*POWER(Upgrades!$Q$9,H204)*POWER(Upgrades!$Q$10,I204)*POWER(Upgrades!$Q$11,J204)*POWER(Upgrades!$Q$12,K204))*Parameters!$B$10*Parameters!$B$11/60)/Upgrades!$C$11,0)),IF(K204&gt;0,0,IFERROR((1*(POWER(Upgrades!$P$6,E204)*POWER(Upgrades!$P$7,F204)*POWER(Upgrades!$P$8,G204)*POWER(Upgrades!$P$9,H204)*POWER(Upgrades!$P$10,I204)*POWER(Upgrades!$P$11,J204)*POWER(Upgrades!$P$12,K204))+0.2*M204*Parameters!$B$10*Parameters!$B$11/60)/Upgrades!$C$12,0)),IF(AND(ISNUMBER(AG204),AG204&gt;T204),AS204,0),IF(AND(ISNUMBER(AH204),AH204&gt;T204),AT204,0),IF(AND(ISNUMBER(AI204),AI204&gt;T204),AU204,0),IF(AND(ISNUMBER(AJ204),AJ204&gt;T204),AV204,0))</f>
        <v>0.00452762415783776</v>
      </c>
      <c r="AX204" s="29" t="str">
        <f aca="false">IF(AN204=1,"transition",IF(MIN(IF(AND(I204=0,ISNUMBER(AK204),AK204&lt;=T204),AK204,9000000000000000),IF(AND(J204=0,ISNUMBER(AL204),AL204&lt;=T204),AL204,9000000000000000),IF(AND(K204=0,ISNUMBER(AM204),AM204&lt;=T204),AM204,9000000000000000))&lt;9000000000000000,IF(AND(AND(I204=0,ISNUMBER(AK204),AK204&lt;=T204),AK204=MIN(IF(AND(I204=0,ISNUMBER(AK204),AK204&lt;=T204),AK204,9000000000000000),IF(AND(J204=0,ISNUMBER(AL204),AL204&lt;=T204),AL204,9000000000000000),IF(AND(K204=0,ISNUMBER(AM204),AM204&lt;=T204),AM204,9000000000000000))),"OR",IF(AND(AND(J204=0,ISNUMBER(AL204),AL204&lt;=T204),AL204=MIN(IF(AND(I204=0,ISNUMBER(AK204),AK204&lt;=T204),AK204,9000000000000000),IF(AND(J204=0,ISNUMBER(AL204),AL204&lt;=T204),AL204,9000000000000000),IF(AND(K204=0,ISNUMBER(AM204),AM204&lt;=T204),AM204,9000000000000000))),"HP","FP")),IF(AR204=TRUE(),"",IF(MAX(IF(AND(NOT(AND(AO204=1,AN204&lt;&gt;1)),ISNUMBER(AG204),AG204&lt;=T204),AS204,0),IF(AND(NOT(AND(AO204=1,AN204&lt;&gt;1)),ISNUMBER(AH204),AH204&lt;=T204),AT204,0),IF(AND(NOT(AND(AO204=1,AN204&lt;&gt;1)),ISNUMBER(AI204),AI204&lt;=T204),AU204,0),IF(AND(ISNUMBER(AJ204),AJ204&lt;=T204),AV204,0))&lt;=0,"",IF(AND(IF(AND(NOT(AND(AO204=1,AN204&lt;&gt;1)),ISNUMBER(AG204),AG204&lt;=T204),AS204,0)&gt;0,IF(AND(NOT(AND(AO204=1,AN204&lt;&gt;1)),ISNUMBER(AG204),AG204&lt;=T204),AS204,0)=MAX(IF(AND(NOT(AND(AO204=1,AN204&lt;&gt;1)),ISNUMBER(AG204),AG204&lt;=T204),AS204,0),IF(AND(NOT(AND(AO204=1,AN204&lt;&gt;1)),ISNUMBER(AH204),AH204&lt;=T204),AT204,0),IF(AND(NOT(AND(AO204=1,AN204&lt;&gt;1)),ISNUMBER(AI204),AI204&lt;=T204),AU204,0),IF(AND(ISNUMBER(AJ204),AJ204&lt;=T204),AV204,0))),"SW",IF(AND(IF(AND(NOT(AND(AO204=1,AN204&lt;&gt;1)),ISNUMBER(AH204),AH204&lt;=T204),AT204,0)&gt;0,IF(AND(NOT(AND(AO204=1,AN204&lt;&gt;1)),ISNUMBER(AH204),AH204&lt;=T204),AT204,0)=MAX(IF(AND(NOT(AND(AO204=1,AN204&lt;&gt;1)),ISNUMBER(AG204),AG204&lt;=T204),AS204,0),IF(AND(NOT(AND(AO204=1,AN204&lt;&gt;1)),ISNUMBER(AH204),AH204&lt;=T204),AT204,0),IF(AND(NOT(AND(AO204=1,AN204&lt;&gt;1)),ISNUMBER(AI204),AI204&lt;=T204),AU204,0),IF(AND(ISNUMBER(AJ204),AJ204&lt;=T204),AV204,0))),"AB",IF(AND(IF(AND(NOT(AND(AO204=1,AN204&lt;&gt;1)),ISNUMBER(AI204),AI204&lt;=T204),AU204,0)&gt;0,IF(AND(NOT(AND(AO204=1,AN204&lt;&gt;1)),ISNUMBER(AI204),AI204&lt;=T204),AU204,0)=MAX(IF(AND(NOT(AND(AO204=1,AN204&lt;&gt;1)),ISNUMBER(AG204),AG204&lt;=T204),AS204,0),IF(AND(NOT(AND(AO204=1,AN204&lt;&gt;1)),ISNUMBER(AH204),AH204&lt;=T204),AT204,0),IF(AND(NOT(AND(AO204=1,AN204&lt;&gt;1)),ISNUMBER(AI204),AI204&lt;=T204),AU204,0),IF(AND(ISNUMBER(AJ204),AJ204&lt;=T204),AV204,0))),"SC","Mag")))))))</f>
        <v/>
      </c>
    </row>
    <row r="205" customFormat="false" ht="15" hidden="false" customHeight="false" outlineLevel="0" collapsed="false">
      <c r="A205" s="26" t="n">
        <v>200</v>
      </c>
      <c r="B205" s="27" t="n">
        <f aca="false">A205*10/60</f>
        <v>33.3333333333333</v>
      </c>
      <c r="C205" s="21" t="n">
        <f aca="false">X204</f>
        <v>18.6730249835055</v>
      </c>
      <c r="D205" s="27" t="n">
        <f aca="false">D204+W204</f>
        <v>0</v>
      </c>
      <c r="E205" s="26" t="n">
        <f aca="false">E204+IF(U204="SW",1,0)</f>
        <v>12</v>
      </c>
      <c r="F205" s="26" t="n">
        <f aca="false">F204+IF(U204="AB",1,0)</f>
        <v>10</v>
      </c>
      <c r="G205" s="26" t="n">
        <f aca="false">G204+IF(U204="SC",1,0)</f>
        <v>7</v>
      </c>
      <c r="H205" s="26" t="n">
        <f aca="false">H204+IF(U204="Mag",1,0)</f>
        <v>5</v>
      </c>
      <c r="I205" s="26" t="n">
        <f aca="false">MAX(I204,IF(U204="OR",1,0))</f>
        <v>1</v>
      </c>
      <c r="J205" s="26" t="n">
        <f aca="false">MAX(J204,IF(U204="HP",1,0))</f>
        <v>1</v>
      </c>
      <c r="K205" s="26" t="n">
        <f aca="false">MAX(K204,IF(U204="FP",1,0))</f>
        <v>1</v>
      </c>
      <c r="L205" s="26" t="n">
        <f aca="false">MAX(L204,IF(U204="transition",1,0))</f>
        <v>1</v>
      </c>
      <c r="M205" s="28" t="n">
        <f aca="false">(Parameters!$B$9+(IF(E205=0,0,(Upgrades!$J$6+E205*Upgrades!$K$6)*POWER(Upgrades!$L$6,E205)))*(IF(Upgrades!$T$7="Solar Wind",POWER(Upgrades!$U$7,F205),1)*IF(Upgrades!$T$8="Solar Wind",POWER(Upgrades!$U$8,G205),1)*IF(Upgrades!$T$9="Solar Wind",POWER(Upgrades!$U$9,H205),1)*IF(Upgrades!$T$10="Solar Wind",POWER(Upgrades!$U$10,I205),1)*IF(Upgrades!$T$11="Solar Wind",POWER(Upgrades!$U$11,J205),1)*IF(Upgrades!$T$12="Solar Wind",POWER(Upgrades!$U$12,K205),1))+(IF(F205=0,0,(Upgrades!$J$7+F205*Upgrades!$K$7)*POWER(Upgrades!$L$7,F205)))*(IF(Upgrades!$T$6="Asteroid Belt",POWER(Upgrades!$U$6,E205),1)*IF(Upgrades!$T$8="Asteroid Belt",POWER(Upgrades!$U$8,G205),1)*IF(Upgrades!$T$9="Asteroid Belt",POWER(Upgrades!$U$9,H205),1)*IF(Upgrades!$T$10="Asteroid Belt",POWER(Upgrades!$U$10,I205),1)*IF(Upgrades!$T$11="Asteroid Belt",POWER(Upgrades!$U$11,J205),1)*IF(Upgrades!$T$12="Asteroid Belt",POWER(Upgrades!$U$12,K205),1))+(IF(G205=0,0,(Upgrades!$J$8+G205*Upgrades!$K$8)*POWER(Upgrades!$L$8,G205)))*(IF(Upgrades!$T$6="Stellar Coupling",POWER(Upgrades!$U$6,E205),1)*IF(Upgrades!$T$7="Stellar Coupling",POWER(Upgrades!$U$7,F205),1)*IF(Upgrades!$T$9="Stellar Coupling",POWER(Upgrades!$U$9,H205),1)*IF(Upgrades!$T$10="Stellar Coupling",POWER(Upgrades!$U$10,I205),1)*IF(Upgrades!$T$11="Stellar Coupling",POWER(Upgrades!$U$11,J205),1)*IF(Upgrades!$T$12="Stellar Coupling",POWER(Upgrades!$U$12,K205),1))+(IF(H205=0,0,(Upgrades!$J$9+H205*Upgrades!$K$9)*POWER(Upgrades!$L$9,H205)))*(IF(Upgrades!$T$6="Magnetosphere",POWER(Upgrades!$U$6,E205),1)*IF(Upgrades!$T$7="Magnetosphere",POWER(Upgrades!$U$7,F205),1)*IF(Upgrades!$T$8="Magnetosphere",POWER(Upgrades!$U$8,G205),1)*IF(Upgrades!$T$10="Magnetosphere",POWER(Upgrades!$U$10,I205),1)*IF(Upgrades!$T$11="Magnetosphere",POWER(Upgrades!$U$11,J205),1)*IF(Upgrades!$T$12="Magnetosphere",POWER(Upgrades!$U$12,K205),1))+(IF(I205=0,0,(Upgrades!$J$10+I205*Upgrades!$K$10)*POWER(Upgrades!$L$10,I205)))*(IF(Upgrades!$T$6="Orbital Resonance",POWER(Upgrades!$U$6,E205),1)*IF(Upgrades!$T$7="Orbital Resonance",POWER(Upgrades!$U$7,F205),1)*IF(Upgrades!$T$8="Orbital Resonance",POWER(Upgrades!$U$8,G205),1)*IF(Upgrades!$T$9="Orbital Resonance",POWER(Upgrades!$U$9,H205),1)*IF(Upgrades!$T$11="Orbital Resonance",POWER(Upgrades!$U$11,J205),1)*IF(Upgrades!$T$12="Orbital Resonance",POWER(Upgrades!$U$12,K205),1))+(IF(J205=0,0,(Upgrades!$J$11+J205*Upgrades!$K$11)*POWER(Upgrades!$L$11,J205)))*(IF(Upgrades!$T$6="Heliopause",POWER(Upgrades!$U$6,E205),1)*IF(Upgrades!$T$7="Heliopause",POWER(Upgrades!$U$7,F205),1)*IF(Upgrades!$T$8="Heliopause",POWER(Upgrades!$U$8,G205),1)*IF(Upgrades!$T$9="Heliopause",POWER(Upgrades!$U$9,H205),1)*IF(Upgrades!$T$10="Heliopause",POWER(Upgrades!$U$10,I205),1)*IF(Upgrades!$T$12="Heliopause",POWER(Upgrades!$U$12,K205),1))+(IF(K205=0,0,(Upgrades!$J$12+K205*Upgrades!$K$12)*POWER(Upgrades!$L$12,K205)))*(IF(Upgrades!$T$6="First Photons",POWER(Upgrades!$U$6,E205),1)*IF(Upgrades!$T$7="First Photons",POWER(Upgrades!$U$7,F205),1)*IF(Upgrades!$T$8="First Photons",POWER(Upgrades!$U$8,G205),1)*IF(Upgrades!$T$9="First Photons",POWER(Upgrades!$U$9,H205),1)*IF(Upgrades!$T$10="First Photons",POWER(Upgrades!$U$10,I205),1)*IF(Upgrades!$T$11="First Photons",POWER(Upgrades!$U$11,J205),1)))*POWER(Upgrades!$Q$6,E205)*POWER(Upgrades!$Q$7,F205)*POWER(Upgrades!$Q$8,G205)*POWER(Upgrades!$Q$9,H205)*POWER(Upgrades!$Q$10,I205)*POWER(Upgrades!$Q$11,J205)*POWER(Upgrades!$Q$12,K205)</f>
        <v>5.61</v>
      </c>
      <c r="N205" s="28" t="n">
        <f aca="false">((IF(E205=0,0,(Upgrades!$G$6+E205*Upgrades!$H$6)*POWER(Upgrades!$I$6,E205)))*(IF(Upgrades!$T$7="Solar Wind",POWER(Upgrades!$U$7,F205),1)*IF(Upgrades!$T$8="Solar Wind",POWER(Upgrades!$U$8,G205),1)*IF(Upgrades!$T$9="Solar Wind",POWER(Upgrades!$U$9,H205),1)*IF(Upgrades!$T$10="Solar Wind",POWER(Upgrades!$U$10,I205),1)*IF(Upgrades!$T$11="Solar Wind",POWER(Upgrades!$U$11,J205),1)*IF(Upgrades!$T$12="Solar Wind",POWER(Upgrades!$U$12,K205),1))+(IF(F205=0,0,(Upgrades!$G$7+F205*Upgrades!$H$7)*POWER(Upgrades!$I$7,F205)))*(IF(Upgrades!$T$6="Asteroid Belt",POWER(Upgrades!$U$6,E205),1)*IF(Upgrades!$T$8="Asteroid Belt",POWER(Upgrades!$U$8,G205),1)*IF(Upgrades!$T$9="Asteroid Belt",POWER(Upgrades!$U$9,H205),1)*IF(Upgrades!$T$10="Asteroid Belt",POWER(Upgrades!$U$10,I205),1)*IF(Upgrades!$T$11="Asteroid Belt",POWER(Upgrades!$U$11,J205),1)*IF(Upgrades!$T$12="Asteroid Belt",POWER(Upgrades!$U$12,K205),1))+(IF(G205=0,0,(Upgrades!$G$8+G205*Upgrades!$H$8)*POWER(Upgrades!$I$8,G205)))*(IF(Upgrades!$T$6="Stellar Coupling",POWER(Upgrades!$U$6,E205),1)*IF(Upgrades!$T$7="Stellar Coupling",POWER(Upgrades!$U$7,F205),1)*IF(Upgrades!$T$9="Stellar Coupling",POWER(Upgrades!$U$9,H205),1)*IF(Upgrades!$T$10="Stellar Coupling",POWER(Upgrades!$U$10,I205),1)*IF(Upgrades!$T$11="Stellar Coupling",POWER(Upgrades!$U$11,J205),1)*IF(Upgrades!$T$12="Stellar Coupling",POWER(Upgrades!$U$12,K205),1))+(IF(H205=0,0,(Upgrades!$G$9+H205*Upgrades!$H$9)*POWER(Upgrades!$I$9,H205)))*(IF(Upgrades!$T$6="Magnetosphere",POWER(Upgrades!$U$6,E205),1)*IF(Upgrades!$T$7="Magnetosphere",POWER(Upgrades!$U$7,F205),1)*IF(Upgrades!$T$8="Magnetosphere",POWER(Upgrades!$U$8,G205),1)*IF(Upgrades!$T$10="Magnetosphere",POWER(Upgrades!$U$10,I205),1)*IF(Upgrades!$T$11="Magnetosphere",POWER(Upgrades!$U$11,J205),1)*IF(Upgrades!$T$12="Magnetosphere",POWER(Upgrades!$U$12,K205),1))+(IF(I205=0,0,(Upgrades!$G$10+I205*Upgrades!$H$10)*POWER(Upgrades!$I$10,I205)))*(IF(Upgrades!$T$6="Orbital Resonance",POWER(Upgrades!$U$6,E205),1)*IF(Upgrades!$T$7="Orbital Resonance",POWER(Upgrades!$U$7,F205),1)*IF(Upgrades!$T$8="Orbital Resonance",POWER(Upgrades!$U$8,G205),1)*IF(Upgrades!$T$9="Orbital Resonance",POWER(Upgrades!$U$9,H205),1)*IF(Upgrades!$T$11="Orbital Resonance",POWER(Upgrades!$U$11,J205),1)*IF(Upgrades!$T$12="Orbital Resonance",POWER(Upgrades!$U$12,K205),1))+(IF(J205=0,0,(Upgrades!$G$11+J205*Upgrades!$H$11)*POWER(Upgrades!$I$11,J205)))*(IF(Upgrades!$T$6="Heliopause",POWER(Upgrades!$U$6,E205),1)*IF(Upgrades!$T$7="Heliopause",POWER(Upgrades!$U$7,F205),1)*IF(Upgrades!$T$8="Heliopause",POWER(Upgrades!$U$8,G205),1)*IF(Upgrades!$T$9="Heliopause",POWER(Upgrades!$U$9,H205),1)*IF(Upgrades!$T$10="Heliopause",POWER(Upgrades!$U$10,I205),1)*IF(Upgrades!$T$12="Heliopause",POWER(Upgrades!$U$12,K205),1))+(IF(K205=0,0,(Upgrades!$G$12+K205*Upgrades!$H$12)*POWER(Upgrades!$I$12,K205)))*(IF(Upgrades!$T$6="First Photons",POWER(Upgrades!$U$6,E205),1)*IF(Upgrades!$T$7="First Photons",POWER(Upgrades!$U$7,F205),1)*IF(Upgrades!$T$8="First Photons",POWER(Upgrades!$U$8,G205),1)*IF(Upgrades!$T$9="First Photons",POWER(Upgrades!$U$9,H205),1)*IF(Upgrades!$T$10="First Photons",POWER(Upgrades!$U$10,I205),1)*IF(Upgrades!$T$11="First Photons",POWER(Upgrades!$U$11,J205),1)))*POWER(Upgrades!$P$6,E205)*POWER(Upgrades!$P$7,F205)*POWER(Upgrades!$P$8,G205)*POWER(Upgrades!$P$9,H205)*POWER(Upgrades!$P$10,I205)*POWER(Upgrades!$P$11,J205)*POWER(Upgrades!$P$12,K205)</f>
        <v>11.2</v>
      </c>
      <c r="O205" s="28" t="n">
        <f aca="false">((IF(E205=0,0,(Upgrades!$M$6+E205*Upgrades!$N$6)*POWER(Upgrades!$O$6,E205)))*(IF(Upgrades!$T$7="Solar Wind",POWER(Upgrades!$U$7,F205),1)*IF(Upgrades!$T$8="Solar Wind",POWER(Upgrades!$U$8,G205),1)*IF(Upgrades!$T$9="Solar Wind",POWER(Upgrades!$U$9,H205),1)*IF(Upgrades!$T$10="Solar Wind",POWER(Upgrades!$U$10,I205),1)*IF(Upgrades!$T$11="Solar Wind",POWER(Upgrades!$U$11,J205),1)*IF(Upgrades!$T$12="Solar Wind",POWER(Upgrades!$U$12,K205),1))+(IF(F205=0,0,(Upgrades!$M$7+F205*Upgrades!$N$7)*POWER(Upgrades!$O$7,F205)))*(IF(Upgrades!$T$6="Asteroid Belt",POWER(Upgrades!$U$6,E205),1)*IF(Upgrades!$T$8="Asteroid Belt",POWER(Upgrades!$U$8,G205),1)*IF(Upgrades!$T$9="Asteroid Belt",POWER(Upgrades!$U$9,H205),1)*IF(Upgrades!$T$10="Asteroid Belt",POWER(Upgrades!$U$10,I205),1)*IF(Upgrades!$T$11="Asteroid Belt",POWER(Upgrades!$U$11,J205),1)*IF(Upgrades!$T$12="Asteroid Belt",POWER(Upgrades!$U$12,K205),1))+(IF(G205=0,0,(Upgrades!$M$8+G205*Upgrades!$N$8)*POWER(Upgrades!$O$8,G205)))*(IF(Upgrades!$T$6="Stellar Coupling",POWER(Upgrades!$U$6,E205),1)*IF(Upgrades!$T$7="Stellar Coupling",POWER(Upgrades!$U$7,F205),1)*IF(Upgrades!$T$9="Stellar Coupling",POWER(Upgrades!$U$9,H205),1)*IF(Upgrades!$T$10="Stellar Coupling",POWER(Upgrades!$U$10,I205),1)*IF(Upgrades!$T$11="Stellar Coupling",POWER(Upgrades!$U$11,J205),1)*IF(Upgrades!$T$12="Stellar Coupling",POWER(Upgrades!$U$12,K205),1))+(IF(H205=0,0,(Upgrades!$M$9+H205*Upgrades!$N$9)*POWER(Upgrades!$O$9,H205)))*(IF(Upgrades!$T$6="Magnetosphere",POWER(Upgrades!$U$6,E205),1)*IF(Upgrades!$T$7="Magnetosphere",POWER(Upgrades!$U$7,F205),1)*IF(Upgrades!$T$8="Magnetosphere",POWER(Upgrades!$U$8,G205),1)*IF(Upgrades!$T$10="Magnetosphere",POWER(Upgrades!$U$10,I205),1)*IF(Upgrades!$T$11="Magnetosphere",POWER(Upgrades!$U$11,J205),1)*IF(Upgrades!$T$12="Magnetosphere",POWER(Upgrades!$U$12,K205),1))+(IF(I205=0,0,(Upgrades!$M$10+I205*Upgrades!$N$10)*POWER(Upgrades!$O$10,I205)))*(IF(Upgrades!$T$6="Orbital Resonance",POWER(Upgrades!$U$6,E205),1)*IF(Upgrades!$T$7="Orbital Resonance",POWER(Upgrades!$U$7,F205),1)*IF(Upgrades!$T$8="Orbital Resonance",POWER(Upgrades!$U$8,G205),1)*IF(Upgrades!$T$9="Orbital Resonance",POWER(Upgrades!$U$9,H205),1)*IF(Upgrades!$T$11="Orbital Resonance",POWER(Upgrades!$U$11,J205),1)*IF(Upgrades!$T$12="Orbital Resonance",POWER(Upgrades!$U$12,K205),1))+(IF(J205=0,0,(Upgrades!$M$11+J205*Upgrades!$N$11)*POWER(Upgrades!$O$11,J205)))*(IF(Upgrades!$T$6="Heliopause",POWER(Upgrades!$U$6,E205),1)*IF(Upgrades!$T$7="Heliopause",POWER(Upgrades!$U$7,F205),1)*IF(Upgrades!$T$8="Heliopause",POWER(Upgrades!$U$8,G205),1)*IF(Upgrades!$T$9="Heliopause",POWER(Upgrades!$U$9,H205),1)*IF(Upgrades!$T$10="Heliopause",POWER(Upgrades!$U$10,I205),1)*IF(Upgrades!$T$12="Heliopause",POWER(Upgrades!$U$12,K205),1))+(IF(K205=0,0,(Upgrades!$M$12+K205*Upgrades!$N$12)*POWER(Upgrades!$O$12,K205)))*(IF(Upgrades!$T$6="First Photons",POWER(Upgrades!$U$6,E205),1)*IF(Upgrades!$T$7="First Photons",POWER(Upgrades!$U$7,F205),1)*IF(Upgrades!$T$8="First Photons",POWER(Upgrades!$U$8,G205),1)*IF(Upgrades!$T$9="First Photons",POWER(Upgrades!$U$9,H205),1)*IF(Upgrades!$T$10="First Photons",POWER(Upgrades!$U$10,I205),1)*IF(Upgrades!$T$11="First Photons",POWER(Upgrades!$U$11,J205),1)))*POWER(Upgrades!$R$6,E205)*POWER(Upgrades!$R$7,F205)*POWER(Upgrades!$R$8,G205)*POWER(Upgrades!$R$9,H205)*POWER(Upgrades!$R$10,I205)*POWER(Upgrades!$R$11,J205)*POWER(Upgrades!$R$12,K205)</f>
        <v>0</v>
      </c>
      <c r="P205" s="27" t="n">
        <f aca="false">IF(L205=1,0,M205*Parameters!$B$10/60*Parameters!$B$11*10)</f>
        <v>0</v>
      </c>
      <c r="Q205" s="27" t="n">
        <f aca="false">IF(L205=1,0,O205*M205*10)</f>
        <v>0</v>
      </c>
      <c r="R205" s="27" t="n">
        <f aca="false">IF(L205=1,0,N205*10)</f>
        <v>0</v>
      </c>
      <c r="S205" s="27" t="n">
        <f aca="false">P205+Q205+R205</f>
        <v>0</v>
      </c>
      <c r="T205" s="21" t="n">
        <f aca="false">C205+S205</f>
        <v>18.6730249835055</v>
      </c>
      <c r="U205" s="34" t="str">
        <f aca="false">AX205</f>
        <v/>
      </c>
      <c r="V205" s="21" t="n">
        <f aca="false">IF(U205="",0,IF(U205="transition",0,IF(U205="SW",AG205,IF(U205="AB",AH205,IF(U205="SC",AI205,IF(U205="Mag",AJ205,IF(U205="OR",AK205,IF(U205="HP",AL205,IF(U205="FP",AM205,0)))))))))</f>
        <v>0</v>
      </c>
      <c r="W205" s="27" t="n">
        <f aca="false">IF(U205="OR",Upgrades!$F$10,IF(U205="HP",Upgrades!$F$11,IF(U205="transition",-Parameters!$B$18,0)))</f>
        <v>0</v>
      </c>
      <c r="X205" s="21" t="n">
        <f aca="false">T205-V205</f>
        <v>18.6730249835055</v>
      </c>
      <c r="Y205" s="30" t="n">
        <f aca="false">M205*Parameters!$B$10/60*Parameters!$B$11+O205*M205+N205</f>
        <v>20.55</v>
      </c>
      <c r="Z205" s="35" t="str">
        <f aca="false">IF(U205="transition","→ Tier 2 (Stellar Neighborhood)",IF(U205="FP","First Photons — light begins, system quickens",IF(U205="HP","Heliopause acquired",IF(U205="OR","Orbital Resonance — passive multiplier active",IF(AND(AO205=1,L205=0,AN205&lt;&gt;1),"Cohesion ready (waiting on completionist upgrades)","")))))</f>
        <v/>
      </c>
      <c r="AA205" s="27" t="n">
        <f aca="false">(IF(E205=0,0,(Upgrades!$G$6+E205*Upgrades!$H$6)*POWER(Upgrades!$I$6,E205)))*(IF(Upgrades!$T$7="Solar Wind",POWER(Upgrades!$U$7,F205),1)*IF(Upgrades!$T$8="Solar Wind",POWER(Upgrades!$U$8,G205),1)*IF(Upgrades!$T$9="Solar Wind",POWER(Upgrades!$U$9,H205),1)*IF(Upgrades!$T$10="Solar Wind",POWER(Upgrades!$U$10,I205),1)*IF(Upgrades!$T$11="Solar Wind",POWER(Upgrades!$U$11,J205),1)*IF(Upgrades!$T$12="Solar Wind",POWER(Upgrades!$U$12,K205),1))*POWER(Upgrades!$P$6,E205)*POWER(Upgrades!$P$7,F205)*POWER(Upgrades!$P$8,G205)*POWER(Upgrades!$P$9,H205)*POWER(Upgrades!$P$10,I205)*POWER(Upgrades!$P$11,J205)*POWER(Upgrades!$P$12,K205)*60</f>
        <v>72</v>
      </c>
      <c r="AB205" s="27" t="n">
        <f aca="false">(IF(F205=0,0,(Upgrades!$G$7+F205*Upgrades!$H$7)*POWER(Upgrades!$I$7,F205)))*(IF(Upgrades!$T$6="Asteroid Belt",POWER(Upgrades!$U$6,E205),1)*IF(Upgrades!$T$8="Asteroid Belt",POWER(Upgrades!$U$8,G205),1)*IF(Upgrades!$T$9="Asteroid Belt",POWER(Upgrades!$U$9,H205),1)*IF(Upgrades!$T$10="Asteroid Belt",POWER(Upgrades!$U$10,I205),1)*IF(Upgrades!$T$11="Asteroid Belt",POWER(Upgrades!$U$11,J205),1)*IF(Upgrades!$T$12="Asteroid Belt",POWER(Upgrades!$U$12,K205),1))*POWER(Upgrades!$P$6,E205)*POWER(Upgrades!$P$7,F205)*POWER(Upgrades!$P$8,G205)*POWER(Upgrades!$P$9,H205)*POWER(Upgrades!$P$10,I205)*POWER(Upgrades!$P$11,J205)*POWER(Upgrades!$P$12,K205)*60</f>
        <v>150</v>
      </c>
      <c r="AC205" s="27" t="n">
        <f aca="false">(IF(G205=0,0,(Upgrades!$J$8+G205*Upgrades!$K$8)*POWER(Upgrades!$L$8,G205)))*(IF(Upgrades!$T$6="Stellar Coupling",POWER(Upgrades!$U$6,E205),1)*IF(Upgrades!$T$7="Stellar Coupling",POWER(Upgrades!$U$7,F205),1)*IF(Upgrades!$T$9="Stellar Coupling",POWER(Upgrades!$U$9,H205),1)*IF(Upgrades!$T$10="Stellar Coupling",POWER(Upgrades!$U$10,I205),1)*IF(Upgrades!$T$11="Stellar Coupling",POWER(Upgrades!$U$11,J205),1)*IF(Upgrades!$T$12="Stellar Coupling",POWER(Upgrades!$U$12,K205),1))*POWER(Upgrades!$Q$6,E205)*POWER(Upgrades!$Q$7,F205)*POWER(Upgrades!$Q$8,G205)*POWER(Upgrades!$Q$9,H205)*POWER(Upgrades!$Q$10,I205)*POWER(Upgrades!$Q$11,J205)*POWER(Upgrades!$Q$12,K205)*Parameters!$B$10*Parameters!$B$11</f>
        <v>441</v>
      </c>
      <c r="AD205" s="27" t="n">
        <f aca="false">(IF(H205=0,0,(Upgrades!$G$9+H205*Upgrades!$H$9)*POWER(Upgrades!$I$9,H205)))*(IF(Upgrades!$T$6="Magnetosphere",POWER(Upgrades!$U$6,E205),1)*IF(Upgrades!$T$7="Magnetosphere",POWER(Upgrades!$U$7,F205),1)*IF(Upgrades!$T$8="Magnetosphere",POWER(Upgrades!$U$8,G205),1)*IF(Upgrades!$T$10="Magnetosphere",POWER(Upgrades!$U$10,I205),1)*IF(Upgrades!$T$11="Magnetosphere",POWER(Upgrades!$U$11,J205),1)*IF(Upgrades!$T$12="Magnetosphere",POWER(Upgrades!$U$12,K205),1))*POWER(Upgrades!$P$6,E205)*POWER(Upgrades!$P$7,F205)*POWER(Upgrades!$P$8,G205)*POWER(Upgrades!$P$9,H205)*POWER(Upgrades!$P$10,I205)*POWER(Upgrades!$P$11,J205)*POWER(Upgrades!$P$12,K205)*60</f>
        <v>375</v>
      </c>
      <c r="AE205" s="27" t="n">
        <f aca="false">(IF(K205=0,0,(Upgrades!$G$12+K205*Upgrades!$H$12)*POWER(Upgrades!$I$12,K205)))*(IF(Upgrades!$T$6="First Photons",POWER(Upgrades!$U$6,E205),1)*IF(Upgrades!$T$7="First Photons",POWER(Upgrades!$U$7,F205),1)*IF(Upgrades!$T$8="First Photons",POWER(Upgrades!$U$8,G205),1)*IF(Upgrades!$T$9="First Photons",POWER(Upgrades!$U$9,H205),1)*IF(Upgrades!$T$10="First Photons",POWER(Upgrades!$U$10,I205),1)*IF(Upgrades!$T$11="First Photons",POWER(Upgrades!$U$11,J205),1))*POWER(Upgrades!$P$6,E205)*POWER(Upgrades!$P$7,F205)*POWER(Upgrades!$P$8,G205)*POWER(Upgrades!$P$9,H205)*POWER(Upgrades!$P$10,I205)*POWER(Upgrades!$P$11,J205)*POWER(Upgrades!$P$12,K205)*60</f>
        <v>75</v>
      </c>
      <c r="AF205" s="27" t="n">
        <f aca="false">Parameters!$B$9*POWER(Upgrades!$Q$6,E205)*POWER(Upgrades!$Q$7,F205)*POWER(Upgrades!$Q$8,G205)*POWER(Upgrades!$Q$9,H205)*POWER(Upgrades!$Q$10,I205)*POWER(Upgrades!$Q$11,J205)*POWER(Upgrades!$Q$12,K205)*(Parameters!$B$10*Parameters!$B$11+O205*60)</f>
        <v>120</v>
      </c>
      <c r="AG205" s="21" t="n">
        <f aca="false">IF(E205&gt;=Upgrades!$E$6,"",Upgrades!$C$6*POWER(Upgrades!$D$6,E205))</f>
        <v>37.4517507383159</v>
      </c>
      <c r="AH205" s="21" t="n">
        <f aca="false">IF(F205&gt;=Upgrades!$E$7,"",Upgrades!$C$7*POWER(Upgrades!$D$7,F205))</f>
        <v>80.9111547141581</v>
      </c>
      <c r="AI205" s="21" t="n">
        <f aca="false">IF(G205&gt;=Upgrades!$E$8,"",Upgrades!$C$8*POWER(Upgrades!$D$8,G205))</f>
        <v>231.9097088</v>
      </c>
      <c r="AJ205" s="21" t="str">
        <f aca="false">IF(H205&gt;=Upgrades!$E$9,"",Upgrades!$C$9*POWER(Upgrades!$D$9,H205))</f>
        <v/>
      </c>
      <c r="AK205" s="21" t="str">
        <f aca="false">IF(I205&gt;=Upgrades!$E$10,"",Upgrades!$C$10*POWER(Upgrades!$D$10,I205))</f>
        <v/>
      </c>
      <c r="AL205" s="21" t="str">
        <f aca="false">IF(J205&gt;=Upgrades!$E$11,"",Upgrades!$C$11*POWER(Upgrades!$D$11,J205))</f>
        <v/>
      </c>
      <c r="AM205" s="21" t="str">
        <f aca="false">IF(K205&gt;=Upgrades!$E$12,"",Upgrades!$C$12*POWER(Upgrades!$D$12,K205))</f>
        <v/>
      </c>
      <c r="AN205" s="26" t="str">
        <f aca="false">IF(AND(D205&gt;=Parameters!$B$18,(H205&gt;=Upgrades!$E$9)*(K205&gt;=Upgrades!$E$12)=1,L205=0),1,"")</f>
        <v/>
      </c>
      <c r="AO205" s="26" t="str">
        <f aca="false">IF(AND(D205&gt;=Parameters!$B$18,L205=0),1,"")</f>
        <v/>
      </c>
      <c r="AP205" s="21" t="n">
        <f aca="false">MIN(IF(ISNUMBER(AK205),AK205,9000000000000000),IF(ISNUMBER(AL205),AL205,9000000000000000),IF(ISNUMBER(AM205),AM205,9000000000000000))</f>
        <v>9000000000000000</v>
      </c>
      <c r="AQ205" s="21" t="n">
        <f aca="false">MIN(IF(ISNUMBER(AG205),AG205,9000000000000000),IF(ISNUMBER(AH205),AH205,9000000000000000),IF(ISNUMBER(AI205),AI205,9000000000000000),IF(ISNUMBER(AJ205),AJ205,9000000000000000))</f>
        <v>37.4517507383159</v>
      </c>
      <c r="AR205" s="32" t="b">
        <f aca="false">IF(AW205&gt;Parameters!$B$21*(MAX(IF(AND(NOT(AND(AO205=1,AN205&lt;&gt;1)),ISNUMBER(AG205),AG205&lt;=T205),AS205,0),IF(AND(NOT(AND(AO205=1,AN205&lt;&gt;1)),ISNUMBER(AH205),AH205&lt;=T205),AT205,0),IF(AND(NOT(AND(AO205=1,AN205&lt;&gt;1)),ISNUMBER(AI205),AI205&lt;=T205),AU205,0),IF(AND(ISNUMBER(AJ205),AJ205&lt;=T205),AV205,0))),TRUE(),FALSE())</f>
        <v>1</v>
      </c>
      <c r="AS205" s="33" t="n">
        <f aca="false">IFERROR(Upgrades!$H$6*(POWER(Upgrades!$P$6,E205)*POWER(Upgrades!$P$7,F205)*POWER(Upgrades!$P$8,G205)*POWER(Upgrades!$P$9,H205)*POWER(Upgrades!$P$10,I205)*POWER(Upgrades!$P$11,J205)*POWER(Upgrades!$P$12,K205))*(IF(Upgrades!$T$7="Solar Wind",POWER(Upgrades!$U$7,F205),1)*IF(Upgrades!$T$8="Solar Wind",POWER(Upgrades!$U$8,G205),1)*IF(Upgrades!$T$9="Solar Wind",POWER(Upgrades!$U$9,H205),1)*IF(Upgrades!$T$10="Solar Wind",POWER(Upgrades!$U$10,I205),1)*IF(Upgrades!$T$11="Solar Wind",POWER(Upgrades!$U$11,J205),1)*IF(Upgrades!$T$12="Solar Wind",POWER(Upgrades!$U$12,K205),1))/AG205,0)</f>
        <v>0.0026701021455238</v>
      </c>
      <c r="AT205" s="33" t="n">
        <f aca="false">IFERROR(Upgrades!$H$7*(POWER(Upgrades!$P$6,E205)*POWER(Upgrades!$P$7,F205)*POWER(Upgrades!$P$8,G205)*POWER(Upgrades!$P$9,H205)*POWER(Upgrades!$P$10,I205)*POWER(Upgrades!$P$11,J205)*POWER(Upgrades!$P$12,K205))*(IF(Upgrades!$T$6="Asteroid Belt",POWER(Upgrades!$U$6,E205),1)*IF(Upgrades!$T$8="Asteroid Belt",POWER(Upgrades!$U$8,G205),1)*IF(Upgrades!$T$9="Asteroid Belt",POWER(Upgrades!$U$9,H205),1)*IF(Upgrades!$T$10="Asteroid Belt",POWER(Upgrades!$U$10,I205),1)*IF(Upgrades!$T$11="Asteroid Belt",POWER(Upgrades!$U$11,J205),1)*IF(Upgrades!$T$12="Asteroid Belt",POWER(Upgrades!$U$12,K205),1))/AH205,0)</f>
        <v>0.00308980882652332</v>
      </c>
      <c r="AU205" s="33" t="n">
        <f aca="false">IFERROR(Upgrades!$K$8*(POWER(Upgrades!$Q$6,E205)*POWER(Upgrades!$Q$7,F205)*POWER(Upgrades!$Q$8,G205)*POWER(Upgrades!$Q$9,H205)*POWER(Upgrades!$Q$10,I205)*POWER(Upgrades!$Q$11,J205)*POWER(Upgrades!$Q$12,K205))*(IF(Upgrades!$T$6="Stellar Coupling",POWER(Upgrades!$U$6,E205),1)*IF(Upgrades!$T$7="Stellar Coupling",POWER(Upgrades!$U$7,F205),1)*IF(Upgrades!$T$9="Stellar Coupling",POWER(Upgrades!$U$9,H205),1)*IF(Upgrades!$T$10="Stellar Coupling",POWER(Upgrades!$U$10,I205),1)*IF(Upgrades!$T$11="Stellar Coupling",POWER(Upgrades!$U$11,J205),1)*IF(Upgrades!$T$12="Stellar Coupling",POWER(Upgrades!$U$12,K205),1))*Parameters!$B$10*Parameters!$B$11/60/AI205,0)</f>
        <v>0.00452762415783776</v>
      </c>
      <c r="AV205" s="33" t="n">
        <f aca="false">IFERROR(Upgrades!$H$9*(POWER(Upgrades!$P$6,E205)*POWER(Upgrades!$P$7,F205)*POWER(Upgrades!$P$8,G205)*POWER(Upgrades!$P$9,H205)*POWER(Upgrades!$P$10,I205)*POWER(Upgrades!$P$11,J205)*POWER(Upgrades!$P$12,K205))*(IF(Upgrades!$T$6="Magnetosphere",POWER(Upgrades!$U$6,E205),1)*IF(Upgrades!$T$7="Magnetosphere",POWER(Upgrades!$U$7,F205),1)*IF(Upgrades!$T$8="Magnetosphere",POWER(Upgrades!$U$8,G205),1)*IF(Upgrades!$T$10="Magnetosphere",POWER(Upgrades!$U$10,I205),1)*IF(Upgrades!$T$11="Magnetosphere",POWER(Upgrades!$U$11,J205),1)*IF(Upgrades!$T$12="Magnetosphere",POWER(Upgrades!$U$12,K205),1))/AJ205,0)</f>
        <v>0</v>
      </c>
      <c r="AW205" s="33" t="n">
        <f aca="false">MAX(IF(I205&gt;0,0,IFERROR(0.25*N205/Upgrades!$C$10,0)),IF(J205&gt;0,0,IFERROR(0.5*((IF(G205=0,0,(Upgrades!$J$8+G205*Upgrades!$K$8)*POWER(Upgrades!$L$8,G205)))*(IF(Upgrades!$T$6="Stellar Coupling",POWER(Upgrades!$U$6,E205),1)*IF(Upgrades!$T$7="Stellar Coupling",POWER(Upgrades!$U$7,F205),1)*IF(Upgrades!$T$9="Stellar Coupling",POWER(Upgrades!$U$9,H205),1)*IF(Upgrades!$T$10="Stellar Coupling",POWER(Upgrades!$U$10,I205),1)*IF(Upgrades!$T$11="Stellar Coupling",POWER(Upgrades!$U$11,J205),1)*IF(Upgrades!$T$12="Stellar Coupling",POWER(Upgrades!$U$12,K205),1))*(POWER(Upgrades!$Q$6,E205)*POWER(Upgrades!$Q$7,F205)*POWER(Upgrades!$Q$8,G205)*POWER(Upgrades!$Q$9,H205)*POWER(Upgrades!$Q$10,I205)*POWER(Upgrades!$Q$11,J205)*POWER(Upgrades!$Q$12,K205))*Parameters!$B$10*Parameters!$B$11/60)/Upgrades!$C$11,0)),IF(K205&gt;0,0,IFERROR((1*(POWER(Upgrades!$P$6,E205)*POWER(Upgrades!$P$7,F205)*POWER(Upgrades!$P$8,G205)*POWER(Upgrades!$P$9,H205)*POWER(Upgrades!$P$10,I205)*POWER(Upgrades!$P$11,J205)*POWER(Upgrades!$P$12,K205))+0.2*M205*Parameters!$B$10*Parameters!$B$11/60)/Upgrades!$C$12,0)),IF(AND(ISNUMBER(AG205),AG205&gt;T205),AS205,0),IF(AND(ISNUMBER(AH205),AH205&gt;T205),AT205,0),IF(AND(ISNUMBER(AI205),AI205&gt;T205),AU205,0),IF(AND(ISNUMBER(AJ205),AJ205&gt;T205),AV205,0))</f>
        <v>0.00452762415783776</v>
      </c>
      <c r="AX205" s="29" t="str">
        <f aca="false">IF(AN205=1,"transition",IF(MIN(IF(AND(I205=0,ISNUMBER(AK205),AK205&lt;=T205),AK205,9000000000000000),IF(AND(J205=0,ISNUMBER(AL205),AL205&lt;=T205),AL205,9000000000000000),IF(AND(K205=0,ISNUMBER(AM205),AM205&lt;=T205),AM205,9000000000000000))&lt;9000000000000000,IF(AND(AND(I205=0,ISNUMBER(AK205),AK205&lt;=T205),AK205=MIN(IF(AND(I205=0,ISNUMBER(AK205),AK205&lt;=T205),AK205,9000000000000000),IF(AND(J205=0,ISNUMBER(AL205),AL205&lt;=T205),AL205,9000000000000000),IF(AND(K205=0,ISNUMBER(AM205),AM205&lt;=T205),AM205,9000000000000000))),"OR",IF(AND(AND(J205=0,ISNUMBER(AL205),AL205&lt;=T205),AL205=MIN(IF(AND(I205=0,ISNUMBER(AK205),AK205&lt;=T205),AK205,9000000000000000),IF(AND(J205=0,ISNUMBER(AL205),AL205&lt;=T205),AL205,9000000000000000),IF(AND(K205=0,ISNUMBER(AM205),AM205&lt;=T205),AM205,9000000000000000))),"HP","FP")),IF(AR205=TRUE(),"",IF(MAX(IF(AND(NOT(AND(AO205=1,AN205&lt;&gt;1)),ISNUMBER(AG205),AG205&lt;=T205),AS205,0),IF(AND(NOT(AND(AO205=1,AN205&lt;&gt;1)),ISNUMBER(AH205),AH205&lt;=T205),AT205,0),IF(AND(NOT(AND(AO205=1,AN205&lt;&gt;1)),ISNUMBER(AI205),AI205&lt;=T205),AU205,0),IF(AND(ISNUMBER(AJ205),AJ205&lt;=T205),AV205,0))&lt;=0,"",IF(AND(IF(AND(NOT(AND(AO205=1,AN205&lt;&gt;1)),ISNUMBER(AG205),AG205&lt;=T205),AS205,0)&gt;0,IF(AND(NOT(AND(AO205=1,AN205&lt;&gt;1)),ISNUMBER(AG205),AG205&lt;=T205),AS205,0)=MAX(IF(AND(NOT(AND(AO205=1,AN205&lt;&gt;1)),ISNUMBER(AG205),AG205&lt;=T205),AS205,0),IF(AND(NOT(AND(AO205=1,AN205&lt;&gt;1)),ISNUMBER(AH205),AH205&lt;=T205),AT205,0),IF(AND(NOT(AND(AO205=1,AN205&lt;&gt;1)),ISNUMBER(AI205),AI205&lt;=T205),AU205,0),IF(AND(ISNUMBER(AJ205),AJ205&lt;=T205),AV205,0))),"SW",IF(AND(IF(AND(NOT(AND(AO205=1,AN205&lt;&gt;1)),ISNUMBER(AH205),AH205&lt;=T205),AT205,0)&gt;0,IF(AND(NOT(AND(AO205=1,AN205&lt;&gt;1)),ISNUMBER(AH205),AH205&lt;=T205),AT205,0)=MAX(IF(AND(NOT(AND(AO205=1,AN205&lt;&gt;1)),ISNUMBER(AG205),AG205&lt;=T205),AS205,0),IF(AND(NOT(AND(AO205=1,AN205&lt;&gt;1)),ISNUMBER(AH205),AH205&lt;=T205),AT205,0),IF(AND(NOT(AND(AO205=1,AN205&lt;&gt;1)),ISNUMBER(AI205),AI205&lt;=T205),AU205,0),IF(AND(ISNUMBER(AJ205),AJ205&lt;=T205),AV205,0))),"AB",IF(AND(IF(AND(NOT(AND(AO205=1,AN205&lt;&gt;1)),ISNUMBER(AI205),AI205&lt;=T205),AU205,0)&gt;0,IF(AND(NOT(AND(AO205=1,AN205&lt;&gt;1)),ISNUMBER(AI205),AI205&lt;=T205),AU205,0)=MAX(IF(AND(NOT(AND(AO205=1,AN205&lt;&gt;1)),ISNUMBER(AG205),AG205&lt;=T205),AS205,0),IF(AND(NOT(AND(AO205=1,AN205&lt;&gt;1)),ISNUMBER(AH205),AH205&lt;=T205),AT205,0),IF(AND(NOT(AND(AO205=1,AN205&lt;&gt;1)),ISNUMBER(AI205),AI205&lt;=T205),AU205,0),IF(AND(ISNUMBER(AJ205),AJ205&lt;=T205),AV205,0))),"SC","Mag")))))))</f>
        <v/>
      </c>
    </row>
    <row r="206" customFormat="false" ht="15" hidden="false" customHeight="false" outlineLevel="0" collapsed="false">
      <c r="A206" s="26" t="n">
        <v>201</v>
      </c>
      <c r="B206" s="27" t="n">
        <f aca="false">A206*10/60</f>
        <v>33.5</v>
      </c>
      <c r="C206" s="21" t="n">
        <f aca="false">X205</f>
        <v>18.6730249835055</v>
      </c>
      <c r="D206" s="27" t="n">
        <f aca="false">D205+W205</f>
        <v>0</v>
      </c>
      <c r="E206" s="26" t="n">
        <f aca="false">E205+IF(U205="SW",1,0)</f>
        <v>12</v>
      </c>
      <c r="F206" s="26" t="n">
        <f aca="false">F205+IF(U205="AB",1,0)</f>
        <v>10</v>
      </c>
      <c r="G206" s="26" t="n">
        <f aca="false">G205+IF(U205="SC",1,0)</f>
        <v>7</v>
      </c>
      <c r="H206" s="26" t="n">
        <f aca="false">H205+IF(U205="Mag",1,0)</f>
        <v>5</v>
      </c>
      <c r="I206" s="26" t="n">
        <f aca="false">MAX(I205,IF(U205="OR",1,0))</f>
        <v>1</v>
      </c>
      <c r="J206" s="26" t="n">
        <f aca="false">MAX(J205,IF(U205="HP",1,0))</f>
        <v>1</v>
      </c>
      <c r="K206" s="26" t="n">
        <f aca="false">MAX(K205,IF(U205="FP",1,0))</f>
        <v>1</v>
      </c>
      <c r="L206" s="26" t="n">
        <f aca="false">MAX(L205,IF(U205="transition",1,0))</f>
        <v>1</v>
      </c>
      <c r="M206" s="28" t="n">
        <f aca="false">(Parameters!$B$9+(IF(E206=0,0,(Upgrades!$J$6+E206*Upgrades!$K$6)*POWER(Upgrades!$L$6,E206)))*(IF(Upgrades!$T$7="Solar Wind",POWER(Upgrades!$U$7,F206),1)*IF(Upgrades!$T$8="Solar Wind",POWER(Upgrades!$U$8,G206),1)*IF(Upgrades!$T$9="Solar Wind",POWER(Upgrades!$U$9,H206),1)*IF(Upgrades!$T$10="Solar Wind",POWER(Upgrades!$U$10,I206),1)*IF(Upgrades!$T$11="Solar Wind",POWER(Upgrades!$U$11,J206),1)*IF(Upgrades!$T$12="Solar Wind",POWER(Upgrades!$U$12,K206),1))+(IF(F206=0,0,(Upgrades!$J$7+F206*Upgrades!$K$7)*POWER(Upgrades!$L$7,F206)))*(IF(Upgrades!$T$6="Asteroid Belt",POWER(Upgrades!$U$6,E206),1)*IF(Upgrades!$T$8="Asteroid Belt",POWER(Upgrades!$U$8,G206),1)*IF(Upgrades!$T$9="Asteroid Belt",POWER(Upgrades!$U$9,H206),1)*IF(Upgrades!$T$10="Asteroid Belt",POWER(Upgrades!$U$10,I206),1)*IF(Upgrades!$T$11="Asteroid Belt",POWER(Upgrades!$U$11,J206),1)*IF(Upgrades!$T$12="Asteroid Belt",POWER(Upgrades!$U$12,K206),1))+(IF(G206=0,0,(Upgrades!$J$8+G206*Upgrades!$K$8)*POWER(Upgrades!$L$8,G206)))*(IF(Upgrades!$T$6="Stellar Coupling",POWER(Upgrades!$U$6,E206),1)*IF(Upgrades!$T$7="Stellar Coupling",POWER(Upgrades!$U$7,F206),1)*IF(Upgrades!$T$9="Stellar Coupling",POWER(Upgrades!$U$9,H206),1)*IF(Upgrades!$T$10="Stellar Coupling",POWER(Upgrades!$U$10,I206),1)*IF(Upgrades!$T$11="Stellar Coupling",POWER(Upgrades!$U$11,J206),1)*IF(Upgrades!$T$12="Stellar Coupling",POWER(Upgrades!$U$12,K206),1))+(IF(H206=0,0,(Upgrades!$J$9+H206*Upgrades!$K$9)*POWER(Upgrades!$L$9,H206)))*(IF(Upgrades!$T$6="Magnetosphere",POWER(Upgrades!$U$6,E206),1)*IF(Upgrades!$T$7="Magnetosphere",POWER(Upgrades!$U$7,F206),1)*IF(Upgrades!$T$8="Magnetosphere",POWER(Upgrades!$U$8,G206),1)*IF(Upgrades!$T$10="Magnetosphere",POWER(Upgrades!$U$10,I206),1)*IF(Upgrades!$T$11="Magnetosphere",POWER(Upgrades!$U$11,J206),1)*IF(Upgrades!$T$12="Magnetosphere",POWER(Upgrades!$U$12,K206),1))+(IF(I206=0,0,(Upgrades!$J$10+I206*Upgrades!$K$10)*POWER(Upgrades!$L$10,I206)))*(IF(Upgrades!$T$6="Orbital Resonance",POWER(Upgrades!$U$6,E206),1)*IF(Upgrades!$T$7="Orbital Resonance",POWER(Upgrades!$U$7,F206),1)*IF(Upgrades!$T$8="Orbital Resonance",POWER(Upgrades!$U$8,G206),1)*IF(Upgrades!$T$9="Orbital Resonance",POWER(Upgrades!$U$9,H206),1)*IF(Upgrades!$T$11="Orbital Resonance",POWER(Upgrades!$U$11,J206),1)*IF(Upgrades!$T$12="Orbital Resonance",POWER(Upgrades!$U$12,K206),1))+(IF(J206=0,0,(Upgrades!$J$11+J206*Upgrades!$K$11)*POWER(Upgrades!$L$11,J206)))*(IF(Upgrades!$T$6="Heliopause",POWER(Upgrades!$U$6,E206),1)*IF(Upgrades!$T$7="Heliopause",POWER(Upgrades!$U$7,F206),1)*IF(Upgrades!$T$8="Heliopause",POWER(Upgrades!$U$8,G206),1)*IF(Upgrades!$T$9="Heliopause",POWER(Upgrades!$U$9,H206),1)*IF(Upgrades!$T$10="Heliopause",POWER(Upgrades!$U$10,I206),1)*IF(Upgrades!$T$12="Heliopause",POWER(Upgrades!$U$12,K206),1))+(IF(K206=0,0,(Upgrades!$J$12+K206*Upgrades!$K$12)*POWER(Upgrades!$L$12,K206)))*(IF(Upgrades!$T$6="First Photons",POWER(Upgrades!$U$6,E206),1)*IF(Upgrades!$T$7="First Photons",POWER(Upgrades!$U$7,F206),1)*IF(Upgrades!$T$8="First Photons",POWER(Upgrades!$U$8,G206),1)*IF(Upgrades!$T$9="First Photons",POWER(Upgrades!$U$9,H206),1)*IF(Upgrades!$T$10="First Photons",POWER(Upgrades!$U$10,I206),1)*IF(Upgrades!$T$11="First Photons",POWER(Upgrades!$U$11,J206),1)))*POWER(Upgrades!$Q$6,E206)*POWER(Upgrades!$Q$7,F206)*POWER(Upgrades!$Q$8,G206)*POWER(Upgrades!$Q$9,H206)*POWER(Upgrades!$Q$10,I206)*POWER(Upgrades!$Q$11,J206)*POWER(Upgrades!$Q$12,K206)</f>
        <v>5.61</v>
      </c>
      <c r="N206" s="28" t="n">
        <f aca="false">((IF(E206=0,0,(Upgrades!$G$6+E206*Upgrades!$H$6)*POWER(Upgrades!$I$6,E206)))*(IF(Upgrades!$T$7="Solar Wind",POWER(Upgrades!$U$7,F206),1)*IF(Upgrades!$T$8="Solar Wind",POWER(Upgrades!$U$8,G206),1)*IF(Upgrades!$T$9="Solar Wind",POWER(Upgrades!$U$9,H206),1)*IF(Upgrades!$T$10="Solar Wind",POWER(Upgrades!$U$10,I206),1)*IF(Upgrades!$T$11="Solar Wind",POWER(Upgrades!$U$11,J206),1)*IF(Upgrades!$T$12="Solar Wind",POWER(Upgrades!$U$12,K206),1))+(IF(F206=0,0,(Upgrades!$G$7+F206*Upgrades!$H$7)*POWER(Upgrades!$I$7,F206)))*(IF(Upgrades!$T$6="Asteroid Belt",POWER(Upgrades!$U$6,E206),1)*IF(Upgrades!$T$8="Asteroid Belt",POWER(Upgrades!$U$8,G206),1)*IF(Upgrades!$T$9="Asteroid Belt",POWER(Upgrades!$U$9,H206),1)*IF(Upgrades!$T$10="Asteroid Belt",POWER(Upgrades!$U$10,I206),1)*IF(Upgrades!$T$11="Asteroid Belt",POWER(Upgrades!$U$11,J206),1)*IF(Upgrades!$T$12="Asteroid Belt",POWER(Upgrades!$U$12,K206),1))+(IF(G206=0,0,(Upgrades!$G$8+G206*Upgrades!$H$8)*POWER(Upgrades!$I$8,G206)))*(IF(Upgrades!$T$6="Stellar Coupling",POWER(Upgrades!$U$6,E206),1)*IF(Upgrades!$T$7="Stellar Coupling",POWER(Upgrades!$U$7,F206),1)*IF(Upgrades!$T$9="Stellar Coupling",POWER(Upgrades!$U$9,H206),1)*IF(Upgrades!$T$10="Stellar Coupling",POWER(Upgrades!$U$10,I206),1)*IF(Upgrades!$T$11="Stellar Coupling",POWER(Upgrades!$U$11,J206),1)*IF(Upgrades!$T$12="Stellar Coupling",POWER(Upgrades!$U$12,K206),1))+(IF(H206=0,0,(Upgrades!$G$9+H206*Upgrades!$H$9)*POWER(Upgrades!$I$9,H206)))*(IF(Upgrades!$T$6="Magnetosphere",POWER(Upgrades!$U$6,E206),1)*IF(Upgrades!$T$7="Magnetosphere",POWER(Upgrades!$U$7,F206),1)*IF(Upgrades!$T$8="Magnetosphere",POWER(Upgrades!$U$8,G206),1)*IF(Upgrades!$T$10="Magnetosphere",POWER(Upgrades!$U$10,I206),1)*IF(Upgrades!$T$11="Magnetosphere",POWER(Upgrades!$U$11,J206),1)*IF(Upgrades!$T$12="Magnetosphere",POWER(Upgrades!$U$12,K206),1))+(IF(I206=0,0,(Upgrades!$G$10+I206*Upgrades!$H$10)*POWER(Upgrades!$I$10,I206)))*(IF(Upgrades!$T$6="Orbital Resonance",POWER(Upgrades!$U$6,E206),1)*IF(Upgrades!$T$7="Orbital Resonance",POWER(Upgrades!$U$7,F206),1)*IF(Upgrades!$T$8="Orbital Resonance",POWER(Upgrades!$U$8,G206),1)*IF(Upgrades!$T$9="Orbital Resonance",POWER(Upgrades!$U$9,H206),1)*IF(Upgrades!$T$11="Orbital Resonance",POWER(Upgrades!$U$11,J206),1)*IF(Upgrades!$T$12="Orbital Resonance",POWER(Upgrades!$U$12,K206),1))+(IF(J206=0,0,(Upgrades!$G$11+J206*Upgrades!$H$11)*POWER(Upgrades!$I$11,J206)))*(IF(Upgrades!$T$6="Heliopause",POWER(Upgrades!$U$6,E206),1)*IF(Upgrades!$T$7="Heliopause",POWER(Upgrades!$U$7,F206),1)*IF(Upgrades!$T$8="Heliopause",POWER(Upgrades!$U$8,G206),1)*IF(Upgrades!$T$9="Heliopause",POWER(Upgrades!$U$9,H206),1)*IF(Upgrades!$T$10="Heliopause",POWER(Upgrades!$U$10,I206),1)*IF(Upgrades!$T$12="Heliopause",POWER(Upgrades!$U$12,K206),1))+(IF(K206=0,0,(Upgrades!$G$12+K206*Upgrades!$H$12)*POWER(Upgrades!$I$12,K206)))*(IF(Upgrades!$T$6="First Photons",POWER(Upgrades!$U$6,E206),1)*IF(Upgrades!$T$7="First Photons",POWER(Upgrades!$U$7,F206),1)*IF(Upgrades!$T$8="First Photons",POWER(Upgrades!$U$8,G206),1)*IF(Upgrades!$T$9="First Photons",POWER(Upgrades!$U$9,H206),1)*IF(Upgrades!$T$10="First Photons",POWER(Upgrades!$U$10,I206),1)*IF(Upgrades!$T$11="First Photons",POWER(Upgrades!$U$11,J206),1)))*POWER(Upgrades!$P$6,E206)*POWER(Upgrades!$P$7,F206)*POWER(Upgrades!$P$8,G206)*POWER(Upgrades!$P$9,H206)*POWER(Upgrades!$P$10,I206)*POWER(Upgrades!$P$11,J206)*POWER(Upgrades!$P$12,K206)</f>
        <v>11.2</v>
      </c>
      <c r="O206" s="28" t="n">
        <f aca="false">((IF(E206=0,0,(Upgrades!$M$6+E206*Upgrades!$N$6)*POWER(Upgrades!$O$6,E206)))*(IF(Upgrades!$T$7="Solar Wind",POWER(Upgrades!$U$7,F206),1)*IF(Upgrades!$T$8="Solar Wind",POWER(Upgrades!$U$8,G206),1)*IF(Upgrades!$T$9="Solar Wind",POWER(Upgrades!$U$9,H206),1)*IF(Upgrades!$T$10="Solar Wind",POWER(Upgrades!$U$10,I206),1)*IF(Upgrades!$T$11="Solar Wind",POWER(Upgrades!$U$11,J206),1)*IF(Upgrades!$T$12="Solar Wind",POWER(Upgrades!$U$12,K206),1))+(IF(F206=0,0,(Upgrades!$M$7+F206*Upgrades!$N$7)*POWER(Upgrades!$O$7,F206)))*(IF(Upgrades!$T$6="Asteroid Belt",POWER(Upgrades!$U$6,E206),1)*IF(Upgrades!$T$8="Asteroid Belt",POWER(Upgrades!$U$8,G206),1)*IF(Upgrades!$T$9="Asteroid Belt",POWER(Upgrades!$U$9,H206),1)*IF(Upgrades!$T$10="Asteroid Belt",POWER(Upgrades!$U$10,I206),1)*IF(Upgrades!$T$11="Asteroid Belt",POWER(Upgrades!$U$11,J206),1)*IF(Upgrades!$T$12="Asteroid Belt",POWER(Upgrades!$U$12,K206),1))+(IF(G206=0,0,(Upgrades!$M$8+G206*Upgrades!$N$8)*POWER(Upgrades!$O$8,G206)))*(IF(Upgrades!$T$6="Stellar Coupling",POWER(Upgrades!$U$6,E206),1)*IF(Upgrades!$T$7="Stellar Coupling",POWER(Upgrades!$U$7,F206),1)*IF(Upgrades!$T$9="Stellar Coupling",POWER(Upgrades!$U$9,H206),1)*IF(Upgrades!$T$10="Stellar Coupling",POWER(Upgrades!$U$10,I206),1)*IF(Upgrades!$T$11="Stellar Coupling",POWER(Upgrades!$U$11,J206),1)*IF(Upgrades!$T$12="Stellar Coupling",POWER(Upgrades!$U$12,K206),1))+(IF(H206=0,0,(Upgrades!$M$9+H206*Upgrades!$N$9)*POWER(Upgrades!$O$9,H206)))*(IF(Upgrades!$T$6="Magnetosphere",POWER(Upgrades!$U$6,E206),1)*IF(Upgrades!$T$7="Magnetosphere",POWER(Upgrades!$U$7,F206),1)*IF(Upgrades!$T$8="Magnetosphere",POWER(Upgrades!$U$8,G206),1)*IF(Upgrades!$T$10="Magnetosphere",POWER(Upgrades!$U$10,I206),1)*IF(Upgrades!$T$11="Magnetosphere",POWER(Upgrades!$U$11,J206),1)*IF(Upgrades!$T$12="Magnetosphere",POWER(Upgrades!$U$12,K206),1))+(IF(I206=0,0,(Upgrades!$M$10+I206*Upgrades!$N$10)*POWER(Upgrades!$O$10,I206)))*(IF(Upgrades!$T$6="Orbital Resonance",POWER(Upgrades!$U$6,E206),1)*IF(Upgrades!$T$7="Orbital Resonance",POWER(Upgrades!$U$7,F206),1)*IF(Upgrades!$T$8="Orbital Resonance",POWER(Upgrades!$U$8,G206),1)*IF(Upgrades!$T$9="Orbital Resonance",POWER(Upgrades!$U$9,H206),1)*IF(Upgrades!$T$11="Orbital Resonance",POWER(Upgrades!$U$11,J206),1)*IF(Upgrades!$T$12="Orbital Resonance",POWER(Upgrades!$U$12,K206),1))+(IF(J206=0,0,(Upgrades!$M$11+J206*Upgrades!$N$11)*POWER(Upgrades!$O$11,J206)))*(IF(Upgrades!$T$6="Heliopause",POWER(Upgrades!$U$6,E206),1)*IF(Upgrades!$T$7="Heliopause",POWER(Upgrades!$U$7,F206),1)*IF(Upgrades!$T$8="Heliopause",POWER(Upgrades!$U$8,G206),1)*IF(Upgrades!$T$9="Heliopause",POWER(Upgrades!$U$9,H206),1)*IF(Upgrades!$T$10="Heliopause",POWER(Upgrades!$U$10,I206),1)*IF(Upgrades!$T$12="Heliopause",POWER(Upgrades!$U$12,K206),1))+(IF(K206=0,0,(Upgrades!$M$12+K206*Upgrades!$N$12)*POWER(Upgrades!$O$12,K206)))*(IF(Upgrades!$T$6="First Photons",POWER(Upgrades!$U$6,E206),1)*IF(Upgrades!$T$7="First Photons",POWER(Upgrades!$U$7,F206),1)*IF(Upgrades!$T$8="First Photons",POWER(Upgrades!$U$8,G206),1)*IF(Upgrades!$T$9="First Photons",POWER(Upgrades!$U$9,H206),1)*IF(Upgrades!$T$10="First Photons",POWER(Upgrades!$U$10,I206),1)*IF(Upgrades!$T$11="First Photons",POWER(Upgrades!$U$11,J206),1)))*POWER(Upgrades!$R$6,E206)*POWER(Upgrades!$R$7,F206)*POWER(Upgrades!$R$8,G206)*POWER(Upgrades!$R$9,H206)*POWER(Upgrades!$R$10,I206)*POWER(Upgrades!$R$11,J206)*POWER(Upgrades!$R$12,K206)</f>
        <v>0</v>
      </c>
      <c r="P206" s="27" t="n">
        <f aca="false">IF(L206=1,0,M206*Parameters!$B$10/60*Parameters!$B$11*10)</f>
        <v>0</v>
      </c>
      <c r="Q206" s="27" t="n">
        <f aca="false">IF(L206=1,0,O206*M206*10)</f>
        <v>0</v>
      </c>
      <c r="R206" s="27" t="n">
        <f aca="false">IF(L206=1,0,N206*10)</f>
        <v>0</v>
      </c>
      <c r="S206" s="27" t="n">
        <f aca="false">P206+Q206+R206</f>
        <v>0</v>
      </c>
      <c r="T206" s="21" t="n">
        <f aca="false">C206+S206</f>
        <v>18.6730249835055</v>
      </c>
      <c r="U206" s="34" t="str">
        <f aca="false">AX206</f>
        <v/>
      </c>
      <c r="V206" s="21" t="n">
        <f aca="false">IF(U206="",0,IF(U206="transition",0,IF(U206="SW",AG206,IF(U206="AB",AH206,IF(U206="SC",AI206,IF(U206="Mag",AJ206,IF(U206="OR",AK206,IF(U206="HP",AL206,IF(U206="FP",AM206,0)))))))))</f>
        <v>0</v>
      </c>
      <c r="W206" s="27" t="n">
        <f aca="false">IF(U206="OR",Upgrades!$F$10,IF(U206="HP",Upgrades!$F$11,IF(U206="transition",-Parameters!$B$18,0)))</f>
        <v>0</v>
      </c>
      <c r="X206" s="21" t="n">
        <f aca="false">T206-V206</f>
        <v>18.6730249835055</v>
      </c>
      <c r="Y206" s="30" t="n">
        <f aca="false">M206*Parameters!$B$10/60*Parameters!$B$11+O206*M206+N206</f>
        <v>20.55</v>
      </c>
      <c r="Z206" s="35" t="str">
        <f aca="false">IF(U206="transition","→ Tier 2 (Stellar Neighborhood)",IF(U206="FP","First Photons — light begins, system quickens",IF(U206="HP","Heliopause acquired",IF(U206="OR","Orbital Resonance — passive multiplier active",IF(AND(AO206=1,L206=0,AN206&lt;&gt;1),"Cohesion ready (waiting on completionist upgrades)","")))))</f>
        <v/>
      </c>
      <c r="AA206" s="27" t="n">
        <f aca="false">(IF(E206=0,0,(Upgrades!$G$6+E206*Upgrades!$H$6)*POWER(Upgrades!$I$6,E206)))*(IF(Upgrades!$T$7="Solar Wind",POWER(Upgrades!$U$7,F206),1)*IF(Upgrades!$T$8="Solar Wind",POWER(Upgrades!$U$8,G206),1)*IF(Upgrades!$T$9="Solar Wind",POWER(Upgrades!$U$9,H206),1)*IF(Upgrades!$T$10="Solar Wind",POWER(Upgrades!$U$10,I206),1)*IF(Upgrades!$T$11="Solar Wind",POWER(Upgrades!$U$11,J206),1)*IF(Upgrades!$T$12="Solar Wind",POWER(Upgrades!$U$12,K206),1))*POWER(Upgrades!$P$6,E206)*POWER(Upgrades!$P$7,F206)*POWER(Upgrades!$P$8,G206)*POWER(Upgrades!$P$9,H206)*POWER(Upgrades!$P$10,I206)*POWER(Upgrades!$P$11,J206)*POWER(Upgrades!$P$12,K206)*60</f>
        <v>72</v>
      </c>
      <c r="AB206" s="27" t="n">
        <f aca="false">(IF(F206=0,0,(Upgrades!$G$7+F206*Upgrades!$H$7)*POWER(Upgrades!$I$7,F206)))*(IF(Upgrades!$T$6="Asteroid Belt",POWER(Upgrades!$U$6,E206),1)*IF(Upgrades!$T$8="Asteroid Belt",POWER(Upgrades!$U$8,G206),1)*IF(Upgrades!$T$9="Asteroid Belt",POWER(Upgrades!$U$9,H206),1)*IF(Upgrades!$T$10="Asteroid Belt",POWER(Upgrades!$U$10,I206),1)*IF(Upgrades!$T$11="Asteroid Belt",POWER(Upgrades!$U$11,J206),1)*IF(Upgrades!$T$12="Asteroid Belt",POWER(Upgrades!$U$12,K206),1))*POWER(Upgrades!$P$6,E206)*POWER(Upgrades!$P$7,F206)*POWER(Upgrades!$P$8,G206)*POWER(Upgrades!$P$9,H206)*POWER(Upgrades!$P$10,I206)*POWER(Upgrades!$P$11,J206)*POWER(Upgrades!$P$12,K206)*60</f>
        <v>150</v>
      </c>
      <c r="AC206" s="27" t="n">
        <f aca="false">(IF(G206=0,0,(Upgrades!$J$8+G206*Upgrades!$K$8)*POWER(Upgrades!$L$8,G206)))*(IF(Upgrades!$T$6="Stellar Coupling",POWER(Upgrades!$U$6,E206),1)*IF(Upgrades!$T$7="Stellar Coupling",POWER(Upgrades!$U$7,F206),1)*IF(Upgrades!$T$9="Stellar Coupling",POWER(Upgrades!$U$9,H206),1)*IF(Upgrades!$T$10="Stellar Coupling",POWER(Upgrades!$U$10,I206),1)*IF(Upgrades!$T$11="Stellar Coupling",POWER(Upgrades!$U$11,J206),1)*IF(Upgrades!$T$12="Stellar Coupling",POWER(Upgrades!$U$12,K206),1))*POWER(Upgrades!$Q$6,E206)*POWER(Upgrades!$Q$7,F206)*POWER(Upgrades!$Q$8,G206)*POWER(Upgrades!$Q$9,H206)*POWER(Upgrades!$Q$10,I206)*POWER(Upgrades!$Q$11,J206)*POWER(Upgrades!$Q$12,K206)*Parameters!$B$10*Parameters!$B$11</f>
        <v>441</v>
      </c>
      <c r="AD206" s="27" t="n">
        <f aca="false">(IF(H206=0,0,(Upgrades!$G$9+H206*Upgrades!$H$9)*POWER(Upgrades!$I$9,H206)))*(IF(Upgrades!$T$6="Magnetosphere",POWER(Upgrades!$U$6,E206),1)*IF(Upgrades!$T$7="Magnetosphere",POWER(Upgrades!$U$7,F206),1)*IF(Upgrades!$T$8="Magnetosphere",POWER(Upgrades!$U$8,G206),1)*IF(Upgrades!$T$10="Magnetosphere",POWER(Upgrades!$U$10,I206),1)*IF(Upgrades!$T$11="Magnetosphere",POWER(Upgrades!$U$11,J206),1)*IF(Upgrades!$T$12="Magnetosphere",POWER(Upgrades!$U$12,K206),1))*POWER(Upgrades!$P$6,E206)*POWER(Upgrades!$P$7,F206)*POWER(Upgrades!$P$8,G206)*POWER(Upgrades!$P$9,H206)*POWER(Upgrades!$P$10,I206)*POWER(Upgrades!$P$11,J206)*POWER(Upgrades!$P$12,K206)*60</f>
        <v>375</v>
      </c>
      <c r="AE206" s="27" t="n">
        <f aca="false">(IF(K206=0,0,(Upgrades!$G$12+K206*Upgrades!$H$12)*POWER(Upgrades!$I$12,K206)))*(IF(Upgrades!$T$6="First Photons",POWER(Upgrades!$U$6,E206),1)*IF(Upgrades!$T$7="First Photons",POWER(Upgrades!$U$7,F206),1)*IF(Upgrades!$T$8="First Photons",POWER(Upgrades!$U$8,G206),1)*IF(Upgrades!$T$9="First Photons",POWER(Upgrades!$U$9,H206),1)*IF(Upgrades!$T$10="First Photons",POWER(Upgrades!$U$10,I206),1)*IF(Upgrades!$T$11="First Photons",POWER(Upgrades!$U$11,J206),1))*POWER(Upgrades!$P$6,E206)*POWER(Upgrades!$P$7,F206)*POWER(Upgrades!$P$8,G206)*POWER(Upgrades!$P$9,H206)*POWER(Upgrades!$P$10,I206)*POWER(Upgrades!$P$11,J206)*POWER(Upgrades!$P$12,K206)*60</f>
        <v>75</v>
      </c>
      <c r="AF206" s="27" t="n">
        <f aca="false">Parameters!$B$9*POWER(Upgrades!$Q$6,E206)*POWER(Upgrades!$Q$7,F206)*POWER(Upgrades!$Q$8,G206)*POWER(Upgrades!$Q$9,H206)*POWER(Upgrades!$Q$10,I206)*POWER(Upgrades!$Q$11,J206)*POWER(Upgrades!$Q$12,K206)*(Parameters!$B$10*Parameters!$B$11+O206*60)</f>
        <v>120</v>
      </c>
      <c r="AG206" s="21" t="n">
        <f aca="false">IF(E206&gt;=Upgrades!$E$6,"",Upgrades!$C$6*POWER(Upgrades!$D$6,E206))</f>
        <v>37.4517507383159</v>
      </c>
      <c r="AH206" s="21" t="n">
        <f aca="false">IF(F206&gt;=Upgrades!$E$7,"",Upgrades!$C$7*POWER(Upgrades!$D$7,F206))</f>
        <v>80.9111547141581</v>
      </c>
      <c r="AI206" s="21" t="n">
        <f aca="false">IF(G206&gt;=Upgrades!$E$8,"",Upgrades!$C$8*POWER(Upgrades!$D$8,G206))</f>
        <v>231.9097088</v>
      </c>
      <c r="AJ206" s="21" t="str">
        <f aca="false">IF(H206&gt;=Upgrades!$E$9,"",Upgrades!$C$9*POWER(Upgrades!$D$9,H206))</f>
        <v/>
      </c>
      <c r="AK206" s="21" t="str">
        <f aca="false">IF(I206&gt;=Upgrades!$E$10,"",Upgrades!$C$10*POWER(Upgrades!$D$10,I206))</f>
        <v/>
      </c>
      <c r="AL206" s="21" t="str">
        <f aca="false">IF(J206&gt;=Upgrades!$E$11,"",Upgrades!$C$11*POWER(Upgrades!$D$11,J206))</f>
        <v/>
      </c>
      <c r="AM206" s="21" t="str">
        <f aca="false">IF(K206&gt;=Upgrades!$E$12,"",Upgrades!$C$12*POWER(Upgrades!$D$12,K206))</f>
        <v/>
      </c>
      <c r="AN206" s="26" t="str">
        <f aca="false">IF(AND(D206&gt;=Parameters!$B$18,(H206&gt;=Upgrades!$E$9)*(K206&gt;=Upgrades!$E$12)=1,L206=0),1,"")</f>
        <v/>
      </c>
      <c r="AO206" s="26" t="str">
        <f aca="false">IF(AND(D206&gt;=Parameters!$B$18,L206=0),1,"")</f>
        <v/>
      </c>
      <c r="AP206" s="21" t="n">
        <f aca="false">MIN(IF(ISNUMBER(AK206),AK206,9000000000000000),IF(ISNUMBER(AL206),AL206,9000000000000000),IF(ISNUMBER(AM206),AM206,9000000000000000))</f>
        <v>9000000000000000</v>
      </c>
      <c r="AQ206" s="21" t="n">
        <f aca="false">MIN(IF(ISNUMBER(AG206),AG206,9000000000000000),IF(ISNUMBER(AH206),AH206,9000000000000000),IF(ISNUMBER(AI206),AI206,9000000000000000),IF(ISNUMBER(AJ206),AJ206,9000000000000000))</f>
        <v>37.4517507383159</v>
      </c>
      <c r="AR206" s="32" t="b">
        <f aca="false">IF(AW206&gt;Parameters!$B$21*(MAX(IF(AND(NOT(AND(AO206=1,AN206&lt;&gt;1)),ISNUMBER(AG206),AG206&lt;=T206),AS206,0),IF(AND(NOT(AND(AO206=1,AN206&lt;&gt;1)),ISNUMBER(AH206),AH206&lt;=T206),AT206,0),IF(AND(NOT(AND(AO206=1,AN206&lt;&gt;1)),ISNUMBER(AI206),AI206&lt;=T206),AU206,0),IF(AND(ISNUMBER(AJ206),AJ206&lt;=T206),AV206,0))),TRUE(),FALSE())</f>
        <v>1</v>
      </c>
      <c r="AS206" s="33" t="n">
        <f aca="false">IFERROR(Upgrades!$H$6*(POWER(Upgrades!$P$6,E206)*POWER(Upgrades!$P$7,F206)*POWER(Upgrades!$P$8,G206)*POWER(Upgrades!$P$9,H206)*POWER(Upgrades!$P$10,I206)*POWER(Upgrades!$P$11,J206)*POWER(Upgrades!$P$12,K206))*(IF(Upgrades!$T$7="Solar Wind",POWER(Upgrades!$U$7,F206),1)*IF(Upgrades!$T$8="Solar Wind",POWER(Upgrades!$U$8,G206),1)*IF(Upgrades!$T$9="Solar Wind",POWER(Upgrades!$U$9,H206),1)*IF(Upgrades!$T$10="Solar Wind",POWER(Upgrades!$U$10,I206),1)*IF(Upgrades!$T$11="Solar Wind",POWER(Upgrades!$U$11,J206),1)*IF(Upgrades!$T$12="Solar Wind",POWER(Upgrades!$U$12,K206),1))/AG206,0)</f>
        <v>0.0026701021455238</v>
      </c>
      <c r="AT206" s="33" t="n">
        <f aca="false">IFERROR(Upgrades!$H$7*(POWER(Upgrades!$P$6,E206)*POWER(Upgrades!$P$7,F206)*POWER(Upgrades!$P$8,G206)*POWER(Upgrades!$P$9,H206)*POWER(Upgrades!$P$10,I206)*POWER(Upgrades!$P$11,J206)*POWER(Upgrades!$P$12,K206))*(IF(Upgrades!$T$6="Asteroid Belt",POWER(Upgrades!$U$6,E206),1)*IF(Upgrades!$T$8="Asteroid Belt",POWER(Upgrades!$U$8,G206),1)*IF(Upgrades!$T$9="Asteroid Belt",POWER(Upgrades!$U$9,H206),1)*IF(Upgrades!$T$10="Asteroid Belt",POWER(Upgrades!$U$10,I206),1)*IF(Upgrades!$T$11="Asteroid Belt",POWER(Upgrades!$U$11,J206),1)*IF(Upgrades!$T$12="Asteroid Belt",POWER(Upgrades!$U$12,K206),1))/AH206,0)</f>
        <v>0.00308980882652332</v>
      </c>
      <c r="AU206" s="33" t="n">
        <f aca="false">IFERROR(Upgrades!$K$8*(POWER(Upgrades!$Q$6,E206)*POWER(Upgrades!$Q$7,F206)*POWER(Upgrades!$Q$8,G206)*POWER(Upgrades!$Q$9,H206)*POWER(Upgrades!$Q$10,I206)*POWER(Upgrades!$Q$11,J206)*POWER(Upgrades!$Q$12,K206))*(IF(Upgrades!$T$6="Stellar Coupling",POWER(Upgrades!$U$6,E206),1)*IF(Upgrades!$T$7="Stellar Coupling",POWER(Upgrades!$U$7,F206),1)*IF(Upgrades!$T$9="Stellar Coupling",POWER(Upgrades!$U$9,H206),1)*IF(Upgrades!$T$10="Stellar Coupling",POWER(Upgrades!$U$10,I206),1)*IF(Upgrades!$T$11="Stellar Coupling",POWER(Upgrades!$U$11,J206),1)*IF(Upgrades!$T$12="Stellar Coupling",POWER(Upgrades!$U$12,K206),1))*Parameters!$B$10*Parameters!$B$11/60/AI206,0)</f>
        <v>0.00452762415783776</v>
      </c>
      <c r="AV206" s="33" t="n">
        <f aca="false">IFERROR(Upgrades!$H$9*(POWER(Upgrades!$P$6,E206)*POWER(Upgrades!$P$7,F206)*POWER(Upgrades!$P$8,G206)*POWER(Upgrades!$P$9,H206)*POWER(Upgrades!$P$10,I206)*POWER(Upgrades!$P$11,J206)*POWER(Upgrades!$P$12,K206))*(IF(Upgrades!$T$6="Magnetosphere",POWER(Upgrades!$U$6,E206),1)*IF(Upgrades!$T$7="Magnetosphere",POWER(Upgrades!$U$7,F206),1)*IF(Upgrades!$T$8="Magnetosphere",POWER(Upgrades!$U$8,G206),1)*IF(Upgrades!$T$10="Magnetosphere",POWER(Upgrades!$U$10,I206),1)*IF(Upgrades!$T$11="Magnetosphere",POWER(Upgrades!$U$11,J206),1)*IF(Upgrades!$T$12="Magnetosphere",POWER(Upgrades!$U$12,K206),1))/AJ206,0)</f>
        <v>0</v>
      </c>
      <c r="AW206" s="33" t="n">
        <f aca="false">MAX(IF(I206&gt;0,0,IFERROR(0.25*N206/Upgrades!$C$10,0)),IF(J206&gt;0,0,IFERROR(0.5*((IF(G206=0,0,(Upgrades!$J$8+G206*Upgrades!$K$8)*POWER(Upgrades!$L$8,G206)))*(IF(Upgrades!$T$6="Stellar Coupling",POWER(Upgrades!$U$6,E206),1)*IF(Upgrades!$T$7="Stellar Coupling",POWER(Upgrades!$U$7,F206),1)*IF(Upgrades!$T$9="Stellar Coupling",POWER(Upgrades!$U$9,H206),1)*IF(Upgrades!$T$10="Stellar Coupling",POWER(Upgrades!$U$10,I206),1)*IF(Upgrades!$T$11="Stellar Coupling",POWER(Upgrades!$U$11,J206),1)*IF(Upgrades!$T$12="Stellar Coupling",POWER(Upgrades!$U$12,K206),1))*(POWER(Upgrades!$Q$6,E206)*POWER(Upgrades!$Q$7,F206)*POWER(Upgrades!$Q$8,G206)*POWER(Upgrades!$Q$9,H206)*POWER(Upgrades!$Q$10,I206)*POWER(Upgrades!$Q$11,J206)*POWER(Upgrades!$Q$12,K206))*Parameters!$B$10*Parameters!$B$11/60)/Upgrades!$C$11,0)),IF(K206&gt;0,0,IFERROR((1*(POWER(Upgrades!$P$6,E206)*POWER(Upgrades!$P$7,F206)*POWER(Upgrades!$P$8,G206)*POWER(Upgrades!$P$9,H206)*POWER(Upgrades!$P$10,I206)*POWER(Upgrades!$P$11,J206)*POWER(Upgrades!$P$12,K206))+0.2*M206*Parameters!$B$10*Parameters!$B$11/60)/Upgrades!$C$12,0)),IF(AND(ISNUMBER(AG206),AG206&gt;T206),AS206,0),IF(AND(ISNUMBER(AH206),AH206&gt;T206),AT206,0),IF(AND(ISNUMBER(AI206),AI206&gt;T206),AU206,0),IF(AND(ISNUMBER(AJ206),AJ206&gt;T206),AV206,0))</f>
        <v>0.00452762415783776</v>
      </c>
      <c r="AX206" s="29" t="str">
        <f aca="false">IF(AN206=1,"transition",IF(MIN(IF(AND(I206=0,ISNUMBER(AK206),AK206&lt;=T206),AK206,9000000000000000),IF(AND(J206=0,ISNUMBER(AL206),AL206&lt;=T206),AL206,9000000000000000),IF(AND(K206=0,ISNUMBER(AM206),AM206&lt;=T206),AM206,9000000000000000))&lt;9000000000000000,IF(AND(AND(I206=0,ISNUMBER(AK206),AK206&lt;=T206),AK206=MIN(IF(AND(I206=0,ISNUMBER(AK206),AK206&lt;=T206),AK206,9000000000000000),IF(AND(J206=0,ISNUMBER(AL206),AL206&lt;=T206),AL206,9000000000000000),IF(AND(K206=0,ISNUMBER(AM206),AM206&lt;=T206),AM206,9000000000000000))),"OR",IF(AND(AND(J206=0,ISNUMBER(AL206),AL206&lt;=T206),AL206=MIN(IF(AND(I206=0,ISNUMBER(AK206),AK206&lt;=T206),AK206,9000000000000000),IF(AND(J206=0,ISNUMBER(AL206),AL206&lt;=T206),AL206,9000000000000000),IF(AND(K206=0,ISNUMBER(AM206),AM206&lt;=T206),AM206,9000000000000000))),"HP","FP")),IF(AR206=TRUE(),"",IF(MAX(IF(AND(NOT(AND(AO206=1,AN206&lt;&gt;1)),ISNUMBER(AG206),AG206&lt;=T206),AS206,0),IF(AND(NOT(AND(AO206=1,AN206&lt;&gt;1)),ISNUMBER(AH206),AH206&lt;=T206),AT206,0),IF(AND(NOT(AND(AO206=1,AN206&lt;&gt;1)),ISNUMBER(AI206),AI206&lt;=T206),AU206,0),IF(AND(ISNUMBER(AJ206),AJ206&lt;=T206),AV206,0))&lt;=0,"",IF(AND(IF(AND(NOT(AND(AO206=1,AN206&lt;&gt;1)),ISNUMBER(AG206),AG206&lt;=T206),AS206,0)&gt;0,IF(AND(NOT(AND(AO206=1,AN206&lt;&gt;1)),ISNUMBER(AG206),AG206&lt;=T206),AS206,0)=MAX(IF(AND(NOT(AND(AO206=1,AN206&lt;&gt;1)),ISNUMBER(AG206),AG206&lt;=T206),AS206,0),IF(AND(NOT(AND(AO206=1,AN206&lt;&gt;1)),ISNUMBER(AH206),AH206&lt;=T206),AT206,0),IF(AND(NOT(AND(AO206=1,AN206&lt;&gt;1)),ISNUMBER(AI206),AI206&lt;=T206),AU206,0),IF(AND(ISNUMBER(AJ206),AJ206&lt;=T206),AV206,0))),"SW",IF(AND(IF(AND(NOT(AND(AO206=1,AN206&lt;&gt;1)),ISNUMBER(AH206),AH206&lt;=T206),AT206,0)&gt;0,IF(AND(NOT(AND(AO206=1,AN206&lt;&gt;1)),ISNUMBER(AH206),AH206&lt;=T206),AT206,0)=MAX(IF(AND(NOT(AND(AO206=1,AN206&lt;&gt;1)),ISNUMBER(AG206),AG206&lt;=T206),AS206,0),IF(AND(NOT(AND(AO206=1,AN206&lt;&gt;1)),ISNUMBER(AH206),AH206&lt;=T206),AT206,0),IF(AND(NOT(AND(AO206=1,AN206&lt;&gt;1)),ISNUMBER(AI206),AI206&lt;=T206),AU206,0),IF(AND(ISNUMBER(AJ206),AJ206&lt;=T206),AV206,0))),"AB",IF(AND(IF(AND(NOT(AND(AO206=1,AN206&lt;&gt;1)),ISNUMBER(AI206),AI206&lt;=T206),AU206,0)&gt;0,IF(AND(NOT(AND(AO206=1,AN206&lt;&gt;1)),ISNUMBER(AI206),AI206&lt;=T206),AU206,0)=MAX(IF(AND(NOT(AND(AO206=1,AN206&lt;&gt;1)),ISNUMBER(AG206),AG206&lt;=T206),AS206,0),IF(AND(NOT(AND(AO206=1,AN206&lt;&gt;1)),ISNUMBER(AH206),AH206&lt;=T206),AT206,0),IF(AND(NOT(AND(AO206=1,AN206&lt;&gt;1)),ISNUMBER(AI206),AI206&lt;=T206),AU206,0),IF(AND(ISNUMBER(AJ206),AJ206&lt;=T206),AV206,0))),"SC","Mag")))))))</f>
        <v/>
      </c>
    </row>
    <row r="207" customFormat="false" ht="15" hidden="false" customHeight="false" outlineLevel="0" collapsed="false">
      <c r="A207" s="26" t="n">
        <v>202</v>
      </c>
      <c r="B207" s="27" t="n">
        <f aca="false">A207*10/60</f>
        <v>33.6666666666667</v>
      </c>
      <c r="C207" s="21" t="n">
        <f aca="false">X206</f>
        <v>18.6730249835055</v>
      </c>
      <c r="D207" s="27" t="n">
        <f aca="false">D206+W206</f>
        <v>0</v>
      </c>
      <c r="E207" s="26" t="n">
        <f aca="false">E206+IF(U206="SW",1,0)</f>
        <v>12</v>
      </c>
      <c r="F207" s="26" t="n">
        <f aca="false">F206+IF(U206="AB",1,0)</f>
        <v>10</v>
      </c>
      <c r="G207" s="26" t="n">
        <f aca="false">G206+IF(U206="SC",1,0)</f>
        <v>7</v>
      </c>
      <c r="H207" s="26" t="n">
        <f aca="false">H206+IF(U206="Mag",1,0)</f>
        <v>5</v>
      </c>
      <c r="I207" s="26" t="n">
        <f aca="false">MAX(I206,IF(U206="OR",1,0))</f>
        <v>1</v>
      </c>
      <c r="J207" s="26" t="n">
        <f aca="false">MAX(J206,IF(U206="HP",1,0))</f>
        <v>1</v>
      </c>
      <c r="K207" s="26" t="n">
        <f aca="false">MAX(K206,IF(U206="FP",1,0))</f>
        <v>1</v>
      </c>
      <c r="L207" s="26" t="n">
        <f aca="false">MAX(L206,IF(U206="transition",1,0))</f>
        <v>1</v>
      </c>
      <c r="M207" s="28" t="n">
        <f aca="false">(Parameters!$B$9+(IF(E207=0,0,(Upgrades!$J$6+E207*Upgrades!$K$6)*POWER(Upgrades!$L$6,E207)))*(IF(Upgrades!$T$7="Solar Wind",POWER(Upgrades!$U$7,F207),1)*IF(Upgrades!$T$8="Solar Wind",POWER(Upgrades!$U$8,G207),1)*IF(Upgrades!$T$9="Solar Wind",POWER(Upgrades!$U$9,H207),1)*IF(Upgrades!$T$10="Solar Wind",POWER(Upgrades!$U$10,I207),1)*IF(Upgrades!$T$11="Solar Wind",POWER(Upgrades!$U$11,J207),1)*IF(Upgrades!$T$12="Solar Wind",POWER(Upgrades!$U$12,K207),1))+(IF(F207=0,0,(Upgrades!$J$7+F207*Upgrades!$K$7)*POWER(Upgrades!$L$7,F207)))*(IF(Upgrades!$T$6="Asteroid Belt",POWER(Upgrades!$U$6,E207),1)*IF(Upgrades!$T$8="Asteroid Belt",POWER(Upgrades!$U$8,G207),1)*IF(Upgrades!$T$9="Asteroid Belt",POWER(Upgrades!$U$9,H207),1)*IF(Upgrades!$T$10="Asteroid Belt",POWER(Upgrades!$U$10,I207),1)*IF(Upgrades!$T$11="Asteroid Belt",POWER(Upgrades!$U$11,J207),1)*IF(Upgrades!$T$12="Asteroid Belt",POWER(Upgrades!$U$12,K207),1))+(IF(G207=0,0,(Upgrades!$J$8+G207*Upgrades!$K$8)*POWER(Upgrades!$L$8,G207)))*(IF(Upgrades!$T$6="Stellar Coupling",POWER(Upgrades!$U$6,E207),1)*IF(Upgrades!$T$7="Stellar Coupling",POWER(Upgrades!$U$7,F207),1)*IF(Upgrades!$T$9="Stellar Coupling",POWER(Upgrades!$U$9,H207),1)*IF(Upgrades!$T$10="Stellar Coupling",POWER(Upgrades!$U$10,I207),1)*IF(Upgrades!$T$11="Stellar Coupling",POWER(Upgrades!$U$11,J207),1)*IF(Upgrades!$T$12="Stellar Coupling",POWER(Upgrades!$U$12,K207),1))+(IF(H207=0,0,(Upgrades!$J$9+H207*Upgrades!$K$9)*POWER(Upgrades!$L$9,H207)))*(IF(Upgrades!$T$6="Magnetosphere",POWER(Upgrades!$U$6,E207),1)*IF(Upgrades!$T$7="Magnetosphere",POWER(Upgrades!$U$7,F207),1)*IF(Upgrades!$T$8="Magnetosphere",POWER(Upgrades!$U$8,G207),1)*IF(Upgrades!$T$10="Magnetosphere",POWER(Upgrades!$U$10,I207),1)*IF(Upgrades!$T$11="Magnetosphere",POWER(Upgrades!$U$11,J207),1)*IF(Upgrades!$T$12="Magnetosphere",POWER(Upgrades!$U$12,K207),1))+(IF(I207=0,0,(Upgrades!$J$10+I207*Upgrades!$K$10)*POWER(Upgrades!$L$10,I207)))*(IF(Upgrades!$T$6="Orbital Resonance",POWER(Upgrades!$U$6,E207),1)*IF(Upgrades!$T$7="Orbital Resonance",POWER(Upgrades!$U$7,F207),1)*IF(Upgrades!$T$8="Orbital Resonance",POWER(Upgrades!$U$8,G207),1)*IF(Upgrades!$T$9="Orbital Resonance",POWER(Upgrades!$U$9,H207),1)*IF(Upgrades!$T$11="Orbital Resonance",POWER(Upgrades!$U$11,J207),1)*IF(Upgrades!$T$12="Orbital Resonance",POWER(Upgrades!$U$12,K207),1))+(IF(J207=0,0,(Upgrades!$J$11+J207*Upgrades!$K$11)*POWER(Upgrades!$L$11,J207)))*(IF(Upgrades!$T$6="Heliopause",POWER(Upgrades!$U$6,E207),1)*IF(Upgrades!$T$7="Heliopause",POWER(Upgrades!$U$7,F207),1)*IF(Upgrades!$T$8="Heliopause",POWER(Upgrades!$U$8,G207),1)*IF(Upgrades!$T$9="Heliopause",POWER(Upgrades!$U$9,H207),1)*IF(Upgrades!$T$10="Heliopause",POWER(Upgrades!$U$10,I207),1)*IF(Upgrades!$T$12="Heliopause",POWER(Upgrades!$U$12,K207),1))+(IF(K207=0,0,(Upgrades!$J$12+K207*Upgrades!$K$12)*POWER(Upgrades!$L$12,K207)))*(IF(Upgrades!$T$6="First Photons",POWER(Upgrades!$U$6,E207),1)*IF(Upgrades!$T$7="First Photons",POWER(Upgrades!$U$7,F207),1)*IF(Upgrades!$T$8="First Photons",POWER(Upgrades!$U$8,G207),1)*IF(Upgrades!$T$9="First Photons",POWER(Upgrades!$U$9,H207),1)*IF(Upgrades!$T$10="First Photons",POWER(Upgrades!$U$10,I207),1)*IF(Upgrades!$T$11="First Photons",POWER(Upgrades!$U$11,J207),1)))*POWER(Upgrades!$Q$6,E207)*POWER(Upgrades!$Q$7,F207)*POWER(Upgrades!$Q$8,G207)*POWER(Upgrades!$Q$9,H207)*POWER(Upgrades!$Q$10,I207)*POWER(Upgrades!$Q$11,J207)*POWER(Upgrades!$Q$12,K207)</f>
        <v>5.61</v>
      </c>
      <c r="N207" s="28" t="n">
        <f aca="false">((IF(E207=0,0,(Upgrades!$G$6+E207*Upgrades!$H$6)*POWER(Upgrades!$I$6,E207)))*(IF(Upgrades!$T$7="Solar Wind",POWER(Upgrades!$U$7,F207),1)*IF(Upgrades!$T$8="Solar Wind",POWER(Upgrades!$U$8,G207),1)*IF(Upgrades!$T$9="Solar Wind",POWER(Upgrades!$U$9,H207),1)*IF(Upgrades!$T$10="Solar Wind",POWER(Upgrades!$U$10,I207),1)*IF(Upgrades!$T$11="Solar Wind",POWER(Upgrades!$U$11,J207),1)*IF(Upgrades!$T$12="Solar Wind",POWER(Upgrades!$U$12,K207),1))+(IF(F207=0,0,(Upgrades!$G$7+F207*Upgrades!$H$7)*POWER(Upgrades!$I$7,F207)))*(IF(Upgrades!$T$6="Asteroid Belt",POWER(Upgrades!$U$6,E207),1)*IF(Upgrades!$T$8="Asteroid Belt",POWER(Upgrades!$U$8,G207),1)*IF(Upgrades!$T$9="Asteroid Belt",POWER(Upgrades!$U$9,H207),1)*IF(Upgrades!$T$10="Asteroid Belt",POWER(Upgrades!$U$10,I207),1)*IF(Upgrades!$T$11="Asteroid Belt",POWER(Upgrades!$U$11,J207),1)*IF(Upgrades!$T$12="Asteroid Belt",POWER(Upgrades!$U$12,K207),1))+(IF(G207=0,0,(Upgrades!$G$8+G207*Upgrades!$H$8)*POWER(Upgrades!$I$8,G207)))*(IF(Upgrades!$T$6="Stellar Coupling",POWER(Upgrades!$U$6,E207),1)*IF(Upgrades!$T$7="Stellar Coupling",POWER(Upgrades!$U$7,F207),1)*IF(Upgrades!$T$9="Stellar Coupling",POWER(Upgrades!$U$9,H207),1)*IF(Upgrades!$T$10="Stellar Coupling",POWER(Upgrades!$U$10,I207),1)*IF(Upgrades!$T$11="Stellar Coupling",POWER(Upgrades!$U$11,J207),1)*IF(Upgrades!$T$12="Stellar Coupling",POWER(Upgrades!$U$12,K207),1))+(IF(H207=0,0,(Upgrades!$G$9+H207*Upgrades!$H$9)*POWER(Upgrades!$I$9,H207)))*(IF(Upgrades!$T$6="Magnetosphere",POWER(Upgrades!$U$6,E207),1)*IF(Upgrades!$T$7="Magnetosphere",POWER(Upgrades!$U$7,F207),1)*IF(Upgrades!$T$8="Magnetosphere",POWER(Upgrades!$U$8,G207),1)*IF(Upgrades!$T$10="Magnetosphere",POWER(Upgrades!$U$10,I207),1)*IF(Upgrades!$T$11="Magnetosphere",POWER(Upgrades!$U$11,J207),1)*IF(Upgrades!$T$12="Magnetosphere",POWER(Upgrades!$U$12,K207),1))+(IF(I207=0,0,(Upgrades!$G$10+I207*Upgrades!$H$10)*POWER(Upgrades!$I$10,I207)))*(IF(Upgrades!$T$6="Orbital Resonance",POWER(Upgrades!$U$6,E207),1)*IF(Upgrades!$T$7="Orbital Resonance",POWER(Upgrades!$U$7,F207),1)*IF(Upgrades!$T$8="Orbital Resonance",POWER(Upgrades!$U$8,G207),1)*IF(Upgrades!$T$9="Orbital Resonance",POWER(Upgrades!$U$9,H207),1)*IF(Upgrades!$T$11="Orbital Resonance",POWER(Upgrades!$U$11,J207),1)*IF(Upgrades!$T$12="Orbital Resonance",POWER(Upgrades!$U$12,K207),1))+(IF(J207=0,0,(Upgrades!$G$11+J207*Upgrades!$H$11)*POWER(Upgrades!$I$11,J207)))*(IF(Upgrades!$T$6="Heliopause",POWER(Upgrades!$U$6,E207),1)*IF(Upgrades!$T$7="Heliopause",POWER(Upgrades!$U$7,F207),1)*IF(Upgrades!$T$8="Heliopause",POWER(Upgrades!$U$8,G207),1)*IF(Upgrades!$T$9="Heliopause",POWER(Upgrades!$U$9,H207),1)*IF(Upgrades!$T$10="Heliopause",POWER(Upgrades!$U$10,I207),1)*IF(Upgrades!$T$12="Heliopause",POWER(Upgrades!$U$12,K207),1))+(IF(K207=0,0,(Upgrades!$G$12+K207*Upgrades!$H$12)*POWER(Upgrades!$I$12,K207)))*(IF(Upgrades!$T$6="First Photons",POWER(Upgrades!$U$6,E207),1)*IF(Upgrades!$T$7="First Photons",POWER(Upgrades!$U$7,F207),1)*IF(Upgrades!$T$8="First Photons",POWER(Upgrades!$U$8,G207),1)*IF(Upgrades!$T$9="First Photons",POWER(Upgrades!$U$9,H207),1)*IF(Upgrades!$T$10="First Photons",POWER(Upgrades!$U$10,I207),1)*IF(Upgrades!$T$11="First Photons",POWER(Upgrades!$U$11,J207),1)))*POWER(Upgrades!$P$6,E207)*POWER(Upgrades!$P$7,F207)*POWER(Upgrades!$P$8,G207)*POWER(Upgrades!$P$9,H207)*POWER(Upgrades!$P$10,I207)*POWER(Upgrades!$P$11,J207)*POWER(Upgrades!$P$12,K207)</f>
        <v>11.2</v>
      </c>
      <c r="O207" s="28" t="n">
        <f aca="false">((IF(E207=0,0,(Upgrades!$M$6+E207*Upgrades!$N$6)*POWER(Upgrades!$O$6,E207)))*(IF(Upgrades!$T$7="Solar Wind",POWER(Upgrades!$U$7,F207),1)*IF(Upgrades!$T$8="Solar Wind",POWER(Upgrades!$U$8,G207),1)*IF(Upgrades!$T$9="Solar Wind",POWER(Upgrades!$U$9,H207),1)*IF(Upgrades!$T$10="Solar Wind",POWER(Upgrades!$U$10,I207),1)*IF(Upgrades!$T$11="Solar Wind",POWER(Upgrades!$U$11,J207),1)*IF(Upgrades!$T$12="Solar Wind",POWER(Upgrades!$U$12,K207),1))+(IF(F207=0,0,(Upgrades!$M$7+F207*Upgrades!$N$7)*POWER(Upgrades!$O$7,F207)))*(IF(Upgrades!$T$6="Asteroid Belt",POWER(Upgrades!$U$6,E207),1)*IF(Upgrades!$T$8="Asteroid Belt",POWER(Upgrades!$U$8,G207),1)*IF(Upgrades!$T$9="Asteroid Belt",POWER(Upgrades!$U$9,H207),1)*IF(Upgrades!$T$10="Asteroid Belt",POWER(Upgrades!$U$10,I207),1)*IF(Upgrades!$T$11="Asteroid Belt",POWER(Upgrades!$U$11,J207),1)*IF(Upgrades!$T$12="Asteroid Belt",POWER(Upgrades!$U$12,K207),1))+(IF(G207=0,0,(Upgrades!$M$8+G207*Upgrades!$N$8)*POWER(Upgrades!$O$8,G207)))*(IF(Upgrades!$T$6="Stellar Coupling",POWER(Upgrades!$U$6,E207),1)*IF(Upgrades!$T$7="Stellar Coupling",POWER(Upgrades!$U$7,F207),1)*IF(Upgrades!$T$9="Stellar Coupling",POWER(Upgrades!$U$9,H207),1)*IF(Upgrades!$T$10="Stellar Coupling",POWER(Upgrades!$U$10,I207),1)*IF(Upgrades!$T$11="Stellar Coupling",POWER(Upgrades!$U$11,J207),1)*IF(Upgrades!$T$12="Stellar Coupling",POWER(Upgrades!$U$12,K207),1))+(IF(H207=0,0,(Upgrades!$M$9+H207*Upgrades!$N$9)*POWER(Upgrades!$O$9,H207)))*(IF(Upgrades!$T$6="Magnetosphere",POWER(Upgrades!$U$6,E207),1)*IF(Upgrades!$T$7="Magnetosphere",POWER(Upgrades!$U$7,F207),1)*IF(Upgrades!$T$8="Magnetosphere",POWER(Upgrades!$U$8,G207),1)*IF(Upgrades!$T$10="Magnetosphere",POWER(Upgrades!$U$10,I207),1)*IF(Upgrades!$T$11="Magnetosphere",POWER(Upgrades!$U$11,J207),1)*IF(Upgrades!$T$12="Magnetosphere",POWER(Upgrades!$U$12,K207),1))+(IF(I207=0,0,(Upgrades!$M$10+I207*Upgrades!$N$10)*POWER(Upgrades!$O$10,I207)))*(IF(Upgrades!$T$6="Orbital Resonance",POWER(Upgrades!$U$6,E207),1)*IF(Upgrades!$T$7="Orbital Resonance",POWER(Upgrades!$U$7,F207),1)*IF(Upgrades!$T$8="Orbital Resonance",POWER(Upgrades!$U$8,G207),1)*IF(Upgrades!$T$9="Orbital Resonance",POWER(Upgrades!$U$9,H207),1)*IF(Upgrades!$T$11="Orbital Resonance",POWER(Upgrades!$U$11,J207),1)*IF(Upgrades!$T$12="Orbital Resonance",POWER(Upgrades!$U$12,K207),1))+(IF(J207=0,0,(Upgrades!$M$11+J207*Upgrades!$N$11)*POWER(Upgrades!$O$11,J207)))*(IF(Upgrades!$T$6="Heliopause",POWER(Upgrades!$U$6,E207),1)*IF(Upgrades!$T$7="Heliopause",POWER(Upgrades!$U$7,F207),1)*IF(Upgrades!$T$8="Heliopause",POWER(Upgrades!$U$8,G207),1)*IF(Upgrades!$T$9="Heliopause",POWER(Upgrades!$U$9,H207),1)*IF(Upgrades!$T$10="Heliopause",POWER(Upgrades!$U$10,I207),1)*IF(Upgrades!$T$12="Heliopause",POWER(Upgrades!$U$12,K207),1))+(IF(K207=0,0,(Upgrades!$M$12+K207*Upgrades!$N$12)*POWER(Upgrades!$O$12,K207)))*(IF(Upgrades!$T$6="First Photons",POWER(Upgrades!$U$6,E207),1)*IF(Upgrades!$T$7="First Photons",POWER(Upgrades!$U$7,F207),1)*IF(Upgrades!$T$8="First Photons",POWER(Upgrades!$U$8,G207),1)*IF(Upgrades!$T$9="First Photons",POWER(Upgrades!$U$9,H207),1)*IF(Upgrades!$T$10="First Photons",POWER(Upgrades!$U$10,I207),1)*IF(Upgrades!$T$11="First Photons",POWER(Upgrades!$U$11,J207),1)))*POWER(Upgrades!$R$6,E207)*POWER(Upgrades!$R$7,F207)*POWER(Upgrades!$R$8,G207)*POWER(Upgrades!$R$9,H207)*POWER(Upgrades!$R$10,I207)*POWER(Upgrades!$R$11,J207)*POWER(Upgrades!$R$12,K207)</f>
        <v>0</v>
      </c>
      <c r="P207" s="27" t="n">
        <f aca="false">IF(L207=1,0,M207*Parameters!$B$10/60*Parameters!$B$11*10)</f>
        <v>0</v>
      </c>
      <c r="Q207" s="27" t="n">
        <f aca="false">IF(L207=1,0,O207*M207*10)</f>
        <v>0</v>
      </c>
      <c r="R207" s="27" t="n">
        <f aca="false">IF(L207=1,0,N207*10)</f>
        <v>0</v>
      </c>
      <c r="S207" s="27" t="n">
        <f aca="false">P207+Q207+R207</f>
        <v>0</v>
      </c>
      <c r="T207" s="21" t="n">
        <f aca="false">C207+S207</f>
        <v>18.6730249835055</v>
      </c>
      <c r="U207" s="34" t="str">
        <f aca="false">AX207</f>
        <v/>
      </c>
      <c r="V207" s="21" t="n">
        <f aca="false">IF(U207="",0,IF(U207="transition",0,IF(U207="SW",AG207,IF(U207="AB",AH207,IF(U207="SC",AI207,IF(U207="Mag",AJ207,IF(U207="OR",AK207,IF(U207="HP",AL207,IF(U207="FP",AM207,0)))))))))</f>
        <v>0</v>
      </c>
      <c r="W207" s="27" t="n">
        <f aca="false">IF(U207="OR",Upgrades!$F$10,IF(U207="HP",Upgrades!$F$11,IF(U207="transition",-Parameters!$B$18,0)))</f>
        <v>0</v>
      </c>
      <c r="X207" s="21" t="n">
        <f aca="false">T207-V207</f>
        <v>18.6730249835055</v>
      </c>
      <c r="Y207" s="30" t="n">
        <f aca="false">M207*Parameters!$B$10/60*Parameters!$B$11+O207*M207+N207</f>
        <v>20.55</v>
      </c>
      <c r="Z207" s="35" t="str">
        <f aca="false">IF(U207="transition","→ Tier 2 (Stellar Neighborhood)",IF(U207="FP","First Photons — light begins, system quickens",IF(U207="HP","Heliopause acquired",IF(U207="OR","Orbital Resonance — passive multiplier active",IF(AND(AO207=1,L207=0,AN207&lt;&gt;1),"Cohesion ready (waiting on completionist upgrades)","")))))</f>
        <v/>
      </c>
      <c r="AA207" s="27" t="n">
        <f aca="false">(IF(E207=0,0,(Upgrades!$G$6+E207*Upgrades!$H$6)*POWER(Upgrades!$I$6,E207)))*(IF(Upgrades!$T$7="Solar Wind",POWER(Upgrades!$U$7,F207),1)*IF(Upgrades!$T$8="Solar Wind",POWER(Upgrades!$U$8,G207),1)*IF(Upgrades!$T$9="Solar Wind",POWER(Upgrades!$U$9,H207),1)*IF(Upgrades!$T$10="Solar Wind",POWER(Upgrades!$U$10,I207),1)*IF(Upgrades!$T$11="Solar Wind",POWER(Upgrades!$U$11,J207),1)*IF(Upgrades!$T$12="Solar Wind",POWER(Upgrades!$U$12,K207),1))*POWER(Upgrades!$P$6,E207)*POWER(Upgrades!$P$7,F207)*POWER(Upgrades!$P$8,G207)*POWER(Upgrades!$P$9,H207)*POWER(Upgrades!$P$10,I207)*POWER(Upgrades!$P$11,J207)*POWER(Upgrades!$P$12,K207)*60</f>
        <v>72</v>
      </c>
      <c r="AB207" s="27" t="n">
        <f aca="false">(IF(F207=0,0,(Upgrades!$G$7+F207*Upgrades!$H$7)*POWER(Upgrades!$I$7,F207)))*(IF(Upgrades!$T$6="Asteroid Belt",POWER(Upgrades!$U$6,E207),1)*IF(Upgrades!$T$8="Asteroid Belt",POWER(Upgrades!$U$8,G207),1)*IF(Upgrades!$T$9="Asteroid Belt",POWER(Upgrades!$U$9,H207),1)*IF(Upgrades!$T$10="Asteroid Belt",POWER(Upgrades!$U$10,I207),1)*IF(Upgrades!$T$11="Asteroid Belt",POWER(Upgrades!$U$11,J207),1)*IF(Upgrades!$T$12="Asteroid Belt",POWER(Upgrades!$U$12,K207),1))*POWER(Upgrades!$P$6,E207)*POWER(Upgrades!$P$7,F207)*POWER(Upgrades!$P$8,G207)*POWER(Upgrades!$P$9,H207)*POWER(Upgrades!$P$10,I207)*POWER(Upgrades!$P$11,J207)*POWER(Upgrades!$P$12,K207)*60</f>
        <v>150</v>
      </c>
      <c r="AC207" s="27" t="n">
        <f aca="false">(IF(G207=0,0,(Upgrades!$J$8+G207*Upgrades!$K$8)*POWER(Upgrades!$L$8,G207)))*(IF(Upgrades!$T$6="Stellar Coupling",POWER(Upgrades!$U$6,E207),1)*IF(Upgrades!$T$7="Stellar Coupling",POWER(Upgrades!$U$7,F207),1)*IF(Upgrades!$T$9="Stellar Coupling",POWER(Upgrades!$U$9,H207),1)*IF(Upgrades!$T$10="Stellar Coupling",POWER(Upgrades!$U$10,I207),1)*IF(Upgrades!$T$11="Stellar Coupling",POWER(Upgrades!$U$11,J207),1)*IF(Upgrades!$T$12="Stellar Coupling",POWER(Upgrades!$U$12,K207),1))*POWER(Upgrades!$Q$6,E207)*POWER(Upgrades!$Q$7,F207)*POWER(Upgrades!$Q$8,G207)*POWER(Upgrades!$Q$9,H207)*POWER(Upgrades!$Q$10,I207)*POWER(Upgrades!$Q$11,J207)*POWER(Upgrades!$Q$12,K207)*Parameters!$B$10*Parameters!$B$11</f>
        <v>441</v>
      </c>
      <c r="AD207" s="27" t="n">
        <f aca="false">(IF(H207=0,0,(Upgrades!$G$9+H207*Upgrades!$H$9)*POWER(Upgrades!$I$9,H207)))*(IF(Upgrades!$T$6="Magnetosphere",POWER(Upgrades!$U$6,E207),1)*IF(Upgrades!$T$7="Magnetosphere",POWER(Upgrades!$U$7,F207),1)*IF(Upgrades!$T$8="Magnetosphere",POWER(Upgrades!$U$8,G207),1)*IF(Upgrades!$T$10="Magnetosphere",POWER(Upgrades!$U$10,I207),1)*IF(Upgrades!$T$11="Magnetosphere",POWER(Upgrades!$U$11,J207),1)*IF(Upgrades!$T$12="Magnetosphere",POWER(Upgrades!$U$12,K207),1))*POWER(Upgrades!$P$6,E207)*POWER(Upgrades!$P$7,F207)*POWER(Upgrades!$P$8,G207)*POWER(Upgrades!$P$9,H207)*POWER(Upgrades!$P$10,I207)*POWER(Upgrades!$P$11,J207)*POWER(Upgrades!$P$12,K207)*60</f>
        <v>375</v>
      </c>
      <c r="AE207" s="27" t="n">
        <f aca="false">(IF(K207=0,0,(Upgrades!$G$12+K207*Upgrades!$H$12)*POWER(Upgrades!$I$12,K207)))*(IF(Upgrades!$T$6="First Photons",POWER(Upgrades!$U$6,E207),1)*IF(Upgrades!$T$7="First Photons",POWER(Upgrades!$U$7,F207),1)*IF(Upgrades!$T$8="First Photons",POWER(Upgrades!$U$8,G207),1)*IF(Upgrades!$T$9="First Photons",POWER(Upgrades!$U$9,H207),1)*IF(Upgrades!$T$10="First Photons",POWER(Upgrades!$U$10,I207),1)*IF(Upgrades!$T$11="First Photons",POWER(Upgrades!$U$11,J207),1))*POWER(Upgrades!$P$6,E207)*POWER(Upgrades!$P$7,F207)*POWER(Upgrades!$P$8,G207)*POWER(Upgrades!$P$9,H207)*POWER(Upgrades!$P$10,I207)*POWER(Upgrades!$P$11,J207)*POWER(Upgrades!$P$12,K207)*60</f>
        <v>75</v>
      </c>
      <c r="AF207" s="27" t="n">
        <f aca="false">Parameters!$B$9*POWER(Upgrades!$Q$6,E207)*POWER(Upgrades!$Q$7,F207)*POWER(Upgrades!$Q$8,G207)*POWER(Upgrades!$Q$9,H207)*POWER(Upgrades!$Q$10,I207)*POWER(Upgrades!$Q$11,J207)*POWER(Upgrades!$Q$12,K207)*(Parameters!$B$10*Parameters!$B$11+O207*60)</f>
        <v>120</v>
      </c>
      <c r="AG207" s="21" t="n">
        <f aca="false">IF(E207&gt;=Upgrades!$E$6,"",Upgrades!$C$6*POWER(Upgrades!$D$6,E207))</f>
        <v>37.4517507383159</v>
      </c>
      <c r="AH207" s="21" t="n">
        <f aca="false">IF(F207&gt;=Upgrades!$E$7,"",Upgrades!$C$7*POWER(Upgrades!$D$7,F207))</f>
        <v>80.9111547141581</v>
      </c>
      <c r="AI207" s="21" t="n">
        <f aca="false">IF(G207&gt;=Upgrades!$E$8,"",Upgrades!$C$8*POWER(Upgrades!$D$8,G207))</f>
        <v>231.9097088</v>
      </c>
      <c r="AJ207" s="21" t="str">
        <f aca="false">IF(H207&gt;=Upgrades!$E$9,"",Upgrades!$C$9*POWER(Upgrades!$D$9,H207))</f>
        <v/>
      </c>
      <c r="AK207" s="21" t="str">
        <f aca="false">IF(I207&gt;=Upgrades!$E$10,"",Upgrades!$C$10*POWER(Upgrades!$D$10,I207))</f>
        <v/>
      </c>
      <c r="AL207" s="21" t="str">
        <f aca="false">IF(J207&gt;=Upgrades!$E$11,"",Upgrades!$C$11*POWER(Upgrades!$D$11,J207))</f>
        <v/>
      </c>
      <c r="AM207" s="21" t="str">
        <f aca="false">IF(K207&gt;=Upgrades!$E$12,"",Upgrades!$C$12*POWER(Upgrades!$D$12,K207))</f>
        <v/>
      </c>
      <c r="AN207" s="26" t="str">
        <f aca="false">IF(AND(D207&gt;=Parameters!$B$18,(H207&gt;=Upgrades!$E$9)*(K207&gt;=Upgrades!$E$12)=1,L207=0),1,"")</f>
        <v/>
      </c>
      <c r="AO207" s="26" t="str">
        <f aca="false">IF(AND(D207&gt;=Parameters!$B$18,L207=0),1,"")</f>
        <v/>
      </c>
      <c r="AP207" s="21" t="n">
        <f aca="false">MIN(IF(ISNUMBER(AK207),AK207,9000000000000000),IF(ISNUMBER(AL207),AL207,9000000000000000),IF(ISNUMBER(AM207),AM207,9000000000000000))</f>
        <v>9000000000000000</v>
      </c>
      <c r="AQ207" s="21" t="n">
        <f aca="false">MIN(IF(ISNUMBER(AG207),AG207,9000000000000000),IF(ISNUMBER(AH207),AH207,9000000000000000),IF(ISNUMBER(AI207),AI207,9000000000000000),IF(ISNUMBER(AJ207),AJ207,9000000000000000))</f>
        <v>37.4517507383159</v>
      </c>
      <c r="AR207" s="32" t="b">
        <f aca="false">IF(AW207&gt;Parameters!$B$21*(MAX(IF(AND(NOT(AND(AO207=1,AN207&lt;&gt;1)),ISNUMBER(AG207),AG207&lt;=T207),AS207,0),IF(AND(NOT(AND(AO207=1,AN207&lt;&gt;1)),ISNUMBER(AH207),AH207&lt;=T207),AT207,0),IF(AND(NOT(AND(AO207=1,AN207&lt;&gt;1)),ISNUMBER(AI207),AI207&lt;=T207),AU207,0),IF(AND(ISNUMBER(AJ207),AJ207&lt;=T207),AV207,0))),TRUE(),FALSE())</f>
        <v>1</v>
      </c>
      <c r="AS207" s="33" t="n">
        <f aca="false">IFERROR(Upgrades!$H$6*(POWER(Upgrades!$P$6,E207)*POWER(Upgrades!$P$7,F207)*POWER(Upgrades!$P$8,G207)*POWER(Upgrades!$P$9,H207)*POWER(Upgrades!$P$10,I207)*POWER(Upgrades!$P$11,J207)*POWER(Upgrades!$P$12,K207))*(IF(Upgrades!$T$7="Solar Wind",POWER(Upgrades!$U$7,F207),1)*IF(Upgrades!$T$8="Solar Wind",POWER(Upgrades!$U$8,G207),1)*IF(Upgrades!$T$9="Solar Wind",POWER(Upgrades!$U$9,H207),1)*IF(Upgrades!$T$10="Solar Wind",POWER(Upgrades!$U$10,I207),1)*IF(Upgrades!$T$11="Solar Wind",POWER(Upgrades!$U$11,J207),1)*IF(Upgrades!$T$12="Solar Wind",POWER(Upgrades!$U$12,K207),1))/AG207,0)</f>
        <v>0.0026701021455238</v>
      </c>
      <c r="AT207" s="33" t="n">
        <f aca="false">IFERROR(Upgrades!$H$7*(POWER(Upgrades!$P$6,E207)*POWER(Upgrades!$P$7,F207)*POWER(Upgrades!$P$8,G207)*POWER(Upgrades!$P$9,H207)*POWER(Upgrades!$P$10,I207)*POWER(Upgrades!$P$11,J207)*POWER(Upgrades!$P$12,K207))*(IF(Upgrades!$T$6="Asteroid Belt",POWER(Upgrades!$U$6,E207),1)*IF(Upgrades!$T$8="Asteroid Belt",POWER(Upgrades!$U$8,G207),1)*IF(Upgrades!$T$9="Asteroid Belt",POWER(Upgrades!$U$9,H207),1)*IF(Upgrades!$T$10="Asteroid Belt",POWER(Upgrades!$U$10,I207),1)*IF(Upgrades!$T$11="Asteroid Belt",POWER(Upgrades!$U$11,J207),1)*IF(Upgrades!$T$12="Asteroid Belt",POWER(Upgrades!$U$12,K207),1))/AH207,0)</f>
        <v>0.00308980882652332</v>
      </c>
      <c r="AU207" s="33" t="n">
        <f aca="false">IFERROR(Upgrades!$K$8*(POWER(Upgrades!$Q$6,E207)*POWER(Upgrades!$Q$7,F207)*POWER(Upgrades!$Q$8,G207)*POWER(Upgrades!$Q$9,H207)*POWER(Upgrades!$Q$10,I207)*POWER(Upgrades!$Q$11,J207)*POWER(Upgrades!$Q$12,K207))*(IF(Upgrades!$T$6="Stellar Coupling",POWER(Upgrades!$U$6,E207),1)*IF(Upgrades!$T$7="Stellar Coupling",POWER(Upgrades!$U$7,F207),1)*IF(Upgrades!$T$9="Stellar Coupling",POWER(Upgrades!$U$9,H207),1)*IF(Upgrades!$T$10="Stellar Coupling",POWER(Upgrades!$U$10,I207),1)*IF(Upgrades!$T$11="Stellar Coupling",POWER(Upgrades!$U$11,J207),1)*IF(Upgrades!$T$12="Stellar Coupling",POWER(Upgrades!$U$12,K207),1))*Parameters!$B$10*Parameters!$B$11/60/AI207,0)</f>
        <v>0.00452762415783776</v>
      </c>
      <c r="AV207" s="33" t="n">
        <f aca="false">IFERROR(Upgrades!$H$9*(POWER(Upgrades!$P$6,E207)*POWER(Upgrades!$P$7,F207)*POWER(Upgrades!$P$8,G207)*POWER(Upgrades!$P$9,H207)*POWER(Upgrades!$P$10,I207)*POWER(Upgrades!$P$11,J207)*POWER(Upgrades!$P$12,K207))*(IF(Upgrades!$T$6="Magnetosphere",POWER(Upgrades!$U$6,E207),1)*IF(Upgrades!$T$7="Magnetosphere",POWER(Upgrades!$U$7,F207),1)*IF(Upgrades!$T$8="Magnetosphere",POWER(Upgrades!$U$8,G207),1)*IF(Upgrades!$T$10="Magnetosphere",POWER(Upgrades!$U$10,I207),1)*IF(Upgrades!$T$11="Magnetosphere",POWER(Upgrades!$U$11,J207),1)*IF(Upgrades!$T$12="Magnetosphere",POWER(Upgrades!$U$12,K207),1))/AJ207,0)</f>
        <v>0</v>
      </c>
      <c r="AW207" s="33" t="n">
        <f aca="false">MAX(IF(I207&gt;0,0,IFERROR(0.25*N207/Upgrades!$C$10,0)),IF(J207&gt;0,0,IFERROR(0.5*((IF(G207=0,0,(Upgrades!$J$8+G207*Upgrades!$K$8)*POWER(Upgrades!$L$8,G207)))*(IF(Upgrades!$T$6="Stellar Coupling",POWER(Upgrades!$U$6,E207),1)*IF(Upgrades!$T$7="Stellar Coupling",POWER(Upgrades!$U$7,F207),1)*IF(Upgrades!$T$9="Stellar Coupling",POWER(Upgrades!$U$9,H207),1)*IF(Upgrades!$T$10="Stellar Coupling",POWER(Upgrades!$U$10,I207),1)*IF(Upgrades!$T$11="Stellar Coupling",POWER(Upgrades!$U$11,J207),1)*IF(Upgrades!$T$12="Stellar Coupling",POWER(Upgrades!$U$12,K207),1))*(POWER(Upgrades!$Q$6,E207)*POWER(Upgrades!$Q$7,F207)*POWER(Upgrades!$Q$8,G207)*POWER(Upgrades!$Q$9,H207)*POWER(Upgrades!$Q$10,I207)*POWER(Upgrades!$Q$11,J207)*POWER(Upgrades!$Q$12,K207))*Parameters!$B$10*Parameters!$B$11/60)/Upgrades!$C$11,0)),IF(K207&gt;0,0,IFERROR((1*(POWER(Upgrades!$P$6,E207)*POWER(Upgrades!$P$7,F207)*POWER(Upgrades!$P$8,G207)*POWER(Upgrades!$P$9,H207)*POWER(Upgrades!$P$10,I207)*POWER(Upgrades!$P$11,J207)*POWER(Upgrades!$P$12,K207))+0.2*M207*Parameters!$B$10*Parameters!$B$11/60)/Upgrades!$C$12,0)),IF(AND(ISNUMBER(AG207),AG207&gt;T207),AS207,0),IF(AND(ISNUMBER(AH207),AH207&gt;T207),AT207,0),IF(AND(ISNUMBER(AI207),AI207&gt;T207),AU207,0),IF(AND(ISNUMBER(AJ207),AJ207&gt;T207),AV207,0))</f>
        <v>0.00452762415783776</v>
      </c>
      <c r="AX207" s="29" t="str">
        <f aca="false">IF(AN207=1,"transition",IF(MIN(IF(AND(I207=0,ISNUMBER(AK207),AK207&lt;=T207),AK207,9000000000000000),IF(AND(J207=0,ISNUMBER(AL207),AL207&lt;=T207),AL207,9000000000000000),IF(AND(K207=0,ISNUMBER(AM207),AM207&lt;=T207),AM207,9000000000000000))&lt;9000000000000000,IF(AND(AND(I207=0,ISNUMBER(AK207),AK207&lt;=T207),AK207=MIN(IF(AND(I207=0,ISNUMBER(AK207),AK207&lt;=T207),AK207,9000000000000000),IF(AND(J207=0,ISNUMBER(AL207),AL207&lt;=T207),AL207,9000000000000000),IF(AND(K207=0,ISNUMBER(AM207),AM207&lt;=T207),AM207,9000000000000000))),"OR",IF(AND(AND(J207=0,ISNUMBER(AL207),AL207&lt;=T207),AL207=MIN(IF(AND(I207=0,ISNUMBER(AK207),AK207&lt;=T207),AK207,9000000000000000),IF(AND(J207=0,ISNUMBER(AL207),AL207&lt;=T207),AL207,9000000000000000),IF(AND(K207=0,ISNUMBER(AM207),AM207&lt;=T207),AM207,9000000000000000))),"HP","FP")),IF(AR207=TRUE(),"",IF(MAX(IF(AND(NOT(AND(AO207=1,AN207&lt;&gt;1)),ISNUMBER(AG207),AG207&lt;=T207),AS207,0),IF(AND(NOT(AND(AO207=1,AN207&lt;&gt;1)),ISNUMBER(AH207),AH207&lt;=T207),AT207,0),IF(AND(NOT(AND(AO207=1,AN207&lt;&gt;1)),ISNUMBER(AI207),AI207&lt;=T207),AU207,0),IF(AND(ISNUMBER(AJ207),AJ207&lt;=T207),AV207,0))&lt;=0,"",IF(AND(IF(AND(NOT(AND(AO207=1,AN207&lt;&gt;1)),ISNUMBER(AG207),AG207&lt;=T207),AS207,0)&gt;0,IF(AND(NOT(AND(AO207=1,AN207&lt;&gt;1)),ISNUMBER(AG207),AG207&lt;=T207),AS207,0)=MAX(IF(AND(NOT(AND(AO207=1,AN207&lt;&gt;1)),ISNUMBER(AG207),AG207&lt;=T207),AS207,0),IF(AND(NOT(AND(AO207=1,AN207&lt;&gt;1)),ISNUMBER(AH207),AH207&lt;=T207),AT207,0),IF(AND(NOT(AND(AO207=1,AN207&lt;&gt;1)),ISNUMBER(AI207),AI207&lt;=T207),AU207,0),IF(AND(ISNUMBER(AJ207),AJ207&lt;=T207),AV207,0))),"SW",IF(AND(IF(AND(NOT(AND(AO207=1,AN207&lt;&gt;1)),ISNUMBER(AH207),AH207&lt;=T207),AT207,0)&gt;0,IF(AND(NOT(AND(AO207=1,AN207&lt;&gt;1)),ISNUMBER(AH207),AH207&lt;=T207),AT207,0)=MAX(IF(AND(NOT(AND(AO207=1,AN207&lt;&gt;1)),ISNUMBER(AG207),AG207&lt;=T207),AS207,0),IF(AND(NOT(AND(AO207=1,AN207&lt;&gt;1)),ISNUMBER(AH207),AH207&lt;=T207),AT207,0),IF(AND(NOT(AND(AO207=1,AN207&lt;&gt;1)),ISNUMBER(AI207),AI207&lt;=T207),AU207,0),IF(AND(ISNUMBER(AJ207),AJ207&lt;=T207),AV207,0))),"AB",IF(AND(IF(AND(NOT(AND(AO207=1,AN207&lt;&gt;1)),ISNUMBER(AI207),AI207&lt;=T207),AU207,0)&gt;0,IF(AND(NOT(AND(AO207=1,AN207&lt;&gt;1)),ISNUMBER(AI207),AI207&lt;=T207),AU207,0)=MAX(IF(AND(NOT(AND(AO207=1,AN207&lt;&gt;1)),ISNUMBER(AG207),AG207&lt;=T207),AS207,0),IF(AND(NOT(AND(AO207=1,AN207&lt;&gt;1)),ISNUMBER(AH207),AH207&lt;=T207),AT207,0),IF(AND(NOT(AND(AO207=1,AN207&lt;&gt;1)),ISNUMBER(AI207),AI207&lt;=T207),AU207,0),IF(AND(ISNUMBER(AJ207),AJ207&lt;=T207),AV207,0))),"SC","Mag")))))))</f>
        <v/>
      </c>
    </row>
    <row r="208" customFormat="false" ht="15" hidden="false" customHeight="false" outlineLevel="0" collapsed="false">
      <c r="A208" s="26" t="n">
        <v>203</v>
      </c>
      <c r="B208" s="27" t="n">
        <f aca="false">A208*10/60</f>
        <v>33.8333333333333</v>
      </c>
      <c r="C208" s="21" t="n">
        <f aca="false">X207</f>
        <v>18.6730249835055</v>
      </c>
      <c r="D208" s="27" t="n">
        <f aca="false">D207+W207</f>
        <v>0</v>
      </c>
      <c r="E208" s="26" t="n">
        <f aca="false">E207+IF(U207="SW",1,0)</f>
        <v>12</v>
      </c>
      <c r="F208" s="26" t="n">
        <f aca="false">F207+IF(U207="AB",1,0)</f>
        <v>10</v>
      </c>
      <c r="G208" s="26" t="n">
        <f aca="false">G207+IF(U207="SC",1,0)</f>
        <v>7</v>
      </c>
      <c r="H208" s="26" t="n">
        <f aca="false">H207+IF(U207="Mag",1,0)</f>
        <v>5</v>
      </c>
      <c r="I208" s="26" t="n">
        <f aca="false">MAX(I207,IF(U207="OR",1,0))</f>
        <v>1</v>
      </c>
      <c r="J208" s="26" t="n">
        <f aca="false">MAX(J207,IF(U207="HP",1,0))</f>
        <v>1</v>
      </c>
      <c r="K208" s="26" t="n">
        <f aca="false">MAX(K207,IF(U207="FP",1,0))</f>
        <v>1</v>
      </c>
      <c r="L208" s="26" t="n">
        <f aca="false">MAX(L207,IF(U207="transition",1,0))</f>
        <v>1</v>
      </c>
      <c r="M208" s="28" t="n">
        <f aca="false">(Parameters!$B$9+(IF(E208=0,0,(Upgrades!$J$6+E208*Upgrades!$K$6)*POWER(Upgrades!$L$6,E208)))*(IF(Upgrades!$T$7="Solar Wind",POWER(Upgrades!$U$7,F208),1)*IF(Upgrades!$T$8="Solar Wind",POWER(Upgrades!$U$8,G208),1)*IF(Upgrades!$T$9="Solar Wind",POWER(Upgrades!$U$9,H208),1)*IF(Upgrades!$T$10="Solar Wind",POWER(Upgrades!$U$10,I208),1)*IF(Upgrades!$T$11="Solar Wind",POWER(Upgrades!$U$11,J208),1)*IF(Upgrades!$T$12="Solar Wind",POWER(Upgrades!$U$12,K208),1))+(IF(F208=0,0,(Upgrades!$J$7+F208*Upgrades!$K$7)*POWER(Upgrades!$L$7,F208)))*(IF(Upgrades!$T$6="Asteroid Belt",POWER(Upgrades!$U$6,E208),1)*IF(Upgrades!$T$8="Asteroid Belt",POWER(Upgrades!$U$8,G208),1)*IF(Upgrades!$T$9="Asteroid Belt",POWER(Upgrades!$U$9,H208),1)*IF(Upgrades!$T$10="Asteroid Belt",POWER(Upgrades!$U$10,I208),1)*IF(Upgrades!$T$11="Asteroid Belt",POWER(Upgrades!$U$11,J208),1)*IF(Upgrades!$T$12="Asteroid Belt",POWER(Upgrades!$U$12,K208),1))+(IF(G208=0,0,(Upgrades!$J$8+G208*Upgrades!$K$8)*POWER(Upgrades!$L$8,G208)))*(IF(Upgrades!$T$6="Stellar Coupling",POWER(Upgrades!$U$6,E208),1)*IF(Upgrades!$T$7="Stellar Coupling",POWER(Upgrades!$U$7,F208),1)*IF(Upgrades!$T$9="Stellar Coupling",POWER(Upgrades!$U$9,H208),1)*IF(Upgrades!$T$10="Stellar Coupling",POWER(Upgrades!$U$10,I208),1)*IF(Upgrades!$T$11="Stellar Coupling",POWER(Upgrades!$U$11,J208),1)*IF(Upgrades!$T$12="Stellar Coupling",POWER(Upgrades!$U$12,K208),1))+(IF(H208=0,0,(Upgrades!$J$9+H208*Upgrades!$K$9)*POWER(Upgrades!$L$9,H208)))*(IF(Upgrades!$T$6="Magnetosphere",POWER(Upgrades!$U$6,E208),1)*IF(Upgrades!$T$7="Magnetosphere",POWER(Upgrades!$U$7,F208),1)*IF(Upgrades!$T$8="Magnetosphere",POWER(Upgrades!$U$8,G208),1)*IF(Upgrades!$T$10="Magnetosphere",POWER(Upgrades!$U$10,I208),1)*IF(Upgrades!$T$11="Magnetosphere",POWER(Upgrades!$U$11,J208),1)*IF(Upgrades!$T$12="Magnetosphere",POWER(Upgrades!$U$12,K208),1))+(IF(I208=0,0,(Upgrades!$J$10+I208*Upgrades!$K$10)*POWER(Upgrades!$L$10,I208)))*(IF(Upgrades!$T$6="Orbital Resonance",POWER(Upgrades!$U$6,E208),1)*IF(Upgrades!$T$7="Orbital Resonance",POWER(Upgrades!$U$7,F208),1)*IF(Upgrades!$T$8="Orbital Resonance",POWER(Upgrades!$U$8,G208),1)*IF(Upgrades!$T$9="Orbital Resonance",POWER(Upgrades!$U$9,H208),1)*IF(Upgrades!$T$11="Orbital Resonance",POWER(Upgrades!$U$11,J208),1)*IF(Upgrades!$T$12="Orbital Resonance",POWER(Upgrades!$U$12,K208),1))+(IF(J208=0,0,(Upgrades!$J$11+J208*Upgrades!$K$11)*POWER(Upgrades!$L$11,J208)))*(IF(Upgrades!$T$6="Heliopause",POWER(Upgrades!$U$6,E208),1)*IF(Upgrades!$T$7="Heliopause",POWER(Upgrades!$U$7,F208),1)*IF(Upgrades!$T$8="Heliopause",POWER(Upgrades!$U$8,G208),1)*IF(Upgrades!$T$9="Heliopause",POWER(Upgrades!$U$9,H208),1)*IF(Upgrades!$T$10="Heliopause",POWER(Upgrades!$U$10,I208),1)*IF(Upgrades!$T$12="Heliopause",POWER(Upgrades!$U$12,K208),1))+(IF(K208=0,0,(Upgrades!$J$12+K208*Upgrades!$K$12)*POWER(Upgrades!$L$12,K208)))*(IF(Upgrades!$T$6="First Photons",POWER(Upgrades!$U$6,E208),1)*IF(Upgrades!$T$7="First Photons",POWER(Upgrades!$U$7,F208),1)*IF(Upgrades!$T$8="First Photons",POWER(Upgrades!$U$8,G208),1)*IF(Upgrades!$T$9="First Photons",POWER(Upgrades!$U$9,H208),1)*IF(Upgrades!$T$10="First Photons",POWER(Upgrades!$U$10,I208),1)*IF(Upgrades!$T$11="First Photons",POWER(Upgrades!$U$11,J208),1)))*POWER(Upgrades!$Q$6,E208)*POWER(Upgrades!$Q$7,F208)*POWER(Upgrades!$Q$8,G208)*POWER(Upgrades!$Q$9,H208)*POWER(Upgrades!$Q$10,I208)*POWER(Upgrades!$Q$11,J208)*POWER(Upgrades!$Q$12,K208)</f>
        <v>5.61</v>
      </c>
      <c r="N208" s="28" t="n">
        <f aca="false">((IF(E208=0,0,(Upgrades!$G$6+E208*Upgrades!$H$6)*POWER(Upgrades!$I$6,E208)))*(IF(Upgrades!$T$7="Solar Wind",POWER(Upgrades!$U$7,F208),1)*IF(Upgrades!$T$8="Solar Wind",POWER(Upgrades!$U$8,G208),1)*IF(Upgrades!$T$9="Solar Wind",POWER(Upgrades!$U$9,H208),1)*IF(Upgrades!$T$10="Solar Wind",POWER(Upgrades!$U$10,I208),1)*IF(Upgrades!$T$11="Solar Wind",POWER(Upgrades!$U$11,J208),1)*IF(Upgrades!$T$12="Solar Wind",POWER(Upgrades!$U$12,K208),1))+(IF(F208=0,0,(Upgrades!$G$7+F208*Upgrades!$H$7)*POWER(Upgrades!$I$7,F208)))*(IF(Upgrades!$T$6="Asteroid Belt",POWER(Upgrades!$U$6,E208),1)*IF(Upgrades!$T$8="Asteroid Belt",POWER(Upgrades!$U$8,G208),1)*IF(Upgrades!$T$9="Asteroid Belt",POWER(Upgrades!$U$9,H208),1)*IF(Upgrades!$T$10="Asteroid Belt",POWER(Upgrades!$U$10,I208),1)*IF(Upgrades!$T$11="Asteroid Belt",POWER(Upgrades!$U$11,J208),1)*IF(Upgrades!$T$12="Asteroid Belt",POWER(Upgrades!$U$12,K208),1))+(IF(G208=0,0,(Upgrades!$G$8+G208*Upgrades!$H$8)*POWER(Upgrades!$I$8,G208)))*(IF(Upgrades!$T$6="Stellar Coupling",POWER(Upgrades!$U$6,E208),1)*IF(Upgrades!$T$7="Stellar Coupling",POWER(Upgrades!$U$7,F208),1)*IF(Upgrades!$T$9="Stellar Coupling",POWER(Upgrades!$U$9,H208),1)*IF(Upgrades!$T$10="Stellar Coupling",POWER(Upgrades!$U$10,I208),1)*IF(Upgrades!$T$11="Stellar Coupling",POWER(Upgrades!$U$11,J208),1)*IF(Upgrades!$T$12="Stellar Coupling",POWER(Upgrades!$U$12,K208),1))+(IF(H208=0,0,(Upgrades!$G$9+H208*Upgrades!$H$9)*POWER(Upgrades!$I$9,H208)))*(IF(Upgrades!$T$6="Magnetosphere",POWER(Upgrades!$U$6,E208),1)*IF(Upgrades!$T$7="Magnetosphere",POWER(Upgrades!$U$7,F208),1)*IF(Upgrades!$T$8="Magnetosphere",POWER(Upgrades!$U$8,G208),1)*IF(Upgrades!$T$10="Magnetosphere",POWER(Upgrades!$U$10,I208),1)*IF(Upgrades!$T$11="Magnetosphere",POWER(Upgrades!$U$11,J208),1)*IF(Upgrades!$T$12="Magnetosphere",POWER(Upgrades!$U$12,K208),1))+(IF(I208=0,0,(Upgrades!$G$10+I208*Upgrades!$H$10)*POWER(Upgrades!$I$10,I208)))*(IF(Upgrades!$T$6="Orbital Resonance",POWER(Upgrades!$U$6,E208),1)*IF(Upgrades!$T$7="Orbital Resonance",POWER(Upgrades!$U$7,F208),1)*IF(Upgrades!$T$8="Orbital Resonance",POWER(Upgrades!$U$8,G208),1)*IF(Upgrades!$T$9="Orbital Resonance",POWER(Upgrades!$U$9,H208),1)*IF(Upgrades!$T$11="Orbital Resonance",POWER(Upgrades!$U$11,J208),1)*IF(Upgrades!$T$12="Orbital Resonance",POWER(Upgrades!$U$12,K208),1))+(IF(J208=0,0,(Upgrades!$G$11+J208*Upgrades!$H$11)*POWER(Upgrades!$I$11,J208)))*(IF(Upgrades!$T$6="Heliopause",POWER(Upgrades!$U$6,E208),1)*IF(Upgrades!$T$7="Heliopause",POWER(Upgrades!$U$7,F208),1)*IF(Upgrades!$T$8="Heliopause",POWER(Upgrades!$U$8,G208),1)*IF(Upgrades!$T$9="Heliopause",POWER(Upgrades!$U$9,H208),1)*IF(Upgrades!$T$10="Heliopause",POWER(Upgrades!$U$10,I208),1)*IF(Upgrades!$T$12="Heliopause",POWER(Upgrades!$U$12,K208),1))+(IF(K208=0,0,(Upgrades!$G$12+K208*Upgrades!$H$12)*POWER(Upgrades!$I$12,K208)))*(IF(Upgrades!$T$6="First Photons",POWER(Upgrades!$U$6,E208),1)*IF(Upgrades!$T$7="First Photons",POWER(Upgrades!$U$7,F208),1)*IF(Upgrades!$T$8="First Photons",POWER(Upgrades!$U$8,G208),1)*IF(Upgrades!$T$9="First Photons",POWER(Upgrades!$U$9,H208),1)*IF(Upgrades!$T$10="First Photons",POWER(Upgrades!$U$10,I208),1)*IF(Upgrades!$T$11="First Photons",POWER(Upgrades!$U$11,J208),1)))*POWER(Upgrades!$P$6,E208)*POWER(Upgrades!$P$7,F208)*POWER(Upgrades!$P$8,G208)*POWER(Upgrades!$P$9,H208)*POWER(Upgrades!$P$10,I208)*POWER(Upgrades!$P$11,J208)*POWER(Upgrades!$P$12,K208)</f>
        <v>11.2</v>
      </c>
      <c r="O208" s="28" t="n">
        <f aca="false">((IF(E208=0,0,(Upgrades!$M$6+E208*Upgrades!$N$6)*POWER(Upgrades!$O$6,E208)))*(IF(Upgrades!$T$7="Solar Wind",POWER(Upgrades!$U$7,F208),1)*IF(Upgrades!$T$8="Solar Wind",POWER(Upgrades!$U$8,G208),1)*IF(Upgrades!$T$9="Solar Wind",POWER(Upgrades!$U$9,H208),1)*IF(Upgrades!$T$10="Solar Wind",POWER(Upgrades!$U$10,I208),1)*IF(Upgrades!$T$11="Solar Wind",POWER(Upgrades!$U$11,J208),1)*IF(Upgrades!$T$12="Solar Wind",POWER(Upgrades!$U$12,K208),1))+(IF(F208=0,0,(Upgrades!$M$7+F208*Upgrades!$N$7)*POWER(Upgrades!$O$7,F208)))*(IF(Upgrades!$T$6="Asteroid Belt",POWER(Upgrades!$U$6,E208),1)*IF(Upgrades!$T$8="Asteroid Belt",POWER(Upgrades!$U$8,G208),1)*IF(Upgrades!$T$9="Asteroid Belt",POWER(Upgrades!$U$9,H208),1)*IF(Upgrades!$T$10="Asteroid Belt",POWER(Upgrades!$U$10,I208),1)*IF(Upgrades!$T$11="Asteroid Belt",POWER(Upgrades!$U$11,J208),1)*IF(Upgrades!$T$12="Asteroid Belt",POWER(Upgrades!$U$12,K208),1))+(IF(G208=0,0,(Upgrades!$M$8+G208*Upgrades!$N$8)*POWER(Upgrades!$O$8,G208)))*(IF(Upgrades!$T$6="Stellar Coupling",POWER(Upgrades!$U$6,E208),1)*IF(Upgrades!$T$7="Stellar Coupling",POWER(Upgrades!$U$7,F208),1)*IF(Upgrades!$T$9="Stellar Coupling",POWER(Upgrades!$U$9,H208),1)*IF(Upgrades!$T$10="Stellar Coupling",POWER(Upgrades!$U$10,I208),1)*IF(Upgrades!$T$11="Stellar Coupling",POWER(Upgrades!$U$11,J208),1)*IF(Upgrades!$T$12="Stellar Coupling",POWER(Upgrades!$U$12,K208),1))+(IF(H208=0,0,(Upgrades!$M$9+H208*Upgrades!$N$9)*POWER(Upgrades!$O$9,H208)))*(IF(Upgrades!$T$6="Magnetosphere",POWER(Upgrades!$U$6,E208),1)*IF(Upgrades!$T$7="Magnetosphere",POWER(Upgrades!$U$7,F208),1)*IF(Upgrades!$T$8="Magnetosphere",POWER(Upgrades!$U$8,G208),1)*IF(Upgrades!$T$10="Magnetosphere",POWER(Upgrades!$U$10,I208),1)*IF(Upgrades!$T$11="Magnetosphere",POWER(Upgrades!$U$11,J208),1)*IF(Upgrades!$T$12="Magnetosphere",POWER(Upgrades!$U$12,K208),1))+(IF(I208=0,0,(Upgrades!$M$10+I208*Upgrades!$N$10)*POWER(Upgrades!$O$10,I208)))*(IF(Upgrades!$T$6="Orbital Resonance",POWER(Upgrades!$U$6,E208),1)*IF(Upgrades!$T$7="Orbital Resonance",POWER(Upgrades!$U$7,F208),1)*IF(Upgrades!$T$8="Orbital Resonance",POWER(Upgrades!$U$8,G208),1)*IF(Upgrades!$T$9="Orbital Resonance",POWER(Upgrades!$U$9,H208),1)*IF(Upgrades!$T$11="Orbital Resonance",POWER(Upgrades!$U$11,J208),1)*IF(Upgrades!$T$12="Orbital Resonance",POWER(Upgrades!$U$12,K208),1))+(IF(J208=0,0,(Upgrades!$M$11+J208*Upgrades!$N$11)*POWER(Upgrades!$O$11,J208)))*(IF(Upgrades!$T$6="Heliopause",POWER(Upgrades!$U$6,E208),1)*IF(Upgrades!$T$7="Heliopause",POWER(Upgrades!$U$7,F208),1)*IF(Upgrades!$T$8="Heliopause",POWER(Upgrades!$U$8,G208),1)*IF(Upgrades!$T$9="Heliopause",POWER(Upgrades!$U$9,H208),1)*IF(Upgrades!$T$10="Heliopause",POWER(Upgrades!$U$10,I208),1)*IF(Upgrades!$T$12="Heliopause",POWER(Upgrades!$U$12,K208),1))+(IF(K208=0,0,(Upgrades!$M$12+K208*Upgrades!$N$12)*POWER(Upgrades!$O$12,K208)))*(IF(Upgrades!$T$6="First Photons",POWER(Upgrades!$U$6,E208),1)*IF(Upgrades!$T$7="First Photons",POWER(Upgrades!$U$7,F208),1)*IF(Upgrades!$T$8="First Photons",POWER(Upgrades!$U$8,G208),1)*IF(Upgrades!$T$9="First Photons",POWER(Upgrades!$U$9,H208),1)*IF(Upgrades!$T$10="First Photons",POWER(Upgrades!$U$10,I208),1)*IF(Upgrades!$T$11="First Photons",POWER(Upgrades!$U$11,J208),1)))*POWER(Upgrades!$R$6,E208)*POWER(Upgrades!$R$7,F208)*POWER(Upgrades!$R$8,G208)*POWER(Upgrades!$R$9,H208)*POWER(Upgrades!$R$10,I208)*POWER(Upgrades!$R$11,J208)*POWER(Upgrades!$R$12,K208)</f>
        <v>0</v>
      </c>
      <c r="P208" s="27" t="n">
        <f aca="false">IF(L208=1,0,M208*Parameters!$B$10/60*Parameters!$B$11*10)</f>
        <v>0</v>
      </c>
      <c r="Q208" s="27" t="n">
        <f aca="false">IF(L208=1,0,O208*M208*10)</f>
        <v>0</v>
      </c>
      <c r="R208" s="27" t="n">
        <f aca="false">IF(L208=1,0,N208*10)</f>
        <v>0</v>
      </c>
      <c r="S208" s="27" t="n">
        <f aca="false">P208+Q208+R208</f>
        <v>0</v>
      </c>
      <c r="T208" s="21" t="n">
        <f aca="false">C208+S208</f>
        <v>18.6730249835055</v>
      </c>
      <c r="U208" s="34" t="str">
        <f aca="false">AX208</f>
        <v/>
      </c>
      <c r="V208" s="21" t="n">
        <f aca="false">IF(U208="",0,IF(U208="transition",0,IF(U208="SW",AG208,IF(U208="AB",AH208,IF(U208="SC",AI208,IF(U208="Mag",AJ208,IF(U208="OR",AK208,IF(U208="HP",AL208,IF(U208="FP",AM208,0)))))))))</f>
        <v>0</v>
      </c>
      <c r="W208" s="27" t="n">
        <f aca="false">IF(U208="OR",Upgrades!$F$10,IF(U208="HP",Upgrades!$F$11,IF(U208="transition",-Parameters!$B$18,0)))</f>
        <v>0</v>
      </c>
      <c r="X208" s="21" t="n">
        <f aca="false">T208-V208</f>
        <v>18.6730249835055</v>
      </c>
      <c r="Y208" s="30" t="n">
        <f aca="false">M208*Parameters!$B$10/60*Parameters!$B$11+O208*M208+N208</f>
        <v>20.55</v>
      </c>
      <c r="Z208" s="35" t="str">
        <f aca="false">IF(U208="transition","→ Tier 2 (Stellar Neighborhood)",IF(U208="FP","First Photons — light begins, system quickens",IF(U208="HP","Heliopause acquired",IF(U208="OR","Orbital Resonance — passive multiplier active",IF(AND(AO208=1,L208=0,AN208&lt;&gt;1),"Cohesion ready (waiting on completionist upgrades)","")))))</f>
        <v/>
      </c>
      <c r="AA208" s="27" t="n">
        <f aca="false">(IF(E208=0,0,(Upgrades!$G$6+E208*Upgrades!$H$6)*POWER(Upgrades!$I$6,E208)))*(IF(Upgrades!$T$7="Solar Wind",POWER(Upgrades!$U$7,F208),1)*IF(Upgrades!$T$8="Solar Wind",POWER(Upgrades!$U$8,G208),1)*IF(Upgrades!$T$9="Solar Wind",POWER(Upgrades!$U$9,H208),1)*IF(Upgrades!$T$10="Solar Wind",POWER(Upgrades!$U$10,I208),1)*IF(Upgrades!$T$11="Solar Wind",POWER(Upgrades!$U$11,J208),1)*IF(Upgrades!$T$12="Solar Wind",POWER(Upgrades!$U$12,K208),1))*POWER(Upgrades!$P$6,E208)*POWER(Upgrades!$P$7,F208)*POWER(Upgrades!$P$8,G208)*POWER(Upgrades!$P$9,H208)*POWER(Upgrades!$P$10,I208)*POWER(Upgrades!$P$11,J208)*POWER(Upgrades!$P$12,K208)*60</f>
        <v>72</v>
      </c>
      <c r="AB208" s="27" t="n">
        <f aca="false">(IF(F208=0,0,(Upgrades!$G$7+F208*Upgrades!$H$7)*POWER(Upgrades!$I$7,F208)))*(IF(Upgrades!$T$6="Asteroid Belt",POWER(Upgrades!$U$6,E208),1)*IF(Upgrades!$T$8="Asteroid Belt",POWER(Upgrades!$U$8,G208),1)*IF(Upgrades!$T$9="Asteroid Belt",POWER(Upgrades!$U$9,H208),1)*IF(Upgrades!$T$10="Asteroid Belt",POWER(Upgrades!$U$10,I208),1)*IF(Upgrades!$T$11="Asteroid Belt",POWER(Upgrades!$U$11,J208),1)*IF(Upgrades!$T$12="Asteroid Belt",POWER(Upgrades!$U$12,K208),1))*POWER(Upgrades!$P$6,E208)*POWER(Upgrades!$P$7,F208)*POWER(Upgrades!$P$8,G208)*POWER(Upgrades!$P$9,H208)*POWER(Upgrades!$P$10,I208)*POWER(Upgrades!$P$11,J208)*POWER(Upgrades!$P$12,K208)*60</f>
        <v>150</v>
      </c>
      <c r="AC208" s="27" t="n">
        <f aca="false">(IF(G208=0,0,(Upgrades!$J$8+G208*Upgrades!$K$8)*POWER(Upgrades!$L$8,G208)))*(IF(Upgrades!$T$6="Stellar Coupling",POWER(Upgrades!$U$6,E208),1)*IF(Upgrades!$T$7="Stellar Coupling",POWER(Upgrades!$U$7,F208),1)*IF(Upgrades!$T$9="Stellar Coupling",POWER(Upgrades!$U$9,H208),1)*IF(Upgrades!$T$10="Stellar Coupling",POWER(Upgrades!$U$10,I208),1)*IF(Upgrades!$T$11="Stellar Coupling",POWER(Upgrades!$U$11,J208),1)*IF(Upgrades!$T$12="Stellar Coupling",POWER(Upgrades!$U$12,K208),1))*POWER(Upgrades!$Q$6,E208)*POWER(Upgrades!$Q$7,F208)*POWER(Upgrades!$Q$8,G208)*POWER(Upgrades!$Q$9,H208)*POWER(Upgrades!$Q$10,I208)*POWER(Upgrades!$Q$11,J208)*POWER(Upgrades!$Q$12,K208)*Parameters!$B$10*Parameters!$B$11</f>
        <v>441</v>
      </c>
      <c r="AD208" s="27" t="n">
        <f aca="false">(IF(H208=0,0,(Upgrades!$G$9+H208*Upgrades!$H$9)*POWER(Upgrades!$I$9,H208)))*(IF(Upgrades!$T$6="Magnetosphere",POWER(Upgrades!$U$6,E208),1)*IF(Upgrades!$T$7="Magnetosphere",POWER(Upgrades!$U$7,F208),1)*IF(Upgrades!$T$8="Magnetosphere",POWER(Upgrades!$U$8,G208),1)*IF(Upgrades!$T$10="Magnetosphere",POWER(Upgrades!$U$10,I208),1)*IF(Upgrades!$T$11="Magnetosphere",POWER(Upgrades!$U$11,J208),1)*IF(Upgrades!$T$12="Magnetosphere",POWER(Upgrades!$U$12,K208),1))*POWER(Upgrades!$P$6,E208)*POWER(Upgrades!$P$7,F208)*POWER(Upgrades!$P$8,G208)*POWER(Upgrades!$P$9,H208)*POWER(Upgrades!$P$10,I208)*POWER(Upgrades!$P$11,J208)*POWER(Upgrades!$P$12,K208)*60</f>
        <v>375</v>
      </c>
      <c r="AE208" s="27" t="n">
        <f aca="false">(IF(K208=0,0,(Upgrades!$G$12+K208*Upgrades!$H$12)*POWER(Upgrades!$I$12,K208)))*(IF(Upgrades!$T$6="First Photons",POWER(Upgrades!$U$6,E208),1)*IF(Upgrades!$T$7="First Photons",POWER(Upgrades!$U$7,F208),1)*IF(Upgrades!$T$8="First Photons",POWER(Upgrades!$U$8,G208),1)*IF(Upgrades!$T$9="First Photons",POWER(Upgrades!$U$9,H208),1)*IF(Upgrades!$T$10="First Photons",POWER(Upgrades!$U$10,I208),1)*IF(Upgrades!$T$11="First Photons",POWER(Upgrades!$U$11,J208),1))*POWER(Upgrades!$P$6,E208)*POWER(Upgrades!$P$7,F208)*POWER(Upgrades!$P$8,G208)*POWER(Upgrades!$P$9,H208)*POWER(Upgrades!$P$10,I208)*POWER(Upgrades!$P$11,J208)*POWER(Upgrades!$P$12,K208)*60</f>
        <v>75</v>
      </c>
      <c r="AF208" s="27" t="n">
        <f aca="false">Parameters!$B$9*POWER(Upgrades!$Q$6,E208)*POWER(Upgrades!$Q$7,F208)*POWER(Upgrades!$Q$8,G208)*POWER(Upgrades!$Q$9,H208)*POWER(Upgrades!$Q$10,I208)*POWER(Upgrades!$Q$11,J208)*POWER(Upgrades!$Q$12,K208)*(Parameters!$B$10*Parameters!$B$11+O208*60)</f>
        <v>120</v>
      </c>
      <c r="AG208" s="21" t="n">
        <f aca="false">IF(E208&gt;=Upgrades!$E$6,"",Upgrades!$C$6*POWER(Upgrades!$D$6,E208))</f>
        <v>37.4517507383159</v>
      </c>
      <c r="AH208" s="21" t="n">
        <f aca="false">IF(F208&gt;=Upgrades!$E$7,"",Upgrades!$C$7*POWER(Upgrades!$D$7,F208))</f>
        <v>80.9111547141581</v>
      </c>
      <c r="AI208" s="21" t="n">
        <f aca="false">IF(G208&gt;=Upgrades!$E$8,"",Upgrades!$C$8*POWER(Upgrades!$D$8,G208))</f>
        <v>231.9097088</v>
      </c>
      <c r="AJ208" s="21" t="str">
        <f aca="false">IF(H208&gt;=Upgrades!$E$9,"",Upgrades!$C$9*POWER(Upgrades!$D$9,H208))</f>
        <v/>
      </c>
      <c r="AK208" s="21" t="str">
        <f aca="false">IF(I208&gt;=Upgrades!$E$10,"",Upgrades!$C$10*POWER(Upgrades!$D$10,I208))</f>
        <v/>
      </c>
      <c r="AL208" s="21" t="str">
        <f aca="false">IF(J208&gt;=Upgrades!$E$11,"",Upgrades!$C$11*POWER(Upgrades!$D$11,J208))</f>
        <v/>
      </c>
      <c r="AM208" s="21" t="str">
        <f aca="false">IF(K208&gt;=Upgrades!$E$12,"",Upgrades!$C$12*POWER(Upgrades!$D$12,K208))</f>
        <v/>
      </c>
      <c r="AN208" s="26" t="str">
        <f aca="false">IF(AND(D208&gt;=Parameters!$B$18,(H208&gt;=Upgrades!$E$9)*(K208&gt;=Upgrades!$E$12)=1,L208=0),1,"")</f>
        <v/>
      </c>
      <c r="AO208" s="26" t="str">
        <f aca="false">IF(AND(D208&gt;=Parameters!$B$18,L208=0),1,"")</f>
        <v/>
      </c>
      <c r="AP208" s="21" t="n">
        <f aca="false">MIN(IF(ISNUMBER(AK208),AK208,9000000000000000),IF(ISNUMBER(AL208),AL208,9000000000000000),IF(ISNUMBER(AM208),AM208,9000000000000000))</f>
        <v>9000000000000000</v>
      </c>
      <c r="AQ208" s="21" t="n">
        <f aca="false">MIN(IF(ISNUMBER(AG208),AG208,9000000000000000),IF(ISNUMBER(AH208),AH208,9000000000000000),IF(ISNUMBER(AI208),AI208,9000000000000000),IF(ISNUMBER(AJ208),AJ208,9000000000000000))</f>
        <v>37.4517507383159</v>
      </c>
      <c r="AR208" s="32" t="b">
        <f aca="false">IF(AW208&gt;Parameters!$B$21*(MAX(IF(AND(NOT(AND(AO208=1,AN208&lt;&gt;1)),ISNUMBER(AG208),AG208&lt;=T208),AS208,0),IF(AND(NOT(AND(AO208=1,AN208&lt;&gt;1)),ISNUMBER(AH208),AH208&lt;=T208),AT208,0),IF(AND(NOT(AND(AO208=1,AN208&lt;&gt;1)),ISNUMBER(AI208),AI208&lt;=T208),AU208,0),IF(AND(ISNUMBER(AJ208),AJ208&lt;=T208),AV208,0))),TRUE(),FALSE())</f>
        <v>1</v>
      </c>
      <c r="AS208" s="33" t="n">
        <f aca="false">IFERROR(Upgrades!$H$6*(POWER(Upgrades!$P$6,E208)*POWER(Upgrades!$P$7,F208)*POWER(Upgrades!$P$8,G208)*POWER(Upgrades!$P$9,H208)*POWER(Upgrades!$P$10,I208)*POWER(Upgrades!$P$11,J208)*POWER(Upgrades!$P$12,K208))*(IF(Upgrades!$T$7="Solar Wind",POWER(Upgrades!$U$7,F208),1)*IF(Upgrades!$T$8="Solar Wind",POWER(Upgrades!$U$8,G208),1)*IF(Upgrades!$T$9="Solar Wind",POWER(Upgrades!$U$9,H208),1)*IF(Upgrades!$T$10="Solar Wind",POWER(Upgrades!$U$10,I208),1)*IF(Upgrades!$T$11="Solar Wind",POWER(Upgrades!$U$11,J208),1)*IF(Upgrades!$T$12="Solar Wind",POWER(Upgrades!$U$12,K208),1))/AG208,0)</f>
        <v>0.0026701021455238</v>
      </c>
      <c r="AT208" s="33" t="n">
        <f aca="false">IFERROR(Upgrades!$H$7*(POWER(Upgrades!$P$6,E208)*POWER(Upgrades!$P$7,F208)*POWER(Upgrades!$P$8,G208)*POWER(Upgrades!$P$9,H208)*POWER(Upgrades!$P$10,I208)*POWER(Upgrades!$P$11,J208)*POWER(Upgrades!$P$12,K208))*(IF(Upgrades!$T$6="Asteroid Belt",POWER(Upgrades!$U$6,E208),1)*IF(Upgrades!$T$8="Asteroid Belt",POWER(Upgrades!$U$8,G208),1)*IF(Upgrades!$T$9="Asteroid Belt",POWER(Upgrades!$U$9,H208),1)*IF(Upgrades!$T$10="Asteroid Belt",POWER(Upgrades!$U$10,I208),1)*IF(Upgrades!$T$11="Asteroid Belt",POWER(Upgrades!$U$11,J208),1)*IF(Upgrades!$T$12="Asteroid Belt",POWER(Upgrades!$U$12,K208),1))/AH208,0)</f>
        <v>0.00308980882652332</v>
      </c>
      <c r="AU208" s="33" t="n">
        <f aca="false">IFERROR(Upgrades!$K$8*(POWER(Upgrades!$Q$6,E208)*POWER(Upgrades!$Q$7,F208)*POWER(Upgrades!$Q$8,G208)*POWER(Upgrades!$Q$9,H208)*POWER(Upgrades!$Q$10,I208)*POWER(Upgrades!$Q$11,J208)*POWER(Upgrades!$Q$12,K208))*(IF(Upgrades!$T$6="Stellar Coupling",POWER(Upgrades!$U$6,E208),1)*IF(Upgrades!$T$7="Stellar Coupling",POWER(Upgrades!$U$7,F208),1)*IF(Upgrades!$T$9="Stellar Coupling",POWER(Upgrades!$U$9,H208),1)*IF(Upgrades!$T$10="Stellar Coupling",POWER(Upgrades!$U$10,I208),1)*IF(Upgrades!$T$11="Stellar Coupling",POWER(Upgrades!$U$11,J208),1)*IF(Upgrades!$T$12="Stellar Coupling",POWER(Upgrades!$U$12,K208),1))*Parameters!$B$10*Parameters!$B$11/60/AI208,0)</f>
        <v>0.00452762415783776</v>
      </c>
      <c r="AV208" s="33" t="n">
        <f aca="false">IFERROR(Upgrades!$H$9*(POWER(Upgrades!$P$6,E208)*POWER(Upgrades!$P$7,F208)*POWER(Upgrades!$P$8,G208)*POWER(Upgrades!$P$9,H208)*POWER(Upgrades!$P$10,I208)*POWER(Upgrades!$P$11,J208)*POWER(Upgrades!$P$12,K208))*(IF(Upgrades!$T$6="Magnetosphere",POWER(Upgrades!$U$6,E208),1)*IF(Upgrades!$T$7="Magnetosphere",POWER(Upgrades!$U$7,F208),1)*IF(Upgrades!$T$8="Magnetosphere",POWER(Upgrades!$U$8,G208),1)*IF(Upgrades!$T$10="Magnetosphere",POWER(Upgrades!$U$10,I208),1)*IF(Upgrades!$T$11="Magnetosphere",POWER(Upgrades!$U$11,J208),1)*IF(Upgrades!$T$12="Magnetosphere",POWER(Upgrades!$U$12,K208),1))/AJ208,0)</f>
        <v>0</v>
      </c>
      <c r="AW208" s="33" t="n">
        <f aca="false">MAX(IF(I208&gt;0,0,IFERROR(0.25*N208/Upgrades!$C$10,0)),IF(J208&gt;0,0,IFERROR(0.5*((IF(G208=0,0,(Upgrades!$J$8+G208*Upgrades!$K$8)*POWER(Upgrades!$L$8,G208)))*(IF(Upgrades!$T$6="Stellar Coupling",POWER(Upgrades!$U$6,E208),1)*IF(Upgrades!$T$7="Stellar Coupling",POWER(Upgrades!$U$7,F208),1)*IF(Upgrades!$T$9="Stellar Coupling",POWER(Upgrades!$U$9,H208),1)*IF(Upgrades!$T$10="Stellar Coupling",POWER(Upgrades!$U$10,I208),1)*IF(Upgrades!$T$11="Stellar Coupling",POWER(Upgrades!$U$11,J208),1)*IF(Upgrades!$T$12="Stellar Coupling",POWER(Upgrades!$U$12,K208),1))*(POWER(Upgrades!$Q$6,E208)*POWER(Upgrades!$Q$7,F208)*POWER(Upgrades!$Q$8,G208)*POWER(Upgrades!$Q$9,H208)*POWER(Upgrades!$Q$10,I208)*POWER(Upgrades!$Q$11,J208)*POWER(Upgrades!$Q$12,K208))*Parameters!$B$10*Parameters!$B$11/60)/Upgrades!$C$11,0)),IF(K208&gt;0,0,IFERROR((1*(POWER(Upgrades!$P$6,E208)*POWER(Upgrades!$P$7,F208)*POWER(Upgrades!$P$8,G208)*POWER(Upgrades!$P$9,H208)*POWER(Upgrades!$P$10,I208)*POWER(Upgrades!$P$11,J208)*POWER(Upgrades!$P$12,K208))+0.2*M208*Parameters!$B$10*Parameters!$B$11/60)/Upgrades!$C$12,0)),IF(AND(ISNUMBER(AG208),AG208&gt;T208),AS208,0),IF(AND(ISNUMBER(AH208),AH208&gt;T208),AT208,0),IF(AND(ISNUMBER(AI208),AI208&gt;T208),AU208,0),IF(AND(ISNUMBER(AJ208),AJ208&gt;T208),AV208,0))</f>
        <v>0.00452762415783776</v>
      </c>
      <c r="AX208" s="29" t="str">
        <f aca="false">IF(AN208=1,"transition",IF(MIN(IF(AND(I208=0,ISNUMBER(AK208),AK208&lt;=T208),AK208,9000000000000000),IF(AND(J208=0,ISNUMBER(AL208),AL208&lt;=T208),AL208,9000000000000000),IF(AND(K208=0,ISNUMBER(AM208),AM208&lt;=T208),AM208,9000000000000000))&lt;9000000000000000,IF(AND(AND(I208=0,ISNUMBER(AK208),AK208&lt;=T208),AK208=MIN(IF(AND(I208=0,ISNUMBER(AK208),AK208&lt;=T208),AK208,9000000000000000),IF(AND(J208=0,ISNUMBER(AL208),AL208&lt;=T208),AL208,9000000000000000),IF(AND(K208=0,ISNUMBER(AM208),AM208&lt;=T208),AM208,9000000000000000))),"OR",IF(AND(AND(J208=0,ISNUMBER(AL208),AL208&lt;=T208),AL208=MIN(IF(AND(I208=0,ISNUMBER(AK208),AK208&lt;=T208),AK208,9000000000000000),IF(AND(J208=0,ISNUMBER(AL208),AL208&lt;=T208),AL208,9000000000000000),IF(AND(K208=0,ISNUMBER(AM208),AM208&lt;=T208),AM208,9000000000000000))),"HP","FP")),IF(AR208=TRUE(),"",IF(MAX(IF(AND(NOT(AND(AO208=1,AN208&lt;&gt;1)),ISNUMBER(AG208),AG208&lt;=T208),AS208,0),IF(AND(NOT(AND(AO208=1,AN208&lt;&gt;1)),ISNUMBER(AH208),AH208&lt;=T208),AT208,0),IF(AND(NOT(AND(AO208=1,AN208&lt;&gt;1)),ISNUMBER(AI208),AI208&lt;=T208),AU208,0),IF(AND(ISNUMBER(AJ208),AJ208&lt;=T208),AV208,0))&lt;=0,"",IF(AND(IF(AND(NOT(AND(AO208=1,AN208&lt;&gt;1)),ISNUMBER(AG208),AG208&lt;=T208),AS208,0)&gt;0,IF(AND(NOT(AND(AO208=1,AN208&lt;&gt;1)),ISNUMBER(AG208),AG208&lt;=T208),AS208,0)=MAX(IF(AND(NOT(AND(AO208=1,AN208&lt;&gt;1)),ISNUMBER(AG208),AG208&lt;=T208),AS208,0),IF(AND(NOT(AND(AO208=1,AN208&lt;&gt;1)),ISNUMBER(AH208),AH208&lt;=T208),AT208,0),IF(AND(NOT(AND(AO208=1,AN208&lt;&gt;1)),ISNUMBER(AI208),AI208&lt;=T208),AU208,0),IF(AND(ISNUMBER(AJ208),AJ208&lt;=T208),AV208,0))),"SW",IF(AND(IF(AND(NOT(AND(AO208=1,AN208&lt;&gt;1)),ISNUMBER(AH208),AH208&lt;=T208),AT208,0)&gt;0,IF(AND(NOT(AND(AO208=1,AN208&lt;&gt;1)),ISNUMBER(AH208),AH208&lt;=T208),AT208,0)=MAX(IF(AND(NOT(AND(AO208=1,AN208&lt;&gt;1)),ISNUMBER(AG208),AG208&lt;=T208),AS208,0),IF(AND(NOT(AND(AO208=1,AN208&lt;&gt;1)),ISNUMBER(AH208),AH208&lt;=T208),AT208,0),IF(AND(NOT(AND(AO208=1,AN208&lt;&gt;1)),ISNUMBER(AI208),AI208&lt;=T208),AU208,0),IF(AND(ISNUMBER(AJ208),AJ208&lt;=T208),AV208,0))),"AB",IF(AND(IF(AND(NOT(AND(AO208=1,AN208&lt;&gt;1)),ISNUMBER(AI208),AI208&lt;=T208),AU208,0)&gt;0,IF(AND(NOT(AND(AO208=1,AN208&lt;&gt;1)),ISNUMBER(AI208),AI208&lt;=T208),AU208,0)=MAX(IF(AND(NOT(AND(AO208=1,AN208&lt;&gt;1)),ISNUMBER(AG208),AG208&lt;=T208),AS208,0),IF(AND(NOT(AND(AO208=1,AN208&lt;&gt;1)),ISNUMBER(AH208),AH208&lt;=T208),AT208,0),IF(AND(NOT(AND(AO208=1,AN208&lt;&gt;1)),ISNUMBER(AI208),AI208&lt;=T208),AU208,0),IF(AND(ISNUMBER(AJ208),AJ208&lt;=T208),AV208,0))),"SC","Mag")))))))</f>
        <v/>
      </c>
    </row>
    <row r="209" customFormat="false" ht="15" hidden="false" customHeight="false" outlineLevel="0" collapsed="false">
      <c r="A209" s="26" t="n">
        <v>204</v>
      </c>
      <c r="B209" s="27" t="n">
        <f aca="false">A209*10/60</f>
        <v>34</v>
      </c>
      <c r="C209" s="21" t="n">
        <f aca="false">X208</f>
        <v>18.6730249835055</v>
      </c>
      <c r="D209" s="27" t="n">
        <f aca="false">D208+W208</f>
        <v>0</v>
      </c>
      <c r="E209" s="26" t="n">
        <f aca="false">E208+IF(U208="SW",1,0)</f>
        <v>12</v>
      </c>
      <c r="F209" s="26" t="n">
        <f aca="false">F208+IF(U208="AB",1,0)</f>
        <v>10</v>
      </c>
      <c r="G209" s="26" t="n">
        <f aca="false">G208+IF(U208="SC",1,0)</f>
        <v>7</v>
      </c>
      <c r="H209" s="26" t="n">
        <f aca="false">H208+IF(U208="Mag",1,0)</f>
        <v>5</v>
      </c>
      <c r="I209" s="26" t="n">
        <f aca="false">MAX(I208,IF(U208="OR",1,0))</f>
        <v>1</v>
      </c>
      <c r="J209" s="26" t="n">
        <f aca="false">MAX(J208,IF(U208="HP",1,0))</f>
        <v>1</v>
      </c>
      <c r="K209" s="26" t="n">
        <f aca="false">MAX(K208,IF(U208="FP",1,0))</f>
        <v>1</v>
      </c>
      <c r="L209" s="26" t="n">
        <f aca="false">MAX(L208,IF(U208="transition",1,0))</f>
        <v>1</v>
      </c>
      <c r="M209" s="28" t="n">
        <f aca="false">(Parameters!$B$9+(IF(E209=0,0,(Upgrades!$J$6+E209*Upgrades!$K$6)*POWER(Upgrades!$L$6,E209)))*(IF(Upgrades!$T$7="Solar Wind",POWER(Upgrades!$U$7,F209),1)*IF(Upgrades!$T$8="Solar Wind",POWER(Upgrades!$U$8,G209),1)*IF(Upgrades!$T$9="Solar Wind",POWER(Upgrades!$U$9,H209),1)*IF(Upgrades!$T$10="Solar Wind",POWER(Upgrades!$U$10,I209),1)*IF(Upgrades!$T$11="Solar Wind",POWER(Upgrades!$U$11,J209),1)*IF(Upgrades!$T$12="Solar Wind",POWER(Upgrades!$U$12,K209),1))+(IF(F209=0,0,(Upgrades!$J$7+F209*Upgrades!$K$7)*POWER(Upgrades!$L$7,F209)))*(IF(Upgrades!$T$6="Asteroid Belt",POWER(Upgrades!$U$6,E209),1)*IF(Upgrades!$T$8="Asteroid Belt",POWER(Upgrades!$U$8,G209),1)*IF(Upgrades!$T$9="Asteroid Belt",POWER(Upgrades!$U$9,H209),1)*IF(Upgrades!$T$10="Asteroid Belt",POWER(Upgrades!$U$10,I209),1)*IF(Upgrades!$T$11="Asteroid Belt",POWER(Upgrades!$U$11,J209),1)*IF(Upgrades!$T$12="Asteroid Belt",POWER(Upgrades!$U$12,K209),1))+(IF(G209=0,0,(Upgrades!$J$8+G209*Upgrades!$K$8)*POWER(Upgrades!$L$8,G209)))*(IF(Upgrades!$T$6="Stellar Coupling",POWER(Upgrades!$U$6,E209),1)*IF(Upgrades!$T$7="Stellar Coupling",POWER(Upgrades!$U$7,F209),1)*IF(Upgrades!$T$9="Stellar Coupling",POWER(Upgrades!$U$9,H209),1)*IF(Upgrades!$T$10="Stellar Coupling",POWER(Upgrades!$U$10,I209),1)*IF(Upgrades!$T$11="Stellar Coupling",POWER(Upgrades!$U$11,J209),1)*IF(Upgrades!$T$12="Stellar Coupling",POWER(Upgrades!$U$12,K209),1))+(IF(H209=0,0,(Upgrades!$J$9+H209*Upgrades!$K$9)*POWER(Upgrades!$L$9,H209)))*(IF(Upgrades!$T$6="Magnetosphere",POWER(Upgrades!$U$6,E209),1)*IF(Upgrades!$T$7="Magnetosphere",POWER(Upgrades!$U$7,F209),1)*IF(Upgrades!$T$8="Magnetosphere",POWER(Upgrades!$U$8,G209),1)*IF(Upgrades!$T$10="Magnetosphere",POWER(Upgrades!$U$10,I209),1)*IF(Upgrades!$T$11="Magnetosphere",POWER(Upgrades!$U$11,J209),1)*IF(Upgrades!$T$12="Magnetosphere",POWER(Upgrades!$U$12,K209),1))+(IF(I209=0,0,(Upgrades!$J$10+I209*Upgrades!$K$10)*POWER(Upgrades!$L$10,I209)))*(IF(Upgrades!$T$6="Orbital Resonance",POWER(Upgrades!$U$6,E209),1)*IF(Upgrades!$T$7="Orbital Resonance",POWER(Upgrades!$U$7,F209),1)*IF(Upgrades!$T$8="Orbital Resonance",POWER(Upgrades!$U$8,G209),1)*IF(Upgrades!$T$9="Orbital Resonance",POWER(Upgrades!$U$9,H209),1)*IF(Upgrades!$T$11="Orbital Resonance",POWER(Upgrades!$U$11,J209),1)*IF(Upgrades!$T$12="Orbital Resonance",POWER(Upgrades!$U$12,K209),1))+(IF(J209=0,0,(Upgrades!$J$11+J209*Upgrades!$K$11)*POWER(Upgrades!$L$11,J209)))*(IF(Upgrades!$T$6="Heliopause",POWER(Upgrades!$U$6,E209),1)*IF(Upgrades!$T$7="Heliopause",POWER(Upgrades!$U$7,F209),1)*IF(Upgrades!$T$8="Heliopause",POWER(Upgrades!$U$8,G209),1)*IF(Upgrades!$T$9="Heliopause",POWER(Upgrades!$U$9,H209),1)*IF(Upgrades!$T$10="Heliopause",POWER(Upgrades!$U$10,I209),1)*IF(Upgrades!$T$12="Heliopause",POWER(Upgrades!$U$12,K209),1))+(IF(K209=0,0,(Upgrades!$J$12+K209*Upgrades!$K$12)*POWER(Upgrades!$L$12,K209)))*(IF(Upgrades!$T$6="First Photons",POWER(Upgrades!$U$6,E209),1)*IF(Upgrades!$T$7="First Photons",POWER(Upgrades!$U$7,F209),1)*IF(Upgrades!$T$8="First Photons",POWER(Upgrades!$U$8,G209),1)*IF(Upgrades!$T$9="First Photons",POWER(Upgrades!$U$9,H209),1)*IF(Upgrades!$T$10="First Photons",POWER(Upgrades!$U$10,I209),1)*IF(Upgrades!$T$11="First Photons",POWER(Upgrades!$U$11,J209),1)))*POWER(Upgrades!$Q$6,E209)*POWER(Upgrades!$Q$7,F209)*POWER(Upgrades!$Q$8,G209)*POWER(Upgrades!$Q$9,H209)*POWER(Upgrades!$Q$10,I209)*POWER(Upgrades!$Q$11,J209)*POWER(Upgrades!$Q$12,K209)</f>
        <v>5.61</v>
      </c>
      <c r="N209" s="28" t="n">
        <f aca="false">((IF(E209=0,0,(Upgrades!$G$6+E209*Upgrades!$H$6)*POWER(Upgrades!$I$6,E209)))*(IF(Upgrades!$T$7="Solar Wind",POWER(Upgrades!$U$7,F209),1)*IF(Upgrades!$T$8="Solar Wind",POWER(Upgrades!$U$8,G209),1)*IF(Upgrades!$T$9="Solar Wind",POWER(Upgrades!$U$9,H209),1)*IF(Upgrades!$T$10="Solar Wind",POWER(Upgrades!$U$10,I209),1)*IF(Upgrades!$T$11="Solar Wind",POWER(Upgrades!$U$11,J209),1)*IF(Upgrades!$T$12="Solar Wind",POWER(Upgrades!$U$12,K209),1))+(IF(F209=0,0,(Upgrades!$G$7+F209*Upgrades!$H$7)*POWER(Upgrades!$I$7,F209)))*(IF(Upgrades!$T$6="Asteroid Belt",POWER(Upgrades!$U$6,E209),1)*IF(Upgrades!$T$8="Asteroid Belt",POWER(Upgrades!$U$8,G209),1)*IF(Upgrades!$T$9="Asteroid Belt",POWER(Upgrades!$U$9,H209),1)*IF(Upgrades!$T$10="Asteroid Belt",POWER(Upgrades!$U$10,I209),1)*IF(Upgrades!$T$11="Asteroid Belt",POWER(Upgrades!$U$11,J209),1)*IF(Upgrades!$T$12="Asteroid Belt",POWER(Upgrades!$U$12,K209),1))+(IF(G209=0,0,(Upgrades!$G$8+G209*Upgrades!$H$8)*POWER(Upgrades!$I$8,G209)))*(IF(Upgrades!$T$6="Stellar Coupling",POWER(Upgrades!$U$6,E209),1)*IF(Upgrades!$T$7="Stellar Coupling",POWER(Upgrades!$U$7,F209),1)*IF(Upgrades!$T$9="Stellar Coupling",POWER(Upgrades!$U$9,H209),1)*IF(Upgrades!$T$10="Stellar Coupling",POWER(Upgrades!$U$10,I209),1)*IF(Upgrades!$T$11="Stellar Coupling",POWER(Upgrades!$U$11,J209),1)*IF(Upgrades!$T$12="Stellar Coupling",POWER(Upgrades!$U$12,K209),1))+(IF(H209=0,0,(Upgrades!$G$9+H209*Upgrades!$H$9)*POWER(Upgrades!$I$9,H209)))*(IF(Upgrades!$T$6="Magnetosphere",POWER(Upgrades!$U$6,E209),1)*IF(Upgrades!$T$7="Magnetosphere",POWER(Upgrades!$U$7,F209),1)*IF(Upgrades!$T$8="Magnetosphere",POWER(Upgrades!$U$8,G209),1)*IF(Upgrades!$T$10="Magnetosphere",POWER(Upgrades!$U$10,I209),1)*IF(Upgrades!$T$11="Magnetosphere",POWER(Upgrades!$U$11,J209),1)*IF(Upgrades!$T$12="Magnetosphere",POWER(Upgrades!$U$12,K209),1))+(IF(I209=0,0,(Upgrades!$G$10+I209*Upgrades!$H$10)*POWER(Upgrades!$I$10,I209)))*(IF(Upgrades!$T$6="Orbital Resonance",POWER(Upgrades!$U$6,E209),1)*IF(Upgrades!$T$7="Orbital Resonance",POWER(Upgrades!$U$7,F209),1)*IF(Upgrades!$T$8="Orbital Resonance",POWER(Upgrades!$U$8,G209),1)*IF(Upgrades!$T$9="Orbital Resonance",POWER(Upgrades!$U$9,H209),1)*IF(Upgrades!$T$11="Orbital Resonance",POWER(Upgrades!$U$11,J209),1)*IF(Upgrades!$T$12="Orbital Resonance",POWER(Upgrades!$U$12,K209),1))+(IF(J209=0,0,(Upgrades!$G$11+J209*Upgrades!$H$11)*POWER(Upgrades!$I$11,J209)))*(IF(Upgrades!$T$6="Heliopause",POWER(Upgrades!$U$6,E209),1)*IF(Upgrades!$T$7="Heliopause",POWER(Upgrades!$U$7,F209),1)*IF(Upgrades!$T$8="Heliopause",POWER(Upgrades!$U$8,G209),1)*IF(Upgrades!$T$9="Heliopause",POWER(Upgrades!$U$9,H209),1)*IF(Upgrades!$T$10="Heliopause",POWER(Upgrades!$U$10,I209),1)*IF(Upgrades!$T$12="Heliopause",POWER(Upgrades!$U$12,K209),1))+(IF(K209=0,0,(Upgrades!$G$12+K209*Upgrades!$H$12)*POWER(Upgrades!$I$12,K209)))*(IF(Upgrades!$T$6="First Photons",POWER(Upgrades!$U$6,E209),1)*IF(Upgrades!$T$7="First Photons",POWER(Upgrades!$U$7,F209),1)*IF(Upgrades!$T$8="First Photons",POWER(Upgrades!$U$8,G209),1)*IF(Upgrades!$T$9="First Photons",POWER(Upgrades!$U$9,H209),1)*IF(Upgrades!$T$10="First Photons",POWER(Upgrades!$U$10,I209),1)*IF(Upgrades!$T$11="First Photons",POWER(Upgrades!$U$11,J209),1)))*POWER(Upgrades!$P$6,E209)*POWER(Upgrades!$P$7,F209)*POWER(Upgrades!$P$8,G209)*POWER(Upgrades!$P$9,H209)*POWER(Upgrades!$P$10,I209)*POWER(Upgrades!$P$11,J209)*POWER(Upgrades!$P$12,K209)</f>
        <v>11.2</v>
      </c>
      <c r="O209" s="28" t="n">
        <f aca="false">((IF(E209=0,0,(Upgrades!$M$6+E209*Upgrades!$N$6)*POWER(Upgrades!$O$6,E209)))*(IF(Upgrades!$T$7="Solar Wind",POWER(Upgrades!$U$7,F209),1)*IF(Upgrades!$T$8="Solar Wind",POWER(Upgrades!$U$8,G209),1)*IF(Upgrades!$T$9="Solar Wind",POWER(Upgrades!$U$9,H209),1)*IF(Upgrades!$T$10="Solar Wind",POWER(Upgrades!$U$10,I209),1)*IF(Upgrades!$T$11="Solar Wind",POWER(Upgrades!$U$11,J209),1)*IF(Upgrades!$T$12="Solar Wind",POWER(Upgrades!$U$12,K209),1))+(IF(F209=0,0,(Upgrades!$M$7+F209*Upgrades!$N$7)*POWER(Upgrades!$O$7,F209)))*(IF(Upgrades!$T$6="Asteroid Belt",POWER(Upgrades!$U$6,E209),1)*IF(Upgrades!$T$8="Asteroid Belt",POWER(Upgrades!$U$8,G209),1)*IF(Upgrades!$T$9="Asteroid Belt",POWER(Upgrades!$U$9,H209),1)*IF(Upgrades!$T$10="Asteroid Belt",POWER(Upgrades!$U$10,I209),1)*IF(Upgrades!$T$11="Asteroid Belt",POWER(Upgrades!$U$11,J209),1)*IF(Upgrades!$T$12="Asteroid Belt",POWER(Upgrades!$U$12,K209),1))+(IF(G209=0,0,(Upgrades!$M$8+G209*Upgrades!$N$8)*POWER(Upgrades!$O$8,G209)))*(IF(Upgrades!$T$6="Stellar Coupling",POWER(Upgrades!$U$6,E209),1)*IF(Upgrades!$T$7="Stellar Coupling",POWER(Upgrades!$U$7,F209),1)*IF(Upgrades!$T$9="Stellar Coupling",POWER(Upgrades!$U$9,H209),1)*IF(Upgrades!$T$10="Stellar Coupling",POWER(Upgrades!$U$10,I209),1)*IF(Upgrades!$T$11="Stellar Coupling",POWER(Upgrades!$U$11,J209),1)*IF(Upgrades!$T$12="Stellar Coupling",POWER(Upgrades!$U$12,K209),1))+(IF(H209=0,0,(Upgrades!$M$9+H209*Upgrades!$N$9)*POWER(Upgrades!$O$9,H209)))*(IF(Upgrades!$T$6="Magnetosphere",POWER(Upgrades!$U$6,E209),1)*IF(Upgrades!$T$7="Magnetosphere",POWER(Upgrades!$U$7,F209),1)*IF(Upgrades!$T$8="Magnetosphere",POWER(Upgrades!$U$8,G209),1)*IF(Upgrades!$T$10="Magnetosphere",POWER(Upgrades!$U$10,I209),1)*IF(Upgrades!$T$11="Magnetosphere",POWER(Upgrades!$U$11,J209),1)*IF(Upgrades!$T$12="Magnetosphere",POWER(Upgrades!$U$12,K209),1))+(IF(I209=0,0,(Upgrades!$M$10+I209*Upgrades!$N$10)*POWER(Upgrades!$O$10,I209)))*(IF(Upgrades!$T$6="Orbital Resonance",POWER(Upgrades!$U$6,E209),1)*IF(Upgrades!$T$7="Orbital Resonance",POWER(Upgrades!$U$7,F209),1)*IF(Upgrades!$T$8="Orbital Resonance",POWER(Upgrades!$U$8,G209),1)*IF(Upgrades!$T$9="Orbital Resonance",POWER(Upgrades!$U$9,H209),1)*IF(Upgrades!$T$11="Orbital Resonance",POWER(Upgrades!$U$11,J209),1)*IF(Upgrades!$T$12="Orbital Resonance",POWER(Upgrades!$U$12,K209),1))+(IF(J209=0,0,(Upgrades!$M$11+J209*Upgrades!$N$11)*POWER(Upgrades!$O$11,J209)))*(IF(Upgrades!$T$6="Heliopause",POWER(Upgrades!$U$6,E209),1)*IF(Upgrades!$T$7="Heliopause",POWER(Upgrades!$U$7,F209),1)*IF(Upgrades!$T$8="Heliopause",POWER(Upgrades!$U$8,G209),1)*IF(Upgrades!$T$9="Heliopause",POWER(Upgrades!$U$9,H209),1)*IF(Upgrades!$T$10="Heliopause",POWER(Upgrades!$U$10,I209),1)*IF(Upgrades!$T$12="Heliopause",POWER(Upgrades!$U$12,K209),1))+(IF(K209=0,0,(Upgrades!$M$12+K209*Upgrades!$N$12)*POWER(Upgrades!$O$12,K209)))*(IF(Upgrades!$T$6="First Photons",POWER(Upgrades!$U$6,E209),1)*IF(Upgrades!$T$7="First Photons",POWER(Upgrades!$U$7,F209),1)*IF(Upgrades!$T$8="First Photons",POWER(Upgrades!$U$8,G209),1)*IF(Upgrades!$T$9="First Photons",POWER(Upgrades!$U$9,H209),1)*IF(Upgrades!$T$10="First Photons",POWER(Upgrades!$U$10,I209),1)*IF(Upgrades!$T$11="First Photons",POWER(Upgrades!$U$11,J209),1)))*POWER(Upgrades!$R$6,E209)*POWER(Upgrades!$R$7,F209)*POWER(Upgrades!$R$8,G209)*POWER(Upgrades!$R$9,H209)*POWER(Upgrades!$R$10,I209)*POWER(Upgrades!$R$11,J209)*POWER(Upgrades!$R$12,K209)</f>
        <v>0</v>
      </c>
      <c r="P209" s="27" t="n">
        <f aca="false">IF(L209=1,0,M209*Parameters!$B$10/60*Parameters!$B$11*10)</f>
        <v>0</v>
      </c>
      <c r="Q209" s="27" t="n">
        <f aca="false">IF(L209=1,0,O209*M209*10)</f>
        <v>0</v>
      </c>
      <c r="R209" s="27" t="n">
        <f aca="false">IF(L209=1,0,N209*10)</f>
        <v>0</v>
      </c>
      <c r="S209" s="27" t="n">
        <f aca="false">P209+Q209+R209</f>
        <v>0</v>
      </c>
      <c r="T209" s="21" t="n">
        <f aca="false">C209+S209</f>
        <v>18.6730249835055</v>
      </c>
      <c r="U209" s="34" t="str">
        <f aca="false">AX209</f>
        <v/>
      </c>
      <c r="V209" s="21" t="n">
        <f aca="false">IF(U209="",0,IF(U209="transition",0,IF(U209="SW",AG209,IF(U209="AB",AH209,IF(U209="SC",AI209,IF(U209="Mag",AJ209,IF(U209="OR",AK209,IF(U209="HP",AL209,IF(U209="FP",AM209,0)))))))))</f>
        <v>0</v>
      </c>
      <c r="W209" s="27" t="n">
        <f aca="false">IF(U209="OR",Upgrades!$F$10,IF(U209="HP",Upgrades!$F$11,IF(U209="transition",-Parameters!$B$18,0)))</f>
        <v>0</v>
      </c>
      <c r="X209" s="21" t="n">
        <f aca="false">T209-V209</f>
        <v>18.6730249835055</v>
      </c>
      <c r="Y209" s="30" t="n">
        <f aca="false">M209*Parameters!$B$10/60*Parameters!$B$11+O209*M209+N209</f>
        <v>20.55</v>
      </c>
      <c r="Z209" s="35" t="str">
        <f aca="false">IF(U209="transition","→ Tier 2 (Stellar Neighborhood)",IF(U209="FP","First Photons — light begins, system quickens",IF(U209="HP","Heliopause acquired",IF(U209="OR","Orbital Resonance — passive multiplier active",IF(AND(AO209=1,L209=0,AN209&lt;&gt;1),"Cohesion ready (waiting on completionist upgrades)","")))))</f>
        <v/>
      </c>
      <c r="AA209" s="27" t="n">
        <f aca="false">(IF(E209=0,0,(Upgrades!$G$6+E209*Upgrades!$H$6)*POWER(Upgrades!$I$6,E209)))*(IF(Upgrades!$T$7="Solar Wind",POWER(Upgrades!$U$7,F209),1)*IF(Upgrades!$T$8="Solar Wind",POWER(Upgrades!$U$8,G209),1)*IF(Upgrades!$T$9="Solar Wind",POWER(Upgrades!$U$9,H209),1)*IF(Upgrades!$T$10="Solar Wind",POWER(Upgrades!$U$10,I209),1)*IF(Upgrades!$T$11="Solar Wind",POWER(Upgrades!$U$11,J209),1)*IF(Upgrades!$T$12="Solar Wind",POWER(Upgrades!$U$12,K209),1))*POWER(Upgrades!$P$6,E209)*POWER(Upgrades!$P$7,F209)*POWER(Upgrades!$P$8,G209)*POWER(Upgrades!$P$9,H209)*POWER(Upgrades!$P$10,I209)*POWER(Upgrades!$P$11,J209)*POWER(Upgrades!$P$12,K209)*60</f>
        <v>72</v>
      </c>
      <c r="AB209" s="27" t="n">
        <f aca="false">(IF(F209=0,0,(Upgrades!$G$7+F209*Upgrades!$H$7)*POWER(Upgrades!$I$7,F209)))*(IF(Upgrades!$T$6="Asteroid Belt",POWER(Upgrades!$U$6,E209),1)*IF(Upgrades!$T$8="Asteroid Belt",POWER(Upgrades!$U$8,G209),1)*IF(Upgrades!$T$9="Asteroid Belt",POWER(Upgrades!$U$9,H209),1)*IF(Upgrades!$T$10="Asteroid Belt",POWER(Upgrades!$U$10,I209),1)*IF(Upgrades!$T$11="Asteroid Belt",POWER(Upgrades!$U$11,J209),1)*IF(Upgrades!$T$12="Asteroid Belt",POWER(Upgrades!$U$12,K209),1))*POWER(Upgrades!$P$6,E209)*POWER(Upgrades!$P$7,F209)*POWER(Upgrades!$P$8,G209)*POWER(Upgrades!$P$9,H209)*POWER(Upgrades!$P$10,I209)*POWER(Upgrades!$P$11,J209)*POWER(Upgrades!$P$12,K209)*60</f>
        <v>150</v>
      </c>
      <c r="AC209" s="27" t="n">
        <f aca="false">(IF(G209=0,0,(Upgrades!$J$8+G209*Upgrades!$K$8)*POWER(Upgrades!$L$8,G209)))*(IF(Upgrades!$T$6="Stellar Coupling",POWER(Upgrades!$U$6,E209),1)*IF(Upgrades!$T$7="Stellar Coupling",POWER(Upgrades!$U$7,F209),1)*IF(Upgrades!$T$9="Stellar Coupling",POWER(Upgrades!$U$9,H209),1)*IF(Upgrades!$T$10="Stellar Coupling",POWER(Upgrades!$U$10,I209),1)*IF(Upgrades!$T$11="Stellar Coupling",POWER(Upgrades!$U$11,J209),1)*IF(Upgrades!$T$12="Stellar Coupling",POWER(Upgrades!$U$12,K209),1))*POWER(Upgrades!$Q$6,E209)*POWER(Upgrades!$Q$7,F209)*POWER(Upgrades!$Q$8,G209)*POWER(Upgrades!$Q$9,H209)*POWER(Upgrades!$Q$10,I209)*POWER(Upgrades!$Q$11,J209)*POWER(Upgrades!$Q$12,K209)*Parameters!$B$10*Parameters!$B$11</f>
        <v>441</v>
      </c>
      <c r="AD209" s="27" t="n">
        <f aca="false">(IF(H209=0,0,(Upgrades!$G$9+H209*Upgrades!$H$9)*POWER(Upgrades!$I$9,H209)))*(IF(Upgrades!$T$6="Magnetosphere",POWER(Upgrades!$U$6,E209),1)*IF(Upgrades!$T$7="Magnetosphere",POWER(Upgrades!$U$7,F209),1)*IF(Upgrades!$T$8="Magnetosphere",POWER(Upgrades!$U$8,G209),1)*IF(Upgrades!$T$10="Magnetosphere",POWER(Upgrades!$U$10,I209),1)*IF(Upgrades!$T$11="Magnetosphere",POWER(Upgrades!$U$11,J209),1)*IF(Upgrades!$T$12="Magnetosphere",POWER(Upgrades!$U$12,K209),1))*POWER(Upgrades!$P$6,E209)*POWER(Upgrades!$P$7,F209)*POWER(Upgrades!$P$8,G209)*POWER(Upgrades!$P$9,H209)*POWER(Upgrades!$P$10,I209)*POWER(Upgrades!$P$11,J209)*POWER(Upgrades!$P$12,K209)*60</f>
        <v>375</v>
      </c>
      <c r="AE209" s="27" t="n">
        <f aca="false">(IF(K209=0,0,(Upgrades!$G$12+K209*Upgrades!$H$12)*POWER(Upgrades!$I$12,K209)))*(IF(Upgrades!$T$6="First Photons",POWER(Upgrades!$U$6,E209),1)*IF(Upgrades!$T$7="First Photons",POWER(Upgrades!$U$7,F209),1)*IF(Upgrades!$T$8="First Photons",POWER(Upgrades!$U$8,G209),1)*IF(Upgrades!$T$9="First Photons",POWER(Upgrades!$U$9,H209),1)*IF(Upgrades!$T$10="First Photons",POWER(Upgrades!$U$10,I209),1)*IF(Upgrades!$T$11="First Photons",POWER(Upgrades!$U$11,J209),1))*POWER(Upgrades!$P$6,E209)*POWER(Upgrades!$P$7,F209)*POWER(Upgrades!$P$8,G209)*POWER(Upgrades!$P$9,H209)*POWER(Upgrades!$P$10,I209)*POWER(Upgrades!$P$11,J209)*POWER(Upgrades!$P$12,K209)*60</f>
        <v>75</v>
      </c>
      <c r="AF209" s="27" t="n">
        <f aca="false">Parameters!$B$9*POWER(Upgrades!$Q$6,E209)*POWER(Upgrades!$Q$7,F209)*POWER(Upgrades!$Q$8,G209)*POWER(Upgrades!$Q$9,H209)*POWER(Upgrades!$Q$10,I209)*POWER(Upgrades!$Q$11,J209)*POWER(Upgrades!$Q$12,K209)*(Parameters!$B$10*Parameters!$B$11+O209*60)</f>
        <v>120</v>
      </c>
      <c r="AG209" s="21" t="n">
        <f aca="false">IF(E209&gt;=Upgrades!$E$6,"",Upgrades!$C$6*POWER(Upgrades!$D$6,E209))</f>
        <v>37.4517507383159</v>
      </c>
      <c r="AH209" s="21" t="n">
        <f aca="false">IF(F209&gt;=Upgrades!$E$7,"",Upgrades!$C$7*POWER(Upgrades!$D$7,F209))</f>
        <v>80.9111547141581</v>
      </c>
      <c r="AI209" s="21" t="n">
        <f aca="false">IF(G209&gt;=Upgrades!$E$8,"",Upgrades!$C$8*POWER(Upgrades!$D$8,G209))</f>
        <v>231.9097088</v>
      </c>
      <c r="AJ209" s="21" t="str">
        <f aca="false">IF(H209&gt;=Upgrades!$E$9,"",Upgrades!$C$9*POWER(Upgrades!$D$9,H209))</f>
        <v/>
      </c>
      <c r="AK209" s="21" t="str">
        <f aca="false">IF(I209&gt;=Upgrades!$E$10,"",Upgrades!$C$10*POWER(Upgrades!$D$10,I209))</f>
        <v/>
      </c>
      <c r="AL209" s="21" t="str">
        <f aca="false">IF(J209&gt;=Upgrades!$E$11,"",Upgrades!$C$11*POWER(Upgrades!$D$11,J209))</f>
        <v/>
      </c>
      <c r="AM209" s="21" t="str">
        <f aca="false">IF(K209&gt;=Upgrades!$E$12,"",Upgrades!$C$12*POWER(Upgrades!$D$12,K209))</f>
        <v/>
      </c>
      <c r="AN209" s="26" t="str">
        <f aca="false">IF(AND(D209&gt;=Parameters!$B$18,(H209&gt;=Upgrades!$E$9)*(K209&gt;=Upgrades!$E$12)=1,L209=0),1,"")</f>
        <v/>
      </c>
      <c r="AO209" s="26" t="str">
        <f aca="false">IF(AND(D209&gt;=Parameters!$B$18,L209=0),1,"")</f>
        <v/>
      </c>
      <c r="AP209" s="21" t="n">
        <f aca="false">MIN(IF(ISNUMBER(AK209),AK209,9000000000000000),IF(ISNUMBER(AL209),AL209,9000000000000000),IF(ISNUMBER(AM209),AM209,9000000000000000))</f>
        <v>9000000000000000</v>
      </c>
      <c r="AQ209" s="21" t="n">
        <f aca="false">MIN(IF(ISNUMBER(AG209),AG209,9000000000000000),IF(ISNUMBER(AH209),AH209,9000000000000000),IF(ISNUMBER(AI209),AI209,9000000000000000),IF(ISNUMBER(AJ209),AJ209,9000000000000000))</f>
        <v>37.4517507383159</v>
      </c>
      <c r="AR209" s="32" t="b">
        <f aca="false">IF(AW209&gt;Parameters!$B$21*(MAX(IF(AND(NOT(AND(AO209=1,AN209&lt;&gt;1)),ISNUMBER(AG209),AG209&lt;=T209),AS209,0),IF(AND(NOT(AND(AO209=1,AN209&lt;&gt;1)),ISNUMBER(AH209),AH209&lt;=T209),AT209,0),IF(AND(NOT(AND(AO209=1,AN209&lt;&gt;1)),ISNUMBER(AI209),AI209&lt;=T209),AU209,0),IF(AND(ISNUMBER(AJ209),AJ209&lt;=T209),AV209,0))),TRUE(),FALSE())</f>
        <v>1</v>
      </c>
      <c r="AS209" s="33" t="n">
        <f aca="false">IFERROR(Upgrades!$H$6*(POWER(Upgrades!$P$6,E209)*POWER(Upgrades!$P$7,F209)*POWER(Upgrades!$P$8,G209)*POWER(Upgrades!$P$9,H209)*POWER(Upgrades!$P$10,I209)*POWER(Upgrades!$P$11,J209)*POWER(Upgrades!$P$12,K209))*(IF(Upgrades!$T$7="Solar Wind",POWER(Upgrades!$U$7,F209),1)*IF(Upgrades!$T$8="Solar Wind",POWER(Upgrades!$U$8,G209),1)*IF(Upgrades!$T$9="Solar Wind",POWER(Upgrades!$U$9,H209),1)*IF(Upgrades!$T$10="Solar Wind",POWER(Upgrades!$U$10,I209),1)*IF(Upgrades!$T$11="Solar Wind",POWER(Upgrades!$U$11,J209),1)*IF(Upgrades!$T$12="Solar Wind",POWER(Upgrades!$U$12,K209),1))/AG209,0)</f>
        <v>0.0026701021455238</v>
      </c>
      <c r="AT209" s="33" t="n">
        <f aca="false">IFERROR(Upgrades!$H$7*(POWER(Upgrades!$P$6,E209)*POWER(Upgrades!$P$7,F209)*POWER(Upgrades!$P$8,G209)*POWER(Upgrades!$P$9,H209)*POWER(Upgrades!$P$10,I209)*POWER(Upgrades!$P$11,J209)*POWER(Upgrades!$P$12,K209))*(IF(Upgrades!$T$6="Asteroid Belt",POWER(Upgrades!$U$6,E209),1)*IF(Upgrades!$T$8="Asteroid Belt",POWER(Upgrades!$U$8,G209),1)*IF(Upgrades!$T$9="Asteroid Belt",POWER(Upgrades!$U$9,H209),1)*IF(Upgrades!$T$10="Asteroid Belt",POWER(Upgrades!$U$10,I209),1)*IF(Upgrades!$T$11="Asteroid Belt",POWER(Upgrades!$U$11,J209),1)*IF(Upgrades!$T$12="Asteroid Belt",POWER(Upgrades!$U$12,K209),1))/AH209,0)</f>
        <v>0.00308980882652332</v>
      </c>
      <c r="AU209" s="33" t="n">
        <f aca="false">IFERROR(Upgrades!$K$8*(POWER(Upgrades!$Q$6,E209)*POWER(Upgrades!$Q$7,F209)*POWER(Upgrades!$Q$8,G209)*POWER(Upgrades!$Q$9,H209)*POWER(Upgrades!$Q$10,I209)*POWER(Upgrades!$Q$11,J209)*POWER(Upgrades!$Q$12,K209))*(IF(Upgrades!$T$6="Stellar Coupling",POWER(Upgrades!$U$6,E209),1)*IF(Upgrades!$T$7="Stellar Coupling",POWER(Upgrades!$U$7,F209),1)*IF(Upgrades!$T$9="Stellar Coupling",POWER(Upgrades!$U$9,H209),1)*IF(Upgrades!$T$10="Stellar Coupling",POWER(Upgrades!$U$10,I209),1)*IF(Upgrades!$T$11="Stellar Coupling",POWER(Upgrades!$U$11,J209),1)*IF(Upgrades!$T$12="Stellar Coupling",POWER(Upgrades!$U$12,K209),1))*Parameters!$B$10*Parameters!$B$11/60/AI209,0)</f>
        <v>0.00452762415783776</v>
      </c>
      <c r="AV209" s="33" t="n">
        <f aca="false">IFERROR(Upgrades!$H$9*(POWER(Upgrades!$P$6,E209)*POWER(Upgrades!$P$7,F209)*POWER(Upgrades!$P$8,G209)*POWER(Upgrades!$P$9,H209)*POWER(Upgrades!$P$10,I209)*POWER(Upgrades!$P$11,J209)*POWER(Upgrades!$P$12,K209))*(IF(Upgrades!$T$6="Magnetosphere",POWER(Upgrades!$U$6,E209),1)*IF(Upgrades!$T$7="Magnetosphere",POWER(Upgrades!$U$7,F209),1)*IF(Upgrades!$T$8="Magnetosphere",POWER(Upgrades!$U$8,G209),1)*IF(Upgrades!$T$10="Magnetosphere",POWER(Upgrades!$U$10,I209),1)*IF(Upgrades!$T$11="Magnetosphere",POWER(Upgrades!$U$11,J209),1)*IF(Upgrades!$T$12="Magnetosphere",POWER(Upgrades!$U$12,K209),1))/AJ209,0)</f>
        <v>0</v>
      </c>
      <c r="AW209" s="33" t="n">
        <f aca="false">MAX(IF(I209&gt;0,0,IFERROR(0.25*N209/Upgrades!$C$10,0)),IF(J209&gt;0,0,IFERROR(0.5*((IF(G209=0,0,(Upgrades!$J$8+G209*Upgrades!$K$8)*POWER(Upgrades!$L$8,G209)))*(IF(Upgrades!$T$6="Stellar Coupling",POWER(Upgrades!$U$6,E209),1)*IF(Upgrades!$T$7="Stellar Coupling",POWER(Upgrades!$U$7,F209),1)*IF(Upgrades!$T$9="Stellar Coupling",POWER(Upgrades!$U$9,H209),1)*IF(Upgrades!$T$10="Stellar Coupling",POWER(Upgrades!$U$10,I209),1)*IF(Upgrades!$T$11="Stellar Coupling",POWER(Upgrades!$U$11,J209),1)*IF(Upgrades!$T$12="Stellar Coupling",POWER(Upgrades!$U$12,K209),1))*(POWER(Upgrades!$Q$6,E209)*POWER(Upgrades!$Q$7,F209)*POWER(Upgrades!$Q$8,G209)*POWER(Upgrades!$Q$9,H209)*POWER(Upgrades!$Q$10,I209)*POWER(Upgrades!$Q$11,J209)*POWER(Upgrades!$Q$12,K209))*Parameters!$B$10*Parameters!$B$11/60)/Upgrades!$C$11,0)),IF(K209&gt;0,0,IFERROR((1*(POWER(Upgrades!$P$6,E209)*POWER(Upgrades!$P$7,F209)*POWER(Upgrades!$P$8,G209)*POWER(Upgrades!$P$9,H209)*POWER(Upgrades!$P$10,I209)*POWER(Upgrades!$P$11,J209)*POWER(Upgrades!$P$12,K209))+0.2*M209*Parameters!$B$10*Parameters!$B$11/60)/Upgrades!$C$12,0)),IF(AND(ISNUMBER(AG209),AG209&gt;T209),AS209,0),IF(AND(ISNUMBER(AH209),AH209&gt;T209),AT209,0),IF(AND(ISNUMBER(AI209),AI209&gt;T209),AU209,0),IF(AND(ISNUMBER(AJ209),AJ209&gt;T209),AV209,0))</f>
        <v>0.00452762415783776</v>
      </c>
      <c r="AX209" s="29" t="str">
        <f aca="false">IF(AN209=1,"transition",IF(MIN(IF(AND(I209=0,ISNUMBER(AK209),AK209&lt;=T209),AK209,9000000000000000),IF(AND(J209=0,ISNUMBER(AL209),AL209&lt;=T209),AL209,9000000000000000),IF(AND(K209=0,ISNUMBER(AM209),AM209&lt;=T209),AM209,9000000000000000))&lt;9000000000000000,IF(AND(AND(I209=0,ISNUMBER(AK209),AK209&lt;=T209),AK209=MIN(IF(AND(I209=0,ISNUMBER(AK209),AK209&lt;=T209),AK209,9000000000000000),IF(AND(J209=0,ISNUMBER(AL209),AL209&lt;=T209),AL209,9000000000000000),IF(AND(K209=0,ISNUMBER(AM209),AM209&lt;=T209),AM209,9000000000000000))),"OR",IF(AND(AND(J209=0,ISNUMBER(AL209),AL209&lt;=T209),AL209=MIN(IF(AND(I209=0,ISNUMBER(AK209),AK209&lt;=T209),AK209,9000000000000000),IF(AND(J209=0,ISNUMBER(AL209),AL209&lt;=T209),AL209,9000000000000000),IF(AND(K209=0,ISNUMBER(AM209),AM209&lt;=T209),AM209,9000000000000000))),"HP","FP")),IF(AR209=TRUE(),"",IF(MAX(IF(AND(NOT(AND(AO209=1,AN209&lt;&gt;1)),ISNUMBER(AG209),AG209&lt;=T209),AS209,0),IF(AND(NOT(AND(AO209=1,AN209&lt;&gt;1)),ISNUMBER(AH209),AH209&lt;=T209),AT209,0),IF(AND(NOT(AND(AO209=1,AN209&lt;&gt;1)),ISNUMBER(AI209),AI209&lt;=T209),AU209,0),IF(AND(ISNUMBER(AJ209),AJ209&lt;=T209),AV209,0))&lt;=0,"",IF(AND(IF(AND(NOT(AND(AO209=1,AN209&lt;&gt;1)),ISNUMBER(AG209),AG209&lt;=T209),AS209,0)&gt;0,IF(AND(NOT(AND(AO209=1,AN209&lt;&gt;1)),ISNUMBER(AG209),AG209&lt;=T209),AS209,0)=MAX(IF(AND(NOT(AND(AO209=1,AN209&lt;&gt;1)),ISNUMBER(AG209),AG209&lt;=T209),AS209,0),IF(AND(NOT(AND(AO209=1,AN209&lt;&gt;1)),ISNUMBER(AH209),AH209&lt;=T209),AT209,0),IF(AND(NOT(AND(AO209=1,AN209&lt;&gt;1)),ISNUMBER(AI209),AI209&lt;=T209),AU209,0),IF(AND(ISNUMBER(AJ209),AJ209&lt;=T209),AV209,0))),"SW",IF(AND(IF(AND(NOT(AND(AO209=1,AN209&lt;&gt;1)),ISNUMBER(AH209),AH209&lt;=T209),AT209,0)&gt;0,IF(AND(NOT(AND(AO209=1,AN209&lt;&gt;1)),ISNUMBER(AH209),AH209&lt;=T209),AT209,0)=MAX(IF(AND(NOT(AND(AO209=1,AN209&lt;&gt;1)),ISNUMBER(AG209),AG209&lt;=T209),AS209,0),IF(AND(NOT(AND(AO209=1,AN209&lt;&gt;1)),ISNUMBER(AH209),AH209&lt;=T209),AT209,0),IF(AND(NOT(AND(AO209=1,AN209&lt;&gt;1)),ISNUMBER(AI209),AI209&lt;=T209),AU209,0),IF(AND(ISNUMBER(AJ209),AJ209&lt;=T209),AV209,0))),"AB",IF(AND(IF(AND(NOT(AND(AO209=1,AN209&lt;&gt;1)),ISNUMBER(AI209),AI209&lt;=T209),AU209,0)&gt;0,IF(AND(NOT(AND(AO209=1,AN209&lt;&gt;1)),ISNUMBER(AI209),AI209&lt;=T209),AU209,0)=MAX(IF(AND(NOT(AND(AO209=1,AN209&lt;&gt;1)),ISNUMBER(AG209),AG209&lt;=T209),AS209,0),IF(AND(NOT(AND(AO209=1,AN209&lt;&gt;1)),ISNUMBER(AH209),AH209&lt;=T209),AT209,0),IF(AND(NOT(AND(AO209=1,AN209&lt;&gt;1)),ISNUMBER(AI209),AI209&lt;=T209),AU209,0),IF(AND(ISNUMBER(AJ209),AJ209&lt;=T209),AV209,0))),"SC","Mag")))))))</f>
        <v/>
      </c>
    </row>
    <row r="210" customFormat="false" ht="15" hidden="false" customHeight="false" outlineLevel="0" collapsed="false">
      <c r="A210" s="26" t="n">
        <v>205</v>
      </c>
      <c r="B210" s="27" t="n">
        <f aca="false">A210*10/60</f>
        <v>34.1666666666667</v>
      </c>
      <c r="C210" s="21" t="n">
        <f aca="false">X209</f>
        <v>18.6730249835055</v>
      </c>
      <c r="D210" s="27" t="n">
        <f aca="false">D209+W209</f>
        <v>0</v>
      </c>
      <c r="E210" s="26" t="n">
        <f aca="false">E209+IF(U209="SW",1,0)</f>
        <v>12</v>
      </c>
      <c r="F210" s="26" t="n">
        <f aca="false">F209+IF(U209="AB",1,0)</f>
        <v>10</v>
      </c>
      <c r="G210" s="26" t="n">
        <f aca="false">G209+IF(U209="SC",1,0)</f>
        <v>7</v>
      </c>
      <c r="H210" s="26" t="n">
        <f aca="false">H209+IF(U209="Mag",1,0)</f>
        <v>5</v>
      </c>
      <c r="I210" s="26" t="n">
        <f aca="false">MAX(I209,IF(U209="OR",1,0))</f>
        <v>1</v>
      </c>
      <c r="J210" s="26" t="n">
        <f aca="false">MAX(J209,IF(U209="HP",1,0))</f>
        <v>1</v>
      </c>
      <c r="K210" s="26" t="n">
        <f aca="false">MAX(K209,IF(U209="FP",1,0))</f>
        <v>1</v>
      </c>
      <c r="L210" s="26" t="n">
        <f aca="false">MAX(L209,IF(U209="transition",1,0))</f>
        <v>1</v>
      </c>
      <c r="M210" s="28" t="n">
        <f aca="false">(Parameters!$B$9+(IF(E210=0,0,(Upgrades!$J$6+E210*Upgrades!$K$6)*POWER(Upgrades!$L$6,E210)))*(IF(Upgrades!$T$7="Solar Wind",POWER(Upgrades!$U$7,F210),1)*IF(Upgrades!$T$8="Solar Wind",POWER(Upgrades!$U$8,G210),1)*IF(Upgrades!$T$9="Solar Wind",POWER(Upgrades!$U$9,H210),1)*IF(Upgrades!$T$10="Solar Wind",POWER(Upgrades!$U$10,I210),1)*IF(Upgrades!$T$11="Solar Wind",POWER(Upgrades!$U$11,J210),1)*IF(Upgrades!$T$12="Solar Wind",POWER(Upgrades!$U$12,K210),1))+(IF(F210=0,0,(Upgrades!$J$7+F210*Upgrades!$K$7)*POWER(Upgrades!$L$7,F210)))*(IF(Upgrades!$T$6="Asteroid Belt",POWER(Upgrades!$U$6,E210),1)*IF(Upgrades!$T$8="Asteroid Belt",POWER(Upgrades!$U$8,G210),1)*IF(Upgrades!$T$9="Asteroid Belt",POWER(Upgrades!$U$9,H210),1)*IF(Upgrades!$T$10="Asteroid Belt",POWER(Upgrades!$U$10,I210),1)*IF(Upgrades!$T$11="Asteroid Belt",POWER(Upgrades!$U$11,J210),1)*IF(Upgrades!$T$12="Asteroid Belt",POWER(Upgrades!$U$12,K210),1))+(IF(G210=0,0,(Upgrades!$J$8+G210*Upgrades!$K$8)*POWER(Upgrades!$L$8,G210)))*(IF(Upgrades!$T$6="Stellar Coupling",POWER(Upgrades!$U$6,E210),1)*IF(Upgrades!$T$7="Stellar Coupling",POWER(Upgrades!$U$7,F210),1)*IF(Upgrades!$T$9="Stellar Coupling",POWER(Upgrades!$U$9,H210),1)*IF(Upgrades!$T$10="Stellar Coupling",POWER(Upgrades!$U$10,I210),1)*IF(Upgrades!$T$11="Stellar Coupling",POWER(Upgrades!$U$11,J210),1)*IF(Upgrades!$T$12="Stellar Coupling",POWER(Upgrades!$U$12,K210),1))+(IF(H210=0,0,(Upgrades!$J$9+H210*Upgrades!$K$9)*POWER(Upgrades!$L$9,H210)))*(IF(Upgrades!$T$6="Magnetosphere",POWER(Upgrades!$U$6,E210),1)*IF(Upgrades!$T$7="Magnetosphere",POWER(Upgrades!$U$7,F210),1)*IF(Upgrades!$T$8="Magnetosphere",POWER(Upgrades!$U$8,G210),1)*IF(Upgrades!$T$10="Magnetosphere",POWER(Upgrades!$U$10,I210),1)*IF(Upgrades!$T$11="Magnetosphere",POWER(Upgrades!$U$11,J210),1)*IF(Upgrades!$T$12="Magnetosphere",POWER(Upgrades!$U$12,K210),1))+(IF(I210=0,0,(Upgrades!$J$10+I210*Upgrades!$K$10)*POWER(Upgrades!$L$10,I210)))*(IF(Upgrades!$T$6="Orbital Resonance",POWER(Upgrades!$U$6,E210),1)*IF(Upgrades!$T$7="Orbital Resonance",POWER(Upgrades!$U$7,F210),1)*IF(Upgrades!$T$8="Orbital Resonance",POWER(Upgrades!$U$8,G210),1)*IF(Upgrades!$T$9="Orbital Resonance",POWER(Upgrades!$U$9,H210),1)*IF(Upgrades!$T$11="Orbital Resonance",POWER(Upgrades!$U$11,J210),1)*IF(Upgrades!$T$12="Orbital Resonance",POWER(Upgrades!$U$12,K210),1))+(IF(J210=0,0,(Upgrades!$J$11+J210*Upgrades!$K$11)*POWER(Upgrades!$L$11,J210)))*(IF(Upgrades!$T$6="Heliopause",POWER(Upgrades!$U$6,E210),1)*IF(Upgrades!$T$7="Heliopause",POWER(Upgrades!$U$7,F210),1)*IF(Upgrades!$T$8="Heliopause",POWER(Upgrades!$U$8,G210),1)*IF(Upgrades!$T$9="Heliopause",POWER(Upgrades!$U$9,H210),1)*IF(Upgrades!$T$10="Heliopause",POWER(Upgrades!$U$10,I210),1)*IF(Upgrades!$T$12="Heliopause",POWER(Upgrades!$U$12,K210),1))+(IF(K210=0,0,(Upgrades!$J$12+K210*Upgrades!$K$12)*POWER(Upgrades!$L$12,K210)))*(IF(Upgrades!$T$6="First Photons",POWER(Upgrades!$U$6,E210),1)*IF(Upgrades!$T$7="First Photons",POWER(Upgrades!$U$7,F210),1)*IF(Upgrades!$T$8="First Photons",POWER(Upgrades!$U$8,G210),1)*IF(Upgrades!$T$9="First Photons",POWER(Upgrades!$U$9,H210),1)*IF(Upgrades!$T$10="First Photons",POWER(Upgrades!$U$10,I210),1)*IF(Upgrades!$T$11="First Photons",POWER(Upgrades!$U$11,J210),1)))*POWER(Upgrades!$Q$6,E210)*POWER(Upgrades!$Q$7,F210)*POWER(Upgrades!$Q$8,G210)*POWER(Upgrades!$Q$9,H210)*POWER(Upgrades!$Q$10,I210)*POWER(Upgrades!$Q$11,J210)*POWER(Upgrades!$Q$12,K210)</f>
        <v>5.61</v>
      </c>
      <c r="N210" s="28" t="n">
        <f aca="false">((IF(E210=0,0,(Upgrades!$G$6+E210*Upgrades!$H$6)*POWER(Upgrades!$I$6,E210)))*(IF(Upgrades!$T$7="Solar Wind",POWER(Upgrades!$U$7,F210),1)*IF(Upgrades!$T$8="Solar Wind",POWER(Upgrades!$U$8,G210),1)*IF(Upgrades!$T$9="Solar Wind",POWER(Upgrades!$U$9,H210),1)*IF(Upgrades!$T$10="Solar Wind",POWER(Upgrades!$U$10,I210),1)*IF(Upgrades!$T$11="Solar Wind",POWER(Upgrades!$U$11,J210),1)*IF(Upgrades!$T$12="Solar Wind",POWER(Upgrades!$U$12,K210),1))+(IF(F210=0,0,(Upgrades!$G$7+F210*Upgrades!$H$7)*POWER(Upgrades!$I$7,F210)))*(IF(Upgrades!$T$6="Asteroid Belt",POWER(Upgrades!$U$6,E210),1)*IF(Upgrades!$T$8="Asteroid Belt",POWER(Upgrades!$U$8,G210),1)*IF(Upgrades!$T$9="Asteroid Belt",POWER(Upgrades!$U$9,H210),1)*IF(Upgrades!$T$10="Asteroid Belt",POWER(Upgrades!$U$10,I210),1)*IF(Upgrades!$T$11="Asteroid Belt",POWER(Upgrades!$U$11,J210),1)*IF(Upgrades!$T$12="Asteroid Belt",POWER(Upgrades!$U$12,K210),1))+(IF(G210=0,0,(Upgrades!$G$8+G210*Upgrades!$H$8)*POWER(Upgrades!$I$8,G210)))*(IF(Upgrades!$T$6="Stellar Coupling",POWER(Upgrades!$U$6,E210),1)*IF(Upgrades!$T$7="Stellar Coupling",POWER(Upgrades!$U$7,F210),1)*IF(Upgrades!$T$9="Stellar Coupling",POWER(Upgrades!$U$9,H210),1)*IF(Upgrades!$T$10="Stellar Coupling",POWER(Upgrades!$U$10,I210),1)*IF(Upgrades!$T$11="Stellar Coupling",POWER(Upgrades!$U$11,J210),1)*IF(Upgrades!$T$12="Stellar Coupling",POWER(Upgrades!$U$12,K210),1))+(IF(H210=0,0,(Upgrades!$G$9+H210*Upgrades!$H$9)*POWER(Upgrades!$I$9,H210)))*(IF(Upgrades!$T$6="Magnetosphere",POWER(Upgrades!$U$6,E210),1)*IF(Upgrades!$T$7="Magnetosphere",POWER(Upgrades!$U$7,F210),1)*IF(Upgrades!$T$8="Magnetosphere",POWER(Upgrades!$U$8,G210),1)*IF(Upgrades!$T$10="Magnetosphere",POWER(Upgrades!$U$10,I210),1)*IF(Upgrades!$T$11="Magnetosphere",POWER(Upgrades!$U$11,J210),1)*IF(Upgrades!$T$12="Magnetosphere",POWER(Upgrades!$U$12,K210),1))+(IF(I210=0,0,(Upgrades!$G$10+I210*Upgrades!$H$10)*POWER(Upgrades!$I$10,I210)))*(IF(Upgrades!$T$6="Orbital Resonance",POWER(Upgrades!$U$6,E210),1)*IF(Upgrades!$T$7="Orbital Resonance",POWER(Upgrades!$U$7,F210),1)*IF(Upgrades!$T$8="Orbital Resonance",POWER(Upgrades!$U$8,G210),1)*IF(Upgrades!$T$9="Orbital Resonance",POWER(Upgrades!$U$9,H210),1)*IF(Upgrades!$T$11="Orbital Resonance",POWER(Upgrades!$U$11,J210),1)*IF(Upgrades!$T$12="Orbital Resonance",POWER(Upgrades!$U$12,K210),1))+(IF(J210=0,0,(Upgrades!$G$11+J210*Upgrades!$H$11)*POWER(Upgrades!$I$11,J210)))*(IF(Upgrades!$T$6="Heliopause",POWER(Upgrades!$U$6,E210),1)*IF(Upgrades!$T$7="Heliopause",POWER(Upgrades!$U$7,F210),1)*IF(Upgrades!$T$8="Heliopause",POWER(Upgrades!$U$8,G210),1)*IF(Upgrades!$T$9="Heliopause",POWER(Upgrades!$U$9,H210),1)*IF(Upgrades!$T$10="Heliopause",POWER(Upgrades!$U$10,I210),1)*IF(Upgrades!$T$12="Heliopause",POWER(Upgrades!$U$12,K210),1))+(IF(K210=0,0,(Upgrades!$G$12+K210*Upgrades!$H$12)*POWER(Upgrades!$I$12,K210)))*(IF(Upgrades!$T$6="First Photons",POWER(Upgrades!$U$6,E210),1)*IF(Upgrades!$T$7="First Photons",POWER(Upgrades!$U$7,F210),1)*IF(Upgrades!$T$8="First Photons",POWER(Upgrades!$U$8,G210),1)*IF(Upgrades!$T$9="First Photons",POWER(Upgrades!$U$9,H210),1)*IF(Upgrades!$T$10="First Photons",POWER(Upgrades!$U$10,I210),1)*IF(Upgrades!$T$11="First Photons",POWER(Upgrades!$U$11,J210),1)))*POWER(Upgrades!$P$6,E210)*POWER(Upgrades!$P$7,F210)*POWER(Upgrades!$P$8,G210)*POWER(Upgrades!$P$9,H210)*POWER(Upgrades!$P$10,I210)*POWER(Upgrades!$P$11,J210)*POWER(Upgrades!$P$12,K210)</f>
        <v>11.2</v>
      </c>
      <c r="O210" s="28" t="n">
        <f aca="false">((IF(E210=0,0,(Upgrades!$M$6+E210*Upgrades!$N$6)*POWER(Upgrades!$O$6,E210)))*(IF(Upgrades!$T$7="Solar Wind",POWER(Upgrades!$U$7,F210),1)*IF(Upgrades!$T$8="Solar Wind",POWER(Upgrades!$U$8,G210),1)*IF(Upgrades!$T$9="Solar Wind",POWER(Upgrades!$U$9,H210),1)*IF(Upgrades!$T$10="Solar Wind",POWER(Upgrades!$U$10,I210),1)*IF(Upgrades!$T$11="Solar Wind",POWER(Upgrades!$U$11,J210),1)*IF(Upgrades!$T$12="Solar Wind",POWER(Upgrades!$U$12,K210),1))+(IF(F210=0,0,(Upgrades!$M$7+F210*Upgrades!$N$7)*POWER(Upgrades!$O$7,F210)))*(IF(Upgrades!$T$6="Asteroid Belt",POWER(Upgrades!$U$6,E210),1)*IF(Upgrades!$T$8="Asteroid Belt",POWER(Upgrades!$U$8,G210),1)*IF(Upgrades!$T$9="Asteroid Belt",POWER(Upgrades!$U$9,H210),1)*IF(Upgrades!$T$10="Asteroid Belt",POWER(Upgrades!$U$10,I210),1)*IF(Upgrades!$T$11="Asteroid Belt",POWER(Upgrades!$U$11,J210),1)*IF(Upgrades!$T$12="Asteroid Belt",POWER(Upgrades!$U$12,K210),1))+(IF(G210=0,0,(Upgrades!$M$8+G210*Upgrades!$N$8)*POWER(Upgrades!$O$8,G210)))*(IF(Upgrades!$T$6="Stellar Coupling",POWER(Upgrades!$U$6,E210),1)*IF(Upgrades!$T$7="Stellar Coupling",POWER(Upgrades!$U$7,F210),1)*IF(Upgrades!$T$9="Stellar Coupling",POWER(Upgrades!$U$9,H210),1)*IF(Upgrades!$T$10="Stellar Coupling",POWER(Upgrades!$U$10,I210),1)*IF(Upgrades!$T$11="Stellar Coupling",POWER(Upgrades!$U$11,J210),1)*IF(Upgrades!$T$12="Stellar Coupling",POWER(Upgrades!$U$12,K210),1))+(IF(H210=0,0,(Upgrades!$M$9+H210*Upgrades!$N$9)*POWER(Upgrades!$O$9,H210)))*(IF(Upgrades!$T$6="Magnetosphere",POWER(Upgrades!$U$6,E210),1)*IF(Upgrades!$T$7="Magnetosphere",POWER(Upgrades!$U$7,F210),1)*IF(Upgrades!$T$8="Magnetosphere",POWER(Upgrades!$U$8,G210),1)*IF(Upgrades!$T$10="Magnetosphere",POWER(Upgrades!$U$10,I210),1)*IF(Upgrades!$T$11="Magnetosphere",POWER(Upgrades!$U$11,J210),1)*IF(Upgrades!$T$12="Magnetosphere",POWER(Upgrades!$U$12,K210),1))+(IF(I210=0,0,(Upgrades!$M$10+I210*Upgrades!$N$10)*POWER(Upgrades!$O$10,I210)))*(IF(Upgrades!$T$6="Orbital Resonance",POWER(Upgrades!$U$6,E210),1)*IF(Upgrades!$T$7="Orbital Resonance",POWER(Upgrades!$U$7,F210),1)*IF(Upgrades!$T$8="Orbital Resonance",POWER(Upgrades!$U$8,G210),1)*IF(Upgrades!$T$9="Orbital Resonance",POWER(Upgrades!$U$9,H210),1)*IF(Upgrades!$T$11="Orbital Resonance",POWER(Upgrades!$U$11,J210),1)*IF(Upgrades!$T$12="Orbital Resonance",POWER(Upgrades!$U$12,K210),1))+(IF(J210=0,0,(Upgrades!$M$11+J210*Upgrades!$N$11)*POWER(Upgrades!$O$11,J210)))*(IF(Upgrades!$T$6="Heliopause",POWER(Upgrades!$U$6,E210),1)*IF(Upgrades!$T$7="Heliopause",POWER(Upgrades!$U$7,F210),1)*IF(Upgrades!$T$8="Heliopause",POWER(Upgrades!$U$8,G210),1)*IF(Upgrades!$T$9="Heliopause",POWER(Upgrades!$U$9,H210),1)*IF(Upgrades!$T$10="Heliopause",POWER(Upgrades!$U$10,I210),1)*IF(Upgrades!$T$12="Heliopause",POWER(Upgrades!$U$12,K210),1))+(IF(K210=0,0,(Upgrades!$M$12+K210*Upgrades!$N$12)*POWER(Upgrades!$O$12,K210)))*(IF(Upgrades!$T$6="First Photons",POWER(Upgrades!$U$6,E210),1)*IF(Upgrades!$T$7="First Photons",POWER(Upgrades!$U$7,F210),1)*IF(Upgrades!$T$8="First Photons",POWER(Upgrades!$U$8,G210),1)*IF(Upgrades!$T$9="First Photons",POWER(Upgrades!$U$9,H210),1)*IF(Upgrades!$T$10="First Photons",POWER(Upgrades!$U$10,I210),1)*IF(Upgrades!$T$11="First Photons",POWER(Upgrades!$U$11,J210),1)))*POWER(Upgrades!$R$6,E210)*POWER(Upgrades!$R$7,F210)*POWER(Upgrades!$R$8,G210)*POWER(Upgrades!$R$9,H210)*POWER(Upgrades!$R$10,I210)*POWER(Upgrades!$R$11,J210)*POWER(Upgrades!$R$12,K210)</f>
        <v>0</v>
      </c>
      <c r="P210" s="27" t="n">
        <f aca="false">IF(L210=1,0,M210*Parameters!$B$10/60*Parameters!$B$11*10)</f>
        <v>0</v>
      </c>
      <c r="Q210" s="27" t="n">
        <f aca="false">IF(L210=1,0,O210*M210*10)</f>
        <v>0</v>
      </c>
      <c r="R210" s="27" t="n">
        <f aca="false">IF(L210=1,0,N210*10)</f>
        <v>0</v>
      </c>
      <c r="S210" s="27" t="n">
        <f aca="false">P210+Q210+R210</f>
        <v>0</v>
      </c>
      <c r="T210" s="21" t="n">
        <f aca="false">C210+S210</f>
        <v>18.6730249835055</v>
      </c>
      <c r="U210" s="34" t="str">
        <f aca="false">AX210</f>
        <v/>
      </c>
      <c r="V210" s="21" t="n">
        <f aca="false">IF(U210="",0,IF(U210="transition",0,IF(U210="SW",AG210,IF(U210="AB",AH210,IF(U210="SC",AI210,IF(U210="Mag",AJ210,IF(U210="OR",AK210,IF(U210="HP",AL210,IF(U210="FP",AM210,0)))))))))</f>
        <v>0</v>
      </c>
      <c r="W210" s="27" t="n">
        <f aca="false">IF(U210="OR",Upgrades!$F$10,IF(U210="HP",Upgrades!$F$11,IF(U210="transition",-Parameters!$B$18,0)))</f>
        <v>0</v>
      </c>
      <c r="X210" s="21" t="n">
        <f aca="false">T210-V210</f>
        <v>18.6730249835055</v>
      </c>
      <c r="Y210" s="30" t="n">
        <f aca="false">M210*Parameters!$B$10/60*Parameters!$B$11+O210*M210+N210</f>
        <v>20.55</v>
      </c>
      <c r="Z210" s="35" t="str">
        <f aca="false">IF(U210="transition","→ Tier 2 (Stellar Neighborhood)",IF(U210="FP","First Photons — light begins, system quickens",IF(U210="HP","Heliopause acquired",IF(U210="OR","Orbital Resonance — passive multiplier active",IF(AND(AO210=1,L210=0,AN210&lt;&gt;1),"Cohesion ready (waiting on completionist upgrades)","")))))</f>
        <v/>
      </c>
      <c r="AA210" s="27" t="n">
        <f aca="false">(IF(E210=0,0,(Upgrades!$G$6+E210*Upgrades!$H$6)*POWER(Upgrades!$I$6,E210)))*(IF(Upgrades!$T$7="Solar Wind",POWER(Upgrades!$U$7,F210),1)*IF(Upgrades!$T$8="Solar Wind",POWER(Upgrades!$U$8,G210),1)*IF(Upgrades!$T$9="Solar Wind",POWER(Upgrades!$U$9,H210),1)*IF(Upgrades!$T$10="Solar Wind",POWER(Upgrades!$U$10,I210),1)*IF(Upgrades!$T$11="Solar Wind",POWER(Upgrades!$U$11,J210),1)*IF(Upgrades!$T$12="Solar Wind",POWER(Upgrades!$U$12,K210),1))*POWER(Upgrades!$P$6,E210)*POWER(Upgrades!$P$7,F210)*POWER(Upgrades!$P$8,G210)*POWER(Upgrades!$P$9,H210)*POWER(Upgrades!$P$10,I210)*POWER(Upgrades!$P$11,J210)*POWER(Upgrades!$P$12,K210)*60</f>
        <v>72</v>
      </c>
      <c r="AB210" s="27" t="n">
        <f aca="false">(IF(F210=0,0,(Upgrades!$G$7+F210*Upgrades!$H$7)*POWER(Upgrades!$I$7,F210)))*(IF(Upgrades!$T$6="Asteroid Belt",POWER(Upgrades!$U$6,E210),1)*IF(Upgrades!$T$8="Asteroid Belt",POWER(Upgrades!$U$8,G210),1)*IF(Upgrades!$T$9="Asteroid Belt",POWER(Upgrades!$U$9,H210),1)*IF(Upgrades!$T$10="Asteroid Belt",POWER(Upgrades!$U$10,I210),1)*IF(Upgrades!$T$11="Asteroid Belt",POWER(Upgrades!$U$11,J210),1)*IF(Upgrades!$T$12="Asteroid Belt",POWER(Upgrades!$U$12,K210),1))*POWER(Upgrades!$P$6,E210)*POWER(Upgrades!$P$7,F210)*POWER(Upgrades!$P$8,G210)*POWER(Upgrades!$P$9,H210)*POWER(Upgrades!$P$10,I210)*POWER(Upgrades!$P$11,J210)*POWER(Upgrades!$P$12,K210)*60</f>
        <v>150</v>
      </c>
      <c r="AC210" s="27" t="n">
        <f aca="false">(IF(G210=0,0,(Upgrades!$J$8+G210*Upgrades!$K$8)*POWER(Upgrades!$L$8,G210)))*(IF(Upgrades!$T$6="Stellar Coupling",POWER(Upgrades!$U$6,E210),1)*IF(Upgrades!$T$7="Stellar Coupling",POWER(Upgrades!$U$7,F210),1)*IF(Upgrades!$T$9="Stellar Coupling",POWER(Upgrades!$U$9,H210),1)*IF(Upgrades!$T$10="Stellar Coupling",POWER(Upgrades!$U$10,I210),1)*IF(Upgrades!$T$11="Stellar Coupling",POWER(Upgrades!$U$11,J210),1)*IF(Upgrades!$T$12="Stellar Coupling",POWER(Upgrades!$U$12,K210),1))*POWER(Upgrades!$Q$6,E210)*POWER(Upgrades!$Q$7,F210)*POWER(Upgrades!$Q$8,G210)*POWER(Upgrades!$Q$9,H210)*POWER(Upgrades!$Q$10,I210)*POWER(Upgrades!$Q$11,J210)*POWER(Upgrades!$Q$12,K210)*Parameters!$B$10*Parameters!$B$11</f>
        <v>441</v>
      </c>
      <c r="AD210" s="27" t="n">
        <f aca="false">(IF(H210=0,0,(Upgrades!$G$9+H210*Upgrades!$H$9)*POWER(Upgrades!$I$9,H210)))*(IF(Upgrades!$T$6="Magnetosphere",POWER(Upgrades!$U$6,E210),1)*IF(Upgrades!$T$7="Magnetosphere",POWER(Upgrades!$U$7,F210),1)*IF(Upgrades!$T$8="Magnetosphere",POWER(Upgrades!$U$8,G210),1)*IF(Upgrades!$T$10="Magnetosphere",POWER(Upgrades!$U$10,I210),1)*IF(Upgrades!$T$11="Magnetosphere",POWER(Upgrades!$U$11,J210),1)*IF(Upgrades!$T$12="Magnetosphere",POWER(Upgrades!$U$12,K210),1))*POWER(Upgrades!$P$6,E210)*POWER(Upgrades!$P$7,F210)*POWER(Upgrades!$P$8,G210)*POWER(Upgrades!$P$9,H210)*POWER(Upgrades!$P$10,I210)*POWER(Upgrades!$P$11,J210)*POWER(Upgrades!$P$12,K210)*60</f>
        <v>375</v>
      </c>
      <c r="AE210" s="27" t="n">
        <f aca="false">(IF(K210=0,0,(Upgrades!$G$12+K210*Upgrades!$H$12)*POWER(Upgrades!$I$12,K210)))*(IF(Upgrades!$T$6="First Photons",POWER(Upgrades!$U$6,E210),1)*IF(Upgrades!$T$7="First Photons",POWER(Upgrades!$U$7,F210),1)*IF(Upgrades!$T$8="First Photons",POWER(Upgrades!$U$8,G210),1)*IF(Upgrades!$T$9="First Photons",POWER(Upgrades!$U$9,H210),1)*IF(Upgrades!$T$10="First Photons",POWER(Upgrades!$U$10,I210),1)*IF(Upgrades!$T$11="First Photons",POWER(Upgrades!$U$11,J210),1))*POWER(Upgrades!$P$6,E210)*POWER(Upgrades!$P$7,F210)*POWER(Upgrades!$P$8,G210)*POWER(Upgrades!$P$9,H210)*POWER(Upgrades!$P$10,I210)*POWER(Upgrades!$P$11,J210)*POWER(Upgrades!$P$12,K210)*60</f>
        <v>75</v>
      </c>
      <c r="AF210" s="27" t="n">
        <f aca="false">Parameters!$B$9*POWER(Upgrades!$Q$6,E210)*POWER(Upgrades!$Q$7,F210)*POWER(Upgrades!$Q$8,G210)*POWER(Upgrades!$Q$9,H210)*POWER(Upgrades!$Q$10,I210)*POWER(Upgrades!$Q$11,J210)*POWER(Upgrades!$Q$12,K210)*(Parameters!$B$10*Parameters!$B$11+O210*60)</f>
        <v>120</v>
      </c>
      <c r="AG210" s="21" t="n">
        <f aca="false">IF(E210&gt;=Upgrades!$E$6,"",Upgrades!$C$6*POWER(Upgrades!$D$6,E210))</f>
        <v>37.4517507383159</v>
      </c>
      <c r="AH210" s="21" t="n">
        <f aca="false">IF(F210&gt;=Upgrades!$E$7,"",Upgrades!$C$7*POWER(Upgrades!$D$7,F210))</f>
        <v>80.9111547141581</v>
      </c>
      <c r="AI210" s="21" t="n">
        <f aca="false">IF(G210&gt;=Upgrades!$E$8,"",Upgrades!$C$8*POWER(Upgrades!$D$8,G210))</f>
        <v>231.9097088</v>
      </c>
      <c r="AJ210" s="21" t="str">
        <f aca="false">IF(H210&gt;=Upgrades!$E$9,"",Upgrades!$C$9*POWER(Upgrades!$D$9,H210))</f>
        <v/>
      </c>
      <c r="AK210" s="21" t="str">
        <f aca="false">IF(I210&gt;=Upgrades!$E$10,"",Upgrades!$C$10*POWER(Upgrades!$D$10,I210))</f>
        <v/>
      </c>
      <c r="AL210" s="21" t="str">
        <f aca="false">IF(J210&gt;=Upgrades!$E$11,"",Upgrades!$C$11*POWER(Upgrades!$D$11,J210))</f>
        <v/>
      </c>
      <c r="AM210" s="21" t="str">
        <f aca="false">IF(K210&gt;=Upgrades!$E$12,"",Upgrades!$C$12*POWER(Upgrades!$D$12,K210))</f>
        <v/>
      </c>
      <c r="AN210" s="26" t="str">
        <f aca="false">IF(AND(D210&gt;=Parameters!$B$18,(H210&gt;=Upgrades!$E$9)*(K210&gt;=Upgrades!$E$12)=1,L210=0),1,"")</f>
        <v/>
      </c>
      <c r="AO210" s="26" t="str">
        <f aca="false">IF(AND(D210&gt;=Parameters!$B$18,L210=0),1,"")</f>
        <v/>
      </c>
      <c r="AP210" s="21" t="n">
        <f aca="false">MIN(IF(ISNUMBER(AK210),AK210,9000000000000000),IF(ISNUMBER(AL210),AL210,9000000000000000),IF(ISNUMBER(AM210),AM210,9000000000000000))</f>
        <v>9000000000000000</v>
      </c>
      <c r="AQ210" s="21" t="n">
        <f aca="false">MIN(IF(ISNUMBER(AG210),AG210,9000000000000000),IF(ISNUMBER(AH210),AH210,9000000000000000),IF(ISNUMBER(AI210),AI210,9000000000000000),IF(ISNUMBER(AJ210),AJ210,9000000000000000))</f>
        <v>37.4517507383159</v>
      </c>
      <c r="AR210" s="32" t="b">
        <f aca="false">IF(AW210&gt;Parameters!$B$21*(MAX(IF(AND(NOT(AND(AO210=1,AN210&lt;&gt;1)),ISNUMBER(AG210),AG210&lt;=T210),AS210,0),IF(AND(NOT(AND(AO210=1,AN210&lt;&gt;1)),ISNUMBER(AH210),AH210&lt;=T210),AT210,0),IF(AND(NOT(AND(AO210=1,AN210&lt;&gt;1)),ISNUMBER(AI210),AI210&lt;=T210),AU210,0),IF(AND(ISNUMBER(AJ210),AJ210&lt;=T210),AV210,0))),TRUE(),FALSE())</f>
        <v>1</v>
      </c>
      <c r="AS210" s="33" t="n">
        <f aca="false">IFERROR(Upgrades!$H$6*(POWER(Upgrades!$P$6,E210)*POWER(Upgrades!$P$7,F210)*POWER(Upgrades!$P$8,G210)*POWER(Upgrades!$P$9,H210)*POWER(Upgrades!$P$10,I210)*POWER(Upgrades!$P$11,J210)*POWER(Upgrades!$P$12,K210))*(IF(Upgrades!$T$7="Solar Wind",POWER(Upgrades!$U$7,F210),1)*IF(Upgrades!$T$8="Solar Wind",POWER(Upgrades!$U$8,G210),1)*IF(Upgrades!$T$9="Solar Wind",POWER(Upgrades!$U$9,H210),1)*IF(Upgrades!$T$10="Solar Wind",POWER(Upgrades!$U$10,I210),1)*IF(Upgrades!$T$11="Solar Wind",POWER(Upgrades!$U$11,J210),1)*IF(Upgrades!$T$12="Solar Wind",POWER(Upgrades!$U$12,K210),1))/AG210,0)</f>
        <v>0.0026701021455238</v>
      </c>
      <c r="AT210" s="33" t="n">
        <f aca="false">IFERROR(Upgrades!$H$7*(POWER(Upgrades!$P$6,E210)*POWER(Upgrades!$P$7,F210)*POWER(Upgrades!$P$8,G210)*POWER(Upgrades!$P$9,H210)*POWER(Upgrades!$P$10,I210)*POWER(Upgrades!$P$11,J210)*POWER(Upgrades!$P$12,K210))*(IF(Upgrades!$T$6="Asteroid Belt",POWER(Upgrades!$U$6,E210),1)*IF(Upgrades!$T$8="Asteroid Belt",POWER(Upgrades!$U$8,G210),1)*IF(Upgrades!$T$9="Asteroid Belt",POWER(Upgrades!$U$9,H210),1)*IF(Upgrades!$T$10="Asteroid Belt",POWER(Upgrades!$U$10,I210),1)*IF(Upgrades!$T$11="Asteroid Belt",POWER(Upgrades!$U$11,J210),1)*IF(Upgrades!$T$12="Asteroid Belt",POWER(Upgrades!$U$12,K210),1))/AH210,0)</f>
        <v>0.00308980882652332</v>
      </c>
      <c r="AU210" s="33" t="n">
        <f aca="false">IFERROR(Upgrades!$K$8*(POWER(Upgrades!$Q$6,E210)*POWER(Upgrades!$Q$7,F210)*POWER(Upgrades!$Q$8,G210)*POWER(Upgrades!$Q$9,H210)*POWER(Upgrades!$Q$10,I210)*POWER(Upgrades!$Q$11,J210)*POWER(Upgrades!$Q$12,K210))*(IF(Upgrades!$T$6="Stellar Coupling",POWER(Upgrades!$U$6,E210),1)*IF(Upgrades!$T$7="Stellar Coupling",POWER(Upgrades!$U$7,F210),1)*IF(Upgrades!$T$9="Stellar Coupling",POWER(Upgrades!$U$9,H210),1)*IF(Upgrades!$T$10="Stellar Coupling",POWER(Upgrades!$U$10,I210),1)*IF(Upgrades!$T$11="Stellar Coupling",POWER(Upgrades!$U$11,J210),1)*IF(Upgrades!$T$12="Stellar Coupling",POWER(Upgrades!$U$12,K210),1))*Parameters!$B$10*Parameters!$B$11/60/AI210,0)</f>
        <v>0.00452762415783776</v>
      </c>
      <c r="AV210" s="33" t="n">
        <f aca="false">IFERROR(Upgrades!$H$9*(POWER(Upgrades!$P$6,E210)*POWER(Upgrades!$P$7,F210)*POWER(Upgrades!$P$8,G210)*POWER(Upgrades!$P$9,H210)*POWER(Upgrades!$P$10,I210)*POWER(Upgrades!$P$11,J210)*POWER(Upgrades!$P$12,K210))*(IF(Upgrades!$T$6="Magnetosphere",POWER(Upgrades!$U$6,E210),1)*IF(Upgrades!$T$7="Magnetosphere",POWER(Upgrades!$U$7,F210),1)*IF(Upgrades!$T$8="Magnetosphere",POWER(Upgrades!$U$8,G210),1)*IF(Upgrades!$T$10="Magnetosphere",POWER(Upgrades!$U$10,I210),1)*IF(Upgrades!$T$11="Magnetosphere",POWER(Upgrades!$U$11,J210),1)*IF(Upgrades!$T$12="Magnetosphere",POWER(Upgrades!$U$12,K210),1))/AJ210,0)</f>
        <v>0</v>
      </c>
      <c r="AW210" s="33" t="n">
        <f aca="false">MAX(IF(I210&gt;0,0,IFERROR(0.25*N210/Upgrades!$C$10,0)),IF(J210&gt;0,0,IFERROR(0.5*((IF(G210=0,0,(Upgrades!$J$8+G210*Upgrades!$K$8)*POWER(Upgrades!$L$8,G210)))*(IF(Upgrades!$T$6="Stellar Coupling",POWER(Upgrades!$U$6,E210),1)*IF(Upgrades!$T$7="Stellar Coupling",POWER(Upgrades!$U$7,F210),1)*IF(Upgrades!$T$9="Stellar Coupling",POWER(Upgrades!$U$9,H210),1)*IF(Upgrades!$T$10="Stellar Coupling",POWER(Upgrades!$U$10,I210),1)*IF(Upgrades!$T$11="Stellar Coupling",POWER(Upgrades!$U$11,J210),1)*IF(Upgrades!$T$12="Stellar Coupling",POWER(Upgrades!$U$12,K210),1))*(POWER(Upgrades!$Q$6,E210)*POWER(Upgrades!$Q$7,F210)*POWER(Upgrades!$Q$8,G210)*POWER(Upgrades!$Q$9,H210)*POWER(Upgrades!$Q$10,I210)*POWER(Upgrades!$Q$11,J210)*POWER(Upgrades!$Q$12,K210))*Parameters!$B$10*Parameters!$B$11/60)/Upgrades!$C$11,0)),IF(K210&gt;0,0,IFERROR((1*(POWER(Upgrades!$P$6,E210)*POWER(Upgrades!$P$7,F210)*POWER(Upgrades!$P$8,G210)*POWER(Upgrades!$P$9,H210)*POWER(Upgrades!$P$10,I210)*POWER(Upgrades!$P$11,J210)*POWER(Upgrades!$P$12,K210))+0.2*M210*Parameters!$B$10*Parameters!$B$11/60)/Upgrades!$C$12,0)),IF(AND(ISNUMBER(AG210),AG210&gt;T210),AS210,0),IF(AND(ISNUMBER(AH210),AH210&gt;T210),AT210,0),IF(AND(ISNUMBER(AI210),AI210&gt;T210),AU210,0),IF(AND(ISNUMBER(AJ210),AJ210&gt;T210),AV210,0))</f>
        <v>0.00452762415783776</v>
      </c>
      <c r="AX210" s="29" t="str">
        <f aca="false">IF(AN210=1,"transition",IF(MIN(IF(AND(I210=0,ISNUMBER(AK210),AK210&lt;=T210),AK210,9000000000000000),IF(AND(J210=0,ISNUMBER(AL210),AL210&lt;=T210),AL210,9000000000000000),IF(AND(K210=0,ISNUMBER(AM210),AM210&lt;=T210),AM210,9000000000000000))&lt;9000000000000000,IF(AND(AND(I210=0,ISNUMBER(AK210),AK210&lt;=T210),AK210=MIN(IF(AND(I210=0,ISNUMBER(AK210),AK210&lt;=T210),AK210,9000000000000000),IF(AND(J210=0,ISNUMBER(AL210),AL210&lt;=T210),AL210,9000000000000000),IF(AND(K210=0,ISNUMBER(AM210),AM210&lt;=T210),AM210,9000000000000000))),"OR",IF(AND(AND(J210=0,ISNUMBER(AL210),AL210&lt;=T210),AL210=MIN(IF(AND(I210=0,ISNUMBER(AK210),AK210&lt;=T210),AK210,9000000000000000),IF(AND(J210=0,ISNUMBER(AL210),AL210&lt;=T210),AL210,9000000000000000),IF(AND(K210=0,ISNUMBER(AM210),AM210&lt;=T210),AM210,9000000000000000))),"HP","FP")),IF(AR210=TRUE(),"",IF(MAX(IF(AND(NOT(AND(AO210=1,AN210&lt;&gt;1)),ISNUMBER(AG210),AG210&lt;=T210),AS210,0),IF(AND(NOT(AND(AO210=1,AN210&lt;&gt;1)),ISNUMBER(AH210),AH210&lt;=T210),AT210,0),IF(AND(NOT(AND(AO210=1,AN210&lt;&gt;1)),ISNUMBER(AI210),AI210&lt;=T210),AU210,0),IF(AND(ISNUMBER(AJ210),AJ210&lt;=T210),AV210,0))&lt;=0,"",IF(AND(IF(AND(NOT(AND(AO210=1,AN210&lt;&gt;1)),ISNUMBER(AG210),AG210&lt;=T210),AS210,0)&gt;0,IF(AND(NOT(AND(AO210=1,AN210&lt;&gt;1)),ISNUMBER(AG210),AG210&lt;=T210),AS210,0)=MAX(IF(AND(NOT(AND(AO210=1,AN210&lt;&gt;1)),ISNUMBER(AG210),AG210&lt;=T210),AS210,0),IF(AND(NOT(AND(AO210=1,AN210&lt;&gt;1)),ISNUMBER(AH210),AH210&lt;=T210),AT210,0),IF(AND(NOT(AND(AO210=1,AN210&lt;&gt;1)),ISNUMBER(AI210),AI210&lt;=T210),AU210,0),IF(AND(ISNUMBER(AJ210),AJ210&lt;=T210),AV210,0))),"SW",IF(AND(IF(AND(NOT(AND(AO210=1,AN210&lt;&gt;1)),ISNUMBER(AH210),AH210&lt;=T210),AT210,0)&gt;0,IF(AND(NOT(AND(AO210=1,AN210&lt;&gt;1)),ISNUMBER(AH210),AH210&lt;=T210),AT210,0)=MAX(IF(AND(NOT(AND(AO210=1,AN210&lt;&gt;1)),ISNUMBER(AG210),AG210&lt;=T210),AS210,0),IF(AND(NOT(AND(AO210=1,AN210&lt;&gt;1)),ISNUMBER(AH210),AH210&lt;=T210),AT210,0),IF(AND(NOT(AND(AO210=1,AN210&lt;&gt;1)),ISNUMBER(AI210),AI210&lt;=T210),AU210,0),IF(AND(ISNUMBER(AJ210),AJ210&lt;=T210),AV210,0))),"AB",IF(AND(IF(AND(NOT(AND(AO210=1,AN210&lt;&gt;1)),ISNUMBER(AI210),AI210&lt;=T210),AU210,0)&gt;0,IF(AND(NOT(AND(AO210=1,AN210&lt;&gt;1)),ISNUMBER(AI210),AI210&lt;=T210),AU210,0)=MAX(IF(AND(NOT(AND(AO210=1,AN210&lt;&gt;1)),ISNUMBER(AG210),AG210&lt;=T210),AS210,0),IF(AND(NOT(AND(AO210=1,AN210&lt;&gt;1)),ISNUMBER(AH210),AH210&lt;=T210),AT210,0),IF(AND(NOT(AND(AO210=1,AN210&lt;&gt;1)),ISNUMBER(AI210),AI210&lt;=T210),AU210,0),IF(AND(ISNUMBER(AJ210),AJ210&lt;=T210),AV210,0))),"SC","Mag")))))))</f>
        <v/>
      </c>
    </row>
    <row r="211" customFormat="false" ht="15" hidden="false" customHeight="false" outlineLevel="0" collapsed="false">
      <c r="A211" s="26" t="n">
        <v>206</v>
      </c>
      <c r="B211" s="27" t="n">
        <f aca="false">A211*10/60</f>
        <v>34.3333333333333</v>
      </c>
      <c r="C211" s="21" t="n">
        <f aca="false">X210</f>
        <v>18.6730249835055</v>
      </c>
      <c r="D211" s="27" t="n">
        <f aca="false">D210+W210</f>
        <v>0</v>
      </c>
      <c r="E211" s="26" t="n">
        <f aca="false">E210+IF(U210="SW",1,0)</f>
        <v>12</v>
      </c>
      <c r="F211" s="26" t="n">
        <f aca="false">F210+IF(U210="AB",1,0)</f>
        <v>10</v>
      </c>
      <c r="G211" s="26" t="n">
        <f aca="false">G210+IF(U210="SC",1,0)</f>
        <v>7</v>
      </c>
      <c r="H211" s="26" t="n">
        <f aca="false">H210+IF(U210="Mag",1,0)</f>
        <v>5</v>
      </c>
      <c r="I211" s="26" t="n">
        <f aca="false">MAX(I210,IF(U210="OR",1,0))</f>
        <v>1</v>
      </c>
      <c r="J211" s="26" t="n">
        <f aca="false">MAX(J210,IF(U210="HP",1,0))</f>
        <v>1</v>
      </c>
      <c r="K211" s="26" t="n">
        <f aca="false">MAX(K210,IF(U210="FP",1,0))</f>
        <v>1</v>
      </c>
      <c r="L211" s="26" t="n">
        <f aca="false">MAX(L210,IF(U210="transition",1,0))</f>
        <v>1</v>
      </c>
      <c r="M211" s="28" t="n">
        <f aca="false">(Parameters!$B$9+(IF(E211=0,0,(Upgrades!$J$6+E211*Upgrades!$K$6)*POWER(Upgrades!$L$6,E211)))*(IF(Upgrades!$T$7="Solar Wind",POWER(Upgrades!$U$7,F211),1)*IF(Upgrades!$T$8="Solar Wind",POWER(Upgrades!$U$8,G211),1)*IF(Upgrades!$T$9="Solar Wind",POWER(Upgrades!$U$9,H211),1)*IF(Upgrades!$T$10="Solar Wind",POWER(Upgrades!$U$10,I211),1)*IF(Upgrades!$T$11="Solar Wind",POWER(Upgrades!$U$11,J211),1)*IF(Upgrades!$T$12="Solar Wind",POWER(Upgrades!$U$12,K211),1))+(IF(F211=0,0,(Upgrades!$J$7+F211*Upgrades!$K$7)*POWER(Upgrades!$L$7,F211)))*(IF(Upgrades!$T$6="Asteroid Belt",POWER(Upgrades!$U$6,E211),1)*IF(Upgrades!$T$8="Asteroid Belt",POWER(Upgrades!$U$8,G211),1)*IF(Upgrades!$T$9="Asteroid Belt",POWER(Upgrades!$U$9,H211),1)*IF(Upgrades!$T$10="Asteroid Belt",POWER(Upgrades!$U$10,I211),1)*IF(Upgrades!$T$11="Asteroid Belt",POWER(Upgrades!$U$11,J211),1)*IF(Upgrades!$T$12="Asteroid Belt",POWER(Upgrades!$U$12,K211),1))+(IF(G211=0,0,(Upgrades!$J$8+G211*Upgrades!$K$8)*POWER(Upgrades!$L$8,G211)))*(IF(Upgrades!$T$6="Stellar Coupling",POWER(Upgrades!$U$6,E211),1)*IF(Upgrades!$T$7="Stellar Coupling",POWER(Upgrades!$U$7,F211),1)*IF(Upgrades!$T$9="Stellar Coupling",POWER(Upgrades!$U$9,H211),1)*IF(Upgrades!$T$10="Stellar Coupling",POWER(Upgrades!$U$10,I211),1)*IF(Upgrades!$T$11="Stellar Coupling",POWER(Upgrades!$U$11,J211),1)*IF(Upgrades!$T$12="Stellar Coupling",POWER(Upgrades!$U$12,K211),1))+(IF(H211=0,0,(Upgrades!$J$9+H211*Upgrades!$K$9)*POWER(Upgrades!$L$9,H211)))*(IF(Upgrades!$T$6="Magnetosphere",POWER(Upgrades!$U$6,E211),1)*IF(Upgrades!$T$7="Magnetosphere",POWER(Upgrades!$U$7,F211),1)*IF(Upgrades!$T$8="Magnetosphere",POWER(Upgrades!$U$8,G211),1)*IF(Upgrades!$T$10="Magnetosphere",POWER(Upgrades!$U$10,I211),1)*IF(Upgrades!$T$11="Magnetosphere",POWER(Upgrades!$U$11,J211),1)*IF(Upgrades!$T$12="Magnetosphere",POWER(Upgrades!$U$12,K211),1))+(IF(I211=0,0,(Upgrades!$J$10+I211*Upgrades!$K$10)*POWER(Upgrades!$L$10,I211)))*(IF(Upgrades!$T$6="Orbital Resonance",POWER(Upgrades!$U$6,E211),1)*IF(Upgrades!$T$7="Orbital Resonance",POWER(Upgrades!$U$7,F211),1)*IF(Upgrades!$T$8="Orbital Resonance",POWER(Upgrades!$U$8,G211),1)*IF(Upgrades!$T$9="Orbital Resonance",POWER(Upgrades!$U$9,H211),1)*IF(Upgrades!$T$11="Orbital Resonance",POWER(Upgrades!$U$11,J211),1)*IF(Upgrades!$T$12="Orbital Resonance",POWER(Upgrades!$U$12,K211),1))+(IF(J211=0,0,(Upgrades!$J$11+J211*Upgrades!$K$11)*POWER(Upgrades!$L$11,J211)))*(IF(Upgrades!$T$6="Heliopause",POWER(Upgrades!$U$6,E211),1)*IF(Upgrades!$T$7="Heliopause",POWER(Upgrades!$U$7,F211),1)*IF(Upgrades!$T$8="Heliopause",POWER(Upgrades!$U$8,G211),1)*IF(Upgrades!$T$9="Heliopause",POWER(Upgrades!$U$9,H211),1)*IF(Upgrades!$T$10="Heliopause",POWER(Upgrades!$U$10,I211),1)*IF(Upgrades!$T$12="Heliopause",POWER(Upgrades!$U$12,K211),1))+(IF(K211=0,0,(Upgrades!$J$12+K211*Upgrades!$K$12)*POWER(Upgrades!$L$12,K211)))*(IF(Upgrades!$T$6="First Photons",POWER(Upgrades!$U$6,E211),1)*IF(Upgrades!$T$7="First Photons",POWER(Upgrades!$U$7,F211),1)*IF(Upgrades!$T$8="First Photons",POWER(Upgrades!$U$8,G211),1)*IF(Upgrades!$T$9="First Photons",POWER(Upgrades!$U$9,H211),1)*IF(Upgrades!$T$10="First Photons",POWER(Upgrades!$U$10,I211),1)*IF(Upgrades!$T$11="First Photons",POWER(Upgrades!$U$11,J211),1)))*POWER(Upgrades!$Q$6,E211)*POWER(Upgrades!$Q$7,F211)*POWER(Upgrades!$Q$8,G211)*POWER(Upgrades!$Q$9,H211)*POWER(Upgrades!$Q$10,I211)*POWER(Upgrades!$Q$11,J211)*POWER(Upgrades!$Q$12,K211)</f>
        <v>5.61</v>
      </c>
      <c r="N211" s="28" t="n">
        <f aca="false">((IF(E211=0,0,(Upgrades!$G$6+E211*Upgrades!$H$6)*POWER(Upgrades!$I$6,E211)))*(IF(Upgrades!$T$7="Solar Wind",POWER(Upgrades!$U$7,F211),1)*IF(Upgrades!$T$8="Solar Wind",POWER(Upgrades!$U$8,G211),1)*IF(Upgrades!$T$9="Solar Wind",POWER(Upgrades!$U$9,H211),1)*IF(Upgrades!$T$10="Solar Wind",POWER(Upgrades!$U$10,I211),1)*IF(Upgrades!$T$11="Solar Wind",POWER(Upgrades!$U$11,J211),1)*IF(Upgrades!$T$12="Solar Wind",POWER(Upgrades!$U$12,K211),1))+(IF(F211=0,0,(Upgrades!$G$7+F211*Upgrades!$H$7)*POWER(Upgrades!$I$7,F211)))*(IF(Upgrades!$T$6="Asteroid Belt",POWER(Upgrades!$U$6,E211),1)*IF(Upgrades!$T$8="Asteroid Belt",POWER(Upgrades!$U$8,G211),1)*IF(Upgrades!$T$9="Asteroid Belt",POWER(Upgrades!$U$9,H211),1)*IF(Upgrades!$T$10="Asteroid Belt",POWER(Upgrades!$U$10,I211),1)*IF(Upgrades!$T$11="Asteroid Belt",POWER(Upgrades!$U$11,J211),1)*IF(Upgrades!$T$12="Asteroid Belt",POWER(Upgrades!$U$12,K211),1))+(IF(G211=0,0,(Upgrades!$G$8+G211*Upgrades!$H$8)*POWER(Upgrades!$I$8,G211)))*(IF(Upgrades!$T$6="Stellar Coupling",POWER(Upgrades!$U$6,E211),1)*IF(Upgrades!$T$7="Stellar Coupling",POWER(Upgrades!$U$7,F211),1)*IF(Upgrades!$T$9="Stellar Coupling",POWER(Upgrades!$U$9,H211),1)*IF(Upgrades!$T$10="Stellar Coupling",POWER(Upgrades!$U$10,I211),1)*IF(Upgrades!$T$11="Stellar Coupling",POWER(Upgrades!$U$11,J211),1)*IF(Upgrades!$T$12="Stellar Coupling",POWER(Upgrades!$U$12,K211),1))+(IF(H211=0,0,(Upgrades!$G$9+H211*Upgrades!$H$9)*POWER(Upgrades!$I$9,H211)))*(IF(Upgrades!$T$6="Magnetosphere",POWER(Upgrades!$U$6,E211),1)*IF(Upgrades!$T$7="Magnetosphere",POWER(Upgrades!$U$7,F211),1)*IF(Upgrades!$T$8="Magnetosphere",POWER(Upgrades!$U$8,G211),1)*IF(Upgrades!$T$10="Magnetosphere",POWER(Upgrades!$U$10,I211),1)*IF(Upgrades!$T$11="Magnetosphere",POWER(Upgrades!$U$11,J211),1)*IF(Upgrades!$T$12="Magnetosphere",POWER(Upgrades!$U$12,K211),1))+(IF(I211=0,0,(Upgrades!$G$10+I211*Upgrades!$H$10)*POWER(Upgrades!$I$10,I211)))*(IF(Upgrades!$T$6="Orbital Resonance",POWER(Upgrades!$U$6,E211),1)*IF(Upgrades!$T$7="Orbital Resonance",POWER(Upgrades!$U$7,F211),1)*IF(Upgrades!$T$8="Orbital Resonance",POWER(Upgrades!$U$8,G211),1)*IF(Upgrades!$T$9="Orbital Resonance",POWER(Upgrades!$U$9,H211),1)*IF(Upgrades!$T$11="Orbital Resonance",POWER(Upgrades!$U$11,J211),1)*IF(Upgrades!$T$12="Orbital Resonance",POWER(Upgrades!$U$12,K211),1))+(IF(J211=0,0,(Upgrades!$G$11+J211*Upgrades!$H$11)*POWER(Upgrades!$I$11,J211)))*(IF(Upgrades!$T$6="Heliopause",POWER(Upgrades!$U$6,E211),1)*IF(Upgrades!$T$7="Heliopause",POWER(Upgrades!$U$7,F211),1)*IF(Upgrades!$T$8="Heliopause",POWER(Upgrades!$U$8,G211),1)*IF(Upgrades!$T$9="Heliopause",POWER(Upgrades!$U$9,H211),1)*IF(Upgrades!$T$10="Heliopause",POWER(Upgrades!$U$10,I211),1)*IF(Upgrades!$T$12="Heliopause",POWER(Upgrades!$U$12,K211),1))+(IF(K211=0,0,(Upgrades!$G$12+K211*Upgrades!$H$12)*POWER(Upgrades!$I$12,K211)))*(IF(Upgrades!$T$6="First Photons",POWER(Upgrades!$U$6,E211),1)*IF(Upgrades!$T$7="First Photons",POWER(Upgrades!$U$7,F211),1)*IF(Upgrades!$T$8="First Photons",POWER(Upgrades!$U$8,G211),1)*IF(Upgrades!$T$9="First Photons",POWER(Upgrades!$U$9,H211),1)*IF(Upgrades!$T$10="First Photons",POWER(Upgrades!$U$10,I211),1)*IF(Upgrades!$T$11="First Photons",POWER(Upgrades!$U$11,J211),1)))*POWER(Upgrades!$P$6,E211)*POWER(Upgrades!$P$7,F211)*POWER(Upgrades!$P$8,G211)*POWER(Upgrades!$P$9,H211)*POWER(Upgrades!$P$10,I211)*POWER(Upgrades!$P$11,J211)*POWER(Upgrades!$P$12,K211)</f>
        <v>11.2</v>
      </c>
      <c r="O211" s="28" t="n">
        <f aca="false">((IF(E211=0,0,(Upgrades!$M$6+E211*Upgrades!$N$6)*POWER(Upgrades!$O$6,E211)))*(IF(Upgrades!$T$7="Solar Wind",POWER(Upgrades!$U$7,F211),1)*IF(Upgrades!$T$8="Solar Wind",POWER(Upgrades!$U$8,G211),1)*IF(Upgrades!$T$9="Solar Wind",POWER(Upgrades!$U$9,H211),1)*IF(Upgrades!$T$10="Solar Wind",POWER(Upgrades!$U$10,I211),1)*IF(Upgrades!$T$11="Solar Wind",POWER(Upgrades!$U$11,J211),1)*IF(Upgrades!$T$12="Solar Wind",POWER(Upgrades!$U$12,K211),1))+(IF(F211=0,0,(Upgrades!$M$7+F211*Upgrades!$N$7)*POWER(Upgrades!$O$7,F211)))*(IF(Upgrades!$T$6="Asteroid Belt",POWER(Upgrades!$U$6,E211),1)*IF(Upgrades!$T$8="Asteroid Belt",POWER(Upgrades!$U$8,G211),1)*IF(Upgrades!$T$9="Asteroid Belt",POWER(Upgrades!$U$9,H211),1)*IF(Upgrades!$T$10="Asteroid Belt",POWER(Upgrades!$U$10,I211),1)*IF(Upgrades!$T$11="Asteroid Belt",POWER(Upgrades!$U$11,J211),1)*IF(Upgrades!$T$12="Asteroid Belt",POWER(Upgrades!$U$12,K211),1))+(IF(G211=0,0,(Upgrades!$M$8+G211*Upgrades!$N$8)*POWER(Upgrades!$O$8,G211)))*(IF(Upgrades!$T$6="Stellar Coupling",POWER(Upgrades!$U$6,E211),1)*IF(Upgrades!$T$7="Stellar Coupling",POWER(Upgrades!$U$7,F211),1)*IF(Upgrades!$T$9="Stellar Coupling",POWER(Upgrades!$U$9,H211),1)*IF(Upgrades!$T$10="Stellar Coupling",POWER(Upgrades!$U$10,I211),1)*IF(Upgrades!$T$11="Stellar Coupling",POWER(Upgrades!$U$11,J211),1)*IF(Upgrades!$T$12="Stellar Coupling",POWER(Upgrades!$U$12,K211),1))+(IF(H211=0,0,(Upgrades!$M$9+H211*Upgrades!$N$9)*POWER(Upgrades!$O$9,H211)))*(IF(Upgrades!$T$6="Magnetosphere",POWER(Upgrades!$U$6,E211),1)*IF(Upgrades!$T$7="Magnetosphere",POWER(Upgrades!$U$7,F211),1)*IF(Upgrades!$T$8="Magnetosphere",POWER(Upgrades!$U$8,G211),1)*IF(Upgrades!$T$10="Magnetosphere",POWER(Upgrades!$U$10,I211),1)*IF(Upgrades!$T$11="Magnetosphere",POWER(Upgrades!$U$11,J211),1)*IF(Upgrades!$T$12="Magnetosphere",POWER(Upgrades!$U$12,K211),1))+(IF(I211=0,0,(Upgrades!$M$10+I211*Upgrades!$N$10)*POWER(Upgrades!$O$10,I211)))*(IF(Upgrades!$T$6="Orbital Resonance",POWER(Upgrades!$U$6,E211),1)*IF(Upgrades!$T$7="Orbital Resonance",POWER(Upgrades!$U$7,F211),1)*IF(Upgrades!$T$8="Orbital Resonance",POWER(Upgrades!$U$8,G211),1)*IF(Upgrades!$T$9="Orbital Resonance",POWER(Upgrades!$U$9,H211),1)*IF(Upgrades!$T$11="Orbital Resonance",POWER(Upgrades!$U$11,J211),1)*IF(Upgrades!$T$12="Orbital Resonance",POWER(Upgrades!$U$12,K211),1))+(IF(J211=0,0,(Upgrades!$M$11+J211*Upgrades!$N$11)*POWER(Upgrades!$O$11,J211)))*(IF(Upgrades!$T$6="Heliopause",POWER(Upgrades!$U$6,E211),1)*IF(Upgrades!$T$7="Heliopause",POWER(Upgrades!$U$7,F211),1)*IF(Upgrades!$T$8="Heliopause",POWER(Upgrades!$U$8,G211),1)*IF(Upgrades!$T$9="Heliopause",POWER(Upgrades!$U$9,H211),1)*IF(Upgrades!$T$10="Heliopause",POWER(Upgrades!$U$10,I211),1)*IF(Upgrades!$T$12="Heliopause",POWER(Upgrades!$U$12,K211),1))+(IF(K211=0,0,(Upgrades!$M$12+K211*Upgrades!$N$12)*POWER(Upgrades!$O$12,K211)))*(IF(Upgrades!$T$6="First Photons",POWER(Upgrades!$U$6,E211),1)*IF(Upgrades!$T$7="First Photons",POWER(Upgrades!$U$7,F211),1)*IF(Upgrades!$T$8="First Photons",POWER(Upgrades!$U$8,G211),1)*IF(Upgrades!$T$9="First Photons",POWER(Upgrades!$U$9,H211),1)*IF(Upgrades!$T$10="First Photons",POWER(Upgrades!$U$10,I211),1)*IF(Upgrades!$T$11="First Photons",POWER(Upgrades!$U$11,J211),1)))*POWER(Upgrades!$R$6,E211)*POWER(Upgrades!$R$7,F211)*POWER(Upgrades!$R$8,G211)*POWER(Upgrades!$R$9,H211)*POWER(Upgrades!$R$10,I211)*POWER(Upgrades!$R$11,J211)*POWER(Upgrades!$R$12,K211)</f>
        <v>0</v>
      </c>
      <c r="P211" s="27" t="n">
        <f aca="false">IF(L211=1,0,M211*Parameters!$B$10/60*Parameters!$B$11*10)</f>
        <v>0</v>
      </c>
      <c r="Q211" s="27" t="n">
        <f aca="false">IF(L211=1,0,O211*M211*10)</f>
        <v>0</v>
      </c>
      <c r="R211" s="27" t="n">
        <f aca="false">IF(L211=1,0,N211*10)</f>
        <v>0</v>
      </c>
      <c r="S211" s="27" t="n">
        <f aca="false">P211+Q211+R211</f>
        <v>0</v>
      </c>
      <c r="T211" s="21" t="n">
        <f aca="false">C211+S211</f>
        <v>18.6730249835055</v>
      </c>
      <c r="U211" s="34" t="str">
        <f aca="false">AX211</f>
        <v/>
      </c>
      <c r="V211" s="21" t="n">
        <f aca="false">IF(U211="",0,IF(U211="transition",0,IF(U211="SW",AG211,IF(U211="AB",AH211,IF(U211="SC",AI211,IF(U211="Mag",AJ211,IF(U211="OR",AK211,IF(U211="HP",AL211,IF(U211="FP",AM211,0)))))))))</f>
        <v>0</v>
      </c>
      <c r="W211" s="27" t="n">
        <f aca="false">IF(U211="OR",Upgrades!$F$10,IF(U211="HP",Upgrades!$F$11,IF(U211="transition",-Parameters!$B$18,0)))</f>
        <v>0</v>
      </c>
      <c r="X211" s="21" t="n">
        <f aca="false">T211-V211</f>
        <v>18.6730249835055</v>
      </c>
      <c r="Y211" s="30" t="n">
        <f aca="false">M211*Parameters!$B$10/60*Parameters!$B$11+O211*M211+N211</f>
        <v>20.55</v>
      </c>
      <c r="Z211" s="35" t="str">
        <f aca="false">IF(U211="transition","→ Tier 2 (Stellar Neighborhood)",IF(U211="FP","First Photons — light begins, system quickens",IF(U211="HP","Heliopause acquired",IF(U211="OR","Orbital Resonance — passive multiplier active",IF(AND(AO211=1,L211=0,AN211&lt;&gt;1),"Cohesion ready (waiting on completionist upgrades)","")))))</f>
        <v/>
      </c>
      <c r="AA211" s="27" t="n">
        <f aca="false">(IF(E211=0,0,(Upgrades!$G$6+E211*Upgrades!$H$6)*POWER(Upgrades!$I$6,E211)))*(IF(Upgrades!$T$7="Solar Wind",POWER(Upgrades!$U$7,F211),1)*IF(Upgrades!$T$8="Solar Wind",POWER(Upgrades!$U$8,G211),1)*IF(Upgrades!$T$9="Solar Wind",POWER(Upgrades!$U$9,H211),1)*IF(Upgrades!$T$10="Solar Wind",POWER(Upgrades!$U$10,I211),1)*IF(Upgrades!$T$11="Solar Wind",POWER(Upgrades!$U$11,J211),1)*IF(Upgrades!$T$12="Solar Wind",POWER(Upgrades!$U$12,K211),1))*POWER(Upgrades!$P$6,E211)*POWER(Upgrades!$P$7,F211)*POWER(Upgrades!$P$8,G211)*POWER(Upgrades!$P$9,H211)*POWER(Upgrades!$P$10,I211)*POWER(Upgrades!$P$11,J211)*POWER(Upgrades!$P$12,K211)*60</f>
        <v>72</v>
      </c>
      <c r="AB211" s="27" t="n">
        <f aca="false">(IF(F211=0,0,(Upgrades!$G$7+F211*Upgrades!$H$7)*POWER(Upgrades!$I$7,F211)))*(IF(Upgrades!$T$6="Asteroid Belt",POWER(Upgrades!$U$6,E211),1)*IF(Upgrades!$T$8="Asteroid Belt",POWER(Upgrades!$U$8,G211),1)*IF(Upgrades!$T$9="Asteroid Belt",POWER(Upgrades!$U$9,H211),1)*IF(Upgrades!$T$10="Asteroid Belt",POWER(Upgrades!$U$10,I211),1)*IF(Upgrades!$T$11="Asteroid Belt",POWER(Upgrades!$U$11,J211),1)*IF(Upgrades!$T$12="Asteroid Belt",POWER(Upgrades!$U$12,K211),1))*POWER(Upgrades!$P$6,E211)*POWER(Upgrades!$P$7,F211)*POWER(Upgrades!$P$8,G211)*POWER(Upgrades!$P$9,H211)*POWER(Upgrades!$P$10,I211)*POWER(Upgrades!$P$11,J211)*POWER(Upgrades!$P$12,K211)*60</f>
        <v>150</v>
      </c>
      <c r="AC211" s="27" t="n">
        <f aca="false">(IF(G211=0,0,(Upgrades!$J$8+G211*Upgrades!$K$8)*POWER(Upgrades!$L$8,G211)))*(IF(Upgrades!$T$6="Stellar Coupling",POWER(Upgrades!$U$6,E211),1)*IF(Upgrades!$T$7="Stellar Coupling",POWER(Upgrades!$U$7,F211),1)*IF(Upgrades!$T$9="Stellar Coupling",POWER(Upgrades!$U$9,H211),1)*IF(Upgrades!$T$10="Stellar Coupling",POWER(Upgrades!$U$10,I211),1)*IF(Upgrades!$T$11="Stellar Coupling",POWER(Upgrades!$U$11,J211),1)*IF(Upgrades!$T$12="Stellar Coupling",POWER(Upgrades!$U$12,K211),1))*POWER(Upgrades!$Q$6,E211)*POWER(Upgrades!$Q$7,F211)*POWER(Upgrades!$Q$8,G211)*POWER(Upgrades!$Q$9,H211)*POWER(Upgrades!$Q$10,I211)*POWER(Upgrades!$Q$11,J211)*POWER(Upgrades!$Q$12,K211)*Parameters!$B$10*Parameters!$B$11</f>
        <v>441</v>
      </c>
      <c r="AD211" s="27" t="n">
        <f aca="false">(IF(H211=0,0,(Upgrades!$G$9+H211*Upgrades!$H$9)*POWER(Upgrades!$I$9,H211)))*(IF(Upgrades!$T$6="Magnetosphere",POWER(Upgrades!$U$6,E211),1)*IF(Upgrades!$T$7="Magnetosphere",POWER(Upgrades!$U$7,F211),1)*IF(Upgrades!$T$8="Magnetosphere",POWER(Upgrades!$U$8,G211),1)*IF(Upgrades!$T$10="Magnetosphere",POWER(Upgrades!$U$10,I211),1)*IF(Upgrades!$T$11="Magnetosphere",POWER(Upgrades!$U$11,J211),1)*IF(Upgrades!$T$12="Magnetosphere",POWER(Upgrades!$U$12,K211),1))*POWER(Upgrades!$P$6,E211)*POWER(Upgrades!$P$7,F211)*POWER(Upgrades!$P$8,G211)*POWER(Upgrades!$P$9,H211)*POWER(Upgrades!$P$10,I211)*POWER(Upgrades!$P$11,J211)*POWER(Upgrades!$P$12,K211)*60</f>
        <v>375</v>
      </c>
      <c r="AE211" s="27" t="n">
        <f aca="false">(IF(K211=0,0,(Upgrades!$G$12+K211*Upgrades!$H$12)*POWER(Upgrades!$I$12,K211)))*(IF(Upgrades!$T$6="First Photons",POWER(Upgrades!$U$6,E211),1)*IF(Upgrades!$T$7="First Photons",POWER(Upgrades!$U$7,F211),1)*IF(Upgrades!$T$8="First Photons",POWER(Upgrades!$U$8,G211),1)*IF(Upgrades!$T$9="First Photons",POWER(Upgrades!$U$9,H211),1)*IF(Upgrades!$T$10="First Photons",POWER(Upgrades!$U$10,I211),1)*IF(Upgrades!$T$11="First Photons",POWER(Upgrades!$U$11,J211),1))*POWER(Upgrades!$P$6,E211)*POWER(Upgrades!$P$7,F211)*POWER(Upgrades!$P$8,G211)*POWER(Upgrades!$P$9,H211)*POWER(Upgrades!$P$10,I211)*POWER(Upgrades!$P$11,J211)*POWER(Upgrades!$P$12,K211)*60</f>
        <v>75</v>
      </c>
      <c r="AF211" s="27" t="n">
        <f aca="false">Parameters!$B$9*POWER(Upgrades!$Q$6,E211)*POWER(Upgrades!$Q$7,F211)*POWER(Upgrades!$Q$8,G211)*POWER(Upgrades!$Q$9,H211)*POWER(Upgrades!$Q$10,I211)*POWER(Upgrades!$Q$11,J211)*POWER(Upgrades!$Q$12,K211)*(Parameters!$B$10*Parameters!$B$11+O211*60)</f>
        <v>120</v>
      </c>
      <c r="AG211" s="21" t="n">
        <f aca="false">IF(E211&gt;=Upgrades!$E$6,"",Upgrades!$C$6*POWER(Upgrades!$D$6,E211))</f>
        <v>37.4517507383159</v>
      </c>
      <c r="AH211" s="21" t="n">
        <f aca="false">IF(F211&gt;=Upgrades!$E$7,"",Upgrades!$C$7*POWER(Upgrades!$D$7,F211))</f>
        <v>80.9111547141581</v>
      </c>
      <c r="AI211" s="21" t="n">
        <f aca="false">IF(G211&gt;=Upgrades!$E$8,"",Upgrades!$C$8*POWER(Upgrades!$D$8,G211))</f>
        <v>231.9097088</v>
      </c>
      <c r="AJ211" s="21" t="str">
        <f aca="false">IF(H211&gt;=Upgrades!$E$9,"",Upgrades!$C$9*POWER(Upgrades!$D$9,H211))</f>
        <v/>
      </c>
      <c r="AK211" s="21" t="str">
        <f aca="false">IF(I211&gt;=Upgrades!$E$10,"",Upgrades!$C$10*POWER(Upgrades!$D$10,I211))</f>
        <v/>
      </c>
      <c r="AL211" s="21" t="str">
        <f aca="false">IF(J211&gt;=Upgrades!$E$11,"",Upgrades!$C$11*POWER(Upgrades!$D$11,J211))</f>
        <v/>
      </c>
      <c r="AM211" s="21" t="str">
        <f aca="false">IF(K211&gt;=Upgrades!$E$12,"",Upgrades!$C$12*POWER(Upgrades!$D$12,K211))</f>
        <v/>
      </c>
      <c r="AN211" s="26" t="str">
        <f aca="false">IF(AND(D211&gt;=Parameters!$B$18,(H211&gt;=Upgrades!$E$9)*(K211&gt;=Upgrades!$E$12)=1,L211=0),1,"")</f>
        <v/>
      </c>
      <c r="AO211" s="26" t="str">
        <f aca="false">IF(AND(D211&gt;=Parameters!$B$18,L211=0),1,"")</f>
        <v/>
      </c>
      <c r="AP211" s="21" t="n">
        <f aca="false">MIN(IF(ISNUMBER(AK211),AK211,9000000000000000),IF(ISNUMBER(AL211),AL211,9000000000000000),IF(ISNUMBER(AM211),AM211,9000000000000000))</f>
        <v>9000000000000000</v>
      </c>
      <c r="AQ211" s="21" t="n">
        <f aca="false">MIN(IF(ISNUMBER(AG211),AG211,9000000000000000),IF(ISNUMBER(AH211),AH211,9000000000000000),IF(ISNUMBER(AI211),AI211,9000000000000000),IF(ISNUMBER(AJ211),AJ211,9000000000000000))</f>
        <v>37.4517507383159</v>
      </c>
      <c r="AR211" s="32" t="b">
        <f aca="false">IF(AW211&gt;Parameters!$B$21*(MAX(IF(AND(NOT(AND(AO211=1,AN211&lt;&gt;1)),ISNUMBER(AG211),AG211&lt;=T211),AS211,0),IF(AND(NOT(AND(AO211=1,AN211&lt;&gt;1)),ISNUMBER(AH211),AH211&lt;=T211),AT211,0),IF(AND(NOT(AND(AO211=1,AN211&lt;&gt;1)),ISNUMBER(AI211),AI211&lt;=T211),AU211,0),IF(AND(ISNUMBER(AJ211),AJ211&lt;=T211),AV211,0))),TRUE(),FALSE())</f>
        <v>1</v>
      </c>
      <c r="AS211" s="33" t="n">
        <f aca="false">IFERROR(Upgrades!$H$6*(POWER(Upgrades!$P$6,E211)*POWER(Upgrades!$P$7,F211)*POWER(Upgrades!$P$8,G211)*POWER(Upgrades!$P$9,H211)*POWER(Upgrades!$P$10,I211)*POWER(Upgrades!$P$11,J211)*POWER(Upgrades!$P$12,K211))*(IF(Upgrades!$T$7="Solar Wind",POWER(Upgrades!$U$7,F211),1)*IF(Upgrades!$T$8="Solar Wind",POWER(Upgrades!$U$8,G211),1)*IF(Upgrades!$T$9="Solar Wind",POWER(Upgrades!$U$9,H211),1)*IF(Upgrades!$T$10="Solar Wind",POWER(Upgrades!$U$10,I211),1)*IF(Upgrades!$T$11="Solar Wind",POWER(Upgrades!$U$11,J211),1)*IF(Upgrades!$T$12="Solar Wind",POWER(Upgrades!$U$12,K211),1))/AG211,0)</f>
        <v>0.0026701021455238</v>
      </c>
      <c r="AT211" s="33" t="n">
        <f aca="false">IFERROR(Upgrades!$H$7*(POWER(Upgrades!$P$6,E211)*POWER(Upgrades!$P$7,F211)*POWER(Upgrades!$P$8,G211)*POWER(Upgrades!$P$9,H211)*POWER(Upgrades!$P$10,I211)*POWER(Upgrades!$P$11,J211)*POWER(Upgrades!$P$12,K211))*(IF(Upgrades!$T$6="Asteroid Belt",POWER(Upgrades!$U$6,E211),1)*IF(Upgrades!$T$8="Asteroid Belt",POWER(Upgrades!$U$8,G211),1)*IF(Upgrades!$T$9="Asteroid Belt",POWER(Upgrades!$U$9,H211),1)*IF(Upgrades!$T$10="Asteroid Belt",POWER(Upgrades!$U$10,I211),1)*IF(Upgrades!$T$11="Asteroid Belt",POWER(Upgrades!$U$11,J211),1)*IF(Upgrades!$T$12="Asteroid Belt",POWER(Upgrades!$U$12,K211),1))/AH211,0)</f>
        <v>0.00308980882652332</v>
      </c>
      <c r="AU211" s="33" t="n">
        <f aca="false">IFERROR(Upgrades!$K$8*(POWER(Upgrades!$Q$6,E211)*POWER(Upgrades!$Q$7,F211)*POWER(Upgrades!$Q$8,G211)*POWER(Upgrades!$Q$9,H211)*POWER(Upgrades!$Q$10,I211)*POWER(Upgrades!$Q$11,J211)*POWER(Upgrades!$Q$12,K211))*(IF(Upgrades!$T$6="Stellar Coupling",POWER(Upgrades!$U$6,E211),1)*IF(Upgrades!$T$7="Stellar Coupling",POWER(Upgrades!$U$7,F211),1)*IF(Upgrades!$T$9="Stellar Coupling",POWER(Upgrades!$U$9,H211),1)*IF(Upgrades!$T$10="Stellar Coupling",POWER(Upgrades!$U$10,I211),1)*IF(Upgrades!$T$11="Stellar Coupling",POWER(Upgrades!$U$11,J211),1)*IF(Upgrades!$T$12="Stellar Coupling",POWER(Upgrades!$U$12,K211),1))*Parameters!$B$10*Parameters!$B$11/60/AI211,0)</f>
        <v>0.00452762415783776</v>
      </c>
      <c r="AV211" s="33" t="n">
        <f aca="false">IFERROR(Upgrades!$H$9*(POWER(Upgrades!$P$6,E211)*POWER(Upgrades!$P$7,F211)*POWER(Upgrades!$P$8,G211)*POWER(Upgrades!$P$9,H211)*POWER(Upgrades!$P$10,I211)*POWER(Upgrades!$P$11,J211)*POWER(Upgrades!$P$12,K211))*(IF(Upgrades!$T$6="Magnetosphere",POWER(Upgrades!$U$6,E211),1)*IF(Upgrades!$T$7="Magnetosphere",POWER(Upgrades!$U$7,F211),1)*IF(Upgrades!$T$8="Magnetosphere",POWER(Upgrades!$U$8,G211),1)*IF(Upgrades!$T$10="Magnetosphere",POWER(Upgrades!$U$10,I211),1)*IF(Upgrades!$T$11="Magnetosphere",POWER(Upgrades!$U$11,J211),1)*IF(Upgrades!$T$12="Magnetosphere",POWER(Upgrades!$U$12,K211),1))/AJ211,0)</f>
        <v>0</v>
      </c>
      <c r="AW211" s="33" t="n">
        <f aca="false">MAX(IF(I211&gt;0,0,IFERROR(0.25*N211/Upgrades!$C$10,0)),IF(J211&gt;0,0,IFERROR(0.5*((IF(G211=0,0,(Upgrades!$J$8+G211*Upgrades!$K$8)*POWER(Upgrades!$L$8,G211)))*(IF(Upgrades!$T$6="Stellar Coupling",POWER(Upgrades!$U$6,E211),1)*IF(Upgrades!$T$7="Stellar Coupling",POWER(Upgrades!$U$7,F211),1)*IF(Upgrades!$T$9="Stellar Coupling",POWER(Upgrades!$U$9,H211),1)*IF(Upgrades!$T$10="Stellar Coupling",POWER(Upgrades!$U$10,I211),1)*IF(Upgrades!$T$11="Stellar Coupling",POWER(Upgrades!$U$11,J211),1)*IF(Upgrades!$T$12="Stellar Coupling",POWER(Upgrades!$U$12,K211),1))*(POWER(Upgrades!$Q$6,E211)*POWER(Upgrades!$Q$7,F211)*POWER(Upgrades!$Q$8,G211)*POWER(Upgrades!$Q$9,H211)*POWER(Upgrades!$Q$10,I211)*POWER(Upgrades!$Q$11,J211)*POWER(Upgrades!$Q$12,K211))*Parameters!$B$10*Parameters!$B$11/60)/Upgrades!$C$11,0)),IF(K211&gt;0,0,IFERROR((1*(POWER(Upgrades!$P$6,E211)*POWER(Upgrades!$P$7,F211)*POWER(Upgrades!$P$8,G211)*POWER(Upgrades!$P$9,H211)*POWER(Upgrades!$P$10,I211)*POWER(Upgrades!$P$11,J211)*POWER(Upgrades!$P$12,K211))+0.2*M211*Parameters!$B$10*Parameters!$B$11/60)/Upgrades!$C$12,0)),IF(AND(ISNUMBER(AG211),AG211&gt;T211),AS211,0),IF(AND(ISNUMBER(AH211),AH211&gt;T211),AT211,0),IF(AND(ISNUMBER(AI211),AI211&gt;T211),AU211,0),IF(AND(ISNUMBER(AJ211),AJ211&gt;T211),AV211,0))</f>
        <v>0.00452762415783776</v>
      </c>
      <c r="AX211" s="29" t="str">
        <f aca="false">IF(AN211=1,"transition",IF(MIN(IF(AND(I211=0,ISNUMBER(AK211),AK211&lt;=T211),AK211,9000000000000000),IF(AND(J211=0,ISNUMBER(AL211),AL211&lt;=T211),AL211,9000000000000000),IF(AND(K211=0,ISNUMBER(AM211),AM211&lt;=T211),AM211,9000000000000000))&lt;9000000000000000,IF(AND(AND(I211=0,ISNUMBER(AK211),AK211&lt;=T211),AK211=MIN(IF(AND(I211=0,ISNUMBER(AK211),AK211&lt;=T211),AK211,9000000000000000),IF(AND(J211=0,ISNUMBER(AL211),AL211&lt;=T211),AL211,9000000000000000),IF(AND(K211=0,ISNUMBER(AM211),AM211&lt;=T211),AM211,9000000000000000))),"OR",IF(AND(AND(J211=0,ISNUMBER(AL211),AL211&lt;=T211),AL211=MIN(IF(AND(I211=0,ISNUMBER(AK211),AK211&lt;=T211),AK211,9000000000000000),IF(AND(J211=0,ISNUMBER(AL211),AL211&lt;=T211),AL211,9000000000000000),IF(AND(K211=0,ISNUMBER(AM211),AM211&lt;=T211),AM211,9000000000000000))),"HP","FP")),IF(AR211=TRUE(),"",IF(MAX(IF(AND(NOT(AND(AO211=1,AN211&lt;&gt;1)),ISNUMBER(AG211),AG211&lt;=T211),AS211,0),IF(AND(NOT(AND(AO211=1,AN211&lt;&gt;1)),ISNUMBER(AH211),AH211&lt;=T211),AT211,0),IF(AND(NOT(AND(AO211=1,AN211&lt;&gt;1)),ISNUMBER(AI211),AI211&lt;=T211),AU211,0),IF(AND(ISNUMBER(AJ211),AJ211&lt;=T211),AV211,0))&lt;=0,"",IF(AND(IF(AND(NOT(AND(AO211=1,AN211&lt;&gt;1)),ISNUMBER(AG211),AG211&lt;=T211),AS211,0)&gt;0,IF(AND(NOT(AND(AO211=1,AN211&lt;&gt;1)),ISNUMBER(AG211),AG211&lt;=T211),AS211,0)=MAX(IF(AND(NOT(AND(AO211=1,AN211&lt;&gt;1)),ISNUMBER(AG211),AG211&lt;=T211),AS211,0),IF(AND(NOT(AND(AO211=1,AN211&lt;&gt;1)),ISNUMBER(AH211),AH211&lt;=T211),AT211,0),IF(AND(NOT(AND(AO211=1,AN211&lt;&gt;1)),ISNUMBER(AI211),AI211&lt;=T211),AU211,0),IF(AND(ISNUMBER(AJ211),AJ211&lt;=T211),AV211,0))),"SW",IF(AND(IF(AND(NOT(AND(AO211=1,AN211&lt;&gt;1)),ISNUMBER(AH211),AH211&lt;=T211),AT211,0)&gt;0,IF(AND(NOT(AND(AO211=1,AN211&lt;&gt;1)),ISNUMBER(AH211),AH211&lt;=T211),AT211,0)=MAX(IF(AND(NOT(AND(AO211=1,AN211&lt;&gt;1)),ISNUMBER(AG211),AG211&lt;=T211),AS211,0),IF(AND(NOT(AND(AO211=1,AN211&lt;&gt;1)),ISNUMBER(AH211),AH211&lt;=T211),AT211,0),IF(AND(NOT(AND(AO211=1,AN211&lt;&gt;1)),ISNUMBER(AI211),AI211&lt;=T211),AU211,0),IF(AND(ISNUMBER(AJ211),AJ211&lt;=T211),AV211,0))),"AB",IF(AND(IF(AND(NOT(AND(AO211=1,AN211&lt;&gt;1)),ISNUMBER(AI211),AI211&lt;=T211),AU211,0)&gt;0,IF(AND(NOT(AND(AO211=1,AN211&lt;&gt;1)),ISNUMBER(AI211),AI211&lt;=T211),AU211,0)=MAX(IF(AND(NOT(AND(AO211=1,AN211&lt;&gt;1)),ISNUMBER(AG211),AG211&lt;=T211),AS211,0),IF(AND(NOT(AND(AO211=1,AN211&lt;&gt;1)),ISNUMBER(AH211),AH211&lt;=T211),AT211,0),IF(AND(NOT(AND(AO211=1,AN211&lt;&gt;1)),ISNUMBER(AI211),AI211&lt;=T211),AU211,0),IF(AND(ISNUMBER(AJ211),AJ211&lt;=T211),AV211,0))),"SC","Mag")))))))</f>
        <v/>
      </c>
    </row>
    <row r="212" customFormat="false" ht="15" hidden="false" customHeight="false" outlineLevel="0" collapsed="false">
      <c r="A212" s="26" t="n">
        <v>207</v>
      </c>
      <c r="B212" s="27" t="n">
        <f aca="false">A212*10/60</f>
        <v>34.5</v>
      </c>
      <c r="C212" s="21" t="n">
        <f aca="false">X211</f>
        <v>18.6730249835055</v>
      </c>
      <c r="D212" s="27" t="n">
        <f aca="false">D211+W211</f>
        <v>0</v>
      </c>
      <c r="E212" s="26" t="n">
        <f aca="false">E211+IF(U211="SW",1,0)</f>
        <v>12</v>
      </c>
      <c r="F212" s="26" t="n">
        <f aca="false">F211+IF(U211="AB",1,0)</f>
        <v>10</v>
      </c>
      <c r="G212" s="26" t="n">
        <f aca="false">G211+IF(U211="SC",1,0)</f>
        <v>7</v>
      </c>
      <c r="H212" s="26" t="n">
        <f aca="false">H211+IF(U211="Mag",1,0)</f>
        <v>5</v>
      </c>
      <c r="I212" s="26" t="n">
        <f aca="false">MAX(I211,IF(U211="OR",1,0))</f>
        <v>1</v>
      </c>
      <c r="J212" s="26" t="n">
        <f aca="false">MAX(J211,IF(U211="HP",1,0))</f>
        <v>1</v>
      </c>
      <c r="K212" s="26" t="n">
        <f aca="false">MAX(K211,IF(U211="FP",1,0))</f>
        <v>1</v>
      </c>
      <c r="L212" s="26" t="n">
        <f aca="false">MAX(L211,IF(U211="transition",1,0))</f>
        <v>1</v>
      </c>
      <c r="M212" s="28" t="n">
        <f aca="false">(Parameters!$B$9+(IF(E212=0,0,(Upgrades!$J$6+E212*Upgrades!$K$6)*POWER(Upgrades!$L$6,E212)))*(IF(Upgrades!$T$7="Solar Wind",POWER(Upgrades!$U$7,F212),1)*IF(Upgrades!$T$8="Solar Wind",POWER(Upgrades!$U$8,G212),1)*IF(Upgrades!$T$9="Solar Wind",POWER(Upgrades!$U$9,H212),1)*IF(Upgrades!$T$10="Solar Wind",POWER(Upgrades!$U$10,I212),1)*IF(Upgrades!$T$11="Solar Wind",POWER(Upgrades!$U$11,J212),1)*IF(Upgrades!$T$12="Solar Wind",POWER(Upgrades!$U$12,K212),1))+(IF(F212=0,0,(Upgrades!$J$7+F212*Upgrades!$K$7)*POWER(Upgrades!$L$7,F212)))*(IF(Upgrades!$T$6="Asteroid Belt",POWER(Upgrades!$U$6,E212),1)*IF(Upgrades!$T$8="Asteroid Belt",POWER(Upgrades!$U$8,G212),1)*IF(Upgrades!$T$9="Asteroid Belt",POWER(Upgrades!$U$9,H212),1)*IF(Upgrades!$T$10="Asteroid Belt",POWER(Upgrades!$U$10,I212),1)*IF(Upgrades!$T$11="Asteroid Belt",POWER(Upgrades!$U$11,J212),1)*IF(Upgrades!$T$12="Asteroid Belt",POWER(Upgrades!$U$12,K212),1))+(IF(G212=0,0,(Upgrades!$J$8+G212*Upgrades!$K$8)*POWER(Upgrades!$L$8,G212)))*(IF(Upgrades!$T$6="Stellar Coupling",POWER(Upgrades!$U$6,E212),1)*IF(Upgrades!$T$7="Stellar Coupling",POWER(Upgrades!$U$7,F212),1)*IF(Upgrades!$T$9="Stellar Coupling",POWER(Upgrades!$U$9,H212),1)*IF(Upgrades!$T$10="Stellar Coupling",POWER(Upgrades!$U$10,I212),1)*IF(Upgrades!$T$11="Stellar Coupling",POWER(Upgrades!$U$11,J212),1)*IF(Upgrades!$T$12="Stellar Coupling",POWER(Upgrades!$U$12,K212),1))+(IF(H212=0,0,(Upgrades!$J$9+H212*Upgrades!$K$9)*POWER(Upgrades!$L$9,H212)))*(IF(Upgrades!$T$6="Magnetosphere",POWER(Upgrades!$U$6,E212),1)*IF(Upgrades!$T$7="Magnetosphere",POWER(Upgrades!$U$7,F212),1)*IF(Upgrades!$T$8="Magnetosphere",POWER(Upgrades!$U$8,G212),1)*IF(Upgrades!$T$10="Magnetosphere",POWER(Upgrades!$U$10,I212),1)*IF(Upgrades!$T$11="Magnetosphere",POWER(Upgrades!$U$11,J212),1)*IF(Upgrades!$T$12="Magnetosphere",POWER(Upgrades!$U$12,K212),1))+(IF(I212=0,0,(Upgrades!$J$10+I212*Upgrades!$K$10)*POWER(Upgrades!$L$10,I212)))*(IF(Upgrades!$T$6="Orbital Resonance",POWER(Upgrades!$U$6,E212),1)*IF(Upgrades!$T$7="Orbital Resonance",POWER(Upgrades!$U$7,F212),1)*IF(Upgrades!$T$8="Orbital Resonance",POWER(Upgrades!$U$8,G212),1)*IF(Upgrades!$T$9="Orbital Resonance",POWER(Upgrades!$U$9,H212),1)*IF(Upgrades!$T$11="Orbital Resonance",POWER(Upgrades!$U$11,J212),1)*IF(Upgrades!$T$12="Orbital Resonance",POWER(Upgrades!$U$12,K212),1))+(IF(J212=0,0,(Upgrades!$J$11+J212*Upgrades!$K$11)*POWER(Upgrades!$L$11,J212)))*(IF(Upgrades!$T$6="Heliopause",POWER(Upgrades!$U$6,E212),1)*IF(Upgrades!$T$7="Heliopause",POWER(Upgrades!$U$7,F212),1)*IF(Upgrades!$T$8="Heliopause",POWER(Upgrades!$U$8,G212),1)*IF(Upgrades!$T$9="Heliopause",POWER(Upgrades!$U$9,H212),1)*IF(Upgrades!$T$10="Heliopause",POWER(Upgrades!$U$10,I212),1)*IF(Upgrades!$T$12="Heliopause",POWER(Upgrades!$U$12,K212),1))+(IF(K212=0,0,(Upgrades!$J$12+K212*Upgrades!$K$12)*POWER(Upgrades!$L$12,K212)))*(IF(Upgrades!$T$6="First Photons",POWER(Upgrades!$U$6,E212),1)*IF(Upgrades!$T$7="First Photons",POWER(Upgrades!$U$7,F212),1)*IF(Upgrades!$T$8="First Photons",POWER(Upgrades!$U$8,G212),1)*IF(Upgrades!$T$9="First Photons",POWER(Upgrades!$U$9,H212),1)*IF(Upgrades!$T$10="First Photons",POWER(Upgrades!$U$10,I212),1)*IF(Upgrades!$T$11="First Photons",POWER(Upgrades!$U$11,J212),1)))*POWER(Upgrades!$Q$6,E212)*POWER(Upgrades!$Q$7,F212)*POWER(Upgrades!$Q$8,G212)*POWER(Upgrades!$Q$9,H212)*POWER(Upgrades!$Q$10,I212)*POWER(Upgrades!$Q$11,J212)*POWER(Upgrades!$Q$12,K212)</f>
        <v>5.61</v>
      </c>
      <c r="N212" s="28" t="n">
        <f aca="false">((IF(E212=0,0,(Upgrades!$G$6+E212*Upgrades!$H$6)*POWER(Upgrades!$I$6,E212)))*(IF(Upgrades!$T$7="Solar Wind",POWER(Upgrades!$U$7,F212),1)*IF(Upgrades!$T$8="Solar Wind",POWER(Upgrades!$U$8,G212),1)*IF(Upgrades!$T$9="Solar Wind",POWER(Upgrades!$U$9,H212),1)*IF(Upgrades!$T$10="Solar Wind",POWER(Upgrades!$U$10,I212),1)*IF(Upgrades!$T$11="Solar Wind",POWER(Upgrades!$U$11,J212),1)*IF(Upgrades!$T$12="Solar Wind",POWER(Upgrades!$U$12,K212),1))+(IF(F212=0,0,(Upgrades!$G$7+F212*Upgrades!$H$7)*POWER(Upgrades!$I$7,F212)))*(IF(Upgrades!$T$6="Asteroid Belt",POWER(Upgrades!$U$6,E212),1)*IF(Upgrades!$T$8="Asteroid Belt",POWER(Upgrades!$U$8,G212),1)*IF(Upgrades!$T$9="Asteroid Belt",POWER(Upgrades!$U$9,H212),1)*IF(Upgrades!$T$10="Asteroid Belt",POWER(Upgrades!$U$10,I212),1)*IF(Upgrades!$T$11="Asteroid Belt",POWER(Upgrades!$U$11,J212),1)*IF(Upgrades!$T$12="Asteroid Belt",POWER(Upgrades!$U$12,K212),1))+(IF(G212=0,0,(Upgrades!$G$8+G212*Upgrades!$H$8)*POWER(Upgrades!$I$8,G212)))*(IF(Upgrades!$T$6="Stellar Coupling",POWER(Upgrades!$U$6,E212),1)*IF(Upgrades!$T$7="Stellar Coupling",POWER(Upgrades!$U$7,F212),1)*IF(Upgrades!$T$9="Stellar Coupling",POWER(Upgrades!$U$9,H212),1)*IF(Upgrades!$T$10="Stellar Coupling",POWER(Upgrades!$U$10,I212),1)*IF(Upgrades!$T$11="Stellar Coupling",POWER(Upgrades!$U$11,J212),1)*IF(Upgrades!$T$12="Stellar Coupling",POWER(Upgrades!$U$12,K212),1))+(IF(H212=0,0,(Upgrades!$G$9+H212*Upgrades!$H$9)*POWER(Upgrades!$I$9,H212)))*(IF(Upgrades!$T$6="Magnetosphere",POWER(Upgrades!$U$6,E212),1)*IF(Upgrades!$T$7="Magnetosphere",POWER(Upgrades!$U$7,F212),1)*IF(Upgrades!$T$8="Magnetosphere",POWER(Upgrades!$U$8,G212),1)*IF(Upgrades!$T$10="Magnetosphere",POWER(Upgrades!$U$10,I212),1)*IF(Upgrades!$T$11="Magnetosphere",POWER(Upgrades!$U$11,J212),1)*IF(Upgrades!$T$12="Magnetosphere",POWER(Upgrades!$U$12,K212),1))+(IF(I212=0,0,(Upgrades!$G$10+I212*Upgrades!$H$10)*POWER(Upgrades!$I$10,I212)))*(IF(Upgrades!$T$6="Orbital Resonance",POWER(Upgrades!$U$6,E212),1)*IF(Upgrades!$T$7="Orbital Resonance",POWER(Upgrades!$U$7,F212),1)*IF(Upgrades!$T$8="Orbital Resonance",POWER(Upgrades!$U$8,G212),1)*IF(Upgrades!$T$9="Orbital Resonance",POWER(Upgrades!$U$9,H212),1)*IF(Upgrades!$T$11="Orbital Resonance",POWER(Upgrades!$U$11,J212),1)*IF(Upgrades!$T$12="Orbital Resonance",POWER(Upgrades!$U$12,K212),1))+(IF(J212=0,0,(Upgrades!$G$11+J212*Upgrades!$H$11)*POWER(Upgrades!$I$11,J212)))*(IF(Upgrades!$T$6="Heliopause",POWER(Upgrades!$U$6,E212),1)*IF(Upgrades!$T$7="Heliopause",POWER(Upgrades!$U$7,F212),1)*IF(Upgrades!$T$8="Heliopause",POWER(Upgrades!$U$8,G212),1)*IF(Upgrades!$T$9="Heliopause",POWER(Upgrades!$U$9,H212),1)*IF(Upgrades!$T$10="Heliopause",POWER(Upgrades!$U$10,I212),1)*IF(Upgrades!$T$12="Heliopause",POWER(Upgrades!$U$12,K212),1))+(IF(K212=0,0,(Upgrades!$G$12+K212*Upgrades!$H$12)*POWER(Upgrades!$I$12,K212)))*(IF(Upgrades!$T$6="First Photons",POWER(Upgrades!$U$6,E212),1)*IF(Upgrades!$T$7="First Photons",POWER(Upgrades!$U$7,F212),1)*IF(Upgrades!$T$8="First Photons",POWER(Upgrades!$U$8,G212),1)*IF(Upgrades!$T$9="First Photons",POWER(Upgrades!$U$9,H212),1)*IF(Upgrades!$T$10="First Photons",POWER(Upgrades!$U$10,I212),1)*IF(Upgrades!$T$11="First Photons",POWER(Upgrades!$U$11,J212),1)))*POWER(Upgrades!$P$6,E212)*POWER(Upgrades!$P$7,F212)*POWER(Upgrades!$P$8,G212)*POWER(Upgrades!$P$9,H212)*POWER(Upgrades!$P$10,I212)*POWER(Upgrades!$P$11,J212)*POWER(Upgrades!$P$12,K212)</f>
        <v>11.2</v>
      </c>
      <c r="O212" s="28" t="n">
        <f aca="false">((IF(E212=0,0,(Upgrades!$M$6+E212*Upgrades!$N$6)*POWER(Upgrades!$O$6,E212)))*(IF(Upgrades!$T$7="Solar Wind",POWER(Upgrades!$U$7,F212),1)*IF(Upgrades!$T$8="Solar Wind",POWER(Upgrades!$U$8,G212),1)*IF(Upgrades!$T$9="Solar Wind",POWER(Upgrades!$U$9,H212),1)*IF(Upgrades!$T$10="Solar Wind",POWER(Upgrades!$U$10,I212),1)*IF(Upgrades!$T$11="Solar Wind",POWER(Upgrades!$U$11,J212),1)*IF(Upgrades!$T$12="Solar Wind",POWER(Upgrades!$U$12,K212),1))+(IF(F212=0,0,(Upgrades!$M$7+F212*Upgrades!$N$7)*POWER(Upgrades!$O$7,F212)))*(IF(Upgrades!$T$6="Asteroid Belt",POWER(Upgrades!$U$6,E212),1)*IF(Upgrades!$T$8="Asteroid Belt",POWER(Upgrades!$U$8,G212),1)*IF(Upgrades!$T$9="Asteroid Belt",POWER(Upgrades!$U$9,H212),1)*IF(Upgrades!$T$10="Asteroid Belt",POWER(Upgrades!$U$10,I212),1)*IF(Upgrades!$T$11="Asteroid Belt",POWER(Upgrades!$U$11,J212),1)*IF(Upgrades!$T$12="Asteroid Belt",POWER(Upgrades!$U$12,K212),1))+(IF(G212=0,0,(Upgrades!$M$8+G212*Upgrades!$N$8)*POWER(Upgrades!$O$8,G212)))*(IF(Upgrades!$T$6="Stellar Coupling",POWER(Upgrades!$U$6,E212),1)*IF(Upgrades!$T$7="Stellar Coupling",POWER(Upgrades!$U$7,F212),1)*IF(Upgrades!$T$9="Stellar Coupling",POWER(Upgrades!$U$9,H212),1)*IF(Upgrades!$T$10="Stellar Coupling",POWER(Upgrades!$U$10,I212),1)*IF(Upgrades!$T$11="Stellar Coupling",POWER(Upgrades!$U$11,J212),1)*IF(Upgrades!$T$12="Stellar Coupling",POWER(Upgrades!$U$12,K212),1))+(IF(H212=0,0,(Upgrades!$M$9+H212*Upgrades!$N$9)*POWER(Upgrades!$O$9,H212)))*(IF(Upgrades!$T$6="Magnetosphere",POWER(Upgrades!$U$6,E212),1)*IF(Upgrades!$T$7="Magnetosphere",POWER(Upgrades!$U$7,F212),1)*IF(Upgrades!$T$8="Magnetosphere",POWER(Upgrades!$U$8,G212),1)*IF(Upgrades!$T$10="Magnetosphere",POWER(Upgrades!$U$10,I212),1)*IF(Upgrades!$T$11="Magnetosphere",POWER(Upgrades!$U$11,J212),1)*IF(Upgrades!$T$12="Magnetosphere",POWER(Upgrades!$U$12,K212),1))+(IF(I212=0,0,(Upgrades!$M$10+I212*Upgrades!$N$10)*POWER(Upgrades!$O$10,I212)))*(IF(Upgrades!$T$6="Orbital Resonance",POWER(Upgrades!$U$6,E212),1)*IF(Upgrades!$T$7="Orbital Resonance",POWER(Upgrades!$U$7,F212),1)*IF(Upgrades!$T$8="Orbital Resonance",POWER(Upgrades!$U$8,G212),1)*IF(Upgrades!$T$9="Orbital Resonance",POWER(Upgrades!$U$9,H212),1)*IF(Upgrades!$T$11="Orbital Resonance",POWER(Upgrades!$U$11,J212),1)*IF(Upgrades!$T$12="Orbital Resonance",POWER(Upgrades!$U$12,K212),1))+(IF(J212=0,0,(Upgrades!$M$11+J212*Upgrades!$N$11)*POWER(Upgrades!$O$11,J212)))*(IF(Upgrades!$T$6="Heliopause",POWER(Upgrades!$U$6,E212),1)*IF(Upgrades!$T$7="Heliopause",POWER(Upgrades!$U$7,F212),1)*IF(Upgrades!$T$8="Heliopause",POWER(Upgrades!$U$8,G212),1)*IF(Upgrades!$T$9="Heliopause",POWER(Upgrades!$U$9,H212),1)*IF(Upgrades!$T$10="Heliopause",POWER(Upgrades!$U$10,I212),1)*IF(Upgrades!$T$12="Heliopause",POWER(Upgrades!$U$12,K212),1))+(IF(K212=0,0,(Upgrades!$M$12+K212*Upgrades!$N$12)*POWER(Upgrades!$O$12,K212)))*(IF(Upgrades!$T$6="First Photons",POWER(Upgrades!$U$6,E212),1)*IF(Upgrades!$T$7="First Photons",POWER(Upgrades!$U$7,F212),1)*IF(Upgrades!$T$8="First Photons",POWER(Upgrades!$U$8,G212),1)*IF(Upgrades!$T$9="First Photons",POWER(Upgrades!$U$9,H212),1)*IF(Upgrades!$T$10="First Photons",POWER(Upgrades!$U$10,I212),1)*IF(Upgrades!$T$11="First Photons",POWER(Upgrades!$U$11,J212),1)))*POWER(Upgrades!$R$6,E212)*POWER(Upgrades!$R$7,F212)*POWER(Upgrades!$R$8,G212)*POWER(Upgrades!$R$9,H212)*POWER(Upgrades!$R$10,I212)*POWER(Upgrades!$R$11,J212)*POWER(Upgrades!$R$12,K212)</f>
        <v>0</v>
      </c>
      <c r="P212" s="27" t="n">
        <f aca="false">IF(L212=1,0,M212*Parameters!$B$10/60*Parameters!$B$11*10)</f>
        <v>0</v>
      </c>
      <c r="Q212" s="27" t="n">
        <f aca="false">IF(L212=1,0,O212*M212*10)</f>
        <v>0</v>
      </c>
      <c r="R212" s="27" t="n">
        <f aca="false">IF(L212=1,0,N212*10)</f>
        <v>0</v>
      </c>
      <c r="S212" s="27" t="n">
        <f aca="false">P212+Q212+R212</f>
        <v>0</v>
      </c>
      <c r="T212" s="21" t="n">
        <f aca="false">C212+S212</f>
        <v>18.6730249835055</v>
      </c>
      <c r="U212" s="34" t="str">
        <f aca="false">AX212</f>
        <v/>
      </c>
      <c r="V212" s="21" t="n">
        <f aca="false">IF(U212="",0,IF(U212="transition",0,IF(U212="SW",AG212,IF(U212="AB",AH212,IF(U212="SC",AI212,IF(U212="Mag",AJ212,IF(U212="OR",AK212,IF(U212="HP",AL212,IF(U212="FP",AM212,0)))))))))</f>
        <v>0</v>
      </c>
      <c r="W212" s="27" t="n">
        <f aca="false">IF(U212="OR",Upgrades!$F$10,IF(U212="HP",Upgrades!$F$11,IF(U212="transition",-Parameters!$B$18,0)))</f>
        <v>0</v>
      </c>
      <c r="X212" s="21" t="n">
        <f aca="false">T212-V212</f>
        <v>18.6730249835055</v>
      </c>
      <c r="Y212" s="30" t="n">
        <f aca="false">M212*Parameters!$B$10/60*Parameters!$B$11+O212*M212+N212</f>
        <v>20.55</v>
      </c>
      <c r="Z212" s="35" t="str">
        <f aca="false">IF(U212="transition","→ Tier 2 (Stellar Neighborhood)",IF(U212="FP","First Photons — light begins, system quickens",IF(U212="HP","Heliopause acquired",IF(U212="OR","Orbital Resonance — passive multiplier active",IF(AND(AO212=1,L212=0,AN212&lt;&gt;1),"Cohesion ready (waiting on completionist upgrades)","")))))</f>
        <v/>
      </c>
      <c r="AA212" s="27" t="n">
        <f aca="false">(IF(E212=0,0,(Upgrades!$G$6+E212*Upgrades!$H$6)*POWER(Upgrades!$I$6,E212)))*(IF(Upgrades!$T$7="Solar Wind",POWER(Upgrades!$U$7,F212),1)*IF(Upgrades!$T$8="Solar Wind",POWER(Upgrades!$U$8,G212),1)*IF(Upgrades!$T$9="Solar Wind",POWER(Upgrades!$U$9,H212),1)*IF(Upgrades!$T$10="Solar Wind",POWER(Upgrades!$U$10,I212),1)*IF(Upgrades!$T$11="Solar Wind",POWER(Upgrades!$U$11,J212),1)*IF(Upgrades!$T$12="Solar Wind",POWER(Upgrades!$U$12,K212),1))*POWER(Upgrades!$P$6,E212)*POWER(Upgrades!$P$7,F212)*POWER(Upgrades!$P$8,G212)*POWER(Upgrades!$P$9,H212)*POWER(Upgrades!$P$10,I212)*POWER(Upgrades!$P$11,J212)*POWER(Upgrades!$P$12,K212)*60</f>
        <v>72</v>
      </c>
      <c r="AB212" s="27" t="n">
        <f aca="false">(IF(F212=0,0,(Upgrades!$G$7+F212*Upgrades!$H$7)*POWER(Upgrades!$I$7,F212)))*(IF(Upgrades!$T$6="Asteroid Belt",POWER(Upgrades!$U$6,E212),1)*IF(Upgrades!$T$8="Asteroid Belt",POWER(Upgrades!$U$8,G212),1)*IF(Upgrades!$T$9="Asteroid Belt",POWER(Upgrades!$U$9,H212),1)*IF(Upgrades!$T$10="Asteroid Belt",POWER(Upgrades!$U$10,I212),1)*IF(Upgrades!$T$11="Asteroid Belt",POWER(Upgrades!$U$11,J212),1)*IF(Upgrades!$T$12="Asteroid Belt",POWER(Upgrades!$U$12,K212),1))*POWER(Upgrades!$P$6,E212)*POWER(Upgrades!$P$7,F212)*POWER(Upgrades!$P$8,G212)*POWER(Upgrades!$P$9,H212)*POWER(Upgrades!$P$10,I212)*POWER(Upgrades!$P$11,J212)*POWER(Upgrades!$P$12,K212)*60</f>
        <v>150</v>
      </c>
      <c r="AC212" s="27" t="n">
        <f aca="false">(IF(G212=0,0,(Upgrades!$J$8+G212*Upgrades!$K$8)*POWER(Upgrades!$L$8,G212)))*(IF(Upgrades!$T$6="Stellar Coupling",POWER(Upgrades!$U$6,E212),1)*IF(Upgrades!$T$7="Stellar Coupling",POWER(Upgrades!$U$7,F212),1)*IF(Upgrades!$T$9="Stellar Coupling",POWER(Upgrades!$U$9,H212),1)*IF(Upgrades!$T$10="Stellar Coupling",POWER(Upgrades!$U$10,I212),1)*IF(Upgrades!$T$11="Stellar Coupling",POWER(Upgrades!$U$11,J212),1)*IF(Upgrades!$T$12="Stellar Coupling",POWER(Upgrades!$U$12,K212),1))*POWER(Upgrades!$Q$6,E212)*POWER(Upgrades!$Q$7,F212)*POWER(Upgrades!$Q$8,G212)*POWER(Upgrades!$Q$9,H212)*POWER(Upgrades!$Q$10,I212)*POWER(Upgrades!$Q$11,J212)*POWER(Upgrades!$Q$12,K212)*Parameters!$B$10*Parameters!$B$11</f>
        <v>441</v>
      </c>
      <c r="AD212" s="27" t="n">
        <f aca="false">(IF(H212=0,0,(Upgrades!$G$9+H212*Upgrades!$H$9)*POWER(Upgrades!$I$9,H212)))*(IF(Upgrades!$T$6="Magnetosphere",POWER(Upgrades!$U$6,E212),1)*IF(Upgrades!$T$7="Magnetosphere",POWER(Upgrades!$U$7,F212),1)*IF(Upgrades!$T$8="Magnetosphere",POWER(Upgrades!$U$8,G212),1)*IF(Upgrades!$T$10="Magnetosphere",POWER(Upgrades!$U$10,I212),1)*IF(Upgrades!$T$11="Magnetosphere",POWER(Upgrades!$U$11,J212),1)*IF(Upgrades!$T$12="Magnetosphere",POWER(Upgrades!$U$12,K212),1))*POWER(Upgrades!$P$6,E212)*POWER(Upgrades!$P$7,F212)*POWER(Upgrades!$P$8,G212)*POWER(Upgrades!$P$9,H212)*POWER(Upgrades!$P$10,I212)*POWER(Upgrades!$P$11,J212)*POWER(Upgrades!$P$12,K212)*60</f>
        <v>375</v>
      </c>
      <c r="AE212" s="27" t="n">
        <f aca="false">(IF(K212=0,0,(Upgrades!$G$12+K212*Upgrades!$H$12)*POWER(Upgrades!$I$12,K212)))*(IF(Upgrades!$T$6="First Photons",POWER(Upgrades!$U$6,E212),1)*IF(Upgrades!$T$7="First Photons",POWER(Upgrades!$U$7,F212),1)*IF(Upgrades!$T$8="First Photons",POWER(Upgrades!$U$8,G212),1)*IF(Upgrades!$T$9="First Photons",POWER(Upgrades!$U$9,H212),1)*IF(Upgrades!$T$10="First Photons",POWER(Upgrades!$U$10,I212),1)*IF(Upgrades!$T$11="First Photons",POWER(Upgrades!$U$11,J212),1))*POWER(Upgrades!$P$6,E212)*POWER(Upgrades!$P$7,F212)*POWER(Upgrades!$P$8,G212)*POWER(Upgrades!$P$9,H212)*POWER(Upgrades!$P$10,I212)*POWER(Upgrades!$P$11,J212)*POWER(Upgrades!$P$12,K212)*60</f>
        <v>75</v>
      </c>
      <c r="AF212" s="27" t="n">
        <f aca="false">Parameters!$B$9*POWER(Upgrades!$Q$6,E212)*POWER(Upgrades!$Q$7,F212)*POWER(Upgrades!$Q$8,G212)*POWER(Upgrades!$Q$9,H212)*POWER(Upgrades!$Q$10,I212)*POWER(Upgrades!$Q$11,J212)*POWER(Upgrades!$Q$12,K212)*(Parameters!$B$10*Parameters!$B$11+O212*60)</f>
        <v>120</v>
      </c>
      <c r="AG212" s="21" t="n">
        <f aca="false">IF(E212&gt;=Upgrades!$E$6,"",Upgrades!$C$6*POWER(Upgrades!$D$6,E212))</f>
        <v>37.4517507383159</v>
      </c>
      <c r="AH212" s="21" t="n">
        <f aca="false">IF(F212&gt;=Upgrades!$E$7,"",Upgrades!$C$7*POWER(Upgrades!$D$7,F212))</f>
        <v>80.9111547141581</v>
      </c>
      <c r="AI212" s="21" t="n">
        <f aca="false">IF(G212&gt;=Upgrades!$E$8,"",Upgrades!$C$8*POWER(Upgrades!$D$8,G212))</f>
        <v>231.9097088</v>
      </c>
      <c r="AJ212" s="21" t="str">
        <f aca="false">IF(H212&gt;=Upgrades!$E$9,"",Upgrades!$C$9*POWER(Upgrades!$D$9,H212))</f>
        <v/>
      </c>
      <c r="AK212" s="21" t="str">
        <f aca="false">IF(I212&gt;=Upgrades!$E$10,"",Upgrades!$C$10*POWER(Upgrades!$D$10,I212))</f>
        <v/>
      </c>
      <c r="AL212" s="21" t="str">
        <f aca="false">IF(J212&gt;=Upgrades!$E$11,"",Upgrades!$C$11*POWER(Upgrades!$D$11,J212))</f>
        <v/>
      </c>
      <c r="AM212" s="21" t="str">
        <f aca="false">IF(K212&gt;=Upgrades!$E$12,"",Upgrades!$C$12*POWER(Upgrades!$D$12,K212))</f>
        <v/>
      </c>
      <c r="AN212" s="26" t="str">
        <f aca="false">IF(AND(D212&gt;=Parameters!$B$18,(H212&gt;=Upgrades!$E$9)*(K212&gt;=Upgrades!$E$12)=1,L212=0),1,"")</f>
        <v/>
      </c>
      <c r="AO212" s="26" t="str">
        <f aca="false">IF(AND(D212&gt;=Parameters!$B$18,L212=0),1,"")</f>
        <v/>
      </c>
      <c r="AP212" s="21" t="n">
        <f aca="false">MIN(IF(ISNUMBER(AK212),AK212,9000000000000000),IF(ISNUMBER(AL212),AL212,9000000000000000),IF(ISNUMBER(AM212),AM212,9000000000000000))</f>
        <v>9000000000000000</v>
      </c>
      <c r="AQ212" s="21" t="n">
        <f aca="false">MIN(IF(ISNUMBER(AG212),AG212,9000000000000000),IF(ISNUMBER(AH212),AH212,9000000000000000),IF(ISNUMBER(AI212),AI212,9000000000000000),IF(ISNUMBER(AJ212),AJ212,9000000000000000))</f>
        <v>37.4517507383159</v>
      </c>
      <c r="AR212" s="32" t="b">
        <f aca="false">IF(AW212&gt;Parameters!$B$21*(MAX(IF(AND(NOT(AND(AO212=1,AN212&lt;&gt;1)),ISNUMBER(AG212),AG212&lt;=T212),AS212,0),IF(AND(NOT(AND(AO212=1,AN212&lt;&gt;1)),ISNUMBER(AH212),AH212&lt;=T212),AT212,0),IF(AND(NOT(AND(AO212=1,AN212&lt;&gt;1)),ISNUMBER(AI212),AI212&lt;=T212),AU212,0),IF(AND(ISNUMBER(AJ212),AJ212&lt;=T212),AV212,0))),TRUE(),FALSE())</f>
        <v>1</v>
      </c>
      <c r="AS212" s="33" t="n">
        <f aca="false">IFERROR(Upgrades!$H$6*(POWER(Upgrades!$P$6,E212)*POWER(Upgrades!$P$7,F212)*POWER(Upgrades!$P$8,G212)*POWER(Upgrades!$P$9,H212)*POWER(Upgrades!$P$10,I212)*POWER(Upgrades!$P$11,J212)*POWER(Upgrades!$P$12,K212))*(IF(Upgrades!$T$7="Solar Wind",POWER(Upgrades!$U$7,F212),1)*IF(Upgrades!$T$8="Solar Wind",POWER(Upgrades!$U$8,G212),1)*IF(Upgrades!$T$9="Solar Wind",POWER(Upgrades!$U$9,H212),1)*IF(Upgrades!$T$10="Solar Wind",POWER(Upgrades!$U$10,I212),1)*IF(Upgrades!$T$11="Solar Wind",POWER(Upgrades!$U$11,J212),1)*IF(Upgrades!$T$12="Solar Wind",POWER(Upgrades!$U$12,K212),1))/AG212,0)</f>
        <v>0.0026701021455238</v>
      </c>
      <c r="AT212" s="33" t="n">
        <f aca="false">IFERROR(Upgrades!$H$7*(POWER(Upgrades!$P$6,E212)*POWER(Upgrades!$P$7,F212)*POWER(Upgrades!$P$8,G212)*POWER(Upgrades!$P$9,H212)*POWER(Upgrades!$P$10,I212)*POWER(Upgrades!$P$11,J212)*POWER(Upgrades!$P$12,K212))*(IF(Upgrades!$T$6="Asteroid Belt",POWER(Upgrades!$U$6,E212),1)*IF(Upgrades!$T$8="Asteroid Belt",POWER(Upgrades!$U$8,G212),1)*IF(Upgrades!$T$9="Asteroid Belt",POWER(Upgrades!$U$9,H212),1)*IF(Upgrades!$T$10="Asteroid Belt",POWER(Upgrades!$U$10,I212),1)*IF(Upgrades!$T$11="Asteroid Belt",POWER(Upgrades!$U$11,J212),1)*IF(Upgrades!$T$12="Asteroid Belt",POWER(Upgrades!$U$12,K212),1))/AH212,0)</f>
        <v>0.00308980882652332</v>
      </c>
      <c r="AU212" s="33" t="n">
        <f aca="false">IFERROR(Upgrades!$K$8*(POWER(Upgrades!$Q$6,E212)*POWER(Upgrades!$Q$7,F212)*POWER(Upgrades!$Q$8,G212)*POWER(Upgrades!$Q$9,H212)*POWER(Upgrades!$Q$10,I212)*POWER(Upgrades!$Q$11,J212)*POWER(Upgrades!$Q$12,K212))*(IF(Upgrades!$T$6="Stellar Coupling",POWER(Upgrades!$U$6,E212),1)*IF(Upgrades!$T$7="Stellar Coupling",POWER(Upgrades!$U$7,F212),1)*IF(Upgrades!$T$9="Stellar Coupling",POWER(Upgrades!$U$9,H212),1)*IF(Upgrades!$T$10="Stellar Coupling",POWER(Upgrades!$U$10,I212),1)*IF(Upgrades!$T$11="Stellar Coupling",POWER(Upgrades!$U$11,J212),1)*IF(Upgrades!$T$12="Stellar Coupling",POWER(Upgrades!$U$12,K212),1))*Parameters!$B$10*Parameters!$B$11/60/AI212,0)</f>
        <v>0.00452762415783776</v>
      </c>
      <c r="AV212" s="33" t="n">
        <f aca="false">IFERROR(Upgrades!$H$9*(POWER(Upgrades!$P$6,E212)*POWER(Upgrades!$P$7,F212)*POWER(Upgrades!$P$8,G212)*POWER(Upgrades!$P$9,H212)*POWER(Upgrades!$P$10,I212)*POWER(Upgrades!$P$11,J212)*POWER(Upgrades!$P$12,K212))*(IF(Upgrades!$T$6="Magnetosphere",POWER(Upgrades!$U$6,E212),1)*IF(Upgrades!$T$7="Magnetosphere",POWER(Upgrades!$U$7,F212),1)*IF(Upgrades!$T$8="Magnetosphere",POWER(Upgrades!$U$8,G212),1)*IF(Upgrades!$T$10="Magnetosphere",POWER(Upgrades!$U$10,I212),1)*IF(Upgrades!$T$11="Magnetosphere",POWER(Upgrades!$U$11,J212),1)*IF(Upgrades!$T$12="Magnetosphere",POWER(Upgrades!$U$12,K212),1))/AJ212,0)</f>
        <v>0</v>
      </c>
      <c r="AW212" s="33" t="n">
        <f aca="false">MAX(IF(I212&gt;0,0,IFERROR(0.25*N212/Upgrades!$C$10,0)),IF(J212&gt;0,0,IFERROR(0.5*((IF(G212=0,0,(Upgrades!$J$8+G212*Upgrades!$K$8)*POWER(Upgrades!$L$8,G212)))*(IF(Upgrades!$T$6="Stellar Coupling",POWER(Upgrades!$U$6,E212),1)*IF(Upgrades!$T$7="Stellar Coupling",POWER(Upgrades!$U$7,F212),1)*IF(Upgrades!$T$9="Stellar Coupling",POWER(Upgrades!$U$9,H212),1)*IF(Upgrades!$T$10="Stellar Coupling",POWER(Upgrades!$U$10,I212),1)*IF(Upgrades!$T$11="Stellar Coupling",POWER(Upgrades!$U$11,J212),1)*IF(Upgrades!$T$12="Stellar Coupling",POWER(Upgrades!$U$12,K212),1))*(POWER(Upgrades!$Q$6,E212)*POWER(Upgrades!$Q$7,F212)*POWER(Upgrades!$Q$8,G212)*POWER(Upgrades!$Q$9,H212)*POWER(Upgrades!$Q$10,I212)*POWER(Upgrades!$Q$11,J212)*POWER(Upgrades!$Q$12,K212))*Parameters!$B$10*Parameters!$B$11/60)/Upgrades!$C$11,0)),IF(K212&gt;0,0,IFERROR((1*(POWER(Upgrades!$P$6,E212)*POWER(Upgrades!$P$7,F212)*POWER(Upgrades!$P$8,G212)*POWER(Upgrades!$P$9,H212)*POWER(Upgrades!$P$10,I212)*POWER(Upgrades!$P$11,J212)*POWER(Upgrades!$P$12,K212))+0.2*M212*Parameters!$B$10*Parameters!$B$11/60)/Upgrades!$C$12,0)),IF(AND(ISNUMBER(AG212),AG212&gt;T212),AS212,0),IF(AND(ISNUMBER(AH212),AH212&gt;T212),AT212,0),IF(AND(ISNUMBER(AI212),AI212&gt;T212),AU212,0),IF(AND(ISNUMBER(AJ212),AJ212&gt;T212),AV212,0))</f>
        <v>0.00452762415783776</v>
      </c>
      <c r="AX212" s="29" t="str">
        <f aca="false">IF(AN212=1,"transition",IF(MIN(IF(AND(I212=0,ISNUMBER(AK212),AK212&lt;=T212),AK212,9000000000000000),IF(AND(J212=0,ISNUMBER(AL212),AL212&lt;=T212),AL212,9000000000000000),IF(AND(K212=0,ISNUMBER(AM212),AM212&lt;=T212),AM212,9000000000000000))&lt;9000000000000000,IF(AND(AND(I212=0,ISNUMBER(AK212),AK212&lt;=T212),AK212=MIN(IF(AND(I212=0,ISNUMBER(AK212),AK212&lt;=T212),AK212,9000000000000000),IF(AND(J212=0,ISNUMBER(AL212),AL212&lt;=T212),AL212,9000000000000000),IF(AND(K212=0,ISNUMBER(AM212),AM212&lt;=T212),AM212,9000000000000000))),"OR",IF(AND(AND(J212=0,ISNUMBER(AL212),AL212&lt;=T212),AL212=MIN(IF(AND(I212=0,ISNUMBER(AK212),AK212&lt;=T212),AK212,9000000000000000),IF(AND(J212=0,ISNUMBER(AL212),AL212&lt;=T212),AL212,9000000000000000),IF(AND(K212=0,ISNUMBER(AM212),AM212&lt;=T212),AM212,9000000000000000))),"HP","FP")),IF(AR212=TRUE(),"",IF(MAX(IF(AND(NOT(AND(AO212=1,AN212&lt;&gt;1)),ISNUMBER(AG212),AG212&lt;=T212),AS212,0),IF(AND(NOT(AND(AO212=1,AN212&lt;&gt;1)),ISNUMBER(AH212),AH212&lt;=T212),AT212,0),IF(AND(NOT(AND(AO212=1,AN212&lt;&gt;1)),ISNUMBER(AI212),AI212&lt;=T212),AU212,0),IF(AND(ISNUMBER(AJ212),AJ212&lt;=T212),AV212,0))&lt;=0,"",IF(AND(IF(AND(NOT(AND(AO212=1,AN212&lt;&gt;1)),ISNUMBER(AG212),AG212&lt;=T212),AS212,0)&gt;0,IF(AND(NOT(AND(AO212=1,AN212&lt;&gt;1)),ISNUMBER(AG212),AG212&lt;=T212),AS212,0)=MAX(IF(AND(NOT(AND(AO212=1,AN212&lt;&gt;1)),ISNUMBER(AG212),AG212&lt;=T212),AS212,0),IF(AND(NOT(AND(AO212=1,AN212&lt;&gt;1)),ISNUMBER(AH212),AH212&lt;=T212),AT212,0),IF(AND(NOT(AND(AO212=1,AN212&lt;&gt;1)),ISNUMBER(AI212),AI212&lt;=T212),AU212,0),IF(AND(ISNUMBER(AJ212),AJ212&lt;=T212),AV212,0))),"SW",IF(AND(IF(AND(NOT(AND(AO212=1,AN212&lt;&gt;1)),ISNUMBER(AH212),AH212&lt;=T212),AT212,0)&gt;0,IF(AND(NOT(AND(AO212=1,AN212&lt;&gt;1)),ISNUMBER(AH212),AH212&lt;=T212),AT212,0)=MAX(IF(AND(NOT(AND(AO212=1,AN212&lt;&gt;1)),ISNUMBER(AG212),AG212&lt;=T212),AS212,0),IF(AND(NOT(AND(AO212=1,AN212&lt;&gt;1)),ISNUMBER(AH212),AH212&lt;=T212),AT212,0),IF(AND(NOT(AND(AO212=1,AN212&lt;&gt;1)),ISNUMBER(AI212),AI212&lt;=T212),AU212,0),IF(AND(ISNUMBER(AJ212),AJ212&lt;=T212),AV212,0))),"AB",IF(AND(IF(AND(NOT(AND(AO212=1,AN212&lt;&gt;1)),ISNUMBER(AI212),AI212&lt;=T212),AU212,0)&gt;0,IF(AND(NOT(AND(AO212=1,AN212&lt;&gt;1)),ISNUMBER(AI212),AI212&lt;=T212),AU212,0)=MAX(IF(AND(NOT(AND(AO212=1,AN212&lt;&gt;1)),ISNUMBER(AG212),AG212&lt;=T212),AS212,0),IF(AND(NOT(AND(AO212=1,AN212&lt;&gt;1)),ISNUMBER(AH212),AH212&lt;=T212),AT212,0),IF(AND(NOT(AND(AO212=1,AN212&lt;&gt;1)),ISNUMBER(AI212),AI212&lt;=T212),AU212,0),IF(AND(ISNUMBER(AJ212),AJ212&lt;=T212),AV212,0))),"SC","Mag")))))))</f>
        <v/>
      </c>
    </row>
    <row r="213" customFormat="false" ht="15" hidden="false" customHeight="false" outlineLevel="0" collapsed="false">
      <c r="A213" s="26" t="n">
        <v>208</v>
      </c>
      <c r="B213" s="27" t="n">
        <f aca="false">A213*10/60</f>
        <v>34.6666666666667</v>
      </c>
      <c r="C213" s="21" t="n">
        <f aca="false">X212</f>
        <v>18.6730249835055</v>
      </c>
      <c r="D213" s="27" t="n">
        <f aca="false">D212+W212</f>
        <v>0</v>
      </c>
      <c r="E213" s="26" t="n">
        <f aca="false">E212+IF(U212="SW",1,0)</f>
        <v>12</v>
      </c>
      <c r="F213" s="26" t="n">
        <f aca="false">F212+IF(U212="AB",1,0)</f>
        <v>10</v>
      </c>
      <c r="G213" s="26" t="n">
        <f aca="false">G212+IF(U212="SC",1,0)</f>
        <v>7</v>
      </c>
      <c r="H213" s="26" t="n">
        <f aca="false">H212+IF(U212="Mag",1,0)</f>
        <v>5</v>
      </c>
      <c r="I213" s="26" t="n">
        <f aca="false">MAX(I212,IF(U212="OR",1,0))</f>
        <v>1</v>
      </c>
      <c r="J213" s="26" t="n">
        <f aca="false">MAX(J212,IF(U212="HP",1,0))</f>
        <v>1</v>
      </c>
      <c r="K213" s="26" t="n">
        <f aca="false">MAX(K212,IF(U212="FP",1,0))</f>
        <v>1</v>
      </c>
      <c r="L213" s="26" t="n">
        <f aca="false">MAX(L212,IF(U212="transition",1,0))</f>
        <v>1</v>
      </c>
      <c r="M213" s="28" t="n">
        <f aca="false">(Parameters!$B$9+(IF(E213=0,0,(Upgrades!$J$6+E213*Upgrades!$K$6)*POWER(Upgrades!$L$6,E213)))*(IF(Upgrades!$T$7="Solar Wind",POWER(Upgrades!$U$7,F213),1)*IF(Upgrades!$T$8="Solar Wind",POWER(Upgrades!$U$8,G213),1)*IF(Upgrades!$T$9="Solar Wind",POWER(Upgrades!$U$9,H213),1)*IF(Upgrades!$T$10="Solar Wind",POWER(Upgrades!$U$10,I213),1)*IF(Upgrades!$T$11="Solar Wind",POWER(Upgrades!$U$11,J213),1)*IF(Upgrades!$T$12="Solar Wind",POWER(Upgrades!$U$12,K213),1))+(IF(F213=0,0,(Upgrades!$J$7+F213*Upgrades!$K$7)*POWER(Upgrades!$L$7,F213)))*(IF(Upgrades!$T$6="Asteroid Belt",POWER(Upgrades!$U$6,E213),1)*IF(Upgrades!$T$8="Asteroid Belt",POWER(Upgrades!$U$8,G213),1)*IF(Upgrades!$T$9="Asteroid Belt",POWER(Upgrades!$U$9,H213),1)*IF(Upgrades!$T$10="Asteroid Belt",POWER(Upgrades!$U$10,I213),1)*IF(Upgrades!$T$11="Asteroid Belt",POWER(Upgrades!$U$11,J213),1)*IF(Upgrades!$T$12="Asteroid Belt",POWER(Upgrades!$U$12,K213),1))+(IF(G213=0,0,(Upgrades!$J$8+G213*Upgrades!$K$8)*POWER(Upgrades!$L$8,G213)))*(IF(Upgrades!$T$6="Stellar Coupling",POWER(Upgrades!$U$6,E213),1)*IF(Upgrades!$T$7="Stellar Coupling",POWER(Upgrades!$U$7,F213),1)*IF(Upgrades!$T$9="Stellar Coupling",POWER(Upgrades!$U$9,H213),1)*IF(Upgrades!$T$10="Stellar Coupling",POWER(Upgrades!$U$10,I213),1)*IF(Upgrades!$T$11="Stellar Coupling",POWER(Upgrades!$U$11,J213),1)*IF(Upgrades!$T$12="Stellar Coupling",POWER(Upgrades!$U$12,K213),1))+(IF(H213=0,0,(Upgrades!$J$9+H213*Upgrades!$K$9)*POWER(Upgrades!$L$9,H213)))*(IF(Upgrades!$T$6="Magnetosphere",POWER(Upgrades!$U$6,E213),1)*IF(Upgrades!$T$7="Magnetosphere",POWER(Upgrades!$U$7,F213),1)*IF(Upgrades!$T$8="Magnetosphere",POWER(Upgrades!$U$8,G213),1)*IF(Upgrades!$T$10="Magnetosphere",POWER(Upgrades!$U$10,I213),1)*IF(Upgrades!$T$11="Magnetosphere",POWER(Upgrades!$U$11,J213),1)*IF(Upgrades!$T$12="Magnetosphere",POWER(Upgrades!$U$12,K213),1))+(IF(I213=0,0,(Upgrades!$J$10+I213*Upgrades!$K$10)*POWER(Upgrades!$L$10,I213)))*(IF(Upgrades!$T$6="Orbital Resonance",POWER(Upgrades!$U$6,E213),1)*IF(Upgrades!$T$7="Orbital Resonance",POWER(Upgrades!$U$7,F213),1)*IF(Upgrades!$T$8="Orbital Resonance",POWER(Upgrades!$U$8,G213),1)*IF(Upgrades!$T$9="Orbital Resonance",POWER(Upgrades!$U$9,H213),1)*IF(Upgrades!$T$11="Orbital Resonance",POWER(Upgrades!$U$11,J213),1)*IF(Upgrades!$T$12="Orbital Resonance",POWER(Upgrades!$U$12,K213),1))+(IF(J213=0,0,(Upgrades!$J$11+J213*Upgrades!$K$11)*POWER(Upgrades!$L$11,J213)))*(IF(Upgrades!$T$6="Heliopause",POWER(Upgrades!$U$6,E213),1)*IF(Upgrades!$T$7="Heliopause",POWER(Upgrades!$U$7,F213),1)*IF(Upgrades!$T$8="Heliopause",POWER(Upgrades!$U$8,G213),1)*IF(Upgrades!$T$9="Heliopause",POWER(Upgrades!$U$9,H213),1)*IF(Upgrades!$T$10="Heliopause",POWER(Upgrades!$U$10,I213),1)*IF(Upgrades!$T$12="Heliopause",POWER(Upgrades!$U$12,K213),1))+(IF(K213=0,0,(Upgrades!$J$12+K213*Upgrades!$K$12)*POWER(Upgrades!$L$12,K213)))*(IF(Upgrades!$T$6="First Photons",POWER(Upgrades!$U$6,E213),1)*IF(Upgrades!$T$7="First Photons",POWER(Upgrades!$U$7,F213),1)*IF(Upgrades!$T$8="First Photons",POWER(Upgrades!$U$8,G213),1)*IF(Upgrades!$T$9="First Photons",POWER(Upgrades!$U$9,H213),1)*IF(Upgrades!$T$10="First Photons",POWER(Upgrades!$U$10,I213),1)*IF(Upgrades!$T$11="First Photons",POWER(Upgrades!$U$11,J213),1)))*POWER(Upgrades!$Q$6,E213)*POWER(Upgrades!$Q$7,F213)*POWER(Upgrades!$Q$8,G213)*POWER(Upgrades!$Q$9,H213)*POWER(Upgrades!$Q$10,I213)*POWER(Upgrades!$Q$11,J213)*POWER(Upgrades!$Q$12,K213)</f>
        <v>5.61</v>
      </c>
      <c r="N213" s="28" t="n">
        <f aca="false">((IF(E213=0,0,(Upgrades!$G$6+E213*Upgrades!$H$6)*POWER(Upgrades!$I$6,E213)))*(IF(Upgrades!$T$7="Solar Wind",POWER(Upgrades!$U$7,F213),1)*IF(Upgrades!$T$8="Solar Wind",POWER(Upgrades!$U$8,G213),1)*IF(Upgrades!$T$9="Solar Wind",POWER(Upgrades!$U$9,H213),1)*IF(Upgrades!$T$10="Solar Wind",POWER(Upgrades!$U$10,I213),1)*IF(Upgrades!$T$11="Solar Wind",POWER(Upgrades!$U$11,J213),1)*IF(Upgrades!$T$12="Solar Wind",POWER(Upgrades!$U$12,K213),1))+(IF(F213=0,0,(Upgrades!$G$7+F213*Upgrades!$H$7)*POWER(Upgrades!$I$7,F213)))*(IF(Upgrades!$T$6="Asteroid Belt",POWER(Upgrades!$U$6,E213),1)*IF(Upgrades!$T$8="Asteroid Belt",POWER(Upgrades!$U$8,G213),1)*IF(Upgrades!$T$9="Asteroid Belt",POWER(Upgrades!$U$9,H213),1)*IF(Upgrades!$T$10="Asteroid Belt",POWER(Upgrades!$U$10,I213),1)*IF(Upgrades!$T$11="Asteroid Belt",POWER(Upgrades!$U$11,J213),1)*IF(Upgrades!$T$12="Asteroid Belt",POWER(Upgrades!$U$12,K213),1))+(IF(G213=0,0,(Upgrades!$G$8+G213*Upgrades!$H$8)*POWER(Upgrades!$I$8,G213)))*(IF(Upgrades!$T$6="Stellar Coupling",POWER(Upgrades!$U$6,E213),1)*IF(Upgrades!$T$7="Stellar Coupling",POWER(Upgrades!$U$7,F213),1)*IF(Upgrades!$T$9="Stellar Coupling",POWER(Upgrades!$U$9,H213),1)*IF(Upgrades!$T$10="Stellar Coupling",POWER(Upgrades!$U$10,I213),1)*IF(Upgrades!$T$11="Stellar Coupling",POWER(Upgrades!$U$11,J213),1)*IF(Upgrades!$T$12="Stellar Coupling",POWER(Upgrades!$U$12,K213),1))+(IF(H213=0,0,(Upgrades!$G$9+H213*Upgrades!$H$9)*POWER(Upgrades!$I$9,H213)))*(IF(Upgrades!$T$6="Magnetosphere",POWER(Upgrades!$U$6,E213),1)*IF(Upgrades!$T$7="Magnetosphere",POWER(Upgrades!$U$7,F213),1)*IF(Upgrades!$T$8="Magnetosphere",POWER(Upgrades!$U$8,G213),1)*IF(Upgrades!$T$10="Magnetosphere",POWER(Upgrades!$U$10,I213),1)*IF(Upgrades!$T$11="Magnetosphere",POWER(Upgrades!$U$11,J213),1)*IF(Upgrades!$T$12="Magnetosphere",POWER(Upgrades!$U$12,K213),1))+(IF(I213=0,0,(Upgrades!$G$10+I213*Upgrades!$H$10)*POWER(Upgrades!$I$10,I213)))*(IF(Upgrades!$T$6="Orbital Resonance",POWER(Upgrades!$U$6,E213),1)*IF(Upgrades!$T$7="Orbital Resonance",POWER(Upgrades!$U$7,F213),1)*IF(Upgrades!$T$8="Orbital Resonance",POWER(Upgrades!$U$8,G213),1)*IF(Upgrades!$T$9="Orbital Resonance",POWER(Upgrades!$U$9,H213),1)*IF(Upgrades!$T$11="Orbital Resonance",POWER(Upgrades!$U$11,J213),1)*IF(Upgrades!$T$12="Orbital Resonance",POWER(Upgrades!$U$12,K213),1))+(IF(J213=0,0,(Upgrades!$G$11+J213*Upgrades!$H$11)*POWER(Upgrades!$I$11,J213)))*(IF(Upgrades!$T$6="Heliopause",POWER(Upgrades!$U$6,E213),1)*IF(Upgrades!$T$7="Heliopause",POWER(Upgrades!$U$7,F213),1)*IF(Upgrades!$T$8="Heliopause",POWER(Upgrades!$U$8,G213),1)*IF(Upgrades!$T$9="Heliopause",POWER(Upgrades!$U$9,H213),1)*IF(Upgrades!$T$10="Heliopause",POWER(Upgrades!$U$10,I213),1)*IF(Upgrades!$T$12="Heliopause",POWER(Upgrades!$U$12,K213),1))+(IF(K213=0,0,(Upgrades!$G$12+K213*Upgrades!$H$12)*POWER(Upgrades!$I$12,K213)))*(IF(Upgrades!$T$6="First Photons",POWER(Upgrades!$U$6,E213),1)*IF(Upgrades!$T$7="First Photons",POWER(Upgrades!$U$7,F213),1)*IF(Upgrades!$T$8="First Photons",POWER(Upgrades!$U$8,G213),1)*IF(Upgrades!$T$9="First Photons",POWER(Upgrades!$U$9,H213),1)*IF(Upgrades!$T$10="First Photons",POWER(Upgrades!$U$10,I213),1)*IF(Upgrades!$T$11="First Photons",POWER(Upgrades!$U$11,J213),1)))*POWER(Upgrades!$P$6,E213)*POWER(Upgrades!$P$7,F213)*POWER(Upgrades!$P$8,G213)*POWER(Upgrades!$P$9,H213)*POWER(Upgrades!$P$10,I213)*POWER(Upgrades!$P$11,J213)*POWER(Upgrades!$P$12,K213)</f>
        <v>11.2</v>
      </c>
      <c r="O213" s="28" t="n">
        <f aca="false">((IF(E213=0,0,(Upgrades!$M$6+E213*Upgrades!$N$6)*POWER(Upgrades!$O$6,E213)))*(IF(Upgrades!$T$7="Solar Wind",POWER(Upgrades!$U$7,F213),1)*IF(Upgrades!$T$8="Solar Wind",POWER(Upgrades!$U$8,G213),1)*IF(Upgrades!$T$9="Solar Wind",POWER(Upgrades!$U$9,H213),1)*IF(Upgrades!$T$10="Solar Wind",POWER(Upgrades!$U$10,I213),1)*IF(Upgrades!$T$11="Solar Wind",POWER(Upgrades!$U$11,J213),1)*IF(Upgrades!$T$12="Solar Wind",POWER(Upgrades!$U$12,K213),1))+(IF(F213=0,0,(Upgrades!$M$7+F213*Upgrades!$N$7)*POWER(Upgrades!$O$7,F213)))*(IF(Upgrades!$T$6="Asteroid Belt",POWER(Upgrades!$U$6,E213),1)*IF(Upgrades!$T$8="Asteroid Belt",POWER(Upgrades!$U$8,G213),1)*IF(Upgrades!$T$9="Asteroid Belt",POWER(Upgrades!$U$9,H213),1)*IF(Upgrades!$T$10="Asteroid Belt",POWER(Upgrades!$U$10,I213),1)*IF(Upgrades!$T$11="Asteroid Belt",POWER(Upgrades!$U$11,J213),1)*IF(Upgrades!$T$12="Asteroid Belt",POWER(Upgrades!$U$12,K213),1))+(IF(G213=0,0,(Upgrades!$M$8+G213*Upgrades!$N$8)*POWER(Upgrades!$O$8,G213)))*(IF(Upgrades!$T$6="Stellar Coupling",POWER(Upgrades!$U$6,E213),1)*IF(Upgrades!$T$7="Stellar Coupling",POWER(Upgrades!$U$7,F213),1)*IF(Upgrades!$T$9="Stellar Coupling",POWER(Upgrades!$U$9,H213),1)*IF(Upgrades!$T$10="Stellar Coupling",POWER(Upgrades!$U$10,I213),1)*IF(Upgrades!$T$11="Stellar Coupling",POWER(Upgrades!$U$11,J213),1)*IF(Upgrades!$T$12="Stellar Coupling",POWER(Upgrades!$U$12,K213),1))+(IF(H213=0,0,(Upgrades!$M$9+H213*Upgrades!$N$9)*POWER(Upgrades!$O$9,H213)))*(IF(Upgrades!$T$6="Magnetosphere",POWER(Upgrades!$U$6,E213),1)*IF(Upgrades!$T$7="Magnetosphere",POWER(Upgrades!$U$7,F213),1)*IF(Upgrades!$T$8="Magnetosphere",POWER(Upgrades!$U$8,G213),1)*IF(Upgrades!$T$10="Magnetosphere",POWER(Upgrades!$U$10,I213),1)*IF(Upgrades!$T$11="Magnetosphere",POWER(Upgrades!$U$11,J213),1)*IF(Upgrades!$T$12="Magnetosphere",POWER(Upgrades!$U$12,K213),1))+(IF(I213=0,0,(Upgrades!$M$10+I213*Upgrades!$N$10)*POWER(Upgrades!$O$10,I213)))*(IF(Upgrades!$T$6="Orbital Resonance",POWER(Upgrades!$U$6,E213),1)*IF(Upgrades!$T$7="Orbital Resonance",POWER(Upgrades!$U$7,F213),1)*IF(Upgrades!$T$8="Orbital Resonance",POWER(Upgrades!$U$8,G213),1)*IF(Upgrades!$T$9="Orbital Resonance",POWER(Upgrades!$U$9,H213),1)*IF(Upgrades!$T$11="Orbital Resonance",POWER(Upgrades!$U$11,J213),1)*IF(Upgrades!$T$12="Orbital Resonance",POWER(Upgrades!$U$12,K213),1))+(IF(J213=0,0,(Upgrades!$M$11+J213*Upgrades!$N$11)*POWER(Upgrades!$O$11,J213)))*(IF(Upgrades!$T$6="Heliopause",POWER(Upgrades!$U$6,E213),1)*IF(Upgrades!$T$7="Heliopause",POWER(Upgrades!$U$7,F213),1)*IF(Upgrades!$T$8="Heliopause",POWER(Upgrades!$U$8,G213),1)*IF(Upgrades!$T$9="Heliopause",POWER(Upgrades!$U$9,H213),1)*IF(Upgrades!$T$10="Heliopause",POWER(Upgrades!$U$10,I213),1)*IF(Upgrades!$T$12="Heliopause",POWER(Upgrades!$U$12,K213),1))+(IF(K213=0,0,(Upgrades!$M$12+K213*Upgrades!$N$12)*POWER(Upgrades!$O$12,K213)))*(IF(Upgrades!$T$6="First Photons",POWER(Upgrades!$U$6,E213),1)*IF(Upgrades!$T$7="First Photons",POWER(Upgrades!$U$7,F213),1)*IF(Upgrades!$T$8="First Photons",POWER(Upgrades!$U$8,G213),1)*IF(Upgrades!$T$9="First Photons",POWER(Upgrades!$U$9,H213),1)*IF(Upgrades!$T$10="First Photons",POWER(Upgrades!$U$10,I213),1)*IF(Upgrades!$T$11="First Photons",POWER(Upgrades!$U$11,J213),1)))*POWER(Upgrades!$R$6,E213)*POWER(Upgrades!$R$7,F213)*POWER(Upgrades!$R$8,G213)*POWER(Upgrades!$R$9,H213)*POWER(Upgrades!$R$10,I213)*POWER(Upgrades!$R$11,J213)*POWER(Upgrades!$R$12,K213)</f>
        <v>0</v>
      </c>
      <c r="P213" s="27" t="n">
        <f aca="false">IF(L213=1,0,M213*Parameters!$B$10/60*Parameters!$B$11*10)</f>
        <v>0</v>
      </c>
      <c r="Q213" s="27" t="n">
        <f aca="false">IF(L213=1,0,O213*M213*10)</f>
        <v>0</v>
      </c>
      <c r="R213" s="27" t="n">
        <f aca="false">IF(L213=1,0,N213*10)</f>
        <v>0</v>
      </c>
      <c r="S213" s="27" t="n">
        <f aca="false">P213+Q213+R213</f>
        <v>0</v>
      </c>
      <c r="T213" s="21" t="n">
        <f aca="false">C213+S213</f>
        <v>18.6730249835055</v>
      </c>
      <c r="U213" s="34" t="str">
        <f aca="false">AX213</f>
        <v/>
      </c>
      <c r="V213" s="21" t="n">
        <f aca="false">IF(U213="",0,IF(U213="transition",0,IF(U213="SW",AG213,IF(U213="AB",AH213,IF(U213="SC",AI213,IF(U213="Mag",AJ213,IF(U213="OR",AK213,IF(U213="HP",AL213,IF(U213="FP",AM213,0)))))))))</f>
        <v>0</v>
      </c>
      <c r="W213" s="27" t="n">
        <f aca="false">IF(U213="OR",Upgrades!$F$10,IF(U213="HP",Upgrades!$F$11,IF(U213="transition",-Parameters!$B$18,0)))</f>
        <v>0</v>
      </c>
      <c r="X213" s="21" t="n">
        <f aca="false">T213-V213</f>
        <v>18.6730249835055</v>
      </c>
      <c r="Y213" s="30" t="n">
        <f aca="false">M213*Parameters!$B$10/60*Parameters!$B$11+O213*M213+N213</f>
        <v>20.55</v>
      </c>
      <c r="Z213" s="35" t="str">
        <f aca="false">IF(U213="transition","→ Tier 2 (Stellar Neighborhood)",IF(U213="FP","First Photons — light begins, system quickens",IF(U213="HP","Heliopause acquired",IF(U213="OR","Orbital Resonance — passive multiplier active",IF(AND(AO213=1,L213=0,AN213&lt;&gt;1),"Cohesion ready (waiting on completionist upgrades)","")))))</f>
        <v/>
      </c>
      <c r="AA213" s="27" t="n">
        <f aca="false">(IF(E213=0,0,(Upgrades!$G$6+E213*Upgrades!$H$6)*POWER(Upgrades!$I$6,E213)))*(IF(Upgrades!$T$7="Solar Wind",POWER(Upgrades!$U$7,F213),1)*IF(Upgrades!$T$8="Solar Wind",POWER(Upgrades!$U$8,G213),1)*IF(Upgrades!$T$9="Solar Wind",POWER(Upgrades!$U$9,H213),1)*IF(Upgrades!$T$10="Solar Wind",POWER(Upgrades!$U$10,I213),1)*IF(Upgrades!$T$11="Solar Wind",POWER(Upgrades!$U$11,J213),1)*IF(Upgrades!$T$12="Solar Wind",POWER(Upgrades!$U$12,K213),1))*POWER(Upgrades!$P$6,E213)*POWER(Upgrades!$P$7,F213)*POWER(Upgrades!$P$8,G213)*POWER(Upgrades!$P$9,H213)*POWER(Upgrades!$P$10,I213)*POWER(Upgrades!$P$11,J213)*POWER(Upgrades!$P$12,K213)*60</f>
        <v>72</v>
      </c>
      <c r="AB213" s="27" t="n">
        <f aca="false">(IF(F213=0,0,(Upgrades!$G$7+F213*Upgrades!$H$7)*POWER(Upgrades!$I$7,F213)))*(IF(Upgrades!$T$6="Asteroid Belt",POWER(Upgrades!$U$6,E213),1)*IF(Upgrades!$T$8="Asteroid Belt",POWER(Upgrades!$U$8,G213),1)*IF(Upgrades!$T$9="Asteroid Belt",POWER(Upgrades!$U$9,H213),1)*IF(Upgrades!$T$10="Asteroid Belt",POWER(Upgrades!$U$10,I213),1)*IF(Upgrades!$T$11="Asteroid Belt",POWER(Upgrades!$U$11,J213),1)*IF(Upgrades!$T$12="Asteroid Belt",POWER(Upgrades!$U$12,K213),1))*POWER(Upgrades!$P$6,E213)*POWER(Upgrades!$P$7,F213)*POWER(Upgrades!$P$8,G213)*POWER(Upgrades!$P$9,H213)*POWER(Upgrades!$P$10,I213)*POWER(Upgrades!$P$11,J213)*POWER(Upgrades!$P$12,K213)*60</f>
        <v>150</v>
      </c>
      <c r="AC213" s="27" t="n">
        <f aca="false">(IF(G213=0,0,(Upgrades!$J$8+G213*Upgrades!$K$8)*POWER(Upgrades!$L$8,G213)))*(IF(Upgrades!$T$6="Stellar Coupling",POWER(Upgrades!$U$6,E213),1)*IF(Upgrades!$T$7="Stellar Coupling",POWER(Upgrades!$U$7,F213),1)*IF(Upgrades!$T$9="Stellar Coupling",POWER(Upgrades!$U$9,H213),1)*IF(Upgrades!$T$10="Stellar Coupling",POWER(Upgrades!$U$10,I213),1)*IF(Upgrades!$T$11="Stellar Coupling",POWER(Upgrades!$U$11,J213),1)*IF(Upgrades!$T$12="Stellar Coupling",POWER(Upgrades!$U$12,K213),1))*POWER(Upgrades!$Q$6,E213)*POWER(Upgrades!$Q$7,F213)*POWER(Upgrades!$Q$8,G213)*POWER(Upgrades!$Q$9,H213)*POWER(Upgrades!$Q$10,I213)*POWER(Upgrades!$Q$11,J213)*POWER(Upgrades!$Q$12,K213)*Parameters!$B$10*Parameters!$B$11</f>
        <v>441</v>
      </c>
      <c r="AD213" s="27" t="n">
        <f aca="false">(IF(H213=0,0,(Upgrades!$G$9+H213*Upgrades!$H$9)*POWER(Upgrades!$I$9,H213)))*(IF(Upgrades!$T$6="Magnetosphere",POWER(Upgrades!$U$6,E213),1)*IF(Upgrades!$T$7="Magnetosphere",POWER(Upgrades!$U$7,F213),1)*IF(Upgrades!$T$8="Magnetosphere",POWER(Upgrades!$U$8,G213),1)*IF(Upgrades!$T$10="Magnetosphere",POWER(Upgrades!$U$10,I213),1)*IF(Upgrades!$T$11="Magnetosphere",POWER(Upgrades!$U$11,J213),1)*IF(Upgrades!$T$12="Magnetosphere",POWER(Upgrades!$U$12,K213),1))*POWER(Upgrades!$P$6,E213)*POWER(Upgrades!$P$7,F213)*POWER(Upgrades!$P$8,G213)*POWER(Upgrades!$P$9,H213)*POWER(Upgrades!$P$10,I213)*POWER(Upgrades!$P$11,J213)*POWER(Upgrades!$P$12,K213)*60</f>
        <v>375</v>
      </c>
      <c r="AE213" s="27" t="n">
        <f aca="false">(IF(K213=0,0,(Upgrades!$G$12+K213*Upgrades!$H$12)*POWER(Upgrades!$I$12,K213)))*(IF(Upgrades!$T$6="First Photons",POWER(Upgrades!$U$6,E213),1)*IF(Upgrades!$T$7="First Photons",POWER(Upgrades!$U$7,F213),1)*IF(Upgrades!$T$8="First Photons",POWER(Upgrades!$U$8,G213),1)*IF(Upgrades!$T$9="First Photons",POWER(Upgrades!$U$9,H213),1)*IF(Upgrades!$T$10="First Photons",POWER(Upgrades!$U$10,I213),1)*IF(Upgrades!$T$11="First Photons",POWER(Upgrades!$U$11,J213),1))*POWER(Upgrades!$P$6,E213)*POWER(Upgrades!$P$7,F213)*POWER(Upgrades!$P$8,G213)*POWER(Upgrades!$P$9,H213)*POWER(Upgrades!$P$10,I213)*POWER(Upgrades!$P$11,J213)*POWER(Upgrades!$P$12,K213)*60</f>
        <v>75</v>
      </c>
      <c r="AF213" s="27" t="n">
        <f aca="false">Parameters!$B$9*POWER(Upgrades!$Q$6,E213)*POWER(Upgrades!$Q$7,F213)*POWER(Upgrades!$Q$8,G213)*POWER(Upgrades!$Q$9,H213)*POWER(Upgrades!$Q$10,I213)*POWER(Upgrades!$Q$11,J213)*POWER(Upgrades!$Q$12,K213)*(Parameters!$B$10*Parameters!$B$11+O213*60)</f>
        <v>120</v>
      </c>
      <c r="AG213" s="21" t="n">
        <f aca="false">IF(E213&gt;=Upgrades!$E$6,"",Upgrades!$C$6*POWER(Upgrades!$D$6,E213))</f>
        <v>37.4517507383159</v>
      </c>
      <c r="AH213" s="21" t="n">
        <f aca="false">IF(F213&gt;=Upgrades!$E$7,"",Upgrades!$C$7*POWER(Upgrades!$D$7,F213))</f>
        <v>80.9111547141581</v>
      </c>
      <c r="AI213" s="21" t="n">
        <f aca="false">IF(G213&gt;=Upgrades!$E$8,"",Upgrades!$C$8*POWER(Upgrades!$D$8,G213))</f>
        <v>231.9097088</v>
      </c>
      <c r="AJ213" s="21" t="str">
        <f aca="false">IF(H213&gt;=Upgrades!$E$9,"",Upgrades!$C$9*POWER(Upgrades!$D$9,H213))</f>
        <v/>
      </c>
      <c r="AK213" s="21" t="str">
        <f aca="false">IF(I213&gt;=Upgrades!$E$10,"",Upgrades!$C$10*POWER(Upgrades!$D$10,I213))</f>
        <v/>
      </c>
      <c r="AL213" s="21" t="str">
        <f aca="false">IF(J213&gt;=Upgrades!$E$11,"",Upgrades!$C$11*POWER(Upgrades!$D$11,J213))</f>
        <v/>
      </c>
      <c r="AM213" s="21" t="str">
        <f aca="false">IF(K213&gt;=Upgrades!$E$12,"",Upgrades!$C$12*POWER(Upgrades!$D$12,K213))</f>
        <v/>
      </c>
      <c r="AN213" s="26" t="str">
        <f aca="false">IF(AND(D213&gt;=Parameters!$B$18,(H213&gt;=Upgrades!$E$9)*(K213&gt;=Upgrades!$E$12)=1,L213=0),1,"")</f>
        <v/>
      </c>
      <c r="AO213" s="26" t="str">
        <f aca="false">IF(AND(D213&gt;=Parameters!$B$18,L213=0),1,"")</f>
        <v/>
      </c>
      <c r="AP213" s="21" t="n">
        <f aca="false">MIN(IF(ISNUMBER(AK213),AK213,9000000000000000),IF(ISNUMBER(AL213),AL213,9000000000000000),IF(ISNUMBER(AM213),AM213,9000000000000000))</f>
        <v>9000000000000000</v>
      </c>
      <c r="AQ213" s="21" t="n">
        <f aca="false">MIN(IF(ISNUMBER(AG213),AG213,9000000000000000),IF(ISNUMBER(AH213),AH213,9000000000000000),IF(ISNUMBER(AI213),AI213,9000000000000000),IF(ISNUMBER(AJ213),AJ213,9000000000000000))</f>
        <v>37.4517507383159</v>
      </c>
      <c r="AR213" s="32" t="b">
        <f aca="false">IF(AW213&gt;Parameters!$B$21*(MAX(IF(AND(NOT(AND(AO213=1,AN213&lt;&gt;1)),ISNUMBER(AG213),AG213&lt;=T213),AS213,0),IF(AND(NOT(AND(AO213=1,AN213&lt;&gt;1)),ISNUMBER(AH213),AH213&lt;=T213),AT213,0),IF(AND(NOT(AND(AO213=1,AN213&lt;&gt;1)),ISNUMBER(AI213),AI213&lt;=T213),AU213,0),IF(AND(ISNUMBER(AJ213),AJ213&lt;=T213),AV213,0))),TRUE(),FALSE())</f>
        <v>1</v>
      </c>
      <c r="AS213" s="33" t="n">
        <f aca="false">IFERROR(Upgrades!$H$6*(POWER(Upgrades!$P$6,E213)*POWER(Upgrades!$P$7,F213)*POWER(Upgrades!$P$8,G213)*POWER(Upgrades!$P$9,H213)*POWER(Upgrades!$P$10,I213)*POWER(Upgrades!$P$11,J213)*POWER(Upgrades!$P$12,K213))*(IF(Upgrades!$T$7="Solar Wind",POWER(Upgrades!$U$7,F213),1)*IF(Upgrades!$T$8="Solar Wind",POWER(Upgrades!$U$8,G213),1)*IF(Upgrades!$T$9="Solar Wind",POWER(Upgrades!$U$9,H213),1)*IF(Upgrades!$T$10="Solar Wind",POWER(Upgrades!$U$10,I213),1)*IF(Upgrades!$T$11="Solar Wind",POWER(Upgrades!$U$11,J213),1)*IF(Upgrades!$T$12="Solar Wind",POWER(Upgrades!$U$12,K213),1))/AG213,0)</f>
        <v>0.0026701021455238</v>
      </c>
      <c r="AT213" s="33" t="n">
        <f aca="false">IFERROR(Upgrades!$H$7*(POWER(Upgrades!$P$6,E213)*POWER(Upgrades!$P$7,F213)*POWER(Upgrades!$P$8,G213)*POWER(Upgrades!$P$9,H213)*POWER(Upgrades!$P$10,I213)*POWER(Upgrades!$P$11,J213)*POWER(Upgrades!$P$12,K213))*(IF(Upgrades!$T$6="Asteroid Belt",POWER(Upgrades!$U$6,E213),1)*IF(Upgrades!$T$8="Asteroid Belt",POWER(Upgrades!$U$8,G213),1)*IF(Upgrades!$T$9="Asteroid Belt",POWER(Upgrades!$U$9,H213),1)*IF(Upgrades!$T$10="Asteroid Belt",POWER(Upgrades!$U$10,I213),1)*IF(Upgrades!$T$11="Asteroid Belt",POWER(Upgrades!$U$11,J213),1)*IF(Upgrades!$T$12="Asteroid Belt",POWER(Upgrades!$U$12,K213),1))/AH213,0)</f>
        <v>0.00308980882652332</v>
      </c>
      <c r="AU213" s="33" t="n">
        <f aca="false">IFERROR(Upgrades!$K$8*(POWER(Upgrades!$Q$6,E213)*POWER(Upgrades!$Q$7,F213)*POWER(Upgrades!$Q$8,G213)*POWER(Upgrades!$Q$9,H213)*POWER(Upgrades!$Q$10,I213)*POWER(Upgrades!$Q$11,J213)*POWER(Upgrades!$Q$12,K213))*(IF(Upgrades!$T$6="Stellar Coupling",POWER(Upgrades!$U$6,E213),1)*IF(Upgrades!$T$7="Stellar Coupling",POWER(Upgrades!$U$7,F213),1)*IF(Upgrades!$T$9="Stellar Coupling",POWER(Upgrades!$U$9,H213),1)*IF(Upgrades!$T$10="Stellar Coupling",POWER(Upgrades!$U$10,I213),1)*IF(Upgrades!$T$11="Stellar Coupling",POWER(Upgrades!$U$11,J213),1)*IF(Upgrades!$T$12="Stellar Coupling",POWER(Upgrades!$U$12,K213),1))*Parameters!$B$10*Parameters!$B$11/60/AI213,0)</f>
        <v>0.00452762415783776</v>
      </c>
      <c r="AV213" s="33" t="n">
        <f aca="false">IFERROR(Upgrades!$H$9*(POWER(Upgrades!$P$6,E213)*POWER(Upgrades!$P$7,F213)*POWER(Upgrades!$P$8,G213)*POWER(Upgrades!$P$9,H213)*POWER(Upgrades!$P$10,I213)*POWER(Upgrades!$P$11,J213)*POWER(Upgrades!$P$12,K213))*(IF(Upgrades!$T$6="Magnetosphere",POWER(Upgrades!$U$6,E213),1)*IF(Upgrades!$T$7="Magnetosphere",POWER(Upgrades!$U$7,F213),1)*IF(Upgrades!$T$8="Magnetosphere",POWER(Upgrades!$U$8,G213),1)*IF(Upgrades!$T$10="Magnetosphere",POWER(Upgrades!$U$10,I213),1)*IF(Upgrades!$T$11="Magnetosphere",POWER(Upgrades!$U$11,J213),1)*IF(Upgrades!$T$12="Magnetosphere",POWER(Upgrades!$U$12,K213),1))/AJ213,0)</f>
        <v>0</v>
      </c>
      <c r="AW213" s="33" t="n">
        <f aca="false">MAX(IF(I213&gt;0,0,IFERROR(0.25*N213/Upgrades!$C$10,0)),IF(J213&gt;0,0,IFERROR(0.5*((IF(G213=0,0,(Upgrades!$J$8+G213*Upgrades!$K$8)*POWER(Upgrades!$L$8,G213)))*(IF(Upgrades!$T$6="Stellar Coupling",POWER(Upgrades!$U$6,E213),1)*IF(Upgrades!$T$7="Stellar Coupling",POWER(Upgrades!$U$7,F213),1)*IF(Upgrades!$T$9="Stellar Coupling",POWER(Upgrades!$U$9,H213),1)*IF(Upgrades!$T$10="Stellar Coupling",POWER(Upgrades!$U$10,I213),1)*IF(Upgrades!$T$11="Stellar Coupling",POWER(Upgrades!$U$11,J213),1)*IF(Upgrades!$T$12="Stellar Coupling",POWER(Upgrades!$U$12,K213),1))*(POWER(Upgrades!$Q$6,E213)*POWER(Upgrades!$Q$7,F213)*POWER(Upgrades!$Q$8,G213)*POWER(Upgrades!$Q$9,H213)*POWER(Upgrades!$Q$10,I213)*POWER(Upgrades!$Q$11,J213)*POWER(Upgrades!$Q$12,K213))*Parameters!$B$10*Parameters!$B$11/60)/Upgrades!$C$11,0)),IF(K213&gt;0,0,IFERROR((1*(POWER(Upgrades!$P$6,E213)*POWER(Upgrades!$P$7,F213)*POWER(Upgrades!$P$8,G213)*POWER(Upgrades!$P$9,H213)*POWER(Upgrades!$P$10,I213)*POWER(Upgrades!$P$11,J213)*POWER(Upgrades!$P$12,K213))+0.2*M213*Parameters!$B$10*Parameters!$B$11/60)/Upgrades!$C$12,0)),IF(AND(ISNUMBER(AG213),AG213&gt;T213),AS213,0),IF(AND(ISNUMBER(AH213),AH213&gt;T213),AT213,0),IF(AND(ISNUMBER(AI213),AI213&gt;T213),AU213,0),IF(AND(ISNUMBER(AJ213),AJ213&gt;T213),AV213,0))</f>
        <v>0.00452762415783776</v>
      </c>
      <c r="AX213" s="29" t="str">
        <f aca="false">IF(AN213=1,"transition",IF(MIN(IF(AND(I213=0,ISNUMBER(AK213),AK213&lt;=T213),AK213,9000000000000000),IF(AND(J213=0,ISNUMBER(AL213),AL213&lt;=T213),AL213,9000000000000000),IF(AND(K213=0,ISNUMBER(AM213),AM213&lt;=T213),AM213,9000000000000000))&lt;9000000000000000,IF(AND(AND(I213=0,ISNUMBER(AK213),AK213&lt;=T213),AK213=MIN(IF(AND(I213=0,ISNUMBER(AK213),AK213&lt;=T213),AK213,9000000000000000),IF(AND(J213=0,ISNUMBER(AL213),AL213&lt;=T213),AL213,9000000000000000),IF(AND(K213=0,ISNUMBER(AM213),AM213&lt;=T213),AM213,9000000000000000))),"OR",IF(AND(AND(J213=0,ISNUMBER(AL213),AL213&lt;=T213),AL213=MIN(IF(AND(I213=0,ISNUMBER(AK213),AK213&lt;=T213),AK213,9000000000000000),IF(AND(J213=0,ISNUMBER(AL213),AL213&lt;=T213),AL213,9000000000000000),IF(AND(K213=0,ISNUMBER(AM213),AM213&lt;=T213),AM213,9000000000000000))),"HP","FP")),IF(AR213=TRUE(),"",IF(MAX(IF(AND(NOT(AND(AO213=1,AN213&lt;&gt;1)),ISNUMBER(AG213),AG213&lt;=T213),AS213,0),IF(AND(NOT(AND(AO213=1,AN213&lt;&gt;1)),ISNUMBER(AH213),AH213&lt;=T213),AT213,0),IF(AND(NOT(AND(AO213=1,AN213&lt;&gt;1)),ISNUMBER(AI213),AI213&lt;=T213),AU213,0),IF(AND(ISNUMBER(AJ213),AJ213&lt;=T213),AV213,0))&lt;=0,"",IF(AND(IF(AND(NOT(AND(AO213=1,AN213&lt;&gt;1)),ISNUMBER(AG213),AG213&lt;=T213),AS213,0)&gt;0,IF(AND(NOT(AND(AO213=1,AN213&lt;&gt;1)),ISNUMBER(AG213),AG213&lt;=T213),AS213,0)=MAX(IF(AND(NOT(AND(AO213=1,AN213&lt;&gt;1)),ISNUMBER(AG213),AG213&lt;=T213),AS213,0),IF(AND(NOT(AND(AO213=1,AN213&lt;&gt;1)),ISNUMBER(AH213),AH213&lt;=T213),AT213,0),IF(AND(NOT(AND(AO213=1,AN213&lt;&gt;1)),ISNUMBER(AI213),AI213&lt;=T213),AU213,0),IF(AND(ISNUMBER(AJ213),AJ213&lt;=T213),AV213,0))),"SW",IF(AND(IF(AND(NOT(AND(AO213=1,AN213&lt;&gt;1)),ISNUMBER(AH213),AH213&lt;=T213),AT213,0)&gt;0,IF(AND(NOT(AND(AO213=1,AN213&lt;&gt;1)),ISNUMBER(AH213),AH213&lt;=T213),AT213,0)=MAX(IF(AND(NOT(AND(AO213=1,AN213&lt;&gt;1)),ISNUMBER(AG213),AG213&lt;=T213),AS213,0),IF(AND(NOT(AND(AO213=1,AN213&lt;&gt;1)),ISNUMBER(AH213),AH213&lt;=T213),AT213,0),IF(AND(NOT(AND(AO213=1,AN213&lt;&gt;1)),ISNUMBER(AI213),AI213&lt;=T213),AU213,0),IF(AND(ISNUMBER(AJ213),AJ213&lt;=T213),AV213,0))),"AB",IF(AND(IF(AND(NOT(AND(AO213=1,AN213&lt;&gt;1)),ISNUMBER(AI213),AI213&lt;=T213),AU213,0)&gt;0,IF(AND(NOT(AND(AO213=1,AN213&lt;&gt;1)),ISNUMBER(AI213),AI213&lt;=T213),AU213,0)=MAX(IF(AND(NOT(AND(AO213=1,AN213&lt;&gt;1)),ISNUMBER(AG213),AG213&lt;=T213),AS213,0),IF(AND(NOT(AND(AO213=1,AN213&lt;&gt;1)),ISNUMBER(AH213),AH213&lt;=T213),AT213,0),IF(AND(NOT(AND(AO213=1,AN213&lt;&gt;1)),ISNUMBER(AI213),AI213&lt;=T213),AU213,0),IF(AND(ISNUMBER(AJ213),AJ213&lt;=T213),AV213,0))),"SC","Mag")))))))</f>
        <v/>
      </c>
    </row>
    <row r="214" customFormat="false" ht="15" hidden="false" customHeight="false" outlineLevel="0" collapsed="false">
      <c r="A214" s="26" t="n">
        <v>209</v>
      </c>
      <c r="B214" s="27" t="n">
        <f aca="false">A214*10/60</f>
        <v>34.8333333333333</v>
      </c>
      <c r="C214" s="21" t="n">
        <f aca="false">X213</f>
        <v>18.6730249835055</v>
      </c>
      <c r="D214" s="27" t="n">
        <f aca="false">D213+W213</f>
        <v>0</v>
      </c>
      <c r="E214" s="26" t="n">
        <f aca="false">E213+IF(U213="SW",1,0)</f>
        <v>12</v>
      </c>
      <c r="F214" s="26" t="n">
        <f aca="false">F213+IF(U213="AB",1,0)</f>
        <v>10</v>
      </c>
      <c r="G214" s="26" t="n">
        <f aca="false">G213+IF(U213="SC",1,0)</f>
        <v>7</v>
      </c>
      <c r="H214" s="26" t="n">
        <f aca="false">H213+IF(U213="Mag",1,0)</f>
        <v>5</v>
      </c>
      <c r="I214" s="26" t="n">
        <f aca="false">MAX(I213,IF(U213="OR",1,0))</f>
        <v>1</v>
      </c>
      <c r="J214" s="26" t="n">
        <f aca="false">MAX(J213,IF(U213="HP",1,0))</f>
        <v>1</v>
      </c>
      <c r="K214" s="26" t="n">
        <f aca="false">MAX(K213,IF(U213="FP",1,0))</f>
        <v>1</v>
      </c>
      <c r="L214" s="26" t="n">
        <f aca="false">MAX(L213,IF(U213="transition",1,0))</f>
        <v>1</v>
      </c>
      <c r="M214" s="28" t="n">
        <f aca="false">(Parameters!$B$9+(IF(E214=0,0,(Upgrades!$J$6+E214*Upgrades!$K$6)*POWER(Upgrades!$L$6,E214)))*(IF(Upgrades!$T$7="Solar Wind",POWER(Upgrades!$U$7,F214),1)*IF(Upgrades!$T$8="Solar Wind",POWER(Upgrades!$U$8,G214),1)*IF(Upgrades!$T$9="Solar Wind",POWER(Upgrades!$U$9,H214),1)*IF(Upgrades!$T$10="Solar Wind",POWER(Upgrades!$U$10,I214),1)*IF(Upgrades!$T$11="Solar Wind",POWER(Upgrades!$U$11,J214),1)*IF(Upgrades!$T$12="Solar Wind",POWER(Upgrades!$U$12,K214),1))+(IF(F214=0,0,(Upgrades!$J$7+F214*Upgrades!$K$7)*POWER(Upgrades!$L$7,F214)))*(IF(Upgrades!$T$6="Asteroid Belt",POWER(Upgrades!$U$6,E214),1)*IF(Upgrades!$T$8="Asteroid Belt",POWER(Upgrades!$U$8,G214),1)*IF(Upgrades!$T$9="Asteroid Belt",POWER(Upgrades!$U$9,H214),1)*IF(Upgrades!$T$10="Asteroid Belt",POWER(Upgrades!$U$10,I214),1)*IF(Upgrades!$T$11="Asteroid Belt",POWER(Upgrades!$U$11,J214),1)*IF(Upgrades!$T$12="Asteroid Belt",POWER(Upgrades!$U$12,K214),1))+(IF(G214=0,0,(Upgrades!$J$8+G214*Upgrades!$K$8)*POWER(Upgrades!$L$8,G214)))*(IF(Upgrades!$T$6="Stellar Coupling",POWER(Upgrades!$U$6,E214),1)*IF(Upgrades!$T$7="Stellar Coupling",POWER(Upgrades!$U$7,F214),1)*IF(Upgrades!$T$9="Stellar Coupling",POWER(Upgrades!$U$9,H214),1)*IF(Upgrades!$T$10="Stellar Coupling",POWER(Upgrades!$U$10,I214),1)*IF(Upgrades!$T$11="Stellar Coupling",POWER(Upgrades!$U$11,J214),1)*IF(Upgrades!$T$12="Stellar Coupling",POWER(Upgrades!$U$12,K214),1))+(IF(H214=0,0,(Upgrades!$J$9+H214*Upgrades!$K$9)*POWER(Upgrades!$L$9,H214)))*(IF(Upgrades!$T$6="Magnetosphere",POWER(Upgrades!$U$6,E214),1)*IF(Upgrades!$T$7="Magnetosphere",POWER(Upgrades!$U$7,F214),1)*IF(Upgrades!$T$8="Magnetosphere",POWER(Upgrades!$U$8,G214),1)*IF(Upgrades!$T$10="Magnetosphere",POWER(Upgrades!$U$10,I214),1)*IF(Upgrades!$T$11="Magnetosphere",POWER(Upgrades!$U$11,J214),1)*IF(Upgrades!$T$12="Magnetosphere",POWER(Upgrades!$U$12,K214),1))+(IF(I214=0,0,(Upgrades!$J$10+I214*Upgrades!$K$10)*POWER(Upgrades!$L$10,I214)))*(IF(Upgrades!$T$6="Orbital Resonance",POWER(Upgrades!$U$6,E214),1)*IF(Upgrades!$T$7="Orbital Resonance",POWER(Upgrades!$U$7,F214),1)*IF(Upgrades!$T$8="Orbital Resonance",POWER(Upgrades!$U$8,G214),1)*IF(Upgrades!$T$9="Orbital Resonance",POWER(Upgrades!$U$9,H214),1)*IF(Upgrades!$T$11="Orbital Resonance",POWER(Upgrades!$U$11,J214),1)*IF(Upgrades!$T$12="Orbital Resonance",POWER(Upgrades!$U$12,K214),1))+(IF(J214=0,0,(Upgrades!$J$11+J214*Upgrades!$K$11)*POWER(Upgrades!$L$11,J214)))*(IF(Upgrades!$T$6="Heliopause",POWER(Upgrades!$U$6,E214),1)*IF(Upgrades!$T$7="Heliopause",POWER(Upgrades!$U$7,F214),1)*IF(Upgrades!$T$8="Heliopause",POWER(Upgrades!$U$8,G214),1)*IF(Upgrades!$T$9="Heliopause",POWER(Upgrades!$U$9,H214),1)*IF(Upgrades!$T$10="Heliopause",POWER(Upgrades!$U$10,I214),1)*IF(Upgrades!$T$12="Heliopause",POWER(Upgrades!$U$12,K214),1))+(IF(K214=0,0,(Upgrades!$J$12+K214*Upgrades!$K$12)*POWER(Upgrades!$L$12,K214)))*(IF(Upgrades!$T$6="First Photons",POWER(Upgrades!$U$6,E214),1)*IF(Upgrades!$T$7="First Photons",POWER(Upgrades!$U$7,F214),1)*IF(Upgrades!$T$8="First Photons",POWER(Upgrades!$U$8,G214),1)*IF(Upgrades!$T$9="First Photons",POWER(Upgrades!$U$9,H214),1)*IF(Upgrades!$T$10="First Photons",POWER(Upgrades!$U$10,I214),1)*IF(Upgrades!$T$11="First Photons",POWER(Upgrades!$U$11,J214),1)))*POWER(Upgrades!$Q$6,E214)*POWER(Upgrades!$Q$7,F214)*POWER(Upgrades!$Q$8,G214)*POWER(Upgrades!$Q$9,H214)*POWER(Upgrades!$Q$10,I214)*POWER(Upgrades!$Q$11,J214)*POWER(Upgrades!$Q$12,K214)</f>
        <v>5.61</v>
      </c>
      <c r="N214" s="28" t="n">
        <f aca="false">((IF(E214=0,0,(Upgrades!$G$6+E214*Upgrades!$H$6)*POWER(Upgrades!$I$6,E214)))*(IF(Upgrades!$T$7="Solar Wind",POWER(Upgrades!$U$7,F214),1)*IF(Upgrades!$T$8="Solar Wind",POWER(Upgrades!$U$8,G214),1)*IF(Upgrades!$T$9="Solar Wind",POWER(Upgrades!$U$9,H214),1)*IF(Upgrades!$T$10="Solar Wind",POWER(Upgrades!$U$10,I214),1)*IF(Upgrades!$T$11="Solar Wind",POWER(Upgrades!$U$11,J214),1)*IF(Upgrades!$T$12="Solar Wind",POWER(Upgrades!$U$12,K214),1))+(IF(F214=0,0,(Upgrades!$G$7+F214*Upgrades!$H$7)*POWER(Upgrades!$I$7,F214)))*(IF(Upgrades!$T$6="Asteroid Belt",POWER(Upgrades!$U$6,E214),1)*IF(Upgrades!$T$8="Asteroid Belt",POWER(Upgrades!$U$8,G214),1)*IF(Upgrades!$T$9="Asteroid Belt",POWER(Upgrades!$U$9,H214),1)*IF(Upgrades!$T$10="Asteroid Belt",POWER(Upgrades!$U$10,I214),1)*IF(Upgrades!$T$11="Asteroid Belt",POWER(Upgrades!$U$11,J214),1)*IF(Upgrades!$T$12="Asteroid Belt",POWER(Upgrades!$U$12,K214),1))+(IF(G214=0,0,(Upgrades!$G$8+G214*Upgrades!$H$8)*POWER(Upgrades!$I$8,G214)))*(IF(Upgrades!$T$6="Stellar Coupling",POWER(Upgrades!$U$6,E214),1)*IF(Upgrades!$T$7="Stellar Coupling",POWER(Upgrades!$U$7,F214),1)*IF(Upgrades!$T$9="Stellar Coupling",POWER(Upgrades!$U$9,H214),1)*IF(Upgrades!$T$10="Stellar Coupling",POWER(Upgrades!$U$10,I214),1)*IF(Upgrades!$T$11="Stellar Coupling",POWER(Upgrades!$U$11,J214),1)*IF(Upgrades!$T$12="Stellar Coupling",POWER(Upgrades!$U$12,K214),1))+(IF(H214=0,0,(Upgrades!$G$9+H214*Upgrades!$H$9)*POWER(Upgrades!$I$9,H214)))*(IF(Upgrades!$T$6="Magnetosphere",POWER(Upgrades!$U$6,E214),1)*IF(Upgrades!$T$7="Magnetosphere",POWER(Upgrades!$U$7,F214),1)*IF(Upgrades!$T$8="Magnetosphere",POWER(Upgrades!$U$8,G214),1)*IF(Upgrades!$T$10="Magnetosphere",POWER(Upgrades!$U$10,I214),1)*IF(Upgrades!$T$11="Magnetosphere",POWER(Upgrades!$U$11,J214),1)*IF(Upgrades!$T$12="Magnetosphere",POWER(Upgrades!$U$12,K214),1))+(IF(I214=0,0,(Upgrades!$G$10+I214*Upgrades!$H$10)*POWER(Upgrades!$I$10,I214)))*(IF(Upgrades!$T$6="Orbital Resonance",POWER(Upgrades!$U$6,E214),1)*IF(Upgrades!$T$7="Orbital Resonance",POWER(Upgrades!$U$7,F214),1)*IF(Upgrades!$T$8="Orbital Resonance",POWER(Upgrades!$U$8,G214),1)*IF(Upgrades!$T$9="Orbital Resonance",POWER(Upgrades!$U$9,H214),1)*IF(Upgrades!$T$11="Orbital Resonance",POWER(Upgrades!$U$11,J214),1)*IF(Upgrades!$T$12="Orbital Resonance",POWER(Upgrades!$U$12,K214),1))+(IF(J214=0,0,(Upgrades!$G$11+J214*Upgrades!$H$11)*POWER(Upgrades!$I$11,J214)))*(IF(Upgrades!$T$6="Heliopause",POWER(Upgrades!$U$6,E214),1)*IF(Upgrades!$T$7="Heliopause",POWER(Upgrades!$U$7,F214),1)*IF(Upgrades!$T$8="Heliopause",POWER(Upgrades!$U$8,G214),1)*IF(Upgrades!$T$9="Heliopause",POWER(Upgrades!$U$9,H214),1)*IF(Upgrades!$T$10="Heliopause",POWER(Upgrades!$U$10,I214),1)*IF(Upgrades!$T$12="Heliopause",POWER(Upgrades!$U$12,K214),1))+(IF(K214=0,0,(Upgrades!$G$12+K214*Upgrades!$H$12)*POWER(Upgrades!$I$12,K214)))*(IF(Upgrades!$T$6="First Photons",POWER(Upgrades!$U$6,E214),1)*IF(Upgrades!$T$7="First Photons",POWER(Upgrades!$U$7,F214),1)*IF(Upgrades!$T$8="First Photons",POWER(Upgrades!$U$8,G214),1)*IF(Upgrades!$T$9="First Photons",POWER(Upgrades!$U$9,H214),1)*IF(Upgrades!$T$10="First Photons",POWER(Upgrades!$U$10,I214),1)*IF(Upgrades!$T$11="First Photons",POWER(Upgrades!$U$11,J214),1)))*POWER(Upgrades!$P$6,E214)*POWER(Upgrades!$P$7,F214)*POWER(Upgrades!$P$8,G214)*POWER(Upgrades!$P$9,H214)*POWER(Upgrades!$P$10,I214)*POWER(Upgrades!$P$11,J214)*POWER(Upgrades!$P$12,K214)</f>
        <v>11.2</v>
      </c>
      <c r="O214" s="28" t="n">
        <f aca="false">((IF(E214=0,0,(Upgrades!$M$6+E214*Upgrades!$N$6)*POWER(Upgrades!$O$6,E214)))*(IF(Upgrades!$T$7="Solar Wind",POWER(Upgrades!$U$7,F214),1)*IF(Upgrades!$T$8="Solar Wind",POWER(Upgrades!$U$8,G214),1)*IF(Upgrades!$T$9="Solar Wind",POWER(Upgrades!$U$9,H214),1)*IF(Upgrades!$T$10="Solar Wind",POWER(Upgrades!$U$10,I214),1)*IF(Upgrades!$T$11="Solar Wind",POWER(Upgrades!$U$11,J214),1)*IF(Upgrades!$T$12="Solar Wind",POWER(Upgrades!$U$12,K214),1))+(IF(F214=0,0,(Upgrades!$M$7+F214*Upgrades!$N$7)*POWER(Upgrades!$O$7,F214)))*(IF(Upgrades!$T$6="Asteroid Belt",POWER(Upgrades!$U$6,E214),1)*IF(Upgrades!$T$8="Asteroid Belt",POWER(Upgrades!$U$8,G214),1)*IF(Upgrades!$T$9="Asteroid Belt",POWER(Upgrades!$U$9,H214),1)*IF(Upgrades!$T$10="Asteroid Belt",POWER(Upgrades!$U$10,I214),1)*IF(Upgrades!$T$11="Asteroid Belt",POWER(Upgrades!$U$11,J214),1)*IF(Upgrades!$T$12="Asteroid Belt",POWER(Upgrades!$U$12,K214),1))+(IF(G214=0,0,(Upgrades!$M$8+G214*Upgrades!$N$8)*POWER(Upgrades!$O$8,G214)))*(IF(Upgrades!$T$6="Stellar Coupling",POWER(Upgrades!$U$6,E214),1)*IF(Upgrades!$T$7="Stellar Coupling",POWER(Upgrades!$U$7,F214),1)*IF(Upgrades!$T$9="Stellar Coupling",POWER(Upgrades!$U$9,H214),1)*IF(Upgrades!$T$10="Stellar Coupling",POWER(Upgrades!$U$10,I214),1)*IF(Upgrades!$T$11="Stellar Coupling",POWER(Upgrades!$U$11,J214),1)*IF(Upgrades!$T$12="Stellar Coupling",POWER(Upgrades!$U$12,K214),1))+(IF(H214=0,0,(Upgrades!$M$9+H214*Upgrades!$N$9)*POWER(Upgrades!$O$9,H214)))*(IF(Upgrades!$T$6="Magnetosphere",POWER(Upgrades!$U$6,E214),1)*IF(Upgrades!$T$7="Magnetosphere",POWER(Upgrades!$U$7,F214),1)*IF(Upgrades!$T$8="Magnetosphere",POWER(Upgrades!$U$8,G214),1)*IF(Upgrades!$T$10="Magnetosphere",POWER(Upgrades!$U$10,I214),1)*IF(Upgrades!$T$11="Magnetosphere",POWER(Upgrades!$U$11,J214),1)*IF(Upgrades!$T$12="Magnetosphere",POWER(Upgrades!$U$12,K214),1))+(IF(I214=0,0,(Upgrades!$M$10+I214*Upgrades!$N$10)*POWER(Upgrades!$O$10,I214)))*(IF(Upgrades!$T$6="Orbital Resonance",POWER(Upgrades!$U$6,E214),1)*IF(Upgrades!$T$7="Orbital Resonance",POWER(Upgrades!$U$7,F214),1)*IF(Upgrades!$T$8="Orbital Resonance",POWER(Upgrades!$U$8,G214),1)*IF(Upgrades!$T$9="Orbital Resonance",POWER(Upgrades!$U$9,H214),1)*IF(Upgrades!$T$11="Orbital Resonance",POWER(Upgrades!$U$11,J214),1)*IF(Upgrades!$T$12="Orbital Resonance",POWER(Upgrades!$U$12,K214),1))+(IF(J214=0,0,(Upgrades!$M$11+J214*Upgrades!$N$11)*POWER(Upgrades!$O$11,J214)))*(IF(Upgrades!$T$6="Heliopause",POWER(Upgrades!$U$6,E214),1)*IF(Upgrades!$T$7="Heliopause",POWER(Upgrades!$U$7,F214),1)*IF(Upgrades!$T$8="Heliopause",POWER(Upgrades!$U$8,G214),1)*IF(Upgrades!$T$9="Heliopause",POWER(Upgrades!$U$9,H214),1)*IF(Upgrades!$T$10="Heliopause",POWER(Upgrades!$U$10,I214),1)*IF(Upgrades!$T$12="Heliopause",POWER(Upgrades!$U$12,K214),1))+(IF(K214=0,0,(Upgrades!$M$12+K214*Upgrades!$N$12)*POWER(Upgrades!$O$12,K214)))*(IF(Upgrades!$T$6="First Photons",POWER(Upgrades!$U$6,E214),1)*IF(Upgrades!$T$7="First Photons",POWER(Upgrades!$U$7,F214),1)*IF(Upgrades!$T$8="First Photons",POWER(Upgrades!$U$8,G214),1)*IF(Upgrades!$T$9="First Photons",POWER(Upgrades!$U$9,H214),1)*IF(Upgrades!$T$10="First Photons",POWER(Upgrades!$U$10,I214),1)*IF(Upgrades!$T$11="First Photons",POWER(Upgrades!$U$11,J214),1)))*POWER(Upgrades!$R$6,E214)*POWER(Upgrades!$R$7,F214)*POWER(Upgrades!$R$8,G214)*POWER(Upgrades!$R$9,H214)*POWER(Upgrades!$R$10,I214)*POWER(Upgrades!$R$11,J214)*POWER(Upgrades!$R$12,K214)</f>
        <v>0</v>
      </c>
      <c r="P214" s="27" t="n">
        <f aca="false">IF(L214=1,0,M214*Parameters!$B$10/60*Parameters!$B$11*10)</f>
        <v>0</v>
      </c>
      <c r="Q214" s="27" t="n">
        <f aca="false">IF(L214=1,0,O214*M214*10)</f>
        <v>0</v>
      </c>
      <c r="R214" s="27" t="n">
        <f aca="false">IF(L214=1,0,N214*10)</f>
        <v>0</v>
      </c>
      <c r="S214" s="27" t="n">
        <f aca="false">P214+Q214+R214</f>
        <v>0</v>
      </c>
      <c r="T214" s="21" t="n">
        <f aca="false">C214+S214</f>
        <v>18.6730249835055</v>
      </c>
      <c r="U214" s="34" t="str">
        <f aca="false">AX214</f>
        <v/>
      </c>
      <c r="V214" s="21" t="n">
        <f aca="false">IF(U214="",0,IF(U214="transition",0,IF(U214="SW",AG214,IF(U214="AB",AH214,IF(U214="SC",AI214,IF(U214="Mag",AJ214,IF(U214="OR",AK214,IF(U214="HP",AL214,IF(U214="FP",AM214,0)))))))))</f>
        <v>0</v>
      </c>
      <c r="W214" s="27" t="n">
        <f aca="false">IF(U214="OR",Upgrades!$F$10,IF(U214="HP",Upgrades!$F$11,IF(U214="transition",-Parameters!$B$18,0)))</f>
        <v>0</v>
      </c>
      <c r="X214" s="21" t="n">
        <f aca="false">T214-V214</f>
        <v>18.6730249835055</v>
      </c>
      <c r="Y214" s="30" t="n">
        <f aca="false">M214*Parameters!$B$10/60*Parameters!$B$11+O214*M214+N214</f>
        <v>20.55</v>
      </c>
      <c r="Z214" s="35" t="str">
        <f aca="false">IF(U214="transition","→ Tier 2 (Stellar Neighborhood)",IF(U214="FP","First Photons — light begins, system quickens",IF(U214="HP","Heliopause acquired",IF(U214="OR","Orbital Resonance — passive multiplier active",IF(AND(AO214=1,L214=0,AN214&lt;&gt;1),"Cohesion ready (waiting on completionist upgrades)","")))))</f>
        <v/>
      </c>
      <c r="AA214" s="27" t="n">
        <f aca="false">(IF(E214=0,0,(Upgrades!$G$6+E214*Upgrades!$H$6)*POWER(Upgrades!$I$6,E214)))*(IF(Upgrades!$T$7="Solar Wind",POWER(Upgrades!$U$7,F214),1)*IF(Upgrades!$T$8="Solar Wind",POWER(Upgrades!$U$8,G214),1)*IF(Upgrades!$T$9="Solar Wind",POWER(Upgrades!$U$9,H214),1)*IF(Upgrades!$T$10="Solar Wind",POWER(Upgrades!$U$10,I214),1)*IF(Upgrades!$T$11="Solar Wind",POWER(Upgrades!$U$11,J214),1)*IF(Upgrades!$T$12="Solar Wind",POWER(Upgrades!$U$12,K214),1))*POWER(Upgrades!$P$6,E214)*POWER(Upgrades!$P$7,F214)*POWER(Upgrades!$P$8,G214)*POWER(Upgrades!$P$9,H214)*POWER(Upgrades!$P$10,I214)*POWER(Upgrades!$P$11,J214)*POWER(Upgrades!$P$12,K214)*60</f>
        <v>72</v>
      </c>
      <c r="AB214" s="27" t="n">
        <f aca="false">(IF(F214=0,0,(Upgrades!$G$7+F214*Upgrades!$H$7)*POWER(Upgrades!$I$7,F214)))*(IF(Upgrades!$T$6="Asteroid Belt",POWER(Upgrades!$U$6,E214),1)*IF(Upgrades!$T$8="Asteroid Belt",POWER(Upgrades!$U$8,G214),1)*IF(Upgrades!$T$9="Asteroid Belt",POWER(Upgrades!$U$9,H214),1)*IF(Upgrades!$T$10="Asteroid Belt",POWER(Upgrades!$U$10,I214),1)*IF(Upgrades!$T$11="Asteroid Belt",POWER(Upgrades!$U$11,J214),1)*IF(Upgrades!$T$12="Asteroid Belt",POWER(Upgrades!$U$12,K214),1))*POWER(Upgrades!$P$6,E214)*POWER(Upgrades!$P$7,F214)*POWER(Upgrades!$P$8,G214)*POWER(Upgrades!$P$9,H214)*POWER(Upgrades!$P$10,I214)*POWER(Upgrades!$P$11,J214)*POWER(Upgrades!$P$12,K214)*60</f>
        <v>150</v>
      </c>
      <c r="AC214" s="27" t="n">
        <f aca="false">(IF(G214=0,0,(Upgrades!$J$8+G214*Upgrades!$K$8)*POWER(Upgrades!$L$8,G214)))*(IF(Upgrades!$T$6="Stellar Coupling",POWER(Upgrades!$U$6,E214),1)*IF(Upgrades!$T$7="Stellar Coupling",POWER(Upgrades!$U$7,F214),1)*IF(Upgrades!$T$9="Stellar Coupling",POWER(Upgrades!$U$9,H214),1)*IF(Upgrades!$T$10="Stellar Coupling",POWER(Upgrades!$U$10,I214),1)*IF(Upgrades!$T$11="Stellar Coupling",POWER(Upgrades!$U$11,J214),1)*IF(Upgrades!$T$12="Stellar Coupling",POWER(Upgrades!$U$12,K214),1))*POWER(Upgrades!$Q$6,E214)*POWER(Upgrades!$Q$7,F214)*POWER(Upgrades!$Q$8,G214)*POWER(Upgrades!$Q$9,H214)*POWER(Upgrades!$Q$10,I214)*POWER(Upgrades!$Q$11,J214)*POWER(Upgrades!$Q$12,K214)*Parameters!$B$10*Parameters!$B$11</f>
        <v>441</v>
      </c>
      <c r="AD214" s="27" t="n">
        <f aca="false">(IF(H214=0,0,(Upgrades!$G$9+H214*Upgrades!$H$9)*POWER(Upgrades!$I$9,H214)))*(IF(Upgrades!$T$6="Magnetosphere",POWER(Upgrades!$U$6,E214),1)*IF(Upgrades!$T$7="Magnetosphere",POWER(Upgrades!$U$7,F214),1)*IF(Upgrades!$T$8="Magnetosphere",POWER(Upgrades!$U$8,G214),1)*IF(Upgrades!$T$10="Magnetosphere",POWER(Upgrades!$U$10,I214),1)*IF(Upgrades!$T$11="Magnetosphere",POWER(Upgrades!$U$11,J214),1)*IF(Upgrades!$T$12="Magnetosphere",POWER(Upgrades!$U$12,K214),1))*POWER(Upgrades!$P$6,E214)*POWER(Upgrades!$P$7,F214)*POWER(Upgrades!$P$8,G214)*POWER(Upgrades!$P$9,H214)*POWER(Upgrades!$P$10,I214)*POWER(Upgrades!$P$11,J214)*POWER(Upgrades!$P$12,K214)*60</f>
        <v>375</v>
      </c>
      <c r="AE214" s="27" t="n">
        <f aca="false">(IF(K214=0,0,(Upgrades!$G$12+K214*Upgrades!$H$12)*POWER(Upgrades!$I$12,K214)))*(IF(Upgrades!$T$6="First Photons",POWER(Upgrades!$U$6,E214),1)*IF(Upgrades!$T$7="First Photons",POWER(Upgrades!$U$7,F214),1)*IF(Upgrades!$T$8="First Photons",POWER(Upgrades!$U$8,G214),1)*IF(Upgrades!$T$9="First Photons",POWER(Upgrades!$U$9,H214),1)*IF(Upgrades!$T$10="First Photons",POWER(Upgrades!$U$10,I214),1)*IF(Upgrades!$T$11="First Photons",POWER(Upgrades!$U$11,J214),1))*POWER(Upgrades!$P$6,E214)*POWER(Upgrades!$P$7,F214)*POWER(Upgrades!$P$8,G214)*POWER(Upgrades!$P$9,H214)*POWER(Upgrades!$P$10,I214)*POWER(Upgrades!$P$11,J214)*POWER(Upgrades!$P$12,K214)*60</f>
        <v>75</v>
      </c>
      <c r="AF214" s="27" t="n">
        <f aca="false">Parameters!$B$9*POWER(Upgrades!$Q$6,E214)*POWER(Upgrades!$Q$7,F214)*POWER(Upgrades!$Q$8,G214)*POWER(Upgrades!$Q$9,H214)*POWER(Upgrades!$Q$10,I214)*POWER(Upgrades!$Q$11,J214)*POWER(Upgrades!$Q$12,K214)*(Parameters!$B$10*Parameters!$B$11+O214*60)</f>
        <v>120</v>
      </c>
      <c r="AG214" s="21" t="n">
        <f aca="false">IF(E214&gt;=Upgrades!$E$6,"",Upgrades!$C$6*POWER(Upgrades!$D$6,E214))</f>
        <v>37.4517507383159</v>
      </c>
      <c r="AH214" s="21" t="n">
        <f aca="false">IF(F214&gt;=Upgrades!$E$7,"",Upgrades!$C$7*POWER(Upgrades!$D$7,F214))</f>
        <v>80.9111547141581</v>
      </c>
      <c r="AI214" s="21" t="n">
        <f aca="false">IF(G214&gt;=Upgrades!$E$8,"",Upgrades!$C$8*POWER(Upgrades!$D$8,G214))</f>
        <v>231.9097088</v>
      </c>
      <c r="AJ214" s="21" t="str">
        <f aca="false">IF(H214&gt;=Upgrades!$E$9,"",Upgrades!$C$9*POWER(Upgrades!$D$9,H214))</f>
        <v/>
      </c>
      <c r="AK214" s="21" t="str">
        <f aca="false">IF(I214&gt;=Upgrades!$E$10,"",Upgrades!$C$10*POWER(Upgrades!$D$10,I214))</f>
        <v/>
      </c>
      <c r="AL214" s="21" t="str">
        <f aca="false">IF(J214&gt;=Upgrades!$E$11,"",Upgrades!$C$11*POWER(Upgrades!$D$11,J214))</f>
        <v/>
      </c>
      <c r="AM214" s="21" t="str">
        <f aca="false">IF(K214&gt;=Upgrades!$E$12,"",Upgrades!$C$12*POWER(Upgrades!$D$12,K214))</f>
        <v/>
      </c>
      <c r="AN214" s="26" t="str">
        <f aca="false">IF(AND(D214&gt;=Parameters!$B$18,(H214&gt;=Upgrades!$E$9)*(K214&gt;=Upgrades!$E$12)=1,L214=0),1,"")</f>
        <v/>
      </c>
      <c r="AO214" s="26" t="str">
        <f aca="false">IF(AND(D214&gt;=Parameters!$B$18,L214=0),1,"")</f>
        <v/>
      </c>
      <c r="AP214" s="21" t="n">
        <f aca="false">MIN(IF(ISNUMBER(AK214),AK214,9000000000000000),IF(ISNUMBER(AL214),AL214,9000000000000000),IF(ISNUMBER(AM214),AM214,9000000000000000))</f>
        <v>9000000000000000</v>
      </c>
      <c r="AQ214" s="21" t="n">
        <f aca="false">MIN(IF(ISNUMBER(AG214),AG214,9000000000000000),IF(ISNUMBER(AH214),AH214,9000000000000000),IF(ISNUMBER(AI214),AI214,9000000000000000),IF(ISNUMBER(AJ214),AJ214,9000000000000000))</f>
        <v>37.4517507383159</v>
      </c>
      <c r="AR214" s="32" t="b">
        <f aca="false">IF(AW214&gt;Parameters!$B$21*(MAX(IF(AND(NOT(AND(AO214=1,AN214&lt;&gt;1)),ISNUMBER(AG214),AG214&lt;=T214),AS214,0),IF(AND(NOT(AND(AO214=1,AN214&lt;&gt;1)),ISNUMBER(AH214),AH214&lt;=T214),AT214,0),IF(AND(NOT(AND(AO214=1,AN214&lt;&gt;1)),ISNUMBER(AI214),AI214&lt;=T214),AU214,0),IF(AND(ISNUMBER(AJ214),AJ214&lt;=T214),AV214,0))),TRUE(),FALSE())</f>
        <v>1</v>
      </c>
      <c r="AS214" s="33" t="n">
        <f aca="false">IFERROR(Upgrades!$H$6*(POWER(Upgrades!$P$6,E214)*POWER(Upgrades!$P$7,F214)*POWER(Upgrades!$P$8,G214)*POWER(Upgrades!$P$9,H214)*POWER(Upgrades!$P$10,I214)*POWER(Upgrades!$P$11,J214)*POWER(Upgrades!$P$12,K214))*(IF(Upgrades!$T$7="Solar Wind",POWER(Upgrades!$U$7,F214),1)*IF(Upgrades!$T$8="Solar Wind",POWER(Upgrades!$U$8,G214),1)*IF(Upgrades!$T$9="Solar Wind",POWER(Upgrades!$U$9,H214),1)*IF(Upgrades!$T$10="Solar Wind",POWER(Upgrades!$U$10,I214),1)*IF(Upgrades!$T$11="Solar Wind",POWER(Upgrades!$U$11,J214),1)*IF(Upgrades!$T$12="Solar Wind",POWER(Upgrades!$U$12,K214),1))/AG214,0)</f>
        <v>0.0026701021455238</v>
      </c>
      <c r="AT214" s="33" t="n">
        <f aca="false">IFERROR(Upgrades!$H$7*(POWER(Upgrades!$P$6,E214)*POWER(Upgrades!$P$7,F214)*POWER(Upgrades!$P$8,G214)*POWER(Upgrades!$P$9,H214)*POWER(Upgrades!$P$10,I214)*POWER(Upgrades!$P$11,J214)*POWER(Upgrades!$P$12,K214))*(IF(Upgrades!$T$6="Asteroid Belt",POWER(Upgrades!$U$6,E214),1)*IF(Upgrades!$T$8="Asteroid Belt",POWER(Upgrades!$U$8,G214),1)*IF(Upgrades!$T$9="Asteroid Belt",POWER(Upgrades!$U$9,H214),1)*IF(Upgrades!$T$10="Asteroid Belt",POWER(Upgrades!$U$10,I214),1)*IF(Upgrades!$T$11="Asteroid Belt",POWER(Upgrades!$U$11,J214),1)*IF(Upgrades!$T$12="Asteroid Belt",POWER(Upgrades!$U$12,K214),1))/AH214,0)</f>
        <v>0.00308980882652332</v>
      </c>
      <c r="AU214" s="33" t="n">
        <f aca="false">IFERROR(Upgrades!$K$8*(POWER(Upgrades!$Q$6,E214)*POWER(Upgrades!$Q$7,F214)*POWER(Upgrades!$Q$8,G214)*POWER(Upgrades!$Q$9,H214)*POWER(Upgrades!$Q$10,I214)*POWER(Upgrades!$Q$11,J214)*POWER(Upgrades!$Q$12,K214))*(IF(Upgrades!$T$6="Stellar Coupling",POWER(Upgrades!$U$6,E214),1)*IF(Upgrades!$T$7="Stellar Coupling",POWER(Upgrades!$U$7,F214),1)*IF(Upgrades!$T$9="Stellar Coupling",POWER(Upgrades!$U$9,H214),1)*IF(Upgrades!$T$10="Stellar Coupling",POWER(Upgrades!$U$10,I214),1)*IF(Upgrades!$T$11="Stellar Coupling",POWER(Upgrades!$U$11,J214),1)*IF(Upgrades!$T$12="Stellar Coupling",POWER(Upgrades!$U$12,K214),1))*Parameters!$B$10*Parameters!$B$11/60/AI214,0)</f>
        <v>0.00452762415783776</v>
      </c>
      <c r="AV214" s="33" t="n">
        <f aca="false">IFERROR(Upgrades!$H$9*(POWER(Upgrades!$P$6,E214)*POWER(Upgrades!$P$7,F214)*POWER(Upgrades!$P$8,G214)*POWER(Upgrades!$P$9,H214)*POWER(Upgrades!$P$10,I214)*POWER(Upgrades!$P$11,J214)*POWER(Upgrades!$P$12,K214))*(IF(Upgrades!$T$6="Magnetosphere",POWER(Upgrades!$U$6,E214),1)*IF(Upgrades!$T$7="Magnetosphere",POWER(Upgrades!$U$7,F214),1)*IF(Upgrades!$T$8="Magnetosphere",POWER(Upgrades!$U$8,G214),1)*IF(Upgrades!$T$10="Magnetosphere",POWER(Upgrades!$U$10,I214),1)*IF(Upgrades!$T$11="Magnetosphere",POWER(Upgrades!$U$11,J214),1)*IF(Upgrades!$T$12="Magnetosphere",POWER(Upgrades!$U$12,K214),1))/AJ214,0)</f>
        <v>0</v>
      </c>
      <c r="AW214" s="33" t="n">
        <f aca="false">MAX(IF(I214&gt;0,0,IFERROR(0.25*N214/Upgrades!$C$10,0)),IF(J214&gt;0,0,IFERROR(0.5*((IF(G214=0,0,(Upgrades!$J$8+G214*Upgrades!$K$8)*POWER(Upgrades!$L$8,G214)))*(IF(Upgrades!$T$6="Stellar Coupling",POWER(Upgrades!$U$6,E214),1)*IF(Upgrades!$T$7="Stellar Coupling",POWER(Upgrades!$U$7,F214),1)*IF(Upgrades!$T$9="Stellar Coupling",POWER(Upgrades!$U$9,H214),1)*IF(Upgrades!$T$10="Stellar Coupling",POWER(Upgrades!$U$10,I214),1)*IF(Upgrades!$T$11="Stellar Coupling",POWER(Upgrades!$U$11,J214),1)*IF(Upgrades!$T$12="Stellar Coupling",POWER(Upgrades!$U$12,K214),1))*(POWER(Upgrades!$Q$6,E214)*POWER(Upgrades!$Q$7,F214)*POWER(Upgrades!$Q$8,G214)*POWER(Upgrades!$Q$9,H214)*POWER(Upgrades!$Q$10,I214)*POWER(Upgrades!$Q$11,J214)*POWER(Upgrades!$Q$12,K214))*Parameters!$B$10*Parameters!$B$11/60)/Upgrades!$C$11,0)),IF(K214&gt;0,0,IFERROR((1*(POWER(Upgrades!$P$6,E214)*POWER(Upgrades!$P$7,F214)*POWER(Upgrades!$P$8,G214)*POWER(Upgrades!$P$9,H214)*POWER(Upgrades!$P$10,I214)*POWER(Upgrades!$P$11,J214)*POWER(Upgrades!$P$12,K214))+0.2*M214*Parameters!$B$10*Parameters!$B$11/60)/Upgrades!$C$12,0)),IF(AND(ISNUMBER(AG214),AG214&gt;T214),AS214,0),IF(AND(ISNUMBER(AH214),AH214&gt;T214),AT214,0),IF(AND(ISNUMBER(AI214),AI214&gt;T214),AU214,0),IF(AND(ISNUMBER(AJ214),AJ214&gt;T214),AV214,0))</f>
        <v>0.00452762415783776</v>
      </c>
      <c r="AX214" s="29" t="str">
        <f aca="false">IF(AN214=1,"transition",IF(MIN(IF(AND(I214=0,ISNUMBER(AK214),AK214&lt;=T214),AK214,9000000000000000),IF(AND(J214=0,ISNUMBER(AL214),AL214&lt;=T214),AL214,9000000000000000),IF(AND(K214=0,ISNUMBER(AM214),AM214&lt;=T214),AM214,9000000000000000))&lt;9000000000000000,IF(AND(AND(I214=0,ISNUMBER(AK214),AK214&lt;=T214),AK214=MIN(IF(AND(I214=0,ISNUMBER(AK214),AK214&lt;=T214),AK214,9000000000000000),IF(AND(J214=0,ISNUMBER(AL214),AL214&lt;=T214),AL214,9000000000000000),IF(AND(K214=0,ISNUMBER(AM214),AM214&lt;=T214),AM214,9000000000000000))),"OR",IF(AND(AND(J214=0,ISNUMBER(AL214),AL214&lt;=T214),AL214=MIN(IF(AND(I214=0,ISNUMBER(AK214),AK214&lt;=T214),AK214,9000000000000000),IF(AND(J214=0,ISNUMBER(AL214),AL214&lt;=T214),AL214,9000000000000000),IF(AND(K214=0,ISNUMBER(AM214),AM214&lt;=T214),AM214,9000000000000000))),"HP","FP")),IF(AR214=TRUE(),"",IF(MAX(IF(AND(NOT(AND(AO214=1,AN214&lt;&gt;1)),ISNUMBER(AG214),AG214&lt;=T214),AS214,0),IF(AND(NOT(AND(AO214=1,AN214&lt;&gt;1)),ISNUMBER(AH214),AH214&lt;=T214),AT214,0),IF(AND(NOT(AND(AO214=1,AN214&lt;&gt;1)),ISNUMBER(AI214),AI214&lt;=T214),AU214,0),IF(AND(ISNUMBER(AJ214),AJ214&lt;=T214),AV214,0))&lt;=0,"",IF(AND(IF(AND(NOT(AND(AO214=1,AN214&lt;&gt;1)),ISNUMBER(AG214),AG214&lt;=T214),AS214,0)&gt;0,IF(AND(NOT(AND(AO214=1,AN214&lt;&gt;1)),ISNUMBER(AG214),AG214&lt;=T214),AS214,0)=MAX(IF(AND(NOT(AND(AO214=1,AN214&lt;&gt;1)),ISNUMBER(AG214),AG214&lt;=T214),AS214,0),IF(AND(NOT(AND(AO214=1,AN214&lt;&gt;1)),ISNUMBER(AH214),AH214&lt;=T214),AT214,0),IF(AND(NOT(AND(AO214=1,AN214&lt;&gt;1)),ISNUMBER(AI214),AI214&lt;=T214),AU214,0),IF(AND(ISNUMBER(AJ214),AJ214&lt;=T214),AV214,0))),"SW",IF(AND(IF(AND(NOT(AND(AO214=1,AN214&lt;&gt;1)),ISNUMBER(AH214),AH214&lt;=T214),AT214,0)&gt;0,IF(AND(NOT(AND(AO214=1,AN214&lt;&gt;1)),ISNUMBER(AH214),AH214&lt;=T214),AT214,0)=MAX(IF(AND(NOT(AND(AO214=1,AN214&lt;&gt;1)),ISNUMBER(AG214),AG214&lt;=T214),AS214,0),IF(AND(NOT(AND(AO214=1,AN214&lt;&gt;1)),ISNUMBER(AH214),AH214&lt;=T214),AT214,0),IF(AND(NOT(AND(AO214=1,AN214&lt;&gt;1)),ISNUMBER(AI214),AI214&lt;=T214),AU214,0),IF(AND(ISNUMBER(AJ214),AJ214&lt;=T214),AV214,0))),"AB",IF(AND(IF(AND(NOT(AND(AO214=1,AN214&lt;&gt;1)),ISNUMBER(AI214),AI214&lt;=T214),AU214,0)&gt;0,IF(AND(NOT(AND(AO214=1,AN214&lt;&gt;1)),ISNUMBER(AI214),AI214&lt;=T214),AU214,0)=MAX(IF(AND(NOT(AND(AO214=1,AN214&lt;&gt;1)),ISNUMBER(AG214),AG214&lt;=T214),AS214,0),IF(AND(NOT(AND(AO214=1,AN214&lt;&gt;1)),ISNUMBER(AH214),AH214&lt;=T214),AT214,0),IF(AND(NOT(AND(AO214=1,AN214&lt;&gt;1)),ISNUMBER(AI214),AI214&lt;=T214),AU214,0),IF(AND(ISNUMBER(AJ214),AJ214&lt;=T214),AV214,0))),"SC","Mag")))))))</f>
        <v/>
      </c>
    </row>
    <row r="215" customFormat="false" ht="15" hidden="false" customHeight="false" outlineLevel="0" collapsed="false">
      <c r="A215" s="26" t="n">
        <v>210</v>
      </c>
      <c r="B215" s="27" t="n">
        <f aca="false">A215*10/60</f>
        <v>35</v>
      </c>
      <c r="C215" s="21" t="n">
        <f aca="false">X214</f>
        <v>18.6730249835055</v>
      </c>
      <c r="D215" s="27" t="n">
        <f aca="false">D214+W214</f>
        <v>0</v>
      </c>
      <c r="E215" s="26" t="n">
        <f aca="false">E214+IF(U214="SW",1,0)</f>
        <v>12</v>
      </c>
      <c r="F215" s="26" t="n">
        <f aca="false">F214+IF(U214="AB",1,0)</f>
        <v>10</v>
      </c>
      <c r="G215" s="26" t="n">
        <f aca="false">G214+IF(U214="SC",1,0)</f>
        <v>7</v>
      </c>
      <c r="H215" s="26" t="n">
        <f aca="false">H214+IF(U214="Mag",1,0)</f>
        <v>5</v>
      </c>
      <c r="I215" s="26" t="n">
        <f aca="false">MAX(I214,IF(U214="OR",1,0))</f>
        <v>1</v>
      </c>
      <c r="J215" s="26" t="n">
        <f aca="false">MAX(J214,IF(U214="HP",1,0))</f>
        <v>1</v>
      </c>
      <c r="K215" s="26" t="n">
        <f aca="false">MAX(K214,IF(U214="FP",1,0))</f>
        <v>1</v>
      </c>
      <c r="L215" s="26" t="n">
        <f aca="false">MAX(L214,IF(U214="transition",1,0))</f>
        <v>1</v>
      </c>
      <c r="M215" s="28" t="n">
        <f aca="false">(Parameters!$B$9+(IF(E215=0,0,(Upgrades!$J$6+E215*Upgrades!$K$6)*POWER(Upgrades!$L$6,E215)))*(IF(Upgrades!$T$7="Solar Wind",POWER(Upgrades!$U$7,F215),1)*IF(Upgrades!$T$8="Solar Wind",POWER(Upgrades!$U$8,G215),1)*IF(Upgrades!$T$9="Solar Wind",POWER(Upgrades!$U$9,H215),1)*IF(Upgrades!$T$10="Solar Wind",POWER(Upgrades!$U$10,I215),1)*IF(Upgrades!$T$11="Solar Wind",POWER(Upgrades!$U$11,J215),1)*IF(Upgrades!$T$12="Solar Wind",POWER(Upgrades!$U$12,K215),1))+(IF(F215=0,0,(Upgrades!$J$7+F215*Upgrades!$K$7)*POWER(Upgrades!$L$7,F215)))*(IF(Upgrades!$T$6="Asteroid Belt",POWER(Upgrades!$U$6,E215),1)*IF(Upgrades!$T$8="Asteroid Belt",POWER(Upgrades!$U$8,G215),1)*IF(Upgrades!$T$9="Asteroid Belt",POWER(Upgrades!$U$9,H215),1)*IF(Upgrades!$T$10="Asteroid Belt",POWER(Upgrades!$U$10,I215),1)*IF(Upgrades!$T$11="Asteroid Belt",POWER(Upgrades!$U$11,J215),1)*IF(Upgrades!$T$12="Asteroid Belt",POWER(Upgrades!$U$12,K215),1))+(IF(G215=0,0,(Upgrades!$J$8+G215*Upgrades!$K$8)*POWER(Upgrades!$L$8,G215)))*(IF(Upgrades!$T$6="Stellar Coupling",POWER(Upgrades!$U$6,E215),1)*IF(Upgrades!$T$7="Stellar Coupling",POWER(Upgrades!$U$7,F215),1)*IF(Upgrades!$T$9="Stellar Coupling",POWER(Upgrades!$U$9,H215),1)*IF(Upgrades!$T$10="Stellar Coupling",POWER(Upgrades!$U$10,I215),1)*IF(Upgrades!$T$11="Stellar Coupling",POWER(Upgrades!$U$11,J215),1)*IF(Upgrades!$T$12="Stellar Coupling",POWER(Upgrades!$U$12,K215),1))+(IF(H215=0,0,(Upgrades!$J$9+H215*Upgrades!$K$9)*POWER(Upgrades!$L$9,H215)))*(IF(Upgrades!$T$6="Magnetosphere",POWER(Upgrades!$U$6,E215),1)*IF(Upgrades!$T$7="Magnetosphere",POWER(Upgrades!$U$7,F215),1)*IF(Upgrades!$T$8="Magnetosphere",POWER(Upgrades!$U$8,G215),1)*IF(Upgrades!$T$10="Magnetosphere",POWER(Upgrades!$U$10,I215),1)*IF(Upgrades!$T$11="Magnetosphere",POWER(Upgrades!$U$11,J215),1)*IF(Upgrades!$T$12="Magnetosphere",POWER(Upgrades!$U$12,K215),1))+(IF(I215=0,0,(Upgrades!$J$10+I215*Upgrades!$K$10)*POWER(Upgrades!$L$10,I215)))*(IF(Upgrades!$T$6="Orbital Resonance",POWER(Upgrades!$U$6,E215),1)*IF(Upgrades!$T$7="Orbital Resonance",POWER(Upgrades!$U$7,F215),1)*IF(Upgrades!$T$8="Orbital Resonance",POWER(Upgrades!$U$8,G215),1)*IF(Upgrades!$T$9="Orbital Resonance",POWER(Upgrades!$U$9,H215),1)*IF(Upgrades!$T$11="Orbital Resonance",POWER(Upgrades!$U$11,J215),1)*IF(Upgrades!$T$12="Orbital Resonance",POWER(Upgrades!$U$12,K215),1))+(IF(J215=0,0,(Upgrades!$J$11+J215*Upgrades!$K$11)*POWER(Upgrades!$L$11,J215)))*(IF(Upgrades!$T$6="Heliopause",POWER(Upgrades!$U$6,E215),1)*IF(Upgrades!$T$7="Heliopause",POWER(Upgrades!$U$7,F215),1)*IF(Upgrades!$T$8="Heliopause",POWER(Upgrades!$U$8,G215),1)*IF(Upgrades!$T$9="Heliopause",POWER(Upgrades!$U$9,H215),1)*IF(Upgrades!$T$10="Heliopause",POWER(Upgrades!$U$10,I215),1)*IF(Upgrades!$T$12="Heliopause",POWER(Upgrades!$U$12,K215),1))+(IF(K215=0,0,(Upgrades!$J$12+K215*Upgrades!$K$12)*POWER(Upgrades!$L$12,K215)))*(IF(Upgrades!$T$6="First Photons",POWER(Upgrades!$U$6,E215),1)*IF(Upgrades!$T$7="First Photons",POWER(Upgrades!$U$7,F215),1)*IF(Upgrades!$T$8="First Photons",POWER(Upgrades!$U$8,G215),1)*IF(Upgrades!$T$9="First Photons",POWER(Upgrades!$U$9,H215),1)*IF(Upgrades!$T$10="First Photons",POWER(Upgrades!$U$10,I215),1)*IF(Upgrades!$T$11="First Photons",POWER(Upgrades!$U$11,J215),1)))*POWER(Upgrades!$Q$6,E215)*POWER(Upgrades!$Q$7,F215)*POWER(Upgrades!$Q$8,G215)*POWER(Upgrades!$Q$9,H215)*POWER(Upgrades!$Q$10,I215)*POWER(Upgrades!$Q$11,J215)*POWER(Upgrades!$Q$12,K215)</f>
        <v>5.61</v>
      </c>
      <c r="N215" s="28" t="n">
        <f aca="false">((IF(E215=0,0,(Upgrades!$G$6+E215*Upgrades!$H$6)*POWER(Upgrades!$I$6,E215)))*(IF(Upgrades!$T$7="Solar Wind",POWER(Upgrades!$U$7,F215),1)*IF(Upgrades!$T$8="Solar Wind",POWER(Upgrades!$U$8,G215),1)*IF(Upgrades!$T$9="Solar Wind",POWER(Upgrades!$U$9,H215),1)*IF(Upgrades!$T$10="Solar Wind",POWER(Upgrades!$U$10,I215),1)*IF(Upgrades!$T$11="Solar Wind",POWER(Upgrades!$U$11,J215),1)*IF(Upgrades!$T$12="Solar Wind",POWER(Upgrades!$U$12,K215),1))+(IF(F215=0,0,(Upgrades!$G$7+F215*Upgrades!$H$7)*POWER(Upgrades!$I$7,F215)))*(IF(Upgrades!$T$6="Asteroid Belt",POWER(Upgrades!$U$6,E215),1)*IF(Upgrades!$T$8="Asteroid Belt",POWER(Upgrades!$U$8,G215),1)*IF(Upgrades!$T$9="Asteroid Belt",POWER(Upgrades!$U$9,H215),1)*IF(Upgrades!$T$10="Asteroid Belt",POWER(Upgrades!$U$10,I215),1)*IF(Upgrades!$T$11="Asteroid Belt",POWER(Upgrades!$U$11,J215),1)*IF(Upgrades!$T$12="Asteroid Belt",POWER(Upgrades!$U$12,K215),1))+(IF(G215=0,0,(Upgrades!$G$8+G215*Upgrades!$H$8)*POWER(Upgrades!$I$8,G215)))*(IF(Upgrades!$T$6="Stellar Coupling",POWER(Upgrades!$U$6,E215),1)*IF(Upgrades!$T$7="Stellar Coupling",POWER(Upgrades!$U$7,F215),1)*IF(Upgrades!$T$9="Stellar Coupling",POWER(Upgrades!$U$9,H215),1)*IF(Upgrades!$T$10="Stellar Coupling",POWER(Upgrades!$U$10,I215),1)*IF(Upgrades!$T$11="Stellar Coupling",POWER(Upgrades!$U$11,J215),1)*IF(Upgrades!$T$12="Stellar Coupling",POWER(Upgrades!$U$12,K215),1))+(IF(H215=0,0,(Upgrades!$G$9+H215*Upgrades!$H$9)*POWER(Upgrades!$I$9,H215)))*(IF(Upgrades!$T$6="Magnetosphere",POWER(Upgrades!$U$6,E215),1)*IF(Upgrades!$T$7="Magnetosphere",POWER(Upgrades!$U$7,F215),1)*IF(Upgrades!$T$8="Magnetosphere",POWER(Upgrades!$U$8,G215),1)*IF(Upgrades!$T$10="Magnetosphere",POWER(Upgrades!$U$10,I215),1)*IF(Upgrades!$T$11="Magnetosphere",POWER(Upgrades!$U$11,J215),1)*IF(Upgrades!$T$12="Magnetosphere",POWER(Upgrades!$U$12,K215),1))+(IF(I215=0,0,(Upgrades!$G$10+I215*Upgrades!$H$10)*POWER(Upgrades!$I$10,I215)))*(IF(Upgrades!$T$6="Orbital Resonance",POWER(Upgrades!$U$6,E215),1)*IF(Upgrades!$T$7="Orbital Resonance",POWER(Upgrades!$U$7,F215),1)*IF(Upgrades!$T$8="Orbital Resonance",POWER(Upgrades!$U$8,G215),1)*IF(Upgrades!$T$9="Orbital Resonance",POWER(Upgrades!$U$9,H215),1)*IF(Upgrades!$T$11="Orbital Resonance",POWER(Upgrades!$U$11,J215),1)*IF(Upgrades!$T$12="Orbital Resonance",POWER(Upgrades!$U$12,K215),1))+(IF(J215=0,0,(Upgrades!$G$11+J215*Upgrades!$H$11)*POWER(Upgrades!$I$11,J215)))*(IF(Upgrades!$T$6="Heliopause",POWER(Upgrades!$U$6,E215),1)*IF(Upgrades!$T$7="Heliopause",POWER(Upgrades!$U$7,F215),1)*IF(Upgrades!$T$8="Heliopause",POWER(Upgrades!$U$8,G215),1)*IF(Upgrades!$T$9="Heliopause",POWER(Upgrades!$U$9,H215),1)*IF(Upgrades!$T$10="Heliopause",POWER(Upgrades!$U$10,I215),1)*IF(Upgrades!$T$12="Heliopause",POWER(Upgrades!$U$12,K215),1))+(IF(K215=0,0,(Upgrades!$G$12+K215*Upgrades!$H$12)*POWER(Upgrades!$I$12,K215)))*(IF(Upgrades!$T$6="First Photons",POWER(Upgrades!$U$6,E215),1)*IF(Upgrades!$T$7="First Photons",POWER(Upgrades!$U$7,F215),1)*IF(Upgrades!$T$8="First Photons",POWER(Upgrades!$U$8,G215),1)*IF(Upgrades!$T$9="First Photons",POWER(Upgrades!$U$9,H215),1)*IF(Upgrades!$T$10="First Photons",POWER(Upgrades!$U$10,I215),1)*IF(Upgrades!$T$11="First Photons",POWER(Upgrades!$U$11,J215),1)))*POWER(Upgrades!$P$6,E215)*POWER(Upgrades!$P$7,F215)*POWER(Upgrades!$P$8,G215)*POWER(Upgrades!$P$9,H215)*POWER(Upgrades!$P$10,I215)*POWER(Upgrades!$P$11,J215)*POWER(Upgrades!$P$12,K215)</f>
        <v>11.2</v>
      </c>
      <c r="O215" s="28" t="n">
        <f aca="false">((IF(E215=0,0,(Upgrades!$M$6+E215*Upgrades!$N$6)*POWER(Upgrades!$O$6,E215)))*(IF(Upgrades!$T$7="Solar Wind",POWER(Upgrades!$U$7,F215),1)*IF(Upgrades!$T$8="Solar Wind",POWER(Upgrades!$U$8,G215),1)*IF(Upgrades!$T$9="Solar Wind",POWER(Upgrades!$U$9,H215),1)*IF(Upgrades!$T$10="Solar Wind",POWER(Upgrades!$U$10,I215),1)*IF(Upgrades!$T$11="Solar Wind",POWER(Upgrades!$U$11,J215),1)*IF(Upgrades!$T$12="Solar Wind",POWER(Upgrades!$U$12,K215),1))+(IF(F215=0,0,(Upgrades!$M$7+F215*Upgrades!$N$7)*POWER(Upgrades!$O$7,F215)))*(IF(Upgrades!$T$6="Asteroid Belt",POWER(Upgrades!$U$6,E215),1)*IF(Upgrades!$T$8="Asteroid Belt",POWER(Upgrades!$U$8,G215),1)*IF(Upgrades!$T$9="Asteroid Belt",POWER(Upgrades!$U$9,H215),1)*IF(Upgrades!$T$10="Asteroid Belt",POWER(Upgrades!$U$10,I215),1)*IF(Upgrades!$T$11="Asteroid Belt",POWER(Upgrades!$U$11,J215),1)*IF(Upgrades!$T$12="Asteroid Belt",POWER(Upgrades!$U$12,K215),1))+(IF(G215=0,0,(Upgrades!$M$8+G215*Upgrades!$N$8)*POWER(Upgrades!$O$8,G215)))*(IF(Upgrades!$T$6="Stellar Coupling",POWER(Upgrades!$U$6,E215),1)*IF(Upgrades!$T$7="Stellar Coupling",POWER(Upgrades!$U$7,F215),1)*IF(Upgrades!$T$9="Stellar Coupling",POWER(Upgrades!$U$9,H215),1)*IF(Upgrades!$T$10="Stellar Coupling",POWER(Upgrades!$U$10,I215),1)*IF(Upgrades!$T$11="Stellar Coupling",POWER(Upgrades!$U$11,J215),1)*IF(Upgrades!$T$12="Stellar Coupling",POWER(Upgrades!$U$12,K215),1))+(IF(H215=0,0,(Upgrades!$M$9+H215*Upgrades!$N$9)*POWER(Upgrades!$O$9,H215)))*(IF(Upgrades!$T$6="Magnetosphere",POWER(Upgrades!$U$6,E215),1)*IF(Upgrades!$T$7="Magnetosphere",POWER(Upgrades!$U$7,F215),1)*IF(Upgrades!$T$8="Magnetosphere",POWER(Upgrades!$U$8,G215),1)*IF(Upgrades!$T$10="Magnetosphere",POWER(Upgrades!$U$10,I215),1)*IF(Upgrades!$T$11="Magnetosphere",POWER(Upgrades!$U$11,J215),1)*IF(Upgrades!$T$12="Magnetosphere",POWER(Upgrades!$U$12,K215),1))+(IF(I215=0,0,(Upgrades!$M$10+I215*Upgrades!$N$10)*POWER(Upgrades!$O$10,I215)))*(IF(Upgrades!$T$6="Orbital Resonance",POWER(Upgrades!$U$6,E215),1)*IF(Upgrades!$T$7="Orbital Resonance",POWER(Upgrades!$U$7,F215),1)*IF(Upgrades!$T$8="Orbital Resonance",POWER(Upgrades!$U$8,G215),1)*IF(Upgrades!$T$9="Orbital Resonance",POWER(Upgrades!$U$9,H215),1)*IF(Upgrades!$T$11="Orbital Resonance",POWER(Upgrades!$U$11,J215),1)*IF(Upgrades!$T$12="Orbital Resonance",POWER(Upgrades!$U$12,K215),1))+(IF(J215=0,0,(Upgrades!$M$11+J215*Upgrades!$N$11)*POWER(Upgrades!$O$11,J215)))*(IF(Upgrades!$T$6="Heliopause",POWER(Upgrades!$U$6,E215),1)*IF(Upgrades!$T$7="Heliopause",POWER(Upgrades!$U$7,F215),1)*IF(Upgrades!$T$8="Heliopause",POWER(Upgrades!$U$8,G215),1)*IF(Upgrades!$T$9="Heliopause",POWER(Upgrades!$U$9,H215),1)*IF(Upgrades!$T$10="Heliopause",POWER(Upgrades!$U$10,I215),1)*IF(Upgrades!$T$12="Heliopause",POWER(Upgrades!$U$12,K215),1))+(IF(K215=0,0,(Upgrades!$M$12+K215*Upgrades!$N$12)*POWER(Upgrades!$O$12,K215)))*(IF(Upgrades!$T$6="First Photons",POWER(Upgrades!$U$6,E215),1)*IF(Upgrades!$T$7="First Photons",POWER(Upgrades!$U$7,F215),1)*IF(Upgrades!$T$8="First Photons",POWER(Upgrades!$U$8,G215),1)*IF(Upgrades!$T$9="First Photons",POWER(Upgrades!$U$9,H215),1)*IF(Upgrades!$T$10="First Photons",POWER(Upgrades!$U$10,I215),1)*IF(Upgrades!$T$11="First Photons",POWER(Upgrades!$U$11,J215),1)))*POWER(Upgrades!$R$6,E215)*POWER(Upgrades!$R$7,F215)*POWER(Upgrades!$R$8,G215)*POWER(Upgrades!$R$9,H215)*POWER(Upgrades!$R$10,I215)*POWER(Upgrades!$R$11,J215)*POWER(Upgrades!$R$12,K215)</f>
        <v>0</v>
      </c>
      <c r="P215" s="27" t="n">
        <f aca="false">IF(L215=1,0,M215*Parameters!$B$10/60*Parameters!$B$11*10)</f>
        <v>0</v>
      </c>
      <c r="Q215" s="27" t="n">
        <f aca="false">IF(L215=1,0,O215*M215*10)</f>
        <v>0</v>
      </c>
      <c r="R215" s="27" t="n">
        <f aca="false">IF(L215=1,0,N215*10)</f>
        <v>0</v>
      </c>
      <c r="S215" s="27" t="n">
        <f aca="false">P215+Q215+R215</f>
        <v>0</v>
      </c>
      <c r="T215" s="21" t="n">
        <f aca="false">C215+S215</f>
        <v>18.6730249835055</v>
      </c>
      <c r="U215" s="34" t="str">
        <f aca="false">AX215</f>
        <v/>
      </c>
      <c r="V215" s="21" t="n">
        <f aca="false">IF(U215="",0,IF(U215="transition",0,IF(U215="SW",AG215,IF(U215="AB",AH215,IF(U215="SC",AI215,IF(U215="Mag",AJ215,IF(U215="OR",AK215,IF(U215="HP",AL215,IF(U215="FP",AM215,0)))))))))</f>
        <v>0</v>
      </c>
      <c r="W215" s="27" t="n">
        <f aca="false">IF(U215="OR",Upgrades!$F$10,IF(U215="HP",Upgrades!$F$11,IF(U215="transition",-Parameters!$B$18,0)))</f>
        <v>0</v>
      </c>
      <c r="X215" s="21" t="n">
        <f aca="false">T215-V215</f>
        <v>18.6730249835055</v>
      </c>
      <c r="Y215" s="30" t="n">
        <f aca="false">M215*Parameters!$B$10/60*Parameters!$B$11+O215*M215+N215</f>
        <v>20.55</v>
      </c>
      <c r="Z215" s="35" t="str">
        <f aca="false">IF(U215="transition","→ Tier 2 (Stellar Neighborhood)",IF(U215="FP","First Photons — light begins, system quickens",IF(U215="HP","Heliopause acquired",IF(U215="OR","Orbital Resonance — passive multiplier active",IF(AND(AO215=1,L215=0,AN215&lt;&gt;1),"Cohesion ready (waiting on completionist upgrades)","")))))</f>
        <v/>
      </c>
      <c r="AA215" s="27" t="n">
        <f aca="false">(IF(E215=0,0,(Upgrades!$G$6+E215*Upgrades!$H$6)*POWER(Upgrades!$I$6,E215)))*(IF(Upgrades!$T$7="Solar Wind",POWER(Upgrades!$U$7,F215),1)*IF(Upgrades!$T$8="Solar Wind",POWER(Upgrades!$U$8,G215),1)*IF(Upgrades!$T$9="Solar Wind",POWER(Upgrades!$U$9,H215),1)*IF(Upgrades!$T$10="Solar Wind",POWER(Upgrades!$U$10,I215),1)*IF(Upgrades!$T$11="Solar Wind",POWER(Upgrades!$U$11,J215),1)*IF(Upgrades!$T$12="Solar Wind",POWER(Upgrades!$U$12,K215),1))*POWER(Upgrades!$P$6,E215)*POWER(Upgrades!$P$7,F215)*POWER(Upgrades!$P$8,G215)*POWER(Upgrades!$P$9,H215)*POWER(Upgrades!$P$10,I215)*POWER(Upgrades!$P$11,J215)*POWER(Upgrades!$P$12,K215)*60</f>
        <v>72</v>
      </c>
      <c r="AB215" s="27" t="n">
        <f aca="false">(IF(F215=0,0,(Upgrades!$G$7+F215*Upgrades!$H$7)*POWER(Upgrades!$I$7,F215)))*(IF(Upgrades!$T$6="Asteroid Belt",POWER(Upgrades!$U$6,E215),1)*IF(Upgrades!$T$8="Asteroid Belt",POWER(Upgrades!$U$8,G215),1)*IF(Upgrades!$T$9="Asteroid Belt",POWER(Upgrades!$U$9,H215),1)*IF(Upgrades!$T$10="Asteroid Belt",POWER(Upgrades!$U$10,I215),1)*IF(Upgrades!$T$11="Asteroid Belt",POWER(Upgrades!$U$11,J215),1)*IF(Upgrades!$T$12="Asteroid Belt",POWER(Upgrades!$U$12,K215),1))*POWER(Upgrades!$P$6,E215)*POWER(Upgrades!$P$7,F215)*POWER(Upgrades!$P$8,G215)*POWER(Upgrades!$P$9,H215)*POWER(Upgrades!$P$10,I215)*POWER(Upgrades!$P$11,J215)*POWER(Upgrades!$P$12,K215)*60</f>
        <v>150</v>
      </c>
      <c r="AC215" s="27" t="n">
        <f aca="false">(IF(G215=0,0,(Upgrades!$J$8+G215*Upgrades!$K$8)*POWER(Upgrades!$L$8,G215)))*(IF(Upgrades!$T$6="Stellar Coupling",POWER(Upgrades!$U$6,E215),1)*IF(Upgrades!$T$7="Stellar Coupling",POWER(Upgrades!$U$7,F215),1)*IF(Upgrades!$T$9="Stellar Coupling",POWER(Upgrades!$U$9,H215),1)*IF(Upgrades!$T$10="Stellar Coupling",POWER(Upgrades!$U$10,I215),1)*IF(Upgrades!$T$11="Stellar Coupling",POWER(Upgrades!$U$11,J215),1)*IF(Upgrades!$T$12="Stellar Coupling",POWER(Upgrades!$U$12,K215),1))*POWER(Upgrades!$Q$6,E215)*POWER(Upgrades!$Q$7,F215)*POWER(Upgrades!$Q$8,G215)*POWER(Upgrades!$Q$9,H215)*POWER(Upgrades!$Q$10,I215)*POWER(Upgrades!$Q$11,J215)*POWER(Upgrades!$Q$12,K215)*Parameters!$B$10*Parameters!$B$11</f>
        <v>441</v>
      </c>
      <c r="AD215" s="27" t="n">
        <f aca="false">(IF(H215=0,0,(Upgrades!$G$9+H215*Upgrades!$H$9)*POWER(Upgrades!$I$9,H215)))*(IF(Upgrades!$T$6="Magnetosphere",POWER(Upgrades!$U$6,E215),1)*IF(Upgrades!$T$7="Magnetosphere",POWER(Upgrades!$U$7,F215),1)*IF(Upgrades!$T$8="Magnetosphere",POWER(Upgrades!$U$8,G215),1)*IF(Upgrades!$T$10="Magnetosphere",POWER(Upgrades!$U$10,I215),1)*IF(Upgrades!$T$11="Magnetosphere",POWER(Upgrades!$U$11,J215),1)*IF(Upgrades!$T$12="Magnetosphere",POWER(Upgrades!$U$12,K215),1))*POWER(Upgrades!$P$6,E215)*POWER(Upgrades!$P$7,F215)*POWER(Upgrades!$P$8,G215)*POWER(Upgrades!$P$9,H215)*POWER(Upgrades!$P$10,I215)*POWER(Upgrades!$P$11,J215)*POWER(Upgrades!$P$12,K215)*60</f>
        <v>375</v>
      </c>
      <c r="AE215" s="27" t="n">
        <f aca="false">(IF(K215=0,0,(Upgrades!$G$12+K215*Upgrades!$H$12)*POWER(Upgrades!$I$12,K215)))*(IF(Upgrades!$T$6="First Photons",POWER(Upgrades!$U$6,E215),1)*IF(Upgrades!$T$7="First Photons",POWER(Upgrades!$U$7,F215),1)*IF(Upgrades!$T$8="First Photons",POWER(Upgrades!$U$8,G215),1)*IF(Upgrades!$T$9="First Photons",POWER(Upgrades!$U$9,H215),1)*IF(Upgrades!$T$10="First Photons",POWER(Upgrades!$U$10,I215),1)*IF(Upgrades!$T$11="First Photons",POWER(Upgrades!$U$11,J215),1))*POWER(Upgrades!$P$6,E215)*POWER(Upgrades!$P$7,F215)*POWER(Upgrades!$P$8,G215)*POWER(Upgrades!$P$9,H215)*POWER(Upgrades!$P$10,I215)*POWER(Upgrades!$P$11,J215)*POWER(Upgrades!$P$12,K215)*60</f>
        <v>75</v>
      </c>
      <c r="AF215" s="27" t="n">
        <f aca="false">Parameters!$B$9*POWER(Upgrades!$Q$6,E215)*POWER(Upgrades!$Q$7,F215)*POWER(Upgrades!$Q$8,G215)*POWER(Upgrades!$Q$9,H215)*POWER(Upgrades!$Q$10,I215)*POWER(Upgrades!$Q$11,J215)*POWER(Upgrades!$Q$12,K215)*(Parameters!$B$10*Parameters!$B$11+O215*60)</f>
        <v>120</v>
      </c>
      <c r="AG215" s="21" t="n">
        <f aca="false">IF(E215&gt;=Upgrades!$E$6,"",Upgrades!$C$6*POWER(Upgrades!$D$6,E215))</f>
        <v>37.4517507383159</v>
      </c>
      <c r="AH215" s="21" t="n">
        <f aca="false">IF(F215&gt;=Upgrades!$E$7,"",Upgrades!$C$7*POWER(Upgrades!$D$7,F215))</f>
        <v>80.9111547141581</v>
      </c>
      <c r="AI215" s="21" t="n">
        <f aca="false">IF(G215&gt;=Upgrades!$E$8,"",Upgrades!$C$8*POWER(Upgrades!$D$8,G215))</f>
        <v>231.9097088</v>
      </c>
      <c r="AJ215" s="21" t="str">
        <f aca="false">IF(H215&gt;=Upgrades!$E$9,"",Upgrades!$C$9*POWER(Upgrades!$D$9,H215))</f>
        <v/>
      </c>
      <c r="AK215" s="21" t="str">
        <f aca="false">IF(I215&gt;=Upgrades!$E$10,"",Upgrades!$C$10*POWER(Upgrades!$D$10,I215))</f>
        <v/>
      </c>
      <c r="AL215" s="21" t="str">
        <f aca="false">IF(J215&gt;=Upgrades!$E$11,"",Upgrades!$C$11*POWER(Upgrades!$D$11,J215))</f>
        <v/>
      </c>
      <c r="AM215" s="21" t="str">
        <f aca="false">IF(K215&gt;=Upgrades!$E$12,"",Upgrades!$C$12*POWER(Upgrades!$D$12,K215))</f>
        <v/>
      </c>
      <c r="AN215" s="26" t="str">
        <f aca="false">IF(AND(D215&gt;=Parameters!$B$18,(H215&gt;=Upgrades!$E$9)*(K215&gt;=Upgrades!$E$12)=1,L215=0),1,"")</f>
        <v/>
      </c>
      <c r="AO215" s="26" t="str">
        <f aca="false">IF(AND(D215&gt;=Parameters!$B$18,L215=0),1,"")</f>
        <v/>
      </c>
      <c r="AP215" s="21" t="n">
        <f aca="false">MIN(IF(ISNUMBER(AK215),AK215,9000000000000000),IF(ISNUMBER(AL215),AL215,9000000000000000),IF(ISNUMBER(AM215),AM215,9000000000000000))</f>
        <v>9000000000000000</v>
      </c>
      <c r="AQ215" s="21" t="n">
        <f aca="false">MIN(IF(ISNUMBER(AG215),AG215,9000000000000000),IF(ISNUMBER(AH215),AH215,9000000000000000),IF(ISNUMBER(AI215),AI215,9000000000000000),IF(ISNUMBER(AJ215),AJ215,9000000000000000))</f>
        <v>37.4517507383159</v>
      </c>
      <c r="AR215" s="32" t="b">
        <f aca="false">IF(AW215&gt;Parameters!$B$21*(MAX(IF(AND(NOT(AND(AO215=1,AN215&lt;&gt;1)),ISNUMBER(AG215),AG215&lt;=T215),AS215,0),IF(AND(NOT(AND(AO215=1,AN215&lt;&gt;1)),ISNUMBER(AH215),AH215&lt;=T215),AT215,0),IF(AND(NOT(AND(AO215=1,AN215&lt;&gt;1)),ISNUMBER(AI215),AI215&lt;=T215),AU215,0),IF(AND(ISNUMBER(AJ215),AJ215&lt;=T215),AV215,0))),TRUE(),FALSE())</f>
        <v>1</v>
      </c>
      <c r="AS215" s="33" t="n">
        <f aca="false">IFERROR(Upgrades!$H$6*(POWER(Upgrades!$P$6,E215)*POWER(Upgrades!$P$7,F215)*POWER(Upgrades!$P$8,G215)*POWER(Upgrades!$P$9,H215)*POWER(Upgrades!$P$10,I215)*POWER(Upgrades!$P$11,J215)*POWER(Upgrades!$P$12,K215))*(IF(Upgrades!$T$7="Solar Wind",POWER(Upgrades!$U$7,F215),1)*IF(Upgrades!$T$8="Solar Wind",POWER(Upgrades!$U$8,G215),1)*IF(Upgrades!$T$9="Solar Wind",POWER(Upgrades!$U$9,H215),1)*IF(Upgrades!$T$10="Solar Wind",POWER(Upgrades!$U$10,I215),1)*IF(Upgrades!$T$11="Solar Wind",POWER(Upgrades!$U$11,J215),1)*IF(Upgrades!$T$12="Solar Wind",POWER(Upgrades!$U$12,K215),1))/AG215,0)</f>
        <v>0.0026701021455238</v>
      </c>
      <c r="AT215" s="33" t="n">
        <f aca="false">IFERROR(Upgrades!$H$7*(POWER(Upgrades!$P$6,E215)*POWER(Upgrades!$P$7,F215)*POWER(Upgrades!$P$8,G215)*POWER(Upgrades!$P$9,H215)*POWER(Upgrades!$P$10,I215)*POWER(Upgrades!$P$11,J215)*POWER(Upgrades!$P$12,K215))*(IF(Upgrades!$T$6="Asteroid Belt",POWER(Upgrades!$U$6,E215),1)*IF(Upgrades!$T$8="Asteroid Belt",POWER(Upgrades!$U$8,G215),1)*IF(Upgrades!$T$9="Asteroid Belt",POWER(Upgrades!$U$9,H215),1)*IF(Upgrades!$T$10="Asteroid Belt",POWER(Upgrades!$U$10,I215),1)*IF(Upgrades!$T$11="Asteroid Belt",POWER(Upgrades!$U$11,J215),1)*IF(Upgrades!$T$12="Asteroid Belt",POWER(Upgrades!$U$12,K215),1))/AH215,0)</f>
        <v>0.00308980882652332</v>
      </c>
      <c r="AU215" s="33" t="n">
        <f aca="false">IFERROR(Upgrades!$K$8*(POWER(Upgrades!$Q$6,E215)*POWER(Upgrades!$Q$7,F215)*POWER(Upgrades!$Q$8,G215)*POWER(Upgrades!$Q$9,H215)*POWER(Upgrades!$Q$10,I215)*POWER(Upgrades!$Q$11,J215)*POWER(Upgrades!$Q$12,K215))*(IF(Upgrades!$T$6="Stellar Coupling",POWER(Upgrades!$U$6,E215),1)*IF(Upgrades!$T$7="Stellar Coupling",POWER(Upgrades!$U$7,F215),1)*IF(Upgrades!$T$9="Stellar Coupling",POWER(Upgrades!$U$9,H215),1)*IF(Upgrades!$T$10="Stellar Coupling",POWER(Upgrades!$U$10,I215),1)*IF(Upgrades!$T$11="Stellar Coupling",POWER(Upgrades!$U$11,J215),1)*IF(Upgrades!$T$12="Stellar Coupling",POWER(Upgrades!$U$12,K215),1))*Parameters!$B$10*Parameters!$B$11/60/AI215,0)</f>
        <v>0.00452762415783776</v>
      </c>
      <c r="AV215" s="33" t="n">
        <f aca="false">IFERROR(Upgrades!$H$9*(POWER(Upgrades!$P$6,E215)*POWER(Upgrades!$P$7,F215)*POWER(Upgrades!$P$8,G215)*POWER(Upgrades!$P$9,H215)*POWER(Upgrades!$P$10,I215)*POWER(Upgrades!$P$11,J215)*POWER(Upgrades!$P$12,K215))*(IF(Upgrades!$T$6="Magnetosphere",POWER(Upgrades!$U$6,E215),1)*IF(Upgrades!$T$7="Magnetosphere",POWER(Upgrades!$U$7,F215),1)*IF(Upgrades!$T$8="Magnetosphere",POWER(Upgrades!$U$8,G215),1)*IF(Upgrades!$T$10="Magnetosphere",POWER(Upgrades!$U$10,I215),1)*IF(Upgrades!$T$11="Magnetosphere",POWER(Upgrades!$U$11,J215),1)*IF(Upgrades!$T$12="Magnetosphere",POWER(Upgrades!$U$12,K215),1))/AJ215,0)</f>
        <v>0</v>
      </c>
      <c r="AW215" s="33" t="n">
        <f aca="false">MAX(IF(I215&gt;0,0,IFERROR(0.25*N215/Upgrades!$C$10,0)),IF(J215&gt;0,0,IFERROR(0.5*((IF(G215=0,0,(Upgrades!$J$8+G215*Upgrades!$K$8)*POWER(Upgrades!$L$8,G215)))*(IF(Upgrades!$T$6="Stellar Coupling",POWER(Upgrades!$U$6,E215),1)*IF(Upgrades!$T$7="Stellar Coupling",POWER(Upgrades!$U$7,F215),1)*IF(Upgrades!$T$9="Stellar Coupling",POWER(Upgrades!$U$9,H215),1)*IF(Upgrades!$T$10="Stellar Coupling",POWER(Upgrades!$U$10,I215),1)*IF(Upgrades!$T$11="Stellar Coupling",POWER(Upgrades!$U$11,J215),1)*IF(Upgrades!$T$12="Stellar Coupling",POWER(Upgrades!$U$12,K215),1))*(POWER(Upgrades!$Q$6,E215)*POWER(Upgrades!$Q$7,F215)*POWER(Upgrades!$Q$8,G215)*POWER(Upgrades!$Q$9,H215)*POWER(Upgrades!$Q$10,I215)*POWER(Upgrades!$Q$11,J215)*POWER(Upgrades!$Q$12,K215))*Parameters!$B$10*Parameters!$B$11/60)/Upgrades!$C$11,0)),IF(K215&gt;0,0,IFERROR((1*(POWER(Upgrades!$P$6,E215)*POWER(Upgrades!$P$7,F215)*POWER(Upgrades!$P$8,G215)*POWER(Upgrades!$P$9,H215)*POWER(Upgrades!$P$10,I215)*POWER(Upgrades!$P$11,J215)*POWER(Upgrades!$P$12,K215))+0.2*M215*Parameters!$B$10*Parameters!$B$11/60)/Upgrades!$C$12,0)),IF(AND(ISNUMBER(AG215),AG215&gt;T215),AS215,0),IF(AND(ISNUMBER(AH215),AH215&gt;T215),AT215,0),IF(AND(ISNUMBER(AI215),AI215&gt;T215),AU215,0),IF(AND(ISNUMBER(AJ215),AJ215&gt;T215),AV215,0))</f>
        <v>0.00452762415783776</v>
      </c>
      <c r="AX215" s="29" t="str">
        <f aca="false">IF(AN215=1,"transition",IF(MIN(IF(AND(I215=0,ISNUMBER(AK215),AK215&lt;=T215),AK215,9000000000000000),IF(AND(J215=0,ISNUMBER(AL215),AL215&lt;=T215),AL215,9000000000000000),IF(AND(K215=0,ISNUMBER(AM215),AM215&lt;=T215),AM215,9000000000000000))&lt;9000000000000000,IF(AND(AND(I215=0,ISNUMBER(AK215),AK215&lt;=T215),AK215=MIN(IF(AND(I215=0,ISNUMBER(AK215),AK215&lt;=T215),AK215,9000000000000000),IF(AND(J215=0,ISNUMBER(AL215),AL215&lt;=T215),AL215,9000000000000000),IF(AND(K215=0,ISNUMBER(AM215),AM215&lt;=T215),AM215,9000000000000000))),"OR",IF(AND(AND(J215=0,ISNUMBER(AL215),AL215&lt;=T215),AL215=MIN(IF(AND(I215=0,ISNUMBER(AK215),AK215&lt;=T215),AK215,9000000000000000),IF(AND(J215=0,ISNUMBER(AL215),AL215&lt;=T215),AL215,9000000000000000),IF(AND(K215=0,ISNUMBER(AM215),AM215&lt;=T215),AM215,9000000000000000))),"HP","FP")),IF(AR215=TRUE(),"",IF(MAX(IF(AND(NOT(AND(AO215=1,AN215&lt;&gt;1)),ISNUMBER(AG215),AG215&lt;=T215),AS215,0),IF(AND(NOT(AND(AO215=1,AN215&lt;&gt;1)),ISNUMBER(AH215),AH215&lt;=T215),AT215,0),IF(AND(NOT(AND(AO215=1,AN215&lt;&gt;1)),ISNUMBER(AI215),AI215&lt;=T215),AU215,0),IF(AND(ISNUMBER(AJ215),AJ215&lt;=T215),AV215,0))&lt;=0,"",IF(AND(IF(AND(NOT(AND(AO215=1,AN215&lt;&gt;1)),ISNUMBER(AG215),AG215&lt;=T215),AS215,0)&gt;0,IF(AND(NOT(AND(AO215=1,AN215&lt;&gt;1)),ISNUMBER(AG215),AG215&lt;=T215),AS215,0)=MAX(IF(AND(NOT(AND(AO215=1,AN215&lt;&gt;1)),ISNUMBER(AG215),AG215&lt;=T215),AS215,0),IF(AND(NOT(AND(AO215=1,AN215&lt;&gt;1)),ISNUMBER(AH215),AH215&lt;=T215),AT215,0),IF(AND(NOT(AND(AO215=1,AN215&lt;&gt;1)),ISNUMBER(AI215),AI215&lt;=T215),AU215,0),IF(AND(ISNUMBER(AJ215),AJ215&lt;=T215),AV215,0))),"SW",IF(AND(IF(AND(NOT(AND(AO215=1,AN215&lt;&gt;1)),ISNUMBER(AH215),AH215&lt;=T215),AT215,0)&gt;0,IF(AND(NOT(AND(AO215=1,AN215&lt;&gt;1)),ISNUMBER(AH215),AH215&lt;=T215),AT215,0)=MAX(IF(AND(NOT(AND(AO215=1,AN215&lt;&gt;1)),ISNUMBER(AG215),AG215&lt;=T215),AS215,0),IF(AND(NOT(AND(AO215=1,AN215&lt;&gt;1)),ISNUMBER(AH215),AH215&lt;=T215),AT215,0),IF(AND(NOT(AND(AO215=1,AN215&lt;&gt;1)),ISNUMBER(AI215),AI215&lt;=T215),AU215,0),IF(AND(ISNUMBER(AJ215),AJ215&lt;=T215),AV215,0))),"AB",IF(AND(IF(AND(NOT(AND(AO215=1,AN215&lt;&gt;1)),ISNUMBER(AI215),AI215&lt;=T215),AU215,0)&gt;0,IF(AND(NOT(AND(AO215=1,AN215&lt;&gt;1)),ISNUMBER(AI215),AI215&lt;=T215),AU215,0)=MAX(IF(AND(NOT(AND(AO215=1,AN215&lt;&gt;1)),ISNUMBER(AG215),AG215&lt;=T215),AS215,0),IF(AND(NOT(AND(AO215=1,AN215&lt;&gt;1)),ISNUMBER(AH215),AH215&lt;=T215),AT215,0),IF(AND(NOT(AND(AO215=1,AN215&lt;&gt;1)),ISNUMBER(AI215),AI215&lt;=T215),AU215,0),IF(AND(ISNUMBER(AJ215),AJ215&lt;=T215),AV215,0))),"SC","Mag")))))))</f>
        <v/>
      </c>
    </row>
    <row r="216" customFormat="false" ht="15" hidden="false" customHeight="false" outlineLevel="0" collapsed="false">
      <c r="A216" s="26" t="n">
        <v>211</v>
      </c>
      <c r="B216" s="27" t="n">
        <f aca="false">A216*10/60</f>
        <v>35.1666666666667</v>
      </c>
      <c r="C216" s="21" t="n">
        <f aca="false">X215</f>
        <v>18.6730249835055</v>
      </c>
      <c r="D216" s="27" t="n">
        <f aca="false">D215+W215</f>
        <v>0</v>
      </c>
      <c r="E216" s="26" t="n">
        <f aca="false">E215+IF(U215="SW",1,0)</f>
        <v>12</v>
      </c>
      <c r="F216" s="26" t="n">
        <f aca="false">F215+IF(U215="AB",1,0)</f>
        <v>10</v>
      </c>
      <c r="G216" s="26" t="n">
        <f aca="false">G215+IF(U215="SC",1,0)</f>
        <v>7</v>
      </c>
      <c r="H216" s="26" t="n">
        <f aca="false">H215+IF(U215="Mag",1,0)</f>
        <v>5</v>
      </c>
      <c r="I216" s="26" t="n">
        <f aca="false">MAX(I215,IF(U215="OR",1,0))</f>
        <v>1</v>
      </c>
      <c r="J216" s="26" t="n">
        <f aca="false">MAX(J215,IF(U215="HP",1,0))</f>
        <v>1</v>
      </c>
      <c r="K216" s="26" t="n">
        <f aca="false">MAX(K215,IF(U215="FP",1,0))</f>
        <v>1</v>
      </c>
      <c r="L216" s="26" t="n">
        <f aca="false">MAX(L215,IF(U215="transition",1,0))</f>
        <v>1</v>
      </c>
      <c r="M216" s="28" t="n">
        <f aca="false">(Parameters!$B$9+(IF(E216=0,0,(Upgrades!$J$6+E216*Upgrades!$K$6)*POWER(Upgrades!$L$6,E216)))*(IF(Upgrades!$T$7="Solar Wind",POWER(Upgrades!$U$7,F216),1)*IF(Upgrades!$T$8="Solar Wind",POWER(Upgrades!$U$8,G216),1)*IF(Upgrades!$T$9="Solar Wind",POWER(Upgrades!$U$9,H216),1)*IF(Upgrades!$T$10="Solar Wind",POWER(Upgrades!$U$10,I216),1)*IF(Upgrades!$T$11="Solar Wind",POWER(Upgrades!$U$11,J216),1)*IF(Upgrades!$T$12="Solar Wind",POWER(Upgrades!$U$12,K216),1))+(IF(F216=0,0,(Upgrades!$J$7+F216*Upgrades!$K$7)*POWER(Upgrades!$L$7,F216)))*(IF(Upgrades!$T$6="Asteroid Belt",POWER(Upgrades!$U$6,E216),1)*IF(Upgrades!$T$8="Asteroid Belt",POWER(Upgrades!$U$8,G216),1)*IF(Upgrades!$T$9="Asteroid Belt",POWER(Upgrades!$U$9,H216),1)*IF(Upgrades!$T$10="Asteroid Belt",POWER(Upgrades!$U$10,I216),1)*IF(Upgrades!$T$11="Asteroid Belt",POWER(Upgrades!$U$11,J216),1)*IF(Upgrades!$T$12="Asteroid Belt",POWER(Upgrades!$U$12,K216),1))+(IF(G216=0,0,(Upgrades!$J$8+G216*Upgrades!$K$8)*POWER(Upgrades!$L$8,G216)))*(IF(Upgrades!$T$6="Stellar Coupling",POWER(Upgrades!$U$6,E216),1)*IF(Upgrades!$T$7="Stellar Coupling",POWER(Upgrades!$U$7,F216),1)*IF(Upgrades!$T$9="Stellar Coupling",POWER(Upgrades!$U$9,H216),1)*IF(Upgrades!$T$10="Stellar Coupling",POWER(Upgrades!$U$10,I216),1)*IF(Upgrades!$T$11="Stellar Coupling",POWER(Upgrades!$U$11,J216),1)*IF(Upgrades!$T$12="Stellar Coupling",POWER(Upgrades!$U$12,K216),1))+(IF(H216=0,0,(Upgrades!$J$9+H216*Upgrades!$K$9)*POWER(Upgrades!$L$9,H216)))*(IF(Upgrades!$T$6="Magnetosphere",POWER(Upgrades!$U$6,E216),1)*IF(Upgrades!$T$7="Magnetosphere",POWER(Upgrades!$U$7,F216),1)*IF(Upgrades!$T$8="Magnetosphere",POWER(Upgrades!$U$8,G216),1)*IF(Upgrades!$T$10="Magnetosphere",POWER(Upgrades!$U$10,I216),1)*IF(Upgrades!$T$11="Magnetosphere",POWER(Upgrades!$U$11,J216),1)*IF(Upgrades!$T$12="Magnetosphere",POWER(Upgrades!$U$12,K216),1))+(IF(I216=0,0,(Upgrades!$J$10+I216*Upgrades!$K$10)*POWER(Upgrades!$L$10,I216)))*(IF(Upgrades!$T$6="Orbital Resonance",POWER(Upgrades!$U$6,E216),1)*IF(Upgrades!$T$7="Orbital Resonance",POWER(Upgrades!$U$7,F216),1)*IF(Upgrades!$T$8="Orbital Resonance",POWER(Upgrades!$U$8,G216),1)*IF(Upgrades!$T$9="Orbital Resonance",POWER(Upgrades!$U$9,H216),1)*IF(Upgrades!$T$11="Orbital Resonance",POWER(Upgrades!$U$11,J216),1)*IF(Upgrades!$T$12="Orbital Resonance",POWER(Upgrades!$U$12,K216),1))+(IF(J216=0,0,(Upgrades!$J$11+J216*Upgrades!$K$11)*POWER(Upgrades!$L$11,J216)))*(IF(Upgrades!$T$6="Heliopause",POWER(Upgrades!$U$6,E216),1)*IF(Upgrades!$T$7="Heliopause",POWER(Upgrades!$U$7,F216),1)*IF(Upgrades!$T$8="Heliopause",POWER(Upgrades!$U$8,G216),1)*IF(Upgrades!$T$9="Heliopause",POWER(Upgrades!$U$9,H216),1)*IF(Upgrades!$T$10="Heliopause",POWER(Upgrades!$U$10,I216),1)*IF(Upgrades!$T$12="Heliopause",POWER(Upgrades!$U$12,K216),1))+(IF(K216=0,0,(Upgrades!$J$12+K216*Upgrades!$K$12)*POWER(Upgrades!$L$12,K216)))*(IF(Upgrades!$T$6="First Photons",POWER(Upgrades!$U$6,E216),1)*IF(Upgrades!$T$7="First Photons",POWER(Upgrades!$U$7,F216),1)*IF(Upgrades!$T$8="First Photons",POWER(Upgrades!$U$8,G216),1)*IF(Upgrades!$T$9="First Photons",POWER(Upgrades!$U$9,H216),1)*IF(Upgrades!$T$10="First Photons",POWER(Upgrades!$U$10,I216),1)*IF(Upgrades!$T$11="First Photons",POWER(Upgrades!$U$11,J216),1)))*POWER(Upgrades!$Q$6,E216)*POWER(Upgrades!$Q$7,F216)*POWER(Upgrades!$Q$8,G216)*POWER(Upgrades!$Q$9,H216)*POWER(Upgrades!$Q$10,I216)*POWER(Upgrades!$Q$11,J216)*POWER(Upgrades!$Q$12,K216)</f>
        <v>5.61</v>
      </c>
      <c r="N216" s="28" t="n">
        <f aca="false">((IF(E216=0,0,(Upgrades!$G$6+E216*Upgrades!$H$6)*POWER(Upgrades!$I$6,E216)))*(IF(Upgrades!$T$7="Solar Wind",POWER(Upgrades!$U$7,F216),1)*IF(Upgrades!$T$8="Solar Wind",POWER(Upgrades!$U$8,G216),1)*IF(Upgrades!$T$9="Solar Wind",POWER(Upgrades!$U$9,H216),1)*IF(Upgrades!$T$10="Solar Wind",POWER(Upgrades!$U$10,I216),1)*IF(Upgrades!$T$11="Solar Wind",POWER(Upgrades!$U$11,J216),1)*IF(Upgrades!$T$12="Solar Wind",POWER(Upgrades!$U$12,K216),1))+(IF(F216=0,0,(Upgrades!$G$7+F216*Upgrades!$H$7)*POWER(Upgrades!$I$7,F216)))*(IF(Upgrades!$T$6="Asteroid Belt",POWER(Upgrades!$U$6,E216),1)*IF(Upgrades!$T$8="Asteroid Belt",POWER(Upgrades!$U$8,G216),1)*IF(Upgrades!$T$9="Asteroid Belt",POWER(Upgrades!$U$9,H216),1)*IF(Upgrades!$T$10="Asteroid Belt",POWER(Upgrades!$U$10,I216),1)*IF(Upgrades!$T$11="Asteroid Belt",POWER(Upgrades!$U$11,J216),1)*IF(Upgrades!$T$12="Asteroid Belt",POWER(Upgrades!$U$12,K216),1))+(IF(G216=0,0,(Upgrades!$G$8+G216*Upgrades!$H$8)*POWER(Upgrades!$I$8,G216)))*(IF(Upgrades!$T$6="Stellar Coupling",POWER(Upgrades!$U$6,E216),1)*IF(Upgrades!$T$7="Stellar Coupling",POWER(Upgrades!$U$7,F216),1)*IF(Upgrades!$T$9="Stellar Coupling",POWER(Upgrades!$U$9,H216),1)*IF(Upgrades!$T$10="Stellar Coupling",POWER(Upgrades!$U$10,I216),1)*IF(Upgrades!$T$11="Stellar Coupling",POWER(Upgrades!$U$11,J216),1)*IF(Upgrades!$T$12="Stellar Coupling",POWER(Upgrades!$U$12,K216),1))+(IF(H216=0,0,(Upgrades!$G$9+H216*Upgrades!$H$9)*POWER(Upgrades!$I$9,H216)))*(IF(Upgrades!$T$6="Magnetosphere",POWER(Upgrades!$U$6,E216),1)*IF(Upgrades!$T$7="Magnetosphere",POWER(Upgrades!$U$7,F216),1)*IF(Upgrades!$T$8="Magnetosphere",POWER(Upgrades!$U$8,G216),1)*IF(Upgrades!$T$10="Magnetosphere",POWER(Upgrades!$U$10,I216),1)*IF(Upgrades!$T$11="Magnetosphere",POWER(Upgrades!$U$11,J216),1)*IF(Upgrades!$T$12="Magnetosphere",POWER(Upgrades!$U$12,K216),1))+(IF(I216=0,0,(Upgrades!$G$10+I216*Upgrades!$H$10)*POWER(Upgrades!$I$10,I216)))*(IF(Upgrades!$T$6="Orbital Resonance",POWER(Upgrades!$U$6,E216),1)*IF(Upgrades!$T$7="Orbital Resonance",POWER(Upgrades!$U$7,F216),1)*IF(Upgrades!$T$8="Orbital Resonance",POWER(Upgrades!$U$8,G216),1)*IF(Upgrades!$T$9="Orbital Resonance",POWER(Upgrades!$U$9,H216),1)*IF(Upgrades!$T$11="Orbital Resonance",POWER(Upgrades!$U$11,J216),1)*IF(Upgrades!$T$12="Orbital Resonance",POWER(Upgrades!$U$12,K216),1))+(IF(J216=0,0,(Upgrades!$G$11+J216*Upgrades!$H$11)*POWER(Upgrades!$I$11,J216)))*(IF(Upgrades!$T$6="Heliopause",POWER(Upgrades!$U$6,E216),1)*IF(Upgrades!$T$7="Heliopause",POWER(Upgrades!$U$7,F216),1)*IF(Upgrades!$T$8="Heliopause",POWER(Upgrades!$U$8,G216),1)*IF(Upgrades!$T$9="Heliopause",POWER(Upgrades!$U$9,H216),1)*IF(Upgrades!$T$10="Heliopause",POWER(Upgrades!$U$10,I216),1)*IF(Upgrades!$T$12="Heliopause",POWER(Upgrades!$U$12,K216),1))+(IF(K216=0,0,(Upgrades!$G$12+K216*Upgrades!$H$12)*POWER(Upgrades!$I$12,K216)))*(IF(Upgrades!$T$6="First Photons",POWER(Upgrades!$U$6,E216),1)*IF(Upgrades!$T$7="First Photons",POWER(Upgrades!$U$7,F216),1)*IF(Upgrades!$T$8="First Photons",POWER(Upgrades!$U$8,G216),1)*IF(Upgrades!$T$9="First Photons",POWER(Upgrades!$U$9,H216),1)*IF(Upgrades!$T$10="First Photons",POWER(Upgrades!$U$10,I216),1)*IF(Upgrades!$T$11="First Photons",POWER(Upgrades!$U$11,J216),1)))*POWER(Upgrades!$P$6,E216)*POWER(Upgrades!$P$7,F216)*POWER(Upgrades!$P$8,G216)*POWER(Upgrades!$P$9,H216)*POWER(Upgrades!$P$10,I216)*POWER(Upgrades!$P$11,J216)*POWER(Upgrades!$P$12,K216)</f>
        <v>11.2</v>
      </c>
      <c r="O216" s="28" t="n">
        <f aca="false">((IF(E216=0,0,(Upgrades!$M$6+E216*Upgrades!$N$6)*POWER(Upgrades!$O$6,E216)))*(IF(Upgrades!$T$7="Solar Wind",POWER(Upgrades!$U$7,F216),1)*IF(Upgrades!$T$8="Solar Wind",POWER(Upgrades!$U$8,G216),1)*IF(Upgrades!$T$9="Solar Wind",POWER(Upgrades!$U$9,H216),1)*IF(Upgrades!$T$10="Solar Wind",POWER(Upgrades!$U$10,I216),1)*IF(Upgrades!$T$11="Solar Wind",POWER(Upgrades!$U$11,J216),1)*IF(Upgrades!$T$12="Solar Wind",POWER(Upgrades!$U$12,K216),1))+(IF(F216=0,0,(Upgrades!$M$7+F216*Upgrades!$N$7)*POWER(Upgrades!$O$7,F216)))*(IF(Upgrades!$T$6="Asteroid Belt",POWER(Upgrades!$U$6,E216),1)*IF(Upgrades!$T$8="Asteroid Belt",POWER(Upgrades!$U$8,G216),1)*IF(Upgrades!$T$9="Asteroid Belt",POWER(Upgrades!$U$9,H216),1)*IF(Upgrades!$T$10="Asteroid Belt",POWER(Upgrades!$U$10,I216),1)*IF(Upgrades!$T$11="Asteroid Belt",POWER(Upgrades!$U$11,J216),1)*IF(Upgrades!$T$12="Asteroid Belt",POWER(Upgrades!$U$12,K216),1))+(IF(G216=0,0,(Upgrades!$M$8+G216*Upgrades!$N$8)*POWER(Upgrades!$O$8,G216)))*(IF(Upgrades!$T$6="Stellar Coupling",POWER(Upgrades!$U$6,E216),1)*IF(Upgrades!$T$7="Stellar Coupling",POWER(Upgrades!$U$7,F216),1)*IF(Upgrades!$T$9="Stellar Coupling",POWER(Upgrades!$U$9,H216),1)*IF(Upgrades!$T$10="Stellar Coupling",POWER(Upgrades!$U$10,I216),1)*IF(Upgrades!$T$11="Stellar Coupling",POWER(Upgrades!$U$11,J216),1)*IF(Upgrades!$T$12="Stellar Coupling",POWER(Upgrades!$U$12,K216),1))+(IF(H216=0,0,(Upgrades!$M$9+H216*Upgrades!$N$9)*POWER(Upgrades!$O$9,H216)))*(IF(Upgrades!$T$6="Magnetosphere",POWER(Upgrades!$U$6,E216),1)*IF(Upgrades!$T$7="Magnetosphere",POWER(Upgrades!$U$7,F216),1)*IF(Upgrades!$T$8="Magnetosphere",POWER(Upgrades!$U$8,G216),1)*IF(Upgrades!$T$10="Magnetosphere",POWER(Upgrades!$U$10,I216),1)*IF(Upgrades!$T$11="Magnetosphere",POWER(Upgrades!$U$11,J216),1)*IF(Upgrades!$T$12="Magnetosphere",POWER(Upgrades!$U$12,K216),1))+(IF(I216=0,0,(Upgrades!$M$10+I216*Upgrades!$N$10)*POWER(Upgrades!$O$10,I216)))*(IF(Upgrades!$T$6="Orbital Resonance",POWER(Upgrades!$U$6,E216),1)*IF(Upgrades!$T$7="Orbital Resonance",POWER(Upgrades!$U$7,F216),1)*IF(Upgrades!$T$8="Orbital Resonance",POWER(Upgrades!$U$8,G216),1)*IF(Upgrades!$T$9="Orbital Resonance",POWER(Upgrades!$U$9,H216),1)*IF(Upgrades!$T$11="Orbital Resonance",POWER(Upgrades!$U$11,J216),1)*IF(Upgrades!$T$12="Orbital Resonance",POWER(Upgrades!$U$12,K216),1))+(IF(J216=0,0,(Upgrades!$M$11+J216*Upgrades!$N$11)*POWER(Upgrades!$O$11,J216)))*(IF(Upgrades!$T$6="Heliopause",POWER(Upgrades!$U$6,E216),1)*IF(Upgrades!$T$7="Heliopause",POWER(Upgrades!$U$7,F216),1)*IF(Upgrades!$T$8="Heliopause",POWER(Upgrades!$U$8,G216),1)*IF(Upgrades!$T$9="Heliopause",POWER(Upgrades!$U$9,H216),1)*IF(Upgrades!$T$10="Heliopause",POWER(Upgrades!$U$10,I216),1)*IF(Upgrades!$T$12="Heliopause",POWER(Upgrades!$U$12,K216),1))+(IF(K216=0,0,(Upgrades!$M$12+K216*Upgrades!$N$12)*POWER(Upgrades!$O$12,K216)))*(IF(Upgrades!$T$6="First Photons",POWER(Upgrades!$U$6,E216),1)*IF(Upgrades!$T$7="First Photons",POWER(Upgrades!$U$7,F216),1)*IF(Upgrades!$T$8="First Photons",POWER(Upgrades!$U$8,G216),1)*IF(Upgrades!$T$9="First Photons",POWER(Upgrades!$U$9,H216),1)*IF(Upgrades!$T$10="First Photons",POWER(Upgrades!$U$10,I216),1)*IF(Upgrades!$T$11="First Photons",POWER(Upgrades!$U$11,J216),1)))*POWER(Upgrades!$R$6,E216)*POWER(Upgrades!$R$7,F216)*POWER(Upgrades!$R$8,G216)*POWER(Upgrades!$R$9,H216)*POWER(Upgrades!$R$10,I216)*POWER(Upgrades!$R$11,J216)*POWER(Upgrades!$R$12,K216)</f>
        <v>0</v>
      </c>
      <c r="P216" s="27" t="n">
        <f aca="false">IF(L216=1,0,M216*Parameters!$B$10/60*Parameters!$B$11*10)</f>
        <v>0</v>
      </c>
      <c r="Q216" s="27" t="n">
        <f aca="false">IF(L216=1,0,O216*M216*10)</f>
        <v>0</v>
      </c>
      <c r="R216" s="27" t="n">
        <f aca="false">IF(L216=1,0,N216*10)</f>
        <v>0</v>
      </c>
      <c r="S216" s="27" t="n">
        <f aca="false">P216+Q216+R216</f>
        <v>0</v>
      </c>
      <c r="T216" s="21" t="n">
        <f aca="false">C216+S216</f>
        <v>18.6730249835055</v>
      </c>
      <c r="U216" s="34" t="str">
        <f aca="false">AX216</f>
        <v/>
      </c>
      <c r="V216" s="21" t="n">
        <f aca="false">IF(U216="",0,IF(U216="transition",0,IF(U216="SW",AG216,IF(U216="AB",AH216,IF(U216="SC",AI216,IF(U216="Mag",AJ216,IF(U216="OR",AK216,IF(U216="HP",AL216,IF(U216="FP",AM216,0)))))))))</f>
        <v>0</v>
      </c>
      <c r="W216" s="27" t="n">
        <f aca="false">IF(U216="OR",Upgrades!$F$10,IF(U216="HP",Upgrades!$F$11,IF(U216="transition",-Parameters!$B$18,0)))</f>
        <v>0</v>
      </c>
      <c r="X216" s="21" t="n">
        <f aca="false">T216-V216</f>
        <v>18.6730249835055</v>
      </c>
      <c r="Y216" s="30" t="n">
        <f aca="false">M216*Parameters!$B$10/60*Parameters!$B$11+O216*M216+N216</f>
        <v>20.55</v>
      </c>
      <c r="Z216" s="35" t="str">
        <f aca="false">IF(U216="transition","→ Tier 2 (Stellar Neighborhood)",IF(U216="FP","First Photons — light begins, system quickens",IF(U216="HP","Heliopause acquired",IF(U216="OR","Orbital Resonance — passive multiplier active",IF(AND(AO216=1,L216=0,AN216&lt;&gt;1),"Cohesion ready (waiting on completionist upgrades)","")))))</f>
        <v/>
      </c>
      <c r="AA216" s="27" t="n">
        <f aca="false">(IF(E216=0,0,(Upgrades!$G$6+E216*Upgrades!$H$6)*POWER(Upgrades!$I$6,E216)))*(IF(Upgrades!$T$7="Solar Wind",POWER(Upgrades!$U$7,F216),1)*IF(Upgrades!$T$8="Solar Wind",POWER(Upgrades!$U$8,G216),1)*IF(Upgrades!$T$9="Solar Wind",POWER(Upgrades!$U$9,H216),1)*IF(Upgrades!$T$10="Solar Wind",POWER(Upgrades!$U$10,I216),1)*IF(Upgrades!$T$11="Solar Wind",POWER(Upgrades!$U$11,J216),1)*IF(Upgrades!$T$12="Solar Wind",POWER(Upgrades!$U$12,K216),1))*POWER(Upgrades!$P$6,E216)*POWER(Upgrades!$P$7,F216)*POWER(Upgrades!$P$8,G216)*POWER(Upgrades!$P$9,H216)*POWER(Upgrades!$P$10,I216)*POWER(Upgrades!$P$11,J216)*POWER(Upgrades!$P$12,K216)*60</f>
        <v>72</v>
      </c>
      <c r="AB216" s="27" t="n">
        <f aca="false">(IF(F216=0,0,(Upgrades!$G$7+F216*Upgrades!$H$7)*POWER(Upgrades!$I$7,F216)))*(IF(Upgrades!$T$6="Asteroid Belt",POWER(Upgrades!$U$6,E216),1)*IF(Upgrades!$T$8="Asteroid Belt",POWER(Upgrades!$U$8,G216),1)*IF(Upgrades!$T$9="Asteroid Belt",POWER(Upgrades!$U$9,H216),1)*IF(Upgrades!$T$10="Asteroid Belt",POWER(Upgrades!$U$10,I216),1)*IF(Upgrades!$T$11="Asteroid Belt",POWER(Upgrades!$U$11,J216),1)*IF(Upgrades!$T$12="Asteroid Belt",POWER(Upgrades!$U$12,K216),1))*POWER(Upgrades!$P$6,E216)*POWER(Upgrades!$P$7,F216)*POWER(Upgrades!$P$8,G216)*POWER(Upgrades!$P$9,H216)*POWER(Upgrades!$P$10,I216)*POWER(Upgrades!$P$11,J216)*POWER(Upgrades!$P$12,K216)*60</f>
        <v>150</v>
      </c>
      <c r="AC216" s="27" t="n">
        <f aca="false">(IF(G216=0,0,(Upgrades!$J$8+G216*Upgrades!$K$8)*POWER(Upgrades!$L$8,G216)))*(IF(Upgrades!$T$6="Stellar Coupling",POWER(Upgrades!$U$6,E216),1)*IF(Upgrades!$T$7="Stellar Coupling",POWER(Upgrades!$U$7,F216),1)*IF(Upgrades!$T$9="Stellar Coupling",POWER(Upgrades!$U$9,H216),1)*IF(Upgrades!$T$10="Stellar Coupling",POWER(Upgrades!$U$10,I216),1)*IF(Upgrades!$T$11="Stellar Coupling",POWER(Upgrades!$U$11,J216),1)*IF(Upgrades!$T$12="Stellar Coupling",POWER(Upgrades!$U$12,K216),1))*POWER(Upgrades!$Q$6,E216)*POWER(Upgrades!$Q$7,F216)*POWER(Upgrades!$Q$8,G216)*POWER(Upgrades!$Q$9,H216)*POWER(Upgrades!$Q$10,I216)*POWER(Upgrades!$Q$11,J216)*POWER(Upgrades!$Q$12,K216)*Parameters!$B$10*Parameters!$B$11</f>
        <v>441</v>
      </c>
      <c r="AD216" s="27" t="n">
        <f aca="false">(IF(H216=0,0,(Upgrades!$G$9+H216*Upgrades!$H$9)*POWER(Upgrades!$I$9,H216)))*(IF(Upgrades!$T$6="Magnetosphere",POWER(Upgrades!$U$6,E216),1)*IF(Upgrades!$T$7="Magnetosphere",POWER(Upgrades!$U$7,F216),1)*IF(Upgrades!$T$8="Magnetosphere",POWER(Upgrades!$U$8,G216),1)*IF(Upgrades!$T$10="Magnetosphere",POWER(Upgrades!$U$10,I216),1)*IF(Upgrades!$T$11="Magnetosphere",POWER(Upgrades!$U$11,J216),1)*IF(Upgrades!$T$12="Magnetosphere",POWER(Upgrades!$U$12,K216),1))*POWER(Upgrades!$P$6,E216)*POWER(Upgrades!$P$7,F216)*POWER(Upgrades!$P$8,G216)*POWER(Upgrades!$P$9,H216)*POWER(Upgrades!$P$10,I216)*POWER(Upgrades!$P$11,J216)*POWER(Upgrades!$P$12,K216)*60</f>
        <v>375</v>
      </c>
      <c r="AE216" s="27" t="n">
        <f aca="false">(IF(K216=0,0,(Upgrades!$G$12+K216*Upgrades!$H$12)*POWER(Upgrades!$I$12,K216)))*(IF(Upgrades!$T$6="First Photons",POWER(Upgrades!$U$6,E216),1)*IF(Upgrades!$T$7="First Photons",POWER(Upgrades!$U$7,F216),1)*IF(Upgrades!$T$8="First Photons",POWER(Upgrades!$U$8,G216),1)*IF(Upgrades!$T$9="First Photons",POWER(Upgrades!$U$9,H216),1)*IF(Upgrades!$T$10="First Photons",POWER(Upgrades!$U$10,I216),1)*IF(Upgrades!$T$11="First Photons",POWER(Upgrades!$U$11,J216),1))*POWER(Upgrades!$P$6,E216)*POWER(Upgrades!$P$7,F216)*POWER(Upgrades!$P$8,G216)*POWER(Upgrades!$P$9,H216)*POWER(Upgrades!$P$10,I216)*POWER(Upgrades!$P$11,J216)*POWER(Upgrades!$P$12,K216)*60</f>
        <v>75</v>
      </c>
      <c r="AF216" s="27" t="n">
        <f aca="false">Parameters!$B$9*POWER(Upgrades!$Q$6,E216)*POWER(Upgrades!$Q$7,F216)*POWER(Upgrades!$Q$8,G216)*POWER(Upgrades!$Q$9,H216)*POWER(Upgrades!$Q$10,I216)*POWER(Upgrades!$Q$11,J216)*POWER(Upgrades!$Q$12,K216)*(Parameters!$B$10*Parameters!$B$11+O216*60)</f>
        <v>120</v>
      </c>
      <c r="AG216" s="21" t="n">
        <f aca="false">IF(E216&gt;=Upgrades!$E$6,"",Upgrades!$C$6*POWER(Upgrades!$D$6,E216))</f>
        <v>37.4517507383159</v>
      </c>
      <c r="AH216" s="21" t="n">
        <f aca="false">IF(F216&gt;=Upgrades!$E$7,"",Upgrades!$C$7*POWER(Upgrades!$D$7,F216))</f>
        <v>80.9111547141581</v>
      </c>
      <c r="AI216" s="21" t="n">
        <f aca="false">IF(G216&gt;=Upgrades!$E$8,"",Upgrades!$C$8*POWER(Upgrades!$D$8,G216))</f>
        <v>231.9097088</v>
      </c>
      <c r="AJ216" s="21" t="str">
        <f aca="false">IF(H216&gt;=Upgrades!$E$9,"",Upgrades!$C$9*POWER(Upgrades!$D$9,H216))</f>
        <v/>
      </c>
      <c r="AK216" s="21" t="str">
        <f aca="false">IF(I216&gt;=Upgrades!$E$10,"",Upgrades!$C$10*POWER(Upgrades!$D$10,I216))</f>
        <v/>
      </c>
      <c r="AL216" s="21" t="str">
        <f aca="false">IF(J216&gt;=Upgrades!$E$11,"",Upgrades!$C$11*POWER(Upgrades!$D$11,J216))</f>
        <v/>
      </c>
      <c r="AM216" s="21" t="str">
        <f aca="false">IF(K216&gt;=Upgrades!$E$12,"",Upgrades!$C$12*POWER(Upgrades!$D$12,K216))</f>
        <v/>
      </c>
      <c r="AN216" s="26" t="str">
        <f aca="false">IF(AND(D216&gt;=Parameters!$B$18,(H216&gt;=Upgrades!$E$9)*(K216&gt;=Upgrades!$E$12)=1,L216=0),1,"")</f>
        <v/>
      </c>
      <c r="AO216" s="26" t="str">
        <f aca="false">IF(AND(D216&gt;=Parameters!$B$18,L216=0),1,"")</f>
        <v/>
      </c>
      <c r="AP216" s="21" t="n">
        <f aca="false">MIN(IF(ISNUMBER(AK216),AK216,9000000000000000),IF(ISNUMBER(AL216),AL216,9000000000000000),IF(ISNUMBER(AM216),AM216,9000000000000000))</f>
        <v>9000000000000000</v>
      </c>
      <c r="AQ216" s="21" t="n">
        <f aca="false">MIN(IF(ISNUMBER(AG216),AG216,9000000000000000),IF(ISNUMBER(AH216),AH216,9000000000000000),IF(ISNUMBER(AI216),AI216,9000000000000000),IF(ISNUMBER(AJ216),AJ216,9000000000000000))</f>
        <v>37.4517507383159</v>
      </c>
      <c r="AR216" s="32" t="b">
        <f aca="false">IF(AW216&gt;Parameters!$B$21*(MAX(IF(AND(NOT(AND(AO216=1,AN216&lt;&gt;1)),ISNUMBER(AG216),AG216&lt;=T216),AS216,0),IF(AND(NOT(AND(AO216=1,AN216&lt;&gt;1)),ISNUMBER(AH216),AH216&lt;=T216),AT216,0),IF(AND(NOT(AND(AO216=1,AN216&lt;&gt;1)),ISNUMBER(AI216),AI216&lt;=T216),AU216,0),IF(AND(ISNUMBER(AJ216),AJ216&lt;=T216),AV216,0))),TRUE(),FALSE())</f>
        <v>1</v>
      </c>
      <c r="AS216" s="33" t="n">
        <f aca="false">IFERROR(Upgrades!$H$6*(POWER(Upgrades!$P$6,E216)*POWER(Upgrades!$P$7,F216)*POWER(Upgrades!$P$8,G216)*POWER(Upgrades!$P$9,H216)*POWER(Upgrades!$P$10,I216)*POWER(Upgrades!$P$11,J216)*POWER(Upgrades!$P$12,K216))*(IF(Upgrades!$T$7="Solar Wind",POWER(Upgrades!$U$7,F216),1)*IF(Upgrades!$T$8="Solar Wind",POWER(Upgrades!$U$8,G216),1)*IF(Upgrades!$T$9="Solar Wind",POWER(Upgrades!$U$9,H216),1)*IF(Upgrades!$T$10="Solar Wind",POWER(Upgrades!$U$10,I216),1)*IF(Upgrades!$T$11="Solar Wind",POWER(Upgrades!$U$11,J216),1)*IF(Upgrades!$T$12="Solar Wind",POWER(Upgrades!$U$12,K216),1))/AG216,0)</f>
        <v>0.0026701021455238</v>
      </c>
      <c r="AT216" s="33" t="n">
        <f aca="false">IFERROR(Upgrades!$H$7*(POWER(Upgrades!$P$6,E216)*POWER(Upgrades!$P$7,F216)*POWER(Upgrades!$P$8,G216)*POWER(Upgrades!$P$9,H216)*POWER(Upgrades!$P$10,I216)*POWER(Upgrades!$P$11,J216)*POWER(Upgrades!$P$12,K216))*(IF(Upgrades!$T$6="Asteroid Belt",POWER(Upgrades!$U$6,E216),1)*IF(Upgrades!$T$8="Asteroid Belt",POWER(Upgrades!$U$8,G216),1)*IF(Upgrades!$T$9="Asteroid Belt",POWER(Upgrades!$U$9,H216),1)*IF(Upgrades!$T$10="Asteroid Belt",POWER(Upgrades!$U$10,I216),1)*IF(Upgrades!$T$11="Asteroid Belt",POWER(Upgrades!$U$11,J216),1)*IF(Upgrades!$T$12="Asteroid Belt",POWER(Upgrades!$U$12,K216),1))/AH216,0)</f>
        <v>0.00308980882652332</v>
      </c>
      <c r="AU216" s="33" t="n">
        <f aca="false">IFERROR(Upgrades!$K$8*(POWER(Upgrades!$Q$6,E216)*POWER(Upgrades!$Q$7,F216)*POWER(Upgrades!$Q$8,G216)*POWER(Upgrades!$Q$9,H216)*POWER(Upgrades!$Q$10,I216)*POWER(Upgrades!$Q$11,J216)*POWER(Upgrades!$Q$12,K216))*(IF(Upgrades!$T$6="Stellar Coupling",POWER(Upgrades!$U$6,E216),1)*IF(Upgrades!$T$7="Stellar Coupling",POWER(Upgrades!$U$7,F216),1)*IF(Upgrades!$T$9="Stellar Coupling",POWER(Upgrades!$U$9,H216),1)*IF(Upgrades!$T$10="Stellar Coupling",POWER(Upgrades!$U$10,I216),1)*IF(Upgrades!$T$11="Stellar Coupling",POWER(Upgrades!$U$11,J216),1)*IF(Upgrades!$T$12="Stellar Coupling",POWER(Upgrades!$U$12,K216),1))*Parameters!$B$10*Parameters!$B$11/60/AI216,0)</f>
        <v>0.00452762415783776</v>
      </c>
      <c r="AV216" s="33" t="n">
        <f aca="false">IFERROR(Upgrades!$H$9*(POWER(Upgrades!$P$6,E216)*POWER(Upgrades!$P$7,F216)*POWER(Upgrades!$P$8,G216)*POWER(Upgrades!$P$9,H216)*POWER(Upgrades!$P$10,I216)*POWER(Upgrades!$P$11,J216)*POWER(Upgrades!$P$12,K216))*(IF(Upgrades!$T$6="Magnetosphere",POWER(Upgrades!$U$6,E216),1)*IF(Upgrades!$T$7="Magnetosphere",POWER(Upgrades!$U$7,F216),1)*IF(Upgrades!$T$8="Magnetosphere",POWER(Upgrades!$U$8,G216),1)*IF(Upgrades!$T$10="Magnetosphere",POWER(Upgrades!$U$10,I216),1)*IF(Upgrades!$T$11="Magnetosphere",POWER(Upgrades!$U$11,J216),1)*IF(Upgrades!$T$12="Magnetosphere",POWER(Upgrades!$U$12,K216),1))/AJ216,0)</f>
        <v>0</v>
      </c>
      <c r="AW216" s="33" t="n">
        <f aca="false">MAX(IF(I216&gt;0,0,IFERROR(0.25*N216/Upgrades!$C$10,0)),IF(J216&gt;0,0,IFERROR(0.5*((IF(G216=0,0,(Upgrades!$J$8+G216*Upgrades!$K$8)*POWER(Upgrades!$L$8,G216)))*(IF(Upgrades!$T$6="Stellar Coupling",POWER(Upgrades!$U$6,E216),1)*IF(Upgrades!$T$7="Stellar Coupling",POWER(Upgrades!$U$7,F216),1)*IF(Upgrades!$T$9="Stellar Coupling",POWER(Upgrades!$U$9,H216),1)*IF(Upgrades!$T$10="Stellar Coupling",POWER(Upgrades!$U$10,I216),1)*IF(Upgrades!$T$11="Stellar Coupling",POWER(Upgrades!$U$11,J216),1)*IF(Upgrades!$T$12="Stellar Coupling",POWER(Upgrades!$U$12,K216),1))*(POWER(Upgrades!$Q$6,E216)*POWER(Upgrades!$Q$7,F216)*POWER(Upgrades!$Q$8,G216)*POWER(Upgrades!$Q$9,H216)*POWER(Upgrades!$Q$10,I216)*POWER(Upgrades!$Q$11,J216)*POWER(Upgrades!$Q$12,K216))*Parameters!$B$10*Parameters!$B$11/60)/Upgrades!$C$11,0)),IF(K216&gt;0,0,IFERROR((1*(POWER(Upgrades!$P$6,E216)*POWER(Upgrades!$P$7,F216)*POWER(Upgrades!$P$8,G216)*POWER(Upgrades!$P$9,H216)*POWER(Upgrades!$P$10,I216)*POWER(Upgrades!$P$11,J216)*POWER(Upgrades!$P$12,K216))+0.2*M216*Parameters!$B$10*Parameters!$B$11/60)/Upgrades!$C$12,0)),IF(AND(ISNUMBER(AG216),AG216&gt;T216),AS216,0),IF(AND(ISNUMBER(AH216),AH216&gt;T216),AT216,0),IF(AND(ISNUMBER(AI216),AI216&gt;T216),AU216,0),IF(AND(ISNUMBER(AJ216),AJ216&gt;T216),AV216,0))</f>
        <v>0.00452762415783776</v>
      </c>
      <c r="AX216" s="29" t="str">
        <f aca="false">IF(AN216=1,"transition",IF(MIN(IF(AND(I216=0,ISNUMBER(AK216),AK216&lt;=T216),AK216,9000000000000000),IF(AND(J216=0,ISNUMBER(AL216),AL216&lt;=T216),AL216,9000000000000000),IF(AND(K216=0,ISNUMBER(AM216),AM216&lt;=T216),AM216,9000000000000000))&lt;9000000000000000,IF(AND(AND(I216=0,ISNUMBER(AK216),AK216&lt;=T216),AK216=MIN(IF(AND(I216=0,ISNUMBER(AK216),AK216&lt;=T216),AK216,9000000000000000),IF(AND(J216=0,ISNUMBER(AL216),AL216&lt;=T216),AL216,9000000000000000),IF(AND(K216=0,ISNUMBER(AM216),AM216&lt;=T216),AM216,9000000000000000))),"OR",IF(AND(AND(J216=0,ISNUMBER(AL216),AL216&lt;=T216),AL216=MIN(IF(AND(I216=0,ISNUMBER(AK216),AK216&lt;=T216),AK216,9000000000000000),IF(AND(J216=0,ISNUMBER(AL216),AL216&lt;=T216),AL216,9000000000000000),IF(AND(K216=0,ISNUMBER(AM216),AM216&lt;=T216),AM216,9000000000000000))),"HP","FP")),IF(AR216=TRUE(),"",IF(MAX(IF(AND(NOT(AND(AO216=1,AN216&lt;&gt;1)),ISNUMBER(AG216),AG216&lt;=T216),AS216,0),IF(AND(NOT(AND(AO216=1,AN216&lt;&gt;1)),ISNUMBER(AH216),AH216&lt;=T216),AT216,0),IF(AND(NOT(AND(AO216=1,AN216&lt;&gt;1)),ISNUMBER(AI216),AI216&lt;=T216),AU216,0),IF(AND(ISNUMBER(AJ216),AJ216&lt;=T216),AV216,0))&lt;=0,"",IF(AND(IF(AND(NOT(AND(AO216=1,AN216&lt;&gt;1)),ISNUMBER(AG216),AG216&lt;=T216),AS216,0)&gt;0,IF(AND(NOT(AND(AO216=1,AN216&lt;&gt;1)),ISNUMBER(AG216),AG216&lt;=T216),AS216,0)=MAX(IF(AND(NOT(AND(AO216=1,AN216&lt;&gt;1)),ISNUMBER(AG216),AG216&lt;=T216),AS216,0),IF(AND(NOT(AND(AO216=1,AN216&lt;&gt;1)),ISNUMBER(AH216),AH216&lt;=T216),AT216,0),IF(AND(NOT(AND(AO216=1,AN216&lt;&gt;1)),ISNUMBER(AI216),AI216&lt;=T216),AU216,0),IF(AND(ISNUMBER(AJ216),AJ216&lt;=T216),AV216,0))),"SW",IF(AND(IF(AND(NOT(AND(AO216=1,AN216&lt;&gt;1)),ISNUMBER(AH216),AH216&lt;=T216),AT216,0)&gt;0,IF(AND(NOT(AND(AO216=1,AN216&lt;&gt;1)),ISNUMBER(AH216),AH216&lt;=T216),AT216,0)=MAX(IF(AND(NOT(AND(AO216=1,AN216&lt;&gt;1)),ISNUMBER(AG216),AG216&lt;=T216),AS216,0),IF(AND(NOT(AND(AO216=1,AN216&lt;&gt;1)),ISNUMBER(AH216),AH216&lt;=T216),AT216,0),IF(AND(NOT(AND(AO216=1,AN216&lt;&gt;1)),ISNUMBER(AI216),AI216&lt;=T216),AU216,0),IF(AND(ISNUMBER(AJ216),AJ216&lt;=T216),AV216,0))),"AB",IF(AND(IF(AND(NOT(AND(AO216=1,AN216&lt;&gt;1)),ISNUMBER(AI216),AI216&lt;=T216),AU216,0)&gt;0,IF(AND(NOT(AND(AO216=1,AN216&lt;&gt;1)),ISNUMBER(AI216),AI216&lt;=T216),AU216,0)=MAX(IF(AND(NOT(AND(AO216=1,AN216&lt;&gt;1)),ISNUMBER(AG216),AG216&lt;=T216),AS216,0),IF(AND(NOT(AND(AO216=1,AN216&lt;&gt;1)),ISNUMBER(AH216),AH216&lt;=T216),AT216,0),IF(AND(NOT(AND(AO216=1,AN216&lt;&gt;1)),ISNUMBER(AI216),AI216&lt;=T216),AU216,0),IF(AND(ISNUMBER(AJ216),AJ216&lt;=T216),AV216,0))),"SC","Mag")))))))</f>
        <v/>
      </c>
    </row>
    <row r="217" customFormat="false" ht="15" hidden="false" customHeight="false" outlineLevel="0" collapsed="false">
      <c r="A217" s="26" t="n">
        <v>212</v>
      </c>
      <c r="B217" s="27" t="n">
        <f aca="false">A217*10/60</f>
        <v>35.3333333333333</v>
      </c>
      <c r="C217" s="21" t="n">
        <f aca="false">X216</f>
        <v>18.6730249835055</v>
      </c>
      <c r="D217" s="27" t="n">
        <f aca="false">D216+W216</f>
        <v>0</v>
      </c>
      <c r="E217" s="26" t="n">
        <f aca="false">E216+IF(U216="SW",1,0)</f>
        <v>12</v>
      </c>
      <c r="F217" s="26" t="n">
        <f aca="false">F216+IF(U216="AB",1,0)</f>
        <v>10</v>
      </c>
      <c r="G217" s="26" t="n">
        <f aca="false">G216+IF(U216="SC",1,0)</f>
        <v>7</v>
      </c>
      <c r="H217" s="26" t="n">
        <f aca="false">H216+IF(U216="Mag",1,0)</f>
        <v>5</v>
      </c>
      <c r="I217" s="26" t="n">
        <f aca="false">MAX(I216,IF(U216="OR",1,0))</f>
        <v>1</v>
      </c>
      <c r="J217" s="26" t="n">
        <f aca="false">MAX(J216,IF(U216="HP",1,0))</f>
        <v>1</v>
      </c>
      <c r="K217" s="26" t="n">
        <f aca="false">MAX(K216,IF(U216="FP",1,0))</f>
        <v>1</v>
      </c>
      <c r="L217" s="26" t="n">
        <f aca="false">MAX(L216,IF(U216="transition",1,0))</f>
        <v>1</v>
      </c>
      <c r="M217" s="28" t="n">
        <f aca="false">(Parameters!$B$9+(IF(E217=0,0,(Upgrades!$J$6+E217*Upgrades!$K$6)*POWER(Upgrades!$L$6,E217)))*(IF(Upgrades!$T$7="Solar Wind",POWER(Upgrades!$U$7,F217),1)*IF(Upgrades!$T$8="Solar Wind",POWER(Upgrades!$U$8,G217),1)*IF(Upgrades!$T$9="Solar Wind",POWER(Upgrades!$U$9,H217),1)*IF(Upgrades!$T$10="Solar Wind",POWER(Upgrades!$U$10,I217),1)*IF(Upgrades!$T$11="Solar Wind",POWER(Upgrades!$U$11,J217),1)*IF(Upgrades!$T$12="Solar Wind",POWER(Upgrades!$U$12,K217),1))+(IF(F217=0,0,(Upgrades!$J$7+F217*Upgrades!$K$7)*POWER(Upgrades!$L$7,F217)))*(IF(Upgrades!$T$6="Asteroid Belt",POWER(Upgrades!$U$6,E217),1)*IF(Upgrades!$T$8="Asteroid Belt",POWER(Upgrades!$U$8,G217),1)*IF(Upgrades!$T$9="Asteroid Belt",POWER(Upgrades!$U$9,H217),1)*IF(Upgrades!$T$10="Asteroid Belt",POWER(Upgrades!$U$10,I217),1)*IF(Upgrades!$T$11="Asteroid Belt",POWER(Upgrades!$U$11,J217),1)*IF(Upgrades!$T$12="Asteroid Belt",POWER(Upgrades!$U$12,K217),1))+(IF(G217=0,0,(Upgrades!$J$8+G217*Upgrades!$K$8)*POWER(Upgrades!$L$8,G217)))*(IF(Upgrades!$T$6="Stellar Coupling",POWER(Upgrades!$U$6,E217),1)*IF(Upgrades!$T$7="Stellar Coupling",POWER(Upgrades!$U$7,F217),1)*IF(Upgrades!$T$9="Stellar Coupling",POWER(Upgrades!$U$9,H217),1)*IF(Upgrades!$T$10="Stellar Coupling",POWER(Upgrades!$U$10,I217),1)*IF(Upgrades!$T$11="Stellar Coupling",POWER(Upgrades!$U$11,J217),1)*IF(Upgrades!$T$12="Stellar Coupling",POWER(Upgrades!$U$12,K217),1))+(IF(H217=0,0,(Upgrades!$J$9+H217*Upgrades!$K$9)*POWER(Upgrades!$L$9,H217)))*(IF(Upgrades!$T$6="Magnetosphere",POWER(Upgrades!$U$6,E217),1)*IF(Upgrades!$T$7="Magnetosphere",POWER(Upgrades!$U$7,F217),1)*IF(Upgrades!$T$8="Magnetosphere",POWER(Upgrades!$U$8,G217),1)*IF(Upgrades!$T$10="Magnetosphere",POWER(Upgrades!$U$10,I217),1)*IF(Upgrades!$T$11="Magnetosphere",POWER(Upgrades!$U$11,J217),1)*IF(Upgrades!$T$12="Magnetosphere",POWER(Upgrades!$U$12,K217),1))+(IF(I217=0,0,(Upgrades!$J$10+I217*Upgrades!$K$10)*POWER(Upgrades!$L$10,I217)))*(IF(Upgrades!$T$6="Orbital Resonance",POWER(Upgrades!$U$6,E217),1)*IF(Upgrades!$T$7="Orbital Resonance",POWER(Upgrades!$U$7,F217),1)*IF(Upgrades!$T$8="Orbital Resonance",POWER(Upgrades!$U$8,G217),1)*IF(Upgrades!$T$9="Orbital Resonance",POWER(Upgrades!$U$9,H217),1)*IF(Upgrades!$T$11="Orbital Resonance",POWER(Upgrades!$U$11,J217),1)*IF(Upgrades!$T$12="Orbital Resonance",POWER(Upgrades!$U$12,K217),1))+(IF(J217=0,0,(Upgrades!$J$11+J217*Upgrades!$K$11)*POWER(Upgrades!$L$11,J217)))*(IF(Upgrades!$T$6="Heliopause",POWER(Upgrades!$U$6,E217),1)*IF(Upgrades!$T$7="Heliopause",POWER(Upgrades!$U$7,F217),1)*IF(Upgrades!$T$8="Heliopause",POWER(Upgrades!$U$8,G217),1)*IF(Upgrades!$T$9="Heliopause",POWER(Upgrades!$U$9,H217),1)*IF(Upgrades!$T$10="Heliopause",POWER(Upgrades!$U$10,I217),1)*IF(Upgrades!$T$12="Heliopause",POWER(Upgrades!$U$12,K217),1))+(IF(K217=0,0,(Upgrades!$J$12+K217*Upgrades!$K$12)*POWER(Upgrades!$L$12,K217)))*(IF(Upgrades!$T$6="First Photons",POWER(Upgrades!$U$6,E217),1)*IF(Upgrades!$T$7="First Photons",POWER(Upgrades!$U$7,F217),1)*IF(Upgrades!$T$8="First Photons",POWER(Upgrades!$U$8,G217),1)*IF(Upgrades!$T$9="First Photons",POWER(Upgrades!$U$9,H217),1)*IF(Upgrades!$T$10="First Photons",POWER(Upgrades!$U$10,I217),1)*IF(Upgrades!$T$11="First Photons",POWER(Upgrades!$U$11,J217),1)))*POWER(Upgrades!$Q$6,E217)*POWER(Upgrades!$Q$7,F217)*POWER(Upgrades!$Q$8,G217)*POWER(Upgrades!$Q$9,H217)*POWER(Upgrades!$Q$10,I217)*POWER(Upgrades!$Q$11,J217)*POWER(Upgrades!$Q$12,K217)</f>
        <v>5.61</v>
      </c>
      <c r="N217" s="28" t="n">
        <f aca="false">((IF(E217=0,0,(Upgrades!$G$6+E217*Upgrades!$H$6)*POWER(Upgrades!$I$6,E217)))*(IF(Upgrades!$T$7="Solar Wind",POWER(Upgrades!$U$7,F217),1)*IF(Upgrades!$T$8="Solar Wind",POWER(Upgrades!$U$8,G217),1)*IF(Upgrades!$T$9="Solar Wind",POWER(Upgrades!$U$9,H217),1)*IF(Upgrades!$T$10="Solar Wind",POWER(Upgrades!$U$10,I217),1)*IF(Upgrades!$T$11="Solar Wind",POWER(Upgrades!$U$11,J217),1)*IF(Upgrades!$T$12="Solar Wind",POWER(Upgrades!$U$12,K217),1))+(IF(F217=0,0,(Upgrades!$G$7+F217*Upgrades!$H$7)*POWER(Upgrades!$I$7,F217)))*(IF(Upgrades!$T$6="Asteroid Belt",POWER(Upgrades!$U$6,E217),1)*IF(Upgrades!$T$8="Asteroid Belt",POWER(Upgrades!$U$8,G217),1)*IF(Upgrades!$T$9="Asteroid Belt",POWER(Upgrades!$U$9,H217),1)*IF(Upgrades!$T$10="Asteroid Belt",POWER(Upgrades!$U$10,I217),1)*IF(Upgrades!$T$11="Asteroid Belt",POWER(Upgrades!$U$11,J217),1)*IF(Upgrades!$T$12="Asteroid Belt",POWER(Upgrades!$U$12,K217),1))+(IF(G217=0,0,(Upgrades!$G$8+G217*Upgrades!$H$8)*POWER(Upgrades!$I$8,G217)))*(IF(Upgrades!$T$6="Stellar Coupling",POWER(Upgrades!$U$6,E217),1)*IF(Upgrades!$T$7="Stellar Coupling",POWER(Upgrades!$U$7,F217),1)*IF(Upgrades!$T$9="Stellar Coupling",POWER(Upgrades!$U$9,H217),1)*IF(Upgrades!$T$10="Stellar Coupling",POWER(Upgrades!$U$10,I217),1)*IF(Upgrades!$T$11="Stellar Coupling",POWER(Upgrades!$U$11,J217),1)*IF(Upgrades!$T$12="Stellar Coupling",POWER(Upgrades!$U$12,K217),1))+(IF(H217=0,0,(Upgrades!$G$9+H217*Upgrades!$H$9)*POWER(Upgrades!$I$9,H217)))*(IF(Upgrades!$T$6="Magnetosphere",POWER(Upgrades!$U$6,E217),1)*IF(Upgrades!$T$7="Magnetosphere",POWER(Upgrades!$U$7,F217),1)*IF(Upgrades!$T$8="Magnetosphere",POWER(Upgrades!$U$8,G217),1)*IF(Upgrades!$T$10="Magnetosphere",POWER(Upgrades!$U$10,I217),1)*IF(Upgrades!$T$11="Magnetosphere",POWER(Upgrades!$U$11,J217),1)*IF(Upgrades!$T$12="Magnetosphere",POWER(Upgrades!$U$12,K217),1))+(IF(I217=0,0,(Upgrades!$G$10+I217*Upgrades!$H$10)*POWER(Upgrades!$I$10,I217)))*(IF(Upgrades!$T$6="Orbital Resonance",POWER(Upgrades!$U$6,E217),1)*IF(Upgrades!$T$7="Orbital Resonance",POWER(Upgrades!$U$7,F217),1)*IF(Upgrades!$T$8="Orbital Resonance",POWER(Upgrades!$U$8,G217),1)*IF(Upgrades!$T$9="Orbital Resonance",POWER(Upgrades!$U$9,H217),1)*IF(Upgrades!$T$11="Orbital Resonance",POWER(Upgrades!$U$11,J217),1)*IF(Upgrades!$T$12="Orbital Resonance",POWER(Upgrades!$U$12,K217),1))+(IF(J217=0,0,(Upgrades!$G$11+J217*Upgrades!$H$11)*POWER(Upgrades!$I$11,J217)))*(IF(Upgrades!$T$6="Heliopause",POWER(Upgrades!$U$6,E217),1)*IF(Upgrades!$T$7="Heliopause",POWER(Upgrades!$U$7,F217),1)*IF(Upgrades!$T$8="Heliopause",POWER(Upgrades!$U$8,G217),1)*IF(Upgrades!$T$9="Heliopause",POWER(Upgrades!$U$9,H217),1)*IF(Upgrades!$T$10="Heliopause",POWER(Upgrades!$U$10,I217),1)*IF(Upgrades!$T$12="Heliopause",POWER(Upgrades!$U$12,K217),1))+(IF(K217=0,0,(Upgrades!$G$12+K217*Upgrades!$H$12)*POWER(Upgrades!$I$12,K217)))*(IF(Upgrades!$T$6="First Photons",POWER(Upgrades!$U$6,E217),1)*IF(Upgrades!$T$7="First Photons",POWER(Upgrades!$U$7,F217),1)*IF(Upgrades!$T$8="First Photons",POWER(Upgrades!$U$8,G217),1)*IF(Upgrades!$T$9="First Photons",POWER(Upgrades!$U$9,H217),1)*IF(Upgrades!$T$10="First Photons",POWER(Upgrades!$U$10,I217),1)*IF(Upgrades!$T$11="First Photons",POWER(Upgrades!$U$11,J217),1)))*POWER(Upgrades!$P$6,E217)*POWER(Upgrades!$P$7,F217)*POWER(Upgrades!$P$8,G217)*POWER(Upgrades!$P$9,H217)*POWER(Upgrades!$P$10,I217)*POWER(Upgrades!$P$11,J217)*POWER(Upgrades!$P$12,K217)</f>
        <v>11.2</v>
      </c>
      <c r="O217" s="28" t="n">
        <f aca="false">((IF(E217=0,0,(Upgrades!$M$6+E217*Upgrades!$N$6)*POWER(Upgrades!$O$6,E217)))*(IF(Upgrades!$T$7="Solar Wind",POWER(Upgrades!$U$7,F217),1)*IF(Upgrades!$T$8="Solar Wind",POWER(Upgrades!$U$8,G217),1)*IF(Upgrades!$T$9="Solar Wind",POWER(Upgrades!$U$9,H217),1)*IF(Upgrades!$T$10="Solar Wind",POWER(Upgrades!$U$10,I217),1)*IF(Upgrades!$T$11="Solar Wind",POWER(Upgrades!$U$11,J217),1)*IF(Upgrades!$T$12="Solar Wind",POWER(Upgrades!$U$12,K217),1))+(IF(F217=0,0,(Upgrades!$M$7+F217*Upgrades!$N$7)*POWER(Upgrades!$O$7,F217)))*(IF(Upgrades!$T$6="Asteroid Belt",POWER(Upgrades!$U$6,E217),1)*IF(Upgrades!$T$8="Asteroid Belt",POWER(Upgrades!$U$8,G217),1)*IF(Upgrades!$T$9="Asteroid Belt",POWER(Upgrades!$U$9,H217),1)*IF(Upgrades!$T$10="Asteroid Belt",POWER(Upgrades!$U$10,I217),1)*IF(Upgrades!$T$11="Asteroid Belt",POWER(Upgrades!$U$11,J217),1)*IF(Upgrades!$T$12="Asteroid Belt",POWER(Upgrades!$U$12,K217),1))+(IF(G217=0,0,(Upgrades!$M$8+G217*Upgrades!$N$8)*POWER(Upgrades!$O$8,G217)))*(IF(Upgrades!$T$6="Stellar Coupling",POWER(Upgrades!$U$6,E217),1)*IF(Upgrades!$T$7="Stellar Coupling",POWER(Upgrades!$U$7,F217),1)*IF(Upgrades!$T$9="Stellar Coupling",POWER(Upgrades!$U$9,H217),1)*IF(Upgrades!$T$10="Stellar Coupling",POWER(Upgrades!$U$10,I217),1)*IF(Upgrades!$T$11="Stellar Coupling",POWER(Upgrades!$U$11,J217),1)*IF(Upgrades!$T$12="Stellar Coupling",POWER(Upgrades!$U$12,K217),1))+(IF(H217=0,0,(Upgrades!$M$9+H217*Upgrades!$N$9)*POWER(Upgrades!$O$9,H217)))*(IF(Upgrades!$T$6="Magnetosphere",POWER(Upgrades!$U$6,E217),1)*IF(Upgrades!$T$7="Magnetosphere",POWER(Upgrades!$U$7,F217),1)*IF(Upgrades!$T$8="Magnetosphere",POWER(Upgrades!$U$8,G217),1)*IF(Upgrades!$T$10="Magnetosphere",POWER(Upgrades!$U$10,I217),1)*IF(Upgrades!$T$11="Magnetosphere",POWER(Upgrades!$U$11,J217),1)*IF(Upgrades!$T$12="Magnetosphere",POWER(Upgrades!$U$12,K217),1))+(IF(I217=0,0,(Upgrades!$M$10+I217*Upgrades!$N$10)*POWER(Upgrades!$O$10,I217)))*(IF(Upgrades!$T$6="Orbital Resonance",POWER(Upgrades!$U$6,E217),1)*IF(Upgrades!$T$7="Orbital Resonance",POWER(Upgrades!$U$7,F217),1)*IF(Upgrades!$T$8="Orbital Resonance",POWER(Upgrades!$U$8,G217),1)*IF(Upgrades!$T$9="Orbital Resonance",POWER(Upgrades!$U$9,H217),1)*IF(Upgrades!$T$11="Orbital Resonance",POWER(Upgrades!$U$11,J217),1)*IF(Upgrades!$T$12="Orbital Resonance",POWER(Upgrades!$U$12,K217),1))+(IF(J217=0,0,(Upgrades!$M$11+J217*Upgrades!$N$11)*POWER(Upgrades!$O$11,J217)))*(IF(Upgrades!$T$6="Heliopause",POWER(Upgrades!$U$6,E217),1)*IF(Upgrades!$T$7="Heliopause",POWER(Upgrades!$U$7,F217),1)*IF(Upgrades!$T$8="Heliopause",POWER(Upgrades!$U$8,G217),1)*IF(Upgrades!$T$9="Heliopause",POWER(Upgrades!$U$9,H217),1)*IF(Upgrades!$T$10="Heliopause",POWER(Upgrades!$U$10,I217),1)*IF(Upgrades!$T$12="Heliopause",POWER(Upgrades!$U$12,K217),1))+(IF(K217=0,0,(Upgrades!$M$12+K217*Upgrades!$N$12)*POWER(Upgrades!$O$12,K217)))*(IF(Upgrades!$T$6="First Photons",POWER(Upgrades!$U$6,E217),1)*IF(Upgrades!$T$7="First Photons",POWER(Upgrades!$U$7,F217),1)*IF(Upgrades!$T$8="First Photons",POWER(Upgrades!$U$8,G217),1)*IF(Upgrades!$T$9="First Photons",POWER(Upgrades!$U$9,H217),1)*IF(Upgrades!$T$10="First Photons",POWER(Upgrades!$U$10,I217),1)*IF(Upgrades!$T$11="First Photons",POWER(Upgrades!$U$11,J217),1)))*POWER(Upgrades!$R$6,E217)*POWER(Upgrades!$R$7,F217)*POWER(Upgrades!$R$8,G217)*POWER(Upgrades!$R$9,H217)*POWER(Upgrades!$R$10,I217)*POWER(Upgrades!$R$11,J217)*POWER(Upgrades!$R$12,K217)</f>
        <v>0</v>
      </c>
      <c r="P217" s="27" t="n">
        <f aca="false">IF(L217=1,0,M217*Parameters!$B$10/60*Parameters!$B$11*10)</f>
        <v>0</v>
      </c>
      <c r="Q217" s="27" t="n">
        <f aca="false">IF(L217=1,0,O217*M217*10)</f>
        <v>0</v>
      </c>
      <c r="R217" s="27" t="n">
        <f aca="false">IF(L217=1,0,N217*10)</f>
        <v>0</v>
      </c>
      <c r="S217" s="27" t="n">
        <f aca="false">P217+Q217+R217</f>
        <v>0</v>
      </c>
      <c r="T217" s="21" t="n">
        <f aca="false">C217+S217</f>
        <v>18.6730249835055</v>
      </c>
      <c r="U217" s="34" t="str">
        <f aca="false">AX217</f>
        <v/>
      </c>
      <c r="V217" s="21" t="n">
        <f aca="false">IF(U217="",0,IF(U217="transition",0,IF(U217="SW",AG217,IF(U217="AB",AH217,IF(U217="SC",AI217,IF(U217="Mag",AJ217,IF(U217="OR",AK217,IF(U217="HP",AL217,IF(U217="FP",AM217,0)))))))))</f>
        <v>0</v>
      </c>
      <c r="W217" s="27" t="n">
        <f aca="false">IF(U217="OR",Upgrades!$F$10,IF(U217="HP",Upgrades!$F$11,IF(U217="transition",-Parameters!$B$18,0)))</f>
        <v>0</v>
      </c>
      <c r="X217" s="21" t="n">
        <f aca="false">T217-V217</f>
        <v>18.6730249835055</v>
      </c>
      <c r="Y217" s="30" t="n">
        <f aca="false">M217*Parameters!$B$10/60*Parameters!$B$11+O217*M217+N217</f>
        <v>20.55</v>
      </c>
      <c r="Z217" s="35" t="str">
        <f aca="false">IF(U217="transition","→ Tier 2 (Stellar Neighborhood)",IF(U217="FP","First Photons — light begins, system quickens",IF(U217="HP","Heliopause acquired",IF(U217="OR","Orbital Resonance — passive multiplier active",IF(AND(AO217=1,L217=0,AN217&lt;&gt;1),"Cohesion ready (waiting on completionist upgrades)","")))))</f>
        <v/>
      </c>
      <c r="AA217" s="27" t="n">
        <f aca="false">(IF(E217=0,0,(Upgrades!$G$6+E217*Upgrades!$H$6)*POWER(Upgrades!$I$6,E217)))*(IF(Upgrades!$T$7="Solar Wind",POWER(Upgrades!$U$7,F217),1)*IF(Upgrades!$T$8="Solar Wind",POWER(Upgrades!$U$8,G217),1)*IF(Upgrades!$T$9="Solar Wind",POWER(Upgrades!$U$9,H217),1)*IF(Upgrades!$T$10="Solar Wind",POWER(Upgrades!$U$10,I217),1)*IF(Upgrades!$T$11="Solar Wind",POWER(Upgrades!$U$11,J217),1)*IF(Upgrades!$T$12="Solar Wind",POWER(Upgrades!$U$12,K217),1))*POWER(Upgrades!$P$6,E217)*POWER(Upgrades!$P$7,F217)*POWER(Upgrades!$P$8,G217)*POWER(Upgrades!$P$9,H217)*POWER(Upgrades!$P$10,I217)*POWER(Upgrades!$P$11,J217)*POWER(Upgrades!$P$12,K217)*60</f>
        <v>72</v>
      </c>
      <c r="AB217" s="27" t="n">
        <f aca="false">(IF(F217=0,0,(Upgrades!$G$7+F217*Upgrades!$H$7)*POWER(Upgrades!$I$7,F217)))*(IF(Upgrades!$T$6="Asteroid Belt",POWER(Upgrades!$U$6,E217),1)*IF(Upgrades!$T$8="Asteroid Belt",POWER(Upgrades!$U$8,G217),1)*IF(Upgrades!$T$9="Asteroid Belt",POWER(Upgrades!$U$9,H217),1)*IF(Upgrades!$T$10="Asteroid Belt",POWER(Upgrades!$U$10,I217),1)*IF(Upgrades!$T$11="Asteroid Belt",POWER(Upgrades!$U$11,J217),1)*IF(Upgrades!$T$12="Asteroid Belt",POWER(Upgrades!$U$12,K217),1))*POWER(Upgrades!$P$6,E217)*POWER(Upgrades!$P$7,F217)*POWER(Upgrades!$P$8,G217)*POWER(Upgrades!$P$9,H217)*POWER(Upgrades!$P$10,I217)*POWER(Upgrades!$P$11,J217)*POWER(Upgrades!$P$12,K217)*60</f>
        <v>150</v>
      </c>
      <c r="AC217" s="27" t="n">
        <f aca="false">(IF(G217=0,0,(Upgrades!$J$8+G217*Upgrades!$K$8)*POWER(Upgrades!$L$8,G217)))*(IF(Upgrades!$T$6="Stellar Coupling",POWER(Upgrades!$U$6,E217),1)*IF(Upgrades!$T$7="Stellar Coupling",POWER(Upgrades!$U$7,F217),1)*IF(Upgrades!$T$9="Stellar Coupling",POWER(Upgrades!$U$9,H217),1)*IF(Upgrades!$T$10="Stellar Coupling",POWER(Upgrades!$U$10,I217),1)*IF(Upgrades!$T$11="Stellar Coupling",POWER(Upgrades!$U$11,J217),1)*IF(Upgrades!$T$12="Stellar Coupling",POWER(Upgrades!$U$12,K217),1))*POWER(Upgrades!$Q$6,E217)*POWER(Upgrades!$Q$7,F217)*POWER(Upgrades!$Q$8,G217)*POWER(Upgrades!$Q$9,H217)*POWER(Upgrades!$Q$10,I217)*POWER(Upgrades!$Q$11,J217)*POWER(Upgrades!$Q$12,K217)*Parameters!$B$10*Parameters!$B$11</f>
        <v>441</v>
      </c>
      <c r="AD217" s="27" t="n">
        <f aca="false">(IF(H217=0,0,(Upgrades!$G$9+H217*Upgrades!$H$9)*POWER(Upgrades!$I$9,H217)))*(IF(Upgrades!$T$6="Magnetosphere",POWER(Upgrades!$U$6,E217),1)*IF(Upgrades!$T$7="Magnetosphere",POWER(Upgrades!$U$7,F217),1)*IF(Upgrades!$T$8="Magnetosphere",POWER(Upgrades!$U$8,G217),1)*IF(Upgrades!$T$10="Magnetosphere",POWER(Upgrades!$U$10,I217),1)*IF(Upgrades!$T$11="Magnetosphere",POWER(Upgrades!$U$11,J217),1)*IF(Upgrades!$T$12="Magnetosphere",POWER(Upgrades!$U$12,K217),1))*POWER(Upgrades!$P$6,E217)*POWER(Upgrades!$P$7,F217)*POWER(Upgrades!$P$8,G217)*POWER(Upgrades!$P$9,H217)*POWER(Upgrades!$P$10,I217)*POWER(Upgrades!$P$11,J217)*POWER(Upgrades!$P$12,K217)*60</f>
        <v>375</v>
      </c>
      <c r="AE217" s="27" t="n">
        <f aca="false">(IF(K217=0,0,(Upgrades!$G$12+K217*Upgrades!$H$12)*POWER(Upgrades!$I$12,K217)))*(IF(Upgrades!$T$6="First Photons",POWER(Upgrades!$U$6,E217),1)*IF(Upgrades!$T$7="First Photons",POWER(Upgrades!$U$7,F217),1)*IF(Upgrades!$T$8="First Photons",POWER(Upgrades!$U$8,G217),1)*IF(Upgrades!$T$9="First Photons",POWER(Upgrades!$U$9,H217),1)*IF(Upgrades!$T$10="First Photons",POWER(Upgrades!$U$10,I217),1)*IF(Upgrades!$T$11="First Photons",POWER(Upgrades!$U$11,J217),1))*POWER(Upgrades!$P$6,E217)*POWER(Upgrades!$P$7,F217)*POWER(Upgrades!$P$8,G217)*POWER(Upgrades!$P$9,H217)*POWER(Upgrades!$P$10,I217)*POWER(Upgrades!$P$11,J217)*POWER(Upgrades!$P$12,K217)*60</f>
        <v>75</v>
      </c>
      <c r="AF217" s="27" t="n">
        <f aca="false">Parameters!$B$9*POWER(Upgrades!$Q$6,E217)*POWER(Upgrades!$Q$7,F217)*POWER(Upgrades!$Q$8,G217)*POWER(Upgrades!$Q$9,H217)*POWER(Upgrades!$Q$10,I217)*POWER(Upgrades!$Q$11,J217)*POWER(Upgrades!$Q$12,K217)*(Parameters!$B$10*Parameters!$B$11+O217*60)</f>
        <v>120</v>
      </c>
      <c r="AG217" s="21" t="n">
        <f aca="false">IF(E217&gt;=Upgrades!$E$6,"",Upgrades!$C$6*POWER(Upgrades!$D$6,E217))</f>
        <v>37.4517507383159</v>
      </c>
      <c r="AH217" s="21" t="n">
        <f aca="false">IF(F217&gt;=Upgrades!$E$7,"",Upgrades!$C$7*POWER(Upgrades!$D$7,F217))</f>
        <v>80.9111547141581</v>
      </c>
      <c r="AI217" s="21" t="n">
        <f aca="false">IF(G217&gt;=Upgrades!$E$8,"",Upgrades!$C$8*POWER(Upgrades!$D$8,G217))</f>
        <v>231.9097088</v>
      </c>
      <c r="AJ217" s="21" t="str">
        <f aca="false">IF(H217&gt;=Upgrades!$E$9,"",Upgrades!$C$9*POWER(Upgrades!$D$9,H217))</f>
        <v/>
      </c>
      <c r="AK217" s="21" t="str">
        <f aca="false">IF(I217&gt;=Upgrades!$E$10,"",Upgrades!$C$10*POWER(Upgrades!$D$10,I217))</f>
        <v/>
      </c>
      <c r="AL217" s="21" t="str">
        <f aca="false">IF(J217&gt;=Upgrades!$E$11,"",Upgrades!$C$11*POWER(Upgrades!$D$11,J217))</f>
        <v/>
      </c>
      <c r="AM217" s="21" t="str">
        <f aca="false">IF(K217&gt;=Upgrades!$E$12,"",Upgrades!$C$12*POWER(Upgrades!$D$12,K217))</f>
        <v/>
      </c>
      <c r="AN217" s="26" t="str">
        <f aca="false">IF(AND(D217&gt;=Parameters!$B$18,(H217&gt;=Upgrades!$E$9)*(K217&gt;=Upgrades!$E$12)=1,L217=0),1,"")</f>
        <v/>
      </c>
      <c r="AO217" s="26" t="str">
        <f aca="false">IF(AND(D217&gt;=Parameters!$B$18,L217=0),1,"")</f>
        <v/>
      </c>
      <c r="AP217" s="21" t="n">
        <f aca="false">MIN(IF(ISNUMBER(AK217),AK217,9000000000000000),IF(ISNUMBER(AL217),AL217,9000000000000000),IF(ISNUMBER(AM217),AM217,9000000000000000))</f>
        <v>9000000000000000</v>
      </c>
      <c r="AQ217" s="21" t="n">
        <f aca="false">MIN(IF(ISNUMBER(AG217),AG217,9000000000000000),IF(ISNUMBER(AH217),AH217,9000000000000000),IF(ISNUMBER(AI217),AI217,9000000000000000),IF(ISNUMBER(AJ217),AJ217,9000000000000000))</f>
        <v>37.4517507383159</v>
      </c>
      <c r="AR217" s="32" t="b">
        <f aca="false">IF(AW217&gt;Parameters!$B$21*(MAX(IF(AND(NOT(AND(AO217=1,AN217&lt;&gt;1)),ISNUMBER(AG217),AG217&lt;=T217),AS217,0),IF(AND(NOT(AND(AO217=1,AN217&lt;&gt;1)),ISNUMBER(AH217),AH217&lt;=T217),AT217,0),IF(AND(NOT(AND(AO217=1,AN217&lt;&gt;1)),ISNUMBER(AI217),AI217&lt;=T217),AU217,0),IF(AND(ISNUMBER(AJ217),AJ217&lt;=T217),AV217,0))),TRUE(),FALSE())</f>
        <v>1</v>
      </c>
      <c r="AS217" s="33" t="n">
        <f aca="false">IFERROR(Upgrades!$H$6*(POWER(Upgrades!$P$6,E217)*POWER(Upgrades!$P$7,F217)*POWER(Upgrades!$P$8,G217)*POWER(Upgrades!$P$9,H217)*POWER(Upgrades!$P$10,I217)*POWER(Upgrades!$P$11,J217)*POWER(Upgrades!$P$12,K217))*(IF(Upgrades!$T$7="Solar Wind",POWER(Upgrades!$U$7,F217),1)*IF(Upgrades!$T$8="Solar Wind",POWER(Upgrades!$U$8,G217),1)*IF(Upgrades!$T$9="Solar Wind",POWER(Upgrades!$U$9,H217),1)*IF(Upgrades!$T$10="Solar Wind",POWER(Upgrades!$U$10,I217),1)*IF(Upgrades!$T$11="Solar Wind",POWER(Upgrades!$U$11,J217),1)*IF(Upgrades!$T$12="Solar Wind",POWER(Upgrades!$U$12,K217),1))/AG217,0)</f>
        <v>0.0026701021455238</v>
      </c>
      <c r="AT217" s="33" t="n">
        <f aca="false">IFERROR(Upgrades!$H$7*(POWER(Upgrades!$P$6,E217)*POWER(Upgrades!$P$7,F217)*POWER(Upgrades!$P$8,G217)*POWER(Upgrades!$P$9,H217)*POWER(Upgrades!$P$10,I217)*POWER(Upgrades!$P$11,J217)*POWER(Upgrades!$P$12,K217))*(IF(Upgrades!$T$6="Asteroid Belt",POWER(Upgrades!$U$6,E217),1)*IF(Upgrades!$T$8="Asteroid Belt",POWER(Upgrades!$U$8,G217),1)*IF(Upgrades!$T$9="Asteroid Belt",POWER(Upgrades!$U$9,H217),1)*IF(Upgrades!$T$10="Asteroid Belt",POWER(Upgrades!$U$10,I217),1)*IF(Upgrades!$T$11="Asteroid Belt",POWER(Upgrades!$U$11,J217),1)*IF(Upgrades!$T$12="Asteroid Belt",POWER(Upgrades!$U$12,K217),1))/AH217,0)</f>
        <v>0.00308980882652332</v>
      </c>
      <c r="AU217" s="33" t="n">
        <f aca="false">IFERROR(Upgrades!$K$8*(POWER(Upgrades!$Q$6,E217)*POWER(Upgrades!$Q$7,F217)*POWER(Upgrades!$Q$8,G217)*POWER(Upgrades!$Q$9,H217)*POWER(Upgrades!$Q$10,I217)*POWER(Upgrades!$Q$11,J217)*POWER(Upgrades!$Q$12,K217))*(IF(Upgrades!$T$6="Stellar Coupling",POWER(Upgrades!$U$6,E217),1)*IF(Upgrades!$T$7="Stellar Coupling",POWER(Upgrades!$U$7,F217),1)*IF(Upgrades!$T$9="Stellar Coupling",POWER(Upgrades!$U$9,H217),1)*IF(Upgrades!$T$10="Stellar Coupling",POWER(Upgrades!$U$10,I217),1)*IF(Upgrades!$T$11="Stellar Coupling",POWER(Upgrades!$U$11,J217),1)*IF(Upgrades!$T$12="Stellar Coupling",POWER(Upgrades!$U$12,K217),1))*Parameters!$B$10*Parameters!$B$11/60/AI217,0)</f>
        <v>0.00452762415783776</v>
      </c>
      <c r="AV217" s="33" t="n">
        <f aca="false">IFERROR(Upgrades!$H$9*(POWER(Upgrades!$P$6,E217)*POWER(Upgrades!$P$7,F217)*POWER(Upgrades!$P$8,G217)*POWER(Upgrades!$P$9,H217)*POWER(Upgrades!$P$10,I217)*POWER(Upgrades!$P$11,J217)*POWER(Upgrades!$P$12,K217))*(IF(Upgrades!$T$6="Magnetosphere",POWER(Upgrades!$U$6,E217),1)*IF(Upgrades!$T$7="Magnetosphere",POWER(Upgrades!$U$7,F217),1)*IF(Upgrades!$T$8="Magnetosphere",POWER(Upgrades!$U$8,G217),1)*IF(Upgrades!$T$10="Magnetosphere",POWER(Upgrades!$U$10,I217),1)*IF(Upgrades!$T$11="Magnetosphere",POWER(Upgrades!$U$11,J217),1)*IF(Upgrades!$T$12="Magnetosphere",POWER(Upgrades!$U$12,K217),1))/AJ217,0)</f>
        <v>0</v>
      </c>
      <c r="AW217" s="33" t="n">
        <f aca="false">MAX(IF(I217&gt;0,0,IFERROR(0.25*N217/Upgrades!$C$10,0)),IF(J217&gt;0,0,IFERROR(0.5*((IF(G217=0,0,(Upgrades!$J$8+G217*Upgrades!$K$8)*POWER(Upgrades!$L$8,G217)))*(IF(Upgrades!$T$6="Stellar Coupling",POWER(Upgrades!$U$6,E217),1)*IF(Upgrades!$T$7="Stellar Coupling",POWER(Upgrades!$U$7,F217),1)*IF(Upgrades!$T$9="Stellar Coupling",POWER(Upgrades!$U$9,H217),1)*IF(Upgrades!$T$10="Stellar Coupling",POWER(Upgrades!$U$10,I217),1)*IF(Upgrades!$T$11="Stellar Coupling",POWER(Upgrades!$U$11,J217),1)*IF(Upgrades!$T$12="Stellar Coupling",POWER(Upgrades!$U$12,K217),1))*(POWER(Upgrades!$Q$6,E217)*POWER(Upgrades!$Q$7,F217)*POWER(Upgrades!$Q$8,G217)*POWER(Upgrades!$Q$9,H217)*POWER(Upgrades!$Q$10,I217)*POWER(Upgrades!$Q$11,J217)*POWER(Upgrades!$Q$12,K217))*Parameters!$B$10*Parameters!$B$11/60)/Upgrades!$C$11,0)),IF(K217&gt;0,0,IFERROR((1*(POWER(Upgrades!$P$6,E217)*POWER(Upgrades!$P$7,F217)*POWER(Upgrades!$P$8,G217)*POWER(Upgrades!$P$9,H217)*POWER(Upgrades!$P$10,I217)*POWER(Upgrades!$P$11,J217)*POWER(Upgrades!$P$12,K217))+0.2*M217*Parameters!$B$10*Parameters!$B$11/60)/Upgrades!$C$12,0)),IF(AND(ISNUMBER(AG217),AG217&gt;T217),AS217,0),IF(AND(ISNUMBER(AH217),AH217&gt;T217),AT217,0),IF(AND(ISNUMBER(AI217),AI217&gt;T217),AU217,0),IF(AND(ISNUMBER(AJ217),AJ217&gt;T217),AV217,0))</f>
        <v>0.00452762415783776</v>
      </c>
      <c r="AX217" s="29" t="str">
        <f aca="false">IF(AN217=1,"transition",IF(MIN(IF(AND(I217=0,ISNUMBER(AK217),AK217&lt;=T217),AK217,9000000000000000),IF(AND(J217=0,ISNUMBER(AL217),AL217&lt;=T217),AL217,9000000000000000),IF(AND(K217=0,ISNUMBER(AM217),AM217&lt;=T217),AM217,9000000000000000))&lt;9000000000000000,IF(AND(AND(I217=0,ISNUMBER(AK217),AK217&lt;=T217),AK217=MIN(IF(AND(I217=0,ISNUMBER(AK217),AK217&lt;=T217),AK217,9000000000000000),IF(AND(J217=0,ISNUMBER(AL217),AL217&lt;=T217),AL217,9000000000000000),IF(AND(K217=0,ISNUMBER(AM217),AM217&lt;=T217),AM217,9000000000000000))),"OR",IF(AND(AND(J217=0,ISNUMBER(AL217),AL217&lt;=T217),AL217=MIN(IF(AND(I217=0,ISNUMBER(AK217),AK217&lt;=T217),AK217,9000000000000000),IF(AND(J217=0,ISNUMBER(AL217),AL217&lt;=T217),AL217,9000000000000000),IF(AND(K217=0,ISNUMBER(AM217),AM217&lt;=T217),AM217,9000000000000000))),"HP","FP")),IF(AR217=TRUE(),"",IF(MAX(IF(AND(NOT(AND(AO217=1,AN217&lt;&gt;1)),ISNUMBER(AG217),AG217&lt;=T217),AS217,0),IF(AND(NOT(AND(AO217=1,AN217&lt;&gt;1)),ISNUMBER(AH217),AH217&lt;=T217),AT217,0),IF(AND(NOT(AND(AO217=1,AN217&lt;&gt;1)),ISNUMBER(AI217),AI217&lt;=T217),AU217,0),IF(AND(ISNUMBER(AJ217),AJ217&lt;=T217),AV217,0))&lt;=0,"",IF(AND(IF(AND(NOT(AND(AO217=1,AN217&lt;&gt;1)),ISNUMBER(AG217),AG217&lt;=T217),AS217,0)&gt;0,IF(AND(NOT(AND(AO217=1,AN217&lt;&gt;1)),ISNUMBER(AG217),AG217&lt;=T217),AS217,0)=MAX(IF(AND(NOT(AND(AO217=1,AN217&lt;&gt;1)),ISNUMBER(AG217),AG217&lt;=T217),AS217,0),IF(AND(NOT(AND(AO217=1,AN217&lt;&gt;1)),ISNUMBER(AH217),AH217&lt;=T217),AT217,0),IF(AND(NOT(AND(AO217=1,AN217&lt;&gt;1)),ISNUMBER(AI217),AI217&lt;=T217),AU217,0),IF(AND(ISNUMBER(AJ217),AJ217&lt;=T217),AV217,0))),"SW",IF(AND(IF(AND(NOT(AND(AO217=1,AN217&lt;&gt;1)),ISNUMBER(AH217),AH217&lt;=T217),AT217,0)&gt;0,IF(AND(NOT(AND(AO217=1,AN217&lt;&gt;1)),ISNUMBER(AH217),AH217&lt;=T217),AT217,0)=MAX(IF(AND(NOT(AND(AO217=1,AN217&lt;&gt;1)),ISNUMBER(AG217),AG217&lt;=T217),AS217,0),IF(AND(NOT(AND(AO217=1,AN217&lt;&gt;1)),ISNUMBER(AH217),AH217&lt;=T217),AT217,0),IF(AND(NOT(AND(AO217=1,AN217&lt;&gt;1)),ISNUMBER(AI217),AI217&lt;=T217),AU217,0),IF(AND(ISNUMBER(AJ217),AJ217&lt;=T217),AV217,0))),"AB",IF(AND(IF(AND(NOT(AND(AO217=1,AN217&lt;&gt;1)),ISNUMBER(AI217),AI217&lt;=T217),AU217,0)&gt;0,IF(AND(NOT(AND(AO217=1,AN217&lt;&gt;1)),ISNUMBER(AI217),AI217&lt;=T217),AU217,0)=MAX(IF(AND(NOT(AND(AO217=1,AN217&lt;&gt;1)),ISNUMBER(AG217),AG217&lt;=T217),AS217,0),IF(AND(NOT(AND(AO217=1,AN217&lt;&gt;1)),ISNUMBER(AH217),AH217&lt;=T217),AT217,0),IF(AND(NOT(AND(AO217=1,AN217&lt;&gt;1)),ISNUMBER(AI217),AI217&lt;=T217),AU217,0),IF(AND(ISNUMBER(AJ217),AJ217&lt;=T217),AV217,0))),"SC","Mag")))))))</f>
        <v/>
      </c>
    </row>
    <row r="218" customFormat="false" ht="15" hidden="false" customHeight="false" outlineLevel="0" collapsed="false">
      <c r="A218" s="26" t="n">
        <v>213</v>
      </c>
      <c r="B218" s="27" t="n">
        <f aca="false">A218*10/60</f>
        <v>35.5</v>
      </c>
      <c r="C218" s="21" t="n">
        <f aca="false">X217</f>
        <v>18.6730249835055</v>
      </c>
      <c r="D218" s="27" t="n">
        <f aca="false">D217+W217</f>
        <v>0</v>
      </c>
      <c r="E218" s="26" t="n">
        <f aca="false">E217+IF(U217="SW",1,0)</f>
        <v>12</v>
      </c>
      <c r="F218" s="26" t="n">
        <f aca="false">F217+IF(U217="AB",1,0)</f>
        <v>10</v>
      </c>
      <c r="G218" s="26" t="n">
        <f aca="false">G217+IF(U217="SC",1,0)</f>
        <v>7</v>
      </c>
      <c r="H218" s="26" t="n">
        <f aca="false">H217+IF(U217="Mag",1,0)</f>
        <v>5</v>
      </c>
      <c r="I218" s="26" t="n">
        <f aca="false">MAX(I217,IF(U217="OR",1,0))</f>
        <v>1</v>
      </c>
      <c r="J218" s="26" t="n">
        <f aca="false">MAX(J217,IF(U217="HP",1,0))</f>
        <v>1</v>
      </c>
      <c r="K218" s="26" t="n">
        <f aca="false">MAX(K217,IF(U217="FP",1,0))</f>
        <v>1</v>
      </c>
      <c r="L218" s="26" t="n">
        <f aca="false">MAX(L217,IF(U217="transition",1,0))</f>
        <v>1</v>
      </c>
      <c r="M218" s="28" t="n">
        <f aca="false">(Parameters!$B$9+(IF(E218=0,0,(Upgrades!$J$6+E218*Upgrades!$K$6)*POWER(Upgrades!$L$6,E218)))*(IF(Upgrades!$T$7="Solar Wind",POWER(Upgrades!$U$7,F218),1)*IF(Upgrades!$T$8="Solar Wind",POWER(Upgrades!$U$8,G218),1)*IF(Upgrades!$T$9="Solar Wind",POWER(Upgrades!$U$9,H218),1)*IF(Upgrades!$T$10="Solar Wind",POWER(Upgrades!$U$10,I218),1)*IF(Upgrades!$T$11="Solar Wind",POWER(Upgrades!$U$11,J218),1)*IF(Upgrades!$T$12="Solar Wind",POWER(Upgrades!$U$12,K218),1))+(IF(F218=0,0,(Upgrades!$J$7+F218*Upgrades!$K$7)*POWER(Upgrades!$L$7,F218)))*(IF(Upgrades!$T$6="Asteroid Belt",POWER(Upgrades!$U$6,E218),1)*IF(Upgrades!$T$8="Asteroid Belt",POWER(Upgrades!$U$8,G218),1)*IF(Upgrades!$T$9="Asteroid Belt",POWER(Upgrades!$U$9,H218),1)*IF(Upgrades!$T$10="Asteroid Belt",POWER(Upgrades!$U$10,I218),1)*IF(Upgrades!$T$11="Asteroid Belt",POWER(Upgrades!$U$11,J218),1)*IF(Upgrades!$T$12="Asteroid Belt",POWER(Upgrades!$U$12,K218),1))+(IF(G218=0,0,(Upgrades!$J$8+G218*Upgrades!$K$8)*POWER(Upgrades!$L$8,G218)))*(IF(Upgrades!$T$6="Stellar Coupling",POWER(Upgrades!$U$6,E218),1)*IF(Upgrades!$T$7="Stellar Coupling",POWER(Upgrades!$U$7,F218),1)*IF(Upgrades!$T$9="Stellar Coupling",POWER(Upgrades!$U$9,H218),1)*IF(Upgrades!$T$10="Stellar Coupling",POWER(Upgrades!$U$10,I218),1)*IF(Upgrades!$T$11="Stellar Coupling",POWER(Upgrades!$U$11,J218),1)*IF(Upgrades!$T$12="Stellar Coupling",POWER(Upgrades!$U$12,K218),1))+(IF(H218=0,0,(Upgrades!$J$9+H218*Upgrades!$K$9)*POWER(Upgrades!$L$9,H218)))*(IF(Upgrades!$T$6="Magnetosphere",POWER(Upgrades!$U$6,E218),1)*IF(Upgrades!$T$7="Magnetosphere",POWER(Upgrades!$U$7,F218),1)*IF(Upgrades!$T$8="Magnetosphere",POWER(Upgrades!$U$8,G218),1)*IF(Upgrades!$T$10="Magnetosphere",POWER(Upgrades!$U$10,I218),1)*IF(Upgrades!$T$11="Magnetosphere",POWER(Upgrades!$U$11,J218),1)*IF(Upgrades!$T$12="Magnetosphere",POWER(Upgrades!$U$12,K218),1))+(IF(I218=0,0,(Upgrades!$J$10+I218*Upgrades!$K$10)*POWER(Upgrades!$L$10,I218)))*(IF(Upgrades!$T$6="Orbital Resonance",POWER(Upgrades!$U$6,E218),1)*IF(Upgrades!$T$7="Orbital Resonance",POWER(Upgrades!$U$7,F218),1)*IF(Upgrades!$T$8="Orbital Resonance",POWER(Upgrades!$U$8,G218),1)*IF(Upgrades!$T$9="Orbital Resonance",POWER(Upgrades!$U$9,H218),1)*IF(Upgrades!$T$11="Orbital Resonance",POWER(Upgrades!$U$11,J218),1)*IF(Upgrades!$T$12="Orbital Resonance",POWER(Upgrades!$U$12,K218),1))+(IF(J218=0,0,(Upgrades!$J$11+J218*Upgrades!$K$11)*POWER(Upgrades!$L$11,J218)))*(IF(Upgrades!$T$6="Heliopause",POWER(Upgrades!$U$6,E218),1)*IF(Upgrades!$T$7="Heliopause",POWER(Upgrades!$U$7,F218),1)*IF(Upgrades!$T$8="Heliopause",POWER(Upgrades!$U$8,G218),1)*IF(Upgrades!$T$9="Heliopause",POWER(Upgrades!$U$9,H218),1)*IF(Upgrades!$T$10="Heliopause",POWER(Upgrades!$U$10,I218),1)*IF(Upgrades!$T$12="Heliopause",POWER(Upgrades!$U$12,K218),1))+(IF(K218=0,0,(Upgrades!$J$12+K218*Upgrades!$K$12)*POWER(Upgrades!$L$12,K218)))*(IF(Upgrades!$T$6="First Photons",POWER(Upgrades!$U$6,E218),1)*IF(Upgrades!$T$7="First Photons",POWER(Upgrades!$U$7,F218),1)*IF(Upgrades!$T$8="First Photons",POWER(Upgrades!$U$8,G218),1)*IF(Upgrades!$T$9="First Photons",POWER(Upgrades!$U$9,H218),1)*IF(Upgrades!$T$10="First Photons",POWER(Upgrades!$U$10,I218),1)*IF(Upgrades!$T$11="First Photons",POWER(Upgrades!$U$11,J218),1)))*POWER(Upgrades!$Q$6,E218)*POWER(Upgrades!$Q$7,F218)*POWER(Upgrades!$Q$8,G218)*POWER(Upgrades!$Q$9,H218)*POWER(Upgrades!$Q$10,I218)*POWER(Upgrades!$Q$11,J218)*POWER(Upgrades!$Q$12,K218)</f>
        <v>5.61</v>
      </c>
      <c r="N218" s="28" t="n">
        <f aca="false">((IF(E218=0,0,(Upgrades!$G$6+E218*Upgrades!$H$6)*POWER(Upgrades!$I$6,E218)))*(IF(Upgrades!$T$7="Solar Wind",POWER(Upgrades!$U$7,F218),1)*IF(Upgrades!$T$8="Solar Wind",POWER(Upgrades!$U$8,G218),1)*IF(Upgrades!$T$9="Solar Wind",POWER(Upgrades!$U$9,H218),1)*IF(Upgrades!$T$10="Solar Wind",POWER(Upgrades!$U$10,I218),1)*IF(Upgrades!$T$11="Solar Wind",POWER(Upgrades!$U$11,J218),1)*IF(Upgrades!$T$12="Solar Wind",POWER(Upgrades!$U$12,K218),1))+(IF(F218=0,0,(Upgrades!$G$7+F218*Upgrades!$H$7)*POWER(Upgrades!$I$7,F218)))*(IF(Upgrades!$T$6="Asteroid Belt",POWER(Upgrades!$U$6,E218),1)*IF(Upgrades!$T$8="Asteroid Belt",POWER(Upgrades!$U$8,G218),1)*IF(Upgrades!$T$9="Asteroid Belt",POWER(Upgrades!$U$9,H218),1)*IF(Upgrades!$T$10="Asteroid Belt",POWER(Upgrades!$U$10,I218),1)*IF(Upgrades!$T$11="Asteroid Belt",POWER(Upgrades!$U$11,J218),1)*IF(Upgrades!$T$12="Asteroid Belt",POWER(Upgrades!$U$12,K218),1))+(IF(G218=0,0,(Upgrades!$G$8+G218*Upgrades!$H$8)*POWER(Upgrades!$I$8,G218)))*(IF(Upgrades!$T$6="Stellar Coupling",POWER(Upgrades!$U$6,E218),1)*IF(Upgrades!$T$7="Stellar Coupling",POWER(Upgrades!$U$7,F218),1)*IF(Upgrades!$T$9="Stellar Coupling",POWER(Upgrades!$U$9,H218),1)*IF(Upgrades!$T$10="Stellar Coupling",POWER(Upgrades!$U$10,I218),1)*IF(Upgrades!$T$11="Stellar Coupling",POWER(Upgrades!$U$11,J218),1)*IF(Upgrades!$T$12="Stellar Coupling",POWER(Upgrades!$U$12,K218),1))+(IF(H218=0,0,(Upgrades!$G$9+H218*Upgrades!$H$9)*POWER(Upgrades!$I$9,H218)))*(IF(Upgrades!$T$6="Magnetosphere",POWER(Upgrades!$U$6,E218),1)*IF(Upgrades!$T$7="Magnetosphere",POWER(Upgrades!$U$7,F218),1)*IF(Upgrades!$T$8="Magnetosphere",POWER(Upgrades!$U$8,G218),1)*IF(Upgrades!$T$10="Magnetosphere",POWER(Upgrades!$U$10,I218),1)*IF(Upgrades!$T$11="Magnetosphere",POWER(Upgrades!$U$11,J218),1)*IF(Upgrades!$T$12="Magnetosphere",POWER(Upgrades!$U$12,K218),1))+(IF(I218=0,0,(Upgrades!$G$10+I218*Upgrades!$H$10)*POWER(Upgrades!$I$10,I218)))*(IF(Upgrades!$T$6="Orbital Resonance",POWER(Upgrades!$U$6,E218),1)*IF(Upgrades!$T$7="Orbital Resonance",POWER(Upgrades!$U$7,F218),1)*IF(Upgrades!$T$8="Orbital Resonance",POWER(Upgrades!$U$8,G218),1)*IF(Upgrades!$T$9="Orbital Resonance",POWER(Upgrades!$U$9,H218),1)*IF(Upgrades!$T$11="Orbital Resonance",POWER(Upgrades!$U$11,J218),1)*IF(Upgrades!$T$12="Orbital Resonance",POWER(Upgrades!$U$12,K218),1))+(IF(J218=0,0,(Upgrades!$G$11+J218*Upgrades!$H$11)*POWER(Upgrades!$I$11,J218)))*(IF(Upgrades!$T$6="Heliopause",POWER(Upgrades!$U$6,E218),1)*IF(Upgrades!$T$7="Heliopause",POWER(Upgrades!$U$7,F218),1)*IF(Upgrades!$T$8="Heliopause",POWER(Upgrades!$U$8,G218),1)*IF(Upgrades!$T$9="Heliopause",POWER(Upgrades!$U$9,H218),1)*IF(Upgrades!$T$10="Heliopause",POWER(Upgrades!$U$10,I218),1)*IF(Upgrades!$T$12="Heliopause",POWER(Upgrades!$U$12,K218),1))+(IF(K218=0,0,(Upgrades!$G$12+K218*Upgrades!$H$12)*POWER(Upgrades!$I$12,K218)))*(IF(Upgrades!$T$6="First Photons",POWER(Upgrades!$U$6,E218),1)*IF(Upgrades!$T$7="First Photons",POWER(Upgrades!$U$7,F218),1)*IF(Upgrades!$T$8="First Photons",POWER(Upgrades!$U$8,G218),1)*IF(Upgrades!$T$9="First Photons",POWER(Upgrades!$U$9,H218),1)*IF(Upgrades!$T$10="First Photons",POWER(Upgrades!$U$10,I218),1)*IF(Upgrades!$T$11="First Photons",POWER(Upgrades!$U$11,J218),1)))*POWER(Upgrades!$P$6,E218)*POWER(Upgrades!$P$7,F218)*POWER(Upgrades!$P$8,G218)*POWER(Upgrades!$P$9,H218)*POWER(Upgrades!$P$10,I218)*POWER(Upgrades!$P$11,J218)*POWER(Upgrades!$P$12,K218)</f>
        <v>11.2</v>
      </c>
      <c r="O218" s="28" t="n">
        <f aca="false">((IF(E218=0,0,(Upgrades!$M$6+E218*Upgrades!$N$6)*POWER(Upgrades!$O$6,E218)))*(IF(Upgrades!$T$7="Solar Wind",POWER(Upgrades!$U$7,F218),1)*IF(Upgrades!$T$8="Solar Wind",POWER(Upgrades!$U$8,G218),1)*IF(Upgrades!$T$9="Solar Wind",POWER(Upgrades!$U$9,H218),1)*IF(Upgrades!$T$10="Solar Wind",POWER(Upgrades!$U$10,I218),1)*IF(Upgrades!$T$11="Solar Wind",POWER(Upgrades!$U$11,J218),1)*IF(Upgrades!$T$12="Solar Wind",POWER(Upgrades!$U$12,K218),1))+(IF(F218=0,0,(Upgrades!$M$7+F218*Upgrades!$N$7)*POWER(Upgrades!$O$7,F218)))*(IF(Upgrades!$T$6="Asteroid Belt",POWER(Upgrades!$U$6,E218),1)*IF(Upgrades!$T$8="Asteroid Belt",POWER(Upgrades!$U$8,G218),1)*IF(Upgrades!$T$9="Asteroid Belt",POWER(Upgrades!$U$9,H218),1)*IF(Upgrades!$T$10="Asteroid Belt",POWER(Upgrades!$U$10,I218),1)*IF(Upgrades!$T$11="Asteroid Belt",POWER(Upgrades!$U$11,J218),1)*IF(Upgrades!$T$12="Asteroid Belt",POWER(Upgrades!$U$12,K218),1))+(IF(G218=0,0,(Upgrades!$M$8+G218*Upgrades!$N$8)*POWER(Upgrades!$O$8,G218)))*(IF(Upgrades!$T$6="Stellar Coupling",POWER(Upgrades!$U$6,E218),1)*IF(Upgrades!$T$7="Stellar Coupling",POWER(Upgrades!$U$7,F218),1)*IF(Upgrades!$T$9="Stellar Coupling",POWER(Upgrades!$U$9,H218),1)*IF(Upgrades!$T$10="Stellar Coupling",POWER(Upgrades!$U$10,I218),1)*IF(Upgrades!$T$11="Stellar Coupling",POWER(Upgrades!$U$11,J218),1)*IF(Upgrades!$T$12="Stellar Coupling",POWER(Upgrades!$U$12,K218),1))+(IF(H218=0,0,(Upgrades!$M$9+H218*Upgrades!$N$9)*POWER(Upgrades!$O$9,H218)))*(IF(Upgrades!$T$6="Magnetosphere",POWER(Upgrades!$U$6,E218),1)*IF(Upgrades!$T$7="Magnetosphere",POWER(Upgrades!$U$7,F218),1)*IF(Upgrades!$T$8="Magnetosphere",POWER(Upgrades!$U$8,G218),1)*IF(Upgrades!$T$10="Magnetosphere",POWER(Upgrades!$U$10,I218),1)*IF(Upgrades!$T$11="Magnetosphere",POWER(Upgrades!$U$11,J218),1)*IF(Upgrades!$T$12="Magnetosphere",POWER(Upgrades!$U$12,K218),1))+(IF(I218=0,0,(Upgrades!$M$10+I218*Upgrades!$N$10)*POWER(Upgrades!$O$10,I218)))*(IF(Upgrades!$T$6="Orbital Resonance",POWER(Upgrades!$U$6,E218),1)*IF(Upgrades!$T$7="Orbital Resonance",POWER(Upgrades!$U$7,F218),1)*IF(Upgrades!$T$8="Orbital Resonance",POWER(Upgrades!$U$8,G218),1)*IF(Upgrades!$T$9="Orbital Resonance",POWER(Upgrades!$U$9,H218),1)*IF(Upgrades!$T$11="Orbital Resonance",POWER(Upgrades!$U$11,J218),1)*IF(Upgrades!$T$12="Orbital Resonance",POWER(Upgrades!$U$12,K218),1))+(IF(J218=0,0,(Upgrades!$M$11+J218*Upgrades!$N$11)*POWER(Upgrades!$O$11,J218)))*(IF(Upgrades!$T$6="Heliopause",POWER(Upgrades!$U$6,E218),1)*IF(Upgrades!$T$7="Heliopause",POWER(Upgrades!$U$7,F218),1)*IF(Upgrades!$T$8="Heliopause",POWER(Upgrades!$U$8,G218),1)*IF(Upgrades!$T$9="Heliopause",POWER(Upgrades!$U$9,H218),1)*IF(Upgrades!$T$10="Heliopause",POWER(Upgrades!$U$10,I218),1)*IF(Upgrades!$T$12="Heliopause",POWER(Upgrades!$U$12,K218),1))+(IF(K218=0,0,(Upgrades!$M$12+K218*Upgrades!$N$12)*POWER(Upgrades!$O$12,K218)))*(IF(Upgrades!$T$6="First Photons",POWER(Upgrades!$U$6,E218),1)*IF(Upgrades!$T$7="First Photons",POWER(Upgrades!$U$7,F218),1)*IF(Upgrades!$T$8="First Photons",POWER(Upgrades!$U$8,G218),1)*IF(Upgrades!$T$9="First Photons",POWER(Upgrades!$U$9,H218),1)*IF(Upgrades!$T$10="First Photons",POWER(Upgrades!$U$10,I218),1)*IF(Upgrades!$T$11="First Photons",POWER(Upgrades!$U$11,J218),1)))*POWER(Upgrades!$R$6,E218)*POWER(Upgrades!$R$7,F218)*POWER(Upgrades!$R$8,G218)*POWER(Upgrades!$R$9,H218)*POWER(Upgrades!$R$10,I218)*POWER(Upgrades!$R$11,J218)*POWER(Upgrades!$R$12,K218)</f>
        <v>0</v>
      </c>
      <c r="P218" s="27" t="n">
        <f aca="false">IF(L218=1,0,M218*Parameters!$B$10/60*Parameters!$B$11*10)</f>
        <v>0</v>
      </c>
      <c r="Q218" s="27" t="n">
        <f aca="false">IF(L218=1,0,O218*M218*10)</f>
        <v>0</v>
      </c>
      <c r="R218" s="27" t="n">
        <f aca="false">IF(L218=1,0,N218*10)</f>
        <v>0</v>
      </c>
      <c r="S218" s="27" t="n">
        <f aca="false">P218+Q218+R218</f>
        <v>0</v>
      </c>
      <c r="T218" s="21" t="n">
        <f aca="false">C218+S218</f>
        <v>18.6730249835055</v>
      </c>
      <c r="U218" s="34" t="str">
        <f aca="false">AX218</f>
        <v/>
      </c>
      <c r="V218" s="21" t="n">
        <f aca="false">IF(U218="",0,IF(U218="transition",0,IF(U218="SW",AG218,IF(U218="AB",AH218,IF(U218="SC",AI218,IF(U218="Mag",AJ218,IF(U218="OR",AK218,IF(U218="HP",AL218,IF(U218="FP",AM218,0)))))))))</f>
        <v>0</v>
      </c>
      <c r="W218" s="27" t="n">
        <f aca="false">IF(U218="OR",Upgrades!$F$10,IF(U218="HP",Upgrades!$F$11,IF(U218="transition",-Parameters!$B$18,0)))</f>
        <v>0</v>
      </c>
      <c r="X218" s="21" t="n">
        <f aca="false">T218-V218</f>
        <v>18.6730249835055</v>
      </c>
      <c r="Y218" s="30" t="n">
        <f aca="false">M218*Parameters!$B$10/60*Parameters!$B$11+O218*M218+N218</f>
        <v>20.55</v>
      </c>
      <c r="Z218" s="35" t="str">
        <f aca="false">IF(U218="transition","→ Tier 2 (Stellar Neighborhood)",IF(U218="FP","First Photons — light begins, system quickens",IF(U218="HP","Heliopause acquired",IF(U218="OR","Orbital Resonance — passive multiplier active",IF(AND(AO218=1,L218=0,AN218&lt;&gt;1),"Cohesion ready (waiting on completionist upgrades)","")))))</f>
        <v/>
      </c>
      <c r="AA218" s="27" t="n">
        <f aca="false">(IF(E218=0,0,(Upgrades!$G$6+E218*Upgrades!$H$6)*POWER(Upgrades!$I$6,E218)))*(IF(Upgrades!$T$7="Solar Wind",POWER(Upgrades!$U$7,F218),1)*IF(Upgrades!$T$8="Solar Wind",POWER(Upgrades!$U$8,G218),1)*IF(Upgrades!$T$9="Solar Wind",POWER(Upgrades!$U$9,H218),1)*IF(Upgrades!$T$10="Solar Wind",POWER(Upgrades!$U$10,I218),1)*IF(Upgrades!$T$11="Solar Wind",POWER(Upgrades!$U$11,J218),1)*IF(Upgrades!$T$12="Solar Wind",POWER(Upgrades!$U$12,K218),1))*POWER(Upgrades!$P$6,E218)*POWER(Upgrades!$P$7,F218)*POWER(Upgrades!$P$8,G218)*POWER(Upgrades!$P$9,H218)*POWER(Upgrades!$P$10,I218)*POWER(Upgrades!$P$11,J218)*POWER(Upgrades!$P$12,K218)*60</f>
        <v>72</v>
      </c>
      <c r="AB218" s="27" t="n">
        <f aca="false">(IF(F218=0,0,(Upgrades!$G$7+F218*Upgrades!$H$7)*POWER(Upgrades!$I$7,F218)))*(IF(Upgrades!$T$6="Asteroid Belt",POWER(Upgrades!$U$6,E218),1)*IF(Upgrades!$T$8="Asteroid Belt",POWER(Upgrades!$U$8,G218),1)*IF(Upgrades!$T$9="Asteroid Belt",POWER(Upgrades!$U$9,H218),1)*IF(Upgrades!$T$10="Asteroid Belt",POWER(Upgrades!$U$10,I218),1)*IF(Upgrades!$T$11="Asteroid Belt",POWER(Upgrades!$U$11,J218),1)*IF(Upgrades!$T$12="Asteroid Belt",POWER(Upgrades!$U$12,K218),1))*POWER(Upgrades!$P$6,E218)*POWER(Upgrades!$P$7,F218)*POWER(Upgrades!$P$8,G218)*POWER(Upgrades!$P$9,H218)*POWER(Upgrades!$P$10,I218)*POWER(Upgrades!$P$11,J218)*POWER(Upgrades!$P$12,K218)*60</f>
        <v>150</v>
      </c>
      <c r="AC218" s="27" t="n">
        <f aca="false">(IF(G218=0,0,(Upgrades!$J$8+G218*Upgrades!$K$8)*POWER(Upgrades!$L$8,G218)))*(IF(Upgrades!$T$6="Stellar Coupling",POWER(Upgrades!$U$6,E218),1)*IF(Upgrades!$T$7="Stellar Coupling",POWER(Upgrades!$U$7,F218),1)*IF(Upgrades!$T$9="Stellar Coupling",POWER(Upgrades!$U$9,H218),1)*IF(Upgrades!$T$10="Stellar Coupling",POWER(Upgrades!$U$10,I218),1)*IF(Upgrades!$T$11="Stellar Coupling",POWER(Upgrades!$U$11,J218),1)*IF(Upgrades!$T$12="Stellar Coupling",POWER(Upgrades!$U$12,K218),1))*POWER(Upgrades!$Q$6,E218)*POWER(Upgrades!$Q$7,F218)*POWER(Upgrades!$Q$8,G218)*POWER(Upgrades!$Q$9,H218)*POWER(Upgrades!$Q$10,I218)*POWER(Upgrades!$Q$11,J218)*POWER(Upgrades!$Q$12,K218)*Parameters!$B$10*Parameters!$B$11</f>
        <v>441</v>
      </c>
      <c r="AD218" s="27" t="n">
        <f aca="false">(IF(H218=0,0,(Upgrades!$G$9+H218*Upgrades!$H$9)*POWER(Upgrades!$I$9,H218)))*(IF(Upgrades!$T$6="Magnetosphere",POWER(Upgrades!$U$6,E218),1)*IF(Upgrades!$T$7="Magnetosphere",POWER(Upgrades!$U$7,F218),1)*IF(Upgrades!$T$8="Magnetosphere",POWER(Upgrades!$U$8,G218),1)*IF(Upgrades!$T$10="Magnetosphere",POWER(Upgrades!$U$10,I218),1)*IF(Upgrades!$T$11="Magnetosphere",POWER(Upgrades!$U$11,J218),1)*IF(Upgrades!$T$12="Magnetosphere",POWER(Upgrades!$U$12,K218),1))*POWER(Upgrades!$P$6,E218)*POWER(Upgrades!$P$7,F218)*POWER(Upgrades!$P$8,G218)*POWER(Upgrades!$P$9,H218)*POWER(Upgrades!$P$10,I218)*POWER(Upgrades!$P$11,J218)*POWER(Upgrades!$P$12,K218)*60</f>
        <v>375</v>
      </c>
      <c r="AE218" s="27" t="n">
        <f aca="false">(IF(K218=0,0,(Upgrades!$G$12+K218*Upgrades!$H$12)*POWER(Upgrades!$I$12,K218)))*(IF(Upgrades!$T$6="First Photons",POWER(Upgrades!$U$6,E218),1)*IF(Upgrades!$T$7="First Photons",POWER(Upgrades!$U$7,F218),1)*IF(Upgrades!$T$8="First Photons",POWER(Upgrades!$U$8,G218),1)*IF(Upgrades!$T$9="First Photons",POWER(Upgrades!$U$9,H218),1)*IF(Upgrades!$T$10="First Photons",POWER(Upgrades!$U$10,I218),1)*IF(Upgrades!$T$11="First Photons",POWER(Upgrades!$U$11,J218),1))*POWER(Upgrades!$P$6,E218)*POWER(Upgrades!$P$7,F218)*POWER(Upgrades!$P$8,G218)*POWER(Upgrades!$P$9,H218)*POWER(Upgrades!$P$10,I218)*POWER(Upgrades!$P$11,J218)*POWER(Upgrades!$P$12,K218)*60</f>
        <v>75</v>
      </c>
      <c r="AF218" s="27" t="n">
        <f aca="false">Parameters!$B$9*POWER(Upgrades!$Q$6,E218)*POWER(Upgrades!$Q$7,F218)*POWER(Upgrades!$Q$8,G218)*POWER(Upgrades!$Q$9,H218)*POWER(Upgrades!$Q$10,I218)*POWER(Upgrades!$Q$11,J218)*POWER(Upgrades!$Q$12,K218)*(Parameters!$B$10*Parameters!$B$11+O218*60)</f>
        <v>120</v>
      </c>
      <c r="AG218" s="21" t="n">
        <f aca="false">IF(E218&gt;=Upgrades!$E$6,"",Upgrades!$C$6*POWER(Upgrades!$D$6,E218))</f>
        <v>37.4517507383159</v>
      </c>
      <c r="AH218" s="21" t="n">
        <f aca="false">IF(F218&gt;=Upgrades!$E$7,"",Upgrades!$C$7*POWER(Upgrades!$D$7,F218))</f>
        <v>80.9111547141581</v>
      </c>
      <c r="AI218" s="21" t="n">
        <f aca="false">IF(G218&gt;=Upgrades!$E$8,"",Upgrades!$C$8*POWER(Upgrades!$D$8,G218))</f>
        <v>231.9097088</v>
      </c>
      <c r="AJ218" s="21" t="str">
        <f aca="false">IF(H218&gt;=Upgrades!$E$9,"",Upgrades!$C$9*POWER(Upgrades!$D$9,H218))</f>
        <v/>
      </c>
      <c r="AK218" s="21" t="str">
        <f aca="false">IF(I218&gt;=Upgrades!$E$10,"",Upgrades!$C$10*POWER(Upgrades!$D$10,I218))</f>
        <v/>
      </c>
      <c r="AL218" s="21" t="str">
        <f aca="false">IF(J218&gt;=Upgrades!$E$11,"",Upgrades!$C$11*POWER(Upgrades!$D$11,J218))</f>
        <v/>
      </c>
      <c r="AM218" s="21" t="str">
        <f aca="false">IF(K218&gt;=Upgrades!$E$12,"",Upgrades!$C$12*POWER(Upgrades!$D$12,K218))</f>
        <v/>
      </c>
      <c r="AN218" s="26" t="str">
        <f aca="false">IF(AND(D218&gt;=Parameters!$B$18,(H218&gt;=Upgrades!$E$9)*(K218&gt;=Upgrades!$E$12)=1,L218=0),1,"")</f>
        <v/>
      </c>
      <c r="AO218" s="26" t="str">
        <f aca="false">IF(AND(D218&gt;=Parameters!$B$18,L218=0),1,"")</f>
        <v/>
      </c>
      <c r="AP218" s="21" t="n">
        <f aca="false">MIN(IF(ISNUMBER(AK218),AK218,9000000000000000),IF(ISNUMBER(AL218),AL218,9000000000000000),IF(ISNUMBER(AM218),AM218,9000000000000000))</f>
        <v>9000000000000000</v>
      </c>
      <c r="AQ218" s="21" t="n">
        <f aca="false">MIN(IF(ISNUMBER(AG218),AG218,9000000000000000),IF(ISNUMBER(AH218),AH218,9000000000000000),IF(ISNUMBER(AI218),AI218,9000000000000000),IF(ISNUMBER(AJ218),AJ218,9000000000000000))</f>
        <v>37.4517507383159</v>
      </c>
      <c r="AR218" s="32" t="b">
        <f aca="false">IF(AW218&gt;Parameters!$B$21*(MAX(IF(AND(NOT(AND(AO218=1,AN218&lt;&gt;1)),ISNUMBER(AG218),AG218&lt;=T218),AS218,0),IF(AND(NOT(AND(AO218=1,AN218&lt;&gt;1)),ISNUMBER(AH218),AH218&lt;=T218),AT218,0),IF(AND(NOT(AND(AO218=1,AN218&lt;&gt;1)),ISNUMBER(AI218),AI218&lt;=T218),AU218,0),IF(AND(ISNUMBER(AJ218),AJ218&lt;=T218),AV218,0))),TRUE(),FALSE())</f>
        <v>1</v>
      </c>
      <c r="AS218" s="33" t="n">
        <f aca="false">IFERROR(Upgrades!$H$6*(POWER(Upgrades!$P$6,E218)*POWER(Upgrades!$P$7,F218)*POWER(Upgrades!$P$8,G218)*POWER(Upgrades!$P$9,H218)*POWER(Upgrades!$P$10,I218)*POWER(Upgrades!$P$11,J218)*POWER(Upgrades!$P$12,K218))*(IF(Upgrades!$T$7="Solar Wind",POWER(Upgrades!$U$7,F218),1)*IF(Upgrades!$T$8="Solar Wind",POWER(Upgrades!$U$8,G218),1)*IF(Upgrades!$T$9="Solar Wind",POWER(Upgrades!$U$9,H218),1)*IF(Upgrades!$T$10="Solar Wind",POWER(Upgrades!$U$10,I218),1)*IF(Upgrades!$T$11="Solar Wind",POWER(Upgrades!$U$11,J218),1)*IF(Upgrades!$T$12="Solar Wind",POWER(Upgrades!$U$12,K218),1))/AG218,0)</f>
        <v>0.0026701021455238</v>
      </c>
      <c r="AT218" s="33" t="n">
        <f aca="false">IFERROR(Upgrades!$H$7*(POWER(Upgrades!$P$6,E218)*POWER(Upgrades!$P$7,F218)*POWER(Upgrades!$P$8,G218)*POWER(Upgrades!$P$9,H218)*POWER(Upgrades!$P$10,I218)*POWER(Upgrades!$P$11,J218)*POWER(Upgrades!$P$12,K218))*(IF(Upgrades!$T$6="Asteroid Belt",POWER(Upgrades!$U$6,E218),1)*IF(Upgrades!$T$8="Asteroid Belt",POWER(Upgrades!$U$8,G218),1)*IF(Upgrades!$T$9="Asteroid Belt",POWER(Upgrades!$U$9,H218),1)*IF(Upgrades!$T$10="Asteroid Belt",POWER(Upgrades!$U$10,I218),1)*IF(Upgrades!$T$11="Asteroid Belt",POWER(Upgrades!$U$11,J218),1)*IF(Upgrades!$T$12="Asteroid Belt",POWER(Upgrades!$U$12,K218),1))/AH218,0)</f>
        <v>0.00308980882652332</v>
      </c>
      <c r="AU218" s="33" t="n">
        <f aca="false">IFERROR(Upgrades!$K$8*(POWER(Upgrades!$Q$6,E218)*POWER(Upgrades!$Q$7,F218)*POWER(Upgrades!$Q$8,G218)*POWER(Upgrades!$Q$9,H218)*POWER(Upgrades!$Q$10,I218)*POWER(Upgrades!$Q$11,J218)*POWER(Upgrades!$Q$12,K218))*(IF(Upgrades!$T$6="Stellar Coupling",POWER(Upgrades!$U$6,E218),1)*IF(Upgrades!$T$7="Stellar Coupling",POWER(Upgrades!$U$7,F218),1)*IF(Upgrades!$T$9="Stellar Coupling",POWER(Upgrades!$U$9,H218),1)*IF(Upgrades!$T$10="Stellar Coupling",POWER(Upgrades!$U$10,I218),1)*IF(Upgrades!$T$11="Stellar Coupling",POWER(Upgrades!$U$11,J218),1)*IF(Upgrades!$T$12="Stellar Coupling",POWER(Upgrades!$U$12,K218),1))*Parameters!$B$10*Parameters!$B$11/60/AI218,0)</f>
        <v>0.00452762415783776</v>
      </c>
      <c r="AV218" s="33" t="n">
        <f aca="false">IFERROR(Upgrades!$H$9*(POWER(Upgrades!$P$6,E218)*POWER(Upgrades!$P$7,F218)*POWER(Upgrades!$P$8,G218)*POWER(Upgrades!$P$9,H218)*POWER(Upgrades!$P$10,I218)*POWER(Upgrades!$P$11,J218)*POWER(Upgrades!$P$12,K218))*(IF(Upgrades!$T$6="Magnetosphere",POWER(Upgrades!$U$6,E218),1)*IF(Upgrades!$T$7="Magnetosphere",POWER(Upgrades!$U$7,F218),1)*IF(Upgrades!$T$8="Magnetosphere",POWER(Upgrades!$U$8,G218),1)*IF(Upgrades!$T$10="Magnetosphere",POWER(Upgrades!$U$10,I218),1)*IF(Upgrades!$T$11="Magnetosphere",POWER(Upgrades!$U$11,J218),1)*IF(Upgrades!$T$12="Magnetosphere",POWER(Upgrades!$U$12,K218),1))/AJ218,0)</f>
        <v>0</v>
      </c>
      <c r="AW218" s="33" t="n">
        <f aca="false">MAX(IF(I218&gt;0,0,IFERROR(0.25*N218/Upgrades!$C$10,0)),IF(J218&gt;0,0,IFERROR(0.5*((IF(G218=0,0,(Upgrades!$J$8+G218*Upgrades!$K$8)*POWER(Upgrades!$L$8,G218)))*(IF(Upgrades!$T$6="Stellar Coupling",POWER(Upgrades!$U$6,E218),1)*IF(Upgrades!$T$7="Stellar Coupling",POWER(Upgrades!$U$7,F218),1)*IF(Upgrades!$T$9="Stellar Coupling",POWER(Upgrades!$U$9,H218),1)*IF(Upgrades!$T$10="Stellar Coupling",POWER(Upgrades!$U$10,I218),1)*IF(Upgrades!$T$11="Stellar Coupling",POWER(Upgrades!$U$11,J218),1)*IF(Upgrades!$T$12="Stellar Coupling",POWER(Upgrades!$U$12,K218),1))*(POWER(Upgrades!$Q$6,E218)*POWER(Upgrades!$Q$7,F218)*POWER(Upgrades!$Q$8,G218)*POWER(Upgrades!$Q$9,H218)*POWER(Upgrades!$Q$10,I218)*POWER(Upgrades!$Q$11,J218)*POWER(Upgrades!$Q$12,K218))*Parameters!$B$10*Parameters!$B$11/60)/Upgrades!$C$11,0)),IF(K218&gt;0,0,IFERROR((1*(POWER(Upgrades!$P$6,E218)*POWER(Upgrades!$P$7,F218)*POWER(Upgrades!$P$8,G218)*POWER(Upgrades!$P$9,H218)*POWER(Upgrades!$P$10,I218)*POWER(Upgrades!$P$11,J218)*POWER(Upgrades!$P$12,K218))+0.2*M218*Parameters!$B$10*Parameters!$B$11/60)/Upgrades!$C$12,0)),IF(AND(ISNUMBER(AG218),AG218&gt;T218),AS218,0),IF(AND(ISNUMBER(AH218),AH218&gt;T218),AT218,0),IF(AND(ISNUMBER(AI218),AI218&gt;T218),AU218,0),IF(AND(ISNUMBER(AJ218),AJ218&gt;T218),AV218,0))</f>
        <v>0.00452762415783776</v>
      </c>
      <c r="AX218" s="29" t="str">
        <f aca="false">IF(AN218=1,"transition",IF(MIN(IF(AND(I218=0,ISNUMBER(AK218),AK218&lt;=T218),AK218,9000000000000000),IF(AND(J218=0,ISNUMBER(AL218),AL218&lt;=T218),AL218,9000000000000000),IF(AND(K218=0,ISNUMBER(AM218),AM218&lt;=T218),AM218,9000000000000000))&lt;9000000000000000,IF(AND(AND(I218=0,ISNUMBER(AK218),AK218&lt;=T218),AK218=MIN(IF(AND(I218=0,ISNUMBER(AK218),AK218&lt;=T218),AK218,9000000000000000),IF(AND(J218=0,ISNUMBER(AL218),AL218&lt;=T218),AL218,9000000000000000),IF(AND(K218=0,ISNUMBER(AM218),AM218&lt;=T218),AM218,9000000000000000))),"OR",IF(AND(AND(J218=0,ISNUMBER(AL218),AL218&lt;=T218),AL218=MIN(IF(AND(I218=0,ISNUMBER(AK218),AK218&lt;=T218),AK218,9000000000000000),IF(AND(J218=0,ISNUMBER(AL218),AL218&lt;=T218),AL218,9000000000000000),IF(AND(K218=0,ISNUMBER(AM218),AM218&lt;=T218),AM218,9000000000000000))),"HP","FP")),IF(AR218=TRUE(),"",IF(MAX(IF(AND(NOT(AND(AO218=1,AN218&lt;&gt;1)),ISNUMBER(AG218),AG218&lt;=T218),AS218,0),IF(AND(NOT(AND(AO218=1,AN218&lt;&gt;1)),ISNUMBER(AH218),AH218&lt;=T218),AT218,0),IF(AND(NOT(AND(AO218=1,AN218&lt;&gt;1)),ISNUMBER(AI218),AI218&lt;=T218),AU218,0),IF(AND(ISNUMBER(AJ218),AJ218&lt;=T218),AV218,0))&lt;=0,"",IF(AND(IF(AND(NOT(AND(AO218=1,AN218&lt;&gt;1)),ISNUMBER(AG218),AG218&lt;=T218),AS218,0)&gt;0,IF(AND(NOT(AND(AO218=1,AN218&lt;&gt;1)),ISNUMBER(AG218),AG218&lt;=T218),AS218,0)=MAX(IF(AND(NOT(AND(AO218=1,AN218&lt;&gt;1)),ISNUMBER(AG218),AG218&lt;=T218),AS218,0),IF(AND(NOT(AND(AO218=1,AN218&lt;&gt;1)),ISNUMBER(AH218),AH218&lt;=T218),AT218,0),IF(AND(NOT(AND(AO218=1,AN218&lt;&gt;1)),ISNUMBER(AI218),AI218&lt;=T218),AU218,0),IF(AND(ISNUMBER(AJ218),AJ218&lt;=T218),AV218,0))),"SW",IF(AND(IF(AND(NOT(AND(AO218=1,AN218&lt;&gt;1)),ISNUMBER(AH218),AH218&lt;=T218),AT218,0)&gt;0,IF(AND(NOT(AND(AO218=1,AN218&lt;&gt;1)),ISNUMBER(AH218),AH218&lt;=T218),AT218,0)=MAX(IF(AND(NOT(AND(AO218=1,AN218&lt;&gt;1)),ISNUMBER(AG218),AG218&lt;=T218),AS218,0),IF(AND(NOT(AND(AO218=1,AN218&lt;&gt;1)),ISNUMBER(AH218),AH218&lt;=T218),AT218,0),IF(AND(NOT(AND(AO218=1,AN218&lt;&gt;1)),ISNUMBER(AI218),AI218&lt;=T218),AU218,0),IF(AND(ISNUMBER(AJ218),AJ218&lt;=T218),AV218,0))),"AB",IF(AND(IF(AND(NOT(AND(AO218=1,AN218&lt;&gt;1)),ISNUMBER(AI218),AI218&lt;=T218),AU218,0)&gt;0,IF(AND(NOT(AND(AO218=1,AN218&lt;&gt;1)),ISNUMBER(AI218),AI218&lt;=T218),AU218,0)=MAX(IF(AND(NOT(AND(AO218=1,AN218&lt;&gt;1)),ISNUMBER(AG218),AG218&lt;=T218),AS218,0),IF(AND(NOT(AND(AO218=1,AN218&lt;&gt;1)),ISNUMBER(AH218),AH218&lt;=T218),AT218,0),IF(AND(NOT(AND(AO218=1,AN218&lt;&gt;1)),ISNUMBER(AI218),AI218&lt;=T218),AU218,0),IF(AND(ISNUMBER(AJ218),AJ218&lt;=T218),AV218,0))),"SC","Mag")))))))</f>
        <v/>
      </c>
    </row>
    <row r="219" customFormat="false" ht="15" hidden="false" customHeight="false" outlineLevel="0" collapsed="false">
      <c r="A219" s="26" t="n">
        <v>214</v>
      </c>
      <c r="B219" s="27" t="n">
        <f aca="false">A219*10/60</f>
        <v>35.6666666666667</v>
      </c>
      <c r="C219" s="21" t="n">
        <f aca="false">X218</f>
        <v>18.6730249835055</v>
      </c>
      <c r="D219" s="27" t="n">
        <f aca="false">D218+W218</f>
        <v>0</v>
      </c>
      <c r="E219" s="26" t="n">
        <f aca="false">E218+IF(U218="SW",1,0)</f>
        <v>12</v>
      </c>
      <c r="F219" s="26" t="n">
        <f aca="false">F218+IF(U218="AB",1,0)</f>
        <v>10</v>
      </c>
      <c r="G219" s="26" t="n">
        <f aca="false">G218+IF(U218="SC",1,0)</f>
        <v>7</v>
      </c>
      <c r="H219" s="26" t="n">
        <f aca="false">H218+IF(U218="Mag",1,0)</f>
        <v>5</v>
      </c>
      <c r="I219" s="26" t="n">
        <f aca="false">MAX(I218,IF(U218="OR",1,0))</f>
        <v>1</v>
      </c>
      <c r="J219" s="26" t="n">
        <f aca="false">MAX(J218,IF(U218="HP",1,0))</f>
        <v>1</v>
      </c>
      <c r="K219" s="26" t="n">
        <f aca="false">MAX(K218,IF(U218="FP",1,0))</f>
        <v>1</v>
      </c>
      <c r="L219" s="26" t="n">
        <f aca="false">MAX(L218,IF(U218="transition",1,0))</f>
        <v>1</v>
      </c>
      <c r="M219" s="28" t="n">
        <f aca="false">(Parameters!$B$9+(IF(E219=0,0,(Upgrades!$J$6+E219*Upgrades!$K$6)*POWER(Upgrades!$L$6,E219)))*(IF(Upgrades!$T$7="Solar Wind",POWER(Upgrades!$U$7,F219),1)*IF(Upgrades!$T$8="Solar Wind",POWER(Upgrades!$U$8,G219),1)*IF(Upgrades!$T$9="Solar Wind",POWER(Upgrades!$U$9,H219),1)*IF(Upgrades!$T$10="Solar Wind",POWER(Upgrades!$U$10,I219),1)*IF(Upgrades!$T$11="Solar Wind",POWER(Upgrades!$U$11,J219),1)*IF(Upgrades!$T$12="Solar Wind",POWER(Upgrades!$U$12,K219),1))+(IF(F219=0,0,(Upgrades!$J$7+F219*Upgrades!$K$7)*POWER(Upgrades!$L$7,F219)))*(IF(Upgrades!$T$6="Asteroid Belt",POWER(Upgrades!$U$6,E219),1)*IF(Upgrades!$T$8="Asteroid Belt",POWER(Upgrades!$U$8,G219),1)*IF(Upgrades!$T$9="Asteroid Belt",POWER(Upgrades!$U$9,H219),1)*IF(Upgrades!$T$10="Asteroid Belt",POWER(Upgrades!$U$10,I219),1)*IF(Upgrades!$T$11="Asteroid Belt",POWER(Upgrades!$U$11,J219),1)*IF(Upgrades!$T$12="Asteroid Belt",POWER(Upgrades!$U$12,K219),1))+(IF(G219=0,0,(Upgrades!$J$8+G219*Upgrades!$K$8)*POWER(Upgrades!$L$8,G219)))*(IF(Upgrades!$T$6="Stellar Coupling",POWER(Upgrades!$U$6,E219),1)*IF(Upgrades!$T$7="Stellar Coupling",POWER(Upgrades!$U$7,F219),1)*IF(Upgrades!$T$9="Stellar Coupling",POWER(Upgrades!$U$9,H219),1)*IF(Upgrades!$T$10="Stellar Coupling",POWER(Upgrades!$U$10,I219),1)*IF(Upgrades!$T$11="Stellar Coupling",POWER(Upgrades!$U$11,J219),1)*IF(Upgrades!$T$12="Stellar Coupling",POWER(Upgrades!$U$12,K219),1))+(IF(H219=0,0,(Upgrades!$J$9+H219*Upgrades!$K$9)*POWER(Upgrades!$L$9,H219)))*(IF(Upgrades!$T$6="Magnetosphere",POWER(Upgrades!$U$6,E219),1)*IF(Upgrades!$T$7="Magnetosphere",POWER(Upgrades!$U$7,F219),1)*IF(Upgrades!$T$8="Magnetosphere",POWER(Upgrades!$U$8,G219),1)*IF(Upgrades!$T$10="Magnetosphere",POWER(Upgrades!$U$10,I219),1)*IF(Upgrades!$T$11="Magnetosphere",POWER(Upgrades!$U$11,J219),1)*IF(Upgrades!$T$12="Magnetosphere",POWER(Upgrades!$U$12,K219),1))+(IF(I219=0,0,(Upgrades!$J$10+I219*Upgrades!$K$10)*POWER(Upgrades!$L$10,I219)))*(IF(Upgrades!$T$6="Orbital Resonance",POWER(Upgrades!$U$6,E219),1)*IF(Upgrades!$T$7="Orbital Resonance",POWER(Upgrades!$U$7,F219),1)*IF(Upgrades!$T$8="Orbital Resonance",POWER(Upgrades!$U$8,G219),1)*IF(Upgrades!$T$9="Orbital Resonance",POWER(Upgrades!$U$9,H219),1)*IF(Upgrades!$T$11="Orbital Resonance",POWER(Upgrades!$U$11,J219),1)*IF(Upgrades!$T$12="Orbital Resonance",POWER(Upgrades!$U$12,K219),1))+(IF(J219=0,0,(Upgrades!$J$11+J219*Upgrades!$K$11)*POWER(Upgrades!$L$11,J219)))*(IF(Upgrades!$T$6="Heliopause",POWER(Upgrades!$U$6,E219),1)*IF(Upgrades!$T$7="Heliopause",POWER(Upgrades!$U$7,F219),1)*IF(Upgrades!$T$8="Heliopause",POWER(Upgrades!$U$8,G219),1)*IF(Upgrades!$T$9="Heliopause",POWER(Upgrades!$U$9,H219),1)*IF(Upgrades!$T$10="Heliopause",POWER(Upgrades!$U$10,I219),1)*IF(Upgrades!$T$12="Heliopause",POWER(Upgrades!$U$12,K219),1))+(IF(K219=0,0,(Upgrades!$J$12+K219*Upgrades!$K$12)*POWER(Upgrades!$L$12,K219)))*(IF(Upgrades!$T$6="First Photons",POWER(Upgrades!$U$6,E219),1)*IF(Upgrades!$T$7="First Photons",POWER(Upgrades!$U$7,F219),1)*IF(Upgrades!$T$8="First Photons",POWER(Upgrades!$U$8,G219),1)*IF(Upgrades!$T$9="First Photons",POWER(Upgrades!$U$9,H219),1)*IF(Upgrades!$T$10="First Photons",POWER(Upgrades!$U$10,I219),1)*IF(Upgrades!$T$11="First Photons",POWER(Upgrades!$U$11,J219),1)))*POWER(Upgrades!$Q$6,E219)*POWER(Upgrades!$Q$7,F219)*POWER(Upgrades!$Q$8,G219)*POWER(Upgrades!$Q$9,H219)*POWER(Upgrades!$Q$10,I219)*POWER(Upgrades!$Q$11,J219)*POWER(Upgrades!$Q$12,K219)</f>
        <v>5.61</v>
      </c>
      <c r="N219" s="28" t="n">
        <f aca="false">((IF(E219=0,0,(Upgrades!$G$6+E219*Upgrades!$H$6)*POWER(Upgrades!$I$6,E219)))*(IF(Upgrades!$T$7="Solar Wind",POWER(Upgrades!$U$7,F219),1)*IF(Upgrades!$T$8="Solar Wind",POWER(Upgrades!$U$8,G219),1)*IF(Upgrades!$T$9="Solar Wind",POWER(Upgrades!$U$9,H219),1)*IF(Upgrades!$T$10="Solar Wind",POWER(Upgrades!$U$10,I219),1)*IF(Upgrades!$T$11="Solar Wind",POWER(Upgrades!$U$11,J219),1)*IF(Upgrades!$T$12="Solar Wind",POWER(Upgrades!$U$12,K219),1))+(IF(F219=0,0,(Upgrades!$G$7+F219*Upgrades!$H$7)*POWER(Upgrades!$I$7,F219)))*(IF(Upgrades!$T$6="Asteroid Belt",POWER(Upgrades!$U$6,E219),1)*IF(Upgrades!$T$8="Asteroid Belt",POWER(Upgrades!$U$8,G219),1)*IF(Upgrades!$T$9="Asteroid Belt",POWER(Upgrades!$U$9,H219),1)*IF(Upgrades!$T$10="Asteroid Belt",POWER(Upgrades!$U$10,I219),1)*IF(Upgrades!$T$11="Asteroid Belt",POWER(Upgrades!$U$11,J219),1)*IF(Upgrades!$T$12="Asteroid Belt",POWER(Upgrades!$U$12,K219),1))+(IF(G219=0,0,(Upgrades!$G$8+G219*Upgrades!$H$8)*POWER(Upgrades!$I$8,G219)))*(IF(Upgrades!$T$6="Stellar Coupling",POWER(Upgrades!$U$6,E219),1)*IF(Upgrades!$T$7="Stellar Coupling",POWER(Upgrades!$U$7,F219),1)*IF(Upgrades!$T$9="Stellar Coupling",POWER(Upgrades!$U$9,H219),1)*IF(Upgrades!$T$10="Stellar Coupling",POWER(Upgrades!$U$10,I219),1)*IF(Upgrades!$T$11="Stellar Coupling",POWER(Upgrades!$U$11,J219),1)*IF(Upgrades!$T$12="Stellar Coupling",POWER(Upgrades!$U$12,K219),1))+(IF(H219=0,0,(Upgrades!$G$9+H219*Upgrades!$H$9)*POWER(Upgrades!$I$9,H219)))*(IF(Upgrades!$T$6="Magnetosphere",POWER(Upgrades!$U$6,E219),1)*IF(Upgrades!$T$7="Magnetosphere",POWER(Upgrades!$U$7,F219),1)*IF(Upgrades!$T$8="Magnetosphere",POWER(Upgrades!$U$8,G219),1)*IF(Upgrades!$T$10="Magnetosphere",POWER(Upgrades!$U$10,I219),1)*IF(Upgrades!$T$11="Magnetosphere",POWER(Upgrades!$U$11,J219),1)*IF(Upgrades!$T$12="Magnetosphere",POWER(Upgrades!$U$12,K219),1))+(IF(I219=0,0,(Upgrades!$G$10+I219*Upgrades!$H$10)*POWER(Upgrades!$I$10,I219)))*(IF(Upgrades!$T$6="Orbital Resonance",POWER(Upgrades!$U$6,E219),1)*IF(Upgrades!$T$7="Orbital Resonance",POWER(Upgrades!$U$7,F219),1)*IF(Upgrades!$T$8="Orbital Resonance",POWER(Upgrades!$U$8,G219),1)*IF(Upgrades!$T$9="Orbital Resonance",POWER(Upgrades!$U$9,H219),1)*IF(Upgrades!$T$11="Orbital Resonance",POWER(Upgrades!$U$11,J219),1)*IF(Upgrades!$T$12="Orbital Resonance",POWER(Upgrades!$U$12,K219),1))+(IF(J219=0,0,(Upgrades!$G$11+J219*Upgrades!$H$11)*POWER(Upgrades!$I$11,J219)))*(IF(Upgrades!$T$6="Heliopause",POWER(Upgrades!$U$6,E219),1)*IF(Upgrades!$T$7="Heliopause",POWER(Upgrades!$U$7,F219),1)*IF(Upgrades!$T$8="Heliopause",POWER(Upgrades!$U$8,G219),1)*IF(Upgrades!$T$9="Heliopause",POWER(Upgrades!$U$9,H219),1)*IF(Upgrades!$T$10="Heliopause",POWER(Upgrades!$U$10,I219),1)*IF(Upgrades!$T$12="Heliopause",POWER(Upgrades!$U$12,K219),1))+(IF(K219=0,0,(Upgrades!$G$12+K219*Upgrades!$H$12)*POWER(Upgrades!$I$12,K219)))*(IF(Upgrades!$T$6="First Photons",POWER(Upgrades!$U$6,E219),1)*IF(Upgrades!$T$7="First Photons",POWER(Upgrades!$U$7,F219),1)*IF(Upgrades!$T$8="First Photons",POWER(Upgrades!$U$8,G219),1)*IF(Upgrades!$T$9="First Photons",POWER(Upgrades!$U$9,H219),1)*IF(Upgrades!$T$10="First Photons",POWER(Upgrades!$U$10,I219),1)*IF(Upgrades!$T$11="First Photons",POWER(Upgrades!$U$11,J219),1)))*POWER(Upgrades!$P$6,E219)*POWER(Upgrades!$P$7,F219)*POWER(Upgrades!$P$8,G219)*POWER(Upgrades!$P$9,H219)*POWER(Upgrades!$P$10,I219)*POWER(Upgrades!$P$11,J219)*POWER(Upgrades!$P$12,K219)</f>
        <v>11.2</v>
      </c>
      <c r="O219" s="28" t="n">
        <f aca="false">((IF(E219=0,0,(Upgrades!$M$6+E219*Upgrades!$N$6)*POWER(Upgrades!$O$6,E219)))*(IF(Upgrades!$T$7="Solar Wind",POWER(Upgrades!$U$7,F219),1)*IF(Upgrades!$T$8="Solar Wind",POWER(Upgrades!$U$8,G219),1)*IF(Upgrades!$T$9="Solar Wind",POWER(Upgrades!$U$9,H219),1)*IF(Upgrades!$T$10="Solar Wind",POWER(Upgrades!$U$10,I219),1)*IF(Upgrades!$T$11="Solar Wind",POWER(Upgrades!$U$11,J219),1)*IF(Upgrades!$T$12="Solar Wind",POWER(Upgrades!$U$12,K219),1))+(IF(F219=0,0,(Upgrades!$M$7+F219*Upgrades!$N$7)*POWER(Upgrades!$O$7,F219)))*(IF(Upgrades!$T$6="Asteroid Belt",POWER(Upgrades!$U$6,E219),1)*IF(Upgrades!$T$8="Asteroid Belt",POWER(Upgrades!$U$8,G219),1)*IF(Upgrades!$T$9="Asteroid Belt",POWER(Upgrades!$U$9,H219),1)*IF(Upgrades!$T$10="Asteroid Belt",POWER(Upgrades!$U$10,I219),1)*IF(Upgrades!$T$11="Asteroid Belt",POWER(Upgrades!$U$11,J219),1)*IF(Upgrades!$T$12="Asteroid Belt",POWER(Upgrades!$U$12,K219),1))+(IF(G219=0,0,(Upgrades!$M$8+G219*Upgrades!$N$8)*POWER(Upgrades!$O$8,G219)))*(IF(Upgrades!$T$6="Stellar Coupling",POWER(Upgrades!$U$6,E219),1)*IF(Upgrades!$T$7="Stellar Coupling",POWER(Upgrades!$U$7,F219),1)*IF(Upgrades!$T$9="Stellar Coupling",POWER(Upgrades!$U$9,H219),1)*IF(Upgrades!$T$10="Stellar Coupling",POWER(Upgrades!$U$10,I219),1)*IF(Upgrades!$T$11="Stellar Coupling",POWER(Upgrades!$U$11,J219),1)*IF(Upgrades!$T$12="Stellar Coupling",POWER(Upgrades!$U$12,K219),1))+(IF(H219=0,0,(Upgrades!$M$9+H219*Upgrades!$N$9)*POWER(Upgrades!$O$9,H219)))*(IF(Upgrades!$T$6="Magnetosphere",POWER(Upgrades!$U$6,E219),1)*IF(Upgrades!$T$7="Magnetosphere",POWER(Upgrades!$U$7,F219),1)*IF(Upgrades!$T$8="Magnetosphere",POWER(Upgrades!$U$8,G219),1)*IF(Upgrades!$T$10="Magnetosphere",POWER(Upgrades!$U$10,I219),1)*IF(Upgrades!$T$11="Magnetosphere",POWER(Upgrades!$U$11,J219),1)*IF(Upgrades!$T$12="Magnetosphere",POWER(Upgrades!$U$12,K219),1))+(IF(I219=0,0,(Upgrades!$M$10+I219*Upgrades!$N$10)*POWER(Upgrades!$O$10,I219)))*(IF(Upgrades!$T$6="Orbital Resonance",POWER(Upgrades!$U$6,E219),1)*IF(Upgrades!$T$7="Orbital Resonance",POWER(Upgrades!$U$7,F219),1)*IF(Upgrades!$T$8="Orbital Resonance",POWER(Upgrades!$U$8,G219),1)*IF(Upgrades!$T$9="Orbital Resonance",POWER(Upgrades!$U$9,H219),1)*IF(Upgrades!$T$11="Orbital Resonance",POWER(Upgrades!$U$11,J219),1)*IF(Upgrades!$T$12="Orbital Resonance",POWER(Upgrades!$U$12,K219),1))+(IF(J219=0,0,(Upgrades!$M$11+J219*Upgrades!$N$11)*POWER(Upgrades!$O$11,J219)))*(IF(Upgrades!$T$6="Heliopause",POWER(Upgrades!$U$6,E219),1)*IF(Upgrades!$T$7="Heliopause",POWER(Upgrades!$U$7,F219),1)*IF(Upgrades!$T$8="Heliopause",POWER(Upgrades!$U$8,G219),1)*IF(Upgrades!$T$9="Heliopause",POWER(Upgrades!$U$9,H219),1)*IF(Upgrades!$T$10="Heliopause",POWER(Upgrades!$U$10,I219),1)*IF(Upgrades!$T$12="Heliopause",POWER(Upgrades!$U$12,K219),1))+(IF(K219=0,0,(Upgrades!$M$12+K219*Upgrades!$N$12)*POWER(Upgrades!$O$12,K219)))*(IF(Upgrades!$T$6="First Photons",POWER(Upgrades!$U$6,E219),1)*IF(Upgrades!$T$7="First Photons",POWER(Upgrades!$U$7,F219),1)*IF(Upgrades!$T$8="First Photons",POWER(Upgrades!$U$8,G219),1)*IF(Upgrades!$T$9="First Photons",POWER(Upgrades!$U$9,H219),1)*IF(Upgrades!$T$10="First Photons",POWER(Upgrades!$U$10,I219),1)*IF(Upgrades!$T$11="First Photons",POWER(Upgrades!$U$11,J219),1)))*POWER(Upgrades!$R$6,E219)*POWER(Upgrades!$R$7,F219)*POWER(Upgrades!$R$8,G219)*POWER(Upgrades!$R$9,H219)*POWER(Upgrades!$R$10,I219)*POWER(Upgrades!$R$11,J219)*POWER(Upgrades!$R$12,K219)</f>
        <v>0</v>
      </c>
      <c r="P219" s="27" t="n">
        <f aca="false">IF(L219=1,0,M219*Parameters!$B$10/60*Parameters!$B$11*10)</f>
        <v>0</v>
      </c>
      <c r="Q219" s="27" t="n">
        <f aca="false">IF(L219=1,0,O219*M219*10)</f>
        <v>0</v>
      </c>
      <c r="R219" s="27" t="n">
        <f aca="false">IF(L219=1,0,N219*10)</f>
        <v>0</v>
      </c>
      <c r="S219" s="27" t="n">
        <f aca="false">P219+Q219+R219</f>
        <v>0</v>
      </c>
      <c r="T219" s="21" t="n">
        <f aca="false">C219+S219</f>
        <v>18.6730249835055</v>
      </c>
      <c r="U219" s="34" t="str">
        <f aca="false">AX219</f>
        <v/>
      </c>
      <c r="V219" s="21" t="n">
        <f aca="false">IF(U219="",0,IF(U219="transition",0,IF(U219="SW",AG219,IF(U219="AB",AH219,IF(U219="SC",AI219,IF(U219="Mag",AJ219,IF(U219="OR",AK219,IF(U219="HP",AL219,IF(U219="FP",AM219,0)))))))))</f>
        <v>0</v>
      </c>
      <c r="W219" s="27" t="n">
        <f aca="false">IF(U219="OR",Upgrades!$F$10,IF(U219="HP",Upgrades!$F$11,IF(U219="transition",-Parameters!$B$18,0)))</f>
        <v>0</v>
      </c>
      <c r="X219" s="21" t="n">
        <f aca="false">T219-V219</f>
        <v>18.6730249835055</v>
      </c>
      <c r="Y219" s="30" t="n">
        <f aca="false">M219*Parameters!$B$10/60*Parameters!$B$11+O219*M219+N219</f>
        <v>20.55</v>
      </c>
      <c r="Z219" s="35" t="str">
        <f aca="false">IF(U219="transition","→ Tier 2 (Stellar Neighborhood)",IF(U219="FP","First Photons — light begins, system quickens",IF(U219="HP","Heliopause acquired",IF(U219="OR","Orbital Resonance — passive multiplier active",IF(AND(AO219=1,L219=0,AN219&lt;&gt;1),"Cohesion ready (waiting on completionist upgrades)","")))))</f>
        <v/>
      </c>
      <c r="AA219" s="27" t="n">
        <f aca="false">(IF(E219=0,0,(Upgrades!$G$6+E219*Upgrades!$H$6)*POWER(Upgrades!$I$6,E219)))*(IF(Upgrades!$T$7="Solar Wind",POWER(Upgrades!$U$7,F219),1)*IF(Upgrades!$T$8="Solar Wind",POWER(Upgrades!$U$8,G219),1)*IF(Upgrades!$T$9="Solar Wind",POWER(Upgrades!$U$9,H219),1)*IF(Upgrades!$T$10="Solar Wind",POWER(Upgrades!$U$10,I219),1)*IF(Upgrades!$T$11="Solar Wind",POWER(Upgrades!$U$11,J219),1)*IF(Upgrades!$T$12="Solar Wind",POWER(Upgrades!$U$12,K219),1))*POWER(Upgrades!$P$6,E219)*POWER(Upgrades!$P$7,F219)*POWER(Upgrades!$P$8,G219)*POWER(Upgrades!$P$9,H219)*POWER(Upgrades!$P$10,I219)*POWER(Upgrades!$P$11,J219)*POWER(Upgrades!$P$12,K219)*60</f>
        <v>72</v>
      </c>
      <c r="AB219" s="27" t="n">
        <f aca="false">(IF(F219=0,0,(Upgrades!$G$7+F219*Upgrades!$H$7)*POWER(Upgrades!$I$7,F219)))*(IF(Upgrades!$T$6="Asteroid Belt",POWER(Upgrades!$U$6,E219),1)*IF(Upgrades!$T$8="Asteroid Belt",POWER(Upgrades!$U$8,G219),1)*IF(Upgrades!$T$9="Asteroid Belt",POWER(Upgrades!$U$9,H219),1)*IF(Upgrades!$T$10="Asteroid Belt",POWER(Upgrades!$U$10,I219),1)*IF(Upgrades!$T$11="Asteroid Belt",POWER(Upgrades!$U$11,J219),1)*IF(Upgrades!$T$12="Asteroid Belt",POWER(Upgrades!$U$12,K219),1))*POWER(Upgrades!$P$6,E219)*POWER(Upgrades!$P$7,F219)*POWER(Upgrades!$P$8,G219)*POWER(Upgrades!$P$9,H219)*POWER(Upgrades!$P$10,I219)*POWER(Upgrades!$P$11,J219)*POWER(Upgrades!$P$12,K219)*60</f>
        <v>150</v>
      </c>
      <c r="AC219" s="27" t="n">
        <f aca="false">(IF(G219=0,0,(Upgrades!$J$8+G219*Upgrades!$K$8)*POWER(Upgrades!$L$8,G219)))*(IF(Upgrades!$T$6="Stellar Coupling",POWER(Upgrades!$U$6,E219),1)*IF(Upgrades!$T$7="Stellar Coupling",POWER(Upgrades!$U$7,F219),1)*IF(Upgrades!$T$9="Stellar Coupling",POWER(Upgrades!$U$9,H219),1)*IF(Upgrades!$T$10="Stellar Coupling",POWER(Upgrades!$U$10,I219),1)*IF(Upgrades!$T$11="Stellar Coupling",POWER(Upgrades!$U$11,J219),1)*IF(Upgrades!$T$12="Stellar Coupling",POWER(Upgrades!$U$12,K219),1))*POWER(Upgrades!$Q$6,E219)*POWER(Upgrades!$Q$7,F219)*POWER(Upgrades!$Q$8,G219)*POWER(Upgrades!$Q$9,H219)*POWER(Upgrades!$Q$10,I219)*POWER(Upgrades!$Q$11,J219)*POWER(Upgrades!$Q$12,K219)*Parameters!$B$10*Parameters!$B$11</f>
        <v>441</v>
      </c>
      <c r="AD219" s="27" t="n">
        <f aca="false">(IF(H219=0,0,(Upgrades!$G$9+H219*Upgrades!$H$9)*POWER(Upgrades!$I$9,H219)))*(IF(Upgrades!$T$6="Magnetosphere",POWER(Upgrades!$U$6,E219),1)*IF(Upgrades!$T$7="Magnetosphere",POWER(Upgrades!$U$7,F219),1)*IF(Upgrades!$T$8="Magnetosphere",POWER(Upgrades!$U$8,G219),1)*IF(Upgrades!$T$10="Magnetosphere",POWER(Upgrades!$U$10,I219),1)*IF(Upgrades!$T$11="Magnetosphere",POWER(Upgrades!$U$11,J219),1)*IF(Upgrades!$T$12="Magnetosphere",POWER(Upgrades!$U$12,K219),1))*POWER(Upgrades!$P$6,E219)*POWER(Upgrades!$P$7,F219)*POWER(Upgrades!$P$8,G219)*POWER(Upgrades!$P$9,H219)*POWER(Upgrades!$P$10,I219)*POWER(Upgrades!$P$11,J219)*POWER(Upgrades!$P$12,K219)*60</f>
        <v>375</v>
      </c>
      <c r="AE219" s="27" t="n">
        <f aca="false">(IF(K219=0,0,(Upgrades!$G$12+K219*Upgrades!$H$12)*POWER(Upgrades!$I$12,K219)))*(IF(Upgrades!$T$6="First Photons",POWER(Upgrades!$U$6,E219),1)*IF(Upgrades!$T$7="First Photons",POWER(Upgrades!$U$7,F219),1)*IF(Upgrades!$T$8="First Photons",POWER(Upgrades!$U$8,G219),1)*IF(Upgrades!$T$9="First Photons",POWER(Upgrades!$U$9,H219),1)*IF(Upgrades!$T$10="First Photons",POWER(Upgrades!$U$10,I219),1)*IF(Upgrades!$T$11="First Photons",POWER(Upgrades!$U$11,J219),1))*POWER(Upgrades!$P$6,E219)*POWER(Upgrades!$P$7,F219)*POWER(Upgrades!$P$8,G219)*POWER(Upgrades!$P$9,H219)*POWER(Upgrades!$P$10,I219)*POWER(Upgrades!$P$11,J219)*POWER(Upgrades!$P$12,K219)*60</f>
        <v>75</v>
      </c>
      <c r="AF219" s="27" t="n">
        <f aca="false">Parameters!$B$9*POWER(Upgrades!$Q$6,E219)*POWER(Upgrades!$Q$7,F219)*POWER(Upgrades!$Q$8,G219)*POWER(Upgrades!$Q$9,H219)*POWER(Upgrades!$Q$10,I219)*POWER(Upgrades!$Q$11,J219)*POWER(Upgrades!$Q$12,K219)*(Parameters!$B$10*Parameters!$B$11+O219*60)</f>
        <v>120</v>
      </c>
      <c r="AG219" s="21" t="n">
        <f aca="false">IF(E219&gt;=Upgrades!$E$6,"",Upgrades!$C$6*POWER(Upgrades!$D$6,E219))</f>
        <v>37.4517507383159</v>
      </c>
      <c r="AH219" s="21" t="n">
        <f aca="false">IF(F219&gt;=Upgrades!$E$7,"",Upgrades!$C$7*POWER(Upgrades!$D$7,F219))</f>
        <v>80.9111547141581</v>
      </c>
      <c r="AI219" s="21" t="n">
        <f aca="false">IF(G219&gt;=Upgrades!$E$8,"",Upgrades!$C$8*POWER(Upgrades!$D$8,G219))</f>
        <v>231.9097088</v>
      </c>
      <c r="AJ219" s="21" t="str">
        <f aca="false">IF(H219&gt;=Upgrades!$E$9,"",Upgrades!$C$9*POWER(Upgrades!$D$9,H219))</f>
        <v/>
      </c>
      <c r="AK219" s="21" t="str">
        <f aca="false">IF(I219&gt;=Upgrades!$E$10,"",Upgrades!$C$10*POWER(Upgrades!$D$10,I219))</f>
        <v/>
      </c>
      <c r="AL219" s="21" t="str">
        <f aca="false">IF(J219&gt;=Upgrades!$E$11,"",Upgrades!$C$11*POWER(Upgrades!$D$11,J219))</f>
        <v/>
      </c>
      <c r="AM219" s="21" t="str">
        <f aca="false">IF(K219&gt;=Upgrades!$E$12,"",Upgrades!$C$12*POWER(Upgrades!$D$12,K219))</f>
        <v/>
      </c>
      <c r="AN219" s="26" t="str">
        <f aca="false">IF(AND(D219&gt;=Parameters!$B$18,(H219&gt;=Upgrades!$E$9)*(K219&gt;=Upgrades!$E$12)=1,L219=0),1,"")</f>
        <v/>
      </c>
      <c r="AO219" s="26" t="str">
        <f aca="false">IF(AND(D219&gt;=Parameters!$B$18,L219=0),1,"")</f>
        <v/>
      </c>
      <c r="AP219" s="21" t="n">
        <f aca="false">MIN(IF(ISNUMBER(AK219),AK219,9000000000000000),IF(ISNUMBER(AL219),AL219,9000000000000000),IF(ISNUMBER(AM219),AM219,9000000000000000))</f>
        <v>9000000000000000</v>
      </c>
      <c r="AQ219" s="21" t="n">
        <f aca="false">MIN(IF(ISNUMBER(AG219),AG219,9000000000000000),IF(ISNUMBER(AH219),AH219,9000000000000000),IF(ISNUMBER(AI219),AI219,9000000000000000),IF(ISNUMBER(AJ219),AJ219,9000000000000000))</f>
        <v>37.4517507383159</v>
      </c>
      <c r="AR219" s="32" t="b">
        <f aca="false">IF(AW219&gt;Parameters!$B$21*(MAX(IF(AND(NOT(AND(AO219=1,AN219&lt;&gt;1)),ISNUMBER(AG219),AG219&lt;=T219),AS219,0),IF(AND(NOT(AND(AO219=1,AN219&lt;&gt;1)),ISNUMBER(AH219),AH219&lt;=T219),AT219,0),IF(AND(NOT(AND(AO219=1,AN219&lt;&gt;1)),ISNUMBER(AI219),AI219&lt;=T219),AU219,0),IF(AND(ISNUMBER(AJ219),AJ219&lt;=T219),AV219,0))),TRUE(),FALSE())</f>
        <v>1</v>
      </c>
      <c r="AS219" s="33" t="n">
        <f aca="false">IFERROR(Upgrades!$H$6*(POWER(Upgrades!$P$6,E219)*POWER(Upgrades!$P$7,F219)*POWER(Upgrades!$P$8,G219)*POWER(Upgrades!$P$9,H219)*POWER(Upgrades!$P$10,I219)*POWER(Upgrades!$P$11,J219)*POWER(Upgrades!$P$12,K219))*(IF(Upgrades!$T$7="Solar Wind",POWER(Upgrades!$U$7,F219),1)*IF(Upgrades!$T$8="Solar Wind",POWER(Upgrades!$U$8,G219),1)*IF(Upgrades!$T$9="Solar Wind",POWER(Upgrades!$U$9,H219),1)*IF(Upgrades!$T$10="Solar Wind",POWER(Upgrades!$U$10,I219),1)*IF(Upgrades!$T$11="Solar Wind",POWER(Upgrades!$U$11,J219),1)*IF(Upgrades!$T$12="Solar Wind",POWER(Upgrades!$U$12,K219),1))/AG219,0)</f>
        <v>0.0026701021455238</v>
      </c>
      <c r="AT219" s="33" t="n">
        <f aca="false">IFERROR(Upgrades!$H$7*(POWER(Upgrades!$P$6,E219)*POWER(Upgrades!$P$7,F219)*POWER(Upgrades!$P$8,G219)*POWER(Upgrades!$P$9,H219)*POWER(Upgrades!$P$10,I219)*POWER(Upgrades!$P$11,J219)*POWER(Upgrades!$P$12,K219))*(IF(Upgrades!$T$6="Asteroid Belt",POWER(Upgrades!$U$6,E219),1)*IF(Upgrades!$T$8="Asteroid Belt",POWER(Upgrades!$U$8,G219),1)*IF(Upgrades!$T$9="Asteroid Belt",POWER(Upgrades!$U$9,H219),1)*IF(Upgrades!$T$10="Asteroid Belt",POWER(Upgrades!$U$10,I219),1)*IF(Upgrades!$T$11="Asteroid Belt",POWER(Upgrades!$U$11,J219),1)*IF(Upgrades!$T$12="Asteroid Belt",POWER(Upgrades!$U$12,K219),1))/AH219,0)</f>
        <v>0.00308980882652332</v>
      </c>
      <c r="AU219" s="33" t="n">
        <f aca="false">IFERROR(Upgrades!$K$8*(POWER(Upgrades!$Q$6,E219)*POWER(Upgrades!$Q$7,F219)*POWER(Upgrades!$Q$8,G219)*POWER(Upgrades!$Q$9,H219)*POWER(Upgrades!$Q$10,I219)*POWER(Upgrades!$Q$11,J219)*POWER(Upgrades!$Q$12,K219))*(IF(Upgrades!$T$6="Stellar Coupling",POWER(Upgrades!$U$6,E219),1)*IF(Upgrades!$T$7="Stellar Coupling",POWER(Upgrades!$U$7,F219),1)*IF(Upgrades!$T$9="Stellar Coupling",POWER(Upgrades!$U$9,H219),1)*IF(Upgrades!$T$10="Stellar Coupling",POWER(Upgrades!$U$10,I219),1)*IF(Upgrades!$T$11="Stellar Coupling",POWER(Upgrades!$U$11,J219),1)*IF(Upgrades!$T$12="Stellar Coupling",POWER(Upgrades!$U$12,K219),1))*Parameters!$B$10*Parameters!$B$11/60/AI219,0)</f>
        <v>0.00452762415783776</v>
      </c>
      <c r="AV219" s="33" t="n">
        <f aca="false">IFERROR(Upgrades!$H$9*(POWER(Upgrades!$P$6,E219)*POWER(Upgrades!$P$7,F219)*POWER(Upgrades!$P$8,G219)*POWER(Upgrades!$P$9,H219)*POWER(Upgrades!$P$10,I219)*POWER(Upgrades!$P$11,J219)*POWER(Upgrades!$P$12,K219))*(IF(Upgrades!$T$6="Magnetosphere",POWER(Upgrades!$U$6,E219),1)*IF(Upgrades!$T$7="Magnetosphere",POWER(Upgrades!$U$7,F219),1)*IF(Upgrades!$T$8="Magnetosphere",POWER(Upgrades!$U$8,G219),1)*IF(Upgrades!$T$10="Magnetosphere",POWER(Upgrades!$U$10,I219),1)*IF(Upgrades!$T$11="Magnetosphere",POWER(Upgrades!$U$11,J219),1)*IF(Upgrades!$T$12="Magnetosphere",POWER(Upgrades!$U$12,K219),1))/AJ219,0)</f>
        <v>0</v>
      </c>
      <c r="AW219" s="33" t="n">
        <f aca="false">MAX(IF(I219&gt;0,0,IFERROR(0.25*N219/Upgrades!$C$10,0)),IF(J219&gt;0,0,IFERROR(0.5*((IF(G219=0,0,(Upgrades!$J$8+G219*Upgrades!$K$8)*POWER(Upgrades!$L$8,G219)))*(IF(Upgrades!$T$6="Stellar Coupling",POWER(Upgrades!$U$6,E219),1)*IF(Upgrades!$T$7="Stellar Coupling",POWER(Upgrades!$U$7,F219),1)*IF(Upgrades!$T$9="Stellar Coupling",POWER(Upgrades!$U$9,H219),1)*IF(Upgrades!$T$10="Stellar Coupling",POWER(Upgrades!$U$10,I219),1)*IF(Upgrades!$T$11="Stellar Coupling",POWER(Upgrades!$U$11,J219),1)*IF(Upgrades!$T$12="Stellar Coupling",POWER(Upgrades!$U$12,K219),1))*(POWER(Upgrades!$Q$6,E219)*POWER(Upgrades!$Q$7,F219)*POWER(Upgrades!$Q$8,G219)*POWER(Upgrades!$Q$9,H219)*POWER(Upgrades!$Q$10,I219)*POWER(Upgrades!$Q$11,J219)*POWER(Upgrades!$Q$12,K219))*Parameters!$B$10*Parameters!$B$11/60)/Upgrades!$C$11,0)),IF(K219&gt;0,0,IFERROR((1*(POWER(Upgrades!$P$6,E219)*POWER(Upgrades!$P$7,F219)*POWER(Upgrades!$P$8,G219)*POWER(Upgrades!$P$9,H219)*POWER(Upgrades!$P$10,I219)*POWER(Upgrades!$P$11,J219)*POWER(Upgrades!$P$12,K219))+0.2*M219*Parameters!$B$10*Parameters!$B$11/60)/Upgrades!$C$12,0)),IF(AND(ISNUMBER(AG219),AG219&gt;T219),AS219,0),IF(AND(ISNUMBER(AH219),AH219&gt;T219),AT219,0),IF(AND(ISNUMBER(AI219),AI219&gt;T219),AU219,0),IF(AND(ISNUMBER(AJ219),AJ219&gt;T219),AV219,0))</f>
        <v>0.00452762415783776</v>
      </c>
      <c r="AX219" s="29" t="str">
        <f aca="false">IF(AN219=1,"transition",IF(MIN(IF(AND(I219=0,ISNUMBER(AK219),AK219&lt;=T219),AK219,9000000000000000),IF(AND(J219=0,ISNUMBER(AL219),AL219&lt;=T219),AL219,9000000000000000),IF(AND(K219=0,ISNUMBER(AM219),AM219&lt;=T219),AM219,9000000000000000))&lt;9000000000000000,IF(AND(AND(I219=0,ISNUMBER(AK219),AK219&lt;=T219),AK219=MIN(IF(AND(I219=0,ISNUMBER(AK219),AK219&lt;=T219),AK219,9000000000000000),IF(AND(J219=0,ISNUMBER(AL219),AL219&lt;=T219),AL219,9000000000000000),IF(AND(K219=0,ISNUMBER(AM219),AM219&lt;=T219),AM219,9000000000000000))),"OR",IF(AND(AND(J219=0,ISNUMBER(AL219),AL219&lt;=T219),AL219=MIN(IF(AND(I219=0,ISNUMBER(AK219),AK219&lt;=T219),AK219,9000000000000000),IF(AND(J219=0,ISNUMBER(AL219),AL219&lt;=T219),AL219,9000000000000000),IF(AND(K219=0,ISNUMBER(AM219),AM219&lt;=T219),AM219,9000000000000000))),"HP","FP")),IF(AR219=TRUE(),"",IF(MAX(IF(AND(NOT(AND(AO219=1,AN219&lt;&gt;1)),ISNUMBER(AG219),AG219&lt;=T219),AS219,0),IF(AND(NOT(AND(AO219=1,AN219&lt;&gt;1)),ISNUMBER(AH219),AH219&lt;=T219),AT219,0),IF(AND(NOT(AND(AO219=1,AN219&lt;&gt;1)),ISNUMBER(AI219),AI219&lt;=T219),AU219,0),IF(AND(ISNUMBER(AJ219),AJ219&lt;=T219),AV219,0))&lt;=0,"",IF(AND(IF(AND(NOT(AND(AO219=1,AN219&lt;&gt;1)),ISNUMBER(AG219),AG219&lt;=T219),AS219,0)&gt;0,IF(AND(NOT(AND(AO219=1,AN219&lt;&gt;1)),ISNUMBER(AG219),AG219&lt;=T219),AS219,0)=MAX(IF(AND(NOT(AND(AO219=1,AN219&lt;&gt;1)),ISNUMBER(AG219),AG219&lt;=T219),AS219,0),IF(AND(NOT(AND(AO219=1,AN219&lt;&gt;1)),ISNUMBER(AH219),AH219&lt;=T219),AT219,0),IF(AND(NOT(AND(AO219=1,AN219&lt;&gt;1)),ISNUMBER(AI219),AI219&lt;=T219),AU219,0),IF(AND(ISNUMBER(AJ219),AJ219&lt;=T219),AV219,0))),"SW",IF(AND(IF(AND(NOT(AND(AO219=1,AN219&lt;&gt;1)),ISNUMBER(AH219),AH219&lt;=T219),AT219,0)&gt;0,IF(AND(NOT(AND(AO219=1,AN219&lt;&gt;1)),ISNUMBER(AH219),AH219&lt;=T219),AT219,0)=MAX(IF(AND(NOT(AND(AO219=1,AN219&lt;&gt;1)),ISNUMBER(AG219),AG219&lt;=T219),AS219,0),IF(AND(NOT(AND(AO219=1,AN219&lt;&gt;1)),ISNUMBER(AH219),AH219&lt;=T219),AT219,0),IF(AND(NOT(AND(AO219=1,AN219&lt;&gt;1)),ISNUMBER(AI219),AI219&lt;=T219),AU219,0),IF(AND(ISNUMBER(AJ219),AJ219&lt;=T219),AV219,0))),"AB",IF(AND(IF(AND(NOT(AND(AO219=1,AN219&lt;&gt;1)),ISNUMBER(AI219),AI219&lt;=T219),AU219,0)&gt;0,IF(AND(NOT(AND(AO219=1,AN219&lt;&gt;1)),ISNUMBER(AI219),AI219&lt;=T219),AU219,0)=MAX(IF(AND(NOT(AND(AO219=1,AN219&lt;&gt;1)),ISNUMBER(AG219),AG219&lt;=T219),AS219,0),IF(AND(NOT(AND(AO219=1,AN219&lt;&gt;1)),ISNUMBER(AH219),AH219&lt;=T219),AT219,0),IF(AND(NOT(AND(AO219=1,AN219&lt;&gt;1)),ISNUMBER(AI219),AI219&lt;=T219),AU219,0),IF(AND(ISNUMBER(AJ219),AJ219&lt;=T219),AV219,0))),"SC","Mag")))))))</f>
        <v/>
      </c>
    </row>
    <row r="220" customFormat="false" ht="15" hidden="false" customHeight="false" outlineLevel="0" collapsed="false">
      <c r="A220" s="26" t="n">
        <v>215</v>
      </c>
      <c r="B220" s="27" t="n">
        <f aca="false">A220*10/60</f>
        <v>35.8333333333333</v>
      </c>
      <c r="C220" s="21" t="n">
        <f aca="false">X219</f>
        <v>18.6730249835055</v>
      </c>
      <c r="D220" s="27" t="n">
        <f aca="false">D219+W219</f>
        <v>0</v>
      </c>
      <c r="E220" s="26" t="n">
        <f aca="false">E219+IF(U219="SW",1,0)</f>
        <v>12</v>
      </c>
      <c r="F220" s="26" t="n">
        <f aca="false">F219+IF(U219="AB",1,0)</f>
        <v>10</v>
      </c>
      <c r="G220" s="26" t="n">
        <f aca="false">G219+IF(U219="SC",1,0)</f>
        <v>7</v>
      </c>
      <c r="H220" s="26" t="n">
        <f aca="false">H219+IF(U219="Mag",1,0)</f>
        <v>5</v>
      </c>
      <c r="I220" s="26" t="n">
        <f aca="false">MAX(I219,IF(U219="OR",1,0))</f>
        <v>1</v>
      </c>
      <c r="J220" s="26" t="n">
        <f aca="false">MAX(J219,IF(U219="HP",1,0))</f>
        <v>1</v>
      </c>
      <c r="K220" s="26" t="n">
        <f aca="false">MAX(K219,IF(U219="FP",1,0))</f>
        <v>1</v>
      </c>
      <c r="L220" s="26" t="n">
        <f aca="false">MAX(L219,IF(U219="transition",1,0))</f>
        <v>1</v>
      </c>
      <c r="M220" s="28" t="n">
        <f aca="false">(Parameters!$B$9+(IF(E220=0,0,(Upgrades!$J$6+E220*Upgrades!$K$6)*POWER(Upgrades!$L$6,E220)))*(IF(Upgrades!$T$7="Solar Wind",POWER(Upgrades!$U$7,F220),1)*IF(Upgrades!$T$8="Solar Wind",POWER(Upgrades!$U$8,G220),1)*IF(Upgrades!$T$9="Solar Wind",POWER(Upgrades!$U$9,H220),1)*IF(Upgrades!$T$10="Solar Wind",POWER(Upgrades!$U$10,I220),1)*IF(Upgrades!$T$11="Solar Wind",POWER(Upgrades!$U$11,J220),1)*IF(Upgrades!$T$12="Solar Wind",POWER(Upgrades!$U$12,K220),1))+(IF(F220=0,0,(Upgrades!$J$7+F220*Upgrades!$K$7)*POWER(Upgrades!$L$7,F220)))*(IF(Upgrades!$T$6="Asteroid Belt",POWER(Upgrades!$U$6,E220),1)*IF(Upgrades!$T$8="Asteroid Belt",POWER(Upgrades!$U$8,G220),1)*IF(Upgrades!$T$9="Asteroid Belt",POWER(Upgrades!$U$9,H220),1)*IF(Upgrades!$T$10="Asteroid Belt",POWER(Upgrades!$U$10,I220),1)*IF(Upgrades!$T$11="Asteroid Belt",POWER(Upgrades!$U$11,J220),1)*IF(Upgrades!$T$12="Asteroid Belt",POWER(Upgrades!$U$12,K220),1))+(IF(G220=0,0,(Upgrades!$J$8+G220*Upgrades!$K$8)*POWER(Upgrades!$L$8,G220)))*(IF(Upgrades!$T$6="Stellar Coupling",POWER(Upgrades!$U$6,E220),1)*IF(Upgrades!$T$7="Stellar Coupling",POWER(Upgrades!$U$7,F220),1)*IF(Upgrades!$T$9="Stellar Coupling",POWER(Upgrades!$U$9,H220),1)*IF(Upgrades!$T$10="Stellar Coupling",POWER(Upgrades!$U$10,I220),1)*IF(Upgrades!$T$11="Stellar Coupling",POWER(Upgrades!$U$11,J220),1)*IF(Upgrades!$T$12="Stellar Coupling",POWER(Upgrades!$U$12,K220),1))+(IF(H220=0,0,(Upgrades!$J$9+H220*Upgrades!$K$9)*POWER(Upgrades!$L$9,H220)))*(IF(Upgrades!$T$6="Magnetosphere",POWER(Upgrades!$U$6,E220),1)*IF(Upgrades!$T$7="Magnetosphere",POWER(Upgrades!$U$7,F220),1)*IF(Upgrades!$T$8="Magnetosphere",POWER(Upgrades!$U$8,G220),1)*IF(Upgrades!$T$10="Magnetosphere",POWER(Upgrades!$U$10,I220),1)*IF(Upgrades!$T$11="Magnetosphere",POWER(Upgrades!$U$11,J220),1)*IF(Upgrades!$T$12="Magnetosphere",POWER(Upgrades!$U$12,K220),1))+(IF(I220=0,0,(Upgrades!$J$10+I220*Upgrades!$K$10)*POWER(Upgrades!$L$10,I220)))*(IF(Upgrades!$T$6="Orbital Resonance",POWER(Upgrades!$U$6,E220),1)*IF(Upgrades!$T$7="Orbital Resonance",POWER(Upgrades!$U$7,F220),1)*IF(Upgrades!$T$8="Orbital Resonance",POWER(Upgrades!$U$8,G220),1)*IF(Upgrades!$T$9="Orbital Resonance",POWER(Upgrades!$U$9,H220),1)*IF(Upgrades!$T$11="Orbital Resonance",POWER(Upgrades!$U$11,J220),1)*IF(Upgrades!$T$12="Orbital Resonance",POWER(Upgrades!$U$12,K220),1))+(IF(J220=0,0,(Upgrades!$J$11+J220*Upgrades!$K$11)*POWER(Upgrades!$L$11,J220)))*(IF(Upgrades!$T$6="Heliopause",POWER(Upgrades!$U$6,E220),1)*IF(Upgrades!$T$7="Heliopause",POWER(Upgrades!$U$7,F220),1)*IF(Upgrades!$T$8="Heliopause",POWER(Upgrades!$U$8,G220),1)*IF(Upgrades!$T$9="Heliopause",POWER(Upgrades!$U$9,H220),1)*IF(Upgrades!$T$10="Heliopause",POWER(Upgrades!$U$10,I220),1)*IF(Upgrades!$T$12="Heliopause",POWER(Upgrades!$U$12,K220),1))+(IF(K220=0,0,(Upgrades!$J$12+K220*Upgrades!$K$12)*POWER(Upgrades!$L$12,K220)))*(IF(Upgrades!$T$6="First Photons",POWER(Upgrades!$U$6,E220),1)*IF(Upgrades!$T$7="First Photons",POWER(Upgrades!$U$7,F220),1)*IF(Upgrades!$T$8="First Photons",POWER(Upgrades!$U$8,G220),1)*IF(Upgrades!$T$9="First Photons",POWER(Upgrades!$U$9,H220),1)*IF(Upgrades!$T$10="First Photons",POWER(Upgrades!$U$10,I220),1)*IF(Upgrades!$T$11="First Photons",POWER(Upgrades!$U$11,J220),1)))*POWER(Upgrades!$Q$6,E220)*POWER(Upgrades!$Q$7,F220)*POWER(Upgrades!$Q$8,G220)*POWER(Upgrades!$Q$9,H220)*POWER(Upgrades!$Q$10,I220)*POWER(Upgrades!$Q$11,J220)*POWER(Upgrades!$Q$12,K220)</f>
        <v>5.61</v>
      </c>
      <c r="N220" s="28" t="n">
        <f aca="false">((IF(E220=0,0,(Upgrades!$G$6+E220*Upgrades!$H$6)*POWER(Upgrades!$I$6,E220)))*(IF(Upgrades!$T$7="Solar Wind",POWER(Upgrades!$U$7,F220),1)*IF(Upgrades!$T$8="Solar Wind",POWER(Upgrades!$U$8,G220),1)*IF(Upgrades!$T$9="Solar Wind",POWER(Upgrades!$U$9,H220),1)*IF(Upgrades!$T$10="Solar Wind",POWER(Upgrades!$U$10,I220),1)*IF(Upgrades!$T$11="Solar Wind",POWER(Upgrades!$U$11,J220),1)*IF(Upgrades!$T$12="Solar Wind",POWER(Upgrades!$U$12,K220),1))+(IF(F220=0,0,(Upgrades!$G$7+F220*Upgrades!$H$7)*POWER(Upgrades!$I$7,F220)))*(IF(Upgrades!$T$6="Asteroid Belt",POWER(Upgrades!$U$6,E220),1)*IF(Upgrades!$T$8="Asteroid Belt",POWER(Upgrades!$U$8,G220),1)*IF(Upgrades!$T$9="Asteroid Belt",POWER(Upgrades!$U$9,H220),1)*IF(Upgrades!$T$10="Asteroid Belt",POWER(Upgrades!$U$10,I220),1)*IF(Upgrades!$T$11="Asteroid Belt",POWER(Upgrades!$U$11,J220),1)*IF(Upgrades!$T$12="Asteroid Belt",POWER(Upgrades!$U$12,K220),1))+(IF(G220=0,0,(Upgrades!$G$8+G220*Upgrades!$H$8)*POWER(Upgrades!$I$8,G220)))*(IF(Upgrades!$T$6="Stellar Coupling",POWER(Upgrades!$U$6,E220),1)*IF(Upgrades!$T$7="Stellar Coupling",POWER(Upgrades!$U$7,F220),1)*IF(Upgrades!$T$9="Stellar Coupling",POWER(Upgrades!$U$9,H220),1)*IF(Upgrades!$T$10="Stellar Coupling",POWER(Upgrades!$U$10,I220),1)*IF(Upgrades!$T$11="Stellar Coupling",POWER(Upgrades!$U$11,J220),1)*IF(Upgrades!$T$12="Stellar Coupling",POWER(Upgrades!$U$12,K220),1))+(IF(H220=0,0,(Upgrades!$G$9+H220*Upgrades!$H$9)*POWER(Upgrades!$I$9,H220)))*(IF(Upgrades!$T$6="Magnetosphere",POWER(Upgrades!$U$6,E220),1)*IF(Upgrades!$T$7="Magnetosphere",POWER(Upgrades!$U$7,F220),1)*IF(Upgrades!$T$8="Magnetosphere",POWER(Upgrades!$U$8,G220),1)*IF(Upgrades!$T$10="Magnetosphere",POWER(Upgrades!$U$10,I220),1)*IF(Upgrades!$T$11="Magnetosphere",POWER(Upgrades!$U$11,J220),1)*IF(Upgrades!$T$12="Magnetosphere",POWER(Upgrades!$U$12,K220),1))+(IF(I220=0,0,(Upgrades!$G$10+I220*Upgrades!$H$10)*POWER(Upgrades!$I$10,I220)))*(IF(Upgrades!$T$6="Orbital Resonance",POWER(Upgrades!$U$6,E220),1)*IF(Upgrades!$T$7="Orbital Resonance",POWER(Upgrades!$U$7,F220),1)*IF(Upgrades!$T$8="Orbital Resonance",POWER(Upgrades!$U$8,G220),1)*IF(Upgrades!$T$9="Orbital Resonance",POWER(Upgrades!$U$9,H220),1)*IF(Upgrades!$T$11="Orbital Resonance",POWER(Upgrades!$U$11,J220),1)*IF(Upgrades!$T$12="Orbital Resonance",POWER(Upgrades!$U$12,K220),1))+(IF(J220=0,0,(Upgrades!$G$11+J220*Upgrades!$H$11)*POWER(Upgrades!$I$11,J220)))*(IF(Upgrades!$T$6="Heliopause",POWER(Upgrades!$U$6,E220),1)*IF(Upgrades!$T$7="Heliopause",POWER(Upgrades!$U$7,F220),1)*IF(Upgrades!$T$8="Heliopause",POWER(Upgrades!$U$8,G220),1)*IF(Upgrades!$T$9="Heliopause",POWER(Upgrades!$U$9,H220),1)*IF(Upgrades!$T$10="Heliopause",POWER(Upgrades!$U$10,I220),1)*IF(Upgrades!$T$12="Heliopause",POWER(Upgrades!$U$12,K220),1))+(IF(K220=0,0,(Upgrades!$G$12+K220*Upgrades!$H$12)*POWER(Upgrades!$I$12,K220)))*(IF(Upgrades!$T$6="First Photons",POWER(Upgrades!$U$6,E220),1)*IF(Upgrades!$T$7="First Photons",POWER(Upgrades!$U$7,F220),1)*IF(Upgrades!$T$8="First Photons",POWER(Upgrades!$U$8,G220),1)*IF(Upgrades!$T$9="First Photons",POWER(Upgrades!$U$9,H220),1)*IF(Upgrades!$T$10="First Photons",POWER(Upgrades!$U$10,I220),1)*IF(Upgrades!$T$11="First Photons",POWER(Upgrades!$U$11,J220),1)))*POWER(Upgrades!$P$6,E220)*POWER(Upgrades!$P$7,F220)*POWER(Upgrades!$P$8,G220)*POWER(Upgrades!$P$9,H220)*POWER(Upgrades!$P$10,I220)*POWER(Upgrades!$P$11,J220)*POWER(Upgrades!$P$12,K220)</f>
        <v>11.2</v>
      </c>
      <c r="O220" s="28" t="n">
        <f aca="false">((IF(E220=0,0,(Upgrades!$M$6+E220*Upgrades!$N$6)*POWER(Upgrades!$O$6,E220)))*(IF(Upgrades!$T$7="Solar Wind",POWER(Upgrades!$U$7,F220),1)*IF(Upgrades!$T$8="Solar Wind",POWER(Upgrades!$U$8,G220),1)*IF(Upgrades!$T$9="Solar Wind",POWER(Upgrades!$U$9,H220),1)*IF(Upgrades!$T$10="Solar Wind",POWER(Upgrades!$U$10,I220),1)*IF(Upgrades!$T$11="Solar Wind",POWER(Upgrades!$U$11,J220),1)*IF(Upgrades!$T$12="Solar Wind",POWER(Upgrades!$U$12,K220),1))+(IF(F220=0,0,(Upgrades!$M$7+F220*Upgrades!$N$7)*POWER(Upgrades!$O$7,F220)))*(IF(Upgrades!$T$6="Asteroid Belt",POWER(Upgrades!$U$6,E220),1)*IF(Upgrades!$T$8="Asteroid Belt",POWER(Upgrades!$U$8,G220),1)*IF(Upgrades!$T$9="Asteroid Belt",POWER(Upgrades!$U$9,H220),1)*IF(Upgrades!$T$10="Asteroid Belt",POWER(Upgrades!$U$10,I220),1)*IF(Upgrades!$T$11="Asteroid Belt",POWER(Upgrades!$U$11,J220),1)*IF(Upgrades!$T$12="Asteroid Belt",POWER(Upgrades!$U$12,K220),1))+(IF(G220=0,0,(Upgrades!$M$8+G220*Upgrades!$N$8)*POWER(Upgrades!$O$8,G220)))*(IF(Upgrades!$T$6="Stellar Coupling",POWER(Upgrades!$U$6,E220),1)*IF(Upgrades!$T$7="Stellar Coupling",POWER(Upgrades!$U$7,F220),1)*IF(Upgrades!$T$9="Stellar Coupling",POWER(Upgrades!$U$9,H220),1)*IF(Upgrades!$T$10="Stellar Coupling",POWER(Upgrades!$U$10,I220),1)*IF(Upgrades!$T$11="Stellar Coupling",POWER(Upgrades!$U$11,J220),1)*IF(Upgrades!$T$12="Stellar Coupling",POWER(Upgrades!$U$12,K220),1))+(IF(H220=0,0,(Upgrades!$M$9+H220*Upgrades!$N$9)*POWER(Upgrades!$O$9,H220)))*(IF(Upgrades!$T$6="Magnetosphere",POWER(Upgrades!$U$6,E220),1)*IF(Upgrades!$T$7="Magnetosphere",POWER(Upgrades!$U$7,F220),1)*IF(Upgrades!$T$8="Magnetosphere",POWER(Upgrades!$U$8,G220),1)*IF(Upgrades!$T$10="Magnetosphere",POWER(Upgrades!$U$10,I220),1)*IF(Upgrades!$T$11="Magnetosphere",POWER(Upgrades!$U$11,J220),1)*IF(Upgrades!$T$12="Magnetosphere",POWER(Upgrades!$U$12,K220),1))+(IF(I220=0,0,(Upgrades!$M$10+I220*Upgrades!$N$10)*POWER(Upgrades!$O$10,I220)))*(IF(Upgrades!$T$6="Orbital Resonance",POWER(Upgrades!$U$6,E220),1)*IF(Upgrades!$T$7="Orbital Resonance",POWER(Upgrades!$U$7,F220),1)*IF(Upgrades!$T$8="Orbital Resonance",POWER(Upgrades!$U$8,G220),1)*IF(Upgrades!$T$9="Orbital Resonance",POWER(Upgrades!$U$9,H220),1)*IF(Upgrades!$T$11="Orbital Resonance",POWER(Upgrades!$U$11,J220),1)*IF(Upgrades!$T$12="Orbital Resonance",POWER(Upgrades!$U$12,K220),1))+(IF(J220=0,0,(Upgrades!$M$11+J220*Upgrades!$N$11)*POWER(Upgrades!$O$11,J220)))*(IF(Upgrades!$T$6="Heliopause",POWER(Upgrades!$U$6,E220),1)*IF(Upgrades!$T$7="Heliopause",POWER(Upgrades!$U$7,F220),1)*IF(Upgrades!$T$8="Heliopause",POWER(Upgrades!$U$8,G220),1)*IF(Upgrades!$T$9="Heliopause",POWER(Upgrades!$U$9,H220),1)*IF(Upgrades!$T$10="Heliopause",POWER(Upgrades!$U$10,I220),1)*IF(Upgrades!$T$12="Heliopause",POWER(Upgrades!$U$12,K220),1))+(IF(K220=0,0,(Upgrades!$M$12+K220*Upgrades!$N$12)*POWER(Upgrades!$O$12,K220)))*(IF(Upgrades!$T$6="First Photons",POWER(Upgrades!$U$6,E220),1)*IF(Upgrades!$T$7="First Photons",POWER(Upgrades!$U$7,F220),1)*IF(Upgrades!$T$8="First Photons",POWER(Upgrades!$U$8,G220),1)*IF(Upgrades!$T$9="First Photons",POWER(Upgrades!$U$9,H220),1)*IF(Upgrades!$T$10="First Photons",POWER(Upgrades!$U$10,I220),1)*IF(Upgrades!$T$11="First Photons",POWER(Upgrades!$U$11,J220),1)))*POWER(Upgrades!$R$6,E220)*POWER(Upgrades!$R$7,F220)*POWER(Upgrades!$R$8,G220)*POWER(Upgrades!$R$9,H220)*POWER(Upgrades!$R$10,I220)*POWER(Upgrades!$R$11,J220)*POWER(Upgrades!$R$12,K220)</f>
        <v>0</v>
      </c>
      <c r="P220" s="27" t="n">
        <f aca="false">IF(L220=1,0,M220*Parameters!$B$10/60*Parameters!$B$11*10)</f>
        <v>0</v>
      </c>
      <c r="Q220" s="27" t="n">
        <f aca="false">IF(L220=1,0,O220*M220*10)</f>
        <v>0</v>
      </c>
      <c r="R220" s="27" t="n">
        <f aca="false">IF(L220=1,0,N220*10)</f>
        <v>0</v>
      </c>
      <c r="S220" s="27" t="n">
        <f aca="false">P220+Q220+R220</f>
        <v>0</v>
      </c>
      <c r="T220" s="21" t="n">
        <f aca="false">C220+S220</f>
        <v>18.6730249835055</v>
      </c>
      <c r="U220" s="34" t="str">
        <f aca="false">AX220</f>
        <v/>
      </c>
      <c r="V220" s="21" t="n">
        <f aca="false">IF(U220="",0,IF(U220="transition",0,IF(U220="SW",AG220,IF(U220="AB",AH220,IF(U220="SC",AI220,IF(U220="Mag",AJ220,IF(U220="OR",AK220,IF(U220="HP",AL220,IF(U220="FP",AM220,0)))))))))</f>
        <v>0</v>
      </c>
      <c r="W220" s="27" t="n">
        <f aca="false">IF(U220="OR",Upgrades!$F$10,IF(U220="HP",Upgrades!$F$11,IF(U220="transition",-Parameters!$B$18,0)))</f>
        <v>0</v>
      </c>
      <c r="X220" s="21" t="n">
        <f aca="false">T220-V220</f>
        <v>18.6730249835055</v>
      </c>
      <c r="Y220" s="30" t="n">
        <f aca="false">M220*Parameters!$B$10/60*Parameters!$B$11+O220*M220+N220</f>
        <v>20.55</v>
      </c>
      <c r="Z220" s="35" t="str">
        <f aca="false">IF(U220="transition","→ Tier 2 (Stellar Neighborhood)",IF(U220="FP","First Photons — light begins, system quickens",IF(U220="HP","Heliopause acquired",IF(U220="OR","Orbital Resonance — passive multiplier active",IF(AND(AO220=1,L220=0,AN220&lt;&gt;1),"Cohesion ready (waiting on completionist upgrades)","")))))</f>
        <v/>
      </c>
      <c r="AA220" s="27" t="n">
        <f aca="false">(IF(E220=0,0,(Upgrades!$G$6+E220*Upgrades!$H$6)*POWER(Upgrades!$I$6,E220)))*(IF(Upgrades!$T$7="Solar Wind",POWER(Upgrades!$U$7,F220),1)*IF(Upgrades!$T$8="Solar Wind",POWER(Upgrades!$U$8,G220),1)*IF(Upgrades!$T$9="Solar Wind",POWER(Upgrades!$U$9,H220),1)*IF(Upgrades!$T$10="Solar Wind",POWER(Upgrades!$U$10,I220),1)*IF(Upgrades!$T$11="Solar Wind",POWER(Upgrades!$U$11,J220),1)*IF(Upgrades!$T$12="Solar Wind",POWER(Upgrades!$U$12,K220),1))*POWER(Upgrades!$P$6,E220)*POWER(Upgrades!$P$7,F220)*POWER(Upgrades!$P$8,G220)*POWER(Upgrades!$P$9,H220)*POWER(Upgrades!$P$10,I220)*POWER(Upgrades!$P$11,J220)*POWER(Upgrades!$P$12,K220)*60</f>
        <v>72</v>
      </c>
      <c r="AB220" s="27" t="n">
        <f aca="false">(IF(F220=0,0,(Upgrades!$G$7+F220*Upgrades!$H$7)*POWER(Upgrades!$I$7,F220)))*(IF(Upgrades!$T$6="Asteroid Belt",POWER(Upgrades!$U$6,E220),1)*IF(Upgrades!$T$8="Asteroid Belt",POWER(Upgrades!$U$8,G220),1)*IF(Upgrades!$T$9="Asteroid Belt",POWER(Upgrades!$U$9,H220),1)*IF(Upgrades!$T$10="Asteroid Belt",POWER(Upgrades!$U$10,I220),1)*IF(Upgrades!$T$11="Asteroid Belt",POWER(Upgrades!$U$11,J220),1)*IF(Upgrades!$T$12="Asteroid Belt",POWER(Upgrades!$U$12,K220),1))*POWER(Upgrades!$P$6,E220)*POWER(Upgrades!$P$7,F220)*POWER(Upgrades!$P$8,G220)*POWER(Upgrades!$P$9,H220)*POWER(Upgrades!$P$10,I220)*POWER(Upgrades!$P$11,J220)*POWER(Upgrades!$P$12,K220)*60</f>
        <v>150</v>
      </c>
      <c r="AC220" s="27" t="n">
        <f aca="false">(IF(G220=0,0,(Upgrades!$J$8+G220*Upgrades!$K$8)*POWER(Upgrades!$L$8,G220)))*(IF(Upgrades!$T$6="Stellar Coupling",POWER(Upgrades!$U$6,E220),1)*IF(Upgrades!$T$7="Stellar Coupling",POWER(Upgrades!$U$7,F220),1)*IF(Upgrades!$T$9="Stellar Coupling",POWER(Upgrades!$U$9,H220),1)*IF(Upgrades!$T$10="Stellar Coupling",POWER(Upgrades!$U$10,I220),1)*IF(Upgrades!$T$11="Stellar Coupling",POWER(Upgrades!$U$11,J220),1)*IF(Upgrades!$T$12="Stellar Coupling",POWER(Upgrades!$U$12,K220),1))*POWER(Upgrades!$Q$6,E220)*POWER(Upgrades!$Q$7,F220)*POWER(Upgrades!$Q$8,G220)*POWER(Upgrades!$Q$9,H220)*POWER(Upgrades!$Q$10,I220)*POWER(Upgrades!$Q$11,J220)*POWER(Upgrades!$Q$12,K220)*Parameters!$B$10*Parameters!$B$11</f>
        <v>441</v>
      </c>
      <c r="AD220" s="27" t="n">
        <f aca="false">(IF(H220=0,0,(Upgrades!$G$9+H220*Upgrades!$H$9)*POWER(Upgrades!$I$9,H220)))*(IF(Upgrades!$T$6="Magnetosphere",POWER(Upgrades!$U$6,E220),1)*IF(Upgrades!$T$7="Magnetosphere",POWER(Upgrades!$U$7,F220),1)*IF(Upgrades!$T$8="Magnetosphere",POWER(Upgrades!$U$8,G220),1)*IF(Upgrades!$T$10="Magnetosphere",POWER(Upgrades!$U$10,I220),1)*IF(Upgrades!$T$11="Magnetosphere",POWER(Upgrades!$U$11,J220),1)*IF(Upgrades!$T$12="Magnetosphere",POWER(Upgrades!$U$12,K220),1))*POWER(Upgrades!$P$6,E220)*POWER(Upgrades!$P$7,F220)*POWER(Upgrades!$P$8,G220)*POWER(Upgrades!$P$9,H220)*POWER(Upgrades!$P$10,I220)*POWER(Upgrades!$P$11,J220)*POWER(Upgrades!$P$12,K220)*60</f>
        <v>375</v>
      </c>
      <c r="AE220" s="27" t="n">
        <f aca="false">(IF(K220=0,0,(Upgrades!$G$12+K220*Upgrades!$H$12)*POWER(Upgrades!$I$12,K220)))*(IF(Upgrades!$T$6="First Photons",POWER(Upgrades!$U$6,E220),1)*IF(Upgrades!$T$7="First Photons",POWER(Upgrades!$U$7,F220),1)*IF(Upgrades!$T$8="First Photons",POWER(Upgrades!$U$8,G220),1)*IF(Upgrades!$T$9="First Photons",POWER(Upgrades!$U$9,H220),1)*IF(Upgrades!$T$10="First Photons",POWER(Upgrades!$U$10,I220),1)*IF(Upgrades!$T$11="First Photons",POWER(Upgrades!$U$11,J220),1))*POWER(Upgrades!$P$6,E220)*POWER(Upgrades!$P$7,F220)*POWER(Upgrades!$P$8,G220)*POWER(Upgrades!$P$9,H220)*POWER(Upgrades!$P$10,I220)*POWER(Upgrades!$P$11,J220)*POWER(Upgrades!$P$12,K220)*60</f>
        <v>75</v>
      </c>
      <c r="AF220" s="27" t="n">
        <f aca="false">Parameters!$B$9*POWER(Upgrades!$Q$6,E220)*POWER(Upgrades!$Q$7,F220)*POWER(Upgrades!$Q$8,G220)*POWER(Upgrades!$Q$9,H220)*POWER(Upgrades!$Q$10,I220)*POWER(Upgrades!$Q$11,J220)*POWER(Upgrades!$Q$12,K220)*(Parameters!$B$10*Parameters!$B$11+O220*60)</f>
        <v>120</v>
      </c>
      <c r="AG220" s="21" t="n">
        <f aca="false">IF(E220&gt;=Upgrades!$E$6,"",Upgrades!$C$6*POWER(Upgrades!$D$6,E220))</f>
        <v>37.4517507383159</v>
      </c>
      <c r="AH220" s="21" t="n">
        <f aca="false">IF(F220&gt;=Upgrades!$E$7,"",Upgrades!$C$7*POWER(Upgrades!$D$7,F220))</f>
        <v>80.9111547141581</v>
      </c>
      <c r="AI220" s="21" t="n">
        <f aca="false">IF(G220&gt;=Upgrades!$E$8,"",Upgrades!$C$8*POWER(Upgrades!$D$8,G220))</f>
        <v>231.9097088</v>
      </c>
      <c r="AJ220" s="21" t="str">
        <f aca="false">IF(H220&gt;=Upgrades!$E$9,"",Upgrades!$C$9*POWER(Upgrades!$D$9,H220))</f>
        <v/>
      </c>
      <c r="AK220" s="21" t="str">
        <f aca="false">IF(I220&gt;=Upgrades!$E$10,"",Upgrades!$C$10*POWER(Upgrades!$D$10,I220))</f>
        <v/>
      </c>
      <c r="AL220" s="21" t="str">
        <f aca="false">IF(J220&gt;=Upgrades!$E$11,"",Upgrades!$C$11*POWER(Upgrades!$D$11,J220))</f>
        <v/>
      </c>
      <c r="AM220" s="21" t="str">
        <f aca="false">IF(K220&gt;=Upgrades!$E$12,"",Upgrades!$C$12*POWER(Upgrades!$D$12,K220))</f>
        <v/>
      </c>
      <c r="AN220" s="26" t="str">
        <f aca="false">IF(AND(D220&gt;=Parameters!$B$18,(H220&gt;=Upgrades!$E$9)*(K220&gt;=Upgrades!$E$12)=1,L220=0),1,"")</f>
        <v/>
      </c>
      <c r="AO220" s="26" t="str">
        <f aca="false">IF(AND(D220&gt;=Parameters!$B$18,L220=0),1,"")</f>
        <v/>
      </c>
      <c r="AP220" s="21" t="n">
        <f aca="false">MIN(IF(ISNUMBER(AK220),AK220,9000000000000000),IF(ISNUMBER(AL220),AL220,9000000000000000),IF(ISNUMBER(AM220),AM220,9000000000000000))</f>
        <v>9000000000000000</v>
      </c>
      <c r="AQ220" s="21" t="n">
        <f aca="false">MIN(IF(ISNUMBER(AG220),AG220,9000000000000000),IF(ISNUMBER(AH220),AH220,9000000000000000),IF(ISNUMBER(AI220),AI220,9000000000000000),IF(ISNUMBER(AJ220),AJ220,9000000000000000))</f>
        <v>37.4517507383159</v>
      </c>
      <c r="AR220" s="32" t="b">
        <f aca="false">IF(AW220&gt;Parameters!$B$21*(MAX(IF(AND(NOT(AND(AO220=1,AN220&lt;&gt;1)),ISNUMBER(AG220),AG220&lt;=T220),AS220,0),IF(AND(NOT(AND(AO220=1,AN220&lt;&gt;1)),ISNUMBER(AH220),AH220&lt;=T220),AT220,0),IF(AND(NOT(AND(AO220=1,AN220&lt;&gt;1)),ISNUMBER(AI220),AI220&lt;=T220),AU220,0),IF(AND(ISNUMBER(AJ220),AJ220&lt;=T220),AV220,0))),TRUE(),FALSE())</f>
        <v>1</v>
      </c>
      <c r="AS220" s="33" t="n">
        <f aca="false">IFERROR(Upgrades!$H$6*(POWER(Upgrades!$P$6,E220)*POWER(Upgrades!$P$7,F220)*POWER(Upgrades!$P$8,G220)*POWER(Upgrades!$P$9,H220)*POWER(Upgrades!$P$10,I220)*POWER(Upgrades!$P$11,J220)*POWER(Upgrades!$P$12,K220))*(IF(Upgrades!$T$7="Solar Wind",POWER(Upgrades!$U$7,F220),1)*IF(Upgrades!$T$8="Solar Wind",POWER(Upgrades!$U$8,G220),1)*IF(Upgrades!$T$9="Solar Wind",POWER(Upgrades!$U$9,H220),1)*IF(Upgrades!$T$10="Solar Wind",POWER(Upgrades!$U$10,I220),1)*IF(Upgrades!$T$11="Solar Wind",POWER(Upgrades!$U$11,J220),1)*IF(Upgrades!$T$12="Solar Wind",POWER(Upgrades!$U$12,K220),1))/AG220,0)</f>
        <v>0.0026701021455238</v>
      </c>
      <c r="AT220" s="33" t="n">
        <f aca="false">IFERROR(Upgrades!$H$7*(POWER(Upgrades!$P$6,E220)*POWER(Upgrades!$P$7,F220)*POWER(Upgrades!$P$8,G220)*POWER(Upgrades!$P$9,H220)*POWER(Upgrades!$P$10,I220)*POWER(Upgrades!$P$11,J220)*POWER(Upgrades!$P$12,K220))*(IF(Upgrades!$T$6="Asteroid Belt",POWER(Upgrades!$U$6,E220),1)*IF(Upgrades!$T$8="Asteroid Belt",POWER(Upgrades!$U$8,G220),1)*IF(Upgrades!$T$9="Asteroid Belt",POWER(Upgrades!$U$9,H220),1)*IF(Upgrades!$T$10="Asteroid Belt",POWER(Upgrades!$U$10,I220),1)*IF(Upgrades!$T$11="Asteroid Belt",POWER(Upgrades!$U$11,J220),1)*IF(Upgrades!$T$12="Asteroid Belt",POWER(Upgrades!$U$12,K220),1))/AH220,0)</f>
        <v>0.00308980882652332</v>
      </c>
      <c r="AU220" s="33" t="n">
        <f aca="false">IFERROR(Upgrades!$K$8*(POWER(Upgrades!$Q$6,E220)*POWER(Upgrades!$Q$7,F220)*POWER(Upgrades!$Q$8,G220)*POWER(Upgrades!$Q$9,H220)*POWER(Upgrades!$Q$10,I220)*POWER(Upgrades!$Q$11,J220)*POWER(Upgrades!$Q$12,K220))*(IF(Upgrades!$T$6="Stellar Coupling",POWER(Upgrades!$U$6,E220),1)*IF(Upgrades!$T$7="Stellar Coupling",POWER(Upgrades!$U$7,F220),1)*IF(Upgrades!$T$9="Stellar Coupling",POWER(Upgrades!$U$9,H220),1)*IF(Upgrades!$T$10="Stellar Coupling",POWER(Upgrades!$U$10,I220),1)*IF(Upgrades!$T$11="Stellar Coupling",POWER(Upgrades!$U$11,J220),1)*IF(Upgrades!$T$12="Stellar Coupling",POWER(Upgrades!$U$12,K220),1))*Parameters!$B$10*Parameters!$B$11/60/AI220,0)</f>
        <v>0.00452762415783776</v>
      </c>
      <c r="AV220" s="33" t="n">
        <f aca="false">IFERROR(Upgrades!$H$9*(POWER(Upgrades!$P$6,E220)*POWER(Upgrades!$P$7,F220)*POWER(Upgrades!$P$8,G220)*POWER(Upgrades!$P$9,H220)*POWER(Upgrades!$P$10,I220)*POWER(Upgrades!$P$11,J220)*POWER(Upgrades!$P$12,K220))*(IF(Upgrades!$T$6="Magnetosphere",POWER(Upgrades!$U$6,E220),1)*IF(Upgrades!$T$7="Magnetosphere",POWER(Upgrades!$U$7,F220),1)*IF(Upgrades!$T$8="Magnetosphere",POWER(Upgrades!$U$8,G220),1)*IF(Upgrades!$T$10="Magnetosphere",POWER(Upgrades!$U$10,I220),1)*IF(Upgrades!$T$11="Magnetosphere",POWER(Upgrades!$U$11,J220),1)*IF(Upgrades!$T$12="Magnetosphere",POWER(Upgrades!$U$12,K220),1))/AJ220,0)</f>
        <v>0</v>
      </c>
      <c r="AW220" s="33" t="n">
        <f aca="false">MAX(IF(I220&gt;0,0,IFERROR(0.25*N220/Upgrades!$C$10,0)),IF(J220&gt;0,0,IFERROR(0.5*((IF(G220=0,0,(Upgrades!$J$8+G220*Upgrades!$K$8)*POWER(Upgrades!$L$8,G220)))*(IF(Upgrades!$T$6="Stellar Coupling",POWER(Upgrades!$U$6,E220),1)*IF(Upgrades!$T$7="Stellar Coupling",POWER(Upgrades!$U$7,F220),1)*IF(Upgrades!$T$9="Stellar Coupling",POWER(Upgrades!$U$9,H220),1)*IF(Upgrades!$T$10="Stellar Coupling",POWER(Upgrades!$U$10,I220),1)*IF(Upgrades!$T$11="Stellar Coupling",POWER(Upgrades!$U$11,J220),1)*IF(Upgrades!$T$12="Stellar Coupling",POWER(Upgrades!$U$12,K220),1))*(POWER(Upgrades!$Q$6,E220)*POWER(Upgrades!$Q$7,F220)*POWER(Upgrades!$Q$8,G220)*POWER(Upgrades!$Q$9,H220)*POWER(Upgrades!$Q$10,I220)*POWER(Upgrades!$Q$11,J220)*POWER(Upgrades!$Q$12,K220))*Parameters!$B$10*Parameters!$B$11/60)/Upgrades!$C$11,0)),IF(K220&gt;0,0,IFERROR((1*(POWER(Upgrades!$P$6,E220)*POWER(Upgrades!$P$7,F220)*POWER(Upgrades!$P$8,G220)*POWER(Upgrades!$P$9,H220)*POWER(Upgrades!$P$10,I220)*POWER(Upgrades!$P$11,J220)*POWER(Upgrades!$P$12,K220))+0.2*M220*Parameters!$B$10*Parameters!$B$11/60)/Upgrades!$C$12,0)),IF(AND(ISNUMBER(AG220),AG220&gt;T220),AS220,0),IF(AND(ISNUMBER(AH220),AH220&gt;T220),AT220,0),IF(AND(ISNUMBER(AI220),AI220&gt;T220),AU220,0),IF(AND(ISNUMBER(AJ220),AJ220&gt;T220),AV220,0))</f>
        <v>0.00452762415783776</v>
      </c>
      <c r="AX220" s="29" t="str">
        <f aca="false">IF(AN220=1,"transition",IF(MIN(IF(AND(I220=0,ISNUMBER(AK220),AK220&lt;=T220),AK220,9000000000000000),IF(AND(J220=0,ISNUMBER(AL220),AL220&lt;=T220),AL220,9000000000000000),IF(AND(K220=0,ISNUMBER(AM220),AM220&lt;=T220),AM220,9000000000000000))&lt;9000000000000000,IF(AND(AND(I220=0,ISNUMBER(AK220),AK220&lt;=T220),AK220=MIN(IF(AND(I220=0,ISNUMBER(AK220),AK220&lt;=T220),AK220,9000000000000000),IF(AND(J220=0,ISNUMBER(AL220),AL220&lt;=T220),AL220,9000000000000000),IF(AND(K220=0,ISNUMBER(AM220),AM220&lt;=T220),AM220,9000000000000000))),"OR",IF(AND(AND(J220=0,ISNUMBER(AL220),AL220&lt;=T220),AL220=MIN(IF(AND(I220=0,ISNUMBER(AK220),AK220&lt;=T220),AK220,9000000000000000),IF(AND(J220=0,ISNUMBER(AL220),AL220&lt;=T220),AL220,9000000000000000),IF(AND(K220=0,ISNUMBER(AM220),AM220&lt;=T220),AM220,9000000000000000))),"HP","FP")),IF(AR220=TRUE(),"",IF(MAX(IF(AND(NOT(AND(AO220=1,AN220&lt;&gt;1)),ISNUMBER(AG220),AG220&lt;=T220),AS220,0),IF(AND(NOT(AND(AO220=1,AN220&lt;&gt;1)),ISNUMBER(AH220),AH220&lt;=T220),AT220,0),IF(AND(NOT(AND(AO220=1,AN220&lt;&gt;1)),ISNUMBER(AI220),AI220&lt;=T220),AU220,0),IF(AND(ISNUMBER(AJ220),AJ220&lt;=T220),AV220,0))&lt;=0,"",IF(AND(IF(AND(NOT(AND(AO220=1,AN220&lt;&gt;1)),ISNUMBER(AG220),AG220&lt;=T220),AS220,0)&gt;0,IF(AND(NOT(AND(AO220=1,AN220&lt;&gt;1)),ISNUMBER(AG220),AG220&lt;=T220),AS220,0)=MAX(IF(AND(NOT(AND(AO220=1,AN220&lt;&gt;1)),ISNUMBER(AG220),AG220&lt;=T220),AS220,0),IF(AND(NOT(AND(AO220=1,AN220&lt;&gt;1)),ISNUMBER(AH220),AH220&lt;=T220),AT220,0),IF(AND(NOT(AND(AO220=1,AN220&lt;&gt;1)),ISNUMBER(AI220),AI220&lt;=T220),AU220,0),IF(AND(ISNUMBER(AJ220),AJ220&lt;=T220),AV220,0))),"SW",IF(AND(IF(AND(NOT(AND(AO220=1,AN220&lt;&gt;1)),ISNUMBER(AH220),AH220&lt;=T220),AT220,0)&gt;0,IF(AND(NOT(AND(AO220=1,AN220&lt;&gt;1)),ISNUMBER(AH220),AH220&lt;=T220),AT220,0)=MAX(IF(AND(NOT(AND(AO220=1,AN220&lt;&gt;1)),ISNUMBER(AG220),AG220&lt;=T220),AS220,0),IF(AND(NOT(AND(AO220=1,AN220&lt;&gt;1)),ISNUMBER(AH220),AH220&lt;=T220),AT220,0),IF(AND(NOT(AND(AO220=1,AN220&lt;&gt;1)),ISNUMBER(AI220),AI220&lt;=T220),AU220,0),IF(AND(ISNUMBER(AJ220),AJ220&lt;=T220),AV220,0))),"AB",IF(AND(IF(AND(NOT(AND(AO220=1,AN220&lt;&gt;1)),ISNUMBER(AI220),AI220&lt;=T220),AU220,0)&gt;0,IF(AND(NOT(AND(AO220=1,AN220&lt;&gt;1)),ISNUMBER(AI220),AI220&lt;=T220),AU220,0)=MAX(IF(AND(NOT(AND(AO220=1,AN220&lt;&gt;1)),ISNUMBER(AG220),AG220&lt;=T220),AS220,0),IF(AND(NOT(AND(AO220=1,AN220&lt;&gt;1)),ISNUMBER(AH220),AH220&lt;=T220),AT220,0),IF(AND(NOT(AND(AO220=1,AN220&lt;&gt;1)),ISNUMBER(AI220),AI220&lt;=T220),AU220,0),IF(AND(ISNUMBER(AJ220),AJ220&lt;=T220),AV220,0))),"SC","Mag")))))))</f>
        <v/>
      </c>
    </row>
    <row r="221" customFormat="false" ht="15" hidden="false" customHeight="false" outlineLevel="0" collapsed="false">
      <c r="A221" s="26" t="n">
        <v>216</v>
      </c>
      <c r="B221" s="27" t="n">
        <f aca="false">A221*10/60</f>
        <v>36</v>
      </c>
      <c r="C221" s="21" t="n">
        <f aca="false">X220</f>
        <v>18.6730249835055</v>
      </c>
      <c r="D221" s="27" t="n">
        <f aca="false">D220+W220</f>
        <v>0</v>
      </c>
      <c r="E221" s="26" t="n">
        <f aca="false">E220+IF(U220="SW",1,0)</f>
        <v>12</v>
      </c>
      <c r="F221" s="26" t="n">
        <f aca="false">F220+IF(U220="AB",1,0)</f>
        <v>10</v>
      </c>
      <c r="G221" s="26" t="n">
        <f aca="false">G220+IF(U220="SC",1,0)</f>
        <v>7</v>
      </c>
      <c r="H221" s="26" t="n">
        <f aca="false">H220+IF(U220="Mag",1,0)</f>
        <v>5</v>
      </c>
      <c r="I221" s="26" t="n">
        <f aca="false">MAX(I220,IF(U220="OR",1,0))</f>
        <v>1</v>
      </c>
      <c r="J221" s="26" t="n">
        <f aca="false">MAX(J220,IF(U220="HP",1,0))</f>
        <v>1</v>
      </c>
      <c r="K221" s="26" t="n">
        <f aca="false">MAX(K220,IF(U220="FP",1,0))</f>
        <v>1</v>
      </c>
      <c r="L221" s="26" t="n">
        <f aca="false">MAX(L220,IF(U220="transition",1,0))</f>
        <v>1</v>
      </c>
      <c r="M221" s="28" t="n">
        <f aca="false">(Parameters!$B$9+(IF(E221=0,0,(Upgrades!$J$6+E221*Upgrades!$K$6)*POWER(Upgrades!$L$6,E221)))*(IF(Upgrades!$T$7="Solar Wind",POWER(Upgrades!$U$7,F221),1)*IF(Upgrades!$T$8="Solar Wind",POWER(Upgrades!$U$8,G221),1)*IF(Upgrades!$T$9="Solar Wind",POWER(Upgrades!$U$9,H221),1)*IF(Upgrades!$T$10="Solar Wind",POWER(Upgrades!$U$10,I221),1)*IF(Upgrades!$T$11="Solar Wind",POWER(Upgrades!$U$11,J221),1)*IF(Upgrades!$T$12="Solar Wind",POWER(Upgrades!$U$12,K221),1))+(IF(F221=0,0,(Upgrades!$J$7+F221*Upgrades!$K$7)*POWER(Upgrades!$L$7,F221)))*(IF(Upgrades!$T$6="Asteroid Belt",POWER(Upgrades!$U$6,E221),1)*IF(Upgrades!$T$8="Asteroid Belt",POWER(Upgrades!$U$8,G221),1)*IF(Upgrades!$T$9="Asteroid Belt",POWER(Upgrades!$U$9,H221),1)*IF(Upgrades!$T$10="Asteroid Belt",POWER(Upgrades!$U$10,I221),1)*IF(Upgrades!$T$11="Asteroid Belt",POWER(Upgrades!$U$11,J221),1)*IF(Upgrades!$T$12="Asteroid Belt",POWER(Upgrades!$U$12,K221),1))+(IF(G221=0,0,(Upgrades!$J$8+G221*Upgrades!$K$8)*POWER(Upgrades!$L$8,G221)))*(IF(Upgrades!$T$6="Stellar Coupling",POWER(Upgrades!$U$6,E221),1)*IF(Upgrades!$T$7="Stellar Coupling",POWER(Upgrades!$U$7,F221),1)*IF(Upgrades!$T$9="Stellar Coupling",POWER(Upgrades!$U$9,H221),1)*IF(Upgrades!$T$10="Stellar Coupling",POWER(Upgrades!$U$10,I221),1)*IF(Upgrades!$T$11="Stellar Coupling",POWER(Upgrades!$U$11,J221),1)*IF(Upgrades!$T$12="Stellar Coupling",POWER(Upgrades!$U$12,K221),1))+(IF(H221=0,0,(Upgrades!$J$9+H221*Upgrades!$K$9)*POWER(Upgrades!$L$9,H221)))*(IF(Upgrades!$T$6="Magnetosphere",POWER(Upgrades!$U$6,E221),1)*IF(Upgrades!$T$7="Magnetosphere",POWER(Upgrades!$U$7,F221),1)*IF(Upgrades!$T$8="Magnetosphere",POWER(Upgrades!$U$8,G221),1)*IF(Upgrades!$T$10="Magnetosphere",POWER(Upgrades!$U$10,I221),1)*IF(Upgrades!$T$11="Magnetosphere",POWER(Upgrades!$U$11,J221),1)*IF(Upgrades!$T$12="Magnetosphere",POWER(Upgrades!$U$12,K221),1))+(IF(I221=0,0,(Upgrades!$J$10+I221*Upgrades!$K$10)*POWER(Upgrades!$L$10,I221)))*(IF(Upgrades!$T$6="Orbital Resonance",POWER(Upgrades!$U$6,E221),1)*IF(Upgrades!$T$7="Orbital Resonance",POWER(Upgrades!$U$7,F221),1)*IF(Upgrades!$T$8="Orbital Resonance",POWER(Upgrades!$U$8,G221),1)*IF(Upgrades!$T$9="Orbital Resonance",POWER(Upgrades!$U$9,H221),1)*IF(Upgrades!$T$11="Orbital Resonance",POWER(Upgrades!$U$11,J221),1)*IF(Upgrades!$T$12="Orbital Resonance",POWER(Upgrades!$U$12,K221),1))+(IF(J221=0,0,(Upgrades!$J$11+J221*Upgrades!$K$11)*POWER(Upgrades!$L$11,J221)))*(IF(Upgrades!$T$6="Heliopause",POWER(Upgrades!$U$6,E221),1)*IF(Upgrades!$T$7="Heliopause",POWER(Upgrades!$U$7,F221),1)*IF(Upgrades!$T$8="Heliopause",POWER(Upgrades!$U$8,G221),1)*IF(Upgrades!$T$9="Heliopause",POWER(Upgrades!$U$9,H221),1)*IF(Upgrades!$T$10="Heliopause",POWER(Upgrades!$U$10,I221),1)*IF(Upgrades!$T$12="Heliopause",POWER(Upgrades!$U$12,K221),1))+(IF(K221=0,0,(Upgrades!$J$12+K221*Upgrades!$K$12)*POWER(Upgrades!$L$12,K221)))*(IF(Upgrades!$T$6="First Photons",POWER(Upgrades!$U$6,E221),1)*IF(Upgrades!$T$7="First Photons",POWER(Upgrades!$U$7,F221),1)*IF(Upgrades!$T$8="First Photons",POWER(Upgrades!$U$8,G221),1)*IF(Upgrades!$T$9="First Photons",POWER(Upgrades!$U$9,H221),1)*IF(Upgrades!$T$10="First Photons",POWER(Upgrades!$U$10,I221),1)*IF(Upgrades!$T$11="First Photons",POWER(Upgrades!$U$11,J221),1)))*POWER(Upgrades!$Q$6,E221)*POWER(Upgrades!$Q$7,F221)*POWER(Upgrades!$Q$8,G221)*POWER(Upgrades!$Q$9,H221)*POWER(Upgrades!$Q$10,I221)*POWER(Upgrades!$Q$11,J221)*POWER(Upgrades!$Q$12,K221)</f>
        <v>5.61</v>
      </c>
      <c r="N221" s="28" t="n">
        <f aca="false">((IF(E221=0,0,(Upgrades!$G$6+E221*Upgrades!$H$6)*POWER(Upgrades!$I$6,E221)))*(IF(Upgrades!$T$7="Solar Wind",POWER(Upgrades!$U$7,F221),1)*IF(Upgrades!$T$8="Solar Wind",POWER(Upgrades!$U$8,G221),1)*IF(Upgrades!$T$9="Solar Wind",POWER(Upgrades!$U$9,H221),1)*IF(Upgrades!$T$10="Solar Wind",POWER(Upgrades!$U$10,I221),1)*IF(Upgrades!$T$11="Solar Wind",POWER(Upgrades!$U$11,J221),1)*IF(Upgrades!$T$12="Solar Wind",POWER(Upgrades!$U$12,K221),1))+(IF(F221=0,0,(Upgrades!$G$7+F221*Upgrades!$H$7)*POWER(Upgrades!$I$7,F221)))*(IF(Upgrades!$T$6="Asteroid Belt",POWER(Upgrades!$U$6,E221),1)*IF(Upgrades!$T$8="Asteroid Belt",POWER(Upgrades!$U$8,G221),1)*IF(Upgrades!$T$9="Asteroid Belt",POWER(Upgrades!$U$9,H221),1)*IF(Upgrades!$T$10="Asteroid Belt",POWER(Upgrades!$U$10,I221),1)*IF(Upgrades!$T$11="Asteroid Belt",POWER(Upgrades!$U$11,J221),1)*IF(Upgrades!$T$12="Asteroid Belt",POWER(Upgrades!$U$12,K221),1))+(IF(G221=0,0,(Upgrades!$G$8+G221*Upgrades!$H$8)*POWER(Upgrades!$I$8,G221)))*(IF(Upgrades!$T$6="Stellar Coupling",POWER(Upgrades!$U$6,E221),1)*IF(Upgrades!$T$7="Stellar Coupling",POWER(Upgrades!$U$7,F221),1)*IF(Upgrades!$T$9="Stellar Coupling",POWER(Upgrades!$U$9,H221),1)*IF(Upgrades!$T$10="Stellar Coupling",POWER(Upgrades!$U$10,I221),1)*IF(Upgrades!$T$11="Stellar Coupling",POWER(Upgrades!$U$11,J221),1)*IF(Upgrades!$T$12="Stellar Coupling",POWER(Upgrades!$U$12,K221),1))+(IF(H221=0,0,(Upgrades!$G$9+H221*Upgrades!$H$9)*POWER(Upgrades!$I$9,H221)))*(IF(Upgrades!$T$6="Magnetosphere",POWER(Upgrades!$U$6,E221),1)*IF(Upgrades!$T$7="Magnetosphere",POWER(Upgrades!$U$7,F221),1)*IF(Upgrades!$T$8="Magnetosphere",POWER(Upgrades!$U$8,G221),1)*IF(Upgrades!$T$10="Magnetosphere",POWER(Upgrades!$U$10,I221),1)*IF(Upgrades!$T$11="Magnetosphere",POWER(Upgrades!$U$11,J221),1)*IF(Upgrades!$T$12="Magnetosphere",POWER(Upgrades!$U$12,K221),1))+(IF(I221=0,0,(Upgrades!$G$10+I221*Upgrades!$H$10)*POWER(Upgrades!$I$10,I221)))*(IF(Upgrades!$T$6="Orbital Resonance",POWER(Upgrades!$U$6,E221),1)*IF(Upgrades!$T$7="Orbital Resonance",POWER(Upgrades!$U$7,F221),1)*IF(Upgrades!$T$8="Orbital Resonance",POWER(Upgrades!$U$8,G221),1)*IF(Upgrades!$T$9="Orbital Resonance",POWER(Upgrades!$U$9,H221),1)*IF(Upgrades!$T$11="Orbital Resonance",POWER(Upgrades!$U$11,J221),1)*IF(Upgrades!$T$12="Orbital Resonance",POWER(Upgrades!$U$12,K221),1))+(IF(J221=0,0,(Upgrades!$G$11+J221*Upgrades!$H$11)*POWER(Upgrades!$I$11,J221)))*(IF(Upgrades!$T$6="Heliopause",POWER(Upgrades!$U$6,E221),1)*IF(Upgrades!$T$7="Heliopause",POWER(Upgrades!$U$7,F221),1)*IF(Upgrades!$T$8="Heliopause",POWER(Upgrades!$U$8,G221),1)*IF(Upgrades!$T$9="Heliopause",POWER(Upgrades!$U$9,H221),1)*IF(Upgrades!$T$10="Heliopause",POWER(Upgrades!$U$10,I221),1)*IF(Upgrades!$T$12="Heliopause",POWER(Upgrades!$U$12,K221),1))+(IF(K221=0,0,(Upgrades!$G$12+K221*Upgrades!$H$12)*POWER(Upgrades!$I$12,K221)))*(IF(Upgrades!$T$6="First Photons",POWER(Upgrades!$U$6,E221),1)*IF(Upgrades!$T$7="First Photons",POWER(Upgrades!$U$7,F221),1)*IF(Upgrades!$T$8="First Photons",POWER(Upgrades!$U$8,G221),1)*IF(Upgrades!$T$9="First Photons",POWER(Upgrades!$U$9,H221),1)*IF(Upgrades!$T$10="First Photons",POWER(Upgrades!$U$10,I221),1)*IF(Upgrades!$T$11="First Photons",POWER(Upgrades!$U$11,J221),1)))*POWER(Upgrades!$P$6,E221)*POWER(Upgrades!$P$7,F221)*POWER(Upgrades!$P$8,G221)*POWER(Upgrades!$P$9,H221)*POWER(Upgrades!$P$10,I221)*POWER(Upgrades!$P$11,J221)*POWER(Upgrades!$P$12,K221)</f>
        <v>11.2</v>
      </c>
      <c r="O221" s="28" t="n">
        <f aca="false">((IF(E221=0,0,(Upgrades!$M$6+E221*Upgrades!$N$6)*POWER(Upgrades!$O$6,E221)))*(IF(Upgrades!$T$7="Solar Wind",POWER(Upgrades!$U$7,F221),1)*IF(Upgrades!$T$8="Solar Wind",POWER(Upgrades!$U$8,G221),1)*IF(Upgrades!$T$9="Solar Wind",POWER(Upgrades!$U$9,H221),1)*IF(Upgrades!$T$10="Solar Wind",POWER(Upgrades!$U$10,I221),1)*IF(Upgrades!$T$11="Solar Wind",POWER(Upgrades!$U$11,J221),1)*IF(Upgrades!$T$12="Solar Wind",POWER(Upgrades!$U$12,K221),1))+(IF(F221=0,0,(Upgrades!$M$7+F221*Upgrades!$N$7)*POWER(Upgrades!$O$7,F221)))*(IF(Upgrades!$T$6="Asteroid Belt",POWER(Upgrades!$U$6,E221),1)*IF(Upgrades!$T$8="Asteroid Belt",POWER(Upgrades!$U$8,G221),1)*IF(Upgrades!$T$9="Asteroid Belt",POWER(Upgrades!$U$9,H221),1)*IF(Upgrades!$T$10="Asteroid Belt",POWER(Upgrades!$U$10,I221),1)*IF(Upgrades!$T$11="Asteroid Belt",POWER(Upgrades!$U$11,J221),1)*IF(Upgrades!$T$12="Asteroid Belt",POWER(Upgrades!$U$12,K221),1))+(IF(G221=0,0,(Upgrades!$M$8+G221*Upgrades!$N$8)*POWER(Upgrades!$O$8,G221)))*(IF(Upgrades!$T$6="Stellar Coupling",POWER(Upgrades!$U$6,E221),1)*IF(Upgrades!$T$7="Stellar Coupling",POWER(Upgrades!$U$7,F221),1)*IF(Upgrades!$T$9="Stellar Coupling",POWER(Upgrades!$U$9,H221),1)*IF(Upgrades!$T$10="Stellar Coupling",POWER(Upgrades!$U$10,I221),1)*IF(Upgrades!$T$11="Stellar Coupling",POWER(Upgrades!$U$11,J221),1)*IF(Upgrades!$T$12="Stellar Coupling",POWER(Upgrades!$U$12,K221),1))+(IF(H221=0,0,(Upgrades!$M$9+H221*Upgrades!$N$9)*POWER(Upgrades!$O$9,H221)))*(IF(Upgrades!$T$6="Magnetosphere",POWER(Upgrades!$U$6,E221),1)*IF(Upgrades!$T$7="Magnetosphere",POWER(Upgrades!$U$7,F221),1)*IF(Upgrades!$T$8="Magnetosphere",POWER(Upgrades!$U$8,G221),1)*IF(Upgrades!$T$10="Magnetosphere",POWER(Upgrades!$U$10,I221),1)*IF(Upgrades!$T$11="Magnetosphere",POWER(Upgrades!$U$11,J221),1)*IF(Upgrades!$T$12="Magnetosphere",POWER(Upgrades!$U$12,K221),1))+(IF(I221=0,0,(Upgrades!$M$10+I221*Upgrades!$N$10)*POWER(Upgrades!$O$10,I221)))*(IF(Upgrades!$T$6="Orbital Resonance",POWER(Upgrades!$U$6,E221),1)*IF(Upgrades!$T$7="Orbital Resonance",POWER(Upgrades!$U$7,F221),1)*IF(Upgrades!$T$8="Orbital Resonance",POWER(Upgrades!$U$8,G221),1)*IF(Upgrades!$T$9="Orbital Resonance",POWER(Upgrades!$U$9,H221),1)*IF(Upgrades!$T$11="Orbital Resonance",POWER(Upgrades!$U$11,J221),1)*IF(Upgrades!$T$12="Orbital Resonance",POWER(Upgrades!$U$12,K221),1))+(IF(J221=0,0,(Upgrades!$M$11+J221*Upgrades!$N$11)*POWER(Upgrades!$O$11,J221)))*(IF(Upgrades!$T$6="Heliopause",POWER(Upgrades!$U$6,E221),1)*IF(Upgrades!$T$7="Heliopause",POWER(Upgrades!$U$7,F221),1)*IF(Upgrades!$T$8="Heliopause",POWER(Upgrades!$U$8,G221),1)*IF(Upgrades!$T$9="Heliopause",POWER(Upgrades!$U$9,H221),1)*IF(Upgrades!$T$10="Heliopause",POWER(Upgrades!$U$10,I221),1)*IF(Upgrades!$T$12="Heliopause",POWER(Upgrades!$U$12,K221),1))+(IF(K221=0,0,(Upgrades!$M$12+K221*Upgrades!$N$12)*POWER(Upgrades!$O$12,K221)))*(IF(Upgrades!$T$6="First Photons",POWER(Upgrades!$U$6,E221),1)*IF(Upgrades!$T$7="First Photons",POWER(Upgrades!$U$7,F221),1)*IF(Upgrades!$T$8="First Photons",POWER(Upgrades!$U$8,G221),1)*IF(Upgrades!$T$9="First Photons",POWER(Upgrades!$U$9,H221),1)*IF(Upgrades!$T$10="First Photons",POWER(Upgrades!$U$10,I221),1)*IF(Upgrades!$T$11="First Photons",POWER(Upgrades!$U$11,J221),1)))*POWER(Upgrades!$R$6,E221)*POWER(Upgrades!$R$7,F221)*POWER(Upgrades!$R$8,G221)*POWER(Upgrades!$R$9,H221)*POWER(Upgrades!$R$10,I221)*POWER(Upgrades!$R$11,J221)*POWER(Upgrades!$R$12,K221)</f>
        <v>0</v>
      </c>
      <c r="P221" s="27" t="n">
        <f aca="false">IF(L221=1,0,M221*Parameters!$B$10/60*Parameters!$B$11*10)</f>
        <v>0</v>
      </c>
      <c r="Q221" s="27" t="n">
        <f aca="false">IF(L221=1,0,O221*M221*10)</f>
        <v>0</v>
      </c>
      <c r="R221" s="27" t="n">
        <f aca="false">IF(L221=1,0,N221*10)</f>
        <v>0</v>
      </c>
      <c r="S221" s="27" t="n">
        <f aca="false">P221+Q221+R221</f>
        <v>0</v>
      </c>
      <c r="T221" s="21" t="n">
        <f aca="false">C221+S221</f>
        <v>18.6730249835055</v>
      </c>
      <c r="U221" s="34" t="str">
        <f aca="false">AX221</f>
        <v/>
      </c>
      <c r="V221" s="21" t="n">
        <f aca="false">IF(U221="",0,IF(U221="transition",0,IF(U221="SW",AG221,IF(U221="AB",AH221,IF(U221="SC",AI221,IF(U221="Mag",AJ221,IF(U221="OR",AK221,IF(U221="HP",AL221,IF(U221="FP",AM221,0)))))))))</f>
        <v>0</v>
      </c>
      <c r="W221" s="27" t="n">
        <f aca="false">IF(U221="OR",Upgrades!$F$10,IF(U221="HP",Upgrades!$F$11,IF(U221="transition",-Parameters!$B$18,0)))</f>
        <v>0</v>
      </c>
      <c r="X221" s="21" t="n">
        <f aca="false">T221-V221</f>
        <v>18.6730249835055</v>
      </c>
      <c r="Y221" s="30" t="n">
        <f aca="false">M221*Parameters!$B$10/60*Parameters!$B$11+O221*M221+N221</f>
        <v>20.55</v>
      </c>
      <c r="Z221" s="35" t="str">
        <f aca="false">IF(U221="transition","→ Tier 2 (Stellar Neighborhood)",IF(U221="FP","First Photons — light begins, system quickens",IF(U221="HP","Heliopause acquired",IF(U221="OR","Orbital Resonance — passive multiplier active",IF(AND(AO221=1,L221=0,AN221&lt;&gt;1),"Cohesion ready (waiting on completionist upgrades)","")))))</f>
        <v/>
      </c>
      <c r="AA221" s="27" t="n">
        <f aca="false">(IF(E221=0,0,(Upgrades!$G$6+E221*Upgrades!$H$6)*POWER(Upgrades!$I$6,E221)))*(IF(Upgrades!$T$7="Solar Wind",POWER(Upgrades!$U$7,F221),1)*IF(Upgrades!$T$8="Solar Wind",POWER(Upgrades!$U$8,G221),1)*IF(Upgrades!$T$9="Solar Wind",POWER(Upgrades!$U$9,H221),1)*IF(Upgrades!$T$10="Solar Wind",POWER(Upgrades!$U$10,I221),1)*IF(Upgrades!$T$11="Solar Wind",POWER(Upgrades!$U$11,J221),1)*IF(Upgrades!$T$12="Solar Wind",POWER(Upgrades!$U$12,K221),1))*POWER(Upgrades!$P$6,E221)*POWER(Upgrades!$P$7,F221)*POWER(Upgrades!$P$8,G221)*POWER(Upgrades!$P$9,H221)*POWER(Upgrades!$P$10,I221)*POWER(Upgrades!$P$11,J221)*POWER(Upgrades!$P$12,K221)*60</f>
        <v>72</v>
      </c>
      <c r="AB221" s="27" t="n">
        <f aca="false">(IF(F221=0,0,(Upgrades!$G$7+F221*Upgrades!$H$7)*POWER(Upgrades!$I$7,F221)))*(IF(Upgrades!$T$6="Asteroid Belt",POWER(Upgrades!$U$6,E221),1)*IF(Upgrades!$T$8="Asteroid Belt",POWER(Upgrades!$U$8,G221),1)*IF(Upgrades!$T$9="Asteroid Belt",POWER(Upgrades!$U$9,H221),1)*IF(Upgrades!$T$10="Asteroid Belt",POWER(Upgrades!$U$10,I221),1)*IF(Upgrades!$T$11="Asteroid Belt",POWER(Upgrades!$U$11,J221),1)*IF(Upgrades!$T$12="Asteroid Belt",POWER(Upgrades!$U$12,K221),1))*POWER(Upgrades!$P$6,E221)*POWER(Upgrades!$P$7,F221)*POWER(Upgrades!$P$8,G221)*POWER(Upgrades!$P$9,H221)*POWER(Upgrades!$P$10,I221)*POWER(Upgrades!$P$11,J221)*POWER(Upgrades!$P$12,K221)*60</f>
        <v>150</v>
      </c>
      <c r="AC221" s="27" t="n">
        <f aca="false">(IF(G221=0,0,(Upgrades!$J$8+G221*Upgrades!$K$8)*POWER(Upgrades!$L$8,G221)))*(IF(Upgrades!$T$6="Stellar Coupling",POWER(Upgrades!$U$6,E221),1)*IF(Upgrades!$T$7="Stellar Coupling",POWER(Upgrades!$U$7,F221),1)*IF(Upgrades!$T$9="Stellar Coupling",POWER(Upgrades!$U$9,H221),1)*IF(Upgrades!$T$10="Stellar Coupling",POWER(Upgrades!$U$10,I221),1)*IF(Upgrades!$T$11="Stellar Coupling",POWER(Upgrades!$U$11,J221),1)*IF(Upgrades!$T$12="Stellar Coupling",POWER(Upgrades!$U$12,K221),1))*POWER(Upgrades!$Q$6,E221)*POWER(Upgrades!$Q$7,F221)*POWER(Upgrades!$Q$8,G221)*POWER(Upgrades!$Q$9,H221)*POWER(Upgrades!$Q$10,I221)*POWER(Upgrades!$Q$11,J221)*POWER(Upgrades!$Q$12,K221)*Parameters!$B$10*Parameters!$B$11</f>
        <v>441</v>
      </c>
      <c r="AD221" s="27" t="n">
        <f aca="false">(IF(H221=0,0,(Upgrades!$G$9+H221*Upgrades!$H$9)*POWER(Upgrades!$I$9,H221)))*(IF(Upgrades!$T$6="Magnetosphere",POWER(Upgrades!$U$6,E221),1)*IF(Upgrades!$T$7="Magnetosphere",POWER(Upgrades!$U$7,F221),1)*IF(Upgrades!$T$8="Magnetosphere",POWER(Upgrades!$U$8,G221),1)*IF(Upgrades!$T$10="Magnetosphere",POWER(Upgrades!$U$10,I221),1)*IF(Upgrades!$T$11="Magnetosphere",POWER(Upgrades!$U$11,J221),1)*IF(Upgrades!$T$12="Magnetosphere",POWER(Upgrades!$U$12,K221),1))*POWER(Upgrades!$P$6,E221)*POWER(Upgrades!$P$7,F221)*POWER(Upgrades!$P$8,G221)*POWER(Upgrades!$P$9,H221)*POWER(Upgrades!$P$10,I221)*POWER(Upgrades!$P$11,J221)*POWER(Upgrades!$P$12,K221)*60</f>
        <v>375</v>
      </c>
      <c r="AE221" s="27" t="n">
        <f aca="false">(IF(K221=0,0,(Upgrades!$G$12+K221*Upgrades!$H$12)*POWER(Upgrades!$I$12,K221)))*(IF(Upgrades!$T$6="First Photons",POWER(Upgrades!$U$6,E221),1)*IF(Upgrades!$T$7="First Photons",POWER(Upgrades!$U$7,F221),1)*IF(Upgrades!$T$8="First Photons",POWER(Upgrades!$U$8,G221),1)*IF(Upgrades!$T$9="First Photons",POWER(Upgrades!$U$9,H221),1)*IF(Upgrades!$T$10="First Photons",POWER(Upgrades!$U$10,I221),1)*IF(Upgrades!$T$11="First Photons",POWER(Upgrades!$U$11,J221),1))*POWER(Upgrades!$P$6,E221)*POWER(Upgrades!$P$7,F221)*POWER(Upgrades!$P$8,G221)*POWER(Upgrades!$P$9,H221)*POWER(Upgrades!$P$10,I221)*POWER(Upgrades!$P$11,J221)*POWER(Upgrades!$P$12,K221)*60</f>
        <v>75</v>
      </c>
      <c r="AF221" s="27" t="n">
        <f aca="false">Parameters!$B$9*POWER(Upgrades!$Q$6,E221)*POWER(Upgrades!$Q$7,F221)*POWER(Upgrades!$Q$8,G221)*POWER(Upgrades!$Q$9,H221)*POWER(Upgrades!$Q$10,I221)*POWER(Upgrades!$Q$11,J221)*POWER(Upgrades!$Q$12,K221)*(Parameters!$B$10*Parameters!$B$11+O221*60)</f>
        <v>120</v>
      </c>
      <c r="AG221" s="21" t="n">
        <f aca="false">IF(E221&gt;=Upgrades!$E$6,"",Upgrades!$C$6*POWER(Upgrades!$D$6,E221))</f>
        <v>37.4517507383159</v>
      </c>
      <c r="AH221" s="21" t="n">
        <f aca="false">IF(F221&gt;=Upgrades!$E$7,"",Upgrades!$C$7*POWER(Upgrades!$D$7,F221))</f>
        <v>80.9111547141581</v>
      </c>
      <c r="AI221" s="21" t="n">
        <f aca="false">IF(G221&gt;=Upgrades!$E$8,"",Upgrades!$C$8*POWER(Upgrades!$D$8,G221))</f>
        <v>231.9097088</v>
      </c>
      <c r="AJ221" s="21" t="str">
        <f aca="false">IF(H221&gt;=Upgrades!$E$9,"",Upgrades!$C$9*POWER(Upgrades!$D$9,H221))</f>
        <v/>
      </c>
      <c r="AK221" s="21" t="str">
        <f aca="false">IF(I221&gt;=Upgrades!$E$10,"",Upgrades!$C$10*POWER(Upgrades!$D$10,I221))</f>
        <v/>
      </c>
      <c r="AL221" s="21" t="str">
        <f aca="false">IF(J221&gt;=Upgrades!$E$11,"",Upgrades!$C$11*POWER(Upgrades!$D$11,J221))</f>
        <v/>
      </c>
      <c r="AM221" s="21" t="str">
        <f aca="false">IF(K221&gt;=Upgrades!$E$12,"",Upgrades!$C$12*POWER(Upgrades!$D$12,K221))</f>
        <v/>
      </c>
      <c r="AN221" s="26" t="str">
        <f aca="false">IF(AND(D221&gt;=Parameters!$B$18,(H221&gt;=Upgrades!$E$9)*(K221&gt;=Upgrades!$E$12)=1,L221=0),1,"")</f>
        <v/>
      </c>
      <c r="AO221" s="26" t="str">
        <f aca="false">IF(AND(D221&gt;=Parameters!$B$18,L221=0),1,"")</f>
        <v/>
      </c>
      <c r="AP221" s="21" t="n">
        <f aca="false">MIN(IF(ISNUMBER(AK221),AK221,9000000000000000),IF(ISNUMBER(AL221),AL221,9000000000000000),IF(ISNUMBER(AM221),AM221,9000000000000000))</f>
        <v>9000000000000000</v>
      </c>
      <c r="AQ221" s="21" t="n">
        <f aca="false">MIN(IF(ISNUMBER(AG221),AG221,9000000000000000),IF(ISNUMBER(AH221),AH221,9000000000000000),IF(ISNUMBER(AI221),AI221,9000000000000000),IF(ISNUMBER(AJ221),AJ221,9000000000000000))</f>
        <v>37.4517507383159</v>
      </c>
      <c r="AR221" s="32" t="b">
        <f aca="false">IF(AW221&gt;Parameters!$B$21*(MAX(IF(AND(NOT(AND(AO221=1,AN221&lt;&gt;1)),ISNUMBER(AG221),AG221&lt;=T221),AS221,0),IF(AND(NOT(AND(AO221=1,AN221&lt;&gt;1)),ISNUMBER(AH221),AH221&lt;=T221),AT221,0),IF(AND(NOT(AND(AO221=1,AN221&lt;&gt;1)),ISNUMBER(AI221),AI221&lt;=T221),AU221,0),IF(AND(ISNUMBER(AJ221),AJ221&lt;=T221),AV221,0))),TRUE(),FALSE())</f>
        <v>1</v>
      </c>
      <c r="AS221" s="33" t="n">
        <f aca="false">IFERROR(Upgrades!$H$6*(POWER(Upgrades!$P$6,E221)*POWER(Upgrades!$P$7,F221)*POWER(Upgrades!$P$8,G221)*POWER(Upgrades!$P$9,H221)*POWER(Upgrades!$P$10,I221)*POWER(Upgrades!$P$11,J221)*POWER(Upgrades!$P$12,K221))*(IF(Upgrades!$T$7="Solar Wind",POWER(Upgrades!$U$7,F221),1)*IF(Upgrades!$T$8="Solar Wind",POWER(Upgrades!$U$8,G221),1)*IF(Upgrades!$T$9="Solar Wind",POWER(Upgrades!$U$9,H221),1)*IF(Upgrades!$T$10="Solar Wind",POWER(Upgrades!$U$10,I221),1)*IF(Upgrades!$T$11="Solar Wind",POWER(Upgrades!$U$11,J221),1)*IF(Upgrades!$T$12="Solar Wind",POWER(Upgrades!$U$12,K221),1))/AG221,0)</f>
        <v>0.0026701021455238</v>
      </c>
      <c r="AT221" s="33" t="n">
        <f aca="false">IFERROR(Upgrades!$H$7*(POWER(Upgrades!$P$6,E221)*POWER(Upgrades!$P$7,F221)*POWER(Upgrades!$P$8,G221)*POWER(Upgrades!$P$9,H221)*POWER(Upgrades!$P$10,I221)*POWER(Upgrades!$P$11,J221)*POWER(Upgrades!$P$12,K221))*(IF(Upgrades!$T$6="Asteroid Belt",POWER(Upgrades!$U$6,E221),1)*IF(Upgrades!$T$8="Asteroid Belt",POWER(Upgrades!$U$8,G221),1)*IF(Upgrades!$T$9="Asteroid Belt",POWER(Upgrades!$U$9,H221),1)*IF(Upgrades!$T$10="Asteroid Belt",POWER(Upgrades!$U$10,I221),1)*IF(Upgrades!$T$11="Asteroid Belt",POWER(Upgrades!$U$11,J221),1)*IF(Upgrades!$T$12="Asteroid Belt",POWER(Upgrades!$U$12,K221),1))/AH221,0)</f>
        <v>0.00308980882652332</v>
      </c>
      <c r="AU221" s="33" t="n">
        <f aca="false">IFERROR(Upgrades!$K$8*(POWER(Upgrades!$Q$6,E221)*POWER(Upgrades!$Q$7,F221)*POWER(Upgrades!$Q$8,G221)*POWER(Upgrades!$Q$9,H221)*POWER(Upgrades!$Q$10,I221)*POWER(Upgrades!$Q$11,J221)*POWER(Upgrades!$Q$12,K221))*(IF(Upgrades!$T$6="Stellar Coupling",POWER(Upgrades!$U$6,E221),1)*IF(Upgrades!$T$7="Stellar Coupling",POWER(Upgrades!$U$7,F221),1)*IF(Upgrades!$T$9="Stellar Coupling",POWER(Upgrades!$U$9,H221),1)*IF(Upgrades!$T$10="Stellar Coupling",POWER(Upgrades!$U$10,I221),1)*IF(Upgrades!$T$11="Stellar Coupling",POWER(Upgrades!$U$11,J221),1)*IF(Upgrades!$T$12="Stellar Coupling",POWER(Upgrades!$U$12,K221),1))*Parameters!$B$10*Parameters!$B$11/60/AI221,0)</f>
        <v>0.00452762415783776</v>
      </c>
      <c r="AV221" s="33" t="n">
        <f aca="false">IFERROR(Upgrades!$H$9*(POWER(Upgrades!$P$6,E221)*POWER(Upgrades!$P$7,F221)*POWER(Upgrades!$P$8,G221)*POWER(Upgrades!$P$9,H221)*POWER(Upgrades!$P$10,I221)*POWER(Upgrades!$P$11,J221)*POWER(Upgrades!$P$12,K221))*(IF(Upgrades!$T$6="Magnetosphere",POWER(Upgrades!$U$6,E221),1)*IF(Upgrades!$T$7="Magnetosphere",POWER(Upgrades!$U$7,F221),1)*IF(Upgrades!$T$8="Magnetosphere",POWER(Upgrades!$U$8,G221),1)*IF(Upgrades!$T$10="Magnetosphere",POWER(Upgrades!$U$10,I221),1)*IF(Upgrades!$T$11="Magnetosphere",POWER(Upgrades!$U$11,J221),1)*IF(Upgrades!$T$12="Magnetosphere",POWER(Upgrades!$U$12,K221),1))/AJ221,0)</f>
        <v>0</v>
      </c>
      <c r="AW221" s="33" t="n">
        <f aca="false">MAX(IF(I221&gt;0,0,IFERROR(0.25*N221/Upgrades!$C$10,0)),IF(J221&gt;0,0,IFERROR(0.5*((IF(G221=0,0,(Upgrades!$J$8+G221*Upgrades!$K$8)*POWER(Upgrades!$L$8,G221)))*(IF(Upgrades!$T$6="Stellar Coupling",POWER(Upgrades!$U$6,E221),1)*IF(Upgrades!$T$7="Stellar Coupling",POWER(Upgrades!$U$7,F221),1)*IF(Upgrades!$T$9="Stellar Coupling",POWER(Upgrades!$U$9,H221),1)*IF(Upgrades!$T$10="Stellar Coupling",POWER(Upgrades!$U$10,I221),1)*IF(Upgrades!$T$11="Stellar Coupling",POWER(Upgrades!$U$11,J221),1)*IF(Upgrades!$T$12="Stellar Coupling",POWER(Upgrades!$U$12,K221),1))*(POWER(Upgrades!$Q$6,E221)*POWER(Upgrades!$Q$7,F221)*POWER(Upgrades!$Q$8,G221)*POWER(Upgrades!$Q$9,H221)*POWER(Upgrades!$Q$10,I221)*POWER(Upgrades!$Q$11,J221)*POWER(Upgrades!$Q$12,K221))*Parameters!$B$10*Parameters!$B$11/60)/Upgrades!$C$11,0)),IF(K221&gt;0,0,IFERROR((1*(POWER(Upgrades!$P$6,E221)*POWER(Upgrades!$P$7,F221)*POWER(Upgrades!$P$8,G221)*POWER(Upgrades!$P$9,H221)*POWER(Upgrades!$P$10,I221)*POWER(Upgrades!$P$11,J221)*POWER(Upgrades!$P$12,K221))+0.2*M221*Parameters!$B$10*Parameters!$B$11/60)/Upgrades!$C$12,0)),IF(AND(ISNUMBER(AG221),AG221&gt;T221),AS221,0),IF(AND(ISNUMBER(AH221),AH221&gt;T221),AT221,0),IF(AND(ISNUMBER(AI221),AI221&gt;T221),AU221,0),IF(AND(ISNUMBER(AJ221),AJ221&gt;T221),AV221,0))</f>
        <v>0.00452762415783776</v>
      </c>
      <c r="AX221" s="29" t="str">
        <f aca="false">IF(AN221=1,"transition",IF(MIN(IF(AND(I221=0,ISNUMBER(AK221),AK221&lt;=T221),AK221,9000000000000000),IF(AND(J221=0,ISNUMBER(AL221),AL221&lt;=T221),AL221,9000000000000000),IF(AND(K221=0,ISNUMBER(AM221),AM221&lt;=T221),AM221,9000000000000000))&lt;9000000000000000,IF(AND(AND(I221=0,ISNUMBER(AK221),AK221&lt;=T221),AK221=MIN(IF(AND(I221=0,ISNUMBER(AK221),AK221&lt;=T221),AK221,9000000000000000),IF(AND(J221=0,ISNUMBER(AL221),AL221&lt;=T221),AL221,9000000000000000),IF(AND(K221=0,ISNUMBER(AM221),AM221&lt;=T221),AM221,9000000000000000))),"OR",IF(AND(AND(J221=0,ISNUMBER(AL221),AL221&lt;=T221),AL221=MIN(IF(AND(I221=0,ISNUMBER(AK221),AK221&lt;=T221),AK221,9000000000000000),IF(AND(J221=0,ISNUMBER(AL221),AL221&lt;=T221),AL221,9000000000000000),IF(AND(K221=0,ISNUMBER(AM221),AM221&lt;=T221),AM221,9000000000000000))),"HP","FP")),IF(AR221=TRUE(),"",IF(MAX(IF(AND(NOT(AND(AO221=1,AN221&lt;&gt;1)),ISNUMBER(AG221),AG221&lt;=T221),AS221,0),IF(AND(NOT(AND(AO221=1,AN221&lt;&gt;1)),ISNUMBER(AH221),AH221&lt;=T221),AT221,0),IF(AND(NOT(AND(AO221=1,AN221&lt;&gt;1)),ISNUMBER(AI221),AI221&lt;=T221),AU221,0),IF(AND(ISNUMBER(AJ221),AJ221&lt;=T221),AV221,0))&lt;=0,"",IF(AND(IF(AND(NOT(AND(AO221=1,AN221&lt;&gt;1)),ISNUMBER(AG221),AG221&lt;=T221),AS221,0)&gt;0,IF(AND(NOT(AND(AO221=1,AN221&lt;&gt;1)),ISNUMBER(AG221),AG221&lt;=T221),AS221,0)=MAX(IF(AND(NOT(AND(AO221=1,AN221&lt;&gt;1)),ISNUMBER(AG221),AG221&lt;=T221),AS221,0),IF(AND(NOT(AND(AO221=1,AN221&lt;&gt;1)),ISNUMBER(AH221),AH221&lt;=T221),AT221,0),IF(AND(NOT(AND(AO221=1,AN221&lt;&gt;1)),ISNUMBER(AI221),AI221&lt;=T221),AU221,0),IF(AND(ISNUMBER(AJ221),AJ221&lt;=T221),AV221,0))),"SW",IF(AND(IF(AND(NOT(AND(AO221=1,AN221&lt;&gt;1)),ISNUMBER(AH221),AH221&lt;=T221),AT221,0)&gt;0,IF(AND(NOT(AND(AO221=1,AN221&lt;&gt;1)),ISNUMBER(AH221),AH221&lt;=T221),AT221,0)=MAX(IF(AND(NOT(AND(AO221=1,AN221&lt;&gt;1)),ISNUMBER(AG221),AG221&lt;=T221),AS221,0),IF(AND(NOT(AND(AO221=1,AN221&lt;&gt;1)),ISNUMBER(AH221),AH221&lt;=T221),AT221,0),IF(AND(NOT(AND(AO221=1,AN221&lt;&gt;1)),ISNUMBER(AI221),AI221&lt;=T221),AU221,0),IF(AND(ISNUMBER(AJ221),AJ221&lt;=T221),AV221,0))),"AB",IF(AND(IF(AND(NOT(AND(AO221=1,AN221&lt;&gt;1)),ISNUMBER(AI221),AI221&lt;=T221),AU221,0)&gt;0,IF(AND(NOT(AND(AO221=1,AN221&lt;&gt;1)),ISNUMBER(AI221),AI221&lt;=T221),AU221,0)=MAX(IF(AND(NOT(AND(AO221=1,AN221&lt;&gt;1)),ISNUMBER(AG221),AG221&lt;=T221),AS221,0),IF(AND(NOT(AND(AO221=1,AN221&lt;&gt;1)),ISNUMBER(AH221),AH221&lt;=T221),AT221,0),IF(AND(NOT(AND(AO221=1,AN221&lt;&gt;1)),ISNUMBER(AI221),AI221&lt;=T221),AU221,0),IF(AND(ISNUMBER(AJ221),AJ221&lt;=T221),AV221,0))),"SC","Mag")))))))</f>
        <v/>
      </c>
    </row>
    <row r="222" customFormat="false" ht="15" hidden="false" customHeight="false" outlineLevel="0" collapsed="false">
      <c r="A222" s="26" t="n">
        <v>217</v>
      </c>
      <c r="B222" s="27" t="n">
        <f aca="false">A222*10/60</f>
        <v>36.1666666666667</v>
      </c>
      <c r="C222" s="21" t="n">
        <f aca="false">X221</f>
        <v>18.6730249835055</v>
      </c>
      <c r="D222" s="27" t="n">
        <f aca="false">D221+W221</f>
        <v>0</v>
      </c>
      <c r="E222" s="26" t="n">
        <f aca="false">E221+IF(U221="SW",1,0)</f>
        <v>12</v>
      </c>
      <c r="F222" s="26" t="n">
        <f aca="false">F221+IF(U221="AB",1,0)</f>
        <v>10</v>
      </c>
      <c r="G222" s="26" t="n">
        <f aca="false">G221+IF(U221="SC",1,0)</f>
        <v>7</v>
      </c>
      <c r="H222" s="26" t="n">
        <f aca="false">H221+IF(U221="Mag",1,0)</f>
        <v>5</v>
      </c>
      <c r="I222" s="26" t="n">
        <f aca="false">MAX(I221,IF(U221="OR",1,0))</f>
        <v>1</v>
      </c>
      <c r="J222" s="26" t="n">
        <f aca="false">MAX(J221,IF(U221="HP",1,0))</f>
        <v>1</v>
      </c>
      <c r="K222" s="26" t="n">
        <f aca="false">MAX(K221,IF(U221="FP",1,0))</f>
        <v>1</v>
      </c>
      <c r="L222" s="26" t="n">
        <f aca="false">MAX(L221,IF(U221="transition",1,0))</f>
        <v>1</v>
      </c>
      <c r="M222" s="28" t="n">
        <f aca="false">(Parameters!$B$9+(IF(E222=0,0,(Upgrades!$J$6+E222*Upgrades!$K$6)*POWER(Upgrades!$L$6,E222)))*(IF(Upgrades!$T$7="Solar Wind",POWER(Upgrades!$U$7,F222),1)*IF(Upgrades!$T$8="Solar Wind",POWER(Upgrades!$U$8,G222),1)*IF(Upgrades!$T$9="Solar Wind",POWER(Upgrades!$U$9,H222),1)*IF(Upgrades!$T$10="Solar Wind",POWER(Upgrades!$U$10,I222),1)*IF(Upgrades!$T$11="Solar Wind",POWER(Upgrades!$U$11,J222),1)*IF(Upgrades!$T$12="Solar Wind",POWER(Upgrades!$U$12,K222),1))+(IF(F222=0,0,(Upgrades!$J$7+F222*Upgrades!$K$7)*POWER(Upgrades!$L$7,F222)))*(IF(Upgrades!$T$6="Asteroid Belt",POWER(Upgrades!$U$6,E222),1)*IF(Upgrades!$T$8="Asteroid Belt",POWER(Upgrades!$U$8,G222),1)*IF(Upgrades!$T$9="Asteroid Belt",POWER(Upgrades!$U$9,H222),1)*IF(Upgrades!$T$10="Asteroid Belt",POWER(Upgrades!$U$10,I222),1)*IF(Upgrades!$T$11="Asteroid Belt",POWER(Upgrades!$U$11,J222),1)*IF(Upgrades!$T$12="Asteroid Belt",POWER(Upgrades!$U$12,K222),1))+(IF(G222=0,0,(Upgrades!$J$8+G222*Upgrades!$K$8)*POWER(Upgrades!$L$8,G222)))*(IF(Upgrades!$T$6="Stellar Coupling",POWER(Upgrades!$U$6,E222),1)*IF(Upgrades!$T$7="Stellar Coupling",POWER(Upgrades!$U$7,F222),1)*IF(Upgrades!$T$9="Stellar Coupling",POWER(Upgrades!$U$9,H222),1)*IF(Upgrades!$T$10="Stellar Coupling",POWER(Upgrades!$U$10,I222),1)*IF(Upgrades!$T$11="Stellar Coupling",POWER(Upgrades!$U$11,J222),1)*IF(Upgrades!$T$12="Stellar Coupling",POWER(Upgrades!$U$12,K222),1))+(IF(H222=0,0,(Upgrades!$J$9+H222*Upgrades!$K$9)*POWER(Upgrades!$L$9,H222)))*(IF(Upgrades!$T$6="Magnetosphere",POWER(Upgrades!$U$6,E222),1)*IF(Upgrades!$T$7="Magnetosphere",POWER(Upgrades!$U$7,F222),1)*IF(Upgrades!$T$8="Magnetosphere",POWER(Upgrades!$U$8,G222),1)*IF(Upgrades!$T$10="Magnetosphere",POWER(Upgrades!$U$10,I222),1)*IF(Upgrades!$T$11="Magnetosphere",POWER(Upgrades!$U$11,J222),1)*IF(Upgrades!$T$12="Magnetosphere",POWER(Upgrades!$U$12,K222),1))+(IF(I222=0,0,(Upgrades!$J$10+I222*Upgrades!$K$10)*POWER(Upgrades!$L$10,I222)))*(IF(Upgrades!$T$6="Orbital Resonance",POWER(Upgrades!$U$6,E222),1)*IF(Upgrades!$T$7="Orbital Resonance",POWER(Upgrades!$U$7,F222),1)*IF(Upgrades!$T$8="Orbital Resonance",POWER(Upgrades!$U$8,G222),1)*IF(Upgrades!$T$9="Orbital Resonance",POWER(Upgrades!$U$9,H222),1)*IF(Upgrades!$T$11="Orbital Resonance",POWER(Upgrades!$U$11,J222),1)*IF(Upgrades!$T$12="Orbital Resonance",POWER(Upgrades!$U$12,K222),1))+(IF(J222=0,0,(Upgrades!$J$11+J222*Upgrades!$K$11)*POWER(Upgrades!$L$11,J222)))*(IF(Upgrades!$T$6="Heliopause",POWER(Upgrades!$U$6,E222),1)*IF(Upgrades!$T$7="Heliopause",POWER(Upgrades!$U$7,F222),1)*IF(Upgrades!$T$8="Heliopause",POWER(Upgrades!$U$8,G222),1)*IF(Upgrades!$T$9="Heliopause",POWER(Upgrades!$U$9,H222),1)*IF(Upgrades!$T$10="Heliopause",POWER(Upgrades!$U$10,I222),1)*IF(Upgrades!$T$12="Heliopause",POWER(Upgrades!$U$12,K222),1))+(IF(K222=0,0,(Upgrades!$J$12+K222*Upgrades!$K$12)*POWER(Upgrades!$L$12,K222)))*(IF(Upgrades!$T$6="First Photons",POWER(Upgrades!$U$6,E222),1)*IF(Upgrades!$T$7="First Photons",POWER(Upgrades!$U$7,F222),1)*IF(Upgrades!$T$8="First Photons",POWER(Upgrades!$U$8,G222),1)*IF(Upgrades!$T$9="First Photons",POWER(Upgrades!$U$9,H222),1)*IF(Upgrades!$T$10="First Photons",POWER(Upgrades!$U$10,I222),1)*IF(Upgrades!$T$11="First Photons",POWER(Upgrades!$U$11,J222),1)))*POWER(Upgrades!$Q$6,E222)*POWER(Upgrades!$Q$7,F222)*POWER(Upgrades!$Q$8,G222)*POWER(Upgrades!$Q$9,H222)*POWER(Upgrades!$Q$10,I222)*POWER(Upgrades!$Q$11,J222)*POWER(Upgrades!$Q$12,K222)</f>
        <v>5.61</v>
      </c>
      <c r="N222" s="28" t="n">
        <f aca="false">((IF(E222=0,0,(Upgrades!$G$6+E222*Upgrades!$H$6)*POWER(Upgrades!$I$6,E222)))*(IF(Upgrades!$T$7="Solar Wind",POWER(Upgrades!$U$7,F222),1)*IF(Upgrades!$T$8="Solar Wind",POWER(Upgrades!$U$8,G222),1)*IF(Upgrades!$T$9="Solar Wind",POWER(Upgrades!$U$9,H222),1)*IF(Upgrades!$T$10="Solar Wind",POWER(Upgrades!$U$10,I222),1)*IF(Upgrades!$T$11="Solar Wind",POWER(Upgrades!$U$11,J222),1)*IF(Upgrades!$T$12="Solar Wind",POWER(Upgrades!$U$12,K222),1))+(IF(F222=0,0,(Upgrades!$G$7+F222*Upgrades!$H$7)*POWER(Upgrades!$I$7,F222)))*(IF(Upgrades!$T$6="Asteroid Belt",POWER(Upgrades!$U$6,E222),1)*IF(Upgrades!$T$8="Asteroid Belt",POWER(Upgrades!$U$8,G222),1)*IF(Upgrades!$T$9="Asteroid Belt",POWER(Upgrades!$U$9,H222),1)*IF(Upgrades!$T$10="Asteroid Belt",POWER(Upgrades!$U$10,I222),1)*IF(Upgrades!$T$11="Asteroid Belt",POWER(Upgrades!$U$11,J222),1)*IF(Upgrades!$T$12="Asteroid Belt",POWER(Upgrades!$U$12,K222),1))+(IF(G222=0,0,(Upgrades!$G$8+G222*Upgrades!$H$8)*POWER(Upgrades!$I$8,G222)))*(IF(Upgrades!$T$6="Stellar Coupling",POWER(Upgrades!$U$6,E222),1)*IF(Upgrades!$T$7="Stellar Coupling",POWER(Upgrades!$U$7,F222),1)*IF(Upgrades!$T$9="Stellar Coupling",POWER(Upgrades!$U$9,H222),1)*IF(Upgrades!$T$10="Stellar Coupling",POWER(Upgrades!$U$10,I222),1)*IF(Upgrades!$T$11="Stellar Coupling",POWER(Upgrades!$U$11,J222),1)*IF(Upgrades!$T$12="Stellar Coupling",POWER(Upgrades!$U$12,K222),1))+(IF(H222=0,0,(Upgrades!$G$9+H222*Upgrades!$H$9)*POWER(Upgrades!$I$9,H222)))*(IF(Upgrades!$T$6="Magnetosphere",POWER(Upgrades!$U$6,E222),1)*IF(Upgrades!$T$7="Magnetosphere",POWER(Upgrades!$U$7,F222),1)*IF(Upgrades!$T$8="Magnetosphere",POWER(Upgrades!$U$8,G222),1)*IF(Upgrades!$T$10="Magnetosphere",POWER(Upgrades!$U$10,I222),1)*IF(Upgrades!$T$11="Magnetosphere",POWER(Upgrades!$U$11,J222),1)*IF(Upgrades!$T$12="Magnetosphere",POWER(Upgrades!$U$12,K222),1))+(IF(I222=0,0,(Upgrades!$G$10+I222*Upgrades!$H$10)*POWER(Upgrades!$I$10,I222)))*(IF(Upgrades!$T$6="Orbital Resonance",POWER(Upgrades!$U$6,E222),1)*IF(Upgrades!$T$7="Orbital Resonance",POWER(Upgrades!$U$7,F222),1)*IF(Upgrades!$T$8="Orbital Resonance",POWER(Upgrades!$U$8,G222),1)*IF(Upgrades!$T$9="Orbital Resonance",POWER(Upgrades!$U$9,H222),1)*IF(Upgrades!$T$11="Orbital Resonance",POWER(Upgrades!$U$11,J222),1)*IF(Upgrades!$T$12="Orbital Resonance",POWER(Upgrades!$U$12,K222),1))+(IF(J222=0,0,(Upgrades!$G$11+J222*Upgrades!$H$11)*POWER(Upgrades!$I$11,J222)))*(IF(Upgrades!$T$6="Heliopause",POWER(Upgrades!$U$6,E222),1)*IF(Upgrades!$T$7="Heliopause",POWER(Upgrades!$U$7,F222),1)*IF(Upgrades!$T$8="Heliopause",POWER(Upgrades!$U$8,G222),1)*IF(Upgrades!$T$9="Heliopause",POWER(Upgrades!$U$9,H222),1)*IF(Upgrades!$T$10="Heliopause",POWER(Upgrades!$U$10,I222),1)*IF(Upgrades!$T$12="Heliopause",POWER(Upgrades!$U$12,K222),1))+(IF(K222=0,0,(Upgrades!$G$12+K222*Upgrades!$H$12)*POWER(Upgrades!$I$12,K222)))*(IF(Upgrades!$T$6="First Photons",POWER(Upgrades!$U$6,E222),1)*IF(Upgrades!$T$7="First Photons",POWER(Upgrades!$U$7,F222),1)*IF(Upgrades!$T$8="First Photons",POWER(Upgrades!$U$8,G222),1)*IF(Upgrades!$T$9="First Photons",POWER(Upgrades!$U$9,H222),1)*IF(Upgrades!$T$10="First Photons",POWER(Upgrades!$U$10,I222),1)*IF(Upgrades!$T$11="First Photons",POWER(Upgrades!$U$11,J222),1)))*POWER(Upgrades!$P$6,E222)*POWER(Upgrades!$P$7,F222)*POWER(Upgrades!$P$8,G222)*POWER(Upgrades!$P$9,H222)*POWER(Upgrades!$P$10,I222)*POWER(Upgrades!$P$11,J222)*POWER(Upgrades!$P$12,K222)</f>
        <v>11.2</v>
      </c>
      <c r="O222" s="28" t="n">
        <f aca="false">((IF(E222=0,0,(Upgrades!$M$6+E222*Upgrades!$N$6)*POWER(Upgrades!$O$6,E222)))*(IF(Upgrades!$T$7="Solar Wind",POWER(Upgrades!$U$7,F222),1)*IF(Upgrades!$T$8="Solar Wind",POWER(Upgrades!$U$8,G222),1)*IF(Upgrades!$T$9="Solar Wind",POWER(Upgrades!$U$9,H222),1)*IF(Upgrades!$T$10="Solar Wind",POWER(Upgrades!$U$10,I222),1)*IF(Upgrades!$T$11="Solar Wind",POWER(Upgrades!$U$11,J222),1)*IF(Upgrades!$T$12="Solar Wind",POWER(Upgrades!$U$12,K222),1))+(IF(F222=0,0,(Upgrades!$M$7+F222*Upgrades!$N$7)*POWER(Upgrades!$O$7,F222)))*(IF(Upgrades!$T$6="Asteroid Belt",POWER(Upgrades!$U$6,E222),1)*IF(Upgrades!$T$8="Asteroid Belt",POWER(Upgrades!$U$8,G222),1)*IF(Upgrades!$T$9="Asteroid Belt",POWER(Upgrades!$U$9,H222),1)*IF(Upgrades!$T$10="Asteroid Belt",POWER(Upgrades!$U$10,I222),1)*IF(Upgrades!$T$11="Asteroid Belt",POWER(Upgrades!$U$11,J222),1)*IF(Upgrades!$T$12="Asteroid Belt",POWER(Upgrades!$U$12,K222),1))+(IF(G222=0,0,(Upgrades!$M$8+G222*Upgrades!$N$8)*POWER(Upgrades!$O$8,G222)))*(IF(Upgrades!$T$6="Stellar Coupling",POWER(Upgrades!$U$6,E222),1)*IF(Upgrades!$T$7="Stellar Coupling",POWER(Upgrades!$U$7,F222),1)*IF(Upgrades!$T$9="Stellar Coupling",POWER(Upgrades!$U$9,H222),1)*IF(Upgrades!$T$10="Stellar Coupling",POWER(Upgrades!$U$10,I222),1)*IF(Upgrades!$T$11="Stellar Coupling",POWER(Upgrades!$U$11,J222),1)*IF(Upgrades!$T$12="Stellar Coupling",POWER(Upgrades!$U$12,K222),1))+(IF(H222=0,0,(Upgrades!$M$9+H222*Upgrades!$N$9)*POWER(Upgrades!$O$9,H222)))*(IF(Upgrades!$T$6="Magnetosphere",POWER(Upgrades!$U$6,E222),1)*IF(Upgrades!$T$7="Magnetosphere",POWER(Upgrades!$U$7,F222),1)*IF(Upgrades!$T$8="Magnetosphere",POWER(Upgrades!$U$8,G222),1)*IF(Upgrades!$T$10="Magnetosphere",POWER(Upgrades!$U$10,I222),1)*IF(Upgrades!$T$11="Magnetosphere",POWER(Upgrades!$U$11,J222),1)*IF(Upgrades!$T$12="Magnetosphere",POWER(Upgrades!$U$12,K222),1))+(IF(I222=0,0,(Upgrades!$M$10+I222*Upgrades!$N$10)*POWER(Upgrades!$O$10,I222)))*(IF(Upgrades!$T$6="Orbital Resonance",POWER(Upgrades!$U$6,E222),1)*IF(Upgrades!$T$7="Orbital Resonance",POWER(Upgrades!$U$7,F222),1)*IF(Upgrades!$T$8="Orbital Resonance",POWER(Upgrades!$U$8,G222),1)*IF(Upgrades!$T$9="Orbital Resonance",POWER(Upgrades!$U$9,H222),1)*IF(Upgrades!$T$11="Orbital Resonance",POWER(Upgrades!$U$11,J222),1)*IF(Upgrades!$T$12="Orbital Resonance",POWER(Upgrades!$U$12,K222),1))+(IF(J222=0,0,(Upgrades!$M$11+J222*Upgrades!$N$11)*POWER(Upgrades!$O$11,J222)))*(IF(Upgrades!$T$6="Heliopause",POWER(Upgrades!$U$6,E222),1)*IF(Upgrades!$T$7="Heliopause",POWER(Upgrades!$U$7,F222),1)*IF(Upgrades!$T$8="Heliopause",POWER(Upgrades!$U$8,G222),1)*IF(Upgrades!$T$9="Heliopause",POWER(Upgrades!$U$9,H222),1)*IF(Upgrades!$T$10="Heliopause",POWER(Upgrades!$U$10,I222),1)*IF(Upgrades!$T$12="Heliopause",POWER(Upgrades!$U$12,K222),1))+(IF(K222=0,0,(Upgrades!$M$12+K222*Upgrades!$N$12)*POWER(Upgrades!$O$12,K222)))*(IF(Upgrades!$T$6="First Photons",POWER(Upgrades!$U$6,E222),1)*IF(Upgrades!$T$7="First Photons",POWER(Upgrades!$U$7,F222),1)*IF(Upgrades!$T$8="First Photons",POWER(Upgrades!$U$8,G222),1)*IF(Upgrades!$T$9="First Photons",POWER(Upgrades!$U$9,H222),1)*IF(Upgrades!$T$10="First Photons",POWER(Upgrades!$U$10,I222),1)*IF(Upgrades!$T$11="First Photons",POWER(Upgrades!$U$11,J222),1)))*POWER(Upgrades!$R$6,E222)*POWER(Upgrades!$R$7,F222)*POWER(Upgrades!$R$8,G222)*POWER(Upgrades!$R$9,H222)*POWER(Upgrades!$R$10,I222)*POWER(Upgrades!$R$11,J222)*POWER(Upgrades!$R$12,K222)</f>
        <v>0</v>
      </c>
      <c r="P222" s="27" t="n">
        <f aca="false">IF(L222=1,0,M222*Parameters!$B$10/60*Parameters!$B$11*10)</f>
        <v>0</v>
      </c>
      <c r="Q222" s="27" t="n">
        <f aca="false">IF(L222=1,0,O222*M222*10)</f>
        <v>0</v>
      </c>
      <c r="R222" s="27" t="n">
        <f aca="false">IF(L222=1,0,N222*10)</f>
        <v>0</v>
      </c>
      <c r="S222" s="27" t="n">
        <f aca="false">P222+Q222+R222</f>
        <v>0</v>
      </c>
      <c r="T222" s="21" t="n">
        <f aca="false">C222+S222</f>
        <v>18.6730249835055</v>
      </c>
      <c r="U222" s="34" t="str">
        <f aca="false">AX222</f>
        <v/>
      </c>
      <c r="V222" s="21" t="n">
        <f aca="false">IF(U222="",0,IF(U222="transition",0,IF(U222="SW",AG222,IF(U222="AB",AH222,IF(U222="SC",AI222,IF(U222="Mag",AJ222,IF(U222="OR",AK222,IF(U222="HP",AL222,IF(U222="FP",AM222,0)))))))))</f>
        <v>0</v>
      </c>
      <c r="W222" s="27" t="n">
        <f aca="false">IF(U222="OR",Upgrades!$F$10,IF(U222="HP",Upgrades!$F$11,IF(U222="transition",-Parameters!$B$18,0)))</f>
        <v>0</v>
      </c>
      <c r="X222" s="21" t="n">
        <f aca="false">T222-V222</f>
        <v>18.6730249835055</v>
      </c>
      <c r="Y222" s="30" t="n">
        <f aca="false">M222*Parameters!$B$10/60*Parameters!$B$11+O222*M222+N222</f>
        <v>20.55</v>
      </c>
      <c r="Z222" s="35" t="str">
        <f aca="false">IF(U222="transition","→ Tier 2 (Stellar Neighborhood)",IF(U222="FP","First Photons — light begins, system quickens",IF(U222="HP","Heliopause acquired",IF(U222="OR","Orbital Resonance — passive multiplier active",IF(AND(AO222=1,L222=0,AN222&lt;&gt;1),"Cohesion ready (waiting on completionist upgrades)","")))))</f>
        <v/>
      </c>
      <c r="AA222" s="27" t="n">
        <f aca="false">(IF(E222=0,0,(Upgrades!$G$6+E222*Upgrades!$H$6)*POWER(Upgrades!$I$6,E222)))*(IF(Upgrades!$T$7="Solar Wind",POWER(Upgrades!$U$7,F222),1)*IF(Upgrades!$T$8="Solar Wind",POWER(Upgrades!$U$8,G222),1)*IF(Upgrades!$T$9="Solar Wind",POWER(Upgrades!$U$9,H222),1)*IF(Upgrades!$T$10="Solar Wind",POWER(Upgrades!$U$10,I222),1)*IF(Upgrades!$T$11="Solar Wind",POWER(Upgrades!$U$11,J222),1)*IF(Upgrades!$T$12="Solar Wind",POWER(Upgrades!$U$12,K222),1))*POWER(Upgrades!$P$6,E222)*POWER(Upgrades!$P$7,F222)*POWER(Upgrades!$P$8,G222)*POWER(Upgrades!$P$9,H222)*POWER(Upgrades!$P$10,I222)*POWER(Upgrades!$P$11,J222)*POWER(Upgrades!$P$12,K222)*60</f>
        <v>72</v>
      </c>
      <c r="AB222" s="27" t="n">
        <f aca="false">(IF(F222=0,0,(Upgrades!$G$7+F222*Upgrades!$H$7)*POWER(Upgrades!$I$7,F222)))*(IF(Upgrades!$T$6="Asteroid Belt",POWER(Upgrades!$U$6,E222),1)*IF(Upgrades!$T$8="Asteroid Belt",POWER(Upgrades!$U$8,G222),1)*IF(Upgrades!$T$9="Asteroid Belt",POWER(Upgrades!$U$9,H222),1)*IF(Upgrades!$T$10="Asteroid Belt",POWER(Upgrades!$U$10,I222),1)*IF(Upgrades!$T$11="Asteroid Belt",POWER(Upgrades!$U$11,J222),1)*IF(Upgrades!$T$12="Asteroid Belt",POWER(Upgrades!$U$12,K222),1))*POWER(Upgrades!$P$6,E222)*POWER(Upgrades!$P$7,F222)*POWER(Upgrades!$P$8,G222)*POWER(Upgrades!$P$9,H222)*POWER(Upgrades!$P$10,I222)*POWER(Upgrades!$P$11,J222)*POWER(Upgrades!$P$12,K222)*60</f>
        <v>150</v>
      </c>
      <c r="AC222" s="27" t="n">
        <f aca="false">(IF(G222=0,0,(Upgrades!$J$8+G222*Upgrades!$K$8)*POWER(Upgrades!$L$8,G222)))*(IF(Upgrades!$T$6="Stellar Coupling",POWER(Upgrades!$U$6,E222),1)*IF(Upgrades!$T$7="Stellar Coupling",POWER(Upgrades!$U$7,F222),1)*IF(Upgrades!$T$9="Stellar Coupling",POWER(Upgrades!$U$9,H222),1)*IF(Upgrades!$T$10="Stellar Coupling",POWER(Upgrades!$U$10,I222),1)*IF(Upgrades!$T$11="Stellar Coupling",POWER(Upgrades!$U$11,J222),1)*IF(Upgrades!$T$12="Stellar Coupling",POWER(Upgrades!$U$12,K222),1))*POWER(Upgrades!$Q$6,E222)*POWER(Upgrades!$Q$7,F222)*POWER(Upgrades!$Q$8,G222)*POWER(Upgrades!$Q$9,H222)*POWER(Upgrades!$Q$10,I222)*POWER(Upgrades!$Q$11,J222)*POWER(Upgrades!$Q$12,K222)*Parameters!$B$10*Parameters!$B$11</f>
        <v>441</v>
      </c>
      <c r="AD222" s="27" t="n">
        <f aca="false">(IF(H222=0,0,(Upgrades!$G$9+H222*Upgrades!$H$9)*POWER(Upgrades!$I$9,H222)))*(IF(Upgrades!$T$6="Magnetosphere",POWER(Upgrades!$U$6,E222),1)*IF(Upgrades!$T$7="Magnetosphere",POWER(Upgrades!$U$7,F222),1)*IF(Upgrades!$T$8="Magnetosphere",POWER(Upgrades!$U$8,G222),1)*IF(Upgrades!$T$10="Magnetosphere",POWER(Upgrades!$U$10,I222),1)*IF(Upgrades!$T$11="Magnetosphere",POWER(Upgrades!$U$11,J222),1)*IF(Upgrades!$T$12="Magnetosphere",POWER(Upgrades!$U$12,K222),1))*POWER(Upgrades!$P$6,E222)*POWER(Upgrades!$P$7,F222)*POWER(Upgrades!$P$8,G222)*POWER(Upgrades!$P$9,H222)*POWER(Upgrades!$P$10,I222)*POWER(Upgrades!$P$11,J222)*POWER(Upgrades!$P$12,K222)*60</f>
        <v>375</v>
      </c>
      <c r="AE222" s="27" t="n">
        <f aca="false">(IF(K222=0,0,(Upgrades!$G$12+K222*Upgrades!$H$12)*POWER(Upgrades!$I$12,K222)))*(IF(Upgrades!$T$6="First Photons",POWER(Upgrades!$U$6,E222),1)*IF(Upgrades!$T$7="First Photons",POWER(Upgrades!$U$7,F222),1)*IF(Upgrades!$T$8="First Photons",POWER(Upgrades!$U$8,G222),1)*IF(Upgrades!$T$9="First Photons",POWER(Upgrades!$U$9,H222),1)*IF(Upgrades!$T$10="First Photons",POWER(Upgrades!$U$10,I222),1)*IF(Upgrades!$T$11="First Photons",POWER(Upgrades!$U$11,J222),1))*POWER(Upgrades!$P$6,E222)*POWER(Upgrades!$P$7,F222)*POWER(Upgrades!$P$8,G222)*POWER(Upgrades!$P$9,H222)*POWER(Upgrades!$P$10,I222)*POWER(Upgrades!$P$11,J222)*POWER(Upgrades!$P$12,K222)*60</f>
        <v>75</v>
      </c>
      <c r="AF222" s="27" t="n">
        <f aca="false">Parameters!$B$9*POWER(Upgrades!$Q$6,E222)*POWER(Upgrades!$Q$7,F222)*POWER(Upgrades!$Q$8,G222)*POWER(Upgrades!$Q$9,H222)*POWER(Upgrades!$Q$10,I222)*POWER(Upgrades!$Q$11,J222)*POWER(Upgrades!$Q$12,K222)*(Parameters!$B$10*Parameters!$B$11+O222*60)</f>
        <v>120</v>
      </c>
      <c r="AG222" s="21" t="n">
        <f aca="false">IF(E222&gt;=Upgrades!$E$6,"",Upgrades!$C$6*POWER(Upgrades!$D$6,E222))</f>
        <v>37.4517507383159</v>
      </c>
      <c r="AH222" s="21" t="n">
        <f aca="false">IF(F222&gt;=Upgrades!$E$7,"",Upgrades!$C$7*POWER(Upgrades!$D$7,F222))</f>
        <v>80.9111547141581</v>
      </c>
      <c r="AI222" s="21" t="n">
        <f aca="false">IF(G222&gt;=Upgrades!$E$8,"",Upgrades!$C$8*POWER(Upgrades!$D$8,G222))</f>
        <v>231.9097088</v>
      </c>
      <c r="AJ222" s="21" t="str">
        <f aca="false">IF(H222&gt;=Upgrades!$E$9,"",Upgrades!$C$9*POWER(Upgrades!$D$9,H222))</f>
        <v/>
      </c>
      <c r="AK222" s="21" t="str">
        <f aca="false">IF(I222&gt;=Upgrades!$E$10,"",Upgrades!$C$10*POWER(Upgrades!$D$10,I222))</f>
        <v/>
      </c>
      <c r="AL222" s="21" t="str">
        <f aca="false">IF(J222&gt;=Upgrades!$E$11,"",Upgrades!$C$11*POWER(Upgrades!$D$11,J222))</f>
        <v/>
      </c>
      <c r="AM222" s="21" t="str">
        <f aca="false">IF(K222&gt;=Upgrades!$E$12,"",Upgrades!$C$12*POWER(Upgrades!$D$12,K222))</f>
        <v/>
      </c>
      <c r="AN222" s="26" t="str">
        <f aca="false">IF(AND(D222&gt;=Parameters!$B$18,(H222&gt;=Upgrades!$E$9)*(K222&gt;=Upgrades!$E$12)=1,L222=0),1,"")</f>
        <v/>
      </c>
      <c r="AO222" s="26" t="str">
        <f aca="false">IF(AND(D222&gt;=Parameters!$B$18,L222=0),1,"")</f>
        <v/>
      </c>
      <c r="AP222" s="21" t="n">
        <f aca="false">MIN(IF(ISNUMBER(AK222),AK222,9000000000000000),IF(ISNUMBER(AL222),AL222,9000000000000000),IF(ISNUMBER(AM222),AM222,9000000000000000))</f>
        <v>9000000000000000</v>
      </c>
      <c r="AQ222" s="21" t="n">
        <f aca="false">MIN(IF(ISNUMBER(AG222),AG222,9000000000000000),IF(ISNUMBER(AH222),AH222,9000000000000000),IF(ISNUMBER(AI222),AI222,9000000000000000),IF(ISNUMBER(AJ222),AJ222,9000000000000000))</f>
        <v>37.4517507383159</v>
      </c>
      <c r="AR222" s="32" t="b">
        <f aca="false">IF(AW222&gt;Parameters!$B$21*(MAX(IF(AND(NOT(AND(AO222=1,AN222&lt;&gt;1)),ISNUMBER(AG222),AG222&lt;=T222),AS222,0),IF(AND(NOT(AND(AO222=1,AN222&lt;&gt;1)),ISNUMBER(AH222),AH222&lt;=T222),AT222,0),IF(AND(NOT(AND(AO222=1,AN222&lt;&gt;1)),ISNUMBER(AI222),AI222&lt;=T222),AU222,0),IF(AND(ISNUMBER(AJ222),AJ222&lt;=T222),AV222,0))),TRUE(),FALSE())</f>
        <v>1</v>
      </c>
      <c r="AS222" s="33" t="n">
        <f aca="false">IFERROR(Upgrades!$H$6*(POWER(Upgrades!$P$6,E222)*POWER(Upgrades!$P$7,F222)*POWER(Upgrades!$P$8,G222)*POWER(Upgrades!$P$9,H222)*POWER(Upgrades!$P$10,I222)*POWER(Upgrades!$P$11,J222)*POWER(Upgrades!$P$12,K222))*(IF(Upgrades!$T$7="Solar Wind",POWER(Upgrades!$U$7,F222),1)*IF(Upgrades!$T$8="Solar Wind",POWER(Upgrades!$U$8,G222),1)*IF(Upgrades!$T$9="Solar Wind",POWER(Upgrades!$U$9,H222),1)*IF(Upgrades!$T$10="Solar Wind",POWER(Upgrades!$U$10,I222),1)*IF(Upgrades!$T$11="Solar Wind",POWER(Upgrades!$U$11,J222),1)*IF(Upgrades!$T$12="Solar Wind",POWER(Upgrades!$U$12,K222),1))/AG222,0)</f>
        <v>0.0026701021455238</v>
      </c>
      <c r="AT222" s="33" t="n">
        <f aca="false">IFERROR(Upgrades!$H$7*(POWER(Upgrades!$P$6,E222)*POWER(Upgrades!$P$7,F222)*POWER(Upgrades!$P$8,G222)*POWER(Upgrades!$P$9,H222)*POWER(Upgrades!$P$10,I222)*POWER(Upgrades!$P$11,J222)*POWER(Upgrades!$P$12,K222))*(IF(Upgrades!$T$6="Asteroid Belt",POWER(Upgrades!$U$6,E222),1)*IF(Upgrades!$T$8="Asteroid Belt",POWER(Upgrades!$U$8,G222),1)*IF(Upgrades!$T$9="Asteroid Belt",POWER(Upgrades!$U$9,H222),1)*IF(Upgrades!$T$10="Asteroid Belt",POWER(Upgrades!$U$10,I222),1)*IF(Upgrades!$T$11="Asteroid Belt",POWER(Upgrades!$U$11,J222),1)*IF(Upgrades!$T$12="Asteroid Belt",POWER(Upgrades!$U$12,K222),1))/AH222,0)</f>
        <v>0.00308980882652332</v>
      </c>
      <c r="AU222" s="33" t="n">
        <f aca="false">IFERROR(Upgrades!$K$8*(POWER(Upgrades!$Q$6,E222)*POWER(Upgrades!$Q$7,F222)*POWER(Upgrades!$Q$8,G222)*POWER(Upgrades!$Q$9,H222)*POWER(Upgrades!$Q$10,I222)*POWER(Upgrades!$Q$11,J222)*POWER(Upgrades!$Q$12,K222))*(IF(Upgrades!$T$6="Stellar Coupling",POWER(Upgrades!$U$6,E222),1)*IF(Upgrades!$T$7="Stellar Coupling",POWER(Upgrades!$U$7,F222),1)*IF(Upgrades!$T$9="Stellar Coupling",POWER(Upgrades!$U$9,H222),1)*IF(Upgrades!$T$10="Stellar Coupling",POWER(Upgrades!$U$10,I222),1)*IF(Upgrades!$T$11="Stellar Coupling",POWER(Upgrades!$U$11,J222),1)*IF(Upgrades!$T$12="Stellar Coupling",POWER(Upgrades!$U$12,K222),1))*Parameters!$B$10*Parameters!$B$11/60/AI222,0)</f>
        <v>0.00452762415783776</v>
      </c>
      <c r="AV222" s="33" t="n">
        <f aca="false">IFERROR(Upgrades!$H$9*(POWER(Upgrades!$P$6,E222)*POWER(Upgrades!$P$7,F222)*POWER(Upgrades!$P$8,G222)*POWER(Upgrades!$P$9,H222)*POWER(Upgrades!$P$10,I222)*POWER(Upgrades!$P$11,J222)*POWER(Upgrades!$P$12,K222))*(IF(Upgrades!$T$6="Magnetosphere",POWER(Upgrades!$U$6,E222),1)*IF(Upgrades!$T$7="Magnetosphere",POWER(Upgrades!$U$7,F222),1)*IF(Upgrades!$T$8="Magnetosphere",POWER(Upgrades!$U$8,G222),1)*IF(Upgrades!$T$10="Magnetosphere",POWER(Upgrades!$U$10,I222),1)*IF(Upgrades!$T$11="Magnetosphere",POWER(Upgrades!$U$11,J222),1)*IF(Upgrades!$T$12="Magnetosphere",POWER(Upgrades!$U$12,K222),1))/AJ222,0)</f>
        <v>0</v>
      </c>
      <c r="AW222" s="33" t="n">
        <f aca="false">MAX(IF(I222&gt;0,0,IFERROR(0.25*N222/Upgrades!$C$10,0)),IF(J222&gt;0,0,IFERROR(0.5*((IF(G222=0,0,(Upgrades!$J$8+G222*Upgrades!$K$8)*POWER(Upgrades!$L$8,G222)))*(IF(Upgrades!$T$6="Stellar Coupling",POWER(Upgrades!$U$6,E222),1)*IF(Upgrades!$T$7="Stellar Coupling",POWER(Upgrades!$U$7,F222),1)*IF(Upgrades!$T$9="Stellar Coupling",POWER(Upgrades!$U$9,H222),1)*IF(Upgrades!$T$10="Stellar Coupling",POWER(Upgrades!$U$10,I222),1)*IF(Upgrades!$T$11="Stellar Coupling",POWER(Upgrades!$U$11,J222),1)*IF(Upgrades!$T$12="Stellar Coupling",POWER(Upgrades!$U$12,K222),1))*(POWER(Upgrades!$Q$6,E222)*POWER(Upgrades!$Q$7,F222)*POWER(Upgrades!$Q$8,G222)*POWER(Upgrades!$Q$9,H222)*POWER(Upgrades!$Q$10,I222)*POWER(Upgrades!$Q$11,J222)*POWER(Upgrades!$Q$12,K222))*Parameters!$B$10*Parameters!$B$11/60)/Upgrades!$C$11,0)),IF(K222&gt;0,0,IFERROR((1*(POWER(Upgrades!$P$6,E222)*POWER(Upgrades!$P$7,F222)*POWER(Upgrades!$P$8,G222)*POWER(Upgrades!$P$9,H222)*POWER(Upgrades!$P$10,I222)*POWER(Upgrades!$P$11,J222)*POWER(Upgrades!$P$12,K222))+0.2*M222*Parameters!$B$10*Parameters!$B$11/60)/Upgrades!$C$12,0)),IF(AND(ISNUMBER(AG222),AG222&gt;T222),AS222,0),IF(AND(ISNUMBER(AH222),AH222&gt;T222),AT222,0),IF(AND(ISNUMBER(AI222),AI222&gt;T222),AU222,0),IF(AND(ISNUMBER(AJ222),AJ222&gt;T222),AV222,0))</f>
        <v>0.00452762415783776</v>
      </c>
      <c r="AX222" s="29" t="str">
        <f aca="false">IF(AN222=1,"transition",IF(MIN(IF(AND(I222=0,ISNUMBER(AK222),AK222&lt;=T222),AK222,9000000000000000),IF(AND(J222=0,ISNUMBER(AL222),AL222&lt;=T222),AL222,9000000000000000),IF(AND(K222=0,ISNUMBER(AM222),AM222&lt;=T222),AM222,9000000000000000))&lt;9000000000000000,IF(AND(AND(I222=0,ISNUMBER(AK222),AK222&lt;=T222),AK222=MIN(IF(AND(I222=0,ISNUMBER(AK222),AK222&lt;=T222),AK222,9000000000000000),IF(AND(J222=0,ISNUMBER(AL222),AL222&lt;=T222),AL222,9000000000000000),IF(AND(K222=0,ISNUMBER(AM222),AM222&lt;=T222),AM222,9000000000000000))),"OR",IF(AND(AND(J222=0,ISNUMBER(AL222),AL222&lt;=T222),AL222=MIN(IF(AND(I222=0,ISNUMBER(AK222),AK222&lt;=T222),AK222,9000000000000000),IF(AND(J222=0,ISNUMBER(AL222),AL222&lt;=T222),AL222,9000000000000000),IF(AND(K222=0,ISNUMBER(AM222),AM222&lt;=T222),AM222,9000000000000000))),"HP","FP")),IF(AR222=TRUE(),"",IF(MAX(IF(AND(NOT(AND(AO222=1,AN222&lt;&gt;1)),ISNUMBER(AG222),AG222&lt;=T222),AS222,0),IF(AND(NOT(AND(AO222=1,AN222&lt;&gt;1)),ISNUMBER(AH222),AH222&lt;=T222),AT222,0),IF(AND(NOT(AND(AO222=1,AN222&lt;&gt;1)),ISNUMBER(AI222),AI222&lt;=T222),AU222,0),IF(AND(ISNUMBER(AJ222),AJ222&lt;=T222),AV222,0))&lt;=0,"",IF(AND(IF(AND(NOT(AND(AO222=1,AN222&lt;&gt;1)),ISNUMBER(AG222),AG222&lt;=T222),AS222,0)&gt;0,IF(AND(NOT(AND(AO222=1,AN222&lt;&gt;1)),ISNUMBER(AG222),AG222&lt;=T222),AS222,0)=MAX(IF(AND(NOT(AND(AO222=1,AN222&lt;&gt;1)),ISNUMBER(AG222),AG222&lt;=T222),AS222,0),IF(AND(NOT(AND(AO222=1,AN222&lt;&gt;1)),ISNUMBER(AH222),AH222&lt;=T222),AT222,0),IF(AND(NOT(AND(AO222=1,AN222&lt;&gt;1)),ISNUMBER(AI222),AI222&lt;=T222),AU222,0),IF(AND(ISNUMBER(AJ222),AJ222&lt;=T222),AV222,0))),"SW",IF(AND(IF(AND(NOT(AND(AO222=1,AN222&lt;&gt;1)),ISNUMBER(AH222),AH222&lt;=T222),AT222,0)&gt;0,IF(AND(NOT(AND(AO222=1,AN222&lt;&gt;1)),ISNUMBER(AH222),AH222&lt;=T222),AT222,0)=MAX(IF(AND(NOT(AND(AO222=1,AN222&lt;&gt;1)),ISNUMBER(AG222),AG222&lt;=T222),AS222,0),IF(AND(NOT(AND(AO222=1,AN222&lt;&gt;1)),ISNUMBER(AH222),AH222&lt;=T222),AT222,0),IF(AND(NOT(AND(AO222=1,AN222&lt;&gt;1)),ISNUMBER(AI222),AI222&lt;=T222),AU222,0),IF(AND(ISNUMBER(AJ222),AJ222&lt;=T222),AV222,0))),"AB",IF(AND(IF(AND(NOT(AND(AO222=1,AN222&lt;&gt;1)),ISNUMBER(AI222),AI222&lt;=T222),AU222,0)&gt;0,IF(AND(NOT(AND(AO222=1,AN222&lt;&gt;1)),ISNUMBER(AI222),AI222&lt;=T222),AU222,0)=MAX(IF(AND(NOT(AND(AO222=1,AN222&lt;&gt;1)),ISNUMBER(AG222),AG222&lt;=T222),AS222,0),IF(AND(NOT(AND(AO222=1,AN222&lt;&gt;1)),ISNUMBER(AH222),AH222&lt;=T222),AT222,0),IF(AND(NOT(AND(AO222=1,AN222&lt;&gt;1)),ISNUMBER(AI222),AI222&lt;=T222),AU222,0),IF(AND(ISNUMBER(AJ222),AJ222&lt;=T222),AV222,0))),"SC","Mag")))))))</f>
        <v/>
      </c>
    </row>
    <row r="223" customFormat="false" ht="15" hidden="false" customHeight="false" outlineLevel="0" collapsed="false">
      <c r="A223" s="26" t="n">
        <v>218</v>
      </c>
      <c r="B223" s="27" t="n">
        <f aca="false">A223*10/60</f>
        <v>36.3333333333333</v>
      </c>
      <c r="C223" s="21" t="n">
        <f aca="false">X222</f>
        <v>18.6730249835055</v>
      </c>
      <c r="D223" s="27" t="n">
        <f aca="false">D222+W222</f>
        <v>0</v>
      </c>
      <c r="E223" s="26" t="n">
        <f aca="false">E222+IF(U222="SW",1,0)</f>
        <v>12</v>
      </c>
      <c r="F223" s="26" t="n">
        <f aca="false">F222+IF(U222="AB",1,0)</f>
        <v>10</v>
      </c>
      <c r="G223" s="26" t="n">
        <f aca="false">G222+IF(U222="SC",1,0)</f>
        <v>7</v>
      </c>
      <c r="H223" s="26" t="n">
        <f aca="false">H222+IF(U222="Mag",1,0)</f>
        <v>5</v>
      </c>
      <c r="I223" s="26" t="n">
        <f aca="false">MAX(I222,IF(U222="OR",1,0))</f>
        <v>1</v>
      </c>
      <c r="J223" s="26" t="n">
        <f aca="false">MAX(J222,IF(U222="HP",1,0))</f>
        <v>1</v>
      </c>
      <c r="K223" s="26" t="n">
        <f aca="false">MAX(K222,IF(U222="FP",1,0))</f>
        <v>1</v>
      </c>
      <c r="L223" s="26" t="n">
        <f aca="false">MAX(L222,IF(U222="transition",1,0))</f>
        <v>1</v>
      </c>
      <c r="M223" s="28" t="n">
        <f aca="false">(Parameters!$B$9+(IF(E223=0,0,(Upgrades!$J$6+E223*Upgrades!$K$6)*POWER(Upgrades!$L$6,E223)))*(IF(Upgrades!$T$7="Solar Wind",POWER(Upgrades!$U$7,F223),1)*IF(Upgrades!$T$8="Solar Wind",POWER(Upgrades!$U$8,G223),1)*IF(Upgrades!$T$9="Solar Wind",POWER(Upgrades!$U$9,H223),1)*IF(Upgrades!$T$10="Solar Wind",POWER(Upgrades!$U$10,I223),1)*IF(Upgrades!$T$11="Solar Wind",POWER(Upgrades!$U$11,J223),1)*IF(Upgrades!$T$12="Solar Wind",POWER(Upgrades!$U$12,K223),1))+(IF(F223=0,0,(Upgrades!$J$7+F223*Upgrades!$K$7)*POWER(Upgrades!$L$7,F223)))*(IF(Upgrades!$T$6="Asteroid Belt",POWER(Upgrades!$U$6,E223),1)*IF(Upgrades!$T$8="Asteroid Belt",POWER(Upgrades!$U$8,G223),1)*IF(Upgrades!$T$9="Asteroid Belt",POWER(Upgrades!$U$9,H223),1)*IF(Upgrades!$T$10="Asteroid Belt",POWER(Upgrades!$U$10,I223),1)*IF(Upgrades!$T$11="Asteroid Belt",POWER(Upgrades!$U$11,J223),1)*IF(Upgrades!$T$12="Asteroid Belt",POWER(Upgrades!$U$12,K223),1))+(IF(G223=0,0,(Upgrades!$J$8+G223*Upgrades!$K$8)*POWER(Upgrades!$L$8,G223)))*(IF(Upgrades!$T$6="Stellar Coupling",POWER(Upgrades!$U$6,E223),1)*IF(Upgrades!$T$7="Stellar Coupling",POWER(Upgrades!$U$7,F223),1)*IF(Upgrades!$T$9="Stellar Coupling",POWER(Upgrades!$U$9,H223),1)*IF(Upgrades!$T$10="Stellar Coupling",POWER(Upgrades!$U$10,I223),1)*IF(Upgrades!$T$11="Stellar Coupling",POWER(Upgrades!$U$11,J223),1)*IF(Upgrades!$T$12="Stellar Coupling",POWER(Upgrades!$U$12,K223),1))+(IF(H223=0,0,(Upgrades!$J$9+H223*Upgrades!$K$9)*POWER(Upgrades!$L$9,H223)))*(IF(Upgrades!$T$6="Magnetosphere",POWER(Upgrades!$U$6,E223),1)*IF(Upgrades!$T$7="Magnetosphere",POWER(Upgrades!$U$7,F223),1)*IF(Upgrades!$T$8="Magnetosphere",POWER(Upgrades!$U$8,G223),1)*IF(Upgrades!$T$10="Magnetosphere",POWER(Upgrades!$U$10,I223),1)*IF(Upgrades!$T$11="Magnetosphere",POWER(Upgrades!$U$11,J223),1)*IF(Upgrades!$T$12="Magnetosphere",POWER(Upgrades!$U$12,K223),1))+(IF(I223=0,0,(Upgrades!$J$10+I223*Upgrades!$K$10)*POWER(Upgrades!$L$10,I223)))*(IF(Upgrades!$T$6="Orbital Resonance",POWER(Upgrades!$U$6,E223),1)*IF(Upgrades!$T$7="Orbital Resonance",POWER(Upgrades!$U$7,F223),1)*IF(Upgrades!$T$8="Orbital Resonance",POWER(Upgrades!$U$8,G223),1)*IF(Upgrades!$T$9="Orbital Resonance",POWER(Upgrades!$U$9,H223),1)*IF(Upgrades!$T$11="Orbital Resonance",POWER(Upgrades!$U$11,J223),1)*IF(Upgrades!$T$12="Orbital Resonance",POWER(Upgrades!$U$12,K223),1))+(IF(J223=0,0,(Upgrades!$J$11+J223*Upgrades!$K$11)*POWER(Upgrades!$L$11,J223)))*(IF(Upgrades!$T$6="Heliopause",POWER(Upgrades!$U$6,E223),1)*IF(Upgrades!$T$7="Heliopause",POWER(Upgrades!$U$7,F223),1)*IF(Upgrades!$T$8="Heliopause",POWER(Upgrades!$U$8,G223),1)*IF(Upgrades!$T$9="Heliopause",POWER(Upgrades!$U$9,H223),1)*IF(Upgrades!$T$10="Heliopause",POWER(Upgrades!$U$10,I223),1)*IF(Upgrades!$T$12="Heliopause",POWER(Upgrades!$U$12,K223),1))+(IF(K223=0,0,(Upgrades!$J$12+K223*Upgrades!$K$12)*POWER(Upgrades!$L$12,K223)))*(IF(Upgrades!$T$6="First Photons",POWER(Upgrades!$U$6,E223),1)*IF(Upgrades!$T$7="First Photons",POWER(Upgrades!$U$7,F223),1)*IF(Upgrades!$T$8="First Photons",POWER(Upgrades!$U$8,G223),1)*IF(Upgrades!$T$9="First Photons",POWER(Upgrades!$U$9,H223),1)*IF(Upgrades!$T$10="First Photons",POWER(Upgrades!$U$10,I223),1)*IF(Upgrades!$T$11="First Photons",POWER(Upgrades!$U$11,J223),1)))*POWER(Upgrades!$Q$6,E223)*POWER(Upgrades!$Q$7,F223)*POWER(Upgrades!$Q$8,G223)*POWER(Upgrades!$Q$9,H223)*POWER(Upgrades!$Q$10,I223)*POWER(Upgrades!$Q$11,J223)*POWER(Upgrades!$Q$12,K223)</f>
        <v>5.61</v>
      </c>
      <c r="N223" s="28" t="n">
        <f aca="false">((IF(E223=0,0,(Upgrades!$G$6+E223*Upgrades!$H$6)*POWER(Upgrades!$I$6,E223)))*(IF(Upgrades!$T$7="Solar Wind",POWER(Upgrades!$U$7,F223),1)*IF(Upgrades!$T$8="Solar Wind",POWER(Upgrades!$U$8,G223),1)*IF(Upgrades!$T$9="Solar Wind",POWER(Upgrades!$U$9,H223),1)*IF(Upgrades!$T$10="Solar Wind",POWER(Upgrades!$U$10,I223),1)*IF(Upgrades!$T$11="Solar Wind",POWER(Upgrades!$U$11,J223),1)*IF(Upgrades!$T$12="Solar Wind",POWER(Upgrades!$U$12,K223),1))+(IF(F223=0,0,(Upgrades!$G$7+F223*Upgrades!$H$7)*POWER(Upgrades!$I$7,F223)))*(IF(Upgrades!$T$6="Asteroid Belt",POWER(Upgrades!$U$6,E223),1)*IF(Upgrades!$T$8="Asteroid Belt",POWER(Upgrades!$U$8,G223),1)*IF(Upgrades!$T$9="Asteroid Belt",POWER(Upgrades!$U$9,H223),1)*IF(Upgrades!$T$10="Asteroid Belt",POWER(Upgrades!$U$10,I223),1)*IF(Upgrades!$T$11="Asteroid Belt",POWER(Upgrades!$U$11,J223),1)*IF(Upgrades!$T$12="Asteroid Belt",POWER(Upgrades!$U$12,K223),1))+(IF(G223=0,0,(Upgrades!$G$8+G223*Upgrades!$H$8)*POWER(Upgrades!$I$8,G223)))*(IF(Upgrades!$T$6="Stellar Coupling",POWER(Upgrades!$U$6,E223),1)*IF(Upgrades!$T$7="Stellar Coupling",POWER(Upgrades!$U$7,F223),1)*IF(Upgrades!$T$9="Stellar Coupling",POWER(Upgrades!$U$9,H223),1)*IF(Upgrades!$T$10="Stellar Coupling",POWER(Upgrades!$U$10,I223),1)*IF(Upgrades!$T$11="Stellar Coupling",POWER(Upgrades!$U$11,J223),1)*IF(Upgrades!$T$12="Stellar Coupling",POWER(Upgrades!$U$12,K223),1))+(IF(H223=0,0,(Upgrades!$G$9+H223*Upgrades!$H$9)*POWER(Upgrades!$I$9,H223)))*(IF(Upgrades!$T$6="Magnetosphere",POWER(Upgrades!$U$6,E223),1)*IF(Upgrades!$T$7="Magnetosphere",POWER(Upgrades!$U$7,F223),1)*IF(Upgrades!$T$8="Magnetosphere",POWER(Upgrades!$U$8,G223),1)*IF(Upgrades!$T$10="Magnetosphere",POWER(Upgrades!$U$10,I223),1)*IF(Upgrades!$T$11="Magnetosphere",POWER(Upgrades!$U$11,J223),1)*IF(Upgrades!$T$12="Magnetosphere",POWER(Upgrades!$U$12,K223),1))+(IF(I223=0,0,(Upgrades!$G$10+I223*Upgrades!$H$10)*POWER(Upgrades!$I$10,I223)))*(IF(Upgrades!$T$6="Orbital Resonance",POWER(Upgrades!$U$6,E223),1)*IF(Upgrades!$T$7="Orbital Resonance",POWER(Upgrades!$U$7,F223),1)*IF(Upgrades!$T$8="Orbital Resonance",POWER(Upgrades!$U$8,G223),1)*IF(Upgrades!$T$9="Orbital Resonance",POWER(Upgrades!$U$9,H223),1)*IF(Upgrades!$T$11="Orbital Resonance",POWER(Upgrades!$U$11,J223),1)*IF(Upgrades!$T$12="Orbital Resonance",POWER(Upgrades!$U$12,K223),1))+(IF(J223=0,0,(Upgrades!$G$11+J223*Upgrades!$H$11)*POWER(Upgrades!$I$11,J223)))*(IF(Upgrades!$T$6="Heliopause",POWER(Upgrades!$U$6,E223),1)*IF(Upgrades!$T$7="Heliopause",POWER(Upgrades!$U$7,F223),1)*IF(Upgrades!$T$8="Heliopause",POWER(Upgrades!$U$8,G223),1)*IF(Upgrades!$T$9="Heliopause",POWER(Upgrades!$U$9,H223),1)*IF(Upgrades!$T$10="Heliopause",POWER(Upgrades!$U$10,I223),1)*IF(Upgrades!$T$12="Heliopause",POWER(Upgrades!$U$12,K223),1))+(IF(K223=0,0,(Upgrades!$G$12+K223*Upgrades!$H$12)*POWER(Upgrades!$I$12,K223)))*(IF(Upgrades!$T$6="First Photons",POWER(Upgrades!$U$6,E223),1)*IF(Upgrades!$T$7="First Photons",POWER(Upgrades!$U$7,F223),1)*IF(Upgrades!$T$8="First Photons",POWER(Upgrades!$U$8,G223),1)*IF(Upgrades!$T$9="First Photons",POWER(Upgrades!$U$9,H223),1)*IF(Upgrades!$T$10="First Photons",POWER(Upgrades!$U$10,I223),1)*IF(Upgrades!$T$11="First Photons",POWER(Upgrades!$U$11,J223),1)))*POWER(Upgrades!$P$6,E223)*POWER(Upgrades!$P$7,F223)*POWER(Upgrades!$P$8,G223)*POWER(Upgrades!$P$9,H223)*POWER(Upgrades!$P$10,I223)*POWER(Upgrades!$P$11,J223)*POWER(Upgrades!$P$12,K223)</f>
        <v>11.2</v>
      </c>
      <c r="O223" s="28" t="n">
        <f aca="false">((IF(E223=0,0,(Upgrades!$M$6+E223*Upgrades!$N$6)*POWER(Upgrades!$O$6,E223)))*(IF(Upgrades!$T$7="Solar Wind",POWER(Upgrades!$U$7,F223),1)*IF(Upgrades!$T$8="Solar Wind",POWER(Upgrades!$U$8,G223),1)*IF(Upgrades!$T$9="Solar Wind",POWER(Upgrades!$U$9,H223),1)*IF(Upgrades!$T$10="Solar Wind",POWER(Upgrades!$U$10,I223),1)*IF(Upgrades!$T$11="Solar Wind",POWER(Upgrades!$U$11,J223),1)*IF(Upgrades!$T$12="Solar Wind",POWER(Upgrades!$U$12,K223),1))+(IF(F223=0,0,(Upgrades!$M$7+F223*Upgrades!$N$7)*POWER(Upgrades!$O$7,F223)))*(IF(Upgrades!$T$6="Asteroid Belt",POWER(Upgrades!$U$6,E223),1)*IF(Upgrades!$T$8="Asteroid Belt",POWER(Upgrades!$U$8,G223),1)*IF(Upgrades!$T$9="Asteroid Belt",POWER(Upgrades!$U$9,H223),1)*IF(Upgrades!$T$10="Asteroid Belt",POWER(Upgrades!$U$10,I223),1)*IF(Upgrades!$T$11="Asteroid Belt",POWER(Upgrades!$U$11,J223),1)*IF(Upgrades!$T$12="Asteroid Belt",POWER(Upgrades!$U$12,K223),1))+(IF(G223=0,0,(Upgrades!$M$8+G223*Upgrades!$N$8)*POWER(Upgrades!$O$8,G223)))*(IF(Upgrades!$T$6="Stellar Coupling",POWER(Upgrades!$U$6,E223),1)*IF(Upgrades!$T$7="Stellar Coupling",POWER(Upgrades!$U$7,F223),1)*IF(Upgrades!$T$9="Stellar Coupling",POWER(Upgrades!$U$9,H223),1)*IF(Upgrades!$T$10="Stellar Coupling",POWER(Upgrades!$U$10,I223),1)*IF(Upgrades!$T$11="Stellar Coupling",POWER(Upgrades!$U$11,J223),1)*IF(Upgrades!$T$12="Stellar Coupling",POWER(Upgrades!$U$12,K223),1))+(IF(H223=0,0,(Upgrades!$M$9+H223*Upgrades!$N$9)*POWER(Upgrades!$O$9,H223)))*(IF(Upgrades!$T$6="Magnetosphere",POWER(Upgrades!$U$6,E223),1)*IF(Upgrades!$T$7="Magnetosphere",POWER(Upgrades!$U$7,F223),1)*IF(Upgrades!$T$8="Magnetosphere",POWER(Upgrades!$U$8,G223),1)*IF(Upgrades!$T$10="Magnetosphere",POWER(Upgrades!$U$10,I223),1)*IF(Upgrades!$T$11="Magnetosphere",POWER(Upgrades!$U$11,J223),1)*IF(Upgrades!$T$12="Magnetosphere",POWER(Upgrades!$U$12,K223),1))+(IF(I223=0,0,(Upgrades!$M$10+I223*Upgrades!$N$10)*POWER(Upgrades!$O$10,I223)))*(IF(Upgrades!$T$6="Orbital Resonance",POWER(Upgrades!$U$6,E223),1)*IF(Upgrades!$T$7="Orbital Resonance",POWER(Upgrades!$U$7,F223),1)*IF(Upgrades!$T$8="Orbital Resonance",POWER(Upgrades!$U$8,G223),1)*IF(Upgrades!$T$9="Orbital Resonance",POWER(Upgrades!$U$9,H223),1)*IF(Upgrades!$T$11="Orbital Resonance",POWER(Upgrades!$U$11,J223),1)*IF(Upgrades!$T$12="Orbital Resonance",POWER(Upgrades!$U$12,K223),1))+(IF(J223=0,0,(Upgrades!$M$11+J223*Upgrades!$N$11)*POWER(Upgrades!$O$11,J223)))*(IF(Upgrades!$T$6="Heliopause",POWER(Upgrades!$U$6,E223),1)*IF(Upgrades!$T$7="Heliopause",POWER(Upgrades!$U$7,F223),1)*IF(Upgrades!$T$8="Heliopause",POWER(Upgrades!$U$8,G223),1)*IF(Upgrades!$T$9="Heliopause",POWER(Upgrades!$U$9,H223),1)*IF(Upgrades!$T$10="Heliopause",POWER(Upgrades!$U$10,I223),1)*IF(Upgrades!$T$12="Heliopause",POWER(Upgrades!$U$12,K223),1))+(IF(K223=0,0,(Upgrades!$M$12+K223*Upgrades!$N$12)*POWER(Upgrades!$O$12,K223)))*(IF(Upgrades!$T$6="First Photons",POWER(Upgrades!$U$6,E223),1)*IF(Upgrades!$T$7="First Photons",POWER(Upgrades!$U$7,F223),1)*IF(Upgrades!$T$8="First Photons",POWER(Upgrades!$U$8,G223),1)*IF(Upgrades!$T$9="First Photons",POWER(Upgrades!$U$9,H223),1)*IF(Upgrades!$T$10="First Photons",POWER(Upgrades!$U$10,I223),1)*IF(Upgrades!$T$11="First Photons",POWER(Upgrades!$U$11,J223),1)))*POWER(Upgrades!$R$6,E223)*POWER(Upgrades!$R$7,F223)*POWER(Upgrades!$R$8,G223)*POWER(Upgrades!$R$9,H223)*POWER(Upgrades!$R$10,I223)*POWER(Upgrades!$R$11,J223)*POWER(Upgrades!$R$12,K223)</f>
        <v>0</v>
      </c>
      <c r="P223" s="27" t="n">
        <f aca="false">IF(L223=1,0,M223*Parameters!$B$10/60*Parameters!$B$11*10)</f>
        <v>0</v>
      </c>
      <c r="Q223" s="27" t="n">
        <f aca="false">IF(L223=1,0,O223*M223*10)</f>
        <v>0</v>
      </c>
      <c r="R223" s="27" t="n">
        <f aca="false">IF(L223=1,0,N223*10)</f>
        <v>0</v>
      </c>
      <c r="S223" s="27" t="n">
        <f aca="false">P223+Q223+R223</f>
        <v>0</v>
      </c>
      <c r="T223" s="21" t="n">
        <f aca="false">C223+S223</f>
        <v>18.6730249835055</v>
      </c>
      <c r="U223" s="34" t="str">
        <f aca="false">AX223</f>
        <v/>
      </c>
      <c r="V223" s="21" t="n">
        <f aca="false">IF(U223="",0,IF(U223="transition",0,IF(U223="SW",AG223,IF(U223="AB",AH223,IF(U223="SC",AI223,IF(U223="Mag",AJ223,IF(U223="OR",AK223,IF(U223="HP",AL223,IF(U223="FP",AM223,0)))))))))</f>
        <v>0</v>
      </c>
      <c r="W223" s="27" t="n">
        <f aca="false">IF(U223="OR",Upgrades!$F$10,IF(U223="HP",Upgrades!$F$11,IF(U223="transition",-Parameters!$B$18,0)))</f>
        <v>0</v>
      </c>
      <c r="X223" s="21" t="n">
        <f aca="false">T223-V223</f>
        <v>18.6730249835055</v>
      </c>
      <c r="Y223" s="30" t="n">
        <f aca="false">M223*Parameters!$B$10/60*Parameters!$B$11+O223*M223+N223</f>
        <v>20.55</v>
      </c>
      <c r="Z223" s="35" t="str">
        <f aca="false">IF(U223="transition","→ Tier 2 (Stellar Neighborhood)",IF(U223="FP","First Photons — light begins, system quickens",IF(U223="HP","Heliopause acquired",IF(U223="OR","Orbital Resonance — passive multiplier active",IF(AND(AO223=1,L223=0,AN223&lt;&gt;1),"Cohesion ready (waiting on completionist upgrades)","")))))</f>
        <v/>
      </c>
      <c r="AA223" s="27" t="n">
        <f aca="false">(IF(E223=0,0,(Upgrades!$G$6+E223*Upgrades!$H$6)*POWER(Upgrades!$I$6,E223)))*(IF(Upgrades!$T$7="Solar Wind",POWER(Upgrades!$U$7,F223),1)*IF(Upgrades!$T$8="Solar Wind",POWER(Upgrades!$U$8,G223),1)*IF(Upgrades!$T$9="Solar Wind",POWER(Upgrades!$U$9,H223),1)*IF(Upgrades!$T$10="Solar Wind",POWER(Upgrades!$U$10,I223),1)*IF(Upgrades!$T$11="Solar Wind",POWER(Upgrades!$U$11,J223),1)*IF(Upgrades!$T$12="Solar Wind",POWER(Upgrades!$U$12,K223),1))*POWER(Upgrades!$P$6,E223)*POWER(Upgrades!$P$7,F223)*POWER(Upgrades!$P$8,G223)*POWER(Upgrades!$P$9,H223)*POWER(Upgrades!$P$10,I223)*POWER(Upgrades!$P$11,J223)*POWER(Upgrades!$P$12,K223)*60</f>
        <v>72</v>
      </c>
      <c r="AB223" s="27" t="n">
        <f aca="false">(IF(F223=0,0,(Upgrades!$G$7+F223*Upgrades!$H$7)*POWER(Upgrades!$I$7,F223)))*(IF(Upgrades!$T$6="Asteroid Belt",POWER(Upgrades!$U$6,E223),1)*IF(Upgrades!$T$8="Asteroid Belt",POWER(Upgrades!$U$8,G223),1)*IF(Upgrades!$T$9="Asteroid Belt",POWER(Upgrades!$U$9,H223),1)*IF(Upgrades!$T$10="Asteroid Belt",POWER(Upgrades!$U$10,I223),1)*IF(Upgrades!$T$11="Asteroid Belt",POWER(Upgrades!$U$11,J223),1)*IF(Upgrades!$T$12="Asteroid Belt",POWER(Upgrades!$U$12,K223),1))*POWER(Upgrades!$P$6,E223)*POWER(Upgrades!$P$7,F223)*POWER(Upgrades!$P$8,G223)*POWER(Upgrades!$P$9,H223)*POWER(Upgrades!$P$10,I223)*POWER(Upgrades!$P$11,J223)*POWER(Upgrades!$P$12,K223)*60</f>
        <v>150</v>
      </c>
      <c r="AC223" s="27" t="n">
        <f aca="false">(IF(G223=0,0,(Upgrades!$J$8+G223*Upgrades!$K$8)*POWER(Upgrades!$L$8,G223)))*(IF(Upgrades!$T$6="Stellar Coupling",POWER(Upgrades!$U$6,E223),1)*IF(Upgrades!$T$7="Stellar Coupling",POWER(Upgrades!$U$7,F223),1)*IF(Upgrades!$T$9="Stellar Coupling",POWER(Upgrades!$U$9,H223),1)*IF(Upgrades!$T$10="Stellar Coupling",POWER(Upgrades!$U$10,I223),1)*IF(Upgrades!$T$11="Stellar Coupling",POWER(Upgrades!$U$11,J223),1)*IF(Upgrades!$T$12="Stellar Coupling",POWER(Upgrades!$U$12,K223),1))*POWER(Upgrades!$Q$6,E223)*POWER(Upgrades!$Q$7,F223)*POWER(Upgrades!$Q$8,G223)*POWER(Upgrades!$Q$9,H223)*POWER(Upgrades!$Q$10,I223)*POWER(Upgrades!$Q$11,J223)*POWER(Upgrades!$Q$12,K223)*Parameters!$B$10*Parameters!$B$11</f>
        <v>441</v>
      </c>
      <c r="AD223" s="27" t="n">
        <f aca="false">(IF(H223=0,0,(Upgrades!$G$9+H223*Upgrades!$H$9)*POWER(Upgrades!$I$9,H223)))*(IF(Upgrades!$T$6="Magnetosphere",POWER(Upgrades!$U$6,E223),1)*IF(Upgrades!$T$7="Magnetosphere",POWER(Upgrades!$U$7,F223),1)*IF(Upgrades!$T$8="Magnetosphere",POWER(Upgrades!$U$8,G223),1)*IF(Upgrades!$T$10="Magnetosphere",POWER(Upgrades!$U$10,I223),1)*IF(Upgrades!$T$11="Magnetosphere",POWER(Upgrades!$U$11,J223),1)*IF(Upgrades!$T$12="Magnetosphere",POWER(Upgrades!$U$12,K223),1))*POWER(Upgrades!$P$6,E223)*POWER(Upgrades!$P$7,F223)*POWER(Upgrades!$P$8,G223)*POWER(Upgrades!$P$9,H223)*POWER(Upgrades!$P$10,I223)*POWER(Upgrades!$P$11,J223)*POWER(Upgrades!$P$12,K223)*60</f>
        <v>375</v>
      </c>
      <c r="AE223" s="27" t="n">
        <f aca="false">(IF(K223=0,0,(Upgrades!$G$12+K223*Upgrades!$H$12)*POWER(Upgrades!$I$12,K223)))*(IF(Upgrades!$T$6="First Photons",POWER(Upgrades!$U$6,E223),1)*IF(Upgrades!$T$7="First Photons",POWER(Upgrades!$U$7,F223),1)*IF(Upgrades!$T$8="First Photons",POWER(Upgrades!$U$8,G223),1)*IF(Upgrades!$T$9="First Photons",POWER(Upgrades!$U$9,H223),1)*IF(Upgrades!$T$10="First Photons",POWER(Upgrades!$U$10,I223),1)*IF(Upgrades!$T$11="First Photons",POWER(Upgrades!$U$11,J223),1))*POWER(Upgrades!$P$6,E223)*POWER(Upgrades!$P$7,F223)*POWER(Upgrades!$P$8,G223)*POWER(Upgrades!$P$9,H223)*POWER(Upgrades!$P$10,I223)*POWER(Upgrades!$P$11,J223)*POWER(Upgrades!$P$12,K223)*60</f>
        <v>75</v>
      </c>
      <c r="AF223" s="27" t="n">
        <f aca="false">Parameters!$B$9*POWER(Upgrades!$Q$6,E223)*POWER(Upgrades!$Q$7,F223)*POWER(Upgrades!$Q$8,G223)*POWER(Upgrades!$Q$9,H223)*POWER(Upgrades!$Q$10,I223)*POWER(Upgrades!$Q$11,J223)*POWER(Upgrades!$Q$12,K223)*(Parameters!$B$10*Parameters!$B$11+O223*60)</f>
        <v>120</v>
      </c>
      <c r="AG223" s="21" t="n">
        <f aca="false">IF(E223&gt;=Upgrades!$E$6,"",Upgrades!$C$6*POWER(Upgrades!$D$6,E223))</f>
        <v>37.4517507383159</v>
      </c>
      <c r="AH223" s="21" t="n">
        <f aca="false">IF(F223&gt;=Upgrades!$E$7,"",Upgrades!$C$7*POWER(Upgrades!$D$7,F223))</f>
        <v>80.9111547141581</v>
      </c>
      <c r="AI223" s="21" t="n">
        <f aca="false">IF(G223&gt;=Upgrades!$E$8,"",Upgrades!$C$8*POWER(Upgrades!$D$8,G223))</f>
        <v>231.9097088</v>
      </c>
      <c r="AJ223" s="21" t="str">
        <f aca="false">IF(H223&gt;=Upgrades!$E$9,"",Upgrades!$C$9*POWER(Upgrades!$D$9,H223))</f>
        <v/>
      </c>
      <c r="AK223" s="21" t="str">
        <f aca="false">IF(I223&gt;=Upgrades!$E$10,"",Upgrades!$C$10*POWER(Upgrades!$D$10,I223))</f>
        <v/>
      </c>
      <c r="AL223" s="21" t="str">
        <f aca="false">IF(J223&gt;=Upgrades!$E$11,"",Upgrades!$C$11*POWER(Upgrades!$D$11,J223))</f>
        <v/>
      </c>
      <c r="AM223" s="21" t="str">
        <f aca="false">IF(K223&gt;=Upgrades!$E$12,"",Upgrades!$C$12*POWER(Upgrades!$D$12,K223))</f>
        <v/>
      </c>
      <c r="AN223" s="26" t="str">
        <f aca="false">IF(AND(D223&gt;=Parameters!$B$18,(H223&gt;=Upgrades!$E$9)*(K223&gt;=Upgrades!$E$12)=1,L223=0),1,"")</f>
        <v/>
      </c>
      <c r="AO223" s="26" t="str">
        <f aca="false">IF(AND(D223&gt;=Parameters!$B$18,L223=0),1,"")</f>
        <v/>
      </c>
      <c r="AP223" s="21" t="n">
        <f aca="false">MIN(IF(ISNUMBER(AK223),AK223,9000000000000000),IF(ISNUMBER(AL223),AL223,9000000000000000),IF(ISNUMBER(AM223),AM223,9000000000000000))</f>
        <v>9000000000000000</v>
      </c>
      <c r="AQ223" s="21" t="n">
        <f aca="false">MIN(IF(ISNUMBER(AG223),AG223,9000000000000000),IF(ISNUMBER(AH223),AH223,9000000000000000),IF(ISNUMBER(AI223),AI223,9000000000000000),IF(ISNUMBER(AJ223),AJ223,9000000000000000))</f>
        <v>37.4517507383159</v>
      </c>
      <c r="AR223" s="32" t="b">
        <f aca="false">IF(AW223&gt;Parameters!$B$21*(MAX(IF(AND(NOT(AND(AO223=1,AN223&lt;&gt;1)),ISNUMBER(AG223),AG223&lt;=T223),AS223,0),IF(AND(NOT(AND(AO223=1,AN223&lt;&gt;1)),ISNUMBER(AH223),AH223&lt;=T223),AT223,0),IF(AND(NOT(AND(AO223=1,AN223&lt;&gt;1)),ISNUMBER(AI223),AI223&lt;=T223),AU223,0),IF(AND(ISNUMBER(AJ223),AJ223&lt;=T223),AV223,0))),TRUE(),FALSE())</f>
        <v>1</v>
      </c>
      <c r="AS223" s="33" t="n">
        <f aca="false">IFERROR(Upgrades!$H$6*(POWER(Upgrades!$P$6,E223)*POWER(Upgrades!$P$7,F223)*POWER(Upgrades!$P$8,G223)*POWER(Upgrades!$P$9,H223)*POWER(Upgrades!$P$10,I223)*POWER(Upgrades!$P$11,J223)*POWER(Upgrades!$P$12,K223))*(IF(Upgrades!$T$7="Solar Wind",POWER(Upgrades!$U$7,F223),1)*IF(Upgrades!$T$8="Solar Wind",POWER(Upgrades!$U$8,G223),1)*IF(Upgrades!$T$9="Solar Wind",POWER(Upgrades!$U$9,H223),1)*IF(Upgrades!$T$10="Solar Wind",POWER(Upgrades!$U$10,I223),1)*IF(Upgrades!$T$11="Solar Wind",POWER(Upgrades!$U$11,J223),1)*IF(Upgrades!$T$12="Solar Wind",POWER(Upgrades!$U$12,K223),1))/AG223,0)</f>
        <v>0.0026701021455238</v>
      </c>
      <c r="AT223" s="33" t="n">
        <f aca="false">IFERROR(Upgrades!$H$7*(POWER(Upgrades!$P$6,E223)*POWER(Upgrades!$P$7,F223)*POWER(Upgrades!$P$8,G223)*POWER(Upgrades!$P$9,H223)*POWER(Upgrades!$P$10,I223)*POWER(Upgrades!$P$11,J223)*POWER(Upgrades!$P$12,K223))*(IF(Upgrades!$T$6="Asteroid Belt",POWER(Upgrades!$U$6,E223),1)*IF(Upgrades!$T$8="Asteroid Belt",POWER(Upgrades!$U$8,G223),1)*IF(Upgrades!$T$9="Asteroid Belt",POWER(Upgrades!$U$9,H223),1)*IF(Upgrades!$T$10="Asteroid Belt",POWER(Upgrades!$U$10,I223),1)*IF(Upgrades!$T$11="Asteroid Belt",POWER(Upgrades!$U$11,J223),1)*IF(Upgrades!$T$12="Asteroid Belt",POWER(Upgrades!$U$12,K223),1))/AH223,0)</f>
        <v>0.00308980882652332</v>
      </c>
      <c r="AU223" s="33" t="n">
        <f aca="false">IFERROR(Upgrades!$K$8*(POWER(Upgrades!$Q$6,E223)*POWER(Upgrades!$Q$7,F223)*POWER(Upgrades!$Q$8,G223)*POWER(Upgrades!$Q$9,H223)*POWER(Upgrades!$Q$10,I223)*POWER(Upgrades!$Q$11,J223)*POWER(Upgrades!$Q$12,K223))*(IF(Upgrades!$T$6="Stellar Coupling",POWER(Upgrades!$U$6,E223),1)*IF(Upgrades!$T$7="Stellar Coupling",POWER(Upgrades!$U$7,F223),1)*IF(Upgrades!$T$9="Stellar Coupling",POWER(Upgrades!$U$9,H223),1)*IF(Upgrades!$T$10="Stellar Coupling",POWER(Upgrades!$U$10,I223),1)*IF(Upgrades!$T$11="Stellar Coupling",POWER(Upgrades!$U$11,J223),1)*IF(Upgrades!$T$12="Stellar Coupling",POWER(Upgrades!$U$12,K223),1))*Parameters!$B$10*Parameters!$B$11/60/AI223,0)</f>
        <v>0.00452762415783776</v>
      </c>
      <c r="AV223" s="33" t="n">
        <f aca="false">IFERROR(Upgrades!$H$9*(POWER(Upgrades!$P$6,E223)*POWER(Upgrades!$P$7,F223)*POWER(Upgrades!$P$8,G223)*POWER(Upgrades!$P$9,H223)*POWER(Upgrades!$P$10,I223)*POWER(Upgrades!$P$11,J223)*POWER(Upgrades!$P$12,K223))*(IF(Upgrades!$T$6="Magnetosphere",POWER(Upgrades!$U$6,E223),1)*IF(Upgrades!$T$7="Magnetosphere",POWER(Upgrades!$U$7,F223),1)*IF(Upgrades!$T$8="Magnetosphere",POWER(Upgrades!$U$8,G223),1)*IF(Upgrades!$T$10="Magnetosphere",POWER(Upgrades!$U$10,I223),1)*IF(Upgrades!$T$11="Magnetosphere",POWER(Upgrades!$U$11,J223),1)*IF(Upgrades!$T$12="Magnetosphere",POWER(Upgrades!$U$12,K223),1))/AJ223,0)</f>
        <v>0</v>
      </c>
      <c r="AW223" s="33" t="n">
        <f aca="false">MAX(IF(I223&gt;0,0,IFERROR(0.25*N223/Upgrades!$C$10,0)),IF(J223&gt;0,0,IFERROR(0.5*((IF(G223=0,0,(Upgrades!$J$8+G223*Upgrades!$K$8)*POWER(Upgrades!$L$8,G223)))*(IF(Upgrades!$T$6="Stellar Coupling",POWER(Upgrades!$U$6,E223),1)*IF(Upgrades!$T$7="Stellar Coupling",POWER(Upgrades!$U$7,F223),1)*IF(Upgrades!$T$9="Stellar Coupling",POWER(Upgrades!$U$9,H223),1)*IF(Upgrades!$T$10="Stellar Coupling",POWER(Upgrades!$U$10,I223),1)*IF(Upgrades!$T$11="Stellar Coupling",POWER(Upgrades!$U$11,J223),1)*IF(Upgrades!$T$12="Stellar Coupling",POWER(Upgrades!$U$12,K223),1))*(POWER(Upgrades!$Q$6,E223)*POWER(Upgrades!$Q$7,F223)*POWER(Upgrades!$Q$8,G223)*POWER(Upgrades!$Q$9,H223)*POWER(Upgrades!$Q$10,I223)*POWER(Upgrades!$Q$11,J223)*POWER(Upgrades!$Q$12,K223))*Parameters!$B$10*Parameters!$B$11/60)/Upgrades!$C$11,0)),IF(K223&gt;0,0,IFERROR((1*(POWER(Upgrades!$P$6,E223)*POWER(Upgrades!$P$7,F223)*POWER(Upgrades!$P$8,G223)*POWER(Upgrades!$P$9,H223)*POWER(Upgrades!$P$10,I223)*POWER(Upgrades!$P$11,J223)*POWER(Upgrades!$P$12,K223))+0.2*M223*Parameters!$B$10*Parameters!$B$11/60)/Upgrades!$C$12,0)),IF(AND(ISNUMBER(AG223),AG223&gt;T223),AS223,0),IF(AND(ISNUMBER(AH223),AH223&gt;T223),AT223,0),IF(AND(ISNUMBER(AI223),AI223&gt;T223),AU223,0),IF(AND(ISNUMBER(AJ223),AJ223&gt;T223),AV223,0))</f>
        <v>0.00452762415783776</v>
      </c>
      <c r="AX223" s="29" t="str">
        <f aca="false">IF(AN223=1,"transition",IF(MIN(IF(AND(I223=0,ISNUMBER(AK223),AK223&lt;=T223),AK223,9000000000000000),IF(AND(J223=0,ISNUMBER(AL223),AL223&lt;=T223),AL223,9000000000000000),IF(AND(K223=0,ISNUMBER(AM223),AM223&lt;=T223),AM223,9000000000000000))&lt;9000000000000000,IF(AND(AND(I223=0,ISNUMBER(AK223),AK223&lt;=T223),AK223=MIN(IF(AND(I223=0,ISNUMBER(AK223),AK223&lt;=T223),AK223,9000000000000000),IF(AND(J223=0,ISNUMBER(AL223),AL223&lt;=T223),AL223,9000000000000000),IF(AND(K223=0,ISNUMBER(AM223),AM223&lt;=T223),AM223,9000000000000000))),"OR",IF(AND(AND(J223=0,ISNUMBER(AL223),AL223&lt;=T223),AL223=MIN(IF(AND(I223=0,ISNUMBER(AK223),AK223&lt;=T223),AK223,9000000000000000),IF(AND(J223=0,ISNUMBER(AL223),AL223&lt;=T223),AL223,9000000000000000),IF(AND(K223=0,ISNUMBER(AM223),AM223&lt;=T223),AM223,9000000000000000))),"HP","FP")),IF(AR223=TRUE(),"",IF(MAX(IF(AND(NOT(AND(AO223=1,AN223&lt;&gt;1)),ISNUMBER(AG223),AG223&lt;=T223),AS223,0),IF(AND(NOT(AND(AO223=1,AN223&lt;&gt;1)),ISNUMBER(AH223),AH223&lt;=T223),AT223,0),IF(AND(NOT(AND(AO223=1,AN223&lt;&gt;1)),ISNUMBER(AI223),AI223&lt;=T223),AU223,0),IF(AND(ISNUMBER(AJ223),AJ223&lt;=T223),AV223,0))&lt;=0,"",IF(AND(IF(AND(NOT(AND(AO223=1,AN223&lt;&gt;1)),ISNUMBER(AG223),AG223&lt;=T223),AS223,0)&gt;0,IF(AND(NOT(AND(AO223=1,AN223&lt;&gt;1)),ISNUMBER(AG223),AG223&lt;=T223),AS223,0)=MAX(IF(AND(NOT(AND(AO223=1,AN223&lt;&gt;1)),ISNUMBER(AG223),AG223&lt;=T223),AS223,0),IF(AND(NOT(AND(AO223=1,AN223&lt;&gt;1)),ISNUMBER(AH223),AH223&lt;=T223),AT223,0),IF(AND(NOT(AND(AO223=1,AN223&lt;&gt;1)),ISNUMBER(AI223),AI223&lt;=T223),AU223,0),IF(AND(ISNUMBER(AJ223),AJ223&lt;=T223),AV223,0))),"SW",IF(AND(IF(AND(NOT(AND(AO223=1,AN223&lt;&gt;1)),ISNUMBER(AH223),AH223&lt;=T223),AT223,0)&gt;0,IF(AND(NOT(AND(AO223=1,AN223&lt;&gt;1)),ISNUMBER(AH223),AH223&lt;=T223),AT223,0)=MAX(IF(AND(NOT(AND(AO223=1,AN223&lt;&gt;1)),ISNUMBER(AG223),AG223&lt;=T223),AS223,0),IF(AND(NOT(AND(AO223=1,AN223&lt;&gt;1)),ISNUMBER(AH223),AH223&lt;=T223),AT223,0),IF(AND(NOT(AND(AO223=1,AN223&lt;&gt;1)),ISNUMBER(AI223),AI223&lt;=T223),AU223,0),IF(AND(ISNUMBER(AJ223),AJ223&lt;=T223),AV223,0))),"AB",IF(AND(IF(AND(NOT(AND(AO223=1,AN223&lt;&gt;1)),ISNUMBER(AI223),AI223&lt;=T223),AU223,0)&gt;0,IF(AND(NOT(AND(AO223=1,AN223&lt;&gt;1)),ISNUMBER(AI223),AI223&lt;=T223),AU223,0)=MAX(IF(AND(NOT(AND(AO223=1,AN223&lt;&gt;1)),ISNUMBER(AG223),AG223&lt;=T223),AS223,0),IF(AND(NOT(AND(AO223=1,AN223&lt;&gt;1)),ISNUMBER(AH223),AH223&lt;=T223),AT223,0),IF(AND(NOT(AND(AO223=1,AN223&lt;&gt;1)),ISNUMBER(AI223),AI223&lt;=T223),AU223,0),IF(AND(ISNUMBER(AJ223),AJ223&lt;=T223),AV223,0))),"SC","Mag")))))))</f>
        <v/>
      </c>
    </row>
    <row r="224" customFormat="false" ht="15" hidden="false" customHeight="false" outlineLevel="0" collapsed="false">
      <c r="A224" s="26" t="n">
        <v>219</v>
      </c>
      <c r="B224" s="27" t="n">
        <f aca="false">A224*10/60</f>
        <v>36.5</v>
      </c>
      <c r="C224" s="21" t="n">
        <f aca="false">X223</f>
        <v>18.6730249835055</v>
      </c>
      <c r="D224" s="27" t="n">
        <f aca="false">D223+W223</f>
        <v>0</v>
      </c>
      <c r="E224" s="26" t="n">
        <f aca="false">E223+IF(U223="SW",1,0)</f>
        <v>12</v>
      </c>
      <c r="F224" s="26" t="n">
        <f aca="false">F223+IF(U223="AB",1,0)</f>
        <v>10</v>
      </c>
      <c r="G224" s="26" t="n">
        <f aca="false">G223+IF(U223="SC",1,0)</f>
        <v>7</v>
      </c>
      <c r="H224" s="26" t="n">
        <f aca="false">H223+IF(U223="Mag",1,0)</f>
        <v>5</v>
      </c>
      <c r="I224" s="26" t="n">
        <f aca="false">MAX(I223,IF(U223="OR",1,0))</f>
        <v>1</v>
      </c>
      <c r="J224" s="26" t="n">
        <f aca="false">MAX(J223,IF(U223="HP",1,0))</f>
        <v>1</v>
      </c>
      <c r="K224" s="26" t="n">
        <f aca="false">MAX(K223,IF(U223="FP",1,0))</f>
        <v>1</v>
      </c>
      <c r="L224" s="26" t="n">
        <f aca="false">MAX(L223,IF(U223="transition",1,0))</f>
        <v>1</v>
      </c>
      <c r="M224" s="28" t="n">
        <f aca="false">(Parameters!$B$9+(IF(E224=0,0,(Upgrades!$J$6+E224*Upgrades!$K$6)*POWER(Upgrades!$L$6,E224)))*(IF(Upgrades!$T$7="Solar Wind",POWER(Upgrades!$U$7,F224),1)*IF(Upgrades!$T$8="Solar Wind",POWER(Upgrades!$U$8,G224),1)*IF(Upgrades!$T$9="Solar Wind",POWER(Upgrades!$U$9,H224),1)*IF(Upgrades!$T$10="Solar Wind",POWER(Upgrades!$U$10,I224),1)*IF(Upgrades!$T$11="Solar Wind",POWER(Upgrades!$U$11,J224),1)*IF(Upgrades!$T$12="Solar Wind",POWER(Upgrades!$U$12,K224),1))+(IF(F224=0,0,(Upgrades!$J$7+F224*Upgrades!$K$7)*POWER(Upgrades!$L$7,F224)))*(IF(Upgrades!$T$6="Asteroid Belt",POWER(Upgrades!$U$6,E224),1)*IF(Upgrades!$T$8="Asteroid Belt",POWER(Upgrades!$U$8,G224),1)*IF(Upgrades!$T$9="Asteroid Belt",POWER(Upgrades!$U$9,H224),1)*IF(Upgrades!$T$10="Asteroid Belt",POWER(Upgrades!$U$10,I224),1)*IF(Upgrades!$T$11="Asteroid Belt",POWER(Upgrades!$U$11,J224),1)*IF(Upgrades!$T$12="Asteroid Belt",POWER(Upgrades!$U$12,K224),1))+(IF(G224=0,0,(Upgrades!$J$8+G224*Upgrades!$K$8)*POWER(Upgrades!$L$8,G224)))*(IF(Upgrades!$T$6="Stellar Coupling",POWER(Upgrades!$U$6,E224),1)*IF(Upgrades!$T$7="Stellar Coupling",POWER(Upgrades!$U$7,F224),1)*IF(Upgrades!$T$9="Stellar Coupling",POWER(Upgrades!$U$9,H224),1)*IF(Upgrades!$T$10="Stellar Coupling",POWER(Upgrades!$U$10,I224),1)*IF(Upgrades!$T$11="Stellar Coupling",POWER(Upgrades!$U$11,J224),1)*IF(Upgrades!$T$12="Stellar Coupling",POWER(Upgrades!$U$12,K224),1))+(IF(H224=0,0,(Upgrades!$J$9+H224*Upgrades!$K$9)*POWER(Upgrades!$L$9,H224)))*(IF(Upgrades!$T$6="Magnetosphere",POWER(Upgrades!$U$6,E224),1)*IF(Upgrades!$T$7="Magnetosphere",POWER(Upgrades!$U$7,F224),1)*IF(Upgrades!$T$8="Magnetosphere",POWER(Upgrades!$U$8,G224),1)*IF(Upgrades!$T$10="Magnetosphere",POWER(Upgrades!$U$10,I224),1)*IF(Upgrades!$T$11="Magnetosphere",POWER(Upgrades!$U$11,J224),1)*IF(Upgrades!$T$12="Magnetosphere",POWER(Upgrades!$U$12,K224),1))+(IF(I224=0,0,(Upgrades!$J$10+I224*Upgrades!$K$10)*POWER(Upgrades!$L$10,I224)))*(IF(Upgrades!$T$6="Orbital Resonance",POWER(Upgrades!$U$6,E224),1)*IF(Upgrades!$T$7="Orbital Resonance",POWER(Upgrades!$U$7,F224),1)*IF(Upgrades!$T$8="Orbital Resonance",POWER(Upgrades!$U$8,G224),1)*IF(Upgrades!$T$9="Orbital Resonance",POWER(Upgrades!$U$9,H224),1)*IF(Upgrades!$T$11="Orbital Resonance",POWER(Upgrades!$U$11,J224),1)*IF(Upgrades!$T$12="Orbital Resonance",POWER(Upgrades!$U$12,K224),1))+(IF(J224=0,0,(Upgrades!$J$11+J224*Upgrades!$K$11)*POWER(Upgrades!$L$11,J224)))*(IF(Upgrades!$T$6="Heliopause",POWER(Upgrades!$U$6,E224),1)*IF(Upgrades!$T$7="Heliopause",POWER(Upgrades!$U$7,F224),1)*IF(Upgrades!$T$8="Heliopause",POWER(Upgrades!$U$8,G224),1)*IF(Upgrades!$T$9="Heliopause",POWER(Upgrades!$U$9,H224),1)*IF(Upgrades!$T$10="Heliopause",POWER(Upgrades!$U$10,I224),1)*IF(Upgrades!$T$12="Heliopause",POWER(Upgrades!$U$12,K224),1))+(IF(K224=0,0,(Upgrades!$J$12+K224*Upgrades!$K$12)*POWER(Upgrades!$L$12,K224)))*(IF(Upgrades!$T$6="First Photons",POWER(Upgrades!$U$6,E224),1)*IF(Upgrades!$T$7="First Photons",POWER(Upgrades!$U$7,F224),1)*IF(Upgrades!$T$8="First Photons",POWER(Upgrades!$U$8,G224),1)*IF(Upgrades!$T$9="First Photons",POWER(Upgrades!$U$9,H224),1)*IF(Upgrades!$T$10="First Photons",POWER(Upgrades!$U$10,I224),1)*IF(Upgrades!$T$11="First Photons",POWER(Upgrades!$U$11,J224),1)))*POWER(Upgrades!$Q$6,E224)*POWER(Upgrades!$Q$7,F224)*POWER(Upgrades!$Q$8,G224)*POWER(Upgrades!$Q$9,H224)*POWER(Upgrades!$Q$10,I224)*POWER(Upgrades!$Q$11,J224)*POWER(Upgrades!$Q$12,K224)</f>
        <v>5.61</v>
      </c>
      <c r="N224" s="28" t="n">
        <f aca="false">((IF(E224=0,0,(Upgrades!$G$6+E224*Upgrades!$H$6)*POWER(Upgrades!$I$6,E224)))*(IF(Upgrades!$T$7="Solar Wind",POWER(Upgrades!$U$7,F224),1)*IF(Upgrades!$T$8="Solar Wind",POWER(Upgrades!$U$8,G224),1)*IF(Upgrades!$T$9="Solar Wind",POWER(Upgrades!$U$9,H224),1)*IF(Upgrades!$T$10="Solar Wind",POWER(Upgrades!$U$10,I224),1)*IF(Upgrades!$T$11="Solar Wind",POWER(Upgrades!$U$11,J224),1)*IF(Upgrades!$T$12="Solar Wind",POWER(Upgrades!$U$12,K224),1))+(IF(F224=0,0,(Upgrades!$G$7+F224*Upgrades!$H$7)*POWER(Upgrades!$I$7,F224)))*(IF(Upgrades!$T$6="Asteroid Belt",POWER(Upgrades!$U$6,E224),1)*IF(Upgrades!$T$8="Asteroid Belt",POWER(Upgrades!$U$8,G224),1)*IF(Upgrades!$T$9="Asteroid Belt",POWER(Upgrades!$U$9,H224),1)*IF(Upgrades!$T$10="Asteroid Belt",POWER(Upgrades!$U$10,I224),1)*IF(Upgrades!$T$11="Asteroid Belt",POWER(Upgrades!$U$11,J224),1)*IF(Upgrades!$T$12="Asteroid Belt",POWER(Upgrades!$U$12,K224),1))+(IF(G224=0,0,(Upgrades!$G$8+G224*Upgrades!$H$8)*POWER(Upgrades!$I$8,G224)))*(IF(Upgrades!$T$6="Stellar Coupling",POWER(Upgrades!$U$6,E224),1)*IF(Upgrades!$T$7="Stellar Coupling",POWER(Upgrades!$U$7,F224),1)*IF(Upgrades!$T$9="Stellar Coupling",POWER(Upgrades!$U$9,H224),1)*IF(Upgrades!$T$10="Stellar Coupling",POWER(Upgrades!$U$10,I224),1)*IF(Upgrades!$T$11="Stellar Coupling",POWER(Upgrades!$U$11,J224),1)*IF(Upgrades!$T$12="Stellar Coupling",POWER(Upgrades!$U$12,K224),1))+(IF(H224=0,0,(Upgrades!$G$9+H224*Upgrades!$H$9)*POWER(Upgrades!$I$9,H224)))*(IF(Upgrades!$T$6="Magnetosphere",POWER(Upgrades!$U$6,E224),1)*IF(Upgrades!$T$7="Magnetosphere",POWER(Upgrades!$U$7,F224),1)*IF(Upgrades!$T$8="Magnetosphere",POWER(Upgrades!$U$8,G224),1)*IF(Upgrades!$T$10="Magnetosphere",POWER(Upgrades!$U$10,I224),1)*IF(Upgrades!$T$11="Magnetosphere",POWER(Upgrades!$U$11,J224),1)*IF(Upgrades!$T$12="Magnetosphere",POWER(Upgrades!$U$12,K224),1))+(IF(I224=0,0,(Upgrades!$G$10+I224*Upgrades!$H$10)*POWER(Upgrades!$I$10,I224)))*(IF(Upgrades!$T$6="Orbital Resonance",POWER(Upgrades!$U$6,E224),1)*IF(Upgrades!$T$7="Orbital Resonance",POWER(Upgrades!$U$7,F224),1)*IF(Upgrades!$T$8="Orbital Resonance",POWER(Upgrades!$U$8,G224),1)*IF(Upgrades!$T$9="Orbital Resonance",POWER(Upgrades!$U$9,H224),1)*IF(Upgrades!$T$11="Orbital Resonance",POWER(Upgrades!$U$11,J224),1)*IF(Upgrades!$T$12="Orbital Resonance",POWER(Upgrades!$U$12,K224),1))+(IF(J224=0,0,(Upgrades!$G$11+J224*Upgrades!$H$11)*POWER(Upgrades!$I$11,J224)))*(IF(Upgrades!$T$6="Heliopause",POWER(Upgrades!$U$6,E224),1)*IF(Upgrades!$T$7="Heliopause",POWER(Upgrades!$U$7,F224),1)*IF(Upgrades!$T$8="Heliopause",POWER(Upgrades!$U$8,G224),1)*IF(Upgrades!$T$9="Heliopause",POWER(Upgrades!$U$9,H224),1)*IF(Upgrades!$T$10="Heliopause",POWER(Upgrades!$U$10,I224),1)*IF(Upgrades!$T$12="Heliopause",POWER(Upgrades!$U$12,K224),1))+(IF(K224=0,0,(Upgrades!$G$12+K224*Upgrades!$H$12)*POWER(Upgrades!$I$12,K224)))*(IF(Upgrades!$T$6="First Photons",POWER(Upgrades!$U$6,E224),1)*IF(Upgrades!$T$7="First Photons",POWER(Upgrades!$U$7,F224),1)*IF(Upgrades!$T$8="First Photons",POWER(Upgrades!$U$8,G224),1)*IF(Upgrades!$T$9="First Photons",POWER(Upgrades!$U$9,H224),1)*IF(Upgrades!$T$10="First Photons",POWER(Upgrades!$U$10,I224),1)*IF(Upgrades!$T$11="First Photons",POWER(Upgrades!$U$11,J224),1)))*POWER(Upgrades!$P$6,E224)*POWER(Upgrades!$P$7,F224)*POWER(Upgrades!$P$8,G224)*POWER(Upgrades!$P$9,H224)*POWER(Upgrades!$P$10,I224)*POWER(Upgrades!$P$11,J224)*POWER(Upgrades!$P$12,K224)</f>
        <v>11.2</v>
      </c>
      <c r="O224" s="28" t="n">
        <f aca="false">((IF(E224=0,0,(Upgrades!$M$6+E224*Upgrades!$N$6)*POWER(Upgrades!$O$6,E224)))*(IF(Upgrades!$T$7="Solar Wind",POWER(Upgrades!$U$7,F224),1)*IF(Upgrades!$T$8="Solar Wind",POWER(Upgrades!$U$8,G224),1)*IF(Upgrades!$T$9="Solar Wind",POWER(Upgrades!$U$9,H224),1)*IF(Upgrades!$T$10="Solar Wind",POWER(Upgrades!$U$10,I224),1)*IF(Upgrades!$T$11="Solar Wind",POWER(Upgrades!$U$11,J224),1)*IF(Upgrades!$T$12="Solar Wind",POWER(Upgrades!$U$12,K224),1))+(IF(F224=0,0,(Upgrades!$M$7+F224*Upgrades!$N$7)*POWER(Upgrades!$O$7,F224)))*(IF(Upgrades!$T$6="Asteroid Belt",POWER(Upgrades!$U$6,E224),1)*IF(Upgrades!$T$8="Asteroid Belt",POWER(Upgrades!$U$8,G224),1)*IF(Upgrades!$T$9="Asteroid Belt",POWER(Upgrades!$U$9,H224),1)*IF(Upgrades!$T$10="Asteroid Belt",POWER(Upgrades!$U$10,I224),1)*IF(Upgrades!$T$11="Asteroid Belt",POWER(Upgrades!$U$11,J224),1)*IF(Upgrades!$T$12="Asteroid Belt",POWER(Upgrades!$U$12,K224),1))+(IF(G224=0,0,(Upgrades!$M$8+G224*Upgrades!$N$8)*POWER(Upgrades!$O$8,G224)))*(IF(Upgrades!$T$6="Stellar Coupling",POWER(Upgrades!$U$6,E224),1)*IF(Upgrades!$T$7="Stellar Coupling",POWER(Upgrades!$U$7,F224),1)*IF(Upgrades!$T$9="Stellar Coupling",POWER(Upgrades!$U$9,H224),1)*IF(Upgrades!$T$10="Stellar Coupling",POWER(Upgrades!$U$10,I224),1)*IF(Upgrades!$T$11="Stellar Coupling",POWER(Upgrades!$U$11,J224),1)*IF(Upgrades!$T$12="Stellar Coupling",POWER(Upgrades!$U$12,K224),1))+(IF(H224=0,0,(Upgrades!$M$9+H224*Upgrades!$N$9)*POWER(Upgrades!$O$9,H224)))*(IF(Upgrades!$T$6="Magnetosphere",POWER(Upgrades!$U$6,E224),1)*IF(Upgrades!$T$7="Magnetosphere",POWER(Upgrades!$U$7,F224),1)*IF(Upgrades!$T$8="Magnetosphere",POWER(Upgrades!$U$8,G224),1)*IF(Upgrades!$T$10="Magnetosphere",POWER(Upgrades!$U$10,I224),1)*IF(Upgrades!$T$11="Magnetosphere",POWER(Upgrades!$U$11,J224),1)*IF(Upgrades!$T$12="Magnetosphere",POWER(Upgrades!$U$12,K224),1))+(IF(I224=0,0,(Upgrades!$M$10+I224*Upgrades!$N$10)*POWER(Upgrades!$O$10,I224)))*(IF(Upgrades!$T$6="Orbital Resonance",POWER(Upgrades!$U$6,E224),1)*IF(Upgrades!$T$7="Orbital Resonance",POWER(Upgrades!$U$7,F224),1)*IF(Upgrades!$T$8="Orbital Resonance",POWER(Upgrades!$U$8,G224),1)*IF(Upgrades!$T$9="Orbital Resonance",POWER(Upgrades!$U$9,H224),1)*IF(Upgrades!$T$11="Orbital Resonance",POWER(Upgrades!$U$11,J224),1)*IF(Upgrades!$T$12="Orbital Resonance",POWER(Upgrades!$U$12,K224),1))+(IF(J224=0,0,(Upgrades!$M$11+J224*Upgrades!$N$11)*POWER(Upgrades!$O$11,J224)))*(IF(Upgrades!$T$6="Heliopause",POWER(Upgrades!$U$6,E224),1)*IF(Upgrades!$T$7="Heliopause",POWER(Upgrades!$U$7,F224),1)*IF(Upgrades!$T$8="Heliopause",POWER(Upgrades!$U$8,G224),1)*IF(Upgrades!$T$9="Heliopause",POWER(Upgrades!$U$9,H224),1)*IF(Upgrades!$T$10="Heliopause",POWER(Upgrades!$U$10,I224),1)*IF(Upgrades!$T$12="Heliopause",POWER(Upgrades!$U$12,K224),1))+(IF(K224=0,0,(Upgrades!$M$12+K224*Upgrades!$N$12)*POWER(Upgrades!$O$12,K224)))*(IF(Upgrades!$T$6="First Photons",POWER(Upgrades!$U$6,E224),1)*IF(Upgrades!$T$7="First Photons",POWER(Upgrades!$U$7,F224),1)*IF(Upgrades!$T$8="First Photons",POWER(Upgrades!$U$8,G224),1)*IF(Upgrades!$T$9="First Photons",POWER(Upgrades!$U$9,H224),1)*IF(Upgrades!$T$10="First Photons",POWER(Upgrades!$U$10,I224),1)*IF(Upgrades!$T$11="First Photons",POWER(Upgrades!$U$11,J224),1)))*POWER(Upgrades!$R$6,E224)*POWER(Upgrades!$R$7,F224)*POWER(Upgrades!$R$8,G224)*POWER(Upgrades!$R$9,H224)*POWER(Upgrades!$R$10,I224)*POWER(Upgrades!$R$11,J224)*POWER(Upgrades!$R$12,K224)</f>
        <v>0</v>
      </c>
      <c r="P224" s="27" t="n">
        <f aca="false">IF(L224=1,0,M224*Parameters!$B$10/60*Parameters!$B$11*10)</f>
        <v>0</v>
      </c>
      <c r="Q224" s="27" t="n">
        <f aca="false">IF(L224=1,0,O224*M224*10)</f>
        <v>0</v>
      </c>
      <c r="R224" s="27" t="n">
        <f aca="false">IF(L224=1,0,N224*10)</f>
        <v>0</v>
      </c>
      <c r="S224" s="27" t="n">
        <f aca="false">P224+Q224+R224</f>
        <v>0</v>
      </c>
      <c r="T224" s="21" t="n">
        <f aca="false">C224+S224</f>
        <v>18.6730249835055</v>
      </c>
      <c r="U224" s="34" t="str">
        <f aca="false">AX224</f>
        <v/>
      </c>
      <c r="V224" s="21" t="n">
        <f aca="false">IF(U224="",0,IF(U224="transition",0,IF(U224="SW",AG224,IF(U224="AB",AH224,IF(U224="SC",AI224,IF(U224="Mag",AJ224,IF(U224="OR",AK224,IF(U224="HP",AL224,IF(U224="FP",AM224,0)))))))))</f>
        <v>0</v>
      </c>
      <c r="W224" s="27" t="n">
        <f aca="false">IF(U224="OR",Upgrades!$F$10,IF(U224="HP",Upgrades!$F$11,IF(U224="transition",-Parameters!$B$18,0)))</f>
        <v>0</v>
      </c>
      <c r="X224" s="21" t="n">
        <f aca="false">T224-V224</f>
        <v>18.6730249835055</v>
      </c>
      <c r="Y224" s="30" t="n">
        <f aca="false">M224*Parameters!$B$10/60*Parameters!$B$11+O224*M224+N224</f>
        <v>20.55</v>
      </c>
      <c r="Z224" s="35" t="str">
        <f aca="false">IF(U224="transition","→ Tier 2 (Stellar Neighborhood)",IF(U224="FP","First Photons — light begins, system quickens",IF(U224="HP","Heliopause acquired",IF(U224="OR","Orbital Resonance — passive multiplier active",IF(AND(AO224=1,L224=0,AN224&lt;&gt;1),"Cohesion ready (waiting on completionist upgrades)","")))))</f>
        <v/>
      </c>
      <c r="AA224" s="27" t="n">
        <f aca="false">(IF(E224=0,0,(Upgrades!$G$6+E224*Upgrades!$H$6)*POWER(Upgrades!$I$6,E224)))*(IF(Upgrades!$T$7="Solar Wind",POWER(Upgrades!$U$7,F224),1)*IF(Upgrades!$T$8="Solar Wind",POWER(Upgrades!$U$8,G224),1)*IF(Upgrades!$T$9="Solar Wind",POWER(Upgrades!$U$9,H224),1)*IF(Upgrades!$T$10="Solar Wind",POWER(Upgrades!$U$10,I224),1)*IF(Upgrades!$T$11="Solar Wind",POWER(Upgrades!$U$11,J224),1)*IF(Upgrades!$T$12="Solar Wind",POWER(Upgrades!$U$12,K224),1))*POWER(Upgrades!$P$6,E224)*POWER(Upgrades!$P$7,F224)*POWER(Upgrades!$P$8,G224)*POWER(Upgrades!$P$9,H224)*POWER(Upgrades!$P$10,I224)*POWER(Upgrades!$P$11,J224)*POWER(Upgrades!$P$12,K224)*60</f>
        <v>72</v>
      </c>
      <c r="AB224" s="27" t="n">
        <f aca="false">(IF(F224=0,0,(Upgrades!$G$7+F224*Upgrades!$H$7)*POWER(Upgrades!$I$7,F224)))*(IF(Upgrades!$T$6="Asteroid Belt",POWER(Upgrades!$U$6,E224),1)*IF(Upgrades!$T$8="Asteroid Belt",POWER(Upgrades!$U$8,G224),1)*IF(Upgrades!$T$9="Asteroid Belt",POWER(Upgrades!$U$9,H224),1)*IF(Upgrades!$T$10="Asteroid Belt",POWER(Upgrades!$U$10,I224),1)*IF(Upgrades!$T$11="Asteroid Belt",POWER(Upgrades!$U$11,J224),1)*IF(Upgrades!$T$12="Asteroid Belt",POWER(Upgrades!$U$12,K224),1))*POWER(Upgrades!$P$6,E224)*POWER(Upgrades!$P$7,F224)*POWER(Upgrades!$P$8,G224)*POWER(Upgrades!$P$9,H224)*POWER(Upgrades!$P$10,I224)*POWER(Upgrades!$P$11,J224)*POWER(Upgrades!$P$12,K224)*60</f>
        <v>150</v>
      </c>
      <c r="AC224" s="27" t="n">
        <f aca="false">(IF(G224=0,0,(Upgrades!$J$8+G224*Upgrades!$K$8)*POWER(Upgrades!$L$8,G224)))*(IF(Upgrades!$T$6="Stellar Coupling",POWER(Upgrades!$U$6,E224),1)*IF(Upgrades!$T$7="Stellar Coupling",POWER(Upgrades!$U$7,F224),1)*IF(Upgrades!$T$9="Stellar Coupling",POWER(Upgrades!$U$9,H224),1)*IF(Upgrades!$T$10="Stellar Coupling",POWER(Upgrades!$U$10,I224),1)*IF(Upgrades!$T$11="Stellar Coupling",POWER(Upgrades!$U$11,J224),1)*IF(Upgrades!$T$12="Stellar Coupling",POWER(Upgrades!$U$12,K224),1))*POWER(Upgrades!$Q$6,E224)*POWER(Upgrades!$Q$7,F224)*POWER(Upgrades!$Q$8,G224)*POWER(Upgrades!$Q$9,H224)*POWER(Upgrades!$Q$10,I224)*POWER(Upgrades!$Q$11,J224)*POWER(Upgrades!$Q$12,K224)*Parameters!$B$10*Parameters!$B$11</f>
        <v>441</v>
      </c>
      <c r="AD224" s="27" t="n">
        <f aca="false">(IF(H224=0,0,(Upgrades!$G$9+H224*Upgrades!$H$9)*POWER(Upgrades!$I$9,H224)))*(IF(Upgrades!$T$6="Magnetosphere",POWER(Upgrades!$U$6,E224),1)*IF(Upgrades!$T$7="Magnetosphere",POWER(Upgrades!$U$7,F224),1)*IF(Upgrades!$T$8="Magnetosphere",POWER(Upgrades!$U$8,G224),1)*IF(Upgrades!$T$10="Magnetosphere",POWER(Upgrades!$U$10,I224),1)*IF(Upgrades!$T$11="Magnetosphere",POWER(Upgrades!$U$11,J224),1)*IF(Upgrades!$T$12="Magnetosphere",POWER(Upgrades!$U$12,K224),1))*POWER(Upgrades!$P$6,E224)*POWER(Upgrades!$P$7,F224)*POWER(Upgrades!$P$8,G224)*POWER(Upgrades!$P$9,H224)*POWER(Upgrades!$P$10,I224)*POWER(Upgrades!$P$11,J224)*POWER(Upgrades!$P$12,K224)*60</f>
        <v>375</v>
      </c>
      <c r="AE224" s="27" t="n">
        <f aca="false">(IF(K224=0,0,(Upgrades!$G$12+K224*Upgrades!$H$12)*POWER(Upgrades!$I$12,K224)))*(IF(Upgrades!$T$6="First Photons",POWER(Upgrades!$U$6,E224),1)*IF(Upgrades!$T$7="First Photons",POWER(Upgrades!$U$7,F224),1)*IF(Upgrades!$T$8="First Photons",POWER(Upgrades!$U$8,G224),1)*IF(Upgrades!$T$9="First Photons",POWER(Upgrades!$U$9,H224),1)*IF(Upgrades!$T$10="First Photons",POWER(Upgrades!$U$10,I224),1)*IF(Upgrades!$T$11="First Photons",POWER(Upgrades!$U$11,J224),1))*POWER(Upgrades!$P$6,E224)*POWER(Upgrades!$P$7,F224)*POWER(Upgrades!$P$8,G224)*POWER(Upgrades!$P$9,H224)*POWER(Upgrades!$P$10,I224)*POWER(Upgrades!$P$11,J224)*POWER(Upgrades!$P$12,K224)*60</f>
        <v>75</v>
      </c>
      <c r="AF224" s="27" t="n">
        <f aca="false">Parameters!$B$9*POWER(Upgrades!$Q$6,E224)*POWER(Upgrades!$Q$7,F224)*POWER(Upgrades!$Q$8,G224)*POWER(Upgrades!$Q$9,H224)*POWER(Upgrades!$Q$10,I224)*POWER(Upgrades!$Q$11,J224)*POWER(Upgrades!$Q$12,K224)*(Parameters!$B$10*Parameters!$B$11+O224*60)</f>
        <v>120</v>
      </c>
      <c r="AG224" s="21" t="n">
        <f aca="false">IF(E224&gt;=Upgrades!$E$6,"",Upgrades!$C$6*POWER(Upgrades!$D$6,E224))</f>
        <v>37.4517507383159</v>
      </c>
      <c r="AH224" s="21" t="n">
        <f aca="false">IF(F224&gt;=Upgrades!$E$7,"",Upgrades!$C$7*POWER(Upgrades!$D$7,F224))</f>
        <v>80.9111547141581</v>
      </c>
      <c r="AI224" s="21" t="n">
        <f aca="false">IF(G224&gt;=Upgrades!$E$8,"",Upgrades!$C$8*POWER(Upgrades!$D$8,G224))</f>
        <v>231.9097088</v>
      </c>
      <c r="AJ224" s="21" t="str">
        <f aca="false">IF(H224&gt;=Upgrades!$E$9,"",Upgrades!$C$9*POWER(Upgrades!$D$9,H224))</f>
        <v/>
      </c>
      <c r="AK224" s="21" t="str">
        <f aca="false">IF(I224&gt;=Upgrades!$E$10,"",Upgrades!$C$10*POWER(Upgrades!$D$10,I224))</f>
        <v/>
      </c>
      <c r="AL224" s="21" t="str">
        <f aca="false">IF(J224&gt;=Upgrades!$E$11,"",Upgrades!$C$11*POWER(Upgrades!$D$11,J224))</f>
        <v/>
      </c>
      <c r="AM224" s="21" t="str">
        <f aca="false">IF(K224&gt;=Upgrades!$E$12,"",Upgrades!$C$12*POWER(Upgrades!$D$12,K224))</f>
        <v/>
      </c>
      <c r="AN224" s="26" t="str">
        <f aca="false">IF(AND(D224&gt;=Parameters!$B$18,(H224&gt;=Upgrades!$E$9)*(K224&gt;=Upgrades!$E$12)=1,L224=0),1,"")</f>
        <v/>
      </c>
      <c r="AO224" s="26" t="str">
        <f aca="false">IF(AND(D224&gt;=Parameters!$B$18,L224=0),1,"")</f>
        <v/>
      </c>
      <c r="AP224" s="21" t="n">
        <f aca="false">MIN(IF(ISNUMBER(AK224),AK224,9000000000000000),IF(ISNUMBER(AL224),AL224,9000000000000000),IF(ISNUMBER(AM224),AM224,9000000000000000))</f>
        <v>9000000000000000</v>
      </c>
      <c r="AQ224" s="21" t="n">
        <f aca="false">MIN(IF(ISNUMBER(AG224),AG224,9000000000000000),IF(ISNUMBER(AH224),AH224,9000000000000000),IF(ISNUMBER(AI224),AI224,9000000000000000),IF(ISNUMBER(AJ224),AJ224,9000000000000000))</f>
        <v>37.4517507383159</v>
      </c>
      <c r="AR224" s="32" t="b">
        <f aca="false">IF(AW224&gt;Parameters!$B$21*(MAX(IF(AND(NOT(AND(AO224=1,AN224&lt;&gt;1)),ISNUMBER(AG224),AG224&lt;=T224),AS224,0),IF(AND(NOT(AND(AO224=1,AN224&lt;&gt;1)),ISNUMBER(AH224),AH224&lt;=T224),AT224,0),IF(AND(NOT(AND(AO224=1,AN224&lt;&gt;1)),ISNUMBER(AI224),AI224&lt;=T224),AU224,0),IF(AND(ISNUMBER(AJ224),AJ224&lt;=T224),AV224,0))),TRUE(),FALSE())</f>
        <v>1</v>
      </c>
      <c r="AS224" s="33" t="n">
        <f aca="false">IFERROR(Upgrades!$H$6*(POWER(Upgrades!$P$6,E224)*POWER(Upgrades!$P$7,F224)*POWER(Upgrades!$P$8,G224)*POWER(Upgrades!$P$9,H224)*POWER(Upgrades!$P$10,I224)*POWER(Upgrades!$P$11,J224)*POWER(Upgrades!$P$12,K224))*(IF(Upgrades!$T$7="Solar Wind",POWER(Upgrades!$U$7,F224),1)*IF(Upgrades!$T$8="Solar Wind",POWER(Upgrades!$U$8,G224),1)*IF(Upgrades!$T$9="Solar Wind",POWER(Upgrades!$U$9,H224),1)*IF(Upgrades!$T$10="Solar Wind",POWER(Upgrades!$U$10,I224),1)*IF(Upgrades!$T$11="Solar Wind",POWER(Upgrades!$U$11,J224),1)*IF(Upgrades!$T$12="Solar Wind",POWER(Upgrades!$U$12,K224),1))/AG224,0)</f>
        <v>0.0026701021455238</v>
      </c>
      <c r="AT224" s="33" t="n">
        <f aca="false">IFERROR(Upgrades!$H$7*(POWER(Upgrades!$P$6,E224)*POWER(Upgrades!$P$7,F224)*POWER(Upgrades!$P$8,G224)*POWER(Upgrades!$P$9,H224)*POWER(Upgrades!$P$10,I224)*POWER(Upgrades!$P$11,J224)*POWER(Upgrades!$P$12,K224))*(IF(Upgrades!$T$6="Asteroid Belt",POWER(Upgrades!$U$6,E224),1)*IF(Upgrades!$T$8="Asteroid Belt",POWER(Upgrades!$U$8,G224),1)*IF(Upgrades!$T$9="Asteroid Belt",POWER(Upgrades!$U$9,H224),1)*IF(Upgrades!$T$10="Asteroid Belt",POWER(Upgrades!$U$10,I224),1)*IF(Upgrades!$T$11="Asteroid Belt",POWER(Upgrades!$U$11,J224),1)*IF(Upgrades!$T$12="Asteroid Belt",POWER(Upgrades!$U$12,K224),1))/AH224,0)</f>
        <v>0.00308980882652332</v>
      </c>
      <c r="AU224" s="33" t="n">
        <f aca="false">IFERROR(Upgrades!$K$8*(POWER(Upgrades!$Q$6,E224)*POWER(Upgrades!$Q$7,F224)*POWER(Upgrades!$Q$8,G224)*POWER(Upgrades!$Q$9,H224)*POWER(Upgrades!$Q$10,I224)*POWER(Upgrades!$Q$11,J224)*POWER(Upgrades!$Q$12,K224))*(IF(Upgrades!$T$6="Stellar Coupling",POWER(Upgrades!$U$6,E224),1)*IF(Upgrades!$T$7="Stellar Coupling",POWER(Upgrades!$U$7,F224),1)*IF(Upgrades!$T$9="Stellar Coupling",POWER(Upgrades!$U$9,H224),1)*IF(Upgrades!$T$10="Stellar Coupling",POWER(Upgrades!$U$10,I224),1)*IF(Upgrades!$T$11="Stellar Coupling",POWER(Upgrades!$U$11,J224),1)*IF(Upgrades!$T$12="Stellar Coupling",POWER(Upgrades!$U$12,K224),1))*Parameters!$B$10*Parameters!$B$11/60/AI224,0)</f>
        <v>0.00452762415783776</v>
      </c>
      <c r="AV224" s="33" t="n">
        <f aca="false">IFERROR(Upgrades!$H$9*(POWER(Upgrades!$P$6,E224)*POWER(Upgrades!$P$7,F224)*POWER(Upgrades!$P$8,G224)*POWER(Upgrades!$P$9,H224)*POWER(Upgrades!$P$10,I224)*POWER(Upgrades!$P$11,J224)*POWER(Upgrades!$P$12,K224))*(IF(Upgrades!$T$6="Magnetosphere",POWER(Upgrades!$U$6,E224),1)*IF(Upgrades!$T$7="Magnetosphere",POWER(Upgrades!$U$7,F224),1)*IF(Upgrades!$T$8="Magnetosphere",POWER(Upgrades!$U$8,G224),1)*IF(Upgrades!$T$10="Magnetosphere",POWER(Upgrades!$U$10,I224),1)*IF(Upgrades!$T$11="Magnetosphere",POWER(Upgrades!$U$11,J224),1)*IF(Upgrades!$T$12="Magnetosphere",POWER(Upgrades!$U$12,K224),1))/AJ224,0)</f>
        <v>0</v>
      </c>
      <c r="AW224" s="33" t="n">
        <f aca="false">MAX(IF(I224&gt;0,0,IFERROR(0.25*N224/Upgrades!$C$10,0)),IF(J224&gt;0,0,IFERROR(0.5*((IF(G224=0,0,(Upgrades!$J$8+G224*Upgrades!$K$8)*POWER(Upgrades!$L$8,G224)))*(IF(Upgrades!$T$6="Stellar Coupling",POWER(Upgrades!$U$6,E224),1)*IF(Upgrades!$T$7="Stellar Coupling",POWER(Upgrades!$U$7,F224),1)*IF(Upgrades!$T$9="Stellar Coupling",POWER(Upgrades!$U$9,H224),1)*IF(Upgrades!$T$10="Stellar Coupling",POWER(Upgrades!$U$10,I224),1)*IF(Upgrades!$T$11="Stellar Coupling",POWER(Upgrades!$U$11,J224),1)*IF(Upgrades!$T$12="Stellar Coupling",POWER(Upgrades!$U$12,K224),1))*(POWER(Upgrades!$Q$6,E224)*POWER(Upgrades!$Q$7,F224)*POWER(Upgrades!$Q$8,G224)*POWER(Upgrades!$Q$9,H224)*POWER(Upgrades!$Q$10,I224)*POWER(Upgrades!$Q$11,J224)*POWER(Upgrades!$Q$12,K224))*Parameters!$B$10*Parameters!$B$11/60)/Upgrades!$C$11,0)),IF(K224&gt;0,0,IFERROR((1*(POWER(Upgrades!$P$6,E224)*POWER(Upgrades!$P$7,F224)*POWER(Upgrades!$P$8,G224)*POWER(Upgrades!$P$9,H224)*POWER(Upgrades!$P$10,I224)*POWER(Upgrades!$P$11,J224)*POWER(Upgrades!$P$12,K224))+0.2*M224*Parameters!$B$10*Parameters!$B$11/60)/Upgrades!$C$12,0)),IF(AND(ISNUMBER(AG224),AG224&gt;T224),AS224,0),IF(AND(ISNUMBER(AH224),AH224&gt;T224),AT224,0),IF(AND(ISNUMBER(AI224),AI224&gt;T224),AU224,0),IF(AND(ISNUMBER(AJ224),AJ224&gt;T224),AV224,0))</f>
        <v>0.00452762415783776</v>
      </c>
      <c r="AX224" s="29" t="str">
        <f aca="false">IF(AN224=1,"transition",IF(MIN(IF(AND(I224=0,ISNUMBER(AK224),AK224&lt;=T224),AK224,9000000000000000),IF(AND(J224=0,ISNUMBER(AL224),AL224&lt;=T224),AL224,9000000000000000),IF(AND(K224=0,ISNUMBER(AM224),AM224&lt;=T224),AM224,9000000000000000))&lt;9000000000000000,IF(AND(AND(I224=0,ISNUMBER(AK224),AK224&lt;=T224),AK224=MIN(IF(AND(I224=0,ISNUMBER(AK224),AK224&lt;=T224),AK224,9000000000000000),IF(AND(J224=0,ISNUMBER(AL224),AL224&lt;=T224),AL224,9000000000000000),IF(AND(K224=0,ISNUMBER(AM224),AM224&lt;=T224),AM224,9000000000000000))),"OR",IF(AND(AND(J224=0,ISNUMBER(AL224),AL224&lt;=T224),AL224=MIN(IF(AND(I224=0,ISNUMBER(AK224),AK224&lt;=T224),AK224,9000000000000000),IF(AND(J224=0,ISNUMBER(AL224),AL224&lt;=T224),AL224,9000000000000000),IF(AND(K224=0,ISNUMBER(AM224),AM224&lt;=T224),AM224,9000000000000000))),"HP","FP")),IF(AR224=TRUE(),"",IF(MAX(IF(AND(NOT(AND(AO224=1,AN224&lt;&gt;1)),ISNUMBER(AG224),AG224&lt;=T224),AS224,0),IF(AND(NOT(AND(AO224=1,AN224&lt;&gt;1)),ISNUMBER(AH224),AH224&lt;=T224),AT224,0),IF(AND(NOT(AND(AO224=1,AN224&lt;&gt;1)),ISNUMBER(AI224),AI224&lt;=T224),AU224,0),IF(AND(ISNUMBER(AJ224),AJ224&lt;=T224),AV224,0))&lt;=0,"",IF(AND(IF(AND(NOT(AND(AO224=1,AN224&lt;&gt;1)),ISNUMBER(AG224),AG224&lt;=T224),AS224,0)&gt;0,IF(AND(NOT(AND(AO224=1,AN224&lt;&gt;1)),ISNUMBER(AG224),AG224&lt;=T224),AS224,0)=MAX(IF(AND(NOT(AND(AO224=1,AN224&lt;&gt;1)),ISNUMBER(AG224),AG224&lt;=T224),AS224,0),IF(AND(NOT(AND(AO224=1,AN224&lt;&gt;1)),ISNUMBER(AH224),AH224&lt;=T224),AT224,0),IF(AND(NOT(AND(AO224=1,AN224&lt;&gt;1)),ISNUMBER(AI224),AI224&lt;=T224),AU224,0),IF(AND(ISNUMBER(AJ224),AJ224&lt;=T224),AV224,0))),"SW",IF(AND(IF(AND(NOT(AND(AO224=1,AN224&lt;&gt;1)),ISNUMBER(AH224),AH224&lt;=T224),AT224,0)&gt;0,IF(AND(NOT(AND(AO224=1,AN224&lt;&gt;1)),ISNUMBER(AH224),AH224&lt;=T224),AT224,0)=MAX(IF(AND(NOT(AND(AO224=1,AN224&lt;&gt;1)),ISNUMBER(AG224),AG224&lt;=T224),AS224,0),IF(AND(NOT(AND(AO224=1,AN224&lt;&gt;1)),ISNUMBER(AH224),AH224&lt;=T224),AT224,0),IF(AND(NOT(AND(AO224=1,AN224&lt;&gt;1)),ISNUMBER(AI224),AI224&lt;=T224),AU224,0),IF(AND(ISNUMBER(AJ224),AJ224&lt;=T224),AV224,0))),"AB",IF(AND(IF(AND(NOT(AND(AO224=1,AN224&lt;&gt;1)),ISNUMBER(AI224),AI224&lt;=T224),AU224,0)&gt;0,IF(AND(NOT(AND(AO224=1,AN224&lt;&gt;1)),ISNUMBER(AI224),AI224&lt;=T224),AU224,0)=MAX(IF(AND(NOT(AND(AO224=1,AN224&lt;&gt;1)),ISNUMBER(AG224),AG224&lt;=T224),AS224,0),IF(AND(NOT(AND(AO224=1,AN224&lt;&gt;1)),ISNUMBER(AH224),AH224&lt;=T224),AT224,0),IF(AND(NOT(AND(AO224=1,AN224&lt;&gt;1)),ISNUMBER(AI224),AI224&lt;=T224),AU224,0),IF(AND(ISNUMBER(AJ224),AJ224&lt;=T224),AV224,0))),"SC","Mag")))))))</f>
        <v/>
      </c>
    </row>
    <row r="225" customFormat="false" ht="15" hidden="false" customHeight="false" outlineLevel="0" collapsed="false">
      <c r="A225" s="26" t="n">
        <v>220</v>
      </c>
      <c r="B225" s="27" t="n">
        <f aca="false">A225*10/60</f>
        <v>36.6666666666667</v>
      </c>
      <c r="C225" s="21" t="n">
        <f aca="false">X224</f>
        <v>18.6730249835055</v>
      </c>
      <c r="D225" s="27" t="n">
        <f aca="false">D224+W224</f>
        <v>0</v>
      </c>
      <c r="E225" s="26" t="n">
        <f aca="false">E224+IF(U224="SW",1,0)</f>
        <v>12</v>
      </c>
      <c r="F225" s="26" t="n">
        <f aca="false">F224+IF(U224="AB",1,0)</f>
        <v>10</v>
      </c>
      <c r="G225" s="26" t="n">
        <f aca="false">G224+IF(U224="SC",1,0)</f>
        <v>7</v>
      </c>
      <c r="H225" s="26" t="n">
        <f aca="false">H224+IF(U224="Mag",1,0)</f>
        <v>5</v>
      </c>
      <c r="I225" s="26" t="n">
        <f aca="false">MAX(I224,IF(U224="OR",1,0))</f>
        <v>1</v>
      </c>
      <c r="J225" s="26" t="n">
        <f aca="false">MAX(J224,IF(U224="HP",1,0))</f>
        <v>1</v>
      </c>
      <c r="K225" s="26" t="n">
        <f aca="false">MAX(K224,IF(U224="FP",1,0))</f>
        <v>1</v>
      </c>
      <c r="L225" s="26" t="n">
        <f aca="false">MAX(L224,IF(U224="transition",1,0))</f>
        <v>1</v>
      </c>
      <c r="M225" s="28" t="n">
        <f aca="false">(Parameters!$B$9+(IF(E225=0,0,(Upgrades!$J$6+E225*Upgrades!$K$6)*POWER(Upgrades!$L$6,E225)))*(IF(Upgrades!$T$7="Solar Wind",POWER(Upgrades!$U$7,F225),1)*IF(Upgrades!$T$8="Solar Wind",POWER(Upgrades!$U$8,G225),1)*IF(Upgrades!$T$9="Solar Wind",POWER(Upgrades!$U$9,H225),1)*IF(Upgrades!$T$10="Solar Wind",POWER(Upgrades!$U$10,I225),1)*IF(Upgrades!$T$11="Solar Wind",POWER(Upgrades!$U$11,J225),1)*IF(Upgrades!$T$12="Solar Wind",POWER(Upgrades!$U$12,K225),1))+(IF(F225=0,0,(Upgrades!$J$7+F225*Upgrades!$K$7)*POWER(Upgrades!$L$7,F225)))*(IF(Upgrades!$T$6="Asteroid Belt",POWER(Upgrades!$U$6,E225),1)*IF(Upgrades!$T$8="Asteroid Belt",POWER(Upgrades!$U$8,G225),1)*IF(Upgrades!$T$9="Asteroid Belt",POWER(Upgrades!$U$9,H225),1)*IF(Upgrades!$T$10="Asteroid Belt",POWER(Upgrades!$U$10,I225),1)*IF(Upgrades!$T$11="Asteroid Belt",POWER(Upgrades!$U$11,J225),1)*IF(Upgrades!$T$12="Asteroid Belt",POWER(Upgrades!$U$12,K225),1))+(IF(G225=0,0,(Upgrades!$J$8+G225*Upgrades!$K$8)*POWER(Upgrades!$L$8,G225)))*(IF(Upgrades!$T$6="Stellar Coupling",POWER(Upgrades!$U$6,E225),1)*IF(Upgrades!$T$7="Stellar Coupling",POWER(Upgrades!$U$7,F225),1)*IF(Upgrades!$T$9="Stellar Coupling",POWER(Upgrades!$U$9,H225),1)*IF(Upgrades!$T$10="Stellar Coupling",POWER(Upgrades!$U$10,I225),1)*IF(Upgrades!$T$11="Stellar Coupling",POWER(Upgrades!$U$11,J225),1)*IF(Upgrades!$T$12="Stellar Coupling",POWER(Upgrades!$U$12,K225),1))+(IF(H225=0,0,(Upgrades!$J$9+H225*Upgrades!$K$9)*POWER(Upgrades!$L$9,H225)))*(IF(Upgrades!$T$6="Magnetosphere",POWER(Upgrades!$U$6,E225),1)*IF(Upgrades!$T$7="Magnetosphere",POWER(Upgrades!$U$7,F225),1)*IF(Upgrades!$T$8="Magnetosphere",POWER(Upgrades!$U$8,G225),1)*IF(Upgrades!$T$10="Magnetosphere",POWER(Upgrades!$U$10,I225),1)*IF(Upgrades!$T$11="Magnetosphere",POWER(Upgrades!$U$11,J225),1)*IF(Upgrades!$T$12="Magnetosphere",POWER(Upgrades!$U$12,K225),1))+(IF(I225=0,0,(Upgrades!$J$10+I225*Upgrades!$K$10)*POWER(Upgrades!$L$10,I225)))*(IF(Upgrades!$T$6="Orbital Resonance",POWER(Upgrades!$U$6,E225),1)*IF(Upgrades!$T$7="Orbital Resonance",POWER(Upgrades!$U$7,F225),1)*IF(Upgrades!$T$8="Orbital Resonance",POWER(Upgrades!$U$8,G225),1)*IF(Upgrades!$T$9="Orbital Resonance",POWER(Upgrades!$U$9,H225),1)*IF(Upgrades!$T$11="Orbital Resonance",POWER(Upgrades!$U$11,J225),1)*IF(Upgrades!$T$12="Orbital Resonance",POWER(Upgrades!$U$12,K225),1))+(IF(J225=0,0,(Upgrades!$J$11+J225*Upgrades!$K$11)*POWER(Upgrades!$L$11,J225)))*(IF(Upgrades!$T$6="Heliopause",POWER(Upgrades!$U$6,E225),1)*IF(Upgrades!$T$7="Heliopause",POWER(Upgrades!$U$7,F225),1)*IF(Upgrades!$T$8="Heliopause",POWER(Upgrades!$U$8,G225),1)*IF(Upgrades!$T$9="Heliopause",POWER(Upgrades!$U$9,H225),1)*IF(Upgrades!$T$10="Heliopause",POWER(Upgrades!$U$10,I225),1)*IF(Upgrades!$T$12="Heliopause",POWER(Upgrades!$U$12,K225),1))+(IF(K225=0,0,(Upgrades!$J$12+K225*Upgrades!$K$12)*POWER(Upgrades!$L$12,K225)))*(IF(Upgrades!$T$6="First Photons",POWER(Upgrades!$U$6,E225),1)*IF(Upgrades!$T$7="First Photons",POWER(Upgrades!$U$7,F225),1)*IF(Upgrades!$T$8="First Photons",POWER(Upgrades!$U$8,G225),1)*IF(Upgrades!$T$9="First Photons",POWER(Upgrades!$U$9,H225),1)*IF(Upgrades!$T$10="First Photons",POWER(Upgrades!$U$10,I225),1)*IF(Upgrades!$T$11="First Photons",POWER(Upgrades!$U$11,J225),1)))*POWER(Upgrades!$Q$6,E225)*POWER(Upgrades!$Q$7,F225)*POWER(Upgrades!$Q$8,G225)*POWER(Upgrades!$Q$9,H225)*POWER(Upgrades!$Q$10,I225)*POWER(Upgrades!$Q$11,J225)*POWER(Upgrades!$Q$12,K225)</f>
        <v>5.61</v>
      </c>
      <c r="N225" s="28" t="n">
        <f aca="false">((IF(E225=0,0,(Upgrades!$G$6+E225*Upgrades!$H$6)*POWER(Upgrades!$I$6,E225)))*(IF(Upgrades!$T$7="Solar Wind",POWER(Upgrades!$U$7,F225),1)*IF(Upgrades!$T$8="Solar Wind",POWER(Upgrades!$U$8,G225),1)*IF(Upgrades!$T$9="Solar Wind",POWER(Upgrades!$U$9,H225),1)*IF(Upgrades!$T$10="Solar Wind",POWER(Upgrades!$U$10,I225),1)*IF(Upgrades!$T$11="Solar Wind",POWER(Upgrades!$U$11,J225),1)*IF(Upgrades!$T$12="Solar Wind",POWER(Upgrades!$U$12,K225),1))+(IF(F225=0,0,(Upgrades!$G$7+F225*Upgrades!$H$7)*POWER(Upgrades!$I$7,F225)))*(IF(Upgrades!$T$6="Asteroid Belt",POWER(Upgrades!$U$6,E225),1)*IF(Upgrades!$T$8="Asteroid Belt",POWER(Upgrades!$U$8,G225),1)*IF(Upgrades!$T$9="Asteroid Belt",POWER(Upgrades!$U$9,H225),1)*IF(Upgrades!$T$10="Asteroid Belt",POWER(Upgrades!$U$10,I225),1)*IF(Upgrades!$T$11="Asteroid Belt",POWER(Upgrades!$U$11,J225),1)*IF(Upgrades!$T$12="Asteroid Belt",POWER(Upgrades!$U$12,K225),1))+(IF(G225=0,0,(Upgrades!$G$8+G225*Upgrades!$H$8)*POWER(Upgrades!$I$8,G225)))*(IF(Upgrades!$T$6="Stellar Coupling",POWER(Upgrades!$U$6,E225),1)*IF(Upgrades!$T$7="Stellar Coupling",POWER(Upgrades!$U$7,F225),1)*IF(Upgrades!$T$9="Stellar Coupling",POWER(Upgrades!$U$9,H225),1)*IF(Upgrades!$T$10="Stellar Coupling",POWER(Upgrades!$U$10,I225),1)*IF(Upgrades!$T$11="Stellar Coupling",POWER(Upgrades!$U$11,J225),1)*IF(Upgrades!$T$12="Stellar Coupling",POWER(Upgrades!$U$12,K225),1))+(IF(H225=0,0,(Upgrades!$G$9+H225*Upgrades!$H$9)*POWER(Upgrades!$I$9,H225)))*(IF(Upgrades!$T$6="Magnetosphere",POWER(Upgrades!$U$6,E225),1)*IF(Upgrades!$T$7="Magnetosphere",POWER(Upgrades!$U$7,F225),1)*IF(Upgrades!$T$8="Magnetosphere",POWER(Upgrades!$U$8,G225),1)*IF(Upgrades!$T$10="Magnetosphere",POWER(Upgrades!$U$10,I225),1)*IF(Upgrades!$T$11="Magnetosphere",POWER(Upgrades!$U$11,J225),1)*IF(Upgrades!$T$12="Magnetosphere",POWER(Upgrades!$U$12,K225),1))+(IF(I225=0,0,(Upgrades!$G$10+I225*Upgrades!$H$10)*POWER(Upgrades!$I$10,I225)))*(IF(Upgrades!$T$6="Orbital Resonance",POWER(Upgrades!$U$6,E225),1)*IF(Upgrades!$T$7="Orbital Resonance",POWER(Upgrades!$U$7,F225),1)*IF(Upgrades!$T$8="Orbital Resonance",POWER(Upgrades!$U$8,G225),1)*IF(Upgrades!$T$9="Orbital Resonance",POWER(Upgrades!$U$9,H225),1)*IF(Upgrades!$T$11="Orbital Resonance",POWER(Upgrades!$U$11,J225),1)*IF(Upgrades!$T$12="Orbital Resonance",POWER(Upgrades!$U$12,K225),1))+(IF(J225=0,0,(Upgrades!$G$11+J225*Upgrades!$H$11)*POWER(Upgrades!$I$11,J225)))*(IF(Upgrades!$T$6="Heliopause",POWER(Upgrades!$U$6,E225),1)*IF(Upgrades!$T$7="Heliopause",POWER(Upgrades!$U$7,F225),1)*IF(Upgrades!$T$8="Heliopause",POWER(Upgrades!$U$8,G225),1)*IF(Upgrades!$T$9="Heliopause",POWER(Upgrades!$U$9,H225),1)*IF(Upgrades!$T$10="Heliopause",POWER(Upgrades!$U$10,I225),1)*IF(Upgrades!$T$12="Heliopause",POWER(Upgrades!$U$12,K225),1))+(IF(K225=0,0,(Upgrades!$G$12+K225*Upgrades!$H$12)*POWER(Upgrades!$I$12,K225)))*(IF(Upgrades!$T$6="First Photons",POWER(Upgrades!$U$6,E225),1)*IF(Upgrades!$T$7="First Photons",POWER(Upgrades!$U$7,F225),1)*IF(Upgrades!$T$8="First Photons",POWER(Upgrades!$U$8,G225),1)*IF(Upgrades!$T$9="First Photons",POWER(Upgrades!$U$9,H225),1)*IF(Upgrades!$T$10="First Photons",POWER(Upgrades!$U$10,I225),1)*IF(Upgrades!$T$11="First Photons",POWER(Upgrades!$U$11,J225),1)))*POWER(Upgrades!$P$6,E225)*POWER(Upgrades!$P$7,F225)*POWER(Upgrades!$P$8,G225)*POWER(Upgrades!$P$9,H225)*POWER(Upgrades!$P$10,I225)*POWER(Upgrades!$P$11,J225)*POWER(Upgrades!$P$12,K225)</f>
        <v>11.2</v>
      </c>
      <c r="O225" s="28" t="n">
        <f aca="false">((IF(E225=0,0,(Upgrades!$M$6+E225*Upgrades!$N$6)*POWER(Upgrades!$O$6,E225)))*(IF(Upgrades!$T$7="Solar Wind",POWER(Upgrades!$U$7,F225),1)*IF(Upgrades!$T$8="Solar Wind",POWER(Upgrades!$U$8,G225),1)*IF(Upgrades!$T$9="Solar Wind",POWER(Upgrades!$U$9,H225),1)*IF(Upgrades!$T$10="Solar Wind",POWER(Upgrades!$U$10,I225),1)*IF(Upgrades!$T$11="Solar Wind",POWER(Upgrades!$U$11,J225),1)*IF(Upgrades!$T$12="Solar Wind",POWER(Upgrades!$U$12,K225),1))+(IF(F225=0,0,(Upgrades!$M$7+F225*Upgrades!$N$7)*POWER(Upgrades!$O$7,F225)))*(IF(Upgrades!$T$6="Asteroid Belt",POWER(Upgrades!$U$6,E225),1)*IF(Upgrades!$T$8="Asteroid Belt",POWER(Upgrades!$U$8,G225),1)*IF(Upgrades!$T$9="Asteroid Belt",POWER(Upgrades!$U$9,H225),1)*IF(Upgrades!$T$10="Asteroid Belt",POWER(Upgrades!$U$10,I225),1)*IF(Upgrades!$T$11="Asteroid Belt",POWER(Upgrades!$U$11,J225),1)*IF(Upgrades!$T$12="Asteroid Belt",POWER(Upgrades!$U$12,K225),1))+(IF(G225=0,0,(Upgrades!$M$8+G225*Upgrades!$N$8)*POWER(Upgrades!$O$8,G225)))*(IF(Upgrades!$T$6="Stellar Coupling",POWER(Upgrades!$U$6,E225),1)*IF(Upgrades!$T$7="Stellar Coupling",POWER(Upgrades!$U$7,F225),1)*IF(Upgrades!$T$9="Stellar Coupling",POWER(Upgrades!$U$9,H225),1)*IF(Upgrades!$T$10="Stellar Coupling",POWER(Upgrades!$U$10,I225),1)*IF(Upgrades!$T$11="Stellar Coupling",POWER(Upgrades!$U$11,J225),1)*IF(Upgrades!$T$12="Stellar Coupling",POWER(Upgrades!$U$12,K225),1))+(IF(H225=0,0,(Upgrades!$M$9+H225*Upgrades!$N$9)*POWER(Upgrades!$O$9,H225)))*(IF(Upgrades!$T$6="Magnetosphere",POWER(Upgrades!$U$6,E225),1)*IF(Upgrades!$T$7="Magnetosphere",POWER(Upgrades!$U$7,F225),1)*IF(Upgrades!$T$8="Magnetosphere",POWER(Upgrades!$U$8,G225),1)*IF(Upgrades!$T$10="Magnetosphere",POWER(Upgrades!$U$10,I225),1)*IF(Upgrades!$T$11="Magnetosphere",POWER(Upgrades!$U$11,J225),1)*IF(Upgrades!$T$12="Magnetosphere",POWER(Upgrades!$U$12,K225),1))+(IF(I225=0,0,(Upgrades!$M$10+I225*Upgrades!$N$10)*POWER(Upgrades!$O$10,I225)))*(IF(Upgrades!$T$6="Orbital Resonance",POWER(Upgrades!$U$6,E225),1)*IF(Upgrades!$T$7="Orbital Resonance",POWER(Upgrades!$U$7,F225),1)*IF(Upgrades!$T$8="Orbital Resonance",POWER(Upgrades!$U$8,G225),1)*IF(Upgrades!$T$9="Orbital Resonance",POWER(Upgrades!$U$9,H225),1)*IF(Upgrades!$T$11="Orbital Resonance",POWER(Upgrades!$U$11,J225),1)*IF(Upgrades!$T$12="Orbital Resonance",POWER(Upgrades!$U$12,K225),1))+(IF(J225=0,0,(Upgrades!$M$11+J225*Upgrades!$N$11)*POWER(Upgrades!$O$11,J225)))*(IF(Upgrades!$T$6="Heliopause",POWER(Upgrades!$U$6,E225),1)*IF(Upgrades!$T$7="Heliopause",POWER(Upgrades!$U$7,F225),1)*IF(Upgrades!$T$8="Heliopause",POWER(Upgrades!$U$8,G225),1)*IF(Upgrades!$T$9="Heliopause",POWER(Upgrades!$U$9,H225),1)*IF(Upgrades!$T$10="Heliopause",POWER(Upgrades!$U$10,I225),1)*IF(Upgrades!$T$12="Heliopause",POWER(Upgrades!$U$12,K225),1))+(IF(K225=0,0,(Upgrades!$M$12+K225*Upgrades!$N$12)*POWER(Upgrades!$O$12,K225)))*(IF(Upgrades!$T$6="First Photons",POWER(Upgrades!$U$6,E225),1)*IF(Upgrades!$T$7="First Photons",POWER(Upgrades!$U$7,F225),1)*IF(Upgrades!$T$8="First Photons",POWER(Upgrades!$U$8,G225),1)*IF(Upgrades!$T$9="First Photons",POWER(Upgrades!$U$9,H225),1)*IF(Upgrades!$T$10="First Photons",POWER(Upgrades!$U$10,I225),1)*IF(Upgrades!$T$11="First Photons",POWER(Upgrades!$U$11,J225),1)))*POWER(Upgrades!$R$6,E225)*POWER(Upgrades!$R$7,F225)*POWER(Upgrades!$R$8,G225)*POWER(Upgrades!$R$9,H225)*POWER(Upgrades!$R$10,I225)*POWER(Upgrades!$R$11,J225)*POWER(Upgrades!$R$12,K225)</f>
        <v>0</v>
      </c>
      <c r="P225" s="27" t="n">
        <f aca="false">IF(L225=1,0,M225*Parameters!$B$10/60*Parameters!$B$11*10)</f>
        <v>0</v>
      </c>
      <c r="Q225" s="27" t="n">
        <f aca="false">IF(L225=1,0,O225*M225*10)</f>
        <v>0</v>
      </c>
      <c r="R225" s="27" t="n">
        <f aca="false">IF(L225=1,0,N225*10)</f>
        <v>0</v>
      </c>
      <c r="S225" s="27" t="n">
        <f aca="false">P225+Q225+R225</f>
        <v>0</v>
      </c>
      <c r="T225" s="21" t="n">
        <f aca="false">C225+S225</f>
        <v>18.6730249835055</v>
      </c>
      <c r="U225" s="34" t="str">
        <f aca="false">AX225</f>
        <v/>
      </c>
      <c r="V225" s="21" t="n">
        <f aca="false">IF(U225="",0,IF(U225="transition",0,IF(U225="SW",AG225,IF(U225="AB",AH225,IF(U225="SC",AI225,IF(U225="Mag",AJ225,IF(U225="OR",AK225,IF(U225="HP",AL225,IF(U225="FP",AM225,0)))))))))</f>
        <v>0</v>
      </c>
      <c r="W225" s="27" t="n">
        <f aca="false">IF(U225="OR",Upgrades!$F$10,IF(U225="HP",Upgrades!$F$11,IF(U225="transition",-Parameters!$B$18,0)))</f>
        <v>0</v>
      </c>
      <c r="X225" s="21" t="n">
        <f aca="false">T225-V225</f>
        <v>18.6730249835055</v>
      </c>
      <c r="Y225" s="30" t="n">
        <f aca="false">M225*Parameters!$B$10/60*Parameters!$B$11+O225*M225+N225</f>
        <v>20.55</v>
      </c>
      <c r="Z225" s="35" t="str">
        <f aca="false">IF(U225="transition","→ Tier 2 (Stellar Neighborhood)",IF(U225="FP","First Photons — light begins, system quickens",IF(U225="HP","Heliopause acquired",IF(U225="OR","Orbital Resonance — passive multiplier active",IF(AND(AO225=1,L225=0,AN225&lt;&gt;1),"Cohesion ready (waiting on completionist upgrades)","")))))</f>
        <v/>
      </c>
      <c r="AA225" s="27" t="n">
        <f aca="false">(IF(E225=0,0,(Upgrades!$G$6+E225*Upgrades!$H$6)*POWER(Upgrades!$I$6,E225)))*(IF(Upgrades!$T$7="Solar Wind",POWER(Upgrades!$U$7,F225),1)*IF(Upgrades!$T$8="Solar Wind",POWER(Upgrades!$U$8,G225),1)*IF(Upgrades!$T$9="Solar Wind",POWER(Upgrades!$U$9,H225),1)*IF(Upgrades!$T$10="Solar Wind",POWER(Upgrades!$U$10,I225),1)*IF(Upgrades!$T$11="Solar Wind",POWER(Upgrades!$U$11,J225),1)*IF(Upgrades!$T$12="Solar Wind",POWER(Upgrades!$U$12,K225),1))*POWER(Upgrades!$P$6,E225)*POWER(Upgrades!$P$7,F225)*POWER(Upgrades!$P$8,G225)*POWER(Upgrades!$P$9,H225)*POWER(Upgrades!$P$10,I225)*POWER(Upgrades!$P$11,J225)*POWER(Upgrades!$P$12,K225)*60</f>
        <v>72</v>
      </c>
      <c r="AB225" s="27" t="n">
        <f aca="false">(IF(F225=0,0,(Upgrades!$G$7+F225*Upgrades!$H$7)*POWER(Upgrades!$I$7,F225)))*(IF(Upgrades!$T$6="Asteroid Belt",POWER(Upgrades!$U$6,E225),1)*IF(Upgrades!$T$8="Asteroid Belt",POWER(Upgrades!$U$8,G225),1)*IF(Upgrades!$T$9="Asteroid Belt",POWER(Upgrades!$U$9,H225),1)*IF(Upgrades!$T$10="Asteroid Belt",POWER(Upgrades!$U$10,I225),1)*IF(Upgrades!$T$11="Asteroid Belt",POWER(Upgrades!$U$11,J225),1)*IF(Upgrades!$T$12="Asteroid Belt",POWER(Upgrades!$U$12,K225),1))*POWER(Upgrades!$P$6,E225)*POWER(Upgrades!$P$7,F225)*POWER(Upgrades!$P$8,G225)*POWER(Upgrades!$P$9,H225)*POWER(Upgrades!$P$10,I225)*POWER(Upgrades!$P$11,J225)*POWER(Upgrades!$P$12,K225)*60</f>
        <v>150</v>
      </c>
      <c r="AC225" s="27" t="n">
        <f aca="false">(IF(G225=0,0,(Upgrades!$J$8+G225*Upgrades!$K$8)*POWER(Upgrades!$L$8,G225)))*(IF(Upgrades!$T$6="Stellar Coupling",POWER(Upgrades!$U$6,E225),1)*IF(Upgrades!$T$7="Stellar Coupling",POWER(Upgrades!$U$7,F225),1)*IF(Upgrades!$T$9="Stellar Coupling",POWER(Upgrades!$U$9,H225),1)*IF(Upgrades!$T$10="Stellar Coupling",POWER(Upgrades!$U$10,I225),1)*IF(Upgrades!$T$11="Stellar Coupling",POWER(Upgrades!$U$11,J225),1)*IF(Upgrades!$T$12="Stellar Coupling",POWER(Upgrades!$U$12,K225),1))*POWER(Upgrades!$Q$6,E225)*POWER(Upgrades!$Q$7,F225)*POWER(Upgrades!$Q$8,G225)*POWER(Upgrades!$Q$9,H225)*POWER(Upgrades!$Q$10,I225)*POWER(Upgrades!$Q$11,J225)*POWER(Upgrades!$Q$12,K225)*Parameters!$B$10*Parameters!$B$11</f>
        <v>441</v>
      </c>
      <c r="AD225" s="27" t="n">
        <f aca="false">(IF(H225=0,0,(Upgrades!$G$9+H225*Upgrades!$H$9)*POWER(Upgrades!$I$9,H225)))*(IF(Upgrades!$T$6="Magnetosphere",POWER(Upgrades!$U$6,E225),1)*IF(Upgrades!$T$7="Magnetosphere",POWER(Upgrades!$U$7,F225),1)*IF(Upgrades!$T$8="Magnetosphere",POWER(Upgrades!$U$8,G225),1)*IF(Upgrades!$T$10="Magnetosphere",POWER(Upgrades!$U$10,I225),1)*IF(Upgrades!$T$11="Magnetosphere",POWER(Upgrades!$U$11,J225),1)*IF(Upgrades!$T$12="Magnetosphere",POWER(Upgrades!$U$12,K225),1))*POWER(Upgrades!$P$6,E225)*POWER(Upgrades!$P$7,F225)*POWER(Upgrades!$P$8,G225)*POWER(Upgrades!$P$9,H225)*POWER(Upgrades!$P$10,I225)*POWER(Upgrades!$P$11,J225)*POWER(Upgrades!$P$12,K225)*60</f>
        <v>375</v>
      </c>
      <c r="AE225" s="27" t="n">
        <f aca="false">(IF(K225=0,0,(Upgrades!$G$12+K225*Upgrades!$H$12)*POWER(Upgrades!$I$12,K225)))*(IF(Upgrades!$T$6="First Photons",POWER(Upgrades!$U$6,E225),1)*IF(Upgrades!$T$7="First Photons",POWER(Upgrades!$U$7,F225),1)*IF(Upgrades!$T$8="First Photons",POWER(Upgrades!$U$8,G225),1)*IF(Upgrades!$T$9="First Photons",POWER(Upgrades!$U$9,H225),1)*IF(Upgrades!$T$10="First Photons",POWER(Upgrades!$U$10,I225),1)*IF(Upgrades!$T$11="First Photons",POWER(Upgrades!$U$11,J225),1))*POWER(Upgrades!$P$6,E225)*POWER(Upgrades!$P$7,F225)*POWER(Upgrades!$P$8,G225)*POWER(Upgrades!$P$9,H225)*POWER(Upgrades!$P$10,I225)*POWER(Upgrades!$P$11,J225)*POWER(Upgrades!$P$12,K225)*60</f>
        <v>75</v>
      </c>
      <c r="AF225" s="27" t="n">
        <f aca="false">Parameters!$B$9*POWER(Upgrades!$Q$6,E225)*POWER(Upgrades!$Q$7,F225)*POWER(Upgrades!$Q$8,G225)*POWER(Upgrades!$Q$9,H225)*POWER(Upgrades!$Q$10,I225)*POWER(Upgrades!$Q$11,J225)*POWER(Upgrades!$Q$12,K225)*(Parameters!$B$10*Parameters!$B$11+O225*60)</f>
        <v>120</v>
      </c>
      <c r="AG225" s="21" t="n">
        <f aca="false">IF(E225&gt;=Upgrades!$E$6,"",Upgrades!$C$6*POWER(Upgrades!$D$6,E225))</f>
        <v>37.4517507383159</v>
      </c>
      <c r="AH225" s="21" t="n">
        <f aca="false">IF(F225&gt;=Upgrades!$E$7,"",Upgrades!$C$7*POWER(Upgrades!$D$7,F225))</f>
        <v>80.9111547141581</v>
      </c>
      <c r="AI225" s="21" t="n">
        <f aca="false">IF(G225&gt;=Upgrades!$E$8,"",Upgrades!$C$8*POWER(Upgrades!$D$8,G225))</f>
        <v>231.9097088</v>
      </c>
      <c r="AJ225" s="21" t="str">
        <f aca="false">IF(H225&gt;=Upgrades!$E$9,"",Upgrades!$C$9*POWER(Upgrades!$D$9,H225))</f>
        <v/>
      </c>
      <c r="AK225" s="21" t="str">
        <f aca="false">IF(I225&gt;=Upgrades!$E$10,"",Upgrades!$C$10*POWER(Upgrades!$D$10,I225))</f>
        <v/>
      </c>
      <c r="AL225" s="21" t="str">
        <f aca="false">IF(J225&gt;=Upgrades!$E$11,"",Upgrades!$C$11*POWER(Upgrades!$D$11,J225))</f>
        <v/>
      </c>
      <c r="AM225" s="21" t="str">
        <f aca="false">IF(K225&gt;=Upgrades!$E$12,"",Upgrades!$C$12*POWER(Upgrades!$D$12,K225))</f>
        <v/>
      </c>
      <c r="AN225" s="26" t="str">
        <f aca="false">IF(AND(D225&gt;=Parameters!$B$18,(H225&gt;=Upgrades!$E$9)*(K225&gt;=Upgrades!$E$12)=1,L225=0),1,"")</f>
        <v/>
      </c>
      <c r="AO225" s="26" t="str">
        <f aca="false">IF(AND(D225&gt;=Parameters!$B$18,L225=0),1,"")</f>
        <v/>
      </c>
      <c r="AP225" s="21" t="n">
        <f aca="false">MIN(IF(ISNUMBER(AK225),AK225,9000000000000000),IF(ISNUMBER(AL225),AL225,9000000000000000),IF(ISNUMBER(AM225),AM225,9000000000000000))</f>
        <v>9000000000000000</v>
      </c>
      <c r="AQ225" s="21" t="n">
        <f aca="false">MIN(IF(ISNUMBER(AG225),AG225,9000000000000000),IF(ISNUMBER(AH225),AH225,9000000000000000),IF(ISNUMBER(AI225),AI225,9000000000000000),IF(ISNUMBER(AJ225),AJ225,9000000000000000))</f>
        <v>37.4517507383159</v>
      </c>
      <c r="AR225" s="32" t="b">
        <f aca="false">IF(AW225&gt;Parameters!$B$21*(MAX(IF(AND(NOT(AND(AO225=1,AN225&lt;&gt;1)),ISNUMBER(AG225),AG225&lt;=T225),AS225,0),IF(AND(NOT(AND(AO225=1,AN225&lt;&gt;1)),ISNUMBER(AH225),AH225&lt;=T225),AT225,0),IF(AND(NOT(AND(AO225=1,AN225&lt;&gt;1)),ISNUMBER(AI225),AI225&lt;=T225),AU225,0),IF(AND(ISNUMBER(AJ225),AJ225&lt;=T225),AV225,0))),TRUE(),FALSE())</f>
        <v>1</v>
      </c>
      <c r="AS225" s="33" t="n">
        <f aca="false">IFERROR(Upgrades!$H$6*(POWER(Upgrades!$P$6,E225)*POWER(Upgrades!$P$7,F225)*POWER(Upgrades!$P$8,G225)*POWER(Upgrades!$P$9,H225)*POWER(Upgrades!$P$10,I225)*POWER(Upgrades!$P$11,J225)*POWER(Upgrades!$P$12,K225))*(IF(Upgrades!$T$7="Solar Wind",POWER(Upgrades!$U$7,F225),1)*IF(Upgrades!$T$8="Solar Wind",POWER(Upgrades!$U$8,G225),1)*IF(Upgrades!$T$9="Solar Wind",POWER(Upgrades!$U$9,H225),1)*IF(Upgrades!$T$10="Solar Wind",POWER(Upgrades!$U$10,I225),1)*IF(Upgrades!$T$11="Solar Wind",POWER(Upgrades!$U$11,J225),1)*IF(Upgrades!$T$12="Solar Wind",POWER(Upgrades!$U$12,K225),1))/AG225,0)</f>
        <v>0.0026701021455238</v>
      </c>
      <c r="AT225" s="33" t="n">
        <f aca="false">IFERROR(Upgrades!$H$7*(POWER(Upgrades!$P$6,E225)*POWER(Upgrades!$P$7,F225)*POWER(Upgrades!$P$8,G225)*POWER(Upgrades!$P$9,H225)*POWER(Upgrades!$P$10,I225)*POWER(Upgrades!$P$11,J225)*POWER(Upgrades!$P$12,K225))*(IF(Upgrades!$T$6="Asteroid Belt",POWER(Upgrades!$U$6,E225),1)*IF(Upgrades!$T$8="Asteroid Belt",POWER(Upgrades!$U$8,G225),1)*IF(Upgrades!$T$9="Asteroid Belt",POWER(Upgrades!$U$9,H225),1)*IF(Upgrades!$T$10="Asteroid Belt",POWER(Upgrades!$U$10,I225),1)*IF(Upgrades!$T$11="Asteroid Belt",POWER(Upgrades!$U$11,J225),1)*IF(Upgrades!$T$12="Asteroid Belt",POWER(Upgrades!$U$12,K225),1))/AH225,0)</f>
        <v>0.00308980882652332</v>
      </c>
      <c r="AU225" s="33" t="n">
        <f aca="false">IFERROR(Upgrades!$K$8*(POWER(Upgrades!$Q$6,E225)*POWER(Upgrades!$Q$7,F225)*POWER(Upgrades!$Q$8,G225)*POWER(Upgrades!$Q$9,H225)*POWER(Upgrades!$Q$10,I225)*POWER(Upgrades!$Q$11,J225)*POWER(Upgrades!$Q$12,K225))*(IF(Upgrades!$T$6="Stellar Coupling",POWER(Upgrades!$U$6,E225),1)*IF(Upgrades!$T$7="Stellar Coupling",POWER(Upgrades!$U$7,F225),1)*IF(Upgrades!$T$9="Stellar Coupling",POWER(Upgrades!$U$9,H225),1)*IF(Upgrades!$T$10="Stellar Coupling",POWER(Upgrades!$U$10,I225),1)*IF(Upgrades!$T$11="Stellar Coupling",POWER(Upgrades!$U$11,J225),1)*IF(Upgrades!$T$12="Stellar Coupling",POWER(Upgrades!$U$12,K225),1))*Parameters!$B$10*Parameters!$B$11/60/AI225,0)</f>
        <v>0.00452762415783776</v>
      </c>
      <c r="AV225" s="33" t="n">
        <f aca="false">IFERROR(Upgrades!$H$9*(POWER(Upgrades!$P$6,E225)*POWER(Upgrades!$P$7,F225)*POWER(Upgrades!$P$8,G225)*POWER(Upgrades!$P$9,H225)*POWER(Upgrades!$P$10,I225)*POWER(Upgrades!$P$11,J225)*POWER(Upgrades!$P$12,K225))*(IF(Upgrades!$T$6="Magnetosphere",POWER(Upgrades!$U$6,E225),1)*IF(Upgrades!$T$7="Magnetosphere",POWER(Upgrades!$U$7,F225),1)*IF(Upgrades!$T$8="Magnetosphere",POWER(Upgrades!$U$8,G225),1)*IF(Upgrades!$T$10="Magnetosphere",POWER(Upgrades!$U$10,I225),1)*IF(Upgrades!$T$11="Magnetosphere",POWER(Upgrades!$U$11,J225),1)*IF(Upgrades!$T$12="Magnetosphere",POWER(Upgrades!$U$12,K225),1))/AJ225,0)</f>
        <v>0</v>
      </c>
      <c r="AW225" s="33" t="n">
        <f aca="false">MAX(IF(I225&gt;0,0,IFERROR(0.25*N225/Upgrades!$C$10,0)),IF(J225&gt;0,0,IFERROR(0.5*((IF(G225=0,0,(Upgrades!$J$8+G225*Upgrades!$K$8)*POWER(Upgrades!$L$8,G225)))*(IF(Upgrades!$T$6="Stellar Coupling",POWER(Upgrades!$U$6,E225),1)*IF(Upgrades!$T$7="Stellar Coupling",POWER(Upgrades!$U$7,F225),1)*IF(Upgrades!$T$9="Stellar Coupling",POWER(Upgrades!$U$9,H225),1)*IF(Upgrades!$T$10="Stellar Coupling",POWER(Upgrades!$U$10,I225),1)*IF(Upgrades!$T$11="Stellar Coupling",POWER(Upgrades!$U$11,J225),1)*IF(Upgrades!$T$12="Stellar Coupling",POWER(Upgrades!$U$12,K225),1))*(POWER(Upgrades!$Q$6,E225)*POWER(Upgrades!$Q$7,F225)*POWER(Upgrades!$Q$8,G225)*POWER(Upgrades!$Q$9,H225)*POWER(Upgrades!$Q$10,I225)*POWER(Upgrades!$Q$11,J225)*POWER(Upgrades!$Q$12,K225))*Parameters!$B$10*Parameters!$B$11/60)/Upgrades!$C$11,0)),IF(K225&gt;0,0,IFERROR((1*(POWER(Upgrades!$P$6,E225)*POWER(Upgrades!$P$7,F225)*POWER(Upgrades!$P$8,G225)*POWER(Upgrades!$P$9,H225)*POWER(Upgrades!$P$10,I225)*POWER(Upgrades!$P$11,J225)*POWER(Upgrades!$P$12,K225))+0.2*M225*Parameters!$B$10*Parameters!$B$11/60)/Upgrades!$C$12,0)),IF(AND(ISNUMBER(AG225),AG225&gt;T225),AS225,0),IF(AND(ISNUMBER(AH225),AH225&gt;T225),AT225,0),IF(AND(ISNUMBER(AI225),AI225&gt;T225),AU225,0),IF(AND(ISNUMBER(AJ225),AJ225&gt;T225),AV225,0))</f>
        <v>0.00452762415783776</v>
      </c>
      <c r="AX225" s="29" t="str">
        <f aca="false">IF(AN225=1,"transition",IF(MIN(IF(AND(I225=0,ISNUMBER(AK225),AK225&lt;=T225),AK225,9000000000000000),IF(AND(J225=0,ISNUMBER(AL225),AL225&lt;=T225),AL225,9000000000000000),IF(AND(K225=0,ISNUMBER(AM225),AM225&lt;=T225),AM225,9000000000000000))&lt;9000000000000000,IF(AND(AND(I225=0,ISNUMBER(AK225),AK225&lt;=T225),AK225=MIN(IF(AND(I225=0,ISNUMBER(AK225),AK225&lt;=T225),AK225,9000000000000000),IF(AND(J225=0,ISNUMBER(AL225),AL225&lt;=T225),AL225,9000000000000000),IF(AND(K225=0,ISNUMBER(AM225),AM225&lt;=T225),AM225,9000000000000000))),"OR",IF(AND(AND(J225=0,ISNUMBER(AL225),AL225&lt;=T225),AL225=MIN(IF(AND(I225=0,ISNUMBER(AK225),AK225&lt;=T225),AK225,9000000000000000),IF(AND(J225=0,ISNUMBER(AL225),AL225&lt;=T225),AL225,9000000000000000),IF(AND(K225=0,ISNUMBER(AM225),AM225&lt;=T225),AM225,9000000000000000))),"HP","FP")),IF(AR225=TRUE(),"",IF(MAX(IF(AND(NOT(AND(AO225=1,AN225&lt;&gt;1)),ISNUMBER(AG225),AG225&lt;=T225),AS225,0),IF(AND(NOT(AND(AO225=1,AN225&lt;&gt;1)),ISNUMBER(AH225),AH225&lt;=T225),AT225,0),IF(AND(NOT(AND(AO225=1,AN225&lt;&gt;1)),ISNUMBER(AI225),AI225&lt;=T225),AU225,0),IF(AND(ISNUMBER(AJ225),AJ225&lt;=T225),AV225,0))&lt;=0,"",IF(AND(IF(AND(NOT(AND(AO225=1,AN225&lt;&gt;1)),ISNUMBER(AG225),AG225&lt;=T225),AS225,0)&gt;0,IF(AND(NOT(AND(AO225=1,AN225&lt;&gt;1)),ISNUMBER(AG225),AG225&lt;=T225),AS225,0)=MAX(IF(AND(NOT(AND(AO225=1,AN225&lt;&gt;1)),ISNUMBER(AG225),AG225&lt;=T225),AS225,0),IF(AND(NOT(AND(AO225=1,AN225&lt;&gt;1)),ISNUMBER(AH225),AH225&lt;=T225),AT225,0),IF(AND(NOT(AND(AO225=1,AN225&lt;&gt;1)),ISNUMBER(AI225),AI225&lt;=T225),AU225,0),IF(AND(ISNUMBER(AJ225),AJ225&lt;=T225),AV225,0))),"SW",IF(AND(IF(AND(NOT(AND(AO225=1,AN225&lt;&gt;1)),ISNUMBER(AH225),AH225&lt;=T225),AT225,0)&gt;0,IF(AND(NOT(AND(AO225=1,AN225&lt;&gt;1)),ISNUMBER(AH225),AH225&lt;=T225),AT225,0)=MAX(IF(AND(NOT(AND(AO225=1,AN225&lt;&gt;1)),ISNUMBER(AG225),AG225&lt;=T225),AS225,0),IF(AND(NOT(AND(AO225=1,AN225&lt;&gt;1)),ISNUMBER(AH225),AH225&lt;=T225),AT225,0),IF(AND(NOT(AND(AO225=1,AN225&lt;&gt;1)),ISNUMBER(AI225),AI225&lt;=T225),AU225,0),IF(AND(ISNUMBER(AJ225),AJ225&lt;=T225),AV225,0))),"AB",IF(AND(IF(AND(NOT(AND(AO225=1,AN225&lt;&gt;1)),ISNUMBER(AI225),AI225&lt;=T225),AU225,0)&gt;0,IF(AND(NOT(AND(AO225=1,AN225&lt;&gt;1)),ISNUMBER(AI225),AI225&lt;=T225),AU225,0)=MAX(IF(AND(NOT(AND(AO225=1,AN225&lt;&gt;1)),ISNUMBER(AG225),AG225&lt;=T225),AS225,0),IF(AND(NOT(AND(AO225=1,AN225&lt;&gt;1)),ISNUMBER(AH225),AH225&lt;=T225),AT225,0),IF(AND(NOT(AND(AO225=1,AN225&lt;&gt;1)),ISNUMBER(AI225),AI225&lt;=T225),AU225,0),IF(AND(ISNUMBER(AJ225),AJ225&lt;=T225),AV225,0))),"SC","Mag")))))))</f>
        <v/>
      </c>
    </row>
    <row r="226" customFormat="false" ht="15" hidden="false" customHeight="false" outlineLevel="0" collapsed="false">
      <c r="A226" s="26" t="n">
        <v>221</v>
      </c>
      <c r="B226" s="27" t="n">
        <f aca="false">A226*10/60</f>
        <v>36.8333333333333</v>
      </c>
      <c r="C226" s="21" t="n">
        <f aca="false">X225</f>
        <v>18.6730249835055</v>
      </c>
      <c r="D226" s="27" t="n">
        <f aca="false">D225+W225</f>
        <v>0</v>
      </c>
      <c r="E226" s="26" t="n">
        <f aca="false">E225+IF(U225="SW",1,0)</f>
        <v>12</v>
      </c>
      <c r="F226" s="26" t="n">
        <f aca="false">F225+IF(U225="AB",1,0)</f>
        <v>10</v>
      </c>
      <c r="G226" s="26" t="n">
        <f aca="false">G225+IF(U225="SC",1,0)</f>
        <v>7</v>
      </c>
      <c r="H226" s="26" t="n">
        <f aca="false">H225+IF(U225="Mag",1,0)</f>
        <v>5</v>
      </c>
      <c r="I226" s="26" t="n">
        <f aca="false">MAX(I225,IF(U225="OR",1,0))</f>
        <v>1</v>
      </c>
      <c r="J226" s="26" t="n">
        <f aca="false">MAX(J225,IF(U225="HP",1,0))</f>
        <v>1</v>
      </c>
      <c r="K226" s="26" t="n">
        <f aca="false">MAX(K225,IF(U225="FP",1,0))</f>
        <v>1</v>
      </c>
      <c r="L226" s="26" t="n">
        <f aca="false">MAX(L225,IF(U225="transition",1,0))</f>
        <v>1</v>
      </c>
      <c r="M226" s="28" t="n">
        <f aca="false">(Parameters!$B$9+(IF(E226=0,0,(Upgrades!$J$6+E226*Upgrades!$K$6)*POWER(Upgrades!$L$6,E226)))*(IF(Upgrades!$T$7="Solar Wind",POWER(Upgrades!$U$7,F226),1)*IF(Upgrades!$T$8="Solar Wind",POWER(Upgrades!$U$8,G226),1)*IF(Upgrades!$T$9="Solar Wind",POWER(Upgrades!$U$9,H226),1)*IF(Upgrades!$T$10="Solar Wind",POWER(Upgrades!$U$10,I226),1)*IF(Upgrades!$T$11="Solar Wind",POWER(Upgrades!$U$11,J226),1)*IF(Upgrades!$T$12="Solar Wind",POWER(Upgrades!$U$12,K226),1))+(IF(F226=0,0,(Upgrades!$J$7+F226*Upgrades!$K$7)*POWER(Upgrades!$L$7,F226)))*(IF(Upgrades!$T$6="Asteroid Belt",POWER(Upgrades!$U$6,E226),1)*IF(Upgrades!$T$8="Asteroid Belt",POWER(Upgrades!$U$8,G226),1)*IF(Upgrades!$T$9="Asteroid Belt",POWER(Upgrades!$U$9,H226),1)*IF(Upgrades!$T$10="Asteroid Belt",POWER(Upgrades!$U$10,I226),1)*IF(Upgrades!$T$11="Asteroid Belt",POWER(Upgrades!$U$11,J226),1)*IF(Upgrades!$T$12="Asteroid Belt",POWER(Upgrades!$U$12,K226),1))+(IF(G226=0,0,(Upgrades!$J$8+G226*Upgrades!$K$8)*POWER(Upgrades!$L$8,G226)))*(IF(Upgrades!$T$6="Stellar Coupling",POWER(Upgrades!$U$6,E226),1)*IF(Upgrades!$T$7="Stellar Coupling",POWER(Upgrades!$U$7,F226),1)*IF(Upgrades!$T$9="Stellar Coupling",POWER(Upgrades!$U$9,H226),1)*IF(Upgrades!$T$10="Stellar Coupling",POWER(Upgrades!$U$10,I226),1)*IF(Upgrades!$T$11="Stellar Coupling",POWER(Upgrades!$U$11,J226),1)*IF(Upgrades!$T$12="Stellar Coupling",POWER(Upgrades!$U$12,K226),1))+(IF(H226=0,0,(Upgrades!$J$9+H226*Upgrades!$K$9)*POWER(Upgrades!$L$9,H226)))*(IF(Upgrades!$T$6="Magnetosphere",POWER(Upgrades!$U$6,E226),1)*IF(Upgrades!$T$7="Magnetosphere",POWER(Upgrades!$U$7,F226),1)*IF(Upgrades!$T$8="Magnetosphere",POWER(Upgrades!$U$8,G226),1)*IF(Upgrades!$T$10="Magnetosphere",POWER(Upgrades!$U$10,I226),1)*IF(Upgrades!$T$11="Magnetosphere",POWER(Upgrades!$U$11,J226),1)*IF(Upgrades!$T$12="Magnetosphere",POWER(Upgrades!$U$12,K226),1))+(IF(I226=0,0,(Upgrades!$J$10+I226*Upgrades!$K$10)*POWER(Upgrades!$L$10,I226)))*(IF(Upgrades!$T$6="Orbital Resonance",POWER(Upgrades!$U$6,E226),1)*IF(Upgrades!$T$7="Orbital Resonance",POWER(Upgrades!$U$7,F226),1)*IF(Upgrades!$T$8="Orbital Resonance",POWER(Upgrades!$U$8,G226),1)*IF(Upgrades!$T$9="Orbital Resonance",POWER(Upgrades!$U$9,H226),1)*IF(Upgrades!$T$11="Orbital Resonance",POWER(Upgrades!$U$11,J226),1)*IF(Upgrades!$T$12="Orbital Resonance",POWER(Upgrades!$U$12,K226),1))+(IF(J226=0,0,(Upgrades!$J$11+J226*Upgrades!$K$11)*POWER(Upgrades!$L$11,J226)))*(IF(Upgrades!$T$6="Heliopause",POWER(Upgrades!$U$6,E226),1)*IF(Upgrades!$T$7="Heliopause",POWER(Upgrades!$U$7,F226),1)*IF(Upgrades!$T$8="Heliopause",POWER(Upgrades!$U$8,G226),1)*IF(Upgrades!$T$9="Heliopause",POWER(Upgrades!$U$9,H226),1)*IF(Upgrades!$T$10="Heliopause",POWER(Upgrades!$U$10,I226),1)*IF(Upgrades!$T$12="Heliopause",POWER(Upgrades!$U$12,K226),1))+(IF(K226=0,0,(Upgrades!$J$12+K226*Upgrades!$K$12)*POWER(Upgrades!$L$12,K226)))*(IF(Upgrades!$T$6="First Photons",POWER(Upgrades!$U$6,E226),1)*IF(Upgrades!$T$7="First Photons",POWER(Upgrades!$U$7,F226),1)*IF(Upgrades!$T$8="First Photons",POWER(Upgrades!$U$8,G226),1)*IF(Upgrades!$T$9="First Photons",POWER(Upgrades!$U$9,H226),1)*IF(Upgrades!$T$10="First Photons",POWER(Upgrades!$U$10,I226),1)*IF(Upgrades!$T$11="First Photons",POWER(Upgrades!$U$11,J226),1)))*POWER(Upgrades!$Q$6,E226)*POWER(Upgrades!$Q$7,F226)*POWER(Upgrades!$Q$8,G226)*POWER(Upgrades!$Q$9,H226)*POWER(Upgrades!$Q$10,I226)*POWER(Upgrades!$Q$11,J226)*POWER(Upgrades!$Q$12,K226)</f>
        <v>5.61</v>
      </c>
      <c r="N226" s="28" t="n">
        <f aca="false">((IF(E226=0,0,(Upgrades!$G$6+E226*Upgrades!$H$6)*POWER(Upgrades!$I$6,E226)))*(IF(Upgrades!$T$7="Solar Wind",POWER(Upgrades!$U$7,F226),1)*IF(Upgrades!$T$8="Solar Wind",POWER(Upgrades!$U$8,G226),1)*IF(Upgrades!$T$9="Solar Wind",POWER(Upgrades!$U$9,H226),1)*IF(Upgrades!$T$10="Solar Wind",POWER(Upgrades!$U$10,I226),1)*IF(Upgrades!$T$11="Solar Wind",POWER(Upgrades!$U$11,J226),1)*IF(Upgrades!$T$12="Solar Wind",POWER(Upgrades!$U$12,K226),1))+(IF(F226=0,0,(Upgrades!$G$7+F226*Upgrades!$H$7)*POWER(Upgrades!$I$7,F226)))*(IF(Upgrades!$T$6="Asteroid Belt",POWER(Upgrades!$U$6,E226),1)*IF(Upgrades!$T$8="Asteroid Belt",POWER(Upgrades!$U$8,G226),1)*IF(Upgrades!$T$9="Asteroid Belt",POWER(Upgrades!$U$9,H226),1)*IF(Upgrades!$T$10="Asteroid Belt",POWER(Upgrades!$U$10,I226),1)*IF(Upgrades!$T$11="Asteroid Belt",POWER(Upgrades!$U$11,J226),1)*IF(Upgrades!$T$12="Asteroid Belt",POWER(Upgrades!$U$12,K226),1))+(IF(G226=0,0,(Upgrades!$G$8+G226*Upgrades!$H$8)*POWER(Upgrades!$I$8,G226)))*(IF(Upgrades!$T$6="Stellar Coupling",POWER(Upgrades!$U$6,E226),1)*IF(Upgrades!$T$7="Stellar Coupling",POWER(Upgrades!$U$7,F226),1)*IF(Upgrades!$T$9="Stellar Coupling",POWER(Upgrades!$U$9,H226),1)*IF(Upgrades!$T$10="Stellar Coupling",POWER(Upgrades!$U$10,I226),1)*IF(Upgrades!$T$11="Stellar Coupling",POWER(Upgrades!$U$11,J226),1)*IF(Upgrades!$T$12="Stellar Coupling",POWER(Upgrades!$U$12,K226),1))+(IF(H226=0,0,(Upgrades!$G$9+H226*Upgrades!$H$9)*POWER(Upgrades!$I$9,H226)))*(IF(Upgrades!$T$6="Magnetosphere",POWER(Upgrades!$U$6,E226),1)*IF(Upgrades!$T$7="Magnetosphere",POWER(Upgrades!$U$7,F226),1)*IF(Upgrades!$T$8="Magnetosphere",POWER(Upgrades!$U$8,G226),1)*IF(Upgrades!$T$10="Magnetosphere",POWER(Upgrades!$U$10,I226),1)*IF(Upgrades!$T$11="Magnetosphere",POWER(Upgrades!$U$11,J226),1)*IF(Upgrades!$T$12="Magnetosphere",POWER(Upgrades!$U$12,K226),1))+(IF(I226=0,0,(Upgrades!$G$10+I226*Upgrades!$H$10)*POWER(Upgrades!$I$10,I226)))*(IF(Upgrades!$T$6="Orbital Resonance",POWER(Upgrades!$U$6,E226),1)*IF(Upgrades!$T$7="Orbital Resonance",POWER(Upgrades!$U$7,F226),1)*IF(Upgrades!$T$8="Orbital Resonance",POWER(Upgrades!$U$8,G226),1)*IF(Upgrades!$T$9="Orbital Resonance",POWER(Upgrades!$U$9,H226),1)*IF(Upgrades!$T$11="Orbital Resonance",POWER(Upgrades!$U$11,J226),1)*IF(Upgrades!$T$12="Orbital Resonance",POWER(Upgrades!$U$12,K226),1))+(IF(J226=0,0,(Upgrades!$G$11+J226*Upgrades!$H$11)*POWER(Upgrades!$I$11,J226)))*(IF(Upgrades!$T$6="Heliopause",POWER(Upgrades!$U$6,E226),1)*IF(Upgrades!$T$7="Heliopause",POWER(Upgrades!$U$7,F226),1)*IF(Upgrades!$T$8="Heliopause",POWER(Upgrades!$U$8,G226),1)*IF(Upgrades!$T$9="Heliopause",POWER(Upgrades!$U$9,H226),1)*IF(Upgrades!$T$10="Heliopause",POWER(Upgrades!$U$10,I226),1)*IF(Upgrades!$T$12="Heliopause",POWER(Upgrades!$U$12,K226),1))+(IF(K226=0,0,(Upgrades!$G$12+K226*Upgrades!$H$12)*POWER(Upgrades!$I$12,K226)))*(IF(Upgrades!$T$6="First Photons",POWER(Upgrades!$U$6,E226),1)*IF(Upgrades!$T$7="First Photons",POWER(Upgrades!$U$7,F226),1)*IF(Upgrades!$T$8="First Photons",POWER(Upgrades!$U$8,G226),1)*IF(Upgrades!$T$9="First Photons",POWER(Upgrades!$U$9,H226),1)*IF(Upgrades!$T$10="First Photons",POWER(Upgrades!$U$10,I226),1)*IF(Upgrades!$T$11="First Photons",POWER(Upgrades!$U$11,J226),1)))*POWER(Upgrades!$P$6,E226)*POWER(Upgrades!$P$7,F226)*POWER(Upgrades!$P$8,G226)*POWER(Upgrades!$P$9,H226)*POWER(Upgrades!$P$10,I226)*POWER(Upgrades!$P$11,J226)*POWER(Upgrades!$P$12,K226)</f>
        <v>11.2</v>
      </c>
      <c r="O226" s="28" t="n">
        <f aca="false">((IF(E226=0,0,(Upgrades!$M$6+E226*Upgrades!$N$6)*POWER(Upgrades!$O$6,E226)))*(IF(Upgrades!$T$7="Solar Wind",POWER(Upgrades!$U$7,F226),1)*IF(Upgrades!$T$8="Solar Wind",POWER(Upgrades!$U$8,G226),1)*IF(Upgrades!$T$9="Solar Wind",POWER(Upgrades!$U$9,H226),1)*IF(Upgrades!$T$10="Solar Wind",POWER(Upgrades!$U$10,I226),1)*IF(Upgrades!$T$11="Solar Wind",POWER(Upgrades!$U$11,J226),1)*IF(Upgrades!$T$12="Solar Wind",POWER(Upgrades!$U$12,K226),1))+(IF(F226=0,0,(Upgrades!$M$7+F226*Upgrades!$N$7)*POWER(Upgrades!$O$7,F226)))*(IF(Upgrades!$T$6="Asteroid Belt",POWER(Upgrades!$U$6,E226),1)*IF(Upgrades!$T$8="Asteroid Belt",POWER(Upgrades!$U$8,G226),1)*IF(Upgrades!$T$9="Asteroid Belt",POWER(Upgrades!$U$9,H226),1)*IF(Upgrades!$T$10="Asteroid Belt",POWER(Upgrades!$U$10,I226),1)*IF(Upgrades!$T$11="Asteroid Belt",POWER(Upgrades!$U$11,J226),1)*IF(Upgrades!$T$12="Asteroid Belt",POWER(Upgrades!$U$12,K226),1))+(IF(G226=0,0,(Upgrades!$M$8+G226*Upgrades!$N$8)*POWER(Upgrades!$O$8,G226)))*(IF(Upgrades!$T$6="Stellar Coupling",POWER(Upgrades!$U$6,E226),1)*IF(Upgrades!$T$7="Stellar Coupling",POWER(Upgrades!$U$7,F226),1)*IF(Upgrades!$T$9="Stellar Coupling",POWER(Upgrades!$U$9,H226),1)*IF(Upgrades!$T$10="Stellar Coupling",POWER(Upgrades!$U$10,I226),1)*IF(Upgrades!$T$11="Stellar Coupling",POWER(Upgrades!$U$11,J226),1)*IF(Upgrades!$T$12="Stellar Coupling",POWER(Upgrades!$U$12,K226),1))+(IF(H226=0,0,(Upgrades!$M$9+H226*Upgrades!$N$9)*POWER(Upgrades!$O$9,H226)))*(IF(Upgrades!$T$6="Magnetosphere",POWER(Upgrades!$U$6,E226),1)*IF(Upgrades!$T$7="Magnetosphere",POWER(Upgrades!$U$7,F226),1)*IF(Upgrades!$T$8="Magnetosphere",POWER(Upgrades!$U$8,G226),1)*IF(Upgrades!$T$10="Magnetosphere",POWER(Upgrades!$U$10,I226),1)*IF(Upgrades!$T$11="Magnetosphere",POWER(Upgrades!$U$11,J226),1)*IF(Upgrades!$T$12="Magnetosphere",POWER(Upgrades!$U$12,K226),1))+(IF(I226=0,0,(Upgrades!$M$10+I226*Upgrades!$N$10)*POWER(Upgrades!$O$10,I226)))*(IF(Upgrades!$T$6="Orbital Resonance",POWER(Upgrades!$U$6,E226),1)*IF(Upgrades!$T$7="Orbital Resonance",POWER(Upgrades!$U$7,F226),1)*IF(Upgrades!$T$8="Orbital Resonance",POWER(Upgrades!$U$8,G226),1)*IF(Upgrades!$T$9="Orbital Resonance",POWER(Upgrades!$U$9,H226),1)*IF(Upgrades!$T$11="Orbital Resonance",POWER(Upgrades!$U$11,J226),1)*IF(Upgrades!$T$12="Orbital Resonance",POWER(Upgrades!$U$12,K226),1))+(IF(J226=0,0,(Upgrades!$M$11+J226*Upgrades!$N$11)*POWER(Upgrades!$O$11,J226)))*(IF(Upgrades!$T$6="Heliopause",POWER(Upgrades!$U$6,E226),1)*IF(Upgrades!$T$7="Heliopause",POWER(Upgrades!$U$7,F226),1)*IF(Upgrades!$T$8="Heliopause",POWER(Upgrades!$U$8,G226),1)*IF(Upgrades!$T$9="Heliopause",POWER(Upgrades!$U$9,H226),1)*IF(Upgrades!$T$10="Heliopause",POWER(Upgrades!$U$10,I226),1)*IF(Upgrades!$T$12="Heliopause",POWER(Upgrades!$U$12,K226),1))+(IF(K226=0,0,(Upgrades!$M$12+K226*Upgrades!$N$12)*POWER(Upgrades!$O$12,K226)))*(IF(Upgrades!$T$6="First Photons",POWER(Upgrades!$U$6,E226),1)*IF(Upgrades!$T$7="First Photons",POWER(Upgrades!$U$7,F226),1)*IF(Upgrades!$T$8="First Photons",POWER(Upgrades!$U$8,G226),1)*IF(Upgrades!$T$9="First Photons",POWER(Upgrades!$U$9,H226),1)*IF(Upgrades!$T$10="First Photons",POWER(Upgrades!$U$10,I226),1)*IF(Upgrades!$T$11="First Photons",POWER(Upgrades!$U$11,J226),1)))*POWER(Upgrades!$R$6,E226)*POWER(Upgrades!$R$7,F226)*POWER(Upgrades!$R$8,G226)*POWER(Upgrades!$R$9,H226)*POWER(Upgrades!$R$10,I226)*POWER(Upgrades!$R$11,J226)*POWER(Upgrades!$R$12,K226)</f>
        <v>0</v>
      </c>
      <c r="P226" s="27" t="n">
        <f aca="false">IF(L226=1,0,M226*Parameters!$B$10/60*Parameters!$B$11*10)</f>
        <v>0</v>
      </c>
      <c r="Q226" s="27" t="n">
        <f aca="false">IF(L226=1,0,O226*M226*10)</f>
        <v>0</v>
      </c>
      <c r="R226" s="27" t="n">
        <f aca="false">IF(L226=1,0,N226*10)</f>
        <v>0</v>
      </c>
      <c r="S226" s="27" t="n">
        <f aca="false">P226+Q226+R226</f>
        <v>0</v>
      </c>
      <c r="T226" s="21" t="n">
        <f aca="false">C226+S226</f>
        <v>18.6730249835055</v>
      </c>
      <c r="U226" s="34" t="str">
        <f aca="false">AX226</f>
        <v/>
      </c>
      <c r="V226" s="21" t="n">
        <f aca="false">IF(U226="",0,IF(U226="transition",0,IF(U226="SW",AG226,IF(U226="AB",AH226,IF(U226="SC",AI226,IF(U226="Mag",AJ226,IF(U226="OR",AK226,IF(U226="HP",AL226,IF(U226="FP",AM226,0)))))))))</f>
        <v>0</v>
      </c>
      <c r="W226" s="27" t="n">
        <f aca="false">IF(U226="OR",Upgrades!$F$10,IF(U226="HP",Upgrades!$F$11,IF(U226="transition",-Parameters!$B$18,0)))</f>
        <v>0</v>
      </c>
      <c r="X226" s="21" t="n">
        <f aca="false">T226-V226</f>
        <v>18.6730249835055</v>
      </c>
      <c r="Y226" s="30" t="n">
        <f aca="false">M226*Parameters!$B$10/60*Parameters!$B$11+O226*M226+N226</f>
        <v>20.55</v>
      </c>
      <c r="Z226" s="35" t="str">
        <f aca="false">IF(U226="transition","→ Tier 2 (Stellar Neighborhood)",IF(U226="FP","First Photons — light begins, system quickens",IF(U226="HP","Heliopause acquired",IF(U226="OR","Orbital Resonance — passive multiplier active",IF(AND(AO226=1,L226=0,AN226&lt;&gt;1),"Cohesion ready (waiting on completionist upgrades)","")))))</f>
        <v/>
      </c>
      <c r="AA226" s="27" t="n">
        <f aca="false">(IF(E226=0,0,(Upgrades!$G$6+E226*Upgrades!$H$6)*POWER(Upgrades!$I$6,E226)))*(IF(Upgrades!$T$7="Solar Wind",POWER(Upgrades!$U$7,F226),1)*IF(Upgrades!$T$8="Solar Wind",POWER(Upgrades!$U$8,G226),1)*IF(Upgrades!$T$9="Solar Wind",POWER(Upgrades!$U$9,H226),1)*IF(Upgrades!$T$10="Solar Wind",POWER(Upgrades!$U$10,I226),1)*IF(Upgrades!$T$11="Solar Wind",POWER(Upgrades!$U$11,J226),1)*IF(Upgrades!$T$12="Solar Wind",POWER(Upgrades!$U$12,K226),1))*POWER(Upgrades!$P$6,E226)*POWER(Upgrades!$P$7,F226)*POWER(Upgrades!$P$8,G226)*POWER(Upgrades!$P$9,H226)*POWER(Upgrades!$P$10,I226)*POWER(Upgrades!$P$11,J226)*POWER(Upgrades!$P$12,K226)*60</f>
        <v>72</v>
      </c>
      <c r="AB226" s="27" t="n">
        <f aca="false">(IF(F226=0,0,(Upgrades!$G$7+F226*Upgrades!$H$7)*POWER(Upgrades!$I$7,F226)))*(IF(Upgrades!$T$6="Asteroid Belt",POWER(Upgrades!$U$6,E226),1)*IF(Upgrades!$T$8="Asteroid Belt",POWER(Upgrades!$U$8,G226),1)*IF(Upgrades!$T$9="Asteroid Belt",POWER(Upgrades!$U$9,H226),1)*IF(Upgrades!$T$10="Asteroid Belt",POWER(Upgrades!$U$10,I226),1)*IF(Upgrades!$T$11="Asteroid Belt",POWER(Upgrades!$U$11,J226),1)*IF(Upgrades!$T$12="Asteroid Belt",POWER(Upgrades!$U$12,K226),1))*POWER(Upgrades!$P$6,E226)*POWER(Upgrades!$P$7,F226)*POWER(Upgrades!$P$8,G226)*POWER(Upgrades!$P$9,H226)*POWER(Upgrades!$P$10,I226)*POWER(Upgrades!$P$11,J226)*POWER(Upgrades!$P$12,K226)*60</f>
        <v>150</v>
      </c>
      <c r="AC226" s="27" t="n">
        <f aca="false">(IF(G226=0,0,(Upgrades!$J$8+G226*Upgrades!$K$8)*POWER(Upgrades!$L$8,G226)))*(IF(Upgrades!$T$6="Stellar Coupling",POWER(Upgrades!$U$6,E226),1)*IF(Upgrades!$T$7="Stellar Coupling",POWER(Upgrades!$U$7,F226),1)*IF(Upgrades!$T$9="Stellar Coupling",POWER(Upgrades!$U$9,H226),1)*IF(Upgrades!$T$10="Stellar Coupling",POWER(Upgrades!$U$10,I226),1)*IF(Upgrades!$T$11="Stellar Coupling",POWER(Upgrades!$U$11,J226),1)*IF(Upgrades!$T$12="Stellar Coupling",POWER(Upgrades!$U$12,K226),1))*POWER(Upgrades!$Q$6,E226)*POWER(Upgrades!$Q$7,F226)*POWER(Upgrades!$Q$8,G226)*POWER(Upgrades!$Q$9,H226)*POWER(Upgrades!$Q$10,I226)*POWER(Upgrades!$Q$11,J226)*POWER(Upgrades!$Q$12,K226)*Parameters!$B$10*Parameters!$B$11</f>
        <v>441</v>
      </c>
      <c r="AD226" s="27" t="n">
        <f aca="false">(IF(H226=0,0,(Upgrades!$G$9+H226*Upgrades!$H$9)*POWER(Upgrades!$I$9,H226)))*(IF(Upgrades!$T$6="Magnetosphere",POWER(Upgrades!$U$6,E226),1)*IF(Upgrades!$T$7="Magnetosphere",POWER(Upgrades!$U$7,F226),1)*IF(Upgrades!$T$8="Magnetosphere",POWER(Upgrades!$U$8,G226),1)*IF(Upgrades!$T$10="Magnetosphere",POWER(Upgrades!$U$10,I226),1)*IF(Upgrades!$T$11="Magnetosphere",POWER(Upgrades!$U$11,J226),1)*IF(Upgrades!$T$12="Magnetosphere",POWER(Upgrades!$U$12,K226),1))*POWER(Upgrades!$P$6,E226)*POWER(Upgrades!$P$7,F226)*POWER(Upgrades!$P$8,G226)*POWER(Upgrades!$P$9,H226)*POWER(Upgrades!$P$10,I226)*POWER(Upgrades!$P$11,J226)*POWER(Upgrades!$P$12,K226)*60</f>
        <v>375</v>
      </c>
      <c r="AE226" s="27" t="n">
        <f aca="false">(IF(K226=0,0,(Upgrades!$G$12+K226*Upgrades!$H$12)*POWER(Upgrades!$I$12,K226)))*(IF(Upgrades!$T$6="First Photons",POWER(Upgrades!$U$6,E226),1)*IF(Upgrades!$T$7="First Photons",POWER(Upgrades!$U$7,F226),1)*IF(Upgrades!$T$8="First Photons",POWER(Upgrades!$U$8,G226),1)*IF(Upgrades!$T$9="First Photons",POWER(Upgrades!$U$9,H226),1)*IF(Upgrades!$T$10="First Photons",POWER(Upgrades!$U$10,I226),1)*IF(Upgrades!$T$11="First Photons",POWER(Upgrades!$U$11,J226),1))*POWER(Upgrades!$P$6,E226)*POWER(Upgrades!$P$7,F226)*POWER(Upgrades!$P$8,G226)*POWER(Upgrades!$P$9,H226)*POWER(Upgrades!$P$10,I226)*POWER(Upgrades!$P$11,J226)*POWER(Upgrades!$P$12,K226)*60</f>
        <v>75</v>
      </c>
      <c r="AF226" s="27" t="n">
        <f aca="false">Parameters!$B$9*POWER(Upgrades!$Q$6,E226)*POWER(Upgrades!$Q$7,F226)*POWER(Upgrades!$Q$8,G226)*POWER(Upgrades!$Q$9,H226)*POWER(Upgrades!$Q$10,I226)*POWER(Upgrades!$Q$11,J226)*POWER(Upgrades!$Q$12,K226)*(Parameters!$B$10*Parameters!$B$11+O226*60)</f>
        <v>120</v>
      </c>
      <c r="AG226" s="21" t="n">
        <f aca="false">IF(E226&gt;=Upgrades!$E$6,"",Upgrades!$C$6*POWER(Upgrades!$D$6,E226))</f>
        <v>37.4517507383159</v>
      </c>
      <c r="AH226" s="21" t="n">
        <f aca="false">IF(F226&gt;=Upgrades!$E$7,"",Upgrades!$C$7*POWER(Upgrades!$D$7,F226))</f>
        <v>80.9111547141581</v>
      </c>
      <c r="AI226" s="21" t="n">
        <f aca="false">IF(G226&gt;=Upgrades!$E$8,"",Upgrades!$C$8*POWER(Upgrades!$D$8,G226))</f>
        <v>231.9097088</v>
      </c>
      <c r="AJ226" s="21" t="str">
        <f aca="false">IF(H226&gt;=Upgrades!$E$9,"",Upgrades!$C$9*POWER(Upgrades!$D$9,H226))</f>
        <v/>
      </c>
      <c r="AK226" s="21" t="str">
        <f aca="false">IF(I226&gt;=Upgrades!$E$10,"",Upgrades!$C$10*POWER(Upgrades!$D$10,I226))</f>
        <v/>
      </c>
      <c r="AL226" s="21" t="str">
        <f aca="false">IF(J226&gt;=Upgrades!$E$11,"",Upgrades!$C$11*POWER(Upgrades!$D$11,J226))</f>
        <v/>
      </c>
      <c r="AM226" s="21" t="str">
        <f aca="false">IF(K226&gt;=Upgrades!$E$12,"",Upgrades!$C$12*POWER(Upgrades!$D$12,K226))</f>
        <v/>
      </c>
      <c r="AN226" s="26" t="str">
        <f aca="false">IF(AND(D226&gt;=Parameters!$B$18,(H226&gt;=Upgrades!$E$9)*(K226&gt;=Upgrades!$E$12)=1,L226=0),1,"")</f>
        <v/>
      </c>
      <c r="AO226" s="26" t="str">
        <f aca="false">IF(AND(D226&gt;=Parameters!$B$18,L226=0),1,"")</f>
        <v/>
      </c>
      <c r="AP226" s="21" t="n">
        <f aca="false">MIN(IF(ISNUMBER(AK226),AK226,9000000000000000),IF(ISNUMBER(AL226),AL226,9000000000000000),IF(ISNUMBER(AM226),AM226,9000000000000000))</f>
        <v>9000000000000000</v>
      </c>
      <c r="AQ226" s="21" t="n">
        <f aca="false">MIN(IF(ISNUMBER(AG226),AG226,9000000000000000),IF(ISNUMBER(AH226),AH226,9000000000000000),IF(ISNUMBER(AI226),AI226,9000000000000000),IF(ISNUMBER(AJ226),AJ226,9000000000000000))</f>
        <v>37.4517507383159</v>
      </c>
      <c r="AR226" s="32" t="b">
        <f aca="false">IF(AW226&gt;Parameters!$B$21*(MAX(IF(AND(NOT(AND(AO226=1,AN226&lt;&gt;1)),ISNUMBER(AG226),AG226&lt;=T226),AS226,0),IF(AND(NOT(AND(AO226=1,AN226&lt;&gt;1)),ISNUMBER(AH226),AH226&lt;=T226),AT226,0),IF(AND(NOT(AND(AO226=1,AN226&lt;&gt;1)),ISNUMBER(AI226),AI226&lt;=T226),AU226,0),IF(AND(ISNUMBER(AJ226),AJ226&lt;=T226),AV226,0))),TRUE(),FALSE())</f>
        <v>1</v>
      </c>
      <c r="AS226" s="33" t="n">
        <f aca="false">IFERROR(Upgrades!$H$6*(POWER(Upgrades!$P$6,E226)*POWER(Upgrades!$P$7,F226)*POWER(Upgrades!$P$8,G226)*POWER(Upgrades!$P$9,H226)*POWER(Upgrades!$P$10,I226)*POWER(Upgrades!$P$11,J226)*POWER(Upgrades!$P$12,K226))*(IF(Upgrades!$T$7="Solar Wind",POWER(Upgrades!$U$7,F226),1)*IF(Upgrades!$T$8="Solar Wind",POWER(Upgrades!$U$8,G226),1)*IF(Upgrades!$T$9="Solar Wind",POWER(Upgrades!$U$9,H226),1)*IF(Upgrades!$T$10="Solar Wind",POWER(Upgrades!$U$10,I226),1)*IF(Upgrades!$T$11="Solar Wind",POWER(Upgrades!$U$11,J226),1)*IF(Upgrades!$T$12="Solar Wind",POWER(Upgrades!$U$12,K226),1))/AG226,0)</f>
        <v>0.0026701021455238</v>
      </c>
      <c r="AT226" s="33" t="n">
        <f aca="false">IFERROR(Upgrades!$H$7*(POWER(Upgrades!$P$6,E226)*POWER(Upgrades!$P$7,F226)*POWER(Upgrades!$P$8,G226)*POWER(Upgrades!$P$9,H226)*POWER(Upgrades!$P$10,I226)*POWER(Upgrades!$P$11,J226)*POWER(Upgrades!$P$12,K226))*(IF(Upgrades!$T$6="Asteroid Belt",POWER(Upgrades!$U$6,E226),1)*IF(Upgrades!$T$8="Asteroid Belt",POWER(Upgrades!$U$8,G226),1)*IF(Upgrades!$T$9="Asteroid Belt",POWER(Upgrades!$U$9,H226),1)*IF(Upgrades!$T$10="Asteroid Belt",POWER(Upgrades!$U$10,I226),1)*IF(Upgrades!$T$11="Asteroid Belt",POWER(Upgrades!$U$11,J226),1)*IF(Upgrades!$T$12="Asteroid Belt",POWER(Upgrades!$U$12,K226),1))/AH226,0)</f>
        <v>0.00308980882652332</v>
      </c>
      <c r="AU226" s="33" t="n">
        <f aca="false">IFERROR(Upgrades!$K$8*(POWER(Upgrades!$Q$6,E226)*POWER(Upgrades!$Q$7,F226)*POWER(Upgrades!$Q$8,G226)*POWER(Upgrades!$Q$9,H226)*POWER(Upgrades!$Q$10,I226)*POWER(Upgrades!$Q$11,J226)*POWER(Upgrades!$Q$12,K226))*(IF(Upgrades!$T$6="Stellar Coupling",POWER(Upgrades!$U$6,E226),1)*IF(Upgrades!$T$7="Stellar Coupling",POWER(Upgrades!$U$7,F226),1)*IF(Upgrades!$T$9="Stellar Coupling",POWER(Upgrades!$U$9,H226),1)*IF(Upgrades!$T$10="Stellar Coupling",POWER(Upgrades!$U$10,I226),1)*IF(Upgrades!$T$11="Stellar Coupling",POWER(Upgrades!$U$11,J226),1)*IF(Upgrades!$T$12="Stellar Coupling",POWER(Upgrades!$U$12,K226),1))*Parameters!$B$10*Parameters!$B$11/60/AI226,0)</f>
        <v>0.00452762415783776</v>
      </c>
      <c r="AV226" s="33" t="n">
        <f aca="false">IFERROR(Upgrades!$H$9*(POWER(Upgrades!$P$6,E226)*POWER(Upgrades!$P$7,F226)*POWER(Upgrades!$P$8,G226)*POWER(Upgrades!$P$9,H226)*POWER(Upgrades!$P$10,I226)*POWER(Upgrades!$P$11,J226)*POWER(Upgrades!$P$12,K226))*(IF(Upgrades!$T$6="Magnetosphere",POWER(Upgrades!$U$6,E226),1)*IF(Upgrades!$T$7="Magnetosphere",POWER(Upgrades!$U$7,F226),1)*IF(Upgrades!$T$8="Magnetosphere",POWER(Upgrades!$U$8,G226),1)*IF(Upgrades!$T$10="Magnetosphere",POWER(Upgrades!$U$10,I226),1)*IF(Upgrades!$T$11="Magnetosphere",POWER(Upgrades!$U$11,J226),1)*IF(Upgrades!$T$12="Magnetosphere",POWER(Upgrades!$U$12,K226),1))/AJ226,0)</f>
        <v>0</v>
      </c>
      <c r="AW226" s="33" t="n">
        <f aca="false">MAX(IF(I226&gt;0,0,IFERROR(0.25*N226/Upgrades!$C$10,0)),IF(J226&gt;0,0,IFERROR(0.5*((IF(G226=0,0,(Upgrades!$J$8+G226*Upgrades!$K$8)*POWER(Upgrades!$L$8,G226)))*(IF(Upgrades!$T$6="Stellar Coupling",POWER(Upgrades!$U$6,E226),1)*IF(Upgrades!$T$7="Stellar Coupling",POWER(Upgrades!$U$7,F226),1)*IF(Upgrades!$T$9="Stellar Coupling",POWER(Upgrades!$U$9,H226),1)*IF(Upgrades!$T$10="Stellar Coupling",POWER(Upgrades!$U$10,I226),1)*IF(Upgrades!$T$11="Stellar Coupling",POWER(Upgrades!$U$11,J226),1)*IF(Upgrades!$T$12="Stellar Coupling",POWER(Upgrades!$U$12,K226),1))*(POWER(Upgrades!$Q$6,E226)*POWER(Upgrades!$Q$7,F226)*POWER(Upgrades!$Q$8,G226)*POWER(Upgrades!$Q$9,H226)*POWER(Upgrades!$Q$10,I226)*POWER(Upgrades!$Q$11,J226)*POWER(Upgrades!$Q$12,K226))*Parameters!$B$10*Parameters!$B$11/60)/Upgrades!$C$11,0)),IF(K226&gt;0,0,IFERROR((1*(POWER(Upgrades!$P$6,E226)*POWER(Upgrades!$P$7,F226)*POWER(Upgrades!$P$8,G226)*POWER(Upgrades!$P$9,H226)*POWER(Upgrades!$P$10,I226)*POWER(Upgrades!$P$11,J226)*POWER(Upgrades!$P$12,K226))+0.2*M226*Parameters!$B$10*Parameters!$B$11/60)/Upgrades!$C$12,0)),IF(AND(ISNUMBER(AG226),AG226&gt;T226),AS226,0),IF(AND(ISNUMBER(AH226),AH226&gt;T226),AT226,0),IF(AND(ISNUMBER(AI226),AI226&gt;T226),AU226,0),IF(AND(ISNUMBER(AJ226),AJ226&gt;T226),AV226,0))</f>
        <v>0.00452762415783776</v>
      </c>
      <c r="AX226" s="29" t="str">
        <f aca="false">IF(AN226=1,"transition",IF(MIN(IF(AND(I226=0,ISNUMBER(AK226),AK226&lt;=T226),AK226,9000000000000000),IF(AND(J226=0,ISNUMBER(AL226),AL226&lt;=T226),AL226,9000000000000000),IF(AND(K226=0,ISNUMBER(AM226),AM226&lt;=T226),AM226,9000000000000000))&lt;9000000000000000,IF(AND(AND(I226=0,ISNUMBER(AK226),AK226&lt;=T226),AK226=MIN(IF(AND(I226=0,ISNUMBER(AK226),AK226&lt;=T226),AK226,9000000000000000),IF(AND(J226=0,ISNUMBER(AL226),AL226&lt;=T226),AL226,9000000000000000),IF(AND(K226=0,ISNUMBER(AM226),AM226&lt;=T226),AM226,9000000000000000))),"OR",IF(AND(AND(J226=0,ISNUMBER(AL226),AL226&lt;=T226),AL226=MIN(IF(AND(I226=0,ISNUMBER(AK226),AK226&lt;=T226),AK226,9000000000000000),IF(AND(J226=0,ISNUMBER(AL226),AL226&lt;=T226),AL226,9000000000000000),IF(AND(K226=0,ISNUMBER(AM226),AM226&lt;=T226),AM226,9000000000000000))),"HP","FP")),IF(AR226=TRUE(),"",IF(MAX(IF(AND(NOT(AND(AO226=1,AN226&lt;&gt;1)),ISNUMBER(AG226),AG226&lt;=T226),AS226,0),IF(AND(NOT(AND(AO226=1,AN226&lt;&gt;1)),ISNUMBER(AH226),AH226&lt;=T226),AT226,0),IF(AND(NOT(AND(AO226=1,AN226&lt;&gt;1)),ISNUMBER(AI226),AI226&lt;=T226),AU226,0),IF(AND(ISNUMBER(AJ226),AJ226&lt;=T226),AV226,0))&lt;=0,"",IF(AND(IF(AND(NOT(AND(AO226=1,AN226&lt;&gt;1)),ISNUMBER(AG226),AG226&lt;=T226),AS226,0)&gt;0,IF(AND(NOT(AND(AO226=1,AN226&lt;&gt;1)),ISNUMBER(AG226),AG226&lt;=T226),AS226,0)=MAX(IF(AND(NOT(AND(AO226=1,AN226&lt;&gt;1)),ISNUMBER(AG226),AG226&lt;=T226),AS226,0),IF(AND(NOT(AND(AO226=1,AN226&lt;&gt;1)),ISNUMBER(AH226),AH226&lt;=T226),AT226,0),IF(AND(NOT(AND(AO226=1,AN226&lt;&gt;1)),ISNUMBER(AI226),AI226&lt;=T226),AU226,0),IF(AND(ISNUMBER(AJ226),AJ226&lt;=T226),AV226,0))),"SW",IF(AND(IF(AND(NOT(AND(AO226=1,AN226&lt;&gt;1)),ISNUMBER(AH226),AH226&lt;=T226),AT226,0)&gt;0,IF(AND(NOT(AND(AO226=1,AN226&lt;&gt;1)),ISNUMBER(AH226),AH226&lt;=T226),AT226,0)=MAX(IF(AND(NOT(AND(AO226=1,AN226&lt;&gt;1)),ISNUMBER(AG226),AG226&lt;=T226),AS226,0),IF(AND(NOT(AND(AO226=1,AN226&lt;&gt;1)),ISNUMBER(AH226),AH226&lt;=T226),AT226,0),IF(AND(NOT(AND(AO226=1,AN226&lt;&gt;1)),ISNUMBER(AI226),AI226&lt;=T226),AU226,0),IF(AND(ISNUMBER(AJ226),AJ226&lt;=T226),AV226,0))),"AB",IF(AND(IF(AND(NOT(AND(AO226=1,AN226&lt;&gt;1)),ISNUMBER(AI226),AI226&lt;=T226),AU226,0)&gt;0,IF(AND(NOT(AND(AO226=1,AN226&lt;&gt;1)),ISNUMBER(AI226),AI226&lt;=T226),AU226,0)=MAX(IF(AND(NOT(AND(AO226=1,AN226&lt;&gt;1)),ISNUMBER(AG226),AG226&lt;=T226),AS226,0),IF(AND(NOT(AND(AO226=1,AN226&lt;&gt;1)),ISNUMBER(AH226),AH226&lt;=T226),AT226,0),IF(AND(NOT(AND(AO226=1,AN226&lt;&gt;1)),ISNUMBER(AI226),AI226&lt;=T226),AU226,0),IF(AND(ISNUMBER(AJ226),AJ226&lt;=T226),AV226,0))),"SC","Mag")))))))</f>
        <v/>
      </c>
    </row>
    <row r="227" customFormat="false" ht="15" hidden="false" customHeight="false" outlineLevel="0" collapsed="false">
      <c r="A227" s="26" t="n">
        <v>222</v>
      </c>
      <c r="B227" s="27" t="n">
        <f aca="false">A227*10/60</f>
        <v>37</v>
      </c>
      <c r="C227" s="21" t="n">
        <f aca="false">X226</f>
        <v>18.6730249835055</v>
      </c>
      <c r="D227" s="27" t="n">
        <f aca="false">D226+W226</f>
        <v>0</v>
      </c>
      <c r="E227" s="26" t="n">
        <f aca="false">E226+IF(U226="SW",1,0)</f>
        <v>12</v>
      </c>
      <c r="F227" s="26" t="n">
        <f aca="false">F226+IF(U226="AB",1,0)</f>
        <v>10</v>
      </c>
      <c r="G227" s="26" t="n">
        <f aca="false">G226+IF(U226="SC",1,0)</f>
        <v>7</v>
      </c>
      <c r="H227" s="26" t="n">
        <f aca="false">H226+IF(U226="Mag",1,0)</f>
        <v>5</v>
      </c>
      <c r="I227" s="26" t="n">
        <f aca="false">MAX(I226,IF(U226="OR",1,0))</f>
        <v>1</v>
      </c>
      <c r="J227" s="26" t="n">
        <f aca="false">MAX(J226,IF(U226="HP",1,0))</f>
        <v>1</v>
      </c>
      <c r="K227" s="26" t="n">
        <f aca="false">MAX(K226,IF(U226="FP",1,0))</f>
        <v>1</v>
      </c>
      <c r="L227" s="26" t="n">
        <f aca="false">MAX(L226,IF(U226="transition",1,0))</f>
        <v>1</v>
      </c>
      <c r="M227" s="28" t="n">
        <f aca="false">(Parameters!$B$9+(IF(E227=0,0,(Upgrades!$J$6+E227*Upgrades!$K$6)*POWER(Upgrades!$L$6,E227)))*(IF(Upgrades!$T$7="Solar Wind",POWER(Upgrades!$U$7,F227),1)*IF(Upgrades!$T$8="Solar Wind",POWER(Upgrades!$U$8,G227),1)*IF(Upgrades!$T$9="Solar Wind",POWER(Upgrades!$U$9,H227),1)*IF(Upgrades!$T$10="Solar Wind",POWER(Upgrades!$U$10,I227),1)*IF(Upgrades!$T$11="Solar Wind",POWER(Upgrades!$U$11,J227),1)*IF(Upgrades!$T$12="Solar Wind",POWER(Upgrades!$U$12,K227),1))+(IF(F227=0,0,(Upgrades!$J$7+F227*Upgrades!$K$7)*POWER(Upgrades!$L$7,F227)))*(IF(Upgrades!$T$6="Asteroid Belt",POWER(Upgrades!$U$6,E227),1)*IF(Upgrades!$T$8="Asteroid Belt",POWER(Upgrades!$U$8,G227),1)*IF(Upgrades!$T$9="Asteroid Belt",POWER(Upgrades!$U$9,H227),1)*IF(Upgrades!$T$10="Asteroid Belt",POWER(Upgrades!$U$10,I227),1)*IF(Upgrades!$T$11="Asteroid Belt",POWER(Upgrades!$U$11,J227),1)*IF(Upgrades!$T$12="Asteroid Belt",POWER(Upgrades!$U$12,K227),1))+(IF(G227=0,0,(Upgrades!$J$8+G227*Upgrades!$K$8)*POWER(Upgrades!$L$8,G227)))*(IF(Upgrades!$T$6="Stellar Coupling",POWER(Upgrades!$U$6,E227),1)*IF(Upgrades!$T$7="Stellar Coupling",POWER(Upgrades!$U$7,F227),1)*IF(Upgrades!$T$9="Stellar Coupling",POWER(Upgrades!$U$9,H227),1)*IF(Upgrades!$T$10="Stellar Coupling",POWER(Upgrades!$U$10,I227),1)*IF(Upgrades!$T$11="Stellar Coupling",POWER(Upgrades!$U$11,J227),1)*IF(Upgrades!$T$12="Stellar Coupling",POWER(Upgrades!$U$12,K227),1))+(IF(H227=0,0,(Upgrades!$J$9+H227*Upgrades!$K$9)*POWER(Upgrades!$L$9,H227)))*(IF(Upgrades!$T$6="Magnetosphere",POWER(Upgrades!$U$6,E227),1)*IF(Upgrades!$T$7="Magnetosphere",POWER(Upgrades!$U$7,F227),1)*IF(Upgrades!$T$8="Magnetosphere",POWER(Upgrades!$U$8,G227),1)*IF(Upgrades!$T$10="Magnetosphere",POWER(Upgrades!$U$10,I227),1)*IF(Upgrades!$T$11="Magnetosphere",POWER(Upgrades!$U$11,J227),1)*IF(Upgrades!$T$12="Magnetosphere",POWER(Upgrades!$U$12,K227),1))+(IF(I227=0,0,(Upgrades!$J$10+I227*Upgrades!$K$10)*POWER(Upgrades!$L$10,I227)))*(IF(Upgrades!$T$6="Orbital Resonance",POWER(Upgrades!$U$6,E227),1)*IF(Upgrades!$T$7="Orbital Resonance",POWER(Upgrades!$U$7,F227),1)*IF(Upgrades!$T$8="Orbital Resonance",POWER(Upgrades!$U$8,G227),1)*IF(Upgrades!$T$9="Orbital Resonance",POWER(Upgrades!$U$9,H227),1)*IF(Upgrades!$T$11="Orbital Resonance",POWER(Upgrades!$U$11,J227),1)*IF(Upgrades!$T$12="Orbital Resonance",POWER(Upgrades!$U$12,K227),1))+(IF(J227=0,0,(Upgrades!$J$11+J227*Upgrades!$K$11)*POWER(Upgrades!$L$11,J227)))*(IF(Upgrades!$T$6="Heliopause",POWER(Upgrades!$U$6,E227),1)*IF(Upgrades!$T$7="Heliopause",POWER(Upgrades!$U$7,F227),1)*IF(Upgrades!$T$8="Heliopause",POWER(Upgrades!$U$8,G227),1)*IF(Upgrades!$T$9="Heliopause",POWER(Upgrades!$U$9,H227),1)*IF(Upgrades!$T$10="Heliopause",POWER(Upgrades!$U$10,I227),1)*IF(Upgrades!$T$12="Heliopause",POWER(Upgrades!$U$12,K227),1))+(IF(K227=0,0,(Upgrades!$J$12+K227*Upgrades!$K$12)*POWER(Upgrades!$L$12,K227)))*(IF(Upgrades!$T$6="First Photons",POWER(Upgrades!$U$6,E227),1)*IF(Upgrades!$T$7="First Photons",POWER(Upgrades!$U$7,F227),1)*IF(Upgrades!$T$8="First Photons",POWER(Upgrades!$U$8,G227),1)*IF(Upgrades!$T$9="First Photons",POWER(Upgrades!$U$9,H227),1)*IF(Upgrades!$T$10="First Photons",POWER(Upgrades!$U$10,I227),1)*IF(Upgrades!$T$11="First Photons",POWER(Upgrades!$U$11,J227),1)))*POWER(Upgrades!$Q$6,E227)*POWER(Upgrades!$Q$7,F227)*POWER(Upgrades!$Q$8,G227)*POWER(Upgrades!$Q$9,H227)*POWER(Upgrades!$Q$10,I227)*POWER(Upgrades!$Q$11,J227)*POWER(Upgrades!$Q$12,K227)</f>
        <v>5.61</v>
      </c>
      <c r="N227" s="28" t="n">
        <f aca="false">((IF(E227=0,0,(Upgrades!$G$6+E227*Upgrades!$H$6)*POWER(Upgrades!$I$6,E227)))*(IF(Upgrades!$T$7="Solar Wind",POWER(Upgrades!$U$7,F227),1)*IF(Upgrades!$T$8="Solar Wind",POWER(Upgrades!$U$8,G227),1)*IF(Upgrades!$T$9="Solar Wind",POWER(Upgrades!$U$9,H227),1)*IF(Upgrades!$T$10="Solar Wind",POWER(Upgrades!$U$10,I227),1)*IF(Upgrades!$T$11="Solar Wind",POWER(Upgrades!$U$11,J227),1)*IF(Upgrades!$T$12="Solar Wind",POWER(Upgrades!$U$12,K227),1))+(IF(F227=0,0,(Upgrades!$G$7+F227*Upgrades!$H$7)*POWER(Upgrades!$I$7,F227)))*(IF(Upgrades!$T$6="Asteroid Belt",POWER(Upgrades!$U$6,E227),1)*IF(Upgrades!$T$8="Asteroid Belt",POWER(Upgrades!$U$8,G227),1)*IF(Upgrades!$T$9="Asteroid Belt",POWER(Upgrades!$U$9,H227),1)*IF(Upgrades!$T$10="Asteroid Belt",POWER(Upgrades!$U$10,I227),1)*IF(Upgrades!$T$11="Asteroid Belt",POWER(Upgrades!$U$11,J227),1)*IF(Upgrades!$T$12="Asteroid Belt",POWER(Upgrades!$U$12,K227),1))+(IF(G227=0,0,(Upgrades!$G$8+G227*Upgrades!$H$8)*POWER(Upgrades!$I$8,G227)))*(IF(Upgrades!$T$6="Stellar Coupling",POWER(Upgrades!$U$6,E227),1)*IF(Upgrades!$T$7="Stellar Coupling",POWER(Upgrades!$U$7,F227),1)*IF(Upgrades!$T$9="Stellar Coupling",POWER(Upgrades!$U$9,H227),1)*IF(Upgrades!$T$10="Stellar Coupling",POWER(Upgrades!$U$10,I227),1)*IF(Upgrades!$T$11="Stellar Coupling",POWER(Upgrades!$U$11,J227),1)*IF(Upgrades!$T$12="Stellar Coupling",POWER(Upgrades!$U$12,K227),1))+(IF(H227=0,0,(Upgrades!$G$9+H227*Upgrades!$H$9)*POWER(Upgrades!$I$9,H227)))*(IF(Upgrades!$T$6="Magnetosphere",POWER(Upgrades!$U$6,E227),1)*IF(Upgrades!$T$7="Magnetosphere",POWER(Upgrades!$U$7,F227),1)*IF(Upgrades!$T$8="Magnetosphere",POWER(Upgrades!$U$8,G227),1)*IF(Upgrades!$T$10="Magnetosphere",POWER(Upgrades!$U$10,I227),1)*IF(Upgrades!$T$11="Magnetosphere",POWER(Upgrades!$U$11,J227),1)*IF(Upgrades!$T$12="Magnetosphere",POWER(Upgrades!$U$12,K227),1))+(IF(I227=0,0,(Upgrades!$G$10+I227*Upgrades!$H$10)*POWER(Upgrades!$I$10,I227)))*(IF(Upgrades!$T$6="Orbital Resonance",POWER(Upgrades!$U$6,E227),1)*IF(Upgrades!$T$7="Orbital Resonance",POWER(Upgrades!$U$7,F227),1)*IF(Upgrades!$T$8="Orbital Resonance",POWER(Upgrades!$U$8,G227),1)*IF(Upgrades!$T$9="Orbital Resonance",POWER(Upgrades!$U$9,H227),1)*IF(Upgrades!$T$11="Orbital Resonance",POWER(Upgrades!$U$11,J227),1)*IF(Upgrades!$T$12="Orbital Resonance",POWER(Upgrades!$U$12,K227),1))+(IF(J227=0,0,(Upgrades!$G$11+J227*Upgrades!$H$11)*POWER(Upgrades!$I$11,J227)))*(IF(Upgrades!$T$6="Heliopause",POWER(Upgrades!$U$6,E227),1)*IF(Upgrades!$T$7="Heliopause",POWER(Upgrades!$U$7,F227),1)*IF(Upgrades!$T$8="Heliopause",POWER(Upgrades!$U$8,G227),1)*IF(Upgrades!$T$9="Heliopause",POWER(Upgrades!$U$9,H227),1)*IF(Upgrades!$T$10="Heliopause",POWER(Upgrades!$U$10,I227),1)*IF(Upgrades!$T$12="Heliopause",POWER(Upgrades!$U$12,K227),1))+(IF(K227=0,0,(Upgrades!$G$12+K227*Upgrades!$H$12)*POWER(Upgrades!$I$12,K227)))*(IF(Upgrades!$T$6="First Photons",POWER(Upgrades!$U$6,E227),1)*IF(Upgrades!$T$7="First Photons",POWER(Upgrades!$U$7,F227),1)*IF(Upgrades!$T$8="First Photons",POWER(Upgrades!$U$8,G227),1)*IF(Upgrades!$T$9="First Photons",POWER(Upgrades!$U$9,H227),1)*IF(Upgrades!$T$10="First Photons",POWER(Upgrades!$U$10,I227),1)*IF(Upgrades!$T$11="First Photons",POWER(Upgrades!$U$11,J227),1)))*POWER(Upgrades!$P$6,E227)*POWER(Upgrades!$P$7,F227)*POWER(Upgrades!$P$8,G227)*POWER(Upgrades!$P$9,H227)*POWER(Upgrades!$P$10,I227)*POWER(Upgrades!$P$11,J227)*POWER(Upgrades!$P$12,K227)</f>
        <v>11.2</v>
      </c>
      <c r="O227" s="28" t="n">
        <f aca="false">((IF(E227=0,0,(Upgrades!$M$6+E227*Upgrades!$N$6)*POWER(Upgrades!$O$6,E227)))*(IF(Upgrades!$T$7="Solar Wind",POWER(Upgrades!$U$7,F227),1)*IF(Upgrades!$T$8="Solar Wind",POWER(Upgrades!$U$8,G227),1)*IF(Upgrades!$T$9="Solar Wind",POWER(Upgrades!$U$9,H227),1)*IF(Upgrades!$T$10="Solar Wind",POWER(Upgrades!$U$10,I227),1)*IF(Upgrades!$T$11="Solar Wind",POWER(Upgrades!$U$11,J227),1)*IF(Upgrades!$T$12="Solar Wind",POWER(Upgrades!$U$12,K227),1))+(IF(F227=0,0,(Upgrades!$M$7+F227*Upgrades!$N$7)*POWER(Upgrades!$O$7,F227)))*(IF(Upgrades!$T$6="Asteroid Belt",POWER(Upgrades!$U$6,E227),1)*IF(Upgrades!$T$8="Asteroid Belt",POWER(Upgrades!$U$8,G227),1)*IF(Upgrades!$T$9="Asteroid Belt",POWER(Upgrades!$U$9,H227),1)*IF(Upgrades!$T$10="Asteroid Belt",POWER(Upgrades!$U$10,I227),1)*IF(Upgrades!$T$11="Asteroid Belt",POWER(Upgrades!$U$11,J227),1)*IF(Upgrades!$T$12="Asteroid Belt",POWER(Upgrades!$U$12,K227),1))+(IF(G227=0,0,(Upgrades!$M$8+G227*Upgrades!$N$8)*POWER(Upgrades!$O$8,G227)))*(IF(Upgrades!$T$6="Stellar Coupling",POWER(Upgrades!$U$6,E227),1)*IF(Upgrades!$T$7="Stellar Coupling",POWER(Upgrades!$U$7,F227),1)*IF(Upgrades!$T$9="Stellar Coupling",POWER(Upgrades!$U$9,H227),1)*IF(Upgrades!$T$10="Stellar Coupling",POWER(Upgrades!$U$10,I227),1)*IF(Upgrades!$T$11="Stellar Coupling",POWER(Upgrades!$U$11,J227),1)*IF(Upgrades!$T$12="Stellar Coupling",POWER(Upgrades!$U$12,K227),1))+(IF(H227=0,0,(Upgrades!$M$9+H227*Upgrades!$N$9)*POWER(Upgrades!$O$9,H227)))*(IF(Upgrades!$T$6="Magnetosphere",POWER(Upgrades!$U$6,E227),1)*IF(Upgrades!$T$7="Magnetosphere",POWER(Upgrades!$U$7,F227),1)*IF(Upgrades!$T$8="Magnetosphere",POWER(Upgrades!$U$8,G227),1)*IF(Upgrades!$T$10="Magnetosphere",POWER(Upgrades!$U$10,I227),1)*IF(Upgrades!$T$11="Magnetosphere",POWER(Upgrades!$U$11,J227),1)*IF(Upgrades!$T$12="Magnetosphere",POWER(Upgrades!$U$12,K227),1))+(IF(I227=0,0,(Upgrades!$M$10+I227*Upgrades!$N$10)*POWER(Upgrades!$O$10,I227)))*(IF(Upgrades!$T$6="Orbital Resonance",POWER(Upgrades!$U$6,E227),1)*IF(Upgrades!$T$7="Orbital Resonance",POWER(Upgrades!$U$7,F227),1)*IF(Upgrades!$T$8="Orbital Resonance",POWER(Upgrades!$U$8,G227),1)*IF(Upgrades!$T$9="Orbital Resonance",POWER(Upgrades!$U$9,H227),1)*IF(Upgrades!$T$11="Orbital Resonance",POWER(Upgrades!$U$11,J227),1)*IF(Upgrades!$T$12="Orbital Resonance",POWER(Upgrades!$U$12,K227),1))+(IF(J227=0,0,(Upgrades!$M$11+J227*Upgrades!$N$11)*POWER(Upgrades!$O$11,J227)))*(IF(Upgrades!$T$6="Heliopause",POWER(Upgrades!$U$6,E227),1)*IF(Upgrades!$T$7="Heliopause",POWER(Upgrades!$U$7,F227),1)*IF(Upgrades!$T$8="Heliopause",POWER(Upgrades!$U$8,G227),1)*IF(Upgrades!$T$9="Heliopause",POWER(Upgrades!$U$9,H227),1)*IF(Upgrades!$T$10="Heliopause",POWER(Upgrades!$U$10,I227),1)*IF(Upgrades!$T$12="Heliopause",POWER(Upgrades!$U$12,K227),1))+(IF(K227=0,0,(Upgrades!$M$12+K227*Upgrades!$N$12)*POWER(Upgrades!$O$12,K227)))*(IF(Upgrades!$T$6="First Photons",POWER(Upgrades!$U$6,E227),1)*IF(Upgrades!$T$7="First Photons",POWER(Upgrades!$U$7,F227),1)*IF(Upgrades!$T$8="First Photons",POWER(Upgrades!$U$8,G227),1)*IF(Upgrades!$T$9="First Photons",POWER(Upgrades!$U$9,H227),1)*IF(Upgrades!$T$10="First Photons",POWER(Upgrades!$U$10,I227),1)*IF(Upgrades!$T$11="First Photons",POWER(Upgrades!$U$11,J227),1)))*POWER(Upgrades!$R$6,E227)*POWER(Upgrades!$R$7,F227)*POWER(Upgrades!$R$8,G227)*POWER(Upgrades!$R$9,H227)*POWER(Upgrades!$R$10,I227)*POWER(Upgrades!$R$11,J227)*POWER(Upgrades!$R$12,K227)</f>
        <v>0</v>
      </c>
      <c r="P227" s="27" t="n">
        <f aca="false">IF(L227=1,0,M227*Parameters!$B$10/60*Parameters!$B$11*10)</f>
        <v>0</v>
      </c>
      <c r="Q227" s="27" t="n">
        <f aca="false">IF(L227=1,0,O227*M227*10)</f>
        <v>0</v>
      </c>
      <c r="R227" s="27" t="n">
        <f aca="false">IF(L227=1,0,N227*10)</f>
        <v>0</v>
      </c>
      <c r="S227" s="27" t="n">
        <f aca="false">P227+Q227+R227</f>
        <v>0</v>
      </c>
      <c r="T227" s="21" t="n">
        <f aca="false">C227+S227</f>
        <v>18.6730249835055</v>
      </c>
      <c r="U227" s="34" t="str">
        <f aca="false">AX227</f>
        <v/>
      </c>
      <c r="V227" s="21" t="n">
        <f aca="false">IF(U227="",0,IF(U227="transition",0,IF(U227="SW",AG227,IF(U227="AB",AH227,IF(U227="SC",AI227,IF(U227="Mag",AJ227,IF(U227="OR",AK227,IF(U227="HP",AL227,IF(U227="FP",AM227,0)))))))))</f>
        <v>0</v>
      </c>
      <c r="W227" s="27" t="n">
        <f aca="false">IF(U227="OR",Upgrades!$F$10,IF(U227="HP",Upgrades!$F$11,IF(U227="transition",-Parameters!$B$18,0)))</f>
        <v>0</v>
      </c>
      <c r="X227" s="21" t="n">
        <f aca="false">T227-V227</f>
        <v>18.6730249835055</v>
      </c>
      <c r="Y227" s="30" t="n">
        <f aca="false">M227*Parameters!$B$10/60*Parameters!$B$11+O227*M227+N227</f>
        <v>20.55</v>
      </c>
      <c r="Z227" s="35" t="str">
        <f aca="false">IF(U227="transition","→ Tier 2 (Stellar Neighborhood)",IF(U227="FP","First Photons — light begins, system quickens",IF(U227="HP","Heliopause acquired",IF(U227="OR","Orbital Resonance — passive multiplier active",IF(AND(AO227=1,L227=0,AN227&lt;&gt;1),"Cohesion ready (waiting on completionist upgrades)","")))))</f>
        <v/>
      </c>
      <c r="AA227" s="27" t="n">
        <f aca="false">(IF(E227=0,0,(Upgrades!$G$6+E227*Upgrades!$H$6)*POWER(Upgrades!$I$6,E227)))*(IF(Upgrades!$T$7="Solar Wind",POWER(Upgrades!$U$7,F227),1)*IF(Upgrades!$T$8="Solar Wind",POWER(Upgrades!$U$8,G227),1)*IF(Upgrades!$T$9="Solar Wind",POWER(Upgrades!$U$9,H227),1)*IF(Upgrades!$T$10="Solar Wind",POWER(Upgrades!$U$10,I227),1)*IF(Upgrades!$T$11="Solar Wind",POWER(Upgrades!$U$11,J227),1)*IF(Upgrades!$T$12="Solar Wind",POWER(Upgrades!$U$12,K227),1))*POWER(Upgrades!$P$6,E227)*POWER(Upgrades!$P$7,F227)*POWER(Upgrades!$P$8,G227)*POWER(Upgrades!$P$9,H227)*POWER(Upgrades!$P$10,I227)*POWER(Upgrades!$P$11,J227)*POWER(Upgrades!$P$12,K227)*60</f>
        <v>72</v>
      </c>
      <c r="AB227" s="27" t="n">
        <f aca="false">(IF(F227=0,0,(Upgrades!$G$7+F227*Upgrades!$H$7)*POWER(Upgrades!$I$7,F227)))*(IF(Upgrades!$T$6="Asteroid Belt",POWER(Upgrades!$U$6,E227),1)*IF(Upgrades!$T$8="Asteroid Belt",POWER(Upgrades!$U$8,G227),1)*IF(Upgrades!$T$9="Asteroid Belt",POWER(Upgrades!$U$9,H227),1)*IF(Upgrades!$T$10="Asteroid Belt",POWER(Upgrades!$U$10,I227),1)*IF(Upgrades!$T$11="Asteroid Belt",POWER(Upgrades!$U$11,J227),1)*IF(Upgrades!$T$12="Asteroid Belt",POWER(Upgrades!$U$12,K227),1))*POWER(Upgrades!$P$6,E227)*POWER(Upgrades!$P$7,F227)*POWER(Upgrades!$P$8,G227)*POWER(Upgrades!$P$9,H227)*POWER(Upgrades!$P$10,I227)*POWER(Upgrades!$P$11,J227)*POWER(Upgrades!$P$12,K227)*60</f>
        <v>150</v>
      </c>
      <c r="AC227" s="27" t="n">
        <f aca="false">(IF(G227=0,0,(Upgrades!$J$8+G227*Upgrades!$K$8)*POWER(Upgrades!$L$8,G227)))*(IF(Upgrades!$T$6="Stellar Coupling",POWER(Upgrades!$U$6,E227),1)*IF(Upgrades!$T$7="Stellar Coupling",POWER(Upgrades!$U$7,F227),1)*IF(Upgrades!$T$9="Stellar Coupling",POWER(Upgrades!$U$9,H227),1)*IF(Upgrades!$T$10="Stellar Coupling",POWER(Upgrades!$U$10,I227),1)*IF(Upgrades!$T$11="Stellar Coupling",POWER(Upgrades!$U$11,J227),1)*IF(Upgrades!$T$12="Stellar Coupling",POWER(Upgrades!$U$12,K227),1))*POWER(Upgrades!$Q$6,E227)*POWER(Upgrades!$Q$7,F227)*POWER(Upgrades!$Q$8,G227)*POWER(Upgrades!$Q$9,H227)*POWER(Upgrades!$Q$10,I227)*POWER(Upgrades!$Q$11,J227)*POWER(Upgrades!$Q$12,K227)*Parameters!$B$10*Parameters!$B$11</f>
        <v>441</v>
      </c>
      <c r="AD227" s="27" t="n">
        <f aca="false">(IF(H227=0,0,(Upgrades!$G$9+H227*Upgrades!$H$9)*POWER(Upgrades!$I$9,H227)))*(IF(Upgrades!$T$6="Magnetosphere",POWER(Upgrades!$U$6,E227),1)*IF(Upgrades!$T$7="Magnetosphere",POWER(Upgrades!$U$7,F227),1)*IF(Upgrades!$T$8="Magnetosphere",POWER(Upgrades!$U$8,G227),1)*IF(Upgrades!$T$10="Magnetosphere",POWER(Upgrades!$U$10,I227),1)*IF(Upgrades!$T$11="Magnetosphere",POWER(Upgrades!$U$11,J227),1)*IF(Upgrades!$T$12="Magnetosphere",POWER(Upgrades!$U$12,K227),1))*POWER(Upgrades!$P$6,E227)*POWER(Upgrades!$P$7,F227)*POWER(Upgrades!$P$8,G227)*POWER(Upgrades!$P$9,H227)*POWER(Upgrades!$P$10,I227)*POWER(Upgrades!$P$11,J227)*POWER(Upgrades!$P$12,K227)*60</f>
        <v>375</v>
      </c>
      <c r="AE227" s="27" t="n">
        <f aca="false">(IF(K227=0,0,(Upgrades!$G$12+K227*Upgrades!$H$12)*POWER(Upgrades!$I$12,K227)))*(IF(Upgrades!$T$6="First Photons",POWER(Upgrades!$U$6,E227),1)*IF(Upgrades!$T$7="First Photons",POWER(Upgrades!$U$7,F227),1)*IF(Upgrades!$T$8="First Photons",POWER(Upgrades!$U$8,G227),1)*IF(Upgrades!$T$9="First Photons",POWER(Upgrades!$U$9,H227),1)*IF(Upgrades!$T$10="First Photons",POWER(Upgrades!$U$10,I227),1)*IF(Upgrades!$T$11="First Photons",POWER(Upgrades!$U$11,J227),1))*POWER(Upgrades!$P$6,E227)*POWER(Upgrades!$P$7,F227)*POWER(Upgrades!$P$8,G227)*POWER(Upgrades!$P$9,H227)*POWER(Upgrades!$P$10,I227)*POWER(Upgrades!$P$11,J227)*POWER(Upgrades!$P$12,K227)*60</f>
        <v>75</v>
      </c>
      <c r="AF227" s="27" t="n">
        <f aca="false">Parameters!$B$9*POWER(Upgrades!$Q$6,E227)*POWER(Upgrades!$Q$7,F227)*POWER(Upgrades!$Q$8,G227)*POWER(Upgrades!$Q$9,H227)*POWER(Upgrades!$Q$10,I227)*POWER(Upgrades!$Q$11,J227)*POWER(Upgrades!$Q$12,K227)*(Parameters!$B$10*Parameters!$B$11+O227*60)</f>
        <v>120</v>
      </c>
      <c r="AG227" s="21" t="n">
        <f aca="false">IF(E227&gt;=Upgrades!$E$6,"",Upgrades!$C$6*POWER(Upgrades!$D$6,E227))</f>
        <v>37.4517507383159</v>
      </c>
      <c r="AH227" s="21" t="n">
        <f aca="false">IF(F227&gt;=Upgrades!$E$7,"",Upgrades!$C$7*POWER(Upgrades!$D$7,F227))</f>
        <v>80.9111547141581</v>
      </c>
      <c r="AI227" s="21" t="n">
        <f aca="false">IF(G227&gt;=Upgrades!$E$8,"",Upgrades!$C$8*POWER(Upgrades!$D$8,G227))</f>
        <v>231.9097088</v>
      </c>
      <c r="AJ227" s="21" t="str">
        <f aca="false">IF(H227&gt;=Upgrades!$E$9,"",Upgrades!$C$9*POWER(Upgrades!$D$9,H227))</f>
        <v/>
      </c>
      <c r="AK227" s="21" t="str">
        <f aca="false">IF(I227&gt;=Upgrades!$E$10,"",Upgrades!$C$10*POWER(Upgrades!$D$10,I227))</f>
        <v/>
      </c>
      <c r="AL227" s="21" t="str">
        <f aca="false">IF(J227&gt;=Upgrades!$E$11,"",Upgrades!$C$11*POWER(Upgrades!$D$11,J227))</f>
        <v/>
      </c>
      <c r="AM227" s="21" t="str">
        <f aca="false">IF(K227&gt;=Upgrades!$E$12,"",Upgrades!$C$12*POWER(Upgrades!$D$12,K227))</f>
        <v/>
      </c>
      <c r="AN227" s="26" t="str">
        <f aca="false">IF(AND(D227&gt;=Parameters!$B$18,(H227&gt;=Upgrades!$E$9)*(K227&gt;=Upgrades!$E$12)=1,L227=0),1,"")</f>
        <v/>
      </c>
      <c r="AO227" s="26" t="str">
        <f aca="false">IF(AND(D227&gt;=Parameters!$B$18,L227=0),1,"")</f>
        <v/>
      </c>
      <c r="AP227" s="21" t="n">
        <f aca="false">MIN(IF(ISNUMBER(AK227),AK227,9000000000000000),IF(ISNUMBER(AL227),AL227,9000000000000000),IF(ISNUMBER(AM227),AM227,9000000000000000))</f>
        <v>9000000000000000</v>
      </c>
      <c r="AQ227" s="21" t="n">
        <f aca="false">MIN(IF(ISNUMBER(AG227),AG227,9000000000000000),IF(ISNUMBER(AH227),AH227,9000000000000000),IF(ISNUMBER(AI227),AI227,9000000000000000),IF(ISNUMBER(AJ227),AJ227,9000000000000000))</f>
        <v>37.4517507383159</v>
      </c>
      <c r="AR227" s="32" t="b">
        <f aca="false">IF(AW227&gt;Parameters!$B$21*(MAX(IF(AND(NOT(AND(AO227=1,AN227&lt;&gt;1)),ISNUMBER(AG227),AG227&lt;=T227),AS227,0),IF(AND(NOT(AND(AO227=1,AN227&lt;&gt;1)),ISNUMBER(AH227),AH227&lt;=T227),AT227,0),IF(AND(NOT(AND(AO227=1,AN227&lt;&gt;1)),ISNUMBER(AI227),AI227&lt;=T227),AU227,0),IF(AND(ISNUMBER(AJ227),AJ227&lt;=T227),AV227,0))),TRUE(),FALSE())</f>
        <v>1</v>
      </c>
      <c r="AS227" s="33" t="n">
        <f aca="false">IFERROR(Upgrades!$H$6*(POWER(Upgrades!$P$6,E227)*POWER(Upgrades!$P$7,F227)*POWER(Upgrades!$P$8,G227)*POWER(Upgrades!$P$9,H227)*POWER(Upgrades!$P$10,I227)*POWER(Upgrades!$P$11,J227)*POWER(Upgrades!$P$12,K227))*(IF(Upgrades!$T$7="Solar Wind",POWER(Upgrades!$U$7,F227),1)*IF(Upgrades!$T$8="Solar Wind",POWER(Upgrades!$U$8,G227),1)*IF(Upgrades!$T$9="Solar Wind",POWER(Upgrades!$U$9,H227),1)*IF(Upgrades!$T$10="Solar Wind",POWER(Upgrades!$U$10,I227),1)*IF(Upgrades!$T$11="Solar Wind",POWER(Upgrades!$U$11,J227),1)*IF(Upgrades!$T$12="Solar Wind",POWER(Upgrades!$U$12,K227),1))/AG227,0)</f>
        <v>0.0026701021455238</v>
      </c>
      <c r="AT227" s="33" t="n">
        <f aca="false">IFERROR(Upgrades!$H$7*(POWER(Upgrades!$P$6,E227)*POWER(Upgrades!$P$7,F227)*POWER(Upgrades!$P$8,G227)*POWER(Upgrades!$P$9,H227)*POWER(Upgrades!$P$10,I227)*POWER(Upgrades!$P$11,J227)*POWER(Upgrades!$P$12,K227))*(IF(Upgrades!$T$6="Asteroid Belt",POWER(Upgrades!$U$6,E227),1)*IF(Upgrades!$T$8="Asteroid Belt",POWER(Upgrades!$U$8,G227),1)*IF(Upgrades!$T$9="Asteroid Belt",POWER(Upgrades!$U$9,H227),1)*IF(Upgrades!$T$10="Asteroid Belt",POWER(Upgrades!$U$10,I227),1)*IF(Upgrades!$T$11="Asteroid Belt",POWER(Upgrades!$U$11,J227),1)*IF(Upgrades!$T$12="Asteroid Belt",POWER(Upgrades!$U$12,K227),1))/AH227,0)</f>
        <v>0.00308980882652332</v>
      </c>
      <c r="AU227" s="33" t="n">
        <f aca="false">IFERROR(Upgrades!$K$8*(POWER(Upgrades!$Q$6,E227)*POWER(Upgrades!$Q$7,F227)*POWER(Upgrades!$Q$8,G227)*POWER(Upgrades!$Q$9,H227)*POWER(Upgrades!$Q$10,I227)*POWER(Upgrades!$Q$11,J227)*POWER(Upgrades!$Q$12,K227))*(IF(Upgrades!$T$6="Stellar Coupling",POWER(Upgrades!$U$6,E227),1)*IF(Upgrades!$T$7="Stellar Coupling",POWER(Upgrades!$U$7,F227),1)*IF(Upgrades!$T$9="Stellar Coupling",POWER(Upgrades!$U$9,H227),1)*IF(Upgrades!$T$10="Stellar Coupling",POWER(Upgrades!$U$10,I227),1)*IF(Upgrades!$T$11="Stellar Coupling",POWER(Upgrades!$U$11,J227),1)*IF(Upgrades!$T$12="Stellar Coupling",POWER(Upgrades!$U$12,K227),1))*Parameters!$B$10*Parameters!$B$11/60/AI227,0)</f>
        <v>0.00452762415783776</v>
      </c>
      <c r="AV227" s="33" t="n">
        <f aca="false">IFERROR(Upgrades!$H$9*(POWER(Upgrades!$P$6,E227)*POWER(Upgrades!$P$7,F227)*POWER(Upgrades!$P$8,G227)*POWER(Upgrades!$P$9,H227)*POWER(Upgrades!$P$10,I227)*POWER(Upgrades!$P$11,J227)*POWER(Upgrades!$P$12,K227))*(IF(Upgrades!$T$6="Magnetosphere",POWER(Upgrades!$U$6,E227),1)*IF(Upgrades!$T$7="Magnetosphere",POWER(Upgrades!$U$7,F227),1)*IF(Upgrades!$T$8="Magnetosphere",POWER(Upgrades!$U$8,G227),1)*IF(Upgrades!$T$10="Magnetosphere",POWER(Upgrades!$U$10,I227),1)*IF(Upgrades!$T$11="Magnetosphere",POWER(Upgrades!$U$11,J227),1)*IF(Upgrades!$T$12="Magnetosphere",POWER(Upgrades!$U$12,K227),1))/AJ227,0)</f>
        <v>0</v>
      </c>
      <c r="AW227" s="33" t="n">
        <f aca="false">MAX(IF(I227&gt;0,0,IFERROR(0.25*N227/Upgrades!$C$10,0)),IF(J227&gt;0,0,IFERROR(0.5*((IF(G227=0,0,(Upgrades!$J$8+G227*Upgrades!$K$8)*POWER(Upgrades!$L$8,G227)))*(IF(Upgrades!$T$6="Stellar Coupling",POWER(Upgrades!$U$6,E227),1)*IF(Upgrades!$T$7="Stellar Coupling",POWER(Upgrades!$U$7,F227),1)*IF(Upgrades!$T$9="Stellar Coupling",POWER(Upgrades!$U$9,H227),1)*IF(Upgrades!$T$10="Stellar Coupling",POWER(Upgrades!$U$10,I227),1)*IF(Upgrades!$T$11="Stellar Coupling",POWER(Upgrades!$U$11,J227),1)*IF(Upgrades!$T$12="Stellar Coupling",POWER(Upgrades!$U$12,K227),1))*(POWER(Upgrades!$Q$6,E227)*POWER(Upgrades!$Q$7,F227)*POWER(Upgrades!$Q$8,G227)*POWER(Upgrades!$Q$9,H227)*POWER(Upgrades!$Q$10,I227)*POWER(Upgrades!$Q$11,J227)*POWER(Upgrades!$Q$12,K227))*Parameters!$B$10*Parameters!$B$11/60)/Upgrades!$C$11,0)),IF(K227&gt;0,0,IFERROR((1*(POWER(Upgrades!$P$6,E227)*POWER(Upgrades!$P$7,F227)*POWER(Upgrades!$P$8,G227)*POWER(Upgrades!$P$9,H227)*POWER(Upgrades!$P$10,I227)*POWER(Upgrades!$P$11,J227)*POWER(Upgrades!$P$12,K227))+0.2*M227*Parameters!$B$10*Parameters!$B$11/60)/Upgrades!$C$12,0)),IF(AND(ISNUMBER(AG227),AG227&gt;T227),AS227,0),IF(AND(ISNUMBER(AH227),AH227&gt;T227),AT227,0),IF(AND(ISNUMBER(AI227),AI227&gt;T227),AU227,0),IF(AND(ISNUMBER(AJ227),AJ227&gt;T227),AV227,0))</f>
        <v>0.00452762415783776</v>
      </c>
      <c r="AX227" s="29" t="str">
        <f aca="false">IF(AN227=1,"transition",IF(MIN(IF(AND(I227=0,ISNUMBER(AK227),AK227&lt;=T227),AK227,9000000000000000),IF(AND(J227=0,ISNUMBER(AL227),AL227&lt;=T227),AL227,9000000000000000),IF(AND(K227=0,ISNUMBER(AM227),AM227&lt;=T227),AM227,9000000000000000))&lt;9000000000000000,IF(AND(AND(I227=0,ISNUMBER(AK227),AK227&lt;=T227),AK227=MIN(IF(AND(I227=0,ISNUMBER(AK227),AK227&lt;=T227),AK227,9000000000000000),IF(AND(J227=0,ISNUMBER(AL227),AL227&lt;=T227),AL227,9000000000000000),IF(AND(K227=0,ISNUMBER(AM227),AM227&lt;=T227),AM227,9000000000000000))),"OR",IF(AND(AND(J227=0,ISNUMBER(AL227),AL227&lt;=T227),AL227=MIN(IF(AND(I227=0,ISNUMBER(AK227),AK227&lt;=T227),AK227,9000000000000000),IF(AND(J227=0,ISNUMBER(AL227),AL227&lt;=T227),AL227,9000000000000000),IF(AND(K227=0,ISNUMBER(AM227),AM227&lt;=T227),AM227,9000000000000000))),"HP","FP")),IF(AR227=TRUE(),"",IF(MAX(IF(AND(NOT(AND(AO227=1,AN227&lt;&gt;1)),ISNUMBER(AG227),AG227&lt;=T227),AS227,0),IF(AND(NOT(AND(AO227=1,AN227&lt;&gt;1)),ISNUMBER(AH227),AH227&lt;=T227),AT227,0),IF(AND(NOT(AND(AO227=1,AN227&lt;&gt;1)),ISNUMBER(AI227),AI227&lt;=T227),AU227,0),IF(AND(ISNUMBER(AJ227),AJ227&lt;=T227),AV227,0))&lt;=0,"",IF(AND(IF(AND(NOT(AND(AO227=1,AN227&lt;&gt;1)),ISNUMBER(AG227),AG227&lt;=T227),AS227,0)&gt;0,IF(AND(NOT(AND(AO227=1,AN227&lt;&gt;1)),ISNUMBER(AG227),AG227&lt;=T227),AS227,0)=MAX(IF(AND(NOT(AND(AO227=1,AN227&lt;&gt;1)),ISNUMBER(AG227),AG227&lt;=T227),AS227,0),IF(AND(NOT(AND(AO227=1,AN227&lt;&gt;1)),ISNUMBER(AH227),AH227&lt;=T227),AT227,0),IF(AND(NOT(AND(AO227=1,AN227&lt;&gt;1)),ISNUMBER(AI227),AI227&lt;=T227),AU227,0),IF(AND(ISNUMBER(AJ227),AJ227&lt;=T227),AV227,0))),"SW",IF(AND(IF(AND(NOT(AND(AO227=1,AN227&lt;&gt;1)),ISNUMBER(AH227),AH227&lt;=T227),AT227,0)&gt;0,IF(AND(NOT(AND(AO227=1,AN227&lt;&gt;1)),ISNUMBER(AH227),AH227&lt;=T227),AT227,0)=MAX(IF(AND(NOT(AND(AO227=1,AN227&lt;&gt;1)),ISNUMBER(AG227),AG227&lt;=T227),AS227,0),IF(AND(NOT(AND(AO227=1,AN227&lt;&gt;1)),ISNUMBER(AH227),AH227&lt;=T227),AT227,0),IF(AND(NOT(AND(AO227=1,AN227&lt;&gt;1)),ISNUMBER(AI227),AI227&lt;=T227),AU227,0),IF(AND(ISNUMBER(AJ227),AJ227&lt;=T227),AV227,0))),"AB",IF(AND(IF(AND(NOT(AND(AO227=1,AN227&lt;&gt;1)),ISNUMBER(AI227),AI227&lt;=T227),AU227,0)&gt;0,IF(AND(NOT(AND(AO227=1,AN227&lt;&gt;1)),ISNUMBER(AI227),AI227&lt;=T227),AU227,0)=MAX(IF(AND(NOT(AND(AO227=1,AN227&lt;&gt;1)),ISNUMBER(AG227),AG227&lt;=T227),AS227,0),IF(AND(NOT(AND(AO227=1,AN227&lt;&gt;1)),ISNUMBER(AH227),AH227&lt;=T227),AT227,0),IF(AND(NOT(AND(AO227=1,AN227&lt;&gt;1)),ISNUMBER(AI227),AI227&lt;=T227),AU227,0),IF(AND(ISNUMBER(AJ227),AJ227&lt;=T227),AV227,0))),"SC","Mag")))))))</f>
        <v/>
      </c>
    </row>
    <row r="228" customFormat="false" ht="15" hidden="false" customHeight="false" outlineLevel="0" collapsed="false">
      <c r="A228" s="26" t="n">
        <v>223</v>
      </c>
      <c r="B228" s="27" t="n">
        <f aca="false">A228*10/60</f>
        <v>37.1666666666667</v>
      </c>
      <c r="C228" s="21" t="n">
        <f aca="false">X227</f>
        <v>18.6730249835055</v>
      </c>
      <c r="D228" s="27" t="n">
        <f aca="false">D227+W227</f>
        <v>0</v>
      </c>
      <c r="E228" s="26" t="n">
        <f aca="false">E227+IF(U227="SW",1,0)</f>
        <v>12</v>
      </c>
      <c r="F228" s="26" t="n">
        <f aca="false">F227+IF(U227="AB",1,0)</f>
        <v>10</v>
      </c>
      <c r="G228" s="26" t="n">
        <f aca="false">G227+IF(U227="SC",1,0)</f>
        <v>7</v>
      </c>
      <c r="H228" s="26" t="n">
        <f aca="false">H227+IF(U227="Mag",1,0)</f>
        <v>5</v>
      </c>
      <c r="I228" s="26" t="n">
        <f aca="false">MAX(I227,IF(U227="OR",1,0))</f>
        <v>1</v>
      </c>
      <c r="J228" s="26" t="n">
        <f aca="false">MAX(J227,IF(U227="HP",1,0))</f>
        <v>1</v>
      </c>
      <c r="K228" s="26" t="n">
        <f aca="false">MAX(K227,IF(U227="FP",1,0))</f>
        <v>1</v>
      </c>
      <c r="L228" s="26" t="n">
        <f aca="false">MAX(L227,IF(U227="transition",1,0))</f>
        <v>1</v>
      </c>
      <c r="M228" s="28" t="n">
        <f aca="false">(Parameters!$B$9+(IF(E228=0,0,(Upgrades!$J$6+E228*Upgrades!$K$6)*POWER(Upgrades!$L$6,E228)))*(IF(Upgrades!$T$7="Solar Wind",POWER(Upgrades!$U$7,F228),1)*IF(Upgrades!$T$8="Solar Wind",POWER(Upgrades!$U$8,G228),1)*IF(Upgrades!$T$9="Solar Wind",POWER(Upgrades!$U$9,H228),1)*IF(Upgrades!$T$10="Solar Wind",POWER(Upgrades!$U$10,I228),1)*IF(Upgrades!$T$11="Solar Wind",POWER(Upgrades!$U$11,J228),1)*IF(Upgrades!$T$12="Solar Wind",POWER(Upgrades!$U$12,K228),1))+(IF(F228=0,0,(Upgrades!$J$7+F228*Upgrades!$K$7)*POWER(Upgrades!$L$7,F228)))*(IF(Upgrades!$T$6="Asteroid Belt",POWER(Upgrades!$U$6,E228),1)*IF(Upgrades!$T$8="Asteroid Belt",POWER(Upgrades!$U$8,G228),1)*IF(Upgrades!$T$9="Asteroid Belt",POWER(Upgrades!$U$9,H228),1)*IF(Upgrades!$T$10="Asteroid Belt",POWER(Upgrades!$U$10,I228),1)*IF(Upgrades!$T$11="Asteroid Belt",POWER(Upgrades!$U$11,J228),1)*IF(Upgrades!$T$12="Asteroid Belt",POWER(Upgrades!$U$12,K228),1))+(IF(G228=0,0,(Upgrades!$J$8+G228*Upgrades!$K$8)*POWER(Upgrades!$L$8,G228)))*(IF(Upgrades!$T$6="Stellar Coupling",POWER(Upgrades!$U$6,E228),1)*IF(Upgrades!$T$7="Stellar Coupling",POWER(Upgrades!$U$7,F228),1)*IF(Upgrades!$T$9="Stellar Coupling",POWER(Upgrades!$U$9,H228),1)*IF(Upgrades!$T$10="Stellar Coupling",POWER(Upgrades!$U$10,I228),1)*IF(Upgrades!$T$11="Stellar Coupling",POWER(Upgrades!$U$11,J228),1)*IF(Upgrades!$T$12="Stellar Coupling",POWER(Upgrades!$U$12,K228),1))+(IF(H228=0,0,(Upgrades!$J$9+H228*Upgrades!$K$9)*POWER(Upgrades!$L$9,H228)))*(IF(Upgrades!$T$6="Magnetosphere",POWER(Upgrades!$U$6,E228),1)*IF(Upgrades!$T$7="Magnetosphere",POWER(Upgrades!$U$7,F228),1)*IF(Upgrades!$T$8="Magnetosphere",POWER(Upgrades!$U$8,G228),1)*IF(Upgrades!$T$10="Magnetosphere",POWER(Upgrades!$U$10,I228),1)*IF(Upgrades!$T$11="Magnetosphere",POWER(Upgrades!$U$11,J228),1)*IF(Upgrades!$T$12="Magnetosphere",POWER(Upgrades!$U$12,K228),1))+(IF(I228=0,0,(Upgrades!$J$10+I228*Upgrades!$K$10)*POWER(Upgrades!$L$10,I228)))*(IF(Upgrades!$T$6="Orbital Resonance",POWER(Upgrades!$U$6,E228),1)*IF(Upgrades!$T$7="Orbital Resonance",POWER(Upgrades!$U$7,F228),1)*IF(Upgrades!$T$8="Orbital Resonance",POWER(Upgrades!$U$8,G228),1)*IF(Upgrades!$T$9="Orbital Resonance",POWER(Upgrades!$U$9,H228),1)*IF(Upgrades!$T$11="Orbital Resonance",POWER(Upgrades!$U$11,J228),1)*IF(Upgrades!$T$12="Orbital Resonance",POWER(Upgrades!$U$12,K228),1))+(IF(J228=0,0,(Upgrades!$J$11+J228*Upgrades!$K$11)*POWER(Upgrades!$L$11,J228)))*(IF(Upgrades!$T$6="Heliopause",POWER(Upgrades!$U$6,E228),1)*IF(Upgrades!$T$7="Heliopause",POWER(Upgrades!$U$7,F228),1)*IF(Upgrades!$T$8="Heliopause",POWER(Upgrades!$U$8,G228),1)*IF(Upgrades!$T$9="Heliopause",POWER(Upgrades!$U$9,H228),1)*IF(Upgrades!$T$10="Heliopause",POWER(Upgrades!$U$10,I228),1)*IF(Upgrades!$T$12="Heliopause",POWER(Upgrades!$U$12,K228),1))+(IF(K228=0,0,(Upgrades!$J$12+K228*Upgrades!$K$12)*POWER(Upgrades!$L$12,K228)))*(IF(Upgrades!$T$6="First Photons",POWER(Upgrades!$U$6,E228),1)*IF(Upgrades!$T$7="First Photons",POWER(Upgrades!$U$7,F228),1)*IF(Upgrades!$T$8="First Photons",POWER(Upgrades!$U$8,G228),1)*IF(Upgrades!$T$9="First Photons",POWER(Upgrades!$U$9,H228),1)*IF(Upgrades!$T$10="First Photons",POWER(Upgrades!$U$10,I228),1)*IF(Upgrades!$T$11="First Photons",POWER(Upgrades!$U$11,J228),1)))*POWER(Upgrades!$Q$6,E228)*POWER(Upgrades!$Q$7,F228)*POWER(Upgrades!$Q$8,G228)*POWER(Upgrades!$Q$9,H228)*POWER(Upgrades!$Q$10,I228)*POWER(Upgrades!$Q$11,J228)*POWER(Upgrades!$Q$12,K228)</f>
        <v>5.61</v>
      </c>
      <c r="N228" s="28" t="n">
        <f aca="false">((IF(E228=0,0,(Upgrades!$G$6+E228*Upgrades!$H$6)*POWER(Upgrades!$I$6,E228)))*(IF(Upgrades!$T$7="Solar Wind",POWER(Upgrades!$U$7,F228),1)*IF(Upgrades!$T$8="Solar Wind",POWER(Upgrades!$U$8,G228),1)*IF(Upgrades!$T$9="Solar Wind",POWER(Upgrades!$U$9,H228),1)*IF(Upgrades!$T$10="Solar Wind",POWER(Upgrades!$U$10,I228),1)*IF(Upgrades!$T$11="Solar Wind",POWER(Upgrades!$U$11,J228),1)*IF(Upgrades!$T$12="Solar Wind",POWER(Upgrades!$U$12,K228),1))+(IF(F228=0,0,(Upgrades!$G$7+F228*Upgrades!$H$7)*POWER(Upgrades!$I$7,F228)))*(IF(Upgrades!$T$6="Asteroid Belt",POWER(Upgrades!$U$6,E228),1)*IF(Upgrades!$T$8="Asteroid Belt",POWER(Upgrades!$U$8,G228),1)*IF(Upgrades!$T$9="Asteroid Belt",POWER(Upgrades!$U$9,H228),1)*IF(Upgrades!$T$10="Asteroid Belt",POWER(Upgrades!$U$10,I228),1)*IF(Upgrades!$T$11="Asteroid Belt",POWER(Upgrades!$U$11,J228),1)*IF(Upgrades!$T$12="Asteroid Belt",POWER(Upgrades!$U$12,K228),1))+(IF(G228=0,0,(Upgrades!$G$8+G228*Upgrades!$H$8)*POWER(Upgrades!$I$8,G228)))*(IF(Upgrades!$T$6="Stellar Coupling",POWER(Upgrades!$U$6,E228),1)*IF(Upgrades!$T$7="Stellar Coupling",POWER(Upgrades!$U$7,F228),1)*IF(Upgrades!$T$9="Stellar Coupling",POWER(Upgrades!$U$9,H228),1)*IF(Upgrades!$T$10="Stellar Coupling",POWER(Upgrades!$U$10,I228),1)*IF(Upgrades!$T$11="Stellar Coupling",POWER(Upgrades!$U$11,J228),1)*IF(Upgrades!$T$12="Stellar Coupling",POWER(Upgrades!$U$12,K228),1))+(IF(H228=0,0,(Upgrades!$G$9+H228*Upgrades!$H$9)*POWER(Upgrades!$I$9,H228)))*(IF(Upgrades!$T$6="Magnetosphere",POWER(Upgrades!$U$6,E228),1)*IF(Upgrades!$T$7="Magnetosphere",POWER(Upgrades!$U$7,F228),1)*IF(Upgrades!$T$8="Magnetosphere",POWER(Upgrades!$U$8,G228),1)*IF(Upgrades!$T$10="Magnetosphere",POWER(Upgrades!$U$10,I228),1)*IF(Upgrades!$T$11="Magnetosphere",POWER(Upgrades!$U$11,J228),1)*IF(Upgrades!$T$12="Magnetosphere",POWER(Upgrades!$U$12,K228),1))+(IF(I228=0,0,(Upgrades!$G$10+I228*Upgrades!$H$10)*POWER(Upgrades!$I$10,I228)))*(IF(Upgrades!$T$6="Orbital Resonance",POWER(Upgrades!$U$6,E228),1)*IF(Upgrades!$T$7="Orbital Resonance",POWER(Upgrades!$U$7,F228),1)*IF(Upgrades!$T$8="Orbital Resonance",POWER(Upgrades!$U$8,G228),1)*IF(Upgrades!$T$9="Orbital Resonance",POWER(Upgrades!$U$9,H228),1)*IF(Upgrades!$T$11="Orbital Resonance",POWER(Upgrades!$U$11,J228),1)*IF(Upgrades!$T$12="Orbital Resonance",POWER(Upgrades!$U$12,K228),1))+(IF(J228=0,0,(Upgrades!$G$11+J228*Upgrades!$H$11)*POWER(Upgrades!$I$11,J228)))*(IF(Upgrades!$T$6="Heliopause",POWER(Upgrades!$U$6,E228),1)*IF(Upgrades!$T$7="Heliopause",POWER(Upgrades!$U$7,F228),1)*IF(Upgrades!$T$8="Heliopause",POWER(Upgrades!$U$8,G228),1)*IF(Upgrades!$T$9="Heliopause",POWER(Upgrades!$U$9,H228),1)*IF(Upgrades!$T$10="Heliopause",POWER(Upgrades!$U$10,I228),1)*IF(Upgrades!$T$12="Heliopause",POWER(Upgrades!$U$12,K228),1))+(IF(K228=0,0,(Upgrades!$G$12+K228*Upgrades!$H$12)*POWER(Upgrades!$I$12,K228)))*(IF(Upgrades!$T$6="First Photons",POWER(Upgrades!$U$6,E228),1)*IF(Upgrades!$T$7="First Photons",POWER(Upgrades!$U$7,F228),1)*IF(Upgrades!$T$8="First Photons",POWER(Upgrades!$U$8,G228),1)*IF(Upgrades!$T$9="First Photons",POWER(Upgrades!$U$9,H228),1)*IF(Upgrades!$T$10="First Photons",POWER(Upgrades!$U$10,I228),1)*IF(Upgrades!$T$11="First Photons",POWER(Upgrades!$U$11,J228),1)))*POWER(Upgrades!$P$6,E228)*POWER(Upgrades!$P$7,F228)*POWER(Upgrades!$P$8,G228)*POWER(Upgrades!$P$9,H228)*POWER(Upgrades!$P$10,I228)*POWER(Upgrades!$P$11,J228)*POWER(Upgrades!$P$12,K228)</f>
        <v>11.2</v>
      </c>
      <c r="O228" s="28" t="n">
        <f aca="false">((IF(E228=0,0,(Upgrades!$M$6+E228*Upgrades!$N$6)*POWER(Upgrades!$O$6,E228)))*(IF(Upgrades!$T$7="Solar Wind",POWER(Upgrades!$U$7,F228),1)*IF(Upgrades!$T$8="Solar Wind",POWER(Upgrades!$U$8,G228),1)*IF(Upgrades!$T$9="Solar Wind",POWER(Upgrades!$U$9,H228),1)*IF(Upgrades!$T$10="Solar Wind",POWER(Upgrades!$U$10,I228),1)*IF(Upgrades!$T$11="Solar Wind",POWER(Upgrades!$U$11,J228),1)*IF(Upgrades!$T$12="Solar Wind",POWER(Upgrades!$U$12,K228),1))+(IF(F228=0,0,(Upgrades!$M$7+F228*Upgrades!$N$7)*POWER(Upgrades!$O$7,F228)))*(IF(Upgrades!$T$6="Asteroid Belt",POWER(Upgrades!$U$6,E228),1)*IF(Upgrades!$T$8="Asteroid Belt",POWER(Upgrades!$U$8,G228),1)*IF(Upgrades!$T$9="Asteroid Belt",POWER(Upgrades!$U$9,H228),1)*IF(Upgrades!$T$10="Asteroid Belt",POWER(Upgrades!$U$10,I228),1)*IF(Upgrades!$T$11="Asteroid Belt",POWER(Upgrades!$U$11,J228),1)*IF(Upgrades!$T$12="Asteroid Belt",POWER(Upgrades!$U$12,K228),1))+(IF(G228=0,0,(Upgrades!$M$8+G228*Upgrades!$N$8)*POWER(Upgrades!$O$8,G228)))*(IF(Upgrades!$T$6="Stellar Coupling",POWER(Upgrades!$U$6,E228),1)*IF(Upgrades!$T$7="Stellar Coupling",POWER(Upgrades!$U$7,F228),1)*IF(Upgrades!$T$9="Stellar Coupling",POWER(Upgrades!$U$9,H228),1)*IF(Upgrades!$T$10="Stellar Coupling",POWER(Upgrades!$U$10,I228),1)*IF(Upgrades!$T$11="Stellar Coupling",POWER(Upgrades!$U$11,J228),1)*IF(Upgrades!$T$12="Stellar Coupling",POWER(Upgrades!$U$12,K228),1))+(IF(H228=0,0,(Upgrades!$M$9+H228*Upgrades!$N$9)*POWER(Upgrades!$O$9,H228)))*(IF(Upgrades!$T$6="Magnetosphere",POWER(Upgrades!$U$6,E228),1)*IF(Upgrades!$T$7="Magnetosphere",POWER(Upgrades!$U$7,F228),1)*IF(Upgrades!$T$8="Magnetosphere",POWER(Upgrades!$U$8,G228),1)*IF(Upgrades!$T$10="Magnetosphere",POWER(Upgrades!$U$10,I228),1)*IF(Upgrades!$T$11="Magnetosphere",POWER(Upgrades!$U$11,J228),1)*IF(Upgrades!$T$12="Magnetosphere",POWER(Upgrades!$U$12,K228),1))+(IF(I228=0,0,(Upgrades!$M$10+I228*Upgrades!$N$10)*POWER(Upgrades!$O$10,I228)))*(IF(Upgrades!$T$6="Orbital Resonance",POWER(Upgrades!$U$6,E228),1)*IF(Upgrades!$T$7="Orbital Resonance",POWER(Upgrades!$U$7,F228),1)*IF(Upgrades!$T$8="Orbital Resonance",POWER(Upgrades!$U$8,G228),1)*IF(Upgrades!$T$9="Orbital Resonance",POWER(Upgrades!$U$9,H228),1)*IF(Upgrades!$T$11="Orbital Resonance",POWER(Upgrades!$U$11,J228),1)*IF(Upgrades!$T$12="Orbital Resonance",POWER(Upgrades!$U$12,K228),1))+(IF(J228=0,0,(Upgrades!$M$11+J228*Upgrades!$N$11)*POWER(Upgrades!$O$11,J228)))*(IF(Upgrades!$T$6="Heliopause",POWER(Upgrades!$U$6,E228),1)*IF(Upgrades!$T$7="Heliopause",POWER(Upgrades!$U$7,F228),1)*IF(Upgrades!$T$8="Heliopause",POWER(Upgrades!$U$8,G228),1)*IF(Upgrades!$T$9="Heliopause",POWER(Upgrades!$U$9,H228),1)*IF(Upgrades!$T$10="Heliopause",POWER(Upgrades!$U$10,I228),1)*IF(Upgrades!$T$12="Heliopause",POWER(Upgrades!$U$12,K228),1))+(IF(K228=0,0,(Upgrades!$M$12+K228*Upgrades!$N$12)*POWER(Upgrades!$O$12,K228)))*(IF(Upgrades!$T$6="First Photons",POWER(Upgrades!$U$6,E228),1)*IF(Upgrades!$T$7="First Photons",POWER(Upgrades!$U$7,F228),1)*IF(Upgrades!$T$8="First Photons",POWER(Upgrades!$U$8,G228),1)*IF(Upgrades!$T$9="First Photons",POWER(Upgrades!$U$9,H228),1)*IF(Upgrades!$T$10="First Photons",POWER(Upgrades!$U$10,I228),1)*IF(Upgrades!$T$11="First Photons",POWER(Upgrades!$U$11,J228),1)))*POWER(Upgrades!$R$6,E228)*POWER(Upgrades!$R$7,F228)*POWER(Upgrades!$R$8,G228)*POWER(Upgrades!$R$9,H228)*POWER(Upgrades!$R$10,I228)*POWER(Upgrades!$R$11,J228)*POWER(Upgrades!$R$12,K228)</f>
        <v>0</v>
      </c>
      <c r="P228" s="27" t="n">
        <f aca="false">IF(L228=1,0,M228*Parameters!$B$10/60*Parameters!$B$11*10)</f>
        <v>0</v>
      </c>
      <c r="Q228" s="27" t="n">
        <f aca="false">IF(L228=1,0,O228*M228*10)</f>
        <v>0</v>
      </c>
      <c r="R228" s="27" t="n">
        <f aca="false">IF(L228=1,0,N228*10)</f>
        <v>0</v>
      </c>
      <c r="S228" s="27" t="n">
        <f aca="false">P228+Q228+R228</f>
        <v>0</v>
      </c>
      <c r="T228" s="21" t="n">
        <f aca="false">C228+S228</f>
        <v>18.6730249835055</v>
      </c>
      <c r="U228" s="34" t="str">
        <f aca="false">AX228</f>
        <v/>
      </c>
      <c r="V228" s="21" t="n">
        <f aca="false">IF(U228="",0,IF(U228="transition",0,IF(U228="SW",AG228,IF(U228="AB",AH228,IF(U228="SC",AI228,IF(U228="Mag",AJ228,IF(U228="OR",AK228,IF(U228="HP",AL228,IF(U228="FP",AM228,0)))))))))</f>
        <v>0</v>
      </c>
      <c r="W228" s="27" t="n">
        <f aca="false">IF(U228="OR",Upgrades!$F$10,IF(U228="HP",Upgrades!$F$11,IF(U228="transition",-Parameters!$B$18,0)))</f>
        <v>0</v>
      </c>
      <c r="X228" s="21" t="n">
        <f aca="false">T228-V228</f>
        <v>18.6730249835055</v>
      </c>
      <c r="Y228" s="30" t="n">
        <f aca="false">M228*Parameters!$B$10/60*Parameters!$B$11+O228*M228+N228</f>
        <v>20.55</v>
      </c>
      <c r="Z228" s="35" t="str">
        <f aca="false">IF(U228="transition","→ Tier 2 (Stellar Neighborhood)",IF(U228="FP","First Photons — light begins, system quickens",IF(U228="HP","Heliopause acquired",IF(U228="OR","Orbital Resonance — passive multiplier active",IF(AND(AO228=1,L228=0,AN228&lt;&gt;1),"Cohesion ready (waiting on completionist upgrades)","")))))</f>
        <v/>
      </c>
      <c r="AA228" s="27" t="n">
        <f aca="false">(IF(E228=0,0,(Upgrades!$G$6+E228*Upgrades!$H$6)*POWER(Upgrades!$I$6,E228)))*(IF(Upgrades!$T$7="Solar Wind",POWER(Upgrades!$U$7,F228),1)*IF(Upgrades!$T$8="Solar Wind",POWER(Upgrades!$U$8,G228),1)*IF(Upgrades!$T$9="Solar Wind",POWER(Upgrades!$U$9,H228),1)*IF(Upgrades!$T$10="Solar Wind",POWER(Upgrades!$U$10,I228),1)*IF(Upgrades!$T$11="Solar Wind",POWER(Upgrades!$U$11,J228),1)*IF(Upgrades!$T$12="Solar Wind",POWER(Upgrades!$U$12,K228),1))*POWER(Upgrades!$P$6,E228)*POWER(Upgrades!$P$7,F228)*POWER(Upgrades!$P$8,G228)*POWER(Upgrades!$P$9,H228)*POWER(Upgrades!$P$10,I228)*POWER(Upgrades!$P$11,J228)*POWER(Upgrades!$P$12,K228)*60</f>
        <v>72</v>
      </c>
      <c r="AB228" s="27" t="n">
        <f aca="false">(IF(F228=0,0,(Upgrades!$G$7+F228*Upgrades!$H$7)*POWER(Upgrades!$I$7,F228)))*(IF(Upgrades!$T$6="Asteroid Belt",POWER(Upgrades!$U$6,E228),1)*IF(Upgrades!$T$8="Asteroid Belt",POWER(Upgrades!$U$8,G228),1)*IF(Upgrades!$T$9="Asteroid Belt",POWER(Upgrades!$U$9,H228),1)*IF(Upgrades!$T$10="Asteroid Belt",POWER(Upgrades!$U$10,I228),1)*IF(Upgrades!$T$11="Asteroid Belt",POWER(Upgrades!$U$11,J228),1)*IF(Upgrades!$T$12="Asteroid Belt",POWER(Upgrades!$U$12,K228),1))*POWER(Upgrades!$P$6,E228)*POWER(Upgrades!$P$7,F228)*POWER(Upgrades!$P$8,G228)*POWER(Upgrades!$P$9,H228)*POWER(Upgrades!$P$10,I228)*POWER(Upgrades!$P$11,J228)*POWER(Upgrades!$P$12,K228)*60</f>
        <v>150</v>
      </c>
      <c r="AC228" s="27" t="n">
        <f aca="false">(IF(G228=0,0,(Upgrades!$J$8+G228*Upgrades!$K$8)*POWER(Upgrades!$L$8,G228)))*(IF(Upgrades!$T$6="Stellar Coupling",POWER(Upgrades!$U$6,E228),1)*IF(Upgrades!$T$7="Stellar Coupling",POWER(Upgrades!$U$7,F228),1)*IF(Upgrades!$T$9="Stellar Coupling",POWER(Upgrades!$U$9,H228),1)*IF(Upgrades!$T$10="Stellar Coupling",POWER(Upgrades!$U$10,I228),1)*IF(Upgrades!$T$11="Stellar Coupling",POWER(Upgrades!$U$11,J228),1)*IF(Upgrades!$T$12="Stellar Coupling",POWER(Upgrades!$U$12,K228),1))*POWER(Upgrades!$Q$6,E228)*POWER(Upgrades!$Q$7,F228)*POWER(Upgrades!$Q$8,G228)*POWER(Upgrades!$Q$9,H228)*POWER(Upgrades!$Q$10,I228)*POWER(Upgrades!$Q$11,J228)*POWER(Upgrades!$Q$12,K228)*Parameters!$B$10*Parameters!$B$11</f>
        <v>441</v>
      </c>
      <c r="AD228" s="27" t="n">
        <f aca="false">(IF(H228=0,0,(Upgrades!$G$9+H228*Upgrades!$H$9)*POWER(Upgrades!$I$9,H228)))*(IF(Upgrades!$T$6="Magnetosphere",POWER(Upgrades!$U$6,E228),1)*IF(Upgrades!$T$7="Magnetosphere",POWER(Upgrades!$U$7,F228),1)*IF(Upgrades!$T$8="Magnetosphere",POWER(Upgrades!$U$8,G228),1)*IF(Upgrades!$T$10="Magnetosphere",POWER(Upgrades!$U$10,I228),1)*IF(Upgrades!$T$11="Magnetosphere",POWER(Upgrades!$U$11,J228),1)*IF(Upgrades!$T$12="Magnetosphere",POWER(Upgrades!$U$12,K228),1))*POWER(Upgrades!$P$6,E228)*POWER(Upgrades!$P$7,F228)*POWER(Upgrades!$P$8,G228)*POWER(Upgrades!$P$9,H228)*POWER(Upgrades!$P$10,I228)*POWER(Upgrades!$P$11,J228)*POWER(Upgrades!$P$12,K228)*60</f>
        <v>375</v>
      </c>
      <c r="AE228" s="27" t="n">
        <f aca="false">(IF(K228=0,0,(Upgrades!$G$12+K228*Upgrades!$H$12)*POWER(Upgrades!$I$12,K228)))*(IF(Upgrades!$T$6="First Photons",POWER(Upgrades!$U$6,E228),1)*IF(Upgrades!$T$7="First Photons",POWER(Upgrades!$U$7,F228),1)*IF(Upgrades!$T$8="First Photons",POWER(Upgrades!$U$8,G228),1)*IF(Upgrades!$T$9="First Photons",POWER(Upgrades!$U$9,H228),1)*IF(Upgrades!$T$10="First Photons",POWER(Upgrades!$U$10,I228),1)*IF(Upgrades!$T$11="First Photons",POWER(Upgrades!$U$11,J228),1))*POWER(Upgrades!$P$6,E228)*POWER(Upgrades!$P$7,F228)*POWER(Upgrades!$P$8,G228)*POWER(Upgrades!$P$9,H228)*POWER(Upgrades!$P$10,I228)*POWER(Upgrades!$P$11,J228)*POWER(Upgrades!$P$12,K228)*60</f>
        <v>75</v>
      </c>
      <c r="AF228" s="27" t="n">
        <f aca="false">Parameters!$B$9*POWER(Upgrades!$Q$6,E228)*POWER(Upgrades!$Q$7,F228)*POWER(Upgrades!$Q$8,G228)*POWER(Upgrades!$Q$9,H228)*POWER(Upgrades!$Q$10,I228)*POWER(Upgrades!$Q$11,J228)*POWER(Upgrades!$Q$12,K228)*(Parameters!$B$10*Parameters!$B$11+O228*60)</f>
        <v>120</v>
      </c>
      <c r="AG228" s="21" t="n">
        <f aca="false">IF(E228&gt;=Upgrades!$E$6,"",Upgrades!$C$6*POWER(Upgrades!$D$6,E228))</f>
        <v>37.4517507383159</v>
      </c>
      <c r="AH228" s="21" t="n">
        <f aca="false">IF(F228&gt;=Upgrades!$E$7,"",Upgrades!$C$7*POWER(Upgrades!$D$7,F228))</f>
        <v>80.9111547141581</v>
      </c>
      <c r="AI228" s="21" t="n">
        <f aca="false">IF(G228&gt;=Upgrades!$E$8,"",Upgrades!$C$8*POWER(Upgrades!$D$8,G228))</f>
        <v>231.9097088</v>
      </c>
      <c r="AJ228" s="21" t="str">
        <f aca="false">IF(H228&gt;=Upgrades!$E$9,"",Upgrades!$C$9*POWER(Upgrades!$D$9,H228))</f>
        <v/>
      </c>
      <c r="AK228" s="21" t="str">
        <f aca="false">IF(I228&gt;=Upgrades!$E$10,"",Upgrades!$C$10*POWER(Upgrades!$D$10,I228))</f>
        <v/>
      </c>
      <c r="AL228" s="21" t="str">
        <f aca="false">IF(J228&gt;=Upgrades!$E$11,"",Upgrades!$C$11*POWER(Upgrades!$D$11,J228))</f>
        <v/>
      </c>
      <c r="AM228" s="21" t="str">
        <f aca="false">IF(K228&gt;=Upgrades!$E$12,"",Upgrades!$C$12*POWER(Upgrades!$D$12,K228))</f>
        <v/>
      </c>
      <c r="AN228" s="26" t="str">
        <f aca="false">IF(AND(D228&gt;=Parameters!$B$18,(H228&gt;=Upgrades!$E$9)*(K228&gt;=Upgrades!$E$12)=1,L228=0),1,"")</f>
        <v/>
      </c>
      <c r="AO228" s="26" t="str">
        <f aca="false">IF(AND(D228&gt;=Parameters!$B$18,L228=0),1,"")</f>
        <v/>
      </c>
      <c r="AP228" s="21" t="n">
        <f aca="false">MIN(IF(ISNUMBER(AK228),AK228,9000000000000000),IF(ISNUMBER(AL228),AL228,9000000000000000),IF(ISNUMBER(AM228),AM228,9000000000000000))</f>
        <v>9000000000000000</v>
      </c>
      <c r="AQ228" s="21" t="n">
        <f aca="false">MIN(IF(ISNUMBER(AG228),AG228,9000000000000000),IF(ISNUMBER(AH228),AH228,9000000000000000),IF(ISNUMBER(AI228),AI228,9000000000000000),IF(ISNUMBER(AJ228),AJ228,9000000000000000))</f>
        <v>37.4517507383159</v>
      </c>
      <c r="AR228" s="32" t="b">
        <f aca="false">IF(AW228&gt;Parameters!$B$21*(MAX(IF(AND(NOT(AND(AO228=1,AN228&lt;&gt;1)),ISNUMBER(AG228),AG228&lt;=T228),AS228,0),IF(AND(NOT(AND(AO228=1,AN228&lt;&gt;1)),ISNUMBER(AH228),AH228&lt;=T228),AT228,0),IF(AND(NOT(AND(AO228=1,AN228&lt;&gt;1)),ISNUMBER(AI228),AI228&lt;=T228),AU228,0),IF(AND(ISNUMBER(AJ228),AJ228&lt;=T228),AV228,0))),TRUE(),FALSE())</f>
        <v>1</v>
      </c>
      <c r="AS228" s="33" t="n">
        <f aca="false">IFERROR(Upgrades!$H$6*(POWER(Upgrades!$P$6,E228)*POWER(Upgrades!$P$7,F228)*POWER(Upgrades!$P$8,G228)*POWER(Upgrades!$P$9,H228)*POWER(Upgrades!$P$10,I228)*POWER(Upgrades!$P$11,J228)*POWER(Upgrades!$P$12,K228))*(IF(Upgrades!$T$7="Solar Wind",POWER(Upgrades!$U$7,F228),1)*IF(Upgrades!$T$8="Solar Wind",POWER(Upgrades!$U$8,G228),1)*IF(Upgrades!$T$9="Solar Wind",POWER(Upgrades!$U$9,H228),1)*IF(Upgrades!$T$10="Solar Wind",POWER(Upgrades!$U$10,I228),1)*IF(Upgrades!$T$11="Solar Wind",POWER(Upgrades!$U$11,J228),1)*IF(Upgrades!$T$12="Solar Wind",POWER(Upgrades!$U$12,K228),1))/AG228,0)</f>
        <v>0.0026701021455238</v>
      </c>
      <c r="AT228" s="33" t="n">
        <f aca="false">IFERROR(Upgrades!$H$7*(POWER(Upgrades!$P$6,E228)*POWER(Upgrades!$P$7,F228)*POWER(Upgrades!$P$8,G228)*POWER(Upgrades!$P$9,H228)*POWER(Upgrades!$P$10,I228)*POWER(Upgrades!$P$11,J228)*POWER(Upgrades!$P$12,K228))*(IF(Upgrades!$T$6="Asteroid Belt",POWER(Upgrades!$U$6,E228),1)*IF(Upgrades!$T$8="Asteroid Belt",POWER(Upgrades!$U$8,G228),1)*IF(Upgrades!$T$9="Asteroid Belt",POWER(Upgrades!$U$9,H228),1)*IF(Upgrades!$T$10="Asteroid Belt",POWER(Upgrades!$U$10,I228),1)*IF(Upgrades!$T$11="Asteroid Belt",POWER(Upgrades!$U$11,J228),1)*IF(Upgrades!$T$12="Asteroid Belt",POWER(Upgrades!$U$12,K228),1))/AH228,0)</f>
        <v>0.00308980882652332</v>
      </c>
      <c r="AU228" s="33" t="n">
        <f aca="false">IFERROR(Upgrades!$K$8*(POWER(Upgrades!$Q$6,E228)*POWER(Upgrades!$Q$7,F228)*POWER(Upgrades!$Q$8,G228)*POWER(Upgrades!$Q$9,H228)*POWER(Upgrades!$Q$10,I228)*POWER(Upgrades!$Q$11,J228)*POWER(Upgrades!$Q$12,K228))*(IF(Upgrades!$T$6="Stellar Coupling",POWER(Upgrades!$U$6,E228),1)*IF(Upgrades!$T$7="Stellar Coupling",POWER(Upgrades!$U$7,F228),1)*IF(Upgrades!$T$9="Stellar Coupling",POWER(Upgrades!$U$9,H228),1)*IF(Upgrades!$T$10="Stellar Coupling",POWER(Upgrades!$U$10,I228),1)*IF(Upgrades!$T$11="Stellar Coupling",POWER(Upgrades!$U$11,J228),1)*IF(Upgrades!$T$12="Stellar Coupling",POWER(Upgrades!$U$12,K228),1))*Parameters!$B$10*Parameters!$B$11/60/AI228,0)</f>
        <v>0.00452762415783776</v>
      </c>
      <c r="AV228" s="33" t="n">
        <f aca="false">IFERROR(Upgrades!$H$9*(POWER(Upgrades!$P$6,E228)*POWER(Upgrades!$P$7,F228)*POWER(Upgrades!$P$8,G228)*POWER(Upgrades!$P$9,H228)*POWER(Upgrades!$P$10,I228)*POWER(Upgrades!$P$11,J228)*POWER(Upgrades!$P$12,K228))*(IF(Upgrades!$T$6="Magnetosphere",POWER(Upgrades!$U$6,E228),1)*IF(Upgrades!$T$7="Magnetosphere",POWER(Upgrades!$U$7,F228),1)*IF(Upgrades!$T$8="Magnetosphere",POWER(Upgrades!$U$8,G228),1)*IF(Upgrades!$T$10="Magnetosphere",POWER(Upgrades!$U$10,I228),1)*IF(Upgrades!$T$11="Magnetosphere",POWER(Upgrades!$U$11,J228),1)*IF(Upgrades!$T$12="Magnetosphere",POWER(Upgrades!$U$12,K228),1))/AJ228,0)</f>
        <v>0</v>
      </c>
      <c r="AW228" s="33" t="n">
        <f aca="false">MAX(IF(I228&gt;0,0,IFERROR(0.25*N228/Upgrades!$C$10,0)),IF(J228&gt;0,0,IFERROR(0.5*((IF(G228=0,0,(Upgrades!$J$8+G228*Upgrades!$K$8)*POWER(Upgrades!$L$8,G228)))*(IF(Upgrades!$T$6="Stellar Coupling",POWER(Upgrades!$U$6,E228),1)*IF(Upgrades!$T$7="Stellar Coupling",POWER(Upgrades!$U$7,F228),1)*IF(Upgrades!$T$9="Stellar Coupling",POWER(Upgrades!$U$9,H228),1)*IF(Upgrades!$T$10="Stellar Coupling",POWER(Upgrades!$U$10,I228),1)*IF(Upgrades!$T$11="Stellar Coupling",POWER(Upgrades!$U$11,J228),1)*IF(Upgrades!$T$12="Stellar Coupling",POWER(Upgrades!$U$12,K228),1))*(POWER(Upgrades!$Q$6,E228)*POWER(Upgrades!$Q$7,F228)*POWER(Upgrades!$Q$8,G228)*POWER(Upgrades!$Q$9,H228)*POWER(Upgrades!$Q$10,I228)*POWER(Upgrades!$Q$11,J228)*POWER(Upgrades!$Q$12,K228))*Parameters!$B$10*Parameters!$B$11/60)/Upgrades!$C$11,0)),IF(K228&gt;0,0,IFERROR((1*(POWER(Upgrades!$P$6,E228)*POWER(Upgrades!$P$7,F228)*POWER(Upgrades!$P$8,G228)*POWER(Upgrades!$P$9,H228)*POWER(Upgrades!$P$10,I228)*POWER(Upgrades!$P$11,J228)*POWER(Upgrades!$P$12,K228))+0.2*M228*Parameters!$B$10*Parameters!$B$11/60)/Upgrades!$C$12,0)),IF(AND(ISNUMBER(AG228),AG228&gt;T228),AS228,0),IF(AND(ISNUMBER(AH228),AH228&gt;T228),AT228,0),IF(AND(ISNUMBER(AI228),AI228&gt;T228),AU228,0),IF(AND(ISNUMBER(AJ228),AJ228&gt;T228),AV228,0))</f>
        <v>0.00452762415783776</v>
      </c>
      <c r="AX228" s="29" t="str">
        <f aca="false">IF(AN228=1,"transition",IF(MIN(IF(AND(I228=0,ISNUMBER(AK228),AK228&lt;=T228),AK228,9000000000000000),IF(AND(J228=0,ISNUMBER(AL228),AL228&lt;=T228),AL228,9000000000000000),IF(AND(K228=0,ISNUMBER(AM228),AM228&lt;=T228),AM228,9000000000000000))&lt;9000000000000000,IF(AND(AND(I228=0,ISNUMBER(AK228),AK228&lt;=T228),AK228=MIN(IF(AND(I228=0,ISNUMBER(AK228),AK228&lt;=T228),AK228,9000000000000000),IF(AND(J228=0,ISNUMBER(AL228),AL228&lt;=T228),AL228,9000000000000000),IF(AND(K228=0,ISNUMBER(AM228),AM228&lt;=T228),AM228,9000000000000000))),"OR",IF(AND(AND(J228=0,ISNUMBER(AL228),AL228&lt;=T228),AL228=MIN(IF(AND(I228=0,ISNUMBER(AK228),AK228&lt;=T228),AK228,9000000000000000),IF(AND(J228=0,ISNUMBER(AL228),AL228&lt;=T228),AL228,9000000000000000),IF(AND(K228=0,ISNUMBER(AM228),AM228&lt;=T228),AM228,9000000000000000))),"HP","FP")),IF(AR228=TRUE(),"",IF(MAX(IF(AND(NOT(AND(AO228=1,AN228&lt;&gt;1)),ISNUMBER(AG228),AG228&lt;=T228),AS228,0),IF(AND(NOT(AND(AO228=1,AN228&lt;&gt;1)),ISNUMBER(AH228),AH228&lt;=T228),AT228,0),IF(AND(NOT(AND(AO228=1,AN228&lt;&gt;1)),ISNUMBER(AI228),AI228&lt;=T228),AU228,0),IF(AND(ISNUMBER(AJ228),AJ228&lt;=T228),AV228,0))&lt;=0,"",IF(AND(IF(AND(NOT(AND(AO228=1,AN228&lt;&gt;1)),ISNUMBER(AG228),AG228&lt;=T228),AS228,0)&gt;0,IF(AND(NOT(AND(AO228=1,AN228&lt;&gt;1)),ISNUMBER(AG228),AG228&lt;=T228),AS228,0)=MAX(IF(AND(NOT(AND(AO228=1,AN228&lt;&gt;1)),ISNUMBER(AG228),AG228&lt;=T228),AS228,0),IF(AND(NOT(AND(AO228=1,AN228&lt;&gt;1)),ISNUMBER(AH228),AH228&lt;=T228),AT228,0),IF(AND(NOT(AND(AO228=1,AN228&lt;&gt;1)),ISNUMBER(AI228),AI228&lt;=T228),AU228,0),IF(AND(ISNUMBER(AJ228),AJ228&lt;=T228),AV228,0))),"SW",IF(AND(IF(AND(NOT(AND(AO228=1,AN228&lt;&gt;1)),ISNUMBER(AH228),AH228&lt;=T228),AT228,0)&gt;0,IF(AND(NOT(AND(AO228=1,AN228&lt;&gt;1)),ISNUMBER(AH228),AH228&lt;=T228),AT228,0)=MAX(IF(AND(NOT(AND(AO228=1,AN228&lt;&gt;1)),ISNUMBER(AG228),AG228&lt;=T228),AS228,0),IF(AND(NOT(AND(AO228=1,AN228&lt;&gt;1)),ISNUMBER(AH228),AH228&lt;=T228),AT228,0),IF(AND(NOT(AND(AO228=1,AN228&lt;&gt;1)),ISNUMBER(AI228),AI228&lt;=T228),AU228,0),IF(AND(ISNUMBER(AJ228),AJ228&lt;=T228),AV228,0))),"AB",IF(AND(IF(AND(NOT(AND(AO228=1,AN228&lt;&gt;1)),ISNUMBER(AI228),AI228&lt;=T228),AU228,0)&gt;0,IF(AND(NOT(AND(AO228=1,AN228&lt;&gt;1)),ISNUMBER(AI228),AI228&lt;=T228),AU228,0)=MAX(IF(AND(NOT(AND(AO228=1,AN228&lt;&gt;1)),ISNUMBER(AG228),AG228&lt;=T228),AS228,0),IF(AND(NOT(AND(AO228=1,AN228&lt;&gt;1)),ISNUMBER(AH228),AH228&lt;=T228),AT228,0),IF(AND(NOT(AND(AO228=1,AN228&lt;&gt;1)),ISNUMBER(AI228),AI228&lt;=T228),AU228,0),IF(AND(ISNUMBER(AJ228),AJ228&lt;=T228),AV228,0))),"SC","Mag")))))))</f>
        <v/>
      </c>
    </row>
    <row r="229" customFormat="false" ht="15" hidden="false" customHeight="false" outlineLevel="0" collapsed="false">
      <c r="A229" s="26" t="n">
        <v>224</v>
      </c>
      <c r="B229" s="27" t="n">
        <f aca="false">A229*10/60</f>
        <v>37.3333333333333</v>
      </c>
      <c r="C229" s="21" t="n">
        <f aca="false">X228</f>
        <v>18.6730249835055</v>
      </c>
      <c r="D229" s="27" t="n">
        <f aca="false">D228+W228</f>
        <v>0</v>
      </c>
      <c r="E229" s="26" t="n">
        <f aca="false">E228+IF(U228="SW",1,0)</f>
        <v>12</v>
      </c>
      <c r="F229" s="26" t="n">
        <f aca="false">F228+IF(U228="AB",1,0)</f>
        <v>10</v>
      </c>
      <c r="G229" s="26" t="n">
        <f aca="false">G228+IF(U228="SC",1,0)</f>
        <v>7</v>
      </c>
      <c r="H229" s="26" t="n">
        <f aca="false">H228+IF(U228="Mag",1,0)</f>
        <v>5</v>
      </c>
      <c r="I229" s="26" t="n">
        <f aca="false">MAX(I228,IF(U228="OR",1,0))</f>
        <v>1</v>
      </c>
      <c r="J229" s="26" t="n">
        <f aca="false">MAX(J228,IF(U228="HP",1,0))</f>
        <v>1</v>
      </c>
      <c r="K229" s="26" t="n">
        <f aca="false">MAX(K228,IF(U228="FP",1,0))</f>
        <v>1</v>
      </c>
      <c r="L229" s="26" t="n">
        <f aca="false">MAX(L228,IF(U228="transition",1,0))</f>
        <v>1</v>
      </c>
      <c r="M229" s="28" t="n">
        <f aca="false">(Parameters!$B$9+(IF(E229=0,0,(Upgrades!$J$6+E229*Upgrades!$K$6)*POWER(Upgrades!$L$6,E229)))*(IF(Upgrades!$T$7="Solar Wind",POWER(Upgrades!$U$7,F229),1)*IF(Upgrades!$T$8="Solar Wind",POWER(Upgrades!$U$8,G229),1)*IF(Upgrades!$T$9="Solar Wind",POWER(Upgrades!$U$9,H229),1)*IF(Upgrades!$T$10="Solar Wind",POWER(Upgrades!$U$10,I229),1)*IF(Upgrades!$T$11="Solar Wind",POWER(Upgrades!$U$11,J229),1)*IF(Upgrades!$T$12="Solar Wind",POWER(Upgrades!$U$12,K229),1))+(IF(F229=0,0,(Upgrades!$J$7+F229*Upgrades!$K$7)*POWER(Upgrades!$L$7,F229)))*(IF(Upgrades!$T$6="Asteroid Belt",POWER(Upgrades!$U$6,E229),1)*IF(Upgrades!$T$8="Asteroid Belt",POWER(Upgrades!$U$8,G229),1)*IF(Upgrades!$T$9="Asteroid Belt",POWER(Upgrades!$U$9,H229),1)*IF(Upgrades!$T$10="Asteroid Belt",POWER(Upgrades!$U$10,I229),1)*IF(Upgrades!$T$11="Asteroid Belt",POWER(Upgrades!$U$11,J229),1)*IF(Upgrades!$T$12="Asteroid Belt",POWER(Upgrades!$U$12,K229),1))+(IF(G229=0,0,(Upgrades!$J$8+G229*Upgrades!$K$8)*POWER(Upgrades!$L$8,G229)))*(IF(Upgrades!$T$6="Stellar Coupling",POWER(Upgrades!$U$6,E229),1)*IF(Upgrades!$T$7="Stellar Coupling",POWER(Upgrades!$U$7,F229),1)*IF(Upgrades!$T$9="Stellar Coupling",POWER(Upgrades!$U$9,H229),1)*IF(Upgrades!$T$10="Stellar Coupling",POWER(Upgrades!$U$10,I229),1)*IF(Upgrades!$T$11="Stellar Coupling",POWER(Upgrades!$U$11,J229),1)*IF(Upgrades!$T$12="Stellar Coupling",POWER(Upgrades!$U$12,K229),1))+(IF(H229=0,0,(Upgrades!$J$9+H229*Upgrades!$K$9)*POWER(Upgrades!$L$9,H229)))*(IF(Upgrades!$T$6="Magnetosphere",POWER(Upgrades!$U$6,E229),1)*IF(Upgrades!$T$7="Magnetosphere",POWER(Upgrades!$U$7,F229),1)*IF(Upgrades!$T$8="Magnetosphere",POWER(Upgrades!$U$8,G229),1)*IF(Upgrades!$T$10="Magnetosphere",POWER(Upgrades!$U$10,I229),1)*IF(Upgrades!$T$11="Magnetosphere",POWER(Upgrades!$U$11,J229),1)*IF(Upgrades!$T$12="Magnetosphere",POWER(Upgrades!$U$12,K229),1))+(IF(I229=0,0,(Upgrades!$J$10+I229*Upgrades!$K$10)*POWER(Upgrades!$L$10,I229)))*(IF(Upgrades!$T$6="Orbital Resonance",POWER(Upgrades!$U$6,E229),1)*IF(Upgrades!$T$7="Orbital Resonance",POWER(Upgrades!$U$7,F229),1)*IF(Upgrades!$T$8="Orbital Resonance",POWER(Upgrades!$U$8,G229),1)*IF(Upgrades!$T$9="Orbital Resonance",POWER(Upgrades!$U$9,H229),1)*IF(Upgrades!$T$11="Orbital Resonance",POWER(Upgrades!$U$11,J229),1)*IF(Upgrades!$T$12="Orbital Resonance",POWER(Upgrades!$U$12,K229),1))+(IF(J229=0,0,(Upgrades!$J$11+J229*Upgrades!$K$11)*POWER(Upgrades!$L$11,J229)))*(IF(Upgrades!$T$6="Heliopause",POWER(Upgrades!$U$6,E229),1)*IF(Upgrades!$T$7="Heliopause",POWER(Upgrades!$U$7,F229),1)*IF(Upgrades!$T$8="Heliopause",POWER(Upgrades!$U$8,G229),1)*IF(Upgrades!$T$9="Heliopause",POWER(Upgrades!$U$9,H229),1)*IF(Upgrades!$T$10="Heliopause",POWER(Upgrades!$U$10,I229),1)*IF(Upgrades!$T$12="Heliopause",POWER(Upgrades!$U$12,K229),1))+(IF(K229=0,0,(Upgrades!$J$12+K229*Upgrades!$K$12)*POWER(Upgrades!$L$12,K229)))*(IF(Upgrades!$T$6="First Photons",POWER(Upgrades!$U$6,E229),1)*IF(Upgrades!$T$7="First Photons",POWER(Upgrades!$U$7,F229),1)*IF(Upgrades!$T$8="First Photons",POWER(Upgrades!$U$8,G229),1)*IF(Upgrades!$T$9="First Photons",POWER(Upgrades!$U$9,H229),1)*IF(Upgrades!$T$10="First Photons",POWER(Upgrades!$U$10,I229),1)*IF(Upgrades!$T$11="First Photons",POWER(Upgrades!$U$11,J229),1)))*POWER(Upgrades!$Q$6,E229)*POWER(Upgrades!$Q$7,F229)*POWER(Upgrades!$Q$8,G229)*POWER(Upgrades!$Q$9,H229)*POWER(Upgrades!$Q$10,I229)*POWER(Upgrades!$Q$11,J229)*POWER(Upgrades!$Q$12,K229)</f>
        <v>5.61</v>
      </c>
      <c r="N229" s="28" t="n">
        <f aca="false">((IF(E229=0,0,(Upgrades!$G$6+E229*Upgrades!$H$6)*POWER(Upgrades!$I$6,E229)))*(IF(Upgrades!$T$7="Solar Wind",POWER(Upgrades!$U$7,F229),1)*IF(Upgrades!$T$8="Solar Wind",POWER(Upgrades!$U$8,G229),1)*IF(Upgrades!$T$9="Solar Wind",POWER(Upgrades!$U$9,H229),1)*IF(Upgrades!$T$10="Solar Wind",POWER(Upgrades!$U$10,I229),1)*IF(Upgrades!$T$11="Solar Wind",POWER(Upgrades!$U$11,J229),1)*IF(Upgrades!$T$12="Solar Wind",POWER(Upgrades!$U$12,K229),1))+(IF(F229=0,0,(Upgrades!$G$7+F229*Upgrades!$H$7)*POWER(Upgrades!$I$7,F229)))*(IF(Upgrades!$T$6="Asteroid Belt",POWER(Upgrades!$U$6,E229),1)*IF(Upgrades!$T$8="Asteroid Belt",POWER(Upgrades!$U$8,G229),1)*IF(Upgrades!$T$9="Asteroid Belt",POWER(Upgrades!$U$9,H229),1)*IF(Upgrades!$T$10="Asteroid Belt",POWER(Upgrades!$U$10,I229),1)*IF(Upgrades!$T$11="Asteroid Belt",POWER(Upgrades!$U$11,J229),1)*IF(Upgrades!$T$12="Asteroid Belt",POWER(Upgrades!$U$12,K229),1))+(IF(G229=0,0,(Upgrades!$G$8+G229*Upgrades!$H$8)*POWER(Upgrades!$I$8,G229)))*(IF(Upgrades!$T$6="Stellar Coupling",POWER(Upgrades!$U$6,E229),1)*IF(Upgrades!$T$7="Stellar Coupling",POWER(Upgrades!$U$7,F229),1)*IF(Upgrades!$T$9="Stellar Coupling",POWER(Upgrades!$U$9,H229),1)*IF(Upgrades!$T$10="Stellar Coupling",POWER(Upgrades!$U$10,I229),1)*IF(Upgrades!$T$11="Stellar Coupling",POWER(Upgrades!$U$11,J229),1)*IF(Upgrades!$T$12="Stellar Coupling",POWER(Upgrades!$U$12,K229),1))+(IF(H229=0,0,(Upgrades!$G$9+H229*Upgrades!$H$9)*POWER(Upgrades!$I$9,H229)))*(IF(Upgrades!$T$6="Magnetosphere",POWER(Upgrades!$U$6,E229),1)*IF(Upgrades!$T$7="Magnetosphere",POWER(Upgrades!$U$7,F229),1)*IF(Upgrades!$T$8="Magnetosphere",POWER(Upgrades!$U$8,G229),1)*IF(Upgrades!$T$10="Magnetosphere",POWER(Upgrades!$U$10,I229),1)*IF(Upgrades!$T$11="Magnetosphere",POWER(Upgrades!$U$11,J229),1)*IF(Upgrades!$T$12="Magnetosphere",POWER(Upgrades!$U$12,K229),1))+(IF(I229=0,0,(Upgrades!$G$10+I229*Upgrades!$H$10)*POWER(Upgrades!$I$10,I229)))*(IF(Upgrades!$T$6="Orbital Resonance",POWER(Upgrades!$U$6,E229),1)*IF(Upgrades!$T$7="Orbital Resonance",POWER(Upgrades!$U$7,F229),1)*IF(Upgrades!$T$8="Orbital Resonance",POWER(Upgrades!$U$8,G229),1)*IF(Upgrades!$T$9="Orbital Resonance",POWER(Upgrades!$U$9,H229),1)*IF(Upgrades!$T$11="Orbital Resonance",POWER(Upgrades!$U$11,J229),1)*IF(Upgrades!$T$12="Orbital Resonance",POWER(Upgrades!$U$12,K229),1))+(IF(J229=0,0,(Upgrades!$G$11+J229*Upgrades!$H$11)*POWER(Upgrades!$I$11,J229)))*(IF(Upgrades!$T$6="Heliopause",POWER(Upgrades!$U$6,E229),1)*IF(Upgrades!$T$7="Heliopause",POWER(Upgrades!$U$7,F229),1)*IF(Upgrades!$T$8="Heliopause",POWER(Upgrades!$U$8,G229),1)*IF(Upgrades!$T$9="Heliopause",POWER(Upgrades!$U$9,H229),1)*IF(Upgrades!$T$10="Heliopause",POWER(Upgrades!$U$10,I229),1)*IF(Upgrades!$T$12="Heliopause",POWER(Upgrades!$U$12,K229),1))+(IF(K229=0,0,(Upgrades!$G$12+K229*Upgrades!$H$12)*POWER(Upgrades!$I$12,K229)))*(IF(Upgrades!$T$6="First Photons",POWER(Upgrades!$U$6,E229),1)*IF(Upgrades!$T$7="First Photons",POWER(Upgrades!$U$7,F229),1)*IF(Upgrades!$T$8="First Photons",POWER(Upgrades!$U$8,G229),1)*IF(Upgrades!$T$9="First Photons",POWER(Upgrades!$U$9,H229),1)*IF(Upgrades!$T$10="First Photons",POWER(Upgrades!$U$10,I229),1)*IF(Upgrades!$T$11="First Photons",POWER(Upgrades!$U$11,J229),1)))*POWER(Upgrades!$P$6,E229)*POWER(Upgrades!$P$7,F229)*POWER(Upgrades!$P$8,G229)*POWER(Upgrades!$P$9,H229)*POWER(Upgrades!$P$10,I229)*POWER(Upgrades!$P$11,J229)*POWER(Upgrades!$P$12,K229)</f>
        <v>11.2</v>
      </c>
      <c r="O229" s="28" t="n">
        <f aca="false">((IF(E229=0,0,(Upgrades!$M$6+E229*Upgrades!$N$6)*POWER(Upgrades!$O$6,E229)))*(IF(Upgrades!$T$7="Solar Wind",POWER(Upgrades!$U$7,F229),1)*IF(Upgrades!$T$8="Solar Wind",POWER(Upgrades!$U$8,G229),1)*IF(Upgrades!$T$9="Solar Wind",POWER(Upgrades!$U$9,H229),1)*IF(Upgrades!$T$10="Solar Wind",POWER(Upgrades!$U$10,I229),1)*IF(Upgrades!$T$11="Solar Wind",POWER(Upgrades!$U$11,J229),1)*IF(Upgrades!$T$12="Solar Wind",POWER(Upgrades!$U$12,K229),1))+(IF(F229=0,0,(Upgrades!$M$7+F229*Upgrades!$N$7)*POWER(Upgrades!$O$7,F229)))*(IF(Upgrades!$T$6="Asteroid Belt",POWER(Upgrades!$U$6,E229),1)*IF(Upgrades!$T$8="Asteroid Belt",POWER(Upgrades!$U$8,G229),1)*IF(Upgrades!$T$9="Asteroid Belt",POWER(Upgrades!$U$9,H229),1)*IF(Upgrades!$T$10="Asteroid Belt",POWER(Upgrades!$U$10,I229),1)*IF(Upgrades!$T$11="Asteroid Belt",POWER(Upgrades!$U$11,J229),1)*IF(Upgrades!$T$12="Asteroid Belt",POWER(Upgrades!$U$12,K229),1))+(IF(G229=0,0,(Upgrades!$M$8+G229*Upgrades!$N$8)*POWER(Upgrades!$O$8,G229)))*(IF(Upgrades!$T$6="Stellar Coupling",POWER(Upgrades!$U$6,E229),1)*IF(Upgrades!$T$7="Stellar Coupling",POWER(Upgrades!$U$7,F229),1)*IF(Upgrades!$T$9="Stellar Coupling",POWER(Upgrades!$U$9,H229),1)*IF(Upgrades!$T$10="Stellar Coupling",POWER(Upgrades!$U$10,I229),1)*IF(Upgrades!$T$11="Stellar Coupling",POWER(Upgrades!$U$11,J229),1)*IF(Upgrades!$T$12="Stellar Coupling",POWER(Upgrades!$U$12,K229),1))+(IF(H229=0,0,(Upgrades!$M$9+H229*Upgrades!$N$9)*POWER(Upgrades!$O$9,H229)))*(IF(Upgrades!$T$6="Magnetosphere",POWER(Upgrades!$U$6,E229),1)*IF(Upgrades!$T$7="Magnetosphere",POWER(Upgrades!$U$7,F229),1)*IF(Upgrades!$T$8="Magnetosphere",POWER(Upgrades!$U$8,G229),1)*IF(Upgrades!$T$10="Magnetosphere",POWER(Upgrades!$U$10,I229),1)*IF(Upgrades!$T$11="Magnetosphere",POWER(Upgrades!$U$11,J229),1)*IF(Upgrades!$T$12="Magnetosphere",POWER(Upgrades!$U$12,K229),1))+(IF(I229=0,0,(Upgrades!$M$10+I229*Upgrades!$N$10)*POWER(Upgrades!$O$10,I229)))*(IF(Upgrades!$T$6="Orbital Resonance",POWER(Upgrades!$U$6,E229),1)*IF(Upgrades!$T$7="Orbital Resonance",POWER(Upgrades!$U$7,F229),1)*IF(Upgrades!$T$8="Orbital Resonance",POWER(Upgrades!$U$8,G229),1)*IF(Upgrades!$T$9="Orbital Resonance",POWER(Upgrades!$U$9,H229),1)*IF(Upgrades!$T$11="Orbital Resonance",POWER(Upgrades!$U$11,J229),1)*IF(Upgrades!$T$12="Orbital Resonance",POWER(Upgrades!$U$12,K229),1))+(IF(J229=0,0,(Upgrades!$M$11+J229*Upgrades!$N$11)*POWER(Upgrades!$O$11,J229)))*(IF(Upgrades!$T$6="Heliopause",POWER(Upgrades!$U$6,E229),1)*IF(Upgrades!$T$7="Heliopause",POWER(Upgrades!$U$7,F229),1)*IF(Upgrades!$T$8="Heliopause",POWER(Upgrades!$U$8,G229),1)*IF(Upgrades!$T$9="Heliopause",POWER(Upgrades!$U$9,H229),1)*IF(Upgrades!$T$10="Heliopause",POWER(Upgrades!$U$10,I229),1)*IF(Upgrades!$T$12="Heliopause",POWER(Upgrades!$U$12,K229),1))+(IF(K229=0,0,(Upgrades!$M$12+K229*Upgrades!$N$12)*POWER(Upgrades!$O$12,K229)))*(IF(Upgrades!$T$6="First Photons",POWER(Upgrades!$U$6,E229),1)*IF(Upgrades!$T$7="First Photons",POWER(Upgrades!$U$7,F229),1)*IF(Upgrades!$T$8="First Photons",POWER(Upgrades!$U$8,G229),1)*IF(Upgrades!$T$9="First Photons",POWER(Upgrades!$U$9,H229),1)*IF(Upgrades!$T$10="First Photons",POWER(Upgrades!$U$10,I229),1)*IF(Upgrades!$T$11="First Photons",POWER(Upgrades!$U$11,J229),1)))*POWER(Upgrades!$R$6,E229)*POWER(Upgrades!$R$7,F229)*POWER(Upgrades!$R$8,G229)*POWER(Upgrades!$R$9,H229)*POWER(Upgrades!$R$10,I229)*POWER(Upgrades!$R$11,J229)*POWER(Upgrades!$R$12,K229)</f>
        <v>0</v>
      </c>
      <c r="P229" s="27" t="n">
        <f aca="false">IF(L229=1,0,M229*Parameters!$B$10/60*Parameters!$B$11*10)</f>
        <v>0</v>
      </c>
      <c r="Q229" s="27" t="n">
        <f aca="false">IF(L229=1,0,O229*M229*10)</f>
        <v>0</v>
      </c>
      <c r="R229" s="27" t="n">
        <f aca="false">IF(L229=1,0,N229*10)</f>
        <v>0</v>
      </c>
      <c r="S229" s="27" t="n">
        <f aca="false">P229+Q229+R229</f>
        <v>0</v>
      </c>
      <c r="T229" s="21" t="n">
        <f aca="false">C229+S229</f>
        <v>18.6730249835055</v>
      </c>
      <c r="U229" s="34" t="str">
        <f aca="false">AX229</f>
        <v/>
      </c>
      <c r="V229" s="21" t="n">
        <f aca="false">IF(U229="",0,IF(U229="transition",0,IF(U229="SW",AG229,IF(U229="AB",AH229,IF(U229="SC",AI229,IF(U229="Mag",AJ229,IF(U229="OR",AK229,IF(U229="HP",AL229,IF(U229="FP",AM229,0)))))))))</f>
        <v>0</v>
      </c>
      <c r="W229" s="27" t="n">
        <f aca="false">IF(U229="OR",Upgrades!$F$10,IF(U229="HP",Upgrades!$F$11,IF(U229="transition",-Parameters!$B$18,0)))</f>
        <v>0</v>
      </c>
      <c r="X229" s="21" t="n">
        <f aca="false">T229-V229</f>
        <v>18.6730249835055</v>
      </c>
      <c r="Y229" s="30" t="n">
        <f aca="false">M229*Parameters!$B$10/60*Parameters!$B$11+O229*M229+N229</f>
        <v>20.55</v>
      </c>
      <c r="Z229" s="35" t="str">
        <f aca="false">IF(U229="transition","→ Tier 2 (Stellar Neighborhood)",IF(U229="FP","First Photons — light begins, system quickens",IF(U229="HP","Heliopause acquired",IF(U229="OR","Orbital Resonance — passive multiplier active",IF(AND(AO229=1,L229=0,AN229&lt;&gt;1),"Cohesion ready (waiting on completionist upgrades)","")))))</f>
        <v/>
      </c>
      <c r="AA229" s="27" t="n">
        <f aca="false">(IF(E229=0,0,(Upgrades!$G$6+E229*Upgrades!$H$6)*POWER(Upgrades!$I$6,E229)))*(IF(Upgrades!$T$7="Solar Wind",POWER(Upgrades!$U$7,F229),1)*IF(Upgrades!$T$8="Solar Wind",POWER(Upgrades!$U$8,G229),1)*IF(Upgrades!$T$9="Solar Wind",POWER(Upgrades!$U$9,H229),1)*IF(Upgrades!$T$10="Solar Wind",POWER(Upgrades!$U$10,I229),1)*IF(Upgrades!$T$11="Solar Wind",POWER(Upgrades!$U$11,J229),1)*IF(Upgrades!$T$12="Solar Wind",POWER(Upgrades!$U$12,K229),1))*POWER(Upgrades!$P$6,E229)*POWER(Upgrades!$P$7,F229)*POWER(Upgrades!$P$8,G229)*POWER(Upgrades!$P$9,H229)*POWER(Upgrades!$P$10,I229)*POWER(Upgrades!$P$11,J229)*POWER(Upgrades!$P$12,K229)*60</f>
        <v>72</v>
      </c>
      <c r="AB229" s="27" t="n">
        <f aca="false">(IF(F229=0,0,(Upgrades!$G$7+F229*Upgrades!$H$7)*POWER(Upgrades!$I$7,F229)))*(IF(Upgrades!$T$6="Asteroid Belt",POWER(Upgrades!$U$6,E229),1)*IF(Upgrades!$T$8="Asteroid Belt",POWER(Upgrades!$U$8,G229),1)*IF(Upgrades!$T$9="Asteroid Belt",POWER(Upgrades!$U$9,H229),1)*IF(Upgrades!$T$10="Asteroid Belt",POWER(Upgrades!$U$10,I229),1)*IF(Upgrades!$T$11="Asteroid Belt",POWER(Upgrades!$U$11,J229),1)*IF(Upgrades!$T$12="Asteroid Belt",POWER(Upgrades!$U$12,K229),1))*POWER(Upgrades!$P$6,E229)*POWER(Upgrades!$P$7,F229)*POWER(Upgrades!$P$8,G229)*POWER(Upgrades!$P$9,H229)*POWER(Upgrades!$P$10,I229)*POWER(Upgrades!$P$11,J229)*POWER(Upgrades!$P$12,K229)*60</f>
        <v>150</v>
      </c>
      <c r="AC229" s="27" t="n">
        <f aca="false">(IF(G229=0,0,(Upgrades!$J$8+G229*Upgrades!$K$8)*POWER(Upgrades!$L$8,G229)))*(IF(Upgrades!$T$6="Stellar Coupling",POWER(Upgrades!$U$6,E229),1)*IF(Upgrades!$T$7="Stellar Coupling",POWER(Upgrades!$U$7,F229),1)*IF(Upgrades!$T$9="Stellar Coupling",POWER(Upgrades!$U$9,H229),1)*IF(Upgrades!$T$10="Stellar Coupling",POWER(Upgrades!$U$10,I229),1)*IF(Upgrades!$T$11="Stellar Coupling",POWER(Upgrades!$U$11,J229),1)*IF(Upgrades!$T$12="Stellar Coupling",POWER(Upgrades!$U$12,K229),1))*POWER(Upgrades!$Q$6,E229)*POWER(Upgrades!$Q$7,F229)*POWER(Upgrades!$Q$8,G229)*POWER(Upgrades!$Q$9,H229)*POWER(Upgrades!$Q$10,I229)*POWER(Upgrades!$Q$11,J229)*POWER(Upgrades!$Q$12,K229)*Parameters!$B$10*Parameters!$B$11</f>
        <v>441</v>
      </c>
      <c r="AD229" s="27" t="n">
        <f aca="false">(IF(H229=0,0,(Upgrades!$G$9+H229*Upgrades!$H$9)*POWER(Upgrades!$I$9,H229)))*(IF(Upgrades!$T$6="Magnetosphere",POWER(Upgrades!$U$6,E229),1)*IF(Upgrades!$T$7="Magnetosphere",POWER(Upgrades!$U$7,F229),1)*IF(Upgrades!$T$8="Magnetosphere",POWER(Upgrades!$U$8,G229),1)*IF(Upgrades!$T$10="Magnetosphere",POWER(Upgrades!$U$10,I229),1)*IF(Upgrades!$T$11="Magnetosphere",POWER(Upgrades!$U$11,J229),1)*IF(Upgrades!$T$12="Magnetosphere",POWER(Upgrades!$U$12,K229),1))*POWER(Upgrades!$P$6,E229)*POWER(Upgrades!$P$7,F229)*POWER(Upgrades!$P$8,G229)*POWER(Upgrades!$P$9,H229)*POWER(Upgrades!$P$10,I229)*POWER(Upgrades!$P$11,J229)*POWER(Upgrades!$P$12,K229)*60</f>
        <v>375</v>
      </c>
      <c r="AE229" s="27" t="n">
        <f aca="false">(IF(K229=0,0,(Upgrades!$G$12+K229*Upgrades!$H$12)*POWER(Upgrades!$I$12,K229)))*(IF(Upgrades!$T$6="First Photons",POWER(Upgrades!$U$6,E229),1)*IF(Upgrades!$T$7="First Photons",POWER(Upgrades!$U$7,F229),1)*IF(Upgrades!$T$8="First Photons",POWER(Upgrades!$U$8,G229),1)*IF(Upgrades!$T$9="First Photons",POWER(Upgrades!$U$9,H229),1)*IF(Upgrades!$T$10="First Photons",POWER(Upgrades!$U$10,I229),1)*IF(Upgrades!$T$11="First Photons",POWER(Upgrades!$U$11,J229),1))*POWER(Upgrades!$P$6,E229)*POWER(Upgrades!$P$7,F229)*POWER(Upgrades!$P$8,G229)*POWER(Upgrades!$P$9,H229)*POWER(Upgrades!$P$10,I229)*POWER(Upgrades!$P$11,J229)*POWER(Upgrades!$P$12,K229)*60</f>
        <v>75</v>
      </c>
      <c r="AF229" s="27" t="n">
        <f aca="false">Parameters!$B$9*POWER(Upgrades!$Q$6,E229)*POWER(Upgrades!$Q$7,F229)*POWER(Upgrades!$Q$8,G229)*POWER(Upgrades!$Q$9,H229)*POWER(Upgrades!$Q$10,I229)*POWER(Upgrades!$Q$11,J229)*POWER(Upgrades!$Q$12,K229)*(Parameters!$B$10*Parameters!$B$11+O229*60)</f>
        <v>120</v>
      </c>
      <c r="AG229" s="21" t="n">
        <f aca="false">IF(E229&gt;=Upgrades!$E$6,"",Upgrades!$C$6*POWER(Upgrades!$D$6,E229))</f>
        <v>37.4517507383159</v>
      </c>
      <c r="AH229" s="21" t="n">
        <f aca="false">IF(F229&gt;=Upgrades!$E$7,"",Upgrades!$C$7*POWER(Upgrades!$D$7,F229))</f>
        <v>80.9111547141581</v>
      </c>
      <c r="AI229" s="21" t="n">
        <f aca="false">IF(G229&gt;=Upgrades!$E$8,"",Upgrades!$C$8*POWER(Upgrades!$D$8,G229))</f>
        <v>231.9097088</v>
      </c>
      <c r="AJ229" s="21" t="str">
        <f aca="false">IF(H229&gt;=Upgrades!$E$9,"",Upgrades!$C$9*POWER(Upgrades!$D$9,H229))</f>
        <v/>
      </c>
      <c r="AK229" s="21" t="str">
        <f aca="false">IF(I229&gt;=Upgrades!$E$10,"",Upgrades!$C$10*POWER(Upgrades!$D$10,I229))</f>
        <v/>
      </c>
      <c r="AL229" s="21" t="str">
        <f aca="false">IF(J229&gt;=Upgrades!$E$11,"",Upgrades!$C$11*POWER(Upgrades!$D$11,J229))</f>
        <v/>
      </c>
      <c r="AM229" s="21" t="str">
        <f aca="false">IF(K229&gt;=Upgrades!$E$12,"",Upgrades!$C$12*POWER(Upgrades!$D$12,K229))</f>
        <v/>
      </c>
      <c r="AN229" s="26" t="str">
        <f aca="false">IF(AND(D229&gt;=Parameters!$B$18,(H229&gt;=Upgrades!$E$9)*(K229&gt;=Upgrades!$E$12)=1,L229=0),1,"")</f>
        <v/>
      </c>
      <c r="AO229" s="26" t="str">
        <f aca="false">IF(AND(D229&gt;=Parameters!$B$18,L229=0),1,"")</f>
        <v/>
      </c>
      <c r="AP229" s="21" t="n">
        <f aca="false">MIN(IF(ISNUMBER(AK229),AK229,9000000000000000),IF(ISNUMBER(AL229),AL229,9000000000000000),IF(ISNUMBER(AM229),AM229,9000000000000000))</f>
        <v>9000000000000000</v>
      </c>
      <c r="AQ229" s="21" t="n">
        <f aca="false">MIN(IF(ISNUMBER(AG229),AG229,9000000000000000),IF(ISNUMBER(AH229),AH229,9000000000000000),IF(ISNUMBER(AI229),AI229,9000000000000000),IF(ISNUMBER(AJ229),AJ229,9000000000000000))</f>
        <v>37.4517507383159</v>
      </c>
      <c r="AR229" s="32" t="b">
        <f aca="false">IF(AW229&gt;Parameters!$B$21*(MAX(IF(AND(NOT(AND(AO229=1,AN229&lt;&gt;1)),ISNUMBER(AG229),AG229&lt;=T229),AS229,0),IF(AND(NOT(AND(AO229=1,AN229&lt;&gt;1)),ISNUMBER(AH229),AH229&lt;=T229),AT229,0),IF(AND(NOT(AND(AO229=1,AN229&lt;&gt;1)),ISNUMBER(AI229),AI229&lt;=T229),AU229,0),IF(AND(ISNUMBER(AJ229),AJ229&lt;=T229),AV229,0))),TRUE(),FALSE())</f>
        <v>1</v>
      </c>
      <c r="AS229" s="33" t="n">
        <f aca="false">IFERROR(Upgrades!$H$6*(POWER(Upgrades!$P$6,E229)*POWER(Upgrades!$P$7,F229)*POWER(Upgrades!$P$8,G229)*POWER(Upgrades!$P$9,H229)*POWER(Upgrades!$P$10,I229)*POWER(Upgrades!$P$11,J229)*POWER(Upgrades!$P$12,K229))*(IF(Upgrades!$T$7="Solar Wind",POWER(Upgrades!$U$7,F229),1)*IF(Upgrades!$T$8="Solar Wind",POWER(Upgrades!$U$8,G229),1)*IF(Upgrades!$T$9="Solar Wind",POWER(Upgrades!$U$9,H229),1)*IF(Upgrades!$T$10="Solar Wind",POWER(Upgrades!$U$10,I229),1)*IF(Upgrades!$T$11="Solar Wind",POWER(Upgrades!$U$11,J229),1)*IF(Upgrades!$T$12="Solar Wind",POWER(Upgrades!$U$12,K229),1))/AG229,0)</f>
        <v>0.0026701021455238</v>
      </c>
      <c r="AT229" s="33" t="n">
        <f aca="false">IFERROR(Upgrades!$H$7*(POWER(Upgrades!$P$6,E229)*POWER(Upgrades!$P$7,F229)*POWER(Upgrades!$P$8,G229)*POWER(Upgrades!$P$9,H229)*POWER(Upgrades!$P$10,I229)*POWER(Upgrades!$P$11,J229)*POWER(Upgrades!$P$12,K229))*(IF(Upgrades!$T$6="Asteroid Belt",POWER(Upgrades!$U$6,E229),1)*IF(Upgrades!$T$8="Asteroid Belt",POWER(Upgrades!$U$8,G229),1)*IF(Upgrades!$T$9="Asteroid Belt",POWER(Upgrades!$U$9,H229),1)*IF(Upgrades!$T$10="Asteroid Belt",POWER(Upgrades!$U$10,I229),1)*IF(Upgrades!$T$11="Asteroid Belt",POWER(Upgrades!$U$11,J229),1)*IF(Upgrades!$T$12="Asteroid Belt",POWER(Upgrades!$U$12,K229),1))/AH229,0)</f>
        <v>0.00308980882652332</v>
      </c>
      <c r="AU229" s="33" t="n">
        <f aca="false">IFERROR(Upgrades!$K$8*(POWER(Upgrades!$Q$6,E229)*POWER(Upgrades!$Q$7,F229)*POWER(Upgrades!$Q$8,G229)*POWER(Upgrades!$Q$9,H229)*POWER(Upgrades!$Q$10,I229)*POWER(Upgrades!$Q$11,J229)*POWER(Upgrades!$Q$12,K229))*(IF(Upgrades!$T$6="Stellar Coupling",POWER(Upgrades!$U$6,E229),1)*IF(Upgrades!$T$7="Stellar Coupling",POWER(Upgrades!$U$7,F229),1)*IF(Upgrades!$T$9="Stellar Coupling",POWER(Upgrades!$U$9,H229),1)*IF(Upgrades!$T$10="Stellar Coupling",POWER(Upgrades!$U$10,I229),1)*IF(Upgrades!$T$11="Stellar Coupling",POWER(Upgrades!$U$11,J229),1)*IF(Upgrades!$T$12="Stellar Coupling",POWER(Upgrades!$U$12,K229),1))*Parameters!$B$10*Parameters!$B$11/60/AI229,0)</f>
        <v>0.00452762415783776</v>
      </c>
      <c r="AV229" s="33" t="n">
        <f aca="false">IFERROR(Upgrades!$H$9*(POWER(Upgrades!$P$6,E229)*POWER(Upgrades!$P$7,F229)*POWER(Upgrades!$P$8,G229)*POWER(Upgrades!$P$9,H229)*POWER(Upgrades!$P$10,I229)*POWER(Upgrades!$P$11,J229)*POWER(Upgrades!$P$12,K229))*(IF(Upgrades!$T$6="Magnetosphere",POWER(Upgrades!$U$6,E229),1)*IF(Upgrades!$T$7="Magnetosphere",POWER(Upgrades!$U$7,F229),1)*IF(Upgrades!$T$8="Magnetosphere",POWER(Upgrades!$U$8,G229),1)*IF(Upgrades!$T$10="Magnetosphere",POWER(Upgrades!$U$10,I229),1)*IF(Upgrades!$T$11="Magnetosphere",POWER(Upgrades!$U$11,J229),1)*IF(Upgrades!$T$12="Magnetosphere",POWER(Upgrades!$U$12,K229),1))/AJ229,0)</f>
        <v>0</v>
      </c>
      <c r="AW229" s="33" t="n">
        <f aca="false">MAX(IF(I229&gt;0,0,IFERROR(0.25*N229/Upgrades!$C$10,0)),IF(J229&gt;0,0,IFERROR(0.5*((IF(G229=0,0,(Upgrades!$J$8+G229*Upgrades!$K$8)*POWER(Upgrades!$L$8,G229)))*(IF(Upgrades!$T$6="Stellar Coupling",POWER(Upgrades!$U$6,E229),1)*IF(Upgrades!$T$7="Stellar Coupling",POWER(Upgrades!$U$7,F229),1)*IF(Upgrades!$T$9="Stellar Coupling",POWER(Upgrades!$U$9,H229),1)*IF(Upgrades!$T$10="Stellar Coupling",POWER(Upgrades!$U$10,I229),1)*IF(Upgrades!$T$11="Stellar Coupling",POWER(Upgrades!$U$11,J229),1)*IF(Upgrades!$T$12="Stellar Coupling",POWER(Upgrades!$U$12,K229),1))*(POWER(Upgrades!$Q$6,E229)*POWER(Upgrades!$Q$7,F229)*POWER(Upgrades!$Q$8,G229)*POWER(Upgrades!$Q$9,H229)*POWER(Upgrades!$Q$10,I229)*POWER(Upgrades!$Q$11,J229)*POWER(Upgrades!$Q$12,K229))*Parameters!$B$10*Parameters!$B$11/60)/Upgrades!$C$11,0)),IF(K229&gt;0,0,IFERROR((1*(POWER(Upgrades!$P$6,E229)*POWER(Upgrades!$P$7,F229)*POWER(Upgrades!$P$8,G229)*POWER(Upgrades!$P$9,H229)*POWER(Upgrades!$P$10,I229)*POWER(Upgrades!$P$11,J229)*POWER(Upgrades!$P$12,K229))+0.2*M229*Parameters!$B$10*Parameters!$B$11/60)/Upgrades!$C$12,0)),IF(AND(ISNUMBER(AG229),AG229&gt;T229),AS229,0),IF(AND(ISNUMBER(AH229),AH229&gt;T229),AT229,0),IF(AND(ISNUMBER(AI229),AI229&gt;T229),AU229,0),IF(AND(ISNUMBER(AJ229),AJ229&gt;T229),AV229,0))</f>
        <v>0.00452762415783776</v>
      </c>
      <c r="AX229" s="29" t="str">
        <f aca="false">IF(AN229=1,"transition",IF(MIN(IF(AND(I229=0,ISNUMBER(AK229),AK229&lt;=T229),AK229,9000000000000000),IF(AND(J229=0,ISNUMBER(AL229),AL229&lt;=T229),AL229,9000000000000000),IF(AND(K229=0,ISNUMBER(AM229),AM229&lt;=T229),AM229,9000000000000000))&lt;9000000000000000,IF(AND(AND(I229=0,ISNUMBER(AK229),AK229&lt;=T229),AK229=MIN(IF(AND(I229=0,ISNUMBER(AK229),AK229&lt;=T229),AK229,9000000000000000),IF(AND(J229=0,ISNUMBER(AL229),AL229&lt;=T229),AL229,9000000000000000),IF(AND(K229=0,ISNUMBER(AM229),AM229&lt;=T229),AM229,9000000000000000))),"OR",IF(AND(AND(J229=0,ISNUMBER(AL229),AL229&lt;=T229),AL229=MIN(IF(AND(I229=0,ISNUMBER(AK229),AK229&lt;=T229),AK229,9000000000000000),IF(AND(J229=0,ISNUMBER(AL229),AL229&lt;=T229),AL229,9000000000000000),IF(AND(K229=0,ISNUMBER(AM229),AM229&lt;=T229),AM229,9000000000000000))),"HP","FP")),IF(AR229=TRUE(),"",IF(MAX(IF(AND(NOT(AND(AO229=1,AN229&lt;&gt;1)),ISNUMBER(AG229),AG229&lt;=T229),AS229,0),IF(AND(NOT(AND(AO229=1,AN229&lt;&gt;1)),ISNUMBER(AH229),AH229&lt;=T229),AT229,0),IF(AND(NOT(AND(AO229=1,AN229&lt;&gt;1)),ISNUMBER(AI229),AI229&lt;=T229),AU229,0),IF(AND(ISNUMBER(AJ229),AJ229&lt;=T229),AV229,0))&lt;=0,"",IF(AND(IF(AND(NOT(AND(AO229=1,AN229&lt;&gt;1)),ISNUMBER(AG229),AG229&lt;=T229),AS229,0)&gt;0,IF(AND(NOT(AND(AO229=1,AN229&lt;&gt;1)),ISNUMBER(AG229),AG229&lt;=T229),AS229,0)=MAX(IF(AND(NOT(AND(AO229=1,AN229&lt;&gt;1)),ISNUMBER(AG229),AG229&lt;=T229),AS229,0),IF(AND(NOT(AND(AO229=1,AN229&lt;&gt;1)),ISNUMBER(AH229),AH229&lt;=T229),AT229,0),IF(AND(NOT(AND(AO229=1,AN229&lt;&gt;1)),ISNUMBER(AI229),AI229&lt;=T229),AU229,0),IF(AND(ISNUMBER(AJ229),AJ229&lt;=T229),AV229,0))),"SW",IF(AND(IF(AND(NOT(AND(AO229=1,AN229&lt;&gt;1)),ISNUMBER(AH229),AH229&lt;=T229),AT229,0)&gt;0,IF(AND(NOT(AND(AO229=1,AN229&lt;&gt;1)),ISNUMBER(AH229),AH229&lt;=T229),AT229,0)=MAX(IF(AND(NOT(AND(AO229=1,AN229&lt;&gt;1)),ISNUMBER(AG229),AG229&lt;=T229),AS229,0),IF(AND(NOT(AND(AO229=1,AN229&lt;&gt;1)),ISNUMBER(AH229),AH229&lt;=T229),AT229,0),IF(AND(NOT(AND(AO229=1,AN229&lt;&gt;1)),ISNUMBER(AI229),AI229&lt;=T229),AU229,0),IF(AND(ISNUMBER(AJ229),AJ229&lt;=T229),AV229,0))),"AB",IF(AND(IF(AND(NOT(AND(AO229=1,AN229&lt;&gt;1)),ISNUMBER(AI229),AI229&lt;=T229),AU229,0)&gt;0,IF(AND(NOT(AND(AO229=1,AN229&lt;&gt;1)),ISNUMBER(AI229),AI229&lt;=T229),AU229,0)=MAX(IF(AND(NOT(AND(AO229=1,AN229&lt;&gt;1)),ISNUMBER(AG229),AG229&lt;=T229),AS229,0),IF(AND(NOT(AND(AO229=1,AN229&lt;&gt;1)),ISNUMBER(AH229),AH229&lt;=T229),AT229,0),IF(AND(NOT(AND(AO229=1,AN229&lt;&gt;1)),ISNUMBER(AI229),AI229&lt;=T229),AU229,0),IF(AND(ISNUMBER(AJ229),AJ229&lt;=T229),AV229,0))),"SC","Mag")))))))</f>
        <v/>
      </c>
    </row>
    <row r="230" customFormat="false" ht="15" hidden="false" customHeight="false" outlineLevel="0" collapsed="false">
      <c r="A230" s="26" t="n">
        <v>225</v>
      </c>
      <c r="B230" s="27" t="n">
        <f aca="false">A230*10/60</f>
        <v>37.5</v>
      </c>
      <c r="C230" s="21" t="n">
        <f aca="false">X229</f>
        <v>18.6730249835055</v>
      </c>
      <c r="D230" s="27" t="n">
        <f aca="false">D229+W229</f>
        <v>0</v>
      </c>
      <c r="E230" s="26" t="n">
        <f aca="false">E229+IF(U229="SW",1,0)</f>
        <v>12</v>
      </c>
      <c r="F230" s="26" t="n">
        <f aca="false">F229+IF(U229="AB",1,0)</f>
        <v>10</v>
      </c>
      <c r="G230" s="26" t="n">
        <f aca="false">G229+IF(U229="SC",1,0)</f>
        <v>7</v>
      </c>
      <c r="H230" s="26" t="n">
        <f aca="false">H229+IF(U229="Mag",1,0)</f>
        <v>5</v>
      </c>
      <c r="I230" s="26" t="n">
        <f aca="false">MAX(I229,IF(U229="OR",1,0))</f>
        <v>1</v>
      </c>
      <c r="J230" s="26" t="n">
        <f aca="false">MAX(J229,IF(U229="HP",1,0))</f>
        <v>1</v>
      </c>
      <c r="K230" s="26" t="n">
        <f aca="false">MAX(K229,IF(U229="FP",1,0))</f>
        <v>1</v>
      </c>
      <c r="L230" s="26" t="n">
        <f aca="false">MAX(L229,IF(U229="transition",1,0))</f>
        <v>1</v>
      </c>
      <c r="M230" s="28" t="n">
        <f aca="false">(Parameters!$B$9+(IF(E230=0,0,(Upgrades!$J$6+E230*Upgrades!$K$6)*POWER(Upgrades!$L$6,E230)))*(IF(Upgrades!$T$7="Solar Wind",POWER(Upgrades!$U$7,F230),1)*IF(Upgrades!$T$8="Solar Wind",POWER(Upgrades!$U$8,G230),1)*IF(Upgrades!$T$9="Solar Wind",POWER(Upgrades!$U$9,H230),1)*IF(Upgrades!$T$10="Solar Wind",POWER(Upgrades!$U$10,I230),1)*IF(Upgrades!$T$11="Solar Wind",POWER(Upgrades!$U$11,J230),1)*IF(Upgrades!$T$12="Solar Wind",POWER(Upgrades!$U$12,K230),1))+(IF(F230=0,0,(Upgrades!$J$7+F230*Upgrades!$K$7)*POWER(Upgrades!$L$7,F230)))*(IF(Upgrades!$T$6="Asteroid Belt",POWER(Upgrades!$U$6,E230),1)*IF(Upgrades!$T$8="Asteroid Belt",POWER(Upgrades!$U$8,G230),1)*IF(Upgrades!$T$9="Asteroid Belt",POWER(Upgrades!$U$9,H230),1)*IF(Upgrades!$T$10="Asteroid Belt",POWER(Upgrades!$U$10,I230),1)*IF(Upgrades!$T$11="Asteroid Belt",POWER(Upgrades!$U$11,J230),1)*IF(Upgrades!$T$12="Asteroid Belt",POWER(Upgrades!$U$12,K230),1))+(IF(G230=0,0,(Upgrades!$J$8+G230*Upgrades!$K$8)*POWER(Upgrades!$L$8,G230)))*(IF(Upgrades!$T$6="Stellar Coupling",POWER(Upgrades!$U$6,E230),1)*IF(Upgrades!$T$7="Stellar Coupling",POWER(Upgrades!$U$7,F230),1)*IF(Upgrades!$T$9="Stellar Coupling",POWER(Upgrades!$U$9,H230),1)*IF(Upgrades!$T$10="Stellar Coupling",POWER(Upgrades!$U$10,I230),1)*IF(Upgrades!$T$11="Stellar Coupling",POWER(Upgrades!$U$11,J230),1)*IF(Upgrades!$T$12="Stellar Coupling",POWER(Upgrades!$U$12,K230),1))+(IF(H230=0,0,(Upgrades!$J$9+H230*Upgrades!$K$9)*POWER(Upgrades!$L$9,H230)))*(IF(Upgrades!$T$6="Magnetosphere",POWER(Upgrades!$U$6,E230),1)*IF(Upgrades!$T$7="Magnetosphere",POWER(Upgrades!$U$7,F230),1)*IF(Upgrades!$T$8="Magnetosphere",POWER(Upgrades!$U$8,G230),1)*IF(Upgrades!$T$10="Magnetosphere",POWER(Upgrades!$U$10,I230),1)*IF(Upgrades!$T$11="Magnetosphere",POWER(Upgrades!$U$11,J230),1)*IF(Upgrades!$T$12="Magnetosphere",POWER(Upgrades!$U$12,K230),1))+(IF(I230=0,0,(Upgrades!$J$10+I230*Upgrades!$K$10)*POWER(Upgrades!$L$10,I230)))*(IF(Upgrades!$T$6="Orbital Resonance",POWER(Upgrades!$U$6,E230),1)*IF(Upgrades!$T$7="Orbital Resonance",POWER(Upgrades!$U$7,F230),1)*IF(Upgrades!$T$8="Orbital Resonance",POWER(Upgrades!$U$8,G230),1)*IF(Upgrades!$T$9="Orbital Resonance",POWER(Upgrades!$U$9,H230),1)*IF(Upgrades!$T$11="Orbital Resonance",POWER(Upgrades!$U$11,J230),1)*IF(Upgrades!$T$12="Orbital Resonance",POWER(Upgrades!$U$12,K230),1))+(IF(J230=0,0,(Upgrades!$J$11+J230*Upgrades!$K$11)*POWER(Upgrades!$L$11,J230)))*(IF(Upgrades!$T$6="Heliopause",POWER(Upgrades!$U$6,E230),1)*IF(Upgrades!$T$7="Heliopause",POWER(Upgrades!$U$7,F230),1)*IF(Upgrades!$T$8="Heliopause",POWER(Upgrades!$U$8,G230),1)*IF(Upgrades!$T$9="Heliopause",POWER(Upgrades!$U$9,H230),1)*IF(Upgrades!$T$10="Heliopause",POWER(Upgrades!$U$10,I230),1)*IF(Upgrades!$T$12="Heliopause",POWER(Upgrades!$U$12,K230),1))+(IF(K230=0,0,(Upgrades!$J$12+K230*Upgrades!$K$12)*POWER(Upgrades!$L$12,K230)))*(IF(Upgrades!$T$6="First Photons",POWER(Upgrades!$U$6,E230),1)*IF(Upgrades!$T$7="First Photons",POWER(Upgrades!$U$7,F230),1)*IF(Upgrades!$T$8="First Photons",POWER(Upgrades!$U$8,G230),1)*IF(Upgrades!$T$9="First Photons",POWER(Upgrades!$U$9,H230),1)*IF(Upgrades!$T$10="First Photons",POWER(Upgrades!$U$10,I230),1)*IF(Upgrades!$T$11="First Photons",POWER(Upgrades!$U$11,J230),1)))*POWER(Upgrades!$Q$6,E230)*POWER(Upgrades!$Q$7,F230)*POWER(Upgrades!$Q$8,G230)*POWER(Upgrades!$Q$9,H230)*POWER(Upgrades!$Q$10,I230)*POWER(Upgrades!$Q$11,J230)*POWER(Upgrades!$Q$12,K230)</f>
        <v>5.61</v>
      </c>
      <c r="N230" s="28" t="n">
        <f aca="false">((IF(E230=0,0,(Upgrades!$G$6+E230*Upgrades!$H$6)*POWER(Upgrades!$I$6,E230)))*(IF(Upgrades!$T$7="Solar Wind",POWER(Upgrades!$U$7,F230),1)*IF(Upgrades!$T$8="Solar Wind",POWER(Upgrades!$U$8,G230),1)*IF(Upgrades!$T$9="Solar Wind",POWER(Upgrades!$U$9,H230),1)*IF(Upgrades!$T$10="Solar Wind",POWER(Upgrades!$U$10,I230),1)*IF(Upgrades!$T$11="Solar Wind",POWER(Upgrades!$U$11,J230),1)*IF(Upgrades!$T$12="Solar Wind",POWER(Upgrades!$U$12,K230),1))+(IF(F230=0,0,(Upgrades!$G$7+F230*Upgrades!$H$7)*POWER(Upgrades!$I$7,F230)))*(IF(Upgrades!$T$6="Asteroid Belt",POWER(Upgrades!$U$6,E230),1)*IF(Upgrades!$T$8="Asteroid Belt",POWER(Upgrades!$U$8,G230),1)*IF(Upgrades!$T$9="Asteroid Belt",POWER(Upgrades!$U$9,H230),1)*IF(Upgrades!$T$10="Asteroid Belt",POWER(Upgrades!$U$10,I230),1)*IF(Upgrades!$T$11="Asteroid Belt",POWER(Upgrades!$U$11,J230),1)*IF(Upgrades!$T$12="Asteroid Belt",POWER(Upgrades!$U$12,K230),1))+(IF(G230=0,0,(Upgrades!$G$8+G230*Upgrades!$H$8)*POWER(Upgrades!$I$8,G230)))*(IF(Upgrades!$T$6="Stellar Coupling",POWER(Upgrades!$U$6,E230),1)*IF(Upgrades!$T$7="Stellar Coupling",POWER(Upgrades!$U$7,F230),1)*IF(Upgrades!$T$9="Stellar Coupling",POWER(Upgrades!$U$9,H230),1)*IF(Upgrades!$T$10="Stellar Coupling",POWER(Upgrades!$U$10,I230),1)*IF(Upgrades!$T$11="Stellar Coupling",POWER(Upgrades!$U$11,J230),1)*IF(Upgrades!$T$12="Stellar Coupling",POWER(Upgrades!$U$12,K230),1))+(IF(H230=0,0,(Upgrades!$G$9+H230*Upgrades!$H$9)*POWER(Upgrades!$I$9,H230)))*(IF(Upgrades!$T$6="Magnetosphere",POWER(Upgrades!$U$6,E230),1)*IF(Upgrades!$T$7="Magnetosphere",POWER(Upgrades!$U$7,F230),1)*IF(Upgrades!$T$8="Magnetosphere",POWER(Upgrades!$U$8,G230),1)*IF(Upgrades!$T$10="Magnetosphere",POWER(Upgrades!$U$10,I230),1)*IF(Upgrades!$T$11="Magnetosphere",POWER(Upgrades!$U$11,J230),1)*IF(Upgrades!$T$12="Magnetosphere",POWER(Upgrades!$U$12,K230),1))+(IF(I230=0,0,(Upgrades!$G$10+I230*Upgrades!$H$10)*POWER(Upgrades!$I$10,I230)))*(IF(Upgrades!$T$6="Orbital Resonance",POWER(Upgrades!$U$6,E230),1)*IF(Upgrades!$T$7="Orbital Resonance",POWER(Upgrades!$U$7,F230),1)*IF(Upgrades!$T$8="Orbital Resonance",POWER(Upgrades!$U$8,G230),1)*IF(Upgrades!$T$9="Orbital Resonance",POWER(Upgrades!$U$9,H230),1)*IF(Upgrades!$T$11="Orbital Resonance",POWER(Upgrades!$U$11,J230),1)*IF(Upgrades!$T$12="Orbital Resonance",POWER(Upgrades!$U$12,K230),1))+(IF(J230=0,0,(Upgrades!$G$11+J230*Upgrades!$H$11)*POWER(Upgrades!$I$11,J230)))*(IF(Upgrades!$T$6="Heliopause",POWER(Upgrades!$U$6,E230),1)*IF(Upgrades!$T$7="Heliopause",POWER(Upgrades!$U$7,F230),1)*IF(Upgrades!$T$8="Heliopause",POWER(Upgrades!$U$8,G230),1)*IF(Upgrades!$T$9="Heliopause",POWER(Upgrades!$U$9,H230),1)*IF(Upgrades!$T$10="Heliopause",POWER(Upgrades!$U$10,I230),1)*IF(Upgrades!$T$12="Heliopause",POWER(Upgrades!$U$12,K230),1))+(IF(K230=0,0,(Upgrades!$G$12+K230*Upgrades!$H$12)*POWER(Upgrades!$I$12,K230)))*(IF(Upgrades!$T$6="First Photons",POWER(Upgrades!$U$6,E230),1)*IF(Upgrades!$T$7="First Photons",POWER(Upgrades!$U$7,F230),1)*IF(Upgrades!$T$8="First Photons",POWER(Upgrades!$U$8,G230),1)*IF(Upgrades!$T$9="First Photons",POWER(Upgrades!$U$9,H230),1)*IF(Upgrades!$T$10="First Photons",POWER(Upgrades!$U$10,I230),1)*IF(Upgrades!$T$11="First Photons",POWER(Upgrades!$U$11,J230),1)))*POWER(Upgrades!$P$6,E230)*POWER(Upgrades!$P$7,F230)*POWER(Upgrades!$P$8,G230)*POWER(Upgrades!$P$9,H230)*POWER(Upgrades!$P$10,I230)*POWER(Upgrades!$P$11,J230)*POWER(Upgrades!$P$12,K230)</f>
        <v>11.2</v>
      </c>
      <c r="O230" s="28" t="n">
        <f aca="false">((IF(E230=0,0,(Upgrades!$M$6+E230*Upgrades!$N$6)*POWER(Upgrades!$O$6,E230)))*(IF(Upgrades!$T$7="Solar Wind",POWER(Upgrades!$U$7,F230),1)*IF(Upgrades!$T$8="Solar Wind",POWER(Upgrades!$U$8,G230),1)*IF(Upgrades!$T$9="Solar Wind",POWER(Upgrades!$U$9,H230),1)*IF(Upgrades!$T$10="Solar Wind",POWER(Upgrades!$U$10,I230),1)*IF(Upgrades!$T$11="Solar Wind",POWER(Upgrades!$U$11,J230),1)*IF(Upgrades!$T$12="Solar Wind",POWER(Upgrades!$U$12,K230),1))+(IF(F230=0,0,(Upgrades!$M$7+F230*Upgrades!$N$7)*POWER(Upgrades!$O$7,F230)))*(IF(Upgrades!$T$6="Asteroid Belt",POWER(Upgrades!$U$6,E230),1)*IF(Upgrades!$T$8="Asteroid Belt",POWER(Upgrades!$U$8,G230),1)*IF(Upgrades!$T$9="Asteroid Belt",POWER(Upgrades!$U$9,H230),1)*IF(Upgrades!$T$10="Asteroid Belt",POWER(Upgrades!$U$10,I230),1)*IF(Upgrades!$T$11="Asteroid Belt",POWER(Upgrades!$U$11,J230),1)*IF(Upgrades!$T$12="Asteroid Belt",POWER(Upgrades!$U$12,K230),1))+(IF(G230=0,0,(Upgrades!$M$8+G230*Upgrades!$N$8)*POWER(Upgrades!$O$8,G230)))*(IF(Upgrades!$T$6="Stellar Coupling",POWER(Upgrades!$U$6,E230),1)*IF(Upgrades!$T$7="Stellar Coupling",POWER(Upgrades!$U$7,F230),1)*IF(Upgrades!$T$9="Stellar Coupling",POWER(Upgrades!$U$9,H230),1)*IF(Upgrades!$T$10="Stellar Coupling",POWER(Upgrades!$U$10,I230),1)*IF(Upgrades!$T$11="Stellar Coupling",POWER(Upgrades!$U$11,J230),1)*IF(Upgrades!$T$12="Stellar Coupling",POWER(Upgrades!$U$12,K230),1))+(IF(H230=0,0,(Upgrades!$M$9+H230*Upgrades!$N$9)*POWER(Upgrades!$O$9,H230)))*(IF(Upgrades!$T$6="Magnetosphere",POWER(Upgrades!$U$6,E230),1)*IF(Upgrades!$T$7="Magnetosphere",POWER(Upgrades!$U$7,F230),1)*IF(Upgrades!$T$8="Magnetosphere",POWER(Upgrades!$U$8,G230),1)*IF(Upgrades!$T$10="Magnetosphere",POWER(Upgrades!$U$10,I230),1)*IF(Upgrades!$T$11="Magnetosphere",POWER(Upgrades!$U$11,J230),1)*IF(Upgrades!$T$12="Magnetosphere",POWER(Upgrades!$U$12,K230),1))+(IF(I230=0,0,(Upgrades!$M$10+I230*Upgrades!$N$10)*POWER(Upgrades!$O$10,I230)))*(IF(Upgrades!$T$6="Orbital Resonance",POWER(Upgrades!$U$6,E230),1)*IF(Upgrades!$T$7="Orbital Resonance",POWER(Upgrades!$U$7,F230),1)*IF(Upgrades!$T$8="Orbital Resonance",POWER(Upgrades!$U$8,G230),1)*IF(Upgrades!$T$9="Orbital Resonance",POWER(Upgrades!$U$9,H230),1)*IF(Upgrades!$T$11="Orbital Resonance",POWER(Upgrades!$U$11,J230),1)*IF(Upgrades!$T$12="Orbital Resonance",POWER(Upgrades!$U$12,K230),1))+(IF(J230=0,0,(Upgrades!$M$11+J230*Upgrades!$N$11)*POWER(Upgrades!$O$11,J230)))*(IF(Upgrades!$T$6="Heliopause",POWER(Upgrades!$U$6,E230),1)*IF(Upgrades!$T$7="Heliopause",POWER(Upgrades!$U$7,F230),1)*IF(Upgrades!$T$8="Heliopause",POWER(Upgrades!$U$8,G230),1)*IF(Upgrades!$T$9="Heliopause",POWER(Upgrades!$U$9,H230),1)*IF(Upgrades!$T$10="Heliopause",POWER(Upgrades!$U$10,I230),1)*IF(Upgrades!$T$12="Heliopause",POWER(Upgrades!$U$12,K230),1))+(IF(K230=0,0,(Upgrades!$M$12+K230*Upgrades!$N$12)*POWER(Upgrades!$O$12,K230)))*(IF(Upgrades!$T$6="First Photons",POWER(Upgrades!$U$6,E230),1)*IF(Upgrades!$T$7="First Photons",POWER(Upgrades!$U$7,F230),1)*IF(Upgrades!$T$8="First Photons",POWER(Upgrades!$U$8,G230),1)*IF(Upgrades!$T$9="First Photons",POWER(Upgrades!$U$9,H230),1)*IF(Upgrades!$T$10="First Photons",POWER(Upgrades!$U$10,I230),1)*IF(Upgrades!$T$11="First Photons",POWER(Upgrades!$U$11,J230),1)))*POWER(Upgrades!$R$6,E230)*POWER(Upgrades!$R$7,F230)*POWER(Upgrades!$R$8,G230)*POWER(Upgrades!$R$9,H230)*POWER(Upgrades!$R$10,I230)*POWER(Upgrades!$R$11,J230)*POWER(Upgrades!$R$12,K230)</f>
        <v>0</v>
      </c>
      <c r="P230" s="27" t="n">
        <f aca="false">IF(L230=1,0,M230*Parameters!$B$10/60*Parameters!$B$11*10)</f>
        <v>0</v>
      </c>
      <c r="Q230" s="27" t="n">
        <f aca="false">IF(L230=1,0,O230*M230*10)</f>
        <v>0</v>
      </c>
      <c r="R230" s="27" t="n">
        <f aca="false">IF(L230=1,0,N230*10)</f>
        <v>0</v>
      </c>
      <c r="S230" s="27" t="n">
        <f aca="false">P230+Q230+R230</f>
        <v>0</v>
      </c>
      <c r="T230" s="21" t="n">
        <f aca="false">C230+S230</f>
        <v>18.6730249835055</v>
      </c>
      <c r="U230" s="34" t="str">
        <f aca="false">AX230</f>
        <v/>
      </c>
      <c r="V230" s="21" t="n">
        <f aca="false">IF(U230="",0,IF(U230="transition",0,IF(U230="SW",AG230,IF(U230="AB",AH230,IF(U230="SC",AI230,IF(U230="Mag",AJ230,IF(U230="OR",AK230,IF(U230="HP",AL230,IF(U230="FP",AM230,0)))))))))</f>
        <v>0</v>
      </c>
      <c r="W230" s="27" t="n">
        <f aca="false">IF(U230="OR",Upgrades!$F$10,IF(U230="HP",Upgrades!$F$11,IF(U230="transition",-Parameters!$B$18,0)))</f>
        <v>0</v>
      </c>
      <c r="X230" s="21" t="n">
        <f aca="false">T230-V230</f>
        <v>18.6730249835055</v>
      </c>
      <c r="Y230" s="30" t="n">
        <f aca="false">M230*Parameters!$B$10/60*Parameters!$B$11+O230*M230+N230</f>
        <v>20.55</v>
      </c>
      <c r="Z230" s="35" t="str">
        <f aca="false">IF(U230="transition","→ Tier 2 (Stellar Neighborhood)",IF(U230="FP","First Photons — light begins, system quickens",IF(U230="HP","Heliopause acquired",IF(U230="OR","Orbital Resonance — passive multiplier active",IF(AND(AO230=1,L230=0,AN230&lt;&gt;1),"Cohesion ready (waiting on completionist upgrades)","")))))</f>
        <v/>
      </c>
      <c r="AA230" s="27" t="n">
        <f aca="false">(IF(E230=0,0,(Upgrades!$G$6+E230*Upgrades!$H$6)*POWER(Upgrades!$I$6,E230)))*(IF(Upgrades!$T$7="Solar Wind",POWER(Upgrades!$U$7,F230),1)*IF(Upgrades!$T$8="Solar Wind",POWER(Upgrades!$U$8,G230),1)*IF(Upgrades!$T$9="Solar Wind",POWER(Upgrades!$U$9,H230),1)*IF(Upgrades!$T$10="Solar Wind",POWER(Upgrades!$U$10,I230),1)*IF(Upgrades!$T$11="Solar Wind",POWER(Upgrades!$U$11,J230),1)*IF(Upgrades!$T$12="Solar Wind",POWER(Upgrades!$U$12,K230),1))*POWER(Upgrades!$P$6,E230)*POWER(Upgrades!$P$7,F230)*POWER(Upgrades!$P$8,G230)*POWER(Upgrades!$P$9,H230)*POWER(Upgrades!$P$10,I230)*POWER(Upgrades!$P$11,J230)*POWER(Upgrades!$P$12,K230)*60</f>
        <v>72</v>
      </c>
      <c r="AB230" s="27" t="n">
        <f aca="false">(IF(F230=0,0,(Upgrades!$G$7+F230*Upgrades!$H$7)*POWER(Upgrades!$I$7,F230)))*(IF(Upgrades!$T$6="Asteroid Belt",POWER(Upgrades!$U$6,E230),1)*IF(Upgrades!$T$8="Asteroid Belt",POWER(Upgrades!$U$8,G230),1)*IF(Upgrades!$T$9="Asteroid Belt",POWER(Upgrades!$U$9,H230),1)*IF(Upgrades!$T$10="Asteroid Belt",POWER(Upgrades!$U$10,I230),1)*IF(Upgrades!$T$11="Asteroid Belt",POWER(Upgrades!$U$11,J230),1)*IF(Upgrades!$T$12="Asteroid Belt",POWER(Upgrades!$U$12,K230),1))*POWER(Upgrades!$P$6,E230)*POWER(Upgrades!$P$7,F230)*POWER(Upgrades!$P$8,G230)*POWER(Upgrades!$P$9,H230)*POWER(Upgrades!$P$10,I230)*POWER(Upgrades!$P$11,J230)*POWER(Upgrades!$P$12,K230)*60</f>
        <v>150</v>
      </c>
      <c r="AC230" s="27" t="n">
        <f aca="false">(IF(G230=0,0,(Upgrades!$J$8+G230*Upgrades!$K$8)*POWER(Upgrades!$L$8,G230)))*(IF(Upgrades!$T$6="Stellar Coupling",POWER(Upgrades!$U$6,E230),1)*IF(Upgrades!$T$7="Stellar Coupling",POWER(Upgrades!$U$7,F230),1)*IF(Upgrades!$T$9="Stellar Coupling",POWER(Upgrades!$U$9,H230),1)*IF(Upgrades!$T$10="Stellar Coupling",POWER(Upgrades!$U$10,I230),1)*IF(Upgrades!$T$11="Stellar Coupling",POWER(Upgrades!$U$11,J230),1)*IF(Upgrades!$T$12="Stellar Coupling",POWER(Upgrades!$U$12,K230),1))*POWER(Upgrades!$Q$6,E230)*POWER(Upgrades!$Q$7,F230)*POWER(Upgrades!$Q$8,G230)*POWER(Upgrades!$Q$9,H230)*POWER(Upgrades!$Q$10,I230)*POWER(Upgrades!$Q$11,J230)*POWER(Upgrades!$Q$12,K230)*Parameters!$B$10*Parameters!$B$11</f>
        <v>441</v>
      </c>
      <c r="AD230" s="27" t="n">
        <f aca="false">(IF(H230=0,0,(Upgrades!$G$9+H230*Upgrades!$H$9)*POWER(Upgrades!$I$9,H230)))*(IF(Upgrades!$T$6="Magnetosphere",POWER(Upgrades!$U$6,E230),1)*IF(Upgrades!$T$7="Magnetosphere",POWER(Upgrades!$U$7,F230),1)*IF(Upgrades!$T$8="Magnetosphere",POWER(Upgrades!$U$8,G230),1)*IF(Upgrades!$T$10="Magnetosphere",POWER(Upgrades!$U$10,I230),1)*IF(Upgrades!$T$11="Magnetosphere",POWER(Upgrades!$U$11,J230),1)*IF(Upgrades!$T$12="Magnetosphere",POWER(Upgrades!$U$12,K230),1))*POWER(Upgrades!$P$6,E230)*POWER(Upgrades!$P$7,F230)*POWER(Upgrades!$P$8,G230)*POWER(Upgrades!$P$9,H230)*POWER(Upgrades!$P$10,I230)*POWER(Upgrades!$P$11,J230)*POWER(Upgrades!$P$12,K230)*60</f>
        <v>375</v>
      </c>
      <c r="AE230" s="27" t="n">
        <f aca="false">(IF(K230=0,0,(Upgrades!$G$12+K230*Upgrades!$H$12)*POWER(Upgrades!$I$12,K230)))*(IF(Upgrades!$T$6="First Photons",POWER(Upgrades!$U$6,E230),1)*IF(Upgrades!$T$7="First Photons",POWER(Upgrades!$U$7,F230),1)*IF(Upgrades!$T$8="First Photons",POWER(Upgrades!$U$8,G230),1)*IF(Upgrades!$T$9="First Photons",POWER(Upgrades!$U$9,H230),1)*IF(Upgrades!$T$10="First Photons",POWER(Upgrades!$U$10,I230),1)*IF(Upgrades!$T$11="First Photons",POWER(Upgrades!$U$11,J230),1))*POWER(Upgrades!$P$6,E230)*POWER(Upgrades!$P$7,F230)*POWER(Upgrades!$P$8,G230)*POWER(Upgrades!$P$9,H230)*POWER(Upgrades!$P$10,I230)*POWER(Upgrades!$P$11,J230)*POWER(Upgrades!$P$12,K230)*60</f>
        <v>75</v>
      </c>
      <c r="AF230" s="27" t="n">
        <f aca="false">Parameters!$B$9*POWER(Upgrades!$Q$6,E230)*POWER(Upgrades!$Q$7,F230)*POWER(Upgrades!$Q$8,G230)*POWER(Upgrades!$Q$9,H230)*POWER(Upgrades!$Q$10,I230)*POWER(Upgrades!$Q$11,J230)*POWER(Upgrades!$Q$12,K230)*(Parameters!$B$10*Parameters!$B$11+O230*60)</f>
        <v>120</v>
      </c>
      <c r="AG230" s="21" t="n">
        <f aca="false">IF(E230&gt;=Upgrades!$E$6,"",Upgrades!$C$6*POWER(Upgrades!$D$6,E230))</f>
        <v>37.4517507383159</v>
      </c>
      <c r="AH230" s="21" t="n">
        <f aca="false">IF(F230&gt;=Upgrades!$E$7,"",Upgrades!$C$7*POWER(Upgrades!$D$7,F230))</f>
        <v>80.9111547141581</v>
      </c>
      <c r="AI230" s="21" t="n">
        <f aca="false">IF(G230&gt;=Upgrades!$E$8,"",Upgrades!$C$8*POWER(Upgrades!$D$8,G230))</f>
        <v>231.9097088</v>
      </c>
      <c r="AJ230" s="21" t="str">
        <f aca="false">IF(H230&gt;=Upgrades!$E$9,"",Upgrades!$C$9*POWER(Upgrades!$D$9,H230))</f>
        <v/>
      </c>
      <c r="AK230" s="21" t="str">
        <f aca="false">IF(I230&gt;=Upgrades!$E$10,"",Upgrades!$C$10*POWER(Upgrades!$D$10,I230))</f>
        <v/>
      </c>
      <c r="AL230" s="21" t="str">
        <f aca="false">IF(J230&gt;=Upgrades!$E$11,"",Upgrades!$C$11*POWER(Upgrades!$D$11,J230))</f>
        <v/>
      </c>
      <c r="AM230" s="21" t="str">
        <f aca="false">IF(K230&gt;=Upgrades!$E$12,"",Upgrades!$C$12*POWER(Upgrades!$D$12,K230))</f>
        <v/>
      </c>
      <c r="AN230" s="26" t="str">
        <f aca="false">IF(AND(D230&gt;=Parameters!$B$18,(H230&gt;=Upgrades!$E$9)*(K230&gt;=Upgrades!$E$12)=1,L230=0),1,"")</f>
        <v/>
      </c>
      <c r="AO230" s="26" t="str">
        <f aca="false">IF(AND(D230&gt;=Parameters!$B$18,L230=0),1,"")</f>
        <v/>
      </c>
      <c r="AP230" s="21" t="n">
        <f aca="false">MIN(IF(ISNUMBER(AK230),AK230,9000000000000000),IF(ISNUMBER(AL230),AL230,9000000000000000),IF(ISNUMBER(AM230),AM230,9000000000000000))</f>
        <v>9000000000000000</v>
      </c>
      <c r="AQ230" s="21" t="n">
        <f aca="false">MIN(IF(ISNUMBER(AG230),AG230,9000000000000000),IF(ISNUMBER(AH230),AH230,9000000000000000),IF(ISNUMBER(AI230),AI230,9000000000000000),IF(ISNUMBER(AJ230),AJ230,9000000000000000))</f>
        <v>37.4517507383159</v>
      </c>
      <c r="AR230" s="32" t="b">
        <f aca="false">IF(AW230&gt;Parameters!$B$21*(MAX(IF(AND(NOT(AND(AO230=1,AN230&lt;&gt;1)),ISNUMBER(AG230),AG230&lt;=T230),AS230,0),IF(AND(NOT(AND(AO230=1,AN230&lt;&gt;1)),ISNUMBER(AH230),AH230&lt;=T230),AT230,0),IF(AND(NOT(AND(AO230=1,AN230&lt;&gt;1)),ISNUMBER(AI230),AI230&lt;=T230),AU230,0),IF(AND(ISNUMBER(AJ230),AJ230&lt;=T230),AV230,0))),TRUE(),FALSE())</f>
        <v>1</v>
      </c>
      <c r="AS230" s="33" t="n">
        <f aca="false">IFERROR(Upgrades!$H$6*(POWER(Upgrades!$P$6,E230)*POWER(Upgrades!$P$7,F230)*POWER(Upgrades!$P$8,G230)*POWER(Upgrades!$P$9,H230)*POWER(Upgrades!$P$10,I230)*POWER(Upgrades!$P$11,J230)*POWER(Upgrades!$P$12,K230))*(IF(Upgrades!$T$7="Solar Wind",POWER(Upgrades!$U$7,F230),1)*IF(Upgrades!$T$8="Solar Wind",POWER(Upgrades!$U$8,G230),1)*IF(Upgrades!$T$9="Solar Wind",POWER(Upgrades!$U$9,H230),1)*IF(Upgrades!$T$10="Solar Wind",POWER(Upgrades!$U$10,I230),1)*IF(Upgrades!$T$11="Solar Wind",POWER(Upgrades!$U$11,J230),1)*IF(Upgrades!$T$12="Solar Wind",POWER(Upgrades!$U$12,K230),1))/AG230,0)</f>
        <v>0.0026701021455238</v>
      </c>
      <c r="AT230" s="33" t="n">
        <f aca="false">IFERROR(Upgrades!$H$7*(POWER(Upgrades!$P$6,E230)*POWER(Upgrades!$P$7,F230)*POWER(Upgrades!$P$8,G230)*POWER(Upgrades!$P$9,H230)*POWER(Upgrades!$P$10,I230)*POWER(Upgrades!$P$11,J230)*POWER(Upgrades!$P$12,K230))*(IF(Upgrades!$T$6="Asteroid Belt",POWER(Upgrades!$U$6,E230),1)*IF(Upgrades!$T$8="Asteroid Belt",POWER(Upgrades!$U$8,G230),1)*IF(Upgrades!$T$9="Asteroid Belt",POWER(Upgrades!$U$9,H230),1)*IF(Upgrades!$T$10="Asteroid Belt",POWER(Upgrades!$U$10,I230),1)*IF(Upgrades!$T$11="Asteroid Belt",POWER(Upgrades!$U$11,J230),1)*IF(Upgrades!$T$12="Asteroid Belt",POWER(Upgrades!$U$12,K230),1))/AH230,0)</f>
        <v>0.00308980882652332</v>
      </c>
      <c r="AU230" s="33" t="n">
        <f aca="false">IFERROR(Upgrades!$K$8*(POWER(Upgrades!$Q$6,E230)*POWER(Upgrades!$Q$7,F230)*POWER(Upgrades!$Q$8,G230)*POWER(Upgrades!$Q$9,H230)*POWER(Upgrades!$Q$10,I230)*POWER(Upgrades!$Q$11,J230)*POWER(Upgrades!$Q$12,K230))*(IF(Upgrades!$T$6="Stellar Coupling",POWER(Upgrades!$U$6,E230),1)*IF(Upgrades!$T$7="Stellar Coupling",POWER(Upgrades!$U$7,F230),1)*IF(Upgrades!$T$9="Stellar Coupling",POWER(Upgrades!$U$9,H230),1)*IF(Upgrades!$T$10="Stellar Coupling",POWER(Upgrades!$U$10,I230),1)*IF(Upgrades!$T$11="Stellar Coupling",POWER(Upgrades!$U$11,J230),1)*IF(Upgrades!$T$12="Stellar Coupling",POWER(Upgrades!$U$12,K230),1))*Parameters!$B$10*Parameters!$B$11/60/AI230,0)</f>
        <v>0.00452762415783776</v>
      </c>
      <c r="AV230" s="33" t="n">
        <f aca="false">IFERROR(Upgrades!$H$9*(POWER(Upgrades!$P$6,E230)*POWER(Upgrades!$P$7,F230)*POWER(Upgrades!$P$8,G230)*POWER(Upgrades!$P$9,H230)*POWER(Upgrades!$P$10,I230)*POWER(Upgrades!$P$11,J230)*POWER(Upgrades!$P$12,K230))*(IF(Upgrades!$T$6="Magnetosphere",POWER(Upgrades!$U$6,E230),1)*IF(Upgrades!$T$7="Magnetosphere",POWER(Upgrades!$U$7,F230),1)*IF(Upgrades!$T$8="Magnetosphere",POWER(Upgrades!$U$8,G230),1)*IF(Upgrades!$T$10="Magnetosphere",POWER(Upgrades!$U$10,I230),1)*IF(Upgrades!$T$11="Magnetosphere",POWER(Upgrades!$U$11,J230),1)*IF(Upgrades!$T$12="Magnetosphere",POWER(Upgrades!$U$12,K230),1))/AJ230,0)</f>
        <v>0</v>
      </c>
      <c r="AW230" s="33" t="n">
        <f aca="false">MAX(IF(I230&gt;0,0,IFERROR(0.25*N230/Upgrades!$C$10,0)),IF(J230&gt;0,0,IFERROR(0.5*((IF(G230=0,0,(Upgrades!$J$8+G230*Upgrades!$K$8)*POWER(Upgrades!$L$8,G230)))*(IF(Upgrades!$T$6="Stellar Coupling",POWER(Upgrades!$U$6,E230),1)*IF(Upgrades!$T$7="Stellar Coupling",POWER(Upgrades!$U$7,F230),1)*IF(Upgrades!$T$9="Stellar Coupling",POWER(Upgrades!$U$9,H230),1)*IF(Upgrades!$T$10="Stellar Coupling",POWER(Upgrades!$U$10,I230),1)*IF(Upgrades!$T$11="Stellar Coupling",POWER(Upgrades!$U$11,J230),1)*IF(Upgrades!$T$12="Stellar Coupling",POWER(Upgrades!$U$12,K230),1))*(POWER(Upgrades!$Q$6,E230)*POWER(Upgrades!$Q$7,F230)*POWER(Upgrades!$Q$8,G230)*POWER(Upgrades!$Q$9,H230)*POWER(Upgrades!$Q$10,I230)*POWER(Upgrades!$Q$11,J230)*POWER(Upgrades!$Q$12,K230))*Parameters!$B$10*Parameters!$B$11/60)/Upgrades!$C$11,0)),IF(K230&gt;0,0,IFERROR((1*(POWER(Upgrades!$P$6,E230)*POWER(Upgrades!$P$7,F230)*POWER(Upgrades!$P$8,G230)*POWER(Upgrades!$P$9,H230)*POWER(Upgrades!$P$10,I230)*POWER(Upgrades!$P$11,J230)*POWER(Upgrades!$P$12,K230))+0.2*M230*Parameters!$B$10*Parameters!$B$11/60)/Upgrades!$C$12,0)),IF(AND(ISNUMBER(AG230),AG230&gt;T230),AS230,0),IF(AND(ISNUMBER(AH230),AH230&gt;T230),AT230,0),IF(AND(ISNUMBER(AI230),AI230&gt;T230),AU230,0),IF(AND(ISNUMBER(AJ230),AJ230&gt;T230),AV230,0))</f>
        <v>0.00452762415783776</v>
      </c>
      <c r="AX230" s="29" t="str">
        <f aca="false">IF(AN230=1,"transition",IF(MIN(IF(AND(I230=0,ISNUMBER(AK230),AK230&lt;=T230),AK230,9000000000000000),IF(AND(J230=0,ISNUMBER(AL230),AL230&lt;=T230),AL230,9000000000000000),IF(AND(K230=0,ISNUMBER(AM230),AM230&lt;=T230),AM230,9000000000000000))&lt;9000000000000000,IF(AND(AND(I230=0,ISNUMBER(AK230),AK230&lt;=T230),AK230=MIN(IF(AND(I230=0,ISNUMBER(AK230),AK230&lt;=T230),AK230,9000000000000000),IF(AND(J230=0,ISNUMBER(AL230),AL230&lt;=T230),AL230,9000000000000000),IF(AND(K230=0,ISNUMBER(AM230),AM230&lt;=T230),AM230,9000000000000000))),"OR",IF(AND(AND(J230=0,ISNUMBER(AL230),AL230&lt;=T230),AL230=MIN(IF(AND(I230=0,ISNUMBER(AK230),AK230&lt;=T230),AK230,9000000000000000),IF(AND(J230=0,ISNUMBER(AL230),AL230&lt;=T230),AL230,9000000000000000),IF(AND(K230=0,ISNUMBER(AM230),AM230&lt;=T230),AM230,9000000000000000))),"HP","FP")),IF(AR230=TRUE(),"",IF(MAX(IF(AND(NOT(AND(AO230=1,AN230&lt;&gt;1)),ISNUMBER(AG230),AG230&lt;=T230),AS230,0),IF(AND(NOT(AND(AO230=1,AN230&lt;&gt;1)),ISNUMBER(AH230),AH230&lt;=T230),AT230,0),IF(AND(NOT(AND(AO230=1,AN230&lt;&gt;1)),ISNUMBER(AI230),AI230&lt;=T230),AU230,0),IF(AND(ISNUMBER(AJ230),AJ230&lt;=T230),AV230,0))&lt;=0,"",IF(AND(IF(AND(NOT(AND(AO230=1,AN230&lt;&gt;1)),ISNUMBER(AG230),AG230&lt;=T230),AS230,0)&gt;0,IF(AND(NOT(AND(AO230=1,AN230&lt;&gt;1)),ISNUMBER(AG230),AG230&lt;=T230),AS230,0)=MAX(IF(AND(NOT(AND(AO230=1,AN230&lt;&gt;1)),ISNUMBER(AG230),AG230&lt;=T230),AS230,0),IF(AND(NOT(AND(AO230=1,AN230&lt;&gt;1)),ISNUMBER(AH230),AH230&lt;=T230),AT230,0),IF(AND(NOT(AND(AO230=1,AN230&lt;&gt;1)),ISNUMBER(AI230),AI230&lt;=T230),AU230,0),IF(AND(ISNUMBER(AJ230),AJ230&lt;=T230),AV230,0))),"SW",IF(AND(IF(AND(NOT(AND(AO230=1,AN230&lt;&gt;1)),ISNUMBER(AH230),AH230&lt;=T230),AT230,0)&gt;0,IF(AND(NOT(AND(AO230=1,AN230&lt;&gt;1)),ISNUMBER(AH230),AH230&lt;=T230),AT230,0)=MAX(IF(AND(NOT(AND(AO230=1,AN230&lt;&gt;1)),ISNUMBER(AG230),AG230&lt;=T230),AS230,0),IF(AND(NOT(AND(AO230=1,AN230&lt;&gt;1)),ISNUMBER(AH230),AH230&lt;=T230),AT230,0),IF(AND(NOT(AND(AO230=1,AN230&lt;&gt;1)),ISNUMBER(AI230),AI230&lt;=T230),AU230,0),IF(AND(ISNUMBER(AJ230),AJ230&lt;=T230),AV230,0))),"AB",IF(AND(IF(AND(NOT(AND(AO230=1,AN230&lt;&gt;1)),ISNUMBER(AI230),AI230&lt;=T230),AU230,0)&gt;0,IF(AND(NOT(AND(AO230=1,AN230&lt;&gt;1)),ISNUMBER(AI230),AI230&lt;=T230),AU230,0)=MAX(IF(AND(NOT(AND(AO230=1,AN230&lt;&gt;1)),ISNUMBER(AG230),AG230&lt;=T230),AS230,0),IF(AND(NOT(AND(AO230=1,AN230&lt;&gt;1)),ISNUMBER(AH230),AH230&lt;=T230),AT230,0),IF(AND(NOT(AND(AO230=1,AN230&lt;&gt;1)),ISNUMBER(AI230),AI230&lt;=T230),AU230,0),IF(AND(ISNUMBER(AJ230),AJ230&lt;=T230),AV230,0))),"SC","Mag")))))))</f>
        <v/>
      </c>
    </row>
    <row r="231" customFormat="false" ht="15" hidden="false" customHeight="false" outlineLevel="0" collapsed="false">
      <c r="A231" s="26" t="n">
        <v>226</v>
      </c>
      <c r="B231" s="27" t="n">
        <f aca="false">A231*10/60</f>
        <v>37.6666666666667</v>
      </c>
      <c r="C231" s="21" t="n">
        <f aca="false">X230</f>
        <v>18.6730249835055</v>
      </c>
      <c r="D231" s="27" t="n">
        <f aca="false">D230+W230</f>
        <v>0</v>
      </c>
      <c r="E231" s="26" t="n">
        <f aca="false">E230+IF(U230="SW",1,0)</f>
        <v>12</v>
      </c>
      <c r="F231" s="26" t="n">
        <f aca="false">F230+IF(U230="AB",1,0)</f>
        <v>10</v>
      </c>
      <c r="G231" s="26" t="n">
        <f aca="false">G230+IF(U230="SC",1,0)</f>
        <v>7</v>
      </c>
      <c r="H231" s="26" t="n">
        <f aca="false">H230+IF(U230="Mag",1,0)</f>
        <v>5</v>
      </c>
      <c r="I231" s="26" t="n">
        <f aca="false">MAX(I230,IF(U230="OR",1,0))</f>
        <v>1</v>
      </c>
      <c r="J231" s="26" t="n">
        <f aca="false">MAX(J230,IF(U230="HP",1,0))</f>
        <v>1</v>
      </c>
      <c r="K231" s="26" t="n">
        <f aca="false">MAX(K230,IF(U230="FP",1,0))</f>
        <v>1</v>
      </c>
      <c r="L231" s="26" t="n">
        <f aca="false">MAX(L230,IF(U230="transition",1,0))</f>
        <v>1</v>
      </c>
      <c r="M231" s="28" t="n">
        <f aca="false">(Parameters!$B$9+(IF(E231=0,0,(Upgrades!$J$6+E231*Upgrades!$K$6)*POWER(Upgrades!$L$6,E231)))*(IF(Upgrades!$T$7="Solar Wind",POWER(Upgrades!$U$7,F231),1)*IF(Upgrades!$T$8="Solar Wind",POWER(Upgrades!$U$8,G231),1)*IF(Upgrades!$T$9="Solar Wind",POWER(Upgrades!$U$9,H231),1)*IF(Upgrades!$T$10="Solar Wind",POWER(Upgrades!$U$10,I231),1)*IF(Upgrades!$T$11="Solar Wind",POWER(Upgrades!$U$11,J231),1)*IF(Upgrades!$T$12="Solar Wind",POWER(Upgrades!$U$12,K231),1))+(IF(F231=0,0,(Upgrades!$J$7+F231*Upgrades!$K$7)*POWER(Upgrades!$L$7,F231)))*(IF(Upgrades!$T$6="Asteroid Belt",POWER(Upgrades!$U$6,E231),1)*IF(Upgrades!$T$8="Asteroid Belt",POWER(Upgrades!$U$8,G231),1)*IF(Upgrades!$T$9="Asteroid Belt",POWER(Upgrades!$U$9,H231),1)*IF(Upgrades!$T$10="Asteroid Belt",POWER(Upgrades!$U$10,I231),1)*IF(Upgrades!$T$11="Asteroid Belt",POWER(Upgrades!$U$11,J231),1)*IF(Upgrades!$T$12="Asteroid Belt",POWER(Upgrades!$U$12,K231),1))+(IF(G231=0,0,(Upgrades!$J$8+G231*Upgrades!$K$8)*POWER(Upgrades!$L$8,G231)))*(IF(Upgrades!$T$6="Stellar Coupling",POWER(Upgrades!$U$6,E231),1)*IF(Upgrades!$T$7="Stellar Coupling",POWER(Upgrades!$U$7,F231),1)*IF(Upgrades!$T$9="Stellar Coupling",POWER(Upgrades!$U$9,H231),1)*IF(Upgrades!$T$10="Stellar Coupling",POWER(Upgrades!$U$10,I231),1)*IF(Upgrades!$T$11="Stellar Coupling",POWER(Upgrades!$U$11,J231),1)*IF(Upgrades!$T$12="Stellar Coupling",POWER(Upgrades!$U$12,K231),1))+(IF(H231=0,0,(Upgrades!$J$9+H231*Upgrades!$K$9)*POWER(Upgrades!$L$9,H231)))*(IF(Upgrades!$T$6="Magnetosphere",POWER(Upgrades!$U$6,E231),1)*IF(Upgrades!$T$7="Magnetosphere",POWER(Upgrades!$U$7,F231),1)*IF(Upgrades!$T$8="Magnetosphere",POWER(Upgrades!$U$8,G231),1)*IF(Upgrades!$T$10="Magnetosphere",POWER(Upgrades!$U$10,I231),1)*IF(Upgrades!$T$11="Magnetosphere",POWER(Upgrades!$U$11,J231),1)*IF(Upgrades!$T$12="Magnetosphere",POWER(Upgrades!$U$12,K231),1))+(IF(I231=0,0,(Upgrades!$J$10+I231*Upgrades!$K$10)*POWER(Upgrades!$L$10,I231)))*(IF(Upgrades!$T$6="Orbital Resonance",POWER(Upgrades!$U$6,E231),1)*IF(Upgrades!$T$7="Orbital Resonance",POWER(Upgrades!$U$7,F231),1)*IF(Upgrades!$T$8="Orbital Resonance",POWER(Upgrades!$U$8,G231),1)*IF(Upgrades!$T$9="Orbital Resonance",POWER(Upgrades!$U$9,H231),1)*IF(Upgrades!$T$11="Orbital Resonance",POWER(Upgrades!$U$11,J231),1)*IF(Upgrades!$T$12="Orbital Resonance",POWER(Upgrades!$U$12,K231),1))+(IF(J231=0,0,(Upgrades!$J$11+J231*Upgrades!$K$11)*POWER(Upgrades!$L$11,J231)))*(IF(Upgrades!$T$6="Heliopause",POWER(Upgrades!$U$6,E231),1)*IF(Upgrades!$T$7="Heliopause",POWER(Upgrades!$U$7,F231),1)*IF(Upgrades!$T$8="Heliopause",POWER(Upgrades!$U$8,G231),1)*IF(Upgrades!$T$9="Heliopause",POWER(Upgrades!$U$9,H231),1)*IF(Upgrades!$T$10="Heliopause",POWER(Upgrades!$U$10,I231),1)*IF(Upgrades!$T$12="Heliopause",POWER(Upgrades!$U$12,K231),1))+(IF(K231=0,0,(Upgrades!$J$12+K231*Upgrades!$K$12)*POWER(Upgrades!$L$12,K231)))*(IF(Upgrades!$T$6="First Photons",POWER(Upgrades!$U$6,E231),1)*IF(Upgrades!$T$7="First Photons",POWER(Upgrades!$U$7,F231),1)*IF(Upgrades!$T$8="First Photons",POWER(Upgrades!$U$8,G231),1)*IF(Upgrades!$T$9="First Photons",POWER(Upgrades!$U$9,H231),1)*IF(Upgrades!$T$10="First Photons",POWER(Upgrades!$U$10,I231),1)*IF(Upgrades!$T$11="First Photons",POWER(Upgrades!$U$11,J231),1)))*POWER(Upgrades!$Q$6,E231)*POWER(Upgrades!$Q$7,F231)*POWER(Upgrades!$Q$8,G231)*POWER(Upgrades!$Q$9,H231)*POWER(Upgrades!$Q$10,I231)*POWER(Upgrades!$Q$11,J231)*POWER(Upgrades!$Q$12,K231)</f>
        <v>5.61</v>
      </c>
      <c r="N231" s="28" t="n">
        <f aca="false">((IF(E231=0,0,(Upgrades!$G$6+E231*Upgrades!$H$6)*POWER(Upgrades!$I$6,E231)))*(IF(Upgrades!$T$7="Solar Wind",POWER(Upgrades!$U$7,F231),1)*IF(Upgrades!$T$8="Solar Wind",POWER(Upgrades!$U$8,G231),1)*IF(Upgrades!$T$9="Solar Wind",POWER(Upgrades!$U$9,H231),1)*IF(Upgrades!$T$10="Solar Wind",POWER(Upgrades!$U$10,I231),1)*IF(Upgrades!$T$11="Solar Wind",POWER(Upgrades!$U$11,J231),1)*IF(Upgrades!$T$12="Solar Wind",POWER(Upgrades!$U$12,K231),1))+(IF(F231=0,0,(Upgrades!$G$7+F231*Upgrades!$H$7)*POWER(Upgrades!$I$7,F231)))*(IF(Upgrades!$T$6="Asteroid Belt",POWER(Upgrades!$U$6,E231),1)*IF(Upgrades!$T$8="Asteroid Belt",POWER(Upgrades!$U$8,G231),1)*IF(Upgrades!$T$9="Asteroid Belt",POWER(Upgrades!$U$9,H231),1)*IF(Upgrades!$T$10="Asteroid Belt",POWER(Upgrades!$U$10,I231),1)*IF(Upgrades!$T$11="Asteroid Belt",POWER(Upgrades!$U$11,J231),1)*IF(Upgrades!$T$12="Asteroid Belt",POWER(Upgrades!$U$12,K231),1))+(IF(G231=0,0,(Upgrades!$G$8+G231*Upgrades!$H$8)*POWER(Upgrades!$I$8,G231)))*(IF(Upgrades!$T$6="Stellar Coupling",POWER(Upgrades!$U$6,E231),1)*IF(Upgrades!$T$7="Stellar Coupling",POWER(Upgrades!$U$7,F231),1)*IF(Upgrades!$T$9="Stellar Coupling",POWER(Upgrades!$U$9,H231),1)*IF(Upgrades!$T$10="Stellar Coupling",POWER(Upgrades!$U$10,I231),1)*IF(Upgrades!$T$11="Stellar Coupling",POWER(Upgrades!$U$11,J231),1)*IF(Upgrades!$T$12="Stellar Coupling",POWER(Upgrades!$U$12,K231),1))+(IF(H231=0,0,(Upgrades!$G$9+H231*Upgrades!$H$9)*POWER(Upgrades!$I$9,H231)))*(IF(Upgrades!$T$6="Magnetosphere",POWER(Upgrades!$U$6,E231),1)*IF(Upgrades!$T$7="Magnetosphere",POWER(Upgrades!$U$7,F231),1)*IF(Upgrades!$T$8="Magnetosphere",POWER(Upgrades!$U$8,G231),1)*IF(Upgrades!$T$10="Magnetosphere",POWER(Upgrades!$U$10,I231),1)*IF(Upgrades!$T$11="Magnetosphere",POWER(Upgrades!$U$11,J231),1)*IF(Upgrades!$T$12="Magnetosphere",POWER(Upgrades!$U$12,K231),1))+(IF(I231=0,0,(Upgrades!$G$10+I231*Upgrades!$H$10)*POWER(Upgrades!$I$10,I231)))*(IF(Upgrades!$T$6="Orbital Resonance",POWER(Upgrades!$U$6,E231),1)*IF(Upgrades!$T$7="Orbital Resonance",POWER(Upgrades!$U$7,F231),1)*IF(Upgrades!$T$8="Orbital Resonance",POWER(Upgrades!$U$8,G231),1)*IF(Upgrades!$T$9="Orbital Resonance",POWER(Upgrades!$U$9,H231),1)*IF(Upgrades!$T$11="Orbital Resonance",POWER(Upgrades!$U$11,J231),1)*IF(Upgrades!$T$12="Orbital Resonance",POWER(Upgrades!$U$12,K231),1))+(IF(J231=0,0,(Upgrades!$G$11+J231*Upgrades!$H$11)*POWER(Upgrades!$I$11,J231)))*(IF(Upgrades!$T$6="Heliopause",POWER(Upgrades!$U$6,E231),1)*IF(Upgrades!$T$7="Heliopause",POWER(Upgrades!$U$7,F231),1)*IF(Upgrades!$T$8="Heliopause",POWER(Upgrades!$U$8,G231),1)*IF(Upgrades!$T$9="Heliopause",POWER(Upgrades!$U$9,H231),1)*IF(Upgrades!$T$10="Heliopause",POWER(Upgrades!$U$10,I231),1)*IF(Upgrades!$T$12="Heliopause",POWER(Upgrades!$U$12,K231),1))+(IF(K231=0,0,(Upgrades!$G$12+K231*Upgrades!$H$12)*POWER(Upgrades!$I$12,K231)))*(IF(Upgrades!$T$6="First Photons",POWER(Upgrades!$U$6,E231),1)*IF(Upgrades!$T$7="First Photons",POWER(Upgrades!$U$7,F231),1)*IF(Upgrades!$T$8="First Photons",POWER(Upgrades!$U$8,G231),1)*IF(Upgrades!$T$9="First Photons",POWER(Upgrades!$U$9,H231),1)*IF(Upgrades!$T$10="First Photons",POWER(Upgrades!$U$10,I231),1)*IF(Upgrades!$T$11="First Photons",POWER(Upgrades!$U$11,J231),1)))*POWER(Upgrades!$P$6,E231)*POWER(Upgrades!$P$7,F231)*POWER(Upgrades!$P$8,G231)*POWER(Upgrades!$P$9,H231)*POWER(Upgrades!$P$10,I231)*POWER(Upgrades!$P$11,J231)*POWER(Upgrades!$P$12,K231)</f>
        <v>11.2</v>
      </c>
      <c r="O231" s="28" t="n">
        <f aca="false">((IF(E231=0,0,(Upgrades!$M$6+E231*Upgrades!$N$6)*POWER(Upgrades!$O$6,E231)))*(IF(Upgrades!$T$7="Solar Wind",POWER(Upgrades!$U$7,F231),1)*IF(Upgrades!$T$8="Solar Wind",POWER(Upgrades!$U$8,G231),1)*IF(Upgrades!$T$9="Solar Wind",POWER(Upgrades!$U$9,H231),1)*IF(Upgrades!$T$10="Solar Wind",POWER(Upgrades!$U$10,I231),1)*IF(Upgrades!$T$11="Solar Wind",POWER(Upgrades!$U$11,J231),1)*IF(Upgrades!$T$12="Solar Wind",POWER(Upgrades!$U$12,K231),1))+(IF(F231=0,0,(Upgrades!$M$7+F231*Upgrades!$N$7)*POWER(Upgrades!$O$7,F231)))*(IF(Upgrades!$T$6="Asteroid Belt",POWER(Upgrades!$U$6,E231),1)*IF(Upgrades!$T$8="Asteroid Belt",POWER(Upgrades!$U$8,G231),1)*IF(Upgrades!$T$9="Asteroid Belt",POWER(Upgrades!$U$9,H231),1)*IF(Upgrades!$T$10="Asteroid Belt",POWER(Upgrades!$U$10,I231),1)*IF(Upgrades!$T$11="Asteroid Belt",POWER(Upgrades!$U$11,J231),1)*IF(Upgrades!$T$12="Asteroid Belt",POWER(Upgrades!$U$12,K231),1))+(IF(G231=0,0,(Upgrades!$M$8+G231*Upgrades!$N$8)*POWER(Upgrades!$O$8,G231)))*(IF(Upgrades!$T$6="Stellar Coupling",POWER(Upgrades!$U$6,E231),1)*IF(Upgrades!$T$7="Stellar Coupling",POWER(Upgrades!$U$7,F231),1)*IF(Upgrades!$T$9="Stellar Coupling",POWER(Upgrades!$U$9,H231),1)*IF(Upgrades!$T$10="Stellar Coupling",POWER(Upgrades!$U$10,I231),1)*IF(Upgrades!$T$11="Stellar Coupling",POWER(Upgrades!$U$11,J231),1)*IF(Upgrades!$T$12="Stellar Coupling",POWER(Upgrades!$U$12,K231),1))+(IF(H231=0,0,(Upgrades!$M$9+H231*Upgrades!$N$9)*POWER(Upgrades!$O$9,H231)))*(IF(Upgrades!$T$6="Magnetosphere",POWER(Upgrades!$U$6,E231),1)*IF(Upgrades!$T$7="Magnetosphere",POWER(Upgrades!$U$7,F231),1)*IF(Upgrades!$T$8="Magnetosphere",POWER(Upgrades!$U$8,G231),1)*IF(Upgrades!$T$10="Magnetosphere",POWER(Upgrades!$U$10,I231),1)*IF(Upgrades!$T$11="Magnetosphere",POWER(Upgrades!$U$11,J231),1)*IF(Upgrades!$T$12="Magnetosphere",POWER(Upgrades!$U$12,K231),1))+(IF(I231=0,0,(Upgrades!$M$10+I231*Upgrades!$N$10)*POWER(Upgrades!$O$10,I231)))*(IF(Upgrades!$T$6="Orbital Resonance",POWER(Upgrades!$U$6,E231),1)*IF(Upgrades!$T$7="Orbital Resonance",POWER(Upgrades!$U$7,F231),1)*IF(Upgrades!$T$8="Orbital Resonance",POWER(Upgrades!$U$8,G231),1)*IF(Upgrades!$T$9="Orbital Resonance",POWER(Upgrades!$U$9,H231),1)*IF(Upgrades!$T$11="Orbital Resonance",POWER(Upgrades!$U$11,J231),1)*IF(Upgrades!$T$12="Orbital Resonance",POWER(Upgrades!$U$12,K231),1))+(IF(J231=0,0,(Upgrades!$M$11+J231*Upgrades!$N$11)*POWER(Upgrades!$O$11,J231)))*(IF(Upgrades!$T$6="Heliopause",POWER(Upgrades!$U$6,E231),1)*IF(Upgrades!$T$7="Heliopause",POWER(Upgrades!$U$7,F231),1)*IF(Upgrades!$T$8="Heliopause",POWER(Upgrades!$U$8,G231),1)*IF(Upgrades!$T$9="Heliopause",POWER(Upgrades!$U$9,H231),1)*IF(Upgrades!$T$10="Heliopause",POWER(Upgrades!$U$10,I231),1)*IF(Upgrades!$T$12="Heliopause",POWER(Upgrades!$U$12,K231),1))+(IF(K231=0,0,(Upgrades!$M$12+K231*Upgrades!$N$12)*POWER(Upgrades!$O$12,K231)))*(IF(Upgrades!$T$6="First Photons",POWER(Upgrades!$U$6,E231),1)*IF(Upgrades!$T$7="First Photons",POWER(Upgrades!$U$7,F231),1)*IF(Upgrades!$T$8="First Photons",POWER(Upgrades!$U$8,G231),1)*IF(Upgrades!$T$9="First Photons",POWER(Upgrades!$U$9,H231),1)*IF(Upgrades!$T$10="First Photons",POWER(Upgrades!$U$10,I231),1)*IF(Upgrades!$T$11="First Photons",POWER(Upgrades!$U$11,J231),1)))*POWER(Upgrades!$R$6,E231)*POWER(Upgrades!$R$7,F231)*POWER(Upgrades!$R$8,G231)*POWER(Upgrades!$R$9,H231)*POWER(Upgrades!$R$10,I231)*POWER(Upgrades!$R$11,J231)*POWER(Upgrades!$R$12,K231)</f>
        <v>0</v>
      </c>
      <c r="P231" s="27" t="n">
        <f aca="false">IF(L231=1,0,M231*Parameters!$B$10/60*Parameters!$B$11*10)</f>
        <v>0</v>
      </c>
      <c r="Q231" s="27" t="n">
        <f aca="false">IF(L231=1,0,O231*M231*10)</f>
        <v>0</v>
      </c>
      <c r="R231" s="27" t="n">
        <f aca="false">IF(L231=1,0,N231*10)</f>
        <v>0</v>
      </c>
      <c r="S231" s="27" t="n">
        <f aca="false">P231+Q231+R231</f>
        <v>0</v>
      </c>
      <c r="T231" s="21" t="n">
        <f aca="false">C231+S231</f>
        <v>18.6730249835055</v>
      </c>
      <c r="U231" s="34" t="str">
        <f aca="false">AX231</f>
        <v/>
      </c>
      <c r="V231" s="21" t="n">
        <f aca="false">IF(U231="",0,IF(U231="transition",0,IF(U231="SW",AG231,IF(U231="AB",AH231,IF(U231="SC",AI231,IF(U231="Mag",AJ231,IF(U231="OR",AK231,IF(U231="HP",AL231,IF(U231="FP",AM231,0)))))))))</f>
        <v>0</v>
      </c>
      <c r="W231" s="27" t="n">
        <f aca="false">IF(U231="OR",Upgrades!$F$10,IF(U231="HP",Upgrades!$F$11,IF(U231="transition",-Parameters!$B$18,0)))</f>
        <v>0</v>
      </c>
      <c r="X231" s="21" t="n">
        <f aca="false">T231-V231</f>
        <v>18.6730249835055</v>
      </c>
      <c r="Y231" s="30" t="n">
        <f aca="false">M231*Parameters!$B$10/60*Parameters!$B$11+O231*M231+N231</f>
        <v>20.55</v>
      </c>
      <c r="Z231" s="35" t="str">
        <f aca="false">IF(U231="transition","→ Tier 2 (Stellar Neighborhood)",IF(U231="FP","First Photons — light begins, system quickens",IF(U231="HP","Heliopause acquired",IF(U231="OR","Orbital Resonance — passive multiplier active",IF(AND(AO231=1,L231=0,AN231&lt;&gt;1),"Cohesion ready (waiting on completionist upgrades)","")))))</f>
        <v/>
      </c>
      <c r="AA231" s="27" t="n">
        <f aca="false">(IF(E231=0,0,(Upgrades!$G$6+E231*Upgrades!$H$6)*POWER(Upgrades!$I$6,E231)))*(IF(Upgrades!$T$7="Solar Wind",POWER(Upgrades!$U$7,F231),1)*IF(Upgrades!$T$8="Solar Wind",POWER(Upgrades!$U$8,G231),1)*IF(Upgrades!$T$9="Solar Wind",POWER(Upgrades!$U$9,H231),1)*IF(Upgrades!$T$10="Solar Wind",POWER(Upgrades!$U$10,I231),1)*IF(Upgrades!$T$11="Solar Wind",POWER(Upgrades!$U$11,J231),1)*IF(Upgrades!$T$12="Solar Wind",POWER(Upgrades!$U$12,K231),1))*POWER(Upgrades!$P$6,E231)*POWER(Upgrades!$P$7,F231)*POWER(Upgrades!$P$8,G231)*POWER(Upgrades!$P$9,H231)*POWER(Upgrades!$P$10,I231)*POWER(Upgrades!$P$11,J231)*POWER(Upgrades!$P$12,K231)*60</f>
        <v>72</v>
      </c>
      <c r="AB231" s="27" t="n">
        <f aca="false">(IF(F231=0,0,(Upgrades!$G$7+F231*Upgrades!$H$7)*POWER(Upgrades!$I$7,F231)))*(IF(Upgrades!$T$6="Asteroid Belt",POWER(Upgrades!$U$6,E231),1)*IF(Upgrades!$T$8="Asteroid Belt",POWER(Upgrades!$U$8,G231),1)*IF(Upgrades!$T$9="Asteroid Belt",POWER(Upgrades!$U$9,H231),1)*IF(Upgrades!$T$10="Asteroid Belt",POWER(Upgrades!$U$10,I231),1)*IF(Upgrades!$T$11="Asteroid Belt",POWER(Upgrades!$U$11,J231),1)*IF(Upgrades!$T$12="Asteroid Belt",POWER(Upgrades!$U$12,K231),1))*POWER(Upgrades!$P$6,E231)*POWER(Upgrades!$P$7,F231)*POWER(Upgrades!$P$8,G231)*POWER(Upgrades!$P$9,H231)*POWER(Upgrades!$P$10,I231)*POWER(Upgrades!$P$11,J231)*POWER(Upgrades!$P$12,K231)*60</f>
        <v>150</v>
      </c>
      <c r="AC231" s="27" t="n">
        <f aca="false">(IF(G231=0,0,(Upgrades!$J$8+G231*Upgrades!$K$8)*POWER(Upgrades!$L$8,G231)))*(IF(Upgrades!$T$6="Stellar Coupling",POWER(Upgrades!$U$6,E231),1)*IF(Upgrades!$T$7="Stellar Coupling",POWER(Upgrades!$U$7,F231),1)*IF(Upgrades!$T$9="Stellar Coupling",POWER(Upgrades!$U$9,H231),1)*IF(Upgrades!$T$10="Stellar Coupling",POWER(Upgrades!$U$10,I231),1)*IF(Upgrades!$T$11="Stellar Coupling",POWER(Upgrades!$U$11,J231),1)*IF(Upgrades!$T$12="Stellar Coupling",POWER(Upgrades!$U$12,K231),1))*POWER(Upgrades!$Q$6,E231)*POWER(Upgrades!$Q$7,F231)*POWER(Upgrades!$Q$8,G231)*POWER(Upgrades!$Q$9,H231)*POWER(Upgrades!$Q$10,I231)*POWER(Upgrades!$Q$11,J231)*POWER(Upgrades!$Q$12,K231)*Parameters!$B$10*Parameters!$B$11</f>
        <v>441</v>
      </c>
      <c r="AD231" s="27" t="n">
        <f aca="false">(IF(H231=0,0,(Upgrades!$G$9+H231*Upgrades!$H$9)*POWER(Upgrades!$I$9,H231)))*(IF(Upgrades!$T$6="Magnetosphere",POWER(Upgrades!$U$6,E231),1)*IF(Upgrades!$T$7="Magnetosphere",POWER(Upgrades!$U$7,F231),1)*IF(Upgrades!$T$8="Magnetosphere",POWER(Upgrades!$U$8,G231),1)*IF(Upgrades!$T$10="Magnetosphere",POWER(Upgrades!$U$10,I231),1)*IF(Upgrades!$T$11="Magnetosphere",POWER(Upgrades!$U$11,J231),1)*IF(Upgrades!$T$12="Magnetosphere",POWER(Upgrades!$U$12,K231),1))*POWER(Upgrades!$P$6,E231)*POWER(Upgrades!$P$7,F231)*POWER(Upgrades!$P$8,G231)*POWER(Upgrades!$P$9,H231)*POWER(Upgrades!$P$10,I231)*POWER(Upgrades!$P$11,J231)*POWER(Upgrades!$P$12,K231)*60</f>
        <v>375</v>
      </c>
      <c r="AE231" s="27" t="n">
        <f aca="false">(IF(K231=0,0,(Upgrades!$G$12+K231*Upgrades!$H$12)*POWER(Upgrades!$I$12,K231)))*(IF(Upgrades!$T$6="First Photons",POWER(Upgrades!$U$6,E231),1)*IF(Upgrades!$T$7="First Photons",POWER(Upgrades!$U$7,F231),1)*IF(Upgrades!$T$8="First Photons",POWER(Upgrades!$U$8,G231),1)*IF(Upgrades!$T$9="First Photons",POWER(Upgrades!$U$9,H231),1)*IF(Upgrades!$T$10="First Photons",POWER(Upgrades!$U$10,I231),1)*IF(Upgrades!$T$11="First Photons",POWER(Upgrades!$U$11,J231),1))*POWER(Upgrades!$P$6,E231)*POWER(Upgrades!$P$7,F231)*POWER(Upgrades!$P$8,G231)*POWER(Upgrades!$P$9,H231)*POWER(Upgrades!$P$10,I231)*POWER(Upgrades!$P$11,J231)*POWER(Upgrades!$P$12,K231)*60</f>
        <v>75</v>
      </c>
      <c r="AF231" s="27" t="n">
        <f aca="false">Parameters!$B$9*POWER(Upgrades!$Q$6,E231)*POWER(Upgrades!$Q$7,F231)*POWER(Upgrades!$Q$8,G231)*POWER(Upgrades!$Q$9,H231)*POWER(Upgrades!$Q$10,I231)*POWER(Upgrades!$Q$11,J231)*POWER(Upgrades!$Q$12,K231)*(Parameters!$B$10*Parameters!$B$11+O231*60)</f>
        <v>120</v>
      </c>
      <c r="AG231" s="21" t="n">
        <f aca="false">IF(E231&gt;=Upgrades!$E$6,"",Upgrades!$C$6*POWER(Upgrades!$D$6,E231))</f>
        <v>37.4517507383159</v>
      </c>
      <c r="AH231" s="21" t="n">
        <f aca="false">IF(F231&gt;=Upgrades!$E$7,"",Upgrades!$C$7*POWER(Upgrades!$D$7,F231))</f>
        <v>80.9111547141581</v>
      </c>
      <c r="AI231" s="21" t="n">
        <f aca="false">IF(G231&gt;=Upgrades!$E$8,"",Upgrades!$C$8*POWER(Upgrades!$D$8,G231))</f>
        <v>231.9097088</v>
      </c>
      <c r="AJ231" s="21" t="str">
        <f aca="false">IF(H231&gt;=Upgrades!$E$9,"",Upgrades!$C$9*POWER(Upgrades!$D$9,H231))</f>
        <v/>
      </c>
      <c r="AK231" s="21" t="str">
        <f aca="false">IF(I231&gt;=Upgrades!$E$10,"",Upgrades!$C$10*POWER(Upgrades!$D$10,I231))</f>
        <v/>
      </c>
      <c r="AL231" s="21" t="str">
        <f aca="false">IF(J231&gt;=Upgrades!$E$11,"",Upgrades!$C$11*POWER(Upgrades!$D$11,J231))</f>
        <v/>
      </c>
      <c r="AM231" s="21" t="str">
        <f aca="false">IF(K231&gt;=Upgrades!$E$12,"",Upgrades!$C$12*POWER(Upgrades!$D$12,K231))</f>
        <v/>
      </c>
      <c r="AN231" s="26" t="str">
        <f aca="false">IF(AND(D231&gt;=Parameters!$B$18,(H231&gt;=Upgrades!$E$9)*(K231&gt;=Upgrades!$E$12)=1,L231=0),1,"")</f>
        <v/>
      </c>
      <c r="AO231" s="26" t="str">
        <f aca="false">IF(AND(D231&gt;=Parameters!$B$18,L231=0),1,"")</f>
        <v/>
      </c>
      <c r="AP231" s="21" t="n">
        <f aca="false">MIN(IF(ISNUMBER(AK231),AK231,9000000000000000),IF(ISNUMBER(AL231),AL231,9000000000000000),IF(ISNUMBER(AM231),AM231,9000000000000000))</f>
        <v>9000000000000000</v>
      </c>
      <c r="AQ231" s="21" t="n">
        <f aca="false">MIN(IF(ISNUMBER(AG231),AG231,9000000000000000),IF(ISNUMBER(AH231),AH231,9000000000000000),IF(ISNUMBER(AI231),AI231,9000000000000000),IF(ISNUMBER(AJ231),AJ231,9000000000000000))</f>
        <v>37.4517507383159</v>
      </c>
      <c r="AR231" s="32" t="b">
        <f aca="false">IF(AW231&gt;Parameters!$B$21*(MAX(IF(AND(NOT(AND(AO231=1,AN231&lt;&gt;1)),ISNUMBER(AG231),AG231&lt;=T231),AS231,0),IF(AND(NOT(AND(AO231=1,AN231&lt;&gt;1)),ISNUMBER(AH231),AH231&lt;=T231),AT231,0),IF(AND(NOT(AND(AO231=1,AN231&lt;&gt;1)),ISNUMBER(AI231),AI231&lt;=T231),AU231,0),IF(AND(ISNUMBER(AJ231),AJ231&lt;=T231),AV231,0))),TRUE(),FALSE())</f>
        <v>1</v>
      </c>
      <c r="AS231" s="33" t="n">
        <f aca="false">IFERROR(Upgrades!$H$6*(POWER(Upgrades!$P$6,E231)*POWER(Upgrades!$P$7,F231)*POWER(Upgrades!$P$8,G231)*POWER(Upgrades!$P$9,H231)*POWER(Upgrades!$P$10,I231)*POWER(Upgrades!$P$11,J231)*POWER(Upgrades!$P$12,K231))*(IF(Upgrades!$T$7="Solar Wind",POWER(Upgrades!$U$7,F231),1)*IF(Upgrades!$T$8="Solar Wind",POWER(Upgrades!$U$8,G231),1)*IF(Upgrades!$T$9="Solar Wind",POWER(Upgrades!$U$9,H231),1)*IF(Upgrades!$T$10="Solar Wind",POWER(Upgrades!$U$10,I231),1)*IF(Upgrades!$T$11="Solar Wind",POWER(Upgrades!$U$11,J231),1)*IF(Upgrades!$T$12="Solar Wind",POWER(Upgrades!$U$12,K231),1))/AG231,0)</f>
        <v>0.0026701021455238</v>
      </c>
      <c r="AT231" s="33" t="n">
        <f aca="false">IFERROR(Upgrades!$H$7*(POWER(Upgrades!$P$6,E231)*POWER(Upgrades!$P$7,F231)*POWER(Upgrades!$P$8,G231)*POWER(Upgrades!$P$9,H231)*POWER(Upgrades!$P$10,I231)*POWER(Upgrades!$P$11,J231)*POWER(Upgrades!$P$12,K231))*(IF(Upgrades!$T$6="Asteroid Belt",POWER(Upgrades!$U$6,E231),1)*IF(Upgrades!$T$8="Asteroid Belt",POWER(Upgrades!$U$8,G231),1)*IF(Upgrades!$T$9="Asteroid Belt",POWER(Upgrades!$U$9,H231),1)*IF(Upgrades!$T$10="Asteroid Belt",POWER(Upgrades!$U$10,I231),1)*IF(Upgrades!$T$11="Asteroid Belt",POWER(Upgrades!$U$11,J231),1)*IF(Upgrades!$T$12="Asteroid Belt",POWER(Upgrades!$U$12,K231),1))/AH231,0)</f>
        <v>0.00308980882652332</v>
      </c>
      <c r="AU231" s="33" t="n">
        <f aca="false">IFERROR(Upgrades!$K$8*(POWER(Upgrades!$Q$6,E231)*POWER(Upgrades!$Q$7,F231)*POWER(Upgrades!$Q$8,G231)*POWER(Upgrades!$Q$9,H231)*POWER(Upgrades!$Q$10,I231)*POWER(Upgrades!$Q$11,J231)*POWER(Upgrades!$Q$12,K231))*(IF(Upgrades!$T$6="Stellar Coupling",POWER(Upgrades!$U$6,E231),1)*IF(Upgrades!$T$7="Stellar Coupling",POWER(Upgrades!$U$7,F231),1)*IF(Upgrades!$T$9="Stellar Coupling",POWER(Upgrades!$U$9,H231),1)*IF(Upgrades!$T$10="Stellar Coupling",POWER(Upgrades!$U$10,I231),1)*IF(Upgrades!$T$11="Stellar Coupling",POWER(Upgrades!$U$11,J231),1)*IF(Upgrades!$T$12="Stellar Coupling",POWER(Upgrades!$U$12,K231),1))*Parameters!$B$10*Parameters!$B$11/60/AI231,0)</f>
        <v>0.00452762415783776</v>
      </c>
      <c r="AV231" s="33" t="n">
        <f aca="false">IFERROR(Upgrades!$H$9*(POWER(Upgrades!$P$6,E231)*POWER(Upgrades!$P$7,F231)*POWER(Upgrades!$P$8,G231)*POWER(Upgrades!$P$9,H231)*POWER(Upgrades!$P$10,I231)*POWER(Upgrades!$P$11,J231)*POWER(Upgrades!$P$12,K231))*(IF(Upgrades!$T$6="Magnetosphere",POWER(Upgrades!$U$6,E231),1)*IF(Upgrades!$T$7="Magnetosphere",POWER(Upgrades!$U$7,F231),1)*IF(Upgrades!$T$8="Magnetosphere",POWER(Upgrades!$U$8,G231),1)*IF(Upgrades!$T$10="Magnetosphere",POWER(Upgrades!$U$10,I231),1)*IF(Upgrades!$T$11="Magnetosphere",POWER(Upgrades!$U$11,J231),1)*IF(Upgrades!$T$12="Magnetosphere",POWER(Upgrades!$U$12,K231),1))/AJ231,0)</f>
        <v>0</v>
      </c>
      <c r="AW231" s="33" t="n">
        <f aca="false">MAX(IF(I231&gt;0,0,IFERROR(0.25*N231/Upgrades!$C$10,0)),IF(J231&gt;0,0,IFERROR(0.5*((IF(G231=0,0,(Upgrades!$J$8+G231*Upgrades!$K$8)*POWER(Upgrades!$L$8,G231)))*(IF(Upgrades!$T$6="Stellar Coupling",POWER(Upgrades!$U$6,E231),1)*IF(Upgrades!$T$7="Stellar Coupling",POWER(Upgrades!$U$7,F231),1)*IF(Upgrades!$T$9="Stellar Coupling",POWER(Upgrades!$U$9,H231),1)*IF(Upgrades!$T$10="Stellar Coupling",POWER(Upgrades!$U$10,I231),1)*IF(Upgrades!$T$11="Stellar Coupling",POWER(Upgrades!$U$11,J231),1)*IF(Upgrades!$T$12="Stellar Coupling",POWER(Upgrades!$U$12,K231),1))*(POWER(Upgrades!$Q$6,E231)*POWER(Upgrades!$Q$7,F231)*POWER(Upgrades!$Q$8,G231)*POWER(Upgrades!$Q$9,H231)*POWER(Upgrades!$Q$10,I231)*POWER(Upgrades!$Q$11,J231)*POWER(Upgrades!$Q$12,K231))*Parameters!$B$10*Parameters!$B$11/60)/Upgrades!$C$11,0)),IF(K231&gt;0,0,IFERROR((1*(POWER(Upgrades!$P$6,E231)*POWER(Upgrades!$P$7,F231)*POWER(Upgrades!$P$8,G231)*POWER(Upgrades!$P$9,H231)*POWER(Upgrades!$P$10,I231)*POWER(Upgrades!$P$11,J231)*POWER(Upgrades!$P$12,K231))+0.2*M231*Parameters!$B$10*Parameters!$B$11/60)/Upgrades!$C$12,0)),IF(AND(ISNUMBER(AG231),AG231&gt;T231),AS231,0),IF(AND(ISNUMBER(AH231),AH231&gt;T231),AT231,0),IF(AND(ISNUMBER(AI231),AI231&gt;T231),AU231,0),IF(AND(ISNUMBER(AJ231),AJ231&gt;T231),AV231,0))</f>
        <v>0.00452762415783776</v>
      </c>
      <c r="AX231" s="29" t="str">
        <f aca="false">IF(AN231=1,"transition",IF(MIN(IF(AND(I231=0,ISNUMBER(AK231),AK231&lt;=T231),AK231,9000000000000000),IF(AND(J231=0,ISNUMBER(AL231),AL231&lt;=T231),AL231,9000000000000000),IF(AND(K231=0,ISNUMBER(AM231),AM231&lt;=T231),AM231,9000000000000000))&lt;9000000000000000,IF(AND(AND(I231=0,ISNUMBER(AK231),AK231&lt;=T231),AK231=MIN(IF(AND(I231=0,ISNUMBER(AK231),AK231&lt;=T231),AK231,9000000000000000),IF(AND(J231=0,ISNUMBER(AL231),AL231&lt;=T231),AL231,9000000000000000),IF(AND(K231=0,ISNUMBER(AM231),AM231&lt;=T231),AM231,9000000000000000))),"OR",IF(AND(AND(J231=0,ISNUMBER(AL231),AL231&lt;=T231),AL231=MIN(IF(AND(I231=0,ISNUMBER(AK231),AK231&lt;=T231),AK231,9000000000000000),IF(AND(J231=0,ISNUMBER(AL231),AL231&lt;=T231),AL231,9000000000000000),IF(AND(K231=0,ISNUMBER(AM231),AM231&lt;=T231),AM231,9000000000000000))),"HP","FP")),IF(AR231=TRUE(),"",IF(MAX(IF(AND(NOT(AND(AO231=1,AN231&lt;&gt;1)),ISNUMBER(AG231),AG231&lt;=T231),AS231,0),IF(AND(NOT(AND(AO231=1,AN231&lt;&gt;1)),ISNUMBER(AH231),AH231&lt;=T231),AT231,0),IF(AND(NOT(AND(AO231=1,AN231&lt;&gt;1)),ISNUMBER(AI231),AI231&lt;=T231),AU231,0),IF(AND(ISNUMBER(AJ231),AJ231&lt;=T231),AV231,0))&lt;=0,"",IF(AND(IF(AND(NOT(AND(AO231=1,AN231&lt;&gt;1)),ISNUMBER(AG231),AG231&lt;=T231),AS231,0)&gt;0,IF(AND(NOT(AND(AO231=1,AN231&lt;&gt;1)),ISNUMBER(AG231),AG231&lt;=T231),AS231,0)=MAX(IF(AND(NOT(AND(AO231=1,AN231&lt;&gt;1)),ISNUMBER(AG231),AG231&lt;=T231),AS231,0),IF(AND(NOT(AND(AO231=1,AN231&lt;&gt;1)),ISNUMBER(AH231),AH231&lt;=T231),AT231,0),IF(AND(NOT(AND(AO231=1,AN231&lt;&gt;1)),ISNUMBER(AI231),AI231&lt;=T231),AU231,0),IF(AND(ISNUMBER(AJ231),AJ231&lt;=T231),AV231,0))),"SW",IF(AND(IF(AND(NOT(AND(AO231=1,AN231&lt;&gt;1)),ISNUMBER(AH231),AH231&lt;=T231),AT231,0)&gt;0,IF(AND(NOT(AND(AO231=1,AN231&lt;&gt;1)),ISNUMBER(AH231),AH231&lt;=T231),AT231,0)=MAX(IF(AND(NOT(AND(AO231=1,AN231&lt;&gt;1)),ISNUMBER(AG231),AG231&lt;=T231),AS231,0),IF(AND(NOT(AND(AO231=1,AN231&lt;&gt;1)),ISNUMBER(AH231),AH231&lt;=T231),AT231,0),IF(AND(NOT(AND(AO231=1,AN231&lt;&gt;1)),ISNUMBER(AI231),AI231&lt;=T231),AU231,0),IF(AND(ISNUMBER(AJ231),AJ231&lt;=T231),AV231,0))),"AB",IF(AND(IF(AND(NOT(AND(AO231=1,AN231&lt;&gt;1)),ISNUMBER(AI231),AI231&lt;=T231),AU231,0)&gt;0,IF(AND(NOT(AND(AO231=1,AN231&lt;&gt;1)),ISNUMBER(AI231),AI231&lt;=T231),AU231,0)=MAX(IF(AND(NOT(AND(AO231=1,AN231&lt;&gt;1)),ISNUMBER(AG231),AG231&lt;=T231),AS231,0),IF(AND(NOT(AND(AO231=1,AN231&lt;&gt;1)),ISNUMBER(AH231),AH231&lt;=T231),AT231,0),IF(AND(NOT(AND(AO231=1,AN231&lt;&gt;1)),ISNUMBER(AI231),AI231&lt;=T231),AU231,0),IF(AND(ISNUMBER(AJ231),AJ231&lt;=T231),AV231,0))),"SC","Mag")))))))</f>
        <v/>
      </c>
    </row>
    <row r="232" customFormat="false" ht="15" hidden="false" customHeight="false" outlineLevel="0" collapsed="false">
      <c r="A232" s="26" t="n">
        <v>227</v>
      </c>
      <c r="B232" s="27" t="n">
        <f aca="false">A232*10/60</f>
        <v>37.8333333333333</v>
      </c>
      <c r="C232" s="21" t="n">
        <f aca="false">X231</f>
        <v>18.6730249835055</v>
      </c>
      <c r="D232" s="27" t="n">
        <f aca="false">D231+W231</f>
        <v>0</v>
      </c>
      <c r="E232" s="26" t="n">
        <f aca="false">E231+IF(U231="SW",1,0)</f>
        <v>12</v>
      </c>
      <c r="F232" s="26" t="n">
        <f aca="false">F231+IF(U231="AB",1,0)</f>
        <v>10</v>
      </c>
      <c r="G232" s="26" t="n">
        <f aca="false">G231+IF(U231="SC",1,0)</f>
        <v>7</v>
      </c>
      <c r="H232" s="26" t="n">
        <f aca="false">H231+IF(U231="Mag",1,0)</f>
        <v>5</v>
      </c>
      <c r="I232" s="26" t="n">
        <f aca="false">MAX(I231,IF(U231="OR",1,0))</f>
        <v>1</v>
      </c>
      <c r="J232" s="26" t="n">
        <f aca="false">MAX(J231,IF(U231="HP",1,0))</f>
        <v>1</v>
      </c>
      <c r="K232" s="26" t="n">
        <f aca="false">MAX(K231,IF(U231="FP",1,0))</f>
        <v>1</v>
      </c>
      <c r="L232" s="26" t="n">
        <f aca="false">MAX(L231,IF(U231="transition",1,0))</f>
        <v>1</v>
      </c>
      <c r="M232" s="28" t="n">
        <f aca="false">(Parameters!$B$9+(IF(E232=0,0,(Upgrades!$J$6+E232*Upgrades!$K$6)*POWER(Upgrades!$L$6,E232)))*(IF(Upgrades!$T$7="Solar Wind",POWER(Upgrades!$U$7,F232),1)*IF(Upgrades!$T$8="Solar Wind",POWER(Upgrades!$U$8,G232),1)*IF(Upgrades!$T$9="Solar Wind",POWER(Upgrades!$U$9,H232),1)*IF(Upgrades!$T$10="Solar Wind",POWER(Upgrades!$U$10,I232),1)*IF(Upgrades!$T$11="Solar Wind",POWER(Upgrades!$U$11,J232),1)*IF(Upgrades!$T$12="Solar Wind",POWER(Upgrades!$U$12,K232),1))+(IF(F232=0,0,(Upgrades!$J$7+F232*Upgrades!$K$7)*POWER(Upgrades!$L$7,F232)))*(IF(Upgrades!$T$6="Asteroid Belt",POWER(Upgrades!$U$6,E232),1)*IF(Upgrades!$T$8="Asteroid Belt",POWER(Upgrades!$U$8,G232),1)*IF(Upgrades!$T$9="Asteroid Belt",POWER(Upgrades!$U$9,H232),1)*IF(Upgrades!$T$10="Asteroid Belt",POWER(Upgrades!$U$10,I232),1)*IF(Upgrades!$T$11="Asteroid Belt",POWER(Upgrades!$U$11,J232),1)*IF(Upgrades!$T$12="Asteroid Belt",POWER(Upgrades!$U$12,K232),1))+(IF(G232=0,0,(Upgrades!$J$8+G232*Upgrades!$K$8)*POWER(Upgrades!$L$8,G232)))*(IF(Upgrades!$T$6="Stellar Coupling",POWER(Upgrades!$U$6,E232),1)*IF(Upgrades!$T$7="Stellar Coupling",POWER(Upgrades!$U$7,F232),1)*IF(Upgrades!$T$9="Stellar Coupling",POWER(Upgrades!$U$9,H232),1)*IF(Upgrades!$T$10="Stellar Coupling",POWER(Upgrades!$U$10,I232),1)*IF(Upgrades!$T$11="Stellar Coupling",POWER(Upgrades!$U$11,J232),1)*IF(Upgrades!$T$12="Stellar Coupling",POWER(Upgrades!$U$12,K232),1))+(IF(H232=0,0,(Upgrades!$J$9+H232*Upgrades!$K$9)*POWER(Upgrades!$L$9,H232)))*(IF(Upgrades!$T$6="Magnetosphere",POWER(Upgrades!$U$6,E232),1)*IF(Upgrades!$T$7="Magnetosphere",POWER(Upgrades!$U$7,F232),1)*IF(Upgrades!$T$8="Magnetosphere",POWER(Upgrades!$U$8,G232),1)*IF(Upgrades!$T$10="Magnetosphere",POWER(Upgrades!$U$10,I232),1)*IF(Upgrades!$T$11="Magnetosphere",POWER(Upgrades!$U$11,J232),1)*IF(Upgrades!$T$12="Magnetosphere",POWER(Upgrades!$U$12,K232),1))+(IF(I232=0,0,(Upgrades!$J$10+I232*Upgrades!$K$10)*POWER(Upgrades!$L$10,I232)))*(IF(Upgrades!$T$6="Orbital Resonance",POWER(Upgrades!$U$6,E232),1)*IF(Upgrades!$T$7="Orbital Resonance",POWER(Upgrades!$U$7,F232),1)*IF(Upgrades!$T$8="Orbital Resonance",POWER(Upgrades!$U$8,G232),1)*IF(Upgrades!$T$9="Orbital Resonance",POWER(Upgrades!$U$9,H232),1)*IF(Upgrades!$T$11="Orbital Resonance",POWER(Upgrades!$U$11,J232),1)*IF(Upgrades!$T$12="Orbital Resonance",POWER(Upgrades!$U$12,K232),1))+(IF(J232=0,0,(Upgrades!$J$11+J232*Upgrades!$K$11)*POWER(Upgrades!$L$11,J232)))*(IF(Upgrades!$T$6="Heliopause",POWER(Upgrades!$U$6,E232),1)*IF(Upgrades!$T$7="Heliopause",POWER(Upgrades!$U$7,F232),1)*IF(Upgrades!$T$8="Heliopause",POWER(Upgrades!$U$8,G232),1)*IF(Upgrades!$T$9="Heliopause",POWER(Upgrades!$U$9,H232),1)*IF(Upgrades!$T$10="Heliopause",POWER(Upgrades!$U$10,I232),1)*IF(Upgrades!$T$12="Heliopause",POWER(Upgrades!$U$12,K232),1))+(IF(K232=0,0,(Upgrades!$J$12+K232*Upgrades!$K$12)*POWER(Upgrades!$L$12,K232)))*(IF(Upgrades!$T$6="First Photons",POWER(Upgrades!$U$6,E232),1)*IF(Upgrades!$T$7="First Photons",POWER(Upgrades!$U$7,F232),1)*IF(Upgrades!$T$8="First Photons",POWER(Upgrades!$U$8,G232),1)*IF(Upgrades!$T$9="First Photons",POWER(Upgrades!$U$9,H232),1)*IF(Upgrades!$T$10="First Photons",POWER(Upgrades!$U$10,I232),1)*IF(Upgrades!$T$11="First Photons",POWER(Upgrades!$U$11,J232),1)))*POWER(Upgrades!$Q$6,E232)*POWER(Upgrades!$Q$7,F232)*POWER(Upgrades!$Q$8,G232)*POWER(Upgrades!$Q$9,H232)*POWER(Upgrades!$Q$10,I232)*POWER(Upgrades!$Q$11,J232)*POWER(Upgrades!$Q$12,K232)</f>
        <v>5.61</v>
      </c>
      <c r="N232" s="28" t="n">
        <f aca="false">((IF(E232=0,0,(Upgrades!$G$6+E232*Upgrades!$H$6)*POWER(Upgrades!$I$6,E232)))*(IF(Upgrades!$T$7="Solar Wind",POWER(Upgrades!$U$7,F232),1)*IF(Upgrades!$T$8="Solar Wind",POWER(Upgrades!$U$8,G232),1)*IF(Upgrades!$T$9="Solar Wind",POWER(Upgrades!$U$9,H232),1)*IF(Upgrades!$T$10="Solar Wind",POWER(Upgrades!$U$10,I232),1)*IF(Upgrades!$T$11="Solar Wind",POWER(Upgrades!$U$11,J232),1)*IF(Upgrades!$T$12="Solar Wind",POWER(Upgrades!$U$12,K232),1))+(IF(F232=0,0,(Upgrades!$G$7+F232*Upgrades!$H$7)*POWER(Upgrades!$I$7,F232)))*(IF(Upgrades!$T$6="Asteroid Belt",POWER(Upgrades!$U$6,E232),1)*IF(Upgrades!$T$8="Asteroid Belt",POWER(Upgrades!$U$8,G232),1)*IF(Upgrades!$T$9="Asteroid Belt",POWER(Upgrades!$U$9,H232),1)*IF(Upgrades!$T$10="Asteroid Belt",POWER(Upgrades!$U$10,I232),1)*IF(Upgrades!$T$11="Asteroid Belt",POWER(Upgrades!$U$11,J232),1)*IF(Upgrades!$T$12="Asteroid Belt",POWER(Upgrades!$U$12,K232),1))+(IF(G232=0,0,(Upgrades!$G$8+G232*Upgrades!$H$8)*POWER(Upgrades!$I$8,G232)))*(IF(Upgrades!$T$6="Stellar Coupling",POWER(Upgrades!$U$6,E232),1)*IF(Upgrades!$T$7="Stellar Coupling",POWER(Upgrades!$U$7,F232),1)*IF(Upgrades!$T$9="Stellar Coupling",POWER(Upgrades!$U$9,H232),1)*IF(Upgrades!$T$10="Stellar Coupling",POWER(Upgrades!$U$10,I232),1)*IF(Upgrades!$T$11="Stellar Coupling",POWER(Upgrades!$U$11,J232),1)*IF(Upgrades!$T$12="Stellar Coupling",POWER(Upgrades!$U$12,K232),1))+(IF(H232=0,0,(Upgrades!$G$9+H232*Upgrades!$H$9)*POWER(Upgrades!$I$9,H232)))*(IF(Upgrades!$T$6="Magnetosphere",POWER(Upgrades!$U$6,E232),1)*IF(Upgrades!$T$7="Magnetosphere",POWER(Upgrades!$U$7,F232),1)*IF(Upgrades!$T$8="Magnetosphere",POWER(Upgrades!$U$8,G232),1)*IF(Upgrades!$T$10="Magnetosphere",POWER(Upgrades!$U$10,I232),1)*IF(Upgrades!$T$11="Magnetosphere",POWER(Upgrades!$U$11,J232),1)*IF(Upgrades!$T$12="Magnetosphere",POWER(Upgrades!$U$12,K232),1))+(IF(I232=0,0,(Upgrades!$G$10+I232*Upgrades!$H$10)*POWER(Upgrades!$I$10,I232)))*(IF(Upgrades!$T$6="Orbital Resonance",POWER(Upgrades!$U$6,E232),1)*IF(Upgrades!$T$7="Orbital Resonance",POWER(Upgrades!$U$7,F232),1)*IF(Upgrades!$T$8="Orbital Resonance",POWER(Upgrades!$U$8,G232),1)*IF(Upgrades!$T$9="Orbital Resonance",POWER(Upgrades!$U$9,H232),1)*IF(Upgrades!$T$11="Orbital Resonance",POWER(Upgrades!$U$11,J232),1)*IF(Upgrades!$T$12="Orbital Resonance",POWER(Upgrades!$U$12,K232),1))+(IF(J232=0,0,(Upgrades!$G$11+J232*Upgrades!$H$11)*POWER(Upgrades!$I$11,J232)))*(IF(Upgrades!$T$6="Heliopause",POWER(Upgrades!$U$6,E232),1)*IF(Upgrades!$T$7="Heliopause",POWER(Upgrades!$U$7,F232),1)*IF(Upgrades!$T$8="Heliopause",POWER(Upgrades!$U$8,G232),1)*IF(Upgrades!$T$9="Heliopause",POWER(Upgrades!$U$9,H232),1)*IF(Upgrades!$T$10="Heliopause",POWER(Upgrades!$U$10,I232),1)*IF(Upgrades!$T$12="Heliopause",POWER(Upgrades!$U$12,K232),1))+(IF(K232=0,0,(Upgrades!$G$12+K232*Upgrades!$H$12)*POWER(Upgrades!$I$12,K232)))*(IF(Upgrades!$T$6="First Photons",POWER(Upgrades!$U$6,E232),1)*IF(Upgrades!$T$7="First Photons",POWER(Upgrades!$U$7,F232),1)*IF(Upgrades!$T$8="First Photons",POWER(Upgrades!$U$8,G232),1)*IF(Upgrades!$T$9="First Photons",POWER(Upgrades!$U$9,H232),1)*IF(Upgrades!$T$10="First Photons",POWER(Upgrades!$U$10,I232),1)*IF(Upgrades!$T$11="First Photons",POWER(Upgrades!$U$11,J232),1)))*POWER(Upgrades!$P$6,E232)*POWER(Upgrades!$P$7,F232)*POWER(Upgrades!$P$8,G232)*POWER(Upgrades!$P$9,H232)*POWER(Upgrades!$P$10,I232)*POWER(Upgrades!$P$11,J232)*POWER(Upgrades!$P$12,K232)</f>
        <v>11.2</v>
      </c>
      <c r="O232" s="28" t="n">
        <f aca="false">((IF(E232=0,0,(Upgrades!$M$6+E232*Upgrades!$N$6)*POWER(Upgrades!$O$6,E232)))*(IF(Upgrades!$T$7="Solar Wind",POWER(Upgrades!$U$7,F232),1)*IF(Upgrades!$T$8="Solar Wind",POWER(Upgrades!$U$8,G232),1)*IF(Upgrades!$T$9="Solar Wind",POWER(Upgrades!$U$9,H232),1)*IF(Upgrades!$T$10="Solar Wind",POWER(Upgrades!$U$10,I232),1)*IF(Upgrades!$T$11="Solar Wind",POWER(Upgrades!$U$11,J232),1)*IF(Upgrades!$T$12="Solar Wind",POWER(Upgrades!$U$12,K232),1))+(IF(F232=0,0,(Upgrades!$M$7+F232*Upgrades!$N$7)*POWER(Upgrades!$O$7,F232)))*(IF(Upgrades!$T$6="Asteroid Belt",POWER(Upgrades!$U$6,E232),1)*IF(Upgrades!$T$8="Asteroid Belt",POWER(Upgrades!$U$8,G232),1)*IF(Upgrades!$T$9="Asteroid Belt",POWER(Upgrades!$U$9,H232),1)*IF(Upgrades!$T$10="Asteroid Belt",POWER(Upgrades!$U$10,I232),1)*IF(Upgrades!$T$11="Asteroid Belt",POWER(Upgrades!$U$11,J232),1)*IF(Upgrades!$T$12="Asteroid Belt",POWER(Upgrades!$U$12,K232),1))+(IF(G232=0,0,(Upgrades!$M$8+G232*Upgrades!$N$8)*POWER(Upgrades!$O$8,G232)))*(IF(Upgrades!$T$6="Stellar Coupling",POWER(Upgrades!$U$6,E232),1)*IF(Upgrades!$T$7="Stellar Coupling",POWER(Upgrades!$U$7,F232),1)*IF(Upgrades!$T$9="Stellar Coupling",POWER(Upgrades!$U$9,H232),1)*IF(Upgrades!$T$10="Stellar Coupling",POWER(Upgrades!$U$10,I232),1)*IF(Upgrades!$T$11="Stellar Coupling",POWER(Upgrades!$U$11,J232),1)*IF(Upgrades!$T$12="Stellar Coupling",POWER(Upgrades!$U$12,K232),1))+(IF(H232=0,0,(Upgrades!$M$9+H232*Upgrades!$N$9)*POWER(Upgrades!$O$9,H232)))*(IF(Upgrades!$T$6="Magnetosphere",POWER(Upgrades!$U$6,E232),1)*IF(Upgrades!$T$7="Magnetosphere",POWER(Upgrades!$U$7,F232),1)*IF(Upgrades!$T$8="Magnetosphere",POWER(Upgrades!$U$8,G232),1)*IF(Upgrades!$T$10="Magnetosphere",POWER(Upgrades!$U$10,I232),1)*IF(Upgrades!$T$11="Magnetosphere",POWER(Upgrades!$U$11,J232),1)*IF(Upgrades!$T$12="Magnetosphere",POWER(Upgrades!$U$12,K232),1))+(IF(I232=0,0,(Upgrades!$M$10+I232*Upgrades!$N$10)*POWER(Upgrades!$O$10,I232)))*(IF(Upgrades!$T$6="Orbital Resonance",POWER(Upgrades!$U$6,E232),1)*IF(Upgrades!$T$7="Orbital Resonance",POWER(Upgrades!$U$7,F232),1)*IF(Upgrades!$T$8="Orbital Resonance",POWER(Upgrades!$U$8,G232),1)*IF(Upgrades!$T$9="Orbital Resonance",POWER(Upgrades!$U$9,H232),1)*IF(Upgrades!$T$11="Orbital Resonance",POWER(Upgrades!$U$11,J232),1)*IF(Upgrades!$T$12="Orbital Resonance",POWER(Upgrades!$U$12,K232),1))+(IF(J232=0,0,(Upgrades!$M$11+J232*Upgrades!$N$11)*POWER(Upgrades!$O$11,J232)))*(IF(Upgrades!$T$6="Heliopause",POWER(Upgrades!$U$6,E232),1)*IF(Upgrades!$T$7="Heliopause",POWER(Upgrades!$U$7,F232),1)*IF(Upgrades!$T$8="Heliopause",POWER(Upgrades!$U$8,G232),1)*IF(Upgrades!$T$9="Heliopause",POWER(Upgrades!$U$9,H232),1)*IF(Upgrades!$T$10="Heliopause",POWER(Upgrades!$U$10,I232),1)*IF(Upgrades!$T$12="Heliopause",POWER(Upgrades!$U$12,K232),1))+(IF(K232=0,0,(Upgrades!$M$12+K232*Upgrades!$N$12)*POWER(Upgrades!$O$12,K232)))*(IF(Upgrades!$T$6="First Photons",POWER(Upgrades!$U$6,E232),1)*IF(Upgrades!$T$7="First Photons",POWER(Upgrades!$U$7,F232),1)*IF(Upgrades!$T$8="First Photons",POWER(Upgrades!$U$8,G232),1)*IF(Upgrades!$T$9="First Photons",POWER(Upgrades!$U$9,H232),1)*IF(Upgrades!$T$10="First Photons",POWER(Upgrades!$U$10,I232),1)*IF(Upgrades!$T$11="First Photons",POWER(Upgrades!$U$11,J232),1)))*POWER(Upgrades!$R$6,E232)*POWER(Upgrades!$R$7,F232)*POWER(Upgrades!$R$8,G232)*POWER(Upgrades!$R$9,H232)*POWER(Upgrades!$R$10,I232)*POWER(Upgrades!$R$11,J232)*POWER(Upgrades!$R$12,K232)</f>
        <v>0</v>
      </c>
      <c r="P232" s="27" t="n">
        <f aca="false">IF(L232=1,0,M232*Parameters!$B$10/60*Parameters!$B$11*10)</f>
        <v>0</v>
      </c>
      <c r="Q232" s="27" t="n">
        <f aca="false">IF(L232=1,0,O232*M232*10)</f>
        <v>0</v>
      </c>
      <c r="R232" s="27" t="n">
        <f aca="false">IF(L232=1,0,N232*10)</f>
        <v>0</v>
      </c>
      <c r="S232" s="27" t="n">
        <f aca="false">P232+Q232+R232</f>
        <v>0</v>
      </c>
      <c r="T232" s="21" t="n">
        <f aca="false">C232+S232</f>
        <v>18.6730249835055</v>
      </c>
      <c r="U232" s="34" t="str">
        <f aca="false">AX232</f>
        <v/>
      </c>
      <c r="V232" s="21" t="n">
        <f aca="false">IF(U232="",0,IF(U232="transition",0,IF(U232="SW",AG232,IF(U232="AB",AH232,IF(U232="SC",AI232,IF(U232="Mag",AJ232,IF(U232="OR",AK232,IF(U232="HP",AL232,IF(U232="FP",AM232,0)))))))))</f>
        <v>0</v>
      </c>
      <c r="W232" s="27" t="n">
        <f aca="false">IF(U232="OR",Upgrades!$F$10,IF(U232="HP",Upgrades!$F$11,IF(U232="transition",-Parameters!$B$18,0)))</f>
        <v>0</v>
      </c>
      <c r="X232" s="21" t="n">
        <f aca="false">T232-V232</f>
        <v>18.6730249835055</v>
      </c>
      <c r="Y232" s="30" t="n">
        <f aca="false">M232*Parameters!$B$10/60*Parameters!$B$11+O232*M232+N232</f>
        <v>20.55</v>
      </c>
      <c r="Z232" s="35" t="str">
        <f aca="false">IF(U232="transition","→ Tier 2 (Stellar Neighborhood)",IF(U232="FP","First Photons — light begins, system quickens",IF(U232="HP","Heliopause acquired",IF(U232="OR","Orbital Resonance — passive multiplier active",IF(AND(AO232=1,L232=0,AN232&lt;&gt;1),"Cohesion ready (waiting on completionist upgrades)","")))))</f>
        <v/>
      </c>
      <c r="AA232" s="27" t="n">
        <f aca="false">(IF(E232=0,0,(Upgrades!$G$6+E232*Upgrades!$H$6)*POWER(Upgrades!$I$6,E232)))*(IF(Upgrades!$T$7="Solar Wind",POWER(Upgrades!$U$7,F232),1)*IF(Upgrades!$T$8="Solar Wind",POWER(Upgrades!$U$8,G232),1)*IF(Upgrades!$T$9="Solar Wind",POWER(Upgrades!$U$9,H232),1)*IF(Upgrades!$T$10="Solar Wind",POWER(Upgrades!$U$10,I232),1)*IF(Upgrades!$T$11="Solar Wind",POWER(Upgrades!$U$11,J232),1)*IF(Upgrades!$T$12="Solar Wind",POWER(Upgrades!$U$12,K232),1))*POWER(Upgrades!$P$6,E232)*POWER(Upgrades!$P$7,F232)*POWER(Upgrades!$P$8,G232)*POWER(Upgrades!$P$9,H232)*POWER(Upgrades!$P$10,I232)*POWER(Upgrades!$P$11,J232)*POWER(Upgrades!$P$12,K232)*60</f>
        <v>72</v>
      </c>
      <c r="AB232" s="27" t="n">
        <f aca="false">(IF(F232=0,0,(Upgrades!$G$7+F232*Upgrades!$H$7)*POWER(Upgrades!$I$7,F232)))*(IF(Upgrades!$T$6="Asteroid Belt",POWER(Upgrades!$U$6,E232),1)*IF(Upgrades!$T$8="Asteroid Belt",POWER(Upgrades!$U$8,G232),1)*IF(Upgrades!$T$9="Asteroid Belt",POWER(Upgrades!$U$9,H232),1)*IF(Upgrades!$T$10="Asteroid Belt",POWER(Upgrades!$U$10,I232),1)*IF(Upgrades!$T$11="Asteroid Belt",POWER(Upgrades!$U$11,J232),1)*IF(Upgrades!$T$12="Asteroid Belt",POWER(Upgrades!$U$12,K232),1))*POWER(Upgrades!$P$6,E232)*POWER(Upgrades!$P$7,F232)*POWER(Upgrades!$P$8,G232)*POWER(Upgrades!$P$9,H232)*POWER(Upgrades!$P$10,I232)*POWER(Upgrades!$P$11,J232)*POWER(Upgrades!$P$12,K232)*60</f>
        <v>150</v>
      </c>
      <c r="AC232" s="27" t="n">
        <f aca="false">(IF(G232=0,0,(Upgrades!$J$8+G232*Upgrades!$K$8)*POWER(Upgrades!$L$8,G232)))*(IF(Upgrades!$T$6="Stellar Coupling",POWER(Upgrades!$U$6,E232),1)*IF(Upgrades!$T$7="Stellar Coupling",POWER(Upgrades!$U$7,F232),1)*IF(Upgrades!$T$9="Stellar Coupling",POWER(Upgrades!$U$9,H232),1)*IF(Upgrades!$T$10="Stellar Coupling",POWER(Upgrades!$U$10,I232),1)*IF(Upgrades!$T$11="Stellar Coupling",POWER(Upgrades!$U$11,J232),1)*IF(Upgrades!$T$12="Stellar Coupling",POWER(Upgrades!$U$12,K232),1))*POWER(Upgrades!$Q$6,E232)*POWER(Upgrades!$Q$7,F232)*POWER(Upgrades!$Q$8,G232)*POWER(Upgrades!$Q$9,H232)*POWER(Upgrades!$Q$10,I232)*POWER(Upgrades!$Q$11,J232)*POWER(Upgrades!$Q$12,K232)*Parameters!$B$10*Parameters!$B$11</f>
        <v>441</v>
      </c>
      <c r="AD232" s="27" t="n">
        <f aca="false">(IF(H232=0,0,(Upgrades!$G$9+H232*Upgrades!$H$9)*POWER(Upgrades!$I$9,H232)))*(IF(Upgrades!$T$6="Magnetosphere",POWER(Upgrades!$U$6,E232),1)*IF(Upgrades!$T$7="Magnetosphere",POWER(Upgrades!$U$7,F232),1)*IF(Upgrades!$T$8="Magnetosphere",POWER(Upgrades!$U$8,G232),1)*IF(Upgrades!$T$10="Magnetosphere",POWER(Upgrades!$U$10,I232),1)*IF(Upgrades!$T$11="Magnetosphere",POWER(Upgrades!$U$11,J232),1)*IF(Upgrades!$T$12="Magnetosphere",POWER(Upgrades!$U$12,K232),1))*POWER(Upgrades!$P$6,E232)*POWER(Upgrades!$P$7,F232)*POWER(Upgrades!$P$8,G232)*POWER(Upgrades!$P$9,H232)*POWER(Upgrades!$P$10,I232)*POWER(Upgrades!$P$11,J232)*POWER(Upgrades!$P$12,K232)*60</f>
        <v>375</v>
      </c>
      <c r="AE232" s="27" t="n">
        <f aca="false">(IF(K232=0,0,(Upgrades!$G$12+K232*Upgrades!$H$12)*POWER(Upgrades!$I$12,K232)))*(IF(Upgrades!$T$6="First Photons",POWER(Upgrades!$U$6,E232),1)*IF(Upgrades!$T$7="First Photons",POWER(Upgrades!$U$7,F232),1)*IF(Upgrades!$T$8="First Photons",POWER(Upgrades!$U$8,G232),1)*IF(Upgrades!$T$9="First Photons",POWER(Upgrades!$U$9,H232),1)*IF(Upgrades!$T$10="First Photons",POWER(Upgrades!$U$10,I232),1)*IF(Upgrades!$T$11="First Photons",POWER(Upgrades!$U$11,J232),1))*POWER(Upgrades!$P$6,E232)*POWER(Upgrades!$P$7,F232)*POWER(Upgrades!$P$8,G232)*POWER(Upgrades!$P$9,H232)*POWER(Upgrades!$P$10,I232)*POWER(Upgrades!$P$11,J232)*POWER(Upgrades!$P$12,K232)*60</f>
        <v>75</v>
      </c>
      <c r="AF232" s="27" t="n">
        <f aca="false">Parameters!$B$9*POWER(Upgrades!$Q$6,E232)*POWER(Upgrades!$Q$7,F232)*POWER(Upgrades!$Q$8,G232)*POWER(Upgrades!$Q$9,H232)*POWER(Upgrades!$Q$10,I232)*POWER(Upgrades!$Q$11,J232)*POWER(Upgrades!$Q$12,K232)*(Parameters!$B$10*Parameters!$B$11+O232*60)</f>
        <v>120</v>
      </c>
      <c r="AG232" s="21" t="n">
        <f aca="false">IF(E232&gt;=Upgrades!$E$6,"",Upgrades!$C$6*POWER(Upgrades!$D$6,E232))</f>
        <v>37.4517507383159</v>
      </c>
      <c r="AH232" s="21" t="n">
        <f aca="false">IF(F232&gt;=Upgrades!$E$7,"",Upgrades!$C$7*POWER(Upgrades!$D$7,F232))</f>
        <v>80.9111547141581</v>
      </c>
      <c r="AI232" s="21" t="n">
        <f aca="false">IF(G232&gt;=Upgrades!$E$8,"",Upgrades!$C$8*POWER(Upgrades!$D$8,G232))</f>
        <v>231.9097088</v>
      </c>
      <c r="AJ232" s="21" t="str">
        <f aca="false">IF(H232&gt;=Upgrades!$E$9,"",Upgrades!$C$9*POWER(Upgrades!$D$9,H232))</f>
        <v/>
      </c>
      <c r="AK232" s="21" t="str">
        <f aca="false">IF(I232&gt;=Upgrades!$E$10,"",Upgrades!$C$10*POWER(Upgrades!$D$10,I232))</f>
        <v/>
      </c>
      <c r="AL232" s="21" t="str">
        <f aca="false">IF(J232&gt;=Upgrades!$E$11,"",Upgrades!$C$11*POWER(Upgrades!$D$11,J232))</f>
        <v/>
      </c>
      <c r="AM232" s="21" t="str">
        <f aca="false">IF(K232&gt;=Upgrades!$E$12,"",Upgrades!$C$12*POWER(Upgrades!$D$12,K232))</f>
        <v/>
      </c>
      <c r="AN232" s="26" t="str">
        <f aca="false">IF(AND(D232&gt;=Parameters!$B$18,(H232&gt;=Upgrades!$E$9)*(K232&gt;=Upgrades!$E$12)=1,L232=0),1,"")</f>
        <v/>
      </c>
      <c r="AO232" s="26" t="str">
        <f aca="false">IF(AND(D232&gt;=Parameters!$B$18,L232=0),1,"")</f>
        <v/>
      </c>
      <c r="AP232" s="21" t="n">
        <f aca="false">MIN(IF(ISNUMBER(AK232),AK232,9000000000000000),IF(ISNUMBER(AL232),AL232,9000000000000000),IF(ISNUMBER(AM232),AM232,9000000000000000))</f>
        <v>9000000000000000</v>
      </c>
      <c r="AQ232" s="21" t="n">
        <f aca="false">MIN(IF(ISNUMBER(AG232),AG232,9000000000000000),IF(ISNUMBER(AH232),AH232,9000000000000000),IF(ISNUMBER(AI232),AI232,9000000000000000),IF(ISNUMBER(AJ232),AJ232,9000000000000000))</f>
        <v>37.4517507383159</v>
      </c>
      <c r="AR232" s="32" t="b">
        <f aca="false">IF(AW232&gt;Parameters!$B$21*(MAX(IF(AND(NOT(AND(AO232=1,AN232&lt;&gt;1)),ISNUMBER(AG232),AG232&lt;=T232),AS232,0),IF(AND(NOT(AND(AO232=1,AN232&lt;&gt;1)),ISNUMBER(AH232),AH232&lt;=T232),AT232,0),IF(AND(NOT(AND(AO232=1,AN232&lt;&gt;1)),ISNUMBER(AI232),AI232&lt;=T232),AU232,0),IF(AND(ISNUMBER(AJ232),AJ232&lt;=T232),AV232,0))),TRUE(),FALSE())</f>
        <v>1</v>
      </c>
      <c r="AS232" s="33" t="n">
        <f aca="false">IFERROR(Upgrades!$H$6*(POWER(Upgrades!$P$6,E232)*POWER(Upgrades!$P$7,F232)*POWER(Upgrades!$P$8,G232)*POWER(Upgrades!$P$9,H232)*POWER(Upgrades!$P$10,I232)*POWER(Upgrades!$P$11,J232)*POWER(Upgrades!$P$12,K232))*(IF(Upgrades!$T$7="Solar Wind",POWER(Upgrades!$U$7,F232),1)*IF(Upgrades!$T$8="Solar Wind",POWER(Upgrades!$U$8,G232),1)*IF(Upgrades!$T$9="Solar Wind",POWER(Upgrades!$U$9,H232),1)*IF(Upgrades!$T$10="Solar Wind",POWER(Upgrades!$U$10,I232),1)*IF(Upgrades!$T$11="Solar Wind",POWER(Upgrades!$U$11,J232),1)*IF(Upgrades!$T$12="Solar Wind",POWER(Upgrades!$U$12,K232),1))/AG232,0)</f>
        <v>0.0026701021455238</v>
      </c>
      <c r="AT232" s="33" t="n">
        <f aca="false">IFERROR(Upgrades!$H$7*(POWER(Upgrades!$P$6,E232)*POWER(Upgrades!$P$7,F232)*POWER(Upgrades!$P$8,G232)*POWER(Upgrades!$P$9,H232)*POWER(Upgrades!$P$10,I232)*POWER(Upgrades!$P$11,J232)*POWER(Upgrades!$P$12,K232))*(IF(Upgrades!$T$6="Asteroid Belt",POWER(Upgrades!$U$6,E232),1)*IF(Upgrades!$T$8="Asteroid Belt",POWER(Upgrades!$U$8,G232),1)*IF(Upgrades!$T$9="Asteroid Belt",POWER(Upgrades!$U$9,H232),1)*IF(Upgrades!$T$10="Asteroid Belt",POWER(Upgrades!$U$10,I232),1)*IF(Upgrades!$T$11="Asteroid Belt",POWER(Upgrades!$U$11,J232),1)*IF(Upgrades!$T$12="Asteroid Belt",POWER(Upgrades!$U$12,K232),1))/AH232,0)</f>
        <v>0.00308980882652332</v>
      </c>
      <c r="AU232" s="33" t="n">
        <f aca="false">IFERROR(Upgrades!$K$8*(POWER(Upgrades!$Q$6,E232)*POWER(Upgrades!$Q$7,F232)*POWER(Upgrades!$Q$8,G232)*POWER(Upgrades!$Q$9,H232)*POWER(Upgrades!$Q$10,I232)*POWER(Upgrades!$Q$11,J232)*POWER(Upgrades!$Q$12,K232))*(IF(Upgrades!$T$6="Stellar Coupling",POWER(Upgrades!$U$6,E232),1)*IF(Upgrades!$T$7="Stellar Coupling",POWER(Upgrades!$U$7,F232),1)*IF(Upgrades!$T$9="Stellar Coupling",POWER(Upgrades!$U$9,H232),1)*IF(Upgrades!$T$10="Stellar Coupling",POWER(Upgrades!$U$10,I232),1)*IF(Upgrades!$T$11="Stellar Coupling",POWER(Upgrades!$U$11,J232),1)*IF(Upgrades!$T$12="Stellar Coupling",POWER(Upgrades!$U$12,K232),1))*Parameters!$B$10*Parameters!$B$11/60/AI232,0)</f>
        <v>0.00452762415783776</v>
      </c>
      <c r="AV232" s="33" t="n">
        <f aca="false">IFERROR(Upgrades!$H$9*(POWER(Upgrades!$P$6,E232)*POWER(Upgrades!$P$7,F232)*POWER(Upgrades!$P$8,G232)*POWER(Upgrades!$P$9,H232)*POWER(Upgrades!$P$10,I232)*POWER(Upgrades!$P$11,J232)*POWER(Upgrades!$P$12,K232))*(IF(Upgrades!$T$6="Magnetosphere",POWER(Upgrades!$U$6,E232),1)*IF(Upgrades!$T$7="Magnetosphere",POWER(Upgrades!$U$7,F232),1)*IF(Upgrades!$T$8="Magnetosphere",POWER(Upgrades!$U$8,G232),1)*IF(Upgrades!$T$10="Magnetosphere",POWER(Upgrades!$U$10,I232),1)*IF(Upgrades!$T$11="Magnetosphere",POWER(Upgrades!$U$11,J232),1)*IF(Upgrades!$T$12="Magnetosphere",POWER(Upgrades!$U$12,K232),1))/AJ232,0)</f>
        <v>0</v>
      </c>
      <c r="AW232" s="33" t="n">
        <f aca="false">MAX(IF(I232&gt;0,0,IFERROR(0.25*N232/Upgrades!$C$10,0)),IF(J232&gt;0,0,IFERROR(0.5*((IF(G232=0,0,(Upgrades!$J$8+G232*Upgrades!$K$8)*POWER(Upgrades!$L$8,G232)))*(IF(Upgrades!$T$6="Stellar Coupling",POWER(Upgrades!$U$6,E232),1)*IF(Upgrades!$T$7="Stellar Coupling",POWER(Upgrades!$U$7,F232),1)*IF(Upgrades!$T$9="Stellar Coupling",POWER(Upgrades!$U$9,H232),1)*IF(Upgrades!$T$10="Stellar Coupling",POWER(Upgrades!$U$10,I232),1)*IF(Upgrades!$T$11="Stellar Coupling",POWER(Upgrades!$U$11,J232),1)*IF(Upgrades!$T$12="Stellar Coupling",POWER(Upgrades!$U$12,K232),1))*(POWER(Upgrades!$Q$6,E232)*POWER(Upgrades!$Q$7,F232)*POWER(Upgrades!$Q$8,G232)*POWER(Upgrades!$Q$9,H232)*POWER(Upgrades!$Q$10,I232)*POWER(Upgrades!$Q$11,J232)*POWER(Upgrades!$Q$12,K232))*Parameters!$B$10*Parameters!$B$11/60)/Upgrades!$C$11,0)),IF(K232&gt;0,0,IFERROR((1*(POWER(Upgrades!$P$6,E232)*POWER(Upgrades!$P$7,F232)*POWER(Upgrades!$P$8,G232)*POWER(Upgrades!$P$9,H232)*POWER(Upgrades!$P$10,I232)*POWER(Upgrades!$P$11,J232)*POWER(Upgrades!$P$12,K232))+0.2*M232*Parameters!$B$10*Parameters!$B$11/60)/Upgrades!$C$12,0)),IF(AND(ISNUMBER(AG232),AG232&gt;T232),AS232,0),IF(AND(ISNUMBER(AH232),AH232&gt;T232),AT232,0),IF(AND(ISNUMBER(AI232),AI232&gt;T232),AU232,0),IF(AND(ISNUMBER(AJ232),AJ232&gt;T232),AV232,0))</f>
        <v>0.00452762415783776</v>
      </c>
      <c r="AX232" s="29" t="str">
        <f aca="false">IF(AN232=1,"transition",IF(MIN(IF(AND(I232=0,ISNUMBER(AK232),AK232&lt;=T232),AK232,9000000000000000),IF(AND(J232=0,ISNUMBER(AL232),AL232&lt;=T232),AL232,9000000000000000),IF(AND(K232=0,ISNUMBER(AM232),AM232&lt;=T232),AM232,9000000000000000))&lt;9000000000000000,IF(AND(AND(I232=0,ISNUMBER(AK232),AK232&lt;=T232),AK232=MIN(IF(AND(I232=0,ISNUMBER(AK232),AK232&lt;=T232),AK232,9000000000000000),IF(AND(J232=0,ISNUMBER(AL232),AL232&lt;=T232),AL232,9000000000000000),IF(AND(K232=0,ISNUMBER(AM232),AM232&lt;=T232),AM232,9000000000000000))),"OR",IF(AND(AND(J232=0,ISNUMBER(AL232),AL232&lt;=T232),AL232=MIN(IF(AND(I232=0,ISNUMBER(AK232),AK232&lt;=T232),AK232,9000000000000000),IF(AND(J232=0,ISNUMBER(AL232),AL232&lt;=T232),AL232,9000000000000000),IF(AND(K232=0,ISNUMBER(AM232),AM232&lt;=T232),AM232,9000000000000000))),"HP","FP")),IF(AR232=TRUE(),"",IF(MAX(IF(AND(NOT(AND(AO232=1,AN232&lt;&gt;1)),ISNUMBER(AG232),AG232&lt;=T232),AS232,0),IF(AND(NOT(AND(AO232=1,AN232&lt;&gt;1)),ISNUMBER(AH232),AH232&lt;=T232),AT232,0),IF(AND(NOT(AND(AO232=1,AN232&lt;&gt;1)),ISNUMBER(AI232),AI232&lt;=T232),AU232,0),IF(AND(ISNUMBER(AJ232),AJ232&lt;=T232),AV232,0))&lt;=0,"",IF(AND(IF(AND(NOT(AND(AO232=1,AN232&lt;&gt;1)),ISNUMBER(AG232),AG232&lt;=T232),AS232,0)&gt;0,IF(AND(NOT(AND(AO232=1,AN232&lt;&gt;1)),ISNUMBER(AG232),AG232&lt;=T232),AS232,0)=MAX(IF(AND(NOT(AND(AO232=1,AN232&lt;&gt;1)),ISNUMBER(AG232),AG232&lt;=T232),AS232,0),IF(AND(NOT(AND(AO232=1,AN232&lt;&gt;1)),ISNUMBER(AH232),AH232&lt;=T232),AT232,0),IF(AND(NOT(AND(AO232=1,AN232&lt;&gt;1)),ISNUMBER(AI232),AI232&lt;=T232),AU232,0),IF(AND(ISNUMBER(AJ232),AJ232&lt;=T232),AV232,0))),"SW",IF(AND(IF(AND(NOT(AND(AO232=1,AN232&lt;&gt;1)),ISNUMBER(AH232),AH232&lt;=T232),AT232,0)&gt;0,IF(AND(NOT(AND(AO232=1,AN232&lt;&gt;1)),ISNUMBER(AH232),AH232&lt;=T232),AT232,0)=MAX(IF(AND(NOT(AND(AO232=1,AN232&lt;&gt;1)),ISNUMBER(AG232),AG232&lt;=T232),AS232,0),IF(AND(NOT(AND(AO232=1,AN232&lt;&gt;1)),ISNUMBER(AH232),AH232&lt;=T232),AT232,0),IF(AND(NOT(AND(AO232=1,AN232&lt;&gt;1)),ISNUMBER(AI232),AI232&lt;=T232),AU232,0),IF(AND(ISNUMBER(AJ232),AJ232&lt;=T232),AV232,0))),"AB",IF(AND(IF(AND(NOT(AND(AO232=1,AN232&lt;&gt;1)),ISNUMBER(AI232),AI232&lt;=T232),AU232,0)&gt;0,IF(AND(NOT(AND(AO232=1,AN232&lt;&gt;1)),ISNUMBER(AI232),AI232&lt;=T232),AU232,0)=MAX(IF(AND(NOT(AND(AO232=1,AN232&lt;&gt;1)),ISNUMBER(AG232),AG232&lt;=T232),AS232,0),IF(AND(NOT(AND(AO232=1,AN232&lt;&gt;1)),ISNUMBER(AH232),AH232&lt;=T232),AT232,0),IF(AND(NOT(AND(AO232=1,AN232&lt;&gt;1)),ISNUMBER(AI232),AI232&lt;=T232),AU232,0),IF(AND(ISNUMBER(AJ232),AJ232&lt;=T232),AV232,0))),"SC","Mag")))))))</f>
        <v/>
      </c>
    </row>
    <row r="233" customFormat="false" ht="15" hidden="false" customHeight="false" outlineLevel="0" collapsed="false">
      <c r="A233" s="26" t="n">
        <v>228</v>
      </c>
      <c r="B233" s="27" t="n">
        <f aca="false">A233*10/60</f>
        <v>38</v>
      </c>
      <c r="C233" s="21" t="n">
        <f aca="false">X232</f>
        <v>18.6730249835055</v>
      </c>
      <c r="D233" s="27" t="n">
        <f aca="false">D232+W232</f>
        <v>0</v>
      </c>
      <c r="E233" s="26" t="n">
        <f aca="false">E232+IF(U232="SW",1,0)</f>
        <v>12</v>
      </c>
      <c r="F233" s="26" t="n">
        <f aca="false">F232+IF(U232="AB",1,0)</f>
        <v>10</v>
      </c>
      <c r="G233" s="26" t="n">
        <f aca="false">G232+IF(U232="SC",1,0)</f>
        <v>7</v>
      </c>
      <c r="H233" s="26" t="n">
        <f aca="false">H232+IF(U232="Mag",1,0)</f>
        <v>5</v>
      </c>
      <c r="I233" s="26" t="n">
        <f aca="false">MAX(I232,IF(U232="OR",1,0))</f>
        <v>1</v>
      </c>
      <c r="J233" s="26" t="n">
        <f aca="false">MAX(J232,IF(U232="HP",1,0))</f>
        <v>1</v>
      </c>
      <c r="K233" s="26" t="n">
        <f aca="false">MAX(K232,IF(U232="FP",1,0))</f>
        <v>1</v>
      </c>
      <c r="L233" s="26" t="n">
        <f aca="false">MAX(L232,IF(U232="transition",1,0))</f>
        <v>1</v>
      </c>
      <c r="M233" s="28" t="n">
        <f aca="false">(Parameters!$B$9+(IF(E233=0,0,(Upgrades!$J$6+E233*Upgrades!$K$6)*POWER(Upgrades!$L$6,E233)))*(IF(Upgrades!$T$7="Solar Wind",POWER(Upgrades!$U$7,F233),1)*IF(Upgrades!$T$8="Solar Wind",POWER(Upgrades!$U$8,G233),1)*IF(Upgrades!$T$9="Solar Wind",POWER(Upgrades!$U$9,H233),1)*IF(Upgrades!$T$10="Solar Wind",POWER(Upgrades!$U$10,I233),1)*IF(Upgrades!$T$11="Solar Wind",POWER(Upgrades!$U$11,J233),1)*IF(Upgrades!$T$12="Solar Wind",POWER(Upgrades!$U$12,K233),1))+(IF(F233=0,0,(Upgrades!$J$7+F233*Upgrades!$K$7)*POWER(Upgrades!$L$7,F233)))*(IF(Upgrades!$T$6="Asteroid Belt",POWER(Upgrades!$U$6,E233),1)*IF(Upgrades!$T$8="Asteroid Belt",POWER(Upgrades!$U$8,G233),1)*IF(Upgrades!$T$9="Asteroid Belt",POWER(Upgrades!$U$9,H233),1)*IF(Upgrades!$T$10="Asteroid Belt",POWER(Upgrades!$U$10,I233),1)*IF(Upgrades!$T$11="Asteroid Belt",POWER(Upgrades!$U$11,J233),1)*IF(Upgrades!$T$12="Asteroid Belt",POWER(Upgrades!$U$12,K233),1))+(IF(G233=0,0,(Upgrades!$J$8+G233*Upgrades!$K$8)*POWER(Upgrades!$L$8,G233)))*(IF(Upgrades!$T$6="Stellar Coupling",POWER(Upgrades!$U$6,E233),1)*IF(Upgrades!$T$7="Stellar Coupling",POWER(Upgrades!$U$7,F233),1)*IF(Upgrades!$T$9="Stellar Coupling",POWER(Upgrades!$U$9,H233),1)*IF(Upgrades!$T$10="Stellar Coupling",POWER(Upgrades!$U$10,I233),1)*IF(Upgrades!$T$11="Stellar Coupling",POWER(Upgrades!$U$11,J233),1)*IF(Upgrades!$T$12="Stellar Coupling",POWER(Upgrades!$U$12,K233),1))+(IF(H233=0,0,(Upgrades!$J$9+H233*Upgrades!$K$9)*POWER(Upgrades!$L$9,H233)))*(IF(Upgrades!$T$6="Magnetosphere",POWER(Upgrades!$U$6,E233),1)*IF(Upgrades!$T$7="Magnetosphere",POWER(Upgrades!$U$7,F233),1)*IF(Upgrades!$T$8="Magnetosphere",POWER(Upgrades!$U$8,G233),1)*IF(Upgrades!$T$10="Magnetosphere",POWER(Upgrades!$U$10,I233),1)*IF(Upgrades!$T$11="Magnetosphere",POWER(Upgrades!$U$11,J233),1)*IF(Upgrades!$T$12="Magnetosphere",POWER(Upgrades!$U$12,K233),1))+(IF(I233=0,0,(Upgrades!$J$10+I233*Upgrades!$K$10)*POWER(Upgrades!$L$10,I233)))*(IF(Upgrades!$T$6="Orbital Resonance",POWER(Upgrades!$U$6,E233),1)*IF(Upgrades!$T$7="Orbital Resonance",POWER(Upgrades!$U$7,F233),1)*IF(Upgrades!$T$8="Orbital Resonance",POWER(Upgrades!$U$8,G233),1)*IF(Upgrades!$T$9="Orbital Resonance",POWER(Upgrades!$U$9,H233),1)*IF(Upgrades!$T$11="Orbital Resonance",POWER(Upgrades!$U$11,J233),1)*IF(Upgrades!$T$12="Orbital Resonance",POWER(Upgrades!$U$12,K233),1))+(IF(J233=0,0,(Upgrades!$J$11+J233*Upgrades!$K$11)*POWER(Upgrades!$L$11,J233)))*(IF(Upgrades!$T$6="Heliopause",POWER(Upgrades!$U$6,E233),1)*IF(Upgrades!$T$7="Heliopause",POWER(Upgrades!$U$7,F233),1)*IF(Upgrades!$T$8="Heliopause",POWER(Upgrades!$U$8,G233),1)*IF(Upgrades!$T$9="Heliopause",POWER(Upgrades!$U$9,H233),1)*IF(Upgrades!$T$10="Heliopause",POWER(Upgrades!$U$10,I233),1)*IF(Upgrades!$T$12="Heliopause",POWER(Upgrades!$U$12,K233),1))+(IF(K233=0,0,(Upgrades!$J$12+K233*Upgrades!$K$12)*POWER(Upgrades!$L$12,K233)))*(IF(Upgrades!$T$6="First Photons",POWER(Upgrades!$U$6,E233),1)*IF(Upgrades!$T$7="First Photons",POWER(Upgrades!$U$7,F233),1)*IF(Upgrades!$T$8="First Photons",POWER(Upgrades!$U$8,G233),1)*IF(Upgrades!$T$9="First Photons",POWER(Upgrades!$U$9,H233),1)*IF(Upgrades!$T$10="First Photons",POWER(Upgrades!$U$10,I233),1)*IF(Upgrades!$T$11="First Photons",POWER(Upgrades!$U$11,J233),1)))*POWER(Upgrades!$Q$6,E233)*POWER(Upgrades!$Q$7,F233)*POWER(Upgrades!$Q$8,G233)*POWER(Upgrades!$Q$9,H233)*POWER(Upgrades!$Q$10,I233)*POWER(Upgrades!$Q$11,J233)*POWER(Upgrades!$Q$12,K233)</f>
        <v>5.61</v>
      </c>
      <c r="N233" s="28" t="n">
        <f aca="false">((IF(E233=0,0,(Upgrades!$G$6+E233*Upgrades!$H$6)*POWER(Upgrades!$I$6,E233)))*(IF(Upgrades!$T$7="Solar Wind",POWER(Upgrades!$U$7,F233),1)*IF(Upgrades!$T$8="Solar Wind",POWER(Upgrades!$U$8,G233),1)*IF(Upgrades!$T$9="Solar Wind",POWER(Upgrades!$U$9,H233),1)*IF(Upgrades!$T$10="Solar Wind",POWER(Upgrades!$U$10,I233),1)*IF(Upgrades!$T$11="Solar Wind",POWER(Upgrades!$U$11,J233),1)*IF(Upgrades!$T$12="Solar Wind",POWER(Upgrades!$U$12,K233),1))+(IF(F233=0,0,(Upgrades!$G$7+F233*Upgrades!$H$7)*POWER(Upgrades!$I$7,F233)))*(IF(Upgrades!$T$6="Asteroid Belt",POWER(Upgrades!$U$6,E233),1)*IF(Upgrades!$T$8="Asteroid Belt",POWER(Upgrades!$U$8,G233),1)*IF(Upgrades!$T$9="Asteroid Belt",POWER(Upgrades!$U$9,H233),1)*IF(Upgrades!$T$10="Asteroid Belt",POWER(Upgrades!$U$10,I233),1)*IF(Upgrades!$T$11="Asteroid Belt",POWER(Upgrades!$U$11,J233),1)*IF(Upgrades!$T$12="Asteroid Belt",POWER(Upgrades!$U$12,K233),1))+(IF(G233=0,0,(Upgrades!$G$8+G233*Upgrades!$H$8)*POWER(Upgrades!$I$8,G233)))*(IF(Upgrades!$T$6="Stellar Coupling",POWER(Upgrades!$U$6,E233),1)*IF(Upgrades!$T$7="Stellar Coupling",POWER(Upgrades!$U$7,F233),1)*IF(Upgrades!$T$9="Stellar Coupling",POWER(Upgrades!$U$9,H233),1)*IF(Upgrades!$T$10="Stellar Coupling",POWER(Upgrades!$U$10,I233),1)*IF(Upgrades!$T$11="Stellar Coupling",POWER(Upgrades!$U$11,J233),1)*IF(Upgrades!$T$12="Stellar Coupling",POWER(Upgrades!$U$12,K233),1))+(IF(H233=0,0,(Upgrades!$G$9+H233*Upgrades!$H$9)*POWER(Upgrades!$I$9,H233)))*(IF(Upgrades!$T$6="Magnetosphere",POWER(Upgrades!$U$6,E233),1)*IF(Upgrades!$T$7="Magnetosphere",POWER(Upgrades!$U$7,F233),1)*IF(Upgrades!$T$8="Magnetosphere",POWER(Upgrades!$U$8,G233),1)*IF(Upgrades!$T$10="Magnetosphere",POWER(Upgrades!$U$10,I233),1)*IF(Upgrades!$T$11="Magnetosphere",POWER(Upgrades!$U$11,J233),1)*IF(Upgrades!$T$12="Magnetosphere",POWER(Upgrades!$U$12,K233),1))+(IF(I233=0,0,(Upgrades!$G$10+I233*Upgrades!$H$10)*POWER(Upgrades!$I$10,I233)))*(IF(Upgrades!$T$6="Orbital Resonance",POWER(Upgrades!$U$6,E233),1)*IF(Upgrades!$T$7="Orbital Resonance",POWER(Upgrades!$U$7,F233),1)*IF(Upgrades!$T$8="Orbital Resonance",POWER(Upgrades!$U$8,G233),1)*IF(Upgrades!$T$9="Orbital Resonance",POWER(Upgrades!$U$9,H233),1)*IF(Upgrades!$T$11="Orbital Resonance",POWER(Upgrades!$U$11,J233),1)*IF(Upgrades!$T$12="Orbital Resonance",POWER(Upgrades!$U$12,K233),1))+(IF(J233=0,0,(Upgrades!$G$11+J233*Upgrades!$H$11)*POWER(Upgrades!$I$11,J233)))*(IF(Upgrades!$T$6="Heliopause",POWER(Upgrades!$U$6,E233),1)*IF(Upgrades!$T$7="Heliopause",POWER(Upgrades!$U$7,F233),1)*IF(Upgrades!$T$8="Heliopause",POWER(Upgrades!$U$8,G233),1)*IF(Upgrades!$T$9="Heliopause",POWER(Upgrades!$U$9,H233),1)*IF(Upgrades!$T$10="Heliopause",POWER(Upgrades!$U$10,I233),1)*IF(Upgrades!$T$12="Heliopause",POWER(Upgrades!$U$12,K233),1))+(IF(K233=0,0,(Upgrades!$G$12+K233*Upgrades!$H$12)*POWER(Upgrades!$I$12,K233)))*(IF(Upgrades!$T$6="First Photons",POWER(Upgrades!$U$6,E233),1)*IF(Upgrades!$T$7="First Photons",POWER(Upgrades!$U$7,F233),1)*IF(Upgrades!$T$8="First Photons",POWER(Upgrades!$U$8,G233),1)*IF(Upgrades!$T$9="First Photons",POWER(Upgrades!$U$9,H233),1)*IF(Upgrades!$T$10="First Photons",POWER(Upgrades!$U$10,I233),1)*IF(Upgrades!$T$11="First Photons",POWER(Upgrades!$U$11,J233),1)))*POWER(Upgrades!$P$6,E233)*POWER(Upgrades!$P$7,F233)*POWER(Upgrades!$P$8,G233)*POWER(Upgrades!$P$9,H233)*POWER(Upgrades!$P$10,I233)*POWER(Upgrades!$P$11,J233)*POWER(Upgrades!$P$12,K233)</f>
        <v>11.2</v>
      </c>
      <c r="O233" s="28" t="n">
        <f aca="false">((IF(E233=0,0,(Upgrades!$M$6+E233*Upgrades!$N$6)*POWER(Upgrades!$O$6,E233)))*(IF(Upgrades!$T$7="Solar Wind",POWER(Upgrades!$U$7,F233),1)*IF(Upgrades!$T$8="Solar Wind",POWER(Upgrades!$U$8,G233),1)*IF(Upgrades!$T$9="Solar Wind",POWER(Upgrades!$U$9,H233),1)*IF(Upgrades!$T$10="Solar Wind",POWER(Upgrades!$U$10,I233),1)*IF(Upgrades!$T$11="Solar Wind",POWER(Upgrades!$U$11,J233),1)*IF(Upgrades!$T$12="Solar Wind",POWER(Upgrades!$U$12,K233),1))+(IF(F233=0,0,(Upgrades!$M$7+F233*Upgrades!$N$7)*POWER(Upgrades!$O$7,F233)))*(IF(Upgrades!$T$6="Asteroid Belt",POWER(Upgrades!$U$6,E233),1)*IF(Upgrades!$T$8="Asteroid Belt",POWER(Upgrades!$U$8,G233),1)*IF(Upgrades!$T$9="Asteroid Belt",POWER(Upgrades!$U$9,H233),1)*IF(Upgrades!$T$10="Asteroid Belt",POWER(Upgrades!$U$10,I233),1)*IF(Upgrades!$T$11="Asteroid Belt",POWER(Upgrades!$U$11,J233),1)*IF(Upgrades!$T$12="Asteroid Belt",POWER(Upgrades!$U$12,K233),1))+(IF(G233=0,0,(Upgrades!$M$8+G233*Upgrades!$N$8)*POWER(Upgrades!$O$8,G233)))*(IF(Upgrades!$T$6="Stellar Coupling",POWER(Upgrades!$U$6,E233),1)*IF(Upgrades!$T$7="Stellar Coupling",POWER(Upgrades!$U$7,F233),1)*IF(Upgrades!$T$9="Stellar Coupling",POWER(Upgrades!$U$9,H233),1)*IF(Upgrades!$T$10="Stellar Coupling",POWER(Upgrades!$U$10,I233),1)*IF(Upgrades!$T$11="Stellar Coupling",POWER(Upgrades!$U$11,J233),1)*IF(Upgrades!$T$12="Stellar Coupling",POWER(Upgrades!$U$12,K233),1))+(IF(H233=0,0,(Upgrades!$M$9+H233*Upgrades!$N$9)*POWER(Upgrades!$O$9,H233)))*(IF(Upgrades!$T$6="Magnetosphere",POWER(Upgrades!$U$6,E233),1)*IF(Upgrades!$T$7="Magnetosphere",POWER(Upgrades!$U$7,F233),1)*IF(Upgrades!$T$8="Magnetosphere",POWER(Upgrades!$U$8,G233),1)*IF(Upgrades!$T$10="Magnetosphere",POWER(Upgrades!$U$10,I233),1)*IF(Upgrades!$T$11="Magnetosphere",POWER(Upgrades!$U$11,J233),1)*IF(Upgrades!$T$12="Magnetosphere",POWER(Upgrades!$U$12,K233),1))+(IF(I233=0,0,(Upgrades!$M$10+I233*Upgrades!$N$10)*POWER(Upgrades!$O$10,I233)))*(IF(Upgrades!$T$6="Orbital Resonance",POWER(Upgrades!$U$6,E233),1)*IF(Upgrades!$T$7="Orbital Resonance",POWER(Upgrades!$U$7,F233),1)*IF(Upgrades!$T$8="Orbital Resonance",POWER(Upgrades!$U$8,G233),1)*IF(Upgrades!$T$9="Orbital Resonance",POWER(Upgrades!$U$9,H233),1)*IF(Upgrades!$T$11="Orbital Resonance",POWER(Upgrades!$U$11,J233),1)*IF(Upgrades!$T$12="Orbital Resonance",POWER(Upgrades!$U$12,K233),1))+(IF(J233=0,0,(Upgrades!$M$11+J233*Upgrades!$N$11)*POWER(Upgrades!$O$11,J233)))*(IF(Upgrades!$T$6="Heliopause",POWER(Upgrades!$U$6,E233),1)*IF(Upgrades!$T$7="Heliopause",POWER(Upgrades!$U$7,F233),1)*IF(Upgrades!$T$8="Heliopause",POWER(Upgrades!$U$8,G233),1)*IF(Upgrades!$T$9="Heliopause",POWER(Upgrades!$U$9,H233),1)*IF(Upgrades!$T$10="Heliopause",POWER(Upgrades!$U$10,I233),1)*IF(Upgrades!$T$12="Heliopause",POWER(Upgrades!$U$12,K233),1))+(IF(K233=0,0,(Upgrades!$M$12+K233*Upgrades!$N$12)*POWER(Upgrades!$O$12,K233)))*(IF(Upgrades!$T$6="First Photons",POWER(Upgrades!$U$6,E233),1)*IF(Upgrades!$T$7="First Photons",POWER(Upgrades!$U$7,F233),1)*IF(Upgrades!$T$8="First Photons",POWER(Upgrades!$U$8,G233),1)*IF(Upgrades!$T$9="First Photons",POWER(Upgrades!$U$9,H233),1)*IF(Upgrades!$T$10="First Photons",POWER(Upgrades!$U$10,I233),1)*IF(Upgrades!$T$11="First Photons",POWER(Upgrades!$U$11,J233),1)))*POWER(Upgrades!$R$6,E233)*POWER(Upgrades!$R$7,F233)*POWER(Upgrades!$R$8,G233)*POWER(Upgrades!$R$9,H233)*POWER(Upgrades!$R$10,I233)*POWER(Upgrades!$R$11,J233)*POWER(Upgrades!$R$12,K233)</f>
        <v>0</v>
      </c>
      <c r="P233" s="27" t="n">
        <f aca="false">IF(L233=1,0,M233*Parameters!$B$10/60*Parameters!$B$11*10)</f>
        <v>0</v>
      </c>
      <c r="Q233" s="27" t="n">
        <f aca="false">IF(L233=1,0,O233*M233*10)</f>
        <v>0</v>
      </c>
      <c r="R233" s="27" t="n">
        <f aca="false">IF(L233=1,0,N233*10)</f>
        <v>0</v>
      </c>
      <c r="S233" s="27" t="n">
        <f aca="false">P233+Q233+R233</f>
        <v>0</v>
      </c>
      <c r="T233" s="21" t="n">
        <f aca="false">C233+S233</f>
        <v>18.6730249835055</v>
      </c>
      <c r="U233" s="34" t="str">
        <f aca="false">AX233</f>
        <v/>
      </c>
      <c r="V233" s="21" t="n">
        <f aca="false">IF(U233="",0,IF(U233="transition",0,IF(U233="SW",AG233,IF(U233="AB",AH233,IF(U233="SC",AI233,IF(U233="Mag",AJ233,IF(U233="OR",AK233,IF(U233="HP",AL233,IF(U233="FP",AM233,0)))))))))</f>
        <v>0</v>
      </c>
      <c r="W233" s="27" t="n">
        <f aca="false">IF(U233="OR",Upgrades!$F$10,IF(U233="HP",Upgrades!$F$11,IF(U233="transition",-Parameters!$B$18,0)))</f>
        <v>0</v>
      </c>
      <c r="X233" s="21" t="n">
        <f aca="false">T233-V233</f>
        <v>18.6730249835055</v>
      </c>
      <c r="Y233" s="30" t="n">
        <f aca="false">M233*Parameters!$B$10/60*Parameters!$B$11+O233*M233+N233</f>
        <v>20.55</v>
      </c>
      <c r="Z233" s="35" t="str">
        <f aca="false">IF(U233="transition","→ Tier 2 (Stellar Neighborhood)",IF(U233="FP","First Photons — light begins, system quickens",IF(U233="HP","Heliopause acquired",IF(U233="OR","Orbital Resonance — passive multiplier active",IF(AND(AO233=1,L233=0,AN233&lt;&gt;1),"Cohesion ready (waiting on completionist upgrades)","")))))</f>
        <v/>
      </c>
      <c r="AA233" s="27" t="n">
        <f aca="false">(IF(E233=0,0,(Upgrades!$G$6+E233*Upgrades!$H$6)*POWER(Upgrades!$I$6,E233)))*(IF(Upgrades!$T$7="Solar Wind",POWER(Upgrades!$U$7,F233),1)*IF(Upgrades!$T$8="Solar Wind",POWER(Upgrades!$U$8,G233),1)*IF(Upgrades!$T$9="Solar Wind",POWER(Upgrades!$U$9,H233),1)*IF(Upgrades!$T$10="Solar Wind",POWER(Upgrades!$U$10,I233),1)*IF(Upgrades!$T$11="Solar Wind",POWER(Upgrades!$U$11,J233),1)*IF(Upgrades!$T$12="Solar Wind",POWER(Upgrades!$U$12,K233),1))*POWER(Upgrades!$P$6,E233)*POWER(Upgrades!$P$7,F233)*POWER(Upgrades!$P$8,G233)*POWER(Upgrades!$P$9,H233)*POWER(Upgrades!$P$10,I233)*POWER(Upgrades!$P$11,J233)*POWER(Upgrades!$P$12,K233)*60</f>
        <v>72</v>
      </c>
      <c r="AB233" s="27" t="n">
        <f aca="false">(IF(F233=0,0,(Upgrades!$G$7+F233*Upgrades!$H$7)*POWER(Upgrades!$I$7,F233)))*(IF(Upgrades!$T$6="Asteroid Belt",POWER(Upgrades!$U$6,E233),1)*IF(Upgrades!$T$8="Asteroid Belt",POWER(Upgrades!$U$8,G233),1)*IF(Upgrades!$T$9="Asteroid Belt",POWER(Upgrades!$U$9,H233),1)*IF(Upgrades!$T$10="Asteroid Belt",POWER(Upgrades!$U$10,I233),1)*IF(Upgrades!$T$11="Asteroid Belt",POWER(Upgrades!$U$11,J233),1)*IF(Upgrades!$T$12="Asteroid Belt",POWER(Upgrades!$U$12,K233),1))*POWER(Upgrades!$P$6,E233)*POWER(Upgrades!$P$7,F233)*POWER(Upgrades!$P$8,G233)*POWER(Upgrades!$P$9,H233)*POWER(Upgrades!$P$10,I233)*POWER(Upgrades!$P$11,J233)*POWER(Upgrades!$P$12,K233)*60</f>
        <v>150</v>
      </c>
      <c r="AC233" s="27" t="n">
        <f aca="false">(IF(G233=0,0,(Upgrades!$J$8+G233*Upgrades!$K$8)*POWER(Upgrades!$L$8,G233)))*(IF(Upgrades!$T$6="Stellar Coupling",POWER(Upgrades!$U$6,E233),1)*IF(Upgrades!$T$7="Stellar Coupling",POWER(Upgrades!$U$7,F233),1)*IF(Upgrades!$T$9="Stellar Coupling",POWER(Upgrades!$U$9,H233),1)*IF(Upgrades!$T$10="Stellar Coupling",POWER(Upgrades!$U$10,I233),1)*IF(Upgrades!$T$11="Stellar Coupling",POWER(Upgrades!$U$11,J233),1)*IF(Upgrades!$T$12="Stellar Coupling",POWER(Upgrades!$U$12,K233),1))*POWER(Upgrades!$Q$6,E233)*POWER(Upgrades!$Q$7,F233)*POWER(Upgrades!$Q$8,G233)*POWER(Upgrades!$Q$9,H233)*POWER(Upgrades!$Q$10,I233)*POWER(Upgrades!$Q$11,J233)*POWER(Upgrades!$Q$12,K233)*Parameters!$B$10*Parameters!$B$11</f>
        <v>441</v>
      </c>
      <c r="AD233" s="27" t="n">
        <f aca="false">(IF(H233=0,0,(Upgrades!$G$9+H233*Upgrades!$H$9)*POWER(Upgrades!$I$9,H233)))*(IF(Upgrades!$T$6="Magnetosphere",POWER(Upgrades!$U$6,E233),1)*IF(Upgrades!$T$7="Magnetosphere",POWER(Upgrades!$U$7,F233),1)*IF(Upgrades!$T$8="Magnetosphere",POWER(Upgrades!$U$8,G233),1)*IF(Upgrades!$T$10="Magnetosphere",POWER(Upgrades!$U$10,I233),1)*IF(Upgrades!$T$11="Magnetosphere",POWER(Upgrades!$U$11,J233),1)*IF(Upgrades!$T$12="Magnetosphere",POWER(Upgrades!$U$12,K233),1))*POWER(Upgrades!$P$6,E233)*POWER(Upgrades!$P$7,F233)*POWER(Upgrades!$P$8,G233)*POWER(Upgrades!$P$9,H233)*POWER(Upgrades!$P$10,I233)*POWER(Upgrades!$P$11,J233)*POWER(Upgrades!$P$12,K233)*60</f>
        <v>375</v>
      </c>
      <c r="AE233" s="27" t="n">
        <f aca="false">(IF(K233=0,0,(Upgrades!$G$12+K233*Upgrades!$H$12)*POWER(Upgrades!$I$12,K233)))*(IF(Upgrades!$T$6="First Photons",POWER(Upgrades!$U$6,E233),1)*IF(Upgrades!$T$7="First Photons",POWER(Upgrades!$U$7,F233),1)*IF(Upgrades!$T$8="First Photons",POWER(Upgrades!$U$8,G233),1)*IF(Upgrades!$T$9="First Photons",POWER(Upgrades!$U$9,H233),1)*IF(Upgrades!$T$10="First Photons",POWER(Upgrades!$U$10,I233),1)*IF(Upgrades!$T$11="First Photons",POWER(Upgrades!$U$11,J233),1))*POWER(Upgrades!$P$6,E233)*POWER(Upgrades!$P$7,F233)*POWER(Upgrades!$P$8,G233)*POWER(Upgrades!$P$9,H233)*POWER(Upgrades!$P$10,I233)*POWER(Upgrades!$P$11,J233)*POWER(Upgrades!$P$12,K233)*60</f>
        <v>75</v>
      </c>
      <c r="AF233" s="27" t="n">
        <f aca="false">Parameters!$B$9*POWER(Upgrades!$Q$6,E233)*POWER(Upgrades!$Q$7,F233)*POWER(Upgrades!$Q$8,G233)*POWER(Upgrades!$Q$9,H233)*POWER(Upgrades!$Q$10,I233)*POWER(Upgrades!$Q$11,J233)*POWER(Upgrades!$Q$12,K233)*(Parameters!$B$10*Parameters!$B$11+O233*60)</f>
        <v>120</v>
      </c>
      <c r="AG233" s="21" t="n">
        <f aca="false">IF(E233&gt;=Upgrades!$E$6,"",Upgrades!$C$6*POWER(Upgrades!$D$6,E233))</f>
        <v>37.4517507383159</v>
      </c>
      <c r="AH233" s="21" t="n">
        <f aca="false">IF(F233&gt;=Upgrades!$E$7,"",Upgrades!$C$7*POWER(Upgrades!$D$7,F233))</f>
        <v>80.9111547141581</v>
      </c>
      <c r="AI233" s="21" t="n">
        <f aca="false">IF(G233&gt;=Upgrades!$E$8,"",Upgrades!$C$8*POWER(Upgrades!$D$8,G233))</f>
        <v>231.9097088</v>
      </c>
      <c r="AJ233" s="21" t="str">
        <f aca="false">IF(H233&gt;=Upgrades!$E$9,"",Upgrades!$C$9*POWER(Upgrades!$D$9,H233))</f>
        <v/>
      </c>
      <c r="AK233" s="21" t="str">
        <f aca="false">IF(I233&gt;=Upgrades!$E$10,"",Upgrades!$C$10*POWER(Upgrades!$D$10,I233))</f>
        <v/>
      </c>
      <c r="AL233" s="21" t="str">
        <f aca="false">IF(J233&gt;=Upgrades!$E$11,"",Upgrades!$C$11*POWER(Upgrades!$D$11,J233))</f>
        <v/>
      </c>
      <c r="AM233" s="21" t="str">
        <f aca="false">IF(K233&gt;=Upgrades!$E$12,"",Upgrades!$C$12*POWER(Upgrades!$D$12,K233))</f>
        <v/>
      </c>
      <c r="AN233" s="26" t="str">
        <f aca="false">IF(AND(D233&gt;=Parameters!$B$18,(H233&gt;=Upgrades!$E$9)*(K233&gt;=Upgrades!$E$12)=1,L233=0),1,"")</f>
        <v/>
      </c>
      <c r="AO233" s="26" t="str">
        <f aca="false">IF(AND(D233&gt;=Parameters!$B$18,L233=0),1,"")</f>
        <v/>
      </c>
      <c r="AP233" s="21" t="n">
        <f aca="false">MIN(IF(ISNUMBER(AK233),AK233,9000000000000000),IF(ISNUMBER(AL233),AL233,9000000000000000),IF(ISNUMBER(AM233),AM233,9000000000000000))</f>
        <v>9000000000000000</v>
      </c>
      <c r="AQ233" s="21" t="n">
        <f aca="false">MIN(IF(ISNUMBER(AG233),AG233,9000000000000000),IF(ISNUMBER(AH233),AH233,9000000000000000),IF(ISNUMBER(AI233),AI233,9000000000000000),IF(ISNUMBER(AJ233),AJ233,9000000000000000))</f>
        <v>37.4517507383159</v>
      </c>
      <c r="AR233" s="32" t="b">
        <f aca="false">IF(AW233&gt;Parameters!$B$21*(MAX(IF(AND(NOT(AND(AO233=1,AN233&lt;&gt;1)),ISNUMBER(AG233),AG233&lt;=T233),AS233,0),IF(AND(NOT(AND(AO233=1,AN233&lt;&gt;1)),ISNUMBER(AH233),AH233&lt;=T233),AT233,0),IF(AND(NOT(AND(AO233=1,AN233&lt;&gt;1)),ISNUMBER(AI233),AI233&lt;=T233),AU233,0),IF(AND(ISNUMBER(AJ233),AJ233&lt;=T233),AV233,0))),TRUE(),FALSE())</f>
        <v>1</v>
      </c>
      <c r="AS233" s="33" t="n">
        <f aca="false">IFERROR(Upgrades!$H$6*(POWER(Upgrades!$P$6,E233)*POWER(Upgrades!$P$7,F233)*POWER(Upgrades!$P$8,G233)*POWER(Upgrades!$P$9,H233)*POWER(Upgrades!$P$10,I233)*POWER(Upgrades!$P$11,J233)*POWER(Upgrades!$P$12,K233))*(IF(Upgrades!$T$7="Solar Wind",POWER(Upgrades!$U$7,F233),1)*IF(Upgrades!$T$8="Solar Wind",POWER(Upgrades!$U$8,G233),1)*IF(Upgrades!$T$9="Solar Wind",POWER(Upgrades!$U$9,H233),1)*IF(Upgrades!$T$10="Solar Wind",POWER(Upgrades!$U$10,I233),1)*IF(Upgrades!$T$11="Solar Wind",POWER(Upgrades!$U$11,J233),1)*IF(Upgrades!$T$12="Solar Wind",POWER(Upgrades!$U$12,K233),1))/AG233,0)</f>
        <v>0.0026701021455238</v>
      </c>
      <c r="AT233" s="33" t="n">
        <f aca="false">IFERROR(Upgrades!$H$7*(POWER(Upgrades!$P$6,E233)*POWER(Upgrades!$P$7,F233)*POWER(Upgrades!$P$8,G233)*POWER(Upgrades!$P$9,H233)*POWER(Upgrades!$P$10,I233)*POWER(Upgrades!$P$11,J233)*POWER(Upgrades!$P$12,K233))*(IF(Upgrades!$T$6="Asteroid Belt",POWER(Upgrades!$U$6,E233),1)*IF(Upgrades!$T$8="Asteroid Belt",POWER(Upgrades!$U$8,G233),1)*IF(Upgrades!$T$9="Asteroid Belt",POWER(Upgrades!$U$9,H233),1)*IF(Upgrades!$T$10="Asteroid Belt",POWER(Upgrades!$U$10,I233),1)*IF(Upgrades!$T$11="Asteroid Belt",POWER(Upgrades!$U$11,J233),1)*IF(Upgrades!$T$12="Asteroid Belt",POWER(Upgrades!$U$12,K233),1))/AH233,0)</f>
        <v>0.00308980882652332</v>
      </c>
      <c r="AU233" s="33" t="n">
        <f aca="false">IFERROR(Upgrades!$K$8*(POWER(Upgrades!$Q$6,E233)*POWER(Upgrades!$Q$7,F233)*POWER(Upgrades!$Q$8,G233)*POWER(Upgrades!$Q$9,H233)*POWER(Upgrades!$Q$10,I233)*POWER(Upgrades!$Q$11,J233)*POWER(Upgrades!$Q$12,K233))*(IF(Upgrades!$T$6="Stellar Coupling",POWER(Upgrades!$U$6,E233),1)*IF(Upgrades!$T$7="Stellar Coupling",POWER(Upgrades!$U$7,F233),1)*IF(Upgrades!$T$9="Stellar Coupling",POWER(Upgrades!$U$9,H233),1)*IF(Upgrades!$T$10="Stellar Coupling",POWER(Upgrades!$U$10,I233),1)*IF(Upgrades!$T$11="Stellar Coupling",POWER(Upgrades!$U$11,J233),1)*IF(Upgrades!$T$12="Stellar Coupling",POWER(Upgrades!$U$12,K233),1))*Parameters!$B$10*Parameters!$B$11/60/AI233,0)</f>
        <v>0.00452762415783776</v>
      </c>
      <c r="AV233" s="33" t="n">
        <f aca="false">IFERROR(Upgrades!$H$9*(POWER(Upgrades!$P$6,E233)*POWER(Upgrades!$P$7,F233)*POWER(Upgrades!$P$8,G233)*POWER(Upgrades!$P$9,H233)*POWER(Upgrades!$P$10,I233)*POWER(Upgrades!$P$11,J233)*POWER(Upgrades!$P$12,K233))*(IF(Upgrades!$T$6="Magnetosphere",POWER(Upgrades!$U$6,E233),1)*IF(Upgrades!$T$7="Magnetosphere",POWER(Upgrades!$U$7,F233),1)*IF(Upgrades!$T$8="Magnetosphere",POWER(Upgrades!$U$8,G233),1)*IF(Upgrades!$T$10="Magnetosphere",POWER(Upgrades!$U$10,I233),1)*IF(Upgrades!$T$11="Magnetosphere",POWER(Upgrades!$U$11,J233),1)*IF(Upgrades!$T$12="Magnetosphere",POWER(Upgrades!$U$12,K233),1))/AJ233,0)</f>
        <v>0</v>
      </c>
      <c r="AW233" s="33" t="n">
        <f aca="false">MAX(IF(I233&gt;0,0,IFERROR(0.25*N233/Upgrades!$C$10,0)),IF(J233&gt;0,0,IFERROR(0.5*((IF(G233=0,0,(Upgrades!$J$8+G233*Upgrades!$K$8)*POWER(Upgrades!$L$8,G233)))*(IF(Upgrades!$T$6="Stellar Coupling",POWER(Upgrades!$U$6,E233),1)*IF(Upgrades!$T$7="Stellar Coupling",POWER(Upgrades!$U$7,F233),1)*IF(Upgrades!$T$9="Stellar Coupling",POWER(Upgrades!$U$9,H233),1)*IF(Upgrades!$T$10="Stellar Coupling",POWER(Upgrades!$U$10,I233),1)*IF(Upgrades!$T$11="Stellar Coupling",POWER(Upgrades!$U$11,J233),1)*IF(Upgrades!$T$12="Stellar Coupling",POWER(Upgrades!$U$12,K233),1))*(POWER(Upgrades!$Q$6,E233)*POWER(Upgrades!$Q$7,F233)*POWER(Upgrades!$Q$8,G233)*POWER(Upgrades!$Q$9,H233)*POWER(Upgrades!$Q$10,I233)*POWER(Upgrades!$Q$11,J233)*POWER(Upgrades!$Q$12,K233))*Parameters!$B$10*Parameters!$B$11/60)/Upgrades!$C$11,0)),IF(K233&gt;0,0,IFERROR((1*(POWER(Upgrades!$P$6,E233)*POWER(Upgrades!$P$7,F233)*POWER(Upgrades!$P$8,G233)*POWER(Upgrades!$P$9,H233)*POWER(Upgrades!$P$10,I233)*POWER(Upgrades!$P$11,J233)*POWER(Upgrades!$P$12,K233))+0.2*M233*Parameters!$B$10*Parameters!$B$11/60)/Upgrades!$C$12,0)),IF(AND(ISNUMBER(AG233),AG233&gt;T233),AS233,0),IF(AND(ISNUMBER(AH233),AH233&gt;T233),AT233,0),IF(AND(ISNUMBER(AI233),AI233&gt;T233),AU233,0),IF(AND(ISNUMBER(AJ233),AJ233&gt;T233),AV233,0))</f>
        <v>0.00452762415783776</v>
      </c>
      <c r="AX233" s="29" t="str">
        <f aca="false">IF(AN233=1,"transition",IF(MIN(IF(AND(I233=0,ISNUMBER(AK233),AK233&lt;=T233),AK233,9000000000000000),IF(AND(J233=0,ISNUMBER(AL233),AL233&lt;=T233),AL233,9000000000000000),IF(AND(K233=0,ISNUMBER(AM233),AM233&lt;=T233),AM233,9000000000000000))&lt;9000000000000000,IF(AND(AND(I233=0,ISNUMBER(AK233),AK233&lt;=T233),AK233=MIN(IF(AND(I233=0,ISNUMBER(AK233),AK233&lt;=T233),AK233,9000000000000000),IF(AND(J233=0,ISNUMBER(AL233),AL233&lt;=T233),AL233,9000000000000000),IF(AND(K233=0,ISNUMBER(AM233),AM233&lt;=T233),AM233,9000000000000000))),"OR",IF(AND(AND(J233=0,ISNUMBER(AL233),AL233&lt;=T233),AL233=MIN(IF(AND(I233=0,ISNUMBER(AK233),AK233&lt;=T233),AK233,9000000000000000),IF(AND(J233=0,ISNUMBER(AL233),AL233&lt;=T233),AL233,9000000000000000),IF(AND(K233=0,ISNUMBER(AM233),AM233&lt;=T233),AM233,9000000000000000))),"HP","FP")),IF(AR233=TRUE(),"",IF(MAX(IF(AND(NOT(AND(AO233=1,AN233&lt;&gt;1)),ISNUMBER(AG233),AG233&lt;=T233),AS233,0),IF(AND(NOT(AND(AO233=1,AN233&lt;&gt;1)),ISNUMBER(AH233),AH233&lt;=T233),AT233,0),IF(AND(NOT(AND(AO233=1,AN233&lt;&gt;1)),ISNUMBER(AI233),AI233&lt;=T233),AU233,0),IF(AND(ISNUMBER(AJ233),AJ233&lt;=T233),AV233,0))&lt;=0,"",IF(AND(IF(AND(NOT(AND(AO233=1,AN233&lt;&gt;1)),ISNUMBER(AG233),AG233&lt;=T233),AS233,0)&gt;0,IF(AND(NOT(AND(AO233=1,AN233&lt;&gt;1)),ISNUMBER(AG233),AG233&lt;=T233),AS233,0)=MAX(IF(AND(NOT(AND(AO233=1,AN233&lt;&gt;1)),ISNUMBER(AG233),AG233&lt;=T233),AS233,0),IF(AND(NOT(AND(AO233=1,AN233&lt;&gt;1)),ISNUMBER(AH233),AH233&lt;=T233),AT233,0),IF(AND(NOT(AND(AO233=1,AN233&lt;&gt;1)),ISNUMBER(AI233),AI233&lt;=T233),AU233,0),IF(AND(ISNUMBER(AJ233),AJ233&lt;=T233),AV233,0))),"SW",IF(AND(IF(AND(NOT(AND(AO233=1,AN233&lt;&gt;1)),ISNUMBER(AH233),AH233&lt;=T233),AT233,0)&gt;0,IF(AND(NOT(AND(AO233=1,AN233&lt;&gt;1)),ISNUMBER(AH233),AH233&lt;=T233),AT233,0)=MAX(IF(AND(NOT(AND(AO233=1,AN233&lt;&gt;1)),ISNUMBER(AG233),AG233&lt;=T233),AS233,0),IF(AND(NOT(AND(AO233=1,AN233&lt;&gt;1)),ISNUMBER(AH233),AH233&lt;=T233),AT233,0),IF(AND(NOT(AND(AO233=1,AN233&lt;&gt;1)),ISNUMBER(AI233),AI233&lt;=T233),AU233,0),IF(AND(ISNUMBER(AJ233),AJ233&lt;=T233),AV233,0))),"AB",IF(AND(IF(AND(NOT(AND(AO233=1,AN233&lt;&gt;1)),ISNUMBER(AI233),AI233&lt;=T233),AU233,0)&gt;0,IF(AND(NOT(AND(AO233=1,AN233&lt;&gt;1)),ISNUMBER(AI233),AI233&lt;=T233),AU233,0)=MAX(IF(AND(NOT(AND(AO233=1,AN233&lt;&gt;1)),ISNUMBER(AG233),AG233&lt;=T233),AS233,0),IF(AND(NOT(AND(AO233=1,AN233&lt;&gt;1)),ISNUMBER(AH233),AH233&lt;=T233),AT233,0),IF(AND(NOT(AND(AO233=1,AN233&lt;&gt;1)),ISNUMBER(AI233),AI233&lt;=T233),AU233,0),IF(AND(ISNUMBER(AJ233),AJ233&lt;=T233),AV233,0))),"SC","Mag")))))))</f>
        <v/>
      </c>
    </row>
    <row r="234" customFormat="false" ht="15" hidden="false" customHeight="false" outlineLevel="0" collapsed="false">
      <c r="A234" s="26" t="n">
        <v>229</v>
      </c>
      <c r="B234" s="27" t="n">
        <f aca="false">A234*10/60</f>
        <v>38.1666666666667</v>
      </c>
      <c r="C234" s="21" t="n">
        <f aca="false">X233</f>
        <v>18.6730249835055</v>
      </c>
      <c r="D234" s="27" t="n">
        <f aca="false">D233+W233</f>
        <v>0</v>
      </c>
      <c r="E234" s="26" t="n">
        <f aca="false">E233+IF(U233="SW",1,0)</f>
        <v>12</v>
      </c>
      <c r="F234" s="26" t="n">
        <f aca="false">F233+IF(U233="AB",1,0)</f>
        <v>10</v>
      </c>
      <c r="G234" s="26" t="n">
        <f aca="false">G233+IF(U233="SC",1,0)</f>
        <v>7</v>
      </c>
      <c r="H234" s="26" t="n">
        <f aca="false">H233+IF(U233="Mag",1,0)</f>
        <v>5</v>
      </c>
      <c r="I234" s="26" t="n">
        <f aca="false">MAX(I233,IF(U233="OR",1,0))</f>
        <v>1</v>
      </c>
      <c r="J234" s="26" t="n">
        <f aca="false">MAX(J233,IF(U233="HP",1,0))</f>
        <v>1</v>
      </c>
      <c r="K234" s="26" t="n">
        <f aca="false">MAX(K233,IF(U233="FP",1,0))</f>
        <v>1</v>
      </c>
      <c r="L234" s="26" t="n">
        <f aca="false">MAX(L233,IF(U233="transition",1,0))</f>
        <v>1</v>
      </c>
      <c r="M234" s="28" t="n">
        <f aca="false">(Parameters!$B$9+(IF(E234=0,0,(Upgrades!$J$6+E234*Upgrades!$K$6)*POWER(Upgrades!$L$6,E234)))*(IF(Upgrades!$T$7="Solar Wind",POWER(Upgrades!$U$7,F234),1)*IF(Upgrades!$T$8="Solar Wind",POWER(Upgrades!$U$8,G234),1)*IF(Upgrades!$T$9="Solar Wind",POWER(Upgrades!$U$9,H234),1)*IF(Upgrades!$T$10="Solar Wind",POWER(Upgrades!$U$10,I234),1)*IF(Upgrades!$T$11="Solar Wind",POWER(Upgrades!$U$11,J234),1)*IF(Upgrades!$T$12="Solar Wind",POWER(Upgrades!$U$12,K234),1))+(IF(F234=0,0,(Upgrades!$J$7+F234*Upgrades!$K$7)*POWER(Upgrades!$L$7,F234)))*(IF(Upgrades!$T$6="Asteroid Belt",POWER(Upgrades!$U$6,E234),1)*IF(Upgrades!$T$8="Asteroid Belt",POWER(Upgrades!$U$8,G234),1)*IF(Upgrades!$T$9="Asteroid Belt",POWER(Upgrades!$U$9,H234),1)*IF(Upgrades!$T$10="Asteroid Belt",POWER(Upgrades!$U$10,I234),1)*IF(Upgrades!$T$11="Asteroid Belt",POWER(Upgrades!$U$11,J234),1)*IF(Upgrades!$T$12="Asteroid Belt",POWER(Upgrades!$U$12,K234),1))+(IF(G234=0,0,(Upgrades!$J$8+G234*Upgrades!$K$8)*POWER(Upgrades!$L$8,G234)))*(IF(Upgrades!$T$6="Stellar Coupling",POWER(Upgrades!$U$6,E234),1)*IF(Upgrades!$T$7="Stellar Coupling",POWER(Upgrades!$U$7,F234),1)*IF(Upgrades!$T$9="Stellar Coupling",POWER(Upgrades!$U$9,H234),1)*IF(Upgrades!$T$10="Stellar Coupling",POWER(Upgrades!$U$10,I234),1)*IF(Upgrades!$T$11="Stellar Coupling",POWER(Upgrades!$U$11,J234),1)*IF(Upgrades!$T$12="Stellar Coupling",POWER(Upgrades!$U$12,K234),1))+(IF(H234=0,0,(Upgrades!$J$9+H234*Upgrades!$K$9)*POWER(Upgrades!$L$9,H234)))*(IF(Upgrades!$T$6="Magnetosphere",POWER(Upgrades!$U$6,E234),1)*IF(Upgrades!$T$7="Magnetosphere",POWER(Upgrades!$U$7,F234),1)*IF(Upgrades!$T$8="Magnetosphere",POWER(Upgrades!$U$8,G234),1)*IF(Upgrades!$T$10="Magnetosphere",POWER(Upgrades!$U$10,I234),1)*IF(Upgrades!$T$11="Magnetosphere",POWER(Upgrades!$U$11,J234),1)*IF(Upgrades!$T$12="Magnetosphere",POWER(Upgrades!$U$12,K234),1))+(IF(I234=0,0,(Upgrades!$J$10+I234*Upgrades!$K$10)*POWER(Upgrades!$L$10,I234)))*(IF(Upgrades!$T$6="Orbital Resonance",POWER(Upgrades!$U$6,E234),1)*IF(Upgrades!$T$7="Orbital Resonance",POWER(Upgrades!$U$7,F234),1)*IF(Upgrades!$T$8="Orbital Resonance",POWER(Upgrades!$U$8,G234),1)*IF(Upgrades!$T$9="Orbital Resonance",POWER(Upgrades!$U$9,H234),1)*IF(Upgrades!$T$11="Orbital Resonance",POWER(Upgrades!$U$11,J234),1)*IF(Upgrades!$T$12="Orbital Resonance",POWER(Upgrades!$U$12,K234),1))+(IF(J234=0,0,(Upgrades!$J$11+J234*Upgrades!$K$11)*POWER(Upgrades!$L$11,J234)))*(IF(Upgrades!$T$6="Heliopause",POWER(Upgrades!$U$6,E234),1)*IF(Upgrades!$T$7="Heliopause",POWER(Upgrades!$U$7,F234),1)*IF(Upgrades!$T$8="Heliopause",POWER(Upgrades!$U$8,G234),1)*IF(Upgrades!$T$9="Heliopause",POWER(Upgrades!$U$9,H234),1)*IF(Upgrades!$T$10="Heliopause",POWER(Upgrades!$U$10,I234),1)*IF(Upgrades!$T$12="Heliopause",POWER(Upgrades!$U$12,K234),1))+(IF(K234=0,0,(Upgrades!$J$12+K234*Upgrades!$K$12)*POWER(Upgrades!$L$12,K234)))*(IF(Upgrades!$T$6="First Photons",POWER(Upgrades!$U$6,E234),1)*IF(Upgrades!$T$7="First Photons",POWER(Upgrades!$U$7,F234),1)*IF(Upgrades!$T$8="First Photons",POWER(Upgrades!$U$8,G234),1)*IF(Upgrades!$T$9="First Photons",POWER(Upgrades!$U$9,H234),1)*IF(Upgrades!$T$10="First Photons",POWER(Upgrades!$U$10,I234),1)*IF(Upgrades!$T$11="First Photons",POWER(Upgrades!$U$11,J234),1)))*POWER(Upgrades!$Q$6,E234)*POWER(Upgrades!$Q$7,F234)*POWER(Upgrades!$Q$8,G234)*POWER(Upgrades!$Q$9,H234)*POWER(Upgrades!$Q$10,I234)*POWER(Upgrades!$Q$11,J234)*POWER(Upgrades!$Q$12,K234)</f>
        <v>5.61</v>
      </c>
      <c r="N234" s="28" t="n">
        <f aca="false">((IF(E234=0,0,(Upgrades!$G$6+E234*Upgrades!$H$6)*POWER(Upgrades!$I$6,E234)))*(IF(Upgrades!$T$7="Solar Wind",POWER(Upgrades!$U$7,F234),1)*IF(Upgrades!$T$8="Solar Wind",POWER(Upgrades!$U$8,G234),1)*IF(Upgrades!$T$9="Solar Wind",POWER(Upgrades!$U$9,H234),1)*IF(Upgrades!$T$10="Solar Wind",POWER(Upgrades!$U$10,I234),1)*IF(Upgrades!$T$11="Solar Wind",POWER(Upgrades!$U$11,J234),1)*IF(Upgrades!$T$12="Solar Wind",POWER(Upgrades!$U$12,K234),1))+(IF(F234=0,0,(Upgrades!$G$7+F234*Upgrades!$H$7)*POWER(Upgrades!$I$7,F234)))*(IF(Upgrades!$T$6="Asteroid Belt",POWER(Upgrades!$U$6,E234),1)*IF(Upgrades!$T$8="Asteroid Belt",POWER(Upgrades!$U$8,G234),1)*IF(Upgrades!$T$9="Asteroid Belt",POWER(Upgrades!$U$9,H234),1)*IF(Upgrades!$T$10="Asteroid Belt",POWER(Upgrades!$U$10,I234),1)*IF(Upgrades!$T$11="Asteroid Belt",POWER(Upgrades!$U$11,J234),1)*IF(Upgrades!$T$12="Asteroid Belt",POWER(Upgrades!$U$12,K234),1))+(IF(G234=0,0,(Upgrades!$G$8+G234*Upgrades!$H$8)*POWER(Upgrades!$I$8,G234)))*(IF(Upgrades!$T$6="Stellar Coupling",POWER(Upgrades!$U$6,E234),1)*IF(Upgrades!$T$7="Stellar Coupling",POWER(Upgrades!$U$7,F234),1)*IF(Upgrades!$T$9="Stellar Coupling",POWER(Upgrades!$U$9,H234),1)*IF(Upgrades!$T$10="Stellar Coupling",POWER(Upgrades!$U$10,I234),1)*IF(Upgrades!$T$11="Stellar Coupling",POWER(Upgrades!$U$11,J234),1)*IF(Upgrades!$T$12="Stellar Coupling",POWER(Upgrades!$U$12,K234),1))+(IF(H234=0,0,(Upgrades!$G$9+H234*Upgrades!$H$9)*POWER(Upgrades!$I$9,H234)))*(IF(Upgrades!$T$6="Magnetosphere",POWER(Upgrades!$U$6,E234),1)*IF(Upgrades!$T$7="Magnetosphere",POWER(Upgrades!$U$7,F234),1)*IF(Upgrades!$T$8="Magnetosphere",POWER(Upgrades!$U$8,G234),1)*IF(Upgrades!$T$10="Magnetosphere",POWER(Upgrades!$U$10,I234),1)*IF(Upgrades!$T$11="Magnetosphere",POWER(Upgrades!$U$11,J234),1)*IF(Upgrades!$T$12="Magnetosphere",POWER(Upgrades!$U$12,K234),1))+(IF(I234=0,0,(Upgrades!$G$10+I234*Upgrades!$H$10)*POWER(Upgrades!$I$10,I234)))*(IF(Upgrades!$T$6="Orbital Resonance",POWER(Upgrades!$U$6,E234),1)*IF(Upgrades!$T$7="Orbital Resonance",POWER(Upgrades!$U$7,F234),1)*IF(Upgrades!$T$8="Orbital Resonance",POWER(Upgrades!$U$8,G234),1)*IF(Upgrades!$T$9="Orbital Resonance",POWER(Upgrades!$U$9,H234),1)*IF(Upgrades!$T$11="Orbital Resonance",POWER(Upgrades!$U$11,J234),1)*IF(Upgrades!$T$12="Orbital Resonance",POWER(Upgrades!$U$12,K234),1))+(IF(J234=0,0,(Upgrades!$G$11+J234*Upgrades!$H$11)*POWER(Upgrades!$I$11,J234)))*(IF(Upgrades!$T$6="Heliopause",POWER(Upgrades!$U$6,E234),1)*IF(Upgrades!$T$7="Heliopause",POWER(Upgrades!$U$7,F234),1)*IF(Upgrades!$T$8="Heliopause",POWER(Upgrades!$U$8,G234),1)*IF(Upgrades!$T$9="Heliopause",POWER(Upgrades!$U$9,H234),1)*IF(Upgrades!$T$10="Heliopause",POWER(Upgrades!$U$10,I234),1)*IF(Upgrades!$T$12="Heliopause",POWER(Upgrades!$U$12,K234),1))+(IF(K234=0,0,(Upgrades!$G$12+K234*Upgrades!$H$12)*POWER(Upgrades!$I$12,K234)))*(IF(Upgrades!$T$6="First Photons",POWER(Upgrades!$U$6,E234),1)*IF(Upgrades!$T$7="First Photons",POWER(Upgrades!$U$7,F234),1)*IF(Upgrades!$T$8="First Photons",POWER(Upgrades!$U$8,G234),1)*IF(Upgrades!$T$9="First Photons",POWER(Upgrades!$U$9,H234),1)*IF(Upgrades!$T$10="First Photons",POWER(Upgrades!$U$10,I234),1)*IF(Upgrades!$T$11="First Photons",POWER(Upgrades!$U$11,J234),1)))*POWER(Upgrades!$P$6,E234)*POWER(Upgrades!$P$7,F234)*POWER(Upgrades!$P$8,G234)*POWER(Upgrades!$P$9,H234)*POWER(Upgrades!$P$10,I234)*POWER(Upgrades!$P$11,J234)*POWER(Upgrades!$P$12,K234)</f>
        <v>11.2</v>
      </c>
      <c r="O234" s="28" t="n">
        <f aca="false">((IF(E234=0,0,(Upgrades!$M$6+E234*Upgrades!$N$6)*POWER(Upgrades!$O$6,E234)))*(IF(Upgrades!$T$7="Solar Wind",POWER(Upgrades!$U$7,F234),1)*IF(Upgrades!$T$8="Solar Wind",POWER(Upgrades!$U$8,G234),1)*IF(Upgrades!$T$9="Solar Wind",POWER(Upgrades!$U$9,H234),1)*IF(Upgrades!$T$10="Solar Wind",POWER(Upgrades!$U$10,I234),1)*IF(Upgrades!$T$11="Solar Wind",POWER(Upgrades!$U$11,J234),1)*IF(Upgrades!$T$12="Solar Wind",POWER(Upgrades!$U$12,K234),1))+(IF(F234=0,0,(Upgrades!$M$7+F234*Upgrades!$N$7)*POWER(Upgrades!$O$7,F234)))*(IF(Upgrades!$T$6="Asteroid Belt",POWER(Upgrades!$U$6,E234),1)*IF(Upgrades!$T$8="Asteroid Belt",POWER(Upgrades!$U$8,G234),1)*IF(Upgrades!$T$9="Asteroid Belt",POWER(Upgrades!$U$9,H234),1)*IF(Upgrades!$T$10="Asteroid Belt",POWER(Upgrades!$U$10,I234),1)*IF(Upgrades!$T$11="Asteroid Belt",POWER(Upgrades!$U$11,J234),1)*IF(Upgrades!$T$12="Asteroid Belt",POWER(Upgrades!$U$12,K234),1))+(IF(G234=0,0,(Upgrades!$M$8+G234*Upgrades!$N$8)*POWER(Upgrades!$O$8,G234)))*(IF(Upgrades!$T$6="Stellar Coupling",POWER(Upgrades!$U$6,E234),1)*IF(Upgrades!$T$7="Stellar Coupling",POWER(Upgrades!$U$7,F234),1)*IF(Upgrades!$T$9="Stellar Coupling",POWER(Upgrades!$U$9,H234),1)*IF(Upgrades!$T$10="Stellar Coupling",POWER(Upgrades!$U$10,I234),1)*IF(Upgrades!$T$11="Stellar Coupling",POWER(Upgrades!$U$11,J234),1)*IF(Upgrades!$T$12="Stellar Coupling",POWER(Upgrades!$U$12,K234),1))+(IF(H234=0,0,(Upgrades!$M$9+H234*Upgrades!$N$9)*POWER(Upgrades!$O$9,H234)))*(IF(Upgrades!$T$6="Magnetosphere",POWER(Upgrades!$U$6,E234),1)*IF(Upgrades!$T$7="Magnetosphere",POWER(Upgrades!$U$7,F234),1)*IF(Upgrades!$T$8="Magnetosphere",POWER(Upgrades!$U$8,G234),1)*IF(Upgrades!$T$10="Magnetosphere",POWER(Upgrades!$U$10,I234),1)*IF(Upgrades!$T$11="Magnetosphere",POWER(Upgrades!$U$11,J234),1)*IF(Upgrades!$T$12="Magnetosphere",POWER(Upgrades!$U$12,K234),1))+(IF(I234=0,0,(Upgrades!$M$10+I234*Upgrades!$N$10)*POWER(Upgrades!$O$10,I234)))*(IF(Upgrades!$T$6="Orbital Resonance",POWER(Upgrades!$U$6,E234),1)*IF(Upgrades!$T$7="Orbital Resonance",POWER(Upgrades!$U$7,F234),1)*IF(Upgrades!$T$8="Orbital Resonance",POWER(Upgrades!$U$8,G234),1)*IF(Upgrades!$T$9="Orbital Resonance",POWER(Upgrades!$U$9,H234),1)*IF(Upgrades!$T$11="Orbital Resonance",POWER(Upgrades!$U$11,J234),1)*IF(Upgrades!$T$12="Orbital Resonance",POWER(Upgrades!$U$12,K234),1))+(IF(J234=0,0,(Upgrades!$M$11+J234*Upgrades!$N$11)*POWER(Upgrades!$O$11,J234)))*(IF(Upgrades!$T$6="Heliopause",POWER(Upgrades!$U$6,E234),1)*IF(Upgrades!$T$7="Heliopause",POWER(Upgrades!$U$7,F234),1)*IF(Upgrades!$T$8="Heliopause",POWER(Upgrades!$U$8,G234),1)*IF(Upgrades!$T$9="Heliopause",POWER(Upgrades!$U$9,H234),1)*IF(Upgrades!$T$10="Heliopause",POWER(Upgrades!$U$10,I234),1)*IF(Upgrades!$T$12="Heliopause",POWER(Upgrades!$U$12,K234),1))+(IF(K234=0,0,(Upgrades!$M$12+K234*Upgrades!$N$12)*POWER(Upgrades!$O$12,K234)))*(IF(Upgrades!$T$6="First Photons",POWER(Upgrades!$U$6,E234),1)*IF(Upgrades!$T$7="First Photons",POWER(Upgrades!$U$7,F234),1)*IF(Upgrades!$T$8="First Photons",POWER(Upgrades!$U$8,G234),1)*IF(Upgrades!$T$9="First Photons",POWER(Upgrades!$U$9,H234),1)*IF(Upgrades!$T$10="First Photons",POWER(Upgrades!$U$10,I234),1)*IF(Upgrades!$T$11="First Photons",POWER(Upgrades!$U$11,J234),1)))*POWER(Upgrades!$R$6,E234)*POWER(Upgrades!$R$7,F234)*POWER(Upgrades!$R$8,G234)*POWER(Upgrades!$R$9,H234)*POWER(Upgrades!$R$10,I234)*POWER(Upgrades!$R$11,J234)*POWER(Upgrades!$R$12,K234)</f>
        <v>0</v>
      </c>
      <c r="P234" s="27" t="n">
        <f aca="false">IF(L234=1,0,M234*Parameters!$B$10/60*Parameters!$B$11*10)</f>
        <v>0</v>
      </c>
      <c r="Q234" s="27" t="n">
        <f aca="false">IF(L234=1,0,O234*M234*10)</f>
        <v>0</v>
      </c>
      <c r="R234" s="27" t="n">
        <f aca="false">IF(L234=1,0,N234*10)</f>
        <v>0</v>
      </c>
      <c r="S234" s="27" t="n">
        <f aca="false">P234+Q234+R234</f>
        <v>0</v>
      </c>
      <c r="T234" s="21" t="n">
        <f aca="false">C234+S234</f>
        <v>18.6730249835055</v>
      </c>
      <c r="U234" s="34" t="str">
        <f aca="false">AX234</f>
        <v/>
      </c>
      <c r="V234" s="21" t="n">
        <f aca="false">IF(U234="",0,IF(U234="transition",0,IF(U234="SW",AG234,IF(U234="AB",AH234,IF(U234="SC",AI234,IF(U234="Mag",AJ234,IF(U234="OR",AK234,IF(U234="HP",AL234,IF(U234="FP",AM234,0)))))))))</f>
        <v>0</v>
      </c>
      <c r="W234" s="27" t="n">
        <f aca="false">IF(U234="OR",Upgrades!$F$10,IF(U234="HP",Upgrades!$F$11,IF(U234="transition",-Parameters!$B$18,0)))</f>
        <v>0</v>
      </c>
      <c r="X234" s="21" t="n">
        <f aca="false">T234-V234</f>
        <v>18.6730249835055</v>
      </c>
      <c r="Y234" s="30" t="n">
        <f aca="false">M234*Parameters!$B$10/60*Parameters!$B$11+O234*M234+N234</f>
        <v>20.55</v>
      </c>
      <c r="Z234" s="35" t="str">
        <f aca="false">IF(U234="transition","→ Tier 2 (Stellar Neighborhood)",IF(U234="FP","First Photons — light begins, system quickens",IF(U234="HP","Heliopause acquired",IF(U234="OR","Orbital Resonance — passive multiplier active",IF(AND(AO234=1,L234=0,AN234&lt;&gt;1),"Cohesion ready (waiting on completionist upgrades)","")))))</f>
        <v/>
      </c>
      <c r="AA234" s="27" t="n">
        <f aca="false">(IF(E234=0,0,(Upgrades!$G$6+E234*Upgrades!$H$6)*POWER(Upgrades!$I$6,E234)))*(IF(Upgrades!$T$7="Solar Wind",POWER(Upgrades!$U$7,F234),1)*IF(Upgrades!$T$8="Solar Wind",POWER(Upgrades!$U$8,G234),1)*IF(Upgrades!$T$9="Solar Wind",POWER(Upgrades!$U$9,H234),1)*IF(Upgrades!$T$10="Solar Wind",POWER(Upgrades!$U$10,I234),1)*IF(Upgrades!$T$11="Solar Wind",POWER(Upgrades!$U$11,J234),1)*IF(Upgrades!$T$12="Solar Wind",POWER(Upgrades!$U$12,K234),1))*POWER(Upgrades!$P$6,E234)*POWER(Upgrades!$P$7,F234)*POWER(Upgrades!$P$8,G234)*POWER(Upgrades!$P$9,H234)*POWER(Upgrades!$P$10,I234)*POWER(Upgrades!$P$11,J234)*POWER(Upgrades!$P$12,K234)*60</f>
        <v>72</v>
      </c>
      <c r="AB234" s="27" t="n">
        <f aca="false">(IF(F234=0,0,(Upgrades!$G$7+F234*Upgrades!$H$7)*POWER(Upgrades!$I$7,F234)))*(IF(Upgrades!$T$6="Asteroid Belt",POWER(Upgrades!$U$6,E234),1)*IF(Upgrades!$T$8="Asteroid Belt",POWER(Upgrades!$U$8,G234),1)*IF(Upgrades!$T$9="Asteroid Belt",POWER(Upgrades!$U$9,H234),1)*IF(Upgrades!$T$10="Asteroid Belt",POWER(Upgrades!$U$10,I234),1)*IF(Upgrades!$T$11="Asteroid Belt",POWER(Upgrades!$U$11,J234),1)*IF(Upgrades!$T$12="Asteroid Belt",POWER(Upgrades!$U$12,K234),1))*POWER(Upgrades!$P$6,E234)*POWER(Upgrades!$P$7,F234)*POWER(Upgrades!$P$8,G234)*POWER(Upgrades!$P$9,H234)*POWER(Upgrades!$P$10,I234)*POWER(Upgrades!$P$11,J234)*POWER(Upgrades!$P$12,K234)*60</f>
        <v>150</v>
      </c>
      <c r="AC234" s="27" t="n">
        <f aca="false">(IF(G234=0,0,(Upgrades!$J$8+G234*Upgrades!$K$8)*POWER(Upgrades!$L$8,G234)))*(IF(Upgrades!$T$6="Stellar Coupling",POWER(Upgrades!$U$6,E234),1)*IF(Upgrades!$T$7="Stellar Coupling",POWER(Upgrades!$U$7,F234),1)*IF(Upgrades!$T$9="Stellar Coupling",POWER(Upgrades!$U$9,H234),1)*IF(Upgrades!$T$10="Stellar Coupling",POWER(Upgrades!$U$10,I234),1)*IF(Upgrades!$T$11="Stellar Coupling",POWER(Upgrades!$U$11,J234),1)*IF(Upgrades!$T$12="Stellar Coupling",POWER(Upgrades!$U$12,K234),1))*POWER(Upgrades!$Q$6,E234)*POWER(Upgrades!$Q$7,F234)*POWER(Upgrades!$Q$8,G234)*POWER(Upgrades!$Q$9,H234)*POWER(Upgrades!$Q$10,I234)*POWER(Upgrades!$Q$11,J234)*POWER(Upgrades!$Q$12,K234)*Parameters!$B$10*Parameters!$B$11</f>
        <v>441</v>
      </c>
      <c r="AD234" s="27" t="n">
        <f aca="false">(IF(H234=0,0,(Upgrades!$G$9+H234*Upgrades!$H$9)*POWER(Upgrades!$I$9,H234)))*(IF(Upgrades!$T$6="Magnetosphere",POWER(Upgrades!$U$6,E234),1)*IF(Upgrades!$T$7="Magnetosphere",POWER(Upgrades!$U$7,F234),1)*IF(Upgrades!$T$8="Magnetosphere",POWER(Upgrades!$U$8,G234),1)*IF(Upgrades!$T$10="Magnetosphere",POWER(Upgrades!$U$10,I234),1)*IF(Upgrades!$T$11="Magnetosphere",POWER(Upgrades!$U$11,J234),1)*IF(Upgrades!$T$12="Magnetosphere",POWER(Upgrades!$U$12,K234),1))*POWER(Upgrades!$P$6,E234)*POWER(Upgrades!$P$7,F234)*POWER(Upgrades!$P$8,G234)*POWER(Upgrades!$P$9,H234)*POWER(Upgrades!$P$10,I234)*POWER(Upgrades!$P$11,J234)*POWER(Upgrades!$P$12,K234)*60</f>
        <v>375</v>
      </c>
      <c r="AE234" s="27" t="n">
        <f aca="false">(IF(K234=0,0,(Upgrades!$G$12+K234*Upgrades!$H$12)*POWER(Upgrades!$I$12,K234)))*(IF(Upgrades!$T$6="First Photons",POWER(Upgrades!$U$6,E234),1)*IF(Upgrades!$T$7="First Photons",POWER(Upgrades!$U$7,F234),1)*IF(Upgrades!$T$8="First Photons",POWER(Upgrades!$U$8,G234),1)*IF(Upgrades!$T$9="First Photons",POWER(Upgrades!$U$9,H234),1)*IF(Upgrades!$T$10="First Photons",POWER(Upgrades!$U$10,I234),1)*IF(Upgrades!$T$11="First Photons",POWER(Upgrades!$U$11,J234),1))*POWER(Upgrades!$P$6,E234)*POWER(Upgrades!$P$7,F234)*POWER(Upgrades!$P$8,G234)*POWER(Upgrades!$P$9,H234)*POWER(Upgrades!$P$10,I234)*POWER(Upgrades!$P$11,J234)*POWER(Upgrades!$P$12,K234)*60</f>
        <v>75</v>
      </c>
      <c r="AF234" s="27" t="n">
        <f aca="false">Parameters!$B$9*POWER(Upgrades!$Q$6,E234)*POWER(Upgrades!$Q$7,F234)*POWER(Upgrades!$Q$8,G234)*POWER(Upgrades!$Q$9,H234)*POWER(Upgrades!$Q$10,I234)*POWER(Upgrades!$Q$11,J234)*POWER(Upgrades!$Q$12,K234)*(Parameters!$B$10*Parameters!$B$11+O234*60)</f>
        <v>120</v>
      </c>
      <c r="AG234" s="21" t="n">
        <f aca="false">IF(E234&gt;=Upgrades!$E$6,"",Upgrades!$C$6*POWER(Upgrades!$D$6,E234))</f>
        <v>37.4517507383159</v>
      </c>
      <c r="AH234" s="21" t="n">
        <f aca="false">IF(F234&gt;=Upgrades!$E$7,"",Upgrades!$C$7*POWER(Upgrades!$D$7,F234))</f>
        <v>80.9111547141581</v>
      </c>
      <c r="AI234" s="21" t="n">
        <f aca="false">IF(G234&gt;=Upgrades!$E$8,"",Upgrades!$C$8*POWER(Upgrades!$D$8,G234))</f>
        <v>231.9097088</v>
      </c>
      <c r="AJ234" s="21" t="str">
        <f aca="false">IF(H234&gt;=Upgrades!$E$9,"",Upgrades!$C$9*POWER(Upgrades!$D$9,H234))</f>
        <v/>
      </c>
      <c r="AK234" s="21" t="str">
        <f aca="false">IF(I234&gt;=Upgrades!$E$10,"",Upgrades!$C$10*POWER(Upgrades!$D$10,I234))</f>
        <v/>
      </c>
      <c r="AL234" s="21" t="str">
        <f aca="false">IF(J234&gt;=Upgrades!$E$11,"",Upgrades!$C$11*POWER(Upgrades!$D$11,J234))</f>
        <v/>
      </c>
      <c r="AM234" s="21" t="str">
        <f aca="false">IF(K234&gt;=Upgrades!$E$12,"",Upgrades!$C$12*POWER(Upgrades!$D$12,K234))</f>
        <v/>
      </c>
      <c r="AN234" s="26" t="str">
        <f aca="false">IF(AND(D234&gt;=Parameters!$B$18,(H234&gt;=Upgrades!$E$9)*(K234&gt;=Upgrades!$E$12)=1,L234=0),1,"")</f>
        <v/>
      </c>
      <c r="AO234" s="26" t="str">
        <f aca="false">IF(AND(D234&gt;=Parameters!$B$18,L234=0),1,"")</f>
        <v/>
      </c>
      <c r="AP234" s="21" t="n">
        <f aca="false">MIN(IF(ISNUMBER(AK234),AK234,9000000000000000),IF(ISNUMBER(AL234),AL234,9000000000000000),IF(ISNUMBER(AM234),AM234,9000000000000000))</f>
        <v>9000000000000000</v>
      </c>
      <c r="AQ234" s="21" t="n">
        <f aca="false">MIN(IF(ISNUMBER(AG234),AG234,9000000000000000),IF(ISNUMBER(AH234),AH234,9000000000000000),IF(ISNUMBER(AI234),AI234,9000000000000000),IF(ISNUMBER(AJ234),AJ234,9000000000000000))</f>
        <v>37.4517507383159</v>
      </c>
      <c r="AR234" s="32" t="b">
        <f aca="false">IF(AW234&gt;Parameters!$B$21*(MAX(IF(AND(NOT(AND(AO234=1,AN234&lt;&gt;1)),ISNUMBER(AG234),AG234&lt;=T234),AS234,0),IF(AND(NOT(AND(AO234=1,AN234&lt;&gt;1)),ISNUMBER(AH234),AH234&lt;=T234),AT234,0),IF(AND(NOT(AND(AO234=1,AN234&lt;&gt;1)),ISNUMBER(AI234),AI234&lt;=T234),AU234,0),IF(AND(ISNUMBER(AJ234),AJ234&lt;=T234),AV234,0))),TRUE(),FALSE())</f>
        <v>1</v>
      </c>
      <c r="AS234" s="33" t="n">
        <f aca="false">IFERROR(Upgrades!$H$6*(POWER(Upgrades!$P$6,E234)*POWER(Upgrades!$P$7,F234)*POWER(Upgrades!$P$8,G234)*POWER(Upgrades!$P$9,H234)*POWER(Upgrades!$P$10,I234)*POWER(Upgrades!$P$11,J234)*POWER(Upgrades!$P$12,K234))*(IF(Upgrades!$T$7="Solar Wind",POWER(Upgrades!$U$7,F234),1)*IF(Upgrades!$T$8="Solar Wind",POWER(Upgrades!$U$8,G234),1)*IF(Upgrades!$T$9="Solar Wind",POWER(Upgrades!$U$9,H234),1)*IF(Upgrades!$T$10="Solar Wind",POWER(Upgrades!$U$10,I234),1)*IF(Upgrades!$T$11="Solar Wind",POWER(Upgrades!$U$11,J234),1)*IF(Upgrades!$T$12="Solar Wind",POWER(Upgrades!$U$12,K234),1))/AG234,0)</f>
        <v>0.0026701021455238</v>
      </c>
      <c r="AT234" s="33" t="n">
        <f aca="false">IFERROR(Upgrades!$H$7*(POWER(Upgrades!$P$6,E234)*POWER(Upgrades!$P$7,F234)*POWER(Upgrades!$P$8,G234)*POWER(Upgrades!$P$9,H234)*POWER(Upgrades!$P$10,I234)*POWER(Upgrades!$P$11,J234)*POWER(Upgrades!$P$12,K234))*(IF(Upgrades!$T$6="Asteroid Belt",POWER(Upgrades!$U$6,E234),1)*IF(Upgrades!$T$8="Asteroid Belt",POWER(Upgrades!$U$8,G234),1)*IF(Upgrades!$T$9="Asteroid Belt",POWER(Upgrades!$U$9,H234),1)*IF(Upgrades!$T$10="Asteroid Belt",POWER(Upgrades!$U$10,I234),1)*IF(Upgrades!$T$11="Asteroid Belt",POWER(Upgrades!$U$11,J234),1)*IF(Upgrades!$T$12="Asteroid Belt",POWER(Upgrades!$U$12,K234),1))/AH234,0)</f>
        <v>0.00308980882652332</v>
      </c>
      <c r="AU234" s="33" t="n">
        <f aca="false">IFERROR(Upgrades!$K$8*(POWER(Upgrades!$Q$6,E234)*POWER(Upgrades!$Q$7,F234)*POWER(Upgrades!$Q$8,G234)*POWER(Upgrades!$Q$9,H234)*POWER(Upgrades!$Q$10,I234)*POWER(Upgrades!$Q$11,J234)*POWER(Upgrades!$Q$12,K234))*(IF(Upgrades!$T$6="Stellar Coupling",POWER(Upgrades!$U$6,E234),1)*IF(Upgrades!$T$7="Stellar Coupling",POWER(Upgrades!$U$7,F234),1)*IF(Upgrades!$T$9="Stellar Coupling",POWER(Upgrades!$U$9,H234),1)*IF(Upgrades!$T$10="Stellar Coupling",POWER(Upgrades!$U$10,I234),1)*IF(Upgrades!$T$11="Stellar Coupling",POWER(Upgrades!$U$11,J234),1)*IF(Upgrades!$T$12="Stellar Coupling",POWER(Upgrades!$U$12,K234),1))*Parameters!$B$10*Parameters!$B$11/60/AI234,0)</f>
        <v>0.00452762415783776</v>
      </c>
      <c r="AV234" s="33" t="n">
        <f aca="false">IFERROR(Upgrades!$H$9*(POWER(Upgrades!$P$6,E234)*POWER(Upgrades!$P$7,F234)*POWER(Upgrades!$P$8,G234)*POWER(Upgrades!$P$9,H234)*POWER(Upgrades!$P$10,I234)*POWER(Upgrades!$P$11,J234)*POWER(Upgrades!$P$12,K234))*(IF(Upgrades!$T$6="Magnetosphere",POWER(Upgrades!$U$6,E234),1)*IF(Upgrades!$T$7="Magnetosphere",POWER(Upgrades!$U$7,F234),1)*IF(Upgrades!$T$8="Magnetosphere",POWER(Upgrades!$U$8,G234),1)*IF(Upgrades!$T$10="Magnetosphere",POWER(Upgrades!$U$10,I234),1)*IF(Upgrades!$T$11="Magnetosphere",POWER(Upgrades!$U$11,J234),1)*IF(Upgrades!$T$12="Magnetosphere",POWER(Upgrades!$U$12,K234),1))/AJ234,0)</f>
        <v>0</v>
      </c>
      <c r="AW234" s="33" t="n">
        <f aca="false">MAX(IF(I234&gt;0,0,IFERROR(0.25*N234/Upgrades!$C$10,0)),IF(J234&gt;0,0,IFERROR(0.5*((IF(G234=0,0,(Upgrades!$J$8+G234*Upgrades!$K$8)*POWER(Upgrades!$L$8,G234)))*(IF(Upgrades!$T$6="Stellar Coupling",POWER(Upgrades!$U$6,E234),1)*IF(Upgrades!$T$7="Stellar Coupling",POWER(Upgrades!$U$7,F234),1)*IF(Upgrades!$T$9="Stellar Coupling",POWER(Upgrades!$U$9,H234),1)*IF(Upgrades!$T$10="Stellar Coupling",POWER(Upgrades!$U$10,I234),1)*IF(Upgrades!$T$11="Stellar Coupling",POWER(Upgrades!$U$11,J234),1)*IF(Upgrades!$T$12="Stellar Coupling",POWER(Upgrades!$U$12,K234),1))*(POWER(Upgrades!$Q$6,E234)*POWER(Upgrades!$Q$7,F234)*POWER(Upgrades!$Q$8,G234)*POWER(Upgrades!$Q$9,H234)*POWER(Upgrades!$Q$10,I234)*POWER(Upgrades!$Q$11,J234)*POWER(Upgrades!$Q$12,K234))*Parameters!$B$10*Parameters!$B$11/60)/Upgrades!$C$11,0)),IF(K234&gt;0,0,IFERROR((1*(POWER(Upgrades!$P$6,E234)*POWER(Upgrades!$P$7,F234)*POWER(Upgrades!$P$8,G234)*POWER(Upgrades!$P$9,H234)*POWER(Upgrades!$P$10,I234)*POWER(Upgrades!$P$11,J234)*POWER(Upgrades!$P$12,K234))+0.2*M234*Parameters!$B$10*Parameters!$B$11/60)/Upgrades!$C$12,0)),IF(AND(ISNUMBER(AG234),AG234&gt;T234),AS234,0),IF(AND(ISNUMBER(AH234),AH234&gt;T234),AT234,0),IF(AND(ISNUMBER(AI234),AI234&gt;T234),AU234,0),IF(AND(ISNUMBER(AJ234),AJ234&gt;T234),AV234,0))</f>
        <v>0.00452762415783776</v>
      </c>
      <c r="AX234" s="29" t="str">
        <f aca="false">IF(AN234=1,"transition",IF(MIN(IF(AND(I234=0,ISNUMBER(AK234),AK234&lt;=T234),AK234,9000000000000000),IF(AND(J234=0,ISNUMBER(AL234),AL234&lt;=T234),AL234,9000000000000000),IF(AND(K234=0,ISNUMBER(AM234),AM234&lt;=T234),AM234,9000000000000000))&lt;9000000000000000,IF(AND(AND(I234=0,ISNUMBER(AK234),AK234&lt;=T234),AK234=MIN(IF(AND(I234=0,ISNUMBER(AK234),AK234&lt;=T234),AK234,9000000000000000),IF(AND(J234=0,ISNUMBER(AL234),AL234&lt;=T234),AL234,9000000000000000),IF(AND(K234=0,ISNUMBER(AM234),AM234&lt;=T234),AM234,9000000000000000))),"OR",IF(AND(AND(J234=0,ISNUMBER(AL234),AL234&lt;=T234),AL234=MIN(IF(AND(I234=0,ISNUMBER(AK234),AK234&lt;=T234),AK234,9000000000000000),IF(AND(J234=0,ISNUMBER(AL234),AL234&lt;=T234),AL234,9000000000000000),IF(AND(K234=0,ISNUMBER(AM234),AM234&lt;=T234),AM234,9000000000000000))),"HP","FP")),IF(AR234=TRUE(),"",IF(MAX(IF(AND(NOT(AND(AO234=1,AN234&lt;&gt;1)),ISNUMBER(AG234),AG234&lt;=T234),AS234,0),IF(AND(NOT(AND(AO234=1,AN234&lt;&gt;1)),ISNUMBER(AH234),AH234&lt;=T234),AT234,0),IF(AND(NOT(AND(AO234=1,AN234&lt;&gt;1)),ISNUMBER(AI234),AI234&lt;=T234),AU234,0),IF(AND(ISNUMBER(AJ234),AJ234&lt;=T234),AV234,0))&lt;=0,"",IF(AND(IF(AND(NOT(AND(AO234=1,AN234&lt;&gt;1)),ISNUMBER(AG234),AG234&lt;=T234),AS234,0)&gt;0,IF(AND(NOT(AND(AO234=1,AN234&lt;&gt;1)),ISNUMBER(AG234),AG234&lt;=T234),AS234,0)=MAX(IF(AND(NOT(AND(AO234=1,AN234&lt;&gt;1)),ISNUMBER(AG234),AG234&lt;=T234),AS234,0),IF(AND(NOT(AND(AO234=1,AN234&lt;&gt;1)),ISNUMBER(AH234),AH234&lt;=T234),AT234,0),IF(AND(NOT(AND(AO234=1,AN234&lt;&gt;1)),ISNUMBER(AI234),AI234&lt;=T234),AU234,0),IF(AND(ISNUMBER(AJ234),AJ234&lt;=T234),AV234,0))),"SW",IF(AND(IF(AND(NOT(AND(AO234=1,AN234&lt;&gt;1)),ISNUMBER(AH234),AH234&lt;=T234),AT234,0)&gt;0,IF(AND(NOT(AND(AO234=1,AN234&lt;&gt;1)),ISNUMBER(AH234),AH234&lt;=T234),AT234,0)=MAX(IF(AND(NOT(AND(AO234=1,AN234&lt;&gt;1)),ISNUMBER(AG234),AG234&lt;=T234),AS234,0),IF(AND(NOT(AND(AO234=1,AN234&lt;&gt;1)),ISNUMBER(AH234),AH234&lt;=T234),AT234,0),IF(AND(NOT(AND(AO234=1,AN234&lt;&gt;1)),ISNUMBER(AI234),AI234&lt;=T234),AU234,0),IF(AND(ISNUMBER(AJ234),AJ234&lt;=T234),AV234,0))),"AB",IF(AND(IF(AND(NOT(AND(AO234=1,AN234&lt;&gt;1)),ISNUMBER(AI234),AI234&lt;=T234),AU234,0)&gt;0,IF(AND(NOT(AND(AO234=1,AN234&lt;&gt;1)),ISNUMBER(AI234),AI234&lt;=T234),AU234,0)=MAX(IF(AND(NOT(AND(AO234=1,AN234&lt;&gt;1)),ISNUMBER(AG234),AG234&lt;=T234),AS234,0),IF(AND(NOT(AND(AO234=1,AN234&lt;&gt;1)),ISNUMBER(AH234),AH234&lt;=T234),AT234,0),IF(AND(NOT(AND(AO234=1,AN234&lt;&gt;1)),ISNUMBER(AI234),AI234&lt;=T234),AU234,0),IF(AND(ISNUMBER(AJ234),AJ234&lt;=T234),AV234,0))),"SC","Mag")))))))</f>
        <v/>
      </c>
    </row>
    <row r="235" customFormat="false" ht="15" hidden="false" customHeight="false" outlineLevel="0" collapsed="false">
      <c r="A235" s="26" t="n">
        <v>230</v>
      </c>
      <c r="B235" s="27" t="n">
        <f aca="false">A235*10/60</f>
        <v>38.3333333333333</v>
      </c>
      <c r="C235" s="21" t="n">
        <f aca="false">X234</f>
        <v>18.6730249835055</v>
      </c>
      <c r="D235" s="27" t="n">
        <f aca="false">D234+W234</f>
        <v>0</v>
      </c>
      <c r="E235" s="26" t="n">
        <f aca="false">E234+IF(U234="SW",1,0)</f>
        <v>12</v>
      </c>
      <c r="F235" s="26" t="n">
        <f aca="false">F234+IF(U234="AB",1,0)</f>
        <v>10</v>
      </c>
      <c r="G235" s="26" t="n">
        <f aca="false">G234+IF(U234="SC",1,0)</f>
        <v>7</v>
      </c>
      <c r="H235" s="26" t="n">
        <f aca="false">H234+IF(U234="Mag",1,0)</f>
        <v>5</v>
      </c>
      <c r="I235" s="26" t="n">
        <f aca="false">MAX(I234,IF(U234="OR",1,0))</f>
        <v>1</v>
      </c>
      <c r="J235" s="26" t="n">
        <f aca="false">MAX(J234,IF(U234="HP",1,0))</f>
        <v>1</v>
      </c>
      <c r="K235" s="26" t="n">
        <f aca="false">MAX(K234,IF(U234="FP",1,0))</f>
        <v>1</v>
      </c>
      <c r="L235" s="26" t="n">
        <f aca="false">MAX(L234,IF(U234="transition",1,0))</f>
        <v>1</v>
      </c>
      <c r="M235" s="28" t="n">
        <f aca="false">(Parameters!$B$9+(IF(E235=0,0,(Upgrades!$J$6+E235*Upgrades!$K$6)*POWER(Upgrades!$L$6,E235)))*(IF(Upgrades!$T$7="Solar Wind",POWER(Upgrades!$U$7,F235),1)*IF(Upgrades!$T$8="Solar Wind",POWER(Upgrades!$U$8,G235),1)*IF(Upgrades!$T$9="Solar Wind",POWER(Upgrades!$U$9,H235),1)*IF(Upgrades!$T$10="Solar Wind",POWER(Upgrades!$U$10,I235),1)*IF(Upgrades!$T$11="Solar Wind",POWER(Upgrades!$U$11,J235),1)*IF(Upgrades!$T$12="Solar Wind",POWER(Upgrades!$U$12,K235),1))+(IF(F235=0,0,(Upgrades!$J$7+F235*Upgrades!$K$7)*POWER(Upgrades!$L$7,F235)))*(IF(Upgrades!$T$6="Asteroid Belt",POWER(Upgrades!$U$6,E235),1)*IF(Upgrades!$T$8="Asteroid Belt",POWER(Upgrades!$U$8,G235),1)*IF(Upgrades!$T$9="Asteroid Belt",POWER(Upgrades!$U$9,H235),1)*IF(Upgrades!$T$10="Asteroid Belt",POWER(Upgrades!$U$10,I235),1)*IF(Upgrades!$T$11="Asteroid Belt",POWER(Upgrades!$U$11,J235),1)*IF(Upgrades!$T$12="Asteroid Belt",POWER(Upgrades!$U$12,K235),1))+(IF(G235=0,0,(Upgrades!$J$8+G235*Upgrades!$K$8)*POWER(Upgrades!$L$8,G235)))*(IF(Upgrades!$T$6="Stellar Coupling",POWER(Upgrades!$U$6,E235),1)*IF(Upgrades!$T$7="Stellar Coupling",POWER(Upgrades!$U$7,F235),1)*IF(Upgrades!$T$9="Stellar Coupling",POWER(Upgrades!$U$9,H235),1)*IF(Upgrades!$T$10="Stellar Coupling",POWER(Upgrades!$U$10,I235),1)*IF(Upgrades!$T$11="Stellar Coupling",POWER(Upgrades!$U$11,J235),1)*IF(Upgrades!$T$12="Stellar Coupling",POWER(Upgrades!$U$12,K235),1))+(IF(H235=0,0,(Upgrades!$J$9+H235*Upgrades!$K$9)*POWER(Upgrades!$L$9,H235)))*(IF(Upgrades!$T$6="Magnetosphere",POWER(Upgrades!$U$6,E235),1)*IF(Upgrades!$T$7="Magnetosphere",POWER(Upgrades!$U$7,F235),1)*IF(Upgrades!$T$8="Magnetosphere",POWER(Upgrades!$U$8,G235),1)*IF(Upgrades!$T$10="Magnetosphere",POWER(Upgrades!$U$10,I235),1)*IF(Upgrades!$T$11="Magnetosphere",POWER(Upgrades!$U$11,J235),1)*IF(Upgrades!$T$12="Magnetosphere",POWER(Upgrades!$U$12,K235),1))+(IF(I235=0,0,(Upgrades!$J$10+I235*Upgrades!$K$10)*POWER(Upgrades!$L$10,I235)))*(IF(Upgrades!$T$6="Orbital Resonance",POWER(Upgrades!$U$6,E235),1)*IF(Upgrades!$T$7="Orbital Resonance",POWER(Upgrades!$U$7,F235),1)*IF(Upgrades!$T$8="Orbital Resonance",POWER(Upgrades!$U$8,G235),1)*IF(Upgrades!$T$9="Orbital Resonance",POWER(Upgrades!$U$9,H235),1)*IF(Upgrades!$T$11="Orbital Resonance",POWER(Upgrades!$U$11,J235),1)*IF(Upgrades!$T$12="Orbital Resonance",POWER(Upgrades!$U$12,K235),1))+(IF(J235=0,0,(Upgrades!$J$11+J235*Upgrades!$K$11)*POWER(Upgrades!$L$11,J235)))*(IF(Upgrades!$T$6="Heliopause",POWER(Upgrades!$U$6,E235),1)*IF(Upgrades!$T$7="Heliopause",POWER(Upgrades!$U$7,F235),1)*IF(Upgrades!$T$8="Heliopause",POWER(Upgrades!$U$8,G235),1)*IF(Upgrades!$T$9="Heliopause",POWER(Upgrades!$U$9,H235),1)*IF(Upgrades!$T$10="Heliopause",POWER(Upgrades!$U$10,I235),1)*IF(Upgrades!$T$12="Heliopause",POWER(Upgrades!$U$12,K235),1))+(IF(K235=0,0,(Upgrades!$J$12+K235*Upgrades!$K$12)*POWER(Upgrades!$L$12,K235)))*(IF(Upgrades!$T$6="First Photons",POWER(Upgrades!$U$6,E235),1)*IF(Upgrades!$T$7="First Photons",POWER(Upgrades!$U$7,F235),1)*IF(Upgrades!$T$8="First Photons",POWER(Upgrades!$U$8,G235),1)*IF(Upgrades!$T$9="First Photons",POWER(Upgrades!$U$9,H235),1)*IF(Upgrades!$T$10="First Photons",POWER(Upgrades!$U$10,I235),1)*IF(Upgrades!$T$11="First Photons",POWER(Upgrades!$U$11,J235),1)))*POWER(Upgrades!$Q$6,E235)*POWER(Upgrades!$Q$7,F235)*POWER(Upgrades!$Q$8,G235)*POWER(Upgrades!$Q$9,H235)*POWER(Upgrades!$Q$10,I235)*POWER(Upgrades!$Q$11,J235)*POWER(Upgrades!$Q$12,K235)</f>
        <v>5.61</v>
      </c>
      <c r="N235" s="28" t="n">
        <f aca="false">((IF(E235=0,0,(Upgrades!$G$6+E235*Upgrades!$H$6)*POWER(Upgrades!$I$6,E235)))*(IF(Upgrades!$T$7="Solar Wind",POWER(Upgrades!$U$7,F235),1)*IF(Upgrades!$T$8="Solar Wind",POWER(Upgrades!$U$8,G235),1)*IF(Upgrades!$T$9="Solar Wind",POWER(Upgrades!$U$9,H235),1)*IF(Upgrades!$T$10="Solar Wind",POWER(Upgrades!$U$10,I235),1)*IF(Upgrades!$T$11="Solar Wind",POWER(Upgrades!$U$11,J235),1)*IF(Upgrades!$T$12="Solar Wind",POWER(Upgrades!$U$12,K235),1))+(IF(F235=0,0,(Upgrades!$G$7+F235*Upgrades!$H$7)*POWER(Upgrades!$I$7,F235)))*(IF(Upgrades!$T$6="Asteroid Belt",POWER(Upgrades!$U$6,E235),1)*IF(Upgrades!$T$8="Asteroid Belt",POWER(Upgrades!$U$8,G235),1)*IF(Upgrades!$T$9="Asteroid Belt",POWER(Upgrades!$U$9,H235),1)*IF(Upgrades!$T$10="Asteroid Belt",POWER(Upgrades!$U$10,I235),1)*IF(Upgrades!$T$11="Asteroid Belt",POWER(Upgrades!$U$11,J235),1)*IF(Upgrades!$T$12="Asteroid Belt",POWER(Upgrades!$U$12,K235),1))+(IF(G235=0,0,(Upgrades!$G$8+G235*Upgrades!$H$8)*POWER(Upgrades!$I$8,G235)))*(IF(Upgrades!$T$6="Stellar Coupling",POWER(Upgrades!$U$6,E235),1)*IF(Upgrades!$T$7="Stellar Coupling",POWER(Upgrades!$U$7,F235),1)*IF(Upgrades!$T$9="Stellar Coupling",POWER(Upgrades!$U$9,H235),1)*IF(Upgrades!$T$10="Stellar Coupling",POWER(Upgrades!$U$10,I235),1)*IF(Upgrades!$T$11="Stellar Coupling",POWER(Upgrades!$U$11,J235),1)*IF(Upgrades!$T$12="Stellar Coupling",POWER(Upgrades!$U$12,K235),1))+(IF(H235=0,0,(Upgrades!$G$9+H235*Upgrades!$H$9)*POWER(Upgrades!$I$9,H235)))*(IF(Upgrades!$T$6="Magnetosphere",POWER(Upgrades!$U$6,E235),1)*IF(Upgrades!$T$7="Magnetosphere",POWER(Upgrades!$U$7,F235),1)*IF(Upgrades!$T$8="Magnetosphere",POWER(Upgrades!$U$8,G235),1)*IF(Upgrades!$T$10="Magnetosphere",POWER(Upgrades!$U$10,I235),1)*IF(Upgrades!$T$11="Magnetosphere",POWER(Upgrades!$U$11,J235),1)*IF(Upgrades!$T$12="Magnetosphere",POWER(Upgrades!$U$12,K235),1))+(IF(I235=0,0,(Upgrades!$G$10+I235*Upgrades!$H$10)*POWER(Upgrades!$I$10,I235)))*(IF(Upgrades!$T$6="Orbital Resonance",POWER(Upgrades!$U$6,E235),1)*IF(Upgrades!$T$7="Orbital Resonance",POWER(Upgrades!$U$7,F235),1)*IF(Upgrades!$T$8="Orbital Resonance",POWER(Upgrades!$U$8,G235),1)*IF(Upgrades!$T$9="Orbital Resonance",POWER(Upgrades!$U$9,H235),1)*IF(Upgrades!$T$11="Orbital Resonance",POWER(Upgrades!$U$11,J235),1)*IF(Upgrades!$T$12="Orbital Resonance",POWER(Upgrades!$U$12,K235),1))+(IF(J235=0,0,(Upgrades!$G$11+J235*Upgrades!$H$11)*POWER(Upgrades!$I$11,J235)))*(IF(Upgrades!$T$6="Heliopause",POWER(Upgrades!$U$6,E235),1)*IF(Upgrades!$T$7="Heliopause",POWER(Upgrades!$U$7,F235),1)*IF(Upgrades!$T$8="Heliopause",POWER(Upgrades!$U$8,G235),1)*IF(Upgrades!$T$9="Heliopause",POWER(Upgrades!$U$9,H235),1)*IF(Upgrades!$T$10="Heliopause",POWER(Upgrades!$U$10,I235),1)*IF(Upgrades!$T$12="Heliopause",POWER(Upgrades!$U$12,K235),1))+(IF(K235=0,0,(Upgrades!$G$12+K235*Upgrades!$H$12)*POWER(Upgrades!$I$12,K235)))*(IF(Upgrades!$T$6="First Photons",POWER(Upgrades!$U$6,E235),1)*IF(Upgrades!$T$7="First Photons",POWER(Upgrades!$U$7,F235),1)*IF(Upgrades!$T$8="First Photons",POWER(Upgrades!$U$8,G235),1)*IF(Upgrades!$T$9="First Photons",POWER(Upgrades!$U$9,H235),1)*IF(Upgrades!$T$10="First Photons",POWER(Upgrades!$U$10,I235),1)*IF(Upgrades!$T$11="First Photons",POWER(Upgrades!$U$11,J235),1)))*POWER(Upgrades!$P$6,E235)*POWER(Upgrades!$P$7,F235)*POWER(Upgrades!$P$8,G235)*POWER(Upgrades!$P$9,H235)*POWER(Upgrades!$P$10,I235)*POWER(Upgrades!$P$11,J235)*POWER(Upgrades!$P$12,K235)</f>
        <v>11.2</v>
      </c>
      <c r="O235" s="28" t="n">
        <f aca="false">((IF(E235=0,0,(Upgrades!$M$6+E235*Upgrades!$N$6)*POWER(Upgrades!$O$6,E235)))*(IF(Upgrades!$T$7="Solar Wind",POWER(Upgrades!$U$7,F235),1)*IF(Upgrades!$T$8="Solar Wind",POWER(Upgrades!$U$8,G235),1)*IF(Upgrades!$T$9="Solar Wind",POWER(Upgrades!$U$9,H235),1)*IF(Upgrades!$T$10="Solar Wind",POWER(Upgrades!$U$10,I235),1)*IF(Upgrades!$T$11="Solar Wind",POWER(Upgrades!$U$11,J235),1)*IF(Upgrades!$T$12="Solar Wind",POWER(Upgrades!$U$12,K235),1))+(IF(F235=0,0,(Upgrades!$M$7+F235*Upgrades!$N$7)*POWER(Upgrades!$O$7,F235)))*(IF(Upgrades!$T$6="Asteroid Belt",POWER(Upgrades!$U$6,E235),1)*IF(Upgrades!$T$8="Asteroid Belt",POWER(Upgrades!$U$8,G235),1)*IF(Upgrades!$T$9="Asteroid Belt",POWER(Upgrades!$U$9,H235),1)*IF(Upgrades!$T$10="Asteroid Belt",POWER(Upgrades!$U$10,I235),1)*IF(Upgrades!$T$11="Asteroid Belt",POWER(Upgrades!$U$11,J235),1)*IF(Upgrades!$T$12="Asteroid Belt",POWER(Upgrades!$U$12,K235),1))+(IF(G235=0,0,(Upgrades!$M$8+G235*Upgrades!$N$8)*POWER(Upgrades!$O$8,G235)))*(IF(Upgrades!$T$6="Stellar Coupling",POWER(Upgrades!$U$6,E235),1)*IF(Upgrades!$T$7="Stellar Coupling",POWER(Upgrades!$U$7,F235),1)*IF(Upgrades!$T$9="Stellar Coupling",POWER(Upgrades!$U$9,H235),1)*IF(Upgrades!$T$10="Stellar Coupling",POWER(Upgrades!$U$10,I235),1)*IF(Upgrades!$T$11="Stellar Coupling",POWER(Upgrades!$U$11,J235),1)*IF(Upgrades!$T$12="Stellar Coupling",POWER(Upgrades!$U$12,K235),1))+(IF(H235=0,0,(Upgrades!$M$9+H235*Upgrades!$N$9)*POWER(Upgrades!$O$9,H235)))*(IF(Upgrades!$T$6="Magnetosphere",POWER(Upgrades!$U$6,E235),1)*IF(Upgrades!$T$7="Magnetosphere",POWER(Upgrades!$U$7,F235),1)*IF(Upgrades!$T$8="Magnetosphere",POWER(Upgrades!$U$8,G235),1)*IF(Upgrades!$T$10="Magnetosphere",POWER(Upgrades!$U$10,I235),1)*IF(Upgrades!$T$11="Magnetosphere",POWER(Upgrades!$U$11,J235),1)*IF(Upgrades!$T$12="Magnetosphere",POWER(Upgrades!$U$12,K235),1))+(IF(I235=0,0,(Upgrades!$M$10+I235*Upgrades!$N$10)*POWER(Upgrades!$O$10,I235)))*(IF(Upgrades!$T$6="Orbital Resonance",POWER(Upgrades!$U$6,E235),1)*IF(Upgrades!$T$7="Orbital Resonance",POWER(Upgrades!$U$7,F235),1)*IF(Upgrades!$T$8="Orbital Resonance",POWER(Upgrades!$U$8,G235),1)*IF(Upgrades!$T$9="Orbital Resonance",POWER(Upgrades!$U$9,H235),1)*IF(Upgrades!$T$11="Orbital Resonance",POWER(Upgrades!$U$11,J235),1)*IF(Upgrades!$T$12="Orbital Resonance",POWER(Upgrades!$U$12,K235),1))+(IF(J235=0,0,(Upgrades!$M$11+J235*Upgrades!$N$11)*POWER(Upgrades!$O$11,J235)))*(IF(Upgrades!$T$6="Heliopause",POWER(Upgrades!$U$6,E235),1)*IF(Upgrades!$T$7="Heliopause",POWER(Upgrades!$U$7,F235),1)*IF(Upgrades!$T$8="Heliopause",POWER(Upgrades!$U$8,G235),1)*IF(Upgrades!$T$9="Heliopause",POWER(Upgrades!$U$9,H235),1)*IF(Upgrades!$T$10="Heliopause",POWER(Upgrades!$U$10,I235),1)*IF(Upgrades!$T$12="Heliopause",POWER(Upgrades!$U$12,K235),1))+(IF(K235=0,0,(Upgrades!$M$12+K235*Upgrades!$N$12)*POWER(Upgrades!$O$12,K235)))*(IF(Upgrades!$T$6="First Photons",POWER(Upgrades!$U$6,E235),1)*IF(Upgrades!$T$7="First Photons",POWER(Upgrades!$U$7,F235),1)*IF(Upgrades!$T$8="First Photons",POWER(Upgrades!$U$8,G235),1)*IF(Upgrades!$T$9="First Photons",POWER(Upgrades!$U$9,H235),1)*IF(Upgrades!$T$10="First Photons",POWER(Upgrades!$U$10,I235),1)*IF(Upgrades!$T$11="First Photons",POWER(Upgrades!$U$11,J235),1)))*POWER(Upgrades!$R$6,E235)*POWER(Upgrades!$R$7,F235)*POWER(Upgrades!$R$8,G235)*POWER(Upgrades!$R$9,H235)*POWER(Upgrades!$R$10,I235)*POWER(Upgrades!$R$11,J235)*POWER(Upgrades!$R$12,K235)</f>
        <v>0</v>
      </c>
      <c r="P235" s="27" t="n">
        <f aca="false">IF(L235=1,0,M235*Parameters!$B$10/60*Parameters!$B$11*10)</f>
        <v>0</v>
      </c>
      <c r="Q235" s="27" t="n">
        <f aca="false">IF(L235=1,0,O235*M235*10)</f>
        <v>0</v>
      </c>
      <c r="R235" s="27" t="n">
        <f aca="false">IF(L235=1,0,N235*10)</f>
        <v>0</v>
      </c>
      <c r="S235" s="27" t="n">
        <f aca="false">P235+Q235+R235</f>
        <v>0</v>
      </c>
      <c r="T235" s="21" t="n">
        <f aca="false">C235+S235</f>
        <v>18.6730249835055</v>
      </c>
      <c r="U235" s="34" t="str">
        <f aca="false">AX235</f>
        <v/>
      </c>
      <c r="V235" s="21" t="n">
        <f aca="false">IF(U235="",0,IF(U235="transition",0,IF(U235="SW",AG235,IF(U235="AB",AH235,IF(U235="SC",AI235,IF(U235="Mag",AJ235,IF(U235="OR",AK235,IF(U235="HP",AL235,IF(U235="FP",AM235,0)))))))))</f>
        <v>0</v>
      </c>
      <c r="W235" s="27" t="n">
        <f aca="false">IF(U235="OR",Upgrades!$F$10,IF(U235="HP",Upgrades!$F$11,IF(U235="transition",-Parameters!$B$18,0)))</f>
        <v>0</v>
      </c>
      <c r="X235" s="21" t="n">
        <f aca="false">T235-V235</f>
        <v>18.6730249835055</v>
      </c>
      <c r="Y235" s="30" t="n">
        <f aca="false">M235*Parameters!$B$10/60*Parameters!$B$11+O235*M235+N235</f>
        <v>20.55</v>
      </c>
      <c r="Z235" s="35" t="str">
        <f aca="false">IF(U235="transition","→ Tier 2 (Stellar Neighborhood)",IF(U235="FP","First Photons — light begins, system quickens",IF(U235="HP","Heliopause acquired",IF(U235="OR","Orbital Resonance — passive multiplier active",IF(AND(AO235=1,L235=0,AN235&lt;&gt;1),"Cohesion ready (waiting on completionist upgrades)","")))))</f>
        <v/>
      </c>
      <c r="AA235" s="27" t="n">
        <f aca="false">(IF(E235=0,0,(Upgrades!$G$6+E235*Upgrades!$H$6)*POWER(Upgrades!$I$6,E235)))*(IF(Upgrades!$T$7="Solar Wind",POWER(Upgrades!$U$7,F235),1)*IF(Upgrades!$T$8="Solar Wind",POWER(Upgrades!$U$8,G235),1)*IF(Upgrades!$T$9="Solar Wind",POWER(Upgrades!$U$9,H235),1)*IF(Upgrades!$T$10="Solar Wind",POWER(Upgrades!$U$10,I235),1)*IF(Upgrades!$T$11="Solar Wind",POWER(Upgrades!$U$11,J235),1)*IF(Upgrades!$T$12="Solar Wind",POWER(Upgrades!$U$12,K235),1))*POWER(Upgrades!$P$6,E235)*POWER(Upgrades!$P$7,F235)*POWER(Upgrades!$P$8,G235)*POWER(Upgrades!$P$9,H235)*POWER(Upgrades!$P$10,I235)*POWER(Upgrades!$P$11,J235)*POWER(Upgrades!$P$12,K235)*60</f>
        <v>72</v>
      </c>
      <c r="AB235" s="27" t="n">
        <f aca="false">(IF(F235=0,0,(Upgrades!$G$7+F235*Upgrades!$H$7)*POWER(Upgrades!$I$7,F235)))*(IF(Upgrades!$T$6="Asteroid Belt",POWER(Upgrades!$U$6,E235),1)*IF(Upgrades!$T$8="Asteroid Belt",POWER(Upgrades!$U$8,G235),1)*IF(Upgrades!$T$9="Asteroid Belt",POWER(Upgrades!$U$9,H235),1)*IF(Upgrades!$T$10="Asteroid Belt",POWER(Upgrades!$U$10,I235),1)*IF(Upgrades!$T$11="Asteroid Belt",POWER(Upgrades!$U$11,J235),1)*IF(Upgrades!$T$12="Asteroid Belt",POWER(Upgrades!$U$12,K235),1))*POWER(Upgrades!$P$6,E235)*POWER(Upgrades!$P$7,F235)*POWER(Upgrades!$P$8,G235)*POWER(Upgrades!$P$9,H235)*POWER(Upgrades!$P$10,I235)*POWER(Upgrades!$P$11,J235)*POWER(Upgrades!$P$12,K235)*60</f>
        <v>150</v>
      </c>
      <c r="AC235" s="27" t="n">
        <f aca="false">(IF(G235=0,0,(Upgrades!$J$8+G235*Upgrades!$K$8)*POWER(Upgrades!$L$8,G235)))*(IF(Upgrades!$T$6="Stellar Coupling",POWER(Upgrades!$U$6,E235),1)*IF(Upgrades!$T$7="Stellar Coupling",POWER(Upgrades!$U$7,F235),1)*IF(Upgrades!$T$9="Stellar Coupling",POWER(Upgrades!$U$9,H235),1)*IF(Upgrades!$T$10="Stellar Coupling",POWER(Upgrades!$U$10,I235),1)*IF(Upgrades!$T$11="Stellar Coupling",POWER(Upgrades!$U$11,J235),1)*IF(Upgrades!$T$12="Stellar Coupling",POWER(Upgrades!$U$12,K235),1))*POWER(Upgrades!$Q$6,E235)*POWER(Upgrades!$Q$7,F235)*POWER(Upgrades!$Q$8,G235)*POWER(Upgrades!$Q$9,H235)*POWER(Upgrades!$Q$10,I235)*POWER(Upgrades!$Q$11,J235)*POWER(Upgrades!$Q$12,K235)*Parameters!$B$10*Parameters!$B$11</f>
        <v>441</v>
      </c>
      <c r="AD235" s="27" t="n">
        <f aca="false">(IF(H235=0,0,(Upgrades!$G$9+H235*Upgrades!$H$9)*POWER(Upgrades!$I$9,H235)))*(IF(Upgrades!$T$6="Magnetosphere",POWER(Upgrades!$U$6,E235),1)*IF(Upgrades!$T$7="Magnetosphere",POWER(Upgrades!$U$7,F235),1)*IF(Upgrades!$T$8="Magnetosphere",POWER(Upgrades!$U$8,G235),1)*IF(Upgrades!$T$10="Magnetosphere",POWER(Upgrades!$U$10,I235),1)*IF(Upgrades!$T$11="Magnetosphere",POWER(Upgrades!$U$11,J235),1)*IF(Upgrades!$T$12="Magnetosphere",POWER(Upgrades!$U$12,K235),1))*POWER(Upgrades!$P$6,E235)*POWER(Upgrades!$P$7,F235)*POWER(Upgrades!$P$8,G235)*POWER(Upgrades!$P$9,H235)*POWER(Upgrades!$P$10,I235)*POWER(Upgrades!$P$11,J235)*POWER(Upgrades!$P$12,K235)*60</f>
        <v>375</v>
      </c>
      <c r="AE235" s="27" t="n">
        <f aca="false">(IF(K235=0,0,(Upgrades!$G$12+K235*Upgrades!$H$12)*POWER(Upgrades!$I$12,K235)))*(IF(Upgrades!$T$6="First Photons",POWER(Upgrades!$U$6,E235),1)*IF(Upgrades!$T$7="First Photons",POWER(Upgrades!$U$7,F235),1)*IF(Upgrades!$T$8="First Photons",POWER(Upgrades!$U$8,G235),1)*IF(Upgrades!$T$9="First Photons",POWER(Upgrades!$U$9,H235),1)*IF(Upgrades!$T$10="First Photons",POWER(Upgrades!$U$10,I235),1)*IF(Upgrades!$T$11="First Photons",POWER(Upgrades!$U$11,J235),1))*POWER(Upgrades!$P$6,E235)*POWER(Upgrades!$P$7,F235)*POWER(Upgrades!$P$8,G235)*POWER(Upgrades!$P$9,H235)*POWER(Upgrades!$P$10,I235)*POWER(Upgrades!$P$11,J235)*POWER(Upgrades!$P$12,K235)*60</f>
        <v>75</v>
      </c>
      <c r="AF235" s="27" t="n">
        <f aca="false">Parameters!$B$9*POWER(Upgrades!$Q$6,E235)*POWER(Upgrades!$Q$7,F235)*POWER(Upgrades!$Q$8,G235)*POWER(Upgrades!$Q$9,H235)*POWER(Upgrades!$Q$10,I235)*POWER(Upgrades!$Q$11,J235)*POWER(Upgrades!$Q$12,K235)*(Parameters!$B$10*Parameters!$B$11+O235*60)</f>
        <v>120</v>
      </c>
      <c r="AG235" s="21" t="n">
        <f aca="false">IF(E235&gt;=Upgrades!$E$6,"",Upgrades!$C$6*POWER(Upgrades!$D$6,E235))</f>
        <v>37.4517507383159</v>
      </c>
      <c r="AH235" s="21" t="n">
        <f aca="false">IF(F235&gt;=Upgrades!$E$7,"",Upgrades!$C$7*POWER(Upgrades!$D$7,F235))</f>
        <v>80.9111547141581</v>
      </c>
      <c r="AI235" s="21" t="n">
        <f aca="false">IF(G235&gt;=Upgrades!$E$8,"",Upgrades!$C$8*POWER(Upgrades!$D$8,G235))</f>
        <v>231.9097088</v>
      </c>
      <c r="AJ235" s="21" t="str">
        <f aca="false">IF(H235&gt;=Upgrades!$E$9,"",Upgrades!$C$9*POWER(Upgrades!$D$9,H235))</f>
        <v/>
      </c>
      <c r="AK235" s="21" t="str">
        <f aca="false">IF(I235&gt;=Upgrades!$E$10,"",Upgrades!$C$10*POWER(Upgrades!$D$10,I235))</f>
        <v/>
      </c>
      <c r="AL235" s="21" t="str">
        <f aca="false">IF(J235&gt;=Upgrades!$E$11,"",Upgrades!$C$11*POWER(Upgrades!$D$11,J235))</f>
        <v/>
      </c>
      <c r="AM235" s="21" t="str">
        <f aca="false">IF(K235&gt;=Upgrades!$E$12,"",Upgrades!$C$12*POWER(Upgrades!$D$12,K235))</f>
        <v/>
      </c>
      <c r="AN235" s="26" t="str">
        <f aca="false">IF(AND(D235&gt;=Parameters!$B$18,(H235&gt;=Upgrades!$E$9)*(K235&gt;=Upgrades!$E$12)=1,L235=0),1,"")</f>
        <v/>
      </c>
      <c r="AO235" s="26" t="str">
        <f aca="false">IF(AND(D235&gt;=Parameters!$B$18,L235=0),1,"")</f>
        <v/>
      </c>
      <c r="AP235" s="21" t="n">
        <f aca="false">MIN(IF(ISNUMBER(AK235),AK235,9000000000000000),IF(ISNUMBER(AL235),AL235,9000000000000000),IF(ISNUMBER(AM235),AM235,9000000000000000))</f>
        <v>9000000000000000</v>
      </c>
      <c r="AQ235" s="21" t="n">
        <f aca="false">MIN(IF(ISNUMBER(AG235),AG235,9000000000000000),IF(ISNUMBER(AH235),AH235,9000000000000000),IF(ISNUMBER(AI235),AI235,9000000000000000),IF(ISNUMBER(AJ235),AJ235,9000000000000000))</f>
        <v>37.4517507383159</v>
      </c>
      <c r="AR235" s="32" t="b">
        <f aca="false">IF(AW235&gt;Parameters!$B$21*(MAX(IF(AND(NOT(AND(AO235=1,AN235&lt;&gt;1)),ISNUMBER(AG235),AG235&lt;=T235),AS235,0),IF(AND(NOT(AND(AO235=1,AN235&lt;&gt;1)),ISNUMBER(AH235),AH235&lt;=T235),AT235,0),IF(AND(NOT(AND(AO235=1,AN235&lt;&gt;1)),ISNUMBER(AI235),AI235&lt;=T235),AU235,0),IF(AND(ISNUMBER(AJ235),AJ235&lt;=T235),AV235,0))),TRUE(),FALSE())</f>
        <v>1</v>
      </c>
      <c r="AS235" s="33" t="n">
        <f aca="false">IFERROR(Upgrades!$H$6*(POWER(Upgrades!$P$6,E235)*POWER(Upgrades!$P$7,F235)*POWER(Upgrades!$P$8,G235)*POWER(Upgrades!$P$9,H235)*POWER(Upgrades!$P$10,I235)*POWER(Upgrades!$P$11,J235)*POWER(Upgrades!$P$12,K235))*(IF(Upgrades!$T$7="Solar Wind",POWER(Upgrades!$U$7,F235),1)*IF(Upgrades!$T$8="Solar Wind",POWER(Upgrades!$U$8,G235),1)*IF(Upgrades!$T$9="Solar Wind",POWER(Upgrades!$U$9,H235),1)*IF(Upgrades!$T$10="Solar Wind",POWER(Upgrades!$U$10,I235),1)*IF(Upgrades!$T$11="Solar Wind",POWER(Upgrades!$U$11,J235),1)*IF(Upgrades!$T$12="Solar Wind",POWER(Upgrades!$U$12,K235),1))/AG235,0)</f>
        <v>0.0026701021455238</v>
      </c>
      <c r="AT235" s="33" t="n">
        <f aca="false">IFERROR(Upgrades!$H$7*(POWER(Upgrades!$P$6,E235)*POWER(Upgrades!$P$7,F235)*POWER(Upgrades!$P$8,G235)*POWER(Upgrades!$P$9,H235)*POWER(Upgrades!$P$10,I235)*POWER(Upgrades!$P$11,J235)*POWER(Upgrades!$P$12,K235))*(IF(Upgrades!$T$6="Asteroid Belt",POWER(Upgrades!$U$6,E235),1)*IF(Upgrades!$T$8="Asteroid Belt",POWER(Upgrades!$U$8,G235),1)*IF(Upgrades!$T$9="Asteroid Belt",POWER(Upgrades!$U$9,H235),1)*IF(Upgrades!$T$10="Asteroid Belt",POWER(Upgrades!$U$10,I235),1)*IF(Upgrades!$T$11="Asteroid Belt",POWER(Upgrades!$U$11,J235),1)*IF(Upgrades!$T$12="Asteroid Belt",POWER(Upgrades!$U$12,K235),1))/AH235,0)</f>
        <v>0.00308980882652332</v>
      </c>
      <c r="AU235" s="33" t="n">
        <f aca="false">IFERROR(Upgrades!$K$8*(POWER(Upgrades!$Q$6,E235)*POWER(Upgrades!$Q$7,F235)*POWER(Upgrades!$Q$8,G235)*POWER(Upgrades!$Q$9,H235)*POWER(Upgrades!$Q$10,I235)*POWER(Upgrades!$Q$11,J235)*POWER(Upgrades!$Q$12,K235))*(IF(Upgrades!$T$6="Stellar Coupling",POWER(Upgrades!$U$6,E235),1)*IF(Upgrades!$T$7="Stellar Coupling",POWER(Upgrades!$U$7,F235),1)*IF(Upgrades!$T$9="Stellar Coupling",POWER(Upgrades!$U$9,H235),1)*IF(Upgrades!$T$10="Stellar Coupling",POWER(Upgrades!$U$10,I235),1)*IF(Upgrades!$T$11="Stellar Coupling",POWER(Upgrades!$U$11,J235),1)*IF(Upgrades!$T$12="Stellar Coupling",POWER(Upgrades!$U$12,K235),1))*Parameters!$B$10*Parameters!$B$11/60/AI235,0)</f>
        <v>0.00452762415783776</v>
      </c>
      <c r="AV235" s="33" t="n">
        <f aca="false">IFERROR(Upgrades!$H$9*(POWER(Upgrades!$P$6,E235)*POWER(Upgrades!$P$7,F235)*POWER(Upgrades!$P$8,G235)*POWER(Upgrades!$P$9,H235)*POWER(Upgrades!$P$10,I235)*POWER(Upgrades!$P$11,J235)*POWER(Upgrades!$P$12,K235))*(IF(Upgrades!$T$6="Magnetosphere",POWER(Upgrades!$U$6,E235),1)*IF(Upgrades!$T$7="Magnetosphere",POWER(Upgrades!$U$7,F235),1)*IF(Upgrades!$T$8="Magnetosphere",POWER(Upgrades!$U$8,G235),1)*IF(Upgrades!$T$10="Magnetosphere",POWER(Upgrades!$U$10,I235),1)*IF(Upgrades!$T$11="Magnetosphere",POWER(Upgrades!$U$11,J235),1)*IF(Upgrades!$T$12="Magnetosphere",POWER(Upgrades!$U$12,K235),1))/AJ235,0)</f>
        <v>0</v>
      </c>
      <c r="AW235" s="33" t="n">
        <f aca="false">MAX(IF(I235&gt;0,0,IFERROR(0.25*N235/Upgrades!$C$10,0)),IF(J235&gt;0,0,IFERROR(0.5*((IF(G235=0,0,(Upgrades!$J$8+G235*Upgrades!$K$8)*POWER(Upgrades!$L$8,G235)))*(IF(Upgrades!$T$6="Stellar Coupling",POWER(Upgrades!$U$6,E235),1)*IF(Upgrades!$T$7="Stellar Coupling",POWER(Upgrades!$U$7,F235),1)*IF(Upgrades!$T$9="Stellar Coupling",POWER(Upgrades!$U$9,H235),1)*IF(Upgrades!$T$10="Stellar Coupling",POWER(Upgrades!$U$10,I235),1)*IF(Upgrades!$T$11="Stellar Coupling",POWER(Upgrades!$U$11,J235),1)*IF(Upgrades!$T$12="Stellar Coupling",POWER(Upgrades!$U$12,K235),1))*(POWER(Upgrades!$Q$6,E235)*POWER(Upgrades!$Q$7,F235)*POWER(Upgrades!$Q$8,G235)*POWER(Upgrades!$Q$9,H235)*POWER(Upgrades!$Q$10,I235)*POWER(Upgrades!$Q$11,J235)*POWER(Upgrades!$Q$12,K235))*Parameters!$B$10*Parameters!$B$11/60)/Upgrades!$C$11,0)),IF(K235&gt;0,0,IFERROR((1*(POWER(Upgrades!$P$6,E235)*POWER(Upgrades!$P$7,F235)*POWER(Upgrades!$P$8,G235)*POWER(Upgrades!$P$9,H235)*POWER(Upgrades!$P$10,I235)*POWER(Upgrades!$P$11,J235)*POWER(Upgrades!$P$12,K235))+0.2*M235*Parameters!$B$10*Parameters!$B$11/60)/Upgrades!$C$12,0)),IF(AND(ISNUMBER(AG235),AG235&gt;T235),AS235,0),IF(AND(ISNUMBER(AH235),AH235&gt;T235),AT235,0),IF(AND(ISNUMBER(AI235),AI235&gt;T235),AU235,0),IF(AND(ISNUMBER(AJ235),AJ235&gt;T235),AV235,0))</f>
        <v>0.00452762415783776</v>
      </c>
      <c r="AX235" s="29" t="str">
        <f aca="false">IF(AN235=1,"transition",IF(MIN(IF(AND(I235=0,ISNUMBER(AK235),AK235&lt;=T235),AK235,9000000000000000),IF(AND(J235=0,ISNUMBER(AL235),AL235&lt;=T235),AL235,9000000000000000),IF(AND(K235=0,ISNUMBER(AM235),AM235&lt;=T235),AM235,9000000000000000))&lt;9000000000000000,IF(AND(AND(I235=0,ISNUMBER(AK235),AK235&lt;=T235),AK235=MIN(IF(AND(I235=0,ISNUMBER(AK235),AK235&lt;=T235),AK235,9000000000000000),IF(AND(J235=0,ISNUMBER(AL235),AL235&lt;=T235),AL235,9000000000000000),IF(AND(K235=0,ISNUMBER(AM235),AM235&lt;=T235),AM235,9000000000000000))),"OR",IF(AND(AND(J235=0,ISNUMBER(AL235),AL235&lt;=T235),AL235=MIN(IF(AND(I235=0,ISNUMBER(AK235),AK235&lt;=T235),AK235,9000000000000000),IF(AND(J235=0,ISNUMBER(AL235),AL235&lt;=T235),AL235,9000000000000000),IF(AND(K235=0,ISNUMBER(AM235),AM235&lt;=T235),AM235,9000000000000000))),"HP","FP")),IF(AR235=TRUE(),"",IF(MAX(IF(AND(NOT(AND(AO235=1,AN235&lt;&gt;1)),ISNUMBER(AG235),AG235&lt;=T235),AS235,0),IF(AND(NOT(AND(AO235=1,AN235&lt;&gt;1)),ISNUMBER(AH235),AH235&lt;=T235),AT235,0),IF(AND(NOT(AND(AO235=1,AN235&lt;&gt;1)),ISNUMBER(AI235),AI235&lt;=T235),AU235,0),IF(AND(ISNUMBER(AJ235),AJ235&lt;=T235),AV235,0))&lt;=0,"",IF(AND(IF(AND(NOT(AND(AO235=1,AN235&lt;&gt;1)),ISNUMBER(AG235),AG235&lt;=T235),AS235,0)&gt;0,IF(AND(NOT(AND(AO235=1,AN235&lt;&gt;1)),ISNUMBER(AG235),AG235&lt;=T235),AS235,0)=MAX(IF(AND(NOT(AND(AO235=1,AN235&lt;&gt;1)),ISNUMBER(AG235),AG235&lt;=T235),AS235,0),IF(AND(NOT(AND(AO235=1,AN235&lt;&gt;1)),ISNUMBER(AH235),AH235&lt;=T235),AT235,0),IF(AND(NOT(AND(AO235=1,AN235&lt;&gt;1)),ISNUMBER(AI235),AI235&lt;=T235),AU235,0),IF(AND(ISNUMBER(AJ235),AJ235&lt;=T235),AV235,0))),"SW",IF(AND(IF(AND(NOT(AND(AO235=1,AN235&lt;&gt;1)),ISNUMBER(AH235),AH235&lt;=T235),AT235,0)&gt;0,IF(AND(NOT(AND(AO235=1,AN235&lt;&gt;1)),ISNUMBER(AH235),AH235&lt;=T235),AT235,0)=MAX(IF(AND(NOT(AND(AO235=1,AN235&lt;&gt;1)),ISNUMBER(AG235),AG235&lt;=T235),AS235,0),IF(AND(NOT(AND(AO235=1,AN235&lt;&gt;1)),ISNUMBER(AH235),AH235&lt;=T235),AT235,0),IF(AND(NOT(AND(AO235=1,AN235&lt;&gt;1)),ISNUMBER(AI235),AI235&lt;=T235),AU235,0),IF(AND(ISNUMBER(AJ235),AJ235&lt;=T235),AV235,0))),"AB",IF(AND(IF(AND(NOT(AND(AO235=1,AN235&lt;&gt;1)),ISNUMBER(AI235),AI235&lt;=T235),AU235,0)&gt;0,IF(AND(NOT(AND(AO235=1,AN235&lt;&gt;1)),ISNUMBER(AI235),AI235&lt;=T235),AU235,0)=MAX(IF(AND(NOT(AND(AO235=1,AN235&lt;&gt;1)),ISNUMBER(AG235),AG235&lt;=T235),AS235,0),IF(AND(NOT(AND(AO235=1,AN235&lt;&gt;1)),ISNUMBER(AH235),AH235&lt;=T235),AT235,0),IF(AND(NOT(AND(AO235=1,AN235&lt;&gt;1)),ISNUMBER(AI235),AI235&lt;=T235),AU235,0),IF(AND(ISNUMBER(AJ235),AJ235&lt;=T235),AV235,0))),"SC","Mag")))))))</f>
        <v/>
      </c>
    </row>
    <row r="236" customFormat="false" ht="15" hidden="false" customHeight="false" outlineLevel="0" collapsed="false">
      <c r="A236" s="26" t="n">
        <v>231</v>
      </c>
      <c r="B236" s="27" t="n">
        <f aca="false">A236*10/60</f>
        <v>38.5</v>
      </c>
      <c r="C236" s="21" t="n">
        <f aca="false">X235</f>
        <v>18.6730249835055</v>
      </c>
      <c r="D236" s="27" t="n">
        <f aca="false">D235+W235</f>
        <v>0</v>
      </c>
      <c r="E236" s="26" t="n">
        <f aca="false">E235+IF(U235="SW",1,0)</f>
        <v>12</v>
      </c>
      <c r="F236" s="26" t="n">
        <f aca="false">F235+IF(U235="AB",1,0)</f>
        <v>10</v>
      </c>
      <c r="G236" s="26" t="n">
        <f aca="false">G235+IF(U235="SC",1,0)</f>
        <v>7</v>
      </c>
      <c r="H236" s="26" t="n">
        <f aca="false">H235+IF(U235="Mag",1,0)</f>
        <v>5</v>
      </c>
      <c r="I236" s="26" t="n">
        <f aca="false">MAX(I235,IF(U235="OR",1,0))</f>
        <v>1</v>
      </c>
      <c r="J236" s="26" t="n">
        <f aca="false">MAX(J235,IF(U235="HP",1,0))</f>
        <v>1</v>
      </c>
      <c r="K236" s="26" t="n">
        <f aca="false">MAX(K235,IF(U235="FP",1,0))</f>
        <v>1</v>
      </c>
      <c r="L236" s="26" t="n">
        <f aca="false">MAX(L235,IF(U235="transition",1,0))</f>
        <v>1</v>
      </c>
      <c r="M236" s="28" t="n">
        <f aca="false">(Parameters!$B$9+(IF(E236=0,0,(Upgrades!$J$6+E236*Upgrades!$K$6)*POWER(Upgrades!$L$6,E236)))*(IF(Upgrades!$T$7="Solar Wind",POWER(Upgrades!$U$7,F236),1)*IF(Upgrades!$T$8="Solar Wind",POWER(Upgrades!$U$8,G236),1)*IF(Upgrades!$T$9="Solar Wind",POWER(Upgrades!$U$9,H236),1)*IF(Upgrades!$T$10="Solar Wind",POWER(Upgrades!$U$10,I236),1)*IF(Upgrades!$T$11="Solar Wind",POWER(Upgrades!$U$11,J236),1)*IF(Upgrades!$T$12="Solar Wind",POWER(Upgrades!$U$12,K236),1))+(IF(F236=0,0,(Upgrades!$J$7+F236*Upgrades!$K$7)*POWER(Upgrades!$L$7,F236)))*(IF(Upgrades!$T$6="Asteroid Belt",POWER(Upgrades!$U$6,E236),1)*IF(Upgrades!$T$8="Asteroid Belt",POWER(Upgrades!$U$8,G236),1)*IF(Upgrades!$T$9="Asteroid Belt",POWER(Upgrades!$U$9,H236),1)*IF(Upgrades!$T$10="Asteroid Belt",POWER(Upgrades!$U$10,I236),1)*IF(Upgrades!$T$11="Asteroid Belt",POWER(Upgrades!$U$11,J236),1)*IF(Upgrades!$T$12="Asteroid Belt",POWER(Upgrades!$U$12,K236),1))+(IF(G236=0,0,(Upgrades!$J$8+G236*Upgrades!$K$8)*POWER(Upgrades!$L$8,G236)))*(IF(Upgrades!$T$6="Stellar Coupling",POWER(Upgrades!$U$6,E236),1)*IF(Upgrades!$T$7="Stellar Coupling",POWER(Upgrades!$U$7,F236),1)*IF(Upgrades!$T$9="Stellar Coupling",POWER(Upgrades!$U$9,H236),1)*IF(Upgrades!$T$10="Stellar Coupling",POWER(Upgrades!$U$10,I236),1)*IF(Upgrades!$T$11="Stellar Coupling",POWER(Upgrades!$U$11,J236),1)*IF(Upgrades!$T$12="Stellar Coupling",POWER(Upgrades!$U$12,K236),1))+(IF(H236=0,0,(Upgrades!$J$9+H236*Upgrades!$K$9)*POWER(Upgrades!$L$9,H236)))*(IF(Upgrades!$T$6="Magnetosphere",POWER(Upgrades!$U$6,E236),1)*IF(Upgrades!$T$7="Magnetosphere",POWER(Upgrades!$U$7,F236),1)*IF(Upgrades!$T$8="Magnetosphere",POWER(Upgrades!$U$8,G236),1)*IF(Upgrades!$T$10="Magnetosphere",POWER(Upgrades!$U$10,I236),1)*IF(Upgrades!$T$11="Magnetosphere",POWER(Upgrades!$U$11,J236),1)*IF(Upgrades!$T$12="Magnetosphere",POWER(Upgrades!$U$12,K236),1))+(IF(I236=0,0,(Upgrades!$J$10+I236*Upgrades!$K$10)*POWER(Upgrades!$L$10,I236)))*(IF(Upgrades!$T$6="Orbital Resonance",POWER(Upgrades!$U$6,E236),1)*IF(Upgrades!$T$7="Orbital Resonance",POWER(Upgrades!$U$7,F236),1)*IF(Upgrades!$T$8="Orbital Resonance",POWER(Upgrades!$U$8,G236),1)*IF(Upgrades!$T$9="Orbital Resonance",POWER(Upgrades!$U$9,H236),1)*IF(Upgrades!$T$11="Orbital Resonance",POWER(Upgrades!$U$11,J236),1)*IF(Upgrades!$T$12="Orbital Resonance",POWER(Upgrades!$U$12,K236),1))+(IF(J236=0,0,(Upgrades!$J$11+J236*Upgrades!$K$11)*POWER(Upgrades!$L$11,J236)))*(IF(Upgrades!$T$6="Heliopause",POWER(Upgrades!$U$6,E236),1)*IF(Upgrades!$T$7="Heliopause",POWER(Upgrades!$U$7,F236),1)*IF(Upgrades!$T$8="Heliopause",POWER(Upgrades!$U$8,G236),1)*IF(Upgrades!$T$9="Heliopause",POWER(Upgrades!$U$9,H236),1)*IF(Upgrades!$T$10="Heliopause",POWER(Upgrades!$U$10,I236),1)*IF(Upgrades!$T$12="Heliopause",POWER(Upgrades!$U$12,K236),1))+(IF(K236=0,0,(Upgrades!$J$12+K236*Upgrades!$K$12)*POWER(Upgrades!$L$12,K236)))*(IF(Upgrades!$T$6="First Photons",POWER(Upgrades!$U$6,E236),1)*IF(Upgrades!$T$7="First Photons",POWER(Upgrades!$U$7,F236),1)*IF(Upgrades!$T$8="First Photons",POWER(Upgrades!$U$8,G236),1)*IF(Upgrades!$T$9="First Photons",POWER(Upgrades!$U$9,H236),1)*IF(Upgrades!$T$10="First Photons",POWER(Upgrades!$U$10,I236),1)*IF(Upgrades!$T$11="First Photons",POWER(Upgrades!$U$11,J236),1)))*POWER(Upgrades!$Q$6,E236)*POWER(Upgrades!$Q$7,F236)*POWER(Upgrades!$Q$8,G236)*POWER(Upgrades!$Q$9,H236)*POWER(Upgrades!$Q$10,I236)*POWER(Upgrades!$Q$11,J236)*POWER(Upgrades!$Q$12,K236)</f>
        <v>5.61</v>
      </c>
      <c r="N236" s="28" t="n">
        <f aca="false">((IF(E236=0,0,(Upgrades!$G$6+E236*Upgrades!$H$6)*POWER(Upgrades!$I$6,E236)))*(IF(Upgrades!$T$7="Solar Wind",POWER(Upgrades!$U$7,F236),1)*IF(Upgrades!$T$8="Solar Wind",POWER(Upgrades!$U$8,G236),1)*IF(Upgrades!$T$9="Solar Wind",POWER(Upgrades!$U$9,H236),1)*IF(Upgrades!$T$10="Solar Wind",POWER(Upgrades!$U$10,I236),1)*IF(Upgrades!$T$11="Solar Wind",POWER(Upgrades!$U$11,J236),1)*IF(Upgrades!$T$12="Solar Wind",POWER(Upgrades!$U$12,K236),1))+(IF(F236=0,0,(Upgrades!$G$7+F236*Upgrades!$H$7)*POWER(Upgrades!$I$7,F236)))*(IF(Upgrades!$T$6="Asteroid Belt",POWER(Upgrades!$U$6,E236),1)*IF(Upgrades!$T$8="Asteroid Belt",POWER(Upgrades!$U$8,G236),1)*IF(Upgrades!$T$9="Asteroid Belt",POWER(Upgrades!$U$9,H236),1)*IF(Upgrades!$T$10="Asteroid Belt",POWER(Upgrades!$U$10,I236),1)*IF(Upgrades!$T$11="Asteroid Belt",POWER(Upgrades!$U$11,J236),1)*IF(Upgrades!$T$12="Asteroid Belt",POWER(Upgrades!$U$12,K236),1))+(IF(G236=0,0,(Upgrades!$G$8+G236*Upgrades!$H$8)*POWER(Upgrades!$I$8,G236)))*(IF(Upgrades!$T$6="Stellar Coupling",POWER(Upgrades!$U$6,E236),1)*IF(Upgrades!$T$7="Stellar Coupling",POWER(Upgrades!$U$7,F236),1)*IF(Upgrades!$T$9="Stellar Coupling",POWER(Upgrades!$U$9,H236),1)*IF(Upgrades!$T$10="Stellar Coupling",POWER(Upgrades!$U$10,I236),1)*IF(Upgrades!$T$11="Stellar Coupling",POWER(Upgrades!$U$11,J236),1)*IF(Upgrades!$T$12="Stellar Coupling",POWER(Upgrades!$U$12,K236),1))+(IF(H236=0,0,(Upgrades!$G$9+H236*Upgrades!$H$9)*POWER(Upgrades!$I$9,H236)))*(IF(Upgrades!$T$6="Magnetosphere",POWER(Upgrades!$U$6,E236),1)*IF(Upgrades!$T$7="Magnetosphere",POWER(Upgrades!$U$7,F236),1)*IF(Upgrades!$T$8="Magnetosphere",POWER(Upgrades!$U$8,G236),1)*IF(Upgrades!$T$10="Magnetosphere",POWER(Upgrades!$U$10,I236),1)*IF(Upgrades!$T$11="Magnetosphere",POWER(Upgrades!$U$11,J236),1)*IF(Upgrades!$T$12="Magnetosphere",POWER(Upgrades!$U$12,K236),1))+(IF(I236=0,0,(Upgrades!$G$10+I236*Upgrades!$H$10)*POWER(Upgrades!$I$10,I236)))*(IF(Upgrades!$T$6="Orbital Resonance",POWER(Upgrades!$U$6,E236),1)*IF(Upgrades!$T$7="Orbital Resonance",POWER(Upgrades!$U$7,F236),1)*IF(Upgrades!$T$8="Orbital Resonance",POWER(Upgrades!$U$8,G236),1)*IF(Upgrades!$T$9="Orbital Resonance",POWER(Upgrades!$U$9,H236),1)*IF(Upgrades!$T$11="Orbital Resonance",POWER(Upgrades!$U$11,J236),1)*IF(Upgrades!$T$12="Orbital Resonance",POWER(Upgrades!$U$12,K236),1))+(IF(J236=0,0,(Upgrades!$G$11+J236*Upgrades!$H$11)*POWER(Upgrades!$I$11,J236)))*(IF(Upgrades!$T$6="Heliopause",POWER(Upgrades!$U$6,E236),1)*IF(Upgrades!$T$7="Heliopause",POWER(Upgrades!$U$7,F236),1)*IF(Upgrades!$T$8="Heliopause",POWER(Upgrades!$U$8,G236),1)*IF(Upgrades!$T$9="Heliopause",POWER(Upgrades!$U$9,H236),1)*IF(Upgrades!$T$10="Heliopause",POWER(Upgrades!$U$10,I236),1)*IF(Upgrades!$T$12="Heliopause",POWER(Upgrades!$U$12,K236),1))+(IF(K236=0,0,(Upgrades!$G$12+K236*Upgrades!$H$12)*POWER(Upgrades!$I$12,K236)))*(IF(Upgrades!$T$6="First Photons",POWER(Upgrades!$U$6,E236),1)*IF(Upgrades!$T$7="First Photons",POWER(Upgrades!$U$7,F236),1)*IF(Upgrades!$T$8="First Photons",POWER(Upgrades!$U$8,G236),1)*IF(Upgrades!$T$9="First Photons",POWER(Upgrades!$U$9,H236),1)*IF(Upgrades!$T$10="First Photons",POWER(Upgrades!$U$10,I236),1)*IF(Upgrades!$T$11="First Photons",POWER(Upgrades!$U$11,J236),1)))*POWER(Upgrades!$P$6,E236)*POWER(Upgrades!$P$7,F236)*POWER(Upgrades!$P$8,G236)*POWER(Upgrades!$P$9,H236)*POWER(Upgrades!$P$10,I236)*POWER(Upgrades!$P$11,J236)*POWER(Upgrades!$P$12,K236)</f>
        <v>11.2</v>
      </c>
      <c r="O236" s="28" t="n">
        <f aca="false">((IF(E236=0,0,(Upgrades!$M$6+E236*Upgrades!$N$6)*POWER(Upgrades!$O$6,E236)))*(IF(Upgrades!$T$7="Solar Wind",POWER(Upgrades!$U$7,F236),1)*IF(Upgrades!$T$8="Solar Wind",POWER(Upgrades!$U$8,G236),1)*IF(Upgrades!$T$9="Solar Wind",POWER(Upgrades!$U$9,H236),1)*IF(Upgrades!$T$10="Solar Wind",POWER(Upgrades!$U$10,I236),1)*IF(Upgrades!$T$11="Solar Wind",POWER(Upgrades!$U$11,J236),1)*IF(Upgrades!$T$12="Solar Wind",POWER(Upgrades!$U$12,K236),1))+(IF(F236=0,0,(Upgrades!$M$7+F236*Upgrades!$N$7)*POWER(Upgrades!$O$7,F236)))*(IF(Upgrades!$T$6="Asteroid Belt",POWER(Upgrades!$U$6,E236),1)*IF(Upgrades!$T$8="Asteroid Belt",POWER(Upgrades!$U$8,G236),1)*IF(Upgrades!$T$9="Asteroid Belt",POWER(Upgrades!$U$9,H236),1)*IF(Upgrades!$T$10="Asteroid Belt",POWER(Upgrades!$U$10,I236),1)*IF(Upgrades!$T$11="Asteroid Belt",POWER(Upgrades!$U$11,J236),1)*IF(Upgrades!$T$12="Asteroid Belt",POWER(Upgrades!$U$12,K236),1))+(IF(G236=0,0,(Upgrades!$M$8+G236*Upgrades!$N$8)*POWER(Upgrades!$O$8,G236)))*(IF(Upgrades!$T$6="Stellar Coupling",POWER(Upgrades!$U$6,E236),1)*IF(Upgrades!$T$7="Stellar Coupling",POWER(Upgrades!$U$7,F236),1)*IF(Upgrades!$T$9="Stellar Coupling",POWER(Upgrades!$U$9,H236),1)*IF(Upgrades!$T$10="Stellar Coupling",POWER(Upgrades!$U$10,I236),1)*IF(Upgrades!$T$11="Stellar Coupling",POWER(Upgrades!$U$11,J236),1)*IF(Upgrades!$T$12="Stellar Coupling",POWER(Upgrades!$U$12,K236),1))+(IF(H236=0,0,(Upgrades!$M$9+H236*Upgrades!$N$9)*POWER(Upgrades!$O$9,H236)))*(IF(Upgrades!$T$6="Magnetosphere",POWER(Upgrades!$U$6,E236),1)*IF(Upgrades!$T$7="Magnetosphere",POWER(Upgrades!$U$7,F236),1)*IF(Upgrades!$T$8="Magnetosphere",POWER(Upgrades!$U$8,G236),1)*IF(Upgrades!$T$10="Magnetosphere",POWER(Upgrades!$U$10,I236),1)*IF(Upgrades!$T$11="Magnetosphere",POWER(Upgrades!$U$11,J236),1)*IF(Upgrades!$T$12="Magnetosphere",POWER(Upgrades!$U$12,K236),1))+(IF(I236=0,0,(Upgrades!$M$10+I236*Upgrades!$N$10)*POWER(Upgrades!$O$10,I236)))*(IF(Upgrades!$T$6="Orbital Resonance",POWER(Upgrades!$U$6,E236),1)*IF(Upgrades!$T$7="Orbital Resonance",POWER(Upgrades!$U$7,F236),1)*IF(Upgrades!$T$8="Orbital Resonance",POWER(Upgrades!$U$8,G236),1)*IF(Upgrades!$T$9="Orbital Resonance",POWER(Upgrades!$U$9,H236),1)*IF(Upgrades!$T$11="Orbital Resonance",POWER(Upgrades!$U$11,J236),1)*IF(Upgrades!$T$12="Orbital Resonance",POWER(Upgrades!$U$12,K236),1))+(IF(J236=0,0,(Upgrades!$M$11+J236*Upgrades!$N$11)*POWER(Upgrades!$O$11,J236)))*(IF(Upgrades!$T$6="Heliopause",POWER(Upgrades!$U$6,E236),1)*IF(Upgrades!$T$7="Heliopause",POWER(Upgrades!$U$7,F236),1)*IF(Upgrades!$T$8="Heliopause",POWER(Upgrades!$U$8,G236),1)*IF(Upgrades!$T$9="Heliopause",POWER(Upgrades!$U$9,H236),1)*IF(Upgrades!$T$10="Heliopause",POWER(Upgrades!$U$10,I236),1)*IF(Upgrades!$T$12="Heliopause",POWER(Upgrades!$U$12,K236),1))+(IF(K236=0,0,(Upgrades!$M$12+K236*Upgrades!$N$12)*POWER(Upgrades!$O$12,K236)))*(IF(Upgrades!$T$6="First Photons",POWER(Upgrades!$U$6,E236),1)*IF(Upgrades!$T$7="First Photons",POWER(Upgrades!$U$7,F236),1)*IF(Upgrades!$T$8="First Photons",POWER(Upgrades!$U$8,G236),1)*IF(Upgrades!$T$9="First Photons",POWER(Upgrades!$U$9,H236),1)*IF(Upgrades!$T$10="First Photons",POWER(Upgrades!$U$10,I236),1)*IF(Upgrades!$T$11="First Photons",POWER(Upgrades!$U$11,J236),1)))*POWER(Upgrades!$R$6,E236)*POWER(Upgrades!$R$7,F236)*POWER(Upgrades!$R$8,G236)*POWER(Upgrades!$R$9,H236)*POWER(Upgrades!$R$10,I236)*POWER(Upgrades!$R$11,J236)*POWER(Upgrades!$R$12,K236)</f>
        <v>0</v>
      </c>
      <c r="P236" s="27" t="n">
        <f aca="false">IF(L236=1,0,M236*Parameters!$B$10/60*Parameters!$B$11*10)</f>
        <v>0</v>
      </c>
      <c r="Q236" s="27" t="n">
        <f aca="false">IF(L236=1,0,O236*M236*10)</f>
        <v>0</v>
      </c>
      <c r="R236" s="27" t="n">
        <f aca="false">IF(L236=1,0,N236*10)</f>
        <v>0</v>
      </c>
      <c r="S236" s="27" t="n">
        <f aca="false">P236+Q236+R236</f>
        <v>0</v>
      </c>
      <c r="T236" s="21" t="n">
        <f aca="false">C236+S236</f>
        <v>18.6730249835055</v>
      </c>
      <c r="U236" s="34" t="str">
        <f aca="false">AX236</f>
        <v/>
      </c>
      <c r="V236" s="21" t="n">
        <f aca="false">IF(U236="",0,IF(U236="transition",0,IF(U236="SW",AG236,IF(U236="AB",AH236,IF(U236="SC",AI236,IF(U236="Mag",AJ236,IF(U236="OR",AK236,IF(U236="HP",AL236,IF(U236="FP",AM236,0)))))))))</f>
        <v>0</v>
      </c>
      <c r="W236" s="27" t="n">
        <f aca="false">IF(U236="OR",Upgrades!$F$10,IF(U236="HP",Upgrades!$F$11,IF(U236="transition",-Parameters!$B$18,0)))</f>
        <v>0</v>
      </c>
      <c r="X236" s="21" t="n">
        <f aca="false">T236-V236</f>
        <v>18.6730249835055</v>
      </c>
      <c r="Y236" s="30" t="n">
        <f aca="false">M236*Parameters!$B$10/60*Parameters!$B$11+O236*M236+N236</f>
        <v>20.55</v>
      </c>
      <c r="Z236" s="35" t="str">
        <f aca="false">IF(U236="transition","→ Tier 2 (Stellar Neighborhood)",IF(U236="FP","First Photons — light begins, system quickens",IF(U236="HP","Heliopause acquired",IF(U236="OR","Orbital Resonance — passive multiplier active",IF(AND(AO236=1,L236=0,AN236&lt;&gt;1),"Cohesion ready (waiting on completionist upgrades)","")))))</f>
        <v/>
      </c>
      <c r="AA236" s="27" t="n">
        <f aca="false">(IF(E236=0,0,(Upgrades!$G$6+E236*Upgrades!$H$6)*POWER(Upgrades!$I$6,E236)))*(IF(Upgrades!$T$7="Solar Wind",POWER(Upgrades!$U$7,F236),1)*IF(Upgrades!$T$8="Solar Wind",POWER(Upgrades!$U$8,G236),1)*IF(Upgrades!$T$9="Solar Wind",POWER(Upgrades!$U$9,H236),1)*IF(Upgrades!$T$10="Solar Wind",POWER(Upgrades!$U$10,I236),1)*IF(Upgrades!$T$11="Solar Wind",POWER(Upgrades!$U$11,J236),1)*IF(Upgrades!$T$12="Solar Wind",POWER(Upgrades!$U$12,K236),1))*POWER(Upgrades!$P$6,E236)*POWER(Upgrades!$P$7,F236)*POWER(Upgrades!$P$8,G236)*POWER(Upgrades!$P$9,H236)*POWER(Upgrades!$P$10,I236)*POWER(Upgrades!$P$11,J236)*POWER(Upgrades!$P$12,K236)*60</f>
        <v>72</v>
      </c>
      <c r="AB236" s="27" t="n">
        <f aca="false">(IF(F236=0,0,(Upgrades!$G$7+F236*Upgrades!$H$7)*POWER(Upgrades!$I$7,F236)))*(IF(Upgrades!$T$6="Asteroid Belt",POWER(Upgrades!$U$6,E236),1)*IF(Upgrades!$T$8="Asteroid Belt",POWER(Upgrades!$U$8,G236),1)*IF(Upgrades!$T$9="Asteroid Belt",POWER(Upgrades!$U$9,H236),1)*IF(Upgrades!$T$10="Asteroid Belt",POWER(Upgrades!$U$10,I236),1)*IF(Upgrades!$T$11="Asteroid Belt",POWER(Upgrades!$U$11,J236),1)*IF(Upgrades!$T$12="Asteroid Belt",POWER(Upgrades!$U$12,K236),1))*POWER(Upgrades!$P$6,E236)*POWER(Upgrades!$P$7,F236)*POWER(Upgrades!$P$8,G236)*POWER(Upgrades!$P$9,H236)*POWER(Upgrades!$P$10,I236)*POWER(Upgrades!$P$11,J236)*POWER(Upgrades!$P$12,K236)*60</f>
        <v>150</v>
      </c>
      <c r="AC236" s="27" t="n">
        <f aca="false">(IF(G236=0,0,(Upgrades!$J$8+G236*Upgrades!$K$8)*POWER(Upgrades!$L$8,G236)))*(IF(Upgrades!$T$6="Stellar Coupling",POWER(Upgrades!$U$6,E236),1)*IF(Upgrades!$T$7="Stellar Coupling",POWER(Upgrades!$U$7,F236),1)*IF(Upgrades!$T$9="Stellar Coupling",POWER(Upgrades!$U$9,H236),1)*IF(Upgrades!$T$10="Stellar Coupling",POWER(Upgrades!$U$10,I236),1)*IF(Upgrades!$T$11="Stellar Coupling",POWER(Upgrades!$U$11,J236),1)*IF(Upgrades!$T$12="Stellar Coupling",POWER(Upgrades!$U$12,K236),1))*POWER(Upgrades!$Q$6,E236)*POWER(Upgrades!$Q$7,F236)*POWER(Upgrades!$Q$8,G236)*POWER(Upgrades!$Q$9,H236)*POWER(Upgrades!$Q$10,I236)*POWER(Upgrades!$Q$11,J236)*POWER(Upgrades!$Q$12,K236)*Parameters!$B$10*Parameters!$B$11</f>
        <v>441</v>
      </c>
      <c r="AD236" s="27" t="n">
        <f aca="false">(IF(H236=0,0,(Upgrades!$G$9+H236*Upgrades!$H$9)*POWER(Upgrades!$I$9,H236)))*(IF(Upgrades!$T$6="Magnetosphere",POWER(Upgrades!$U$6,E236),1)*IF(Upgrades!$T$7="Magnetosphere",POWER(Upgrades!$U$7,F236),1)*IF(Upgrades!$T$8="Magnetosphere",POWER(Upgrades!$U$8,G236),1)*IF(Upgrades!$T$10="Magnetosphere",POWER(Upgrades!$U$10,I236),1)*IF(Upgrades!$T$11="Magnetosphere",POWER(Upgrades!$U$11,J236),1)*IF(Upgrades!$T$12="Magnetosphere",POWER(Upgrades!$U$12,K236),1))*POWER(Upgrades!$P$6,E236)*POWER(Upgrades!$P$7,F236)*POWER(Upgrades!$P$8,G236)*POWER(Upgrades!$P$9,H236)*POWER(Upgrades!$P$10,I236)*POWER(Upgrades!$P$11,J236)*POWER(Upgrades!$P$12,K236)*60</f>
        <v>375</v>
      </c>
      <c r="AE236" s="27" t="n">
        <f aca="false">(IF(K236=0,0,(Upgrades!$G$12+K236*Upgrades!$H$12)*POWER(Upgrades!$I$12,K236)))*(IF(Upgrades!$T$6="First Photons",POWER(Upgrades!$U$6,E236),1)*IF(Upgrades!$T$7="First Photons",POWER(Upgrades!$U$7,F236),1)*IF(Upgrades!$T$8="First Photons",POWER(Upgrades!$U$8,G236),1)*IF(Upgrades!$T$9="First Photons",POWER(Upgrades!$U$9,H236),1)*IF(Upgrades!$T$10="First Photons",POWER(Upgrades!$U$10,I236),1)*IF(Upgrades!$T$11="First Photons",POWER(Upgrades!$U$11,J236),1))*POWER(Upgrades!$P$6,E236)*POWER(Upgrades!$P$7,F236)*POWER(Upgrades!$P$8,G236)*POWER(Upgrades!$P$9,H236)*POWER(Upgrades!$P$10,I236)*POWER(Upgrades!$P$11,J236)*POWER(Upgrades!$P$12,K236)*60</f>
        <v>75</v>
      </c>
      <c r="AF236" s="27" t="n">
        <f aca="false">Parameters!$B$9*POWER(Upgrades!$Q$6,E236)*POWER(Upgrades!$Q$7,F236)*POWER(Upgrades!$Q$8,G236)*POWER(Upgrades!$Q$9,H236)*POWER(Upgrades!$Q$10,I236)*POWER(Upgrades!$Q$11,J236)*POWER(Upgrades!$Q$12,K236)*(Parameters!$B$10*Parameters!$B$11+O236*60)</f>
        <v>120</v>
      </c>
      <c r="AG236" s="21" t="n">
        <f aca="false">IF(E236&gt;=Upgrades!$E$6,"",Upgrades!$C$6*POWER(Upgrades!$D$6,E236))</f>
        <v>37.4517507383159</v>
      </c>
      <c r="AH236" s="21" t="n">
        <f aca="false">IF(F236&gt;=Upgrades!$E$7,"",Upgrades!$C$7*POWER(Upgrades!$D$7,F236))</f>
        <v>80.9111547141581</v>
      </c>
      <c r="AI236" s="21" t="n">
        <f aca="false">IF(G236&gt;=Upgrades!$E$8,"",Upgrades!$C$8*POWER(Upgrades!$D$8,G236))</f>
        <v>231.9097088</v>
      </c>
      <c r="AJ236" s="21" t="str">
        <f aca="false">IF(H236&gt;=Upgrades!$E$9,"",Upgrades!$C$9*POWER(Upgrades!$D$9,H236))</f>
        <v/>
      </c>
      <c r="AK236" s="21" t="str">
        <f aca="false">IF(I236&gt;=Upgrades!$E$10,"",Upgrades!$C$10*POWER(Upgrades!$D$10,I236))</f>
        <v/>
      </c>
      <c r="AL236" s="21" t="str">
        <f aca="false">IF(J236&gt;=Upgrades!$E$11,"",Upgrades!$C$11*POWER(Upgrades!$D$11,J236))</f>
        <v/>
      </c>
      <c r="AM236" s="21" t="str">
        <f aca="false">IF(K236&gt;=Upgrades!$E$12,"",Upgrades!$C$12*POWER(Upgrades!$D$12,K236))</f>
        <v/>
      </c>
      <c r="AN236" s="26" t="str">
        <f aca="false">IF(AND(D236&gt;=Parameters!$B$18,(H236&gt;=Upgrades!$E$9)*(K236&gt;=Upgrades!$E$12)=1,L236=0),1,"")</f>
        <v/>
      </c>
      <c r="AO236" s="26" t="str">
        <f aca="false">IF(AND(D236&gt;=Parameters!$B$18,L236=0),1,"")</f>
        <v/>
      </c>
      <c r="AP236" s="21" t="n">
        <f aca="false">MIN(IF(ISNUMBER(AK236),AK236,9000000000000000),IF(ISNUMBER(AL236),AL236,9000000000000000),IF(ISNUMBER(AM236),AM236,9000000000000000))</f>
        <v>9000000000000000</v>
      </c>
      <c r="AQ236" s="21" t="n">
        <f aca="false">MIN(IF(ISNUMBER(AG236),AG236,9000000000000000),IF(ISNUMBER(AH236),AH236,9000000000000000),IF(ISNUMBER(AI236),AI236,9000000000000000),IF(ISNUMBER(AJ236),AJ236,9000000000000000))</f>
        <v>37.4517507383159</v>
      </c>
      <c r="AR236" s="32" t="b">
        <f aca="false">IF(AW236&gt;Parameters!$B$21*(MAX(IF(AND(NOT(AND(AO236=1,AN236&lt;&gt;1)),ISNUMBER(AG236),AG236&lt;=T236),AS236,0),IF(AND(NOT(AND(AO236=1,AN236&lt;&gt;1)),ISNUMBER(AH236),AH236&lt;=T236),AT236,0),IF(AND(NOT(AND(AO236=1,AN236&lt;&gt;1)),ISNUMBER(AI236),AI236&lt;=T236),AU236,0),IF(AND(ISNUMBER(AJ236),AJ236&lt;=T236),AV236,0))),TRUE(),FALSE())</f>
        <v>1</v>
      </c>
      <c r="AS236" s="33" t="n">
        <f aca="false">IFERROR(Upgrades!$H$6*(POWER(Upgrades!$P$6,E236)*POWER(Upgrades!$P$7,F236)*POWER(Upgrades!$P$8,G236)*POWER(Upgrades!$P$9,H236)*POWER(Upgrades!$P$10,I236)*POWER(Upgrades!$P$11,J236)*POWER(Upgrades!$P$12,K236))*(IF(Upgrades!$T$7="Solar Wind",POWER(Upgrades!$U$7,F236),1)*IF(Upgrades!$T$8="Solar Wind",POWER(Upgrades!$U$8,G236),1)*IF(Upgrades!$T$9="Solar Wind",POWER(Upgrades!$U$9,H236),1)*IF(Upgrades!$T$10="Solar Wind",POWER(Upgrades!$U$10,I236),1)*IF(Upgrades!$T$11="Solar Wind",POWER(Upgrades!$U$11,J236),1)*IF(Upgrades!$T$12="Solar Wind",POWER(Upgrades!$U$12,K236),1))/AG236,0)</f>
        <v>0.0026701021455238</v>
      </c>
      <c r="AT236" s="33" t="n">
        <f aca="false">IFERROR(Upgrades!$H$7*(POWER(Upgrades!$P$6,E236)*POWER(Upgrades!$P$7,F236)*POWER(Upgrades!$P$8,G236)*POWER(Upgrades!$P$9,H236)*POWER(Upgrades!$P$10,I236)*POWER(Upgrades!$P$11,J236)*POWER(Upgrades!$P$12,K236))*(IF(Upgrades!$T$6="Asteroid Belt",POWER(Upgrades!$U$6,E236),1)*IF(Upgrades!$T$8="Asteroid Belt",POWER(Upgrades!$U$8,G236),1)*IF(Upgrades!$T$9="Asteroid Belt",POWER(Upgrades!$U$9,H236),1)*IF(Upgrades!$T$10="Asteroid Belt",POWER(Upgrades!$U$10,I236),1)*IF(Upgrades!$T$11="Asteroid Belt",POWER(Upgrades!$U$11,J236),1)*IF(Upgrades!$T$12="Asteroid Belt",POWER(Upgrades!$U$12,K236),1))/AH236,0)</f>
        <v>0.00308980882652332</v>
      </c>
      <c r="AU236" s="33" t="n">
        <f aca="false">IFERROR(Upgrades!$K$8*(POWER(Upgrades!$Q$6,E236)*POWER(Upgrades!$Q$7,F236)*POWER(Upgrades!$Q$8,G236)*POWER(Upgrades!$Q$9,H236)*POWER(Upgrades!$Q$10,I236)*POWER(Upgrades!$Q$11,J236)*POWER(Upgrades!$Q$12,K236))*(IF(Upgrades!$T$6="Stellar Coupling",POWER(Upgrades!$U$6,E236),1)*IF(Upgrades!$T$7="Stellar Coupling",POWER(Upgrades!$U$7,F236),1)*IF(Upgrades!$T$9="Stellar Coupling",POWER(Upgrades!$U$9,H236),1)*IF(Upgrades!$T$10="Stellar Coupling",POWER(Upgrades!$U$10,I236),1)*IF(Upgrades!$T$11="Stellar Coupling",POWER(Upgrades!$U$11,J236),1)*IF(Upgrades!$T$12="Stellar Coupling",POWER(Upgrades!$U$12,K236),1))*Parameters!$B$10*Parameters!$B$11/60/AI236,0)</f>
        <v>0.00452762415783776</v>
      </c>
      <c r="AV236" s="33" t="n">
        <f aca="false">IFERROR(Upgrades!$H$9*(POWER(Upgrades!$P$6,E236)*POWER(Upgrades!$P$7,F236)*POWER(Upgrades!$P$8,G236)*POWER(Upgrades!$P$9,H236)*POWER(Upgrades!$P$10,I236)*POWER(Upgrades!$P$11,J236)*POWER(Upgrades!$P$12,K236))*(IF(Upgrades!$T$6="Magnetosphere",POWER(Upgrades!$U$6,E236),1)*IF(Upgrades!$T$7="Magnetosphere",POWER(Upgrades!$U$7,F236),1)*IF(Upgrades!$T$8="Magnetosphere",POWER(Upgrades!$U$8,G236),1)*IF(Upgrades!$T$10="Magnetosphere",POWER(Upgrades!$U$10,I236),1)*IF(Upgrades!$T$11="Magnetosphere",POWER(Upgrades!$U$11,J236),1)*IF(Upgrades!$T$12="Magnetosphere",POWER(Upgrades!$U$12,K236),1))/AJ236,0)</f>
        <v>0</v>
      </c>
      <c r="AW236" s="33" t="n">
        <f aca="false">MAX(IF(I236&gt;0,0,IFERROR(0.25*N236/Upgrades!$C$10,0)),IF(J236&gt;0,0,IFERROR(0.5*((IF(G236=0,0,(Upgrades!$J$8+G236*Upgrades!$K$8)*POWER(Upgrades!$L$8,G236)))*(IF(Upgrades!$T$6="Stellar Coupling",POWER(Upgrades!$U$6,E236),1)*IF(Upgrades!$T$7="Stellar Coupling",POWER(Upgrades!$U$7,F236),1)*IF(Upgrades!$T$9="Stellar Coupling",POWER(Upgrades!$U$9,H236),1)*IF(Upgrades!$T$10="Stellar Coupling",POWER(Upgrades!$U$10,I236),1)*IF(Upgrades!$T$11="Stellar Coupling",POWER(Upgrades!$U$11,J236),1)*IF(Upgrades!$T$12="Stellar Coupling",POWER(Upgrades!$U$12,K236),1))*(POWER(Upgrades!$Q$6,E236)*POWER(Upgrades!$Q$7,F236)*POWER(Upgrades!$Q$8,G236)*POWER(Upgrades!$Q$9,H236)*POWER(Upgrades!$Q$10,I236)*POWER(Upgrades!$Q$11,J236)*POWER(Upgrades!$Q$12,K236))*Parameters!$B$10*Parameters!$B$11/60)/Upgrades!$C$11,0)),IF(K236&gt;0,0,IFERROR((1*(POWER(Upgrades!$P$6,E236)*POWER(Upgrades!$P$7,F236)*POWER(Upgrades!$P$8,G236)*POWER(Upgrades!$P$9,H236)*POWER(Upgrades!$P$10,I236)*POWER(Upgrades!$P$11,J236)*POWER(Upgrades!$P$12,K236))+0.2*M236*Parameters!$B$10*Parameters!$B$11/60)/Upgrades!$C$12,0)),IF(AND(ISNUMBER(AG236),AG236&gt;T236),AS236,0),IF(AND(ISNUMBER(AH236),AH236&gt;T236),AT236,0),IF(AND(ISNUMBER(AI236),AI236&gt;T236),AU236,0),IF(AND(ISNUMBER(AJ236),AJ236&gt;T236),AV236,0))</f>
        <v>0.00452762415783776</v>
      </c>
      <c r="AX236" s="29" t="str">
        <f aca="false">IF(AN236=1,"transition",IF(MIN(IF(AND(I236=0,ISNUMBER(AK236),AK236&lt;=T236),AK236,9000000000000000),IF(AND(J236=0,ISNUMBER(AL236),AL236&lt;=T236),AL236,9000000000000000),IF(AND(K236=0,ISNUMBER(AM236),AM236&lt;=T236),AM236,9000000000000000))&lt;9000000000000000,IF(AND(AND(I236=0,ISNUMBER(AK236),AK236&lt;=T236),AK236=MIN(IF(AND(I236=0,ISNUMBER(AK236),AK236&lt;=T236),AK236,9000000000000000),IF(AND(J236=0,ISNUMBER(AL236),AL236&lt;=T236),AL236,9000000000000000),IF(AND(K236=0,ISNUMBER(AM236),AM236&lt;=T236),AM236,9000000000000000))),"OR",IF(AND(AND(J236=0,ISNUMBER(AL236),AL236&lt;=T236),AL236=MIN(IF(AND(I236=0,ISNUMBER(AK236),AK236&lt;=T236),AK236,9000000000000000),IF(AND(J236=0,ISNUMBER(AL236),AL236&lt;=T236),AL236,9000000000000000),IF(AND(K236=0,ISNUMBER(AM236),AM236&lt;=T236),AM236,9000000000000000))),"HP","FP")),IF(AR236=TRUE(),"",IF(MAX(IF(AND(NOT(AND(AO236=1,AN236&lt;&gt;1)),ISNUMBER(AG236),AG236&lt;=T236),AS236,0),IF(AND(NOT(AND(AO236=1,AN236&lt;&gt;1)),ISNUMBER(AH236),AH236&lt;=T236),AT236,0),IF(AND(NOT(AND(AO236=1,AN236&lt;&gt;1)),ISNUMBER(AI236),AI236&lt;=T236),AU236,0),IF(AND(ISNUMBER(AJ236),AJ236&lt;=T236),AV236,0))&lt;=0,"",IF(AND(IF(AND(NOT(AND(AO236=1,AN236&lt;&gt;1)),ISNUMBER(AG236),AG236&lt;=T236),AS236,0)&gt;0,IF(AND(NOT(AND(AO236=1,AN236&lt;&gt;1)),ISNUMBER(AG236),AG236&lt;=T236),AS236,0)=MAX(IF(AND(NOT(AND(AO236=1,AN236&lt;&gt;1)),ISNUMBER(AG236),AG236&lt;=T236),AS236,0),IF(AND(NOT(AND(AO236=1,AN236&lt;&gt;1)),ISNUMBER(AH236),AH236&lt;=T236),AT236,0),IF(AND(NOT(AND(AO236=1,AN236&lt;&gt;1)),ISNUMBER(AI236),AI236&lt;=T236),AU236,0),IF(AND(ISNUMBER(AJ236),AJ236&lt;=T236),AV236,0))),"SW",IF(AND(IF(AND(NOT(AND(AO236=1,AN236&lt;&gt;1)),ISNUMBER(AH236),AH236&lt;=T236),AT236,0)&gt;0,IF(AND(NOT(AND(AO236=1,AN236&lt;&gt;1)),ISNUMBER(AH236),AH236&lt;=T236),AT236,0)=MAX(IF(AND(NOT(AND(AO236=1,AN236&lt;&gt;1)),ISNUMBER(AG236),AG236&lt;=T236),AS236,0),IF(AND(NOT(AND(AO236=1,AN236&lt;&gt;1)),ISNUMBER(AH236),AH236&lt;=T236),AT236,0),IF(AND(NOT(AND(AO236=1,AN236&lt;&gt;1)),ISNUMBER(AI236),AI236&lt;=T236),AU236,0),IF(AND(ISNUMBER(AJ236),AJ236&lt;=T236),AV236,0))),"AB",IF(AND(IF(AND(NOT(AND(AO236=1,AN236&lt;&gt;1)),ISNUMBER(AI236),AI236&lt;=T236),AU236,0)&gt;0,IF(AND(NOT(AND(AO236=1,AN236&lt;&gt;1)),ISNUMBER(AI236),AI236&lt;=T236),AU236,0)=MAX(IF(AND(NOT(AND(AO236=1,AN236&lt;&gt;1)),ISNUMBER(AG236),AG236&lt;=T236),AS236,0),IF(AND(NOT(AND(AO236=1,AN236&lt;&gt;1)),ISNUMBER(AH236),AH236&lt;=T236),AT236,0),IF(AND(NOT(AND(AO236=1,AN236&lt;&gt;1)),ISNUMBER(AI236),AI236&lt;=T236),AU236,0),IF(AND(ISNUMBER(AJ236),AJ236&lt;=T236),AV236,0))),"SC","Mag")))))))</f>
        <v/>
      </c>
    </row>
    <row r="237" customFormat="false" ht="15" hidden="false" customHeight="false" outlineLevel="0" collapsed="false">
      <c r="A237" s="26" t="n">
        <v>232</v>
      </c>
      <c r="B237" s="27" t="n">
        <f aca="false">A237*10/60</f>
        <v>38.6666666666667</v>
      </c>
      <c r="C237" s="21" t="n">
        <f aca="false">X236</f>
        <v>18.6730249835055</v>
      </c>
      <c r="D237" s="27" t="n">
        <f aca="false">D236+W236</f>
        <v>0</v>
      </c>
      <c r="E237" s="26" t="n">
        <f aca="false">E236+IF(U236="SW",1,0)</f>
        <v>12</v>
      </c>
      <c r="F237" s="26" t="n">
        <f aca="false">F236+IF(U236="AB",1,0)</f>
        <v>10</v>
      </c>
      <c r="G237" s="26" t="n">
        <f aca="false">G236+IF(U236="SC",1,0)</f>
        <v>7</v>
      </c>
      <c r="H237" s="26" t="n">
        <f aca="false">H236+IF(U236="Mag",1,0)</f>
        <v>5</v>
      </c>
      <c r="I237" s="26" t="n">
        <f aca="false">MAX(I236,IF(U236="OR",1,0))</f>
        <v>1</v>
      </c>
      <c r="J237" s="26" t="n">
        <f aca="false">MAX(J236,IF(U236="HP",1,0))</f>
        <v>1</v>
      </c>
      <c r="K237" s="26" t="n">
        <f aca="false">MAX(K236,IF(U236="FP",1,0))</f>
        <v>1</v>
      </c>
      <c r="L237" s="26" t="n">
        <f aca="false">MAX(L236,IF(U236="transition",1,0))</f>
        <v>1</v>
      </c>
      <c r="M237" s="28" t="n">
        <f aca="false">(Parameters!$B$9+(IF(E237=0,0,(Upgrades!$J$6+E237*Upgrades!$K$6)*POWER(Upgrades!$L$6,E237)))*(IF(Upgrades!$T$7="Solar Wind",POWER(Upgrades!$U$7,F237),1)*IF(Upgrades!$T$8="Solar Wind",POWER(Upgrades!$U$8,G237),1)*IF(Upgrades!$T$9="Solar Wind",POWER(Upgrades!$U$9,H237),1)*IF(Upgrades!$T$10="Solar Wind",POWER(Upgrades!$U$10,I237),1)*IF(Upgrades!$T$11="Solar Wind",POWER(Upgrades!$U$11,J237),1)*IF(Upgrades!$T$12="Solar Wind",POWER(Upgrades!$U$12,K237),1))+(IF(F237=0,0,(Upgrades!$J$7+F237*Upgrades!$K$7)*POWER(Upgrades!$L$7,F237)))*(IF(Upgrades!$T$6="Asteroid Belt",POWER(Upgrades!$U$6,E237),1)*IF(Upgrades!$T$8="Asteroid Belt",POWER(Upgrades!$U$8,G237),1)*IF(Upgrades!$T$9="Asteroid Belt",POWER(Upgrades!$U$9,H237),1)*IF(Upgrades!$T$10="Asteroid Belt",POWER(Upgrades!$U$10,I237),1)*IF(Upgrades!$T$11="Asteroid Belt",POWER(Upgrades!$U$11,J237),1)*IF(Upgrades!$T$12="Asteroid Belt",POWER(Upgrades!$U$12,K237),1))+(IF(G237=0,0,(Upgrades!$J$8+G237*Upgrades!$K$8)*POWER(Upgrades!$L$8,G237)))*(IF(Upgrades!$T$6="Stellar Coupling",POWER(Upgrades!$U$6,E237),1)*IF(Upgrades!$T$7="Stellar Coupling",POWER(Upgrades!$U$7,F237),1)*IF(Upgrades!$T$9="Stellar Coupling",POWER(Upgrades!$U$9,H237),1)*IF(Upgrades!$T$10="Stellar Coupling",POWER(Upgrades!$U$10,I237),1)*IF(Upgrades!$T$11="Stellar Coupling",POWER(Upgrades!$U$11,J237),1)*IF(Upgrades!$T$12="Stellar Coupling",POWER(Upgrades!$U$12,K237),1))+(IF(H237=0,0,(Upgrades!$J$9+H237*Upgrades!$K$9)*POWER(Upgrades!$L$9,H237)))*(IF(Upgrades!$T$6="Magnetosphere",POWER(Upgrades!$U$6,E237),1)*IF(Upgrades!$T$7="Magnetosphere",POWER(Upgrades!$U$7,F237),1)*IF(Upgrades!$T$8="Magnetosphere",POWER(Upgrades!$U$8,G237),1)*IF(Upgrades!$T$10="Magnetosphere",POWER(Upgrades!$U$10,I237),1)*IF(Upgrades!$T$11="Magnetosphere",POWER(Upgrades!$U$11,J237),1)*IF(Upgrades!$T$12="Magnetosphere",POWER(Upgrades!$U$12,K237),1))+(IF(I237=0,0,(Upgrades!$J$10+I237*Upgrades!$K$10)*POWER(Upgrades!$L$10,I237)))*(IF(Upgrades!$T$6="Orbital Resonance",POWER(Upgrades!$U$6,E237),1)*IF(Upgrades!$T$7="Orbital Resonance",POWER(Upgrades!$U$7,F237),1)*IF(Upgrades!$T$8="Orbital Resonance",POWER(Upgrades!$U$8,G237),1)*IF(Upgrades!$T$9="Orbital Resonance",POWER(Upgrades!$U$9,H237),1)*IF(Upgrades!$T$11="Orbital Resonance",POWER(Upgrades!$U$11,J237),1)*IF(Upgrades!$T$12="Orbital Resonance",POWER(Upgrades!$U$12,K237),1))+(IF(J237=0,0,(Upgrades!$J$11+J237*Upgrades!$K$11)*POWER(Upgrades!$L$11,J237)))*(IF(Upgrades!$T$6="Heliopause",POWER(Upgrades!$U$6,E237),1)*IF(Upgrades!$T$7="Heliopause",POWER(Upgrades!$U$7,F237),1)*IF(Upgrades!$T$8="Heliopause",POWER(Upgrades!$U$8,G237),1)*IF(Upgrades!$T$9="Heliopause",POWER(Upgrades!$U$9,H237),1)*IF(Upgrades!$T$10="Heliopause",POWER(Upgrades!$U$10,I237),1)*IF(Upgrades!$T$12="Heliopause",POWER(Upgrades!$U$12,K237),1))+(IF(K237=0,0,(Upgrades!$J$12+K237*Upgrades!$K$12)*POWER(Upgrades!$L$12,K237)))*(IF(Upgrades!$T$6="First Photons",POWER(Upgrades!$U$6,E237),1)*IF(Upgrades!$T$7="First Photons",POWER(Upgrades!$U$7,F237),1)*IF(Upgrades!$T$8="First Photons",POWER(Upgrades!$U$8,G237),1)*IF(Upgrades!$T$9="First Photons",POWER(Upgrades!$U$9,H237),1)*IF(Upgrades!$T$10="First Photons",POWER(Upgrades!$U$10,I237),1)*IF(Upgrades!$T$11="First Photons",POWER(Upgrades!$U$11,J237),1)))*POWER(Upgrades!$Q$6,E237)*POWER(Upgrades!$Q$7,F237)*POWER(Upgrades!$Q$8,G237)*POWER(Upgrades!$Q$9,H237)*POWER(Upgrades!$Q$10,I237)*POWER(Upgrades!$Q$11,J237)*POWER(Upgrades!$Q$12,K237)</f>
        <v>5.61</v>
      </c>
      <c r="N237" s="28" t="n">
        <f aca="false">((IF(E237=0,0,(Upgrades!$G$6+E237*Upgrades!$H$6)*POWER(Upgrades!$I$6,E237)))*(IF(Upgrades!$T$7="Solar Wind",POWER(Upgrades!$U$7,F237),1)*IF(Upgrades!$T$8="Solar Wind",POWER(Upgrades!$U$8,G237),1)*IF(Upgrades!$T$9="Solar Wind",POWER(Upgrades!$U$9,H237),1)*IF(Upgrades!$T$10="Solar Wind",POWER(Upgrades!$U$10,I237),1)*IF(Upgrades!$T$11="Solar Wind",POWER(Upgrades!$U$11,J237),1)*IF(Upgrades!$T$12="Solar Wind",POWER(Upgrades!$U$12,K237),1))+(IF(F237=0,0,(Upgrades!$G$7+F237*Upgrades!$H$7)*POWER(Upgrades!$I$7,F237)))*(IF(Upgrades!$T$6="Asteroid Belt",POWER(Upgrades!$U$6,E237),1)*IF(Upgrades!$T$8="Asteroid Belt",POWER(Upgrades!$U$8,G237),1)*IF(Upgrades!$T$9="Asteroid Belt",POWER(Upgrades!$U$9,H237),1)*IF(Upgrades!$T$10="Asteroid Belt",POWER(Upgrades!$U$10,I237),1)*IF(Upgrades!$T$11="Asteroid Belt",POWER(Upgrades!$U$11,J237),1)*IF(Upgrades!$T$12="Asteroid Belt",POWER(Upgrades!$U$12,K237),1))+(IF(G237=0,0,(Upgrades!$G$8+G237*Upgrades!$H$8)*POWER(Upgrades!$I$8,G237)))*(IF(Upgrades!$T$6="Stellar Coupling",POWER(Upgrades!$U$6,E237),1)*IF(Upgrades!$T$7="Stellar Coupling",POWER(Upgrades!$U$7,F237),1)*IF(Upgrades!$T$9="Stellar Coupling",POWER(Upgrades!$U$9,H237),1)*IF(Upgrades!$T$10="Stellar Coupling",POWER(Upgrades!$U$10,I237),1)*IF(Upgrades!$T$11="Stellar Coupling",POWER(Upgrades!$U$11,J237),1)*IF(Upgrades!$T$12="Stellar Coupling",POWER(Upgrades!$U$12,K237),1))+(IF(H237=0,0,(Upgrades!$G$9+H237*Upgrades!$H$9)*POWER(Upgrades!$I$9,H237)))*(IF(Upgrades!$T$6="Magnetosphere",POWER(Upgrades!$U$6,E237),1)*IF(Upgrades!$T$7="Magnetosphere",POWER(Upgrades!$U$7,F237),1)*IF(Upgrades!$T$8="Magnetosphere",POWER(Upgrades!$U$8,G237),1)*IF(Upgrades!$T$10="Magnetosphere",POWER(Upgrades!$U$10,I237),1)*IF(Upgrades!$T$11="Magnetosphere",POWER(Upgrades!$U$11,J237),1)*IF(Upgrades!$T$12="Magnetosphere",POWER(Upgrades!$U$12,K237),1))+(IF(I237=0,0,(Upgrades!$G$10+I237*Upgrades!$H$10)*POWER(Upgrades!$I$10,I237)))*(IF(Upgrades!$T$6="Orbital Resonance",POWER(Upgrades!$U$6,E237),1)*IF(Upgrades!$T$7="Orbital Resonance",POWER(Upgrades!$U$7,F237),1)*IF(Upgrades!$T$8="Orbital Resonance",POWER(Upgrades!$U$8,G237),1)*IF(Upgrades!$T$9="Orbital Resonance",POWER(Upgrades!$U$9,H237),1)*IF(Upgrades!$T$11="Orbital Resonance",POWER(Upgrades!$U$11,J237),1)*IF(Upgrades!$T$12="Orbital Resonance",POWER(Upgrades!$U$12,K237),1))+(IF(J237=0,0,(Upgrades!$G$11+J237*Upgrades!$H$11)*POWER(Upgrades!$I$11,J237)))*(IF(Upgrades!$T$6="Heliopause",POWER(Upgrades!$U$6,E237),1)*IF(Upgrades!$T$7="Heliopause",POWER(Upgrades!$U$7,F237),1)*IF(Upgrades!$T$8="Heliopause",POWER(Upgrades!$U$8,G237),1)*IF(Upgrades!$T$9="Heliopause",POWER(Upgrades!$U$9,H237),1)*IF(Upgrades!$T$10="Heliopause",POWER(Upgrades!$U$10,I237),1)*IF(Upgrades!$T$12="Heliopause",POWER(Upgrades!$U$12,K237),1))+(IF(K237=0,0,(Upgrades!$G$12+K237*Upgrades!$H$12)*POWER(Upgrades!$I$12,K237)))*(IF(Upgrades!$T$6="First Photons",POWER(Upgrades!$U$6,E237),1)*IF(Upgrades!$T$7="First Photons",POWER(Upgrades!$U$7,F237),1)*IF(Upgrades!$T$8="First Photons",POWER(Upgrades!$U$8,G237),1)*IF(Upgrades!$T$9="First Photons",POWER(Upgrades!$U$9,H237),1)*IF(Upgrades!$T$10="First Photons",POWER(Upgrades!$U$10,I237),1)*IF(Upgrades!$T$11="First Photons",POWER(Upgrades!$U$11,J237),1)))*POWER(Upgrades!$P$6,E237)*POWER(Upgrades!$P$7,F237)*POWER(Upgrades!$P$8,G237)*POWER(Upgrades!$P$9,H237)*POWER(Upgrades!$P$10,I237)*POWER(Upgrades!$P$11,J237)*POWER(Upgrades!$P$12,K237)</f>
        <v>11.2</v>
      </c>
      <c r="O237" s="28" t="n">
        <f aca="false">((IF(E237=0,0,(Upgrades!$M$6+E237*Upgrades!$N$6)*POWER(Upgrades!$O$6,E237)))*(IF(Upgrades!$T$7="Solar Wind",POWER(Upgrades!$U$7,F237),1)*IF(Upgrades!$T$8="Solar Wind",POWER(Upgrades!$U$8,G237),1)*IF(Upgrades!$T$9="Solar Wind",POWER(Upgrades!$U$9,H237),1)*IF(Upgrades!$T$10="Solar Wind",POWER(Upgrades!$U$10,I237),1)*IF(Upgrades!$T$11="Solar Wind",POWER(Upgrades!$U$11,J237),1)*IF(Upgrades!$T$12="Solar Wind",POWER(Upgrades!$U$12,K237),1))+(IF(F237=0,0,(Upgrades!$M$7+F237*Upgrades!$N$7)*POWER(Upgrades!$O$7,F237)))*(IF(Upgrades!$T$6="Asteroid Belt",POWER(Upgrades!$U$6,E237),1)*IF(Upgrades!$T$8="Asteroid Belt",POWER(Upgrades!$U$8,G237),1)*IF(Upgrades!$T$9="Asteroid Belt",POWER(Upgrades!$U$9,H237),1)*IF(Upgrades!$T$10="Asteroid Belt",POWER(Upgrades!$U$10,I237),1)*IF(Upgrades!$T$11="Asteroid Belt",POWER(Upgrades!$U$11,J237),1)*IF(Upgrades!$T$12="Asteroid Belt",POWER(Upgrades!$U$12,K237),1))+(IF(G237=0,0,(Upgrades!$M$8+G237*Upgrades!$N$8)*POWER(Upgrades!$O$8,G237)))*(IF(Upgrades!$T$6="Stellar Coupling",POWER(Upgrades!$U$6,E237),1)*IF(Upgrades!$T$7="Stellar Coupling",POWER(Upgrades!$U$7,F237),1)*IF(Upgrades!$T$9="Stellar Coupling",POWER(Upgrades!$U$9,H237),1)*IF(Upgrades!$T$10="Stellar Coupling",POWER(Upgrades!$U$10,I237),1)*IF(Upgrades!$T$11="Stellar Coupling",POWER(Upgrades!$U$11,J237),1)*IF(Upgrades!$T$12="Stellar Coupling",POWER(Upgrades!$U$12,K237),1))+(IF(H237=0,0,(Upgrades!$M$9+H237*Upgrades!$N$9)*POWER(Upgrades!$O$9,H237)))*(IF(Upgrades!$T$6="Magnetosphere",POWER(Upgrades!$U$6,E237),1)*IF(Upgrades!$T$7="Magnetosphere",POWER(Upgrades!$U$7,F237),1)*IF(Upgrades!$T$8="Magnetosphere",POWER(Upgrades!$U$8,G237),1)*IF(Upgrades!$T$10="Magnetosphere",POWER(Upgrades!$U$10,I237),1)*IF(Upgrades!$T$11="Magnetosphere",POWER(Upgrades!$U$11,J237),1)*IF(Upgrades!$T$12="Magnetosphere",POWER(Upgrades!$U$12,K237),1))+(IF(I237=0,0,(Upgrades!$M$10+I237*Upgrades!$N$10)*POWER(Upgrades!$O$10,I237)))*(IF(Upgrades!$T$6="Orbital Resonance",POWER(Upgrades!$U$6,E237),1)*IF(Upgrades!$T$7="Orbital Resonance",POWER(Upgrades!$U$7,F237),1)*IF(Upgrades!$T$8="Orbital Resonance",POWER(Upgrades!$U$8,G237),1)*IF(Upgrades!$T$9="Orbital Resonance",POWER(Upgrades!$U$9,H237),1)*IF(Upgrades!$T$11="Orbital Resonance",POWER(Upgrades!$U$11,J237),1)*IF(Upgrades!$T$12="Orbital Resonance",POWER(Upgrades!$U$12,K237),1))+(IF(J237=0,0,(Upgrades!$M$11+J237*Upgrades!$N$11)*POWER(Upgrades!$O$11,J237)))*(IF(Upgrades!$T$6="Heliopause",POWER(Upgrades!$U$6,E237),1)*IF(Upgrades!$T$7="Heliopause",POWER(Upgrades!$U$7,F237),1)*IF(Upgrades!$T$8="Heliopause",POWER(Upgrades!$U$8,G237),1)*IF(Upgrades!$T$9="Heliopause",POWER(Upgrades!$U$9,H237),1)*IF(Upgrades!$T$10="Heliopause",POWER(Upgrades!$U$10,I237),1)*IF(Upgrades!$T$12="Heliopause",POWER(Upgrades!$U$12,K237),1))+(IF(K237=0,0,(Upgrades!$M$12+K237*Upgrades!$N$12)*POWER(Upgrades!$O$12,K237)))*(IF(Upgrades!$T$6="First Photons",POWER(Upgrades!$U$6,E237),1)*IF(Upgrades!$T$7="First Photons",POWER(Upgrades!$U$7,F237),1)*IF(Upgrades!$T$8="First Photons",POWER(Upgrades!$U$8,G237),1)*IF(Upgrades!$T$9="First Photons",POWER(Upgrades!$U$9,H237),1)*IF(Upgrades!$T$10="First Photons",POWER(Upgrades!$U$10,I237),1)*IF(Upgrades!$T$11="First Photons",POWER(Upgrades!$U$11,J237),1)))*POWER(Upgrades!$R$6,E237)*POWER(Upgrades!$R$7,F237)*POWER(Upgrades!$R$8,G237)*POWER(Upgrades!$R$9,H237)*POWER(Upgrades!$R$10,I237)*POWER(Upgrades!$R$11,J237)*POWER(Upgrades!$R$12,K237)</f>
        <v>0</v>
      </c>
      <c r="P237" s="27" t="n">
        <f aca="false">IF(L237=1,0,M237*Parameters!$B$10/60*Parameters!$B$11*10)</f>
        <v>0</v>
      </c>
      <c r="Q237" s="27" t="n">
        <f aca="false">IF(L237=1,0,O237*M237*10)</f>
        <v>0</v>
      </c>
      <c r="R237" s="27" t="n">
        <f aca="false">IF(L237=1,0,N237*10)</f>
        <v>0</v>
      </c>
      <c r="S237" s="27" t="n">
        <f aca="false">P237+Q237+R237</f>
        <v>0</v>
      </c>
      <c r="T237" s="21" t="n">
        <f aca="false">C237+S237</f>
        <v>18.6730249835055</v>
      </c>
      <c r="U237" s="34" t="str">
        <f aca="false">AX237</f>
        <v/>
      </c>
      <c r="V237" s="21" t="n">
        <f aca="false">IF(U237="",0,IF(U237="transition",0,IF(U237="SW",AG237,IF(U237="AB",AH237,IF(U237="SC",AI237,IF(U237="Mag",AJ237,IF(U237="OR",AK237,IF(U237="HP",AL237,IF(U237="FP",AM237,0)))))))))</f>
        <v>0</v>
      </c>
      <c r="W237" s="27" t="n">
        <f aca="false">IF(U237="OR",Upgrades!$F$10,IF(U237="HP",Upgrades!$F$11,IF(U237="transition",-Parameters!$B$18,0)))</f>
        <v>0</v>
      </c>
      <c r="X237" s="21" t="n">
        <f aca="false">T237-V237</f>
        <v>18.6730249835055</v>
      </c>
      <c r="Y237" s="30" t="n">
        <f aca="false">M237*Parameters!$B$10/60*Parameters!$B$11+O237*M237+N237</f>
        <v>20.55</v>
      </c>
      <c r="Z237" s="35" t="str">
        <f aca="false">IF(U237="transition","→ Tier 2 (Stellar Neighborhood)",IF(U237="FP","First Photons — light begins, system quickens",IF(U237="HP","Heliopause acquired",IF(U237="OR","Orbital Resonance — passive multiplier active",IF(AND(AO237=1,L237=0,AN237&lt;&gt;1),"Cohesion ready (waiting on completionist upgrades)","")))))</f>
        <v/>
      </c>
      <c r="AA237" s="27" t="n">
        <f aca="false">(IF(E237=0,0,(Upgrades!$G$6+E237*Upgrades!$H$6)*POWER(Upgrades!$I$6,E237)))*(IF(Upgrades!$T$7="Solar Wind",POWER(Upgrades!$U$7,F237),1)*IF(Upgrades!$T$8="Solar Wind",POWER(Upgrades!$U$8,G237),1)*IF(Upgrades!$T$9="Solar Wind",POWER(Upgrades!$U$9,H237),1)*IF(Upgrades!$T$10="Solar Wind",POWER(Upgrades!$U$10,I237),1)*IF(Upgrades!$T$11="Solar Wind",POWER(Upgrades!$U$11,J237),1)*IF(Upgrades!$T$12="Solar Wind",POWER(Upgrades!$U$12,K237),1))*POWER(Upgrades!$P$6,E237)*POWER(Upgrades!$P$7,F237)*POWER(Upgrades!$P$8,G237)*POWER(Upgrades!$P$9,H237)*POWER(Upgrades!$P$10,I237)*POWER(Upgrades!$P$11,J237)*POWER(Upgrades!$P$12,K237)*60</f>
        <v>72</v>
      </c>
      <c r="AB237" s="27" t="n">
        <f aca="false">(IF(F237=0,0,(Upgrades!$G$7+F237*Upgrades!$H$7)*POWER(Upgrades!$I$7,F237)))*(IF(Upgrades!$T$6="Asteroid Belt",POWER(Upgrades!$U$6,E237),1)*IF(Upgrades!$T$8="Asteroid Belt",POWER(Upgrades!$U$8,G237),1)*IF(Upgrades!$T$9="Asteroid Belt",POWER(Upgrades!$U$9,H237),1)*IF(Upgrades!$T$10="Asteroid Belt",POWER(Upgrades!$U$10,I237),1)*IF(Upgrades!$T$11="Asteroid Belt",POWER(Upgrades!$U$11,J237),1)*IF(Upgrades!$T$12="Asteroid Belt",POWER(Upgrades!$U$12,K237),1))*POWER(Upgrades!$P$6,E237)*POWER(Upgrades!$P$7,F237)*POWER(Upgrades!$P$8,G237)*POWER(Upgrades!$P$9,H237)*POWER(Upgrades!$P$10,I237)*POWER(Upgrades!$P$11,J237)*POWER(Upgrades!$P$12,K237)*60</f>
        <v>150</v>
      </c>
      <c r="AC237" s="27" t="n">
        <f aca="false">(IF(G237=0,0,(Upgrades!$J$8+G237*Upgrades!$K$8)*POWER(Upgrades!$L$8,G237)))*(IF(Upgrades!$T$6="Stellar Coupling",POWER(Upgrades!$U$6,E237),1)*IF(Upgrades!$T$7="Stellar Coupling",POWER(Upgrades!$U$7,F237),1)*IF(Upgrades!$T$9="Stellar Coupling",POWER(Upgrades!$U$9,H237),1)*IF(Upgrades!$T$10="Stellar Coupling",POWER(Upgrades!$U$10,I237),1)*IF(Upgrades!$T$11="Stellar Coupling",POWER(Upgrades!$U$11,J237),1)*IF(Upgrades!$T$12="Stellar Coupling",POWER(Upgrades!$U$12,K237),1))*POWER(Upgrades!$Q$6,E237)*POWER(Upgrades!$Q$7,F237)*POWER(Upgrades!$Q$8,G237)*POWER(Upgrades!$Q$9,H237)*POWER(Upgrades!$Q$10,I237)*POWER(Upgrades!$Q$11,J237)*POWER(Upgrades!$Q$12,K237)*Parameters!$B$10*Parameters!$B$11</f>
        <v>441</v>
      </c>
      <c r="AD237" s="27" t="n">
        <f aca="false">(IF(H237=0,0,(Upgrades!$G$9+H237*Upgrades!$H$9)*POWER(Upgrades!$I$9,H237)))*(IF(Upgrades!$T$6="Magnetosphere",POWER(Upgrades!$U$6,E237),1)*IF(Upgrades!$T$7="Magnetosphere",POWER(Upgrades!$U$7,F237),1)*IF(Upgrades!$T$8="Magnetosphere",POWER(Upgrades!$U$8,G237),1)*IF(Upgrades!$T$10="Magnetosphere",POWER(Upgrades!$U$10,I237),1)*IF(Upgrades!$T$11="Magnetosphere",POWER(Upgrades!$U$11,J237),1)*IF(Upgrades!$T$12="Magnetosphere",POWER(Upgrades!$U$12,K237),1))*POWER(Upgrades!$P$6,E237)*POWER(Upgrades!$P$7,F237)*POWER(Upgrades!$P$8,G237)*POWER(Upgrades!$P$9,H237)*POWER(Upgrades!$P$10,I237)*POWER(Upgrades!$P$11,J237)*POWER(Upgrades!$P$12,K237)*60</f>
        <v>375</v>
      </c>
      <c r="AE237" s="27" t="n">
        <f aca="false">(IF(K237=0,0,(Upgrades!$G$12+K237*Upgrades!$H$12)*POWER(Upgrades!$I$12,K237)))*(IF(Upgrades!$T$6="First Photons",POWER(Upgrades!$U$6,E237),1)*IF(Upgrades!$T$7="First Photons",POWER(Upgrades!$U$7,F237),1)*IF(Upgrades!$T$8="First Photons",POWER(Upgrades!$U$8,G237),1)*IF(Upgrades!$T$9="First Photons",POWER(Upgrades!$U$9,H237),1)*IF(Upgrades!$T$10="First Photons",POWER(Upgrades!$U$10,I237),1)*IF(Upgrades!$T$11="First Photons",POWER(Upgrades!$U$11,J237),1))*POWER(Upgrades!$P$6,E237)*POWER(Upgrades!$P$7,F237)*POWER(Upgrades!$P$8,G237)*POWER(Upgrades!$P$9,H237)*POWER(Upgrades!$P$10,I237)*POWER(Upgrades!$P$11,J237)*POWER(Upgrades!$P$12,K237)*60</f>
        <v>75</v>
      </c>
      <c r="AF237" s="27" t="n">
        <f aca="false">Parameters!$B$9*POWER(Upgrades!$Q$6,E237)*POWER(Upgrades!$Q$7,F237)*POWER(Upgrades!$Q$8,G237)*POWER(Upgrades!$Q$9,H237)*POWER(Upgrades!$Q$10,I237)*POWER(Upgrades!$Q$11,J237)*POWER(Upgrades!$Q$12,K237)*(Parameters!$B$10*Parameters!$B$11+O237*60)</f>
        <v>120</v>
      </c>
      <c r="AG237" s="21" t="n">
        <f aca="false">IF(E237&gt;=Upgrades!$E$6,"",Upgrades!$C$6*POWER(Upgrades!$D$6,E237))</f>
        <v>37.4517507383159</v>
      </c>
      <c r="AH237" s="21" t="n">
        <f aca="false">IF(F237&gt;=Upgrades!$E$7,"",Upgrades!$C$7*POWER(Upgrades!$D$7,F237))</f>
        <v>80.9111547141581</v>
      </c>
      <c r="AI237" s="21" t="n">
        <f aca="false">IF(G237&gt;=Upgrades!$E$8,"",Upgrades!$C$8*POWER(Upgrades!$D$8,G237))</f>
        <v>231.9097088</v>
      </c>
      <c r="AJ237" s="21" t="str">
        <f aca="false">IF(H237&gt;=Upgrades!$E$9,"",Upgrades!$C$9*POWER(Upgrades!$D$9,H237))</f>
        <v/>
      </c>
      <c r="AK237" s="21" t="str">
        <f aca="false">IF(I237&gt;=Upgrades!$E$10,"",Upgrades!$C$10*POWER(Upgrades!$D$10,I237))</f>
        <v/>
      </c>
      <c r="AL237" s="21" t="str">
        <f aca="false">IF(J237&gt;=Upgrades!$E$11,"",Upgrades!$C$11*POWER(Upgrades!$D$11,J237))</f>
        <v/>
      </c>
      <c r="AM237" s="21" t="str">
        <f aca="false">IF(K237&gt;=Upgrades!$E$12,"",Upgrades!$C$12*POWER(Upgrades!$D$12,K237))</f>
        <v/>
      </c>
      <c r="AN237" s="26" t="str">
        <f aca="false">IF(AND(D237&gt;=Parameters!$B$18,(H237&gt;=Upgrades!$E$9)*(K237&gt;=Upgrades!$E$12)=1,L237=0),1,"")</f>
        <v/>
      </c>
      <c r="AO237" s="26" t="str">
        <f aca="false">IF(AND(D237&gt;=Parameters!$B$18,L237=0),1,"")</f>
        <v/>
      </c>
      <c r="AP237" s="21" t="n">
        <f aca="false">MIN(IF(ISNUMBER(AK237),AK237,9000000000000000),IF(ISNUMBER(AL237),AL237,9000000000000000),IF(ISNUMBER(AM237),AM237,9000000000000000))</f>
        <v>9000000000000000</v>
      </c>
      <c r="AQ237" s="21" t="n">
        <f aca="false">MIN(IF(ISNUMBER(AG237),AG237,9000000000000000),IF(ISNUMBER(AH237),AH237,9000000000000000),IF(ISNUMBER(AI237),AI237,9000000000000000),IF(ISNUMBER(AJ237),AJ237,9000000000000000))</f>
        <v>37.4517507383159</v>
      </c>
      <c r="AR237" s="32" t="b">
        <f aca="false">IF(AW237&gt;Parameters!$B$21*(MAX(IF(AND(NOT(AND(AO237=1,AN237&lt;&gt;1)),ISNUMBER(AG237),AG237&lt;=T237),AS237,0),IF(AND(NOT(AND(AO237=1,AN237&lt;&gt;1)),ISNUMBER(AH237),AH237&lt;=T237),AT237,0),IF(AND(NOT(AND(AO237=1,AN237&lt;&gt;1)),ISNUMBER(AI237),AI237&lt;=T237),AU237,0),IF(AND(ISNUMBER(AJ237),AJ237&lt;=T237),AV237,0))),TRUE(),FALSE())</f>
        <v>1</v>
      </c>
      <c r="AS237" s="33" t="n">
        <f aca="false">IFERROR(Upgrades!$H$6*(POWER(Upgrades!$P$6,E237)*POWER(Upgrades!$P$7,F237)*POWER(Upgrades!$P$8,G237)*POWER(Upgrades!$P$9,H237)*POWER(Upgrades!$P$10,I237)*POWER(Upgrades!$P$11,J237)*POWER(Upgrades!$P$12,K237))*(IF(Upgrades!$T$7="Solar Wind",POWER(Upgrades!$U$7,F237),1)*IF(Upgrades!$T$8="Solar Wind",POWER(Upgrades!$U$8,G237),1)*IF(Upgrades!$T$9="Solar Wind",POWER(Upgrades!$U$9,H237),1)*IF(Upgrades!$T$10="Solar Wind",POWER(Upgrades!$U$10,I237),1)*IF(Upgrades!$T$11="Solar Wind",POWER(Upgrades!$U$11,J237),1)*IF(Upgrades!$T$12="Solar Wind",POWER(Upgrades!$U$12,K237),1))/AG237,0)</f>
        <v>0.0026701021455238</v>
      </c>
      <c r="AT237" s="33" t="n">
        <f aca="false">IFERROR(Upgrades!$H$7*(POWER(Upgrades!$P$6,E237)*POWER(Upgrades!$P$7,F237)*POWER(Upgrades!$P$8,G237)*POWER(Upgrades!$P$9,H237)*POWER(Upgrades!$P$10,I237)*POWER(Upgrades!$P$11,J237)*POWER(Upgrades!$P$12,K237))*(IF(Upgrades!$T$6="Asteroid Belt",POWER(Upgrades!$U$6,E237),1)*IF(Upgrades!$T$8="Asteroid Belt",POWER(Upgrades!$U$8,G237),1)*IF(Upgrades!$T$9="Asteroid Belt",POWER(Upgrades!$U$9,H237),1)*IF(Upgrades!$T$10="Asteroid Belt",POWER(Upgrades!$U$10,I237),1)*IF(Upgrades!$T$11="Asteroid Belt",POWER(Upgrades!$U$11,J237),1)*IF(Upgrades!$T$12="Asteroid Belt",POWER(Upgrades!$U$12,K237),1))/AH237,0)</f>
        <v>0.00308980882652332</v>
      </c>
      <c r="AU237" s="33" t="n">
        <f aca="false">IFERROR(Upgrades!$K$8*(POWER(Upgrades!$Q$6,E237)*POWER(Upgrades!$Q$7,F237)*POWER(Upgrades!$Q$8,G237)*POWER(Upgrades!$Q$9,H237)*POWER(Upgrades!$Q$10,I237)*POWER(Upgrades!$Q$11,J237)*POWER(Upgrades!$Q$12,K237))*(IF(Upgrades!$T$6="Stellar Coupling",POWER(Upgrades!$U$6,E237),1)*IF(Upgrades!$T$7="Stellar Coupling",POWER(Upgrades!$U$7,F237),1)*IF(Upgrades!$T$9="Stellar Coupling",POWER(Upgrades!$U$9,H237),1)*IF(Upgrades!$T$10="Stellar Coupling",POWER(Upgrades!$U$10,I237),1)*IF(Upgrades!$T$11="Stellar Coupling",POWER(Upgrades!$U$11,J237),1)*IF(Upgrades!$T$12="Stellar Coupling",POWER(Upgrades!$U$12,K237),1))*Parameters!$B$10*Parameters!$B$11/60/AI237,0)</f>
        <v>0.00452762415783776</v>
      </c>
      <c r="AV237" s="33" t="n">
        <f aca="false">IFERROR(Upgrades!$H$9*(POWER(Upgrades!$P$6,E237)*POWER(Upgrades!$P$7,F237)*POWER(Upgrades!$P$8,G237)*POWER(Upgrades!$P$9,H237)*POWER(Upgrades!$P$10,I237)*POWER(Upgrades!$P$11,J237)*POWER(Upgrades!$P$12,K237))*(IF(Upgrades!$T$6="Magnetosphere",POWER(Upgrades!$U$6,E237),1)*IF(Upgrades!$T$7="Magnetosphere",POWER(Upgrades!$U$7,F237),1)*IF(Upgrades!$T$8="Magnetosphere",POWER(Upgrades!$U$8,G237),1)*IF(Upgrades!$T$10="Magnetosphere",POWER(Upgrades!$U$10,I237),1)*IF(Upgrades!$T$11="Magnetosphere",POWER(Upgrades!$U$11,J237),1)*IF(Upgrades!$T$12="Magnetosphere",POWER(Upgrades!$U$12,K237),1))/AJ237,0)</f>
        <v>0</v>
      </c>
      <c r="AW237" s="33" t="n">
        <f aca="false">MAX(IF(I237&gt;0,0,IFERROR(0.25*N237/Upgrades!$C$10,0)),IF(J237&gt;0,0,IFERROR(0.5*((IF(G237=0,0,(Upgrades!$J$8+G237*Upgrades!$K$8)*POWER(Upgrades!$L$8,G237)))*(IF(Upgrades!$T$6="Stellar Coupling",POWER(Upgrades!$U$6,E237),1)*IF(Upgrades!$T$7="Stellar Coupling",POWER(Upgrades!$U$7,F237),1)*IF(Upgrades!$T$9="Stellar Coupling",POWER(Upgrades!$U$9,H237),1)*IF(Upgrades!$T$10="Stellar Coupling",POWER(Upgrades!$U$10,I237),1)*IF(Upgrades!$T$11="Stellar Coupling",POWER(Upgrades!$U$11,J237),1)*IF(Upgrades!$T$12="Stellar Coupling",POWER(Upgrades!$U$12,K237),1))*(POWER(Upgrades!$Q$6,E237)*POWER(Upgrades!$Q$7,F237)*POWER(Upgrades!$Q$8,G237)*POWER(Upgrades!$Q$9,H237)*POWER(Upgrades!$Q$10,I237)*POWER(Upgrades!$Q$11,J237)*POWER(Upgrades!$Q$12,K237))*Parameters!$B$10*Parameters!$B$11/60)/Upgrades!$C$11,0)),IF(K237&gt;0,0,IFERROR((1*(POWER(Upgrades!$P$6,E237)*POWER(Upgrades!$P$7,F237)*POWER(Upgrades!$P$8,G237)*POWER(Upgrades!$P$9,H237)*POWER(Upgrades!$P$10,I237)*POWER(Upgrades!$P$11,J237)*POWER(Upgrades!$P$12,K237))+0.2*M237*Parameters!$B$10*Parameters!$B$11/60)/Upgrades!$C$12,0)),IF(AND(ISNUMBER(AG237),AG237&gt;T237),AS237,0),IF(AND(ISNUMBER(AH237),AH237&gt;T237),AT237,0),IF(AND(ISNUMBER(AI237),AI237&gt;T237),AU237,0),IF(AND(ISNUMBER(AJ237),AJ237&gt;T237),AV237,0))</f>
        <v>0.00452762415783776</v>
      </c>
      <c r="AX237" s="29" t="str">
        <f aca="false">IF(AN237=1,"transition",IF(MIN(IF(AND(I237=0,ISNUMBER(AK237),AK237&lt;=T237),AK237,9000000000000000),IF(AND(J237=0,ISNUMBER(AL237),AL237&lt;=T237),AL237,9000000000000000),IF(AND(K237=0,ISNUMBER(AM237),AM237&lt;=T237),AM237,9000000000000000))&lt;9000000000000000,IF(AND(AND(I237=0,ISNUMBER(AK237),AK237&lt;=T237),AK237=MIN(IF(AND(I237=0,ISNUMBER(AK237),AK237&lt;=T237),AK237,9000000000000000),IF(AND(J237=0,ISNUMBER(AL237),AL237&lt;=T237),AL237,9000000000000000),IF(AND(K237=0,ISNUMBER(AM237),AM237&lt;=T237),AM237,9000000000000000))),"OR",IF(AND(AND(J237=0,ISNUMBER(AL237),AL237&lt;=T237),AL237=MIN(IF(AND(I237=0,ISNUMBER(AK237),AK237&lt;=T237),AK237,9000000000000000),IF(AND(J237=0,ISNUMBER(AL237),AL237&lt;=T237),AL237,9000000000000000),IF(AND(K237=0,ISNUMBER(AM237),AM237&lt;=T237),AM237,9000000000000000))),"HP","FP")),IF(AR237=TRUE(),"",IF(MAX(IF(AND(NOT(AND(AO237=1,AN237&lt;&gt;1)),ISNUMBER(AG237),AG237&lt;=T237),AS237,0),IF(AND(NOT(AND(AO237=1,AN237&lt;&gt;1)),ISNUMBER(AH237),AH237&lt;=T237),AT237,0),IF(AND(NOT(AND(AO237=1,AN237&lt;&gt;1)),ISNUMBER(AI237),AI237&lt;=T237),AU237,0),IF(AND(ISNUMBER(AJ237),AJ237&lt;=T237),AV237,0))&lt;=0,"",IF(AND(IF(AND(NOT(AND(AO237=1,AN237&lt;&gt;1)),ISNUMBER(AG237),AG237&lt;=T237),AS237,0)&gt;0,IF(AND(NOT(AND(AO237=1,AN237&lt;&gt;1)),ISNUMBER(AG237),AG237&lt;=T237),AS237,0)=MAX(IF(AND(NOT(AND(AO237=1,AN237&lt;&gt;1)),ISNUMBER(AG237),AG237&lt;=T237),AS237,0),IF(AND(NOT(AND(AO237=1,AN237&lt;&gt;1)),ISNUMBER(AH237),AH237&lt;=T237),AT237,0),IF(AND(NOT(AND(AO237=1,AN237&lt;&gt;1)),ISNUMBER(AI237),AI237&lt;=T237),AU237,0),IF(AND(ISNUMBER(AJ237),AJ237&lt;=T237),AV237,0))),"SW",IF(AND(IF(AND(NOT(AND(AO237=1,AN237&lt;&gt;1)),ISNUMBER(AH237),AH237&lt;=T237),AT237,0)&gt;0,IF(AND(NOT(AND(AO237=1,AN237&lt;&gt;1)),ISNUMBER(AH237),AH237&lt;=T237),AT237,0)=MAX(IF(AND(NOT(AND(AO237=1,AN237&lt;&gt;1)),ISNUMBER(AG237),AG237&lt;=T237),AS237,0),IF(AND(NOT(AND(AO237=1,AN237&lt;&gt;1)),ISNUMBER(AH237),AH237&lt;=T237),AT237,0),IF(AND(NOT(AND(AO237=1,AN237&lt;&gt;1)),ISNUMBER(AI237),AI237&lt;=T237),AU237,0),IF(AND(ISNUMBER(AJ237),AJ237&lt;=T237),AV237,0))),"AB",IF(AND(IF(AND(NOT(AND(AO237=1,AN237&lt;&gt;1)),ISNUMBER(AI237),AI237&lt;=T237),AU237,0)&gt;0,IF(AND(NOT(AND(AO237=1,AN237&lt;&gt;1)),ISNUMBER(AI237),AI237&lt;=T237),AU237,0)=MAX(IF(AND(NOT(AND(AO237=1,AN237&lt;&gt;1)),ISNUMBER(AG237),AG237&lt;=T237),AS237,0),IF(AND(NOT(AND(AO237=1,AN237&lt;&gt;1)),ISNUMBER(AH237),AH237&lt;=T237),AT237,0),IF(AND(NOT(AND(AO237=1,AN237&lt;&gt;1)),ISNUMBER(AI237),AI237&lt;=T237),AU237,0),IF(AND(ISNUMBER(AJ237),AJ237&lt;=T237),AV237,0))),"SC","Mag")))))))</f>
        <v/>
      </c>
    </row>
    <row r="238" customFormat="false" ht="15" hidden="false" customHeight="false" outlineLevel="0" collapsed="false">
      <c r="A238" s="26" t="n">
        <v>233</v>
      </c>
      <c r="B238" s="27" t="n">
        <f aca="false">A238*10/60</f>
        <v>38.8333333333333</v>
      </c>
      <c r="C238" s="21" t="n">
        <f aca="false">X237</f>
        <v>18.6730249835055</v>
      </c>
      <c r="D238" s="27" t="n">
        <f aca="false">D237+W237</f>
        <v>0</v>
      </c>
      <c r="E238" s="26" t="n">
        <f aca="false">E237+IF(U237="SW",1,0)</f>
        <v>12</v>
      </c>
      <c r="F238" s="26" t="n">
        <f aca="false">F237+IF(U237="AB",1,0)</f>
        <v>10</v>
      </c>
      <c r="G238" s="26" t="n">
        <f aca="false">G237+IF(U237="SC",1,0)</f>
        <v>7</v>
      </c>
      <c r="H238" s="26" t="n">
        <f aca="false">H237+IF(U237="Mag",1,0)</f>
        <v>5</v>
      </c>
      <c r="I238" s="26" t="n">
        <f aca="false">MAX(I237,IF(U237="OR",1,0))</f>
        <v>1</v>
      </c>
      <c r="J238" s="26" t="n">
        <f aca="false">MAX(J237,IF(U237="HP",1,0))</f>
        <v>1</v>
      </c>
      <c r="K238" s="26" t="n">
        <f aca="false">MAX(K237,IF(U237="FP",1,0))</f>
        <v>1</v>
      </c>
      <c r="L238" s="26" t="n">
        <f aca="false">MAX(L237,IF(U237="transition",1,0))</f>
        <v>1</v>
      </c>
      <c r="M238" s="28" t="n">
        <f aca="false">(Parameters!$B$9+(IF(E238=0,0,(Upgrades!$J$6+E238*Upgrades!$K$6)*POWER(Upgrades!$L$6,E238)))*(IF(Upgrades!$T$7="Solar Wind",POWER(Upgrades!$U$7,F238),1)*IF(Upgrades!$T$8="Solar Wind",POWER(Upgrades!$U$8,G238),1)*IF(Upgrades!$T$9="Solar Wind",POWER(Upgrades!$U$9,H238),1)*IF(Upgrades!$T$10="Solar Wind",POWER(Upgrades!$U$10,I238),1)*IF(Upgrades!$T$11="Solar Wind",POWER(Upgrades!$U$11,J238),1)*IF(Upgrades!$T$12="Solar Wind",POWER(Upgrades!$U$12,K238),1))+(IF(F238=0,0,(Upgrades!$J$7+F238*Upgrades!$K$7)*POWER(Upgrades!$L$7,F238)))*(IF(Upgrades!$T$6="Asteroid Belt",POWER(Upgrades!$U$6,E238),1)*IF(Upgrades!$T$8="Asteroid Belt",POWER(Upgrades!$U$8,G238),1)*IF(Upgrades!$T$9="Asteroid Belt",POWER(Upgrades!$U$9,H238),1)*IF(Upgrades!$T$10="Asteroid Belt",POWER(Upgrades!$U$10,I238),1)*IF(Upgrades!$T$11="Asteroid Belt",POWER(Upgrades!$U$11,J238),1)*IF(Upgrades!$T$12="Asteroid Belt",POWER(Upgrades!$U$12,K238),1))+(IF(G238=0,0,(Upgrades!$J$8+G238*Upgrades!$K$8)*POWER(Upgrades!$L$8,G238)))*(IF(Upgrades!$T$6="Stellar Coupling",POWER(Upgrades!$U$6,E238),1)*IF(Upgrades!$T$7="Stellar Coupling",POWER(Upgrades!$U$7,F238),1)*IF(Upgrades!$T$9="Stellar Coupling",POWER(Upgrades!$U$9,H238),1)*IF(Upgrades!$T$10="Stellar Coupling",POWER(Upgrades!$U$10,I238),1)*IF(Upgrades!$T$11="Stellar Coupling",POWER(Upgrades!$U$11,J238),1)*IF(Upgrades!$T$12="Stellar Coupling",POWER(Upgrades!$U$12,K238),1))+(IF(H238=0,0,(Upgrades!$J$9+H238*Upgrades!$K$9)*POWER(Upgrades!$L$9,H238)))*(IF(Upgrades!$T$6="Magnetosphere",POWER(Upgrades!$U$6,E238),1)*IF(Upgrades!$T$7="Magnetosphere",POWER(Upgrades!$U$7,F238),1)*IF(Upgrades!$T$8="Magnetosphere",POWER(Upgrades!$U$8,G238),1)*IF(Upgrades!$T$10="Magnetosphere",POWER(Upgrades!$U$10,I238),1)*IF(Upgrades!$T$11="Magnetosphere",POWER(Upgrades!$U$11,J238),1)*IF(Upgrades!$T$12="Magnetosphere",POWER(Upgrades!$U$12,K238),1))+(IF(I238=0,0,(Upgrades!$J$10+I238*Upgrades!$K$10)*POWER(Upgrades!$L$10,I238)))*(IF(Upgrades!$T$6="Orbital Resonance",POWER(Upgrades!$U$6,E238),1)*IF(Upgrades!$T$7="Orbital Resonance",POWER(Upgrades!$U$7,F238),1)*IF(Upgrades!$T$8="Orbital Resonance",POWER(Upgrades!$U$8,G238),1)*IF(Upgrades!$T$9="Orbital Resonance",POWER(Upgrades!$U$9,H238),1)*IF(Upgrades!$T$11="Orbital Resonance",POWER(Upgrades!$U$11,J238),1)*IF(Upgrades!$T$12="Orbital Resonance",POWER(Upgrades!$U$12,K238),1))+(IF(J238=0,0,(Upgrades!$J$11+J238*Upgrades!$K$11)*POWER(Upgrades!$L$11,J238)))*(IF(Upgrades!$T$6="Heliopause",POWER(Upgrades!$U$6,E238),1)*IF(Upgrades!$T$7="Heliopause",POWER(Upgrades!$U$7,F238),1)*IF(Upgrades!$T$8="Heliopause",POWER(Upgrades!$U$8,G238),1)*IF(Upgrades!$T$9="Heliopause",POWER(Upgrades!$U$9,H238),1)*IF(Upgrades!$T$10="Heliopause",POWER(Upgrades!$U$10,I238),1)*IF(Upgrades!$T$12="Heliopause",POWER(Upgrades!$U$12,K238),1))+(IF(K238=0,0,(Upgrades!$J$12+K238*Upgrades!$K$12)*POWER(Upgrades!$L$12,K238)))*(IF(Upgrades!$T$6="First Photons",POWER(Upgrades!$U$6,E238),1)*IF(Upgrades!$T$7="First Photons",POWER(Upgrades!$U$7,F238),1)*IF(Upgrades!$T$8="First Photons",POWER(Upgrades!$U$8,G238),1)*IF(Upgrades!$T$9="First Photons",POWER(Upgrades!$U$9,H238),1)*IF(Upgrades!$T$10="First Photons",POWER(Upgrades!$U$10,I238),1)*IF(Upgrades!$T$11="First Photons",POWER(Upgrades!$U$11,J238),1)))*POWER(Upgrades!$Q$6,E238)*POWER(Upgrades!$Q$7,F238)*POWER(Upgrades!$Q$8,G238)*POWER(Upgrades!$Q$9,H238)*POWER(Upgrades!$Q$10,I238)*POWER(Upgrades!$Q$11,J238)*POWER(Upgrades!$Q$12,K238)</f>
        <v>5.61</v>
      </c>
      <c r="N238" s="28" t="n">
        <f aca="false">((IF(E238=0,0,(Upgrades!$G$6+E238*Upgrades!$H$6)*POWER(Upgrades!$I$6,E238)))*(IF(Upgrades!$T$7="Solar Wind",POWER(Upgrades!$U$7,F238),1)*IF(Upgrades!$T$8="Solar Wind",POWER(Upgrades!$U$8,G238),1)*IF(Upgrades!$T$9="Solar Wind",POWER(Upgrades!$U$9,H238),1)*IF(Upgrades!$T$10="Solar Wind",POWER(Upgrades!$U$10,I238),1)*IF(Upgrades!$T$11="Solar Wind",POWER(Upgrades!$U$11,J238),1)*IF(Upgrades!$T$12="Solar Wind",POWER(Upgrades!$U$12,K238),1))+(IF(F238=0,0,(Upgrades!$G$7+F238*Upgrades!$H$7)*POWER(Upgrades!$I$7,F238)))*(IF(Upgrades!$T$6="Asteroid Belt",POWER(Upgrades!$U$6,E238),1)*IF(Upgrades!$T$8="Asteroid Belt",POWER(Upgrades!$U$8,G238),1)*IF(Upgrades!$T$9="Asteroid Belt",POWER(Upgrades!$U$9,H238),1)*IF(Upgrades!$T$10="Asteroid Belt",POWER(Upgrades!$U$10,I238),1)*IF(Upgrades!$T$11="Asteroid Belt",POWER(Upgrades!$U$11,J238),1)*IF(Upgrades!$T$12="Asteroid Belt",POWER(Upgrades!$U$12,K238),1))+(IF(G238=0,0,(Upgrades!$G$8+G238*Upgrades!$H$8)*POWER(Upgrades!$I$8,G238)))*(IF(Upgrades!$T$6="Stellar Coupling",POWER(Upgrades!$U$6,E238),1)*IF(Upgrades!$T$7="Stellar Coupling",POWER(Upgrades!$U$7,F238),1)*IF(Upgrades!$T$9="Stellar Coupling",POWER(Upgrades!$U$9,H238),1)*IF(Upgrades!$T$10="Stellar Coupling",POWER(Upgrades!$U$10,I238),1)*IF(Upgrades!$T$11="Stellar Coupling",POWER(Upgrades!$U$11,J238),1)*IF(Upgrades!$T$12="Stellar Coupling",POWER(Upgrades!$U$12,K238),1))+(IF(H238=0,0,(Upgrades!$G$9+H238*Upgrades!$H$9)*POWER(Upgrades!$I$9,H238)))*(IF(Upgrades!$T$6="Magnetosphere",POWER(Upgrades!$U$6,E238),1)*IF(Upgrades!$T$7="Magnetosphere",POWER(Upgrades!$U$7,F238),1)*IF(Upgrades!$T$8="Magnetosphere",POWER(Upgrades!$U$8,G238),1)*IF(Upgrades!$T$10="Magnetosphere",POWER(Upgrades!$U$10,I238),1)*IF(Upgrades!$T$11="Magnetosphere",POWER(Upgrades!$U$11,J238),1)*IF(Upgrades!$T$12="Magnetosphere",POWER(Upgrades!$U$12,K238),1))+(IF(I238=0,0,(Upgrades!$G$10+I238*Upgrades!$H$10)*POWER(Upgrades!$I$10,I238)))*(IF(Upgrades!$T$6="Orbital Resonance",POWER(Upgrades!$U$6,E238),1)*IF(Upgrades!$T$7="Orbital Resonance",POWER(Upgrades!$U$7,F238),1)*IF(Upgrades!$T$8="Orbital Resonance",POWER(Upgrades!$U$8,G238),1)*IF(Upgrades!$T$9="Orbital Resonance",POWER(Upgrades!$U$9,H238),1)*IF(Upgrades!$T$11="Orbital Resonance",POWER(Upgrades!$U$11,J238),1)*IF(Upgrades!$T$12="Orbital Resonance",POWER(Upgrades!$U$12,K238),1))+(IF(J238=0,0,(Upgrades!$G$11+J238*Upgrades!$H$11)*POWER(Upgrades!$I$11,J238)))*(IF(Upgrades!$T$6="Heliopause",POWER(Upgrades!$U$6,E238),1)*IF(Upgrades!$T$7="Heliopause",POWER(Upgrades!$U$7,F238),1)*IF(Upgrades!$T$8="Heliopause",POWER(Upgrades!$U$8,G238),1)*IF(Upgrades!$T$9="Heliopause",POWER(Upgrades!$U$9,H238),1)*IF(Upgrades!$T$10="Heliopause",POWER(Upgrades!$U$10,I238),1)*IF(Upgrades!$T$12="Heliopause",POWER(Upgrades!$U$12,K238),1))+(IF(K238=0,0,(Upgrades!$G$12+K238*Upgrades!$H$12)*POWER(Upgrades!$I$12,K238)))*(IF(Upgrades!$T$6="First Photons",POWER(Upgrades!$U$6,E238),1)*IF(Upgrades!$T$7="First Photons",POWER(Upgrades!$U$7,F238),1)*IF(Upgrades!$T$8="First Photons",POWER(Upgrades!$U$8,G238),1)*IF(Upgrades!$T$9="First Photons",POWER(Upgrades!$U$9,H238),1)*IF(Upgrades!$T$10="First Photons",POWER(Upgrades!$U$10,I238),1)*IF(Upgrades!$T$11="First Photons",POWER(Upgrades!$U$11,J238),1)))*POWER(Upgrades!$P$6,E238)*POWER(Upgrades!$P$7,F238)*POWER(Upgrades!$P$8,G238)*POWER(Upgrades!$P$9,H238)*POWER(Upgrades!$P$10,I238)*POWER(Upgrades!$P$11,J238)*POWER(Upgrades!$P$12,K238)</f>
        <v>11.2</v>
      </c>
      <c r="O238" s="28" t="n">
        <f aca="false">((IF(E238=0,0,(Upgrades!$M$6+E238*Upgrades!$N$6)*POWER(Upgrades!$O$6,E238)))*(IF(Upgrades!$T$7="Solar Wind",POWER(Upgrades!$U$7,F238),1)*IF(Upgrades!$T$8="Solar Wind",POWER(Upgrades!$U$8,G238),1)*IF(Upgrades!$T$9="Solar Wind",POWER(Upgrades!$U$9,H238),1)*IF(Upgrades!$T$10="Solar Wind",POWER(Upgrades!$U$10,I238),1)*IF(Upgrades!$T$11="Solar Wind",POWER(Upgrades!$U$11,J238),1)*IF(Upgrades!$T$12="Solar Wind",POWER(Upgrades!$U$12,K238),1))+(IF(F238=0,0,(Upgrades!$M$7+F238*Upgrades!$N$7)*POWER(Upgrades!$O$7,F238)))*(IF(Upgrades!$T$6="Asteroid Belt",POWER(Upgrades!$U$6,E238),1)*IF(Upgrades!$T$8="Asteroid Belt",POWER(Upgrades!$U$8,G238),1)*IF(Upgrades!$T$9="Asteroid Belt",POWER(Upgrades!$U$9,H238),1)*IF(Upgrades!$T$10="Asteroid Belt",POWER(Upgrades!$U$10,I238),1)*IF(Upgrades!$T$11="Asteroid Belt",POWER(Upgrades!$U$11,J238),1)*IF(Upgrades!$T$12="Asteroid Belt",POWER(Upgrades!$U$12,K238),1))+(IF(G238=0,0,(Upgrades!$M$8+G238*Upgrades!$N$8)*POWER(Upgrades!$O$8,G238)))*(IF(Upgrades!$T$6="Stellar Coupling",POWER(Upgrades!$U$6,E238),1)*IF(Upgrades!$T$7="Stellar Coupling",POWER(Upgrades!$U$7,F238),1)*IF(Upgrades!$T$9="Stellar Coupling",POWER(Upgrades!$U$9,H238),1)*IF(Upgrades!$T$10="Stellar Coupling",POWER(Upgrades!$U$10,I238),1)*IF(Upgrades!$T$11="Stellar Coupling",POWER(Upgrades!$U$11,J238),1)*IF(Upgrades!$T$12="Stellar Coupling",POWER(Upgrades!$U$12,K238),1))+(IF(H238=0,0,(Upgrades!$M$9+H238*Upgrades!$N$9)*POWER(Upgrades!$O$9,H238)))*(IF(Upgrades!$T$6="Magnetosphere",POWER(Upgrades!$U$6,E238),1)*IF(Upgrades!$T$7="Magnetosphere",POWER(Upgrades!$U$7,F238),1)*IF(Upgrades!$T$8="Magnetosphere",POWER(Upgrades!$U$8,G238),1)*IF(Upgrades!$T$10="Magnetosphere",POWER(Upgrades!$U$10,I238),1)*IF(Upgrades!$T$11="Magnetosphere",POWER(Upgrades!$U$11,J238),1)*IF(Upgrades!$T$12="Magnetosphere",POWER(Upgrades!$U$12,K238),1))+(IF(I238=0,0,(Upgrades!$M$10+I238*Upgrades!$N$10)*POWER(Upgrades!$O$10,I238)))*(IF(Upgrades!$T$6="Orbital Resonance",POWER(Upgrades!$U$6,E238),1)*IF(Upgrades!$T$7="Orbital Resonance",POWER(Upgrades!$U$7,F238),1)*IF(Upgrades!$T$8="Orbital Resonance",POWER(Upgrades!$U$8,G238),1)*IF(Upgrades!$T$9="Orbital Resonance",POWER(Upgrades!$U$9,H238),1)*IF(Upgrades!$T$11="Orbital Resonance",POWER(Upgrades!$U$11,J238),1)*IF(Upgrades!$T$12="Orbital Resonance",POWER(Upgrades!$U$12,K238),1))+(IF(J238=0,0,(Upgrades!$M$11+J238*Upgrades!$N$11)*POWER(Upgrades!$O$11,J238)))*(IF(Upgrades!$T$6="Heliopause",POWER(Upgrades!$U$6,E238),1)*IF(Upgrades!$T$7="Heliopause",POWER(Upgrades!$U$7,F238),1)*IF(Upgrades!$T$8="Heliopause",POWER(Upgrades!$U$8,G238),1)*IF(Upgrades!$T$9="Heliopause",POWER(Upgrades!$U$9,H238),1)*IF(Upgrades!$T$10="Heliopause",POWER(Upgrades!$U$10,I238),1)*IF(Upgrades!$T$12="Heliopause",POWER(Upgrades!$U$12,K238),1))+(IF(K238=0,0,(Upgrades!$M$12+K238*Upgrades!$N$12)*POWER(Upgrades!$O$12,K238)))*(IF(Upgrades!$T$6="First Photons",POWER(Upgrades!$U$6,E238),1)*IF(Upgrades!$T$7="First Photons",POWER(Upgrades!$U$7,F238),1)*IF(Upgrades!$T$8="First Photons",POWER(Upgrades!$U$8,G238),1)*IF(Upgrades!$T$9="First Photons",POWER(Upgrades!$U$9,H238),1)*IF(Upgrades!$T$10="First Photons",POWER(Upgrades!$U$10,I238),1)*IF(Upgrades!$T$11="First Photons",POWER(Upgrades!$U$11,J238),1)))*POWER(Upgrades!$R$6,E238)*POWER(Upgrades!$R$7,F238)*POWER(Upgrades!$R$8,G238)*POWER(Upgrades!$R$9,H238)*POWER(Upgrades!$R$10,I238)*POWER(Upgrades!$R$11,J238)*POWER(Upgrades!$R$12,K238)</f>
        <v>0</v>
      </c>
      <c r="P238" s="27" t="n">
        <f aca="false">IF(L238=1,0,M238*Parameters!$B$10/60*Parameters!$B$11*10)</f>
        <v>0</v>
      </c>
      <c r="Q238" s="27" t="n">
        <f aca="false">IF(L238=1,0,O238*M238*10)</f>
        <v>0</v>
      </c>
      <c r="R238" s="27" t="n">
        <f aca="false">IF(L238=1,0,N238*10)</f>
        <v>0</v>
      </c>
      <c r="S238" s="27" t="n">
        <f aca="false">P238+Q238+R238</f>
        <v>0</v>
      </c>
      <c r="T238" s="21" t="n">
        <f aca="false">C238+S238</f>
        <v>18.6730249835055</v>
      </c>
      <c r="U238" s="34" t="str">
        <f aca="false">AX238</f>
        <v/>
      </c>
      <c r="V238" s="21" t="n">
        <f aca="false">IF(U238="",0,IF(U238="transition",0,IF(U238="SW",AG238,IF(U238="AB",AH238,IF(U238="SC",AI238,IF(U238="Mag",AJ238,IF(U238="OR",AK238,IF(U238="HP",AL238,IF(U238="FP",AM238,0)))))))))</f>
        <v>0</v>
      </c>
      <c r="W238" s="27" t="n">
        <f aca="false">IF(U238="OR",Upgrades!$F$10,IF(U238="HP",Upgrades!$F$11,IF(U238="transition",-Parameters!$B$18,0)))</f>
        <v>0</v>
      </c>
      <c r="X238" s="21" t="n">
        <f aca="false">T238-V238</f>
        <v>18.6730249835055</v>
      </c>
      <c r="Y238" s="30" t="n">
        <f aca="false">M238*Parameters!$B$10/60*Parameters!$B$11+O238*M238+N238</f>
        <v>20.55</v>
      </c>
      <c r="Z238" s="35" t="str">
        <f aca="false">IF(U238="transition","→ Tier 2 (Stellar Neighborhood)",IF(U238="FP","First Photons — light begins, system quickens",IF(U238="HP","Heliopause acquired",IF(U238="OR","Orbital Resonance — passive multiplier active",IF(AND(AO238=1,L238=0,AN238&lt;&gt;1),"Cohesion ready (waiting on completionist upgrades)","")))))</f>
        <v/>
      </c>
      <c r="AA238" s="27" t="n">
        <f aca="false">(IF(E238=0,0,(Upgrades!$G$6+E238*Upgrades!$H$6)*POWER(Upgrades!$I$6,E238)))*(IF(Upgrades!$T$7="Solar Wind",POWER(Upgrades!$U$7,F238),1)*IF(Upgrades!$T$8="Solar Wind",POWER(Upgrades!$U$8,G238),1)*IF(Upgrades!$T$9="Solar Wind",POWER(Upgrades!$U$9,H238),1)*IF(Upgrades!$T$10="Solar Wind",POWER(Upgrades!$U$10,I238),1)*IF(Upgrades!$T$11="Solar Wind",POWER(Upgrades!$U$11,J238),1)*IF(Upgrades!$T$12="Solar Wind",POWER(Upgrades!$U$12,K238),1))*POWER(Upgrades!$P$6,E238)*POWER(Upgrades!$P$7,F238)*POWER(Upgrades!$P$8,G238)*POWER(Upgrades!$P$9,H238)*POWER(Upgrades!$P$10,I238)*POWER(Upgrades!$P$11,J238)*POWER(Upgrades!$P$12,K238)*60</f>
        <v>72</v>
      </c>
      <c r="AB238" s="27" t="n">
        <f aca="false">(IF(F238=0,0,(Upgrades!$G$7+F238*Upgrades!$H$7)*POWER(Upgrades!$I$7,F238)))*(IF(Upgrades!$T$6="Asteroid Belt",POWER(Upgrades!$U$6,E238),1)*IF(Upgrades!$T$8="Asteroid Belt",POWER(Upgrades!$U$8,G238),1)*IF(Upgrades!$T$9="Asteroid Belt",POWER(Upgrades!$U$9,H238),1)*IF(Upgrades!$T$10="Asteroid Belt",POWER(Upgrades!$U$10,I238),1)*IF(Upgrades!$T$11="Asteroid Belt",POWER(Upgrades!$U$11,J238),1)*IF(Upgrades!$T$12="Asteroid Belt",POWER(Upgrades!$U$12,K238),1))*POWER(Upgrades!$P$6,E238)*POWER(Upgrades!$P$7,F238)*POWER(Upgrades!$P$8,G238)*POWER(Upgrades!$P$9,H238)*POWER(Upgrades!$P$10,I238)*POWER(Upgrades!$P$11,J238)*POWER(Upgrades!$P$12,K238)*60</f>
        <v>150</v>
      </c>
      <c r="AC238" s="27" t="n">
        <f aca="false">(IF(G238=0,0,(Upgrades!$J$8+G238*Upgrades!$K$8)*POWER(Upgrades!$L$8,G238)))*(IF(Upgrades!$T$6="Stellar Coupling",POWER(Upgrades!$U$6,E238),1)*IF(Upgrades!$T$7="Stellar Coupling",POWER(Upgrades!$U$7,F238),1)*IF(Upgrades!$T$9="Stellar Coupling",POWER(Upgrades!$U$9,H238),1)*IF(Upgrades!$T$10="Stellar Coupling",POWER(Upgrades!$U$10,I238),1)*IF(Upgrades!$T$11="Stellar Coupling",POWER(Upgrades!$U$11,J238),1)*IF(Upgrades!$T$12="Stellar Coupling",POWER(Upgrades!$U$12,K238),1))*POWER(Upgrades!$Q$6,E238)*POWER(Upgrades!$Q$7,F238)*POWER(Upgrades!$Q$8,G238)*POWER(Upgrades!$Q$9,H238)*POWER(Upgrades!$Q$10,I238)*POWER(Upgrades!$Q$11,J238)*POWER(Upgrades!$Q$12,K238)*Parameters!$B$10*Parameters!$B$11</f>
        <v>441</v>
      </c>
      <c r="AD238" s="27" t="n">
        <f aca="false">(IF(H238=0,0,(Upgrades!$G$9+H238*Upgrades!$H$9)*POWER(Upgrades!$I$9,H238)))*(IF(Upgrades!$T$6="Magnetosphere",POWER(Upgrades!$U$6,E238),1)*IF(Upgrades!$T$7="Magnetosphere",POWER(Upgrades!$U$7,F238),1)*IF(Upgrades!$T$8="Magnetosphere",POWER(Upgrades!$U$8,G238),1)*IF(Upgrades!$T$10="Magnetosphere",POWER(Upgrades!$U$10,I238),1)*IF(Upgrades!$T$11="Magnetosphere",POWER(Upgrades!$U$11,J238),1)*IF(Upgrades!$T$12="Magnetosphere",POWER(Upgrades!$U$12,K238),1))*POWER(Upgrades!$P$6,E238)*POWER(Upgrades!$P$7,F238)*POWER(Upgrades!$P$8,G238)*POWER(Upgrades!$P$9,H238)*POWER(Upgrades!$P$10,I238)*POWER(Upgrades!$P$11,J238)*POWER(Upgrades!$P$12,K238)*60</f>
        <v>375</v>
      </c>
      <c r="AE238" s="27" t="n">
        <f aca="false">(IF(K238=0,0,(Upgrades!$G$12+K238*Upgrades!$H$12)*POWER(Upgrades!$I$12,K238)))*(IF(Upgrades!$T$6="First Photons",POWER(Upgrades!$U$6,E238),1)*IF(Upgrades!$T$7="First Photons",POWER(Upgrades!$U$7,F238),1)*IF(Upgrades!$T$8="First Photons",POWER(Upgrades!$U$8,G238),1)*IF(Upgrades!$T$9="First Photons",POWER(Upgrades!$U$9,H238),1)*IF(Upgrades!$T$10="First Photons",POWER(Upgrades!$U$10,I238),1)*IF(Upgrades!$T$11="First Photons",POWER(Upgrades!$U$11,J238),1))*POWER(Upgrades!$P$6,E238)*POWER(Upgrades!$P$7,F238)*POWER(Upgrades!$P$8,G238)*POWER(Upgrades!$P$9,H238)*POWER(Upgrades!$P$10,I238)*POWER(Upgrades!$P$11,J238)*POWER(Upgrades!$P$12,K238)*60</f>
        <v>75</v>
      </c>
      <c r="AF238" s="27" t="n">
        <f aca="false">Parameters!$B$9*POWER(Upgrades!$Q$6,E238)*POWER(Upgrades!$Q$7,F238)*POWER(Upgrades!$Q$8,G238)*POWER(Upgrades!$Q$9,H238)*POWER(Upgrades!$Q$10,I238)*POWER(Upgrades!$Q$11,J238)*POWER(Upgrades!$Q$12,K238)*(Parameters!$B$10*Parameters!$B$11+O238*60)</f>
        <v>120</v>
      </c>
      <c r="AG238" s="21" t="n">
        <f aca="false">IF(E238&gt;=Upgrades!$E$6,"",Upgrades!$C$6*POWER(Upgrades!$D$6,E238))</f>
        <v>37.4517507383159</v>
      </c>
      <c r="AH238" s="21" t="n">
        <f aca="false">IF(F238&gt;=Upgrades!$E$7,"",Upgrades!$C$7*POWER(Upgrades!$D$7,F238))</f>
        <v>80.9111547141581</v>
      </c>
      <c r="AI238" s="21" t="n">
        <f aca="false">IF(G238&gt;=Upgrades!$E$8,"",Upgrades!$C$8*POWER(Upgrades!$D$8,G238))</f>
        <v>231.9097088</v>
      </c>
      <c r="AJ238" s="21" t="str">
        <f aca="false">IF(H238&gt;=Upgrades!$E$9,"",Upgrades!$C$9*POWER(Upgrades!$D$9,H238))</f>
        <v/>
      </c>
      <c r="AK238" s="21" t="str">
        <f aca="false">IF(I238&gt;=Upgrades!$E$10,"",Upgrades!$C$10*POWER(Upgrades!$D$10,I238))</f>
        <v/>
      </c>
      <c r="AL238" s="21" t="str">
        <f aca="false">IF(J238&gt;=Upgrades!$E$11,"",Upgrades!$C$11*POWER(Upgrades!$D$11,J238))</f>
        <v/>
      </c>
      <c r="AM238" s="21" t="str">
        <f aca="false">IF(K238&gt;=Upgrades!$E$12,"",Upgrades!$C$12*POWER(Upgrades!$D$12,K238))</f>
        <v/>
      </c>
      <c r="AN238" s="26" t="str">
        <f aca="false">IF(AND(D238&gt;=Parameters!$B$18,(H238&gt;=Upgrades!$E$9)*(K238&gt;=Upgrades!$E$12)=1,L238=0),1,"")</f>
        <v/>
      </c>
      <c r="AO238" s="26" t="str">
        <f aca="false">IF(AND(D238&gt;=Parameters!$B$18,L238=0),1,"")</f>
        <v/>
      </c>
      <c r="AP238" s="21" t="n">
        <f aca="false">MIN(IF(ISNUMBER(AK238),AK238,9000000000000000),IF(ISNUMBER(AL238),AL238,9000000000000000),IF(ISNUMBER(AM238),AM238,9000000000000000))</f>
        <v>9000000000000000</v>
      </c>
      <c r="AQ238" s="21" t="n">
        <f aca="false">MIN(IF(ISNUMBER(AG238),AG238,9000000000000000),IF(ISNUMBER(AH238),AH238,9000000000000000),IF(ISNUMBER(AI238),AI238,9000000000000000),IF(ISNUMBER(AJ238),AJ238,9000000000000000))</f>
        <v>37.4517507383159</v>
      </c>
      <c r="AR238" s="32" t="b">
        <f aca="false">IF(AW238&gt;Parameters!$B$21*(MAX(IF(AND(NOT(AND(AO238=1,AN238&lt;&gt;1)),ISNUMBER(AG238),AG238&lt;=T238),AS238,0),IF(AND(NOT(AND(AO238=1,AN238&lt;&gt;1)),ISNUMBER(AH238),AH238&lt;=T238),AT238,0),IF(AND(NOT(AND(AO238=1,AN238&lt;&gt;1)),ISNUMBER(AI238),AI238&lt;=T238),AU238,0),IF(AND(ISNUMBER(AJ238),AJ238&lt;=T238),AV238,0))),TRUE(),FALSE())</f>
        <v>1</v>
      </c>
      <c r="AS238" s="33" t="n">
        <f aca="false">IFERROR(Upgrades!$H$6*(POWER(Upgrades!$P$6,E238)*POWER(Upgrades!$P$7,F238)*POWER(Upgrades!$P$8,G238)*POWER(Upgrades!$P$9,H238)*POWER(Upgrades!$P$10,I238)*POWER(Upgrades!$P$11,J238)*POWER(Upgrades!$P$12,K238))*(IF(Upgrades!$T$7="Solar Wind",POWER(Upgrades!$U$7,F238),1)*IF(Upgrades!$T$8="Solar Wind",POWER(Upgrades!$U$8,G238),1)*IF(Upgrades!$T$9="Solar Wind",POWER(Upgrades!$U$9,H238),1)*IF(Upgrades!$T$10="Solar Wind",POWER(Upgrades!$U$10,I238),1)*IF(Upgrades!$T$11="Solar Wind",POWER(Upgrades!$U$11,J238),1)*IF(Upgrades!$T$12="Solar Wind",POWER(Upgrades!$U$12,K238),1))/AG238,0)</f>
        <v>0.0026701021455238</v>
      </c>
      <c r="AT238" s="33" t="n">
        <f aca="false">IFERROR(Upgrades!$H$7*(POWER(Upgrades!$P$6,E238)*POWER(Upgrades!$P$7,F238)*POWER(Upgrades!$P$8,G238)*POWER(Upgrades!$P$9,H238)*POWER(Upgrades!$P$10,I238)*POWER(Upgrades!$P$11,J238)*POWER(Upgrades!$P$12,K238))*(IF(Upgrades!$T$6="Asteroid Belt",POWER(Upgrades!$U$6,E238),1)*IF(Upgrades!$T$8="Asteroid Belt",POWER(Upgrades!$U$8,G238),1)*IF(Upgrades!$T$9="Asteroid Belt",POWER(Upgrades!$U$9,H238),1)*IF(Upgrades!$T$10="Asteroid Belt",POWER(Upgrades!$U$10,I238),1)*IF(Upgrades!$T$11="Asteroid Belt",POWER(Upgrades!$U$11,J238),1)*IF(Upgrades!$T$12="Asteroid Belt",POWER(Upgrades!$U$12,K238),1))/AH238,0)</f>
        <v>0.00308980882652332</v>
      </c>
      <c r="AU238" s="33" t="n">
        <f aca="false">IFERROR(Upgrades!$K$8*(POWER(Upgrades!$Q$6,E238)*POWER(Upgrades!$Q$7,F238)*POWER(Upgrades!$Q$8,G238)*POWER(Upgrades!$Q$9,H238)*POWER(Upgrades!$Q$10,I238)*POWER(Upgrades!$Q$11,J238)*POWER(Upgrades!$Q$12,K238))*(IF(Upgrades!$T$6="Stellar Coupling",POWER(Upgrades!$U$6,E238),1)*IF(Upgrades!$T$7="Stellar Coupling",POWER(Upgrades!$U$7,F238),1)*IF(Upgrades!$T$9="Stellar Coupling",POWER(Upgrades!$U$9,H238),1)*IF(Upgrades!$T$10="Stellar Coupling",POWER(Upgrades!$U$10,I238),1)*IF(Upgrades!$T$11="Stellar Coupling",POWER(Upgrades!$U$11,J238),1)*IF(Upgrades!$T$12="Stellar Coupling",POWER(Upgrades!$U$12,K238),1))*Parameters!$B$10*Parameters!$B$11/60/AI238,0)</f>
        <v>0.00452762415783776</v>
      </c>
      <c r="AV238" s="33" t="n">
        <f aca="false">IFERROR(Upgrades!$H$9*(POWER(Upgrades!$P$6,E238)*POWER(Upgrades!$P$7,F238)*POWER(Upgrades!$P$8,G238)*POWER(Upgrades!$P$9,H238)*POWER(Upgrades!$P$10,I238)*POWER(Upgrades!$P$11,J238)*POWER(Upgrades!$P$12,K238))*(IF(Upgrades!$T$6="Magnetosphere",POWER(Upgrades!$U$6,E238),1)*IF(Upgrades!$T$7="Magnetosphere",POWER(Upgrades!$U$7,F238),1)*IF(Upgrades!$T$8="Magnetosphere",POWER(Upgrades!$U$8,G238),1)*IF(Upgrades!$T$10="Magnetosphere",POWER(Upgrades!$U$10,I238),1)*IF(Upgrades!$T$11="Magnetosphere",POWER(Upgrades!$U$11,J238),1)*IF(Upgrades!$T$12="Magnetosphere",POWER(Upgrades!$U$12,K238),1))/AJ238,0)</f>
        <v>0</v>
      </c>
      <c r="AW238" s="33" t="n">
        <f aca="false">MAX(IF(I238&gt;0,0,IFERROR(0.25*N238/Upgrades!$C$10,0)),IF(J238&gt;0,0,IFERROR(0.5*((IF(G238=0,0,(Upgrades!$J$8+G238*Upgrades!$K$8)*POWER(Upgrades!$L$8,G238)))*(IF(Upgrades!$T$6="Stellar Coupling",POWER(Upgrades!$U$6,E238),1)*IF(Upgrades!$T$7="Stellar Coupling",POWER(Upgrades!$U$7,F238),1)*IF(Upgrades!$T$9="Stellar Coupling",POWER(Upgrades!$U$9,H238),1)*IF(Upgrades!$T$10="Stellar Coupling",POWER(Upgrades!$U$10,I238),1)*IF(Upgrades!$T$11="Stellar Coupling",POWER(Upgrades!$U$11,J238),1)*IF(Upgrades!$T$12="Stellar Coupling",POWER(Upgrades!$U$12,K238),1))*(POWER(Upgrades!$Q$6,E238)*POWER(Upgrades!$Q$7,F238)*POWER(Upgrades!$Q$8,G238)*POWER(Upgrades!$Q$9,H238)*POWER(Upgrades!$Q$10,I238)*POWER(Upgrades!$Q$11,J238)*POWER(Upgrades!$Q$12,K238))*Parameters!$B$10*Parameters!$B$11/60)/Upgrades!$C$11,0)),IF(K238&gt;0,0,IFERROR((1*(POWER(Upgrades!$P$6,E238)*POWER(Upgrades!$P$7,F238)*POWER(Upgrades!$P$8,G238)*POWER(Upgrades!$P$9,H238)*POWER(Upgrades!$P$10,I238)*POWER(Upgrades!$P$11,J238)*POWER(Upgrades!$P$12,K238))+0.2*M238*Parameters!$B$10*Parameters!$B$11/60)/Upgrades!$C$12,0)),IF(AND(ISNUMBER(AG238),AG238&gt;T238),AS238,0),IF(AND(ISNUMBER(AH238),AH238&gt;T238),AT238,0),IF(AND(ISNUMBER(AI238),AI238&gt;T238),AU238,0),IF(AND(ISNUMBER(AJ238),AJ238&gt;T238),AV238,0))</f>
        <v>0.00452762415783776</v>
      </c>
      <c r="AX238" s="29" t="str">
        <f aca="false">IF(AN238=1,"transition",IF(MIN(IF(AND(I238=0,ISNUMBER(AK238),AK238&lt;=T238),AK238,9000000000000000),IF(AND(J238=0,ISNUMBER(AL238),AL238&lt;=T238),AL238,9000000000000000),IF(AND(K238=0,ISNUMBER(AM238),AM238&lt;=T238),AM238,9000000000000000))&lt;9000000000000000,IF(AND(AND(I238=0,ISNUMBER(AK238),AK238&lt;=T238),AK238=MIN(IF(AND(I238=0,ISNUMBER(AK238),AK238&lt;=T238),AK238,9000000000000000),IF(AND(J238=0,ISNUMBER(AL238),AL238&lt;=T238),AL238,9000000000000000),IF(AND(K238=0,ISNUMBER(AM238),AM238&lt;=T238),AM238,9000000000000000))),"OR",IF(AND(AND(J238=0,ISNUMBER(AL238),AL238&lt;=T238),AL238=MIN(IF(AND(I238=0,ISNUMBER(AK238),AK238&lt;=T238),AK238,9000000000000000),IF(AND(J238=0,ISNUMBER(AL238),AL238&lt;=T238),AL238,9000000000000000),IF(AND(K238=0,ISNUMBER(AM238),AM238&lt;=T238),AM238,9000000000000000))),"HP","FP")),IF(AR238=TRUE(),"",IF(MAX(IF(AND(NOT(AND(AO238=1,AN238&lt;&gt;1)),ISNUMBER(AG238),AG238&lt;=T238),AS238,0),IF(AND(NOT(AND(AO238=1,AN238&lt;&gt;1)),ISNUMBER(AH238),AH238&lt;=T238),AT238,0),IF(AND(NOT(AND(AO238=1,AN238&lt;&gt;1)),ISNUMBER(AI238),AI238&lt;=T238),AU238,0),IF(AND(ISNUMBER(AJ238),AJ238&lt;=T238),AV238,0))&lt;=0,"",IF(AND(IF(AND(NOT(AND(AO238=1,AN238&lt;&gt;1)),ISNUMBER(AG238),AG238&lt;=T238),AS238,0)&gt;0,IF(AND(NOT(AND(AO238=1,AN238&lt;&gt;1)),ISNUMBER(AG238),AG238&lt;=T238),AS238,0)=MAX(IF(AND(NOT(AND(AO238=1,AN238&lt;&gt;1)),ISNUMBER(AG238),AG238&lt;=T238),AS238,0),IF(AND(NOT(AND(AO238=1,AN238&lt;&gt;1)),ISNUMBER(AH238),AH238&lt;=T238),AT238,0),IF(AND(NOT(AND(AO238=1,AN238&lt;&gt;1)),ISNUMBER(AI238),AI238&lt;=T238),AU238,0),IF(AND(ISNUMBER(AJ238),AJ238&lt;=T238),AV238,0))),"SW",IF(AND(IF(AND(NOT(AND(AO238=1,AN238&lt;&gt;1)),ISNUMBER(AH238),AH238&lt;=T238),AT238,0)&gt;0,IF(AND(NOT(AND(AO238=1,AN238&lt;&gt;1)),ISNUMBER(AH238),AH238&lt;=T238),AT238,0)=MAX(IF(AND(NOT(AND(AO238=1,AN238&lt;&gt;1)),ISNUMBER(AG238),AG238&lt;=T238),AS238,0),IF(AND(NOT(AND(AO238=1,AN238&lt;&gt;1)),ISNUMBER(AH238),AH238&lt;=T238),AT238,0),IF(AND(NOT(AND(AO238=1,AN238&lt;&gt;1)),ISNUMBER(AI238),AI238&lt;=T238),AU238,0),IF(AND(ISNUMBER(AJ238),AJ238&lt;=T238),AV238,0))),"AB",IF(AND(IF(AND(NOT(AND(AO238=1,AN238&lt;&gt;1)),ISNUMBER(AI238),AI238&lt;=T238),AU238,0)&gt;0,IF(AND(NOT(AND(AO238=1,AN238&lt;&gt;1)),ISNUMBER(AI238),AI238&lt;=T238),AU238,0)=MAX(IF(AND(NOT(AND(AO238=1,AN238&lt;&gt;1)),ISNUMBER(AG238),AG238&lt;=T238),AS238,0),IF(AND(NOT(AND(AO238=1,AN238&lt;&gt;1)),ISNUMBER(AH238),AH238&lt;=T238),AT238,0),IF(AND(NOT(AND(AO238=1,AN238&lt;&gt;1)),ISNUMBER(AI238),AI238&lt;=T238),AU238,0),IF(AND(ISNUMBER(AJ238),AJ238&lt;=T238),AV238,0))),"SC","Mag")))))))</f>
        <v/>
      </c>
    </row>
    <row r="239" customFormat="false" ht="15" hidden="false" customHeight="false" outlineLevel="0" collapsed="false">
      <c r="A239" s="26" t="n">
        <v>234</v>
      </c>
      <c r="B239" s="27" t="n">
        <f aca="false">A239*10/60</f>
        <v>39</v>
      </c>
      <c r="C239" s="21" t="n">
        <f aca="false">X238</f>
        <v>18.6730249835055</v>
      </c>
      <c r="D239" s="27" t="n">
        <f aca="false">D238+W238</f>
        <v>0</v>
      </c>
      <c r="E239" s="26" t="n">
        <f aca="false">E238+IF(U238="SW",1,0)</f>
        <v>12</v>
      </c>
      <c r="F239" s="26" t="n">
        <f aca="false">F238+IF(U238="AB",1,0)</f>
        <v>10</v>
      </c>
      <c r="G239" s="26" t="n">
        <f aca="false">G238+IF(U238="SC",1,0)</f>
        <v>7</v>
      </c>
      <c r="H239" s="26" t="n">
        <f aca="false">H238+IF(U238="Mag",1,0)</f>
        <v>5</v>
      </c>
      <c r="I239" s="26" t="n">
        <f aca="false">MAX(I238,IF(U238="OR",1,0))</f>
        <v>1</v>
      </c>
      <c r="J239" s="26" t="n">
        <f aca="false">MAX(J238,IF(U238="HP",1,0))</f>
        <v>1</v>
      </c>
      <c r="K239" s="26" t="n">
        <f aca="false">MAX(K238,IF(U238="FP",1,0))</f>
        <v>1</v>
      </c>
      <c r="L239" s="26" t="n">
        <f aca="false">MAX(L238,IF(U238="transition",1,0))</f>
        <v>1</v>
      </c>
      <c r="M239" s="28" t="n">
        <f aca="false">(Parameters!$B$9+(IF(E239=0,0,(Upgrades!$J$6+E239*Upgrades!$K$6)*POWER(Upgrades!$L$6,E239)))*(IF(Upgrades!$T$7="Solar Wind",POWER(Upgrades!$U$7,F239),1)*IF(Upgrades!$T$8="Solar Wind",POWER(Upgrades!$U$8,G239),1)*IF(Upgrades!$T$9="Solar Wind",POWER(Upgrades!$U$9,H239),1)*IF(Upgrades!$T$10="Solar Wind",POWER(Upgrades!$U$10,I239),1)*IF(Upgrades!$T$11="Solar Wind",POWER(Upgrades!$U$11,J239),1)*IF(Upgrades!$T$12="Solar Wind",POWER(Upgrades!$U$12,K239),1))+(IF(F239=0,0,(Upgrades!$J$7+F239*Upgrades!$K$7)*POWER(Upgrades!$L$7,F239)))*(IF(Upgrades!$T$6="Asteroid Belt",POWER(Upgrades!$U$6,E239),1)*IF(Upgrades!$T$8="Asteroid Belt",POWER(Upgrades!$U$8,G239),1)*IF(Upgrades!$T$9="Asteroid Belt",POWER(Upgrades!$U$9,H239),1)*IF(Upgrades!$T$10="Asteroid Belt",POWER(Upgrades!$U$10,I239),1)*IF(Upgrades!$T$11="Asteroid Belt",POWER(Upgrades!$U$11,J239),1)*IF(Upgrades!$T$12="Asteroid Belt",POWER(Upgrades!$U$12,K239),1))+(IF(G239=0,0,(Upgrades!$J$8+G239*Upgrades!$K$8)*POWER(Upgrades!$L$8,G239)))*(IF(Upgrades!$T$6="Stellar Coupling",POWER(Upgrades!$U$6,E239),1)*IF(Upgrades!$T$7="Stellar Coupling",POWER(Upgrades!$U$7,F239),1)*IF(Upgrades!$T$9="Stellar Coupling",POWER(Upgrades!$U$9,H239),1)*IF(Upgrades!$T$10="Stellar Coupling",POWER(Upgrades!$U$10,I239),1)*IF(Upgrades!$T$11="Stellar Coupling",POWER(Upgrades!$U$11,J239),1)*IF(Upgrades!$T$12="Stellar Coupling",POWER(Upgrades!$U$12,K239),1))+(IF(H239=0,0,(Upgrades!$J$9+H239*Upgrades!$K$9)*POWER(Upgrades!$L$9,H239)))*(IF(Upgrades!$T$6="Magnetosphere",POWER(Upgrades!$U$6,E239),1)*IF(Upgrades!$T$7="Magnetosphere",POWER(Upgrades!$U$7,F239),1)*IF(Upgrades!$T$8="Magnetosphere",POWER(Upgrades!$U$8,G239),1)*IF(Upgrades!$T$10="Magnetosphere",POWER(Upgrades!$U$10,I239),1)*IF(Upgrades!$T$11="Magnetosphere",POWER(Upgrades!$U$11,J239),1)*IF(Upgrades!$T$12="Magnetosphere",POWER(Upgrades!$U$12,K239),1))+(IF(I239=0,0,(Upgrades!$J$10+I239*Upgrades!$K$10)*POWER(Upgrades!$L$10,I239)))*(IF(Upgrades!$T$6="Orbital Resonance",POWER(Upgrades!$U$6,E239),1)*IF(Upgrades!$T$7="Orbital Resonance",POWER(Upgrades!$U$7,F239),1)*IF(Upgrades!$T$8="Orbital Resonance",POWER(Upgrades!$U$8,G239),1)*IF(Upgrades!$T$9="Orbital Resonance",POWER(Upgrades!$U$9,H239),1)*IF(Upgrades!$T$11="Orbital Resonance",POWER(Upgrades!$U$11,J239),1)*IF(Upgrades!$T$12="Orbital Resonance",POWER(Upgrades!$U$12,K239),1))+(IF(J239=0,0,(Upgrades!$J$11+J239*Upgrades!$K$11)*POWER(Upgrades!$L$11,J239)))*(IF(Upgrades!$T$6="Heliopause",POWER(Upgrades!$U$6,E239),1)*IF(Upgrades!$T$7="Heliopause",POWER(Upgrades!$U$7,F239),1)*IF(Upgrades!$T$8="Heliopause",POWER(Upgrades!$U$8,G239),1)*IF(Upgrades!$T$9="Heliopause",POWER(Upgrades!$U$9,H239),1)*IF(Upgrades!$T$10="Heliopause",POWER(Upgrades!$U$10,I239),1)*IF(Upgrades!$T$12="Heliopause",POWER(Upgrades!$U$12,K239),1))+(IF(K239=0,0,(Upgrades!$J$12+K239*Upgrades!$K$12)*POWER(Upgrades!$L$12,K239)))*(IF(Upgrades!$T$6="First Photons",POWER(Upgrades!$U$6,E239),1)*IF(Upgrades!$T$7="First Photons",POWER(Upgrades!$U$7,F239),1)*IF(Upgrades!$T$8="First Photons",POWER(Upgrades!$U$8,G239),1)*IF(Upgrades!$T$9="First Photons",POWER(Upgrades!$U$9,H239),1)*IF(Upgrades!$T$10="First Photons",POWER(Upgrades!$U$10,I239),1)*IF(Upgrades!$T$11="First Photons",POWER(Upgrades!$U$11,J239),1)))*POWER(Upgrades!$Q$6,E239)*POWER(Upgrades!$Q$7,F239)*POWER(Upgrades!$Q$8,G239)*POWER(Upgrades!$Q$9,H239)*POWER(Upgrades!$Q$10,I239)*POWER(Upgrades!$Q$11,J239)*POWER(Upgrades!$Q$12,K239)</f>
        <v>5.61</v>
      </c>
      <c r="N239" s="28" t="n">
        <f aca="false">((IF(E239=0,0,(Upgrades!$G$6+E239*Upgrades!$H$6)*POWER(Upgrades!$I$6,E239)))*(IF(Upgrades!$T$7="Solar Wind",POWER(Upgrades!$U$7,F239),1)*IF(Upgrades!$T$8="Solar Wind",POWER(Upgrades!$U$8,G239),1)*IF(Upgrades!$T$9="Solar Wind",POWER(Upgrades!$U$9,H239),1)*IF(Upgrades!$T$10="Solar Wind",POWER(Upgrades!$U$10,I239),1)*IF(Upgrades!$T$11="Solar Wind",POWER(Upgrades!$U$11,J239),1)*IF(Upgrades!$T$12="Solar Wind",POWER(Upgrades!$U$12,K239),1))+(IF(F239=0,0,(Upgrades!$G$7+F239*Upgrades!$H$7)*POWER(Upgrades!$I$7,F239)))*(IF(Upgrades!$T$6="Asteroid Belt",POWER(Upgrades!$U$6,E239),1)*IF(Upgrades!$T$8="Asteroid Belt",POWER(Upgrades!$U$8,G239),1)*IF(Upgrades!$T$9="Asteroid Belt",POWER(Upgrades!$U$9,H239),1)*IF(Upgrades!$T$10="Asteroid Belt",POWER(Upgrades!$U$10,I239),1)*IF(Upgrades!$T$11="Asteroid Belt",POWER(Upgrades!$U$11,J239),1)*IF(Upgrades!$T$12="Asteroid Belt",POWER(Upgrades!$U$12,K239),1))+(IF(G239=0,0,(Upgrades!$G$8+G239*Upgrades!$H$8)*POWER(Upgrades!$I$8,G239)))*(IF(Upgrades!$T$6="Stellar Coupling",POWER(Upgrades!$U$6,E239),1)*IF(Upgrades!$T$7="Stellar Coupling",POWER(Upgrades!$U$7,F239),1)*IF(Upgrades!$T$9="Stellar Coupling",POWER(Upgrades!$U$9,H239),1)*IF(Upgrades!$T$10="Stellar Coupling",POWER(Upgrades!$U$10,I239),1)*IF(Upgrades!$T$11="Stellar Coupling",POWER(Upgrades!$U$11,J239),1)*IF(Upgrades!$T$12="Stellar Coupling",POWER(Upgrades!$U$12,K239),1))+(IF(H239=0,0,(Upgrades!$G$9+H239*Upgrades!$H$9)*POWER(Upgrades!$I$9,H239)))*(IF(Upgrades!$T$6="Magnetosphere",POWER(Upgrades!$U$6,E239),1)*IF(Upgrades!$T$7="Magnetosphere",POWER(Upgrades!$U$7,F239),1)*IF(Upgrades!$T$8="Magnetosphere",POWER(Upgrades!$U$8,G239),1)*IF(Upgrades!$T$10="Magnetosphere",POWER(Upgrades!$U$10,I239),1)*IF(Upgrades!$T$11="Magnetosphere",POWER(Upgrades!$U$11,J239),1)*IF(Upgrades!$T$12="Magnetosphere",POWER(Upgrades!$U$12,K239),1))+(IF(I239=0,0,(Upgrades!$G$10+I239*Upgrades!$H$10)*POWER(Upgrades!$I$10,I239)))*(IF(Upgrades!$T$6="Orbital Resonance",POWER(Upgrades!$U$6,E239),1)*IF(Upgrades!$T$7="Orbital Resonance",POWER(Upgrades!$U$7,F239),1)*IF(Upgrades!$T$8="Orbital Resonance",POWER(Upgrades!$U$8,G239),1)*IF(Upgrades!$T$9="Orbital Resonance",POWER(Upgrades!$U$9,H239),1)*IF(Upgrades!$T$11="Orbital Resonance",POWER(Upgrades!$U$11,J239),1)*IF(Upgrades!$T$12="Orbital Resonance",POWER(Upgrades!$U$12,K239),1))+(IF(J239=0,0,(Upgrades!$G$11+J239*Upgrades!$H$11)*POWER(Upgrades!$I$11,J239)))*(IF(Upgrades!$T$6="Heliopause",POWER(Upgrades!$U$6,E239),1)*IF(Upgrades!$T$7="Heliopause",POWER(Upgrades!$U$7,F239),1)*IF(Upgrades!$T$8="Heliopause",POWER(Upgrades!$U$8,G239),1)*IF(Upgrades!$T$9="Heliopause",POWER(Upgrades!$U$9,H239),1)*IF(Upgrades!$T$10="Heliopause",POWER(Upgrades!$U$10,I239),1)*IF(Upgrades!$T$12="Heliopause",POWER(Upgrades!$U$12,K239),1))+(IF(K239=0,0,(Upgrades!$G$12+K239*Upgrades!$H$12)*POWER(Upgrades!$I$12,K239)))*(IF(Upgrades!$T$6="First Photons",POWER(Upgrades!$U$6,E239),1)*IF(Upgrades!$T$7="First Photons",POWER(Upgrades!$U$7,F239),1)*IF(Upgrades!$T$8="First Photons",POWER(Upgrades!$U$8,G239),1)*IF(Upgrades!$T$9="First Photons",POWER(Upgrades!$U$9,H239),1)*IF(Upgrades!$T$10="First Photons",POWER(Upgrades!$U$10,I239),1)*IF(Upgrades!$T$11="First Photons",POWER(Upgrades!$U$11,J239),1)))*POWER(Upgrades!$P$6,E239)*POWER(Upgrades!$P$7,F239)*POWER(Upgrades!$P$8,G239)*POWER(Upgrades!$P$9,H239)*POWER(Upgrades!$P$10,I239)*POWER(Upgrades!$P$11,J239)*POWER(Upgrades!$P$12,K239)</f>
        <v>11.2</v>
      </c>
      <c r="O239" s="28" t="n">
        <f aca="false">((IF(E239=0,0,(Upgrades!$M$6+E239*Upgrades!$N$6)*POWER(Upgrades!$O$6,E239)))*(IF(Upgrades!$T$7="Solar Wind",POWER(Upgrades!$U$7,F239),1)*IF(Upgrades!$T$8="Solar Wind",POWER(Upgrades!$U$8,G239),1)*IF(Upgrades!$T$9="Solar Wind",POWER(Upgrades!$U$9,H239),1)*IF(Upgrades!$T$10="Solar Wind",POWER(Upgrades!$U$10,I239),1)*IF(Upgrades!$T$11="Solar Wind",POWER(Upgrades!$U$11,J239),1)*IF(Upgrades!$T$12="Solar Wind",POWER(Upgrades!$U$12,K239),1))+(IF(F239=0,0,(Upgrades!$M$7+F239*Upgrades!$N$7)*POWER(Upgrades!$O$7,F239)))*(IF(Upgrades!$T$6="Asteroid Belt",POWER(Upgrades!$U$6,E239),1)*IF(Upgrades!$T$8="Asteroid Belt",POWER(Upgrades!$U$8,G239),1)*IF(Upgrades!$T$9="Asteroid Belt",POWER(Upgrades!$U$9,H239),1)*IF(Upgrades!$T$10="Asteroid Belt",POWER(Upgrades!$U$10,I239),1)*IF(Upgrades!$T$11="Asteroid Belt",POWER(Upgrades!$U$11,J239),1)*IF(Upgrades!$T$12="Asteroid Belt",POWER(Upgrades!$U$12,K239),1))+(IF(G239=0,0,(Upgrades!$M$8+G239*Upgrades!$N$8)*POWER(Upgrades!$O$8,G239)))*(IF(Upgrades!$T$6="Stellar Coupling",POWER(Upgrades!$U$6,E239),1)*IF(Upgrades!$T$7="Stellar Coupling",POWER(Upgrades!$U$7,F239),1)*IF(Upgrades!$T$9="Stellar Coupling",POWER(Upgrades!$U$9,H239),1)*IF(Upgrades!$T$10="Stellar Coupling",POWER(Upgrades!$U$10,I239),1)*IF(Upgrades!$T$11="Stellar Coupling",POWER(Upgrades!$U$11,J239),1)*IF(Upgrades!$T$12="Stellar Coupling",POWER(Upgrades!$U$12,K239),1))+(IF(H239=0,0,(Upgrades!$M$9+H239*Upgrades!$N$9)*POWER(Upgrades!$O$9,H239)))*(IF(Upgrades!$T$6="Magnetosphere",POWER(Upgrades!$U$6,E239),1)*IF(Upgrades!$T$7="Magnetosphere",POWER(Upgrades!$U$7,F239),1)*IF(Upgrades!$T$8="Magnetosphere",POWER(Upgrades!$U$8,G239),1)*IF(Upgrades!$T$10="Magnetosphere",POWER(Upgrades!$U$10,I239),1)*IF(Upgrades!$T$11="Magnetosphere",POWER(Upgrades!$U$11,J239),1)*IF(Upgrades!$T$12="Magnetosphere",POWER(Upgrades!$U$12,K239),1))+(IF(I239=0,0,(Upgrades!$M$10+I239*Upgrades!$N$10)*POWER(Upgrades!$O$10,I239)))*(IF(Upgrades!$T$6="Orbital Resonance",POWER(Upgrades!$U$6,E239),1)*IF(Upgrades!$T$7="Orbital Resonance",POWER(Upgrades!$U$7,F239),1)*IF(Upgrades!$T$8="Orbital Resonance",POWER(Upgrades!$U$8,G239),1)*IF(Upgrades!$T$9="Orbital Resonance",POWER(Upgrades!$U$9,H239),1)*IF(Upgrades!$T$11="Orbital Resonance",POWER(Upgrades!$U$11,J239),1)*IF(Upgrades!$T$12="Orbital Resonance",POWER(Upgrades!$U$12,K239),1))+(IF(J239=0,0,(Upgrades!$M$11+J239*Upgrades!$N$11)*POWER(Upgrades!$O$11,J239)))*(IF(Upgrades!$T$6="Heliopause",POWER(Upgrades!$U$6,E239),1)*IF(Upgrades!$T$7="Heliopause",POWER(Upgrades!$U$7,F239),1)*IF(Upgrades!$T$8="Heliopause",POWER(Upgrades!$U$8,G239),1)*IF(Upgrades!$T$9="Heliopause",POWER(Upgrades!$U$9,H239),1)*IF(Upgrades!$T$10="Heliopause",POWER(Upgrades!$U$10,I239),1)*IF(Upgrades!$T$12="Heliopause",POWER(Upgrades!$U$12,K239),1))+(IF(K239=0,0,(Upgrades!$M$12+K239*Upgrades!$N$12)*POWER(Upgrades!$O$12,K239)))*(IF(Upgrades!$T$6="First Photons",POWER(Upgrades!$U$6,E239),1)*IF(Upgrades!$T$7="First Photons",POWER(Upgrades!$U$7,F239),1)*IF(Upgrades!$T$8="First Photons",POWER(Upgrades!$U$8,G239),1)*IF(Upgrades!$T$9="First Photons",POWER(Upgrades!$U$9,H239),1)*IF(Upgrades!$T$10="First Photons",POWER(Upgrades!$U$10,I239),1)*IF(Upgrades!$T$11="First Photons",POWER(Upgrades!$U$11,J239),1)))*POWER(Upgrades!$R$6,E239)*POWER(Upgrades!$R$7,F239)*POWER(Upgrades!$R$8,G239)*POWER(Upgrades!$R$9,H239)*POWER(Upgrades!$R$10,I239)*POWER(Upgrades!$R$11,J239)*POWER(Upgrades!$R$12,K239)</f>
        <v>0</v>
      </c>
      <c r="P239" s="27" t="n">
        <f aca="false">IF(L239=1,0,M239*Parameters!$B$10/60*Parameters!$B$11*10)</f>
        <v>0</v>
      </c>
      <c r="Q239" s="27" t="n">
        <f aca="false">IF(L239=1,0,O239*M239*10)</f>
        <v>0</v>
      </c>
      <c r="R239" s="27" t="n">
        <f aca="false">IF(L239=1,0,N239*10)</f>
        <v>0</v>
      </c>
      <c r="S239" s="27" t="n">
        <f aca="false">P239+Q239+R239</f>
        <v>0</v>
      </c>
      <c r="T239" s="21" t="n">
        <f aca="false">C239+S239</f>
        <v>18.6730249835055</v>
      </c>
      <c r="U239" s="34" t="str">
        <f aca="false">AX239</f>
        <v/>
      </c>
      <c r="V239" s="21" t="n">
        <f aca="false">IF(U239="",0,IF(U239="transition",0,IF(U239="SW",AG239,IF(U239="AB",AH239,IF(U239="SC",AI239,IF(U239="Mag",AJ239,IF(U239="OR",AK239,IF(U239="HP",AL239,IF(U239="FP",AM239,0)))))))))</f>
        <v>0</v>
      </c>
      <c r="W239" s="27" t="n">
        <f aca="false">IF(U239="OR",Upgrades!$F$10,IF(U239="HP",Upgrades!$F$11,IF(U239="transition",-Parameters!$B$18,0)))</f>
        <v>0</v>
      </c>
      <c r="X239" s="21" t="n">
        <f aca="false">T239-V239</f>
        <v>18.6730249835055</v>
      </c>
      <c r="Y239" s="30" t="n">
        <f aca="false">M239*Parameters!$B$10/60*Parameters!$B$11+O239*M239+N239</f>
        <v>20.55</v>
      </c>
      <c r="Z239" s="35" t="str">
        <f aca="false">IF(U239="transition","→ Tier 2 (Stellar Neighborhood)",IF(U239="FP","First Photons — light begins, system quickens",IF(U239="HP","Heliopause acquired",IF(U239="OR","Orbital Resonance — passive multiplier active",IF(AND(AO239=1,L239=0,AN239&lt;&gt;1),"Cohesion ready (waiting on completionist upgrades)","")))))</f>
        <v/>
      </c>
      <c r="AA239" s="27" t="n">
        <f aca="false">(IF(E239=0,0,(Upgrades!$G$6+E239*Upgrades!$H$6)*POWER(Upgrades!$I$6,E239)))*(IF(Upgrades!$T$7="Solar Wind",POWER(Upgrades!$U$7,F239),1)*IF(Upgrades!$T$8="Solar Wind",POWER(Upgrades!$U$8,G239),1)*IF(Upgrades!$T$9="Solar Wind",POWER(Upgrades!$U$9,H239),1)*IF(Upgrades!$T$10="Solar Wind",POWER(Upgrades!$U$10,I239),1)*IF(Upgrades!$T$11="Solar Wind",POWER(Upgrades!$U$11,J239),1)*IF(Upgrades!$T$12="Solar Wind",POWER(Upgrades!$U$12,K239),1))*POWER(Upgrades!$P$6,E239)*POWER(Upgrades!$P$7,F239)*POWER(Upgrades!$P$8,G239)*POWER(Upgrades!$P$9,H239)*POWER(Upgrades!$P$10,I239)*POWER(Upgrades!$P$11,J239)*POWER(Upgrades!$P$12,K239)*60</f>
        <v>72</v>
      </c>
      <c r="AB239" s="27" t="n">
        <f aca="false">(IF(F239=0,0,(Upgrades!$G$7+F239*Upgrades!$H$7)*POWER(Upgrades!$I$7,F239)))*(IF(Upgrades!$T$6="Asteroid Belt",POWER(Upgrades!$U$6,E239),1)*IF(Upgrades!$T$8="Asteroid Belt",POWER(Upgrades!$U$8,G239),1)*IF(Upgrades!$T$9="Asteroid Belt",POWER(Upgrades!$U$9,H239),1)*IF(Upgrades!$T$10="Asteroid Belt",POWER(Upgrades!$U$10,I239),1)*IF(Upgrades!$T$11="Asteroid Belt",POWER(Upgrades!$U$11,J239),1)*IF(Upgrades!$T$12="Asteroid Belt",POWER(Upgrades!$U$12,K239),1))*POWER(Upgrades!$P$6,E239)*POWER(Upgrades!$P$7,F239)*POWER(Upgrades!$P$8,G239)*POWER(Upgrades!$P$9,H239)*POWER(Upgrades!$P$10,I239)*POWER(Upgrades!$P$11,J239)*POWER(Upgrades!$P$12,K239)*60</f>
        <v>150</v>
      </c>
      <c r="AC239" s="27" t="n">
        <f aca="false">(IF(G239=0,0,(Upgrades!$J$8+G239*Upgrades!$K$8)*POWER(Upgrades!$L$8,G239)))*(IF(Upgrades!$T$6="Stellar Coupling",POWER(Upgrades!$U$6,E239),1)*IF(Upgrades!$T$7="Stellar Coupling",POWER(Upgrades!$U$7,F239),1)*IF(Upgrades!$T$9="Stellar Coupling",POWER(Upgrades!$U$9,H239),1)*IF(Upgrades!$T$10="Stellar Coupling",POWER(Upgrades!$U$10,I239),1)*IF(Upgrades!$T$11="Stellar Coupling",POWER(Upgrades!$U$11,J239),1)*IF(Upgrades!$T$12="Stellar Coupling",POWER(Upgrades!$U$12,K239),1))*POWER(Upgrades!$Q$6,E239)*POWER(Upgrades!$Q$7,F239)*POWER(Upgrades!$Q$8,G239)*POWER(Upgrades!$Q$9,H239)*POWER(Upgrades!$Q$10,I239)*POWER(Upgrades!$Q$11,J239)*POWER(Upgrades!$Q$12,K239)*Parameters!$B$10*Parameters!$B$11</f>
        <v>441</v>
      </c>
      <c r="AD239" s="27" t="n">
        <f aca="false">(IF(H239=0,0,(Upgrades!$G$9+H239*Upgrades!$H$9)*POWER(Upgrades!$I$9,H239)))*(IF(Upgrades!$T$6="Magnetosphere",POWER(Upgrades!$U$6,E239),1)*IF(Upgrades!$T$7="Magnetosphere",POWER(Upgrades!$U$7,F239),1)*IF(Upgrades!$T$8="Magnetosphere",POWER(Upgrades!$U$8,G239),1)*IF(Upgrades!$T$10="Magnetosphere",POWER(Upgrades!$U$10,I239),1)*IF(Upgrades!$T$11="Magnetosphere",POWER(Upgrades!$U$11,J239),1)*IF(Upgrades!$T$12="Magnetosphere",POWER(Upgrades!$U$12,K239),1))*POWER(Upgrades!$P$6,E239)*POWER(Upgrades!$P$7,F239)*POWER(Upgrades!$P$8,G239)*POWER(Upgrades!$P$9,H239)*POWER(Upgrades!$P$10,I239)*POWER(Upgrades!$P$11,J239)*POWER(Upgrades!$P$12,K239)*60</f>
        <v>375</v>
      </c>
      <c r="AE239" s="27" t="n">
        <f aca="false">(IF(K239=0,0,(Upgrades!$G$12+K239*Upgrades!$H$12)*POWER(Upgrades!$I$12,K239)))*(IF(Upgrades!$T$6="First Photons",POWER(Upgrades!$U$6,E239),1)*IF(Upgrades!$T$7="First Photons",POWER(Upgrades!$U$7,F239),1)*IF(Upgrades!$T$8="First Photons",POWER(Upgrades!$U$8,G239),1)*IF(Upgrades!$T$9="First Photons",POWER(Upgrades!$U$9,H239),1)*IF(Upgrades!$T$10="First Photons",POWER(Upgrades!$U$10,I239),1)*IF(Upgrades!$T$11="First Photons",POWER(Upgrades!$U$11,J239),1))*POWER(Upgrades!$P$6,E239)*POWER(Upgrades!$P$7,F239)*POWER(Upgrades!$P$8,G239)*POWER(Upgrades!$P$9,H239)*POWER(Upgrades!$P$10,I239)*POWER(Upgrades!$P$11,J239)*POWER(Upgrades!$P$12,K239)*60</f>
        <v>75</v>
      </c>
      <c r="AF239" s="27" t="n">
        <f aca="false">Parameters!$B$9*POWER(Upgrades!$Q$6,E239)*POWER(Upgrades!$Q$7,F239)*POWER(Upgrades!$Q$8,G239)*POWER(Upgrades!$Q$9,H239)*POWER(Upgrades!$Q$10,I239)*POWER(Upgrades!$Q$11,J239)*POWER(Upgrades!$Q$12,K239)*(Parameters!$B$10*Parameters!$B$11+O239*60)</f>
        <v>120</v>
      </c>
      <c r="AG239" s="21" t="n">
        <f aca="false">IF(E239&gt;=Upgrades!$E$6,"",Upgrades!$C$6*POWER(Upgrades!$D$6,E239))</f>
        <v>37.4517507383159</v>
      </c>
      <c r="AH239" s="21" t="n">
        <f aca="false">IF(F239&gt;=Upgrades!$E$7,"",Upgrades!$C$7*POWER(Upgrades!$D$7,F239))</f>
        <v>80.9111547141581</v>
      </c>
      <c r="AI239" s="21" t="n">
        <f aca="false">IF(G239&gt;=Upgrades!$E$8,"",Upgrades!$C$8*POWER(Upgrades!$D$8,G239))</f>
        <v>231.9097088</v>
      </c>
      <c r="AJ239" s="21" t="str">
        <f aca="false">IF(H239&gt;=Upgrades!$E$9,"",Upgrades!$C$9*POWER(Upgrades!$D$9,H239))</f>
        <v/>
      </c>
      <c r="AK239" s="21" t="str">
        <f aca="false">IF(I239&gt;=Upgrades!$E$10,"",Upgrades!$C$10*POWER(Upgrades!$D$10,I239))</f>
        <v/>
      </c>
      <c r="AL239" s="21" t="str">
        <f aca="false">IF(J239&gt;=Upgrades!$E$11,"",Upgrades!$C$11*POWER(Upgrades!$D$11,J239))</f>
        <v/>
      </c>
      <c r="AM239" s="21" t="str">
        <f aca="false">IF(K239&gt;=Upgrades!$E$12,"",Upgrades!$C$12*POWER(Upgrades!$D$12,K239))</f>
        <v/>
      </c>
      <c r="AN239" s="26" t="str">
        <f aca="false">IF(AND(D239&gt;=Parameters!$B$18,(H239&gt;=Upgrades!$E$9)*(K239&gt;=Upgrades!$E$12)=1,L239=0),1,"")</f>
        <v/>
      </c>
      <c r="AO239" s="26" t="str">
        <f aca="false">IF(AND(D239&gt;=Parameters!$B$18,L239=0),1,"")</f>
        <v/>
      </c>
      <c r="AP239" s="21" t="n">
        <f aca="false">MIN(IF(ISNUMBER(AK239),AK239,9000000000000000),IF(ISNUMBER(AL239),AL239,9000000000000000),IF(ISNUMBER(AM239),AM239,9000000000000000))</f>
        <v>9000000000000000</v>
      </c>
      <c r="AQ239" s="21" t="n">
        <f aca="false">MIN(IF(ISNUMBER(AG239),AG239,9000000000000000),IF(ISNUMBER(AH239),AH239,9000000000000000),IF(ISNUMBER(AI239),AI239,9000000000000000),IF(ISNUMBER(AJ239),AJ239,9000000000000000))</f>
        <v>37.4517507383159</v>
      </c>
      <c r="AR239" s="32" t="b">
        <f aca="false">IF(AW239&gt;Parameters!$B$21*(MAX(IF(AND(NOT(AND(AO239=1,AN239&lt;&gt;1)),ISNUMBER(AG239),AG239&lt;=T239),AS239,0),IF(AND(NOT(AND(AO239=1,AN239&lt;&gt;1)),ISNUMBER(AH239),AH239&lt;=T239),AT239,0),IF(AND(NOT(AND(AO239=1,AN239&lt;&gt;1)),ISNUMBER(AI239),AI239&lt;=T239),AU239,0),IF(AND(ISNUMBER(AJ239),AJ239&lt;=T239),AV239,0))),TRUE(),FALSE())</f>
        <v>1</v>
      </c>
      <c r="AS239" s="33" t="n">
        <f aca="false">IFERROR(Upgrades!$H$6*(POWER(Upgrades!$P$6,E239)*POWER(Upgrades!$P$7,F239)*POWER(Upgrades!$P$8,G239)*POWER(Upgrades!$P$9,H239)*POWER(Upgrades!$P$10,I239)*POWER(Upgrades!$P$11,J239)*POWER(Upgrades!$P$12,K239))*(IF(Upgrades!$T$7="Solar Wind",POWER(Upgrades!$U$7,F239),1)*IF(Upgrades!$T$8="Solar Wind",POWER(Upgrades!$U$8,G239),1)*IF(Upgrades!$T$9="Solar Wind",POWER(Upgrades!$U$9,H239),1)*IF(Upgrades!$T$10="Solar Wind",POWER(Upgrades!$U$10,I239),1)*IF(Upgrades!$T$11="Solar Wind",POWER(Upgrades!$U$11,J239),1)*IF(Upgrades!$T$12="Solar Wind",POWER(Upgrades!$U$12,K239),1))/AG239,0)</f>
        <v>0.0026701021455238</v>
      </c>
      <c r="AT239" s="33" t="n">
        <f aca="false">IFERROR(Upgrades!$H$7*(POWER(Upgrades!$P$6,E239)*POWER(Upgrades!$P$7,F239)*POWER(Upgrades!$P$8,G239)*POWER(Upgrades!$P$9,H239)*POWER(Upgrades!$P$10,I239)*POWER(Upgrades!$P$11,J239)*POWER(Upgrades!$P$12,K239))*(IF(Upgrades!$T$6="Asteroid Belt",POWER(Upgrades!$U$6,E239),1)*IF(Upgrades!$T$8="Asteroid Belt",POWER(Upgrades!$U$8,G239),1)*IF(Upgrades!$T$9="Asteroid Belt",POWER(Upgrades!$U$9,H239),1)*IF(Upgrades!$T$10="Asteroid Belt",POWER(Upgrades!$U$10,I239),1)*IF(Upgrades!$T$11="Asteroid Belt",POWER(Upgrades!$U$11,J239),1)*IF(Upgrades!$T$12="Asteroid Belt",POWER(Upgrades!$U$12,K239),1))/AH239,0)</f>
        <v>0.00308980882652332</v>
      </c>
      <c r="AU239" s="33" t="n">
        <f aca="false">IFERROR(Upgrades!$K$8*(POWER(Upgrades!$Q$6,E239)*POWER(Upgrades!$Q$7,F239)*POWER(Upgrades!$Q$8,G239)*POWER(Upgrades!$Q$9,H239)*POWER(Upgrades!$Q$10,I239)*POWER(Upgrades!$Q$11,J239)*POWER(Upgrades!$Q$12,K239))*(IF(Upgrades!$T$6="Stellar Coupling",POWER(Upgrades!$U$6,E239),1)*IF(Upgrades!$T$7="Stellar Coupling",POWER(Upgrades!$U$7,F239),1)*IF(Upgrades!$T$9="Stellar Coupling",POWER(Upgrades!$U$9,H239),1)*IF(Upgrades!$T$10="Stellar Coupling",POWER(Upgrades!$U$10,I239),1)*IF(Upgrades!$T$11="Stellar Coupling",POWER(Upgrades!$U$11,J239),1)*IF(Upgrades!$T$12="Stellar Coupling",POWER(Upgrades!$U$12,K239),1))*Parameters!$B$10*Parameters!$B$11/60/AI239,0)</f>
        <v>0.00452762415783776</v>
      </c>
      <c r="AV239" s="33" t="n">
        <f aca="false">IFERROR(Upgrades!$H$9*(POWER(Upgrades!$P$6,E239)*POWER(Upgrades!$P$7,F239)*POWER(Upgrades!$P$8,G239)*POWER(Upgrades!$P$9,H239)*POWER(Upgrades!$P$10,I239)*POWER(Upgrades!$P$11,J239)*POWER(Upgrades!$P$12,K239))*(IF(Upgrades!$T$6="Magnetosphere",POWER(Upgrades!$U$6,E239),1)*IF(Upgrades!$T$7="Magnetosphere",POWER(Upgrades!$U$7,F239),1)*IF(Upgrades!$T$8="Magnetosphere",POWER(Upgrades!$U$8,G239),1)*IF(Upgrades!$T$10="Magnetosphere",POWER(Upgrades!$U$10,I239),1)*IF(Upgrades!$T$11="Magnetosphere",POWER(Upgrades!$U$11,J239),1)*IF(Upgrades!$T$12="Magnetosphere",POWER(Upgrades!$U$12,K239),1))/AJ239,0)</f>
        <v>0</v>
      </c>
      <c r="AW239" s="33" t="n">
        <f aca="false">MAX(IF(I239&gt;0,0,IFERROR(0.25*N239/Upgrades!$C$10,0)),IF(J239&gt;0,0,IFERROR(0.5*((IF(G239=0,0,(Upgrades!$J$8+G239*Upgrades!$K$8)*POWER(Upgrades!$L$8,G239)))*(IF(Upgrades!$T$6="Stellar Coupling",POWER(Upgrades!$U$6,E239),1)*IF(Upgrades!$T$7="Stellar Coupling",POWER(Upgrades!$U$7,F239),1)*IF(Upgrades!$T$9="Stellar Coupling",POWER(Upgrades!$U$9,H239),1)*IF(Upgrades!$T$10="Stellar Coupling",POWER(Upgrades!$U$10,I239),1)*IF(Upgrades!$T$11="Stellar Coupling",POWER(Upgrades!$U$11,J239),1)*IF(Upgrades!$T$12="Stellar Coupling",POWER(Upgrades!$U$12,K239),1))*(POWER(Upgrades!$Q$6,E239)*POWER(Upgrades!$Q$7,F239)*POWER(Upgrades!$Q$8,G239)*POWER(Upgrades!$Q$9,H239)*POWER(Upgrades!$Q$10,I239)*POWER(Upgrades!$Q$11,J239)*POWER(Upgrades!$Q$12,K239))*Parameters!$B$10*Parameters!$B$11/60)/Upgrades!$C$11,0)),IF(K239&gt;0,0,IFERROR((1*(POWER(Upgrades!$P$6,E239)*POWER(Upgrades!$P$7,F239)*POWER(Upgrades!$P$8,G239)*POWER(Upgrades!$P$9,H239)*POWER(Upgrades!$P$10,I239)*POWER(Upgrades!$P$11,J239)*POWER(Upgrades!$P$12,K239))+0.2*M239*Parameters!$B$10*Parameters!$B$11/60)/Upgrades!$C$12,0)),IF(AND(ISNUMBER(AG239),AG239&gt;T239),AS239,0),IF(AND(ISNUMBER(AH239),AH239&gt;T239),AT239,0),IF(AND(ISNUMBER(AI239),AI239&gt;T239),AU239,0),IF(AND(ISNUMBER(AJ239),AJ239&gt;T239),AV239,0))</f>
        <v>0.00452762415783776</v>
      </c>
      <c r="AX239" s="29" t="str">
        <f aca="false">IF(AN239=1,"transition",IF(MIN(IF(AND(I239=0,ISNUMBER(AK239),AK239&lt;=T239),AK239,9000000000000000),IF(AND(J239=0,ISNUMBER(AL239),AL239&lt;=T239),AL239,9000000000000000),IF(AND(K239=0,ISNUMBER(AM239),AM239&lt;=T239),AM239,9000000000000000))&lt;9000000000000000,IF(AND(AND(I239=0,ISNUMBER(AK239),AK239&lt;=T239),AK239=MIN(IF(AND(I239=0,ISNUMBER(AK239),AK239&lt;=T239),AK239,9000000000000000),IF(AND(J239=0,ISNUMBER(AL239),AL239&lt;=T239),AL239,9000000000000000),IF(AND(K239=0,ISNUMBER(AM239),AM239&lt;=T239),AM239,9000000000000000))),"OR",IF(AND(AND(J239=0,ISNUMBER(AL239),AL239&lt;=T239),AL239=MIN(IF(AND(I239=0,ISNUMBER(AK239),AK239&lt;=T239),AK239,9000000000000000),IF(AND(J239=0,ISNUMBER(AL239),AL239&lt;=T239),AL239,9000000000000000),IF(AND(K239=0,ISNUMBER(AM239),AM239&lt;=T239),AM239,9000000000000000))),"HP","FP")),IF(AR239=TRUE(),"",IF(MAX(IF(AND(NOT(AND(AO239=1,AN239&lt;&gt;1)),ISNUMBER(AG239),AG239&lt;=T239),AS239,0),IF(AND(NOT(AND(AO239=1,AN239&lt;&gt;1)),ISNUMBER(AH239),AH239&lt;=T239),AT239,0),IF(AND(NOT(AND(AO239=1,AN239&lt;&gt;1)),ISNUMBER(AI239),AI239&lt;=T239),AU239,0),IF(AND(ISNUMBER(AJ239),AJ239&lt;=T239),AV239,0))&lt;=0,"",IF(AND(IF(AND(NOT(AND(AO239=1,AN239&lt;&gt;1)),ISNUMBER(AG239),AG239&lt;=T239),AS239,0)&gt;0,IF(AND(NOT(AND(AO239=1,AN239&lt;&gt;1)),ISNUMBER(AG239),AG239&lt;=T239),AS239,0)=MAX(IF(AND(NOT(AND(AO239=1,AN239&lt;&gt;1)),ISNUMBER(AG239),AG239&lt;=T239),AS239,0),IF(AND(NOT(AND(AO239=1,AN239&lt;&gt;1)),ISNUMBER(AH239),AH239&lt;=T239),AT239,0),IF(AND(NOT(AND(AO239=1,AN239&lt;&gt;1)),ISNUMBER(AI239),AI239&lt;=T239),AU239,0),IF(AND(ISNUMBER(AJ239),AJ239&lt;=T239),AV239,0))),"SW",IF(AND(IF(AND(NOT(AND(AO239=1,AN239&lt;&gt;1)),ISNUMBER(AH239),AH239&lt;=T239),AT239,0)&gt;0,IF(AND(NOT(AND(AO239=1,AN239&lt;&gt;1)),ISNUMBER(AH239),AH239&lt;=T239),AT239,0)=MAX(IF(AND(NOT(AND(AO239=1,AN239&lt;&gt;1)),ISNUMBER(AG239),AG239&lt;=T239),AS239,0),IF(AND(NOT(AND(AO239=1,AN239&lt;&gt;1)),ISNUMBER(AH239),AH239&lt;=T239),AT239,0),IF(AND(NOT(AND(AO239=1,AN239&lt;&gt;1)),ISNUMBER(AI239),AI239&lt;=T239),AU239,0),IF(AND(ISNUMBER(AJ239),AJ239&lt;=T239),AV239,0))),"AB",IF(AND(IF(AND(NOT(AND(AO239=1,AN239&lt;&gt;1)),ISNUMBER(AI239),AI239&lt;=T239),AU239,0)&gt;0,IF(AND(NOT(AND(AO239=1,AN239&lt;&gt;1)),ISNUMBER(AI239),AI239&lt;=T239),AU239,0)=MAX(IF(AND(NOT(AND(AO239=1,AN239&lt;&gt;1)),ISNUMBER(AG239),AG239&lt;=T239),AS239,0),IF(AND(NOT(AND(AO239=1,AN239&lt;&gt;1)),ISNUMBER(AH239),AH239&lt;=T239),AT239,0),IF(AND(NOT(AND(AO239=1,AN239&lt;&gt;1)),ISNUMBER(AI239),AI239&lt;=T239),AU239,0),IF(AND(ISNUMBER(AJ239),AJ239&lt;=T239),AV239,0))),"SC","Mag")))))))</f>
        <v/>
      </c>
    </row>
    <row r="240" customFormat="false" ht="15" hidden="false" customHeight="false" outlineLevel="0" collapsed="false">
      <c r="A240" s="26" t="n">
        <v>235</v>
      </c>
      <c r="B240" s="27" t="n">
        <f aca="false">A240*10/60</f>
        <v>39.1666666666667</v>
      </c>
      <c r="C240" s="21" t="n">
        <f aca="false">X239</f>
        <v>18.6730249835055</v>
      </c>
      <c r="D240" s="27" t="n">
        <f aca="false">D239+W239</f>
        <v>0</v>
      </c>
      <c r="E240" s="26" t="n">
        <f aca="false">E239+IF(U239="SW",1,0)</f>
        <v>12</v>
      </c>
      <c r="F240" s="26" t="n">
        <f aca="false">F239+IF(U239="AB",1,0)</f>
        <v>10</v>
      </c>
      <c r="G240" s="26" t="n">
        <f aca="false">G239+IF(U239="SC",1,0)</f>
        <v>7</v>
      </c>
      <c r="H240" s="26" t="n">
        <f aca="false">H239+IF(U239="Mag",1,0)</f>
        <v>5</v>
      </c>
      <c r="I240" s="26" t="n">
        <f aca="false">MAX(I239,IF(U239="OR",1,0))</f>
        <v>1</v>
      </c>
      <c r="J240" s="26" t="n">
        <f aca="false">MAX(J239,IF(U239="HP",1,0))</f>
        <v>1</v>
      </c>
      <c r="K240" s="26" t="n">
        <f aca="false">MAX(K239,IF(U239="FP",1,0))</f>
        <v>1</v>
      </c>
      <c r="L240" s="26" t="n">
        <f aca="false">MAX(L239,IF(U239="transition",1,0))</f>
        <v>1</v>
      </c>
      <c r="M240" s="28" t="n">
        <f aca="false">(Parameters!$B$9+(IF(E240=0,0,(Upgrades!$J$6+E240*Upgrades!$K$6)*POWER(Upgrades!$L$6,E240)))*(IF(Upgrades!$T$7="Solar Wind",POWER(Upgrades!$U$7,F240),1)*IF(Upgrades!$T$8="Solar Wind",POWER(Upgrades!$U$8,G240),1)*IF(Upgrades!$T$9="Solar Wind",POWER(Upgrades!$U$9,H240),1)*IF(Upgrades!$T$10="Solar Wind",POWER(Upgrades!$U$10,I240),1)*IF(Upgrades!$T$11="Solar Wind",POWER(Upgrades!$U$11,J240),1)*IF(Upgrades!$T$12="Solar Wind",POWER(Upgrades!$U$12,K240),1))+(IF(F240=0,0,(Upgrades!$J$7+F240*Upgrades!$K$7)*POWER(Upgrades!$L$7,F240)))*(IF(Upgrades!$T$6="Asteroid Belt",POWER(Upgrades!$U$6,E240),1)*IF(Upgrades!$T$8="Asteroid Belt",POWER(Upgrades!$U$8,G240),1)*IF(Upgrades!$T$9="Asteroid Belt",POWER(Upgrades!$U$9,H240),1)*IF(Upgrades!$T$10="Asteroid Belt",POWER(Upgrades!$U$10,I240),1)*IF(Upgrades!$T$11="Asteroid Belt",POWER(Upgrades!$U$11,J240),1)*IF(Upgrades!$T$12="Asteroid Belt",POWER(Upgrades!$U$12,K240),1))+(IF(G240=0,0,(Upgrades!$J$8+G240*Upgrades!$K$8)*POWER(Upgrades!$L$8,G240)))*(IF(Upgrades!$T$6="Stellar Coupling",POWER(Upgrades!$U$6,E240),1)*IF(Upgrades!$T$7="Stellar Coupling",POWER(Upgrades!$U$7,F240),1)*IF(Upgrades!$T$9="Stellar Coupling",POWER(Upgrades!$U$9,H240),1)*IF(Upgrades!$T$10="Stellar Coupling",POWER(Upgrades!$U$10,I240),1)*IF(Upgrades!$T$11="Stellar Coupling",POWER(Upgrades!$U$11,J240),1)*IF(Upgrades!$T$12="Stellar Coupling",POWER(Upgrades!$U$12,K240),1))+(IF(H240=0,0,(Upgrades!$J$9+H240*Upgrades!$K$9)*POWER(Upgrades!$L$9,H240)))*(IF(Upgrades!$T$6="Magnetosphere",POWER(Upgrades!$U$6,E240),1)*IF(Upgrades!$T$7="Magnetosphere",POWER(Upgrades!$U$7,F240),1)*IF(Upgrades!$T$8="Magnetosphere",POWER(Upgrades!$U$8,G240),1)*IF(Upgrades!$T$10="Magnetosphere",POWER(Upgrades!$U$10,I240),1)*IF(Upgrades!$T$11="Magnetosphere",POWER(Upgrades!$U$11,J240),1)*IF(Upgrades!$T$12="Magnetosphere",POWER(Upgrades!$U$12,K240),1))+(IF(I240=0,0,(Upgrades!$J$10+I240*Upgrades!$K$10)*POWER(Upgrades!$L$10,I240)))*(IF(Upgrades!$T$6="Orbital Resonance",POWER(Upgrades!$U$6,E240),1)*IF(Upgrades!$T$7="Orbital Resonance",POWER(Upgrades!$U$7,F240),1)*IF(Upgrades!$T$8="Orbital Resonance",POWER(Upgrades!$U$8,G240),1)*IF(Upgrades!$T$9="Orbital Resonance",POWER(Upgrades!$U$9,H240),1)*IF(Upgrades!$T$11="Orbital Resonance",POWER(Upgrades!$U$11,J240),1)*IF(Upgrades!$T$12="Orbital Resonance",POWER(Upgrades!$U$12,K240),1))+(IF(J240=0,0,(Upgrades!$J$11+J240*Upgrades!$K$11)*POWER(Upgrades!$L$11,J240)))*(IF(Upgrades!$T$6="Heliopause",POWER(Upgrades!$U$6,E240),1)*IF(Upgrades!$T$7="Heliopause",POWER(Upgrades!$U$7,F240),1)*IF(Upgrades!$T$8="Heliopause",POWER(Upgrades!$U$8,G240),1)*IF(Upgrades!$T$9="Heliopause",POWER(Upgrades!$U$9,H240),1)*IF(Upgrades!$T$10="Heliopause",POWER(Upgrades!$U$10,I240),1)*IF(Upgrades!$T$12="Heliopause",POWER(Upgrades!$U$12,K240),1))+(IF(K240=0,0,(Upgrades!$J$12+K240*Upgrades!$K$12)*POWER(Upgrades!$L$12,K240)))*(IF(Upgrades!$T$6="First Photons",POWER(Upgrades!$U$6,E240),1)*IF(Upgrades!$T$7="First Photons",POWER(Upgrades!$U$7,F240),1)*IF(Upgrades!$T$8="First Photons",POWER(Upgrades!$U$8,G240),1)*IF(Upgrades!$T$9="First Photons",POWER(Upgrades!$U$9,H240),1)*IF(Upgrades!$T$10="First Photons",POWER(Upgrades!$U$10,I240),1)*IF(Upgrades!$T$11="First Photons",POWER(Upgrades!$U$11,J240),1)))*POWER(Upgrades!$Q$6,E240)*POWER(Upgrades!$Q$7,F240)*POWER(Upgrades!$Q$8,G240)*POWER(Upgrades!$Q$9,H240)*POWER(Upgrades!$Q$10,I240)*POWER(Upgrades!$Q$11,J240)*POWER(Upgrades!$Q$12,K240)</f>
        <v>5.61</v>
      </c>
      <c r="N240" s="28" t="n">
        <f aca="false">((IF(E240=0,0,(Upgrades!$G$6+E240*Upgrades!$H$6)*POWER(Upgrades!$I$6,E240)))*(IF(Upgrades!$T$7="Solar Wind",POWER(Upgrades!$U$7,F240),1)*IF(Upgrades!$T$8="Solar Wind",POWER(Upgrades!$U$8,G240),1)*IF(Upgrades!$T$9="Solar Wind",POWER(Upgrades!$U$9,H240),1)*IF(Upgrades!$T$10="Solar Wind",POWER(Upgrades!$U$10,I240),1)*IF(Upgrades!$T$11="Solar Wind",POWER(Upgrades!$U$11,J240),1)*IF(Upgrades!$T$12="Solar Wind",POWER(Upgrades!$U$12,K240),1))+(IF(F240=0,0,(Upgrades!$G$7+F240*Upgrades!$H$7)*POWER(Upgrades!$I$7,F240)))*(IF(Upgrades!$T$6="Asteroid Belt",POWER(Upgrades!$U$6,E240),1)*IF(Upgrades!$T$8="Asteroid Belt",POWER(Upgrades!$U$8,G240),1)*IF(Upgrades!$T$9="Asteroid Belt",POWER(Upgrades!$U$9,H240),1)*IF(Upgrades!$T$10="Asteroid Belt",POWER(Upgrades!$U$10,I240),1)*IF(Upgrades!$T$11="Asteroid Belt",POWER(Upgrades!$U$11,J240),1)*IF(Upgrades!$T$12="Asteroid Belt",POWER(Upgrades!$U$12,K240),1))+(IF(G240=0,0,(Upgrades!$G$8+G240*Upgrades!$H$8)*POWER(Upgrades!$I$8,G240)))*(IF(Upgrades!$T$6="Stellar Coupling",POWER(Upgrades!$U$6,E240),1)*IF(Upgrades!$T$7="Stellar Coupling",POWER(Upgrades!$U$7,F240),1)*IF(Upgrades!$T$9="Stellar Coupling",POWER(Upgrades!$U$9,H240),1)*IF(Upgrades!$T$10="Stellar Coupling",POWER(Upgrades!$U$10,I240),1)*IF(Upgrades!$T$11="Stellar Coupling",POWER(Upgrades!$U$11,J240),1)*IF(Upgrades!$T$12="Stellar Coupling",POWER(Upgrades!$U$12,K240),1))+(IF(H240=0,0,(Upgrades!$G$9+H240*Upgrades!$H$9)*POWER(Upgrades!$I$9,H240)))*(IF(Upgrades!$T$6="Magnetosphere",POWER(Upgrades!$U$6,E240),1)*IF(Upgrades!$T$7="Magnetosphere",POWER(Upgrades!$U$7,F240),1)*IF(Upgrades!$T$8="Magnetosphere",POWER(Upgrades!$U$8,G240),1)*IF(Upgrades!$T$10="Magnetosphere",POWER(Upgrades!$U$10,I240),1)*IF(Upgrades!$T$11="Magnetosphere",POWER(Upgrades!$U$11,J240),1)*IF(Upgrades!$T$12="Magnetosphere",POWER(Upgrades!$U$12,K240),1))+(IF(I240=0,0,(Upgrades!$G$10+I240*Upgrades!$H$10)*POWER(Upgrades!$I$10,I240)))*(IF(Upgrades!$T$6="Orbital Resonance",POWER(Upgrades!$U$6,E240),1)*IF(Upgrades!$T$7="Orbital Resonance",POWER(Upgrades!$U$7,F240),1)*IF(Upgrades!$T$8="Orbital Resonance",POWER(Upgrades!$U$8,G240),1)*IF(Upgrades!$T$9="Orbital Resonance",POWER(Upgrades!$U$9,H240),1)*IF(Upgrades!$T$11="Orbital Resonance",POWER(Upgrades!$U$11,J240),1)*IF(Upgrades!$T$12="Orbital Resonance",POWER(Upgrades!$U$12,K240),1))+(IF(J240=0,0,(Upgrades!$G$11+J240*Upgrades!$H$11)*POWER(Upgrades!$I$11,J240)))*(IF(Upgrades!$T$6="Heliopause",POWER(Upgrades!$U$6,E240),1)*IF(Upgrades!$T$7="Heliopause",POWER(Upgrades!$U$7,F240),1)*IF(Upgrades!$T$8="Heliopause",POWER(Upgrades!$U$8,G240),1)*IF(Upgrades!$T$9="Heliopause",POWER(Upgrades!$U$9,H240),1)*IF(Upgrades!$T$10="Heliopause",POWER(Upgrades!$U$10,I240),1)*IF(Upgrades!$T$12="Heliopause",POWER(Upgrades!$U$12,K240),1))+(IF(K240=0,0,(Upgrades!$G$12+K240*Upgrades!$H$12)*POWER(Upgrades!$I$12,K240)))*(IF(Upgrades!$T$6="First Photons",POWER(Upgrades!$U$6,E240),1)*IF(Upgrades!$T$7="First Photons",POWER(Upgrades!$U$7,F240),1)*IF(Upgrades!$T$8="First Photons",POWER(Upgrades!$U$8,G240),1)*IF(Upgrades!$T$9="First Photons",POWER(Upgrades!$U$9,H240),1)*IF(Upgrades!$T$10="First Photons",POWER(Upgrades!$U$10,I240),1)*IF(Upgrades!$T$11="First Photons",POWER(Upgrades!$U$11,J240),1)))*POWER(Upgrades!$P$6,E240)*POWER(Upgrades!$P$7,F240)*POWER(Upgrades!$P$8,G240)*POWER(Upgrades!$P$9,H240)*POWER(Upgrades!$P$10,I240)*POWER(Upgrades!$P$11,J240)*POWER(Upgrades!$P$12,K240)</f>
        <v>11.2</v>
      </c>
      <c r="O240" s="28" t="n">
        <f aca="false">((IF(E240=0,0,(Upgrades!$M$6+E240*Upgrades!$N$6)*POWER(Upgrades!$O$6,E240)))*(IF(Upgrades!$T$7="Solar Wind",POWER(Upgrades!$U$7,F240),1)*IF(Upgrades!$T$8="Solar Wind",POWER(Upgrades!$U$8,G240),1)*IF(Upgrades!$T$9="Solar Wind",POWER(Upgrades!$U$9,H240),1)*IF(Upgrades!$T$10="Solar Wind",POWER(Upgrades!$U$10,I240),1)*IF(Upgrades!$T$11="Solar Wind",POWER(Upgrades!$U$11,J240),1)*IF(Upgrades!$T$12="Solar Wind",POWER(Upgrades!$U$12,K240),1))+(IF(F240=0,0,(Upgrades!$M$7+F240*Upgrades!$N$7)*POWER(Upgrades!$O$7,F240)))*(IF(Upgrades!$T$6="Asteroid Belt",POWER(Upgrades!$U$6,E240),1)*IF(Upgrades!$T$8="Asteroid Belt",POWER(Upgrades!$U$8,G240),1)*IF(Upgrades!$T$9="Asteroid Belt",POWER(Upgrades!$U$9,H240),1)*IF(Upgrades!$T$10="Asteroid Belt",POWER(Upgrades!$U$10,I240),1)*IF(Upgrades!$T$11="Asteroid Belt",POWER(Upgrades!$U$11,J240),1)*IF(Upgrades!$T$12="Asteroid Belt",POWER(Upgrades!$U$12,K240),1))+(IF(G240=0,0,(Upgrades!$M$8+G240*Upgrades!$N$8)*POWER(Upgrades!$O$8,G240)))*(IF(Upgrades!$T$6="Stellar Coupling",POWER(Upgrades!$U$6,E240),1)*IF(Upgrades!$T$7="Stellar Coupling",POWER(Upgrades!$U$7,F240),1)*IF(Upgrades!$T$9="Stellar Coupling",POWER(Upgrades!$U$9,H240),1)*IF(Upgrades!$T$10="Stellar Coupling",POWER(Upgrades!$U$10,I240),1)*IF(Upgrades!$T$11="Stellar Coupling",POWER(Upgrades!$U$11,J240),1)*IF(Upgrades!$T$12="Stellar Coupling",POWER(Upgrades!$U$12,K240),1))+(IF(H240=0,0,(Upgrades!$M$9+H240*Upgrades!$N$9)*POWER(Upgrades!$O$9,H240)))*(IF(Upgrades!$T$6="Magnetosphere",POWER(Upgrades!$U$6,E240),1)*IF(Upgrades!$T$7="Magnetosphere",POWER(Upgrades!$U$7,F240),1)*IF(Upgrades!$T$8="Magnetosphere",POWER(Upgrades!$U$8,G240),1)*IF(Upgrades!$T$10="Magnetosphere",POWER(Upgrades!$U$10,I240),1)*IF(Upgrades!$T$11="Magnetosphere",POWER(Upgrades!$U$11,J240),1)*IF(Upgrades!$T$12="Magnetosphere",POWER(Upgrades!$U$12,K240),1))+(IF(I240=0,0,(Upgrades!$M$10+I240*Upgrades!$N$10)*POWER(Upgrades!$O$10,I240)))*(IF(Upgrades!$T$6="Orbital Resonance",POWER(Upgrades!$U$6,E240),1)*IF(Upgrades!$T$7="Orbital Resonance",POWER(Upgrades!$U$7,F240),1)*IF(Upgrades!$T$8="Orbital Resonance",POWER(Upgrades!$U$8,G240),1)*IF(Upgrades!$T$9="Orbital Resonance",POWER(Upgrades!$U$9,H240),1)*IF(Upgrades!$T$11="Orbital Resonance",POWER(Upgrades!$U$11,J240),1)*IF(Upgrades!$T$12="Orbital Resonance",POWER(Upgrades!$U$12,K240),1))+(IF(J240=0,0,(Upgrades!$M$11+J240*Upgrades!$N$11)*POWER(Upgrades!$O$11,J240)))*(IF(Upgrades!$T$6="Heliopause",POWER(Upgrades!$U$6,E240),1)*IF(Upgrades!$T$7="Heliopause",POWER(Upgrades!$U$7,F240),1)*IF(Upgrades!$T$8="Heliopause",POWER(Upgrades!$U$8,G240),1)*IF(Upgrades!$T$9="Heliopause",POWER(Upgrades!$U$9,H240),1)*IF(Upgrades!$T$10="Heliopause",POWER(Upgrades!$U$10,I240),1)*IF(Upgrades!$T$12="Heliopause",POWER(Upgrades!$U$12,K240),1))+(IF(K240=0,0,(Upgrades!$M$12+K240*Upgrades!$N$12)*POWER(Upgrades!$O$12,K240)))*(IF(Upgrades!$T$6="First Photons",POWER(Upgrades!$U$6,E240),1)*IF(Upgrades!$T$7="First Photons",POWER(Upgrades!$U$7,F240),1)*IF(Upgrades!$T$8="First Photons",POWER(Upgrades!$U$8,G240),1)*IF(Upgrades!$T$9="First Photons",POWER(Upgrades!$U$9,H240),1)*IF(Upgrades!$T$10="First Photons",POWER(Upgrades!$U$10,I240),1)*IF(Upgrades!$T$11="First Photons",POWER(Upgrades!$U$11,J240),1)))*POWER(Upgrades!$R$6,E240)*POWER(Upgrades!$R$7,F240)*POWER(Upgrades!$R$8,G240)*POWER(Upgrades!$R$9,H240)*POWER(Upgrades!$R$10,I240)*POWER(Upgrades!$R$11,J240)*POWER(Upgrades!$R$12,K240)</f>
        <v>0</v>
      </c>
      <c r="P240" s="27" t="n">
        <f aca="false">IF(L240=1,0,M240*Parameters!$B$10/60*Parameters!$B$11*10)</f>
        <v>0</v>
      </c>
      <c r="Q240" s="27" t="n">
        <f aca="false">IF(L240=1,0,O240*M240*10)</f>
        <v>0</v>
      </c>
      <c r="R240" s="27" t="n">
        <f aca="false">IF(L240=1,0,N240*10)</f>
        <v>0</v>
      </c>
      <c r="S240" s="27" t="n">
        <f aca="false">P240+Q240+R240</f>
        <v>0</v>
      </c>
      <c r="T240" s="21" t="n">
        <f aca="false">C240+S240</f>
        <v>18.6730249835055</v>
      </c>
      <c r="U240" s="34" t="str">
        <f aca="false">AX240</f>
        <v/>
      </c>
      <c r="V240" s="21" t="n">
        <f aca="false">IF(U240="",0,IF(U240="transition",0,IF(U240="SW",AG240,IF(U240="AB",AH240,IF(U240="SC",AI240,IF(U240="Mag",AJ240,IF(U240="OR",AK240,IF(U240="HP",AL240,IF(U240="FP",AM240,0)))))))))</f>
        <v>0</v>
      </c>
      <c r="W240" s="27" t="n">
        <f aca="false">IF(U240="OR",Upgrades!$F$10,IF(U240="HP",Upgrades!$F$11,IF(U240="transition",-Parameters!$B$18,0)))</f>
        <v>0</v>
      </c>
      <c r="X240" s="21" t="n">
        <f aca="false">T240-V240</f>
        <v>18.6730249835055</v>
      </c>
      <c r="Y240" s="30" t="n">
        <f aca="false">M240*Parameters!$B$10/60*Parameters!$B$11+O240*M240+N240</f>
        <v>20.55</v>
      </c>
      <c r="Z240" s="35" t="str">
        <f aca="false">IF(U240="transition","→ Tier 2 (Stellar Neighborhood)",IF(U240="FP","First Photons — light begins, system quickens",IF(U240="HP","Heliopause acquired",IF(U240="OR","Orbital Resonance — passive multiplier active",IF(AND(AO240=1,L240=0,AN240&lt;&gt;1),"Cohesion ready (waiting on completionist upgrades)","")))))</f>
        <v/>
      </c>
      <c r="AA240" s="27" t="n">
        <f aca="false">(IF(E240=0,0,(Upgrades!$G$6+E240*Upgrades!$H$6)*POWER(Upgrades!$I$6,E240)))*(IF(Upgrades!$T$7="Solar Wind",POWER(Upgrades!$U$7,F240),1)*IF(Upgrades!$T$8="Solar Wind",POWER(Upgrades!$U$8,G240),1)*IF(Upgrades!$T$9="Solar Wind",POWER(Upgrades!$U$9,H240),1)*IF(Upgrades!$T$10="Solar Wind",POWER(Upgrades!$U$10,I240),1)*IF(Upgrades!$T$11="Solar Wind",POWER(Upgrades!$U$11,J240),1)*IF(Upgrades!$T$12="Solar Wind",POWER(Upgrades!$U$12,K240),1))*POWER(Upgrades!$P$6,E240)*POWER(Upgrades!$P$7,F240)*POWER(Upgrades!$P$8,G240)*POWER(Upgrades!$P$9,H240)*POWER(Upgrades!$P$10,I240)*POWER(Upgrades!$P$11,J240)*POWER(Upgrades!$P$12,K240)*60</f>
        <v>72</v>
      </c>
      <c r="AB240" s="27" t="n">
        <f aca="false">(IF(F240=0,0,(Upgrades!$G$7+F240*Upgrades!$H$7)*POWER(Upgrades!$I$7,F240)))*(IF(Upgrades!$T$6="Asteroid Belt",POWER(Upgrades!$U$6,E240),1)*IF(Upgrades!$T$8="Asteroid Belt",POWER(Upgrades!$U$8,G240),1)*IF(Upgrades!$T$9="Asteroid Belt",POWER(Upgrades!$U$9,H240),1)*IF(Upgrades!$T$10="Asteroid Belt",POWER(Upgrades!$U$10,I240),1)*IF(Upgrades!$T$11="Asteroid Belt",POWER(Upgrades!$U$11,J240),1)*IF(Upgrades!$T$12="Asteroid Belt",POWER(Upgrades!$U$12,K240),1))*POWER(Upgrades!$P$6,E240)*POWER(Upgrades!$P$7,F240)*POWER(Upgrades!$P$8,G240)*POWER(Upgrades!$P$9,H240)*POWER(Upgrades!$P$10,I240)*POWER(Upgrades!$P$11,J240)*POWER(Upgrades!$P$12,K240)*60</f>
        <v>150</v>
      </c>
      <c r="AC240" s="27" t="n">
        <f aca="false">(IF(G240=0,0,(Upgrades!$J$8+G240*Upgrades!$K$8)*POWER(Upgrades!$L$8,G240)))*(IF(Upgrades!$T$6="Stellar Coupling",POWER(Upgrades!$U$6,E240),1)*IF(Upgrades!$T$7="Stellar Coupling",POWER(Upgrades!$U$7,F240),1)*IF(Upgrades!$T$9="Stellar Coupling",POWER(Upgrades!$U$9,H240),1)*IF(Upgrades!$T$10="Stellar Coupling",POWER(Upgrades!$U$10,I240),1)*IF(Upgrades!$T$11="Stellar Coupling",POWER(Upgrades!$U$11,J240),1)*IF(Upgrades!$T$12="Stellar Coupling",POWER(Upgrades!$U$12,K240),1))*POWER(Upgrades!$Q$6,E240)*POWER(Upgrades!$Q$7,F240)*POWER(Upgrades!$Q$8,G240)*POWER(Upgrades!$Q$9,H240)*POWER(Upgrades!$Q$10,I240)*POWER(Upgrades!$Q$11,J240)*POWER(Upgrades!$Q$12,K240)*Parameters!$B$10*Parameters!$B$11</f>
        <v>441</v>
      </c>
      <c r="AD240" s="27" t="n">
        <f aca="false">(IF(H240=0,0,(Upgrades!$G$9+H240*Upgrades!$H$9)*POWER(Upgrades!$I$9,H240)))*(IF(Upgrades!$T$6="Magnetosphere",POWER(Upgrades!$U$6,E240),1)*IF(Upgrades!$T$7="Magnetosphere",POWER(Upgrades!$U$7,F240),1)*IF(Upgrades!$T$8="Magnetosphere",POWER(Upgrades!$U$8,G240),1)*IF(Upgrades!$T$10="Magnetosphere",POWER(Upgrades!$U$10,I240),1)*IF(Upgrades!$T$11="Magnetosphere",POWER(Upgrades!$U$11,J240),1)*IF(Upgrades!$T$12="Magnetosphere",POWER(Upgrades!$U$12,K240),1))*POWER(Upgrades!$P$6,E240)*POWER(Upgrades!$P$7,F240)*POWER(Upgrades!$P$8,G240)*POWER(Upgrades!$P$9,H240)*POWER(Upgrades!$P$10,I240)*POWER(Upgrades!$P$11,J240)*POWER(Upgrades!$P$12,K240)*60</f>
        <v>375</v>
      </c>
      <c r="AE240" s="27" t="n">
        <f aca="false">(IF(K240=0,0,(Upgrades!$G$12+K240*Upgrades!$H$12)*POWER(Upgrades!$I$12,K240)))*(IF(Upgrades!$T$6="First Photons",POWER(Upgrades!$U$6,E240),1)*IF(Upgrades!$T$7="First Photons",POWER(Upgrades!$U$7,F240),1)*IF(Upgrades!$T$8="First Photons",POWER(Upgrades!$U$8,G240),1)*IF(Upgrades!$T$9="First Photons",POWER(Upgrades!$U$9,H240),1)*IF(Upgrades!$T$10="First Photons",POWER(Upgrades!$U$10,I240),1)*IF(Upgrades!$T$11="First Photons",POWER(Upgrades!$U$11,J240),1))*POWER(Upgrades!$P$6,E240)*POWER(Upgrades!$P$7,F240)*POWER(Upgrades!$P$8,G240)*POWER(Upgrades!$P$9,H240)*POWER(Upgrades!$P$10,I240)*POWER(Upgrades!$P$11,J240)*POWER(Upgrades!$P$12,K240)*60</f>
        <v>75</v>
      </c>
      <c r="AF240" s="27" t="n">
        <f aca="false">Parameters!$B$9*POWER(Upgrades!$Q$6,E240)*POWER(Upgrades!$Q$7,F240)*POWER(Upgrades!$Q$8,G240)*POWER(Upgrades!$Q$9,H240)*POWER(Upgrades!$Q$10,I240)*POWER(Upgrades!$Q$11,J240)*POWER(Upgrades!$Q$12,K240)*(Parameters!$B$10*Parameters!$B$11+O240*60)</f>
        <v>120</v>
      </c>
      <c r="AG240" s="21" t="n">
        <f aca="false">IF(E240&gt;=Upgrades!$E$6,"",Upgrades!$C$6*POWER(Upgrades!$D$6,E240))</f>
        <v>37.4517507383159</v>
      </c>
      <c r="AH240" s="21" t="n">
        <f aca="false">IF(F240&gt;=Upgrades!$E$7,"",Upgrades!$C$7*POWER(Upgrades!$D$7,F240))</f>
        <v>80.9111547141581</v>
      </c>
      <c r="AI240" s="21" t="n">
        <f aca="false">IF(G240&gt;=Upgrades!$E$8,"",Upgrades!$C$8*POWER(Upgrades!$D$8,G240))</f>
        <v>231.9097088</v>
      </c>
      <c r="AJ240" s="21" t="str">
        <f aca="false">IF(H240&gt;=Upgrades!$E$9,"",Upgrades!$C$9*POWER(Upgrades!$D$9,H240))</f>
        <v/>
      </c>
      <c r="AK240" s="21" t="str">
        <f aca="false">IF(I240&gt;=Upgrades!$E$10,"",Upgrades!$C$10*POWER(Upgrades!$D$10,I240))</f>
        <v/>
      </c>
      <c r="AL240" s="21" t="str">
        <f aca="false">IF(J240&gt;=Upgrades!$E$11,"",Upgrades!$C$11*POWER(Upgrades!$D$11,J240))</f>
        <v/>
      </c>
      <c r="AM240" s="21" t="str">
        <f aca="false">IF(K240&gt;=Upgrades!$E$12,"",Upgrades!$C$12*POWER(Upgrades!$D$12,K240))</f>
        <v/>
      </c>
      <c r="AN240" s="26" t="str">
        <f aca="false">IF(AND(D240&gt;=Parameters!$B$18,(H240&gt;=Upgrades!$E$9)*(K240&gt;=Upgrades!$E$12)=1,L240=0),1,"")</f>
        <v/>
      </c>
      <c r="AO240" s="26" t="str">
        <f aca="false">IF(AND(D240&gt;=Parameters!$B$18,L240=0),1,"")</f>
        <v/>
      </c>
      <c r="AP240" s="21" t="n">
        <f aca="false">MIN(IF(ISNUMBER(AK240),AK240,9000000000000000),IF(ISNUMBER(AL240),AL240,9000000000000000),IF(ISNUMBER(AM240),AM240,9000000000000000))</f>
        <v>9000000000000000</v>
      </c>
      <c r="AQ240" s="21" t="n">
        <f aca="false">MIN(IF(ISNUMBER(AG240),AG240,9000000000000000),IF(ISNUMBER(AH240),AH240,9000000000000000),IF(ISNUMBER(AI240),AI240,9000000000000000),IF(ISNUMBER(AJ240),AJ240,9000000000000000))</f>
        <v>37.4517507383159</v>
      </c>
      <c r="AR240" s="32" t="b">
        <f aca="false">IF(AW240&gt;Parameters!$B$21*(MAX(IF(AND(NOT(AND(AO240=1,AN240&lt;&gt;1)),ISNUMBER(AG240),AG240&lt;=T240),AS240,0),IF(AND(NOT(AND(AO240=1,AN240&lt;&gt;1)),ISNUMBER(AH240),AH240&lt;=T240),AT240,0),IF(AND(NOT(AND(AO240=1,AN240&lt;&gt;1)),ISNUMBER(AI240),AI240&lt;=T240),AU240,0),IF(AND(ISNUMBER(AJ240),AJ240&lt;=T240),AV240,0))),TRUE(),FALSE())</f>
        <v>1</v>
      </c>
      <c r="AS240" s="33" t="n">
        <f aca="false">IFERROR(Upgrades!$H$6*(POWER(Upgrades!$P$6,E240)*POWER(Upgrades!$P$7,F240)*POWER(Upgrades!$P$8,G240)*POWER(Upgrades!$P$9,H240)*POWER(Upgrades!$P$10,I240)*POWER(Upgrades!$P$11,J240)*POWER(Upgrades!$P$12,K240))*(IF(Upgrades!$T$7="Solar Wind",POWER(Upgrades!$U$7,F240),1)*IF(Upgrades!$T$8="Solar Wind",POWER(Upgrades!$U$8,G240),1)*IF(Upgrades!$T$9="Solar Wind",POWER(Upgrades!$U$9,H240),1)*IF(Upgrades!$T$10="Solar Wind",POWER(Upgrades!$U$10,I240),1)*IF(Upgrades!$T$11="Solar Wind",POWER(Upgrades!$U$11,J240),1)*IF(Upgrades!$T$12="Solar Wind",POWER(Upgrades!$U$12,K240),1))/AG240,0)</f>
        <v>0.0026701021455238</v>
      </c>
      <c r="AT240" s="33" t="n">
        <f aca="false">IFERROR(Upgrades!$H$7*(POWER(Upgrades!$P$6,E240)*POWER(Upgrades!$P$7,F240)*POWER(Upgrades!$P$8,G240)*POWER(Upgrades!$P$9,H240)*POWER(Upgrades!$P$10,I240)*POWER(Upgrades!$P$11,J240)*POWER(Upgrades!$P$12,K240))*(IF(Upgrades!$T$6="Asteroid Belt",POWER(Upgrades!$U$6,E240),1)*IF(Upgrades!$T$8="Asteroid Belt",POWER(Upgrades!$U$8,G240),1)*IF(Upgrades!$T$9="Asteroid Belt",POWER(Upgrades!$U$9,H240),1)*IF(Upgrades!$T$10="Asteroid Belt",POWER(Upgrades!$U$10,I240),1)*IF(Upgrades!$T$11="Asteroid Belt",POWER(Upgrades!$U$11,J240),1)*IF(Upgrades!$T$12="Asteroid Belt",POWER(Upgrades!$U$12,K240),1))/AH240,0)</f>
        <v>0.00308980882652332</v>
      </c>
      <c r="AU240" s="33" t="n">
        <f aca="false">IFERROR(Upgrades!$K$8*(POWER(Upgrades!$Q$6,E240)*POWER(Upgrades!$Q$7,F240)*POWER(Upgrades!$Q$8,G240)*POWER(Upgrades!$Q$9,H240)*POWER(Upgrades!$Q$10,I240)*POWER(Upgrades!$Q$11,J240)*POWER(Upgrades!$Q$12,K240))*(IF(Upgrades!$T$6="Stellar Coupling",POWER(Upgrades!$U$6,E240),1)*IF(Upgrades!$T$7="Stellar Coupling",POWER(Upgrades!$U$7,F240),1)*IF(Upgrades!$T$9="Stellar Coupling",POWER(Upgrades!$U$9,H240),1)*IF(Upgrades!$T$10="Stellar Coupling",POWER(Upgrades!$U$10,I240),1)*IF(Upgrades!$T$11="Stellar Coupling",POWER(Upgrades!$U$11,J240),1)*IF(Upgrades!$T$12="Stellar Coupling",POWER(Upgrades!$U$12,K240),1))*Parameters!$B$10*Parameters!$B$11/60/AI240,0)</f>
        <v>0.00452762415783776</v>
      </c>
      <c r="AV240" s="33" t="n">
        <f aca="false">IFERROR(Upgrades!$H$9*(POWER(Upgrades!$P$6,E240)*POWER(Upgrades!$P$7,F240)*POWER(Upgrades!$P$8,G240)*POWER(Upgrades!$P$9,H240)*POWER(Upgrades!$P$10,I240)*POWER(Upgrades!$P$11,J240)*POWER(Upgrades!$P$12,K240))*(IF(Upgrades!$T$6="Magnetosphere",POWER(Upgrades!$U$6,E240),1)*IF(Upgrades!$T$7="Magnetosphere",POWER(Upgrades!$U$7,F240),1)*IF(Upgrades!$T$8="Magnetosphere",POWER(Upgrades!$U$8,G240),1)*IF(Upgrades!$T$10="Magnetosphere",POWER(Upgrades!$U$10,I240),1)*IF(Upgrades!$T$11="Magnetosphere",POWER(Upgrades!$U$11,J240),1)*IF(Upgrades!$T$12="Magnetosphere",POWER(Upgrades!$U$12,K240),1))/AJ240,0)</f>
        <v>0</v>
      </c>
      <c r="AW240" s="33" t="n">
        <f aca="false">MAX(IF(I240&gt;0,0,IFERROR(0.25*N240/Upgrades!$C$10,0)),IF(J240&gt;0,0,IFERROR(0.5*((IF(G240=0,0,(Upgrades!$J$8+G240*Upgrades!$K$8)*POWER(Upgrades!$L$8,G240)))*(IF(Upgrades!$T$6="Stellar Coupling",POWER(Upgrades!$U$6,E240),1)*IF(Upgrades!$T$7="Stellar Coupling",POWER(Upgrades!$U$7,F240),1)*IF(Upgrades!$T$9="Stellar Coupling",POWER(Upgrades!$U$9,H240),1)*IF(Upgrades!$T$10="Stellar Coupling",POWER(Upgrades!$U$10,I240),1)*IF(Upgrades!$T$11="Stellar Coupling",POWER(Upgrades!$U$11,J240),1)*IF(Upgrades!$T$12="Stellar Coupling",POWER(Upgrades!$U$12,K240),1))*(POWER(Upgrades!$Q$6,E240)*POWER(Upgrades!$Q$7,F240)*POWER(Upgrades!$Q$8,G240)*POWER(Upgrades!$Q$9,H240)*POWER(Upgrades!$Q$10,I240)*POWER(Upgrades!$Q$11,J240)*POWER(Upgrades!$Q$12,K240))*Parameters!$B$10*Parameters!$B$11/60)/Upgrades!$C$11,0)),IF(K240&gt;0,0,IFERROR((1*(POWER(Upgrades!$P$6,E240)*POWER(Upgrades!$P$7,F240)*POWER(Upgrades!$P$8,G240)*POWER(Upgrades!$P$9,H240)*POWER(Upgrades!$P$10,I240)*POWER(Upgrades!$P$11,J240)*POWER(Upgrades!$P$12,K240))+0.2*M240*Parameters!$B$10*Parameters!$B$11/60)/Upgrades!$C$12,0)),IF(AND(ISNUMBER(AG240),AG240&gt;T240),AS240,0),IF(AND(ISNUMBER(AH240),AH240&gt;T240),AT240,0),IF(AND(ISNUMBER(AI240),AI240&gt;T240),AU240,0),IF(AND(ISNUMBER(AJ240),AJ240&gt;T240),AV240,0))</f>
        <v>0.00452762415783776</v>
      </c>
      <c r="AX240" s="29" t="str">
        <f aca="false">IF(AN240=1,"transition",IF(MIN(IF(AND(I240=0,ISNUMBER(AK240),AK240&lt;=T240),AK240,9000000000000000),IF(AND(J240=0,ISNUMBER(AL240),AL240&lt;=T240),AL240,9000000000000000),IF(AND(K240=0,ISNUMBER(AM240),AM240&lt;=T240),AM240,9000000000000000))&lt;9000000000000000,IF(AND(AND(I240=0,ISNUMBER(AK240),AK240&lt;=T240),AK240=MIN(IF(AND(I240=0,ISNUMBER(AK240),AK240&lt;=T240),AK240,9000000000000000),IF(AND(J240=0,ISNUMBER(AL240),AL240&lt;=T240),AL240,9000000000000000),IF(AND(K240=0,ISNUMBER(AM240),AM240&lt;=T240),AM240,9000000000000000))),"OR",IF(AND(AND(J240=0,ISNUMBER(AL240),AL240&lt;=T240),AL240=MIN(IF(AND(I240=0,ISNUMBER(AK240),AK240&lt;=T240),AK240,9000000000000000),IF(AND(J240=0,ISNUMBER(AL240),AL240&lt;=T240),AL240,9000000000000000),IF(AND(K240=0,ISNUMBER(AM240),AM240&lt;=T240),AM240,9000000000000000))),"HP","FP")),IF(AR240=TRUE(),"",IF(MAX(IF(AND(NOT(AND(AO240=1,AN240&lt;&gt;1)),ISNUMBER(AG240),AG240&lt;=T240),AS240,0),IF(AND(NOT(AND(AO240=1,AN240&lt;&gt;1)),ISNUMBER(AH240),AH240&lt;=T240),AT240,0),IF(AND(NOT(AND(AO240=1,AN240&lt;&gt;1)),ISNUMBER(AI240),AI240&lt;=T240),AU240,0),IF(AND(ISNUMBER(AJ240),AJ240&lt;=T240),AV240,0))&lt;=0,"",IF(AND(IF(AND(NOT(AND(AO240=1,AN240&lt;&gt;1)),ISNUMBER(AG240),AG240&lt;=T240),AS240,0)&gt;0,IF(AND(NOT(AND(AO240=1,AN240&lt;&gt;1)),ISNUMBER(AG240),AG240&lt;=T240),AS240,0)=MAX(IF(AND(NOT(AND(AO240=1,AN240&lt;&gt;1)),ISNUMBER(AG240),AG240&lt;=T240),AS240,0),IF(AND(NOT(AND(AO240=1,AN240&lt;&gt;1)),ISNUMBER(AH240),AH240&lt;=T240),AT240,0),IF(AND(NOT(AND(AO240=1,AN240&lt;&gt;1)),ISNUMBER(AI240),AI240&lt;=T240),AU240,0),IF(AND(ISNUMBER(AJ240),AJ240&lt;=T240),AV240,0))),"SW",IF(AND(IF(AND(NOT(AND(AO240=1,AN240&lt;&gt;1)),ISNUMBER(AH240),AH240&lt;=T240),AT240,0)&gt;0,IF(AND(NOT(AND(AO240=1,AN240&lt;&gt;1)),ISNUMBER(AH240),AH240&lt;=T240),AT240,0)=MAX(IF(AND(NOT(AND(AO240=1,AN240&lt;&gt;1)),ISNUMBER(AG240),AG240&lt;=T240),AS240,0),IF(AND(NOT(AND(AO240=1,AN240&lt;&gt;1)),ISNUMBER(AH240),AH240&lt;=T240),AT240,0),IF(AND(NOT(AND(AO240=1,AN240&lt;&gt;1)),ISNUMBER(AI240),AI240&lt;=T240),AU240,0),IF(AND(ISNUMBER(AJ240),AJ240&lt;=T240),AV240,0))),"AB",IF(AND(IF(AND(NOT(AND(AO240=1,AN240&lt;&gt;1)),ISNUMBER(AI240),AI240&lt;=T240),AU240,0)&gt;0,IF(AND(NOT(AND(AO240=1,AN240&lt;&gt;1)),ISNUMBER(AI240),AI240&lt;=T240),AU240,0)=MAX(IF(AND(NOT(AND(AO240=1,AN240&lt;&gt;1)),ISNUMBER(AG240),AG240&lt;=T240),AS240,0),IF(AND(NOT(AND(AO240=1,AN240&lt;&gt;1)),ISNUMBER(AH240),AH240&lt;=T240),AT240,0),IF(AND(NOT(AND(AO240=1,AN240&lt;&gt;1)),ISNUMBER(AI240),AI240&lt;=T240),AU240,0),IF(AND(ISNUMBER(AJ240),AJ240&lt;=T240),AV240,0))),"SC","Mag")))))))</f>
        <v/>
      </c>
    </row>
    <row r="241" customFormat="false" ht="15" hidden="false" customHeight="false" outlineLevel="0" collapsed="false">
      <c r="A241" s="26" t="n">
        <v>236</v>
      </c>
      <c r="B241" s="27" t="n">
        <f aca="false">A241*10/60</f>
        <v>39.3333333333333</v>
      </c>
      <c r="C241" s="21" t="n">
        <f aca="false">X240</f>
        <v>18.6730249835055</v>
      </c>
      <c r="D241" s="27" t="n">
        <f aca="false">D240+W240</f>
        <v>0</v>
      </c>
      <c r="E241" s="26" t="n">
        <f aca="false">E240+IF(U240="SW",1,0)</f>
        <v>12</v>
      </c>
      <c r="F241" s="26" t="n">
        <f aca="false">F240+IF(U240="AB",1,0)</f>
        <v>10</v>
      </c>
      <c r="G241" s="26" t="n">
        <f aca="false">G240+IF(U240="SC",1,0)</f>
        <v>7</v>
      </c>
      <c r="H241" s="26" t="n">
        <f aca="false">H240+IF(U240="Mag",1,0)</f>
        <v>5</v>
      </c>
      <c r="I241" s="26" t="n">
        <f aca="false">MAX(I240,IF(U240="OR",1,0))</f>
        <v>1</v>
      </c>
      <c r="J241" s="26" t="n">
        <f aca="false">MAX(J240,IF(U240="HP",1,0))</f>
        <v>1</v>
      </c>
      <c r="K241" s="26" t="n">
        <f aca="false">MAX(K240,IF(U240="FP",1,0))</f>
        <v>1</v>
      </c>
      <c r="L241" s="26" t="n">
        <f aca="false">MAX(L240,IF(U240="transition",1,0))</f>
        <v>1</v>
      </c>
      <c r="M241" s="28" t="n">
        <f aca="false">(Parameters!$B$9+(IF(E241=0,0,(Upgrades!$J$6+E241*Upgrades!$K$6)*POWER(Upgrades!$L$6,E241)))*(IF(Upgrades!$T$7="Solar Wind",POWER(Upgrades!$U$7,F241),1)*IF(Upgrades!$T$8="Solar Wind",POWER(Upgrades!$U$8,G241),1)*IF(Upgrades!$T$9="Solar Wind",POWER(Upgrades!$U$9,H241),1)*IF(Upgrades!$T$10="Solar Wind",POWER(Upgrades!$U$10,I241),1)*IF(Upgrades!$T$11="Solar Wind",POWER(Upgrades!$U$11,J241),1)*IF(Upgrades!$T$12="Solar Wind",POWER(Upgrades!$U$12,K241),1))+(IF(F241=0,0,(Upgrades!$J$7+F241*Upgrades!$K$7)*POWER(Upgrades!$L$7,F241)))*(IF(Upgrades!$T$6="Asteroid Belt",POWER(Upgrades!$U$6,E241),1)*IF(Upgrades!$T$8="Asteroid Belt",POWER(Upgrades!$U$8,G241),1)*IF(Upgrades!$T$9="Asteroid Belt",POWER(Upgrades!$U$9,H241),1)*IF(Upgrades!$T$10="Asteroid Belt",POWER(Upgrades!$U$10,I241),1)*IF(Upgrades!$T$11="Asteroid Belt",POWER(Upgrades!$U$11,J241),1)*IF(Upgrades!$T$12="Asteroid Belt",POWER(Upgrades!$U$12,K241),1))+(IF(G241=0,0,(Upgrades!$J$8+G241*Upgrades!$K$8)*POWER(Upgrades!$L$8,G241)))*(IF(Upgrades!$T$6="Stellar Coupling",POWER(Upgrades!$U$6,E241),1)*IF(Upgrades!$T$7="Stellar Coupling",POWER(Upgrades!$U$7,F241),1)*IF(Upgrades!$T$9="Stellar Coupling",POWER(Upgrades!$U$9,H241),1)*IF(Upgrades!$T$10="Stellar Coupling",POWER(Upgrades!$U$10,I241),1)*IF(Upgrades!$T$11="Stellar Coupling",POWER(Upgrades!$U$11,J241),1)*IF(Upgrades!$T$12="Stellar Coupling",POWER(Upgrades!$U$12,K241),1))+(IF(H241=0,0,(Upgrades!$J$9+H241*Upgrades!$K$9)*POWER(Upgrades!$L$9,H241)))*(IF(Upgrades!$T$6="Magnetosphere",POWER(Upgrades!$U$6,E241),1)*IF(Upgrades!$T$7="Magnetosphere",POWER(Upgrades!$U$7,F241),1)*IF(Upgrades!$T$8="Magnetosphere",POWER(Upgrades!$U$8,G241),1)*IF(Upgrades!$T$10="Magnetosphere",POWER(Upgrades!$U$10,I241),1)*IF(Upgrades!$T$11="Magnetosphere",POWER(Upgrades!$U$11,J241),1)*IF(Upgrades!$T$12="Magnetosphere",POWER(Upgrades!$U$12,K241),1))+(IF(I241=0,0,(Upgrades!$J$10+I241*Upgrades!$K$10)*POWER(Upgrades!$L$10,I241)))*(IF(Upgrades!$T$6="Orbital Resonance",POWER(Upgrades!$U$6,E241),1)*IF(Upgrades!$T$7="Orbital Resonance",POWER(Upgrades!$U$7,F241),1)*IF(Upgrades!$T$8="Orbital Resonance",POWER(Upgrades!$U$8,G241),1)*IF(Upgrades!$T$9="Orbital Resonance",POWER(Upgrades!$U$9,H241),1)*IF(Upgrades!$T$11="Orbital Resonance",POWER(Upgrades!$U$11,J241),1)*IF(Upgrades!$T$12="Orbital Resonance",POWER(Upgrades!$U$12,K241),1))+(IF(J241=0,0,(Upgrades!$J$11+J241*Upgrades!$K$11)*POWER(Upgrades!$L$11,J241)))*(IF(Upgrades!$T$6="Heliopause",POWER(Upgrades!$U$6,E241),1)*IF(Upgrades!$T$7="Heliopause",POWER(Upgrades!$U$7,F241),1)*IF(Upgrades!$T$8="Heliopause",POWER(Upgrades!$U$8,G241),1)*IF(Upgrades!$T$9="Heliopause",POWER(Upgrades!$U$9,H241),1)*IF(Upgrades!$T$10="Heliopause",POWER(Upgrades!$U$10,I241),1)*IF(Upgrades!$T$12="Heliopause",POWER(Upgrades!$U$12,K241),1))+(IF(K241=0,0,(Upgrades!$J$12+K241*Upgrades!$K$12)*POWER(Upgrades!$L$12,K241)))*(IF(Upgrades!$T$6="First Photons",POWER(Upgrades!$U$6,E241),1)*IF(Upgrades!$T$7="First Photons",POWER(Upgrades!$U$7,F241),1)*IF(Upgrades!$T$8="First Photons",POWER(Upgrades!$U$8,G241),1)*IF(Upgrades!$T$9="First Photons",POWER(Upgrades!$U$9,H241),1)*IF(Upgrades!$T$10="First Photons",POWER(Upgrades!$U$10,I241),1)*IF(Upgrades!$T$11="First Photons",POWER(Upgrades!$U$11,J241),1)))*POWER(Upgrades!$Q$6,E241)*POWER(Upgrades!$Q$7,F241)*POWER(Upgrades!$Q$8,G241)*POWER(Upgrades!$Q$9,H241)*POWER(Upgrades!$Q$10,I241)*POWER(Upgrades!$Q$11,J241)*POWER(Upgrades!$Q$12,K241)</f>
        <v>5.61</v>
      </c>
      <c r="N241" s="28" t="n">
        <f aca="false">((IF(E241=0,0,(Upgrades!$G$6+E241*Upgrades!$H$6)*POWER(Upgrades!$I$6,E241)))*(IF(Upgrades!$T$7="Solar Wind",POWER(Upgrades!$U$7,F241),1)*IF(Upgrades!$T$8="Solar Wind",POWER(Upgrades!$U$8,G241),1)*IF(Upgrades!$T$9="Solar Wind",POWER(Upgrades!$U$9,H241),1)*IF(Upgrades!$T$10="Solar Wind",POWER(Upgrades!$U$10,I241),1)*IF(Upgrades!$T$11="Solar Wind",POWER(Upgrades!$U$11,J241),1)*IF(Upgrades!$T$12="Solar Wind",POWER(Upgrades!$U$12,K241),1))+(IF(F241=0,0,(Upgrades!$G$7+F241*Upgrades!$H$7)*POWER(Upgrades!$I$7,F241)))*(IF(Upgrades!$T$6="Asteroid Belt",POWER(Upgrades!$U$6,E241),1)*IF(Upgrades!$T$8="Asteroid Belt",POWER(Upgrades!$U$8,G241),1)*IF(Upgrades!$T$9="Asteroid Belt",POWER(Upgrades!$U$9,H241),1)*IF(Upgrades!$T$10="Asteroid Belt",POWER(Upgrades!$U$10,I241),1)*IF(Upgrades!$T$11="Asteroid Belt",POWER(Upgrades!$U$11,J241),1)*IF(Upgrades!$T$12="Asteroid Belt",POWER(Upgrades!$U$12,K241),1))+(IF(G241=0,0,(Upgrades!$G$8+G241*Upgrades!$H$8)*POWER(Upgrades!$I$8,G241)))*(IF(Upgrades!$T$6="Stellar Coupling",POWER(Upgrades!$U$6,E241),1)*IF(Upgrades!$T$7="Stellar Coupling",POWER(Upgrades!$U$7,F241),1)*IF(Upgrades!$T$9="Stellar Coupling",POWER(Upgrades!$U$9,H241),1)*IF(Upgrades!$T$10="Stellar Coupling",POWER(Upgrades!$U$10,I241),1)*IF(Upgrades!$T$11="Stellar Coupling",POWER(Upgrades!$U$11,J241),1)*IF(Upgrades!$T$12="Stellar Coupling",POWER(Upgrades!$U$12,K241),1))+(IF(H241=0,0,(Upgrades!$G$9+H241*Upgrades!$H$9)*POWER(Upgrades!$I$9,H241)))*(IF(Upgrades!$T$6="Magnetosphere",POWER(Upgrades!$U$6,E241),1)*IF(Upgrades!$T$7="Magnetosphere",POWER(Upgrades!$U$7,F241),1)*IF(Upgrades!$T$8="Magnetosphere",POWER(Upgrades!$U$8,G241),1)*IF(Upgrades!$T$10="Magnetosphere",POWER(Upgrades!$U$10,I241),1)*IF(Upgrades!$T$11="Magnetosphere",POWER(Upgrades!$U$11,J241),1)*IF(Upgrades!$T$12="Magnetosphere",POWER(Upgrades!$U$12,K241),1))+(IF(I241=0,0,(Upgrades!$G$10+I241*Upgrades!$H$10)*POWER(Upgrades!$I$10,I241)))*(IF(Upgrades!$T$6="Orbital Resonance",POWER(Upgrades!$U$6,E241),1)*IF(Upgrades!$T$7="Orbital Resonance",POWER(Upgrades!$U$7,F241),1)*IF(Upgrades!$T$8="Orbital Resonance",POWER(Upgrades!$U$8,G241),1)*IF(Upgrades!$T$9="Orbital Resonance",POWER(Upgrades!$U$9,H241),1)*IF(Upgrades!$T$11="Orbital Resonance",POWER(Upgrades!$U$11,J241),1)*IF(Upgrades!$T$12="Orbital Resonance",POWER(Upgrades!$U$12,K241),1))+(IF(J241=0,0,(Upgrades!$G$11+J241*Upgrades!$H$11)*POWER(Upgrades!$I$11,J241)))*(IF(Upgrades!$T$6="Heliopause",POWER(Upgrades!$U$6,E241),1)*IF(Upgrades!$T$7="Heliopause",POWER(Upgrades!$U$7,F241),1)*IF(Upgrades!$T$8="Heliopause",POWER(Upgrades!$U$8,G241),1)*IF(Upgrades!$T$9="Heliopause",POWER(Upgrades!$U$9,H241),1)*IF(Upgrades!$T$10="Heliopause",POWER(Upgrades!$U$10,I241),1)*IF(Upgrades!$T$12="Heliopause",POWER(Upgrades!$U$12,K241),1))+(IF(K241=0,0,(Upgrades!$G$12+K241*Upgrades!$H$12)*POWER(Upgrades!$I$12,K241)))*(IF(Upgrades!$T$6="First Photons",POWER(Upgrades!$U$6,E241),1)*IF(Upgrades!$T$7="First Photons",POWER(Upgrades!$U$7,F241),1)*IF(Upgrades!$T$8="First Photons",POWER(Upgrades!$U$8,G241),1)*IF(Upgrades!$T$9="First Photons",POWER(Upgrades!$U$9,H241),1)*IF(Upgrades!$T$10="First Photons",POWER(Upgrades!$U$10,I241),1)*IF(Upgrades!$T$11="First Photons",POWER(Upgrades!$U$11,J241),1)))*POWER(Upgrades!$P$6,E241)*POWER(Upgrades!$P$7,F241)*POWER(Upgrades!$P$8,G241)*POWER(Upgrades!$P$9,H241)*POWER(Upgrades!$P$10,I241)*POWER(Upgrades!$P$11,J241)*POWER(Upgrades!$P$12,K241)</f>
        <v>11.2</v>
      </c>
      <c r="O241" s="28" t="n">
        <f aca="false">((IF(E241=0,0,(Upgrades!$M$6+E241*Upgrades!$N$6)*POWER(Upgrades!$O$6,E241)))*(IF(Upgrades!$T$7="Solar Wind",POWER(Upgrades!$U$7,F241),1)*IF(Upgrades!$T$8="Solar Wind",POWER(Upgrades!$U$8,G241),1)*IF(Upgrades!$T$9="Solar Wind",POWER(Upgrades!$U$9,H241),1)*IF(Upgrades!$T$10="Solar Wind",POWER(Upgrades!$U$10,I241),1)*IF(Upgrades!$T$11="Solar Wind",POWER(Upgrades!$U$11,J241),1)*IF(Upgrades!$T$12="Solar Wind",POWER(Upgrades!$U$12,K241),1))+(IF(F241=0,0,(Upgrades!$M$7+F241*Upgrades!$N$7)*POWER(Upgrades!$O$7,F241)))*(IF(Upgrades!$T$6="Asteroid Belt",POWER(Upgrades!$U$6,E241),1)*IF(Upgrades!$T$8="Asteroid Belt",POWER(Upgrades!$U$8,G241),1)*IF(Upgrades!$T$9="Asteroid Belt",POWER(Upgrades!$U$9,H241),1)*IF(Upgrades!$T$10="Asteroid Belt",POWER(Upgrades!$U$10,I241),1)*IF(Upgrades!$T$11="Asteroid Belt",POWER(Upgrades!$U$11,J241),1)*IF(Upgrades!$T$12="Asteroid Belt",POWER(Upgrades!$U$12,K241),1))+(IF(G241=0,0,(Upgrades!$M$8+G241*Upgrades!$N$8)*POWER(Upgrades!$O$8,G241)))*(IF(Upgrades!$T$6="Stellar Coupling",POWER(Upgrades!$U$6,E241),1)*IF(Upgrades!$T$7="Stellar Coupling",POWER(Upgrades!$U$7,F241),1)*IF(Upgrades!$T$9="Stellar Coupling",POWER(Upgrades!$U$9,H241),1)*IF(Upgrades!$T$10="Stellar Coupling",POWER(Upgrades!$U$10,I241),1)*IF(Upgrades!$T$11="Stellar Coupling",POWER(Upgrades!$U$11,J241),1)*IF(Upgrades!$T$12="Stellar Coupling",POWER(Upgrades!$U$12,K241),1))+(IF(H241=0,0,(Upgrades!$M$9+H241*Upgrades!$N$9)*POWER(Upgrades!$O$9,H241)))*(IF(Upgrades!$T$6="Magnetosphere",POWER(Upgrades!$U$6,E241),1)*IF(Upgrades!$T$7="Magnetosphere",POWER(Upgrades!$U$7,F241),1)*IF(Upgrades!$T$8="Magnetosphere",POWER(Upgrades!$U$8,G241),1)*IF(Upgrades!$T$10="Magnetosphere",POWER(Upgrades!$U$10,I241),1)*IF(Upgrades!$T$11="Magnetosphere",POWER(Upgrades!$U$11,J241),1)*IF(Upgrades!$T$12="Magnetosphere",POWER(Upgrades!$U$12,K241),1))+(IF(I241=0,0,(Upgrades!$M$10+I241*Upgrades!$N$10)*POWER(Upgrades!$O$10,I241)))*(IF(Upgrades!$T$6="Orbital Resonance",POWER(Upgrades!$U$6,E241),1)*IF(Upgrades!$T$7="Orbital Resonance",POWER(Upgrades!$U$7,F241),1)*IF(Upgrades!$T$8="Orbital Resonance",POWER(Upgrades!$U$8,G241),1)*IF(Upgrades!$T$9="Orbital Resonance",POWER(Upgrades!$U$9,H241),1)*IF(Upgrades!$T$11="Orbital Resonance",POWER(Upgrades!$U$11,J241),1)*IF(Upgrades!$T$12="Orbital Resonance",POWER(Upgrades!$U$12,K241),1))+(IF(J241=0,0,(Upgrades!$M$11+J241*Upgrades!$N$11)*POWER(Upgrades!$O$11,J241)))*(IF(Upgrades!$T$6="Heliopause",POWER(Upgrades!$U$6,E241),1)*IF(Upgrades!$T$7="Heliopause",POWER(Upgrades!$U$7,F241),1)*IF(Upgrades!$T$8="Heliopause",POWER(Upgrades!$U$8,G241),1)*IF(Upgrades!$T$9="Heliopause",POWER(Upgrades!$U$9,H241),1)*IF(Upgrades!$T$10="Heliopause",POWER(Upgrades!$U$10,I241),1)*IF(Upgrades!$T$12="Heliopause",POWER(Upgrades!$U$12,K241),1))+(IF(K241=0,0,(Upgrades!$M$12+K241*Upgrades!$N$12)*POWER(Upgrades!$O$12,K241)))*(IF(Upgrades!$T$6="First Photons",POWER(Upgrades!$U$6,E241),1)*IF(Upgrades!$T$7="First Photons",POWER(Upgrades!$U$7,F241),1)*IF(Upgrades!$T$8="First Photons",POWER(Upgrades!$U$8,G241),1)*IF(Upgrades!$T$9="First Photons",POWER(Upgrades!$U$9,H241),1)*IF(Upgrades!$T$10="First Photons",POWER(Upgrades!$U$10,I241),1)*IF(Upgrades!$T$11="First Photons",POWER(Upgrades!$U$11,J241),1)))*POWER(Upgrades!$R$6,E241)*POWER(Upgrades!$R$7,F241)*POWER(Upgrades!$R$8,G241)*POWER(Upgrades!$R$9,H241)*POWER(Upgrades!$R$10,I241)*POWER(Upgrades!$R$11,J241)*POWER(Upgrades!$R$12,K241)</f>
        <v>0</v>
      </c>
      <c r="P241" s="27" t="n">
        <f aca="false">IF(L241=1,0,M241*Parameters!$B$10/60*Parameters!$B$11*10)</f>
        <v>0</v>
      </c>
      <c r="Q241" s="27" t="n">
        <f aca="false">IF(L241=1,0,O241*M241*10)</f>
        <v>0</v>
      </c>
      <c r="R241" s="27" t="n">
        <f aca="false">IF(L241=1,0,N241*10)</f>
        <v>0</v>
      </c>
      <c r="S241" s="27" t="n">
        <f aca="false">P241+Q241+R241</f>
        <v>0</v>
      </c>
      <c r="T241" s="21" t="n">
        <f aca="false">C241+S241</f>
        <v>18.6730249835055</v>
      </c>
      <c r="U241" s="34" t="str">
        <f aca="false">AX241</f>
        <v/>
      </c>
      <c r="V241" s="21" t="n">
        <f aca="false">IF(U241="",0,IF(U241="transition",0,IF(U241="SW",AG241,IF(U241="AB",AH241,IF(U241="SC",AI241,IF(U241="Mag",AJ241,IF(U241="OR",AK241,IF(U241="HP",AL241,IF(U241="FP",AM241,0)))))))))</f>
        <v>0</v>
      </c>
      <c r="W241" s="27" t="n">
        <f aca="false">IF(U241="OR",Upgrades!$F$10,IF(U241="HP",Upgrades!$F$11,IF(U241="transition",-Parameters!$B$18,0)))</f>
        <v>0</v>
      </c>
      <c r="X241" s="21" t="n">
        <f aca="false">T241-V241</f>
        <v>18.6730249835055</v>
      </c>
      <c r="Y241" s="30" t="n">
        <f aca="false">M241*Parameters!$B$10/60*Parameters!$B$11+O241*M241+N241</f>
        <v>20.55</v>
      </c>
      <c r="Z241" s="35" t="str">
        <f aca="false">IF(U241="transition","→ Tier 2 (Stellar Neighborhood)",IF(U241="FP","First Photons — light begins, system quickens",IF(U241="HP","Heliopause acquired",IF(U241="OR","Orbital Resonance — passive multiplier active",IF(AND(AO241=1,L241=0,AN241&lt;&gt;1),"Cohesion ready (waiting on completionist upgrades)","")))))</f>
        <v/>
      </c>
      <c r="AA241" s="27" t="n">
        <f aca="false">(IF(E241=0,0,(Upgrades!$G$6+E241*Upgrades!$H$6)*POWER(Upgrades!$I$6,E241)))*(IF(Upgrades!$T$7="Solar Wind",POWER(Upgrades!$U$7,F241),1)*IF(Upgrades!$T$8="Solar Wind",POWER(Upgrades!$U$8,G241),1)*IF(Upgrades!$T$9="Solar Wind",POWER(Upgrades!$U$9,H241),1)*IF(Upgrades!$T$10="Solar Wind",POWER(Upgrades!$U$10,I241),1)*IF(Upgrades!$T$11="Solar Wind",POWER(Upgrades!$U$11,J241),1)*IF(Upgrades!$T$12="Solar Wind",POWER(Upgrades!$U$12,K241),1))*POWER(Upgrades!$P$6,E241)*POWER(Upgrades!$P$7,F241)*POWER(Upgrades!$P$8,G241)*POWER(Upgrades!$P$9,H241)*POWER(Upgrades!$P$10,I241)*POWER(Upgrades!$P$11,J241)*POWER(Upgrades!$P$12,K241)*60</f>
        <v>72</v>
      </c>
      <c r="AB241" s="27" t="n">
        <f aca="false">(IF(F241=0,0,(Upgrades!$G$7+F241*Upgrades!$H$7)*POWER(Upgrades!$I$7,F241)))*(IF(Upgrades!$T$6="Asteroid Belt",POWER(Upgrades!$U$6,E241),1)*IF(Upgrades!$T$8="Asteroid Belt",POWER(Upgrades!$U$8,G241),1)*IF(Upgrades!$T$9="Asteroid Belt",POWER(Upgrades!$U$9,H241),1)*IF(Upgrades!$T$10="Asteroid Belt",POWER(Upgrades!$U$10,I241),1)*IF(Upgrades!$T$11="Asteroid Belt",POWER(Upgrades!$U$11,J241),1)*IF(Upgrades!$T$12="Asteroid Belt",POWER(Upgrades!$U$12,K241),1))*POWER(Upgrades!$P$6,E241)*POWER(Upgrades!$P$7,F241)*POWER(Upgrades!$P$8,G241)*POWER(Upgrades!$P$9,H241)*POWER(Upgrades!$P$10,I241)*POWER(Upgrades!$P$11,J241)*POWER(Upgrades!$P$12,K241)*60</f>
        <v>150</v>
      </c>
      <c r="AC241" s="27" t="n">
        <f aca="false">(IF(G241=0,0,(Upgrades!$J$8+G241*Upgrades!$K$8)*POWER(Upgrades!$L$8,G241)))*(IF(Upgrades!$T$6="Stellar Coupling",POWER(Upgrades!$U$6,E241),1)*IF(Upgrades!$T$7="Stellar Coupling",POWER(Upgrades!$U$7,F241),1)*IF(Upgrades!$T$9="Stellar Coupling",POWER(Upgrades!$U$9,H241),1)*IF(Upgrades!$T$10="Stellar Coupling",POWER(Upgrades!$U$10,I241),1)*IF(Upgrades!$T$11="Stellar Coupling",POWER(Upgrades!$U$11,J241),1)*IF(Upgrades!$T$12="Stellar Coupling",POWER(Upgrades!$U$12,K241),1))*POWER(Upgrades!$Q$6,E241)*POWER(Upgrades!$Q$7,F241)*POWER(Upgrades!$Q$8,G241)*POWER(Upgrades!$Q$9,H241)*POWER(Upgrades!$Q$10,I241)*POWER(Upgrades!$Q$11,J241)*POWER(Upgrades!$Q$12,K241)*Parameters!$B$10*Parameters!$B$11</f>
        <v>441</v>
      </c>
      <c r="AD241" s="27" t="n">
        <f aca="false">(IF(H241=0,0,(Upgrades!$G$9+H241*Upgrades!$H$9)*POWER(Upgrades!$I$9,H241)))*(IF(Upgrades!$T$6="Magnetosphere",POWER(Upgrades!$U$6,E241),1)*IF(Upgrades!$T$7="Magnetosphere",POWER(Upgrades!$U$7,F241),1)*IF(Upgrades!$T$8="Magnetosphere",POWER(Upgrades!$U$8,G241),1)*IF(Upgrades!$T$10="Magnetosphere",POWER(Upgrades!$U$10,I241),1)*IF(Upgrades!$T$11="Magnetosphere",POWER(Upgrades!$U$11,J241),1)*IF(Upgrades!$T$12="Magnetosphere",POWER(Upgrades!$U$12,K241),1))*POWER(Upgrades!$P$6,E241)*POWER(Upgrades!$P$7,F241)*POWER(Upgrades!$P$8,G241)*POWER(Upgrades!$P$9,H241)*POWER(Upgrades!$P$10,I241)*POWER(Upgrades!$P$11,J241)*POWER(Upgrades!$P$12,K241)*60</f>
        <v>375</v>
      </c>
      <c r="AE241" s="27" t="n">
        <f aca="false">(IF(K241=0,0,(Upgrades!$G$12+K241*Upgrades!$H$12)*POWER(Upgrades!$I$12,K241)))*(IF(Upgrades!$T$6="First Photons",POWER(Upgrades!$U$6,E241),1)*IF(Upgrades!$T$7="First Photons",POWER(Upgrades!$U$7,F241),1)*IF(Upgrades!$T$8="First Photons",POWER(Upgrades!$U$8,G241),1)*IF(Upgrades!$T$9="First Photons",POWER(Upgrades!$U$9,H241),1)*IF(Upgrades!$T$10="First Photons",POWER(Upgrades!$U$10,I241),1)*IF(Upgrades!$T$11="First Photons",POWER(Upgrades!$U$11,J241),1))*POWER(Upgrades!$P$6,E241)*POWER(Upgrades!$P$7,F241)*POWER(Upgrades!$P$8,G241)*POWER(Upgrades!$P$9,H241)*POWER(Upgrades!$P$10,I241)*POWER(Upgrades!$P$11,J241)*POWER(Upgrades!$P$12,K241)*60</f>
        <v>75</v>
      </c>
      <c r="AF241" s="27" t="n">
        <f aca="false">Parameters!$B$9*POWER(Upgrades!$Q$6,E241)*POWER(Upgrades!$Q$7,F241)*POWER(Upgrades!$Q$8,G241)*POWER(Upgrades!$Q$9,H241)*POWER(Upgrades!$Q$10,I241)*POWER(Upgrades!$Q$11,J241)*POWER(Upgrades!$Q$12,K241)*(Parameters!$B$10*Parameters!$B$11+O241*60)</f>
        <v>120</v>
      </c>
      <c r="AG241" s="21" t="n">
        <f aca="false">IF(E241&gt;=Upgrades!$E$6,"",Upgrades!$C$6*POWER(Upgrades!$D$6,E241))</f>
        <v>37.4517507383159</v>
      </c>
      <c r="AH241" s="21" t="n">
        <f aca="false">IF(F241&gt;=Upgrades!$E$7,"",Upgrades!$C$7*POWER(Upgrades!$D$7,F241))</f>
        <v>80.9111547141581</v>
      </c>
      <c r="AI241" s="21" t="n">
        <f aca="false">IF(G241&gt;=Upgrades!$E$8,"",Upgrades!$C$8*POWER(Upgrades!$D$8,G241))</f>
        <v>231.9097088</v>
      </c>
      <c r="AJ241" s="21" t="str">
        <f aca="false">IF(H241&gt;=Upgrades!$E$9,"",Upgrades!$C$9*POWER(Upgrades!$D$9,H241))</f>
        <v/>
      </c>
      <c r="AK241" s="21" t="str">
        <f aca="false">IF(I241&gt;=Upgrades!$E$10,"",Upgrades!$C$10*POWER(Upgrades!$D$10,I241))</f>
        <v/>
      </c>
      <c r="AL241" s="21" t="str">
        <f aca="false">IF(J241&gt;=Upgrades!$E$11,"",Upgrades!$C$11*POWER(Upgrades!$D$11,J241))</f>
        <v/>
      </c>
      <c r="AM241" s="21" t="str">
        <f aca="false">IF(K241&gt;=Upgrades!$E$12,"",Upgrades!$C$12*POWER(Upgrades!$D$12,K241))</f>
        <v/>
      </c>
      <c r="AN241" s="26" t="str">
        <f aca="false">IF(AND(D241&gt;=Parameters!$B$18,(H241&gt;=Upgrades!$E$9)*(K241&gt;=Upgrades!$E$12)=1,L241=0),1,"")</f>
        <v/>
      </c>
      <c r="AO241" s="26" t="str">
        <f aca="false">IF(AND(D241&gt;=Parameters!$B$18,L241=0),1,"")</f>
        <v/>
      </c>
      <c r="AP241" s="21" t="n">
        <f aca="false">MIN(IF(ISNUMBER(AK241),AK241,9000000000000000),IF(ISNUMBER(AL241),AL241,9000000000000000),IF(ISNUMBER(AM241),AM241,9000000000000000))</f>
        <v>9000000000000000</v>
      </c>
      <c r="AQ241" s="21" t="n">
        <f aca="false">MIN(IF(ISNUMBER(AG241),AG241,9000000000000000),IF(ISNUMBER(AH241),AH241,9000000000000000),IF(ISNUMBER(AI241),AI241,9000000000000000),IF(ISNUMBER(AJ241),AJ241,9000000000000000))</f>
        <v>37.4517507383159</v>
      </c>
      <c r="AR241" s="32" t="b">
        <f aca="false">IF(AW241&gt;Parameters!$B$21*(MAX(IF(AND(NOT(AND(AO241=1,AN241&lt;&gt;1)),ISNUMBER(AG241),AG241&lt;=T241),AS241,0),IF(AND(NOT(AND(AO241=1,AN241&lt;&gt;1)),ISNUMBER(AH241),AH241&lt;=T241),AT241,0),IF(AND(NOT(AND(AO241=1,AN241&lt;&gt;1)),ISNUMBER(AI241),AI241&lt;=T241),AU241,0),IF(AND(ISNUMBER(AJ241),AJ241&lt;=T241),AV241,0))),TRUE(),FALSE())</f>
        <v>1</v>
      </c>
      <c r="AS241" s="33" t="n">
        <f aca="false">IFERROR(Upgrades!$H$6*(POWER(Upgrades!$P$6,E241)*POWER(Upgrades!$P$7,F241)*POWER(Upgrades!$P$8,G241)*POWER(Upgrades!$P$9,H241)*POWER(Upgrades!$P$10,I241)*POWER(Upgrades!$P$11,J241)*POWER(Upgrades!$P$12,K241))*(IF(Upgrades!$T$7="Solar Wind",POWER(Upgrades!$U$7,F241),1)*IF(Upgrades!$T$8="Solar Wind",POWER(Upgrades!$U$8,G241),1)*IF(Upgrades!$T$9="Solar Wind",POWER(Upgrades!$U$9,H241),1)*IF(Upgrades!$T$10="Solar Wind",POWER(Upgrades!$U$10,I241),1)*IF(Upgrades!$T$11="Solar Wind",POWER(Upgrades!$U$11,J241),1)*IF(Upgrades!$T$12="Solar Wind",POWER(Upgrades!$U$12,K241),1))/AG241,0)</f>
        <v>0.0026701021455238</v>
      </c>
      <c r="AT241" s="33" t="n">
        <f aca="false">IFERROR(Upgrades!$H$7*(POWER(Upgrades!$P$6,E241)*POWER(Upgrades!$P$7,F241)*POWER(Upgrades!$P$8,G241)*POWER(Upgrades!$P$9,H241)*POWER(Upgrades!$P$10,I241)*POWER(Upgrades!$P$11,J241)*POWER(Upgrades!$P$12,K241))*(IF(Upgrades!$T$6="Asteroid Belt",POWER(Upgrades!$U$6,E241),1)*IF(Upgrades!$T$8="Asteroid Belt",POWER(Upgrades!$U$8,G241),1)*IF(Upgrades!$T$9="Asteroid Belt",POWER(Upgrades!$U$9,H241),1)*IF(Upgrades!$T$10="Asteroid Belt",POWER(Upgrades!$U$10,I241),1)*IF(Upgrades!$T$11="Asteroid Belt",POWER(Upgrades!$U$11,J241),1)*IF(Upgrades!$T$12="Asteroid Belt",POWER(Upgrades!$U$12,K241),1))/AH241,0)</f>
        <v>0.00308980882652332</v>
      </c>
      <c r="AU241" s="33" t="n">
        <f aca="false">IFERROR(Upgrades!$K$8*(POWER(Upgrades!$Q$6,E241)*POWER(Upgrades!$Q$7,F241)*POWER(Upgrades!$Q$8,G241)*POWER(Upgrades!$Q$9,H241)*POWER(Upgrades!$Q$10,I241)*POWER(Upgrades!$Q$11,J241)*POWER(Upgrades!$Q$12,K241))*(IF(Upgrades!$T$6="Stellar Coupling",POWER(Upgrades!$U$6,E241),1)*IF(Upgrades!$T$7="Stellar Coupling",POWER(Upgrades!$U$7,F241),1)*IF(Upgrades!$T$9="Stellar Coupling",POWER(Upgrades!$U$9,H241),1)*IF(Upgrades!$T$10="Stellar Coupling",POWER(Upgrades!$U$10,I241),1)*IF(Upgrades!$T$11="Stellar Coupling",POWER(Upgrades!$U$11,J241),1)*IF(Upgrades!$T$12="Stellar Coupling",POWER(Upgrades!$U$12,K241),1))*Parameters!$B$10*Parameters!$B$11/60/AI241,0)</f>
        <v>0.00452762415783776</v>
      </c>
      <c r="AV241" s="33" t="n">
        <f aca="false">IFERROR(Upgrades!$H$9*(POWER(Upgrades!$P$6,E241)*POWER(Upgrades!$P$7,F241)*POWER(Upgrades!$P$8,G241)*POWER(Upgrades!$P$9,H241)*POWER(Upgrades!$P$10,I241)*POWER(Upgrades!$P$11,J241)*POWER(Upgrades!$P$12,K241))*(IF(Upgrades!$T$6="Magnetosphere",POWER(Upgrades!$U$6,E241),1)*IF(Upgrades!$T$7="Magnetosphere",POWER(Upgrades!$U$7,F241),1)*IF(Upgrades!$T$8="Magnetosphere",POWER(Upgrades!$U$8,G241),1)*IF(Upgrades!$T$10="Magnetosphere",POWER(Upgrades!$U$10,I241),1)*IF(Upgrades!$T$11="Magnetosphere",POWER(Upgrades!$U$11,J241),1)*IF(Upgrades!$T$12="Magnetosphere",POWER(Upgrades!$U$12,K241),1))/AJ241,0)</f>
        <v>0</v>
      </c>
      <c r="AW241" s="33" t="n">
        <f aca="false">MAX(IF(I241&gt;0,0,IFERROR(0.25*N241/Upgrades!$C$10,0)),IF(J241&gt;0,0,IFERROR(0.5*((IF(G241=0,0,(Upgrades!$J$8+G241*Upgrades!$K$8)*POWER(Upgrades!$L$8,G241)))*(IF(Upgrades!$T$6="Stellar Coupling",POWER(Upgrades!$U$6,E241),1)*IF(Upgrades!$T$7="Stellar Coupling",POWER(Upgrades!$U$7,F241),1)*IF(Upgrades!$T$9="Stellar Coupling",POWER(Upgrades!$U$9,H241),1)*IF(Upgrades!$T$10="Stellar Coupling",POWER(Upgrades!$U$10,I241),1)*IF(Upgrades!$T$11="Stellar Coupling",POWER(Upgrades!$U$11,J241),1)*IF(Upgrades!$T$12="Stellar Coupling",POWER(Upgrades!$U$12,K241),1))*(POWER(Upgrades!$Q$6,E241)*POWER(Upgrades!$Q$7,F241)*POWER(Upgrades!$Q$8,G241)*POWER(Upgrades!$Q$9,H241)*POWER(Upgrades!$Q$10,I241)*POWER(Upgrades!$Q$11,J241)*POWER(Upgrades!$Q$12,K241))*Parameters!$B$10*Parameters!$B$11/60)/Upgrades!$C$11,0)),IF(K241&gt;0,0,IFERROR((1*(POWER(Upgrades!$P$6,E241)*POWER(Upgrades!$P$7,F241)*POWER(Upgrades!$P$8,G241)*POWER(Upgrades!$P$9,H241)*POWER(Upgrades!$P$10,I241)*POWER(Upgrades!$P$11,J241)*POWER(Upgrades!$P$12,K241))+0.2*M241*Parameters!$B$10*Parameters!$B$11/60)/Upgrades!$C$12,0)),IF(AND(ISNUMBER(AG241),AG241&gt;T241),AS241,0),IF(AND(ISNUMBER(AH241),AH241&gt;T241),AT241,0),IF(AND(ISNUMBER(AI241),AI241&gt;T241),AU241,0),IF(AND(ISNUMBER(AJ241),AJ241&gt;T241),AV241,0))</f>
        <v>0.00452762415783776</v>
      </c>
      <c r="AX241" s="29" t="str">
        <f aca="false">IF(AN241=1,"transition",IF(MIN(IF(AND(I241=0,ISNUMBER(AK241),AK241&lt;=T241),AK241,9000000000000000),IF(AND(J241=0,ISNUMBER(AL241),AL241&lt;=T241),AL241,9000000000000000),IF(AND(K241=0,ISNUMBER(AM241),AM241&lt;=T241),AM241,9000000000000000))&lt;9000000000000000,IF(AND(AND(I241=0,ISNUMBER(AK241),AK241&lt;=T241),AK241=MIN(IF(AND(I241=0,ISNUMBER(AK241),AK241&lt;=T241),AK241,9000000000000000),IF(AND(J241=0,ISNUMBER(AL241),AL241&lt;=T241),AL241,9000000000000000),IF(AND(K241=0,ISNUMBER(AM241),AM241&lt;=T241),AM241,9000000000000000))),"OR",IF(AND(AND(J241=0,ISNUMBER(AL241),AL241&lt;=T241),AL241=MIN(IF(AND(I241=0,ISNUMBER(AK241),AK241&lt;=T241),AK241,9000000000000000),IF(AND(J241=0,ISNUMBER(AL241),AL241&lt;=T241),AL241,9000000000000000),IF(AND(K241=0,ISNUMBER(AM241),AM241&lt;=T241),AM241,9000000000000000))),"HP","FP")),IF(AR241=TRUE(),"",IF(MAX(IF(AND(NOT(AND(AO241=1,AN241&lt;&gt;1)),ISNUMBER(AG241),AG241&lt;=T241),AS241,0),IF(AND(NOT(AND(AO241=1,AN241&lt;&gt;1)),ISNUMBER(AH241),AH241&lt;=T241),AT241,0),IF(AND(NOT(AND(AO241=1,AN241&lt;&gt;1)),ISNUMBER(AI241),AI241&lt;=T241),AU241,0),IF(AND(ISNUMBER(AJ241),AJ241&lt;=T241),AV241,0))&lt;=0,"",IF(AND(IF(AND(NOT(AND(AO241=1,AN241&lt;&gt;1)),ISNUMBER(AG241),AG241&lt;=T241),AS241,0)&gt;0,IF(AND(NOT(AND(AO241=1,AN241&lt;&gt;1)),ISNUMBER(AG241),AG241&lt;=T241),AS241,0)=MAX(IF(AND(NOT(AND(AO241=1,AN241&lt;&gt;1)),ISNUMBER(AG241),AG241&lt;=T241),AS241,0),IF(AND(NOT(AND(AO241=1,AN241&lt;&gt;1)),ISNUMBER(AH241),AH241&lt;=T241),AT241,0),IF(AND(NOT(AND(AO241=1,AN241&lt;&gt;1)),ISNUMBER(AI241),AI241&lt;=T241),AU241,0),IF(AND(ISNUMBER(AJ241),AJ241&lt;=T241),AV241,0))),"SW",IF(AND(IF(AND(NOT(AND(AO241=1,AN241&lt;&gt;1)),ISNUMBER(AH241),AH241&lt;=T241),AT241,0)&gt;0,IF(AND(NOT(AND(AO241=1,AN241&lt;&gt;1)),ISNUMBER(AH241),AH241&lt;=T241),AT241,0)=MAX(IF(AND(NOT(AND(AO241=1,AN241&lt;&gt;1)),ISNUMBER(AG241),AG241&lt;=T241),AS241,0),IF(AND(NOT(AND(AO241=1,AN241&lt;&gt;1)),ISNUMBER(AH241),AH241&lt;=T241),AT241,0),IF(AND(NOT(AND(AO241=1,AN241&lt;&gt;1)),ISNUMBER(AI241),AI241&lt;=T241),AU241,0),IF(AND(ISNUMBER(AJ241),AJ241&lt;=T241),AV241,0))),"AB",IF(AND(IF(AND(NOT(AND(AO241=1,AN241&lt;&gt;1)),ISNUMBER(AI241),AI241&lt;=T241),AU241,0)&gt;0,IF(AND(NOT(AND(AO241=1,AN241&lt;&gt;1)),ISNUMBER(AI241),AI241&lt;=T241),AU241,0)=MAX(IF(AND(NOT(AND(AO241=1,AN241&lt;&gt;1)),ISNUMBER(AG241),AG241&lt;=T241),AS241,0),IF(AND(NOT(AND(AO241=1,AN241&lt;&gt;1)),ISNUMBER(AH241),AH241&lt;=T241),AT241,0),IF(AND(NOT(AND(AO241=1,AN241&lt;&gt;1)),ISNUMBER(AI241),AI241&lt;=T241),AU241,0),IF(AND(ISNUMBER(AJ241),AJ241&lt;=T241),AV241,0))),"SC","Mag")))))))</f>
        <v/>
      </c>
    </row>
    <row r="242" customFormat="false" ht="15" hidden="false" customHeight="false" outlineLevel="0" collapsed="false">
      <c r="A242" s="26" t="n">
        <v>237</v>
      </c>
      <c r="B242" s="27" t="n">
        <f aca="false">A242*10/60</f>
        <v>39.5</v>
      </c>
      <c r="C242" s="21" t="n">
        <f aca="false">X241</f>
        <v>18.6730249835055</v>
      </c>
      <c r="D242" s="27" t="n">
        <f aca="false">D241+W241</f>
        <v>0</v>
      </c>
      <c r="E242" s="26" t="n">
        <f aca="false">E241+IF(U241="SW",1,0)</f>
        <v>12</v>
      </c>
      <c r="F242" s="26" t="n">
        <f aca="false">F241+IF(U241="AB",1,0)</f>
        <v>10</v>
      </c>
      <c r="G242" s="26" t="n">
        <f aca="false">G241+IF(U241="SC",1,0)</f>
        <v>7</v>
      </c>
      <c r="H242" s="26" t="n">
        <f aca="false">H241+IF(U241="Mag",1,0)</f>
        <v>5</v>
      </c>
      <c r="I242" s="26" t="n">
        <f aca="false">MAX(I241,IF(U241="OR",1,0))</f>
        <v>1</v>
      </c>
      <c r="J242" s="26" t="n">
        <f aca="false">MAX(J241,IF(U241="HP",1,0))</f>
        <v>1</v>
      </c>
      <c r="K242" s="26" t="n">
        <f aca="false">MAX(K241,IF(U241="FP",1,0))</f>
        <v>1</v>
      </c>
      <c r="L242" s="26" t="n">
        <f aca="false">MAX(L241,IF(U241="transition",1,0))</f>
        <v>1</v>
      </c>
      <c r="M242" s="28" t="n">
        <f aca="false">(Parameters!$B$9+(IF(E242=0,0,(Upgrades!$J$6+E242*Upgrades!$K$6)*POWER(Upgrades!$L$6,E242)))*(IF(Upgrades!$T$7="Solar Wind",POWER(Upgrades!$U$7,F242),1)*IF(Upgrades!$T$8="Solar Wind",POWER(Upgrades!$U$8,G242),1)*IF(Upgrades!$T$9="Solar Wind",POWER(Upgrades!$U$9,H242),1)*IF(Upgrades!$T$10="Solar Wind",POWER(Upgrades!$U$10,I242),1)*IF(Upgrades!$T$11="Solar Wind",POWER(Upgrades!$U$11,J242),1)*IF(Upgrades!$T$12="Solar Wind",POWER(Upgrades!$U$12,K242),1))+(IF(F242=0,0,(Upgrades!$J$7+F242*Upgrades!$K$7)*POWER(Upgrades!$L$7,F242)))*(IF(Upgrades!$T$6="Asteroid Belt",POWER(Upgrades!$U$6,E242),1)*IF(Upgrades!$T$8="Asteroid Belt",POWER(Upgrades!$U$8,G242),1)*IF(Upgrades!$T$9="Asteroid Belt",POWER(Upgrades!$U$9,H242),1)*IF(Upgrades!$T$10="Asteroid Belt",POWER(Upgrades!$U$10,I242),1)*IF(Upgrades!$T$11="Asteroid Belt",POWER(Upgrades!$U$11,J242),1)*IF(Upgrades!$T$12="Asteroid Belt",POWER(Upgrades!$U$12,K242),1))+(IF(G242=0,0,(Upgrades!$J$8+G242*Upgrades!$K$8)*POWER(Upgrades!$L$8,G242)))*(IF(Upgrades!$T$6="Stellar Coupling",POWER(Upgrades!$U$6,E242),1)*IF(Upgrades!$T$7="Stellar Coupling",POWER(Upgrades!$U$7,F242),1)*IF(Upgrades!$T$9="Stellar Coupling",POWER(Upgrades!$U$9,H242),1)*IF(Upgrades!$T$10="Stellar Coupling",POWER(Upgrades!$U$10,I242),1)*IF(Upgrades!$T$11="Stellar Coupling",POWER(Upgrades!$U$11,J242),1)*IF(Upgrades!$T$12="Stellar Coupling",POWER(Upgrades!$U$12,K242),1))+(IF(H242=0,0,(Upgrades!$J$9+H242*Upgrades!$K$9)*POWER(Upgrades!$L$9,H242)))*(IF(Upgrades!$T$6="Magnetosphere",POWER(Upgrades!$U$6,E242),1)*IF(Upgrades!$T$7="Magnetosphere",POWER(Upgrades!$U$7,F242),1)*IF(Upgrades!$T$8="Magnetosphere",POWER(Upgrades!$U$8,G242),1)*IF(Upgrades!$T$10="Magnetosphere",POWER(Upgrades!$U$10,I242),1)*IF(Upgrades!$T$11="Magnetosphere",POWER(Upgrades!$U$11,J242),1)*IF(Upgrades!$T$12="Magnetosphere",POWER(Upgrades!$U$12,K242),1))+(IF(I242=0,0,(Upgrades!$J$10+I242*Upgrades!$K$10)*POWER(Upgrades!$L$10,I242)))*(IF(Upgrades!$T$6="Orbital Resonance",POWER(Upgrades!$U$6,E242),1)*IF(Upgrades!$T$7="Orbital Resonance",POWER(Upgrades!$U$7,F242),1)*IF(Upgrades!$T$8="Orbital Resonance",POWER(Upgrades!$U$8,G242),1)*IF(Upgrades!$T$9="Orbital Resonance",POWER(Upgrades!$U$9,H242),1)*IF(Upgrades!$T$11="Orbital Resonance",POWER(Upgrades!$U$11,J242),1)*IF(Upgrades!$T$12="Orbital Resonance",POWER(Upgrades!$U$12,K242),1))+(IF(J242=0,0,(Upgrades!$J$11+J242*Upgrades!$K$11)*POWER(Upgrades!$L$11,J242)))*(IF(Upgrades!$T$6="Heliopause",POWER(Upgrades!$U$6,E242),1)*IF(Upgrades!$T$7="Heliopause",POWER(Upgrades!$U$7,F242),1)*IF(Upgrades!$T$8="Heliopause",POWER(Upgrades!$U$8,G242),1)*IF(Upgrades!$T$9="Heliopause",POWER(Upgrades!$U$9,H242),1)*IF(Upgrades!$T$10="Heliopause",POWER(Upgrades!$U$10,I242),1)*IF(Upgrades!$T$12="Heliopause",POWER(Upgrades!$U$12,K242),1))+(IF(K242=0,0,(Upgrades!$J$12+K242*Upgrades!$K$12)*POWER(Upgrades!$L$12,K242)))*(IF(Upgrades!$T$6="First Photons",POWER(Upgrades!$U$6,E242),1)*IF(Upgrades!$T$7="First Photons",POWER(Upgrades!$U$7,F242),1)*IF(Upgrades!$T$8="First Photons",POWER(Upgrades!$U$8,G242),1)*IF(Upgrades!$T$9="First Photons",POWER(Upgrades!$U$9,H242),1)*IF(Upgrades!$T$10="First Photons",POWER(Upgrades!$U$10,I242),1)*IF(Upgrades!$T$11="First Photons",POWER(Upgrades!$U$11,J242),1)))*POWER(Upgrades!$Q$6,E242)*POWER(Upgrades!$Q$7,F242)*POWER(Upgrades!$Q$8,G242)*POWER(Upgrades!$Q$9,H242)*POWER(Upgrades!$Q$10,I242)*POWER(Upgrades!$Q$11,J242)*POWER(Upgrades!$Q$12,K242)</f>
        <v>5.61</v>
      </c>
      <c r="N242" s="28" t="n">
        <f aca="false">((IF(E242=0,0,(Upgrades!$G$6+E242*Upgrades!$H$6)*POWER(Upgrades!$I$6,E242)))*(IF(Upgrades!$T$7="Solar Wind",POWER(Upgrades!$U$7,F242),1)*IF(Upgrades!$T$8="Solar Wind",POWER(Upgrades!$U$8,G242),1)*IF(Upgrades!$T$9="Solar Wind",POWER(Upgrades!$U$9,H242),1)*IF(Upgrades!$T$10="Solar Wind",POWER(Upgrades!$U$10,I242),1)*IF(Upgrades!$T$11="Solar Wind",POWER(Upgrades!$U$11,J242),1)*IF(Upgrades!$T$12="Solar Wind",POWER(Upgrades!$U$12,K242),1))+(IF(F242=0,0,(Upgrades!$G$7+F242*Upgrades!$H$7)*POWER(Upgrades!$I$7,F242)))*(IF(Upgrades!$T$6="Asteroid Belt",POWER(Upgrades!$U$6,E242),1)*IF(Upgrades!$T$8="Asteroid Belt",POWER(Upgrades!$U$8,G242),1)*IF(Upgrades!$T$9="Asteroid Belt",POWER(Upgrades!$U$9,H242),1)*IF(Upgrades!$T$10="Asteroid Belt",POWER(Upgrades!$U$10,I242),1)*IF(Upgrades!$T$11="Asteroid Belt",POWER(Upgrades!$U$11,J242),1)*IF(Upgrades!$T$12="Asteroid Belt",POWER(Upgrades!$U$12,K242),1))+(IF(G242=0,0,(Upgrades!$G$8+G242*Upgrades!$H$8)*POWER(Upgrades!$I$8,G242)))*(IF(Upgrades!$T$6="Stellar Coupling",POWER(Upgrades!$U$6,E242),1)*IF(Upgrades!$T$7="Stellar Coupling",POWER(Upgrades!$U$7,F242),1)*IF(Upgrades!$T$9="Stellar Coupling",POWER(Upgrades!$U$9,H242),1)*IF(Upgrades!$T$10="Stellar Coupling",POWER(Upgrades!$U$10,I242),1)*IF(Upgrades!$T$11="Stellar Coupling",POWER(Upgrades!$U$11,J242),1)*IF(Upgrades!$T$12="Stellar Coupling",POWER(Upgrades!$U$12,K242),1))+(IF(H242=0,0,(Upgrades!$G$9+H242*Upgrades!$H$9)*POWER(Upgrades!$I$9,H242)))*(IF(Upgrades!$T$6="Magnetosphere",POWER(Upgrades!$U$6,E242),1)*IF(Upgrades!$T$7="Magnetosphere",POWER(Upgrades!$U$7,F242),1)*IF(Upgrades!$T$8="Magnetosphere",POWER(Upgrades!$U$8,G242),1)*IF(Upgrades!$T$10="Magnetosphere",POWER(Upgrades!$U$10,I242),1)*IF(Upgrades!$T$11="Magnetosphere",POWER(Upgrades!$U$11,J242),1)*IF(Upgrades!$T$12="Magnetosphere",POWER(Upgrades!$U$12,K242),1))+(IF(I242=0,0,(Upgrades!$G$10+I242*Upgrades!$H$10)*POWER(Upgrades!$I$10,I242)))*(IF(Upgrades!$T$6="Orbital Resonance",POWER(Upgrades!$U$6,E242),1)*IF(Upgrades!$T$7="Orbital Resonance",POWER(Upgrades!$U$7,F242),1)*IF(Upgrades!$T$8="Orbital Resonance",POWER(Upgrades!$U$8,G242),1)*IF(Upgrades!$T$9="Orbital Resonance",POWER(Upgrades!$U$9,H242),1)*IF(Upgrades!$T$11="Orbital Resonance",POWER(Upgrades!$U$11,J242),1)*IF(Upgrades!$T$12="Orbital Resonance",POWER(Upgrades!$U$12,K242),1))+(IF(J242=0,0,(Upgrades!$G$11+J242*Upgrades!$H$11)*POWER(Upgrades!$I$11,J242)))*(IF(Upgrades!$T$6="Heliopause",POWER(Upgrades!$U$6,E242),1)*IF(Upgrades!$T$7="Heliopause",POWER(Upgrades!$U$7,F242),1)*IF(Upgrades!$T$8="Heliopause",POWER(Upgrades!$U$8,G242),1)*IF(Upgrades!$T$9="Heliopause",POWER(Upgrades!$U$9,H242),1)*IF(Upgrades!$T$10="Heliopause",POWER(Upgrades!$U$10,I242),1)*IF(Upgrades!$T$12="Heliopause",POWER(Upgrades!$U$12,K242),1))+(IF(K242=0,0,(Upgrades!$G$12+K242*Upgrades!$H$12)*POWER(Upgrades!$I$12,K242)))*(IF(Upgrades!$T$6="First Photons",POWER(Upgrades!$U$6,E242),1)*IF(Upgrades!$T$7="First Photons",POWER(Upgrades!$U$7,F242),1)*IF(Upgrades!$T$8="First Photons",POWER(Upgrades!$U$8,G242),1)*IF(Upgrades!$T$9="First Photons",POWER(Upgrades!$U$9,H242),1)*IF(Upgrades!$T$10="First Photons",POWER(Upgrades!$U$10,I242),1)*IF(Upgrades!$T$11="First Photons",POWER(Upgrades!$U$11,J242),1)))*POWER(Upgrades!$P$6,E242)*POWER(Upgrades!$P$7,F242)*POWER(Upgrades!$P$8,G242)*POWER(Upgrades!$P$9,H242)*POWER(Upgrades!$P$10,I242)*POWER(Upgrades!$P$11,J242)*POWER(Upgrades!$P$12,K242)</f>
        <v>11.2</v>
      </c>
      <c r="O242" s="28" t="n">
        <f aca="false">((IF(E242=0,0,(Upgrades!$M$6+E242*Upgrades!$N$6)*POWER(Upgrades!$O$6,E242)))*(IF(Upgrades!$T$7="Solar Wind",POWER(Upgrades!$U$7,F242),1)*IF(Upgrades!$T$8="Solar Wind",POWER(Upgrades!$U$8,G242),1)*IF(Upgrades!$T$9="Solar Wind",POWER(Upgrades!$U$9,H242),1)*IF(Upgrades!$T$10="Solar Wind",POWER(Upgrades!$U$10,I242),1)*IF(Upgrades!$T$11="Solar Wind",POWER(Upgrades!$U$11,J242),1)*IF(Upgrades!$T$12="Solar Wind",POWER(Upgrades!$U$12,K242),1))+(IF(F242=0,0,(Upgrades!$M$7+F242*Upgrades!$N$7)*POWER(Upgrades!$O$7,F242)))*(IF(Upgrades!$T$6="Asteroid Belt",POWER(Upgrades!$U$6,E242),1)*IF(Upgrades!$T$8="Asteroid Belt",POWER(Upgrades!$U$8,G242),1)*IF(Upgrades!$T$9="Asteroid Belt",POWER(Upgrades!$U$9,H242),1)*IF(Upgrades!$T$10="Asteroid Belt",POWER(Upgrades!$U$10,I242),1)*IF(Upgrades!$T$11="Asteroid Belt",POWER(Upgrades!$U$11,J242),1)*IF(Upgrades!$T$12="Asteroid Belt",POWER(Upgrades!$U$12,K242),1))+(IF(G242=0,0,(Upgrades!$M$8+G242*Upgrades!$N$8)*POWER(Upgrades!$O$8,G242)))*(IF(Upgrades!$T$6="Stellar Coupling",POWER(Upgrades!$U$6,E242),1)*IF(Upgrades!$T$7="Stellar Coupling",POWER(Upgrades!$U$7,F242),1)*IF(Upgrades!$T$9="Stellar Coupling",POWER(Upgrades!$U$9,H242),1)*IF(Upgrades!$T$10="Stellar Coupling",POWER(Upgrades!$U$10,I242),1)*IF(Upgrades!$T$11="Stellar Coupling",POWER(Upgrades!$U$11,J242),1)*IF(Upgrades!$T$12="Stellar Coupling",POWER(Upgrades!$U$12,K242),1))+(IF(H242=0,0,(Upgrades!$M$9+H242*Upgrades!$N$9)*POWER(Upgrades!$O$9,H242)))*(IF(Upgrades!$T$6="Magnetosphere",POWER(Upgrades!$U$6,E242),1)*IF(Upgrades!$T$7="Magnetosphere",POWER(Upgrades!$U$7,F242),1)*IF(Upgrades!$T$8="Magnetosphere",POWER(Upgrades!$U$8,G242),1)*IF(Upgrades!$T$10="Magnetosphere",POWER(Upgrades!$U$10,I242),1)*IF(Upgrades!$T$11="Magnetosphere",POWER(Upgrades!$U$11,J242),1)*IF(Upgrades!$T$12="Magnetosphere",POWER(Upgrades!$U$12,K242),1))+(IF(I242=0,0,(Upgrades!$M$10+I242*Upgrades!$N$10)*POWER(Upgrades!$O$10,I242)))*(IF(Upgrades!$T$6="Orbital Resonance",POWER(Upgrades!$U$6,E242),1)*IF(Upgrades!$T$7="Orbital Resonance",POWER(Upgrades!$U$7,F242),1)*IF(Upgrades!$T$8="Orbital Resonance",POWER(Upgrades!$U$8,G242),1)*IF(Upgrades!$T$9="Orbital Resonance",POWER(Upgrades!$U$9,H242),1)*IF(Upgrades!$T$11="Orbital Resonance",POWER(Upgrades!$U$11,J242),1)*IF(Upgrades!$T$12="Orbital Resonance",POWER(Upgrades!$U$12,K242),1))+(IF(J242=0,0,(Upgrades!$M$11+J242*Upgrades!$N$11)*POWER(Upgrades!$O$11,J242)))*(IF(Upgrades!$T$6="Heliopause",POWER(Upgrades!$U$6,E242),1)*IF(Upgrades!$T$7="Heliopause",POWER(Upgrades!$U$7,F242),1)*IF(Upgrades!$T$8="Heliopause",POWER(Upgrades!$U$8,G242),1)*IF(Upgrades!$T$9="Heliopause",POWER(Upgrades!$U$9,H242),1)*IF(Upgrades!$T$10="Heliopause",POWER(Upgrades!$U$10,I242),1)*IF(Upgrades!$T$12="Heliopause",POWER(Upgrades!$U$12,K242),1))+(IF(K242=0,0,(Upgrades!$M$12+K242*Upgrades!$N$12)*POWER(Upgrades!$O$12,K242)))*(IF(Upgrades!$T$6="First Photons",POWER(Upgrades!$U$6,E242),1)*IF(Upgrades!$T$7="First Photons",POWER(Upgrades!$U$7,F242),1)*IF(Upgrades!$T$8="First Photons",POWER(Upgrades!$U$8,G242),1)*IF(Upgrades!$T$9="First Photons",POWER(Upgrades!$U$9,H242),1)*IF(Upgrades!$T$10="First Photons",POWER(Upgrades!$U$10,I242),1)*IF(Upgrades!$T$11="First Photons",POWER(Upgrades!$U$11,J242),1)))*POWER(Upgrades!$R$6,E242)*POWER(Upgrades!$R$7,F242)*POWER(Upgrades!$R$8,G242)*POWER(Upgrades!$R$9,H242)*POWER(Upgrades!$R$10,I242)*POWER(Upgrades!$R$11,J242)*POWER(Upgrades!$R$12,K242)</f>
        <v>0</v>
      </c>
      <c r="P242" s="27" t="n">
        <f aca="false">IF(L242=1,0,M242*Parameters!$B$10/60*Parameters!$B$11*10)</f>
        <v>0</v>
      </c>
      <c r="Q242" s="27" t="n">
        <f aca="false">IF(L242=1,0,O242*M242*10)</f>
        <v>0</v>
      </c>
      <c r="R242" s="27" t="n">
        <f aca="false">IF(L242=1,0,N242*10)</f>
        <v>0</v>
      </c>
      <c r="S242" s="27" t="n">
        <f aca="false">P242+Q242+R242</f>
        <v>0</v>
      </c>
      <c r="T242" s="21" t="n">
        <f aca="false">C242+S242</f>
        <v>18.6730249835055</v>
      </c>
      <c r="U242" s="34" t="str">
        <f aca="false">AX242</f>
        <v/>
      </c>
      <c r="V242" s="21" t="n">
        <f aca="false">IF(U242="",0,IF(U242="transition",0,IF(U242="SW",AG242,IF(U242="AB",AH242,IF(U242="SC",AI242,IF(U242="Mag",AJ242,IF(U242="OR",AK242,IF(U242="HP",AL242,IF(U242="FP",AM242,0)))))))))</f>
        <v>0</v>
      </c>
      <c r="W242" s="27" t="n">
        <f aca="false">IF(U242="OR",Upgrades!$F$10,IF(U242="HP",Upgrades!$F$11,IF(U242="transition",-Parameters!$B$18,0)))</f>
        <v>0</v>
      </c>
      <c r="X242" s="21" t="n">
        <f aca="false">T242-V242</f>
        <v>18.6730249835055</v>
      </c>
      <c r="Y242" s="30" t="n">
        <f aca="false">M242*Parameters!$B$10/60*Parameters!$B$11+O242*M242+N242</f>
        <v>20.55</v>
      </c>
      <c r="Z242" s="35" t="str">
        <f aca="false">IF(U242="transition","→ Tier 2 (Stellar Neighborhood)",IF(U242="FP","First Photons — light begins, system quickens",IF(U242="HP","Heliopause acquired",IF(U242="OR","Orbital Resonance — passive multiplier active",IF(AND(AO242=1,L242=0,AN242&lt;&gt;1),"Cohesion ready (waiting on completionist upgrades)","")))))</f>
        <v/>
      </c>
      <c r="AA242" s="27" t="n">
        <f aca="false">(IF(E242=0,0,(Upgrades!$G$6+E242*Upgrades!$H$6)*POWER(Upgrades!$I$6,E242)))*(IF(Upgrades!$T$7="Solar Wind",POWER(Upgrades!$U$7,F242),1)*IF(Upgrades!$T$8="Solar Wind",POWER(Upgrades!$U$8,G242),1)*IF(Upgrades!$T$9="Solar Wind",POWER(Upgrades!$U$9,H242),1)*IF(Upgrades!$T$10="Solar Wind",POWER(Upgrades!$U$10,I242),1)*IF(Upgrades!$T$11="Solar Wind",POWER(Upgrades!$U$11,J242),1)*IF(Upgrades!$T$12="Solar Wind",POWER(Upgrades!$U$12,K242),1))*POWER(Upgrades!$P$6,E242)*POWER(Upgrades!$P$7,F242)*POWER(Upgrades!$P$8,G242)*POWER(Upgrades!$P$9,H242)*POWER(Upgrades!$P$10,I242)*POWER(Upgrades!$P$11,J242)*POWER(Upgrades!$P$12,K242)*60</f>
        <v>72</v>
      </c>
      <c r="AB242" s="27" t="n">
        <f aca="false">(IF(F242=0,0,(Upgrades!$G$7+F242*Upgrades!$H$7)*POWER(Upgrades!$I$7,F242)))*(IF(Upgrades!$T$6="Asteroid Belt",POWER(Upgrades!$U$6,E242),1)*IF(Upgrades!$T$8="Asteroid Belt",POWER(Upgrades!$U$8,G242),1)*IF(Upgrades!$T$9="Asteroid Belt",POWER(Upgrades!$U$9,H242),1)*IF(Upgrades!$T$10="Asteroid Belt",POWER(Upgrades!$U$10,I242),1)*IF(Upgrades!$T$11="Asteroid Belt",POWER(Upgrades!$U$11,J242),1)*IF(Upgrades!$T$12="Asteroid Belt",POWER(Upgrades!$U$12,K242),1))*POWER(Upgrades!$P$6,E242)*POWER(Upgrades!$P$7,F242)*POWER(Upgrades!$P$8,G242)*POWER(Upgrades!$P$9,H242)*POWER(Upgrades!$P$10,I242)*POWER(Upgrades!$P$11,J242)*POWER(Upgrades!$P$12,K242)*60</f>
        <v>150</v>
      </c>
      <c r="AC242" s="27" t="n">
        <f aca="false">(IF(G242=0,0,(Upgrades!$J$8+G242*Upgrades!$K$8)*POWER(Upgrades!$L$8,G242)))*(IF(Upgrades!$T$6="Stellar Coupling",POWER(Upgrades!$U$6,E242),1)*IF(Upgrades!$T$7="Stellar Coupling",POWER(Upgrades!$U$7,F242),1)*IF(Upgrades!$T$9="Stellar Coupling",POWER(Upgrades!$U$9,H242),1)*IF(Upgrades!$T$10="Stellar Coupling",POWER(Upgrades!$U$10,I242),1)*IF(Upgrades!$T$11="Stellar Coupling",POWER(Upgrades!$U$11,J242),1)*IF(Upgrades!$T$12="Stellar Coupling",POWER(Upgrades!$U$12,K242),1))*POWER(Upgrades!$Q$6,E242)*POWER(Upgrades!$Q$7,F242)*POWER(Upgrades!$Q$8,G242)*POWER(Upgrades!$Q$9,H242)*POWER(Upgrades!$Q$10,I242)*POWER(Upgrades!$Q$11,J242)*POWER(Upgrades!$Q$12,K242)*Parameters!$B$10*Parameters!$B$11</f>
        <v>441</v>
      </c>
      <c r="AD242" s="27" t="n">
        <f aca="false">(IF(H242=0,0,(Upgrades!$G$9+H242*Upgrades!$H$9)*POWER(Upgrades!$I$9,H242)))*(IF(Upgrades!$T$6="Magnetosphere",POWER(Upgrades!$U$6,E242),1)*IF(Upgrades!$T$7="Magnetosphere",POWER(Upgrades!$U$7,F242),1)*IF(Upgrades!$T$8="Magnetosphere",POWER(Upgrades!$U$8,G242),1)*IF(Upgrades!$T$10="Magnetosphere",POWER(Upgrades!$U$10,I242),1)*IF(Upgrades!$T$11="Magnetosphere",POWER(Upgrades!$U$11,J242),1)*IF(Upgrades!$T$12="Magnetosphere",POWER(Upgrades!$U$12,K242),1))*POWER(Upgrades!$P$6,E242)*POWER(Upgrades!$P$7,F242)*POWER(Upgrades!$P$8,G242)*POWER(Upgrades!$P$9,H242)*POWER(Upgrades!$P$10,I242)*POWER(Upgrades!$P$11,J242)*POWER(Upgrades!$P$12,K242)*60</f>
        <v>375</v>
      </c>
      <c r="AE242" s="27" t="n">
        <f aca="false">(IF(K242=0,0,(Upgrades!$G$12+K242*Upgrades!$H$12)*POWER(Upgrades!$I$12,K242)))*(IF(Upgrades!$T$6="First Photons",POWER(Upgrades!$U$6,E242),1)*IF(Upgrades!$T$7="First Photons",POWER(Upgrades!$U$7,F242),1)*IF(Upgrades!$T$8="First Photons",POWER(Upgrades!$U$8,G242),1)*IF(Upgrades!$T$9="First Photons",POWER(Upgrades!$U$9,H242),1)*IF(Upgrades!$T$10="First Photons",POWER(Upgrades!$U$10,I242),1)*IF(Upgrades!$T$11="First Photons",POWER(Upgrades!$U$11,J242),1))*POWER(Upgrades!$P$6,E242)*POWER(Upgrades!$P$7,F242)*POWER(Upgrades!$P$8,G242)*POWER(Upgrades!$P$9,H242)*POWER(Upgrades!$P$10,I242)*POWER(Upgrades!$P$11,J242)*POWER(Upgrades!$P$12,K242)*60</f>
        <v>75</v>
      </c>
      <c r="AF242" s="27" t="n">
        <f aca="false">Parameters!$B$9*POWER(Upgrades!$Q$6,E242)*POWER(Upgrades!$Q$7,F242)*POWER(Upgrades!$Q$8,G242)*POWER(Upgrades!$Q$9,H242)*POWER(Upgrades!$Q$10,I242)*POWER(Upgrades!$Q$11,J242)*POWER(Upgrades!$Q$12,K242)*(Parameters!$B$10*Parameters!$B$11+O242*60)</f>
        <v>120</v>
      </c>
      <c r="AG242" s="21" t="n">
        <f aca="false">IF(E242&gt;=Upgrades!$E$6,"",Upgrades!$C$6*POWER(Upgrades!$D$6,E242))</f>
        <v>37.4517507383159</v>
      </c>
      <c r="AH242" s="21" t="n">
        <f aca="false">IF(F242&gt;=Upgrades!$E$7,"",Upgrades!$C$7*POWER(Upgrades!$D$7,F242))</f>
        <v>80.9111547141581</v>
      </c>
      <c r="AI242" s="21" t="n">
        <f aca="false">IF(G242&gt;=Upgrades!$E$8,"",Upgrades!$C$8*POWER(Upgrades!$D$8,G242))</f>
        <v>231.9097088</v>
      </c>
      <c r="AJ242" s="21" t="str">
        <f aca="false">IF(H242&gt;=Upgrades!$E$9,"",Upgrades!$C$9*POWER(Upgrades!$D$9,H242))</f>
        <v/>
      </c>
      <c r="AK242" s="21" t="str">
        <f aca="false">IF(I242&gt;=Upgrades!$E$10,"",Upgrades!$C$10*POWER(Upgrades!$D$10,I242))</f>
        <v/>
      </c>
      <c r="AL242" s="21" t="str">
        <f aca="false">IF(J242&gt;=Upgrades!$E$11,"",Upgrades!$C$11*POWER(Upgrades!$D$11,J242))</f>
        <v/>
      </c>
      <c r="AM242" s="21" t="str">
        <f aca="false">IF(K242&gt;=Upgrades!$E$12,"",Upgrades!$C$12*POWER(Upgrades!$D$12,K242))</f>
        <v/>
      </c>
      <c r="AN242" s="26" t="str">
        <f aca="false">IF(AND(D242&gt;=Parameters!$B$18,(H242&gt;=Upgrades!$E$9)*(K242&gt;=Upgrades!$E$12)=1,L242=0),1,"")</f>
        <v/>
      </c>
      <c r="AO242" s="26" t="str">
        <f aca="false">IF(AND(D242&gt;=Parameters!$B$18,L242=0),1,"")</f>
        <v/>
      </c>
      <c r="AP242" s="21" t="n">
        <f aca="false">MIN(IF(ISNUMBER(AK242),AK242,9000000000000000),IF(ISNUMBER(AL242),AL242,9000000000000000),IF(ISNUMBER(AM242),AM242,9000000000000000))</f>
        <v>9000000000000000</v>
      </c>
      <c r="AQ242" s="21" t="n">
        <f aca="false">MIN(IF(ISNUMBER(AG242),AG242,9000000000000000),IF(ISNUMBER(AH242),AH242,9000000000000000),IF(ISNUMBER(AI242),AI242,9000000000000000),IF(ISNUMBER(AJ242),AJ242,9000000000000000))</f>
        <v>37.4517507383159</v>
      </c>
      <c r="AR242" s="32" t="b">
        <f aca="false">IF(AW242&gt;Parameters!$B$21*(MAX(IF(AND(NOT(AND(AO242=1,AN242&lt;&gt;1)),ISNUMBER(AG242),AG242&lt;=T242),AS242,0),IF(AND(NOT(AND(AO242=1,AN242&lt;&gt;1)),ISNUMBER(AH242),AH242&lt;=T242),AT242,0),IF(AND(NOT(AND(AO242=1,AN242&lt;&gt;1)),ISNUMBER(AI242),AI242&lt;=T242),AU242,0),IF(AND(ISNUMBER(AJ242),AJ242&lt;=T242),AV242,0))),TRUE(),FALSE())</f>
        <v>1</v>
      </c>
      <c r="AS242" s="33" t="n">
        <f aca="false">IFERROR(Upgrades!$H$6*(POWER(Upgrades!$P$6,E242)*POWER(Upgrades!$P$7,F242)*POWER(Upgrades!$P$8,G242)*POWER(Upgrades!$P$9,H242)*POWER(Upgrades!$P$10,I242)*POWER(Upgrades!$P$11,J242)*POWER(Upgrades!$P$12,K242))*(IF(Upgrades!$T$7="Solar Wind",POWER(Upgrades!$U$7,F242),1)*IF(Upgrades!$T$8="Solar Wind",POWER(Upgrades!$U$8,G242),1)*IF(Upgrades!$T$9="Solar Wind",POWER(Upgrades!$U$9,H242),1)*IF(Upgrades!$T$10="Solar Wind",POWER(Upgrades!$U$10,I242),1)*IF(Upgrades!$T$11="Solar Wind",POWER(Upgrades!$U$11,J242),1)*IF(Upgrades!$T$12="Solar Wind",POWER(Upgrades!$U$12,K242),1))/AG242,0)</f>
        <v>0.0026701021455238</v>
      </c>
      <c r="AT242" s="33" t="n">
        <f aca="false">IFERROR(Upgrades!$H$7*(POWER(Upgrades!$P$6,E242)*POWER(Upgrades!$P$7,F242)*POWER(Upgrades!$P$8,G242)*POWER(Upgrades!$P$9,H242)*POWER(Upgrades!$P$10,I242)*POWER(Upgrades!$P$11,J242)*POWER(Upgrades!$P$12,K242))*(IF(Upgrades!$T$6="Asteroid Belt",POWER(Upgrades!$U$6,E242),1)*IF(Upgrades!$T$8="Asteroid Belt",POWER(Upgrades!$U$8,G242),1)*IF(Upgrades!$T$9="Asteroid Belt",POWER(Upgrades!$U$9,H242),1)*IF(Upgrades!$T$10="Asteroid Belt",POWER(Upgrades!$U$10,I242),1)*IF(Upgrades!$T$11="Asteroid Belt",POWER(Upgrades!$U$11,J242),1)*IF(Upgrades!$T$12="Asteroid Belt",POWER(Upgrades!$U$12,K242),1))/AH242,0)</f>
        <v>0.00308980882652332</v>
      </c>
      <c r="AU242" s="33" t="n">
        <f aca="false">IFERROR(Upgrades!$K$8*(POWER(Upgrades!$Q$6,E242)*POWER(Upgrades!$Q$7,F242)*POWER(Upgrades!$Q$8,G242)*POWER(Upgrades!$Q$9,H242)*POWER(Upgrades!$Q$10,I242)*POWER(Upgrades!$Q$11,J242)*POWER(Upgrades!$Q$12,K242))*(IF(Upgrades!$T$6="Stellar Coupling",POWER(Upgrades!$U$6,E242),1)*IF(Upgrades!$T$7="Stellar Coupling",POWER(Upgrades!$U$7,F242),1)*IF(Upgrades!$T$9="Stellar Coupling",POWER(Upgrades!$U$9,H242),1)*IF(Upgrades!$T$10="Stellar Coupling",POWER(Upgrades!$U$10,I242),1)*IF(Upgrades!$T$11="Stellar Coupling",POWER(Upgrades!$U$11,J242),1)*IF(Upgrades!$T$12="Stellar Coupling",POWER(Upgrades!$U$12,K242),1))*Parameters!$B$10*Parameters!$B$11/60/AI242,0)</f>
        <v>0.00452762415783776</v>
      </c>
      <c r="AV242" s="33" t="n">
        <f aca="false">IFERROR(Upgrades!$H$9*(POWER(Upgrades!$P$6,E242)*POWER(Upgrades!$P$7,F242)*POWER(Upgrades!$P$8,G242)*POWER(Upgrades!$P$9,H242)*POWER(Upgrades!$P$10,I242)*POWER(Upgrades!$P$11,J242)*POWER(Upgrades!$P$12,K242))*(IF(Upgrades!$T$6="Magnetosphere",POWER(Upgrades!$U$6,E242),1)*IF(Upgrades!$T$7="Magnetosphere",POWER(Upgrades!$U$7,F242),1)*IF(Upgrades!$T$8="Magnetosphere",POWER(Upgrades!$U$8,G242),1)*IF(Upgrades!$T$10="Magnetosphere",POWER(Upgrades!$U$10,I242),1)*IF(Upgrades!$T$11="Magnetosphere",POWER(Upgrades!$U$11,J242),1)*IF(Upgrades!$T$12="Magnetosphere",POWER(Upgrades!$U$12,K242),1))/AJ242,0)</f>
        <v>0</v>
      </c>
      <c r="AW242" s="33" t="n">
        <f aca="false">MAX(IF(I242&gt;0,0,IFERROR(0.25*N242/Upgrades!$C$10,0)),IF(J242&gt;0,0,IFERROR(0.5*((IF(G242=0,0,(Upgrades!$J$8+G242*Upgrades!$K$8)*POWER(Upgrades!$L$8,G242)))*(IF(Upgrades!$T$6="Stellar Coupling",POWER(Upgrades!$U$6,E242),1)*IF(Upgrades!$T$7="Stellar Coupling",POWER(Upgrades!$U$7,F242),1)*IF(Upgrades!$T$9="Stellar Coupling",POWER(Upgrades!$U$9,H242),1)*IF(Upgrades!$T$10="Stellar Coupling",POWER(Upgrades!$U$10,I242),1)*IF(Upgrades!$T$11="Stellar Coupling",POWER(Upgrades!$U$11,J242),1)*IF(Upgrades!$T$12="Stellar Coupling",POWER(Upgrades!$U$12,K242),1))*(POWER(Upgrades!$Q$6,E242)*POWER(Upgrades!$Q$7,F242)*POWER(Upgrades!$Q$8,G242)*POWER(Upgrades!$Q$9,H242)*POWER(Upgrades!$Q$10,I242)*POWER(Upgrades!$Q$11,J242)*POWER(Upgrades!$Q$12,K242))*Parameters!$B$10*Parameters!$B$11/60)/Upgrades!$C$11,0)),IF(K242&gt;0,0,IFERROR((1*(POWER(Upgrades!$P$6,E242)*POWER(Upgrades!$P$7,F242)*POWER(Upgrades!$P$8,G242)*POWER(Upgrades!$P$9,H242)*POWER(Upgrades!$P$10,I242)*POWER(Upgrades!$P$11,J242)*POWER(Upgrades!$P$12,K242))+0.2*M242*Parameters!$B$10*Parameters!$B$11/60)/Upgrades!$C$12,0)),IF(AND(ISNUMBER(AG242),AG242&gt;T242),AS242,0),IF(AND(ISNUMBER(AH242),AH242&gt;T242),AT242,0),IF(AND(ISNUMBER(AI242),AI242&gt;T242),AU242,0),IF(AND(ISNUMBER(AJ242),AJ242&gt;T242),AV242,0))</f>
        <v>0.00452762415783776</v>
      </c>
      <c r="AX242" s="29" t="str">
        <f aca="false">IF(AN242=1,"transition",IF(MIN(IF(AND(I242=0,ISNUMBER(AK242),AK242&lt;=T242),AK242,9000000000000000),IF(AND(J242=0,ISNUMBER(AL242),AL242&lt;=T242),AL242,9000000000000000),IF(AND(K242=0,ISNUMBER(AM242),AM242&lt;=T242),AM242,9000000000000000))&lt;9000000000000000,IF(AND(AND(I242=0,ISNUMBER(AK242),AK242&lt;=T242),AK242=MIN(IF(AND(I242=0,ISNUMBER(AK242),AK242&lt;=T242),AK242,9000000000000000),IF(AND(J242=0,ISNUMBER(AL242),AL242&lt;=T242),AL242,9000000000000000),IF(AND(K242=0,ISNUMBER(AM242),AM242&lt;=T242),AM242,9000000000000000))),"OR",IF(AND(AND(J242=0,ISNUMBER(AL242),AL242&lt;=T242),AL242=MIN(IF(AND(I242=0,ISNUMBER(AK242),AK242&lt;=T242),AK242,9000000000000000),IF(AND(J242=0,ISNUMBER(AL242),AL242&lt;=T242),AL242,9000000000000000),IF(AND(K242=0,ISNUMBER(AM242),AM242&lt;=T242),AM242,9000000000000000))),"HP","FP")),IF(AR242=TRUE(),"",IF(MAX(IF(AND(NOT(AND(AO242=1,AN242&lt;&gt;1)),ISNUMBER(AG242),AG242&lt;=T242),AS242,0),IF(AND(NOT(AND(AO242=1,AN242&lt;&gt;1)),ISNUMBER(AH242),AH242&lt;=T242),AT242,0),IF(AND(NOT(AND(AO242=1,AN242&lt;&gt;1)),ISNUMBER(AI242),AI242&lt;=T242),AU242,0),IF(AND(ISNUMBER(AJ242),AJ242&lt;=T242),AV242,0))&lt;=0,"",IF(AND(IF(AND(NOT(AND(AO242=1,AN242&lt;&gt;1)),ISNUMBER(AG242),AG242&lt;=T242),AS242,0)&gt;0,IF(AND(NOT(AND(AO242=1,AN242&lt;&gt;1)),ISNUMBER(AG242),AG242&lt;=T242),AS242,0)=MAX(IF(AND(NOT(AND(AO242=1,AN242&lt;&gt;1)),ISNUMBER(AG242),AG242&lt;=T242),AS242,0),IF(AND(NOT(AND(AO242=1,AN242&lt;&gt;1)),ISNUMBER(AH242),AH242&lt;=T242),AT242,0),IF(AND(NOT(AND(AO242=1,AN242&lt;&gt;1)),ISNUMBER(AI242),AI242&lt;=T242),AU242,0),IF(AND(ISNUMBER(AJ242),AJ242&lt;=T242),AV242,0))),"SW",IF(AND(IF(AND(NOT(AND(AO242=1,AN242&lt;&gt;1)),ISNUMBER(AH242),AH242&lt;=T242),AT242,0)&gt;0,IF(AND(NOT(AND(AO242=1,AN242&lt;&gt;1)),ISNUMBER(AH242),AH242&lt;=T242),AT242,0)=MAX(IF(AND(NOT(AND(AO242=1,AN242&lt;&gt;1)),ISNUMBER(AG242),AG242&lt;=T242),AS242,0),IF(AND(NOT(AND(AO242=1,AN242&lt;&gt;1)),ISNUMBER(AH242),AH242&lt;=T242),AT242,0),IF(AND(NOT(AND(AO242=1,AN242&lt;&gt;1)),ISNUMBER(AI242),AI242&lt;=T242),AU242,0),IF(AND(ISNUMBER(AJ242),AJ242&lt;=T242),AV242,0))),"AB",IF(AND(IF(AND(NOT(AND(AO242=1,AN242&lt;&gt;1)),ISNUMBER(AI242),AI242&lt;=T242),AU242,0)&gt;0,IF(AND(NOT(AND(AO242=1,AN242&lt;&gt;1)),ISNUMBER(AI242),AI242&lt;=T242),AU242,0)=MAX(IF(AND(NOT(AND(AO242=1,AN242&lt;&gt;1)),ISNUMBER(AG242),AG242&lt;=T242),AS242,0),IF(AND(NOT(AND(AO242=1,AN242&lt;&gt;1)),ISNUMBER(AH242),AH242&lt;=T242),AT242,0),IF(AND(NOT(AND(AO242=1,AN242&lt;&gt;1)),ISNUMBER(AI242),AI242&lt;=T242),AU242,0),IF(AND(ISNUMBER(AJ242),AJ242&lt;=T242),AV242,0))),"SC","Mag")))))))</f>
        <v/>
      </c>
    </row>
    <row r="243" customFormat="false" ht="15" hidden="false" customHeight="false" outlineLevel="0" collapsed="false">
      <c r="A243" s="26" t="n">
        <v>238</v>
      </c>
      <c r="B243" s="27" t="n">
        <f aca="false">A243*10/60</f>
        <v>39.6666666666667</v>
      </c>
      <c r="C243" s="21" t="n">
        <f aca="false">X242</f>
        <v>18.6730249835055</v>
      </c>
      <c r="D243" s="27" t="n">
        <f aca="false">D242+W242</f>
        <v>0</v>
      </c>
      <c r="E243" s="26" t="n">
        <f aca="false">E242+IF(U242="SW",1,0)</f>
        <v>12</v>
      </c>
      <c r="F243" s="26" t="n">
        <f aca="false">F242+IF(U242="AB",1,0)</f>
        <v>10</v>
      </c>
      <c r="G243" s="26" t="n">
        <f aca="false">G242+IF(U242="SC",1,0)</f>
        <v>7</v>
      </c>
      <c r="H243" s="26" t="n">
        <f aca="false">H242+IF(U242="Mag",1,0)</f>
        <v>5</v>
      </c>
      <c r="I243" s="26" t="n">
        <f aca="false">MAX(I242,IF(U242="OR",1,0))</f>
        <v>1</v>
      </c>
      <c r="J243" s="26" t="n">
        <f aca="false">MAX(J242,IF(U242="HP",1,0))</f>
        <v>1</v>
      </c>
      <c r="K243" s="26" t="n">
        <f aca="false">MAX(K242,IF(U242="FP",1,0))</f>
        <v>1</v>
      </c>
      <c r="L243" s="26" t="n">
        <f aca="false">MAX(L242,IF(U242="transition",1,0))</f>
        <v>1</v>
      </c>
      <c r="M243" s="28" t="n">
        <f aca="false">(Parameters!$B$9+(IF(E243=0,0,(Upgrades!$J$6+E243*Upgrades!$K$6)*POWER(Upgrades!$L$6,E243)))*(IF(Upgrades!$T$7="Solar Wind",POWER(Upgrades!$U$7,F243),1)*IF(Upgrades!$T$8="Solar Wind",POWER(Upgrades!$U$8,G243),1)*IF(Upgrades!$T$9="Solar Wind",POWER(Upgrades!$U$9,H243),1)*IF(Upgrades!$T$10="Solar Wind",POWER(Upgrades!$U$10,I243),1)*IF(Upgrades!$T$11="Solar Wind",POWER(Upgrades!$U$11,J243),1)*IF(Upgrades!$T$12="Solar Wind",POWER(Upgrades!$U$12,K243),1))+(IF(F243=0,0,(Upgrades!$J$7+F243*Upgrades!$K$7)*POWER(Upgrades!$L$7,F243)))*(IF(Upgrades!$T$6="Asteroid Belt",POWER(Upgrades!$U$6,E243),1)*IF(Upgrades!$T$8="Asteroid Belt",POWER(Upgrades!$U$8,G243),1)*IF(Upgrades!$T$9="Asteroid Belt",POWER(Upgrades!$U$9,H243),1)*IF(Upgrades!$T$10="Asteroid Belt",POWER(Upgrades!$U$10,I243),1)*IF(Upgrades!$T$11="Asteroid Belt",POWER(Upgrades!$U$11,J243),1)*IF(Upgrades!$T$12="Asteroid Belt",POWER(Upgrades!$U$12,K243),1))+(IF(G243=0,0,(Upgrades!$J$8+G243*Upgrades!$K$8)*POWER(Upgrades!$L$8,G243)))*(IF(Upgrades!$T$6="Stellar Coupling",POWER(Upgrades!$U$6,E243),1)*IF(Upgrades!$T$7="Stellar Coupling",POWER(Upgrades!$U$7,F243),1)*IF(Upgrades!$T$9="Stellar Coupling",POWER(Upgrades!$U$9,H243),1)*IF(Upgrades!$T$10="Stellar Coupling",POWER(Upgrades!$U$10,I243),1)*IF(Upgrades!$T$11="Stellar Coupling",POWER(Upgrades!$U$11,J243),1)*IF(Upgrades!$T$12="Stellar Coupling",POWER(Upgrades!$U$12,K243),1))+(IF(H243=0,0,(Upgrades!$J$9+H243*Upgrades!$K$9)*POWER(Upgrades!$L$9,H243)))*(IF(Upgrades!$T$6="Magnetosphere",POWER(Upgrades!$U$6,E243),1)*IF(Upgrades!$T$7="Magnetosphere",POWER(Upgrades!$U$7,F243),1)*IF(Upgrades!$T$8="Magnetosphere",POWER(Upgrades!$U$8,G243),1)*IF(Upgrades!$T$10="Magnetosphere",POWER(Upgrades!$U$10,I243),1)*IF(Upgrades!$T$11="Magnetosphere",POWER(Upgrades!$U$11,J243),1)*IF(Upgrades!$T$12="Magnetosphere",POWER(Upgrades!$U$12,K243),1))+(IF(I243=0,0,(Upgrades!$J$10+I243*Upgrades!$K$10)*POWER(Upgrades!$L$10,I243)))*(IF(Upgrades!$T$6="Orbital Resonance",POWER(Upgrades!$U$6,E243),1)*IF(Upgrades!$T$7="Orbital Resonance",POWER(Upgrades!$U$7,F243),1)*IF(Upgrades!$T$8="Orbital Resonance",POWER(Upgrades!$U$8,G243),1)*IF(Upgrades!$T$9="Orbital Resonance",POWER(Upgrades!$U$9,H243),1)*IF(Upgrades!$T$11="Orbital Resonance",POWER(Upgrades!$U$11,J243),1)*IF(Upgrades!$T$12="Orbital Resonance",POWER(Upgrades!$U$12,K243),1))+(IF(J243=0,0,(Upgrades!$J$11+J243*Upgrades!$K$11)*POWER(Upgrades!$L$11,J243)))*(IF(Upgrades!$T$6="Heliopause",POWER(Upgrades!$U$6,E243),1)*IF(Upgrades!$T$7="Heliopause",POWER(Upgrades!$U$7,F243),1)*IF(Upgrades!$T$8="Heliopause",POWER(Upgrades!$U$8,G243),1)*IF(Upgrades!$T$9="Heliopause",POWER(Upgrades!$U$9,H243),1)*IF(Upgrades!$T$10="Heliopause",POWER(Upgrades!$U$10,I243),1)*IF(Upgrades!$T$12="Heliopause",POWER(Upgrades!$U$12,K243),1))+(IF(K243=0,0,(Upgrades!$J$12+K243*Upgrades!$K$12)*POWER(Upgrades!$L$12,K243)))*(IF(Upgrades!$T$6="First Photons",POWER(Upgrades!$U$6,E243),1)*IF(Upgrades!$T$7="First Photons",POWER(Upgrades!$U$7,F243),1)*IF(Upgrades!$T$8="First Photons",POWER(Upgrades!$U$8,G243),1)*IF(Upgrades!$T$9="First Photons",POWER(Upgrades!$U$9,H243),1)*IF(Upgrades!$T$10="First Photons",POWER(Upgrades!$U$10,I243),1)*IF(Upgrades!$T$11="First Photons",POWER(Upgrades!$U$11,J243),1)))*POWER(Upgrades!$Q$6,E243)*POWER(Upgrades!$Q$7,F243)*POWER(Upgrades!$Q$8,G243)*POWER(Upgrades!$Q$9,H243)*POWER(Upgrades!$Q$10,I243)*POWER(Upgrades!$Q$11,J243)*POWER(Upgrades!$Q$12,K243)</f>
        <v>5.61</v>
      </c>
      <c r="N243" s="28" t="n">
        <f aca="false">((IF(E243=0,0,(Upgrades!$G$6+E243*Upgrades!$H$6)*POWER(Upgrades!$I$6,E243)))*(IF(Upgrades!$T$7="Solar Wind",POWER(Upgrades!$U$7,F243),1)*IF(Upgrades!$T$8="Solar Wind",POWER(Upgrades!$U$8,G243),1)*IF(Upgrades!$T$9="Solar Wind",POWER(Upgrades!$U$9,H243),1)*IF(Upgrades!$T$10="Solar Wind",POWER(Upgrades!$U$10,I243),1)*IF(Upgrades!$T$11="Solar Wind",POWER(Upgrades!$U$11,J243),1)*IF(Upgrades!$T$12="Solar Wind",POWER(Upgrades!$U$12,K243),1))+(IF(F243=0,0,(Upgrades!$G$7+F243*Upgrades!$H$7)*POWER(Upgrades!$I$7,F243)))*(IF(Upgrades!$T$6="Asteroid Belt",POWER(Upgrades!$U$6,E243),1)*IF(Upgrades!$T$8="Asteroid Belt",POWER(Upgrades!$U$8,G243),1)*IF(Upgrades!$T$9="Asteroid Belt",POWER(Upgrades!$U$9,H243),1)*IF(Upgrades!$T$10="Asteroid Belt",POWER(Upgrades!$U$10,I243),1)*IF(Upgrades!$T$11="Asteroid Belt",POWER(Upgrades!$U$11,J243),1)*IF(Upgrades!$T$12="Asteroid Belt",POWER(Upgrades!$U$12,K243),1))+(IF(G243=0,0,(Upgrades!$G$8+G243*Upgrades!$H$8)*POWER(Upgrades!$I$8,G243)))*(IF(Upgrades!$T$6="Stellar Coupling",POWER(Upgrades!$U$6,E243),1)*IF(Upgrades!$T$7="Stellar Coupling",POWER(Upgrades!$U$7,F243),1)*IF(Upgrades!$T$9="Stellar Coupling",POWER(Upgrades!$U$9,H243),1)*IF(Upgrades!$T$10="Stellar Coupling",POWER(Upgrades!$U$10,I243),1)*IF(Upgrades!$T$11="Stellar Coupling",POWER(Upgrades!$U$11,J243),1)*IF(Upgrades!$T$12="Stellar Coupling",POWER(Upgrades!$U$12,K243),1))+(IF(H243=0,0,(Upgrades!$G$9+H243*Upgrades!$H$9)*POWER(Upgrades!$I$9,H243)))*(IF(Upgrades!$T$6="Magnetosphere",POWER(Upgrades!$U$6,E243),1)*IF(Upgrades!$T$7="Magnetosphere",POWER(Upgrades!$U$7,F243),1)*IF(Upgrades!$T$8="Magnetosphere",POWER(Upgrades!$U$8,G243),1)*IF(Upgrades!$T$10="Magnetosphere",POWER(Upgrades!$U$10,I243),1)*IF(Upgrades!$T$11="Magnetosphere",POWER(Upgrades!$U$11,J243),1)*IF(Upgrades!$T$12="Magnetosphere",POWER(Upgrades!$U$12,K243),1))+(IF(I243=0,0,(Upgrades!$G$10+I243*Upgrades!$H$10)*POWER(Upgrades!$I$10,I243)))*(IF(Upgrades!$T$6="Orbital Resonance",POWER(Upgrades!$U$6,E243),1)*IF(Upgrades!$T$7="Orbital Resonance",POWER(Upgrades!$U$7,F243),1)*IF(Upgrades!$T$8="Orbital Resonance",POWER(Upgrades!$U$8,G243),1)*IF(Upgrades!$T$9="Orbital Resonance",POWER(Upgrades!$U$9,H243),1)*IF(Upgrades!$T$11="Orbital Resonance",POWER(Upgrades!$U$11,J243),1)*IF(Upgrades!$T$12="Orbital Resonance",POWER(Upgrades!$U$12,K243),1))+(IF(J243=0,0,(Upgrades!$G$11+J243*Upgrades!$H$11)*POWER(Upgrades!$I$11,J243)))*(IF(Upgrades!$T$6="Heliopause",POWER(Upgrades!$U$6,E243),1)*IF(Upgrades!$T$7="Heliopause",POWER(Upgrades!$U$7,F243),1)*IF(Upgrades!$T$8="Heliopause",POWER(Upgrades!$U$8,G243),1)*IF(Upgrades!$T$9="Heliopause",POWER(Upgrades!$U$9,H243),1)*IF(Upgrades!$T$10="Heliopause",POWER(Upgrades!$U$10,I243),1)*IF(Upgrades!$T$12="Heliopause",POWER(Upgrades!$U$12,K243),1))+(IF(K243=0,0,(Upgrades!$G$12+K243*Upgrades!$H$12)*POWER(Upgrades!$I$12,K243)))*(IF(Upgrades!$T$6="First Photons",POWER(Upgrades!$U$6,E243),1)*IF(Upgrades!$T$7="First Photons",POWER(Upgrades!$U$7,F243),1)*IF(Upgrades!$T$8="First Photons",POWER(Upgrades!$U$8,G243),1)*IF(Upgrades!$T$9="First Photons",POWER(Upgrades!$U$9,H243),1)*IF(Upgrades!$T$10="First Photons",POWER(Upgrades!$U$10,I243),1)*IF(Upgrades!$T$11="First Photons",POWER(Upgrades!$U$11,J243),1)))*POWER(Upgrades!$P$6,E243)*POWER(Upgrades!$P$7,F243)*POWER(Upgrades!$P$8,G243)*POWER(Upgrades!$P$9,H243)*POWER(Upgrades!$P$10,I243)*POWER(Upgrades!$P$11,J243)*POWER(Upgrades!$P$12,K243)</f>
        <v>11.2</v>
      </c>
      <c r="O243" s="28" t="n">
        <f aca="false">((IF(E243=0,0,(Upgrades!$M$6+E243*Upgrades!$N$6)*POWER(Upgrades!$O$6,E243)))*(IF(Upgrades!$T$7="Solar Wind",POWER(Upgrades!$U$7,F243),1)*IF(Upgrades!$T$8="Solar Wind",POWER(Upgrades!$U$8,G243),1)*IF(Upgrades!$T$9="Solar Wind",POWER(Upgrades!$U$9,H243),1)*IF(Upgrades!$T$10="Solar Wind",POWER(Upgrades!$U$10,I243),1)*IF(Upgrades!$T$11="Solar Wind",POWER(Upgrades!$U$11,J243),1)*IF(Upgrades!$T$12="Solar Wind",POWER(Upgrades!$U$12,K243),1))+(IF(F243=0,0,(Upgrades!$M$7+F243*Upgrades!$N$7)*POWER(Upgrades!$O$7,F243)))*(IF(Upgrades!$T$6="Asteroid Belt",POWER(Upgrades!$U$6,E243),1)*IF(Upgrades!$T$8="Asteroid Belt",POWER(Upgrades!$U$8,G243),1)*IF(Upgrades!$T$9="Asteroid Belt",POWER(Upgrades!$U$9,H243),1)*IF(Upgrades!$T$10="Asteroid Belt",POWER(Upgrades!$U$10,I243),1)*IF(Upgrades!$T$11="Asteroid Belt",POWER(Upgrades!$U$11,J243),1)*IF(Upgrades!$T$12="Asteroid Belt",POWER(Upgrades!$U$12,K243),1))+(IF(G243=0,0,(Upgrades!$M$8+G243*Upgrades!$N$8)*POWER(Upgrades!$O$8,G243)))*(IF(Upgrades!$T$6="Stellar Coupling",POWER(Upgrades!$U$6,E243),1)*IF(Upgrades!$T$7="Stellar Coupling",POWER(Upgrades!$U$7,F243),1)*IF(Upgrades!$T$9="Stellar Coupling",POWER(Upgrades!$U$9,H243),1)*IF(Upgrades!$T$10="Stellar Coupling",POWER(Upgrades!$U$10,I243),1)*IF(Upgrades!$T$11="Stellar Coupling",POWER(Upgrades!$U$11,J243),1)*IF(Upgrades!$T$12="Stellar Coupling",POWER(Upgrades!$U$12,K243),1))+(IF(H243=0,0,(Upgrades!$M$9+H243*Upgrades!$N$9)*POWER(Upgrades!$O$9,H243)))*(IF(Upgrades!$T$6="Magnetosphere",POWER(Upgrades!$U$6,E243),1)*IF(Upgrades!$T$7="Magnetosphere",POWER(Upgrades!$U$7,F243),1)*IF(Upgrades!$T$8="Magnetosphere",POWER(Upgrades!$U$8,G243),1)*IF(Upgrades!$T$10="Magnetosphere",POWER(Upgrades!$U$10,I243),1)*IF(Upgrades!$T$11="Magnetosphere",POWER(Upgrades!$U$11,J243),1)*IF(Upgrades!$T$12="Magnetosphere",POWER(Upgrades!$U$12,K243),1))+(IF(I243=0,0,(Upgrades!$M$10+I243*Upgrades!$N$10)*POWER(Upgrades!$O$10,I243)))*(IF(Upgrades!$T$6="Orbital Resonance",POWER(Upgrades!$U$6,E243),1)*IF(Upgrades!$T$7="Orbital Resonance",POWER(Upgrades!$U$7,F243),1)*IF(Upgrades!$T$8="Orbital Resonance",POWER(Upgrades!$U$8,G243),1)*IF(Upgrades!$T$9="Orbital Resonance",POWER(Upgrades!$U$9,H243),1)*IF(Upgrades!$T$11="Orbital Resonance",POWER(Upgrades!$U$11,J243),1)*IF(Upgrades!$T$12="Orbital Resonance",POWER(Upgrades!$U$12,K243),1))+(IF(J243=0,0,(Upgrades!$M$11+J243*Upgrades!$N$11)*POWER(Upgrades!$O$11,J243)))*(IF(Upgrades!$T$6="Heliopause",POWER(Upgrades!$U$6,E243),1)*IF(Upgrades!$T$7="Heliopause",POWER(Upgrades!$U$7,F243),1)*IF(Upgrades!$T$8="Heliopause",POWER(Upgrades!$U$8,G243),1)*IF(Upgrades!$T$9="Heliopause",POWER(Upgrades!$U$9,H243),1)*IF(Upgrades!$T$10="Heliopause",POWER(Upgrades!$U$10,I243),1)*IF(Upgrades!$T$12="Heliopause",POWER(Upgrades!$U$12,K243),1))+(IF(K243=0,0,(Upgrades!$M$12+K243*Upgrades!$N$12)*POWER(Upgrades!$O$12,K243)))*(IF(Upgrades!$T$6="First Photons",POWER(Upgrades!$U$6,E243),1)*IF(Upgrades!$T$7="First Photons",POWER(Upgrades!$U$7,F243),1)*IF(Upgrades!$T$8="First Photons",POWER(Upgrades!$U$8,G243),1)*IF(Upgrades!$T$9="First Photons",POWER(Upgrades!$U$9,H243),1)*IF(Upgrades!$T$10="First Photons",POWER(Upgrades!$U$10,I243),1)*IF(Upgrades!$T$11="First Photons",POWER(Upgrades!$U$11,J243),1)))*POWER(Upgrades!$R$6,E243)*POWER(Upgrades!$R$7,F243)*POWER(Upgrades!$R$8,G243)*POWER(Upgrades!$R$9,H243)*POWER(Upgrades!$R$10,I243)*POWER(Upgrades!$R$11,J243)*POWER(Upgrades!$R$12,K243)</f>
        <v>0</v>
      </c>
      <c r="P243" s="27" t="n">
        <f aca="false">IF(L243=1,0,M243*Parameters!$B$10/60*Parameters!$B$11*10)</f>
        <v>0</v>
      </c>
      <c r="Q243" s="27" t="n">
        <f aca="false">IF(L243=1,0,O243*M243*10)</f>
        <v>0</v>
      </c>
      <c r="R243" s="27" t="n">
        <f aca="false">IF(L243=1,0,N243*10)</f>
        <v>0</v>
      </c>
      <c r="S243" s="27" t="n">
        <f aca="false">P243+Q243+R243</f>
        <v>0</v>
      </c>
      <c r="T243" s="21" t="n">
        <f aca="false">C243+S243</f>
        <v>18.6730249835055</v>
      </c>
      <c r="U243" s="34" t="str">
        <f aca="false">AX243</f>
        <v/>
      </c>
      <c r="V243" s="21" t="n">
        <f aca="false">IF(U243="",0,IF(U243="transition",0,IF(U243="SW",AG243,IF(U243="AB",AH243,IF(U243="SC",AI243,IF(U243="Mag",AJ243,IF(U243="OR",AK243,IF(U243="HP",AL243,IF(U243="FP",AM243,0)))))))))</f>
        <v>0</v>
      </c>
      <c r="W243" s="27" t="n">
        <f aca="false">IF(U243="OR",Upgrades!$F$10,IF(U243="HP",Upgrades!$F$11,IF(U243="transition",-Parameters!$B$18,0)))</f>
        <v>0</v>
      </c>
      <c r="X243" s="21" t="n">
        <f aca="false">T243-V243</f>
        <v>18.6730249835055</v>
      </c>
      <c r="Y243" s="30" t="n">
        <f aca="false">M243*Parameters!$B$10/60*Parameters!$B$11+O243*M243+N243</f>
        <v>20.55</v>
      </c>
      <c r="Z243" s="35" t="str">
        <f aca="false">IF(U243="transition","→ Tier 2 (Stellar Neighborhood)",IF(U243="FP","First Photons — light begins, system quickens",IF(U243="HP","Heliopause acquired",IF(U243="OR","Orbital Resonance — passive multiplier active",IF(AND(AO243=1,L243=0,AN243&lt;&gt;1),"Cohesion ready (waiting on completionist upgrades)","")))))</f>
        <v/>
      </c>
      <c r="AA243" s="27" t="n">
        <f aca="false">(IF(E243=0,0,(Upgrades!$G$6+E243*Upgrades!$H$6)*POWER(Upgrades!$I$6,E243)))*(IF(Upgrades!$T$7="Solar Wind",POWER(Upgrades!$U$7,F243),1)*IF(Upgrades!$T$8="Solar Wind",POWER(Upgrades!$U$8,G243),1)*IF(Upgrades!$T$9="Solar Wind",POWER(Upgrades!$U$9,H243),1)*IF(Upgrades!$T$10="Solar Wind",POWER(Upgrades!$U$10,I243),1)*IF(Upgrades!$T$11="Solar Wind",POWER(Upgrades!$U$11,J243),1)*IF(Upgrades!$T$12="Solar Wind",POWER(Upgrades!$U$12,K243),1))*POWER(Upgrades!$P$6,E243)*POWER(Upgrades!$P$7,F243)*POWER(Upgrades!$P$8,G243)*POWER(Upgrades!$P$9,H243)*POWER(Upgrades!$P$10,I243)*POWER(Upgrades!$P$11,J243)*POWER(Upgrades!$P$12,K243)*60</f>
        <v>72</v>
      </c>
      <c r="AB243" s="27" t="n">
        <f aca="false">(IF(F243=0,0,(Upgrades!$G$7+F243*Upgrades!$H$7)*POWER(Upgrades!$I$7,F243)))*(IF(Upgrades!$T$6="Asteroid Belt",POWER(Upgrades!$U$6,E243),1)*IF(Upgrades!$T$8="Asteroid Belt",POWER(Upgrades!$U$8,G243),1)*IF(Upgrades!$T$9="Asteroid Belt",POWER(Upgrades!$U$9,H243),1)*IF(Upgrades!$T$10="Asteroid Belt",POWER(Upgrades!$U$10,I243),1)*IF(Upgrades!$T$11="Asteroid Belt",POWER(Upgrades!$U$11,J243),1)*IF(Upgrades!$T$12="Asteroid Belt",POWER(Upgrades!$U$12,K243),1))*POWER(Upgrades!$P$6,E243)*POWER(Upgrades!$P$7,F243)*POWER(Upgrades!$P$8,G243)*POWER(Upgrades!$P$9,H243)*POWER(Upgrades!$P$10,I243)*POWER(Upgrades!$P$11,J243)*POWER(Upgrades!$P$12,K243)*60</f>
        <v>150</v>
      </c>
      <c r="AC243" s="27" t="n">
        <f aca="false">(IF(G243=0,0,(Upgrades!$J$8+G243*Upgrades!$K$8)*POWER(Upgrades!$L$8,G243)))*(IF(Upgrades!$T$6="Stellar Coupling",POWER(Upgrades!$U$6,E243),1)*IF(Upgrades!$T$7="Stellar Coupling",POWER(Upgrades!$U$7,F243),1)*IF(Upgrades!$T$9="Stellar Coupling",POWER(Upgrades!$U$9,H243),1)*IF(Upgrades!$T$10="Stellar Coupling",POWER(Upgrades!$U$10,I243),1)*IF(Upgrades!$T$11="Stellar Coupling",POWER(Upgrades!$U$11,J243),1)*IF(Upgrades!$T$12="Stellar Coupling",POWER(Upgrades!$U$12,K243),1))*POWER(Upgrades!$Q$6,E243)*POWER(Upgrades!$Q$7,F243)*POWER(Upgrades!$Q$8,G243)*POWER(Upgrades!$Q$9,H243)*POWER(Upgrades!$Q$10,I243)*POWER(Upgrades!$Q$11,J243)*POWER(Upgrades!$Q$12,K243)*Parameters!$B$10*Parameters!$B$11</f>
        <v>441</v>
      </c>
      <c r="AD243" s="27" t="n">
        <f aca="false">(IF(H243=0,0,(Upgrades!$G$9+H243*Upgrades!$H$9)*POWER(Upgrades!$I$9,H243)))*(IF(Upgrades!$T$6="Magnetosphere",POWER(Upgrades!$U$6,E243),1)*IF(Upgrades!$T$7="Magnetosphere",POWER(Upgrades!$U$7,F243),1)*IF(Upgrades!$T$8="Magnetosphere",POWER(Upgrades!$U$8,G243),1)*IF(Upgrades!$T$10="Magnetosphere",POWER(Upgrades!$U$10,I243),1)*IF(Upgrades!$T$11="Magnetosphere",POWER(Upgrades!$U$11,J243),1)*IF(Upgrades!$T$12="Magnetosphere",POWER(Upgrades!$U$12,K243),1))*POWER(Upgrades!$P$6,E243)*POWER(Upgrades!$P$7,F243)*POWER(Upgrades!$P$8,G243)*POWER(Upgrades!$P$9,H243)*POWER(Upgrades!$P$10,I243)*POWER(Upgrades!$P$11,J243)*POWER(Upgrades!$P$12,K243)*60</f>
        <v>375</v>
      </c>
      <c r="AE243" s="27" t="n">
        <f aca="false">(IF(K243=0,0,(Upgrades!$G$12+K243*Upgrades!$H$12)*POWER(Upgrades!$I$12,K243)))*(IF(Upgrades!$T$6="First Photons",POWER(Upgrades!$U$6,E243),1)*IF(Upgrades!$T$7="First Photons",POWER(Upgrades!$U$7,F243),1)*IF(Upgrades!$T$8="First Photons",POWER(Upgrades!$U$8,G243),1)*IF(Upgrades!$T$9="First Photons",POWER(Upgrades!$U$9,H243),1)*IF(Upgrades!$T$10="First Photons",POWER(Upgrades!$U$10,I243),1)*IF(Upgrades!$T$11="First Photons",POWER(Upgrades!$U$11,J243),1))*POWER(Upgrades!$P$6,E243)*POWER(Upgrades!$P$7,F243)*POWER(Upgrades!$P$8,G243)*POWER(Upgrades!$P$9,H243)*POWER(Upgrades!$P$10,I243)*POWER(Upgrades!$P$11,J243)*POWER(Upgrades!$P$12,K243)*60</f>
        <v>75</v>
      </c>
      <c r="AF243" s="27" t="n">
        <f aca="false">Parameters!$B$9*POWER(Upgrades!$Q$6,E243)*POWER(Upgrades!$Q$7,F243)*POWER(Upgrades!$Q$8,G243)*POWER(Upgrades!$Q$9,H243)*POWER(Upgrades!$Q$10,I243)*POWER(Upgrades!$Q$11,J243)*POWER(Upgrades!$Q$12,K243)*(Parameters!$B$10*Parameters!$B$11+O243*60)</f>
        <v>120</v>
      </c>
      <c r="AG243" s="21" t="n">
        <f aca="false">IF(E243&gt;=Upgrades!$E$6,"",Upgrades!$C$6*POWER(Upgrades!$D$6,E243))</f>
        <v>37.4517507383159</v>
      </c>
      <c r="AH243" s="21" t="n">
        <f aca="false">IF(F243&gt;=Upgrades!$E$7,"",Upgrades!$C$7*POWER(Upgrades!$D$7,F243))</f>
        <v>80.9111547141581</v>
      </c>
      <c r="AI243" s="21" t="n">
        <f aca="false">IF(G243&gt;=Upgrades!$E$8,"",Upgrades!$C$8*POWER(Upgrades!$D$8,G243))</f>
        <v>231.9097088</v>
      </c>
      <c r="AJ243" s="21" t="str">
        <f aca="false">IF(H243&gt;=Upgrades!$E$9,"",Upgrades!$C$9*POWER(Upgrades!$D$9,H243))</f>
        <v/>
      </c>
      <c r="AK243" s="21" t="str">
        <f aca="false">IF(I243&gt;=Upgrades!$E$10,"",Upgrades!$C$10*POWER(Upgrades!$D$10,I243))</f>
        <v/>
      </c>
      <c r="AL243" s="21" t="str">
        <f aca="false">IF(J243&gt;=Upgrades!$E$11,"",Upgrades!$C$11*POWER(Upgrades!$D$11,J243))</f>
        <v/>
      </c>
      <c r="AM243" s="21" t="str">
        <f aca="false">IF(K243&gt;=Upgrades!$E$12,"",Upgrades!$C$12*POWER(Upgrades!$D$12,K243))</f>
        <v/>
      </c>
      <c r="AN243" s="26" t="str">
        <f aca="false">IF(AND(D243&gt;=Parameters!$B$18,(H243&gt;=Upgrades!$E$9)*(K243&gt;=Upgrades!$E$12)=1,L243=0),1,"")</f>
        <v/>
      </c>
      <c r="AO243" s="26" t="str">
        <f aca="false">IF(AND(D243&gt;=Parameters!$B$18,L243=0),1,"")</f>
        <v/>
      </c>
      <c r="AP243" s="21" t="n">
        <f aca="false">MIN(IF(ISNUMBER(AK243),AK243,9000000000000000),IF(ISNUMBER(AL243),AL243,9000000000000000),IF(ISNUMBER(AM243),AM243,9000000000000000))</f>
        <v>9000000000000000</v>
      </c>
      <c r="AQ243" s="21" t="n">
        <f aca="false">MIN(IF(ISNUMBER(AG243),AG243,9000000000000000),IF(ISNUMBER(AH243),AH243,9000000000000000),IF(ISNUMBER(AI243),AI243,9000000000000000),IF(ISNUMBER(AJ243),AJ243,9000000000000000))</f>
        <v>37.4517507383159</v>
      </c>
      <c r="AR243" s="32" t="b">
        <f aca="false">IF(AW243&gt;Parameters!$B$21*(MAX(IF(AND(NOT(AND(AO243=1,AN243&lt;&gt;1)),ISNUMBER(AG243),AG243&lt;=T243),AS243,0),IF(AND(NOT(AND(AO243=1,AN243&lt;&gt;1)),ISNUMBER(AH243),AH243&lt;=T243),AT243,0),IF(AND(NOT(AND(AO243=1,AN243&lt;&gt;1)),ISNUMBER(AI243),AI243&lt;=T243),AU243,0),IF(AND(ISNUMBER(AJ243),AJ243&lt;=T243),AV243,0))),TRUE(),FALSE())</f>
        <v>1</v>
      </c>
      <c r="AS243" s="33" t="n">
        <f aca="false">IFERROR(Upgrades!$H$6*(POWER(Upgrades!$P$6,E243)*POWER(Upgrades!$P$7,F243)*POWER(Upgrades!$P$8,G243)*POWER(Upgrades!$P$9,H243)*POWER(Upgrades!$P$10,I243)*POWER(Upgrades!$P$11,J243)*POWER(Upgrades!$P$12,K243))*(IF(Upgrades!$T$7="Solar Wind",POWER(Upgrades!$U$7,F243),1)*IF(Upgrades!$T$8="Solar Wind",POWER(Upgrades!$U$8,G243),1)*IF(Upgrades!$T$9="Solar Wind",POWER(Upgrades!$U$9,H243),1)*IF(Upgrades!$T$10="Solar Wind",POWER(Upgrades!$U$10,I243),1)*IF(Upgrades!$T$11="Solar Wind",POWER(Upgrades!$U$11,J243),1)*IF(Upgrades!$T$12="Solar Wind",POWER(Upgrades!$U$12,K243),1))/AG243,0)</f>
        <v>0.0026701021455238</v>
      </c>
      <c r="AT243" s="33" t="n">
        <f aca="false">IFERROR(Upgrades!$H$7*(POWER(Upgrades!$P$6,E243)*POWER(Upgrades!$P$7,F243)*POWER(Upgrades!$P$8,G243)*POWER(Upgrades!$P$9,H243)*POWER(Upgrades!$P$10,I243)*POWER(Upgrades!$P$11,J243)*POWER(Upgrades!$P$12,K243))*(IF(Upgrades!$T$6="Asteroid Belt",POWER(Upgrades!$U$6,E243),1)*IF(Upgrades!$T$8="Asteroid Belt",POWER(Upgrades!$U$8,G243),1)*IF(Upgrades!$T$9="Asteroid Belt",POWER(Upgrades!$U$9,H243),1)*IF(Upgrades!$T$10="Asteroid Belt",POWER(Upgrades!$U$10,I243),1)*IF(Upgrades!$T$11="Asteroid Belt",POWER(Upgrades!$U$11,J243),1)*IF(Upgrades!$T$12="Asteroid Belt",POWER(Upgrades!$U$12,K243),1))/AH243,0)</f>
        <v>0.00308980882652332</v>
      </c>
      <c r="AU243" s="33" t="n">
        <f aca="false">IFERROR(Upgrades!$K$8*(POWER(Upgrades!$Q$6,E243)*POWER(Upgrades!$Q$7,F243)*POWER(Upgrades!$Q$8,G243)*POWER(Upgrades!$Q$9,H243)*POWER(Upgrades!$Q$10,I243)*POWER(Upgrades!$Q$11,J243)*POWER(Upgrades!$Q$12,K243))*(IF(Upgrades!$T$6="Stellar Coupling",POWER(Upgrades!$U$6,E243),1)*IF(Upgrades!$T$7="Stellar Coupling",POWER(Upgrades!$U$7,F243),1)*IF(Upgrades!$T$9="Stellar Coupling",POWER(Upgrades!$U$9,H243),1)*IF(Upgrades!$T$10="Stellar Coupling",POWER(Upgrades!$U$10,I243),1)*IF(Upgrades!$T$11="Stellar Coupling",POWER(Upgrades!$U$11,J243),1)*IF(Upgrades!$T$12="Stellar Coupling",POWER(Upgrades!$U$12,K243),1))*Parameters!$B$10*Parameters!$B$11/60/AI243,0)</f>
        <v>0.00452762415783776</v>
      </c>
      <c r="AV243" s="33" t="n">
        <f aca="false">IFERROR(Upgrades!$H$9*(POWER(Upgrades!$P$6,E243)*POWER(Upgrades!$P$7,F243)*POWER(Upgrades!$P$8,G243)*POWER(Upgrades!$P$9,H243)*POWER(Upgrades!$P$10,I243)*POWER(Upgrades!$P$11,J243)*POWER(Upgrades!$P$12,K243))*(IF(Upgrades!$T$6="Magnetosphere",POWER(Upgrades!$U$6,E243),1)*IF(Upgrades!$T$7="Magnetosphere",POWER(Upgrades!$U$7,F243),1)*IF(Upgrades!$T$8="Magnetosphere",POWER(Upgrades!$U$8,G243),1)*IF(Upgrades!$T$10="Magnetosphere",POWER(Upgrades!$U$10,I243),1)*IF(Upgrades!$T$11="Magnetosphere",POWER(Upgrades!$U$11,J243),1)*IF(Upgrades!$T$12="Magnetosphere",POWER(Upgrades!$U$12,K243),1))/AJ243,0)</f>
        <v>0</v>
      </c>
      <c r="AW243" s="33" t="n">
        <f aca="false">MAX(IF(I243&gt;0,0,IFERROR(0.25*N243/Upgrades!$C$10,0)),IF(J243&gt;0,0,IFERROR(0.5*((IF(G243=0,0,(Upgrades!$J$8+G243*Upgrades!$K$8)*POWER(Upgrades!$L$8,G243)))*(IF(Upgrades!$T$6="Stellar Coupling",POWER(Upgrades!$U$6,E243),1)*IF(Upgrades!$T$7="Stellar Coupling",POWER(Upgrades!$U$7,F243),1)*IF(Upgrades!$T$9="Stellar Coupling",POWER(Upgrades!$U$9,H243),1)*IF(Upgrades!$T$10="Stellar Coupling",POWER(Upgrades!$U$10,I243),1)*IF(Upgrades!$T$11="Stellar Coupling",POWER(Upgrades!$U$11,J243),1)*IF(Upgrades!$T$12="Stellar Coupling",POWER(Upgrades!$U$12,K243),1))*(POWER(Upgrades!$Q$6,E243)*POWER(Upgrades!$Q$7,F243)*POWER(Upgrades!$Q$8,G243)*POWER(Upgrades!$Q$9,H243)*POWER(Upgrades!$Q$10,I243)*POWER(Upgrades!$Q$11,J243)*POWER(Upgrades!$Q$12,K243))*Parameters!$B$10*Parameters!$B$11/60)/Upgrades!$C$11,0)),IF(K243&gt;0,0,IFERROR((1*(POWER(Upgrades!$P$6,E243)*POWER(Upgrades!$P$7,F243)*POWER(Upgrades!$P$8,G243)*POWER(Upgrades!$P$9,H243)*POWER(Upgrades!$P$10,I243)*POWER(Upgrades!$P$11,J243)*POWER(Upgrades!$P$12,K243))+0.2*M243*Parameters!$B$10*Parameters!$B$11/60)/Upgrades!$C$12,0)),IF(AND(ISNUMBER(AG243),AG243&gt;T243),AS243,0),IF(AND(ISNUMBER(AH243),AH243&gt;T243),AT243,0),IF(AND(ISNUMBER(AI243),AI243&gt;T243),AU243,0),IF(AND(ISNUMBER(AJ243),AJ243&gt;T243),AV243,0))</f>
        <v>0.00452762415783776</v>
      </c>
      <c r="AX243" s="29" t="str">
        <f aca="false">IF(AN243=1,"transition",IF(MIN(IF(AND(I243=0,ISNUMBER(AK243),AK243&lt;=T243),AK243,9000000000000000),IF(AND(J243=0,ISNUMBER(AL243),AL243&lt;=T243),AL243,9000000000000000),IF(AND(K243=0,ISNUMBER(AM243),AM243&lt;=T243),AM243,9000000000000000))&lt;9000000000000000,IF(AND(AND(I243=0,ISNUMBER(AK243),AK243&lt;=T243),AK243=MIN(IF(AND(I243=0,ISNUMBER(AK243),AK243&lt;=T243),AK243,9000000000000000),IF(AND(J243=0,ISNUMBER(AL243),AL243&lt;=T243),AL243,9000000000000000),IF(AND(K243=0,ISNUMBER(AM243),AM243&lt;=T243),AM243,9000000000000000))),"OR",IF(AND(AND(J243=0,ISNUMBER(AL243),AL243&lt;=T243),AL243=MIN(IF(AND(I243=0,ISNUMBER(AK243),AK243&lt;=T243),AK243,9000000000000000),IF(AND(J243=0,ISNUMBER(AL243),AL243&lt;=T243),AL243,9000000000000000),IF(AND(K243=0,ISNUMBER(AM243),AM243&lt;=T243),AM243,9000000000000000))),"HP","FP")),IF(AR243=TRUE(),"",IF(MAX(IF(AND(NOT(AND(AO243=1,AN243&lt;&gt;1)),ISNUMBER(AG243),AG243&lt;=T243),AS243,0),IF(AND(NOT(AND(AO243=1,AN243&lt;&gt;1)),ISNUMBER(AH243),AH243&lt;=T243),AT243,0),IF(AND(NOT(AND(AO243=1,AN243&lt;&gt;1)),ISNUMBER(AI243),AI243&lt;=T243),AU243,0),IF(AND(ISNUMBER(AJ243),AJ243&lt;=T243),AV243,0))&lt;=0,"",IF(AND(IF(AND(NOT(AND(AO243=1,AN243&lt;&gt;1)),ISNUMBER(AG243),AG243&lt;=T243),AS243,0)&gt;0,IF(AND(NOT(AND(AO243=1,AN243&lt;&gt;1)),ISNUMBER(AG243),AG243&lt;=T243),AS243,0)=MAX(IF(AND(NOT(AND(AO243=1,AN243&lt;&gt;1)),ISNUMBER(AG243),AG243&lt;=T243),AS243,0),IF(AND(NOT(AND(AO243=1,AN243&lt;&gt;1)),ISNUMBER(AH243),AH243&lt;=T243),AT243,0),IF(AND(NOT(AND(AO243=1,AN243&lt;&gt;1)),ISNUMBER(AI243),AI243&lt;=T243),AU243,0),IF(AND(ISNUMBER(AJ243),AJ243&lt;=T243),AV243,0))),"SW",IF(AND(IF(AND(NOT(AND(AO243=1,AN243&lt;&gt;1)),ISNUMBER(AH243),AH243&lt;=T243),AT243,0)&gt;0,IF(AND(NOT(AND(AO243=1,AN243&lt;&gt;1)),ISNUMBER(AH243),AH243&lt;=T243),AT243,0)=MAX(IF(AND(NOT(AND(AO243=1,AN243&lt;&gt;1)),ISNUMBER(AG243),AG243&lt;=T243),AS243,0),IF(AND(NOT(AND(AO243=1,AN243&lt;&gt;1)),ISNUMBER(AH243),AH243&lt;=T243),AT243,0),IF(AND(NOT(AND(AO243=1,AN243&lt;&gt;1)),ISNUMBER(AI243),AI243&lt;=T243),AU243,0),IF(AND(ISNUMBER(AJ243),AJ243&lt;=T243),AV243,0))),"AB",IF(AND(IF(AND(NOT(AND(AO243=1,AN243&lt;&gt;1)),ISNUMBER(AI243),AI243&lt;=T243),AU243,0)&gt;0,IF(AND(NOT(AND(AO243=1,AN243&lt;&gt;1)),ISNUMBER(AI243),AI243&lt;=T243),AU243,0)=MAX(IF(AND(NOT(AND(AO243=1,AN243&lt;&gt;1)),ISNUMBER(AG243),AG243&lt;=T243),AS243,0),IF(AND(NOT(AND(AO243=1,AN243&lt;&gt;1)),ISNUMBER(AH243),AH243&lt;=T243),AT243,0),IF(AND(NOT(AND(AO243=1,AN243&lt;&gt;1)),ISNUMBER(AI243),AI243&lt;=T243),AU243,0),IF(AND(ISNUMBER(AJ243),AJ243&lt;=T243),AV243,0))),"SC","Mag")))))))</f>
        <v/>
      </c>
    </row>
    <row r="244" customFormat="false" ht="15" hidden="false" customHeight="false" outlineLevel="0" collapsed="false">
      <c r="A244" s="26" t="n">
        <v>239</v>
      </c>
      <c r="B244" s="27" t="n">
        <f aca="false">A244*10/60</f>
        <v>39.8333333333333</v>
      </c>
      <c r="C244" s="21" t="n">
        <f aca="false">X243</f>
        <v>18.6730249835055</v>
      </c>
      <c r="D244" s="27" t="n">
        <f aca="false">D243+W243</f>
        <v>0</v>
      </c>
      <c r="E244" s="26" t="n">
        <f aca="false">E243+IF(U243="SW",1,0)</f>
        <v>12</v>
      </c>
      <c r="F244" s="26" t="n">
        <f aca="false">F243+IF(U243="AB",1,0)</f>
        <v>10</v>
      </c>
      <c r="G244" s="26" t="n">
        <f aca="false">G243+IF(U243="SC",1,0)</f>
        <v>7</v>
      </c>
      <c r="H244" s="26" t="n">
        <f aca="false">H243+IF(U243="Mag",1,0)</f>
        <v>5</v>
      </c>
      <c r="I244" s="26" t="n">
        <f aca="false">MAX(I243,IF(U243="OR",1,0))</f>
        <v>1</v>
      </c>
      <c r="J244" s="26" t="n">
        <f aca="false">MAX(J243,IF(U243="HP",1,0))</f>
        <v>1</v>
      </c>
      <c r="K244" s="26" t="n">
        <f aca="false">MAX(K243,IF(U243="FP",1,0))</f>
        <v>1</v>
      </c>
      <c r="L244" s="26" t="n">
        <f aca="false">MAX(L243,IF(U243="transition",1,0))</f>
        <v>1</v>
      </c>
      <c r="M244" s="28" t="n">
        <f aca="false">(Parameters!$B$9+(IF(E244=0,0,(Upgrades!$J$6+E244*Upgrades!$K$6)*POWER(Upgrades!$L$6,E244)))*(IF(Upgrades!$T$7="Solar Wind",POWER(Upgrades!$U$7,F244),1)*IF(Upgrades!$T$8="Solar Wind",POWER(Upgrades!$U$8,G244),1)*IF(Upgrades!$T$9="Solar Wind",POWER(Upgrades!$U$9,H244),1)*IF(Upgrades!$T$10="Solar Wind",POWER(Upgrades!$U$10,I244),1)*IF(Upgrades!$T$11="Solar Wind",POWER(Upgrades!$U$11,J244),1)*IF(Upgrades!$T$12="Solar Wind",POWER(Upgrades!$U$12,K244),1))+(IF(F244=0,0,(Upgrades!$J$7+F244*Upgrades!$K$7)*POWER(Upgrades!$L$7,F244)))*(IF(Upgrades!$T$6="Asteroid Belt",POWER(Upgrades!$U$6,E244),1)*IF(Upgrades!$T$8="Asteroid Belt",POWER(Upgrades!$U$8,G244),1)*IF(Upgrades!$T$9="Asteroid Belt",POWER(Upgrades!$U$9,H244),1)*IF(Upgrades!$T$10="Asteroid Belt",POWER(Upgrades!$U$10,I244),1)*IF(Upgrades!$T$11="Asteroid Belt",POWER(Upgrades!$U$11,J244),1)*IF(Upgrades!$T$12="Asteroid Belt",POWER(Upgrades!$U$12,K244),1))+(IF(G244=0,0,(Upgrades!$J$8+G244*Upgrades!$K$8)*POWER(Upgrades!$L$8,G244)))*(IF(Upgrades!$T$6="Stellar Coupling",POWER(Upgrades!$U$6,E244),1)*IF(Upgrades!$T$7="Stellar Coupling",POWER(Upgrades!$U$7,F244),1)*IF(Upgrades!$T$9="Stellar Coupling",POWER(Upgrades!$U$9,H244),1)*IF(Upgrades!$T$10="Stellar Coupling",POWER(Upgrades!$U$10,I244),1)*IF(Upgrades!$T$11="Stellar Coupling",POWER(Upgrades!$U$11,J244),1)*IF(Upgrades!$T$12="Stellar Coupling",POWER(Upgrades!$U$12,K244),1))+(IF(H244=0,0,(Upgrades!$J$9+H244*Upgrades!$K$9)*POWER(Upgrades!$L$9,H244)))*(IF(Upgrades!$T$6="Magnetosphere",POWER(Upgrades!$U$6,E244),1)*IF(Upgrades!$T$7="Magnetosphere",POWER(Upgrades!$U$7,F244),1)*IF(Upgrades!$T$8="Magnetosphere",POWER(Upgrades!$U$8,G244),1)*IF(Upgrades!$T$10="Magnetosphere",POWER(Upgrades!$U$10,I244),1)*IF(Upgrades!$T$11="Magnetosphere",POWER(Upgrades!$U$11,J244),1)*IF(Upgrades!$T$12="Magnetosphere",POWER(Upgrades!$U$12,K244),1))+(IF(I244=0,0,(Upgrades!$J$10+I244*Upgrades!$K$10)*POWER(Upgrades!$L$10,I244)))*(IF(Upgrades!$T$6="Orbital Resonance",POWER(Upgrades!$U$6,E244),1)*IF(Upgrades!$T$7="Orbital Resonance",POWER(Upgrades!$U$7,F244),1)*IF(Upgrades!$T$8="Orbital Resonance",POWER(Upgrades!$U$8,G244),1)*IF(Upgrades!$T$9="Orbital Resonance",POWER(Upgrades!$U$9,H244),1)*IF(Upgrades!$T$11="Orbital Resonance",POWER(Upgrades!$U$11,J244),1)*IF(Upgrades!$T$12="Orbital Resonance",POWER(Upgrades!$U$12,K244),1))+(IF(J244=0,0,(Upgrades!$J$11+J244*Upgrades!$K$11)*POWER(Upgrades!$L$11,J244)))*(IF(Upgrades!$T$6="Heliopause",POWER(Upgrades!$U$6,E244),1)*IF(Upgrades!$T$7="Heliopause",POWER(Upgrades!$U$7,F244),1)*IF(Upgrades!$T$8="Heliopause",POWER(Upgrades!$U$8,G244),1)*IF(Upgrades!$T$9="Heliopause",POWER(Upgrades!$U$9,H244),1)*IF(Upgrades!$T$10="Heliopause",POWER(Upgrades!$U$10,I244),1)*IF(Upgrades!$T$12="Heliopause",POWER(Upgrades!$U$12,K244),1))+(IF(K244=0,0,(Upgrades!$J$12+K244*Upgrades!$K$12)*POWER(Upgrades!$L$12,K244)))*(IF(Upgrades!$T$6="First Photons",POWER(Upgrades!$U$6,E244),1)*IF(Upgrades!$T$7="First Photons",POWER(Upgrades!$U$7,F244),1)*IF(Upgrades!$T$8="First Photons",POWER(Upgrades!$U$8,G244),1)*IF(Upgrades!$T$9="First Photons",POWER(Upgrades!$U$9,H244),1)*IF(Upgrades!$T$10="First Photons",POWER(Upgrades!$U$10,I244),1)*IF(Upgrades!$T$11="First Photons",POWER(Upgrades!$U$11,J244),1)))*POWER(Upgrades!$Q$6,E244)*POWER(Upgrades!$Q$7,F244)*POWER(Upgrades!$Q$8,G244)*POWER(Upgrades!$Q$9,H244)*POWER(Upgrades!$Q$10,I244)*POWER(Upgrades!$Q$11,J244)*POWER(Upgrades!$Q$12,K244)</f>
        <v>5.61</v>
      </c>
      <c r="N244" s="28" t="n">
        <f aca="false">((IF(E244=0,0,(Upgrades!$G$6+E244*Upgrades!$H$6)*POWER(Upgrades!$I$6,E244)))*(IF(Upgrades!$T$7="Solar Wind",POWER(Upgrades!$U$7,F244),1)*IF(Upgrades!$T$8="Solar Wind",POWER(Upgrades!$U$8,G244),1)*IF(Upgrades!$T$9="Solar Wind",POWER(Upgrades!$U$9,H244),1)*IF(Upgrades!$T$10="Solar Wind",POWER(Upgrades!$U$10,I244),1)*IF(Upgrades!$T$11="Solar Wind",POWER(Upgrades!$U$11,J244),1)*IF(Upgrades!$T$12="Solar Wind",POWER(Upgrades!$U$12,K244),1))+(IF(F244=0,0,(Upgrades!$G$7+F244*Upgrades!$H$7)*POWER(Upgrades!$I$7,F244)))*(IF(Upgrades!$T$6="Asteroid Belt",POWER(Upgrades!$U$6,E244),1)*IF(Upgrades!$T$8="Asteroid Belt",POWER(Upgrades!$U$8,G244),1)*IF(Upgrades!$T$9="Asteroid Belt",POWER(Upgrades!$U$9,H244),1)*IF(Upgrades!$T$10="Asteroid Belt",POWER(Upgrades!$U$10,I244),1)*IF(Upgrades!$T$11="Asteroid Belt",POWER(Upgrades!$U$11,J244),1)*IF(Upgrades!$T$12="Asteroid Belt",POWER(Upgrades!$U$12,K244),1))+(IF(G244=0,0,(Upgrades!$G$8+G244*Upgrades!$H$8)*POWER(Upgrades!$I$8,G244)))*(IF(Upgrades!$T$6="Stellar Coupling",POWER(Upgrades!$U$6,E244),1)*IF(Upgrades!$T$7="Stellar Coupling",POWER(Upgrades!$U$7,F244),1)*IF(Upgrades!$T$9="Stellar Coupling",POWER(Upgrades!$U$9,H244),1)*IF(Upgrades!$T$10="Stellar Coupling",POWER(Upgrades!$U$10,I244),1)*IF(Upgrades!$T$11="Stellar Coupling",POWER(Upgrades!$U$11,J244),1)*IF(Upgrades!$T$12="Stellar Coupling",POWER(Upgrades!$U$12,K244),1))+(IF(H244=0,0,(Upgrades!$G$9+H244*Upgrades!$H$9)*POWER(Upgrades!$I$9,H244)))*(IF(Upgrades!$T$6="Magnetosphere",POWER(Upgrades!$U$6,E244),1)*IF(Upgrades!$T$7="Magnetosphere",POWER(Upgrades!$U$7,F244),1)*IF(Upgrades!$T$8="Magnetosphere",POWER(Upgrades!$U$8,G244),1)*IF(Upgrades!$T$10="Magnetosphere",POWER(Upgrades!$U$10,I244),1)*IF(Upgrades!$T$11="Magnetosphere",POWER(Upgrades!$U$11,J244),1)*IF(Upgrades!$T$12="Magnetosphere",POWER(Upgrades!$U$12,K244),1))+(IF(I244=0,0,(Upgrades!$G$10+I244*Upgrades!$H$10)*POWER(Upgrades!$I$10,I244)))*(IF(Upgrades!$T$6="Orbital Resonance",POWER(Upgrades!$U$6,E244),1)*IF(Upgrades!$T$7="Orbital Resonance",POWER(Upgrades!$U$7,F244),1)*IF(Upgrades!$T$8="Orbital Resonance",POWER(Upgrades!$U$8,G244),1)*IF(Upgrades!$T$9="Orbital Resonance",POWER(Upgrades!$U$9,H244),1)*IF(Upgrades!$T$11="Orbital Resonance",POWER(Upgrades!$U$11,J244),1)*IF(Upgrades!$T$12="Orbital Resonance",POWER(Upgrades!$U$12,K244),1))+(IF(J244=0,0,(Upgrades!$G$11+J244*Upgrades!$H$11)*POWER(Upgrades!$I$11,J244)))*(IF(Upgrades!$T$6="Heliopause",POWER(Upgrades!$U$6,E244),1)*IF(Upgrades!$T$7="Heliopause",POWER(Upgrades!$U$7,F244),1)*IF(Upgrades!$T$8="Heliopause",POWER(Upgrades!$U$8,G244),1)*IF(Upgrades!$T$9="Heliopause",POWER(Upgrades!$U$9,H244),1)*IF(Upgrades!$T$10="Heliopause",POWER(Upgrades!$U$10,I244),1)*IF(Upgrades!$T$12="Heliopause",POWER(Upgrades!$U$12,K244),1))+(IF(K244=0,0,(Upgrades!$G$12+K244*Upgrades!$H$12)*POWER(Upgrades!$I$12,K244)))*(IF(Upgrades!$T$6="First Photons",POWER(Upgrades!$U$6,E244),1)*IF(Upgrades!$T$7="First Photons",POWER(Upgrades!$U$7,F244),1)*IF(Upgrades!$T$8="First Photons",POWER(Upgrades!$U$8,G244),1)*IF(Upgrades!$T$9="First Photons",POWER(Upgrades!$U$9,H244),1)*IF(Upgrades!$T$10="First Photons",POWER(Upgrades!$U$10,I244),1)*IF(Upgrades!$T$11="First Photons",POWER(Upgrades!$U$11,J244),1)))*POWER(Upgrades!$P$6,E244)*POWER(Upgrades!$P$7,F244)*POWER(Upgrades!$P$8,G244)*POWER(Upgrades!$P$9,H244)*POWER(Upgrades!$P$10,I244)*POWER(Upgrades!$P$11,J244)*POWER(Upgrades!$P$12,K244)</f>
        <v>11.2</v>
      </c>
      <c r="O244" s="28" t="n">
        <f aca="false">((IF(E244=0,0,(Upgrades!$M$6+E244*Upgrades!$N$6)*POWER(Upgrades!$O$6,E244)))*(IF(Upgrades!$T$7="Solar Wind",POWER(Upgrades!$U$7,F244),1)*IF(Upgrades!$T$8="Solar Wind",POWER(Upgrades!$U$8,G244),1)*IF(Upgrades!$T$9="Solar Wind",POWER(Upgrades!$U$9,H244),1)*IF(Upgrades!$T$10="Solar Wind",POWER(Upgrades!$U$10,I244),1)*IF(Upgrades!$T$11="Solar Wind",POWER(Upgrades!$U$11,J244),1)*IF(Upgrades!$T$12="Solar Wind",POWER(Upgrades!$U$12,K244),1))+(IF(F244=0,0,(Upgrades!$M$7+F244*Upgrades!$N$7)*POWER(Upgrades!$O$7,F244)))*(IF(Upgrades!$T$6="Asteroid Belt",POWER(Upgrades!$U$6,E244),1)*IF(Upgrades!$T$8="Asteroid Belt",POWER(Upgrades!$U$8,G244),1)*IF(Upgrades!$T$9="Asteroid Belt",POWER(Upgrades!$U$9,H244),1)*IF(Upgrades!$T$10="Asteroid Belt",POWER(Upgrades!$U$10,I244),1)*IF(Upgrades!$T$11="Asteroid Belt",POWER(Upgrades!$U$11,J244),1)*IF(Upgrades!$T$12="Asteroid Belt",POWER(Upgrades!$U$12,K244),1))+(IF(G244=0,0,(Upgrades!$M$8+G244*Upgrades!$N$8)*POWER(Upgrades!$O$8,G244)))*(IF(Upgrades!$T$6="Stellar Coupling",POWER(Upgrades!$U$6,E244),1)*IF(Upgrades!$T$7="Stellar Coupling",POWER(Upgrades!$U$7,F244),1)*IF(Upgrades!$T$9="Stellar Coupling",POWER(Upgrades!$U$9,H244),1)*IF(Upgrades!$T$10="Stellar Coupling",POWER(Upgrades!$U$10,I244),1)*IF(Upgrades!$T$11="Stellar Coupling",POWER(Upgrades!$U$11,J244),1)*IF(Upgrades!$T$12="Stellar Coupling",POWER(Upgrades!$U$12,K244),1))+(IF(H244=0,0,(Upgrades!$M$9+H244*Upgrades!$N$9)*POWER(Upgrades!$O$9,H244)))*(IF(Upgrades!$T$6="Magnetosphere",POWER(Upgrades!$U$6,E244),1)*IF(Upgrades!$T$7="Magnetosphere",POWER(Upgrades!$U$7,F244),1)*IF(Upgrades!$T$8="Magnetosphere",POWER(Upgrades!$U$8,G244),1)*IF(Upgrades!$T$10="Magnetosphere",POWER(Upgrades!$U$10,I244),1)*IF(Upgrades!$T$11="Magnetosphere",POWER(Upgrades!$U$11,J244),1)*IF(Upgrades!$T$12="Magnetosphere",POWER(Upgrades!$U$12,K244),1))+(IF(I244=0,0,(Upgrades!$M$10+I244*Upgrades!$N$10)*POWER(Upgrades!$O$10,I244)))*(IF(Upgrades!$T$6="Orbital Resonance",POWER(Upgrades!$U$6,E244),1)*IF(Upgrades!$T$7="Orbital Resonance",POWER(Upgrades!$U$7,F244),1)*IF(Upgrades!$T$8="Orbital Resonance",POWER(Upgrades!$U$8,G244),1)*IF(Upgrades!$T$9="Orbital Resonance",POWER(Upgrades!$U$9,H244),1)*IF(Upgrades!$T$11="Orbital Resonance",POWER(Upgrades!$U$11,J244),1)*IF(Upgrades!$T$12="Orbital Resonance",POWER(Upgrades!$U$12,K244),1))+(IF(J244=0,0,(Upgrades!$M$11+J244*Upgrades!$N$11)*POWER(Upgrades!$O$11,J244)))*(IF(Upgrades!$T$6="Heliopause",POWER(Upgrades!$U$6,E244),1)*IF(Upgrades!$T$7="Heliopause",POWER(Upgrades!$U$7,F244),1)*IF(Upgrades!$T$8="Heliopause",POWER(Upgrades!$U$8,G244),1)*IF(Upgrades!$T$9="Heliopause",POWER(Upgrades!$U$9,H244),1)*IF(Upgrades!$T$10="Heliopause",POWER(Upgrades!$U$10,I244),1)*IF(Upgrades!$T$12="Heliopause",POWER(Upgrades!$U$12,K244),1))+(IF(K244=0,0,(Upgrades!$M$12+K244*Upgrades!$N$12)*POWER(Upgrades!$O$12,K244)))*(IF(Upgrades!$T$6="First Photons",POWER(Upgrades!$U$6,E244),1)*IF(Upgrades!$T$7="First Photons",POWER(Upgrades!$U$7,F244),1)*IF(Upgrades!$T$8="First Photons",POWER(Upgrades!$U$8,G244),1)*IF(Upgrades!$T$9="First Photons",POWER(Upgrades!$U$9,H244),1)*IF(Upgrades!$T$10="First Photons",POWER(Upgrades!$U$10,I244),1)*IF(Upgrades!$T$11="First Photons",POWER(Upgrades!$U$11,J244),1)))*POWER(Upgrades!$R$6,E244)*POWER(Upgrades!$R$7,F244)*POWER(Upgrades!$R$8,G244)*POWER(Upgrades!$R$9,H244)*POWER(Upgrades!$R$10,I244)*POWER(Upgrades!$R$11,J244)*POWER(Upgrades!$R$12,K244)</f>
        <v>0</v>
      </c>
      <c r="P244" s="27" t="n">
        <f aca="false">IF(L244=1,0,M244*Parameters!$B$10/60*Parameters!$B$11*10)</f>
        <v>0</v>
      </c>
      <c r="Q244" s="27" t="n">
        <f aca="false">IF(L244=1,0,O244*M244*10)</f>
        <v>0</v>
      </c>
      <c r="R244" s="27" t="n">
        <f aca="false">IF(L244=1,0,N244*10)</f>
        <v>0</v>
      </c>
      <c r="S244" s="27" t="n">
        <f aca="false">P244+Q244+R244</f>
        <v>0</v>
      </c>
      <c r="T244" s="21" t="n">
        <f aca="false">C244+S244</f>
        <v>18.6730249835055</v>
      </c>
      <c r="U244" s="34" t="str">
        <f aca="false">AX244</f>
        <v/>
      </c>
      <c r="V244" s="21" t="n">
        <f aca="false">IF(U244="",0,IF(U244="transition",0,IF(U244="SW",AG244,IF(U244="AB",AH244,IF(U244="SC",AI244,IF(U244="Mag",AJ244,IF(U244="OR",AK244,IF(U244="HP",AL244,IF(U244="FP",AM244,0)))))))))</f>
        <v>0</v>
      </c>
      <c r="W244" s="27" t="n">
        <f aca="false">IF(U244="OR",Upgrades!$F$10,IF(U244="HP",Upgrades!$F$11,IF(U244="transition",-Parameters!$B$18,0)))</f>
        <v>0</v>
      </c>
      <c r="X244" s="21" t="n">
        <f aca="false">T244-V244</f>
        <v>18.6730249835055</v>
      </c>
      <c r="Y244" s="30" t="n">
        <f aca="false">M244*Parameters!$B$10/60*Parameters!$B$11+O244*M244+N244</f>
        <v>20.55</v>
      </c>
      <c r="Z244" s="35" t="str">
        <f aca="false">IF(U244="transition","→ Tier 2 (Stellar Neighborhood)",IF(U244="FP","First Photons — light begins, system quickens",IF(U244="HP","Heliopause acquired",IF(U244="OR","Orbital Resonance — passive multiplier active",IF(AND(AO244=1,L244=0,AN244&lt;&gt;1),"Cohesion ready (waiting on completionist upgrades)","")))))</f>
        <v/>
      </c>
      <c r="AA244" s="27" t="n">
        <f aca="false">(IF(E244=0,0,(Upgrades!$G$6+E244*Upgrades!$H$6)*POWER(Upgrades!$I$6,E244)))*(IF(Upgrades!$T$7="Solar Wind",POWER(Upgrades!$U$7,F244),1)*IF(Upgrades!$T$8="Solar Wind",POWER(Upgrades!$U$8,G244),1)*IF(Upgrades!$T$9="Solar Wind",POWER(Upgrades!$U$9,H244),1)*IF(Upgrades!$T$10="Solar Wind",POWER(Upgrades!$U$10,I244),1)*IF(Upgrades!$T$11="Solar Wind",POWER(Upgrades!$U$11,J244),1)*IF(Upgrades!$T$12="Solar Wind",POWER(Upgrades!$U$12,K244),1))*POWER(Upgrades!$P$6,E244)*POWER(Upgrades!$P$7,F244)*POWER(Upgrades!$P$8,G244)*POWER(Upgrades!$P$9,H244)*POWER(Upgrades!$P$10,I244)*POWER(Upgrades!$P$11,J244)*POWER(Upgrades!$P$12,K244)*60</f>
        <v>72</v>
      </c>
      <c r="AB244" s="27" t="n">
        <f aca="false">(IF(F244=0,0,(Upgrades!$G$7+F244*Upgrades!$H$7)*POWER(Upgrades!$I$7,F244)))*(IF(Upgrades!$T$6="Asteroid Belt",POWER(Upgrades!$U$6,E244),1)*IF(Upgrades!$T$8="Asteroid Belt",POWER(Upgrades!$U$8,G244),1)*IF(Upgrades!$T$9="Asteroid Belt",POWER(Upgrades!$U$9,H244),1)*IF(Upgrades!$T$10="Asteroid Belt",POWER(Upgrades!$U$10,I244),1)*IF(Upgrades!$T$11="Asteroid Belt",POWER(Upgrades!$U$11,J244),1)*IF(Upgrades!$T$12="Asteroid Belt",POWER(Upgrades!$U$12,K244),1))*POWER(Upgrades!$P$6,E244)*POWER(Upgrades!$P$7,F244)*POWER(Upgrades!$P$8,G244)*POWER(Upgrades!$P$9,H244)*POWER(Upgrades!$P$10,I244)*POWER(Upgrades!$P$11,J244)*POWER(Upgrades!$P$12,K244)*60</f>
        <v>150</v>
      </c>
      <c r="AC244" s="27" t="n">
        <f aca="false">(IF(G244=0,0,(Upgrades!$J$8+G244*Upgrades!$K$8)*POWER(Upgrades!$L$8,G244)))*(IF(Upgrades!$T$6="Stellar Coupling",POWER(Upgrades!$U$6,E244),1)*IF(Upgrades!$T$7="Stellar Coupling",POWER(Upgrades!$U$7,F244),1)*IF(Upgrades!$T$9="Stellar Coupling",POWER(Upgrades!$U$9,H244),1)*IF(Upgrades!$T$10="Stellar Coupling",POWER(Upgrades!$U$10,I244),1)*IF(Upgrades!$T$11="Stellar Coupling",POWER(Upgrades!$U$11,J244),1)*IF(Upgrades!$T$12="Stellar Coupling",POWER(Upgrades!$U$12,K244),1))*POWER(Upgrades!$Q$6,E244)*POWER(Upgrades!$Q$7,F244)*POWER(Upgrades!$Q$8,G244)*POWER(Upgrades!$Q$9,H244)*POWER(Upgrades!$Q$10,I244)*POWER(Upgrades!$Q$11,J244)*POWER(Upgrades!$Q$12,K244)*Parameters!$B$10*Parameters!$B$11</f>
        <v>441</v>
      </c>
      <c r="AD244" s="27" t="n">
        <f aca="false">(IF(H244=0,0,(Upgrades!$G$9+H244*Upgrades!$H$9)*POWER(Upgrades!$I$9,H244)))*(IF(Upgrades!$T$6="Magnetosphere",POWER(Upgrades!$U$6,E244),1)*IF(Upgrades!$T$7="Magnetosphere",POWER(Upgrades!$U$7,F244),1)*IF(Upgrades!$T$8="Magnetosphere",POWER(Upgrades!$U$8,G244),1)*IF(Upgrades!$T$10="Magnetosphere",POWER(Upgrades!$U$10,I244),1)*IF(Upgrades!$T$11="Magnetosphere",POWER(Upgrades!$U$11,J244),1)*IF(Upgrades!$T$12="Magnetosphere",POWER(Upgrades!$U$12,K244),1))*POWER(Upgrades!$P$6,E244)*POWER(Upgrades!$P$7,F244)*POWER(Upgrades!$P$8,G244)*POWER(Upgrades!$P$9,H244)*POWER(Upgrades!$P$10,I244)*POWER(Upgrades!$P$11,J244)*POWER(Upgrades!$P$12,K244)*60</f>
        <v>375</v>
      </c>
      <c r="AE244" s="27" t="n">
        <f aca="false">(IF(K244=0,0,(Upgrades!$G$12+K244*Upgrades!$H$12)*POWER(Upgrades!$I$12,K244)))*(IF(Upgrades!$T$6="First Photons",POWER(Upgrades!$U$6,E244),1)*IF(Upgrades!$T$7="First Photons",POWER(Upgrades!$U$7,F244),1)*IF(Upgrades!$T$8="First Photons",POWER(Upgrades!$U$8,G244),1)*IF(Upgrades!$T$9="First Photons",POWER(Upgrades!$U$9,H244),1)*IF(Upgrades!$T$10="First Photons",POWER(Upgrades!$U$10,I244),1)*IF(Upgrades!$T$11="First Photons",POWER(Upgrades!$U$11,J244),1))*POWER(Upgrades!$P$6,E244)*POWER(Upgrades!$P$7,F244)*POWER(Upgrades!$P$8,G244)*POWER(Upgrades!$P$9,H244)*POWER(Upgrades!$P$10,I244)*POWER(Upgrades!$P$11,J244)*POWER(Upgrades!$P$12,K244)*60</f>
        <v>75</v>
      </c>
      <c r="AF244" s="27" t="n">
        <f aca="false">Parameters!$B$9*POWER(Upgrades!$Q$6,E244)*POWER(Upgrades!$Q$7,F244)*POWER(Upgrades!$Q$8,G244)*POWER(Upgrades!$Q$9,H244)*POWER(Upgrades!$Q$10,I244)*POWER(Upgrades!$Q$11,J244)*POWER(Upgrades!$Q$12,K244)*(Parameters!$B$10*Parameters!$B$11+O244*60)</f>
        <v>120</v>
      </c>
      <c r="AG244" s="21" t="n">
        <f aca="false">IF(E244&gt;=Upgrades!$E$6,"",Upgrades!$C$6*POWER(Upgrades!$D$6,E244))</f>
        <v>37.4517507383159</v>
      </c>
      <c r="AH244" s="21" t="n">
        <f aca="false">IF(F244&gt;=Upgrades!$E$7,"",Upgrades!$C$7*POWER(Upgrades!$D$7,F244))</f>
        <v>80.9111547141581</v>
      </c>
      <c r="AI244" s="21" t="n">
        <f aca="false">IF(G244&gt;=Upgrades!$E$8,"",Upgrades!$C$8*POWER(Upgrades!$D$8,G244))</f>
        <v>231.9097088</v>
      </c>
      <c r="AJ244" s="21" t="str">
        <f aca="false">IF(H244&gt;=Upgrades!$E$9,"",Upgrades!$C$9*POWER(Upgrades!$D$9,H244))</f>
        <v/>
      </c>
      <c r="AK244" s="21" t="str">
        <f aca="false">IF(I244&gt;=Upgrades!$E$10,"",Upgrades!$C$10*POWER(Upgrades!$D$10,I244))</f>
        <v/>
      </c>
      <c r="AL244" s="21" t="str">
        <f aca="false">IF(J244&gt;=Upgrades!$E$11,"",Upgrades!$C$11*POWER(Upgrades!$D$11,J244))</f>
        <v/>
      </c>
      <c r="AM244" s="21" t="str">
        <f aca="false">IF(K244&gt;=Upgrades!$E$12,"",Upgrades!$C$12*POWER(Upgrades!$D$12,K244))</f>
        <v/>
      </c>
      <c r="AN244" s="26" t="str">
        <f aca="false">IF(AND(D244&gt;=Parameters!$B$18,(H244&gt;=Upgrades!$E$9)*(K244&gt;=Upgrades!$E$12)=1,L244=0),1,"")</f>
        <v/>
      </c>
      <c r="AO244" s="26" t="str">
        <f aca="false">IF(AND(D244&gt;=Parameters!$B$18,L244=0),1,"")</f>
        <v/>
      </c>
      <c r="AP244" s="21" t="n">
        <f aca="false">MIN(IF(ISNUMBER(AK244),AK244,9000000000000000),IF(ISNUMBER(AL244),AL244,9000000000000000),IF(ISNUMBER(AM244),AM244,9000000000000000))</f>
        <v>9000000000000000</v>
      </c>
      <c r="AQ244" s="21" t="n">
        <f aca="false">MIN(IF(ISNUMBER(AG244),AG244,9000000000000000),IF(ISNUMBER(AH244),AH244,9000000000000000),IF(ISNUMBER(AI244),AI244,9000000000000000),IF(ISNUMBER(AJ244),AJ244,9000000000000000))</f>
        <v>37.4517507383159</v>
      </c>
      <c r="AR244" s="32" t="b">
        <f aca="false">IF(AW244&gt;Parameters!$B$21*(MAX(IF(AND(NOT(AND(AO244=1,AN244&lt;&gt;1)),ISNUMBER(AG244),AG244&lt;=T244),AS244,0),IF(AND(NOT(AND(AO244=1,AN244&lt;&gt;1)),ISNUMBER(AH244),AH244&lt;=T244),AT244,0),IF(AND(NOT(AND(AO244=1,AN244&lt;&gt;1)),ISNUMBER(AI244),AI244&lt;=T244),AU244,0),IF(AND(ISNUMBER(AJ244),AJ244&lt;=T244),AV244,0))),TRUE(),FALSE())</f>
        <v>1</v>
      </c>
      <c r="AS244" s="33" t="n">
        <f aca="false">IFERROR(Upgrades!$H$6*(POWER(Upgrades!$P$6,E244)*POWER(Upgrades!$P$7,F244)*POWER(Upgrades!$P$8,G244)*POWER(Upgrades!$P$9,H244)*POWER(Upgrades!$P$10,I244)*POWER(Upgrades!$P$11,J244)*POWER(Upgrades!$P$12,K244))*(IF(Upgrades!$T$7="Solar Wind",POWER(Upgrades!$U$7,F244),1)*IF(Upgrades!$T$8="Solar Wind",POWER(Upgrades!$U$8,G244),1)*IF(Upgrades!$T$9="Solar Wind",POWER(Upgrades!$U$9,H244),1)*IF(Upgrades!$T$10="Solar Wind",POWER(Upgrades!$U$10,I244),1)*IF(Upgrades!$T$11="Solar Wind",POWER(Upgrades!$U$11,J244),1)*IF(Upgrades!$T$12="Solar Wind",POWER(Upgrades!$U$12,K244),1))/AG244,0)</f>
        <v>0.0026701021455238</v>
      </c>
      <c r="AT244" s="33" t="n">
        <f aca="false">IFERROR(Upgrades!$H$7*(POWER(Upgrades!$P$6,E244)*POWER(Upgrades!$P$7,F244)*POWER(Upgrades!$P$8,G244)*POWER(Upgrades!$P$9,H244)*POWER(Upgrades!$P$10,I244)*POWER(Upgrades!$P$11,J244)*POWER(Upgrades!$P$12,K244))*(IF(Upgrades!$T$6="Asteroid Belt",POWER(Upgrades!$U$6,E244),1)*IF(Upgrades!$T$8="Asteroid Belt",POWER(Upgrades!$U$8,G244),1)*IF(Upgrades!$T$9="Asteroid Belt",POWER(Upgrades!$U$9,H244),1)*IF(Upgrades!$T$10="Asteroid Belt",POWER(Upgrades!$U$10,I244),1)*IF(Upgrades!$T$11="Asteroid Belt",POWER(Upgrades!$U$11,J244),1)*IF(Upgrades!$T$12="Asteroid Belt",POWER(Upgrades!$U$12,K244),1))/AH244,0)</f>
        <v>0.00308980882652332</v>
      </c>
      <c r="AU244" s="33" t="n">
        <f aca="false">IFERROR(Upgrades!$K$8*(POWER(Upgrades!$Q$6,E244)*POWER(Upgrades!$Q$7,F244)*POWER(Upgrades!$Q$8,G244)*POWER(Upgrades!$Q$9,H244)*POWER(Upgrades!$Q$10,I244)*POWER(Upgrades!$Q$11,J244)*POWER(Upgrades!$Q$12,K244))*(IF(Upgrades!$T$6="Stellar Coupling",POWER(Upgrades!$U$6,E244),1)*IF(Upgrades!$T$7="Stellar Coupling",POWER(Upgrades!$U$7,F244),1)*IF(Upgrades!$T$9="Stellar Coupling",POWER(Upgrades!$U$9,H244),1)*IF(Upgrades!$T$10="Stellar Coupling",POWER(Upgrades!$U$10,I244),1)*IF(Upgrades!$T$11="Stellar Coupling",POWER(Upgrades!$U$11,J244),1)*IF(Upgrades!$T$12="Stellar Coupling",POWER(Upgrades!$U$12,K244),1))*Parameters!$B$10*Parameters!$B$11/60/AI244,0)</f>
        <v>0.00452762415783776</v>
      </c>
      <c r="AV244" s="33" t="n">
        <f aca="false">IFERROR(Upgrades!$H$9*(POWER(Upgrades!$P$6,E244)*POWER(Upgrades!$P$7,F244)*POWER(Upgrades!$P$8,G244)*POWER(Upgrades!$P$9,H244)*POWER(Upgrades!$P$10,I244)*POWER(Upgrades!$P$11,J244)*POWER(Upgrades!$P$12,K244))*(IF(Upgrades!$T$6="Magnetosphere",POWER(Upgrades!$U$6,E244),1)*IF(Upgrades!$T$7="Magnetosphere",POWER(Upgrades!$U$7,F244),1)*IF(Upgrades!$T$8="Magnetosphere",POWER(Upgrades!$U$8,G244),1)*IF(Upgrades!$T$10="Magnetosphere",POWER(Upgrades!$U$10,I244),1)*IF(Upgrades!$T$11="Magnetosphere",POWER(Upgrades!$U$11,J244),1)*IF(Upgrades!$T$12="Magnetosphere",POWER(Upgrades!$U$12,K244),1))/AJ244,0)</f>
        <v>0</v>
      </c>
      <c r="AW244" s="33" t="n">
        <f aca="false">MAX(IF(I244&gt;0,0,IFERROR(0.25*N244/Upgrades!$C$10,0)),IF(J244&gt;0,0,IFERROR(0.5*((IF(G244=0,0,(Upgrades!$J$8+G244*Upgrades!$K$8)*POWER(Upgrades!$L$8,G244)))*(IF(Upgrades!$T$6="Stellar Coupling",POWER(Upgrades!$U$6,E244),1)*IF(Upgrades!$T$7="Stellar Coupling",POWER(Upgrades!$U$7,F244),1)*IF(Upgrades!$T$9="Stellar Coupling",POWER(Upgrades!$U$9,H244),1)*IF(Upgrades!$T$10="Stellar Coupling",POWER(Upgrades!$U$10,I244),1)*IF(Upgrades!$T$11="Stellar Coupling",POWER(Upgrades!$U$11,J244),1)*IF(Upgrades!$T$12="Stellar Coupling",POWER(Upgrades!$U$12,K244),1))*(POWER(Upgrades!$Q$6,E244)*POWER(Upgrades!$Q$7,F244)*POWER(Upgrades!$Q$8,G244)*POWER(Upgrades!$Q$9,H244)*POWER(Upgrades!$Q$10,I244)*POWER(Upgrades!$Q$11,J244)*POWER(Upgrades!$Q$12,K244))*Parameters!$B$10*Parameters!$B$11/60)/Upgrades!$C$11,0)),IF(K244&gt;0,0,IFERROR((1*(POWER(Upgrades!$P$6,E244)*POWER(Upgrades!$P$7,F244)*POWER(Upgrades!$P$8,G244)*POWER(Upgrades!$P$9,H244)*POWER(Upgrades!$P$10,I244)*POWER(Upgrades!$P$11,J244)*POWER(Upgrades!$P$12,K244))+0.2*M244*Parameters!$B$10*Parameters!$B$11/60)/Upgrades!$C$12,0)),IF(AND(ISNUMBER(AG244),AG244&gt;T244),AS244,0),IF(AND(ISNUMBER(AH244),AH244&gt;T244),AT244,0),IF(AND(ISNUMBER(AI244),AI244&gt;T244),AU244,0),IF(AND(ISNUMBER(AJ244),AJ244&gt;T244),AV244,0))</f>
        <v>0.00452762415783776</v>
      </c>
      <c r="AX244" s="29" t="str">
        <f aca="false">IF(AN244=1,"transition",IF(MIN(IF(AND(I244=0,ISNUMBER(AK244),AK244&lt;=T244),AK244,9000000000000000),IF(AND(J244=0,ISNUMBER(AL244),AL244&lt;=T244),AL244,9000000000000000),IF(AND(K244=0,ISNUMBER(AM244),AM244&lt;=T244),AM244,9000000000000000))&lt;9000000000000000,IF(AND(AND(I244=0,ISNUMBER(AK244),AK244&lt;=T244),AK244=MIN(IF(AND(I244=0,ISNUMBER(AK244),AK244&lt;=T244),AK244,9000000000000000),IF(AND(J244=0,ISNUMBER(AL244),AL244&lt;=T244),AL244,9000000000000000),IF(AND(K244=0,ISNUMBER(AM244),AM244&lt;=T244),AM244,9000000000000000))),"OR",IF(AND(AND(J244=0,ISNUMBER(AL244),AL244&lt;=T244),AL244=MIN(IF(AND(I244=0,ISNUMBER(AK244),AK244&lt;=T244),AK244,9000000000000000),IF(AND(J244=0,ISNUMBER(AL244),AL244&lt;=T244),AL244,9000000000000000),IF(AND(K244=0,ISNUMBER(AM244),AM244&lt;=T244),AM244,9000000000000000))),"HP","FP")),IF(AR244=TRUE(),"",IF(MAX(IF(AND(NOT(AND(AO244=1,AN244&lt;&gt;1)),ISNUMBER(AG244),AG244&lt;=T244),AS244,0),IF(AND(NOT(AND(AO244=1,AN244&lt;&gt;1)),ISNUMBER(AH244),AH244&lt;=T244),AT244,0),IF(AND(NOT(AND(AO244=1,AN244&lt;&gt;1)),ISNUMBER(AI244),AI244&lt;=T244),AU244,0),IF(AND(ISNUMBER(AJ244),AJ244&lt;=T244),AV244,0))&lt;=0,"",IF(AND(IF(AND(NOT(AND(AO244=1,AN244&lt;&gt;1)),ISNUMBER(AG244),AG244&lt;=T244),AS244,0)&gt;0,IF(AND(NOT(AND(AO244=1,AN244&lt;&gt;1)),ISNUMBER(AG244),AG244&lt;=T244),AS244,0)=MAX(IF(AND(NOT(AND(AO244=1,AN244&lt;&gt;1)),ISNUMBER(AG244),AG244&lt;=T244),AS244,0),IF(AND(NOT(AND(AO244=1,AN244&lt;&gt;1)),ISNUMBER(AH244),AH244&lt;=T244),AT244,0),IF(AND(NOT(AND(AO244=1,AN244&lt;&gt;1)),ISNUMBER(AI244),AI244&lt;=T244),AU244,0),IF(AND(ISNUMBER(AJ244),AJ244&lt;=T244),AV244,0))),"SW",IF(AND(IF(AND(NOT(AND(AO244=1,AN244&lt;&gt;1)),ISNUMBER(AH244),AH244&lt;=T244),AT244,0)&gt;0,IF(AND(NOT(AND(AO244=1,AN244&lt;&gt;1)),ISNUMBER(AH244),AH244&lt;=T244),AT244,0)=MAX(IF(AND(NOT(AND(AO244=1,AN244&lt;&gt;1)),ISNUMBER(AG244),AG244&lt;=T244),AS244,0),IF(AND(NOT(AND(AO244=1,AN244&lt;&gt;1)),ISNUMBER(AH244),AH244&lt;=T244),AT244,0),IF(AND(NOT(AND(AO244=1,AN244&lt;&gt;1)),ISNUMBER(AI244),AI244&lt;=T244),AU244,0),IF(AND(ISNUMBER(AJ244),AJ244&lt;=T244),AV244,0))),"AB",IF(AND(IF(AND(NOT(AND(AO244=1,AN244&lt;&gt;1)),ISNUMBER(AI244),AI244&lt;=T244),AU244,0)&gt;0,IF(AND(NOT(AND(AO244=1,AN244&lt;&gt;1)),ISNUMBER(AI244),AI244&lt;=T244),AU244,0)=MAX(IF(AND(NOT(AND(AO244=1,AN244&lt;&gt;1)),ISNUMBER(AG244),AG244&lt;=T244),AS244,0),IF(AND(NOT(AND(AO244=1,AN244&lt;&gt;1)),ISNUMBER(AH244),AH244&lt;=T244),AT244,0),IF(AND(NOT(AND(AO244=1,AN244&lt;&gt;1)),ISNUMBER(AI244),AI244&lt;=T244),AU244,0),IF(AND(ISNUMBER(AJ244),AJ244&lt;=T244),AV244,0))),"SC","Mag")))))))</f>
        <v/>
      </c>
    </row>
    <row r="245" customFormat="false" ht="15" hidden="false" customHeight="false" outlineLevel="0" collapsed="false">
      <c r="A245" s="26" t="n">
        <v>240</v>
      </c>
      <c r="B245" s="27" t="n">
        <f aca="false">A245*10/60</f>
        <v>40</v>
      </c>
      <c r="C245" s="21" t="n">
        <f aca="false">X244</f>
        <v>18.6730249835055</v>
      </c>
      <c r="D245" s="27" t="n">
        <f aca="false">D244+W244</f>
        <v>0</v>
      </c>
      <c r="E245" s="26" t="n">
        <f aca="false">E244+IF(U244="SW",1,0)</f>
        <v>12</v>
      </c>
      <c r="F245" s="26" t="n">
        <f aca="false">F244+IF(U244="AB",1,0)</f>
        <v>10</v>
      </c>
      <c r="G245" s="26" t="n">
        <f aca="false">G244+IF(U244="SC",1,0)</f>
        <v>7</v>
      </c>
      <c r="H245" s="26" t="n">
        <f aca="false">H244+IF(U244="Mag",1,0)</f>
        <v>5</v>
      </c>
      <c r="I245" s="26" t="n">
        <f aca="false">MAX(I244,IF(U244="OR",1,0))</f>
        <v>1</v>
      </c>
      <c r="J245" s="26" t="n">
        <f aca="false">MAX(J244,IF(U244="HP",1,0))</f>
        <v>1</v>
      </c>
      <c r="K245" s="26" t="n">
        <f aca="false">MAX(K244,IF(U244="FP",1,0))</f>
        <v>1</v>
      </c>
      <c r="L245" s="26" t="n">
        <f aca="false">MAX(L244,IF(U244="transition",1,0))</f>
        <v>1</v>
      </c>
      <c r="M245" s="28" t="n">
        <f aca="false">(Parameters!$B$9+(IF(E245=0,0,(Upgrades!$J$6+E245*Upgrades!$K$6)*POWER(Upgrades!$L$6,E245)))*(IF(Upgrades!$T$7="Solar Wind",POWER(Upgrades!$U$7,F245),1)*IF(Upgrades!$T$8="Solar Wind",POWER(Upgrades!$U$8,G245),1)*IF(Upgrades!$T$9="Solar Wind",POWER(Upgrades!$U$9,H245),1)*IF(Upgrades!$T$10="Solar Wind",POWER(Upgrades!$U$10,I245),1)*IF(Upgrades!$T$11="Solar Wind",POWER(Upgrades!$U$11,J245),1)*IF(Upgrades!$T$12="Solar Wind",POWER(Upgrades!$U$12,K245),1))+(IF(F245=0,0,(Upgrades!$J$7+F245*Upgrades!$K$7)*POWER(Upgrades!$L$7,F245)))*(IF(Upgrades!$T$6="Asteroid Belt",POWER(Upgrades!$U$6,E245),1)*IF(Upgrades!$T$8="Asteroid Belt",POWER(Upgrades!$U$8,G245),1)*IF(Upgrades!$T$9="Asteroid Belt",POWER(Upgrades!$U$9,H245),1)*IF(Upgrades!$T$10="Asteroid Belt",POWER(Upgrades!$U$10,I245),1)*IF(Upgrades!$T$11="Asteroid Belt",POWER(Upgrades!$U$11,J245),1)*IF(Upgrades!$T$12="Asteroid Belt",POWER(Upgrades!$U$12,K245),1))+(IF(G245=0,0,(Upgrades!$J$8+G245*Upgrades!$K$8)*POWER(Upgrades!$L$8,G245)))*(IF(Upgrades!$T$6="Stellar Coupling",POWER(Upgrades!$U$6,E245),1)*IF(Upgrades!$T$7="Stellar Coupling",POWER(Upgrades!$U$7,F245),1)*IF(Upgrades!$T$9="Stellar Coupling",POWER(Upgrades!$U$9,H245),1)*IF(Upgrades!$T$10="Stellar Coupling",POWER(Upgrades!$U$10,I245),1)*IF(Upgrades!$T$11="Stellar Coupling",POWER(Upgrades!$U$11,J245),1)*IF(Upgrades!$T$12="Stellar Coupling",POWER(Upgrades!$U$12,K245),1))+(IF(H245=0,0,(Upgrades!$J$9+H245*Upgrades!$K$9)*POWER(Upgrades!$L$9,H245)))*(IF(Upgrades!$T$6="Magnetosphere",POWER(Upgrades!$U$6,E245),1)*IF(Upgrades!$T$7="Magnetosphere",POWER(Upgrades!$U$7,F245),1)*IF(Upgrades!$T$8="Magnetosphere",POWER(Upgrades!$U$8,G245),1)*IF(Upgrades!$T$10="Magnetosphere",POWER(Upgrades!$U$10,I245),1)*IF(Upgrades!$T$11="Magnetosphere",POWER(Upgrades!$U$11,J245),1)*IF(Upgrades!$T$12="Magnetosphere",POWER(Upgrades!$U$12,K245),1))+(IF(I245=0,0,(Upgrades!$J$10+I245*Upgrades!$K$10)*POWER(Upgrades!$L$10,I245)))*(IF(Upgrades!$T$6="Orbital Resonance",POWER(Upgrades!$U$6,E245),1)*IF(Upgrades!$T$7="Orbital Resonance",POWER(Upgrades!$U$7,F245),1)*IF(Upgrades!$T$8="Orbital Resonance",POWER(Upgrades!$U$8,G245),1)*IF(Upgrades!$T$9="Orbital Resonance",POWER(Upgrades!$U$9,H245),1)*IF(Upgrades!$T$11="Orbital Resonance",POWER(Upgrades!$U$11,J245),1)*IF(Upgrades!$T$12="Orbital Resonance",POWER(Upgrades!$U$12,K245),1))+(IF(J245=0,0,(Upgrades!$J$11+J245*Upgrades!$K$11)*POWER(Upgrades!$L$11,J245)))*(IF(Upgrades!$T$6="Heliopause",POWER(Upgrades!$U$6,E245),1)*IF(Upgrades!$T$7="Heliopause",POWER(Upgrades!$U$7,F245),1)*IF(Upgrades!$T$8="Heliopause",POWER(Upgrades!$U$8,G245),1)*IF(Upgrades!$T$9="Heliopause",POWER(Upgrades!$U$9,H245),1)*IF(Upgrades!$T$10="Heliopause",POWER(Upgrades!$U$10,I245),1)*IF(Upgrades!$T$12="Heliopause",POWER(Upgrades!$U$12,K245),1))+(IF(K245=0,0,(Upgrades!$J$12+K245*Upgrades!$K$12)*POWER(Upgrades!$L$12,K245)))*(IF(Upgrades!$T$6="First Photons",POWER(Upgrades!$U$6,E245),1)*IF(Upgrades!$T$7="First Photons",POWER(Upgrades!$U$7,F245),1)*IF(Upgrades!$T$8="First Photons",POWER(Upgrades!$U$8,G245),1)*IF(Upgrades!$T$9="First Photons",POWER(Upgrades!$U$9,H245),1)*IF(Upgrades!$T$10="First Photons",POWER(Upgrades!$U$10,I245),1)*IF(Upgrades!$T$11="First Photons",POWER(Upgrades!$U$11,J245),1)))*POWER(Upgrades!$Q$6,E245)*POWER(Upgrades!$Q$7,F245)*POWER(Upgrades!$Q$8,G245)*POWER(Upgrades!$Q$9,H245)*POWER(Upgrades!$Q$10,I245)*POWER(Upgrades!$Q$11,J245)*POWER(Upgrades!$Q$12,K245)</f>
        <v>5.61</v>
      </c>
      <c r="N245" s="28" t="n">
        <f aca="false">((IF(E245=0,0,(Upgrades!$G$6+E245*Upgrades!$H$6)*POWER(Upgrades!$I$6,E245)))*(IF(Upgrades!$T$7="Solar Wind",POWER(Upgrades!$U$7,F245),1)*IF(Upgrades!$T$8="Solar Wind",POWER(Upgrades!$U$8,G245),1)*IF(Upgrades!$T$9="Solar Wind",POWER(Upgrades!$U$9,H245),1)*IF(Upgrades!$T$10="Solar Wind",POWER(Upgrades!$U$10,I245),1)*IF(Upgrades!$T$11="Solar Wind",POWER(Upgrades!$U$11,J245),1)*IF(Upgrades!$T$12="Solar Wind",POWER(Upgrades!$U$12,K245),1))+(IF(F245=0,0,(Upgrades!$G$7+F245*Upgrades!$H$7)*POWER(Upgrades!$I$7,F245)))*(IF(Upgrades!$T$6="Asteroid Belt",POWER(Upgrades!$U$6,E245),1)*IF(Upgrades!$T$8="Asteroid Belt",POWER(Upgrades!$U$8,G245),1)*IF(Upgrades!$T$9="Asteroid Belt",POWER(Upgrades!$U$9,H245),1)*IF(Upgrades!$T$10="Asteroid Belt",POWER(Upgrades!$U$10,I245),1)*IF(Upgrades!$T$11="Asteroid Belt",POWER(Upgrades!$U$11,J245),1)*IF(Upgrades!$T$12="Asteroid Belt",POWER(Upgrades!$U$12,K245),1))+(IF(G245=0,0,(Upgrades!$G$8+G245*Upgrades!$H$8)*POWER(Upgrades!$I$8,G245)))*(IF(Upgrades!$T$6="Stellar Coupling",POWER(Upgrades!$U$6,E245),1)*IF(Upgrades!$T$7="Stellar Coupling",POWER(Upgrades!$U$7,F245),1)*IF(Upgrades!$T$9="Stellar Coupling",POWER(Upgrades!$U$9,H245),1)*IF(Upgrades!$T$10="Stellar Coupling",POWER(Upgrades!$U$10,I245),1)*IF(Upgrades!$T$11="Stellar Coupling",POWER(Upgrades!$U$11,J245),1)*IF(Upgrades!$T$12="Stellar Coupling",POWER(Upgrades!$U$12,K245),1))+(IF(H245=0,0,(Upgrades!$G$9+H245*Upgrades!$H$9)*POWER(Upgrades!$I$9,H245)))*(IF(Upgrades!$T$6="Magnetosphere",POWER(Upgrades!$U$6,E245),1)*IF(Upgrades!$T$7="Magnetosphere",POWER(Upgrades!$U$7,F245),1)*IF(Upgrades!$T$8="Magnetosphere",POWER(Upgrades!$U$8,G245),1)*IF(Upgrades!$T$10="Magnetosphere",POWER(Upgrades!$U$10,I245),1)*IF(Upgrades!$T$11="Magnetosphere",POWER(Upgrades!$U$11,J245),1)*IF(Upgrades!$T$12="Magnetosphere",POWER(Upgrades!$U$12,K245),1))+(IF(I245=0,0,(Upgrades!$G$10+I245*Upgrades!$H$10)*POWER(Upgrades!$I$10,I245)))*(IF(Upgrades!$T$6="Orbital Resonance",POWER(Upgrades!$U$6,E245),1)*IF(Upgrades!$T$7="Orbital Resonance",POWER(Upgrades!$U$7,F245),1)*IF(Upgrades!$T$8="Orbital Resonance",POWER(Upgrades!$U$8,G245),1)*IF(Upgrades!$T$9="Orbital Resonance",POWER(Upgrades!$U$9,H245),1)*IF(Upgrades!$T$11="Orbital Resonance",POWER(Upgrades!$U$11,J245),1)*IF(Upgrades!$T$12="Orbital Resonance",POWER(Upgrades!$U$12,K245),1))+(IF(J245=0,0,(Upgrades!$G$11+J245*Upgrades!$H$11)*POWER(Upgrades!$I$11,J245)))*(IF(Upgrades!$T$6="Heliopause",POWER(Upgrades!$U$6,E245),1)*IF(Upgrades!$T$7="Heliopause",POWER(Upgrades!$U$7,F245),1)*IF(Upgrades!$T$8="Heliopause",POWER(Upgrades!$U$8,G245),1)*IF(Upgrades!$T$9="Heliopause",POWER(Upgrades!$U$9,H245),1)*IF(Upgrades!$T$10="Heliopause",POWER(Upgrades!$U$10,I245),1)*IF(Upgrades!$T$12="Heliopause",POWER(Upgrades!$U$12,K245),1))+(IF(K245=0,0,(Upgrades!$G$12+K245*Upgrades!$H$12)*POWER(Upgrades!$I$12,K245)))*(IF(Upgrades!$T$6="First Photons",POWER(Upgrades!$U$6,E245),1)*IF(Upgrades!$T$7="First Photons",POWER(Upgrades!$U$7,F245),1)*IF(Upgrades!$T$8="First Photons",POWER(Upgrades!$U$8,G245),1)*IF(Upgrades!$T$9="First Photons",POWER(Upgrades!$U$9,H245),1)*IF(Upgrades!$T$10="First Photons",POWER(Upgrades!$U$10,I245),1)*IF(Upgrades!$T$11="First Photons",POWER(Upgrades!$U$11,J245),1)))*POWER(Upgrades!$P$6,E245)*POWER(Upgrades!$P$7,F245)*POWER(Upgrades!$P$8,G245)*POWER(Upgrades!$P$9,H245)*POWER(Upgrades!$P$10,I245)*POWER(Upgrades!$P$11,J245)*POWER(Upgrades!$P$12,K245)</f>
        <v>11.2</v>
      </c>
      <c r="O245" s="28" t="n">
        <f aca="false">((IF(E245=0,0,(Upgrades!$M$6+E245*Upgrades!$N$6)*POWER(Upgrades!$O$6,E245)))*(IF(Upgrades!$T$7="Solar Wind",POWER(Upgrades!$U$7,F245),1)*IF(Upgrades!$T$8="Solar Wind",POWER(Upgrades!$U$8,G245),1)*IF(Upgrades!$T$9="Solar Wind",POWER(Upgrades!$U$9,H245),1)*IF(Upgrades!$T$10="Solar Wind",POWER(Upgrades!$U$10,I245),1)*IF(Upgrades!$T$11="Solar Wind",POWER(Upgrades!$U$11,J245),1)*IF(Upgrades!$T$12="Solar Wind",POWER(Upgrades!$U$12,K245),1))+(IF(F245=0,0,(Upgrades!$M$7+F245*Upgrades!$N$7)*POWER(Upgrades!$O$7,F245)))*(IF(Upgrades!$T$6="Asteroid Belt",POWER(Upgrades!$U$6,E245),1)*IF(Upgrades!$T$8="Asteroid Belt",POWER(Upgrades!$U$8,G245),1)*IF(Upgrades!$T$9="Asteroid Belt",POWER(Upgrades!$U$9,H245),1)*IF(Upgrades!$T$10="Asteroid Belt",POWER(Upgrades!$U$10,I245),1)*IF(Upgrades!$T$11="Asteroid Belt",POWER(Upgrades!$U$11,J245),1)*IF(Upgrades!$T$12="Asteroid Belt",POWER(Upgrades!$U$12,K245),1))+(IF(G245=0,0,(Upgrades!$M$8+G245*Upgrades!$N$8)*POWER(Upgrades!$O$8,G245)))*(IF(Upgrades!$T$6="Stellar Coupling",POWER(Upgrades!$U$6,E245),1)*IF(Upgrades!$T$7="Stellar Coupling",POWER(Upgrades!$U$7,F245),1)*IF(Upgrades!$T$9="Stellar Coupling",POWER(Upgrades!$U$9,H245),1)*IF(Upgrades!$T$10="Stellar Coupling",POWER(Upgrades!$U$10,I245),1)*IF(Upgrades!$T$11="Stellar Coupling",POWER(Upgrades!$U$11,J245),1)*IF(Upgrades!$T$12="Stellar Coupling",POWER(Upgrades!$U$12,K245),1))+(IF(H245=0,0,(Upgrades!$M$9+H245*Upgrades!$N$9)*POWER(Upgrades!$O$9,H245)))*(IF(Upgrades!$T$6="Magnetosphere",POWER(Upgrades!$U$6,E245),1)*IF(Upgrades!$T$7="Magnetosphere",POWER(Upgrades!$U$7,F245),1)*IF(Upgrades!$T$8="Magnetosphere",POWER(Upgrades!$U$8,G245),1)*IF(Upgrades!$T$10="Magnetosphere",POWER(Upgrades!$U$10,I245),1)*IF(Upgrades!$T$11="Magnetosphere",POWER(Upgrades!$U$11,J245),1)*IF(Upgrades!$T$12="Magnetosphere",POWER(Upgrades!$U$12,K245),1))+(IF(I245=0,0,(Upgrades!$M$10+I245*Upgrades!$N$10)*POWER(Upgrades!$O$10,I245)))*(IF(Upgrades!$T$6="Orbital Resonance",POWER(Upgrades!$U$6,E245),1)*IF(Upgrades!$T$7="Orbital Resonance",POWER(Upgrades!$U$7,F245),1)*IF(Upgrades!$T$8="Orbital Resonance",POWER(Upgrades!$U$8,G245),1)*IF(Upgrades!$T$9="Orbital Resonance",POWER(Upgrades!$U$9,H245),1)*IF(Upgrades!$T$11="Orbital Resonance",POWER(Upgrades!$U$11,J245),1)*IF(Upgrades!$T$12="Orbital Resonance",POWER(Upgrades!$U$12,K245),1))+(IF(J245=0,0,(Upgrades!$M$11+J245*Upgrades!$N$11)*POWER(Upgrades!$O$11,J245)))*(IF(Upgrades!$T$6="Heliopause",POWER(Upgrades!$U$6,E245),1)*IF(Upgrades!$T$7="Heliopause",POWER(Upgrades!$U$7,F245),1)*IF(Upgrades!$T$8="Heliopause",POWER(Upgrades!$U$8,G245),1)*IF(Upgrades!$T$9="Heliopause",POWER(Upgrades!$U$9,H245),1)*IF(Upgrades!$T$10="Heliopause",POWER(Upgrades!$U$10,I245),1)*IF(Upgrades!$T$12="Heliopause",POWER(Upgrades!$U$12,K245),1))+(IF(K245=0,0,(Upgrades!$M$12+K245*Upgrades!$N$12)*POWER(Upgrades!$O$12,K245)))*(IF(Upgrades!$T$6="First Photons",POWER(Upgrades!$U$6,E245),1)*IF(Upgrades!$T$7="First Photons",POWER(Upgrades!$U$7,F245),1)*IF(Upgrades!$T$8="First Photons",POWER(Upgrades!$U$8,G245),1)*IF(Upgrades!$T$9="First Photons",POWER(Upgrades!$U$9,H245),1)*IF(Upgrades!$T$10="First Photons",POWER(Upgrades!$U$10,I245),1)*IF(Upgrades!$T$11="First Photons",POWER(Upgrades!$U$11,J245),1)))*POWER(Upgrades!$R$6,E245)*POWER(Upgrades!$R$7,F245)*POWER(Upgrades!$R$8,G245)*POWER(Upgrades!$R$9,H245)*POWER(Upgrades!$R$10,I245)*POWER(Upgrades!$R$11,J245)*POWER(Upgrades!$R$12,K245)</f>
        <v>0</v>
      </c>
      <c r="P245" s="27" t="n">
        <f aca="false">IF(L245=1,0,M245*Parameters!$B$10/60*Parameters!$B$11*10)</f>
        <v>0</v>
      </c>
      <c r="Q245" s="27" t="n">
        <f aca="false">IF(L245=1,0,O245*M245*10)</f>
        <v>0</v>
      </c>
      <c r="R245" s="27" t="n">
        <f aca="false">IF(L245=1,0,N245*10)</f>
        <v>0</v>
      </c>
      <c r="S245" s="27" t="n">
        <f aca="false">P245+Q245+R245</f>
        <v>0</v>
      </c>
      <c r="T245" s="21" t="n">
        <f aca="false">C245+S245</f>
        <v>18.6730249835055</v>
      </c>
      <c r="U245" s="34" t="str">
        <f aca="false">AX245</f>
        <v/>
      </c>
      <c r="V245" s="21" t="n">
        <f aca="false">IF(U245="",0,IF(U245="transition",0,IF(U245="SW",AG245,IF(U245="AB",AH245,IF(U245="SC",AI245,IF(U245="Mag",AJ245,IF(U245="OR",AK245,IF(U245="HP",AL245,IF(U245="FP",AM245,0)))))))))</f>
        <v>0</v>
      </c>
      <c r="W245" s="27" t="n">
        <f aca="false">IF(U245="OR",Upgrades!$F$10,IF(U245="HP",Upgrades!$F$11,IF(U245="transition",-Parameters!$B$18,0)))</f>
        <v>0</v>
      </c>
      <c r="X245" s="21" t="n">
        <f aca="false">T245-V245</f>
        <v>18.6730249835055</v>
      </c>
      <c r="Y245" s="30" t="n">
        <f aca="false">M245*Parameters!$B$10/60*Parameters!$B$11+O245*M245+N245</f>
        <v>20.55</v>
      </c>
      <c r="Z245" s="35" t="str">
        <f aca="false">IF(U245="transition","→ Tier 2 (Stellar Neighborhood)",IF(U245="FP","First Photons — light begins, system quickens",IF(U245="HP","Heliopause acquired",IF(U245="OR","Orbital Resonance — passive multiplier active",IF(AND(AO245=1,L245=0,AN245&lt;&gt;1),"Cohesion ready (waiting on completionist upgrades)","")))))</f>
        <v/>
      </c>
      <c r="AA245" s="27" t="n">
        <f aca="false">(IF(E245=0,0,(Upgrades!$G$6+E245*Upgrades!$H$6)*POWER(Upgrades!$I$6,E245)))*(IF(Upgrades!$T$7="Solar Wind",POWER(Upgrades!$U$7,F245),1)*IF(Upgrades!$T$8="Solar Wind",POWER(Upgrades!$U$8,G245),1)*IF(Upgrades!$T$9="Solar Wind",POWER(Upgrades!$U$9,H245),1)*IF(Upgrades!$T$10="Solar Wind",POWER(Upgrades!$U$10,I245),1)*IF(Upgrades!$T$11="Solar Wind",POWER(Upgrades!$U$11,J245),1)*IF(Upgrades!$T$12="Solar Wind",POWER(Upgrades!$U$12,K245),1))*POWER(Upgrades!$P$6,E245)*POWER(Upgrades!$P$7,F245)*POWER(Upgrades!$P$8,G245)*POWER(Upgrades!$P$9,H245)*POWER(Upgrades!$P$10,I245)*POWER(Upgrades!$P$11,J245)*POWER(Upgrades!$P$12,K245)*60</f>
        <v>72</v>
      </c>
      <c r="AB245" s="27" t="n">
        <f aca="false">(IF(F245=0,0,(Upgrades!$G$7+F245*Upgrades!$H$7)*POWER(Upgrades!$I$7,F245)))*(IF(Upgrades!$T$6="Asteroid Belt",POWER(Upgrades!$U$6,E245),1)*IF(Upgrades!$T$8="Asteroid Belt",POWER(Upgrades!$U$8,G245),1)*IF(Upgrades!$T$9="Asteroid Belt",POWER(Upgrades!$U$9,H245),1)*IF(Upgrades!$T$10="Asteroid Belt",POWER(Upgrades!$U$10,I245),1)*IF(Upgrades!$T$11="Asteroid Belt",POWER(Upgrades!$U$11,J245),1)*IF(Upgrades!$T$12="Asteroid Belt",POWER(Upgrades!$U$12,K245),1))*POWER(Upgrades!$P$6,E245)*POWER(Upgrades!$P$7,F245)*POWER(Upgrades!$P$8,G245)*POWER(Upgrades!$P$9,H245)*POWER(Upgrades!$P$10,I245)*POWER(Upgrades!$P$11,J245)*POWER(Upgrades!$P$12,K245)*60</f>
        <v>150</v>
      </c>
      <c r="AC245" s="27" t="n">
        <f aca="false">(IF(G245=0,0,(Upgrades!$J$8+G245*Upgrades!$K$8)*POWER(Upgrades!$L$8,G245)))*(IF(Upgrades!$T$6="Stellar Coupling",POWER(Upgrades!$U$6,E245),1)*IF(Upgrades!$T$7="Stellar Coupling",POWER(Upgrades!$U$7,F245),1)*IF(Upgrades!$T$9="Stellar Coupling",POWER(Upgrades!$U$9,H245),1)*IF(Upgrades!$T$10="Stellar Coupling",POWER(Upgrades!$U$10,I245),1)*IF(Upgrades!$T$11="Stellar Coupling",POWER(Upgrades!$U$11,J245),1)*IF(Upgrades!$T$12="Stellar Coupling",POWER(Upgrades!$U$12,K245),1))*POWER(Upgrades!$Q$6,E245)*POWER(Upgrades!$Q$7,F245)*POWER(Upgrades!$Q$8,G245)*POWER(Upgrades!$Q$9,H245)*POWER(Upgrades!$Q$10,I245)*POWER(Upgrades!$Q$11,J245)*POWER(Upgrades!$Q$12,K245)*Parameters!$B$10*Parameters!$B$11</f>
        <v>441</v>
      </c>
      <c r="AD245" s="27" t="n">
        <f aca="false">(IF(H245=0,0,(Upgrades!$G$9+H245*Upgrades!$H$9)*POWER(Upgrades!$I$9,H245)))*(IF(Upgrades!$T$6="Magnetosphere",POWER(Upgrades!$U$6,E245),1)*IF(Upgrades!$T$7="Magnetosphere",POWER(Upgrades!$U$7,F245),1)*IF(Upgrades!$T$8="Magnetosphere",POWER(Upgrades!$U$8,G245),1)*IF(Upgrades!$T$10="Magnetosphere",POWER(Upgrades!$U$10,I245),1)*IF(Upgrades!$T$11="Magnetosphere",POWER(Upgrades!$U$11,J245),1)*IF(Upgrades!$T$12="Magnetosphere",POWER(Upgrades!$U$12,K245),1))*POWER(Upgrades!$P$6,E245)*POWER(Upgrades!$P$7,F245)*POWER(Upgrades!$P$8,G245)*POWER(Upgrades!$P$9,H245)*POWER(Upgrades!$P$10,I245)*POWER(Upgrades!$P$11,J245)*POWER(Upgrades!$P$12,K245)*60</f>
        <v>375</v>
      </c>
      <c r="AE245" s="27" t="n">
        <f aca="false">(IF(K245=0,0,(Upgrades!$G$12+K245*Upgrades!$H$12)*POWER(Upgrades!$I$12,K245)))*(IF(Upgrades!$T$6="First Photons",POWER(Upgrades!$U$6,E245),1)*IF(Upgrades!$T$7="First Photons",POWER(Upgrades!$U$7,F245),1)*IF(Upgrades!$T$8="First Photons",POWER(Upgrades!$U$8,G245),1)*IF(Upgrades!$T$9="First Photons",POWER(Upgrades!$U$9,H245),1)*IF(Upgrades!$T$10="First Photons",POWER(Upgrades!$U$10,I245),1)*IF(Upgrades!$T$11="First Photons",POWER(Upgrades!$U$11,J245),1))*POWER(Upgrades!$P$6,E245)*POWER(Upgrades!$P$7,F245)*POWER(Upgrades!$P$8,G245)*POWER(Upgrades!$P$9,H245)*POWER(Upgrades!$P$10,I245)*POWER(Upgrades!$P$11,J245)*POWER(Upgrades!$P$12,K245)*60</f>
        <v>75</v>
      </c>
      <c r="AF245" s="27" t="n">
        <f aca="false">Parameters!$B$9*POWER(Upgrades!$Q$6,E245)*POWER(Upgrades!$Q$7,F245)*POWER(Upgrades!$Q$8,G245)*POWER(Upgrades!$Q$9,H245)*POWER(Upgrades!$Q$10,I245)*POWER(Upgrades!$Q$11,J245)*POWER(Upgrades!$Q$12,K245)*(Parameters!$B$10*Parameters!$B$11+O245*60)</f>
        <v>120</v>
      </c>
      <c r="AG245" s="21" t="n">
        <f aca="false">IF(E245&gt;=Upgrades!$E$6,"",Upgrades!$C$6*POWER(Upgrades!$D$6,E245))</f>
        <v>37.4517507383159</v>
      </c>
      <c r="AH245" s="21" t="n">
        <f aca="false">IF(F245&gt;=Upgrades!$E$7,"",Upgrades!$C$7*POWER(Upgrades!$D$7,F245))</f>
        <v>80.9111547141581</v>
      </c>
      <c r="AI245" s="21" t="n">
        <f aca="false">IF(G245&gt;=Upgrades!$E$8,"",Upgrades!$C$8*POWER(Upgrades!$D$8,G245))</f>
        <v>231.9097088</v>
      </c>
      <c r="AJ245" s="21" t="str">
        <f aca="false">IF(H245&gt;=Upgrades!$E$9,"",Upgrades!$C$9*POWER(Upgrades!$D$9,H245))</f>
        <v/>
      </c>
      <c r="AK245" s="21" t="str">
        <f aca="false">IF(I245&gt;=Upgrades!$E$10,"",Upgrades!$C$10*POWER(Upgrades!$D$10,I245))</f>
        <v/>
      </c>
      <c r="AL245" s="21" t="str">
        <f aca="false">IF(J245&gt;=Upgrades!$E$11,"",Upgrades!$C$11*POWER(Upgrades!$D$11,J245))</f>
        <v/>
      </c>
      <c r="AM245" s="21" t="str">
        <f aca="false">IF(K245&gt;=Upgrades!$E$12,"",Upgrades!$C$12*POWER(Upgrades!$D$12,K245))</f>
        <v/>
      </c>
      <c r="AN245" s="26" t="str">
        <f aca="false">IF(AND(D245&gt;=Parameters!$B$18,(H245&gt;=Upgrades!$E$9)*(K245&gt;=Upgrades!$E$12)=1,L245=0),1,"")</f>
        <v/>
      </c>
      <c r="AO245" s="26" t="str">
        <f aca="false">IF(AND(D245&gt;=Parameters!$B$18,L245=0),1,"")</f>
        <v/>
      </c>
      <c r="AP245" s="21" t="n">
        <f aca="false">MIN(IF(ISNUMBER(AK245),AK245,9000000000000000),IF(ISNUMBER(AL245),AL245,9000000000000000),IF(ISNUMBER(AM245),AM245,9000000000000000))</f>
        <v>9000000000000000</v>
      </c>
      <c r="AQ245" s="21" t="n">
        <f aca="false">MIN(IF(ISNUMBER(AG245),AG245,9000000000000000),IF(ISNUMBER(AH245),AH245,9000000000000000),IF(ISNUMBER(AI245),AI245,9000000000000000),IF(ISNUMBER(AJ245),AJ245,9000000000000000))</f>
        <v>37.4517507383159</v>
      </c>
      <c r="AR245" s="32" t="b">
        <f aca="false">IF(AW245&gt;Parameters!$B$21*(MAX(IF(AND(NOT(AND(AO245=1,AN245&lt;&gt;1)),ISNUMBER(AG245),AG245&lt;=T245),AS245,0),IF(AND(NOT(AND(AO245=1,AN245&lt;&gt;1)),ISNUMBER(AH245),AH245&lt;=T245),AT245,0),IF(AND(NOT(AND(AO245=1,AN245&lt;&gt;1)),ISNUMBER(AI245),AI245&lt;=T245),AU245,0),IF(AND(ISNUMBER(AJ245),AJ245&lt;=T245),AV245,0))),TRUE(),FALSE())</f>
        <v>1</v>
      </c>
      <c r="AS245" s="33" t="n">
        <f aca="false">IFERROR(Upgrades!$H$6*(POWER(Upgrades!$P$6,E245)*POWER(Upgrades!$P$7,F245)*POWER(Upgrades!$P$8,G245)*POWER(Upgrades!$P$9,H245)*POWER(Upgrades!$P$10,I245)*POWER(Upgrades!$P$11,J245)*POWER(Upgrades!$P$12,K245))*(IF(Upgrades!$T$7="Solar Wind",POWER(Upgrades!$U$7,F245),1)*IF(Upgrades!$T$8="Solar Wind",POWER(Upgrades!$U$8,G245),1)*IF(Upgrades!$T$9="Solar Wind",POWER(Upgrades!$U$9,H245),1)*IF(Upgrades!$T$10="Solar Wind",POWER(Upgrades!$U$10,I245),1)*IF(Upgrades!$T$11="Solar Wind",POWER(Upgrades!$U$11,J245),1)*IF(Upgrades!$T$12="Solar Wind",POWER(Upgrades!$U$12,K245),1))/AG245,0)</f>
        <v>0.0026701021455238</v>
      </c>
      <c r="AT245" s="33" t="n">
        <f aca="false">IFERROR(Upgrades!$H$7*(POWER(Upgrades!$P$6,E245)*POWER(Upgrades!$P$7,F245)*POWER(Upgrades!$P$8,G245)*POWER(Upgrades!$P$9,H245)*POWER(Upgrades!$P$10,I245)*POWER(Upgrades!$P$11,J245)*POWER(Upgrades!$P$12,K245))*(IF(Upgrades!$T$6="Asteroid Belt",POWER(Upgrades!$U$6,E245),1)*IF(Upgrades!$T$8="Asteroid Belt",POWER(Upgrades!$U$8,G245),1)*IF(Upgrades!$T$9="Asteroid Belt",POWER(Upgrades!$U$9,H245),1)*IF(Upgrades!$T$10="Asteroid Belt",POWER(Upgrades!$U$10,I245),1)*IF(Upgrades!$T$11="Asteroid Belt",POWER(Upgrades!$U$11,J245),1)*IF(Upgrades!$T$12="Asteroid Belt",POWER(Upgrades!$U$12,K245),1))/AH245,0)</f>
        <v>0.00308980882652332</v>
      </c>
      <c r="AU245" s="33" t="n">
        <f aca="false">IFERROR(Upgrades!$K$8*(POWER(Upgrades!$Q$6,E245)*POWER(Upgrades!$Q$7,F245)*POWER(Upgrades!$Q$8,G245)*POWER(Upgrades!$Q$9,H245)*POWER(Upgrades!$Q$10,I245)*POWER(Upgrades!$Q$11,J245)*POWER(Upgrades!$Q$12,K245))*(IF(Upgrades!$T$6="Stellar Coupling",POWER(Upgrades!$U$6,E245),1)*IF(Upgrades!$T$7="Stellar Coupling",POWER(Upgrades!$U$7,F245),1)*IF(Upgrades!$T$9="Stellar Coupling",POWER(Upgrades!$U$9,H245),1)*IF(Upgrades!$T$10="Stellar Coupling",POWER(Upgrades!$U$10,I245),1)*IF(Upgrades!$T$11="Stellar Coupling",POWER(Upgrades!$U$11,J245),1)*IF(Upgrades!$T$12="Stellar Coupling",POWER(Upgrades!$U$12,K245),1))*Parameters!$B$10*Parameters!$B$11/60/AI245,0)</f>
        <v>0.00452762415783776</v>
      </c>
      <c r="AV245" s="33" t="n">
        <f aca="false">IFERROR(Upgrades!$H$9*(POWER(Upgrades!$P$6,E245)*POWER(Upgrades!$P$7,F245)*POWER(Upgrades!$P$8,G245)*POWER(Upgrades!$P$9,H245)*POWER(Upgrades!$P$10,I245)*POWER(Upgrades!$P$11,J245)*POWER(Upgrades!$P$12,K245))*(IF(Upgrades!$T$6="Magnetosphere",POWER(Upgrades!$U$6,E245),1)*IF(Upgrades!$T$7="Magnetosphere",POWER(Upgrades!$U$7,F245),1)*IF(Upgrades!$T$8="Magnetosphere",POWER(Upgrades!$U$8,G245),1)*IF(Upgrades!$T$10="Magnetosphere",POWER(Upgrades!$U$10,I245),1)*IF(Upgrades!$T$11="Magnetosphere",POWER(Upgrades!$U$11,J245),1)*IF(Upgrades!$T$12="Magnetosphere",POWER(Upgrades!$U$12,K245),1))/AJ245,0)</f>
        <v>0</v>
      </c>
      <c r="AW245" s="33" t="n">
        <f aca="false">MAX(IF(I245&gt;0,0,IFERROR(0.25*N245/Upgrades!$C$10,0)),IF(J245&gt;0,0,IFERROR(0.5*((IF(G245=0,0,(Upgrades!$J$8+G245*Upgrades!$K$8)*POWER(Upgrades!$L$8,G245)))*(IF(Upgrades!$T$6="Stellar Coupling",POWER(Upgrades!$U$6,E245),1)*IF(Upgrades!$T$7="Stellar Coupling",POWER(Upgrades!$U$7,F245),1)*IF(Upgrades!$T$9="Stellar Coupling",POWER(Upgrades!$U$9,H245),1)*IF(Upgrades!$T$10="Stellar Coupling",POWER(Upgrades!$U$10,I245),1)*IF(Upgrades!$T$11="Stellar Coupling",POWER(Upgrades!$U$11,J245),1)*IF(Upgrades!$T$12="Stellar Coupling",POWER(Upgrades!$U$12,K245),1))*(POWER(Upgrades!$Q$6,E245)*POWER(Upgrades!$Q$7,F245)*POWER(Upgrades!$Q$8,G245)*POWER(Upgrades!$Q$9,H245)*POWER(Upgrades!$Q$10,I245)*POWER(Upgrades!$Q$11,J245)*POWER(Upgrades!$Q$12,K245))*Parameters!$B$10*Parameters!$B$11/60)/Upgrades!$C$11,0)),IF(K245&gt;0,0,IFERROR((1*(POWER(Upgrades!$P$6,E245)*POWER(Upgrades!$P$7,F245)*POWER(Upgrades!$P$8,G245)*POWER(Upgrades!$P$9,H245)*POWER(Upgrades!$P$10,I245)*POWER(Upgrades!$P$11,J245)*POWER(Upgrades!$P$12,K245))+0.2*M245*Parameters!$B$10*Parameters!$B$11/60)/Upgrades!$C$12,0)),IF(AND(ISNUMBER(AG245),AG245&gt;T245),AS245,0),IF(AND(ISNUMBER(AH245),AH245&gt;T245),AT245,0),IF(AND(ISNUMBER(AI245),AI245&gt;T245),AU245,0),IF(AND(ISNUMBER(AJ245),AJ245&gt;T245),AV245,0))</f>
        <v>0.00452762415783776</v>
      </c>
      <c r="AX245" s="29" t="str">
        <f aca="false">IF(AN245=1,"transition",IF(MIN(IF(AND(I245=0,ISNUMBER(AK245),AK245&lt;=T245),AK245,9000000000000000),IF(AND(J245=0,ISNUMBER(AL245),AL245&lt;=T245),AL245,9000000000000000),IF(AND(K245=0,ISNUMBER(AM245),AM245&lt;=T245),AM245,9000000000000000))&lt;9000000000000000,IF(AND(AND(I245=0,ISNUMBER(AK245),AK245&lt;=T245),AK245=MIN(IF(AND(I245=0,ISNUMBER(AK245),AK245&lt;=T245),AK245,9000000000000000),IF(AND(J245=0,ISNUMBER(AL245),AL245&lt;=T245),AL245,9000000000000000),IF(AND(K245=0,ISNUMBER(AM245),AM245&lt;=T245),AM245,9000000000000000))),"OR",IF(AND(AND(J245=0,ISNUMBER(AL245),AL245&lt;=T245),AL245=MIN(IF(AND(I245=0,ISNUMBER(AK245),AK245&lt;=T245),AK245,9000000000000000),IF(AND(J245=0,ISNUMBER(AL245),AL245&lt;=T245),AL245,9000000000000000),IF(AND(K245=0,ISNUMBER(AM245),AM245&lt;=T245),AM245,9000000000000000))),"HP","FP")),IF(AR245=TRUE(),"",IF(MAX(IF(AND(NOT(AND(AO245=1,AN245&lt;&gt;1)),ISNUMBER(AG245),AG245&lt;=T245),AS245,0),IF(AND(NOT(AND(AO245=1,AN245&lt;&gt;1)),ISNUMBER(AH245),AH245&lt;=T245),AT245,0),IF(AND(NOT(AND(AO245=1,AN245&lt;&gt;1)),ISNUMBER(AI245),AI245&lt;=T245),AU245,0),IF(AND(ISNUMBER(AJ245),AJ245&lt;=T245),AV245,0))&lt;=0,"",IF(AND(IF(AND(NOT(AND(AO245=1,AN245&lt;&gt;1)),ISNUMBER(AG245),AG245&lt;=T245),AS245,0)&gt;0,IF(AND(NOT(AND(AO245=1,AN245&lt;&gt;1)),ISNUMBER(AG245),AG245&lt;=T245),AS245,0)=MAX(IF(AND(NOT(AND(AO245=1,AN245&lt;&gt;1)),ISNUMBER(AG245),AG245&lt;=T245),AS245,0),IF(AND(NOT(AND(AO245=1,AN245&lt;&gt;1)),ISNUMBER(AH245),AH245&lt;=T245),AT245,0),IF(AND(NOT(AND(AO245=1,AN245&lt;&gt;1)),ISNUMBER(AI245),AI245&lt;=T245),AU245,0),IF(AND(ISNUMBER(AJ245),AJ245&lt;=T245),AV245,0))),"SW",IF(AND(IF(AND(NOT(AND(AO245=1,AN245&lt;&gt;1)),ISNUMBER(AH245),AH245&lt;=T245),AT245,0)&gt;0,IF(AND(NOT(AND(AO245=1,AN245&lt;&gt;1)),ISNUMBER(AH245),AH245&lt;=T245),AT245,0)=MAX(IF(AND(NOT(AND(AO245=1,AN245&lt;&gt;1)),ISNUMBER(AG245),AG245&lt;=T245),AS245,0),IF(AND(NOT(AND(AO245=1,AN245&lt;&gt;1)),ISNUMBER(AH245),AH245&lt;=T245),AT245,0),IF(AND(NOT(AND(AO245=1,AN245&lt;&gt;1)),ISNUMBER(AI245),AI245&lt;=T245),AU245,0),IF(AND(ISNUMBER(AJ245),AJ245&lt;=T245),AV245,0))),"AB",IF(AND(IF(AND(NOT(AND(AO245=1,AN245&lt;&gt;1)),ISNUMBER(AI245),AI245&lt;=T245),AU245,0)&gt;0,IF(AND(NOT(AND(AO245=1,AN245&lt;&gt;1)),ISNUMBER(AI245),AI245&lt;=T245),AU245,0)=MAX(IF(AND(NOT(AND(AO245=1,AN245&lt;&gt;1)),ISNUMBER(AG245),AG245&lt;=T245),AS245,0),IF(AND(NOT(AND(AO245=1,AN245&lt;&gt;1)),ISNUMBER(AH245),AH245&lt;=T245),AT245,0),IF(AND(NOT(AND(AO245=1,AN245&lt;&gt;1)),ISNUMBER(AI245),AI245&lt;=T245),AU245,0),IF(AND(ISNUMBER(AJ245),AJ245&lt;=T245),AV245,0))),"SC","Mag")))))))</f>
        <v/>
      </c>
    </row>
    <row r="246" customFormat="false" ht="15" hidden="false" customHeight="false" outlineLevel="0" collapsed="false">
      <c r="A246" s="26" t="n">
        <v>241</v>
      </c>
      <c r="B246" s="27" t="n">
        <f aca="false">A246*10/60</f>
        <v>40.1666666666667</v>
      </c>
      <c r="C246" s="21" t="n">
        <f aca="false">X245</f>
        <v>18.6730249835055</v>
      </c>
      <c r="D246" s="27" t="n">
        <f aca="false">D245+W245</f>
        <v>0</v>
      </c>
      <c r="E246" s="26" t="n">
        <f aca="false">E245+IF(U245="SW",1,0)</f>
        <v>12</v>
      </c>
      <c r="F246" s="26" t="n">
        <f aca="false">F245+IF(U245="AB",1,0)</f>
        <v>10</v>
      </c>
      <c r="G246" s="26" t="n">
        <f aca="false">G245+IF(U245="SC",1,0)</f>
        <v>7</v>
      </c>
      <c r="H246" s="26" t="n">
        <f aca="false">H245+IF(U245="Mag",1,0)</f>
        <v>5</v>
      </c>
      <c r="I246" s="26" t="n">
        <f aca="false">MAX(I245,IF(U245="OR",1,0))</f>
        <v>1</v>
      </c>
      <c r="J246" s="26" t="n">
        <f aca="false">MAX(J245,IF(U245="HP",1,0))</f>
        <v>1</v>
      </c>
      <c r="K246" s="26" t="n">
        <f aca="false">MAX(K245,IF(U245="FP",1,0))</f>
        <v>1</v>
      </c>
      <c r="L246" s="26" t="n">
        <f aca="false">MAX(L245,IF(U245="transition",1,0))</f>
        <v>1</v>
      </c>
      <c r="M246" s="28" t="n">
        <f aca="false">(Parameters!$B$9+(IF(E246=0,0,(Upgrades!$J$6+E246*Upgrades!$K$6)*POWER(Upgrades!$L$6,E246)))*(IF(Upgrades!$T$7="Solar Wind",POWER(Upgrades!$U$7,F246),1)*IF(Upgrades!$T$8="Solar Wind",POWER(Upgrades!$U$8,G246),1)*IF(Upgrades!$T$9="Solar Wind",POWER(Upgrades!$U$9,H246),1)*IF(Upgrades!$T$10="Solar Wind",POWER(Upgrades!$U$10,I246),1)*IF(Upgrades!$T$11="Solar Wind",POWER(Upgrades!$U$11,J246),1)*IF(Upgrades!$T$12="Solar Wind",POWER(Upgrades!$U$12,K246),1))+(IF(F246=0,0,(Upgrades!$J$7+F246*Upgrades!$K$7)*POWER(Upgrades!$L$7,F246)))*(IF(Upgrades!$T$6="Asteroid Belt",POWER(Upgrades!$U$6,E246),1)*IF(Upgrades!$T$8="Asteroid Belt",POWER(Upgrades!$U$8,G246),1)*IF(Upgrades!$T$9="Asteroid Belt",POWER(Upgrades!$U$9,H246),1)*IF(Upgrades!$T$10="Asteroid Belt",POWER(Upgrades!$U$10,I246),1)*IF(Upgrades!$T$11="Asteroid Belt",POWER(Upgrades!$U$11,J246),1)*IF(Upgrades!$T$12="Asteroid Belt",POWER(Upgrades!$U$12,K246),1))+(IF(G246=0,0,(Upgrades!$J$8+G246*Upgrades!$K$8)*POWER(Upgrades!$L$8,G246)))*(IF(Upgrades!$T$6="Stellar Coupling",POWER(Upgrades!$U$6,E246),1)*IF(Upgrades!$T$7="Stellar Coupling",POWER(Upgrades!$U$7,F246),1)*IF(Upgrades!$T$9="Stellar Coupling",POWER(Upgrades!$U$9,H246),1)*IF(Upgrades!$T$10="Stellar Coupling",POWER(Upgrades!$U$10,I246),1)*IF(Upgrades!$T$11="Stellar Coupling",POWER(Upgrades!$U$11,J246),1)*IF(Upgrades!$T$12="Stellar Coupling",POWER(Upgrades!$U$12,K246),1))+(IF(H246=0,0,(Upgrades!$J$9+H246*Upgrades!$K$9)*POWER(Upgrades!$L$9,H246)))*(IF(Upgrades!$T$6="Magnetosphere",POWER(Upgrades!$U$6,E246),1)*IF(Upgrades!$T$7="Magnetosphere",POWER(Upgrades!$U$7,F246),1)*IF(Upgrades!$T$8="Magnetosphere",POWER(Upgrades!$U$8,G246),1)*IF(Upgrades!$T$10="Magnetosphere",POWER(Upgrades!$U$10,I246),1)*IF(Upgrades!$T$11="Magnetosphere",POWER(Upgrades!$U$11,J246),1)*IF(Upgrades!$T$12="Magnetosphere",POWER(Upgrades!$U$12,K246),1))+(IF(I246=0,0,(Upgrades!$J$10+I246*Upgrades!$K$10)*POWER(Upgrades!$L$10,I246)))*(IF(Upgrades!$T$6="Orbital Resonance",POWER(Upgrades!$U$6,E246),1)*IF(Upgrades!$T$7="Orbital Resonance",POWER(Upgrades!$U$7,F246),1)*IF(Upgrades!$T$8="Orbital Resonance",POWER(Upgrades!$U$8,G246),1)*IF(Upgrades!$T$9="Orbital Resonance",POWER(Upgrades!$U$9,H246),1)*IF(Upgrades!$T$11="Orbital Resonance",POWER(Upgrades!$U$11,J246),1)*IF(Upgrades!$T$12="Orbital Resonance",POWER(Upgrades!$U$12,K246),1))+(IF(J246=0,0,(Upgrades!$J$11+J246*Upgrades!$K$11)*POWER(Upgrades!$L$11,J246)))*(IF(Upgrades!$T$6="Heliopause",POWER(Upgrades!$U$6,E246),1)*IF(Upgrades!$T$7="Heliopause",POWER(Upgrades!$U$7,F246),1)*IF(Upgrades!$T$8="Heliopause",POWER(Upgrades!$U$8,G246),1)*IF(Upgrades!$T$9="Heliopause",POWER(Upgrades!$U$9,H246),1)*IF(Upgrades!$T$10="Heliopause",POWER(Upgrades!$U$10,I246),1)*IF(Upgrades!$T$12="Heliopause",POWER(Upgrades!$U$12,K246),1))+(IF(K246=0,0,(Upgrades!$J$12+K246*Upgrades!$K$12)*POWER(Upgrades!$L$12,K246)))*(IF(Upgrades!$T$6="First Photons",POWER(Upgrades!$U$6,E246),1)*IF(Upgrades!$T$7="First Photons",POWER(Upgrades!$U$7,F246),1)*IF(Upgrades!$T$8="First Photons",POWER(Upgrades!$U$8,G246),1)*IF(Upgrades!$T$9="First Photons",POWER(Upgrades!$U$9,H246),1)*IF(Upgrades!$T$10="First Photons",POWER(Upgrades!$U$10,I246),1)*IF(Upgrades!$T$11="First Photons",POWER(Upgrades!$U$11,J246),1)))*POWER(Upgrades!$Q$6,E246)*POWER(Upgrades!$Q$7,F246)*POWER(Upgrades!$Q$8,G246)*POWER(Upgrades!$Q$9,H246)*POWER(Upgrades!$Q$10,I246)*POWER(Upgrades!$Q$11,J246)*POWER(Upgrades!$Q$12,K246)</f>
        <v>5.61</v>
      </c>
      <c r="N246" s="28" t="n">
        <f aca="false">((IF(E246=0,0,(Upgrades!$G$6+E246*Upgrades!$H$6)*POWER(Upgrades!$I$6,E246)))*(IF(Upgrades!$T$7="Solar Wind",POWER(Upgrades!$U$7,F246),1)*IF(Upgrades!$T$8="Solar Wind",POWER(Upgrades!$U$8,G246),1)*IF(Upgrades!$T$9="Solar Wind",POWER(Upgrades!$U$9,H246),1)*IF(Upgrades!$T$10="Solar Wind",POWER(Upgrades!$U$10,I246),1)*IF(Upgrades!$T$11="Solar Wind",POWER(Upgrades!$U$11,J246),1)*IF(Upgrades!$T$12="Solar Wind",POWER(Upgrades!$U$12,K246),1))+(IF(F246=0,0,(Upgrades!$G$7+F246*Upgrades!$H$7)*POWER(Upgrades!$I$7,F246)))*(IF(Upgrades!$T$6="Asteroid Belt",POWER(Upgrades!$U$6,E246),1)*IF(Upgrades!$T$8="Asteroid Belt",POWER(Upgrades!$U$8,G246),1)*IF(Upgrades!$T$9="Asteroid Belt",POWER(Upgrades!$U$9,H246),1)*IF(Upgrades!$T$10="Asteroid Belt",POWER(Upgrades!$U$10,I246),1)*IF(Upgrades!$T$11="Asteroid Belt",POWER(Upgrades!$U$11,J246),1)*IF(Upgrades!$T$12="Asteroid Belt",POWER(Upgrades!$U$12,K246),1))+(IF(G246=0,0,(Upgrades!$G$8+G246*Upgrades!$H$8)*POWER(Upgrades!$I$8,G246)))*(IF(Upgrades!$T$6="Stellar Coupling",POWER(Upgrades!$U$6,E246),1)*IF(Upgrades!$T$7="Stellar Coupling",POWER(Upgrades!$U$7,F246),1)*IF(Upgrades!$T$9="Stellar Coupling",POWER(Upgrades!$U$9,H246),1)*IF(Upgrades!$T$10="Stellar Coupling",POWER(Upgrades!$U$10,I246),1)*IF(Upgrades!$T$11="Stellar Coupling",POWER(Upgrades!$U$11,J246),1)*IF(Upgrades!$T$12="Stellar Coupling",POWER(Upgrades!$U$12,K246),1))+(IF(H246=0,0,(Upgrades!$G$9+H246*Upgrades!$H$9)*POWER(Upgrades!$I$9,H246)))*(IF(Upgrades!$T$6="Magnetosphere",POWER(Upgrades!$U$6,E246),1)*IF(Upgrades!$T$7="Magnetosphere",POWER(Upgrades!$U$7,F246),1)*IF(Upgrades!$T$8="Magnetosphere",POWER(Upgrades!$U$8,G246),1)*IF(Upgrades!$T$10="Magnetosphere",POWER(Upgrades!$U$10,I246),1)*IF(Upgrades!$T$11="Magnetosphere",POWER(Upgrades!$U$11,J246),1)*IF(Upgrades!$T$12="Magnetosphere",POWER(Upgrades!$U$12,K246),1))+(IF(I246=0,0,(Upgrades!$G$10+I246*Upgrades!$H$10)*POWER(Upgrades!$I$10,I246)))*(IF(Upgrades!$T$6="Orbital Resonance",POWER(Upgrades!$U$6,E246),1)*IF(Upgrades!$T$7="Orbital Resonance",POWER(Upgrades!$U$7,F246),1)*IF(Upgrades!$T$8="Orbital Resonance",POWER(Upgrades!$U$8,G246),1)*IF(Upgrades!$T$9="Orbital Resonance",POWER(Upgrades!$U$9,H246),1)*IF(Upgrades!$T$11="Orbital Resonance",POWER(Upgrades!$U$11,J246),1)*IF(Upgrades!$T$12="Orbital Resonance",POWER(Upgrades!$U$12,K246),1))+(IF(J246=0,0,(Upgrades!$G$11+J246*Upgrades!$H$11)*POWER(Upgrades!$I$11,J246)))*(IF(Upgrades!$T$6="Heliopause",POWER(Upgrades!$U$6,E246),1)*IF(Upgrades!$T$7="Heliopause",POWER(Upgrades!$U$7,F246),1)*IF(Upgrades!$T$8="Heliopause",POWER(Upgrades!$U$8,G246),1)*IF(Upgrades!$T$9="Heliopause",POWER(Upgrades!$U$9,H246),1)*IF(Upgrades!$T$10="Heliopause",POWER(Upgrades!$U$10,I246),1)*IF(Upgrades!$T$12="Heliopause",POWER(Upgrades!$U$12,K246),1))+(IF(K246=0,0,(Upgrades!$G$12+K246*Upgrades!$H$12)*POWER(Upgrades!$I$12,K246)))*(IF(Upgrades!$T$6="First Photons",POWER(Upgrades!$U$6,E246),1)*IF(Upgrades!$T$7="First Photons",POWER(Upgrades!$U$7,F246),1)*IF(Upgrades!$T$8="First Photons",POWER(Upgrades!$U$8,G246),1)*IF(Upgrades!$T$9="First Photons",POWER(Upgrades!$U$9,H246),1)*IF(Upgrades!$T$10="First Photons",POWER(Upgrades!$U$10,I246),1)*IF(Upgrades!$T$11="First Photons",POWER(Upgrades!$U$11,J246),1)))*POWER(Upgrades!$P$6,E246)*POWER(Upgrades!$P$7,F246)*POWER(Upgrades!$P$8,G246)*POWER(Upgrades!$P$9,H246)*POWER(Upgrades!$P$10,I246)*POWER(Upgrades!$P$11,J246)*POWER(Upgrades!$P$12,K246)</f>
        <v>11.2</v>
      </c>
      <c r="O246" s="28" t="n">
        <f aca="false">((IF(E246=0,0,(Upgrades!$M$6+E246*Upgrades!$N$6)*POWER(Upgrades!$O$6,E246)))*(IF(Upgrades!$T$7="Solar Wind",POWER(Upgrades!$U$7,F246),1)*IF(Upgrades!$T$8="Solar Wind",POWER(Upgrades!$U$8,G246),1)*IF(Upgrades!$T$9="Solar Wind",POWER(Upgrades!$U$9,H246),1)*IF(Upgrades!$T$10="Solar Wind",POWER(Upgrades!$U$10,I246),1)*IF(Upgrades!$T$11="Solar Wind",POWER(Upgrades!$U$11,J246),1)*IF(Upgrades!$T$12="Solar Wind",POWER(Upgrades!$U$12,K246),1))+(IF(F246=0,0,(Upgrades!$M$7+F246*Upgrades!$N$7)*POWER(Upgrades!$O$7,F246)))*(IF(Upgrades!$T$6="Asteroid Belt",POWER(Upgrades!$U$6,E246),1)*IF(Upgrades!$T$8="Asteroid Belt",POWER(Upgrades!$U$8,G246),1)*IF(Upgrades!$T$9="Asteroid Belt",POWER(Upgrades!$U$9,H246),1)*IF(Upgrades!$T$10="Asteroid Belt",POWER(Upgrades!$U$10,I246),1)*IF(Upgrades!$T$11="Asteroid Belt",POWER(Upgrades!$U$11,J246),1)*IF(Upgrades!$T$12="Asteroid Belt",POWER(Upgrades!$U$12,K246),1))+(IF(G246=0,0,(Upgrades!$M$8+G246*Upgrades!$N$8)*POWER(Upgrades!$O$8,G246)))*(IF(Upgrades!$T$6="Stellar Coupling",POWER(Upgrades!$U$6,E246),1)*IF(Upgrades!$T$7="Stellar Coupling",POWER(Upgrades!$U$7,F246),1)*IF(Upgrades!$T$9="Stellar Coupling",POWER(Upgrades!$U$9,H246),1)*IF(Upgrades!$T$10="Stellar Coupling",POWER(Upgrades!$U$10,I246),1)*IF(Upgrades!$T$11="Stellar Coupling",POWER(Upgrades!$U$11,J246),1)*IF(Upgrades!$T$12="Stellar Coupling",POWER(Upgrades!$U$12,K246),1))+(IF(H246=0,0,(Upgrades!$M$9+H246*Upgrades!$N$9)*POWER(Upgrades!$O$9,H246)))*(IF(Upgrades!$T$6="Magnetosphere",POWER(Upgrades!$U$6,E246),1)*IF(Upgrades!$T$7="Magnetosphere",POWER(Upgrades!$U$7,F246),1)*IF(Upgrades!$T$8="Magnetosphere",POWER(Upgrades!$U$8,G246),1)*IF(Upgrades!$T$10="Magnetosphere",POWER(Upgrades!$U$10,I246),1)*IF(Upgrades!$T$11="Magnetosphere",POWER(Upgrades!$U$11,J246),1)*IF(Upgrades!$T$12="Magnetosphere",POWER(Upgrades!$U$12,K246),1))+(IF(I246=0,0,(Upgrades!$M$10+I246*Upgrades!$N$10)*POWER(Upgrades!$O$10,I246)))*(IF(Upgrades!$T$6="Orbital Resonance",POWER(Upgrades!$U$6,E246),1)*IF(Upgrades!$T$7="Orbital Resonance",POWER(Upgrades!$U$7,F246),1)*IF(Upgrades!$T$8="Orbital Resonance",POWER(Upgrades!$U$8,G246),1)*IF(Upgrades!$T$9="Orbital Resonance",POWER(Upgrades!$U$9,H246),1)*IF(Upgrades!$T$11="Orbital Resonance",POWER(Upgrades!$U$11,J246),1)*IF(Upgrades!$T$12="Orbital Resonance",POWER(Upgrades!$U$12,K246),1))+(IF(J246=0,0,(Upgrades!$M$11+J246*Upgrades!$N$11)*POWER(Upgrades!$O$11,J246)))*(IF(Upgrades!$T$6="Heliopause",POWER(Upgrades!$U$6,E246),1)*IF(Upgrades!$T$7="Heliopause",POWER(Upgrades!$U$7,F246),1)*IF(Upgrades!$T$8="Heliopause",POWER(Upgrades!$U$8,G246),1)*IF(Upgrades!$T$9="Heliopause",POWER(Upgrades!$U$9,H246),1)*IF(Upgrades!$T$10="Heliopause",POWER(Upgrades!$U$10,I246),1)*IF(Upgrades!$T$12="Heliopause",POWER(Upgrades!$U$12,K246),1))+(IF(K246=0,0,(Upgrades!$M$12+K246*Upgrades!$N$12)*POWER(Upgrades!$O$12,K246)))*(IF(Upgrades!$T$6="First Photons",POWER(Upgrades!$U$6,E246),1)*IF(Upgrades!$T$7="First Photons",POWER(Upgrades!$U$7,F246),1)*IF(Upgrades!$T$8="First Photons",POWER(Upgrades!$U$8,G246),1)*IF(Upgrades!$T$9="First Photons",POWER(Upgrades!$U$9,H246),1)*IF(Upgrades!$T$10="First Photons",POWER(Upgrades!$U$10,I246),1)*IF(Upgrades!$T$11="First Photons",POWER(Upgrades!$U$11,J246),1)))*POWER(Upgrades!$R$6,E246)*POWER(Upgrades!$R$7,F246)*POWER(Upgrades!$R$8,G246)*POWER(Upgrades!$R$9,H246)*POWER(Upgrades!$R$10,I246)*POWER(Upgrades!$R$11,J246)*POWER(Upgrades!$R$12,K246)</f>
        <v>0</v>
      </c>
      <c r="P246" s="27" t="n">
        <f aca="false">IF(L246=1,0,M246*Parameters!$B$10/60*Parameters!$B$11*10)</f>
        <v>0</v>
      </c>
      <c r="Q246" s="27" t="n">
        <f aca="false">IF(L246=1,0,O246*M246*10)</f>
        <v>0</v>
      </c>
      <c r="R246" s="27" t="n">
        <f aca="false">IF(L246=1,0,N246*10)</f>
        <v>0</v>
      </c>
      <c r="S246" s="27" t="n">
        <f aca="false">P246+Q246+R246</f>
        <v>0</v>
      </c>
      <c r="T246" s="21" t="n">
        <f aca="false">C246+S246</f>
        <v>18.6730249835055</v>
      </c>
      <c r="U246" s="34" t="str">
        <f aca="false">AX246</f>
        <v/>
      </c>
      <c r="V246" s="21" t="n">
        <f aca="false">IF(U246="",0,IF(U246="transition",0,IF(U246="SW",AG246,IF(U246="AB",AH246,IF(U246="SC",AI246,IF(U246="Mag",AJ246,IF(U246="OR",AK246,IF(U246="HP",AL246,IF(U246="FP",AM246,0)))))))))</f>
        <v>0</v>
      </c>
      <c r="W246" s="27" t="n">
        <f aca="false">IF(U246="OR",Upgrades!$F$10,IF(U246="HP",Upgrades!$F$11,IF(U246="transition",-Parameters!$B$18,0)))</f>
        <v>0</v>
      </c>
      <c r="X246" s="21" t="n">
        <f aca="false">T246-V246</f>
        <v>18.6730249835055</v>
      </c>
      <c r="Y246" s="30" t="n">
        <f aca="false">M246*Parameters!$B$10/60*Parameters!$B$11+O246*M246+N246</f>
        <v>20.55</v>
      </c>
      <c r="Z246" s="35" t="str">
        <f aca="false">IF(U246="transition","→ Tier 2 (Stellar Neighborhood)",IF(U246="FP","First Photons — light begins, system quickens",IF(U246="HP","Heliopause acquired",IF(U246="OR","Orbital Resonance — passive multiplier active",IF(AND(AO246=1,L246=0,AN246&lt;&gt;1),"Cohesion ready (waiting on completionist upgrades)","")))))</f>
        <v/>
      </c>
      <c r="AA246" s="27" t="n">
        <f aca="false">(IF(E246=0,0,(Upgrades!$G$6+E246*Upgrades!$H$6)*POWER(Upgrades!$I$6,E246)))*(IF(Upgrades!$T$7="Solar Wind",POWER(Upgrades!$U$7,F246),1)*IF(Upgrades!$T$8="Solar Wind",POWER(Upgrades!$U$8,G246),1)*IF(Upgrades!$T$9="Solar Wind",POWER(Upgrades!$U$9,H246),1)*IF(Upgrades!$T$10="Solar Wind",POWER(Upgrades!$U$10,I246),1)*IF(Upgrades!$T$11="Solar Wind",POWER(Upgrades!$U$11,J246),1)*IF(Upgrades!$T$12="Solar Wind",POWER(Upgrades!$U$12,K246),1))*POWER(Upgrades!$P$6,E246)*POWER(Upgrades!$P$7,F246)*POWER(Upgrades!$P$8,G246)*POWER(Upgrades!$P$9,H246)*POWER(Upgrades!$P$10,I246)*POWER(Upgrades!$P$11,J246)*POWER(Upgrades!$P$12,K246)*60</f>
        <v>72</v>
      </c>
      <c r="AB246" s="27" t="n">
        <f aca="false">(IF(F246=0,0,(Upgrades!$G$7+F246*Upgrades!$H$7)*POWER(Upgrades!$I$7,F246)))*(IF(Upgrades!$T$6="Asteroid Belt",POWER(Upgrades!$U$6,E246),1)*IF(Upgrades!$T$8="Asteroid Belt",POWER(Upgrades!$U$8,G246),1)*IF(Upgrades!$T$9="Asteroid Belt",POWER(Upgrades!$U$9,H246),1)*IF(Upgrades!$T$10="Asteroid Belt",POWER(Upgrades!$U$10,I246),1)*IF(Upgrades!$T$11="Asteroid Belt",POWER(Upgrades!$U$11,J246),1)*IF(Upgrades!$T$12="Asteroid Belt",POWER(Upgrades!$U$12,K246),1))*POWER(Upgrades!$P$6,E246)*POWER(Upgrades!$P$7,F246)*POWER(Upgrades!$P$8,G246)*POWER(Upgrades!$P$9,H246)*POWER(Upgrades!$P$10,I246)*POWER(Upgrades!$P$11,J246)*POWER(Upgrades!$P$12,K246)*60</f>
        <v>150</v>
      </c>
      <c r="AC246" s="27" t="n">
        <f aca="false">(IF(G246=0,0,(Upgrades!$J$8+G246*Upgrades!$K$8)*POWER(Upgrades!$L$8,G246)))*(IF(Upgrades!$T$6="Stellar Coupling",POWER(Upgrades!$U$6,E246),1)*IF(Upgrades!$T$7="Stellar Coupling",POWER(Upgrades!$U$7,F246),1)*IF(Upgrades!$T$9="Stellar Coupling",POWER(Upgrades!$U$9,H246),1)*IF(Upgrades!$T$10="Stellar Coupling",POWER(Upgrades!$U$10,I246),1)*IF(Upgrades!$T$11="Stellar Coupling",POWER(Upgrades!$U$11,J246),1)*IF(Upgrades!$T$12="Stellar Coupling",POWER(Upgrades!$U$12,K246),1))*POWER(Upgrades!$Q$6,E246)*POWER(Upgrades!$Q$7,F246)*POWER(Upgrades!$Q$8,G246)*POWER(Upgrades!$Q$9,H246)*POWER(Upgrades!$Q$10,I246)*POWER(Upgrades!$Q$11,J246)*POWER(Upgrades!$Q$12,K246)*Parameters!$B$10*Parameters!$B$11</f>
        <v>441</v>
      </c>
      <c r="AD246" s="27" t="n">
        <f aca="false">(IF(H246=0,0,(Upgrades!$G$9+H246*Upgrades!$H$9)*POWER(Upgrades!$I$9,H246)))*(IF(Upgrades!$T$6="Magnetosphere",POWER(Upgrades!$U$6,E246),1)*IF(Upgrades!$T$7="Magnetosphere",POWER(Upgrades!$U$7,F246),1)*IF(Upgrades!$T$8="Magnetosphere",POWER(Upgrades!$U$8,G246),1)*IF(Upgrades!$T$10="Magnetosphere",POWER(Upgrades!$U$10,I246),1)*IF(Upgrades!$T$11="Magnetosphere",POWER(Upgrades!$U$11,J246),1)*IF(Upgrades!$T$12="Magnetosphere",POWER(Upgrades!$U$12,K246),1))*POWER(Upgrades!$P$6,E246)*POWER(Upgrades!$P$7,F246)*POWER(Upgrades!$P$8,G246)*POWER(Upgrades!$P$9,H246)*POWER(Upgrades!$P$10,I246)*POWER(Upgrades!$P$11,J246)*POWER(Upgrades!$P$12,K246)*60</f>
        <v>375</v>
      </c>
      <c r="AE246" s="27" t="n">
        <f aca="false">(IF(K246=0,0,(Upgrades!$G$12+K246*Upgrades!$H$12)*POWER(Upgrades!$I$12,K246)))*(IF(Upgrades!$T$6="First Photons",POWER(Upgrades!$U$6,E246),1)*IF(Upgrades!$T$7="First Photons",POWER(Upgrades!$U$7,F246),1)*IF(Upgrades!$T$8="First Photons",POWER(Upgrades!$U$8,G246),1)*IF(Upgrades!$T$9="First Photons",POWER(Upgrades!$U$9,H246),1)*IF(Upgrades!$T$10="First Photons",POWER(Upgrades!$U$10,I246),1)*IF(Upgrades!$T$11="First Photons",POWER(Upgrades!$U$11,J246),1))*POWER(Upgrades!$P$6,E246)*POWER(Upgrades!$P$7,F246)*POWER(Upgrades!$P$8,G246)*POWER(Upgrades!$P$9,H246)*POWER(Upgrades!$P$10,I246)*POWER(Upgrades!$P$11,J246)*POWER(Upgrades!$P$12,K246)*60</f>
        <v>75</v>
      </c>
      <c r="AF246" s="27" t="n">
        <f aca="false">Parameters!$B$9*POWER(Upgrades!$Q$6,E246)*POWER(Upgrades!$Q$7,F246)*POWER(Upgrades!$Q$8,G246)*POWER(Upgrades!$Q$9,H246)*POWER(Upgrades!$Q$10,I246)*POWER(Upgrades!$Q$11,J246)*POWER(Upgrades!$Q$12,K246)*(Parameters!$B$10*Parameters!$B$11+O246*60)</f>
        <v>120</v>
      </c>
      <c r="AG246" s="21" t="n">
        <f aca="false">IF(E246&gt;=Upgrades!$E$6,"",Upgrades!$C$6*POWER(Upgrades!$D$6,E246))</f>
        <v>37.4517507383159</v>
      </c>
      <c r="AH246" s="21" t="n">
        <f aca="false">IF(F246&gt;=Upgrades!$E$7,"",Upgrades!$C$7*POWER(Upgrades!$D$7,F246))</f>
        <v>80.9111547141581</v>
      </c>
      <c r="AI246" s="21" t="n">
        <f aca="false">IF(G246&gt;=Upgrades!$E$8,"",Upgrades!$C$8*POWER(Upgrades!$D$8,G246))</f>
        <v>231.9097088</v>
      </c>
      <c r="AJ246" s="21" t="str">
        <f aca="false">IF(H246&gt;=Upgrades!$E$9,"",Upgrades!$C$9*POWER(Upgrades!$D$9,H246))</f>
        <v/>
      </c>
      <c r="AK246" s="21" t="str">
        <f aca="false">IF(I246&gt;=Upgrades!$E$10,"",Upgrades!$C$10*POWER(Upgrades!$D$10,I246))</f>
        <v/>
      </c>
      <c r="AL246" s="21" t="str">
        <f aca="false">IF(J246&gt;=Upgrades!$E$11,"",Upgrades!$C$11*POWER(Upgrades!$D$11,J246))</f>
        <v/>
      </c>
      <c r="AM246" s="21" t="str">
        <f aca="false">IF(K246&gt;=Upgrades!$E$12,"",Upgrades!$C$12*POWER(Upgrades!$D$12,K246))</f>
        <v/>
      </c>
      <c r="AN246" s="26" t="str">
        <f aca="false">IF(AND(D246&gt;=Parameters!$B$18,(H246&gt;=Upgrades!$E$9)*(K246&gt;=Upgrades!$E$12)=1,L246=0),1,"")</f>
        <v/>
      </c>
      <c r="AO246" s="26" t="str">
        <f aca="false">IF(AND(D246&gt;=Parameters!$B$18,L246=0),1,"")</f>
        <v/>
      </c>
      <c r="AP246" s="21" t="n">
        <f aca="false">MIN(IF(ISNUMBER(AK246),AK246,9000000000000000),IF(ISNUMBER(AL246),AL246,9000000000000000),IF(ISNUMBER(AM246),AM246,9000000000000000))</f>
        <v>9000000000000000</v>
      </c>
      <c r="AQ246" s="21" t="n">
        <f aca="false">MIN(IF(ISNUMBER(AG246),AG246,9000000000000000),IF(ISNUMBER(AH246),AH246,9000000000000000),IF(ISNUMBER(AI246),AI246,9000000000000000),IF(ISNUMBER(AJ246),AJ246,9000000000000000))</f>
        <v>37.4517507383159</v>
      </c>
      <c r="AR246" s="32" t="b">
        <f aca="false">IF(AW246&gt;Parameters!$B$21*(MAX(IF(AND(NOT(AND(AO246=1,AN246&lt;&gt;1)),ISNUMBER(AG246),AG246&lt;=T246),AS246,0),IF(AND(NOT(AND(AO246=1,AN246&lt;&gt;1)),ISNUMBER(AH246),AH246&lt;=T246),AT246,0),IF(AND(NOT(AND(AO246=1,AN246&lt;&gt;1)),ISNUMBER(AI246),AI246&lt;=T246),AU246,0),IF(AND(ISNUMBER(AJ246),AJ246&lt;=T246),AV246,0))),TRUE(),FALSE())</f>
        <v>1</v>
      </c>
      <c r="AS246" s="33" t="n">
        <f aca="false">IFERROR(Upgrades!$H$6*(POWER(Upgrades!$P$6,E246)*POWER(Upgrades!$P$7,F246)*POWER(Upgrades!$P$8,G246)*POWER(Upgrades!$P$9,H246)*POWER(Upgrades!$P$10,I246)*POWER(Upgrades!$P$11,J246)*POWER(Upgrades!$P$12,K246))*(IF(Upgrades!$T$7="Solar Wind",POWER(Upgrades!$U$7,F246),1)*IF(Upgrades!$T$8="Solar Wind",POWER(Upgrades!$U$8,G246),1)*IF(Upgrades!$T$9="Solar Wind",POWER(Upgrades!$U$9,H246),1)*IF(Upgrades!$T$10="Solar Wind",POWER(Upgrades!$U$10,I246),1)*IF(Upgrades!$T$11="Solar Wind",POWER(Upgrades!$U$11,J246),1)*IF(Upgrades!$T$12="Solar Wind",POWER(Upgrades!$U$12,K246),1))/AG246,0)</f>
        <v>0.0026701021455238</v>
      </c>
      <c r="AT246" s="33" t="n">
        <f aca="false">IFERROR(Upgrades!$H$7*(POWER(Upgrades!$P$6,E246)*POWER(Upgrades!$P$7,F246)*POWER(Upgrades!$P$8,G246)*POWER(Upgrades!$P$9,H246)*POWER(Upgrades!$P$10,I246)*POWER(Upgrades!$P$11,J246)*POWER(Upgrades!$P$12,K246))*(IF(Upgrades!$T$6="Asteroid Belt",POWER(Upgrades!$U$6,E246),1)*IF(Upgrades!$T$8="Asteroid Belt",POWER(Upgrades!$U$8,G246),1)*IF(Upgrades!$T$9="Asteroid Belt",POWER(Upgrades!$U$9,H246),1)*IF(Upgrades!$T$10="Asteroid Belt",POWER(Upgrades!$U$10,I246),1)*IF(Upgrades!$T$11="Asteroid Belt",POWER(Upgrades!$U$11,J246),1)*IF(Upgrades!$T$12="Asteroid Belt",POWER(Upgrades!$U$12,K246),1))/AH246,0)</f>
        <v>0.00308980882652332</v>
      </c>
      <c r="AU246" s="33" t="n">
        <f aca="false">IFERROR(Upgrades!$K$8*(POWER(Upgrades!$Q$6,E246)*POWER(Upgrades!$Q$7,F246)*POWER(Upgrades!$Q$8,G246)*POWER(Upgrades!$Q$9,H246)*POWER(Upgrades!$Q$10,I246)*POWER(Upgrades!$Q$11,J246)*POWER(Upgrades!$Q$12,K246))*(IF(Upgrades!$T$6="Stellar Coupling",POWER(Upgrades!$U$6,E246),1)*IF(Upgrades!$T$7="Stellar Coupling",POWER(Upgrades!$U$7,F246),1)*IF(Upgrades!$T$9="Stellar Coupling",POWER(Upgrades!$U$9,H246),1)*IF(Upgrades!$T$10="Stellar Coupling",POWER(Upgrades!$U$10,I246),1)*IF(Upgrades!$T$11="Stellar Coupling",POWER(Upgrades!$U$11,J246),1)*IF(Upgrades!$T$12="Stellar Coupling",POWER(Upgrades!$U$12,K246),1))*Parameters!$B$10*Parameters!$B$11/60/AI246,0)</f>
        <v>0.00452762415783776</v>
      </c>
      <c r="AV246" s="33" t="n">
        <f aca="false">IFERROR(Upgrades!$H$9*(POWER(Upgrades!$P$6,E246)*POWER(Upgrades!$P$7,F246)*POWER(Upgrades!$P$8,G246)*POWER(Upgrades!$P$9,H246)*POWER(Upgrades!$P$10,I246)*POWER(Upgrades!$P$11,J246)*POWER(Upgrades!$P$12,K246))*(IF(Upgrades!$T$6="Magnetosphere",POWER(Upgrades!$U$6,E246),1)*IF(Upgrades!$T$7="Magnetosphere",POWER(Upgrades!$U$7,F246),1)*IF(Upgrades!$T$8="Magnetosphere",POWER(Upgrades!$U$8,G246),1)*IF(Upgrades!$T$10="Magnetosphere",POWER(Upgrades!$U$10,I246),1)*IF(Upgrades!$T$11="Magnetosphere",POWER(Upgrades!$U$11,J246),1)*IF(Upgrades!$T$12="Magnetosphere",POWER(Upgrades!$U$12,K246),1))/AJ246,0)</f>
        <v>0</v>
      </c>
      <c r="AW246" s="33" t="n">
        <f aca="false">MAX(IF(I246&gt;0,0,IFERROR(0.25*N246/Upgrades!$C$10,0)),IF(J246&gt;0,0,IFERROR(0.5*((IF(G246=0,0,(Upgrades!$J$8+G246*Upgrades!$K$8)*POWER(Upgrades!$L$8,G246)))*(IF(Upgrades!$T$6="Stellar Coupling",POWER(Upgrades!$U$6,E246),1)*IF(Upgrades!$T$7="Stellar Coupling",POWER(Upgrades!$U$7,F246),1)*IF(Upgrades!$T$9="Stellar Coupling",POWER(Upgrades!$U$9,H246),1)*IF(Upgrades!$T$10="Stellar Coupling",POWER(Upgrades!$U$10,I246),1)*IF(Upgrades!$T$11="Stellar Coupling",POWER(Upgrades!$U$11,J246),1)*IF(Upgrades!$T$12="Stellar Coupling",POWER(Upgrades!$U$12,K246),1))*(POWER(Upgrades!$Q$6,E246)*POWER(Upgrades!$Q$7,F246)*POWER(Upgrades!$Q$8,G246)*POWER(Upgrades!$Q$9,H246)*POWER(Upgrades!$Q$10,I246)*POWER(Upgrades!$Q$11,J246)*POWER(Upgrades!$Q$12,K246))*Parameters!$B$10*Parameters!$B$11/60)/Upgrades!$C$11,0)),IF(K246&gt;0,0,IFERROR((1*(POWER(Upgrades!$P$6,E246)*POWER(Upgrades!$P$7,F246)*POWER(Upgrades!$P$8,G246)*POWER(Upgrades!$P$9,H246)*POWER(Upgrades!$P$10,I246)*POWER(Upgrades!$P$11,J246)*POWER(Upgrades!$P$12,K246))+0.2*M246*Parameters!$B$10*Parameters!$B$11/60)/Upgrades!$C$12,0)),IF(AND(ISNUMBER(AG246),AG246&gt;T246),AS246,0),IF(AND(ISNUMBER(AH246),AH246&gt;T246),AT246,0),IF(AND(ISNUMBER(AI246),AI246&gt;T246),AU246,0),IF(AND(ISNUMBER(AJ246),AJ246&gt;T246),AV246,0))</f>
        <v>0.00452762415783776</v>
      </c>
      <c r="AX246" s="29" t="str">
        <f aca="false">IF(AN246=1,"transition",IF(MIN(IF(AND(I246=0,ISNUMBER(AK246),AK246&lt;=T246),AK246,9000000000000000),IF(AND(J246=0,ISNUMBER(AL246),AL246&lt;=T246),AL246,9000000000000000),IF(AND(K246=0,ISNUMBER(AM246),AM246&lt;=T246),AM246,9000000000000000))&lt;9000000000000000,IF(AND(AND(I246=0,ISNUMBER(AK246),AK246&lt;=T246),AK246=MIN(IF(AND(I246=0,ISNUMBER(AK246),AK246&lt;=T246),AK246,9000000000000000),IF(AND(J246=0,ISNUMBER(AL246),AL246&lt;=T246),AL246,9000000000000000),IF(AND(K246=0,ISNUMBER(AM246),AM246&lt;=T246),AM246,9000000000000000))),"OR",IF(AND(AND(J246=0,ISNUMBER(AL246),AL246&lt;=T246),AL246=MIN(IF(AND(I246=0,ISNUMBER(AK246),AK246&lt;=T246),AK246,9000000000000000),IF(AND(J246=0,ISNUMBER(AL246),AL246&lt;=T246),AL246,9000000000000000),IF(AND(K246=0,ISNUMBER(AM246),AM246&lt;=T246),AM246,9000000000000000))),"HP","FP")),IF(AR246=TRUE(),"",IF(MAX(IF(AND(NOT(AND(AO246=1,AN246&lt;&gt;1)),ISNUMBER(AG246),AG246&lt;=T246),AS246,0),IF(AND(NOT(AND(AO246=1,AN246&lt;&gt;1)),ISNUMBER(AH246),AH246&lt;=T246),AT246,0),IF(AND(NOT(AND(AO246=1,AN246&lt;&gt;1)),ISNUMBER(AI246),AI246&lt;=T246),AU246,0),IF(AND(ISNUMBER(AJ246),AJ246&lt;=T246),AV246,0))&lt;=0,"",IF(AND(IF(AND(NOT(AND(AO246=1,AN246&lt;&gt;1)),ISNUMBER(AG246),AG246&lt;=T246),AS246,0)&gt;0,IF(AND(NOT(AND(AO246=1,AN246&lt;&gt;1)),ISNUMBER(AG246),AG246&lt;=T246),AS246,0)=MAX(IF(AND(NOT(AND(AO246=1,AN246&lt;&gt;1)),ISNUMBER(AG246),AG246&lt;=T246),AS246,0),IF(AND(NOT(AND(AO246=1,AN246&lt;&gt;1)),ISNUMBER(AH246),AH246&lt;=T246),AT246,0),IF(AND(NOT(AND(AO246=1,AN246&lt;&gt;1)),ISNUMBER(AI246),AI246&lt;=T246),AU246,0),IF(AND(ISNUMBER(AJ246),AJ246&lt;=T246),AV246,0))),"SW",IF(AND(IF(AND(NOT(AND(AO246=1,AN246&lt;&gt;1)),ISNUMBER(AH246),AH246&lt;=T246),AT246,0)&gt;0,IF(AND(NOT(AND(AO246=1,AN246&lt;&gt;1)),ISNUMBER(AH246),AH246&lt;=T246),AT246,0)=MAX(IF(AND(NOT(AND(AO246=1,AN246&lt;&gt;1)),ISNUMBER(AG246),AG246&lt;=T246),AS246,0),IF(AND(NOT(AND(AO246=1,AN246&lt;&gt;1)),ISNUMBER(AH246),AH246&lt;=T246),AT246,0),IF(AND(NOT(AND(AO246=1,AN246&lt;&gt;1)),ISNUMBER(AI246),AI246&lt;=T246),AU246,0),IF(AND(ISNUMBER(AJ246),AJ246&lt;=T246),AV246,0))),"AB",IF(AND(IF(AND(NOT(AND(AO246=1,AN246&lt;&gt;1)),ISNUMBER(AI246),AI246&lt;=T246),AU246,0)&gt;0,IF(AND(NOT(AND(AO246=1,AN246&lt;&gt;1)),ISNUMBER(AI246),AI246&lt;=T246),AU246,0)=MAX(IF(AND(NOT(AND(AO246=1,AN246&lt;&gt;1)),ISNUMBER(AG246),AG246&lt;=T246),AS246,0),IF(AND(NOT(AND(AO246=1,AN246&lt;&gt;1)),ISNUMBER(AH246),AH246&lt;=T246),AT246,0),IF(AND(NOT(AND(AO246=1,AN246&lt;&gt;1)),ISNUMBER(AI246),AI246&lt;=T246),AU246,0),IF(AND(ISNUMBER(AJ246),AJ246&lt;=T246),AV246,0))),"SC","Mag")))))))</f>
        <v/>
      </c>
    </row>
    <row r="247" customFormat="false" ht="15" hidden="false" customHeight="false" outlineLevel="0" collapsed="false">
      <c r="A247" s="26" t="n">
        <v>242</v>
      </c>
      <c r="B247" s="27" t="n">
        <f aca="false">A247*10/60</f>
        <v>40.3333333333333</v>
      </c>
      <c r="C247" s="21" t="n">
        <f aca="false">X246</f>
        <v>18.6730249835055</v>
      </c>
      <c r="D247" s="27" t="n">
        <f aca="false">D246+W246</f>
        <v>0</v>
      </c>
      <c r="E247" s="26" t="n">
        <f aca="false">E246+IF(U246="SW",1,0)</f>
        <v>12</v>
      </c>
      <c r="F247" s="26" t="n">
        <f aca="false">F246+IF(U246="AB",1,0)</f>
        <v>10</v>
      </c>
      <c r="G247" s="26" t="n">
        <f aca="false">G246+IF(U246="SC",1,0)</f>
        <v>7</v>
      </c>
      <c r="H247" s="26" t="n">
        <f aca="false">H246+IF(U246="Mag",1,0)</f>
        <v>5</v>
      </c>
      <c r="I247" s="26" t="n">
        <f aca="false">MAX(I246,IF(U246="OR",1,0))</f>
        <v>1</v>
      </c>
      <c r="J247" s="26" t="n">
        <f aca="false">MAX(J246,IF(U246="HP",1,0))</f>
        <v>1</v>
      </c>
      <c r="K247" s="26" t="n">
        <f aca="false">MAX(K246,IF(U246="FP",1,0))</f>
        <v>1</v>
      </c>
      <c r="L247" s="26" t="n">
        <f aca="false">MAX(L246,IF(U246="transition",1,0))</f>
        <v>1</v>
      </c>
      <c r="M247" s="28" t="n">
        <f aca="false">(Parameters!$B$9+(IF(E247=0,0,(Upgrades!$J$6+E247*Upgrades!$K$6)*POWER(Upgrades!$L$6,E247)))*(IF(Upgrades!$T$7="Solar Wind",POWER(Upgrades!$U$7,F247),1)*IF(Upgrades!$T$8="Solar Wind",POWER(Upgrades!$U$8,G247),1)*IF(Upgrades!$T$9="Solar Wind",POWER(Upgrades!$U$9,H247),1)*IF(Upgrades!$T$10="Solar Wind",POWER(Upgrades!$U$10,I247),1)*IF(Upgrades!$T$11="Solar Wind",POWER(Upgrades!$U$11,J247),1)*IF(Upgrades!$T$12="Solar Wind",POWER(Upgrades!$U$12,K247),1))+(IF(F247=0,0,(Upgrades!$J$7+F247*Upgrades!$K$7)*POWER(Upgrades!$L$7,F247)))*(IF(Upgrades!$T$6="Asteroid Belt",POWER(Upgrades!$U$6,E247),1)*IF(Upgrades!$T$8="Asteroid Belt",POWER(Upgrades!$U$8,G247),1)*IF(Upgrades!$T$9="Asteroid Belt",POWER(Upgrades!$U$9,H247),1)*IF(Upgrades!$T$10="Asteroid Belt",POWER(Upgrades!$U$10,I247),1)*IF(Upgrades!$T$11="Asteroid Belt",POWER(Upgrades!$U$11,J247),1)*IF(Upgrades!$T$12="Asteroid Belt",POWER(Upgrades!$U$12,K247),1))+(IF(G247=0,0,(Upgrades!$J$8+G247*Upgrades!$K$8)*POWER(Upgrades!$L$8,G247)))*(IF(Upgrades!$T$6="Stellar Coupling",POWER(Upgrades!$U$6,E247),1)*IF(Upgrades!$T$7="Stellar Coupling",POWER(Upgrades!$U$7,F247),1)*IF(Upgrades!$T$9="Stellar Coupling",POWER(Upgrades!$U$9,H247),1)*IF(Upgrades!$T$10="Stellar Coupling",POWER(Upgrades!$U$10,I247),1)*IF(Upgrades!$T$11="Stellar Coupling",POWER(Upgrades!$U$11,J247),1)*IF(Upgrades!$T$12="Stellar Coupling",POWER(Upgrades!$U$12,K247),1))+(IF(H247=0,0,(Upgrades!$J$9+H247*Upgrades!$K$9)*POWER(Upgrades!$L$9,H247)))*(IF(Upgrades!$T$6="Magnetosphere",POWER(Upgrades!$U$6,E247),1)*IF(Upgrades!$T$7="Magnetosphere",POWER(Upgrades!$U$7,F247),1)*IF(Upgrades!$T$8="Magnetosphere",POWER(Upgrades!$U$8,G247),1)*IF(Upgrades!$T$10="Magnetosphere",POWER(Upgrades!$U$10,I247),1)*IF(Upgrades!$T$11="Magnetosphere",POWER(Upgrades!$U$11,J247),1)*IF(Upgrades!$T$12="Magnetosphere",POWER(Upgrades!$U$12,K247),1))+(IF(I247=0,0,(Upgrades!$J$10+I247*Upgrades!$K$10)*POWER(Upgrades!$L$10,I247)))*(IF(Upgrades!$T$6="Orbital Resonance",POWER(Upgrades!$U$6,E247),1)*IF(Upgrades!$T$7="Orbital Resonance",POWER(Upgrades!$U$7,F247),1)*IF(Upgrades!$T$8="Orbital Resonance",POWER(Upgrades!$U$8,G247),1)*IF(Upgrades!$T$9="Orbital Resonance",POWER(Upgrades!$U$9,H247),1)*IF(Upgrades!$T$11="Orbital Resonance",POWER(Upgrades!$U$11,J247),1)*IF(Upgrades!$T$12="Orbital Resonance",POWER(Upgrades!$U$12,K247),1))+(IF(J247=0,0,(Upgrades!$J$11+J247*Upgrades!$K$11)*POWER(Upgrades!$L$11,J247)))*(IF(Upgrades!$T$6="Heliopause",POWER(Upgrades!$U$6,E247),1)*IF(Upgrades!$T$7="Heliopause",POWER(Upgrades!$U$7,F247),1)*IF(Upgrades!$T$8="Heliopause",POWER(Upgrades!$U$8,G247),1)*IF(Upgrades!$T$9="Heliopause",POWER(Upgrades!$U$9,H247),1)*IF(Upgrades!$T$10="Heliopause",POWER(Upgrades!$U$10,I247),1)*IF(Upgrades!$T$12="Heliopause",POWER(Upgrades!$U$12,K247),1))+(IF(K247=0,0,(Upgrades!$J$12+K247*Upgrades!$K$12)*POWER(Upgrades!$L$12,K247)))*(IF(Upgrades!$T$6="First Photons",POWER(Upgrades!$U$6,E247),1)*IF(Upgrades!$T$7="First Photons",POWER(Upgrades!$U$7,F247),1)*IF(Upgrades!$T$8="First Photons",POWER(Upgrades!$U$8,G247),1)*IF(Upgrades!$T$9="First Photons",POWER(Upgrades!$U$9,H247),1)*IF(Upgrades!$T$10="First Photons",POWER(Upgrades!$U$10,I247),1)*IF(Upgrades!$T$11="First Photons",POWER(Upgrades!$U$11,J247),1)))*POWER(Upgrades!$Q$6,E247)*POWER(Upgrades!$Q$7,F247)*POWER(Upgrades!$Q$8,G247)*POWER(Upgrades!$Q$9,H247)*POWER(Upgrades!$Q$10,I247)*POWER(Upgrades!$Q$11,J247)*POWER(Upgrades!$Q$12,K247)</f>
        <v>5.61</v>
      </c>
      <c r="N247" s="28" t="n">
        <f aca="false">((IF(E247=0,0,(Upgrades!$G$6+E247*Upgrades!$H$6)*POWER(Upgrades!$I$6,E247)))*(IF(Upgrades!$T$7="Solar Wind",POWER(Upgrades!$U$7,F247),1)*IF(Upgrades!$T$8="Solar Wind",POWER(Upgrades!$U$8,G247),1)*IF(Upgrades!$T$9="Solar Wind",POWER(Upgrades!$U$9,H247),1)*IF(Upgrades!$T$10="Solar Wind",POWER(Upgrades!$U$10,I247),1)*IF(Upgrades!$T$11="Solar Wind",POWER(Upgrades!$U$11,J247),1)*IF(Upgrades!$T$12="Solar Wind",POWER(Upgrades!$U$12,K247),1))+(IF(F247=0,0,(Upgrades!$G$7+F247*Upgrades!$H$7)*POWER(Upgrades!$I$7,F247)))*(IF(Upgrades!$T$6="Asteroid Belt",POWER(Upgrades!$U$6,E247),1)*IF(Upgrades!$T$8="Asteroid Belt",POWER(Upgrades!$U$8,G247),1)*IF(Upgrades!$T$9="Asteroid Belt",POWER(Upgrades!$U$9,H247),1)*IF(Upgrades!$T$10="Asteroid Belt",POWER(Upgrades!$U$10,I247),1)*IF(Upgrades!$T$11="Asteroid Belt",POWER(Upgrades!$U$11,J247),1)*IF(Upgrades!$T$12="Asteroid Belt",POWER(Upgrades!$U$12,K247),1))+(IF(G247=0,0,(Upgrades!$G$8+G247*Upgrades!$H$8)*POWER(Upgrades!$I$8,G247)))*(IF(Upgrades!$T$6="Stellar Coupling",POWER(Upgrades!$U$6,E247),1)*IF(Upgrades!$T$7="Stellar Coupling",POWER(Upgrades!$U$7,F247),1)*IF(Upgrades!$T$9="Stellar Coupling",POWER(Upgrades!$U$9,H247),1)*IF(Upgrades!$T$10="Stellar Coupling",POWER(Upgrades!$U$10,I247),1)*IF(Upgrades!$T$11="Stellar Coupling",POWER(Upgrades!$U$11,J247),1)*IF(Upgrades!$T$12="Stellar Coupling",POWER(Upgrades!$U$12,K247),1))+(IF(H247=0,0,(Upgrades!$G$9+H247*Upgrades!$H$9)*POWER(Upgrades!$I$9,H247)))*(IF(Upgrades!$T$6="Magnetosphere",POWER(Upgrades!$U$6,E247),1)*IF(Upgrades!$T$7="Magnetosphere",POWER(Upgrades!$U$7,F247),1)*IF(Upgrades!$T$8="Magnetosphere",POWER(Upgrades!$U$8,G247),1)*IF(Upgrades!$T$10="Magnetosphere",POWER(Upgrades!$U$10,I247),1)*IF(Upgrades!$T$11="Magnetosphere",POWER(Upgrades!$U$11,J247),1)*IF(Upgrades!$T$12="Magnetosphere",POWER(Upgrades!$U$12,K247),1))+(IF(I247=0,0,(Upgrades!$G$10+I247*Upgrades!$H$10)*POWER(Upgrades!$I$10,I247)))*(IF(Upgrades!$T$6="Orbital Resonance",POWER(Upgrades!$U$6,E247),1)*IF(Upgrades!$T$7="Orbital Resonance",POWER(Upgrades!$U$7,F247),1)*IF(Upgrades!$T$8="Orbital Resonance",POWER(Upgrades!$U$8,G247),1)*IF(Upgrades!$T$9="Orbital Resonance",POWER(Upgrades!$U$9,H247),1)*IF(Upgrades!$T$11="Orbital Resonance",POWER(Upgrades!$U$11,J247),1)*IF(Upgrades!$T$12="Orbital Resonance",POWER(Upgrades!$U$12,K247),1))+(IF(J247=0,0,(Upgrades!$G$11+J247*Upgrades!$H$11)*POWER(Upgrades!$I$11,J247)))*(IF(Upgrades!$T$6="Heliopause",POWER(Upgrades!$U$6,E247),1)*IF(Upgrades!$T$7="Heliopause",POWER(Upgrades!$U$7,F247),1)*IF(Upgrades!$T$8="Heliopause",POWER(Upgrades!$U$8,G247),1)*IF(Upgrades!$T$9="Heliopause",POWER(Upgrades!$U$9,H247),1)*IF(Upgrades!$T$10="Heliopause",POWER(Upgrades!$U$10,I247),1)*IF(Upgrades!$T$12="Heliopause",POWER(Upgrades!$U$12,K247),1))+(IF(K247=0,0,(Upgrades!$G$12+K247*Upgrades!$H$12)*POWER(Upgrades!$I$12,K247)))*(IF(Upgrades!$T$6="First Photons",POWER(Upgrades!$U$6,E247),1)*IF(Upgrades!$T$7="First Photons",POWER(Upgrades!$U$7,F247),1)*IF(Upgrades!$T$8="First Photons",POWER(Upgrades!$U$8,G247),1)*IF(Upgrades!$T$9="First Photons",POWER(Upgrades!$U$9,H247),1)*IF(Upgrades!$T$10="First Photons",POWER(Upgrades!$U$10,I247),1)*IF(Upgrades!$T$11="First Photons",POWER(Upgrades!$U$11,J247),1)))*POWER(Upgrades!$P$6,E247)*POWER(Upgrades!$P$7,F247)*POWER(Upgrades!$P$8,G247)*POWER(Upgrades!$P$9,H247)*POWER(Upgrades!$P$10,I247)*POWER(Upgrades!$P$11,J247)*POWER(Upgrades!$P$12,K247)</f>
        <v>11.2</v>
      </c>
      <c r="O247" s="28" t="n">
        <f aca="false">((IF(E247=0,0,(Upgrades!$M$6+E247*Upgrades!$N$6)*POWER(Upgrades!$O$6,E247)))*(IF(Upgrades!$T$7="Solar Wind",POWER(Upgrades!$U$7,F247),1)*IF(Upgrades!$T$8="Solar Wind",POWER(Upgrades!$U$8,G247),1)*IF(Upgrades!$T$9="Solar Wind",POWER(Upgrades!$U$9,H247),1)*IF(Upgrades!$T$10="Solar Wind",POWER(Upgrades!$U$10,I247),1)*IF(Upgrades!$T$11="Solar Wind",POWER(Upgrades!$U$11,J247),1)*IF(Upgrades!$T$12="Solar Wind",POWER(Upgrades!$U$12,K247),1))+(IF(F247=0,0,(Upgrades!$M$7+F247*Upgrades!$N$7)*POWER(Upgrades!$O$7,F247)))*(IF(Upgrades!$T$6="Asteroid Belt",POWER(Upgrades!$U$6,E247),1)*IF(Upgrades!$T$8="Asteroid Belt",POWER(Upgrades!$U$8,G247),1)*IF(Upgrades!$T$9="Asteroid Belt",POWER(Upgrades!$U$9,H247),1)*IF(Upgrades!$T$10="Asteroid Belt",POWER(Upgrades!$U$10,I247),1)*IF(Upgrades!$T$11="Asteroid Belt",POWER(Upgrades!$U$11,J247),1)*IF(Upgrades!$T$12="Asteroid Belt",POWER(Upgrades!$U$12,K247),1))+(IF(G247=0,0,(Upgrades!$M$8+G247*Upgrades!$N$8)*POWER(Upgrades!$O$8,G247)))*(IF(Upgrades!$T$6="Stellar Coupling",POWER(Upgrades!$U$6,E247),1)*IF(Upgrades!$T$7="Stellar Coupling",POWER(Upgrades!$U$7,F247),1)*IF(Upgrades!$T$9="Stellar Coupling",POWER(Upgrades!$U$9,H247),1)*IF(Upgrades!$T$10="Stellar Coupling",POWER(Upgrades!$U$10,I247),1)*IF(Upgrades!$T$11="Stellar Coupling",POWER(Upgrades!$U$11,J247),1)*IF(Upgrades!$T$12="Stellar Coupling",POWER(Upgrades!$U$12,K247),1))+(IF(H247=0,0,(Upgrades!$M$9+H247*Upgrades!$N$9)*POWER(Upgrades!$O$9,H247)))*(IF(Upgrades!$T$6="Magnetosphere",POWER(Upgrades!$U$6,E247),1)*IF(Upgrades!$T$7="Magnetosphere",POWER(Upgrades!$U$7,F247),1)*IF(Upgrades!$T$8="Magnetosphere",POWER(Upgrades!$U$8,G247),1)*IF(Upgrades!$T$10="Magnetosphere",POWER(Upgrades!$U$10,I247),1)*IF(Upgrades!$T$11="Magnetosphere",POWER(Upgrades!$U$11,J247),1)*IF(Upgrades!$T$12="Magnetosphere",POWER(Upgrades!$U$12,K247),1))+(IF(I247=0,0,(Upgrades!$M$10+I247*Upgrades!$N$10)*POWER(Upgrades!$O$10,I247)))*(IF(Upgrades!$T$6="Orbital Resonance",POWER(Upgrades!$U$6,E247),1)*IF(Upgrades!$T$7="Orbital Resonance",POWER(Upgrades!$U$7,F247),1)*IF(Upgrades!$T$8="Orbital Resonance",POWER(Upgrades!$U$8,G247),1)*IF(Upgrades!$T$9="Orbital Resonance",POWER(Upgrades!$U$9,H247),1)*IF(Upgrades!$T$11="Orbital Resonance",POWER(Upgrades!$U$11,J247),1)*IF(Upgrades!$T$12="Orbital Resonance",POWER(Upgrades!$U$12,K247),1))+(IF(J247=0,0,(Upgrades!$M$11+J247*Upgrades!$N$11)*POWER(Upgrades!$O$11,J247)))*(IF(Upgrades!$T$6="Heliopause",POWER(Upgrades!$U$6,E247),1)*IF(Upgrades!$T$7="Heliopause",POWER(Upgrades!$U$7,F247),1)*IF(Upgrades!$T$8="Heliopause",POWER(Upgrades!$U$8,G247),1)*IF(Upgrades!$T$9="Heliopause",POWER(Upgrades!$U$9,H247),1)*IF(Upgrades!$T$10="Heliopause",POWER(Upgrades!$U$10,I247),1)*IF(Upgrades!$T$12="Heliopause",POWER(Upgrades!$U$12,K247),1))+(IF(K247=0,0,(Upgrades!$M$12+K247*Upgrades!$N$12)*POWER(Upgrades!$O$12,K247)))*(IF(Upgrades!$T$6="First Photons",POWER(Upgrades!$U$6,E247),1)*IF(Upgrades!$T$7="First Photons",POWER(Upgrades!$U$7,F247),1)*IF(Upgrades!$T$8="First Photons",POWER(Upgrades!$U$8,G247),1)*IF(Upgrades!$T$9="First Photons",POWER(Upgrades!$U$9,H247),1)*IF(Upgrades!$T$10="First Photons",POWER(Upgrades!$U$10,I247),1)*IF(Upgrades!$T$11="First Photons",POWER(Upgrades!$U$11,J247),1)))*POWER(Upgrades!$R$6,E247)*POWER(Upgrades!$R$7,F247)*POWER(Upgrades!$R$8,G247)*POWER(Upgrades!$R$9,H247)*POWER(Upgrades!$R$10,I247)*POWER(Upgrades!$R$11,J247)*POWER(Upgrades!$R$12,K247)</f>
        <v>0</v>
      </c>
      <c r="P247" s="27" t="n">
        <f aca="false">IF(L247=1,0,M247*Parameters!$B$10/60*Parameters!$B$11*10)</f>
        <v>0</v>
      </c>
      <c r="Q247" s="27" t="n">
        <f aca="false">IF(L247=1,0,O247*M247*10)</f>
        <v>0</v>
      </c>
      <c r="R247" s="27" t="n">
        <f aca="false">IF(L247=1,0,N247*10)</f>
        <v>0</v>
      </c>
      <c r="S247" s="27" t="n">
        <f aca="false">P247+Q247+R247</f>
        <v>0</v>
      </c>
      <c r="T247" s="21" t="n">
        <f aca="false">C247+S247</f>
        <v>18.6730249835055</v>
      </c>
      <c r="U247" s="34" t="str">
        <f aca="false">AX247</f>
        <v/>
      </c>
      <c r="V247" s="21" t="n">
        <f aca="false">IF(U247="",0,IF(U247="transition",0,IF(U247="SW",AG247,IF(U247="AB",AH247,IF(U247="SC",AI247,IF(U247="Mag",AJ247,IF(U247="OR",AK247,IF(U247="HP",AL247,IF(U247="FP",AM247,0)))))))))</f>
        <v>0</v>
      </c>
      <c r="W247" s="27" t="n">
        <f aca="false">IF(U247="OR",Upgrades!$F$10,IF(U247="HP",Upgrades!$F$11,IF(U247="transition",-Parameters!$B$18,0)))</f>
        <v>0</v>
      </c>
      <c r="X247" s="21" t="n">
        <f aca="false">T247-V247</f>
        <v>18.6730249835055</v>
      </c>
      <c r="Y247" s="30" t="n">
        <f aca="false">M247*Parameters!$B$10/60*Parameters!$B$11+O247*M247+N247</f>
        <v>20.55</v>
      </c>
      <c r="Z247" s="35" t="str">
        <f aca="false">IF(U247="transition","→ Tier 2 (Stellar Neighborhood)",IF(U247="FP","First Photons — light begins, system quickens",IF(U247="HP","Heliopause acquired",IF(U247="OR","Orbital Resonance — passive multiplier active",IF(AND(AO247=1,L247=0,AN247&lt;&gt;1),"Cohesion ready (waiting on completionist upgrades)","")))))</f>
        <v/>
      </c>
      <c r="AA247" s="27" t="n">
        <f aca="false">(IF(E247=0,0,(Upgrades!$G$6+E247*Upgrades!$H$6)*POWER(Upgrades!$I$6,E247)))*(IF(Upgrades!$T$7="Solar Wind",POWER(Upgrades!$U$7,F247),1)*IF(Upgrades!$T$8="Solar Wind",POWER(Upgrades!$U$8,G247),1)*IF(Upgrades!$T$9="Solar Wind",POWER(Upgrades!$U$9,H247),1)*IF(Upgrades!$T$10="Solar Wind",POWER(Upgrades!$U$10,I247),1)*IF(Upgrades!$T$11="Solar Wind",POWER(Upgrades!$U$11,J247),1)*IF(Upgrades!$T$12="Solar Wind",POWER(Upgrades!$U$12,K247),1))*POWER(Upgrades!$P$6,E247)*POWER(Upgrades!$P$7,F247)*POWER(Upgrades!$P$8,G247)*POWER(Upgrades!$P$9,H247)*POWER(Upgrades!$P$10,I247)*POWER(Upgrades!$P$11,J247)*POWER(Upgrades!$P$12,K247)*60</f>
        <v>72</v>
      </c>
      <c r="AB247" s="27" t="n">
        <f aca="false">(IF(F247=0,0,(Upgrades!$G$7+F247*Upgrades!$H$7)*POWER(Upgrades!$I$7,F247)))*(IF(Upgrades!$T$6="Asteroid Belt",POWER(Upgrades!$U$6,E247),1)*IF(Upgrades!$T$8="Asteroid Belt",POWER(Upgrades!$U$8,G247),1)*IF(Upgrades!$T$9="Asteroid Belt",POWER(Upgrades!$U$9,H247),1)*IF(Upgrades!$T$10="Asteroid Belt",POWER(Upgrades!$U$10,I247),1)*IF(Upgrades!$T$11="Asteroid Belt",POWER(Upgrades!$U$11,J247),1)*IF(Upgrades!$T$12="Asteroid Belt",POWER(Upgrades!$U$12,K247),1))*POWER(Upgrades!$P$6,E247)*POWER(Upgrades!$P$7,F247)*POWER(Upgrades!$P$8,G247)*POWER(Upgrades!$P$9,H247)*POWER(Upgrades!$P$10,I247)*POWER(Upgrades!$P$11,J247)*POWER(Upgrades!$P$12,K247)*60</f>
        <v>150</v>
      </c>
      <c r="AC247" s="27" t="n">
        <f aca="false">(IF(G247=0,0,(Upgrades!$J$8+G247*Upgrades!$K$8)*POWER(Upgrades!$L$8,G247)))*(IF(Upgrades!$T$6="Stellar Coupling",POWER(Upgrades!$U$6,E247),1)*IF(Upgrades!$T$7="Stellar Coupling",POWER(Upgrades!$U$7,F247),1)*IF(Upgrades!$T$9="Stellar Coupling",POWER(Upgrades!$U$9,H247),1)*IF(Upgrades!$T$10="Stellar Coupling",POWER(Upgrades!$U$10,I247),1)*IF(Upgrades!$T$11="Stellar Coupling",POWER(Upgrades!$U$11,J247),1)*IF(Upgrades!$T$12="Stellar Coupling",POWER(Upgrades!$U$12,K247),1))*POWER(Upgrades!$Q$6,E247)*POWER(Upgrades!$Q$7,F247)*POWER(Upgrades!$Q$8,G247)*POWER(Upgrades!$Q$9,H247)*POWER(Upgrades!$Q$10,I247)*POWER(Upgrades!$Q$11,J247)*POWER(Upgrades!$Q$12,K247)*Parameters!$B$10*Parameters!$B$11</f>
        <v>441</v>
      </c>
      <c r="AD247" s="27" t="n">
        <f aca="false">(IF(H247=0,0,(Upgrades!$G$9+H247*Upgrades!$H$9)*POWER(Upgrades!$I$9,H247)))*(IF(Upgrades!$T$6="Magnetosphere",POWER(Upgrades!$U$6,E247),1)*IF(Upgrades!$T$7="Magnetosphere",POWER(Upgrades!$U$7,F247),1)*IF(Upgrades!$T$8="Magnetosphere",POWER(Upgrades!$U$8,G247),1)*IF(Upgrades!$T$10="Magnetosphere",POWER(Upgrades!$U$10,I247),1)*IF(Upgrades!$T$11="Magnetosphere",POWER(Upgrades!$U$11,J247),1)*IF(Upgrades!$T$12="Magnetosphere",POWER(Upgrades!$U$12,K247),1))*POWER(Upgrades!$P$6,E247)*POWER(Upgrades!$P$7,F247)*POWER(Upgrades!$P$8,G247)*POWER(Upgrades!$P$9,H247)*POWER(Upgrades!$P$10,I247)*POWER(Upgrades!$P$11,J247)*POWER(Upgrades!$P$12,K247)*60</f>
        <v>375</v>
      </c>
      <c r="AE247" s="27" t="n">
        <f aca="false">(IF(K247=0,0,(Upgrades!$G$12+K247*Upgrades!$H$12)*POWER(Upgrades!$I$12,K247)))*(IF(Upgrades!$T$6="First Photons",POWER(Upgrades!$U$6,E247),1)*IF(Upgrades!$T$7="First Photons",POWER(Upgrades!$U$7,F247),1)*IF(Upgrades!$T$8="First Photons",POWER(Upgrades!$U$8,G247),1)*IF(Upgrades!$T$9="First Photons",POWER(Upgrades!$U$9,H247),1)*IF(Upgrades!$T$10="First Photons",POWER(Upgrades!$U$10,I247),1)*IF(Upgrades!$T$11="First Photons",POWER(Upgrades!$U$11,J247),1))*POWER(Upgrades!$P$6,E247)*POWER(Upgrades!$P$7,F247)*POWER(Upgrades!$P$8,G247)*POWER(Upgrades!$P$9,H247)*POWER(Upgrades!$P$10,I247)*POWER(Upgrades!$P$11,J247)*POWER(Upgrades!$P$12,K247)*60</f>
        <v>75</v>
      </c>
      <c r="AF247" s="27" t="n">
        <f aca="false">Parameters!$B$9*POWER(Upgrades!$Q$6,E247)*POWER(Upgrades!$Q$7,F247)*POWER(Upgrades!$Q$8,G247)*POWER(Upgrades!$Q$9,H247)*POWER(Upgrades!$Q$10,I247)*POWER(Upgrades!$Q$11,J247)*POWER(Upgrades!$Q$12,K247)*(Parameters!$B$10*Parameters!$B$11+O247*60)</f>
        <v>120</v>
      </c>
      <c r="AG247" s="21" t="n">
        <f aca="false">IF(E247&gt;=Upgrades!$E$6,"",Upgrades!$C$6*POWER(Upgrades!$D$6,E247))</f>
        <v>37.4517507383159</v>
      </c>
      <c r="AH247" s="21" t="n">
        <f aca="false">IF(F247&gt;=Upgrades!$E$7,"",Upgrades!$C$7*POWER(Upgrades!$D$7,F247))</f>
        <v>80.9111547141581</v>
      </c>
      <c r="AI247" s="21" t="n">
        <f aca="false">IF(G247&gt;=Upgrades!$E$8,"",Upgrades!$C$8*POWER(Upgrades!$D$8,G247))</f>
        <v>231.9097088</v>
      </c>
      <c r="AJ247" s="21" t="str">
        <f aca="false">IF(H247&gt;=Upgrades!$E$9,"",Upgrades!$C$9*POWER(Upgrades!$D$9,H247))</f>
        <v/>
      </c>
      <c r="AK247" s="21" t="str">
        <f aca="false">IF(I247&gt;=Upgrades!$E$10,"",Upgrades!$C$10*POWER(Upgrades!$D$10,I247))</f>
        <v/>
      </c>
      <c r="AL247" s="21" t="str">
        <f aca="false">IF(J247&gt;=Upgrades!$E$11,"",Upgrades!$C$11*POWER(Upgrades!$D$11,J247))</f>
        <v/>
      </c>
      <c r="AM247" s="21" t="str">
        <f aca="false">IF(K247&gt;=Upgrades!$E$12,"",Upgrades!$C$12*POWER(Upgrades!$D$12,K247))</f>
        <v/>
      </c>
      <c r="AN247" s="26" t="str">
        <f aca="false">IF(AND(D247&gt;=Parameters!$B$18,(H247&gt;=Upgrades!$E$9)*(K247&gt;=Upgrades!$E$12)=1,L247=0),1,"")</f>
        <v/>
      </c>
      <c r="AO247" s="26" t="str">
        <f aca="false">IF(AND(D247&gt;=Parameters!$B$18,L247=0),1,"")</f>
        <v/>
      </c>
      <c r="AP247" s="21" t="n">
        <f aca="false">MIN(IF(ISNUMBER(AK247),AK247,9000000000000000),IF(ISNUMBER(AL247),AL247,9000000000000000),IF(ISNUMBER(AM247),AM247,9000000000000000))</f>
        <v>9000000000000000</v>
      </c>
      <c r="AQ247" s="21" t="n">
        <f aca="false">MIN(IF(ISNUMBER(AG247),AG247,9000000000000000),IF(ISNUMBER(AH247),AH247,9000000000000000),IF(ISNUMBER(AI247),AI247,9000000000000000),IF(ISNUMBER(AJ247),AJ247,9000000000000000))</f>
        <v>37.4517507383159</v>
      </c>
      <c r="AR247" s="32" t="b">
        <f aca="false">IF(AW247&gt;Parameters!$B$21*(MAX(IF(AND(NOT(AND(AO247=1,AN247&lt;&gt;1)),ISNUMBER(AG247),AG247&lt;=T247),AS247,0),IF(AND(NOT(AND(AO247=1,AN247&lt;&gt;1)),ISNUMBER(AH247),AH247&lt;=T247),AT247,0),IF(AND(NOT(AND(AO247=1,AN247&lt;&gt;1)),ISNUMBER(AI247),AI247&lt;=T247),AU247,0),IF(AND(ISNUMBER(AJ247),AJ247&lt;=T247),AV247,0))),TRUE(),FALSE())</f>
        <v>1</v>
      </c>
      <c r="AS247" s="33" t="n">
        <f aca="false">IFERROR(Upgrades!$H$6*(POWER(Upgrades!$P$6,E247)*POWER(Upgrades!$P$7,F247)*POWER(Upgrades!$P$8,G247)*POWER(Upgrades!$P$9,H247)*POWER(Upgrades!$P$10,I247)*POWER(Upgrades!$P$11,J247)*POWER(Upgrades!$P$12,K247))*(IF(Upgrades!$T$7="Solar Wind",POWER(Upgrades!$U$7,F247),1)*IF(Upgrades!$T$8="Solar Wind",POWER(Upgrades!$U$8,G247),1)*IF(Upgrades!$T$9="Solar Wind",POWER(Upgrades!$U$9,H247),1)*IF(Upgrades!$T$10="Solar Wind",POWER(Upgrades!$U$10,I247),1)*IF(Upgrades!$T$11="Solar Wind",POWER(Upgrades!$U$11,J247),1)*IF(Upgrades!$T$12="Solar Wind",POWER(Upgrades!$U$12,K247),1))/AG247,0)</f>
        <v>0.0026701021455238</v>
      </c>
      <c r="AT247" s="33" t="n">
        <f aca="false">IFERROR(Upgrades!$H$7*(POWER(Upgrades!$P$6,E247)*POWER(Upgrades!$P$7,F247)*POWER(Upgrades!$P$8,G247)*POWER(Upgrades!$P$9,H247)*POWER(Upgrades!$P$10,I247)*POWER(Upgrades!$P$11,J247)*POWER(Upgrades!$P$12,K247))*(IF(Upgrades!$T$6="Asteroid Belt",POWER(Upgrades!$U$6,E247),1)*IF(Upgrades!$T$8="Asteroid Belt",POWER(Upgrades!$U$8,G247),1)*IF(Upgrades!$T$9="Asteroid Belt",POWER(Upgrades!$U$9,H247),1)*IF(Upgrades!$T$10="Asteroid Belt",POWER(Upgrades!$U$10,I247),1)*IF(Upgrades!$T$11="Asteroid Belt",POWER(Upgrades!$U$11,J247),1)*IF(Upgrades!$T$12="Asteroid Belt",POWER(Upgrades!$U$12,K247),1))/AH247,0)</f>
        <v>0.00308980882652332</v>
      </c>
      <c r="AU247" s="33" t="n">
        <f aca="false">IFERROR(Upgrades!$K$8*(POWER(Upgrades!$Q$6,E247)*POWER(Upgrades!$Q$7,F247)*POWER(Upgrades!$Q$8,G247)*POWER(Upgrades!$Q$9,H247)*POWER(Upgrades!$Q$10,I247)*POWER(Upgrades!$Q$11,J247)*POWER(Upgrades!$Q$12,K247))*(IF(Upgrades!$T$6="Stellar Coupling",POWER(Upgrades!$U$6,E247),1)*IF(Upgrades!$T$7="Stellar Coupling",POWER(Upgrades!$U$7,F247),1)*IF(Upgrades!$T$9="Stellar Coupling",POWER(Upgrades!$U$9,H247),1)*IF(Upgrades!$T$10="Stellar Coupling",POWER(Upgrades!$U$10,I247),1)*IF(Upgrades!$T$11="Stellar Coupling",POWER(Upgrades!$U$11,J247),1)*IF(Upgrades!$T$12="Stellar Coupling",POWER(Upgrades!$U$12,K247),1))*Parameters!$B$10*Parameters!$B$11/60/AI247,0)</f>
        <v>0.00452762415783776</v>
      </c>
      <c r="AV247" s="33" t="n">
        <f aca="false">IFERROR(Upgrades!$H$9*(POWER(Upgrades!$P$6,E247)*POWER(Upgrades!$P$7,F247)*POWER(Upgrades!$P$8,G247)*POWER(Upgrades!$P$9,H247)*POWER(Upgrades!$P$10,I247)*POWER(Upgrades!$P$11,J247)*POWER(Upgrades!$P$12,K247))*(IF(Upgrades!$T$6="Magnetosphere",POWER(Upgrades!$U$6,E247),1)*IF(Upgrades!$T$7="Magnetosphere",POWER(Upgrades!$U$7,F247),1)*IF(Upgrades!$T$8="Magnetosphere",POWER(Upgrades!$U$8,G247),1)*IF(Upgrades!$T$10="Magnetosphere",POWER(Upgrades!$U$10,I247),1)*IF(Upgrades!$T$11="Magnetosphere",POWER(Upgrades!$U$11,J247),1)*IF(Upgrades!$T$12="Magnetosphere",POWER(Upgrades!$U$12,K247),1))/AJ247,0)</f>
        <v>0</v>
      </c>
      <c r="AW247" s="33" t="n">
        <f aca="false">MAX(IF(I247&gt;0,0,IFERROR(0.25*N247/Upgrades!$C$10,0)),IF(J247&gt;0,0,IFERROR(0.5*((IF(G247=0,0,(Upgrades!$J$8+G247*Upgrades!$K$8)*POWER(Upgrades!$L$8,G247)))*(IF(Upgrades!$T$6="Stellar Coupling",POWER(Upgrades!$U$6,E247),1)*IF(Upgrades!$T$7="Stellar Coupling",POWER(Upgrades!$U$7,F247),1)*IF(Upgrades!$T$9="Stellar Coupling",POWER(Upgrades!$U$9,H247),1)*IF(Upgrades!$T$10="Stellar Coupling",POWER(Upgrades!$U$10,I247),1)*IF(Upgrades!$T$11="Stellar Coupling",POWER(Upgrades!$U$11,J247),1)*IF(Upgrades!$T$12="Stellar Coupling",POWER(Upgrades!$U$12,K247),1))*(POWER(Upgrades!$Q$6,E247)*POWER(Upgrades!$Q$7,F247)*POWER(Upgrades!$Q$8,G247)*POWER(Upgrades!$Q$9,H247)*POWER(Upgrades!$Q$10,I247)*POWER(Upgrades!$Q$11,J247)*POWER(Upgrades!$Q$12,K247))*Parameters!$B$10*Parameters!$B$11/60)/Upgrades!$C$11,0)),IF(K247&gt;0,0,IFERROR((1*(POWER(Upgrades!$P$6,E247)*POWER(Upgrades!$P$7,F247)*POWER(Upgrades!$P$8,G247)*POWER(Upgrades!$P$9,H247)*POWER(Upgrades!$P$10,I247)*POWER(Upgrades!$P$11,J247)*POWER(Upgrades!$P$12,K247))+0.2*M247*Parameters!$B$10*Parameters!$B$11/60)/Upgrades!$C$12,0)),IF(AND(ISNUMBER(AG247),AG247&gt;T247),AS247,0),IF(AND(ISNUMBER(AH247),AH247&gt;T247),AT247,0),IF(AND(ISNUMBER(AI247),AI247&gt;T247),AU247,0),IF(AND(ISNUMBER(AJ247),AJ247&gt;T247),AV247,0))</f>
        <v>0.00452762415783776</v>
      </c>
      <c r="AX247" s="29" t="str">
        <f aca="false">IF(AN247=1,"transition",IF(MIN(IF(AND(I247=0,ISNUMBER(AK247),AK247&lt;=T247),AK247,9000000000000000),IF(AND(J247=0,ISNUMBER(AL247),AL247&lt;=T247),AL247,9000000000000000),IF(AND(K247=0,ISNUMBER(AM247),AM247&lt;=T247),AM247,9000000000000000))&lt;9000000000000000,IF(AND(AND(I247=0,ISNUMBER(AK247),AK247&lt;=T247),AK247=MIN(IF(AND(I247=0,ISNUMBER(AK247),AK247&lt;=T247),AK247,9000000000000000),IF(AND(J247=0,ISNUMBER(AL247),AL247&lt;=T247),AL247,9000000000000000),IF(AND(K247=0,ISNUMBER(AM247),AM247&lt;=T247),AM247,9000000000000000))),"OR",IF(AND(AND(J247=0,ISNUMBER(AL247),AL247&lt;=T247),AL247=MIN(IF(AND(I247=0,ISNUMBER(AK247),AK247&lt;=T247),AK247,9000000000000000),IF(AND(J247=0,ISNUMBER(AL247),AL247&lt;=T247),AL247,9000000000000000),IF(AND(K247=0,ISNUMBER(AM247),AM247&lt;=T247),AM247,9000000000000000))),"HP","FP")),IF(AR247=TRUE(),"",IF(MAX(IF(AND(NOT(AND(AO247=1,AN247&lt;&gt;1)),ISNUMBER(AG247),AG247&lt;=T247),AS247,0),IF(AND(NOT(AND(AO247=1,AN247&lt;&gt;1)),ISNUMBER(AH247),AH247&lt;=T247),AT247,0),IF(AND(NOT(AND(AO247=1,AN247&lt;&gt;1)),ISNUMBER(AI247),AI247&lt;=T247),AU247,0),IF(AND(ISNUMBER(AJ247),AJ247&lt;=T247),AV247,0))&lt;=0,"",IF(AND(IF(AND(NOT(AND(AO247=1,AN247&lt;&gt;1)),ISNUMBER(AG247),AG247&lt;=T247),AS247,0)&gt;0,IF(AND(NOT(AND(AO247=1,AN247&lt;&gt;1)),ISNUMBER(AG247),AG247&lt;=T247),AS247,0)=MAX(IF(AND(NOT(AND(AO247=1,AN247&lt;&gt;1)),ISNUMBER(AG247),AG247&lt;=T247),AS247,0),IF(AND(NOT(AND(AO247=1,AN247&lt;&gt;1)),ISNUMBER(AH247),AH247&lt;=T247),AT247,0),IF(AND(NOT(AND(AO247=1,AN247&lt;&gt;1)),ISNUMBER(AI247),AI247&lt;=T247),AU247,0),IF(AND(ISNUMBER(AJ247),AJ247&lt;=T247),AV247,0))),"SW",IF(AND(IF(AND(NOT(AND(AO247=1,AN247&lt;&gt;1)),ISNUMBER(AH247),AH247&lt;=T247),AT247,0)&gt;0,IF(AND(NOT(AND(AO247=1,AN247&lt;&gt;1)),ISNUMBER(AH247),AH247&lt;=T247),AT247,0)=MAX(IF(AND(NOT(AND(AO247=1,AN247&lt;&gt;1)),ISNUMBER(AG247),AG247&lt;=T247),AS247,0),IF(AND(NOT(AND(AO247=1,AN247&lt;&gt;1)),ISNUMBER(AH247),AH247&lt;=T247),AT247,0),IF(AND(NOT(AND(AO247=1,AN247&lt;&gt;1)),ISNUMBER(AI247),AI247&lt;=T247),AU247,0),IF(AND(ISNUMBER(AJ247),AJ247&lt;=T247),AV247,0))),"AB",IF(AND(IF(AND(NOT(AND(AO247=1,AN247&lt;&gt;1)),ISNUMBER(AI247),AI247&lt;=T247),AU247,0)&gt;0,IF(AND(NOT(AND(AO247=1,AN247&lt;&gt;1)),ISNUMBER(AI247),AI247&lt;=T247),AU247,0)=MAX(IF(AND(NOT(AND(AO247=1,AN247&lt;&gt;1)),ISNUMBER(AG247),AG247&lt;=T247),AS247,0),IF(AND(NOT(AND(AO247=1,AN247&lt;&gt;1)),ISNUMBER(AH247),AH247&lt;=T247),AT247,0),IF(AND(NOT(AND(AO247=1,AN247&lt;&gt;1)),ISNUMBER(AI247),AI247&lt;=T247),AU247,0),IF(AND(ISNUMBER(AJ247),AJ247&lt;=T247),AV247,0))),"SC","Mag")))))))</f>
        <v/>
      </c>
    </row>
    <row r="248" customFormat="false" ht="15" hidden="false" customHeight="false" outlineLevel="0" collapsed="false">
      <c r="A248" s="26" t="n">
        <v>243</v>
      </c>
      <c r="B248" s="27" t="n">
        <f aca="false">A248*10/60</f>
        <v>40.5</v>
      </c>
      <c r="C248" s="21" t="n">
        <f aca="false">X247</f>
        <v>18.6730249835055</v>
      </c>
      <c r="D248" s="27" t="n">
        <f aca="false">D247+W247</f>
        <v>0</v>
      </c>
      <c r="E248" s="26" t="n">
        <f aca="false">E247+IF(U247="SW",1,0)</f>
        <v>12</v>
      </c>
      <c r="F248" s="26" t="n">
        <f aca="false">F247+IF(U247="AB",1,0)</f>
        <v>10</v>
      </c>
      <c r="G248" s="26" t="n">
        <f aca="false">G247+IF(U247="SC",1,0)</f>
        <v>7</v>
      </c>
      <c r="H248" s="26" t="n">
        <f aca="false">H247+IF(U247="Mag",1,0)</f>
        <v>5</v>
      </c>
      <c r="I248" s="26" t="n">
        <f aca="false">MAX(I247,IF(U247="OR",1,0))</f>
        <v>1</v>
      </c>
      <c r="J248" s="26" t="n">
        <f aca="false">MAX(J247,IF(U247="HP",1,0))</f>
        <v>1</v>
      </c>
      <c r="K248" s="26" t="n">
        <f aca="false">MAX(K247,IF(U247="FP",1,0))</f>
        <v>1</v>
      </c>
      <c r="L248" s="26" t="n">
        <f aca="false">MAX(L247,IF(U247="transition",1,0))</f>
        <v>1</v>
      </c>
      <c r="M248" s="28" t="n">
        <f aca="false">(Parameters!$B$9+(IF(E248=0,0,(Upgrades!$J$6+E248*Upgrades!$K$6)*POWER(Upgrades!$L$6,E248)))*(IF(Upgrades!$T$7="Solar Wind",POWER(Upgrades!$U$7,F248),1)*IF(Upgrades!$T$8="Solar Wind",POWER(Upgrades!$U$8,G248),1)*IF(Upgrades!$T$9="Solar Wind",POWER(Upgrades!$U$9,H248),1)*IF(Upgrades!$T$10="Solar Wind",POWER(Upgrades!$U$10,I248),1)*IF(Upgrades!$T$11="Solar Wind",POWER(Upgrades!$U$11,J248),1)*IF(Upgrades!$T$12="Solar Wind",POWER(Upgrades!$U$12,K248),1))+(IF(F248=0,0,(Upgrades!$J$7+F248*Upgrades!$K$7)*POWER(Upgrades!$L$7,F248)))*(IF(Upgrades!$T$6="Asteroid Belt",POWER(Upgrades!$U$6,E248),1)*IF(Upgrades!$T$8="Asteroid Belt",POWER(Upgrades!$U$8,G248),1)*IF(Upgrades!$T$9="Asteroid Belt",POWER(Upgrades!$U$9,H248),1)*IF(Upgrades!$T$10="Asteroid Belt",POWER(Upgrades!$U$10,I248),1)*IF(Upgrades!$T$11="Asteroid Belt",POWER(Upgrades!$U$11,J248),1)*IF(Upgrades!$T$12="Asteroid Belt",POWER(Upgrades!$U$12,K248),1))+(IF(G248=0,0,(Upgrades!$J$8+G248*Upgrades!$K$8)*POWER(Upgrades!$L$8,G248)))*(IF(Upgrades!$T$6="Stellar Coupling",POWER(Upgrades!$U$6,E248),1)*IF(Upgrades!$T$7="Stellar Coupling",POWER(Upgrades!$U$7,F248),1)*IF(Upgrades!$T$9="Stellar Coupling",POWER(Upgrades!$U$9,H248),1)*IF(Upgrades!$T$10="Stellar Coupling",POWER(Upgrades!$U$10,I248),1)*IF(Upgrades!$T$11="Stellar Coupling",POWER(Upgrades!$U$11,J248),1)*IF(Upgrades!$T$12="Stellar Coupling",POWER(Upgrades!$U$12,K248),1))+(IF(H248=0,0,(Upgrades!$J$9+H248*Upgrades!$K$9)*POWER(Upgrades!$L$9,H248)))*(IF(Upgrades!$T$6="Magnetosphere",POWER(Upgrades!$U$6,E248),1)*IF(Upgrades!$T$7="Magnetosphere",POWER(Upgrades!$U$7,F248),1)*IF(Upgrades!$T$8="Magnetosphere",POWER(Upgrades!$U$8,G248),1)*IF(Upgrades!$T$10="Magnetosphere",POWER(Upgrades!$U$10,I248),1)*IF(Upgrades!$T$11="Magnetosphere",POWER(Upgrades!$U$11,J248),1)*IF(Upgrades!$T$12="Magnetosphere",POWER(Upgrades!$U$12,K248),1))+(IF(I248=0,0,(Upgrades!$J$10+I248*Upgrades!$K$10)*POWER(Upgrades!$L$10,I248)))*(IF(Upgrades!$T$6="Orbital Resonance",POWER(Upgrades!$U$6,E248),1)*IF(Upgrades!$T$7="Orbital Resonance",POWER(Upgrades!$U$7,F248),1)*IF(Upgrades!$T$8="Orbital Resonance",POWER(Upgrades!$U$8,G248),1)*IF(Upgrades!$T$9="Orbital Resonance",POWER(Upgrades!$U$9,H248),1)*IF(Upgrades!$T$11="Orbital Resonance",POWER(Upgrades!$U$11,J248),1)*IF(Upgrades!$T$12="Orbital Resonance",POWER(Upgrades!$U$12,K248),1))+(IF(J248=0,0,(Upgrades!$J$11+J248*Upgrades!$K$11)*POWER(Upgrades!$L$11,J248)))*(IF(Upgrades!$T$6="Heliopause",POWER(Upgrades!$U$6,E248),1)*IF(Upgrades!$T$7="Heliopause",POWER(Upgrades!$U$7,F248),1)*IF(Upgrades!$T$8="Heliopause",POWER(Upgrades!$U$8,G248),1)*IF(Upgrades!$T$9="Heliopause",POWER(Upgrades!$U$9,H248),1)*IF(Upgrades!$T$10="Heliopause",POWER(Upgrades!$U$10,I248),1)*IF(Upgrades!$T$12="Heliopause",POWER(Upgrades!$U$12,K248),1))+(IF(K248=0,0,(Upgrades!$J$12+K248*Upgrades!$K$12)*POWER(Upgrades!$L$12,K248)))*(IF(Upgrades!$T$6="First Photons",POWER(Upgrades!$U$6,E248),1)*IF(Upgrades!$T$7="First Photons",POWER(Upgrades!$U$7,F248),1)*IF(Upgrades!$T$8="First Photons",POWER(Upgrades!$U$8,G248),1)*IF(Upgrades!$T$9="First Photons",POWER(Upgrades!$U$9,H248),1)*IF(Upgrades!$T$10="First Photons",POWER(Upgrades!$U$10,I248),1)*IF(Upgrades!$T$11="First Photons",POWER(Upgrades!$U$11,J248),1)))*POWER(Upgrades!$Q$6,E248)*POWER(Upgrades!$Q$7,F248)*POWER(Upgrades!$Q$8,G248)*POWER(Upgrades!$Q$9,H248)*POWER(Upgrades!$Q$10,I248)*POWER(Upgrades!$Q$11,J248)*POWER(Upgrades!$Q$12,K248)</f>
        <v>5.61</v>
      </c>
      <c r="N248" s="28" t="n">
        <f aca="false">((IF(E248=0,0,(Upgrades!$G$6+E248*Upgrades!$H$6)*POWER(Upgrades!$I$6,E248)))*(IF(Upgrades!$T$7="Solar Wind",POWER(Upgrades!$U$7,F248),1)*IF(Upgrades!$T$8="Solar Wind",POWER(Upgrades!$U$8,G248),1)*IF(Upgrades!$T$9="Solar Wind",POWER(Upgrades!$U$9,H248),1)*IF(Upgrades!$T$10="Solar Wind",POWER(Upgrades!$U$10,I248),1)*IF(Upgrades!$T$11="Solar Wind",POWER(Upgrades!$U$11,J248),1)*IF(Upgrades!$T$12="Solar Wind",POWER(Upgrades!$U$12,K248),1))+(IF(F248=0,0,(Upgrades!$G$7+F248*Upgrades!$H$7)*POWER(Upgrades!$I$7,F248)))*(IF(Upgrades!$T$6="Asteroid Belt",POWER(Upgrades!$U$6,E248),1)*IF(Upgrades!$T$8="Asteroid Belt",POWER(Upgrades!$U$8,G248),1)*IF(Upgrades!$T$9="Asteroid Belt",POWER(Upgrades!$U$9,H248),1)*IF(Upgrades!$T$10="Asteroid Belt",POWER(Upgrades!$U$10,I248),1)*IF(Upgrades!$T$11="Asteroid Belt",POWER(Upgrades!$U$11,J248),1)*IF(Upgrades!$T$12="Asteroid Belt",POWER(Upgrades!$U$12,K248),1))+(IF(G248=0,0,(Upgrades!$G$8+G248*Upgrades!$H$8)*POWER(Upgrades!$I$8,G248)))*(IF(Upgrades!$T$6="Stellar Coupling",POWER(Upgrades!$U$6,E248),1)*IF(Upgrades!$T$7="Stellar Coupling",POWER(Upgrades!$U$7,F248),1)*IF(Upgrades!$T$9="Stellar Coupling",POWER(Upgrades!$U$9,H248),1)*IF(Upgrades!$T$10="Stellar Coupling",POWER(Upgrades!$U$10,I248),1)*IF(Upgrades!$T$11="Stellar Coupling",POWER(Upgrades!$U$11,J248),1)*IF(Upgrades!$T$12="Stellar Coupling",POWER(Upgrades!$U$12,K248),1))+(IF(H248=0,0,(Upgrades!$G$9+H248*Upgrades!$H$9)*POWER(Upgrades!$I$9,H248)))*(IF(Upgrades!$T$6="Magnetosphere",POWER(Upgrades!$U$6,E248),1)*IF(Upgrades!$T$7="Magnetosphere",POWER(Upgrades!$U$7,F248),1)*IF(Upgrades!$T$8="Magnetosphere",POWER(Upgrades!$U$8,G248),1)*IF(Upgrades!$T$10="Magnetosphere",POWER(Upgrades!$U$10,I248),1)*IF(Upgrades!$T$11="Magnetosphere",POWER(Upgrades!$U$11,J248),1)*IF(Upgrades!$T$12="Magnetosphere",POWER(Upgrades!$U$12,K248),1))+(IF(I248=0,0,(Upgrades!$G$10+I248*Upgrades!$H$10)*POWER(Upgrades!$I$10,I248)))*(IF(Upgrades!$T$6="Orbital Resonance",POWER(Upgrades!$U$6,E248),1)*IF(Upgrades!$T$7="Orbital Resonance",POWER(Upgrades!$U$7,F248),1)*IF(Upgrades!$T$8="Orbital Resonance",POWER(Upgrades!$U$8,G248),1)*IF(Upgrades!$T$9="Orbital Resonance",POWER(Upgrades!$U$9,H248),1)*IF(Upgrades!$T$11="Orbital Resonance",POWER(Upgrades!$U$11,J248),1)*IF(Upgrades!$T$12="Orbital Resonance",POWER(Upgrades!$U$12,K248),1))+(IF(J248=0,0,(Upgrades!$G$11+J248*Upgrades!$H$11)*POWER(Upgrades!$I$11,J248)))*(IF(Upgrades!$T$6="Heliopause",POWER(Upgrades!$U$6,E248),1)*IF(Upgrades!$T$7="Heliopause",POWER(Upgrades!$U$7,F248),1)*IF(Upgrades!$T$8="Heliopause",POWER(Upgrades!$U$8,G248),1)*IF(Upgrades!$T$9="Heliopause",POWER(Upgrades!$U$9,H248),1)*IF(Upgrades!$T$10="Heliopause",POWER(Upgrades!$U$10,I248),1)*IF(Upgrades!$T$12="Heliopause",POWER(Upgrades!$U$12,K248),1))+(IF(K248=0,0,(Upgrades!$G$12+K248*Upgrades!$H$12)*POWER(Upgrades!$I$12,K248)))*(IF(Upgrades!$T$6="First Photons",POWER(Upgrades!$U$6,E248),1)*IF(Upgrades!$T$7="First Photons",POWER(Upgrades!$U$7,F248),1)*IF(Upgrades!$T$8="First Photons",POWER(Upgrades!$U$8,G248),1)*IF(Upgrades!$T$9="First Photons",POWER(Upgrades!$U$9,H248),1)*IF(Upgrades!$T$10="First Photons",POWER(Upgrades!$U$10,I248),1)*IF(Upgrades!$T$11="First Photons",POWER(Upgrades!$U$11,J248),1)))*POWER(Upgrades!$P$6,E248)*POWER(Upgrades!$P$7,F248)*POWER(Upgrades!$P$8,G248)*POWER(Upgrades!$P$9,H248)*POWER(Upgrades!$P$10,I248)*POWER(Upgrades!$P$11,J248)*POWER(Upgrades!$P$12,K248)</f>
        <v>11.2</v>
      </c>
      <c r="O248" s="28" t="n">
        <f aca="false">((IF(E248=0,0,(Upgrades!$M$6+E248*Upgrades!$N$6)*POWER(Upgrades!$O$6,E248)))*(IF(Upgrades!$T$7="Solar Wind",POWER(Upgrades!$U$7,F248),1)*IF(Upgrades!$T$8="Solar Wind",POWER(Upgrades!$U$8,G248),1)*IF(Upgrades!$T$9="Solar Wind",POWER(Upgrades!$U$9,H248),1)*IF(Upgrades!$T$10="Solar Wind",POWER(Upgrades!$U$10,I248),1)*IF(Upgrades!$T$11="Solar Wind",POWER(Upgrades!$U$11,J248),1)*IF(Upgrades!$T$12="Solar Wind",POWER(Upgrades!$U$12,K248),1))+(IF(F248=0,0,(Upgrades!$M$7+F248*Upgrades!$N$7)*POWER(Upgrades!$O$7,F248)))*(IF(Upgrades!$T$6="Asteroid Belt",POWER(Upgrades!$U$6,E248),1)*IF(Upgrades!$T$8="Asteroid Belt",POWER(Upgrades!$U$8,G248),1)*IF(Upgrades!$T$9="Asteroid Belt",POWER(Upgrades!$U$9,H248),1)*IF(Upgrades!$T$10="Asteroid Belt",POWER(Upgrades!$U$10,I248),1)*IF(Upgrades!$T$11="Asteroid Belt",POWER(Upgrades!$U$11,J248),1)*IF(Upgrades!$T$12="Asteroid Belt",POWER(Upgrades!$U$12,K248),1))+(IF(G248=0,0,(Upgrades!$M$8+G248*Upgrades!$N$8)*POWER(Upgrades!$O$8,G248)))*(IF(Upgrades!$T$6="Stellar Coupling",POWER(Upgrades!$U$6,E248),1)*IF(Upgrades!$T$7="Stellar Coupling",POWER(Upgrades!$U$7,F248),1)*IF(Upgrades!$T$9="Stellar Coupling",POWER(Upgrades!$U$9,H248),1)*IF(Upgrades!$T$10="Stellar Coupling",POWER(Upgrades!$U$10,I248),1)*IF(Upgrades!$T$11="Stellar Coupling",POWER(Upgrades!$U$11,J248),1)*IF(Upgrades!$T$12="Stellar Coupling",POWER(Upgrades!$U$12,K248),1))+(IF(H248=0,0,(Upgrades!$M$9+H248*Upgrades!$N$9)*POWER(Upgrades!$O$9,H248)))*(IF(Upgrades!$T$6="Magnetosphere",POWER(Upgrades!$U$6,E248),1)*IF(Upgrades!$T$7="Magnetosphere",POWER(Upgrades!$U$7,F248),1)*IF(Upgrades!$T$8="Magnetosphere",POWER(Upgrades!$U$8,G248),1)*IF(Upgrades!$T$10="Magnetosphere",POWER(Upgrades!$U$10,I248),1)*IF(Upgrades!$T$11="Magnetosphere",POWER(Upgrades!$U$11,J248),1)*IF(Upgrades!$T$12="Magnetosphere",POWER(Upgrades!$U$12,K248),1))+(IF(I248=0,0,(Upgrades!$M$10+I248*Upgrades!$N$10)*POWER(Upgrades!$O$10,I248)))*(IF(Upgrades!$T$6="Orbital Resonance",POWER(Upgrades!$U$6,E248),1)*IF(Upgrades!$T$7="Orbital Resonance",POWER(Upgrades!$U$7,F248),1)*IF(Upgrades!$T$8="Orbital Resonance",POWER(Upgrades!$U$8,G248),1)*IF(Upgrades!$T$9="Orbital Resonance",POWER(Upgrades!$U$9,H248),1)*IF(Upgrades!$T$11="Orbital Resonance",POWER(Upgrades!$U$11,J248),1)*IF(Upgrades!$T$12="Orbital Resonance",POWER(Upgrades!$U$12,K248),1))+(IF(J248=0,0,(Upgrades!$M$11+J248*Upgrades!$N$11)*POWER(Upgrades!$O$11,J248)))*(IF(Upgrades!$T$6="Heliopause",POWER(Upgrades!$U$6,E248),1)*IF(Upgrades!$T$7="Heliopause",POWER(Upgrades!$U$7,F248),1)*IF(Upgrades!$T$8="Heliopause",POWER(Upgrades!$U$8,G248),1)*IF(Upgrades!$T$9="Heliopause",POWER(Upgrades!$U$9,H248),1)*IF(Upgrades!$T$10="Heliopause",POWER(Upgrades!$U$10,I248),1)*IF(Upgrades!$T$12="Heliopause",POWER(Upgrades!$U$12,K248),1))+(IF(K248=0,0,(Upgrades!$M$12+K248*Upgrades!$N$12)*POWER(Upgrades!$O$12,K248)))*(IF(Upgrades!$T$6="First Photons",POWER(Upgrades!$U$6,E248),1)*IF(Upgrades!$T$7="First Photons",POWER(Upgrades!$U$7,F248),1)*IF(Upgrades!$T$8="First Photons",POWER(Upgrades!$U$8,G248),1)*IF(Upgrades!$T$9="First Photons",POWER(Upgrades!$U$9,H248),1)*IF(Upgrades!$T$10="First Photons",POWER(Upgrades!$U$10,I248),1)*IF(Upgrades!$T$11="First Photons",POWER(Upgrades!$U$11,J248),1)))*POWER(Upgrades!$R$6,E248)*POWER(Upgrades!$R$7,F248)*POWER(Upgrades!$R$8,G248)*POWER(Upgrades!$R$9,H248)*POWER(Upgrades!$R$10,I248)*POWER(Upgrades!$R$11,J248)*POWER(Upgrades!$R$12,K248)</f>
        <v>0</v>
      </c>
      <c r="P248" s="27" t="n">
        <f aca="false">IF(L248=1,0,M248*Parameters!$B$10/60*Parameters!$B$11*10)</f>
        <v>0</v>
      </c>
      <c r="Q248" s="27" t="n">
        <f aca="false">IF(L248=1,0,O248*M248*10)</f>
        <v>0</v>
      </c>
      <c r="R248" s="27" t="n">
        <f aca="false">IF(L248=1,0,N248*10)</f>
        <v>0</v>
      </c>
      <c r="S248" s="27" t="n">
        <f aca="false">P248+Q248+R248</f>
        <v>0</v>
      </c>
      <c r="T248" s="21" t="n">
        <f aca="false">C248+S248</f>
        <v>18.6730249835055</v>
      </c>
      <c r="U248" s="34" t="str">
        <f aca="false">AX248</f>
        <v/>
      </c>
      <c r="V248" s="21" t="n">
        <f aca="false">IF(U248="",0,IF(U248="transition",0,IF(U248="SW",AG248,IF(U248="AB",AH248,IF(U248="SC",AI248,IF(U248="Mag",AJ248,IF(U248="OR",AK248,IF(U248="HP",AL248,IF(U248="FP",AM248,0)))))))))</f>
        <v>0</v>
      </c>
      <c r="W248" s="27" t="n">
        <f aca="false">IF(U248="OR",Upgrades!$F$10,IF(U248="HP",Upgrades!$F$11,IF(U248="transition",-Parameters!$B$18,0)))</f>
        <v>0</v>
      </c>
      <c r="X248" s="21" t="n">
        <f aca="false">T248-V248</f>
        <v>18.6730249835055</v>
      </c>
      <c r="Y248" s="30" t="n">
        <f aca="false">M248*Parameters!$B$10/60*Parameters!$B$11+O248*M248+N248</f>
        <v>20.55</v>
      </c>
      <c r="Z248" s="35" t="str">
        <f aca="false">IF(U248="transition","→ Tier 2 (Stellar Neighborhood)",IF(U248="FP","First Photons — light begins, system quickens",IF(U248="HP","Heliopause acquired",IF(U248="OR","Orbital Resonance — passive multiplier active",IF(AND(AO248=1,L248=0,AN248&lt;&gt;1),"Cohesion ready (waiting on completionist upgrades)","")))))</f>
        <v/>
      </c>
      <c r="AA248" s="27" t="n">
        <f aca="false">(IF(E248=0,0,(Upgrades!$G$6+E248*Upgrades!$H$6)*POWER(Upgrades!$I$6,E248)))*(IF(Upgrades!$T$7="Solar Wind",POWER(Upgrades!$U$7,F248),1)*IF(Upgrades!$T$8="Solar Wind",POWER(Upgrades!$U$8,G248),1)*IF(Upgrades!$T$9="Solar Wind",POWER(Upgrades!$U$9,H248),1)*IF(Upgrades!$T$10="Solar Wind",POWER(Upgrades!$U$10,I248),1)*IF(Upgrades!$T$11="Solar Wind",POWER(Upgrades!$U$11,J248),1)*IF(Upgrades!$T$12="Solar Wind",POWER(Upgrades!$U$12,K248),1))*POWER(Upgrades!$P$6,E248)*POWER(Upgrades!$P$7,F248)*POWER(Upgrades!$P$8,G248)*POWER(Upgrades!$P$9,H248)*POWER(Upgrades!$P$10,I248)*POWER(Upgrades!$P$11,J248)*POWER(Upgrades!$P$12,K248)*60</f>
        <v>72</v>
      </c>
      <c r="AB248" s="27" t="n">
        <f aca="false">(IF(F248=0,0,(Upgrades!$G$7+F248*Upgrades!$H$7)*POWER(Upgrades!$I$7,F248)))*(IF(Upgrades!$T$6="Asteroid Belt",POWER(Upgrades!$U$6,E248),1)*IF(Upgrades!$T$8="Asteroid Belt",POWER(Upgrades!$U$8,G248),1)*IF(Upgrades!$T$9="Asteroid Belt",POWER(Upgrades!$U$9,H248),1)*IF(Upgrades!$T$10="Asteroid Belt",POWER(Upgrades!$U$10,I248),1)*IF(Upgrades!$T$11="Asteroid Belt",POWER(Upgrades!$U$11,J248),1)*IF(Upgrades!$T$12="Asteroid Belt",POWER(Upgrades!$U$12,K248),1))*POWER(Upgrades!$P$6,E248)*POWER(Upgrades!$P$7,F248)*POWER(Upgrades!$P$8,G248)*POWER(Upgrades!$P$9,H248)*POWER(Upgrades!$P$10,I248)*POWER(Upgrades!$P$11,J248)*POWER(Upgrades!$P$12,K248)*60</f>
        <v>150</v>
      </c>
      <c r="AC248" s="27" t="n">
        <f aca="false">(IF(G248=0,0,(Upgrades!$J$8+G248*Upgrades!$K$8)*POWER(Upgrades!$L$8,G248)))*(IF(Upgrades!$T$6="Stellar Coupling",POWER(Upgrades!$U$6,E248),1)*IF(Upgrades!$T$7="Stellar Coupling",POWER(Upgrades!$U$7,F248),1)*IF(Upgrades!$T$9="Stellar Coupling",POWER(Upgrades!$U$9,H248),1)*IF(Upgrades!$T$10="Stellar Coupling",POWER(Upgrades!$U$10,I248),1)*IF(Upgrades!$T$11="Stellar Coupling",POWER(Upgrades!$U$11,J248),1)*IF(Upgrades!$T$12="Stellar Coupling",POWER(Upgrades!$U$12,K248),1))*POWER(Upgrades!$Q$6,E248)*POWER(Upgrades!$Q$7,F248)*POWER(Upgrades!$Q$8,G248)*POWER(Upgrades!$Q$9,H248)*POWER(Upgrades!$Q$10,I248)*POWER(Upgrades!$Q$11,J248)*POWER(Upgrades!$Q$12,K248)*Parameters!$B$10*Parameters!$B$11</f>
        <v>441</v>
      </c>
      <c r="AD248" s="27" t="n">
        <f aca="false">(IF(H248=0,0,(Upgrades!$G$9+H248*Upgrades!$H$9)*POWER(Upgrades!$I$9,H248)))*(IF(Upgrades!$T$6="Magnetosphere",POWER(Upgrades!$U$6,E248),1)*IF(Upgrades!$T$7="Magnetosphere",POWER(Upgrades!$U$7,F248),1)*IF(Upgrades!$T$8="Magnetosphere",POWER(Upgrades!$U$8,G248),1)*IF(Upgrades!$T$10="Magnetosphere",POWER(Upgrades!$U$10,I248),1)*IF(Upgrades!$T$11="Magnetosphere",POWER(Upgrades!$U$11,J248),1)*IF(Upgrades!$T$12="Magnetosphere",POWER(Upgrades!$U$12,K248),1))*POWER(Upgrades!$P$6,E248)*POWER(Upgrades!$P$7,F248)*POWER(Upgrades!$P$8,G248)*POWER(Upgrades!$P$9,H248)*POWER(Upgrades!$P$10,I248)*POWER(Upgrades!$P$11,J248)*POWER(Upgrades!$P$12,K248)*60</f>
        <v>375</v>
      </c>
      <c r="AE248" s="27" t="n">
        <f aca="false">(IF(K248=0,0,(Upgrades!$G$12+K248*Upgrades!$H$12)*POWER(Upgrades!$I$12,K248)))*(IF(Upgrades!$T$6="First Photons",POWER(Upgrades!$U$6,E248),1)*IF(Upgrades!$T$7="First Photons",POWER(Upgrades!$U$7,F248),1)*IF(Upgrades!$T$8="First Photons",POWER(Upgrades!$U$8,G248),1)*IF(Upgrades!$T$9="First Photons",POWER(Upgrades!$U$9,H248),1)*IF(Upgrades!$T$10="First Photons",POWER(Upgrades!$U$10,I248),1)*IF(Upgrades!$T$11="First Photons",POWER(Upgrades!$U$11,J248),1))*POWER(Upgrades!$P$6,E248)*POWER(Upgrades!$P$7,F248)*POWER(Upgrades!$P$8,G248)*POWER(Upgrades!$P$9,H248)*POWER(Upgrades!$P$10,I248)*POWER(Upgrades!$P$11,J248)*POWER(Upgrades!$P$12,K248)*60</f>
        <v>75</v>
      </c>
      <c r="AF248" s="27" t="n">
        <f aca="false">Parameters!$B$9*POWER(Upgrades!$Q$6,E248)*POWER(Upgrades!$Q$7,F248)*POWER(Upgrades!$Q$8,G248)*POWER(Upgrades!$Q$9,H248)*POWER(Upgrades!$Q$10,I248)*POWER(Upgrades!$Q$11,J248)*POWER(Upgrades!$Q$12,K248)*(Parameters!$B$10*Parameters!$B$11+O248*60)</f>
        <v>120</v>
      </c>
      <c r="AG248" s="21" t="n">
        <f aca="false">IF(E248&gt;=Upgrades!$E$6,"",Upgrades!$C$6*POWER(Upgrades!$D$6,E248))</f>
        <v>37.4517507383159</v>
      </c>
      <c r="AH248" s="21" t="n">
        <f aca="false">IF(F248&gt;=Upgrades!$E$7,"",Upgrades!$C$7*POWER(Upgrades!$D$7,F248))</f>
        <v>80.9111547141581</v>
      </c>
      <c r="AI248" s="21" t="n">
        <f aca="false">IF(G248&gt;=Upgrades!$E$8,"",Upgrades!$C$8*POWER(Upgrades!$D$8,G248))</f>
        <v>231.9097088</v>
      </c>
      <c r="AJ248" s="21" t="str">
        <f aca="false">IF(H248&gt;=Upgrades!$E$9,"",Upgrades!$C$9*POWER(Upgrades!$D$9,H248))</f>
        <v/>
      </c>
      <c r="AK248" s="21" t="str">
        <f aca="false">IF(I248&gt;=Upgrades!$E$10,"",Upgrades!$C$10*POWER(Upgrades!$D$10,I248))</f>
        <v/>
      </c>
      <c r="AL248" s="21" t="str">
        <f aca="false">IF(J248&gt;=Upgrades!$E$11,"",Upgrades!$C$11*POWER(Upgrades!$D$11,J248))</f>
        <v/>
      </c>
      <c r="AM248" s="21" t="str">
        <f aca="false">IF(K248&gt;=Upgrades!$E$12,"",Upgrades!$C$12*POWER(Upgrades!$D$12,K248))</f>
        <v/>
      </c>
      <c r="AN248" s="26" t="str">
        <f aca="false">IF(AND(D248&gt;=Parameters!$B$18,(H248&gt;=Upgrades!$E$9)*(K248&gt;=Upgrades!$E$12)=1,L248=0),1,"")</f>
        <v/>
      </c>
      <c r="AO248" s="26" t="str">
        <f aca="false">IF(AND(D248&gt;=Parameters!$B$18,L248=0),1,"")</f>
        <v/>
      </c>
      <c r="AP248" s="21" t="n">
        <f aca="false">MIN(IF(ISNUMBER(AK248),AK248,9000000000000000),IF(ISNUMBER(AL248),AL248,9000000000000000),IF(ISNUMBER(AM248),AM248,9000000000000000))</f>
        <v>9000000000000000</v>
      </c>
      <c r="AQ248" s="21" t="n">
        <f aca="false">MIN(IF(ISNUMBER(AG248),AG248,9000000000000000),IF(ISNUMBER(AH248),AH248,9000000000000000),IF(ISNUMBER(AI248),AI248,9000000000000000),IF(ISNUMBER(AJ248),AJ248,9000000000000000))</f>
        <v>37.4517507383159</v>
      </c>
      <c r="AR248" s="32" t="b">
        <f aca="false">IF(AW248&gt;Parameters!$B$21*(MAX(IF(AND(NOT(AND(AO248=1,AN248&lt;&gt;1)),ISNUMBER(AG248),AG248&lt;=T248),AS248,0),IF(AND(NOT(AND(AO248=1,AN248&lt;&gt;1)),ISNUMBER(AH248),AH248&lt;=T248),AT248,0),IF(AND(NOT(AND(AO248=1,AN248&lt;&gt;1)),ISNUMBER(AI248),AI248&lt;=T248),AU248,0),IF(AND(ISNUMBER(AJ248),AJ248&lt;=T248),AV248,0))),TRUE(),FALSE())</f>
        <v>1</v>
      </c>
      <c r="AS248" s="33" t="n">
        <f aca="false">IFERROR(Upgrades!$H$6*(POWER(Upgrades!$P$6,E248)*POWER(Upgrades!$P$7,F248)*POWER(Upgrades!$P$8,G248)*POWER(Upgrades!$P$9,H248)*POWER(Upgrades!$P$10,I248)*POWER(Upgrades!$P$11,J248)*POWER(Upgrades!$P$12,K248))*(IF(Upgrades!$T$7="Solar Wind",POWER(Upgrades!$U$7,F248),1)*IF(Upgrades!$T$8="Solar Wind",POWER(Upgrades!$U$8,G248),1)*IF(Upgrades!$T$9="Solar Wind",POWER(Upgrades!$U$9,H248),1)*IF(Upgrades!$T$10="Solar Wind",POWER(Upgrades!$U$10,I248),1)*IF(Upgrades!$T$11="Solar Wind",POWER(Upgrades!$U$11,J248),1)*IF(Upgrades!$T$12="Solar Wind",POWER(Upgrades!$U$12,K248),1))/AG248,0)</f>
        <v>0.0026701021455238</v>
      </c>
      <c r="AT248" s="33" t="n">
        <f aca="false">IFERROR(Upgrades!$H$7*(POWER(Upgrades!$P$6,E248)*POWER(Upgrades!$P$7,F248)*POWER(Upgrades!$P$8,G248)*POWER(Upgrades!$P$9,H248)*POWER(Upgrades!$P$10,I248)*POWER(Upgrades!$P$11,J248)*POWER(Upgrades!$P$12,K248))*(IF(Upgrades!$T$6="Asteroid Belt",POWER(Upgrades!$U$6,E248),1)*IF(Upgrades!$T$8="Asteroid Belt",POWER(Upgrades!$U$8,G248),1)*IF(Upgrades!$T$9="Asteroid Belt",POWER(Upgrades!$U$9,H248),1)*IF(Upgrades!$T$10="Asteroid Belt",POWER(Upgrades!$U$10,I248),1)*IF(Upgrades!$T$11="Asteroid Belt",POWER(Upgrades!$U$11,J248),1)*IF(Upgrades!$T$12="Asteroid Belt",POWER(Upgrades!$U$12,K248),1))/AH248,0)</f>
        <v>0.00308980882652332</v>
      </c>
      <c r="AU248" s="33" t="n">
        <f aca="false">IFERROR(Upgrades!$K$8*(POWER(Upgrades!$Q$6,E248)*POWER(Upgrades!$Q$7,F248)*POWER(Upgrades!$Q$8,G248)*POWER(Upgrades!$Q$9,H248)*POWER(Upgrades!$Q$10,I248)*POWER(Upgrades!$Q$11,J248)*POWER(Upgrades!$Q$12,K248))*(IF(Upgrades!$T$6="Stellar Coupling",POWER(Upgrades!$U$6,E248),1)*IF(Upgrades!$T$7="Stellar Coupling",POWER(Upgrades!$U$7,F248),1)*IF(Upgrades!$T$9="Stellar Coupling",POWER(Upgrades!$U$9,H248),1)*IF(Upgrades!$T$10="Stellar Coupling",POWER(Upgrades!$U$10,I248),1)*IF(Upgrades!$T$11="Stellar Coupling",POWER(Upgrades!$U$11,J248),1)*IF(Upgrades!$T$12="Stellar Coupling",POWER(Upgrades!$U$12,K248),1))*Parameters!$B$10*Parameters!$B$11/60/AI248,0)</f>
        <v>0.00452762415783776</v>
      </c>
      <c r="AV248" s="33" t="n">
        <f aca="false">IFERROR(Upgrades!$H$9*(POWER(Upgrades!$P$6,E248)*POWER(Upgrades!$P$7,F248)*POWER(Upgrades!$P$8,G248)*POWER(Upgrades!$P$9,H248)*POWER(Upgrades!$P$10,I248)*POWER(Upgrades!$P$11,J248)*POWER(Upgrades!$P$12,K248))*(IF(Upgrades!$T$6="Magnetosphere",POWER(Upgrades!$U$6,E248),1)*IF(Upgrades!$T$7="Magnetosphere",POWER(Upgrades!$U$7,F248),1)*IF(Upgrades!$T$8="Magnetosphere",POWER(Upgrades!$U$8,G248),1)*IF(Upgrades!$T$10="Magnetosphere",POWER(Upgrades!$U$10,I248),1)*IF(Upgrades!$T$11="Magnetosphere",POWER(Upgrades!$U$11,J248),1)*IF(Upgrades!$T$12="Magnetosphere",POWER(Upgrades!$U$12,K248),1))/AJ248,0)</f>
        <v>0</v>
      </c>
      <c r="AW248" s="33" t="n">
        <f aca="false">MAX(IF(I248&gt;0,0,IFERROR(0.25*N248/Upgrades!$C$10,0)),IF(J248&gt;0,0,IFERROR(0.5*((IF(G248=0,0,(Upgrades!$J$8+G248*Upgrades!$K$8)*POWER(Upgrades!$L$8,G248)))*(IF(Upgrades!$T$6="Stellar Coupling",POWER(Upgrades!$U$6,E248),1)*IF(Upgrades!$T$7="Stellar Coupling",POWER(Upgrades!$U$7,F248),1)*IF(Upgrades!$T$9="Stellar Coupling",POWER(Upgrades!$U$9,H248),1)*IF(Upgrades!$T$10="Stellar Coupling",POWER(Upgrades!$U$10,I248),1)*IF(Upgrades!$T$11="Stellar Coupling",POWER(Upgrades!$U$11,J248),1)*IF(Upgrades!$T$12="Stellar Coupling",POWER(Upgrades!$U$12,K248),1))*(POWER(Upgrades!$Q$6,E248)*POWER(Upgrades!$Q$7,F248)*POWER(Upgrades!$Q$8,G248)*POWER(Upgrades!$Q$9,H248)*POWER(Upgrades!$Q$10,I248)*POWER(Upgrades!$Q$11,J248)*POWER(Upgrades!$Q$12,K248))*Parameters!$B$10*Parameters!$B$11/60)/Upgrades!$C$11,0)),IF(K248&gt;0,0,IFERROR((1*(POWER(Upgrades!$P$6,E248)*POWER(Upgrades!$P$7,F248)*POWER(Upgrades!$P$8,G248)*POWER(Upgrades!$P$9,H248)*POWER(Upgrades!$P$10,I248)*POWER(Upgrades!$P$11,J248)*POWER(Upgrades!$P$12,K248))+0.2*M248*Parameters!$B$10*Parameters!$B$11/60)/Upgrades!$C$12,0)),IF(AND(ISNUMBER(AG248),AG248&gt;T248),AS248,0),IF(AND(ISNUMBER(AH248),AH248&gt;T248),AT248,0),IF(AND(ISNUMBER(AI248),AI248&gt;T248),AU248,0),IF(AND(ISNUMBER(AJ248),AJ248&gt;T248),AV248,0))</f>
        <v>0.00452762415783776</v>
      </c>
      <c r="AX248" s="29" t="str">
        <f aca="false">IF(AN248=1,"transition",IF(MIN(IF(AND(I248=0,ISNUMBER(AK248),AK248&lt;=T248),AK248,9000000000000000),IF(AND(J248=0,ISNUMBER(AL248),AL248&lt;=T248),AL248,9000000000000000),IF(AND(K248=0,ISNUMBER(AM248),AM248&lt;=T248),AM248,9000000000000000))&lt;9000000000000000,IF(AND(AND(I248=0,ISNUMBER(AK248),AK248&lt;=T248),AK248=MIN(IF(AND(I248=0,ISNUMBER(AK248),AK248&lt;=T248),AK248,9000000000000000),IF(AND(J248=0,ISNUMBER(AL248),AL248&lt;=T248),AL248,9000000000000000),IF(AND(K248=0,ISNUMBER(AM248),AM248&lt;=T248),AM248,9000000000000000))),"OR",IF(AND(AND(J248=0,ISNUMBER(AL248),AL248&lt;=T248),AL248=MIN(IF(AND(I248=0,ISNUMBER(AK248),AK248&lt;=T248),AK248,9000000000000000),IF(AND(J248=0,ISNUMBER(AL248),AL248&lt;=T248),AL248,9000000000000000),IF(AND(K248=0,ISNUMBER(AM248),AM248&lt;=T248),AM248,9000000000000000))),"HP","FP")),IF(AR248=TRUE(),"",IF(MAX(IF(AND(NOT(AND(AO248=1,AN248&lt;&gt;1)),ISNUMBER(AG248),AG248&lt;=T248),AS248,0),IF(AND(NOT(AND(AO248=1,AN248&lt;&gt;1)),ISNUMBER(AH248),AH248&lt;=T248),AT248,0),IF(AND(NOT(AND(AO248=1,AN248&lt;&gt;1)),ISNUMBER(AI248),AI248&lt;=T248),AU248,0),IF(AND(ISNUMBER(AJ248),AJ248&lt;=T248),AV248,0))&lt;=0,"",IF(AND(IF(AND(NOT(AND(AO248=1,AN248&lt;&gt;1)),ISNUMBER(AG248),AG248&lt;=T248),AS248,0)&gt;0,IF(AND(NOT(AND(AO248=1,AN248&lt;&gt;1)),ISNUMBER(AG248),AG248&lt;=T248),AS248,0)=MAX(IF(AND(NOT(AND(AO248=1,AN248&lt;&gt;1)),ISNUMBER(AG248),AG248&lt;=T248),AS248,0),IF(AND(NOT(AND(AO248=1,AN248&lt;&gt;1)),ISNUMBER(AH248),AH248&lt;=T248),AT248,0),IF(AND(NOT(AND(AO248=1,AN248&lt;&gt;1)),ISNUMBER(AI248),AI248&lt;=T248),AU248,0),IF(AND(ISNUMBER(AJ248),AJ248&lt;=T248),AV248,0))),"SW",IF(AND(IF(AND(NOT(AND(AO248=1,AN248&lt;&gt;1)),ISNUMBER(AH248),AH248&lt;=T248),AT248,0)&gt;0,IF(AND(NOT(AND(AO248=1,AN248&lt;&gt;1)),ISNUMBER(AH248),AH248&lt;=T248),AT248,0)=MAX(IF(AND(NOT(AND(AO248=1,AN248&lt;&gt;1)),ISNUMBER(AG248),AG248&lt;=T248),AS248,0),IF(AND(NOT(AND(AO248=1,AN248&lt;&gt;1)),ISNUMBER(AH248),AH248&lt;=T248),AT248,0),IF(AND(NOT(AND(AO248=1,AN248&lt;&gt;1)),ISNUMBER(AI248),AI248&lt;=T248),AU248,0),IF(AND(ISNUMBER(AJ248),AJ248&lt;=T248),AV248,0))),"AB",IF(AND(IF(AND(NOT(AND(AO248=1,AN248&lt;&gt;1)),ISNUMBER(AI248),AI248&lt;=T248),AU248,0)&gt;0,IF(AND(NOT(AND(AO248=1,AN248&lt;&gt;1)),ISNUMBER(AI248),AI248&lt;=T248),AU248,0)=MAX(IF(AND(NOT(AND(AO248=1,AN248&lt;&gt;1)),ISNUMBER(AG248),AG248&lt;=T248),AS248,0),IF(AND(NOT(AND(AO248=1,AN248&lt;&gt;1)),ISNUMBER(AH248),AH248&lt;=T248),AT248,0),IF(AND(NOT(AND(AO248=1,AN248&lt;&gt;1)),ISNUMBER(AI248),AI248&lt;=T248),AU248,0),IF(AND(ISNUMBER(AJ248),AJ248&lt;=T248),AV248,0))),"SC","Mag")))))))</f>
        <v/>
      </c>
    </row>
    <row r="249" customFormat="false" ht="15" hidden="false" customHeight="false" outlineLevel="0" collapsed="false">
      <c r="A249" s="26" t="n">
        <v>244</v>
      </c>
      <c r="B249" s="27" t="n">
        <f aca="false">A249*10/60</f>
        <v>40.6666666666667</v>
      </c>
      <c r="C249" s="21" t="n">
        <f aca="false">X248</f>
        <v>18.6730249835055</v>
      </c>
      <c r="D249" s="27" t="n">
        <f aca="false">D248+W248</f>
        <v>0</v>
      </c>
      <c r="E249" s="26" t="n">
        <f aca="false">E248+IF(U248="SW",1,0)</f>
        <v>12</v>
      </c>
      <c r="F249" s="26" t="n">
        <f aca="false">F248+IF(U248="AB",1,0)</f>
        <v>10</v>
      </c>
      <c r="G249" s="26" t="n">
        <f aca="false">G248+IF(U248="SC",1,0)</f>
        <v>7</v>
      </c>
      <c r="H249" s="26" t="n">
        <f aca="false">H248+IF(U248="Mag",1,0)</f>
        <v>5</v>
      </c>
      <c r="I249" s="26" t="n">
        <f aca="false">MAX(I248,IF(U248="OR",1,0))</f>
        <v>1</v>
      </c>
      <c r="J249" s="26" t="n">
        <f aca="false">MAX(J248,IF(U248="HP",1,0))</f>
        <v>1</v>
      </c>
      <c r="K249" s="26" t="n">
        <f aca="false">MAX(K248,IF(U248="FP",1,0))</f>
        <v>1</v>
      </c>
      <c r="L249" s="26" t="n">
        <f aca="false">MAX(L248,IF(U248="transition",1,0))</f>
        <v>1</v>
      </c>
      <c r="M249" s="28" t="n">
        <f aca="false">(Parameters!$B$9+(IF(E249=0,0,(Upgrades!$J$6+E249*Upgrades!$K$6)*POWER(Upgrades!$L$6,E249)))*(IF(Upgrades!$T$7="Solar Wind",POWER(Upgrades!$U$7,F249),1)*IF(Upgrades!$T$8="Solar Wind",POWER(Upgrades!$U$8,G249),1)*IF(Upgrades!$T$9="Solar Wind",POWER(Upgrades!$U$9,H249),1)*IF(Upgrades!$T$10="Solar Wind",POWER(Upgrades!$U$10,I249),1)*IF(Upgrades!$T$11="Solar Wind",POWER(Upgrades!$U$11,J249),1)*IF(Upgrades!$T$12="Solar Wind",POWER(Upgrades!$U$12,K249),1))+(IF(F249=0,0,(Upgrades!$J$7+F249*Upgrades!$K$7)*POWER(Upgrades!$L$7,F249)))*(IF(Upgrades!$T$6="Asteroid Belt",POWER(Upgrades!$U$6,E249),1)*IF(Upgrades!$T$8="Asteroid Belt",POWER(Upgrades!$U$8,G249),1)*IF(Upgrades!$T$9="Asteroid Belt",POWER(Upgrades!$U$9,H249),1)*IF(Upgrades!$T$10="Asteroid Belt",POWER(Upgrades!$U$10,I249),1)*IF(Upgrades!$T$11="Asteroid Belt",POWER(Upgrades!$U$11,J249),1)*IF(Upgrades!$T$12="Asteroid Belt",POWER(Upgrades!$U$12,K249),1))+(IF(G249=0,0,(Upgrades!$J$8+G249*Upgrades!$K$8)*POWER(Upgrades!$L$8,G249)))*(IF(Upgrades!$T$6="Stellar Coupling",POWER(Upgrades!$U$6,E249),1)*IF(Upgrades!$T$7="Stellar Coupling",POWER(Upgrades!$U$7,F249),1)*IF(Upgrades!$T$9="Stellar Coupling",POWER(Upgrades!$U$9,H249),1)*IF(Upgrades!$T$10="Stellar Coupling",POWER(Upgrades!$U$10,I249),1)*IF(Upgrades!$T$11="Stellar Coupling",POWER(Upgrades!$U$11,J249),1)*IF(Upgrades!$T$12="Stellar Coupling",POWER(Upgrades!$U$12,K249),1))+(IF(H249=0,0,(Upgrades!$J$9+H249*Upgrades!$K$9)*POWER(Upgrades!$L$9,H249)))*(IF(Upgrades!$T$6="Magnetosphere",POWER(Upgrades!$U$6,E249),1)*IF(Upgrades!$T$7="Magnetosphere",POWER(Upgrades!$U$7,F249),1)*IF(Upgrades!$T$8="Magnetosphere",POWER(Upgrades!$U$8,G249),1)*IF(Upgrades!$T$10="Magnetosphere",POWER(Upgrades!$U$10,I249),1)*IF(Upgrades!$T$11="Magnetosphere",POWER(Upgrades!$U$11,J249),1)*IF(Upgrades!$T$12="Magnetosphere",POWER(Upgrades!$U$12,K249),1))+(IF(I249=0,0,(Upgrades!$J$10+I249*Upgrades!$K$10)*POWER(Upgrades!$L$10,I249)))*(IF(Upgrades!$T$6="Orbital Resonance",POWER(Upgrades!$U$6,E249),1)*IF(Upgrades!$T$7="Orbital Resonance",POWER(Upgrades!$U$7,F249),1)*IF(Upgrades!$T$8="Orbital Resonance",POWER(Upgrades!$U$8,G249),1)*IF(Upgrades!$T$9="Orbital Resonance",POWER(Upgrades!$U$9,H249),1)*IF(Upgrades!$T$11="Orbital Resonance",POWER(Upgrades!$U$11,J249),1)*IF(Upgrades!$T$12="Orbital Resonance",POWER(Upgrades!$U$12,K249),1))+(IF(J249=0,0,(Upgrades!$J$11+J249*Upgrades!$K$11)*POWER(Upgrades!$L$11,J249)))*(IF(Upgrades!$T$6="Heliopause",POWER(Upgrades!$U$6,E249),1)*IF(Upgrades!$T$7="Heliopause",POWER(Upgrades!$U$7,F249),1)*IF(Upgrades!$T$8="Heliopause",POWER(Upgrades!$U$8,G249),1)*IF(Upgrades!$T$9="Heliopause",POWER(Upgrades!$U$9,H249),1)*IF(Upgrades!$T$10="Heliopause",POWER(Upgrades!$U$10,I249),1)*IF(Upgrades!$T$12="Heliopause",POWER(Upgrades!$U$12,K249),1))+(IF(K249=0,0,(Upgrades!$J$12+K249*Upgrades!$K$12)*POWER(Upgrades!$L$12,K249)))*(IF(Upgrades!$T$6="First Photons",POWER(Upgrades!$U$6,E249),1)*IF(Upgrades!$T$7="First Photons",POWER(Upgrades!$U$7,F249),1)*IF(Upgrades!$T$8="First Photons",POWER(Upgrades!$U$8,G249),1)*IF(Upgrades!$T$9="First Photons",POWER(Upgrades!$U$9,H249),1)*IF(Upgrades!$T$10="First Photons",POWER(Upgrades!$U$10,I249),1)*IF(Upgrades!$T$11="First Photons",POWER(Upgrades!$U$11,J249),1)))*POWER(Upgrades!$Q$6,E249)*POWER(Upgrades!$Q$7,F249)*POWER(Upgrades!$Q$8,G249)*POWER(Upgrades!$Q$9,H249)*POWER(Upgrades!$Q$10,I249)*POWER(Upgrades!$Q$11,J249)*POWER(Upgrades!$Q$12,K249)</f>
        <v>5.61</v>
      </c>
      <c r="N249" s="28" t="n">
        <f aca="false">((IF(E249=0,0,(Upgrades!$G$6+E249*Upgrades!$H$6)*POWER(Upgrades!$I$6,E249)))*(IF(Upgrades!$T$7="Solar Wind",POWER(Upgrades!$U$7,F249),1)*IF(Upgrades!$T$8="Solar Wind",POWER(Upgrades!$U$8,G249),1)*IF(Upgrades!$T$9="Solar Wind",POWER(Upgrades!$U$9,H249),1)*IF(Upgrades!$T$10="Solar Wind",POWER(Upgrades!$U$10,I249),1)*IF(Upgrades!$T$11="Solar Wind",POWER(Upgrades!$U$11,J249),1)*IF(Upgrades!$T$12="Solar Wind",POWER(Upgrades!$U$12,K249),1))+(IF(F249=0,0,(Upgrades!$G$7+F249*Upgrades!$H$7)*POWER(Upgrades!$I$7,F249)))*(IF(Upgrades!$T$6="Asteroid Belt",POWER(Upgrades!$U$6,E249),1)*IF(Upgrades!$T$8="Asteroid Belt",POWER(Upgrades!$U$8,G249),1)*IF(Upgrades!$T$9="Asteroid Belt",POWER(Upgrades!$U$9,H249),1)*IF(Upgrades!$T$10="Asteroid Belt",POWER(Upgrades!$U$10,I249),1)*IF(Upgrades!$T$11="Asteroid Belt",POWER(Upgrades!$U$11,J249),1)*IF(Upgrades!$T$12="Asteroid Belt",POWER(Upgrades!$U$12,K249),1))+(IF(G249=0,0,(Upgrades!$G$8+G249*Upgrades!$H$8)*POWER(Upgrades!$I$8,G249)))*(IF(Upgrades!$T$6="Stellar Coupling",POWER(Upgrades!$U$6,E249),1)*IF(Upgrades!$T$7="Stellar Coupling",POWER(Upgrades!$U$7,F249),1)*IF(Upgrades!$T$9="Stellar Coupling",POWER(Upgrades!$U$9,H249),1)*IF(Upgrades!$T$10="Stellar Coupling",POWER(Upgrades!$U$10,I249),1)*IF(Upgrades!$T$11="Stellar Coupling",POWER(Upgrades!$U$11,J249),1)*IF(Upgrades!$T$12="Stellar Coupling",POWER(Upgrades!$U$12,K249),1))+(IF(H249=0,0,(Upgrades!$G$9+H249*Upgrades!$H$9)*POWER(Upgrades!$I$9,H249)))*(IF(Upgrades!$T$6="Magnetosphere",POWER(Upgrades!$U$6,E249),1)*IF(Upgrades!$T$7="Magnetosphere",POWER(Upgrades!$U$7,F249),1)*IF(Upgrades!$T$8="Magnetosphere",POWER(Upgrades!$U$8,G249),1)*IF(Upgrades!$T$10="Magnetosphere",POWER(Upgrades!$U$10,I249),1)*IF(Upgrades!$T$11="Magnetosphere",POWER(Upgrades!$U$11,J249),1)*IF(Upgrades!$T$12="Magnetosphere",POWER(Upgrades!$U$12,K249),1))+(IF(I249=0,0,(Upgrades!$G$10+I249*Upgrades!$H$10)*POWER(Upgrades!$I$10,I249)))*(IF(Upgrades!$T$6="Orbital Resonance",POWER(Upgrades!$U$6,E249),1)*IF(Upgrades!$T$7="Orbital Resonance",POWER(Upgrades!$U$7,F249),1)*IF(Upgrades!$T$8="Orbital Resonance",POWER(Upgrades!$U$8,G249),1)*IF(Upgrades!$T$9="Orbital Resonance",POWER(Upgrades!$U$9,H249),1)*IF(Upgrades!$T$11="Orbital Resonance",POWER(Upgrades!$U$11,J249),1)*IF(Upgrades!$T$12="Orbital Resonance",POWER(Upgrades!$U$12,K249),1))+(IF(J249=0,0,(Upgrades!$G$11+J249*Upgrades!$H$11)*POWER(Upgrades!$I$11,J249)))*(IF(Upgrades!$T$6="Heliopause",POWER(Upgrades!$U$6,E249),1)*IF(Upgrades!$T$7="Heliopause",POWER(Upgrades!$U$7,F249),1)*IF(Upgrades!$T$8="Heliopause",POWER(Upgrades!$U$8,G249),1)*IF(Upgrades!$T$9="Heliopause",POWER(Upgrades!$U$9,H249),1)*IF(Upgrades!$T$10="Heliopause",POWER(Upgrades!$U$10,I249),1)*IF(Upgrades!$T$12="Heliopause",POWER(Upgrades!$U$12,K249),1))+(IF(K249=0,0,(Upgrades!$G$12+K249*Upgrades!$H$12)*POWER(Upgrades!$I$12,K249)))*(IF(Upgrades!$T$6="First Photons",POWER(Upgrades!$U$6,E249),1)*IF(Upgrades!$T$7="First Photons",POWER(Upgrades!$U$7,F249),1)*IF(Upgrades!$T$8="First Photons",POWER(Upgrades!$U$8,G249),1)*IF(Upgrades!$T$9="First Photons",POWER(Upgrades!$U$9,H249),1)*IF(Upgrades!$T$10="First Photons",POWER(Upgrades!$U$10,I249),1)*IF(Upgrades!$T$11="First Photons",POWER(Upgrades!$U$11,J249),1)))*POWER(Upgrades!$P$6,E249)*POWER(Upgrades!$P$7,F249)*POWER(Upgrades!$P$8,G249)*POWER(Upgrades!$P$9,H249)*POWER(Upgrades!$P$10,I249)*POWER(Upgrades!$P$11,J249)*POWER(Upgrades!$P$12,K249)</f>
        <v>11.2</v>
      </c>
      <c r="O249" s="28" t="n">
        <f aca="false">((IF(E249=0,0,(Upgrades!$M$6+E249*Upgrades!$N$6)*POWER(Upgrades!$O$6,E249)))*(IF(Upgrades!$T$7="Solar Wind",POWER(Upgrades!$U$7,F249),1)*IF(Upgrades!$T$8="Solar Wind",POWER(Upgrades!$U$8,G249),1)*IF(Upgrades!$T$9="Solar Wind",POWER(Upgrades!$U$9,H249),1)*IF(Upgrades!$T$10="Solar Wind",POWER(Upgrades!$U$10,I249),1)*IF(Upgrades!$T$11="Solar Wind",POWER(Upgrades!$U$11,J249),1)*IF(Upgrades!$T$12="Solar Wind",POWER(Upgrades!$U$12,K249),1))+(IF(F249=0,0,(Upgrades!$M$7+F249*Upgrades!$N$7)*POWER(Upgrades!$O$7,F249)))*(IF(Upgrades!$T$6="Asteroid Belt",POWER(Upgrades!$U$6,E249),1)*IF(Upgrades!$T$8="Asteroid Belt",POWER(Upgrades!$U$8,G249),1)*IF(Upgrades!$T$9="Asteroid Belt",POWER(Upgrades!$U$9,H249),1)*IF(Upgrades!$T$10="Asteroid Belt",POWER(Upgrades!$U$10,I249),1)*IF(Upgrades!$T$11="Asteroid Belt",POWER(Upgrades!$U$11,J249),1)*IF(Upgrades!$T$12="Asteroid Belt",POWER(Upgrades!$U$12,K249),1))+(IF(G249=0,0,(Upgrades!$M$8+G249*Upgrades!$N$8)*POWER(Upgrades!$O$8,G249)))*(IF(Upgrades!$T$6="Stellar Coupling",POWER(Upgrades!$U$6,E249),1)*IF(Upgrades!$T$7="Stellar Coupling",POWER(Upgrades!$U$7,F249),1)*IF(Upgrades!$T$9="Stellar Coupling",POWER(Upgrades!$U$9,H249),1)*IF(Upgrades!$T$10="Stellar Coupling",POWER(Upgrades!$U$10,I249),1)*IF(Upgrades!$T$11="Stellar Coupling",POWER(Upgrades!$U$11,J249),1)*IF(Upgrades!$T$12="Stellar Coupling",POWER(Upgrades!$U$12,K249),1))+(IF(H249=0,0,(Upgrades!$M$9+H249*Upgrades!$N$9)*POWER(Upgrades!$O$9,H249)))*(IF(Upgrades!$T$6="Magnetosphere",POWER(Upgrades!$U$6,E249),1)*IF(Upgrades!$T$7="Magnetosphere",POWER(Upgrades!$U$7,F249),1)*IF(Upgrades!$T$8="Magnetosphere",POWER(Upgrades!$U$8,G249),1)*IF(Upgrades!$T$10="Magnetosphere",POWER(Upgrades!$U$10,I249),1)*IF(Upgrades!$T$11="Magnetosphere",POWER(Upgrades!$U$11,J249),1)*IF(Upgrades!$T$12="Magnetosphere",POWER(Upgrades!$U$12,K249),1))+(IF(I249=0,0,(Upgrades!$M$10+I249*Upgrades!$N$10)*POWER(Upgrades!$O$10,I249)))*(IF(Upgrades!$T$6="Orbital Resonance",POWER(Upgrades!$U$6,E249),1)*IF(Upgrades!$T$7="Orbital Resonance",POWER(Upgrades!$U$7,F249),1)*IF(Upgrades!$T$8="Orbital Resonance",POWER(Upgrades!$U$8,G249),1)*IF(Upgrades!$T$9="Orbital Resonance",POWER(Upgrades!$U$9,H249),1)*IF(Upgrades!$T$11="Orbital Resonance",POWER(Upgrades!$U$11,J249),1)*IF(Upgrades!$T$12="Orbital Resonance",POWER(Upgrades!$U$12,K249),1))+(IF(J249=0,0,(Upgrades!$M$11+J249*Upgrades!$N$11)*POWER(Upgrades!$O$11,J249)))*(IF(Upgrades!$T$6="Heliopause",POWER(Upgrades!$U$6,E249),1)*IF(Upgrades!$T$7="Heliopause",POWER(Upgrades!$U$7,F249),1)*IF(Upgrades!$T$8="Heliopause",POWER(Upgrades!$U$8,G249),1)*IF(Upgrades!$T$9="Heliopause",POWER(Upgrades!$U$9,H249),1)*IF(Upgrades!$T$10="Heliopause",POWER(Upgrades!$U$10,I249),1)*IF(Upgrades!$T$12="Heliopause",POWER(Upgrades!$U$12,K249),1))+(IF(K249=0,0,(Upgrades!$M$12+K249*Upgrades!$N$12)*POWER(Upgrades!$O$12,K249)))*(IF(Upgrades!$T$6="First Photons",POWER(Upgrades!$U$6,E249),1)*IF(Upgrades!$T$7="First Photons",POWER(Upgrades!$U$7,F249),1)*IF(Upgrades!$T$8="First Photons",POWER(Upgrades!$U$8,G249),1)*IF(Upgrades!$T$9="First Photons",POWER(Upgrades!$U$9,H249),1)*IF(Upgrades!$T$10="First Photons",POWER(Upgrades!$U$10,I249),1)*IF(Upgrades!$T$11="First Photons",POWER(Upgrades!$U$11,J249),1)))*POWER(Upgrades!$R$6,E249)*POWER(Upgrades!$R$7,F249)*POWER(Upgrades!$R$8,G249)*POWER(Upgrades!$R$9,H249)*POWER(Upgrades!$R$10,I249)*POWER(Upgrades!$R$11,J249)*POWER(Upgrades!$R$12,K249)</f>
        <v>0</v>
      </c>
      <c r="P249" s="27" t="n">
        <f aca="false">IF(L249=1,0,M249*Parameters!$B$10/60*Parameters!$B$11*10)</f>
        <v>0</v>
      </c>
      <c r="Q249" s="27" t="n">
        <f aca="false">IF(L249=1,0,O249*M249*10)</f>
        <v>0</v>
      </c>
      <c r="R249" s="27" t="n">
        <f aca="false">IF(L249=1,0,N249*10)</f>
        <v>0</v>
      </c>
      <c r="S249" s="27" t="n">
        <f aca="false">P249+Q249+R249</f>
        <v>0</v>
      </c>
      <c r="T249" s="21" t="n">
        <f aca="false">C249+S249</f>
        <v>18.6730249835055</v>
      </c>
      <c r="U249" s="34" t="str">
        <f aca="false">AX249</f>
        <v/>
      </c>
      <c r="V249" s="21" t="n">
        <f aca="false">IF(U249="",0,IF(U249="transition",0,IF(U249="SW",AG249,IF(U249="AB",AH249,IF(U249="SC",AI249,IF(U249="Mag",AJ249,IF(U249="OR",AK249,IF(U249="HP",AL249,IF(U249="FP",AM249,0)))))))))</f>
        <v>0</v>
      </c>
      <c r="W249" s="27" t="n">
        <f aca="false">IF(U249="OR",Upgrades!$F$10,IF(U249="HP",Upgrades!$F$11,IF(U249="transition",-Parameters!$B$18,0)))</f>
        <v>0</v>
      </c>
      <c r="X249" s="21" t="n">
        <f aca="false">T249-V249</f>
        <v>18.6730249835055</v>
      </c>
      <c r="Y249" s="30" t="n">
        <f aca="false">M249*Parameters!$B$10/60*Parameters!$B$11+O249*M249+N249</f>
        <v>20.55</v>
      </c>
      <c r="Z249" s="35" t="str">
        <f aca="false">IF(U249="transition","→ Tier 2 (Stellar Neighborhood)",IF(U249="FP","First Photons — light begins, system quickens",IF(U249="HP","Heliopause acquired",IF(U249="OR","Orbital Resonance — passive multiplier active",IF(AND(AO249=1,L249=0,AN249&lt;&gt;1),"Cohesion ready (waiting on completionist upgrades)","")))))</f>
        <v/>
      </c>
      <c r="AA249" s="27" t="n">
        <f aca="false">(IF(E249=0,0,(Upgrades!$G$6+E249*Upgrades!$H$6)*POWER(Upgrades!$I$6,E249)))*(IF(Upgrades!$T$7="Solar Wind",POWER(Upgrades!$U$7,F249),1)*IF(Upgrades!$T$8="Solar Wind",POWER(Upgrades!$U$8,G249),1)*IF(Upgrades!$T$9="Solar Wind",POWER(Upgrades!$U$9,H249),1)*IF(Upgrades!$T$10="Solar Wind",POWER(Upgrades!$U$10,I249),1)*IF(Upgrades!$T$11="Solar Wind",POWER(Upgrades!$U$11,J249),1)*IF(Upgrades!$T$12="Solar Wind",POWER(Upgrades!$U$12,K249),1))*POWER(Upgrades!$P$6,E249)*POWER(Upgrades!$P$7,F249)*POWER(Upgrades!$P$8,G249)*POWER(Upgrades!$P$9,H249)*POWER(Upgrades!$P$10,I249)*POWER(Upgrades!$P$11,J249)*POWER(Upgrades!$P$12,K249)*60</f>
        <v>72</v>
      </c>
      <c r="AB249" s="27" t="n">
        <f aca="false">(IF(F249=0,0,(Upgrades!$G$7+F249*Upgrades!$H$7)*POWER(Upgrades!$I$7,F249)))*(IF(Upgrades!$T$6="Asteroid Belt",POWER(Upgrades!$U$6,E249),1)*IF(Upgrades!$T$8="Asteroid Belt",POWER(Upgrades!$U$8,G249),1)*IF(Upgrades!$T$9="Asteroid Belt",POWER(Upgrades!$U$9,H249),1)*IF(Upgrades!$T$10="Asteroid Belt",POWER(Upgrades!$U$10,I249),1)*IF(Upgrades!$T$11="Asteroid Belt",POWER(Upgrades!$U$11,J249),1)*IF(Upgrades!$T$12="Asteroid Belt",POWER(Upgrades!$U$12,K249),1))*POWER(Upgrades!$P$6,E249)*POWER(Upgrades!$P$7,F249)*POWER(Upgrades!$P$8,G249)*POWER(Upgrades!$P$9,H249)*POWER(Upgrades!$P$10,I249)*POWER(Upgrades!$P$11,J249)*POWER(Upgrades!$P$12,K249)*60</f>
        <v>150</v>
      </c>
      <c r="AC249" s="27" t="n">
        <f aca="false">(IF(G249=0,0,(Upgrades!$J$8+G249*Upgrades!$K$8)*POWER(Upgrades!$L$8,G249)))*(IF(Upgrades!$T$6="Stellar Coupling",POWER(Upgrades!$U$6,E249),1)*IF(Upgrades!$T$7="Stellar Coupling",POWER(Upgrades!$U$7,F249),1)*IF(Upgrades!$T$9="Stellar Coupling",POWER(Upgrades!$U$9,H249),1)*IF(Upgrades!$T$10="Stellar Coupling",POWER(Upgrades!$U$10,I249),1)*IF(Upgrades!$T$11="Stellar Coupling",POWER(Upgrades!$U$11,J249),1)*IF(Upgrades!$T$12="Stellar Coupling",POWER(Upgrades!$U$12,K249),1))*POWER(Upgrades!$Q$6,E249)*POWER(Upgrades!$Q$7,F249)*POWER(Upgrades!$Q$8,G249)*POWER(Upgrades!$Q$9,H249)*POWER(Upgrades!$Q$10,I249)*POWER(Upgrades!$Q$11,J249)*POWER(Upgrades!$Q$12,K249)*Parameters!$B$10*Parameters!$B$11</f>
        <v>441</v>
      </c>
      <c r="AD249" s="27" t="n">
        <f aca="false">(IF(H249=0,0,(Upgrades!$G$9+H249*Upgrades!$H$9)*POWER(Upgrades!$I$9,H249)))*(IF(Upgrades!$T$6="Magnetosphere",POWER(Upgrades!$U$6,E249),1)*IF(Upgrades!$T$7="Magnetosphere",POWER(Upgrades!$U$7,F249),1)*IF(Upgrades!$T$8="Magnetosphere",POWER(Upgrades!$U$8,G249),1)*IF(Upgrades!$T$10="Magnetosphere",POWER(Upgrades!$U$10,I249),1)*IF(Upgrades!$T$11="Magnetosphere",POWER(Upgrades!$U$11,J249),1)*IF(Upgrades!$T$12="Magnetosphere",POWER(Upgrades!$U$12,K249),1))*POWER(Upgrades!$P$6,E249)*POWER(Upgrades!$P$7,F249)*POWER(Upgrades!$P$8,G249)*POWER(Upgrades!$P$9,H249)*POWER(Upgrades!$P$10,I249)*POWER(Upgrades!$P$11,J249)*POWER(Upgrades!$P$12,K249)*60</f>
        <v>375</v>
      </c>
      <c r="AE249" s="27" t="n">
        <f aca="false">(IF(K249=0,0,(Upgrades!$G$12+K249*Upgrades!$H$12)*POWER(Upgrades!$I$12,K249)))*(IF(Upgrades!$T$6="First Photons",POWER(Upgrades!$U$6,E249),1)*IF(Upgrades!$T$7="First Photons",POWER(Upgrades!$U$7,F249),1)*IF(Upgrades!$T$8="First Photons",POWER(Upgrades!$U$8,G249),1)*IF(Upgrades!$T$9="First Photons",POWER(Upgrades!$U$9,H249),1)*IF(Upgrades!$T$10="First Photons",POWER(Upgrades!$U$10,I249),1)*IF(Upgrades!$T$11="First Photons",POWER(Upgrades!$U$11,J249),1))*POWER(Upgrades!$P$6,E249)*POWER(Upgrades!$P$7,F249)*POWER(Upgrades!$P$8,G249)*POWER(Upgrades!$P$9,H249)*POWER(Upgrades!$P$10,I249)*POWER(Upgrades!$P$11,J249)*POWER(Upgrades!$P$12,K249)*60</f>
        <v>75</v>
      </c>
      <c r="AF249" s="27" t="n">
        <f aca="false">Parameters!$B$9*POWER(Upgrades!$Q$6,E249)*POWER(Upgrades!$Q$7,F249)*POWER(Upgrades!$Q$8,G249)*POWER(Upgrades!$Q$9,H249)*POWER(Upgrades!$Q$10,I249)*POWER(Upgrades!$Q$11,J249)*POWER(Upgrades!$Q$12,K249)*(Parameters!$B$10*Parameters!$B$11+O249*60)</f>
        <v>120</v>
      </c>
      <c r="AG249" s="21" t="n">
        <f aca="false">IF(E249&gt;=Upgrades!$E$6,"",Upgrades!$C$6*POWER(Upgrades!$D$6,E249))</f>
        <v>37.4517507383159</v>
      </c>
      <c r="AH249" s="21" t="n">
        <f aca="false">IF(F249&gt;=Upgrades!$E$7,"",Upgrades!$C$7*POWER(Upgrades!$D$7,F249))</f>
        <v>80.9111547141581</v>
      </c>
      <c r="AI249" s="21" t="n">
        <f aca="false">IF(G249&gt;=Upgrades!$E$8,"",Upgrades!$C$8*POWER(Upgrades!$D$8,G249))</f>
        <v>231.9097088</v>
      </c>
      <c r="AJ249" s="21" t="str">
        <f aca="false">IF(H249&gt;=Upgrades!$E$9,"",Upgrades!$C$9*POWER(Upgrades!$D$9,H249))</f>
        <v/>
      </c>
      <c r="AK249" s="21" t="str">
        <f aca="false">IF(I249&gt;=Upgrades!$E$10,"",Upgrades!$C$10*POWER(Upgrades!$D$10,I249))</f>
        <v/>
      </c>
      <c r="AL249" s="21" t="str">
        <f aca="false">IF(J249&gt;=Upgrades!$E$11,"",Upgrades!$C$11*POWER(Upgrades!$D$11,J249))</f>
        <v/>
      </c>
      <c r="AM249" s="21" t="str">
        <f aca="false">IF(K249&gt;=Upgrades!$E$12,"",Upgrades!$C$12*POWER(Upgrades!$D$12,K249))</f>
        <v/>
      </c>
      <c r="AN249" s="26" t="str">
        <f aca="false">IF(AND(D249&gt;=Parameters!$B$18,(H249&gt;=Upgrades!$E$9)*(K249&gt;=Upgrades!$E$12)=1,L249=0),1,"")</f>
        <v/>
      </c>
      <c r="AO249" s="26" t="str">
        <f aca="false">IF(AND(D249&gt;=Parameters!$B$18,L249=0),1,"")</f>
        <v/>
      </c>
      <c r="AP249" s="21" t="n">
        <f aca="false">MIN(IF(ISNUMBER(AK249),AK249,9000000000000000),IF(ISNUMBER(AL249),AL249,9000000000000000),IF(ISNUMBER(AM249),AM249,9000000000000000))</f>
        <v>9000000000000000</v>
      </c>
      <c r="AQ249" s="21" t="n">
        <f aca="false">MIN(IF(ISNUMBER(AG249),AG249,9000000000000000),IF(ISNUMBER(AH249),AH249,9000000000000000),IF(ISNUMBER(AI249),AI249,9000000000000000),IF(ISNUMBER(AJ249),AJ249,9000000000000000))</f>
        <v>37.4517507383159</v>
      </c>
      <c r="AR249" s="32" t="b">
        <f aca="false">IF(AW249&gt;Parameters!$B$21*(MAX(IF(AND(NOT(AND(AO249=1,AN249&lt;&gt;1)),ISNUMBER(AG249),AG249&lt;=T249),AS249,0),IF(AND(NOT(AND(AO249=1,AN249&lt;&gt;1)),ISNUMBER(AH249),AH249&lt;=T249),AT249,0),IF(AND(NOT(AND(AO249=1,AN249&lt;&gt;1)),ISNUMBER(AI249),AI249&lt;=T249),AU249,0),IF(AND(ISNUMBER(AJ249),AJ249&lt;=T249),AV249,0))),TRUE(),FALSE())</f>
        <v>1</v>
      </c>
      <c r="AS249" s="33" t="n">
        <f aca="false">IFERROR(Upgrades!$H$6*(POWER(Upgrades!$P$6,E249)*POWER(Upgrades!$P$7,F249)*POWER(Upgrades!$P$8,G249)*POWER(Upgrades!$P$9,H249)*POWER(Upgrades!$P$10,I249)*POWER(Upgrades!$P$11,J249)*POWER(Upgrades!$P$12,K249))*(IF(Upgrades!$T$7="Solar Wind",POWER(Upgrades!$U$7,F249),1)*IF(Upgrades!$T$8="Solar Wind",POWER(Upgrades!$U$8,G249),1)*IF(Upgrades!$T$9="Solar Wind",POWER(Upgrades!$U$9,H249),1)*IF(Upgrades!$T$10="Solar Wind",POWER(Upgrades!$U$10,I249),1)*IF(Upgrades!$T$11="Solar Wind",POWER(Upgrades!$U$11,J249),1)*IF(Upgrades!$T$12="Solar Wind",POWER(Upgrades!$U$12,K249),1))/AG249,0)</f>
        <v>0.0026701021455238</v>
      </c>
      <c r="AT249" s="33" t="n">
        <f aca="false">IFERROR(Upgrades!$H$7*(POWER(Upgrades!$P$6,E249)*POWER(Upgrades!$P$7,F249)*POWER(Upgrades!$P$8,G249)*POWER(Upgrades!$P$9,H249)*POWER(Upgrades!$P$10,I249)*POWER(Upgrades!$P$11,J249)*POWER(Upgrades!$P$12,K249))*(IF(Upgrades!$T$6="Asteroid Belt",POWER(Upgrades!$U$6,E249),1)*IF(Upgrades!$T$8="Asteroid Belt",POWER(Upgrades!$U$8,G249),1)*IF(Upgrades!$T$9="Asteroid Belt",POWER(Upgrades!$U$9,H249),1)*IF(Upgrades!$T$10="Asteroid Belt",POWER(Upgrades!$U$10,I249),1)*IF(Upgrades!$T$11="Asteroid Belt",POWER(Upgrades!$U$11,J249),1)*IF(Upgrades!$T$12="Asteroid Belt",POWER(Upgrades!$U$12,K249),1))/AH249,0)</f>
        <v>0.00308980882652332</v>
      </c>
      <c r="AU249" s="33" t="n">
        <f aca="false">IFERROR(Upgrades!$K$8*(POWER(Upgrades!$Q$6,E249)*POWER(Upgrades!$Q$7,F249)*POWER(Upgrades!$Q$8,G249)*POWER(Upgrades!$Q$9,H249)*POWER(Upgrades!$Q$10,I249)*POWER(Upgrades!$Q$11,J249)*POWER(Upgrades!$Q$12,K249))*(IF(Upgrades!$T$6="Stellar Coupling",POWER(Upgrades!$U$6,E249),1)*IF(Upgrades!$T$7="Stellar Coupling",POWER(Upgrades!$U$7,F249),1)*IF(Upgrades!$T$9="Stellar Coupling",POWER(Upgrades!$U$9,H249),1)*IF(Upgrades!$T$10="Stellar Coupling",POWER(Upgrades!$U$10,I249),1)*IF(Upgrades!$T$11="Stellar Coupling",POWER(Upgrades!$U$11,J249),1)*IF(Upgrades!$T$12="Stellar Coupling",POWER(Upgrades!$U$12,K249),1))*Parameters!$B$10*Parameters!$B$11/60/AI249,0)</f>
        <v>0.00452762415783776</v>
      </c>
      <c r="AV249" s="33" t="n">
        <f aca="false">IFERROR(Upgrades!$H$9*(POWER(Upgrades!$P$6,E249)*POWER(Upgrades!$P$7,F249)*POWER(Upgrades!$P$8,G249)*POWER(Upgrades!$P$9,H249)*POWER(Upgrades!$P$10,I249)*POWER(Upgrades!$P$11,J249)*POWER(Upgrades!$P$12,K249))*(IF(Upgrades!$T$6="Magnetosphere",POWER(Upgrades!$U$6,E249),1)*IF(Upgrades!$T$7="Magnetosphere",POWER(Upgrades!$U$7,F249),1)*IF(Upgrades!$T$8="Magnetosphere",POWER(Upgrades!$U$8,G249),1)*IF(Upgrades!$T$10="Magnetosphere",POWER(Upgrades!$U$10,I249),1)*IF(Upgrades!$T$11="Magnetosphere",POWER(Upgrades!$U$11,J249),1)*IF(Upgrades!$T$12="Magnetosphere",POWER(Upgrades!$U$12,K249),1))/AJ249,0)</f>
        <v>0</v>
      </c>
      <c r="AW249" s="33" t="n">
        <f aca="false">MAX(IF(I249&gt;0,0,IFERROR(0.25*N249/Upgrades!$C$10,0)),IF(J249&gt;0,0,IFERROR(0.5*((IF(G249=0,0,(Upgrades!$J$8+G249*Upgrades!$K$8)*POWER(Upgrades!$L$8,G249)))*(IF(Upgrades!$T$6="Stellar Coupling",POWER(Upgrades!$U$6,E249),1)*IF(Upgrades!$T$7="Stellar Coupling",POWER(Upgrades!$U$7,F249),1)*IF(Upgrades!$T$9="Stellar Coupling",POWER(Upgrades!$U$9,H249),1)*IF(Upgrades!$T$10="Stellar Coupling",POWER(Upgrades!$U$10,I249),1)*IF(Upgrades!$T$11="Stellar Coupling",POWER(Upgrades!$U$11,J249),1)*IF(Upgrades!$T$12="Stellar Coupling",POWER(Upgrades!$U$12,K249),1))*(POWER(Upgrades!$Q$6,E249)*POWER(Upgrades!$Q$7,F249)*POWER(Upgrades!$Q$8,G249)*POWER(Upgrades!$Q$9,H249)*POWER(Upgrades!$Q$10,I249)*POWER(Upgrades!$Q$11,J249)*POWER(Upgrades!$Q$12,K249))*Parameters!$B$10*Parameters!$B$11/60)/Upgrades!$C$11,0)),IF(K249&gt;0,0,IFERROR((1*(POWER(Upgrades!$P$6,E249)*POWER(Upgrades!$P$7,F249)*POWER(Upgrades!$P$8,G249)*POWER(Upgrades!$P$9,H249)*POWER(Upgrades!$P$10,I249)*POWER(Upgrades!$P$11,J249)*POWER(Upgrades!$P$12,K249))+0.2*M249*Parameters!$B$10*Parameters!$B$11/60)/Upgrades!$C$12,0)),IF(AND(ISNUMBER(AG249),AG249&gt;T249),AS249,0),IF(AND(ISNUMBER(AH249),AH249&gt;T249),AT249,0),IF(AND(ISNUMBER(AI249),AI249&gt;T249),AU249,0),IF(AND(ISNUMBER(AJ249),AJ249&gt;T249),AV249,0))</f>
        <v>0.00452762415783776</v>
      </c>
      <c r="AX249" s="29" t="str">
        <f aca="false">IF(AN249=1,"transition",IF(MIN(IF(AND(I249=0,ISNUMBER(AK249),AK249&lt;=T249),AK249,9000000000000000),IF(AND(J249=0,ISNUMBER(AL249),AL249&lt;=T249),AL249,9000000000000000),IF(AND(K249=0,ISNUMBER(AM249),AM249&lt;=T249),AM249,9000000000000000))&lt;9000000000000000,IF(AND(AND(I249=0,ISNUMBER(AK249),AK249&lt;=T249),AK249=MIN(IF(AND(I249=0,ISNUMBER(AK249),AK249&lt;=T249),AK249,9000000000000000),IF(AND(J249=0,ISNUMBER(AL249),AL249&lt;=T249),AL249,9000000000000000),IF(AND(K249=0,ISNUMBER(AM249),AM249&lt;=T249),AM249,9000000000000000))),"OR",IF(AND(AND(J249=0,ISNUMBER(AL249),AL249&lt;=T249),AL249=MIN(IF(AND(I249=0,ISNUMBER(AK249),AK249&lt;=T249),AK249,9000000000000000),IF(AND(J249=0,ISNUMBER(AL249),AL249&lt;=T249),AL249,9000000000000000),IF(AND(K249=0,ISNUMBER(AM249),AM249&lt;=T249),AM249,9000000000000000))),"HP","FP")),IF(AR249=TRUE(),"",IF(MAX(IF(AND(NOT(AND(AO249=1,AN249&lt;&gt;1)),ISNUMBER(AG249),AG249&lt;=T249),AS249,0),IF(AND(NOT(AND(AO249=1,AN249&lt;&gt;1)),ISNUMBER(AH249),AH249&lt;=T249),AT249,0),IF(AND(NOT(AND(AO249=1,AN249&lt;&gt;1)),ISNUMBER(AI249),AI249&lt;=T249),AU249,0),IF(AND(ISNUMBER(AJ249),AJ249&lt;=T249),AV249,0))&lt;=0,"",IF(AND(IF(AND(NOT(AND(AO249=1,AN249&lt;&gt;1)),ISNUMBER(AG249),AG249&lt;=T249),AS249,0)&gt;0,IF(AND(NOT(AND(AO249=1,AN249&lt;&gt;1)),ISNUMBER(AG249),AG249&lt;=T249),AS249,0)=MAX(IF(AND(NOT(AND(AO249=1,AN249&lt;&gt;1)),ISNUMBER(AG249),AG249&lt;=T249),AS249,0),IF(AND(NOT(AND(AO249=1,AN249&lt;&gt;1)),ISNUMBER(AH249),AH249&lt;=T249),AT249,0),IF(AND(NOT(AND(AO249=1,AN249&lt;&gt;1)),ISNUMBER(AI249),AI249&lt;=T249),AU249,0),IF(AND(ISNUMBER(AJ249),AJ249&lt;=T249),AV249,0))),"SW",IF(AND(IF(AND(NOT(AND(AO249=1,AN249&lt;&gt;1)),ISNUMBER(AH249),AH249&lt;=T249),AT249,0)&gt;0,IF(AND(NOT(AND(AO249=1,AN249&lt;&gt;1)),ISNUMBER(AH249),AH249&lt;=T249),AT249,0)=MAX(IF(AND(NOT(AND(AO249=1,AN249&lt;&gt;1)),ISNUMBER(AG249),AG249&lt;=T249),AS249,0),IF(AND(NOT(AND(AO249=1,AN249&lt;&gt;1)),ISNUMBER(AH249),AH249&lt;=T249),AT249,0),IF(AND(NOT(AND(AO249=1,AN249&lt;&gt;1)),ISNUMBER(AI249),AI249&lt;=T249),AU249,0),IF(AND(ISNUMBER(AJ249),AJ249&lt;=T249),AV249,0))),"AB",IF(AND(IF(AND(NOT(AND(AO249=1,AN249&lt;&gt;1)),ISNUMBER(AI249),AI249&lt;=T249),AU249,0)&gt;0,IF(AND(NOT(AND(AO249=1,AN249&lt;&gt;1)),ISNUMBER(AI249),AI249&lt;=T249),AU249,0)=MAX(IF(AND(NOT(AND(AO249=1,AN249&lt;&gt;1)),ISNUMBER(AG249),AG249&lt;=T249),AS249,0),IF(AND(NOT(AND(AO249=1,AN249&lt;&gt;1)),ISNUMBER(AH249),AH249&lt;=T249),AT249,0),IF(AND(NOT(AND(AO249=1,AN249&lt;&gt;1)),ISNUMBER(AI249),AI249&lt;=T249),AU249,0),IF(AND(ISNUMBER(AJ249),AJ249&lt;=T249),AV249,0))),"SC","Mag")))))))</f>
        <v/>
      </c>
    </row>
    <row r="250" customFormat="false" ht="15" hidden="false" customHeight="false" outlineLevel="0" collapsed="false">
      <c r="A250" s="26" t="n">
        <v>245</v>
      </c>
      <c r="B250" s="27" t="n">
        <f aca="false">A250*10/60</f>
        <v>40.8333333333333</v>
      </c>
      <c r="C250" s="21" t="n">
        <f aca="false">X249</f>
        <v>18.6730249835055</v>
      </c>
      <c r="D250" s="27" t="n">
        <f aca="false">D249+W249</f>
        <v>0</v>
      </c>
      <c r="E250" s="26" t="n">
        <f aca="false">E249+IF(U249="SW",1,0)</f>
        <v>12</v>
      </c>
      <c r="F250" s="26" t="n">
        <f aca="false">F249+IF(U249="AB",1,0)</f>
        <v>10</v>
      </c>
      <c r="G250" s="26" t="n">
        <f aca="false">G249+IF(U249="SC",1,0)</f>
        <v>7</v>
      </c>
      <c r="H250" s="26" t="n">
        <f aca="false">H249+IF(U249="Mag",1,0)</f>
        <v>5</v>
      </c>
      <c r="I250" s="26" t="n">
        <f aca="false">MAX(I249,IF(U249="OR",1,0))</f>
        <v>1</v>
      </c>
      <c r="J250" s="26" t="n">
        <f aca="false">MAX(J249,IF(U249="HP",1,0))</f>
        <v>1</v>
      </c>
      <c r="K250" s="26" t="n">
        <f aca="false">MAX(K249,IF(U249="FP",1,0))</f>
        <v>1</v>
      </c>
      <c r="L250" s="26" t="n">
        <f aca="false">MAX(L249,IF(U249="transition",1,0))</f>
        <v>1</v>
      </c>
      <c r="M250" s="28" t="n">
        <f aca="false">(Parameters!$B$9+(IF(E250=0,0,(Upgrades!$J$6+E250*Upgrades!$K$6)*POWER(Upgrades!$L$6,E250)))*(IF(Upgrades!$T$7="Solar Wind",POWER(Upgrades!$U$7,F250),1)*IF(Upgrades!$T$8="Solar Wind",POWER(Upgrades!$U$8,G250),1)*IF(Upgrades!$T$9="Solar Wind",POWER(Upgrades!$U$9,H250),1)*IF(Upgrades!$T$10="Solar Wind",POWER(Upgrades!$U$10,I250),1)*IF(Upgrades!$T$11="Solar Wind",POWER(Upgrades!$U$11,J250),1)*IF(Upgrades!$T$12="Solar Wind",POWER(Upgrades!$U$12,K250),1))+(IF(F250=0,0,(Upgrades!$J$7+F250*Upgrades!$K$7)*POWER(Upgrades!$L$7,F250)))*(IF(Upgrades!$T$6="Asteroid Belt",POWER(Upgrades!$U$6,E250),1)*IF(Upgrades!$T$8="Asteroid Belt",POWER(Upgrades!$U$8,G250),1)*IF(Upgrades!$T$9="Asteroid Belt",POWER(Upgrades!$U$9,H250),1)*IF(Upgrades!$T$10="Asteroid Belt",POWER(Upgrades!$U$10,I250),1)*IF(Upgrades!$T$11="Asteroid Belt",POWER(Upgrades!$U$11,J250),1)*IF(Upgrades!$T$12="Asteroid Belt",POWER(Upgrades!$U$12,K250),1))+(IF(G250=0,0,(Upgrades!$J$8+G250*Upgrades!$K$8)*POWER(Upgrades!$L$8,G250)))*(IF(Upgrades!$T$6="Stellar Coupling",POWER(Upgrades!$U$6,E250),1)*IF(Upgrades!$T$7="Stellar Coupling",POWER(Upgrades!$U$7,F250),1)*IF(Upgrades!$T$9="Stellar Coupling",POWER(Upgrades!$U$9,H250),1)*IF(Upgrades!$T$10="Stellar Coupling",POWER(Upgrades!$U$10,I250),1)*IF(Upgrades!$T$11="Stellar Coupling",POWER(Upgrades!$U$11,J250),1)*IF(Upgrades!$T$12="Stellar Coupling",POWER(Upgrades!$U$12,K250),1))+(IF(H250=0,0,(Upgrades!$J$9+H250*Upgrades!$K$9)*POWER(Upgrades!$L$9,H250)))*(IF(Upgrades!$T$6="Magnetosphere",POWER(Upgrades!$U$6,E250),1)*IF(Upgrades!$T$7="Magnetosphere",POWER(Upgrades!$U$7,F250),1)*IF(Upgrades!$T$8="Magnetosphere",POWER(Upgrades!$U$8,G250),1)*IF(Upgrades!$T$10="Magnetosphere",POWER(Upgrades!$U$10,I250),1)*IF(Upgrades!$T$11="Magnetosphere",POWER(Upgrades!$U$11,J250),1)*IF(Upgrades!$T$12="Magnetosphere",POWER(Upgrades!$U$12,K250),1))+(IF(I250=0,0,(Upgrades!$J$10+I250*Upgrades!$K$10)*POWER(Upgrades!$L$10,I250)))*(IF(Upgrades!$T$6="Orbital Resonance",POWER(Upgrades!$U$6,E250),1)*IF(Upgrades!$T$7="Orbital Resonance",POWER(Upgrades!$U$7,F250),1)*IF(Upgrades!$T$8="Orbital Resonance",POWER(Upgrades!$U$8,G250),1)*IF(Upgrades!$T$9="Orbital Resonance",POWER(Upgrades!$U$9,H250),1)*IF(Upgrades!$T$11="Orbital Resonance",POWER(Upgrades!$U$11,J250),1)*IF(Upgrades!$T$12="Orbital Resonance",POWER(Upgrades!$U$12,K250),1))+(IF(J250=0,0,(Upgrades!$J$11+J250*Upgrades!$K$11)*POWER(Upgrades!$L$11,J250)))*(IF(Upgrades!$T$6="Heliopause",POWER(Upgrades!$U$6,E250),1)*IF(Upgrades!$T$7="Heliopause",POWER(Upgrades!$U$7,F250),1)*IF(Upgrades!$T$8="Heliopause",POWER(Upgrades!$U$8,G250),1)*IF(Upgrades!$T$9="Heliopause",POWER(Upgrades!$U$9,H250),1)*IF(Upgrades!$T$10="Heliopause",POWER(Upgrades!$U$10,I250),1)*IF(Upgrades!$T$12="Heliopause",POWER(Upgrades!$U$12,K250),1))+(IF(K250=0,0,(Upgrades!$J$12+K250*Upgrades!$K$12)*POWER(Upgrades!$L$12,K250)))*(IF(Upgrades!$T$6="First Photons",POWER(Upgrades!$U$6,E250),1)*IF(Upgrades!$T$7="First Photons",POWER(Upgrades!$U$7,F250),1)*IF(Upgrades!$T$8="First Photons",POWER(Upgrades!$U$8,G250),1)*IF(Upgrades!$T$9="First Photons",POWER(Upgrades!$U$9,H250),1)*IF(Upgrades!$T$10="First Photons",POWER(Upgrades!$U$10,I250),1)*IF(Upgrades!$T$11="First Photons",POWER(Upgrades!$U$11,J250),1)))*POWER(Upgrades!$Q$6,E250)*POWER(Upgrades!$Q$7,F250)*POWER(Upgrades!$Q$8,G250)*POWER(Upgrades!$Q$9,H250)*POWER(Upgrades!$Q$10,I250)*POWER(Upgrades!$Q$11,J250)*POWER(Upgrades!$Q$12,K250)</f>
        <v>5.61</v>
      </c>
      <c r="N250" s="28" t="n">
        <f aca="false">((IF(E250=0,0,(Upgrades!$G$6+E250*Upgrades!$H$6)*POWER(Upgrades!$I$6,E250)))*(IF(Upgrades!$T$7="Solar Wind",POWER(Upgrades!$U$7,F250),1)*IF(Upgrades!$T$8="Solar Wind",POWER(Upgrades!$U$8,G250),1)*IF(Upgrades!$T$9="Solar Wind",POWER(Upgrades!$U$9,H250),1)*IF(Upgrades!$T$10="Solar Wind",POWER(Upgrades!$U$10,I250),1)*IF(Upgrades!$T$11="Solar Wind",POWER(Upgrades!$U$11,J250),1)*IF(Upgrades!$T$12="Solar Wind",POWER(Upgrades!$U$12,K250),1))+(IF(F250=0,0,(Upgrades!$G$7+F250*Upgrades!$H$7)*POWER(Upgrades!$I$7,F250)))*(IF(Upgrades!$T$6="Asteroid Belt",POWER(Upgrades!$U$6,E250),1)*IF(Upgrades!$T$8="Asteroid Belt",POWER(Upgrades!$U$8,G250),1)*IF(Upgrades!$T$9="Asteroid Belt",POWER(Upgrades!$U$9,H250),1)*IF(Upgrades!$T$10="Asteroid Belt",POWER(Upgrades!$U$10,I250),1)*IF(Upgrades!$T$11="Asteroid Belt",POWER(Upgrades!$U$11,J250),1)*IF(Upgrades!$T$12="Asteroid Belt",POWER(Upgrades!$U$12,K250),1))+(IF(G250=0,0,(Upgrades!$G$8+G250*Upgrades!$H$8)*POWER(Upgrades!$I$8,G250)))*(IF(Upgrades!$T$6="Stellar Coupling",POWER(Upgrades!$U$6,E250),1)*IF(Upgrades!$T$7="Stellar Coupling",POWER(Upgrades!$U$7,F250),1)*IF(Upgrades!$T$9="Stellar Coupling",POWER(Upgrades!$U$9,H250),1)*IF(Upgrades!$T$10="Stellar Coupling",POWER(Upgrades!$U$10,I250),1)*IF(Upgrades!$T$11="Stellar Coupling",POWER(Upgrades!$U$11,J250),1)*IF(Upgrades!$T$12="Stellar Coupling",POWER(Upgrades!$U$12,K250),1))+(IF(H250=0,0,(Upgrades!$G$9+H250*Upgrades!$H$9)*POWER(Upgrades!$I$9,H250)))*(IF(Upgrades!$T$6="Magnetosphere",POWER(Upgrades!$U$6,E250),1)*IF(Upgrades!$T$7="Magnetosphere",POWER(Upgrades!$U$7,F250),1)*IF(Upgrades!$T$8="Magnetosphere",POWER(Upgrades!$U$8,G250),1)*IF(Upgrades!$T$10="Magnetosphere",POWER(Upgrades!$U$10,I250),1)*IF(Upgrades!$T$11="Magnetosphere",POWER(Upgrades!$U$11,J250),1)*IF(Upgrades!$T$12="Magnetosphere",POWER(Upgrades!$U$12,K250),1))+(IF(I250=0,0,(Upgrades!$G$10+I250*Upgrades!$H$10)*POWER(Upgrades!$I$10,I250)))*(IF(Upgrades!$T$6="Orbital Resonance",POWER(Upgrades!$U$6,E250),1)*IF(Upgrades!$T$7="Orbital Resonance",POWER(Upgrades!$U$7,F250),1)*IF(Upgrades!$T$8="Orbital Resonance",POWER(Upgrades!$U$8,G250),1)*IF(Upgrades!$T$9="Orbital Resonance",POWER(Upgrades!$U$9,H250),1)*IF(Upgrades!$T$11="Orbital Resonance",POWER(Upgrades!$U$11,J250),1)*IF(Upgrades!$T$12="Orbital Resonance",POWER(Upgrades!$U$12,K250),1))+(IF(J250=0,0,(Upgrades!$G$11+J250*Upgrades!$H$11)*POWER(Upgrades!$I$11,J250)))*(IF(Upgrades!$T$6="Heliopause",POWER(Upgrades!$U$6,E250),1)*IF(Upgrades!$T$7="Heliopause",POWER(Upgrades!$U$7,F250),1)*IF(Upgrades!$T$8="Heliopause",POWER(Upgrades!$U$8,G250),1)*IF(Upgrades!$T$9="Heliopause",POWER(Upgrades!$U$9,H250),1)*IF(Upgrades!$T$10="Heliopause",POWER(Upgrades!$U$10,I250),1)*IF(Upgrades!$T$12="Heliopause",POWER(Upgrades!$U$12,K250),1))+(IF(K250=0,0,(Upgrades!$G$12+K250*Upgrades!$H$12)*POWER(Upgrades!$I$12,K250)))*(IF(Upgrades!$T$6="First Photons",POWER(Upgrades!$U$6,E250),1)*IF(Upgrades!$T$7="First Photons",POWER(Upgrades!$U$7,F250),1)*IF(Upgrades!$T$8="First Photons",POWER(Upgrades!$U$8,G250),1)*IF(Upgrades!$T$9="First Photons",POWER(Upgrades!$U$9,H250),1)*IF(Upgrades!$T$10="First Photons",POWER(Upgrades!$U$10,I250),1)*IF(Upgrades!$T$11="First Photons",POWER(Upgrades!$U$11,J250),1)))*POWER(Upgrades!$P$6,E250)*POWER(Upgrades!$P$7,F250)*POWER(Upgrades!$P$8,G250)*POWER(Upgrades!$P$9,H250)*POWER(Upgrades!$P$10,I250)*POWER(Upgrades!$P$11,J250)*POWER(Upgrades!$P$12,K250)</f>
        <v>11.2</v>
      </c>
      <c r="O250" s="28" t="n">
        <f aca="false">((IF(E250=0,0,(Upgrades!$M$6+E250*Upgrades!$N$6)*POWER(Upgrades!$O$6,E250)))*(IF(Upgrades!$T$7="Solar Wind",POWER(Upgrades!$U$7,F250),1)*IF(Upgrades!$T$8="Solar Wind",POWER(Upgrades!$U$8,G250),1)*IF(Upgrades!$T$9="Solar Wind",POWER(Upgrades!$U$9,H250),1)*IF(Upgrades!$T$10="Solar Wind",POWER(Upgrades!$U$10,I250),1)*IF(Upgrades!$T$11="Solar Wind",POWER(Upgrades!$U$11,J250),1)*IF(Upgrades!$T$12="Solar Wind",POWER(Upgrades!$U$12,K250),1))+(IF(F250=0,0,(Upgrades!$M$7+F250*Upgrades!$N$7)*POWER(Upgrades!$O$7,F250)))*(IF(Upgrades!$T$6="Asteroid Belt",POWER(Upgrades!$U$6,E250),1)*IF(Upgrades!$T$8="Asteroid Belt",POWER(Upgrades!$U$8,G250),1)*IF(Upgrades!$T$9="Asteroid Belt",POWER(Upgrades!$U$9,H250),1)*IF(Upgrades!$T$10="Asteroid Belt",POWER(Upgrades!$U$10,I250),1)*IF(Upgrades!$T$11="Asteroid Belt",POWER(Upgrades!$U$11,J250),1)*IF(Upgrades!$T$12="Asteroid Belt",POWER(Upgrades!$U$12,K250),1))+(IF(G250=0,0,(Upgrades!$M$8+G250*Upgrades!$N$8)*POWER(Upgrades!$O$8,G250)))*(IF(Upgrades!$T$6="Stellar Coupling",POWER(Upgrades!$U$6,E250),1)*IF(Upgrades!$T$7="Stellar Coupling",POWER(Upgrades!$U$7,F250),1)*IF(Upgrades!$T$9="Stellar Coupling",POWER(Upgrades!$U$9,H250),1)*IF(Upgrades!$T$10="Stellar Coupling",POWER(Upgrades!$U$10,I250),1)*IF(Upgrades!$T$11="Stellar Coupling",POWER(Upgrades!$U$11,J250),1)*IF(Upgrades!$T$12="Stellar Coupling",POWER(Upgrades!$U$12,K250),1))+(IF(H250=0,0,(Upgrades!$M$9+H250*Upgrades!$N$9)*POWER(Upgrades!$O$9,H250)))*(IF(Upgrades!$T$6="Magnetosphere",POWER(Upgrades!$U$6,E250),1)*IF(Upgrades!$T$7="Magnetosphere",POWER(Upgrades!$U$7,F250),1)*IF(Upgrades!$T$8="Magnetosphere",POWER(Upgrades!$U$8,G250),1)*IF(Upgrades!$T$10="Magnetosphere",POWER(Upgrades!$U$10,I250),1)*IF(Upgrades!$T$11="Magnetosphere",POWER(Upgrades!$U$11,J250),1)*IF(Upgrades!$T$12="Magnetosphere",POWER(Upgrades!$U$12,K250),1))+(IF(I250=0,0,(Upgrades!$M$10+I250*Upgrades!$N$10)*POWER(Upgrades!$O$10,I250)))*(IF(Upgrades!$T$6="Orbital Resonance",POWER(Upgrades!$U$6,E250),1)*IF(Upgrades!$T$7="Orbital Resonance",POWER(Upgrades!$U$7,F250),1)*IF(Upgrades!$T$8="Orbital Resonance",POWER(Upgrades!$U$8,G250),1)*IF(Upgrades!$T$9="Orbital Resonance",POWER(Upgrades!$U$9,H250),1)*IF(Upgrades!$T$11="Orbital Resonance",POWER(Upgrades!$U$11,J250),1)*IF(Upgrades!$T$12="Orbital Resonance",POWER(Upgrades!$U$12,K250),1))+(IF(J250=0,0,(Upgrades!$M$11+J250*Upgrades!$N$11)*POWER(Upgrades!$O$11,J250)))*(IF(Upgrades!$T$6="Heliopause",POWER(Upgrades!$U$6,E250),1)*IF(Upgrades!$T$7="Heliopause",POWER(Upgrades!$U$7,F250),1)*IF(Upgrades!$T$8="Heliopause",POWER(Upgrades!$U$8,G250),1)*IF(Upgrades!$T$9="Heliopause",POWER(Upgrades!$U$9,H250),1)*IF(Upgrades!$T$10="Heliopause",POWER(Upgrades!$U$10,I250),1)*IF(Upgrades!$T$12="Heliopause",POWER(Upgrades!$U$12,K250),1))+(IF(K250=0,0,(Upgrades!$M$12+K250*Upgrades!$N$12)*POWER(Upgrades!$O$12,K250)))*(IF(Upgrades!$T$6="First Photons",POWER(Upgrades!$U$6,E250),1)*IF(Upgrades!$T$7="First Photons",POWER(Upgrades!$U$7,F250),1)*IF(Upgrades!$T$8="First Photons",POWER(Upgrades!$U$8,G250),1)*IF(Upgrades!$T$9="First Photons",POWER(Upgrades!$U$9,H250),1)*IF(Upgrades!$T$10="First Photons",POWER(Upgrades!$U$10,I250),1)*IF(Upgrades!$T$11="First Photons",POWER(Upgrades!$U$11,J250),1)))*POWER(Upgrades!$R$6,E250)*POWER(Upgrades!$R$7,F250)*POWER(Upgrades!$R$8,G250)*POWER(Upgrades!$R$9,H250)*POWER(Upgrades!$R$10,I250)*POWER(Upgrades!$R$11,J250)*POWER(Upgrades!$R$12,K250)</f>
        <v>0</v>
      </c>
      <c r="P250" s="27" t="n">
        <f aca="false">IF(L250=1,0,M250*Parameters!$B$10/60*Parameters!$B$11*10)</f>
        <v>0</v>
      </c>
      <c r="Q250" s="27" t="n">
        <f aca="false">IF(L250=1,0,O250*M250*10)</f>
        <v>0</v>
      </c>
      <c r="R250" s="27" t="n">
        <f aca="false">IF(L250=1,0,N250*10)</f>
        <v>0</v>
      </c>
      <c r="S250" s="27" t="n">
        <f aca="false">P250+Q250+R250</f>
        <v>0</v>
      </c>
      <c r="T250" s="21" t="n">
        <f aca="false">C250+S250</f>
        <v>18.6730249835055</v>
      </c>
      <c r="U250" s="34" t="str">
        <f aca="false">AX250</f>
        <v/>
      </c>
      <c r="V250" s="21" t="n">
        <f aca="false">IF(U250="",0,IF(U250="transition",0,IF(U250="SW",AG250,IF(U250="AB",AH250,IF(U250="SC",AI250,IF(U250="Mag",AJ250,IF(U250="OR",AK250,IF(U250="HP",AL250,IF(U250="FP",AM250,0)))))))))</f>
        <v>0</v>
      </c>
      <c r="W250" s="27" t="n">
        <f aca="false">IF(U250="OR",Upgrades!$F$10,IF(U250="HP",Upgrades!$F$11,IF(U250="transition",-Parameters!$B$18,0)))</f>
        <v>0</v>
      </c>
      <c r="X250" s="21" t="n">
        <f aca="false">T250-V250</f>
        <v>18.6730249835055</v>
      </c>
      <c r="Y250" s="30" t="n">
        <f aca="false">M250*Parameters!$B$10/60*Parameters!$B$11+O250*M250+N250</f>
        <v>20.55</v>
      </c>
      <c r="Z250" s="35" t="str">
        <f aca="false">IF(U250="transition","→ Tier 2 (Stellar Neighborhood)",IF(U250="FP","First Photons — light begins, system quickens",IF(U250="HP","Heliopause acquired",IF(U250="OR","Orbital Resonance — passive multiplier active",IF(AND(AO250=1,L250=0,AN250&lt;&gt;1),"Cohesion ready (waiting on completionist upgrades)","")))))</f>
        <v/>
      </c>
      <c r="AA250" s="27" t="n">
        <f aca="false">(IF(E250=0,0,(Upgrades!$G$6+E250*Upgrades!$H$6)*POWER(Upgrades!$I$6,E250)))*(IF(Upgrades!$T$7="Solar Wind",POWER(Upgrades!$U$7,F250),1)*IF(Upgrades!$T$8="Solar Wind",POWER(Upgrades!$U$8,G250),1)*IF(Upgrades!$T$9="Solar Wind",POWER(Upgrades!$U$9,H250),1)*IF(Upgrades!$T$10="Solar Wind",POWER(Upgrades!$U$10,I250),1)*IF(Upgrades!$T$11="Solar Wind",POWER(Upgrades!$U$11,J250),1)*IF(Upgrades!$T$12="Solar Wind",POWER(Upgrades!$U$12,K250),1))*POWER(Upgrades!$P$6,E250)*POWER(Upgrades!$P$7,F250)*POWER(Upgrades!$P$8,G250)*POWER(Upgrades!$P$9,H250)*POWER(Upgrades!$P$10,I250)*POWER(Upgrades!$P$11,J250)*POWER(Upgrades!$P$12,K250)*60</f>
        <v>72</v>
      </c>
      <c r="AB250" s="27" t="n">
        <f aca="false">(IF(F250=0,0,(Upgrades!$G$7+F250*Upgrades!$H$7)*POWER(Upgrades!$I$7,F250)))*(IF(Upgrades!$T$6="Asteroid Belt",POWER(Upgrades!$U$6,E250),1)*IF(Upgrades!$T$8="Asteroid Belt",POWER(Upgrades!$U$8,G250),1)*IF(Upgrades!$T$9="Asteroid Belt",POWER(Upgrades!$U$9,H250),1)*IF(Upgrades!$T$10="Asteroid Belt",POWER(Upgrades!$U$10,I250),1)*IF(Upgrades!$T$11="Asteroid Belt",POWER(Upgrades!$U$11,J250),1)*IF(Upgrades!$T$12="Asteroid Belt",POWER(Upgrades!$U$12,K250),1))*POWER(Upgrades!$P$6,E250)*POWER(Upgrades!$P$7,F250)*POWER(Upgrades!$P$8,G250)*POWER(Upgrades!$P$9,H250)*POWER(Upgrades!$P$10,I250)*POWER(Upgrades!$P$11,J250)*POWER(Upgrades!$P$12,K250)*60</f>
        <v>150</v>
      </c>
      <c r="AC250" s="27" t="n">
        <f aca="false">(IF(G250=0,0,(Upgrades!$J$8+G250*Upgrades!$K$8)*POWER(Upgrades!$L$8,G250)))*(IF(Upgrades!$T$6="Stellar Coupling",POWER(Upgrades!$U$6,E250),1)*IF(Upgrades!$T$7="Stellar Coupling",POWER(Upgrades!$U$7,F250),1)*IF(Upgrades!$T$9="Stellar Coupling",POWER(Upgrades!$U$9,H250),1)*IF(Upgrades!$T$10="Stellar Coupling",POWER(Upgrades!$U$10,I250),1)*IF(Upgrades!$T$11="Stellar Coupling",POWER(Upgrades!$U$11,J250),1)*IF(Upgrades!$T$12="Stellar Coupling",POWER(Upgrades!$U$12,K250),1))*POWER(Upgrades!$Q$6,E250)*POWER(Upgrades!$Q$7,F250)*POWER(Upgrades!$Q$8,G250)*POWER(Upgrades!$Q$9,H250)*POWER(Upgrades!$Q$10,I250)*POWER(Upgrades!$Q$11,J250)*POWER(Upgrades!$Q$12,K250)*Parameters!$B$10*Parameters!$B$11</f>
        <v>441</v>
      </c>
      <c r="AD250" s="27" t="n">
        <f aca="false">(IF(H250=0,0,(Upgrades!$G$9+H250*Upgrades!$H$9)*POWER(Upgrades!$I$9,H250)))*(IF(Upgrades!$T$6="Magnetosphere",POWER(Upgrades!$U$6,E250),1)*IF(Upgrades!$T$7="Magnetosphere",POWER(Upgrades!$U$7,F250),1)*IF(Upgrades!$T$8="Magnetosphere",POWER(Upgrades!$U$8,G250),1)*IF(Upgrades!$T$10="Magnetosphere",POWER(Upgrades!$U$10,I250),1)*IF(Upgrades!$T$11="Magnetosphere",POWER(Upgrades!$U$11,J250),1)*IF(Upgrades!$T$12="Magnetosphere",POWER(Upgrades!$U$12,K250),1))*POWER(Upgrades!$P$6,E250)*POWER(Upgrades!$P$7,F250)*POWER(Upgrades!$P$8,G250)*POWER(Upgrades!$P$9,H250)*POWER(Upgrades!$P$10,I250)*POWER(Upgrades!$P$11,J250)*POWER(Upgrades!$P$12,K250)*60</f>
        <v>375</v>
      </c>
      <c r="AE250" s="27" t="n">
        <f aca="false">(IF(K250=0,0,(Upgrades!$G$12+K250*Upgrades!$H$12)*POWER(Upgrades!$I$12,K250)))*(IF(Upgrades!$T$6="First Photons",POWER(Upgrades!$U$6,E250),1)*IF(Upgrades!$T$7="First Photons",POWER(Upgrades!$U$7,F250),1)*IF(Upgrades!$T$8="First Photons",POWER(Upgrades!$U$8,G250),1)*IF(Upgrades!$T$9="First Photons",POWER(Upgrades!$U$9,H250),1)*IF(Upgrades!$T$10="First Photons",POWER(Upgrades!$U$10,I250),1)*IF(Upgrades!$T$11="First Photons",POWER(Upgrades!$U$11,J250),1))*POWER(Upgrades!$P$6,E250)*POWER(Upgrades!$P$7,F250)*POWER(Upgrades!$P$8,G250)*POWER(Upgrades!$P$9,H250)*POWER(Upgrades!$P$10,I250)*POWER(Upgrades!$P$11,J250)*POWER(Upgrades!$P$12,K250)*60</f>
        <v>75</v>
      </c>
      <c r="AF250" s="27" t="n">
        <f aca="false">Parameters!$B$9*POWER(Upgrades!$Q$6,E250)*POWER(Upgrades!$Q$7,F250)*POWER(Upgrades!$Q$8,G250)*POWER(Upgrades!$Q$9,H250)*POWER(Upgrades!$Q$10,I250)*POWER(Upgrades!$Q$11,J250)*POWER(Upgrades!$Q$12,K250)*(Parameters!$B$10*Parameters!$B$11+O250*60)</f>
        <v>120</v>
      </c>
      <c r="AG250" s="21" t="n">
        <f aca="false">IF(E250&gt;=Upgrades!$E$6,"",Upgrades!$C$6*POWER(Upgrades!$D$6,E250))</f>
        <v>37.4517507383159</v>
      </c>
      <c r="AH250" s="21" t="n">
        <f aca="false">IF(F250&gt;=Upgrades!$E$7,"",Upgrades!$C$7*POWER(Upgrades!$D$7,F250))</f>
        <v>80.9111547141581</v>
      </c>
      <c r="AI250" s="21" t="n">
        <f aca="false">IF(G250&gt;=Upgrades!$E$8,"",Upgrades!$C$8*POWER(Upgrades!$D$8,G250))</f>
        <v>231.9097088</v>
      </c>
      <c r="AJ250" s="21" t="str">
        <f aca="false">IF(H250&gt;=Upgrades!$E$9,"",Upgrades!$C$9*POWER(Upgrades!$D$9,H250))</f>
        <v/>
      </c>
      <c r="AK250" s="21" t="str">
        <f aca="false">IF(I250&gt;=Upgrades!$E$10,"",Upgrades!$C$10*POWER(Upgrades!$D$10,I250))</f>
        <v/>
      </c>
      <c r="AL250" s="21" t="str">
        <f aca="false">IF(J250&gt;=Upgrades!$E$11,"",Upgrades!$C$11*POWER(Upgrades!$D$11,J250))</f>
        <v/>
      </c>
      <c r="AM250" s="21" t="str">
        <f aca="false">IF(K250&gt;=Upgrades!$E$12,"",Upgrades!$C$12*POWER(Upgrades!$D$12,K250))</f>
        <v/>
      </c>
      <c r="AN250" s="26" t="str">
        <f aca="false">IF(AND(D250&gt;=Parameters!$B$18,(H250&gt;=Upgrades!$E$9)*(K250&gt;=Upgrades!$E$12)=1,L250=0),1,"")</f>
        <v/>
      </c>
      <c r="AO250" s="26" t="str">
        <f aca="false">IF(AND(D250&gt;=Parameters!$B$18,L250=0),1,"")</f>
        <v/>
      </c>
      <c r="AP250" s="21" t="n">
        <f aca="false">MIN(IF(ISNUMBER(AK250),AK250,9000000000000000),IF(ISNUMBER(AL250),AL250,9000000000000000),IF(ISNUMBER(AM250),AM250,9000000000000000))</f>
        <v>9000000000000000</v>
      </c>
      <c r="AQ250" s="21" t="n">
        <f aca="false">MIN(IF(ISNUMBER(AG250),AG250,9000000000000000),IF(ISNUMBER(AH250),AH250,9000000000000000),IF(ISNUMBER(AI250),AI250,9000000000000000),IF(ISNUMBER(AJ250),AJ250,9000000000000000))</f>
        <v>37.4517507383159</v>
      </c>
      <c r="AR250" s="32" t="b">
        <f aca="false">IF(AW250&gt;Parameters!$B$21*(MAX(IF(AND(NOT(AND(AO250=1,AN250&lt;&gt;1)),ISNUMBER(AG250),AG250&lt;=T250),AS250,0),IF(AND(NOT(AND(AO250=1,AN250&lt;&gt;1)),ISNUMBER(AH250),AH250&lt;=T250),AT250,0),IF(AND(NOT(AND(AO250=1,AN250&lt;&gt;1)),ISNUMBER(AI250),AI250&lt;=T250),AU250,0),IF(AND(ISNUMBER(AJ250),AJ250&lt;=T250),AV250,0))),TRUE(),FALSE())</f>
        <v>1</v>
      </c>
      <c r="AS250" s="33" t="n">
        <f aca="false">IFERROR(Upgrades!$H$6*(POWER(Upgrades!$P$6,E250)*POWER(Upgrades!$P$7,F250)*POWER(Upgrades!$P$8,G250)*POWER(Upgrades!$P$9,H250)*POWER(Upgrades!$P$10,I250)*POWER(Upgrades!$P$11,J250)*POWER(Upgrades!$P$12,K250))*(IF(Upgrades!$T$7="Solar Wind",POWER(Upgrades!$U$7,F250),1)*IF(Upgrades!$T$8="Solar Wind",POWER(Upgrades!$U$8,G250),1)*IF(Upgrades!$T$9="Solar Wind",POWER(Upgrades!$U$9,H250),1)*IF(Upgrades!$T$10="Solar Wind",POWER(Upgrades!$U$10,I250),1)*IF(Upgrades!$T$11="Solar Wind",POWER(Upgrades!$U$11,J250),1)*IF(Upgrades!$T$12="Solar Wind",POWER(Upgrades!$U$12,K250),1))/AG250,0)</f>
        <v>0.0026701021455238</v>
      </c>
      <c r="AT250" s="33" t="n">
        <f aca="false">IFERROR(Upgrades!$H$7*(POWER(Upgrades!$P$6,E250)*POWER(Upgrades!$P$7,F250)*POWER(Upgrades!$P$8,G250)*POWER(Upgrades!$P$9,H250)*POWER(Upgrades!$P$10,I250)*POWER(Upgrades!$P$11,J250)*POWER(Upgrades!$P$12,K250))*(IF(Upgrades!$T$6="Asteroid Belt",POWER(Upgrades!$U$6,E250),1)*IF(Upgrades!$T$8="Asteroid Belt",POWER(Upgrades!$U$8,G250),1)*IF(Upgrades!$T$9="Asteroid Belt",POWER(Upgrades!$U$9,H250),1)*IF(Upgrades!$T$10="Asteroid Belt",POWER(Upgrades!$U$10,I250),1)*IF(Upgrades!$T$11="Asteroid Belt",POWER(Upgrades!$U$11,J250),1)*IF(Upgrades!$T$12="Asteroid Belt",POWER(Upgrades!$U$12,K250),1))/AH250,0)</f>
        <v>0.00308980882652332</v>
      </c>
      <c r="AU250" s="33" t="n">
        <f aca="false">IFERROR(Upgrades!$K$8*(POWER(Upgrades!$Q$6,E250)*POWER(Upgrades!$Q$7,F250)*POWER(Upgrades!$Q$8,G250)*POWER(Upgrades!$Q$9,H250)*POWER(Upgrades!$Q$10,I250)*POWER(Upgrades!$Q$11,J250)*POWER(Upgrades!$Q$12,K250))*(IF(Upgrades!$T$6="Stellar Coupling",POWER(Upgrades!$U$6,E250),1)*IF(Upgrades!$T$7="Stellar Coupling",POWER(Upgrades!$U$7,F250),1)*IF(Upgrades!$T$9="Stellar Coupling",POWER(Upgrades!$U$9,H250),1)*IF(Upgrades!$T$10="Stellar Coupling",POWER(Upgrades!$U$10,I250),1)*IF(Upgrades!$T$11="Stellar Coupling",POWER(Upgrades!$U$11,J250),1)*IF(Upgrades!$T$12="Stellar Coupling",POWER(Upgrades!$U$12,K250),1))*Parameters!$B$10*Parameters!$B$11/60/AI250,0)</f>
        <v>0.00452762415783776</v>
      </c>
      <c r="AV250" s="33" t="n">
        <f aca="false">IFERROR(Upgrades!$H$9*(POWER(Upgrades!$P$6,E250)*POWER(Upgrades!$P$7,F250)*POWER(Upgrades!$P$8,G250)*POWER(Upgrades!$P$9,H250)*POWER(Upgrades!$P$10,I250)*POWER(Upgrades!$P$11,J250)*POWER(Upgrades!$P$12,K250))*(IF(Upgrades!$T$6="Magnetosphere",POWER(Upgrades!$U$6,E250),1)*IF(Upgrades!$T$7="Magnetosphere",POWER(Upgrades!$U$7,F250),1)*IF(Upgrades!$T$8="Magnetosphere",POWER(Upgrades!$U$8,G250),1)*IF(Upgrades!$T$10="Magnetosphere",POWER(Upgrades!$U$10,I250),1)*IF(Upgrades!$T$11="Magnetosphere",POWER(Upgrades!$U$11,J250),1)*IF(Upgrades!$T$12="Magnetosphere",POWER(Upgrades!$U$12,K250),1))/AJ250,0)</f>
        <v>0</v>
      </c>
      <c r="AW250" s="33" t="n">
        <f aca="false">MAX(IF(I250&gt;0,0,IFERROR(0.25*N250/Upgrades!$C$10,0)),IF(J250&gt;0,0,IFERROR(0.5*((IF(G250=0,0,(Upgrades!$J$8+G250*Upgrades!$K$8)*POWER(Upgrades!$L$8,G250)))*(IF(Upgrades!$T$6="Stellar Coupling",POWER(Upgrades!$U$6,E250),1)*IF(Upgrades!$T$7="Stellar Coupling",POWER(Upgrades!$U$7,F250),1)*IF(Upgrades!$T$9="Stellar Coupling",POWER(Upgrades!$U$9,H250),1)*IF(Upgrades!$T$10="Stellar Coupling",POWER(Upgrades!$U$10,I250),1)*IF(Upgrades!$T$11="Stellar Coupling",POWER(Upgrades!$U$11,J250),1)*IF(Upgrades!$T$12="Stellar Coupling",POWER(Upgrades!$U$12,K250),1))*(POWER(Upgrades!$Q$6,E250)*POWER(Upgrades!$Q$7,F250)*POWER(Upgrades!$Q$8,G250)*POWER(Upgrades!$Q$9,H250)*POWER(Upgrades!$Q$10,I250)*POWER(Upgrades!$Q$11,J250)*POWER(Upgrades!$Q$12,K250))*Parameters!$B$10*Parameters!$B$11/60)/Upgrades!$C$11,0)),IF(K250&gt;0,0,IFERROR((1*(POWER(Upgrades!$P$6,E250)*POWER(Upgrades!$P$7,F250)*POWER(Upgrades!$P$8,G250)*POWER(Upgrades!$P$9,H250)*POWER(Upgrades!$P$10,I250)*POWER(Upgrades!$P$11,J250)*POWER(Upgrades!$P$12,K250))+0.2*M250*Parameters!$B$10*Parameters!$B$11/60)/Upgrades!$C$12,0)),IF(AND(ISNUMBER(AG250),AG250&gt;T250),AS250,0),IF(AND(ISNUMBER(AH250),AH250&gt;T250),AT250,0),IF(AND(ISNUMBER(AI250),AI250&gt;T250),AU250,0),IF(AND(ISNUMBER(AJ250),AJ250&gt;T250),AV250,0))</f>
        <v>0.00452762415783776</v>
      </c>
      <c r="AX250" s="29" t="str">
        <f aca="false">IF(AN250=1,"transition",IF(MIN(IF(AND(I250=0,ISNUMBER(AK250),AK250&lt;=T250),AK250,9000000000000000),IF(AND(J250=0,ISNUMBER(AL250),AL250&lt;=T250),AL250,9000000000000000),IF(AND(K250=0,ISNUMBER(AM250),AM250&lt;=T250),AM250,9000000000000000))&lt;9000000000000000,IF(AND(AND(I250=0,ISNUMBER(AK250),AK250&lt;=T250),AK250=MIN(IF(AND(I250=0,ISNUMBER(AK250),AK250&lt;=T250),AK250,9000000000000000),IF(AND(J250=0,ISNUMBER(AL250),AL250&lt;=T250),AL250,9000000000000000),IF(AND(K250=0,ISNUMBER(AM250),AM250&lt;=T250),AM250,9000000000000000))),"OR",IF(AND(AND(J250=0,ISNUMBER(AL250),AL250&lt;=T250),AL250=MIN(IF(AND(I250=0,ISNUMBER(AK250),AK250&lt;=T250),AK250,9000000000000000),IF(AND(J250=0,ISNUMBER(AL250),AL250&lt;=T250),AL250,9000000000000000),IF(AND(K250=0,ISNUMBER(AM250),AM250&lt;=T250),AM250,9000000000000000))),"HP","FP")),IF(AR250=TRUE(),"",IF(MAX(IF(AND(NOT(AND(AO250=1,AN250&lt;&gt;1)),ISNUMBER(AG250),AG250&lt;=T250),AS250,0),IF(AND(NOT(AND(AO250=1,AN250&lt;&gt;1)),ISNUMBER(AH250),AH250&lt;=T250),AT250,0),IF(AND(NOT(AND(AO250=1,AN250&lt;&gt;1)),ISNUMBER(AI250),AI250&lt;=T250),AU250,0),IF(AND(ISNUMBER(AJ250),AJ250&lt;=T250),AV250,0))&lt;=0,"",IF(AND(IF(AND(NOT(AND(AO250=1,AN250&lt;&gt;1)),ISNUMBER(AG250),AG250&lt;=T250),AS250,0)&gt;0,IF(AND(NOT(AND(AO250=1,AN250&lt;&gt;1)),ISNUMBER(AG250),AG250&lt;=T250),AS250,0)=MAX(IF(AND(NOT(AND(AO250=1,AN250&lt;&gt;1)),ISNUMBER(AG250),AG250&lt;=T250),AS250,0),IF(AND(NOT(AND(AO250=1,AN250&lt;&gt;1)),ISNUMBER(AH250),AH250&lt;=T250),AT250,0),IF(AND(NOT(AND(AO250=1,AN250&lt;&gt;1)),ISNUMBER(AI250),AI250&lt;=T250),AU250,0),IF(AND(ISNUMBER(AJ250),AJ250&lt;=T250),AV250,0))),"SW",IF(AND(IF(AND(NOT(AND(AO250=1,AN250&lt;&gt;1)),ISNUMBER(AH250),AH250&lt;=T250),AT250,0)&gt;0,IF(AND(NOT(AND(AO250=1,AN250&lt;&gt;1)),ISNUMBER(AH250),AH250&lt;=T250),AT250,0)=MAX(IF(AND(NOT(AND(AO250=1,AN250&lt;&gt;1)),ISNUMBER(AG250),AG250&lt;=T250),AS250,0),IF(AND(NOT(AND(AO250=1,AN250&lt;&gt;1)),ISNUMBER(AH250),AH250&lt;=T250),AT250,0),IF(AND(NOT(AND(AO250=1,AN250&lt;&gt;1)),ISNUMBER(AI250),AI250&lt;=T250),AU250,0),IF(AND(ISNUMBER(AJ250),AJ250&lt;=T250),AV250,0))),"AB",IF(AND(IF(AND(NOT(AND(AO250=1,AN250&lt;&gt;1)),ISNUMBER(AI250),AI250&lt;=T250),AU250,0)&gt;0,IF(AND(NOT(AND(AO250=1,AN250&lt;&gt;1)),ISNUMBER(AI250),AI250&lt;=T250),AU250,0)=MAX(IF(AND(NOT(AND(AO250=1,AN250&lt;&gt;1)),ISNUMBER(AG250),AG250&lt;=T250),AS250,0),IF(AND(NOT(AND(AO250=1,AN250&lt;&gt;1)),ISNUMBER(AH250),AH250&lt;=T250),AT250,0),IF(AND(NOT(AND(AO250=1,AN250&lt;&gt;1)),ISNUMBER(AI250),AI250&lt;=T250),AU250,0),IF(AND(ISNUMBER(AJ250),AJ250&lt;=T250),AV250,0))),"SC","Mag")))))))</f>
        <v/>
      </c>
    </row>
    <row r="251" customFormat="false" ht="15" hidden="false" customHeight="false" outlineLevel="0" collapsed="false">
      <c r="A251" s="26" t="n">
        <v>246</v>
      </c>
      <c r="B251" s="27" t="n">
        <f aca="false">A251*10/60</f>
        <v>41</v>
      </c>
      <c r="C251" s="21" t="n">
        <f aca="false">X250</f>
        <v>18.6730249835055</v>
      </c>
      <c r="D251" s="27" t="n">
        <f aca="false">D250+W250</f>
        <v>0</v>
      </c>
      <c r="E251" s="26" t="n">
        <f aca="false">E250+IF(U250="SW",1,0)</f>
        <v>12</v>
      </c>
      <c r="F251" s="26" t="n">
        <f aca="false">F250+IF(U250="AB",1,0)</f>
        <v>10</v>
      </c>
      <c r="G251" s="26" t="n">
        <f aca="false">G250+IF(U250="SC",1,0)</f>
        <v>7</v>
      </c>
      <c r="H251" s="26" t="n">
        <f aca="false">H250+IF(U250="Mag",1,0)</f>
        <v>5</v>
      </c>
      <c r="I251" s="26" t="n">
        <f aca="false">MAX(I250,IF(U250="OR",1,0))</f>
        <v>1</v>
      </c>
      <c r="J251" s="26" t="n">
        <f aca="false">MAX(J250,IF(U250="HP",1,0))</f>
        <v>1</v>
      </c>
      <c r="K251" s="26" t="n">
        <f aca="false">MAX(K250,IF(U250="FP",1,0))</f>
        <v>1</v>
      </c>
      <c r="L251" s="26" t="n">
        <f aca="false">MAX(L250,IF(U250="transition",1,0))</f>
        <v>1</v>
      </c>
      <c r="M251" s="28" t="n">
        <f aca="false">(Parameters!$B$9+(IF(E251=0,0,(Upgrades!$J$6+E251*Upgrades!$K$6)*POWER(Upgrades!$L$6,E251)))*(IF(Upgrades!$T$7="Solar Wind",POWER(Upgrades!$U$7,F251),1)*IF(Upgrades!$T$8="Solar Wind",POWER(Upgrades!$U$8,G251),1)*IF(Upgrades!$T$9="Solar Wind",POWER(Upgrades!$U$9,H251),1)*IF(Upgrades!$T$10="Solar Wind",POWER(Upgrades!$U$10,I251),1)*IF(Upgrades!$T$11="Solar Wind",POWER(Upgrades!$U$11,J251),1)*IF(Upgrades!$T$12="Solar Wind",POWER(Upgrades!$U$12,K251),1))+(IF(F251=0,0,(Upgrades!$J$7+F251*Upgrades!$K$7)*POWER(Upgrades!$L$7,F251)))*(IF(Upgrades!$T$6="Asteroid Belt",POWER(Upgrades!$U$6,E251),1)*IF(Upgrades!$T$8="Asteroid Belt",POWER(Upgrades!$U$8,G251),1)*IF(Upgrades!$T$9="Asteroid Belt",POWER(Upgrades!$U$9,H251),1)*IF(Upgrades!$T$10="Asteroid Belt",POWER(Upgrades!$U$10,I251),1)*IF(Upgrades!$T$11="Asteroid Belt",POWER(Upgrades!$U$11,J251),1)*IF(Upgrades!$T$12="Asteroid Belt",POWER(Upgrades!$U$12,K251),1))+(IF(G251=0,0,(Upgrades!$J$8+G251*Upgrades!$K$8)*POWER(Upgrades!$L$8,G251)))*(IF(Upgrades!$T$6="Stellar Coupling",POWER(Upgrades!$U$6,E251),1)*IF(Upgrades!$T$7="Stellar Coupling",POWER(Upgrades!$U$7,F251),1)*IF(Upgrades!$T$9="Stellar Coupling",POWER(Upgrades!$U$9,H251),1)*IF(Upgrades!$T$10="Stellar Coupling",POWER(Upgrades!$U$10,I251),1)*IF(Upgrades!$T$11="Stellar Coupling",POWER(Upgrades!$U$11,J251),1)*IF(Upgrades!$T$12="Stellar Coupling",POWER(Upgrades!$U$12,K251),1))+(IF(H251=0,0,(Upgrades!$J$9+H251*Upgrades!$K$9)*POWER(Upgrades!$L$9,H251)))*(IF(Upgrades!$T$6="Magnetosphere",POWER(Upgrades!$U$6,E251),1)*IF(Upgrades!$T$7="Magnetosphere",POWER(Upgrades!$U$7,F251),1)*IF(Upgrades!$T$8="Magnetosphere",POWER(Upgrades!$U$8,G251),1)*IF(Upgrades!$T$10="Magnetosphere",POWER(Upgrades!$U$10,I251),1)*IF(Upgrades!$T$11="Magnetosphere",POWER(Upgrades!$U$11,J251),1)*IF(Upgrades!$T$12="Magnetosphere",POWER(Upgrades!$U$12,K251),1))+(IF(I251=0,0,(Upgrades!$J$10+I251*Upgrades!$K$10)*POWER(Upgrades!$L$10,I251)))*(IF(Upgrades!$T$6="Orbital Resonance",POWER(Upgrades!$U$6,E251),1)*IF(Upgrades!$T$7="Orbital Resonance",POWER(Upgrades!$U$7,F251),1)*IF(Upgrades!$T$8="Orbital Resonance",POWER(Upgrades!$U$8,G251),1)*IF(Upgrades!$T$9="Orbital Resonance",POWER(Upgrades!$U$9,H251),1)*IF(Upgrades!$T$11="Orbital Resonance",POWER(Upgrades!$U$11,J251),1)*IF(Upgrades!$T$12="Orbital Resonance",POWER(Upgrades!$U$12,K251),1))+(IF(J251=0,0,(Upgrades!$J$11+J251*Upgrades!$K$11)*POWER(Upgrades!$L$11,J251)))*(IF(Upgrades!$T$6="Heliopause",POWER(Upgrades!$U$6,E251),1)*IF(Upgrades!$T$7="Heliopause",POWER(Upgrades!$U$7,F251),1)*IF(Upgrades!$T$8="Heliopause",POWER(Upgrades!$U$8,G251),1)*IF(Upgrades!$T$9="Heliopause",POWER(Upgrades!$U$9,H251),1)*IF(Upgrades!$T$10="Heliopause",POWER(Upgrades!$U$10,I251),1)*IF(Upgrades!$T$12="Heliopause",POWER(Upgrades!$U$12,K251),1))+(IF(K251=0,0,(Upgrades!$J$12+K251*Upgrades!$K$12)*POWER(Upgrades!$L$12,K251)))*(IF(Upgrades!$T$6="First Photons",POWER(Upgrades!$U$6,E251),1)*IF(Upgrades!$T$7="First Photons",POWER(Upgrades!$U$7,F251),1)*IF(Upgrades!$T$8="First Photons",POWER(Upgrades!$U$8,G251),1)*IF(Upgrades!$T$9="First Photons",POWER(Upgrades!$U$9,H251),1)*IF(Upgrades!$T$10="First Photons",POWER(Upgrades!$U$10,I251),1)*IF(Upgrades!$T$11="First Photons",POWER(Upgrades!$U$11,J251),1)))*POWER(Upgrades!$Q$6,E251)*POWER(Upgrades!$Q$7,F251)*POWER(Upgrades!$Q$8,G251)*POWER(Upgrades!$Q$9,H251)*POWER(Upgrades!$Q$10,I251)*POWER(Upgrades!$Q$11,J251)*POWER(Upgrades!$Q$12,K251)</f>
        <v>5.61</v>
      </c>
      <c r="N251" s="28" t="n">
        <f aca="false">((IF(E251=0,0,(Upgrades!$G$6+E251*Upgrades!$H$6)*POWER(Upgrades!$I$6,E251)))*(IF(Upgrades!$T$7="Solar Wind",POWER(Upgrades!$U$7,F251),1)*IF(Upgrades!$T$8="Solar Wind",POWER(Upgrades!$U$8,G251),1)*IF(Upgrades!$T$9="Solar Wind",POWER(Upgrades!$U$9,H251),1)*IF(Upgrades!$T$10="Solar Wind",POWER(Upgrades!$U$10,I251),1)*IF(Upgrades!$T$11="Solar Wind",POWER(Upgrades!$U$11,J251),1)*IF(Upgrades!$T$12="Solar Wind",POWER(Upgrades!$U$12,K251),1))+(IF(F251=0,0,(Upgrades!$G$7+F251*Upgrades!$H$7)*POWER(Upgrades!$I$7,F251)))*(IF(Upgrades!$T$6="Asteroid Belt",POWER(Upgrades!$U$6,E251),1)*IF(Upgrades!$T$8="Asteroid Belt",POWER(Upgrades!$U$8,G251),1)*IF(Upgrades!$T$9="Asteroid Belt",POWER(Upgrades!$U$9,H251),1)*IF(Upgrades!$T$10="Asteroid Belt",POWER(Upgrades!$U$10,I251),1)*IF(Upgrades!$T$11="Asteroid Belt",POWER(Upgrades!$U$11,J251),1)*IF(Upgrades!$T$12="Asteroid Belt",POWER(Upgrades!$U$12,K251),1))+(IF(G251=0,0,(Upgrades!$G$8+G251*Upgrades!$H$8)*POWER(Upgrades!$I$8,G251)))*(IF(Upgrades!$T$6="Stellar Coupling",POWER(Upgrades!$U$6,E251),1)*IF(Upgrades!$T$7="Stellar Coupling",POWER(Upgrades!$U$7,F251),1)*IF(Upgrades!$T$9="Stellar Coupling",POWER(Upgrades!$U$9,H251),1)*IF(Upgrades!$T$10="Stellar Coupling",POWER(Upgrades!$U$10,I251),1)*IF(Upgrades!$T$11="Stellar Coupling",POWER(Upgrades!$U$11,J251),1)*IF(Upgrades!$T$12="Stellar Coupling",POWER(Upgrades!$U$12,K251),1))+(IF(H251=0,0,(Upgrades!$G$9+H251*Upgrades!$H$9)*POWER(Upgrades!$I$9,H251)))*(IF(Upgrades!$T$6="Magnetosphere",POWER(Upgrades!$U$6,E251),1)*IF(Upgrades!$T$7="Magnetosphere",POWER(Upgrades!$U$7,F251),1)*IF(Upgrades!$T$8="Magnetosphere",POWER(Upgrades!$U$8,G251),1)*IF(Upgrades!$T$10="Magnetosphere",POWER(Upgrades!$U$10,I251),1)*IF(Upgrades!$T$11="Magnetosphere",POWER(Upgrades!$U$11,J251),1)*IF(Upgrades!$T$12="Magnetosphere",POWER(Upgrades!$U$12,K251),1))+(IF(I251=0,0,(Upgrades!$G$10+I251*Upgrades!$H$10)*POWER(Upgrades!$I$10,I251)))*(IF(Upgrades!$T$6="Orbital Resonance",POWER(Upgrades!$U$6,E251),1)*IF(Upgrades!$T$7="Orbital Resonance",POWER(Upgrades!$U$7,F251),1)*IF(Upgrades!$T$8="Orbital Resonance",POWER(Upgrades!$U$8,G251),1)*IF(Upgrades!$T$9="Orbital Resonance",POWER(Upgrades!$U$9,H251),1)*IF(Upgrades!$T$11="Orbital Resonance",POWER(Upgrades!$U$11,J251),1)*IF(Upgrades!$T$12="Orbital Resonance",POWER(Upgrades!$U$12,K251),1))+(IF(J251=0,0,(Upgrades!$G$11+J251*Upgrades!$H$11)*POWER(Upgrades!$I$11,J251)))*(IF(Upgrades!$T$6="Heliopause",POWER(Upgrades!$U$6,E251),1)*IF(Upgrades!$T$7="Heliopause",POWER(Upgrades!$U$7,F251),1)*IF(Upgrades!$T$8="Heliopause",POWER(Upgrades!$U$8,G251),1)*IF(Upgrades!$T$9="Heliopause",POWER(Upgrades!$U$9,H251),1)*IF(Upgrades!$T$10="Heliopause",POWER(Upgrades!$U$10,I251),1)*IF(Upgrades!$T$12="Heliopause",POWER(Upgrades!$U$12,K251),1))+(IF(K251=0,0,(Upgrades!$G$12+K251*Upgrades!$H$12)*POWER(Upgrades!$I$12,K251)))*(IF(Upgrades!$T$6="First Photons",POWER(Upgrades!$U$6,E251),1)*IF(Upgrades!$T$7="First Photons",POWER(Upgrades!$U$7,F251),1)*IF(Upgrades!$T$8="First Photons",POWER(Upgrades!$U$8,G251),1)*IF(Upgrades!$T$9="First Photons",POWER(Upgrades!$U$9,H251),1)*IF(Upgrades!$T$10="First Photons",POWER(Upgrades!$U$10,I251),1)*IF(Upgrades!$T$11="First Photons",POWER(Upgrades!$U$11,J251),1)))*POWER(Upgrades!$P$6,E251)*POWER(Upgrades!$P$7,F251)*POWER(Upgrades!$P$8,G251)*POWER(Upgrades!$P$9,H251)*POWER(Upgrades!$P$10,I251)*POWER(Upgrades!$P$11,J251)*POWER(Upgrades!$P$12,K251)</f>
        <v>11.2</v>
      </c>
      <c r="O251" s="28" t="n">
        <f aca="false">((IF(E251=0,0,(Upgrades!$M$6+E251*Upgrades!$N$6)*POWER(Upgrades!$O$6,E251)))*(IF(Upgrades!$T$7="Solar Wind",POWER(Upgrades!$U$7,F251),1)*IF(Upgrades!$T$8="Solar Wind",POWER(Upgrades!$U$8,G251),1)*IF(Upgrades!$T$9="Solar Wind",POWER(Upgrades!$U$9,H251),1)*IF(Upgrades!$T$10="Solar Wind",POWER(Upgrades!$U$10,I251),1)*IF(Upgrades!$T$11="Solar Wind",POWER(Upgrades!$U$11,J251),1)*IF(Upgrades!$T$12="Solar Wind",POWER(Upgrades!$U$12,K251),1))+(IF(F251=0,0,(Upgrades!$M$7+F251*Upgrades!$N$7)*POWER(Upgrades!$O$7,F251)))*(IF(Upgrades!$T$6="Asteroid Belt",POWER(Upgrades!$U$6,E251),1)*IF(Upgrades!$T$8="Asteroid Belt",POWER(Upgrades!$U$8,G251),1)*IF(Upgrades!$T$9="Asteroid Belt",POWER(Upgrades!$U$9,H251),1)*IF(Upgrades!$T$10="Asteroid Belt",POWER(Upgrades!$U$10,I251),1)*IF(Upgrades!$T$11="Asteroid Belt",POWER(Upgrades!$U$11,J251),1)*IF(Upgrades!$T$12="Asteroid Belt",POWER(Upgrades!$U$12,K251),1))+(IF(G251=0,0,(Upgrades!$M$8+G251*Upgrades!$N$8)*POWER(Upgrades!$O$8,G251)))*(IF(Upgrades!$T$6="Stellar Coupling",POWER(Upgrades!$U$6,E251),1)*IF(Upgrades!$T$7="Stellar Coupling",POWER(Upgrades!$U$7,F251),1)*IF(Upgrades!$T$9="Stellar Coupling",POWER(Upgrades!$U$9,H251),1)*IF(Upgrades!$T$10="Stellar Coupling",POWER(Upgrades!$U$10,I251),1)*IF(Upgrades!$T$11="Stellar Coupling",POWER(Upgrades!$U$11,J251),1)*IF(Upgrades!$T$12="Stellar Coupling",POWER(Upgrades!$U$12,K251),1))+(IF(H251=0,0,(Upgrades!$M$9+H251*Upgrades!$N$9)*POWER(Upgrades!$O$9,H251)))*(IF(Upgrades!$T$6="Magnetosphere",POWER(Upgrades!$U$6,E251),1)*IF(Upgrades!$T$7="Magnetosphere",POWER(Upgrades!$U$7,F251),1)*IF(Upgrades!$T$8="Magnetosphere",POWER(Upgrades!$U$8,G251),1)*IF(Upgrades!$T$10="Magnetosphere",POWER(Upgrades!$U$10,I251),1)*IF(Upgrades!$T$11="Magnetosphere",POWER(Upgrades!$U$11,J251),1)*IF(Upgrades!$T$12="Magnetosphere",POWER(Upgrades!$U$12,K251),1))+(IF(I251=0,0,(Upgrades!$M$10+I251*Upgrades!$N$10)*POWER(Upgrades!$O$10,I251)))*(IF(Upgrades!$T$6="Orbital Resonance",POWER(Upgrades!$U$6,E251),1)*IF(Upgrades!$T$7="Orbital Resonance",POWER(Upgrades!$U$7,F251),1)*IF(Upgrades!$T$8="Orbital Resonance",POWER(Upgrades!$U$8,G251),1)*IF(Upgrades!$T$9="Orbital Resonance",POWER(Upgrades!$U$9,H251),1)*IF(Upgrades!$T$11="Orbital Resonance",POWER(Upgrades!$U$11,J251),1)*IF(Upgrades!$T$12="Orbital Resonance",POWER(Upgrades!$U$12,K251),1))+(IF(J251=0,0,(Upgrades!$M$11+J251*Upgrades!$N$11)*POWER(Upgrades!$O$11,J251)))*(IF(Upgrades!$T$6="Heliopause",POWER(Upgrades!$U$6,E251),1)*IF(Upgrades!$T$7="Heliopause",POWER(Upgrades!$U$7,F251),1)*IF(Upgrades!$T$8="Heliopause",POWER(Upgrades!$U$8,G251),1)*IF(Upgrades!$T$9="Heliopause",POWER(Upgrades!$U$9,H251),1)*IF(Upgrades!$T$10="Heliopause",POWER(Upgrades!$U$10,I251),1)*IF(Upgrades!$T$12="Heliopause",POWER(Upgrades!$U$12,K251),1))+(IF(K251=0,0,(Upgrades!$M$12+K251*Upgrades!$N$12)*POWER(Upgrades!$O$12,K251)))*(IF(Upgrades!$T$6="First Photons",POWER(Upgrades!$U$6,E251),1)*IF(Upgrades!$T$7="First Photons",POWER(Upgrades!$U$7,F251),1)*IF(Upgrades!$T$8="First Photons",POWER(Upgrades!$U$8,G251),1)*IF(Upgrades!$T$9="First Photons",POWER(Upgrades!$U$9,H251),1)*IF(Upgrades!$T$10="First Photons",POWER(Upgrades!$U$10,I251),1)*IF(Upgrades!$T$11="First Photons",POWER(Upgrades!$U$11,J251),1)))*POWER(Upgrades!$R$6,E251)*POWER(Upgrades!$R$7,F251)*POWER(Upgrades!$R$8,G251)*POWER(Upgrades!$R$9,H251)*POWER(Upgrades!$R$10,I251)*POWER(Upgrades!$R$11,J251)*POWER(Upgrades!$R$12,K251)</f>
        <v>0</v>
      </c>
      <c r="P251" s="27" t="n">
        <f aca="false">IF(L251=1,0,M251*Parameters!$B$10/60*Parameters!$B$11*10)</f>
        <v>0</v>
      </c>
      <c r="Q251" s="27" t="n">
        <f aca="false">IF(L251=1,0,O251*M251*10)</f>
        <v>0</v>
      </c>
      <c r="R251" s="27" t="n">
        <f aca="false">IF(L251=1,0,N251*10)</f>
        <v>0</v>
      </c>
      <c r="S251" s="27" t="n">
        <f aca="false">P251+Q251+R251</f>
        <v>0</v>
      </c>
      <c r="T251" s="21" t="n">
        <f aca="false">C251+S251</f>
        <v>18.6730249835055</v>
      </c>
      <c r="U251" s="34" t="str">
        <f aca="false">AX251</f>
        <v/>
      </c>
      <c r="V251" s="21" t="n">
        <f aca="false">IF(U251="",0,IF(U251="transition",0,IF(U251="SW",AG251,IF(U251="AB",AH251,IF(U251="SC",AI251,IF(U251="Mag",AJ251,IF(U251="OR",AK251,IF(U251="HP",AL251,IF(U251="FP",AM251,0)))))))))</f>
        <v>0</v>
      </c>
      <c r="W251" s="27" t="n">
        <f aca="false">IF(U251="OR",Upgrades!$F$10,IF(U251="HP",Upgrades!$F$11,IF(U251="transition",-Parameters!$B$18,0)))</f>
        <v>0</v>
      </c>
      <c r="X251" s="21" t="n">
        <f aca="false">T251-V251</f>
        <v>18.6730249835055</v>
      </c>
      <c r="Y251" s="30" t="n">
        <f aca="false">M251*Parameters!$B$10/60*Parameters!$B$11+O251*M251+N251</f>
        <v>20.55</v>
      </c>
      <c r="Z251" s="35" t="str">
        <f aca="false">IF(U251="transition","→ Tier 2 (Stellar Neighborhood)",IF(U251="FP","First Photons — light begins, system quickens",IF(U251="HP","Heliopause acquired",IF(U251="OR","Orbital Resonance — passive multiplier active",IF(AND(AO251=1,L251=0,AN251&lt;&gt;1),"Cohesion ready (waiting on completionist upgrades)","")))))</f>
        <v/>
      </c>
      <c r="AA251" s="27" t="n">
        <f aca="false">(IF(E251=0,0,(Upgrades!$G$6+E251*Upgrades!$H$6)*POWER(Upgrades!$I$6,E251)))*(IF(Upgrades!$T$7="Solar Wind",POWER(Upgrades!$U$7,F251),1)*IF(Upgrades!$T$8="Solar Wind",POWER(Upgrades!$U$8,G251),1)*IF(Upgrades!$T$9="Solar Wind",POWER(Upgrades!$U$9,H251),1)*IF(Upgrades!$T$10="Solar Wind",POWER(Upgrades!$U$10,I251),1)*IF(Upgrades!$T$11="Solar Wind",POWER(Upgrades!$U$11,J251),1)*IF(Upgrades!$T$12="Solar Wind",POWER(Upgrades!$U$12,K251),1))*POWER(Upgrades!$P$6,E251)*POWER(Upgrades!$P$7,F251)*POWER(Upgrades!$P$8,G251)*POWER(Upgrades!$P$9,H251)*POWER(Upgrades!$P$10,I251)*POWER(Upgrades!$P$11,J251)*POWER(Upgrades!$P$12,K251)*60</f>
        <v>72</v>
      </c>
      <c r="AB251" s="27" t="n">
        <f aca="false">(IF(F251=0,0,(Upgrades!$G$7+F251*Upgrades!$H$7)*POWER(Upgrades!$I$7,F251)))*(IF(Upgrades!$T$6="Asteroid Belt",POWER(Upgrades!$U$6,E251),1)*IF(Upgrades!$T$8="Asteroid Belt",POWER(Upgrades!$U$8,G251),1)*IF(Upgrades!$T$9="Asteroid Belt",POWER(Upgrades!$U$9,H251),1)*IF(Upgrades!$T$10="Asteroid Belt",POWER(Upgrades!$U$10,I251),1)*IF(Upgrades!$T$11="Asteroid Belt",POWER(Upgrades!$U$11,J251),1)*IF(Upgrades!$T$12="Asteroid Belt",POWER(Upgrades!$U$12,K251),1))*POWER(Upgrades!$P$6,E251)*POWER(Upgrades!$P$7,F251)*POWER(Upgrades!$P$8,G251)*POWER(Upgrades!$P$9,H251)*POWER(Upgrades!$P$10,I251)*POWER(Upgrades!$P$11,J251)*POWER(Upgrades!$P$12,K251)*60</f>
        <v>150</v>
      </c>
      <c r="AC251" s="27" t="n">
        <f aca="false">(IF(G251=0,0,(Upgrades!$J$8+G251*Upgrades!$K$8)*POWER(Upgrades!$L$8,G251)))*(IF(Upgrades!$T$6="Stellar Coupling",POWER(Upgrades!$U$6,E251),1)*IF(Upgrades!$T$7="Stellar Coupling",POWER(Upgrades!$U$7,F251),1)*IF(Upgrades!$T$9="Stellar Coupling",POWER(Upgrades!$U$9,H251),1)*IF(Upgrades!$T$10="Stellar Coupling",POWER(Upgrades!$U$10,I251),1)*IF(Upgrades!$T$11="Stellar Coupling",POWER(Upgrades!$U$11,J251),1)*IF(Upgrades!$T$12="Stellar Coupling",POWER(Upgrades!$U$12,K251),1))*POWER(Upgrades!$Q$6,E251)*POWER(Upgrades!$Q$7,F251)*POWER(Upgrades!$Q$8,G251)*POWER(Upgrades!$Q$9,H251)*POWER(Upgrades!$Q$10,I251)*POWER(Upgrades!$Q$11,J251)*POWER(Upgrades!$Q$12,K251)*Parameters!$B$10*Parameters!$B$11</f>
        <v>441</v>
      </c>
      <c r="AD251" s="27" t="n">
        <f aca="false">(IF(H251=0,0,(Upgrades!$G$9+H251*Upgrades!$H$9)*POWER(Upgrades!$I$9,H251)))*(IF(Upgrades!$T$6="Magnetosphere",POWER(Upgrades!$U$6,E251),1)*IF(Upgrades!$T$7="Magnetosphere",POWER(Upgrades!$U$7,F251),1)*IF(Upgrades!$T$8="Magnetosphere",POWER(Upgrades!$U$8,G251),1)*IF(Upgrades!$T$10="Magnetosphere",POWER(Upgrades!$U$10,I251),1)*IF(Upgrades!$T$11="Magnetosphere",POWER(Upgrades!$U$11,J251),1)*IF(Upgrades!$T$12="Magnetosphere",POWER(Upgrades!$U$12,K251),1))*POWER(Upgrades!$P$6,E251)*POWER(Upgrades!$P$7,F251)*POWER(Upgrades!$P$8,G251)*POWER(Upgrades!$P$9,H251)*POWER(Upgrades!$P$10,I251)*POWER(Upgrades!$P$11,J251)*POWER(Upgrades!$P$12,K251)*60</f>
        <v>375</v>
      </c>
      <c r="AE251" s="27" t="n">
        <f aca="false">(IF(K251=0,0,(Upgrades!$G$12+K251*Upgrades!$H$12)*POWER(Upgrades!$I$12,K251)))*(IF(Upgrades!$T$6="First Photons",POWER(Upgrades!$U$6,E251),1)*IF(Upgrades!$T$7="First Photons",POWER(Upgrades!$U$7,F251),1)*IF(Upgrades!$T$8="First Photons",POWER(Upgrades!$U$8,G251),1)*IF(Upgrades!$T$9="First Photons",POWER(Upgrades!$U$9,H251),1)*IF(Upgrades!$T$10="First Photons",POWER(Upgrades!$U$10,I251),1)*IF(Upgrades!$T$11="First Photons",POWER(Upgrades!$U$11,J251),1))*POWER(Upgrades!$P$6,E251)*POWER(Upgrades!$P$7,F251)*POWER(Upgrades!$P$8,G251)*POWER(Upgrades!$P$9,H251)*POWER(Upgrades!$P$10,I251)*POWER(Upgrades!$P$11,J251)*POWER(Upgrades!$P$12,K251)*60</f>
        <v>75</v>
      </c>
      <c r="AF251" s="27" t="n">
        <f aca="false">Parameters!$B$9*POWER(Upgrades!$Q$6,E251)*POWER(Upgrades!$Q$7,F251)*POWER(Upgrades!$Q$8,G251)*POWER(Upgrades!$Q$9,H251)*POWER(Upgrades!$Q$10,I251)*POWER(Upgrades!$Q$11,J251)*POWER(Upgrades!$Q$12,K251)*(Parameters!$B$10*Parameters!$B$11+O251*60)</f>
        <v>120</v>
      </c>
      <c r="AG251" s="21" t="n">
        <f aca="false">IF(E251&gt;=Upgrades!$E$6,"",Upgrades!$C$6*POWER(Upgrades!$D$6,E251))</f>
        <v>37.4517507383159</v>
      </c>
      <c r="AH251" s="21" t="n">
        <f aca="false">IF(F251&gt;=Upgrades!$E$7,"",Upgrades!$C$7*POWER(Upgrades!$D$7,F251))</f>
        <v>80.9111547141581</v>
      </c>
      <c r="AI251" s="21" t="n">
        <f aca="false">IF(G251&gt;=Upgrades!$E$8,"",Upgrades!$C$8*POWER(Upgrades!$D$8,G251))</f>
        <v>231.9097088</v>
      </c>
      <c r="AJ251" s="21" t="str">
        <f aca="false">IF(H251&gt;=Upgrades!$E$9,"",Upgrades!$C$9*POWER(Upgrades!$D$9,H251))</f>
        <v/>
      </c>
      <c r="AK251" s="21" t="str">
        <f aca="false">IF(I251&gt;=Upgrades!$E$10,"",Upgrades!$C$10*POWER(Upgrades!$D$10,I251))</f>
        <v/>
      </c>
      <c r="AL251" s="21" t="str">
        <f aca="false">IF(J251&gt;=Upgrades!$E$11,"",Upgrades!$C$11*POWER(Upgrades!$D$11,J251))</f>
        <v/>
      </c>
      <c r="AM251" s="21" t="str">
        <f aca="false">IF(K251&gt;=Upgrades!$E$12,"",Upgrades!$C$12*POWER(Upgrades!$D$12,K251))</f>
        <v/>
      </c>
      <c r="AN251" s="26" t="str">
        <f aca="false">IF(AND(D251&gt;=Parameters!$B$18,(H251&gt;=Upgrades!$E$9)*(K251&gt;=Upgrades!$E$12)=1,L251=0),1,"")</f>
        <v/>
      </c>
      <c r="AO251" s="26" t="str">
        <f aca="false">IF(AND(D251&gt;=Parameters!$B$18,L251=0),1,"")</f>
        <v/>
      </c>
      <c r="AP251" s="21" t="n">
        <f aca="false">MIN(IF(ISNUMBER(AK251),AK251,9000000000000000),IF(ISNUMBER(AL251),AL251,9000000000000000),IF(ISNUMBER(AM251),AM251,9000000000000000))</f>
        <v>9000000000000000</v>
      </c>
      <c r="AQ251" s="21" t="n">
        <f aca="false">MIN(IF(ISNUMBER(AG251),AG251,9000000000000000),IF(ISNUMBER(AH251),AH251,9000000000000000),IF(ISNUMBER(AI251),AI251,9000000000000000),IF(ISNUMBER(AJ251),AJ251,9000000000000000))</f>
        <v>37.4517507383159</v>
      </c>
      <c r="AR251" s="32" t="b">
        <f aca="false">IF(AW251&gt;Parameters!$B$21*(MAX(IF(AND(NOT(AND(AO251=1,AN251&lt;&gt;1)),ISNUMBER(AG251),AG251&lt;=T251),AS251,0),IF(AND(NOT(AND(AO251=1,AN251&lt;&gt;1)),ISNUMBER(AH251),AH251&lt;=T251),AT251,0),IF(AND(NOT(AND(AO251=1,AN251&lt;&gt;1)),ISNUMBER(AI251),AI251&lt;=T251),AU251,0),IF(AND(ISNUMBER(AJ251),AJ251&lt;=T251),AV251,0))),TRUE(),FALSE())</f>
        <v>1</v>
      </c>
      <c r="AS251" s="33" t="n">
        <f aca="false">IFERROR(Upgrades!$H$6*(POWER(Upgrades!$P$6,E251)*POWER(Upgrades!$P$7,F251)*POWER(Upgrades!$P$8,G251)*POWER(Upgrades!$P$9,H251)*POWER(Upgrades!$P$10,I251)*POWER(Upgrades!$P$11,J251)*POWER(Upgrades!$P$12,K251))*(IF(Upgrades!$T$7="Solar Wind",POWER(Upgrades!$U$7,F251),1)*IF(Upgrades!$T$8="Solar Wind",POWER(Upgrades!$U$8,G251),1)*IF(Upgrades!$T$9="Solar Wind",POWER(Upgrades!$U$9,H251),1)*IF(Upgrades!$T$10="Solar Wind",POWER(Upgrades!$U$10,I251),1)*IF(Upgrades!$T$11="Solar Wind",POWER(Upgrades!$U$11,J251),1)*IF(Upgrades!$T$12="Solar Wind",POWER(Upgrades!$U$12,K251),1))/AG251,0)</f>
        <v>0.0026701021455238</v>
      </c>
      <c r="AT251" s="33" t="n">
        <f aca="false">IFERROR(Upgrades!$H$7*(POWER(Upgrades!$P$6,E251)*POWER(Upgrades!$P$7,F251)*POWER(Upgrades!$P$8,G251)*POWER(Upgrades!$P$9,H251)*POWER(Upgrades!$P$10,I251)*POWER(Upgrades!$P$11,J251)*POWER(Upgrades!$P$12,K251))*(IF(Upgrades!$T$6="Asteroid Belt",POWER(Upgrades!$U$6,E251),1)*IF(Upgrades!$T$8="Asteroid Belt",POWER(Upgrades!$U$8,G251),1)*IF(Upgrades!$T$9="Asteroid Belt",POWER(Upgrades!$U$9,H251),1)*IF(Upgrades!$T$10="Asteroid Belt",POWER(Upgrades!$U$10,I251),1)*IF(Upgrades!$T$11="Asteroid Belt",POWER(Upgrades!$U$11,J251),1)*IF(Upgrades!$T$12="Asteroid Belt",POWER(Upgrades!$U$12,K251),1))/AH251,0)</f>
        <v>0.00308980882652332</v>
      </c>
      <c r="AU251" s="33" t="n">
        <f aca="false">IFERROR(Upgrades!$K$8*(POWER(Upgrades!$Q$6,E251)*POWER(Upgrades!$Q$7,F251)*POWER(Upgrades!$Q$8,G251)*POWER(Upgrades!$Q$9,H251)*POWER(Upgrades!$Q$10,I251)*POWER(Upgrades!$Q$11,J251)*POWER(Upgrades!$Q$12,K251))*(IF(Upgrades!$T$6="Stellar Coupling",POWER(Upgrades!$U$6,E251),1)*IF(Upgrades!$T$7="Stellar Coupling",POWER(Upgrades!$U$7,F251),1)*IF(Upgrades!$T$9="Stellar Coupling",POWER(Upgrades!$U$9,H251),1)*IF(Upgrades!$T$10="Stellar Coupling",POWER(Upgrades!$U$10,I251),1)*IF(Upgrades!$T$11="Stellar Coupling",POWER(Upgrades!$U$11,J251),1)*IF(Upgrades!$T$12="Stellar Coupling",POWER(Upgrades!$U$12,K251),1))*Parameters!$B$10*Parameters!$B$11/60/AI251,0)</f>
        <v>0.00452762415783776</v>
      </c>
      <c r="AV251" s="33" t="n">
        <f aca="false">IFERROR(Upgrades!$H$9*(POWER(Upgrades!$P$6,E251)*POWER(Upgrades!$P$7,F251)*POWER(Upgrades!$P$8,G251)*POWER(Upgrades!$P$9,H251)*POWER(Upgrades!$P$10,I251)*POWER(Upgrades!$P$11,J251)*POWER(Upgrades!$P$12,K251))*(IF(Upgrades!$T$6="Magnetosphere",POWER(Upgrades!$U$6,E251),1)*IF(Upgrades!$T$7="Magnetosphere",POWER(Upgrades!$U$7,F251),1)*IF(Upgrades!$T$8="Magnetosphere",POWER(Upgrades!$U$8,G251),1)*IF(Upgrades!$T$10="Magnetosphere",POWER(Upgrades!$U$10,I251),1)*IF(Upgrades!$T$11="Magnetosphere",POWER(Upgrades!$U$11,J251),1)*IF(Upgrades!$T$12="Magnetosphere",POWER(Upgrades!$U$12,K251),1))/AJ251,0)</f>
        <v>0</v>
      </c>
      <c r="AW251" s="33" t="n">
        <f aca="false">MAX(IF(I251&gt;0,0,IFERROR(0.25*N251/Upgrades!$C$10,0)),IF(J251&gt;0,0,IFERROR(0.5*((IF(G251=0,0,(Upgrades!$J$8+G251*Upgrades!$K$8)*POWER(Upgrades!$L$8,G251)))*(IF(Upgrades!$T$6="Stellar Coupling",POWER(Upgrades!$U$6,E251),1)*IF(Upgrades!$T$7="Stellar Coupling",POWER(Upgrades!$U$7,F251),1)*IF(Upgrades!$T$9="Stellar Coupling",POWER(Upgrades!$U$9,H251),1)*IF(Upgrades!$T$10="Stellar Coupling",POWER(Upgrades!$U$10,I251),1)*IF(Upgrades!$T$11="Stellar Coupling",POWER(Upgrades!$U$11,J251),1)*IF(Upgrades!$T$12="Stellar Coupling",POWER(Upgrades!$U$12,K251),1))*(POWER(Upgrades!$Q$6,E251)*POWER(Upgrades!$Q$7,F251)*POWER(Upgrades!$Q$8,G251)*POWER(Upgrades!$Q$9,H251)*POWER(Upgrades!$Q$10,I251)*POWER(Upgrades!$Q$11,J251)*POWER(Upgrades!$Q$12,K251))*Parameters!$B$10*Parameters!$B$11/60)/Upgrades!$C$11,0)),IF(K251&gt;0,0,IFERROR((1*(POWER(Upgrades!$P$6,E251)*POWER(Upgrades!$P$7,F251)*POWER(Upgrades!$P$8,G251)*POWER(Upgrades!$P$9,H251)*POWER(Upgrades!$P$10,I251)*POWER(Upgrades!$P$11,J251)*POWER(Upgrades!$P$12,K251))+0.2*M251*Parameters!$B$10*Parameters!$B$11/60)/Upgrades!$C$12,0)),IF(AND(ISNUMBER(AG251),AG251&gt;T251),AS251,0),IF(AND(ISNUMBER(AH251),AH251&gt;T251),AT251,0),IF(AND(ISNUMBER(AI251),AI251&gt;T251),AU251,0),IF(AND(ISNUMBER(AJ251),AJ251&gt;T251),AV251,0))</f>
        <v>0.00452762415783776</v>
      </c>
      <c r="AX251" s="29" t="str">
        <f aca="false">IF(AN251=1,"transition",IF(MIN(IF(AND(I251=0,ISNUMBER(AK251),AK251&lt;=T251),AK251,9000000000000000),IF(AND(J251=0,ISNUMBER(AL251),AL251&lt;=T251),AL251,9000000000000000),IF(AND(K251=0,ISNUMBER(AM251),AM251&lt;=T251),AM251,9000000000000000))&lt;9000000000000000,IF(AND(AND(I251=0,ISNUMBER(AK251),AK251&lt;=T251),AK251=MIN(IF(AND(I251=0,ISNUMBER(AK251),AK251&lt;=T251),AK251,9000000000000000),IF(AND(J251=0,ISNUMBER(AL251),AL251&lt;=T251),AL251,9000000000000000),IF(AND(K251=0,ISNUMBER(AM251),AM251&lt;=T251),AM251,9000000000000000))),"OR",IF(AND(AND(J251=0,ISNUMBER(AL251),AL251&lt;=T251),AL251=MIN(IF(AND(I251=0,ISNUMBER(AK251),AK251&lt;=T251),AK251,9000000000000000),IF(AND(J251=0,ISNUMBER(AL251),AL251&lt;=T251),AL251,9000000000000000),IF(AND(K251=0,ISNUMBER(AM251),AM251&lt;=T251),AM251,9000000000000000))),"HP","FP")),IF(AR251=TRUE(),"",IF(MAX(IF(AND(NOT(AND(AO251=1,AN251&lt;&gt;1)),ISNUMBER(AG251),AG251&lt;=T251),AS251,0),IF(AND(NOT(AND(AO251=1,AN251&lt;&gt;1)),ISNUMBER(AH251),AH251&lt;=T251),AT251,0),IF(AND(NOT(AND(AO251=1,AN251&lt;&gt;1)),ISNUMBER(AI251),AI251&lt;=T251),AU251,0),IF(AND(ISNUMBER(AJ251),AJ251&lt;=T251),AV251,0))&lt;=0,"",IF(AND(IF(AND(NOT(AND(AO251=1,AN251&lt;&gt;1)),ISNUMBER(AG251),AG251&lt;=T251),AS251,0)&gt;0,IF(AND(NOT(AND(AO251=1,AN251&lt;&gt;1)),ISNUMBER(AG251),AG251&lt;=T251),AS251,0)=MAX(IF(AND(NOT(AND(AO251=1,AN251&lt;&gt;1)),ISNUMBER(AG251),AG251&lt;=T251),AS251,0),IF(AND(NOT(AND(AO251=1,AN251&lt;&gt;1)),ISNUMBER(AH251),AH251&lt;=T251),AT251,0),IF(AND(NOT(AND(AO251=1,AN251&lt;&gt;1)),ISNUMBER(AI251),AI251&lt;=T251),AU251,0),IF(AND(ISNUMBER(AJ251),AJ251&lt;=T251),AV251,0))),"SW",IF(AND(IF(AND(NOT(AND(AO251=1,AN251&lt;&gt;1)),ISNUMBER(AH251),AH251&lt;=T251),AT251,0)&gt;0,IF(AND(NOT(AND(AO251=1,AN251&lt;&gt;1)),ISNUMBER(AH251),AH251&lt;=T251),AT251,0)=MAX(IF(AND(NOT(AND(AO251=1,AN251&lt;&gt;1)),ISNUMBER(AG251),AG251&lt;=T251),AS251,0),IF(AND(NOT(AND(AO251=1,AN251&lt;&gt;1)),ISNUMBER(AH251),AH251&lt;=T251),AT251,0),IF(AND(NOT(AND(AO251=1,AN251&lt;&gt;1)),ISNUMBER(AI251),AI251&lt;=T251),AU251,0),IF(AND(ISNUMBER(AJ251),AJ251&lt;=T251),AV251,0))),"AB",IF(AND(IF(AND(NOT(AND(AO251=1,AN251&lt;&gt;1)),ISNUMBER(AI251),AI251&lt;=T251),AU251,0)&gt;0,IF(AND(NOT(AND(AO251=1,AN251&lt;&gt;1)),ISNUMBER(AI251),AI251&lt;=T251),AU251,0)=MAX(IF(AND(NOT(AND(AO251=1,AN251&lt;&gt;1)),ISNUMBER(AG251),AG251&lt;=T251),AS251,0),IF(AND(NOT(AND(AO251=1,AN251&lt;&gt;1)),ISNUMBER(AH251),AH251&lt;=T251),AT251,0),IF(AND(NOT(AND(AO251=1,AN251&lt;&gt;1)),ISNUMBER(AI251),AI251&lt;=T251),AU251,0),IF(AND(ISNUMBER(AJ251),AJ251&lt;=T251),AV251,0))),"SC","Mag")))))))</f>
        <v/>
      </c>
    </row>
    <row r="252" customFormat="false" ht="15" hidden="false" customHeight="false" outlineLevel="0" collapsed="false">
      <c r="A252" s="26" t="n">
        <v>247</v>
      </c>
      <c r="B252" s="27" t="n">
        <f aca="false">A252*10/60</f>
        <v>41.1666666666667</v>
      </c>
      <c r="C252" s="21" t="n">
        <f aca="false">X251</f>
        <v>18.6730249835055</v>
      </c>
      <c r="D252" s="27" t="n">
        <f aca="false">D251+W251</f>
        <v>0</v>
      </c>
      <c r="E252" s="26" t="n">
        <f aca="false">E251+IF(U251="SW",1,0)</f>
        <v>12</v>
      </c>
      <c r="F252" s="26" t="n">
        <f aca="false">F251+IF(U251="AB",1,0)</f>
        <v>10</v>
      </c>
      <c r="G252" s="26" t="n">
        <f aca="false">G251+IF(U251="SC",1,0)</f>
        <v>7</v>
      </c>
      <c r="H252" s="26" t="n">
        <f aca="false">H251+IF(U251="Mag",1,0)</f>
        <v>5</v>
      </c>
      <c r="I252" s="26" t="n">
        <f aca="false">MAX(I251,IF(U251="OR",1,0))</f>
        <v>1</v>
      </c>
      <c r="J252" s="26" t="n">
        <f aca="false">MAX(J251,IF(U251="HP",1,0))</f>
        <v>1</v>
      </c>
      <c r="K252" s="26" t="n">
        <f aca="false">MAX(K251,IF(U251="FP",1,0))</f>
        <v>1</v>
      </c>
      <c r="L252" s="26" t="n">
        <f aca="false">MAX(L251,IF(U251="transition",1,0))</f>
        <v>1</v>
      </c>
      <c r="M252" s="28" t="n">
        <f aca="false">(Parameters!$B$9+(IF(E252=0,0,(Upgrades!$J$6+E252*Upgrades!$K$6)*POWER(Upgrades!$L$6,E252)))*(IF(Upgrades!$T$7="Solar Wind",POWER(Upgrades!$U$7,F252),1)*IF(Upgrades!$T$8="Solar Wind",POWER(Upgrades!$U$8,G252),1)*IF(Upgrades!$T$9="Solar Wind",POWER(Upgrades!$U$9,H252),1)*IF(Upgrades!$T$10="Solar Wind",POWER(Upgrades!$U$10,I252),1)*IF(Upgrades!$T$11="Solar Wind",POWER(Upgrades!$U$11,J252),1)*IF(Upgrades!$T$12="Solar Wind",POWER(Upgrades!$U$12,K252),1))+(IF(F252=0,0,(Upgrades!$J$7+F252*Upgrades!$K$7)*POWER(Upgrades!$L$7,F252)))*(IF(Upgrades!$T$6="Asteroid Belt",POWER(Upgrades!$U$6,E252),1)*IF(Upgrades!$T$8="Asteroid Belt",POWER(Upgrades!$U$8,G252),1)*IF(Upgrades!$T$9="Asteroid Belt",POWER(Upgrades!$U$9,H252),1)*IF(Upgrades!$T$10="Asteroid Belt",POWER(Upgrades!$U$10,I252),1)*IF(Upgrades!$T$11="Asteroid Belt",POWER(Upgrades!$U$11,J252),1)*IF(Upgrades!$T$12="Asteroid Belt",POWER(Upgrades!$U$12,K252),1))+(IF(G252=0,0,(Upgrades!$J$8+G252*Upgrades!$K$8)*POWER(Upgrades!$L$8,G252)))*(IF(Upgrades!$T$6="Stellar Coupling",POWER(Upgrades!$U$6,E252),1)*IF(Upgrades!$T$7="Stellar Coupling",POWER(Upgrades!$U$7,F252),1)*IF(Upgrades!$T$9="Stellar Coupling",POWER(Upgrades!$U$9,H252),1)*IF(Upgrades!$T$10="Stellar Coupling",POWER(Upgrades!$U$10,I252),1)*IF(Upgrades!$T$11="Stellar Coupling",POWER(Upgrades!$U$11,J252),1)*IF(Upgrades!$T$12="Stellar Coupling",POWER(Upgrades!$U$12,K252),1))+(IF(H252=0,0,(Upgrades!$J$9+H252*Upgrades!$K$9)*POWER(Upgrades!$L$9,H252)))*(IF(Upgrades!$T$6="Magnetosphere",POWER(Upgrades!$U$6,E252),1)*IF(Upgrades!$T$7="Magnetosphere",POWER(Upgrades!$U$7,F252),1)*IF(Upgrades!$T$8="Magnetosphere",POWER(Upgrades!$U$8,G252),1)*IF(Upgrades!$T$10="Magnetosphere",POWER(Upgrades!$U$10,I252),1)*IF(Upgrades!$T$11="Magnetosphere",POWER(Upgrades!$U$11,J252),1)*IF(Upgrades!$T$12="Magnetosphere",POWER(Upgrades!$U$12,K252),1))+(IF(I252=0,0,(Upgrades!$J$10+I252*Upgrades!$K$10)*POWER(Upgrades!$L$10,I252)))*(IF(Upgrades!$T$6="Orbital Resonance",POWER(Upgrades!$U$6,E252),1)*IF(Upgrades!$T$7="Orbital Resonance",POWER(Upgrades!$U$7,F252),1)*IF(Upgrades!$T$8="Orbital Resonance",POWER(Upgrades!$U$8,G252),1)*IF(Upgrades!$T$9="Orbital Resonance",POWER(Upgrades!$U$9,H252),1)*IF(Upgrades!$T$11="Orbital Resonance",POWER(Upgrades!$U$11,J252),1)*IF(Upgrades!$T$12="Orbital Resonance",POWER(Upgrades!$U$12,K252),1))+(IF(J252=0,0,(Upgrades!$J$11+J252*Upgrades!$K$11)*POWER(Upgrades!$L$11,J252)))*(IF(Upgrades!$T$6="Heliopause",POWER(Upgrades!$U$6,E252),1)*IF(Upgrades!$T$7="Heliopause",POWER(Upgrades!$U$7,F252),1)*IF(Upgrades!$T$8="Heliopause",POWER(Upgrades!$U$8,G252),1)*IF(Upgrades!$T$9="Heliopause",POWER(Upgrades!$U$9,H252),1)*IF(Upgrades!$T$10="Heliopause",POWER(Upgrades!$U$10,I252),1)*IF(Upgrades!$T$12="Heliopause",POWER(Upgrades!$U$12,K252),1))+(IF(K252=0,0,(Upgrades!$J$12+K252*Upgrades!$K$12)*POWER(Upgrades!$L$12,K252)))*(IF(Upgrades!$T$6="First Photons",POWER(Upgrades!$U$6,E252),1)*IF(Upgrades!$T$7="First Photons",POWER(Upgrades!$U$7,F252),1)*IF(Upgrades!$T$8="First Photons",POWER(Upgrades!$U$8,G252),1)*IF(Upgrades!$T$9="First Photons",POWER(Upgrades!$U$9,H252),1)*IF(Upgrades!$T$10="First Photons",POWER(Upgrades!$U$10,I252),1)*IF(Upgrades!$T$11="First Photons",POWER(Upgrades!$U$11,J252),1)))*POWER(Upgrades!$Q$6,E252)*POWER(Upgrades!$Q$7,F252)*POWER(Upgrades!$Q$8,G252)*POWER(Upgrades!$Q$9,H252)*POWER(Upgrades!$Q$10,I252)*POWER(Upgrades!$Q$11,J252)*POWER(Upgrades!$Q$12,K252)</f>
        <v>5.61</v>
      </c>
      <c r="N252" s="28" t="n">
        <f aca="false">((IF(E252=0,0,(Upgrades!$G$6+E252*Upgrades!$H$6)*POWER(Upgrades!$I$6,E252)))*(IF(Upgrades!$T$7="Solar Wind",POWER(Upgrades!$U$7,F252),1)*IF(Upgrades!$T$8="Solar Wind",POWER(Upgrades!$U$8,G252),1)*IF(Upgrades!$T$9="Solar Wind",POWER(Upgrades!$U$9,H252),1)*IF(Upgrades!$T$10="Solar Wind",POWER(Upgrades!$U$10,I252),1)*IF(Upgrades!$T$11="Solar Wind",POWER(Upgrades!$U$11,J252),1)*IF(Upgrades!$T$12="Solar Wind",POWER(Upgrades!$U$12,K252),1))+(IF(F252=0,0,(Upgrades!$G$7+F252*Upgrades!$H$7)*POWER(Upgrades!$I$7,F252)))*(IF(Upgrades!$T$6="Asteroid Belt",POWER(Upgrades!$U$6,E252),1)*IF(Upgrades!$T$8="Asteroid Belt",POWER(Upgrades!$U$8,G252),1)*IF(Upgrades!$T$9="Asteroid Belt",POWER(Upgrades!$U$9,H252),1)*IF(Upgrades!$T$10="Asteroid Belt",POWER(Upgrades!$U$10,I252),1)*IF(Upgrades!$T$11="Asteroid Belt",POWER(Upgrades!$U$11,J252),1)*IF(Upgrades!$T$12="Asteroid Belt",POWER(Upgrades!$U$12,K252),1))+(IF(G252=0,0,(Upgrades!$G$8+G252*Upgrades!$H$8)*POWER(Upgrades!$I$8,G252)))*(IF(Upgrades!$T$6="Stellar Coupling",POWER(Upgrades!$U$6,E252),1)*IF(Upgrades!$T$7="Stellar Coupling",POWER(Upgrades!$U$7,F252),1)*IF(Upgrades!$T$9="Stellar Coupling",POWER(Upgrades!$U$9,H252),1)*IF(Upgrades!$T$10="Stellar Coupling",POWER(Upgrades!$U$10,I252),1)*IF(Upgrades!$T$11="Stellar Coupling",POWER(Upgrades!$U$11,J252),1)*IF(Upgrades!$T$12="Stellar Coupling",POWER(Upgrades!$U$12,K252),1))+(IF(H252=0,0,(Upgrades!$G$9+H252*Upgrades!$H$9)*POWER(Upgrades!$I$9,H252)))*(IF(Upgrades!$T$6="Magnetosphere",POWER(Upgrades!$U$6,E252),1)*IF(Upgrades!$T$7="Magnetosphere",POWER(Upgrades!$U$7,F252),1)*IF(Upgrades!$T$8="Magnetosphere",POWER(Upgrades!$U$8,G252),1)*IF(Upgrades!$T$10="Magnetosphere",POWER(Upgrades!$U$10,I252),1)*IF(Upgrades!$T$11="Magnetosphere",POWER(Upgrades!$U$11,J252),1)*IF(Upgrades!$T$12="Magnetosphere",POWER(Upgrades!$U$12,K252),1))+(IF(I252=0,0,(Upgrades!$G$10+I252*Upgrades!$H$10)*POWER(Upgrades!$I$10,I252)))*(IF(Upgrades!$T$6="Orbital Resonance",POWER(Upgrades!$U$6,E252),1)*IF(Upgrades!$T$7="Orbital Resonance",POWER(Upgrades!$U$7,F252),1)*IF(Upgrades!$T$8="Orbital Resonance",POWER(Upgrades!$U$8,G252),1)*IF(Upgrades!$T$9="Orbital Resonance",POWER(Upgrades!$U$9,H252),1)*IF(Upgrades!$T$11="Orbital Resonance",POWER(Upgrades!$U$11,J252),1)*IF(Upgrades!$T$12="Orbital Resonance",POWER(Upgrades!$U$12,K252),1))+(IF(J252=0,0,(Upgrades!$G$11+J252*Upgrades!$H$11)*POWER(Upgrades!$I$11,J252)))*(IF(Upgrades!$T$6="Heliopause",POWER(Upgrades!$U$6,E252),1)*IF(Upgrades!$T$7="Heliopause",POWER(Upgrades!$U$7,F252),1)*IF(Upgrades!$T$8="Heliopause",POWER(Upgrades!$U$8,G252),1)*IF(Upgrades!$T$9="Heliopause",POWER(Upgrades!$U$9,H252),1)*IF(Upgrades!$T$10="Heliopause",POWER(Upgrades!$U$10,I252),1)*IF(Upgrades!$T$12="Heliopause",POWER(Upgrades!$U$12,K252),1))+(IF(K252=0,0,(Upgrades!$G$12+K252*Upgrades!$H$12)*POWER(Upgrades!$I$12,K252)))*(IF(Upgrades!$T$6="First Photons",POWER(Upgrades!$U$6,E252),1)*IF(Upgrades!$T$7="First Photons",POWER(Upgrades!$U$7,F252),1)*IF(Upgrades!$T$8="First Photons",POWER(Upgrades!$U$8,G252),1)*IF(Upgrades!$T$9="First Photons",POWER(Upgrades!$U$9,H252),1)*IF(Upgrades!$T$10="First Photons",POWER(Upgrades!$U$10,I252),1)*IF(Upgrades!$T$11="First Photons",POWER(Upgrades!$U$11,J252),1)))*POWER(Upgrades!$P$6,E252)*POWER(Upgrades!$P$7,F252)*POWER(Upgrades!$P$8,G252)*POWER(Upgrades!$P$9,H252)*POWER(Upgrades!$P$10,I252)*POWER(Upgrades!$P$11,J252)*POWER(Upgrades!$P$12,K252)</f>
        <v>11.2</v>
      </c>
      <c r="O252" s="28" t="n">
        <f aca="false">((IF(E252=0,0,(Upgrades!$M$6+E252*Upgrades!$N$6)*POWER(Upgrades!$O$6,E252)))*(IF(Upgrades!$T$7="Solar Wind",POWER(Upgrades!$U$7,F252),1)*IF(Upgrades!$T$8="Solar Wind",POWER(Upgrades!$U$8,G252),1)*IF(Upgrades!$T$9="Solar Wind",POWER(Upgrades!$U$9,H252),1)*IF(Upgrades!$T$10="Solar Wind",POWER(Upgrades!$U$10,I252),1)*IF(Upgrades!$T$11="Solar Wind",POWER(Upgrades!$U$11,J252),1)*IF(Upgrades!$T$12="Solar Wind",POWER(Upgrades!$U$12,K252),1))+(IF(F252=0,0,(Upgrades!$M$7+F252*Upgrades!$N$7)*POWER(Upgrades!$O$7,F252)))*(IF(Upgrades!$T$6="Asteroid Belt",POWER(Upgrades!$U$6,E252),1)*IF(Upgrades!$T$8="Asteroid Belt",POWER(Upgrades!$U$8,G252),1)*IF(Upgrades!$T$9="Asteroid Belt",POWER(Upgrades!$U$9,H252),1)*IF(Upgrades!$T$10="Asteroid Belt",POWER(Upgrades!$U$10,I252),1)*IF(Upgrades!$T$11="Asteroid Belt",POWER(Upgrades!$U$11,J252),1)*IF(Upgrades!$T$12="Asteroid Belt",POWER(Upgrades!$U$12,K252),1))+(IF(G252=0,0,(Upgrades!$M$8+G252*Upgrades!$N$8)*POWER(Upgrades!$O$8,G252)))*(IF(Upgrades!$T$6="Stellar Coupling",POWER(Upgrades!$U$6,E252),1)*IF(Upgrades!$T$7="Stellar Coupling",POWER(Upgrades!$U$7,F252),1)*IF(Upgrades!$T$9="Stellar Coupling",POWER(Upgrades!$U$9,H252),1)*IF(Upgrades!$T$10="Stellar Coupling",POWER(Upgrades!$U$10,I252),1)*IF(Upgrades!$T$11="Stellar Coupling",POWER(Upgrades!$U$11,J252),1)*IF(Upgrades!$T$12="Stellar Coupling",POWER(Upgrades!$U$12,K252),1))+(IF(H252=0,0,(Upgrades!$M$9+H252*Upgrades!$N$9)*POWER(Upgrades!$O$9,H252)))*(IF(Upgrades!$T$6="Magnetosphere",POWER(Upgrades!$U$6,E252),1)*IF(Upgrades!$T$7="Magnetosphere",POWER(Upgrades!$U$7,F252),1)*IF(Upgrades!$T$8="Magnetosphere",POWER(Upgrades!$U$8,G252),1)*IF(Upgrades!$T$10="Magnetosphere",POWER(Upgrades!$U$10,I252),1)*IF(Upgrades!$T$11="Magnetosphere",POWER(Upgrades!$U$11,J252),1)*IF(Upgrades!$T$12="Magnetosphere",POWER(Upgrades!$U$12,K252),1))+(IF(I252=0,0,(Upgrades!$M$10+I252*Upgrades!$N$10)*POWER(Upgrades!$O$10,I252)))*(IF(Upgrades!$T$6="Orbital Resonance",POWER(Upgrades!$U$6,E252),1)*IF(Upgrades!$T$7="Orbital Resonance",POWER(Upgrades!$U$7,F252),1)*IF(Upgrades!$T$8="Orbital Resonance",POWER(Upgrades!$U$8,G252),1)*IF(Upgrades!$T$9="Orbital Resonance",POWER(Upgrades!$U$9,H252),1)*IF(Upgrades!$T$11="Orbital Resonance",POWER(Upgrades!$U$11,J252),1)*IF(Upgrades!$T$12="Orbital Resonance",POWER(Upgrades!$U$12,K252),1))+(IF(J252=0,0,(Upgrades!$M$11+J252*Upgrades!$N$11)*POWER(Upgrades!$O$11,J252)))*(IF(Upgrades!$T$6="Heliopause",POWER(Upgrades!$U$6,E252),1)*IF(Upgrades!$T$7="Heliopause",POWER(Upgrades!$U$7,F252),1)*IF(Upgrades!$T$8="Heliopause",POWER(Upgrades!$U$8,G252),1)*IF(Upgrades!$T$9="Heliopause",POWER(Upgrades!$U$9,H252),1)*IF(Upgrades!$T$10="Heliopause",POWER(Upgrades!$U$10,I252),1)*IF(Upgrades!$T$12="Heliopause",POWER(Upgrades!$U$12,K252),1))+(IF(K252=0,0,(Upgrades!$M$12+K252*Upgrades!$N$12)*POWER(Upgrades!$O$12,K252)))*(IF(Upgrades!$T$6="First Photons",POWER(Upgrades!$U$6,E252),1)*IF(Upgrades!$T$7="First Photons",POWER(Upgrades!$U$7,F252),1)*IF(Upgrades!$T$8="First Photons",POWER(Upgrades!$U$8,G252),1)*IF(Upgrades!$T$9="First Photons",POWER(Upgrades!$U$9,H252),1)*IF(Upgrades!$T$10="First Photons",POWER(Upgrades!$U$10,I252),1)*IF(Upgrades!$T$11="First Photons",POWER(Upgrades!$U$11,J252),1)))*POWER(Upgrades!$R$6,E252)*POWER(Upgrades!$R$7,F252)*POWER(Upgrades!$R$8,G252)*POWER(Upgrades!$R$9,H252)*POWER(Upgrades!$R$10,I252)*POWER(Upgrades!$R$11,J252)*POWER(Upgrades!$R$12,K252)</f>
        <v>0</v>
      </c>
      <c r="P252" s="27" t="n">
        <f aca="false">IF(L252=1,0,M252*Parameters!$B$10/60*Parameters!$B$11*10)</f>
        <v>0</v>
      </c>
      <c r="Q252" s="27" t="n">
        <f aca="false">IF(L252=1,0,O252*M252*10)</f>
        <v>0</v>
      </c>
      <c r="R252" s="27" t="n">
        <f aca="false">IF(L252=1,0,N252*10)</f>
        <v>0</v>
      </c>
      <c r="S252" s="27" t="n">
        <f aca="false">P252+Q252+R252</f>
        <v>0</v>
      </c>
      <c r="T252" s="21" t="n">
        <f aca="false">C252+S252</f>
        <v>18.6730249835055</v>
      </c>
      <c r="U252" s="34" t="str">
        <f aca="false">AX252</f>
        <v/>
      </c>
      <c r="V252" s="21" t="n">
        <f aca="false">IF(U252="",0,IF(U252="transition",0,IF(U252="SW",AG252,IF(U252="AB",AH252,IF(U252="SC",AI252,IF(U252="Mag",AJ252,IF(U252="OR",AK252,IF(U252="HP",AL252,IF(U252="FP",AM252,0)))))))))</f>
        <v>0</v>
      </c>
      <c r="W252" s="27" t="n">
        <f aca="false">IF(U252="OR",Upgrades!$F$10,IF(U252="HP",Upgrades!$F$11,IF(U252="transition",-Parameters!$B$18,0)))</f>
        <v>0</v>
      </c>
      <c r="X252" s="21" t="n">
        <f aca="false">T252-V252</f>
        <v>18.6730249835055</v>
      </c>
      <c r="Y252" s="30" t="n">
        <f aca="false">M252*Parameters!$B$10/60*Parameters!$B$11+O252*M252+N252</f>
        <v>20.55</v>
      </c>
      <c r="Z252" s="35" t="str">
        <f aca="false">IF(U252="transition","→ Tier 2 (Stellar Neighborhood)",IF(U252="FP","First Photons — light begins, system quickens",IF(U252="HP","Heliopause acquired",IF(U252="OR","Orbital Resonance — passive multiplier active",IF(AND(AO252=1,L252=0,AN252&lt;&gt;1),"Cohesion ready (waiting on completionist upgrades)","")))))</f>
        <v/>
      </c>
      <c r="AA252" s="27" t="n">
        <f aca="false">(IF(E252=0,0,(Upgrades!$G$6+E252*Upgrades!$H$6)*POWER(Upgrades!$I$6,E252)))*(IF(Upgrades!$T$7="Solar Wind",POWER(Upgrades!$U$7,F252),1)*IF(Upgrades!$T$8="Solar Wind",POWER(Upgrades!$U$8,G252),1)*IF(Upgrades!$T$9="Solar Wind",POWER(Upgrades!$U$9,H252),1)*IF(Upgrades!$T$10="Solar Wind",POWER(Upgrades!$U$10,I252),1)*IF(Upgrades!$T$11="Solar Wind",POWER(Upgrades!$U$11,J252),1)*IF(Upgrades!$T$12="Solar Wind",POWER(Upgrades!$U$12,K252),1))*POWER(Upgrades!$P$6,E252)*POWER(Upgrades!$P$7,F252)*POWER(Upgrades!$P$8,G252)*POWER(Upgrades!$P$9,H252)*POWER(Upgrades!$P$10,I252)*POWER(Upgrades!$P$11,J252)*POWER(Upgrades!$P$12,K252)*60</f>
        <v>72</v>
      </c>
      <c r="AB252" s="27" t="n">
        <f aca="false">(IF(F252=0,0,(Upgrades!$G$7+F252*Upgrades!$H$7)*POWER(Upgrades!$I$7,F252)))*(IF(Upgrades!$T$6="Asteroid Belt",POWER(Upgrades!$U$6,E252),1)*IF(Upgrades!$T$8="Asteroid Belt",POWER(Upgrades!$U$8,G252),1)*IF(Upgrades!$T$9="Asteroid Belt",POWER(Upgrades!$U$9,H252),1)*IF(Upgrades!$T$10="Asteroid Belt",POWER(Upgrades!$U$10,I252),1)*IF(Upgrades!$T$11="Asteroid Belt",POWER(Upgrades!$U$11,J252),1)*IF(Upgrades!$T$12="Asteroid Belt",POWER(Upgrades!$U$12,K252),1))*POWER(Upgrades!$P$6,E252)*POWER(Upgrades!$P$7,F252)*POWER(Upgrades!$P$8,G252)*POWER(Upgrades!$P$9,H252)*POWER(Upgrades!$P$10,I252)*POWER(Upgrades!$P$11,J252)*POWER(Upgrades!$P$12,K252)*60</f>
        <v>150</v>
      </c>
      <c r="AC252" s="27" t="n">
        <f aca="false">(IF(G252=0,0,(Upgrades!$J$8+G252*Upgrades!$K$8)*POWER(Upgrades!$L$8,G252)))*(IF(Upgrades!$T$6="Stellar Coupling",POWER(Upgrades!$U$6,E252),1)*IF(Upgrades!$T$7="Stellar Coupling",POWER(Upgrades!$U$7,F252),1)*IF(Upgrades!$T$9="Stellar Coupling",POWER(Upgrades!$U$9,H252),1)*IF(Upgrades!$T$10="Stellar Coupling",POWER(Upgrades!$U$10,I252),1)*IF(Upgrades!$T$11="Stellar Coupling",POWER(Upgrades!$U$11,J252),1)*IF(Upgrades!$T$12="Stellar Coupling",POWER(Upgrades!$U$12,K252),1))*POWER(Upgrades!$Q$6,E252)*POWER(Upgrades!$Q$7,F252)*POWER(Upgrades!$Q$8,G252)*POWER(Upgrades!$Q$9,H252)*POWER(Upgrades!$Q$10,I252)*POWER(Upgrades!$Q$11,J252)*POWER(Upgrades!$Q$12,K252)*Parameters!$B$10*Parameters!$B$11</f>
        <v>441</v>
      </c>
      <c r="AD252" s="27" t="n">
        <f aca="false">(IF(H252=0,0,(Upgrades!$G$9+H252*Upgrades!$H$9)*POWER(Upgrades!$I$9,H252)))*(IF(Upgrades!$T$6="Magnetosphere",POWER(Upgrades!$U$6,E252),1)*IF(Upgrades!$T$7="Magnetosphere",POWER(Upgrades!$U$7,F252),1)*IF(Upgrades!$T$8="Magnetosphere",POWER(Upgrades!$U$8,G252),1)*IF(Upgrades!$T$10="Magnetosphere",POWER(Upgrades!$U$10,I252),1)*IF(Upgrades!$T$11="Magnetosphere",POWER(Upgrades!$U$11,J252),1)*IF(Upgrades!$T$12="Magnetosphere",POWER(Upgrades!$U$12,K252),1))*POWER(Upgrades!$P$6,E252)*POWER(Upgrades!$P$7,F252)*POWER(Upgrades!$P$8,G252)*POWER(Upgrades!$P$9,H252)*POWER(Upgrades!$P$10,I252)*POWER(Upgrades!$P$11,J252)*POWER(Upgrades!$P$12,K252)*60</f>
        <v>375</v>
      </c>
      <c r="AE252" s="27" t="n">
        <f aca="false">(IF(K252=0,0,(Upgrades!$G$12+K252*Upgrades!$H$12)*POWER(Upgrades!$I$12,K252)))*(IF(Upgrades!$T$6="First Photons",POWER(Upgrades!$U$6,E252),1)*IF(Upgrades!$T$7="First Photons",POWER(Upgrades!$U$7,F252),1)*IF(Upgrades!$T$8="First Photons",POWER(Upgrades!$U$8,G252),1)*IF(Upgrades!$T$9="First Photons",POWER(Upgrades!$U$9,H252),1)*IF(Upgrades!$T$10="First Photons",POWER(Upgrades!$U$10,I252),1)*IF(Upgrades!$T$11="First Photons",POWER(Upgrades!$U$11,J252),1))*POWER(Upgrades!$P$6,E252)*POWER(Upgrades!$P$7,F252)*POWER(Upgrades!$P$8,G252)*POWER(Upgrades!$P$9,H252)*POWER(Upgrades!$P$10,I252)*POWER(Upgrades!$P$11,J252)*POWER(Upgrades!$P$12,K252)*60</f>
        <v>75</v>
      </c>
      <c r="AF252" s="27" t="n">
        <f aca="false">Parameters!$B$9*POWER(Upgrades!$Q$6,E252)*POWER(Upgrades!$Q$7,F252)*POWER(Upgrades!$Q$8,G252)*POWER(Upgrades!$Q$9,H252)*POWER(Upgrades!$Q$10,I252)*POWER(Upgrades!$Q$11,J252)*POWER(Upgrades!$Q$12,K252)*(Parameters!$B$10*Parameters!$B$11+O252*60)</f>
        <v>120</v>
      </c>
      <c r="AG252" s="21" t="n">
        <f aca="false">IF(E252&gt;=Upgrades!$E$6,"",Upgrades!$C$6*POWER(Upgrades!$D$6,E252))</f>
        <v>37.4517507383159</v>
      </c>
      <c r="AH252" s="21" t="n">
        <f aca="false">IF(F252&gt;=Upgrades!$E$7,"",Upgrades!$C$7*POWER(Upgrades!$D$7,F252))</f>
        <v>80.9111547141581</v>
      </c>
      <c r="AI252" s="21" t="n">
        <f aca="false">IF(G252&gt;=Upgrades!$E$8,"",Upgrades!$C$8*POWER(Upgrades!$D$8,G252))</f>
        <v>231.9097088</v>
      </c>
      <c r="AJ252" s="21" t="str">
        <f aca="false">IF(H252&gt;=Upgrades!$E$9,"",Upgrades!$C$9*POWER(Upgrades!$D$9,H252))</f>
        <v/>
      </c>
      <c r="AK252" s="21" t="str">
        <f aca="false">IF(I252&gt;=Upgrades!$E$10,"",Upgrades!$C$10*POWER(Upgrades!$D$10,I252))</f>
        <v/>
      </c>
      <c r="AL252" s="21" t="str">
        <f aca="false">IF(J252&gt;=Upgrades!$E$11,"",Upgrades!$C$11*POWER(Upgrades!$D$11,J252))</f>
        <v/>
      </c>
      <c r="AM252" s="21" t="str">
        <f aca="false">IF(K252&gt;=Upgrades!$E$12,"",Upgrades!$C$12*POWER(Upgrades!$D$12,K252))</f>
        <v/>
      </c>
      <c r="AN252" s="26" t="str">
        <f aca="false">IF(AND(D252&gt;=Parameters!$B$18,(H252&gt;=Upgrades!$E$9)*(K252&gt;=Upgrades!$E$12)=1,L252=0),1,"")</f>
        <v/>
      </c>
      <c r="AO252" s="26" t="str">
        <f aca="false">IF(AND(D252&gt;=Parameters!$B$18,L252=0),1,"")</f>
        <v/>
      </c>
      <c r="AP252" s="21" t="n">
        <f aca="false">MIN(IF(ISNUMBER(AK252),AK252,9000000000000000),IF(ISNUMBER(AL252),AL252,9000000000000000),IF(ISNUMBER(AM252),AM252,9000000000000000))</f>
        <v>9000000000000000</v>
      </c>
      <c r="AQ252" s="21" t="n">
        <f aca="false">MIN(IF(ISNUMBER(AG252),AG252,9000000000000000),IF(ISNUMBER(AH252),AH252,9000000000000000),IF(ISNUMBER(AI252),AI252,9000000000000000),IF(ISNUMBER(AJ252),AJ252,9000000000000000))</f>
        <v>37.4517507383159</v>
      </c>
      <c r="AR252" s="32" t="b">
        <f aca="false">IF(AW252&gt;Parameters!$B$21*(MAX(IF(AND(NOT(AND(AO252=1,AN252&lt;&gt;1)),ISNUMBER(AG252),AG252&lt;=T252),AS252,0),IF(AND(NOT(AND(AO252=1,AN252&lt;&gt;1)),ISNUMBER(AH252),AH252&lt;=T252),AT252,0),IF(AND(NOT(AND(AO252=1,AN252&lt;&gt;1)),ISNUMBER(AI252),AI252&lt;=T252),AU252,0),IF(AND(ISNUMBER(AJ252),AJ252&lt;=T252),AV252,0))),TRUE(),FALSE())</f>
        <v>1</v>
      </c>
      <c r="AS252" s="33" t="n">
        <f aca="false">IFERROR(Upgrades!$H$6*(POWER(Upgrades!$P$6,E252)*POWER(Upgrades!$P$7,F252)*POWER(Upgrades!$P$8,G252)*POWER(Upgrades!$P$9,H252)*POWER(Upgrades!$P$10,I252)*POWER(Upgrades!$P$11,J252)*POWER(Upgrades!$P$12,K252))*(IF(Upgrades!$T$7="Solar Wind",POWER(Upgrades!$U$7,F252),1)*IF(Upgrades!$T$8="Solar Wind",POWER(Upgrades!$U$8,G252),1)*IF(Upgrades!$T$9="Solar Wind",POWER(Upgrades!$U$9,H252),1)*IF(Upgrades!$T$10="Solar Wind",POWER(Upgrades!$U$10,I252),1)*IF(Upgrades!$T$11="Solar Wind",POWER(Upgrades!$U$11,J252),1)*IF(Upgrades!$T$12="Solar Wind",POWER(Upgrades!$U$12,K252),1))/AG252,0)</f>
        <v>0.0026701021455238</v>
      </c>
      <c r="AT252" s="33" t="n">
        <f aca="false">IFERROR(Upgrades!$H$7*(POWER(Upgrades!$P$6,E252)*POWER(Upgrades!$P$7,F252)*POWER(Upgrades!$P$8,G252)*POWER(Upgrades!$P$9,H252)*POWER(Upgrades!$P$10,I252)*POWER(Upgrades!$P$11,J252)*POWER(Upgrades!$P$12,K252))*(IF(Upgrades!$T$6="Asteroid Belt",POWER(Upgrades!$U$6,E252),1)*IF(Upgrades!$T$8="Asteroid Belt",POWER(Upgrades!$U$8,G252),1)*IF(Upgrades!$T$9="Asteroid Belt",POWER(Upgrades!$U$9,H252),1)*IF(Upgrades!$T$10="Asteroid Belt",POWER(Upgrades!$U$10,I252),1)*IF(Upgrades!$T$11="Asteroid Belt",POWER(Upgrades!$U$11,J252),1)*IF(Upgrades!$T$12="Asteroid Belt",POWER(Upgrades!$U$12,K252),1))/AH252,0)</f>
        <v>0.00308980882652332</v>
      </c>
      <c r="AU252" s="33" t="n">
        <f aca="false">IFERROR(Upgrades!$K$8*(POWER(Upgrades!$Q$6,E252)*POWER(Upgrades!$Q$7,F252)*POWER(Upgrades!$Q$8,G252)*POWER(Upgrades!$Q$9,H252)*POWER(Upgrades!$Q$10,I252)*POWER(Upgrades!$Q$11,J252)*POWER(Upgrades!$Q$12,K252))*(IF(Upgrades!$T$6="Stellar Coupling",POWER(Upgrades!$U$6,E252),1)*IF(Upgrades!$T$7="Stellar Coupling",POWER(Upgrades!$U$7,F252),1)*IF(Upgrades!$T$9="Stellar Coupling",POWER(Upgrades!$U$9,H252),1)*IF(Upgrades!$T$10="Stellar Coupling",POWER(Upgrades!$U$10,I252),1)*IF(Upgrades!$T$11="Stellar Coupling",POWER(Upgrades!$U$11,J252),1)*IF(Upgrades!$T$12="Stellar Coupling",POWER(Upgrades!$U$12,K252),1))*Parameters!$B$10*Parameters!$B$11/60/AI252,0)</f>
        <v>0.00452762415783776</v>
      </c>
      <c r="AV252" s="33" t="n">
        <f aca="false">IFERROR(Upgrades!$H$9*(POWER(Upgrades!$P$6,E252)*POWER(Upgrades!$P$7,F252)*POWER(Upgrades!$P$8,G252)*POWER(Upgrades!$P$9,H252)*POWER(Upgrades!$P$10,I252)*POWER(Upgrades!$P$11,J252)*POWER(Upgrades!$P$12,K252))*(IF(Upgrades!$T$6="Magnetosphere",POWER(Upgrades!$U$6,E252),1)*IF(Upgrades!$T$7="Magnetosphere",POWER(Upgrades!$U$7,F252),1)*IF(Upgrades!$T$8="Magnetosphere",POWER(Upgrades!$U$8,G252),1)*IF(Upgrades!$T$10="Magnetosphere",POWER(Upgrades!$U$10,I252),1)*IF(Upgrades!$T$11="Magnetosphere",POWER(Upgrades!$U$11,J252),1)*IF(Upgrades!$T$12="Magnetosphere",POWER(Upgrades!$U$12,K252),1))/AJ252,0)</f>
        <v>0</v>
      </c>
      <c r="AW252" s="33" t="n">
        <f aca="false">MAX(IF(I252&gt;0,0,IFERROR(0.25*N252/Upgrades!$C$10,0)),IF(J252&gt;0,0,IFERROR(0.5*((IF(G252=0,0,(Upgrades!$J$8+G252*Upgrades!$K$8)*POWER(Upgrades!$L$8,G252)))*(IF(Upgrades!$T$6="Stellar Coupling",POWER(Upgrades!$U$6,E252),1)*IF(Upgrades!$T$7="Stellar Coupling",POWER(Upgrades!$U$7,F252),1)*IF(Upgrades!$T$9="Stellar Coupling",POWER(Upgrades!$U$9,H252),1)*IF(Upgrades!$T$10="Stellar Coupling",POWER(Upgrades!$U$10,I252),1)*IF(Upgrades!$T$11="Stellar Coupling",POWER(Upgrades!$U$11,J252),1)*IF(Upgrades!$T$12="Stellar Coupling",POWER(Upgrades!$U$12,K252),1))*(POWER(Upgrades!$Q$6,E252)*POWER(Upgrades!$Q$7,F252)*POWER(Upgrades!$Q$8,G252)*POWER(Upgrades!$Q$9,H252)*POWER(Upgrades!$Q$10,I252)*POWER(Upgrades!$Q$11,J252)*POWER(Upgrades!$Q$12,K252))*Parameters!$B$10*Parameters!$B$11/60)/Upgrades!$C$11,0)),IF(K252&gt;0,0,IFERROR((1*(POWER(Upgrades!$P$6,E252)*POWER(Upgrades!$P$7,F252)*POWER(Upgrades!$P$8,G252)*POWER(Upgrades!$P$9,H252)*POWER(Upgrades!$P$10,I252)*POWER(Upgrades!$P$11,J252)*POWER(Upgrades!$P$12,K252))+0.2*M252*Parameters!$B$10*Parameters!$B$11/60)/Upgrades!$C$12,0)),IF(AND(ISNUMBER(AG252),AG252&gt;T252),AS252,0),IF(AND(ISNUMBER(AH252),AH252&gt;T252),AT252,0),IF(AND(ISNUMBER(AI252),AI252&gt;T252),AU252,0),IF(AND(ISNUMBER(AJ252),AJ252&gt;T252),AV252,0))</f>
        <v>0.00452762415783776</v>
      </c>
      <c r="AX252" s="29" t="str">
        <f aca="false">IF(AN252=1,"transition",IF(MIN(IF(AND(I252=0,ISNUMBER(AK252),AK252&lt;=T252),AK252,9000000000000000),IF(AND(J252=0,ISNUMBER(AL252),AL252&lt;=T252),AL252,9000000000000000),IF(AND(K252=0,ISNUMBER(AM252),AM252&lt;=T252),AM252,9000000000000000))&lt;9000000000000000,IF(AND(AND(I252=0,ISNUMBER(AK252),AK252&lt;=T252),AK252=MIN(IF(AND(I252=0,ISNUMBER(AK252),AK252&lt;=T252),AK252,9000000000000000),IF(AND(J252=0,ISNUMBER(AL252),AL252&lt;=T252),AL252,9000000000000000),IF(AND(K252=0,ISNUMBER(AM252),AM252&lt;=T252),AM252,9000000000000000))),"OR",IF(AND(AND(J252=0,ISNUMBER(AL252),AL252&lt;=T252),AL252=MIN(IF(AND(I252=0,ISNUMBER(AK252),AK252&lt;=T252),AK252,9000000000000000),IF(AND(J252=0,ISNUMBER(AL252),AL252&lt;=T252),AL252,9000000000000000),IF(AND(K252=0,ISNUMBER(AM252),AM252&lt;=T252),AM252,9000000000000000))),"HP","FP")),IF(AR252=TRUE(),"",IF(MAX(IF(AND(NOT(AND(AO252=1,AN252&lt;&gt;1)),ISNUMBER(AG252),AG252&lt;=T252),AS252,0),IF(AND(NOT(AND(AO252=1,AN252&lt;&gt;1)),ISNUMBER(AH252),AH252&lt;=T252),AT252,0),IF(AND(NOT(AND(AO252=1,AN252&lt;&gt;1)),ISNUMBER(AI252),AI252&lt;=T252),AU252,0),IF(AND(ISNUMBER(AJ252),AJ252&lt;=T252),AV252,0))&lt;=0,"",IF(AND(IF(AND(NOT(AND(AO252=1,AN252&lt;&gt;1)),ISNUMBER(AG252),AG252&lt;=T252),AS252,0)&gt;0,IF(AND(NOT(AND(AO252=1,AN252&lt;&gt;1)),ISNUMBER(AG252),AG252&lt;=T252),AS252,0)=MAX(IF(AND(NOT(AND(AO252=1,AN252&lt;&gt;1)),ISNUMBER(AG252),AG252&lt;=T252),AS252,0),IF(AND(NOT(AND(AO252=1,AN252&lt;&gt;1)),ISNUMBER(AH252),AH252&lt;=T252),AT252,0),IF(AND(NOT(AND(AO252=1,AN252&lt;&gt;1)),ISNUMBER(AI252),AI252&lt;=T252),AU252,0),IF(AND(ISNUMBER(AJ252),AJ252&lt;=T252),AV252,0))),"SW",IF(AND(IF(AND(NOT(AND(AO252=1,AN252&lt;&gt;1)),ISNUMBER(AH252),AH252&lt;=T252),AT252,0)&gt;0,IF(AND(NOT(AND(AO252=1,AN252&lt;&gt;1)),ISNUMBER(AH252),AH252&lt;=T252),AT252,0)=MAX(IF(AND(NOT(AND(AO252=1,AN252&lt;&gt;1)),ISNUMBER(AG252),AG252&lt;=T252),AS252,0),IF(AND(NOT(AND(AO252=1,AN252&lt;&gt;1)),ISNUMBER(AH252),AH252&lt;=T252),AT252,0),IF(AND(NOT(AND(AO252=1,AN252&lt;&gt;1)),ISNUMBER(AI252),AI252&lt;=T252),AU252,0),IF(AND(ISNUMBER(AJ252),AJ252&lt;=T252),AV252,0))),"AB",IF(AND(IF(AND(NOT(AND(AO252=1,AN252&lt;&gt;1)),ISNUMBER(AI252),AI252&lt;=T252),AU252,0)&gt;0,IF(AND(NOT(AND(AO252=1,AN252&lt;&gt;1)),ISNUMBER(AI252),AI252&lt;=T252),AU252,0)=MAX(IF(AND(NOT(AND(AO252=1,AN252&lt;&gt;1)),ISNUMBER(AG252),AG252&lt;=T252),AS252,0),IF(AND(NOT(AND(AO252=1,AN252&lt;&gt;1)),ISNUMBER(AH252),AH252&lt;=T252),AT252,0),IF(AND(NOT(AND(AO252=1,AN252&lt;&gt;1)),ISNUMBER(AI252),AI252&lt;=T252),AU252,0),IF(AND(ISNUMBER(AJ252),AJ252&lt;=T252),AV252,0))),"SC","Mag")))))))</f>
        <v/>
      </c>
    </row>
    <row r="253" customFormat="false" ht="15" hidden="false" customHeight="false" outlineLevel="0" collapsed="false">
      <c r="A253" s="26" t="n">
        <v>248</v>
      </c>
      <c r="B253" s="27" t="n">
        <f aca="false">A253*10/60</f>
        <v>41.3333333333333</v>
      </c>
      <c r="C253" s="21" t="n">
        <f aca="false">X252</f>
        <v>18.6730249835055</v>
      </c>
      <c r="D253" s="27" t="n">
        <f aca="false">D252+W252</f>
        <v>0</v>
      </c>
      <c r="E253" s="26" t="n">
        <f aca="false">E252+IF(U252="SW",1,0)</f>
        <v>12</v>
      </c>
      <c r="F253" s="26" t="n">
        <f aca="false">F252+IF(U252="AB",1,0)</f>
        <v>10</v>
      </c>
      <c r="G253" s="26" t="n">
        <f aca="false">G252+IF(U252="SC",1,0)</f>
        <v>7</v>
      </c>
      <c r="H253" s="26" t="n">
        <f aca="false">H252+IF(U252="Mag",1,0)</f>
        <v>5</v>
      </c>
      <c r="I253" s="26" t="n">
        <f aca="false">MAX(I252,IF(U252="OR",1,0))</f>
        <v>1</v>
      </c>
      <c r="J253" s="26" t="n">
        <f aca="false">MAX(J252,IF(U252="HP",1,0))</f>
        <v>1</v>
      </c>
      <c r="K253" s="26" t="n">
        <f aca="false">MAX(K252,IF(U252="FP",1,0))</f>
        <v>1</v>
      </c>
      <c r="L253" s="26" t="n">
        <f aca="false">MAX(L252,IF(U252="transition",1,0))</f>
        <v>1</v>
      </c>
      <c r="M253" s="28" t="n">
        <f aca="false">(Parameters!$B$9+(IF(E253=0,0,(Upgrades!$J$6+E253*Upgrades!$K$6)*POWER(Upgrades!$L$6,E253)))*(IF(Upgrades!$T$7="Solar Wind",POWER(Upgrades!$U$7,F253),1)*IF(Upgrades!$T$8="Solar Wind",POWER(Upgrades!$U$8,G253),1)*IF(Upgrades!$T$9="Solar Wind",POWER(Upgrades!$U$9,H253),1)*IF(Upgrades!$T$10="Solar Wind",POWER(Upgrades!$U$10,I253),1)*IF(Upgrades!$T$11="Solar Wind",POWER(Upgrades!$U$11,J253),1)*IF(Upgrades!$T$12="Solar Wind",POWER(Upgrades!$U$12,K253),1))+(IF(F253=0,0,(Upgrades!$J$7+F253*Upgrades!$K$7)*POWER(Upgrades!$L$7,F253)))*(IF(Upgrades!$T$6="Asteroid Belt",POWER(Upgrades!$U$6,E253),1)*IF(Upgrades!$T$8="Asteroid Belt",POWER(Upgrades!$U$8,G253),1)*IF(Upgrades!$T$9="Asteroid Belt",POWER(Upgrades!$U$9,H253),1)*IF(Upgrades!$T$10="Asteroid Belt",POWER(Upgrades!$U$10,I253),1)*IF(Upgrades!$T$11="Asteroid Belt",POWER(Upgrades!$U$11,J253),1)*IF(Upgrades!$T$12="Asteroid Belt",POWER(Upgrades!$U$12,K253),1))+(IF(G253=0,0,(Upgrades!$J$8+G253*Upgrades!$K$8)*POWER(Upgrades!$L$8,G253)))*(IF(Upgrades!$T$6="Stellar Coupling",POWER(Upgrades!$U$6,E253),1)*IF(Upgrades!$T$7="Stellar Coupling",POWER(Upgrades!$U$7,F253),1)*IF(Upgrades!$T$9="Stellar Coupling",POWER(Upgrades!$U$9,H253),1)*IF(Upgrades!$T$10="Stellar Coupling",POWER(Upgrades!$U$10,I253),1)*IF(Upgrades!$T$11="Stellar Coupling",POWER(Upgrades!$U$11,J253),1)*IF(Upgrades!$T$12="Stellar Coupling",POWER(Upgrades!$U$12,K253),1))+(IF(H253=0,0,(Upgrades!$J$9+H253*Upgrades!$K$9)*POWER(Upgrades!$L$9,H253)))*(IF(Upgrades!$T$6="Magnetosphere",POWER(Upgrades!$U$6,E253),1)*IF(Upgrades!$T$7="Magnetosphere",POWER(Upgrades!$U$7,F253),1)*IF(Upgrades!$T$8="Magnetosphere",POWER(Upgrades!$U$8,G253),1)*IF(Upgrades!$T$10="Magnetosphere",POWER(Upgrades!$U$10,I253),1)*IF(Upgrades!$T$11="Magnetosphere",POWER(Upgrades!$U$11,J253),1)*IF(Upgrades!$T$12="Magnetosphere",POWER(Upgrades!$U$12,K253),1))+(IF(I253=0,0,(Upgrades!$J$10+I253*Upgrades!$K$10)*POWER(Upgrades!$L$10,I253)))*(IF(Upgrades!$T$6="Orbital Resonance",POWER(Upgrades!$U$6,E253),1)*IF(Upgrades!$T$7="Orbital Resonance",POWER(Upgrades!$U$7,F253),1)*IF(Upgrades!$T$8="Orbital Resonance",POWER(Upgrades!$U$8,G253),1)*IF(Upgrades!$T$9="Orbital Resonance",POWER(Upgrades!$U$9,H253),1)*IF(Upgrades!$T$11="Orbital Resonance",POWER(Upgrades!$U$11,J253),1)*IF(Upgrades!$T$12="Orbital Resonance",POWER(Upgrades!$U$12,K253),1))+(IF(J253=0,0,(Upgrades!$J$11+J253*Upgrades!$K$11)*POWER(Upgrades!$L$11,J253)))*(IF(Upgrades!$T$6="Heliopause",POWER(Upgrades!$U$6,E253),1)*IF(Upgrades!$T$7="Heliopause",POWER(Upgrades!$U$7,F253),1)*IF(Upgrades!$T$8="Heliopause",POWER(Upgrades!$U$8,G253),1)*IF(Upgrades!$T$9="Heliopause",POWER(Upgrades!$U$9,H253),1)*IF(Upgrades!$T$10="Heliopause",POWER(Upgrades!$U$10,I253),1)*IF(Upgrades!$T$12="Heliopause",POWER(Upgrades!$U$12,K253),1))+(IF(K253=0,0,(Upgrades!$J$12+K253*Upgrades!$K$12)*POWER(Upgrades!$L$12,K253)))*(IF(Upgrades!$T$6="First Photons",POWER(Upgrades!$U$6,E253),1)*IF(Upgrades!$T$7="First Photons",POWER(Upgrades!$U$7,F253),1)*IF(Upgrades!$T$8="First Photons",POWER(Upgrades!$U$8,G253),1)*IF(Upgrades!$T$9="First Photons",POWER(Upgrades!$U$9,H253),1)*IF(Upgrades!$T$10="First Photons",POWER(Upgrades!$U$10,I253),1)*IF(Upgrades!$T$11="First Photons",POWER(Upgrades!$U$11,J253),1)))*POWER(Upgrades!$Q$6,E253)*POWER(Upgrades!$Q$7,F253)*POWER(Upgrades!$Q$8,G253)*POWER(Upgrades!$Q$9,H253)*POWER(Upgrades!$Q$10,I253)*POWER(Upgrades!$Q$11,J253)*POWER(Upgrades!$Q$12,K253)</f>
        <v>5.61</v>
      </c>
      <c r="N253" s="28" t="n">
        <f aca="false">((IF(E253=0,0,(Upgrades!$G$6+E253*Upgrades!$H$6)*POWER(Upgrades!$I$6,E253)))*(IF(Upgrades!$T$7="Solar Wind",POWER(Upgrades!$U$7,F253),1)*IF(Upgrades!$T$8="Solar Wind",POWER(Upgrades!$U$8,G253),1)*IF(Upgrades!$T$9="Solar Wind",POWER(Upgrades!$U$9,H253),1)*IF(Upgrades!$T$10="Solar Wind",POWER(Upgrades!$U$10,I253),1)*IF(Upgrades!$T$11="Solar Wind",POWER(Upgrades!$U$11,J253),1)*IF(Upgrades!$T$12="Solar Wind",POWER(Upgrades!$U$12,K253),1))+(IF(F253=0,0,(Upgrades!$G$7+F253*Upgrades!$H$7)*POWER(Upgrades!$I$7,F253)))*(IF(Upgrades!$T$6="Asteroid Belt",POWER(Upgrades!$U$6,E253),1)*IF(Upgrades!$T$8="Asteroid Belt",POWER(Upgrades!$U$8,G253),1)*IF(Upgrades!$T$9="Asteroid Belt",POWER(Upgrades!$U$9,H253),1)*IF(Upgrades!$T$10="Asteroid Belt",POWER(Upgrades!$U$10,I253),1)*IF(Upgrades!$T$11="Asteroid Belt",POWER(Upgrades!$U$11,J253),1)*IF(Upgrades!$T$12="Asteroid Belt",POWER(Upgrades!$U$12,K253),1))+(IF(G253=0,0,(Upgrades!$G$8+G253*Upgrades!$H$8)*POWER(Upgrades!$I$8,G253)))*(IF(Upgrades!$T$6="Stellar Coupling",POWER(Upgrades!$U$6,E253),1)*IF(Upgrades!$T$7="Stellar Coupling",POWER(Upgrades!$U$7,F253),1)*IF(Upgrades!$T$9="Stellar Coupling",POWER(Upgrades!$U$9,H253),1)*IF(Upgrades!$T$10="Stellar Coupling",POWER(Upgrades!$U$10,I253),1)*IF(Upgrades!$T$11="Stellar Coupling",POWER(Upgrades!$U$11,J253),1)*IF(Upgrades!$T$12="Stellar Coupling",POWER(Upgrades!$U$12,K253),1))+(IF(H253=0,0,(Upgrades!$G$9+H253*Upgrades!$H$9)*POWER(Upgrades!$I$9,H253)))*(IF(Upgrades!$T$6="Magnetosphere",POWER(Upgrades!$U$6,E253),1)*IF(Upgrades!$T$7="Magnetosphere",POWER(Upgrades!$U$7,F253),1)*IF(Upgrades!$T$8="Magnetosphere",POWER(Upgrades!$U$8,G253),1)*IF(Upgrades!$T$10="Magnetosphere",POWER(Upgrades!$U$10,I253),1)*IF(Upgrades!$T$11="Magnetosphere",POWER(Upgrades!$U$11,J253),1)*IF(Upgrades!$T$12="Magnetosphere",POWER(Upgrades!$U$12,K253),1))+(IF(I253=0,0,(Upgrades!$G$10+I253*Upgrades!$H$10)*POWER(Upgrades!$I$10,I253)))*(IF(Upgrades!$T$6="Orbital Resonance",POWER(Upgrades!$U$6,E253),1)*IF(Upgrades!$T$7="Orbital Resonance",POWER(Upgrades!$U$7,F253),1)*IF(Upgrades!$T$8="Orbital Resonance",POWER(Upgrades!$U$8,G253),1)*IF(Upgrades!$T$9="Orbital Resonance",POWER(Upgrades!$U$9,H253),1)*IF(Upgrades!$T$11="Orbital Resonance",POWER(Upgrades!$U$11,J253),1)*IF(Upgrades!$T$12="Orbital Resonance",POWER(Upgrades!$U$12,K253),1))+(IF(J253=0,0,(Upgrades!$G$11+J253*Upgrades!$H$11)*POWER(Upgrades!$I$11,J253)))*(IF(Upgrades!$T$6="Heliopause",POWER(Upgrades!$U$6,E253),1)*IF(Upgrades!$T$7="Heliopause",POWER(Upgrades!$U$7,F253),1)*IF(Upgrades!$T$8="Heliopause",POWER(Upgrades!$U$8,G253),1)*IF(Upgrades!$T$9="Heliopause",POWER(Upgrades!$U$9,H253),1)*IF(Upgrades!$T$10="Heliopause",POWER(Upgrades!$U$10,I253),1)*IF(Upgrades!$T$12="Heliopause",POWER(Upgrades!$U$12,K253),1))+(IF(K253=0,0,(Upgrades!$G$12+K253*Upgrades!$H$12)*POWER(Upgrades!$I$12,K253)))*(IF(Upgrades!$T$6="First Photons",POWER(Upgrades!$U$6,E253),1)*IF(Upgrades!$T$7="First Photons",POWER(Upgrades!$U$7,F253),1)*IF(Upgrades!$T$8="First Photons",POWER(Upgrades!$U$8,G253),1)*IF(Upgrades!$T$9="First Photons",POWER(Upgrades!$U$9,H253),1)*IF(Upgrades!$T$10="First Photons",POWER(Upgrades!$U$10,I253),1)*IF(Upgrades!$T$11="First Photons",POWER(Upgrades!$U$11,J253),1)))*POWER(Upgrades!$P$6,E253)*POWER(Upgrades!$P$7,F253)*POWER(Upgrades!$P$8,G253)*POWER(Upgrades!$P$9,H253)*POWER(Upgrades!$P$10,I253)*POWER(Upgrades!$P$11,J253)*POWER(Upgrades!$P$12,K253)</f>
        <v>11.2</v>
      </c>
      <c r="O253" s="28" t="n">
        <f aca="false">((IF(E253=0,0,(Upgrades!$M$6+E253*Upgrades!$N$6)*POWER(Upgrades!$O$6,E253)))*(IF(Upgrades!$T$7="Solar Wind",POWER(Upgrades!$U$7,F253),1)*IF(Upgrades!$T$8="Solar Wind",POWER(Upgrades!$U$8,G253),1)*IF(Upgrades!$T$9="Solar Wind",POWER(Upgrades!$U$9,H253),1)*IF(Upgrades!$T$10="Solar Wind",POWER(Upgrades!$U$10,I253),1)*IF(Upgrades!$T$11="Solar Wind",POWER(Upgrades!$U$11,J253),1)*IF(Upgrades!$T$12="Solar Wind",POWER(Upgrades!$U$12,K253),1))+(IF(F253=0,0,(Upgrades!$M$7+F253*Upgrades!$N$7)*POWER(Upgrades!$O$7,F253)))*(IF(Upgrades!$T$6="Asteroid Belt",POWER(Upgrades!$U$6,E253),1)*IF(Upgrades!$T$8="Asteroid Belt",POWER(Upgrades!$U$8,G253),1)*IF(Upgrades!$T$9="Asteroid Belt",POWER(Upgrades!$U$9,H253),1)*IF(Upgrades!$T$10="Asteroid Belt",POWER(Upgrades!$U$10,I253),1)*IF(Upgrades!$T$11="Asteroid Belt",POWER(Upgrades!$U$11,J253),1)*IF(Upgrades!$T$12="Asteroid Belt",POWER(Upgrades!$U$12,K253),1))+(IF(G253=0,0,(Upgrades!$M$8+G253*Upgrades!$N$8)*POWER(Upgrades!$O$8,G253)))*(IF(Upgrades!$T$6="Stellar Coupling",POWER(Upgrades!$U$6,E253),1)*IF(Upgrades!$T$7="Stellar Coupling",POWER(Upgrades!$U$7,F253),1)*IF(Upgrades!$T$9="Stellar Coupling",POWER(Upgrades!$U$9,H253),1)*IF(Upgrades!$T$10="Stellar Coupling",POWER(Upgrades!$U$10,I253),1)*IF(Upgrades!$T$11="Stellar Coupling",POWER(Upgrades!$U$11,J253),1)*IF(Upgrades!$T$12="Stellar Coupling",POWER(Upgrades!$U$12,K253),1))+(IF(H253=0,0,(Upgrades!$M$9+H253*Upgrades!$N$9)*POWER(Upgrades!$O$9,H253)))*(IF(Upgrades!$T$6="Magnetosphere",POWER(Upgrades!$U$6,E253),1)*IF(Upgrades!$T$7="Magnetosphere",POWER(Upgrades!$U$7,F253),1)*IF(Upgrades!$T$8="Magnetosphere",POWER(Upgrades!$U$8,G253),1)*IF(Upgrades!$T$10="Magnetosphere",POWER(Upgrades!$U$10,I253),1)*IF(Upgrades!$T$11="Magnetosphere",POWER(Upgrades!$U$11,J253),1)*IF(Upgrades!$T$12="Magnetosphere",POWER(Upgrades!$U$12,K253),1))+(IF(I253=0,0,(Upgrades!$M$10+I253*Upgrades!$N$10)*POWER(Upgrades!$O$10,I253)))*(IF(Upgrades!$T$6="Orbital Resonance",POWER(Upgrades!$U$6,E253),1)*IF(Upgrades!$T$7="Orbital Resonance",POWER(Upgrades!$U$7,F253),1)*IF(Upgrades!$T$8="Orbital Resonance",POWER(Upgrades!$U$8,G253),1)*IF(Upgrades!$T$9="Orbital Resonance",POWER(Upgrades!$U$9,H253),1)*IF(Upgrades!$T$11="Orbital Resonance",POWER(Upgrades!$U$11,J253),1)*IF(Upgrades!$T$12="Orbital Resonance",POWER(Upgrades!$U$12,K253),1))+(IF(J253=0,0,(Upgrades!$M$11+J253*Upgrades!$N$11)*POWER(Upgrades!$O$11,J253)))*(IF(Upgrades!$T$6="Heliopause",POWER(Upgrades!$U$6,E253),1)*IF(Upgrades!$T$7="Heliopause",POWER(Upgrades!$U$7,F253),1)*IF(Upgrades!$T$8="Heliopause",POWER(Upgrades!$U$8,G253),1)*IF(Upgrades!$T$9="Heliopause",POWER(Upgrades!$U$9,H253),1)*IF(Upgrades!$T$10="Heliopause",POWER(Upgrades!$U$10,I253),1)*IF(Upgrades!$T$12="Heliopause",POWER(Upgrades!$U$12,K253),1))+(IF(K253=0,0,(Upgrades!$M$12+K253*Upgrades!$N$12)*POWER(Upgrades!$O$12,K253)))*(IF(Upgrades!$T$6="First Photons",POWER(Upgrades!$U$6,E253),1)*IF(Upgrades!$T$7="First Photons",POWER(Upgrades!$U$7,F253),1)*IF(Upgrades!$T$8="First Photons",POWER(Upgrades!$U$8,G253),1)*IF(Upgrades!$T$9="First Photons",POWER(Upgrades!$U$9,H253),1)*IF(Upgrades!$T$10="First Photons",POWER(Upgrades!$U$10,I253),1)*IF(Upgrades!$T$11="First Photons",POWER(Upgrades!$U$11,J253),1)))*POWER(Upgrades!$R$6,E253)*POWER(Upgrades!$R$7,F253)*POWER(Upgrades!$R$8,G253)*POWER(Upgrades!$R$9,H253)*POWER(Upgrades!$R$10,I253)*POWER(Upgrades!$R$11,J253)*POWER(Upgrades!$R$12,K253)</f>
        <v>0</v>
      </c>
      <c r="P253" s="27" t="n">
        <f aca="false">IF(L253=1,0,M253*Parameters!$B$10/60*Parameters!$B$11*10)</f>
        <v>0</v>
      </c>
      <c r="Q253" s="27" t="n">
        <f aca="false">IF(L253=1,0,O253*M253*10)</f>
        <v>0</v>
      </c>
      <c r="R253" s="27" t="n">
        <f aca="false">IF(L253=1,0,N253*10)</f>
        <v>0</v>
      </c>
      <c r="S253" s="27" t="n">
        <f aca="false">P253+Q253+R253</f>
        <v>0</v>
      </c>
      <c r="T253" s="21" t="n">
        <f aca="false">C253+S253</f>
        <v>18.6730249835055</v>
      </c>
      <c r="U253" s="34" t="str">
        <f aca="false">AX253</f>
        <v/>
      </c>
      <c r="V253" s="21" t="n">
        <f aca="false">IF(U253="",0,IF(U253="transition",0,IF(U253="SW",AG253,IF(U253="AB",AH253,IF(U253="SC",AI253,IF(U253="Mag",AJ253,IF(U253="OR",AK253,IF(U253="HP",AL253,IF(U253="FP",AM253,0)))))))))</f>
        <v>0</v>
      </c>
      <c r="W253" s="27" t="n">
        <f aca="false">IF(U253="OR",Upgrades!$F$10,IF(U253="HP",Upgrades!$F$11,IF(U253="transition",-Parameters!$B$18,0)))</f>
        <v>0</v>
      </c>
      <c r="X253" s="21" t="n">
        <f aca="false">T253-V253</f>
        <v>18.6730249835055</v>
      </c>
      <c r="Y253" s="30" t="n">
        <f aca="false">M253*Parameters!$B$10/60*Parameters!$B$11+O253*M253+N253</f>
        <v>20.55</v>
      </c>
      <c r="Z253" s="35" t="str">
        <f aca="false">IF(U253="transition","→ Tier 2 (Stellar Neighborhood)",IF(U253="FP","First Photons — light begins, system quickens",IF(U253="HP","Heliopause acquired",IF(U253="OR","Orbital Resonance — passive multiplier active",IF(AND(AO253=1,L253=0,AN253&lt;&gt;1),"Cohesion ready (waiting on completionist upgrades)","")))))</f>
        <v/>
      </c>
      <c r="AA253" s="27" t="n">
        <f aca="false">(IF(E253=0,0,(Upgrades!$G$6+E253*Upgrades!$H$6)*POWER(Upgrades!$I$6,E253)))*(IF(Upgrades!$T$7="Solar Wind",POWER(Upgrades!$U$7,F253),1)*IF(Upgrades!$T$8="Solar Wind",POWER(Upgrades!$U$8,G253),1)*IF(Upgrades!$T$9="Solar Wind",POWER(Upgrades!$U$9,H253),1)*IF(Upgrades!$T$10="Solar Wind",POWER(Upgrades!$U$10,I253),1)*IF(Upgrades!$T$11="Solar Wind",POWER(Upgrades!$U$11,J253),1)*IF(Upgrades!$T$12="Solar Wind",POWER(Upgrades!$U$12,K253),1))*POWER(Upgrades!$P$6,E253)*POWER(Upgrades!$P$7,F253)*POWER(Upgrades!$P$8,G253)*POWER(Upgrades!$P$9,H253)*POWER(Upgrades!$P$10,I253)*POWER(Upgrades!$P$11,J253)*POWER(Upgrades!$P$12,K253)*60</f>
        <v>72</v>
      </c>
      <c r="AB253" s="27" t="n">
        <f aca="false">(IF(F253=0,0,(Upgrades!$G$7+F253*Upgrades!$H$7)*POWER(Upgrades!$I$7,F253)))*(IF(Upgrades!$T$6="Asteroid Belt",POWER(Upgrades!$U$6,E253),1)*IF(Upgrades!$T$8="Asteroid Belt",POWER(Upgrades!$U$8,G253),1)*IF(Upgrades!$T$9="Asteroid Belt",POWER(Upgrades!$U$9,H253),1)*IF(Upgrades!$T$10="Asteroid Belt",POWER(Upgrades!$U$10,I253),1)*IF(Upgrades!$T$11="Asteroid Belt",POWER(Upgrades!$U$11,J253),1)*IF(Upgrades!$T$12="Asteroid Belt",POWER(Upgrades!$U$12,K253),1))*POWER(Upgrades!$P$6,E253)*POWER(Upgrades!$P$7,F253)*POWER(Upgrades!$P$8,G253)*POWER(Upgrades!$P$9,H253)*POWER(Upgrades!$P$10,I253)*POWER(Upgrades!$P$11,J253)*POWER(Upgrades!$P$12,K253)*60</f>
        <v>150</v>
      </c>
      <c r="AC253" s="27" t="n">
        <f aca="false">(IF(G253=0,0,(Upgrades!$J$8+G253*Upgrades!$K$8)*POWER(Upgrades!$L$8,G253)))*(IF(Upgrades!$T$6="Stellar Coupling",POWER(Upgrades!$U$6,E253),1)*IF(Upgrades!$T$7="Stellar Coupling",POWER(Upgrades!$U$7,F253),1)*IF(Upgrades!$T$9="Stellar Coupling",POWER(Upgrades!$U$9,H253),1)*IF(Upgrades!$T$10="Stellar Coupling",POWER(Upgrades!$U$10,I253),1)*IF(Upgrades!$T$11="Stellar Coupling",POWER(Upgrades!$U$11,J253),1)*IF(Upgrades!$T$12="Stellar Coupling",POWER(Upgrades!$U$12,K253),1))*POWER(Upgrades!$Q$6,E253)*POWER(Upgrades!$Q$7,F253)*POWER(Upgrades!$Q$8,G253)*POWER(Upgrades!$Q$9,H253)*POWER(Upgrades!$Q$10,I253)*POWER(Upgrades!$Q$11,J253)*POWER(Upgrades!$Q$12,K253)*Parameters!$B$10*Parameters!$B$11</f>
        <v>441</v>
      </c>
      <c r="AD253" s="27" t="n">
        <f aca="false">(IF(H253=0,0,(Upgrades!$G$9+H253*Upgrades!$H$9)*POWER(Upgrades!$I$9,H253)))*(IF(Upgrades!$T$6="Magnetosphere",POWER(Upgrades!$U$6,E253),1)*IF(Upgrades!$T$7="Magnetosphere",POWER(Upgrades!$U$7,F253),1)*IF(Upgrades!$T$8="Magnetosphere",POWER(Upgrades!$U$8,G253),1)*IF(Upgrades!$T$10="Magnetosphere",POWER(Upgrades!$U$10,I253),1)*IF(Upgrades!$T$11="Magnetosphere",POWER(Upgrades!$U$11,J253),1)*IF(Upgrades!$T$12="Magnetosphere",POWER(Upgrades!$U$12,K253),1))*POWER(Upgrades!$P$6,E253)*POWER(Upgrades!$P$7,F253)*POWER(Upgrades!$P$8,G253)*POWER(Upgrades!$P$9,H253)*POWER(Upgrades!$P$10,I253)*POWER(Upgrades!$P$11,J253)*POWER(Upgrades!$P$12,K253)*60</f>
        <v>375</v>
      </c>
      <c r="AE253" s="27" t="n">
        <f aca="false">(IF(K253=0,0,(Upgrades!$G$12+K253*Upgrades!$H$12)*POWER(Upgrades!$I$12,K253)))*(IF(Upgrades!$T$6="First Photons",POWER(Upgrades!$U$6,E253),1)*IF(Upgrades!$T$7="First Photons",POWER(Upgrades!$U$7,F253),1)*IF(Upgrades!$T$8="First Photons",POWER(Upgrades!$U$8,G253),1)*IF(Upgrades!$T$9="First Photons",POWER(Upgrades!$U$9,H253),1)*IF(Upgrades!$T$10="First Photons",POWER(Upgrades!$U$10,I253),1)*IF(Upgrades!$T$11="First Photons",POWER(Upgrades!$U$11,J253),1))*POWER(Upgrades!$P$6,E253)*POWER(Upgrades!$P$7,F253)*POWER(Upgrades!$P$8,G253)*POWER(Upgrades!$P$9,H253)*POWER(Upgrades!$P$10,I253)*POWER(Upgrades!$P$11,J253)*POWER(Upgrades!$P$12,K253)*60</f>
        <v>75</v>
      </c>
      <c r="AF253" s="27" t="n">
        <f aca="false">Parameters!$B$9*POWER(Upgrades!$Q$6,E253)*POWER(Upgrades!$Q$7,F253)*POWER(Upgrades!$Q$8,G253)*POWER(Upgrades!$Q$9,H253)*POWER(Upgrades!$Q$10,I253)*POWER(Upgrades!$Q$11,J253)*POWER(Upgrades!$Q$12,K253)*(Parameters!$B$10*Parameters!$B$11+O253*60)</f>
        <v>120</v>
      </c>
      <c r="AG253" s="21" t="n">
        <f aca="false">IF(E253&gt;=Upgrades!$E$6,"",Upgrades!$C$6*POWER(Upgrades!$D$6,E253))</f>
        <v>37.4517507383159</v>
      </c>
      <c r="AH253" s="21" t="n">
        <f aca="false">IF(F253&gt;=Upgrades!$E$7,"",Upgrades!$C$7*POWER(Upgrades!$D$7,F253))</f>
        <v>80.9111547141581</v>
      </c>
      <c r="AI253" s="21" t="n">
        <f aca="false">IF(G253&gt;=Upgrades!$E$8,"",Upgrades!$C$8*POWER(Upgrades!$D$8,G253))</f>
        <v>231.9097088</v>
      </c>
      <c r="AJ253" s="21" t="str">
        <f aca="false">IF(H253&gt;=Upgrades!$E$9,"",Upgrades!$C$9*POWER(Upgrades!$D$9,H253))</f>
        <v/>
      </c>
      <c r="AK253" s="21" t="str">
        <f aca="false">IF(I253&gt;=Upgrades!$E$10,"",Upgrades!$C$10*POWER(Upgrades!$D$10,I253))</f>
        <v/>
      </c>
      <c r="AL253" s="21" t="str">
        <f aca="false">IF(J253&gt;=Upgrades!$E$11,"",Upgrades!$C$11*POWER(Upgrades!$D$11,J253))</f>
        <v/>
      </c>
      <c r="AM253" s="21" t="str">
        <f aca="false">IF(K253&gt;=Upgrades!$E$12,"",Upgrades!$C$12*POWER(Upgrades!$D$12,K253))</f>
        <v/>
      </c>
      <c r="AN253" s="26" t="str">
        <f aca="false">IF(AND(D253&gt;=Parameters!$B$18,(H253&gt;=Upgrades!$E$9)*(K253&gt;=Upgrades!$E$12)=1,L253=0),1,"")</f>
        <v/>
      </c>
      <c r="AO253" s="26" t="str">
        <f aca="false">IF(AND(D253&gt;=Parameters!$B$18,L253=0),1,"")</f>
        <v/>
      </c>
      <c r="AP253" s="21" t="n">
        <f aca="false">MIN(IF(ISNUMBER(AK253),AK253,9000000000000000),IF(ISNUMBER(AL253),AL253,9000000000000000),IF(ISNUMBER(AM253),AM253,9000000000000000))</f>
        <v>9000000000000000</v>
      </c>
      <c r="AQ253" s="21" t="n">
        <f aca="false">MIN(IF(ISNUMBER(AG253),AG253,9000000000000000),IF(ISNUMBER(AH253),AH253,9000000000000000),IF(ISNUMBER(AI253),AI253,9000000000000000),IF(ISNUMBER(AJ253),AJ253,9000000000000000))</f>
        <v>37.4517507383159</v>
      </c>
      <c r="AR253" s="32" t="b">
        <f aca="false">IF(AW253&gt;Parameters!$B$21*(MAX(IF(AND(NOT(AND(AO253=1,AN253&lt;&gt;1)),ISNUMBER(AG253),AG253&lt;=T253),AS253,0),IF(AND(NOT(AND(AO253=1,AN253&lt;&gt;1)),ISNUMBER(AH253),AH253&lt;=T253),AT253,0),IF(AND(NOT(AND(AO253=1,AN253&lt;&gt;1)),ISNUMBER(AI253),AI253&lt;=T253),AU253,0),IF(AND(ISNUMBER(AJ253),AJ253&lt;=T253),AV253,0))),TRUE(),FALSE())</f>
        <v>1</v>
      </c>
      <c r="AS253" s="33" t="n">
        <f aca="false">IFERROR(Upgrades!$H$6*(POWER(Upgrades!$P$6,E253)*POWER(Upgrades!$P$7,F253)*POWER(Upgrades!$P$8,G253)*POWER(Upgrades!$P$9,H253)*POWER(Upgrades!$P$10,I253)*POWER(Upgrades!$P$11,J253)*POWER(Upgrades!$P$12,K253))*(IF(Upgrades!$T$7="Solar Wind",POWER(Upgrades!$U$7,F253),1)*IF(Upgrades!$T$8="Solar Wind",POWER(Upgrades!$U$8,G253),1)*IF(Upgrades!$T$9="Solar Wind",POWER(Upgrades!$U$9,H253),1)*IF(Upgrades!$T$10="Solar Wind",POWER(Upgrades!$U$10,I253),1)*IF(Upgrades!$T$11="Solar Wind",POWER(Upgrades!$U$11,J253),1)*IF(Upgrades!$T$12="Solar Wind",POWER(Upgrades!$U$12,K253),1))/AG253,0)</f>
        <v>0.0026701021455238</v>
      </c>
      <c r="AT253" s="33" t="n">
        <f aca="false">IFERROR(Upgrades!$H$7*(POWER(Upgrades!$P$6,E253)*POWER(Upgrades!$P$7,F253)*POWER(Upgrades!$P$8,G253)*POWER(Upgrades!$P$9,H253)*POWER(Upgrades!$P$10,I253)*POWER(Upgrades!$P$11,J253)*POWER(Upgrades!$P$12,K253))*(IF(Upgrades!$T$6="Asteroid Belt",POWER(Upgrades!$U$6,E253),1)*IF(Upgrades!$T$8="Asteroid Belt",POWER(Upgrades!$U$8,G253),1)*IF(Upgrades!$T$9="Asteroid Belt",POWER(Upgrades!$U$9,H253),1)*IF(Upgrades!$T$10="Asteroid Belt",POWER(Upgrades!$U$10,I253),1)*IF(Upgrades!$T$11="Asteroid Belt",POWER(Upgrades!$U$11,J253),1)*IF(Upgrades!$T$12="Asteroid Belt",POWER(Upgrades!$U$12,K253),1))/AH253,0)</f>
        <v>0.00308980882652332</v>
      </c>
      <c r="AU253" s="33" t="n">
        <f aca="false">IFERROR(Upgrades!$K$8*(POWER(Upgrades!$Q$6,E253)*POWER(Upgrades!$Q$7,F253)*POWER(Upgrades!$Q$8,G253)*POWER(Upgrades!$Q$9,H253)*POWER(Upgrades!$Q$10,I253)*POWER(Upgrades!$Q$11,J253)*POWER(Upgrades!$Q$12,K253))*(IF(Upgrades!$T$6="Stellar Coupling",POWER(Upgrades!$U$6,E253),1)*IF(Upgrades!$T$7="Stellar Coupling",POWER(Upgrades!$U$7,F253),1)*IF(Upgrades!$T$9="Stellar Coupling",POWER(Upgrades!$U$9,H253),1)*IF(Upgrades!$T$10="Stellar Coupling",POWER(Upgrades!$U$10,I253),1)*IF(Upgrades!$T$11="Stellar Coupling",POWER(Upgrades!$U$11,J253),1)*IF(Upgrades!$T$12="Stellar Coupling",POWER(Upgrades!$U$12,K253),1))*Parameters!$B$10*Parameters!$B$11/60/AI253,0)</f>
        <v>0.00452762415783776</v>
      </c>
      <c r="AV253" s="33" t="n">
        <f aca="false">IFERROR(Upgrades!$H$9*(POWER(Upgrades!$P$6,E253)*POWER(Upgrades!$P$7,F253)*POWER(Upgrades!$P$8,G253)*POWER(Upgrades!$P$9,H253)*POWER(Upgrades!$P$10,I253)*POWER(Upgrades!$P$11,J253)*POWER(Upgrades!$P$12,K253))*(IF(Upgrades!$T$6="Magnetosphere",POWER(Upgrades!$U$6,E253),1)*IF(Upgrades!$T$7="Magnetosphere",POWER(Upgrades!$U$7,F253),1)*IF(Upgrades!$T$8="Magnetosphere",POWER(Upgrades!$U$8,G253),1)*IF(Upgrades!$T$10="Magnetosphere",POWER(Upgrades!$U$10,I253),1)*IF(Upgrades!$T$11="Magnetosphere",POWER(Upgrades!$U$11,J253),1)*IF(Upgrades!$T$12="Magnetosphere",POWER(Upgrades!$U$12,K253),1))/AJ253,0)</f>
        <v>0</v>
      </c>
      <c r="AW253" s="33" t="n">
        <f aca="false">MAX(IF(I253&gt;0,0,IFERROR(0.25*N253/Upgrades!$C$10,0)),IF(J253&gt;0,0,IFERROR(0.5*((IF(G253=0,0,(Upgrades!$J$8+G253*Upgrades!$K$8)*POWER(Upgrades!$L$8,G253)))*(IF(Upgrades!$T$6="Stellar Coupling",POWER(Upgrades!$U$6,E253),1)*IF(Upgrades!$T$7="Stellar Coupling",POWER(Upgrades!$U$7,F253),1)*IF(Upgrades!$T$9="Stellar Coupling",POWER(Upgrades!$U$9,H253),1)*IF(Upgrades!$T$10="Stellar Coupling",POWER(Upgrades!$U$10,I253),1)*IF(Upgrades!$T$11="Stellar Coupling",POWER(Upgrades!$U$11,J253),1)*IF(Upgrades!$T$12="Stellar Coupling",POWER(Upgrades!$U$12,K253),1))*(POWER(Upgrades!$Q$6,E253)*POWER(Upgrades!$Q$7,F253)*POWER(Upgrades!$Q$8,G253)*POWER(Upgrades!$Q$9,H253)*POWER(Upgrades!$Q$10,I253)*POWER(Upgrades!$Q$11,J253)*POWER(Upgrades!$Q$12,K253))*Parameters!$B$10*Parameters!$B$11/60)/Upgrades!$C$11,0)),IF(K253&gt;0,0,IFERROR((1*(POWER(Upgrades!$P$6,E253)*POWER(Upgrades!$P$7,F253)*POWER(Upgrades!$P$8,G253)*POWER(Upgrades!$P$9,H253)*POWER(Upgrades!$P$10,I253)*POWER(Upgrades!$P$11,J253)*POWER(Upgrades!$P$12,K253))+0.2*M253*Parameters!$B$10*Parameters!$B$11/60)/Upgrades!$C$12,0)),IF(AND(ISNUMBER(AG253),AG253&gt;T253),AS253,0),IF(AND(ISNUMBER(AH253),AH253&gt;T253),AT253,0),IF(AND(ISNUMBER(AI253),AI253&gt;T253),AU253,0),IF(AND(ISNUMBER(AJ253),AJ253&gt;T253),AV253,0))</f>
        <v>0.00452762415783776</v>
      </c>
      <c r="AX253" s="29" t="str">
        <f aca="false">IF(AN253=1,"transition",IF(MIN(IF(AND(I253=0,ISNUMBER(AK253),AK253&lt;=T253),AK253,9000000000000000),IF(AND(J253=0,ISNUMBER(AL253),AL253&lt;=T253),AL253,9000000000000000),IF(AND(K253=0,ISNUMBER(AM253),AM253&lt;=T253),AM253,9000000000000000))&lt;9000000000000000,IF(AND(AND(I253=0,ISNUMBER(AK253),AK253&lt;=T253),AK253=MIN(IF(AND(I253=0,ISNUMBER(AK253),AK253&lt;=T253),AK253,9000000000000000),IF(AND(J253=0,ISNUMBER(AL253),AL253&lt;=T253),AL253,9000000000000000),IF(AND(K253=0,ISNUMBER(AM253),AM253&lt;=T253),AM253,9000000000000000))),"OR",IF(AND(AND(J253=0,ISNUMBER(AL253),AL253&lt;=T253),AL253=MIN(IF(AND(I253=0,ISNUMBER(AK253),AK253&lt;=T253),AK253,9000000000000000),IF(AND(J253=0,ISNUMBER(AL253),AL253&lt;=T253),AL253,9000000000000000),IF(AND(K253=0,ISNUMBER(AM253),AM253&lt;=T253),AM253,9000000000000000))),"HP","FP")),IF(AR253=TRUE(),"",IF(MAX(IF(AND(NOT(AND(AO253=1,AN253&lt;&gt;1)),ISNUMBER(AG253),AG253&lt;=T253),AS253,0),IF(AND(NOT(AND(AO253=1,AN253&lt;&gt;1)),ISNUMBER(AH253),AH253&lt;=T253),AT253,0),IF(AND(NOT(AND(AO253=1,AN253&lt;&gt;1)),ISNUMBER(AI253),AI253&lt;=T253),AU253,0),IF(AND(ISNUMBER(AJ253),AJ253&lt;=T253),AV253,0))&lt;=0,"",IF(AND(IF(AND(NOT(AND(AO253=1,AN253&lt;&gt;1)),ISNUMBER(AG253),AG253&lt;=T253),AS253,0)&gt;0,IF(AND(NOT(AND(AO253=1,AN253&lt;&gt;1)),ISNUMBER(AG253),AG253&lt;=T253),AS253,0)=MAX(IF(AND(NOT(AND(AO253=1,AN253&lt;&gt;1)),ISNUMBER(AG253),AG253&lt;=T253),AS253,0),IF(AND(NOT(AND(AO253=1,AN253&lt;&gt;1)),ISNUMBER(AH253),AH253&lt;=T253),AT253,0),IF(AND(NOT(AND(AO253=1,AN253&lt;&gt;1)),ISNUMBER(AI253),AI253&lt;=T253),AU253,0),IF(AND(ISNUMBER(AJ253),AJ253&lt;=T253),AV253,0))),"SW",IF(AND(IF(AND(NOT(AND(AO253=1,AN253&lt;&gt;1)),ISNUMBER(AH253),AH253&lt;=T253),AT253,0)&gt;0,IF(AND(NOT(AND(AO253=1,AN253&lt;&gt;1)),ISNUMBER(AH253),AH253&lt;=T253),AT253,0)=MAX(IF(AND(NOT(AND(AO253=1,AN253&lt;&gt;1)),ISNUMBER(AG253),AG253&lt;=T253),AS253,0),IF(AND(NOT(AND(AO253=1,AN253&lt;&gt;1)),ISNUMBER(AH253),AH253&lt;=T253),AT253,0),IF(AND(NOT(AND(AO253=1,AN253&lt;&gt;1)),ISNUMBER(AI253),AI253&lt;=T253),AU253,0),IF(AND(ISNUMBER(AJ253),AJ253&lt;=T253),AV253,0))),"AB",IF(AND(IF(AND(NOT(AND(AO253=1,AN253&lt;&gt;1)),ISNUMBER(AI253),AI253&lt;=T253),AU253,0)&gt;0,IF(AND(NOT(AND(AO253=1,AN253&lt;&gt;1)),ISNUMBER(AI253),AI253&lt;=T253),AU253,0)=MAX(IF(AND(NOT(AND(AO253=1,AN253&lt;&gt;1)),ISNUMBER(AG253),AG253&lt;=T253),AS253,0),IF(AND(NOT(AND(AO253=1,AN253&lt;&gt;1)),ISNUMBER(AH253),AH253&lt;=T253),AT253,0),IF(AND(NOT(AND(AO253=1,AN253&lt;&gt;1)),ISNUMBER(AI253),AI253&lt;=T253),AU253,0),IF(AND(ISNUMBER(AJ253),AJ253&lt;=T253),AV253,0))),"SC","Mag")))))))</f>
        <v/>
      </c>
    </row>
    <row r="254" customFormat="false" ht="15" hidden="false" customHeight="false" outlineLevel="0" collapsed="false">
      <c r="A254" s="26" t="n">
        <v>249</v>
      </c>
      <c r="B254" s="27" t="n">
        <f aca="false">A254*10/60</f>
        <v>41.5</v>
      </c>
      <c r="C254" s="21" t="n">
        <f aca="false">X253</f>
        <v>18.6730249835055</v>
      </c>
      <c r="D254" s="27" t="n">
        <f aca="false">D253+W253</f>
        <v>0</v>
      </c>
      <c r="E254" s="26" t="n">
        <f aca="false">E253+IF(U253="SW",1,0)</f>
        <v>12</v>
      </c>
      <c r="F254" s="26" t="n">
        <f aca="false">F253+IF(U253="AB",1,0)</f>
        <v>10</v>
      </c>
      <c r="G254" s="26" t="n">
        <f aca="false">G253+IF(U253="SC",1,0)</f>
        <v>7</v>
      </c>
      <c r="H254" s="26" t="n">
        <f aca="false">H253+IF(U253="Mag",1,0)</f>
        <v>5</v>
      </c>
      <c r="I254" s="26" t="n">
        <f aca="false">MAX(I253,IF(U253="OR",1,0))</f>
        <v>1</v>
      </c>
      <c r="J254" s="26" t="n">
        <f aca="false">MAX(J253,IF(U253="HP",1,0))</f>
        <v>1</v>
      </c>
      <c r="K254" s="26" t="n">
        <f aca="false">MAX(K253,IF(U253="FP",1,0))</f>
        <v>1</v>
      </c>
      <c r="L254" s="26" t="n">
        <f aca="false">MAX(L253,IF(U253="transition",1,0))</f>
        <v>1</v>
      </c>
      <c r="M254" s="28" t="n">
        <f aca="false">(Parameters!$B$9+(IF(E254=0,0,(Upgrades!$J$6+E254*Upgrades!$K$6)*POWER(Upgrades!$L$6,E254)))*(IF(Upgrades!$T$7="Solar Wind",POWER(Upgrades!$U$7,F254),1)*IF(Upgrades!$T$8="Solar Wind",POWER(Upgrades!$U$8,G254),1)*IF(Upgrades!$T$9="Solar Wind",POWER(Upgrades!$U$9,H254),1)*IF(Upgrades!$T$10="Solar Wind",POWER(Upgrades!$U$10,I254),1)*IF(Upgrades!$T$11="Solar Wind",POWER(Upgrades!$U$11,J254),1)*IF(Upgrades!$T$12="Solar Wind",POWER(Upgrades!$U$12,K254),1))+(IF(F254=0,0,(Upgrades!$J$7+F254*Upgrades!$K$7)*POWER(Upgrades!$L$7,F254)))*(IF(Upgrades!$T$6="Asteroid Belt",POWER(Upgrades!$U$6,E254),1)*IF(Upgrades!$T$8="Asteroid Belt",POWER(Upgrades!$U$8,G254),1)*IF(Upgrades!$T$9="Asteroid Belt",POWER(Upgrades!$U$9,H254),1)*IF(Upgrades!$T$10="Asteroid Belt",POWER(Upgrades!$U$10,I254),1)*IF(Upgrades!$T$11="Asteroid Belt",POWER(Upgrades!$U$11,J254),1)*IF(Upgrades!$T$12="Asteroid Belt",POWER(Upgrades!$U$12,K254),1))+(IF(G254=0,0,(Upgrades!$J$8+G254*Upgrades!$K$8)*POWER(Upgrades!$L$8,G254)))*(IF(Upgrades!$T$6="Stellar Coupling",POWER(Upgrades!$U$6,E254),1)*IF(Upgrades!$T$7="Stellar Coupling",POWER(Upgrades!$U$7,F254),1)*IF(Upgrades!$T$9="Stellar Coupling",POWER(Upgrades!$U$9,H254),1)*IF(Upgrades!$T$10="Stellar Coupling",POWER(Upgrades!$U$10,I254),1)*IF(Upgrades!$T$11="Stellar Coupling",POWER(Upgrades!$U$11,J254),1)*IF(Upgrades!$T$12="Stellar Coupling",POWER(Upgrades!$U$12,K254),1))+(IF(H254=0,0,(Upgrades!$J$9+H254*Upgrades!$K$9)*POWER(Upgrades!$L$9,H254)))*(IF(Upgrades!$T$6="Magnetosphere",POWER(Upgrades!$U$6,E254),1)*IF(Upgrades!$T$7="Magnetosphere",POWER(Upgrades!$U$7,F254),1)*IF(Upgrades!$T$8="Magnetosphere",POWER(Upgrades!$U$8,G254),1)*IF(Upgrades!$T$10="Magnetosphere",POWER(Upgrades!$U$10,I254),1)*IF(Upgrades!$T$11="Magnetosphere",POWER(Upgrades!$U$11,J254),1)*IF(Upgrades!$T$12="Magnetosphere",POWER(Upgrades!$U$12,K254),1))+(IF(I254=0,0,(Upgrades!$J$10+I254*Upgrades!$K$10)*POWER(Upgrades!$L$10,I254)))*(IF(Upgrades!$T$6="Orbital Resonance",POWER(Upgrades!$U$6,E254),1)*IF(Upgrades!$T$7="Orbital Resonance",POWER(Upgrades!$U$7,F254),1)*IF(Upgrades!$T$8="Orbital Resonance",POWER(Upgrades!$U$8,G254),1)*IF(Upgrades!$T$9="Orbital Resonance",POWER(Upgrades!$U$9,H254),1)*IF(Upgrades!$T$11="Orbital Resonance",POWER(Upgrades!$U$11,J254),1)*IF(Upgrades!$T$12="Orbital Resonance",POWER(Upgrades!$U$12,K254),1))+(IF(J254=0,0,(Upgrades!$J$11+J254*Upgrades!$K$11)*POWER(Upgrades!$L$11,J254)))*(IF(Upgrades!$T$6="Heliopause",POWER(Upgrades!$U$6,E254),1)*IF(Upgrades!$T$7="Heliopause",POWER(Upgrades!$U$7,F254),1)*IF(Upgrades!$T$8="Heliopause",POWER(Upgrades!$U$8,G254),1)*IF(Upgrades!$T$9="Heliopause",POWER(Upgrades!$U$9,H254),1)*IF(Upgrades!$T$10="Heliopause",POWER(Upgrades!$U$10,I254),1)*IF(Upgrades!$T$12="Heliopause",POWER(Upgrades!$U$12,K254),1))+(IF(K254=0,0,(Upgrades!$J$12+K254*Upgrades!$K$12)*POWER(Upgrades!$L$12,K254)))*(IF(Upgrades!$T$6="First Photons",POWER(Upgrades!$U$6,E254),1)*IF(Upgrades!$T$7="First Photons",POWER(Upgrades!$U$7,F254),1)*IF(Upgrades!$T$8="First Photons",POWER(Upgrades!$U$8,G254),1)*IF(Upgrades!$T$9="First Photons",POWER(Upgrades!$U$9,H254),1)*IF(Upgrades!$T$10="First Photons",POWER(Upgrades!$U$10,I254),1)*IF(Upgrades!$T$11="First Photons",POWER(Upgrades!$U$11,J254),1)))*POWER(Upgrades!$Q$6,E254)*POWER(Upgrades!$Q$7,F254)*POWER(Upgrades!$Q$8,G254)*POWER(Upgrades!$Q$9,H254)*POWER(Upgrades!$Q$10,I254)*POWER(Upgrades!$Q$11,J254)*POWER(Upgrades!$Q$12,K254)</f>
        <v>5.61</v>
      </c>
      <c r="N254" s="28" t="n">
        <f aca="false">((IF(E254=0,0,(Upgrades!$G$6+E254*Upgrades!$H$6)*POWER(Upgrades!$I$6,E254)))*(IF(Upgrades!$T$7="Solar Wind",POWER(Upgrades!$U$7,F254),1)*IF(Upgrades!$T$8="Solar Wind",POWER(Upgrades!$U$8,G254),1)*IF(Upgrades!$T$9="Solar Wind",POWER(Upgrades!$U$9,H254),1)*IF(Upgrades!$T$10="Solar Wind",POWER(Upgrades!$U$10,I254),1)*IF(Upgrades!$T$11="Solar Wind",POWER(Upgrades!$U$11,J254),1)*IF(Upgrades!$T$12="Solar Wind",POWER(Upgrades!$U$12,K254),1))+(IF(F254=0,0,(Upgrades!$G$7+F254*Upgrades!$H$7)*POWER(Upgrades!$I$7,F254)))*(IF(Upgrades!$T$6="Asteroid Belt",POWER(Upgrades!$U$6,E254),1)*IF(Upgrades!$T$8="Asteroid Belt",POWER(Upgrades!$U$8,G254),1)*IF(Upgrades!$T$9="Asteroid Belt",POWER(Upgrades!$U$9,H254),1)*IF(Upgrades!$T$10="Asteroid Belt",POWER(Upgrades!$U$10,I254),1)*IF(Upgrades!$T$11="Asteroid Belt",POWER(Upgrades!$U$11,J254),1)*IF(Upgrades!$T$12="Asteroid Belt",POWER(Upgrades!$U$12,K254),1))+(IF(G254=0,0,(Upgrades!$G$8+G254*Upgrades!$H$8)*POWER(Upgrades!$I$8,G254)))*(IF(Upgrades!$T$6="Stellar Coupling",POWER(Upgrades!$U$6,E254),1)*IF(Upgrades!$T$7="Stellar Coupling",POWER(Upgrades!$U$7,F254),1)*IF(Upgrades!$T$9="Stellar Coupling",POWER(Upgrades!$U$9,H254),1)*IF(Upgrades!$T$10="Stellar Coupling",POWER(Upgrades!$U$10,I254),1)*IF(Upgrades!$T$11="Stellar Coupling",POWER(Upgrades!$U$11,J254),1)*IF(Upgrades!$T$12="Stellar Coupling",POWER(Upgrades!$U$12,K254),1))+(IF(H254=0,0,(Upgrades!$G$9+H254*Upgrades!$H$9)*POWER(Upgrades!$I$9,H254)))*(IF(Upgrades!$T$6="Magnetosphere",POWER(Upgrades!$U$6,E254),1)*IF(Upgrades!$T$7="Magnetosphere",POWER(Upgrades!$U$7,F254),1)*IF(Upgrades!$T$8="Magnetosphere",POWER(Upgrades!$U$8,G254),1)*IF(Upgrades!$T$10="Magnetosphere",POWER(Upgrades!$U$10,I254),1)*IF(Upgrades!$T$11="Magnetosphere",POWER(Upgrades!$U$11,J254),1)*IF(Upgrades!$T$12="Magnetosphere",POWER(Upgrades!$U$12,K254),1))+(IF(I254=0,0,(Upgrades!$G$10+I254*Upgrades!$H$10)*POWER(Upgrades!$I$10,I254)))*(IF(Upgrades!$T$6="Orbital Resonance",POWER(Upgrades!$U$6,E254),1)*IF(Upgrades!$T$7="Orbital Resonance",POWER(Upgrades!$U$7,F254),1)*IF(Upgrades!$T$8="Orbital Resonance",POWER(Upgrades!$U$8,G254),1)*IF(Upgrades!$T$9="Orbital Resonance",POWER(Upgrades!$U$9,H254),1)*IF(Upgrades!$T$11="Orbital Resonance",POWER(Upgrades!$U$11,J254),1)*IF(Upgrades!$T$12="Orbital Resonance",POWER(Upgrades!$U$12,K254),1))+(IF(J254=0,0,(Upgrades!$G$11+J254*Upgrades!$H$11)*POWER(Upgrades!$I$11,J254)))*(IF(Upgrades!$T$6="Heliopause",POWER(Upgrades!$U$6,E254),1)*IF(Upgrades!$T$7="Heliopause",POWER(Upgrades!$U$7,F254),1)*IF(Upgrades!$T$8="Heliopause",POWER(Upgrades!$U$8,G254),1)*IF(Upgrades!$T$9="Heliopause",POWER(Upgrades!$U$9,H254),1)*IF(Upgrades!$T$10="Heliopause",POWER(Upgrades!$U$10,I254),1)*IF(Upgrades!$T$12="Heliopause",POWER(Upgrades!$U$12,K254),1))+(IF(K254=0,0,(Upgrades!$G$12+K254*Upgrades!$H$12)*POWER(Upgrades!$I$12,K254)))*(IF(Upgrades!$T$6="First Photons",POWER(Upgrades!$U$6,E254),1)*IF(Upgrades!$T$7="First Photons",POWER(Upgrades!$U$7,F254),1)*IF(Upgrades!$T$8="First Photons",POWER(Upgrades!$U$8,G254),1)*IF(Upgrades!$T$9="First Photons",POWER(Upgrades!$U$9,H254),1)*IF(Upgrades!$T$10="First Photons",POWER(Upgrades!$U$10,I254),1)*IF(Upgrades!$T$11="First Photons",POWER(Upgrades!$U$11,J254),1)))*POWER(Upgrades!$P$6,E254)*POWER(Upgrades!$P$7,F254)*POWER(Upgrades!$P$8,G254)*POWER(Upgrades!$P$9,H254)*POWER(Upgrades!$P$10,I254)*POWER(Upgrades!$P$11,J254)*POWER(Upgrades!$P$12,K254)</f>
        <v>11.2</v>
      </c>
      <c r="O254" s="28" t="n">
        <f aca="false">((IF(E254=0,0,(Upgrades!$M$6+E254*Upgrades!$N$6)*POWER(Upgrades!$O$6,E254)))*(IF(Upgrades!$T$7="Solar Wind",POWER(Upgrades!$U$7,F254),1)*IF(Upgrades!$T$8="Solar Wind",POWER(Upgrades!$U$8,G254),1)*IF(Upgrades!$T$9="Solar Wind",POWER(Upgrades!$U$9,H254),1)*IF(Upgrades!$T$10="Solar Wind",POWER(Upgrades!$U$10,I254),1)*IF(Upgrades!$T$11="Solar Wind",POWER(Upgrades!$U$11,J254),1)*IF(Upgrades!$T$12="Solar Wind",POWER(Upgrades!$U$12,K254),1))+(IF(F254=0,0,(Upgrades!$M$7+F254*Upgrades!$N$7)*POWER(Upgrades!$O$7,F254)))*(IF(Upgrades!$T$6="Asteroid Belt",POWER(Upgrades!$U$6,E254),1)*IF(Upgrades!$T$8="Asteroid Belt",POWER(Upgrades!$U$8,G254),1)*IF(Upgrades!$T$9="Asteroid Belt",POWER(Upgrades!$U$9,H254),1)*IF(Upgrades!$T$10="Asteroid Belt",POWER(Upgrades!$U$10,I254),1)*IF(Upgrades!$T$11="Asteroid Belt",POWER(Upgrades!$U$11,J254),1)*IF(Upgrades!$T$12="Asteroid Belt",POWER(Upgrades!$U$12,K254),1))+(IF(G254=0,0,(Upgrades!$M$8+G254*Upgrades!$N$8)*POWER(Upgrades!$O$8,G254)))*(IF(Upgrades!$T$6="Stellar Coupling",POWER(Upgrades!$U$6,E254),1)*IF(Upgrades!$T$7="Stellar Coupling",POWER(Upgrades!$U$7,F254),1)*IF(Upgrades!$T$9="Stellar Coupling",POWER(Upgrades!$U$9,H254),1)*IF(Upgrades!$T$10="Stellar Coupling",POWER(Upgrades!$U$10,I254),1)*IF(Upgrades!$T$11="Stellar Coupling",POWER(Upgrades!$U$11,J254),1)*IF(Upgrades!$T$12="Stellar Coupling",POWER(Upgrades!$U$12,K254),1))+(IF(H254=0,0,(Upgrades!$M$9+H254*Upgrades!$N$9)*POWER(Upgrades!$O$9,H254)))*(IF(Upgrades!$T$6="Magnetosphere",POWER(Upgrades!$U$6,E254),1)*IF(Upgrades!$T$7="Magnetosphere",POWER(Upgrades!$U$7,F254),1)*IF(Upgrades!$T$8="Magnetosphere",POWER(Upgrades!$U$8,G254),1)*IF(Upgrades!$T$10="Magnetosphere",POWER(Upgrades!$U$10,I254),1)*IF(Upgrades!$T$11="Magnetosphere",POWER(Upgrades!$U$11,J254),1)*IF(Upgrades!$T$12="Magnetosphere",POWER(Upgrades!$U$12,K254),1))+(IF(I254=0,0,(Upgrades!$M$10+I254*Upgrades!$N$10)*POWER(Upgrades!$O$10,I254)))*(IF(Upgrades!$T$6="Orbital Resonance",POWER(Upgrades!$U$6,E254),1)*IF(Upgrades!$T$7="Orbital Resonance",POWER(Upgrades!$U$7,F254),1)*IF(Upgrades!$T$8="Orbital Resonance",POWER(Upgrades!$U$8,G254),1)*IF(Upgrades!$T$9="Orbital Resonance",POWER(Upgrades!$U$9,H254),1)*IF(Upgrades!$T$11="Orbital Resonance",POWER(Upgrades!$U$11,J254),1)*IF(Upgrades!$T$12="Orbital Resonance",POWER(Upgrades!$U$12,K254),1))+(IF(J254=0,0,(Upgrades!$M$11+J254*Upgrades!$N$11)*POWER(Upgrades!$O$11,J254)))*(IF(Upgrades!$T$6="Heliopause",POWER(Upgrades!$U$6,E254),1)*IF(Upgrades!$T$7="Heliopause",POWER(Upgrades!$U$7,F254),1)*IF(Upgrades!$T$8="Heliopause",POWER(Upgrades!$U$8,G254),1)*IF(Upgrades!$T$9="Heliopause",POWER(Upgrades!$U$9,H254),1)*IF(Upgrades!$T$10="Heliopause",POWER(Upgrades!$U$10,I254),1)*IF(Upgrades!$T$12="Heliopause",POWER(Upgrades!$U$12,K254),1))+(IF(K254=0,0,(Upgrades!$M$12+K254*Upgrades!$N$12)*POWER(Upgrades!$O$12,K254)))*(IF(Upgrades!$T$6="First Photons",POWER(Upgrades!$U$6,E254),1)*IF(Upgrades!$T$7="First Photons",POWER(Upgrades!$U$7,F254),1)*IF(Upgrades!$T$8="First Photons",POWER(Upgrades!$U$8,G254),1)*IF(Upgrades!$T$9="First Photons",POWER(Upgrades!$U$9,H254),1)*IF(Upgrades!$T$10="First Photons",POWER(Upgrades!$U$10,I254),1)*IF(Upgrades!$T$11="First Photons",POWER(Upgrades!$U$11,J254),1)))*POWER(Upgrades!$R$6,E254)*POWER(Upgrades!$R$7,F254)*POWER(Upgrades!$R$8,G254)*POWER(Upgrades!$R$9,H254)*POWER(Upgrades!$R$10,I254)*POWER(Upgrades!$R$11,J254)*POWER(Upgrades!$R$12,K254)</f>
        <v>0</v>
      </c>
      <c r="P254" s="27" t="n">
        <f aca="false">IF(L254=1,0,M254*Parameters!$B$10/60*Parameters!$B$11*10)</f>
        <v>0</v>
      </c>
      <c r="Q254" s="27" t="n">
        <f aca="false">IF(L254=1,0,O254*M254*10)</f>
        <v>0</v>
      </c>
      <c r="R254" s="27" t="n">
        <f aca="false">IF(L254=1,0,N254*10)</f>
        <v>0</v>
      </c>
      <c r="S254" s="27" t="n">
        <f aca="false">P254+Q254+R254</f>
        <v>0</v>
      </c>
      <c r="T254" s="21" t="n">
        <f aca="false">C254+S254</f>
        <v>18.6730249835055</v>
      </c>
      <c r="U254" s="34" t="str">
        <f aca="false">AX254</f>
        <v/>
      </c>
      <c r="V254" s="21" t="n">
        <f aca="false">IF(U254="",0,IF(U254="transition",0,IF(U254="SW",AG254,IF(U254="AB",AH254,IF(U254="SC",AI254,IF(U254="Mag",AJ254,IF(U254="OR",AK254,IF(U254="HP",AL254,IF(U254="FP",AM254,0)))))))))</f>
        <v>0</v>
      </c>
      <c r="W254" s="27" t="n">
        <f aca="false">IF(U254="OR",Upgrades!$F$10,IF(U254="HP",Upgrades!$F$11,IF(U254="transition",-Parameters!$B$18,0)))</f>
        <v>0</v>
      </c>
      <c r="X254" s="21" t="n">
        <f aca="false">T254-V254</f>
        <v>18.6730249835055</v>
      </c>
      <c r="Y254" s="30" t="n">
        <f aca="false">M254*Parameters!$B$10/60*Parameters!$B$11+O254*M254+N254</f>
        <v>20.55</v>
      </c>
      <c r="Z254" s="35" t="str">
        <f aca="false">IF(U254="transition","→ Tier 2 (Stellar Neighborhood)",IF(U254="FP","First Photons — light begins, system quickens",IF(U254="HP","Heliopause acquired",IF(U254="OR","Orbital Resonance — passive multiplier active",IF(AND(AO254=1,L254=0,AN254&lt;&gt;1),"Cohesion ready (waiting on completionist upgrades)","")))))</f>
        <v/>
      </c>
      <c r="AA254" s="27" t="n">
        <f aca="false">(IF(E254=0,0,(Upgrades!$G$6+E254*Upgrades!$H$6)*POWER(Upgrades!$I$6,E254)))*(IF(Upgrades!$T$7="Solar Wind",POWER(Upgrades!$U$7,F254),1)*IF(Upgrades!$T$8="Solar Wind",POWER(Upgrades!$U$8,G254),1)*IF(Upgrades!$T$9="Solar Wind",POWER(Upgrades!$U$9,H254),1)*IF(Upgrades!$T$10="Solar Wind",POWER(Upgrades!$U$10,I254),1)*IF(Upgrades!$T$11="Solar Wind",POWER(Upgrades!$U$11,J254),1)*IF(Upgrades!$T$12="Solar Wind",POWER(Upgrades!$U$12,K254),1))*POWER(Upgrades!$P$6,E254)*POWER(Upgrades!$P$7,F254)*POWER(Upgrades!$P$8,G254)*POWER(Upgrades!$P$9,H254)*POWER(Upgrades!$P$10,I254)*POWER(Upgrades!$P$11,J254)*POWER(Upgrades!$P$12,K254)*60</f>
        <v>72</v>
      </c>
      <c r="AB254" s="27" t="n">
        <f aca="false">(IF(F254=0,0,(Upgrades!$G$7+F254*Upgrades!$H$7)*POWER(Upgrades!$I$7,F254)))*(IF(Upgrades!$T$6="Asteroid Belt",POWER(Upgrades!$U$6,E254),1)*IF(Upgrades!$T$8="Asteroid Belt",POWER(Upgrades!$U$8,G254),1)*IF(Upgrades!$T$9="Asteroid Belt",POWER(Upgrades!$U$9,H254),1)*IF(Upgrades!$T$10="Asteroid Belt",POWER(Upgrades!$U$10,I254),1)*IF(Upgrades!$T$11="Asteroid Belt",POWER(Upgrades!$U$11,J254),1)*IF(Upgrades!$T$12="Asteroid Belt",POWER(Upgrades!$U$12,K254),1))*POWER(Upgrades!$P$6,E254)*POWER(Upgrades!$P$7,F254)*POWER(Upgrades!$P$8,G254)*POWER(Upgrades!$P$9,H254)*POWER(Upgrades!$P$10,I254)*POWER(Upgrades!$P$11,J254)*POWER(Upgrades!$P$12,K254)*60</f>
        <v>150</v>
      </c>
      <c r="AC254" s="27" t="n">
        <f aca="false">(IF(G254=0,0,(Upgrades!$J$8+G254*Upgrades!$K$8)*POWER(Upgrades!$L$8,G254)))*(IF(Upgrades!$T$6="Stellar Coupling",POWER(Upgrades!$U$6,E254),1)*IF(Upgrades!$T$7="Stellar Coupling",POWER(Upgrades!$U$7,F254),1)*IF(Upgrades!$T$9="Stellar Coupling",POWER(Upgrades!$U$9,H254),1)*IF(Upgrades!$T$10="Stellar Coupling",POWER(Upgrades!$U$10,I254),1)*IF(Upgrades!$T$11="Stellar Coupling",POWER(Upgrades!$U$11,J254),1)*IF(Upgrades!$T$12="Stellar Coupling",POWER(Upgrades!$U$12,K254),1))*POWER(Upgrades!$Q$6,E254)*POWER(Upgrades!$Q$7,F254)*POWER(Upgrades!$Q$8,G254)*POWER(Upgrades!$Q$9,H254)*POWER(Upgrades!$Q$10,I254)*POWER(Upgrades!$Q$11,J254)*POWER(Upgrades!$Q$12,K254)*Parameters!$B$10*Parameters!$B$11</f>
        <v>441</v>
      </c>
      <c r="AD254" s="27" t="n">
        <f aca="false">(IF(H254=0,0,(Upgrades!$G$9+H254*Upgrades!$H$9)*POWER(Upgrades!$I$9,H254)))*(IF(Upgrades!$T$6="Magnetosphere",POWER(Upgrades!$U$6,E254),1)*IF(Upgrades!$T$7="Magnetosphere",POWER(Upgrades!$U$7,F254),1)*IF(Upgrades!$T$8="Magnetosphere",POWER(Upgrades!$U$8,G254),1)*IF(Upgrades!$T$10="Magnetosphere",POWER(Upgrades!$U$10,I254),1)*IF(Upgrades!$T$11="Magnetosphere",POWER(Upgrades!$U$11,J254),1)*IF(Upgrades!$T$12="Magnetosphere",POWER(Upgrades!$U$12,K254),1))*POWER(Upgrades!$P$6,E254)*POWER(Upgrades!$P$7,F254)*POWER(Upgrades!$P$8,G254)*POWER(Upgrades!$P$9,H254)*POWER(Upgrades!$P$10,I254)*POWER(Upgrades!$P$11,J254)*POWER(Upgrades!$P$12,K254)*60</f>
        <v>375</v>
      </c>
      <c r="AE254" s="27" t="n">
        <f aca="false">(IF(K254=0,0,(Upgrades!$G$12+K254*Upgrades!$H$12)*POWER(Upgrades!$I$12,K254)))*(IF(Upgrades!$T$6="First Photons",POWER(Upgrades!$U$6,E254),1)*IF(Upgrades!$T$7="First Photons",POWER(Upgrades!$U$7,F254),1)*IF(Upgrades!$T$8="First Photons",POWER(Upgrades!$U$8,G254),1)*IF(Upgrades!$T$9="First Photons",POWER(Upgrades!$U$9,H254),1)*IF(Upgrades!$T$10="First Photons",POWER(Upgrades!$U$10,I254),1)*IF(Upgrades!$T$11="First Photons",POWER(Upgrades!$U$11,J254),1))*POWER(Upgrades!$P$6,E254)*POWER(Upgrades!$P$7,F254)*POWER(Upgrades!$P$8,G254)*POWER(Upgrades!$P$9,H254)*POWER(Upgrades!$P$10,I254)*POWER(Upgrades!$P$11,J254)*POWER(Upgrades!$P$12,K254)*60</f>
        <v>75</v>
      </c>
      <c r="AF254" s="27" t="n">
        <f aca="false">Parameters!$B$9*POWER(Upgrades!$Q$6,E254)*POWER(Upgrades!$Q$7,F254)*POWER(Upgrades!$Q$8,G254)*POWER(Upgrades!$Q$9,H254)*POWER(Upgrades!$Q$10,I254)*POWER(Upgrades!$Q$11,J254)*POWER(Upgrades!$Q$12,K254)*(Parameters!$B$10*Parameters!$B$11+O254*60)</f>
        <v>120</v>
      </c>
      <c r="AG254" s="21" t="n">
        <f aca="false">IF(E254&gt;=Upgrades!$E$6,"",Upgrades!$C$6*POWER(Upgrades!$D$6,E254))</f>
        <v>37.4517507383159</v>
      </c>
      <c r="AH254" s="21" t="n">
        <f aca="false">IF(F254&gt;=Upgrades!$E$7,"",Upgrades!$C$7*POWER(Upgrades!$D$7,F254))</f>
        <v>80.9111547141581</v>
      </c>
      <c r="AI254" s="21" t="n">
        <f aca="false">IF(G254&gt;=Upgrades!$E$8,"",Upgrades!$C$8*POWER(Upgrades!$D$8,G254))</f>
        <v>231.9097088</v>
      </c>
      <c r="AJ254" s="21" t="str">
        <f aca="false">IF(H254&gt;=Upgrades!$E$9,"",Upgrades!$C$9*POWER(Upgrades!$D$9,H254))</f>
        <v/>
      </c>
      <c r="AK254" s="21" t="str">
        <f aca="false">IF(I254&gt;=Upgrades!$E$10,"",Upgrades!$C$10*POWER(Upgrades!$D$10,I254))</f>
        <v/>
      </c>
      <c r="AL254" s="21" t="str">
        <f aca="false">IF(J254&gt;=Upgrades!$E$11,"",Upgrades!$C$11*POWER(Upgrades!$D$11,J254))</f>
        <v/>
      </c>
      <c r="AM254" s="21" t="str">
        <f aca="false">IF(K254&gt;=Upgrades!$E$12,"",Upgrades!$C$12*POWER(Upgrades!$D$12,K254))</f>
        <v/>
      </c>
      <c r="AN254" s="26" t="str">
        <f aca="false">IF(AND(D254&gt;=Parameters!$B$18,(H254&gt;=Upgrades!$E$9)*(K254&gt;=Upgrades!$E$12)=1,L254=0),1,"")</f>
        <v/>
      </c>
      <c r="AO254" s="26" t="str">
        <f aca="false">IF(AND(D254&gt;=Parameters!$B$18,L254=0),1,"")</f>
        <v/>
      </c>
      <c r="AP254" s="21" t="n">
        <f aca="false">MIN(IF(ISNUMBER(AK254),AK254,9000000000000000),IF(ISNUMBER(AL254),AL254,9000000000000000),IF(ISNUMBER(AM254),AM254,9000000000000000))</f>
        <v>9000000000000000</v>
      </c>
      <c r="AQ254" s="21" t="n">
        <f aca="false">MIN(IF(ISNUMBER(AG254),AG254,9000000000000000),IF(ISNUMBER(AH254),AH254,9000000000000000),IF(ISNUMBER(AI254),AI254,9000000000000000),IF(ISNUMBER(AJ254),AJ254,9000000000000000))</f>
        <v>37.4517507383159</v>
      </c>
      <c r="AR254" s="32" t="b">
        <f aca="false">IF(AW254&gt;Parameters!$B$21*(MAX(IF(AND(NOT(AND(AO254=1,AN254&lt;&gt;1)),ISNUMBER(AG254),AG254&lt;=T254),AS254,0),IF(AND(NOT(AND(AO254=1,AN254&lt;&gt;1)),ISNUMBER(AH254),AH254&lt;=T254),AT254,0),IF(AND(NOT(AND(AO254=1,AN254&lt;&gt;1)),ISNUMBER(AI254),AI254&lt;=T254),AU254,0),IF(AND(ISNUMBER(AJ254),AJ254&lt;=T254),AV254,0))),TRUE(),FALSE())</f>
        <v>1</v>
      </c>
      <c r="AS254" s="33" t="n">
        <f aca="false">IFERROR(Upgrades!$H$6*(POWER(Upgrades!$P$6,E254)*POWER(Upgrades!$P$7,F254)*POWER(Upgrades!$P$8,G254)*POWER(Upgrades!$P$9,H254)*POWER(Upgrades!$P$10,I254)*POWER(Upgrades!$P$11,J254)*POWER(Upgrades!$P$12,K254))*(IF(Upgrades!$T$7="Solar Wind",POWER(Upgrades!$U$7,F254),1)*IF(Upgrades!$T$8="Solar Wind",POWER(Upgrades!$U$8,G254),1)*IF(Upgrades!$T$9="Solar Wind",POWER(Upgrades!$U$9,H254),1)*IF(Upgrades!$T$10="Solar Wind",POWER(Upgrades!$U$10,I254),1)*IF(Upgrades!$T$11="Solar Wind",POWER(Upgrades!$U$11,J254),1)*IF(Upgrades!$T$12="Solar Wind",POWER(Upgrades!$U$12,K254),1))/AG254,0)</f>
        <v>0.0026701021455238</v>
      </c>
      <c r="AT254" s="33" t="n">
        <f aca="false">IFERROR(Upgrades!$H$7*(POWER(Upgrades!$P$6,E254)*POWER(Upgrades!$P$7,F254)*POWER(Upgrades!$P$8,G254)*POWER(Upgrades!$P$9,H254)*POWER(Upgrades!$P$10,I254)*POWER(Upgrades!$P$11,J254)*POWER(Upgrades!$P$12,K254))*(IF(Upgrades!$T$6="Asteroid Belt",POWER(Upgrades!$U$6,E254),1)*IF(Upgrades!$T$8="Asteroid Belt",POWER(Upgrades!$U$8,G254),1)*IF(Upgrades!$T$9="Asteroid Belt",POWER(Upgrades!$U$9,H254),1)*IF(Upgrades!$T$10="Asteroid Belt",POWER(Upgrades!$U$10,I254),1)*IF(Upgrades!$T$11="Asteroid Belt",POWER(Upgrades!$U$11,J254),1)*IF(Upgrades!$T$12="Asteroid Belt",POWER(Upgrades!$U$12,K254),1))/AH254,0)</f>
        <v>0.00308980882652332</v>
      </c>
      <c r="AU254" s="33" t="n">
        <f aca="false">IFERROR(Upgrades!$K$8*(POWER(Upgrades!$Q$6,E254)*POWER(Upgrades!$Q$7,F254)*POWER(Upgrades!$Q$8,G254)*POWER(Upgrades!$Q$9,H254)*POWER(Upgrades!$Q$10,I254)*POWER(Upgrades!$Q$11,J254)*POWER(Upgrades!$Q$12,K254))*(IF(Upgrades!$T$6="Stellar Coupling",POWER(Upgrades!$U$6,E254),1)*IF(Upgrades!$T$7="Stellar Coupling",POWER(Upgrades!$U$7,F254),1)*IF(Upgrades!$T$9="Stellar Coupling",POWER(Upgrades!$U$9,H254),1)*IF(Upgrades!$T$10="Stellar Coupling",POWER(Upgrades!$U$10,I254),1)*IF(Upgrades!$T$11="Stellar Coupling",POWER(Upgrades!$U$11,J254),1)*IF(Upgrades!$T$12="Stellar Coupling",POWER(Upgrades!$U$12,K254),1))*Parameters!$B$10*Parameters!$B$11/60/AI254,0)</f>
        <v>0.00452762415783776</v>
      </c>
      <c r="AV254" s="33" t="n">
        <f aca="false">IFERROR(Upgrades!$H$9*(POWER(Upgrades!$P$6,E254)*POWER(Upgrades!$P$7,F254)*POWER(Upgrades!$P$8,G254)*POWER(Upgrades!$P$9,H254)*POWER(Upgrades!$P$10,I254)*POWER(Upgrades!$P$11,J254)*POWER(Upgrades!$P$12,K254))*(IF(Upgrades!$T$6="Magnetosphere",POWER(Upgrades!$U$6,E254),1)*IF(Upgrades!$T$7="Magnetosphere",POWER(Upgrades!$U$7,F254),1)*IF(Upgrades!$T$8="Magnetosphere",POWER(Upgrades!$U$8,G254),1)*IF(Upgrades!$T$10="Magnetosphere",POWER(Upgrades!$U$10,I254),1)*IF(Upgrades!$T$11="Magnetosphere",POWER(Upgrades!$U$11,J254),1)*IF(Upgrades!$T$12="Magnetosphere",POWER(Upgrades!$U$12,K254),1))/AJ254,0)</f>
        <v>0</v>
      </c>
      <c r="AW254" s="33" t="n">
        <f aca="false">MAX(IF(I254&gt;0,0,IFERROR(0.25*N254/Upgrades!$C$10,0)),IF(J254&gt;0,0,IFERROR(0.5*((IF(G254=0,0,(Upgrades!$J$8+G254*Upgrades!$K$8)*POWER(Upgrades!$L$8,G254)))*(IF(Upgrades!$T$6="Stellar Coupling",POWER(Upgrades!$U$6,E254),1)*IF(Upgrades!$T$7="Stellar Coupling",POWER(Upgrades!$U$7,F254),1)*IF(Upgrades!$T$9="Stellar Coupling",POWER(Upgrades!$U$9,H254),1)*IF(Upgrades!$T$10="Stellar Coupling",POWER(Upgrades!$U$10,I254),1)*IF(Upgrades!$T$11="Stellar Coupling",POWER(Upgrades!$U$11,J254),1)*IF(Upgrades!$T$12="Stellar Coupling",POWER(Upgrades!$U$12,K254),1))*(POWER(Upgrades!$Q$6,E254)*POWER(Upgrades!$Q$7,F254)*POWER(Upgrades!$Q$8,G254)*POWER(Upgrades!$Q$9,H254)*POWER(Upgrades!$Q$10,I254)*POWER(Upgrades!$Q$11,J254)*POWER(Upgrades!$Q$12,K254))*Parameters!$B$10*Parameters!$B$11/60)/Upgrades!$C$11,0)),IF(K254&gt;0,0,IFERROR((1*(POWER(Upgrades!$P$6,E254)*POWER(Upgrades!$P$7,F254)*POWER(Upgrades!$P$8,G254)*POWER(Upgrades!$P$9,H254)*POWER(Upgrades!$P$10,I254)*POWER(Upgrades!$P$11,J254)*POWER(Upgrades!$P$12,K254))+0.2*M254*Parameters!$B$10*Parameters!$B$11/60)/Upgrades!$C$12,0)),IF(AND(ISNUMBER(AG254),AG254&gt;T254),AS254,0),IF(AND(ISNUMBER(AH254),AH254&gt;T254),AT254,0),IF(AND(ISNUMBER(AI254),AI254&gt;T254),AU254,0),IF(AND(ISNUMBER(AJ254),AJ254&gt;T254),AV254,0))</f>
        <v>0.00452762415783776</v>
      </c>
      <c r="AX254" s="29" t="str">
        <f aca="false">IF(AN254=1,"transition",IF(MIN(IF(AND(I254=0,ISNUMBER(AK254),AK254&lt;=T254),AK254,9000000000000000),IF(AND(J254=0,ISNUMBER(AL254),AL254&lt;=T254),AL254,9000000000000000),IF(AND(K254=0,ISNUMBER(AM254),AM254&lt;=T254),AM254,9000000000000000))&lt;9000000000000000,IF(AND(AND(I254=0,ISNUMBER(AK254),AK254&lt;=T254),AK254=MIN(IF(AND(I254=0,ISNUMBER(AK254),AK254&lt;=T254),AK254,9000000000000000),IF(AND(J254=0,ISNUMBER(AL254),AL254&lt;=T254),AL254,9000000000000000),IF(AND(K254=0,ISNUMBER(AM254),AM254&lt;=T254),AM254,9000000000000000))),"OR",IF(AND(AND(J254=0,ISNUMBER(AL254),AL254&lt;=T254),AL254=MIN(IF(AND(I254=0,ISNUMBER(AK254),AK254&lt;=T254),AK254,9000000000000000),IF(AND(J254=0,ISNUMBER(AL254),AL254&lt;=T254),AL254,9000000000000000),IF(AND(K254=0,ISNUMBER(AM254),AM254&lt;=T254),AM254,9000000000000000))),"HP","FP")),IF(AR254=TRUE(),"",IF(MAX(IF(AND(NOT(AND(AO254=1,AN254&lt;&gt;1)),ISNUMBER(AG254),AG254&lt;=T254),AS254,0),IF(AND(NOT(AND(AO254=1,AN254&lt;&gt;1)),ISNUMBER(AH254),AH254&lt;=T254),AT254,0),IF(AND(NOT(AND(AO254=1,AN254&lt;&gt;1)),ISNUMBER(AI254),AI254&lt;=T254),AU254,0),IF(AND(ISNUMBER(AJ254),AJ254&lt;=T254),AV254,0))&lt;=0,"",IF(AND(IF(AND(NOT(AND(AO254=1,AN254&lt;&gt;1)),ISNUMBER(AG254),AG254&lt;=T254),AS254,0)&gt;0,IF(AND(NOT(AND(AO254=1,AN254&lt;&gt;1)),ISNUMBER(AG254),AG254&lt;=T254),AS254,0)=MAX(IF(AND(NOT(AND(AO254=1,AN254&lt;&gt;1)),ISNUMBER(AG254),AG254&lt;=T254),AS254,0),IF(AND(NOT(AND(AO254=1,AN254&lt;&gt;1)),ISNUMBER(AH254),AH254&lt;=T254),AT254,0),IF(AND(NOT(AND(AO254=1,AN254&lt;&gt;1)),ISNUMBER(AI254),AI254&lt;=T254),AU254,0),IF(AND(ISNUMBER(AJ254),AJ254&lt;=T254),AV254,0))),"SW",IF(AND(IF(AND(NOT(AND(AO254=1,AN254&lt;&gt;1)),ISNUMBER(AH254),AH254&lt;=T254),AT254,0)&gt;0,IF(AND(NOT(AND(AO254=1,AN254&lt;&gt;1)),ISNUMBER(AH254),AH254&lt;=T254),AT254,0)=MAX(IF(AND(NOT(AND(AO254=1,AN254&lt;&gt;1)),ISNUMBER(AG254),AG254&lt;=T254),AS254,0),IF(AND(NOT(AND(AO254=1,AN254&lt;&gt;1)),ISNUMBER(AH254),AH254&lt;=T254),AT254,0),IF(AND(NOT(AND(AO254=1,AN254&lt;&gt;1)),ISNUMBER(AI254),AI254&lt;=T254),AU254,0),IF(AND(ISNUMBER(AJ254),AJ254&lt;=T254),AV254,0))),"AB",IF(AND(IF(AND(NOT(AND(AO254=1,AN254&lt;&gt;1)),ISNUMBER(AI254),AI254&lt;=T254),AU254,0)&gt;0,IF(AND(NOT(AND(AO254=1,AN254&lt;&gt;1)),ISNUMBER(AI254),AI254&lt;=T254),AU254,0)=MAX(IF(AND(NOT(AND(AO254=1,AN254&lt;&gt;1)),ISNUMBER(AG254),AG254&lt;=T254),AS254,0),IF(AND(NOT(AND(AO254=1,AN254&lt;&gt;1)),ISNUMBER(AH254),AH254&lt;=T254),AT254,0),IF(AND(NOT(AND(AO254=1,AN254&lt;&gt;1)),ISNUMBER(AI254),AI254&lt;=T254),AU254,0),IF(AND(ISNUMBER(AJ254),AJ254&lt;=T254),AV254,0))),"SC","Mag")))))))</f>
        <v/>
      </c>
    </row>
    <row r="255" customFormat="false" ht="15" hidden="false" customHeight="false" outlineLevel="0" collapsed="false">
      <c r="A255" s="26" t="n">
        <v>250</v>
      </c>
      <c r="B255" s="27" t="n">
        <f aca="false">A255*10/60</f>
        <v>41.6666666666667</v>
      </c>
      <c r="C255" s="21" t="n">
        <f aca="false">X254</f>
        <v>18.6730249835055</v>
      </c>
      <c r="D255" s="27" t="n">
        <f aca="false">D254+W254</f>
        <v>0</v>
      </c>
      <c r="E255" s="26" t="n">
        <f aca="false">E254+IF(U254="SW",1,0)</f>
        <v>12</v>
      </c>
      <c r="F255" s="26" t="n">
        <f aca="false">F254+IF(U254="AB",1,0)</f>
        <v>10</v>
      </c>
      <c r="G255" s="26" t="n">
        <f aca="false">G254+IF(U254="SC",1,0)</f>
        <v>7</v>
      </c>
      <c r="H255" s="26" t="n">
        <f aca="false">H254+IF(U254="Mag",1,0)</f>
        <v>5</v>
      </c>
      <c r="I255" s="26" t="n">
        <f aca="false">MAX(I254,IF(U254="OR",1,0))</f>
        <v>1</v>
      </c>
      <c r="J255" s="26" t="n">
        <f aca="false">MAX(J254,IF(U254="HP",1,0))</f>
        <v>1</v>
      </c>
      <c r="K255" s="26" t="n">
        <f aca="false">MAX(K254,IF(U254="FP",1,0))</f>
        <v>1</v>
      </c>
      <c r="L255" s="26" t="n">
        <f aca="false">MAX(L254,IF(U254="transition",1,0))</f>
        <v>1</v>
      </c>
      <c r="M255" s="28" t="n">
        <f aca="false">(Parameters!$B$9+(IF(E255=0,0,(Upgrades!$J$6+E255*Upgrades!$K$6)*POWER(Upgrades!$L$6,E255)))*(IF(Upgrades!$T$7="Solar Wind",POWER(Upgrades!$U$7,F255),1)*IF(Upgrades!$T$8="Solar Wind",POWER(Upgrades!$U$8,G255),1)*IF(Upgrades!$T$9="Solar Wind",POWER(Upgrades!$U$9,H255),1)*IF(Upgrades!$T$10="Solar Wind",POWER(Upgrades!$U$10,I255),1)*IF(Upgrades!$T$11="Solar Wind",POWER(Upgrades!$U$11,J255),1)*IF(Upgrades!$T$12="Solar Wind",POWER(Upgrades!$U$12,K255),1))+(IF(F255=0,0,(Upgrades!$J$7+F255*Upgrades!$K$7)*POWER(Upgrades!$L$7,F255)))*(IF(Upgrades!$T$6="Asteroid Belt",POWER(Upgrades!$U$6,E255),1)*IF(Upgrades!$T$8="Asteroid Belt",POWER(Upgrades!$U$8,G255),1)*IF(Upgrades!$T$9="Asteroid Belt",POWER(Upgrades!$U$9,H255),1)*IF(Upgrades!$T$10="Asteroid Belt",POWER(Upgrades!$U$10,I255),1)*IF(Upgrades!$T$11="Asteroid Belt",POWER(Upgrades!$U$11,J255),1)*IF(Upgrades!$T$12="Asteroid Belt",POWER(Upgrades!$U$12,K255),1))+(IF(G255=0,0,(Upgrades!$J$8+G255*Upgrades!$K$8)*POWER(Upgrades!$L$8,G255)))*(IF(Upgrades!$T$6="Stellar Coupling",POWER(Upgrades!$U$6,E255),1)*IF(Upgrades!$T$7="Stellar Coupling",POWER(Upgrades!$U$7,F255),1)*IF(Upgrades!$T$9="Stellar Coupling",POWER(Upgrades!$U$9,H255),1)*IF(Upgrades!$T$10="Stellar Coupling",POWER(Upgrades!$U$10,I255),1)*IF(Upgrades!$T$11="Stellar Coupling",POWER(Upgrades!$U$11,J255),1)*IF(Upgrades!$T$12="Stellar Coupling",POWER(Upgrades!$U$12,K255),1))+(IF(H255=0,0,(Upgrades!$J$9+H255*Upgrades!$K$9)*POWER(Upgrades!$L$9,H255)))*(IF(Upgrades!$T$6="Magnetosphere",POWER(Upgrades!$U$6,E255),1)*IF(Upgrades!$T$7="Magnetosphere",POWER(Upgrades!$U$7,F255),1)*IF(Upgrades!$T$8="Magnetosphere",POWER(Upgrades!$U$8,G255),1)*IF(Upgrades!$T$10="Magnetosphere",POWER(Upgrades!$U$10,I255),1)*IF(Upgrades!$T$11="Magnetosphere",POWER(Upgrades!$U$11,J255),1)*IF(Upgrades!$T$12="Magnetosphere",POWER(Upgrades!$U$12,K255),1))+(IF(I255=0,0,(Upgrades!$J$10+I255*Upgrades!$K$10)*POWER(Upgrades!$L$10,I255)))*(IF(Upgrades!$T$6="Orbital Resonance",POWER(Upgrades!$U$6,E255),1)*IF(Upgrades!$T$7="Orbital Resonance",POWER(Upgrades!$U$7,F255),1)*IF(Upgrades!$T$8="Orbital Resonance",POWER(Upgrades!$U$8,G255),1)*IF(Upgrades!$T$9="Orbital Resonance",POWER(Upgrades!$U$9,H255),1)*IF(Upgrades!$T$11="Orbital Resonance",POWER(Upgrades!$U$11,J255),1)*IF(Upgrades!$T$12="Orbital Resonance",POWER(Upgrades!$U$12,K255),1))+(IF(J255=0,0,(Upgrades!$J$11+J255*Upgrades!$K$11)*POWER(Upgrades!$L$11,J255)))*(IF(Upgrades!$T$6="Heliopause",POWER(Upgrades!$U$6,E255),1)*IF(Upgrades!$T$7="Heliopause",POWER(Upgrades!$U$7,F255),1)*IF(Upgrades!$T$8="Heliopause",POWER(Upgrades!$U$8,G255),1)*IF(Upgrades!$T$9="Heliopause",POWER(Upgrades!$U$9,H255),1)*IF(Upgrades!$T$10="Heliopause",POWER(Upgrades!$U$10,I255),1)*IF(Upgrades!$T$12="Heliopause",POWER(Upgrades!$U$12,K255),1))+(IF(K255=0,0,(Upgrades!$J$12+K255*Upgrades!$K$12)*POWER(Upgrades!$L$12,K255)))*(IF(Upgrades!$T$6="First Photons",POWER(Upgrades!$U$6,E255),1)*IF(Upgrades!$T$7="First Photons",POWER(Upgrades!$U$7,F255),1)*IF(Upgrades!$T$8="First Photons",POWER(Upgrades!$U$8,G255),1)*IF(Upgrades!$T$9="First Photons",POWER(Upgrades!$U$9,H255),1)*IF(Upgrades!$T$10="First Photons",POWER(Upgrades!$U$10,I255),1)*IF(Upgrades!$T$11="First Photons",POWER(Upgrades!$U$11,J255),1)))*POWER(Upgrades!$Q$6,E255)*POWER(Upgrades!$Q$7,F255)*POWER(Upgrades!$Q$8,G255)*POWER(Upgrades!$Q$9,H255)*POWER(Upgrades!$Q$10,I255)*POWER(Upgrades!$Q$11,J255)*POWER(Upgrades!$Q$12,K255)</f>
        <v>5.61</v>
      </c>
      <c r="N255" s="28" t="n">
        <f aca="false">((IF(E255=0,0,(Upgrades!$G$6+E255*Upgrades!$H$6)*POWER(Upgrades!$I$6,E255)))*(IF(Upgrades!$T$7="Solar Wind",POWER(Upgrades!$U$7,F255),1)*IF(Upgrades!$T$8="Solar Wind",POWER(Upgrades!$U$8,G255),1)*IF(Upgrades!$T$9="Solar Wind",POWER(Upgrades!$U$9,H255),1)*IF(Upgrades!$T$10="Solar Wind",POWER(Upgrades!$U$10,I255),1)*IF(Upgrades!$T$11="Solar Wind",POWER(Upgrades!$U$11,J255),1)*IF(Upgrades!$T$12="Solar Wind",POWER(Upgrades!$U$12,K255),1))+(IF(F255=0,0,(Upgrades!$G$7+F255*Upgrades!$H$7)*POWER(Upgrades!$I$7,F255)))*(IF(Upgrades!$T$6="Asteroid Belt",POWER(Upgrades!$U$6,E255),1)*IF(Upgrades!$T$8="Asteroid Belt",POWER(Upgrades!$U$8,G255),1)*IF(Upgrades!$T$9="Asteroid Belt",POWER(Upgrades!$U$9,H255),1)*IF(Upgrades!$T$10="Asteroid Belt",POWER(Upgrades!$U$10,I255),1)*IF(Upgrades!$T$11="Asteroid Belt",POWER(Upgrades!$U$11,J255),1)*IF(Upgrades!$T$12="Asteroid Belt",POWER(Upgrades!$U$12,K255),1))+(IF(G255=0,0,(Upgrades!$G$8+G255*Upgrades!$H$8)*POWER(Upgrades!$I$8,G255)))*(IF(Upgrades!$T$6="Stellar Coupling",POWER(Upgrades!$U$6,E255),1)*IF(Upgrades!$T$7="Stellar Coupling",POWER(Upgrades!$U$7,F255),1)*IF(Upgrades!$T$9="Stellar Coupling",POWER(Upgrades!$U$9,H255),1)*IF(Upgrades!$T$10="Stellar Coupling",POWER(Upgrades!$U$10,I255),1)*IF(Upgrades!$T$11="Stellar Coupling",POWER(Upgrades!$U$11,J255),1)*IF(Upgrades!$T$12="Stellar Coupling",POWER(Upgrades!$U$12,K255),1))+(IF(H255=0,0,(Upgrades!$G$9+H255*Upgrades!$H$9)*POWER(Upgrades!$I$9,H255)))*(IF(Upgrades!$T$6="Magnetosphere",POWER(Upgrades!$U$6,E255),1)*IF(Upgrades!$T$7="Magnetosphere",POWER(Upgrades!$U$7,F255),1)*IF(Upgrades!$T$8="Magnetosphere",POWER(Upgrades!$U$8,G255),1)*IF(Upgrades!$T$10="Magnetosphere",POWER(Upgrades!$U$10,I255),1)*IF(Upgrades!$T$11="Magnetosphere",POWER(Upgrades!$U$11,J255),1)*IF(Upgrades!$T$12="Magnetosphere",POWER(Upgrades!$U$12,K255),1))+(IF(I255=0,0,(Upgrades!$G$10+I255*Upgrades!$H$10)*POWER(Upgrades!$I$10,I255)))*(IF(Upgrades!$T$6="Orbital Resonance",POWER(Upgrades!$U$6,E255),1)*IF(Upgrades!$T$7="Orbital Resonance",POWER(Upgrades!$U$7,F255),1)*IF(Upgrades!$T$8="Orbital Resonance",POWER(Upgrades!$U$8,G255),1)*IF(Upgrades!$T$9="Orbital Resonance",POWER(Upgrades!$U$9,H255),1)*IF(Upgrades!$T$11="Orbital Resonance",POWER(Upgrades!$U$11,J255),1)*IF(Upgrades!$T$12="Orbital Resonance",POWER(Upgrades!$U$12,K255),1))+(IF(J255=0,0,(Upgrades!$G$11+J255*Upgrades!$H$11)*POWER(Upgrades!$I$11,J255)))*(IF(Upgrades!$T$6="Heliopause",POWER(Upgrades!$U$6,E255),1)*IF(Upgrades!$T$7="Heliopause",POWER(Upgrades!$U$7,F255),1)*IF(Upgrades!$T$8="Heliopause",POWER(Upgrades!$U$8,G255),1)*IF(Upgrades!$T$9="Heliopause",POWER(Upgrades!$U$9,H255),1)*IF(Upgrades!$T$10="Heliopause",POWER(Upgrades!$U$10,I255),1)*IF(Upgrades!$T$12="Heliopause",POWER(Upgrades!$U$12,K255),1))+(IF(K255=0,0,(Upgrades!$G$12+K255*Upgrades!$H$12)*POWER(Upgrades!$I$12,K255)))*(IF(Upgrades!$T$6="First Photons",POWER(Upgrades!$U$6,E255),1)*IF(Upgrades!$T$7="First Photons",POWER(Upgrades!$U$7,F255),1)*IF(Upgrades!$T$8="First Photons",POWER(Upgrades!$U$8,G255),1)*IF(Upgrades!$T$9="First Photons",POWER(Upgrades!$U$9,H255),1)*IF(Upgrades!$T$10="First Photons",POWER(Upgrades!$U$10,I255),1)*IF(Upgrades!$T$11="First Photons",POWER(Upgrades!$U$11,J255),1)))*POWER(Upgrades!$P$6,E255)*POWER(Upgrades!$P$7,F255)*POWER(Upgrades!$P$8,G255)*POWER(Upgrades!$P$9,H255)*POWER(Upgrades!$P$10,I255)*POWER(Upgrades!$P$11,J255)*POWER(Upgrades!$P$12,K255)</f>
        <v>11.2</v>
      </c>
      <c r="O255" s="28" t="n">
        <f aca="false">((IF(E255=0,0,(Upgrades!$M$6+E255*Upgrades!$N$6)*POWER(Upgrades!$O$6,E255)))*(IF(Upgrades!$T$7="Solar Wind",POWER(Upgrades!$U$7,F255),1)*IF(Upgrades!$T$8="Solar Wind",POWER(Upgrades!$U$8,G255),1)*IF(Upgrades!$T$9="Solar Wind",POWER(Upgrades!$U$9,H255),1)*IF(Upgrades!$T$10="Solar Wind",POWER(Upgrades!$U$10,I255),1)*IF(Upgrades!$T$11="Solar Wind",POWER(Upgrades!$U$11,J255),1)*IF(Upgrades!$T$12="Solar Wind",POWER(Upgrades!$U$12,K255),1))+(IF(F255=0,0,(Upgrades!$M$7+F255*Upgrades!$N$7)*POWER(Upgrades!$O$7,F255)))*(IF(Upgrades!$T$6="Asteroid Belt",POWER(Upgrades!$U$6,E255),1)*IF(Upgrades!$T$8="Asteroid Belt",POWER(Upgrades!$U$8,G255),1)*IF(Upgrades!$T$9="Asteroid Belt",POWER(Upgrades!$U$9,H255),1)*IF(Upgrades!$T$10="Asteroid Belt",POWER(Upgrades!$U$10,I255),1)*IF(Upgrades!$T$11="Asteroid Belt",POWER(Upgrades!$U$11,J255),1)*IF(Upgrades!$T$12="Asteroid Belt",POWER(Upgrades!$U$12,K255),1))+(IF(G255=0,0,(Upgrades!$M$8+G255*Upgrades!$N$8)*POWER(Upgrades!$O$8,G255)))*(IF(Upgrades!$T$6="Stellar Coupling",POWER(Upgrades!$U$6,E255),1)*IF(Upgrades!$T$7="Stellar Coupling",POWER(Upgrades!$U$7,F255),1)*IF(Upgrades!$T$9="Stellar Coupling",POWER(Upgrades!$U$9,H255),1)*IF(Upgrades!$T$10="Stellar Coupling",POWER(Upgrades!$U$10,I255),1)*IF(Upgrades!$T$11="Stellar Coupling",POWER(Upgrades!$U$11,J255),1)*IF(Upgrades!$T$12="Stellar Coupling",POWER(Upgrades!$U$12,K255),1))+(IF(H255=0,0,(Upgrades!$M$9+H255*Upgrades!$N$9)*POWER(Upgrades!$O$9,H255)))*(IF(Upgrades!$T$6="Magnetosphere",POWER(Upgrades!$U$6,E255),1)*IF(Upgrades!$T$7="Magnetosphere",POWER(Upgrades!$U$7,F255),1)*IF(Upgrades!$T$8="Magnetosphere",POWER(Upgrades!$U$8,G255),1)*IF(Upgrades!$T$10="Magnetosphere",POWER(Upgrades!$U$10,I255),1)*IF(Upgrades!$T$11="Magnetosphere",POWER(Upgrades!$U$11,J255),1)*IF(Upgrades!$T$12="Magnetosphere",POWER(Upgrades!$U$12,K255),1))+(IF(I255=0,0,(Upgrades!$M$10+I255*Upgrades!$N$10)*POWER(Upgrades!$O$10,I255)))*(IF(Upgrades!$T$6="Orbital Resonance",POWER(Upgrades!$U$6,E255),1)*IF(Upgrades!$T$7="Orbital Resonance",POWER(Upgrades!$U$7,F255),1)*IF(Upgrades!$T$8="Orbital Resonance",POWER(Upgrades!$U$8,G255),1)*IF(Upgrades!$T$9="Orbital Resonance",POWER(Upgrades!$U$9,H255),1)*IF(Upgrades!$T$11="Orbital Resonance",POWER(Upgrades!$U$11,J255),1)*IF(Upgrades!$T$12="Orbital Resonance",POWER(Upgrades!$U$12,K255),1))+(IF(J255=0,0,(Upgrades!$M$11+J255*Upgrades!$N$11)*POWER(Upgrades!$O$11,J255)))*(IF(Upgrades!$T$6="Heliopause",POWER(Upgrades!$U$6,E255),1)*IF(Upgrades!$T$7="Heliopause",POWER(Upgrades!$U$7,F255),1)*IF(Upgrades!$T$8="Heliopause",POWER(Upgrades!$U$8,G255),1)*IF(Upgrades!$T$9="Heliopause",POWER(Upgrades!$U$9,H255),1)*IF(Upgrades!$T$10="Heliopause",POWER(Upgrades!$U$10,I255),1)*IF(Upgrades!$T$12="Heliopause",POWER(Upgrades!$U$12,K255),1))+(IF(K255=0,0,(Upgrades!$M$12+K255*Upgrades!$N$12)*POWER(Upgrades!$O$12,K255)))*(IF(Upgrades!$T$6="First Photons",POWER(Upgrades!$U$6,E255),1)*IF(Upgrades!$T$7="First Photons",POWER(Upgrades!$U$7,F255),1)*IF(Upgrades!$T$8="First Photons",POWER(Upgrades!$U$8,G255),1)*IF(Upgrades!$T$9="First Photons",POWER(Upgrades!$U$9,H255),1)*IF(Upgrades!$T$10="First Photons",POWER(Upgrades!$U$10,I255),1)*IF(Upgrades!$T$11="First Photons",POWER(Upgrades!$U$11,J255),1)))*POWER(Upgrades!$R$6,E255)*POWER(Upgrades!$R$7,F255)*POWER(Upgrades!$R$8,G255)*POWER(Upgrades!$R$9,H255)*POWER(Upgrades!$R$10,I255)*POWER(Upgrades!$R$11,J255)*POWER(Upgrades!$R$12,K255)</f>
        <v>0</v>
      </c>
      <c r="P255" s="27" t="n">
        <f aca="false">IF(L255=1,0,M255*Parameters!$B$10/60*Parameters!$B$11*10)</f>
        <v>0</v>
      </c>
      <c r="Q255" s="27" t="n">
        <f aca="false">IF(L255=1,0,O255*M255*10)</f>
        <v>0</v>
      </c>
      <c r="R255" s="27" t="n">
        <f aca="false">IF(L255=1,0,N255*10)</f>
        <v>0</v>
      </c>
      <c r="S255" s="27" t="n">
        <f aca="false">P255+Q255+R255</f>
        <v>0</v>
      </c>
      <c r="T255" s="21" t="n">
        <f aca="false">C255+S255</f>
        <v>18.6730249835055</v>
      </c>
      <c r="U255" s="34" t="str">
        <f aca="false">AX255</f>
        <v/>
      </c>
      <c r="V255" s="21" t="n">
        <f aca="false">IF(U255="",0,IF(U255="transition",0,IF(U255="SW",AG255,IF(U255="AB",AH255,IF(U255="SC",AI255,IF(U255="Mag",AJ255,IF(U255="OR",AK255,IF(U255="HP",AL255,IF(U255="FP",AM255,0)))))))))</f>
        <v>0</v>
      </c>
      <c r="W255" s="27" t="n">
        <f aca="false">IF(U255="OR",Upgrades!$F$10,IF(U255="HP",Upgrades!$F$11,IF(U255="transition",-Parameters!$B$18,0)))</f>
        <v>0</v>
      </c>
      <c r="X255" s="21" t="n">
        <f aca="false">T255-V255</f>
        <v>18.6730249835055</v>
      </c>
      <c r="Y255" s="30" t="n">
        <f aca="false">M255*Parameters!$B$10/60*Parameters!$B$11+O255*M255+N255</f>
        <v>20.55</v>
      </c>
      <c r="Z255" s="35" t="str">
        <f aca="false">IF(U255="transition","→ Tier 2 (Stellar Neighborhood)",IF(U255="FP","First Photons — light begins, system quickens",IF(U255="HP","Heliopause acquired",IF(U255="OR","Orbital Resonance — passive multiplier active",IF(AND(AO255=1,L255=0,AN255&lt;&gt;1),"Cohesion ready (waiting on completionist upgrades)","")))))</f>
        <v/>
      </c>
      <c r="AA255" s="27" t="n">
        <f aca="false">(IF(E255=0,0,(Upgrades!$G$6+E255*Upgrades!$H$6)*POWER(Upgrades!$I$6,E255)))*(IF(Upgrades!$T$7="Solar Wind",POWER(Upgrades!$U$7,F255),1)*IF(Upgrades!$T$8="Solar Wind",POWER(Upgrades!$U$8,G255),1)*IF(Upgrades!$T$9="Solar Wind",POWER(Upgrades!$U$9,H255),1)*IF(Upgrades!$T$10="Solar Wind",POWER(Upgrades!$U$10,I255),1)*IF(Upgrades!$T$11="Solar Wind",POWER(Upgrades!$U$11,J255),1)*IF(Upgrades!$T$12="Solar Wind",POWER(Upgrades!$U$12,K255),1))*POWER(Upgrades!$P$6,E255)*POWER(Upgrades!$P$7,F255)*POWER(Upgrades!$P$8,G255)*POWER(Upgrades!$P$9,H255)*POWER(Upgrades!$P$10,I255)*POWER(Upgrades!$P$11,J255)*POWER(Upgrades!$P$12,K255)*60</f>
        <v>72</v>
      </c>
      <c r="AB255" s="27" t="n">
        <f aca="false">(IF(F255=0,0,(Upgrades!$G$7+F255*Upgrades!$H$7)*POWER(Upgrades!$I$7,F255)))*(IF(Upgrades!$T$6="Asteroid Belt",POWER(Upgrades!$U$6,E255),1)*IF(Upgrades!$T$8="Asteroid Belt",POWER(Upgrades!$U$8,G255),1)*IF(Upgrades!$T$9="Asteroid Belt",POWER(Upgrades!$U$9,H255),1)*IF(Upgrades!$T$10="Asteroid Belt",POWER(Upgrades!$U$10,I255),1)*IF(Upgrades!$T$11="Asteroid Belt",POWER(Upgrades!$U$11,J255),1)*IF(Upgrades!$T$12="Asteroid Belt",POWER(Upgrades!$U$12,K255),1))*POWER(Upgrades!$P$6,E255)*POWER(Upgrades!$P$7,F255)*POWER(Upgrades!$P$8,G255)*POWER(Upgrades!$P$9,H255)*POWER(Upgrades!$P$10,I255)*POWER(Upgrades!$P$11,J255)*POWER(Upgrades!$P$12,K255)*60</f>
        <v>150</v>
      </c>
      <c r="AC255" s="27" t="n">
        <f aca="false">(IF(G255=0,0,(Upgrades!$J$8+G255*Upgrades!$K$8)*POWER(Upgrades!$L$8,G255)))*(IF(Upgrades!$T$6="Stellar Coupling",POWER(Upgrades!$U$6,E255),1)*IF(Upgrades!$T$7="Stellar Coupling",POWER(Upgrades!$U$7,F255),1)*IF(Upgrades!$T$9="Stellar Coupling",POWER(Upgrades!$U$9,H255),1)*IF(Upgrades!$T$10="Stellar Coupling",POWER(Upgrades!$U$10,I255),1)*IF(Upgrades!$T$11="Stellar Coupling",POWER(Upgrades!$U$11,J255),1)*IF(Upgrades!$T$12="Stellar Coupling",POWER(Upgrades!$U$12,K255),1))*POWER(Upgrades!$Q$6,E255)*POWER(Upgrades!$Q$7,F255)*POWER(Upgrades!$Q$8,G255)*POWER(Upgrades!$Q$9,H255)*POWER(Upgrades!$Q$10,I255)*POWER(Upgrades!$Q$11,J255)*POWER(Upgrades!$Q$12,K255)*Parameters!$B$10*Parameters!$B$11</f>
        <v>441</v>
      </c>
      <c r="AD255" s="27" t="n">
        <f aca="false">(IF(H255=0,0,(Upgrades!$G$9+H255*Upgrades!$H$9)*POWER(Upgrades!$I$9,H255)))*(IF(Upgrades!$T$6="Magnetosphere",POWER(Upgrades!$U$6,E255),1)*IF(Upgrades!$T$7="Magnetosphere",POWER(Upgrades!$U$7,F255),1)*IF(Upgrades!$T$8="Magnetosphere",POWER(Upgrades!$U$8,G255),1)*IF(Upgrades!$T$10="Magnetosphere",POWER(Upgrades!$U$10,I255),1)*IF(Upgrades!$T$11="Magnetosphere",POWER(Upgrades!$U$11,J255),1)*IF(Upgrades!$T$12="Magnetosphere",POWER(Upgrades!$U$12,K255),1))*POWER(Upgrades!$P$6,E255)*POWER(Upgrades!$P$7,F255)*POWER(Upgrades!$P$8,G255)*POWER(Upgrades!$P$9,H255)*POWER(Upgrades!$P$10,I255)*POWER(Upgrades!$P$11,J255)*POWER(Upgrades!$P$12,K255)*60</f>
        <v>375</v>
      </c>
      <c r="AE255" s="27" t="n">
        <f aca="false">(IF(K255=0,0,(Upgrades!$G$12+K255*Upgrades!$H$12)*POWER(Upgrades!$I$12,K255)))*(IF(Upgrades!$T$6="First Photons",POWER(Upgrades!$U$6,E255),1)*IF(Upgrades!$T$7="First Photons",POWER(Upgrades!$U$7,F255),1)*IF(Upgrades!$T$8="First Photons",POWER(Upgrades!$U$8,G255),1)*IF(Upgrades!$T$9="First Photons",POWER(Upgrades!$U$9,H255),1)*IF(Upgrades!$T$10="First Photons",POWER(Upgrades!$U$10,I255),1)*IF(Upgrades!$T$11="First Photons",POWER(Upgrades!$U$11,J255),1))*POWER(Upgrades!$P$6,E255)*POWER(Upgrades!$P$7,F255)*POWER(Upgrades!$P$8,G255)*POWER(Upgrades!$P$9,H255)*POWER(Upgrades!$P$10,I255)*POWER(Upgrades!$P$11,J255)*POWER(Upgrades!$P$12,K255)*60</f>
        <v>75</v>
      </c>
      <c r="AF255" s="27" t="n">
        <f aca="false">Parameters!$B$9*POWER(Upgrades!$Q$6,E255)*POWER(Upgrades!$Q$7,F255)*POWER(Upgrades!$Q$8,G255)*POWER(Upgrades!$Q$9,H255)*POWER(Upgrades!$Q$10,I255)*POWER(Upgrades!$Q$11,J255)*POWER(Upgrades!$Q$12,K255)*(Parameters!$B$10*Parameters!$B$11+O255*60)</f>
        <v>120</v>
      </c>
      <c r="AG255" s="21" t="n">
        <f aca="false">IF(E255&gt;=Upgrades!$E$6,"",Upgrades!$C$6*POWER(Upgrades!$D$6,E255))</f>
        <v>37.4517507383159</v>
      </c>
      <c r="AH255" s="21" t="n">
        <f aca="false">IF(F255&gt;=Upgrades!$E$7,"",Upgrades!$C$7*POWER(Upgrades!$D$7,F255))</f>
        <v>80.9111547141581</v>
      </c>
      <c r="AI255" s="21" t="n">
        <f aca="false">IF(G255&gt;=Upgrades!$E$8,"",Upgrades!$C$8*POWER(Upgrades!$D$8,G255))</f>
        <v>231.9097088</v>
      </c>
      <c r="AJ255" s="21" t="str">
        <f aca="false">IF(H255&gt;=Upgrades!$E$9,"",Upgrades!$C$9*POWER(Upgrades!$D$9,H255))</f>
        <v/>
      </c>
      <c r="AK255" s="21" t="str">
        <f aca="false">IF(I255&gt;=Upgrades!$E$10,"",Upgrades!$C$10*POWER(Upgrades!$D$10,I255))</f>
        <v/>
      </c>
      <c r="AL255" s="21" t="str">
        <f aca="false">IF(J255&gt;=Upgrades!$E$11,"",Upgrades!$C$11*POWER(Upgrades!$D$11,J255))</f>
        <v/>
      </c>
      <c r="AM255" s="21" t="str">
        <f aca="false">IF(K255&gt;=Upgrades!$E$12,"",Upgrades!$C$12*POWER(Upgrades!$D$12,K255))</f>
        <v/>
      </c>
      <c r="AN255" s="26" t="str">
        <f aca="false">IF(AND(D255&gt;=Parameters!$B$18,(H255&gt;=Upgrades!$E$9)*(K255&gt;=Upgrades!$E$12)=1,L255=0),1,"")</f>
        <v/>
      </c>
      <c r="AO255" s="26" t="str">
        <f aca="false">IF(AND(D255&gt;=Parameters!$B$18,L255=0),1,"")</f>
        <v/>
      </c>
      <c r="AP255" s="21" t="n">
        <f aca="false">MIN(IF(ISNUMBER(AK255),AK255,9000000000000000),IF(ISNUMBER(AL255),AL255,9000000000000000),IF(ISNUMBER(AM255),AM255,9000000000000000))</f>
        <v>9000000000000000</v>
      </c>
      <c r="AQ255" s="21" t="n">
        <f aca="false">MIN(IF(ISNUMBER(AG255),AG255,9000000000000000),IF(ISNUMBER(AH255),AH255,9000000000000000),IF(ISNUMBER(AI255),AI255,9000000000000000),IF(ISNUMBER(AJ255),AJ255,9000000000000000))</f>
        <v>37.4517507383159</v>
      </c>
      <c r="AR255" s="32" t="b">
        <f aca="false">IF(AW255&gt;Parameters!$B$21*(MAX(IF(AND(NOT(AND(AO255=1,AN255&lt;&gt;1)),ISNUMBER(AG255),AG255&lt;=T255),AS255,0),IF(AND(NOT(AND(AO255=1,AN255&lt;&gt;1)),ISNUMBER(AH255),AH255&lt;=T255),AT255,0),IF(AND(NOT(AND(AO255=1,AN255&lt;&gt;1)),ISNUMBER(AI255),AI255&lt;=T255),AU255,0),IF(AND(ISNUMBER(AJ255),AJ255&lt;=T255),AV255,0))),TRUE(),FALSE())</f>
        <v>1</v>
      </c>
      <c r="AS255" s="33" t="n">
        <f aca="false">IFERROR(Upgrades!$H$6*(POWER(Upgrades!$P$6,E255)*POWER(Upgrades!$P$7,F255)*POWER(Upgrades!$P$8,G255)*POWER(Upgrades!$P$9,H255)*POWER(Upgrades!$P$10,I255)*POWER(Upgrades!$P$11,J255)*POWER(Upgrades!$P$12,K255))*(IF(Upgrades!$T$7="Solar Wind",POWER(Upgrades!$U$7,F255),1)*IF(Upgrades!$T$8="Solar Wind",POWER(Upgrades!$U$8,G255),1)*IF(Upgrades!$T$9="Solar Wind",POWER(Upgrades!$U$9,H255),1)*IF(Upgrades!$T$10="Solar Wind",POWER(Upgrades!$U$10,I255),1)*IF(Upgrades!$T$11="Solar Wind",POWER(Upgrades!$U$11,J255),1)*IF(Upgrades!$T$12="Solar Wind",POWER(Upgrades!$U$12,K255),1))/AG255,0)</f>
        <v>0.0026701021455238</v>
      </c>
      <c r="AT255" s="33" t="n">
        <f aca="false">IFERROR(Upgrades!$H$7*(POWER(Upgrades!$P$6,E255)*POWER(Upgrades!$P$7,F255)*POWER(Upgrades!$P$8,G255)*POWER(Upgrades!$P$9,H255)*POWER(Upgrades!$P$10,I255)*POWER(Upgrades!$P$11,J255)*POWER(Upgrades!$P$12,K255))*(IF(Upgrades!$T$6="Asteroid Belt",POWER(Upgrades!$U$6,E255),1)*IF(Upgrades!$T$8="Asteroid Belt",POWER(Upgrades!$U$8,G255),1)*IF(Upgrades!$T$9="Asteroid Belt",POWER(Upgrades!$U$9,H255),1)*IF(Upgrades!$T$10="Asteroid Belt",POWER(Upgrades!$U$10,I255),1)*IF(Upgrades!$T$11="Asteroid Belt",POWER(Upgrades!$U$11,J255),1)*IF(Upgrades!$T$12="Asteroid Belt",POWER(Upgrades!$U$12,K255),1))/AH255,0)</f>
        <v>0.00308980882652332</v>
      </c>
      <c r="AU255" s="33" t="n">
        <f aca="false">IFERROR(Upgrades!$K$8*(POWER(Upgrades!$Q$6,E255)*POWER(Upgrades!$Q$7,F255)*POWER(Upgrades!$Q$8,G255)*POWER(Upgrades!$Q$9,H255)*POWER(Upgrades!$Q$10,I255)*POWER(Upgrades!$Q$11,J255)*POWER(Upgrades!$Q$12,K255))*(IF(Upgrades!$T$6="Stellar Coupling",POWER(Upgrades!$U$6,E255),1)*IF(Upgrades!$T$7="Stellar Coupling",POWER(Upgrades!$U$7,F255),1)*IF(Upgrades!$T$9="Stellar Coupling",POWER(Upgrades!$U$9,H255),1)*IF(Upgrades!$T$10="Stellar Coupling",POWER(Upgrades!$U$10,I255),1)*IF(Upgrades!$T$11="Stellar Coupling",POWER(Upgrades!$U$11,J255),1)*IF(Upgrades!$T$12="Stellar Coupling",POWER(Upgrades!$U$12,K255),1))*Parameters!$B$10*Parameters!$B$11/60/AI255,0)</f>
        <v>0.00452762415783776</v>
      </c>
      <c r="AV255" s="33" t="n">
        <f aca="false">IFERROR(Upgrades!$H$9*(POWER(Upgrades!$P$6,E255)*POWER(Upgrades!$P$7,F255)*POWER(Upgrades!$P$8,G255)*POWER(Upgrades!$P$9,H255)*POWER(Upgrades!$P$10,I255)*POWER(Upgrades!$P$11,J255)*POWER(Upgrades!$P$12,K255))*(IF(Upgrades!$T$6="Magnetosphere",POWER(Upgrades!$U$6,E255),1)*IF(Upgrades!$T$7="Magnetosphere",POWER(Upgrades!$U$7,F255),1)*IF(Upgrades!$T$8="Magnetosphere",POWER(Upgrades!$U$8,G255),1)*IF(Upgrades!$T$10="Magnetosphere",POWER(Upgrades!$U$10,I255),1)*IF(Upgrades!$T$11="Magnetosphere",POWER(Upgrades!$U$11,J255),1)*IF(Upgrades!$T$12="Magnetosphere",POWER(Upgrades!$U$12,K255),1))/AJ255,0)</f>
        <v>0</v>
      </c>
      <c r="AW255" s="33" t="n">
        <f aca="false">MAX(IF(I255&gt;0,0,IFERROR(0.25*N255/Upgrades!$C$10,0)),IF(J255&gt;0,0,IFERROR(0.5*((IF(G255=0,0,(Upgrades!$J$8+G255*Upgrades!$K$8)*POWER(Upgrades!$L$8,G255)))*(IF(Upgrades!$T$6="Stellar Coupling",POWER(Upgrades!$U$6,E255),1)*IF(Upgrades!$T$7="Stellar Coupling",POWER(Upgrades!$U$7,F255),1)*IF(Upgrades!$T$9="Stellar Coupling",POWER(Upgrades!$U$9,H255),1)*IF(Upgrades!$T$10="Stellar Coupling",POWER(Upgrades!$U$10,I255),1)*IF(Upgrades!$T$11="Stellar Coupling",POWER(Upgrades!$U$11,J255),1)*IF(Upgrades!$T$12="Stellar Coupling",POWER(Upgrades!$U$12,K255),1))*(POWER(Upgrades!$Q$6,E255)*POWER(Upgrades!$Q$7,F255)*POWER(Upgrades!$Q$8,G255)*POWER(Upgrades!$Q$9,H255)*POWER(Upgrades!$Q$10,I255)*POWER(Upgrades!$Q$11,J255)*POWER(Upgrades!$Q$12,K255))*Parameters!$B$10*Parameters!$B$11/60)/Upgrades!$C$11,0)),IF(K255&gt;0,0,IFERROR((1*(POWER(Upgrades!$P$6,E255)*POWER(Upgrades!$P$7,F255)*POWER(Upgrades!$P$8,G255)*POWER(Upgrades!$P$9,H255)*POWER(Upgrades!$P$10,I255)*POWER(Upgrades!$P$11,J255)*POWER(Upgrades!$P$12,K255))+0.2*M255*Parameters!$B$10*Parameters!$B$11/60)/Upgrades!$C$12,0)),IF(AND(ISNUMBER(AG255),AG255&gt;T255),AS255,0),IF(AND(ISNUMBER(AH255),AH255&gt;T255),AT255,0),IF(AND(ISNUMBER(AI255),AI255&gt;T255),AU255,0),IF(AND(ISNUMBER(AJ255),AJ255&gt;T255),AV255,0))</f>
        <v>0.00452762415783776</v>
      </c>
      <c r="AX255" s="29" t="str">
        <f aca="false">IF(AN255=1,"transition",IF(MIN(IF(AND(I255=0,ISNUMBER(AK255),AK255&lt;=T255),AK255,9000000000000000),IF(AND(J255=0,ISNUMBER(AL255),AL255&lt;=T255),AL255,9000000000000000),IF(AND(K255=0,ISNUMBER(AM255),AM255&lt;=T255),AM255,9000000000000000))&lt;9000000000000000,IF(AND(AND(I255=0,ISNUMBER(AK255),AK255&lt;=T255),AK255=MIN(IF(AND(I255=0,ISNUMBER(AK255),AK255&lt;=T255),AK255,9000000000000000),IF(AND(J255=0,ISNUMBER(AL255),AL255&lt;=T255),AL255,9000000000000000),IF(AND(K255=0,ISNUMBER(AM255),AM255&lt;=T255),AM255,9000000000000000))),"OR",IF(AND(AND(J255=0,ISNUMBER(AL255),AL255&lt;=T255),AL255=MIN(IF(AND(I255=0,ISNUMBER(AK255),AK255&lt;=T255),AK255,9000000000000000),IF(AND(J255=0,ISNUMBER(AL255),AL255&lt;=T255),AL255,9000000000000000),IF(AND(K255=0,ISNUMBER(AM255),AM255&lt;=T255),AM255,9000000000000000))),"HP","FP")),IF(AR255=TRUE(),"",IF(MAX(IF(AND(NOT(AND(AO255=1,AN255&lt;&gt;1)),ISNUMBER(AG255),AG255&lt;=T255),AS255,0),IF(AND(NOT(AND(AO255=1,AN255&lt;&gt;1)),ISNUMBER(AH255),AH255&lt;=T255),AT255,0),IF(AND(NOT(AND(AO255=1,AN255&lt;&gt;1)),ISNUMBER(AI255),AI255&lt;=T255),AU255,0),IF(AND(ISNUMBER(AJ255),AJ255&lt;=T255),AV255,0))&lt;=0,"",IF(AND(IF(AND(NOT(AND(AO255=1,AN255&lt;&gt;1)),ISNUMBER(AG255),AG255&lt;=T255),AS255,0)&gt;0,IF(AND(NOT(AND(AO255=1,AN255&lt;&gt;1)),ISNUMBER(AG255),AG255&lt;=T255),AS255,0)=MAX(IF(AND(NOT(AND(AO255=1,AN255&lt;&gt;1)),ISNUMBER(AG255),AG255&lt;=T255),AS255,0),IF(AND(NOT(AND(AO255=1,AN255&lt;&gt;1)),ISNUMBER(AH255),AH255&lt;=T255),AT255,0),IF(AND(NOT(AND(AO255=1,AN255&lt;&gt;1)),ISNUMBER(AI255),AI255&lt;=T255),AU255,0),IF(AND(ISNUMBER(AJ255),AJ255&lt;=T255),AV255,0))),"SW",IF(AND(IF(AND(NOT(AND(AO255=1,AN255&lt;&gt;1)),ISNUMBER(AH255),AH255&lt;=T255),AT255,0)&gt;0,IF(AND(NOT(AND(AO255=1,AN255&lt;&gt;1)),ISNUMBER(AH255),AH255&lt;=T255),AT255,0)=MAX(IF(AND(NOT(AND(AO255=1,AN255&lt;&gt;1)),ISNUMBER(AG255),AG255&lt;=T255),AS255,0),IF(AND(NOT(AND(AO255=1,AN255&lt;&gt;1)),ISNUMBER(AH255),AH255&lt;=T255),AT255,0),IF(AND(NOT(AND(AO255=1,AN255&lt;&gt;1)),ISNUMBER(AI255),AI255&lt;=T255),AU255,0),IF(AND(ISNUMBER(AJ255),AJ255&lt;=T255),AV255,0))),"AB",IF(AND(IF(AND(NOT(AND(AO255=1,AN255&lt;&gt;1)),ISNUMBER(AI255),AI255&lt;=T255),AU255,0)&gt;0,IF(AND(NOT(AND(AO255=1,AN255&lt;&gt;1)),ISNUMBER(AI255),AI255&lt;=T255),AU255,0)=MAX(IF(AND(NOT(AND(AO255=1,AN255&lt;&gt;1)),ISNUMBER(AG255),AG255&lt;=T255),AS255,0),IF(AND(NOT(AND(AO255=1,AN255&lt;&gt;1)),ISNUMBER(AH255),AH255&lt;=T255),AT255,0),IF(AND(NOT(AND(AO255=1,AN255&lt;&gt;1)),ISNUMBER(AI255),AI255&lt;=T255),AU255,0),IF(AND(ISNUMBER(AJ255),AJ255&lt;=T255),AV255,0))),"SC","Mag")))))))</f>
        <v/>
      </c>
    </row>
    <row r="256" customFormat="false" ht="15" hidden="false" customHeight="false" outlineLevel="0" collapsed="false">
      <c r="A256" s="26" t="n">
        <v>251</v>
      </c>
      <c r="B256" s="27" t="n">
        <f aca="false">A256*10/60</f>
        <v>41.8333333333333</v>
      </c>
      <c r="C256" s="21" t="n">
        <f aca="false">X255</f>
        <v>18.6730249835055</v>
      </c>
      <c r="D256" s="27" t="n">
        <f aca="false">D255+W255</f>
        <v>0</v>
      </c>
      <c r="E256" s="26" t="n">
        <f aca="false">E255+IF(U255="SW",1,0)</f>
        <v>12</v>
      </c>
      <c r="F256" s="26" t="n">
        <f aca="false">F255+IF(U255="AB",1,0)</f>
        <v>10</v>
      </c>
      <c r="G256" s="26" t="n">
        <f aca="false">G255+IF(U255="SC",1,0)</f>
        <v>7</v>
      </c>
      <c r="H256" s="26" t="n">
        <f aca="false">H255+IF(U255="Mag",1,0)</f>
        <v>5</v>
      </c>
      <c r="I256" s="26" t="n">
        <f aca="false">MAX(I255,IF(U255="OR",1,0))</f>
        <v>1</v>
      </c>
      <c r="J256" s="26" t="n">
        <f aca="false">MAX(J255,IF(U255="HP",1,0))</f>
        <v>1</v>
      </c>
      <c r="K256" s="26" t="n">
        <f aca="false">MAX(K255,IF(U255="FP",1,0))</f>
        <v>1</v>
      </c>
      <c r="L256" s="26" t="n">
        <f aca="false">MAX(L255,IF(U255="transition",1,0))</f>
        <v>1</v>
      </c>
      <c r="M256" s="28" t="n">
        <f aca="false">(Parameters!$B$9+(IF(E256=0,0,(Upgrades!$J$6+E256*Upgrades!$K$6)*POWER(Upgrades!$L$6,E256)))*(IF(Upgrades!$T$7="Solar Wind",POWER(Upgrades!$U$7,F256),1)*IF(Upgrades!$T$8="Solar Wind",POWER(Upgrades!$U$8,G256),1)*IF(Upgrades!$T$9="Solar Wind",POWER(Upgrades!$U$9,H256),1)*IF(Upgrades!$T$10="Solar Wind",POWER(Upgrades!$U$10,I256),1)*IF(Upgrades!$T$11="Solar Wind",POWER(Upgrades!$U$11,J256),1)*IF(Upgrades!$T$12="Solar Wind",POWER(Upgrades!$U$12,K256),1))+(IF(F256=0,0,(Upgrades!$J$7+F256*Upgrades!$K$7)*POWER(Upgrades!$L$7,F256)))*(IF(Upgrades!$T$6="Asteroid Belt",POWER(Upgrades!$U$6,E256),1)*IF(Upgrades!$T$8="Asteroid Belt",POWER(Upgrades!$U$8,G256),1)*IF(Upgrades!$T$9="Asteroid Belt",POWER(Upgrades!$U$9,H256),1)*IF(Upgrades!$T$10="Asteroid Belt",POWER(Upgrades!$U$10,I256),1)*IF(Upgrades!$T$11="Asteroid Belt",POWER(Upgrades!$U$11,J256),1)*IF(Upgrades!$T$12="Asteroid Belt",POWER(Upgrades!$U$12,K256),1))+(IF(G256=0,0,(Upgrades!$J$8+G256*Upgrades!$K$8)*POWER(Upgrades!$L$8,G256)))*(IF(Upgrades!$T$6="Stellar Coupling",POWER(Upgrades!$U$6,E256),1)*IF(Upgrades!$T$7="Stellar Coupling",POWER(Upgrades!$U$7,F256),1)*IF(Upgrades!$T$9="Stellar Coupling",POWER(Upgrades!$U$9,H256),1)*IF(Upgrades!$T$10="Stellar Coupling",POWER(Upgrades!$U$10,I256),1)*IF(Upgrades!$T$11="Stellar Coupling",POWER(Upgrades!$U$11,J256),1)*IF(Upgrades!$T$12="Stellar Coupling",POWER(Upgrades!$U$12,K256),1))+(IF(H256=0,0,(Upgrades!$J$9+H256*Upgrades!$K$9)*POWER(Upgrades!$L$9,H256)))*(IF(Upgrades!$T$6="Magnetosphere",POWER(Upgrades!$U$6,E256),1)*IF(Upgrades!$T$7="Magnetosphere",POWER(Upgrades!$U$7,F256),1)*IF(Upgrades!$T$8="Magnetosphere",POWER(Upgrades!$U$8,G256),1)*IF(Upgrades!$T$10="Magnetosphere",POWER(Upgrades!$U$10,I256),1)*IF(Upgrades!$T$11="Magnetosphere",POWER(Upgrades!$U$11,J256),1)*IF(Upgrades!$T$12="Magnetosphere",POWER(Upgrades!$U$12,K256),1))+(IF(I256=0,0,(Upgrades!$J$10+I256*Upgrades!$K$10)*POWER(Upgrades!$L$10,I256)))*(IF(Upgrades!$T$6="Orbital Resonance",POWER(Upgrades!$U$6,E256),1)*IF(Upgrades!$T$7="Orbital Resonance",POWER(Upgrades!$U$7,F256),1)*IF(Upgrades!$T$8="Orbital Resonance",POWER(Upgrades!$U$8,G256),1)*IF(Upgrades!$T$9="Orbital Resonance",POWER(Upgrades!$U$9,H256),1)*IF(Upgrades!$T$11="Orbital Resonance",POWER(Upgrades!$U$11,J256),1)*IF(Upgrades!$T$12="Orbital Resonance",POWER(Upgrades!$U$12,K256),1))+(IF(J256=0,0,(Upgrades!$J$11+J256*Upgrades!$K$11)*POWER(Upgrades!$L$11,J256)))*(IF(Upgrades!$T$6="Heliopause",POWER(Upgrades!$U$6,E256),1)*IF(Upgrades!$T$7="Heliopause",POWER(Upgrades!$U$7,F256),1)*IF(Upgrades!$T$8="Heliopause",POWER(Upgrades!$U$8,G256),1)*IF(Upgrades!$T$9="Heliopause",POWER(Upgrades!$U$9,H256),1)*IF(Upgrades!$T$10="Heliopause",POWER(Upgrades!$U$10,I256),1)*IF(Upgrades!$T$12="Heliopause",POWER(Upgrades!$U$12,K256),1))+(IF(K256=0,0,(Upgrades!$J$12+K256*Upgrades!$K$12)*POWER(Upgrades!$L$12,K256)))*(IF(Upgrades!$T$6="First Photons",POWER(Upgrades!$U$6,E256),1)*IF(Upgrades!$T$7="First Photons",POWER(Upgrades!$U$7,F256),1)*IF(Upgrades!$T$8="First Photons",POWER(Upgrades!$U$8,G256),1)*IF(Upgrades!$T$9="First Photons",POWER(Upgrades!$U$9,H256),1)*IF(Upgrades!$T$10="First Photons",POWER(Upgrades!$U$10,I256),1)*IF(Upgrades!$T$11="First Photons",POWER(Upgrades!$U$11,J256),1)))*POWER(Upgrades!$Q$6,E256)*POWER(Upgrades!$Q$7,F256)*POWER(Upgrades!$Q$8,G256)*POWER(Upgrades!$Q$9,H256)*POWER(Upgrades!$Q$10,I256)*POWER(Upgrades!$Q$11,J256)*POWER(Upgrades!$Q$12,K256)</f>
        <v>5.61</v>
      </c>
      <c r="N256" s="28" t="n">
        <f aca="false">((IF(E256=0,0,(Upgrades!$G$6+E256*Upgrades!$H$6)*POWER(Upgrades!$I$6,E256)))*(IF(Upgrades!$T$7="Solar Wind",POWER(Upgrades!$U$7,F256),1)*IF(Upgrades!$T$8="Solar Wind",POWER(Upgrades!$U$8,G256),1)*IF(Upgrades!$T$9="Solar Wind",POWER(Upgrades!$U$9,H256),1)*IF(Upgrades!$T$10="Solar Wind",POWER(Upgrades!$U$10,I256),1)*IF(Upgrades!$T$11="Solar Wind",POWER(Upgrades!$U$11,J256),1)*IF(Upgrades!$T$12="Solar Wind",POWER(Upgrades!$U$12,K256),1))+(IF(F256=0,0,(Upgrades!$G$7+F256*Upgrades!$H$7)*POWER(Upgrades!$I$7,F256)))*(IF(Upgrades!$T$6="Asteroid Belt",POWER(Upgrades!$U$6,E256),1)*IF(Upgrades!$T$8="Asteroid Belt",POWER(Upgrades!$U$8,G256),1)*IF(Upgrades!$T$9="Asteroid Belt",POWER(Upgrades!$U$9,H256),1)*IF(Upgrades!$T$10="Asteroid Belt",POWER(Upgrades!$U$10,I256),1)*IF(Upgrades!$T$11="Asteroid Belt",POWER(Upgrades!$U$11,J256),1)*IF(Upgrades!$T$12="Asteroid Belt",POWER(Upgrades!$U$12,K256),1))+(IF(G256=0,0,(Upgrades!$G$8+G256*Upgrades!$H$8)*POWER(Upgrades!$I$8,G256)))*(IF(Upgrades!$T$6="Stellar Coupling",POWER(Upgrades!$U$6,E256),1)*IF(Upgrades!$T$7="Stellar Coupling",POWER(Upgrades!$U$7,F256),1)*IF(Upgrades!$T$9="Stellar Coupling",POWER(Upgrades!$U$9,H256),1)*IF(Upgrades!$T$10="Stellar Coupling",POWER(Upgrades!$U$10,I256),1)*IF(Upgrades!$T$11="Stellar Coupling",POWER(Upgrades!$U$11,J256),1)*IF(Upgrades!$T$12="Stellar Coupling",POWER(Upgrades!$U$12,K256),1))+(IF(H256=0,0,(Upgrades!$G$9+H256*Upgrades!$H$9)*POWER(Upgrades!$I$9,H256)))*(IF(Upgrades!$T$6="Magnetosphere",POWER(Upgrades!$U$6,E256),1)*IF(Upgrades!$T$7="Magnetosphere",POWER(Upgrades!$U$7,F256),1)*IF(Upgrades!$T$8="Magnetosphere",POWER(Upgrades!$U$8,G256),1)*IF(Upgrades!$T$10="Magnetosphere",POWER(Upgrades!$U$10,I256),1)*IF(Upgrades!$T$11="Magnetosphere",POWER(Upgrades!$U$11,J256),1)*IF(Upgrades!$T$12="Magnetosphere",POWER(Upgrades!$U$12,K256),1))+(IF(I256=0,0,(Upgrades!$G$10+I256*Upgrades!$H$10)*POWER(Upgrades!$I$10,I256)))*(IF(Upgrades!$T$6="Orbital Resonance",POWER(Upgrades!$U$6,E256),1)*IF(Upgrades!$T$7="Orbital Resonance",POWER(Upgrades!$U$7,F256),1)*IF(Upgrades!$T$8="Orbital Resonance",POWER(Upgrades!$U$8,G256),1)*IF(Upgrades!$T$9="Orbital Resonance",POWER(Upgrades!$U$9,H256),1)*IF(Upgrades!$T$11="Orbital Resonance",POWER(Upgrades!$U$11,J256),1)*IF(Upgrades!$T$12="Orbital Resonance",POWER(Upgrades!$U$12,K256),1))+(IF(J256=0,0,(Upgrades!$G$11+J256*Upgrades!$H$11)*POWER(Upgrades!$I$11,J256)))*(IF(Upgrades!$T$6="Heliopause",POWER(Upgrades!$U$6,E256),1)*IF(Upgrades!$T$7="Heliopause",POWER(Upgrades!$U$7,F256),1)*IF(Upgrades!$T$8="Heliopause",POWER(Upgrades!$U$8,G256),1)*IF(Upgrades!$T$9="Heliopause",POWER(Upgrades!$U$9,H256),1)*IF(Upgrades!$T$10="Heliopause",POWER(Upgrades!$U$10,I256),1)*IF(Upgrades!$T$12="Heliopause",POWER(Upgrades!$U$12,K256),1))+(IF(K256=0,0,(Upgrades!$G$12+K256*Upgrades!$H$12)*POWER(Upgrades!$I$12,K256)))*(IF(Upgrades!$T$6="First Photons",POWER(Upgrades!$U$6,E256),1)*IF(Upgrades!$T$7="First Photons",POWER(Upgrades!$U$7,F256),1)*IF(Upgrades!$T$8="First Photons",POWER(Upgrades!$U$8,G256),1)*IF(Upgrades!$T$9="First Photons",POWER(Upgrades!$U$9,H256),1)*IF(Upgrades!$T$10="First Photons",POWER(Upgrades!$U$10,I256),1)*IF(Upgrades!$T$11="First Photons",POWER(Upgrades!$U$11,J256),1)))*POWER(Upgrades!$P$6,E256)*POWER(Upgrades!$P$7,F256)*POWER(Upgrades!$P$8,G256)*POWER(Upgrades!$P$9,H256)*POWER(Upgrades!$P$10,I256)*POWER(Upgrades!$P$11,J256)*POWER(Upgrades!$P$12,K256)</f>
        <v>11.2</v>
      </c>
      <c r="O256" s="28" t="n">
        <f aca="false">((IF(E256=0,0,(Upgrades!$M$6+E256*Upgrades!$N$6)*POWER(Upgrades!$O$6,E256)))*(IF(Upgrades!$T$7="Solar Wind",POWER(Upgrades!$U$7,F256),1)*IF(Upgrades!$T$8="Solar Wind",POWER(Upgrades!$U$8,G256),1)*IF(Upgrades!$T$9="Solar Wind",POWER(Upgrades!$U$9,H256),1)*IF(Upgrades!$T$10="Solar Wind",POWER(Upgrades!$U$10,I256),1)*IF(Upgrades!$T$11="Solar Wind",POWER(Upgrades!$U$11,J256),1)*IF(Upgrades!$T$12="Solar Wind",POWER(Upgrades!$U$12,K256),1))+(IF(F256=0,0,(Upgrades!$M$7+F256*Upgrades!$N$7)*POWER(Upgrades!$O$7,F256)))*(IF(Upgrades!$T$6="Asteroid Belt",POWER(Upgrades!$U$6,E256),1)*IF(Upgrades!$T$8="Asteroid Belt",POWER(Upgrades!$U$8,G256),1)*IF(Upgrades!$T$9="Asteroid Belt",POWER(Upgrades!$U$9,H256),1)*IF(Upgrades!$T$10="Asteroid Belt",POWER(Upgrades!$U$10,I256),1)*IF(Upgrades!$T$11="Asteroid Belt",POWER(Upgrades!$U$11,J256),1)*IF(Upgrades!$T$12="Asteroid Belt",POWER(Upgrades!$U$12,K256),1))+(IF(G256=0,0,(Upgrades!$M$8+G256*Upgrades!$N$8)*POWER(Upgrades!$O$8,G256)))*(IF(Upgrades!$T$6="Stellar Coupling",POWER(Upgrades!$U$6,E256),1)*IF(Upgrades!$T$7="Stellar Coupling",POWER(Upgrades!$U$7,F256),1)*IF(Upgrades!$T$9="Stellar Coupling",POWER(Upgrades!$U$9,H256),1)*IF(Upgrades!$T$10="Stellar Coupling",POWER(Upgrades!$U$10,I256),1)*IF(Upgrades!$T$11="Stellar Coupling",POWER(Upgrades!$U$11,J256),1)*IF(Upgrades!$T$12="Stellar Coupling",POWER(Upgrades!$U$12,K256),1))+(IF(H256=0,0,(Upgrades!$M$9+H256*Upgrades!$N$9)*POWER(Upgrades!$O$9,H256)))*(IF(Upgrades!$T$6="Magnetosphere",POWER(Upgrades!$U$6,E256),1)*IF(Upgrades!$T$7="Magnetosphere",POWER(Upgrades!$U$7,F256),1)*IF(Upgrades!$T$8="Magnetosphere",POWER(Upgrades!$U$8,G256),1)*IF(Upgrades!$T$10="Magnetosphere",POWER(Upgrades!$U$10,I256),1)*IF(Upgrades!$T$11="Magnetosphere",POWER(Upgrades!$U$11,J256),1)*IF(Upgrades!$T$12="Magnetosphere",POWER(Upgrades!$U$12,K256),1))+(IF(I256=0,0,(Upgrades!$M$10+I256*Upgrades!$N$10)*POWER(Upgrades!$O$10,I256)))*(IF(Upgrades!$T$6="Orbital Resonance",POWER(Upgrades!$U$6,E256),1)*IF(Upgrades!$T$7="Orbital Resonance",POWER(Upgrades!$U$7,F256),1)*IF(Upgrades!$T$8="Orbital Resonance",POWER(Upgrades!$U$8,G256),1)*IF(Upgrades!$T$9="Orbital Resonance",POWER(Upgrades!$U$9,H256),1)*IF(Upgrades!$T$11="Orbital Resonance",POWER(Upgrades!$U$11,J256),1)*IF(Upgrades!$T$12="Orbital Resonance",POWER(Upgrades!$U$12,K256),1))+(IF(J256=0,0,(Upgrades!$M$11+J256*Upgrades!$N$11)*POWER(Upgrades!$O$11,J256)))*(IF(Upgrades!$T$6="Heliopause",POWER(Upgrades!$U$6,E256),1)*IF(Upgrades!$T$7="Heliopause",POWER(Upgrades!$U$7,F256),1)*IF(Upgrades!$T$8="Heliopause",POWER(Upgrades!$U$8,G256),1)*IF(Upgrades!$T$9="Heliopause",POWER(Upgrades!$U$9,H256),1)*IF(Upgrades!$T$10="Heliopause",POWER(Upgrades!$U$10,I256),1)*IF(Upgrades!$T$12="Heliopause",POWER(Upgrades!$U$12,K256),1))+(IF(K256=0,0,(Upgrades!$M$12+K256*Upgrades!$N$12)*POWER(Upgrades!$O$12,K256)))*(IF(Upgrades!$T$6="First Photons",POWER(Upgrades!$U$6,E256),1)*IF(Upgrades!$T$7="First Photons",POWER(Upgrades!$U$7,F256),1)*IF(Upgrades!$T$8="First Photons",POWER(Upgrades!$U$8,G256),1)*IF(Upgrades!$T$9="First Photons",POWER(Upgrades!$U$9,H256),1)*IF(Upgrades!$T$10="First Photons",POWER(Upgrades!$U$10,I256),1)*IF(Upgrades!$T$11="First Photons",POWER(Upgrades!$U$11,J256),1)))*POWER(Upgrades!$R$6,E256)*POWER(Upgrades!$R$7,F256)*POWER(Upgrades!$R$8,G256)*POWER(Upgrades!$R$9,H256)*POWER(Upgrades!$R$10,I256)*POWER(Upgrades!$R$11,J256)*POWER(Upgrades!$R$12,K256)</f>
        <v>0</v>
      </c>
      <c r="P256" s="27" t="n">
        <f aca="false">IF(L256=1,0,M256*Parameters!$B$10/60*Parameters!$B$11*10)</f>
        <v>0</v>
      </c>
      <c r="Q256" s="27" t="n">
        <f aca="false">IF(L256=1,0,O256*M256*10)</f>
        <v>0</v>
      </c>
      <c r="R256" s="27" t="n">
        <f aca="false">IF(L256=1,0,N256*10)</f>
        <v>0</v>
      </c>
      <c r="S256" s="27" t="n">
        <f aca="false">P256+Q256+R256</f>
        <v>0</v>
      </c>
      <c r="T256" s="21" t="n">
        <f aca="false">C256+S256</f>
        <v>18.6730249835055</v>
      </c>
      <c r="U256" s="34" t="str">
        <f aca="false">AX256</f>
        <v/>
      </c>
      <c r="V256" s="21" t="n">
        <f aca="false">IF(U256="",0,IF(U256="transition",0,IF(U256="SW",AG256,IF(U256="AB",AH256,IF(U256="SC",AI256,IF(U256="Mag",AJ256,IF(U256="OR",AK256,IF(U256="HP",AL256,IF(U256="FP",AM256,0)))))))))</f>
        <v>0</v>
      </c>
      <c r="W256" s="27" t="n">
        <f aca="false">IF(U256="OR",Upgrades!$F$10,IF(U256="HP",Upgrades!$F$11,IF(U256="transition",-Parameters!$B$18,0)))</f>
        <v>0</v>
      </c>
      <c r="X256" s="21" t="n">
        <f aca="false">T256-V256</f>
        <v>18.6730249835055</v>
      </c>
      <c r="Y256" s="30" t="n">
        <f aca="false">M256*Parameters!$B$10/60*Parameters!$B$11+O256*M256+N256</f>
        <v>20.55</v>
      </c>
      <c r="Z256" s="35" t="str">
        <f aca="false">IF(U256="transition","→ Tier 2 (Stellar Neighborhood)",IF(U256="FP","First Photons — light begins, system quickens",IF(U256="HP","Heliopause acquired",IF(U256="OR","Orbital Resonance — passive multiplier active",IF(AND(AO256=1,L256=0,AN256&lt;&gt;1),"Cohesion ready (waiting on completionist upgrades)","")))))</f>
        <v/>
      </c>
      <c r="AA256" s="27" t="n">
        <f aca="false">(IF(E256=0,0,(Upgrades!$G$6+E256*Upgrades!$H$6)*POWER(Upgrades!$I$6,E256)))*(IF(Upgrades!$T$7="Solar Wind",POWER(Upgrades!$U$7,F256),1)*IF(Upgrades!$T$8="Solar Wind",POWER(Upgrades!$U$8,G256),1)*IF(Upgrades!$T$9="Solar Wind",POWER(Upgrades!$U$9,H256),1)*IF(Upgrades!$T$10="Solar Wind",POWER(Upgrades!$U$10,I256),1)*IF(Upgrades!$T$11="Solar Wind",POWER(Upgrades!$U$11,J256),1)*IF(Upgrades!$T$12="Solar Wind",POWER(Upgrades!$U$12,K256),1))*POWER(Upgrades!$P$6,E256)*POWER(Upgrades!$P$7,F256)*POWER(Upgrades!$P$8,G256)*POWER(Upgrades!$P$9,H256)*POWER(Upgrades!$P$10,I256)*POWER(Upgrades!$P$11,J256)*POWER(Upgrades!$P$12,K256)*60</f>
        <v>72</v>
      </c>
      <c r="AB256" s="27" t="n">
        <f aca="false">(IF(F256=0,0,(Upgrades!$G$7+F256*Upgrades!$H$7)*POWER(Upgrades!$I$7,F256)))*(IF(Upgrades!$T$6="Asteroid Belt",POWER(Upgrades!$U$6,E256),1)*IF(Upgrades!$T$8="Asteroid Belt",POWER(Upgrades!$U$8,G256),1)*IF(Upgrades!$T$9="Asteroid Belt",POWER(Upgrades!$U$9,H256),1)*IF(Upgrades!$T$10="Asteroid Belt",POWER(Upgrades!$U$10,I256),1)*IF(Upgrades!$T$11="Asteroid Belt",POWER(Upgrades!$U$11,J256),1)*IF(Upgrades!$T$12="Asteroid Belt",POWER(Upgrades!$U$12,K256),1))*POWER(Upgrades!$P$6,E256)*POWER(Upgrades!$P$7,F256)*POWER(Upgrades!$P$8,G256)*POWER(Upgrades!$P$9,H256)*POWER(Upgrades!$P$10,I256)*POWER(Upgrades!$P$11,J256)*POWER(Upgrades!$P$12,K256)*60</f>
        <v>150</v>
      </c>
      <c r="AC256" s="27" t="n">
        <f aca="false">(IF(G256=0,0,(Upgrades!$J$8+G256*Upgrades!$K$8)*POWER(Upgrades!$L$8,G256)))*(IF(Upgrades!$T$6="Stellar Coupling",POWER(Upgrades!$U$6,E256),1)*IF(Upgrades!$T$7="Stellar Coupling",POWER(Upgrades!$U$7,F256),1)*IF(Upgrades!$T$9="Stellar Coupling",POWER(Upgrades!$U$9,H256),1)*IF(Upgrades!$T$10="Stellar Coupling",POWER(Upgrades!$U$10,I256),1)*IF(Upgrades!$T$11="Stellar Coupling",POWER(Upgrades!$U$11,J256),1)*IF(Upgrades!$T$12="Stellar Coupling",POWER(Upgrades!$U$12,K256),1))*POWER(Upgrades!$Q$6,E256)*POWER(Upgrades!$Q$7,F256)*POWER(Upgrades!$Q$8,G256)*POWER(Upgrades!$Q$9,H256)*POWER(Upgrades!$Q$10,I256)*POWER(Upgrades!$Q$11,J256)*POWER(Upgrades!$Q$12,K256)*Parameters!$B$10*Parameters!$B$11</f>
        <v>441</v>
      </c>
      <c r="AD256" s="27" t="n">
        <f aca="false">(IF(H256=0,0,(Upgrades!$G$9+H256*Upgrades!$H$9)*POWER(Upgrades!$I$9,H256)))*(IF(Upgrades!$T$6="Magnetosphere",POWER(Upgrades!$U$6,E256),1)*IF(Upgrades!$T$7="Magnetosphere",POWER(Upgrades!$U$7,F256),1)*IF(Upgrades!$T$8="Magnetosphere",POWER(Upgrades!$U$8,G256),1)*IF(Upgrades!$T$10="Magnetosphere",POWER(Upgrades!$U$10,I256),1)*IF(Upgrades!$T$11="Magnetosphere",POWER(Upgrades!$U$11,J256),1)*IF(Upgrades!$T$12="Magnetosphere",POWER(Upgrades!$U$12,K256),1))*POWER(Upgrades!$P$6,E256)*POWER(Upgrades!$P$7,F256)*POWER(Upgrades!$P$8,G256)*POWER(Upgrades!$P$9,H256)*POWER(Upgrades!$P$10,I256)*POWER(Upgrades!$P$11,J256)*POWER(Upgrades!$P$12,K256)*60</f>
        <v>375</v>
      </c>
      <c r="AE256" s="27" t="n">
        <f aca="false">(IF(K256=0,0,(Upgrades!$G$12+K256*Upgrades!$H$12)*POWER(Upgrades!$I$12,K256)))*(IF(Upgrades!$T$6="First Photons",POWER(Upgrades!$U$6,E256),1)*IF(Upgrades!$T$7="First Photons",POWER(Upgrades!$U$7,F256),1)*IF(Upgrades!$T$8="First Photons",POWER(Upgrades!$U$8,G256),1)*IF(Upgrades!$T$9="First Photons",POWER(Upgrades!$U$9,H256),1)*IF(Upgrades!$T$10="First Photons",POWER(Upgrades!$U$10,I256),1)*IF(Upgrades!$T$11="First Photons",POWER(Upgrades!$U$11,J256),1))*POWER(Upgrades!$P$6,E256)*POWER(Upgrades!$P$7,F256)*POWER(Upgrades!$P$8,G256)*POWER(Upgrades!$P$9,H256)*POWER(Upgrades!$P$10,I256)*POWER(Upgrades!$P$11,J256)*POWER(Upgrades!$P$12,K256)*60</f>
        <v>75</v>
      </c>
      <c r="AF256" s="27" t="n">
        <f aca="false">Parameters!$B$9*POWER(Upgrades!$Q$6,E256)*POWER(Upgrades!$Q$7,F256)*POWER(Upgrades!$Q$8,G256)*POWER(Upgrades!$Q$9,H256)*POWER(Upgrades!$Q$10,I256)*POWER(Upgrades!$Q$11,J256)*POWER(Upgrades!$Q$12,K256)*(Parameters!$B$10*Parameters!$B$11+O256*60)</f>
        <v>120</v>
      </c>
      <c r="AG256" s="21" t="n">
        <f aca="false">IF(E256&gt;=Upgrades!$E$6,"",Upgrades!$C$6*POWER(Upgrades!$D$6,E256))</f>
        <v>37.4517507383159</v>
      </c>
      <c r="AH256" s="21" t="n">
        <f aca="false">IF(F256&gt;=Upgrades!$E$7,"",Upgrades!$C$7*POWER(Upgrades!$D$7,F256))</f>
        <v>80.9111547141581</v>
      </c>
      <c r="AI256" s="21" t="n">
        <f aca="false">IF(G256&gt;=Upgrades!$E$8,"",Upgrades!$C$8*POWER(Upgrades!$D$8,G256))</f>
        <v>231.9097088</v>
      </c>
      <c r="AJ256" s="21" t="str">
        <f aca="false">IF(H256&gt;=Upgrades!$E$9,"",Upgrades!$C$9*POWER(Upgrades!$D$9,H256))</f>
        <v/>
      </c>
      <c r="AK256" s="21" t="str">
        <f aca="false">IF(I256&gt;=Upgrades!$E$10,"",Upgrades!$C$10*POWER(Upgrades!$D$10,I256))</f>
        <v/>
      </c>
      <c r="AL256" s="21" t="str">
        <f aca="false">IF(J256&gt;=Upgrades!$E$11,"",Upgrades!$C$11*POWER(Upgrades!$D$11,J256))</f>
        <v/>
      </c>
      <c r="AM256" s="21" t="str">
        <f aca="false">IF(K256&gt;=Upgrades!$E$12,"",Upgrades!$C$12*POWER(Upgrades!$D$12,K256))</f>
        <v/>
      </c>
      <c r="AN256" s="26" t="str">
        <f aca="false">IF(AND(D256&gt;=Parameters!$B$18,(H256&gt;=Upgrades!$E$9)*(K256&gt;=Upgrades!$E$12)=1,L256=0),1,"")</f>
        <v/>
      </c>
      <c r="AO256" s="26" t="str">
        <f aca="false">IF(AND(D256&gt;=Parameters!$B$18,L256=0),1,"")</f>
        <v/>
      </c>
      <c r="AP256" s="21" t="n">
        <f aca="false">MIN(IF(ISNUMBER(AK256),AK256,9000000000000000),IF(ISNUMBER(AL256),AL256,9000000000000000),IF(ISNUMBER(AM256),AM256,9000000000000000))</f>
        <v>9000000000000000</v>
      </c>
      <c r="AQ256" s="21" t="n">
        <f aca="false">MIN(IF(ISNUMBER(AG256),AG256,9000000000000000),IF(ISNUMBER(AH256),AH256,9000000000000000),IF(ISNUMBER(AI256),AI256,9000000000000000),IF(ISNUMBER(AJ256),AJ256,9000000000000000))</f>
        <v>37.4517507383159</v>
      </c>
      <c r="AR256" s="32" t="b">
        <f aca="false">IF(AW256&gt;Parameters!$B$21*(MAX(IF(AND(NOT(AND(AO256=1,AN256&lt;&gt;1)),ISNUMBER(AG256),AG256&lt;=T256),AS256,0),IF(AND(NOT(AND(AO256=1,AN256&lt;&gt;1)),ISNUMBER(AH256),AH256&lt;=T256),AT256,0),IF(AND(NOT(AND(AO256=1,AN256&lt;&gt;1)),ISNUMBER(AI256),AI256&lt;=T256),AU256,0),IF(AND(ISNUMBER(AJ256),AJ256&lt;=T256),AV256,0))),TRUE(),FALSE())</f>
        <v>1</v>
      </c>
      <c r="AS256" s="33" t="n">
        <f aca="false">IFERROR(Upgrades!$H$6*(POWER(Upgrades!$P$6,E256)*POWER(Upgrades!$P$7,F256)*POWER(Upgrades!$P$8,G256)*POWER(Upgrades!$P$9,H256)*POWER(Upgrades!$P$10,I256)*POWER(Upgrades!$P$11,J256)*POWER(Upgrades!$P$12,K256))*(IF(Upgrades!$T$7="Solar Wind",POWER(Upgrades!$U$7,F256),1)*IF(Upgrades!$T$8="Solar Wind",POWER(Upgrades!$U$8,G256),1)*IF(Upgrades!$T$9="Solar Wind",POWER(Upgrades!$U$9,H256),1)*IF(Upgrades!$T$10="Solar Wind",POWER(Upgrades!$U$10,I256),1)*IF(Upgrades!$T$11="Solar Wind",POWER(Upgrades!$U$11,J256),1)*IF(Upgrades!$T$12="Solar Wind",POWER(Upgrades!$U$12,K256),1))/AG256,0)</f>
        <v>0.0026701021455238</v>
      </c>
      <c r="AT256" s="33" t="n">
        <f aca="false">IFERROR(Upgrades!$H$7*(POWER(Upgrades!$P$6,E256)*POWER(Upgrades!$P$7,F256)*POWER(Upgrades!$P$8,G256)*POWER(Upgrades!$P$9,H256)*POWER(Upgrades!$P$10,I256)*POWER(Upgrades!$P$11,J256)*POWER(Upgrades!$P$12,K256))*(IF(Upgrades!$T$6="Asteroid Belt",POWER(Upgrades!$U$6,E256),1)*IF(Upgrades!$T$8="Asteroid Belt",POWER(Upgrades!$U$8,G256),1)*IF(Upgrades!$T$9="Asteroid Belt",POWER(Upgrades!$U$9,H256),1)*IF(Upgrades!$T$10="Asteroid Belt",POWER(Upgrades!$U$10,I256),1)*IF(Upgrades!$T$11="Asteroid Belt",POWER(Upgrades!$U$11,J256),1)*IF(Upgrades!$T$12="Asteroid Belt",POWER(Upgrades!$U$12,K256),1))/AH256,0)</f>
        <v>0.00308980882652332</v>
      </c>
      <c r="AU256" s="33" t="n">
        <f aca="false">IFERROR(Upgrades!$K$8*(POWER(Upgrades!$Q$6,E256)*POWER(Upgrades!$Q$7,F256)*POWER(Upgrades!$Q$8,G256)*POWER(Upgrades!$Q$9,H256)*POWER(Upgrades!$Q$10,I256)*POWER(Upgrades!$Q$11,J256)*POWER(Upgrades!$Q$12,K256))*(IF(Upgrades!$T$6="Stellar Coupling",POWER(Upgrades!$U$6,E256),1)*IF(Upgrades!$T$7="Stellar Coupling",POWER(Upgrades!$U$7,F256),1)*IF(Upgrades!$T$9="Stellar Coupling",POWER(Upgrades!$U$9,H256),1)*IF(Upgrades!$T$10="Stellar Coupling",POWER(Upgrades!$U$10,I256),1)*IF(Upgrades!$T$11="Stellar Coupling",POWER(Upgrades!$U$11,J256),1)*IF(Upgrades!$T$12="Stellar Coupling",POWER(Upgrades!$U$12,K256),1))*Parameters!$B$10*Parameters!$B$11/60/AI256,0)</f>
        <v>0.00452762415783776</v>
      </c>
      <c r="AV256" s="33" t="n">
        <f aca="false">IFERROR(Upgrades!$H$9*(POWER(Upgrades!$P$6,E256)*POWER(Upgrades!$P$7,F256)*POWER(Upgrades!$P$8,G256)*POWER(Upgrades!$P$9,H256)*POWER(Upgrades!$P$10,I256)*POWER(Upgrades!$P$11,J256)*POWER(Upgrades!$P$12,K256))*(IF(Upgrades!$T$6="Magnetosphere",POWER(Upgrades!$U$6,E256),1)*IF(Upgrades!$T$7="Magnetosphere",POWER(Upgrades!$U$7,F256),1)*IF(Upgrades!$T$8="Magnetosphere",POWER(Upgrades!$U$8,G256),1)*IF(Upgrades!$T$10="Magnetosphere",POWER(Upgrades!$U$10,I256),1)*IF(Upgrades!$T$11="Magnetosphere",POWER(Upgrades!$U$11,J256),1)*IF(Upgrades!$T$12="Magnetosphere",POWER(Upgrades!$U$12,K256),1))/AJ256,0)</f>
        <v>0</v>
      </c>
      <c r="AW256" s="33" t="n">
        <f aca="false">MAX(IF(I256&gt;0,0,IFERROR(0.25*N256/Upgrades!$C$10,0)),IF(J256&gt;0,0,IFERROR(0.5*((IF(G256=0,0,(Upgrades!$J$8+G256*Upgrades!$K$8)*POWER(Upgrades!$L$8,G256)))*(IF(Upgrades!$T$6="Stellar Coupling",POWER(Upgrades!$U$6,E256),1)*IF(Upgrades!$T$7="Stellar Coupling",POWER(Upgrades!$U$7,F256),1)*IF(Upgrades!$T$9="Stellar Coupling",POWER(Upgrades!$U$9,H256),1)*IF(Upgrades!$T$10="Stellar Coupling",POWER(Upgrades!$U$10,I256),1)*IF(Upgrades!$T$11="Stellar Coupling",POWER(Upgrades!$U$11,J256),1)*IF(Upgrades!$T$12="Stellar Coupling",POWER(Upgrades!$U$12,K256),1))*(POWER(Upgrades!$Q$6,E256)*POWER(Upgrades!$Q$7,F256)*POWER(Upgrades!$Q$8,G256)*POWER(Upgrades!$Q$9,H256)*POWER(Upgrades!$Q$10,I256)*POWER(Upgrades!$Q$11,J256)*POWER(Upgrades!$Q$12,K256))*Parameters!$B$10*Parameters!$B$11/60)/Upgrades!$C$11,0)),IF(K256&gt;0,0,IFERROR((1*(POWER(Upgrades!$P$6,E256)*POWER(Upgrades!$P$7,F256)*POWER(Upgrades!$P$8,G256)*POWER(Upgrades!$P$9,H256)*POWER(Upgrades!$P$10,I256)*POWER(Upgrades!$P$11,J256)*POWER(Upgrades!$P$12,K256))+0.2*M256*Parameters!$B$10*Parameters!$B$11/60)/Upgrades!$C$12,0)),IF(AND(ISNUMBER(AG256),AG256&gt;T256),AS256,0),IF(AND(ISNUMBER(AH256),AH256&gt;T256),AT256,0),IF(AND(ISNUMBER(AI256),AI256&gt;T256),AU256,0),IF(AND(ISNUMBER(AJ256),AJ256&gt;T256),AV256,0))</f>
        <v>0.00452762415783776</v>
      </c>
      <c r="AX256" s="29" t="str">
        <f aca="false">IF(AN256=1,"transition",IF(MIN(IF(AND(I256=0,ISNUMBER(AK256),AK256&lt;=T256),AK256,9000000000000000),IF(AND(J256=0,ISNUMBER(AL256),AL256&lt;=T256),AL256,9000000000000000),IF(AND(K256=0,ISNUMBER(AM256),AM256&lt;=T256),AM256,9000000000000000))&lt;9000000000000000,IF(AND(AND(I256=0,ISNUMBER(AK256),AK256&lt;=T256),AK256=MIN(IF(AND(I256=0,ISNUMBER(AK256),AK256&lt;=T256),AK256,9000000000000000),IF(AND(J256=0,ISNUMBER(AL256),AL256&lt;=T256),AL256,9000000000000000),IF(AND(K256=0,ISNUMBER(AM256),AM256&lt;=T256),AM256,9000000000000000))),"OR",IF(AND(AND(J256=0,ISNUMBER(AL256),AL256&lt;=T256),AL256=MIN(IF(AND(I256=0,ISNUMBER(AK256),AK256&lt;=T256),AK256,9000000000000000),IF(AND(J256=0,ISNUMBER(AL256),AL256&lt;=T256),AL256,9000000000000000),IF(AND(K256=0,ISNUMBER(AM256),AM256&lt;=T256),AM256,9000000000000000))),"HP","FP")),IF(AR256=TRUE(),"",IF(MAX(IF(AND(NOT(AND(AO256=1,AN256&lt;&gt;1)),ISNUMBER(AG256),AG256&lt;=T256),AS256,0),IF(AND(NOT(AND(AO256=1,AN256&lt;&gt;1)),ISNUMBER(AH256),AH256&lt;=T256),AT256,0),IF(AND(NOT(AND(AO256=1,AN256&lt;&gt;1)),ISNUMBER(AI256),AI256&lt;=T256),AU256,0),IF(AND(ISNUMBER(AJ256),AJ256&lt;=T256),AV256,0))&lt;=0,"",IF(AND(IF(AND(NOT(AND(AO256=1,AN256&lt;&gt;1)),ISNUMBER(AG256),AG256&lt;=T256),AS256,0)&gt;0,IF(AND(NOT(AND(AO256=1,AN256&lt;&gt;1)),ISNUMBER(AG256),AG256&lt;=T256),AS256,0)=MAX(IF(AND(NOT(AND(AO256=1,AN256&lt;&gt;1)),ISNUMBER(AG256),AG256&lt;=T256),AS256,0),IF(AND(NOT(AND(AO256=1,AN256&lt;&gt;1)),ISNUMBER(AH256),AH256&lt;=T256),AT256,0),IF(AND(NOT(AND(AO256=1,AN256&lt;&gt;1)),ISNUMBER(AI256),AI256&lt;=T256),AU256,0),IF(AND(ISNUMBER(AJ256),AJ256&lt;=T256),AV256,0))),"SW",IF(AND(IF(AND(NOT(AND(AO256=1,AN256&lt;&gt;1)),ISNUMBER(AH256),AH256&lt;=T256),AT256,0)&gt;0,IF(AND(NOT(AND(AO256=1,AN256&lt;&gt;1)),ISNUMBER(AH256),AH256&lt;=T256),AT256,0)=MAX(IF(AND(NOT(AND(AO256=1,AN256&lt;&gt;1)),ISNUMBER(AG256),AG256&lt;=T256),AS256,0),IF(AND(NOT(AND(AO256=1,AN256&lt;&gt;1)),ISNUMBER(AH256),AH256&lt;=T256),AT256,0),IF(AND(NOT(AND(AO256=1,AN256&lt;&gt;1)),ISNUMBER(AI256),AI256&lt;=T256),AU256,0),IF(AND(ISNUMBER(AJ256),AJ256&lt;=T256),AV256,0))),"AB",IF(AND(IF(AND(NOT(AND(AO256=1,AN256&lt;&gt;1)),ISNUMBER(AI256),AI256&lt;=T256),AU256,0)&gt;0,IF(AND(NOT(AND(AO256=1,AN256&lt;&gt;1)),ISNUMBER(AI256),AI256&lt;=T256),AU256,0)=MAX(IF(AND(NOT(AND(AO256=1,AN256&lt;&gt;1)),ISNUMBER(AG256),AG256&lt;=T256),AS256,0),IF(AND(NOT(AND(AO256=1,AN256&lt;&gt;1)),ISNUMBER(AH256),AH256&lt;=T256),AT256,0),IF(AND(NOT(AND(AO256=1,AN256&lt;&gt;1)),ISNUMBER(AI256),AI256&lt;=T256),AU256,0),IF(AND(ISNUMBER(AJ256),AJ256&lt;=T256),AV256,0))),"SC","Mag")))))))</f>
        <v/>
      </c>
    </row>
    <row r="257" customFormat="false" ht="15" hidden="false" customHeight="false" outlineLevel="0" collapsed="false">
      <c r="A257" s="26" t="n">
        <v>252</v>
      </c>
      <c r="B257" s="27" t="n">
        <f aca="false">A257*10/60</f>
        <v>42</v>
      </c>
      <c r="C257" s="21" t="n">
        <f aca="false">X256</f>
        <v>18.6730249835055</v>
      </c>
      <c r="D257" s="27" t="n">
        <f aca="false">D256+W256</f>
        <v>0</v>
      </c>
      <c r="E257" s="26" t="n">
        <f aca="false">E256+IF(U256="SW",1,0)</f>
        <v>12</v>
      </c>
      <c r="F257" s="26" t="n">
        <f aca="false">F256+IF(U256="AB",1,0)</f>
        <v>10</v>
      </c>
      <c r="G257" s="26" t="n">
        <f aca="false">G256+IF(U256="SC",1,0)</f>
        <v>7</v>
      </c>
      <c r="H257" s="26" t="n">
        <f aca="false">H256+IF(U256="Mag",1,0)</f>
        <v>5</v>
      </c>
      <c r="I257" s="26" t="n">
        <f aca="false">MAX(I256,IF(U256="OR",1,0))</f>
        <v>1</v>
      </c>
      <c r="J257" s="26" t="n">
        <f aca="false">MAX(J256,IF(U256="HP",1,0))</f>
        <v>1</v>
      </c>
      <c r="K257" s="26" t="n">
        <f aca="false">MAX(K256,IF(U256="FP",1,0))</f>
        <v>1</v>
      </c>
      <c r="L257" s="26" t="n">
        <f aca="false">MAX(L256,IF(U256="transition",1,0))</f>
        <v>1</v>
      </c>
      <c r="M257" s="28" t="n">
        <f aca="false">(Parameters!$B$9+(IF(E257=0,0,(Upgrades!$J$6+E257*Upgrades!$K$6)*POWER(Upgrades!$L$6,E257)))*(IF(Upgrades!$T$7="Solar Wind",POWER(Upgrades!$U$7,F257),1)*IF(Upgrades!$T$8="Solar Wind",POWER(Upgrades!$U$8,G257),1)*IF(Upgrades!$T$9="Solar Wind",POWER(Upgrades!$U$9,H257),1)*IF(Upgrades!$T$10="Solar Wind",POWER(Upgrades!$U$10,I257),1)*IF(Upgrades!$T$11="Solar Wind",POWER(Upgrades!$U$11,J257),1)*IF(Upgrades!$T$12="Solar Wind",POWER(Upgrades!$U$12,K257),1))+(IF(F257=0,0,(Upgrades!$J$7+F257*Upgrades!$K$7)*POWER(Upgrades!$L$7,F257)))*(IF(Upgrades!$T$6="Asteroid Belt",POWER(Upgrades!$U$6,E257),1)*IF(Upgrades!$T$8="Asteroid Belt",POWER(Upgrades!$U$8,G257),1)*IF(Upgrades!$T$9="Asteroid Belt",POWER(Upgrades!$U$9,H257),1)*IF(Upgrades!$T$10="Asteroid Belt",POWER(Upgrades!$U$10,I257),1)*IF(Upgrades!$T$11="Asteroid Belt",POWER(Upgrades!$U$11,J257),1)*IF(Upgrades!$T$12="Asteroid Belt",POWER(Upgrades!$U$12,K257),1))+(IF(G257=0,0,(Upgrades!$J$8+G257*Upgrades!$K$8)*POWER(Upgrades!$L$8,G257)))*(IF(Upgrades!$T$6="Stellar Coupling",POWER(Upgrades!$U$6,E257),1)*IF(Upgrades!$T$7="Stellar Coupling",POWER(Upgrades!$U$7,F257),1)*IF(Upgrades!$T$9="Stellar Coupling",POWER(Upgrades!$U$9,H257),1)*IF(Upgrades!$T$10="Stellar Coupling",POWER(Upgrades!$U$10,I257),1)*IF(Upgrades!$T$11="Stellar Coupling",POWER(Upgrades!$U$11,J257),1)*IF(Upgrades!$T$12="Stellar Coupling",POWER(Upgrades!$U$12,K257),1))+(IF(H257=0,0,(Upgrades!$J$9+H257*Upgrades!$K$9)*POWER(Upgrades!$L$9,H257)))*(IF(Upgrades!$T$6="Magnetosphere",POWER(Upgrades!$U$6,E257),1)*IF(Upgrades!$T$7="Magnetosphere",POWER(Upgrades!$U$7,F257),1)*IF(Upgrades!$T$8="Magnetosphere",POWER(Upgrades!$U$8,G257),1)*IF(Upgrades!$T$10="Magnetosphere",POWER(Upgrades!$U$10,I257),1)*IF(Upgrades!$T$11="Magnetosphere",POWER(Upgrades!$U$11,J257),1)*IF(Upgrades!$T$12="Magnetosphere",POWER(Upgrades!$U$12,K257),1))+(IF(I257=0,0,(Upgrades!$J$10+I257*Upgrades!$K$10)*POWER(Upgrades!$L$10,I257)))*(IF(Upgrades!$T$6="Orbital Resonance",POWER(Upgrades!$U$6,E257),1)*IF(Upgrades!$T$7="Orbital Resonance",POWER(Upgrades!$U$7,F257),1)*IF(Upgrades!$T$8="Orbital Resonance",POWER(Upgrades!$U$8,G257),1)*IF(Upgrades!$T$9="Orbital Resonance",POWER(Upgrades!$U$9,H257),1)*IF(Upgrades!$T$11="Orbital Resonance",POWER(Upgrades!$U$11,J257),1)*IF(Upgrades!$T$12="Orbital Resonance",POWER(Upgrades!$U$12,K257),1))+(IF(J257=0,0,(Upgrades!$J$11+J257*Upgrades!$K$11)*POWER(Upgrades!$L$11,J257)))*(IF(Upgrades!$T$6="Heliopause",POWER(Upgrades!$U$6,E257),1)*IF(Upgrades!$T$7="Heliopause",POWER(Upgrades!$U$7,F257),1)*IF(Upgrades!$T$8="Heliopause",POWER(Upgrades!$U$8,G257),1)*IF(Upgrades!$T$9="Heliopause",POWER(Upgrades!$U$9,H257),1)*IF(Upgrades!$T$10="Heliopause",POWER(Upgrades!$U$10,I257),1)*IF(Upgrades!$T$12="Heliopause",POWER(Upgrades!$U$12,K257),1))+(IF(K257=0,0,(Upgrades!$J$12+K257*Upgrades!$K$12)*POWER(Upgrades!$L$12,K257)))*(IF(Upgrades!$T$6="First Photons",POWER(Upgrades!$U$6,E257),1)*IF(Upgrades!$T$7="First Photons",POWER(Upgrades!$U$7,F257),1)*IF(Upgrades!$T$8="First Photons",POWER(Upgrades!$U$8,G257),1)*IF(Upgrades!$T$9="First Photons",POWER(Upgrades!$U$9,H257),1)*IF(Upgrades!$T$10="First Photons",POWER(Upgrades!$U$10,I257),1)*IF(Upgrades!$T$11="First Photons",POWER(Upgrades!$U$11,J257),1)))*POWER(Upgrades!$Q$6,E257)*POWER(Upgrades!$Q$7,F257)*POWER(Upgrades!$Q$8,G257)*POWER(Upgrades!$Q$9,H257)*POWER(Upgrades!$Q$10,I257)*POWER(Upgrades!$Q$11,J257)*POWER(Upgrades!$Q$12,K257)</f>
        <v>5.61</v>
      </c>
      <c r="N257" s="28" t="n">
        <f aca="false">((IF(E257=0,0,(Upgrades!$G$6+E257*Upgrades!$H$6)*POWER(Upgrades!$I$6,E257)))*(IF(Upgrades!$T$7="Solar Wind",POWER(Upgrades!$U$7,F257),1)*IF(Upgrades!$T$8="Solar Wind",POWER(Upgrades!$U$8,G257),1)*IF(Upgrades!$T$9="Solar Wind",POWER(Upgrades!$U$9,H257),1)*IF(Upgrades!$T$10="Solar Wind",POWER(Upgrades!$U$10,I257),1)*IF(Upgrades!$T$11="Solar Wind",POWER(Upgrades!$U$11,J257),1)*IF(Upgrades!$T$12="Solar Wind",POWER(Upgrades!$U$12,K257),1))+(IF(F257=0,0,(Upgrades!$G$7+F257*Upgrades!$H$7)*POWER(Upgrades!$I$7,F257)))*(IF(Upgrades!$T$6="Asteroid Belt",POWER(Upgrades!$U$6,E257),1)*IF(Upgrades!$T$8="Asteroid Belt",POWER(Upgrades!$U$8,G257),1)*IF(Upgrades!$T$9="Asteroid Belt",POWER(Upgrades!$U$9,H257),1)*IF(Upgrades!$T$10="Asteroid Belt",POWER(Upgrades!$U$10,I257),1)*IF(Upgrades!$T$11="Asteroid Belt",POWER(Upgrades!$U$11,J257),1)*IF(Upgrades!$T$12="Asteroid Belt",POWER(Upgrades!$U$12,K257),1))+(IF(G257=0,0,(Upgrades!$G$8+G257*Upgrades!$H$8)*POWER(Upgrades!$I$8,G257)))*(IF(Upgrades!$T$6="Stellar Coupling",POWER(Upgrades!$U$6,E257),1)*IF(Upgrades!$T$7="Stellar Coupling",POWER(Upgrades!$U$7,F257),1)*IF(Upgrades!$T$9="Stellar Coupling",POWER(Upgrades!$U$9,H257),1)*IF(Upgrades!$T$10="Stellar Coupling",POWER(Upgrades!$U$10,I257),1)*IF(Upgrades!$T$11="Stellar Coupling",POWER(Upgrades!$U$11,J257),1)*IF(Upgrades!$T$12="Stellar Coupling",POWER(Upgrades!$U$12,K257),1))+(IF(H257=0,0,(Upgrades!$G$9+H257*Upgrades!$H$9)*POWER(Upgrades!$I$9,H257)))*(IF(Upgrades!$T$6="Magnetosphere",POWER(Upgrades!$U$6,E257),1)*IF(Upgrades!$T$7="Magnetosphere",POWER(Upgrades!$U$7,F257),1)*IF(Upgrades!$T$8="Magnetosphere",POWER(Upgrades!$U$8,G257),1)*IF(Upgrades!$T$10="Magnetosphere",POWER(Upgrades!$U$10,I257),1)*IF(Upgrades!$T$11="Magnetosphere",POWER(Upgrades!$U$11,J257),1)*IF(Upgrades!$T$12="Magnetosphere",POWER(Upgrades!$U$12,K257),1))+(IF(I257=0,0,(Upgrades!$G$10+I257*Upgrades!$H$10)*POWER(Upgrades!$I$10,I257)))*(IF(Upgrades!$T$6="Orbital Resonance",POWER(Upgrades!$U$6,E257),1)*IF(Upgrades!$T$7="Orbital Resonance",POWER(Upgrades!$U$7,F257),1)*IF(Upgrades!$T$8="Orbital Resonance",POWER(Upgrades!$U$8,G257),1)*IF(Upgrades!$T$9="Orbital Resonance",POWER(Upgrades!$U$9,H257),1)*IF(Upgrades!$T$11="Orbital Resonance",POWER(Upgrades!$U$11,J257),1)*IF(Upgrades!$T$12="Orbital Resonance",POWER(Upgrades!$U$12,K257),1))+(IF(J257=0,0,(Upgrades!$G$11+J257*Upgrades!$H$11)*POWER(Upgrades!$I$11,J257)))*(IF(Upgrades!$T$6="Heliopause",POWER(Upgrades!$U$6,E257),1)*IF(Upgrades!$T$7="Heliopause",POWER(Upgrades!$U$7,F257),1)*IF(Upgrades!$T$8="Heliopause",POWER(Upgrades!$U$8,G257),1)*IF(Upgrades!$T$9="Heliopause",POWER(Upgrades!$U$9,H257),1)*IF(Upgrades!$T$10="Heliopause",POWER(Upgrades!$U$10,I257),1)*IF(Upgrades!$T$12="Heliopause",POWER(Upgrades!$U$12,K257),1))+(IF(K257=0,0,(Upgrades!$G$12+K257*Upgrades!$H$12)*POWER(Upgrades!$I$12,K257)))*(IF(Upgrades!$T$6="First Photons",POWER(Upgrades!$U$6,E257),1)*IF(Upgrades!$T$7="First Photons",POWER(Upgrades!$U$7,F257),1)*IF(Upgrades!$T$8="First Photons",POWER(Upgrades!$U$8,G257),1)*IF(Upgrades!$T$9="First Photons",POWER(Upgrades!$U$9,H257),1)*IF(Upgrades!$T$10="First Photons",POWER(Upgrades!$U$10,I257),1)*IF(Upgrades!$T$11="First Photons",POWER(Upgrades!$U$11,J257),1)))*POWER(Upgrades!$P$6,E257)*POWER(Upgrades!$P$7,F257)*POWER(Upgrades!$P$8,G257)*POWER(Upgrades!$P$9,H257)*POWER(Upgrades!$P$10,I257)*POWER(Upgrades!$P$11,J257)*POWER(Upgrades!$P$12,K257)</f>
        <v>11.2</v>
      </c>
      <c r="O257" s="28" t="n">
        <f aca="false">((IF(E257=0,0,(Upgrades!$M$6+E257*Upgrades!$N$6)*POWER(Upgrades!$O$6,E257)))*(IF(Upgrades!$T$7="Solar Wind",POWER(Upgrades!$U$7,F257),1)*IF(Upgrades!$T$8="Solar Wind",POWER(Upgrades!$U$8,G257),1)*IF(Upgrades!$T$9="Solar Wind",POWER(Upgrades!$U$9,H257),1)*IF(Upgrades!$T$10="Solar Wind",POWER(Upgrades!$U$10,I257),1)*IF(Upgrades!$T$11="Solar Wind",POWER(Upgrades!$U$11,J257),1)*IF(Upgrades!$T$12="Solar Wind",POWER(Upgrades!$U$12,K257),1))+(IF(F257=0,0,(Upgrades!$M$7+F257*Upgrades!$N$7)*POWER(Upgrades!$O$7,F257)))*(IF(Upgrades!$T$6="Asteroid Belt",POWER(Upgrades!$U$6,E257),1)*IF(Upgrades!$T$8="Asteroid Belt",POWER(Upgrades!$U$8,G257),1)*IF(Upgrades!$T$9="Asteroid Belt",POWER(Upgrades!$U$9,H257),1)*IF(Upgrades!$T$10="Asteroid Belt",POWER(Upgrades!$U$10,I257),1)*IF(Upgrades!$T$11="Asteroid Belt",POWER(Upgrades!$U$11,J257),1)*IF(Upgrades!$T$12="Asteroid Belt",POWER(Upgrades!$U$12,K257),1))+(IF(G257=0,0,(Upgrades!$M$8+G257*Upgrades!$N$8)*POWER(Upgrades!$O$8,G257)))*(IF(Upgrades!$T$6="Stellar Coupling",POWER(Upgrades!$U$6,E257),1)*IF(Upgrades!$T$7="Stellar Coupling",POWER(Upgrades!$U$7,F257),1)*IF(Upgrades!$T$9="Stellar Coupling",POWER(Upgrades!$U$9,H257),1)*IF(Upgrades!$T$10="Stellar Coupling",POWER(Upgrades!$U$10,I257),1)*IF(Upgrades!$T$11="Stellar Coupling",POWER(Upgrades!$U$11,J257),1)*IF(Upgrades!$T$12="Stellar Coupling",POWER(Upgrades!$U$12,K257),1))+(IF(H257=0,0,(Upgrades!$M$9+H257*Upgrades!$N$9)*POWER(Upgrades!$O$9,H257)))*(IF(Upgrades!$T$6="Magnetosphere",POWER(Upgrades!$U$6,E257),1)*IF(Upgrades!$T$7="Magnetosphere",POWER(Upgrades!$U$7,F257),1)*IF(Upgrades!$T$8="Magnetosphere",POWER(Upgrades!$U$8,G257),1)*IF(Upgrades!$T$10="Magnetosphere",POWER(Upgrades!$U$10,I257),1)*IF(Upgrades!$T$11="Magnetosphere",POWER(Upgrades!$U$11,J257),1)*IF(Upgrades!$T$12="Magnetosphere",POWER(Upgrades!$U$12,K257),1))+(IF(I257=0,0,(Upgrades!$M$10+I257*Upgrades!$N$10)*POWER(Upgrades!$O$10,I257)))*(IF(Upgrades!$T$6="Orbital Resonance",POWER(Upgrades!$U$6,E257),1)*IF(Upgrades!$T$7="Orbital Resonance",POWER(Upgrades!$U$7,F257),1)*IF(Upgrades!$T$8="Orbital Resonance",POWER(Upgrades!$U$8,G257),1)*IF(Upgrades!$T$9="Orbital Resonance",POWER(Upgrades!$U$9,H257),1)*IF(Upgrades!$T$11="Orbital Resonance",POWER(Upgrades!$U$11,J257),1)*IF(Upgrades!$T$12="Orbital Resonance",POWER(Upgrades!$U$12,K257),1))+(IF(J257=0,0,(Upgrades!$M$11+J257*Upgrades!$N$11)*POWER(Upgrades!$O$11,J257)))*(IF(Upgrades!$T$6="Heliopause",POWER(Upgrades!$U$6,E257),1)*IF(Upgrades!$T$7="Heliopause",POWER(Upgrades!$U$7,F257),1)*IF(Upgrades!$T$8="Heliopause",POWER(Upgrades!$U$8,G257),1)*IF(Upgrades!$T$9="Heliopause",POWER(Upgrades!$U$9,H257),1)*IF(Upgrades!$T$10="Heliopause",POWER(Upgrades!$U$10,I257),1)*IF(Upgrades!$T$12="Heliopause",POWER(Upgrades!$U$12,K257),1))+(IF(K257=0,0,(Upgrades!$M$12+K257*Upgrades!$N$12)*POWER(Upgrades!$O$12,K257)))*(IF(Upgrades!$T$6="First Photons",POWER(Upgrades!$U$6,E257),1)*IF(Upgrades!$T$7="First Photons",POWER(Upgrades!$U$7,F257),1)*IF(Upgrades!$T$8="First Photons",POWER(Upgrades!$U$8,G257),1)*IF(Upgrades!$T$9="First Photons",POWER(Upgrades!$U$9,H257),1)*IF(Upgrades!$T$10="First Photons",POWER(Upgrades!$U$10,I257),1)*IF(Upgrades!$T$11="First Photons",POWER(Upgrades!$U$11,J257),1)))*POWER(Upgrades!$R$6,E257)*POWER(Upgrades!$R$7,F257)*POWER(Upgrades!$R$8,G257)*POWER(Upgrades!$R$9,H257)*POWER(Upgrades!$R$10,I257)*POWER(Upgrades!$R$11,J257)*POWER(Upgrades!$R$12,K257)</f>
        <v>0</v>
      </c>
      <c r="P257" s="27" t="n">
        <f aca="false">IF(L257=1,0,M257*Parameters!$B$10/60*Parameters!$B$11*10)</f>
        <v>0</v>
      </c>
      <c r="Q257" s="27" t="n">
        <f aca="false">IF(L257=1,0,O257*M257*10)</f>
        <v>0</v>
      </c>
      <c r="R257" s="27" t="n">
        <f aca="false">IF(L257=1,0,N257*10)</f>
        <v>0</v>
      </c>
      <c r="S257" s="27" t="n">
        <f aca="false">P257+Q257+R257</f>
        <v>0</v>
      </c>
      <c r="T257" s="21" t="n">
        <f aca="false">C257+S257</f>
        <v>18.6730249835055</v>
      </c>
      <c r="U257" s="34" t="str">
        <f aca="false">AX257</f>
        <v/>
      </c>
      <c r="V257" s="21" t="n">
        <f aca="false">IF(U257="",0,IF(U257="transition",0,IF(U257="SW",AG257,IF(U257="AB",AH257,IF(U257="SC",AI257,IF(U257="Mag",AJ257,IF(U257="OR",AK257,IF(U257="HP",AL257,IF(U257="FP",AM257,0)))))))))</f>
        <v>0</v>
      </c>
      <c r="W257" s="27" t="n">
        <f aca="false">IF(U257="OR",Upgrades!$F$10,IF(U257="HP",Upgrades!$F$11,IF(U257="transition",-Parameters!$B$18,0)))</f>
        <v>0</v>
      </c>
      <c r="X257" s="21" t="n">
        <f aca="false">T257-V257</f>
        <v>18.6730249835055</v>
      </c>
      <c r="Y257" s="30" t="n">
        <f aca="false">M257*Parameters!$B$10/60*Parameters!$B$11+O257*M257+N257</f>
        <v>20.55</v>
      </c>
      <c r="Z257" s="35" t="str">
        <f aca="false">IF(U257="transition","→ Tier 2 (Stellar Neighborhood)",IF(U257="FP","First Photons — light begins, system quickens",IF(U257="HP","Heliopause acquired",IF(U257="OR","Orbital Resonance — passive multiplier active",IF(AND(AO257=1,L257=0,AN257&lt;&gt;1),"Cohesion ready (waiting on completionist upgrades)","")))))</f>
        <v/>
      </c>
      <c r="AA257" s="27" t="n">
        <f aca="false">(IF(E257=0,0,(Upgrades!$G$6+E257*Upgrades!$H$6)*POWER(Upgrades!$I$6,E257)))*(IF(Upgrades!$T$7="Solar Wind",POWER(Upgrades!$U$7,F257),1)*IF(Upgrades!$T$8="Solar Wind",POWER(Upgrades!$U$8,G257),1)*IF(Upgrades!$T$9="Solar Wind",POWER(Upgrades!$U$9,H257),1)*IF(Upgrades!$T$10="Solar Wind",POWER(Upgrades!$U$10,I257),1)*IF(Upgrades!$T$11="Solar Wind",POWER(Upgrades!$U$11,J257),1)*IF(Upgrades!$T$12="Solar Wind",POWER(Upgrades!$U$12,K257),1))*POWER(Upgrades!$P$6,E257)*POWER(Upgrades!$P$7,F257)*POWER(Upgrades!$P$8,G257)*POWER(Upgrades!$P$9,H257)*POWER(Upgrades!$P$10,I257)*POWER(Upgrades!$P$11,J257)*POWER(Upgrades!$P$12,K257)*60</f>
        <v>72</v>
      </c>
      <c r="AB257" s="27" t="n">
        <f aca="false">(IF(F257=0,0,(Upgrades!$G$7+F257*Upgrades!$H$7)*POWER(Upgrades!$I$7,F257)))*(IF(Upgrades!$T$6="Asteroid Belt",POWER(Upgrades!$U$6,E257),1)*IF(Upgrades!$T$8="Asteroid Belt",POWER(Upgrades!$U$8,G257),1)*IF(Upgrades!$T$9="Asteroid Belt",POWER(Upgrades!$U$9,H257),1)*IF(Upgrades!$T$10="Asteroid Belt",POWER(Upgrades!$U$10,I257),1)*IF(Upgrades!$T$11="Asteroid Belt",POWER(Upgrades!$U$11,J257),1)*IF(Upgrades!$T$12="Asteroid Belt",POWER(Upgrades!$U$12,K257),1))*POWER(Upgrades!$P$6,E257)*POWER(Upgrades!$P$7,F257)*POWER(Upgrades!$P$8,G257)*POWER(Upgrades!$P$9,H257)*POWER(Upgrades!$P$10,I257)*POWER(Upgrades!$P$11,J257)*POWER(Upgrades!$P$12,K257)*60</f>
        <v>150</v>
      </c>
      <c r="AC257" s="27" t="n">
        <f aca="false">(IF(G257=0,0,(Upgrades!$J$8+G257*Upgrades!$K$8)*POWER(Upgrades!$L$8,G257)))*(IF(Upgrades!$T$6="Stellar Coupling",POWER(Upgrades!$U$6,E257),1)*IF(Upgrades!$T$7="Stellar Coupling",POWER(Upgrades!$U$7,F257),1)*IF(Upgrades!$T$9="Stellar Coupling",POWER(Upgrades!$U$9,H257),1)*IF(Upgrades!$T$10="Stellar Coupling",POWER(Upgrades!$U$10,I257),1)*IF(Upgrades!$T$11="Stellar Coupling",POWER(Upgrades!$U$11,J257),1)*IF(Upgrades!$T$12="Stellar Coupling",POWER(Upgrades!$U$12,K257),1))*POWER(Upgrades!$Q$6,E257)*POWER(Upgrades!$Q$7,F257)*POWER(Upgrades!$Q$8,G257)*POWER(Upgrades!$Q$9,H257)*POWER(Upgrades!$Q$10,I257)*POWER(Upgrades!$Q$11,J257)*POWER(Upgrades!$Q$12,K257)*Parameters!$B$10*Parameters!$B$11</f>
        <v>441</v>
      </c>
      <c r="AD257" s="27" t="n">
        <f aca="false">(IF(H257=0,0,(Upgrades!$G$9+H257*Upgrades!$H$9)*POWER(Upgrades!$I$9,H257)))*(IF(Upgrades!$T$6="Magnetosphere",POWER(Upgrades!$U$6,E257),1)*IF(Upgrades!$T$7="Magnetosphere",POWER(Upgrades!$U$7,F257),1)*IF(Upgrades!$T$8="Magnetosphere",POWER(Upgrades!$U$8,G257),1)*IF(Upgrades!$T$10="Magnetosphere",POWER(Upgrades!$U$10,I257),1)*IF(Upgrades!$T$11="Magnetosphere",POWER(Upgrades!$U$11,J257),1)*IF(Upgrades!$T$12="Magnetosphere",POWER(Upgrades!$U$12,K257),1))*POWER(Upgrades!$P$6,E257)*POWER(Upgrades!$P$7,F257)*POWER(Upgrades!$P$8,G257)*POWER(Upgrades!$P$9,H257)*POWER(Upgrades!$P$10,I257)*POWER(Upgrades!$P$11,J257)*POWER(Upgrades!$P$12,K257)*60</f>
        <v>375</v>
      </c>
      <c r="AE257" s="27" t="n">
        <f aca="false">(IF(K257=0,0,(Upgrades!$G$12+K257*Upgrades!$H$12)*POWER(Upgrades!$I$12,K257)))*(IF(Upgrades!$T$6="First Photons",POWER(Upgrades!$U$6,E257),1)*IF(Upgrades!$T$7="First Photons",POWER(Upgrades!$U$7,F257),1)*IF(Upgrades!$T$8="First Photons",POWER(Upgrades!$U$8,G257),1)*IF(Upgrades!$T$9="First Photons",POWER(Upgrades!$U$9,H257),1)*IF(Upgrades!$T$10="First Photons",POWER(Upgrades!$U$10,I257),1)*IF(Upgrades!$T$11="First Photons",POWER(Upgrades!$U$11,J257),1))*POWER(Upgrades!$P$6,E257)*POWER(Upgrades!$P$7,F257)*POWER(Upgrades!$P$8,G257)*POWER(Upgrades!$P$9,H257)*POWER(Upgrades!$P$10,I257)*POWER(Upgrades!$P$11,J257)*POWER(Upgrades!$P$12,K257)*60</f>
        <v>75</v>
      </c>
      <c r="AF257" s="27" t="n">
        <f aca="false">Parameters!$B$9*POWER(Upgrades!$Q$6,E257)*POWER(Upgrades!$Q$7,F257)*POWER(Upgrades!$Q$8,G257)*POWER(Upgrades!$Q$9,H257)*POWER(Upgrades!$Q$10,I257)*POWER(Upgrades!$Q$11,J257)*POWER(Upgrades!$Q$12,K257)*(Parameters!$B$10*Parameters!$B$11+O257*60)</f>
        <v>120</v>
      </c>
      <c r="AG257" s="21" t="n">
        <f aca="false">IF(E257&gt;=Upgrades!$E$6,"",Upgrades!$C$6*POWER(Upgrades!$D$6,E257))</f>
        <v>37.4517507383159</v>
      </c>
      <c r="AH257" s="21" t="n">
        <f aca="false">IF(F257&gt;=Upgrades!$E$7,"",Upgrades!$C$7*POWER(Upgrades!$D$7,F257))</f>
        <v>80.9111547141581</v>
      </c>
      <c r="AI257" s="21" t="n">
        <f aca="false">IF(G257&gt;=Upgrades!$E$8,"",Upgrades!$C$8*POWER(Upgrades!$D$8,G257))</f>
        <v>231.9097088</v>
      </c>
      <c r="AJ257" s="21" t="str">
        <f aca="false">IF(H257&gt;=Upgrades!$E$9,"",Upgrades!$C$9*POWER(Upgrades!$D$9,H257))</f>
        <v/>
      </c>
      <c r="AK257" s="21" t="str">
        <f aca="false">IF(I257&gt;=Upgrades!$E$10,"",Upgrades!$C$10*POWER(Upgrades!$D$10,I257))</f>
        <v/>
      </c>
      <c r="AL257" s="21" t="str">
        <f aca="false">IF(J257&gt;=Upgrades!$E$11,"",Upgrades!$C$11*POWER(Upgrades!$D$11,J257))</f>
        <v/>
      </c>
      <c r="AM257" s="21" t="str">
        <f aca="false">IF(K257&gt;=Upgrades!$E$12,"",Upgrades!$C$12*POWER(Upgrades!$D$12,K257))</f>
        <v/>
      </c>
      <c r="AN257" s="26" t="str">
        <f aca="false">IF(AND(D257&gt;=Parameters!$B$18,(H257&gt;=Upgrades!$E$9)*(K257&gt;=Upgrades!$E$12)=1,L257=0),1,"")</f>
        <v/>
      </c>
      <c r="AO257" s="26" t="str">
        <f aca="false">IF(AND(D257&gt;=Parameters!$B$18,L257=0),1,"")</f>
        <v/>
      </c>
      <c r="AP257" s="21" t="n">
        <f aca="false">MIN(IF(ISNUMBER(AK257),AK257,9000000000000000),IF(ISNUMBER(AL257),AL257,9000000000000000),IF(ISNUMBER(AM257),AM257,9000000000000000))</f>
        <v>9000000000000000</v>
      </c>
      <c r="AQ257" s="21" t="n">
        <f aca="false">MIN(IF(ISNUMBER(AG257),AG257,9000000000000000),IF(ISNUMBER(AH257),AH257,9000000000000000),IF(ISNUMBER(AI257),AI257,9000000000000000),IF(ISNUMBER(AJ257),AJ257,9000000000000000))</f>
        <v>37.4517507383159</v>
      </c>
      <c r="AR257" s="32" t="b">
        <f aca="false">IF(AW257&gt;Parameters!$B$21*(MAX(IF(AND(NOT(AND(AO257=1,AN257&lt;&gt;1)),ISNUMBER(AG257),AG257&lt;=T257),AS257,0),IF(AND(NOT(AND(AO257=1,AN257&lt;&gt;1)),ISNUMBER(AH257),AH257&lt;=T257),AT257,0),IF(AND(NOT(AND(AO257=1,AN257&lt;&gt;1)),ISNUMBER(AI257),AI257&lt;=T257),AU257,0),IF(AND(ISNUMBER(AJ257),AJ257&lt;=T257),AV257,0))),TRUE(),FALSE())</f>
        <v>1</v>
      </c>
      <c r="AS257" s="33" t="n">
        <f aca="false">IFERROR(Upgrades!$H$6*(POWER(Upgrades!$P$6,E257)*POWER(Upgrades!$P$7,F257)*POWER(Upgrades!$P$8,G257)*POWER(Upgrades!$P$9,H257)*POWER(Upgrades!$P$10,I257)*POWER(Upgrades!$P$11,J257)*POWER(Upgrades!$P$12,K257))*(IF(Upgrades!$T$7="Solar Wind",POWER(Upgrades!$U$7,F257),1)*IF(Upgrades!$T$8="Solar Wind",POWER(Upgrades!$U$8,G257),1)*IF(Upgrades!$T$9="Solar Wind",POWER(Upgrades!$U$9,H257),1)*IF(Upgrades!$T$10="Solar Wind",POWER(Upgrades!$U$10,I257),1)*IF(Upgrades!$T$11="Solar Wind",POWER(Upgrades!$U$11,J257),1)*IF(Upgrades!$T$12="Solar Wind",POWER(Upgrades!$U$12,K257),1))/AG257,0)</f>
        <v>0.0026701021455238</v>
      </c>
      <c r="AT257" s="33" t="n">
        <f aca="false">IFERROR(Upgrades!$H$7*(POWER(Upgrades!$P$6,E257)*POWER(Upgrades!$P$7,F257)*POWER(Upgrades!$P$8,G257)*POWER(Upgrades!$P$9,H257)*POWER(Upgrades!$P$10,I257)*POWER(Upgrades!$P$11,J257)*POWER(Upgrades!$P$12,K257))*(IF(Upgrades!$T$6="Asteroid Belt",POWER(Upgrades!$U$6,E257),1)*IF(Upgrades!$T$8="Asteroid Belt",POWER(Upgrades!$U$8,G257),1)*IF(Upgrades!$T$9="Asteroid Belt",POWER(Upgrades!$U$9,H257),1)*IF(Upgrades!$T$10="Asteroid Belt",POWER(Upgrades!$U$10,I257),1)*IF(Upgrades!$T$11="Asteroid Belt",POWER(Upgrades!$U$11,J257),1)*IF(Upgrades!$T$12="Asteroid Belt",POWER(Upgrades!$U$12,K257),1))/AH257,0)</f>
        <v>0.00308980882652332</v>
      </c>
      <c r="AU257" s="33" t="n">
        <f aca="false">IFERROR(Upgrades!$K$8*(POWER(Upgrades!$Q$6,E257)*POWER(Upgrades!$Q$7,F257)*POWER(Upgrades!$Q$8,G257)*POWER(Upgrades!$Q$9,H257)*POWER(Upgrades!$Q$10,I257)*POWER(Upgrades!$Q$11,J257)*POWER(Upgrades!$Q$12,K257))*(IF(Upgrades!$T$6="Stellar Coupling",POWER(Upgrades!$U$6,E257),1)*IF(Upgrades!$T$7="Stellar Coupling",POWER(Upgrades!$U$7,F257),1)*IF(Upgrades!$T$9="Stellar Coupling",POWER(Upgrades!$U$9,H257),1)*IF(Upgrades!$T$10="Stellar Coupling",POWER(Upgrades!$U$10,I257),1)*IF(Upgrades!$T$11="Stellar Coupling",POWER(Upgrades!$U$11,J257),1)*IF(Upgrades!$T$12="Stellar Coupling",POWER(Upgrades!$U$12,K257),1))*Parameters!$B$10*Parameters!$B$11/60/AI257,0)</f>
        <v>0.00452762415783776</v>
      </c>
      <c r="AV257" s="33" t="n">
        <f aca="false">IFERROR(Upgrades!$H$9*(POWER(Upgrades!$P$6,E257)*POWER(Upgrades!$P$7,F257)*POWER(Upgrades!$P$8,G257)*POWER(Upgrades!$P$9,H257)*POWER(Upgrades!$P$10,I257)*POWER(Upgrades!$P$11,J257)*POWER(Upgrades!$P$12,K257))*(IF(Upgrades!$T$6="Magnetosphere",POWER(Upgrades!$U$6,E257),1)*IF(Upgrades!$T$7="Magnetosphere",POWER(Upgrades!$U$7,F257),1)*IF(Upgrades!$T$8="Magnetosphere",POWER(Upgrades!$U$8,G257),1)*IF(Upgrades!$T$10="Magnetosphere",POWER(Upgrades!$U$10,I257),1)*IF(Upgrades!$T$11="Magnetosphere",POWER(Upgrades!$U$11,J257),1)*IF(Upgrades!$T$12="Magnetosphere",POWER(Upgrades!$U$12,K257),1))/AJ257,0)</f>
        <v>0</v>
      </c>
      <c r="AW257" s="33" t="n">
        <f aca="false">MAX(IF(I257&gt;0,0,IFERROR(0.25*N257/Upgrades!$C$10,0)),IF(J257&gt;0,0,IFERROR(0.5*((IF(G257=0,0,(Upgrades!$J$8+G257*Upgrades!$K$8)*POWER(Upgrades!$L$8,G257)))*(IF(Upgrades!$T$6="Stellar Coupling",POWER(Upgrades!$U$6,E257),1)*IF(Upgrades!$T$7="Stellar Coupling",POWER(Upgrades!$U$7,F257),1)*IF(Upgrades!$T$9="Stellar Coupling",POWER(Upgrades!$U$9,H257),1)*IF(Upgrades!$T$10="Stellar Coupling",POWER(Upgrades!$U$10,I257),1)*IF(Upgrades!$T$11="Stellar Coupling",POWER(Upgrades!$U$11,J257),1)*IF(Upgrades!$T$12="Stellar Coupling",POWER(Upgrades!$U$12,K257),1))*(POWER(Upgrades!$Q$6,E257)*POWER(Upgrades!$Q$7,F257)*POWER(Upgrades!$Q$8,G257)*POWER(Upgrades!$Q$9,H257)*POWER(Upgrades!$Q$10,I257)*POWER(Upgrades!$Q$11,J257)*POWER(Upgrades!$Q$12,K257))*Parameters!$B$10*Parameters!$B$11/60)/Upgrades!$C$11,0)),IF(K257&gt;0,0,IFERROR((1*(POWER(Upgrades!$P$6,E257)*POWER(Upgrades!$P$7,F257)*POWER(Upgrades!$P$8,G257)*POWER(Upgrades!$P$9,H257)*POWER(Upgrades!$P$10,I257)*POWER(Upgrades!$P$11,J257)*POWER(Upgrades!$P$12,K257))+0.2*M257*Parameters!$B$10*Parameters!$B$11/60)/Upgrades!$C$12,0)),IF(AND(ISNUMBER(AG257),AG257&gt;T257),AS257,0),IF(AND(ISNUMBER(AH257),AH257&gt;T257),AT257,0),IF(AND(ISNUMBER(AI257),AI257&gt;T257),AU257,0),IF(AND(ISNUMBER(AJ257),AJ257&gt;T257),AV257,0))</f>
        <v>0.00452762415783776</v>
      </c>
      <c r="AX257" s="29" t="str">
        <f aca="false">IF(AN257=1,"transition",IF(MIN(IF(AND(I257=0,ISNUMBER(AK257),AK257&lt;=T257),AK257,9000000000000000),IF(AND(J257=0,ISNUMBER(AL257),AL257&lt;=T257),AL257,9000000000000000),IF(AND(K257=0,ISNUMBER(AM257),AM257&lt;=T257),AM257,9000000000000000))&lt;9000000000000000,IF(AND(AND(I257=0,ISNUMBER(AK257),AK257&lt;=T257),AK257=MIN(IF(AND(I257=0,ISNUMBER(AK257),AK257&lt;=T257),AK257,9000000000000000),IF(AND(J257=0,ISNUMBER(AL257),AL257&lt;=T257),AL257,9000000000000000),IF(AND(K257=0,ISNUMBER(AM257),AM257&lt;=T257),AM257,9000000000000000))),"OR",IF(AND(AND(J257=0,ISNUMBER(AL257),AL257&lt;=T257),AL257=MIN(IF(AND(I257=0,ISNUMBER(AK257),AK257&lt;=T257),AK257,9000000000000000),IF(AND(J257=0,ISNUMBER(AL257),AL257&lt;=T257),AL257,9000000000000000),IF(AND(K257=0,ISNUMBER(AM257),AM257&lt;=T257),AM257,9000000000000000))),"HP","FP")),IF(AR257=TRUE(),"",IF(MAX(IF(AND(NOT(AND(AO257=1,AN257&lt;&gt;1)),ISNUMBER(AG257),AG257&lt;=T257),AS257,0),IF(AND(NOT(AND(AO257=1,AN257&lt;&gt;1)),ISNUMBER(AH257),AH257&lt;=T257),AT257,0),IF(AND(NOT(AND(AO257=1,AN257&lt;&gt;1)),ISNUMBER(AI257),AI257&lt;=T257),AU257,0),IF(AND(ISNUMBER(AJ257),AJ257&lt;=T257),AV257,0))&lt;=0,"",IF(AND(IF(AND(NOT(AND(AO257=1,AN257&lt;&gt;1)),ISNUMBER(AG257),AG257&lt;=T257),AS257,0)&gt;0,IF(AND(NOT(AND(AO257=1,AN257&lt;&gt;1)),ISNUMBER(AG257),AG257&lt;=T257),AS257,0)=MAX(IF(AND(NOT(AND(AO257=1,AN257&lt;&gt;1)),ISNUMBER(AG257),AG257&lt;=T257),AS257,0),IF(AND(NOT(AND(AO257=1,AN257&lt;&gt;1)),ISNUMBER(AH257),AH257&lt;=T257),AT257,0),IF(AND(NOT(AND(AO257=1,AN257&lt;&gt;1)),ISNUMBER(AI257),AI257&lt;=T257),AU257,0),IF(AND(ISNUMBER(AJ257),AJ257&lt;=T257),AV257,0))),"SW",IF(AND(IF(AND(NOT(AND(AO257=1,AN257&lt;&gt;1)),ISNUMBER(AH257),AH257&lt;=T257),AT257,0)&gt;0,IF(AND(NOT(AND(AO257=1,AN257&lt;&gt;1)),ISNUMBER(AH257),AH257&lt;=T257),AT257,0)=MAX(IF(AND(NOT(AND(AO257=1,AN257&lt;&gt;1)),ISNUMBER(AG257),AG257&lt;=T257),AS257,0),IF(AND(NOT(AND(AO257=1,AN257&lt;&gt;1)),ISNUMBER(AH257),AH257&lt;=T257),AT257,0),IF(AND(NOT(AND(AO257=1,AN257&lt;&gt;1)),ISNUMBER(AI257),AI257&lt;=T257),AU257,0),IF(AND(ISNUMBER(AJ257),AJ257&lt;=T257),AV257,0))),"AB",IF(AND(IF(AND(NOT(AND(AO257=1,AN257&lt;&gt;1)),ISNUMBER(AI257),AI257&lt;=T257),AU257,0)&gt;0,IF(AND(NOT(AND(AO257=1,AN257&lt;&gt;1)),ISNUMBER(AI257),AI257&lt;=T257),AU257,0)=MAX(IF(AND(NOT(AND(AO257=1,AN257&lt;&gt;1)),ISNUMBER(AG257),AG257&lt;=T257),AS257,0),IF(AND(NOT(AND(AO257=1,AN257&lt;&gt;1)),ISNUMBER(AH257),AH257&lt;=T257),AT257,0),IF(AND(NOT(AND(AO257=1,AN257&lt;&gt;1)),ISNUMBER(AI257),AI257&lt;=T257),AU257,0),IF(AND(ISNUMBER(AJ257),AJ257&lt;=T257),AV257,0))),"SC","Mag")))))))</f>
        <v/>
      </c>
    </row>
    <row r="258" customFormat="false" ht="15" hidden="false" customHeight="false" outlineLevel="0" collapsed="false">
      <c r="A258" s="26" t="n">
        <v>253</v>
      </c>
      <c r="B258" s="27" t="n">
        <f aca="false">A258*10/60</f>
        <v>42.1666666666667</v>
      </c>
      <c r="C258" s="21" t="n">
        <f aca="false">X257</f>
        <v>18.6730249835055</v>
      </c>
      <c r="D258" s="27" t="n">
        <f aca="false">D257+W257</f>
        <v>0</v>
      </c>
      <c r="E258" s="26" t="n">
        <f aca="false">E257+IF(U257="SW",1,0)</f>
        <v>12</v>
      </c>
      <c r="F258" s="26" t="n">
        <f aca="false">F257+IF(U257="AB",1,0)</f>
        <v>10</v>
      </c>
      <c r="G258" s="26" t="n">
        <f aca="false">G257+IF(U257="SC",1,0)</f>
        <v>7</v>
      </c>
      <c r="H258" s="26" t="n">
        <f aca="false">H257+IF(U257="Mag",1,0)</f>
        <v>5</v>
      </c>
      <c r="I258" s="26" t="n">
        <f aca="false">MAX(I257,IF(U257="OR",1,0))</f>
        <v>1</v>
      </c>
      <c r="J258" s="26" t="n">
        <f aca="false">MAX(J257,IF(U257="HP",1,0))</f>
        <v>1</v>
      </c>
      <c r="K258" s="26" t="n">
        <f aca="false">MAX(K257,IF(U257="FP",1,0))</f>
        <v>1</v>
      </c>
      <c r="L258" s="26" t="n">
        <f aca="false">MAX(L257,IF(U257="transition",1,0))</f>
        <v>1</v>
      </c>
      <c r="M258" s="28" t="n">
        <f aca="false">(Parameters!$B$9+(IF(E258=0,0,(Upgrades!$J$6+E258*Upgrades!$K$6)*POWER(Upgrades!$L$6,E258)))*(IF(Upgrades!$T$7="Solar Wind",POWER(Upgrades!$U$7,F258),1)*IF(Upgrades!$T$8="Solar Wind",POWER(Upgrades!$U$8,G258),1)*IF(Upgrades!$T$9="Solar Wind",POWER(Upgrades!$U$9,H258),1)*IF(Upgrades!$T$10="Solar Wind",POWER(Upgrades!$U$10,I258),1)*IF(Upgrades!$T$11="Solar Wind",POWER(Upgrades!$U$11,J258),1)*IF(Upgrades!$T$12="Solar Wind",POWER(Upgrades!$U$12,K258),1))+(IF(F258=0,0,(Upgrades!$J$7+F258*Upgrades!$K$7)*POWER(Upgrades!$L$7,F258)))*(IF(Upgrades!$T$6="Asteroid Belt",POWER(Upgrades!$U$6,E258),1)*IF(Upgrades!$T$8="Asteroid Belt",POWER(Upgrades!$U$8,G258),1)*IF(Upgrades!$T$9="Asteroid Belt",POWER(Upgrades!$U$9,H258),1)*IF(Upgrades!$T$10="Asteroid Belt",POWER(Upgrades!$U$10,I258),1)*IF(Upgrades!$T$11="Asteroid Belt",POWER(Upgrades!$U$11,J258),1)*IF(Upgrades!$T$12="Asteroid Belt",POWER(Upgrades!$U$12,K258),1))+(IF(G258=0,0,(Upgrades!$J$8+G258*Upgrades!$K$8)*POWER(Upgrades!$L$8,G258)))*(IF(Upgrades!$T$6="Stellar Coupling",POWER(Upgrades!$U$6,E258),1)*IF(Upgrades!$T$7="Stellar Coupling",POWER(Upgrades!$U$7,F258),1)*IF(Upgrades!$T$9="Stellar Coupling",POWER(Upgrades!$U$9,H258),1)*IF(Upgrades!$T$10="Stellar Coupling",POWER(Upgrades!$U$10,I258),1)*IF(Upgrades!$T$11="Stellar Coupling",POWER(Upgrades!$U$11,J258),1)*IF(Upgrades!$T$12="Stellar Coupling",POWER(Upgrades!$U$12,K258),1))+(IF(H258=0,0,(Upgrades!$J$9+H258*Upgrades!$K$9)*POWER(Upgrades!$L$9,H258)))*(IF(Upgrades!$T$6="Magnetosphere",POWER(Upgrades!$U$6,E258),1)*IF(Upgrades!$T$7="Magnetosphere",POWER(Upgrades!$U$7,F258),1)*IF(Upgrades!$T$8="Magnetosphere",POWER(Upgrades!$U$8,G258),1)*IF(Upgrades!$T$10="Magnetosphere",POWER(Upgrades!$U$10,I258),1)*IF(Upgrades!$T$11="Magnetosphere",POWER(Upgrades!$U$11,J258),1)*IF(Upgrades!$T$12="Magnetosphere",POWER(Upgrades!$U$12,K258),1))+(IF(I258=0,0,(Upgrades!$J$10+I258*Upgrades!$K$10)*POWER(Upgrades!$L$10,I258)))*(IF(Upgrades!$T$6="Orbital Resonance",POWER(Upgrades!$U$6,E258),1)*IF(Upgrades!$T$7="Orbital Resonance",POWER(Upgrades!$U$7,F258),1)*IF(Upgrades!$T$8="Orbital Resonance",POWER(Upgrades!$U$8,G258),1)*IF(Upgrades!$T$9="Orbital Resonance",POWER(Upgrades!$U$9,H258),1)*IF(Upgrades!$T$11="Orbital Resonance",POWER(Upgrades!$U$11,J258),1)*IF(Upgrades!$T$12="Orbital Resonance",POWER(Upgrades!$U$12,K258),1))+(IF(J258=0,0,(Upgrades!$J$11+J258*Upgrades!$K$11)*POWER(Upgrades!$L$11,J258)))*(IF(Upgrades!$T$6="Heliopause",POWER(Upgrades!$U$6,E258),1)*IF(Upgrades!$T$7="Heliopause",POWER(Upgrades!$U$7,F258),1)*IF(Upgrades!$T$8="Heliopause",POWER(Upgrades!$U$8,G258),1)*IF(Upgrades!$T$9="Heliopause",POWER(Upgrades!$U$9,H258),1)*IF(Upgrades!$T$10="Heliopause",POWER(Upgrades!$U$10,I258),1)*IF(Upgrades!$T$12="Heliopause",POWER(Upgrades!$U$12,K258),1))+(IF(K258=0,0,(Upgrades!$J$12+K258*Upgrades!$K$12)*POWER(Upgrades!$L$12,K258)))*(IF(Upgrades!$T$6="First Photons",POWER(Upgrades!$U$6,E258),1)*IF(Upgrades!$T$7="First Photons",POWER(Upgrades!$U$7,F258),1)*IF(Upgrades!$T$8="First Photons",POWER(Upgrades!$U$8,G258),1)*IF(Upgrades!$T$9="First Photons",POWER(Upgrades!$U$9,H258),1)*IF(Upgrades!$T$10="First Photons",POWER(Upgrades!$U$10,I258),1)*IF(Upgrades!$T$11="First Photons",POWER(Upgrades!$U$11,J258),1)))*POWER(Upgrades!$Q$6,E258)*POWER(Upgrades!$Q$7,F258)*POWER(Upgrades!$Q$8,G258)*POWER(Upgrades!$Q$9,H258)*POWER(Upgrades!$Q$10,I258)*POWER(Upgrades!$Q$11,J258)*POWER(Upgrades!$Q$12,K258)</f>
        <v>5.61</v>
      </c>
      <c r="N258" s="28" t="n">
        <f aca="false">((IF(E258=0,0,(Upgrades!$G$6+E258*Upgrades!$H$6)*POWER(Upgrades!$I$6,E258)))*(IF(Upgrades!$T$7="Solar Wind",POWER(Upgrades!$U$7,F258),1)*IF(Upgrades!$T$8="Solar Wind",POWER(Upgrades!$U$8,G258),1)*IF(Upgrades!$T$9="Solar Wind",POWER(Upgrades!$U$9,H258),1)*IF(Upgrades!$T$10="Solar Wind",POWER(Upgrades!$U$10,I258),1)*IF(Upgrades!$T$11="Solar Wind",POWER(Upgrades!$U$11,J258),1)*IF(Upgrades!$T$12="Solar Wind",POWER(Upgrades!$U$12,K258),1))+(IF(F258=0,0,(Upgrades!$G$7+F258*Upgrades!$H$7)*POWER(Upgrades!$I$7,F258)))*(IF(Upgrades!$T$6="Asteroid Belt",POWER(Upgrades!$U$6,E258),1)*IF(Upgrades!$T$8="Asteroid Belt",POWER(Upgrades!$U$8,G258),1)*IF(Upgrades!$T$9="Asteroid Belt",POWER(Upgrades!$U$9,H258),1)*IF(Upgrades!$T$10="Asteroid Belt",POWER(Upgrades!$U$10,I258),1)*IF(Upgrades!$T$11="Asteroid Belt",POWER(Upgrades!$U$11,J258),1)*IF(Upgrades!$T$12="Asteroid Belt",POWER(Upgrades!$U$12,K258),1))+(IF(G258=0,0,(Upgrades!$G$8+G258*Upgrades!$H$8)*POWER(Upgrades!$I$8,G258)))*(IF(Upgrades!$T$6="Stellar Coupling",POWER(Upgrades!$U$6,E258),1)*IF(Upgrades!$T$7="Stellar Coupling",POWER(Upgrades!$U$7,F258),1)*IF(Upgrades!$T$9="Stellar Coupling",POWER(Upgrades!$U$9,H258),1)*IF(Upgrades!$T$10="Stellar Coupling",POWER(Upgrades!$U$10,I258),1)*IF(Upgrades!$T$11="Stellar Coupling",POWER(Upgrades!$U$11,J258),1)*IF(Upgrades!$T$12="Stellar Coupling",POWER(Upgrades!$U$12,K258),1))+(IF(H258=0,0,(Upgrades!$G$9+H258*Upgrades!$H$9)*POWER(Upgrades!$I$9,H258)))*(IF(Upgrades!$T$6="Magnetosphere",POWER(Upgrades!$U$6,E258),1)*IF(Upgrades!$T$7="Magnetosphere",POWER(Upgrades!$U$7,F258),1)*IF(Upgrades!$T$8="Magnetosphere",POWER(Upgrades!$U$8,G258),1)*IF(Upgrades!$T$10="Magnetosphere",POWER(Upgrades!$U$10,I258),1)*IF(Upgrades!$T$11="Magnetosphere",POWER(Upgrades!$U$11,J258),1)*IF(Upgrades!$T$12="Magnetosphere",POWER(Upgrades!$U$12,K258),1))+(IF(I258=0,0,(Upgrades!$G$10+I258*Upgrades!$H$10)*POWER(Upgrades!$I$10,I258)))*(IF(Upgrades!$T$6="Orbital Resonance",POWER(Upgrades!$U$6,E258),1)*IF(Upgrades!$T$7="Orbital Resonance",POWER(Upgrades!$U$7,F258),1)*IF(Upgrades!$T$8="Orbital Resonance",POWER(Upgrades!$U$8,G258),1)*IF(Upgrades!$T$9="Orbital Resonance",POWER(Upgrades!$U$9,H258),1)*IF(Upgrades!$T$11="Orbital Resonance",POWER(Upgrades!$U$11,J258),1)*IF(Upgrades!$T$12="Orbital Resonance",POWER(Upgrades!$U$12,K258),1))+(IF(J258=0,0,(Upgrades!$G$11+J258*Upgrades!$H$11)*POWER(Upgrades!$I$11,J258)))*(IF(Upgrades!$T$6="Heliopause",POWER(Upgrades!$U$6,E258),1)*IF(Upgrades!$T$7="Heliopause",POWER(Upgrades!$U$7,F258),1)*IF(Upgrades!$T$8="Heliopause",POWER(Upgrades!$U$8,G258),1)*IF(Upgrades!$T$9="Heliopause",POWER(Upgrades!$U$9,H258),1)*IF(Upgrades!$T$10="Heliopause",POWER(Upgrades!$U$10,I258),1)*IF(Upgrades!$T$12="Heliopause",POWER(Upgrades!$U$12,K258),1))+(IF(K258=0,0,(Upgrades!$G$12+K258*Upgrades!$H$12)*POWER(Upgrades!$I$12,K258)))*(IF(Upgrades!$T$6="First Photons",POWER(Upgrades!$U$6,E258),1)*IF(Upgrades!$T$7="First Photons",POWER(Upgrades!$U$7,F258),1)*IF(Upgrades!$T$8="First Photons",POWER(Upgrades!$U$8,G258),1)*IF(Upgrades!$T$9="First Photons",POWER(Upgrades!$U$9,H258),1)*IF(Upgrades!$T$10="First Photons",POWER(Upgrades!$U$10,I258),1)*IF(Upgrades!$T$11="First Photons",POWER(Upgrades!$U$11,J258),1)))*POWER(Upgrades!$P$6,E258)*POWER(Upgrades!$P$7,F258)*POWER(Upgrades!$P$8,G258)*POWER(Upgrades!$P$9,H258)*POWER(Upgrades!$P$10,I258)*POWER(Upgrades!$P$11,J258)*POWER(Upgrades!$P$12,K258)</f>
        <v>11.2</v>
      </c>
      <c r="O258" s="28" t="n">
        <f aca="false">((IF(E258=0,0,(Upgrades!$M$6+E258*Upgrades!$N$6)*POWER(Upgrades!$O$6,E258)))*(IF(Upgrades!$T$7="Solar Wind",POWER(Upgrades!$U$7,F258),1)*IF(Upgrades!$T$8="Solar Wind",POWER(Upgrades!$U$8,G258),1)*IF(Upgrades!$T$9="Solar Wind",POWER(Upgrades!$U$9,H258),1)*IF(Upgrades!$T$10="Solar Wind",POWER(Upgrades!$U$10,I258),1)*IF(Upgrades!$T$11="Solar Wind",POWER(Upgrades!$U$11,J258),1)*IF(Upgrades!$T$12="Solar Wind",POWER(Upgrades!$U$12,K258),1))+(IF(F258=0,0,(Upgrades!$M$7+F258*Upgrades!$N$7)*POWER(Upgrades!$O$7,F258)))*(IF(Upgrades!$T$6="Asteroid Belt",POWER(Upgrades!$U$6,E258),1)*IF(Upgrades!$T$8="Asteroid Belt",POWER(Upgrades!$U$8,G258),1)*IF(Upgrades!$T$9="Asteroid Belt",POWER(Upgrades!$U$9,H258),1)*IF(Upgrades!$T$10="Asteroid Belt",POWER(Upgrades!$U$10,I258),1)*IF(Upgrades!$T$11="Asteroid Belt",POWER(Upgrades!$U$11,J258),1)*IF(Upgrades!$T$12="Asteroid Belt",POWER(Upgrades!$U$12,K258),1))+(IF(G258=0,0,(Upgrades!$M$8+G258*Upgrades!$N$8)*POWER(Upgrades!$O$8,G258)))*(IF(Upgrades!$T$6="Stellar Coupling",POWER(Upgrades!$U$6,E258),1)*IF(Upgrades!$T$7="Stellar Coupling",POWER(Upgrades!$U$7,F258),1)*IF(Upgrades!$T$9="Stellar Coupling",POWER(Upgrades!$U$9,H258),1)*IF(Upgrades!$T$10="Stellar Coupling",POWER(Upgrades!$U$10,I258),1)*IF(Upgrades!$T$11="Stellar Coupling",POWER(Upgrades!$U$11,J258),1)*IF(Upgrades!$T$12="Stellar Coupling",POWER(Upgrades!$U$12,K258),1))+(IF(H258=0,0,(Upgrades!$M$9+H258*Upgrades!$N$9)*POWER(Upgrades!$O$9,H258)))*(IF(Upgrades!$T$6="Magnetosphere",POWER(Upgrades!$U$6,E258),1)*IF(Upgrades!$T$7="Magnetosphere",POWER(Upgrades!$U$7,F258),1)*IF(Upgrades!$T$8="Magnetosphere",POWER(Upgrades!$U$8,G258),1)*IF(Upgrades!$T$10="Magnetosphere",POWER(Upgrades!$U$10,I258),1)*IF(Upgrades!$T$11="Magnetosphere",POWER(Upgrades!$U$11,J258),1)*IF(Upgrades!$T$12="Magnetosphere",POWER(Upgrades!$U$12,K258),1))+(IF(I258=0,0,(Upgrades!$M$10+I258*Upgrades!$N$10)*POWER(Upgrades!$O$10,I258)))*(IF(Upgrades!$T$6="Orbital Resonance",POWER(Upgrades!$U$6,E258),1)*IF(Upgrades!$T$7="Orbital Resonance",POWER(Upgrades!$U$7,F258),1)*IF(Upgrades!$T$8="Orbital Resonance",POWER(Upgrades!$U$8,G258),1)*IF(Upgrades!$T$9="Orbital Resonance",POWER(Upgrades!$U$9,H258),1)*IF(Upgrades!$T$11="Orbital Resonance",POWER(Upgrades!$U$11,J258),1)*IF(Upgrades!$T$12="Orbital Resonance",POWER(Upgrades!$U$12,K258),1))+(IF(J258=0,0,(Upgrades!$M$11+J258*Upgrades!$N$11)*POWER(Upgrades!$O$11,J258)))*(IF(Upgrades!$T$6="Heliopause",POWER(Upgrades!$U$6,E258),1)*IF(Upgrades!$T$7="Heliopause",POWER(Upgrades!$U$7,F258),1)*IF(Upgrades!$T$8="Heliopause",POWER(Upgrades!$U$8,G258),1)*IF(Upgrades!$T$9="Heliopause",POWER(Upgrades!$U$9,H258),1)*IF(Upgrades!$T$10="Heliopause",POWER(Upgrades!$U$10,I258),1)*IF(Upgrades!$T$12="Heliopause",POWER(Upgrades!$U$12,K258),1))+(IF(K258=0,0,(Upgrades!$M$12+K258*Upgrades!$N$12)*POWER(Upgrades!$O$12,K258)))*(IF(Upgrades!$T$6="First Photons",POWER(Upgrades!$U$6,E258),1)*IF(Upgrades!$T$7="First Photons",POWER(Upgrades!$U$7,F258),1)*IF(Upgrades!$T$8="First Photons",POWER(Upgrades!$U$8,G258),1)*IF(Upgrades!$T$9="First Photons",POWER(Upgrades!$U$9,H258),1)*IF(Upgrades!$T$10="First Photons",POWER(Upgrades!$U$10,I258),1)*IF(Upgrades!$T$11="First Photons",POWER(Upgrades!$U$11,J258),1)))*POWER(Upgrades!$R$6,E258)*POWER(Upgrades!$R$7,F258)*POWER(Upgrades!$R$8,G258)*POWER(Upgrades!$R$9,H258)*POWER(Upgrades!$R$10,I258)*POWER(Upgrades!$R$11,J258)*POWER(Upgrades!$R$12,K258)</f>
        <v>0</v>
      </c>
      <c r="P258" s="27" t="n">
        <f aca="false">IF(L258=1,0,M258*Parameters!$B$10/60*Parameters!$B$11*10)</f>
        <v>0</v>
      </c>
      <c r="Q258" s="27" t="n">
        <f aca="false">IF(L258=1,0,O258*M258*10)</f>
        <v>0</v>
      </c>
      <c r="R258" s="27" t="n">
        <f aca="false">IF(L258=1,0,N258*10)</f>
        <v>0</v>
      </c>
      <c r="S258" s="27" t="n">
        <f aca="false">P258+Q258+R258</f>
        <v>0</v>
      </c>
      <c r="T258" s="21" t="n">
        <f aca="false">C258+S258</f>
        <v>18.6730249835055</v>
      </c>
      <c r="U258" s="34" t="str">
        <f aca="false">AX258</f>
        <v/>
      </c>
      <c r="V258" s="21" t="n">
        <f aca="false">IF(U258="",0,IF(U258="transition",0,IF(U258="SW",AG258,IF(U258="AB",AH258,IF(U258="SC",AI258,IF(U258="Mag",AJ258,IF(U258="OR",AK258,IF(U258="HP",AL258,IF(U258="FP",AM258,0)))))))))</f>
        <v>0</v>
      </c>
      <c r="W258" s="27" t="n">
        <f aca="false">IF(U258="OR",Upgrades!$F$10,IF(U258="HP",Upgrades!$F$11,IF(U258="transition",-Parameters!$B$18,0)))</f>
        <v>0</v>
      </c>
      <c r="X258" s="21" t="n">
        <f aca="false">T258-V258</f>
        <v>18.6730249835055</v>
      </c>
      <c r="Y258" s="30" t="n">
        <f aca="false">M258*Parameters!$B$10/60*Parameters!$B$11+O258*M258+N258</f>
        <v>20.55</v>
      </c>
      <c r="Z258" s="35" t="str">
        <f aca="false">IF(U258="transition","→ Tier 2 (Stellar Neighborhood)",IF(U258="FP","First Photons — light begins, system quickens",IF(U258="HP","Heliopause acquired",IF(U258="OR","Orbital Resonance — passive multiplier active",IF(AND(AO258=1,L258=0,AN258&lt;&gt;1),"Cohesion ready (waiting on completionist upgrades)","")))))</f>
        <v/>
      </c>
      <c r="AA258" s="27" t="n">
        <f aca="false">(IF(E258=0,0,(Upgrades!$G$6+E258*Upgrades!$H$6)*POWER(Upgrades!$I$6,E258)))*(IF(Upgrades!$T$7="Solar Wind",POWER(Upgrades!$U$7,F258),1)*IF(Upgrades!$T$8="Solar Wind",POWER(Upgrades!$U$8,G258),1)*IF(Upgrades!$T$9="Solar Wind",POWER(Upgrades!$U$9,H258),1)*IF(Upgrades!$T$10="Solar Wind",POWER(Upgrades!$U$10,I258),1)*IF(Upgrades!$T$11="Solar Wind",POWER(Upgrades!$U$11,J258),1)*IF(Upgrades!$T$12="Solar Wind",POWER(Upgrades!$U$12,K258),1))*POWER(Upgrades!$P$6,E258)*POWER(Upgrades!$P$7,F258)*POWER(Upgrades!$P$8,G258)*POWER(Upgrades!$P$9,H258)*POWER(Upgrades!$P$10,I258)*POWER(Upgrades!$P$11,J258)*POWER(Upgrades!$P$12,K258)*60</f>
        <v>72</v>
      </c>
      <c r="AB258" s="27" t="n">
        <f aca="false">(IF(F258=0,0,(Upgrades!$G$7+F258*Upgrades!$H$7)*POWER(Upgrades!$I$7,F258)))*(IF(Upgrades!$T$6="Asteroid Belt",POWER(Upgrades!$U$6,E258),1)*IF(Upgrades!$T$8="Asteroid Belt",POWER(Upgrades!$U$8,G258),1)*IF(Upgrades!$T$9="Asteroid Belt",POWER(Upgrades!$U$9,H258),1)*IF(Upgrades!$T$10="Asteroid Belt",POWER(Upgrades!$U$10,I258),1)*IF(Upgrades!$T$11="Asteroid Belt",POWER(Upgrades!$U$11,J258),1)*IF(Upgrades!$T$12="Asteroid Belt",POWER(Upgrades!$U$12,K258),1))*POWER(Upgrades!$P$6,E258)*POWER(Upgrades!$P$7,F258)*POWER(Upgrades!$P$8,G258)*POWER(Upgrades!$P$9,H258)*POWER(Upgrades!$P$10,I258)*POWER(Upgrades!$P$11,J258)*POWER(Upgrades!$P$12,K258)*60</f>
        <v>150</v>
      </c>
      <c r="AC258" s="27" t="n">
        <f aca="false">(IF(G258=0,0,(Upgrades!$J$8+G258*Upgrades!$K$8)*POWER(Upgrades!$L$8,G258)))*(IF(Upgrades!$T$6="Stellar Coupling",POWER(Upgrades!$U$6,E258),1)*IF(Upgrades!$T$7="Stellar Coupling",POWER(Upgrades!$U$7,F258),1)*IF(Upgrades!$T$9="Stellar Coupling",POWER(Upgrades!$U$9,H258),1)*IF(Upgrades!$T$10="Stellar Coupling",POWER(Upgrades!$U$10,I258),1)*IF(Upgrades!$T$11="Stellar Coupling",POWER(Upgrades!$U$11,J258),1)*IF(Upgrades!$T$12="Stellar Coupling",POWER(Upgrades!$U$12,K258),1))*POWER(Upgrades!$Q$6,E258)*POWER(Upgrades!$Q$7,F258)*POWER(Upgrades!$Q$8,G258)*POWER(Upgrades!$Q$9,H258)*POWER(Upgrades!$Q$10,I258)*POWER(Upgrades!$Q$11,J258)*POWER(Upgrades!$Q$12,K258)*Parameters!$B$10*Parameters!$B$11</f>
        <v>441</v>
      </c>
      <c r="AD258" s="27" t="n">
        <f aca="false">(IF(H258=0,0,(Upgrades!$G$9+H258*Upgrades!$H$9)*POWER(Upgrades!$I$9,H258)))*(IF(Upgrades!$T$6="Magnetosphere",POWER(Upgrades!$U$6,E258),1)*IF(Upgrades!$T$7="Magnetosphere",POWER(Upgrades!$U$7,F258),1)*IF(Upgrades!$T$8="Magnetosphere",POWER(Upgrades!$U$8,G258),1)*IF(Upgrades!$T$10="Magnetosphere",POWER(Upgrades!$U$10,I258),1)*IF(Upgrades!$T$11="Magnetosphere",POWER(Upgrades!$U$11,J258),1)*IF(Upgrades!$T$12="Magnetosphere",POWER(Upgrades!$U$12,K258),1))*POWER(Upgrades!$P$6,E258)*POWER(Upgrades!$P$7,F258)*POWER(Upgrades!$P$8,G258)*POWER(Upgrades!$P$9,H258)*POWER(Upgrades!$P$10,I258)*POWER(Upgrades!$P$11,J258)*POWER(Upgrades!$P$12,K258)*60</f>
        <v>375</v>
      </c>
      <c r="AE258" s="27" t="n">
        <f aca="false">(IF(K258=0,0,(Upgrades!$G$12+K258*Upgrades!$H$12)*POWER(Upgrades!$I$12,K258)))*(IF(Upgrades!$T$6="First Photons",POWER(Upgrades!$U$6,E258),1)*IF(Upgrades!$T$7="First Photons",POWER(Upgrades!$U$7,F258),1)*IF(Upgrades!$T$8="First Photons",POWER(Upgrades!$U$8,G258),1)*IF(Upgrades!$T$9="First Photons",POWER(Upgrades!$U$9,H258),1)*IF(Upgrades!$T$10="First Photons",POWER(Upgrades!$U$10,I258),1)*IF(Upgrades!$T$11="First Photons",POWER(Upgrades!$U$11,J258),1))*POWER(Upgrades!$P$6,E258)*POWER(Upgrades!$P$7,F258)*POWER(Upgrades!$P$8,G258)*POWER(Upgrades!$P$9,H258)*POWER(Upgrades!$P$10,I258)*POWER(Upgrades!$P$11,J258)*POWER(Upgrades!$P$12,K258)*60</f>
        <v>75</v>
      </c>
      <c r="AF258" s="27" t="n">
        <f aca="false">Parameters!$B$9*POWER(Upgrades!$Q$6,E258)*POWER(Upgrades!$Q$7,F258)*POWER(Upgrades!$Q$8,G258)*POWER(Upgrades!$Q$9,H258)*POWER(Upgrades!$Q$10,I258)*POWER(Upgrades!$Q$11,J258)*POWER(Upgrades!$Q$12,K258)*(Parameters!$B$10*Parameters!$B$11+O258*60)</f>
        <v>120</v>
      </c>
      <c r="AG258" s="21" t="n">
        <f aca="false">IF(E258&gt;=Upgrades!$E$6,"",Upgrades!$C$6*POWER(Upgrades!$D$6,E258))</f>
        <v>37.4517507383159</v>
      </c>
      <c r="AH258" s="21" t="n">
        <f aca="false">IF(F258&gt;=Upgrades!$E$7,"",Upgrades!$C$7*POWER(Upgrades!$D$7,F258))</f>
        <v>80.9111547141581</v>
      </c>
      <c r="AI258" s="21" t="n">
        <f aca="false">IF(G258&gt;=Upgrades!$E$8,"",Upgrades!$C$8*POWER(Upgrades!$D$8,G258))</f>
        <v>231.9097088</v>
      </c>
      <c r="AJ258" s="21" t="str">
        <f aca="false">IF(H258&gt;=Upgrades!$E$9,"",Upgrades!$C$9*POWER(Upgrades!$D$9,H258))</f>
        <v/>
      </c>
      <c r="AK258" s="21" t="str">
        <f aca="false">IF(I258&gt;=Upgrades!$E$10,"",Upgrades!$C$10*POWER(Upgrades!$D$10,I258))</f>
        <v/>
      </c>
      <c r="AL258" s="21" t="str">
        <f aca="false">IF(J258&gt;=Upgrades!$E$11,"",Upgrades!$C$11*POWER(Upgrades!$D$11,J258))</f>
        <v/>
      </c>
      <c r="AM258" s="21" t="str">
        <f aca="false">IF(K258&gt;=Upgrades!$E$12,"",Upgrades!$C$12*POWER(Upgrades!$D$12,K258))</f>
        <v/>
      </c>
      <c r="AN258" s="26" t="str">
        <f aca="false">IF(AND(D258&gt;=Parameters!$B$18,(H258&gt;=Upgrades!$E$9)*(K258&gt;=Upgrades!$E$12)=1,L258=0),1,"")</f>
        <v/>
      </c>
      <c r="AO258" s="26" t="str">
        <f aca="false">IF(AND(D258&gt;=Parameters!$B$18,L258=0),1,"")</f>
        <v/>
      </c>
      <c r="AP258" s="21" t="n">
        <f aca="false">MIN(IF(ISNUMBER(AK258),AK258,9000000000000000),IF(ISNUMBER(AL258),AL258,9000000000000000),IF(ISNUMBER(AM258),AM258,9000000000000000))</f>
        <v>9000000000000000</v>
      </c>
      <c r="AQ258" s="21" t="n">
        <f aca="false">MIN(IF(ISNUMBER(AG258),AG258,9000000000000000),IF(ISNUMBER(AH258),AH258,9000000000000000),IF(ISNUMBER(AI258),AI258,9000000000000000),IF(ISNUMBER(AJ258),AJ258,9000000000000000))</f>
        <v>37.4517507383159</v>
      </c>
      <c r="AR258" s="32" t="b">
        <f aca="false">IF(AW258&gt;Parameters!$B$21*(MAX(IF(AND(NOT(AND(AO258=1,AN258&lt;&gt;1)),ISNUMBER(AG258),AG258&lt;=T258),AS258,0),IF(AND(NOT(AND(AO258=1,AN258&lt;&gt;1)),ISNUMBER(AH258),AH258&lt;=T258),AT258,0),IF(AND(NOT(AND(AO258=1,AN258&lt;&gt;1)),ISNUMBER(AI258),AI258&lt;=T258),AU258,0),IF(AND(ISNUMBER(AJ258),AJ258&lt;=T258),AV258,0))),TRUE(),FALSE())</f>
        <v>1</v>
      </c>
      <c r="AS258" s="33" t="n">
        <f aca="false">IFERROR(Upgrades!$H$6*(POWER(Upgrades!$P$6,E258)*POWER(Upgrades!$P$7,F258)*POWER(Upgrades!$P$8,G258)*POWER(Upgrades!$P$9,H258)*POWER(Upgrades!$P$10,I258)*POWER(Upgrades!$P$11,J258)*POWER(Upgrades!$P$12,K258))*(IF(Upgrades!$T$7="Solar Wind",POWER(Upgrades!$U$7,F258),1)*IF(Upgrades!$T$8="Solar Wind",POWER(Upgrades!$U$8,G258),1)*IF(Upgrades!$T$9="Solar Wind",POWER(Upgrades!$U$9,H258),1)*IF(Upgrades!$T$10="Solar Wind",POWER(Upgrades!$U$10,I258),1)*IF(Upgrades!$T$11="Solar Wind",POWER(Upgrades!$U$11,J258),1)*IF(Upgrades!$T$12="Solar Wind",POWER(Upgrades!$U$12,K258),1))/AG258,0)</f>
        <v>0.0026701021455238</v>
      </c>
      <c r="AT258" s="33" t="n">
        <f aca="false">IFERROR(Upgrades!$H$7*(POWER(Upgrades!$P$6,E258)*POWER(Upgrades!$P$7,F258)*POWER(Upgrades!$P$8,G258)*POWER(Upgrades!$P$9,H258)*POWER(Upgrades!$P$10,I258)*POWER(Upgrades!$P$11,J258)*POWER(Upgrades!$P$12,K258))*(IF(Upgrades!$T$6="Asteroid Belt",POWER(Upgrades!$U$6,E258),1)*IF(Upgrades!$T$8="Asteroid Belt",POWER(Upgrades!$U$8,G258),1)*IF(Upgrades!$T$9="Asteroid Belt",POWER(Upgrades!$U$9,H258),1)*IF(Upgrades!$T$10="Asteroid Belt",POWER(Upgrades!$U$10,I258),1)*IF(Upgrades!$T$11="Asteroid Belt",POWER(Upgrades!$U$11,J258),1)*IF(Upgrades!$T$12="Asteroid Belt",POWER(Upgrades!$U$12,K258),1))/AH258,0)</f>
        <v>0.00308980882652332</v>
      </c>
      <c r="AU258" s="33" t="n">
        <f aca="false">IFERROR(Upgrades!$K$8*(POWER(Upgrades!$Q$6,E258)*POWER(Upgrades!$Q$7,F258)*POWER(Upgrades!$Q$8,G258)*POWER(Upgrades!$Q$9,H258)*POWER(Upgrades!$Q$10,I258)*POWER(Upgrades!$Q$11,J258)*POWER(Upgrades!$Q$12,K258))*(IF(Upgrades!$T$6="Stellar Coupling",POWER(Upgrades!$U$6,E258),1)*IF(Upgrades!$T$7="Stellar Coupling",POWER(Upgrades!$U$7,F258),1)*IF(Upgrades!$T$9="Stellar Coupling",POWER(Upgrades!$U$9,H258),1)*IF(Upgrades!$T$10="Stellar Coupling",POWER(Upgrades!$U$10,I258),1)*IF(Upgrades!$T$11="Stellar Coupling",POWER(Upgrades!$U$11,J258),1)*IF(Upgrades!$T$12="Stellar Coupling",POWER(Upgrades!$U$12,K258),1))*Parameters!$B$10*Parameters!$B$11/60/AI258,0)</f>
        <v>0.00452762415783776</v>
      </c>
      <c r="AV258" s="33" t="n">
        <f aca="false">IFERROR(Upgrades!$H$9*(POWER(Upgrades!$P$6,E258)*POWER(Upgrades!$P$7,F258)*POWER(Upgrades!$P$8,G258)*POWER(Upgrades!$P$9,H258)*POWER(Upgrades!$P$10,I258)*POWER(Upgrades!$P$11,J258)*POWER(Upgrades!$P$12,K258))*(IF(Upgrades!$T$6="Magnetosphere",POWER(Upgrades!$U$6,E258),1)*IF(Upgrades!$T$7="Magnetosphere",POWER(Upgrades!$U$7,F258),1)*IF(Upgrades!$T$8="Magnetosphere",POWER(Upgrades!$U$8,G258),1)*IF(Upgrades!$T$10="Magnetosphere",POWER(Upgrades!$U$10,I258),1)*IF(Upgrades!$T$11="Magnetosphere",POWER(Upgrades!$U$11,J258),1)*IF(Upgrades!$T$12="Magnetosphere",POWER(Upgrades!$U$12,K258),1))/AJ258,0)</f>
        <v>0</v>
      </c>
      <c r="AW258" s="33" t="n">
        <f aca="false">MAX(IF(I258&gt;0,0,IFERROR(0.25*N258/Upgrades!$C$10,0)),IF(J258&gt;0,0,IFERROR(0.5*((IF(G258=0,0,(Upgrades!$J$8+G258*Upgrades!$K$8)*POWER(Upgrades!$L$8,G258)))*(IF(Upgrades!$T$6="Stellar Coupling",POWER(Upgrades!$U$6,E258),1)*IF(Upgrades!$T$7="Stellar Coupling",POWER(Upgrades!$U$7,F258),1)*IF(Upgrades!$T$9="Stellar Coupling",POWER(Upgrades!$U$9,H258),1)*IF(Upgrades!$T$10="Stellar Coupling",POWER(Upgrades!$U$10,I258),1)*IF(Upgrades!$T$11="Stellar Coupling",POWER(Upgrades!$U$11,J258),1)*IF(Upgrades!$T$12="Stellar Coupling",POWER(Upgrades!$U$12,K258),1))*(POWER(Upgrades!$Q$6,E258)*POWER(Upgrades!$Q$7,F258)*POWER(Upgrades!$Q$8,G258)*POWER(Upgrades!$Q$9,H258)*POWER(Upgrades!$Q$10,I258)*POWER(Upgrades!$Q$11,J258)*POWER(Upgrades!$Q$12,K258))*Parameters!$B$10*Parameters!$B$11/60)/Upgrades!$C$11,0)),IF(K258&gt;0,0,IFERROR((1*(POWER(Upgrades!$P$6,E258)*POWER(Upgrades!$P$7,F258)*POWER(Upgrades!$P$8,G258)*POWER(Upgrades!$P$9,H258)*POWER(Upgrades!$P$10,I258)*POWER(Upgrades!$P$11,J258)*POWER(Upgrades!$P$12,K258))+0.2*M258*Parameters!$B$10*Parameters!$B$11/60)/Upgrades!$C$12,0)),IF(AND(ISNUMBER(AG258),AG258&gt;T258),AS258,0),IF(AND(ISNUMBER(AH258),AH258&gt;T258),AT258,0),IF(AND(ISNUMBER(AI258),AI258&gt;T258),AU258,0),IF(AND(ISNUMBER(AJ258),AJ258&gt;T258),AV258,0))</f>
        <v>0.00452762415783776</v>
      </c>
      <c r="AX258" s="29" t="str">
        <f aca="false">IF(AN258=1,"transition",IF(MIN(IF(AND(I258=0,ISNUMBER(AK258),AK258&lt;=T258),AK258,9000000000000000),IF(AND(J258=0,ISNUMBER(AL258),AL258&lt;=T258),AL258,9000000000000000),IF(AND(K258=0,ISNUMBER(AM258),AM258&lt;=T258),AM258,9000000000000000))&lt;9000000000000000,IF(AND(AND(I258=0,ISNUMBER(AK258),AK258&lt;=T258),AK258=MIN(IF(AND(I258=0,ISNUMBER(AK258),AK258&lt;=T258),AK258,9000000000000000),IF(AND(J258=0,ISNUMBER(AL258),AL258&lt;=T258),AL258,9000000000000000),IF(AND(K258=0,ISNUMBER(AM258),AM258&lt;=T258),AM258,9000000000000000))),"OR",IF(AND(AND(J258=0,ISNUMBER(AL258),AL258&lt;=T258),AL258=MIN(IF(AND(I258=0,ISNUMBER(AK258),AK258&lt;=T258),AK258,9000000000000000),IF(AND(J258=0,ISNUMBER(AL258),AL258&lt;=T258),AL258,9000000000000000),IF(AND(K258=0,ISNUMBER(AM258),AM258&lt;=T258),AM258,9000000000000000))),"HP","FP")),IF(AR258=TRUE(),"",IF(MAX(IF(AND(NOT(AND(AO258=1,AN258&lt;&gt;1)),ISNUMBER(AG258),AG258&lt;=T258),AS258,0),IF(AND(NOT(AND(AO258=1,AN258&lt;&gt;1)),ISNUMBER(AH258),AH258&lt;=T258),AT258,0),IF(AND(NOT(AND(AO258=1,AN258&lt;&gt;1)),ISNUMBER(AI258),AI258&lt;=T258),AU258,0),IF(AND(ISNUMBER(AJ258),AJ258&lt;=T258),AV258,0))&lt;=0,"",IF(AND(IF(AND(NOT(AND(AO258=1,AN258&lt;&gt;1)),ISNUMBER(AG258),AG258&lt;=T258),AS258,0)&gt;0,IF(AND(NOT(AND(AO258=1,AN258&lt;&gt;1)),ISNUMBER(AG258),AG258&lt;=T258),AS258,0)=MAX(IF(AND(NOT(AND(AO258=1,AN258&lt;&gt;1)),ISNUMBER(AG258),AG258&lt;=T258),AS258,0),IF(AND(NOT(AND(AO258=1,AN258&lt;&gt;1)),ISNUMBER(AH258),AH258&lt;=T258),AT258,0),IF(AND(NOT(AND(AO258=1,AN258&lt;&gt;1)),ISNUMBER(AI258),AI258&lt;=T258),AU258,0),IF(AND(ISNUMBER(AJ258),AJ258&lt;=T258),AV258,0))),"SW",IF(AND(IF(AND(NOT(AND(AO258=1,AN258&lt;&gt;1)),ISNUMBER(AH258),AH258&lt;=T258),AT258,0)&gt;0,IF(AND(NOT(AND(AO258=1,AN258&lt;&gt;1)),ISNUMBER(AH258),AH258&lt;=T258),AT258,0)=MAX(IF(AND(NOT(AND(AO258=1,AN258&lt;&gt;1)),ISNUMBER(AG258),AG258&lt;=T258),AS258,0),IF(AND(NOT(AND(AO258=1,AN258&lt;&gt;1)),ISNUMBER(AH258),AH258&lt;=T258),AT258,0),IF(AND(NOT(AND(AO258=1,AN258&lt;&gt;1)),ISNUMBER(AI258),AI258&lt;=T258),AU258,0),IF(AND(ISNUMBER(AJ258),AJ258&lt;=T258),AV258,0))),"AB",IF(AND(IF(AND(NOT(AND(AO258=1,AN258&lt;&gt;1)),ISNUMBER(AI258),AI258&lt;=T258),AU258,0)&gt;0,IF(AND(NOT(AND(AO258=1,AN258&lt;&gt;1)),ISNUMBER(AI258),AI258&lt;=T258),AU258,0)=MAX(IF(AND(NOT(AND(AO258=1,AN258&lt;&gt;1)),ISNUMBER(AG258),AG258&lt;=T258),AS258,0),IF(AND(NOT(AND(AO258=1,AN258&lt;&gt;1)),ISNUMBER(AH258),AH258&lt;=T258),AT258,0),IF(AND(NOT(AND(AO258=1,AN258&lt;&gt;1)),ISNUMBER(AI258),AI258&lt;=T258),AU258,0),IF(AND(ISNUMBER(AJ258),AJ258&lt;=T258),AV258,0))),"SC","Mag")))))))</f>
        <v/>
      </c>
    </row>
    <row r="259" customFormat="false" ht="15" hidden="false" customHeight="false" outlineLevel="0" collapsed="false">
      <c r="A259" s="26" t="n">
        <v>254</v>
      </c>
      <c r="B259" s="27" t="n">
        <f aca="false">A259*10/60</f>
        <v>42.3333333333333</v>
      </c>
      <c r="C259" s="21" t="n">
        <f aca="false">X258</f>
        <v>18.6730249835055</v>
      </c>
      <c r="D259" s="27" t="n">
        <f aca="false">D258+W258</f>
        <v>0</v>
      </c>
      <c r="E259" s="26" t="n">
        <f aca="false">E258+IF(U258="SW",1,0)</f>
        <v>12</v>
      </c>
      <c r="F259" s="26" t="n">
        <f aca="false">F258+IF(U258="AB",1,0)</f>
        <v>10</v>
      </c>
      <c r="G259" s="26" t="n">
        <f aca="false">G258+IF(U258="SC",1,0)</f>
        <v>7</v>
      </c>
      <c r="H259" s="26" t="n">
        <f aca="false">H258+IF(U258="Mag",1,0)</f>
        <v>5</v>
      </c>
      <c r="I259" s="26" t="n">
        <f aca="false">MAX(I258,IF(U258="OR",1,0))</f>
        <v>1</v>
      </c>
      <c r="J259" s="26" t="n">
        <f aca="false">MAX(J258,IF(U258="HP",1,0))</f>
        <v>1</v>
      </c>
      <c r="K259" s="26" t="n">
        <f aca="false">MAX(K258,IF(U258="FP",1,0))</f>
        <v>1</v>
      </c>
      <c r="L259" s="26" t="n">
        <f aca="false">MAX(L258,IF(U258="transition",1,0))</f>
        <v>1</v>
      </c>
      <c r="M259" s="28" t="n">
        <f aca="false">(Parameters!$B$9+(IF(E259=0,0,(Upgrades!$J$6+E259*Upgrades!$K$6)*POWER(Upgrades!$L$6,E259)))*(IF(Upgrades!$T$7="Solar Wind",POWER(Upgrades!$U$7,F259),1)*IF(Upgrades!$T$8="Solar Wind",POWER(Upgrades!$U$8,G259),1)*IF(Upgrades!$T$9="Solar Wind",POWER(Upgrades!$U$9,H259),1)*IF(Upgrades!$T$10="Solar Wind",POWER(Upgrades!$U$10,I259),1)*IF(Upgrades!$T$11="Solar Wind",POWER(Upgrades!$U$11,J259),1)*IF(Upgrades!$T$12="Solar Wind",POWER(Upgrades!$U$12,K259),1))+(IF(F259=0,0,(Upgrades!$J$7+F259*Upgrades!$K$7)*POWER(Upgrades!$L$7,F259)))*(IF(Upgrades!$T$6="Asteroid Belt",POWER(Upgrades!$U$6,E259),1)*IF(Upgrades!$T$8="Asteroid Belt",POWER(Upgrades!$U$8,G259),1)*IF(Upgrades!$T$9="Asteroid Belt",POWER(Upgrades!$U$9,H259),1)*IF(Upgrades!$T$10="Asteroid Belt",POWER(Upgrades!$U$10,I259),1)*IF(Upgrades!$T$11="Asteroid Belt",POWER(Upgrades!$U$11,J259),1)*IF(Upgrades!$T$12="Asteroid Belt",POWER(Upgrades!$U$12,K259),1))+(IF(G259=0,0,(Upgrades!$J$8+G259*Upgrades!$K$8)*POWER(Upgrades!$L$8,G259)))*(IF(Upgrades!$T$6="Stellar Coupling",POWER(Upgrades!$U$6,E259),1)*IF(Upgrades!$T$7="Stellar Coupling",POWER(Upgrades!$U$7,F259),1)*IF(Upgrades!$T$9="Stellar Coupling",POWER(Upgrades!$U$9,H259),1)*IF(Upgrades!$T$10="Stellar Coupling",POWER(Upgrades!$U$10,I259),1)*IF(Upgrades!$T$11="Stellar Coupling",POWER(Upgrades!$U$11,J259),1)*IF(Upgrades!$T$12="Stellar Coupling",POWER(Upgrades!$U$12,K259),1))+(IF(H259=0,0,(Upgrades!$J$9+H259*Upgrades!$K$9)*POWER(Upgrades!$L$9,H259)))*(IF(Upgrades!$T$6="Magnetosphere",POWER(Upgrades!$U$6,E259),1)*IF(Upgrades!$T$7="Magnetosphere",POWER(Upgrades!$U$7,F259),1)*IF(Upgrades!$T$8="Magnetosphere",POWER(Upgrades!$U$8,G259),1)*IF(Upgrades!$T$10="Magnetosphere",POWER(Upgrades!$U$10,I259),1)*IF(Upgrades!$T$11="Magnetosphere",POWER(Upgrades!$U$11,J259),1)*IF(Upgrades!$T$12="Magnetosphere",POWER(Upgrades!$U$12,K259),1))+(IF(I259=0,0,(Upgrades!$J$10+I259*Upgrades!$K$10)*POWER(Upgrades!$L$10,I259)))*(IF(Upgrades!$T$6="Orbital Resonance",POWER(Upgrades!$U$6,E259),1)*IF(Upgrades!$T$7="Orbital Resonance",POWER(Upgrades!$U$7,F259),1)*IF(Upgrades!$T$8="Orbital Resonance",POWER(Upgrades!$U$8,G259),1)*IF(Upgrades!$T$9="Orbital Resonance",POWER(Upgrades!$U$9,H259),1)*IF(Upgrades!$T$11="Orbital Resonance",POWER(Upgrades!$U$11,J259),1)*IF(Upgrades!$T$12="Orbital Resonance",POWER(Upgrades!$U$12,K259),1))+(IF(J259=0,0,(Upgrades!$J$11+J259*Upgrades!$K$11)*POWER(Upgrades!$L$11,J259)))*(IF(Upgrades!$T$6="Heliopause",POWER(Upgrades!$U$6,E259),1)*IF(Upgrades!$T$7="Heliopause",POWER(Upgrades!$U$7,F259),1)*IF(Upgrades!$T$8="Heliopause",POWER(Upgrades!$U$8,G259),1)*IF(Upgrades!$T$9="Heliopause",POWER(Upgrades!$U$9,H259),1)*IF(Upgrades!$T$10="Heliopause",POWER(Upgrades!$U$10,I259),1)*IF(Upgrades!$T$12="Heliopause",POWER(Upgrades!$U$12,K259),1))+(IF(K259=0,0,(Upgrades!$J$12+K259*Upgrades!$K$12)*POWER(Upgrades!$L$12,K259)))*(IF(Upgrades!$T$6="First Photons",POWER(Upgrades!$U$6,E259),1)*IF(Upgrades!$T$7="First Photons",POWER(Upgrades!$U$7,F259),1)*IF(Upgrades!$T$8="First Photons",POWER(Upgrades!$U$8,G259),1)*IF(Upgrades!$T$9="First Photons",POWER(Upgrades!$U$9,H259),1)*IF(Upgrades!$T$10="First Photons",POWER(Upgrades!$U$10,I259),1)*IF(Upgrades!$T$11="First Photons",POWER(Upgrades!$U$11,J259),1)))*POWER(Upgrades!$Q$6,E259)*POWER(Upgrades!$Q$7,F259)*POWER(Upgrades!$Q$8,G259)*POWER(Upgrades!$Q$9,H259)*POWER(Upgrades!$Q$10,I259)*POWER(Upgrades!$Q$11,J259)*POWER(Upgrades!$Q$12,K259)</f>
        <v>5.61</v>
      </c>
      <c r="N259" s="28" t="n">
        <f aca="false">((IF(E259=0,0,(Upgrades!$G$6+E259*Upgrades!$H$6)*POWER(Upgrades!$I$6,E259)))*(IF(Upgrades!$T$7="Solar Wind",POWER(Upgrades!$U$7,F259),1)*IF(Upgrades!$T$8="Solar Wind",POWER(Upgrades!$U$8,G259),1)*IF(Upgrades!$T$9="Solar Wind",POWER(Upgrades!$U$9,H259),1)*IF(Upgrades!$T$10="Solar Wind",POWER(Upgrades!$U$10,I259),1)*IF(Upgrades!$T$11="Solar Wind",POWER(Upgrades!$U$11,J259),1)*IF(Upgrades!$T$12="Solar Wind",POWER(Upgrades!$U$12,K259),1))+(IF(F259=0,0,(Upgrades!$G$7+F259*Upgrades!$H$7)*POWER(Upgrades!$I$7,F259)))*(IF(Upgrades!$T$6="Asteroid Belt",POWER(Upgrades!$U$6,E259),1)*IF(Upgrades!$T$8="Asteroid Belt",POWER(Upgrades!$U$8,G259),1)*IF(Upgrades!$T$9="Asteroid Belt",POWER(Upgrades!$U$9,H259),1)*IF(Upgrades!$T$10="Asteroid Belt",POWER(Upgrades!$U$10,I259),1)*IF(Upgrades!$T$11="Asteroid Belt",POWER(Upgrades!$U$11,J259),1)*IF(Upgrades!$T$12="Asteroid Belt",POWER(Upgrades!$U$12,K259),1))+(IF(G259=0,0,(Upgrades!$G$8+G259*Upgrades!$H$8)*POWER(Upgrades!$I$8,G259)))*(IF(Upgrades!$T$6="Stellar Coupling",POWER(Upgrades!$U$6,E259),1)*IF(Upgrades!$T$7="Stellar Coupling",POWER(Upgrades!$U$7,F259),1)*IF(Upgrades!$T$9="Stellar Coupling",POWER(Upgrades!$U$9,H259),1)*IF(Upgrades!$T$10="Stellar Coupling",POWER(Upgrades!$U$10,I259),1)*IF(Upgrades!$T$11="Stellar Coupling",POWER(Upgrades!$U$11,J259),1)*IF(Upgrades!$T$12="Stellar Coupling",POWER(Upgrades!$U$12,K259),1))+(IF(H259=0,0,(Upgrades!$G$9+H259*Upgrades!$H$9)*POWER(Upgrades!$I$9,H259)))*(IF(Upgrades!$T$6="Magnetosphere",POWER(Upgrades!$U$6,E259),1)*IF(Upgrades!$T$7="Magnetosphere",POWER(Upgrades!$U$7,F259),1)*IF(Upgrades!$T$8="Magnetosphere",POWER(Upgrades!$U$8,G259),1)*IF(Upgrades!$T$10="Magnetosphere",POWER(Upgrades!$U$10,I259),1)*IF(Upgrades!$T$11="Magnetosphere",POWER(Upgrades!$U$11,J259),1)*IF(Upgrades!$T$12="Magnetosphere",POWER(Upgrades!$U$12,K259),1))+(IF(I259=0,0,(Upgrades!$G$10+I259*Upgrades!$H$10)*POWER(Upgrades!$I$10,I259)))*(IF(Upgrades!$T$6="Orbital Resonance",POWER(Upgrades!$U$6,E259),1)*IF(Upgrades!$T$7="Orbital Resonance",POWER(Upgrades!$U$7,F259),1)*IF(Upgrades!$T$8="Orbital Resonance",POWER(Upgrades!$U$8,G259),1)*IF(Upgrades!$T$9="Orbital Resonance",POWER(Upgrades!$U$9,H259),1)*IF(Upgrades!$T$11="Orbital Resonance",POWER(Upgrades!$U$11,J259),1)*IF(Upgrades!$T$12="Orbital Resonance",POWER(Upgrades!$U$12,K259),1))+(IF(J259=0,0,(Upgrades!$G$11+J259*Upgrades!$H$11)*POWER(Upgrades!$I$11,J259)))*(IF(Upgrades!$T$6="Heliopause",POWER(Upgrades!$U$6,E259),1)*IF(Upgrades!$T$7="Heliopause",POWER(Upgrades!$U$7,F259),1)*IF(Upgrades!$T$8="Heliopause",POWER(Upgrades!$U$8,G259),1)*IF(Upgrades!$T$9="Heliopause",POWER(Upgrades!$U$9,H259),1)*IF(Upgrades!$T$10="Heliopause",POWER(Upgrades!$U$10,I259),1)*IF(Upgrades!$T$12="Heliopause",POWER(Upgrades!$U$12,K259),1))+(IF(K259=0,0,(Upgrades!$G$12+K259*Upgrades!$H$12)*POWER(Upgrades!$I$12,K259)))*(IF(Upgrades!$T$6="First Photons",POWER(Upgrades!$U$6,E259),1)*IF(Upgrades!$T$7="First Photons",POWER(Upgrades!$U$7,F259),1)*IF(Upgrades!$T$8="First Photons",POWER(Upgrades!$U$8,G259),1)*IF(Upgrades!$T$9="First Photons",POWER(Upgrades!$U$9,H259),1)*IF(Upgrades!$T$10="First Photons",POWER(Upgrades!$U$10,I259),1)*IF(Upgrades!$T$11="First Photons",POWER(Upgrades!$U$11,J259),1)))*POWER(Upgrades!$P$6,E259)*POWER(Upgrades!$P$7,F259)*POWER(Upgrades!$P$8,G259)*POWER(Upgrades!$P$9,H259)*POWER(Upgrades!$P$10,I259)*POWER(Upgrades!$P$11,J259)*POWER(Upgrades!$P$12,K259)</f>
        <v>11.2</v>
      </c>
      <c r="O259" s="28" t="n">
        <f aca="false">((IF(E259=0,0,(Upgrades!$M$6+E259*Upgrades!$N$6)*POWER(Upgrades!$O$6,E259)))*(IF(Upgrades!$T$7="Solar Wind",POWER(Upgrades!$U$7,F259),1)*IF(Upgrades!$T$8="Solar Wind",POWER(Upgrades!$U$8,G259),1)*IF(Upgrades!$T$9="Solar Wind",POWER(Upgrades!$U$9,H259),1)*IF(Upgrades!$T$10="Solar Wind",POWER(Upgrades!$U$10,I259),1)*IF(Upgrades!$T$11="Solar Wind",POWER(Upgrades!$U$11,J259),1)*IF(Upgrades!$T$12="Solar Wind",POWER(Upgrades!$U$12,K259),1))+(IF(F259=0,0,(Upgrades!$M$7+F259*Upgrades!$N$7)*POWER(Upgrades!$O$7,F259)))*(IF(Upgrades!$T$6="Asteroid Belt",POWER(Upgrades!$U$6,E259),1)*IF(Upgrades!$T$8="Asteroid Belt",POWER(Upgrades!$U$8,G259),1)*IF(Upgrades!$T$9="Asteroid Belt",POWER(Upgrades!$U$9,H259),1)*IF(Upgrades!$T$10="Asteroid Belt",POWER(Upgrades!$U$10,I259),1)*IF(Upgrades!$T$11="Asteroid Belt",POWER(Upgrades!$U$11,J259),1)*IF(Upgrades!$T$12="Asteroid Belt",POWER(Upgrades!$U$12,K259),1))+(IF(G259=0,0,(Upgrades!$M$8+G259*Upgrades!$N$8)*POWER(Upgrades!$O$8,G259)))*(IF(Upgrades!$T$6="Stellar Coupling",POWER(Upgrades!$U$6,E259),1)*IF(Upgrades!$T$7="Stellar Coupling",POWER(Upgrades!$U$7,F259),1)*IF(Upgrades!$T$9="Stellar Coupling",POWER(Upgrades!$U$9,H259),1)*IF(Upgrades!$T$10="Stellar Coupling",POWER(Upgrades!$U$10,I259),1)*IF(Upgrades!$T$11="Stellar Coupling",POWER(Upgrades!$U$11,J259),1)*IF(Upgrades!$T$12="Stellar Coupling",POWER(Upgrades!$U$12,K259),1))+(IF(H259=0,0,(Upgrades!$M$9+H259*Upgrades!$N$9)*POWER(Upgrades!$O$9,H259)))*(IF(Upgrades!$T$6="Magnetosphere",POWER(Upgrades!$U$6,E259),1)*IF(Upgrades!$T$7="Magnetosphere",POWER(Upgrades!$U$7,F259),1)*IF(Upgrades!$T$8="Magnetosphere",POWER(Upgrades!$U$8,G259),1)*IF(Upgrades!$T$10="Magnetosphere",POWER(Upgrades!$U$10,I259),1)*IF(Upgrades!$T$11="Magnetosphere",POWER(Upgrades!$U$11,J259),1)*IF(Upgrades!$T$12="Magnetosphere",POWER(Upgrades!$U$12,K259),1))+(IF(I259=0,0,(Upgrades!$M$10+I259*Upgrades!$N$10)*POWER(Upgrades!$O$10,I259)))*(IF(Upgrades!$T$6="Orbital Resonance",POWER(Upgrades!$U$6,E259),1)*IF(Upgrades!$T$7="Orbital Resonance",POWER(Upgrades!$U$7,F259),1)*IF(Upgrades!$T$8="Orbital Resonance",POWER(Upgrades!$U$8,G259),1)*IF(Upgrades!$T$9="Orbital Resonance",POWER(Upgrades!$U$9,H259),1)*IF(Upgrades!$T$11="Orbital Resonance",POWER(Upgrades!$U$11,J259),1)*IF(Upgrades!$T$12="Orbital Resonance",POWER(Upgrades!$U$12,K259),1))+(IF(J259=0,0,(Upgrades!$M$11+J259*Upgrades!$N$11)*POWER(Upgrades!$O$11,J259)))*(IF(Upgrades!$T$6="Heliopause",POWER(Upgrades!$U$6,E259),1)*IF(Upgrades!$T$7="Heliopause",POWER(Upgrades!$U$7,F259),1)*IF(Upgrades!$T$8="Heliopause",POWER(Upgrades!$U$8,G259),1)*IF(Upgrades!$T$9="Heliopause",POWER(Upgrades!$U$9,H259),1)*IF(Upgrades!$T$10="Heliopause",POWER(Upgrades!$U$10,I259),1)*IF(Upgrades!$T$12="Heliopause",POWER(Upgrades!$U$12,K259),1))+(IF(K259=0,0,(Upgrades!$M$12+K259*Upgrades!$N$12)*POWER(Upgrades!$O$12,K259)))*(IF(Upgrades!$T$6="First Photons",POWER(Upgrades!$U$6,E259),1)*IF(Upgrades!$T$7="First Photons",POWER(Upgrades!$U$7,F259),1)*IF(Upgrades!$T$8="First Photons",POWER(Upgrades!$U$8,G259),1)*IF(Upgrades!$T$9="First Photons",POWER(Upgrades!$U$9,H259),1)*IF(Upgrades!$T$10="First Photons",POWER(Upgrades!$U$10,I259),1)*IF(Upgrades!$T$11="First Photons",POWER(Upgrades!$U$11,J259),1)))*POWER(Upgrades!$R$6,E259)*POWER(Upgrades!$R$7,F259)*POWER(Upgrades!$R$8,G259)*POWER(Upgrades!$R$9,H259)*POWER(Upgrades!$R$10,I259)*POWER(Upgrades!$R$11,J259)*POWER(Upgrades!$R$12,K259)</f>
        <v>0</v>
      </c>
      <c r="P259" s="27" t="n">
        <f aca="false">IF(L259=1,0,M259*Parameters!$B$10/60*Parameters!$B$11*10)</f>
        <v>0</v>
      </c>
      <c r="Q259" s="27" t="n">
        <f aca="false">IF(L259=1,0,O259*M259*10)</f>
        <v>0</v>
      </c>
      <c r="R259" s="27" t="n">
        <f aca="false">IF(L259=1,0,N259*10)</f>
        <v>0</v>
      </c>
      <c r="S259" s="27" t="n">
        <f aca="false">P259+Q259+R259</f>
        <v>0</v>
      </c>
      <c r="T259" s="21" t="n">
        <f aca="false">C259+S259</f>
        <v>18.6730249835055</v>
      </c>
      <c r="U259" s="34" t="str">
        <f aca="false">AX259</f>
        <v/>
      </c>
      <c r="V259" s="21" t="n">
        <f aca="false">IF(U259="",0,IF(U259="transition",0,IF(U259="SW",AG259,IF(U259="AB",AH259,IF(U259="SC",AI259,IF(U259="Mag",AJ259,IF(U259="OR",AK259,IF(U259="HP",AL259,IF(U259="FP",AM259,0)))))))))</f>
        <v>0</v>
      </c>
      <c r="W259" s="27" t="n">
        <f aca="false">IF(U259="OR",Upgrades!$F$10,IF(U259="HP",Upgrades!$F$11,IF(U259="transition",-Parameters!$B$18,0)))</f>
        <v>0</v>
      </c>
      <c r="X259" s="21" t="n">
        <f aca="false">T259-V259</f>
        <v>18.6730249835055</v>
      </c>
      <c r="Y259" s="30" t="n">
        <f aca="false">M259*Parameters!$B$10/60*Parameters!$B$11+O259*M259+N259</f>
        <v>20.55</v>
      </c>
      <c r="Z259" s="35" t="str">
        <f aca="false">IF(U259="transition","→ Tier 2 (Stellar Neighborhood)",IF(U259="FP","First Photons — light begins, system quickens",IF(U259="HP","Heliopause acquired",IF(U259="OR","Orbital Resonance — passive multiplier active",IF(AND(AO259=1,L259=0,AN259&lt;&gt;1),"Cohesion ready (waiting on completionist upgrades)","")))))</f>
        <v/>
      </c>
      <c r="AA259" s="27" t="n">
        <f aca="false">(IF(E259=0,0,(Upgrades!$G$6+E259*Upgrades!$H$6)*POWER(Upgrades!$I$6,E259)))*(IF(Upgrades!$T$7="Solar Wind",POWER(Upgrades!$U$7,F259),1)*IF(Upgrades!$T$8="Solar Wind",POWER(Upgrades!$U$8,G259),1)*IF(Upgrades!$T$9="Solar Wind",POWER(Upgrades!$U$9,H259),1)*IF(Upgrades!$T$10="Solar Wind",POWER(Upgrades!$U$10,I259),1)*IF(Upgrades!$T$11="Solar Wind",POWER(Upgrades!$U$11,J259),1)*IF(Upgrades!$T$12="Solar Wind",POWER(Upgrades!$U$12,K259),1))*POWER(Upgrades!$P$6,E259)*POWER(Upgrades!$P$7,F259)*POWER(Upgrades!$P$8,G259)*POWER(Upgrades!$P$9,H259)*POWER(Upgrades!$P$10,I259)*POWER(Upgrades!$P$11,J259)*POWER(Upgrades!$P$12,K259)*60</f>
        <v>72</v>
      </c>
      <c r="AB259" s="27" t="n">
        <f aca="false">(IF(F259=0,0,(Upgrades!$G$7+F259*Upgrades!$H$7)*POWER(Upgrades!$I$7,F259)))*(IF(Upgrades!$T$6="Asteroid Belt",POWER(Upgrades!$U$6,E259),1)*IF(Upgrades!$T$8="Asteroid Belt",POWER(Upgrades!$U$8,G259),1)*IF(Upgrades!$T$9="Asteroid Belt",POWER(Upgrades!$U$9,H259),1)*IF(Upgrades!$T$10="Asteroid Belt",POWER(Upgrades!$U$10,I259),1)*IF(Upgrades!$T$11="Asteroid Belt",POWER(Upgrades!$U$11,J259),1)*IF(Upgrades!$T$12="Asteroid Belt",POWER(Upgrades!$U$12,K259),1))*POWER(Upgrades!$P$6,E259)*POWER(Upgrades!$P$7,F259)*POWER(Upgrades!$P$8,G259)*POWER(Upgrades!$P$9,H259)*POWER(Upgrades!$P$10,I259)*POWER(Upgrades!$P$11,J259)*POWER(Upgrades!$P$12,K259)*60</f>
        <v>150</v>
      </c>
      <c r="AC259" s="27" t="n">
        <f aca="false">(IF(G259=0,0,(Upgrades!$J$8+G259*Upgrades!$K$8)*POWER(Upgrades!$L$8,G259)))*(IF(Upgrades!$T$6="Stellar Coupling",POWER(Upgrades!$U$6,E259),1)*IF(Upgrades!$T$7="Stellar Coupling",POWER(Upgrades!$U$7,F259),1)*IF(Upgrades!$T$9="Stellar Coupling",POWER(Upgrades!$U$9,H259),1)*IF(Upgrades!$T$10="Stellar Coupling",POWER(Upgrades!$U$10,I259),1)*IF(Upgrades!$T$11="Stellar Coupling",POWER(Upgrades!$U$11,J259),1)*IF(Upgrades!$T$12="Stellar Coupling",POWER(Upgrades!$U$12,K259),1))*POWER(Upgrades!$Q$6,E259)*POWER(Upgrades!$Q$7,F259)*POWER(Upgrades!$Q$8,G259)*POWER(Upgrades!$Q$9,H259)*POWER(Upgrades!$Q$10,I259)*POWER(Upgrades!$Q$11,J259)*POWER(Upgrades!$Q$12,K259)*Parameters!$B$10*Parameters!$B$11</f>
        <v>441</v>
      </c>
      <c r="AD259" s="27" t="n">
        <f aca="false">(IF(H259=0,0,(Upgrades!$G$9+H259*Upgrades!$H$9)*POWER(Upgrades!$I$9,H259)))*(IF(Upgrades!$T$6="Magnetosphere",POWER(Upgrades!$U$6,E259),1)*IF(Upgrades!$T$7="Magnetosphere",POWER(Upgrades!$U$7,F259),1)*IF(Upgrades!$T$8="Magnetosphere",POWER(Upgrades!$U$8,G259),1)*IF(Upgrades!$T$10="Magnetosphere",POWER(Upgrades!$U$10,I259),1)*IF(Upgrades!$T$11="Magnetosphere",POWER(Upgrades!$U$11,J259),1)*IF(Upgrades!$T$12="Magnetosphere",POWER(Upgrades!$U$12,K259),1))*POWER(Upgrades!$P$6,E259)*POWER(Upgrades!$P$7,F259)*POWER(Upgrades!$P$8,G259)*POWER(Upgrades!$P$9,H259)*POWER(Upgrades!$P$10,I259)*POWER(Upgrades!$P$11,J259)*POWER(Upgrades!$P$12,K259)*60</f>
        <v>375</v>
      </c>
      <c r="AE259" s="27" t="n">
        <f aca="false">(IF(K259=0,0,(Upgrades!$G$12+K259*Upgrades!$H$12)*POWER(Upgrades!$I$12,K259)))*(IF(Upgrades!$T$6="First Photons",POWER(Upgrades!$U$6,E259),1)*IF(Upgrades!$T$7="First Photons",POWER(Upgrades!$U$7,F259),1)*IF(Upgrades!$T$8="First Photons",POWER(Upgrades!$U$8,G259),1)*IF(Upgrades!$T$9="First Photons",POWER(Upgrades!$U$9,H259),1)*IF(Upgrades!$T$10="First Photons",POWER(Upgrades!$U$10,I259),1)*IF(Upgrades!$T$11="First Photons",POWER(Upgrades!$U$11,J259),1))*POWER(Upgrades!$P$6,E259)*POWER(Upgrades!$P$7,F259)*POWER(Upgrades!$P$8,G259)*POWER(Upgrades!$P$9,H259)*POWER(Upgrades!$P$10,I259)*POWER(Upgrades!$P$11,J259)*POWER(Upgrades!$P$12,K259)*60</f>
        <v>75</v>
      </c>
      <c r="AF259" s="27" t="n">
        <f aca="false">Parameters!$B$9*POWER(Upgrades!$Q$6,E259)*POWER(Upgrades!$Q$7,F259)*POWER(Upgrades!$Q$8,G259)*POWER(Upgrades!$Q$9,H259)*POWER(Upgrades!$Q$10,I259)*POWER(Upgrades!$Q$11,J259)*POWER(Upgrades!$Q$12,K259)*(Parameters!$B$10*Parameters!$B$11+O259*60)</f>
        <v>120</v>
      </c>
      <c r="AG259" s="21" t="n">
        <f aca="false">IF(E259&gt;=Upgrades!$E$6,"",Upgrades!$C$6*POWER(Upgrades!$D$6,E259))</f>
        <v>37.4517507383159</v>
      </c>
      <c r="AH259" s="21" t="n">
        <f aca="false">IF(F259&gt;=Upgrades!$E$7,"",Upgrades!$C$7*POWER(Upgrades!$D$7,F259))</f>
        <v>80.9111547141581</v>
      </c>
      <c r="AI259" s="21" t="n">
        <f aca="false">IF(G259&gt;=Upgrades!$E$8,"",Upgrades!$C$8*POWER(Upgrades!$D$8,G259))</f>
        <v>231.9097088</v>
      </c>
      <c r="AJ259" s="21" t="str">
        <f aca="false">IF(H259&gt;=Upgrades!$E$9,"",Upgrades!$C$9*POWER(Upgrades!$D$9,H259))</f>
        <v/>
      </c>
      <c r="AK259" s="21" t="str">
        <f aca="false">IF(I259&gt;=Upgrades!$E$10,"",Upgrades!$C$10*POWER(Upgrades!$D$10,I259))</f>
        <v/>
      </c>
      <c r="AL259" s="21" t="str">
        <f aca="false">IF(J259&gt;=Upgrades!$E$11,"",Upgrades!$C$11*POWER(Upgrades!$D$11,J259))</f>
        <v/>
      </c>
      <c r="AM259" s="21" t="str">
        <f aca="false">IF(K259&gt;=Upgrades!$E$12,"",Upgrades!$C$12*POWER(Upgrades!$D$12,K259))</f>
        <v/>
      </c>
      <c r="AN259" s="26" t="str">
        <f aca="false">IF(AND(D259&gt;=Parameters!$B$18,(H259&gt;=Upgrades!$E$9)*(K259&gt;=Upgrades!$E$12)=1,L259=0),1,"")</f>
        <v/>
      </c>
      <c r="AO259" s="26" t="str">
        <f aca="false">IF(AND(D259&gt;=Parameters!$B$18,L259=0),1,"")</f>
        <v/>
      </c>
      <c r="AP259" s="21" t="n">
        <f aca="false">MIN(IF(ISNUMBER(AK259),AK259,9000000000000000),IF(ISNUMBER(AL259),AL259,9000000000000000),IF(ISNUMBER(AM259),AM259,9000000000000000))</f>
        <v>9000000000000000</v>
      </c>
      <c r="AQ259" s="21" t="n">
        <f aca="false">MIN(IF(ISNUMBER(AG259),AG259,9000000000000000),IF(ISNUMBER(AH259),AH259,9000000000000000),IF(ISNUMBER(AI259),AI259,9000000000000000),IF(ISNUMBER(AJ259),AJ259,9000000000000000))</f>
        <v>37.4517507383159</v>
      </c>
      <c r="AR259" s="32" t="b">
        <f aca="false">IF(AW259&gt;Parameters!$B$21*(MAX(IF(AND(NOT(AND(AO259=1,AN259&lt;&gt;1)),ISNUMBER(AG259),AG259&lt;=T259),AS259,0),IF(AND(NOT(AND(AO259=1,AN259&lt;&gt;1)),ISNUMBER(AH259),AH259&lt;=T259),AT259,0),IF(AND(NOT(AND(AO259=1,AN259&lt;&gt;1)),ISNUMBER(AI259),AI259&lt;=T259),AU259,0),IF(AND(ISNUMBER(AJ259),AJ259&lt;=T259),AV259,0))),TRUE(),FALSE())</f>
        <v>1</v>
      </c>
      <c r="AS259" s="33" t="n">
        <f aca="false">IFERROR(Upgrades!$H$6*(POWER(Upgrades!$P$6,E259)*POWER(Upgrades!$P$7,F259)*POWER(Upgrades!$P$8,G259)*POWER(Upgrades!$P$9,H259)*POWER(Upgrades!$P$10,I259)*POWER(Upgrades!$P$11,J259)*POWER(Upgrades!$P$12,K259))*(IF(Upgrades!$T$7="Solar Wind",POWER(Upgrades!$U$7,F259),1)*IF(Upgrades!$T$8="Solar Wind",POWER(Upgrades!$U$8,G259),1)*IF(Upgrades!$T$9="Solar Wind",POWER(Upgrades!$U$9,H259),1)*IF(Upgrades!$T$10="Solar Wind",POWER(Upgrades!$U$10,I259),1)*IF(Upgrades!$T$11="Solar Wind",POWER(Upgrades!$U$11,J259),1)*IF(Upgrades!$T$12="Solar Wind",POWER(Upgrades!$U$12,K259),1))/AG259,0)</f>
        <v>0.0026701021455238</v>
      </c>
      <c r="AT259" s="33" t="n">
        <f aca="false">IFERROR(Upgrades!$H$7*(POWER(Upgrades!$P$6,E259)*POWER(Upgrades!$P$7,F259)*POWER(Upgrades!$P$8,G259)*POWER(Upgrades!$P$9,H259)*POWER(Upgrades!$P$10,I259)*POWER(Upgrades!$P$11,J259)*POWER(Upgrades!$P$12,K259))*(IF(Upgrades!$T$6="Asteroid Belt",POWER(Upgrades!$U$6,E259),1)*IF(Upgrades!$T$8="Asteroid Belt",POWER(Upgrades!$U$8,G259),1)*IF(Upgrades!$T$9="Asteroid Belt",POWER(Upgrades!$U$9,H259),1)*IF(Upgrades!$T$10="Asteroid Belt",POWER(Upgrades!$U$10,I259),1)*IF(Upgrades!$T$11="Asteroid Belt",POWER(Upgrades!$U$11,J259),1)*IF(Upgrades!$T$12="Asteroid Belt",POWER(Upgrades!$U$12,K259),1))/AH259,0)</f>
        <v>0.00308980882652332</v>
      </c>
      <c r="AU259" s="33" t="n">
        <f aca="false">IFERROR(Upgrades!$K$8*(POWER(Upgrades!$Q$6,E259)*POWER(Upgrades!$Q$7,F259)*POWER(Upgrades!$Q$8,G259)*POWER(Upgrades!$Q$9,H259)*POWER(Upgrades!$Q$10,I259)*POWER(Upgrades!$Q$11,J259)*POWER(Upgrades!$Q$12,K259))*(IF(Upgrades!$T$6="Stellar Coupling",POWER(Upgrades!$U$6,E259),1)*IF(Upgrades!$T$7="Stellar Coupling",POWER(Upgrades!$U$7,F259),1)*IF(Upgrades!$T$9="Stellar Coupling",POWER(Upgrades!$U$9,H259),1)*IF(Upgrades!$T$10="Stellar Coupling",POWER(Upgrades!$U$10,I259),1)*IF(Upgrades!$T$11="Stellar Coupling",POWER(Upgrades!$U$11,J259),1)*IF(Upgrades!$T$12="Stellar Coupling",POWER(Upgrades!$U$12,K259),1))*Parameters!$B$10*Parameters!$B$11/60/AI259,0)</f>
        <v>0.00452762415783776</v>
      </c>
      <c r="AV259" s="33" t="n">
        <f aca="false">IFERROR(Upgrades!$H$9*(POWER(Upgrades!$P$6,E259)*POWER(Upgrades!$P$7,F259)*POWER(Upgrades!$P$8,G259)*POWER(Upgrades!$P$9,H259)*POWER(Upgrades!$P$10,I259)*POWER(Upgrades!$P$11,J259)*POWER(Upgrades!$P$12,K259))*(IF(Upgrades!$T$6="Magnetosphere",POWER(Upgrades!$U$6,E259),1)*IF(Upgrades!$T$7="Magnetosphere",POWER(Upgrades!$U$7,F259),1)*IF(Upgrades!$T$8="Magnetosphere",POWER(Upgrades!$U$8,G259),1)*IF(Upgrades!$T$10="Magnetosphere",POWER(Upgrades!$U$10,I259),1)*IF(Upgrades!$T$11="Magnetosphere",POWER(Upgrades!$U$11,J259),1)*IF(Upgrades!$T$12="Magnetosphere",POWER(Upgrades!$U$12,K259),1))/AJ259,0)</f>
        <v>0</v>
      </c>
      <c r="AW259" s="33" t="n">
        <f aca="false">MAX(IF(I259&gt;0,0,IFERROR(0.25*N259/Upgrades!$C$10,0)),IF(J259&gt;0,0,IFERROR(0.5*((IF(G259=0,0,(Upgrades!$J$8+G259*Upgrades!$K$8)*POWER(Upgrades!$L$8,G259)))*(IF(Upgrades!$T$6="Stellar Coupling",POWER(Upgrades!$U$6,E259),1)*IF(Upgrades!$T$7="Stellar Coupling",POWER(Upgrades!$U$7,F259),1)*IF(Upgrades!$T$9="Stellar Coupling",POWER(Upgrades!$U$9,H259),1)*IF(Upgrades!$T$10="Stellar Coupling",POWER(Upgrades!$U$10,I259),1)*IF(Upgrades!$T$11="Stellar Coupling",POWER(Upgrades!$U$11,J259),1)*IF(Upgrades!$T$12="Stellar Coupling",POWER(Upgrades!$U$12,K259),1))*(POWER(Upgrades!$Q$6,E259)*POWER(Upgrades!$Q$7,F259)*POWER(Upgrades!$Q$8,G259)*POWER(Upgrades!$Q$9,H259)*POWER(Upgrades!$Q$10,I259)*POWER(Upgrades!$Q$11,J259)*POWER(Upgrades!$Q$12,K259))*Parameters!$B$10*Parameters!$B$11/60)/Upgrades!$C$11,0)),IF(K259&gt;0,0,IFERROR((1*(POWER(Upgrades!$P$6,E259)*POWER(Upgrades!$P$7,F259)*POWER(Upgrades!$P$8,G259)*POWER(Upgrades!$P$9,H259)*POWER(Upgrades!$P$10,I259)*POWER(Upgrades!$P$11,J259)*POWER(Upgrades!$P$12,K259))+0.2*M259*Parameters!$B$10*Parameters!$B$11/60)/Upgrades!$C$12,0)),IF(AND(ISNUMBER(AG259),AG259&gt;T259),AS259,0),IF(AND(ISNUMBER(AH259),AH259&gt;T259),AT259,0),IF(AND(ISNUMBER(AI259),AI259&gt;T259),AU259,0),IF(AND(ISNUMBER(AJ259),AJ259&gt;T259),AV259,0))</f>
        <v>0.00452762415783776</v>
      </c>
      <c r="AX259" s="29" t="str">
        <f aca="false">IF(AN259=1,"transition",IF(MIN(IF(AND(I259=0,ISNUMBER(AK259),AK259&lt;=T259),AK259,9000000000000000),IF(AND(J259=0,ISNUMBER(AL259),AL259&lt;=T259),AL259,9000000000000000),IF(AND(K259=0,ISNUMBER(AM259),AM259&lt;=T259),AM259,9000000000000000))&lt;9000000000000000,IF(AND(AND(I259=0,ISNUMBER(AK259),AK259&lt;=T259),AK259=MIN(IF(AND(I259=0,ISNUMBER(AK259),AK259&lt;=T259),AK259,9000000000000000),IF(AND(J259=0,ISNUMBER(AL259),AL259&lt;=T259),AL259,9000000000000000),IF(AND(K259=0,ISNUMBER(AM259),AM259&lt;=T259),AM259,9000000000000000))),"OR",IF(AND(AND(J259=0,ISNUMBER(AL259),AL259&lt;=T259),AL259=MIN(IF(AND(I259=0,ISNUMBER(AK259),AK259&lt;=T259),AK259,9000000000000000),IF(AND(J259=0,ISNUMBER(AL259),AL259&lt;=T259),AL259,9000000000000000),IF(AND(K259=0,ISNUMBER(AM259),AM259&lt;=T259),AM259,9000000000000000))),"HP","FP")),IF(AR259=TRUE(),"",IF(MAX(IF(AND(NOT(AND(AO259=1,AN259&lt;&gt;1)),ISNUMBER(AG259),AG259&lt;=T259),AS259,0),IF(AND(NOT(AND(AO259=1,AN259&lt;&gt;1)),ISNUMBER(AH259),AH259&lt;=T259),AT259,0),IF(AND(NOT(AND(AO259=1,AN259&lt;&gt;1)),ISNUMBER(AI259),AI259&lt;=T259),AU259,0),IF(AND(ISNUMBER(AJ259),AJ259&lt;=T259),AV259,0))&lt;=0,"",IF(AND(IF(AND(NOT(AND(AO259=1,AN259&lt;&gt;1)),ISNUMBER(AG259),AG259&lt;=T259),AS259,0)&gt;0,IF(AND(NOT(AND(AO259=1,AN259&lt;&gt;1)),ISNUMBER(AG259),AG259&lt;=T259),AS259,0)=MAX(IF(AND(NOT(AND(AO259=1,AN259&lt;&gt;1)),ISNUMBER(AG259),AG259&lt;=T259),AS259,0),IF(AND(NOT(AND(AO259=1,AN259&lt;&gt;1)),ISNUMBER(AH259),AH259&lt;=T259),AT259,0),IF(AND(NOT(AND(AO259=1,AN259&lt;&gt;1)),ISNUMBER(AI259),AI259&lt;=T259),AU259,0),IF(AND(ISNUMBER(AJ259),AJ259&lt;=T259),AV259,0))),"SW",IF(AND(IF(AND(NOT(AND(AO259=1,AN259&lt;&gt;1)),ISNUMBER(AH259),AH259&lt;=T259),AT259,0)&gt;0,IF(AND(NOT(AND(AO259=1,AN259&lt;&gt;1)),ISNUMBER(AH259),AH259&lt;=T259),AT259,0)=MAX(IF(AND(NOT(AND(AO259=1,AN259&lt;&gt;1)),ISNUMBER(AG259),AG259&lt;=T259),AS259,0),IF(AND(NOT(AND(AO259=1,AN259&lt;&gt;1)),ISNUMBER(AH259),AH259&lt;=T259),AT259,0),IF(AND(NOT(AND(AO259=1,AN259&lt;&gt;1)),ISNUMBER(AI259),AI259&lt;=T259),AU259,0),IF(AND(ISNUMBER(AJ259),AJ259&lt;=T259),AV259,0))),"AB",IF(AND(IF(AND(NOT(AND(AO259=1,AN259&lt;&gt;1)),ISNUMBER(AI259),AI259&lt;=T259),AU259,0)&gt;0,IF(AND(NOT(AND(AO259=1,AN259&lt;&gt;1)),ISNUMBER(AI259),AI259&lt;=T259),AU259,0)=MAX(IF(AND(NOT(AND(AO259=1,AN259&lt;&gt;1)),ISNUMBER(AG259),AG259&lt;=T259),AS259,0),IF(AND(NOT(AND(AO259=1,AN259&lt;&gt;1)),ISNUMBER(AH259),AH259&lt;=T259),AT259,0),IF(AND(NOT(AND(AO259=1,AN259&lt;&gt;1)),ISNUMBER(AI259),AI259&lt;=T259),AU259,0),IF(AND(ISNUMBER(AJ259),AJ259&lt;=T259),AV259,0))),"SC","Mag")))))))</f>
        <v/>
      </c>
    </row>
    <row r="260" customFormat="false" ht="15" hidden="false" customHeight="false" outlineLevel="0" collapsed="false">
      <c r="A260" s="26" t="n">
        <v>255</v>
      </c>
      <c r="B260" s="27" t="n">
        <f aca="false">A260*10/60</f>
        <v>42.5</v>
      </c>
      <c r="C260" s="21" t="n">
        <f aca="false">X259</f>
        <v>18.6730249835055</v>
      </c>
      <c r="D260" s="27" t="n">
        <f aca="false">D259+W259</f>
        <v>0</v>
      </c>
      <c r="E260" s="26" t="n">
        <f aca="false">E259+IF(U259="SW",1,0)</f>
        <v>12</v>
      </c>
      <c r="F260" s="26" t="n">
        <f aca="false">F259+IF(U259="AB",1,0)</f>
        <v>10</v>
      </c>
      <c r="G260" s="26" t="n">
        <f aca="false">G259+IF(U259="SC",1,0)</f>
        <v>7</v>
      </c>
      <c r="H260" s="26" t="n">
        <f aca="false">H259+IF(U259="Mag",1,0)</f>
        <v>5</v>
      </c>
      <c r="I260" s="26" t="n">
        <f aca="false">MAX(I259,IF(U259="OR",1,0))</f>
        <v>1</v>
      </c>
      <c r="J260" s="26" t="n">
        <f aca="false">MAX(J259,IF(U259="HP",1,0))</f>
        <v>1</v>
      </c>
      <c r="K260" s="26" t="n">
        <f aca="false">MAX(K259,IF(U259="FP",1,0))</f>
        <v>1</v>
      </c>
      <c r="L260" s="26" t="n">
        <f aca="false">MAX(L259,IF(U259="transition",1,0))</f>
        <v>1</v>
      </c>
      <c r="M260" s="28" t="n">
        <f aca="false">(Parameters!$B$9+(IF(E260=0,0,(Upgrades!$J$6+E260*Upgrades!$K$6)*POWER(Upgrades!$L$6,E260)))*(IF(Upgrades!$T$7="Solar Wind",POWER(Upgrades!$U$7,F260),1)*IF(Upgrades!$T$8="Solar Wind",POWER(Upgrades!$U$8,G260),1)*IF(Upgrades!$T$9="Solar Wind",POWER(Upgrades!$U$9,H260),1)*IF(Upgrades!$T$10="Solar Wind",POWER(Upgrades!$U$10,I260),1)*IF(Upgrades!$T$11="Solar Wind",POWER(Upgrades!$U$11,J260),1)*IF(Upgrades!$T$12="Solar Wind",POWER(Upgrades!$U$12,K260),1))+(IF(F260=0,0,(Upgrades!$J$7+F260*Upgrades!$K$7)*POWER(Upgrades!$L$7,F260)))*(IF(Upgrades!$T$6="Asteroid Belt",POWER(Upgrades!$U$6,E260),1)*IF(Upgrades!$T$8="Asteroid Belt",POWER(Upgrades!$U$8,G260),1)*IF(Upgrades!$T$9="Asteroid Belt",POWER(Upgrades!$U$9,H260),1)*IF(Upgrades!$T$10="Asteroid Belt",POWER(Upgrades!$U$10,I260),1)*IF(Upgrades!$T$11="Asteroid Belt",POWER(Upgrades!$U$11,J260),1)*IF(Upgrades!$T$12="Asteroid Belt",POWER(Upgrades!$U$12,K260),1))+(IF(G260=0,0,(Upgrades!$J$8+G260*Upgrades!$K$8)*POWER(Upgrades!$L$8,G260)))*(IF(Upgrades!$T$6="Stellar Coupling",POWER(Upgrades!$U$6,E260),1)*IF(Upgrades!$T$7="Stellar Coupling",POWER(Upgrades!$U$7,F260),1)*IF(Upgrades!$T$9="Stellar Coupling",POWER(Upgrades!$U$9,H260),1)*IF(Upgrades!$T$10="Stellar Coupling",POWER(Upgrades!$U$10,I260),1)*IF(Upgrades!$T$11="Stellar Coupling",POWER(Upgrades!$U$11,J260),1)*IF(Upgrades!$T$12="Stellar Coupling",POWER(Upgrades!$U$12,K260),1))+(IF(H260=0,0,(Upgrades!$J$9+H260*Upgrades!$K$9)*POWER(Upgrades!$L$9,H260)))*(IF(Upgrades!$T$6="Magnetosphere",POWER(Upgrades!$U$6,E260),1)*IF(Upgrades!$T$7="Magnetosphere",POWER(Upgrades!$U$7,F260),1)*IF(Upgrades!$T$8="Magnetosphere",POWER(Upgrades!$U$8,G260),1)*IF(Upgrades!$T$10="Magnetosphere",POWER(Upgrades!$U$10,I260),1)*IF(Upgrades!$T$11="Magnetosphere",POWER(Upgrades!$U$11,J260),1)*IF(Upgrades!$T$12="Magnetosphere",POWER(Upgrades!$U$12,K260),1))+(IF(I260=0,0,(Upgrades!$J$10+I260*Upgrades!$K$10)*POWER(Upgrades!$L$10,I260)))*(IF(Upgrades!$T$6="Orbital Resonance",POWER(Upgrades!$U$6,E260),1)*IF(Upgrades!$T$7="Orbital Resonance",POWER(Upgrades!$U$7,F260),1)*IF(Upgrades!$T$8="Orbital Resonance",POWER(Upgrades!$U$8,G260),1)*IF(Upgrades!$T$9="Orbital Resonance",POWER(Upgrades!$U$9,H260),1)*IF(Upgrades!$T$11="Orbital Resonance",POWER(Upgrades!$U$11,J260),1)*IF(Upgrades!$T$12="Orbital Resonance",POWER(Upgrades!$U$12,K260),1))+(IF(J260=0,0,(Upgrades!$J$11+J260*Upgrades!$K$11)*POWER(Upgrades!$L$11,J260)))*(IF(Upgrades!$T$6="Heliopause",POWER(Upgrades!$U$6,E260),1)*IF(Upgrades!$T$7="Heliopause",POWER(Upgrades!$U$7,F260),1)*IF(Upgrades!$T$8="Heliopause",POWER(Upgrades!$U$8,G260),1)*IF(Upgrades!$T$9="Heliopause",POWER(Upgrades!$U$9,H260),1)*IF(Upgrades!$T$10="Heliopause",POWER(Upgrades!$U$10,I260),1)*IF(Upgrades!$T$12="Heliopause",POWER(Upgrades!$U$12,K260),1))+(IF(K260=0,0,(Upgrades!$J$12+K260*Upgrades!$K$12)*POWER(Upgrades!$L$12,K260)))*(IF(Upgrades!$T$6="First Photons",POWER(Upgrades!$U$6,E260),1)*IF(Upgrades!$T$7="First Photons",POWER(Upgrades!$U$7,F260),1)*IF(Upgrades!$T$8="First Photons",POWER(Upgrades!$U$8,G260),1)*IF(Upgrades!$T$9="First Photons",POWER(Upgrades!$U$9,H260),1)*IF(Upgrades!$T$10="First Photons",POWER(Upgrades!$U$10,I260),1)*IF(Upgrades!$T$11="First Photons",POWER(Upgrades!$U$11,J260),1)))*POWER(Upgrades!$Q$6,E260)*POWER(Upgrades!$Q$7,F260)*POWER(Upgrades!$Q$8,G260)*POWER(Upgrades!$Q$9,H260)*POWER(Upgrades!$Q$10,I260)*POWER(Upgrades!$Q$11,J260)*POWER(Upgrades!$Q$12,K260)</f>
        <v>5.61</v>
      </c>
      <c r="N260" s="28" t="n">
        <f aca="false">((IF(E260=0,0,(Upgrades!$G$6+E260*Upgrades!$H$6)*POWER(Upgrades!$I$6,E260)))*(IF(Upgrades!$T$7="Solar Wind",POWER(Upgrades!$U$7,F260),1)*IF(Upgrades!$T$8="Solar Wind",POWER(Upgrades!$U$8,G260),1)*IF(Upgrades!$T$9="Solar Wind",POWER(Upgrades!$U$9,H260),1)*IF(Upgrades!$T$10="Solar Wind",POWER(Upgrades!$U$10,I260),1)*IF(Upgrades!$T$11="Solar Wind",POWER(Upgrades!$U$11,J260),1)*IF(Upgrades!$T$12="Solar Wind",POWER(Upgrades!$U$12,K260),1))+(IF(F260=0,0,(Upgrades!$G$7+F260*Upgrades!$H$7)*POWER(Upgrades!$I$7,F260)))*(IF(Upgrades!$T$6="Asteroid Belt",POWER(Upgrades!$U$6,E260),1)*IF(Upgrades!$T$8="Asteroid Belt",POWER(Upgrades!$U$8,G260),1)*IF(Upgrades!$T$9="Asteroid Belt",POWER(Upgrades!$U$9,H260),1)*IF(Upgrades!$T$10="Asteroid Belt",POWER(Upgrades!$U$10,I260),1)*IF(Upgrades!$T$11="Asteroid Belt",POWER(Upgrades!$U$11,J260),1)*IF(Upgrades!$T$12="Asteroid Belt",POWER(Upgrades!$U$12,K260),1))+(IF(G260=0,0,(Upgrades!$G$8+G260*Upgrades!$H$8)*POWER(Upgrades!$I$8,G260)))*(IF(Upgrades!$T$6="Stellar Coupling",POWER(Upgrades!$U$6,E260),1)*IF(Upgrades!$T$7="Stellar Coupling",POWER(Upgrades!$U$7,F260),1)*IF(Upgrades!$T$9="Stellar Coupling",POWER(Upgrades!$U$9,H260),1)*IF(Upgrades!$T$10="Stellar Coupling",POWER(Upgrades!$U$10,I260),1)*IF(Upgrades!$T$11="Stellar Coupling",POWER(Upgrades!$U$11,J260),1)*IF(Upgrades!$T$12="Stellar Coupling",POWER(Upgrades!$U$12,K260),1))+(IF(H260=0,0,(Upgrades!$G$9+H260*Upgrades!$H$9)*POWER(Upgrades!$I$9,H260)))*(IF(Upgrades!$T$6="Magnetosphere",POWER(Upgrades!$U$6,E260),1)*IF(Upgrades!$T$7="Magnetosphere",POWER(Upgrades!$U$7,F260),1)*IF(Upgrades!$T$8="Magnetosphere",POWER(Upgrades!$U$8,G260),1)*IF(Upgrades!$T$10="Magnetosphere",POWER(Upgrades!$U$10,I260),1)*IF(Upgrades!$T$11="Magnetosphere",POWER(Upgrades!$U$11,J260),1)*IF(Upgrades!$T$12="Magnetosphere",POWER(Upgrades!$U$12,K260),1))+(IF(I260=0,0,(Upgrades!$G$10+I260*Upgrades!$H$10)*POWER(Upgrades!$I$10,I260)))*(IF(Upgrades!$T$6="Orbital Resonance",POWER(Upgrades!$U$6,E260),1)*IF(Upgrades!$T$7="Orbital Resonance",POWER(Upgrades!$U$7,F260),1)*IF(Upgrades!$T$8="Orbital Resonance",POWER(Upgrades!$U$8,G260),1)*IF(Upgrades!$T$9="Orbital Resonance",POWER(Upgrades!$U$9,H260),1)*IF(Upgrades!$T$11="Orbital Resonance",POWER(Upgrades!$U$11,J260),1)*IF(Upgrades!$T$12="Orbital Resonance",POWER(Upgrades!$U$12,K260),1))+(IF(J260=0,0,(Upgrades!$G$11+J260*Upgrades!$H$11)*POWER(Upgrades!$I$11,J260)))*(IF(Upgrades!$T$6="Heliopause",POWER(Upgrades!$U$6,E260),1)*IF(Upgrades!$T$7="Heliopause",POWER(Upgrades!$U$7,F260),1)*IF(Upgrades!$T$8="Heliopause",POWER(Upgrades!$U$8,G260),1)*IF(Upgrades!$T$9="Heliopause",POWER(Upgrades!$U$9,H260),1)*IF(Upgrades!$T$10="Heliopause",POWER(Upgrades!$U$10,I260),1)*IF(Upgrades!$T$12="Heliopause",POWER(Upgrades!$U$12,K260),1))+(IF(K260=0,0,(Upgrades!$G$12+K260*Upgrades!$H$12)*POWER(Upgrades!$I$12,K260)))*(IF(Upgrades!$T$6="First Photons",POWER(Upgrades!$U$6,E260),1)*IF(Upgrades!$T$7="First Photons",POWER(Upgrades!$U$7,F260),1)*IF(Upgrades!$T$8="First Photons",POWER(Upgrades!$U$8,G260),1)*IF(Upgrades!$T$9="First Photons",POWER(Upgrades!$U$9,H260),1)*IF(Upgrades!$T$10="First Photons",POWER(Upgrades!$U$10,I260),1)*IF(Upgrades!$T$11="First Photons",POWER(Upgrades!$U$11,J260),1)))*POWER(Upgrades!$P$6,E260)*POWER(Upgrades!$P$7,F260)*POWER(Upgrades!$P$8,G260)*POWER(Upgrades!$P$9,H260)*POWER(Upgrades!$P$10,I260)*POWER(Upgrades!$P$11,J260)*POWER(Upgrades!$P$12,K260)</f>
        <v>11.2</v>
      </c>
      <c r="O260" s="28" t="n">
        <f aca="false">((IF(E260=0,0,(Upgrades!$M$6+E260*Upgrades!$N$6)*POWER(Upgrades!$O$6,E260)))*(IF(Upgrades!$T$7="Solar Wind",POWER(Upgrades!$U$7,F260),1)*IF(Upgrades!$T$8="Solar Wind",POWER(Upgrades!$U$8,G260),1)*IF(Upgrades!$T$9="Solar Wind",POWER(Upgrades!$U$9,H260),1)*IF(Upgrades!$T$10="Solar Wind",POWER(Upgrades!$U$10,I260),1)*IF(Upgrades!$T$11="Solar Wind",POWER(Upgrades!$U$11,J260),1)*IF(Upgrades!$T$12="Solar Wind",POWER(Upgrades!$U$12,K260),1))+(IF(F260=0,0,(Upgrades!$M$7+F260*Upgrades!$N$7)*POWER(Upgrades!$O$7,F260)))*(IF(Upgrades!$T$6="Asteroid Belt",POWER(Upgrades!$U$6,E260),1)*IF(Upgrades!$T$8="Asteroid Belt",POWER(Upgrades!$U$8,G260),1)*IF(Upgrades!$T$9="Asteroid Belt",POWER(Upgrades!$U$9,H260),1)*IF(Upgrades!$T$10="Asteroid Belt",POWER(Upgrades!$U$10,I260),1)*IF(Upgrades!$T$11="Asteroid Belt",POWER(Upgrades!$U$11,J260),1)*IF(Upgrades!$T$12="Asteroid Belt",POWER(Upgrades!$U$12,K260),1))+(IF(G260=0,0,(Upgrades!$M$8+G260*Upgrades!$N$8)*POWER(Upgrades!$O$8,G260)))*(IF(Upgrades!$T$6="Stellar Coupling",POWER(Upgrades!$U$6,E260),1)*IF(Upgrades!$T$7="Stellar Coupling",POWER(Upgrades!$U$7,F260),1)*IF(Upgrades!$T$9="Stellar Coupling",POWER(Upgrades!$U$9,H260),1)*IF(Upgrades!$T$10="Stellar Coupling",POWER(Upgrades!$U$10,I260),1)*IF(Upgrades!$T$11="Stellar Coupling",POWER(Upgrades!$U$11,J260),1)*IF(Upgrades!$T$12="Stellar Coupling",POWER(Upgrades!$U$12,K260),1))+(IF(H260=0,0,(Upgrades!$M$9+H260*Upgrades!$N$9)*POWER(Upgrades!$O$9,H260)))*(IF(Upgrades!$T$6="Magnetosphere",POWER(Upgrades!$U$6,E260),1)*IF(Upgrades!$T$7="Magnetosphere",POWER(Upgrades!$U$7,F260),1)*IF(Upgrades!$T$8="Magnetosphere",POWER(Upgrades!$U$8,G260),1)*IF(Upgrades!$T$10="Magnetosphere",POWER(Upgrades!$U$10,I260),1)*IF(Upgrades!$T$11="Magnetosphere",POWER(Upgrades!$U$11,J260),1)*IF(Upgrades!$T$12="Magnetosphere",POWER(Upgrades!$U$12,K260),1))+(IF(I260=0,0,(Upgrades!$M$10+I260*Upgrades!$N$10)*POWER(Upgrades!$O$10,I260)))*(IF(Upgrades!$T$6="Orbital Resonance",POWER(Upgrades!$U$6,E260),1)*IF(Upgrades!$T$7="Orbital Resonance",POWER(Upgrades!$U$7,F260),1)*IF(Upgrades!$T$8="Orbital Resonance",POWER(Upgrades!$U$8,G260),1)*IF(Upgrades!$T$9="Orbital Resonance",POWER(Upgrades!$U$9,H260),1)*IF(Upgrades!$T$11="Orbital Resonance",POWER(Upgrades!$U$11,J260),1)*IF(Upgrades!$T$12="Orbital Resonance",POWER(Upgrades!$U$12,K260),1))+(IF(J260=0,0,(Upgrades!$M$11+J260*Upgrades!$N$11)*POWER(Upgrades!$O$11,J260)))*(IF(Upgrades!$T$6="Heliopause",POWER(Upgrades!$U$6,E260),1)*IF(Upgrades!$T$7="Heliopause",POWER(Upgrades!$U$7,F260),1)*IF(Upgrades!$T$8="Heliopause",POWER(Upgrades!$U$8,G260),1)*IF(Upgrades!$T$9="Heliopause",POWER(Upgrades!$U$9,H260),1)*IF(Upgrades!$T$10="Heliopause",POWER(Upgrades!$U$10,I260),1)*IF(Upgrades!$T$12="Heliopause",POWER(Upgrades!$U$12,K260),1))+(IF(K260=0,0,(Upgrades!$M$12+K260*Upgrades!$N$12)*POWER(Upgrades!$O$12,K260)))*(IF(Upgrades!$T$6="First Photons",POWER(Upgrades!$U$6,E260),1)*IF(Upgrades!$T$7="First Photons",POWER(Upgrades!$U$7,F260),1)*IF(Upgrades!$T$8="First Photons",POWER(Upgrades!$U$8,G260),1)*IF(Upgrades!$T$9="First Photons",POWER(Upgrades!$U$9,H260),1)*IF(Upgrades!$T$10="First Photons",POWER(Upgrades!$U$10,I260),1)*IF(Upgrades!$T$11="First Photons",POWER(Upgrades!$U$11,J260),1)))*POWER(Upgrades!$R$6,E260)*POWER(Upgrades!$R$7,F260)*POWER(Upgrades!$R$8,G260)*POWER(Upgrades!$R$9,H260)*POWER(Upgrades!$R$10,I260)*POWER(Upgrades!$R$11,J260)*POWER(Upgrades!$R$12,K260)</f>
        <v>0</v>
      </c>
      <c r="P260" s="27" t="n">
        <f aca="false">IF(L260=1,0,M260*Parameters!$B$10/60*Parameters!$B$11*10)</f>
        <v>0</v>
      </c>
      <c r="Q260" s="27" t="n">
        <f aca="false">IF(L260=1,0,O260*M260*10)</f>
        <v>0</v>
      </c>
      <c r="R260" s="27" t="n">
        <f aca="false">IF(L260=1,0,N260*10)</f>
        <v>0</v>
      </c>
      <c r="S260" s="27" t="n">
        <f aca="false">P260+Q260+R260</f>
        <v>0</v>
      </c>
      <c r="T260" s="21" t="n">
        <f aca="false">C260+S260</f>
        <v>18.6730249835055</v>
      </c>
      <c r="U260" s="34" t="str">
        <f aca="false">AX260</f>
        <v/>
      </c>
      <c r="V260" s="21" t="n">
        <f aca="false">IF(U260="",0,IF(U260="transition",0,IF(U260="SW",AG260,IF(U260="AB",AH260,IF(U260="SC",AI260,IF(U260="Mag",AJ260,IF(U260="OR",AK260,IF(U260="HP",AL260,IF(U260="FP",AM260,0)))))))))</f>
        <v>0</v>
      </c>
      <c r="W260" s="27" t="n">
        <f aca="false">IF(U260="OR",Upgrades!$F$10,IF(U260="HP",Upgrades!$F$11,IF(U260="transition",-Parameters!$B$18,0)))</f>
        <v>0</v>
      </c>
      <c r="X260" s="21" t="n">
        <f aca="false">T260-V260</f>
        <v>18.6730249835055</v>
      </c>
      <c r="Y260" s="30" t="n">
        <f aca="false">M260*Parameters!$B$10/60*Parameters!$B$11+O260*M260+N260</f>
        <v>20.55</v>
      </c>
      <c r="Z260" s="35" t="str">
        <f aca="false">IF(U260="transition","→ Tier 2 (Stellar Neighborhood)",IF(U260="FP","First Photons — light begins, system quickens",IF(U260="HP","Heliopause acquired",IF(U260="OR","Orbital Resonance — passive multiplier active",IF(AND(AO260=1,L260=0,AN260&lt;&gt;1),"Cohesion ready (waiting on completionist upgrades)","")))))</f>
        <v/>
      </c>
      <c r="AA260" s="27" t="n">
        <f aca="false">(IF(E260=0,0,(Upgrades!$G$6+E260*Upgrades!$H$6)*POWER(Upgrades!$I$6,E260)))*(IF(Upgrades!$T$7="Solar Wind",POWER(Upgrades!$U$7,F260),1)*IF(Upgrades!$T$8="Solar Wind",POWER(Upgrades!$U$8,G260),1)*IF(Upgrades!$T$9="Solar Wind",POWER(Upgrades!$U$9,H260),1)*IF(Upgrades!$T$10="Solar Wind",POWER(Upgrades!$U$10,I260),1)*IF(Upgrades!$T$11="Solar Wind",POWER(Upgrades!$U$11,J260),1)*IF(Upgrades!$T$12="Solar Wind",POWER(Upgrades!$U$12,K260),1))*POWER(Upgrades!$P$6,E260)*POWER(Upgrades!$P$7,F260)*POWER(Upgrades!$P$8,G260)*POWER(Upgrades!$P$9,H260)*POWER(Upgrades!$P$10,I260)*POWER(Upgrades!$P$11,J260)*POWER(Upgrades!$P$12,K260)*60</f>
        <v>72</v>
      </c>
      <c r="AB260" s="27" t="n">
        <f aca="false">(IF(F260=0,0,(Upgrades!$G$7+F260*Upgrades!$H$7)*POWER(Upgrades!$I$7,F260)))*(IF(Upgrades!$T$6="Asteroid Belt",POWER(Upgrades!$U$6,E260),1)*IF(Upgrades!$T$8="Asteroid Belt",POWER(Upgrades!$U$8,G260),1)*IF(Upgrades!$T$9="Asteroid Belt",POWER(Upgrades!$U$9,H260),1)*IF(Upgrades!$T$10="Asteroid Belt",POWER(Upgrades!$U$10,I260),1)*IF(Upgrades!$T$11="Asteroid Belt",POWER(Upgrades!$U$11,J260),1)*IF(Upgrades!$T$12="Asteroid Belt",POWER(Upgrades!$U$12,K260),1))*POWER(Upgrades!$P$6,E260)*POWER(Upgrades!$P$7,F260)*POWER(Upgrades!$P$8,G260)*POWER(Upgrades!$P$9,H260)*POWER(Upgrades!$P$10,I260)*POWER(Upgrades!$P$11,J260)*POWER(Upgrades!$P$12,K260)*60</f>
        <v>150</v>
      </c>
      <c r="AC260" s="27" t="n">
        <f aca="false">(IF(G260=0,0,(Upgrades!$J$8+G260*Upgrades!$K$8)*POWER(Upgrades!$L$8,G260)))*(IF(Upgrades!$T$6="Stellar Coupling",POWER(Upgrades!$U$6,E260),1)*IF(Upgrades!$T$7="Stellar Coupling",POWER(Upgrades!$U$7,F260),1)*IF(Upgrades!$T$9="Stellar Coupling",POWER(Upgrades!$U$9,H260),1)*IF(Upgrades!$T$10="Stellar Coupling",POWER(Upgrades!$U$10,I260),1)*IF(Upgrades!$T$11="Stellar Coupling",POWER(Upgrades!$U$11,J260),1)*IF(Upgrades!$T$12="Stellar Coupling",POWER(Upgrades!$U$12,K260),1))*POWER(Upgrades!$Q$6,E260)*POWER(Upgrades!$Q$7,F260)*POWER(Upgrades!$Q$8,G260)*POWER(Upgrades!$Q$9,H260)*POWER(Upgrades!$Q$10,I260)*POWER(Upgrades!$Q$11,J260)*POWER(Upgrades!$Q$12,K260)*Parameters!$B$10*Parameters!$B$11</f>
        <v>441</v>
      </c>
      <c r="AD260" s="27" t="n">
        <f aca="false">(IF(H260=0,0,(Upgrades!$G$9+H260*Upgrades!$H$9)*POWER(Upgrades!$I$9,H260)))*(IF(Upgrades!$T$6="Magnetosphere",POWER(Upgrades!$U$6,E260),1)*IF(Upgrades!$T$7="Magnetosphere",POWER(Upgrades!$U$7,F260),1)*IF(Upgrades!$T$8="Magnetosphere",POWER(Upgrades!$U$8,G260),1)*IF(Upgrades!$T$10="Magnetosphere",POWER(Upgrades!$U$10,I260),1)*IF(Upgrades!$T$11="Magnetosphere",POWER(Upgrades!$U$11,J260),1)*IF(Upgrades!$T$12="Magnetosphere",POWER(Upgrades!$U$12,K260),1))*POWER(Upgrades!$P$6,E260)*POWER(Upgrades!$P$7,F260)*POWER(Upgrades!$P$8,G260)*POWER(Upgrades!$P$9,H260)*POWER(Upgrades!$P$10,I260)*POWER(Upgrades!$P$11,J260)*POWER(Upgrades!$P$12,K260)*60</f>
        <v>375</v>
      </c>
      <c r="AE260" s="27" t="n">
        <f aca="false">(IF(K260=0,0,(Upgrades!$G$12+K260*Upgrades!$H$12)*POWER(Upgrades!$I$12,K260)))*(IF(Upgrades!$T$6="First Photons",POWER(Upgrades!$U$6,E260),1)*IF(Upgrades!$T$7="First Photons",POWER(Upgrades!$U$7,F260),1)*IF(Upgrades!$T$8="First Photons",POWER(Upgrades!$U$8,G260),1)*IF(Upgrades!$T$9="First Photons",POWER(Upgrades!$U$9,H260),1)*IF(Upgrades!$T$10="First Photons",POWER(Upgrades!$U$10,I260),1)*IF(Upgrades!$T$11="First Photons",POWER(Upgrades!$U$11,J260),1))*POWER(Upgrades!$P$6,E260)*POWER(Upgrades!$P$7,F260)*POWER(Upgrades!$P$8,G260)*POWER(Upgrades!$P$9,H260)*POWER(Upgrades!$P$10,I260)*POWER(Upgrades!$P$11,J260)*POWER(Upgrades!$P$12,K260)*60</f>
        <v>75</v>
      </c>
      <c r="AF260" s="27" t="n">
        <f aca="false">Parameters!$B$9*POWER(Upgrades!$Q$6,E260)*POWER(Upgrades!$Q$7,F260)*POWER(Upgrades!$Q$8,G260)*POWER(Upgrades!$Q$9,H260)*POWER(Upgrades!$Q$10,I260)*POWER(Upgrades!$Q$11,J260)*POWER(Upgrades!$Q$12,K260)*(Parameters!$B$10*Parameters!$B$11+O260*60)</f>
        <v>120</v>
      </c>
      <c r="AG260" s="21" t="n">
        <f aca="false">IF(E260&gt;=Upgrades!$E$6,"",Upgrades!$C$6*POWER(Upgrades!$D$6,E260))</f>
        <v>37.4517507383159</v>
      </c>
      <c r="AH260" s="21" t="n">
        <f aca="false">IF(F260&gt;=Upgrades!$E$7,"",Upgrades!$C$7*POWER(Upgrades!$D$7,F260))</f>
        <v>80.9111547141581</v>
      </c>
      <c r="AI260" s="21" t="n">
        <f aca="false">IF(G260&gt;=Upgrades!$E$8,"",Upgrades!$C$8*POWER(Upgrades!$D$8,G260))</f>
        <v>231.9097088</v>
      </c>
      <c r="AJ260" s="21" t="str">
        <f aca="false">IF(H260&gt;=Upgrades!$E$9,"",Upgrades!$C$9*POWER(Upgrades!$D$9,H260))</f>
        <v/>
      </c>
      <c r="AK260" s="21" t="str">
        <f aca="false">IF(I260&gt;=Upgrades!$E$10,"",Upgrades!$C$10*POWER(Upgrades!$D$10,I260))</f>
        <v/>
      </c>
      <c r="AL260" s="21" t="str">
        <f aca="false">IF(J260&gt;=Upgrades!$E$11,"",Upgrades!$C$11*POWER(Upgrades!$D$11,J260))</f>
        <v/>
      </c>
      <c r="AM260" s="21" t="str">
        <f aca="false">IF(K260&gt;=Upgrades!$E$12,"",Upgrades!$C$12*POWER(Upgrades!$D$12,K260))</f>
        <v/>
      </c>
      <c r="AN260" s="26" t="str">
        <f aca="false">IF(AND(D260&gt;=Parameters!$B$18,(H260&gt;=Upgrades!$E$9)*(K260&gt;=Upgrades!$E$12)=1,L260=0),1,"")</f>
        <v/>
      </c>
      <c r="AO260" s="26" t="str">
        <f aca="false">IF(AND(D260&gt;=Parameters!$B$18,L260=0),1,"")</f>
        <v/>
      </c>
      <c r="AP260" s="21" t="n">
        <f aca="false">MIN(IF(ISNUMBER(AK260),AK260,9000000000000000),IF(ISNUMBER(AL260),AL260,9000000000000000),IF(ISNUMBER(AM260),AM260,9000000000000000))</f>
        <v>9000000000000000</v>
      </c>
      <c r="AQ260" s="21" t="n">
        <f aca="false">MIN(IF(ISNUMBER(AG260),AG260,9000000000000000),IF(ISNUMBER(AH260),AH260,9000000000000000),IF(ISNUMBER(AI260),AI260,9000000000000000),IF(ISNUMBER(AJ260),AJ260,9000000000000000))</f>
        <v>37.4517507383159</v>
      </c>
      <c r="AR260" s="32" t="b">
        <f aca="false">IF(AW260&gt;Parameters!$B$21*(MAX(IF(AND(NOT(AND(AO260=1,AN260&lt;&gt;1)),ISNUMBER(AG260),AG260&lt;=T260),AS260,0),IF(AND(NOT(AND(AO260=1,AN260&lt;&gt;1)),ISNUMBER(AH260),AH260&lt;=T260),AT260,0),IF(AND(NOT(AND(AO260=1,AN260&lt;&gt;1)),ISNUMBER(AI260),AI260&lt;=T260),AU260,0),IF(AND(ISNUMBER(AJ260),AJ260&lt;=T260),AV260,0))),TRUE(),FALSE())</f>
        <v>1</v>
      </c>
      <c r="AS260" s="33" t="n">
        <f aca="false">IFERROR(Upgrades!$H$6*(POWER(Upgrades!$P$6,E260)*POWER(Upgrades!$P$7,F260)*POWER(Upgrades!$P$8,G260)*POWER(Upgrades!$P$9,H260)*POWER(Upgrades!$P$10,I260)*POWER(Upgrades!$P$11,J260)*POWER(Upgrades!$P$12,K260))*(IF(Upgrades!$T$7="Solar Wind",POWER(Upgrades!$U$7,F260),1)*IF(Upgrades!$T$8="Solar Wind",POWER(Upgrades!$U$8,G260),1)*IF(Upgrades!$T$9="Solar Wind",POWER(Upgrades!$U$9,H260),1)*IF(Upgrades!$T$10="Solar Wind",POWER(Upgrades!$U$10,I260),1)*IF(Upgrades!$T$11="Solar Wind",POWER(Upgrades!$U$11,J260),1)*IF(Upgrades!$T$12="Solar Wind",POWER(Upgrades!$U$12,K260),1))/AG260,0)</f>
        <v>0.0026701021455238</v>
      </c>
      <c r="AT260" s="33" t="n">
        <f aca="false">IFERROR(Upgrades!$H$7*(POWER(Upgrades!$P$6,E260)*POWER(Upgrades!$P$7,F260)*POWER(Upgrades!$P$8,G260)*POWER(Upgrades!$P$9,H260)*POWER(Upgrades!$P$10,I260)*POWER(Upgrades!$P$11,J260)*POWER(Upgrades!$P$12,K260))*(IF(Upgrades!$T$6="Asteroid Belt",POWER(Upgrades!$U$6,E260),1)*IF(Upgrades!$T$8="Asteroid Belt",POWER(Upgrades!$U$8,G260),1)*IF(Upgrades!$T$9="Asteroid Belt",POWER(Upgrades!$U$9,H260),1)*IF(Upgrades!$T$10="Asteroid Belt",POWER(Upgrades!$U$10,I260),1)*IF(Upgrades!$T$11="Asteroid Belt",POWER(Upgrades!$U$11,J260),1)*IF(Upgrades!$T$12="Asteroid Belt",POWER(Upgrades!$U$12,K260),1))/AH260,0)</f>
        <v>0.00308980882652332</v>
      </c>
      <c r="AU260" s="33" t="n">
        <f aca="false">IFERROR(Upgrades!$K$8*(POWER(Upgrades!$Q$6,E260)*POWER(Upgrades!$Q$7,F260)*POWER(Upgrades!$Q$8,G260)*POWER(Upgrades!$Q$9,H260)*POWER(Upgrades!$Q$10,I260)*POWER(Upgrades!$Q$11,J260)*POWER(Upgrades!$Q$12,K260))*(IF(Upgrades!$T$6="Stellar Coupling",POWER(Upgrades!$U$6,E260),1)*IF(Upgrades!$T$7="Stellar Coupling",POWER(Upgrades!$U$7,F260),1)*IF(Upgrades!$T$9="Stellar Coupling",POWER(Upgrades!$U$9,H260),1)*IF(Upgrades!$T$10="Stellar Coupling",POWER(Upgrades!$U$10,I260),1)*IF(Upgrades!$T$11="Stellar Coupling",POWER(Upgrades!$U$11,J260),1)*IF(Upgrades!$T$12="Stellar Coupling",POWER(Upgrades!$U$12,K260),1))*Parameters!$B$10*Parameters!$B$11/60/AI260,0)</f>
        <v>0.00452762415783776</v>
      </c>
      <c r="AV260" s="33" t="n">
        <f aca="false">IFERROR(Upgrades!$H$9*(POWER(Upgrades!$P$6,E260)*POWER(Upgrades!$P$7,F260)*POWER(Upgrades!$P$8,G260)*POWER(Upgrades!$P$9,H260)*POWER(Upgrades!$P$10,I260)*POWER(Upgrades!$P$11,J260)*POWER(Upgrades!$P$12,K260))*(IF(Upgrades!$T$6="Magnetosphere",POWER(Upgrades!$U$6,E260),1)*IF(Upgrades!$T$7="Magnetosphere",POWER(Upgrades!$U$7,F260),1)*IF(Upgrades!$T$8="Magnetosphere",POWER(Upgrades!$U$8,G260),1)*IF(Upgrades!$T$10="Magnetosphere",POWER(Upgrades!$U$10,I260),1)*IF(Upgrades!$T$11="Magnetosphere",POWER(Upgrades!$U$11,J260),1)*IF(Upgrades!$T$12="Magnetosphere",POWER(Upgrades!$U$12,K260),1))/AJ260,0)</f>
        <v>0</v>
      </c>
      <c r="AW260" s="33" t="n">
        <f aca="false">MAX(IF(I260&gt;0,0,IFERROR(0.25*N260/Upgrades!$C$10,0)),IF(J260&gt;0,0,IFERROR(0.5*((IF(G260=0,0,(Upgrades!$J$8+G260*Upgrades!$K$8)*POWER(Upgrades!$L$8,G260)))*(IF(Upgrades!$T$6="Stellar Coupling",POWER(Upgrades!$U$6,E260),1)*IF(Upgrades!$T$7="Stellar Coupling",POWER(Upgrades!$U$7,F260),1)*IF(Upgrades!$T$9="Stellar Coupling",POWER(Upgrades!$U$9,H260),1)*IF(Upgrades!$T$10="Stellar Coupling",POWER(Upgrades!$U$10,I260),1)*IF(Upgrades!$T$11="Stellar Coupling",POWER(Upgrades!$U$11,J260),1)*IF(Upgrades!$T$12="Stellar Coupling",POWER(Upgrades!$U$12,K260),1))*(POWER(Upgrades!$Q$6,E260)*POWER(Upgrades!$Q$7,F260)*POWER(Upgrades!$Q$8,G260)*POWER(Upgrades!$Q$9,H260)*POWER(Upgrades!$Q$10,I260)*POWER(Upgrades!$Q$11,J260)*POWER(Upgrades!$Q$12,K260))*Parameters!$B$10*Parameters!$B$11/60)/Upgrades!$C$11,0)),IF(K260&gt;0,0,IFERROR((1*(POWER(Upgrades!$P$6,E260)*POWER(Upgrades!$P$7,F260)*POWER(Upgrades!$P$8,G260)*POWER(Upgrades!$P$9,H260)*POWER(Upgrades!$P$10,I260)*POWER(Upgrades!$P$11,J260)*POWER(Upgrades!$P$12,K260))+0.2*M260*Parameters!$B$10*Parameters!$B$11/60)/Upgrades!$C$12,0)),IF(AND(ISNUMBER(AG260),AG260&gt;T260),AS260,0),IF(AND(ISNUMBER(AH260),AH260&gt;T260),AT260,0),IF(AND(ISNUMBER(AI260),AI260&gt;T260),AU260,0),IF(AND(ISNUMBER(AJ260),AJ260&gt;T260),AV260,0))</f>
        <v>0.00452762415783776</v>
      </c>
      <c r="AX260" s="29" t="str">
        <f aca="false">IF(AN260=1,"transition",IF(MIN(IF(AND(I260=0,ISNUMBER(AK260),AK260&lt;=T260),AK260,9000000000000000),IF(AND(J260=0,ISNUMBER(AL260),AL260&lt;=T260),AL260,9000000000000000),IF(AND(K260=0,ISNUMBER(AM260),AM260&lt;=T260),AM260,9000000000000000))&lt;9000000000000000,IF(AND(AND(I260=0,ISNUMBER(AK260),AK260&lt;=T260),AK260=MIN(IF(AND(I260=0,ISNUMBER(AK260),AK260&lt;=T260),AK260,9000000000000000),IF(AND(J260=0,ISNUMBER(AL260),AL260&lt;=T260),AL260,9000000000000000),IF(AND(K260=0,ISNUMBER(AM260),AM260&lt;=T260),AM260,9000000000000000))),"OR",IF(AND(AND(J260=0,ISNUMBER(AL260),AL260&lt;=T260),AL260=MIN(IF(AND(I260=0,ISNUMBER(AK260),AK260&lt;=T260),AK260,9000000000000000),IF(AND(J260=0,ISNUMBER(AL260),AL260&lt;=T260),AL260,9000000000000000),IF(AND(K260=0,ISNUMBER(AM260),AM260&lt;=T260),AM260,9000000000000000))),"HP","FP")),IF(AR260=TRUE(),"",IF(MAX(IF(AND(NOT(AND(AO260=1,AN260&lt;&gt;1)),ISNUMBER(AG260),AG260&lt;=T260),AS260,0),IF(AND(NOT(AND(AO260=1,AN260&lt;&gt;1)),ISNUMBER(AH260),AH260&lt;=T260),AT260,0),IF(AND(NOT(AND(AO260=1,AN260&lt;&gt;1)),ISNUMBER(AI260),AI260&lt;=T260),AU260,0),IF(AND(ISNUMBER(AJ260),AJ260&lt;=T260),AV260,0))&lt;=0,"",IF(AND(IF(AND(NOT(AND(AO260=1,AN260&lt;&gt;1)),ISNUMBER(AG260),AG260&lt;=T260),AS260,0)&gt;0,IF(AND(NOT(AND(AO260=1,AN260&lt;&gt;1)),ISNUMBER(AG260),AG260&lt;=T260),AS260,0)=MAX(IF(AND(NOT(AND(AO260=1,AN260&lt;&gt;1)),ISNUMBER(AG260),AG260&lt;=T260),AS260,0),IF(AND(NOT(AND(AO260=1,AN260&lt;&gt;1)),ISNUMBER(AH260),AH260&lt;=T260),AT260,0),IF(AND(NOT(AND(AO260=1,AN260&lt;&gt;1)),ISNUMBER(AI260),AI260&lt;=T260),AU260,0),IF(AND(ISNUMBER(AJ260),AJ260&lt;=T260),AV260,0))),"SW",IF(AND(IF(AND(NOT(AND(AO260=1,AN260&lt;&gt;1)),ISNUMBER(AH260),AH260&lt;=T260),AT260,0)&gt;0,IF(AND(NOT(AND(AO260=1,AN260&lt;&gt;1)),ISNUMBER(AH260),AH260&lt;=T260),AT260,0)=MAX(IF(AND(NOT(AND(AO260=1,AN260&lt;&gt;1)),ISNUMBER(AG260),AG260&lt;=T260),AS260,0),IF(AND(NOT(AND(AO260=1,AN260&lt;&gt;1)),ISNUMBER(AH260),AH260&lt;=T260),AT260,0),IF(AND(NOT(AND(AO260=1,AN260&lt;&gt;1)),ISNUMBER(AI260),AI260&lt;=T260),AU260,0),IF(AND(ISNUMBER(AJ260),AJ260&lt;=T260),AV260,0))),"AB",IF(AND(IF(AND(NOT(AND(AO260=1,AN260&lt;&gt;1)),ISNUMBER(AI260),AI260&lt;=T260),AU260,0)&gt;0,IF(AND(NOT(AND(AO260=1,AN260&lt;&gt;1)),ISNUMBER(AI260),AI260&lt;=T260),AU260,0)=MAX(IF(AND(NOT(AND(AO260=1,AN260&lt;&gt;1)),ISNUMBER(AG260),AG260&lt;=T260),AS260,0),IF(AND(NOT(AND(AO260=1,AN260&lt;&gt;1)),ISNUMBER(AH260),AH260&lt;=T260),AT260,0),IF(AND(NOT(AND(AO260=1,AN260&lt;&gt;1)),ISNUMBER(AI260),AI260&lt;=T260),AU260,0),IF(AND(ISNUMBER(AJ260),AJ260&lt;=T260),AV260,0))),"SC","Mag")))))))</f>
        <v/>
      </c>
    </row>
    <row r="261" customFormat="false" ht="15" hidden="false" customHeight="false" outlineLevel="0" collapsed="false">
      <c r="A261" s="26" t="n">
        <v>256</v>
      </c>
      <c r="B261" s="27" t="n">
        <f aca="false">A261*10/60</f>
        <v>42.6666666666667</v>
      </c>
      <c r="C261" s="21" t="n">
        <f aca="false">X260</f>
        <v>18.6730249835055</v>
      </c>
      <c r="D261" s="27" t="n">
        <f aca="false">D260+W260</f>
        <v>0</v>
      </c>
      <c r="E261" s="26" t="n">
        <f aca="false">E260+IF(U260="SW",1,0)</f>
        <v>12</v>
      </c>
      <c r="F261" s="26" t="n">
        <f aca="false">F260+IF(U260="AB",1,0)</f>
        <v>10</v>
      </c>
      <c r="G261" s="26" t="n">
        <f aca="false">G260+IF(U260="SC",1,0)</f>
        <v>7</v>
      </c>
      <c r="H261" s="26" t="n">
        <f aca="false">H260+IF(U260="Mag",1,0)</f>
        <v>5</v>
      </c>
      <c r="I261" s="26" t="n">
        <f aca="false">MAX(I260,IF(U260="OR",1,0))</f>
        <v>1</v>
      </c>
      <c r="J261" s="26" t="n">
        <f aca="false">MAX(J260,IF(U260="HP",1,0))</f>
        <v>1</v>
      </c>
      <c r="K261" s="26" t="n">
        <f aca="false">MAX(K260,IF(U260="FP",1,0))</f>
        <v>1</v>
      </c>
      <c r="L261" s="26" t="n">
        <f aca="false">MAX(L260,IF(U260="transition",1,0))</f>
        <v>1</v>
      </c>
      <c r="M261" s="28" t="n">
        <f aca="false">(Parameters!$B$9+(IF(E261=0,0,(Upgrades!$J$6+E261*Upgrades!$K$6)*POWER(Upgrades!$L$6,E261)))*(IF(Upgrades!$T$7="Solar Wind",POWER(Upgrades!$U$7,F261),1)*IF(Upgrades!$T$8="Solar Wind",POWER(Upgrades!$U$8,G261),1)*IF(Upgrades!$T$9="Solar Wind",POWER(Upgrades!$U$9,H261),1)*IF(Upgrades!$T$10="Solar Wind",POWER(Upgrades!$U$10,I261),1)*IF(Upgrades!$T$11="Solar Wind",POWER(Upgrades!$U$11,J261),1)*IF(Upgrades!$T$12="Solar Wind",POWER(Upgrades!$U$12,K261),1))+(IF(F261=0,0,(Upgrades!$J$7+F261*Upgrades!$K$7)*POWER(Upgrades!$L$7,F261)))*(IF(Upgrades!$T$6="Asteroid Belt",POWER(Upgrades!$U$6,E261),1)*IF(Upgrades!$T$8="Asteroid Belt",POWER(Upgrades!$U$8,G261),1)*IF(Upgrades!$T$9="Asteroid Belt",POWER(Upgrades!$U$9,H261),1)*IF(Upgrades!$T$10="Asteroid Belt",POWER(Upgrades!$U$10,I261),1)*IF(Upgrades!$T$11="Asteroid Belt",POWER(Upgrades!$U$11,J261),1)*IF(Upgrades!$T$12="Asteroid Belt",POWER(Upgrades!$U$12,K261),1))+(IF(G261=0,0,(Upgrades!$J$8+G261*Upgrades!$K$8)*POWER(Upgrades!$L$8,G261)))*(IF(Upgrades!$T$6="Stellar Coupling",POWER(Upgrades!$U$6,E261),1)*IF(Upgrades!$T$7="Stellar Coupling",POWER(Upgrades!$U$7,F261),1)*IF(Upgrades!$T$9="Stellar Coupling",POWER(Upgrades!$U$9,H261),1)*IF(Upgrades!$T$10="Stellar Coupling",POWER(Upgrades!$U$10,I261),1)*IF(Upgrades!$T$11="Stellar Coupling",POWER(Upgrades!$U$11,J261),1)*IF(Upgrades!$T$12="Stellar Coupling",POWER(Upgrades!$U$12,K261),1))+(IF(H261=0,0,(Upgrades!$J$9+H261*Upgrades!$K$9)*POWER(Upgrades!$L$9,H261)))*(IF(Upgrades!$T$6="Magnetosphere",POWER(Upgrades!$U$6,E261),1)*IF(Upgrades!$T$7="Magnetosphere",POWER(Upgrades!$U$7,F261),1)*IF(Upgrades!$T$8="Magnetosphere",POWER(Upgrades!$U$8,G261),1)*IF(Upgrades!$T$10="Magnetosphere",POWER(Upgrades!$U$10,I261),1)*IF(Upgrades!$T$11="Magnetosphere",POWER(Upgrades!$U$11,J261),1)*IF(Upgrades!$T$12="Magnetosphere",POWER(Upgrades!$U$12,K261),1))+(IF(I261=0,0,(Upgrades!$J$10+I261*Upgrades!$K$10)*POWER(Upgrades!$L$10,I261)))*(IF(Upgrades!$T$6="Orbital Resonance",POWER(Upgrades!$U$6,E261),1)*IF(Upgrades!$T$7="Orbital Resonance",POWER(Upgrades!$U$7,F261),1)*IF(Upgrades!$T$8="Orbital Resonance",POWER(Upgrades!$U$8,G261),1)*IF(Upgrades!$T$9="Orbital Resonance",POWER(Upgrades!$U$9,H261),1)*IF(Upgrades!$T$11="Orbital Resonance",POWER(Upgrades!$U$11,J261),1)*IF(Upgrades!$T$12="Orbital Resonance",POWER(Upgrades!$U$12,K261),1))+(IF(J261=0,0,(Upgrades!$J$11+J261*Upgrades!$K$11)*POWER(Upgrades!$L$11,J261)))*(IF(Upgrades!$T$6="Heliopause",POWER(Upgrades!$U$6,E261),1)*IF(Upgrades!$T$7="Heliopause",POWER(Upgrades!$U$7,F261),1)*IF(Upgrades!$T$8="Heliopause",POWER(Upgrades!$U$8,G261),1)*IF(Upgrades!$T$9="Heliopause",POWER(Upgrades!$U$9,H261),1)*IF(Upgrades!$T$10="Heliopause",POWER(Upgrades!$U$10,I261),1)*IF(Upgrades!$T$12="Heliopause",POWER(Upgrades!$U$12,K261),1))+(IF(K261=0,0,(Upgrades!$J$12+K261*Upgrades!$K$12)*POWER(Upgrades!$L$12,K261)))*(IF(Upgrades!$T$6="First Photons",POWER(Upgrades!$U$6,E261),1)*IF(Upgrades!$T$7="First Photons",POWER(Upgrades!$U$7,F261),1)*IF(Upgrades!$T$8="First Photons",POWER(Upgrades!$U$8,G261),1)*IF(Upgrades!$T$9="First Photons",POWER(Upgrades!$U$9,H261),1)*IF(Upgrades!$T$10="First Photons",POWER(Upgrades!$U$10,I261),1)*IF(Upgrades!$T$11="First Photons",POWER(Upgrades!$U$11,J261),1)))*POWER(Upgrades!$Q$6,E261)*POWER(Upgrades!$Q$7,F261)*POWER(Upgrades!$Q$8,G261)*POWER(Upgrades!$Q$9,H261)*POWER(Upgrades!$Q$10,I261)*POWER(Upgrades!$Q$11,J261)*POWER(Upgrades!$Q$12,K261)</f>
        <v>5.61</v>
      </c>
      <c r="N261" s="28" t="n">
        <f aca="false">((IF(E261=0,0,(Upgrades!$G$6+E261*Upgrades!$H$6)*POWER(Upgrades!$I$6,E261)))*(IF(Upgrades!$T$7="Solar Wind",POWER(Upgrades!$U$7,F261),1)*IF(Upgrades!$T$8="Solar Wind",POWER(Upgrades!$U$8,G261),1)*IF(Upgrades!$T$9="Solar Wind",POWER(Upgrades!$U$9,H261),1)*IF(Upgrades!$T$10="Solar Wind",POWER(Upgrades!$U$10,I261),1)*IF(Upgrades!$T$11="Solar Wind",POWER(Upgrades!$U$11,J261),1)*IF(Upgrades!$T$12="Solar Wind",POWER(Upgrades!$U$12,K261),1))+(IF(F261=0,0,(Upgrades!$G$7+F261*Upgrades!$H$7)*POWER(Upgrades!$I$7,F261)))*(IF(Upgrades!$T$6="Asteroid Belt",POWER(Upgrades!$U$6,E261),1)*IF(Upgrades!$T$8="Asteroid Belt",POWER(Upgrades!$U$8,G261),1)*IF(Upgrades!$T$9="Asteroid Belt",POWER(Upgrades!$U$9,H261),1)*IF(Upgrades!$T$10="Asteroid Belt",POWER(Upgrades!$U$10,I261),1)*IF(Upgrades!$T$11="Asteroid Belt",POWER(Upgrades!$U$11,J261),1)*IF(Upgrades!$T$12="Asteroid Belt",POWER(Upgrades!$U$12,K261),1))+(IF(G261=0,0,(Upgrades!$G$8+G261*Upgrades!$H$8)*POWER(Upgrades!$I$8,G261)))*(IF(Upgrades!$T$6="Stellar Coupling",POWER(Upgrades!$U$6,E261),1)*IF(Upgrades!$T$7="Stellar Coupling",POWER(Upgrades!$U$7,F261),1)*IF(Upgrades!$T$9="Stellar Coupling",POWER(Upgrades!$U$9,H261),1)*IF(Upgrades!$T$10="Stellar Coupling",POWER(Upgrades!$U$10,I261),1)*IF(Upgrades!$T$11="Stellar Coupling",POWER(Upgrades!$U$11,J261),1)*IF(Upgrades!$T$12="Stellar Coupling",POWER(Upgrades!$U$12,K261),1))+(IF(H261=0,0,(Upgrades!$G$9+H261*Upgrades!$H$9)*POWER(Upgrades!$I$9,H261)))*(IF(Upgrades!$T$6="Magnetosphere",POWER(Upgrades!$U$6,E261),1)*IF(Upgrades!$T$7="Magnetosphere",POWER(Upgrades!$U$7,F261),1)*IF(Upgrades!$T$8="Magnetosphere",POWER(Upgrades!$U$8,G261),1)*IF(Upgrades!$T$10="Magnetosphere",POWER(Upgrades!$U$10,I261),1)*IF(Upgrades!$T$11="Magnetosphere",POWER(Upgrades!$U$11,J261),1)*IF(Upgrades!$T$12="Magnetosphere",POWER(Upgrades!$U$12,K261),1))+(IF(I261=0,0,(Upgrades!$G$10+I261*Upgrades!$H$10)*POWER(Upgrades!$I$10,I261)))*(IF(Upgrades!$T$6="Orbital Resonance",POWER(Upgrades!$U$6,E261),1)*IF(Upgrades!$T$7="Orbital Resonance",POWER(Upgrades!$U$7,F261),1)*IF(Upgrades!$T$8="Orbital Resonance",POWER(Upgrades!$U$8,G261),1)*IF(Upgrades!$T$9="Orbital Resonance",POWER(Upgrades!$U$9,H261),1)*IF(Upgrades!$T$11="Orbital Resonance",POWER(Upgrades!$U$11,J261),1)*IF(Upgrades!$T$12="Orbital Resonance",POWER(Upgrades!$U$12,K261),1))+(IF(J261=0,0,(Upgrades!$G$11+J261*Upgrades!$H$11)*POWER(Upgrades!$I$11,J261)))*(IF(Upgrades!$T$6="Heliopause",POWER(Upgrades!$U$6,E261),1)*IF(Upgrades!$T$7="Heliopause",POWER(Upgrades!$U$7,F261),1)*IF(Upgrades!$T$8="Heliopause",POWER(Upgrades!$U$8,G261),1)*IF(Upgrades!$T$9="Heliopause",POWER(Upgrades!$U$9,H261),1)*IF(Upgrades!$T$10="Heliopause",POWER(Upgrades!$U$10,I261),1)*IF(Upgrades!$T$12="Heliopause",POWER(Upgrades!$U$12,K261),1))+(IF(K261=0,0,(Upgrades!$G$12+K261*Upgrades!$H$12)*POWER(Upgrades!$I$12,K261)))*(IF(Upgrades!$T$6="First Photons",POWER(Upgrades!$U$6,E261),1)*IF(Upgrades!$T$7="First Photons",POWER(Upgrades!$U$7,F261),1)*IF(Upgrades!$T$8="First Photons",POWER(Upgrades!$U$8,G261),1)*IF(Upgrades!$T$9="First Photons",POWER(Upgrades!$U$9,H261),1)*IF(Upgrades!$T$10="First Photons",POWER(Upgrades!$U$10,I261),1)*IF(Upgrades!$T$11="First Photons",POWER(Upgrades!$U$11,J261),1)))*POWER(Upgrades!$P$6,E261)*POWER(Upgrades!$P$7,F261)*POWER(Upgrades!$P$8,G261)*POWER(Upgrades!$P$9,H261)*POWER(Upgrades!$P$10,I261)*POWER(Upgrades!$P$11,J261)*POWER(Upgrades!$P$12,K261)</f>
        <v>11.2</v>
      </c>
      <c r="O261" s="28" t="n">
        <f aca="false">((IF(E261=0,0,(Upgrades!$M$6+E261*Upgrades!$N$6)*POWER(Upgrades!$O$6,E261)))*(IF(Upgrades!$T$7="Solar Wind",POWER(Upgrades!$U$7,F261),1)*IF(Upgrades!$T$8="Solar Wind",POWER(Upgrades!$U$8,G261),1)*IF(Upgrades!$T$9="Solar Wind",POWER(Upgrades!$U$9,H261),1)*IF(Upgrades!$T$10="Solar Wind",POWER(Upgrades!$U$10,I261),1)*IF(Upgrades!$T$11="Solar Wind",POWER(Upgrades!$U$11,J261),1)*IF(Upgrades!$T$12="Solar Wind",POWER(Upgrades!$U$12,K261),1))+(IF(F261=0,0,(Upgrades!$M$7+F261*Upgrades!$N$7)*POWER(Upgrades!$O$7,F261)))*(IF(Upgrades!$T$6="Asteroid Belt",POWER(Upgrades!$U$6,E261),1)*IF(Upgrades!$T$8="Asteroid Belt",POWER(Upgrades!$U$8,G261),1)*IF(Upgrades!$T$9="Asteroid Belt",POWER(Upgrades!$U$9,H261),1)*IF(Upgrades!$T$10="Asteroid Belt",POWER(Upgrades!$U$10,I261),1)*IF(Upgrades!$T$11="Asteroid Belt",POWER(Upgrades!$U$11,J261),1)*IF(Upgrades!$T$12="Asteroid Belt",POWER(Upgrades!$U$12,K261),1))+(IF(G261=0,0,(Upgrades!$M$8+G261*Upgrades!$N$8)*POWER(Upgrades!$O$8,G261)))*(IF(Upgrades!$T$6="Stellar Coupling",POWER(Upgrades!$U$6,E261),1)*IF(Upgrades!$T$7="Stellar Coupling",POWER(Upgrades!$U$7,F261),1)*IF(Upgrades!$T$9="Stellar Coupling",POWER(Upgrades!$U$9,H261),1)*IF(Upgrades!$T$10="Stellar Coupling",POWER(Upgrades!$U$10,I261),1)*IF(Upgrades!$T$11="Stellar Coupling",POWER(Upgrades!$U$11,J261),1)*IF(Upgrades!$T$12="Stellar Coupling",POWER(Upgrades!$U$12,K261),1))+(IF(H261=0,0,(Upgrades!$M$9+H261*Upgrades!$N$9)*POWER(Upgrades!$O$9,H261)))*(IF(Upgrades!$T$6="Magnetosphere",POWER(Upgrades!$U$6,E261),1)*IF(Upgrades!$T$7="Magnetosphere",POWER(Upgrades!$U$7,F261),1)*IF(Upgrades!$T$8="Magnetosphere",POWER(Upgrades!$U$8,G261),1)*IF(Upgrades!$T$10="Magnetosphere",POWER(Upgrades!$U$10,I261),1)*IF(Upgrades!$T$11="Magnetosphere",POWER(Upgrades!$U$11,J261),1)*IF(Upgrades!$T$12="Magnetosphere",POWER(Upgrades!$U$12,K261),1))+(IF(I261=0,0,(Upgrades!$M$10+I261*Upgrades!$N$10)*POWER(Upgrades!$O$10,I261)))*(IF(Upgrades!$T$6="Orbital Resonance",POWER(Upgrades!$U$6,E261),1)*IF(Upgrades!$T$7="Orbital Resonance",POWER(Upgrades!$U$7,F261),1)*IF(Upgrades!$T$8="Orbital Resonance",POWER(Upgrades!$U$8,G261),1)*IF(Upgrades!$T$9="Orbital Resonance",POWER(Upgrades!$U$9,H261),1)*IF(Upgrades!$T$11="Orbital Resonance",POWER(Upgrades!$U$11,J261),1)*IF(Upgrades!$T$12="Orbital Resonance",POWER(Upgrades!$U$12,K261),1))+(IF(J261=0,0,(Upgrades!$M$11+J261*Upgrades!$N$11)*POWER(Upgrades!$O$11,J261)))*(IF(Upgrades!$T$6="Heliopause",POWER(Upgrades!$U$6,E261),1)*IF(Upgrades!$T$7="Heliopause",POWER(Upgrades!$U$7,F261),1)*IF(Upgrades!$T$8="Heliopause",POWER(Upgrades!$U$8,G261),1)*IF(Upgrades!$T$9="Heliopause",POWER(Upgrades!$U$9,H261),1)*IF(Upgrades!$T$10="Heliopause",POWER(Upgrades!$U$10,I261),1)*IF(Upgrades!$T$12="Heliopause",POWER(Upgrades!$U$12,K261),1))+(IF(K261=0,0,(Upgrades!$M$12+K261*Upgrades!$N$12)*POWER(Upgrades!$O$12,K261)))*(IF(Upgrades!$T$6="First Photons",POWER(Upgrades!$U$6,E261),1)*IF(Upgrades!$T$7="First Photons",POWER(Upgrades!$U$7,F261),1)*IF(Upgrades!$T$8="First Photons",POWER(Upgrades!$U$8,G261),1)*IF(Upgrades!$T$9="First Photons",POWER(Upgrades!$U$9,H261),1)*IF(Upgrades!$T$10="First Photons",POWER(Upgrades!$U$10,I261),1)*IF(Upgrades!$T$11="First Photons",POWER(Upgrades!$U$11,J261),1)))*POWER(Upgrades!$R$6,E261)*POWER(Upgrades!$R$7,F261)*POWER(Upgrades!$R$8,G261)*POWER(Upgrades!$R$9,H261)*POWER(Upgrades!$R$10,I261)*POWER(Upgrades!$R$11,J261)*POWER(Upgrades!$R$12,K261)</f>
        <v>0</v>
      </c>
      <c r="P261" s="27" t="n">
        <f aca="false">IF(L261=1,0,M261*Parameters!$B$10/60*Parameters!$B$11*10)</f>
        <v>0</v>
      </c>
      <c r="Q261" s="27" t="n">
        <f aca="false">IF(L261=1,0,O261*M261*10)</f>
        <v>0</v>
      </c>
      <c r="R261" s="27" t="n">
        <f aca="false">IF(L261=1,0,N261*10)</f>
        <v>0</v>
      </c>
      <c r="S261" s="27" t="n">
        <f aca="false">P261+Q261+R261</f>
        <v>0</v>
      </c>
      <c r="T261" s="21" t="n">
        <f aca="false">C261+S261</f>
        <v>18.6730249835055</v>
      </c>
      <c r="U261" s="34" t="str">
        <f aca="false">AX261</f>
        <v/>
      </c>
      <c r="V261" s="21" t="n">
        <f aca="false">IF(U261="",0,IF(U261="transition",0,IF(U261="SW",AG261,IF(U261="AB",AH261,IF(U261="SC",AI261,IF(U261="Mag",AJ261,IF(U261="OR",AK261,IF(U261="HP",AL261,IF(U261="FP",AM261,0)))))))))</f>
        <v>0</v>
      </c>
      <c r="W261" s="27" t="n">
        <f aca="false">IF(U261="OR",Upgrades!$F$10,IF(U261="HP",Upgrades!$F$11,IF(U261="transition",-Parameters!$B$18,0)))</f>
        <v>0</v>
      </c>
      <c r="X261" s="21" t="n">
        <f aca="false">T261-V261</f>
        <v>18.6730249835055</v>
      </c>
      <c r="Y261" s="30" t="n">
        <f aca="false">M261*Parameters!$B$10/60*Parameters!$B$11+O261*M261+N261</f>
        <v>20.55</v>
      </c>
      <c r="Z261" s="35" t="str">
        <f aca="false">IF(U261="transition","→ Tier 2 (Stellar Neighborhood)",IF(U261="FP","First Photons — light begins, system quickens",IF(U261="HP","Heliopause acquired",IF(U261="OR","Orbital Resonance — passive multiplier active",IF(AND(AO261=1,L261=0,AN261&lt;&gt;1),"Cohesion ready (waiting on completionist upgrades)","")))))</f>
        <v/>
      </c>
      <c r="AA261" s="27" t="n">
        <f aca="false">(IF(E261=0,0,(Upgrades!$G$6+E261*Upgrades!$H$6)*POWER(Upgrades!$I$6,E261)))*(IF(Upgrades!$T$7="Solar Wind",POWER(Upgrades!$U$7,F261),1)*IF(Upgrades!$T$8="Solar Wind",POWER(Upgrades!$U$8,G261),1)*IF(Upgrades!$T$9="Solar Wind",POWER(Upgrades!$U$9,H261),1)*IF(Upgrades!$T$10="Solar Wind",POWER(Upgrades!$U$10,I261),1)*IF(Upgrades!$T$11="Solar Wind",POWER(Upgrades!$U$11,J261),1)*IF(Upgrades!$T$12="Solar Wind",POWER(Upgrades!$U$12,K261),1))*POWER(Upgrades!$P$6,E261)*POWER(Upgrades!$P$7,F261)*POWER(Upgrades!$P$8,G261)*POWER(Upgrades!$P$9,H261)*POWER(Upgrades!$P$10,I261)*POWER(Upgrades!$P$11,J261)*POWER(Upgrades!$P$12,K261)*60</f>
        <v>72</v>
      </c>
      <c r="AB261" s="27" t="n">
        <f aca="false">(IF(F261=0,0,(Upgrades!$G$7+F261*Upgrades!$H$7)*POWER(Upgrades!$I$7,F261)))*(IF(Upgrades!$T$6="Asteroid Belt",POWER(Upgrades!$U$6,E261),1)*IF(Upgrades!$T$8="Asteroid Belt",POWER(Upgrades!$U$8,G261),1)*IF(Upgrades!$T$9="Asteroid Belt",POWER(Upgrades!$U$9,H261),1)*IF(Upgrades!$T$10="Asteroid Belt",POWER(Upgrades!$U$10,I261),1)*IF(Upgrades!$T$11="Asteroid Belt",POWER(Upgrades!$U$11,J261),1)*IF(Upgrades!$T$12="Asteroid Belt",POWER(Upgrades!$U$12,K261),1))*POWER(Upgrades!$P$6,E261)*POWER(Upgrades!$P$7,F261)*POWER(Upgrades!$P$8,G261)*POWER(Upgrades!$P$9,H261)*POWER(Upgrades!$P$10,I261)*POWER(Upgrades!$P$11,J261)*POWER(Upgrades!$P$12,K261)*60</f>
        <v>150</v>
      </c>
      <c r="AC261" s="27" t="n">
        <f aca="false">(IF(G261=0,0,(Upgrades!$J$8+G261*Upgrades!$K$8)*POWER(Upgrades!$L$8,G261)))*(IF(Upgrades!$T$6="Stellar Coupling",POWER(Upgrades!$U$6,E261),1)*IF(Upgrades!$T$7="Stellar Coupling",POWER(Upgrades!$U$7,F261),1)*IF(Upgrades!$T$9="Stellar Coupling",POWER(Upgrades!$U$9,H261),1)*IF(Upgrades!$T$10="Stellar Coupling",POWER(Upgrades!$U$10,I261),1)*IF(Upgrades!$T$11="Stellar Coupling",POWER(Upgrades!$U$11,J261),1)*IF(Upgrades!$T$12="Stellar Coupling",POWER(Upgrades!$U$12,K261),1))*POWER(Upgrades!$Q$6,E261)*POWER(Upgrades!$Q$7,F261)*POWER(Upgrades!$Q$8,G261)*POWER(Upgrades!$Q$9,H261)*POWER(Upgrades!$Q$10,I261)*POWER(Upgrades!$Q$11,J261)*POWER(Upgrades!$Q$12,K261)*Parameters!$B$10*Parameters!$B$11</f>
        <v>441</v>
      </c>
      <c r="AD261" s="27" t="n">
        <f aca="false">(IF(H261=0,0,(Upgrades!$G$9+H261*Upgrades!$H$9)*POWER(Upgrades!$I$9,H261)))*(IF(Upgrades!$T$6="Magnetosphere",POWER(Upgrades!$U$6,E261),1)*IF(Upgrades!$T$7="Magnetosphere",POWER(Upgrades!$U$7,F261),1)*IF(Upgrades!$T$8="Magnetosphere",POWER(Upgrades!$U$8,G261),1)*IF(Upgrades!$T$10="Magnetosphere",POWER(Upgrades!$U$10,I261),1)*IF(Upgrades!$T$11="Magnetosphere",POWER(Upgrades!$U$11,J261),1)*IF(Upgrades!$T$12="Magnetosphere",POWER(Upgrades!$U$12,K261),1))*POWER(Upgrades!$P$6,E261)*POWER(Upgrades!$P$7,F261)*POWER(Upgrades!$P$8,G261)*POWER(Upgrades!$P$9,H261)*POWER(Upgrades!$P$10,I261)*POWER(Upgrades!$P$11,J261)*POWER(Upgrades!$P$12,K261)*60</f>
        <v>375</v>
      </c>
      <c r="AE261" s="27" t="n">
        <f aca="false">(IF(K261=0,0,(Upgrades!$G$12+K261*Upgrades!$H$12)*POWER(Upgrades!$I$12,K261)))*(IF(Upgrades!$T$6="First Photons",POWER(Upgrades!$U$6,E261),1)*IF(Upgrades!$T$7="First Photons",POWER(Upgrades!$U$7,F261),1)*IF(Upgrades!$T$8="First Photons",POWER(Upgrades!$U$8,G261),1)*IF(Upgrades!$T$9="First Photons",POWER(Upgrades!$U$9,H261),1)*IF(Upgrades!$T$10="First Photons",POWER(Upgrades!$U$10,I261),1)*IF(Upgrades!$T$11="First Photons",POWER(Upgrades!$U$11,J261),1))*POWER(Upgrades!$P$6,E261)*POWER(Upgrades!$P$7,F261)*POWER(Upgrades!$P$8,G261)*POWER(Upgrades!$P$9,H261)*POWER(Upgrades!$P$10,I261)*POWER(Upgrades!$P$11,J261)*POWER(Upgrades!$P$12,K261)*60</f>
        <v>75</v>
      </c>
      <c r="AF261" s="27" t="n">
        <f aca="false">Parameters!$B$9*POWER(Upgrades!$Q$6,E261)*POWER(Upgrades!$Q$7,F261)*POWER(Upgrades!$Q$8,G261)*POWER(Upgrades!$Q$9,H261)*POWER(Upgrades!$Q$10,I261)*POWER(Upgrades!$Q$11,J261)*POWER(Upgrades!$Q$12,K261)*(Parameters!$B$10*Parameters!$B$11+O261*60)</f>
        <v>120</v>
      </c>
      <c r="AG261" s="21" t="n">
        <f aca="false">IF(E261&gt;=Upgrades!$E$6,"",Upgrades!$C$6*POWER(Upgrades!$D$6,E261))</f>
        <v>37.4517507383159</v>
      </c>
      <c r="AH261" s="21" t="n">
        <f aca="false">IF(F261&gt;=Upgrades!$E$7,"",Upgrades!$C$7*POWER(Upgrades!$D$7,F261))</f>
        <v>80.9111547141581</v>
      </c>
      <c r="AI261" s="21" t="n">
        <f aca="false">IF(G261&gt;=Upgrades!$E$8,"",Upgrades!$C$8*POWER(Upgrades!$D$8,G261))</f>
        <v>231.9097088</v>
      </c>
      <c r="AJ261" s="21" t="str">
        <f aca="false">IF(H261&gt;=Upgrades!$E$9,"",Upgrades!$C$9*POWER(Upgrades!$D$9,H261))</f>
        <v/>
      </c>
      <c r="AK261" s="21" t="str">
        <f aca="false">IF(I261&gt;=Upgrades!$E$10,"",Upgrades!$C$10*POWER(Upgrades!$D$10,I261))</f>
        <v/>
      </c>
      <c r="AL261" s="21" t="str">
        <f aca="false">IF(J261&gt;=Upgrades!$E$11,"",Upgrades!$C$11*POWER(Upgrades!$D$11,J261))</f>
        <v/>
      </c>
      <c r="AM261" s="21" t="str">
        <f aca="false">IF(K261&gt;=Upgrades!$E$12,"",Upgrades!$C$12*POWER(Upgrades!$D$12,K261))</f>
        <v/>
      </c>
      <c r="AN261" s="26" t="str">
        <f aca="false">IF(AND(D261&gt;=Parameters!$B$18,(H261&gt;=Upgrades!$E$9)*(K261&gt;=Upgrades!$E$12)=1,L261=0),1,"")</f>
        <v/>
      </c>
      <c r="AO261" s="26" t="str">
        <f aca="false">IF(AND(D261&gt;=Parameters!$B$18,L261=0),1,"")</f>
        <v/>
      </c>
      <c r="AP261" s="21" t="n">
        <f aca="false">MIN(IF(ISNUMBER(AK261),AK261,9000000000000000),IF(ISNUMBER(AL261),AL261,9000000000000000),IF(ISNUMBER(AM261),AM261,9000000000000000))</f>
        <v>9000000000000000</v>
      </c>
      <c r="AQ261" s="21" t="n">
        <f aca="false">MIN(IF(ISNUMBER(AG261),AG261,9000000000000000),IF(ISNUMBER(AH261),AH261,9000000000000000),IF(ISNUMBER(AI261),AI261,9000000000000000),IF(ISNUMBER(AJ261),AJ261,9000000000000000))</f>
        <v>37.4517507383159</v>
      </c>
      <c r="AR261" s="32" t="b">
        <f aca="false">IF(AW261&gt;Parameters!$B$21*(MAX(IF(AND(NOT(AND(AO261=1,AN261&lt;&gt;1)),ISNUMBER(AG261),AG261&lt;=T261),AS261,0),IF(AND(NOT(AND(AO261=1,AN261&lt;&gt;1)),ISNUMBER(AH261),AH261&lt;=T261),AT261,0),IF(AND(NOT(AND(AO261=1,AN261&lt;&gt;1)),ISNUMBER(AI261),AI261&lt;=T261),AU261,0),IF(AND(ISNUMBER(AJ261),AJ261&lt;=T261),AV261,0))),TRUE(),FALSE())</f>
        <v>1</v>
      </c>
      <c r="AS261" s="33" t="n">
        <f aca="false">IFERROR(Upgrades!$H$6*(POWER(Upgrades!$P$6,E261)*POWER(Upgrades!$P$7,F261)*POWER(Upgrades!$P$8,G261)*POWER(Upgrades!$P$9,H261)*POWER(Upgrades!$P$10,I261)*POWER(Upgrades!$P$11,J261)*POWER(Upgrades!$P$12,K261))*(IF(Upgrades!$T$7="Solar Wind",POWER(Upgrades!$U$7,F261),1)*IF(Upgrades!$T$8="Solar Wind",POWER(Upgrades!$U$8,G261),1)*IF(Upgrades!$T$9="Solar Wind",POWER(Upgrades!$U$9,H261),1)*IF(Upgrades!$T$10="Solar Wind",POWER(Upgrades!$U$10,I261),1)*IF(Upgrades!$T$11="Solar Wind",POWER(Upgrades!$U$11,J261),1)*IF(Upgrades!$T$12="Solar Wind",POWER(Upgrades!$U$12,K261),1))/AG261,0)</f>
        <v>0.0026701021455238</v>
      </c>
      <c r="AT261" s="33" t="n">
        <f aca="false">IFERROR(Upgrades!$H$7*(POWER(Upgrades!$P$6,E261)*POWER(Upgrades!$P$7,F261)*POWER(Upgrades!$P$8,G261)*POWER(Upgrades!$P$9,H261)*POWER(Upgrades!$P$10,I261)*POWER(Upgrades!$P$11,J261)*POWER(Upgrades!$P$12,K261))*(IF(Upgrades!$T$6="Asteroid Belt",POWER(Upgrades!$U$6,E261),1)*IF(Upgrades!$T$8="Asteroid Belt",POWER(Upgrades!$U$8,G261),1)*IF(Upgrades!$T$9="Asteroid Belt",POWER(Upgrades!$U$9,H261),1)*IF(Upgrades!$T$10="Asteroid Belt",POWER(Upgrades!$U$10,I261),1)*IF(Upgrades!$T$11="Asteroid Belt",POWER(Upgrades!$U$11,J261),1)*IF(Upgrades!$T$12="Asteroid Belt",POWER(Upgrades!$U$12,K261),1))/AH261,0)</f>
        <v>0.00308980882652332</v>
      </c>
      <c r="AU261" s="33" t="n">
        <f aca="false">IFERROR(Upgrades!$K$8*(POWER(Upgrades!$Q$6,E261)*POWER(Upgrades!$Q$7,F261)*POWER(Upgrades!$Q$8,G261)*POWER(Upgrades!$Q$9,H261)*POWER(Upgrades!$Q$10,I261)*POWER(Upgrades!$Q$11,J261)*POWER(Upgrades!$Q$12,K261))*(IF(Upgrades!$T$6="Stellar Coupling",POWER(Upgrades!$U$6,E261),1)*IF(Upgrades!$T$7="Stellar Coupling",POWER(Upgrades!$U$7,F261),1)*IF(Upgrades!$T$9="Stellar Coupling",POWER(Upgrades!$U$9,H261),1)*IF(Upgrades!$T$10="Stellar Coupling",POWER(Upgrades!$U$10,I261),1)*IF(Upgrades!$T$11="Stellar Coupling",POWER(Upgrades!$U$11,J261),1)*IF(Upgrades!$T$12="Stellar Coupling",POWER(Upgrades!$U$12,K261),1))*Parameters!$B$10*Parameters!$B$11/60/AI261,0)</f>
        <v>0.00452762415783776</v>
      </c>
      <c r="AV261" s="33" t="n">
        <f aca="false">IFERROR(Upgrades!$H$9*(POWER(Upgrades!$P$6,E261)*POWER(Upgrades!$P$7,F261)*POWER(Upgrades!$P$8,G261)*POWER(Upgrades!$P$9,H261)*POWER(Upgrades!$P$10,I261)*POWER(Upgrades!$P$11,J261)*POWER(Upgrades!$P$12,K261))*(IF(Upgrades!$T$6="Magnetosphere",POWER(Upgrades!$U$6,E261),1)*IF(Upgrades!$T$7="Magnetosphere",POWER(Upgrades!$U$7,F261),1)*IF(Upgrades!$T$8="Magnetosphere",POWER(Upgrades!$U$8,G261),1)*IF(Upgrades!$T$10="Magnetosphere",POWER(Upgrades!$U$10,I261),1)*IF(Upgrades!$T$11="Magnetosphere",POWER(Upgrades!$U$11,J261),1)*IF(Upgrades!$T$12="Magnetosphere",POWER(Upgrades!$U$12,K261),1))/AJ261,0)</f>
        <v>0</v>
      </c>
      <c r="AW261" s="33" t="n">
        <f aca="false">MAX(IF(I261&gt;0,0,IFERROR(0.25*N261/Upgrades!$C$10,0)),IF(J261&gt;0,0,IFERROR(0.5*((IF(G261=0,0,(Upgrades!$J$8+G261*Upgrades!$K$8)*POWER(Upgrades!$L$8,G261)))*(IF(Upgrades!$T$6="Stellar Coupling",POWER(Upgrades!$U$6,E261),1)*IF(Upgrades!$T$7="Stellar Coupling",POWER(Upgrades!$U$7,F261),1)*IF(Upgrades!$T$9="Stellar Coupling",POWER(Upgrades!$U$9,H261),1)*IF(Upgrades!$T$10="Stellar Coupling",POWER(Upgrades!$U$10,I261),1)*IF(Upgrades!$T$11="Stellar Coupling",POWER(Upgrades!$U$11,J261),1)*IF(Upgrades!$T$12="Stellar Coupling",POWER(Upgrades!$U$12,K261),1))*(POWER(Upgrades!$Q$6,E261)*POWER(Upgrades!$Q$7,F261)*POWER(Upgrades!$Q$8,G261)*POWER(Upgrades!$Q$9,H261)*POWER(Upgrades!$Q$10,I261)*POWER(Upgrades!$Q$11,J261)*POWER(Upgrades!$Q$12,K261))*Parameters!$B$10*Parameters!$B$11/60)/Upgrades!$C$11,0)),IF(K261&gt;0,0,IFERROR((1*(POWER(Upgrades!$P$6,E261)*POWER(Upgrades!$P$7,F261)*POWER(Upgrades!$P$8,G261)*POWER(Upgrades!$P$9,H261)*POWER(Upgrades!$P$10,I261)*POWER(Upgrades!$P$11,J261)*POWER(Upgrades!$P$12,K261))+0.2*M261*Parameters!$B$10*Parameters!$B$11/60)/Upgrades!$C$12,0)),IF(AND(ISNUMBER(AG261),AG261&gt;T261),AS261,0),IF(AND(ISNUMBER(AH261),AH261&gt;T261),AT261,0),IF(AND(ISNUMBER(AI261),AI261&gt;T261),AU261,0),IF(AND(ISNUMBER(AJ261),AJ261&gt;T261),AV261,0))</f>
        <v>0.00452762415783776</v>
      </c>
      <c r="AX261" s="29" t="str">
        <f aca="false">IF(AN261=1,"transition",IF(MIN(IF(AND(I261=0,ISNUMBER(AK261),AK261&lt;=T261),AK261,9000000000000000),IF(AND(J261=0,ISNUMBER(AL261),AL261&lt;=T261),AL261,9000000000000000),IF(AND(K261=0,ISNUMBER(AM261),AM261&lt;=T261),AM261,9000000000000000))&lt;9000000000000000,IF(AND(AND(I261=0,ISNUMBER(AK261),AK261&lt;=T261),AK261=MIN(IF(AND(I261=0,ISNUMBER(AK261),AK261&lt;=T261),AK261,9000000000000000),IF(AND(J261=0,ISNUMBER(AL261),AL261&lt;=T261),AL261,9000000000000000),IF(AND(K261=0,ISNUMBER(AM261),AM261&lt;=T261),AM261,9000000000000000))),"OR",IF(AND(AND(J261=0,ISNUMBER(AL261),AL261&lt;=T261),AL261=MIN(IF(AND(I261=0,ISNUMBER(AK261),AK261&lt;=T261),AK261,9000000000000000),IF(AND(J261=0,ISNUMBER(AL261),AL261&lt;=T261),AL261,9000000000000000),IF(AND(K261=0,ISNUMBER(AM261),AM261&lt;=T261),AM261,9000000000000000))),"HP","FP")),IF(AR261=TRUE(),"",IF(MAX(IF(AND(NOT(AND(AO261=1,AN261&lt;&gt;1)),ISNUMBER(AG261),AG261&lt;=T261),AS261,0),IF(AND(NOT(AND(AO261=1,AN261&lt;&gt;1)),ISNUMBER(AH261),AH261&lt;=T261),AT261,0),IF(AND(NOT(AND(AO261=1,AN261&lt;&gt;1)),ISNUMBER(AI261),AI261&lt;=T261),AU261,0),IF(AND(ISNUMBER(AJ261),AJ261&lt;=T261),AV261,0))&lt;=0,"",IF(AND(IF(AND(NOT(AND(AO261=1,AN261&lt;&gt;1)),ISNUMBER(AG261),AG261&lt;=T261),AS261,0)&gt;0,IF(AND(NOT(AND(AO261=1,AN261&lt;&gt;1)),ISNUMBER(AG261),AG261&lt;=T261),AS261,0)=MAX(IF(AND(NOT(AND(AO261=1,AN261&lt;&gt;1)),ISNUMBER(AG261),AG261&lt;=T261),AS261,0),IF(AND(NOT(AND(AO261=1,AN261&lt;&gt;1)),ISNUMBER(AH261),AH261&lt;=T261),AT261,0),IF(AND(NOT(AND(AO261=1,AN261&lt;&gt;1)),ISNUMBER(AI261),AI261&lt;=T261),AU261,0),IF(AND(ISNUMBER(AJ261),AJ261&lt;=T261),AV261,0))),"SW",IF(AND(IF(AND(NOT(AND(AO261=1,AN261&lt;&gt;1)),ISNUMBER(AH261),AH261&lt;=T261),AT261,0)&gt;0,IF(AND(NOT(AND(AO261=1,AN261&lt;&gt;1)),ISNUMBER(AH261),AH261&lt;=T261),AT261,0)=MAX(IF(AND(NOT(AND(AO261=1,AN261&lt;&gt;1)),ISNUMBER(AG261),AG261&lt;=T261),AS261,0),IF(AND(NOT(AND(AO261=1,AN261&lt;&gt;1)),ISNUMBER(AH261),AH261&lt;=T261),AT261,0),IF(AND(NOT(AND(AO261=1,AN261&lt;&gt;1)),ISNUMBER(AI261),AI261&lt;=T261),AU261,0),IF(AND(ISNUMBER(AJ261),AJ261&lt;=T261),AV261,0))),"AB",IF(AND(IF(AND(NOT(AND(AO261=1,AN261&lt;&gt;1)),ISNUMBER(AI261),AI261&lt;=T261),AU261,0)&gt;0,IF(AND(NOT(AND(AO261=1,AN261&lt;&gt;1)),ISNUMBER(AI261),AI261&lt;=T261),AU261,0)=MAX(IF(AND(NOT(AND(AO261=1,AN261&lt;&gt;1)),ISNUMBER(AG261),AG261&lt;=T261),AS261,0),IF(AND(NOT(AND(AO261=1,AN261&lt;&gt;1)),ISNUMBER(AH261),AH261&lt;=T261),AT261,0),IF(AND(NOT(AND(AO261=1,AN261&lt;&gt;1)),ISNUMBER(AI261),AI261&lt;=T261),AU261,0),IF(AND(ISNUMBER(AJ261),AJ261&lt;=T261),AV261,0))),"SC","Mag")))))))</f>
        <v/>
      </c>
    </row>
    <row r="262" customFormat="false" ht="15" hidden="false" customHeight="false" outlineLevel="0" collapsed="false">
      <c r="A262" s="26" t="n">
        <v>257</v>
      </c>
      <c r="B262" s="27" t="n">
        <f aca="false">A262*10/60</f>
        <v>42.8333333333333</v>
      </c>
      <c r="C262" s="21" t="n">
        <f aca="false">X261</f>
        <v>18.6730249835055</v>
      </c>
      <c r="D262" s="27" t="n">
        <f aca="false">D261+W261</f>
        <v>0</v>
      </c>
      <c r="E262" s="26" t="n">
        <f aca="false">E261+IF(U261="SW",1,0)</f>
        <v>12</v>
      </c>
      <c r="F262" s="26" t="n">
        <f aca="false">F261+IF(U261="AB",1,0)</f>
        <v>10</v>
      </c>
      <c r="G262" s="26" t="n">
        <f aca="false">G261+IF(U261="SC",1,0)</f>
        <v>7</v>
      </c>
      <c r="H262" s="26" t="n">
        <f aca="false">H261+IF(U261="Mag",1,0)</f>
        <v>5</v>
      </c>
      <c r="I262" s="26" t="n">
        <f aca="false">MAX(I261,IF(U261="OR",1,0))</f>
        <v>1</v>
      </c>
      <c r="J262" s="26" t="n">
        <f aca="false">MAX(J261,IF(U261="HP",1,0))</f>
        <v>1</v>
      </c>
      <c r="K262" s="26" t="n">
        <f aca="false">MAX(K261,IF(U261="FP",1,0))</f>
        <v>1</v>
      </c>
      <c r="L262" s="26" t="n">
        <f aca="false">MAX(L261,IF(U261="transition",1,0))</f>
        <v>1</v>
      </c>
      <c r="M262" s="28" t="n">
        <f aca="false">(Parameters!$B$9+(IF(E262=0,0,(Upgrades!$J$6+E262*Upgrades!$K$6)*POWER(Upgrades!$L$6,E262)))*(IF(Upgrades!$T$7="Solar Wind",POWER(Upgrades!$U$7,F262),1)*IF(Upgrades!$T$8="Solar Wind",POWER(Upgrades!$U$8,G262),1)*IF(Upgrades!$T$9="Solar Wind",POWER(Upgrades!$U$9,H262),1)*IF(Upgrades!$T$10="Solar Wind",POWER(Upgrades!$U$10,I262),1)*IF(Upgrades!$T$11="Solar Wind",POWER(Upgrades!$U$11,J262),1)*IF(Upgrades!$T$12="Solar Wind",POWER(Upgrades!$U$12,K262),1))+(IF(F262=0,0,(Upgrades!$J$7+F262*Upgrades!$K$7)*POWER(Upgrades!$L$7,F262)))*(IF(Upgrades!$T$6="Asteroid Belt",POWER(Upgrades!$U$6,E262),1)*IF(Upgrades!$T$8="Asteroid Belt",POWER(Upgrades!$U$8,G262),1)*IF(Upgrades!$T$9="Asteroid Belt",POWER(Upgrades!$U$9,H262),1)*IF(Upgrades!$T$10="Asteroid Belt",POWER(Upgrades!$U$10,I262),1)*IF(Upgrades!$T$11="Asteroid Belt",POWER(Upgrades!$U$11,J262),1)*IF(Upgrades!$T$12="Asteroid Belt",POWER(Upgrades!$U$12,K262),1))+(IF(G262=0,0,(Upgrades!$J$8+G262*Upgrades!$K$8)*POWER(Upgrades!$L$8,G262)))*(IF(Upgrades!$T$6="Stellar Coupling",POWER(Upgrades!$U$6,E262),1)*IF(Upgrades!$T$7="Stellar Coupling",POWER(Upgrades!$U$7,F262),1)*IF(Upgrades!$T$9="Stellar Coupling",POWER(Upgrades!$U$9,H262),1)*IF(Upgrades!$T$10="Stellar Coupling",POWER(Upgrades!$U$10,I262),1)*IF(Upgrades!$T$11="Stellar Coupling",POWER(Upgrades!$U$11,J262),1)*IF(Upgrades!$T$12="Stellar Coupling",POWER(Upgrades!$U$12,K262),1))+(IF(H262=0,0,(Upgrades!$J$9+H262*Upgrades!$K$9)*POWER(Upgrades!$L$9,H262)))*(IF(Upgrades!$T$6="Magnetosphere",POWER(Upgrades!$U$6,E262),1)*IF(Upgrades!$T$7="Magnetosphere",POWER(Upgrades!$U$7,F262),1)*IF(Upgrades!$T$8="Magnetosphere",POWER(Upgrades!$U$8,G262),1)*IF(Upgrades!$T$10="Magnetosphere",POWER(Upgrades!$U$10,I262),1)*IF(Upgrades!$T$11="Magnetosphere",POWER(Upgrades!$U$11,J262),1)*IF(Upgrades!$T$12="Magnetosphere",POWER(Upgrades!$U$12,K262),1))+(IF(I262=0,0,(Upgrades!$J$10+I262*Upgrades!$K$10)*POWER(Upgrades!$L$10,I262)))*(IF(Upgrades!$T$6="Orbital Resonance",POWER(Upgrades!$U$6,E262),1)*IF(Upgrades!$T$7="Orbital Resonance",POWER(Upgrades!$U$7,F262),1)*IF(Upgrades!$T$8="Orbital Resonance",POWER(Upgrades!$U$8,G262),1)*IF(Upgrades!$T$9="Orbital Resonance",POWER(Upgrades!$U$9,H262),1)*IF(Upgrades!$T$11="Orbital Resonance",POWER(Upgrades!$U$11,J262),1)*IF(Upgrades!$T$12="Orbital Resonance",POWER(Upgrades!$U$12,K262),1))+(IF(J262=0,0,(Upgrades!$J$11+J262*Upgrades!$K$11)*POWER(Upgrades!$L$11,J262)))*(IF(Upgrades!$T$6="Heliopause",POWER(Upgrades!$U$6,E262),1)*IF(Upgrades!$T$7="Heliopause",POWER(Upgrades!$U$7,F262),1)*IF(Upgrades!$T$8="Heliopause",POWER(Upgrades!$U$8,G262),1)*IF(Upgrades!$T$9="Heliopause",POWER(Upgrades!$U$9,H262),1)*IF(Upgrades!$T$10="Heliopause",POWER(Upgrades!$U$10,I262),1)*IF(Upgrades!$T$12="Heliopause",POWER(Upgrades!$U$12,K262),1))+(IF(K262=0,0,(Upgrades!$J$12+K262*Upgrades!$K$12)*POWER(Upgrades!$L$12,K262)))*(IF(Upgrades!$T$6="First Photons",POWER(Upgrades!$U$6,E262),1)*IF(Upgrades!$T$7="First Photons",POWER(Upgrades!$U$7,F262),1)*IF(Upgrades!$T$8="First Photons",POWER(Upgrades!$U$8,G262),1)*IF(Upgrades!$T$9="First Photons",POWER(Upgrades!$U$9,H262),1)*IF(Upgrades!$T$10="First Photons",POWER(Upgrades!$U$10,I262),1)*IF(Upgrades!$T$11="First Photons",POWER(Upgrades!$U$11,J262),1)))*POWER(Upgrades!$Q$6,E262)*POWER(Upgrades!$Q$7,F262)*POWER(Upgrades!$Q$8,G262)*POWER(Upgrades!$Q$9,H262)*POWER(Upgrades!$Q$10,I262)*POWER(Upgrades!$Q$11,J262)*POWER(Upgrades!$Q$12,K262)</f>
        <v>5.61</v>
      </c>
      <c r="N262" s="28" t="n">
        <f aca="false">((IF(E262=0,0,(Upgrades!$G$6+E262*Upgrades!$H$6)*POWER(Upgrades!$I$6,E262)))*(IF(Upgrades!$T$7="Solar Wind",POWER(Upgrades!$U$7,F262),1)*IF(Upgrades!$T$8="Solar Wind",POWER(Upgrades!$U$8,G262),1)*IF(Upgrades!$T$9="Solar Wind",POWER(Upgrades!$U$9,H262),1)*IF(Upgrades!$T$10="Solar Wind",POWER(Upgrades!$U$10,I262),1)*IF(Upgrades!$T$11="Solar Wind",POWER(Upgrades!$U$11,J262),1)*IF(Upgrades!$T$12="Solar Wind",POWER(Upgrades!$U$12,K262),1))+(IF(F262=0,0,(Upgrades!$G$7+F262*Upgrades!$H$7)*POWER(Upgrades!$I$7,F262)))*(IF(Upgrades!$T$6="Asteroid Belt",POWER(Upgrades!$U$6,E262),1)*IF(Upgrades!$T$8="Asteroid Belt",POWER(Upgrades!$U$8,G262),1)*IF(Upgrades!$T$9="Asteroid Belt",POWER(Upgrades!$U$9,H262),1)*IF(Upgrades!$T$10="Asteroid Belt",POWER(Upgrades!$U$10,I262),1)*IF(Upgrades!$T$11="Asteroid Belt",POWER(Upgrades!$U$11,J262),1)*IF(Upgrades!$T$12="Asteroid Belt",POWER(Upgrades!$U$12,K262),1))+(IF(G262=0,0,(Upgrades!$G$8+G262*Upgrades!$H$8)*POWER(Upgrades!$I$8,G262)))*(IF(Upgrades!$T$6="Stellar Coupling",POWER(Upgrades!$U$6,E262),1)*IF(Upgrades!$T$7="Stellar Coupling",POWER(Upgrades!$U$7,F262),1)*IF(Upgrades!$T$9="Stellar Coupling",POWER(Upgrades!$U$9,H262),1)*IF(Upgrades!$T$10="Stellar Coupling",POWER(Upgrades!$U$10,I262),1)*IF(Upgrades!$T$11="Stellar Coupling",POWER(Upgrades!$U$11,J262),1)*IF(Upgrades!$T$12="Stellar Coupling",POWER(Upgrades!$U$12,K262),1))+(IF(H262=0,0,(Upgrades!$G$9+H262*Upgrades!$H$9)*POWER(Upgrades!$I$9,H262)))*(IF(Upgrades!$T$6="Magnetosphere",POWER(Upgrades!$U$6,E262),1)*IF(Upgrades!$T$7="Magnetosphere",POWER(Upgrades!$U$7,F262),1)*IF(Upgrades!$T$8="Magnetosphere",POWER(Upgrades!$U$8,G262),1)*IF(Upgrades!$T$10="Magnetosphere",POWER(Upgrades!$U$10,I262),1)*IF(Upgrades!$T$11="Magnetosphere",POWER(Upgrades!$U$11,J262),1)*IF(Upgrades!$T$12="Magnetosphere",POWER(Upgrades!$U$12,K262),1))+(IF(I262=0,0,(Upgrades!$G$10+I262*Upgrades!$H$10)*POWER(Upgrades!$I$10,I262)))*(IF(Upgrades!$T$6="Orbital Resonance",POWER(Upgrades!$U$6,E262),1)*IF(Upgrades!$T$7="Orbital Resonance",POWER(Upgrades!$U$7,F262),1)*IF(Upgrades!$T$8="Orbital Resonance",POWER(Upgrades!$U$8,G262),1)*IF(Upgrades!$T$9="Orbital Resonance",POWER(Upgrades!$U$9,H262),1)*IF(Upgrades!$T$11="Orbital Resonance",POWER(Upgrades!$U$11,J262),1)*IF(Upgrades!$T$12="Orbital Resonance",POWER(Upgrades!$U$12,K262),1))+(IF(J262=0,0,(Upgrades!$G$11+J262*Upgrades!$H$11)*POWER(Upgrades!$I$11,J262)))*(IF(Upgrades!$T$6="Heliopause",POWER(Upgrades!$U$6,E262),1)*IF(Upgrades!$T$7="Heliopause",POWER(Upgrades!$U$7,F262),1)*IF(Upgrades!$T$8="Heliopause",POWER(Upgrades!$U$8,G262),1)*IF(Upgrades!$T$9="Heliopause",POWER(Upgrades!$U$9,H262),1)*IF(Upgrades!$T$10="Heliopause",POWER(Upgrades!$U$10,I262),1)*IF(Upgrades!$T$12="Heliopause",POWER(Upgrades!$U$12,K262),1))+(IF(K262=0,0,(Upgrades!$G$12+K262*Upgrades!$H$12)*POWER(Upgrades!$I$12,K262)))*(IF(Upgrades!$T$6="First Photons",POWER(Upgrades!$U$6,E262),1)*IF(Upgrades!$T$7="First Photons",POWER(Upgrades!$U$7,F262),1)*IF(Upgrades!$T$8="First Photons",POWER(Upgrades!$U$8,G262),1)*IF(Upgrades!$T$9="First Photons",POWER(Upgrades!$U$9,H262),1)*IF(Upgrades!$T$10="First Photons",POWER(Upgrades!$U$10,I262),1)*IF(Upgrades!$T$11="First Photons",POWER(Upgrades!$U$11,J262),1)))*POWER(Upgrades!$P$6,E262)*POWER(Upgrades!$P$7,F262)*POWER(Upgrades!$P$8,G262)*POWER(Upgrades!$P$9,H262)*POWER(Upgrades!$P$10,I262)*POWER(Upgrades!$P$11,J262)*POWER(Upgrades!$P$12,K262)</f>
        <v>11.2</v>
      </c>
      <c r="O262" s="28" t="n">
        <f aca="false">((IF(E262=0,0,(Upgrades!$M$6+E262*Upgrades!$N$6)*POWER(Upgrades!$O$6,E262)))*(IF(Upgrades!$T$7="Solar Wind",POWER(Upgrades!$U$7,F262),1)*IF(Upgrades!$T$8="Solar Wind",POWER(Upgrades!$U$8,G262),1)*IF(Upgrades!$T$9="Solar Wind",POWER(Upgrades!$U$9,H262),1)*IF(Upgrades!$T$10="Solar Wind",POWER(Upgrades!$U$10,I262),1)*IF(Upgrades!$T$11="Solar Wind",POWER(Upgrades!$U$11,J262),1)*IF(Upgrades!$T$12="Solar Wind",POWER(Upgrades!$U$12,K262),1))+(IF(F262=0,0,(Upgrades!$M$7+F262*Upgrades!$N$7)*POWER(Upgrades!$O$7,F262)))*(IF(Upgrades!$T$6="Asteroid Belt",POWER(Upgrades!$U$6,E262),1)*IF(Upgrades!$T$8="Asteroid Belt",POWER(Upgrades!$U$8,G262),1)*IF(Upgrades!$T$9="Asteroid Belt",POWER(Upgrades!$U$9,H262),1)*IF(Upgrades!$T$10="Asteroid Belt",POWER(Upgrades!$U$10,I262),1)*IF(Upgrades!$T$11="Asteroid Belt",POWER(Upgrades!$U$11,J262),1)*IF(Upgrades!$T$12="Asteroid Belt",POWER(Upgrades!$U$12,K262),1))+(IF(G262=0,0,(Upgrades!$M$8+G262*Upgrades!$N$8)*POWER(Upgrades!$O$8,G262)))*(IF(Upgrades!$T$6="Stellar Coupling",POWER(Upgrades!$U$6,E262),1)*IF(Upgrades!$T$7="Stellar Coupling",POWER(Upgrades!$U$7,F262),1)*IF(Upgrades!$T$9="Stellar Coupling",POWER(Upgrades!$U$9,H262),1)*IF(Upgrades!$T$10="Stellar Coupling",POWER(Upgrades!$U$10,I262),1)*IF(Upgrades!$T$11="Stellar Coupling",POWER(Upgrades!$U$11,J262),1)*IF(Upgrades!$T$12="Stellar Coupling",POWER(Upgrades!$U$12,K262),1))+(IF(H262=0,0,(Upgrades!$M$9+H262*Upgrades!$N$9)*POWER(Upgrades!$O$9,H262)))*(IF(Upgrades!$T$6="Magnetosphere",POWER(Upgrades!$U$6,E262),1)*IF(Upgrades!$T$7="Magnetosphere",POWER(Upgrades!$U$7,F262),1)*IF(Upgrades!$T$8="Magnetosphere",POWER(Upgrades!$U$8,G262),1)*IF(Upgrades!$T$10="Magnetosphere",POWER(Upgrades!$U$10,I262),1)*IF(Upgrades!$T$11="Magnetosphere",POWER(Upgrades!$U$11,J262),1)*IF(Upgrades!$T$12="Magnetosphere",POWER(Upgrades!$U$12,K262),1))+(IF(I262=0,0,(Upgrades!$M$10+I262*Upgrades!$N$10)*POWER(Upgrades!$O$10,I262)))*(IF(Upgrades!$T$6="Orbital Resonance",POWER(Upgrades!$U$6,E262),1)*IF(Upgrades!$T$7="Orbital Resonance",POWER(Upgrades!$U$7,F262),1)*IF(Upgrades!$T$8="Orbital Resonance",POWER(Upgrades!$U$8,G262),1)*IF(Upgrades!$T$9="Orbital Resonance",POWER(Upgrades!$U$9,H262),1)*IF(Upgrades!$T$11="Orbital Resonance",POWER(Upgrades!$U$11,J262),1)*IF(Upgrades!$T$12="Orbital Resonance",POWER(Upgrades!$U$12,K262),1))+(IF(J262=0,0,(Upgrades!$M$11+J262*Upgrades!$N$11)*POWER(Upgrades!$O$11,J262)))*(IF(Upgrades!$T$6="Heliopause",POWER(Upgrades!$U$6,E262),1)*IF(Upgrades!$T$7="Heliopause",POWER(Upgrades!$U$7,F262),1)*IF(Upgrades!$T$8="Heliopause",POWER(Upgrades!$U$8,G262),1)*IF(Upgrades!$T$9="Heliopause",POWER(Upgrades!$U$9,H262),1)*IF(Upgrades!$T$10="Heliopause",POWER(Upgrades!$U$10,I262),1)*IF(Upgrades!$T$12="Heliopause",POWER(Upgrades!$U$12,K262),1))+(IF(K262=0,0,(Upgrades!$M$12+K262*Upgrades!$N$12)*POWER(Upgrades!$O$12,K262)))*(IF(Upgrades!$T$6="First Photons",POWER(Upgrades!$U$6,E262),1)*IF(Upgrades!$T$7="First Photons",POWER(Upgrades!$U$7,F262),1)*IF(Upgrades!$T$8="First Photons",POWER(Upgrades!$U$8,G262),1)*IF(Upgrades!$T$9="First Photons",POWER(Upgrades!$U$9,H262),1)*IF(Upgrades!$T$10="First Photons",POWER(Upgrades!$U$10,I262),1)*IF(Upgrades!$T$11="First Photons",POWER(Upgrades!$U$11,J262),1)))*POWER(Upgrades!$R$6,E262)*POWER(Upgrades!$R$7,F262)*POWER(Upgrades!$R$8,G262)*POWER(Upgrades!$R$9,H262)*POWER(Upgrades!$R$10,I262)*POWER(Upgrades!$R$11,J262)*POWER(Upgrades!$R$12,K262)</f>
        <v>0</v>
      </c>
      <c r="P262" s="27" t="n">
        <f aca="false">IF(L262=1,0,M262*Parameters!$B$10/60*Parameters!$B$11*10)</f>
        <v>0</v>
      </c>
      <c r="Q262" s="27" t="n">
        <f aca="false">IF(L262=1,0,O262*M262*10)</f>
        <v>0</v>
      </c>
      <c r="R262" s="27" t="n">
        <f aca="false">IF(L262=1,0,N262*10)</f>
        <v>0</v>
      </c>
      <c r="S262" s="27" t="n">
        <f aca="false">P262+Q262+R262</f>
        <v>0</v>
      </c>
      <c r="T262" s="21" t="n">
        <f aca="false">C262+S262</f>
        <v>18.6730249835055</v>
      </c>
      <c r="U262" s="34" t="str">
        <f aca="false">AX262</f>
        <v/>
      </c>
      <c r="V262" s="21" t="n">
        <f aca="false">IF(U262="",0,IF(U262="transition",0,IF(U262="SW",AG262,IF(U262="AB",AH262,IF(U262="SC",AI262,IF(U262="Mag",AJ262,IF(U262="OR",AK262,IF(U262="HP",AL262,IF(U262="FP",AM262,0)))))))))</f>
        <v>0</v>
      </c>
      <c r="W262" s="27" t="n">
        <f aca="false">IF(U262="OR",Upgrades!$F$10,IF(U262="HP",Upgrades!$F$11,IF(U262="transition",-Parameters!$B$18,0)))</f>
        <v>0</v>
      </c>
      <c r="X262" s="21" t="n">
        <f aca="false">T262-V262</f>
        <v>18.6730249835055</v>
      </c>
      <c r="Y262" s="30" t="n">
        <f aca="false">M262*Parameters!$B$10/60*Parameters!$B$11+O262*M262+N262</f>
        <v>20.55</v>
      </c>
      <c r="Z262" s="35" t="str">
        <f aca="false">IF(U262="transition","→ Tier 2 (Stellar Neighborhood)",IF(U262="FP","First Photons — light begins, system quickens",IF(U262="HP","Heliopause acquired",IF(U262="OR","Orbital Resonance — passive multiplier active",IF(AND(AO262=1,L262=0,AN262&lt;&gt;1),"Cohesion ready (waiting on completionist upgrades)","")))))</f>
        <v/>
      </c>
      <c r="AA262" s="27" t="n">
        <f aca="false">(IF(E262=0,0,(Upgrades!$G$6+E262*Upgrades!$H$6)*POWER(Upgrades!$I$6,E262)))*(IF(Upgrades!$T$7="Solar Wind",POWER(Upgrades!$U$7,F262),1)*IF(Upgrades!$T$8="Solar Wind",POWER(Upgrades!$U$8,G262),1)*IF(Upgrades!$T$9="Solar Wind",POWER(Upgrades!$U$9,H262),1)*IF(Upgrades!$T$10="Solar Wind",POWER(Upgrades!$U$10,I262),1)*IF(Upgrades!$T$11="Solar Wind",POWER(Upgrades!$U$11,J262),1)*IF(Upgrades!$T$12="Solar Wind",POWER(Upgrades!$U$12,K262),1))*POWER(Upgrades!$P$6,E262)*POWER(Upgrades!$P$7,F262)*POWER(Upgrades!$P$8,G262)*POWER(Upgrades!$P$9,H262)*POWER(Upgrades!$P$10,I262)*POWER(Upgrades!$P$11,J262)*POWER(Upgrades!$P$12,K262)*60</f>
        <v>72</v>
      </c>
      <c r="AB262" s="27" t="n">
        <f aca="false">(IF(F262=0,0,(Upgrades!$G$7+F262*Upgrades!$H$7)*POWER(Upgrades!$I$7,F262)))*(IF(Upgrades!$T$6="Asteroid Belt",POWER(Upgrades!$U$6,E262),1)*IF(Upgrades!$T$8="Asteroid Belt",POWER(Upgrades!$U$8,G262),1)*IF(Upgrades!$T$9="Asteroid Belt",POWER(Upgrades!$U$9,H262),1)*IF(Upgrades!$T$10="Asteroid Belt",POWER(Upgrades!$U$10,I262),1)*IF(Upgrades!$T$11="Asteroid Belt",POWER(Upgrades!$U$11,J262),1)*IF(Upgrades!$T$12="Asteroid Belt",POWER(Upgrades!$U$12,K262),1))*POWER(Upgrades!$P$6,E262)*POWER(Upgrades!$P$7,F262)*POWER(Upgrades!$P$8,G262)*POWER(Upgrades!$P$9,H262)*POWER(Upgrades!$P$10,I262)*POWER(Upgrades!$P$11,J262)*POWER(Upgrades!$P$12,K262)*60</f>
        <v>150</v>
      </c>
      <c r="AC262" s="27" t="n">
        <f aca="false">(IF(G262=0,0,(Upgrades!$J$8+G262*Upgrades!$K$8)*POWER(Upgrades!$L$8,G262)))*(IF(Upgrades!$T$6="Stellar Coupling",POWER(Upgrades!$U$6,E262),1)*IF(Upgrades!$T$7="Stellar Coupling",POWER(Upgrades!$U$7,F262),1)*IF(Upgrades!$T$9="Stellar Coupling",POWER(Upgrades!$U$9,H262),1)*IF(Upgrades!$T$10="Stellar Coupling",POWER(Upgrades!$U$10,I262),1)*IF(Upgrades!$T$11="Stellar Coupling",POWER(Upgrades!$U$11,J262),1)*IF(Upgrades!$T$12="Stellar Coupling",POWER(Upgrades!$U$12,K262),1))*POWER(Upgrades!$Q$6,E262)*POWER(Upgrades!$Q$7,F262)*POWER(Upgrades!$Q$8,G262)*POWER(Upgrades!$Q$9,H262)*POWER(Upgrades!$Q$10,I262)*POWER(Upgrades!$Q$11,J262)*POWER(Upgrades!$Q$12,K262)*Parameters!$B$10*Parameters!$B$11</f>
        <v>441</v>
      </c>
      <c r="AD262" s="27" t="n">
        <f aca="false">(IF(H262=0,0,(Upgrades!$G$9+H262*Upgrades!$H$9)*POWER(Upgrades!$I$9,H262)))*(IF(Upgrades!$T$6="Magnetosphere",POWER(Upgrades!$U$6,E262),1)*IF(Upgrades!$T$7="Magnetosphere",POWER(Upgrades!$U$7,F262),1)*IF(Upgrades!$T$8="Magnetosphere",POWER(Upgrades!$U$8,G262),1)*IF(Upgrades!$T$10="Magnetosphere",POWER(Upgrades!$U$10,I262),1)*IF(Upgrades!$T$11="Magnetosphere",POWER(Upgrades!$U$11,J262),1)*IF(Upgrades!$T$12="Magnetosphere",POWER(Upgrades!$U$12,K262),1))*POWER(Upgrades!$P$6,E262)*POWER(Upgrades!$P$7,F262)*POWER(Upgrades!$P$8,G262)*POWER(Upgrades!$P$9,H262)*POWER(Upgrades!$P$10,I262)*POWER(Upgrades!$P$11,J262)*POWER(Upgrades!$P$12,K262)*60</f>
        <v>375</v>
      </c>
      <c r="AE262" s="27" t="n">
        <f aca="false">(IF(K262=0,0,(Upgrades!$G$12+K262*Upgrades!$H$12)*POWER(Upgrades!$I$12,K262)))*(IF(Upgrades!$T$6="First Photons",POWER(Upgrades!$U$6,E262),1)*IF(Upgrades!$T$7="First Photons",POWER(Upgrades!$U$7,F262),1)*IF(Upgrades!$T$8="First Photons",POWER(Upgrades!$U$8,G262),1)*IF(Upgrades!$T$9="First Photons",POWER(Upgrades!$U$9,H262),1)*IF(Upgrades!$T$10="First Photons",POWER(Upgrades!$U$10,I262),1)*IF(Upgrades!$T$11="First Photons",POWER(Upgrades!$U$11,J262),1))*POWER(Upgrades!$P$6,E262)*POWER(Upgrades!$P$7,F262)*POWER(Upgrades!$P$8,G262)*POWER(Upgrades!$P$9,H262)*POWER(Upgrades!$P$10,I262)*POWER(Upgrades!$P$11,J262)*POWER(Upgrades!$P$12,K262)*60</f>
        <v>75</v>
      </c>
      <c r="AF262" s="27" t="n">
        <f aca="false">Parameters!$B$9*POWER(Upgrades!$Q$6,E262)*POWER(Upgrades!$Q$7,F262)*POWER(Upgrades!$Q$8,G262)*POWER(Upgrades!$Q$9,H262)*POWER(Upgrades!$Q$10,I262)*POWER(Upgrades!$Q$11,J262)*POWER(Upgrades!$Q$12,K262)*(Parameters!$B$10*Parameters!$B$11+O262*60)</f>
        <v>120</v>
      </c>
      <c r="AG262" s="21" t="n">
        <f aca="false">IF(E262&gt;=Upgrades!$E$6,"",Upgrades!$C$6*POWER(Upgrades!$D$6,E262))</f>
        <v>37.4517507383159</v>
      </c>
      <c r="AH262" s="21" t="n">
        <f aca="false">IF(F262&gt;=Upgrades!$E$7,"",Upgrades!$C$7*POWER(Upgrades!$D$7,F262))</f>
        <v>80.9111547141581</v>
      </c>
      <c r="AI262" s="21" t="n">
        <f aca="false">IF(G262&gt;=Upgrades!$E$8,"",Upgrades!$C$8*POWER(Upgrades!$D$8,G262))</f>
        <v>231.9097088</v>
      </c>
      <c r="AJ262" s="21" t="str">
        <f aca="false">IF(H262&gt;=Upgrades!$E$9,"",Upgrades!$C$9*POWER(Upgrades!$D$9,H262))</f>
        <v/>
      </c>
      <c r="AK262" s="21" t="str">
        <f aca="false">IF(I262&gt;=Upgrades!$E$10,"",Upgrades!$C$10*POWER(Upgrades!$D$10,I262))</f>
        <v/>
      </c>
      <c r="AL262" s="21" t="str">
        <f aca="false">IF(J262&gt;=Upgrades!$E$11,"",Upgrades!$C$11*POWER(Upgrades!$D$11,J262))</f>
        <v/>
      </c>
      <c r="AM262" s="21" t="str">
        <f aca="false">IF(K262&gt;=Upgrades!$E$12,"",Upgrades!$C$12*POWER(Upgrades!$D$12,K262))</f>
        <v/>
      </c>
      <c r="AN262" s="26" t="str">
        <f aca="false">IF(AND(D262&gt;=Parameters!$B$18,(H262&gt;=Upgrades!$E$9)*(K262&gt;=Upgrades!$E$12)=1,L262=0),1,"")</f>
        <v/>
      </c>
      <c r="AO262" s="26" t="str">
        <f aca="false">IF(AND(D262&gt;=Parameters!$B$18,L262=0),1,"")</f>
        <v/>
      </c>
      <c r="AP262" s="21" t="n">
        <f aca="false">MIN(IF(ISNUMBER(AK262),AK262,9000000000000000),IF(ISNUMBER(AL262),AL262,9000000000000000),IF(ISNUMBER(AM262),AM262,9000000000000000))</f>
        <v>9000000000000000</v>
      </c>
      <c r="AQ262" s="21" t="n">
        <f aca="false">MIN(IF(ISNUMBER(AG262),AG262,9000000000000000),IF(ISNUMBER(AH262),AH262,9000000000000000),IF(ISNUMBER(AI262),AI262,9000000000000000),IF(ISNUMBER(AJ262),AJ262,9000000000000000))</f>
        <v>37.4517507383159</v>
      </c>
      <c r="AR262" s="32" t="b">
        <f aca="false">IF(AW262&gt;Parameters!$B$21*(MAX(IF(AND(NOT(AND(AO262=1,AN262&lt;&gt;1)),ISNUMBER(AG262),AG262&lt;=T262),AS262,0),IF(AND(NOT(AND(AO262=1,AN262&lt;&gt;1)),ISNUMBER(AH262),AH262&lt;=T262),AT262,0),IF(AND(NOT(AND(AO262=1,AN262&lt;&gt;1)),ISNUMBER(AI262),AI262&lt;=T262),AU262,0),IF(AND(ISNUMBER(AJ262),AJ262&lt;=T262),AV262,0))),TRUE(),FALSE())</f>
        <v>1</v>
      </c>
      <c r="AS262" s="33" t="n">
        <f aca="false">IFERROR(Upgrades!$H$6*(POWER(Upgrades!$P$6,E262)*POWER(Upgrades!$P$7,F262)*POWER(Upgrades!$P$8,G262)*POWER(Upgrades!$P$9,H262)*POWER(Upgrades!$P$10,I262)*POWER(Upgrades!$P$11,J262)*POWER(Upgrades!$P$12,K262))*(IF(Upgrades!$T$7="Solar Wind",POWER(Upgrades!$U$7,F262),1)*IF(Upgrades!$T$8="Solar Wind",POWER(Upgrades!$U$8,G262),1)*IF(Upgrades!$T$9="Solar Wind",POWER(Upgrades!$U$9,H262),1)*IF(Upgrades!$T$10="Solar Wind",POWER(Upgrades!$U$10,I262),1)*IF(Upgrades!$T$11="Solar Wind",POWER(Upgrades!$U$11,J262),1)*IF(Upgrades!$T$12="Solar Wind",POWER(Upgrades!$U$12,K262),1))/AG262,0)</f>
        <v>0.0026701021455238</v>
      </c>
      <c r="AT262" s="33" t="n">
        <f aca="false">IFERROR(Upgrades!$H$7*(POWER(Upgrades!$P$6,E262)*POWER(Upgrades!$P$7,F262)*POWER(Upgrades!$P$8,G262)*POWER(Upgrades!$P$9,H262)*POWER(Upgrades!$P$10,I262)*POWER(Upgrades!$P$11,J262)*POWER(Upgrades!$P$12,K262))*(IF(Upgrades!$T$6="Asteroid Belt",POWER(Upgrades!$U$6,E262),1)*IF(Upgrades!$T$8="Asteroid Belt",POWER(Upgrades!$U$8,G262),1)*IF(Upgrades!$T$9="Asteroid Belt",POWER(Upgrades!$U$9,H262),1)*IF(Upgrades!$T$10="Asteroid Belt",POWER(Upgrades!$U$10,I262),1)*IF(Upgrades!$T$11="Asteroid Belt",POWER(Upgrades!$U$11,J262),1)*IF(Upgrades!$T$12="Asteroid Belt",POWER(Upgrades!$U$12,K262),1))/AH262,0)</f>
        <v>0.00308980882652332</v>
      </c>
      <c r="AU262" s="33" t="n">
        <f aca="false">IFERROR(Upgrades!$K$8*(POWER(Upgrades!$Q$6,E262)*POWER(Upgrades!$Q$7,F262)*POWER(Upgrades!$Q$8,G262)*POWER(Upgrades!$Q$9,H262)*POWER(Upgrades!$Q$10,I262)*POWER(Upgrades!$Q$11,J262)*POWER(Upgrades!$Q$12,K262))*(IF(Upgrades!$T$6="Stellar Coupling",POWER(Upgrades!$U$6,E262),1)*IF(Upgrades!$T$7="Stellar Coupling",POWER(Upgrades!$U$7,F262),1)*IF(Upgrades!$T$9="Stellar Coupling",POWER(Upgrades!$U$9,H262),1)*IF(Upgrades!$T$10="Stellar Coupling",POWER(Upgrades!$U$10,I262),1)*IF(Upgrades!$T$11="Stellar Coupling",POWER(Upgrades!$U$11,J262),1)*IF(Upgrades!$T$12="Stellar Coupling",POWER(Upgrades!$U$12,K262),1))*Parameters!$B$10*Parameters!$B$11/60/AI262,0)</f>
        <v>0.00452762415783776</v>
      </c>
      <c r="AV262" s="33" t="n">
        <f aca="false">IFERROR(Upgrades!$H$9*(POWER(Upgrades!$P$6,E262)*POWER(Upgrades!$P$7,F262)*POWER(Upgrades!$P$8,G262)*POWER(Upgrades!$P$9,H262)*POWER(Upgrades!$P$10,I262)*POWER(Upgrades!$P$11,J262)*POWER(Upgrades!$P$12,K262))*(IF(Upgrades!$T$6="Magnetosphere",POWER(Upgrades!$U$6,E262),1)*IF(Upgrades!$T$7="Magnetosphere",POWER(Upgrades!$U$7,F262),1)*IF(Upgrades!$T$8="Magnetosphere",POWER(Upgrades!$U$8,G262),1)*IF(Upgrades!$T$10="Magnetosphere",POWER(Upgrades!$U$10,I262),1)*IF(Upgrades!$T$11="Magnetosphere",POWER(Upgrades!$U$11,J262),1)*IF(Upgrades!$T$12="Magnetosphere",POWER(Upgrades!$U$12,K262),1))/AJ262,0)</f>
        <v>0</v>
      </c>
      <c r="AW262" s="33" t="n">
        <f aca="false">MAX(IF(I262&gt;0,0,IFERROR(0.25*N262/Upgrades!$C$10,0)),IF(J262&gt;0,0,IFERROR(0.5*((IF(G262=0,0,(Upgrades!$J$8+G262*Upgrades!$K$8)*POWER(Upgrades!$L$8,G262)))*(IF(Upgrades!$T$6="Stellar Coupling",POWER(Upgrades!$U$6,E262),1)*IF(Upgrades!$T$7="Stellar Coupling",POWER(Upgrades!$U$7,F262),1)*IF(Upgrades!$T$9="Stellar Coupling",POWER(Upgrades!$U$9,H262),1)*IF(Upgrades!$T$10="Stellar Coupling",POWER(Upgrades!$U$10,I262),1)*IF(Upgrades!$T$11="Stellar Coupling",POWER(Upgrades!$U$11,J262),1)*IF(Upgrades!$T$12="Stellar Coupling",POWER(Upgrades!$U$12,K262),1))*(POWER(Upgrades!$Q$6,E262)*POWER(Upgrades!$Q$7,F262)*POWER(Upgrades!$Q$8,G262)*POWER(Upgrades!$Q$9,H262)*POWER(Upgrades!$Q$10,I262)*POWER(Upgrades!$Q$11,J262)*POWER(Upgrades!$Q$12,K262))*Parameters!$B$10*Parameters!$B$11/60)/Upgrades!$C$11,0)),IF(K262&gt;0,0,IFERROR((1*(POWER(Upgrades!$P$6,E262)*POWER(Upgrades!$P$7,F262)*POWER(Upgrades!$P$8,G262)*POWER(Upgrades!$P$9,H262)*POWER(Upgrades!$P$10,I262)*POWER(Upgrades!$P$11,J262)*POWER(Upgrades!$P$12,K262))+0.2*M262*Parameters!$B$10*Parameters!$B$11/60)/Upgrades!$C$12,0)),IF(AND(ISNUMBER(AG262),AG262&gt;T262),AS262,0),IF(AND(ISNUMBER(AH262),AH262&gt;T262),AT262,0),IF(AND(ISNUMBER(AI262),AI262&gt;T262),AU262,0),IF(AND(ISNUMBER(AJ262),AJ262&gt;T262),AV262,0))</f>
        <v>0.00452762415783776</v>
      </c>
      <c r="AX262" s="29" t="str">
        <f aca="false">IF(AN262=1,"transition",IF(MIN(IF(AND(I262=0,ISNUMBER(AK262),AK262&lt;=T262),AK262,9000000000000000),IF(AND(J262=0,ISNUMBER(AL262),AL262&lt;=T262),AL262,9000000000000000),IF(AND(K262=0,ISNUMBER(AM262),AM262&lt;=T262),AM262,9000000000000000))&lt;9000000000000000,IF(AND(AND(I262=0,ISNUMBER(AK262),AK262&lt;=T262),AK262=MIN(IF(AND(I262=0,ISNUMBER(AK262),AK262&lt;=T262),AK262,9000000000000000),IF(AND(J262=0,ISNUMBER(AL262),AL262&lt;=T262),AL262,9000000000000000),IF(AND(K262=0,ISNUMBER(AM262),AM262&lt;=T262),AM262,9000000000000000))),"OR",IF(AND(AND(J262=0,ISNUMBER(AL262),AL262&lt;=T262),AL262=MIN(IF(AND(I262=0,ISNUMBER(AK262),AK262&lt;=T262),AK262,9000000000000000),IF(AND(J262=0,ISNUMBER(AL262),AL262&lt;=T262),AL262,9000000000000000),IF(AND(K262=0,ISNUMBER(AM262),AM262&lt;=T262),AM262,9000000000000000))),"HP","FP")),IF(AR262=TRUE(),"",IF(MAX(IF(AND(NOT(AND(AO262=1,AN262&lt;&gt;1)),ISNUMBER(AG262),AG262&lt;=T262),AS262,0),IF(AND(NOT(AND(AO262=1,AN262&lt;&gt;1)),ISNUMBER(AH262),AH262&lt;=T262),AT262,0),IF(AND(NOT(AND(AO262=1,AN262&lt;&gt;1)),ISNUMBER(AI262),AI262&lt;=T262),AU262,0),IF(AND(ISNUMBER(AJ262),AJ262&lt;=T262),AV262,0))&lt;=0,"",IF(AND(IF(AND(NOT(AND(AO262=1,AN262&lt;&gt;1)),ISNUMBER(AG262),AG262&lt;=T262),AS262,0)&gt;0,IF(AND(NOT(AND(AO262=1,AN262&lt;&gt;1)),ISNUMBER(AG262),AG262&lt;=T262),AS262,0)=MAX(IF(AND(NOT(AND(AO262=1,AN262&lt;&gt;1)),ISNUMBER(AG262),AG262&lt;=T262),AS262,0),IF(AND(NOT(AND(AO262=1,AN262&lt;&gt;1)),ISNUMBER(AH262),AH262&lt;=T262),AT262,0),IF(AND(NOT(AND(AO262=1,AN262&lt;&gt;1)),ISNUMBER(AI262),AI262&lt;=T262),AU262,0),IF(AND(ISNUMBER(AJ262),AJ262&lt;=T262),AV262,0))),"SW",IF(AND(IF(AND(NOT(AND(AO262=1,AN262&lt;&gt;1)),ISNUMBER(AH262),AH262&lt;=T262),AT262,0)&gt;0,IF(AND(NOT(AND(AO262=1,AN262&lt;&gt;1)),ISNUMBER(AH262),AH262&lt;=T262),AT262,0)=MAX(IF(AND(NOT(AND(AO262=1,AN262&lt;&gt;1)),ISNUMBER(AG262),AG262&lt;=T262),AS262,0),IF(AND(NOT(AND(AO262=1,AN262&lt;&gt;1)),ISNUMBER(AH262),AH262&lt;=T262),AT262,0),IF(AND(NOT(AND(AO262=1,AN262&lt;&gt;1)),ISNUMBER(AI262),AI262&lt;=T262),AU262,0),IF(AND(ISNUMBER(AJ262),AJ262&lt;=T262),AV262,0))),"AB",IF(AND(IF(AND(NOT(AND(AO262=1,AN262&lt;&gt;1)),ISNUMBER(AI262),AI262&lt;=T262),AU262,0)&gt;0,IF(AND(NOT(AND(AO262=1,AN262&lt;&gt;1)),ISNUMBER(AI262),AI262&lt;=T262),AU262,0)=MAX(IF(AND(NOT(AND(AO262=1,AN262&lt;&gt;1)),ISNUMBER(AG262),AG262&lt;=T262),AS262,0),IF(AND(NOT(AND(AO262=1,AN262&lt;&gt;1)),ISNUMBER(AH262),AH262&lt;=T262),AT262,0),IF(AND(NOT(AND(AO262=1,AN262&lt;&gt;1)),ISNUMBER(AI262),AI262&lt;=T262),AU262,0),IF(AND(ISNUMBER(AJ262),AJ262&lt;=T262),AV262,0))),"SC","Mag")))))))</f>
        <v/>
      </c>
    </row>
    <row r="263" customFormat="false" ht="15" hidden="false" customHeight="false" outlineLevel="0" collapsed="false">
      <c r="A263" s="26" t="n">
        <v>258</v>
      </c>
      <c r="B263" s="27" t="n">
        <f aca="false">A263*10/60</f>
        <v>43</v>
      </c>
      <c r="C263" s="21" t="n">
        <f aca="false">X262</f>
        <v>18.6730249835055</v>
      </c>
      <c r="D263" s="27" t="n">
        <f aca="false">D262+W262</f>
        <v>0</v>
      </c>
      <c r="E263" s="26" t="n">
        <f aca="false">E262+IF(U262="SW",1,0)</f>
        <v>12</v>
      </c>
      <c r="F263" s="26" t="n">
        <f aca="false">F262+IF(U262="AB",1,0)</f>
        <v>10</v>
      </c>
      <c r="G263" s="26" t="n">
        <f aca="false">G262+IF(U262="SC",1,0)</f>
        <v>7</v>
      </c>
      <c r="H263" s="26" t="n">
        <f aca="false">H262+IF(U262="Mag",1,0)</f>
        <v>5</v>
      </c>
      <c r="I263" s="26" t="n">
        <f aca="false">MAX(I262,IF(U262="OR",1,0))</f>
        <v>1</v>
      </c>
      <c r="J263" s="26" t="n">
        <f aca="false">MAX(J262,IF(U262="HP",1,0))</f>
        <v>1</v>
      </c>
      <c r="K263" s="26" t="n">
        <f aca="false">MAX(K262,IF(U262="FP",1,0))</f>
        <v>1</v>
      </c>
      <c r="L263" s="26" t="n">
        <f aca="false">MAX(L262,IF(U262="transition",1,0))</f>
        <v>1</v>
      </c>
      <c r="M263" s="28" t="n">
        <f aca="false">(Parameters!$B$9+(IF(E263=0,0,(Upgrades!$J$6+E263*Upgrades!$K$6)*POWER(Upgrades!$L$6,E263)))*(IF(Upgrades!$T$7="Solar Wind",POWER(Upgrades!$U$7,F263),1)*IF(Upgrades!$T$8="Solar Wind",POWER(Upgrades!$U$8,G263),1)*IF(Upgrades!$T$9="Solar Wind",POWER(Upgrades!$U$9,H263),1)*IF(Upgrades!$T$10="Solar Wind",POWER(Upgrades!$U$10,I263),1)*IF(Upgrades!$T$11="Solar Wind",POWER(Upgrades!$U$11,J263),1)*IF(Upgrades!$T$12="Solar Wind",POWER(Upgrades!$U$12,K263),1))+(IF(F263=0,0,(Upgrades!$J$7+F263*Upgrades!$K$7)*POWER(Upgrades!$L$7,F263)))*(IF(Upgrades!$T$6="Asteroid Belt",POWER(Upgrades!$U$6,E263),1)*IF(Upgrades!$T$8="Asteroid Belt",POWER(Upgrades!$U$8,G263),1)*IF(Upgrades!$T$9="Asteroid Belt",POWER(Upgrades!$U$9,H263),1)*IF(Upgrades!$T$10="Asteroid Belt",POWER(Upgrades!$U$10,I263),1)*IF(Upgrades!$T$11="Asteroid Belt",POWER(Upgrades!$U$11,J263),1)*IF(Upgrades!$T$12="Asteroid Belt",POWER(Upgrades!$U$12,K263),1))+(IF(G263=0,0,(Upgrades!$J$8+G263*Upgrades!$K$8)*POWER(Upgrades!$L$8,G263)))*(IF(Upgrades!$T$6="Stellar Coupling",POWER(Upgrades!$U$6,E263),1)*IF(Upgrades!$T$7="Stellar Coupling",POWER(Upgrades!$U$7,F263),1)*IF(Upgrades!$T$9="Stellar Coupling",POWER(Upgrades!$U$9,H263),1)*IF(Upgrades!$T$10="Stellar Coupling",POWER(Upgrades!$U$10,I263),1)*IF(Upgrades!$T$11="Stellar Coupling",POWER(Upgrades!$U$11,J263),1)*IF(Upgrades!$T$12="Stellar Coupling",POWER(Upgrades!$U$12,K263),1))+(IF(H263=0,0,(Upgrades!$J$9+H263*Upgrades!$K$9)*POWER(Upgrades!$L$9,H263)))*(IF(Upgrades!$T$6="Magnetosphere",POWER(Upgrades!$U$6,E263),1)*IF(Upgrades!$T$7="Magnetosphere",POWER(Upgrades!$U$7,F263),1)*IF(Upgrades!$T$8="Magnetosphere",POWER(Upgrades!$U$8,G263),1)*IF(Upgrades!$T$10="Magnetosphere",POWER(Upgrades!$U$10,I263),1)*IF(Upgrades!$T$11="Magnetosphere",POWER(Upgrades!$U$11,J263),1)*IF(Upgrades!$T$12="Magnetosphere",POWER(Upgrades!$U$12,K263),1))+(IF(I263=0,0,(Upgrades!$J$10+I263*Upgrades!$K$10)*POWER(Upgrades!$L$10,I263)))*(IF(Upgrades!$T$6="Orbital Resonance",POWER(Upgrades!$U$6,E263),1)*IF(Upgrades!$T$7="Orbital Resonance",POWER(Upgrades!$U$7,F263),1)*IF(Upgrades!$T$8="Orbital Resonance",POWER(Upgrades!$U$8,G263),1)*IF(Upgrades!$T$9="Orbital Resonance",POWER(Upgrades!$U$9,H263),1)*IF(Upgrades!$T$11="Orbital Resonance",POWER(Upgrades!$U$11,J263),1)*IF(Upgrades!$T$12="Orbital Resonance",POWER(Upgrades!$U$12,K263),1))+(IF(J263=0,0,(Upgrades!$J$11+J263*Upgrades!$K$11)*POWER(Upgrades!$L$11,J263)))*(IF(Upgrades!$T$6="Heliopause",POWER(Upgrades!$U$6,E263),1)*IF(Upgrades!$T$7="Heliopause",POWER(Upgrades!$U$7,F263),1)*IF(Upgrades!$T$8="Heliopause",POWER(Upgrades!$U$8,G263),1)*IF(Upgrades!$T$9="Heliopause",POWER(Upgrades!$U$9,H263),1)*IF(Upgrades!$T$10="Heliopause",POWER(Upgrades!$U$10,I263),1)*IF(Upgrades!$T$12="Heliopause",POWER(Upgrades!$U$12,K263),1))+(IF(K263=0,0,(Upgrades!$J$12+K263*Upgrades!$K$12)*POWER(Upgrades!$L$12,K263)))*(IF(Upgrades!$T$6="First Photons",POWER(Upgrades!$U$6,E263),1)*IF(Upgrades!$T$7="First Photons",POWER(Upgrades!$U$7,F263),1)*IF(Upgrades!$T$8="First Photons",POWER(Upgrades!$U$8,G263),1)*IF(Upgrades!$T$9="First Photons",POWER(Upgrades!$U$9,H263),1)*IF(Upgrades!$T$10="First Photons",POWER(Upgrades!$U$10,I263),1)*IF(Upgrades!$T$11="First Photons",POWER(Upgrades!$U$11,J263),1)))*POWER(Upgrades!$Q$6,E263)*POWER(Upgrades!$Q$7,F263)*POWER(Upgrades!$Q$8,G263)*POWER(Upgrades!$Q$9,H263)*POWER(Upgrades!$Q$10,I263)*POWER(Upgrades!$Q$11,J263)*POWER(Upgrades!$Q$12,K263)</f>
        <v>5.61</v>
      </c>
      <c r="N263" s="28" t="n">
        <f aca="false">((IF(E263=0,0,(Upgrades!$G$6+E263*Upgrades!$H$6)*POWER(Upgrades!$I$6,E263)))*(IF(Upgrades!$T$7="Solar Wind",POWER(Upgrades!$U$7,F263),1)*IF(Upgrades!$T$8="Solar Wind",POWER(Upgrades!$U$8,G263),1)*IF(Upgrades!$T$9="Solar Wind",POWER(Upgrades!$U$9,H263),1)*IF(Upgrades!$T$10="Solar Wind",POWER(Upgrades!$U$10,I263),1)*IF(Upgrades!$T$11="Solar Wind",POWER(Upgrades!$U$11,J263),1)*IF(Upgrades!$T$12="Solar Wind",POWER(Upgrades!$U$12,K263),1))+(IF(F263=0,0,(Upgrades!$G$7+F263*Upgrades!$H$7)*POWER(Upgrades!$I$7,F263)))*(IF(Upgrades!$T$6="Asteroid Belt",POWER(Upgrades!$U$6,E263),1)*IF(Upgrades!$T$8="Asteroid Belt",POWER(Upgrades!$U$8,G263),1)*IF(Upgrades!$T$9="Asteroid Belt",POWER(Upgrades!$U$9,H263),1)*IF(Upgrades!$T$10="Asteroid Belt",POWER(Upgrades!$U$10,I263),1)*IF(Upgrades!$T$11="Asteroid Belt",POWER(Upgrades!$U$11,J263),1)*IF(Upgrades!$T$12="Asteroid Belt",POWER(Upgrades!$U$12,K263),1))+(IF(G263=0,0,(Upgrades!$G$8+G263*Upgrades!$H$8)*POWER(Upgrades!$I$8,G263)))*(IF(Upgrades!$T$6="Stellar Coupling",POWER(Upgrades!$U$6,E263),1)*IF(Upgrades!$T$7="Stellar Coupling",POWER(Upgrades!$U$7,F263),1)*IF(Upgrades!$T$9="Stellar Coupling",POWER(Upgrades!$U$9,H263),1)*IF(Upgrades!$T$10="Stellar Coupling",POWER(Upgrades!$U$10,I263),1)*IF(Upgrades!$T$11="Stellar Coupling",POWER(Upgrades!$U$11,J263),1)*IF(Upgrades!$T$12="Stellar Coupling",POWER(Upgrades!$U$12,K263),1))+(IF(H263=0,0,(Upgrades!$G$9+H263*Upgrades!$H$9)*POWER(Upgrades!$I$9,H263)))*(IF(Upgrades!$T$6="Magnetosphere",POWER(Upgrades!$U$6,E263),1)*IF(Upgrades!$T$7="Magnetosphere",POWER(Upgrades!$U$7,F263),1)*IF(Upgrades!$T$8="Magnetosphere",POWER(Upgrades!$U$8,G263),1)*IF(Upgrades!$T$10="Magnetosphere",POWER(Upgrades!$U$10,I263),1)*IF(Upgrades!$T$11="Magnetosphere",POWER(Upgrades!$U$11,J263),1)*IF(Upgrades!$T$12="Magnetosphere",POWER(Upgrades!$U$12,K263),1))+(IF(I263=0,0,(Upgrades!$G$10+I263*Upgrades!$H$10)*POWER(Upgrades!$I$10,I263)))*(IF(Upgrades!$T$6="Orbital Resonance",POWER(Upgrades!$U$6,E263),1)*IF(Upgrades!$T$7="Orbital Resonance",POWER(Upgrades!$U$7,F263),1)*IF(Upgrades!$T$8="Orbital Resonance",POWER(Upgrades!$U$8,G263),1)*IF(Upgrades!$T$9="Orbital Resonance",POWER(Upgrades!$U$9,H263),1)*IF(Upgrades!$T$11="Orbital Resonance",POWER(Upgrades!$U$11,J263),1)*IF(Upgrades!$T$12="Orbital Resonance",POWER(Upgrades!$U$12,K263),1))+(IF(J263=0,0,(Upgrades!$G$11+J263*Upgrades!$H$11)*POWER(Upgrades!$I$11,J263)))*(IF(Upgrades!$T$6="Heliopause",POWER(Upgrades!$U$6,E263),1)*IF(Upgrades!$T$7="Heliopause",POWER(Upgrades!$U$7,F263),1)*IF(Upgrades!$T$8="Heliopause",POWER(Upgrades!$U$8,G263),1)*IF(Upgrades!$T$9="Heliopause",POWER(Upgrades!$U$9,H263),1)*IF(Upgrades!$T$10="Heliopause",POWER(Upgrades!$U$10,I263),1)*IF(Upgrades!$T$12="Heliopause",POWER(Upgrades!$U$12,K263),1))+(IF(K263=0,0,(Upgrades!$G$12+K263*Upgrades!$H$12)*POWER(Upgrades!$I$12,K263)))*(IF(Upgrades!$T$6="First Photons",POWER(Upgrades!$U$6,E263),1)*IF(Upgrades!$T$7="First Photons",POWER(Upgrades!$U$7,F263),1)*IF(Upgrades!$T$8="First Photons",POWER(Upgrades!$U$8,G263),1)*IF(Upgrades!$T$9="First Photons",POWER(Upgrades!$U$9,H263),1)*IF(Upgrades!$T$10="First Photons",POWER(Upgrades!$U$10,I263),1)*IF(Upgrades!$T$11="First Photons",POWER(Upgrades!$U$11,J263),1)))*POWER(Upgrades!$P$6,E263)*POWER(Upgrades!$P$7,F263)*POWER(Upgrades!$P$8,G263)*POWER(Upgrades!$P$9,H263)*POWER(Upgrades!$P$10,I263)*POWER(Upgrades!$P$11,J263)*POWER(Upgrades!$P$12,K263)</f>
        <v>11.2</v>
      </c>
      <c r="O263" s="28" t="n">
        <f aca="false">((IF(E263=0,0,(Upgrades!$M$6+E263*Upgrades!$N$6)*POWER(Upgrades!$O$6,E263)))*(IF(Upgrades!$T$7="Solar Wind",POWER(Upgrades!$U$7,F263),1)*IF(Upgrades!$T$8="Solar Wind",POWER(Upgrades!$U$8,G263),1)*IF(Upgrades!$T$9="Solar Wind",POWER(Upgrades!$U$9,H263),1)*IF(Upgrades!$T$10="Solar Wind",POWER(Upgrades!$U$10,I263),1)*IF(Upgrades!$T$11="Solar Wind",POWER(Upgrades!$U$11,J263),1)*IF(Upgrades!$T$12="Solar Wind",POWER(Upgrades!$U$12,K263),1))+(IF(F263=0,0,(Upgrades!$M$7+F263*Upgrades!$N$7)*POWER(Upgrades!$O$7,F263)))*(IF(Upgrades!$T$6="Asteroid Belt",POWER(Upgrades!$U$6,E263),1)*IF(Upgrades!$T$8="Asteroid Belt",POWER(Upgrades!$U$8,G263),1)*IF(Upgrades!$T$9="Asteroid Belt",POWER(Upgrades!$U$9,H263),1)*IF(Upgrades!$T$10="Asteroid Belt",POWER(Upgrades!$U$10,I263),1)*IF(Upgrades!$T$11="Asteroid Belt",POWER(Upgrades!$U$11,J263),1)*IF(Upgrades!$T$12="Asteroid Belt",POWER(Upgrades!$U$12,K263),1))+(IF(G263=0,0,(Upgrades!$M$8+G263*Upgrades!$N$8)*POWER(Upgrades!$O$8,G263)))*(IF(Upgrades!$T$6="Stellar Coupling",POWER(Upgrades!$U$6,E263),1)*IF(Upgrades!$T$7="Stellar Coupling",POWER(Upgrades!$U$7,F263),1)*IF(Upgrades!$T$9="Stellar Coupling",POWER(Upgrades!$U$9,H263),1)*IF(Upgrades!$T$10="Stellar Coupling",POWER(Upgrades!$U$10,I263),1)*IF(Upgrades!$T$11="Stellar Coupling",POWER(Upgrades!$U$11,J263),1)*IF(Upgrades!$T$12="Stellar Coupling",POWER(Upgrades!$U$12,K263),1))+(IF(H263=0,0,(Upgrades!$M$9+H263*Upgrades!$N$9)*POWER(Upgrades!$O$9,H263)))*(IF(Upgrades!$T$6="Magnetosphere",POWER(Upgrades!$U$6,E263),1)*IF(Upgrades!$T$7="Magnetosphere",POWER(Upgrades!$U$7,F263),1)*IF(Upgrades!$T$8="Magnetosphere",POWER(Upgrades!$U$8,G263),1)*IF(Upgrades!$T$10="Magnetosphere",POWER(Upgrades!$U$10,I263),1)*IF(Upgrades!$T$11="Magnetosphere",POWER(Upgrades!$U$11,J263),1)*IF(Upgrades!$T$12="Magnetosphere",POWER(Upgrades!$U$12,K263),1))+(IF(I263=0,0,(Upgrades!$M$10+I263*Upgrades!$N$10)*POWER(Upgrades!$O$10,I263)))*(IF(Upgrades!$T$6="Orbital Resonance",POWER(Upgrades!$U$6,E263),1)*IF(Upgrades!$T$7="Orbital Resonance",POWER(Upgrades!$U$7,F263),1)*IF(Upgrades!$T$8="Orbital Resonance",POWER(Upgrades!$U$8,G263),1)*IF(Upgrades!$T$9="Orbital Resonance",POWER(Upgrades!$U$9,H263),1)*IF(Upgrades!$T$11="Orbital Resonance",POWER(Upgrades!$U$11,J263),1)*IF(Upgrades!$T$12="Orbital Resonance",POWER(Upgrades!$U$12,K263),1))+(IF(J263=0,0,(Upgrades!$M$11+J263*Upgrades!$N$11)*POWER(Upgrades!$O$11,J263)))*(IF(Upgrades!$T$6="Heliopause",POWER(Upgrades!$U$6,E263),1)*IF(Upgrades!$T$7="Heliopause",POWER(Upgrades!$U$7,F263),1)*IF(Upgrades!$T$8="Heliopause",POWER(Upgrades!$U$8,G263),1)*IF(Upgrades!$T$9="Heliopause",POWER(Upgrades!$U$9,H263),1)*IF(Upgrades!$T$10="Heliopause",POWER(Upgrades!$U$10,I263),1)*IF(Upgrades!$T$12="Heliopause",POWER(Upgrades!$U$12,K263),1))+(IF(K263=0,0,(Upgrades!$M$12+K263*Upgrades!$N$12)*POWER(Upgrades!$O$12,K263)))*(IF(Upgrades!$T$6="First Photons",POWER(Upgrades!$U$6,E263),1)*IF(Upgrades!$T$7="First Photons",POWER(Upgrades!$U$7,F263),1)*IF(Upgrades!$T$8="First Photons",POWER(Upgrades!$U$8,G263),1)*IF(Upgrades!$T$9="First Photons",POWER(Upgrades!$U$9,H263),1)*IF(Upgrades!$T$10="First Photons",POWER(Upgrades!$U$10,I263),1)*IF(Upgrades!$T$11="First Photons",POWER(Upgrades!$U$11,J263),1)))*POWER(Upgrades!$R$6,E263)*POWER(Upgrades!$R$7,F263)*POWER(Upgrades!$R$8,G263)*POWER(Upgrades!$R$9,H263)*POWER(Upgrades!$R$10,I263)*POWER(Upgrades!$R$11,J263)*POWER(Upgrades!$R$12,K263)</f>
        <v>0</v>
      </c>
      <c r="P263" s="27" t="n">
        <f aca="false">IF(L263=1,0,M263*Parameters!$B$10/60*Parameters!$B$11*10)</f>
        <v>0</v>
      </c>
      <c r="Q263" s="27" t="n">
        <f aca="false">IF(L263=1,0,O263*M263*10)</f>
        <v>0</v>
      </c>
      <c r="R263" s="27" t="n">
        <f aca="false">IF(L263=1,0,N263*10)</f>
        <v>0</v>
      </c>
      <c r="S263" s="27" t="n">
        <f aca="false">P263+Q263+R263</f>
        <v>0</v>
      </c>
      <c r="T263" s="21" t="n">
        <f aca="false">C263+S263</f>
        <v>18.6730249835055</v>
      </c>
      <c r="U263" s="34" t="str">
        <f aca="false">AX263</f>
        <v/>
      </c>
      <c r="V263" s="21" t="n">
        <f aca="false">IF(U263="",0,IF(U263="transition",0,IF(U263="SW",AG263,IF(U263="AB",AH263,IF(U263="SC",AI263,IF(U263="Mag",AJ263,IF(U263="OR",AK263,IF(U263="HP",AL263,IF(U263="FP",AM263,0)))))))))</f>
        <v>0</v>
      </c>
      <c r="W263" s="27" t="n">
        <f aca="false">IF(U263="OR",Upgrades!$F$10,IF(U263="HP",Upgrades!$F$11,IF(U263="transition",-Parameters!$B$18,0)))</f>
        <v>0</v>
      </c>
      <c r="X263" s="21" t="n">
        <f aca="false">T263-V263</f>
        <v>18.6730249835055</v>
      </c>
      <c r="Y263" s="30" t="n">
        <f aca="false">M263*Parameters!$B$10/60*Parameters!$B$11+O263*M263+N263</f>
        <v>20.55</v>
      </c>
      <c r="Z263" s="35" t="str">
        <f aca="false">IF(U263="transition","→ Tier 2 (Stellar Neighborhood)",IF(U263="FP","First Photons — light begins, system quickens",IF(U263="HP","Heliopause acquired",IF(U263="OR","Orbital Resonance — passive multiplier active",IF(AND(AO263=1,L263=0,AN263&lt;&gt;1),"Cohesion ready (waiting on completionist upgrades)","")))))</f>
        <v/>
      </c>
      <c r="AA263" s="27" t="n">
        <f aca="false">(IF(E263=0,0,(Upgrades!$G$6+E263*Upgrades!$H$6)*POWER(Upgrades!$I$6,E263)))*(IF(Upgrades!$T$7="Solar Wind",POWER(Upgrades!$U$7,F263),1)*IF(Upgrades!$T$8="Solar Wind",POWER(Upgrades!$U$8,G263),1)*IF(Upgrades!$T$9="Solar Wind",POWER(Upgrades!$U$9,H263),1)*IF(Upgrades!$T$10="Solar Wind",POWER(Upgrades!$U$10,I263),1)*IF(Upgrades!$T$11="Solar Wind",POWER(Upgrades!$U$11,J263),1)*IF(Upgrades!$T$12="Solar Wind",POWER(Upgrades!$U$12,K263),1))*POWER(Upgrades!$P$6,E263)*POWER(Upgrades!$P$7,F263)*POWER(Upgrades!$P$8,G263)*POWER(Upgrades!$P$9,H263)*POWER(Upgrades!$P$10,I263)*POWER(Upgrades!$P$11,J263)*POWER(Upgrades!$P$12,K263)*60</f>
        <v>72</v>
      </c>
      <c r="AB263" s="27" t="n">
        <f aca="false">(IF(F263=0,0,(Upgrades!$G$7+F263*Upgrades!$H$7)*POWER(Upgrades!$I$7,F263)))*(IF(Upgrades!$T$6="Asteroid Belt",POWER(Upgrades!$U$6,E263),1)*IF(Upgrades!$T$8="Asteroid Belt",POWER(Upgrades!$U$8,G263),1)*IF(Upgrades!$T$9="Asteroid Belt",POWER(Upgrades!$U$9,H263),1)*IF(Upgrades!$T$10="Asteroid Belt",POWER(Upgrades!$U$10,I263),1)*IF(Upgrades!$T$11="Asteroid Belt",POWER(Upgrades!$U$11,J263),1)*IF(Upgrades!$T$12="Asteroid Belt",POWER(Upgrades!$U$12,K263),1))*POWER(Upgrades!$P$6,E263)*POWER(Upgrades!$P$7,F263)*POWER(Upgrades!$P$8,G263)*POWER(Upgrades!$P$9,H263)*POWER(Upgrades!$P$10,I263)*POWER(Upgrades!$P$11,J263)*POWER(Upgrades!$P$12,K263)*60</f>
        <v>150</v>
      </c>
      <c r="AC263" s="27" t="n">
        <f aca="false">(IF(G263=0,0,(Upgrades!$J$8+G263*Upgrades!$K$8)*POWER(Upgrades!$L$8,G263)))*(IF(Upgrades!$T$6="Stellar Coupling",POWER(Upgrades!$U$6,E263),1)*IF(Upgrades!$T$7="Stellar Coupling",POWER(Upgrades!$U$7,F263),1)*IF(Upgrades!$T$9="Stellar Coupling",POWER(Upgrades!$U$9,H263),1)*IF(Upgrades!$T$10="Stellar Coupling",POWER(Upgrades!$U$10,I263),1)*IF(Upgrades!$T$11="Stellar Coupling",POWER(Upgrades!$U$11,J263),1)*IF(Upgrades!$T$12="Stellar Coupling",POWER(Upgrades!$U$12,K263),1))*POWER(Upgrades!$Q$6,E263)*POWER(Upgrades!$Q$7,F263)*POWER(Upgrades!$Q$8,G263)*POWER(Upgrades!$Q$9,H263)*POWER(Upgrades!$Q$10,I263)*POWER(Upgrades!$Q$11,J263)*POWER(Upgrades!$Q$12,K263)*Parameters!$B$10*Parameters!$B$11</f>
        <v>441</v>
      </c>
      <c r="AD263" s="27" t="n">
        <f aca="false">(IF(H263=0,0,(Upgrades!$G$9+H263*Upgrades!$H$9)*POWER(Upgrades!$I$9,H263)))*(IF(Upgrades!$T$6="Magnetosphere",POWER(Upgrades!$U$6,E263),1)*IF(Upgrades!$T$7="Magnetosphere",POWER(Upgrades!$U$7,F263),1)*IF(Upgrades!$T$8="Magnetosphere",POWER(Upgrades!$U$8,G263),1)*IF(Upgrades!$T$10="Magnetosphere",POWER(Upgrades!$U$10,I263),1)*IF(Upgrades!$T$11="Magnetosphere",POWER(Upgrades!$U$11,J263),1)*IF(Upgrades!$T$12="Magnetosphere",POWER(Upgrades!$U$12,K263),1))*POWER(Upgrades!$P$6,E263)*POWER(Upgrades!$P$7,F263)*POWER(Upgrades!$P$8,G263)*POWER(Upgrades!$P$9,H263)*POWER(Upgrades!$P$10,I263)*POWER(Upgrades!$P$11,J263)*POWER(Upgrades!$P$12,K263)*60</f>
        <v>375</v>
      </c>
      <c r="AE263" s="27" t="n">
        <f aca="false">(IF(K263=0,0,(Upgrades!$G$12+K263*Upgrades!$H$12)*POWER(Upgrades!$I$12,K263)))*(IF(Upgrades!$T$6="First Photons",POWER(Upgrades!$U$6,E263),1)*IF(Upgrades!$T$7="First Photons",POWER(Upgrades!$U$7,F263),1)*IF(Upgrades!$T$8="First Photons",POWER(Upgrades!$U$8,G263),1)*IF(Upgrades!$T$9="First Photons",POWER(Upgrades!$U$9,H263),1)*IF(Upgrades!$T$10="First Photons",POWER(Upgrades!$U$10,I263),1)*IF(Upgrades!$T$11="First Photons",POWER(Upgrades!$U$11,J263),1))*POWER(Upgrades!$P$6,E263)*POWER(Upgrades!$P$7,F263)*POWER(Upgrades!$P$8,G263)*POWER(Upgrades!$P$9,H263)*POWER(Upgrades!$P$10,I263)*POWER(Upgrades!$P$11,J263)*POWER(Upgrades!$P$12,K263)*60</f>
        <v>75</v>
      </c>
      <c r="AF263" s="27" t="n">
        <f aca="false">Parameters!$B$9*POWER(Upgrades!$Q$6,E263)*POWER(Upgrades!$Q$7,F263)*POWER(Upgrades!$Q$8,G263)*POWER(Upgrades!$Q$9,H263)*POWER(Upgrades!$Q$10,I263)*POWER(Upgrades!$Q$11,J263)*POWER(Upgrades!$Q$12,K263)*(Parameters!$B$10*Parameters!$B$11+O263*60)</f>
        <v>120</v>
      </c>
      <c r="AG263" s="21" t="n">
        <f aca="false">IF(E263&gt;=Upgrades!$E$6,"",Upgrades!$C$6*POWER(Upgrades!$D$6,E263))</f>
        <v>37.4517507383159</v>
      </c>
      <c r="AH263" s="21" t="n">
        <f aca="false">IF(F263&gt;=Upgrades!$E$7,"",Upgrades!$C$7*POWER(Upgrades!$D$7,F263))</f>
        <v>80.9111547141581</v>
      </c>
      <c r="AI263" s="21" t="n">
        <f aca="false">IF(G263&gt;=Upgrades!$E$8,"",Upgrades!$C$8*POWER(Upgrades!$D$8,G263))</f>
        <v>231.9097088</v>
      </c>
      <c r="AJ263" s="21" t="str">
        <f aca="false">IF(H263&gt;=Upgrades!$E$9,"",Upgrades!$C$9*POWER(Upgrades!$D$9,H263))</f>
        <v/>
      </c>
      <c r="AK263" s="21" t="str">
        <f aca="false">IF(I263&gt;=Upgrades!$E$10,"",Upgrades!$C$10*POWER(Upgrades!$D$10,I263))</f>
        <v/>
      </c>
      <c r="AL263" s="21" t="str">
        <f aca="false">IF(J263&gt;=Upgrades!$E$11,"",Upgrades!$C$11*POWER(Upgrades!$D$11,J263))</f>
        <v/>
      </c>
      <c r="AM263" s="21" t="str">
        <f aca="false">IF(K263&gt;=Upgrades!$E$12,"",Upgrades!$C$12*POWER(Upgrades!$D$12,K263))</f>
        <v/>
      </c>
      <c r="AN263" s="26" t="str">
        <f aca="false">IF(AND(D263&gt;=Parameters!$B$18,(H263&gt;=Upgrades!$E$9)*(K263&gt;=Upgrades!$E$12)=1,L263=0),1,"")</f>
        <v/>
      </c>
      <c r="AO263" s="26" t="str">
        <f aca="false">IF(AND(D263&gt;=Parameters!$B$18,L263=0),1,"")</f>
        <v/>
      </c>
      <c r="AP263" s="21" t="n">
        <f aca="false">MIN(IF(ISNUMBER(AK263),AK263,9000000000000000),IF(ISNUMBER(AL263),AL263,9000000000000000),IF(ISNUMBER(AM263),AM263,9000000000000000))</f>
        <v>9000000000000000</v>
      </c>
      <c r="AQ263" s="21" t="n">
        <f aca="false">MIN(IF(ISNUMBER(AG263),AG263,9000000000000000),IF(ISNUMBER(AH263),AH263,9000000000000000),IF(ISNUMBER(AI263),AI263,9000000000000000),IF(ISNUMBER(AJ263),AJ263,9000000000000000))</f>
        <v>37.4517507383159</v>
      </c>
      <c r="AR263" s="32" t="b">
        <f aca="false">IF(AW263&gt;Parameters!$B$21*(MAX(IF(AND(NOT(AND(AO263=1,AN263&lt;&gt;1)),ISNUMBER(AG263),AG263&lt;=T263),AS263,0),IF(AND(NOT(AND(AO263=1,AN263&lt;&gt;1)),ISNUMBER(AH263),AH263&lt;=T263),AT263,0),IF(AND(NOT(AND(AO263=1,AN263&lt;&gt;1)),ISNUMBER(AI263),AI263&lt;=T263),AU263,0),IF(AND(ISNUMBER(AJ263),AJ263&lt;=T263),AV263,0))),TRUE(),FALSE())</f>
        <v>1</v>
      </c>
      <c r="AS263" s="33" t="n">
        <f aca="false">IFERROR(Upgrades!$H$6*(POWER(Upgrades!$P$6,E263)*POWER(Upgrades!$P$7,F263)*POWER(Upgrades!$P$8,G263)*POWER(Upgrades!$P$9,H263)*POWER(Upgrades!$P$10,I263)*POWER(Upgrades!$P$11,J263)*POWER(Upgrades!$P$12,K263))*(IF(Upgrades!$T$7="Solar Wind",POWER(Upgrades!$U$7,F263),1)*IF(Upgrades!$T$8="Solar Wind",POWER(Upgrades!$U$8,G263),1)*IF(Upgrades!$T$9="Solar Wind",POWER(Upgrades!$U$9,H263),1)*IF(Upgrades!$T$10="Solar Wind",POWER(Upgrades!$U$10,I263),1)*IF(Upgrades!$T$11="Solar Wind",POWER(Upgrades!$U$11,J263),1)*IF(Upgrades!$T$12="Solar Wind",POWER(Upgrades!$U$12,K263),1))/AG263,0)</f>
        <v>0.0026701021455238</v>
      </c>
      <c r="AT263" s="33" t="n">
        <f aca="false">IFERROR(Upgrades!$H$7*(POWER(Upgrades!$P$6,E263)*POWER(Upgrades!$P$7,F263)*POWER(Upgrades!$P$8,G263)*POWER(Upgrades!$P$9,H263)*POWER(Upgrades!$P$10,I263)*POWER(Upgrades!$P$11,J263)*POWER(Upgrades!$P$12,K263))*(IF(Upgrades!$T$6="Asteroid Belt",POWER(Upgrades!$U$6,E263),1)*IF(Upgrades!$T$8="Asteroid Belt",POWER(Upgrades!$U$8,G263),1)*IF(Upgrades!$T$9="Asteroid Belt",POWER(Upgrades!$U$9,H263),1)*IF(Upgrades!$T$10="Asteroid Belt",POWER(Upgrades!$U$10,I263),1)*IF(Upgrades!$T$11="Asteroid Belt",POWER(Upgrades!$U$11,J263),1)*IF(Upgrades!$T$12="Asteroid Belt",POWER(Upgrades!$U$12,K263),1))/AH263,0)</f>
        <v>0.00308980882652332</v>
      </c>
      <c r="AU263" s="33" t="n">
        <f aca="false">IFERROR(Upgrades!$K$8*(POWER(Upgrades!$Q$6,E263)*POWER(Upgrades!$Q$7,F263)*POWER(Upgrades!$Q$8,G263)*POWER(Upgrades!$Q$9,H263)*POWER(Upgrades!$Q$10,I263)*POWER(Upgrades!$Q$11,J263)*POWER(Upgrades!$Q$12,K263))*(IF(Upgrades!$T$6="Stellar Coupling",POWER(Upgrades!$U$6,E263),1)*IF(Upgrades!$T$7="Stellar Coupling",POWER(Upgrades!$U$7,F263),1)*IF(Upgrades!$T$9="Stellar Coupling",POWER(Upgrades!$U$9,H263),1)*IF(Upgrades!$T$10="Stellar Coupling",POWER(Upgrades!$U$10,I263),1)*IF(Upgrades!$T$11="Stellar Coupling",POWER(Upgrades!$U$11,J263),1)*IF(Upgrades!$T$12="Stellar Coupling",POWER(Upgrades!$U$12,K263),1))*Parameters!$B$10*Parameters!$B$11/60/AI263,0)</f>
        <v>0.00452762415783776</v>
      </c>
      <c r="AV263" s="33" t="n">
        <f aca="false">IFERROR(Upgrades!$H$9*(POWER(Upgrades!$P$6,E263)*POWER(Upgrades!$P$7,F263)*POWER(Upgrades!$P$8,G263)*POWER(Upgrades!$P$9,H263)*POWER(Upgrades!$P$10,I263)*POWER(Upgrades!$P$11,J263)*POWER(Upgrades!$P$12,K263))*(IF(Upgrades!$T$6="Magnetosphere",POWER(Upgrades!$U$6,E263),1)*IF(Upgrades!$T$7="Magnetosphere",POWER(Upgrades!$U$7,F263),1)*IF(Upgrades!$T$8="Magnetosphere",POWER(Upgrades!$U$8,G263),1)*IF(Upgrades!$T$10="Magnetosphere",POWER(Upgrades!$U$10,I263),1)*IF(Upgrades!$T$11="Magnetosphere",POWER(Upgrades!$U$11,J263),1)*IF(Upgrades!$T$12="Magnetosphere",POWER(Upgrades!$U$12,K263),1))/AJ263,0)</f>
        <v>0</v>
      </c>
      <c r="AW263" s="33" t="n">
        <f aca="false">MAX(IF(I263&gt;0,0,IFERROR(0.25*N263/Upgrades!$C$10,0)),IF(J263&gt;0,0,IFERROR(0.5*((IF(G263=0,0,(Upgrades!$J$8+G263*Upgrades!$K$8)*POWER(Upgrades!$L$8,G263)))*(IF(Upgrades!$T$6="Stellar Coupling",POWER(Upgrades!$U$6,E263),1)*IF(Upgrades!$T$7="Stellar Coupling",POWER(Upgrades!$U$7,F263),1)*IF(Upgrades!$T$9="Stellar Coupling",POWER(Upgrades!$U$9,H263),1)*IF(Upgrades!$T$10="Stellar Coupling",POWER(Upgrades!$U$10,I263),1)*IF(Upgrades!$T$11="Stellar Coupling",POWER(Upgrades!$U$11,J263),1)*IF(Upgrades!$T$12="Stellar Coupling",POWER(Upgrades!$U$12,K263),1))*(POWER(Upgrades!$Q$6,E263)*POWER(Upgrades!$Q$7,F263)*POWER(Upgrades!$Q$8,G263)*POWER(Upgrades!$Q$9,H263)*POWER(Upgrades!$Q$10,I263)*POWER(Upgrades!$Q$11,J263)*POWER(Upgrades!$Q$12,K263))*Parameters!$B$10*Parameters!$B$11/60)/Upgrades!$C$11,0)),IF(K263&gt;0,0,IFERROR((1*(POWER(Upgrades!$P$6,E263)*POWER(Upgrades!$P$7,F263)*POWER(Upgrades!$P$8,G263)*POWER(Upgrades!$P$9,H263)*POWER(Upgrades!$P$10,I263)*POWER(Upgrades!$P$11,J263)*POWER(Upgrades!$P$12,K263))+0.2*M263*Parameters!$B$10*Parameters!$B$11/60)/Upgrades!$C$12,0)),IF(AND(ISNUMBER(AG263),AG263&gt;T263),AS263,0),IF(AND(ISNUMBER(AH263),AH263&gt;T263),AT263,0),IF(AND(ISNUMBER(AI263),AI263&gt;T263),AU263,0),IF(AND(ISNUMBER(AJ263),AJ263&gt;T263),AV263,0))</f>
        <v>0.00452762415783776</v>
      </c>
      <c r="AX263" s="29" t="str">
        <f aca="false">IF(AN263=1,"transition",IF(MIN(IF(AND(I263=0,ISNUMBER(AK263),AK263&lt;=T263),AK263,9000000000000000),IF(AND(J263=0,ISNUMBER(AL263),AL263&lt;=T263),AL263,9000000000000000),IF(AND(K263=0,ISNUMBER(AM263),AM263&lt;=T263),AM263,9000000000000000))&lt;9000000000000000,IF(AND(AND(I263=0,ISNUMBER(AK263),AK263&lt;=T263),AK263=MIN(IF(AND(I263=0,ISNUMBER(AK263),AK263&lt;=T263),AK263,9000000000000000),IF(AND(J263=0,ISNUMBER(AL263),AL263&lt;=T263),AL263,9000000000000000),IF(AND(K263=0,ISNUMBER(AM263),AM263&lt;=T263),AM263,9000000000000000))),"OR",IF(AND(AND(J263=0,ISNUMBER(AL263),AL263&lt;=T263),AL263=MIN(IF(AND(I263=0,ISNUMBER(AK263),AK263&lt;=T263),AK263,9000000000000000),IF(AND(J263=0,ISNUMBER(AL263),AL263&lt;=T263),AL263,9000000000000000),IF(AND(K263=0,ISNUMBER(AM263),AM263&lt;=T263),AM263,9000000000000000))),"HP","FP")),IF(AR263=TRUE(),"",IF(MAX(IF(AND(NOT(AND(AO263=1,AN263&lt;&gt;1)),ISNUMBER(AG263),AG263&lt;=T263),AS263,0),IF(AND(NOT(AND(AO263=1,AN263&lt;&gt;1)),ISNUMBER(AH263),AH263&lt;=T263),AT263,0),IF(AND(NOT(AND(AO263=1,AN263&lt;&gt;1)),ISNUMBER(AI263),AI263&lt;=T263),AU263,0),IF(AND(ISNUMBER(AJ263),AJ263&lt;=T263),AV263,0))&lt;=0,"",IF(AND(IF(AND(NOT(AND(AO263=1,AN263&lt;&gt;1)),ISNUMBER(AG263),AG263&lt;=T263),AS263,0)&gt;0,IF(AND(NOT(AND(AO263=1,AN263&lt;&gt;1)),ISNUMBER(AG263),AG263&lt;=T263),AS263,0)=MAX(IF(AND(NOT(AND(AO263=1,AN263&lt;&gt;1)),ISNUMBER(AG263),AG263&lt;=T263),AS263,0),IF(AND(NOT(AND(AO263=1,AN263&lt;&gt;1)),ISNUMBER(AH263),AH263&lt;=T263),AT263,0),IF(AND(NOT(AND(AO263=1,AN263&lt;&gt;1)),ISNUMBER(AI263),AI263&lt;=T263),AU263,0),IF(AND(ISNUMBER(AJ263),AJ263&lt;=T263),AV263,0))),"SW",IF(AND(IF(AND(NOT(AND(AO263=1,AN263&lt;&gt;1)),ISNUMBER(AH263),AH263&lt;=T263),AT263,0)&gt;0,IF(AND(NOT(AND(AO263=1,AN263&lt;&gt;1)),ISNUMBER(AH263),AH263&lt;=T263),AT263,0)=MAX(IF(AND(NOT(AND(AO263=1,AN263&lt;&gt;1)),ISNUMBER(AG263),AG263&lt;=T263),AS263,0),IF(AND(NOT(AND(AO263=1,AN263&lt;&gt;1)),ISNUMBER(AH263),AH263&lt;=T263),AT263,0),IF(AND(NOT(AND(AO263=1,AN263&lt;&gt;1)),ISNUMBER(AI263),AI263&lt;=T263),AU263,0),IF(AND(ISNUMBER(AJ263),AJ263&lt;=T263),AV263,0))),"AB",IF(AND(IF(AND(NOT(AND(AO263=1,AN263&lt;&gt;1)),ISNUMBER(AI263),AI263&lt;=T263),AU263,0)&gt;0,IF(AND(NOT(AND(AO263=1,AN263&lt;&gt;1)),ISNUMBER(AI263),AI263&lt;=T263),AU263,0)=MAX(IF(AND(NOT(AND(AO263=1,AN263&lt;&gt;1)),ISNUMBER(AG263),AG263&lt;=T263),AS263,0),IF(AND(NOT(AND(AO263=1,AN263&lt;&gt;1)),ISNUMBER(AH263),AH263&lt;=T263),AT263,0),IF(AND(NOT(AND(AO263=1,AN263&lt;&gt;1)),ISNUMBER(AI263),AI263&lt;=T263),AU263,0),IF(AND(ISNUMBER(AJ263),AJ263&lt;=T263),AV263,0))),"SC","Mag")))))))</f>
        <v/>
      </c>
    </row>
    <row r="264" customFormat="false" ht="15" hidden="false" customHeight="false" outlineLevel="0" collapsed="false">
      <c r="A264" s="26" t="n">
        <v>259</v>
      </c>
      <c r="B264" s="27" t="n">
        <f aca="false">A264*10/60</f>
        <v>43.1666666666667</v>
      </c>
      <c r="C264" s="21" t="n">
        <f aca="false">X263</f>
        <v>18.6730249835055</v>
      </c>
      <c r="D264" s="27" t="n">
        <f aca="false">D263+W263</f>
        <v>0</v>
      </c>
      <c r="E264" s="26" t="n">
        <f aca="false">E263+IF(U263="SW",1,0)</f>
        <v>12</v>
      </c>
      <c r="F264" s="26" t="n">
        <f aca="false">F263+IF(U263="AB",1,0)</f>
        <v>10</v>
      </c>
      <c r="G264" s="26" t="n">
        <f aca="false">G263+IF(U263="SC",1,0)</f>
        <v>7</v>
      </c>
      <c r="H264" s="26" t="n">
        <f aca="false">H263+IF(U263="Mag",1,0)</f>
        <v>5</v>
      </c>
      <c r="I264" s="26" t="n">
        <f aca="false">MAX(I263,IF(U263="OR",1,0))</f>
        <v>1</v>
      </c>
      <c r="J264" s="26" t="n">
        <f aca="false">MAX(J263,IF(U263="HP",1,0))</f>
        <v>1</v>
      </c>
      <c r="K264" s="26" t="n">
        <f aca="false">MAX(K263,IF(U263="FP",1,0))</f>
        <v>1</v>
      </c>
      <c r="L264" s="26" t="n">
        <f aca="false">MAX(L263,IF(U263="transition",1,0))</f>
        <v>1</v>
      </c>
      <c r="M264" s="28" t="n">
        <f aca="false">(Parameters!$B$9+(IF(E264=0,0,(Upgrades!$J$6+E264*Upgrades!$K$6)*POWER(Upgrades!$L$6,E264)))*(IF(Upgrades!$T$7="Solar Wind",POWER(Upgrades!$U$7,F264),1)*IF(Upgrades!$T$8="Solar Wind",POWER(Upgrades!$U$8,G264),1)*IF(Upgrades!$T$9="Solar Wind",POWER(Upgrades!$U$9,H264),1)*IF(Upgrades!$T$10="Solar Wind",POWER(Upgrades!$U$10,I264),1)*IF(Upgrades!$T$11="Solar Wind",POWER(Upgrades!$U$11,J264),1)*IF(Upgrades!$T$12="Solar Wind",POWER(Upgrades!$U$12,K264),1))+(IF(F264=0,0,(Upgrades!$J$7+F264*Upgrades!$K$7)*POWER(Upgrades!$L$7,F264)))*(IF(Upgrades!$T$6="Asteroid Belt",POWER(Upgrades!$U$6,E264),1)*IF(Upgrades!$T$8="Asteroid Belt",POWER(Upgrades!$U$8,G264),1)*IF(Upgrades!$T$9="Asteroid Belt",POWER(Upgrades!$U$9,H264),1)*IF(Upgrades!$T$10="Asteroid Belt",POWER(Upgrades!$U$10,I264),1)*IF(Upgrades!$T$11="Asteroid Belt",POWER(Upgrades!$U$11,J264),1)*IF(Upgrades!$T$12="Asteroid Belt",POWER(Upgrades!$U$12,K264),1))+(IF(G264=0,0,(Upgrades!$J$8+G264*Upgrades!$K$8)*POWER(Upgrades!$L$8,G264)))*(IF(Upgrades!$T$6="Stellar Coupling",POWER(Upgrades!$U$6,E264),1)*IF(Upgrades!$T$7="Stellar Coupling",POWER(Upgrades!$U$7,F264),1)*IF(Upgrades!$T$9="Stellar Coupling",POWER(Upgrades!$U$9,H264),1)*IF(Upgrades!$T$10="Stellar Coupling",POWER(Upgrades!$U$10,I264),1)*IF(Upgrades!$T$11="Stellar Coupling",POWER(Upgrades!$U$11,J264),1)*IF(Upgrades!$T$12="Stellar Coupling",POWER(Upgrades!$U$12,K264),1))+(IF(H264=0,0,(Upgrades!$J$9+H264*Upgrades!$K$9)*POWER(Upgrades!$L$9,H264)))*(IF(Upgrades!$T$6="Magnetosphere",POWER(Upgrades!$U$6,E264),1)*IF(Upgrades!$T$7="Magnetosphere",POWER(Upgrades!$U$7,F264),1)*IF(Upgrades!$T$8="Magnetosphere",POWER(Upgrades!$U$8,G264),1)*IF(Upgrades!$T$10="Magnetosphere",POWER(Upgrades!$U$10,I264),1)*IF(Upgrades!$T$11="Magnetosphere",POWER(Upgrades!$U$11,J264),1)*IF(Upgrades!$T$12="Magnetosphere",POWER(Upgrades!$U$12,K264),1))+(IF(I264=0,0,(Upgrades!$J$10+I264*Upgrades!$K$10)*POWER(Upgrades!$L$10,I264)))*(IF(Upgrades!$T$6="Orbital Resonance",POWER(Upgrades!$U$6,E264),1)*IF(Upgrades!$T$7="Orbital Resonance",POWER(Upgrades!$U$7,F264),1)*IF(Upgrades!$T$8="Orbital Resonance",POWER(Upgrades!$U$8,G264),1)*IF(Upgrades!$T$9="Orbital Resonance",POWER(Upgrades!$U$9,H264),1)*IF(Upgrades!$T$11="Orbital Resonance",POWER(Upgrades!$U$11,J264),1)*IF(Upgrades!$T$12="Orbital Resonance",POWER(Upgrades!$U$12,K264),1))+(IF(J264=0,0,(Upgrades!$J$11+J264*Upgrades!$K$11)*POWER(Upgrades!$L$11,J264)))*(IF(Upgrades!$T$6="Heliopause",POWER(Upgrades!$U$6,E264),1)*IF(Upgrades!$T$7="Heliopause",POWER(Upgrades!$U$7,F264),1)*IF(Upgrades!$T$8="Heliopause",POWER(Upgrades!$U$8,G264),1)*IF(Upgrades!$T$9="Heliopause",POWER(Upgrades!$U$9,H264),1)*IF(Upgrades!$T$10="Heliopause",POWER(Upgrades!$U$10,I264),1)*IF(Upgrades!$T$12="Heliopause",POWER(Upgrades!$U$12,K264),1))+(IF(K264=0,0,(Upgrades!$J$12+K264*Upgrades!$K$12)*POWER(Upgrades!$L$12,K264)))*(IF(Upgrades!$T$6="First Photons",POWER(Upgrades!$U$6,E264),1)*IF(Upgrades!$T$7="First Photons",POWER(Upgrades!$U$7,F264),1)*IF(Upgrades!$T$8="First Photons",POWER(Upgrades!$U$8,G264),1)*IF(Upgrades!$T$9="First Photons",POWER(Upgrades!$U$9,H264),1)*IF(Upgrades!$T$10="First Photons",POWER(Upgrades!$U$10,I264),1)*IF(Upgrades!$T$11="First Photons",POWER(Upgrades!$U$11,J264),1)))*POWER(Upgrades!$Q$6,E264)*POWER(Upgrades!$Q$7,F264)*POWER(Upgrades!$Q$8,G264)*POWER(Upgrades!$Q$9,H264)*POWER(Upgrades!$Q$10,I264)*POWER(Upgrades!$Q$11,J264)*POWER(Upgrades!$Q$12,K264)</f>
        <v>5.61</v>
      </c>
      <c r="N264" s="28" t="n">
        <f aca="false">((IF(E264=0,0,(Upgrades!$G$6+E264*Upgrades!$H$6)*POWER(Upgrades!$I$6,E264)))*(IF(Upgrades!$T$7="Solar Wind",POWER(Upgrades!$U$7,F264),1)*IF(Upgrades!$T$8="Solar Wind",POWER(Upgrades!$U$8,G264),1)*IF(Upgrades!$T$9="Solar Wind",POWER(Upgrades!$U$9,H264),1)*IF(Upgrades!$T$10="Solar Wind",POWER(Upgrades!$U$10,I264),1)*IF(Upgrades!$T$11="Solar Wind",POWER(Upgrades!$U$11,J264),1)*IF(Upgrades!$T$12="Solar Wind",POWER(Upgrades!$U$12,K264),1))+(IF(F264=0,0,(Upgrades!$G$7+F264*Upgrades!$H$7)*POWER(Upgrades!$I$7,F264)))*(IF(Upgrades!$T$6="Asteroid Belt",POWER(Upgrades!$U$6,E264),1)*IF(Upgrades!$T$8="Asteroid Belt",POWER(Upgrades!$U$8,G264),1)*IF(Upgrades!$T$9="Asteroid Belt",POWER(Upgrades!$U$9,H264),1)*IF(Upgrades!$T$10="Asteroid Belt",POWER(Upgrades!$U$10,I264),1)*IF(Upgrades!$T$11="Asteroid Belt",POWER(Upgrades!$U$11,J264),1)*IF(Upgrades!$T$12="Asteroid Belt",POWER(Upgrades!$U$12,K264),1))+(IF(G264=0,0,(Upgrades!$G$8+G264*Upgrades!$H$8)*POWER(Upgrades!$I$8,G264)))*(IF(Upgrades!$T$6="Stellar Coupling",POWER(Upgrades!$U$6,E264),1)*IF(Upgrades!$T$7="Stellar Coupling",POWER(Upgrades!$U$7,F264),1)*IF(Upgrades!$T$9="Stellar Coupling",POWER(Upgrades!$U$9,H264),1)*IF(Upgrades!$T$10="Stellar Coupling",POWER(Upgrades!$U$10,I264),1)*IF(Upgrades!$T$11="Stellar Coupling",POWER(Upgrades!$U$11,J264),1)*IF(Upgrades!$T$12="Stellar Coupling",POWER(Upgrades!$U$12,K264),1))+(IF(H264=0,0,(Upgrades!$G$9+H264*Upgrades!$H$9)*POWER(Upgrades!$I$9,H264)))*(IF(Upgrades!$T$6="Magnetosphere",POWER(Upgrades!$U$6,E264),1)*IF(Upgrades!$T$7="Magnetosphere",POWER(Upgrades!$U$7,F264),1)*IF(Upgrades!$T$8="Magnetosphere",POWER(Upgrades!$U$8,G264),1)*IF(Upgrades!$T$10="Magnetosphere",POWER(Upgrades!$U$10,I264),1)*IF(Upgrades!$T$11="Magnetosphere",POWER(Upgrades!$U$11,J264),1)*IF(Upgrades!$T$12="Magnetosphere",POWER(Upgrades!$U$12,K264),1))+(IF(I264=0,0,(Upgrades!$G$10+I264*Upgrades!$H$10)*POWER(Upgrades!$I$10,I264)))*(IF(Upgrades!$T$6="Orbital Resonance",POWER(Upgrades!$U$6,E264),1)*IF(Upgrades!$T$7="Orbital Resonance",POWER(Upgrades!$U$7,F264),1)*IF(Upgrades!$T$8="Orbital Resonance",POWER(Upgrades!$U$8,G264),1)*IF(Upgrades!$T$9="Orbital Resonance",POWER(Upgrades!$U$9,H264),1)*IF(Upgrades!$T$11="Orbital Resonance",POWER(Upgrades!$U$11,J264),1)*IF(Upgrades!$T$12="Orbital Resonance",POWER(Upgrades!$U$12,K264),1))+(IF(J264=0,0,(Upgrades!$G$11+J264*Upgrades!$H$11)*POWER(Upgrades!$I$11,J264)))*(IF(Upgrades!$T$6="Heliopause",POWER(Upgrades!$U$6,E264),1)*IF(Upgrades!$T$7="Heliopause",POWER(Upgrades!$U$7,F264),1)*IF(Upgrades!$T$8="Heliopause",POWER(Upgrades!$U$8,G264),1)*IF(Upgrades!$T$9="Heliopause",POWER(Upgrades!$U$9,H264),1)*IF(Upgrades!$T$10="Heliopause",POWER(Upgrades!$U$10,I264),1)*IF(Upgrades!$T$12="Heliopause",POWER(Upgrades!$U$12,K264),1))+(IF(K264=0,0,(Upgrades!$G$12+K264*Upgrades!$H$12)*POWER(Upgrades!$I$12,K264)))*(IF(Upgrades!$T$6="First Photons",POWER(Upgrades!$U$6,E264),1)*IF(Upgrades!$T$7="First Photons",POWER(Upgrades!$U$7,F264),1)*IF(Upgrades!$T$8="First Photons",POWER(Upgrades!$U$8,G264),1)*IF(Upgrades!$T$9="First Photons",POWER(Upgrades!$U$9,H264),1)*IF(Upgrades!$T$10="First Photons",POWER(Upgrades!$U$10,I264),1)*IF(Upgrades!$T$11="First Photons",POWER(Upgrades!$U$11,J264),1)))*POWER(Upgrades!$P$6,E264)*POWER(Upgrades!$P$7,F264)*POWER(Upgrades!$P$8,G264)*POWER(Upgrades!$P$9,H264)*POWER(Upgrades!$P$10,I264)*POWER(Upgrades!$P$11,J264)*POWER(Upgrades!$P$12,K264)</f>
        <v>11.2</v>
      </c>
      <c r="O264" s="28" t="n">
        <f aca="false">((IF(E264=0,0,(Upgrades!$M$6+E264*Upgrades!$N$6)*POWER(Upgrades!$O$6,E264)))*(IF(Upgrades!$T$7="Solar Wind",POWER(Upgrades!$U$7,F264),1)*IF(Upgrades!$T$8="Solar Wind",POWER(Upgrades!$U$8,G264),1)*IF(Upgrades!$T$9="Solar Wind",POWER(Upgrades!$U$9,H264),1)*IF(Upgrades!$T$10="Solar Wind",POWER(Upgrades!$U$10,I264),1)*IF(Upgrades!$T$11="Solar Wind",POWER(Upgrades!$U$11,J264),1)*IF(Upgrades!$T$12="Solar Wind",POWER(Upgrades!$U$12,K264),1))+(IF(F264=0,0,(Upgrades!$M$7+F264*Upgrades!$N$7)*POWER(Upgrades!$O$7,F264)))*(IF(Upgrades!$T$6="Asteroid Belt",POWER(Upgrades!$U$6,E264),1)*IF(Upgrades!$T$8="Asteroid Belt",POWER(Upgrades!$U$8,G264),1)*IF(Upgrades!$T$9="Asteroid Belt",POWER(Upgrades!$U$9,H264),1)*IF(Upgrades!$T$10="Asteroid Belt",POWER(Upgrades!$U$10,I264),1)*IF(Upgrades!$T$11="Asteroid Belt",POWER(Upgrades!$U$11,J264),1)*IF(Upgrades!$T$12="Asteroid Belt",POWER(Upgrades!$U$12,K264),1))+(IF(G264=0,0,(Upgrades!$M$8+G264*Upgrades!$N$8)*POWER(Upgrades!$O$8,G264)))*(IF(Upgrades!$T$6="Stellar Coupling",POWER(Upgrades!$U$6,E264),1)*IF(Upgrades!$T$7="Stellar Coupling",POWER(Upgrades!$U$7,F264),1)*IF(Upgrades!$T$9="Stellar Coupling",POWER(Upgrades!$U$9,H264),1)*IF(Upgrades!$T$10="Stellar Coupling",POWER(Upgrades!$U$10,I264),1)*IF(Upgrades!$T$11="Stellar Coupling",POWER(Upgrades!$U$11,J264),1)*IF(Upgrades!$T$12="Stellar Coupling",POWER(Upgrades!$U$12,K264),1))+(IF(H264=0,0,(Upgrades!$M$9+H264*Upgrades!$N$9)*POWER(Upgrades!$O$9,H264)))*(IF(Upgrades!$T$6="Magnetosphere",POWER(Upgrades!$U$6,E264),1)*IF(Upgrades!$T$7="Magnetosphere",POWER(Upgrades!$U$7,F264),1)*IF(Upgrades!$T$8="Magnetosphere",POWER(Upgrades!$U$8,G264),1)*IF(Upgrades!$T$10="Magnetosphere",POWER(Upgrades!$U$10,I264),1)*IF(Upgrades!$T$11="Magnetosphere",POWER(Upgrades!$U$11,J264),1)*IF(Upgrades!$T$12="Magnetosphere",POWER(Upgrades!$U$12,K264),1))+(IF(I264=0,0,(Upgrades!$M$10+I264*Upgrades!$N$10)*POWER(Upgrades!$O$10,I264)))*(IF(Upgrades!$T$6="Orbital Resonance",POWER(Upgrades!$U$6,E264),1)*IF(Upgrades!$T$7="Orbital Resonance",POWER(Upgrades!$U$7,F264),1)*IF(Upgrades!$T$8="Orbital Resonance",POWER(Upgrades!$U$8,G264),1)*IF(Upgrades!$T$9="Orbital Resonance",POWER(Upgrades!$U$9,H264),1)*IF(Upgrades!$T$11="Orbital Resonance",POWER(Upgrades!$U$11,J264),1)*IF(Upgrades!$T$12="Orbital Resonance",POWER(Upgrades!$U$12,K264),1))+(IF(J264=0,0,(Upgrades!$M$11+J264*Upgrades!$N$11)*POWER(Upgrades!$O$11,J264)))*(IF(Upgrades!$T$6="Heliopause",POWER(Upgrades!$U$6,E264),1)*IF(Upgrades!$T$7="Heliopause",POWER(Upgrades!$U$7,F264),1)*IF(Upgrades!$T$8="Heliopause",POWER(Upgrades!$U$8,G264),1)*IF(Upgrades!$T$9="Heliopause",POWER(Upgrades!$U$9,H264),1)*IF(Upgrades!$T$10="Heliopause",POWER(Upgrades!$U$10,I264),1)*IF(Upgrades!$T$12="Heliopause",POWER(Upgrades!$U$12,K264),1))+(IF(K264=0,0,(Upgrades!$M$12+K264*Upgrades!$N$12)*POWER(Upgrades!$O$12,K264)))*(IF(Upgrades!$T$6="First Photons",POWER(Upgrades!$U$6,E264),1)*IF(Upgrades!$T$7="First Photons",POWER(Upgrades!$U$7,F264),1)*IF(Upgrades!$T$8="First Photons",POWER(Upgrades!$U$8,G264),1)*IF(Upgrades!$T$9="First Photons",POWER(Upgrades!$U$9,H264),1)*IF(Upgrades!$T$10="First Photons",POWER(Upgrades!$U$10,I264),1)*IF(Upgrades!$T$11="First Photons",POWER(Upgrades!$U$11,J264),1)))*POWER(Upgrades!$R$6,E264)*POWER(Upgrades!$R$7,F264)*POWER(Upgrades!$R$8,G264)*POWER(Upgrades!$R$9,H264)*POWER(Upgrades!$R$10,I264)*POWER(Upgrades!$R$11,J264)*POWER(Upgrades!$R$12,K264)</f>
        <v>0</v>
      </c>
      <c r="P264" s="27" t="n">
        <f aca="false">IF(L264=1,0,M264*Parameters!$B$10/60*Parameters!$B$11*10)</f>
        <v>0</v>
      </c>
      <c r="Q264" s="27" t="n">
        <f aca="false">IF(L264=1,0,O264*M264*10)</f>
        <v>0</v>
      </c>
      <c r="R264" s="27" t="n">
        <f aca="false">IF(L264=1,0,N264*10)</f>
        <v>0</v>
      </c>
      <c r="S264" s="27" t="n">
        <f aca="false">P264+Q264+R264</f>
        <v>0</v>
      </c>
      <c r="T264" s="21" t="n">
        <f aca="false">C264+S264</f>
        <v>18.6730249835055</v>
      </c>
      <c r="U264" s="34" t="str">
        <f aca="false">AX264</f>
        <v/>
      </c>
      <c r="V264" s="21" t="n">
        <f aca="false">IF(U264="",0,IF(U264="transition",0,IF(U264="SW",AG264,IF(U264="AB",AH264,IF(U264="SC",AI264,IF(U264="Mag",AJ264,IF(U264="OR",AK264,IF(U264="HP",AL264,IF(U264="FP",AM264,0)))))))))</f>
        <v>0</v>
      </c>
      <c r="W264" s="27" t="n">
        <f aca="false">IF(U264="OR",Upgrades!$F$10,IF(U264="HP",Upgrades!$F$11,IF(U264="transition",-Parameters!$B$18,0)))</f>
        <v>0</v>
      </c>
      <c r="X264" s="21" t="n">
        <f aca="false">T264-V264</f>
        <v>18.6730249835055</v>
      </c>
      <c r="Y264" s="30" t="n">
        <f aca="false">M264*Parameters!$B$10/60*Parameters!$B$11+O264*M264+N264</f>
        <v>20.55</v>
      </c>
      <c r="Z264" s="35" t="str">
        <f aca="false">IF(U264="transition","→ Tier 2 (Stellar Neighborhood)",IF(U264="FP","First Photons — light begins, system quickens",IF(U264="HP","Heliopause acquired",IF(U264="OR","Orbital Resonance — passive multiplier active",IF(AND(AO264=1,L264=0,AN264&lt;&gt;1),"Cohesion ready (waiting on completionist upgrades)","")))))</f>
        <v/>
      </c>
      <c r="AA264" s="27" t="n">
        <f aca="false">(IF(E264=0,0,(Upgrades!$G$6+E264*Upgrades!$H$6)*POWER(Upgrades!$I$6,E264)))*(IF(Upgrades!$T$7="Solar Wind",POWER(Upgrades!$U$7,F264),1)*IF(Upgrades!$T$8="Solar Wind",POWER(Upgrades!$U$8,G264),1)*IF(Upgrades!$T$9="Solar Wind",POWER(Upgrades!$U$9,H264),1)*IF(Upgrades!$T$10="Solar Wind",POWER(Upgrades!$U$10,I264),1)*IF(Upgrades!$T$11="Solar Wind",POWER(Upgrades!$U$11,J264),1)*IF(Upgrades!$T$12="Solar Wind",POWER(Upgrades!$U$12,K264),1))*POWER(Upgrades!$P$6,E264)*POWER(Upgrades!$P$7,F264)*POWER(Upgrades!$P$8,G264)*POWER(Upgrades!$P$9,H264)*POWER(Upgrades!$P$10,I264)*POWER(Upgrades!$P$11,J264)*POWER(Upgrades!$P$12,K264)*60</f>
        <v>72</v>
      </c>
      <c r="AB264" s="27" t="n">
        <f aca="false">(IF(F264=0,0,(Upgrades!$G$7+F264*Upgrades!$H$7)*POWER(Upgrades!$I$7,F264)))*(IF(Upgrades!$T$6="Asteroid Belt",POWER(Upgrades!$U$6,E264),1)*IF(Upgrades!$T$8="Asteroid Belt",POWER(Upgrades!$U$8,G264),1)*IF(Upgrades!$T$9="Asteroid Belt",POWER(Upgrades!$U$9,H264),1)*IF(Upgrades!$T$10="Asteroid Belt",POWER(Upgrades!$U$10,I264),1)*IF(Upgrades!$T$11="Asteroid Belt",POWER(Upgrades!$U$11,J264),1)*IF(Upgrades!$T$12="Asteroid Belt",POWER(Upgrades!$U$12,K264),1))*POWER(Upgrades!$P$6,E264)*POWER(Upgrades!$P$7,F264)*POWER(Upgrades!$P$8,G264)*POWER(Upgrades!$P$9,H264)*POWER(Upgrades!$P$10,I264)*POWER(Upgrades!$P$11,J264)*POWER(Upgrades!$P$12,K264)*60</f>
        <v>150</v>
      </c>
      <c r="AC264" s="27" t="n">
        <f aca="false">(IF(G264=0,0,(Upgrades!$J$8+G264*Upgrades!$K$8)*POWER(Upgrades!$L$8,G264)))*(IF(Upgrades!$T$6="Stellar Coupling",POWER(Upgrades!$U$6,E264),1)*IF(Upgrades!$T$7="Stellar Coupling",POWER(Upgrades!$U$7,F264),1)*IF(Upgrades!$T$9="Stellar Coupling",POWER(Upgrades!$U$9,H264),1)*IF(Upgrades!$T$10="Stellar Coupling",POWER(Upgrades!$U$10,I264),1)*IF(Upgrades!$T$11="Stellar Coupling",POWER(Upgrades!$U$11,J264),1)*IF(Upgrades!$T$12="Stellar Coupling",POWER(Upgrades!$U$12,K264),1))*POWER(Upgrades!$Q$6,E264)*POWER(Upgrades!$Q$7,F264)*POWER(Upgrades!$Q$8,G264)*POWER(Upgrades!$Q$9,H264)*POWER(Upgrades!$Q$10,I264)*POWER(Upgrades!$Q$11,J264)*POWER(Upgrades!$Q$12,K264)*Parameters!$B$10*Parameters!$B$11</f>
        <v>441</v>
      </c>
      <c r="AD264" s="27" t="n">
        <f aca="false">(IF(H264=0,0,(Upgrades!$G$9+H264*Upgrades!$H$9)*POWER(Upgrades!$I$9,H264)))*(IF(Upgrades!$T$6="Magnetosphere",POWER(Upgrades!$U$6,E264),1)*IF(Upgrades!$T$7="Magnetosphere",POWER(Upgrades!$U$7,F264),1)*IF(Upgrades!$T$8="Magnetosphere",POWER(Upgrades!$U$8,G264),1)*IF(Upgrades!$T$10="Magnetosphere",POWER(Upgrades!$U$10,I264),1)*IF(Upgrades!$T$11="Magnetosphere",POWER(Upgrades!$U$11,J264),1)*IF(Upgrades!$T$12="Magnetosphere",POWER(Upgrades!$U$12,K264),1))*POWER(Upgrades!$P$6,E264)*POWER(Upgrades!$P$7,F264)*POWER(Upgrades!$P$8,G264)*POWER(Upgrades!$P$9,H264)*POWER(Upgrades!$P$10,I264)*POWER(Upgrades!$P$11,J264)*POWER(Upgrades!$P$12,K264)*60</f>
        <v>375</v>
      </c>
      <c r="AE264" s="27" t="n">
        <f aca="false">(IF(K264=0,0,(Upgrades!$G$12+K264*Upgrades!$H$12)*POWER(Upgrades!$I$12,K264)))*(IF(Upgrades!$T$6="First Photons",POWER(Upgrades!$U$6,E264),1)*IF(Upgrades!$T$7="First Photons",POWER(Upgrades!$U$7,F264),1)*IF(Upgrades!$T$8="First Photons",POWER(Upgrades!$U$8,G264),1)*IF(Upgrades!$T$9="First Photons",POWER(Upgrades!$U$9,H264),1)*IF(Upgrades!$T$10="First Photons",POWER(Upgrades!$U$10,I264),1)*IF(Upgrades!$T$11="First Photons",POWER(Upgrades!$U$11,J264),1))*POWER(Upgrades!$P$6,E264)*POWER(Upgrades!$P$7,F264)*POWER(Upgrades!$P$8,G264)*POWER(Upgrades!$P$9,H264)*POWER(Upgrades!$P$10,I264)*POWER(Upgrades!$P$11,J264)*POWER(Upgrades!$P$12,K264)*60</f>
        <v>75</v>
      </c>
      <c r="AF264" s="27" t="n">
        <f aca="false">Parameters!$B$9*POWER(Upgrades!$Q$6,E264)*POWER(Upgrades!$Q$7,F264)*POWER(Upgrades!$Q$8,G264)*POWER(Upgrades!$Q$9,H264)*POWER(Upgrades!$Q$10,I264)*POWER(Upgrades!$Q$11,J264)*POWER(Upgrades!$Q$12,K264)*(Parameters!$B$10*Parameters!$B$11+O264*60)</f>
        <v>120</v>
      </c>
      <c r="AG264" s="21" t="n">
        <f aca="false">IF(E264&gt;=Upgrades!$E$6,"",Upgrades!$C$6*POWER(Upgrades!$D$6,E264))</f>
        <v>37.4517507383159</v>
      </c>
      <c r="AH264" s="21" t="n">
        <f aca="false">IF(F264&gt;=Upgrades!$E$7,"",Upgrades!$C$7*POWER(Upgrades!$D$7,F264))</f>
        <v>80.9111547141581</v>
      </c>
      <c r="AI264" s="21" t="n">
        <f aca="false">IF(G264&gt;=Upgrades!$E$8,"",Upgrades!$C$8*POWER(Upgrades!$D$8,G264))</f>
        <v>231.9097088</v>
      </c>
      <c r="AJ264" s="21" t="str">
        <f aca="false">IF(H264&gt;=Upgrades!$E$9,"",Upgrades!$C$9*POWER(Upgrades!$D$9,H264))</f>
        <v/>
      </c>
      <c r="AK264" s="21" t="str">
        <f aca="false">IF(I264&gt;=Upgrades!$E$10,"",Upgrades!$C$10*POWER(Upgrades!$D$10,I264))</f>
        <v/>
      </c>
      <c r="AL264" s="21" t="str">
        <f aca="false">IF(J264&gt;=Upgrades!$E$11,"",Upgrades!$C$11*POWER(Upgrades!$D$11,J264))</f>
        <v/>
      </c>
      <c r="AM264" s="21" t="str">
        <f aca="false">IF(K264&gt;=Upgrades!$E$12,"",Upgrades!$C$12*POWER(Upgrades!$D$12,K264))</f>
        <v/>
      </c>
      <c r="AN264" s="26" t="str">
        <f aca="false">IF(AND(D264&gt;=Parameters!$B$18,(H264&gt;=Upgrades!$E$9)*(K264&gt;=Upgrades!$E$12)=1,L264=0),1,"")</f>
        <v/>
      </c>
      <c r="AO264" s="26" t="str">
        <f aca="false">IF(AND(D264&gt;=Parameters!$B$18,L264=0),1,"")</f>
        <v/>
      </c>
      <c r="AP264" s="21" t="n">
        <f aca="false">MIN(IF(ISNUMBER(AK264),AK264,9000000000000000),IF(ISNUMBER(AL264),AL264,9000000000000000),IF(ISNUMBER(AM264),AM264,9000000000000000))</f>
        <v>9000000000000000</v>
      </c>
      <c r="AQ264" s="21" t="n">
        <f aca="false">MIN(IF(ISNUMBER(AG264),AG264,9000000000000000),IF(ISNUMBER(AH264),AH264,9000000000000000),IF(ISNUMBER(AI264),AI264,9000000000000000),IF(ISNUMBER(AJ264),AJ264,9000000000000000))</f>
        <v>37.4517507383159</v>
      </c>
      <c r="AR264" s="32" t="b">
        <f aca="false">IF(AW264&gt;Parameters!$B$21*(MAX(IF(AND(NOT(AND(AO264=1,AN264&lt;&gt;1)),ISNUMBER(AG264),AG264&lt;=T264),AS264,0),IF(AND(NOT(AND(AO264=1,AN264&lt;&gt;1)),ISNUMBER(AH264),AH264&lt;=T264),AT264,0),IF(AND(NOT(AND(AO264=1,AN264&lt;&gt;1)),ISNUMBER(AI264),AI264&lt;=T264),AU264,0),IF(AND(ISNUMBER(AJ264),AJ264&lt;=T264),AV264,0))),TRUE(),FALSE())</f>
        <v>1</v>
      </c>
      <c r="AS264" s="33" t="n">
        <f aca="false">IFERROR(Upgrades!$H$6*(POWER(Upgrades!$P$6,E264)*POWER(Upgrades!$P$7,F264)*POWER(Upgrades!$P$8,G264)*POWER(Upgrades!$P$9,H264)*POWER(Upgrades!$P$10,I264)*POWER(Upgrades!$P$11,J264)*POWER(Upgrades!$P$12,K264))*(IF(Upgrades!$T$7="Solar Wind",POWER(Upgrades!$U$7,F264),1)*IF(Upgrades!$T$8="Solar Wind",POWER(Upgrades!$U$8,G264),1)*IF(Upgrades!$T$9="Solar Wind",POWER(Upgrades!$U$9,H264),1)*IF(Upgrades!$T$10="Solar Wind",POWER(Upgrades!$U$10,I264),1)*IF(Upgrades!$T$11="Solar Wind",POWER(Upgrades!$U$11,J264),1)*IF(Upgrades!$T$12="Solar Wind",POWER(Upgrades!$U$12,K264),1))/AG264,0)</f>
        <v>0.0026701021455238</v>
      </c>
      <c r="AT264" s="33" t="n">
        <f aca="false">IFERROR(Upgrades!$H$7*(POWER(Upgrades!$P$6,E264)*POWER(Upgrades!$P$7,F264)*POWER(Upgrades!$P$8,G264)*POWER(Upgrades!$P$9,H264)*POWER(Upgrades!$P$10,I264)*POWER(Upgrades!$P$11,J264)*POWER(Upgrades!$P$12,K264))*(IF(Upgrades!$T$6="Asteroid Belt",POWER(Upgrades!$U$6,E264),1)*IF(Upgrades!$T$8="Asteroid Belt",POWER(Upgrades!$U$8,G264),1)*IF(Upgrades!$T$9="Asteroid Belt",POWER(Upgrades!$U$9,H264),1)*IF(Upgrades!$T$10="Asteroid Belt",POWER(Upgrades!$U$10,I264),1)*IF(Upgrades!$T$11="Asteroid Belt",POWER(Upgrades!$U$11,J264),1)*IF(Upgrades!$T$12="Asteroid Belt",POWER(Upgrades!$U$12,K264),1))/AH264,0)</f>
        <v>0.00308980882652332</v>
      </c>
      <c r="AU264" s="33" t="n">
        <f aca="false">IFERROR(Upgrades!$K$8*(POWER(Upgrades!$Q$6,E264)*POWER(Upgrades!$Q$7,F264)*POWER(Upgrades!$Q$8,G264)*POWER(Upgrades!$Q$9,H264)*POWER(Upgrades!$Q$10,I264)*POWER(Upgrades!$Q$11,J264)*POWER(Upgrades!$Q$12,K264))*(IF(Upgrades!$T$6="Stellar Coupling",POWER(Upgrades!$U$6,E264),1)*IF(Upgrades!$T$7="Stellar Coupling",POWER(Upgrades!$U$7,F264),1)*IF(Upgrades!$T$9="Stellar Coupling",POWER(Upgrades!$U$9,H264),1)*IF(Upgrades!$T$10="Stellar Coupling",POWER(Upgrades!$U$10,I264),1)*IF(Upgrades!$T$11="Stellar Coupling",POWER(Upgrades!$U$11,J264),1)*IF(Upgrades!$T$12="Stellar Coupling",POWER(Upgrades!$U$12,K264),1))*Parameters!$B$10*Parameters!$B$11/60/AI264,0)</f>
        <v>0.00452762415783776</v>
      </c>
      <c r="AV264" s="33" t="n">
        <f aca="false">IFERROR(Upgrades!$H$9*(POWER(Upgrades!$P$6,E264)*POWER(Upgrades!$P$7,F264)*POWER(Upgrades!$P$8,G264)*POWER(Upgrades!$P$9,H264)*POWER(Upgrades!$P$10,I264)*POWER(Upgrades!$P$11,J264)*POWER(Upgrades!$P$12,K264))*(IF(Upgrades!$T$6="Magnetosphere",POWER(Upgrades!$U$6,E264),1)*IF(Upgrades!$T$7="Magnetosphere",POWER(Upgrades!$U$7,F264),1)*IF(Upgrades!$T$8="Magnetosphere",POWER(Upgrades!$U$8,G264),1)*IF(Upgrades!$T$10="Magnetosphere",POWER(Upgrades!$U$10,I264),1)*IF(Upgrades!$T$11="Magnetosphere",POWER(Upgrades!$U$11,J264),1)*IF(Upgrades!$T$12="Magnetosphere",POWER(Upgrades!$U$12,K264),1))/AJ264,0)</f>
        <v>0</v>
      </c>
      <c r="AW264" s="33" t="n">
        <f aca="false">MAX(IF(I264&gt;0,0,IFERROR(0.25*N264/Upgrades!$C$10,0)),IF(J264&gt;0,0,IFERROR(0.5*((IF(G264=0,0,(Upgrades!$J$8+G264*Upgrades!$K$8)*POWER(Upgrades!$L$8,G264)))*(IF(Upgrades!$T$6="Stellar Coupling",POWER(Upgrades!$U$6,E264),1)*IF(Upgrades!$T$7="Stellar Coupling",POWER(Upgrades!$U$7,F264),1)*IF(Upgrades!$T$9="Stellar Coupling",POWER(Upgrades!$U$9,H264),1)*IF(Upgrades!$T$10="Stellar Coupling",POWER(Upgrades!$U$10,I264),1)*IF(Upgrades!$T$11="Stellar Coupling",POWER(Upgrades!$U$11,J264),1)*IF(Upgrades!$T$12="Stellar Coupling",POWER(Upgrades!$U$12,K264),1))*(POWER(Upgrades!$Q$6,E264)*POWER(Upgrades!$Q$7,F264)*POWER(Upgrades!$Q$8,G264)*POWER(Upgrades!$Q$9,H264)*POWER(Upgrades!$Q$10,I264)*POWER(Upgrades!$Q$11,J264)*POWER(Upgrades!$Q$12,K264))*Parameters!$B$10*Parameters!$B$11/60)/Upgrades!$C$11,0)),IF(K264&gt;0,0,IFERROR((1*(POWER(Upgrades!$P$6,E264)*POWER(Upgrades!$P$7,F264)*POWER(Upgrades!$P$8,G264)*POWER(Upgrades!$P$9,H264)*POWER(Upgrades!$P$10,I264)*POWER(Upgrades!$P$11,J264)*POWER(Upgrades!$P$12,K264))+0.2*M264*Parameters!$B$10*Parameters!$B$11/60)/Upgrades!$C$12,0)),IF(AND(ISNUMBER(AG264),AG264&gt;T264),AS264,0),IF(AND(ISNUMBER(AH264),AH264&gt;T264),AT264,0),IF(AND(ISNUMBER(AI264),AI264&gt;T264),AU264,0),IF(AND(ISNUMBER(AJ264),AJ264&gt;T264),AV264,0))</f>
        <v>0.00452762415783776</v>
      </c>
      <c r="AX264" s="29" t="str">
        <f aca="false">IF(AN264=1,"transition",IF(MIN(IF(AND(I264=0,ISNUMBER(AK264),AK264&lt;=T264),AK264,9000000000000000),IF(AND(J264=0,ISNUMBER(AL264),AL264&lt;=T264),AL264,9000000000000000),IF(AND(K264=0,ISNUMBER(AM264),AM264&lt;=T264),AM264,9000000000000000))&lt;9000000000000000,IF(AND(AND(I264=0,ISNUMBER(AK264),AK264&lt;=T264),AK264=MIN(IF(AND(I264=0,ISNUMBER(AK264),AK264&lt;=T264),AK264,9000000000000000),IF(AND(J264=0,ISNUMBER(AL264),AL264&lt;=T264),AL264,9000000000000000),IF(AND(K264=0,ISNUMBER(AM264),AM264&lt;=T264),AM264,9000000000000000))),"OR",IF(AND(AND(J264=0,ISNUMBER(AL264),AL264&lt;=T264),AL264=MIN(IF(AND(I264=0,ISNUMBER(AK264),AK264&lt;=T264),AK264,9000000000000000),IF(AND(J264=0,ISNUMBER(AL264),AL264&lt;=T264),AL264,9000000000000000),IF(AND(K264=0,ISNUMBER(AM264),AM264&lt;=T264),AM264,9000000000000000))),"HP","FP")),IF(AR264=TRUE(),"",IF(MAX(IF(AND(NOT(AND(AO264=1,AN264&lt;&gt;1)),ISNUMBER(AG264),AG264&lt;=T264),AS264,0),IF(AND(NOT(AND(AO264=1,AN264&lt;&gt;1)),ISNUMBER(AH264),AH264&lt;=T264),AT264,0),IF(AND(NOT(AND(AO264=1,AN264&lt;&gt;1)),ISNUMBER(AI264),AI264&lt;=T264),AU264,0),IF(AND(ISNUMBER(AJ264),AJ264&lt;=T264),AV264,0))&lt;=0,"",IF(AND(IF(AND(NOT(AND(AO264=1,AN264&lt;&gt;1)),ISNUMBER(AG264),AG264&lt;=T264),AS264,0)&gt;0,IF(AND(NOT(AND(AO264=1,AN264&lt;&gt;1)),ISNUMBER(AG264),AG264&lt;=T264),AS264,0)=MAX(IF(AND(NOT(AND(AO264=1,AN264&lt;&gt;1)),ISNUMBER(AG264),AG264&lt;=T264),AS264,0),IF(AND(NOT(AND(AO264=1,AN264&lt;&gt;1)),ISNUMBER(AH264),AH264&lt;=T264),AT264,0),IF(AND(NOT(AND(AO264=1,AN264&lt;&gt;1)),ISNUMBER(AI264),AI264&lt;=T264),AU264,0),IF(AND(ISNUMBER(AJ264),AJ264&lt;=T264),AV264,0))),"SW",IF(AND(IF(AND(NOT(AND(AO264=1,AN264&lt;&gt;1)),ISNUMBER(AH264),AH264&lt;=T264),AT264,0)&gt;0,IF(AND(NOT(AND(AO264=1,AN264&lt;&gt;1)),ISNUMBER(AH264),AH264&lt;=T264),AT264,0)=MAX(IF(AND(NOT(AND(AO264=1,AN264&lt;&gt;1)),ISNUMBER(AG264),AG264&lt;=T264),AS264,0),IF(AND(NOT(AND(AO264=1,AN264&lt;&gt;1)),ISNUMBER(AH264),AH264&lt;=T264),AT264,0),IF(AND(NOT(AND(AO264=1,AN264&lt;&gt;1)),ISNUMBER(AI264),AI264&lt;=T264),AU264,0),IF(AND(ISNUMBER(AJ264),AJ264&lt;=T264),AV264,0))),"AB",IF(AND(IF(AND(NOT(AND(AO264=1,AN264&lt;&gt;1)),ISNUMBER(AI264),AI264&lt;=T264),AU264,0)&gt;0,IF(AND(NOT(AND(AO264=1,AN264&lt;&gt;1)),ISNUMBER(AI264),AI264&lt;=T264),AU264,0)=MAX(IF(AND(NOT(AND(AO264=1,AN264&lt;&gt;1)),ISNUMBER(AG264),AG264&lt;=T264),AS264,0),IF(AND(NOT(AND(AO264=1,AN264&lt;&gt;1)),ISNUMBER(AH264),AH264&lt;=T264),AT264,0),IF(AND(NOT(AND(AO264=1,AN264&lt;&gt;1)),ISNUMBER(AI264),AI264&lt;=T264),AU264,0),IF(AND(ISNUMBER(AJ264),AJ264&lt;=T264),AV264,0))),"SC","Mag")))))))</f>
        <v/>
      </c>
    </row>
    <row r="265" customFormat="false" ht="15" hidden="false" customHeight="false" outlineLevel="0" collapsed="false">
      <c r="A265" s="26" t="n">
        <v>260</v>
      </c>
      <c r="B265" s="27" t="n">
        <f aca="false">A265*10/60</f>
        <v>43.3333333333333</v>
      </c>
      <c r="C265" s="21" t="n">
        <f aca="false">X264</f>
        <v>18.6730249835055</v>
      </c>
      <c r="D265" s="27" t="n">
        <f aca="false">D264+W264</f>
        <v>0</v>
      </c>
      <c r="E265" s="26" t="n">
        <f aca="false">E264+IF(U264="SW",1,0)</f>
        <v>12</v>
      </c>
      <c r="F265" s="26" t="n">
        <f aca="false">F264+IF(U264="AB",1,0)</f>
        <v>10</v>
      </c>
      <c r="G265" s="26" t="n">
        <f aca="false">G264+IF(U264="SC",1,0)</f>
        <v>7</v>
      </c>
      <c r="H265" s="26" t="n">
        <f aca="false">H264+IF(U264="Mag",1,0)</f>
        <v>5</v>
      </c>
      <c r="I265" s="26" t="n">
        <f aca="false">MAX(I264,IF(U264="OR",1,0))</f>
        <v>1</v>
      </c>
      <c r="J265" s="26" t="n">
        <f aca="false">MAX(J264,IF(U264="HP",1,0))</f>
        <v>1</v>
      </c>
      <c r="K265" s="26" t="n">
        <f aca="false">MAX(K264,IF(U264="FP",1,0))</f>
        <v>1</v>
      </c>
      <c r="L265" s="26" t="n">
        <f aca="false">MAX(L264,IF(U264="transition",1,0))</f>
        <v>1</v>
      </c>
      <c r="M265" s="28" t="n">
        <f aca="false">(Parameters!$B$9+(IF(E265=0,0,(Upgrades!$J$6+E265*Upgrades!$K$6)*POWER(Upgrades!$L$6,E265)))*(IF(Upgrades!$T$7="Solar Wind",POWER(Upgrades!$U$7,F265),1)*IF(Upgrades!$T$8="Solar Wind",POWER(Upgrades!$U$8,G265),1)*IF(Upgrades!$T$9="Solar Wind",POWER(Upgrades!$U$9,H265),1)*IF(Upgrades!$T$10="Solar Wind",POWER(Upgrades!$U$10,I265),1)*IF(Upgrades!$T$11="Solar Wind",POWER(Upgrades!$U$11,J265),1)*IF(Upgrades!$T$12="Solar Wind",POWER(Upgrades!$U$12,K265),1))+(IF(F265=0,0,(Upgrades!$J$7+F265*Upgrades!$K$7)*POWER(Upgrades!$L$7,F265)))*(IF(Upgrades!$T$6="Asteroid Belt",POWER(Upgrades!$U$6,E265),1)*IF(Upgrades!$T$8="Asteroid Belt",POWER(Upgrades!$U$8,G265),1)*IF(Upgrades!$T$9="Asteroid Belt",POWER(Upgrades!$U$9,H265),1)*IF(Upgrades!$T$10="Asteroid Belt",POWER(Upgrades!$U$10,I265),1)*IF(Upgrades!$T$11="Asteroid Belt",POWER(Upgrades!$U$11,J265),1)*IF(Upgrades!$T$12="Asteroid Belt",POWER(Upgrades!$U$12,K265),1))+(IF(G265=0,0,(Upgrades!$J$8+G265*Upgrades!$K$8)*POWER(Upgrades!$L$8,G265)))*(IF(Upgrades!$T$6="Stellar Coupling",POWER(Upgrades!$U$6,E265),1)*IF(Upgrades!$T$7="Stellar Coupling",POWER(Upgrades!$U$7,F265),1)*IF(Upgrades!$T$9="Stellar Coupling",POWER(Upgrades!$U$9,H265),1)*IF(Upgrades!$T$10="Stellar Coupling",POWER(Upgrades!$U$10,I265),1)*IF(Upgrades!$T$11="Stellar Coupling",POWER(Upgrades!$U$11,J265),1)*IF(Upgrades!$T$12="Stellar Coupling",POWER(Upgrades!$U$12,K265),1))+(IF(H265=0,0,(Upgrades!$J$9+H265*Upgrades!$K$9)*POWER(Upgrades!$L$9,H265)))*(IF(Upgrades!$T$6="Magnetosphere",POWER(Upgrades!$U$6,E265),1)*IF(Upgrades!$T$7="Magnetosphere",POWER(Upgrades!$U$7,F265),1)*IF(Upgrades!$T$8="Magnetosphere",POWER(Upgrades!$U$8,G265),1)*IF(Upgrades!$T$10="Magnetosphere",POWER(Upgrades!$U$10,I265),1)*IF(Upgrades!$T$11="Magnetosphere",POWER(Upgrades!$U$11,J265),1)*IF(Upgrades!$T$12="Magnetosphere",POWER(Upgrades!$U$12,K265),1))+(IF(I265=0,0,(Upgrades!$J$10+I265*Upgrades!$K$10)*POWER(Upgrades!$L$10,I265)))*(IF(Upgrades!$T$6="Orbital Resonance",POWER(Upgrades!$U$6,E265),1)*IF(Upgrades!$T$7="Orbital Resonance",POWER(Upgrades!$U$7,F265),1)*IF(Upgrades!$T$8="Orbital Resonance",POWER(Upgrades!$U$8,G265),1)*IF(Upgrades!$T$9="Orbital Resonance",POWER(Upgrades!$U$9,H265),1)*IF(Upgrades!$T$11="Orbital Resonance",POWER(Upgrades!$U$11,J265),1)*IF(Upgrades!$T$12="Orbital Resonance",POWER(Upgrades!$U$12,K265),1))+(IF(J265=0,0,(Upgrades!$J$11+J265*Upgrades!$K$11)*POWER(Upgrades!$L$11,J265)))*(IF(Upgrades!$T$6="Heliopause",POWER(Upgrades!$U$6,E265),1)*IF(Upgrades!$T$7="Heliopause",POWER(Upgrades!$U$7,F265),1)*IF(Upgrades!$T$8="Heliopause",POWER(Upgrades!$U$8,G265),1)*IF(Upgrades!$T$9="Heliopause",POWER(Upgrades!$U$9,H265),1)*IF(Upgrades!$T$10="Heliopause",POWER(Upgrades!$U$10,I265),1)*IF(Upgrades!$T$12="Heliopause",POWER(Upgrades!$U$12,K265),1))+(IF(K265=0,0,(Upgrades!$J$12+K265*Upgrades!$K$12)*POWER(Upgrades!$L$12,K265)))*(IF(Upgrades!$T$6="First Photons",POWER(Upgrades!$U$6,E265),1)*IF(Upgrades!$T$7="First Photons",POWER(Upgrades!$U$7,F265),1)*IF(Upgrades!$T$8="First Photons",POWER(Upgrades!$U$8,G265),1)*IF(Upgrades!$T$9="First Photons",POWER(Upgrades!$U$9,H265),1)*IF(Upgrades!$T$10="First Photons",POWER(Upgrades!$U$10,I265),1)*IF(Upgrades!$T$11="First Photons",POWER(Upgrades!$U$11,J265),1)))*POWER(Upgrades!$Q$6,E265)*POWER(Upgrades!$Q$7,F265)*POWER(Upgrades!$Q$8,G265)*POWER(Upgrades!$Q$9,H265)*POWER(Upgrades!$Q$10,I265)*POWER(Upgrades!$Q$11,J265)*POWER(Upgrades!$Q$12,K265)</f>
        <v>5.61</v>
      </c>
      <c r="N265" s="28" t="n">
        <f aca="false">((IF(E265=0,0,(Upgrades!$G$6+E265*Upgrades!$H$6)*POWER(Upgrades!$I$6,E265)))*(IF(Upgrades!$T$7="Solar Wind",POWER(Upgrades!$U$7,F265),1)*IF(Upgrades!$T$8="Solar Wind",POWER(Upgrades!$U$8,G265),1)*IF(Upgrades!$T$9="Solar Wind",POWER(Upgrades!$U$9,H265),1)*IF(Upgrades!$T$10="Solar Wind",POWER(Upgrades!$U$10,I265),1)*IF(Upgrades!$T$11="Solar Wind",POWER(Upgrades!$U$11,J265),1)*IF(Upgrades!$T$12="Solar Wind",POWER(Upgrades!$U$12,K265),1))+(IF(F265=0,0,(Upgrades!$G$7+F265*Upgrades!$H$7)*POWER(Upgrades!$I$7,F265)))*(IF(Upgrades!$T$6="Asteroid Belt",POWER(Upgrades!$U$6,E265),1)*IF(Upgrades!$T$8="Asteroid Belt",POWER(Upgrades!$U$8,G265),1)*IF(Upgrades!$T$9="Asteroid Belt",POWER(Upgrades!$U$9,H265),1)*IF(Upgrades!$T$10="Asteroid Belt",POWER(Upgrades!$U$10,I265),1)*IF(Upgrades!$T$11="Asteroid Belt",POWER(Upgrades!$U$11,J265),1)*IF(Upgrades!$T$12="Asteroid Belt",POWER(Upgrades!$U$12,K265),1))+(IF(G265=0,0,(Upgrades!$G$8+G265*Upgrades!$H$8)*POWER(Upgrades!$I$8,G265)))*(IF(Upgrades!$T$6="Stellar Coupling",POWER(Upgrades!$U$6,E265),1)*IF(Upgrades!$T$7="Stellar Coupling",POWER(Upgrades!$U$7,F265),1)*IF(Upgrades!$T$9="Stellar Coupling",POWER(Upgrades!$U$9,H265),1)*IF(Upgrades!$T$10="Stellar Coupling",POWER(Upgrades!$U$10,I265),1)*IF(Upgrades!$T$11="Stellar Coupling",POWER(Upgrades!$U$11,J265),1)*IF(Upgrades!$T$12="Stellar Coupling",POWER(Upgrades!$U$12,K265),1))+(IF(H265=0,0,(Upgrades!$G$9+H265*Upgrades!$H$9)*POWER(Upgrades!$I$9,H265)))*(IF(Upgrades!$T$6="Magnetosphere",POWER(Upgrades!$U$6,E265),1)*IF(Upgrades!$T$7="Magnetosphere",POWER(Upgrades!$U$7,F265),1)*IF(Upgrades!$T$8="Magnetosphere",POWER(Upgrades!$U$8,G265),1)*IF(Upgrades!$T$10="Magnetosphere",POWER(Upgrades!$U$10,I265),1)*IF(Upgrades!$T$11="Magnetosphere",POWER(Upgrades!$U$11,J265),1)*IF(Upgrades!$T$12="Magnetosphere",POWER(Upgrades!$U$12,K265),1))+(IF(I265=0,0,(Upgrades!$G$10+I265*Upgrades!$H$10)*POWER(Upgrades!$I$10,I265)))*(IF(Upgrades!$T$6="Orbital Resonance",POWER(Upgrades!$U$6,E265),1)*IF(Upgrades!$T$7="Orbital Resonance",POWER(Upgrades!$U$7,F265),1)*IF(Upgrades!$T$8="Orbital Resonance",POWER(Upgrades!$U$8,G265),1)*IF(Upgrades!$T$9="Orbital Resonance",POWER(Upgrades!$U$9,H265),1)*IF(Upgrades!$T$11="Orbital Resonance",POWER(Upgrades!$U$11,J265),1)*IF(Upgrades!$T$12="Orbital Resonance",POWER(Upgrades!$U$12,K265),1))+(IF(J265=0,0,(Upgrades!$G$11+J265*Upgrades!$H$11)*POWER(Upgrades!$I$11,J265)))*(IF(Upgrades!$T$6="Heliopause",POWER(Upgrades!$U$6,E265),1)*IF(Upgrades!$T$7="Heliopause",POWER(Upgrades!$U$7,F265),1)*IF(Upgrades!$T$8="Heliopause",POWER(Upgrades!$U$8,G265),1)*IF(Upgrades!$T$9="Heliopause",POWER(Upgrades!$U$9,H265),1)*IF(Upgrades!$T$10="Heliopause",POWER(Upgrades!$U$10,I265),1)*IF(Upgrades!$T$12="Heliopause",POWER(Upgrades!$U$12,K265),1))+(IF(K265=0,0,(Upgrades!$G$12+K265*Upgrades!$H$12)*POWER(Upgrades!$I$12,K265)))*(IF(Upgrades!$T$6="First Photons",POWER(Upgrades!$U$6,E265),1)*IF(Upgrades!$T$7="First Photons",POWER(Upgrades!$U$7,F265),1)*IF(Upgrades!$T$8="First Photons",POWER(Upgrades!$U$8,G265),1)*IF(Upgrades!$T$9="First Photons",POWER(Upgrades!$U$9,H265),1)*IF(Upgrades!$T$10="First Photons",POWER(Upgrades!$U$10,I265),1)*IF(Upgrades!$T$11="First Photons",POWER(Upgrades!$U$11,J265),1)))*POWER(Upgrades!$P$6,E265)*POWER(Upgrades!$P$7,F265)*POWER(Upgrades!$P$8,G265)*POWER(Upgrades!$P$9,H265)*POWER(Upgrades!$P$10,I265)*POWER(Upgrades!$P$11,J265)*POWER(Upgrades!$P$12,K265)</f>
        <v>11.2</v>
      </c>
      <c r="O265" s="28" t="n">
        <f aca="false">((IF(E265=0,0,(Upgrades!$M$6+E265*Upgrades!$N$6)*POWER(Upgrades!$O$6,E265)))*(IF(Upgrades!$T$7="Solar Wind",POWER(Upgrades!$U$7,F265),1)*IF(Upgrades!$T$8="Solar Wind",POWER(Upgrades!$U$8,G265),1)*IF(Upgrades!$T$9="Solar Wind",POWER(Upgrades!$U$9,H265),1)*IF(Upgrades!$T$10="Solar Wind",POWER(Upgrades!$U$10,I265),1)*IF(Upgrades!$T$11="Solar Wind",POWER(Upgrades!$U$11,J265),1)*IF(Upgrades!$T$12="Solar Wind",POWER(Upgrades!$U$12,K265),1))+(IF(F265=0,0,(Upgrades!$M$7+F265*Upgrades!$N$7)*POWER(Upgrades!$O$7,F265)))*(IF(Upgrades!$T$6="Asteroid Belt",POWER(Upgrades!$U$6,E265),1)*IF(Upgrades!$T$8="Asteroid Belt",POWER(Upgrades!$U$8,G265),1)*IF(Upgrades!$T$9="Asteroid Belt",POWER(Upgrades!$U$9,H265),1)*IF(Upgrades!$T$10="Asteroid Belt",POWER(Upgrades!$U$10,I265),1)*IF(Upgrades!$T$11="Asteroid Belt",POWER(Upgrades!$U$11,J265),1)*IF(Upgrades!$T$12="Asteroid Belt",POWER(Upgrades!$U$12,K265),1))+(IF(G265=0,0,(Upgrades!$M$8+G265*Upgrades!$N$8)*POWER(Upgrades!$O$8,G265)))*(IF(Upgrades!$T$6="Stellar Coupling",POWER(Upgrades!$U$6,E265),1)*IF(Upgrades!$T$7="Stellar Coupling",POWER(Upgrades!$U$7,F265),1)*IF(Upgrades!$T$9="Stellar Coupling",POWER(Upgrades!$U$9,H265),1)*IF(Upgrades!$T$10="Stellar Coupling",POWER(Upgrades!$U$10,I265),1)*IF(Upgrades!$T$11="Stellar Coupling",POWER(Upgrades!$U$11,J265),1)*IF(Upgrades!$T$12="Stellar Coupling",POWER(Upgrades!$U$12,K265),1))+(IF(H265=0,0,(Upgrades!$M$9+H265*Upgrades!$N$9)*POWER(Upgrades!$O$9,H265)))*(IF(Upgrades!$T$6="Magnetosphere",POWER(Upgrades!$U$6,E265),1)*IF(Upgrades!$T$7="Magnetosphere",POWER(Upgrades!$U$7,F265),1)*IF(Upgrades!$T$8="Magnetosphere",POWER(Upgrades!$U$8,G265),1)*IF(Upgrades!$T$10="Magnetosphere",POWER(Upgrades!$U$10,I265),1)*IF(Upgrades!$T$11="Magnetosphere",POWER(Upgrades!$U$11,J265),1)*IF(Upgrades!$T$12="Magnetosphere",POWER(Upgrades!$U$12,K265),1))+(IF(I265=0,0,(Upgrades!$M$10+I265*Upgrades!$N$10)*POWER(Upgrades!$O$10,I265)))*(IF(Upgrades!$T$6="Orbital Resonance",POWER(Upgrades!$U$6,E265),1)*IF(Upgrades!$T$7="Orbital Resonance",POWER(Upgrades!$U$7,F265),1)*IF(Upgrades!$T$8="Orbital Resonance",POWER(Upgrades!$U$8,G265),1)*IF(Upgrades!$T$9="Orbital Resonance",POWER(Upgrades!$U$9,H265),1)*IF(Upgrades!$T$11="Orbital Resonance",POWER(Upgrades!$U$11,J265),1)*IF(Upgrades!$T$12="Orbital Resonance",POWER(Upgrades!$U$12,K265),1))+(IF(J265=0,0,(Upgrades!$M$11+J265*Upgrades!$N$11)*POWER(Upgrades!$O$11,J265)))*(IF(Upgrades!$T$6="Heliopause",POWER(Upgrades!$U$6,E265),1)*IF(Upgrades!$T$7="Heliopause",POWER(Upgrades!$U$7,F265),1)*IF(Upgrades!$T$8="Heliopause",POWER(Upgrades!$U$8,G265),1)*IF(Upgrades!$T$9="Heliopause",POWER(Upgrades!$U$9,H265),1)*IF(Upgrades!$T$10="Heliopause",POWER(Upgrades!$U$10,I265),1)*IF(Upgrades!$T$12="Heliopause",POWER(Upgrades!$U$12,K265),1))+(IF(K265=0,0,(Upgrades!$M$12+K265*Upgrades!$N$12)*POWER(Upgrades!$O$12,K265)))*(IF(Upgrades!$T$6="First Photons",POWER(Upgrades!$U$6,E265),1)*IF(Upgrades!$T$7="First Photons",POWER(Upgrades!$U$7,F265),1)*IF(Upgrades!$T$8="First Photons",POWER(Upgrades!$U$8,G265),1)*IF(Upgrades!$T$9="First Photons",POWER(Upgrades!$U$9,H265),1)*IF(Upgrades!$T$10="First Photons",POWER(Upgrades!$U$10,I265),1)*IF(Upgrades!$T$11="First Photons",POWER(Upgrades!$U$11,J265),1)))*POWER(Upgrades!$R$6,E265)*POWER(Upgrades!$R$7,F265)*POWER(Upgrades!$R$8,G265)*POWER(Upgrades!$R$9,H265)*POWER(Upgrades!$R$10,I265)*POWER(Upgrades!$R$11,J265)*POWER(Upgrades!$R$12,K265)</f>
        <v>0</v>
      </c>
      <c r="P265" s="27" t="n">
        <f aca="false">IF(L265=1,0,M265*Parameters!$B$10/60*Parameters!$B$11*10)</f>
        <v>0</v>
      </c>
      <c r="Q265" s="27" t="n">
        <f aca="false">IF(L265=1,0,O265*M265*10)</f>
        <v>0</v>
      </c>
      <c r="R265" s="27" t="n">
        <f aca="false">IF(L265=1,0,N265*10)</f>
        <v>0</v>
      </c>
      <c r="S265" s="27" t="n">
        <f aca="false">P265+Q265+R265</f>
        <v>0</v>
      </c>
      <c r="T265" s="21" t="n">
        <f aca="false">C265+S265</f>
        <v>18.6730249835055</v>
      </c>
      <c r="U265" s="34" t="str">
        <f aca="false">AX265</f>
        <v/>
      </c>
      <c r="V265" s="21" t="n">
        <f aca="false">IF(U265="",0,IF(U265="transition",0,IF(U265="SW",AG265,IF(U265="AB",AH265,IF(U265="SC",AI265,IF(U265="Mag",AJ265,IF(U265="OR",AK265,IF(U265="HP",AL265,IF(U265="FP",AM265,0)))))))))</f>
        <v>0</v>
      </c>
      <c r="W265" s="27" t="n">
        <f aca="false">IF(U265="OR",Upgrades!$F$10,IF(U265="HP",Upgrades!$F$11,IF(U265="transition",-Parameters!$B$18,0)))</f>
        <v>0</v>
      </c>
      <c r="X265" s="21" t="n">
        <f aca="false">T265-V265</f>
        <v>18.6730249835055</v>
      </c>
      <c r="Y265" s="30" t="n">
        <f aca="false">M265*Parameters!$B$10/60*Parameters!$B$11+O265*M265+N265</f>
        <v>20.55</v>
      </c>
      <c r="Z265" s="35" t="str">
        <f aca="false">IF(U265="transition","→ Tier 2 (Stellar Neighborhood)",IF(U265="FP","First Photons — light begins, system quickens",IF(U265="HP","Heliopause acquired",IF(U265="OR","Orbital Resonance — passive multiplier active",IF(AND(AO265=1,L265=0,AN265&lt;&gt;1),"Cohesion ready (waiting on completionist upgrades)","")))))</f>
        <v/>
      </c>
      <c r="AA265" s="27" t="n">
        <f aca="false">(IF(E265=0,0,(Upgrades!$G$6+E265*Upgrades!$H$6)*POWER(Upgrades!$I$6,E265)))*(IF(Upgrades!$T$7="Solar Wind",POWER(Upgrades!$U$7,F265),1)*IF(Upgrades!$T$8="Solar Wind",POWER(Upgrades!$U$8,G265),1)*IF(Upgrades!$T$9="Solar Wind",POWER(Upgrades!$U$9,H265),1)*IF(Upgrades!$T$10="Solar Wind",POWER(Upgrades!$U$10,I265),1)*IF(Upgrades!$T$11="Solar Wind",POWER(Upgrades!$U$11,J265),1)*IF(Upgrades!$T$12="Solar Wind",POWER(Upgrades!$U$12,K265),1))*POWER(Upgrades!$P$6,E265)*POWER(Upgrades!$P$7,F265)*POWER(Upgrades!$P$8,G265)*POWER(Upgrades!$P$9,H265)*POWER(Upgrades!$P$10,I265)*POWER(Upgrades!$P$11,J265)*POWER(Upgrades!$P$12,K265)*60</f>
        <v>72</v>
      </c>
      <c r="AB265" s="27" t="n">
        <f aca="false">(IF(F265=0,0,(Upgrades!$G$7+F265*Upgrades!$H$7)*POWER(Upgrades!$I$7,F265)))*(IF(Upgrades!$T$6="Asteroid Belt",POWER(Upgrades!$U$6,E265),1)*IF(Upgrades!$T$8="Asteroid Belt",POWER(Upgrades!$U$8,G265),1)*IF(Upgrades!$T$9="Asteroid Belt",POWER(Upgrades!$U$9,H265),1)*IF(Upgrades!$T$10="Asteroid Belt",POWER(Upgrades!$U$10,I265),1)*IF(Upgrades!$T$11="Asteroid Belt",POWER(Upgrades!$U$11,J265),1)*IF(Upgrades!$T$12="Asteroid Belt",POWER(Upgrades!$U$12,K265),1))*POWER(Upgrades!$P$6,E265)*POWER(Upgrades!$P$7,F265)*POWER(Upgrades!$P$8,G265)*POWER(Upgrades!$P$9,H265)*POWER(Upgrades!$P$10,I265)*POWER(Upgrades!$P$11,J265)*POWER(Upgrades!$P$12,K265)*60</f>
        <v>150</v>
      </c>
      <c r="AC265" s="27" t="n">
        <f aca="false">(IF(G265=0,0,(Upgrades!$J$8+G265*Upgrades!$K$8)*POWER(Upgrades!$L$8,G265)))*(IF(Upgrades!$T$6="Stellar Coupling",POWER(Upgrades!$U$6,E265),1)*IF(Upgrades!$T$7="Stellar Coupling",POWER(Upgrades!$U$7,F265),1)*IF(Upgrades!$T$9="Stellar Coupling",POWER(Upgrades!$U$9,H265),1)*IF(Upgrades!$T$10="Stellar Coupling",POWER(Upgrades!$U$10,I265),1)*IF(Upgrades!$T$11="Stellar Coupling",POWER(Upgrades!$U$11,J265),1)*IF(Upgrades!$T$12="Stellar Coupling",POWER(Upgrades!$U$12,K265),1))*POWER(Upgrades!$Q$6,E265)*POWER(Upgrades!$Q$7,F265)*POWER(Upgrades!$Q$8,G265)*POWER(Upgrades!$Q$9,H265)*POWER(Upgrades!$Q$10,I265)*POWER(Upgrades!$Q$11,J265)*POWER(Upgrades!$Q$12,K265)*Parameters!$B$10*Parameters!$B$11</f>
        <v>441</v>
      </c>
      <c r="AD265" s="27" t="n">
        <f aca="false">(IF(H265=0,0,(Upgrades!$G$9+H265*Upgrades!$H$9)*POWER(Upgrades!$I$9,H265)))*(IF(Upgrades!$T$6="Magnetosphere",POWER(Upgrades!$U$6,E265),1)*IF(Upgrades!$T$7="Magnetosphere",POWER(Upgrades!$U$7,F265),1)*IF(Upgrades!$T$8="Magnetosphere",POWER(Upgrades!$U$8,G265),1)*IF(Upgrades!$T$10="Magnetosphere",POWER(Upgrades!$U$10,I265),1)*IF(Upgrades!$T$11="Magnetosphere",POWER(Upgrades!$U$11,J265),1)*IF(Upgrades!$T$12="Magnetosphere",POWER(Upgrades!$U$12,K265),1))*POWER(Upgrades!$P$6,E265)*POWER(Upgrades!$P$7,F265)*POWER(Upgrades!$P$8,G265)*POWER(Upgrades!$P$9,H265)*POWER(Upgrades!$P$10,I265)*POWER(Upgrades!$P$11,J265)*POWER(Upgrades!$P$12,K265)*60</f>
        <v>375</v>
      </c>
      <c r="AE265" s="27" t="n">
        <f aca="false">(IF(K265=0,0,(Upgrades!$G$12+K265*Upgrades!$H$12)*POWER(Upgrades!$I$12,K265)))*(IF(Upgrades!$T$6="First Photons",POWER(Upgrades!$U$6,E265),1)*IF(Upgrades!$T$7="First Photons",POWER(Upgrades!$U$7,F265),1)*IF(Upgrades!$T$8="First Photons",POWER(Upgrades!$U$8,G265),1)*IF(Upgrades!$T$9="First Photons",POWER(Upgrades!$U$9,H265),1)*IF(Upgrades!$T$10="First Photons",POWER(Upgrades!$U$10,I265),1)*IF(Upgrades!$T$11="First Photons",POWER(Upgrades!$U$11,J265),1))*POWER(Upgrades!$P$6,E265)*POWER(Upgrades!$P$7,F265)*POWER(Upgrades!$P$8,G265)*POWER(Upgrades!$P$9,H265)*POWER(Upgrades!$P$10,I265)*POWER(Upgrades!$P$11,J265)*POWER(Upgrades!$P$12,K265)*60</f>
        <v>75</v>
      </c>
      <c r="AF265" s="27" t="n">
        <f aca="false">Parameters!$B$9*POWER(Upgrades!$Q$6,E265)*POWER(Upgrades!$Q$7,F265)*POWER(Upgrades!$Q$8,G265)*POWER(Upgrades!$Q$9,H265)*POWER(Upgrades!$Q$10,I265)*POWER(Upgrades!$Q$11,J265)*POWER(Upgrades!$Q$12,K265)*(Parameters!$B$10*Parameters!$B$11+O265*60)</f>
        <v>120</v>
      </c>
      <c r="AG265" s="21" t="n">
        <f aca="false">IF(E265&gt;=Upgrades!$E$6,"",Upgrades!$C$6*POWER(Upgrades!$D$6,E265))</f>
        <v>37.4517507383159</v>
      </c>
      <c r="AH265" s="21" t="n">
        <f aca="false">IF(F265&gt;=Upgrades!$E$7,"",Upgrades!$C$7*POWER(Upgrades!$D$7,F265))</f>
        <v>80.9111547141581</v>
      </c>
      <c r="AI265" s="21" t="n">
        <f aca="false">IF(G265&gt;=Upgrades!$E$8,"",Upgrades!$C$8*POWER(Upgrades!$D$8,G265))</f>
        <v>231.9097088</v>
      </c>
      <c r="AJ265" s="21" t="str">
        <f aca="false">IF(H265&gt;=Upgrades!$E$9,"",Upgrades!$C$9*POWER(Upgrades!$D$9,H265))</f>
        <v/>
      </c>
      <c r="AK265" s="21" t="str">
        <f aca="false">IF(I265&gt;=Upgrades!$E$10,"",Upgrades!$C$10*POWER(Upgrades!$D$10,I265))</f>
        <v/>
      </c>
      <c r="AL265" s="21" t="str">
        <f aca="false">IF(J265&gt;=Upgrades!$E$11,"",Upgrades!$C$11*POWER(Upgrades!$D$11,J265))</f>
        <v/>
      </c>
      <c r="AM265" s="21" t="str">
        <f aca="false">IF(K265&gt;=Upgrades!$E$12,"",Upgrades!$C$12*POWER(Upgrades!$D$12,K265))</f>
        <v/>
      </c>
      <c r="AN265" s="26" t="str">
        <f aca="false">IF(AND(D265&gt;=Parameters!$B$18,(H265&gt;=Upgrades!$E$9)*(K265&gt;=Upgrades!$E$12)=1,L265=0),1,"")</f>
        <v/>
      </c>
      <c r="AO265" s="26" t="str">
        <f aca="false">IF(AND(D265&gt;=Parameters!$B$18,L265=0),1,"")</f>
        <v/>
      </c>
      <c r="AP265" s="21" t="n">
        <f aca="false">MIN(IF(ISNUMBER(AK265),AK265,9000000000000000),IF(ISNUMBER(AL265),AL265,9000000000000000),IF(ISNUMBER(AM265),AM265,9000000000000000))</f>
        <v>9000000000000000</v>
      </c>
      <c r="AQ265" s="21" t="n">
        <f aca="false">MIN(IF(ISNUMBER(AG265),AG265,9000000000000000),IF(ISNUMBER(AH265),AH265,9000000000000000),IF(ISNUMBER(AI265),AI265,9000000000000000),IF(ISNUMBER(AJ265),AJ265,9000000000000000))</f>
        <v>37.4517507383159</v>
      </c>
      <c r="AR265" s="32" t="b">
        <f aca="false">IF(AW265&gt;Parameters!$B$21*(MAX(IF(AND(NOT(AND(AO265=1,AN265&lt;&gt;1)),ISNUMBER(AG265),AG265&lt;=T265),AS265,0),IF(AND(NOT(AND(AO265=1,AN265&lt;&gt;1)),ISNUMBER(AH265),AH265&lt;=T265),AT265,0),IF(AND(NOT(AND(AO265=1,AN265&lt;&gt;1)),ISNUMBER(AI265),AI265&lt;=T265),AU265,0),IF(AND(ISNUMBER(AJ265),AJ265&lt;=T265),AV265,0))),TRUE(),FALSE())</f>
        <v>1</v>
      </c>
      <c r="AS265" s="33" t="n">
        <f aca="false">IFERROR(Upgrades!$H$6*(POWER(Upgrades!$P$6,E265)*POWER(Upgrades!$P$7,F265)*POWER(Upgrades!$P$8,G265)*POWER(Upgrades!$P$9,H265)*POWER(Upgrades!$P$10,I265)*POWER(Upgrades!$P$11,J265)*POWER(Upgrades!$P$12,K265))*(IF(Upgrades!$T$7="Solar Wind",POWER(Upgrades!$U$7,F265),1)*IF(Upgrades!$T$8="Solar Wind",POWER(Upgrades!$U$8,G265),1)*IF(Upgrades!$T$9="Solar Wind",POWER(Upgrades!$U$9,H265),1)*IF(Upgrades!$T$10="Solar Wind",POWER(Upgrades!$U$10,I265),1)*IF(Upgrades!$T$11="Solar Wind",POWER(Upgrades!$U$11,J265),1)*IF(Upgrades!$T$12="Solar Wind",POWER(Upgrades!$U$12,K265),1))/AG265,0)</f>
        <v>0.0026701021455238</v>
      </c>
      <c r="AT265" s="33" t="n">
        <f aca="false">IFERROR(Upgrades!$H$7*(POWER(Upgrades!$P$6,E265)*POWER(Upgrades!$P$7,F265)*POWER(Upgrades!$P$8,G265)*POWER(Upgrades!$P$9,H265)*POWER(Upgrades!$P$10,I265)*POWER(Upgrades!$P$11,J265)*POWER(Upgrades!$P$12,K265))*(IF(Upgrades!$T$6="Asteroid Belt",POWER(Upgrades!$U$6,E265),1)*IF(Upgrades!$T$8="Asteroid Belt",POWER(Upgrades!$U$8,G265),1)*IF(Upgrades!$T$9="Asteroid Belt",POWER(Upgrades!$U$9,H265),1)*IF(Upgrades!$T$10="Asteroid Belt",POWER(Upgrades!$U$10,I265),1)*IF(Upgrades!$T$11="Asteroid Belt",POWER(Upgrades!$U$11,J265),1)*IF(Upgrades!$T$12="Asteroid Belt",POWER(Upgrades!$U$12,K265),1))/AH265,0)</f>
        <v>0.00308980882652332</v>
      </c>
      <c r="AU265" s="33" t="n">
        <f aca="false">IFERROR(Upgrades!$K$8*(POWER(Upgrades!$Q$6,E265)*POWER(Upgrades!$Q$7,F265)*POWER(Upgrades!$Q$8,G265)*POWER(Upgrades!$Q$9,H265)*POWER(Upgrades!$Q$10,I265)*POWER(Upgrades!$Q$11,J265)*POWER(Upgrades!$Q$12,K265))*(IF(Upgrades!$T$6="Stellar Coupling",POWER(Upgrades!$U$6,E265),1)*IF(Upgrades!$T$7="Stellar Coupling",POWER(Upgrades!$U$7,F265),1)*IF(Upgrades!$T$9="Stellar Coupling",POWER(Upgrades!$U$9,H265),1)*IF(Upgrades!$T$10="Stellar Coupling",POWER(Upgrades!$U$10,I265),1)*IF(Upgrades!$T$11="Stellar Coupling",POWER(Upgrades!$U$11,J265),1)*IF(Upgrades!$T$12="Stellar Coupling",POWER(Upgrades!$U$12,K265),1))*Parameters!$B$10*Parameters!$B$11/60/AI265,0)</f>
        <v>0.00452762415783776</v>
      </c>
      <c r="AV265" s="33" t="n">
        <f aca="false">IFERROR(Upgrades!$H$9*(POWER(Upgrades!$P$6,E265)*POWER(Upgrades!$P$7,F265)*POWER(Upgrades!$P$8,G265)*POWER(Upgrades!$P$9,H265)*POWER(Upgrades!$P$10,I265)*POWER(Upgrades!$P$11,J265)*POWER(Upgrades!$P$12,K265))*(IF(Upgrades!$T$6="Magnetosphere",POWER(Upgrades!$U$6,E265),1)*IF(Upgrades!$T$7="Magnetosphere",POWER(Upgrades!$U$7,F265),1)*IF(Upgrades!$T$8="Magnetosphere",POWER(Upgrades!$U$8,G265),1)*IF(Upgrades!$T$10="Magnetosphere",POWER(Upgrades!$U$10,I265),1)*IF(Upgrades!$T$11="Magnetosphere",POWER(Upgrades!$U$11,J265),1)*IF(Upgrades!$T$12="Magnetosphere",POWER(Upgrades!$U$12,K265),1))/AJ265,0)</f>
        <v>0</v>
      </c>
      <c r="AW265" s="33" t="n">
        <f aca="false">MAX(IF(I265&gt;0,0,IFERROR(0.25*N265/Upgrades!$C$10,0)),IF(J265&gt;0,0,IFERROR(0.5*((IF(G265=0,0,(Upgrades!$J$8+G265*Upgrades!$K$8)*POWER(Upgrades!$L$8,G265)))*(IF(Upgrades!$T$6="Stellar Coupling",POWER(Upgrades!$U$6,E265),1)*IF(Upgrades!$T$7="Stellar Coupling",POWER(Upgrades!$U$7,F265),1)*IF(Upgrades!$T$9="Stellar Coupling",POWER(Upgrades!$U$9,H265),1)*IF(Upgrades!$T$10="Stellar Coupling",POWER(Upgrades!$U$10,I265),1)*IF(Upgrades!$T$11="Stellar Coupling",POWER(Upgrades!$U$11,J265),1)*IF(Upgrades!$T$12="Stellar Coupling",POWER(Upgrades!$U$12,K265),1))*(POWER(Upgrades!$Q$6,E265)*POWER(Upgrades!$Q$7,F265)*POWER(Upgrades!$Q$8,G265)*POWER(Upgrades!$Q$9,H265)*POWER(Upgrades!$Q$10,I265)*POWER(Upgrades!$Q$11,J265)*POWER(Upgrades!$Q$12,K265))*Parameters!$B$10*Parameters!$B$11/60)/Upgrades!$C$11,0)),IF(K265&gt;0,0,IFERROR((1*(POWER(Upgrades!$P$6,E265)*POWER(Upgrades!$P$7,F265)*POWER(Upgrades!$P$8,G265)*POWER(Upgrades!$P$9,H265)*POWER(Upgrades!$P$10,I265)*POWER(Upgrades!$P$11,J265)*POWER(Upgrades!$P$12,K265))+0.2*M265*Parameters!$B$10*Parameters!$B$11/60)/Upgrades!$C$12,0)),IF(AND(ISNUMBER(AG265),AG265&gt;T265),AS265,0),IF(AND(ISNUMBER(AH265),AH265&gt;T265),AT265,0),IF(AND(ISNUMBER(AI265),AI265&gt;T265),AU265,0),IF(AND(ISNUMBER(AJ265),AJ265&gt;T265),AV265,0))</f>
        <v>0.00452762415783776</v>
      </c>
      <c r="AX265" s="29" t="str">
        <f aca="false">IF(AN265=1,"transition",IF(MIN(IF(AND(I265=0,ISNUMBER(AK265),AK265&lt;=T265),AK265,9000000000000000),IF(AND(J265=0,ISNUMBER(AL265),AL265&lt;=T265),AL265,9000000000000000),IF(AND(K265=0,ISNUMBER(AM265),AM265&lt;=T265),AM265,9000000000000000))&lt;9000000000000000,IF(AND(AND(I265=0,ISNUMBER(AK265),AK265&lt;=T265),AK265=MIN(IF(AND(I265=0,ISNUMBER(AK265),AK265&lt;=T265),AK265,9000000000000000),IF(AND(J265=0,ISNUMBER(AL265),AL265&lt;=T265),AL265,9000000000000000),IF(AND(K265=0,ISNUMBER(AM265),AM265&lt;=T265),AM265,9000000000000000))),"OR",IF(AND(AND(J265=0,ISNUMBER(AL265),AL265&lt;=T265),AL265=MIN(IF(AND(I265=0,ISNUMBER(AK265),AK265&lt;=T265),AK265,9000000000000000),IF(AND(J265=0,ISNUMBER(AL265),AL265&lt;=T265),AL265,9000000000000000),IF(AND(K265=0,ISNUMBER(AM265),AM265&lt;=T265),AM265,9000000000000000))),"HP","FP")),IF(AR265=TRUE(),"",IF(MAX(IF(AND(NOT(AND(AO265=1,AN265&lt;&gt;1)),ISNUMBER(AG265),AG265&lt;=T265),AS265,0),IF(AND(NOT(AND(AO265=1,AN265&lt;&gt;1)),ISNUMBER(AH265),AH265&lt;=T265),AT265,0),IF(AND(NOT(AND(AO265=1,AN265&lt;&gt;1)),ISNUMBER(AI265),AI265&lt;=T265),AU265,0),IF(AND(ISNUMBER(AJ265),AJ265&lt;=T265),AV265,0))&lt;=0,"",IF(AND(IF(AND(NOT(AND(AO265=1,AN265&lt;&gt;1)),ISNUMBER(AG265),AG265&lt;=T265),AS265,0)&gt;0,IF(AND(NOT(AND(AO265=1,AN265&lt;&gt;1)),ISNUMBER(AG265),AG265&lt;=T265),AS265,0)=MAX(IF(AND(NOT(AND(AO265=1,AN265&lt;&gt;1)),ISNUMBER(AG265),AG265&lt;=T265),AS265,0),IF(AND(NOT(AND(AO265=1,AN265&lt;&gt;1)),ISNUMBER(AH265),AH265&lt;=T265),AT265,0),IF(AND(NOT(AND(AO265=1,AN265&lt;&gt;1)),ISNUMBER(AI265),AI265&lt;=T265),AU265,0),IF(AND(ISNUMBER(AJ265),AJ265&lt;=T265),AV265,0))),"SW",IF(AND(IF(AND(NOT(AND(AO265=1,AN265&lt;&gt;1)),ISNUMBER(AH265),AH265&lt;=T265),AT265,0)&gt;0,IF(AND(NOT(AND(AO265=1,AN265&lt;&gt;1)),ISNUMBER(AH265),AH265&lt;=T265),AT265,0)=MAX(IF(AND(NOT(AND(AO265=1,AN265&lt;&gt;1)),ISNUMBER(AG265),AG265&lt;=T265),AS265,0),IF(AND(NOT(AND(AO265=1,AN265&lt;&gt;1)),ISNUMBER(AH265),AH265&lt;=T265),AT265,0),IF(AND(NOT(AND(AO265=1,AN265&lt;&gt;1)),ISNUMBER(AI265),AI265&lt;=T265),AU265,0),IF(AND(ISNUMBER(AJ265),AJ265&lt;=T265),AV265,0))),"AB",IF(AND(IF(AND(NOT(AND(AO265=1,AN265&lt;&gt;1)),ISNUMBER(AI265),AI265&lt;=T265),AU265,0)&gt;0,IF(AND(NOT(AND(AO265=1,AN265&lt;&gt;1)),ISNUMBER(AI265),AI265&lt;=T265),AU265,0)=MAX(IF(AND(NOT(AND(AO265=1,AN265&lt;&gt;1)),ISNUMBER(AG265),AG265&lt;=T265),AS265,0),IF(AND(NOT(AND(AO265=1,AN265&lt;&gt;1)),ISNUMBER(AH265),AH265&lt;=T265),AT265,0),IF(AND(NOT(AND(AO265=1,AN265&lt;&gt;1)),ISNUMBER(AI265),AI265&lt;=T265),AU265,0),IF(AND(ISNUMBER(AJ265),AJ265&lt;=T265),AV265,0))),"SC","Mag")))))))</f>
        <v/>
      </c>
    </row>
    <row r="266" customFormat="false" ht="15" hidden="false" customHeight="false" outlineLevel="0" collapsed="false">
      <c r="A266" s="26" t="n">
        <v>261</v>
      </c>
      <c r="B266" s="27" t="n">
        <f aca="false">A266*10/60</f>
        <v>43.5</v>
      </c>
      <c r="C266" s="21" t="n">
        <f aca="false">X265</f>
        <v>18.6730249835055</v>
      </c>
      <c r="D266" s="27" t="n">
        <f aca="false">D265+W265</f>
        <v>0</v>
      </c>
      <c r="E266" s="26" t="n">
        <f aca="false">E265+IF(U265="SW",1,0)</f>
        <v>12</v>
      </c>
      <c r="F266" s="26" t="n">
        <f aca="false">F265+IF(U265="AB",1,0)</f>
        <v>10</v>
      </c>
      <c r="G266" s="26" t="n">
        <f aca="false">G265+IF(U265="SC",1,0)</f>
        <v>7</v>
      </c>
      <c r="H266" s="26" t="n">
        <f aca="false">H265+IF(U265="Mag",1,0)</f>
        <v>5</v>
      </c>
      <c r="I266" s="26" t="n">
        <f aca="false">MAX(I265,IF(U265="OR",1,0))</f>
        <v>1</v>
      </c>
      <c r="J266" s="26" t="n">
        <f aca="false">MAX(J265,IF(U265="HP",1,0))</f>
        <v>1</v>
      </c>
      <c r="K266" s="26" t="n">
        <f aca="false">MAX(K265,IF(U265="FP",1,0))</f>
        <v>1</v>
      </c>
      <c r="L266" s="26" t="n">
        <f aca="false">MAX(L265,IF(U265="transition",1,0))</f>
        <v>1</v>
      </c>
      <c r="M266" s="28" t="n">
        <f aca="false">(Parameters!$B$9+(IF(E266=0,0,(Upgrades!$J$6+E266*Upgrades!$K$6)*POWER(Upgrades!$L$6,E266)))*(IF(Upgrades!$T$7="Solar Wind",POWER(Upgrades!$U$7,F266),1)*IF(Upgrades!$T$8="Solar Wind",POWER(Upgrades!$U$8,G266),1)*IF(Upgrades!$T$9="Solar Wind",POWER(Upgrades!$U$9,H266),1)*IF(Upgrades!$T$10="Solar Wind",POWER(Upgrades!$U$10,I266),1)*IF(Upgrades!$T$11="Solar Wind",POWER(Upgrades!$U$11,J266),1)*IF(Upgrades!$T$12="Solar Wind",POWER(Upgrades!$U$12,K266),1))+(IF(F266=0,0,(Upgrades!$J$7+F266*Upgrades!$K$7)*POWER(Upgrades!$L$7,F266)))*(IF(Upgrades!$T$6="Asteroid Belt",POWER(Upgrades!$U$6,E266),1)*IF(Upgrades!$T$8="Asteroid Belt",POWER(Upgrades!$U$8,G266),1)*IF(Upgrades!$T$9="Asteroid Belt",POWER(Upgrades!$U$9,H266),1)*IF(Upgrades!$T$10="Asteroid Belt",POWER(Upgrades!$U$10,I266),1)*IF(Upgrades!$T$11="Asteroid Belt",POWER(Upgrades!$U$11,J266),1)*IF(Upgrades!$T$12="Asteroid Belt",POWER(Upgrades!$U$12,K266),1))+(IF(G266=0,0,(Upgrades!$J$8+G266*Upgrades!$K$8)*POWER(Upgrades!$L$8,G266)))*(IF(Upgrades!$T$6="Stellar Coupling",POWER(Upgrades!$U$6,E266),1)*IF(Upgrades!$T$7="Stellar Coupling",POWER(Upgrades!$U$7,F266),1)*IF(Upgrades!$T$9="Stellar Coupling",POWER(Upgrades!$U$9,H266),1)*IF(Upgrades!$T$10="Stellar Coupling",POWER(Upgrades!$U$10,I266),1)*IF(Upgrades!$T$11="Stellar Coupling",POWER(Upgrades!$U$11,J266),1)*IF(Upgrades!$T$12="Stellar Coupling",POWER(Upgrades!$U$12,K266),1))+(IF(H266=0,0,(Upgrades!$J$9+H266*Upgrades!$K$9)*POWER(Upgrades!$L$9,H266)))*(IF(Upgrades!$T$6="Magnetosphere",POWER(Upgrades!$U$6,E266),1)*IF(Upgrades!$T$7="Magnetosphere",POWER(Upgrades!$U$7,F266),1)*IF(Upgrades!$T$8="Magnetosphere",POWER(Upgrades!$U$8,G266),1)*IF(Upgrades!$T$10="Magnetosphere",POWER(Upgrades!$U$10,I266),1)*IF(Upgrades!$T$11="Magnetosphere",POWER(Upgrades!$U$11,J266),1)*IF(Upgrades!$T$12="Magnetosphere",POWER(Upgrades!$U$12,K266),1))+(IF(I266=0,0,(Upgrades!$J$10+I266*Upgrades!$K$10)*POWER(Upgrades!$L$10,I266)))*(IF(Upgrades!$T$6="Orbital Resonance",POWER(Upgrades!$U$6,E266),1)*IF(Upgrades!$T$7="Orbital Resonance",POWER(Upgrades!$U$7,F266),1)*IF(Upgrades!$T$8="Orbital Resonance",POWER(Upgrades!$U$8,G266),1)*IF(Upgrades!$T$9="Orbital Resonance",POWER(Upgrades!$U$9,H266),1)*IF(Upgrades!$T$11="Orbital Resonance",POWER(Upgrades!$U$11,J266),1)*IF(Upgrades!$T$12="Orbital Resonance",POWER(Upgrades!$U$12,K266),1))+(IF(J266=0,0,(Upgrades!$J$11+J266*Upgrades!$K$11)*POWER(Upgrades!$L$11,J266)))*(IF(Upgrades!$T$6="Heliopause",POWER(Upgrades!$U$6,E266),1)*IF(Upgrades!$T$7="Heliopause",POWER(Upgrades!$U$7,F266),1)*IF(Upgrades!$T$8="Heliopause",POWER(Upgrades!$U$8,G266),1)*IF(Upgrades!$T$9="Heliopause",POWER(Upgrades!$U$9,H266),1)*IF(Upgrades!$T$10="Heliopause",POWER(Upgrades!$U$10,I266),1)*IF(Upgrades!$T$12="Heliopause",POWER(Upgrades!$U$12,K266),1))+(IF(K266=0,0,(Upgrades!$J$12+K266*Upgrades!$K$12)*POWER(Upgrades!$L$12,K266)))*(IF(Upgrades!$T$6="First Photons",POWER(Upgrades!$U$6,E266),1)*IF(Upgrades!$T$7="First Photons",POWER(Upgrades!$U$7,F266),1)*IF(Upgrades!$T$8="First Photons",POWER(Upgrades!$U$8,G266),1)*IF(Upgrades!$T$9="First Photons",POWER(Upgrades!$U$9,H266),1)*IF(Upgrades!$T$10="First Photons",POWER(Upgrades!$U$10,I266),1)*IF(Upgrades!$T$11="First Photons",POWER(Upgrades!$U$11,J266),1)))*POWER(Upgrades!$Q$6,E266)*POWER(Upgrades!$Q$7,F266)*POWER(Upgrades!$Q$8,G266)*POWER(Upgrades!$Q$9,H266)*POWER(Upgrades!$Q$10,I266)*POWER(Upgrades!$Q$11,J266)*POWER(Upgrades!$Q$12,K266)</f>
        <v>5.61</v>
      </c>
      <c r="N266" s="28" t="n">
        <f aca="false">((IF(E266=0,0,(Upgrades!$G$6+E266*Upgrades!$H$6)*POWER(Upgrades!$I$6,E266)))*(IF(Upgrades!$T$7="Solar Wind",POWER(Upgrades!$U$7,F266),1)*IF(Upgrades!$T$8="Solar Wind",POWER(Upgrades!$U$8,G266),1)*IF(Upgrades!$T$9="Solar Wind",POWER(Upgrades!$U$9,H266),1)*IF(Upgrades!$T$10="Solar Wind",POWER(Upgrades!$U$10,I266),1)*IF(Upgrades!$T$11="Solar Wind",POWER(Upgrades!$U$11,J266),1)*IF(Upgrades!$T$12="Solar Wind",POWER(Upgrades!$U$12,K266),1))+(IF(F266=0,0,(Upgrades!$G$7+F266*Upgrades!$H$7)*POWER(Upgrades!$I$7,F266)))*(IF(Upgrades!$T$6="Asteroid Belt",POWER(Upgrades!$U$6,E266),1)*IF(Upgrades!$T$8="Asteroid Belt",POWER(Upgrades!$U$8,G266),1)*IF(Upgrades!$T$9="Asteroid Belt",POWER(Upgrades!$U$9,H266),1)*IF(Upgrades!$T$10="Asteroid Belt",POWER(Upgrades!$U$10,I266),1)*IF(Upgrades!$T$11="Asteroid Belt",POWER(Upgrades!$U$11,J266),1)*IF(Upgrades!$T$12="Asteroid Belt",POWER(Upgrades!$U$12,K266),1))+(IF(G266=0,0,(Upgrades!$G$8+G266*Upgrades!$H$8)*POWER(Upgrades!$I$8,G266)))*(IF(Upgrades!$T$6="Stellar Coupling",POWER(Upgrades!$U$6,E266),1)*IF(Upgrades!$T$7="Stellar Coupling",POWER(Upgrades!$U$7,F266),1)*IF(Upgrades!$T$9="Stellar Coupling",POWER(Upgrades!$U$9,H266),1)*IF(Upgrades!$T$10="Stellar Coupling",POWER(Upgrades!$U$10,I266),1)*IF(Upgrades!$T$11="Stellar Coupling",POWER(Upgrades!$U$11,J266),1)*IF(Upgrades!$T$12="Stellar Coupling",POWER(Upgrades!$U$12,K266),1))+(IF(H266=0,0,(Upgrades!$G$9+H266*Upgrades!$H$9)*POWER(Upgrades!$I$9,H266)))*(IF(Upgrades!$T$6="Magnetosphere",POWER(Upgrades!$U$6,E266),1)*IF(Upgrades!$T$7="Magnetosphere",POWER(Upgrades!$U$7,F266),1)*IF(Upgrades!$T$8="Magnetosphere",POWER(Upgrades!$U$8,G266),1)*IF(Upgrades!$T$10="Magnetosphere",POWER(Upgrades!$U$10,I266),1)*IF(Upgrades!$T$11="Magnetosphere",POWER(Upgrades!$U$11,J266),1)*IF(Upgrades!$T$12="Magnetosphere",POWER(Upgrades!$U$12,K266),1))+(IF(I266=0,0,(Upgrades!$G$10+I266*Upgrades!$H$10)*POWER(Upgrades!$I$10,I266)))*(IF(Upgrades!$T$6="Orbital Resonance",POWER(Upgrades!$U$6,E266),1)*IF(Upgrades!$T$7="Orbital Resonance",POWER(Upgrades!$U$7,F266),1)*IF(Upgrades!$T$8="Orbital Resonance",POWER(Upgrades!$U$8,G266),1)*IF(Upgrades!$T$9="Orbital Resonance",POWER(Upgrades!$U$9,H266),1)*IF(Upgrades!$T$11="Orbital Resonance",POWER(Upgrades!$U$11,J266),1)*IF(Upgrades!$T$12="Orbital Resonance",POWER(Upgrades!$U$12,K266),1))+(IF(J266=0,0,(Upgrades!$G$11+J266*Upgrades!$H$11)*POWER(Upgrades!$I$11,J266)))*(IF(Upgrades!$T$6="Heliopause",POWER(Upgrades!$U$6,E266),1)*IF(Upgrades!$T$7="Heliopause",POWER(Upgrades!$U$7,F266),1)*IF(Upgrades!$T$8="Heliopause",POWER(Upgrades!$U$8,G266),1)*IF(Upgrades!$T$9="Heliopause",POWER(Upgrades!$U$9,H266),1)*IF(Upgrades!$T$10="Heliopause",POWER(Upgrades!$U$10,I266),1)*IF(Upgrades!$T$12="Heliopause",POWER(Upgrades!$U$12,K266),1))+(IF(K266=0,0,(Upgrades!$G$12+K266*Upgrades!$H$12)*POWER(Upgrades!$I$12,K266)))*(IF(Upgrades!$T$6="First Photons",POWER(Upgrades!$U$6,E266),1)*IF(Upgrades!$T$7="First Photons",POWER(Upgrades!$U$7,F266),1)*IF(Upgrades!$T$8="First Photons",POWER(Upgrades!$U$8,G266),1)*IF(Upgrades!$T$9="First Photons",POWER(Upgrades!$U$9,H266),1)*IF(Upgrades!$T$10="First Photons",POWER(Upgrades!$U$10,I266),1)*IF(Upgrades!$T$11="First Photons",POWER(Upgrades!$U$11,J266),1)))*POWER(Upgrades!$P$6,E266)*POWER(Upgrades!$P$7,F266)*POWER(Upgrades!$P$8,G266)*POWER(Upgrades!$P$9,H266)*POWER(Upgrades!$P$10,I266)*POWER(Upgrades!$P$11,J266)*POWER(Upgrades!$P$12,K266)</f>
        <v>11.2</v>
      </c>
      <c r="O266" s="28" t="n">
        <f aca="false">((IF(E266=0,0,(Upgrades!$M$6+E266*Upgrades!$N$6)*POWER(Upgrades!$O$6,E266)))*(IF(Upgrades!$T$7="Solar Wind",POWER(Upgrades!$U$7,F266),1)*IF(Upgrades!$T$8="Solar Wind",POWER(Upgrades!$U$8,G266),1)*IF(Upgrades!$T$9="Solar Wind",POWER(Upgrades!$U$9,H266),1)*IF(Upgrades!$T$10="Solar Wind",POWER(Upgrades!$U$10,I266),1)*IF(Upgrades!$T$11="Solar Wind",POWER(Upgrades!$U$11,J266),1)*IF(Upgrades!$T$12="Solar Wind",POWER(Upgrades!$U$12,K266),1))+(IF(F266=0,0,(Upgrades!$M$7+F266*Upgrades!$N$7)*POWER(Upgrades!$O$7,F266)))*(IF(Upgrades!$T$6="Asteroid Belt",POWER(Upgrades!$U$6,E266),1)*IF(Upgrades!$T$8="Asteroid Belt",POWER(Upgrades!$U$8,G266),1)*IF(Upgrades!$T$9="Asteroid Belt",POWER(Upgrades!$U$9,H266),1)*IF(Upgrades!$T$10="Asteroid Belt",POWER(Upgrades!$U$10,I266),1)*IF(Upgrades!$T$11="Asteroid Belt",POWER(Upgrades!$U$11,J266),1)*IF(Upgrades!$T$12="Asteroid Belt",POWER(Upgrades!$U$12,K266),1))+(IF(G266=0,0,(Upgrades!$M$8+G266*Upgrades!$N$8)*POWER(Upgrades!$O$8,G266)))*(IF(Upgrades!$T$6="Stellar Coupling",POWER(Upgrades!$U$6,E266),1)*IF(Upgrades!$T$7="Stellar Coupling",POWER(Upgrades!$U$7,F266),1)*IF(Upgrades!$T$9="Stellar Coupling",POWER(Upgrades!$U$9,H266),1)*IF(Upgrades!$T$10="Stellar Coupling",POWER(Upgrades!$U$10,I266),1)*IF(Upgrades!$T$11="Stellar Coupling",POWER(Upgrades!$U$11,J266),1)*IF(Upgrades!$T$12="Stellar Coupling",POWER(Upgrades!$U$12,K266),1))+(IF(H266=0,0,(Upgrades!$M$9+H266*Upgrades!$N$9)*POWER(Upgrades!$O$9,H266)))*(IF(Upgrades!$T$6="Magnetosphere",POWER(Upgrades!$U$6,E266),1)*IF(Upgrades!$T$7="Magnetosphere",POWER(Upgrades!$U$7,F266),1)*IF(Upgrades!$T$8="Magnetosphere",POWER(Upgrades!$U$8,G266),1)*IF(Upgrades!$T$10="Magnetosphere",POWER(Upgrades!$U$10,I266),1)*IF(Upgrades!$T$11="Magnetosphere",POWER(Upgrades!$U$11,J266),1)*IF(Upgrades!$T$12="Magnetosphere",POWER(Upgrades!$U$12,K266),1))+(IF(I266=0,0,(Upgrades!$M$10+I266*Upgrades!$N$10)*POWER(Upgrades!$O$10,I266)))*(IF(Upgrades!$T$6="Orbital Resonance",POWER(Upgrades!$U$6,E266),1)*IF(Upgrades!$T$7="Orbital Resonance",POWER(Upgrades!$U$7,F266),1)*IF(Upgrades!$T$8="Orbital Resonance",POWER(Upgrades!$U$8,G266),1)*IF(Upgrades!$T$9="Orbital Resonance",POWER(Upgrades!$U$9,H266),1)*IF(Upgrades!$T$11="Orbital Resonance",POWER(Upgrades!$U$11,J266),1)*IF(Upgrades!$T$12="Orbital Resonance",POWER(Upgrades!$U$12,K266),1))+(IF(J266=0,0,(Upgrades!$M$11+J266*Upgrades!$N$11)*POWER(Upgrades!$O$11,J266)))*(IF(Upgrades!$T$6="Heliopause",POWER(Upgrades!$U$6,E266),1)*IF(Upgrades!$T$7="Heliopause",POWER(Upgrades!$U$7,F266),1)*IF(Upgrades!$T$8="Heliopause",POWER(Upgrades!$U$8,G266),1)*IF(Upgrades!$T$9="Heliopause",POWER(Upgrades!$U$9,H266),1)*IF(Upgrades!$T$10="Heliopause",POWER(Upgrades!$U$10,I266),1)*IF(Upgrades!$T$12="Heliopause",POWER(Upgrades!$U$12,K266),1))+(IF(K266=0,0,(Upgrades!$M$12+K266*Upgrades!$N$12)*POWER(Upgrades!$O$12,K266)))*(IF(Upgrades!$T$6="First Photons",POWER(Upgrades!$U$6,E266),1)*IF(Upgrades!$T$7="First Photons",POWER(Upgrades!$U$7,F266),1)*IF(Upgrades!$T$8="First Photons",POWER(Upgrades!$U$8,G266),1)*IF(Upgrades!$T$9="First Photons",POWER(Upgrades!$U$9,H266),1)*IF(Upgrades!$T$10="First Photons",POWER(Upgrades!$U$10,I266),1)*IF(Upgrades!$T$11="First Photons",POWER(Upgrades!$U$11,J266),1)))*POWER(Upgrades!$R$6,E266)*POWER(Upgrades!$R$7,F266)*POWER(Upgrades!$R$8,G266)*POWER(Upgrades!$R$9,H266)*POWER(Upgrades!$R$10,I266)*POWER(Upgrades!$R$11,J266)*POWER(Upgrades!$R$12,K266)</f>
        <v>0</v>
      </c>
      <c r="P266" s="27" t="n">
        <f aca="false">IF(L266=1,0,M266*Parameters!$B$10/60*Parameters!$B$11*10)</f>
        <v>0</v>
      </c>
      <c r="Q266" s="27" t="n">
        <f aca="false">IF(L266=1,0,O266*M266*10)</f>
        <v>0</v>
      </c>
      <c r="R266" s="27" t="n">
        <f aca="false">IF(L266=1,0,N266*10)</f>
        <v>0</v>
      </c>
      <c r="S266" s="27" t="n">
        <f aca="false">P266+Q266+R266</f>
        <v>0</v>
      </c>
      <c r="T266" s="21" t="n">
        <f aca="false">C266+S266</f>
        <v>18.6730249835055</v>
      </c>
      <c r="U266" s="34" t="str">
        <f aca="false">AX266</f>
        <v/>
      </c>
      <c r="V266" s="21" t="n">
        <f aca="false">IF(U266="",0,IF(U266="transition",0,IF(U266="SW",AG266,IF(U266="AB",AH266,IF(U266="SC",AI266,IF(U266="Mag",AJ266,IF(U266="OR",AK266,IF(U266="HP",AL266,IF(U266="FP",AM266,0)))))))))</f>
        <v>0</v>
      </c>
      <c r="W266" s="27" t="n">
        <f aca="false">IF(U266="OR",Upgrades!$F$10,IF(U266="HP",Upgrades!$F$11,IF(U266="transition",-Parameters!$B$18,0)))</f>
        <v>0</v>
      </c>
      <c r="X266" s="21" t="n">
        <f aca="false">T266-V266</f>
        <v>18.6730249835055</v>
      </c>
      <c r="Y266" s="30" t="n">
        <f aca="false">M266*Parameters!$B$10/60*Parameters!$B$11+O266*M266+N266</f>
        <v>20.55</v>
      </c>
      <c r="Z266" s="35" t="str">
        <f aca="false">IF(U266="transition","→ Tier 2 (Stellar Neighborhood)",IF(U266="FP","First Photons — light begins, system quickens",IF(U266="HP","Heliopause acquired",IF(U266="OR","Orbital Resonance — passive multiplier active",IF(AND(AO266=1,L266=0,AN266&lt;&gt;1),"Cohesion ready (waiting on completionist upgrades)","")))))</f>
        <v/>
      </c>
      <c r="AA266" s="27" t="n">
        <f aca="false">(IF(E266=0,0,(Upgrades!$G$6+E266*Upgrades!$H$6)*POWER(Upgrades!$I$6,E266)))*(IF(Upgrades!$T$7="Solar Wind",POWER(Upgrades!$U$7,F266),1)*IF(Upgrades!$T$8="Solar Wind",POWER(Upgrades!$U$8,G266),1)*IF(Upgrades!$T$9="Solar Wind",POWER(Upgrades!$U$9,H266),1)*IF(Upgrades!$T$10="Solar Wind",POWER(Upgrades!$U$10,I266),1)*IF(Upgrades!$T$11="Solar Wind",POWER(Upgrades!$U$11,J266),1)*IF(Upgrades!$T$12="Solar Wind",POWER(Upgrades!$U$12,K266),1))*POWER(Upgrades!$P$6,E266)*POWER(Upgrades!$P$7,F266)*POWER(Upgrades!$P$8,G266)*POWER(Upgrades!$P$9,H266)*POWER(Upgrades!$P$10,I266)*POWER(Upgrades!$P$11,J266)*POWER(Upgrades!$P$12,K266)*60</f>
        <v>72</v>
      </c>
      <c r="AB266" s="27" t="n">
        <f aca="false">(IF(F266=0,0,(Upgrades!$G$7+F266*Upgrades!$H$7)*POWER(Upgrades!$I$7,F266)))*(IF(Upgrades!$T$6="Asteroid Belt",POWER(Upgrades!$U$6,E266),1)*IF(Upgrades!$T$8="Asteroid Belt",POWER(Upgrades!$U$8,G266),1)*IF(Upgrades!$T$9="Asteroid Belt",POWER(Upgrades!$U$9,H266),1)*IF(Upgrades!$T$10="Asteroid Belt",POWER(Upgrades!$U$10,I266),1)*IF(Upgrades!$T$11="Asteroid Belt",POWER(Upgrades!$U$11,J266),1)*IF(Upgrades!$T$12="Asteroid Belt",POWER(Upgrades!$U$12,K266),1))*POWER(Upgrades!$P$6,E266)*POWER(Upgrades!$P$7,F266)*POWER(Upgrades!$P$8,G266)*POWER(Upgrades!$P$9,H266)*POWER(Upgrades!$P$10,I266)*POWER(Upgrades!$P$11,J266)*POWER(Upgrades!$P$12,K266)*60</f>
        <v>150</v>
      </c>
      <c r="AC266" s="27" t="n">
        <f aca="false">(IF(G266=0,0,(Upgrades!$J$8+G266*Upgrades!$K$8)*POWER(Upgrades!$L$8,G266)))*(IF(Upgrades!$T$6="Stellar Coupling",POWER(Upgrades!$U$6,E266),1)*IF(Upgrades!$T$7="Stellar Coupling",POWER(Upgrades!$U$7,F266),1)*IF(Upgrades!$T$9="Stellar Coupling",POWER(Upgrades!$U$9,H266),1)*IF(Upgrades!$T$10="Stellar Coupling",POWER(Upgrades!$U$10,I266),1)*IF(Upgrades!$T$11="Stellar Coupling",POWER(Upgrades!$U$11,J266),1)*IF(Upgrades!$T$12="Stellar Coupling",POWER(Upgrades!$U$12,K266),1))*POWER(Upgrades!$Q$6,E266)*POWER(Upgrades!$Q$7,F266)*POWER(Upgrades!$Q$8,G266)*POWER(Upgrades!$Q$9,H266)*POWER(Upgrades!$Q$10,I266)*POWER(Upgrades!$Q$11,J266)*POWER(Upgrades!$Q$12,K266)*Parameters!$B$10*Parameters!$B$11</f>
        <v>441</v>
      </c>
      <c r="AD266" s="27" t="n">
        <f aca="false">(IF(H266=0,0,(Upgrades!$G$9+H266*Upgrades!$H$9)*POWER(Upgrades!$I$9,H266)))*(IF(Upgrades!$T$6="Magnetosphere",POWER(Upgrades!$U$6,E266),1)*IF(Upgrades!$T$7="Magnetosphere",POWER(Upgrades!$U$7,F266),1)*IF(Upgrades!$T$8="Magnetosphere",POWER(Upgrades!$U$8,G266),1)*IF(Upgrades!$T$10="Magnetosphere",POWER(Upgrades!$U$10,I266),1)*IF(Upgrades!$T$11="Magnetosphere",POWER(Upgrades!$U$11,J266),1)*IF(Upgrades!$T$12="Magnetosphere",POWER(Upgrades!$U$12,K266),1))*POWER(Upgrades!$P$6,E266)*POWER(Upgrades!$P$7,F266)*POWER(Upgrades!$P$8,G266)*POWER(Upgrades!$P$9,H266)*POWER(Upgrades!$P$10,I266)*POWER(Upgrades!$P$11,J266)*POWER(Upgrades!$P$12,K266)*60</f>
        <v>375</v>
      </c>
      <c r="AE266" s="27" t="n">
        <f aca="false">(IF(K266=0,0,(Upgrades!$G$12+K266*Upgrades!$H$12)*POWER(Upgrades!$I$12,K266)))*(IF(Upgrades!$T$6="First Photons",POWER(Upgrades!$U$6,E266),1)*IF(Upgrades!$T$7="First Photons",POWER(Upgrades!$U$7,F266),1)*IF(Upgrades!$T$8="First Photons",POWER(Upgrades!$U$8,G266),1)*IF(Upgrades!$T$9="First Photons",POWER(Upgrades!$U$9,H266),1)*IF(Upgrades!$T$10="First Photons",POWER(Upgrades!$U$10,I266),1)*IF(Upgrades!$T$11="First Photons",POWER(Upgrades!$U$11,J266),1))*POWER(Upgrades!$P$6,E266)*POWER(Upgrades!$P$7,F266)*POWER(Upgrades!$P$8,G266)*POWER(Upgrades!$P$9,H266)*POWER(Upgrades!$P$10,I266)*POWER(Upgrades!$P$11,J266)*POWER(Upgrades!$P$12,K266)*60</f>
        <v>75</v>
      </c>
      <c r="AF266" s="27" t="n">
        <f aca="false">Parameters!$B$9*POWER(Upgrades!$Q$6,E266)*POWER(Upgrades!$Q$7,F266)*POWER(Upgrades!$Q$8,G266)*POWER(Upgrades!$Q$9,H266)*POWER(Upgrades!$Q$10,I266)*POWER(Upgrades!$Q$11,J266)*POWER(Upgrades!$Q$12,K266)*(Parameters!$B$10*Parameters!$B$11+O266*60)</f>
        <v>120</v>
      </c>
      <c r="AG266" s="21" t="n">
        <f aca="false">IF(E266&gt;=Upgrades!$E$6,"",Upgrades!$C$6*POWER(Upgrades!$D$6,E266))</f>
        <v>37.4517507383159</v>
      </c>
      <c r="AH266" s="21" t="n">
        <f aca="false">IF(F266&gt;=Upgrades!$E$7,"",Upgrades!$C$7*POWER(Upgrades!$D$7,F266))</f>
        <v>80.9111547141581</v>
      </c>
      <c r="AI266" s="21" t="n">
        <f aca="false">IF(G266&gt;=Upgrades!$E$8,"",Upgrades!$C$8*POWER(Upgrades!$D$8,G266))</f>
        <v>231.9097088</v>
      </c>
      <c r="AJ266" s="21" t="str">
        <f aca="false">IF(H266&gt;=Upgrades!$E$9,"",Upgrades!$C$9*POWER(Upgrades!$D$9,H266))</f>
        <v/>
      </c>
      <c r="AK266" s="21" t="str">
        <f aca="false">IF(I266&gt;=Upgrades!$E$10,"",Upgrades!$C$10*POWER(Upgrades!$D$10,I266))</f>
        <v/>
      </c>
      <c r="AL266" s="21" t="str">
        <f aca="false">IF(J266&gt;=Upgrades!$E$11,"",Upgrades!$C$11*POWER(Upgrades!$D$11,J266))</f>
        <v/>
      </c>
      <c r="AM266" s="21" t="str">
        <f aca="false">IF(K266&gt;=Upgrades!$E$12,"",Upgrades!$C$12*POWER(Upgrades!$D$12,K266))</f>
        <v/>
      </c>
      <c r="AN266" s="26" t="str">
        <f aca="false">IF(AND(D266&gt;=Parameters!$B$18,(H266&gt;=Upgrades!$E$9)*(K266&gt;=Upgrades!$E$12)=1,L266=0),1,"")</f>
        <v/>
      </c>
      <c r="AO266" s="26" t="str">
        <f aca="false">IF(AND(D266&gt;=Parameters!$B$18,L266=0),1,"")</f>
        <v/>
      </c>
      <c r="AP266" s="21" t="n">
        <f aca="false">MIN(IF(ISNUMBER(AK266),AK266,9000000000000000),IF(ISNUMBER(AL266),AL266,9000000000000000),IF(ISNUMBER(AM266),AM266,9000000000000000))</f>
        <v>9000000000000000</v>
      </c>
      <c r="AQ266" s="21" t="n">
        <f aca="false">MIN(IF(ISNUMBER(AG266),AG266,9000000000000000),IF(ISNUMBER(AH266),AH266,9000000000000000),IF(ISNUMBER(AI266),AI266,9000000000000000),IF(ISNUMBER(AJ266),AJ266,9000000000000000))</f>
        <v>37.4517507383159</v>
      </c>
      <c r="AR266" s="32" t="b">
        <f aca="false">IF(AW266&gt;Parameters!$B$21*(MAX(IF(AND(NOT(AND(AO266=1,AN266&lt;&gt;1)),ISNUMBER(AG266),AG266&lt;=T266),AS266,0),IF(AND(NOT(AND(AO266=1,AN266&lt;&gt;1)),ISNUMBER(AH266),AH266&lt;=T266),AT266,0),IF(AND(NOT(AND(AO266=1,AN266&lt;&gt;1)),ISNUMBER(AI266),AI266&lt;=T266),AU266,0),IF(AND(ISNUMBER(AJ266),AJ266&lt;=T266),AV266,0))),TRUE(),FALSE())</f>
        <v>1</v>
      </c>
      <c r="AS266" s="33" t="n">
        <f aca="false">IFERROR(Upgrades!$H$6*(POWER(Upgrades!$P$6,E266)*POWER(Upgrades!$P$7,F266)*POWER(Upgrades!$P$8,G266)*POWER(Upgrades!$P$9,H266)*POWER(Upgrades!$P$10,I266)*POWER(Upgrades!$P$11,J266)*POWER(Upgrades!$P$12,K266))*(IF(Upgrades!$T$7="Solar Wind",POWER(Upgrades!$U$7,F266),1)*IF(Upgrades!$T$8="Solar Wind",POWER(Upgrades!$U$8,G266),1)*IF(Upgrades!$T$9="Solar Wind",POWER(Upgrades!$U$9,H266),1)*IF(Upgrades!$T$10="Solar Wind",POWER(Upgrades!$U$10,I266),1)*IF(Upgrades!$T$11="Solar Wind",POWER(Upgrades!$U$11,J266),1)*IF(Upgrades!$T$12="Solar Wind",POWER(Upgrades!$U$12,K266),1))/AG266,0)</f>
        <v>0.0026701021455238</v>
      </c>
      <c r="AT266" s="33" t="n">
        <f aca="false">IFERROR(Upgrades!$H$7*(POWER(Upgrades!$P$6,E266)*POWER(Upgrades!$P$7,F266)*POWER(Upgrades!$P$8,G266)*POWER(Upgrades!$P$9,H266)*POWER(Upgrades!$P$10,I266)*POWER(Upgrades!$P$11,J266)*POWER(Upgrades!$P$12,K266))*(IF(Upgrades!$T$6="Asteroid Belt",POWER(Upgrades!$U$6,E266),1)*IF(Upgrades!$T$8="Asteroid Belt",POWER(Upgrades!$U$8,G266),1)*IF(Upgrades!$T$9="Asteroid Belt",POWER(Upgrades!$U$9,H266),1)*IF(Upgrades!$T$10="Asteroid Belt",POWER(Upgrades!$U$10,I266),1)*IF(Upgrades!$T$11="Asteroid Belt",POWER(Upgrades!$U$11,J266),1)*IF(Upgrades!$T$12="Asteroid Belt",POWER(Upgrades!$U$12,K266),1))/AH266,0)</f>
        <v>0.00308980882652332</v>
      </c>
      <c r="AU266" s="33" t="n">
        <f aca="false">IFERROR(Upgrades!$K$8*(POWER(Upgrades!$Q$6,E266)*POWER(Upgrades!$Q$7,F266)*POWER(Upgrades!$Q$8,G266)*POWER(Upgrades!$Q$9,H266)*POWER(Upgrades!$Q$10,I266)*POWER(Upgrades!$Q$11,J266)*POWER(Upgrades!$Q$12,K266))*(IF(Upgrades!$T$6="Stellar Coupling",POWER(Upgrades!$U$6,E266),1)*IF(Upgrades!$T$7="Stellar Coupling",POWER(Upgrades!$U$7,F266),1)*IF(Upgrades!$T$9="Stellar Coupling",POWER(Upgrades!$U$9,H266),1)*IF(Upgrades!$T$10="Stellar Coupling",POWER(Upgrades!$U$10,I266),1)*IF(Upgrades!$T$11="Stellar Coupling",POWER(Upgrades!$U$11,J266),1)*IF(Upgrades!$T$12="Stellar Coupling",POWER(Upgrades!$U$12,K266),1))*Parameters!$B$10*Parameters!$B$11/60/AI266,0)</f>
        <v>0.00452762415783776</v>
      </c>
      <c r="AV266" s="33" t="n">
        <f aca="false">IFERROR(Upgrades!$H$9*(POWER(Upgrades!$P$6,E266)*POWER(Upgrades!$P$7,F266)*POWER(Upgrades!$P$8,G266)*POWER(Upgrades!$P$9,H266)*POWER(Upgrades!$P$10,I266)*POWER(Upgrades!$P$11,J266)*POWER(Upgrades!$P$12,K266))*(IF(Upgrades!$T$6="Magnetosphere",POWER(Upgrades!$U$6,E266),1)*IF(Upgrades!$T$7="Magnetosphere",POWER(Upgrades!$U$7,F266),1)*IF(Upgrades!$T$8="Magnetosphere",POWER(Upgrades!$U$8,G266),1)*IF(Upgrades!$T$10="Magnetosphere",POWER(Upgrades!$U$10,I266),1)*IF(Upgrades!$T$11="Magnetosphere",POWER(Upgrades!$U$11,J266),1)*IF(Upgrades!$T$12="Magnetosphere",POWER(Upgrades!$U$12,K266),1))/AJ266,0)</f>
        <v>0</v>
      </c>
      <c r="AW266" s="33" t="n">
        <f aca="false">MAX(IF(I266&gt;0,0,IFERROR(0.25*N266/Upgrades!$C$10,0)),IF(J266&gt;0,0,IFERROR(0.5*((IF(G266=0,0,(Upgrades!$J$8+G266*Upgrades!$K$8)*POWER(Upgrades!$L$8,G266)))*(IF(Upgrades!$T$6="Stellar Coupling",POWER(Upgrades!$U$6,E266),1)*IF(Upgrades!$T$7="Stellar Coupling",POWER(Upgrades!$U$7,F266),1)*IF(Upgrades!$T$9="Stellar Coupling",POWER(Upgrades!$U$9,H266),1)*IF(Upgrades!$T$10="Stellar Coupling",POWER(Upgrades!$U$10,I266),1)*IF(Upgrades!$T$11="Stellar Coupling",POWER(Upgrades!$U$11,J266),1)*IF(Upgrades!$T$12="Stellar Coupling",POWER(Upgrades!$U$12,K266),1))*(POWER(Upgrades!$Q$6,E266)*POWER(Upgrades!$Q$7,F266)*POWER(Upgrades!$Q$8,G266)*POWER(Upgrades!$Q$9,H266)*POWER(Upgrades!$Q$10,I266)*POWER(Upgrades!$Q$11,J266)*POWER(Upgrades!$Q$12,K266))*Parameters!$B$10*Parameters!$B$11/60)/Upgrades!$C$11,0)),IF(K266&gt;0,0,IFERROR((1*(POWER(Upgrades!$P$6,E266)*POWER(Upgrades!$P$7,F266)*POWER(Upgrades!$P$8,G266)*POWER(Upgrades!$P$9,H266)*POWER(Upgrades!$P$10,I266)*POWER(Upgrades!$P$11,J266)*POWER(Upgrades!$P$12,K266))+0.2*M266*Parameters!$B$10*Parameters!$B$11/60)/Upgrades!$C$12,0)),IF(AND(ISNUMBER(AG266),AG266&gt;T266),AS266,0),IF(AND(ISNUMBER(AH266),AH266&gt;T266),AT266,0),IF(AND(ISNUMBER(AI266),AI266&gt;T266),AU266,0),IF(AND(ISNUMBER(AJ266),AJ266&gt;T266),AV266,0))</f>
        <v>0.00452762415783776</v>
      </c>
      <c r="AX266" s="29" t="str">
        <f aca="false">IF(AN266=1,"transition",IF(MIN(IF(AND(I266=0,ISNUMBER(AK266),AK266&lt;=T266),AK266,9000000000000000),IF(AND(J266=0,ISNUMBER(AL266),AL266&lt;=T266),AL266,9000000000000000),IF(AND(K266=0,ISNUMBER(AM266),AM266&lt;=T266),AM266,9000000000000000))&lt;9000000000000000,IF(AND(AND(I266=0,ISNUMBER(AK266),AK266&lt;=T266),AK266=MIN(IF(AND(I266=0,ISNUMBER(AK266),AK266&lt;=T266),AK266,9000000000000000),IF(AND(J266=0,ISNUMBER(AL266),AL266&lt;=T266),AL266,9000000000000000),IF(AND(K266=0,ISNUMBER(AM266),AM266&lt;=T266),AM266,9000000000000000))),"OR",IF(AND(AND(J266=0,ISNUMBER(AL266),AL266&lt;=T266),AL266=MIN(IF(AND(I266=0,ISNUMBER(AK266),AK266&lt;=T266),AK266,9000000000000000),IF(AND(J266=0,ISNUMBER(AL266),AL266&lt;=T266),AL266,9000000000000000),IF(AND(K266=0,ISNUMBER(AM266),AM266&lt;=T266),AM266,9000000000000000))),"HP","FP")),IF(AR266=TRUE(),"",IF(MAX(IF(AND(NOT(AND(AO266=1,AN266&lt;&gt;1)),ISNUMBER(AG266),AG266&lt;=T266),AS266,0),IF(AND(NOT(AND(AO266=1,AN266&lt;&gt;1)),ISNUMBER(AH266),AH266&lt;=T266),AT266,0),IF(AND(NOT(AND(AO266=1,AN266&lt;&gt;1)),ISNUMBER(AI266),AI266&lt;=T266),AU266,0),IF(AND(ISNUMBER(AJ266),AJ266&lt;=T266),AV266,0))&lt;=0,"",IF(AND(IF(AND(NOT(AND(AO266=1,AN266&lt;&gt;1)),ISNUMBER(AG266),AG266&lt;=T266),AS266,0)&gt;0,IF(AND(NOT(AND(AO266=1,AN266&lt;&gt;1)),ISNUMBER(AG266),AG266&lt;=T266),AS266,0)=MAX(IF(AND(NOT(AND(AO266=1,AN266&lt;&gt;1)),ISNUMBER(AG266),AG266&lt;=T266),AS266,0),IF(AND(NOT(AND(AO266=1,AN266&lt;&gt;1)),ISNUMBER(AH266),AH266&lt;=T266),AT266,0),IF(AND(NOT(AND(AO266=1,AN266&lt;&gt;1)),ISNUMBER(AI266),AI266&lt;=T266),AU266,0),IF(AND(ISNUMBER(AJ266),AJ266&lt;=T266),AV266,0))),"SW",IF(AND(IF(AND(NOT(AND(AO266=1,AN266&lt;&gt;1)),ISNUMBER(AH266),AH266&lt;=T266),AT266,0)&gt;0,IF(AND(NOT(AND(AO266=1,AN266&lt;&gt;1)),ISNUMBER(AH266),AH266&lt;=T266),AT266,0)=MAX(IF(AND(NOT(AND(AO266=1,AN266&lt;&gt;1)),ISNUMBER(AG266),AG266&lt;=T266),AS266,0),IF(AND(NOT(AND(AO266=1,AN266&lt;&gt;1)),ISNUMBER(AH266),AH266&lt;=T266),AT266,0),IF(AND(NOT(AND(AO266=1,AN266&lt;&gt;1)),ISNUMBER(AI266),AI266&lt;=T266),AU266,0),IF(AND(ISNUMBER(AJ266),AJ266&lt;=T266),AV266,0))),"AB",IF(AND(IF(AND(NOT(AND(AO266=1,AN266&lt;&gt;1)),ISNUMBER(AI266),AI266&lt;=T266),AU266,0)&gt;0,IF(AND(NOT(AND(AO266=1,AN266&lt;&gt;1)),ISNUMBER(AI266),AI266&lt;=T266),AU266,0)=MAX(IF(AND(NOT(AND(AO266=1,AN266&lt;&gt;1)),ISNUMBER(AG266),AG266&lt;=T266),AS266,0),IF(AND(NOT(AND(AO266=1,AN266&lt;&gt;1)),ISNUMBER(AH266),AH266&lt;=T266),AT266,0),IF(AND(NOT(AND(AO266=1,AN266&lt;&gt;1)),ISNUMBER(AI266),AI266&lt;=T266),AU266,0),IF(AND(ISNUMBER(AJ266),AJ266&lt;=T266),AV266,0))),"SC","Mag")))))))</f>
        <v/>
      </c>
    </row>
    <row r="267" customFormat="false" ht="15" hidden="false" customHeight="false" outlineLevel="0" collapsed="false">
      <c r="A267" s="26" t="n">
        <v>262</v>
      </c>
      <c r="B267" s="27" t="n">
        <f aca="false">A267*10/60</f>
        <v>43.6666666666667</v>
      </c>
      <c r="C267" s="21" t="n">
        <f aca="false">X266</f>
        <v>18.6730249835055</v>
      </c>
      <c r="D267" s="27" t="n">
        <f aca="false">D266+W266</f>
        <v>0</v>
      </c>
      <c r="E267" s="26" t="n">
        <f aca="false">E266+IF(U266="SW",1,0)</f>
        <v>12</v>
      </c>
      <c r="F267" s="26" t="n">
        <f aca="false">F266+IF(U266="AB",1,0)</f>
        <v>10</v>
      </c>
      <c r="G267" s="26" t="n">
        <f aca="false">G266+IF(U266="SC",1,0)</f>
        <v>7</v>
      </c>
      <c r="H267" s="26" t="n">
        <f aca="false">H266+IF(U266="Mag",1,0)</f>
        <v>5</v>
      </c>
      <c r="I267" s="26" t="n">
        <f aca="false">MAX(I266,IF(U266="OR",1,0))</f>
        <v>1</v>
      </c>
      <c r="J267" s="26" t="n">
        <f aca="false">MAX(J266,IF(U266="HP",1,0))</f>
        <v>1</v>
      </c>
      <c r="K267" s="26" t="n">
        <f aca="false">MAX(K266,IF(U266="FP",1,0))</f>
        <v>1</v>
      </c>
      <c r="L267" s="26" t="n">
        <f aca="false">MAX(L266,IF(U266="transition",1,0))</f>
        <v>1</v>
      </c>
      <c r="M267" s="28" t="n">
        <f aca="false">(Parameters!$B$9+(IF(E267=0,0,(Upgrades!$J$6+E267*Upgrades!$K$6)*POWER(Upgrades!$L$6,E267)))*(IF(Upgrades!$T$7="Solar Wind",POWER(Upgrades!$U$7,F267),1)*IF(Upgrades!$T$8="Solar Wind",POWER(Upgrades!$U$8,G267),1)*IF(Upgrades!$T$9="Solar Wind",POWER(Upgrades!$U$9,H267),1)*IF(Upgrades!$T$10="Solar Wind",POWER(Upgrades!$U$10,I267),1)*IF(Upgrades!$T$11="Solar Wind",POWER(Upgrades!$U$11,J267),1)*IF(Upgrades!$T$12="Solar Wind",POWER(Upgrades!$U$12,K267),1))+(IF(F267=0,0,(Upgrades!$J$7+F267*Upgrades!$K$7)*POWER(Upgrades!$L$7,F267)))*(IF(Upgrades!$T$6="Asteroid Belt",POWER(Upgrades!$U$6,E267),1)*IF(Upgrades!$T$8="Asteroid Belt",POWER(Upgrades!$U$8,G267),1)*IF(Upgrades!$T$9="Asteroid Belt",POWER(Upgrades!$U$9,H267),1)*IF(Upgrades!$T$10="Asteroid Belt",POWER(Upgrades!$U$10,I267),1)*IF(Upgrades!$T$11="Asteroid Belt",POWER(Upgrades!$U$11,J267),1)*IF(Upgrades!$T$12="Asteroid Belt",POWER(Upgrades!$U$12,K267),1))+(IF(G267=0,0,(Upgrades!$J$8+G267*Upgrades!$K$8)*POWER(Upgrades!$L$8,G267)))*(IF(Upgrades!$T$6="Stellar Coupling",POWER(Upgrades!$U$6,E267),1)*IF(Upgrades!$T$7="Stellar Coupling",POWER(Upgrades!$U$7,F267),1)*IF(Upgrades!$T$9="Stellar Coupling",POWER(Upgrades!$U$9,H267),1)*IF(Upgrades!$T$10="Stellar Coupling",POWER(Upgrades!$U$10,I267),1)*IF(Upgrades!$T$11="Stellar Coupling",POWER(Upgrades!$U$11,J267),1)*IF(Upgrades!$T$12="Stellar Coupling",POWER(Upgrades!$U$12,K267),1))+(IF(H267=0,0,(Upgrades!$J$9+H267*Upgrades!$K$9)*POWER(Upgrades!$L$9,H267)))*(IF(Upgrades!$T$6="Magnetosphere",POWER(Upgrades!$U$6,E267),1)*IF(Upgrades!$T$7="Magnetosphere",POWER(Upgrades!$U$7,F267),1)*IF(Upgrades!$T$8="Magnetosphere",POWER(Upgrades!$U$8,G267),1)*IF(Upgrades!$T$10="Magnetosphere",POWER(Upgrades!$U$10,I267),1)*IF(Upgrades!$T$11="Magnetosphere",POWER(Upgrades!$U$11,J267),1)*IF(Upgrades!$T$12="Magnetosphere",POWER(Upgrades!$U$12,K267),1))+(IF(I267=0,0,(Upgrades!$J$10+I267*Upgrades!$K$10)*POWER(Upgrades!$L$10,I267)))*(IF(Upgrades!$T$6="Orbital Resonance",POWER(Upgrades!$U$6,E267),1)*IF(Upgrades!$T$7="Orbital Resonance",POWER(Upgrades!$U$7,F267),1)*IF(Upgrades!$T$8="Orbital Resonance",POWER(Upgrades!$U$8,G267),1)*IF(Upgrades!$T$9="Orbital Resonance",POWER(Upgrades!$U$9,H267),1)*IF(Upgrades!$T$11="Orbital Resonance",POWER(Upgrades!$U$11,J267),1)*IF(Upgrades!$T$12="Orbital Resonance",POWER(Upgrades!$U$12,K267),1))+(IF(J267=0,0,(Upgrades!$J$11+J267*Upgrades!$K$11)*POWER(Upgrades!$L$11,J267)))*(IF(Upgrades!$T$6="Heliopause",POWER(Upgrades!$U$6,E267),1)*IF(Upgrades!$T$7="Heliopause",POWER(Upgrades!$U$7,F267),1)*IF(Upgrades!$T$8="Heliopause",POWER(Upgrades!$U$8,G267),1)*IF(Upgrades!$T$9="Heliopause",POWER(Upgrades!$U$9,H267),1)*IF(Upgrades!$T$10="Heliopause",POWER(Upgrades!$U$10,I267),1)*IF(Upgrades!$T$12="Heliopause",POWER(Upgrades!$U$12,K267),1))+(IF(K267=0,0,(Upgrades!$J$12+K267*Upgrades!$K$12)*POWER(Upgrades!$L$12,K267)))*(IF(Upgrades!$T$6="First Photons",POWER(Upgrades!$U$6,E267),1)*IF(Upgrades!$T$7="First Photons",POWER(Upgrades!$U$7,F267),1)*IF(Upgrades!$T$8="First Photons",POWER(Upgrades!$U$8,G267),1)*IF(Upgrades!$T$9="First Photons",POWER(Upgrades!$U$9,H267),1)*IF(Upgrades!$T$10="First Photons",POWER(Upgrades!$U$10,I267),1)*IF(Upgrades!$T$11="First Photons",POWER(Upgrades!$U$11,J267),1)))*POWER(Upgrades!$Q$6,E267)*POWER(Upgrades!$Q$7,F267)*POWER(Upgrades!$Q$8,G267)*POWER(Upgrades!$Q$9,H267)*POWER(Upgrades!$Q$10,I267)*POWER(Upgrades!$Q$11,J267)*POWER(Upgrades!$Q$12,K267)</f>
        <v>5.61</v>
      </c>
      <c r="N267" s="28" t="n">
        <f aca="false">((IF(E267=0,0,(Upgrades!$G$6+E267*Upgrades!$H$6)*POWER(Upgrades!$I$6,E267)))*(IF(Upgrades!$T$7="Solar Wind",POWER(Upgrades!$U$7,F267),1)*IF(Upgrades!$T$8="Solar Wind",POWER(Upgrades!$U$8,G267),1)*IF(Upgrades!$T$9="Solar Wind",POWER(Upgrades!$U$9,H267),1)*IF(Upgrades!$T$10="Solar Wind",POWER(Upgrades!$U$10,I267),1)*IF(Upgrades!$T$11="Solar Wind",POWER(Upgrades!$U$11,J267),1)*IF(Upgrades!$T$12="Solar Wind",POWER(Upgrades!$U$12,K267),1))+(IF(F267=0,0,(Upgrades!$G$7+F267*Upgrades!$H$7)*POWER(Upgrades!$I$7,F267)))*(IF(Upgrades!$T$6="Asteroid Belt",POWER(Upgrades!$U$6,E267),1)*IF(Upgrades!$T$8="Asteroid Belt",POWER(Upgrades!$U$8,G267),1)*IF(Upgrades!$T$9="Asteroid Belt",POWER(Upgrades!$U$9,H267),1)*IF(Upgrades!$T$10="Asteroid Belt",POWER(Upgrades!$U$10,I267),1)*IF(Upgrades!$T$11="Asteroid Belt",POWER(Upgrades!$U$11,J267),1)*IF(Upgrades!$T$12="Asteroid Belt",POWER(Upgrades!$U$12,K267),1))+(IF(G267=0,0,(Upgrades!$G$8+G267*Upgrades!$H$8)*POWER(Upgrades!$I$8,G267)))*(IF(Upgrades!$T$6="Stellar Coupling",POWER(Upgrades!$U$6,E267),1)*IF(Upgrades!$T$7="Stellar Coupling",POWER(Upgrades!$U$7,F267),1)*IF(Upgrades!$T$9="Stellar Coupling",POWER(Upgrades!$U$9,H267),1)*IF(Upgrades!$T$10="Stellar Coupling",POWER(Upgrades!$U$10,I267),1)*IF(Upgrades!$T$11="Stellar Coupling",POWER(Upgrades!$U$11,J267),1)*IF(Upgrades!$T$12="Stellar Coupling",POWER(Upgrades!$U$12,K267),1))+(IF(H267=0,0,(Upgrades!$G$9+H267*Upgrades!$H$9)*POWER(Upgrades!$I$9,H267)))*(IF(Upgrades!$T$6="Magnetosphere",POWER(Upgrades!$U$6,E267),1)*IF(Upgrades!$T$7="Magnetosphere",POWER(Upgrades!$U$7,F267),1)*IF(Upgrades!$T$8="Magnetosphere",POWER(Upgrades!$U$8,G267),1)*IF(Upgrades!$T$10="Magnetosphere",POWER(Upgrades!$U$10,I267),1)*IF(Upgrades!$T$11="Magnetosphere",POWER(Upgrades!$U$11,J267),1)*IF(Upgrades!$T$12="Magnetosphere",POWER(Upgrades!$U$12,K267),1))+(IF(I267=0,0,(Upgrades!$G$10+I267*Upgrades!$H$10)*POWER(Upgrades!$I$10,I267)))*(IF(Upgrades!$T$6="Orbital Resonance",POWER(Upgrades!$U$6,E267),1)*IF(Upgrades!$T$7="Orbital Resonance",POWER(Upgrades!$U$7,F267),1)*IF(Upgrades!$T$8="Orbital Resonance",POWER(Upgrades!$U$8,G267),1)*IF(Upgrades!$T$9="Orbital Resonance",POWER(Upgrades!$U$9,H267),1)*IF(Upgrades!$T$11="Orbital Resonance",POWER(Upgrades!$U$11,J267),1)*IF(Upgrades!$T$12="Orbital Resonance",POWER(Upgrades!$U$12,K267),1))+(IF(J267=0,0,(Upgrades!$G$11+J267*Upgrades!$H$11)*POWER(Upgrades!$I$11,J267)))*(IF(Upgrades!$T$6="Heliopause",POWER(Upgrades!$U$6,E267),1)*IF(Upgrades!$T$7="Heliopause",POWER(Upgrades!$U$7,F267),1)*IF(Upgrades!$T$8="Heliopause",POWER(Upgrades!$U$8,G267),1)*IF(Upgrades!$T$9="Heliopause",POWER(Upgrades!$U$9,H267),1)*IF(Upgrades!$T$10="Heliopause",POWER(Upgrades!$U$10,I267),1)*IF(Upgrades!$T$12="Heliopause",POWER(Upgrades!$U$12,K267),1))+(IF(K267=0,0,(Upgrades!$G$12+K267*Upgrades!$H$12)*POWER(Upgrades!$I$12,K267)))*(IF(Upgrades!$T$6="First Photons",POWER(Upgrades!$U$6,E267),1)*IF(Upgrades!$T$7="First Photons",POWER(Upgrades!$U$7,F267),1)*IF(Upgrades!$T$8="First Photons",POWER(Upgrades!$U$8,G267),1)*IF(Upgrades!$T$9="First Photons",POWER(Upgrades!$U$9,H267),1)*IF(Upgrades!$T$10="First Photons",POWER(Upgrades!$U$10,I267),1)*IF(Upgrades!$T$11="First Photons",POWER(Upgrades!$U$11,J267),1)))*POWER(Upgrades!$P$6,E267)*POWER(Upgrades!$P$7,F267)*POWER(Upgrades!$P$8,G267)*POWER(Upgrades!$P$9,H267)*POWER(Upgrades!$P$10,I267)*POWER(Upgrades!$P$11,J267)*POWER(Upgrades!$P$12,K267)</f>
        <v>11.2</v>
      </c>
      <c r="O267" s="28" t="n">
        <f aca="false">((IF(E267=0,0,(Upgrades!$M$6+E267*Upgrades!$N$6)*POWER(Upgrades!$O$6,E267)))*(IF(Upgrades!$T$7="Solar Wind",POWER(Upgrades!$U$7,F267),1)*IF(Upgrades!$T$8="Solar Wind",POWER(Upgrades!$U$8,G267),1)*IF(Upgrades!$T$9="Solar Wind",POWER(Upgrades!$U$9,H267),1)*IF(Upgrades!$T$10="Solar Wind",POWER(Upgrades!$U$10,I267),1)*IF(Upgrades!$T$11="Solar Wind",POWER(Upgrades!$U$11,J267),1)*IF(Upgrades!$T$12="Solar Wind",POWER(Upgrades!$U$12,K267),1))+(IF(F267=0,0,(Upgrades!$M$7+F267*Upgrades!$N$7)*POWER(Upgrades!$O$7,F267)))*(IF(Upgrades!$T$6="Asteroid Belt",POWER(Upgrades!$U$6,E267),1)*IF(Upgrades!$T$8="Asteroid Belt",POWER(Upgrades!$U$8,G267),1)*IF(Upgrades!$T$9="Asteroid Belt",POWER(Upgrades!$U$9,H267),1)*IF(Upgrades!$T$10="Asteroid Belt",POWER(Upgrades!$U$10,I267),1)*IF(Upgrades!$T$11="Asteroid Belt",POWER(Upgrades!$U$11,J267),1)*IF(Upgrades!$T$12="Asteroid Belt",POWER(Upgrades!$U$12,K267),1))+(IF(G267=0,0,(Upgrades!$M$8+G267*Upgrades!$N$8)*POWER(Upgrades!$O$8,G267)))*(IF(Upgrades!$T$6="Stellar Coupling",POWER(Upgrades!$U$6,E267),1)*IF(Upgrades!$T$7="Stellar Coupling",POWER(Upgrades!$U$7,F267),1)*IF(Upgrades!$T$9="Stellar Coupling",POWER(Upgrades!$U$9,H267),1)*IF(Upgrades!$T$10="Stellar Coupling",POWER(Upgrades!$U$10,I267),1)*IF(Upgrades!$T$11="Stellar Coupling",POWER(Upgrades!$U$11,J267),1)*IF(Upgrades!$T$12="Stellar Coupling",POWER(Upgrades!$U$12,K267),1))+(IF(H267=0,0,(Upgrades!$M$9+H267*Upgrades!$N$9)*POWER(Upgrades!$O$9,H267)))*(IF(Upgrades!$T$6="Magnetosphere",POWER(Upgrades!$U$6,E267),1)*IF(Upgrades!$T$7="Magnetosphere",POWER(Upgrades!$U$7,F267),1)*IF(Upgrades!$T$8="Magnetosphere",POWER(Upgrades!$U$8,G267),1)*IF(Upgrades!$T$10="Magnetosphere",POWER(Upgrades!$U$10,I267),1)*IF(Upgrades!$T$11="Magnetosphere",POWER(Upgrades!$U$11,J267),1)*IF(Upgrades!$T$12="Magnetosphere",POWER(Upgrades!$U$12,K267),1))+(IF(I267=0,0,(Upgrades!$M$10+I267*Upgrades!$N$10)*POWER(Upgrades!$O$10,I267)))*(IF(Upgrades!$T$6="Orbital Resonance",POWER(Upgrades!$U$6,E267),1)*IF(Upgrades!$T$7="Orbital Resonance",POWER(Upgrades!$U$7,F267),1)*IF(Upgrades!$T$8="Orbital Resonance",POWER(Upgrades!$U$8,G267),1)*IF(Upgrades!$T$9="Orbital Resonance",POWER(Upgrades!$U$9,H267),1)*IF(Upgrades!$T$11="Orbital Resonance",POWER(Upgrades!$U$11,J267),1)*IF(Upgrades!$T$12="Orbital Resonance",POWER(Upgrades!$U$12,K267),1))+(IF(J267=0,0,(Upgrades!$M$11+J267*Upgrades!$N$11)*POWER(Upgrades!$O$11,J267)))*(IF(Upgrades!$T$6="Heliopause",POWER(Upgrades!$U$6,E267),1)*IF(Upgrades!$T$7="Heliopause",POWER(Upgrades!$U$7,F267),1)*IF(Upgrades!$T$8="Heliopause",POWER(Upgrades!$U$8,G267),1)*IF(Upgrades!$T$9="Heliopause",POWER(Upgrades!$U$9,H267),1)*IF(Upgrades!$T$10="Heliopause",POWER(Upgrades!$U$10,I267),1)*IF(Upgrades!$T$12="Heliopause",POWER(Upgrades!$U$12,K267),1))+(IF(K267=0,0,(Upgrades!$M$12+K267*Upgrades!$N$12)*POWER(Upgrades!$O$12,K267)))*(IF(Upgrades!$T$6="First Photons",POWER(Upgrades!$U$6,E267),1)*IF(Upgrades!$T$7="First Photons",POWER(Upgrades!$U$7,F267),1)*IF(Upgrades!$T$8="First Photons",POWER(Upgrades!$U$8,G267),1)*IF(Upgrades!$T$9="First Photons",POWER(Upgrades!$U$9,H267),1)*IF(Upgrades!$T$10="First Photons",POWER(Upgrades!$U$10,I267),1)*IF(Upgrades!$T$11="First Photons",POWER(Upgrades!$U$11,J267),1)))*POWER(Upgrades!$R$6,E267)*POWER(Upgrades!$R$7,F267)*POWER(Upgrades!$R$8,G267)*POWER(Upgrades!$R$9,H267)*POWER(Upgrades!$R$10,I267)*POWER(Upgrades!$R$11,J267)*POWER(Upgrades!$R$12,K267)</f>
        <v>0</v>
      </c>
      <c r="P267" s="27" t="n">
        <f aca="false">IF(L267=1,0,M267*Parameters!$B$10/60*Parameters!$B$11*10)</f>
        <v>0</v>
      </c>
      <c r="Q267" s="27" t="n">
        <f aca="false">IF(L267=1,0,O267*M267*10)</f>
        <v>0</v>
      </c>
      <c r="R267" s="27" t="n">
        <f aca="false">IF(L267=1,0,N267*10)</f>
        <v>0</v>
      </c>
      <c r="S267" s="27" t="n">
        <f aca="false">P267+Q267+R267</f>
        <v>0</v>
      </c>
      <c r="T267" s="21" t="n">
        <f aca="false">C267+S267</f>
        <v>18.6730249835055</v>
      </c>
      <c r="U267" s="34" t="str">
        <f aca="false">AX267</f>
        <v/>
      </c>
      <c r="V267" s="21" t="n">
        <f aca="false">IF(U267="",0,IF(U267="transition",0,IF(U267="SW",AG267,IF(U267="AB",AH267,IF(U267="SC",AI267,IF(U267="Mag",AJ267,IF(U267="OR",AK267,IF(U267="HP",AL267,IF(U267="FP",AM267,0)))))))))</f>
        <v>0</v>
      </c>
      <c r="W267" s="27" t="n">
        <f aca="false">IF(U267="OR",Upgrades!$F$10,IF(U267="HP",Upgrades!$F$11,IF(U267="transition",-Parameters!$B$18,0)))</f>
        <v>0</v>
      </c>
      <c r="X267" s="21" t="n">
        <f aca="false">T267-V267</f>
        <v>18.6730249835055</v>
      </c>
      <c r="Y267" s="30" t="n">
        <f aca="false">M267*Parameters!$B$10/60*Parameters!$B$11+O267*M267+N267</f>
        <v>20.55</v>
      </c>
      <c r="Z267" s="35" t="str">
        <f aca="false">IF(U267="transition","→ Tier 2 (Stellar Neighborhood)",IF(U267="FP","First Photons — light begins, system quickens",IF(U267="HP","Heliopause acquired",IF(U267="OR","Orbital Resonance — passive multiplier active",IF(AND(AO267=1,L267=0,AN267&lt;&gt;1),"Cohesion ready (waiting on completionist upgrades)","")))))</f>
        <v/>
      </c>
      <c r="AA267" s="27" t="n">
        <f aca="false">(IF(E267=0,0,(Upgrades!$G$6+E267*Upgrades!$H$6)*POWER(Upgrades!$I$6,E267)))*(IF(Upgrades!$T$7="Solar Wind",POWER(Upgrades!$U$7,F267),1)*IF(Upgrades!$T$8="Solar Wind",POWER(Upgrades!$U$8,G267),1)*IF(Upgrades!$T$9="Solar Wind",POWER(Upgrades!$U$9,H267),1)*IF(Upgrades!$T$10="Solar Wind",POWER(Upgrades!$U$10,I267),1)*IF(Upgrades!$T$11="Solar Wind",POWER(Upgrades!$U$11,J267),1)*IF(Upgrades!$T$12="Solar Wind",POWER(Upgrades!$U$12,K267),1))*POWER(Upgrades!$P$6,E267)*POWER(Upgrades!$P$7,F267)*POWER(Upgrades!$P$8,G267)*POWER(Upgrades!$P$9,H267)*POWER(Upgrades!$P$10,I267)*POWER(Upgrades!$P$11,J267)*POWER(Upgrades!$P$12,K267)*60</f>
        <v>72</v>
      </c>
      <c r="AB267" s="27" t="n">
        <f aca="false">(IF(F267=0,0,(Upgrades!$G$7+F267*Upgrades!$H$7)*POWER(Upgrades!$I$7,F267)))*(IF(Upgrades!$T$6="Asteroid Belt",POWER(Upgrades!$U$6,E267),1)*IF(Upgrades!$T$8="Asteroid Belt",POWER(Upgrades!$U$8,G267),1)*IF(Upgrades!$T$9="Asteroid Belt",POWER(Upgrades!$U$9,H267),1)*IF(Upgrades!$T$10="Asteroid Belt",POWER(Upgrades!$U$10,I267),1)*IF(Upgrades!$T$11="Asteroid Belt",POWER(Upgrades!$U$11,J267),1)*IF(Upgrades!$T$12="Asteroid Belt",POWER(Upgrades!$U$12,K267),1))*POWER(Upgrades!$P$6,E267)*POWER(Upgrades!$P$7,F267)*POWER(Upgrades!$P$8,G267)*POWER(Upgrades!$P$9,H267)*POWER(Upgrades!$P$10,I267)*POWER(Upgrades!$P$11,J267)*POWER(Upgrades!$P$12,K267)*60</f>
        <v>150</v>
      </c>
      <c r="AC267" s="27" t="n">
        <f aca="false">(IF(G267=0,0,(Upgrades!$J$8+G267*Upgrades!$K$8)*POWER(Upgrades!$L$8,G267)))*(IF(Upgrades!$T$6="Stellar Coupling",POWER(Upgrades!$U$6,E267),1)*IF(Upgrades!$T$7="Stellar Coupling",POWER(Upgrades!$U$7,F267),1)*IF(Upgrades!$T$9="Stellar Coupling",POWER(Upgrades!$U$9,H267),1)*IF(Upgrades!$T$10="Stellar Coupling",POWER(Upgrades!$U$10,I267),1)*IF(Upgrades!$T$11="Stellar Coupling",POWER(Upgrades!$U$11,J267),1)*IF(Upgrades!$T$12="Stellar Coupling",POWER(Upgrades!$U$12,K267),1))*POWER(Upgrades!$Q$6,E267)*POWER(Upgrades!$Q$7,F267)*POWER(Upgrades!$Q$8,G267)*POWER(Upgrades!$Q$9,H267)*POWER(Upgrades!$Q$10,I267)*POWER(Upgrades!$Q$11,J267)*POWER(Upgrades!$Q$12,K267)*Parameters!$B$10*Parameters!$B$11</f>
        <v>441</v>
      </c>
      <c r="AD267" s="27" t="n">
        <f aca="false">(IF(H267=0,0,(Upgrades!$G$9+H267*Upgrades!$H$9)*POWER(Upgrades!$I$9,H267)))*(IF(Upgrades!$T$6="Magnetosphere",POWER(Upgrades!$U$6,E267),1)*IF(Upgrades!$T$7="Magnetosphere",POWER(Upgrades!$U$7,F267),1)*IF(Upgrades!$T$8="Magnetosphere",POWER(Upgrades!$U$8,G267),1)*IF(Upgrades!$T$10="Magnetosphere",POWER(Upgrades!$U$10,I267),1)*IF(Upgrades!$T$11="Magnetosphere",POWER(Upgrades!$U$11,J267),1)*IF(Upgrades!$T$12="Magnetosphere",POWER(Upgrades!$U$12,K267),1))*POWER(Upgrades!$P$6,E267)*POWER(Upgrades!$P$7,F267)*POWER(Upgrades!$P$8,G267)*POWER(Upgrades!$P$9,H267)*POWER(Upgrades!$P$10,I267)*POWER(Upgrades!$P$11,J267)*POWER(Upgrades!$P$12,K267)*60</f>
        <v>375</v>
      </c>
      <c r="AE267" s="27" t="n">
        <f aca="false">(IF(K267=0,0,(Upgrades!$G$12+K267*Upgrades!$H$12)*POWER(Upgrades!$I$12,K267)))*(IF(Upgrades!$T$6="First Photons",POWER(Upgrades!$U$6,E267),1)*IF(Upgrades!$T$7="First Photons",POWER(Upgrades!$U$7,F267),1)*IF(Upgrades!$T$8="First Photons",POWER(Upgrades!$U$8,G267),1)*IF(Upgrades!$T$9="First Photons",POWER(Upgrades!$U$9,H267),1)*IF(Upgrades!$T$10="First Photons",POWER(Upgrades!$U$10,I267),1)*IF(Upgrades!$T$11="First Photons",POWER(Upgrades!$U$11,J267),1))*POWER(Upgrades!$P$6,E267)*POWER(Upgrades!$P$7,F267)*POWER(Upgrades!$P$8,G267)*POWER(Upgrades!$P$9,H267)*POWER(Upgrades!$P$10,I267)*POWER(Upgrades!$P$11,J267)*POWER(Upgrades!$P$12,K267)*60</f>
        <v>75</v>
      </c>
      <c r="AF267" s="27" t="n">
        <f aca="false">Parameters!$B$9*POWER(Upgrades!$Q$6,E267)*POWER(Upgrades!$Q$7,F267)*POWER(Upgrades!$Q$8,G267)*POWER(Upgrades!$Q$9,H267)*POWER(Upgrades!$Q$10,I267)*POWER(Upgrades!$Q$11,J267)*POWER(Upgrades!$Q$12,K267)*(Parameters!$B$10*Parameters!$B$11+O267*60)</f>
        <v>120</v>
      </c>
      <c r="AG267" s="21" t="n">
        <f aca="false">IF(E267&gt;=Upgrades!$E$6,"",Upgrades!$C$6*POWER(Upgrades!$D$6,E267))</f>
        <v>37.4517507383159</v>
      </c>
      <c r="AH267" s="21" t="n">
        <f aca="false">IF(F267&gt;=Upgrades!$E$7,"",Upgrades!$C$7*POWER(Upgrades!$D$7,F267))</f>
        <v>80.9111547141581</v>
      </c>
      <c r="AI267" s="21" t="n">
        <f aca="false">IF(G267&gt;=Upgrades!$E$8,"",Upgrades!$C$8*POWER(Upgrades!$D$8,G267))</f>
        <v>231.9097088</v>
      </c>
      <c r="AJ267" s="21" t="str">
        <f aca="false">IF(H267&gt;=Upgrades!$E$9,"",Upgrades!$C$9*POWER(Upgrades!$D$9,H267))</f>
        <v/>
      </c>
      <c r="AK267" s="21" t="str">
        <f aca="false">IF(I267&gt;=Upgrades!$E$10,"",Upgrades!$C$10*POWER(Upgrades!$D$10,I267))</f>
        <v/>
      </c>
      <c r="AL267" s="21" t="str">
        <f aca="false">IF(J267&gt;=Upgrades!$E$11,"",Upgrades!$C$11*POWER(Upgrades!$D$11,J267))</f>
        <v/>
      </c>
      <c r="AM267" s="21" t="str">
        <f aca="false">IF(K267&gt;=Upgrades!$E$12,"",Upgrades!$C$12*POWER(Upgrades!$D$12,K267))</f>
        <v/>
      </c>
      <c r="AN267" s="26" t="str">
        <f aca="false">IF(AND(D267&gt;=Parameters!$B$18,(H267&gt;=Upgrades!$E$9)*(K267&gt;=Upgrades!$E$12)=1,L267=0),1,"")</f>
        <v/>
      </c>
      <c r="AO267" s="26" t="str">
        <f aca="false">IF(AND(D267&gt;=Parameters!$B$18,L267=0),1,"")</f>
        <v/>
      </c>
      <c r="AP267" s="21" t="n">
        <f aca="false">MIN(IF(ISNUMBER(AK267),AK267,9000000000000000),IF(ISNUMBER(AL267),AL267,9000000000000000),IF(ISNUMBER(AM267),AM267,9000000000000000))</f>
        <v>9000000000000000</v>
      </c>
      <c r="AQ267" s="21" t="n">
        <f aca="false">MIN(IF(ISNUMBER(AG267),AG267,9000000000000000),IF(ISNUMBER(AH267),AH267,9000000000000000),IF(ISNUMBER(AI267),AI267,9000000000000000),IF(ISNUMBER(AJ267),AJ267,9000000000000000))</f>
        <v>37.4517507383159</v>
      </c>
      <c r="AR267" s="32" t="b">
        <f aca="false">IF(AW267&gt;Parameters!$B$21*(MAX(IF(AND(NOT(AND(AO267=1,AN267&lt;&gt;1)),ISNUMBER(AG267),AG267&lt;=T267),AS267,0),IF(AND(NOT(AND(AO267=1,AN267&lt;&gt;1)),ISNUMBER(AH267),AH267&lt;=T267),AT267,0),IF(AND(NOT(AND(AO267=1,AN267&lt;&gt;1)),ISNUMBER(AI267),AI267&lt;=T267),AU267,0),IF(AND(ISNUMBER(AJ267),AJ267&lt;=T267),AV267,0))),TRUE(),FALSE())</f>
        <v>1</v>
      </c>
      <c r="AS267" s="33" t="n">
        <f aca="false">IFERROR(Upgrades!$H$6*(POWER(Upgrades!$P$6,E267)*POWER(Upgrades!$P$7,F267)*POWER(Upgrades!$P$8,G267)*POWER(Upgrades!$P$9,H267)*POWER(Upgrades!$P$10,I267)*POWER(Upgrades!$P$11,J267)*POWER(Upgrades!$P$12,K267))*(IF(Upgrades!$T$7="Solar Wind",POWER(Upgrades!$U$7,F267),1)*IF(Upgrades!$T$8="Solar Wind",POWER(Upgrades!$U$8,G267),1)*IF(Upgrades!$T$9="Solar Wind",POWER(Upgrades!$U$9,H267),1)*IF(Upgrades!$T$10="Solar Wind",POWER(Upgrades!$U$10,I267),1)*IF(Upgrades!$T$11="Solar Wind",POWER(Upgrades!$U$11,J267),1)*IF(Upgrades!$T$12="Solar Wind",POWER(Upgrades!$U$12,K267),1))/AG267,0)</f>
        <v>0.0026701021455238</v>
      </c>
      <c r="AT267" s="33" t="n">
        <f aca="false">IFERROR(Upgrades!$H$7*(POWER(Upgrades!$P$6,E267)*POWER(Upgrades!$P$7,F267)*POWER(Upgrades!$P$8,G267)*POWER(Upgrades!$P$9,H267)*POWER(Upgrades!$P$10,I267)*POWER(Upgrades!$P$11,J267)*POWER(Upgrades!$P$12,K267))*(IF(Upgrades!$T$6="Asteroid Belt",POWER(Upgrades!$U$6,E267),1)*IF(Upgrades!$T$8="Asteroid Belt",POWER(Upgrades!$U$8,G267),1)*IF(Upgrades!$T$9="Asteroid Belt",POWER(Upgrades!$U$9,H267),1)*IF(Upgrades!$T$10="Asteroid Belt",POWER(Upgrades!$U$10,I267),1)*IF(Upgrades!$T$11="Asteroid Belt",POWER(Upgrades!$U$11,J267),1)*IF(Upgrades!$T$12="Asteroid Belt",POWER(Upgrades!$U$12,K267),1))/AH267,0)</f>
        <v>0.00308980882652332</v>
      </c>
      <c r="AU267" s="33" t="n">
        <f aca="false">IFERROR(Upgrades!$K$8*(POWER(Upgrades!$Q$6,E267)*POWER(Upgrades!$Q$7,F267)*POWER(Upgrades!$Q$8,G267)*POWER(Upgrades!$Q$9,H267)*POWER(Upgrades!$Q$10,I267)*POWER(Upgrades!$Q$11,J267)*POWER(Upgrades!$Q$12,K267))*(IF(Upgrades!$T$6="Stellar Coupling",POWER(Upgrades!$U$6,E267),1)*IF(Upgrades!$T$7="Stellar Coupling",POWER(Upgrades!$U$7,F267),1)*IF(Upgrades!$T$9="Stellar Coupling",POWER(Upgrades!$U$9,H267),1)*IF(Upgrades!$T$10="Stellar Coupling",POWER(Upgrades!$U$10,I267),1)*IF(Upgrades!$T$11="Stellar Coupling",POWER(Upgrades!$U$11,J267),1)*IF(Upgrades!$T$12="Stellar Coupling",POWER(Upgrades!$U$12,K267),1))*Parameters!$B$10*Parameters!$B$11/60/AI267,0)</f>
        <v>0.00452762415783776</v>
      </c>
      <c r="AV267" s="33" t="n">
        <f aca="false">IFERROR(Upgrades!$H$9*(POWER(Upgrades!$P$6,E267)*POWER(Upgrades!$P$7,F267)*POWER(Upgrades!$P$8,G267)*POWER(Upgrades!$P$9,H267)*POWER(Upgrades!$P$10,I267)*POWER(Upgrades!$P$11,J267)*POWER(Upgrades!$P$12,K267))*(IF(Upgrades!$T$6="Magnetosphere",POWER(Upgrades!$U$6,E267),1)*IF(Upgrades!$T$7="Magnetosphere",POWER(Upgrades!$U$7,F267),1)*IF(Upgrades!$T$8="Magnetosphere",POWER(Upgrades!$U$8,G267),1)*IF(Upgrades!$T$10="Magnetosphere",POWER(Upgrades!$U$10,I267),1)*IF(Upgrades!$T$11="Magnetosphere",POWER(Upgrades!$U$11,J267),1)*IF(Upgrades!$T$12="Magnetosphere",POWER(Upgrades!$U$12,K267),1))/AJ267,0)</f>
        <v>0</v>
      </c>
      <c r="AW267" s="33" t="n">
        <f aca="false">MAX(IF(I267&gt;0,0,IFERROR(0.25*N267/Upgrades!$C$10,0)),IF(J267&gt;0,0,IFERROR(0.5*((IF(G267=0,0,(Upgrades!$J$8+G267*Upgrades!$K$8)*POWER(Upgrades!$L$8,G267)))*(IF(Upgrades!$T$6="Stellar Coupling",POWER(Upgrades!$U$6,E267),1)*IF(Upgrades!$T$7="Stellar Coupling",POWER(Upgrades!$U$7,F267),1)*IF(Upgrades!$T$9="Stellar Coupling",POWER(Upgrades!$U$9,H267),1)*IF(Upgrades!$T$10="Stellar Coupling",POWER(Upgrades!$U$10,I267),1)*IF(Upgrades!$T$11="Stellar Coupling",POWER(Upgrades!$U$11,J267),1)*IF(Upgrades!$T$12="Stellar Coupling",POWER(Upgrades!$U$12,K267),1))*(POWER(Upgrades!$Q$6,E267)*POWER(Upgrades!$Q$7,F267)*POWER(Upgrades!$Q$8,G267)*POWER(Upgrades!$Q$9,H267)*POWER(Upgrades!$Q$10,I267)*POWER(Upgrades!$Q$11,J267)*POWER(Upgrades!$Q$12,K267))*Parameters!$B$10*Parameters!$B$11/60)/Upgrades!$C$11,0)),IF(K267&gt;0,0,IFERROR((1*(POWER(Upgrades!$P$6,E267)*POWER(Upgrades!$P$7,F267)*POWER(Upgrades!$P$8,G267)*POWER(Upgrades!$P$9,H267)*POWER(Upgrades!$P$10,I267)*POWER(Upgrades!$P$11,J267)*POWER(Upgrades!$P$12,K267))+0.2*M267*Parameters!$B$10*Parameters!$B$11/60)/Upgrades!$C$12,0)),IF(AND(ISNUMBER(AG267),AG267&gt;T267),AS267,0),IF(AND(ISNUMBER(AH267),AH267&gt;T267),AT267,0),IF(AND(ISNUMBER(AI267),AI267&gt;T267),AU267,0),IF(AND(ISNUMBER(AJ267),AJ267&gt;T267),AV267,0))</f>
        <v>0.00452762415783776</v>
      </c>
      <c r="AX267" s="29" t="str">
        <f aca="false">IF(AN267=1,"transition",IF(MIN(IF(AND(I267=0,ISNUMBER(AK267),AK267&lt;=T267),AK267,9000000000000000),IF(AND(J267=0,ISNUMBER(AL267),AL267&lt;=T267),AL267,9000000000000000),IF(AND(K267=0,ISNUMBER(AM267),AM267&lt;=T267),AM267,9000000000000000))&lt;9000000000000000,IF(AND(AND(I267=0,ISNUMBER(AK267),AK267&lt;=T267),AK267=MIN(IF(AND(I267=0,ISNUMBER(AK267),AK267&lt;=T267),AK267,9000000000000000),IF(AND(J267=0,ISNUMBER(AL267),AL267&lt;=T267),AL267,9000000000000000),IF(AND(K267=0,ISNUMBER(AM267),AM267&lt;=T267),AM267,9000000000000000))),"OR",IF(AND(AND(J267=0,ISNUMBER(AL267),AL267&lt;=T267),AL267=MIN(IF(AND(I267=0,ISNUMBER(AK267),AK267&lt;=T267),AK267,9000000000000000),IF(AND(J267=0,ISNUMBER(AL267),AL267&lt;=T267),AL267,9000000000000000),IF(AND(K267=0,ISNUMBER(AM267),AM267&lt;=T267),AM267,9000000000000000))),"HP","FP")),IF(AR267=TRUE(),"",IF(MAX(IF(AND(NOT(AND(AO267=1,AN267&lt;&gt;1)),ISNUMBER(AG267),AG267&lt;=T267),AS267,0),IF(AND(NOT(AND(AO267=1,AN267&lt;&gt;1)),ISNUMBER(AH267),AH267&lt;=T267),AT267,0),IF(AND(NOT(AND(AO267=1,AN267&lt;&gt;1)),ISNUMBER(AI267),AI267&lt;=T267),AU267,0),IF(AND(ISNUMBER(AJ267),AJ267&lt;=T267),AV267,0))&lt;=0,"",IF(AND(IF(AND(NOT(AND(AO267=1,AN267&lt;&gt;1)),ISNUMBER(AG267),AG267&lt;=T267),AS267,0)&gt;0,IF(AND(NOT(AND(AO267=1,AN267&lt;&gt;1)),ISNUMBER(AG267),AG267&lt;=T267),AS267,0)=MAX(IF(AND(NOT(AND(AO267=1,AN267&lt;&gt;1)),ISNUMBER(AG267),AG267&lt;=T267),AS267,0),IF(AND(NOT(AND(AO267=1,AN267&lt;&gt;1)),ISNUMBER(AH267),AH267&lt;=T267),AT267,0),IF(AND(NOT(AND(AO267=1,AN267&lt;&gt;1)),ISNUMBER(AI267),AI267&lt;=T267),AU267,0),IF(AND(ISNUMBER(AJ267),AJ267&lt;=T267),AV267,0))),"SW",IF(AND(IF(AND(NOT(AND(AO267=1,AN267&lt;&gt;1)),ISNUMBER(AH267),AH267&lt;=T267),AT267,0)&gt;0,IF(AND(NOT(AND(AO267=1,AN267&lt;&gt;1)),ISNUMBER(AH267),AH267&lt;=T267),AT267,0)=MAX(IF(AND(NOT(AND(AO267=1,AN267&lt;&gt;1)),ISNUMBER(AG267),AG267&lt;=T267),AS267,0),IF(AND(NOT(AND(AO267=1,AN267&lt;&gt;1)),ISNUMBER(AH267),AH267&lt;=T267),AT267,0),IF(AND(NOT(AND(AO267=1,AN267&lt;&gt;1)),ISNUMBER(AI267),AI267&lt;=T267),AU267,0),IF(AND(ISNUMBER(AJ267),AJ267&lt;=T267),AV267,0))),"AB",IF(AND(IF(AND(NOT(AND(AO267=1,AN267&lt;&gt;1)),ISNUMBER(AI267),AI267&lt;=T267),AU267,0)&gt;0,IF(AND(NOT(AND(AO267=1,AN267&lt;&gt;1)),ISNUMBER(AI267),AI267&lt;=T267),AU267,0)=MAX(IF(AND(NOT(AND(AO267=1,AN267&lt;&gt;1)),ISNUMBER(AG267),AG267&lt;=T267),AS267,0),IF(AND(NOT(AND(AO267=1,AN267&lt;&gt;1)),ISNUMBER(AH267),AH267&lt;=T267),AT267,0),IF(AND(NOT(AND(AO267=1,AN267&lt;&gt;1)),ISNUMBER(AI267),AI267&lt;=T267),AU267,0),IF(AND(ISNUMBER(AJ267),AJ267&lt;=T267),AV267,0))),"SC","Mag")))))))</f>
        <v/>
      </c>
    </row>
    <row r="268" customFormat="false" ht="15" hidden="false" customHeight="false" outlineLevel="0" collapsed="false">
      <c r="A268" s="26" t="n">
        <v>263</v>
      </c>
      <c r="B268" s="27" t="n">
        <f aca="false">A268*10/60</f>
        <v>43.8333333333333</v>
      </c>
      <c r="C268" s="21" t="n">
        <f aca="false">X267</f>
        <v>18.6730249835055</v>
      </c>
      <c r="D268" s="27" t="n">
        <f aca="false">D267+W267</f>
        <v>0</v>
      </c>
      <c r="E268" s="26" t="n">
        <f aca="false">E267+IF(U267="SW",1,0)</f>
        <v>12</v>
      </c>
      <c r="F268" s="26" t="n">
        <f aca="false">F267+IF(U267="AB",1,0)</f>
        <v>10</v>
      </c>
      <c r="G268" s="26" t="n">
        <f aca="false">G267+IF(U267="SC",1,0)</f>
        <v>7</v>
      </c>
      <c r="H268" s="26" t="n">
        <f aca="false">H267+IF(U267="Mag",1,0)</f>
        <v>5</v>
      </c>
      <c r="I268" s="26" t="n">
        <f aca="false">MAX(I267,IF(U267="OR",1,0))</f>
        <v>1</v>
      </c>
      <c r="J268" s="26" t="n">
        <f aca="false">MAX(J267,IF(U267="HP",1,0))</f>
        <v>1</v>
      </c>
      <c r="K268" s="26" t="n">
        <f aca="false">MAX(K267,IF(U267="FP",1,0))</f>
        <v>1</v>
      </c>
      <c r="L268" s="26" t="n">
        <f aca="false">MAX(L267,IF(U267="transition",1,0))</f>
        <v>1</v>
      </c>
      <c r="M268" s="28" t="n">
        <f aca="false">(Parameters!$B$9+(IF(E268=0,0,(Upgrades!$J$6+E268*Upgrades!$K$6)*POWER(Upgrades!$L$6,E268)))*(IF(Upgrades!$T$7="Solar Wind",POWER(Upgrades!$U$7,F268),1)*IF(Upgrades!$T$8="Solar Wind",POWER(Upgrades!$U$8,G268),1)*IF(Upgrades!$T$9="Solar Wind",POWER(Upgrades!$U$9,H268),1)*IF(Upgrades!$T$10="Solar Wind",POWER(Upgrades!$U$10,I268),1)*IF(Upgrades!$T$11="Solar Wind",POWER(Upgrades!$U$11,J268),1)*IF(Upgrades!$T$12="Solar Wind",POWER(Upgrades!$U$12,K268),1))+(IF(F268=0,0,(Upgrades!$J$7+F268*Upgrades!$K$7)*POWER(Upgrades!$L$7,F268)))*(IF(Upgrades!$T$6="Asteroid Belt",POWER(Upgrades!$U$6,E268),1)*IF(Upgrades!$T$8="Asteroid Belt",POWER(Upgrades!$U$8,G268),1)*IF(Upgrades!$T$9="Asteroid Belt",POWER(Upgrades!$U$9,H268),1)*IF(Upgrades!$T$10="Asteroid Belt",POWER(Upgrades!$U$10,I268),1)*IF(Upgrades!$T$11="Asteroid Belt",POWER(Upgrades!$U$11,J268),1)*IF(Upgrades!$T$12="Asteroid Belt",POWER(Upgrades!$U$12,K268),1))+(IF(G268=0,0,(Upgrades!$J$8+G268*Upgrades!$K$8)*POWER(Upgrades!$L$8,G268)))*(IF(Upgrades!$T$6="Stellar Coupling",POWER(Upgrades!$U$6,E268),1)*IF(Upgrades!$T$7="Stellar Coupling",POWER(Upgrades!$U$7,F268),1)*IF(Upgrades!$T$9="Stellar Coupling",POWER(Upgrades!$U$9,H268),1)*IF(Upgrades!$T$10="Stellar Coupling",POWER(Upgrades!$U$10,I268),1)*IF(Upgrades!$T$11="Stellar Coupling",POWER(Upgrades!$U$11,J268),1)*IF(Upgrades!$T$12="Stellar Coupling",POWER(Upgrades!$U$12,K268),1))+(IF(H268=0,0,(Upgrades!$J$9+H268*Upgrades!$K$9)*POWER(Upgrades!$L$9,H268)))*(IF(Upgrades!$T$6="Magnetosphere",POWER(Upgrades!$U$6,E268),1)*IF(Upgrades!$T$7="Magnetosphere",POWER(Upgrades!$U$7,F268),1)*IF(Upgrades!$T$8="Magnetosphere",POWER(Upgrades!$U$8,G268),1)*IF(Upgrades!$T$10="Magnetosphere",POWER(Upgrades!$U$10,I268),1)*IF(Upgrades!$T$11="Magnetosphere",POWER(Upgrades!$U$11,J268),1)*IF(Upgrades!$T$12="Magnetosphere",POWER(Upgrades!$U$12,K268),1))+(IF(I268=0,0,(Upgrades!$J$10+I268*Upgrades!$K$10)*POWER(Upgrades!$L$10,I268)))*(IF(Upgrades!$T$6="Orbital Resonance",POWER(Upgrades!$U$6,E268),1)*IF(Upgrades!$T$7="Orbital Resonance",POWER(Upgrades!$U$7,F268),1)*IF(Upgrades!$T$8="Orbital Resonance",POWER(Upgrades!$U$8,G268),1)*IF(Upgrades!$T$9="Orbital Resonance",POWER(Upgrades!$U$9,H268),1)*IF(Upgrades!$T$11="Orbital Resonance",POWER(Upgrades!$U$11,J268),1)*IF(Upgrades!$T$12="Orbital Resonance",POWER(Upgrades!$U$12,K268),1))+(IF(J268=0,0,(Upgrades!$J$11+J268*Upgrades!$K$11)*POWER(Upgrades!$L$11,J268)))*(IF(Upgrades!$T$6="Heliopause",POWER(Upgrades!$U$6,E268),1)*IF(Upgrades!$T$7="Heliopause",POWER(Upgrades!$U$7,F268),1)*IF(Upgrades!$T$8="Heliopause",POWER(Upgrades!$U$8,G268),1)*IF(Upgrades!$T$9="Heliopause",POWER(Upgrades!$U$9,H268),1)*IF(Upgrades!$T$10="Heliopause",POWER(Upgrades!$U$10,I268),1)*IF(Upgrades!$T$12="Heliopause",POWER(Upgrades!$U$12,K268),1))+(IF(K268=0,0,(Upgrades!$J$12+K268*Upgrades!$K$12)*POWER(Upgrades!$L$12,K268)))*(IF(Upgrades!$T$6="First Photons",POWER(Upgrades!$U$6,E268),1)*IF(Upgrades!$T$7="First Photons",POWER(Upgrades!$U$7,F268),1)*IF(Upgrades!$T$8="First Photons",POWER(Upgrades!$U$8,G268),1)*IF(Upgrades!$T$9="First Photons",POWER(Upgrades!$U$9,H268),1)*IF(Upgrades!$T$10="First Photons",POWER(Upgrades!$U$10,I268),1)*IF(Upgrades!$T$11="First Photons",POWER(Upgrades!$U$11,J268),1)))*POWER(Upgrades!$Q$6,E268)*POWER(Upgrades!$Q$7,F268)*POWER(Upgrades!$Q$8,G268)*POWER(Upgrades!$Q$9,H268)*POWER(Upgrades!$Q$10,I268)*POWER(Upgrades!$Q$11,J268)*POWER(Upgrades!$Q$12,K268)</f>
        <v>5.61</v>
      </c>
      <c r="N268" s="28" t="n">
        <f aca="false">((IF(E268=0,0,(Upgrades!$G$6+E268*Upgrades!$H$6)*POWER(Upgrades!$I$6,E268)))*(IF(Upgrades!$T$7="Solar Wind",POWER(Upgrades!$U$7,F268),1)*IF(Upgrades!$T$8="Solar Wind",POWER(Upgrades!$U$8,G268),1)*IF(Upgrades!$T$9="Solar Wind",POWER(Upgrades!$U$9,H268),1)*IF(Upgrades!$T$10="Solar Wind",POWER(Upgrades!$U$10,I268),1)*IF(Upgrades!$T$11="Solar Wind",POWER(Upgrades!$U$11,J268),1)*IF(Upgrades!$T$12="Solar Wind",POWER(Upgrades!$U$12,K268),1))+(IF(F268=0,0,(Upgrades!$G$7+F268*Upgrades!$H$7)*POWER(Upgrades!$I$7,F268)))*(IF(Upgrades!$T$6="Asteroid Belt",POWER(Upgrades!$U$6,E268),1)*IF(Upgrades!$T$8="Asteroid Belt",POWER(Upgrades!$U$8,G268),1)*IF(Upgrades!$T$9="Asteroid Belt",POWER(Upgrades!$U$9,H268),1)*IF(Upgrades!$T$10="Asteroid Belt",POWER(Upgrades!$U$10,I268),1)*IF(Upgrades!$T$11="Asteroid Belt",POWER(Upgrades!$U$11,J268),1)*IF(Upgrades!$T$12="Asteroid Belt",POWER(Upgrades!$U$12,K268),1))+(IF(G268=0,0,(Upgrades!$G$8+G268*Upgrades!$H$8)*POWER(Upgrades!$I$8,G268)))*(IF(Upgrades!$T$6="Stellar Coupling",POWER(Upgrades!$U$6,E268),1)*IF(Upgrades!$T$7="Stellar Coupling",POWER(Upgrades!$U$7,F268),1)*IF(Upgrades!$T$9="Stellar Coupling",POWER(Upgrades!$U$9,H268),1)*IF(Upgrades!$T$10="Stellar Coupling",POWER(Upgrades!$U$10,I268),1)*IF(Upgrades!$T$11="Stellar Coupling",POWER(Upgrades!$U$11,J268),1)*IF(Upgrades!$T$12="Stellar Coupling",POWER(Upgrades!$U$12,K268),1))+(IF(H268=0,0,(Upgrades!$G$9+H268*Upgrades!$H$9)*POWER(Upgrades!$I$9,H268)))*(IF(Upgrades!$T$6="Magnetosphere",POWER(Upgrades!$U$6,E268),1)*IF(Upgrades!$T$7="Magnetosphere",POWER(Upgrades!$U$7,F268),1)*IF(Upgrades!$T$8="Magnetosphere",POWER(Upgrades!$U$8,G268),1)*IF(Upgrades!$T$10="Magnetosphere",POWER(Upgrades!$U$10,I268),1)*IF(Upgrades!$T$11="Magnetosphere",POWER(Upgrades!$U$11,J268),1)*IF(Upgrades!$T$12="Magnetosphere",POWER(Upgrades!$U$12,K268),1))+(IF(I268=0,0,(Upgrades!$G$10+I268*Upgrades!$H$10)*POWER(Upgrades!$I$10,I268)))*(IF(Upgrades!$T$6="Orbital Resonance",POWER(Upgrades!$U$6,E268),1)*IF(Upgrades!$T$7="Orbital Resonance",POWER(Upgrades!$U$7,F268),1)*IF(Upgrades!$T$8="Orbital Resonance",POWER(Upgrades!$U$8,G268),1)*IF(Upgrades!$T$9="Orbital Resonance",POWER(Upgrades!$U$9,H268),1)*IF(Upgrades!$T$11="Orbital Resonance",POWER(Upgrades!$U$11,J268),1)*IF(Upgrades!$T$12="Orbital Resonance",POWER(Upgrades!$U$12,K268),1))+(IF(J268=0,0,(Upgrades!$G$11+J268*Upgrades!$H$11)*POWER(Upgrades!$I$11,J268)))*(IF(Upgrades!$T$6="Heliopause",POWER(Upgrades!$U$6,E268),1)*IF(Upgrades!$T$7="Heliopause",POWER(Upgrades!$U$7,F268),1)*IF(Upgrades!$T$8="Heliopause",POWER(Upgrades!$U$8,G268),1)*IF(Upgrades!$T$9="Heliopause",POWER(Upgrades!$U$9,H268),1)*IF(Upgrades!$T$10="Heliopause",POWER(Upgrades!$U$10,I268),1)*IF(Upgrades!$T$12="Heliopause",POWER(Upgrades!$U$12,K268),1))+(IF(K268=0,0,(Upgrades!$G$12+K268*Upgrades!$H$12)*POWER(Upgrades!$I$12,K268)))*(IF(Upgrades!$T$6="First Photons",POWER(Upgrades!$U$6,E268),1)*IF(Upgrades!$T$7="First Photons",POWER(Upgrades!$U$7,F268),1)*IF(Upgrades!$T$8="First Photons",POWER(Upgrades!$U$8,G268),1)*IF(Upgrades!$T$9="First Photons",POWER(Upgrades!$U$9,H268),1)*IF(Upgrades!$T$10="First Photons",POWER(Upgrades!$U$10,I268),1)*IF(Upgrades!$T$11="First Photons",POWER(Upgrades!$U$11,J268),1)))*POWER(Upgrades!$P$6,E268)*POWER(Upgrades!$P$7,F268)*POWER(Upgrades!$P$8,G268)*POWER(Upgrades!$P$9,H268)*POWER(Upgrades!$P$10,I268)*POWER(Upgrades!$P$11,J268)*POWER(Upgrades!$P$12,K268)</f>
        <v>11.2</v>
      </c>
      <c r="O268" s="28" t="n">
        <f aca="false">((IF(E268=0,0,(Upgrades!$M$6+E268*Upgrades!$N$6)*POWER(Upgrades!$O$6,E268)))*(IF(Upgrades!$T$7="Solar Wind",POWER(Upgrades!$U$7,F268),1)*IF(Upgrades!$T$8="Solar Wind",POWER(Upgrades!$U$8,G268),1)*IF(Upgrades!$T$9="Solar Wind",POWER(Upgrades!$U$9,H268),1)*IF(Upgrades!$T$10="Solar Wind",POWER(Upgrades!$U$10,I268),1)*IF(Upgrades!$T$11="Solar Wind",POWER(Upgrades!$U$11,J268),1)*IF(Upgrades!$T$12="Solar Wind",POWER(Upgrades!$U$12,K268),1))+(IF(F268=0,0,(Upgrades!$M$7+F268*Upgrades!$N$7)*POWER(Upgrades!$O$7,F268)))*(IF(Upgrades!$T$6="Asteroid Belt",POWER(Upgrades!$U$6,E268),1)*IF(Upgrades!$T$8="Asteroid Belt",POWER(Upgrades!$U$8,G268),1)*IF(Upgrades!$T$9="Asteroid Belt",POWER(Upgrades!$U$9,H268),1)*IF(Upgrades!$T$10="Asteroid Belt",POWER(Upgrades!$U$10,I268),1)*IF(Upgrades!$T$11="Asteroid Belt",POWER(Upgrades!$U$11,J268),1)*IF(Upgrades!$T$12="Asteroid Belt",POWER(Upgrades!$U$12,K268),1))+(IF(G268=0,0,(Upgrades!$M$8+G268*Upgrades!$N$8)*POWER(Upgrades!$O$8,G268)))*(IF(Upgrades!$T$6="Stellar Coupling",POWER(Upgrades!$U$6,E268),1)*IF(Upgrades!$T$7="Stellar Coupling",POWER(Upgrades!$U$7,F268),1)*IF(Upgrades!$T$9="Stellar Coupling",POWER(Upgrades!$U$9,H268),1)*IF(Upgrades!$T$10="Stellar Coupling",POWER(Upgrades!$U$10,I268),1)*IF(Upgrades!$T$11="Stellar Coupling",POWER(Upgrades!$U$11,J268),1)*IF(Upgrades!$T$12="Stellar Coupling",POWER(Upgrades!$U$12,K268),1))+(IF(H268=0,0,(Upgrades!$M$9+H268*Upgrades!$N$9)*POWER(Upgrades!$O$9,H268)))*(IF(Upgrades!$T$6="Magnetosphere",POWER(Upgrades!$U$6,E268),1)*IF(Upgrades!$T$7="Magnetosphere",POWER(Upgrades!$U$7,F268),1)*IF(Upgrades!$T$8="Magnetosphere",POWER(Upgrades!$U$8,G268),1)*IF(Upgrades!$T$10="Magnetosphere",POWER(Upgrades!$U$10,I268),1)*IF(Upgrades!$T$11="Magnetosphere",POWER(Upgrades!$U$11,J268),1)*IF(Upgrades!$T$12="Magnetosphere",POWER(Upgrades!$U$12,K268),1))+(IF(I268=0,0,(Upgrades!$M$10+I268*Upgrades!$N$10)*POWER(Upgrades!$O$10,I268)))*(IF(Upgrades!$T$6="Orbital Resonance",POWER(Upgrades!$U$6,E268),1)*IF(Upgrades!$T$7="Orbital Resonance",POWER(Upgrades!$U$7,F268),1)*IF(Upgrades!$T$8="Orbital Resonance",POWER(Upgrades!$U$8,G268),1)*IF(Upgrades!$T$9="Orbital Resonance",POWER(Upgrades!$U$9,H268),1)*IF(Upgrades!$T$11="Orbital Resonance",POWER(Upgrades!$U$11,J268),1)*IF(Upgrades!$T$12="Orbital Resonance",POWER(Upgrades!$U$12,K268),1))+(IF(J268=0,0,(Upgrades!$M$11+J268*Upgrades!$N$11)*POWER(Upgrades!$O$11,J268)))*(IF(Upgrades!$T$6="Heliopause",POWER(Upgrades!$U$6,E268),1)*IF(Upgrades!$T$7="Heliopause",POWER(Upgrades!$U$7,F268),1)*IF(Upgrades!$T$8="Heliopause",POWER(Upgrades!$U$8,G268),1)*IF(Upgrades!$T$9="Heliopause",POWER(Upgrades!$U$9,H268),1)*IF(Upgrades!$T$10="Heliopause",POWER(Upgrades!$U$10,I268),1)*IF(Upgrades!$T$12="Heliopause",POWER(Upgrades!$U$12,K268),1))+(IF(K268=0,0,(Upgrades!$M$12+K268*Upgrades!$N$12)*POWER(Upgrades!$O$12,K268)))*(IF(Upgrades!$T$6="First Photons",POWER(Upgrades!$U$6,E268),1)*IF(Upgrades!$T$7="First Photons",POWER(Upgrades!$U$7,F268),1)*IF(Upgrades!$T$8="First Photons",POWER(Upgrades!$U$8,G268),1)*IF(Upgrades!$T$9="First Photons",POWER(Upgrades!$U$9,H268),1)*IF(Upgrades!$T$10="First Photons",POWER(Upgrades!$U$10,I268),1)*IF(Upgrades!$T$11="First Photons",POWER(Upgrades!$U$11,J268),1)))*POWER(Upgrades!$R$6,E268)*POWER(Upgrades!$R$7,F268)*POWER(Upgrades!$R$8,G268)*POWER(Upgrades!$R$9,H268)*POWER(Upgrades!$R$10,I268)*POWER(Upgrades!$R$11,J268)*POWER(Upgrades!$R$12,K268)</f>
        <v>0</v>
      </c>
      <c r="P268" s="27" t="n">
        <f aca="false">IF(L268=1,0,M268*Parameters!$B$10/60*Parameters!$B$11*10)</f>
        <v>0</v>
      </c>
      <c r="Q268" s="27" t="n">
        <f aca="false">IF(L268=1,0,O268*M268*10)</f>
        <v>0</v>
      </c>
      <c r="R268" s="27" t="n">
        <f aca="false">IF(L268=1,0,N268*10)</f>
        <v>0</v>
      </c>
      <c r="S268" s="27" t="n">
        <f aca="false">P268+Q268+R268</f>
        <v>0</v>
      </c>
      <c r="T268" s="21" t="n">
        <f aca="false">C268+S268</f>
        <v>18.6730249835055</v>
      </c>
      <c r="U268" s="34" t="str">
        <f aca="false">AX268</f>
        <v/>
      </c>
      <c r="V268" s="21" t="n">
        <f aca="false">IF(U268="",0,IF(U268="transition",0,IF(U268="SW",AG268,IF(U268="AB",AH268,IF(U268="SC",AI268,IF(U268="Mag",AJ268,IF(U268="OR",AK268,IF(U268="HP",AL268,IF(U268="FP",AM268,0)))))))))</f>
        <v>0</v>
      </c>
      <c r="W268" s="27" t="n">
        <f aca="false">IF(U268="OR",Upgrades!$F$10,IF(U268="HP",Upgrades!$F$11,IF(U268="transition",-Parameters!$B$18,0)))</f>
        <v>0</v>
      </c>
      <c r="X268" s="21" t="n">
        <f aca="false">T268-V268</f>
        <v>18.6730249835055</v>
      </c>
      <c r="Y268" s="30" t="n">
        <f aca="false">M268*Parameters!$B$10/60*Parameters!$B$11+O268*M268+N268</f>
        <v>20.55</v>
      </c>
      <c r="Z268" s="35" t="str">
        <f aca="false">IF(U268="transition","→ Tier 2 (Stellar Neighborhood)",IF(U268="FP","First Photons — light begins, system quickens",IF(U268="HP","Heliopause acquired",IF(U268="OR","Orbital Resonance — passive multiplier active",IF(AND(AO268=1,L268=0,AN268&lt;&gt;1),"Cohesion ready (waiting on completionist upgrades)","")))))</f>
        <v/>
      </c>
      <c r="AA268" s="27" t="n">
        <f aca="false">(IF(E268=0,0,(Upgrades!$G$6+E268*Upgrades!$H$6)*POWER(Upgrades!$I$6,E268)))*(IF(Upgrades!$T$7="Solar Wind",POWER(Upgrades!$U$7,F268),1)*IF(Upgrades!$T$8="Solar Wind",POWER(Upgrades!$U$8,G268),1)*IF(Upgrades!$T$9="Solar Wind",POWER(Upgrades!$U$9,H268),1)*IF(Upgrades!$T$10="Solar Wind",POWER(Upgrades!$U$10,I268),1)*IF(Upgrades!$T$11="Solar Wind",POWER(Upgrades!$U$11,J268),1)*IF(Upgrades!$T$12="Solar Wind",POWER(Upgrades!$U$12,K268),1))*POWER(Upgrades!$P$6,E268)*POWER(Upgrades!$P$7,F268)*POWER(Upgrades!$P$8,G268)*POWER(Upgrades!$P$9,H268)*POWER(Upgrades!$P$10,I268)*POWER(Upgrades!$P$11,J268)*POWER(Upgrades!$P$12,K268)*60</f>
        <v>72</v>
      </c>
      <c r="AB268" s="27" t="n">
        <f aca="false">(IF(F268=0,0,(Upgrades!$G$7+F268*Upgrades!$H$7)*POWER(Upgrades!$I$7,F268)))*(IF(Upgrades!$T$6="Asteroid Belt",POWER(Upgrades!$U$6,E268),1)*IF(Upgrades!$T$8="Asteroid Belt",POWER(Upgrades!$U$8,G268),1)*IF(Upgrades!$T$9="Asteroid Belt",POWER(Upgrades!$U$9,H268),1)*IF(Upgrades!$T$10="Asteroid Belt",POWER(Upgrades!$U$10,I268),1)*IF(Upgrades!$T$11="Asteroid Belt",POWER(Upgrades!$U$11,J268),1)*IF(Upgrades!$T$12="Asteroid Belt",POWER(Upgrades!$U$12,K268),1))*POWER(Upgrades!$P$6,E268)*POWER(Upgrades!$P$7,F268)*POWER(Upgrades!$P$8,G268)*POWER(Upgrades!$P$9,H268)*POWER(Upgrades!$P$10,I268)*POWER(Upgrades!$P$11,J268)*POWER(Upgrades!$P$12,K268)*60</f>
        <v>150</v>
      </c>
      <c r="AC268" s="27" t="n">
        <f aca="false">(IF(G268=0,0,(Upgrades!$J$8+G268*Upgrades!$K$8)*POWER(Upgrades!$L$8,G268)))*(IF(Upgrades!$T$6="Stellar Coupling",POWER(Upgrades!$U$6,E268),1)*IF(Upgrades!$T$7="Stellar Coupling",POWER(Upgrades!$U$7,F268),1)*IF(Upgrades!$T$9="Stellar Coupling",POWER(Upgrades!$U$9,H268),1)*IF(Upgrades!$T$10="Stellar Coupling",POWER(Upgrades!$U$10,I268),1)*IF(Upgrades!$T$11="Stellar Coupling",POWER(Upgrades!$U$11,J268),1)*IF(Upgrades!$T$12="Stellar Coupling",POWER(Upgrades!$U$12,K268),1))*POWER(Upgrades!$Q$6,E268)*POWER(Upgrades!$Q$7,F268)*POWER(Upgrades!$Q$8,G268)*POWER(Upgrades!$Q$9,H268)*POWER(Upgrades!$Q$10,I268)*POWER(Upgrades!$Q$11,J268)*POWER(Upgrades!$Q$12,K268)*Parameters!$B$10*Parameters!$B$11</f>
        <v>441</v>
      </c>
      <c r="AD268" s="27" t="n">
        <f aca="false">(IF(H268=0,0,(Upgrades!$G$9+H268*Upgrades!$H$9)*POWER(Upgrades!$I$9,H268)))*(IF(Upgrades!$T$6="Magnetosphere",POWER(Upgrades!$U$6,E268),1)*IF(Upgrades!$T$7="Magnetosphere",POWER(Upgrades!$U$7,F268),1)*IF(Upgrades!$T$8="Magnetosphere",POWER(Upgrades!$U$8,G268),1)*IF(Upgrades!$T$10="Magnetosphere",POWER(Upgrades!$U$10,I268),1)*IF(Upgrades!$T$11="Magnetosphere",POWER(Upgrades!$U$11,J268),1)*IF(Upgrades!$T$12="Magnetosphere",POWER(Upgrades!$U$12,K268),1))*POWER(Upgrades!$P$6,E268)*POWER(Upgrades!$P$7,F268)*POWER(Upgrades!$P$8,G268)*POWER(Upgrades!$P$9,H268)*POWER(Upgrades!$P$10,I268)*POWER(Upgrades!$P$11,J268)*POWER(Upgrades!$P$12,K268)*60</f>
        <v>375</v>
      </c>
      <c r="AE268" s="27" t="n">
        <f aca="false">(IF(K268=0,0,(Upgrades!$G$12+K268*Upgrades!$H$12)*POWER(Upgrades!$I$12,K268)))*(IF(Upgrades!$T$6="First Photons",POWER(Upgrades!$U$6,E268),1)*IF(Upgrades!$T$7="First Photons",POWER(Upgrades!$U$7,F268),1)*IF(Upgrades!$T$8="First Photons",POWER(Upgrades!$U$8,G268),1)*IF(Upgrades!$T$9="First Photons",POWER(Upgrades!$U$9,H268),1)*IF(Upgrades!$T$10="First Photons",POWER(Upgrades!$U$10,I268),1)*IF(Upgrades!$T$11="First Photons",POWER(Upgrades!$U$11,J268),1))*POWER(Upgrades!$P$6,E268)*POWER(Upgrades!$P$7,F268)*POWER(Upgrades!$P$8,G268)*POWER(Upgrades!$P$9,H268)*POWER(Upgrades!$P$10,I268)*POWER(Upgrades!$P$11,J268)*POWER(Upgrades!$P$12,K268)*60</f>
        <v>75</v>
      </c>
      <c r="AF268" s="27" t="n">
        <f aca="false">Parameters!$B$9*POWER(Upgrades!$Q$6,E268)*POWER(Upgrades!$Q$7,F268)*POWER(Upgrades!$Q$8,G268)*POWER(Upgrades!$Q$9,H268)*POWER(Upgrades!$Q$10,I268)*POWER(Upgrades!$Q$11,J268)*POWER(Upgrades!$Q$12,K268)*(Parameters!$B$10*Parameters!$B$11+O268*60)</f>
        <v>120</v>
      </c>
      <c r="AG268" s="21" t="n">
        <f aca="false">IF(E268&gt;=Upgrades!$E$6,"",Upgrades!$C$6*POWER(Upgrades!$D$6,E268))</f>
        <v>37.4517507383159</v>
      </c>
      <c r="AH268" s="21" t="n">
        <f aca="false">IF(F268&gt;=Upgrades!$E$7,"",Upgrades!$C$7*POWER(Upgrades!$D$7,F268))</f>
        <v>80.9111547141581</v>
      </c>
      <c r="AI268" s="21" t="n">
        <f aca="false">IF(G268&gt;=Upgrades!$E$8,"",Upgrades!$C$8*POWER(Upgrades!$D$8,G268))</f>
        <v>231.9097088</v>
      </c>
      <c r="AJ268" s="21" t="str">
        <f aca="false">IF(H268&gt;=Upgrades!$E$9,"",Upgrades!$C$9*POWER(Upgrades!$D$9,H268))</f>
        <v/>
      </c>
      <c r="AK268" s="21" t="str">
        <f aca="false">IF(I268&gt;=Upgrades!$E$10,"",Upgrades!$C$10*POWER(Upgrades!$D$10,I268))</f>
        <v/>
      </c>
      <c r="AL268" s="21" t="str">
        <f aca="false">IF(J268&gt;=Upgrades!$E$11,"",Upgrades!$C$11*POWER(Upgrades!$D$11,J268))</f>
        <v/>
      </c>
      <c r="AM268" s="21" t="str">
        <f aca="false">IF(K268&gt;=Upgrades!$E$12,"",Upgrades!$C$12*POWER(Upgrades!$D$12,K268))</f>
        <v/>
      </c>
      <c r="AN268" s="26" t="str">
        <f aca="false">IF(AND(D268&gt;=Parameters!$B$18,(H268&gt;=Upgrades!$E$9)*(K268&gt;=Upgrades!$E$12)=1,L268=0),1,"")</f>
        <v/>
      </c>
      <c r="AO268" s="26" t="str">
        <f aca="false">IF(AND(D268&gt;=Parameters!$B$18,L268=0),1,"")</f>
        <v/>
      </c>
      <c r="AP268" s="21" t="n">
        <f aca="false">MIN(IF(ISNUMBER(AK268),AK268,9000000000000000),IF(ISNUMBER(AL268),AL268,9000000000000000),IF(ISNUMBER(AM268),AM268,9000000000000000))</f>
        <v>9000000000000000</v>
      </c>
      <c r="AQ268" s="21" t="n">
        <f aca="false">MIN(IF(ISNUMBER(AG268),AG268,9000000000000000),IF(ISNUMBER(AH268),AH268,9000000000000000),IF(ISNUMBER(AI268),AI268,9000000000000000),IF(ISNUMBER(AJ268),AJ268,9000000000000000))</f>
        <v>37.4517507383159</v>
      </c>
      <c r="AR268" s="32" t="b">
        <f aca="false">IF(AW268&gt;Parameters!$B$21*(MAX(IF(AND(NOT(AND(AO268=1,AN268&lt;&gt;1)),ISNUMBER(AG268),AG268&lt;=T268),AS268,0),IF(AND(NOT(AND(AO268=1,AN268&lt;&gt;1)),ISNUMBER(AH268),AH268&lt;=T268),AT268,0),IF(AND(NOT(AND(AO268=1,AN268&lt;&gt;1)),ISNUMBER(AI268),AI268&lt;=T268),AU268,0),IF(AND(ISNUMBER(AJ268),AJ268&lt;=T268),AV268,0))),TRUE(),FALSE())</f>
        <v>1</v>
      </c>
      <c r="AS268" s="33" t="n">
        <f aca="false">IFERROR(Upgrades!$H$6*(POWER(Upgrades!$P$6,E268)*POWER(Upgrades!$P$7,F268)*POWER(Upgrades!$P$8,G268)*POWER(Upgrades!$P$9,H268)*POWER(Upgrades!$P$10,I268)*POWER(Upgrades!$P$11,J268)*POWER(Upgrades!$P$12,K268))*(IF(Upgrades!$T$7="Solar Wind",POWER(Upgrades!$U$7,F268),1)*IF(Upgrades!$T$8="Solar Wind",POWER(Upgrades!$U$8,G268),1)*IF(Upgrades!$T$9="Solar Wind",POWER(Upgrades!$U$9,H268),1)*IF(Upgrades!$T$10="Solar Wind",POWER(Upgrades!$U$10,I268),1)*IF(Upgrades!$T$11="Solar Wind",POWER(Upgrades!$U$11,J268),1)*IF(Upgrades!$T$12="Solar Wind",POWER(Upgrades!$U$12,K268),1))/AG268,0)</f>
        <v>0.0026701021455238</v>
      </c>
      <c r="AT268" s="33" t="n">
        <f aca="false">IFERROR(Upgrades!$H$7*(POWER(Upgrades!$P$6,E268)*POWER(Upgrades!$P$7,F268)*POWER(Upgrades!$P$8,G268)*POWER(Upgrades!$P$9,H268)*POWER(Upgrades!$P$10,I268)*POWER(Upgrades!$P$11,J268)*POWER(Upgrades!$P$12,K268))*(IF(Upgrades!$T$6="Asteroid Belt",POWER(Upgrades!$U$6,E268),1)*IF(Upgrades!$T$8="Asteroid Belt",POWER(Upgrades!$U$8,G268),1)*IF(Upgrades!$T$9="Asteroid Belt",POWER(Upgrades!$U$9,H268),1)*IF(Upgrades!$T$10="Asteroid Belt",POWER(Upgrades!$U$10,I268),1)*IF(Upgrades!$T$11="Asteroid Belt",POWER(Upgrades!$U$11,J268),1)*IF(Upgrades!$T$12="Asteroid Belt",POWER(Upgrades!$U$12,K268),1))/AH268,0)</f>
        <v>0.00308980882652332</v>
      </c>
      <c r="AU268" s="33" t="n">
        <f aca="false">IFERROR(Upgrades!$K$8*(POWER(Upgrades!$Q$6,E268)*POWER(Upgrades!$Q$7,F268)*POWER(Upgrades!$Q$8,G268)*POWER(Upgrades!$Q$9,H268)*POWER(Upgrades!$Q$10,I268)*POWER(Upgrades!$Q$11,J268)*POWER(Upgrades!$Q$12,K268))*(IF(Upgrades!$T$6="Stellar Coupling",POWER(Upgrades!$U$6,E268),1)*IF(Upgrades!$T$7="Stellar Coupling",POWER(Upgrades!$U$7,F268),1)*IF(Upgrades!$T$9="Stellar Coupling",POWER(Upgrades!$U$9,H268),1)*IF(Upgrades!$T$10="Stellar Coupling",POWER(Upgrades!$U$10,I268),1)*IF(Upgrades!$T$11="Stellar Coupling",POWER(Upgrades!$U$11,J268),1)*IF(Upgrades!$T$12="Stellar Coupling",POWER(Upgrades!$U$12,K268),1))*Parameters!$B$10*Parameters!$B$11/60/AI268,0)</f>
        <v>0.00452762415783776</v>
      </c>
      <c r="AV268" s="33" t="n">
        <f aca="false">IFERROR(Upgrades!$H$9*(POWER(Upgrades!$P$6,E268)*POWER(Upgrades!$P$7,F268)*POWER(Upgrades!$P$8,G268)*POWER(Upgrades!$P$9,H268)*POWER(Upgrades!$P$10,I268)*POWER(Upgrades!$P$11,J268)*POWER(Upgrades!$P$12,K268))*(IF(Upgrades!$T$6="Magnetosphere",POWER(Upgrades!$U$6,E268),1)*IF(Upgrades!$T$7="Magnetosphere",POWER(Upgrades!$U$7,F268),1)*IF(Upgrades!$T$8="Magnetosphere",POWER(Upgrades!$U$8,G268),1)*IF(Upgrades!$T$10="Magnetosphere",POWER(Upgrades!$U$10,I268),1)*IF(Upgrades!$T$11="Magnetosphere",POWER(Upgrades!$U$11,J268),1)*IF(Upgrades!$T$12="Magnetosphere",POWER(Upgrades!$U$12,K268),1))/AJ268,0)</f>
        <v>0</v>
      </c>
      <c r="AW268" s="33" t="n">
        <f aca="false">MAX(IF(I268&gt;0,0,IFERROR(0.25*N268/Upgrades!$C$10,0)),IF(J268&gt;0,0,IFERROR(0.5*((IF(G268=0,0,(Upgrades!$J$8+G268*Upgrades!$K$8)*POWER(Upgrades!$L$8,G268)))*(IF(Upgrades!$T$6="Stellar Coupling",POWER(Upgrades!$U$6,E268),1)*IF(Upgrades!$T$7="Stellar Coupling",POWER(Upgrades!$U$7,F268),1)*IF(Upgrades!$T$9="Stellar Coupling",POWER(Upgrades!$U$9,H268),1)*IF(Upgrades!$T$10="Stellar Coupling",POWER(Upgrades!$U$10,I268),1)*IF(Upgrades!$T$11="Stellar Coupling",POWER(Upgrades!$U$11,J268),1)*IF(Upgrades!$T$12="Stellar Coupling",POWER(Upgrades!$U$12,K268),1))*(POWER(Upgrades!$Q$6,E268)*POWER(Upgrades!$Q$7,F268)*POWER(Upgrades!$Q$8,G268)*POWER(Upgrades!$Q$9,H268)*POWER(Upgrades!$Q$10,I268)*POWER(Upgrades!$Q$11,J268)*POWER(Upgrades!$Q$12,K268))*Parameters!$B$10*Parameters!$B$11/60)/Upgrades!$C$11,0)),IF(K268&gt;0,0,IFERROR((1*(POWER(Upgrades!$P$6,E268)*POWER(Upgrades!$P$7,F268)*POWER(Upgrades!$P$8,G268)*POWER(Upgrades!$P$9,H268)*POWER(Upgrades!$P$10,I268)*POWER(Upgrades!$P$11,J268)*POWER(Upgrades!$P$12,K268))+0.2*M268*Parameters!$B$10*Parameters!$B$11/60)/Upgrades!$C$12,0)),IF(AND(ISNUMBER(AG268),AG268&gt;T268),AS268,0),IF(AND(ISNUMBER(AH268),AH268&gt;T268),AT268,0),IF(AND(ISNUMBER(AI268),AI268&gt;T268),AU268,0),IF(AND(ISNUMBER(AJ268),AJ268&gt;T268),AV268,0))</f>
        <v>0.00452762415783776</v>
      </c>
      <c r="AX268" s="29" t="str">
        <f aca="false">IF(AN268=1,"transition",IF(MIN(IF(AND(I268=0,ISNUMBER(AK268),AK268&lt;=T268),AK268,9000000000000000),IF(AND(J268=0,ISNUMBER(AL268),AL268&lt;=T268),AL268,9000000000000000),IF(AND(K268=0,ISNUMBER(AM268),AM268&lt;=T268),AM268,9000000000000000))&lt;9000000000000000,IF(AND(AND(I268=0,ISNUMBER(AK268),AK268&lt;=T268),AK268=MIN(IF(AND(I268=0,ISNUMBER(AK268),AK268&lt;=T268),AK268,9000000000000000),IF(AND(J268=0,ISNUMBER(AL268),AL268&lt;=T268),AL268,9000000000000000),IF(AND(K268=0,ISNUMBER(AM268),AM268&lt;=T268),AM268,9000000000000000))),"OR",IF(AND(AND(J268=0,ISNUMBER(AL268),AL268&lt;=T268),AL268=MIN(IF(AND(I268=0,ISNUMBER(AK268),AK268&lt;=T268),AK268,9000000000000000),IF(AND(J268=0,ISNUMBER(AL268),AL268&lt;=T268),AL268,9000000000000000),IF(AND(K268=0,ISNUMBER(AM268),AM268&lt;=T268),AM268,9000000000000000))),"HP","FP")),IF(AR268=TRUE(),"",IF(MAX(IF(AND(NOT(AND(AO268=1,AN268&lt;&gt;1)),ISNUMBER(AG268),AG268&lt;=T268),AS268,0),IF(AND(NOT(AND(AO268=1,AN268&lt;&gt;1)),ISNUMBER(AH268),AH268&lt;=T268),AT268,0),IF(AND(NOT(AND(AO268=1,AN268&lt;&gt;1)),ISNUMBER(AI268),AI268&lt;=T268),AU268,0),IF(AND(ISNUMBER(AJ268),AJ268&lt;=T268),AV268,0))&lt;=0,"",IF(AND(IF(AND(NOT(AND(AO268=1,AN268&lt;&gt;1)),ISNUMBER(AG268),AG268&lt;=T268),AS268,0)&gt;0,IF(AND(NOT(AND(AO268=1,AN268&lt;&gt;1)),ISNUMBER(AG268),AG268&lt;=T268),AS268,0)=MAX(IF(AND(NOT(AND(AO268=1,AN268&lt;&gt;1)),ISNUMBER(AG268),AG268&lt;=T268),AS268,0),IF(AND(NOT(AND(AO268=1,AN268&lt;&gt;1)),ISNUMBER(AH268),AH268&lt;=T268),AT268,0),IF(AND(NOT(AND(AO268=1,AN268&lt;&gt;1)),ISNUMBER(AI268),AI268&lt;=T268),AU268,0),IF(AND(ISNUMBER(AJ268),AJ268&lt;=T268),AV268,0))),"SW",IF(AND(IF(AND(NOT(AND(AO268=1,AN268&lt;&gt;1)),ISNUMBER(AH268),AH268&lt;=T268),AT268,0)&gt;0,IF(AND(NOT(AND(AO268=1,AN268&lt;&gt;1)),ISNUMBER(AH268),AH268&lt;=T268),AT268,0)=MAX(IF(AND(NOT(AND(AO268=1,AN268&lt;&gt;1)),ISNUMBER(AG268),AG268&lt;=T268),AS268,0),IF(AND(NOT(AND(AO268=1,AN268&lt;&gt;1)),ISNUMBER(AH268),AH268&lt;=T268),AT268,0),IF(AND(NOT(AND(AO268=1,AN268&lt;&gt;1)),ISNUMBER(AI268),AI268&lt;=T268),AU268,0),IF(AND(ISNUMBER(AJ268),AJ268&lt;=T268),AV268,0))),"AB",IF(AND(IF(AND(NOT(AND(AO268=1,AN268&lt;&gt;1)),ISNUMBER(AI268),AI268&lt;=T268),AU268,0)&gt;0,IF(AND(NOT(AND(AO268=1,AN268&lt;&gt;1)),ISNUMBER(AI268),AI268&lt;=T268),AU268,0)=MAX(IF(AND(NOT(AND(AO268=1,AN268&lt;&gt;1)),ISNUMBER(AG268),AG268&lt;=T268),AS268,0),IF(AND(NOT(AND(AO268=1,AN268&lt;&gt;1)),ISNUMBER(AH268),AH268&lt;=T268),AT268,0),IF(AND(NOT(AND(AO268=1,AN268&lt;&gt;1)),ISNUMBER(AI268),AI268&lt;=T268),AU268,0),IF(AND(ISNUMBER(AJ268),AJ268&lt;=T268),AV268,0))),"SC","Mag")))))))</f>
        <v/>
      </c>
    </row>
    <row r="269" customFormat="false" ht="15" hidden="false" customHeight="false" outlineLevel="0" collapsed="false">
      <c r="A269" s="26" t="n">
        <v>264</v>
      </c>
      <c r="B269" s="27" t="n">
        <f aca="false">A269*10/60</f>
        <v>44</v>
      </c>
      <c r="C269" s="21" t="n">
        <f aca="false">X268</f>
        <v>18.6730249835055</v>
      </c>
      <c r="D269" s="27" t="n">
        <f aca="false">D268+W268</f>
        <v>0</v>
      </c>
      <c r="E269" s="26" t="n">
        <f aca="false">E268+IF(U268="SW",1,0)</f>
        <v>12</v>
      </c>
      <c r="F269" s="26" t="n">
        <f aca="false">F268+IF(U268="AB",1,0)</f>
        <v>10</v>
      </c>
      <c r="G269" s="26" t="n">
        <f aca="false">G268+IF(U268="SC",1,0)</f>
        <v>7</v>
      </c>
      <c r="H269" s="26" t="n">
        <f aca="false">H268+IF(U268="Mag",1,0)</f>
        <v>5</v>
      </c>
      <c r="I269" s="26" t="n">
        <f aca="false">MAX(I268,IF(U268="OR",1,0))</f>
        <v>1</v>
      </c>
      <c r="J269" s="26" t="n">
        <f aca="false">MAX(J268,IF(U268="HP",1,0))</f>
        <v>1</v>
      </c>
      <c r="K269" s="26" t="n">
        <f aca="false">MAX(K268,IF(U268="FP",1,0))</f>
        <v>1</v>
      </c>
      <c r="L269" s="26" t="n">
        <f aca="false">MAX(L268,IF(U268="transition",1,0))</f>
        <v>1</v>
      </c>
      <c r="M269" s="28" t="n">
        <f aca="false">(Parameters!$B$9+(IF(E269=0,0,(Upgrades!$J$6+E269*Upgrades!$K$6)*POWER(Upgrades!$L$6,E269)))*(IF(Upgrades!$T$7="Solar Wind",POWER(Upgrades!$U$7,F269),1)*IF(Upgrades!$T$8="Solar Wind",POWER(Upgrades!$U$8,G269),1)*IF(Upgrades!$T$9="Solar Wind",POWER(Upgrades!$U$9,H269),1)*IF(Upgrades!$T$10="Solar Wind",POWER(Upgrades!$U$10,I269),1)*IF(Upgrades!$T$11="Solar Wind",POWER(Upgrades!$U$11,J269),1)*IF(Upgrades!$T$12="Solar Wind",POWER(Upgrades!$U$12,K269),1))+(IF(F269=0,0,(Upgrades!$J$7+F269*Upgrades!$K$7)*POWER(Upgrades!$L$7,F269)))*(IF(Upgrades!$T$6="Asteroid Belt",POWER(Upgrades!$U$6,E269),1)*IF(Upgrades!$T$8="Asteroid Belt",POWER(Upgrades!$U$8,G269),1)*IF(Upgrades!$T$9="Asteroid Belt",POWER(Upgrades!$U$9,H269),1)*IF(Upgrades!$T$10="Asteroid Belt",POWER(Upgrades!$U$10,I269),1)*IF(Upgrades!$T$11="Asteroid Belt",POWER(Upgrades!$U$11,J269),1)*IF(Upgrades!$T$12="Asteroid Belt",POWER(Upgrades!$U$12,K269),1))+(IF(G269=0,0,(Upgrades!$J$8+G269*Upgrades!$K$8)*POWER(Upgrades!$L$8,G269)))*(IF(Upgrades!$T$6="Stellar Coupling",POWER(Upgrades!$U$6,E269),1)*IF(Upgrades!$T$7="Stellar Coupling",POWER(Upgrades!$U$7,F269),1)*IF(Upgrades!$T$9="Stellar Coupling",POWER(Upgrades!$U$9,H269),1)*IF(Upgrades!$T$10="Stellar Coupling",POWER(Upgrades!$U$10,I269),1)*IF(Upgrades!$T$11="Stellar Coupling",POWER(Upgrades!$U$11,J269),1)*IF(Upgrades!$T$12="Stellar Coupling",POWER(Upgrades!$U$12,K269),1))+(IF(H269=0,0,(Upgrades!$J$9+H269*Upgrades!$K$9)*POWER(Upgrades!$L$9,H269)))*(IF(Upgrades!$T$6="Magnetosphere",POWER(Upgrades!$U$6,E269),1)*IF(Upgrades!$T$7="Magnetosphere",POWER(Upgrades!$U$7,F269),1)*IF(Upgrades!$T$8="Magnetosphere",POWER(Upgrades!$U$8,G269),1)*IF(Upgrades!$T$10="Magnetosphere",POWER(Upgrades!$U$10,I269),1)*IF(Upgrades!$T$11="Magnetosphere",POWER(Upgrades!$U$11,J269),1)*IF(Upgrades!$T$12="Magnetosphere",POWER(Upgrades!$U$12,K269),1))+(IF(I269=0,0,(Upgrades!$J$10+I269*Upgrades!$K$10)*POWER(Upgrades!$L$10,I269)))*(IF(Upgrades!$T$6="Orbital Resonance",POWER(Upgrades!$U$6,E269),1)*IF(Upgrades!$T$7="Orbital Resonance",POWER(Upgrades!$U$7,F269),1)*IF(Upgrades!$T$8="Orbital Resonance",POWER(Upgrades!$U$8,G269),1)*IF(Upgrades!$T$9="Orbital Resonance",POWER(Upgrades!$U$9,H269),1)*IF(Upgrades!$T$11="Orbital Resonance",POWER(Upgrades!$U$11,J269),1)*IF(Upgrades!$T$12="Orbital Resonance",POWER(Upgrades!$U$12,K269),1))+(IF(J269=0,0,(Upgrades!$J$11+J269*Upgrades!$K$11)*POWER(Upgrades!$L$11,J269)))*(IF(Upgrades!$T$6="Heliopause",POWER(Upgrades!$U$6,E269),1)*IF(Upgrades!$T$7="Heliopause",POWER(Upgrades!$U$7,F269),1)*IF(Upgrades!$T$8="Heliopause",POWER(Upgrades!$U$8,G269),1)*IF(Upgrades!$T$9="Heliopause",POWER(Upgrades!$U$9,H269),1)*IF(Upgrades!$T$10="Heliopause",POWER(Upgrades!$U$10,I269),1)*IF(Upgrades!$T$12="Heliopause",POWER(Upgrades!$U$12,K269),1))+(IF(K269=0,0,(Upgrades!$J$12+K269*Upgrades!$K$12)*POWER(Upgrades!$L$12,K269)))*(IF(Upgrades!$T$6="First Photons",POWER(Upgrades!$U$6,E269),1)*IF(Upgrades!$T$7="First Photons",POWER(Upgrades!$U$7,F269),1)*IF(Upgrades!$T$8="First Photons",POWER(Upgrades!$U$8,G269),1)*IF(Upgrades!$T$9="First Photons",POWER(Upgrades!$U$9,H269),1)*IF(Upgrades!$T$10="First Photons",POWER(Upgrades!$U$10,I269),1)*IF(Upgrades!$T$11="First Photons",POWER(Upgrades!$U$11,J269),1)))*POWER(Upgrades!$Q$6,E269)*POWER(Upgrades!$Q$7,F269)*POWER(Upgrades!$Q$8,G269)*POWER(Upgrades!$Q$9,H269)*POWER(Upgrades!$Q$10,I269)*POWER(Upgrades!$Q$11,J269)*POWER(Upgrades!$Q$12,K269)</f>
        <v>5.61</v>
      </c>
      <c r="N269" s="28" t="n">
        <f aca="false">((IF(E269=0,0,(Upgrades!$G$6+E269*Upgrades!$H$6)*POWER(Upgrades!$I$6,E269)))*(IF(Upgrades!$T$7="Solar Wind",POWER(Upgrades!$U$7,F269),1)*IF(Upgrades!$T$8="Solar Wind",POWER(Upgrades!$U$8,G269),1)*IF(Upgrades!$T$9="Solar Wind",POWER(Upgrades!$U$9,H269),1)*IF(Upgrades!$T$10="Solar Wind",POWER(Upgrades!$U$10,I269),1)*IF(Upgrades!$T$11="Solar Wind",POWER(Upgrades!$U$11,J269),1)*IF(Upgrades!$T$12="Solar Wind",POWER(Upgrades!$U$12,K269),1))+(IF(F269=0,0,(Upgrades!$G$7+F269*Upgrades!$H$7)*POWER(Upgrades!$I$7,F269)))*(IF(Upgrades!$T$6="Asteroid Belt",POWER(Upgrades!$U$6,E269),1)*IF(Upgrades!$T$8="Asteroid Belt",POWER(Upgrades!$U$8,G269),1)*IF(Upgrades!$T$9="Asteroid Belt",POWER(Upgrades!$U$9,H269),1)*IF(Upgrades!$T$10="Asteroid Belt",POWER(Upgrades!$U$10,I269),1)*IF(Upgrades!$T$11="Asteroid Belt",POWER(Upgrades!$U$11,J269),1)*IF(Upgrades!$T$12="Asteroid Belt",POWER(Upgrades!$U$12,K269),1))+(IF(G269=0,0,(Upgrades!$G$8+G269*Upgrades!$H$8)*POWER(Upgrades!$I$8,G269)))*(IF(Upgrades!$T$6="Stellar Coupling",POWER(Upgrades!$U$6,E269),1)*IF(Upgrades!$T$7="Stellar Coupling",POWER(Upgrades!$U$7,F269),1)*IF(Upgrades!$T$9="Stellar Coupling",POWER(Upgrades!$U$9,H269),1)*IF(Upgrades!$T$10="Stellar Coupling",POWER(Upgrades!$U$10,I269),1)*IF(Upgrades!$T$11="Stellar Coupling",POWER(Upgrades!$U$11,J269),1)*IF(Upgrades!$T$12="Stellar Coupling",POWER(Upgrades!$U$12,K269),1))+(IF(H269=0,0,(Upgrades!$G$9+H269*Upgrades!$H$9)*POWER(Upgrades!$I$9,H269)))*(IF(Upgrades!$T$6="Magnetosphere",POWER(Upgrades!$U$6,E269),1)*IF(Upgrades!$T$7="Magnetosphere",POWER(Upgrades!$U$7,F269),1)*IF(Upgrades!$T$8="Magnetosphere",POWER(Upgrades!$U$8,G269),1)*IF(Upgrades!$T$10="Magnetosphere",POWER(Upgrades!$U$10,I269),1)*IF(Upgrades!$T$11="Magnetosphere",POWER(Upgrades!$U$11,J269),1)*IF(Upgrades!$T$12="Magnetosphere",POWER(Upgrades!$U$12,K269),1))+(IF(I269=0,0,(Upgrades!$G$10+I269*Upgrades!$H$10)*POWER(Upgrades!$I$10,I269)))*(IF(Upgrades!$T$6="Orbital Resonance",POWER(Upgrades!$U$6,E269),1)*IF(Upgrades!$T$7="Orbital Resonance",POWER(Upgrades!$U$7,F269),1)*IF(Upgrades!$T$8="Orbital Resonance",POWER(Upgrades!$U$8,G269),1)*IF(Upgrades!$T$9="Orbital Resonance",POWER(Upgrades!$U$9,H269),1)*IF(Upgrades!$T$11="Orbital Resonance",POWER(Upgrades!$U$11,J269),1)*IF(Upgrades!$T$12="Orbital Resonance",POWER(Upgrades!$U$12,K269),1))+(IF(J269=0,0,(Upgrades!$G$11+J269*Upgrades!$H$11)*POWER(Upgrades!$I$11,J269)))*(IF(Upgrades!$T$6="Heliopause",POWER(Upgrades!$U$6,E269),1)*IF(Upgrades!$T$7="Heliopause",POWER(Upgrades!$U$7,F269),1)*IF(Upgrades!$T$8="Heliopause",POWER(Upgrades!$U$8,G269),1)*IF(Upgrades!$T$9="Heliopause",POWER(Upgrades!$U$9,H269),1)*IF(Upgrades!$T$10="Heliopause",POWER(Upgrades!$U$10,I269),1)*IF(Upgrades!$T$12="Heliopause",POWER(Upgrades!$U$12,K269),1))+(IF(K269=0,0,(Upgrades!$G$12+K269*Upgrades!$H$12)*POWER(Upgrades!$I$12,K269)))*(IF(Upgrades!$T$6="First Photons",POWER(Upgrades!$U$6,E269),1)*IF(Upgrades!$T$7="First Photons",POWER(Upgrades!$U$7,F269),1)*IF(Upgrades!$T$8="First Photons",POWER(Upgrades!$U$8,G269),1)*IF(Upgrades!$T$9="First Photons",POWER(Upgrades!$U$9,H269),1)*IF(Upgrades!$T$10="First Photons",POWER(Upgrades!$U$10,I269),1)*IF(Upgrades!$T$11="First Photons",POWER(Upgrades!$U$11,J269),1)))*POWER(Upgrades!$P$6,E269)*POWER(Upgrades!$P$7,F269)*POWER(Upgrades!$P$8,G269)*POWER(Upgrades!$P$9,H269)*POWER(Upgrades!$P$10,I269)*POWER(Upgrades!$P$11,J269)*POWER(Upgrades!$P$12,K269)</f>
        <v>11.2</v>
      </c>
      <c r="O269" s="28" t="n">
        <f aca="false">((IF(E269=0,0,(Upgrades!$M$6+E269*Upgrades!$N$6)*POWER(Upgrades!$O$6,E269)))*(IF(Upgrades!$T$7="Solar Wind",POWER(Upgrades!$U$7,F269),1)*IF(Upgrades!$T$8="Solar Wind",POWER(Upgrades!$U$8,G269),1)*IF(Upgrades!$T$9="Solar Wind",POWER(Upgrades!$U$9,H269),1)*IF(Upgrades!$T$10="Solar Wind",POWER(Upgrades!$U$10,I269),1)*IF(Upgrades!$T$11="Solar Wind",POWER(Upgrades!$U$11,J269),1)*IF(Upgrades!$T$12="Solar Wind",POWER(Upgrades!$U$12,K269),1))+(IF(F269=0,0,(Upgrades!$M$7+F269*Upgrades!$N$7)*POWER(Upgrades!$O$7,F269)))*(IF(Upgrades!$T$6="Asteroid Belt",POWER(Upgrades!$U$6,E269),1)*IF(Upgrades!$T$8="Asteroid Belt",POWER(Upgrades!$U$8,G269),1)*IF(Upgrades!$T$9="Asteroid Belt",POWER(Upgrades!$U$9,H269),1)*IF(Upgrades!$T$10="Asteroid Belt",POWER(Upgrades!$U$10,I269),1)*IF(Upgrades!$T$11="Asteroid Belt",POWER(Upgrades!$U$11,J269),1)*IF(Upgrades!$T$12="Asteroid Belt",POWER(Upgrades!$U$12,K269),1))+(IF(G269=0,0,(Upgrades!$M$8+G269*Upgrades!$N$8)*POWER(Upgrades!$O$8,G269)))*(IF(Upgrades!$T$6="Stellar Coupling",POWER(Upgrades!$U$6,E269),1)*IF(Upgrades!$T$7="Stellar Coupling",POWER(Upgrades!$U$7,F269),1)*IF(Upgrades!$T$9="Stellar Coupling",POWER(Upgrades!$U$9,H269),1)*IF(Upgrades!$T$10="Stellar Coupling",POWER(Upgrades!$U$10,I269),1)*IF(Upgrades!$T$11="Stellar Coupling",POWER(Upgrades!$U$11,J269),1)*IF(Upgrades!$T$12="Stellar Coupling",POWER(Upgrades!$U$12,K269),1))+(IF(H269=0,0,(Upgrades!$M$9+H269*Upgrades!$N$9)*POWER(Upgrades!$O$9,H269)))*(IF(Upgrades!$T$6="Magnetosphere",POWER(Upgrades!$U$6,E269),1)*IF(Upgrades!$T$7="Magnetosphere",POWER(Upgrades!$U$7,F269),1)*IF(Upgrades!$T$8="Magnetosphere",POWER(Upgrades!$U$8,G269),1)*IF(Upgrades!$T$10="Magnetosphere",POWER(Upgrades!$U$10,I269),1)*IF(Upgrades!$T$11="Magnetosphere",POWER(Upgrades!$U$11,J269),1)*IF(Upgrades!$T$12="Magnetosphere",POWER(Upgrades!$U$12,K269),1))+(IF(I269=0,0,(Upgrades!$M$10+I269*Upgrades!$N$10)*POWER(Upgrades!$O$10,I269)))*(IF(Upgrades!$T$6="Orbital Resonance",POWER(Upgrades!$U$6,E269),1)*IF(Upgrades!$T$7="Orbital Resonance",POWER(Upgrades!$U$7,F269),1)*IF(Upgrades!$T$8="Orbital Resonance",POWER(Upgrades!$U$8,G269),1)*IF(Upgrades!$T$9="Orbital Resonance",POWER(Upgrades!$U$9,H269),1)*IF(Upgrades!$T$11="Orbital Resonance",POWER(Upgrades!$U$11,J269),1)*IF(Upgrades!$T$12="Orbital Resonance",POWER(Upgrades!$U$12,K269),1))+(IF(J269=0,0,(Upgrades!$M$11+J269*Upgrades!$N$11)*POWER(Upgrades!$O$11,J269)))*(IF(Upgrades!$T$6="Heliopause",POWER(Upgrades!$U$6,E269),1)*IF(Upgrades!$T$7="Heliopause",POWER(Upgrades!$U$7,F269),1)*IF(Upgrades!$T$8="Heliopause",POWER(Upgrades!$U$8,G269),1)*IF(Upgrades!$T$9="Heliopause",POWER(Upgrades!$U$9,H269),1)*IF(Upgrades!$T$10="Heliopause",POWER(Upgrades!$U$10,I269),1)*IF(Upgrades!$T$12="Heliopause",POWER(Upgrades!$U$12,K269),1))+(IF(K269=0,0,(Upgrades!$M$12+K269*Upgrades!$N$12)*POWER(Upgrades!$O$12,K269)))*(IF(Upgrades!$T$6="First Photons",POWER(Upgrades!$U$6,E269),1)*IF(Upgrades!$T$7="First Photons",POWER(Upgrades!$U$7,F269),1)*IF(Upgrades!$T$8="First Photons",POWER(Upgrades!$U$8,G269),1)*IF(Upgrades!$T$9="First Photons",POWER(Upgrades!$U$9,H269),1)*IF(Upgrades!$T$10="First Photons",POWER(Upgrades!$U$10,I269),1)*IF(Upgrades!$T$11="First Photons",POWER(Upgrades!$U$11,J269),1)))*POWER(Upgrades!$R$6,E269)*POWER(Upgrades!$R$7,F269)*POWER(Upgrades!$R$8,G269)*POWER(Upgrades!$R$9,H269)*POWER(Upgrades!$R$10,I269)*POWER(Upgrades!$R$11,J269)*POWER(Upgrades!$R$12,K269)</f>
        <v>0</v>
      </c>
      <c r="P269" s="27" t="n">
        <f aca="false">IF(L269=1,0,M269*Parameters!$B$10/60*Parameters!$B$11*10)</f>
        <v>0</v>
      </c>
      <c r="Q269" s="27" t="n">
        <f aca="false">IF(L269=1,0,O269*M269*10)</f>
        <v>0</v>
      </c>
      <c r="R269" s="27" t="n">
        <f aca="false">IF(L269=1,0,N269*10)</f>
        <v>0</v>
      </c>
      <c r="S269" s="27" t="n">
        <f aca="false">P269+Q269+R269</f>
        <v>0</v>
      </c>
      <c r="T269" s="21" t="n">
        <f aca="false">C269+S269</f>
        <v>18.6730249835055</v>
      </c>
      <c r="U269" s="34" t="str">
        <f aca="false">AX269</f>
        <v/>
      </c>
      <c r="V269" s="21" t="n">
        <f aca="false">IF(U269="",0,IF(U269="transition",0,IF(U269="SW",AG269,IF(U269="AB",AH269,IF(U269="SC",AI269,IF(U269="Mag",AJ269,IF(U269="OR",AK269,IF(U269="HP",AL269,IF(U269="FP",AM269,0)))))))))</f>
        <v>0</v>
      </c>
      <c r="W269" s="27" t="n">
        <f aca="false">IF(U269="OR",Upgrades!$F$10,IF(U269="HP",Upgrades!$F$11,IF(U269="transition",-Parameters!$B$18,0)))</f>
        <v>0</v>
      </c>
      <c r="X269" s="21" t="n">
        <f aca="false">T269-V269</f>
        <v>18.6730249835055</v>
      </c>
      <c r="Y269" s="30" t="n">
        <f aca="false">M269*Parameters!$B$10/60*Parameters!$B$11+O269*M269+N269</f>
        <v>20.55</v>
      </c>
      <c r="Z269" s="35" t="str">
        <f aca="false">IF(U269="transition","→ Tier 2 (Stellar Neighborhood)",IF(U269="FP","First Photons — light begins, system quickens",IF(U269="HP","Heliopause acquired",IF(U269="OR","Orbital Resonance — passive multiplier active",IF(AND(AO269=1,L269=0,AN269&lt;&gt;1),"Cohesion ready (waiting on completionist upgrades)","")))))</f>
        <v/>
      </c>
      <c r="AA269" s="27" t="n">
        <f aca="false">(IF(E269=0,0,(Upgrades!$G$6+E269*Upgrades!$H$6)*POWER(Upgrades!$I$6,E269)))*(IF(Upgrades!$T$7="Solar Wind",POWER(Upgrades!$U$7,F269),1)*IF(Upgrades!$T$8="Solar Wind",POWER(Upgrades!$U$8,G269),1)*IF(Upgrades!$T$9="Solar Wind",POWER(Upgrades!$U$9,H269),1)*IF(Upgrades!$T$10="Solar Wind",POWER(Upgrades!$U$10,I269),1)*IF(Upgrades!$T$11="Solar Wind",POWER(Upgrades!$U$11,J269),1)*IF(Upgrades!$T$12="Solar Wind",POWER(Upgrades!$U$12,K269),1))*POWER(Upgrades!$P$6,E269)*POWER(Upgrades!$P$7,F269)*POWER(Upgrades!$P$8,G269)*POWER(Upgrades!$P$9,H269)*POWER(Upgrades!$P$10,I269)*POWER(Upgrades!$P$11,J269)*POWER(Upgrades!$P$12,K269)*60</f>
        <v>72</v>
      </c>
      <c r="AB269" s="27" t="n">
        <f aca="false">(IF(F269=0,0,(Upgrades!$G$7+F269*Upgrades!$H$7)*POWER(Upgrades!$I$7,F269)))*(IF(Upgrades!$T$6="Asteroid Belt",POWER(Upgrades!$U$6,E269),1)*IF(Upgrades!$T$8="Asteroid Belt",POWER(Upgrades!$U$8,G269),1)*IF(Upgrades!$T$9="Asteroid Belt",POWER(Upgrades!$U$9,H269),1)*IF(Upgrades!$T$10="Asteroid Belt",POWER(Upgrades!$U$10,I269),1)*IF(Upgrades!$T$11="Asteroid Belt",POWER(Upgrades!$U$11,J269),1)*IF(Upgrades!$T$12="Asteroid Belt",POWER(Upgrades!$U$12,K269),1))*POWER(Upgrades!$P$6,E269)*POWER(Upgrades!$P$7,F269)*POWER(Upgrades!$P$8,G269)*POWER(Upgrades!$P$9,H269)*POWER(Upgrades!$P$10,I269)*POWER(Upgrades!$P$11,J269)*POWER(Upgrades!$P$12,K269)*60</f>
        <v>150</v>
      </c>
      <c r="AC269" s="27" t="n">
        <f aca="false">(IF(G269=0,0,(Upgrades!$J$8+G269*Upgrades!$K$8)*POWER(Upgrades!$L$8,G269)))*(IF(Upgrades!$T$6="Stellar Coupling",POWER(Upgrades!$U$6,E269),1)*IF(Upgrades!$T$7="Stellar Coupling",POWER(Upgrades!$U$7,F269),1)*IF(Upgrades!$T$9="Stellar Coupling",POWER(Upgrades!$U$9,H269),1)*IF(Upgrades!$T$10="Stellar Coupling",POWER(Upgrades!$U$10,I269),1)*IF(Upgrades!$T$11="Stellar Coupling",POWER(Upgrades!$U$11,J269),1)*IF(Upgrades!$T$12="Stellar Coupling",POWER(Upgrades!$U$12,K269),1))*POWER(Upgrades!$Q$6,E269)*POWER(Upgrades!$Q$7,F269)*POWER(Upgrades!$Q$8,G269)*POWER(Upgrades!$Q$9,H269)*POWER(Upgrades!$Q$10,I269)*POWER(Upgrades!$Q$11,J269)*POWER(Upgrades!$Q$12,K269)*Parameters!$B$10*Parameters!$B$11</f>
        <v>441</v>
      </c>
      <c r="AD269" s="27" t="n">
        <f aca="false">(IF(H269=0,0,(Upgrades!$G$9+H269*Upgrades!$H$9)*POWER(Upgrades!$I$9,H269)))*(IF(Upgrades!$T$6="Magnetosphere",POWER(Upgrades!$U$6,E269),1)*IF(Upgrades!$T$7="Magnetosphere",POWER(Upgrades!$U$7,F269),1)*IF(Upgrades!$T$8="Magnetosphere",POWER(Upgrades!$U$8,G269),1)*IF(Upgrades!$T$10="Magnetosphere",POWER(Upgrades!$U$10,I269),1)*IF(Upgrades!$T$11="Magnetosphere",POWER(Upgrades!$U$11,J269),1)*IF(Upgrades!$T$12="Magnetosphere",POWER(Upgrades!$U$12,K269),1))*POWER(Upgrades!$P$6,E269)*POWER(Upgrades!$P$7,F269)*POWER(Upgrades!$P$8,G269)*POWER(Upgrades!$P$9,H269)*POWER(Upgrades!$P$10,I269)*POWER(Upgrades!$P$11,J269)*POWER(Upgrades!$P$12,K269)*60</f>
        <v>375</v>
      </c>
      <c r="AE269" s="27" t="n">
        <f aca="false">(IF(K269=0,0,(Upgrades!$G$12+K269*Upgrades!$H$12)*POWER(Upgrades!$I$12,K269)))*(IF(Upgrades!$T$6="First Photons",POWER(Upgrades!$U$6,E269),1)*IF(Upgrades!$T$7="First Photons",POWER(Upgrades!$U$7,F269),1)*IF(Upgrades!$T$8="First Photons",POWER(Upgrades!$U$8,G269),1)*IF(Upgrades!$T$9="First Photons",POWER(Upgrades!$U$9,H269),1)*IF(Upgrades!$T$10="First Photons",POWER(Upgrades!$U$10,I269),1)*IF(Upgrades!$T$11="First Photons",POWER(Upgrades!$U$11,J269),1))*POWER(Upgrades!$P$6,E269)*POWER(Upgrades!$P$7,F269)*POWER(Upgrades!$P$8,G269)*POWER(Upgrades!$P$9,H269)*POWER(Upgrades!$P$10,I269)*POWER(Upgrades!$P$11,J269)*POWER(Upgrades!$P$12,K269)*60</f>
        <v>75</v>
      </c>
      <c r="AF269" s="27" t="n">
        <f aca="false">Parameters!$B$9*POWER(Upgrades!$Q$6,E269)*POWER(Upgrades!$Q$7,F269)*POWER(Upgrades!$Q$8,G269)*POWER(Upgrades!$Q$9,H269)*POWER(Upgrades!$Q$10,I269)*POWER(Upgrades!$Q$11,J269)*POWER(Upgrades!$Q$12,K269)*(Parameters!$B$10*Parameters!$B$11+O269*60)</f>
        <v>120</v>
      </c>
      <c r="AG269" s="21" t="n">
        <f aca="false">IF(E269&gt;=Upgrades!$E$6,"",Upgrades!$C$6*POWER(Upgrades!$D$6,E269))</f>
        <v>37.4517507383159</v>
      </c>
      <c r="AH269" s="21" t="n">
        <f aca="false">IF(F269&gt;=Upgrades!$E$7,"",Upgrades!$C$7*POWER(Upgrades!$D$7,F269))</f>
        <v>80.9111547141581</v>
      </c>
      <c r="AI269" s="21" t="n">
        <f aca="false">IF(G269&gt;=Upgrades!$E$8,"",Upgrades!$C$8*POWER(Upgrades!$D$8,G269))</f>
        <v>231.9097088</v>
      </c>
      <c r="AJ269" s="21" t="str">
        <f aca="false">IF(H269&gt;=Upgrades!$E$9,"",Upgrades!$C$9*POWER(Upgrades!$D$9,H269))</f>
        <v/>
      </c>
      <c r="AK269" s="21" t="str">
        <f aca="false">IF(I269&gt;=Upgrades!$E$10,"",Upgrades!$C$10*POWER(Upgrades!$D$10,I269))</f>
        <v/>
      </c>
      <c r="AL269" s="21" t="str">
        <f aca="false">IF(J269&gt;=Upgrades!$E$11,"",Upgrades!$C$11*POWER(Upgrades!$D$11,J269))</f>
        <v/>
      </c>
      <c r="AM269" s="21" t="str">
        <f aca="false">IF(K269&gt;=Upgrades!$E$12,"",Upgrades!$C$12*POWER(Upgrades!$D$12,K269))</f>
        <v/>
      </c>
      <c r="AN269" s="26" t="str">
        <f aca="false">IF(AND(D269&gt;=Parameters!$B$18,(H269&gt;=Upgrades!$E$9)*(K269&gt;=Upgrades!$E$12)=1,L269=0),1,"")</f>
        <v/>
      </c>
      <c r="AO269" s="26" t="str">
        <f aca="false">IF(AND(D269&gt;=Parameters!$B$18,L269=0),1,"")</f>
        <v/>
      </c>
      <c r="AP269" s="21" t="n">
        <f aca="false">MIN(IF(ISNUMBER(AK269),AK269,9000000000000000),IF(ISNUMBER(AL269),AL269,9000000000000000),IF(ISNUMBER(AM269),AM269,9000000000000000))</f>
        <v>9000000000000000</v>
      </c>
      <c r="AQ269" s="21" t="n">
        <f aca="false">MIN(IF(ISNUMBER(AG269),AG269,9000000000000000),IF(ISNUMBER(AH269),AH269,9000000000000000),IF(ISNUMBER(AI269),AI269,9000000000000000),IF(ISNUMBER(AJ269),AJ269,9000000000000000))</f>
        <v>37.4517507383159</v>
      </c>
      <c r="AR269" s="32" t="b">
        <f aca="false">IF(AW269&gt;Parameters!$B$21*(MAX(IF(AND(NOT(AND(AO269=1,AN269&lt;&gt;1)),ISNUMBER(AG269),AG269&lt;=T269),AS269,0),IF(AND(NOT(AND(AO269=1,AN269&lt;&gt;1)),ISNUMBER(AH269),AH269&lt;=T269),AT269,0),IF(AND(NOT(AND(AO269=1,AN269&lt;&gt;1)),ISNUMBER(AI269),AI269&lt;=T269),AU269,0),IF(AND(ISNUMBER(AJ269),AJ269&lt;=T269),AV269,0))),TRUE(),FALSE())</f>
        <v>1</v>
      </c>
      <c r="AS269" s="33" t="n">
        <f aca="false">IFERROR(Upgrades!$H$6*(POWER(Upgrades!$P$6,E269)*POWER(Upgrades!$P$7,F269)*POWER(Upgrades!$P$8,G269)*POWER(Upgrades!$P$9,H269)*POWER(Upgrades!$P$10,I269)*POWER(Upgrades!$P$11,J269)*POWER(Upgrades!$P$12,K269))*(IF(Upgrades!$T$7="Solar Wind",POWER(Upgrades!$U$7,F269),1)*IF(Upgrades!$T$8="Solar Wind",POWER(Upgrades!$U$8,G269),1)*IF(Upgrades!$T$9="Solar Wind",POWER(Upgrades!$U$9,H269),1)*IF(Upgrades!$T$10="Solar Wind",POWER(Upgrades!$U$10,I269),1)*IF(Upgrades!$T$11="Solar Wind",POWER(Upgrades!$U$11,J269),1)*IF(Upgrades!$T$12="Solar Wind",POWER(Upgrades!$U$12,K269),1))/AG269,0)</f>
        <v>0.0026701021455238</v>
      </c>
      <c r="AT269" s="33" t="n">
        <f aca="false">IFERROR(Upgrades!$H$7*(POWER(Upgrades!$P$6,E269)*POWER(Upgrades!$P$7,F269)*POWER(Upgrades!$P$8,G269)*POWER(Upgrades!$P$9,H269)*POWER(Upgrades!$P$10,I269)*POWER(Upgrades!$P$11,J269)*POWER(Upgrades!$P$12,K269))*(IF(Upgrades!$T$6="Asteroid Belt",POWER(Upgrades!$U$6,E269),1)*IF(Upgrades!$T$8="Asteroid Belt",POWER(Upgrades!$U$8,G269),1)*IF(Upgrades!$T$9="Asteroid Belt",POWER(Upgrades!$U$9,H269),1)*IF(Upgrades!$T$10="Asteroid Belt",POWER(Upgrades!$U$10,I269),1)*IF(Upgrades!$T$11="Asteroid Belt",POWER(Upgrades!$U$11,J269),1)*IF(Upgrades!$T$12="Asteroid Belt",POWER(Upgrades!$U$12,K269),1))/AH269,0)</f>
        <v>0.00308980882652332</v>
      </c>
      <c r="AU269" s="33" t="n">
        <f aca="false">IFERROR(Upgrades!$K$8*(POWER(Upgrades!$Q$6,E269)*POWER(Upgrades!$Q$7,F269)*POWER(Upgrades!$Q$8,G269)*POWER(Upgrades!$Q$9,H269)*POWER(Upgrades!$Q$10,I269)*POWER(Upgrades!$Q$11,J269)*POWER(Upgrades!$Q$12,K269))*(IF(Upgrades!$T$6="Stellar Coupling",POWER(Upgrades!$U$6,E269),1)*IF(Upgrades!$T$7="Stellar Coupling",POWER(Upgrades!$U$7,F269),1)*IF(Upgrades!$T$9="Stellar Coupling",POWER(Upgrades!$U$9,H269),1)*IF(Upgrades!$T$10="Stellar Coupling",POWER(Upgrades!$U$10,I269),1)*IF(Upgrades!$T$11="Stellar Coupling",POWER(Upgrades!$U$11,J269),1)*IF(Upgrades!$T$12="Stellar Coupling",POWER(Upgrades!$U$12,K269),1))*Parameters!$B$10*Parameters!$B$11/60/AI269,0)</f>
        <v>0.00452762415783776</v>
      </c>
      <c r="AV269" s="33" t="n">
        <f aca="false">IFERROR(Upgrades!$H$9*(POWER(Upgrades!$P$6,E269)*POWER(Upgrades!$P$7,F269)*POWER(Upgrades!$P$8,G269)*POWER(Upgrades!$P$9,H269)*POWER(Upgrades!$P$10,I269)*POWER(Upgrades!$P$11,J269)*POWER(Upgrades!$P$12,K269))*(IF(Upgrades!$T$6="Magnetosphere",POWER(Upgrades!$U$6,E269),1)*IF(Upgrades!$T$7="Magnetosphere",POWER(Upgrades!$U$7,F269),1)*IF(Upgrades!$T$8="Magnetosphere",POWER(Upgrades!$U$8,G269),1)*IF(Upgrades!$T$10="Magnetosphere",POWER(Upgrades!$U$10,I269),1)*IF(Upgrades!$T$11="Magnetosphere",POWER(Upgrades!$U$11,J269),1)*IF(Upgrades!$T$12="Magnetosphere",POWER(Upgrades!$U$12,K269),1))/AJ269,0)</f>
        <v>0</v>
      </c>
      <c r="AW269" s="33" t="n">
        <f aca="false">MAX(IF(I269&gt;0,0,IFERROR(0.25*N269/Upgrades!$C$10,0)),IF(J269&gt;0,0,IFERROR(0.5*((IF(G269=0,0,(Upgrades!$J$8+G269*Upgrades!$K$8)*POWER(Upgrades!$L$8,G269)))*(IF(Upgrades!$T$6="Stellar Coupling",POWER(Upgrades!$U$6,E269),1)*IF(Upgrades!$T$7="Stellar Coupling",POWER(Upgrades!$U$7,F269),1)*IF(Upgrades!$T$9="Stellar Coupling",POWER(Upgrades!$U$9,H269),1)*IF(Upgrades!$T$10="Stellar Coupling",POWER(Upgrades!$U$10,I269),1)*IF(Upgrades!$T$11="Stellar Coupling",POWER(Upgrades!$U$11,J269),1)*IF(Upgrades!$T$12="Stellar Coupling",POWER(Upgrades!$U$12,K269),1))*(POWER(Upgrades!$Q$6,E269)*POWER(Upgrades!$Q$7,F269)*POWER(Upgrades!$Q$8,G269)*POWER(Upgrades!$Q$9,H269)*POWER(Upgrades!$Q$10,I269)*POWER(Upgrades!$Q$11,J269)*POWER(Upgrades!$Q$12,K269))*Parameters!$B$10*Parameters!$B$11/60)/Upgrades!$C$11,0)),IF(K269&gt;0,0,IFERROR((1*(POWER(Upgrades!$P$6,E269)*POWER(Upgrades!$P$7,F269)*POWER(Upgrades!$P$8,G269)*POWER(Upgrades!$P$9,H269)*POWER(Upgrades!$P$10,I269)*POWER(Upgrades!$P$11,J269)*POWER(Upgrades!$P$12,K269))+0.2*M269*Parameters!$B$10*Parameters!$B$11/60)/Upgrades!$C$12,0)),IF(AND(ISNUMBER(AG269),AG269&gt;T269),AS269,0),IF(AND(ISNUMBER(AH269),AH269&gt;T269),AT269,0),IF(AND(ISNUMBER(AI269),AI269&gt;T269),AU269,0),IF(AND(ISNUMBER(AJ269),AJ269&gt;T269),AV269,0))</f>
        <v>0.00452762415783776</v>
      </c>
      <c r="AX269" s="29" t="str">
        <f aca="false">IF(AN269=1,"transition",IF(MIN(IF(AND(I269=0,ISNUMBER(AK269),AK269&lt;=T269),AK269,9000000000000000),IF(AND(J269=0,ISNUMBER(AL269),AL269&lt;=T269),AL269,9000000000000000),IF(AND(K269=0,ISNUMBER(AM269),AM269&lt;=T269),AM269,9000000000000000))&lt;9000000000000000,IF(AND(AND(I269=0,ISNUMBER(AK269),AK269&lt;=T269),AK269=MIN(IF(AND(I269=0,ISNUMBER(AK269),AK269&lt;=T269),AK269,9000000000000000),IF(AND(J269=0,ISNUMBER(AL269),AL269&lt;=T269),AL269,9000000000000000),IF(AND(K269=0,ISNUMBER(AM269),AM269&lt;=T269),AM269,9000000000000000))),"OR",IF(AND(AND(J269=0,ISNUMBER(AL269),AL269&lt;=T269),AL269=MIN(IF(AND(I269=0,ISNUMBER(AK269),AK269&lt;=T269),AK269,9000000000000000),IF(AND(J269=0,ISNUMBER(AL269),AL269&lt;=T269),AL269,9000000000000000),IF(AND(K269=0,ISNUMBER(AM269),AM269&lt;=T269),AM269,9000000000000000))),"HP","FP")),IF(AR269=TRUE(),"",IF(MAX(IF(AND(NOT(AND(AO269=1,AN269&lt;&gt;1)),ISNUMBER(AG269),AG269&lt;=T269),AS269,0),IF(AND(NOT(AND(AO269=1,AN269&lt;&gt;1)),ISNUMBER(AH269),AH269&lt;=T269),AT269,0),IF(AND(NOT(AND(AO269=1,AN269&lt;&gt;1)),ISNUMBER(AI269),AI269&lt;=T269),AU269,0),IF(AND(ISNUMBER(AJ269),AJ269&lt;=T269),AV269,0))&lt;=0,"",IF(AND(IF(AND(NOT(AND(AO269=1,AN269&lt;&gt;1)),ISNUMBER(AG269),AG269&lt;=T269),AS269,0)&gt;0,IF(AND(NOT(AND(AO269=1,AN269&lt;&gt;1)),ISNUMBER(AG269),AG269&lt;=T269),AS269,0)=MAX(IF(AND(NOT(AND(AO269=1,AN269&lt;&gt;1)),ISNUMBER(AG269),AG269&lt;=T269),AS269,0),IF(AND(NOT(AND(AO269=1,AN269&lt;&gt;1)),ISNUMBER(AH269),AH269&lt;=T269),AT269,0),IF(AND(NOT(AND(AO269=1,AN269&lt;&gt;1)),ISNUMBER(AI269),AI269&lt;=T269),AU269,0),IF(AND(ISNUMBER(AJ269),AJ269&lt;=T269),AV269,0))),"SW",IF(AND(IF(AND(NOT(AND(AO269=1,AN269&lt;&gt;1)),ISNUMBER(AH269),AH269&lt;=T269),AT269,0)&gt;0,IF(AND(NOT(AND(AO269=1,AN269&lt;&gt;1)),ISNUMBER(AH269),AH269&lt;=T269),AT269,0)=MAX(IF(AND(NOT(AND(AO269=1,AN269&lt;&gt;1)),ISNUMBER(AG269),AG269&lt;=T269),AS269,0),IF(AND(NOT(AND(AO269=1,AN269&lt;&gt;1)),ISNUMBER(AH269),AH269&lt;=T269),AT269,0),IF(AND(NOT(AND(AO269=1,AN269&lt;&gt;1)),ISNUMBER(AI269),AI269&lt;=T269),AU269,0),IF(AND(ISNUMBER(AJ269),AJ269&lt;=T269),AV269,0))),"AB",IF(AND(IF(AND(NOT(AND(AO269=1,AN269&lt;&gt;1)),ISNUMBER(AI269),AI269&lt;=T269),AU269,0)&gt;0,IF(AND(NOT(AND(AO269=1,AN269&lt;&gt;1)),ISNUMBER(AI269),AI269&lt;=T269),AU269,0)=MAX(IF(AND(NOT(AND(AO269=1,AN269&lt;&gt;1)),ISNUMBER(AG269),AG269&lt;=T269),AS269,0),IF(AND(NOT(AND(AO269=1,AN269&lt;&gt;1)),ISNUMBER(AH269),AH269&lt;=T269),AT269,0),IF(AND(NOT(AND(AO269=1,AN269&lt;&gt;1)),ISNUMBER(AI269),AI269&lt;=T269),AU269,0),IF(AND(ISNUMBER(AJ269),AJ269&lt;=T269),AV269,0))),"SC","Mag")))))))</f>
        <v/>
      </c>
    </row>
    <row r="270" customFormat="false" ht="15" hidden="false" customHeight="false" outlineLevel="0" collapsed="false">
      <c r="A270" s="26" t="n">
        <v>265</v>
      </c>
      <c r="B270" s="27" t="n">
        <f aca="false">A270*10/60</f>
        <v>44.1666666666667</v>
      </c>
      <c r="C270" s="21" t="n">
        <f aca="false">X269</f>
        <v>18.6730249835055</v>
      </c>
      <c r="D270" s="27" t="n">
        <f aca="false">D269+W269</f>
        <v>0</v>
      </c>
      <c r="E270" s="26" t="n">
        <f aca="false">E269+IF(U269="SW",1,0)</f>
        <v>12</v>
      </c>
      <c r="F270" s="26" t="n">
        <f aca="false">F269+IF(U269="AB",1,0)</f>
        <v>10</v>
      </c>
      <c r="G270" s="26" t="n">
        <f aca="false">G269+IF(U269="SC",1,0)</f>
        <v>7</v>
      </c>
      <c r="H270" s="26" t="n">
        <f aca="false">H269+IF(U269="Mag",1,0)</f>
        <v>5</v>
      </c>
      <c r="I270" s="26" t="n">
        <f aca="false">MAX(I269,IF(U269="OR",1,0))</f>
        <v>1</v>
      </c>
      <c r="J270" s="26" t="n">
        <f aca="false">MAX(J269,IF(U269="HP",1,0))</f>
        <v>1</v>
      </c>
      <c r="K270" s="26" t="n">
        <f aca="false">MAX(K269,IF(U269="FP",1,0))</f>
        <v>1</v>
      </c>
      <c r="L270" s="26" t="n">
        <f aca="false">MAX(L269,IF(U269="transition",1,0))</f>
        <v>1</v>
      </c>
      <c r="M270" s="28" t="n">
        <f aca="false">(Parameters!$B$9+(IF(E270=0,0,(Upgrades!$J$6+E270*Upgrades!$K$6)*POWER(Upgrades!$L$6,E270)))*(IF(Upgrades!$T$7="Solar Wind",POWER(Upgrades!$U$7,F270),1)*IF(Upgrades!$T$8="Solar Wind",POWER(Upgrades!$U$8,G270),1)*IF(Upgrades!$T$9="Solar Wind",POWER(Upgrades!$U$9,H270),1)*IF(Upgrades!$T$10="Solar Wind",POWER(Upgrades!$U$10,I270),1)*IF(Upgrades!$T$11="Solar Wind",POWER(Upgrades!$U$11,J270),1)*IF(Upgrades!$T$12="Solar Wind",POWER(Upgrades!$U$12,K270),1))+(IF(F270=0,0,(Upgrades!$J$7+F270*Upgrades!$K$7)*POWER(Upgrades!$L$7,F270)))*(IF(Upgrades!$T$6="Asteroid Belt",POWER(Upgrades!$U$6,E270),1)*IF(Upgrades!$T$8="Asteroid Belt",POWER(Upgrades!$U$8,G270),1)*IF(Upgrades!$T$9="Asteroid Belt",POWER(Upgrades!$U$9,H270),1)*IF(Upgrades!$T$10="Asteroid Belt",POWER(Upgrades!$U$10,I270),1)*IF(Upgrades!$T$11="Asteroid Belt",POWER(Upgrades!$U$11,J270),1)*IF(Upgrades!$T$12="Asteroid Belt",POWER(Upgrades!$U$12,K270),1))+(IF(G270=0,0,(Upgrades!$J$8+G270*Upgrades!$K$8)*POWER(Upgrades!$L$8,G270)))*(IF(Upgrades!$T$6="Stellar Coupling",POWER(Upgrades!$U$6,E270),1)*IF(Upgrades!$T$7="Stellar Coupling",POWER(Upgrades!$U$7,F270),1)*IF(Upgrades!$T$9="Stellar Coupling",POWER(Upgrades!$U$9,H270),1)*IF(Upgrades!$T$10="Stellar Coupling",POWER(Upgrades!$U$10,I270),1)*IF(Upgrades!$T$11="Stellar Coupling",POWER(Upgrades!$U$11,J270),1)*IF(Upgrades!$T$12="Stellar Coupling",POWER(Upgrades!$U$12,K270),1))+(IF(H270=0,0,(Upgrades!$J$9+H270*Upgrades!$K$9)*POWER(Upgrades!$L$9,H270)))*(IF(Upgrades!$T$6="Magnetosphere",POWER(Upgrades!$U$6,E270),1)*IF(Upgrades!$T$7="Magnetosphere",POWER(Upgrades!$U$7,F270),1)*IF(Upgrades!$T$8="Magnetosphere",POWER(Upgrades!$U$8,G270),1)*IF(Upgrades!$T$10="Magnetosphere",POWER(Upgrades!$U$10,I270),1)*IF(Upgrades!$T$11="Magnetosphere",POWER(Upgrades!$U$11,J270),1)*IF(Upgrades!$T$12="Magnetosphere",POWER(Upgrades!$U$12,K270),1))+(IF(I270=0,0,(Upgrades!$J$10+I270*Upgrades!$K$10)*POWER(Upgrades!$L$10,I270)))*(IF(Upgrades!$T$6="Orbital Resonance",POWER(Upgrades!$U$6,E270),1)*IF(Upgrades!$T$7="Orbital Resonance",POWER(Upgrades!$U$7,F270),1)*IF(Upgrades!$T$8="Orbital Resonance",POWER(Upgrades!$U$8,G270),1)*IF(Upgrades!$T$9="Orbital Resonance",POWER(Upgrades!$U$9,H270),1)*IF(Upgrades!$T$11="Orbital Resonance",POWER(Upgrades!$U$11,J270),1)*IF(Upgrades!$T$12="Orbital Resonance",POWER(Upgrades!$U$12,K270),1))+(IF(J270=0,0,(Upgrades!$J$11+J270*Upgrades!$K$11)*POWER(Upgrades!$L$11,J270)))*(IF(Upgrades!$T$6="Heliopause",POWER(Upgrades!$U$6,E270),1)*IF(Upgrades!$T$7="Heliopause",POWER(Upgrades!$U$7,F270),1)*IF(Upgrades!$T$8="Heliopause",POWER(Upgrades!$U$8,G270),1)*IF(Upgrades!$T$9="Heliopause",POWER(Upgrades!$U$9,H270),1)*IF(Upgrades!$T$10="Heliopause",POWER(Upgrades!$U$10,I270),1)*IF(Upgrades!$T$12="Heliopause",POWER(Upgrades!$U$12,K270),1))+(IF(K270=0,0,(Upgrades!$J$12+K270*Upgrades!$K$12)*POWER(Upgrades!$L$12,K270)))*(IF(Upgrades!$T$6="First Photons",POWER(Upgrades!$U$6,E270),1)*IF(Upgrades!$T$7="First Photons",POWER(Upgrades!$U$7,F270),1)*IF(Upgrades!$T$8="First Photons",POWER(Upgrades!$U$8,G270),1)*IF(Upgrades!$T$9="First Photons",POWER(Upgrades!$U$9,H270),1)*IF(Upgrades!$T$10="First Photons",POWER(Upgrades!$U$10,I270),1)*IF(Upgrades!$T$11="First Photons",POWER(Upgrades!$U$11,J270),1)))*POWER(Upgrades!$Q$6,E270)*POWER(Upgrades!$Q$7,F270)*POWER(Upgrades!$Q$8,G270)*POWER(Upgrades!$Q$9,H270)*POWER(Upgrades!$Q$10,I270)*POWER(Upgrades!$Q$11,J270)*POWER(Upgrades!$Q$12,K270)</f>
        <v>5.61</v>
      </c>
      <c r="N270" s="28" t="n">
        <f aca="false">((IF(E270=0,0,(Upgrades!$G$6+E270*Upgrades!$H$6)*POWER(Upgrades!$I$6,E270)))*(IF(Upgrades!$T$7="Solar Wind",POWER(Upgrades!$U$7,F270),1)*IF(Upgrades!$T$8="Solar Wind",POWER(Upgrades!$U$8,G270),1)*IF(Upgrades!$T$9="Solar Wind",POWER(Upgrades!$U$9,H270),1)*IF(Upgrades!$T$10="Solar Wind",POWER(Upgrades!$U$10,I270),1)*IF(Upgrades!$T$11="Solar Wind",POWER(Upgrades!$U$11,J270),1)*IF(Upgrades!$T$12="Solar Wind",POWER(Upgrades!$U$12,K270),1))+(IF(F270=0,0,(Upgrades!$G$7+F270*Upgrades!$H$7)*POWER(Upgrades!$I$7,F270)))*(IF(Upgrades!$T$6="Asteroid Belt",POWER(Upgrades!$U$6,E270),1)*IF(Upgrades!$T$8="Asteroid Belt",POWER(Upgrades!$U$8,G270),1)*IF(Upgrades!$T$9="Asteroid Belt",POWER(Upgrades!$U$9,H270),1)*IF(Upgrades!$T$10="Asteroid Belt",POWER(Upgrades!$U$10,I270),1)*IF(Upgrades!$T$11="Asteroid Belt",POWER(Upgrades!$U$11,J270),1)*IF(Upgrades!$T$12="Asteroid Belt",POWER(Upgrades!$U$12,K270),1))+(IF(G270=0,0,(Upgrades!$G$8+G270*Upgrades!$H$8)*POWER(Upgrades!$I$8,G270)))*(IF(Upgrades!$T$6="Stellar Coupling",POWER(Upgrades!$U$6,E270),1)*IF(Upgrades!$T$7="Stellar Coupling",POWER(Upgrades!$U$7,F270),1)*IF(Upgrades!$T$9="Stellar Coupling",POWER(Upgrades!$U$9,H270),1)*IF(Upgrades!$T$10="Stellar Coupling",POWER(Upgrades!$U$10,I270),1)*IF(Upgrades!$T$11="Stellar Coupling",POWER(Upgrades!$U$11,J270),1)*IF(Upgrades!$T$12="Stellar Coupling",POWER(Upgrades!$U$12,K270),1))+(IF(H270=0,0,(Upgrades!$G$9+H270*Upgrades!$H$9)*POWER(Upgrades!$I$9,H270)))*(IF(Upgrades!$T$6="Magnetosphere",POWER(Upgrades!$U$6,E270),1)*IF(Upgrades!$T$7="Magnetosphere",POWER(Upgrades!$U$7,F270),1)*IF(Upgrades!$T$8="Magnetosphere",POWER(Upgrades!$U$8,G270),1)*IF(Upgrades!$T$10="Magnetosphere",POWER(Upgrades!$U$10,I270),1)*IF(Upgrades!$T$11="Magnetosphere",POWER(Upgrades!$U$11,J270),1)*IF(Upgrades!$T$12="Magnetosphere",POWER(Upgrades!$U$12,K270),1))+(IF(I270=0,0,(Upgrades!$G$10+I270*Upgrades!$H$10)*POWER(Upgrades!$I$10,I270)))*(IF(Upgrades!$T$6="Orbital Resonance",POWER(Upgrades!$U$6,E270),1)*IF(Upgrades!$T$7="Orbital Resonance",POWER(Upgrades!$U$7,F270),1)*IF(Upgrades!$T$8="Orbital Resonance",POWER(Upgrades!$U$8,G270),1)*IF(Upgrades!$T$9="Orbital Resonance",POWER(Upgrades!$U$9,H270),1)*IF(Upgrades!$T$11="Orbital Resonance",POWER(Upgrades!$U$11,J270),1)*IF(Upgrades!$T$12="Orbital Resonance",POWER(Upgrades!$U$12,K270),1))+(IF(J270=0,0,(Upgrades!$G$11+J270*Upgrades!$H$11)*POWER(Upgrades!$I$11,J270)))*(IF(Upgrades!$T$6="Heliopause",POWER(Upgrades!$U$6,E270),1)*IF(Upgrades!$T$7="Heliopause",POWER(Upgrades!$U$7,F270),1)*IF(Upgrades!$T$8="Heliopause",POWER(Upgrades!$U$8,G270),1)*IF(Upgrades!$T$9="Heliopause",POWER(Upgrades!$U$9,H270),1)*IF(Upgrades!$T$10="Heliopause",POWER(Upgrades!$U$10,I270),1)*IF(Upgrades!$T$12="Heliopause",POWER(Upgrades!$U$12,K270),1))+(IF(K270=0,0,(Upgrades!$G$12+K270*Upgrades!$H$12)*POWER(Upgrades!$I$12,K270)))*(IF(Upgrades!$T$6="First Photons",POWER(Upgrades!$U$6,E270),1)*IF(Upgrades!$T$7="First Photons",POWER(Upgrades!$U$7,F270),1)*IF(Upgrades!$T$8="First Photons",POWER(Upgrades!$U$8,G270),1)*IF(Upgrades!$T$9="First Photons",POWER(Upgrades!$U$9,H270),1)*IF(Upgrades!$T$10="First Photons",POWER(Upgrades!$U$10,I270),1)*IF(Upgrades!$T$11="First Photons",POWER(Upgrades!$U$11,J270),1)))*POWER(Upgrades!$P$6,E270)*POWER(Upgrades!$P$7,F270)*POWER(Upgrades!$P$8,G270)*POWER(Upgrades!$P$9,H270)*POWER(Upgrades!$P$10,I270)*POWER(Upgrades!$P$11,J270)*POWER(Upgrades!$P$12,K270)</f>
        <v>11.2</v>
      </c>
      <c r="O270" s="28" t="n">
        <f aca="false">((IF(E270=0,0,(Upgrades!$M$6+E270*Upgrades!$N$6)*POWER(Upgrades!$O$6,E270)))*(IF(Upgrades!$T$7="Solar Wind",POWER(Upgrades!$U$7,F270),1)*IF(Upgrades!$T$8="Solar Wind",POWER(Upgrades!$U$8,G270),1)*IF(Upgrades!$T$9="Solar Wind",POWER(Upgrades!$U$9,H270),1)*IF(Upgrades!$T$10="Solar Wind",POWER(Upgrades!$U$10,I270),1)*IF(Upgrades!$T$11="Solar Wind",POWER(Upgrades!$U$11,J270),1)*IF(Upgrades!$T$12="Solar Wind",POWER(Upgrades!$U$12,K270),1))+(IF(F270=0,0,(Upgrades!$M$7+F270*Upgrades!$N$7)*POWER(Upgrades!$O$7,F270)))*(IF(Upgrades!$T$6="Asteroid Belt",POWER(Upgrades!$U$6,E270),1)*IF(Upgrades!$T$8="Asteroid Belt",POWER(Upgrades!$U$8,G270),1)*IF(Upgrades!$T$9="Asteroid Belt",POWER(Upgrades!$U$9,H270),1)*IF(Upgrades!$T$10="Asteroid Belt",POWER(Upgrades!$U$10,I270),1)*IF(Upgrades!$T$11="Asteroid Belt",POWER(Upgrades!$U$11,J270),1)*IF(Upgrades!$T$12="Asteroid Belt",POWER(Upgrades!$U$12,K270),1))+(IF(G270=0,0,(Upgrades!$M$8+G270*Upgrades!$N$8)*POWER(Upgrades!$O$8,G270)))*(IF(Upgrades!$T$6="Stellar Coupling",POWER(Upgrades!$U$6,E270),1)*IF(Upgrades!$T$7="Stellar Coupling",POWER(Upgrades!$U$7,F270),1)*IF(Upgrades!$T$9="Stellar Coupling",POWER(Upgrades!$U$9,H270),1)*IF(Upgrades!$T$10="Stellar Coupling",POWER(Upgrades!$U$10,I270),1)*IF(Upgrades!$T$11="Stellar Coupling",POWER(Upgrades!$U$11,J270),1)*IF(Upgrades!$T$12="Stellar Coupling",POWER(Upgrades!$U$12,K270),1))+(IF(H270=0,0,(Upgrades!$M$9+H270*Upgrades!$N$9)*POWER(Upgrades!$O$9,H270)))*(IF(Upgrades!$T$6="Magnetosphere",POWER(Upgrades!$U$6,E270),1)*IF(Upgrades!$T$7="Magnetosphere",POWER(Upgrades!$U$7,F270),1)*IF(Upgrades!$T$8="Magnetosphere",POWER(Upgrades!$U$8,G270),1)*IF(Upgrades!$T$10="Magnetosphere",POWER(Upgrades!$U$10,I270),1)*IF(Upgrades!$T$11="Magnetosphere",POWER(Upgrades!$U$11,J270),1)*IF(Upgrades!$T$12="Magnetosphere",POWER(Upgrades!$U$12,K270),1))+(IF(I270=0,0,(Upgrades!$M$10+I270*Upgrades!$N$10)*POWER(Upgrades!$O$10,I270)))*(IF(Upgrades!$T$6="Orbital Resonance",POWER(Upgrades!$U$6,E270),1)*IF(Upgrades!$T$7="Orbital Resonance",POWER(Upgrades!$U$7,F270),1)*IF(Upgrades!$T$8="Orbital Resonance",POWER(Upgrades!$U$8,G270),1)*IF(Upgrades!$T$9="Orbital Resonance",POWER(Upgrades!$U$9,H270),1)*IF(Upgrades!$T$11="Orbital Resonance",POWER(Upgrades!$U$11,J270),1)*IF(Upgrades!$T$12="Orbital Resonance",POWER(Upgrades!$U$12,K270),1))+(IF(J270=0,0,(Upgrades!$M$11+J270*Upgrades!$N$11)*POWER(Upgrades!$O$11,J270)))*(IF(Upgrades!$T$6="Heliopause",POWER(Upgrades!$U$6,E270),1)*IF(Upgrades!$T$7="Heliopause",POWER(Upgrades!$U$7,F270),1)*IF(Upgrades!$T$8="Heliopause",POWER(Upgrades!$U$8,G270),1)*IF(Upgrades!$T$9="Heliopause",POWER(Upgrades!$U$9,H270),1)*IF(Upgrades!$T$10="Heliopause",POWER(Upgrades!$U$10,I270),1)*IF(Upgrades!$T$12="Heliopause",POWER(Upgrades!$U$12,K270),1))+(IF(K270=0,0,(Upgrades!$M$12+K270*Upgrades!$N$12)*POWER(Upgrades!$O$12,K270)))*(IF(Upgrades!$T$6="First Photons",POWER(Upgrades!$U$6,E270),1)*IF(Upgrades!$T$7="First Photons",POWER(Upgrades!$U$7,F270),1)*IF(Upgrades!$T$8="First Photons",POWER(Upgrades!$U$8,G270),1)*IF(Upgrades!$T$9="First Photons",POWER(Upgrades!$U$9,H270),1)*IF(Upgrades!$T$10="First Photons",POWER(Upgrades!$U$10,I270),1)*IF(Upgrades!$T$11="First Photons",POWER(Upgrades!$U$11,J270),1)))*POWER(Upgrades!$R$6,E270)*POWER(Upgrades!$R$7,F270)*POWER(Upgrades!$R$8,G270)*POWER(Upgrades!$R$9,H270)*POWER(Upgrades!$R$10,I270)*POWER(Upgrades!$R$11,J270)*POWER(Upgrades!$R$12,K270)</f>
        <v>0</v>
      </c>
      <c r="P270" s="27" t="n">
        <f aca="false">IF(L270=1,0,M270*Parameters!$B$10/60*Parameters!$B$11*10)</f>
        <v>0</v>
      </c>
      <c r="Q270" s="27" t="n">
        <f aca="false">IF(L270=1,0,O270*M270*10)</f>
        <v>0</v>
      </c>
      <c r="R270" s="27" t="n">
        <f aca="false">IF(L270=1,0,N270*10)</f>
        <v>0</v>
      </c>
      <c r="S270" s="27" t="n">
        <f aca="false">P270+Q270+R270</f>
        <v>0</v>
      </c>
      <c r="T270" s="21" t="n">
        <f aca="false">C270+S270</f>
        <v>18.6730249835055</v>
      </c>
      <c r="U270" s="34" t="str">
        <f aca="false">AX270</f>
        <v/>
      </c>
      <c r="V270" s="21" t="n">
        <f aca="false">IF(U270="",0,IF(U270="transition",0,IF(U270="SW",AG270,IF(U270="AB",AH270,IF(U270="SC",AI270,IF(U270="Mag",AJ270,IF(U270="OR",AK270,IF(U270="HP",AL270,IF(U270="FP",AM270,0)))))))))</f>
        <v>0</v>
      </c>
      <c r="W270" s="27" t="n">
        <f aca="false">IF(U270="OR",Upgrades!$F$10,IF(U270="HP",Upgrades!$F$11,IF(U270="transition",-Parameters!$B$18,0)))</f>
        <v>0</v>
      </c>
      <c r="X270" s="21" t="n">
        <f aca="false">T270-V270</f>
        <v>18.6730249835055</v>
      </c>
      <c r="Y270" s="30" t="n">
        <f aca="false">M270*Parameters!$B$10/60*Parameters!$B$11+O270*M270+N270</f>
        <v>20.55</v>
      </c>
      <c r="Z270" s="35" t="str">
        <f aca="false">IF(U270="transition","→ Tier 2 (Stellar Neighborhood)",IF(U270="FP","First Photons — light begins, system quickens",IF(U270="HP","Heliopause acquired",IF(U270="OR","Orbital Resonance — passive multiplier active",IF(AND(AO270=1,L270=0,AN270&lt;&gt;1),"Cohesion ready (waiting on completionist upgrades)","")))))</f>
        <v/>
      </c>
      <c r="AA270" s="27" t="n">
        <f aca="false">(IF(E270=0,0,(Upgrades!$G$6+E270*Upgrades!$H$6)*POWER(Upgrades!$I$6,E270)))*(IF(Upgrades!$T$7="Solar Wind",POWER(Upgrades!$U$7,F270),1)*IF(Upgrades!$T$8="Solar Wind",POWER(Upgrades!$U$8,G270),1)*IF(Upgrades!$T$9="Solar Wind",POWER(Upgrades!$U$9,H270),1)*IF(Upgrades!$T$10="Solar Wind",POWER(Upgrades!$U$10,I270),1)*IF(Upgrades!$T$11="Solar Wind",POWER(Upgrades!$U$11,J270),1)*IF(Upgrades!$T$12="Solar Wind",POWER(Upgrades!$U$12,K270),1))*POWER(Upgrades!$P$6,E270)*POWER(Upgrades!$P$7,F270)*POWER(Upgrades!$P$8,G270)*POWER(Upgrades!$P$9,H270)*POWER(Upgrades!$P$10,I270)*POWER(Upgrades!$P$11,J270)*POWER(Upgrades!$P$12,K270)*60</f>
        <v>72</v>
      </c>
      <c r="AB270" s="27" t="n">
        <f aca="false">(IF(F270=0,0,(Upgrades!$G$7+F270*Upgrades!$H$7)*POWER(Upgrades!$I$7,F270)))*(IF(Upgrades!$T$6="Asteroid Belt",POWER(Upgrades!$U$6,E270),1)*IF(Upgrades!$T$8="Asteroid Belt",POWER(Upgrades!$U$8,G270),1)*IF(Upgrades!$T$9="Asteroid Belt",POWER(Upgrades!$U$9,H270),1)*IF(Upgrades!$T$10="Asteroid Belt",POWER(Upgrades!$U$10,I270),1)*IF(Upgrades!$T$11="Asteroid Belt",POWER(Upgrades!$U$11,J270),1)*IF(Upgrades!$T$12="Asteroid Belt",POWER(Upgrades!$U$12,K270),1))*POWER(Upgrades!$P$6,E270)*POWER(Upgrades!$P$7,F270)*POWER(Upgrades!$P$8,G270)*POWER(Upgrades!$P$9,H270)*POWER(Upgrades!$P$10,I270)*POWER(Upgrades!$P$11,J270)*POWER(Upgrades!$P$12,K270)*60</f>
        <v>150</v>
      </c>
      <c r="AC270" s="27" t="n">
        <f aca="false">(IF(G270=0,0,(Upgrades!$J$8+G270*Upgrades!$K$8)*POWER(Upgrades!$L$8,G270)))*(IF(Upgrades!$T$6="Stellar Coupling",POWER(Upgrades!$U$6,E270),1)*IF(Upgrades!$T$7="Stellar Coupling",POWER(Upgrades!$U$7,F270),1)*IF(Upgrades!$T$9="Stellar Coupling",POWER(Upgrades!$U$9,H270),1)*IF(Upgrades!$T$10="Stellar Coupling",POWER(Upgrades!$U$10,I270),1)*IF(Upgrades!$T$11="Stellar Coupling",POWER(Upgrades!$U$11,J270),1)*IF(Upgrades!$T$12="Stellar Coupling",POWER(Upgrades!$U$12,K270),1))*POWER(Upgrades!$Q$6,E270)*POWER(Upgrades!$Q$7,F270)*POWER(Upgrades!$Q$8,G270)*POWER(Upgrades!$Q$9,H270)*POWER(Upgrades!$Q$10,I270)*POWER(Upgrades!$Q$11,J270)*POWER(Upgrades!$Q$12,K270)*Parameters!$B$10*Parameters!$B$11</f>
        <v>441</v>
      </c>
      <c r="AD270" s="27" t="n">
        <f aca="false">(IF(H270=0,0,(Upgrades!$G$9+H270*Upgrades!$H$9)*POWER(Upgrades!$I$9,H270)))*(IF(Upgrades!$T$6="Magnetosphere",POWER(Upgrades!$U$6,E270),1)*IF(Upgrades!$T$7="Magnetosphere",POWER(Upgrades!$U$7,F270),1)*IF(Upgrades!$T$8="Magnetosphere",POWER(Upgrades!$U$8,G270),1)*IF(Upgrades!$T$10="Magnetosphere",POWER(Upgrades!$U$10,I270),1)*IF(Upgrades!$T$11="Magnetosphere",POWER(Upgrades!$U$11,J270),1)*IF(Upgrades!$T$12="Magnetosphere",POWER(Upgrades!$U$12,K270),1))*POWER(Upgrades!$P$6,E270)*POWER(Upgrades!$P$7,F270)*POWER(Upgrades!$P$8,G270)*POWER(Upgrades!$P$9,H270)*POWER(Upgrades!$P$10,I270)*POWER(Upgrades!$P$11,J270)*POWER(Upgrades!$P$12,K270)*60</f>
        <v>375</v>
      </c>
      <c r="AE270" s="27" t="n">
        <f aca="false">(IF(K270=0,0,(Upgrades!$G$12+K270*Upgrades!$H$12)*POWER(Upgrades!$I$12,K270)))*(IF(Upgrades!$T$6="First Photons",POWER(Upgrades!$U$6,E270),1)*IF(Upgrades!$T$7="First Photons",POWER(Upgrades!$U$7,F270),1)*IF(Upgrades!$T$8="First Photons",POWER(Upgrades!$U$8,G270),1)*IF(Upgrades!$T$9="First Photons",POWER(Upgrades!$U$9,H270),1)*IF(Upgrades!$T$10="First Photons",POWER(Upgrades!$U$10,I270),1)*IF(Upgrades!$T$11="First Photons",POWER(Upgrades!$U$11,J270),1))*POWER(Upgrades!$P$6,E270)*POWER(Upgrades!$P$7,F270)*POWER(Upgrades!$P$8,G270)*POWER(Upgrades!$P$9,H270)*POWER(Upgrades!$P$10,I270)*POWER(Upgrades!$P$11,J270)*POWER(Upgrades!$P$12,K270)*60</f>
        <v>75</v>
      </c>
      <c r="AF270" s="27" t="n">
        <f aca="false">Parameters!$B$9*POWER(Upgrades!$Q$6,E270)*POWER(Upgrades!$Q$7,F270)*POWER(Upgrades!$Q$8,G270)*POWER(Upgrades!$Q$9,H270)*POWER(Upgrades!$Q$10,I270)*POWER(Upgrades!$Q$11,J270)*POWER(Upgrades!$Q$12,K270)*(Parameters!$B$10*Parameters!$B$11+O270*60)</f>
        <v>120</v>
      </c>
      <c r="AG270" s="21" t="n">
        <f aca="false">IF(E270&gt;=Upgrades!$E$6,"",Upgrades!$C$6*POWER(Upgrades!$D$6,E270))</f>
        <v>37.4517507383159</v>
      </c>
      <c r="AH270" s="21" t="n">
        <f aca="false">IF(F270&gt;=Upgrades!$E$7,"",Upgrades!$C$7*POWER(Upgrades!$D$7,F270))</f>
        <v>80.9111547141581</v>
      </c>
      <c r="AI270" s="21" t="n">
        <f aca="false">IF(G270&gt;=Upgrades!$E$8,"",Upgrades!$C$8*POWER(Upgrades!$D$8,G270))</f>
        <v>231.9097088</v>
      </c>
      <c r="AJ270" s="21" t="str">
        <f aca="false">IF(H270&gt;=Upgrades!$E$9,"",Upgrades!$C$9*POWER(Upgrades!$D$9,H270))</f>
        <v/>
      </c>
      <c r="AK270" s="21" t="str">
        <f aca="false">IF(I270&gt;=Upgrades!$E$10,"",Upgrades!$C$10*POWER(Upgrades!$D$10,I270))</f>
        <v/>
      </c>
      <c r="AL270" s="21" t="str">
        <f aca="false">IF(J270&gt;=Upgrades!$E$11,"",Upgrades!$C$11*POWER(Upgrades!$D$11,J270))</f>
        <v/>
      </c>
      <c r="AM270" s="21" t="str">
        <f aca="false">IF(K270&gt;=Upgrades!$E$12,"",Upgrades!$C$12*POWER(Upgrades!$D$12,K270))</f>
        <v/>
      </c>
      <c r="AN270" s="26" t="str">
        <f aca="false">IF(AND(D270&gt;=Parameters!$B$18,(H270&gt;=Upgrades!$E$9)*(K270&gt;=Upgrades!$E$12)=1,L270=0),1,"")</f>
        <v/>
      </c>
      <c r="AO270" s="26" t="str">
        <f aca="false">IF(AND(D270&gt;=Parameters!$B$18,L270=0),1,"")</f>
        <v/>
      </c>
      <c r="AP270" s="21" t="n">
        <f aca="false">MIN(IF(ISNUMBER(AK270),AK270,9000000000000000),IF(ISNUMBER(AL270),AL270,9000000000000000),IF(ISNUMBER(AM270),AM270,9000000000000000))</f>
        <v>9000000000000000</v>
      </c>
      <c r="AQ270" s="21" t="n">
        <f aca="false">MIN(IF(ISNUMBER(AG270),AG270,9000000000000000),IF(ISNUMBER(AH270),AH270,9000000000000000),IF(ISNUMBER(AI270),AI270,9000000000000000),IF(ISNUMBER(AJ270),AJ270,9000000000000000))</f>
        <v>37.4517507383159</v>
      </c>
      <c r="AR270" s="32" t="b">
        <f aca="false">IF(AW270&gt;Parameters!$B$21*(MAX(IF(AND(NOT(AND(AO270=1,AN270&lt;&gt;1)),ISNUMBER(AG270),AG270&lt;=T270),AS270,0),IF(AND(NOT(AND(AO270=1,AN270&lt;&gt;1)),ISNUMBER(AH270),AH270&lt;=T270),AT270,0),IF(AND(NOT(AND(AO270=1,AN270&lt;&gt;1)),ISNUMBER(AI270),AI270&lt;=T270),AU270,0),IF(AND(ISNUMBER(AJ270),AJ270&lt;=T270),AV270,0))),TRUE(),FALSE())</f>
        <v>1</v>
      </c>
      <c r="AS270" s="33" t="n">
        <f aca="false">IFERROR(Upgrades!$H$6*(POWER(Upgrades!$P$6,E270)*POWER(Upgrades!$P$7,F270)*POWER(Upgrades!$P$8,G270)*POWER(Upgrades!$P$9,H270)*POWER(Upgrades!$P$10,I270)*POWER(Upgrades!$P$11,J270)*POWER(Upgrades!$P$12,K270))*(IF(Upgrades!$T$7="Solar Wind",POWER(Upgrades!$U$7,F270),1)*IF(Upgrades!$T$8="Solar Wind",POWER(Upgrades!$U$8,G270),1)*IF(Upgrades!$T$9="Solar Wind",POWER(Upgrades!$U$9,H270),1)*IF(Upgrades!$T$10="Solar Wind",POWER(Upgrades!$U$10,I270),1)*IF(Upgrades!$T$11="Solar Wind",POWER(Upgrades!$U$11,J270),1)*IF(Upgrades!$T$12="Solar Wind",POWER(Upgrades!$U$12,K270),1))/AG270,0)</f>
        <v>0.0026701021455238</v>
      </c>
      <c r="AT270" s="33" t="n">
        <f aca="false">IFERROR(Upgrades!$H$7*(POWER(Upgrades!$P$6,E270)*POWER(Upgrades!$P$7,F270)*POWER(Upgrades!$P$8,G270)*POWER(Upgrades!$P$9,H270)*POWER(Upgrades!$P$10,I270)*POWER(Upgrades!$P$11,J270)*POWER(Upgrades!$P$12,K270))*(IF(Upgrades!$T$6="Asteroid Belt",POWER(Upgrades!$U$6,E270),1)*IF(Upgrades!$T$8="Asteroid Belt",POWER(Upgrades!$U$8,G270),1)*IF(Upgrades!$T$9="Asteroid Belt",POWER(Upgrades!$U$9,H270),1)*IF(Upgrades!$T$10="Asteroid Belt",POWER(Upgrades!$U$10,I270),1)*IF(Upgrades!$T$11="Asteroid Belt",POWER(Upgrades!$U$11,J270),1)*IF(Upgrades!$T$12="Asteroid Belt",POWER(Upgrades!$U$12,K270),1))/AH270,0)</f>
        <v>0.00308980882652332</v>
      </c>
      <c r="AU270" s="33" t="n">
        <f aca="false">IFERROR(Upgrades!$K$8*(POWER(Upgrades!$Q$6,E270)*POWER(Upgrades!$Q$7,F270)*POWER(Upgrades!$Q$8,G270)*POWER(Upgrades!$Q$9,H270)*POWER(Upgrades!$Q$10,I270)*POWER(Upgrades!$Q$11,J270)*POWER(Upgrades!$Q$12,K270))*(IF(Upgrades!$T$6="Stellar Coupling",POWER(Upgrades!$U$6,E270),1)*IF(Upgrades!$T$7="Stellar Coupling",POWER(Upgrades!$U$7,F270),1)*IF(Upgrades!$T$9="Stellar Coupling",POWER(Upgrades!$U$9,H270),1)*IF(Upgrades!$T$10="Stellar Coupling",POWER(Upgrades!$U$10,I270),1)*IF(Upgrades!$T$11="Stellar Coupling",POWER(Upgrades!$U$11,J270),1)*IF(Upgrades!$T$12="Stellar Coupling",POWER(Upgrades!$U$12,K270),1))*Parameters!$B$10*Parameters!$B$11/60/AI270,0)</f>
        <v>0.00452762415783776</v>
      </c>
      <c r="AV270" s="33" t="n">
        <f aca="false">IFERROR(Upgrades!$H$9*(POWER(Upgrades!$P$6,E270)*POWER(Upgrades!$P$7,F270)*POWER(Upgrades!$P$8,G270)*POWER(Upgrades!$P$9,H270)*POWER(Upgrades!$P$10,I270)*POWER(Upgrades!$P$11,J270)*POWER(Upgrades!$P$12,K270))*(IF(Upgrades!$T$6="Magnetosphere",POWER(Upgrades!$U$6,E270),1)*IF(Upgrades!$T$7="Magnetosphere",POWER(Upgrades!$U$7,F270),1)*IF(Upgrades!$T$8="Magnetosphere",POWER(Upgrades!$U$8,G270),1)*IF(Upgrades!$T$10="Magnetosphere",POWER(Upgrades!$U$10,I270),1)*IF(Upgrades!$T$11="Magnetosphere",POWER(Upgrades!$U$11,J270),1)*IF(Upgrades!$T$12="Magnetosphere",POWER(Upgrades!$U$12,K270),1))/AJ270,0)</f>
        <v>0</v>
      </c>
      <c r="AW270" s="33" t="n">
        <f aca="false">MAX(IF(I270&gt;0,0,IFERROR(0.25*N270/Upgrades!$C$10,0)),IF(J270&gt;0,0,IFERROR(0.5*((IF(G270=0,0,(Upgrades!$J$8+G270*Upgrades!$K$8)*POWER(Upgrades!$L$8,G270)))*(IF(Upgrades!$T$6="Stellar Coupling",POWER(Upgrades!$U$6,E270),1)*IF(Upgrades!$T$7="Stellar Coupling",POWER(Upgrades!$U$7,F270),1)*IF(Upgrades!$T$9="Stellar Coupling",POWER(Upgrades!$U$9,H270),1)*IF(Upgrades!$T$10="Stellar Coupling",POWER(Upgrades!$U$10,I270),1)*IF(Upgrades!$T$11="Stellar Coupling",POWER(Upgrades!$U$11,J270),1)*IF(Upgrades!$T$12="Stellar Coupling",POWER(Upgrades!$U$12,K270),1))*(POWER(Upgrades!$Q$6,E270)*POWER(Upgrades!$Q$7,F270)*POWER(Upgrades!$Q$8,G270)*POWER(Upgrades!$Q$9,H270)*POWER(Upgrades!$Q$10,I270)*POWER(Upgrades!$Q$11,J270)*POWER(Upgrades!$Q$12,K270))*Parameters!$B$10*Parameters!$B$11/60)/Upgrades!$C$11,0)),IF(K270&gt;0,0,IFERROR((1*(POWER(Upgrades!$P$6,E270)*POWER(Upgrades!$P$7,F270)*POWER(Upgrades!$P$8,G270)*POWER(Upgrades!$P$9,H270)*POWER(Upgrades!$P$10,I270)*POWER(Upgrades!$P$11,J270)*POWER(Upgrades!$P$12,K270))+0.2*M270*Parameters!$B$10*Parameters!$B$11/60)/Upgrades!$C$12,0)),IF(AND(ISNUMBER(AG270),AG270&gt;T270),AS270,0),IF(AND(ISNUMBER(AH270),AH270&gt;T270),AT270,0),IF(AND(ISNUMBER(AI270),AI270&gt;T270),AU270,0),IF(AND(ISNUMBER(AJ270),AJ270&gt;T270),AV270,0))</f>
        <v>0.00452762415783776</v>
      </c>
      <c r="AX270" s="29" t="str">
        <f aca="false">IF(AN270=1,"transition",IF(MIN(IF(AND(I270=0,ISNUMBER(AK270),AK270&lt;=T270),AK270,9000000000000000),IF(AND(J270=0,ISNUMBER(AL270),AL270&lt;=T270),AL270,9000000000000000),IF(AND(K270=0,ISNUMBER(AM270),AM270&lt;=T270),AM270,9000000000000000))&lt;9000000000000000,IF(AND(AND(I270=0,ISNUMBER(AK270),AK270&lt;=T270),AK270=MIN(IF(AND(I270=0,ISNUMBER(AK270),AK270&lt;=T270),AK270,9000000000000000),IF(AND(J270=0,ISNUMBER(AL270),AL270&lt;=T270),AL270,9000000000000000),IF(AND(K270=0,ISNUMBER(AM270),AM270&lt;=T270),AM270,9000000000000000))),"OR",IF(AND(AND(J270=0,ISNUMBER(AL270),AL270&lt;=T270),AL270=MIN(IF(AND(I270=0,ISNUMBER(AK270),AK270&lt;=T270),AK270,9000000000000000),IF(AND(J270=0,ISNUMBER(AL270),AL270&lt;=T270),AL270,9000000000000000),IF(AND(K270=0,ISNUMBER(AM270),AM270&lt;=T270),AM270,9000000000000000))),"HP","FP")),IF(AR270=TRUE(),"",IF(MAX(IF(AND(NOT(AND(AO270=1,AN270&lt;&gt;1)),ISNUMBER(AG270),AG270&lt;=T270),AS270,0),IF(AND(NOT(AND(AO270=1,AN270&lt;&gt;1)),ISNUMBER(AH270),AH270&lt;=T270),AT270,0),IF(AND(NOT(AND(AO270=1,AN270&lt;&gt;1)),ISNUMBER(AI270),AI270&lt;=T270),AU270,0),IF(AND(ISNUMBER(AJ270),AJ270&lt;=T270),AV270,0))&lt;=0,"",IF(AND(IF(AND(NOT(AND(AO270=1,AN270&lt;&gt;1)),ISNUMBER(AG270),AG270&lt;=T270),AS270,0)&gt;0,IF(AND(NOT(AND(AO270=1,AN270&lt;&gt;1)),ISNUMBER(AG270),AG270&lt;=T270),AS270,0)=MAX(IF(AND(NOT(AND(AO270=1,AN270&lt;&gt;1)),ISNUMBER(AG270),AG270&lt;=T270),AS270,0),IF(AND(NOT(AND(AO270=1,AN270&lt;&gt;1)),ISNUMBER(AH270),AH270&lt;=T270),AT270,0),IF(AND(NOT(AND(AO270=1,AN270&lt;&gt;1)),ISNUMBER(AI270),AI270&lt;=T270),AU270,0),IF(AND(ISNUMBER(AJ270),AJ270&lt;=T270),AV270,0))),"SW",IF(AND(IF(AND(NOT(AND(AO270=1,AN270&lt;&gt;1)),ISNUMBER(AH270),AH270&lt;=T270),AT270,0)&gt;0,IF(AND(NOT(AND(AO270=1,AN270&lt;&gt;1)),ISNUMBER(AH270),AH270&lt;=T270),AT270,0)=MAX(IF(AND(NOT(AND(AO270=1,AN270&lt;&gt;1)),ISNUMBER(AG270),AG270&lt;=T270),AS270,0),IF(AND(NOT(AND(AO270=1,AN270&lt;&gt;1)),ISNUMBER(AH270),AH270&lt;=T270),AT270,0),IF(AND(NOT(AND(AO270=1,AN270&lt;&gt;1)),ISNUMBER(AI270),AI270&lt;=T270),AU270,0),IF(AND(ISNUMBER(AJ270),AJ270&lt;=T270),AV270,0))),"AB",IF(AND(IF(AND(NOT(AND(AO270=1,AN270&lt;&gt;1)),ISNUMBER(AI270),AI270&lt;=T270),AU270,0)&gt;0,IF(AND(NOT(AND(AO270=1,AN270&lt;&gt;1)),ISNUMBER(AI270),AI270&lt;=T270),AU270,0)=MAX(IF(AND(NOT(AND(AO270=1,AN270&lt;&gt;1)),ISNUMBER(AG270),AG270&lt;=T270),AS270,0),IF(AND(NOT(AND(AO270=1,AN270&lt;&gt;1)),ISNUMBER(AH270),AH270&lt;=T270),AT270,0),IF(AND(NOT(AND(AO270=1,AN270&lt;&gt;1)),ISNUMBER(AI270),AI270&lt;=T270),AU270,0),IF(AND(ISNUMBER(AJ270),AJ270&lt;=T270),AV270,0))),"SC","Mag")))))))</f>
        <v/>
      </c>
    </row>
    <row r="271" customFormat="false" ht="15" hidden="false" customHeight="false" outlineLevel="0" collapsed="false">
      <c r="A271" s="26" t="n">
        <v>266</v>
      </c>
      <c r="B271" s="27" t="n">
        <f aca="false">A271*10/60</f>
        <v>44.3333333333333</v>
      </c>
      <c r="C271" s="21" t="n">
        <f aca="false">X270</f>
        <v>18.6730249835055</v>
      </c>
      <c r="D271" s="27" t="n">
        <f aca="false">D270+W270</f>
        <v>0</v>
      </c>
      <c r="E271" s="26" t="n">
        <f aca="false">E270+IF(U270="SW",1,0)</f>
        <v>12</v>
      </c>
      <c r="F271" s="26" t="n">
        <f aca="false">F270+IF(U270="AB",1,0)</f>
        <v>10</v>
      </c>
      <c r="G271" s="26" t="n">
        <f aca="false">G270+IF(U270="SC",1,0)</f>
        <v>7</v>
      </c>
      <c r="H271" s="26" t="n">
        <f aca="false">H270+IF(U270="Mag",1,0)</f>
        <v>5</v>
      </c>
      <c r="I271" s="26" t="n">
        <f aca="false">MAX(I270,IF(U270="OR",1,0))</f>
        <v>1</v>
      </c>
      <c r="J271" s="26" t="n">
        <f aca="false">MAX(J270,IF(U270="HP",1,0))</f>
        <v>1</v>
      </c>
      <c r="K271" s="26" t="n">
        <f aca="false">MAX(K270,IF(U270="FP",1,0))</f>
        <v>1</v>
      </c>
      <c r="L271" s="26" t="n">
        <f aca="false">MAX(L270,IF(U270="transition",1,0))</f>
        <v>1</v>
      </c>
      <c r="M271" s="28" t="n">
        <f aca="false">(Parameters!$B$9+(IF(E271=0,0,(Upgrades!$J$6+E271*Upgrades!$K$6)*POWER(Upgrades!$L$6,E271)))*(IF(Upgrades!$T$7="Solar Wind",POWER(Upgrades!$U$7,F271),1)*IF(Upgrades!$T$8="Solar Wind",POWER(Upgrades!$U$8,G271),1)*IF(Upgrades!$T$9="Solar Wind",POWER(Upgrades!$U$9,H271),1)*IF(Upgrades!$T$10="Solar Wind",POWER(Upgrades!$U$10,I271),1)*IF(Upgrades!$T$11="Solar Wind",POWER(Upgrades!$U$11,J271),1)*IF(Upgrades!$T$12="Solar Wind",POWER(Upgrades!$U$12,K271),1))+(IF(F271=0,0,(Upgrades!$J$7+F271*Upgrades!$K$7)*POWER(Upgrades!$L$7,F271)))*(IF(Upgrades!$T$6="Asteroid Belt",POWER(Upgrades!$U$6,E271),1)*IF(Upgrades!$T$8="Asteroid Belt",POWER(Upgrades!$U$8,G271),1)*IF(Upgrades!$T$9="Asteroid Belt",POWER(Upgrades!$U$9,H271),1)*IF(Upgrades!$T$10="Asteroid Belt",POWER(Upgrades!$U$10,I271),1)*IF(Upgrades!$T$11="Asteroid Belt",POWER(Upgrades!$U$11,J271),1)*IF(Upgrades!$T$12="Asteroid Belt",POWER(Upgrades!$U$12,K271),1))+(IF(G271=0,0,(Upgrades!$J$8+G271*Upgrades!$K$8)*POWER(Upgrades!$L$8,G271)))*(IF(Upgrades!$T$6="Stellar Coupling",POWER(Upgrades!$U$6,E271),1)*IF(Upgrades!$T$7="Stellar Coupling",POWER(Upgrades!$U$7,F271),1)*IF(Upgrades!$T$9="Stellar Coupling",POWER(Upgrades!$U$9,H271),1)*IF(Upgrades!$T$10="Stellar Coupling",POWER(Upgrades!$U$10,I271),1)*IF(Upgrades!$T$11="Stellar Coupling",POWER(Upgrades!$U$11,J271),1)*IF(Upgrades!$T$12="Stellar Coupling",POWER(Upgrades!$U$12,K271),1))+(IF(H271=0,0,(Upgrades!$J$9+H271*Upgrades!$K$9)*POWER(Upgrades!$L$9,H271)))*(IF(Upgrades!$T$6="Magnetosphere",POWER(Upgrades!$U$6,E271),1)*IF(Upgrades!$T$7="Magnetosphere",POWER(Upgrades!$U$7,F271),1)*IF(Upgrades!$T$8="Magnetosphere",POWER(Upgrades!$U$8,G271),1)*IF(Upgrades!$T$10="Magnetosphere",POWER(Upgrades!$U$10,I271),1)*IF(Upgrades!$T$11="Magnetosphere",POWER(Upgrades!$U$11,J271),1)*IF(Upgrades!$T$12="Magnetosphere",POWER(Upgrades!$U$12,K271),1))+(IF(I271=0,0,(Upgrades!$J$10+I271*Upgrades!$K$10)*POWER(Upgrades!$L$10,I271)))*(IF(Upgrades!$T$6="Orbital Resonance",POWER(Upgrades!$U$6,E271),1)*IF(Upgrades!$T$7="Orbital Resonance",POWER(Upgrades!$U$7,F271),1)*IF(Upgrades!$T$8="Orbital Resonance",POWER(Upgrades!$U$8,G271),1)*IF(Upgrades!$T$9="Orbital Resonance",POWER(Upgrades!$U$9,H271),1)*IF(Upgrades!$T$11="Orbital Resonance",POWER(Upgrades!$U$11,J271),1)*IF(Upgrades!$T$12="Orbital Resonance",POWER(Upgrades!$U$12,K271),1))+(IF(J271=0,0,(Upgrades!$J$11+J271*Upgrades!$K$11)*POWER(Upgrades!$L$11,J271)))*(IF(Upgrades!$T$6="Heliopause",POWER(Upgrades!$U$6,E271),1)*IF(Upgrades!$T$7="Heliopause",POWER(Upgrades!$U$7,F271),1)*IF(Upgrades!$T$8="Heliopause",POWER(Upgrades!$U$8,G271),1)*IF(Upgrades!$T$9="Heliopause",POWER(Upgrades!$U$9,H271),1)*IF(Upgrades!$T$10="Heliopause",POWER(Upgrades!$U$10,I271),1)*IF(Upgrades!$T$12="Heliopause",POWER(Upgrades!$U$12,K271),1))+(IF(K271=0,0,(Upgrades!$J$12+K271*Upgrades!$K$12)*POWER(Upgrades!$L$12,K271)))*(IF(Upgrades!$T$6="First Photons",POWER(Upgrades!$U$6,E271),1)*IF(Upgrades!$T$7="First Photons",POWER(Upgrades!$U$7,F271),1)*IF(Upgrades!$T$8="First Photons",POWER(Upgrades!$U$8,G271),1)*IF(Upgrades!$T$9="First Photons",POWER(Upgrades!$U$9,H271),1)*IF(Upgrades!$T$10="First Photons",POWER(Upgrades!$U$10,I271),1)*IF(Upgrades!$T$11="First Photons",POWER(Upgrades!$U$11,J271),1)))*POWER(Upgrades!$Q$6,E271)*POWER(Upgrades!$Q$7,F271)*POWER(Upgrades!$Q$8,G271)*POWER(Upgrades!$Q$9,H271)*POWER(Upgrades!$Q$10,I271)*POWER(Upgrades!$Q$11,J271)*POWER(Upgrades!$Q$12,K271)</f>
        <v>5.61</v>
      </c>
      <c r="N271" s="28" t="n">
        <f aca="false">((IF(E271=0,0,(Upgrades!$G$6+E271*Upgrades!$H$6)*POWER(Upgrades!$I$6,E271)))*(IF(Upgrades!$T$7="Solar Wind",POWER(Upgrades!$U$7,F271),1)*IF(Upgrades!$T$8="Solar Wind",POWER(Upgrades!$U$8,G271),1)*IF(Upgrades!$T$9="Solar Wind",POWER(Upgrades!$U$9,H271),1)*IF(Upgrades!$T$10="Solar Wind",POWER(Upgrades!$U$10,I271),1)*IF(Upgrades!$T$11="Solar Wind",POWER(Upgrades!$U$11,J271),1)*IF(Upgrades!$T$12="Solar Wind",POWER(Upgrades!$U$12,K271),1))+(IF(F271=0,0,(Upgrades!$G$7+F271*Upgrades!$H$7)*POWER(Upgrades!$I$7,F271)))*(IF(Upgrades!$T$6="Asteroid Belt",POWER(Upgrades!$U$6,E271),1)*IF(Upgrades!$T$8="Asteroid Belt",POWER(Upgrades!$U$8,G271),1)*IF(Upgrades!$T$9="Asteroid Belt",POWER(Upgrades!$U$9,H271),1)*IF(Upgrades!$T$10="Asteroid Belt",POWER(Upgrades!$U$10,I271),1)*IF(Upgrades!$T$11="Asteroid Belt",POWER(Upgrades!$U$11,J271),1)*IF(Upgrades!$T$12="Asteroid Belt",POWER(Upgrades!$U$12,K271),1))+(IF(G271=0,0,(Upgrades!$G$8+G271*Upgrades!$H$8)*POWER(Upgrades!$I$8,G271)))*(IF(Upgrades!$T$6="Stellar Coupling",POWER(Upgrades!$U$6,E271),1)*IF(Upgrades!$T$7="Stellar Coupling",POWER(Upgrades!$U$7,F271),1)*IF(Upgrades!$T$9="Stellar Coupling",POWER(Upgrades!$U$9,H271),1)*IF(Upgrades!$T$10="Stellar Coupling",POWER(Upgrades!$U$10,I271),1)*IF(Upgrades!$T$11="Stellar Coupling",POWER(Upgrades!$U$11,J271),1)*IF(Upgrades!$T$12="Stellar Coupling",POWER(Upgrades!$U$12,K271),1))+(IF(H271=0,0,(Upgrades!$G$9+H271*Upgrades!$H$9)*POWER(Upgrades!$I$9,H271)))*(IF(Upgrades!$T$6="Magnetosphere",POWER(Upgrades!$U$6,E271),1)*IF(Upgrades!$T$7="Magnetosphere",POWER(Upgrades!$U$7,F271),1)*IF(Upgrades!$T$8="Magnetosphere",POWER(Upgrades!$U$8,G271),1)*IF(Upgrades!$T$10="Magnetosphere",POWER(Upgrades!$U$10,I271),1)*IF(Upgrades!$T$11="Magnetosphere",POWER(Upgrades!$U$11,J271),1)*IF(Upgrades!$T$12="Magnetosphere",POWER(Upgrades!$U$12,K271),1))+(IF(I271=0,0,(Upgrades!$G$10+I271*Upgrades!$H$10)*POWER(Upgrades!$I$10,I271)))*(IF(Upgrades!$T$6="Orbital Resonance",POWER(Upgrades!$U$6,E271),1)*IF(Upgrades!$T$7="Orbital Resonance",POWER(Upgrades!$U$7,F271),1)*IF(Upgrades!$T$8="Orbital Resonance",POWER(Upgrades!$U$8,G271),1)*IF(Upgrades!$T$9="Orbital Resonance",POWER(Upgrades!$U$9,H271),1)*IF(Upgrades!$T$11="Orbital Resonance",POWER(Upgrades!$U$11,J271),1)*IF(Upgrades!$T$12="Orbital Resonance",POWER(Upgrades!$U$12,K271),1))+(IF(J271=0,0,(Upgrades!$G$11+J271*Upgrades!$H$11)*POWER(Upgrades!$I$11,J271)))*(IF(Upgrades!$T$6="Heliopause",POWER(Upgrades!$U$6,E271),1)*IF(Upgrades!$T$7="Heliopause",POWER(Upgrades!$U$7,F271),1)*IF(Upgrades!$T$8="Heliopause",POWER(Upgrades!$U$8,G271),1)*IF(Upgrades!$T$9="Heliopause",POWER(Upgrades!$U$9,H271),1)*IF(Upgrades!$T$10="Heliopause",POWER(Upgrades!$U$10,I271),1)*IF(Upgrades!$T$12="Heliopause",POWER(Upgrades!$U$12,K271),1))+(IF(K271=0,0,(Upgrades!$G$12+K271*Upgrades!$H$12)*POWER(Upgrades!$I$12,K271)))*(IF(Upgrades!$T$6="First Photons",POWER(Upgrades!$U$6,E271),1)*IF(Upgrades!$T$7="First Photons",POWER(Upgrades!$U$7,F271),1)*IF(Upgrades!$T$8="First Photons",POWER(Upgrades!$U$8,G271),1)*IF(Upgrades!$T$9="First Photons",POWER(Upgrades!$U$9,H271),1)*IF(Upgrades!$T$10="First Photons",POWER(Upgrades!$U$10,I271),1)*IF(Upgrades!$T$11="First Photons",POWER(Upgrades!$U$11,J271),1)))*POWER(Upgrades!$P$6,E271)*POWER(Upgrades!$P$7,F271)*POWER(Upgrades!$P$8,G271)*POWER(Upgrades!$P$9,H271)*POWER(Upgrades!$P$10,I271)*POWER(Upgrades!$P$11,J271)*POWER(Upgrades!$P$12,K271)</f>
        <v>11.2</v>
      </c>
      <c r="O271" s="28" t="n">
        <f aca="false">((IF(E271=0,0,(Upgrades!$M$6+E271*Upgrades!$N$6)*POWER(Upgrades!$O$6,E271)))*(IF(Upgrades!$T$7="Solar Wind",POWER(Upgrades!$U$7,F271),1)*IF(Upgrades!$T$8="Solar Wind",POWER(Upgrades!$U$8,G271),1)*IF(Upgrades!$T$9="Solar Wind",POWER(Upgrades!$U$9,H271),1)*IF(Upgrades!$T$10="Solar Wind",POWER(Upgrades!$U$10,I271),1)*IF(Upgrades!$T$11="Solar Wind",POWER(Upgrades!$U$11,J271),1)*IF(Upgrades!$T$12="Solar Wind",POWER(Upgrades!$U$12,K271),1))+(IF(F271=0,0,(Upgrades!$M$7+F271*Upgrades!$N$7)*POWER(Upgrades!$O$7,F271)))*(IF(Upgrades!$T$6="Asteroid Belt",POWER(Upgrades!$U$6,E271),1)*IF(Upgrades!$T$8="Asteroid Belt",POWER(Upgrades!$U$8,G271),1)*IF(Upgrades!$T$9="Asteroid Belt",POWER(Upgrades!$U$9,H271),1)*IF(Upgrades!$T$10="Asteroid Belt",POWER(Upgrades!$U$10,I271),1)*IF(Upgrades!$T$11="Asteroid Belt",POWER(Upgrades!$U$11,J271),1)*IF(Upgrades!$T$12="Asteroid Belt",POWER(Upgrades!$U$12,K271),1))+(IF(G271=0,0,(Upgrades!$M$8+G271*Upgrades!$N$8)*POWER(Upgrades!$O$8,G271)))*(IF(Upgrades!$T$6="Stellar Coupling",POWER(Upgrades!$U$6,E271),1)*IF(Upgrades!$T$7="Stellar Coupling",POWER(Upgrades!$U$7,F271),1)*IF(Upgrades!$T$9="Stellar Coupling",POWER(Upgrades!$U$9,H271),1)*IF(Upgrades!$T$10="Stellar Coupling",POWER(Upgrades!$U$10,I271),1)*IF(Upgrades!$T$11="Stellar Coupling",POWER(Upgrades!$U$11,J271),1)*IF(Upgrades!$T$12="Stellar Coupling",POWER(Upgrades!$U$12,K271),1))+(IF(H271=0,0,(Upgrades!$M$9+H271*Upgrades!$N$9)*POWER(Upgrades!$O$9,H271)))*(IF(Upgrades!$T$6="Magnetosphere",POWER(Upgrades!$U$6,E271),1)*IF(Upgrades!$T$7="Magnetosphere",POWER(Upgrades!$U$7,F271),1)*IF(Upgrades!$T$8="Magnetosphere",POWER(Upgrades!$U$8,G271),1)*IF(Upgrades!$T$10="Magnetosphere",POWER(Upgrades!$U$10,I271),1)*IF(Upgrades!$T$11="Magnetosphere",POWER(Upgrades!$U$11,J271),1)*IF(Upgrades!$T$12="Magnetosphere",POWER(Upgrades!$U$12,K271),1))+(IF(I271=0,0,(Upgrades!$M$10+I271*Upgrades!$N$10)*POWER(Upgrades!$O$10,I271)))*(IF(Upgrades!$T$6="Orbital Resonance",POWER(Upgrades!$U$6,E271),1)*IF(Upgrades!$T$7="Orbital Resonance",POWER(Upgrades!$U$7,F271),1)*IF(Upgrades!$T$8="Orbital Resonance",POWER(Upgrades!$U$8,G271),1)*IF(Upgrades!$T$9="Orbital Resonance",POWER(Upgrades!$U$9,H271),1)*IF(Upgrades!$T$11="Orbital Resonance",POWER(Upgrades!$U$11,J271),1)*IF(Upgrades!$T$12="Orbital Resonance",POWER(Upgrades!$U$12,K271),1))+(IF(J271=0,0,(Upgrades!$M$11+J271*Upgrades!$N$11)*POWER(Upgrades!$O$11,J271)))*(IF(Upgrades!$T$6="Heliopause",POWER(Upgrades!$U$6,E271),1)*IF(Upgrades!$T$7="Heliopause",POWER(Upgrades!$U$7,F271),1)*IF(Upgrades!$T$8="Heliopause",POWER(Upgrades!$U$8,G271),1)*IF(Upgrades!$T$9="Heliopause",POWER(Upgrades!$U$9,H271),1)*IF(Upgrades!$T$10="Heliopause",POWER(Upgrades!$U$10,I271),1)*IF(Upgrades!$T$12="Heliopause",POWER(Upgrades!$U$12,K271),1))+(IF(K271=0,0,(Upgrades!$M$12+K271*Upgrades!$N$12)*POWER(Upgrades!$O$12,K271)))*(IF(Upgrades!$T$6="First Photons",POWER(Upgrades!$U$6,E271),1)*IF(Upgrades!$T$7="First Photons",POWER(Upgrades!$U$7,F271),1)*IF(Upgrades!$T$8="First Photons",POWER(Upgrades!$U$8,G271),1)*IF(Upgrades!$T$9="First Photons",POWER(Upgrades!$U$9,H271),1)*IF(Upgrades!$T$10="First Photons",POWER(Upgrades!$U$10,I271),1)*IF(Upgrades!$T$11="First Photons",POWER(Upgrades!$U$11,J271),1)))*POWER(Upgrades!$R$6,E271)*POWER(Upgrades!$R$7,F271)*POWER(Upgrades!$R$8,G271)*POWER(Upgrades!$R$9,H271)*POWER(Upgrades!$R$10,I271)*POWER(Upgrades!$R$11,J271)*POWER(Upgrades!$R$12,K271)</f>
        <v>0</v>
      </c>
      <c r="P271" s="27" t="n">
        <f aca="false">IF(L271=1,0,M271*Parameters!$B$10/60*Parameters!$B$11*10)</f>
        <v>0</v>
      </c>
      <c r="Q271" s="27" t="n">
        <f aca="false">IF(L271=1,0,O271*M271*10)</f>
        <v>0</v>
      </c>
      <c r="R271" s="27" t="n">
        <f aca="false">IF(L271=1,0,N271*10)</f>
        <v>0</v>
      </c>
      <c r="S271" s="27" t="n">
        <f aca="false">P271+Q271+R271</f>
        <v>0</v>
      </c>
      <c r="T271" s="21" t="n">
        <f aca="false">C271+S271</f>
        <v>18.6730249835055</v>
      </c>
      <c r="U271" s="34" t="str">
        <f aca="false">AX271</f>
        <v/>
      </c>
      <c r="V271" s="21" t="n">
        <f aca="false">IF(U271="",0,IF(U271="transition",0,IF(U271="SW",AG271,IF(U271="AB",AH271,IF(U271="SC",AI271,IF(U271="Mag",AJ271,IF(U271="OR",AK271,IF(U271="HP",AL271,IF(U271="FP",AM271,0)))))))))</f>
        <v>0</v>
      </c>
      <c r="W271" s="27" t="n">
        <f aca="false">IF(U271="OR",Upgrades!$F$10,IF(U271="HP",Upgrades!$F$11,IF(U271="transition",-Parameters!$B$18,0)))</f>
        <v>0</v>
      </c>
      <c r="X271" s="21" t="n">
        <f aca="false">T271-V271</f>
        <v>18.6730249835055</v>
      </c>
      <c r="Y271" s="30" t="n">
        <f aca="false">M271*Parameters!$B$10/60*Parameters!$B$11+O271*M271+N271</f>
        <v>20.55</v>
      </c>
      <c r="Z271" s="35" t="str">
        <f aca="false">IF(U271="transition","→ Tier 2 (Stellar Neighborhood)",IF(U271="FP","First Photons — light begins, system quickens",IF(U271="HP","Heliopause acquired",IF(U271="OR","Orbital Resonance — passive multiplier active",IF(AND(AO271=1,L271=0,AN271&lt;&gt;1),"Cohesion ready (waiting on completionist upgrades)","")))))</f>
        <v/>
      </c>
      <c r="AA271" s="27" t="n">
        <f aca="false">(IF(E271=0,0,(Upgrades!$G$6+E271*Upgrades!$H$6)*POWER(Upgrades!$I$6,E271)))*(IF(Upgrades!$T$7="Solar Wind",POWER(Upgrades!$U$7,F271),1)*IF(Upgrades!$T$8="Solar Wind",POWER(Upgrades!$U$8,G271),1)*IF(Upgrades!$T$9="Solar Wind",POWER(Upgrades!$U$9,H271),1)*IF(Upgrades!$T$10="Solar Wind",POWER(Upgrades!$U$10,I271),1)*IF(Upgrades!$T$11="Solar Wind",POWER(Upgrades!$U$11,J271),1)*IF(Upgrades!$T$12="Solar Wind",POWER(Upgrades!$U$12,K271),1))*POWER(Upgrades!$P$6,E271)*POWER(Upgrades!$P$7,F271)*POWER(Upgrades!$P$8,G271)*POWER(Upgrades!$P$9,H271)*POWER(Upgrades!$P$10,I271)*POWER(Upgrades!$P$11,J271)*POWER(Upgrades!$P$12,K271)*60</f>
        <v>72</v>
      </c>
      <c r="AB271" s="27" t="n">
        <f aca="false">(IF(F271=0,0,(Upgrades!$G$7+F271*Upgrades!$H$7)*POWER(Upgrades!$I$7,F271)))*(IF(Upgrades!$T$6="Asteroid Belt",POWER(Upgrades!$U$6,E271),1)*IF(Upgrades!$T$8="Asteroid Belt",POWER(Upgrades!$U$8,G271),1)*IF(Upgrades!$T$9="Asteroid Belt",POWER(Upgrades!$U$9,H271),1)*IF(Upgrades!$T$10="Asteroid Belt",POWER(Upgrades!$U$10,I271),1)*IF(Upgrades!$T$11="Asteroid Belt",POWER(Upgrades!$U$11,J271),1)*IF(Upgrades!$T$12="Asteroid Belt",POWER(Upgrades!$U$12,K271),1))*POWER(Upgrades!$P$6,E271)*POWER(Upgrades!$P$7,F271)*POWER(Upgrades!$P$8,G271)*POWER(Upgrades!$P$9,H271)*POWER(Upgrades!$P$10,I271)*POWER(Upgrades!$P$11,J271)*POWER(Upgrades!$P$12,K271)*60</f>
        <v>150</v>
      </c>
      <c r="AC271" s="27" t="n">
        <f aca="false">(IF(G271=0,0,(Upgrades!$J$8+G271*Upgrades!$K$8)*POWER(Upgrades!$L$8,G271)))*(IF(Upgrades!$T$6="Stellar Coupling",POWER(Upgrades!$U$6,E271),1)*IF(Upgrades!$T$7="Stellar Coupling",POWER(Upgrades!$U$7,F271),1)*IF(Upgrades!$T$9="Stellar Coupling",POWER(Upgrades!$U$9,H271),1)*IF(Upgrades!$T$10="Stellar Coupling",POWER(Upgrades!$U$10,I271),1)*IF(Upgrades!$T$11="Stellar Coupling",POWER(Upgrades!$U$11,J271),1)*IF(Upgrades!$T$12="Stellar Coupling",POWER(Upgrades!$U$12,K271),1))*POWER(Upgrades!$Q$6,E271)*POWER(Upgrades!$Q$7,F271)*POWER(Upgrades!$Q$8,G271)*POWER(Upgrades!$Q$9,H271)*POWER(Upgrades!$Q$10,I271)*POWER(Upgrades!$Q$11,J271)*POWER(Upgrades!$Q$12,K271)*Parameters!$B$10*Parameters!$B$11</f>
        <v>441</v>
      </c>
      <c r="AD271" s="27" t="n">
        <f aca="false">(IF(H271=0,0,(Upgrades!$G$9+H271*Upgrades!$H$9)*POWER(Upgrades!$I$9,H271)))*(IF(Upgrades!$T$6="Magnetosphere",POWER(Upgrades!$U$6,E271),1)*IF(Upgrades!$T$7="Magnetosphere",POWER(Upgrades!$U$7,F271),1)*IF(Upgrades!$T$8="Magnetosphere",POWER(Upgrades!$U$8,G271),1)*IF(Upgrades!$T$10="Magnetosphere",POWER(Upgrades!$U$10,I271),1)*IF(Upgrades!$T$11="Magnetosphere",POWER(Upgrades!$U$11,J271),1)*IF(Upgrades!$T$12="Magnetosphere",POWER(Upgrades!$U$12,K271),1))*POWER(Upgrades!$P$6,E271)*POWER(Upgrades!$P$7,F271)*POWER(Upgrades!$P$8,G271)*POWER(Upgrades!$P$9,H271)*POWER(Upgrades!$P$10,I271)*POWER(Upgrades!$P$11,J271)*POWER(Upgrades!$P$12,K271)*60</f>
        <v>375</v>
      </c>
      <c r="AE271" s="27" t="n">
        <f aca="false">(IF(K271=0,0,(Upgrades!$G$12+K271*Upgrades!$H$12)*POWER(Upgrades!$I$12,K271)))*(IF(Upgrades!$T$6="First Photons",POWER(Upgrades!$U$6,E271),1)*IF(Upgrades!$T$7="First Photons",POWER(Upgrades!$U$7,F271),1)*IF(Upgrades!$T$8="First Photons",POWER(Upgrades!$U$8,G271),1)*IF(Upgrades!$T$9="First Photons",POWER(Upgrades!$U$9,H271),1)*IF(Upgrades!$T$10="First Photons",POWER(Upgrades!$U$10,I271),1)*IF(Upgrades!$T$11="First Photons",POWER(Upgrades!$U$11,J271),1))*POWER(Upgrades!$P$6,E271)*POWER(Upgrades!$P$7,F271)*POWER(Upgrades!$P$8,G271)*POWER(Upgrades!$P$9,H271)*POWER(Upgrades!$P$10,I271)*POWER(Upgrades!$P$11,J271)*POWER(Upgrades!$P$12,K271)*60</f>
        <v>75</v>
      </c>
      <c r="AF271" s="27" t="n">
        <f aca="false">Parameters!$B$9*POWER(Upgrades!$Q$6,E271)*POWER(Upgrades!$Q$7,F271)*POWER(Upgrades!$Q$8,G271)*POWER(Upgrades!$Q$9,H271)*POWER(Upgrades!$Q$10,I271)*POWER(Upgrades!$Q$11,J271)*POWER(Upgrades!$Q$12,K271)*(Parameters!$B$10*Parameters!$B$11+O271*60)</f>
        <v>120</v>
      </c>
      <c r="AG271" s="21" t="n">
        <f aca="false">IF(E271&gt;=Upgrades!$E$6,"",Upgrades!$C$6*POWER(Upgrades!$D$6,E271))</f>
        <v>37.4517507383159</v>
      </c>
      <c r="AH271" s="21" t="n">
        <f aca="false">IF(F271&gt;=Upgrades!$E$7,"",Upgrades!$C$7*POWER(Upgrades!$D$7,F271))</f>
        <v>80.9111547141581</v>
      </c>
      <c r="AI271" s="21" t="n">
        <f aca="false">IF(G271&gt;=Upgrades!$E$8,"",Upgrades!$C$8*POWER(Upgrades!$D$8,G271))</f>
        <v>231.9097088</v>
      </c>
      <c r="AJ271" s="21" t="str">
        <f aca="false">IF(H271&gt;=Upgrades!$E$9,"",Upgrades!$C$9*POWER(Upgrades!$D$9,H271))</f>
        <v/>
      </c>
      <c r="AK271" s="21" t="str">
        <f aca="false">IF(I271&gt;=Upgrades!$E$10,"",Upgrades!$C$10*POWER(Upgrades!$D$10,I271))</f>
        <v/>
      </c>
      <c r="AL271" s="21" t="str">
        <f aca="false">IF(J271&gt;=Upgrades!$E$11,"",Upgrades!$C$11*POWER(Upgrades!$D$11,J271))</f>
        <v/>
      </c>
      <c r="AM271" s="21" t="str">
        <f aca="false">IF(K271&gt;=Upgrades!$E$12,"",Upgrades!$C$12*POWER(Upgrades!$D$12,K271))</f>
        <v/>
      </c>
      <c r="AN271" s="26" t="str">
        <f aca="false">IF(AND(D271&gt;=Parameters!$B$18,(H271&gt;=Upgrades!$E$9)*(K271&gt;=Upgrades!$E$12)=1,L271=0),1,"")</f>
        <v/>
      </c>
      <c r="AO271" s="26" t="str">
        <f aca="false">IF(AND(D271&gt;=Parameters!$B$18,L271=0),1,"")</f>
        <v/>
      </c>
      <c r="AP271" s="21" t="n">
        <f aca="false">MIN(IF(ISNUMBER(AK271),AK271,9000000000000000),IF(ISNUMBER(AL271),AL271,9000000000000000),IF(ISNUMBER(AM271),AM271,9000000000000000))</f>
        <v>9000000000000000</v>
      </c>
      <c r="AQ271" s="21" t="n">
        <f aca="false">MIN(IF(ISNUMBER(AG271),AG271,9000000000000000),IF(ISNUMBER(AH271),AH271,9000000000000000),IF(ISNUMBER(AI271),AI271,9000000000000000),IF(ISNUMBER(AJ271),AJ271,9000000000000000))</f>
        <v>37.4517507383159</v>
      </c>
      <c r="AR271" s="32" t="b">
        <f aca="false">IF(AW271&gt;Parameters!$B$21*(MAX(IF(AND(NOT(AND(AO271=1,AN271&lt;&gt;1)),ISNUMBER(AG271),AG271&lt;=T271),AS271,0),IF(AND(NOT(AND(AO271=1,AN271&lt;&gt;1)),ISNUMBER(AH271),AH271&lt;=T271),AT271,0),IF(AND(NOT(AND(AO271=1,AN271&lt;&gt;1)),ISNUMBER(AI271),AI271&lt;=T271),AU271,0),IF(AND(ISNUMBER(AJ271),AJ271&lt;=T271),AV271,0))),TRUE(),FALSE())</f>
        <v>1</v>
      </c>
      <c r="AS271" s="33" t="n">
        <f aca="false">IFERROR(Upgrades!$H$6*(POWER(Upgrades!$P$6,E271)*POWER(Upgrades!$P$7,F271)*POWER(Upgrades!$P$8,G271)*POWER(Upgrades!$P$9,H271)*POWER(Upgrades!$P$10,I271)*POWER(Upgrades!$P$11,J271)*POWER(Upgrades!$P$12,K271))*(IF(Upgrades!$T$7="Solar Wind",POWER(Upgrades!$U$7,F271),1)*IF(Upgrades!$T$8="Solar Wind",POWER(Upgrades!$U$8,G271),1)*IF(Upgrades!$T$9="Solar Wind",POWER(Upgrades!$U$9,H271),1)*IF(Upgrades!$T$10="Solar Wind",POWER(Upgrades!$U$10,I271),1)*IF(Upgrades!$T$11="Solar Wind",POWER(Upgrades!$U$11,J271),1)*IF(Upgrades!$T$12="Solar Wind",POWER(Upgrades!$U$12,K271),1))/AG271,0)</f>
        <v>0.0026701021455238</v>
      </c>
      <c r="AT271" s="33" t="n">
        <f aca="false">IFERROR(Upgrades!$H$7*(POWER(Upgrades!$P$6,E271)*POWER(Upgrades!$P$7,F271)*POWER(Upgrades!$P$8,G271)*POWER(Upgrades!$P$9,H271)*POWER(Upgrades!$P$10,I271)*POWER(Upgrades!$P$11,J271)*POWER(Upgrades!$P$12,K271))*(IF(Upgrades!$T$6="Asteroid Belt",POWER(Upgrades!$U$6,E271),1)*IF(Upgrades!$T$8="Asteroid Belt",POWER(Upgrades!$U$8,G271),1)*IF(Upgrades!$T$9="Asteroid Belt",POWER(Upgrades!$U$9,H271),1)*IF(Upgrades!$T$10="Asteroid Belt",POWER(Upgrades!$U$10,I271),1)*IF(Upgrades!$T$11="Asteroid Belt",POWER(Upgrades!$U$11,J271),1)*IF(Upgrades!$T$12="Asteroid Belt",POWER(Upgrades!$U$12,K271),1))/AH271,0)</f>
        <v>0.00308980882652332</v>
      </c>
      <c r="AU271" s="33" t="n">
        <f aca="false">IFERROR(Upgrades!$K$8*(POWER(Upgrades!$Q$6,E271)*POWER(Upgrades!$Q$7,F271)*POWER(Upgrades!$Q$8,G271)*POWER(Upgrades!$Q$9,H271)*POWER(Upgrades!$Q$10,I271)*POWER(Upgrades!$Q$11,J271)*POWER(Upgrades!$Q$12,K271))*(IF(Upgrades!$T$6="Stellar Coupling",POWER(Upgrades!$U$6,E271),1)*IF(Upgrades!$T$7="Stellar Coupling",POWER(Upgrades!$U$7,F271),1)*IF(Upgrades!$T$9="Stellar Coupling",POWER(Upgrades!$U$9,H271),1)*IF(Upgrades!$T$10="Stellar Coupling",POWER(Upgrades!$U$10,I271),1)*IF(Upgrades!$T$11="Stellar Coupling",POWER(Upgrades!$U$11,J271),1)*IF(Upgrades!$T$12="Stellar Coupling",POWER(Upgrades!$U$12,K271),1))*Parameters!$B$10*Parameters!$B$11/60/AI271,0)</f>
        <v>0.00452762415783776</v>
      </c>
      <c r="AV271" s="33" t="n">
        <f aca="false">IFERROR(Upgrades!$H$9*(POWER(Upgrades!$P$6,E271)*POWER(Upgrades!$P$7,F271)*POWER(Upgrades!$P$8,G271)*POWER(Upgrades!$P$9,H271)*POWER(Upgrades!$P$10,I271)*POWER(Upgrades!$P$11,J271)*POWER(Upgrades!$P$12,K271))*(IF(Upgrades!$T$6="Magnetosphere",POWER(Upgrades!$U$6,E271),1)*IF(Upgrades!$T$7="Magnetosphere",POWER(Upgrades!$U$7,F271),1)*IF(Upgrades!$T$8="Magnetosphere",POWER(Upgrades!$U$8,G271),1)*IF(Upgrades!$T$10="Magnetosphere",POWER(Upgrades!$U$10,I271),1)*IF(Upgrades!$T$11="Magnetosphere",POWER(Upgrades!$U$11,J271),1)*IF(Upgrades!$T$12="Magnetosphere",POWER(Upgrades!$U$12,K271),1))/AJ271,0)</f>
        <v>0</v>
      </c>
      <c r="AW271" s="33" t="n">
        <f aca="false">MAX(IF(I271&gt;0,0,IFERROR(0.25*N271/Upgrades!$C$10,0)),IF(J271&gt;0,0,IFERROR(0.5*((IF(G271=0,0,(Upgrades!$J$8+G271*Upgrades!$K$8)*POWER(Upgrades!$L$8,G271)))*(IF(Upgrades!$T$6="Stellar Coupling",POWER(Upgrades!$U$6,E271),1)*IF(Upgrades!$T$7="Stellar Coupling",POWER(Upgrades!$U$7,F271),1)*IF(Upgrades!$T$9="Stellar Coupling",POWER(Upgrades!$U$9,H271),1)*IF(Upgrades!$T$10="Stellar Coupling",POWER(Upgrades!$U$10,I271),1)*IF(Upgrades!$T$11="Stellar Coupling",POWER(Upgrades!$U$11,J271),1)*IF(Upgrades!$T$12="Stellar Coupling",POWER(Upgrades!$U$12,K271),1))*(POWER(Upgrades!$Q$6,E271)*POWER(Upgrades!$Q$7,F271)*POWER(Upgrades!$Q$8,G271)*POWER(Upgrades!$Q$9,H271)*POWER(Upgrades!$Q$10,I271)*POWER(Upgrades!$Q$11,J271)*POWER(Upgrades!$Q$12,K271))*Parameters!$B$10*Parameters!$B$11/60)/Upgrades!$C$11,0)),IF(K271&gt;0,0,IFERROR((1*(POWER(Upgrades!$P$6,E271)*POWER(Upgrades!$P$7,F271)*POWER(Upgrades!$P$8,G271)*POWER(Upgrades!$P$9,H271)*POWER(Upgrades!$P$10,I271)*POWER(Upgrades!$P$11,J271)*POWER(Upgrades!$P$12,K271))+0.2*M271*Parameters!$B$10*Parameters!$B$11/60)/Upgrades!$C$12,0)),IF(AND(ISNUMBER(AG271),AG271&gt;T271),AS271,0),IF(AND(ISNUMBER(AH271),AH271&gt;T271),AT271,0),IF(AND(ISNUMBER(AI271),AI271&gt;T271),AU271,0),IF(AND(ISNUMBER(AJ271),AJ271&gt;T271),AV271,0))</f>
        <v>0.00452762415783776</v>
      </c>
      <c r="AX271" s="29" t="str">
        <f aca="false">IF(AN271=1,"transition",IF(MIN(IF(AND(I271=0,ISNUMBER(AK271),AK271&lt;=T271),AK271,9000000000000000),IF(AND(J271=0,ISNUMBER(AL271),AL271&lt;=T271),AL271,9000000000000000),IF(AND(K271=0,ISNUMBER(AM271),AM271&lt;=T271),AM271,9000000000000000))&lt;9000000000000000,IF(AND(AND(I271=0,ISNUMBER(AK271),AK271&lt;=T271),AK271=MIN(IF(AND(I271=0,ISNUMBER(AK271),AK271&lt;=T271),AK271,9000000000000000),IF(AND(J271=0,ISNUMBER(AL271),AL271&lt;=T271),AL271,9000000000000000),IF(AND(K271=0,ISNUMBER(AM271),AM271&lt;=T271),AM271,9000000000000000))),"OR",IF(AND(AND(J271=0,ISNUMBER(AL271),AL271&lt;=T271),AL271=MIN(IF(AND(I271=0,ISNUMBER(AK271),AK271&lt;=T271),AK271,9000000000000000),IF(AND(J271=0,ISNUMBER(AL271),AL271&lt;=T271),AL271,9000000000000000),IF(AND(K271=0,ISNUMBER(AM271),AM271&lt;=T271),AM271,9000000000000000))),"HP","FP")),IF(AR271=TRUE(),"",IF(MAX(IF(AND(NOT(AND(AO271=1,AN271&lt;&gt;1)),ISNUMBER(AG271),AG271&lt;=T271),AS271,0),IF(AND(NOT(AND(AO271=1,AN271&lt;&gt;1)),ISNUMBER(AH271),AH271&lt;=T271),AT271,0),IF(AND(NOT(AND(AO271=1,AN271&lt;&gt;1)),ISNUMBER(AI271),AI271&lt;=T271),AU271,0),IF(AND(ISNUMBER(AJ271),AJ271&lt;=T271),AV271,0))&lt;=0,"",IF(AND(IF(AND(NOT(AND(AO271=1,AN271&lt;&gt;1)),ISNUMBER(AG271),AG271&lt;=T271),AS271,0)&gt;0,IF(AND(NOT(AND(AO271=1,AN271&lt;&gt;1)),ISNUMBER(AG271),AG271&lt;=T271),AS271,0)=MAX(IF(AND(NOT(AND(AO271=1,AN271&lt;&gt;1)),ISNUMBER(AG271),AG271&lt;=T271),AS271,0),IF(AND(NOT(AND(AO271=1,AN271&lt;&gt;1)),ISNUMBER(AH271),AH271&lt;=T271),AT271,0),IF(AND(NOT(AND(AO271=1,AN271&lt;&gt;1)),ISNUMBER(AI271),AI271&lt;=T271),AU271,0),IF(AND(ISNUMBER(AJ271),AJ271&lt;=T271),AV271,0))),"SW",IF(AND(IF(AND(NOT(AND(AO271=1,AN271&lt;&gt;1)),ISNUMBER(AH271),AH271&lt;=T271),AT271,0)&gt;0,IF(AND(NOT(AND(AO271=1,AN271&lt;&gt;1)),ISNUMBER(AH271),AH271&lt;=T271),AT271,0)=MAX(IF(AND(NOT(AND(AO271=1,AN271&lt;&gt;1)),ISNUMBER(AG271),AG271&lt;=T271),AS271,0),IF(AND(NOT(AND(AO271=1,AN271&lt;&gt;1)),ISNUMBER(AH271),AH271&lt;=T271),AT271,0),IF(AND(NOT(AND(AO271=1,AN271&lt;&gt;1)),ISNUMBER(AI271),AI271&lt;=T271),AU271,0),IF(AND(ISNUMBER(AJ271),AJ271&lt;=T271),AV271,0))),"AB",IF(AND(IF(AND(NOT(AND(AO271=1,AN271&lt;&gt;1)),ISNUMBER(AI271),AI271&lt;=T271),AU271,0)&gt;0,IF(AND(NOT(AND(AO271=1,AN271&lt;&gt;1)),ISNUMBER(AI271),AI271&lt;=T271),AU271,0)=MAX(IF(AND(NOT(AND(AO271=1,AN271&lt;&gt;1)),ISNUMBER(AG271),AG271&lt;=T271),AS271,0),IF(AND(NOT(AND(AO271=1,AN271&lt;&gt;1)),ISNUMBER(AH271),AH271&lt;=T271),AT271,0),IF(AND(NOT(AND(AO271=1,AN271&lt;&gt;1)),ISNUMBER(AI271),AI271&lt;=T271),AU271,0),IF(AND(ISNUMBER(AJ271),AJ271&lt;=T271),AV271,0))),"SC","Mag")))))))</f>
        <v/>
      </c>
    </row>
    <row r="272" customFormat="false" ht="15" hidden="false" customHeight="false" outlineLevel="0" collapsed="false">
      <c r="A272" s="26" t="n">
        <v>267</v>
      </c>
      <c r="B272" s="27" t="n">
        <f aca="false">A272*10/60</f>
        <v>44.5</v>
      </c>
      <c r="C272" s="21" t="n">
        <f aca="false">X271</f>
        <v>18.6730249835055</v>
      </c>
      <c r="D272" s="27" t="n">
        <f aca="false">D271+W271</f>
        <v>0</v>
      </c>
      <c r="E272" s="26" t="n">
        <f aca="false">E271+IF(U271="SW",1,0)</f>
        <v>12</v>
      </c>
      <c r="F272" s="26" t="n">
        <f aca="false">F271+IF(U271="AB",1,0)</f>
        <v>10</v>
      </c>
      <c r="G272" s="26" t="n">
        <f aca="false">G271+IF(U271="SC",1,0)</f>
        <v>7</v>
      </c>
      <c r="H272" s="26" t="n">
        <f aca="false">H271+IF(U271="Mag",1,0)</f>
        <v>5</v>
      </c>
      <c r="I272" s="26" t="n">
        <f aca="false">MAX(I271,IF(U271="OR",1,0))</f>
        <v>1</v>
      </c>
      <c r="J272" s="26" t="n">
        <f aca="false">MAX(J271,IF(U271="HP",1,0))</f>
        <v>1</v>
      </c>
      <c r="K272" s="26" t="n">
        <f aca="false">MAX(K271,IF(U271="FP",1,0))</f>
        <v>1</v>
      </c>
      <c r="L272" s="26" t="n">
        <f aca="false">MAX(L271,IF(U271="transition",1,0))</f>
        <v>1</v>
      </c>
      <c r="M272" s="28" t="n">
        <f aca="false">(Parameters!$B$9+(IF(E272=0,0,(Upgrades!$J$6+E272*Upgrades!$K$6)*POWER(Upgrades!$L$6,E272)))*(IF(Upgrades!$T$7="Solar Wind",POWER(Upgrades!$U$7,F272),1)*IF(Upgrades!$T$8="Solar Wind",POWER(Upgrades!$U$8,G272),1)*IF(Upgrades!$T$9="Solar Wind",POWER(Upgrades!$U$9,H272),1)*IF(Upgrades!$T$10="Solar Wind",POWER(Upgrades!$U$10,I272),1)*IF(Upgrades!$T$11="Solar Wind",POWER(Upgrades!$U$11,J272),1)*IF(Upgrades!$T$12="Solar Wind",POWER(Upgrades!$U$12,K272),1))+(IF(F272=0,0,(Upgrades!$J$7+F272*Upgrades!$K$7)*POWER(Upgrades!$L$7,F272)))*(IF(Upgrades!$T$6="Asteroid Belt",POWER(Upgrades!$U$6,E272),1)*IF(Upgrades!$T$8="Asteroid Belt",POWER(Upgrades!$U$8,G272),1)*IF(Upgrades!$T$9="Asteroid Belt",POWER(Upgrades!$U$9,H272),1)*IF(Upgrades!$T$10="Asteroid Belt",POWER(Upgrades!$U$10,I272),1)*IF(Upgrades!$T$11="Asteroid Belt",POWER(Upgrades!$U$11,J272),1)*IF(Upgrades!$T$12="Asteroid Belt",POWER(Upgrades!$U$12,K272),1))+(IF(G272=0,0,(Upgrades!$J$8+G272*Upgrades!$K$8)*POWER(Upgrades!$L$8,G272)))*(IF(Upgrades!$T$6="Stellar Coupling",POWER(Upgrades!$U$6,E272),1)*IF(Upgrades!$T$7="Stellar Coupling",POWER(Upgrades!$U$7,F272),1)*IF(Upgrades!$T$9="Stellar Coupling",POWER(Upgrades!$U$9,H272),1)*IF(Upgrades!$T$10="Stellar Coupling",POWER(Upgrades!$U$10,I272),1)*IF(Upgrades!$T$11="Stellar Coupling",POWER(Upgrades!$U$11,J272),1)*IF(Upgrades!$T$12="Stellar Coupling",POWER(Upgrades!$U$12,K272),1))+(IF(H272=0,0,(Upgrades!$J$9+H272*Upgrades!$K$9)*POWER(Upgrades!$L$9,H272)))*(IF(Upgrades!$T$6="Magnetosphere",POWER(Upgrades!$U$6,E272),1)*IF(Upgrades!$T$7="Magnetosphere",POWER(Upgrades!$U$7,F272),1)*IF(Upgrades!$T$8="Magnetosphere",POWER(Upgrades!$U$8,G272),1)*IF(Upgrades!$T$10="Magnetosphere",POWER(Upgrades!$U$10,I272),1)*IF(Upgrades!$T$11="Magnetosphere",POWER(Upgrades!$U$11,J272),1)*IF(Upgrades!$T$12="Magnetosphere",POWER(Upgrades!$U$12,K272),1))+(IF(I272=0,0,(Upgrades!$J$10+I272*Upgrades!$K$10)*POWER(Upgrades!$L$10,I272)))*(IF(Upgrades!$T$6="Orbital Resonance",POWER(Upgrades!$U$6,E272),1)*IF(Upgrades!$T$7="Orbital Resonance",POWER(Upgrades!$U$7,F272),1)*IF(Upgrades!$T$8="Orbital Resonance",POWER(Upgrades!$U$8,G272),1)*IF(Upgrades!$T$9="Orbital Resonance",POWER(Upgrades!$U$9,H272),1)*IF(Upgrades!$T$11="Orbital Resonance",POWER(Upgrades!$U$11,J272),1)*IF(Upgrades!$T$12="Orbital Resonance",POWER(Upgrades!$U$12,K272),1))+(IF(J272=0,0,(Upgrades!$J$11+J272*Upgrades!$K$11)*POWER(Upgrades!$L$11,J272)))*(IF(Upgrades!$T$6="Heliopause",POWER(Upgrades!$U$6,E272),1)*IF(Upgrades!$T$7="Heliopause",POWER(Upgrades!$U$7,F272),1)*IF(Upgrades!$T$8="Heliopause",POWER(Upgrades!$U$8,G272),1)*IF(Upgrades!$T$9="Heliopause",POWER(Upgrades!$U$9,H272),1)*IF(Upgrades!$T$10="Heliopause",POWER(Upgrades!$U$10,I272),1)*IF(Upgrades!$T$12="Heliopause",POWER(Upgrades!$U$12,K272),1))+(IF(K272=0,0,(Upgrades!$J$12+K272*Upgrades!$K$12)*POWER(Upgrades!$L$12,K272)))*(IF(Upgrades!$T$6="First Photons",POWER(Upgrades!$U$6,E272),1)*IF(Upgrades!$T$7="First Photons",POWER(Upgrades!$U$7,F272),1)*IF(Upgrades!$T$8="First Photons",POWER(Upgrades!$U$8,G272),1)*IF(Upgrades!$T$9="First Photons",POWER(Upgrades!$U$9,H272),1)*IF(Upgrades!$T$10="First Photons",POWER(Upgrades!$U$10,I272),1)*IF(Upgrades!$T$11="First Photons",POWER(Upgrades!$U$11,J272),1)))*POWER(Upgrades!$Q$6,E272)*POWER(Upgrades!$Q$7,F272)*POWER(Upgrades!$Q$8,G272)*POWER(Upgrades!$Q$9,H272)*POWER(Upgrades!$Q$10,I272)*POWER(Upgrades!$Q$11,J272)*POWER(Upgrades!$Q$12,K272)</f>
        <v>5.61</v>
      </c>
      <c r="N272" s="28" t="n">
        <f aca="false">((IF(E272=0,0,(Upgrades!$G$6+E272*Upgrades!$H$6)*POWER(Upgrades!$I$6,E272)))*(IF(Upgrades!$T$7="Solar Wind",POWER(Upgrades!$U$7,F272),1)*IF(Upgrades!$T$8="Solar Wind",POWER(Upgrades!$U$8,G272),1)*IF(Upgrades!$T$9="Solar Wind",POWER(Upgrades!$U$9,H272),1)*IF(Upgrades!$T$10="Solar Wind",POWER(Upgrades!$U$10,I272),1)*IF(Upgrades!$T$11="Solar Wind",POWER(Upgrades!$U$11,J272),1)*IF(Upgrades!$T$12="Solar Wind",POWER(Upgrades!$U$12,K272),1))+(IF(F272=0,0,(Upgrades!$G$7+F272*Upgrades!$H$7)*POWER(Upgrades!$I$7,F272)))*(IF(Upgrades!$T$6="Asteroid Belt",POWER(Upgrades!$U$6,E272),1)*IF(Upgrades!$T$8="Asteroid Belt",POWER(Upgrades!$U$8,G272),1)*IF(Upgrades!$T$9="Asteroid Belt",POWER(Upgrades!$U$9,H272),1)*IF(Upgrades!$T$10="Asteroid Belt",POWER(Upgrades!$U$10,I272),1)*IF(Upgrades!$T$11="Asteroid Belt",POWER(Upgrades!$U$11,J272),1)*IF(Upgrades!$T$12="Asteroid Belt",POWER(Upgrades!$U$12,K272),1))+(IF(G272=0,0,(Upgrades!$G$8+G272*Upgrades!$H$8)*POWER(Upgrades!$I$8,G272)))*(IF(Upgrades!$T$6="Stellar Coupling",POWER(Upgrades!$U$6,E272),1)*IF(Upgrades!$T$7="Stellar Coupling",POWER(Upgrades!$U$7,F272),1)*IF(Upgrades!$T$9="Stellar Coupling",POWER(Upgrades!$U$9,H272),1)*IF(Upgrades!$T$10="Stellar Coupling",POWER(Upgrades!$U$10,I272),1)*IF(Upgrades!$T$11="Stellar Coupling",POWER(Upgrades!$U$11,J272),1)*IF(Upgrades!$T$12="Stellar Coupling",POWER(Upgrades!$U$12,K272),1))+(IF(H272=0,0,(Upgrades!$G$9+H272*Upgrades!$H$9)*POWER(Upgrades!$I$9,H272)))*(IF(Upgrades!$T$6="Magnetosphere",POWER(Upgrades!$U$6,E272),1)*IF(Upgrades!$T$7="Magnetosphere",POWER(Upgrades!$U$7,F272),1)*IF(Upgrades!$T$8="Magnetosphere",POWER(Upgrades!$U$8,G272),1)*IF(Upgrades!$T$10="Magnetosphere",POWER(Upgrades!$U$10,I272),1)*IF(Upgrades!$T$11="Magnetosphere",POWER(Upgrades!$U$11,J272),1)*IF(Upgrades!$T$12="Magnetosphere",POWER(Upgrades!$U$12,K272),1))+(IF(I272=0,0,(Upgrades!$G$10+I272*Upgrades!$H$10)*POWER(Upgrades!$I$10,I272)))*(IF(Upgrades!$T$6="Orbital Resonance",POWER(Upgrades!$U$6,E272),1)*IF(Upgrades!$T$7="Orbital Resonance",POWER(Upgrades!$U$7,F272),1)*IF(Upgrades!$T$8="Orbital Resonance",POWER(Upgrades!$U$8,G272),1)*IF(Upgrades!$T$9="Orbital Resonance",POWER(Upgrades!$U$9,H272),1)*IF(Upgrades!$T$11="Orbital Resonance",POWER(Upgrades!$U$11,J272),1)*IF(Upgrades!$T$12="Orbital Resonance",POWER(Upgrades!$U$12,K272),1))+(IF(J272=0,0,(Upgrades!$G$11+J272*Upgrades!$H$11)*POWER(Upgrades!$I$11,J272)))*(IF(Upgrades!$T$6="Heliopause",POWER(Upgrades!$U$6,E272),1)*IF(Upgrades!$T$7="Heliopause",POWER(Upgrades!$U$7,F272),1)*IF(Upgrades!$T$8="Heliopause",POWER(Upgrades!$U$8,G272),1)*IF(Upgrades!$T$9="Heliopause",POWER(Upgrades!$U$9,H272),1)*IF(Upgrades!$T$10="Heliopause",POWER(Upgrades!$U$10,I272),1)*IF(Upgrades!$T$12="Heliopause",POWER(Upgrades!$U$12,K272),1))+(IF(K272=0,0,(Upgrades!$G$12+K272*Upgrades!$H$12)*POWER(Upgrades!$I$12,K272)))*(IF(Upgrades!$T$6="First Photons",POWER(Upgrades!$U$6,E272),1)*IF(Upgrades!$T$7="First Photons",POWER(Upgrades!$U$7,F272),1)*IF(Upgrades!$T$8="First Photons",POWER(Upgrades!$U$8,G272),1)*IF(Upgrades!$T$9="First Photons",POWER(Upgrades!$U$9,H272),1)*IF(Upgrades!$T$10="First Photons",POWER(Upgrades!$U$10,I272),1)*IF(Upgrades!$T$11="First Photons",POWER(Upgrades!$U$11,J272),1)))*POWER(Upgrades!$P$6,E272)*POWER(Upgrades!$P$7,F272)*POWER(Upgrades!$P$8,G272)*POWER(Upgrades!$P$9,H272)*POWER(Upgrades!$P$10,I272)*POWER(Upgrades!$P$11,J272)*POWER(Upgrades!$P$12,K272)</f>
        <v>11.2</v>
      </c>
      <c r="O272" s="28" t="n">
        <f aca="false">((IF(E272=0,0,(Upgrades!$M$6+E272*Upgrades!$N$6)*POWER(Upgrades!$O$6,E272)))*(IF(Upgrades!$T$7="Solar Wind",POWER(Upgrades!$U$7,F272),1)*IF(Upgrades!$T$8="Solar Wind",POWER(Upgrades!$U$8,G272),1)*IF(Upgrades!$T$9="Solar Wind",POWER(Upgrades!$U$9,H272),1)*IF(Upgrades!$T$10="Solar Wind",POWER(Upgrades!$U$10,I272),1)*IF(Upgrades!$T$11="Solar Wind",POWER(Upgrades!$U$11,J272),1)*IF(Upgrades!$T$12="Solar Wind",POWER(Upgrades!$U$12,K272),1))+(IF(F272=0,0,(Upgrades!$M$7+F272*Upgrades!$N$7)*POWER(Upgrades!$O$7,F272)))*(IF(Upgrades!$T$6="Asteroid Belt",POWER(Upgrades!$U$6,E272),1)*IF(Upgrades!$T$8="Asteroid Belt",POWER(Upgrades!$U$8,G272),1)*IF(Upgrades!$T$9="Asteroid Belt",POWER(Upgrades!$U$9,H272),1)*IF(Upgrades!$T$10="Asteroid Belt",POWER(Upgrades!$U$10,I272),1)*IF(Upgrades!$T$11="Asteroid Belt",POWER(Upgrades!$U$11,J272),1)*IF(Upgrades!$T$12="Asteroid Belt",POWER(Upgrades!$U$12,K272),1))+(IF(G272=0,0,(Upgrades!$M$8+G272*Upgrades!$N$8)*POWER(Upgrades!$O$8,G272)))*(IF(Upgrades!$T$6="Stellar Coupling",POWER(Upgrades!$U$6,E272),1)*IF(Upgrades!$T$7="Stellar Coupling",POWER(Upgrades!$U$7,F272),1)*IF(Upgrades!$T$9="Stellar Coupling",POWER(Upgrades!$U$9,H272),1)*IF(Upgrades!$T$10="Stellar Coupling",POWER(Upgrades!$U$10,I272),1)*IF(Upgrades!$T$11="Stellar Coupling",POWER(Upgrades!$U$11,J272),1)*IF(Upgrades!$T$12="Stellar Coupling",POWER(Upgrades!$U$12,K272),1))+(IF(H272=0,0,(Upgrades!$M$9+H272*Upgrades!$N$9)*POWER(Upgrades!$O$9,H272)))*(IF(Upgrades!$T$6="Magnetosphere",POWER(Upgrades!$U$6,E272),1)*IF(Upgrades!$T$7="Magnetosphere",POWER(Upgrades!$U$7,F272),1)*IF(Upgrades!$T$8="Magnetosphere",POWER(Upgrades!$U$8,G272),1)*IF(Upgrades!$T$10="Magnetosphere",POWER(Upgrades!$U$10,I272),1)*IF(Upgrades!$T$11="Magnetosphere",POWER(Upgrades!$U$11,J272),1)*IF(Upgrades!$T$12="Magnetosphere",POWER(Upgrades!$U$12,K272),1))+(IF(I272=0,0,(Upgrades!$M$10+I272*Upgrades!$N$10)*POWER(Upgrades!$O$10,I272)))*(IF(Upgrades!$T$6="Orbital Resonance",POWER(Upgrades!$U$6,E272),1)*IF(Upgrades!$T$7="Orbital Resonance",POWER(Upgrades!$U$7,F272),1)*IF(Upgrades!$T$8="Orbital Resonance",POWER(Upgrades!$U$8,G272),1)*IF(Upgrades!$T$9="Orbital Resonance",POWER(Upgrades!$U$9,H272),1)*IF(Upgrades!$T$11="Orbital Resonance",POWER(Upgrades!$U$11,J272),1)*IF(Upgrades!$T$12="Orbital Resonance",POWER(Upgrades!$U$12,K272),1))+(IF(J272=0,0,(Upgrades!$M$11+J272*Upgrades!$N$11)*POWER(Upgrades!$O$11,J272)))*(IF(Upgrades!$T$6="Heliopause",POWER(Upgrades!$U$6,E272),1)*IF(Upgrades!$T$7="Heliopause",POWER(Upgrades!$U$7,F272),1)*IF(Upgrades!$T$8="Heliopause",POWER(Upgrades!$U$8,G272),1)*IF(Upgrades!$T$9="Heliopause",POWER(Upgrades!$U$9,H272),1)*IF(Upgrades!$T$10="Heliopause",POWER(Upgrades!$U$10,I272),1)*IF(Upgrades!$T$12="Heliopause",POWER(Upgrades!$U$12,K272),1))+(IF(K272=0,0,(Upgrades!$M$12+K272*Upgrades!$N$12)*POWER(Upgrades!$O$12,K272)))*(IF(Upgrades!$T$6="First Photons",POWER(Upgrades!$U$6,E272),1)*IF(Upgrades!$T$7="First Photons",POWER(Upgrades!$U$7,F272),1)*IF(Upgrades!$T$8="First Photons",POWER(Upgrades!$U$8,G272),1)*IF(Upgrades!$T$9="First Photons",POWER(Upgrades!$U$9,H272),1)*IF(Upgrades!$T$10="First Photons",POWER(Upgrades!$U$10,I272),1)*IF(Upgrades!$T$11="First Photons",POWER(Upgrades!$U$11,J272),1)))*POWER(Upgrades!$R$6,E272)*POWER(Upgrades!$R$7,F272)*POWER(Upgrades!$R$8,G272)*POWER(Upgrades!$R$9,H272)*POWER(Upgrades!$R$10,I272)*POWER(Upgrades!$R$11,J272)*POWER(Upgrades!$R$12,K272)</f>
        <v>0</v>
      </c>
      <c r="P272" s="27" t="n">
        <f aca="false">IF(L272=1,0,M272*Parameters!$B$10/60*Parameters!$B$11*10)</f>
        <v>0</v>
      </c>
      <c r="Q272" s="27" t="n">
        <f aca="false">IF(L272=1,0,O272*M272*10)</f>
        <v>0</v>
      </c>
      <c r="R272" s="27" t="n">
        <f aca="false">IF(L272=1,0,N272*10)</f>
        <v>0</v>
      </c>
      <c r="S272" s="27" t="n">
        <f aca="false">P272+Q272+R272</f>
        <v>0</v>
      </c>
      <c r="T272" s="21" t="n">
        <f aca="false">C272+S272</f>
        <v>18.6730249835055</v>
      </c>
      <c r="U272" s="34" t="str">
        <f aca="false">AX272</f>
        <v/>
      </c>
      <c r="V272" s="21" t="n">
        <f aca="false">IF(U272="",0,IF(U272="transition",0,IF(U272="SW",AG272,IF(U272="AB",AH272,IF(U272="SC",AI272,IF(U272="Mag",AJ272,IF(U272="OR",AK272,IF(U272="HP",AL272,IF(U272="FP",AM272,0)))))))))</f>
        <v>0</v>
      </c>
      <c r="W272" s="27" t="n">
        <f aca="false">IF(U272="OR",Upgrades!$F$10,IF(U272="HP",Upgrades!$F$11,IF(U272="transition",-Parameters!$B$18,0)))</f>
        <v>0</v>
      </c>
      <c r="X272" s="21" t="n">
        <f aca="false">T272-V272</f>
        <v>18.6730249835055</v>
      </c>
      <c r="Y272" s="30" t="n">
        <f aca="false">M272*Parameters!$B$10/60*Parameters!$B$11+O272*M272+N272</f>
        <v>20.55</v>
      </c>
      <c r="Z272" s="35" t="str">
        <f aca="false">IF(U272="transition","→ Tier 2 (Stellar Neighborhood)",IF(U272="FP","First Photons — light begins, system quickens",IF(U272="HP","Heliopause acquired",IF(U272="OR","Orbital Resonance — passive multiplier active",IF(AND(AO272=1,L272=0,AN272&lt;&gt;1),"Cohesion ready (waiting on completionist upgrades)","")))))</f>
        <v/>
      </c>
      <c r="AA272" s="27" t="n">
        <f aca="false">(IF(E272=0,0,(Upgrades!$G$6+E272*Upgrades!$H$6)*POWER(Upgrades!$I$6,E272)))*(IF(Upgrades!$T$7="Solar Wind",POWER(Upgrades!$U$7,F272),1)*IF(Upgrades!$T$8="Solar Wind",POWER(Upgrades!$U$8,G272),1)*IF(Upgrades!$T$9="Solar Wind",POWER(Upgrades!$U$9,H272),1)*IF(Upgrades!$T$10="Solar Wind",POWER(Upgrades!$U$10,I272),1)*IF(Upgrades!$T$11="Solar Wind",POWER(Upgrades!$U$11,J272),1)*IF(Upgrades!$T$12="Solar Wind",POWER(Upgrades!$U$12,K272),1))*POWER(Upgrades!$P$6,E272)*POWER(Upgrades!$P$7,F272)*POWER(Upgrades!$P$8,G272)*POWER(Upgrades!$P$9,H272)*POWER(Upgrades!$P$10,I272)*POWER(Upgrades!$P$11,J272)*POWER(Upgrades!$P$12,K272)*60</f>
        <v>72</v>
      </c>
      <c r="AB272" s="27" t="n">
        <f aca="false">(IF(F272=0,0,(Upgrades!$G$7+F272*Upgrades!$H$7)*POWER(Upgrades!$I$7,F272)))*(IF(Upgrades!$T$6="Asteroid Belt",POWER(Upgrades!$U$6,E272),1)*IF(Upgrades!$T$8="Asteroid Belt",POWER(Upgrades!$U$8,G272),1)*IF(Upgrades!$T$9="Asteroid Belt",POWER(Upgrades!$U$9,H272),1)*IF(Upgrades!$T$10="Asteroid Belt",POWER(Upgrades!$U$10,I272),1)*IF(Upgrades!$T$11="Asteroid Belt",POWER(Upgrades!$U$11,J272),1)*IF(Upgrades!$T$12="Asteroid Belt",POWER(Upgrades!$U$12,K272),1))*POWER(Upgrades!$P$6,E272)*POWER(Upgrades!$P$7,F272)*POWER(Upgrades!$P$8,G272)*POWER(Upgrades!$P$9,H272)*POWER(Upgrades!$P$10,I272)*POWER(Upgrades!$P$11,J272)*POWER(Upgrades!$P$12,K272)*60</f>
        <v>150</v>
      </c>
      <c r="AC272" s="27" t="n">
        <f aca="false">(IF(G272=0,0,(Upgrades!$J$8+G272*Upgrades!$K$8)*POWER(Upgrades!$L$8,G272)))*(IF(Upgrades!$T$6="Stellar Coupling",POWER(Upgrades!$U$6,E272),1)*IF(Upgrades!$T$7="Stellar Coupling",POWER(Upgrades!$U$7,F272),1)*IF(Upgrades!$T$9="Stellar Coupling",POWER(Upgrades!$U$9,H272),1)*IF(Upgrades!$T$10="Stellar Coupling",POWER(Upgrades!$U$10,I272),1)*IF(Upgrades!$T$11="Stellar Coupling",POWER(Upgrades!$U$11,J272),1)*IF(Upgrades!$T$12="Stellar Coupling",POWER(Upgrades!$U$12,K272),1))*POWER(Upgrades!$Q$6,E272)*POWER(Upgrades!$Q$7,F272)*POWER(Upgrades!$Q$8,G272)*POWER(Upgrades!$Q$9,H272)*POWER(Upgrades!$Q$10,I272)*POWER(Upgrades!$Q$11,J272)*POWER(Upgrades!$Q$12,K272)*Parameters!$B$10*Parameters!$B$11</f>
        <v>441</v>
      </c>
      <c r="AD272" s="27" t="n">
        <f aca="false">(IF(H272=0,0,(Upgrades!$G$9+H272*Upgrades!$H$9)*POWER(Upgrades!$I$9,H272)))*(IF(Upgrades!$T$6="Magnetosphere",POWER(Upgrades!$U$6,E272),1)*IF(Upgrades!$T$7="Magnetosphere",POWER(Upgrades!$U$7,F272),1)*IF(Upgrades!$T$8="Magnetosphere",POWER(Upgrades!$U$8,G272),1)*IF(Upgrades!$T$10="Magnetosphere",POWER(Upgrades!$U$10,I272),1)*IF(Upgrades!$T$11="Magnetosphere",POWER(Upgrades!$U$11,J272),1)*IF(Upgrades!$T$12="Magnetosphere",POWER(Upgrades!$U$12,K272),1))*POWER(Upgrades!$P$6,E272)*POWER(Upgrades!$P$7,F272)*POWER(Upgrades!$P$8,G272)*POWER(Upgrades!$P$9,H272)*POWER(Upgrades!$P$10,I272)*POWER(Upgrades!$P$11,J272)*POWER(Upgrades!$P$12,K272)*60</f>
        <v>375</v>
      </c>
      <c r="AE272" s="27" t="n">
        <f aca="false">(IF(K272=0,0,(Upgrades!$G$12+K272*Upgrades!$H$12)*POWER(Upgrades!$I$12,K272)))*(IF(Upgrades!$T$6="First Photons",POWER(Upgrades!$U$6,E272),1)*IF(Upgrades!$T$7="First Photons",POWER(Upgrades!$U$7,F272),1)*IF(Upgrades!$T$8="First Photons",POWER(Upgrades!$U$8,G272),1)*IF(Upgrades!$T$9="First Photons",POWER(Upgrades!$U$9,H272),1)*IF(Upgrades!$T$10="First Photons",POWER(Upgrades!$U$10,I272),1)*IF(Upgrades!$T$11="First Photons",POWER(Upgrades!$U$11,J272),1))*POWER(Upgrades!$P$6,E272)*POWER(Upgrades!$P$7,F272)*POWER(Upgrades!$P$8,G272)*POWER(Upgrades!$P$9,H272)*POWER(Upgrades!$P$10,I272)*POWER(Upgrades!$P$11,J272)*POWER(Upgrades!$P$12,K272)*60</f>
        <v>75</v>
      </c>
      <c r="AF272" s="27" t="n">
        <f aca="false">Parameters!$B$9*POWER(Upgrades!$Q$6,E272)*POWER(Upgrades!$Q$7,F272)*POWER(Upgrades!$Q$8,G272)*POWER(Upgrades!$Q$9,H272)*POWER(Upgrades!$Q$10,I272)*POWER(Upgrades!$Q$11,J272)*POWER(Upgrades!$Q$12,K272)*(Parameters!$B$10*Parameters!$B$11+O272*60)</f>
        <v>120</v>
      </c>
      <c r="AG272" s="21" t="n">
        <f aca="false">IF(E272&gt;=Upgrades!$E$6,"",Upgrades!$C$6*POWER(Upgrades!$D$6,E272))</f>
        <v>37.4517507383159</v>
      </c>
      <c r="AH272" s="21" t="n">
        <f aca="false">IF(F272&gt;=Upgrades!$E$7,"",Upgrades!$C$7*POWER(Upgrades!$D$7,F272))</f>
        <v>80.9111547141581</v>
      </c>
      <c r="AI272" s="21" t="n">
        <f aca="false">IF(G272&gt;=Upgrades!$E$8,"",Upgrades!$C$8*POWER(Upgrades!$D$8,G272))</f>
        <v>231.9097088</v>
      </c>
      <c r="AJ272" s="21" t="str">
        <f aca="false">IF(H272&gt;=Upgrades!$E$9,"",Upgrades!$C$9*POWER(Upgrades!$D$9,H272))</f>
        <v/>
      </c>
      <c r="AK272" s="21" t="str">
        <f aca="false">IF(I272&gt;=Upgrades!$E$10,"",Upgrades!$C$10*POWER(Upgrades!$D$10,I272))</f>
        <v/>
      </c>
      <c r="AL272" s="21" t="str">
        <f aca="false">IF(J272&gt;=Upgrades!$E$11,"",Upgrades!$C$11*POWER(Upgrades!$D$11,J272))</f>
        <v/>
      </c>
      <c r="AM272" s="21" t="str">
        <f aca="false">IF(K272&gt;=Upgrades!$E$12,"",Upgrades!$C$12*POWER(Upgrades!$D$12,K272))</f>
        <v/>
      </c>
      <c r="AN272" s="26" t="str">
        <f aca="false">IF(AND(D272&gt;=Parameters!$B$18,(H272&gt;=Upgrades!$E$9)*(K272&gt;=Upgrades!$E$12)=1,L272=0),1,"")</f>
        <v/>
      </c>
      <c r="AO272" s="26" t="str">
        <f aca="false">IF(AND(D272&gt;=Parameters!$B$18,L272=0),1,"")</f>
        <v/>
      </c>
      <c r="AP272" s="21" t="n">
        <f aca="false">MIN(IF(ISNUMBER(AK272),AK272,9000000000000000),IF(ISNUMBER(AL272),AL272,9000000000000000),IF(ISNUMBER(AM272),AM272,9000000000000000))</f>
        <v>9000000000000000</v>
      </c>
      <c r="AQ272" s="21" t="n">
        <f aca="false">MIN(IF(ISNUMBER(AG272),AG272,9000000000000000),IF(ISNUMBER(AH272),AH272,9000000000000000),IF(ISNUMBER(AI272),AI272,9000000000000000),IF(ISNUMBER(AJ272),AJ272,9000000000000000))</f>
        <v>37.4517507383159</v>
      </c>
      <c r="AR272" s="32" t="b">
        <f aca="false">IF(AW272&gt;Parameters!$B$21*(MAX(IF(AND(NOT(AND(AO272=1,AN272&lt;&gt;1)),ISNUMBER(AG272),AG272&lt;=T272),AS272,0),IF(AND(NOT(AND(AO272=1,AN272&lt;&gt;1)),ISNUMBER(AH272),AH272&lt;=T272),AT272,0),IF(AND(NOT(AND(AO272=1,AN272&lt;&gt;1)),ISNUMBER(AI272),AI272&lt;=T272),AU272,0),IF(AND(ISNUMBER(AJ272),AJ272&lt;=T272),AV272,0))),TRUE(),FALSE())</f>
        <v>1</v>
      </c>
      <c r="AS272" s="33" t="n">
        <f aca="false">IFERROR(Upgrades!$H$6*(POWER(Upgrades!$P$6,E272)*POWER(Upgrades!$P$7,F272)*POWER(Upgrades!$P$8,G272)*POWER(Upgrades!$P$9,H272)*POWER(Upgrades!$P$10,I272)*POWER(Upgrades!$P$11,J272)*POWER(Upgrades!$P$12,K272))*(IF(Upgrades!$T$7="Solar Wind",POWER(Upgrades!$U$7,F272),1)*IF(Upgrades!$T$8="Solar Wind",POWER(Upgrades!$U$8,G272),1)*IF(Upgrades!$T$9="Solar Wind",POWER(Upgrades!$U$9,H272),1)*IF(Upgrades!$T$10="Solar Wind",POWER(Upgrades!$U$10,I272),1)*IF(Upgrades!$T$11="Solar Wind",POWER(Upgrades!$U$11,J272),1)*IF(Upgrades!$T$12="Solar Wind",POWER(Upgrades!$U$12,K272),1))/AG272,0)</f>
        <v>0.0026701021455238</v>
      </c>
      <c r="AT272" s="33" t="n">
        <f aca="false">IFERROR(Upgrades!$H$7*(POWER(Upgrades!$P$6,E272)*POWER(Upgrades!$P$7,F272)*POWER(Upgrades!$P$8,G272)*POWER(Upgrades!$P$9,H272)*POWER(Upgrades!$P$10,I272)*POWER(Upgrades!$P$11,J272)*POWER(Upgrades!$P$12,K272))*(IF(Upgrades!$T$6="Asteroid Belt",POWER(Upgrades!$U$6,E272),1)*IF(Upgrades!$T$8="Asteroid Belt",POWER(Upgrades!$U$8,G272),1)*IF(Upgrades!$T$9="Asteroid Belt",POWER(Upgrades!$U$9,H272),1)*IF(Upgrades!$T$10="Asteroid Belt",POWER(Upgrades!$U$10,I272),1)*IF(Upgrades!$T$11="Asteroid Belt",POWER(Upgrades!$U$11,J272),1)*IF(Upgrades!$T$12="Asteroid Belt",POWER(Upgrades!$U$12,K272),1))/AH272,0)</f>
        <v>0.00308980882652332</v>
      </c>
      <c r="AU272" s="33" t="n">
        <f aca="false">IFERROR(Upgrades!$K$8*(POWER(Upgrades!$Q$6,E272)*POWER(Upgrades!$Q$7,F272)*POWER(Upgrades!$Q$8,G272)*POWER(Upgrades!$Q$9,H272)*POWER(Upgrades!$Q$10,I272)*POWER(Upgrades!$Q$11,J272)*POWER(Upgrades!$Q$12,K272))*(IF(Upgrades!$T$6="Stellar Coupling",POWER(Upgrades!$U$6,E272),1)*IF(Upgrades!$T$7="Stellar Coupling",POWER(Upgrades!$U$7,F272),1)*IF(Upgrades!$T$9="Stellar Coupling",POWER(Upgrades!$U$9,H272),1)*IF(Upgrades!$T$10="Stellar Coupling",POWER(Upgrades!$U$10,I272),1)*IF(Upgrades!$T$11="Stellar Coupling",POWER(Upgrades!$U$11,J272),1)*IF(Upgrades!$T$12="Stellar Coupling",POWER(Upgrades!$U$12,K272),1))*Parameters!$B$10*Parameters!$B$11/60/AI272,0)</f>
        <v>0.00452762415783776</v>
      </c>
      <c r="AV272" s="33" t="n">
        <f aca="false">IFERROR(Upgrades!$H$9*(POWER(Upgrades!$P$6,E272)*POWER(Upgrades!$P$7,F272)*POWER(Upgrades!$P$8,G272)*POWER(Upgrades!$P$9,H272)*POWER(Upgrades!$P$10,I272)*POWER(Upgrades!$P$11,J272)*POWER(Upgrades!$P$12,K272))*(IF(Upgrades!$T$6="Magnetosphere",POWER(Upgrades!$U$6,E272),1)*IF(Upgrades!$T$7="Magnetosphere",POWER(Upgrades!$U$7,F272),1)*IF(Upgrades!$T$8="Magnetosphere",POWER(Upgrades!$U$8,G272),1)*IF(Upgrades!$T$10="Magnetosphere",POWER(Upgrades!$U$10,I272),1)*IF(Upgrades!$T$11="Magnetosphere",POWER(Upgrades!$U$11,J272),1)*IF(Upgrades!$T$12="Magnetosphere",POWER(Upgrades!$U$12,K272),1))/AJ272,0)</f>
        <v>0</v>
      </c>
      <c r="AW272" s="33" t="n">
        <f aca="false">MAX(IF(I272&gt;0,0,IFERROR(0.25*N272/Upgrades!$C$10,0)),IF(J272&gt;0,0,IFERROR(0.5*((IF(G272=0,0,(Upgrades!$J$8+G272*Upgrades!$K$8)*POWER(Upgrades!$L$8,G272)))*(IF(Upgrades!$T$6="Stellar Coupling",POWER(Upgrades!$U$6,E272),1)*IF(Upgrades!$T$7="Stellar Coupling",POWER(Upgrades!$U$7,F272),1)*IF(Upgrades!$T$9="Stellar Coupling",POWER(Upgrades!$U$9,H272),1)*IF(Upgrades!$T$10="Stellar Coupling",POWER(Upgrades!$U$10,I272),1)*IF(Upgrades!$T$11="Stellar Coupling",POWER(Upgrades!$U$11,J272),1)*IF(Upgrades!$T$12="Stellar Coupling",POWER(Upgrades!$U$12,K272),1))*(POWER(Upgrades!$Q$6,E272)*POWER(Upgrades!$Q$7,F272)*POWER(Upgrades!$Q$8,G272)*POWER(Upgrades!$Q$9,H272)*POWER(Upgrades!$Q$10,I272)*POWER(Upgrades!$Q$11,J272)*POWER(Upgrades!$Q$12,K272))*Parameters!$B$10*Parameters!$B$11/60)/Upgrades!$C$11,0)),IF(K272&gt;0,0,IFERROR((1*(POWER(Upgrades!$P$6,E272)*POWER(Upgrades!$P$7,F272)*POWER(Upgrades!$P$8,G272)*POWER(Upgrades!$P$9,H272)*POWER(Upgrades!$P$10,I272)*POWER(Upgrades!$P$11,J272)*POWER(Upgrades!$P$12,K272))+0.2*M272*Parameters!$B$10*Parameters!$B$11/60)/Upgrades!$C$12,0)),IF(AND(ISNUMBER(AG272),AG272&gt;T272),AS272,0),IF(AND(ISNUMBER(AH272),AH272&gt;T272),AT272,0),IF(AND(ISNUMBER(AI272),AI272&gt;T272),AU272,0),IF(AND(ISNUMBER(AJ272),AJ272&gt;T272),AV272,0))</f>
        <v>0.00452762415783776</v>
      </c>
      <c r="AX272" s="29" t="str">
        <f aca="false">IF(AN272=1,"transition",IF(MIN(IF(AND(I272=0,ISNUMBER(AK272),AK272&lt;=T272),AK272,9000000000000000),IF(AND(J272=0,ISNUMBER(AL272),AL272&lt;=T272),AL272,9000000000000000),IF(AND(K272=0,ISNUMBER(AM272),AM272&lt;=T272),AM272,9000000000000000))&lt;9000000000000000,IF(AND(AND(I272=0,ISNUMBER(AK272),AK272&lt;=T272),AK272=MIN(IF(AND(I272=0,ISNUMBER(AK272),AK272&lt;=T272),AK272,9000000000000000),IF(AND(J272=0,ISNUMBER(AL272),AL272&lt;=T272),AL272,9000000000000000),IF(AND(K272=0,ISNUMBER(AM272),AM272&lt;=T272),AM272,9000000000000000))),"OR",IF(AND(AND(J272=0,ISNUMBER(AL272),AL272&lt;=T272),AL272=MIN(IF(AND(I272=0,ISNUMBER(AK272),AK272&lt;=T272),AK272,9000000000000000),IF(AND(J272=0,ISNUMBER(AL272),AL272&lt;=T272),AL272,9000000000000000),IF(AND(K272=0,ISNUMBER(AM272),AM272&lt;=T272),AM272,9000000000000000))),"HP","FP")),IF(AR272=TRUE(),"",IF(MAX(IF(AND(NOT(AND(AO272=1,AN272&lt;&gt;1)),ISNUMBER(AG272),AG272&lt;=T272),AS272,0),IF(AND(NOT(AND(AO272=1,AN272&lt;&gt;1)),ISNUMBER(AH272),AH272&lt;=T272),AT272,0),IF(AND(NOT(AND(AO272=1,AN272&lt;&gt;1)),ISNUMBER(AI272),AI272&lt;=T272),AU272,0),IF(AND(ISNUMBER(AJ272),AJ272&lt;=T272),AV272,0))&lt;=0,"",IF(AND(IF(AND(NOT(AND(AO272=1,AN272&lt;&gt;1)),ISNUMBER(AG272),AG272&lt;=T272),AS272,0)&gt;0,IF(AND(NOT(AND(AO272=1,AN272&lt;&gt;1)),ISNUMBER(AG272),AG272&lt;=T272),AS272,0)=MAX(IF(AND(NOT(AND(AO272=1,AN272&lt;&gt;1)),ISNUMBER(AG272),AG272&lt;=T272),AS272,0),IF(AND(NOT(AND(AO272=1,AN272&lt;&gt;1)),ISNUMBER(AH272),AH272&lt;=T272),AT272,0),IF(AND(NOT(AND(AO272=1,AN272&lt;&gt;1)),ISNUMBER(AI272),AI272&lt;=T272),AU272,0),IF(AND(ISNUMBER(AJ272),AJ272&lt;=T272),AV272,0))),"SW",IF(AND(IF(AND(NOT(AND(AO272=1,AN272&lt;&gt;1)),ISNUMBER(AH272),AH272&lt;=T272),AT272,0)&gt;0,IF(AND(NOT(AND(AO272=1,AN272&lt;&gt;1)),ISNUMBER(AH272),AH272&lt;=T272),AT272,0)=MAX(IF(AND(NOT(AND(AO272=1,AN272&lt;&gt;1)),ISNUMBER(AG272),AG272&lt;=T272),AS272,0),IF(AND(NOT(AND(AO272=1,AN272&lt;&gt;1)),ISNUMBER(AH272),AH272&lt;=T272),AT272,0),IF(AND(NOT(AND(AO272=1,AN272&lt;&gt;1)),ISNUMBER(AI272),AI272&lt;=T272),AU272,0),IF(AND(ISNUMBER(AJ272),AJ272&lt;=T272),AV272,0))),"AB",IF(AND(IF(AND(NOT(AND(AO272=1,AN272&lt;&gt;1)),ISNUMBER(AI272),AI272&lt;=T272),AU272,0)&gt;0,IF(AND(NOT(AND(AO272=1,AN272&lt;&gt;1)),ISNUMBER(AI272),AI272&lt;=T272),AU272,0)=MAX(IF(AND(NOT(AND(AO272=1,AN272&lt;&gt;1)),ISNUMBER(AG272),AG272&lt;=T272),AS272,0),IF(AND(NOT(AND(AO272=1,AN272&lt;&gt;1)),ISNUMBER(AH272),AH272&lt;=T272),AT272,0),IF(AND(NOT(AND(AO272=1,AN272&lt;&gt;1)),ISNUMBER(AI272),AI272&lt;=T272),AU272,0),IF(AND(ISNUMBER(AJ272),AJ272&lt;=T272),AV272,0))),"SC","Mag")))))))</f>
        <v/>
      </c>
    </row>
    <row r="273" customFormat="false" ht="15" hidden="false" customHeight="false" outlineLevel="0" collapsed="false">
      <c r="A273" s="26" t="n">
        <v>268</v>
      </c>
      <c r="B273" s="27" t="n">
        <f aca="false">A273*10/60</f>
        <v>44.6666666666667</v>
      </c>
      <c r="C273" s="21" t="n">
        <f aca="false">X272</f>
        <v>18.6730249835055</v>
      </c>
      <c r="D273" s="27" t="n">
        <f aca="false">D272+W272</f>
        <v>0</v>
      </c>
      <c r="E273" s="26" t="n">
        <f aca="false">E272+IF(U272="SW",1,0)</f>
        <v>12</v>
      </c>
      <c r="F273" s="26" t="n">
        <f aca="false">F272+IF(U272="AB",1,0)</f>
        <v>10</v>
      </c>
      <c r="G273" s="26" t="n">
        <f aca="false">G272+IF(U272="SC",1,0)</f>
        <v>7</v>
      </c>
      <c r="H273" s="26" t="n">
        <f aca="false">H272+IF(U272="Mag",1,0)</f>
        <v>5</v>
      </c>
      <c r="I273" s="26" t="n">
        <f aca="false">MAX(I272,IF(U272="OR",1,0))</f>
        <v>1</v>
      </c>
      <c r="J273" s="26" t="n">
        <f aca="false">MAX(J272,IF(U272="HP",1,0))</f>
        <v>1</v>
      </c>
      <c r="K273" s="26" t="n">
        <f aca="false">MAX(K272,IF(U272="FP",1,0))</f>
        <v>1</v>
      </c>
      <c r="L273" s="26" t="n">
        <f aca="false">MAX(L272,IF(U272="transition",1,0))</f>
        <v>1</v>
      </c>
      <c r="M273" s="28" t="n">
        <f aca="false">(Parameters!$B$9+(IF(E273=0,0,(Upgrades!$J$6+E273*Upgrades!$K$6)*POWER(Upgrades!$L$6,E273)))*(IF(Upgrades!$T$7="Solar Wind",POWER(Upgrades!$U$7,F273),1)*IF(Upgrades!$T$8="Solar Wind",POWER(Upgrades!$U$8,G273),1)*IF(Upgrades!$T$9="Solar Wind",POWER(Upgrades!$U$9,H273),1)*IF(Upgrades!$T$10="Solar Wind",POWER(Upgrades!$U$10,I273),1)*IF(Upgrades!$T$11="Solar Wind",POWER(Upgrades!$U$11,J273),1)*IF(Upgrades!$T$12="Solar Wind",POWER(Upgrades!$U$12,K273),1))+(IF(F273=0,0,(Upgrades!$J$7+F273*Upgrades!$K$7)*POWER(Upgrades!$L$7,F273)))*(IF(Upgrades!$T$6="Asteroid Belt",POWER(Upgrades!$U$6,E273),1)*IF(Upgrades!$T$8="Asteroid Belt",POWER(Upgrades!$U$8,G273),1)*IF(Upgrades!$T$9="Asteroid Belt",POWER(Upgrades!$U$9,H273),1)*IF(Upgrades!$T$10="Asteroid Belt",POWER(Upgrades!$U$10,I273),1)*IF(Upgrades!$T$11="Asteroid Belt",POWER(Upgrades!$U$11,J273),1)*IF(Upgrades!$T$12="Asteroid Belt",POWER(Upgrades!$U$12,K273),1))+(IF(G273=0,0,(Upgrades!$J$8+G273*Upgrades!$K$8)*POWER(Upgrades!$L$8,G273)))*(IF(Upgrades!$T$6="Stellar Coupling",POWER(Upgrades!$U$6,E273),1)*IF(Upgrades!$T$7="Stellar Coupling",POWER(Upgrades!$U$7,F273),1)*IF(Upgrades!$T$9="Stellar Coupling",POWER(Upgrades!$U$9,H273),1)*IF(Upgrades!$T$10="Stellar Coupling",POWER(Upgrades!$U$10,I273),1)*IF(Upgrades!$T$11="Stellar Coupling",POWER(Upgrades!$U$11,J273),1)*IF(Upgrades!$T$12="Stellar Coupling",POWER(Upgrades!$U$12,K273),1))+(IF(H273=0,0,(Upgrades!$J$9+H273*Upgrades!$K$9)*POWER(Upgrades!$L$9,H273)))*(IF(Upgrades!$T$6="Magnetosphere",POWER(Upgrades!$U$6,E273),1)*IF(Upgrades!$T$7="Magnetosphere",POWER(Upgrades!$U$7,F273),1)*IF(Upgrades!$T$8="Magnetosphere",POWER(Upgrades!$U$8,G273),1)*IF(Upgrades!$T$10="Magnetosphere",POWER(Upgrades!$U$10,I273),1)*IF(Upgrades!$T$11="Magnetosphere",POWER(Upgrades!$U$11,J273),1)*IF(Upgrades!$T$12="Magnetosphere",POWER(Upgrades!$U$12,K273),1))+(IF(I273=0,0,(Upgrades!$J$10+I273*Upgrades!$K$10)*POWER(Upgrades!$L$10,I273)))*(IF(Upgrades!$T$6="Orbital Resonance",POWER(Upgrades!$U$6,E273),1)*IF(Upgrades!$T$7="Orbital Resonance",POWER(Upgrades!$U$7,F273),1)*IF(Upgrades!$T$8="Orbital Resonance",POWER(Upgrades!$U$8,G273),1)*IF(Upgrades!$T$9="Orbital Resonance",POWER(Upgrades!$U$9,H273),1)*IF(Upgrades!$T$11="Orbital Resonance",POWER(Upgrades!$U$11,J273),1)*IF(Upgrades!$T$12="Orbital Resonance",POWER(Upgrades!$U$12,K273),1))+(IF(J273=0,0,(Upgrades!$J$11+J273*Upgrades!$K$11)*POWER(Upgrades!$L$11,J273)))*(IF(Upgrades!$T$6="Heliopause",POWER(Upgrades!$U$6,E273),1)*IF(Upgrades!$T$7="Heliopause",POWER(Upgrades!$U$7,F273),1)*IF(Upgrades!$T$8="Heliopause",POWER(Upgrades!$U$8,G273),1)*IF(Upgrades!$T$9="Heliopause",POWER(Upgrades!$U$9,H273),1)*IF(Upgrades!$T$10="Heliopause",POWER(Upgrades!$U$10,I273),1)*IF(Upgrades!$T$12="Heliopause",POWER(Upgrades!$U$12,K273),1))+(IF(K273=0,0,(Upgrades!$J$12+K273*Upgrades!$K$12)*POWER(Upgrades!$L$12,K273)))*(IF(Upgrades!$T$6="First Photons",POWER(Upgrades!$U$6,E273),1)*IF(Upgrades!$T$7="First Photons",POWER(Upgrades!$U$7,F273),1)*IF(Upgrades!$T$8="First Photons",POWER(Upgrades!$U$8,G273),1)*IF(Upgrades!$T$9="First Photons",POWER(Upgrades!$U$9,H273),1)*IF(Upgrades!$T$10="First Photons",POWER(Upgrades!$U$10,I273),1)*IF(Upgrades!$T$11="First Photons",POWER(Upgrades!$U$11,J273),1)))*POWER(Upgrades!$Q$6,E273)*POWER(Upgrades!$Q$7,F273)*POWER(Upgrades!$Q$8,G273)*POWER(Upgrades!$Q$9,H273)*POWER(Upgrades!$Q$10,I273)*POWER(Upgrades!$Q$11,J273)*POWER(Upgrades!$Q$12,K273)</f>
        <v>5.61</v>
      </c>
      <c r="N273" s="28" t="n">
        <f aca="false">((IF(E273=0,0,(Upgrades!$G$6+E273*Upgrades!$H$6)*POWER(Upgrades!$I$6,E273)))*(IF(Upgrades!$T$7="Solar Wind",POWER(Upgrades!$U$7,F273),1)*IF(Upgrades!$T$8="Solar Wind",POWER(Upgrades!$U$8,G273),1)*IF(Upgrades!$T$9="Solar Wind",POWER(Upgrades!$U$9,H273),1)*IF(Upgrades!$T$10="Solar Wind",POWER(Upgrades!$U$10,I273),1)*IF(Upgrades!$T$11="Solar Wind",POWER(Upgrades!$U$11,J273),1)*IF(Upgrades!$T$12="Solar Wind",POWER(Upgrades!$U$12,K273),1))+(IF(F273=0,0,(Upgrades!$G$7+F273*Upgrades!$H$7)*POWER(Upgrades!$I$7,F273)))*(IF(Upgrades!$T$6="Asteroid Belt",POWER(Upgrades!$U$6,E273),1)*IF(Upgrades!$T$8="Asteroid Belt",POWER(Upgrades!$U$8,G273),1)*IF(Upgrades!$T$9="Asteroid Belt",POWER(Upgrades!$U$9,H273),1)*IF(Upgrades!$T$10="Asteroid Belt",POWER(Upgrades!$U$10,I273),1)*IF(Upgrades!$T$11="Asteroid Belt",POWER(Upgrades!$U$11,J273),1)*IF(Upgrades!$T$12="Asteroid Belt",POWER(Upgrades!$U$12,K273),1))+(IF(G273=0,0,(Upgrades!$G$8+G273*Upgrades!$H$8)*POWER(Upgrades!$I$8,G273)))*(IF(Upgrades!$T$6="Stellar Coupling",POWER(Upgrades!$U$6,E273),1)*IF(Upgrades!$T$7="Stellar Coupling",POWER(Upgrades!$U$7,F273),1)*IF(Upgrades!$T$9="Stellar Coupling",POWER(Upgrades!$U$9,H273),1)*IF(Upgrades!$T$10="Stellar Coupling",POWER(Upgrades!$U$10,I273),1)*IF(Upgrades!$T$11="Stellar Coupling",POWER(Upgrades!$U$11,J273),1)*IF(Upgrades!$T$12="Stellar Coupling",POWER(Upgrades!$U$12,K273),1))+(IF(H273=0,0,(Upgrades!$G$9+H273*Upgrades!$H$9)*POWER(Upgrades!$I$9,H273)))*(IF(Upgrades!$T$6="Magnetosphere",POWER(Upgrades!$U$6,E273),1)*IF(Upgrades!$T$7="Magnetosphere",POWER(Upgrades!$U$7,F273),1)*IF(Upgrades!$T$8="Magnetosphere",POWER(Upgrades!$U$8,G273),1)*IF(Upgrades!$T$10="Magnetosphere",POWER(Upgrades!$U$10,I273),1)*IF(Upgrades!$T$11="Magnetosphere",POWER(Upgrades!$U$11,J273),1)*IF(Upgrades!$T$12="Magnetosphere",POWER(Upgrades!$U$12,K273),1))+(IF(I273=0,0,(Upgrades!$G$10+I273*Upgrades!$H$10)*POWER(Upgrades!$I$10,I273)))*(IF(Upgrades!$T$6="Orbital Resonance",POWER(Upgrades!$U$6,E273),1)*IF(Upgrades!$T$7="Orbital Resonance",POWER(Upgrades!$U$7,F273),1)*IF(Upgrades!$T$8="Orbital Resonance",POWER(Upgrades!$U$8,G273),1)*IF(Upgrades!$T$9="Orbital Resonance",POWER(Upgrades!$U$9,H273),1)*IF(Upgrades!$T$11="Orbital Resonance",POWER(Upgrades!$U$11,J273),1)*IF(Upgrades!$T$12="Orbital Resonance",POWER(Upgrades!$U$12,K273),1))+(IF(J273=0,0,(Upgrades!$G$11+J273*Upgrades!$H$11)*POWER(Upgrades!$I$11,J273)))*(IF(Upgrades!$T$6="Heliopause",POWER(Upgrades!$U$6,E273),1)*IF(Upgrades!$T$7="Heliopause",POWER(Upgrades!$U$7,F273),1)*IF(Upgrades!$T$8="Heliopause",POWER(Upgrades!$U$8,G273),1)*IF(Upgrades!$T$9="Heliopause",POWER(Upgrades!$U$9,H273),1)*IF(Upgrades!$T$10="Heliopause",POWER(Upgrades!$U$10,I273),1)*IF(Upgrades!$T$12="Heliopause",POWER(Upgrades!$U$12,K273),1))+(IF(K273=0,0,(Upgrades!$G$12+K273*Upgrades!$H$12)*POWER(Upgrades!$I$12,K273)))*(IF(Upgrades!$T$6="First Photons",POWER(Upgrades!$U$6,E273),1)*IF(Upgrades!$T$7="First Photons",POWER(Upgrades!$U$7,F273),1)*IF(Upgrades!$T$8="First Photons",POWER(Upgrades!$U$8,G273),1)*IF(Upgrades!$T$9="First Photons",POWER(Upgrades!$U$9,H273),1)*IF(Upgrades!$T$10="First Photons",POWER(Upgrades!$U$10,I273),1)*IF(Upgrades!$T$11="First Photons",POWER(Upgrades!$U$11,J273),1)))*POWER(Upgrades!$P$6,E273)*POWER(Upgrades!$P$7,F273)*POWER(Upgrades!$P$8,G273)*POWER(Upgrades!$P$9,H273)*POWER(Upgrades!$P$10,I273)*POWER(Upgrades!$P$11,J273)*POWER(Upgrades!$P$12,K273)</f>
        <v>11.2</v>
      </c>
      <c r="O273" s="28" t="n">
        <f aca="false">((IF(E273=0,0,(Upgrades!$M$6+E273*Upgrades!$N$6)*POWER(Upgrades!$O$6,E273)))*(IF(Upgrades!$T$7="Solar Wind",POWER(Upgrades!$U$7,F273),1)*IF(Upgrades!$T$8="Solar Wind",POWER(Upgrades!$U$8,G273),1)*IF(Upgrades!$T$9="Solar Wind",POWER(Upgrades!$U$9,H273),1)*IF(Upgrades!$T$10="Solar Wind",POWER(Upgrades!$U$10,I273),1)*IF(Upgrades!$T$11="Solar Wind",POWER(Upgrades!$U$11,J273),1)*IF(Upgrades!$T$12="Solar Wind",POWER(Upgrades!$U$12,K273),1))+(IF(F273=0,0,(Upgrades!$M$7+F273*Upgrades!$N$7)*POWER(Upgrades!$O$7,F273)))*(IF(Upgrades!$T$6="Asteroid Belt",POWER(Upgrades!$U$6,E273),1)*IF(Upgrades!$T$8="Asteroid Belt",POWER(Upgrades!$U$8,G273),1)*IF(Upgrades!$T$9="Asteroid Belt",POWER(Upgrades!$U$9,H273),1)*IF(Upgrades!$T$10="Asteroid Belt",POWER(Upgrades!$U$10,I273),1)*IF(Upgrades!$T$11="Asteroid Belt",POWER(Upgrades!$U$11,J273),1)*IF(Upgrades!$T$12="Asteroid Belt",POWER(Upgrades!$U$12,K273),1))+(IF(G273=0,0,(Upgrades!$M$8+G273*Upgrades!$N$8)*POWER(Upgrades!$O$8,G273)))*(IF(Upgrades!$T$6="Stellar Coupling",POWER(Upgrades!$U$6,E273),1)*IF(Upgrades!$T$7="Stellar Coupling",POWER(Upgrades!$U$7,F273),1)*IF(Upgrades!$T$9="Stellar Coupling",POWER(Upgrades!$U$9,H273),1)*IF(Upgrades!$T$10="Stellar Coupling",POWER(Upgrades!$U$10,I273),1)*IF(Upgrades!$T$11="Stellar Coupling",POWER(Upgrades!$U$11,J273),1)*IF(Upgrades!$T$12="Stellar Coupling",POWER(Upgrades!$U$12,K273),1))+(IF(H273=0,0,(Upgrades!$M$9+H273*Upgrades!$N$9)*POWER(Upgrades!$O$9,H273)))*(IF(Upgrades!$T$6="Magnetosphere",POWER(Upgrades!$U$6,E273),1)*IF(Upgrades!$T$7="Magnetosphere",POWER(Upgrades!$U$7,F273),1)*IF(Upgrades!$T$8="Magnetosphere",POWER(Upgrades!$U$8,G273),1)*IF(Upgrades!$T$10="Magnetosphere",POWER(Upgrades!$U$10,I273),1)*IF(Upgrades!$T$11="Magnetosphere",POWER(Upgrades!$U$11,J273),1)*IF(Upgrades!$T$12="Magnetosphere",POWER(Upgrades!$U$12,K273),1))+(IF(I273=0,0,(Upgrades!$M$10+I273*Upgrades!$N$10)*POWER(Upgrades!$O$10,I273)))*(IF(Upgrades!$T$6="Orbital Resonance",POWER(Upgrades!$U$6,E273),1)*IF(Upgrades!$T$7="Orbital Resonance",POWER(Upgrades!$U$7,F273),1)*IF(Upgrades!$T$8="Orbital Resonance",POWER(Upgrades!$U$8,G273),1)*IF(Upgrades!$T$9="Orbital Resonance",POWER(Upgrades!$U$9,H273),1)*IF(Upgrades!$T$11="Orbital Resonance",POWER(Upgrades!$U$11,J273),1)*IF(Upgrades!$T$12="Orbital Resonance",POWER(Upgrades!$U$12,K273),1))+(IF(J273=0,0,(Upgrades!$M$11+J273*Upgrades!$N$11)*POWER(Upgrades!$O$11,J273)))*(IF(Upgrades!$T$6="Heliopause",POWER(Upgrades!$U$6,E273),1)*IF(Upgrades!$T$7="Heliopause",POWER(Upgrades!$U$7,F273),1)*IF(Upgrades!$T$8="Heliopause",POWER(Upgrades!$U$8,G273),1)*IF(Upgrades!$T$9="Heliopause",POWER(Upgrades!$U$9,H273),1)*IF(Upgrades!$T$10="Heliopause",POWER(Upgrades!$U$10,I273),1)*IF(Upgrades!$T$12="Heliopause",POWER(Upgrades!$U$12,K273),1))+(IF(K273=0,0,(Upgrades!$M$12+K273*Upgrades!$N$12)*POWER(Upgrades!$O$12,K273)))*(IF(Upgrades!$T$6="First Photons",POWER(Upgrades!$U$6,E273),1)*IF(Upgrades!$T$7="First Photons",POWER(Upgrades!$U$7,F273),1)*IF(Upgrades!$T$8="First Photons",POWER(Upgrades!$U$8,G273),1)*IF(Upgrades!$T$9="First Photons",POWER(Upgrades!$U$9,H273),1)*IF(Upgrades!$T$10="First Photons",POWER(Upgrades!$U$10,I273),1)*IF(Upgrades!$T$11="First Photons",POWER(Upgrades!$U$11,J273),1)))*POWER(Upgrades!$R$6,E273)*POWER(Upgrades!$R$7,F273)*POWER(Upgrades!$R$8,G273)*POWER(Upgrades!$R$9,H273)*POWER(Upgrades!$R$10,I273)*POWER(Upgrades!$R$11,J273)*POWER(Upgrades!$R$12,K273)</f>
        <v>0</v>
      </c>
      <c r="P273" s="27" t="n">
        <f aca="false">IF(L273=1,0,M273*Parameters!$B$10/60*Parameters!$B$11*10)</f>
        <v>0</v>
      </c>
      <c r="Q273" s="27" t="n">
        <f aca="false">IF(L273=1,0,O273*M273*10)</f>
        <v>0</v>
      </c>
      <c r="R273" s="27" t="n">
        <f aca="false">IF(L273=1,0,N273*10)</f>
        <v>0</v>
      </c>
      <c r="S273" s="27" t="n">
        <f aca="false">P273+Q273+R273</f>
        <v>0</v>
      </c>
      <c r="T273" s="21" t="n">
        <f aca="false">C273+S273</f>
        <v>18.6730249835055</v>
      </c>
      <c r="U273" s="34" t="str">
        <f aca="false">AX273</f>
        <v/>
      </c>
      <c r="V273" s="21" t="n">
        <f aca="false">IF(U273="",0,IF(U273="transition",0,IF(U273="SW",AG273,IF(U273="AB",AH273,IF(U273="SC",AI273,IF(U273="Mag",AJ273,IF(U273="OR",AK273,IF(U273="HP",AL273,IF(U273="FP",AM273,0)))))))))</f>
        <v>0</v>
      </c>
      <c r="W273" s="27" t="n">
        <f aca="false">IF(U273="OR",Upgrades!$F$10,IF(U273="HP",Upgrades!$F$11,IF(U273="transition",-Parameters!$B$18,0)))</f>
        <v>0</v>
      </c>
      <c r="X273" s="21" t="n">
        <f aca="false">T273-V273</f>
        <v>18.6730249835055</v>
      </c>
      <c r="Y273" s="30" t="n">
        <f aca="false">M273*Parameters!$B$10/60*Parameters!$B$11+O273*M273+N273</f>
        <v>20.55</v>
      </c>
      <c r="Z273" s="35" t="str">
        <f aca="false">IF(U273="transition","→ Tier 2 (Stellar Neighborhood)",IF(U273="FP","First Photons — light begins, system quickens",IF(U273="HP","Heliopause acquired",IF(U273="OR","Orbital Resonance — passive multiplier active",IF(AND(AO273=1,L273=0,AN273&lt;&gt;1),"Cohesion ready (waiting on completionist upgrades)","")))))</f>
        <v/>
      </c>
      <c r="AA273" s="27" t="n">
        <f aca="false">(IF(E273=0,0,(Upgrades!$G$6+E273*Upgrades!$H$6)*POWER(Upgrades!$I$6,E273)))*(IF(Upgrades!$T$7="Solar Wind",POWER(Upgrades!$U$7,F273),1)*IF(Upgrades!$T$8="Solar Wind",POWER(Upgrades!$U$8,G273),1)*IF(Upgrades!$T$9="Solar Wind",POWER(Upgrades!$U$9,H273),1)*IF(Upgrades!$T$10="Solar Wind",POWER(Upgrades!$U$10,I273),1)*IF(Upgrades!$T$11="Solar Wind",POWER(Upgrades!$U$11,J273),1)*IF(Upgrades!$T$12="Solar Wind",POWER(Upgrades!$U$12,K273),1))*POWER(Upgrades!$P$6,E273)*POWER(Upgrades!$P$7,F273)*POWER(Upgrades!$P$8,G273)*POWER(Upgrades!$P$9,H273)*POWER(Upgrades!$P$10,I273)*POWER(Upgrades!$P$11,J273)*POWER(Upgrades!$P$12,K273)*60</f>
        <v>72</v>
      </c>
      <c r="AB273" s="27" t="n">
        <f aca="false">(IF(F273=0,0,(Upgrades!$G$7+F273*Upgrades!$H$7)*POWER(Upgrades!$I$7,F273)))*(IF(Upgrades!$T$6="Asteroid Belt",POWER(Upgrades!$U$6,E273),1)*IF(Upgrades!$T$8="Asteroid Belt",POWER(Upgrades!$U$8,G273),1)*IF(Upgrades!$T$9="Asteroid Belt",POWER(Upgrades!$U$9,H273),1)*IF(Upgrades!$T$10="Asteroid Belt",POWER(Upgrades!$U$10,I273),1)*IF(Upgrades!$T$11="Asteroid Belt",POWER(Upgrades!$U$11,J273),1)*IF(Upgrades!$T$12="Asteroid Belt",POWER(Upgrades!$U$12,K273),1))*POWER(Upgrades!$P$6,E273)*POWER(Upgrades!$P$7,F273)*POWER(Upgrades!$P$8,G273)*POWER(Upgrades!$P$9,H273)*POWER(Upgrades!$P$10,I273)*POWER(Upgrades!$P$11,J273)*POWER(Upgrades!$P$12,K273)*60</f>
        <v>150</v>
      </c>
      <c r="AC273" s="27" t="n">
        <f aca="false">(IF(G273=0,0,(Upgrades!$J$8+G273*Upgrades!$K$8)*POWER(Upgrades!$L$8,G273)))*(IF(Upgrades!$T$6="Stellar Coupling",POWER(Upgrades!$U$6,E273),1)*IF(Upgrades!$T$7="Stellar Coupling",POWER(Upgrades!$U$7,F273),1)*IF(Upgrades!$T$9="Stellar Coupling",POWER(Upgrades!$U$9,H273),1)*IF(Upgrades!$T$10="Stellar Coupling",POWER(Upgrades!$U$10,I273),1)*IF(Upgrades!$T$11="Stellar Coupling",POWER(Upgrades!$U$11,J273),1)*IF(Upgrades!$T$12="Stellar Coupling",POWER(Upgrades!$U$12,K273),1))*POWER(Upgrades!$Q$6,E273)*POWER(Upgrades!$Q$7,F273)*POWER(Upgrades!$Q$8,G273)*POWER(Upgrades!$Q$9,H273)*POWER(Upgrades!$Q$10,I273)*POWER(Upgrades!$Q$11,J273)*POWER(Upgrades!$Q$12,K273)*Parameters!$B$10*Parameters!$B$11</f>
        <v>441</v>
      </c>
      <c r="AD273" s="27" t="n">
        <f aca="false">(IF(H273=0,0,(Upgrades!$G$9+H273*Upgrades!$H$9)*POWER(Upgrades!$I$9,H273)))*(IF(Upgrades!$T$6="Magnetosphere",POWER(Upgrades!$U$6,E273),1)*IF(Upgrades!$T$7="Magnetosphere",POWER(Upgrades!$U$7,F273),1)*IF(Upgrades!$T$8="Magnetosphere",POWER(Upgrades!$U$8,G273),1)*IF(Upgrades!$T$10="Magnetosphere",POWER(Upgrades!$U$10,I273),1)*IF(Upgrades!$T$11="Magnetosphere",POWER(Upgrades!$U$11,J273),1)*IF(Upgrades!$T$12="Magnetosphere",POWER(Upgrades!$U$12,K273),1))*POWER(Upgrades!$P$6,E273)*POWER(Upgrades!$P$7,F273)*POWER(Upgrades!$P$8,G273)*POWER(Upgrades!$P$9,H273)*POWER(Upgrades!$P$10,I273)*POWER(Upgrades!$P$11,J273)*POWER(Upgrades!$P$12,K273)*60</f>
        <v>375</v>
      </c>
      <c r="AE273" s="27" t="n">
        <f aca="false">(IF(K273=0,0,(Upgrades!$G$12+K273*Upgrades!$H$12)*POWER(Upgrades!$I$12,K273)))*(IF(Upgrades!$T$6="First Photons",POWER(Upgrades!$U$6,E273),1)*IF(Upgrades!$T$7="First Photons",POWER(Upgrades!$U$7,F273),1)*IF(Upgrades!$T$8="First Photons",POWER(Upgrades!$U$8,G273),1)*IF(Upgrades!$T$9="First Photons",POWER(Upgrades!$U$9,H273),1)*IF(Upgrades!$T$10="First Photons",POWER(Upgrades!$U$10,I273),1)*IF(Upgrades!$T$11="First Photons",POWER(Upgrades!$U$11,J273),1))*POWER(Upgrades!$P$6,E273)*POWER(Upgrades!$P$7,F273)*POWER(Upgrades!$P$8,G273)*POWER(Upgrades!$P$9,H273)*POWER(Upgrades!$P$10,I273)*POWER(Upgrades!$P$11,J273)*POWER(Upgrades!$P$12,K273)*60</f>
        <v>75</v>
      </c>
      <c r="AF273" s="27" t="n">
        <f aca="false">Parameters!$B$9*POWER(Upgrades!$Q$6,E273)*POWER(Upgrades!$Q$7,F273)*POWER(Upgrades!$Q$8,G273)*POWER(Upgrades!$Q$9,H273)*POWER(Upgrades!$Q$10,I273)*POWER(Upgrades!$Q$11,J273)*POWER(Upgrades!$Q$12,K273)*(Parameters!$B$10*Parameters!$B$11+O273*60)</f>
        <v>120</v>
      </c>
      <c r="AG273" s="21" t="n">
        <f aca="false">IF(E273&gt;=Upgrades!$E$6,"",Upgrades!$C$6*POWER(Upgrades!$D$6,E273))</f>
        <v>37.4517507383159</v>
      </c>
      <c r="AH273" s="21" t="n">
        <f aca="false">IF(F273&gt;=Upgrades!$E$7,"",Upgrades!$C$7*POWER(Upgrades!$D$7,F273))</f>
        <v>80.9111547141581</v>
      </c>
      <c r="AI273" s="21" t="n">
        <f aca="false">IF(G273&gt;=Upgrades!$E$8,"",Upgrades!$C$8*POWER(Upgrades!$D$8,G273))</f>
        <v>231.9097088</v>
      </c>
      <c r="AJ273" s="21" t="str">
        <f aca="false">IF(H273&gt;=Upgrades!$E$9,"",Upgrades!$C$9*POWER(Upgrades!$D$9,H273))</f>
        <v/>
      </c>
      <c r="AK273" s="21" t="str">
        <f aca="false">IF(I273&gt;=Upgrades!$E$10,"",Upgrades!$C$10*POWER(Upgrades!$D$10,I273))</f>
        <v/>
      </c>
      <c r="AL273" s="21" t="str">
        <f aca="false">IF(J273&gt;=Upgrades!$E$11,"",Upgrades!$C$11*POWER(Upgrades!$D$11,J273))</f>
        <v/>
      </c>
      <c r="AM273" s="21" t="str">
        <f aca="false">IF(K273&gt;=Upgrades!$E$12,"",Upgrades!$C$12*POWER(Upgrades!$D$12,K273))</f>
        <v/>
      </c>
      <c r="AN273" s="26" t="str">
        <f aca="false">IF(AND(D273&gt;=Parameters!$B$18,(H273&gt;=Upgrades!$E$9)*(K273&gt;=Upgrades!$E$12)=1,L273=0),1,"")</f>
        <v/>
      </c>
      <c r="AO273" s="26" t="str">
        <f aca="false">IF(AND(D273&gt;=Parameters!$B$18,L273=0),1,"")</f>
        <v/>
      </c>
      <c r="AP273" s="21" t="n">
        <f aca="false">MIN(IF(ISNUMBER(AK273),AK273,9000000000000000),IF(ISNUMBER(AL273),AL273,9000000000000000),IF(ISNUMBER(AM273),AM273,9000000000000000))</f>
        <v>9000000000000000</v>
      </c>
      <c r="AQ273" s="21" t="n">
        <f aca="false">MIN(IF(ISNUMBER(AG273),AG273,9000000000000000),IF(ISNUMBER(AH273),AH273,9000000000000000),IF(ISNUMBER(AI273),AI273,9000000000000000),IF(ISNUMBER(AJ273),AJ273,9000000000000000))</f>
        <v>37.4517507383159</v>
      </c>
      <c r="AR273" s="32" t="b">
        <f aca="false">IF(AW273&gt;Parameters!$B$21*(MAX(IF(AND(NOT(AND(AO273=1,AN273&lt;&gt;1)),ISNUMBER(AG273),AG273&lt;=T273),AS273,0),IF(AND(NOT(AND(AO273=1,AN273&lt;&gt;1)),ISNUMBER(AH273),AH273&lt;=T273),AT273,0),IF(AND(NOT(AND(AO273=1,AN273&lt;&gt;1)),ISNUMBER(AI273),AI273&lt;=T273),AU273,0),IF(AND(ISNUMBER(AJ273),AJ273&lt;=T273),AV273,0))),TRUE(),FALSE())</f>
        <v>1</v>
      </c>
      <c r="AS273" s="33" t="n">
        <f aca="false">IFERROR(Upgrades!$H$6*(POWER(Upgrades!$P$6,E273)*POWER(Upgrades!$P$7,F273)*POWER(Upgrades!$P$8,G273)*POWER(Upgrades!$P$9,H273)*POWER(Upgrades!$P$10,I273)*POWER(Upgrades!$P$11,J273)*POWER(Upgrades!$P$12,K273))*(IF(Upgrades!$T$7="Solar Wind",POWER(Upgrades!$U$7,F273),1)*IF(Upgrades!$T$8="Solar Wind",POWER(Upgrades!$U$8,G273),1)*IF(Upgrades!$T$9="Solar Wind",POWER(Upgrades!$U$9,H273),1)*IF(Upgrades!$T$10="Solar Wind",POWER(Upgrades!$U$10,I273),1)*IF(Upgrades!$T$11="Solar Wind",POWER(Upgrades!$U$11,J273),1)*IF(Upgrades!$T$12="Solar Wind",POWER(Upgrades!$U$12,K273),1))/AG273,0)</f>
        <v>0.0026701021455238</v>
      </c>
      <c r="AT273" s="33" t="n">
        <f aca="false">IFERROR(Upgrades!$H$7*(POWER(Upgrades!$P$6,E273)*POWER(Upgrades!$P$7,F273)*POWER(Upgrades!$P$8,G273)*POWER(Upgrades!$P$9,H273)*POWER(Upgrades!$P$10,I273)*POWER(Upgrades!$P$11,J273)*POWER(Upgrades!$P$12,K273))*(IF(Upgrades!$T$6="Asteroid Belt",POWER(Upgrades!$U$6,E273),1)*IF(Upgrades!$T$8="Asteroid Belt",POWER(Upgrades!$U$8,G273),1)*IF(Upgrades!$T$9="Asteroid Belt",POWER(Upgrades!$U$9,H273),1)*IF(Upgrades!$T$10="Asteroid Belt",POWER(Upgrades!$U$10,I273),1)*IF(Upgrades!$T$11="Asteroid Belt",POWER(Upgrades!$U$11,J273),1)*IF(Upgrades!$T$12="Asteroid Belt",POWER(Upgrades!$U$12,K273),1))/AH273,0)</f>
        <v>0.00308980882652332</v>
      </c>
      <c r="AU273" s="33" t="n">
        <f aca="false">IFERROR(Upgrades!$K$8*(POWER(Upgrades!$Q$6,E273)*POWER(Upgrades!$Q$7,F273)*POWER(Upgrades!$Q$8,G273)*POWER(Upgrades!$Q$9,H273)*POWER(Upgrades!$Q$10,I273)*POWER(Upgrades!$Q$11,J273)*POWER(Upgrades!$Q$12,K273))*(IF(Upgrades!$T$6="Stellar Coupling",POWER(Upgrades!$U$6,E273),1)*IF(Upgrades!$T$7="Stellar Coupling",POWER(Upgrades!$U$7,F273),1)*IF(Upgrades!$T$9="Stellar Coupling",POWER(Upgrades!$U$9,H273),1)*IF(Upgrades!$T$10="Stellar Coupling",POWER(Upgrades!$U$10,I273),1)*IF(Upgrades!$T$11="Stellar Coupling",POWER(Upgrades!$U$11,J273),1)*IF(Upgrades!$T$12="Stellar Coupling",POWER(Upgrades!$U$12,K273),1))*Parameters!$B$10*Parameters!$B$11/60/AI273,0)</f>
        <v>0.00452762415783776</v>
      </c>
      <c r="AV273" s="33" t="n">
        <f aca="false">IFERROR(Upgrades!$H$9*(POWER(Upgrades!$P$6,E273)*POWER(Upgrades!$P$7,F273)*POWER(Upgrades!$P$8,G273)*POWER(Upgrades!$P$9,H273)*POWER(Upgrades!$P$10,I273)*POWER(Upgrades!$P$11,J273)*POWER(Upgrades!$P$12,K273))*(IF(Upgrades!$T$6="Magnetosphere",POWER(Upgrades!$U$6,E273),1)*IF(Upgrades!$T$7="Magnetosphere",POWER(Upgrades!$U$7,F273),1)*IF(Upgrades!$T$8="Magnetosphere",POWER(Upgrades!$U$8,G273),1)*IF(Upgrades!$T$10="Magnetosphere",POWER(Upgrades!$U$10,I273),1)*IF(Upgrades!$T$11="Magnetosphere",POWER(Upgrades!$U$11,J273),1)*IF(Upgrades!$T$12="Magnetosphere",POWER(Upgrades!$U$12,K273),1))/AJ273,0)</f>
        <v>0</v>
      </c>
      <c r="AW273" s="33" t="n">
        <f aca="false">MAX(IF(I273&gt;0,0,IFERROR(0.25*N273/Upgrades!$C$10,0)),IF(J273&gt;0,0,IFERROR(0.5*((IF(G273=0,0,(Upgrades!$J$8+G273*Upgrades!$K$8)*POWER(Upgrades!$L$8,G273)))*(IF(Upgrades!$T$6="Stellar Coupling",POWER(Upgrades!$U$6,E273),1)*IF(Upgrades!$T$7="Stellar Coupling",POWER(Upgrades!$U$7,F273),1)*IF(Upgrades!$T$9="Stellar Coupling",POWER(Upgrades!$U$9,H273),1)*IF(Upgrades!$T$10="Stellar Coupling",POWER(Upgrades!$U$10,I273),1)*IF(Upgrades!$T$11="Stellar Coupling",POWER(Upgrades!$U$11,J273),1)*IF(Upgrades!$T$12="Stellar Coupling",POWER(Upgrades!$U$12,K273),1))*(POWER(Upgrades!$Q$6,E273)*POWER(Upgrades!$Q$7,F273)*POWER(Upgrades!$Q$8,G273)*POWER(Upgrades!$Q$9,H273)*POWER(Upgrades!$Q$10,I273)*POWER(Upgrades!$Q$11,J273)*POWER(Upgrades!$Q$12,K273))*Parameters!$B$10*Parameters!$B$11/60)/Upgrades!$C$11,0)),IF(K273&gt;0,0,IFERROR((1*(POWER(Upgrades!$P$6,E273)*POWER(Upgrades!$P$7,F273)*POWER(Upgrades!$P$8,G273)*POWER(Upgrades!$P$9,H273)*POWER(Upgrades!$P$10,I273)*POWER(Upgrades!$P$11,J273)*POWER(Upgrades!$P$12,K273))+0.2*M273*Parameters!$B$10*Parameters!$B$11/60)/Upgrades!$C$12,0)),IF(AND(ISNUMBER(AG273),AG273&gt;T273),AS273,0),IF(AND(ISNUMBER(AH273),AH273&gt;T273),AT273,0),IF(AND(ISNUMBER(AI273),AI273&gt;T273),AU273,0),IF(AND(ISNUMBER(AJ273),AJ273&gt;T273),AV273,0))</f>
        <v>0.00452762415783776</v>
      </c>
      <c r="AX273" s="29" t="str">
        <f aca="false">IF(AN273=1,"transition",IF(MIN(IF(AND(I273=0,ISNUMBER(AK273),AK273&lt;=T273),AK273,9000000000000000),IF(AND(J273=0,ISNUMBER(AL273),AL273&lt;=T273),AL273,9000000000000000),IF(AND(K273=0,ISNUMBER(AM273),AM273&lt;=T273),AM273,9000000000000000))&lt;9000000000000000,IF(AND(AND(I273=0,ISNUMBER(AK273),AK273&lt;=T273),AK273=MIN(IF(AND(I273=0,ISNUMBER(AK273),AK273&lt;=T273),AK273,9000000000000000),IF(AND(J273=0,ISNUMBER(AL273),AL273&lt;=T273),AL273,9000000000000000),IF(AND(K273=0,ISNUMBER(AM273),AM273&lt;=T273),AM273,9000000000000000))),"OR",IF(AND(AND(J273=0,ISNUMBER(AL273),AL273&lt;=T273),AL273=MIN(IF(AND(I273=0,ISNUMBER(AK273),AK273&lt;=T273),AK273,9000000000000000),IF(AND(J273=0,ISNUMBER(AL273),AL273&lt;=T273),AL273,9000000000000000),IF(AND(K273=0,ISNUMBER(AM273),AM273&lt;=T273),AM273,9000000000000000))),"HP","FP")),IF(AR273=TRUE(),"",IF(MAX(IF(AND(NOT(AND(AO273=1,AN273&lt;&gt;1)),ISNUMBER(AG273),AG273&lt;=T273),AS273,0),IF(AND(NOT(AND(AO273=1,AN273&lt;&gt;1)),ISNUMBER(AH273),AH273&lt;=T273),AT273,0),IF(AND(NOT(AND(AO273=1,AN273&lt;&gt;1)),ISNUMBER(AI273),AI273&lt;=T273),AU273,0),IF(AND(ISNUMBER(AJ273),AJ273&lt;=T273),AV273,0))&lt;=0,"",IF(AND(IF(AND(NOT(AND(AO273=1,AN273&lt;&gt;1)),ISNUMBER(AG273),AG273&lt;=T273),AS273,0)&gt;0,IF(AND(NOT(AND(AO273=1,AN273&lt;&gt;1)),ISNUMBER(AG273),AG273&lt;=T273),AS273,0)=MAX(IF(AND(NOT(AND(AO273=1,AN273&lt;&gt;1)),ISNUMBER(AG273),AG273&lt;=T273),AS273,0),IF(AND(NOT(AND(AO273=1,AN273&lt;&gt;1)),ISNUMBER(AH273),AH273&lt;=T273),AT273,0),IF(AND(NOT(AND(AO273=1,AN273&lt;&gt;1)),ISNUMBER(AI273),AI273&lt;=T273),AU273,0),IF(AND(ISNUMBER(AJ273),AJ273&lt;=T273),AV273,0))),"SW",IF(AND(IF(AND(NOT(AND(AO273=1,AN273&lt;&gt;1)),ISNUMBER(AH273),AH273&lt;=T273),AT273,0)&gt;0,IF(AND(NOT(AND(AO273=1,AN273&lt;&gt;1)),ISNUMBER(AH273),AH273&lt;=T273),AT273,0)=MAX(IF(AND(NOT(AND(AO273=1,AN273&lt;&gt;1)),ISNUMBER(AG273),AG273&lt;=T273),AS273,0),IF(AND(NOT(AND(AO273=1,AN273&lt;&gt;1)),ISNUMBER(AH273),AH273&lt;=T273),AT273,0),IF(AND(NOT(AND(AO273=1,AN273&lt;&gt;1)),ISNUMBER(AI273),AI273&lt;=T273),AU273,0),IF(AND(ISNUMBER(AJ273),AJ273&lt;=T273),AV273,0))),"AB",IF(AND(IF(AND(NOT(AND(AO273=1,AN273&lt;&gt;1)),ISNUMBER(AI273),AI273&lt;=T273),AU273,0)&gt;0,IF(AND(NOT(AND(AO273=1,AN273&lt;&gt;1)),ISNUMBER(AI273),AI273&lt;=T273),AU273,0)=MAX(IF(AND(NOT(AND(AO273=1,AN273&lt;&gt;1)),ISNUMBER(AG273),AG273&lt;=T273),AS273,0),IF(AND(NOT(AND(AO273=1,AN273&lt;&gt;1)),ISNUMBER(AH273),AH273&lt;=T273),AT273,0),IF(AND(NOT(AND(AO273=1,AN273&lt;&gt;1)),ISNUMBER(AI273),AI273&lt;=T273),AU273,0),IF(AND(ISNUMBER(AJ273),AJ273&lt;=T273),AV273,0))),"SC","Mag")))))))</f>
        <v/>
      </c>
    </row>
    <row r="274" customFormat="false" ht="15" hidden="false" customHeight="false" outlineLevel="0" collapsed="false">
      <c r="A274" s="26" t="n">
        <v>269</v>
      </c>
      <c r="B274" s="27" t="n">
        <f aca="false">A274*10/60</f>
        <v>44.8333333333333</v>
      </c>
      <c r="C274" s="21" t="n">
        <f aca="false">X273</f>
        <v>18.6730249835055</v>
      </c>
      <c r="D274" s="27" t="n">
        <f aca="false">D273+W273</f>
        <v>0</v>
      </c>
      <c r="E274" s="26" t="n">
        <f aca="false">E273+IF(U273="SW",1,0)</f>
        <v>12</v>
      </c>
      <c r="F274" s="26" t="n">
        <f aca="false">F273+IF(U273="AB",1,0)</f>
        <v>10</v>
      </c>
      <c r="G274" s="26" t="n">
        <f aca="false">G273+IF(U273="SC",1,0)</f>
        <v>7</v>
      </c>
      <c r="H274" s="26" t="n">
        <f aca="false">H273+IF(U273="Mag",1,0)</f>
        <v>5</v>
      </c>
      <c r="I274" s="26" t="n">
        <f aca="false">MAX(I273,IF(U273="OR",1,0))</f>
        <v>1</v>
      </c>
      <c r="J274" s="26" t="n">
        <f aca="false">MAX(J273,IF(U273="HP",1,0))</f>
        <v>1</v>
      </c>
      <c r="K274" s="26" t="n">
        <f aca="false">MAX(K273,IF(U273="FP",1,0))</f>
        <v>1</v>
      </c>
      <c r="L274" s="26" t="n">
        <f aca="false">MAX(L273,IF(U273="transition",1,0))</f>
        <v>1</v>
      </c>
      <c r="M274" s="28" t="n">
        <f aca="false">(Parameters!$B$9+(IF(E274=0,0,(Upgrades!$J$6+E274*Upgrades!$K$6)*POWER(Upgrades!$L$6,E274)))*(IF(Upgrades!$T$7="Solar Wind",POWER(Upgrades!$U$7,F274),1)*IF(Upgrades!$T$8="Solar Wind",POWER(Upgrades!$U$8,G274),1)*IF(Upgrades!$T$9="Solar Wind",POWER(Upgrades!$U$9,H274),1)*IF(Upgrades!$T$10="Solar Wind",POWER(Upgrades!$U$10,I274),1)*IF(Upgrades!$T$11="Solar Wind",POWER(Upgrades!$U$11,J274),1)*IF(Upgrades!$T$12="Solar Wind",POWER(Upgrades!$U$12,K274),1))+(IF(F274=0,0,(Upgrades!$J$7+F274*Upgrades!$K$7)*POWER(Upgrades!$L$7,F274)))*(IF(Upgrades!$T$6="Asteroid Belt",POWER(Upgrades!$U$6,E274),1)*IF(Upgrades!$T$8="Asteroid Belt",POWER(Upgrades!$U$8,G274),1)*IF(Upgrades!$T$9="Asteroid Belt",POWER(Upgrades!$U$9,H274),1)*IF(Upgrades!$T$10="Asteroid Belt",POWER(Upgrades!$U$10,I274),1)*IF(Upgrades!$T$11="Asteroid Belt",POWER(Upgrades!$U$11,J274),1)*IF(Upgrades!$T$12="Asteroid Belt",POWER(Upgrades!$U$12,K274),1))+(IF(G274=0,0,(Upgrades!$J$8+G274*Upgrades!$K$8)*POWER(Upgrades!$L$8,G274)))*(IF(Upgrades!$T$6="Stellar Coupling",POWER(Upgrades!$U$6,E274),1)*IF(Upgrades!$T$7="Stellar Coupling",POWER(Upgrades!$U$7,F274),1)*IF(Upgrades!$T$9="Stellar Coupling",POWER(Upgrades!$U$9,H274),1)*IF(Upgrades!$T$10="Stellar Coupling",POWER(Upgrades!$U$10,I274),1)*IF(Upgrades!$T$11="Stellar Coupling",POWER(Upgrades!$U$11,J274),1)*IF(Upgrades!$T$12="Stellar Coupling",POWER(Upgrades!$U$12,K274),1))+(IF(H274=0,0,(Upgrades!$J$9+H274*Upgrades!$K$9)*POWER(Upgrades!$L$9,H274)))*(IF(Upgrades!$T$6="Magnetosphere",POWER(Upgrades!$U$6,E274),1)*IF(Upgrades!$T$7="Magnetosphere",POWER(Upgrades!$U$7,F274),1)*IF(Upgrades!$T$8="Magnetosphere",POWER(Upgrades!$U$8,G274),1)*IF(Upgrades!$T$10="Magnetosphere",POWER(Upgrades!$U$10,I274),1)*IF(Upgrades!$T$11="Magnetosphere",POWER(Upgrades!$U$11,J274),1)*IF(Upgrades!$T$12="Magnetosphere",POWER(Upgrades!$U$12,K274),1))+(IF(I274=0,0,(Upgrades!$J$10+I274*Upgrades!$K$10)*POWER(Upgrades!$L$10,I274)))*(IF(Upgrades!$T$6="Orbital Resonance",POWER(Upgrades!$U$6,E274),1)*IF(Upgrades!$T$7="Orbital Resonance",POWER(Upgrades!$U$7,F274),1)*IF(Upgrades!$T$8="Orbital Resonance",POWER(Upgrades!$U$8,G274),1)*IF(Upgrades!$T$9="Orbital Resonance",POWER(Upgrades!$U$9,H274),1)*IF(Upgrades!$T$11="Orbital Resonance",POWER(Upgrades!$U$11,J274),1)*IF(Upgrades!$T$12="Orbital Resonance",POWER(Upgrades!$U$12,K274),1))+(IF(J274=0,0,(Upgrades!$J$11+J274*Upgrades!$K$11)*POWER(Upgrades!$L$11,J274)))*(IF(Upgrades!$T$6="Heliopause",POWER(Upgrades!$U$6,E274),1)*IF(Upgrades!$T$7="Heliopause",POWER(Upgrades!$U$7,F274),1)*IF(Upgrades!$T$8="Heliopause",POWER(Upgrades!$U$8,G274),1)*IF(Upgrades!$T$9="Heliopause",POWER(Upgrades!$U$9,H274),1)*IF(Upgrades!$T$10="Heliopause",POWER(Upgrades!$U$10,I274),1)*IF(Upgrades!$T$12="Heliopause",POWER(Upgrades!$U$12,K274),1))+(IF(K274=0,0,(Upgrades!$J$12+K274*Upgrades!$K$12)*POWER(Upgrades!$L$12,K274)))*(IF(Upgrades!$T$6="First Photons",POWER(Upgrades!$U$6,E274),1)*IF(Upgrades!$T$7="First Photons",POWER(Upgrades!$U$7,F274),1)*IF(Upgrades!$T$8="First Photons",POWER(Upgrades!$U$8,G274),1)*IF(Upgrades!$T$9="First Photons",POWER(Upgrades!$U$9,H274),1)*IF(Upgrades!$T$10="First Photons",POWER(Upgrades!$U$10,I274),1)*IF(Upgrades!$T$11="First Photons",POWER(Upgrades!$U$11,J274),1)))*POWER(Upgrades!$Q$6,E274)*POWER(Upgrades!$Q$7,F274)*POWER(Upgrades!$Q$8,G274)*POWER(Upgrades!$Q$9,H274)*POWER(Upgrades!$Q$10,I274)*POWER(Upgrades!$Q$11,J274)*POWER(Upgrades!$Q$12,K274)</f>
        <v>5.61</v>
      </c>
      <c r="N274" s="28" t="n">
        <f aca="false">((IF(E274=0,0,(Upgrades!$G$6+E274*Upgrades!$H$6)*POWER(Upgrades!$I$6,E274)))*(IF(Upgrades!$T$7="Solar Wind",POWER(Upgrades!$U$7,F274),1)*IF(Upgrades!$T$8="Solar Wind",POWER(Upgrades!$U$8,G274),1)*IF(Upgrades!$T$9="Solar Wind",POWER(Upgrades!$U$9,H274),1)*IF(Upgrades!$T$10="Solar Wind",POWER(Upgrades!$U$10,I274),1)*IF(Upgrades!$T$11="Solar Wind",POWER(Upgrades!$U$11,J274),1)*IF(Upgrades!$T$12="Solar Wind",POWER(Upgrades!$U$12,K274),1))+(IF(F274=0,0,(Upgrades!$G$7+F274*Upgrades!$H$7)*POWER(Upgrades!$I$7,F274)))*(IF(Upgrades!$T$6="Asteroid Belt",POWER(Upgrades!$U$6,E274),1)*IF(Upgrades!$T$8="Asteroid Belt",POWER(Upgrades!$U$8,G274),1)*IF(Upgrades!$T$9="Asteroid Belt",POWER(Upgrades!$U$9,H274),1)*IF(Upgrades!$T$10="Asteroid Belt",POWER(Upgrades!$U$10,I274),1)*IF(Upgrades!$T$11="Asteroid Belt",POWER(Upgrades!$U$11,J274),1)*IF(Upgrades!$T$12="Asteroid Belt",POWER(Upgrades!$U$12,K274),1))+(IF(G274=0,0,(Upgrades!$G$8+G274*Upgrades!$H$8)*POWER(Upgrades!$I$8,G274)))*(IF(Upgrades!$T$6="Stellar Coupling",POWER(Upgrades!$U$6,E274),1)*IF(Upgrades!$T$7="Stellar Coupling",POWER(Upgrades!$U$7,F274),1)*IF(Upgrades!$T$9="Stellar Coupling",POWER(Upgrades!$U$9,H274),1)*IF(Upgrades!$T$10="Stellar Coupling",POWER(Upgrades!$U$10,I274),1)*IF(Upgrades!$T$11="Stellar Coupling",POWER(Upgrades!$U$11,J274),1)*IF(Upgrades!$T$12="Stellar Coupling",POWER(Upgrades!$U$12,K274),1))+(IF(H274=0,0,(Upgrades!$G$9+H274*Upgrades!$H$9)*POWER(Upgrades!$I$9,H274)))*(IF(Upgrades!$T$6="Magnetosphere",POWER(Upgrades!$U$6,E274),1)*IF(Upgrades!$T$7="Magnetosphere",POWER(Upgrades!$U$7,F274),1)*IF(Upgrades!$T$8="Magnetosphere",POWER(Upgrades!$U$8,G274),1)*IF(Upgrades!$T$10="Magnetosphere",POWER(Upgrades!$U$10,I274),1)*IF(Upgrades!$T$11="Magnetosphere",POWER(Upgrades!$U$11,J274),1)*IF(Upgrades!$T$12="Magnetosphere",POWER(Upgrades!$U$12,K274),1))+(IF(I274=0,0,(Upgrades!$G$10+I274*Upgrades!$H$10)*POWER(Upgrades!$I$10,I274)))*(IF(Upgrades!$T$6="Orbital Resonance",POWER(Upgrades!$U$6,E274),1)*IF(Upgrades!$T$7="Orbital Resonance",POWER(Upgrades!$U$7,F274),1)*IF(Upgrades!$T$8="Orbital Resonance",POWER(Upgrades!$U$8,G274),1)*IF(Upgrades!$T$9="Orbital Resonance",POWER(Upgrades!$U$9,H274),1)*IF(Upgrades!$T$11="Orbital Resonance",POWER(Upgrades!$U$11,J274),1)*IF(Upgrades!$T$12="Orbital Resonance",POWER(Upgrades!$U$12,K274),1))+(IF(J274=0,0,(Upgrades!$G$11+J274*Upgrades!$H$11)*POWER(Upgrades!$I$11,J274)))*(IF(Upgrades!$T$6="Heliopause",POWER(Upgrades!$U$6,E274),1)*IF(Upgrades!$T$7="Heliopause",POWER(Upgrades!$U$7,F274),1)*IF(Upgrades!$T$8="Heliopause",POWER(Upgrades!$U$8,G274),1)*IF(Upgrades!$T$9="Heliopause",POWER(Upgrades!$U$9,H274),1)*IF(Upgrades!$T$10="Heliopause",POWER(Upgrades!$U$10,I274),1)*IF(Upgrades!$T$12="Heliopause",POWER(Upgrades!$U$12,K274),1))+(IF(K274=0,0,(Upgrades!$G$12+K274*Upgrades!$H$12)*POWER(Upgrades!$I$12,K274)))*(IF(Upgrades!$T$6="First Photons",POWER(Upgrades!$U$6,E274),1)*IF(Upgrades!$T$7="First Photons",POWER(Upgrades!$U$7,F274),1)*IF(Upgrades!$T$8="First Photons",POWER(Upgrades!$U$8,G274),1)*IF(Upgrades!$T$9="First Photons",POWER(Upgrades!$U$9,H274),1)*IF(Upgrades!$T$10="First Photons",POWER(Upgrades!$U$10,I274),1)*IF(Upgrades!$T$11="First Photons",POWER(Upgrades!$U$11,J274),1)))*POWER(Upgrades!$P$6,E274)*POWER(Upgrades!$P$7,F274)*POWER(Upgrades!$P$8,G274)*POWER(Upgrades!$P$9,H274)*POWER(Upgrades!$P$10,I274)*POWER(Upgrades!$P$11,J274)*POWER(Upgrades!$P$12,K274)</f>
        <v>11.2</v>
      </c>
      <c r="O274" s="28" t="n">
        <f aca="false">((IF(E274=0,0,(Upgrades!$M$6+E274*Upgrades!$N$6)*POWER(Upgrades!$O$6,E274)))*(IF(Upgrades!$T$7="Solar Wind",POWER(Upgrades!$U$7,F274),1)*IF(Upgrades!$T$8="Solar Wind",POWER(Upgrades!$U$8,G274),1)*IF(Upgrades!$T$9="Solar Wind",POWER(Upgrades!$U$9,H274),1)*IF(Upgrades!$T$10="Solar Wind",POWER(Upgrades!$U$10,I274),1)*IF(Upgrades!$T$11="Solar Wind",POWER(Upgrades!$U$11,J274),1)*IF(Upgrades!$T$12="Solar Wind",POWER(Upgrades!$U$12,K274),1))+(IF(F274=0,0,(Upgrades!$M$7+F274*Upgrades!$N$7)*POWER(Upgrades!$O$7,F274)))*(IF(Upgrades!$T$6="Asteroid Belt",POWER(Upgrades!$U$6,E274),1)*IF(Upgrades!$T$8="Asteroid Belt",POWER(Upgrades!$U$8,G274),1)*IF(Upgrades!$T$9="Asteroid Belt",POWER(Upgrades!$U$9,H274),1)*IF(Upgrades!$T$10="Asteroid Belt",POWER(Upgrades!$U$10,I274),1)*IF(Upgrades!$T$11="Asteroid Belt",POWER(Upgrades!$U$11,J274),1)*IF(Upgrades!$T$12="Asteroid Belt",POWER(Upgrades!$U$12,K274),1))+(IF(G274=0,0,(Upgrades!$M$8+G274*Upgrades!$N$8)*POWER(Upgrades!$O$8,G274)))*(IF(Upgrades!$T$6="Stellar Coupling",POWER(Upgrades!$U$6,E274),1)*IF(Upgrades!$T$7="Stellar Coupling",POWER(Upgrades!$U$7,F274),1)*IF(Upgrades!$T$9="Stellar Coupling",POWER(Upgrades!$U$9,H274),1)*IF(Upgrades!$T$10="Stellar Coupling",POWER(Upgrades!$U$10,I274),1)*IF(Upgrades!$T$11="Stellar Coupling",POWER(Upgrades!$U$11,J274),1)*IF(Upgrades!$T$12="Stellar Coupling",POWER(Upgrades!$U$12,K274),1))+(IF(H274=0,0,(Upgrades!$M$9+H274*Upgrades!$N$9)*POWER(Upgrades!$O$9,H274)))*(IF(Upgrades!$T$6="Magnetosphere",POWER(Upgrades!$U$6,E274),1)*IF(Upgrades!$T$7="Magnetosphere",POWER(Upgrades!$U$7,F274),1)*IF(Upgrades!$T$8="Magnetosphere",POWER(Upgrades!$U$8,G274),1)*IF(Upgrades!$T$10="Magnetosphere",POWER(Upgrades!$U$10,I274),1)*IF(Upgrades!$T$11="Magnetosphere",POWER(Upgrades!$U$11,J274),1)*IF(Upgrades!$T$12="Magnetosphere",POWER(Upgrades!$U$12,K274),1))+(IF(I274=0,0,(Upgrades!$M$10+I274*Upgrades!$N$10)*POWER(Upgrades!$O$10,I274)))*(IF(Upgrades!$T$6="Orbital Resonance",POWER(Upgrades!$U$6,E274),1)*IF(Upgrades!$T$7="Orbital Resonance",POWER(Upgrades!$U$7,F274),1)*IF(Upgrades!$T$8="Orbital Resonance",POWER(Upgrades!$U$8,G274),1)*IF(Upgrades!$T$9="Orbital Resonance",POWER(Upgrades!$U$9,H274),1)*IF(Upgrades!$T$11="Orbital Resonance",POWER(Upgrades!$U$11,J274),1)*IF(Upgrades!$T$12="Orbital Resonance",POWER(Upgrades!$U$12,K274),1))+(IF(J274=0,0,(Upgrades!$M$11+J274*Upgrades!$N$11)*POWER(Upgrades!$O$11,J274)))*(IF(Upgrades!$T$6="Heliopause",POWER(Upgrades!$U$6,E274),1)*IF(Upgrades!$T$7="Heliopause",POWER(Upgrades!$U$7,F274),1)*IF(Upgrades!$T$8="Heliopause",POWER(Upgrades!$U$8,G274),1)*IF(Upgrades!$T$9="Heliopause",POWER(Upgrades!$U$9,H274),1)*IF(Upgrades!$T$10="Heliopause",POWER(Upgrades!$U$10,I274),1)*IF(Upgrades!$T$12="Heliopause",POWER(Upgrades!$U$12,K274),1))+(IF(K274=0,0,(Upgrades!$M$12+K274*Upgrades!$N$12)*POWER(Upgrades!$O$12,K274)))*(IF(Upgrades!$T$6="First Photons",POWER(Upgrades!$U$6,E274),1)*IF(Upgrades!$T$7="First Photons",POWER(Upgrades!$U$7,F274),1)*IF(Upgrades!$T$8="First Photons",POWER(Upgrades!$U$8,G274),1)*IF(Upgrades!$T$9="First Photons",POWER(Upgrades!$U$9,H274),1)*IF(Upgrades!$T$10="First Photons",POWER(Upgrades!$U$10,I274),1)*IF(Upgrades!$T$11="First Photons",POWER(Upgrades!$U$11,J274),1)))*POWER(Upgrades!$R$6,E274)*POWER(Upgrades!$R$7,F274)*POWER(Upgrades!$R$8,G274)*POWER(Upgrades!$R$9,H274)*POWER(Upgrades!$R$10,I274)*POWER(Upgrades!$R$11,J274)*POWER(Upgrades!$R$12,K274)</f>
        <v>0</v>
      </c>
      <c r="P274" s="27" t="n">
        <f aca="false">IF(L274=1,0,M274*Parameters!$B$10/60*Parameters!$B$11*10)</f>
        <v>0</v>
      </c>
      <c r="Q274" s="27" t="n">
        <f aca="false">IF(L274=1,0,O274*M274*10)</f>
        <v>0</v>
      </c>
      <c r="R274" s="27" t="n">
        <f aca="false">IF(L274=1,0,N274*10)</f>
        <v>0</v>
      </c>
      <c r="S274" s="27" t="n">
        <f aca="false">P274+Q274+R274</f>
        <v>0</v>
      </c>
      <c r="T274" s="21" t="n">
        <f aca="false">C274+S274</f>
        <v>18.6730249835055</v>
      </c>
      <c r="U274" s="34" t="str">
        <f aca="false">AX274</f>
        <v/>
      </c>
      <c r="V274" s="21" t="n">
        <f aca="false">IF(U274="",0,IF(U274="transition",0,IF(U274="SW",AG274,IF(U274="AB",AH274,IF(U274="SC",AI274,IF(U274="Mag",AJ274,IF(U274="OR",AK274,IF(U274="HP",AL274,IF(U274="FP",AM274,0)))))))))</f>
        <v>0</v>
      </c>
      <c r="W274" s="27" t="n">
        <f aca="false">IF(U274="OR",Upgrades!$F$10,IF(U274="HP",Upgrades!$F$11,IF(U274="transition",-Parameters!$B$18,0)))</f>
        <v>0</v>
      </c>
      <c r="X274" s="21" t="n">
        <f aca="false">T274-V274</f>
        <v>18.6730249835055</v>
      </c>
      <c r="Y274" s="30" t="n">
        <f aca="false">M274*Parameters!$B$10/60*Parameters!$B$11+O274*M274+N274</f>
        <v>20.55</v>
      </c>
      <c r="Z274" s="35" t="str">
        <f aca="false">IF(U274="transition","→ Tier 2 (Stellar Neighborhood)",IF(U274="FP","First Photons — light begins, system quickens",IF(U274="HP","Heliopause acquired",IF(U274="OR","Orbital Resonance — passive multiplier active",IF(AND(AO274=1,L274=0,AN274&lt;&gt;1),"Cohesion ready (waiting on completionist upgrades)","")))))</f>
        <v/>
      </c>
      <c r="AA274" s="27" t="n">
        <f aca="false">(IF(E274=0,0,(Upgrades!$G$6+E274*Upgrades!$H$6)*POWER(Upgrades!$I$6,E274)))*(IF(Upgrades!$T$7="Solar Wind",POWER(Upgrades!$U$7,F274),1)*IF(Upgrades!$T$8="Solar Wind",POWER(Upgrades!$U$8,G274),1)*IF(Upgrades!$T$9="Solar Wind",POWER(Upgrades!$U$9,H274),1)*IF(Upgrades!$T$10="Solar Wind",POWER(Upgrades!$U$10,I274),1)*IF(Upgrades!$T$11="Solar Wind",POWER(Upgrades!$U$11,J274),1)*IF(Upgrades!$T$12="Solar Wind",POWER(Upgrades!$U$12,K274),1))*POWER(Upgrades!$P$6,E274)*POWER(Upgrades!$P$7,F274)*POWER(Upgrades!$P$8,G274)*POWER(Upgrades!$P$9,H274)*POWER(Upgrades!$P$10,I274)*POWER(Upgrades!$P$11,J274)*POWER(Upgrades!$P$12,K274)*60</f>
        <v>72</v>
      </c>
      <c r="AB274" s="27" t="n">
        <f aca="false">(IF(F274=0,0,(Upgrades!$G$7+F274*Upgrades!$H$7)*POWER(Upgrades!$I$7,F274)))*(IF(Upgrades!$T$6="Asteroid Belt",POWER(Upgrades!$U$6,E274),1)*IF(Upgrades!$T$8="Asteroid Belt",POWER(Upgrades!$U$8,G274),1)*IF(Upgrades!$T$9="Asteroid Belt",POWER(Upgrades!$U$9,H274),1)*IF(Upgrades!$T$10="Asteroid Belt",POWER(Upgrades!$U$10,I274),1)*IF(Upgrades!$T$11="Asteroid Belt",POWER(Upgrades!$U$11,J274),1)*IF(Upgrades!$T$12="Asteroid Belt",POWER(Upgrades!$U$12,K274),1))*POWER(Upgrades!$P$6,E274)*POWER(Upgrades!$P$7,F274)*POWER(Upgrades!$P$8,G274)*POWER(Upgrades!$P$9,H274)*POWER(Upgrades!$P$10,I274)*POWER(Upgrades!$P$11,J274)*POWER(Upgrades!$P$12,K274)*60</f>
        <v>150</v>
      </c>
      <c r="AC274" s="27" t="n">
        <f aca="false">(IF(G274=0,0,(Upgrades!$J$8+G274*Upgrades!$K$8)*POWER(Upgrades!$L$8,G274)))*(IF(Upgrades!$T$6="Stellar Coupling",POWER(Upgrades!$U$6,E274),1)*IF(Upgrades!$T$7="Stellar Coupling",POWER(Upgrades!$U$7,F274),1)*IF(Upgrades!$T$9="Stellar Coupling",POWER(Upgrades!$U$9,H274),1)*IF(Upgrades!$T$10="Stellar Coupling",POWER(Upgrades!$U$10,I274),1)*IF(Upgrades!$T$11="Stellar Coupling",POWER(Upgrades!$U$11,J274),1)*IF(Upgrades!$T$12="Stellar Coupling",POWER(Upgrades!$U$12,K274),1))*POWER(Upgrades!$Q$6,E274)*POWER(Upgrades!$Q$7,F274)*POWER(Upgrades!$Q$8,G274)*POWER(Upgrades!$Q$9,H274)*POWER(Upgrades!$Q$10,I274)*POWER(Upgrades!$Q$11,J274)*POWER(Upgrades!$Q$12,K274)*Parameters!$B$10*Parameters!$B$11</f>
        <v>441</v>
      </c>
      <c r="AD274" s="27" t="n">
        <f aca="false">(IF(H274=0,0,(Upgrades!$G$9+H274*Upgrades!$H$9)*POWER(Upgrades!$I$9,H274)))*(IF(Upgrades!$T$6="Magnetosphere",POWER(Upgrades!$U$6,E274),1)*IF(Upgrades!$T$7="Magnetosphere",POWER(Upgrades!$U$7,F274),1)*IF(Upgrades!$T$8="Magnetosphere",POWER(Upgrades!$U$8,G274),1)*IF(Upgrades!$T$10="Magnetosphere",POWER(Upgrades!$U$10,I274),1)*IF(Upgrades!$T$11="Magnetosphere",POWER(Upgrades!$U$11,J274),1)*IF(Upgrades!$T$12="Magnetosphere",POWER(Upgrades!$U$12,K274),1))*POWER(Upgrades!$P$6,E274)*POWER(Upgrades!$P$7,F274)*POWER(Upgrades!$P$8,G274)*POWER(Upgrades!$P$9,H274)*POWER(Upgrades!$P$10,I274)*POWER(Upgrades!$P$11,J274)*POWER(Upgrades!$P$12,K274)*60</f>
        <v>375</v>
      </c>
      <c r="AE274" s="27" t="n">
        <f aca="false">(IF(K274=0,0,(Upgrades!$G$12+K274*Upgrades!$H$12)*POWER(Upgrades!$I$12,K274)))*(IF(Upgrades!$T$6="First Photons",POWER(Upgrades!$U$6,E274),1)*IF(Upgrades!$T$7="First Photons",POWER(Upgrades!$U$7,F274),1)*IF(Upgrades!$T$8="First Photons",POWER(Upgrades!$U$8,G274),1)*IF(Upgrades!$T$9="First Photons",POWER(Upgrades!$U$9,H274),1)*IF(Upgrades!$T$10="First Photons",POWER(Upgrades!$U$10,I274),1)*IF(Upgrades!$T$11="First Photons",POWER(Upgrades!$U$11,J274),1))*POWER(Upgrades!$P$6,E274)*POWER(Upgrades!$P$7,F274)*POWER(Upgrades!$P$8,G274)*POWER(Upgrades!$P$9,H274)*POWER(Upgrades!$P$10,I274)*POWER(Upgrades!$P$11,J274)*POWER(Upgrades!$P$12,K274)*60</f>
        <v>75</v>
      </c>
      <c r="AF274" s="27" t="n">
        <f aca="false">Parameters!$B$9*POWER(Upgrades!$Q$6,E274)*POWER(Upgrades!$Q$7,F274)*POWER(Upgrades!$Q$8,G274)*POWER(Upgrades!$Q$9,H274)*POWER(Upgrades!$Q$10,I274)*POWER(Upgrades!$Q$11,J274)*POWER(Upgrades!$Q$12,K274)*(Parameters!$B$10*Parameters!$B$11+O274*60)</f>
        <v>120</v>
      </c>
      <c r="AG274" s="21" t="n">
        <f aca="false">IF(E274&gt;=Upgrades!$E$6,"",Upgrades!$C$6*POWER(Upgrades!$D$6,E274))</f>
        <v>37.4517507383159</v>
      </c>
      <c r="AH274" s="21" t="n">
        <f aca="false">IF(F274&gt;=Upgrades!$E$7,"",Upgrades!$C$7*POWER(Upgrades!$D$7,F274))</f>
        <v>80.9111547141581</v>
      </c>
      <c r="AI274" s="21" t="n">
        <f aca="false">IF(G274&gt;=Upgrades!$E$8,"",Upgrades!$C$8*POWER(Upgrades!$D$8,G274))</f>
        <v>231.9097088</v>
      </c>
      <c r="AJ274" s="21" t="str">
        <f aca="false">IF(H274&gt;=Upgrades!$E$9,"",Upgrades!$C$9*POWER(Upgrades!$D$9,H274))</f>
        <v/>
      </c>
      <c r="AK274" s="21" t="str">
        <f aca="false">IF(I274&gt;=Upgrades!$E$10,"",Upgrades!$C$10*POWER(Upgrades!$D$10,I274))</f>
        <v/>
      </c>
      <c r="AL274" s="21" t="str">
        <f aca="false">IF(J274&gt;=Upgrades!$E$11,"",Upgrades!$C$11*POWER(Upgrades!$D$11,J274))</f>
        <v/>
      </c>
      <c r="AM274" s="21" t="str">
        <f aca="false">IF(K274&gt;=Upgrades!$E$12,"",Upgrades!$C$12*POWER(Upgrades!$D$12,K274))</f>
        <v/>
      </c>
      <c r="AN274" s="26" t="str">
        <f aca="false">IF(AND(D274&gt;=Parameters!$B$18,(H274&gt;=Upgrades!$E$9)*(K274&gt;=Upgrades!$E$12)=1,L274=0),1,"")</f>
        <v/>
      </c>
      <c r="AO274" s="26" t="str">
        <f aca="false">IF(AND(D274&gt;=Parameters!$B$18,L274=0),1,"")</f>
        <v/>
      </c>
      <c r="AP274" s="21" t="n">
        <f aca="false">MIN(IF(ISNUMBER(AK274),AK274,9000000000000000),IF(ISNUMBER(AL274),AL274,9000000000000000),IF(ISNUMBER(AM274),AM274,9000000000000000))</f>
        <v>9000000000000000</v>
      </c>
      <c r="AQ274" s="21" t="n">
        <f aca="false">MIN(IF(ISNUMBER(AG274),AG274,9000000000000000),IF(ISNUMBER(AH274),AH274,9000000000000000),IF(ISNUMBER(AI274),AI274,9000000000000000),IF(ISNUMBER(AJ274),AJ274,9000000000000000))</f>
        <v>37.4517507383159</v>
      </c>
      <c r="AR274" s="32" t="b">
        <f aca="false">IF(AW274&gt;Parameters!$B$21*(MAX(IF(AND(NOT(AND(AO274=1,AN274&lt;&gt;1)),ISNUMBER(AG274),AG274&lt;=T274),AS274,0),IF(AND(NOT(AND(AO274=1,AN274&lt;&gt;1)),ISNUMBER(AH274),AH274&lt;=T274),AT274,0),IF(AND(NOT(AND(AO274=1,AN274&lt;&gt;1)),ISNUMBER(AI274),AI274&lt;=T274),AU274,0),IF(AND(ISNUMBER(AJ274),AJ274&lt;=T274),AV274,0))),TRUE(),FALSE())</f>
        <v>1</v>
      </c>
      <c r="AS274" s="33" t="n">
        <f aca="false">IFERROR(Upgrades!$H$6*(POWER(Upgrades!$P$6,E274)*POWER(Upgrades!$P$7,F274)*POWER(Upgrades!$P$8,G274)*POWER(Upgrades!$P$9,H274)*POWER(Upgrades!$P$10,I274)*POWER(Upgrades!$P$11,J274)*POWER(Upgrades!$P$12,K274))*(IF(Upgrades!$T$7="Solar Wind",POWER(Upgrades!$U$7,F274),1)*IF(Upgrades!$T$8="Solar Wind",POWER(Upgrades!$U$8,G274),1)*IF(Upgrades!$T$9="Solar Wind",POWER(Upgrades!$U$9,H274),1)*IF(Upgrades!$T$10="Solar Wind",POWER(Upgrades!$U$10,I274),1)*IF(Upgrades!$T$11="Solar Wind",POWER(Upgrades!$U$11,J274),1)*IF(Upgrades!$T$12="Solar Wind",POWER(Upgrades!$U$12,K274),1))/AG274,0)</f>
        <v>0.0026701021455238</v>
      </c>
      <c r="AT274" s="33" t="n">
        <f aca="false">IFERROR(Upgrades!$H$7*(POWER(Upgrades!$P$6,E274)*POWER(Upgrades!$P$7,F274)*POWER(Upgrades!$P$8,G274)*POWER(Upgrades!$P$9,H274)*POWER(Upgrades!$P$10,I274)*POWER(Upgrades!$P$11,J274)*POWER(Upgrades!$P$12,K274))*(IF(Upgrades!$T$6="Asteroid Belt",POWER(Upgrades!$U$6,E274),1)*IF(Upgrades!$T$8="Asteroid Belt",POWER(Upgrades!$U$8,G274),1)*IF(Upgrades!$T$9="Asteroid Belt",POWER(Upgrades!$U$9,H274),1)*IF(Upgrades!$T$10="Asteroid Belt",POWER(Upgrades!$U$10,I274),1)*IF(Upgrades!$T$11="Asteroid Belt",POWER(Upgrades!$U$11,J274),1)*IF(Upgrades!$T$12="Asteroid Belt",POWER(Upgrades!$U$12,K274),1))/AH274,0)</f>
        <v>0.00308980882652332</v>
      </c>
      <c r="AU274" s="33" t="n">
        <f aca="false">IFERROR(Upgrades!$K$8*(POWER(Upgrades!$Q$6,E274)*POWER(Upgrades!$Q$7,F274)*POWER(Upgrades!$Q$8,G274)*POWER(Upgrades!$Q$9,H274)*POWER(Upgrades!$Q$10,I274)*POWER(Upgrades!$Q$11,J274)*POWER(Upgrades!$Q$12,K274))*(IF(Upgrades!$T$6="Stellar Coupling",POWER(Upgrades!$U$6,E274),1)*IF(Upgrades!$T$7="Stellar Coupling",POWER(Upgrades!$U$7,F274),1)*IF(Upgrades!$T$9="Stellar Coupling",POWER(Upgrades!$U$9,H274),1)*IF(Upgrades!$T$10="Stellar Coupling",POWER(Upgrades!$U$10,I274),1)*IF(Upgrades!$T$11="Stellar Coupling",POWER(Upgrades!$U$11,J274),1)*IF(Upgrades!$T$12="Stellar Coupling",POWER(Upgrades!$U$12,K274),1))*Parameters!$B$10*Parameters!$B$11/60/AI274,0)</f>
        <v>0.00452762415783776</v>
      </c>
      <c r="AV274" s="33" t="n">
        <f aca="false">IFERROR(Upgrades!$H$9*(POWER(Upgrades!$P$6,E274)*POWER(Upgrades!$P$7,F274)*POWER(Upgrades!$P$8,G274)*POWER(Upgrades!$P$9,H274)*POWER(Upgrades!$P$10,I274)*POWER(Upgrades!$P$11,J274)*POWER(Upgrades!$P$12,K274))*(IF(Upgrades!$T$6="Magnetosphere",POWER(Upgrades!$U$6,E274),1)*IF(Upgrades!$T$7="Magnetosphere",POWER(Upgrades!$U$7,F274),1)*IF(Upgrades!$T$8="Magnetosphere",POWER(Upgrades!$U$8,G274),1)*IF(Upgrades!$T$10="Magnetosphere",POWER(Upgrades!$U$10,I274),1)*IF(Upgrades!$T$11="Magnetosphere",POWER(Upgrades!$U$11,J274),1)*IF(Upgrades!$T$12="Magnetosphere",POWER(Upgrades!$U$12,K274),1))/AJ274,0)</f>
        <v>0</v>
      </c>
      <c r="AW274" s="33" t="n">
        <f aca="false">MAX(IF(I274&gt;0,0,IFERROR(0.25*N274/Upgrades!$C$10,0)),IF(J274&gt;0,0,IFERROR(0.5*((IF(G274=0,0,(Upgrades!$J$8+G274*Upgrades!$K$8)*POWER(Upgrades!$L$8,G274)))*(IF(Upgrades!$T$6="Stellar Coupling",POWER(Upgrades!$U$6,E274),1)*IF(Upgrades!$T$7="Stellar Coupling",POWER(Upgrades!$U$7,F274),1)*IF(Upgrades!$T$9="Stellar Coupling",POWER(Upgrades!$U$9,H274),1)*IF(Upgrades!$T$10="Stellar Coupling",POWER(Upgrades!$U$10,I274),1)*IF(Upgrades!$T$11="Stellar Coupling",POWER(Upgrades!$U$11,J274),1)*IF(Upgrades!$T$12="Stellar Coupling",POWER(Upgrades!$U$12,K274),1))*(POWER(Upgrades!$Q$6,E274)*POWER(Upgrades!$Q$7,F274)*POWER(Upgrades!$Q$8,G274)*POWER(Upgrades!$Q$9,H274)*POWER(Upgrades!$Q$10,I274)*POWER(Upgrades!$Q$11,J274)*POWER(Upgrades!$Q$12,K274))*Parameters!$B$10*Parameters!$B$11/60)/Upgrades!$C$11,0)),IF(K274&gt;0,0,IFERROR((1*(POWER(Upgrades!$P$6,E274)*POWER(Upgrades!$P$7,F274)*POWER(Upgrades!$P$8,G274)*POWER(Upgrades!$P$9,H274)*POWER(Upgrades!$P$10,I274)*POWER(Upgrades!$P$11,J274)*POWER(Upgrades!$P$12,K274))+0.2*M274*Parameters!$B$10*Parameters!$B$11/60)/Upgrades!$C$12,0)),IF(AND(ISNUMBER(AG274),AG274&gt;T274),AS274,0),IF(AND(ISNUMBER(AH274),AH274&gt;T274),AT274,0),IF(AND(ISNUMBER(AI274),AI274&gt;T274),AU274,0),IF(AND(ISNUMBER(AJ274),AJ274&gt;T274),AV274,0))</f>
        <v>0.00452762415783776</v>
      </c>
      <c r="AX274" s="29" t="str">
        <f aca="false">IF(AN274=1,"transition",IF(MIN(IF(AND(I274=0,ISNUMBER(AK274),AK274&lt;=T274),AK274,9000000000000000),IF(AND(J274=0,ISNUMBER(AL274),AL274&lt;=T274),AL274,9000000000000000),IF(AND(K274=0,ISNUMBER(AM274),AM274&lt;=T274),AM274,9000000000000000))&lt;9000000000000000,IF(AND(AND(I274=0,ISNUMBER(AK274),AK274&lt;=T274),AK274=MIN(IF(AND(I274=0,ISNUMBER(AK274),AK274&lt;=T274),AK274,9000000000000000),IF(AND(J274=0,ISNUMBER(AL274),AL274&lt;=T274),AL274,9000000000000000),IF(AND(K274=0,ISNUMBER(AM274),AM274&lt;=T274),AM274,9000000000000000))),"OR",IF(AND(AND(J274=0,ISNUMBER(AL274),AL274&lt;=T274),AL274=MIN(IF(AND(I274=0,ISNUMBER(AK274),AK274&lt;=T274),AK274,9000000000000000),IF(AND(J274=0,ISNUMBER(AL274),AL274&lt;=T274),AL274,9000000000000000),IF(AND(K274=0,ISNUMBER(AM274),AM274&lt;=T274),AM274,9000000000000000))),"HP","FP")),IF(AR274=TRUE(),"",IF(MAX(IF(AND(NOT(AND(AO274=1,AN274&lt;&gt;1)),ISNUMBER(AG274),AG274&lt;=T274),AS274,0),IF(AND(NOT(AND(AO274=1,AN274&lt;&gt;1)),ISNUMBER(AH274),AH274&lt;=T274),AT274,0),IF(AND(NOT(AND(AO274=1,AN274&lt;&gt;1)),ISNUMBER(AI274),AI274&lt;=T274),AU274,0),IF(AND(ISNUMBER(AJ274),AJ274&lt;=T274),AV274,0))&lt;=0,"",IF(AND(IF(AND(NOT(AND(AO274=1,AN274&lt;&gt;1)),ISNUMBER(AG274),AG274&lt;=T274),AS274,0)&gt;0,IF(AND(NOT(AND(AO274=1,AN274&lt;&gt;1)),ISNUMBER(AG274),AG274&lt;=T274),AS274,0)=MAX(IF(AND(NOT(AND(AO274=1,AN274&lt;&gt;1)),ISNUMBER(AG274),AG274&lt;=T274),AS274,0),IF(AND(NOT(AND(AO274=1,AN274&lt;&gt;1)),ISNUMBER(AH274),AH274&lt;=T274),AT274,0),IF(AND(NOT(AND(AO274=1,AN274&lt;&gt;1)),ISNUMBER(AI274),AI274&lt;=T274),AU274,0),IF(AND(ISNUMBER(AJ274),AJ274&lt;=T274),AV274,0))),"SW",IF(AND(IF(AND(NOT(AND(AO274=1,AN274&lt;&gt;1)),ISNUMBER(AH274),AH274&lt;=T274),AT274,0)&gt;0,IF(AND(NOT(AND(AO274=1,AN274&lt;&gt;1)),ISNUMBER(AH274),AH274&lt;=T274),AT274,0)=MAX(IF(AND(NOT(AND(AO274=1,AN274&lt;&gt;1)),ISNUMBER(AG274),AG274&lt;=T274),AS274,0),IF(AND(NOT(AND(AO274=1,AN274&lt;&gt;1)),ISNUMBER(AH274),AH274&lt;=T274),AT274,0),IF(AND(NOT(AND(AO274=1,AN274&lt;&gt;1)),ISNUMBER(AI274),AI274&lt;=T274),AU274,0),IF(AND(ISNUMBER(AJ274),AJ274&lt;=T274),AV274,0))),"AB",IF(AND(IF(AND(NOT(AND(AO274=1,AN274&lt;&gt;1)),ISNUMBER(AI274),AI274&lt;=T274),AU274,0)&gt;0,IF(AND(NOT(AND(AO274=1,AN274&lt;&gt;1)),ISNUMBER(AI274),AI274&lt;=T274),AU274,0)=MAX(IF(AND(NOT(AND(AO274=1,AN274&lt;&gt;1)),ISNUMBER(AG274),AG274&lt;=T274),AS274,0),IF(AND(NOT(AND(AO274=1,AN274&lt;&gt;1)),ISNUMBER(AH274),AH274&lt;=T274),AT274,0),IF(AND(NOT(AND(AO274=1,AN274&lt;&gt;1)),ISNUMBER(AI274),AI274&lt;=T274),AU274,0),IF(AND(ISNUMBER(AJ274),AJ274&lt;=T274),AV274,0))),"SC","Mag")))))))</f>
        <v/>
      </c>
    </row>
    <row r="275" customFormat="false" ht="15" hidden="false" customHeight="false" outlineLevel="0" collapsed="false">
      <c r="A275" s="26" t="n">
        <v>270</v>
      </c>
      <c r="B275" s="27" t="n">
        <f aca="false">A275*10/60</f>
        <v>45</v>
      </c>
      <c r="C275" s="21" t="n">
        <f aca="false">X274</f>
        <v>18.6730249835055</v>
      </c>
      <c r="D275" s="27" t="n">
        <f aca="false">D274+W274</f>
        <v>0</v>
      </c>
      <c r="E275" s="26" t="n">
        <f aca="false">E274+IF(U274="SW",1,0)</f>
        <v>12</v>
      </c>
      <c r="F275" s="26" t="n">
        <f aca="false">F274+IF(U274="AB",1,0)</f>
        <v>10</v>
      </c>
      <c r="G275" s="26" t="n">
        <f aca="false">G274+IF(U274="SC",1,0)</f>
        <v>7</v>
      </c>
      <c r="H275" s="26" t="n">
        <f aca="false">H274+IF(U274="Mag",1,0)</f>
        <v>5</v>
      </c>
      <c r="I275" s="26" t="n">
        <f aca="false">MAX(I274,IF(U274="OR",1,0))</f>
        <v>1</v>
      </c>
      <c r="J275" s="26" t="n">
        <f aca="false">MAX(J274,IF(U274="HP",1,0))</f>
        <v>1</v>
      </c>
      <c r="K275" s="26" t="n">
        <f aca="false">MAX(K274,IF(U274="FP",1,0))</f>
        <v>1</v>
      </c>
      <c r="L275" s="26" t="n">
        <f aca="false">MAX(L274,IF(U274="transition",1,0))</f>
        <v>1</v>
      </c>
      <c r="M275" s="28" t="n">
        <f aca="false">(Parameters!$B$9+(IF(E275=0,0,(Upgrades!$J$6+E275*Upgrades!$K$6)*POWER(Upgrades!$L$6,E275)))*(IF(Upgrades!$T$7="Solar Wind",POWER(Upgrades!$U$7,F275),1)*IF(Upgrades!$T$8="Solar Wind",POWER(Upgrades!$U$8,G275),1)*IF(Upgrades!$T$9="Solar Wind",POWER(Upgrades!$U$9,H275),1)*IF(Upgrades!$T$10="Solar Wind",POWER(Upgrades!$U$10,I275),1)*IF(Upgrades!$T$11="Solar Wind",POWER(Upgrades!$U$11,J275),1)*IF(Upgrades!$T$12="Solar Wind",POWER(Upgrades!$U$12,K275),1))+(IF(F275=0,0,(Upgrades!$J$7+F275*Upgrades!$K$7)*POWER(Upgrades!$L$7,F275)))*(IF(Upgrades!$T$6="Asteroid Belt",POWER(Upgrades!$U$6,E275),1)*IF(Upgrades!$T$8="Asteroid Belt",POWER(Upgrades!$U$8,G275),1)*IF(Upgrades!$T$9="Asteroid Belt",POWER(Upgrades!$U$9,H275),1)*IF(Upgrades!$T$10="Asteroid Belt",POWER(Upgrades!$U$10,I275),1)*IF(Upgrades!$T$11="Asteroid Belt",POWER(Upgrades!$U$11,J275),1)*IF(Upgrades!$T$12="Asteroid Belt",POWER(Upgrades!$U$12,K275),1))+(IF(G275=0,0,(Upgrades!$J$8+G275*Upgrades!$K$8)*POWER(Upgrades!$L$8,G275)))*(IF(Upgrades!$T$6="Stellar Coupling",POWER(Upgrades!$U$6,E275),1)*IF(Upgrades!$T$7="Stellar Coupling",POWER(Upgrades!$U$7,F275),1)*IF(Upgrades!$T$9="Stellar Coupling",POWER(Upgrades!$U$9,H275),1)*IF(Upgrades!$T$10="Stellar Coupling",POWER(Upgrades!$U$10,I275),1)*IF(Upgrades!$T$11="Stellar Coupling",POWER(Upgrades!$U$11,J275),1)*IF(Upgrades!$T$12="Stellar Coupling",POWER(Upgrades!$U$12,K275),1))+(IF(H275=0,0,(Upgrades!$J$9+H275*Upgrades!$K$9)*POWER(Upgrades!$L$9,H275)))*(IF(Upgrades!$T$6="Magnetosphere",POWER(Upgrades!$U$6,E275),1)*IF(Upgrades!$T$7="Magnetosphere",POWER(Upgrades!$U$7,F275),1)*IF(Upgrades!$T$8="Magnetosphere",POWER(Upgrades!$U$8,G275),1)*IF(Upgrades!$T$10="Magnetosphere",POWER(Upgrades!$U$10,I275),1)*IF(Upgrades!$T$11="Magnetosphere",POWER(Upgrades!$U$11,J275),1)*IF(Upgrades!$T$12="Magnetosphere",POWER(Upgrades!$U$12,K275),1))+(IF(I275=0,0,(Upgrades!$J$10+I275*Upgrades!$K$10)*POWER(Upgrades!$L$10,I275)))*(IF(Upgrades!$T$6="Orbital Resonance",POWER(Upgrades!$U$6,E275),1)*IF(Upgrades!$T$7="Orbital Resonance",POWER(Upgrades!$U$7,F275),1)*IF(Upgrades!$T$8="Orbital Resonance",POWER(Upgrades!$U$8,G275),1)*IF(Upgrades!$T$9="Orbital Resonance",POWER(Upgrades!$U$9,H275),1)*IF(Upgrades!$T$11="Orbital Resonance",POWER(Upgrades!$U$11,J275),1)*IF(Upgrades!$T$12="Orbital Resonance",POWER(Upgrades!$U$12,K275),1))+(IF(J275=0,0,(Upgrades!$J$11+J275*Upgrades!$K$11)*POWER(Upgrades!$L$11,J275)))*(IF(Upgrades!$T$6="Heliopause",POWER(Upgrades!$U$6,E275),1)*IF(Upgrades!$T$7="Heliopause",POWER(Upgrades!$U$7,F275),1)*IF(Upgrades!$T$8="Heliopause",POWER(Upgrades!$U$8,G275),1)*IF(Upgrades!$T$9="Heliopause",POWER(Upgrades!$U$9,H275),1)*IF(Upgrades!$T$10="Heliopause",POWER(Upgrades!$U$10,I275),1)*IF(Upgrades!$T$12="Heliopause",POWER(Upgrades!$U$12,K275),1))+(IF(K275=0,0,(Upgrades!$J$12+K275*Upgrades!$K$12)*POWER(Upgrades!$L$12,K275)))*(IF(Upgrades!$T$6="First Photons",POWER(Upgrades!$U$6,E275),1)*IF(Upgrades!$T$7="First Photons",POWER(Upgrades!$U$7,F275),1)*IF(Upgrades!$T$8="First Photons",POWER(Upgrades!$U$8,G275),1)*IF(Upgrades!$T$9="First Photons",POWER(Upgrades!$U$9,H275),1)*IF(Upgrades!$T$10="First Photons",POWER(Upgrades!$U$10,I275),1)*IF(Upgrades!$T$11="First Photons",POWER(Upgrades!$U$11,J275),1)))*POWER(Upgrades!$Q$6,E275)*POWER(Upgrades!$Q$7,F275)*POWER(Upgrades!$Q$8,G275)*POWER(Upgrades!$Q$9,H275)*POWER(Upgrades!$Q$10,I275)*POWER(Upgrades!$Q$11,J275)*POWER(Upgrades!$Q$12,K275)</f>
        <v>5.61</v>
      </c>
      <c r="N275" s="28" t="n">
        <f aca="false">((IF(E275=0,0,(Upgrades!$G$6+E275*Upgrades!$H$6)*POWER(Upgrades!$I$6,E275)))*(IF(Upgrades!$T$7="Solar Wind",POWER(Upgrades!$U$7,F275),1)*IF(Upgrades!$T$8="Solar Wind",POWER(Upgrades!$U$8,G275),1)*IF(Upgrades!$T$9="Solar Wind",POWER(Upgrades!$U$9,H275),1)*IF(Upgrades!$T$10="Solar Wind",POWER(Upgrades!$U$10,I275),1)*IF(Upgrades!$T$11="Solar Wind",POWER(Upgrades!$U$11,J275),1)*IF(Upgrades!$T$12="Solar Wind",POWER(Upgrades!$U$12,K275),1))+(IF(F275=0,0,(Upgrades!$G$7+F275*Upgrades!$H$7)*POWER(Upgrades!$I$7,F275)))*(IF(Upgrades!$T$6="Asteroid Belt",POWER(Upgrades!$U$6,E275),1)*IF(Upgrades!$T$8="Asteroid Belt",POWER(Upgrades!$U$8,G275),1)*IF(Upgrades!$T$9="Asteroid Belt",POWER(Upgrades!$U$9,H275),1)*IF(Upgrades!$T$10="Asteroid Belt",POWER(Upgrades!$U$10,I275),1)*IF(Upgrades!$T$11="Asteroid Belt",POWER(Upgrades!$U$11,J275),1)*IF(Upgrades!$T$12="Asteroid Belt",POWER(Upgrades!$U$12,K275),1))+(IF(G275=0,0,(Upgrades!$G$8+G275*Upgrades!$H$8)*POWER(Upgrades!$I$8,G275)))*(IF(Upgrades!$T$6="Stellar Coupling",POWER(Upgrades!$U$6,E275),1)*IF(Upgrades!$T$7="Stellar Coupling",POWER(Upgrades!$U$7,F275),1)*IF(Upgrades!$T$9="Stellar Coupling",POWER(Upgrades!$U$9,H275),1)*IF(Upgrades!$T$10="Stellar Coupling",POWER(Upgrades!$U$10,I275),1)*IF(Upgrades!$T$11="Stellar Coupling",POWER(Upgrades!$U$11,J275),1)*IF(Upgrades!$T$12="Stellar Coupling",POWER(Upgrades!$U$12,K275),1))+(IF(H275=0,0,(Upgrades!$G$9+H275*Upgrades!$H$9)*POWER(Upgrades!$I$9,H275)))*(IF(Upgrades!$T$6="Magnetosphere",POWER(Upgrades!$U$6,E275),1)*IF(Upgrades!$T$7="Magnetosphere",POWER(Upgrades!$U$7,F275),1)*IF(Upgrades!$T$8="Magnetosphere",POWER(Upgrades!$U$8,G275),1)*IF(Upgrades!$T$10="Magnetosphere",POWER(Upgrades!$U$10,I275),1)*IF(Upgrades!$T$11="Magnetosphere",POWER(Upgrades!$U$11,J275),1)*IF(Upgrades!$T$12="Magnetosphere",POWER(Upgrades!$U$12,K275),1))+(IF(I275=0,0,(Upgrades!$G$10+I275*Upgrades!$H$10)*POWER(Upgrades!$I$10,I275)))*(IF(Upgrades!$T$6="Orbital Resonance",POWER(Upgrades!$U$6,E275),1)*IF(Upgrades!$T$7="Orbital Resonance",POWER(Upgrades!$U$7,F275),1)*IF(Upgrades!$T$8="Orbital Resonance",POWER(Upgrades!$U$8,G275),1)*IF(Upgrades!$T$9="Orbital Resonance",POWER(Upgrades!$U$9,H275),1)*IF(Upgrades!$T$11="Orbital Resonance",POWER(Upgrades!$U$11,J275),1)*IF(Upgrades!$T$12="Orbital Resonance",POWER(Upgrades!$U$12,K275),1))+(IF(J275=0,0,(Upgrades!$G$11+J275*Upgrades!$H$11)*POWER(Upgrades!$I$11,J275)))*(IF(Upgrades!$T$6="Heliopause",POWER(Upgrades!$U$6,E275),1)*IF(Upgrades!$T$7="Heliopause",POWER(Upgrades!$U$7,F275),1)*IF(Upgrades!$T$8="Heliopause",POWER(Upgrades!$U$8,G275),1)*IF(Upgrades!$T$9="Heliopause",POWER(Upgrades!$U$9,H275),1)*IF(Upgrades!$T$10="Heliopause",POWER(Upgrades!$U$10,I275),1)*IF(Upgrades!$T$12="Heliopause",POWER(Upgrades!$U$12,K275),1))+(IF(K275=0,0,(Upgrades!$G$12+K275*Upgrades!$H$12)*POWER(Upgrades!$I$12,K275)))*(IF(Upgrades!$T$6="First Photons",POWER(Upgrades!$U$6,E275),1)*IF(Upgrades!$T$7="First Photons",POWER(Upgrades!$U$7,F275),1)*IF(Upgrades!$T$8="First Photons",POWER(Upgrades!$U$8,G275),1)*IF(Upgrades!$T$9="First Photons",POWER(Upgrades!$U$9,H275),1)*IF(Upgrades!$T$10="First Photons",POWER(Upgrades!$U$10,I275),1)*IF(Upgrades!$T$11="First Photons",POWER(Upgrades!$U$11,J275),1)))*POWER(Upgrades!$P$6,E275)*POWER(Upgrades!$P$7,F275)*POWER(Upgrades!$P$8,G275)*POWER(Upgrades!$P$9,H275)*POWER(Upgrades!$P$10,I275)*POWER(Upgrades!$P$11,J275)*POWER(Upgrades!$P$12,K275)</f>
        <v>11.2</v>
      </c>
      <c r="O275" s="28" t="n">
        <f aca="false">((IF(E275=0,0,(Upgrades!$M$6+E275*Upgrades!$N$6)*POWER(Upgrades!$O$6,E275)))*(IF(Upgrades!$T$7="Solar Wind",POWER(Upgrades!$U$7,F275),1)*IF(Upgrades!$T$8="Solar Wind",POWER(Upgrades!$U$8,G275),1)*IF(Upgrades!$T$9="Solar Wind",POWER(Upgrades!$U$9,H275),1)*IF(Upgrades!$T$10="Solar Wind",POWER(Upgrades!$U$10,I275),1)*IF(Upgrades!$T$11="Solar Wind",POWER(Upgrades!$U$11,J275),1)*IF(Upgrades!$T$12="Solar Wind",POWER(Upgrades!$U$12,K275),1))+(IF(F275=0,0,(Upgrades!$M$7+F275*Upgrades!$N$7)*POWER(Upgrades!$O$7,F275)))*(IF(Upgrades!$T$6="Asteroid Belt",POWER(Upgrades!$U$6,E275),1)*IF(Upgrades!$T$8="Asteroid Belt",POWER(Upgrades!$U$8,G275),1)*IF(Upgrades!$T$9="Asteroid Belt",POWER(Upgrades!$U$9,H275),1)*IF(Upgrades!$T$10="Asteroid Belt",POWER(Upgrades!$U$10,I275),1)*IF(Upgrades!$T$11="Asteroid Belt",POWER(Upgrades!$U$11,J275),1)*IF(Upgrades!$T$12="Asteroid Belt",POWER(Upgrades!$U$12,K275),1))+(IF(G275=0,0,(Upgrades!$M$8+G275*Upgrades!$N$8)*POWER(Upgrades!$O$8,G275)))*(IF(Upgrades!$T$6="Stellar Coupling",POWER(Upgrades!$U$6,E275),1)*IF(Upgrades!$T$7="Stellar Coupling",POWER(Upgrades!$U$7,F275),1)*IF(Upgrades!$T$9="Stellar Coupling",POWER(Upgrades!$U$9,H275),1)*IF(Upgrades!$T$10="Stellar Coupling",POWER(Upgrades!$U$10,I275),1)*IF(Upgrades!$T$11="Stellar Coupling",POWER(Upgrades!$U$11,J275),1)*IF(Upgrades!$T$12="Stellar Coupling",POWER(Upgrades!$U$12,K275),1))+(IF(H275=0,0,(Upgrades!$M$9+H275*Upgrades!$N$9)*POWER(Upgrades!$O$9,H275)))*(IF(Upgrades!$T$6="Magnetosphere",POWER(Upgrades!$U$6,E275),1)*IF(Upgrades!$T$7="Magnetosphere",POWER(Upgrades!$U$7,F275),1)*IF(Upgrades!$T$8="Magnetosphere",POWER(Upgrades!$U$8,G275),1)*IF(Upgrades!$T$10="Magnetosphere",POWER(Upgrades!$U$10,I275),1)*IF(Upgrades!$T$11="Magnetosphere",POWER(Upgrades!$U$11,J275),1)*IF(Upgrades!$T$12="Magnetosphere",POWER(Upgrades!$U$12,K275),1))+(IF(I275=0,0,(Upgrades!$M$10+I275*Upgrades!$N$10)*POWER(Upgrades!$O$10,I275)))*(IF(Upgrades!$T$6="Orbital Resonance",POWER(Upgrades!$U$6,E275),1)*IF(Upgrades!$T$7="Orbital Resonance",POWER(Upgrades!$U$7,F275),1)*IF(Upgrades!$T$8="Orbital Resonance",POWER(Upgrades!$U$8,G275),1)*IF(Upgrades!$T$9="Orbital Resonance",POWER(Upgrades!$U$9,H275),1)*IF(Upgrades!$T$11="Orbital Resonance",POWER(Upgrades!$U$11,J275),1)*IF(Upgrades!$T$12="Orbital Resonance",POWER(Upgrades!$U$12,K275),1))+(IF(J275=0,0,(Upgrades!$M$11+J275*Upgrades!$N$11)*POWER(Upgrades!$O$11,J275)))*(IF(Upgrades!$T$6="Heliopause",POWER(Upgrades!$U$6,E275),1)*IF(Upgrades!$T$7="Heliopause",POWER(Upgrades!$U$7,F275),1)*IF(Upgrades!$T$8="Heliopause",POWER(Upgrades!$U$8,G275),1)*IF(Upgrades!$T$9="Heliopause",POWER(Upgrades!$U$9,H275),1)*IF(Upgrades!$T$10="Heliopause",POWER(Upgrades!$U$10,I275),1)*IF(Upgrades!$T$12="Heliopause",POWER(Upgrades!$U$12,K275),1))+(IF(K275=0,0,(Upgrades!$M$12+K275*Upgrades!$N$12)*POWER(Upgrades!$O$12,K275)))*(IF(Upgrades!$T$6="First Photons",POWER(Upgrades!$U$6,E275),1)*IF(Upgrades!$T$7="First Photons",POWER(Upgrades!$U$7,F275),1)*IF(Upgrades!$T$8="First Photons",POWER(Upgrades!$U$8,G275),1)*IF(Upgrades!$T$9="First Photons",POWER(Upgrades!$U$9,H275),1)*IF(Upgrades!$T$10="First Photons",POWER(Upgrades!$U$10,I275),1)*IF(Upgrades!$T$11="First Photons",POWER(Upgrades!$U$11,J275),1)))*POWER(Upgrades!$R$6,E275)*POWER(Upgrades!$R$7,F275)*POWER(Upgrades!$R$8,G275)*POWER(Upgrades!$R$9,H275)*POWER(Upgrades!$R$10,I275)*POWER(Upgrades!$R$11,J275)*POWER(Upgrades!$R$12,K275)</f>
        <v>0</v>
      </c>
      <c r="P275" s="27" t="n">
        <f aca="false">IF(L275=1,0,M275*Parameters!$B$10/60*Parameters!$B$11*10)</f>
        <v>0</v>
      </c>
      <c r="Q275" s="27" t="n">
        <f aca="false">IF(L275=1,0,O275*M275*10)</f>
        <v>0</v>
      </c>
      <c r="R275" s="27" t="n">
        <f aca="false">IF(L275=1,0,N275*10)</f>
        <v>0</v>
      </c>
      <c r="S275" s="27" t="n">
        <f aca="false">P275+Q275+R275</f>
        <v>0</v>
      </c>
      <c r="T275" s="21" t="n">
        <f aca="false">C275+S275</f>
        <v>18.6730249835055</v>
      </c>
      <c r="U275" s="34" t="str">
        <f aca="false">AX275</f>
        <v/>
      </c>
      <c r="V275" s="21" t="n">
        <f aca="false">IF(U275="",0,IF(U275="transition",0,IF(U275="SW",AG275,IF(U275="AB",AH275,IF(U275="SC",AI275,IF(U275="Mag",AJ275,IF(U275="OR",AK275,IF(U275="HP",AL275,IF(U275="FP",AM275,0)))))))))</f>
        <v>0</v>
      </c>
      <c r="W275" s="27" t="n">
        <f aca="false">IF(U275="OR",Upgrades!$F$10,IF(U275="HP",Upgrades!$F$11,IF(U275="transition",-Parameters!$B$18,0)))</f>
        <v>0</v>
      </c>
      <c r="X275" s="21" t="n">
        <f aca="false">T275-V275</f>
        <v>18.6730249835055</v>
      </c>
      <c r="Y275" s="30" t="n">
        <f aca="false">M275*Parameters!$B$10/60*Parameters!$B$11+O275*M275+N275</f>
        <v>20.55</v>
      </c>
      <c r="Z275" s="35" t="str">
        <f aca="false">IF(U275="transition","→ Tier 2 (Stellar Neighborhood)",IF(U275="FP","First Photons — light begins, system quickens",IF(U275="HP","Heliopause acquired",IF(U275="OR","Orbital Resonance — passive multiplier active",IF(AND(AO275=1,L275=0,AN275&lt;&gt;1),"Cohesion ready (waiting on completionist upgrades)","")))))</f>
        <v/>
      </c>
      <c r="AA275" s="27" t="n">
        <f aca="false">(IF(E275=0,0,(Upgrades!$G$6+E275*Upgrades!$H$6)*POWER(Upgrades!$I$6,E275)))*(IF(Upgrades!$T$7="Solar Wind",POWER(Upgrades!$U$7,F275),1)*IF(Upgrades!$T$8="Solar Wind",POWER(Upgrades!$U$8,G275),1)*IF(Upgrades!$T$9="Solar Wind",POWER(Upgrades!$U$9,H275),1)*IF(Upgrades!$T$10="Solar Wind",POWER(Upgrades!$U$10,I275),1)*IF(Upgrades!$T$11="Solar Wind",POWER(Upgrades!$U$11,J275),1)*IF(Upgrades!$T$12="Solar Wind",POWER(Upgrades!$U$12,K275),1))*POWER(Upgrades!$P$6,E275)*POWER(Upgrades!$P$7,F275)*POWER(Upgrades!$P$8,G275)*POWER(Upgrades!$P$9,H275)*POWER(Upgrades!$P$10,I275)*POWER(Upgrades!$P$11,J275)*POWER(Upgrades!$P$12,K275)*60</f>
        <v>72</v>
      </c>
      <c r="AB275" s="27" t="n">
        <f aca="false">(IF(F275=0,0,(Upgrades!$G$7+F275*Upgrades!$H$7)*POWER(Upgrades!$I$7,F275)))*(IF(Upgrades!$T$6="Asteroid Belt",POWER(Upgrades!$U$6,E275),1)*IF(Upgrades!$T$8="Asteroid Belt",POWER(Upgrades!$U$8,G275),1)*IF(Upgrades!$T$9="Asteroid Belt",POWER(Upgrades!$U$9,H275),1)*IF(Upgrades!$T$10="Asteroid Belt",POWER(Upgrades!$U$10,I275),1)*IF(Upgrades!$T$11="Asteroid Belt",POWER(Upgrades!$U$11,J275),1)*IF(Upgrades!$T$12="Asteroid Belt",POWER(Upgrades!$U$12,K275),1))*POWER(Upgrades!$P$6,E275)*POWER(Upgrades!$P$7,F275)*POWER(Upgrades!$P$8,G275)*POWER(Upgrades!$P$9,H275)*POWER(Upgrades!$P$10,I275)*POWER(Upgrades!$P$11,J275)*POWER(Upgrades!$P$12,K275)*60</f>
        <v>150</v>
      </c>
      <c r="AC275" s="27" t="n">
        <f aca="false">(IF(G275=0,0,(Upgrades!$J$8+G275*Upgrades!$K$8)*POWER(Upgrades!$L$8,G275)))*(IF(Upgrades!$T$6="Stellar Coupling",POWER(Upgrades!$U$6,E275),1)*IF(Upgrades!$T$7="Stellar Coupling",POWER(Upgrades!$U$7,F275),1)*IF(Upgrades!$T$9="Stellar Coupling",POWER(Upgrades!$U$9,H275),1)*IF(Upgrades!$T$10="Stellar Coupling",POWER(Upgrades!$U$10,I275),1)*IF(Upgrades!$T$11="Stellar Coupling",POWER(Upgrades!$U$11,J275),1)*IF(Upgrades!$T$12="Stellar Coupling",POWER(Upgrades!$U$12,K275),1))*POWER(Upgrades!$Q$6,E275)*POWER(Upgrades!$Q$7,F275)*POWER(Upgrades!$Q$8,G275)*POWER(Upgrades!$Q$9,H275)*POWER(Upgrades!$Q$10,I275)*POWER(Upgrades!$Q$11,J275)*POWER(Upgrades!$Q$12,K275)*Parameters!$B$10*Parameters!$B$11</f>
        <v>441</v>
      </c>
      <c r="AD275" s="27" t="n">
        <f aca="false">(IF(H275=0,0,(Upgrades!$G$9+H275*Upgrades!$H$9)*POWER(Upgrades!$I$9,H275)))*(IF(Upgrades!$T$6="Magnetosphere",POWER(Upgrades!$U$6,E275),1)*IF(Upgrades!$T$7="Magnetosphere",POWER(Upgrades!$U$7,F275),1)*IF(Upgrades!$T$8="Magnetosphere",POWER(Upgrades!$U$8,G275),1)*IF(Upgrades!$T$10="Magnetosphere",POWER(Upgrades!$U$10,I275),1)*IF(Upgrades!$T$11="Magnetosphere",POWER(Upgrades!$U$11,J275),1)*IF(Upgrades!$T$12="Magnetosphere",POWER(Upgrades!$U$12,K275),1))*POWER(Upgrades!$P$6,E275)*POWER(Upgrades!$P$7,F275)*POWER(Upgrades!$P$8,G275)*POWER(Upgrades!$P$9,H275)*POWER(Upgrades!$P$10,I275)*POWER(Upgrades!$P$11,J275)*POWER(Upgrades!$P$12,K275)*60</f>
        <v>375</v>
      </c>
      <c r="AE275" s="27" t="n">
        <f aca="false">(IF(K275=0,0,(Upgrades!$G$12+K275*Upgrades!$H$12)*POWER(Upgrades!$I$12,K275)))*(IF(Upgrades!$T$6="First Photons",POWER(Upgrades!$U$6,E275),1)*IF(Upgrades!$T$7="First Photons",POWER(Upgrades!$U$7,F275),1)*IF(Upgrades!$T$8="First Photons",POWER(Upgrades!$U$8,G275),1)*IF(Upgrades!$T$9="First Photons",POWER(Upgrades!$U$9,H275),1)*IF(Upgrades!$T$10="First Photons",POWER(Upgrades!$U$10,I275),1)*IF(Upgrades!$T$11="First Photons",POWER(Upgrades!$U$11,J275),1))*POWER(Upgrades!$P$6,E275)*POWER(Upgrades!$P$7,F275)*POWER(Upgrades!$P$8,G275)*POWER(Upgrades!$P$9,H275)*POWER(Upgrades!$P$10,I275)*POWER(Upgrades!$P$11,J275)*POWER(Upgrades!$P$12,K275)*60</f>
        <v>75</v>
      </c>
      <c r="AF275" s="27" t="n">
        <f aca="false">Parameters!$B$9*POWER(Upgrades!$Q$6,E275)*POWER(Upgrades!$Q$7,F275)*POWER(Upgrades!$Q$8,G275)*POWER(Upgrades!$Q$9,H275)*POWER(Upgrades!$Q$10,I275)*POWER(Upgrades!$Q$11,J275)*POWER(Upgrades!$Q$12,K275)*(Parameters!$B$10*Parameters!$B$11+O275*60)</f>
        <v>120</v>
      </c>
      <c r="AG275" s="21" t="n">
        <f aca="false">IF(E275&gt;=Upgrades!$E$6,"",Upgrades!$C$6*POWER(Upgrades!$D$6,E275))</f>
        <v>37.4517507383159</v>
      </c>
      <c r="AH275" s="21" t="n">
        <f aca="false">IF(F275&gt;=Upgrades!$E$7,"",Upgrades!$C$7*POWER(Upgrades!$D$7,F275))</f>
        <v>80.9111547141581</v>
      </c>
      <c r="AI275" s="21" t="n">
        <f aca="false">IF(G275&gt;=Upgrades!$E$8,"",Upgrades!$C$8*POWER(Upgrades!$D$8,G275))</f>
        <v>231.9097088</v>
      </c>
      <c r="AJ275" s="21" t="str">
        <f aca="false">IF(H275&gt;=Upgrades!$E$9,"",Upgrades!$C$9*POWER(Upgrades!$D$9,H275))</f>
        <v/>
      </c>
      <c r="AK275" s="21" t="str">
        <f aca="false">IF(I275&gt;=Upgrades!$E$10,"",Upgrades!$C$10*POWER(Upgrades!$D$10,I275))</f>
        <v/>
      </c>
      <c r="AL275" s="21" t="str">
        <f aca="false">IF(J275&gt;=Upgrades!$E$11,"",Upgrades!$C$11*POWER(Upgrades!$D$11,J275))</f>
        <v/>
      </c>
      <c r="AM275" s="21" t="str">
        <f aca="false">IF(K275&gt;=Upgrades!$E$12,"",Upgrades!$C$12*POWER(Upgrades!$D$12,K275))</f>
        <v/>
      </c>
      <c r="AN275" s="26" t="str">
        <f aca="false">IF(AND(D275&gt;=Parameters!$B$18,(H275&gt;=Upgrades!$E$9)*(K275&gt;=Upgrades!$E$12)=1,L275=0),1,"")</f>
        <v/>
      </c>
      <c r="AO275" s="26" t="str">
        <f aca="false">IF(AND(D275&gt;=Parameters!$B$18,L275=0),1,"")</f>
        <v/>
      </c>
      <c r="AP275" s="21" t="n">
        <f aca="false">MIN(IF(ISNUMBER(AK275),AK275,9000000000000000),IF(ISNUMBER(AL275),AL275,9000000000000000),IF(ISNUMBER(AM275),AM275,9000000000000000))</f>
        <v>9000000000000000</v>
      </c>
      <c r="AQ275" s="21" t="n">
        <f aca="false">MIN(IF(ISNUMBER(AG275),AG275,9000000000000000),IF(ISNUMBER(AH275),AH275,9000000000000000),IF(ISNUMBER(AI275),AI275,9000000000000000),IF(ISNUMBER(AJ275),AJ275,9000000000000000))</f>
        <v>37.4517507383159</v>
      </c>
      <c r="AR275" s="32" t="b">
        <f aca="false">IF(AW275&gt;Parameters!$B$21*(MAX(IF(AND(NOT(AND(AO275=1,AN275&lt;&gt;1)),ISNUMBER(AG275),AG275&lt;=T275),AS275,0),IF(AND(NOT(AND(AO275=1,AN275&lt;&gt;1)),ISNUMBER(AH275),AH275&lt;=T275),AT275,0),IF(AND(NOT(AND(AO275=1,AN275&lt;&gt;1)),ISNUMBER(AI275),AI275&lt;=T275),AU275,0),IF(AND(ISNUMBER(AJ275),AJ275&lt;=T275),AV275,0))),TRUE(),FALSE())</f>
        <v>1</v>
      </c>
      <c r="AS275" s="33" t="n">
        <f aca="false">IFERROR(Upgrades!$H$6*(POWER(Upgrades!$P$6,E275)*POWER(Upgrades!$P$7,F275)*POWER(Upgrades!$P$8,G275)*POWER(Upgrades!$P$9,H275)*POWER(Upgrades!$P$10,I275)*POWER(Upgrades!$P$11,J275)*POWER(Upgrades!$P$12,K275))*(IF(Upgrades!$T$7="Solar Wind",POWER(Upgrades!$U$7,F275),1)*IF(Upgrades!$T$8="Solar Wind",POWER(Upgrades!$U$8,G275),1)*IF(Upgrades!$T$9="Solar Wind",POWER(Upgrades!$U$9,H275),1)*IF(Upgrades!$T$10="Solar Wind",POWER(Upgrades!$U$10,I275),1)*IF(Upgrades!$T$11="Solar Wind",POWER(Upgrades!$U$11,J275),1)*IF(Upgrades!$T$12="Solar Wind",POWER(Upgrades!$U$12,K275),1))/AG275,0)</f>
        <v>0.0026701021455238</v>
      </c>
      <c r="AT275" s="33" t="n">
        <f aca="false">IFERROR(Upgrades!$H$7*(POWER(Upgrades!$P$6,E275)*POWER(Upgrades!$P$7,F275)*POWER(Upgrades!$P$8,G275)*POWER(Upgrades!$P$9,H275)*POWER(Upgrades!$P$10,I275)*POWER(Upgrades!$P$11,J275)*POWER(Upgrades!$P$12,K275))*(IF(Upgrades!$T$6="Asteroid Belt",POWER(Upgrades!$U$6,E275),1)*IF(Upgrades!$T$8="Asteroid Belt",POWER(Upgrades!$U$8,G275),1)*IF(Upgrades!$T$9="Asteroid Belt",POWER(Upgrades!$U$9,H275),1)*IF(Upgrades!$T$10="Asteroid Belt",POWER(Upgrades!$U$10,I275),1)*IF(Upgrades!$T$11="Asteroid Belt",POWER(Upgrades!$U$11,J275),1)*IF(Upgrades!$T$12="Asteroid Belt",POWER(Upgrades!$U$12,K275),1))/AH275,0)</f>
        <v>0.00308980882652332</v>
      </c>
      <c r="AU275" s="33" t="n">
        <f aca="false">IFERROR(Upgrades!$K$8*(POWER(Upgrades!$Q$6,E275)*POWER(Upgrades!$Q$7,F275)*POWER(Upgrades!$Q$8,G275)*POWER(Upgrades!$Q$9,H275)*POWER(Upgrades!$Q$10,I275)*POWER(Upgrades!$Q$11,J275)*POWER(Upgrades!$Q$12,K275))*(IF(Upgrades!$T$6="Stellar Coupling",POWER(Upgrades!$U$6,E275),1)*IF(Upgrades!$T$7="Stellar Coupling",POWER(Upgrades!$U$7,F275),1)*IF(Upgrades!$T$9="Stellar Coupling",POWER(Upgrades!$U$9,H275),1)*IF(Upgrades!$T$10="Stellar Coupling",POWER(Upgrades!$U$10,I275),1)*IF(Upgrades!$T$11="Stellar Coupling",POWER(Upgrades!$U$11,J275),1)*IF(Upgrades!$T$12="Stellar Coupling",POWER(Upgrades!$U$12,K275),1))*Parameters!$B$10*Parameters!$B$11/60/AI275,0)</f>
        <v>0.00452762415783776</v>
      </c>
      <c r="AV275" s="33" t="n">
        <f aca="false">IFERROR(Upgrades!$H$9*(POWER(Upgrades!$P$6,E275)*POWER(Upgrades!$P$7,F275)*POWER(Upgrades!$P$8,G275)*POWER(Upgrades!$P$9,H275)*POWER(Upgrades!$P$10,I275)*POWER(Upgrades!$P$11,J275)*POWER(Upgrades!$P$12,K275))*(IF(Upgrades!$T$6="Magnetosphere",POWER(Upgrades!$U$6,E275),1)*IF(Upgrades!$T$7="Magnetosphere",POWER(Upgrades!$U$7,F275),1)*IF(Upgrades!$T$8="Magnetosphere",POWER(Upgrades!$U$8,G275),1)*IF(Upgrades!$T$10="Magnetosphere",POWER(Upgrades!$U$10,I275),1)*IF(Upgrades!$T$11="Magnetosphere",POWER(Upgrades!$U$11,J275),1)*IF(Upgrades!$T$12="Magnetosphere",POWER(Upgrades!$U$12,K275),1))/AJ275,0)</f>
        <v>0</v>
      </c>
      <c r="AW275" s="33" t="n">
        <f aca="false">MAX(IF(I275&gt;0,0,IFERROR(0.25*N275/Upgrades!$C$10,0)),IF(J275&gt;0,0,IFERROR(0.5*((IF(G275=0,0,(Upgrades!$J$8+G275*Upgrades!$K$8)*POWER(Upgrades!$L$8,G275)))*(IF(Upgrades!$T$6="Stellar Coupling",POWER(Upgrades!$U$6,E275),1)*IF(Upgrades!$T$7="Stellar Coupling",POWER(Upgrades!$U$7,F275),1)*IF(Upgrades!$T$9="Stellar Coupling",POWER(Upgrades!$U$9,H275),1)*IF(Upgrades!$T$10="Stellar Coupling",POWER(Upgrades!$U$10,I275),1)*IF(Upgrades!$T$11="Stellar Coupling",POWER(Upgrades!$U$11,J275),1)*IF(Upgrades!$T$12="Stellar Coupling",POWER(Upgrades!$U$12,K275),1))*(POWER(Upgrades!$Q$6,E275)*POWER(Upgrades!$Q$7,F275)*POWER(Upgrades!$Q$8,G275)*POWER(Upgrades!$Q$9,H275)*POWER(Upgrades!$Q$10,I275)*POWER(Upgrades!$Q$11,J275)*POWER(Upgrades!$Q$12,K275))*Parameters!$B$10*Parameters!$B$11/60)/Upgrades!$C$11,0)),IF(K275&gt;0,0,IFERROR((1*(POWER(Upgrades!$P$6,E275)*POWER(Upgrades!$P$7,F275)*POWER(Upgrades!$P$8,G275)*POWER(Upgrades!$P$9,H275)*POWER(Upgrades!$P$10,I275)*POWER(Upgrades!$P$11,J275)*POWER(Upgrades!$P$12,K275))+0.2*M275*Parameters!$B$10*Parameters!$B$11/60)/Upgrades!$C$12,0)),IF(AND(ISNUMBER(AG275),AG275&gt;T275),AS275,0),IF(AND(ISNUMBER(AH275),AH275&gt;T275),AT275,0),IF(AND(ISNUMBER(AI275),AI275&gt;T275),AU275,0),IF(AND(ISNUMBER(AJ275),AJ275&gt;T275),AV275,0))</f>
        <v>0.00452762415783776</v>
      </c>
      <c r="AX275" s="29" t="str">
        <f aca="false">IF(AN275=1,"transition",IF(MIN(IF(AND(I275=0,ISNUMBER(AK275),AK275&lt;=T275),AK275,9000000000000000),IF(AND(J275=0,ISNUMBER(AL275),AL275&lt;=T275),AL275,9000000000000000),IF(AND(K275=0,ISNUMBER(AM275),AM275&lt;=T275),AM275,9000000000000000))&lt;9000000000000000,IF(AND(AND(I275=0,ISNUMBER(AK275),AK275&lt;=T275),AK275=MIN(IF(AND(I275=0,ISNUMBER(AK275),AK275&lt;=T275),AK275,9000000000000000),IF(AND(J275=0,ISNUMBER(AL275),AL275&lt;=T275),AL275,9000000000000000),IF(AND(K275=0,ISNUMBER(AM275),AM275&lt;=T275),AM275,9000000000000000))),"OR",IF(AND(AND(J275=0,ISNUMBER(AL275),AL275&lt;=T275),AL275=MIN(IF(AND(I275=0,ISNUMBER(AK275),AK275&lt;=T275),AK275,9000000000000000),IF(AND(J275=0,ISNUMBER(AL275),AL275&lt;=T275),AL275,9000000000000000),IF(AND(K275=0,ISNUMBER(AM275),AM275&lt;=T275),AM275,9000000000000000))),"HP","FP")),IF(AR275=TRUE(),"",IF(MAX(IF(AND(NOT(AND(AO275=1,AN275&lt;&gt;1)),ISNUMBER(AG275),AG275&lt;=T275),AS275,0),IF(AND(NOT(AND(AO275=1,AN275&lt;&gt;1)),ISNUMBER(AH275),AH275&lt;=T275),AT275,0),IF(AND(NOT(AND(AO275=1,AN275&lt;&gt;1)),ISNUMBER(AI275),AI275&lt;=T275),AU275,0),IF(AND(ISNUMBER(AJ275),AJ275&lt;=T275),AV275,0))&lt;=0,"",IF(AND(IF(AND(NOT(AND(AO275=1,AN275&lt;&gt;1)),ISNUMBER(AG275),AG275&lt;=T275),AS275,0)&gt;0,IF(AND(NOT(AND(AO275=1,AN275&lt;&gt;1)),ISNUMBER(AG275),AG275&lt;=T275),AS275,0)=MAX(IF(AND(NOT(AND(AO275=1,AN275&lt;&gt;1)),ISNUMBER(AG275),AG275&lt;=T275),AS275,0),IF(AND(NOT(AND(AO275=1,AN275&lt;&gt;1)),ISNUMBER(AH275),AH275&lt;=T275),AT275,0),IF(AND(NOT(AND(AO275=1,AN275&lt;&gt;1)),ISNUMBER(AI275),AI275&lt;=T275),AU275,0),IF(AND(ISNUMBER(AJ275),AJ275&lt;=T275),AV275,0))),"SW",IF(AND(IF(AND(NOT(AND(AO275=1,AN275&lt;&gt;1)),ISNUMBER(AH275),AH275&lt;=T275),AT275,0)&gt;0,IF(AND(NOT(AND(AO275=1,AN275&lt;&gt;1)),ISNUMBER(AH275),AH275&lt;=T275),AT275,0)=MAX(IF(AND(NOT(AND(AO275=1,AN275&lt;&gt;1)),ISNUMBER(AG275),AG275&lt;=T275),AS275,0),IF(AND(NOT(AND(AO275=1,AN275&lt;&gt;1)),ISNUMBER(AH275),AH275&lt;=T275),AT275,0),IF(AND(NOT(AND(AO275=1,AN275&lt;&gt;1)),ISNUMBER(AI275),AI275&lt;=T275),AU275,0),IF(AND(ISNUMBER(AJ275),AJ275&lt;=T275),AV275,0))),"AB",IF(AND(IF(AND(NOT(AND(AO275=1,AN275&lt;&gt;1)),ISNUMBER(AI275),AI275&lt;=T275),AU275,0)&gt;0,IF(AND(NOT(AND(AO275=1,AN275&lt;&gt;1)),ISNUMBER(AI275),AI275&lt;=T275),AU275,0)=MAX(IF(AND(NOT(AND(AO275=1,AN275&lt;&gt;1)),ISNUMBER(AG275),AG275&lt;=T275),AS275,0),IF(AND(NOT(AND(AO275=1,AN275&lt;&gt;1)),ISNUMBER(AH275),AH275&lt;=T275),AT275,0),IF(AND(NOT(AND(AO275=1,AN275&lt;&gt;1)),ISNUMBER(AI275),AI275&lt;=T275),AU275,0),IF(AND(ISNUMBER(AJ275),AJ275&lt;=T275),AV275,0))),"SC","Mag")))))))</f>
        <v/>
      </c>
    </row>
    <row r="276" customFormat="false" ht="15" hidden="false" customHeight="false" outlineLevel="0" collapsed="false">
      <c r="A276" s="26" t="n">
        <v>271</v>
      </c>
      <c r="B276" s="27" t="n">
        <f aca="false">A276*10/60</f>
        <v>45.1666666666667</v>
      </c>
      <c r="C276" s="21" t="n">
        <f aca="false">X275</f>
        <v>18.6730249835055</v>
      </c>
      <c r="D276" s="27" t="n">
        <f aca="false">D275+W275</f>
        <v>0</v>
      </c>
      <c r="E276" s="26" t="n">
        <f aca="false">E275+IF(U275="SW",1,0)</f>
        <v>12</v>
      </c>
      <c r="F276" s="26" t="n">
        <f aca="false">F275+IF(U275="AB",1,0)</f>
        <v>10</v>
      </c>
      <c r="G276" s="26" t="n">
        <f aca="false">G275+IF(U275="SC",1,0)</f>
        <v>7</v>
      </c>
      <c r="H276" s="26" t="n">
        <f aca="false">H275+IF(U275="Mag",1,0)</f>
        <v>5</v>
      </c>
      <c r="I276" s="26" t="n">
        <f aca="false">MAX(I275,IF(U275="OR",1,0))</f>
        <v>1</v>
      </c>
      <c r="J276" s="26" t="n">
        <f aca="false">MAX(J275,IF(U275="HP",1,0))</f>
        <v>1</v>
      </c>
      <c r="K276" s="26" t="n">
        <f aca="false">MAX(K275,IF(U275="FP",1,0))</f>
        <v>1</v>
      </c>
      <c r="L276" s="26" t="n">
        <f aca="false">MAX(L275,IF(U275="transition",1,0))</f>
        <v>1</v>
      </c>
      <c r="M276" s="28" t="n">
        <f aca="false">(Parameters!$B$9+(IF(E276=0,0,(Upgrades!$J$6+E276*Upgrades!$K$6)*POWER(Upgrades!$L$6,E276)))*(IF(Upgrades!$T$7="Solar Wind",POWER(Upgrades!$U$7,F276),1)*IF(Upgrades!$T$8="Solar Wind",POWER(Upgrades!$U$8,G276),1)*IF(Upgrades!$T$9="Solar Wind",POWER(Upgrades!$U$9,H276),1)*IF(Upgrades!$T$10="Solar Wind",POWER(Upgrades!$U$10,I276),1)*IF(Upgrades!$T$11="Solar Wind",POWER(Upgrades!$U$11,J276),1)*IF(Upgrades!$T$12="Solar Wind",POWER(Upgrades!$U$12,K276),1))+(IF(F276=0,0,(Upgrades!$J$7+F276*Upgrades!$K$7)*POWER(Upgrades!$L$7,F276)))*(IF(Upgrades!$T$6="Asteroid Belt",POWER(Upgrades!$U$6,E276),1)*IF(Upgrades!$T$8="Asteroid Belt",POWER(Upgrades!$U$8,G276),1)*IF(Upgrades!$T$9="Asteroid Belt",POWER(Upgrades!$U$9,H276),1)*IF(Upgrades!$T$10="Asteroid Belt",POWER(Upgrades!$U$10,I276),1)*IF(Upgrades!$T$11="Asteroid Belt",POWER(Upgrades!$U$11,J276),1)*IF(Upgrades!$T$12="Asteroid Belt",POWER(Upgrades!$U$12,K276),1))+(IF(G276=0,0,(Upgrades!$J$8+G276*Upgrades!$K$8)*POWER(Upgrades!$L$8,G276)))*(IF(Upgrades!$T$6="Stellar Coupling",POWER(Upgrades!$U$6,E276),1)*IF(Upgrades!$T$7="Stellar Coupling",POWER(Upgrades!$U$7,F276),1)*IF(Upgrades!$T$9="Stellar Coupling",POWER(Upgrades!$U$9,H276),1)*IF(Upgrades!$T$10="Stellar Coupling",POWER(Upgrades!$U$10,I276),1)*IF(Upgrades!$T$11="Stellar Coupling",POWER(Upgrades!$U$11,J276),1)*IF(Upgrades!$T$12="Stellar Coupling",POWER(Upgrades!$U$12,K276),1))+(IF(H276=0,0,(Upgrades!$J$9+H276*Upgrades!$K$9)*POWER(Upgrades!$L$9,H276)))*(IF(Upgrades!$T$6="Magnetosphere",POWER(Upgrades!$U$6,E276),1)*IF(Upgrades!$T$7="Magnetosphere",POWER(Upgrades!$U$7,F276),1)*IF(Upgrades!$T$8="Magnetosphere",POWER(Upgrades!$U$8,G276),1)*IF(Upgrades!$T$10="Magnetosphere",POWER(Upgrades!$U$10,I276),1)*IF(Upgrades!$T$11="Magnetosphere",POWER(Upgrades!$U$11,J276),1)*IF(Upgrades!$T$12="Magnetosphere",POWER(Upgrades!$U$12,K276),1))+(IF(I276=0,0,(Upgrades!$J$10+I276*Upgrades!$K$10)*POWER(Upgrades!$L$10,I276)))*(IF(Upgrades!$T$6="Orbital Resonance",POWER(Upgrades!$U$6,E276),1)*IF(Upgrades!$T$7="Orbital Resonance",POWER(Upgrades!$U$7,F276),1)*IF(Upgrades!$T$8="Orbital Resonance",POWER(Upgrades!$U$8,G276),1)*IF(Upgrades!$T$9="Orbital Resonance",POWER(Upgrades!$U$9,H276),1)*IF(Upgrades!$T$11="Orbital Resonance",POWER(Upgrades!$U$11,J276),1)*IF(Upgrades!$T$12="Orbital Resonance",POWER(Upgrades!$U$12,K276),1))+(IF(J276=0,0,(Upgrades!$J$11+J276*Upgrades!$K$11)*POWER(Upgrades!$L$11,J276)))*(IF(Upgrades!$T$6="Heliopause",POWER(Upgrades!$U$6,E276),1)*IF(Upgrades!$T$7="Heliopause",POWER(Upgrades!$U$7,F276),1)*IF(Upgrades!$T$8="Heliopause",POWER(Upgrades!$U$8,G276),1)*IF(Upgrades!$T$9="Heliopause",POWER(Upgrades!$U$9,H276),1)*IF(Upgrades!$T$10="Heliopause",POWER(Upgrades!$U$10,I276),1)*IF(Upgrades!$T$12="Heliopause",POWER(Upgrades!$U$12,K276),1))+(IF(K276=0,0,(Upgrades!$J$12+K276*Upgrades!$K$12)*POWER(Upgrades!$L$12,K276)))*(IF(Upgrades!$T$6="First Photons",POWER(Upgrades!$U$6,E276),1)*IF(Upgrades!$T$7="First Photons",POWER(Upgrades!$U$7,F276),1)*IF(Upgrades!$T$8="First Photons",POWER(Upgrades!$U$8,G276),1)*IF(Upgrades!$T$9="First Photons",POWER(Upgrades!$U$9,H276),1)*IF(Upgrades!$T$10="First Photons",POWER(Upgrades!$U$10,I276),1)*IF(Upgrades!$T$11="First Photons",POWER(Upgrades!$U$11,J276),1)))*POWER(Upgrades!$Q$6,E276)*POWER(Upgrades!$Q$7,F276)*POWER(Upgrades!$Q$8,G276)*POWER(Upgrades!$Q$9,H276)*POWER(Upgrades!$Q$10,I276)*POWER(Upgrades!$Q$11,J276)*POWER(Upgrades!$Q$12,K276)</f>
        <v>5.61</v>
      </c>
      <c r="N276" s="28" t="n">
        <f aca="false">((IF(E276=0,0,(Upgrades!$G$6+E276*Upgrades!$H$6)*POWER(Upgrades!$I$6,E276)))*(IF(Upgrades!$T$7="Solar Wind",POWER(Upgrades!$U$7,F276),1)*IF(Upgrades!$T$8="Solar Wind",POWER(Upgrades!$U$8,G276),1)*IF(Upgrades!$T$9="Solar Wind",POWER(Upgrades!$U$9,H276),1)*IF(Upgrades!$T$10="Solar Wind",POWER(Upgrades!$U$10,I276),1)*IF(Upgrades!$T$11="Solar Wind",POWER(Upgrades!$U$11,J276),1)*IF(Upgrades!$T$12="Solar Wind",POWER(Upgrades!$U$12,K276),1))+(IF(F276=0,0,(Upgrades!$G$7+F276*Upgrades!$H$7)*POWER(Upgrades!$I$7,F276)))*(IF(Upgrades!$T$6="Asteroid Belt",POWER(Upgrades!$U$6,E276),1)*IF(Upgrades!$T$8="Asteroid Belt",POWER(Upgrades!$U$8,G276),1)*IF(Upgrades!$T$9="Asteroid Belt",POWER(Upgrades!$U$9,H276),1)*IF(Upgrades!$T$10="Asteroid Belt",POWER(Upgrades!$U$10,I276),1)*IF(Upgrades!$T$11="Asteroid Belt",POWER(Upgrades!$U$11,J276),1)*IF(Upgrades!$T$12="Asteroid Belt",POWER(Upgrades!$U$12,K276),1))+(IF(G276=0,0,(Upgrades!$G$8+G276*Upgrades!$H$8)*POWER(Upgrades!$I$8,G276)))*(IF(Upgrades!$T$6="Stellar Coupling",POWER(Upgrades!$U$6,E276),1)*IF(Upgrades!$T$7="Stellar Coupling",POWER(Upgrades!$U$7,F276),1)*IF(Upgrades!$T$9="Stellar Coupling",POWER(Upgrades!$U$9,H276),1)*IF(Upgrades!$T$10="Stellar Coupling",POWER(Upgrades!$U$10,I276),1)*IF(Upgrades!$T$11="Stellar Coupling",POWER(Upgrades!$U$11,J276),1)*IF(Upgrades!$T$12="Stellar Coupling",POWER(Upgrades!$U$12,K276),1))+(IF(H276=0,0,(Upgrades!$G$9+H276*Upgrades!$H$9)*POWER(Upgrades!$I$9,H276)))*(IF(Upgrades!$T$6="Magnetosphere",POWER(Upgrades!$U$6,E276),1)*IF(Upgrades!$T$7="Magnetosphere",POWER(Upgrades!$U$7,F276),1)*IF(Upgrades!$T$8="Magnetosphere",POWER(Upgrades!$U$8,G276),1)*IF(Upgrades!$T$10="Magnetosphere",POWER(Upgrades!$U$10,I276),1)*IF(Upgrades!$T$11="Magnetosphere",POWER(Upgrades!$U$11,J276),1)*IF(Upgrades!$T$12="Magnetosphere",POWER(Upgrades!$U$12,K276),1))+(IF(I276=0,0,(Upgrades!$G$10+I276*Upgrades!$H$10)*POWER(Upgrades!$I$10,I276)))*(IF(Upgrades!$T$6="Orbital Resonance",POWER(Upgrades!$U$6,E276),1)*IF(Upgrades!$T$7="Orbital Resonance",POWER(Upgrades!$U$7,F276),1)*IF(Upgrades!$T$8="Orbital Resonance",POWER(Upgrades!$U$8,G276),1)*IF(Upgrades!$T$9="Orbital Resonance",POWER(Upgrades!$U$9,H276),1)*IF(Upgrades!$T$11="Orbital Resonance",POWER(Upgrades!$U$11,J276),1)*IF(Upgrades!$T$12="Orbital Resonance",POWER(Upgrades!$U$12,K276),1))+(IF(J276=0,0,(Upgrades!$G$11+J276*Upgrades!$H$11)*POWER(Upgrades!$I$11,J276)))*(IF(Upgrades!$T$6="Heliopause",POWER(Upgrades!$U$6,E276),1)*IF(Upgrades!$T$7="Heliopause",POWER(Upgrades!$U$7,F276),1)*IF(Upgrades!$T$8="Heliopause",POWER(Upgrades!$U$8,G276),1)*IF(Upgrades!$T$9="Heliopause",POWER(Upgrades!$U$9,H276),1)*IF(Upgrades!$T$10="Heliopause",POWER(Upgrades!$U$10,I276),1)*IF(Upgrades!$T$12="Heliopause",POWER(Upgrades!$U$12,K276),1))+(IF(K276=0,0,(Upgrades!$G$12+K276*Upgrades!$H$12)*POWER(Upgrades!$I$12,K276)))*(IF(Upgrades!$T$6="First Photons",POWER(Upgrades!$U$6,E276),1)*IF(Upgrades!$T$7="First Photons",POWER(Upgrades!$U$7,F276),1)*IF(Upgrades!$T$8="First Photons",POWER(Upgrades!$U$8,G276),1)*IF(Upgrades!$T$9="First Photons",POWER(Upgrades!$U$9,H276),1)*IF(Upgrades!$T$10="First Photons",POWER(Upgrades!$U$10,I276),1)*IF(Upgrades!$T$11="First Photons",POWER(Upgrades!$U$11,J276),1)))*POWER(Upgrades!$P$6,E276)*POWER(Upgrades!$P$7,F276)*POWER(Upgrades!$P$8,G276)*POWER(Upgrades!$P$9,H276)*POWER(Upgrades!$P$10,I276)*POWER(Upgrades!$P$11,J276)*POWER(Upgrades!$P$12,K276)</f>
        <v>11.2</v>
      </c>
      <c r="O276" s="28" t="n">
        <f aca="false">((IF(E276=0,0,(Upgrades!$M$6+E276*Upgrades!$N$6)*POWER(Upgrades!$O$6,E276)))*(IF(Upgrades!$T$7="Solar Wind",POWER(Upgrades!$U$7,F276),1)*IF(Upgrades!$T$8="Solar Wind",POWER(Upgrades!$U$8,G276),1)*IF(Upgrades!$T$9="Solar Wind",POWER(Upgrades!$U$9,H276),1)*IF(Upgrades!$T$10="Solar Wind",POWER(Upgrades!$U$10,I276),1)*IF(Upgrades!$T$11="Solar Wind",POWER(Upgrades!$U$11,J276),1)*IF(Upgrades!$T$12="Solar Wind",POWER(Upgrades!$U$12,K276),1))+(IF(F276=0,0,(Upgrades!$M$7+F276*Upgrades!$N$7)*POWER(Upgrades!$O$7,F276)))*(IF(Upgrades!$T$6="Asteroid Belt",POWER(Upgrades!$U$6,E276),1)*IF(Upgrades!$T$8="Asteroid Belt",POWER(Upgrades!$U$8,G276),1)*IF(Upgrades!$T$9="Asteroid Belt",POWER(Upgrades!$U$9,H276),1)*IF(Upgrades!$T$10="Asteroid Belt",POWER(Upgrades!$U$10,I276),1)*IF(Upgrades!$T$11="Asteroid Belt",POWER(Upgrades!$U$11,J276),1)*IF(Upgrades!$T$12="Asteroid Belt",POWER(Upgrades!$U$12,K276),1))+(IF(G276=0,0,(Upgrades!$M$8+G276*Upgrades!$N$8)*POWER(Upgrades!$O$8,G276)))*(IF(Upgrades!$T$6="Stellar Coupling",POWER(Upgrades!$U$6,E276),1)*IF(Upgrades!$T$7="Stellar Coupling",POWER(Upgrades!$U$7,F276),1)*IF(Upgrades!$T$9="Stellar Coupling",POWER(Upgrades!$U$9,H276),1)*IF(Upgrades!$T$10="Stellar Coupling",POWER(Upgrades!$U$10,I276),1)*IF(Upgrades!$T$11="Stellar Coupling",POWER(Upgrades!$U$11,J276),1)*IF(Upgrades!$T$12="Stellar Coupling",POWER(Upgrades!$U$12,K276),1))+(IF(H276=0,0,(Upgrades!$M$9+H276*Upgrades!$N$9)*POWER(Upgrades!$O$9,H276)))*(IF(Upgrades!$T$6="Magnetosphere",POWER(Upgrades!$U$6,E276),1)*IF(Upgrades!$T$7="Magnetosphere",POWER(Upgrades!$U$7,F276),1)*IF(Upgrades!$T$8="Magnetosphere",POWER(Upgrades!$U$8,G276),1)*IF(Upgrades!$T$10="Magnetosphere",POWER(Upgrades!$U$10,I276),1)*IF(Upgrades!$T$11="Magnetosphere",POWER(Upgrades!$U$11,J276),1)*IF(Upgrades!$T$12="Magnetosphere",POWER(Upgrades!$U$12,K276),1))+(IF(I276=0,0,(Upgrades!$M$10+I276*Upgrades!$N$10)*POWER(Upgrades!$O$10,I276)))*(IF(Upgrades!$T$6="Orbital Resonance",POWER(Upgrades!$U$6,E276),1)*IF(Upgrades!$T$7="Orbital Resonance",POWER(Upgrades!$U$7,F276),1)*IF(Upgrades!$T$8="Orbital Resonance",POWER(Upgrades!$U$8,G276),1)*IF(Upgrades!$T$9="Orbital Resonance",POWER(Upgrades!$U$9,H276),1)*IF(Upgrades!$T$11="Orbital Resonance",POWER(Upgrades!$U$11,J276),1)*IF(Upgrades!$T$12="Orbital Resonance",POWER(Upgrades!$U$12,K276),1))+(IF(J276=0,0,(Upgrades!$M$11+J276*Upgrades!$N$11)*POWER(Upgrades!$O$11,J276)))*(IF(Upgrades!$T$6="Heliopause",POWER(Upgrades!$U$6,E276),1)*IF(Upgrades!$T$7="Heliopause",POWER(Upgrades!$U$7,F276),1)*IF(Upgrades!$T$8="Heliopause",POWER(Upgrades!$U$8,G276),1)*IF(Upgrades!$T$9="Heliopause",POWER(Upgrades!$U$9,H276),1)*IF(Upgrades!$T$10="Heliopause",POWER(Upgrades!$U$10,I276),1)*IF(Upgrades!$T$12="Heliopause",POWER(Upgrades!$U$12,K276),1))+(IF(K276=0,0,(Upgrades!$M$12+K276*Upgrades!$N$12)*POWER(Upgrades!$O$12,K276)))*(IF(Upgrades!$T$6="First Photons",POWER(Upgrades!$U$6,E276),1)*IF(Upgrades!$T$7="First Photons",POWER(Upgrades!$U$7,F276),1)*IF(Upgrades!$T$8="First Photons",POWER(Upgrades!$U$8,G276),1)*IF(Upgrades!$T$9="First Photons",POWER(Upgrades!$U$9,H276),1)*IF(Upgrades!$T$10="First Photons",POWER(Upgrades!$U$10,I276),1)*IF(Upgrades!$T$11="First Photons",POWER(Upgrades!$U$11,J276),1)))*POWER(Upgrades!$R$6,E276)*POWER(Upgrades!$R$7,F276)*POWER(Upgrades!$R$8,G276)*POWER(Upgrades!$R$9,H276)*POWER(Upgrades!$R$10,I276)*POWER(Upgrades!$R$11,J276)*POWER(Upgrades!$R$12,K276)</f>
        <v>0</v>
      </c>
      <c r="P276" s="27" t="n">
        <f aca="false">IF(L276=1,0,M276*Parameters!$B$10/60*Parameters!$B$11*10)</f>
        <v>0</v>
      </c>
      <c r="Q276" s="27" t="n">
        <f aca="false">IF(L276=1,0,O276*M276*10)</f>
        <v>0</v>
      </c>
      <c r="R276" s="27" t="n">
        <f aca="false">IF(L276=1,0,N276*10)</f>
        <v>0</v>
      </c>
      <c r="S276" s="27" t="n">
        <f aca="false">P276+Q276+R276</f>
        <v>0</v>
      </c>
      <c r="T276" s="21" t="n">
        <f aca="false">C276+S276</f>
        <v>18.6730249835055</v>
      </c>
      <c r="U276" s="34" t="str">
        <f aca="false">AX276</f>
        <v/>
      </c>
      <c r="V276" s="21" t="n">
        <f aca="false">IF(U276="",0,IF(U276="transition",0,IF(U276="SW",AG276,IF(U276="AB",AH276,IF(U276="SC",AI276,IF(U276="Mag",AJ276,IF(U276="OR",AK276,IF(U276="HP",AL276,IF(U276="FP",AM276,0)))))))))</f>
        <v>0</v>
      </c>
      <c r="W276" s="27" t="n">
        <f aca="false">IF(U276="OR",Upgrades!$F$10,IF(U276="HP",Upgrades!$F$11,IF(U276="transition",-Parameters!$B$18,0)))</f>
        <v>0</v>
      </c>
      <c r="X276" s="21" t="n">
        <f aca="false">T276-V276</f>
        <v>18.6730249835055</v>
      </c>
      <c r="Y276" s="30" t="n">
        <f aca="false">M276*Parameters!$B$10/60*Parameters!$B$11+O276*M276+N276</f>
        <v>20.55</v>
      </c>
      <c r="Z276" s="35" t="str">
        <f aca="false">IF(U276="transition","→ Tier 2 (Stellar Neighborhood)",IF(U276="FP","First Photons — light begins, system quickens",IF(U276="HP","Heliopause acquired",IF(U276="OR","Orbital Resonance — passive multiplier active",IF(AND(AO276=1,L276=0,AN276&lt;&gt;1),"Cohesion ready (waiting on completionist upgrades)","")))))</f>
        <v/>
      </c>
      <c r="AA276" s="27" t="n">
        <f aca="false">(IF(E276=0,0,(Upgrades!$G$6+E276*Upgrades!$H$6)*POWER(Upgrades!$I$6,E276)))*(IF(Upgrades!$T$7="Solar Wind",POWER(Upgrades!$U$7,F276),1)*IF(Upgrades!$T$8="Solar Wind",POWER(Upgrades!$U$8,G276),1)*IF(Upgrades!$T$9="Solar Wind",POWER(Upgrades!$U$9,H276),1)*IF(Upgrades!$T$10="Solar Wind",POWER(Upgrades!$U$10,I276),1)*IF(Upgrades!$T$11="Solar Wind",POWER(Upgrades!$U$11,J276),1)*IF(Upgrades!$T$12="Solar Wind",POWER(Upgrades!$U$12,K276),1))*POWER(Upgrades!$P$6,E276)*POWER(Upgrades!$P$7,F276)*POWER(Upgrades!$P$8,G276)*POWER(Upgrades!$P$9,H276)*POWER(Upgrades!$P$10,I276)*POWER(Upgrades!$P$11,J276)*POWER(Upgrades!$P$12,K276)*60</f>
        <v>72</v>
      </c>
      <c r="AB276" s="27" t="n">
        <f aca="false">(IF(F276=0,0,(Upgrades!$G$7+F276*Upgrades!$H$7)*POWER(Upgrades!$I$7,F276)))*(IF(Upgrades!$T$6="Asteroid Belt",POWER(Upgrades!$U$6,E276),1)*IF(Upgrades!$T$8="Asteroid Belt",POWER(Upgrades!$U$8,G276),1)*IF(Upgrades!$T$9="Asteroid Belt",POWER(Upgrades!$U$9,H276),1)*IF(Upgrades!$T$10="Asteroid Belt",POWER(Upgrades!$U$10,I276),1)*IF(Upgrades!$T$11="Asteroid Belt",POWER(Upgrades!$U$11,J276),1)*IF(Upgrades!$T$12="Asteroid Belt",POWER(Upgrades!$U$12,K276),1))*POWER(Upgrades!$P$6,E276)*POWER(Upgrades!$P$7,F276)*POWER(Upgrades!$P$8,G276)*POWER(Upgrades!$P$9,H276)*POWER(Upgrades!$P$10,I276)*POWER(Upgrades!$P$11,J276)*POWER(Upgrades!$P$12,K276)*60</f>
        <v>150</v>
      </c>
      <c r="AC276" s="27" t="n">
        <f aca="false">(IF(G276=0,0,(Upgrades!$J$8+G276*Upgrades!$K$8)*POWER(Upgrades!$L$8,G276)))*(IF(Upgrades!$T$6="Stellar Coupling",POWER(Upgrades!$U$6,E276),1)*IF(Upgrades!$T$7="Stellar Coupling",POWER(Upgrades!$U$7,F276),1)*IF(Upgrades!$T$9="Stellar Coupling",POWER(Upgrades!$U$9,H276),1)*IF(Upgrades!$T$10="Stellar Coupling",POWER(Upgrades!$U$10,I276),1)*IF(Upgrades!$T$11="Stellar Coupling",POWER(Upgrades!$U$11,J276),1)*IF(Upgrades!$T$12="Stellar Coupling",POWER(Upgrades!$U$12,K276),1))*POWER(Upgrades!$Q$6,E276)*POWER(Upgrades!$Q$7,F276)*POWER(Upgrades!$Q$8,G276)*POWER(Upgrades!$Q$9,H276)*POWER(Upgrades!$Q$10,I276)*POWER(Upgrades!$Q$11,J276)*POWER(Upgrades!$Q$12,K276)*Parameters!$B$10*Parameters!$B$11</f>
        <v>441</v>
      </c>
      <c r="AD276" s="27" t="n">
        <f aca="false">(IF(H276=0,0,(Upgrades!$G$9+H276*Upgrades!$H$9)*POWER(Upgrades!$I$9,H276)))*(IF(Upgrades!$T$6="Magnetosphere",POWER(Upgrades!$U$6,E276),1)*IF(Upgrades!$T$7="Magnetosphere",POWER(Upgrades!$U$7,F276),1)*IF(Upgrades!$T$8="Magnetosphere",POWER(Upgrades!$U$8,G276),1)*IF(Upgrades!$T$10="Magnetosphere",POWER(Upgrades!$U$10,I276),1)*IF(Upgrades!$T$11="Magnetosphere",POWER(Upgrades!$U$11,J276),1)*IF(Upgrades!$T$12="Magnetosphere",POWER(Upgrades!$U$12,K276),1))*POWER(Upgrades!$P$6,E276)*POWER(Upgrades!$P$7,F276)*POWER(Upgrades!$P$8,G276)*POWER(Upgrades!$P$9,H276)*POWER(Upgrades!$P$10,I276)*POWER(Upgrades!$P$11,J276)*POWER(Upgrades!$P$12,K276)*60</f>
        <v>375</v>
      </c>
      <c r="AE276" s="27" t="n">
        <f aca="false">(IF(K276=0,0,(Upgrades!$G$12+K276*Upgrades!$H$12)*POWER(Upgrades!$I$12,K276)))*(IF(Upgrades!$T$6="First Photons",POWER(Upgrades!$U$6,E276),1)*IF(Upgrades!$T$7="First Photons",POWER(Upgrades!$U$7,F276),1)*IF(Upgrades!$T$8="First Photons",POWER(Upgrades!$U$8,G276),1)*IF(Upgrades!$T$9="First Photons",POWER(Upgrades!$U$9,H276),1)*IF(Upgrades!$T$10="First Photons",POWER(Upgrades!$U$10,I276),1)*IF(Upgrades!$T$11="First Photons",POWER(Upgrades!$U$11,J276),1))*POWER(Upgrades!$P$6,E276)*POWER(Upgrades!$P$7,F276)*POWER(Upgrades!$P$8,G276)*POWER(Upgrades!$P$9,H276)*POWER(Upgrades!$P$10,I276)*POWER(Upgrades!$P$11,J276)*POWER(Upgrades!$P$12,K276)*60</f>
        <v>75</v>
      </c>
      <c r="AF276" s="27" t="n">
        <f aca="false">Parameters!$B$9*POWER(Upgrades!$Q$6,E276)*POWER(Upgrades!$Q$7,F276)*POWER(Upgrades!$Q$8,G276)*POWER(Upgrades!$Q$9,H276)*POWER(Upgrades!$Q$10,I276)*POWER(Upgrades!$Q$11,J276)*POWER(Upgrades!$Q$12,K276)*(Parameters!$B$10*Parameters!$B$11+O276*60)</f>
        <v>120</v>
      </c>
      <c r="AG276" s="21" t="n">
        <f aca="false">IF(E276&gt;=Upgrades!$E$6,"",Upgrades!$C$6*POWER(Upgrades!$D$6,E276))</f>
        <v>37.4517507383159</v>
      </c>
      <c r="AH276" s="21" t="n">
        <f aca="false">IF(F276&gt;=Upgrades!$E$7,"",Upgrades!$C$7*POWER(Upgrades!$D$7,F276))</f>
        <v>80.9111547141581</v>
      </c>
      <c r="AI276" s="21" t="n">
        <f aca="false">IF(G276&gt;=Upgrades!$E$8,"",Upgrades!$C$8*POWER(Upgrades!$D$8,G276))</f>
        <v>231.9097088</v>
      </c>
      <c r="AJ276" s="21" t="str">
        <f aca="false">IF(H276&gt;=Upgrades!$E$9,"",Upgrades!$C$9*POWER(Upgrades!$D$9,H276))</f>
        <v/>
      </c>
      <c r="AK276" s="21" t="str">
        <f aca="false">IF(I276&gt;=Upgrades!$E$10,"",Upgrades!$C$10*POWER(Upgrades!$D$10,I276))</f>
        <v/>
      </c>
      <c r="AL276" s="21" t="str">
        <f aca="false">IF(J276&gt;=Upgrades!$E$11,"",Upgrades!$C$11*POWER(Upgrades!$D$11,J276))</f>
        <v/>
      </c>
      <c r="AM276" s="21" t="str">
        <f aca="false">IF(K276&gt;=Upgrades!$E$12,"",Upgrades!$C$12*POWER(Upgrades!$D$12,K276))</f>
        <v/>
      </c>
      <c r="AN276" s="26" t="str">
        <f aca="false">IF(AND(D276&gt;=Parameters!$B$18,(H276&gt;=Upgrades!$E$9)*(K276&gt;=Upgrades!$E$12)=1,L276=0),1,"")</f>
        <v/>
      </c>
      <c r="AO276" s="26" t="str">
        <f aca="false">IF(AND(D276&gt;=Parameters!$B$18,L276=0),1,"")</f>
        <v/>
      </c>
      <c r="AP276" s="21" t="n">
        <f aca="false">MIN(IF(ISNUMBER(AK276),AK276,9000000000000000),IF(ISNUMBER(AL276),AL276,9000000000000000),IF(ISNUMBER(AM276),AM276,9000000000000000))</f>
        <v>9000000000000000</v>
      </c>
      <c r="AQ276" s="21" t="n">
        <f aca="false">MIN(IF(ISNUMBER(AG276),AG276,9000000000000000),IF(ISNUMBER(AH276),AH276,9000000000000000),IF(ISNUMBER(AI276),AI276,9000000000000000),IF(ISNUMBER(AJ276),AJ276,9000000000000000))</f>
        <v>37.4517507383159</v>
      </c>
      <c r="AR276" s="32" t="b">
        <f aca="false">IF(AW276&gt;Parameters!$B$21*(MAX(IF(AND(NOT(AND(AO276=1,AN276&lt;&gt;1)),ISNUMBER(AG276),AG276&lt;=T276),AS276,0),IF(AND(NOT(AND(AO276=1,AN276&lt;&gt;1)),ISNUMBER(AH276),AH276&lt;=T276),AT276,0),IF(AND(NOT(AND(AO276=1,AN276&lt;&gt;1)),ISNUMBER(AI276),AI276&lt;=T276),AU276,0),IF(AND(ISNUMBER(AJ276),AJ276&lt;=T276),AV276,0))),TRUE(),FALSE())</f>
        <v>1</v>
      </c>
      <c r="AS276" s="33" t="n">
        <f aca="false">IFERROR(Upgrades!$H$6*(POWER(Upgrades!$P$6,E276)*POWER(Upgrades!$P$7,F276)*POWER(Upgrades!$P$8,G276)*POWER(Upgrades!$P$9,H276)*POWER(Upgrades!$P$10,I276)*POWER(Upgrades!$P$11,J276)*POWER(Upgrades!$P$12,K276))*(IF(Upgrades!$T$7="Solar Wind",POWER(Upgrades!$U$7,F276),1)*IF(Upgrades!$T$8="Solar Wind",POWER(Upgrades!$U$8,G276),1)*IF(Upgrades!$T$9="Solar Wind",POWER(Upgrades!$U$9,H276),1)*IF(Upgrades!$T$10="Solar Wind",POWER(Upgrades!$U$10,I276),1)*IF(Upgrades!$T$11="Solar Wind",POWER(Upgrades!$U$11,J276),1)*IF(Upgrades!$T$12="Solar Wind",POWER(Upgrades!$U$12,K276),1))/AG276,0)</f>
        <v>0.0026701021455238</v>
      </c>
      <c r="AT276" s="33" t="n">
        <f aca="false">IFERROR(Upgrades!$H$7*(POWER(Upgrades!$P$6,E276)*POWER(Upgrades!$P$7,F276)*POWER(Upgrades!$P$8,G276)*POWER(Upgrades!$P$9,H276)*POWER(Upgrades!$P$10,I276)*POWER(Upgrades!$P$11,J276)*POWER(Upgrades!$P$12,K276))*(IF(Upgrades!$T$6="Asteroid Belt",POWER(Upgrades!$U$6,E276),1)*IF(Upgrades!$T$8="Asteroid Belt",POWER(Upgrades!$U$8,G276),1)*IF(Upgrades!$T$9="Asteroid Belt",POWER(Upgrades!$U$9,H276),1)*IF(Upgrades!$T$10="Asteroid Belt",POWER(Upgrades!$U$10,I276),1)*IF(Upgrades!$T$11="Asteroid Belt",POWER(Upgrades!$U$11,J276),1)*IF(Upgrades!$T$12="Asteroid Belt",POWER(Upgrades!$U$12,K276),1))/AH276,0)</f>
        <v>0.00308980882652332</v>
      </c>
      <c r="AU276" s="33" t="n">
        <f aca="false">IFERROR(Upgrades!$K$8*(POWER(Upgrades!$Q$6,E276)*POWER(Upgrades!$Q$7,F276)*POWER(Upgrades!$Q$8,G276)*POWER(Upgrades!$Q$9,H276)*POWER(Upgrades!$Q$10,I276)*POWER(Upgrades!$Q$11,J276)*POWER(Upgrades!$Q$12,K276))*(IF(Upgrades!$T$6="Stellar Coupling",POWER(Upgrades!$U$6,E276),1)*IF(Upgrades!$T$7="Stellar Coupling",POWER(Upgrades!$U$7,F276),1)*IF(Upgrades!$T$9="Stellar Coupling",POWER(Upgrades!$U$9,H276),1)*IF(Upgrades!$T$10="Stellar Coupling",POWER(Upgrades!$U$10,I276),1)*IF(Upgrades!$T$11="Stellar Coupling",POWER(Upgrades!$U$11,J276),1)*IF(Upgrades!$T$12="Stellar Coupling",POWER(Upgrades!$U$12,K276),1))*Parameters!$B$10*Parameters!$B$11/60/AI276,0)</f>
        <v>0.00452762415783776</v>
      </c>
      <c r="AV276" s="33" t="n">
        <f aca="false">IFERROR(Upgrades!$H$9*(POWER(Upgrades!$P$6,E276)*POWER(Upgrades!$P$7,F276)*POWER(Upgrades!$P$8,G276)*POWER(Upgrades!$P$9,H276)*POWER(Upgrades!$P$10,I276)*POWER(Upgrades!$P$11,J276)*POWER(Upgrades!$P$12,K276))*(IF(Upgrades!$T$6="Magnetosphere",POWER(Upgrades!$U$6,E276),1)*IF(Upgrades!$T$7="Magnetosphere",POWER(Upgrades!$U$7,F276),1)*IF(Upgrades!$T$8="Magnetosphere",POWER(Upgrades!$U$8,G276),1)*IF(Upgrades!$T$10="Magnetosphere",POWER(Upgrades!$U$10,I276),1)*IF(Upgrades!$T$11="Magnetosphere",POWER(Upgrades!$U$11,J276),1)*IF(Upgrades!$T$12="Magnetosphere",POWER(Upgrades!$U$12,K276),1))/AJ276,0)</f>
        <v>0</v>
      </c>
      <c r="AW276" s="33" t="n">
        <f aca="false">MAX(IF(I276&gt;0,0,IFERROR(0.25*N276/Upgrades!$C$10,0)),IF(J276&gt;0,0,IFERROR(0.5*((IF(G276=0,0,(Upgrades!$J$8+G276*Upgrades!$K$8)*POWER(Upgrades!$L$8,G276)))*(IF(Upgrades!$T$6="Stellar Coupling",POWER(Upgrades!$U$6,E276),1)*IF(Upgrades!$T$7="Stellar Coupling",POWER(Upgrades!$U$7,F276),1)*IF(Upgrades!$T$9="Stellar Coupling",POWER(Upgrades!$U$9,H276),1)*IF(Upgrades!$T$10="Stellar Coupling",POWER(Upgrades!$U$10,I276),1)*IF(Upgrades!$T$11="Stellar Coupling",POWER(Upgrades!$U$11,J276),1)*IF(Upgrades!$T$12="Stellar Coupling",POWER(Upgrades!$U$12,K276),1))*(POWER(Upgrades!$Q$6,E276)*POWER(Upgrades!$Q$7,F276)*POWER(Upgrades!$Q$8,G276)*POWER(Upgrades!$Q$9,H276)*POWER(Upgrades!$Q$10,I276)*POWER(Upgrades!$Q$11,J276)*POWER(Upgrades!$Q$12,K276))*Parameters!$B$10*Parameters!$B$11/60)/Upgrades!$C$11,0)),IF(K276&gt;0,0,IFERROR((1*(POWER(Upgrades!$P$6,E276)*POWER(Upgrades!$P$7,F276)*POWER(Upgrades!$P$8,G276)*POWER(Upgrades!$P$9,H276)*POWER(Upgrades!$P$10,I276)*POWER(Upgrades!$P$11,J276)*POWER(Upgrades!$P$12,K276))+0.2*M276*Parameters!$B$10*Parameters!$B$11/60)/Upgrades!$C$12,0)),IF(AND(ISNUMBER(AG276),AG276&gt;T276),AS276,0),IF(AND(ISNUMBER(AH276),AH276&gt;T276),AT276,0),IF(AND(ISNUMBER(AI276),AI276&gt;T276),AU276,0),IF(AND(ISNUMBER(AJ276),AJ276&gt;T276),AV276,0))</f>
        <v>0.00452762415783776</v>
      </c>
      <c r="AX276" s="29" t="str">
        <f aca="false">IF(AN276=1,"transition",IF(MIN(IF(AND(I276=0,ISNUMBER(AK276),AK276&lt;=T276),AK276,9000000000000000),IF(AND(J276=0,ISNUMBER(AL276),AL276&lt;=T276),AL276,9000000000000000),IF(AND(K276=0,ISNUMBER(AM276),AM276&lt;=T276),AM276,9000000000000000))&lt;9000000000000000,IF(AND(AND(I276=0,ISNUMBER(AK276),AK276&lt;=T276),AK276=MIN(IF(AND(I276=0,ISNUMBER(AK276),AK276&lt;=T276),AK276,9000000000000000),IF(AND(J276=0,ISNUMBER(AL276),AL276&lt;=T276),AL276,9000000000000000),IF(AND(K276=0,ISNUMBER(AM276),AM276&lt;=T276),AM276,9000000000000000))),"OR",IF(AND(AND(J276=0,ISNUMBER(AL276),AL276&lt;=T276),AL276=MIN(IF(AND(I276=0,ISNUMBER(AK276),AK276&lt;=T276),AK276,9000000000000000),IF(AND(J276=0,ISNUMBER(AL276),AL276&lt;=T276),AL276,9000000000000000),IF(AND(K276=0,ISNUMBER(AM276),AM276&lt;=T276),AM276,9000000000000000))),"HP","FP")),IF(AR276=TRUE(),"",IF(MAX(IF(AND(NOT(AND(AO276=1,AN276&lt;&gt;1)),ISNUMBER(AG276),AG276&lt;=T276),AS276,0),IF(AND(NOT(AND(AO276=1,AN276&lt;&gt;1)),ISNUMBER(AH276),AH276&lt;=T276),AT276,0),IF(AND(NOT(AND(AO276=1,AN276&lt;&gt;1)),ISNUMBER(AI276),AI276&lt;=T276),AU276,0),IF(AND(ISNUMBER(AJ276),AJ276&lt;=T276),AV276,0))&lt;=0,"",IF(AND(IF(AND(NOT(AND(AO276=1,AN276&lt;&gt;1)),ISNUMBER(AG276),AG276&lt;=T276),AS276,0)&gt;0,IF(AND(NOT(AND(AO276=1,AN276&lt;&gt;1)),ISNUMBER(AG276),AG276&lt;=T276),AS276,0)=MAX(IF(AND(NOT(AND(AO276=1,AN276&lt;&gt;1)),ISNUMBER(AG276),AG276&lt;=T276),AS276,0),IF(AND(NOT(AND(AO276=1,AN276&lt;&gt;1)),ISNUMBER(AH276),AH276&lt;=T276),AT276,0),IF(AND(NOT(AND(AO276=1,AN276&lt;&gt;1)),ISNUMBER(AI276),AI276&lt;=T276),AU276,0),IF(AND(ISNUMBER(AJ276),AJ276&lt;=T276),AV276,0))),"SW",IF(AND(IF(AND(NOT(AND(AO276=1,AN276&lt;&gt;1)),ISNUMBER(AH276),AH276&lt;=T276),AT276,0)&gt;0,IF(AND(NOT(AND(AO276=1,AN276&lt;&gt;1)),ISNUMBER(AH276),AH276&lt;=T276),AT276,0)=MAX(IF(AND(NOT(AND(AO276=1,AN276&lt;&gt;1)),ISNUMBER(AG276),AG276&lt;=T276),AS276,0),IF(AND(NOT(AND(AO276=1,AN276&lt;&gt;1)),ISNUMBER(AH276),AH276&lt;=T276),AT276,0),IF(AND(NOT(AND(AO276=1,AN276&lt;&gt;1)),ISNUMBER(AI276),AI276&lt;=T276),AU276,0),IF(AND(ISNUMBER(AJ276),AJ276&lt;=T276),AV276,0))),"AB",IF(AND(IF(AND(NOT(AND(AO276=1,AN276&lt;&gt;1)),ISNUMBER(AI276),AI276&lt;=T276),AU276,0)&gt;0,IF(AND(NOT(AND(AO276=1,AN276&lt;&gt;1)),ISNUMBER(AI276),AI276&lt;=T276),AU276,0)=MAX(IF(AND(NOT(AND(AO276=1,AN276&lt;&gt;1)),ISNUMBER(AG276),AG276&lt;=T276),AS276,0),IF(AND(NOT(AND(AO276=1,AN276&lt;&gt;1)),ISNUMBER(AH276),AH276&lt;=T276),AT276,0),IF(AND(NOT(AND(AO276=1,AN276&lt;&gt;1)),ISNUMBER(AI276),AI276&lt;=T276),AU276,0),IF(AND(ISNUMBER(AJ276),AJ276&lt;=T276),AV276,0))),"SC","Mag")))))))</f>
        <v/>
      </c>
    </row>
    <row r="277" customFormat="false" ht="15" hidden="false" customHeight="false" outlineLevel="0" collapsed="false">
      <c r="A277" s="26" t="n">
        <v>272</v>
      </c>
      <c r="B277" s="27" t="n">
        <f aca="false">A277*10/60</f>
        <v>45.3333333333333</v>
      </c>
      <c r="C277" s="21" t="n">
        <f aca="false">X276</f>
        <v>18.6730249835055</v>
      </c>
      <c r="D277" s="27" t="n">
        <f aca="false">D276+W276</f>
        <v>0</v>
      </c>
      <c r="E277" s="26" t="n">
        <f aca="false">E276+IF(U276="SW",1,0)</f>
        <v>12</v>
      </c>
      <c r="F277" s="26" t="n">
        <f aca="false">F276+IF(U276="AB",1,0)</f>
        <v>10</v>
      </c>
      <c r="G277" s="26" t="n">
        <f aca="false">G276+IF(U276="SC",1,0)</f>
        <v>7</v>
      </c>
      <c r="H277" s="26" t="n">
        <f aca="false">H276+IF(U276="Mag",1,0)</f>
        <v>5</v>
      </c>
      <c r="I277" s="26" t="n">
        <f aca="false">MAX(I276,IF(U276="OR",1,0))</f>
        <v>1</v>
      </c>
      <c r="J277" s="26" t="n">
        <f aca="false">MAX(J276,IF(U276="HP",1,0))</f>
        <v>1</v>
      </c>
      <c r="K277" s="26" t="n">
        <f aca="false">MAX(K276,IF(U276="FP",1,0))</f>
        <v>1</v>
      </c>
      <c r="L277" s="26" t="n">
        <f aca="false">MAX(L276,IF(U276="transition",1,0))</f>
        <v>1</v>
      </c>
      <c r="M277" s="28" t="n">
        <f aca="false">(Parameters!$B$9+(IF(E277=0,0,(Upgrades!$J$6+E277*Upgrades!$K$6)*POWER(Upgrades!$L$6,E277)))*(IF(Upgrades!$T$7="Solar Wind",POWER(Upgrades!$U$7,F277),1)*IF(Upgrades!$T$8="Solar Wind",POWER(Upgrades!$U$8,G277),1)*IF(Upgrades!$T$9="Solar Wind",POWER(Upgrades!$U$9,H277),1)*IF(Upgrades!$T$10="Solar Wind",POWER(Upgrades!$U$10,I277),1)*IF(Upgrades!$T$11="Solar Wind",POWER(Upgrades!$U$11,J277),1)*IF(Upgrades!$T$12="Solar Wind",POWER(Upgrades!$U$12,K277),1))+(IF(F277=0,0,(Upgrades!$J$7+F277*Upgrades!$K$7)*POWER(Upgrades!$L$7,F277)))*(IF(Upgrades!$T$6="Asteroid Belt",POWER(Upgrades!$U$6,E277),1)*IF(Upgrades!$T$8="Asteroid Belt",POWER(Upgrades!$U$8,G277),1)*IF(Upgrades!$T$9="Asteroid Belt",POWER(Upgrades!$U$9,H277),1)*IF(Upgrades!$T$10="Asteroid Belt",POWER(Upgrades!$U$10,I277),1)*IF(Upgrades!$T$11="Asteroid Belt",POWER(Upgrades!$U$11,J277),1)*IF(Upgrades!$T$12="Asteroid Belt",POWER(Upgrades!$U$12,K277),1))+(IF(G277=0,0,(Upgrades!$J$8+G277*Upgrades!$K$8)*POWER(Upgrades!$L$8,G277)))*(IF(Upgrades!$T$6="Stellar Coupling",POWER(Upgrades!$U$6,E277),1)*IF(Upgrades!$T$7="Stellar Coupling",POWER(Upgrades!$U$7,F277),1)*IF(Upgrades!$T$9="Stellar Coupling",POWER(Upgrades!$U$9,H277),1)*IF(Upgrades!$T$10="Stellar Coupling",POWER(Upgrades!$U$10,I277),1)*IF(Upgrades!$T$11="Stellar Coupling",POWER(Upgrades!$U$11,J277),1)*IF(Upgrades!$T$12="Stellar Coupling",POWER(Upgrades!$U$12,K277),1))+(IF(H277=0,0,(Upgrades!$J$9+H277*Upgrades!$K$9)*POWER(Upgrades!$L$9,H277)))*(IF(Upgrades!$T$6="Magnetosphere",POWER(Upgrades!$U$6,E277),1)*IF(Upgrades!$T$7="Magnetosphere",POWER(Upgrades!$U$7,F277),1)*IF(Upgrades!$T$8="Magnetosphere",POWER(Upgrades!$U$8,G277),1)*IF(Upgrades!$T$10="Magnetosphere",POWER(Upgrades!$U$10,I277),1)*IF(Upgrades!$T$11="Magnetosphere",POWER(Upgrades!$U$11,J277),1)*IF(Upgrades!$T$12="Magnetosphere",POWER(Upgrades!$U$12,K277),1))+(IF(I277=0,0,(Upgrades!$J$10+I277*Upgrades!$K$10)*POWER(Upgrades!$L$10,I277)))*(IF(Upgrades!$T$6="Orbital Resonance",POWER(Upgrades!$U$6,E277),1)*IF(Upgrades!$T$7="Orbital Resonance",POWER(Upgrades!$U$7,F277),1)*IF(Upgrades!$T$8="Orbital Resonance",POWER(Upgrades!$U$8,G277),1)*IF(Upgrades!$T$9="Orbital Resonance",POWER(Upgrades!$U$9,H277),1)*IF(Upgrades!$T$11="Orbital Resonance",POWER(Upgrades!$U$11,J277),1)*IF(Upgrades!$T$12="Orbital Resonance",POWER(Upgrades!$U$12,K277),1))+(IF(J277=0,0,(Upgrades!$J$11+J277*Upgrades!$K$11)*POWER(Upgrades!$L$11,J277)))*(IF(Upgrades!$T$6="Heliopause",POWER(Upgrades!$U$6,E277),1)*IF(Upgrades!$T$7="Heliopause",POWER(Upgrades!$U$7,F277),1)*IF(Upgrades!$T$8="Heliopause",POWER(Upgrades!$U$8,G277),1)*IF(Upgrades!$T$9="Heliopause",POWER(Upgrades!$U$9,H277),1)*IF(Upgrades!$T$10="Heliopause",POWER(Upgrades!$U$10,I277),1)*IF(Upgrades!$T$12="Heliopause",POWER(Upgrades!$U$12,K277),1))+(IF(K277=0,0,(Upgrades!$J$12+K277*Upgrades!$K$12)*POWER(Upgrades!$L$12,K277)))*(IF(Upgrades!$T$6="First Photons",POWER(Upgrades!$U$6,E277),1)*IF(Upgrades!$T$7="First Photons",POWER(Upgrades!$U$7,F277),1)*IF(Upgrades!$T$8="First Photons",POWER(Upgrades!$U$8,G277),1)*IF(Upgrades!$T$9="First Photons",POWER(Upgrades!$U$9,H277),1)*IF(Upgrades!$T$10="First Photons",POWER(Upgrades!$U$10,I277),1)*IF(Upgrades!$T$11="First Photons",POWER(Upgrades!$U$11,J277),1)))*POWER(Upgrades!$Q$6,E277)*POWER(Upgrades!$Q$7,F277)*POWER(Upgrades!$Q$8,G277)*POWER(Upgrades!$Q$9,H277)*POWER(Upgrades!$Q$10,I277)*POWER(Upgrades!$Q$11,J277)*POWER(Upgrades!$Q$12,K277)</f>
        <v>5.61</v>
      </c>
      <c r="N277" s="28" t="n">
        <f aca="false">((IF(E277=0,0,(Upgrades!$G$6+E277*Upgrades!$H$6)*POWER(Upgrades!$I$6,E277)))*(IF(Upgrades!$T$7="Solar Wind",POWER(Upgrades!$U$7,F277),1)*IF(Upgrades!$T$8="Solar Wind",POWER(Upgrades!$U$8,G277),1)*IF(Upgrades!$T$9="Solar Wind",POWER(Upgrades!$U$9,H277),1)*IF(Upgrades!$T$10="Solar Wind",POWER(Upgrades!$U$10,I277),1)*IF(Upgrades!$T$11="Solar Wind",POWER(Upgrades!$U$11,J277),1)*IF(Upgrades!$T$12="Solar Wind",POWER(Upgrades!$U$12,K277),1))+(IF(F277=0,0,(Upgrades!$G$7+F277*Upgrades!$H$7)*POWER(Upgrades!$I$7,F277)))*(IF(Upgrades!$T$6="Asteroid Belt",POWER(Upgrades!$U$6,E277),1)*IF(Upgrades!$T$8="Asteroid Belt",POWER(Upgrades!$U$8,G277),1)*IF(Upgrades!$T$9="Asteroid Belt",POWER(Upgrades!$U$9,H277),1)*IF(Upgrades!$T$10="Asteroid Belt",POWER(Upgrades!$U$10,I277),1)*IF(Upgrades!$T$11="Asteroid Belt",POWER(Upgrades!$U$11,J277),1)*IF(Upgrades!$T$12="Asteroid Belt",POWER(Upgrades!$U$12,K277),1))+(IF(G277=0,0,(Upgrades!$G$8+G277*Upgrades!$H$8)*POWER(Upgrades!$I$8,G277)))*(IF(Upgrades!$T$6="Stellar Coupling",POWER(Upgrades!$U$6,E277),1)*IF(Upgrades!$T$7="Stellar Coupling",POWER(Upgrades!$U$7,F277),1)*IF(Upgrades!$T$9="Stellar Coupling",POWER(Upgrades!$U$9,H277),1)*IF(Upgrades!$T$10="Stellar Coupling",POWER(Upgrades!$U$10,I277),1)*IF(Upgrades!$T$11="Stellar Coupling",POWER(Upgrades!$U$11,J277),1)*IF(Upgrades!$T$12="Stellar Coupling",POWER(Upgrades!$U$12,K277),1))+(IF(H277=0,0,(Upgrades!$G$9+H277*Upgrades!$H$9)*POWER(Upgrades!$I$9,H277)))*(IF(Upgrades!$T$6="Magnetosphere",POWER(Upgrades!$U$6,E277),1)*IF(Upgrades!$T$7="Magnetosphere",POWER(Upgrades!$U$7,F277),1)*IF(Upgrades!$T$8="Magnetosphere",POWER(Upgrades!$U$8,G277),1)*IF(Upgrades!$T$10="Magnetosphere",POWER(Upgrades!$U$10,I277),1)*IF(Upgrades!$T$11="Magnetosphere",POWER(Upgrades!$U$11,J277),1)*IF(Upgrades!$T$12="Magnetosphere",POWER(Upgrades!$U$12,K277),1))+(IF(I277=0,0,(Upgrades!$G$10+I277*Upgrades!$H$10)*POWER(Upgrades!$I$10,I277)))*(IF(Upgrades!$T$6="Orbital Resonance",POWER(Upgrades!$U$6,E277),1)*IF(Upgrades!$T$7="Orbital Resonance",POWER(Upgrades!$U$7,F277),1)*IF(Upgrades!$T$8="Orbital Resonance",POWER(Upgrades!$U$8,G277),1)*IF(Upgrades!$T$9="Orbital Resonance",POWER(Upgrades!$U$9,H277),1)*IF(Upgrades!$T$11="Orbital Resonance",POWER(Upgrades!$U$11,J277),1)*IF(Upgrades!$T$12="Orbital Resonance",POWER(Upgrades!$U$12,K277),1))+(IF(J277=0,0,(Upgrades!$G$11+J277*Upgrades!$H$11)*POWER(Upgrades!$I$11,J277)))*(IF(Upgrades!$T$6="Heliopause",POWER(Upgrades!$U$6,E277),1)*IF(Upgrades!$T$7="Heliopause",POWER(Upgrades!$U$7,F277),1)*IF(Upgrades!$T$8="Heliopause",POWER(Upgrades!$U$8,G277),1)*IF(Upgrades!$T$9="Heliopause",POWER(Upgrades!$U$9,H277),1)*IF(Upgrades!$T$10="Heliopause",POWER(Upgrades!$U$10,I277),1)*IF(Upgrades!$T$12="Heliopause",POWER(Upgrades!$U$12,K277),1))+(IF(K277=0,0,(Upgrades!$G$12+K277*Upgrades!$H$12)*POWER(Upgrades!$I$12,K277)))*(IF(Upgrades!$T$6="First Photons",POWER(Upgrades!$U$6,E277),1)*IF(Upgrades!$T$7="First Photons",POWER(Upgrades!$U$7,F277),1)*IF(Upgrades!$T$8="First Photons",POWER(Upgrades!$U$8,G277),1)*IF(Upgrades!$T$9="First Photons",POWER(Upgrades!$U$9,H277),1)*IF(Upgrades!$T$10="First Photons",POWER(Upgrades!$U$10,I277),1)*IF(Upgrades!$T$11="First Photons",POWER(Upgrades!$U$11,J277),1)))*POWER(Upgrades!$P$6,E277)*POWER(Upgrades!$P$7,F277)*POWER(Upgrades!$P$8,G277)*POWER(Upgrades!$P$9,H277)*POWER(Upgrades!$P$10,I277)*POWER(Upgrades!$P$11,J277)*POWER(Upgrades!$P$12,K277)</f>
        <v>11.2</v>
      </c>
      <c r="O277" s="28" t="n">
        <f aca="false">((IF(E277=0,0,(Upgrades!$M$6+E277*Upgrades!$N$6)*POWER(Upgrades!$O$6,E277)))*(IF(Upgrades!$T$7="Solar Wind",POWER(Upgrades!$U$7,F277),1)*IF(Upgrades!$T$8="Solar Wind",POWER(Upgrades!$U$8,G277),1)*IF(Upgrades!$T$9="Solar Wind",POWER(Upgrades!$U$9,H277),1)*IF(Upgrades!$T$10="Solar Wind",POWER(Upgrades!$U$10,I277),1)*IF(Upgrades!$T$11="Solar Wind",POWER(Upgrades!$U$11,J277),1)*IF(Upgrades!$T$12="Solar Wind",POWER(Upgrades!$U$12,K277),1))+(IF(F277=0,0,(Upgrades!$M$7+F277*Upgrades!$N$7)*POWER(Upgrades!$O$7,F277)))*(IF(Upgrades!$T$6="Asteroid Belt",POWER(Upgrades!$U$6,E277),1)*IF(Upgrades!$T$8="Asteroid Belt",POWER(Upgrades!$U$8,G277),1)*IF(Upgrades!$T$9="Asteroid Belt",POWER(Upgrades!$U$9,H277),1)*IF(Upgrades!$T$10="Asteroid Belt",POWER(Upgrades!$U$10,I277),1)*IF(Upgrades!$T$11="Asteroid Belt",POWER(Upgrades!$U$11,J277),1)*IF(Upgrades!$T$12="Asteroid Belt",POWER(Upgrades!$U$12,K277),1))+(IF(G277=0,0,(Upgrades!$M$8+G277*Upgrades!$N$8)*POWER(Upgrades!$O$8,G277)))*(IF(Upgrades!$T$6="Stellar Coupling",POWER(Upgrades!$U$6,E277),1)*IF(Upgrades!$T$7="Stellar Coupling",POWER(Upgrades!$U$7,F277),1)*IF(Upgrades!$T$9="Stellar Coupling",POWER(Upgrades!$U$9,H277),1)*IF(Upgrades!$T$10="Stellar Coupling",POWER(Upgrades!$U$10,I277),1)*IF(Upgrades!$T$11="Stellar Coupling",POWER(Upgrades!$U$11,J277),1)*IF(Upgrades!$T$12="Stellar Coupling",POWER(Upgrades!$U$12,K277),1))+(IF(H277=0,0,(Upgrades!$M$9+H277*Upgrades!$N$9)*POWER(Upgrades!$O$9,H277)))*(IF(Upgrades!$T$6="Magnetosphere",POWER(Upgrades!$U$6,E277),1)*IF(Upgrades!$T$7="Magnetosphere",POWER(Upgrades!$U$7,F277),1)*IF(Upgrades!$T$8="Magnetosphere",POWER(Upgrades!$U$8,G277),1)*IF(Upgrades!$T$10="Magnetosphere",POWER(Upgrades!$U$10,I277),1)*IF(Upgrades!$T$11="Magnetosphere",POWER(Upgrades!$U$11,J277),1)*IF(Upgrades!$T$12="Magnetosphere",POWER(Upgrades!$U$12,K277),1))+(IF(I277=0,0,(Upgrades!$M$10+I277*Upgrades!$N$10)*POWER(Upgrades!$O$10,I277)))*(IF(Upgrades!$T$6="Orbital Resonance",POWER(Upgrades!$U$6,E277),1)*IF(Upgrades!$T$7="Orbital Resonance",POWER(Upgrades!$U$7,F277),1)*IF(Upgrades!$T$8="Orbital Resonance",POWER(Upgrades!$U$8,G277),1)*IF(Upgrades!$T$9="Orbital Resonance",POWER(Upgrades!$U$9,H277),1)*IF(Upgrades!$T$11="Orbital Resonance",POWER(Upgrades!$U$11,J277),1)*IF(Upgrades!$T$12="Orbital Resonance",POWER(Upgrades!$U$12,K277),1))+(IF(J277=0,0,(Upgrades!$M$11+J277*Upgrades!$N$11)*POWER(Upgrades!$O$11,J277)))*(IF(Upgrades!$T$6="Heliopause",POWER(Upgrades!$U$6,E277),1)*IF(Upgrades!$T$7="Heliopause",POWER(Upgrades!$U$7,F277),1)*IF(Upgrades!$T$8="Heliopause",POWER(Upgrades!$U$8,G277),1)*IF(Upgrades!$T$9="Heliopause",POWER(Upgrades!$U$9,H277),1)*IF(Upgrades!$T$10="Heliopause",POWER(Upgrades!$U$10,I277),1)*IF(Upgrades!$T$12="Heliopause",POWER(Upgrades!$U$12,K277),1))+(IF(K277=0,0,(Upgrades!$M$12+K277*Upgrades!$N$12)*POWER(Upgrades!$O$12,K277)))*(IF(Upgrades!$T$6="First Photons",POWER(Upgrades!$U$6,E277),1)*IF(Upgrades!$T$7="First Photons",POWER(Upgrades!$U$7,F277),1)*IF(Upgrades!$T$8="First Photons",POWER(Upgrades!$U$8,G277),1)*IF(Upgrades!$T$9="First Photons",POWER(Upgrades!$U$9,H277),1)*IF(Upgrades!$T$10="First Photons",POWER(Upgrades!$U$10,I277),1)*IF(Upgrades!$T$11="First Photons",POWER(Upgrades!$U$11,J277),1)))*POWER(Upgrades!$R$6,E277)*POWER(Upgrades!$R$7,F277)*POWER(Upgrades!$R$8,G277)*POWER(Upgrades!$R$9,H277)*POWER(Upgrades!$R$10,I277)*POWER(Upgrades!$R$11,J277)*POWER(Upgrades!$R$12,K277)</f>
        <v>0</v>
      </c>
      <c r="P277" s="27" t="n">
        <f aca="false">IF(L277=1,0,M277*Parameters!$B$10/60*Parameters!$B$11*10)</f>
        <v>0</v>
      </c>
      <c r="Q277" s="27" t="n">
        <f aca="false">IF(L277=1,0,O277*M277*10)</f>
        <v>0</v>
      </c>
      <c r="R277" s="27" t="n">
        <f aca="false">IF(L277=1,0,N277*10)</f>
        <v>0</v>
      </c>
      <c r="S277" s="27" t="n">
        <f aca="false">P277+Q277+R277</f>
        <v>0</v>
      </c>
      <c r="T277" s="21" t="n">
        <f aca="false">C277+S277</f>
        <v>18.6730249835055</v>
      </c>
      <c r="U277" s="34" t="str">
        <f aca="false">AX277</f>
        <v/>
      </c>
      <c r="V277" s="21" t="n">
        <f aca="false">IF(U277="",0,IF(U277="transition",0,IF(U277="SW",AG277,IF(U277="AB",AH277,IF(U277="SC",AI277,IF(U277="Mag",AJ277,IF(U277="OR",AK277,IF(U277="HP",AL277,IF(U277="FP",AM277,0)))))))))</f>
        <v>0</v>
      </c>
      <c r="W277" s="27" t="n">
        <f aca="false">IF(U277="OR",Upgrades!$F$10,IF(U277="HP",Upgrades!$F$11,IF(U277="transition",-Parameters!$B$18,0)))</f>
        <v>0</v>
      </c>
      <c r="X277" s="21" t="n">
        <f aca="false">T277-V277</f>
        <v>18.6730249835055</v>
      </c>
      <c r="Y277" s="30" t="n">
        <f aca="false">M277*Parameters!$B$10/60*Parameters!$B$11+O277*M277+N277</f>
        <v>20.55</v>
      </c>
      <c r="Z277" s="35" t="str">
        <f aca="false">IF(U277="transition","→ Tier 2 (Stellar Neighborhood)",IF(U277="FP","First Photons — light begins, system quickens",IF(U277="HP","Heliopause acquired",IF(U277="OR","Orbital Resonance — passive multiplier active",IF(AND(AO277=1,L277=0,AN277&lt;&gt;1),"Cohesion ready (waiting on completionist upgrades)","")))))</f>
        <v/>
      </c>
      <c r="AA277" s="27" t="n">
        <f aca="false">(IF(E277=0,0,(Upgrades!$G$6+E277*Upgrades!$H$6)*POWER(Upgrades!$I$6,E277)))*(IF(Upgrades!$T$7="Solar Wind",POWER(Upgrades!$U$7,F277),1)*IF(Upgrades!$T$8="Solar Wind",POWER(Upgrades!$U$8,G277),1)*IF(Upgrades!$T$9="Solar Wind",POWER(Upgrades!$U$9,H277),1)*IF(Upgrades!$T$10="Solar Wind",POWER(Upgrades!$U$10,I277),1)*IF(Upgrades!$T$11="Solar Wind",POWER(Upgrades!$U$11,J277),1)*IF(Upgrades!$T$12="Solar Wind",POWER(Upgrades!$U$12,K277),1))*POWER(Upgrades!$P$6,E277)*POWER(Upgrades!$P$7,F277)*POWER(Upgrades!$P$8,G277)*POWER(Upgrades!$P$9,H277)*POWER(Upgrades!$P$10,I277)*POWER(Upgrades!$P$11,J277)*POWER(Upgrades!$P$12,K277)*60</f>
        <v>72</v>
      </c>
      <c r="AB277" s="27" t="n">
        <f aca="false">(IF(F277=0,0,(Upgrades!$G$7+F277*Upgrades!$H$7)*POWER(Upgrades!$I$7,F277)))*(IF(Upgrades!$T$6="Asteroid Belt",POWER(Upgrades!$U$6,E277),1)*IF(Upgrades!$T$8="Asteroid Belt",POWER(Upgrades!$U$8,G277),1)*IF(Upgrades!$T$9="Asteroid Belt",POWER(Upgrades!$U$9,H277),1)*IF(Upgrades!$T$10="Asteroid Belt",POWER(Upgrades!$U$10,I277),1)*IF(Upgrades!$T$11="Asteroid Belt",POWER(Upgrades!$U$11,J277),1)*IF(Upgrades!$T$12="Asteroid Belt",POWER(Upgrades!$U$12,K277),1))*POWER(Upgrades!$P$6,E277)*POWER(Upgrades!$P$7,F277)*POWER(Upgrades!$P$8,G277)*POWER(Upgrades!$P$9,H277)*POWER(Upgrades!$P$10,I277)*POWER(Upgrades!$P$11,J277)*POWER(Upgrades!$P$12,K277)*60</f>
        <v>150</v>
      </c>
      <c r="AC277" s="27" t="n">
        <f aca="false">(IF(G277=0,0,(Upgrades!$J$8+G277*Upgrades!$K$8)*POWER(Upgrades!$L$8,G277)))*(IF(Upgrades!$T$6="Stellar Coupling",POWER(Upgrades!$U$6,E277),1)*IF(Upgrades!$T$7="Stellar Coupling",POWER(Upgrades!$U$7,F277),1)*IF(Upgrades!$T$9="Stellar Coupling",POWER(Upgrades!$U$9,H277),1)*IF(Upgrades!$T$10="Stellar Coupling",POWER(Upgrades!$U$10,I277),1)*IF(Upgrades!$T$11="Stellar Coupling",POWER(Upgrades!$U$11,J277),1)*IF(Upgrades!$T$12="Stellar Coupling",POWER(Upgrades!$U$12,K277),1))*POWER(Upgrades!$Q$6,E277)*POWER(Upgrades!$Q$7,F277)*POWER(Upgrades!$Q$8,G277)*POWER(Upgrades!$Q$9,H277)*POWER(Upgrades!$Q$10,I277)*POWER(Upgrades!$Q$11,J277)*POWER(Upgrades!$Q$12,K277)*Parameters!$B$10*Parameters!$B$11</f>
        <v>441</v>
      </c>
      <c r="AD277" s="27" t="n">
        <f aca="false">(IF(H277=0,0,(Upgrades!$G$9+H277*Upgrades!$H$9)*POWER(Upgrades!$I$9,H277)))*(IF(Upgrades!$T$6="Magnetosphere",POWER(Upgrades!$U$6,E277),1)*IF(Upgrades!$T$7="Magnetosphere",POWER(Upgrades!$U$7,F277),1)*IF(Upgrades!$T$8="Magnetosphere",POWER(Upgrades!$U$8,G277),1)*IF(Upgrades!$T$10="Magnetosphere",POWER(Upgrades!$U$10,I277),1)*IF(Upgrades!$T$11="Magnetosphere",POWER(Upgrades!$U$11,J277),1)*IF(Upgrades!$T$12="Magnetosphere",POWER(Upgrades!$U$12,K277),1))*POWER(Upgrades!$P$6,E277)*POWER(Upgrades!$P$7,F277)*POWER(Upgrades!$P$8,G277)*POWER(Upgrades!$P$9,H277)*POWER(Upgrades!$P$10,I277)*POWER(Upgrades!$P$11,J277)*POWER(Upgrades!$P$12,K277)*60</f>
        <v>375</v>
      </c>
      <c r="AE277" s="27" t="n">
        <f aca="false">(IF(K277=0,0,(Upgrades!$G$12+K277*Upgrades!$H$12)*POWER(Upgrades!$I$12,K277)))*(IF(Upgrades!$T$6="First Photons",POWER(Upgrades!$U$6,E277),1)*IF(Upgrades!$T$7="First Photons",POWER(Upgrades!$U$7,F277),1)*IF(Upgrades!$T$8="First Photons",POWER(Upgrades!$U$8,G277),1)*IF(Upgrades!$T$9="First Photons",POWER(Upgrades!$U$9,H277),1)*IF(Upgrades!$T$10="First Photons",POWER(Upgrades!$U$10,I277),1)*IF(Upgrades!$T$11="First Photons",POWER(Upgrades!$U$11,J277),1))*POWER(Upgrades!$P$6,E277)*POWER(Upgrades!$P$7,F277)*POWER(Upgrades!$P$8,G277)*POWER(Upgrades!$P$9,H277)*POWER(Upgrades!$P$10,I277)*POWER(Upgrades!$P$11,J277)*POWER(Upgrades!$P$12,K277)*60</f>
        <v>75</v>
      </c>
      <c r="AF277" s="27" t="n">
        <f aca="false">Parameters!$B$9*POWER(Upgrades!$Q$6,E277)*POWER(Upgrades!$Q$7,F277)*POWER(Upgrades!$Q$8,G277)*POWER(Upgrades!$Q$9,H277)*POWER(Upgrades!$Q$10,I277)*POWER(Upgrades!$Q$11,J277)*POWER(Upgrades!$Q$12,K277)*(Parameters!$B$10*Parameters!$B$11+O277*60)</f>
        <v>120</v>
      </c>
      <c r="AG277" s="21" t="n">
        <f aca="false">IF(E277&gt;=Upgrades!$E$6,"",Upgrades!$C$6*POWER(Upgrades!$D$6,E277))</f>
        <v>37.4517507383159</v>
      </c>
      <c r="AH277" s="21" t="n">
        <f aca="false">IF(F277&gt;=Upgrades!$E$7,"",Upgrades!$C$7*POWER(Upgrades!$D$7,F277))</f>
        <v>80.9111547141581</v>
      </c>
      <c r="AI277" s="21" t="n">
        <f aca="false">IF(G277&gt;=Upgrades!$E$8,"",Upgrades!$C$8*POWER(Upgrades!$D$8,G277))</f>
        <v>231.9097088</v>
      </c>
      <c r="AJ277" s="21" t="str">
        <f aca="false">IF(H277&gt;=Upgrades!$E$9,"",Upgrades!$C$9*POWER(Upgrades!$D$9,H277))</f>
        <v/>
      </c>
      <c r="AK277" s="21" t="str">
        <f aca="false">IF(I277&gt;=Upgrades!$E$10,"",Upgrades!$C$10*POWER(Upgrades!$D$10,I277))</f>
        <v/>
      </c>
      <c r="AL277" s="21" t="str">
        <f aca="false">IF(J277&gt;=Upgrades!$E$11,"",Upgrades!$C$11*POWER(Upgrades!$D$11,J277))</f>
        <v/>
      </c>
      <c r="AM277" s="21" t="str">
        <f aca="false">IF(K277&gt;=Upgrades!$E$12,"",Upgrades!$C$12*POWER(Upgrades!$D$12,K277))</f>
        <v/>
      </c>
      <c r="AN277" s="26" t="str">
        <f aca="false">IF(AND(D277&gt;=Parameters!$B$18,(H277&gt;=Upgrades!$E$9)*(K277&gt;=Upgrades!$E$12)=1,L277=0),1,"")</f>
        <v/>
      </c>
      <c r="AO277" s="26" t="str">
        <f aca="false">IF(AND(D277&gt;=Parameters!$B$18,L277=0),1,"")</f>
        <v/>
      </c>
      <c r="AP277" s="21" t="n">
        <f aca="false">MIN(IF(ISNUMBER(AK277),AK277,9000000000000000),IF(ISNUMBER(AL277),AL277,9000000000000000),IF(ISNUMBER(AM277),AM277,9000000000000000))</f>
        <v>9000000000000000</v>
      </c>
      <c r="AQ277" s="21" t="n">
        <f aca="false">MIN(IF(ISNUMBER(AG277),AG277,9000000000000000),IF(ISNUMBER(AH277),AH277,9000000000000000),IF(ISNUMBER(AI277),AI277,9000000000000000),IF(ISNUMBER(AJ277),AJ277,9000000000000000))</f>
        <v>37.4517507383159</v>
      </c>
      <c r="AR277" s="32" t="b">
        <f aca="false">IF(AW277&gt;Parameters!$B$21*(MAX(IF(AND(NOT(AND(AO277=1,AN277&lt;&gt;1)),ISNUMBER(AG277),AG277&lt;=T277),AS277,0),IF(AND(NOT(AND(AO277=1,AN277&lt;&gt;1)),ISNUMBER(AH277),AH277&lt;=T277),AT277,0),IF(AND(NOT(AND(AO277=1,AN277&lt;&gt;1)),ISNUMBER(AI277),AI277&lt;=T277),AU277,0),IF(AND(ISNUMBER(AJ277),AJ277&lt;=T277),AV277,0))),TRUE(),FALSE())</f>
        <v>1</v>
      </c>
      <c r="AS277" s="33" t="n">
        <f aca="false">IFERROR(Upgrades!$H$6*(POWER(Upgrades!$P$6,E277)*POWER(Upgrades!$P$7,F277)*POWER(Upgrades!$P$8,G277)*POWER(Upgrades!$P$9,H277)*POWER(Upgrades!$P$10,I277)*POWER(Upgrades!$P$11,J277)*POWER(Upgrades!$P$12,K277))*(IF(Upgrades!$T$7="Solar Wind",POWER(Upgrades!$U$7,F277),1)*IF(Upgrades!$T$8="Solar Wind",POWER(Upgrades!$U$8,G277),1)*IF(Upgrades!$T$9="Solar Wind",POWER(Upgrades!$U$9,H277),1)*IF(Upgrades!$T$10="Solar Wind",POWER(Upgrades!$U$10,I277),1)*IF(Upgrades!$T$11="Solar Wind",POWER(Upgrades!$U$11,J277),1)*IF(Upgrades!$T$12="Solar Wind",POWER(Upgrades!$U$12,K277),1))/AG277,0)</f>
        <v>0.0026701021455238</v>
      </c>
      <c r="AT277" s="33" t="n">
        <f aca="false">IFERROR(Upgrades!$H$7*(POWER(Upgrades!$P$6,E277)*POWER(Upgrades!$P$7,F277)*POWER(Upgrades!$P$8,G277)*POWER(Upgrades!$P$9,H277)*POWER(Upgrades!$P$10,I277)*POWER(Upgrades!$P$11,J277)*POWER(Upgrades!$P$12,K277))*(IF(Upgrades!$T$6="Asteroid Belt",POWER(Upgrades!$U$6,E277),1)*IF(Upgrades!$T$8="Asteroid Belt",POWER(Upgrades!$U$8,G277),1)*IF(Upgrades!$T$9="Asteroid Belt",POWER(Upgrades!$U$9,H277),1)*IF(Upgrades!$T$10="Asteroid Belt",POWER(Upgrades!$U$10,I277),1)*IF(Upgrades!$T$11="Asteroid Belt",POWER(Upgrades!$U$11,J277),1)*IF(Upgrades!$T$12="Asteroid Belt",POWER(Upgrades!$U$12,K277),1))/AH277,0)</f>
        <v>0.00308980882652332</v>
      </c>
      <c r="AU277" s="33" t="n">
        <f aca="false">IFERROR(Upgrades!$K$8*(POWER(Upgrades!$Q$6,E277)*POWER(Upgrades!$Q$7,F277)*POWER(Upgrades!$Q$8,G277)*POWER(Upgrades!$Q$9,H277)*POWER(Upgrades!$Q$10,I277)*POWER(Upgrades!$Q$11,J277)*POWER(Upgrades!$Q$12,K277))*(IF(Upgrades!$T$6="Stellar Coupling",POWER(Upgrades!$U$6,E277),1)*IF(Upgrades!$T$7="Stellar Coupling",POWER(Upgrades!$U$7,F277),1)*IF(Upgrades!$T$9="Stellar Coupling",POWER(Upgrades!$U$9,H277),1)*IF(Upgrades!$T$10="Stellar Coupling",POWER(Upgrades!$U$10,I277),1)*IF(Upgrades!$T$11="Stellar Coupling",POWER(Upgrades!$U$11,J277),1)*IF(Upgrades!$T$12="Stellar Coupling",POWER(Upgrades!$U$12,K277),1))*Parameters!$B$10*Parameters!$B$11/60/AI277,0)</f>
        <v>0.00452762415783776</v>
      </c>
      <c r="AV277" s="33" t="n">
        <f aca="false">IFERROR(Upgrades!$H$9*(POWER(Upgrades!$P$6,E277)*POWER(Upgrades!$P$7,F277)*POWER(Upgrades!$P$8,G277)*POWER(Upgrades!$P$9,H277)*POWER(Upgrades!$P$10,I277)*POWER(Upgrades!$P$11,J277)*POWER(Upgrades!$P$12,K277))*(IF(Upgrades!$T$6="Magnetosphere",POWER(Upgrades!$U$6,E277),1)*IF(Upgrades!$T$7="Magnetosphere",POWER(Upgrades!$U$7,F277),1)*IF(Upgrades!$T$8="Magnetosphere",POWER(Upgrades!$U$8,G277),1)*IF(Upgrades!$T$10="Magnetosphere",POWER(Upgrades!$U$10,I277),1)*IF(Upgrades!$T$11="Magnetosphere",POWER(Upgrades!$U$11,J277),1)*IF(Upgrades!$T$12="Magnetosphere",POWER(Upgrades!$U$12,K277),1))/AJ277,0)</f>
        <v>0</v>
      </c>
      <c r="AW277" s="33" t="n">
        <f aca="false">MAX(IF(I277&gt;0,0,IFERROR(0.25*N277/Upgrades!$C$10,0)),IF(J277&gt;0,0,IFERROR(0.5*((IF(G277=0,0,(Upgrades!$J$8+G277*Upgrades!$K$8)*POWER(Upgrades!$L$8,G277)))*(IF(Upgrades!$T$6="Stellar Coupling",POWER(Upgrades!$U$6,E277),1)*IF(Upgrades!$T$7="Stellar Coupling",POWER(Upgrades!$U$7,F277),1)*IF(Upgrades!$T$9="Stellar Coupling",POWER(Upgrades!$U$9,H277),1)*IF(Upgrades!$T$10="Stellar Coupling",POWER(Upgrades!$U$10,I277),1)*IF(Upgrades!$T$11="Stellar Coupling",POWER(Upgrades!$U$11,J277),1)*IF(Upgrades!$T$12="Stellar Coupling",POWER(Upgrades!$U$12,K277),1))*(POWER(Upgrades!$Q$6,E277)*POWER(Upgrades!$Q$7,F277)*POWER(Upgrades!$Q$8,G277)*POWER(Upgrades!$Q$9,H277)*POWER(Upgrades!$Q$10,I277)*POWER(Upgrades!$Q$11,J277)*POWER(Upgrades!$Q$12,K277))*Parameters!$B$10*Parameters!$B$11/60)/Upgrades!$C$11,0)),IF(K277&gt;0,0,IFERROR((1*(POWER(Upgrades!$P$6,E277)*POWER(Upgrades!$P$7,F277)*POWER(Upgrades!$P$8,G277)*POWER(Upgrades!$P$9,H277)*POWER(Upgrades!$P$10,I277)*POWER(Upgrades!$P$11,J277)*POWER(Upgrades!$P$12,K277))+0.2*M277*Parameters!$B$10*Parameters!$B$11/60)/Upgrades!$C$12,0)),IF(AND(ISNUMBER(AG277),AG277&gt;T277),AS277,0),IF(AND(ISNUMBER(AH277),AH277&gt;T277),AT277,0),IF(AND(ISNUMBER(AI277),AI277&gt;T277),AU277,0),IF(AND(ISNUMBER(AJ277),AJ277&gt;T277),AV277,0))</f>
        <v>0.00452762415783776</v>
      </c>
      <c r="AX277" s="29" t="str">
        <f aca="false">IF(AN277=1,"transition",IF(MIN(IF(AND(I277=0,ISNUMBER(AK277),AK277&lt;=T277),AK277,9000000000000000),IF(AND(J277=0,ISNUMBER(AL277),AL277&lt;=T277),AL277,9000000000000000),IF(AND(K277=0,ISNUMBER(AM277),AM277&lt;=T277),AM277,9000000000000000))&lt;9000000000000000,IF(AND(AND(I277=0,ISNUMBER(AK277),AK277&lt;=T277),AK277=MIN(IF(AND(I277=0,ISNUMBER(AK277),AK277&lt;=T277),AK277,9000000000000000),IF(AND(J277=0,ISNUMBER(AL277),AL277&lt;=T277),AL277,9000000000000000),IF(AND(K277=0,ISNUMBER(AM277),AM277&lt;=T277),AM277,9000000000000000))),"OR",IF(AND(AND(J277=0,ISNUMBER(AL277),AL277&lt;=T277),AL277=MIN(IF(AND(I277=0,ISNUMBER(AK277),AK277&lt;=T277),AK277,9000000000000000),IF(AND(J277=0,ISNUMBER(AL277),AL277&lt;=T277),AL277,9000000000000000),IF(AND(K277=0,ISNUMBER(AM277),AM277&lt;=T277),AM277,9000000000000000))),"HP","FP")),IF(AR277=TRUE(),"",IF(MAX(IF(AND(NOT(AND(AO277=1,AN277&lt;&gt;1)),ISNUMBER(AG277),AG277&lt;=T277),AS277,0),IF(AND(NOT(AND(AO277=1,AN277&lt;&gt;1)),ISNUMBER(AH277),AH277&lt;=T277),AT277,0),IF(AND(NOT(AND(AO277=1,AN277&lt;&gt;1)),ISNUMBER(AI277),AI277&lt;=T277),AU277,0),IF(AND(ISNUMBER(AJ277),AJ277&lt;=T277),AV277,0))&lt;=0,"",IF(AND(IF(AND(NOT(AND(AO277=1,AN277&lt;&gt;1)),ISNUMBER(AG277),AG277&lt;=T277),AS277,0)&gt;0,IF(AND(NOT(AND(AO277=1,AN277&lt;&gt;1)),ISNUMBER(AG277),AG277&lt;=T277),AS277,0)=MAX(IF(AND(NOT(AND(AO277=1,AN277&lt;&gt;1)),ISNUMBER(AG277),AG277&lt;=T277),AS277,0),IF(AND(NOT(AND(AO277=1,AN277&lt;&gt;1)),ISNUMBER(AH277),AH277&lt;=T277),AT277,0),IF(AND(NOT(AND(AO277=1,AN277&lt;&gt;1)),ISNUMBER(AI277),AI277&lt;=T277),AU277,0),IF(AND(ISNUMBER(AJ277),AJ277&lt;=T277),AV277,0))),"SW",IF(AND(IF(AND(NOT(AND(AO277=1,AN277&lt;&gt;1)),ISNUMBER(AH277),AH277&lt;=T277),AT277,0)&gt;0,IF(AND(NOT(AND(AO277=1,AN277&lt;&gt;1)),ISNUMBER(AH277),AH277&lt;=T277),AT277,0)=MAX(IF(AND(NOT(AND(AO277=1,AN277&lt;&gt;1)),ISNUMBER(AG277),AG277&lt;=T277),AS277,0),IF(AND(NOT(AND(AO277=1,AN277&lt;&gt;1)),ISNUMBER(AH277),AH277&lt;=T277),AT277,0),IF(AND(NOT(AND(AO277=1,AN277&lt;&gt;1)),ISNUMBER(AI277),AI277&lt;=T277),AU277,0),IF(AND(ISNUMBER(AJ277),AJ277&lt;=T277),AV277,0))),"AB",IF(AND(IF(AND(NOT(AND(AO277=1,AN277&lt;&gt;1)),ISNUMBER(AI277),AI277&lt;=T277),AU277,0)&gt;0,IF(AND(NOT(AND(AO277=1,AN277&lt;&gt;1)),ISNUMBER(AI277),AI277&lt;=T277),AU277,0)=MAX(IF(AND(NOT(AND(AO277=1,AN277&lt;&gt;1)),ISNUMBER(AG277),AG277&lt;=T277),AS277,0),IF(AND(NOT(AND(AO277=1,AN277&lt;&gt;1)),ISNUMBER(AH277),AH277&lt;=T277),AT277,0),IF(AND(NOT(AND(AO277=1,AN277&lt;&gt;1)),ISNUMBER(AI277),AI277&lt;=T277),AU277,0),IF(AND(ISNUMBER(AJ277),AJ277&lt;=T277),AV277,0))),"SC","Mag")))))))</f>
        <v/>
      </c>
    </row>
    <row r="278" customFormat="false" ht="15" hidden="false" customHeight="false" outlineLevel="0" collapsed="false">
      <c r="A278" s="26" t="n">
        <v>273</v>
      </c>
      <c r="B278" s="27" t="n">
        <f aca="false">A278*10/60</f>
        <v>45.5</v>
      </c>
      <c r="C278" s="21" t="n">
        <f aca="false">X277</f>
        <v>18.6730249835055</v>
      </c>
      <c r="D278" s="27" t="n">
        <f aca="false">D277+W277</f>
        <v>0</v>
      </c>
      <c r="E278" s="26" t="n">
        <f aca="false">E277+IF(U277="SW",1,0)</f>
        <v>12</v>
      </c>
      <c r="F278" s="26" t="n">
        <f aca="false">F277+IF(U277="AB",1,0)</f>
        <v>10</v>
      </c>
      <c r="G278" s="26" t="n">
        <f aca="false">G277+IF(U277="SC",1,0)</f>
        <v>7</v>
      </c>
      <c r="H278" s="26" t="n">
        <f aca="false">H277+IF(U277="Mag",1,0)</f>
        <v>5</v>
      </c>
      <c r="I278" s="26" t="n">
        <f aca="false">MAX(I277,IF(U277="OR",1,0))</f>
        <v>1</v>
      </c>
      <c r="J278" s="26" t="n">
        <f aca="false">MAX(J277,IF(U277="HP",1,0))</f>
        <v>1</v>
      </c>
      <c r="K278" s="26" t="n">
        <f aca="false">MAX(K277,IF(U277="FP",1,0))</f>
        <v>1</v>
      </c>
      <c r="L278" s="26" t="n">
        <f aca="false">MAX(L277,IF(U277="transition",1,0))</f>
        <v>1</v>
      </c>
      <c r="M278" s="28" t="n">
        <f aca="false">(Parameters!$B$9+(IF(E278=0,0,(Upgrades!$J$6+E278*Upgrades!$K$6)*POWER(Upgrades!$L$6,E278)))*(IF(Upgrades!$T$7="Solar Wind",POWER(Upgrades!$U$7,F278),1)*IF(Upgrades!$T$8="Solar Wind",POWER(Upgrades!$U$8,G278),1)*IF(Upgrades!$T$9="Solar Wind",POWER(Upgrades!$U$9,H278),1)*IF(Upgrades!$T$10="Solar Wind",POWER(Upgrades!$U$10,I278),1)*IF(Upgrades!$T$11="Solar Wind",POWER(Upgrades!$U$11,J278),1)*IF(Upgrades!$T$12="Solar Wind",POWER(Upgrades!$U$12,K278),1))+(IF(F278=0,0,(Upgrades!$J$7+F278*Upgrades!$K$7)*POWER(Upgrades!$L$7,F278)))*(IF(Upgrades!$T$6="Asteroid Belt",POWER(Upgrades!$U$6,E278),1)*IF(Upgrades!$T$8="Asteroid Belt",POWER(Upgrades!$U$8,G278),1)*IF(Upgrades!$T$9="Asteroid Belt",POWER(Upgrades!$U$9,H278),1)*IF(Upgrades!$T$10="Asteroid Belt",POWER(Upgrades!$U$10,I278),1)*IF(Upgrades!$T$11="Asteroid Belt",POWER(Upgrades!$U$11,J278),1)*IF(Upgrades!$T$12="Asteroid Belt",POWER(Upgrades!$U$12,K278),1))+(IF(G278=0,0,(Upgrades!$J$8+G278*Upgrades!$K$8)*POWER(Upgrades!$L$8,G278)))*(IF(Upgrades!$T$6="Stellar Coupling",POWER(Upgrades!$U$6,E278),1)*IF(Upgrades!$T$7="Stellar Coupling",POWER(Upgrades!$U$7,F278),1)*IF(Upgrades!$T$9="Stellar Coupling",POWER(Upgrades!$U$9,H278),1)*IF(Upgrades!$T$10="Stellar Coupling",POWER(Upgrades!$U$10,I278),1)*IF(Upgrades!$T$11="Stellar Coupling",POWER(Upgrades!$U$11,J278),1)*IF(Upgrades!$T$12="Stellar Coupling",POWER(Upgrades!$U$12,K278),1))+(IF(H278=0,0,(Upgrades!$J$9+H278*Upgrades!$K$9)*POWER(Upgrades!$L$9,H278)))*(IF(Upgrades!$T$6="Magnetosphere",POWER(Upgrades!$U$6,E278),1)*IF(Upgrades!$T$7="Magnetosphere",POWER(Upgrades!$U$7,F278),1)*IF(Upgrades!$T$8="Magnetosphere",POWER(Upgrades!$U$8,G278),1)*IF(Upgrades!$T$10="Magnetosphere",POWER(Upgrades!$U$10,I278),1)*IF(Upgrades!$T$11="Magnetosphere",POWER(Upgrades!$U$11,J278),1)*IF(Upgrades!$T$12="Magnetosphere",POWER(Upgrades!$U$12,K278),1))+(IF(I278=0,0,(Upgrades!$J$10+I278*Upgrades!$K$10)*POWER(Upgrades!$L$10,I278)))*(IF(Upgrades!$T$6="Orbital Resonance",POWER(Upgrades!$U$6,E278),1)*IF(Upgrades!$T$7="Orbital Resonance",POWER(Upgrades!$U$7,F278),1)*IF(Upgrades!$T$8="Orbital Resonance",POWER(Upgrades!$U$8,G278),1)*IF(Upgrades!$T$9="Orbital Resonance",POWER(Upgrades!$U$9,H278),1)*IF(Upgrades!$T$11="Orbital Resonance",POWER(Upgrades!$U$11,J278),1)*IF(Upgrades!$T$12="Orbital Resonance",POWER(Upgrades!$U$12,K278),1))+(IF(J278=0,0,(Upgrades!$J$11+J278*Upgrades!$K$11)*POWER(Upgrades!$L$11,J278)))*(IF(Upgrades!$T$6="Heliopause",POWER(Upgrades!$U$6,E278),1)*IF(Upgrades!$T$7="Heliopause",POWER(Upgrades!$U$7,F278),1)*IF(Upgrades!$T$8="Heliopause",POWER(Upgrades!$U$8,G278),1)*IF(Upgrades!$T$9="Heliopause",POWER(Upgrades!$U$9,H278),1)*IF(Upgrades!$T$10="Heliopause",POWER(Upgrades!$U$10,I278),1)*IF(Upgrades!$T$12="Heliopause",POWER(Upgrades!$U$12,K278),1))+(IF(K278=0,0,(Upgrades!$J$12+K278*Upgrades!$K$12)*POWER(Upgrades!$L$12,K278)))*(IF(Upgrades!$T$6="First Photons",POWER(Upgrades!$U$6,E278),1)*IF(Upgrades!$T$7="First Photons",POWER(Upgrades!$U$7,F278),1)*IF(Upgrades!$T$8="First Photons",POWER(Upgrades!$U$8,G278),1)*IF(Upgrades!$T$9="First Photons",POWER(Upgrades!$U$9,H278),1)*IF(Upgrades!$T$10="First Photons",POWER(Upgrades!$U$10,I278),1)*IF(Upgrades!$T$11="First Photons",POWER(Upgrades!$U$11,J278),1)))*POWER(Upgrades!$Q$6,E278)*POWER(Upgrades!$Q$7,F278)*POWER(Upgrades!$Q$8,G278)*POWER(Upgrades!$Q$9,H278)*POWER(Upgrades!$Q$10,I278)*POWER(Upgrades!$Q$11,J278)*POWER(Upgrades!$Q$12,K278)</f>
        <v>5.61</v>
      </c>
      <c r="N278" s="28" t="n">
        <f aca="false">((IF(E278=0,0,(Upgrades!$G$6+E278*Upgrades!$H$6)*POWER(Upgrades!$I$6,E278)))*(IF(Upgrades!$T$7="Solar Wind",POWER(Upgrades!$U$7,F278),1)*IF(Upgrades!$T$8="Solar Wind",POWER(Upgrades!$U$8,G278),1)*IF(Upgrades!$T$9="Solar Wind",POWER(Upgrades!$U$9,H278),1)*IF(Upgrades!$T$10="Solar Wind",POWER(Upgrades!$U$10,I278),1)*IF(Upgrades!$T$11="Solar Wind",POWER(Upgrades!$U$11,J278),1)*IF(Upgrades!$T$12="Solar Wind",POWER(Upgrades!$U$12,K278),1))+(IF(F278=0,0,(Upgrades!$G$7+F278*Upgrades!$H$7)*POWER(Upgrades!$I$7,F278)))*(IF(Upgrades!$T$6="Asteroid Belt",POWER(Upgrades!$U$6,E278),1)*IF(Upgrades!$T$8="Asteroid Belt",POWER(Upgrades!$U$8,G278),1)*IF(Upgrades!$T$9="Asteroid Belt",POWER(Upgrades!$U$9,H278),1)*IF(Upgrades!$T$10="Asteroid Belt",POWER(Upgrades!$U$10,I278),1)*IF(Upgrades!$T$11="Asteroid Belt",POWER(Upgrades!$U$11,J278),1)*IF(Upgrades!$T$12="Asteroid Belt",POWER(Upgrades!$U$12,K278),1))+(IF(G278=0,0,(Upgrades!$G$8+G278*Upgrades!$H$8)*POWER(Upgrades!$I$8,G278)))*(IF(Upgrades!$T$6="Stellar Coupling",POWER(Upgrades!$U$6,E278),1)*IF(Upgrades!$T$7="Stellar Coupling",POWER(Upgrades!$U$7,F278),1)*IF(Upgrades!$T$9="Stellar Coupling",POWER(Upgrades!$U$9,H278),1)*IF(Upgrades!$T$10="Stellar Coupling",POWER(Upgrades!$U$10,I278),1)*IF(Upgrades!$T$11="Stellar Coupling",POWER(Upgrades!$U$11,J278),1)*IF(Upgrades!$T$12="Stellar Coupling",POWER(Upgrades!$U$12,K278),1))+(IF(H278=0,0,(Upgrades!$G$9+H278*Upgrades!$H$9)*POWER(Upgrades!$I$9,H278)))*(IF(Upgrades!$T$6="Magnetosphere",POWER(Upgrades!$U$6,E278),1)*IF(Upgrades!$T$7="Magnetosphere",POWER(Upgrades!$U$7,F278),1)*IF(Upgrades!$T$8="Magnetosphere",POWER(Upgrades!$U$8,G278),1)*IF(Upgrades!$T$10="Magnetosphere",POWER(Upgrades!$U$10,I278),1)*IF(Upgrades!$T$11="Magnetosphere",POWER(Upgrades!$U$11,J278),1)*IF(Upgrades!$T$12="Magnetosphere",POWER(Upgrades!$U$12,K278),1))+(IF(I278=0,0,(Upgrades!$G$10+I278*Upgrades!$H$10)*POWER(Upgrades!$I$10,I278)))*(IF(Upgrades!$T$6="Orbital Resonance",POWER(Upgrades!$U$6,E278),1)*IF(Upgrades!$T$7="Orbital Resonance",POWER(Upgrades!$U$7,F278),1)*IF(Upgrades!$T$8="Orbital Resonance",POWER(Upgrades!$U$8,G278),1)*IF(Upgrades!$T$9="Orbital Resonance",POWER(Upgrades!$U$9,H278),1)*IF(Upgrades!$T$11="Orbital Resonance",POWER(Upgrades!$U$11,J278),1)*IF(Upgrades!$T$12="Orbital Resonance",POWER(Upgrades!$U$12,K278),1))+(IF(J278=0,0,(Upgrades!$G$11+J278*Upgrades!$H$11)*POWER(Upgrades!$I$11,J278)))*(IF(Upgrades!$T$6="Heliopause",POWER(Upgrades!$U$6,E278),1)*IF(Upgrades!$T$7="Heliopause",POWER(Upgrades!$U$7,F278),1)*IF(Upgrades!$T$8="Heliopause",POWER(Upgrades!$U$8,G278),1)*IF(Upgrades!$T$9="Heliopause",POWER(Upgrades!$U$9,H278),1)*IF(Upgrades!$T$10="Heliopause",POWER(Upgrades!$U$10,I278),1)*IF(Upgrades!$T$12="Heliopause",POWER(Upgrades!$U$12,K278),1))+(IF(K278=0,0,(Upgrades!$G$12+K278*Upgrades!$H$12)*POWER(Upgrades!$I$12,K278)))*(IF(Upgrades!$T$6="First Photons",POWER(Upgrades!$U$6,E278),1)*IF(Upgrades!$T$7="First Photons",POWER(Upgrades!$U$7,F278),1)*IF(Upgrades!$T$8="First Photons",POWER(Upgrades!$U$8,G278),1)*IF(Upgrades!$T$9="First Photons",POWER(Upgrades!$U$9,H278),1)*IF(Upgrades!$T$10="First Photons",POWER(Upgrades!$U$10,I278),1)*IF(Upgrades!$T$11="First Photons",POWER(Upgrades!$U$11,J278),1)))*POWER(Upgrades!$P$6,E278)*POWER(Upgrades!$P$7,F278)*POWER(Upgrades!$P$8,G278)*POWER(Upgrades!$P$9,H278)*POWER(Upgrades!$P$10,I278)*POWER(Upgrades!$P$11,J278)*POWER(Upgrades!$P$12,K278)</f>
        <v>11.2</v>
      </c>
      <c r="O278" s="28" t="n">
        <f aca="false">((IF(E278=0,0,(Upgrades!$M$6+E278*Upgrades!$N$6)*POWER(Upgrades!$O$6,E278)))*(IF(Upgrades!$T$7="Solar Wind",POWER(Upgrades!$U$7,F278),1)*IF(Upgrades!$T$8="Solar Wind",POWER(Upgrades!$U$8,G278),1)*IF(Upgrades!$T$9="Solar Wind",POWER(Upgrades!$U$9,H278),1)*IF(Upgrades!$T$10="Solar Wind",POWER(Upgrades!$U$10,I278),1)*IF(Upgrades!$T$11="Solar Wind",POWER(Upgrades!$U$11,J278),1)*IF(Upgrades!$T$12="Solar Wind",POWER(Upgrades!$U$12,K278),1))+(IF(F278=0,0,(Upgrades!$M$7+F278*Upgrades!$N$7)*POWER(Upgrades!$O$7,F278)))*(IF(Upgrades!$T$6="Asteroid Belt",POWER(Upgrades!$U$6,E278),1)*IF(Upgrades!$T$8="Asteroid Belt",POWER(Upgrades!$U$8,G278),1)*IF(Upgrades!$T$9="Asteroid Belt",POWER(Upgrades!$U$9,H278),1)*IF(Upgrades!$T$10="Asteroid Belt",POWER(Upgrades!$U$10,I278),1)*IF(Upgrades!$T$11="Asteroid Belt",POWER(Upgrades!$U$11,J278),1)*IF(Upgrades!$T$12="Asteroid Belt",POWER(Upgrades!$U$12,K278),1))+(IF(G278=0,0,(Upgrades!$M$8+G278*Upgrades!$N$8)*POWER(Upgrades!$O$8,G278)))*(IF(Upgrades!$T$6="Stellar Coupling",POWER(Upgrades!$U$6,E278),1)*IF(Upgrades!$T$7="Stellar Coupling",POWER(Upgrades!$U$7,F278),1)*IF(Upgrades!$T$9="Stellar Coupling",POWER(Upgrades!$U$9,H278),1)*IF(Upgrades!$T$10="Stellar Coupling",POWER(Upgrades!$U$10,I278),1)*IF(Upgrades!$T$11="Stellar Coupling",POWER(Upgrades!$U$11,J278),1)*IF(Upgrades!$T$12="Stellar Coupling",POWER(Upgrades!$U$12,K278),1))+(IF(H278=0,0,(Upgrades!$M$9+H278*Upgrades!$N$9)*POWER(Upgrades!$O$9,H278)))*(IF(Upgrades!$T$6="Magnetosphere",POWER(Upgrades!$U$6,E278),1)*IF(Upgrades!$T$7="Magnetosphere",POWER(Upgrades!$U$7,F278),1)*IF(Upgrades!$T$8="Magnetosphere",POWER(Upgrades!$U$8,G278),1)*IF(Upgrades!$T$10="Magnetosphere",POWER(Upgrades!$U$10,I278),1)*IF(Upgrades!$T$11="Magnetosphere",POWER(Upgrades!$U$11,J278),1)*IF(Upgrades!$T$12="Magnetosphere",POWER(Upgrades!$U$12,K278),1))+(IF(I278=0,0,(Upgrades!$M$10+I278*Upgrades!$N$10)*POWER(Upgrades!$O$10,I278)))*(IF(Upgrades!$T$6="Orbital Resonance",POWER(Upgrades!$U$6,E278),1)*IF(Upgrades!$T$7="Orbital Resonance",POWER(Upgrades!$U$7,F278),1)*IF(Upgrades!$T$8="Orbital Resonance",POWER(Upgrades!$U$8,G278),1)*IF(Upgrades!$T$9="Orbital Resonance",POWER(Upgrades!$U$9,H278),1)*IF(Upgrades!$T$11="Orbital Resonance",POWER(Upgrades!$U$11,J278),1)*IF(Upgrades!$T$12="Orbital Resonance",POWER(Upgrades!$U$12,K278),1))+(IF(J278=0,0,(Upgrades!$M$11+J278*Upgrades!$N$11)*POWER(Upgrades!$O$11,J278)))*(IF(Upgrades!$T$6="Heliopause",POWER(Upgrades!$U$6,E278),1)*IF(Upgrades!$T$7="Heliopause",POWER(Upgrades!$U$7,F278),1)*IF(Upgrades!$T$8="Heliopause",POWER(Upgrades!$U$8,G278),1)*IF(Upgrades!$T$9="Heliopause",POWER(Upgrades!$U$9,H278),1)*IF(Upgrades!$T$10="Heliopause",POWER(Upgrades!$U$10,I278),1)*IF(Upgrades!$T$12="Heliopause",POWER(Upgrades!$U$12,K278),1))+(IF(K278=0,0,(Upgrades!$M$12+K278*Upgrades!$N$12)*POWER(Upgrades!$O$12,K278)))*(IF(Upgrades!$T$6="First Photons",POWER(Upgrades!$U$6,E278),1)*IF(Upgrades!$T$7="First Photons",POWER(Upgrades!$U$7,F278),1)*IF(Upgrades!$T$8="First Photons",POWER(Upgrades!$U$8,G278),1)*IF(Upgrades!$T$9="First Photons",POWER(Upgrades!$U$9,H278),1)*IF(Upgrades!$T$10="First Photons",POWER(Upgrades!$U$10,I278),1)*IF(Upgrades!$T$11="First Photons",POWER(Upgrades!$U$11,J278),1)))*POWER(Upgrades!$R$6,E278)*POWER(Upgrades!$R$7,F278)*POWER(Upgrades!$R$8,G278)*POWER(Upgrades!$R$9,H278)*POWER(Upgrades!$R$10,I278)*POWER(Upgrades!$R$11,J278)*POWER(Upgrades!$R$12,K278)</f>
        <v>0</v>
      </c>
      <c r="P278" s="27" t="n">
        <f aca="false">IF(L278=1,0,M278*Parameters!$B$10/60*Parameters!$B$11*10)</f>
        <v>0</v>
      </c>
      <c r="Q278" s="27" t="n">
        <f aca="false">IF(L278=1,0,O278*M278*10)</f>
        <v>0</v>
      </c>
      <c r="R278" s="27" t="n">
        <f aca="false">IF(L278=1,0,N278*10)</f>
        <v>0</v>
      </c>
      <c r="S278" s="27" t="n">
        <f aca="false">P278+Q278+R278</f>
        <v>0</v>
      </c>
      <c r="T278" s="21" t="n">
        <f aca="false">C278+S278</f>
        <v>18.6730249835055</v>
      </c>
      <c r="U278" s="34" t="str">
        <f aca="false">AX278</f>
        <v/>
      </c>
      <c r="V278" s="21" t="n">
        <f aca="false">IF(U278="",0,IF(U278="transition",0,IF(U278="SW",AG278,IF(U278="AB",AH278,IF(U278="SC",AI278,IF(U278="Mag",AJ278,IF(U278="OR",AK278,IF(U278="HP",AL278,IF(U278="FP",AM278,0)))))))))</f>
        <v>0</v>
      </c>
      <c r="W278" s="27" t="n">
        <f aca="false">IF(U278="OR",Upgrades!$F$10,IF(U278="HP",Upgrades!$F$11,IF(U278="transition",-Parameters!$B$18,0)))</f>
        <v>0</v>
      </c>
      <c r="X278" s="21" t="n">
        <f aca="false">T278-V278</f>
        <v>18.6730249835055</v>
      </c>
      <c r="Y278" s="30" t="n">
        <f aca="false">M278*Parameters!$B$10/60*Parameters!$B$11+O278*M278+N278</f>
        <v>20.55</v>
      </c>
      <c r="Z278" s="35" t="str">
        <f aca="false">IF(U278="transition","→ Tier 2 (Stellar Neighborhood)",IF(U278="FP","First Photons — light begins, system quickens",IF(U278="HP","Heliopause acquired",IF(U278="OR","Orbital Resonance — passive multiplier active",IF(AND(AO278=1,L278=0,AN278&lt;&gt;1),"Cohesion ready (waiting on completionist upgrades)","")))))</f>
        <v/>
      </c>
      <c r="AA278" s="27" t="n">
        <f aca="false">(IF(E278=0,0,(Upgrades!$G$6+E278*Upgrades!$H$6)*POWER(Upgrades!$I$6,E278)))*(IF(Upgrades!$T$7="Solar Wind",POWER(Upgrades!$U$7,F278),1)*IF(Upgrades!$T$8="Solar Wind",POWER(Upgrades!$U$8,G278),1)*IF(Upgrades!$T$9="Solar Wind",POWER(Upgrades!$U$9,H278),1)*IF(Upgrades!$T$10="Solar Wind",POWER(Upgrades!$U$10,I278),1)*IF(Upgrades!$T$11="Solar Wind",POWER(Upgrades!$U$11,J278),1)*IF(Upgrades!$T$12="Solar Wind",POWER(Upgrades!$U$12,K278),1))*POWER(Upgrades!$P$6,E278)*POWER(Upgrades!$P$7,F278)*POWER(Upgrades!$P$8,G278)*POWER(Upgrades!$P$9,H278)*POWER(Upgrades!$P$10,I278)*POWER(Upgrades!$P$11,J278)*POWER(Upgrades!$P$12,K278)*60</f>
        <v>72</v>
      </c>
      <c r="AB278" s="27" t="n">
        <f aca="false">(IF(F278=0,0,(Upgrades!$G$7+F278*Upgrades!$H$7)*POWER(Upgrades!$I$7,F278)))*(IF(Upgrades!$T$6="Asteroid Belt",POWER(Upgrades!$U$6,E278),1)*IF(Upgrades!$T$8="Asteroid Belt",POWER(Upgrades!$U$8,G278),1)*IF(Upgrades!$T$9="Asteroid Belt",POWER(Upgrades!$U$9,H278),1)*IF(Upgrades!$T$10="Asteroid Belt",POWER(Upgrades!$U$10,I278),1)*IF(Upgrades!$T$11="Asteroid Belt",POWER(Upgrades!$U$11,J278),1)*IF(Upgrades!$T$12="Asteroid Belt",POWER(Upgrades!$U$12,K278),1))*POWER(Upgrades!$P$6,E278)*POWER(Upgrades!$P$7,F278)*POWER(Upgrades!$P$8,G278)*POWER(Upgrades!$P$9,H278)*POWER(Upgrades!$P$10,I278)*POWER(Upgrades!$P$11,J278)*POWER(Upgrades!$P$12,K278)*60</f>
        <v>150</v>
      </c>
      <c r="AC278" s="27" t="n">
        <f aca="false">(IF(G278=0,0,(Upgrades!$J$8+G278*Upgrades!$K$8)*POWER(Upgrades!$L$8,G278)))*(IF(Upgrades!$T$6="Stellar Coupling",POWER(Upgrades!$U$6,E278),1)*IF(Upgrades!$T$7="Stellar Coupling",POWER(Upgrades!$U$7,F278),1)*IF(Upgrades!$T$9="Stellar Coupling",POWER(Upgrades!$U$9,H278),1)*IF(Upgrades!$T$10="Stellar Coupling",POWER(Upgrades!$U$10,I278),1)*IF(Upgrades!$T$11="Stellar Coupling",POWER(Upgrades!$U$11,J278),1)*IF(Upgrades!$T$12="Stellar Coupling",POWER(Upgrades!$U$12,K278),1))*POWER(Upgrades!$Q$6,E278)*POWER(Upgrades!$Q$7,F278)*POWER(Upgrades!$Q$8,G278)*POWER(Upgrades!$Q$9,H278)*POWER(Upgrades!$Q$10,I278)*POWER(Upgrades!$Q$11,J278)*POWER(Upgrades!$Q$12,K278)*Parameters!$B$10*Parameters!$B$11</f>
        <v>441</v>
      </c>
      <c r="AD278" s="27" t="n">
        <f aca="false">(IF(H278=0,0,(Upgrades!$G$9+H278*Upgrades!$H$9)*POWER(Upgrades!$I$9,H278)))*(IF(Upgrades!$T$6="Magnetosphere",POWER(Upgrades!$U$6,E278),1)*IF(Upgrades!$T$7="Magnetosphere",POWER(Upgrades!$U$7,F278),1)*IF(Upgrades!$T$8="Magnetosphere",POWER(Upgrades!$U$8,G278),1)*IF(Upgrades!$T$10="Magnetosphere",POWER(Upgrades!$U$10,I278),1)*IF(Upgrades!$T$11="Magnetosphere",POWER(Upgrades!$U$11,J278),1)*IF(Upgrades!$T$12="Magnetosphere",POWER(Upgrades!$U$12,K278),1))*POWER(Upgrades!$P$6,E278)*POWER(Upgrades!$P$7,F278)*POWER(Upgrades!$P$8,G278)*POWER(Upgrades!$P$9,H278)*POWER(Upgrades!$P$10,I278)*POWER(Upgrades!$P$11,J278)*POWER(Upgrades!$P$12,K278)*60</f>
        <v>375</v>
      </c>
      <c r="AE278" s="27" t="n">
        <f aca="false">(IF(K278=0,0,(Upgrades!$G$12+K278*Upgrades!$H$12)*POWER(Upgrades!$I$12,K278)))*(IF(Upgrades!$T$6="First Photons",POWER(Upgrades!$U$6,E278),1)*IF(Upgrades!$T$7="First Photons",POWER(Upgrades!$U$7,F278),1)*IF(Upgrades!$T$8="First Photons",POWER(Upgrades!$U$8,G278),1)*IF(Upgrades!$T$9="First Photons",POWER(Upgrades!$U$9,H278),1)*IF(Upgrades!$T$10="First Photons",POWER(Upgrades!$U$10,I278),1)*IF(Upgrades!$T$11="First Photons",POWER(Upgrades!$U$11,J278),1))*POWER(Upgrades!$P$6,E278)*POWER(Upgrades!$P$7,F278)*POWER(Upgrades!$P$8,G278)*POWER(Upgrades!$P$9,H278)*POWER(Upgrades!$P$10,I278)*POWER(Upgrades!$P$11,J278)*POWER(Upgrades!$P$12,K278)*60</f>
        <v>75</v>
      </c>
      <c r="AF278" s="27" t="n">
        <f aca="false">Parameters!$B$9*POWER(Upgrades!$Q$6,E278)*POWER(Upgrades!$Q$7,F278)*POWER(Upgrades!$Q$8,G278)*POWER(Upgrades!$Q$9,H278)*POWER(Upgrades!$Q$10,I278)*POWER(Upgrades!$Q$11,J278)*POWER(Upgrades!$Q$12,K278)*(Parameters!$B$10*Parameters!$B$11+O278*60)</f>
        <v>120</v>
      </c>
      <c r="AG278" s="21" t="n">
        <f aca="false">IF(E278&gt;=Upgrades!$E$6,"",Upgrades!$C$6*POWER(Upgrades!$D$6,E278))</f>
        <v>37.4517507383159</v>
      </c>
      <c r="AH278" s="21" t="n">
        <f aca="false">IF(F278&gt;=Upgrades!$E$7,"",Upgrades!$C$7*POWER(Upgrades!$D$7,F278))</f>
        <v>80.9111547141581</v>
      </c>
      <c r="AI278" s="21" t="n">
        <f aca="false">IF(G278&gt;=Upgrades!$E$8,"",Upgrades!$C$8*POWER(Upgrades!$D$8,G278))</f>
        <v>231.9097088</v>
      </c>
      <c r="AJ278" s="21" t="str">
        <f aca="false">IF(H278&gt;=Upgrades!$E$9,"",Upgrades!$C$9*POWER(Upgrades!$D$9,H278))</f>
        <v/>
      </c>
      <c r="AK278" s="21" t="str">
        <f aca="false">IF(I278&gt;=Upgrades!$E$10,"",Upgrades!$C$10*POWER(Upgrades!$D$10,I278))</f>
        <v/>
      </c>
      <c r="AL278" s="21" t="str">
        <f aca="false">IF(J278&gt;=Upgrades!$E$11,"",Upgrades!$C$11*POWER(Upgrades!$D$11,J278))</f>
        <v/>
      </c>
      <c r="AM278" s="21" t="str">
        <f aca="false">IF(K278&gt;=Upgrades!$E$12,"",Upgrades!$C$12*POWER(Upgrades!$D$12,K278))</f>
        <v/>
      </c>
      <c r="AN278" s="26" t="str">
        <f aca="false">IF(AND(D278&gt;=Parameters!$B$18,(H278&gt;=Upgrades!$E$9)*(K278&gt;=Upgrades!$E$12)=1,L278=0),1,"")</f>
        <v/>
      </c>
      <c r="AO278" s="26" t="str">
        <f aca="false">IF(AND(D278&gt;=Parameters!$B$18,L278=0),1,"")</f>
        <v/>
      </c>
      <c r="AP278" s="21" t="n">
        <f aca="false">MIN(IF(ISNUMBER(AK278),AK278,9000000000000000),IF(ISNUMBER(AL278),AL278,9000000000000000),IF(ISNUMBER(AM278),AM278,9000000000000000))</f>
        <v>9000000000000000</v>
      </c>
      <c r="AQ278" s="21" t="n">
        <f aca="false">MIN(IF(ISNUMBER(AG278),AG278,9000000000000000),IF(ISNUMBER(AH278),AH278,9000000000000000),IF(ISNUMBER(AI278),AI278,9000000000000000),IF(ISNUMBER(AJ278),AJ278,9000000000000000))</f>
        <v>37.4517507383159</v>
      </c>
      <c r="AR278" s="32" t="b">
        <f aca="false">IF(AW278&gt;Parameters!$B$21*(MAX(IF(AND(NOT(AND(AO278=1,AN278&lt;&gt;1)),ISNUMBER(AG278),AG278&lt;=T278),AS278,0),IF(AND(NOT(AND(AO278=1,AN278&lt;&gt;1)),ISNUMBER(AH278),AH278&lt;=T278),AT278,0),IF(AND(NOT(AND(AO278=1,AN278&lt;&gt;1)),ISNUMBER(AI278),AI278&lt;=T278),AU278,0),IF(AND(ISNUMBER(AJ278),AJ278&lt;=T278),AV278,0))),TRUE(),FALSE())</f>
        <v>1</v>
      </c>
      <c r="AS278" s="33" t="n">
        <f aca="false">IFERROR(Upgrades!$H$6*(POWER(Upgrades!$P$6,E278)*POWER(Upgrades!$P$7,F278)*POWER(Upgrades!$P$8,G278)*POWER(Upgrades!$P$9,H278)*POWER(Upgrades!$P$10,I278)*POWER(Upgrades!$P$11,J278)*POWER(Upgrades!$P$12,K278))*(IF(Upgrades!$T$7="Solar Wind",POWER(Upgrades!$U$7,F278),1)*IF(Upgrades!$T$8="Solar Wind",POWER(Upgrades!$U$8,G278),1)*IF(Upgrades!$T$9="Solar Wind",POWER(Upgrades!$U$9,H278),1)*IF(Upgrades!$T$10="Solar Wind",POWER(Upgrades!$U$10,I278),1)*IF(Upgrades!$T$11="Solar Wind",POWER(Upgrades!$U$11,J278),1)*IF(Upgrades!$T$12="Solar Wind",POWER(Upgrades!$U$12,K278),1))/AG278,0)</f>
        <v>0.0026701021455238</v>
      </c>
      <c r="AT278" s="33" t="n">
        <f aca="false">IFERROR(Upgrades!$H$7*(POWER(Upgrades!$P$6,E278)*POWER(Upgrades!$P$7,F278)*POWER(Upgrades!$P$8,G278)*POWER(Upgrades!$P$9,H278)*POWER(Upgrades!$P$10,I278)*POWER(Upgrades!$P$11,J278)*POWER(Upgrades!$P$12,K278))*(IF(Upgrades!$T$6="Asteroid Belt",POWER(Upgrades!$U$6,E278),1)*IF(Upgrades!$T$8="Asteroid Belt",POWER(Upgrades!$U$8,G278),1)*IF(Upgrades!$T$9="Asteroid Belt",POWER(Upgrades!$U$9,H278),1)*IF(Upgrades!$T$10="Asteroid Belt",POWER(Upgrades!$U$10,I278),1)*IF(Upgrades!$T$11="Asteroid Belt",POWER(Upgrades!$U$11,J278),1)*IF(Upgrades!$T$12="Asteroid Belt",POWER(Upgrades!$U$12,K278),1))/AH278,0)</f>
        <v>0.00308980882652332</v>
      </c>
      <c r="AU278" s="33" t="n">
        <f aca="false">IFERROR(Upgrades!$K$8*(POWER(Upgrades!$Q$6,E278)*POWER(Upgrades!$Q$7,F278)*POWER(Upgrades!$Q$8,G278)*POWER(Upgrades!$Q$9,H278)*POWER(Upgrades!$Q$10,I278)*POWER(Upgrades!$Q$11,J278)*POWER(Upgrades!$Q$12,K278))*(IF(Upgrades!$T$6="Stellar Coupling",POWER(Upgrades!$U$6,E278),1)*IF(Upgrades!$T$7="Stellar Coupling",POWER(Upgrades!$U$7,F278),1)*IF(Upgrades!$T$9="Stellar Coupling",POWER(Upgrades!$U$9,H278),1)*IF(Upgrades!$T$10="Stellar Coupling",POWER(Upgrades!$U$10,I278),1)*IF(Upgrades!$T$11="Stellar Coupling",POWER(Upgrades!$U$11,J278),1)*IF(Upgrades!$T$12="Stellar Coupling",POWER(Upgrades!$U$12,K278),1))*Parameters!$B$10*Parameters!$B$11/60/AI278,0)</f>
        <v>0.00452762415783776</v>
      </c>
      <c r="AV278" s="33" t="n">
        <f aca="false">IFERROR(Upgrades!$H$9*(POWER(Upgrades!$P$6,E278)*POWER(Upgrades!$P$7,F278)*POWER(Upgrades!$P$8,G278)*POWER(Upgrades!$P$9,H278)*POWER(Upgrades!$P$10,I278)*POWER(Upgrades!$P$11,J278)*POWER(Upgrades!$P$12,K278))*(IF(Upgrades!$T$6="Magnetosphere",POWER(Upgrades!$U$6,E278),1)*IF(Upgrades!$T$7="Magnetosphere",POWER(Upgrades!$U$7,F278),1)*IF(Upgrades!$T$8="Magnetosphere",POWER(Upgrades!$U$8,G278),1)*IF(Upgrades!$T$10="Magnetosphere",POWER(Upgrades!$U$10,I278),1)*IF(Upgrades!$T$11="Magnetosphere",POWER(Upgrades!$U$11,J278),1)*IF(Upgrades!$T$12="Magnetosphere",POWER(Upgrades!$U$12,K278),1))/AJ278,0)</f>
        <v>0</v>
      </c>
      <c r="AW278" s="33" t="n">
        <f aca="false">MAX(IF(I278&gt;0,0,IFERROR(0.25*N278/Upgrades!$C$10,0)),IF(J278&gt;0,0,IFERROR(0.5*((IF(G278=0,0,(Upgrades!$J$8+G278*Upgrades!$K$8)*POWER(Upgrades!$L$8,G278)))*(IF(Upgrades!$T$6="Stellar Coupling",POWER(Upgrades!$U$6,E278),1)*IF(Upgrades!$T$7="Stellar Coupling",POWER(Upgrades!$U$7,F278),1)*IF(Upgrades!$T$9="Stellar Coupling",POWER(Upgrades!$U$9,H278),1)*IF(Upgrades!$T$10="Stellar Coupling",POWER(Upgrades!$U$10,I278),1)*IF(Upgrades!$T$11="Stellar Coupling",POWER(Upgrades!$U$11,J278),1)*IF(Upgrades!$T$12="Stellar Coupling",POWER(Upgrades!$U$12,K278),1))*(POWER(Upgrades!$Q$6,E278)*POWER(Upgrades!$Q$7,F278)*POWER(Upgrades!$Q$8,G278)*POWER(Upgrades!$Q$9,H278)*POWER(Upgrades!$Q$10,I278)*POWER(Upgrades!$Q$11,J278)*POWER(Upgrades!$Q$12,K278))*Parameters!$B$10*Parameters!$B$11/60)/Upgrades!$C$11,0)),IF(K278&gt;0,0,IFERROR((1*(POWER(Upgrades!$P$6,E278)*POWER(Upgrades!$P$7,F278)*POWER(Upgrades!$P$8,G278)*POWER(Upgrades!$P$9,H278)*POWER(Upgrades!$P$10,I278)*POWER(Upgrades!$P$11,J278)*POWER(Upgrades!$P$12,K278))+0.2*M278*Parameters!$B$10*Parameters!$B$11/60)/Upgrades!$C$12,0)),IF(AND(ISNUMBER(AG278),AG278&gt;T278),AS278,0),IF(AND(ISNUMBER(AH278),AH278&gt;T278),AT278,0),IF(AND(ISNUMBER(AI278),AI278&gt;T278),AU278,0),IF(AND(ISNUMBER(AJ278),AJ278&gt;T278),AV278,0))</f>
        <v>0.00452762415783776</v>
      </c>
      <c r="AX278" s="29" t="str">
        <f aca="false">IF(AN278=1,"transition",IF(MIN(IF(AND(I278=0,ISNUMBER(AK278),AK278&lt;=T278),AK278,9000000000000000),IF(AND(J278=0,ISNUMBER(AL278),AL278&lt;=T278),AL278,9000000000000000),IF(AND(K278=0,ISNUMBER(AM278),AM278&lt;=T278),AM278,9000000000000000))&lt;9000000000000000,IF(AND(AND(I278=0,ISNUMBER(AK278),AK278&lt;=T278),AK278=MIN(IF(AND(I278=0,ISNUMBER(AK278),AK278&lt;=T278),AK278,9000000000000000),IF(AND(J278=0,ISNUMBER(AL278),AL278&lt;=T278),AL278,9000000000000000),IF(AND(K278=0,ISNUMBER(AM278),AM278&lt;=T278),AM278,9000000000000000))),"OR",IF(AND(AND(J278=0,ISNUMBER(AL278),AL278&lt;=T278),AL278=MIN(IF(AND(I278=0,ISNUMBER(AK278),AK278&lt;=T278),AK278,9000000000000000),IF(AND(J278=0,ISNUMBER(AL278),AL278&lt;=T278),AL278,9000000000000000),IF(AND(K278=0,ISNUMBER(AM278),AM278&lt;=T278),AM278,9000000000000000))),"HP","FP")),IF(AR278=TRUE(),"",IF(MAX(IF(AND(NOT(AND(AO278=1,AN278&lt;&gt;1)),ISNUMBER(AG278),AG278&lt;=T278),AS278,0),IF(AND(NOT(AND(AO278=1,AN278&lt;&gt;1)),ISNUMBER(AH278),AH278&lt;=T278),AT278,0),IF(AND(NOT(AND(AO278=1,AN278&lt;&gt;1)),ISNUMBER(AI278),AI278&lt;=T278),AU278,0),IF(AND(ISNUMBER(AJ278),AJ278&lt;=T278),AV278,0))&lt;=0,"",IF(AND(IF(AND(NOT(AND(AO278=1,AN278&lt;&gt;1)),ISNUMBER(AG278),AG278&lt;=T278),AS278,0)&gt;0,IF(AND(NOT(AND(AO278=1,AN278&lt;&gt;1)),ISNUMBER(AG278),AG278&lt;=T278),AS278,0)=MAX(IF(AND(NOT(AND(AO278=1,AN278&lt;&gt;1)),ISNUMBER(AG278),AG278&lt;=T278),AS278,0),IF(AND(NOT(AND(AO278=1,AN278&lt;&gt;1)),ISNUMBER(AH278),AH278&lt;=T278),AT278,0),IF(AND(NOT(AND(AO278=1,AN278&lt;&gt;1)),ISNUMBER(AI278),AI278&lt;=T278),AU278,0),IF(AND(ISNUMBER(AJ278),AJ278&lt;=T278),AV278,0))),"SW",IF(AND(IF(AND(NOT(AND(AO278=1,AN278&lt;&gt;1)),ISNUMBER(AH278),AH278&lt;=T278),AT278,0)&gt;0,IF(AND(NOT(AND(AO278=1,AN278&lt;&gt;1)),ISNUMBER(AH278),AH278&lt;=T278),AT278,0)=MAX(IF(AND(NOT(AND(AO278=1,AN278&lt;&gt;1)),ISNUMBER(AG278),AG278&lt;=T278),AS278,0),IF(AND(NOT(AND(AO278=1,AN278&lt;&gt;1)),ISNUMBER(AH278),AH278&lt;=T278),AT278,0),IF(AND(NOT(AND(AO278=1,AN278&lt;&gt;1)),ISNUMBER(AI278),AI278&lt;=T278),AU278,0),IF(AND(ISNUMBER(AJ278),AJ278&lt;=T278),AV278,0))),"AB",IF(AND(IF(AND(NOT(AND(AO278=1,AN278&lt;&gt;1)),ISNUMBER(AI278),AI278&lt;=T278),AU278,0)&gt;0,IF(AND(NOT(AND(AO278=1,AN278&lt;&gt;1)),ISNUMBER(AI278),AI278&lt;=T278),AU278,0)=MAX(IF(AND(NOT(AND(AO278=1,AN278&lt;&gt;1)),ISNUMBER(AG278),AG278&lt;=T278),AS278,0),IF(AND(NOT(AND(AO278=1,AN278&lt;&gt;1)),ISNUMBER(AH278),AH278&lt;=T278),AT278,0),IF(AND(NOT(AND(AO278=1,AN278&lt;&gt;1)),ISNUMBER(AI278),AI278&lt;=T278),AU278,0),IF(AND(ISNUMBER(AJ278),AJ278&lt;=T278),AV278,0))),"SC","Mag")))))))</f>
        <v/>
      </c>
    </row>
    <row r="279" customFormat="false" ht="15" hidden="false" customHeight="false" outlineLevel="0" collapsed="false">
      <c r="A279" s="26" t="n">
        <v>274</v>
      </c>
      <c r="B279" s="27" t="n">
        <f aca="false">A279*10/60</f>
        <v>45.6666666666667</v>
      </c>
      <c r="C279" s="21" t="n">
        <f aca="false">X278</f>
        <v>18.6730249835055</v>
      </c>
      <c r="D279" s="27" t="n">
        <f aca="false">D278+W278</f>
        <v>0</v>
      </c>
      <c r="E279" s="26" t="n">
        <f aca="false">E278+IF(U278="SW",1,0)</f>
        <v>12</v>
      </c>
      <c r="F279" s="26" t="n">
        <f aca="false">F278+IF(U278="AB",1,0)</f>
        <v>10</v>
      </c>
      <c r="G279" s="26" t="n">
        <f aca="false">G278+IF(U278="SC",1,0)</f>
        <v>7</v>
      </c>
      <c r="H279" s="26" t="n">
        <f aca="false">H278+IF(U278="Mag",1,0)</f>
        <v>5</v>
      </c>
      <c r="I279" s="26" t="n">
        <f aca="false">MAX(I278,IF(U278="OR",1,0))</f>
        <v>1</v>
      </c>
      <c r="J279" s="26" t="n">
        <f aca="false">MAX(J278,IF(U278="HP",1,0))</f>
        <v>1</v>
      </c>
      <c r="K279" s="26" t="n">
        <f aca="false">MAX(K278,IF(U278="FP",1,0))</f>
        <v>1</v>
      </c>
      <c r="L279" s="26" t="n">
        <f aca="false">MAX(L278,IF(U278="transition",1,0))</f>
        <v>1</v>
      </c>
      <c r="M279" s="28" t="n">
        <f aca="false">(Parameters!$B$9+(IF(E279=0,0,(Upgrades!$J$6+E279*Upgrades!$K$6)*POWER(Upgrades!$L$6,E279)))*(IF(Upgrades!$T$7="Solar Wind",POWER(Upgrades!$U$7,F279),1)*IF(Upgrades!$T$8="Solar Wind",POWER(Upgrades!$U$8,G279),1)*IF(Upgrades!$T$9="Solar Wind",POWER(Upgrades!$U$9,H279),1)*IF(Upgrades!$T$10="Solar Wind",POWER(Upgrades!$U$10,I279),1)*IF(Upgrades!$T$11="Solar Wind",POWER(Upgrades!$U$11,J279),1)*IF(Upgrades!$T$12="Solar Wind",POWER(Upgrades!$U$12,K279),1))+(IF(F279=0,0,(Upgrades!$J$7+F279*Upgrades!$K$7)*POWER(Upgrades!$L$7,F279)))*(IF(Upgrades!$T$6="Asteroid Belt",POWER(Upgrades!$U$6,E279),1)*IF(Upgrades!$T$8="Asteroid Belt",POWER(Upgrades!$U$8,G279),1)*IF(Upgrades!$T$9="Asteroid Belt",POWER(Upgrades!$U$9,H279),1)*IF(Upgrades!$T$10="Asteroid Belt",POWER(Upgrades!$U$10,I279),1)*IF(Upgrades!$T$11="Asteroid Belt",POWER(Upgrades!$U$11,J279),1)*IF(Upgrades!$T$12="Asteroid Belt",POWER(Upgrades!$U$12,K279),1))+(IF(G279=0,0,(Upgrades!$J$8+G279*Upgrades!$K$8)*POWER(Upgrades!$L$8,G279)))*(IF(Upgrades!$T$6="Stellar Coupling",POWER(Upgrades!$U$6,E279),1)*IF(Upgrades!$T$7="Stellar Coupling",POWER(Upgrades!$U$7,F279),1)*IF(Upgrades!$T$9="Stellar Coupling",POWER(Upgrades!$U$9,H279),1)*IF(Upgrades!$T$10="Stellar Coupling",POWER(Upgrades!$U$10,I279),1)*IF(Upgrades!$T$11="Stellar Coupling",POWER(Upgrades!$U$11,J279),1)*IF(Upgrades!$T$12="Stellar Coupling",POWER(Upgrades!$U$12,K279),1))+(IF(H279=0,0,(Upgrades!$J$9+H279*Upgrades!$K$9)*POWER(Upgrades!$L$9,H279)))*(IF(Upgrades!$T$6="Magnetosphere",POWER(Upgrades!$U$6,E279),1)*IF(Upgrades!$T$7="Magnetosphere",POWER(Upgrades!$U$7,F279),1)*IF(Upgrades!$T$8="Magnetosphere",POWER(Upgrades!$U$8,G279),1)*IF(Upgrades!$T$10="Magnetosphere",POWER(Upgrades!$U$10,I279),1)*IF(Upgrades!$T$11="Magnetosphere",POWER(Upgrades!$U$11,J279),1)*IF(Upgrades!$T$12="Magnetosphere",POWER(Upgrades!$U$12,K279),1))+(IF(I279=0,0,(Upgrades!$J$10+I279*Upgrades!$K$10)*POWER(Upgrades!$L$10,I279)))*(IF(Upgrades!$T$6="Orbital Resonance",POWER(Upgrades!$U$6,E279),1)*IF(Upgrades!$T$7="Orbital Resonance",POWER(Upgrades!$U$7,F279),1)*IF(Upgrades!$T$8="Orbital Resonance",POWER(Upgrades!$U$8,G279),1)*IF(Upgrades!$T$9="Orbital Resonance",POWER(Upgrades!$U$9,H279),1)*IF(Upgrades!$T$11="Orbital Resonance",POWER(Upgrades!$U$11,J279),1)*IF(Upgrades!$T$12="Orbital Resonance",POWER(Upgrades!$U$12,K279),1))+(IF(J279=0,0,(Upgrades!$J$11+J279*Upgrades!$K$11)*POWER(Upgrades!$L$11,J279)))*(IF(Upgrades!$T$6="Heliopause",POWER(Upgrades!$U$6,E279),1)*IF(Upgrades!$T$7="Heliopause",POWER(Upgrades!$U$7,F279),1)*IF(Upgrades!$T$8="Heliopause",POWER(Upgrades!$U$8,G279),1)*IF(Upgrades!$T$9="Heliopause",POWER(Upgrades!$U$9,H279),1)*IF(Upgrades!$T$10="Heliopause",POWER(Upgrades!$U$10,I279),1)*IF(Upgrades!$T$12="Heliopause",POWER(Upgrades!$U$12,K279),1))+(IF(K279=0,0,(Upgrades!$J$12+K279*Upgrades!$K$12)*POWER(Upgrades!$L$12,K279)))*(IF(Upgrades!$T$6="First Photons",POWER(Upgrades!$U$6,E279),1)*IF(Upgrades!$T$7="First Photons",POWER(Upgrades!$U$7,F279),1)*IF(Upgrades!$T$8="First Photons",POWER(Upgrades!$U$8,G279),1)*IF(Upgrades!$T$9="First Photons",POWER(Upgrades!$U$9,H279),1)*IF(Upgrades!$T$10="First Photons",POWER(Upgrades!$U$10,I279),1)*IF(Upgrades!$T$11="First Photons",POWER(Upgrades!$U$11,J279),1)))*POWER(Upgrades!$Q$6,E279)*POWER(Upgrades!$Q$7,F279)*POWER(Upgrades!$Q$8,G279)*POWER(Upgrades!$Q$9,H279)*POWER(Upgrades!$Q$10,I279)*POWER(Upgrades!$Q$11,J279)*POWER(Upgrades!$Q$12,K279)</f>
        <v>5.61</v>
      </c>
      <c r="N279" s="28" t="n">
        <f aca="false">((IF(E279=0,0,(Upgrades!$G$6+E279*Upgrades!$H$6)*POWER(Upgrades!$I$6,E279)))*(IF(Upgrades!$T$7="Solar Wind",POWER(Upgrades!$U$7,F279),1)*IF(Upgrades!$T$8="Solar Wind",POWER(Upgrades!$U$8,G279),1)*IF(Upgrades!$T$9="Solar Wind",POWER(Upgrades!$U$9,H279),1)*IF(Upgrades!$T$10="Solar Wind",POWER(Upgrades!$U$10,I279),1)*IF(Upgrades!$T$11="Solar Wind",POWER(Upgrades!$U$11,J279),1)*IF(Upgrades!$T$12="Solar Wind",POWER(Upgrades!$U$12,K279),1))+(IF(F279=0,0,(Upgrades!$G$7+F279*Upgrades!$H$7)*POWER(Upgrades!$I$7,F279)))*(IF(Upgrades!$T$6="Asteroid Belt",POWER(Upgrades!$U$6,E279),1)*IF(Upgrades!$T$8="Asteroid Belt",POWER(Upgrades!$U$8,G279),1)*IF(Upgrades!$T$9="Asteroid Belt",POWER(Upgrades!$U$9,H279),1)*IF(Upgrades!$T$10="Asteroid Belt",POWER(Upgrades!$U$10,I279),1)*IF(Upgrades!$T$11="Asteroid Belt",POWER(Upgrades!$U$11,J279),1)*IF(Upgrades!$T$12="Asteroid Belt",POWER(Upgrades!$U$12,K279),1))+(IF(G279=0,0,(Upgrades!$G$8+G279*Upgrades!$H$8)*POWER(Upgrades!$I$8,G279)))*(IF(Upgrades!$T$6="Stellar Coupling",POWER(Upgrades!$U$6,E279),1)*IF(Upgrades!$T$7="Stellar Coupling",POWER(Upgrades!$U$7,F279),1)*IF(Upgrades!$T$9="Stellar Coupling",POWER(Upgrades!$U$9,H279),1)*IF(Upgrades!$T$10="Stellar Coupling",POWER(Upgrades!$U$10,I279),1)*IF(Upgrades!$T$11="Stellar Coupling",POWER(Upgrades!$U$11,J279),1)*IF(Upgrades!$T$12="Stellar Coupling",POWER(Upgrades!$U$12,K279),1))+(IF(H279=0,0,(Upgrades!$G$9+H279*Upgrades!$H$9)*POWER(Upgrades!$I$9,H279)))*(IF(Upgrades!$T$6="Magnetosphere",POWER(Upgrades!$U$6,E279),1)*IF(Upgrades!$T$7="Magnetosphere",POWER(Upgrades!$U$7,F279),1)*IF(Upgrades!$T$8="Magnetosphere",POWER(Upgrades!$U$8,G279),1)*IF(Upgrades!$T$10="Magnetosphere",POWER(Upgrades!$U$10,I279),1)*IF(Upgrades!$T$11="Magnetosphere",POWER(Upgrades!$U$11,J279),1)*IF(Upgrades!$T$12="Magnetosphere",POWER(Upgrades!$U$12,K279),1))+(IF(I279=0,0,(Upgrades!$G$10+I279*Upgrades!$H$10)*POWER(Upgrades!$I$10,I279)))*(IF(Upgrades!$T$6="Orbital Resonance",POWER(Upgrades!$U$6,E279),1)*IF(Upgrades!$T$7="Orbital Resonance",POWER(Upgrades!$U$7,F279),1)*IF(Upgrades!$T$8="Orbital Resonance",POWER(Upgrades!$U$8,G279),1)*IF(Upgrades!$T$9="Orbital Resonance",POWER(Upgrades!$U$9,H279),1)*IF(Upgrades!$T$11="Orbital Resonance",POWER(Upgrades!$U$11,J279),1)*IF(Upgrades!$T$12="Orbital Resonance",POWER(Upgrades!$U$12,K279),1))+(IF(J279=0,0,(Upgrades!$G$11+J279*Upgrades!$H$11)*POWER(Upgrades!$I$11,J279)))*(IF(Upgrades!$T$6="Heliopause",POWER(Upgrades!$U$6,E279),1)*IF(Upgrades!$T$7="Heliopause",POWER(Upgrades!$U$7,F279),1)*IF(Upgrades!$T$8="Heliopause",POWER(Upgrades!$U$8,G279),1)*IF(Upgrades!$T$9="Heliopause",POWER(Upgrades!$U$9,H279),1)*IF(Upgrades!$T$10="Heliopause",POWER(Upgrades!$U$10,I279),1)*IF(Upgrades!$T$12="Heliopause",POWER(Upgrades!$U$12,K279),1))+(IF(K279=0,0,(Upgrades!$G$12+K279*Upgrades!$H$12)*POWER(Upgrades!$I$12,K279)))*(IF(Upgrades!$T$6="First Photons",POWER(Upgrades!$U$6,E279),1)*IF(Upgrades!$T$7="First Photons",POWER(Upgrades!$U$7,F279),1)*IF(Upgrades!$T$8="First Photons",POWER(Upgrades!$U$8,G279),1)*IF(Upgrades!$T$9="First Photons",POWER(Upgrades!$U$9,H279),1)*IF(Upgrades!$T$10="First Photons",POWER(Upgrades!$U$10,I279),1)*IF(Upgrades!$T$11="First Photons",POWER(Upgrades!$U$11,J279),1)))*POWER(Upgrades!$P$6,E279)*POWER(Upgrades!$P$7,F279)*POWER(Upgrades!$P$8,G279)*POWER(Upgrades!$P$9,H279)*POWER(Upgrades!$P$10,I279)*POWER(Upgrades!$P$11,J279)*POWER(Upgrades!$P$12,K279)</f>
        <v>11.2</v>
      </c>
      <c r="O279" s="28" t="n">
        <f aca="false">((IF(E279=0,0,(Upgrades!$M$6+E279*Upgrades!$N$6)*POWER(Upgrades!$O$6,E279)))*(IF(Upgrades!$T$7="Solar Wind",POWER(Upgrades!$U$7,F279),1)*IF(Upgrades!$T$8="Solar Wind",POWER(Upgrades!$U$8,G279),1)*IF(Upgrades!$T$9="Solar Wind",POWER(Upgrades!$U$9,H279),1)*IF(Upgrades!$T$10="Solar Wind",POWER(Upgrades!$U$10,I279),1)*IF(Upgrades!$T$11="Solar Wind",POWER(Upgrades!$U$11,J279),1)*IF(Upgrades!$T$12="Solar Wind",POWER(Upgrades!$U$12,K279),1))+(IF(F279=0,0,(Upgrades!$M$7+F279*Upgrades!$N$7)*POWER(Upgrades!$O$7,F279)))*(IF(Upgrades!$T$6="Asteroid Belt",POWER(Upgrades!$U$6,E279),1)*IF(Upgrades!$T$8="Asteroid Belt",POWER(Upgrades!$U$8,G279),1)*IF(Upgrades!$T$9="Asteroid Belt",POWER(Upgrades!$U$9,H279),1)*IF(Upgrades!$T$10="Asteroid Belt",POWER(Upgrades!$U$10,I279),1)*IF(Upgrades!$T$11="Asteroid Belt",POWER(Upgrades!$U$11,J279),1)*IF(Upgrades!$T$12="Asteroid Belt",POWER(Upgrades!$U$12,K279),1))+(IF(G279=0,0,(Upgrades!$M$8+G279*Upgrades!$N$8)*POWER(Upgrades!$O$8,G279)))*(IF(Upgrades!$T$6="Stellar Coupling",POWER(Upgrades!$U$6,E279),1)*IF(Upgrades!$T$7="Stellar Coupling",POWER(Upgrades!$U$7,F279),1)*IF(Upgrades!$T$9="Stellar Coupling",POWER(Upgrades!$U$9,H279),1)*IF(Upgrades!$T$10="Stellar Coupling",POWER(Upgrades!$U$10,I279),1)*IF(Upgrades!$T$11="Stellar Coupling",POWER(Upgrades!$U$11,J279),1)*IF(Upgrades!$T$12="Stellar Coupling",POWER(Upgrades!$U$12,K279),1))+(IF(H279=0,0,(Upgrades!$M$9+H279*Upgrades!$N$9)*POWER(Upgrades!$O$9,H279)))*(IF(Upgrades!$T$6="Magnetosphere",POWER(Upgrades!$U$6,E279),1)*IF(Upgrades!$T$7="Magnetosphere",POWER(Upgrades!$U$7,F279),1)*IF(Upgrades!$T$8="Magnetosphere",POWER(Upgrades!$U$8,G279),1)*IF(Upgrades!$T$10="Magnetosphere",POWER(Upgrades!$U$10,I279),1)*IF(Upgrades!$T$11="Magnetosphere",POWER(Upgrades!$U$11,J279),1)*IF(Upgrades!$T$12="Magnetosphere",POWER(Upgrades!$U$12,K279),1))+(IF(I279=0,0,(Upgrades!$M$10+I279*Upgrades!$N$10)*POWER(Upgrades!$O$10,I279)))*(IF(Upgrades!$T$6="Orbital Resonance",POWER(Upgrades!$U$6,E279),1)*IF(Upgrades!$T$7="Orbital Resonance",POWER(Upgrades!$U$7,F279),1)*IF(Upgrades!$T$8="Orbital Resonance",POWER(Upgrades!$U$8,G279),1)*IF(Upgrades!$T$9="Orbital Resonance",POWER(Upgrades!$U$9,H279),1)*IF(Upgrades!$T$11="Orbital Resonance",POWER(Upgrades!$U$11,J279),1)*IF(Upgrades!$T$12="Orbital Resonance",POWER(Upgrades!$U$12,K279),1))+(IF(J279=0,0,(Upgrades!$M$11+J279*Upgrades!$N$11)*POWER(Upgrades!$O$11,J279)))*(IF(Upgrades!$T$6="Heliopause",POWER(Upgrades!$U$6,E279),1)*IF(Upgrades!$T$7="Heliopause",POWER(Upgrades!$U$7,F279),1)*IF(Upgrades!$T$8="Heliopause",POWER(Upgrades!$U$8,G279),1)*IF(Upgrades!$T$9="Heliopause",POWER(Upgrades!$U$9,H279),1)*IF(Upgrades!$T$10="Heliopause",POWER(Upgrades!$U$10,I279),1)*IF(Upgrades!$T$12="Heliopause",POWER(Upgrades!$U$12,K279),1))+(IF(K279=0,0,(Upgrades!$M$12+K279*Upgrades!$N$12)*POWER(Upgrades!$O$12,K279)))*(IF(Upgrades!$T$6="First Photons",POWER(Upgrades!$U$6,E279),1)*IF(Upgrades!$T$7="First Photons",POWER(Upgrades!$U$7,F279),1)*IF(Upgrades!$T$8="First Photons",POWER(Upgrades!$U$8,G279),1)*IF(Upgrades!$T$9="First Photons",POWER(Upgrades!$U$9,H279),1)*IF(Upgrades!$T$10="First Photons",POWER(Upgrades!$U$10,I279),1)*IF(Upgrades!$T$11="First Photons",POWER(Upgrades!$U$11,J279),1)))*POWER(Upgrades!$R$6,E279)*POWER(Upgrades!$R$7,F279)*POWER(Upgrades!$R$8,G279)*POWER(Upgrades!$R$9,H279)*POWER(Upgrades!$R$10,I279)*POWER(Upgrades!$R$11,J279)*POWER(Upgrades!$R$12,K279)</f>
        <v>0</v>
      </c>
      <c r="P279" s="27" t="n">
        <f aca="false">IF(L279=1,0,M279*Parameters!$B$10/60*Parameters!$B$11*10)</f>
        <v>0</v>
      </c>
      <c r="Q279" s="27" t="n">
        <f aca="false">IF(L279=1,0,O279*M279*10)</f>
        <v>0</v>
      </c>
      <c r="R279" s="27" t="n">
        <f aca="false">IF(L279=1,0,N279*10)</f>
        <v>0</v>
      </c>
      <c r="S279" s="27" t="n">
        <f aca="false">P279+Q279+R279</f>
        <v>0</v>
      </c>
      <c r="T279" s="21" t="n">
        <f aca="false">C279+S279</f>
        <v>18.6730249835055</v>
      </c>
      <c r="U279" s="34" t="str">
        <f aca="false">AX279</f>
        <v/>
      </c>
      <c r="V279" s="21" t="n">
        <f aca="false">IF(U279="",0,IF(U279="transition",0,IF(U279="SW",AG279,IF(U279="AB",AH279,IF(U279="SC",AI279,IF(U279="Mag",AJ279,IF(U279="OR",AK279,IF(U279="HP",AL279,IF(U279="FP",AM279,0)))))))))</f>
        <v>0</v>
      </c>
      <c r="W279" s="27" t="n">
        <f aca="false">IF(U279="OR",Upgrades!$F$10,IF(U279="HP",Upgrades!$F$11,IF(U279="transition",-Parameters!$B$18,0)))</f>
        <v>0</v>
      </c>
      <c r="X279" s="21" t="n">
        <f aca="false">T279-V279</f>
        <v>18.6730249835055</v>
      </c>
      <c r="Y279" s="30" t="n">
        <f aca="false">M279*Parameters!$B$10/60*Parameters!$B$11+O279*M279+N279</f>
        <v>20.55</v>
      </c>
      <c r="Z279" s="35" t="str">
        <f aca="false">IF(U279="transition","→ Tier 2 (Stellar Neighborhood)",IF(U279="FP","First Photons — light begins, system quickens",IF(U279="HP","Heliopause acquired",IF(U279="OR","Orbital Resonance — passive multiplier active",IF(AND(AO279=1,L279=0,AN279&lt;&gt;1),"Cohesion ready (waiting on completionist upgrades)","")))))</f>
        <v/>
      </c>
      <c r="AA279" s="27" t="n">
        <f aca="false">(IF(E279=0,0,(Upgrades!$G$6+E279*Upgrades!$H$6)*POWER(Upgrades!$I$6,E279)))*(IF(Upgrades!$T$7="Solar Wind",POWER(Upgrades!$U$7,F279),1)*IF(Upgrades!$T$8="Solar Wind",POWER(Upgrades!$U$8,G279),1)*IF(Upgrades!$T$9="Solar Wind",POWER(Upgrades!$U$9,H279),1)*IF(Upgrades!$T$10="Solar Wind",POWER(Upgrades!$U$10,I279),1)*IF(Upgrades!$T$11="Solar Wind",POWER(Upgrades!$U$11,J279),1)*IF(Upgrades!$T$12="Solar Wind",POWER(Upgrades!$U$12,K279),1))*POWER(Upgrades!$P$6,E279)*POWER(Upgrades!$P$7,F279)*POWER(Upgrades!$P$8,G279)*POWER(Upgrades!$P$9,H279)*POWER(Upgrades!$P$10,I279)*POWER(Upgrades!$P$11,J279)*POWER(Upgrades!$P$12,K279)*60</f>
        <v>72</v>
      </c>
      <c r="AB279" s="27" t="n">
        <f aca="false">(IF(F279=0,0,(Upgrades!$G$7+F279*Upgrades!$H$7)*POWER(Upgrades!$I$7,F279)))*(IF(Upgrades!$T$6="Asteroid Belt",POWER(Upgrades!$U$6,E279),1)*IF(Upgrades!$T$8="Asteroid Belt",POWER(Upgrades!$U$8,G279),1)*IF(Upgrades!$T$9="Asteroid Belt",POWER(Upgrades!$U$9,H279),1)*IF(Upgrades!$T$10="Asteroid Belt",POWER(Upgrades!$U$10,I279),1)*IF(Upgrades!$T$11="Asteroid Belt",POWER(Upgrades!$U$11,J279),1)*IF(Upgrades!$T$12="Asteroid Belt",POWER(Upgrades!$U$12,K279),1))*POWER(Upgrades!$P$6,E279)*POWER(Upgrades!$P$7,F279)*POWER(Upgrades!$P$8,G279)*POWER(Upgrades!$P$9,H279)*POWER(Upgrades!$P$10,I279)*POWER(Upgrades!$P$11,J279)*POWER(Upgrades!$P$12,K279)*60</f>
        <v>150</v>
      </c>
      <c r="AC279" s="27" t="n">
        <f aca="false">(IF(G279=0,0,(Upgrades!$J$8+G279*Upgrades!$K$8)*POWER(Upgrades!$L$8,G279)))*(IF(Upgrades!$T$6="Stellar Coupling",POWER(Upgrades!$U$6,E279),1)*IF(Upgrades!$T$7="Stellar Coupling",POWER(Upgrades!$U$7,F279),1)*IF(Upgrades!$T$9="Stellar Coupling",POWER(Upgrades!$U$9,H279),1)*IF(Upgrades!$T$10="Stellar Coupling",POWER(Upgrades!$U$10,I279),1)*IF(Upgrades!$T$11="Stellar Coupling",POWER(Upgrades!$U$11,J279),1)*IF(Upgrades!$T$12="Stellar Coupling",POWER(Upgrades!$U$12,K279),1))*POWER(Upgrades!$Q$6,E279)*POWER(Upgrades!$Q$7,F279)*POWER(Upgrades!$Q$8,G279)*POWER(Upgrades!$Q$9,H279)*POWER(Upgrades!$Q$10,I279)*POWER(Upgrades!$Q$11,J279)*POWER(Upgrades!$Q$12,K279)*Parameters!$B$10*Parameters!$B$11</f>
        <v>441</v>
      </c>
      <c r="AD279" s="27" t="n">
        <f aca="false">(IF(H279=0,0,(Upgrades!$G$9+H279*Upgrades!$H$9)*POWER(Upgrades!$I$9,H279)))*(IF(Upgrades!$T$6="Magnetosphere",POWER(Upgrades!$U$6,E279),1)*IF(Upgrades!$T$7="Magnetosphere",POWER(Upgrades!$U$7,F279),1)*IF(Upgrades!$T$8="Magnetosphere",POWER(Upgrades!$U$8,G279),1)*IF(Upgrades!$T$10="Magnetosphere",POWER(Upgrades!$U$10,I279),1)*IF(Upgrades!$T$11="Magnetosphere",POWER(Upgrades!$U$11,J279),1)*IF(Upgrades!$T$12="Magnetosphere",POWER(Upgrades!$U$12,K279),1))*POWER(Upgrades!$P$6,E279)*POWER(Upgrades!$P$7,F279)*POWER(Upgrades!$P$8,G279)*POWER(Upgrades!$P$9,H279)*POWER(Upgrades!$P$10,I279)*POWER(Upgrades!$P$11,J279)*POWER(Upgrades!$P$12,K279)*60</f>
        <v>375</v>
      </c>
      <c r="AE279" s="27" t="n">
        <f aca="false">(IF(K279=0,0,(Upgrades!$G$12+K279*Upgrades!$H$12)*POWER(Upgrades!$I$12,K279)))*(IF(Upgrades!$T$6="First Photons",POWER(Upgrades!$U$6,E279),1)*IF(Upgrades!$T$7="First Photons",POWER(Upgrades!$U$7,F279),1)*IF(Upgrades!$T$8="First Photons",POWER(Upgrades!$U$8,G279),1)*IF(Upgrades!$T$9="First Photons",POWER(Upgrades!$U$9,H279),1)*IF(Upgrades!$T$10="First Photons",POWER(Upgrades!$U$10,I279),1)*IF(Upgrades!$T$11="First Photons",POWER(Upgrades!$U$11,J279),1))*POWER(Upgrades!$P$6,E279)*POWER(Upgrades!$P$7,F279)*POWER(Upgrades!$P$8,G279)*POWER(Upgrades!$P$9,H279)*POWER(Upgrades!$P$10,I279)*POWER(Upgrades!$P$11,J279)*POWER(Upgrades!$P$12,K279)*60</f>
        <v>75</v>
      </c>
      <c r="AF279" s="27" t="n">
        <f aca="false">Parameters!$B$9*POWER(Upgrades!$Q$6,E279)*POWER(Upgrades!$Q$7,F279)*POWER(Upgrades!$Q$8,G279)*POWER(Upgrades!$Q$9,H279)*POWER(Upgrades!$Q$10,I279)*POWER(Upgrades!$Q$11,J279)*POWER(Upgrades!$Q$12,K279)*(Parameters!$B$10*Parameters!$B$11+O279*60)</f>
        <v>120</v>
      </c>
      <c r="AG279" s="21" t="n">
        <f aca="false">IF(E279&gt;=Upgrades!$E$6,"",Upgrades!$C$6*POWER(Upgrades!$D$6,E279))</f>
        <v>37.4517507383159</v>
      </c>
      <c r="AH279" s="21" t="n">
        <f aca="false">IF(F279&gt;=Upgrades!$E$7,"",Upgrades!$C$7*POWER(Upgrades!$D$7,F279))</f>
        <v>80.9111547141581</v>
      </c>
      <c r="AI279" s="21" t="n">
        <f aca="false">IF(G279&gt;=Upgrades!$E$8,"",Upgrades!$C$8*POWER(Upgrades!$D$8,G279))</f>
        <v>231.9097088</v>
      </c>
      <c r="AJ279" s="21" t="str">
        <f aca="false">IF(H279&gt;=Upgrades!$E$9,"",Upgrades!$C$9*POWER(Upgrades!$D$9,H279))</f>
        <v/>
      </c>
      <c r="AK279" s="21" t="str">
        <f aca="false">IF(I279&gt;=Upgrades!$E$10,"",Upgrades!$C$10*POWER(Upgrades!$D$10,I279))</f>
        <v/>
      </c>
      <c r="AL279" s="21" t="str">
        <f aca="false">IF(J279&gt;=Upgrades!$E$11,"",Upgrades!$C$11*POWER(Upgrades!$D$11,J279))</f>
        <v/>
      </c>
      <c r="AM279" s="21" t="str">
        <f aca="false">IF(K279&gt;=Upgrades!$E$12,"",Upgrades!$C$12*POWER(Upgrades!$D$12,K279))</f>
        <v/>
      </c>
      <c r="AN279" s="26" t="str">
        <f aca="false">IF(AND(D279&gt;=Parameters!$B$18,(H279&gt;=Upgrades!$E$9)*(K279&gt;=Upgrades!$E$12)=1,L279=0),1,"")</f>
        <v/>
      </c>
      <c r="AO279" s="26" t="str">
        <f aca="false">IF(AND(D279&gt;=Parameters!$B$18,L279=0),1,"")</f>
        <v/>
      </c>
      <c r="AP279" s="21" t="n">
        <f aca="false">MIN(IF(ISNUMBER(AK279),AK279,9000000000000000),IF(ISNUMBER(AL279),AL279,9000000000000000),IF(ISNUMBER(AM279),AM279,9000000000000000))</f>
        <v>9000000000000000</v>
      </c>
      <c r="AQ279" s="21" t="n">
        <f aca="false">MIN(IF(ISNUMBER(AG279),AG279,9000000000000000),IF(ISNUMBER(AH279),AH279,9000000000000000),IF(ISNUMBER(AI279),AI279,9000000000000000),IF(ISNUMBER(AJ279),AJ279,9000000000000000))</f>
        <v>37.4517507383159</v>
      </c>
      <c r="AR279" s="32" t="b">
        <f aca="false">IF(AW279&gt;Parameters!$B$21*(MAX(IF(AND(NOT(AND(AO279=1,AN279&lt;&gt;1)),ISNUMBER(AG279),AG279&lt;=T279),AS279,0),IF(AND(NOT(AND(AO279=1,AN279&lt;&gt;1)),ISNUMBER(AH279),AH279&lt;=T279),AT279,0),IF(AND(NOT(AND(AO279=1,AN279&lt;&gt;1)),ISNUMBER(AI279),AI279&lt;=T279),AU279,0),IF(AND(ISNUMBER(AJ279),AJ279&lt;=T279),AV279,0))),TRUE(),FALSE())</f>
        <v>1</v>
      </c>
      <c r="AS279" s="33" t="n">
        <f aca="false">IFERROR(Upgrades!$H$6*(POWER(Upgrades!$P$6,E279)*POWER(Upgrades!$P$7,F279)*POWER(Upgrades!$P$8,G279)*POWER(Upgrades!$P$9,H279)*POWER(Upgrades!$P$10,I279)*POWER(Upgrades!$P$11,J279)*POWER(Upgrades!$P$12,K279))*(IF(Upgrades!$T$7="Solar Wind",POWER(Upgrades!$U$7,F279),1)*IF(Upgrades!$T$8="Solar Wind",POWER(Upgrades!$U$8,G279),1)*IF(Upgrades!$T$9="Solar Wind",POWER(Upgrades!$U$9,H279),1)*IF(Upgrades!$T$10="Solar Wind",POWER(Upgrades!$U$10,I279),1)*IF(Upgrades!$T$11="Solar Wind",POWER(Upgrades!$U$11,J279),1)*IF(Upgrades!$T$12="Solar Wind",POWER(Upgrades!$U$12,K279),1))/AG279,0)</f>
        <v>0.0026701021455238</v>
      </c>
      <c r="AT279" s="33" t="n">
        <f aca="false">IFERROR(Upgrades!$H$7*(POWER(Upgrades!$P$6,E279)*POWER(Upgrades!$P$7,F279)*POWER(Upgrades!$P$8,G279)*POWER(Upgrades!$P$9,H279)*POWER(Upgrades!$P$10,I279)*POWER(Upgrades!$P$11,J279)*POWER(Upgrades!$P$12,K279))*(IF(Upgrades!$T$6="Asteroid Belt",POWER(Upgrades!$U$6,E279),1)*IF(Upgrades!$T$8="Asteroid Belt",POWER(Upgrades!$U$8,G279),1)*IF(Upgrades!$T$9="Asteroid Belt",POWER(Upgrades!$U$9,H279),1)*IF(Upgrades!$T$10="Asteroid Belt",POWER(Upgrades!$U$10,I279),1)*IF(Upgrades!$T$11="Asteroid Belt",POWER(Upgrades!$U$11,J279),1)*IF(Upgrades!$T$12="Asteroid Belt",POWER(Upgrades!$U$12,K279),1))/AH279,0)</f>
        <v>0.00308980882652332</v>
      </c>
      <c r="AU279" s="33" t="n">
        <f aca="false">IFERROR(Upgrades!$K$8*(POWER(Upgrades!$Q$6,E279)*POWER(Upgrades!$Q$7,F279)*POWER(Upgrades!$Q$8,G279)*POWER(Upgrades!$Q$9,H279)*POWER(Upgrades!$Q$10,I279)*POWER(Upgrades!$Q$11,J279)*POWER(Upgrades!$Q$12,K279))*(IF(Upgrades!$T$6="Stellar Coupling",POWER(Upgrades!$U$6,E279),1)*IF(Upgrades!$T$7="Stellar Coupling",POWER(Upgrades!$U$7,F279),1)*IF(Upgrades!$T$9="Stellar Coupling",POWER(Upgrades!$U$9,H279),1)*IF(Upgrades!$T$10="Stellar Coupling",POWER(Upgrades!$U$10,I279),1)*IF(Upgrades!$T$11="Stellar Coupling",POWER(Upgrades!$U$11,J279),1)*IF(Upgrades!$T$12="Stellar Coupling",POWER(Upgrades!$U$12,K279),1))*Parameters!$B$10*Parameters!$B$11/60/AI279,0)</f>
        <v>0.00452762415783776</v>
      </c>
      <c r="AV279" s="33" t="n">
        <f aca="false">IFERROR(Upgrades!$H$9*(POWER(Upgrades!$P$6,E279)*POWER(Upgrades!$P$7,F279)*POWER(Upgrades!$P$8,G279)*POWER(Upgrades!$P$9,H279)*POWER(Upgrades!$P$10,I279)*POWER(Upgrades!$P$11,J279)*POWER(Upgrades!$P$12,K279))*(IF(Upgrades!$T$6="Magnetosphere",POWER(Upgrades!$U$6,E279),1)*IF(Upgrades!$T$7="Magnetosphere",POWER(Upgrades!$U$7,F279),1)*IF(Upgrades!$T$8="Magnetosphere",POWER(Upgrades!$U$8,G279),1)*IF(Upgrades!$T$10="Magnetosphere",POWER(Upgrades!$U$10,I279),1)*IF(Upgrades!$T$11="Magnetosphere",POWER(Upgrades!$U$11,J279),1)*IF(Upgrades!$T$12="Magnetosphere",POWER(Upgrades!$U$12,K279),1))/AJ279,0)</f>
        <v>0</v>
      </c>
      <c r="AW279" s="33" t="n">
        <f aca="false">MAX(IF(I279&gt;0,0,IFERROR(0.25*N279/Upgrades!$C$10,0)),IF(J279&gt;0,0,IFERROR(0.5*((IF(G279=0,0,(Upgrades!$J$8+G279*Upgrades!$K$8)*POWER(Upgrades!$L$8,G279)))*(IF(Upgrades!$T$6="Stellar Coupling",POWER(Upgrades!$U$6,E279),1)*IF(Upgrades!$T$7="Stellar Coupling",POWER(Upgrades!$U$7,F279),1)*IF(Upgrades!$T$9="Stellar Coupling",POWER(Upgrades!$U$9,H279),1)*IF(Upgrades!$T$10="Stellar Coupling",POWER(Upgrades!$U$10,I279),1)*IF(Upgrades!$T$11="Stellar Coupling",POWER(Upgrades!$U$11,J279),1)*IF(Upgrades!$T$12="Stellar Coupling",POWER(Upgrades!$U$12,K279),1))*(POWER(Upgrades!$Q$6,E279)*POWER(Upgrades!$Q$7,F279)*POWER(Upgrades!$Q$8,G279)*POWER(Upgrades!$Q$9,H279)*POWER(Upgrades!$Q$10,I279)*POWER(Upgrades!$Q$11,J279)*POWER(Upgrades!$Q$12,K279))*Parameters!$B$10*Parameters!$B$11/60)/Upgrades!$C$11,0)),IF(K279&gt;0,0,IFERROR((1*(POWER(Upgrades!$P$6,E279)*POWER(Upgrades!$P$7,F279)*POWER(Upgrades!$P$8,G279)*POWER(Upgrades!$P$9,H279)*POWER(Upgrades!$P$10,I279)*POWER(Upgrades!$P$11,J279)*POWER(Upgrades!$P$12,K279))+0.2*M279*Parameters!$B$10*Parameters!$B$11/60)/Upgrades!$C$12,0)),IF(AND(ISNUMBER(AG279),AG279&gt;T279),AS279,0),IF(AND(ISNUMBER(AH279),AH279&gt;T279),AT279,0),IF(AND(ISNUMBER(AI279),AI279&gt;T279),AU279,0),IF(AND(ISNUMBER(AJ279),AJ279&gt;T279),AV279,0))</f>
        <v>0.00452762415783776</v>
      </c>
      <c r="AX279" s="29" t="str">
        <f aca="false">IF(AN279=1,"transition",IF(MIN(IF(AND(I279=0,ISNUMBER(AK279),AK279&lt;=T279),AK279,9000000000000000),IF(AND(J279=0,ISNUMBER(AL279),AL279&lt;=T279),AL279,9000000000000000),IF(AND(K279=0,ISNUMBER(AM279),AM279&lt;=T279),AM279,9000000000000000))&lt;9000000000000000,IF(AND(AND(I279=0,ISNUMBER(AK279),AK279&lt;=T279),AK279=MIN(IF(AND(I279=0,ISNUMBER(AK279),AK279&lt;=T279),AK279,9000000000000000),IF(AND(J279=0,ISNUMBER(AL279),AL279&lt;=T279),AL279,9000000000000000),IF(AND(K279=0,ISNUMBER(AM279),AM279&lt;=T279),AM279,9000000000000000))),"OR",IF(AND(AND(J279=0,ISNUMBER(AL279),AL279&lt;=T279),AL279=MIN(IF(AND(I279=0,ISNUMBER(AK279),AK279&lt;=T279),AK279,9000000000000000),IF(AND(J279=0,ISNUMBER(AL279),AL279&lt;=T279),AL279,9000000000000000),IF(AND(K279=0,ISNUMBER(AM279),AM279&lt;=T279),AM279,9000000000000000))),"HP","FP")),IF(AR279=TRUE(),"",IF(MAX(IF(AND(NOT(AND(AO279=1,AN279&lt;&gt;1)),ISNUMBER(AG279),AG279&lt;=T279),AS279,0),IF(AND(NOT(AND(AO279=1,AN279&lt;&gt;1)),ISNUMBER(AH279),AH279&lt;=T279),AT279,0),IF(AND(NOT(AND(AO279=1,AN279&lt;&gt;1)),ISNUMBER(AI279),AI279&lt;=T279),AU279,0),IF(AND(ISNUMBER(AJ279),AJ279&lt;=T279),AV279,0))&lt;=0,"",IF(AND(IF(AND(NOT(AND(AO279=1,AN279&lt;&gt;1)),ISNUMBER(AG279),AG279&lt;=T279),AS279,0)&gt;0,IF(AND(NOT(AND(AO279=1,AN279&lt;&gt;1)),ISNUMBER(AG279),AG279&lt;=T279),AS279,0)=MAX(IF(AND(NOT(AND(AO279=1,AN279&lt;&gt;1)),ISNUMBER(AG279),AG279&lt;=T279),AS279,0),IF(AND(NOT(AND(AO279=1,AN279&lt;&gt;1)),ISNUMBER(AH279),AH279&lt;=T279),AT279,0),IF(AND(NOT(AND(AO279=1,AN279&lt;&gt;1)),ISNUMBER(AI279),AI279&lt;=T279),AU279,0),IF(AND(ISNUMBER(AJ279),AJ279&lt;=T279),AV279,0))),"SW",IF(AND(IF(AND(NOT(AND(AO279=1,AN279&lt;&gt;1)),ISNUMBER(AH279),AH279&lt;=T279),AT279,0)&gt;0,IF(AND(NOT(AND(AO279=1,AN279&lt;&gt;1)),ISNUMBER(AH279),AH279&lt;=T279),AT279,0)=MAX(IF(AND(NOT(AND(AO279=1,AN279&lt;&gt;1)),ISNUMBER(AG279),AG279&lt;=T279),AS279,0),IF(AND(NOT(AND(AO279=1,AN279&lt;&gt;1)),ISNUMBER(AH279),AH279&lt;=T279),AT279,0),IF(AND(NOT(AND(AO279=1,AN279&lt;&gt;1)),ISNUMBER(AI279),AI279&lt;=T279),AU279,0),IF(AND(ISNUMBER(AJ279),AJ279&lt;=T279),AV279,0))),"AB",IF(AND(IF(AND(NOT(AND(AO279=1,AN279&lt;&gt;1)),ISNUMBER(AI279),AI279&lt;=T279),AU279,0)&gt;0,IF(AND(NOT(AND(AO279=1,AN279&lt;&gt;1)),ISNUMBER(AI279),AI279&lt;=T279),AU279,0)=MAX(IF(AND(NOT(AND(AO279=1,AN279&lt;&gt;1)),ISNUMBER(AG279),AG279&lt;=T279),AS279,0),IF(AND(NOT(AND(AO279=1,AN279&lt;&gt;1)),ISNUMBER(AH279),AH279&lt;=T279),AT279,0),IF(AND(NOT(AND(AO279=1,AN279&lt;&gt;1)),ISNUMBER(AI279),AI279&lt;=T279),AU279,0),IF(AND(ISNUMBER(AJ279),AJ279&lt;=T279),AV279,0))),"SC","Mag")))))))</f>
        <v/>
      </c>
    </row>
    <row r="280" customFormat="false" ht="15" hidden="false" customHeight="false" outlineLevel="0" collapsed="false">
      <c r="A280" s="26" t="n">
        <v>275</v>
      </c>
      <c r="B280" s="27" t="n">
        <f aca="false">A280*10/60</f>
        <v>45.8333333333333</v>
      </c>
      <c r="C280" s="21" t="n">
        <f aca="false">X279</f>
        <v>18.6730249835055</v>
      </c>
      <c r="D280" s="27" t="n">
        <f aca="false">D279+W279</f>
        <v>0</v>
      </c>
      <c r="E280" s="26" t="n">
        <f aca="false">E279+IF(U279="SW",1,0)</f>
        <v>12</v>
      </c>
      <c r="F280" s="26" t="n">
        <f aca="false">F279+IF(U279="AB",1,0)</f>
        <v>10</v>
      </c>
      <c r="G280" s="26" t="n">
        <f aca="false">G279+IF(U279="SC",1,0)</f>
        <v>7</v>
      </c>
      <c r="H280" s="26" t="n">
        <f aca="false">H279+IF(U279="Mag",1,0)</f>
        <v>5</v>
      </c>
      <c r="I280" s="26" t="n">
        <f aca="false">MAX(I279,IF(U279="OR",1,0))</f>
        <v>1</v>
      </c>
      <c r="J280" s="26" t="n">
        <f aca="false">MAX(J279,IF(U279="HP",1,0))</f>
        <v>1</v>
      </c>
      <c r="K280" s="26" t="n">
        <f aca="false">MAX(K279,IF(U279="FP",1,0))</f>
        <v>1</v>
      </c>
      <c r="L280" s="26" t="n">
        <f aca="false">MAX(L279,IF(U279="transition",1,0))</f>
        <v>1</v>
      </c>
      <c r="M280" s="28" t="n">
        <f aca="false">(Parameters!$B$9+(IF(E280=0,0,(Upgrades!$J$6+E280*Upgrades!$K$6)*POWER(Upgrades!$L$6,E280)))*(IF(Upgrades!$T$7="Solar Wind",POWER(Upgrades!$U$7,F280),1)*IF(Upgrades!$T$8="Solar Wind",POWER(Upgrades!$U$8,G280),1)*IF(Upgrades!$T$9="Solar Wind",POWER(Upgrades!$U$9,H280),1)*IF(Upgrades!$T$10="Solar Wind",POWER(Upgrades!$U$10,I280),1)*IF(Upgrades!$T$11="Solar Wind",POWER(Upgrades!$U$11,J280),1)*IF(Upgrades!$T$12="Solar Wind",POWER(Upgrades!$U$12,K280),1))+(IF(F280=0,0,(Upgrades!$J$7+F280*Upgrades!$K$7)*POWER(Upgrades!$L$7,F280)))*(IF(Upgrades!$T$6="Asteroid Belt",POWER(Upgrades!$U$6,E280),1)*IF(Upgrades!$T$8="Asteroid Belt",POWER(Upgrades!$U$8,G280),1)*IF(Upgrades!$T$9="Asteroid Belt",POWER(Upgrades!$U$9,H280),1)*IF(Upgrades!$T$10="Asteroid Belt",POWER(Upgrades!$U$10,I280),1)*IF(Upgrades!$T$11="Asteroid Belt",POWER(Upgrades!$U$11,J280),1)*IF(Upgrades!$T$12="Asteroid Belt",POWER(Upgrades!$U$12,K280),1))+(IF(G280=0,0,(Upgrades!$J$8+G280*Upgrades!$K$8)*POWER(Upgrades!$L$8,G280)))*(IF(Upgrades!$T$6="Stellar Coupling",POWER(Upgrades!$U$6,E280),1)*IF(Upgrades!$T$7="Stellar Coupling",POWER(Upgrades!$U$7,F280),1)*IF(Upgrades!$T$9="Stellar Coupling",POWER(Upgrades!$U$9,H280),1)*IF(Upgrades!$T$10="Stellar Coupling",POWER(Upgrades!$U$10,I280),1)*IF(Upgrades!$T$11="Stellar Coupling",POWER(Upgrades!$U$11,J280),1)*IF(Upgrades!$T$12="Stellar Coupling",POWER(Upgrades!$U$12,K280),1))+(IF(H280=0,0,(Upgrades!$J$9+H280*Upgrades!$K$9)*POWER(Upgrades!$L$9,H280)))*(IF(Upgrades!$T$6="Magnetosphere",POWER(Upgrades!$U$6,E280),1)*IF(Upgrades!$T$7="Magnetosphere",POWER(Upgrades!$U$7,F280),1)*IF(Upgrades!$T$8="Magnetosphere",POWER(Upgrades!$U$8,G280),1)*IF(Upgrades!$T$10="Magnetosphere",POWER(Upgrades!$U$10,I280),1)*IF(Upgrades!$T$11="Magnetosphere",POWER(Upgrades!$U$11,J280),1)*IF(Upgrades!$T$12="Magnetosphere",POWER(Upgrades!$U$12,K280),1))+(IF(I280=0,0,(Upgrades!$J$10+I280*Upgrades!$K$10)*POWER(Upgrades!$L$10,I280)))*(IF(Upgrades!$T$6="Orbital Resonance",POWER(Upgrades!$U$6,E280),1)*IF(Upgrades!$T$7="Orbital Resonance",POWER(Upgrades!$U$7,F280),1)*IF(Upgrades!$T$8="Orbital Resonance",POWER(Upgrades!$U$8,G280),1)*IF(Upgrades!$T$9="Orbital Resonance",POWER(Upgrades!$U$9,H280),1)*IF(Upgrades!$T$11="Orbital Resonance",POWER(Upgrades!$U$11,J280),1)*IF(Upgrades!$T$12="Orbital Resonance",POWER(Upgrades!$U$12,K280),1))+(IF(J280=0,0,(Upgrades!$J$11+J280*Upgrades!$K$11)*POWER(Upgrades!$L$11,J280)))*(IF(Upgrades!$T$6="Heliopause",POWER(Upgrades!$U$6,E280),1)*IF(Upgrades!$T$7="Heliopause",POWER(Upgrades!$U$7,F280),1)*IF(Upgrades!$T$8="Heliopause",POWER(Upgrades!$U$8,G280),1)*IF(Upgrades!$T$9="Heliopause",POWER(Upgrades!$U$9,H280),1)*IF(Upgrades!$T$10="Heliopause",POWER(Upgrades!$U$10,I280),1)*IF(Upgrades!$T$12="Heliopause",POWER(Upgrades!$U$12,K280),1))+(IF(K280=0,0,(Upgrades!$J$12+K280*Upgrades!$K$12)*POWER(Upgrades!$L$12,K280)))*(IF(Upgrades!$T$6="First Photons",POWER(Upgrades!$U$6,E280),1)*IF(Upgrades!$T$7="First Photons",POWER(Upgrades!$U$7,F280),1)*IF(Upgrades!$T$8="First Photons",POWER(Upgrades!$U$8,G280),1)*IF(Upgrades!$T$9="First Photons",POWER(Upgrades!$U$9,H280),1)*IF(Upgrades!$T$10="First Photons",POWER(Upgrades!$U$10,I280),1)*IF(Upgrades!$T$11="First Photons",POWER(Upgrades!$U$11,J280),1)))*POWER(Upgrades!$Q$6,E280)*POWER(Upgrades!$Q$7,F280)*POWER(Upgrades!$Q$8,G280)*POWER(Upgrades!$Q$9,H280)*POWER(Upgrades!$Q$10,I280)*POWER(Upgrades!$Q$11,J280)*POWER(Upgrades!$Q$12,K280)</f>
        <v>5.61</v>
      </c>
      <c r="N280" s="28" t="n">
        <f aca="false">((IF(E280=0,0,(Upgrades!$G$6+E280*Upgrades!$H$6)*POWER(Upgrades!$I$6,E280)))*(IF(Upgrades!$T$7="Solar Wind",POWER(Upgrades!$U$7,F280),1)*IF(Upgrades!$T$8="Solar Wind",POWER(Upgrades!$U$8,G280),1)*IF(Upgrades!$T$9="Solar Wind",POWER(Upgrades!$U$9,H280),1)*IF(Upgrades!$T$10="Solar Wind",POWER(Upgrades!$U$10,I280),1)*IF(Upgrades!$T$11="Solar Wind",POWER(Upgrades!$U$11,J280),1)*IF(Upgrades!$T$12="Solar Wind",POWER(Upgrades!$U$12,K280),1))+(IF(F280=0,0,(Upgrades!$G$7+F280*Upgrades!$H$7)*POWER(Upgrades!$I$7,F280)))*(IF(Upgrades!$T$6="Asteroid Belt",POWER(Upgrades!$U$6,E280),1)*IF(Upgrades!$T$8="Asteroid Belt",POWER(Upgrades!$U$8,G280),1)*IF(Upgrades!$T$9="Asteroid Belt",POWER(Upgrades!$U$9,H280),1)*IF(Upgrades!$T$10="Asteroid Belt",POWER(Upgrades!$U$10,I280),1)*IF(Upgrades!$T$11="Asteroid Belt",POWER(Upgrades!$U$11,J280),1)*IF(Upgrades!$T$12="Asteroid Belt",POWER(Upgrades!$U$12,K280),1))+(IF(G280=0,0,(Upgrades!$G$8+G280*Upgrades!$H$8)*POWER(Upgrades!$I$8,G280)))*(IF(Upgrades!$T$6="Stellar Coupling",POWER(Upgrades!$U$6,E280),1)*IF(Upgrades!$T$7="Stellar Coupling",POWER(Upgrades!$U$7,F280),1)*IF(Upgrades!$T$9="Stellar Coupling",POWER(Upgrades!$U$9,H280),1)*IF(Upgrades!$T$10="Stellar Coupling",POWER(Upgrades!$U$10,I280),1)*IF(Upgrades!$T$11="Stellar Coupling",POWER(Upgrades!$U$11,J280),1)*IF(Upgrades!$T$12="Stellar Coupling",POWER(Upgrades!$U$12,K280),1))+(IF(H280=0,0,(Upgrades!$G$9+H280*Upgrades!$H$9)*POWER(Upgrades!$I$9,H280)))*(IF(Upgrades!$T$6="Magnetosphere",POWER(Upgrades!$U$6,E280),1)*IF(Upgrades!$T$7="Magnetosphere",POWER(Upgrades!$U$7,F280),1)*IF(Upgrades!$T$8="Magnetosphere",POWER(Upgrades!$U$8,G280),1)*IF(Upgrades!$T$10="Magnetosphere",POWER(Upgrades!$U$10,I280),1)*IF(Upgrades!$T$11="Magnetosphere",POWER(Upgrades!$U$11,J280),1)*IF(Upgrades!$T$12="Magnetosphere",POWER(Upgrades!$U$12,K280),1))+(IF(I280=0,0,(Upgrades!$G$10+I280*Upgrades!$H$10)*POWER(Upgrades!$I$10,I280)))*(IF(Upgrades!$T$6="Orbital Resonance",POWER(Upgrades!$U$6,E280),1)*IF(Upgrades!$T$7="Orbital Resonance",POWER(Upgrades!$U$7,F280),1)*IF(Upgrades!$T$8="Orbital Resonance",POWER(Upgrades!$U$8,G280),1)*IF(Upgrades!$T$9="Orbital Resonance",POWER(Upgrades!$U$9,H280),1)*IF(Upgrades!$T$11="Orbital Resonance",POWER(Upgrades!$U$11,J280),1)*IF(Upgrades!$T$12="Orbital Resonance",POWER(Upgrades!$U$12,K280),1))+(IF(J280=0,0,(Upgrades!$G$11+J280*Upgrades!$H$11)*POWER(Upgrades!$I$11,J280)))*(IF(Upgrades!$T$6="Heliopause",POWER(Upgrades!$U$6,E280),1)*IF(Upgrades!$T$7="Heliopause",POWER(Upgrades!$U$7,F280),1)*IF(Upgrades!$T$8="Heliopause",POWER(Upgrades!$U$8,G280),1)*IF(Upgrades!$T$9="Heliopause",POWER(Upgrades!$U$9,H280),1)*IF(Upgrades!$T$10="Heliopause",POWER(Upgrades!$U$10,I280),1)*IF(Upgrades!$T$12="Heliopause",POWER(Upgrades!$U$12,K280),1))+(IF(K280=0,0,(Upgrades!$G$12+K280*Upgrades!$H$12)*POWER(Upgrades!$I$12,K280)))*(IF(Upgrades!$T$6="First Photons",POWER(Upgrades!$U$6,E280),1)*IF(Upgrades!$T$7="First Photons",POWER(Upgrades!$U$7,F280),1)*IF(Upgrades!$T$8="First Photons",POWER(Upgrades!$U$8,G280),1)*IF(Upgrades!$T$9="First Photons",POWER(Upgrades!$U$9,H280),1)*IF(Upgrades!$T$10="First Photons",POWER(Upgrades!$U$10,I280),1)*IF(Upgrades!$T$11="First Photons",POWER(Upgrades!$U$11,J280),1)))*POWER(Upgrades!$P$6,E280)*POWER(Upgrades!$P$7,F280)*POWER(Upgrades!$P$8,G280)*POWER(Upgrades!$P$9,H280)*POWER(Upgrades!$P$10,I280)*POWER(Upgrades!$P$11,J280)*POWER(Upgrades!$P$12,K280)</f>
        <v>11.2</v>
      </c>
      <c r="O280" s="28" t="n">
        <f aca="false">((IF(E280=0,0,(Upgrades!$M$6+E280*Upgrades!$N$6)*POWER(Upgrades!$O$6,E280)))*(IF(Upgrades!$T$7="Solar Wind",POWER(Upgrades!$U$7,F280),1)*IF(Upgrades!$T$8="Solar Wind",POWER(Upgrades!$U$8,G280),1)*IF(Upgrades!$T$9="Solar Wind",POWER(Upgrades!$U$9,H280),1)*IF(Upgrades!$T$10="Solar Wind",POWER(Upgrades!$U$10,I280),1)*IF(Upgrades!$T$11="Solar Wind",POWER(Upgrades!$U$11,J280),1)*IF(Upgrades!$T$12="Solar Wind",POWER(Upgrades!$U$12,K280),1))+(IF(F280=0,0,(Upgrades!$M$7+F280*Upgrades!$N$7)*POWER(Upgrades!$O$7,F280)))*(IF(Upgrades!$T$6="Asteroid Belt",POWER(Upgrades!$U$6,E280),1)*IF(Upgrades!$T$8="Asteroid Belt",POWER(Upgrades!$U$8,G280),1)*IF(Upgrades!$T$9="Asteroid Belt",POWER(Upgrades!$U$9,H280),1)*IF(Upgrades!$T$10="Asteroid Belt",POWER(Upgrades!$U$10,I280),1)*IF(Upgrades!$T$11="Asteroid Belt",POWER(Upgrades!$U$11,J280),1)*IF(Upgrades!$T$12="Asteroid Belt",POWER(Upgrades!$U$12,K280),1))+(IF(G280=0,0,(Upgrades!$M$8+G280*Upgrades!$N$8)*POWER(Upgrades!$O$8,G280)))*(IF(Upgrades!$T$6="Stellar Coupling",POWER(Upgrades!$U$6,E280),1)*IF(Upgrades!$T$7="Stellar Coupling",POWER(Upgrades!$U$7,F280),1)*IF(Upgrades!$T$9="Stellar Coupling",POWER(Upgrades!$U$9,H280),1)*IF(Upgrades!$T$10="Stellar Coupling",POWER(Upgrades!$U$10,I280),1)*IF(Upgrades!$T$11="Stellar Coupling",POWER(Upgrades!$U$11,J280),1)*IF(Upgrades!$T$12="Stellar Coupling",POWER(Upgrades!$U$12,K280),1))+(IF(H280=0,0,(Upgrades!$M$9+H280*Upgrades!$N$9)*POWER(Upgrades!$O$9,H280)))*(IF(Upgrades!$T$6="Magnetosphere",POWER(Upgrades!$U$6,E280),1)*IF(Upgrades!$T$7="Magnetosphere",POWER(Upgrades!$U$7,F280),1)*IF(Upgrades!$T$8="Magnetosphere",POWER(Upgrades!$U$8,G280),1)*IF(Upgrades!$T$10="Magnetosphere",POWER(Upgrades!$U$10,I280),1)*IF(Upgrades!$T$11="Magnetosphere",POWER(Upgrades!$U$11,J280),1)*IF(Upgrades!$T$12="Magnetosphere",POWER(Upgrades!$U$12,K280),1))+(IF(I280=0,0,(Upgrades!$M$10+I280*Upgrades!$N$10)*POWER(Upgrades!$O$10,I280)))*(IF(Upgrades!$T$6="Orbital Resonance",POWER(Upgrades!$U$6,E280),1)*IF(Upgrades!$T$7="Orbital Resonance",POWER(Upgrades!$U$7,F280),1)*IF(Upgrades!$T$8="Orbital Resonance",POWER(Upgrades!$U$8,G280),1)*IF(Upgrades!$T$9="Orbital Resonance",POWER(Upgrades!$U$9,H280),1)*IF(Upgrades!$T$11="Orbital Resonance",POWER(Upgrades!$U$11,J280),1)*IF(Upgrades!$T$12="Orbital Resonance",POWER(Upgrades!$U$12,K280),1))+(IF(J280=0,0,(Upgrades!$M$11+J280*Upgrades!$N$11)*POWER(Upgrades!$O$11,J280)))*(IF(Upgrades!$T$6="Heliopause",POWER(Upgrades!$U$6,E280),1)*IF(Upgrades!$T$7="Heliopause",POWER(Upgrades!$U$7,F280),1)*IF(Upgrades!$T$8="Heliopause",POWER(Upgrades!$U$8,G280),1)*IF(Upgrades!$T$9="Heliopause",POWER(Upgrades!$U$9,H280),1)*IF(Upgrades!$T$10="Heliopause",POWER(Upgrades!$U$10,I280),1)*IF(Upgrades!$T$12="Heliopause",POWER(Upgrades!$U$12,K280),1))+(IF(K280=0,0,(Upgrades!$M$12+K280*Upgrades!$N$12)*POWER(Upgrades!$O$12,K280)))*(IF(Upgrades!$T$6="First Photons",POWER(Upgrades!$U$6,E280),1)*IF(Upgrades!$T$7="First Photons",POWER(Upgrades!$U$7,F280),1)*IF(Upgrades!$T$8="First Photons",POWER(Upgrades!$U$8,G280),1)*IF(Upgrades!$T$9="First Photons",POWER(Upgrades!$U$9,H280),1)*IF(Upgrades!$T$10="First Photons",POWER(Upgrades!$U$10,I280),1)*IF(Upgrades!$T$11="First Photons",POWER(Upgrades!$U$11,J280),1)))*POWER(Upgrades!$R$6,E280)*POWER(Upgrades!$R$7,F280)*POWER(Upgrades!$R$8,G280)*POWER(Upgrades!$R$9,H280)*POWER(Upgrades!$R$10,I280)*POWER(Upgrades!$R$11,J280)*POWER(Upgrades!$R$12,K280)</f>
        <v>0</v>
      </c>
      <c r="P280" s="27" t="n">
        <f aca="false">IF(L280=1,0,M280*Parameters!$B$10/60*Parameters!$B$11*10)</f>
        <v>0</v>
      </c>
      <c r="Q280" s="27" t="n">
        <f aca="false">IF(L280=1,0,O280*M280*10)</f>
        <v>0</v>
      </c>
      <c r="R280" s="27" t="n">
        <f aca="false">IF(L280=1,0,N280*10)</f>
        <v>0</v>
      </c>
      <c r="S280" s="27" t="n">
        <f aca="false">P280+Q280+R280</f>
        <v>0</v>
      </c>
      <c r="T280" s="21" t="n">
        <f aca="false">C280+S280</f>
        <v>18.6730249835055</v>
      </c>
      <c r="U280" s="34" t="str">
        <f aca="false">AX280</f>
        <v/>
      </c>
      <c r="V280" s="21" t="n">
        <f aca="false">IF(U280="",0,IF(U280="transition",0,IF(U280="SW",AG280,IF(U280="AB",AH280,IF(U280="SC",AI280,IF(U280="Mag",AJ280,IF(U280="OR",AK280,IF(U280="HP",AL280,IF(U280="FP",AM280,0)))))))))</f>
        <v>0</v>
      </c>
      <c r="W280" s="27" t="n">
        <f aca="false">IF(U280="OR",Upgrades!$F$10,IF(U280="HP",Upgrades!$F$11,IF(U280="transition",-Parameters!$B$18,0)))</f>
        <v>0</v>
      </c>
      <c r="X280" s="21" t="n">
        <f aca="false">T280-V280</f>
        <v>18.6730249835055</v>
      </c>
      <c r="Y280" s="30" t="n">
        <f aca="false">M280*Parameters!$B$10/60*Parameters!$B$11+O280*M280+N280</f>
        <v>20.55</v>
      </c>
      <c r="Z280" s="35" t="str">
        <f aca="false">IF(U280="transition","→ Tier 2 (Stellar Neighborhood)",IF(U280="FP","First Photons — light begins, system quickens",IF(U280="HP","Heliopause acquired",IF(U280="OR","Orbital Resonance — passive multiplier active",IF(AND(AO280=1,L280=0,AN280&lt;&gt;1),"Cohesion ready (waiting on completionist upgrades)","")))))</f>
        <v/>
      </c>
      <c r="AA280" s="27" t="n">
        <f aca="false">(IF(E280=0,0,(Upgrades!$G$6+E280*Upgrades!$H$6)*POWER(Upgrades!$I$6,E280)))*(IF(Upgrades!$T$7="Solar Wind",POWER(Upgrades!$U$7,F280),1)*IF(Upgrades!$T$8="Solar Wind",POWER(Upgrades!$U$8,G280),1)*IF(Upgrades!$T$9="Solar Wind",POWER(Upgrades!$U$9,H280),1)*IF(Upgrades!$T$10="Solar Wind",POWER(Upgrades!$U$10,I280),1)*IF(Upgrades!$T$11="Solar Wind",POWER(Upgrades!$U$11,J280),1)*IF(Upgrades!$T$12="Solar Wind",POWER(Upgrades!$U$12,K280),1))*POWER(Upgrades!$P$6,E280)*POWER(Upgrades!$P$7,F280)*POWER(Upgrades!$P$8,G280)*POWER(Upgrades!$P$9,H280)*POWER(Upgrades!$P$10,I280)*POWER(Upgrades!$P$11,J280)*POWER(Upgrades!$P$12,K280)*60</f>
        <v>72</v>
      </c>
      <c r="AB280" s="27" t="n">
        <f aca="false">(IF(F280=0,0,(Upgrades!$G$7+F280*Upgrades!$H$7)*POWER(Upgrades!$I$7,F280)))*(IF(Upgrades!$T$6="Asteroid Belt",POWER(Upgrades!$U$6,E280),1)*IF(Upgrades!$T$8="Asteroid Belt",POWER(Upgrades!$U$8,G280),1)*IF(Upgrades!$T$9="Asteroid Belt",POWER(Upgrades!$U$9,H280),1)*IF(Upgrades!$T$10="Asteroid Belt",POWER(Upgrades!$U$10,I280),1)*IF(Upgrades!$T$11="Asteroid Belt",POWER(Upgrades!$U$11,J280),1)*IF(Upgrades!$T$12="Asteroid Belt",POWER(Upgrades!$U$12,K280),1))*POWER(Upgrades!$P$6,E280)*POWER(Upgrades!$P$7,F280)*POWER(Upgrades!$P$8,G280)*POWER(Upgrades!$P$9,H280)*POWER(Upgrades!$P$10,I280)*POWER(Upgrades!$P$11,J280)*POWER(Upgrades!$P$12,K280)*60</f>
        <v>150</v>
      </c>
      <c r="AC280" s="27" t="n">
        <f aca="false">(IF(G280=0,0,(Upgrades!$J$8+G280*Upgrades!$K$8)*POWER(Upgrades!$L$8,G280)))*(IF(Upgrades!$T$6="Stellar Coupling",POWER(Upgrades!$U$6,E280),1)*IF(Upgrades!$T$7="Stellar Coupling",POWER(Upgrades!$U$7,F280),1)*IF(Upgrades!$T$9="Stellar Coupling",POWER(Upgrades!$U$9,H280),1)*IF(Upgrades!$T$10="Stellar Coupling",POWER(Upgrades!$U$10,I280),1)*IF(Upgrades!$T$11="Stellar Coupling",POWER(Upgrades!$U$11,J280),1)*IF(Upgrades!$T$12="Stellar Coupling",POWER(Upgrades!$U$12,K280),1))*POWER(Upgrades!$Q$6,E280)*POWER(Upgrades!$Q$7,F280)*POWER(Upgrades!$Q$8,G280)*POWER(Upgrades!$Q$9,H280)*POWER(Upgrades!$Q$10,I280)*POWER(Upgrades!$Q$11,J280)*POWER(Upgrades!$Q$12,K280)*Parameters!$B$10*Parameters!$B$11</f>
        <v>441</v>
      </c>
      <c r="AD280" s="27" t="n">
        <f aca="false">(IF(H280=0,0,(Upgrades!$G$9+H280*Upgrades!$H$9)*POWER(Upgrades!$I$9,H280)))*(IF(Upgrades!$T$6="Magnetosphere",POWER(Upgrades!$U$6,E280),1)*IF(Upgrades!$T$7="Magnetosphere",POWER(Upgrades!$U$7,F280),1)*IF(Upgrades!$T$8="Magnetosphere",POWER(Upgrades!$U$8,G280),1)*IF(Upgrades!$T$10="Magnetosphere",POWER(Upgrades!$U$10,I280),1)*IF(Upgrades!$T$11="Magnetosphere",POWER(Upgrades!$U$11,J280),1)*IF(Upgrades!$T$12="Magnetosphere",POWER(Upgrades!$U$12,K280),1))*POWER(Upgrades!$P$6,E280)*POWER(Upgrades!$P$7,F280)*POWER(Upgrades!$P$8,G280)*POWER(Upgrades!$P$9,H280)*POWER(Upgrades!$P$10,I280)*POWER(Upgrades!$P$11,J280)*POWER(Upgrades!$P$12,K280)*60</f>
        <v>375</v>
      </c>
      <c r="AE280" s="27" t="n">
        <f aca="false">(IF(K280=0,0,(Upgrades!$G$12+K280*Upgrades!$H$12)*POWER(Upgrades!$I$12,K280)))*(IF(Upgrades!$T$6="First Photons",POWER(Upgrades!$U$6,E280),1)*IF(Upgrades!$T$7="First Photons",POWER(Upgrades!$U$7,F280),1)*IF(Upgrades!$T$8="First Photons",POWER(Upgrades!$U$8,G280),1)*IF(Upgrades!$T$9="First Photons",POWER(Upgrades!$U$9,H280),1)*IF(Upgrades!$T$10="First Photons",POWER(Upgrades!$U$10,I280),1)*IF(Upgrades!$T$11="First Photons",POWER(Upgrades!$U$11,J280),1))*POWER(Upgrades!$P$6,E280)*POWER(Upgrades!$P$7,F280)*POWER(Upgrades!$P$8,G280)*POWER(Upgrades!$P$9,H280)*POWER(Upgrades!$P$10,I280)*POWER(Upgrades!$P$11,J280)*POWER(Upgrades!$P$12,K280)*60</f>
        <v>75</v>
      </c>
      <c r="AF280" s="27" t="n">
        <f aca="false">Parameters!$B$9*POWER(Upgrades!$Q$6,E280)*POWER(Upgrades!$Q$7,F280)*POWER(Upgrades!$Q$8,G280)*POWER(Upgrades!$Q$9,H280)*POWER(Upgrades!$Q$10,I280)*POWER(Upgrades!$Q$11,J280)*POWER(Upgrades!$Q$12,K280)*(Parameters!$B$10*Parameters!$B$11+O280*60)</f>
        <v>120</v>
      </c>
      <c r="AG280" s="21" t="n">
        <f aca="false">IF(E280&gt;=Upgrades!$E$6,"",Upgrades!$C$6*POWER(Upgrades!$D$6,E280))</f>
        <v>37.4517507383159</v>
      </c>
      <c r="AH280" s="21" t="n">
        <f aca="false">IF(F280&gt;=Upgrades!$E$7,"",Upgrades!$C$7*POWER(Upgrades!$D$7,F280))</f>
        <v>80.9111547141581</v>
      </c>
      <c r="AI280" s="21" t="n">
        <f aca="false">IF(G280&gt;=Upgrades!$E$8,"",Upgrades!$C$8*POWER(Upgrades!$D$8,G280))</f>
        <v>231.9097088</v>
      </c>
      <c r="AJ280" s="21" t="str">
        <f aca="false">IF(H280&gt;=Upgrades!$E$9,"",Upgrades!$C$9*POWER(Upgrades!$D$9,H280))</f>
        <v/>
      </c>
      <c r="AK280" s="21" t="str">
        <f aca="false">IF(I280&gt;=Upgrades!$E$10,"",Upgrades!$C$10*POWER(Upgrades!$D$10,I280))</f>
        <v/>
      </c>
      <c r="AL280" s="21" t="str">
        <f aca="false">IF(J280&gt;=Upgrades!$E$11,"",Upgrades!$C$11*POWER(Upgrades!$D$11,J280))</f>
        <v/>
      </c>
      <c r="AM280" s="21" t="str">
        <f aca="false">IF(K280&gt;=Upgrades!$E$12,"",Upgrades!$C$12*POWER(Upgrades!$D$12,K280))</f>
        <v/>
      </c>
      <c r="AN280" s="26" t="str">
        <f aca="false">IF(AND(D280&gt;=Parameters!$B$18,(H280&gt;=Upgrades!$E$9)*(K280&gt;=Upgrades!$E$12)=1,L280=0),1,"")</f>
        <v/>
      </c>
      <c r="AO280" s="26" t="str">
        <f aca="false">IF(AND(D280&gt;=Parameters!$B$18,L280=0),1,"")</f>
        <v/>
      </c>
      <c r="AP280" s="21" t="n">
        <f aca="false">MIN(IF(ISNUMBER(AK280),AK280,9000000000000000),IF(ISNUMBER(AL280),AL280,9000000000000000),IF(ISNUMBER(AM280),AM280,9000000000000000))</f>
        <v>9000000000000000</v>
      </c>
      <c r="AQ280" s="21" t="n">
        <f aca="false">MIN(IF(ISNUMBER(AG280),AG280,9000000000000000),IF(ISNUMBER(AH280),AH280,9000000000000000),IF(ISNUMBER(AI280),AI280,9000000000000000),IF(ISNUMBER(AJ280),AJ280,9000000000000000))</f>
        <v>37.4517507383159</v>
      </c>
      <c r="AR280" s="32" t="b">
        <f aca="false">IF(AW280&gt;Parameters!$B$21*(MAX(IF(AND(NOT(AND(AO280=1,AN280&lt;&gt;1)),ISNUMBER(AG280),AG280&lt;=T280),AS280,0),IF(AND(NOT(AND(AO280=1,AN280&lt;&gt;1)),ISNUMBER(AH280),AH280&lt;=T280),AT280,0),IF(AND(NOT(AND(AO280=1,AN280&lt;&gt;1)),ISNUMBER(AI280),AI280&lt;=T280),AU280,0),IF(AND(ISNUMBER(AJ280),AJ280&lt;=T280),AV280,0))),TRUE(),FALSE())</f>
        <v>1</v>
      </c>
      <c r="AS280" s="33" t="n">
        <f aca="false">IFERROR(Upgrades!$H$6*(POWER(Upgrades!$P$6,E280)*POWER(Upgrades!$P$7,F280)*POWER(Upgrades!$P$8,G280)*POWER(Upgrades!$P$9,H280)*POWER(Upgrades!$P$10,I280)*POWER(Upgrades!$P$11,J280)*POWER(Upgrades!$P$12,K280))*(IF(Upgrades!$T$7="Solar Wind",POWER(Upgrades!$U$7,F280),1)*IF(Upgrades!$T$8="Solar Wind",POWER(Upgrades!$U$8,G280),1)*IF(Upgrades!$T$9="Solar Wind",POWER(Upgrades!$U$9,H280),1)*IF(Upgrades!$T$10="Solar Wind",POWER(Upgrades!$U$10,I280),1)*IF(Upgrades!$T$11="Solar Wind",POWER(Upgrades!$U$11,J280),1)*IF(Upgrades!$T$12="Solar Wind",POWER(Upgrades!$U$12,K280),1))/AG280,0)</f>
        <v>0.0026701021455238</v>
      </c>
      <c r="AT280" s="33" t="n">
        <f aca="false">IFERROR(Upgrades!$H$7*(POWER(Upgrades!$P$6,E280)*POWER(Upgrades!$P$7,F280)*POWER(Upgrades!$P$8,G280)*POWER(Upgrades!$P$9,H280)*POWER(Upgrades!$P$10,I280)*POWER(Upgrades!$P$11,J280)*POWER(Upgrades!$P$12,K280))*(IF(Upgrades!$T$6="Asteroid Belt",POWER(Upgrades!$U$6,E280),1)*IF(Upgrades!$T$8="Asteroid Belt",POWER(Upgrades!$U$8,G280),1)*IF(Upgrades!$T$9="Asteroid Belt",POWER(Upgrades!$U$9,H280),1)*IF(Upgrades!$T$10="Asteroid Belt",POWER(Upgrades!$U$10,I280),1)*IF(Upgrades!$T$11="Asteroid Belt",POWER(Upgrades!$U$11,J280),1)*IF(Upgrades!$T$12="Asteroid Belt",POWER(Upgrades!$U$12,K280),1))/AH280,0)</f>
        <v>0.00308980882652332</v>
      </c>
      <c r="AU280" s="33" t="n">
        <f aca="false">IFERROR(Upgrades!$K$8*(POWER(Upgrades!$Q$6,E280)*POWER(Upgrades!$Q$7,F280)*POWER(Upgrades!$Q$8,G280)*POWER(Upgrades!$Q$9,H280)*POWER(Upgrades!$Q$10,I280)*POWER(Upgrades!$Q$11,J280)*POWER(Upgrades!$Q$12,K280))*(IF(Upgrades!$T$6="Stellar Coupling",POWER(Upgrades!$U$6,E280),1)*IF(Upgrades!$T$7="Stellar Coupling",POWER(Upgrades!$U$7,F280),1)*IF(Upgrades!$T$9="Stellar Coupling",POWER(Upgrades!$U$9,H280),1)*IF(Upgrades!$T$10="Stellar Coupling",POWER(Upgrades!$U$10,I280),1)*IF(Upgrades!$T$11="Stellar Coupling",POWER(Upgrades!$U$11,J280),1)*IF(Upgrades!$T$12="Stellar Coupling",POWER(Upgrades!$U$12,K280),1))*Parameters!$B$10*Parameters!$B$11/60/AI280,0)</f>
        <v>0.00452762415783776</v>
      </c>
      <c r="AV280" s="33" t="n">
        <f aca="false">IFERROR(Upgrades!$H$9*(POWER(Upgrades!$P$6,E280)*POWER(Upgrades!$P$7,F280)*POWER(Upgrades!$P$8,G280)*POWER(Upgrades!$P$9,H280)*POWER(Upgrades!$P$10,I280)*POWER(Upgrades!$P$11,J280)*POWER(Upgrades!$P$12,K280))*(IF(Upgrades!$T$6="Magnetosphere",POWER(Upgrades!$U$6,E280),1)*IF(Upgrades!$T$7="Magnetosphere",POWER(Upgrades!$U$7,F280),1)*IF(Upgrades!$T$8="Magnetosphere",POWER(Upgrades!$U$8,G280),1)*IF(Upgrades!$T$10="Magnetosphere",POWER(Upgrades!$U$10,I280),1)*IF(Upgrades!$T$11="Magnetosphere",POWER(Upgrades!$U$11,J280),1)*IF(Upgrades!$T$12="Magnetosphere",POWER(Upgrades!$U$12,K280),1))/AJ280,0)</f>
        <v>0</v>
      </c>
      <c r="AW280" s="33" t="n">
        <f aca="false">MAX(IF(I280&gt;0,0,IFERROR(0.25*N280/Upgrades!$C$10,0)),IF(J280&gt;0,0,IFERROR(0.5*((IF(G280=0,0,(Upgrades!$J$8+G280*Upgrades!$K$8)*POWER(Upgrades!$L$8,G280)))*(IF(Upgrades!$T$6="Stellar Coupling",POWER(Upgrades!$U$6,E280),1)*IF(Upgrades!$T$7="Stellar Coupling",POWER(Upgrades!$U$7,F280),1)*IF(Upgrades!$T$9="Stellar Coupling",POWER(Upgrades!$U$9,H280),1)*IF(Upgrades!$T$10="Stellar Coupling",POWER(Upgrades!$U$10,I280),1)*IF(Upgrades!$T$11="Stellar Coupling",POWER(Upgrades!$U$11,J280),1)*IF(Upgrades!$T$12="Stellar Coupling",POWER(Upgrades!$U$12,K280),1))*(POWER(Upgrades!$Q$6,E280)*POWER(Upgrades!$Q$7,F280)*POWER(Upgrades!$Q$8,G280)*POWER(Upgrades!$Q$9,H280)*POWER(Upgrades!$Q$10,I280)*POWER(Upgrades!$Q$11,J280)*POWER(Upgrades!$Q$12,K280))*Parameters!$B$10*Parameters!$B$11/60)/Upgrades!$C$11,0)),IF(K280&gt;0,0,IFERROR((1*(POWER(Upgrades!$P$6,E280)*POWER(Upgrades!$P$7,F280)*POWER(Upgrades!$P$8,G280)*POWER(Upgrades!$P$9,H280)*POWER(Upgrades!$P$10,I280)*POWER(Upgrades!$P$11,J280)*POWER(Upgrades!$P$12,K280))+0.2*M280*Parameters!$B$10*Parameters!$B$11/60)/Upgrades!$C$12,0)),IF(AND(ISNUMBER(AG280),AG280&gt;T280),AS280,0),IF(AND(ISNUMBER(AH280),AH280&gt;T280),AT280,0),IF(AND(ISNUMBER(AI280),AI280&gt;T280),AU280,0),IF(AND(ISNUMBER(AJ280),AJ280&gt;T280),AV280,0))</f>
        <v>0.00452762415783776</v>
      </c>
      <c r="AX280" s="29" t="str">
        <f aca="false">IF(AN280=1,"transition",IF(MIN(IF(AND(I280=0,ISNUMBER(AK280),AK280&lt;=T280),AK280,9000000000000000),IF(AND(J280=0,ISNUMBER(AL280),AL280&lt;=T280),AL280,9000000000000000),IF(AND(K280=0,ISNUMBER(AM280),AM280&lt;=T280),AM280,9000000000000000))&lt;9000000000000000,IF(AND(AND(I280=0,ISNUMBER(AK280),AK280&lt;=T280),AK280=MIN(IF(AND(I280=0,ISNUMBER(AK280),AK280&lt;=T280),AK280,9000000000000000),IF(AND(J280=0,ISNUMBER(AL280),AL280&lt;=T280),AL280,9000000000000000),IF(AND(K280=0,ISNUMBER(AM280),AM280&lt;=T280),AM280,9000000000000000))),"OR",IF(AND(AND(J280=0,ISNUMBER(AL280),AL280&lt;=T280),AL280=MIN(IF(AND(I280=0,ISNUMBER(AK280),AK280&lt;=T280),AK280,9000000000000000),IF(AND(J280=0,ISNUMBER(AL280),AL280&lt;=T280),AL280,9000000000000000),IF(AND(K280=0,ISNUMBER(AM280),AM280&lt;=T280),AM280,9000000000000000))),"HP","FP")),IF(AR280=TRUE(),"",IF(MAX(IF(AND(NOT(AND(AO280=1,AN280&lt;&gt;1)),ISNUMBER(AG280),AG280&lt;=T280),AS280,0),IF(AND(NOT(AND(AO280=1,AN280&lt;&gt;1)),ISNUMBER(AH280),AH280&lt;=T280),AT280,0),IF(AND(NOT(AND(AO280=1,AN280&lt;&gt;1)),ISNUMBER(AI280),AI280&lt;=T280),AU280,0),IF(AND(ISNUMBER(AJ280),AJ280&lt;=T280),AV280,0))&lt;=0,"",IF(AND(IF(AND(NOT(AND(AO280=1,AN280&lt;&gt;1)),ISNUMBER(AG280),AG280&lt;=T280),AS280,0)&gt;0,IF(AND(NOT(AND(AO280=1,AN280&lt;&gt;1)),ISNUMBER(AG280),AG280&lt;=T280),AS280,0)=MAX(IF(AND(NOT(AND(AO280=1,AN280&lt;&gt;1)),ISNUMBER(AG280),AG280&lt;=T280),AS280,0),IF(AND(NOT(AND(AO280=1,AN280&lt;&gt;1)),ISNUMBER(AH280),AH280&lt;=T280),AT280,0),IF(AND(NOT(AND(AO280=1,AN280&lt;&gt;1)),ISNUMBER(AI280),AI280&lt;=T280),AU280,0),IF(AND(ISNUMBER(AJ280),AJ280&lt;=T280),AV280,0))),"SW",IF(AND(IF(AND(NOT(AND(AO280=1,AN280&lt;&gt;1)),ISNUMBER(AH280),AH280&lt;=T280),AT280,0)&gt;0,IF(AND(NOT(AND(AO280=1,AN280&lt;&gt;1)),ISNUMBER(AH280),AH280&lt;=T280),AT280,0)=MAX(IF(AND(NOT(AND(AO280=1,AN280&lt;&gt;1)),ISNUMBER(AG280),AG280&lt;=T280),AS280,0),IF(AND(NOT(AND(AO280=1,AN280&lt;&gt;1)),ISNUMBER(AH280),AH280&lt;=T280),AT280,0),IF(AND(NOT(AND(AO280=1,AN280&lt;&gt;1)),ISNUMBER(AI280),AI280&lt;=T280),AU280,0),IF(AND(ISNUMBER(AJ280),AJ280&lt;=T280),AV280,0))),"AB",IF(AND(IF(AND(NOT(AND(AO280=1,AN280&lt;&gt;1)),ISNUMBER(AI280),AI280&lt;=T280),AU280,0)&gt;0,IF(AND(NOT(AND(AO280=1,AN280&lt;&gt;1)),ISNUMBER(AI280),AI280&lt;=T280),AU280,0)=MAX(IF(AND(NOT(AND(AO280=1,AN280&lt;&gt;1)),ISNUMBER(AG280),AG280&lt;=T280),AS280,0),IF(AND(NOT(AND(AO280=1,AN280&lt;&gt;1)),ISNUMBER(AH280),AH280&lt;=T280),AT280,0),IF(AND(NOT(AND(AO280=1,AN280&lt;&gt;1)),ISNUMBER(AI280),AI280&lt;=T280),AU280,0),IF(AND(ISNUMBER(AJ280),AJ280&lt;=T280),AV280,0))),"SC","Mag")))))))</f>
        <v/>
      </c>
    </row>
    <row r="281" customFormat="false" ht="15" hidden="false" customHeight="false" outlineLevel="0" collapsed="false">
      <c r="A281" s="26" t="n">
        <v>276</v>
      </c>
      <c r="B281" s="27" t="n">
        <f aca="false">A281*10/60</f>
        <v>46</v>
      </c>
      <c r="C281" s="21" t="n">
        <f aca="false">X280</f>
        <v>18.6730249835055</v>
      </c>
      <c r="D281" s="27" t="n">
        <f aca="false">D280+W280</f>
        <v>0</v>
      </c>
      <c r="E281" s="26" t="n">
        <f aca="false">E280+IF(U280="SW",1,0)</f>
        <v>12</v>
      </c>
      <c r="F281" s="26" t="n">
        <f aca="false">F280+IF(U280="AB",1,0)</f>
        <v>10</v>
      </c>
      <c r="G281" s="26" t="n">
        <f aca="false">G280+IF(U280="SC",1,0)</f>
        <v>7</v>
      </c>
      <c r="H281" s="26" t="n">
        <f aca="false">H280+IF(U280="Mag",1,0)</f>
        <v>5</v>
      </c>
      <c r="I281" s="26" t="n">
        <f aca="false">MAX(I280,IF(U280="OR",1,0))</f>
        <v>1</v>
      </c>
      <c r="J281" s="26" t="n">
        <f aca="false">MAX(J280,IF(U280="HP",1,0))</f>
        <v>1</v>
      </c>
      <c r="K281" s="26" t="n">
        <f aca="false">MAX(K280,IF(U280="FP",1,0))</f>
        <v>1</v>
      </c>
      <c r="L281" s="26" t="n">
        <f aca="false">MAX(L280,IF(U280="transition",1,0))</f>
        <v>1</v>
      </c>
      <c r="M281" s="28" t="n">
        <f aca="false">(Parameters!$B$9+(IF(E281=0,0,(Upgrades!$J$6+E281*Upgrades!$K$6)*POWER(Upgrades!$L$6,E281)))*(IF(Upgrades!$T$7="Solar Wind",POWER(Upgrades!$U$7,F281),1)*IF(Upgrades!$T$8="Solar Wind",POWER(Upgrades!$U$8,G281),1)*IF(Upgrades!$T$9="Solar Wind",POWER(Upgrades!$U$9,H281),1)*IF(Upgrades!$T$10="Solar Wind",POWER(Upgrades!$U$10,I281),1)*IF(Upgrades!$T$11="Solar Wind",POWER(Upgrades!$U$11,J281),1)*IF(Upgrades!$T$12="Solar Wind",POWER(Upgrades!$U$12,K281),1))+(IF(F281=0,0,(Upgrades!$J$7+F281*Upgrades!$K$7)*POWER(Upgrades!$L$7,F281)))*(IF(Upgrades!$T$6="Asteroid Belt",POWER(Upgrades!$U$6,E281),1)*IF(Upgrades!$T$8="Asteroid Belt",POWER(Upgrades!$U$8,G281),1)*IF(Upgrades!$T$9="Asteroid Belt",POWER(Upgrades!$U$9,H281),1)*IF(Upgrades!$T$10="Asteroid Belt",POWER(Upgrades!$U$10,I281),1)*IF(Upgrades!$T$11="Asteroid Belt",POWER(Upgrades!$U$11,J281),1)*IF(Upgrades!$T$12="Asteroid Belt",POWER(Upgrades!$U$12,K281),1))+(IF(G281=0,0,(Upgrades!$J$8+G281*Upgrades!$K$8)*POWER(Upgrades!$L$8,G281)))*(IF(Upgrades!$T$6="Stellar Coupling",POWER(Upgrades!$U$6,E281),1)*IF(Upgrades!$T$7="Stellar Coupling",POWER(Upgrades!$U$7,F281),1)*IF(Upgrades!$T$9="Stellar Coupling",POWER(Upgrades!$U$9,H281),1)*IF(Upgrades!$T$10="Stellar Coupling",POWER(Upgrades!$U$10,I281),1)*IF(Upgrades!$T$11="Stellar Coupling",POWER(Upgrades!$U$11,J281),1)*IF(Upgrades!$T$12="Stellar Coupling",POWER(Upgrades!$U$12,K281),1))+(IF(H281=0,0,(Upgrades!$J$9+H281*Upgrades!$K$9)*POWER(Upgrades!$L$9,H281)))*(IF(Upgrades!$T$6="Magnetosphere",POWER(Upgrades!$U$6,E281),1)*IF(Upgrades!$T$7="Magnetosphere",POWER(Upgrades!$U$7,F281),1)*IF(Upgrades!$T$8="Magnetosphere",POWER(Upgrades!$U$8,G281),1)*IF(Upgrades!$T$10="Magnetosphere",POWER(Upgrades!$U$10,I281),1)*IF(Upgrades!$T$11="Magnetosphere",POWER(Upgrades!$U$11,J281),1)*IF(Upgrades!$T$12="Magnetosphere",POWER(Upgrades!$U$12,K281),1))+(IF(I281=0,0,(Upgrades!$J$10+I281*Upgrades!$K$10)*POWER(Upgrades!$L$10,I281)))*(IF(Upgrades!$T$6="Orbital Resonance",POWER(Upgrades!$U$6,E281),1)*IF(Upgrades!$T$7="Orbital Resonance",POWER(Upgrades!$U$7,F281),1)*IF(Upgrades!$T$8="Orbital Resonance",POWER(Upgrades!$U$8,G281),1)*IF(Upgrades!$T$9="Orbital Resonance",POWER(Upgrades!$U$9,H281),1)*IF(Upgrades!$T$11="Orbital Resonance",POWER(Upgrades!$U$11,J281),1)*IF(Upgrades!$T$12="Orbital Resonance",POWER(Upgrades!$U$12,K281),1))+(IF(J281=0,0,(Upgrades!$J$11+J281*Upgrades!$K$11)*POWER(Upgrades!$L$11,J281)))*(IF(Upgrades!$T$6="Heliopause",POWER(Upgrades!$U$6,E281),1)*IF(Upgrades!$T$7="Heliopause",POWER(Upgrades!$U$7,F281),1)*IF(Upgrades!$T$8="Heliopause",POWER(Upgrades!$U$8,G281),1)*IF(Upgrades!$T$9="Heliopause",POWER(Upgrades!$U$9,H281),1)*IF(Upgrades!$T$10="Heliopause",POWER(Upgrades!$U$10,I281),1)*IF(Upgrades!$T$12="Heliopause",POWER(Upgrades!$U$12,K281),1))+(IF(K281=0,0,(Upgrades!$J$12+K281*Upgrades!$K$12)*POWER(Upgrades!$L$12,K281)))*(IF(Upgrades!$T$6="First Photons",POWER(Upgrades!$U$6,E281),1)*IF(Upgrades!$T$7="First Photons",POWER(Upgrades!$U$7,F281),1)*IF(Upgrades!$T$8="First Photons",POWER(Upgrades!$U$8,G281),1)*IF(Upgrades!$T$9="First Photons",POWER(Upgrades!$U$9,H281),1)*IF(Upgrades!$T$10="First Photons",POWER(Upgrades!$U$10,I281),1)*IF(Upgrades!$T$11="First Photons",POWER(Upgrades!$U$11,J281),1)))*POWER(Upgrades!$Q$6,E281)*POWER(Upgrades!$Q$7,F281)*POWER(Upgrades!$Q$8,G281)*POWER(Upgrades!$Q$9,H281)*POWER(Upgrades!$Q$10,I281)*POWER(Upgrades!$Q$11,J281)*POWER(Upgrades!$Q$12,K281)</f>
        <v>5.61</v>
      </c>
      <c r="N281" s="28" t="n">
        <f aca="false">((IF(E281=0,0,(Upgrades!$G$6+E281*Upgrades!$H$6)*POWER(Upgrades!$I$6,E281)))*(IF(Upgrades!$T$7="Solar Wind",POWER(Upgrades!$U$7,F281),1)*IF(Upgrades!$T$8="Solar Wind",POWER(Upgrades!$U$8,G281),1)*IF(Upgrades!$T$9="Solar Wind",POWER(Upgrades!$U$9,H281),1)*IF(Upgrades!$T$10="Solar Wind",POWER(Upgrades!$U$10,I281),1)*IF(Upgrades!$T$11="Solar Wind",POWER(Upgrades!$U$11,J281),1)*IF(Upgrades!$T$12="Solar Wind",POWER(Upgrades!$U$12,K281),1))+(IF(F281=0,0,(Upgrades!$G$7+F281*Upgrades!$H$7)*POWER(Upgrades!$I$7,F281)))*(IF(Upgrades!$T$6="Asteroid Belt",POWER(Upgrades!$U$6,E281),1)*IF(Upgrades!$T$8="Asteroid Belt",POWER(Upgrades!$U$8,G281),1)*IF(Upgrades!$T$9="Asteroid Belt",POWER(Upgrades!$U$9,H281),1)*IF(Upgrades!$T$10="Asteroid Belt",POWER(Upgrades!$U$10,I281),1)*IF(Upgrades!$T$11="Asteroid Belt",POWER(Upgrades!$U$11,J281),1)*IF(Upgrades!$T$12="Asteroid Belt",POWER(Upgrades!$U$12,K281),1))+(IF(G281=0,0,(Upgrades!$G$8+G281*Upgrades!$H$8)*POWER(Upgrades!$I$8,G281)))*(IF(Upgrades!$T$6="Stellar Coupling",POWER(Upgrades!$U$6,E281),1)*IF(Upgrades!$T$7="Stellar Coupling",POWER(Upgrades!$U$7,F281),1)*IF(Upgrades!$T$9="Stellar Coupling",POWER(Upgrades!$U$9,H281),1)*IF(Upgrades!$T$10="Stellar Coupling",POWER(Upgrades!$U$10,I281),1)*IF(Upgrades!$T$11="Stellar Coupling",POWER(Upgrades!$U$11,J281),1)*IF(Upgrades!$T$12="Stellar Coupling",POWER(Upgrades!$U$12,K281),1))+(IF(H281=0,0,(Upgrades!$G$9+H281*Upgrades!$H$9)*POWER(Upgrades!$I$9,H281)))*(IF(Upgrades!$T$6="Magnetosphere",POWER(Upgrades!$U$6,E281),1)*IF(Upgrades!$T$7="Magnetosphere",POWER(Upgrades!$U$7,F281),1)*IF(Upgrades!$T$8="Magnetosphere",POWER(Upgrades!$U$8,G281),1)*IF(Upgrades!$T$10="Magnetosphere",POWER(Upgrades!$U$10,I281),1)*IF(Upgrades!$T$11="Magnetosphere",POWER(Upgrades!$U$11,J281),1)*IF(Upgrades!$T$12="Magnetosphere",POWER(Upgrades!$U$12,K281),1))+(IF(I281=0,0,(Upgrades!$G$10+I281*Upgrades!$H$10)*POWER(Upgrades!$I$10,I281)))*(IF(Upgrades!$T$6="Orbital Resonance",POWER(Upgrades!$U$6,E281),1)*IF(Upgrades!$T$7="Orbital Resonance",POWER(Upgrades!$U$7,F281),1)*IF(Upgrades!$T$8="Orbital Resonance",POWER(Upgrades!$U$8,G281),1)*IF(Upgrades!$T$9="Orbital Resonance",POWER(Upgrades!$U$9,H281),1)*IF(Upgrades!$T$11="Orbital Resonance",POWER(Upgrades!$U$11,J281),1)*IF(Upgrades!$T$12="Orbital Resonance",POWER(Upgrades!$U$12,K281),1))+(IF(J281=0,0,(Upgrades!$G$11+J281*Upgrades!$H$11)*POWER(Upgrades!$I$11,J281)))*(IF(Upgrades!$T$6="Heliopause",POWER(Upgrades!$U$6,E281),1)*IF(Upgrades!$T$7="Heliopause",POWER(Upgrades!$U$7,F281),1)*IF(Upgrades!$T$8="Heliopause",POWER(Upgrades!$U$8,G281),1)*IF(Upgrades!$T$9="Heliopause",POWER(Upgrades!$U$9,H281),1)*IF(Upgrades!$T$10="Heliopause",POWER(Upgrades!$U$10,I281),1)*IF(Upgrades!$T$12="Heliopause",POWER(Upgrades!$U$12,K281),1))+(IF(K281=0,0,(Upgrades!$G$12+K281*Upgrades!$H$12)*POWER(Upgrades!$I$12,K281)))*(IF(Upgrades!$T$6="First Photons",POWER(Upgrades!$U$6,E281),1)*IF(Upgrades!$T$7="First Photons",POWER(Upgrades!$U$7,F281),1)*IF(Upgrades!$T$8="First Photons",POWER(Upgrades!$U$8,G281),1)*IF(Upgrades!$T$9="First Photons",POWER(Upgrades!$U$9,H281),1)*IF(Upgrades!$T$10="First Photons",POWER(Upgrades!$U$10,I281),1)*IF(Upgrades!$T$11="First Photons",POWER(Upgrades!$U$11,J281),1)))*POWER(Upgrades!$P$6,E281)*POWER(Upgrades!$P$7,F281)*POWER(Upgrades!$P$8,G281)*POWER(Upgrades!$P$9,H281)*POWER(Upgrades!$P$10,I281)*POWER(Upgrades!$P$11,J281)*POWER(Upgrades!$P$12,K281)</f>
        <v>11.2</v>
      </c>
      <c r="O281" s="28" t="n">
        <f aca="false">((IF(E281=0,0,(Upgrades!$M$6+E281*Upgrades!$N$6)*POWER(Upgrades!$O$6,E281)))*(IF(Upgrades!$T$7="Solar Wind",POWER(Upgrades!$U$7,F281),1)*IF(Upgrades!$T$8="Solar Wind",POWER(Upgrades!$U$8,G281),1)*IF(Upgrades!$T$9="Solar Wind",POWER(Upgrades!$U$9,H281),1)*IF(Upgrades!$T$10="Solar Wind",POWER(Upgrades!$U$10,I281),1)*IF(Upgrades!$T$11="Solar Wind",POWER(Upgrades!$U$11,J281),1)*IF(Upgrades!$T$12="Solar Wind",POWER(Upgrades!$U$12,K281),1))+(IF(F281=0,0,(Upgrades!$M$7+F281*Upgrades!$N$7)*POWER(Upgrades!$O$7,F281)))*(IF(Upgrades!$T$6="Asteroid Belt",POWER(Upgrades!$U$6,E281),1)*IF(Upgrades!$T$8="Asteroid Belt",POWER(Upgrades!$U$8,G281),1)*IF(Upgrades!$T$9="Asteroid Belt",POWER(Upgrades!$U$9,H281),1)*IF(Upgrades!$T$10="Asteroid Belt",POWER(Upgrades!$U$10,I281),1)*IF(Upgrades!$T$11="Asteroid Belt",POWER(Upgrades!$U$11,J281),1)*IF(Upgrades!$T$12="Asteroid Belt",POWER(Upgrades!$U$12,K281),1))+(IF(G281=0,0,(Upgrades!$M$8+G281*Upgrades!$N$8)*POWER(Upgrades!$O$8,G281)))*(IF(Upgrades!$T$6="Stellar Coupling",POWER(Upgrades!$U$6,E281),1)*IF(Upgrades!$T$7="Stellar Coupling",POWER(Upgrades!$U$7,F281),1)*IF(Upgrades!$T$9="Stellar Coupling",POWER(Upgrades!$U$9,H281),1)*IF(Upgrades!$T$10="Stellar Coupling",POWER(Upgrades!$U$10,I281),1)*IF(Upgrades!$T$11="Stellar Coupling",POWER(Upgrades!$U$11,J281),1)*IF(Upgrades!$T$12="Stellar Coupling",POWER(Upgrades!$U$12,K281),1))+(IF(H281=0,0,(Upgrades!$M$9+H281*Upgrades!$N$9)*POWER(Upgrades!$O$9,H281)))*(IF(Upgrades!$T$6="Magnetosphere",POWER(Upgrades!$U$6,E281),1)*IF(Upgrades!$T$7="Magnetosphere",POWER(Upgrades!$U$7,F281),1)*IF(Upgrades!$T$8="Magnetosphere",POWER(Upgrades!$U$8,G281),1)*IF(Upgrades!$T$10="Magnetosphere",POWER(Upgrades!$U$10,I281),1)*IF(Upgrades!$T$11="Magnetosphere",POWER(Upgrades!$U$11,J281),1)*IF(Upgrades!$T$12="Magnetosphere",POWER(Upgrades!$U$12,K281),1))+(IF(I281=0,0,(Upgrades!$M$10+I281*Upgrades!$N$10)*POWER(Upgrades!$O$10,I281)))*(IF(Upgrades!$T$6="Orbital Resonance",POWER(Upgrades!$U$6,E281),1)*IF(Upgrades!$T$7="Orbital Resonance",POWER(Upgrades!$U$7,F281),1)*IF(Upgrades!$T$8="Orbital Resonance",POWER(Upgrades!$U$8,G281),1)*IF(Upgrades!$T$9="Orbital Resonance",POWER(Upgrades!$U$9,H281),1)*IF(Upgrades!$T$11="Orbital Resonance",POWER(Upgrades!$U$11,J281),1)*IF(Upgrades!$T$12="Orbital Resonance",POWER(Upgrades!$U$12,K281),1))+(IF(J281=0,0,(Upgrades!$M$11+J281*Upgrades!$N$11)*POWER(Upgrades!$O$11,J281)))*(IF(Upgrades!$T$6="Heliopause",POWER(Upgrades!$U$6,E281),1)*IF(Upgrades!$T$7="Heliopause",POWER(Upgrades!$U$7,F281),1)*IF(Upgrades!$T$8="Heliopause",POWER(Upgrades!$U$8,G281),1)*IF(Upgrades!$T$9="Heliopause",POWER(Upgrades!$U$9,H281),1)*IF(Upgrades!$T$10="Heliopause",POWER(Upgrades!$U$10,I281),1)*IF(Upgrades!$T$12="Heliopause",POWER(Upgrades!$U$12,K281),1))+(IF(K281=0,0,(Upgrades!$M$12+K281*Upgrades!$N$12)*POWER(Upgrades!$O$12,K281)))*(IF(Upgrades!$T$6="First Photons",POWER(Upgrades!$U$6,E281),1)*IF(Upgrades!$T$7="First Photons",POWER(Upgrades!$U$7,F281),1)*IF(Upgrades!$T$8="First Photons",POWER(Upgrades!$U$8,G281),1)*IF(Upgrades!$T$9="First Photons",POWER(Upgrades!$U$9,H281),1)*IF(Upgrades!$T$10="First Photons",POWER(Upgrades!$U$10,I281),1)*IF(Upgrades!$T$11="First Photons",POWER(Upgrades!$U$11,J281),1)))*POWER(Upgrades!$R$6,E281)*POWER(Upgrades!$R$7,F281)*POWER(Upgrades!$R$8,G281)*POWER(Upgrades!$R$9,H281)*POWER(Upgrades!$R$10,I281)*POWER(Upgrades!$R$11,J281)*POWER(Upgrades!$R$12,K281)</f>
        <v>0</v>
      </c>
      <c r="P281" s="27" t="n">
        <f aca="false">IF(L281=1,0,M281*Parameters!$B$10/60*Parameters!$B$11*10)</f>
        <v>0</v>
      </c>
      <c r="Q281" s="27" t="n">
        <f aca="false">IF(L281=1,0,O281*M281*10)</f>
        <v>0</v>
      </c>
      <c r="R281" s="27" t="n">
        <f aca="false">IF(L281=1,0,N281*10)</f>
        <v>0</v>
      </c>
      <c r="S281" s="27" t="n">
        <f aca="false">P281+Q281+R281</f>
        <v>0</v>
      </c>
      <c r="T281" s="21" t="n">
        <f aca="false">C281+S281</f>
        <v>18.6730249835055</v>
      </c>
      <c r="U281" s="34" t="str">
        <f aca="false">AX281</f>
        <v/>
      </c>
      <c r="V281" s="21" t="n">
        <f aca="false">IF(U281="",0,IF(U281="transition",0,IF(U281="SW",AG281,IF(U281="AB",AH281,IF(U281="SC",AI281,IF(U281="Mag",AJ281,IF(U281="OR",AK281,IF(U281="HP",AL281,IF(U281="FP",AM281,0)))))))))</f>
        <v>0</v>
      </c>
      <c r="W281" s="27" t="n">
        <f aca="false">IF(U281="OR",Upgrades!$F$10,IF(U281="HP",Upgrades!$F$11,IF(U281="transition",-Parameters!$B$18,0)))</f>
        <v>0</v>
      </c>
      <c r="X281" s="21" t="n">
        <f aca="false">T281-V281</f>
        <v>18.6730249835055</v>
      </c>
      <c r="Y281" s="30" t="n">
        <f aca="false">M281*Parameters!$B$10/60*Parameters!$B$11+O281*M281+N281</f>
        <v>20.55</v>
      </c>
      <c r="Z281" s="35" t="str">
        <f aca="false">IF(U281="transition","→ Tier 2 (Stellar Neighborhood)",IF(U281="FP","First Photons — light begins, system quickens",IF(U281="HP","Heliopause acquired",IF(U281="OR","Orbital Resonance — passive multiplier active",IF(AND(AO281=1,L281=0,AN281&lt;&gt;1),"Cohesion ready (waiting on completionist upgrades)","")))))</f>
        <v/>
      </c>
      <c r="AA281" s="27" t="n">
        <f aca="false">(IF(E281=0,0,(Upgrades!$G$6+E281*Upgrades!$H$6)*POWER(Upgrades!$I$6,E281)))*(IF(Upgrades!$T$7="Solar Wind",POWER(Upgrades!$U$7,F281),1)*IF(Upgrades!$T$8="Solar Wind",POWER(Upgrades!$U$8,G281),1)*IF(Upgrades!$T$9="Solar Wind",POWER(Upgrades!$U$9,H281),1)*IF(Upgrades!$T$10="Solar Wind",POWER(Upgrades!$U$10,I281),1)*IF(Upgrades!$T$11="Solar Wind",POWER(Upgrades!$U$11,J281),1)*IF(Upgrades!$T$12="Solar Wind",POWER(Upgrades!$U$12,K281),1))*POWER(Upgrades!$P$6,E281)*POWER(Upgrades!$P$7,F281)*POWER(Upgrades!$P$8,G281)*POWER(Upgrades!$P$9,H281)*POWER(Upgrades!$P$10,I281)*POWER(Upgrades!$P$11,J281)*POWER(Upgrades!$P$12,K281)*60</f>
        <v>72</v>
      </c>
      <c r="AB281" s="27" t="n">
        <f aca="false">(IF(F281=0,0,(Upgrades!$G$7+F281*Upgrades!$H$7)*POWER(Upgrades!$I$7,F281)))*(IF(Upgrades!$T$6="Asteroid Belt",POWER(Upgrades!$U$6,E281),1)*IF(Upgrades!$T$8="Asteroid Belt",POWER(Upgrades!$U$8,G281),1)*IF(Upgrades!$T$9="Asteroid Belt",POWER(Upgrades!$U$9,H281),1)*IF(Upgrades!$T$10="Asteroid Belt",POWER(Upgrades!$U$10,I281),1)*IF(Upgrades!$T$11="Asteroid Belt",POWER(Upgrades!$U$11,J281),1)*IF(Upgrades!$T$12="Asteroid Belt",POWER(Upgrades!$U$12,K281),1))*POWER(Upgrades!$P$6,E281)*POWER(Upgrades!$P$7,F281)*POWER(Upgrades!$P$8,G281)*POWER(Upgrades!$P$9,H281)*POWER(Upgrades!$P$10,I281)*POWER(Upgrades!$P$11,J281)*POWER(Upgrades!$P$12,K281)*60</f>
        <v>150</v>
      </c>
      <c r="AC281" s="27" t="n">
        <f aca="false">(IF(G281=0,0,(Upgrades!$J$8+G281*Upgrades!$K$8)*POWER(Upgrades!$L$8,G281)))*(IF(Upgrades!$T$6="Stellar Coupling",POWER(Upgrades!$U$6,E281),1)*IF(Upgrades!$T$7="Stellar Coupling",POWER(Upgrades!$U$7,F281),1)*IF(Upgrades!$T$9="Stellar Coupling",POWER(Upgrades!$U$9,H281),1)*IF(Upgrades!$T$10="Stellar Coupling",POWER(Upgrades!$U$10,I281),1)*IF(Upgrades!$T$11="Stellar Coupling",POWER(Upgrades!$U$11,J281),1)*IF(Upgrades!$T$12="Stellar Coupling",POWER(Upgrades!$U$12,K281),1))*POWER(Upgrades!$Q$6,E281)*POWER(Upgrades!$Q$7,F281)*POWER(Upgrades!$Q$8,G281)*POWER(Upgrades!$Q$9,H281)*POWER(Upgrades!$Q$10,I281)*POWER(Upgrades!$Q$11,J281)*POWER(Upgrades!$Q$12,K281)*Parameters!$B$10*Parameters!$B$11</f>
        <v>441</v>
      </c>
      <c r="AD281" s="27" t="n">
        <f aca="false">(IF(H281=0,0,(Upgrades!$G$9+H281*Upgrades!$H$9)*POWER(Upgrades!$I$9,H281)))*(IF(Upgrades!$T$6="Magnetosphere",POWER(Upgrades!$U$6,E281),1)*IF(Upgrades!$T$7="Magnetosphere",POWER(Upgrades!$U$7,F281),1)*IF(Upgrades!$T$8="Magnetosphere",POWER(Upgrades!$U$8,G281),1)*IF(Upgrades!$T$10="Magnetosphere",POWER(Upgrades!$U$10,I281),1)*IF(Upgrades!$T$11="Magnetosphere",POWER(Upgrades!$U$11,J281),1)*IF(Upgrades!$T$12="Magnetosphere",POWER(Upgrades!$U$12,K281),1))*POWER(Upgrades!$P$6,E281)*POWER(Upgrades!$P$7,F281)*POWER(Upgrades!$P$8,G281)*POWER(Upgrades!$P$9,H281)*POWER(Upgrades!$P$10,I281)*POWER(Upgrades!$P$11,J281)*POWER(Upgrades!$P$12,K281)*60</f>
        <v>375</v>
      </c>
      <c r="AE281" s="27" t="n">
        <f aca="false">(IF(K281=0,0,(Upgrades!$G$12+K281*Upgrades!$H$12)*POWER(Upgrades!$I$12,K281)))*(IF(Upgrades!$T$6="First Photons",POWER(Upgrades!$U$6,E281),1)*IF(Upgrades!$T$7="First Photons",POWER(Upgrades!$U$7,F281),1)*IF(Upgrades!$T$8="First Photons",POWER(Upgrades!$U$8,G281),1)*IF(Upgrades!$T$9="First Photons",POWER(Upgrades!$U$9,H281),1)*IF(Upgrades!$T$10="First Photons",POWER(Upgrades!$U$10,I281),1)*IF(Upgrades!$T$11="First Photons",POWER(Upgrades!$U$11,J281),1))*POWER(Upgrades!$P$6,E281)*POWER(Upgrades!$P$7,F281)*POWER(Upgrades!$P$8,G281)*POWER(Upgrades!$P$9,H281)*POWER(Upgrades!$P$10,I281)*POWER(Upgrades!$P$11,J281)*POWER(Upgrades!$P$12,K281)*60</f>
        <v>75</v>
      </c>
      <c r="AF281" s="27" t="n">
        <f aca="false">Parameters!$B$9*POWER(Upgrades!$Q$6,E281)*POWER(Upgrades!$Q$7,F281)*POWER(Upgrades!$Q$8,G281)*POWER(Upgrades!$Q$9,H281)*POWER(Upgrades!$Q$10,I281)*POWER(Upgrades!$Q$11,J281)*POWER(Upgrades!$Q$12,K281)*(Parameters!$B$10*Parameters!$B$11+O281*60)</f>
        <v>120</v>
      </c>
      <c r="AG281" s="21" t="n">
        <f aca="false">IF(E281&gt;=Upgrades!$E$6,"",Upgrades!$C$6*POWER(Upgrades!$D$6,E281))</f>
        <v>37.4517507383159</v>
      </c>
      <c r="AH281" s="21" t="n">
        <f aca="false">IF(F281&gt;=Upgrades!$E$7,"",Upgrades!$C$7*POWER(Upgrades!$D$7,F281))</f>
        <v>80.9111547141581</v>
      </c>
      <c r="AI281" s="21" t="n">
        <f aca="false">IF(G281&gt;=Upgrades!$E$8,"",Upgrades!$C$8*POWER(Upgrades!$D$8,G281))</f>
        <v>231.9097088</v>
      </c>
      <c r="AJ281" s="21" t="str">
        <f aca="false">IF(H281&gt;=Upgrades!$E$9,"",Upgrades!$C$9*POWER(Upgrades!$D$9,H281))</f>
        <v/>
      </c>
      <c r="AK281" s="21" t="str">
        <f aca="false">IF(I281&gt;=Upgrades!$E$10,"",Upgrades!$C$10*POWER(Upgrades!$D$10,I281))</f>
        <v/>
      </c>
      <c r="AL281" s="21" t="str">
        <f aca="false">IF(J281&gt;=Upgrades!$E$11,"",Upgrades!$C$11*POWER(Upgrades!$D$11,J281))</f>
        <v/>
      </c>
      <c r="AM281" s="21" t="str">
        <f aca="false">IF(K281&gt;=Upgrades!$E$12,"",Upgrades!$C$12*POWER(Upgrades!$D$12,K281))</f>
        <v/>
      </c>
      <c r="AN281" s="26" t="str">
        <f aca="false">IF(AND(D281&gt;=Parameters!$B$18,(H281&gt;=Upgrades!$E$9)*(K281&gt;=Upgrades!$E$12)=1,L281=0),1,"")</f>
        <v/>
      </c>
      <c r="AO281" s="26" t="str">
        <f aca="false">IF(AND(D281&gt;=Parameters!$B$18,L281=0),1,"")</f>
        <v/>
      </c>
      <c r="AP281" s="21" t="n">
        <f aca="false">MIN(IF(ISNUMBER(AK281),AK281,9000000000000000),IF(ISNUMBER(AL281),AL281,9000000000000000),IF(ISNUMBER(AM281),AM281,9000000000000000))</f>
        <v>9000000000000000</v>
      </c>
      <c r="AQ281" s="21" t="n">
        <f aca="false">MIN(IF(ISNUMBER(AG281),AG281,9000000000000000),IF(ISNUMBER(AH281),AH281,9000000000000000),IF(ISNUMBER(AI281),AI281,9000000000000000),IF(ISNUMBER(AJ281),AJ281,9000000000000000))</f>
        <v>37.4517507383159</v>
      </c>
      <c r="AR281" s="32" t="b">
        <f aca="false">IF(AW281&gt;Parameters!$B$21*(MAX(IF(AND(NOT(AND(AO281=1,AN281&lt;&gt;1)),ISNUMBER(AG281),AG281&lt;=T281),AS281,0),IF(AND(NOT(AND(AO281=1,AN281&lt;&gt;1)),ISNUMBER(AH281),AH281&lt;=T281),AT281,0),IF(AND(NOT(AND(AO281=1,AN281&lt;&gt;1)),ISNUMBER(AI281),AI281&lt;=T281),AU281,0),IF(AND(ISNUMBER(AJ281),AJ281&lt;=T281),AV281,0))),TRUE(),FALSE())</f>
        <v>1</v>
      </c>
      <c r="AS281" s="33" t="n">
        <f aca="false">IFERROR(Upgrades!$H$6*(POWER(Upgrades!$P$6,E281)*POWER(Upgrades!$P$7,F281)*POWER(Upgrades!$P$8,G281)*POWER(Upgrades!$P$9,H281)*POWER(Upgrades!$P$10,I281)*POWER(Upgrades!$P$11,J281)*POWER(Upgrades!$P$12,K281))*(IF(Upgrades!$T$7="Solar Wind",POWER(Upgrades!$U$7,F281),1)*IF(Upgrades!$T$8="Solar Wind",POWER(Upgrades!$U$8,G281),1)*IF(Upgrades!$T$9="Solar Wind",POWER(Upgrades!$U$9,H281),1)*IF(Upgrades!$T$10="Solar Wind",POWER(Upgrades!$U$10,I281),1)*IF(Upgrades!$T$11="Solar Wind",POWER(Upgrades!$U$11,J281),1)*IF(Upgrades!$T$12="Solar Wind",POWER(Upgrades!$U$12,K281),1))/AG281,0)</f>
        <v>0.0026701021455238</v>
      </c>
      <c r="AT281" s="33" t="n">
        <f aca="false">IFERROR(Upgrades!$H$7*(POWER(Upgrades!$P$6,E281)*POWER(Upgrades!$P$7,F281)*POWER(Upgrades!$P$8,G281)*POWER(Upgrades!$P$9,H281)*POWER(Upgrades!$P$10,I281)*POWER(Upgrades!$P$11,J281)*POWER(Upgrades!$P$12,K281))*(IF(Upgrades!$T$6="Asteroid Belt",POWER(Upgrades!$U$6,E281),1)*IF(Upgrades!$T$8="Asteroid Belt",POWER(Upgrades!$U$8,G281),1)*IF(Upgrades!$T$9="Asteroid Belt",POWER(Upgrades!$U$9,H281),1)*IF(Upgrades!$T$10="Asteroid Belt",POWER(Upgrades!$U$10,I281),1)*IF(Upgrades!$T$11="Asteroid Belt",POWER(Upgrades!$U$11,J281),1)*IF(Upgrades!$T$12="Asteroid Belt",POWER(Upgrades!$U$12,K281),1))/AH281,0)</f>
        <v>0.00308980882652332</v>
      </c>
      <c r="AU281" s="33" t="n">
        <f aca="false">IFERROR(Upgrades!$K$8*(POWER(Upgrades!$Q$6,E281)*POWER(Upgrades!$Q$7,F281)*POWER(Upgrades!$Q$8,G281)*POWER(Upgrades!$Q$9,H281)*POWER(Upgrades!$Q$10,I281)*POWER(Upgrades!$Q$11,J281)*POWER(Upgrades!$Q$12,K281))*(IF(Upgrades!$T$6="Stellar Coupling",POWER(Upgrades!$U$6,E281),1)*IF(Upgrades!$T$7="Stellar Coupling",POWER(Upgrades!$U$7,F281),1)*IF(Upgrades!$T$9="Stellar Coupling",POWER(Upgrades!$U$9,H281),1)*IF(Upgrades!$T$10="Stellar Coupling",POWER(Upgrades!$U$10,I281),1)*IF(Upgrades!$T$11="Stellar Coupling",POWER(Upgrades!$U$11,J281),1)*IF(Upgrades!$T$12="Stellar Coupling",POWER(Upgrades!$U$12,K281),1))*Parameters!$B$10*Parameters!$B$11/60/AI281,0)</f>
        <v>0.00452762415783776</v>
      </c>
      <c r="AV281" s="33" t="n">
        <f aca="false">IFERROR(Upgrades!$H$9*(POWER(Upgrades!$P$6,E281)*POWER(Upgrades!$P$7,F281)*POWER(Upgrades!$P$8,G281)*POWER(Upgrades!$P$9,H281)*POWER(Upgrades!$P$10,I281)*POWER(Upgrades!$P$11,J281)*POWER(Upgrades!$P$12,K281))*(IF(Upgrades!$T$6="Magnetosphere",POWER(Upgrades!$U$6,E281),1)*IF(Upgrades!$T$7="Magnetosphere",POWER(Upgrades!$U$7,F281),1)*IF(Upgrades!$T$8="Magnetosphere",POWER(Upgrades!$U$8,G281),1)*IF(Upgrades!$T$10="Magnetosphere",POWER(Upgrades!$U$10,I281),1)*IF(Upgrades!$T$11="Magnetosphere",POWER(Upgrades!$U$11,J281),1)*IF(Upgrades!$T$12="Magnetosphere",POWER(Upgrades!$U$12,K281),1))/AJ281,0)</f>
        <v>0</v>
      </c>
      <c r="AW281" s="33" t="n">
        <f aca="false">MAX(IF(I281&gt;0,0,IFERROR(0.25*N281/Upgrades!$C$10,0)),IF(J281&gt;0,0,IFERROR(0.5*((IF(G281=0,0,(Upgrades!$J$8+G281*Upgrades!$K$8)*POWER(Upgrades!$L$8,G281)))*(IF(Upgrades!$T$6="Stellar Coupling",POWER(Upgrades!$U$6,E281),1)*IF(Upgrades!$T$7="Stellar Coupling",POWER(Upgrades!$U$7,F281),1)*IF(Upgrades!$T$9="Stellar Coupling",POWER(Upgrades!$U$9,H281),1)*IF(Upgrades!$T$10="Stellar Coupling",POWER(Upgrades!$U$10,I281),1)*IF(Upgrades!$T$11="Stellar Coupling",POWER(Upgrades!$U$11,J281),1)*IF(Upgrades!$T$12="Stellar Coupling",POWER(Upgrades!$U$12,K281),1))*(POWER(Upgrades!$Q$6,E281)*POWER(Upgrades!$Q$7,F281)*POWER(Upgrades!$Q$8,G281)*POWER(Upgrades!$Q$9,H281)*POWER(Upgrades!$Q$10,I281)*POWER(Upgrades!$Q$11,J281)*POWER(Upgrades!$Q$12,K281))*Parameters!$B$10*Parameters!$B$11/60)/Upgrades!$C$11,0)),IF(K281&gt;0,0,IFERROR((1*(POWER(Upgrades!$P$6,E281)*POWER(Upgrades!$P$7,F281)*POWER(Upgrades!$P$8,G281)*POWER(Upgrades!$P$9,H281)*POWER(Upgrades!$P$10,I281)*POWER(Upgrades!$P$11,J281)*POWER(Upgrades!$P$12,K281))+0.2*M281*Parameters!$B$10*Parameters!$B$11/60)/Upgrades!$C$12,0)),IF(AND(ISNUMBER(AG281),AG281&gt;T281),AS281,0),IF(AND(ISNUMBER(AH281),AH281&gt;T281),AT281,0),IF(AND(ISNUMBER(AI281),AI281&gt;T281),AU281,0),IF(AND(ISNUMBER(AJ281),AJ281&gt;T281),AV281,0))</f>
        <v>0.00452762415783776</v>
      </c>
      <c r="AX281" s="29" t="str">
        <f aca="false">IF(AN281=1,"transition",IF(MIN(IF(AND(I281=0,ISNUMBER(AK281),AK281&lt;=T281),AK281,9000000000000000),IF(AND(J281=0,ISNUMBER(AL281),AL281&lt;=T281),AL281,9000000000000000),IF(AND(K281=0,ISNUMBER(AM281),AM281&lt;=T281),AM281,9000000000000000))&lt;9000000000000000,IF(AND(AND(I281=0,ISNUMBER(AK281),AK281&lt;=T281),AK281=MIN(IF(AND(I281=0,ISNUMBER(AK281),AK281&lt;=T281),AK281,9000000000000000),IF(AND(J281=0,ISNUMBER(AL281),AL281&lt;=T281),AL281,9000000000000000),IF(AND(K281=0,ISNUMBER(AM281),AM281&lt;=T281),AM281,9000000000000000))),"OR",IF(AND(AND(J281=0,ISNUMBER(AL281),AL281&lt;=T281),AL281=MIN(IF(AND(I281=0,ISNUMBER(AK281),AK281&lt;=T281),AK281,9000000000000000),IF(AND(J281=0,ISNUMBER(AL281),AL281&lt;=T281),AL281,9000000000000000),IF(AND(K281=0,ISNUMBER(AM281),AM281&lt;=T281),AM281,9000000000000000))),"HP","FP")),IF(AR281=TRUE(),"",IF(MAX(IF(AND(NOT(AND(AO281=1,AN281&lt;&gt;1)),ISNUMBER(AG281),AG281&lt;=T281),AS281,0),IF(AND(NOT(AND(AO281=1,AN281&lt;&gt;1)),ISNUMBER(AH281),AH281&lt;=T281),AT281,0),IF(AND(NOT(AND(AO281=1,AN281&lt;&gt;1)),ISNUMBER(AI281),AI281&lt;=T281),AU281,0),IF(AND(ISNUMBER(AJ281),AJ281&lt;=T281),AV281,0))&lt;=0,"",IF(AND(IF(AND(NOT(AND(AO281=1,AN281&lt;&gt;1)),ISNUMBER(AG281),AG281&lt;=T281),AS281,0)&gt;0,IF(AND(NOT(AND(AO281=1,AN281&lt;&gt;1)),ISNUMBER(AG281),AG281&lt;=T281),AS281,0)=MAX(IF(AND(NOT(AND(AO281=1,AN281&lt;&gt;1)),ISNUMBER(AG281),AG281&lt;=T281),AS281,0),IF(AND(NOT(AND(AO281=1,AN281&lt;&gt;1)),ISNUMBER(AH281),AH281&lt;=T281),AT281,0),IF(AND(NOT(AND(AO281=1,AN281&lt;&gt;1)),ISNUMBER(AI281),AI281&lt;=T281),AU281,0),IF(AND(ISNUMBER(AJ281),AJ281&lt;=T281),AV281,0))),"SW",IF(AND(IF(AND(NOT(AND(AO281=1,AN281&lt;&gt;1)),ISNUMBER(AH281),AH281&lt;=T281),AT281,0)&gt;0,IF(AND(NOT(AND(AO281=1,AN281&lt;&gt;1)),ISNUMBER(AH281),AH281&lt;=T281),AT281,0)=MAX(IF(AND(NOT(AND(AO281=1,AN281&lt;&gt;1)),ISNUMBER(AG281),AG281&lt;=T281),AS281,0),IF(AND(NOT(AND(AO281=1,AN281&lt;&gt;1)),ISNUMBER(AH281),AH281&lt;=T281),AT281,0),IF(AND(NOT(AND(AO281=1,AN281&lt;&gt;1)),ISNUMBER(AI281),AI281&lt;=T281),AU281,0),IF(AND(ISNUMBER(AJ281),AJ281&lt;=T281),AV281,0))),"AB",IF(AND(IF(AND(NOT(AND(AO281=1,AN281&lt;&gt;1)),ISNUMBER(AI281),AI281&lt;=T281),AU281,0)&gt;0,IF(AND(NOT(AND(AO281=1,AN281&lt;&gt;1)),ISNUMBER(AI281),AI281&lt;=T281),AU281,0)=MAX(IF(AND(NOT(AND(AO281=1,AN281&lt;&gt;1)),ISNUMBER(AG281),AG281&lt;=T281),AS281,0),IF(AND(NOT(AND(AO281=1,AN281&lt;&gt;1)),ISNUMBER(AH281),AH281&lt;=T281),AT281,0),IF(AND(NOT(AND(AO281=1,AN281&lt;&gt;1)),ISNUMBER(AI281),AI281&lt;=T281),AU281,0),IF(AND(ISNUMBER(AJ281),AJ281&lt;=T281),AV281,0))),"SC","Mag")))))))</f>
        <v/>
      </c>
    </row>
    <row r="282" customFormat="false" ht="15" hidden="false" customHeight="false" outlineLevel="0" collapsed="false">
      <c r="A282" s="26" t="n">
        <v>277</v>
      </c>
      <c r="B282" s="27" t="n">
        <f aca="false">A282*10/60</f>
        <v>46.1666666666667</v>
      </c>
      <c r="C282" s="21" t="n">
        <f aca="false">X281</f>
        <v>18.6730249835055</v>
      </c>
      <c r="D282" s="27" t="n">
        <f aca="false">D281+W281</f>
        <v>0</v>
      </c>
      <c r="E282" s="26" t="n">
        <f aca="false">E281+IF(U281="SW",1,0)</f>
        <v>12</v>
      </c>
      <c r="F282" s="26" t="n">
        <f aca="false">F281+IF(U281="AB",1,0)</f>
        <v>10</v>
      </c>
      <c r="G282" s="26" t="n">
        <f aca="false">G281+IF(U281="SC",1,0)</f>
        <v>7</v>
      </c>
      <c r="H282" s="26" t="n">
        <f aca="false">H281+IF(U281="Mag",1,0)</f>
        <v>5</v>
      </c>
      <c r="I282" s="26" t="n">
        <f aca="false">MAX(I281,IF(U281="OR",1,0))</f>
        <v>1</v>
      </c>
      <c r="J282" s="26" t="n">
        <f aca="false">MAX(J281,IF(U281="HP",1,0))</f>
        <v>1</v>
      </c>
      <c r="K282" s="26" t="n">
        <f aca="false">MAX(K281,IF(U281="FP",1,0))</f>
        <v>1</v>
      </c>
      <c r="L282" s="26" t="n">
        <f aca="false">MAX(L281,IF(U281="transition",1,0))</f>
        <v>1</v>
      </c>
      <c r="M282" s="28" t="n">
        <f aca="false">(Parameters!$B$9+(IF(E282=0,0,(Upgrades!$J$6+E282*Upgrades!$K$6)*POWER(Upgrades!$L$6,E282)))*(IF(Upgrades!$T$7="Solar Wind",POWER(Upgrades!$U$7,F282),1)*IF(Upgrades!$T$8="Solar Wind",POWER(Upgrades!$U$8,G282),1)*IF(Upgrades!$T$9="Solar Wind",POWER(Upgrades!$U$9,H282),1)*IF(Upgrades!$T$10="Solar Wind",POWER(Upgrades!$U$10,I282),1)*IF(Upgrades!$T$11="Solar Wind",POWER(Upgrades!$U$11,J282),1)*IF(Upgrades!$T$12="Solar Wind",POWER(Upgrades!$U$12,K282),1))+(IF(F282=0,0,(Upgrades!$J$7+F282*Upgrades!$K$7)*POWER(Upgrades!$L$7,F282)))*(IF(Upgrades!$T$6="Asteroid Belt",POWER(Upgrades!$U$6,E282),1)*IF(Upgrades!$T$8="Asteroid Belt",POWER(Upgrades!$U$8,G282),1)*IF(Upgrades!$T$9="Asteroid Belt",POWER(Upgrades!$U$9,H282),1)*IF(Upgrades!$T$10="Asteroid Belt",POWER(Upgrades!$U$10,I282),1)*IF(Upgrades!$T$11="Asteroid Belt",POWER(Upgrades!$U$11,J282),1)*IF(Upgrades!$T$12="Asteroid Belt",POWER(Upgrades!$U$12,K282),1))+(IF(G282=0,0,(Upgrades!$J$8+G282*Upgrades!$K$8)*POWER(Upgrades!$L$8,G282)))*(IF(Upgrades!$T$6="Stellar Coupling",POWER(Upgrades!$U$6,E282),1)*IF(Upgrades!$T$7="Stellar Coupling",POWER(Upgrades!$U$7,F282),1)*IF(Upgrades!$T$9="Stellar Coupling",POWER(Upgrades!$U$9,H282),1)*IF(Upgrades!$T$10="Stellar Coupling",POWER(Upgrades!$U$10,I282),1)*IF(Upgrades!$T$11="Stellar Coupling",POWER(Upgrades!$U$11,J282),1)*IF(Upgrades!$T$12="Stellar Coupling",POWER(Upgrades!$U$12,K282),1))+(IF(H282=0,0,(Upgrades!$J$9+H282*Upgrades!$K$9)*POWER(Upgrades!$L$9,H282)))*(IF(Upgrades!$T$6="Magnetosphere",POWER(Upgrades!$U$6,E282),1)*IF(Upgrades!$T$7="Magnetosphere",POWER(Upgrades!$U$7,F282),1)*IF(Upgrades!$T$8="Magnetosphere",POWER(Upgrades!$U$8,G282),1)*IF(Upgrades!$T$10="Magnetosphere",POWER(Upgrades!$U$10,I282),1)*IF(Upgrades!$T$11="Magnetosphere",POWER(Upgrades!$U$11,J282),1)*IF(Upgrades!$T$12="Magnetosphere",POWER(Upgrades!$U$12,K282),1))+(IF(I282=0,0,(Upgrades!$J$10+I282*Upgrades!$K$10)*POWER(Upgrades!$L$10,I282)))*(IF(Upgrades!$T$6="Orbital Resonance",POWER(Upgrades!$U$6,E282),1)*IF(Upgrades!$T$7="Orbital Resonance",POWER(Upgrades!$U$7,F282),1)*IF(Upgrades!$T$8="Orbital Resonance",POWER(Upgrades!$U$8,G282),1)*IF(Upgrades!$T$9="Orbital Resonance",POWER(Upgrades!$U$9,H282),1)*IF(Upgrades!$T$11="Orbital Resonance",POWER(Upgrades!$U$11,J282),1)*IF(Upgrades!$T$12="Orbital Resonance",POWER(Upgrades!$U$12,K282),1))+(IF(J282=0,0,(Upgrades!$J$11+J282*Upgrades!$K$11)*POWER(Upgrades!$L$11,J282)))*(IF(Upgrades!$T$6="Heliopause",POWER(Upgrades!$U$6,E282),1)*IF(Upgrades!$T$7="Heliopause",POWER(Upgrades!$U$7,F282),1)*IF(Upgrades!$T$8="Heliopause",POWER(Upgrades!$U$8,G282),1)*IF(Upgrades!$T$9="Heliopause",POWER(Upgrades!$U$9,H282),1)*IF(Upgrades!$T$10="Heliopause",POWER(Upgrades!$U$10,I282),1)*IF(Upgrades!$T$12="Heliopause",POWER(Upgrades!$U$12,K282),1))+(IF(K282=0,0,(Upgrades!$J$12+K282*Upgrades!$K$12)*POWER(Upgrades!$L$12,K282)))*(IF(Upgrades!$T$6="First Photons",POWER(Upgrades!$U$6,E282),1)*IF(Upgrades!$T$7="First Photons",POWER(Upgrades!$U$7,F282),1)*IF(Upgrades!$T$8="First Photons",POWER(Upgrades!$U$8,G282),1)*IF(Upgrades!$T$9="First Photons",POWER(Upgrades!$U$9,H282),1)*IF(Upgrades!$T$10="First Photons",POWER(Upgrades!$U$10,I282),1)*IF(Upgrades!$T$11="First Photons",POWER(Upgrades!$U$11,J282),1)))*POWER(Upgrades!$Q$6,E282)*POWER(Upgrades!$Q$7,F282)*POWER(Upgrades!$Q$8,G282)*POWER(Upgrades!$Q$9,H282)*POWER(Upgrades!$Q$10,I282)*POWER(Upgrades!$Q$11,J282)*POWER(Upgrades!$Q$12,K282)</f>
        <v>5.61</v>
      </c>
      <c r="N282" s="28" t="n">
        <f aca="false">((IF(E282=0,0,(Upgrades!$G$6+E282*Upgrades!$H$6)*POWER(Upgrades!$I$6,E282)))*(IF(Upgrades!$T$7="Solar Wind",POWER(Upgrades!$U$7,F282),1)*IF(Upgrades!$T$8="Solar Wind",POWER(Upgrades!$U$8,G282),1)*IF(Upgrades!$T$9="Solar Wind",POWER(Upgrades!$U$9,H282),1)*IF(Upgrades!$T$10="Solar Wind",POWER(Upgrades!$U$10,I282),1)*IF(Upgrades!$T$11="Solar Wind",POWER(Upgrades!$U$11,J282),1)*IF(Upgrades!$T$12="Solar Wind",POWER(Upgrades!$U$12,K282),1))+(IF(F282=0,0,(Upgrades!$G$7+F282*Upgrades!$H$7)*POWER(Upgrades!$I$7,F282)))*(IF(Upgrades!$T$6="Asteroid Belt",POWER(Upgrades!$U$6,E282),1)*IF(Upgrades!$T$8="Asteroid Belt",POWER(Upgrades!$U$8,G282),1)*IF(Upgrades!$T$9="Asteroid Belt",POWER(Upgrades!$U$9,H282),1)*IF(Upgrades!$T$10="Asteroid Belt",POWER(Upgrades!$U$10,I282),1)*IF(Upgrades!$T$11="Asteroid Belt",POWER(Upgrades!$U$11,J282),1)*IF(Upgrades!$T$12="Asteroid Belt",POWER(Upgrades!$U$12,K282),1))+(IF(G282=0,0,(Upgrades!$G$8+G282*Upgrades!$H$8)*POWER(Upgrades!$I$8,G282)))*(IF(Upgrades!$T$6="Stellar Coupling",POWER(Upgrades!$U$6,E282),1)*IF(Upgrades!$T$7="Stellar Coupling",POWER(Upgrades!$U$7,F282),1)*IF(Upgrades!$T$9="Stellar Coupling",POWER(Upgrades!$U$9,H282),1)*IF(Upgrades!$T$10="Stellar Coupling",POWER(Upgrades!$U$10,I282),1)*IF(Upgrades!$T$11="Stellar Coupling",POWER(Upgrades!$U$11,J282),1)*IF(Upgrades!$T$12="Stellar Coupling",POWER(Upgrades!$U$12,K282),1))+(IF(H282=0,0,(Upgrades!$G$9+H282*Upgrades!$H$9)*POWER(Upgrades!$I$9,H282)))*(IF(Upgrades!$T$6="Magnetosphere",POWER(Upgrades!$U$6,E282),1)*IF(Upgrades!$T$7="Magnetosphere",POWER(Upgrades!$U$7,F282),1)*IF(Upgrades!$T$8="Magnetosphere",POWER(Upgrades!$U$8,G282),1)*IF(Upgrades!$T$10="Magnetosphere",POWER(Upgrades!$U$10,I282),1)*IF(Upgrades!$T$11="Magnetosphere",POWER(Upgrades!$U$11,J282),1)*IF(Upgrades!$T$12="Magnetosphere",POWER(Upgrades!$U$12,K282),1))+(IF(I282=0,0,(Upgrades!$G$10+I282*Upgrades!$H$10)*POWER(Upgrades!$I$10,I282)))*(IF(Upgrades!$T$6="Orbital Resonance",POWER(Upgrades!$U$6,E282),1)*IF(Upgrades!$T$7="Orbital Resonance",POWER(Upgrades!$U$7,F282),1)*IF(Upgrades!$T$8="Orbital Resonance",POWER(Upgrades!$U$8,G282),1)*IF(Upgrades!$T$9="Orbital Resonance",POWER(Upgrades!$U$9,H282),1)*IF(Upgrades!$T$11="Orbital Resonance",POWER(Upgrades!$U$11,J282),1)*IF(Upgrades!$T$12="Orbital Resonance",POWER(Upgrades!$U$12,K282),1))+(IF(J282=0,0,(Upgrades!$G$11+J282*Upgrades!$H$11)*POWER(Upgrades!$I$11,J282)))*(IF(Upgrades!$T$6="Heliopause",POWER(Upgrades!$U$6,E282),1)*IF(Upgrades!$T$7="Heliopause",POWER(Upgrades!$U$7,F282),1)*IF(Upgrades!$T$8="Heliopause",POWER(Upgrades!$U$8,G282),1)*IF(Upgrades!$T$9="Heliopause",POWER(Upgrades!$U$9,H282),1)*IF(Upgrades!$T$10="Heliopause",POWER(Upgrades!$U$10,I282),1)*IF(Upgrades!$T$12="Heliopause",POWER(Upgrades!$U$12,K282),1))+(IF(K282=0,0,(Upgrades!$G$12+K282*Upgrades!$H$12)*POWER(Upgrades!$I$12,K282)))*(IF(Upgrades!$T$6="First Photons",POWER(Upgrades!$U$6,E282),1)*IF(Upgrades!$T$7="First Photons",POWER(Upgrades!$U$7,F282),1)*IF(Upgrades!$T$8="First Photons",POWER(Upgrades!$U$8,G282),1)*IF(Upgrades!$T$9="First Photons",POWER(Upgrades!$U$9,H282),1)*IF(Upgrades!$T$10="First Photons",POWER(Upgrades!$U$10,I282),1)*IF(Upgrades!$T$11="First Photons",POWER(Upgrades!$U$11,J282),1)))*POWER(Upgrades!$P$6,E282)*POWER(Upgrades!$P$7,F282)*POWER(Upgrades!$P$8,G282)*POWER(Upgrades!$P$9,H282)*POWER(Upgrades!$P$10,I282)*POWER(Upgrades!$P$11,J282)*POWER(Upgrades!$P$12,K282)</f>
        <v>11.2</v>
      </c>
      <c r="O282" s="28" t="n">
        <f aca="false">((IF(E282=0,0,(Upgrades!$M$6+E282*Upgrades!$N$6)*POWER(Upgrades!$O$6,E282)))*(IF(Upgrades!$T$7="Solar Wind",POWER(Upgrades!$U$7,F282),1)*IF(Upgrades!$T$8="Solar Wind",POWER(Upgrades!$U$8,G282),1)*IF(Upgrades!$T$9="Solar Wind",POWER(Upgrades!$U$9,H282),1)*IF(Upgrades!$T$10="Solar Wind",POWER(Upgrades!$U$10,I282),1)*IF(Upgrades!$T$11="Solar Wind",POWER(Upgrades!$U$11,J282),1)*IF(Upgrades!$T$12="Solar Wind",POWER(Upgrades!$U$12,K282),1))+(IF(F282=0,0,(Upgrades!$M$7+F282*Upgrades!$N$7)*POWER(Upgrades!$O$7,F282)))*(IF(Upgrades!$T$6="Asteroid Belt",POWER(Upgrades!$U$6,E282),1)*IF(Upgrades!$T$8="Asteroid Belt",POWER(Upgrades!$U$8,G282),1)*IF(Upgrades!$T$9="Asteroid Belt",POWER(Upgrades!$U$9,H282),1)*IF(Upgrades!$T$10="Asteroid Belt",POWER(Upgrades!$U$10,I282),1)*IF(Upgrades!$T$11="Asteroid Belt",POWER(Upgrades!$U$11,J282),1)*IF(Upgrades!$T$12="Asteroid Belt",POWER(Upgrades!$U$12,K282),1))+(IF(G282=0,0,(Upgrades!$M$8+G282*Upgrades!$N$8)*POWER(Upgrades!$O$8,G282)))*(IF(Upgrades!$T$6="Stellar Coupling",POWER(Upgrades!$U$6,E282),1)*IF(Upgrades!$T$7="Stellar Coupling",POWER(Upgrades!$U$7,F282),1)*IF(Upgrades!$T$9="Stellar Coupling",POWER(Upgrades!$U$9,H282),1)*IF(Upgrades!$T$10="Stellar Coupling",POWER(Upgrades!$U$10,I282),1)*IF(Upgrades!$T$11="Stellar Coupling",POWER(Upgrades!$U$11,J282),1)*IF(Upgrades!$T$12="Stellar Coupling",POWER(Upgrades!$U$12,K282),1))+(IF(H282=0,0,(Upgrades!$M$9+H282*Upgrades!$N$9)*POWER(Upgrades!$O$9,H282)))*(IF(Upgrades!$T$6="Magnetosphere",POWER(Upgrades!$U$6,E282),1)*IF(Upgrades!$T$7="Magnetosphere",POWER(Upgrades!$U$7,F282),1)*IF(Upgrades!$T$8="Magnetosphere",POWER(Upgrades!$U$8,G282),1)*IF(Upgrades!$T$10="Magnetosphere",POWER(Upgrades!$U$10,I282),1)*IF(Upgrades!$T$11="Magnetosphere",POWER(Upgrades!$U$11,J282),1)*IF(Upgrades!$T$12="Magnetosphere",POWER(Upgrades!$U$12,K282),1))+(IF(I282=0,0,(Upgrades!$M$10+I282*Upgrades!$N$10)*POWER(Upgrades!$O$10,I282)))*(IF(Upgrades!$T$6="Orbital Resonance",POWER(Upgrades!$U$6,E282),1)*IF(Upgrades!$T$7="Orbital Resonance",POWER(Upgrades!$U$7,F282),1)*IF(Upgrades!$T$8="Orbital Resonance",POWER(Upgrades!$U$8,G282),1)*IF(Upgrades!$T$9="Orbital Resonance",POWER(Upgrades!$U$9,H282),1)*IF(Upgrades!$T$11="Orbital Resonance",POWER(Upgrades!$U$11,J282),1)*IF(Upgrades!$T$12="Orbital Resonance",POWER(Upgrades!$U$12,K282),1))+(IF(J282=0,0,(Upgrades!$M$11+J282*Upgrades!$N$11)*POWER(Upgrades!$O$11,J282)))*(IF(Upgrades!$T$6="Heliopause",POWER(Upgrades!$U$6,E282),1)*IF(Upgrades!$T$7="Heliopause",POWER(Upgrades!$U$7,F282),1)*IF(Upgrades!$T$8="Heliopause",POWER(Upgrades!$U$8,G282),1)*IF(Upgrades!$T$9="Heliopause",POWER(Upgrades!$U$9,H282),1)*IF(Upgrades!$T$10="Heliopause",POWER(Upgrades!$U$10,I282),1)*IF(Upgrades!$T$12="Heliopause",POWER(Upgrades!$U$12,K282),1))+(IF(K282=0,0,(Upgrades!$M$12+K282*Upgrades!$N$12)*POWER(Upgrades!$O$12,K282)))*(IF(Upgrades!$T$6="First Photons",POWER(Upgrades!$U$6,E282),1)*IF(Upgrades!$T$7="First Photons",POWER(Upgrades!$U$7,F282),1)*IF(Upgrades!$T$8="First Photons",POWER(Upgrades!$U$8,G282),1)*IF(Upgrades!$T$9="First Photons",POWER(Upgrades!$U$9,H282),1)*IF(Upgrades!$T$10="First Photons",POWER(Upgrades!$U$10,I282),1)*IF(Upgrades!$T$11="First Photons",POWER(Upgrades!$U$11,J282),1)))*POWER(Upgrades!$R$6,E282)*POWER(Upgrades!$R$7,F282)*POWER(Upgrades!$R$8,G282)*POWER(Upgrades!$R$9,H282)*POWER(Upgrades!$R$10,I282)*POWER(Upgrades!$R$11,J282)*POWER(Upgrades!$R$12,K282)</f>
        <v>0</v>
      </c>
      <c r="P282" s="27" t="n">
        <f aca="false">IF(L282=1,0,M282*Parameters!$B$10/60*Parameters!$B$11*10)</f>
        <v>0</v>
      </c>
      <c r="Q282" s="27" t="n">
        <f aca="false">IF(L282=1,0,O282*M282*10)</f>
        <v>0</v>
      </c>
      <c r="R282" s="27" t="n">
        <f aca="false">IF(L282=1,0,N282*10)</f>
        <v>0</v>
      </c>
      <c r="S282" s="27" t="n">
        <f aca="false">P282+Q282+R282</f>
        <v>0</v>
      </c>
      <c r="T282" s="21" t="n">
        <f aca="false">C282+S282</f>
        <v>18.6730249835055</v>
      </c>
      <c r="U282" s="34" t="str">
        <f aca="false">AX282</f>
        <v/>
      </c>
      <c r="V282" s="21" t="n">
        <f aca="false">IF(U282="",0,IF(U282="transition",0,IF(U282="SW",AG282,IF(U282="AB",AH282,IF(U282="SC",AI282,IF(U282="Mag",AJ282,IF(U282="OR",AK282,IF(U282="HP",AL282,IF(U282="FP",AM282,0)))))))))</f>
        <v>0</v>
      </c>
      <c r="W282" s="27" t="n">
        <f aca="false">IF(U282="OR",Upgrades!$F$10,IF(U282="HP",Upgrades!$F$11,IF(U282="transition",-Parameters!$B$18,0)))</f>
        <v>0</v>
      </c>
      <c r="X282" s="21" t="n">
        <f aca="false">T282-V282</f>
        <v>18.6730249835055</v>
      </c>
      <c r="Y282" s="30" t="n">
        <f aca="false">M282*Parameters!$B$10/60*Parameters!$B$11+O282*M282+N282</f>
        <v>20.55</v>
      </c>
      <c r="Z282" s="35" t="str">
        <f aca="false">IF(U282="transition","→ Tier 2 (Stellar Neighborhood)",IF(U282="FP","First Photons — light begins, system quickens",IF(U282="HP","Heliopause acquired",IF(U282="OR","Orbital Resonance — passive multiplier active",IF(AND(AO282=1,L282=0,AN282&lt;&gt;1),"Cohesion ready (waiting on completionist upgrades)","")))))</f>
        <v/>
      </c>
      <c r="AA282" s="27" t="n">
        <f aca="false">(IF(E282=0,0,(Upgrades!$G$6+E282*Upgrades!$H$6)*POWER(Upgrades!$I$6,E282)))*(IF(Upgrades!$T$7="Solar Wind",POWER(Upgrades!$U$7,F282),1)*IF(Upgrades!$T$8="Solar Wind",POWER(Upgrades!$U$8,G282),1)*IF(Upgrades!$T$9="Solar Wind",POWER(Upgrades!$U$9,H282),1)*IF(Upgrades!$T$10="Solar Wind",POWER(Upgrades!$U$10,I282),1)*IF(Upgrades!$T$11="Solar Wind",POWER(Upgrades!$U$11,J282),1)*IF(Upgrades!$T$12="Solar Wind",POWER(Upgrades!$U$12,K282),1))*POWER(Upgrades!$P$6,E282)*POWER(Upgrades!$P$7,F282)*POWER(Upgrades!$P$8,G282)*POWER(Upgrades!$P$9,H282)*POWER(Upgrades!$P$10,I282)*POWER(Upgrades!$P$11,J282)*POWER(Upgrades!$P$12,K282)*60</f>
        <v>72</v>
      </c>
      <c r="AB282" s="27" t="n">
        <f aca="false">(IF(F282=0,0,(Upgrades!$G$7+F282*Upgrades!$H$7)*POWER(Upgrades!$I$7,F282)))*(IF(Upgrades!$T$6="Asteroid Belt",POWER(Upgrades!$U$6,E282),1)*IF(Upgrades!$T$8="Asteroid Belt",POWER(Upgrades!$U$8,G282),1)*IF(Upgrades!$T$9="Asteroid Belt",POWER(Upgrades!$U$9,H282),1)*IF(Upgrades!$T$10="Asteroid Belt",POWER(Upgrades!$U$10,I282),1)*IF(Upgrades!$T$11="Asteroid Belt",POWER(Upgrades!$U$11,J282),1)*IF(Upgrades!$T$12="Asteroid Belt",POWER(Upgrades!$U$12,K282),1))*POWER(Upgrades!$P$6,E282)*POWER(Upgrades!$P$7,F282)*POWER(Upgrades!$P$8,G282)*POWER(Upgrades!$P$9,H282)*POWER(Upgrades!$P$10,I282)*POWER(Upgrades!$P$11,J282)*POWER(Upgrades!$P$12,K282)*60</f>
        <v>150</v>
      </c>
      <c r="AC282" s="27" t="n">
        <f aca="false">(IF(G282=0,0,(Upgrades!$J$8+G282*Upgrades!$K$8)*POWER(Upgrades!$L$8,G282)))*(IF(Upgrades!$T$6="Stellar Coupling",POWER(Upgrades!$U$6,E282),1)*IF(Upgrades!$T$7="Stellar Coupling",POWER(Upgrades!$U$7,F282),1)*IF(Upgrades!$T$9="Stellar Coupling",POWER(Upgrades!$U$9,H282),1)*IF(Upgrades!$T$10="Stellar Coupling",POWER(Upgrades!$U$10,I282),1)*IF(Upgrades!$T$11="Stellar Coupling",POWER(Upgrades!$U$11,J282),1)*IF(Upgrades!$T$12="Stellar Coupling",POWER(Upgrades!$U$12,K282),1))*POWER(Upgrades!$Q$6,E282)*POWER(Upgrades!$Q$7,F282)*POWER(Upgrades!$Q$8,G282)*POWER(Upgrades!$Q$9,H282)*POWER(Upgrades!$Q$10,I282)*POWER(Upgrades!$Q$11,J282)*POWER(Upgrades!$Q$12,K282)*Parameters!$B$10*Parameters!$B$11</f>
        <v>441</v>
      </c>
      <c r="AD282" s="27" t="n">
        <f aca="false">(IF(H282=0,0,(Upgrades!$G$9+H282*Upgrades!$H$9)*POWER(Upgrades!$I$9,H282)))*(IF(Upgrades!$T$6="Magnetosphere",POWER(Upgrades!$U$6,E282),1)*IF(Upgrades!$T$7="Magnetosphere",POWER(Upgrades!$U$7,F282),1)*IF(Upgrades!$T$8="Magnetosphere",POWER(Upgrades!$U$8,G282),1)*IF(Upgrades!$T$10="Magnetosphere",POWER(Upgrades!$U$10,I282),1)*IF(Upgrades!$T$11="Magnetosphere",POWER(Upgrades!$U$11,J282),1)*IF(Upgrades!$T$12="Magnetosphere",POWER(Upgrades!$U$12,K282),1))*POWER(Upgrades!$P$6,E282)*POWER(Upgrades!$P$7,F282)*POWER(Upgrades!$P$8,G282)*POWER(Upgrades!$P$9,H282)*POWER(Upgrades!$P$10,I282)*POWER(Upgrades!$P$11,J282)*POWER(Upgrades!$P$12,K282)*60</f>
        <v>375</v>
      </c>
      <c r="AE282" s="27" t="n">
        <f aca="false">(IF(K282=0,0,(Upgrades!$G$12+K282*Upgrades!$H$12)*POWER(Upgrades!$I$12,K282)))*(IF(Upgrades!$T$6="First Photons",POWER(Upgrades!$U$6,E282),1)*IF(Upgrades!$T$7="First Photons",POWER(Upgrades!$U$7,F282),1)*IF(Upgrades!$T$8="First Photons",POWER(Upgrades!$U$8,G282),1)*IF(Upgrades!$T$9="First Photons",POWER(Upgrades!$U$9,H282),1)*IF(Upgrades!$T$10="First Photons",POWER(Upgrades!$U$10,I282),1)*IF(Upgrades!$T$11="First Photons",POWER(Upgrades!$U$11,J282),1))*POWER(Upgrades!$P$6,E282)*POWER(Upgrades!$P$7,F282)*POWER(Upgrades!$P$8,G282)*POWER(Upgrades!$P$9,H282)*POWER(Upgrades!$P$10,I282)*POWER(Upgrades!$P$11,J282)*POWER(Upgrades!$P$12,K282)*60</f>
        <v>75</v>
      </c>
      <c r="AF282" s="27" t="n">
        <f aca="false">Parameters!$B$9*POWER(Upgrades!$Q$6,E282)*POWER(Upgrades!$Q$7,F282)*POWER(Upgrades!$Q$8,G282)*POWER(Upgrades!$Q$9,H282)*POWER(Upgrades!$Q$10,I282)*POWER(Upgrades!$Q$11,J282)*POWER(Upgrades!$Q$12,K282)*(Parameters!$B$10*Parameters!$B$11+O282*60)</f>
        <v>120</v>
      </c>
      <c r="AG282" s="21" t="n">
        <f aca="false">IF(E282&gt;=Upgrades!$E$6,"",Upgrades!$C$6*POWER(Upgrades!$D$6,E282))</f>
        <v>37.4517507383159</v>
      </c>
      <c r="AH282" s="21" t="n">
        <f aca="false">IF(F282&gt;=Upgrades!$E$7,"",Upgrades!$C$7*POWER(Upgrades!$D$7,F282))</f>
        <v>80.9111547141581</v>
      </c>
      <c r="AI282" s="21" t="n">
        <f aca="false">IF(G282&gt;=Upgrades!$E$8,"",Upgrades!$C$8*POWER(Upgrades!$D$8,G282))</f>
        <v>231.9097088</v>
      </c>
      <c r="AJ282" s="21" t="str">
        <f aca="false">IF(H282&gt;=Upgrades!$E$9,"",Upgrades!$C$9*POWER(Upgrades!$D$9,H282))</f>
        <v/>
      </c>
      <c r="AK282" s="21" t="str">
        <f aca="false">IF(I282&gt;=Upgrades!$E$10,"",Upgrades!$C$10*POWER(Upgrades!$D$10,I282))</f>
        <v/>
      </c>
      <c r="AL282" s="21" t="str">
        <f aca="false">IF(J282&gt;=Upgrades!$E$11,"",Upgrades!$C$11*POWER(Upgrades!$D$11,J282))</f>
        <v/>
      </c>
      <c r="AM282" s="21" t="str">
        <f aca="false">IF(K282&gt;=Upgrades!$E$12,"",Upgrades!$C$12*POWER(Upgrades!$D$12,K282))</f>
        <v/>
      </c>
      <c r="AN282" s="26" t="str">
        <f aca="false">IF(AND(D282&gt;=Parameters!$B$18,(H282&gt;=Upgrades!$E$9)*(K282&gt;=Upgrades!$E$12)=1,L282=0),1,"")</f>
        <v/>
      </c>
      <c r="AO282" s="26" t="str">
        <f aca="false">IF(AND(D282&gt;=Parameters!$B$18,L282=0),1,"")</f>
        <v/>
      </c>
      <c r="AP282" s="21" t="n">
        <f aca="false">MIN(IF(ISNUMBER(AK282),AK282,9000000000000000),IF(ISNUMBER(AL282),AL282,9000000000000000),IF(ISNUMBER(AM282),AM282,9000000000000000))</f>
        <v>9000000000000000</v>
      </c>
      <c r="AQ282" s="21" t="n">
        <f aca="false">MIN(IF(ISNUMBER(AG282),AG282,9000000000000000),IF(ISNUMBER(AH282),AH282,9000000000000000),IF(ISNUMBER(AI282),AI282,9000000000000000),IF(ISNUMBER(AJ282),AJ282,9000000000000000))</f>
        <v>37.4517507383159</v>
      </c>
      <c r="AR282" s="32" t="b">
        <f aca="false">IF(AW282&gt;Parameters!$B$21*(MAX(IF(AND(NOT(AND(AO282=1,AN282&lt;&gt;1)),ISNUMBER(AG282),AG282&lt;=T282),AS282,0),IF(AND(NOT(AND(AO282=1,AN282&lt;&gt;1)),ISNUMBER(AH282),AH282&lt;=T282),AT282,0),IF(AND(NOT(AND(AO282=1,AN282&lt;&gt;1)),ISNUMBER(AI282),AI282&lt;=T282),AU282,0),IF(AND(ISNUMBER(AJ282),AJ282&lt;=T282),AV282,0))),TRUE(),FALSE())</f>
        <v>1</v>
      </c>
      <c r="AS282" s="33" t="n">
        <f aca="false">IFERROR(Upgrades!$H$6*(POWER(Upgrades!$P$6,E282)*POWER(Upgrades!$P$7,F282)*POWER(Upgrades!$P$8,G282)*POWER(Upgrades!$P$9,H282)*POWER(Upgrades!$P$10,I282)*POWER(Upgrades!$P$11,J282)*POWER(Upgrades!$P$12,K282))*(IF(Upgrades!$T$7="Solar Wind",POWER(Upgrades!$U$7,F282),1)*IF(Upgrades!$T$8="Solar Wind",POWER(Upgrades!$U$8,G282),1)*IF(Upgrades!$T$9="Solar Wind",POWER(Upgrades!$U$9,H282),1)*IF(Upgrades!$T$10="Solar Wind",POWER(Upgrades!$U$10,I282),1)*IF(Upgrades!$T$11="Solar Wind",POWER(Upgrades!$U$11,J282),1)*IF(Upgrades!$T$12="Solar Wind",POWER(Upgrades!$U$12,K282),1))/AG282,0)</f>
        <v>0.0026701021455238</v>
      </c>
      <c r="AT282" s="33" t="n">
        <f aca="false">IFERROR(Upgrades!$H$7*(POWER(Upgrades!$P$6,E282)*POWER(Upgrades!$P$7,F282)*POWER(Upgrades!$P$8,G282)*POWER(Upgrades!$P$9,H282)*POWER(Upgrades!$P$10,I282)*POWER(Upgrades!$P$11,J282)*POWER(Upgrades!$P$12,K282))*(IF(Upgrades!$T$6="Asteroid Belt",POWER(Upgrades!$U$6,E282),1)*IF(Upgrades!$T$8="Asteroid Belt",POWER(Upgrades!$U$8,G282),1)*IF(Upgrades!$T$9="Asteroid Belt",POWER(Upgrades!$U$9,H282),1)*IF(Upgrades!$T$10="Asteroid Belt",POWER(Upgrades!$U$10,I282),1)*IF(Upgrades!$T$11="Asteroid Belt",POWER(Upgrades!$U$11,J282),1)*IF(Upgrades!$T$12="Asteroid Belt",POWER(Upgrades!$U$12,K282),1))/AH282,0)</f>
        <v>0.00308980882652332</v>
      </c>
      <c r="AU282" s="33" t="n">
        <f aca="false">IFERROR(Upgrades!$K$8*(POWER(Upgrades!$Q$6,E282)*POWER(Upgrades!$Q$7,F282)*POWER(Upgrades!$Q$8,G282)*POWER(Upgrades!$Q$9,H282)*POWER(Upgrades!$Q$10,I282)*POWER(Upgrades!$Q$11,J282)*POWER(Upgrades!$Q$12,K282))*(IF(Upgrades!$T$6="Stellar Coupling",POWER(Upgrades!$U$6,E282),1)*IF(Upgrades!$T$7="Stellar Coupling",POWER(Upgrades!$U$7,F282),1)*IF(Upgrades!$T$9="Stellar Coupling",POWER(Upgrades!$U$9,H282),1)*IF(Upgrades!$T$10="Stellar Coupling",POWER(Upgrades!$U$10,I282),1)*IF(Upgrades!$T$11="Stellar Coupling",POWER(Upgrades!$U$11,J282),1)*IF(Upgrades!$T$12="Stellar Coupling",POWER(Upgrades!$U$12,K282),1))*Parameters!$B$10*Parameters!$B$11/60/AI282,0)</f>
        <v>0.00452762415783776</v>
      </c>
      <c r="AV282" s="33" t="n">
        <f aca="false">IFERROR(Upgrades!$H$9*(POWER(Upgrades!$P$6,E282)*POWER(Upgrades!$P$7,F282)*POWER(Upgrades!$P$8,G282)*POWER(Upgrades!$P$9,H282)*POWER(Upgrades!$P$10,I282)*POWER(Upgrades!$P$11,J282)*POWER(Upgrades!$P$12,K282))*(IF(Upgrades!$T$6="Magnetosphere",POWER(Upgrades!$U$6,E282),1)*IF(Upgrades!$T$7="Magnetosphere",POWER(Upgrades!$U$7,F282),1)*IF(Upgrades!$T$8="Magnetosphere",POWER(Upgrades!$U$8,G282),1)*IF(Upgrades!$T$10="Magnetosphere",POWER(Upgrades!$U$10,I282),1)*IF(Upgrades!$T$11="Magnetosphere",POWER(Upgrades!$U$11,J282),1)*IF(Upgrades!$T$12="Magnetosphere",POWER(Upgrades!$U$12,K282),1))/AJ282,0)</f>
        <v>0</v>
      </c>
      <c r="AW282" s="33" t="n">
        <f aca="false">MAX(IF(I282&gt;0,0,IFERROR(0.25*N282/Upgrades!$C$10,0)),IF(J282&gt;0,0,IFERROR(0.5*((IF(G282=0,0,(Upgrades!$J$8+G282*Upgrades!$K$8)*POWER(Upgrades!$L$8,G282)))*(IF(Upgrades!$T$6="Stellar Coupling",POWER(Upgrades!$U$6,E282),1)*IF(Upgrades!$T$7="Stellar Coupling",POWER(Upgrades!$U$7,F282),1)*IF(Upgrades!$T$9="Stellar Coupling",POWER(Upgrades!$U$9,H282),1)*IF(Upgrades!$T$10="Stellar Coupling",POWER(Upgrades!$U$10,I282),1)*IF(Upgrades!$T$11="Stellar Coupling",POWER(Upgrades!$U$11,J282),1)*IF(Upgrades!$T$12="Stellar Coupling",POWER(Upgrades!$U$12,K282),1))*(POWER(Upgrades!$Q$6,E282)*POWER(Upgrades!$Q$7,F282)*POWER(Upgrades!$Q$8,G282)*POWER(Upgrades!$Q$9,H282)*POWER(Upgrades!$Q$10,I282)*POWER(Upgrades!$Q$11,J282)*POWER(Upgrades!$Q$12,K282))*Parameters!$B$10*Parameters!$B$11/60)/Upgrades!$C$11,0)),IF(K282&gt;0,0,IFERROR((1*(POWER(Upgrades!$P$6,E282)*POWER(Upgrades!$P$7,F282)*POWER(Upgrades!$P$8,G282)*POWER(Upgrades!$P$9,H282)*POWER(Upgrades!$P$10,I282)*POWER(Upgrades!$P$11,J282)*POWER(Upgrades!$P$12,K282))+0.2*M282*Parameters!$B$10*Parameters!$B$11/60)/Upgrades!$C$12,0)),IF(AND(ISNUMBER(AG282),AG282&gt;T282),AS282,0),IF(AND(ISNUMBER(AH282),AH282&gt;T282),AT282,0),IF(AND(ISNUMBER(AI282),AI282&gt;T282),AU282,0),IF(AND(ISNUMBER(AJ282),AJ282&gt;T282),AV282,0))</f>
        <v>0.00452762415783776</v>
      </c>
      <c r="AX282" s="29" t="str">
        <f aca="false">IF(AN282=1,"transition",IF(MIN(IF(AND(I282=0,ISNUMBER(AK282),AK282&lt;=T282),AK282,9000000000000000),IF(AND(J282=0,ISNUMBER(AL282),AL282&lt;=T282),AL282,9000000000000000),IF(AND(K282=0,ISNUMBER(AM282),AM282&lt;=T282),AM282,9000000000000000))&lt;9000000000000000,IF(AND(AND(I282=0,ISNUMBER(AK282),AK282&lt;=T282),AK282=MIN(IF(AND(I282=0,ISNUMBER(AK282),AK282&lt;=T282),AK282,9000000000000000),IF(AND(J282=0,ISNUMBER(AL282),AL282&lt;=T282),AL282,9000000000000000),IF(AND(K282=0,ISNUMBER(AM282),AM282&lt;=T282),AM282,9000000000000000))),"OR",IF(AND(AND(J282=0,ISNUMBER(AL282),AL282&lt;=T282),AL282=MIN(IF(AND(I282=0,ISNUMBER(AK282),AK282&lt;=T282),AK282,9000000000000000),IF(AND(J282=0,ISNUMBER(AL282),AL282&lt;=T282),AL282,9000000000000000),IF(AND(K282=0,ISNUMBER(AM282),AM282&lt;=T282),AM282,9000000000000000))),"HP","FP")),IF(AR282=TRUE(),"",IF(MAX(IF(AND(NOT(AND(AO282=1,AN282&lt;&gt;1)),ISNUMBER(AG282),AG282&lt;=T282),AS282,0),IF(AND(NOT(AND(AO282=1,AN282&lt;&gt;1)),ISNUMBER(AH282),AH282&lt;=T282),AT282,0),IF(AND(NOT(AND(AO282=1,AN282&lt;&gt;1)),ISNUMBER(AI282),AI282&lt;=T282),AU282,0),IF(AND(ISNUMBER(AJ282),AJ282&lt;=T282),AV282,0))&lt;=0,"",IF(AND(IF(AND(NOT(AND(AO282=1,AN282&lt;&gt;1)),ISNUMBER(AG282),AG282&lt;=T282),AS282,0)&gt;0,IF(AND(NOT(AND(AO282=1,AN282&lt;&gt;1)),ISNUMBER(AG282),AG282&lt;=T282),AS282,0)=MAX(IF(AND(NOT(AND(AO282=1,AN282&lt;&gt;1)),ISNUMBER(AG282),AG282&lt;=T282),AS282,0),IF(AND(NOT(AND(AO282=1,AN282&lt;&gt;1)),ISNUMBER(AH282),AH282&lt;=T282),AT282,0),IF(AND(NOT(AND(AO282=1,AN282&lt;&gt;1)),ISNUMBER(AI282),AI282&lt;=T282),AU282,0),IF(AND(ISNUMBER(AJ282),AJ282&lt;=T282),AV282,0))),"SW",IF(AND(IF(AND(NOT(AND(AO282=1,AN282&lt;&gt;1)),ISNUMBER(AH282),AH282&lt;=T282),AT282,0)&gt;0,IF(AND(NOT(AND(AO282=1,AN282&lt;&gt;1)),ISNUMBER(AH282),AH282&lt;=T282),AT282,0)=MAX(IF(AND(NOT(AND(AO282=1,AN282&lt;&gt;1)),ISNUMBER(AG282),AG282&lt;=T282),AS282,0),IF(AND(NOT(AND(AO282=1,AN282&lt;&gt;1)),ISNUMBER(AH282),AH282&lt;=T282),AT282,0),IF(AND(NOT(AND(AO282=1,AN282&lt;&gt;1)),ISNUMBER(AI282),AI282&lt;=T282),AU282,0),IF(AND(ISNUMBER(AJ282),AJ282&lt;=T282),AV282,0))),"AB",IF(AND(IF(AND(NOT(AND(AO282=1,AN282&lt;&gt;1)),ISNUMBER(AI282),AI282&lt;=T282),AU282,0)&gt;0,IF(AND(NOT(AND(AO282=1,AN282&lt;&gt;1)),ISNUMBER(AI282),AI282&lt;=T282),AU282,0)=MAX(IF(AND(NOT(AND(AO282=1,AN282&lt;&gt;1)),ISNUMBER(AG282),AG282&lt;=T282),AS282,0),IF(AND(NOT(AND(AO282=1,AN282&lt;&gt;1)),ISNUMBER(AH282),AH282&lt;=T282),AT282,0),IF(AND(NOT(AND(AO282=1,AN282&lt;&gt;1)),ISNUMBER(AI282),AI282&lt;=T282),AU282,0),IF(AND(ISNUMBER(AJ282),AJ282&lt;=T282),AV282,0))),"SC","Mag")))))))</f>
        <v/>
      </c>
    </row>
    <row r="283" customFormat="false" ht="15" hidden="false" customHeight="false" outlineLevel="0" collapsed="false">
      <c r="A283" s="26" t="n">
        <v>278</v>
      </c>
      <c r="B283" s="27" t="n">
        <f aca="false">A283*10/60</f>
        <v>46.3333333333333</v>
      </c>
      <c r="C283" s="21" t="n">
        <f aca="false">X282</f>
        <v>18.6730249835055</v>
      </c>
      <c r="D283" s="27" t="n">
        <f aca="false">D282+W282</f>
        <v>0</v>
      </c>
      <c r="E283" s="26" t="n">
        <f aca="false">E282+IF(U282="SW",1,0)</f>
        <v>12</v>
      </c>
      <c r="F283" s="26" t="n">
        <f aca="false">F282+IF(U282="AB",1,0)</f>
        <v>10</v>
      </c>
      <c r="G283" s="26" t="n">
        <f aca="false">G282+IF(U282="SC",1,0)</f>
        <v>7</v>
      </c>
      <c r="H283" s="26" t="n">
        <f aca="false">H282+IF(U282="Mag",1,0)</f>
        <v>5</v>
      </c>
      <c r="I283" s="26" t="n">
        <f aca="false">MAX(I282,IF(U282="OR",1,0))</f>
        <v>1</v>
      </c>
      <c r="J283" s="26" t="n">
        <f aca="false">MAX(J282,IF(U282="HP",1,0))</f>
        <v>1</v>
      </c>
      <c r="K283" s="26" t="n">
        <f aca="false">MAX(K282,IF(U282="FP",1,0))</f>
        <v>1</v>
      </c>
      <c r="L283" s="26" t="n">
        <f aca="false">MAX(L282,IF(U282="transition",1,0))</f>
        <v>1</v>
      </c>
      <c r="M283" s="28" t="n">
        <f aca="false">(Parameters!$B$9+(IF(E283=0,0,(Upgrades!$J$6+E283*Upgrades!$K$6)*POWER(Upgrades!$L$6,E283)))*(IF(Upgrades!$T$7="Solar Wind",POWER(Upgrades!$U$7,F283),1)*IF(Upgrades!$T$8="Solar Wind",POWER(Upgrades!$U$8,G283),1)*IF(Upgrades!$T$9="Solar Wind",POWER(Upgrades!$U$9,H283),1)*IF(Upgrades!$T$10="Solar Wind",POWER(Upgrades!$U$10,I283),1)*IF(Upgrades!$T$11="Solar Wind",POWER(Upgrades!$U$11,J283),1)*IF(Upgrades!$T$12="Solar Wind",POWER(Upgrades!$U$12,K283),1))+(IF(F283=0,0,(Upgrades!$J$7+F283*Upgrades!$K$7)*POWER(Upgrades!$L$7,F283)))*(IF(Upgrades!$T$6="Asteroid Belt",POWER(Upgrades!$U$6,E283),1)*IF(Upgrades!$T$8="Asteroid Belt",POWER(Upgrades!$U$8,G283),1)*IF(Upgrades!$T$9="Asteroid Belt",POWER(Upgrades!$U$9,H283),1)*IF(Upgrades!$T$10="Asteroid Belt",POWER(Upgrades!$U$10,I283),1)*IF(Upgrades!$T$11="Asteroid Belt",POWER(Upgrades!$U$11,J283),1)*IF(Upgrades!$T$12="Asteroid Belt",POWER(Upgrades!$U$12,K283),1))+(IF(G283=0,0,(Upgrades!$J$8+G283*Upgrades!$K$8)*POWER(Upgrades!$L$8,G283)))*(IF(Upgrades!$T$6="Stellar Coupling",POWER(Upgrades!$U$6,E283),1)*IF(Upgrades!$T$7="Stellar Coupling",POWER(Upgrades!$U$7,F283),1)*IF(Upgrades!$T$9="Stellar Coupling",POWER(Upgrades!$U$9,H283),1)*IF(Upgrades!$T$10="Stellar Coupling",POWER(Upgrades!$U$10,I283),1)*IF(Upgrades!$T$11="Stellar Coupling",POWER(Upgrades!$U$11,J283),1)*IF(Upgrades!$T$12="Stellar Coupling",POWER(Upgrades!$U$12,K283),1))+(IF(H283=0,0,(Upgrades!$J$9+H283*Upgrades!$K$9)*POWER(Upgrades!$L$9,H283)))*(IF(Upgrades!$T$6="Magnetosphere",POWER(Upgrades!$U$6,E283),1)*IF(Upgrades!$T$7="Magnetosphere",POWER(Upgrades!$U$7,F283),1)*IF(Upgrades!$T$8="Magnetosphere",POWER(Upgrades!$U$8,G283),1)*IF(Upgrades!$T$10="Magnetosphere",POWER(Upgrades!$U$10,I283),1)*IF(Upgrades!$T$11="Magnetosphere",POWER(Upgrades!$U$11,J283),1)*IF(Upgrades!$T$12="Magnetosphere",POWER(Upgrades!$U$12,K283),1))+(IF(I283=0,0,(Upgrades!$J$10+I283*Upgrades!$K$10)*POWER(Upgrades!$L$10,I283)))*(IF(Upgrades!$T$6="Orbital Resonance",POWER(Upgrades!$U$6,E283),1)*IF(Upgrades!$T$7="Orbital Resonance",POWER(Upgrades!$U$7,F283),1)*IF(Upgrades!$T$8="Orbital Resonance",POWER(Upgrades!$U$8,G283),1)*IF(Upgrades!$T$9="Orbital Resonance",POWER(Upgrades!$U$9,H283),1)*IF(Upgrades!$T$11="Orbital Resonance",POWER(Upgrades!$U$11,J283),1)*IF(Upgrades!$T$12="Orbital Resonance",POWER(Upgrades!$U$12,K283),1))+(IF(J283=0,0,(Upgrades!$J$11+J283*Upgrades!$K$11)*POWER(Upgrades!$L$11,J283)))*(IF(Upgrades!$T$6="Heliopause",POWER(Upgrades!$U$6,E283),1)*IF(Upgrades!$T$7="Heliopause",POWER(Upgrades!$U$7,F283),1)*IF(Upgrades!$T$8="Heliopause",POWER(Upgrades!$U$8,G283),1)*IF(Upgrades!$T$9="Heliopause",POWER(Upgrades!$U$9,H283),1)*IF(Upgrades!$T$10="Heliopause",POWER(Upgrades!$U$10,I283),1)*IF(Upgrades!$T$12="Heliopause",POWER(Upgrades!$U$12,K283),1))+(IF(K283=0,0,(Upgrades!$J$12+K283*Upgrades!$K$12)*POWER(Upgrades!$L$12,K283)))*(IF(Upgrades!$T$6="First Photons",POWER(Upgrades!$U$6,E283),1)*IF(Upgrades!$T$7="First Photons",POWER(Upgrades!$U$7,F283),1)*IF(Upgrades!$T$8="First Photons",POWER(Upgrades!$U$8,G283),1)*IF(Upgrades!$T$9="First Photons",POWER(Upgrades!$U$9,H283),1)*IF(Upgrades!$T$10="First Photons",POWER(Upgrades!$U$10,I283),1)*IF(Upgrades!$T$11="First Photons",POWER(Upgrades!$U$11,J283),1)))*POWER(Upgrades!$Q$6,E283)*POWER(Upgrades!$Q$7,F283)*POWER(Upgrades!$Q$8,G283)*POWER(Upgrades!$Q$9,H283)*POWER(Upgrades!$Q$10,I283)*POWER(Upgrades!$Q$11,J283)*POWER(Upgrades!$Q$12,K283)</f>
        <v>5.61</v>
      </c>
      <c r="N283" s="28" t="n">
        <f aca="false">((IF(E283=0,0,(Upgrades!$G$6+E283*Upgrades!$H$6)*POWER(Upgrades!$I$6,E283)))*(IF(Upgrades!$T$7="Solar Wind",POWER(Upgrades!$U$7,F283),1)*IF(Upgrades!$T$8="Solar Wind",POWER(Upgrades!$U$8,G283),1)*IF(Upgrades!$T$9="Solar Wind",POWER(Upgrades!$U$9,H283),1)*IF(Upgrades!$T$10="Solar Wind",POWER(Upgrades!$U$10,I283),1)*IF(Upgrades!$T$11="Solar Wind",POWER(Upgrades!$U$11,J283),1)*IF(Upgrades!$T$12="Solar Wind",POWER(Upgrades!$U$12,K283),1))+(IF(F283=0,0,(Upgrades!$G$7+F283*Upgrades!$H$7)*POWER(Upgrades!$I$7,F283)))*(IF(Upgrades!$T$6="Asteroid Belt",POWER(Upgrades!$U$6,E283),1)*IF(Upgrades!$T$8="Asteroid Belt",POWER(Upgrades!$U$8,G283),1)*IF(Upgrades!$T$9="Asteroid Belt",POWER(Upgrades!$U$9,H283),1)*IF(Upgrades!$T$10="Asteroid Belt",POWER(Upgrades!$U$10,I283),1)*IF(Upgrades!$T$11="Asteroid Belt",POWER(Upgrades!$U$11,J283),1)*IF(Upgrades!$T$12="Asteroid Belt",POWER(Upgrades!$U$12,K283),1))+(IF(G283=0,0,(Upgrades!$G$8+G283*Upgrades!$H$8)*POWER(Upgrades!$I$8,G283)))*(IF(Upgrades!$T$6="Stellar Coupling",POWER(Upgrades!$U$6,E283),1)*IF(Upgrades!$T$7="Stellar Coupling",POWER(Upgrades!$U$7,F283),1)*IF(Upgrades!$T$9="Stellar Coupling",POWER(Upgrades!$U$9,H283),1)*IF(Upgrades!$T$10="Stellar Coupling",POWER(Upgrades!$U$10,I283),1)*IF(Upgrades!$T$11="Stellar Coupling",POWER(Upgrades!$U$11,J283),1)*IF(Upgrades!$T$12="Stellar Coupling",POWER(Upgrades!$U$12,K283),1))+(IF(H283=0,0,(Upgrades!$G$9+H283*Upgrades!$H$9)*POWER(Upgrades!$I$9,H283)))*(IF(Upgrades!$T$6="Magnetosphere",POWER(Upgrades!$U$6,E283),1)*IF(Upgrades!$T$7="Magnetosphere",POWER(Upgrades!$U$7,F283),1)*IF(Upgrades!$T$8="Magnetosphere",POWER(Upgrades!$U$8,G283),1)*IF(Upgrades!$T$10="Magnetosphere",POWER(Upgrades!$U$10,I283),1)*IF(Upgrades!$T$11="Magnetosphere",POWER(Upgrades!$U$11,J283),1)*IF(Upgrades!$T$12="Magnetosphere",POWER(Upgrades!$U$12,K283),1))+(IF(I283=0,0,(Upgrades!$G$10+I283*Upgrades!$H$10)*POWER(Upgrades!$I$10,I283)))*(IF(Upgrades!$T$6="Orbital Resonance",POWER(Upgrades!$U$6,E283),1)*IF(Upgrades!$T$7="Orbital Resonance",POWER(Upgrades!$U$7,F283),1)*IF(Upgrades!$T$8="Orbital Resonance",POWER(Upgrades!$U$8,G283),1)*IF(Upgrades!$T$9="Orbital Resonance",POWER(Upgrades!$U$9,H283),1)*IF(Upgrades!$T$11="Orbital Resonance",POWER(Upgrades!$U$11,J283),1)*IF(Upgrades!$T$12="Orbital Resonance",POWER(Upgrades!$U$12,K283),1))+(IF(J283=0,0,(Upgrades!$G$11+J283*Upgrades!$H$11)*POWER(Upgrades!$I$11,J283)))*(IF(Upgrades!$T$6="Heliopause",POWER(Upgrades!$U$6,E283),1)*IF(Upgrades!$T$7="Heliopause",POWER(Upgrades!$U$7,F283),1)*IF(Upgrades!$T$8="Heliopause",POWER(Upgrades!$U$8,G283),1)*IF(Upgrades!$T$9="Heliopause",POWER(Upgrades!$U$9,H283),1)*IF(Upgrades!$T$10="Heliopause",POWER(Upgrades!$U$10,I283),1)*IF(Upgrades!$T$12="Heliopause",POWER(Upgrades!$U$12,K283),1))+(IF(K283=0,0,(Upgrades!$G$12+K283*Upgrades!$H$12)*POWER(Upgrades!$I$12,K283)))*(IF(Upgrades!$T$6="First Photons",POWER(Upgrades!$U$6,E283),1)*IF(Upgrades!$T$7="First Photons",POWER(Upgrades!$U$7,F283),1)*IF(Upgrades!$T$8="First Photons",POWER(Upgrades!$U$8,G283),1)*IF(Upgrades!$T$9="First Photons",POWER(Upgrades!$U$9,H283),1)*IF(Upgrades!$T$10="First Photons",POWER(Upgrades!$U$10,I283),1)*IF(Upgrades!$T$11="First Photons",POWER(Upgrades!$U$11,J283),1)))*POWER(Upgrades!$P$6,E283)*POWER(Upgrades!$P$7,F283)*POWER(Upgrades!$P$8,G283)*POWER(Upgrades!$P$9,H283)*POWER(Upgrades!$P$10,I283)*POWER(Upgrades!$P$11,J283)*POWER(Upgrades!$P$12,K283)</f>
        <v>11.2</v>
      </c>
      <c r="O283" s="28" t="n">
        <f aca="false">((IF(E283=0,0,(Upgrades!$M$6+E283*Upgrades!$N$6)*POWER(Upgrades!$O$6,E283)))*(IF(Upgrades!$T$7="Solar Wind",POWER(Upgrades!$U$7,F283),1)*IF(Upgrades!$T$8="Solar Wind",POWER(Upgrades!$U$8,G283),1)*IF(Upgrades!$T$9="Solar Wind",POWER(Upgrades!$U$9,H283),1)*IF(Upgrades!$T$10="Solar Wind",POWER(Upgrades!$U$10,I283),1)*IF(Upgrades!$T$11="Solar Wind",POWER(Upgrades!$U$11,J283),1)*IF(Upgrades!$T$12="Solar Wind",POWER(Upgrades!$U$12,K283),1))+(IF(F283=0,0,(Upgrades!$M$7+F283*Upgrades!$N$7)*POWER(Upgrades!$O$7,F283)))*(IF(Upgrades!$T$6="Asteroid Belt",POWER(Upgrades!$U$6,E283),1)*IF(Upgrades!$T$8="Asteroid Belt",POWER(Upgrades!$U$8,G283),1)*IF(Upgrades!$T$9="Asteroid Belt",POWER(Upgrades!$U$9,H283),1)*IF(Upgrades!$T$10="Asteroid Belt",POWER(Upgrades!$U$10,I283),1)*IF(Upgrades!$T$11="Asteroid Belt",POWER(Upgrades!$U$11,J283),1)*IF(Upgrades!$T$12="Asteroid Belt",POWER(Upgrades!$U$12,K283),1))+(IF(G283=0,0,(Upgrades!$M$8+G283*Upgrades!$N$8)*POWER(Upgrades!$O$8,G283)))*(IF(Upgrades!$T$6="Stellar Coupling",POWER(Upgrades!$U$6,E283),1)*IF(Upgrades!$T$7="Stellar Coupling",POWER(Upgrades!$U$7,F283),1)*IF(Upgrades!$T$9="Stellar Coupling",POWER(Upgrades!$U$9,H283),1)*IF(Upgrades!$T$10="Stellar Coupling",POWER(Upgrades!$U$10,I283),1)*IF(Upgrades!$T$11="Stellar Coupling",POWER(Upgrades!$U$11,J283),1)*IF(Upgrades!$T$12="Stellar Coupling",POWER(Upgrades!$U$12,K283),1))+(IF(H283=0,0,(Upgrades!$M$9+H283*Upgrades!$N$9)*POWER(Upgrades!$O$9,H283)))*(IF(Upgrades!$T$6="Magnetosphere",POWER(Upgrades!$U$6,E283),1)*IF(Upgrades!$T$7="Magnetosphere",POWER(Upgrades!$U$7,F283),1)*IF(Upgrades!$T$8="Magnetosphere",POWER(Upgrades!$U$8,G283),1)*IF(Upgrades!$T$10="Magnetosphere",POWER(Upgrades!$U$10,I283),1)*IF(Upgrades!$T$11="Magnetosphere",POWER(Upgrades!$U$11,J283),1)*IF(Upgrades!$T$12="Magnetosphere",POWER(Upgrades!$U$12,K283),1))+(IF(I283=0,0,(Upgrades!$M$10+I283*Upgrades!$N$10)*POWER(Upgrades!$O$10,I283)))*(IF(Upgrades!$T$6="Orbital Resonance",POWER(Upgrades!$U$6,E283),1)*IF(Upgrades!$T$7="Orbital Resonance",POWER(Upgrades!$U$7,F283),1)*IF(Upgrades!$T$8="Orbital Resonance",POWER(Upgrades!$U$8,G283),1)*IF(Upgrades!$T$9="Orbital Resonance",POWER(Upgrades!$U$9,H283),1)*IF(Upgrades!$T$11="Orbital Resonance",POWER(Upgrades!$U$11,J283),1)*IF(Upgrades!$T$12="Orbital Resonance",POWER(Upgrades!$U$12,K283),1))+(IF(J283=0,0,(Upgrades!$M$11+J283*Upgrades!$N$11)*POWER(Upgrades!$O$11,J283)))*(IF(Upgrades!$T$6="Heliopause",POWER(Upgrades!$U$6,E283),1)*IF(Upgrades!$T$7="Heliopause",POWER(Upgrades!$U$7,F283),1)*IF(Upgrades!$T$8="Heliopause",POWER(Upgrades!$U$8,G283),1)*IF(Upgrades!$T$9="Heliopause",POWER(Upgrades!$U$9,H283),1)*IF(Upgrades!$T$10="Heliopause",POWER(Upgrades!$U$10,I283),1)*IF(Upgrades!$T$12="Heliopause",POWER(Upgrades!$U$12,K283),1))+(IF(K283=0,0,(Upgrades!$M$12+K283*Upgrades!$N$12)*POWER(Upgrades!$O$12,K283)))*(IF(Upgrades!$T$6="First Photons",POWER(Upgrades!$U$6,E283),1)*IF(Upgrades!$T$7="First Photons",POWER(Upgrades!$U$7,F283),1)*IF(Upgrades!$T$8="First Photons",POWER(Upgrades!$U$8,G283),1)*IF(Upgrades!$T$9="First Photons",POWER(Upgrades!$U$9,H283),1)*IF(Upgrades!$T$10="First Photons",POWER(Upgrades!$U$10,I283),1)*IF(Upgrades!$T$11="First Photons",POWER(Upgrades!$U$11,J283),1)))*POWER(Upgrades!$R$6,E283)*POWER(Upgrades!$R$7,F283)*POWER(Upgrades!$R$8,G283)*POWER(Upgrades!$R$9,H283)*POWER(Upgrades!$R$10,I283)*POWER(Upgrades!$R$11,J283)*POWER(Upgrades!$R$12,K283)</f>
        <v>0</v>
      </c>
      <c r="P283" s="27" t="n">
        <f aca="false">IF(L283=1,0,M283*Parameters!$B$10/60*Parameters!$B$11*10)</f>
        <v>0</v>
      </c>
      <c r="Q283" s="27" t="n">
        <f aca="false">IF(L283=1,0,O283*M283*10)</f>
        <v>0</v>
      </c>
      <c r="R283" s="27" t="n">
        <f aca="false">IF(L283=1,0,N283*10)</f>
        <v>0</v>
      </c>
      <c r="S283" s="27" t="n">
        <f aca="false">P283+Q283+R283</f>
        <v>0</v>
      </c>
      <c r="T283" s="21" t="n">
        <f aca="false">C283+S283</f>
        <v>18.6730249835055</v>
      </c>
      <c r="U283" s="34" t="str">
        <f aca="false">AX283</f>
        <v/>
      </c>
      <c r="V283" s="21" t="n">
        <f aca="false">IF(U283="",0,IF(U283="transition",0,IF(U283="SW",AG283,IF(U283="AB",AH283,IF(U283="SC",AI283,IF(U283="Mag",AJ283,IF(U283="OR",AK283,IF(U283="HP",AL283,IF(U283="FP",AM283,0)))))))))</f>
        <v>0</v>
      </c>
      <c r="W283" s="27" t="n">
        <f aca="false">IF(U283="OR",Upgrades!$F$10,IF(U283="HP",Upgrades!$F$11,IF(U283="transition",-Parameters!$B$18,0)))</f>
        <v>0</v>
      </c>
      <c r="X283" s="21" t="n">
        <f aca="false">T283-V283</f>
        <v>18.6730249835055</v>
      </c>
      <c r="Y283" s="30" t="n">
        <f aca="false">M283*Parameters!$B$10/60*Parameters!$B$11+O283*M283+N283</f>
        <v>20.55</v>
      </c>
      <c r="Z283" s="35" t="str">
        <f aca="false">IF(U283="transition","→ Tier 2 (Stellar Neighborhood)",IF(U283="FP","First Photons — light begins, system quickens",IF(U283="HP","Heliopause acquired",IF(U283="OR","Orbital Resonance — passive multiplier active",IF(AND(AO283=1,L283=0,AN283&lt;&gt;1),"Cohesion ready (waiting on completionist upgrades)","")))))</f>
        <v/>
      </c>
      <c r="AA283" s="27" t="n">
        <f aca="false">(IF(E283=0,0,(Upgrades!$G$6+E283*Upgrades!$H$6)*POWER(Upgrades!$I$6,E283)))*(IF(Upgrades!$T$7="Solar Wind",POWER(Upgrades!$U$7,F283),1)*IF(Upgrades!$T$8="Solar Wind",POWER(Upgrades!$U$8,G283),1)*IF(Upgrades!$T$9="Solar Wind",POWER(Upgrades!$U$9,H283),1)*IF(Upgrades!$T$10="Solar Wind",POWER(Upgrades!$U$10,I283),1)*IF(Upgrades!$T$11="Solar Wind",POWER(Upgrades!$U$11,J283),1)*IF(Upgrades!$T$12="Solar Wind",POWER(Upgrades!$U$12,K283),1))*POWER(Upgrades!$P$6,E283)*POWER(Upgrades!$P$7,F283)*POWER(Upgrades!$P$8,G283)*POWER(Upgrades!$P$9,H283)*POWER(Upgrades!$P$10,I283)*POWER(Upgrades!$P$11,J283)*POWER(Upgrades!$P$12,K283)*60</f>
        <v>72</v>
      </c>
      <c r="AB283" s="27" t="n">
        <f aca="false">(IF(F283=0,0,(Upgrades!$G$7+F283*Upgrades!$H$7)*POWER(Upgrades!$I$7,F283)))*(IF(Upgrades!$T$6="Asteroid Belt",POWER(Upgrades!$U$6,E283),1)*IF(Upgrades!$T$8="Asteroid Belt",POWER(Upgrades!$U$8,G283),1)*IF(Upgrades!$T$9="Asteroid Belt",POWER(Upgrades!$U$9,H283),1)*IF(Upgrades!$T$10="Asteroid Belt",POWER(Upgrades!$U$10,I283),1)*IF(Upgrades!$T$11="Asteroid Belt",POWER(Upgrades!$U$11,J283),1)*IF(Upgrades!$T$12="Asteroid Belt",POWER(Upgrades!$U$12,K283),1))*POWER(Upgrades!$P$6,E283)*POWER(Upgrades!$P$7,F283)*POWER(Upgrades!$P$8,G283)*POWER(Upgrades!$P$9,H283)*POWER(Upgrades!$P$10,I283)*POWER(Upgrades!$P$11,J283)*POWER(Upgrades!$P$12,K283)*60</f>
        <v>150</v>
      </c>
      <c r="AC283" s="27" t="n">
        <f aca="false">(IF(G283=0,0,(Upgrades!$J$8+G283*Upgrades!$K$8)*POWER(Upgrades!$L$8,G283)))*(IF(Upgrades!$T$6="Stellar Coupling",POWER(Upgrades!$U$6,E283),1)*IF(Upgrades!$T$7="Stellar Coupling",POWER(Upgrades!$U$7,F283),1)*IF(Upgrades!$T$9="Stellar Coupling",POWER(Upgrades!$U$9,H283),1)*IF(Upgrades!$T$10="Stellar Coupling",POWER(Upgrades!$U$10,I283),1)*IF(Upgrades!$T$11="Stellar Coupling",POWER(Upgrades!$U$11,J283),1)*IF(Upgrades!$T$12="Stellar Coupling",POWER(Upgrades!$U$12,K283),1))*POWER(Upgrades!$Q$6,E283)*POWER(Upgrades!$Q$7,F283)*POWER(Upgrades!$Q$8,G283)*POWER(Upgrades!$Q$9,H283)*POWER(Upgrades!$Q$10,I283)*POWER(Upgrades!$Q$11,J283)*POWER(Upgrades!$Q$12,K283)*Parameters!$B$10*Parameters!$B$11</f>
        <v>441</v>
      </c>
      <c r="AD283" s="27" t="n">
        <f aca="false">(IF(H283=0,0,(Upgrades!$G$9+H283*Upgrades!$H$9)*POWER(Upgrades!$I$9,H283)))*(IF(Upgrades!$T$6="Magnetosphere",POWER(Upgrades!$U$6,E283),1)*IF(Upgrades!$T$7="Magnetosphere",POWER(Upgrades!$U$7,F283),1)*IF(Upgrades!$T$8="Magnetosphere",POWER(Upgrades!$U$8,G283),1)*IF(Upgrades!$T$10="Magnetosphere",POWER(Upgrades!$U$10,I283),1)*IF(Upgrades!$T$11="Magnetosphere",POWER(Upgrades!$U$11,J283),1)*IF(Upgrades!$T$12="Magnetosphere",POWER(Upgrades!$U$12,K283),1))*POWER(Upgrades!$P$6,E283)*POWER(Upgrades!$P$7,F283)*POWER(Upgrades!$P$8,G283)*POWER(Upgrades!$P$9,H283)*POWER(Upgrades!$P$10,I283)*POWER(Upgrades!$P$11,J283)*POWER(Upgrades!$P$12,K283)*60</f>
        <v>375</v>
      </c>
      <c r="AE283" s="27" t="n">
        <f aca="false">(IF(K283=0,0,(Upgrades!$G$12+K283*Upgrades!$H$12)*POWER(Upgrades!$I$12,K283)))*(IF(Upgrades!$T$6="First Photons",POWER(Upgrades!$U$6,E283),1)*IF(Upgrades!$T$7="First Photons",POWER(Upgrades!$U$7,F283),1)*IF(Upgrades!$T$8="First Photons",POWER(Upgrades!$U$8,G283),1)*IF(Upgrades!$T$9="First Photons",POWER(Upgrades!$U$9,H283),1)*IF(Upgrades!$T$10="First Photons",POWER(Upgrades!$U$10,I283),1)*IF(Upgrades!$T$11="First Photons",POWER(Upgrades!$U$11,J283),1))*POWER(Upgrades!$P$6,E283)*POWER(Upgrades!$P$7,F283)*POWER(Upgrades!$P$8,G283)*POWER(Upgrades!$P$9,H283)*POWER(Upgrades!$P$10,I283)*POWER(Upgrades!$P$11,J283)*POWER(Upgrades!$P$12,K283)*60</f>
        <v>75</v>
      </c>
      <c r="AF283" s="27" t="n">
        <f aca="false">Parameters!$B$9*POWER(Upgrades!$Q$6,E283)*POWER(Upgrades!$Q$7,F283)*POWER(Upgrades!$Q$8,G283)*POWER(Upgrades!$Q$9,H283)*POWER(Upgrades!$Q$10,I283)*POWER(Upgrades!$Q$11,J283)*POWER(Upgrades!$Q$12,K283)*(Parameters!$B$10*Parameters!$B$11+O283*60)</f>
        <v>120</v>
      </c>
      <c r="AG283" s="21" t="n">
        <f aca="false">IF(E283&gt;=Upgrades!$E$6,"",Upgrades!$C$6*POWER(Upgrades!$D$6,E283))</f>
        <v>37.4517507383159</v>
      </c>
      <c r="AH283" s="21" t="n">
        <f aca="false">IF(F283&gt;=Upgrades!$E$7,"",Upgrades!$C$7*POWER(Upgrades!$D$7,F283))</f>
        <v>80.9111547141581</v>
      </c>
      <c r="AI283" s="21" t="n">
        <f aca="false">IF(G283&gt;=Upgrades!$E$8,"",Upgrades!$C$8*POWER(Upgrades!$D$8,G283))</f>
        <v>231.9097088</v>
      </c>
      <c r="AJ283" s="21" t="str">
        <f aca="false">IF(H283&gt;=Upgrades!$E$9,"",Upgrades!$C$9*POWER(Upgrades!$D$9,H283))</f>
        <v/>
      </c>
      <c r="AK283" s="21" t="str">
        <f aca="false">IF(I283&gt;=Upgrades!$E$10,"",Upgrades!$C$10*POWER(Upgrades!$D$10,I283))</f>
        <v/>
      </c>
      <c r="AL283" s="21" t="str">
        <f aca="false">IF(J283&gt;=Upgrades!$E$11,"",Upgrades!$C$11*POWER(Upgrades!$D$11,J283))</f>
        <v/>
      </c>
      <c r="AM283" s="21" t="str">
        <f aca="false">IF(K283&gt;=Upgrades!$E$12,"",Upgrades!$C$12*POWER(Upgrades!$D$12,K283))</f>
        <v/>
      </c>
      <c r="AN283" s="26" t="str">
        <f aca="false">IF(AND(D283&gt;=Parameters!$B$18,(H283&gt;=Upgrades!$E$9)*(K283&gt;=Upgrades!$E$12)=1,L283=0),1,"")</f>
        <v/>
      </c>
      <c r="AO283" s="26" t="str">
        <f aca="false">IF(AND(D283&gt;=Parameters!$B$18,L283=0),1,"")</f>
        <v/>
      </c>
      <c r="AP283" s="21" t="n">
        <f aca="false">MIN(IF(ISNUMBER(AK283),AK283,9000000000000000),IF(ISNUMBER(AL283),AL283,9000000000000000),IF(ISNUMBER(AM283),AM283,9000000000000000))</f>
        <v>9000000000000000</v>
      </c>
      <c r="AQ283" s="21" t="n">
        <f aca="false">MIN(IF(ISNUMBER(AG283),AG283,9000000000000000),IF(ISNUMBER(AH283),AH283,9000000000000000),IF(ISNUMBER(AI283),AI283,9000000000000000),IF(ISNUMBER(AJ283),AJ283,9000000000000000))</f>
        <v>37.4517507383159</v>
      </c>
      <c r="AR283" s="32" t="b">
        <f aca="false">IF(AW283&gt;Parameters!$B$21*(MAX(IF(AND(NOT(AND(AO283=1,AN283&lt;&gt;1)),ISNUMBER(AG283),AG283&lt;=T283),AS283,0),IF(AND(NOT(AND(AO283=1,AN283&lt;&gt;1)),ISNUMBER(AH283),AH283&lt;=T283),AT283,0),IF(AND(NOT(AND(AO283=1,AN283&lt;&gt;1)),ISNUMBER(AI283),AI283&lt;=T283),AU283,0),IF(AND(ISNUMBER(AJ283),AJ283&lt;=T283),AV283,0))),TRUE(),FALSE())</f>
        <v>1</v>
      </c>
      <c r="AS283" s="33" t="n">
        <f aca="false">IFERROR(Upgrades!$H$6*(POWER(Upgrades!$P$6,E283)*POWER(Upgrades!$P$7,F283)*POWER(Upgrades!$P$8,G283)*POWER(Upgrades!$P$9,H283)*POWER(Upgrades!$P$10,I283)*POWER(Upgrades!$P$11,J283)*POWER(Upgrades!$P$12,K283))*(IF(Upgrades!$T$7="Solar Wind",POWER(Upgrades!$U$7,F283),1)*IF(Upgrades!$T$8="Solar Wind",POWER(Upgrades!$U$8,G283),1)*IF(Upgrades!$T$9="Solar Wind",POWER(Upgrades!$U$9,H283),1)*IF(Upgrades!$T$10="Solar Wind",POWER(Upgrades!$U$10,I283),1)*IF(Upgrades!$T$11="Solar Wind",POWER(Upgrades!$U$11,J283),1)*IF(Upgrades!$T$12="Solar Wind",POWER(Upgrades!$U$12,K283),1))/AG283,0)</f>
        <v>0.0026701021455238</v>
      </c>
      <c r="AT283" s="33" t="n">
        <f aca="false">IFERROR(Upgrades!$H$7*(POWER(Upgrades!$P$6,E283)*POWER(Upgrades!$P$7,F283)*POWER(Upgrades!$P$8,G283)*POWER(Upgrades!$P$9,H283)*POWER(Upgrades!$P$10,I283)*POWER(Upgrades!$P$11,J283)*POWER(Upgrades!$P$12,K283))*(IF(Upgrades!$T$6="Asteroid Belt",POWER(Upgrades!$U$6,E283),1)*IF(Upgrades!$T$8="Asteroid Belt",POWER(Upgrades!$U$8,G283),1)*IF(Upgrades!$T$9="Asteroid Belt",POWER(Upgrades!$U$9,H283),1)*IF(Upgrades!$T$10="Asteroid Belt",POWER(Upgrades!$U$10,I283),1)*IF(Upgrades!$T$11="Asteroid Belt",POWER(Upgrades!$U$11,J283),1)*IF(Upgrades!$T$12="Asteroid Belt",POWER(Upgrades!$U$12,K283),1))/AH283,0)</f>
        <v>0.00308980882652332</v>
      </c>
      <c r="AU283" s="33" t="n">
        <f aca="false">IFERROR(Upgrades!$K$8*(POWER(Upgrades!$Q$6,E283)*POWER(Upgrades!$Q$7,F283)*POWER(Upgrades!$Q$8,G283)*POWER(Upgrades!$Q$9,H283)*POWER(Upgrades!$Q$10,I283)*POWER(Upgrades!$Q$11,J283)*POWER(Upgrades!$Q$12,K283))*(IF(Upgrades!$T$6="Stellar Coupling",POWER(Upgrades!$U$6,E283),1)*IF(Upgrades!$T$7="Stellar Coupling",POWER(Upgrades!$U$7,F283),1)*IF(Upgrades!$T$9="Stellar Coupling",POWER(Upgrades!$U$9,H283),1)*IF(Upgrades!$T$10="Stellar Coupling",POWER(Upgrades!$U$10,I283),1)*IF(Upgrades!$T$11="Stellar Coupling",POWER(Upgrades!$U$11,J283),1)*IF(Upgrades!$T$12="Stellar Coupling",POWER(Upgrades!$U$12,K283),1))*Parameters!$B$10*Parameters!$B$11/60/AI283,0)</f>
        <v>0.00452762415783776</v>
      </c>
      <c r="AV283" s="33" t="n">
        <f aca="false">IFERROR(Upgrades!$H$9*(POWER(Upgrades!$P$6,E283)*POWER(Upgrades!$P$7,F283)*POWER(Upgrades!$P$8,G283)*POWER(Upgrades!$P$9,H283)*POWER(Upgrades!$P$10,I283)*POWER(Upgrades!$P$11,J283)*POWER(Upgrades!$P$12,K283))*(IF(Upgrades!$T$6="Magnetosphere",POWER(Upgrades!$U$6,E283),1)*IF(Upgrades!$T$7="Magnetosphere",POWER(Upgrades!$U$7,F283),1)*IF(Upgrades!$T$8="Magnetosphere",POWER(Upgrades!$U$8,G283),1)*IF(Upgrades!$T$10="Magnetosphere",POWER(Upgrades!$U$10,I283),1)*IF(Upgrades!$T$11="Magnetosphere",POWER(Upgrades!$U$11,J283),1)*IF(Upgrades!$T$12="Magnetosphere",POWER(Upgrades!$U$12,K283),1))/AJ283,0)</f>
        <v>0</v>
      </c>
      <c r="AW283" s="33" t="n">
        <f aca="false">MAX(IF(I283&gt;0,0,IFERROR(0.25*N283/Upgrades!$C$10,0)),IF(J283&gt;0,0,IFERROR(0.5*((IF(G283=0,0,(Upgrades!$J$8+G283*Upgrades!$K$8)*POWER(Upgrades!$L$8,G283)))*(IF(Upgrades!$T$6="Stellar Coupling",POWER(Upgrades!$U$6,E283),1)*IF(Upgrades!$T$7="Stellar Coupling",POWER(Upgrades!$U$7,F283),1)*IF(Upgrades!$T$9="Stellar Coupling",POWER(Upgrades!$U$9,H283),1)*IF(Upgrades!$T$10="Stellar Coupling",POWER(Upgrades!$U$10,I283),1)*IF(Upgrades!$T$11="Stellar Coupling",POWER(Upgrades!$U$11,J283),1)*IF(Upgrades!$T$12="Stellar Coupling",POWER(Upgrades!$U$12,K283),1))*(POWER(Upgrades!$Q$6,E283)*POWER(Upgrades!$Q$7,F283)*POWER(Upgrades!$Q$8,G283)*POWER(Upgrades!$Q$9,H283)*POWER(Upgrades!$Q$10,I283)*POWER(Upgrades!$Q$11,J283)*POWER(Upgrades!$Q$12,K283))*Parameters!$B$10*Parameters!$B$11/60)/Upgrades!$C$11,0)),IF(K283&gt;0,0,IFERROR((1*(POWER(Upgrades!$P$6,E283)*POWER(Upgrades!$P$7,F283)*POWER(Upgrades!$P$8,G283)*POWER(Upgrades!$P$9,H283)*POWER(Upgrades!$P$10,I283)*POWER(Upgrades!$P$11,J283)*POWER(Upgrades!$P$12,K283))+0.2*M283*Parameters!$B$10*Parameters!$B$11/60)/Upgrades!$C$12,0)),IF(AND(ISNUMBER(AG283),AG283&gt;T283),AS283,0),IF(AND(ISNUMBER(AH283),AH283&gt;T283),AT283,0),IF(AND(ISNUMBER(AI283),AI283&gt;T283),AU283,0),IF(AND(ISNUMBER(AJ283),AJ283&gt;T283),AV283,0))</f>
        <v>0.00452762415783776</v>
      </c>
      <c r="AX283" s="29" t="str">
        <f aca="false">IF(AN283=1,"transition",IF(MIN(IF(AND(I283=0,ISNUMBER(AK283),AK283&lt;=T283),AK283,9000000000000000),IF(AND(J283=0,ISNUMBER(AL283),AL283&lt;=T283),AL283,9000000000000000),IF(AND(K283=0,ISNUMBER(AM283),AM283&lt;=T283),AM283,9000000000000000))&lt;9000000000000000,IF(AND(AND(I283=0,ISNUMBER(AK283),AK283&lt;=T283),AK283=MIN(IF(AND(I283=0,ISNUMBER(AK283),AK283&lt;=T283),AK283,9000000000000000),IF(AND(J283=0,ISNUMBER(AL283),AL283&lt;=T283),AL283,9000000000000000),IF(AND(K283=0,ISNUMBER(AM283),AM283&lt;=T283),AM283,9000000000000000))),"OR",IF(AND(AND(J283=0,ISNUMBER(AL283),AL283&lt;=T283),AL283=MIN(IF(AND(I283=0,ISNUMBER(AK283),AK283&lt;=T283),AK283,9000000000000000),IF(AND(J283=0,ISNUMBER(AL283),AL283&lt;=T283),AL283,9000000000000000),IF(AND(K283=0,ISNUMBER(AM283),AM283&lt;=T283),AM283,9000000000000000))),"HP","FP")),IF(AR283=TRUE(),"",IF(MAX(IF(AND(NOT(AND(AO283=1,AN283&lt;&gt;1)),ISNUMBER(AG283),AG283&lt;=T283),AS283,0),IF(AND(NOT(AND(AO283=1,AN283&lt;&gt;1)),ISNUMBER(AH283),AH283&lt;=T283),AT283,0),IF(AND(NOT(AND(AO283=1,AN283&lt;&gt;1)),ISNUMBER(AI283),AI283&lt;=T283),AU283,0),IF(AND(ISNUMBER(AJ283),AJ283&lt;=T283),AV283,0))&lt;=0,"",IF(AND(IF(AND(NOT(AND(AO283=1,AN283&lt;&gt;1)),ISNUMBER(AG283),AG283&lt;=T283),AS283,0)&gt;0,IF(AND(NOT(AND(AO283=1,AN283&lt;&gt;1)),ISNUMBER(AG283),AG283&lt;=T283),AS283,0)=MAX(IF(AND(NOT(AND(AO283=1,AN283&lt;&gt;1)),ISNUMBER(AG283),AG283&lt;=T283),AS283,0),IF(AND(NOT(AND(AO283=1,AN283&lt;&gt;1)),ISNUMBER(AH283),AH283&lt;=T283),AT283,0),IF(AND(NOT(AND(AO283=1,AN283&lt;&gt;1)),ISNUMBER(AI283),AI283&lt;=T283),AU283,0),IF(AND(ISNUMBER(AJ283),AJ283&lt;=T283),AV283,0))),"SW",IF(AND(IF(AND(NOT(AND(AO283=1,AN283&lt;&gt;1)),ISNUMBER(AH283),AH283&lt;=T283),AT283,0)&gt;0,IF(AND(NOT(AND(AO283=1,AN283&lt;&gt;1)),ISNUMBER(AH283),AH283&lt;=T283),AT283,0)=MAX(IF(AND(NOT(AND(AO283=1,AN283&lt;&gt;1)),ISNUMBER(AG283),AG283&lt;=T283),AS283,0),IF(AND(NOT(AND(AO283=1,AN283&lt;&gt;1)),ISNUMBER(AH283),AH283&lt;=T283),AT283,0),IF(AND(NOT(AND(AO283=1,AN283&lt;&gt;1)),ISNUMBER(AI283),AI283&lt;=T283),AU283,0),IF(AND(ISNUMBER(AJ283),AJ283&lt;=T283),AV283,0))),"AB",IF(AND(IF(AND(NOT(AND(AO283=1,AN283&lt;&gt;1)),ISNUMBER(AI283),AI283&lt;=T283),AU283,0)&gt;0,IF(AND(NOT(AND(AO283=1,AN283&lt;&gt;1)),ISNUMBER(AI283),AI283&lt;=T283),AU283,0)=MAX(IF(AND(NOT(AND(AO283=1,AN283&lt;&gt;1)),ISNUMBER(AG283),AG283&lt;=T283),AS283,0),IF(AND(NOT(AND(AO283=1,AN283&lt;&gt;1)),ISNUMBER(AH283),AH283&lt;=T283),AT283,0),IF(AND(NOT(AND(AO283=1,AN283&lt;&gt;1)),ISNUMBER(AI283),AI283&lt;=T283),AU283,0),IF(AND(ISNUMBER(AJ283),AJ283&lt;=T283),AV283,0))),"SC","Mag")))))))</f>
        <v/>
      </c>
    </row>
    <row r="284" customFormat="false" ht="15" hidden="false" customHeight="false" outlineLevel="0" collapsed="false">
      <c r="A284" s="26" t="n">
        <v>279</v>
      </c>
      <c r="B284" s="27" t="n">
        <f aca="false">A284*10/60</f>
        <v>46.5</v>
      </c>
      <c r="C284" s="21" t="n">
        <f aca="false">X283</f>
        <v>18.6730249835055</v>
      </c>
      <c r="D284" s="27" t="n">
        <f aca="false">D283+W283</f>
        <v>0</v>
      </c>
      <c r="E284" s="26" t="n">
        <f aca="false">E283+IF(U283="SW",1,0)</f>
        <v>12</v>
      </c>
      <c r="F284" s="26" t="n">
        <f aca="false">F283+IF(U283="AB",1,0)</f>
        <v>10</v>
      </c>
      <c r="G284" s="26" t="n">
        <f aca="false">G283+IF(U283="SC",1,0)</f>
        <v>7</v>
      </c>
      <c r="H284" s="26" t="n">
        <f aca="false">H283+IF(U283="Mag",1,0)</f>
        <v>5</v>
      </c>
      <c r="I284" s="26" t="n">
        <f aca="false">MAX(I283,IF(U283="OR",1,0))</f>
        <v>1</v>
      </c>
      <c r="J284" s="26" t="n">
        <f aca="false">MAX(J283,IF(U283="HP",1,0))</f>
        <v>1</v>
      </c>
      <c r="K284" s="26" t="n">
        <f aca="false">MAX(K283,IF(U283="FP",1,0))</f>
        <v>1</v>
      </c>
      <c r="L284" s="26" t="n">
        <f aca="false">MAX(L283,IF(U283="transition",1,0))</f>
        <v>1</v>
      </c>
      <c r="M284" s="28" t="n">
        <f aca="false">(Parameters!$B$9+(IF(E284=0,0,(Upgrades!$J$6+E284*Upgrades!$K$6)*POWER(Upgrades!$L$6,E284)))*(IF(Upgrades!$T$7="Solar Wind",POWER(Upgrades!$U$7,F284),1)*IF(Upgrades!$T$8="Solar Wind",POWER(Upgrades!$U$8,G284),1)*IF(Upgrades!$T$9="Solar Wind",POWER(Upgrades!$U$9,H284),1)*IF(Upgrades!$T$10="Solar Wind",POWER(Upgrades!$U$10,I284),1)*IF(Upgrades!$T$11="Solar Wind",POWER(Upgrades!$U$11,J284),1)*IF(Upgrades!$T$12="Solar Wind",POWER(Upgrades!$U$12,K284),1))+(IF(F284=0,0,(Upgrades!$J$7+F284*Upgrades!$K$7)*POWER(Upgrades!$L$7,F284)))*(IF(Upgrades!$T$6="Asteroid Belt",POWER(Upgrades!$U$6,E284),1)*IF(Upgrades!$T$8="Asteroid Belt",POWER(Upgrades!$U$8,G284),1)*IF(Upgrades!$T$9="Asteroid Belt",POWER(Upgrades!$U$9,H284),1)*IF(Upgrades!$T$10="Asteroid Belt",POWER(Upgrades!$U$10,I284),1)*IF(Upgrades!$T$11="Asteroid Belt",POWER(Upgrades!$U$11,J284),1)*IF(Upgrades!$T$12="Asteroid Belt",POWER(Upgrades!$U$12,K284),1))+(IF(G284=0,0,(Upgrades!$J$8+G284*Upgrades!$K$8)*POWER(Upgrades!$L$8,G284)))*(IF(Upgrades!$T$6="Stellar Coupling",POWER(Upgrades!$U$6,E284),1)*IF(Upgrades!$T$7="Stellar Coupling",POWER(Upgrades!$U$7,F284),1)*IF(Upgrades!$T$9="Stellar Coupling",POWER(Upgrades!$U$9,H284),1)*IF(Upgrades!$T$10="Stellar Coupling",POWER(Upgrades!$U$10,I284),1)*IF(Upgrades!$T$11="Stellar Coupling",POWER(Upgrades!$U$11,J284),1)*IF(Upgrades!$T$12="Stellar Coupling",POWER(Upgrades!$U$12,K284),1))+(IF(H284=0,0,(Upgrades!$J$9+H284*Upgrades!$K$9)*POWER(Upgrades!$L$9,H284)))*(IF(Upgrades!$T$6="Magnetosphere",POWER(Upgrades!$U$6,E284),1)*IF(Upgrades!$T$7="Magnetosphere",POWER(Upgrades!$U$7,F284),1)*IF(Upgrades!$T$8="Magnetosphere",POWER(Upgrades!$U$8,G284),1)*IF(Upgrades!$T$10="Magnetosphere",POWER(Upgrades!$U$10,I284),1)*IF(Upgrades!$T$11="Magnetosphere",POWER(Upgrades!$U$11,J284),1)*IF(Upgrades!$T$12="Magnetosphere",POWER(Upgrades!$U$12,K284),1))+(IF(I284=0,0,(Upgrades!$J$10+I284*Upgrades!$K$10)*POWER(Upgrades!$L$10,I284)))*(IF(Upgrades!$T$6="Orbital Resonance",POWER(Upgrades!$U$6,E284),1)*IF(Upgrades!$T$7="Orbital Resonance",POWER(Upgrades!$U$7,F284),1)*IF(Upgrades!$T$8="Orbital Resonance",POWER(Upgrades!$U$8,G284),1)*IF(Upgrades!$T$9="Orbital Resonance",POWER(Upgrades!$U$9,H284),1)*IF(Upgrades!$T$11="Orbital Resonance",POWER(Upgrades!$U$11,J284),1)*IF(Upgrades!$T$12="Orbital Resonance",POWER(Upgrades!$U$12,K284),1))+(IF(J284=0,0,(Upgrades!$J$11+J284*Upgrades!$K$11)*POWER(Upgrades!$L$11,J284)))*(IF(Upgrades!$T$6="Heliopause",POWER(Upgrades!$U$6,E284),1)*IF(Upgrades!$T$7="Heliopause",POWER(Upgrades!$U$7,F284),1)*IF(Upgrades!$T$8="Heliopause",POWER(Upgrades!$U$8,G284),1)*IF(Upgrades!$T$9="Heliopause",POWER(Upgrades!$U$9,H284),1)*IF(Upgrades!$T$10="Heliopause",POWER(Upgrades!$U$10,I284),1)*IF(Upgrades!$T$12="Heliopause",POWER(Upgrades!$U$12,K284),1))+(IF(K284=0,0,(Upgrades!$J$12+K284*Upgrades!$K$12)*POWER(Upgrades!$L$12,K284)))*(IF(Upgrades!$T$6="First Photons",POWER(Upgrades!$U$6,E284),1)*IF(Upgrades!$T$7="First Photons",POWER(Upgrades!$U$7,F284),1)*IF(Upgrades!$T$8="First Photons",POWER(Upgrades!$U$8,G284),1)*IF(Upgrades!$T$9="First Photons",POWER(Upgrades!$U$9,H284),1)*IF(Upgrades!$T$10="First Photons",POWER(Upgrades!$U$10,I284),1)*IF(Upgrades!$T$11="First Photons",POWER(Upgrades!$U$11,J284),1)))*POWER(Upgrades!$Q$6,E284)*POWER(Upgrades!$Q$7,F284)*POWER(Upgrades!$Q$8,G284)*POWER(Upgrades!$Q$9,H284)*POWER(Upgrades!$Q$10,I284)*POWER(Upgrades!$Q$11,J284)*POWER(Upgrades!$Q$12,K284)</f>
        <v>5.61</v>
      </c>
      <c r="N284" s="28" t="n">
        <f aca="false">((IF(E284=0,0,(Upgrades!$G$6+E284*Upgrades!$H$6)*POWER(Upgrades!$I$6,E284)))*(IF(Upgrades!$T$7="Solar Wind",POWER(Upgrades!$U$7,F284),1)*IF(Upgrades!$T$8="Solar Wind",POWER(Upgrades!$U$8,G284),1)*IF(Upgrades!$T$9="Solar Wind",POWER(Upgrades!$U$9,H284),1)*IF(Upgrades!$T$10="Solar Wind",POWER(Upgrades!$U$10,I284),1)*IF(Upgrades!$T$11="Solar Wind",POWER(Upgrades!$U$11,J284),1)*IF(Upgrades!$T$12="Solar Wind",POWER(Upgrades!$U$12,K284),1))+(IF(F284=0,0,(Upgrades!$G$7+F284*Upgrades!$H$7)*POWER(Upgrades!$I$7,F284)))*(IF(Upgrades!$T$6="Asteroid Belt",POWER(Upgrades!$U$6,E284),1)*IF(Upgrades!$T$8="Asteroid Belt",POWER(Upgrades!$U$8,G284),1)*IF(Upgrades!$T$9="Asteroid Belt",POWER(Upgrades!$U$9,H284),1)*IF(Upgrades!$T$10="Asteroid Belt",POWER(Upgrades!$U$10,I284),1)*IF(Upgrades!$T$11="Asteroid Belt",POWER(Upgrades!$U$11,J284),1)*IF(Upgrades!$T$12="Asteroid Belt",POWER(Upgrades!$U$12,K284),1))+(IF(G284=0,0,(Upgrades!$G$8+G284*Upgrades!$H$8)*POWER(Upgrades!$I$8,G284)))*(IF(Upgrades!$T$6="Stellar Coupling",POWER(Upgrades!$U$6,E284),1)*IF(Upgrades!$T$7="Stellar Coupling",POWER(Upgrades!$U$7,F284),1)*IF(Upgrades!$T$9="Stellar Coupling",POWER(Upgrades!$U$9,H284),1)*IF(Upgrades!$T$10="Stellar Coupling",POWER(Upgrades!$U$10,I284),1)*IF(Upgrades!$T$11="Stellar Coupling",POWER(Upgrades!$U$11,J284),1)*IF(Upgrades!$T$12="Stellar Coupling",POWER(Upgrades!$U$12,K284),1))+(IF(H284=0,0,(Upgrades!$G$9+H284*Upgrades!$H$9)*POWER(Upgrades!$I$9,H284)))*(IF(Upgrades!$T$6="Magnetosphere",POWER(Upgrades!$U$6,E284),1)*IF(Upgrades!$T$7="Magnetosphere",POWER(Upgrades!$U$7,F284),1)*IF(Upgrades!$T$8="Magnetosphere",POWER(Upgrades!$U$8,G284),1)*IF(Upgrades!$T$10="Magnetosphere",POWER(Upgrades!$U$10,I284),1)*IF(Upgrades!$T$11="Magnetosphere",POWER(Upgrades!$U$11,J284),1)*IF(Upgrades!$T$12="Magnetosphere",POWER(Upgrades!$U$12,K284),1))+(IF(I284=0,0,(Upgrades!$G$10+I284*Upgrades!$H$10)*POWER(Upgrades!$I$10,I284)))*(IF(Upgrades!$T$6="Orbital Resonance",POWER(Upgrades!$U$6,E284),1)*IF(Upgrades!$T$7="Orbital Resonance",POWER(Upgrades!$U$7,F284),1)*IF(Upgrades!$T$8="Orbital Resonance",POWER(Upgrades!$U$8,G284),1)*IF(Upgrades!$T$9="Orbital Resonance",POWER(Upgrades!$U$9,H284),1)*IF(Upgrades!$T$11="Orbital Resonance",POWER(Upgrades!$U$11,J284),1)*IF(Upgrades!$T$12="Orbital Resonance",POWER(Upgrades!$U$12,K284),1))+(IF(J284=0,0,(Upgrades!$G$11+J284*Upgrades!$H$11)*POWER(Upgrades!$I$11,J284)))*(IF(Upgrades!$T$6="Heliopause",POWER(Upgrades!$U$6,E284),1)*IF(Upgrades!$T$7="Heliopause",POWER(Upgrades!$U$7,F284),1)*IF(Upgrades!$T$8="Heliopause",POWER(Upgrades!$U$8,G284),1)*IF(Upgrades!$T$9="Heliopause",POWER(Upgrades!$U$9,H284),1)*IF(Upgrades!$T$10="Heliopause",POWER(Upgrades!$U$10,I284),1)*IF(Upgrades!$T$12="Heliopause",POWER(Upgrades!$U$12,K284),1))+(IF(K284=0,0,(Upgrades!$G$12+K284*Upgrades!$H$12)*POWER(Upgrades!$I$12,K284)))*(IF(Upgrades!$T$6="First Photons",POWER(Upgrades!$U$6,E284),1)*IF(Upgrades!$T$7="First Photons",POWER(Upgrades!$U$7,F284),1)*IF(Upgrades!$T$8="First Photons",POWER(Upgrades!$U$8,G284),1)*IF(Upgrades!$T$9="First Photons",POWER(Upgrades!$U$9,H284),1)*IF(Upgrades!$T$10="First Photons",POWER(Upgrades!$U$10,I284),1)*IF(Upgrades!$T$11="First Photons",POWER(Upgrades!$U$11,J284),1)))*POWER(Upgrades!$P$6,E284)*POWER(Upgrades!$P$7,F284)*POWER(Upgrades!$P$8,G284)*POWER(Upgrades!$P$9,H284)*POWER(Upgrades!$P$10,I284)*POWER(Upgrades!$P$11,J284)*POWER(Upgrades!$P$12,K284)</f>
        <v>11.2</v>
      </c>
      <c r="O284" s="28" t="n">
        <f aca="false">((IF(E284=0,0,(Upgrades!$M$6+E284*Upgrades!$N$6)*POWER(Upgrades!$O$6,E284)))*(IF(Upgrades!$T$7="Solar Wind",POWER(Upgrades!$U$7,F284),1)*IF(Upgrades!$T$8="Solar Wind",POWER(Upgrades!$U$8,G284),1)*IF(Upgrades!$T$9="Solar Wind",POWER(Upgrades!$U$9,H284),1)*IF(Upgrades!$T$10="Solar Wind",POWER(Upgrades!$U$10,I284),1)*IF(Upgrades!$T$11="Solar Wind",POWER(Upgrades!$U$11,J284),1)*IF(Upgrades!$T$12="Solar Wind",POWER(Upgrades!$U$12,K284),1))+(IF(F284=0,0,(Upgrades!$M$7+F284*Upgrades!$N$7)*POWER(Upgrades!$O$7,F284)))*(IF(Upgrades!$T$6="Asteroid Belt",POWER(Upgrades!$U$6,E284),1)*IF(Upgrades!$T$8="Asteroid Belt",POWER(Upgrades!$U$8,G284),1)*IF(Upgrades!$T$9="Asteroid Belt",POWER(Upgrades!$U$9,H284),1)*IF(Upgrades!$T$10="Asteroid Belt",POWER(Upgrades!$U$10,I284),1)*IF(Upgrades!$T$11="Asteroid Belt",POWER(Upgrades!$U$11,J284),1)*IF(Upgrades!$T$12="Asteroid Belt",POWER(Upgrades!$U$12,K284),1))+(IF(G284=0,0,(Upgrades!$M$8+G284*Upgrades!$N$8)*POWER(Upgrades!$O$8,G284)))*(IF(Upgrades!$T$6="Stellar Coupling",POWER(Upgrades!$U$6,E284),1)*IF(Upgrades!$T$7="Stellar Coupling",POWER(Upgrades!$U$7,F284),1)*IF(Upgrades!$T$9="Stellar Coupling",POWER(Upgrades!$U$9,H284),1)*IF(Upgrades!$T$10="Stellar Coupling",POWER(Upgrades!$U$10,I284),1)*IF(Upgrades!$T$11="Stellar Coupling",POWER(Upgrades!$U$11,J284),1)*IF(Upgrades!$T$12="Stellar Coupling",POWER(Upgrades!$U$12,K284),1))+(IF(H284=0,0,(Upgrades!$M$9+H284*Upgrades!$N$9)*POWER(Upgrades!$O$9,H284)))*(IF(Upgrades!$T$6="Magnetosphere",POWER(Upgrades!$U$6,E284),1)*IF(Upgrades!$T$7="Magnetosphere",POWER(Upgrades!$U$7,F284),1)*IF(Upgrades!$T$8="Magnetosphere",POWER(Upgrades!$U$8,G284),1)*IF(Upgrades!$T$10="Magnetosphere",POWER(Upgrades!$U$10,I284),1)*IF(Upgrades!$T$11="Magnetosphere",POWER(Upgrades!$U$11,J284),1)*IF(Upgrades!$T$12="Magnetosphere",POWER(Upgrades!$U$12,K284),1))+(IF(I284=0,0,(Upgrades!$M$10+I284*Upgrades!$N$10)*POWER(Upgrades!$O$10,I284)))*(IF(Upgrades!$T$6="Orbital Resonance",POWER(Upgrades!$U$6,E284),1)*IF(Upgrades!$T$7="Orbital Resonance",POWER(Upgrades!$U$7,F284),1)*IF(Upgrades!$T$8="Orbital Resonance",POWER(Upgrades!$U$8,G284),1)*IF(Upgrades!$T$9="Orbital Resonance",POWER(Upgrades!$U$9,H284),1)*IF(Upgrades!$T$11="Orbital Resonance",POWER(Upgrades!$U$11,J284),1)*IF(Upgrades!$T$12="Orbital Resonance",POWER(Upgrades!$U$12,K284),1))+(IF(J284=0,0,(Upgrades!$M$11+J284*Upgrades!$N$11)*POWER(Upgrades!$O$11,J284)))*(IF(Upgrades!$T$6="Heliopause",POWER(Upgrades!$U$6,E284),1)*IF(Upgrades!$T$7="Heliopause",POWER(Upgrades!$U$7,F284),1)*IF(Upgrades!$T$8="Heliopause",POWER(Upgrades!$U$8,G284),1)*IF(Upgrades!$T$9="Heliopause",POWER(Upgrades!$U$9,H284),1)*IF(Upgrades!$T$10="Heliopause",POWER(Upgrades!$U$10,I284),1)*IF(Upgrades!$T$12="Heliopause",POWER(Upgrades!$U$12,K284),1))+(IF(K284=0,0,(Upgrades!$M$12+K284*Upgrades!$N$12)*POWER(Upgrades!$O$12,K284)))*(IF(Upgrades!$T$6="First Photons",POWER(Upgrades!$U$6,E284),1)*IF(Upgrades!$T$7="First Photons",POWER(Upgrades!$U$7,F284),1)*IF(Upgrades!$T$8="First Photons",POWER(Upgrades!$U$8,G284),1)*IF(Upgrades!$T$9="First Photons",POWER(Upgrades!$U$9,H284),1)*IF(Upgrades!$T$10="First Photons",POWER(Upgrades!$U$10,I284),1)*IF(Upgrades!$T$11="First Photons",POWER(Upgrades!$U$11,J284),1)))*POWER(Upgrades!$R$6,E284)*POWER(Upgrades!$R$7,F284)*POWER(Upgrades!$R$8,G284)*POWER(Upgrades!$R$9,H284)*POWER(Upgrades!$R$10,I284)*POWER(Upgrades!$R$11,J284)*POWER(Upgrades!$R$12,K284)</f>
        <v>0</v>
      </c>
      <c r="P284" s="27" t="n">
        <f aca="false">IF(L284=1,0,M284*Parameters!$B$10/60*Parameters!$B$11*10)</f>
        <v>0</v>
      </c>
      <c r="Q284" s="27" t="n">
        <f aca="false">IF(L284=1,0,O284*M284*10)</f>
        <v>0</v>
      </c>
      <c r="R284" s="27" t="n">
        <f aca="false">IF(L284=1,0,N284*10)</f>
        <v>0</v>
      </c>
      <c r="S284" s="27" t="n">
        <f aca="false">P284+Q284+R284</f>
        <v>0</v>
      </c>
      <c r="T284" s="21" t="n">
        <f aca="false">C284+S284</f>
        <v>18.6730249835055</v>
      </c>
      <c r="U284" s="34" t="str">
        <f aca="false">AX284</f>
        <v/>
      </c>
      <c r="V284" s="21" t="n">
        <f aca="false">IF(U284="",0,IF(U284="transition",0,IF(U284="SW",AG284,IF(U284="AB",AH284,IF(U284="SC",AI284,IF(U284="Mag",AJ284,IF(U284="OR",AK284,IF(U284="HP",AL284,IF(U284="FP",AM284,0)))))))))</f>
        <v>0</v>
      </c>
      <c r="W284" s="27" t="n">
        <f aca="false">IF(U284="OR",Upgrades!$F$10,IF(U284="HP",Upgrades!$F$11,IF(U284="transition",-Parameters!$B$18,0)))</f>
        <v>0</v>
      </c>
      <c r="X284" s="21" t="n">
        <f aca="false">T284-V284</f>
        <v>18.6730249835055</v>
      </c>
      <c r="Y284" s="30" t="n">
        <f aca="false">M284*Parameters!$B$10/60*Parameters!$B$11+O284*M284+N284</f>
        <v>20.55</v>
      </c>
      <c r="Z284" s="35" t="str">
        <f aca="false">IF(U284="transition","→ Tier 2 (Stellar Neighborhood)",IF(U284="FP","First Photons — light begins, system quickens",IF(U284="HP","Heliopause acquired",IF(U284="OR","Orbital Resonance — passive multiplier active",IF(AND(AO284=1,L284=0,AN284&lt;&gt;1),"Cohesion ready (waiting on completionist upgrades)","")))))</f>
        <v/>
      </c>
      <c r="AA284" s="27" t="n">
        <f aca="false">(IF(E284=0,0,(Upgrades!$G$6+E284*Upgrades!$H$6)*POWER(Upgrades!$I$6,E284)))*(IF(Upgrades!$T$7="Solar Wind",POWER(Upgrades!$U$7,F284),1)*IF(Upgrades!$T$8="Solar Wind",POWER(Upgrades!$U$8,G284),1)*IF(Upgrades!$T$9="Solar Wind",POWER(Upgrades!$U$9,H284),1)*IF(Upgrades!$T$10="Solar Wind",POWER(Upgrades!$U$10,I284),1)*IF(Upgrades!$T$11="Solar Wind",POWER(Upgrades!$U$11,J284),1)*IF(Upgrades!$T$12="Solar Wind",POWER(Upgrades!$U$12,K284),1))*POWER(Upgrades!$P$6,E284)*POWER(Upgrades!$P$7,F284)*POWER(Upgrades!$P$8,G284)*POWER(Upgrades!$P$9,H284)*POWER(Upgrades!$P$10,I284)*POWER(Upgrades!$P$11,J284)*POWER(Upgrades!$P$12,K284)*60</f>
        <v>72</v>
      </c>
      <c r="AB284" s="27" t="n">
        <f aca="false">(IF(F284=0,0,(Upgrades!$G$7+F284*Upgrades!$H$7)*POWER(Upgrades!$I$7,F284)))*(IF(Upgrades!$T$6="Asteroid Belt",POWER(Upgrades!$U$6,E284),1)*IF(Upgrades!$T$8="Asteroid Belt",POWER(Upgrades!$U$8,G284),1)*IF(Upgrades!$T$9="Asteroid Belt",POWER(Upgrades!$U$9,H284),1)*IF(Upgrades!$T$10="Asteroid Belt",POWER(Upgrades!$U$10,I284),1)*IF(Upgrades!$T$11="Asteroid Belt",POWER(Upgrades!$U$11,J284),1)*IF(Upgrades!$T$12="Asteroid Belt",POWER(Upgrades!$U$12,K284),1))*POWER(Upgrades!$P$6,E284)*POWER(Upgrades!$P$7,F284)*POWER(Upgrades!$P$8,G284)*POWER(Upgrades!$P$9,H284)*POWER(Upgrades!$P$10,I284)*POWER(Upgrades!$P$11,J284)*POWER(Upgrades!$P$12,K284)*60</f>
        <v>150</v>
      </c>
      <c r="AC284" s="27" t="n">
        <f aca="false">(IF(G284=0,0,(Upgrades!$J$8+G284*Upgrades!$K$8)*POWER(Upgrades!$L$8,G284)))*(IF(Upgrades!$T$6="Stellar Coupling",POWER(Upgrades!$U$6,E284),1)*IF(Upgrades!$T$7="Stellar Coupling",POWER(Upgrades!$U$7,F284),1)*IF(Upgrades!$T$9="Stellar Coupling",POWER(Upgrades!$U$9,H284),1)*IF(Upgrades!$T$10="Stellar Coupling",POWER(Upgrades!$U$10,I284),1)*IF(Upgrades!$T$11="Stellar Coupling",POWER(Upgrades!$U$11,J284),1)*IF(Upgrades!$T$12="Stellar Coupling",POWER(Upgrades!$U$12,K284),1))*POWER(Upgrades!$Q$6,E284)*POWER(Upgrades!$Q$7,F284)*POWER(Upgrades!$Q$8,G284)*POWER(Upgrades!$Q$9,H284)*POWER(Upgrades!$Q$10,I284)*POWER(Upgrades!$Q$11,J284)*POWER(Upgrades!$Q$12,K284)*Parameters!$B$10*Parameters!$B$11</f>
        <v>441</v>
      </c>
      <c r="AD284" s="27" t="n">
        <f aca="false">(IF(H284=0,0,(Upgrades!$G$9+H284*Upgrades!$H$9)*POWER(Upgrades!$I$9,H284)))*(IF(Upgrades!$T$6="Magnetosphere",POWER(Upgrades!$U$6,E284),1)*IF(Upgrades!$T$7="Magnetosphere",POWER(Upgrades!$U$7,F284),1)*IF(Upgrades!$T$8="Magnetosphere",POWER(Upgrades!$U$8,G284),1)*IF(Upgrades!$T$10="Magnetosphere",POWER(Upgrades!$U$10,I284),1)*IF(Upgrades!$T$11="Magnetosphere",POWER(Upgrades!$U$11,J284),1)*IF(Upgrades!$T$12="Magnetosphere",POWER(Upgrades!$U$12,K284),1))*POWER(Upgrades!$P$6,E284)*POWER(Upgrades!$P$7,F284)*POWER(Upgrades!$P$8,G284)*POWER(Upgrades!$P$9,H284)*POWER(Upgrades!$P$10,I284)*POWER(Upgrades!$P$11,J284)*POWER(Upgrades!$P$12,K284)*60</f>
        <v>375</v>
      </c>
      <c r="AE284" s="27" t="n">
        <f aca="false">(IF(K284=0,0,(Upgrades!$G$12+K284*Upgrades!$H$12)*POWER(Upgrades!$I$12,K284)))*(IF(Upgrades!$T$6="First Photons",POWER(Upgrades!$U$6,E284),1)*IF(Upgrades!$T$7="First Photons",POWER(Upgrades!$U$7,F284),1)*IF(Upgrades!$T$8="First Photons",POWER(Upgrades!$U$8,G284),1)*IF(Upgrades!$T$9="First Photons",POWER(Upgrades!$U$9,H284),1)*IF(Upgrades!$T$10="First Photons",POWER(Upgrades!$U$10,I284),1)*IF(Upgrades!$T$11="First Photons",POWER(Upgrades!$U$11,J284),1))*POWER(Upgrades!$P$6,E284)*POWER(Upgrades!$P$7,F284)*POWER(Upgrades!$P$8,G284)*POWER(Upgrades!$P$9,H284)*POWER(Upgrades!$P$10,I284)*POWER(Upgrades!$P$11,J284)*POWER(Upgrades!$P$12,K284)*60</f>
        <v>75</v>
      </c>
      <c r="AF284" s="27" t="n">
        <f aca="false">Parameters!$B$9*POWER(Upgrades!$Q$6,E284)*POWER(Upgrades!$Q$7,F284)*POWER(Upgrades!$Q$8,G284)*POWER(Upgrades!$Q$9,H284)*POWER(Upgrades!$Q$10,I284)*POWER(Upgrades!$Q$11,J284)*POWER(Upgrades!$Q$12,K284)*(Parameters!$B$10*Parameters!$B$11+O284*60)</f>
        <v>120</v>
      </c>
      <c r="AG284" s="21" t="n">
        <f aca="false">IF(E284&gt;=Upgrades!$E$6,"",Upgrades!$C$6*POWER(Upgrades!$D$6,E284))</f>
        <v>37.4517507383159</v>
      </c>
      <c r="AH284" s="21" t="n">
        <f aca="false">IF(F284&gt;=Upgrades!$E$7,"",Upgrades!$C$7*POWER(Upgrades!$D$7,F284))</f>
        <v>80.9111547141581</v>
      </c>
      <c r="AI284" s="21" t="n">
        <f aca="false">IF(G284&gt;=Upgrades!$E$8,"",Upgrades!$C$8*POWER(Upgrades!$D$8,G284))</f>
        <v>231.9097088</v>
      </c>
      <c r="AJ284" s="21" t="str">
        <f aca="false">IF(H284&gt;=Upgrades!$E$9,"",Upgrades!$C$9*POWER(Upgrades!$D$9,H284))</f>
        <v/>
      </c>
      <c r="AK284" s="21" t="str">
        <f aca="false">IF(I284&gt;=Upgrades!$E$10,"",Upgrades!$C$10*POWER(Upgrades!$D$10,I284))</f>
        <v/>
      </c>
      <c r="AL284" s="21" t="str">
        <f aca="false">IF(J284&gt;=Upgrades!$E$11,"",Upgrades!$C$11*POWER(Upgrades!$D$11,J284))</f>
        <v/>
      </c>
      <c r="AM284" s="21" t="str">
        <f aca="false">IF(K284&gt;=Upgrades!$E$12,"",Upgrades!$C$12*POWER(Upgrades!$D$12,K284))</f>
        <v/>
      </c>
      <c r="AN284" s="26" t="str">
        <f aca="false">IF(AND(D284&gt;=Parameters!$B$18,(H284&gt;=Upgrades!$E$9)*(K284&gt;=Upgrades!$E$12)=1,L284=0),1,"")</f>
        <v/>
      </c>
      <c r="AO284" s="26" t="str">
        <f aca="false">IF(AND(D284&gt;=Parameters!$B$18,L284=0),1,"")</f>
        <v/>
      </c>
      <c r="AP284" s="21" t="n">
        <f aca="false">MIN(IF(ISNUMBER(AK284),AK284,9000000000000000),IF(ISNUMBER(AL284),AL284,9000000000000000),IF(ISNUMBER(AM284),AM284,9000000000000000))</f>
        <v>9000000000000000</v>
      </c>
      <c r="AQ284" s="21" t="n">
        <f aca="false">MIN(IF(ISNUMBER(AG284),AG284,9000000000000000),IF(ISNUMBER(AH284),AH284,9000000000000000),IF(ISNUMBER(AI284),AI284,9000000000000000),IF(ISNUMBER(AJ284),AJ284,9000000000000000))</f>
        <v>37.4517507383159</v>
      </c>
      <c r="AR284" s="32" t="b">
        <f aca="false">IF(AW284&gt;Parameters!$B$21*(MAX(IF(AND(NOT(AND(AO284=1,AN284&lt;&gt;1)),ISNUMBER(AG284),AG284&lt;=T284),AS284,0),IF(AND(NOT(AND(AO284=1,AN284&lt;&gt;1)),ISNUMBER(AH284),AH284&lt;=T284),AT284,0),IF(AND(NOT(AND(AO284=1,AN284&lt;&gt;1)),ISNUMBER(AI284),AI284&lt;=T284),AU284,0),IF(AND(ISNUMBER(AJ284),AJ284&lt;=T284),AV284,0))),TRUE(),FALSE())</f>
        <v>1</v>
      </c>
      <c r="AS284" s="33" t="n">
        <f aca="false">IFERROR(Upgrades!$H$6*(POWER(Upgrades!$P$6,E284)*POWER(Upgrades!$P$7,F284)*POWER(Upgrades!$P$8,G284)*POWER(Upgrades!$P$9,H284)*POWER(Upgrades!$P$10,I284)*POWER(Upgrades!$P$11,J284)*POWER(Upgrades!$P$12,K284))*(IF(Upgrades!$T$7="Solar Wind",POWER(Upgrades!$U$7,F284),1)*IF(Upgrades!$T$8="Solar Wind",POWER(Upgrades!$U$8,G284),1)*IF(Upgrades!$T$9="Solar Wind",POWER(Upgrades!$U$9,H284),1)*IF(Upgrades!$T$10="Solar Wind",POWER(Upgrades!$U$10,I284),1)*IF(Upgrades!$T$11="Solar Wind",POWER(Upgrades!$U$11,J284),1)*IF(Upgrades!$T$12="Solar Wind",POWER(Upgrades!$U$12,K284),1))/AG284,0)</f>
        <v>0.0026701021455238</v>
      </c>
      <c r="AT284" s="33" t="n">
        <f aca="false">IFERROR(Upgrades!$H$7*(POWER(Upgrades!$P$6,E284)*POWER(Upgrades!$P$7,F284)*POWER(Upgrades!$P$8,G284)*POWER(Upgrades!$P$9,H284)*POWER(Upgrades!$P$10,I284)*POWER(Upgrades!$P$11,J284)*POWER(Upgrades!$P$12,K284))*(IF(Upgrades!$T$6="Asteroid Belt",POWER(Upgrades!$U$6,E284),1)*IF(Upgrades!$T$8="Asteroid Belt",POWER(Upgrades!$U$8,G284),1)*IF(Upgrades!$T$9="Asteroid Belt",POWER(Upgrades!$U$9,H284),1)*IF(Upgrades!$T$10="Asteroid Belt",POWER(Upgrades!$U$10,I284),1)*IF(Upgrades!$T$11="Asteroid Belt",POWER(Upgrades!$U$11,J284),1)*IF(Upgrades!$T$12="Asteroid Belt",POWER(Upgrades!$U$12,K284),1))/AH284,0)</f>
        <v>0.00308980882652332</v>
      </c>
      <c r="AU284" s="33" t="n">
        <f aca="false">IFERROR(Upgrades!$K$8*(POWER(Upgrades!$Q$6,E284)*POWER(Upgrades!$Q$7,F284)*POWER(Upgrades!$Q$8,G284)*POWER(Upgrades!$Q$9,H284)*POWER(Upgrades!$Q$10,I284)*POWER(Upgrades!$Q$11,J284)*POWER(Upgrades!$Q$12,K284))*(IF(Upgrades!$T$6="Stellar Coupling",POWER(Upgrades!$U$6,E284),1)*IF(Upgrades!$T$7="Stellar Coupling",POWER(Upgrades!$U$7,F284),1)*IF(Upgrades!$T$9="Stellar Coupling",POWER(Upgrades!$U$9,H284),1)*IF(Upgrades!$T$10="Stellar Coupling",POWER(Upgrades!$U$10,I284),1)*IF(Upgrades!$T$11="Stellar Coupling",POWER(Upgrades!$U$11,J284),1)*IF(Upgrades!$T$12="Stellar Coupling",POWER(Upgrades!$U$12,K284),1))*Parameters!$B$10*Parameters!$B$11/60/AI284,0)</f>
        <v>0.00452762415783776</v>
      </c>
      <c r="AV284" s="33" t="n">
        <f aca="false">IFERROR(Upgrades!$H$9*(POWER(Upgrades!$P$6,E284)*POWER(Upgrades!$P$7,F284)*POWER(Upgrades!$P$8,G284)*POWER(Upgrades!$P$9,H284)*POWER(Upgrades!$P$10,I284)*POWER(Upgrades!$P$11,J284)*POWER(Upgrades!$P$12,K284))*(IF(Upgrades!$T$6="Magnetosphere",POWER(Upgrades!$U$6,E284),1)*IF(Upgrades!$T$7="Magnetosphere",POWER(Upgrades!$U$7,F284),1)*IF(Upgrades!$T$8="Magnetosphere",POWER(Upgrades!$U$8,G284),1)*IF(Upgrades!$T$10="Magnetosphere",POWER(Upgrades!$U$10,I284),1)*IF(Upgrades!$T$11="Magnetosphere",POWER(Upgrades!$U$11,J284),1)*IF(Upgrades!$T$12="Magnetosphere",POWER(Upgrades!$U$12,K284),1))/AJ284,0)</f>
        <v>0</v>
      </c>
      <c r="AW284" s="33" t="n">
        <f aca="false">MAX(IF(I284&gt;0,0,IFERROR(0.25*N284/Upgrades!$C$10,0)),IF(J284&gt;0,0,IFERROR(0.5*((IF(G284=0,0,(Upgrades!$J$8+G284*Upgrades!$K$8)*POWER(Upgrades!$L$8,G284)))*(IF(Upgrades!$T$6="Stellar Coupling",POWER(Upgrades!$U$6,E284),1)*IF(Upgrades!$T$7="Stellar Coupling",POWER(Upgrades!$U$7,F284),1)*IF(Upgrades!$T$9="Stellar Coupling",POWER(Upgrades!$U$9,H284),1)*IF(Upgrades!$T$10="Stellar Coupling",POWER(Upgrades!$U$10,I284),1)*IF(Upgrades!$T$11="Stellar Coupling",POWER(Upgrades!$U$11,J284),1)*IF(Upgrades!$T$12="Stellar Coupling",POWER(Upgrades!$U$12,K284),1))*(POWER(Upgrades!$Q$6,E284)*POWER(Upgrades!$Q$7,F284)*POWER(Upgrades!$Q$8,G284)*POWER(Upgrades!$Q$9,H284)*POWER(Upgrades!$Q$10,I284)*POWER(Upgrades!$Q$11,J284)*POWER(Upgrades!$Q$12,K284))*Parameters!$B$10*Parameters!$B$11/60)/Upgrades!$C$11,0)),IF(K284&gt;0,0,IFERROR((1*(POWER(Upgrades!$P$6,E284)*POWER(Upgrades!$P$7,F284)*POWER(Upgrades!$P$8,G284)*POWER(Upgrades!$P$9,H284)*POWER(Upgrades!$P$10,I284)*POWER(Upgrades!$P$11,J284)*POWER(Upgrades!$P$12,K284))+0.2*M284*Parameters!$B$10*Parameters!$B$11/60)/Upgrades!$C$12,0)),IF(AND(ISNUMBER(AG284),AG284&gt;T284),AS284,0),IF(AND(ISNUMBER(AH284),AH284&gt;T284),AT284,0),IF(AND(ISNUMBER(AI284),AI284&gt;T284),AU284,0),IF(AND(ISNUMBER(AJ284),AJ284&gt;T284),AV284,0))</f>
        <v>0.00452762415783776</v>
      </c>
      <c r="AX284" s="29" t="str">
        <f aca="false">IF(AN284=1,"transition",IF(MIN(IF(AND(I284=0,ISNUMBER(AK284),AK284&lt;=T284),AK284,9000000000000000),IF(AND(J284=0,ISNUMBER(AL284),AL284&lt;=T284),AL284,9000000000000000),IF(AND(K284=0,ISNUMBER(AM284),AM284&lt;=T284),AM284,9000000000000000))&lt;9000000000000000,IF(AND(AND(I284=0,ISNUMBER(AK284),AK284&lt;=T284),AK284=MIN(IF(AND(I284=0,ISNUMBER(AK284),AK284&lt;=T284),AK284,9000000000000000),IF(AND(J284=0,ISNUMBER(AL284),AL284&lt;=T284),AL284,9000000000000000),IF(AND(K284=0,ISNUMBER(AM284),AM284&lt;=T284),AM284,9000000000000000))),"OR",IF(AND(AND(J284=0,ISNUMBER(AL284),AL284&lt;=T284),AL284=MIN(IF(AND(I284=0,ISNUMBER(AK284),AK284&lt;=T284),AK284,9000000000000000),IF(AND(J284=0,ISNUMBER(AL284),AL284&lt;=T284),AL284,9000000000000000),IF(AND(K284=0,ISNUMBER(AM284),AM284&lt;=T284),AM284,9000000000000000))),"HP","FP")),IF(AR284=TRUE(),"",IF(MAX(IF(AND(NOT(AND(AO284=1,AN284&lt;&gt;1)),ISNUMBER(AG284),AG284&lt;=T284),AS284,0),IF(AND(NOT(AND(AO284=1,AN284&lt;&gt;1)),ISNUMBER(AH284),AH284&lt;=T284),AT284,0),IF(AND(NOT(AND(AO284=1,AN284&lt;&gt;1)),ISNUMBER(AI284),AI284&lt;=T284),AU284,0),IF(AND(ISNUMBER(AJ284),AJ284&lt;=T284),AV284,0))&lt;=0,"",IF(AND(IF(AND(NOT(AND(AO284=1,AN284&lt;&gt;1)),ISNUMBER(AG284),AG284&lt;=T284),AS284,0)&gt;0,IF(AND(NOT(AND(AO284=1,AN284&lt;&gt;1)),ISNUMBER(AG284),AG284&lt;=T284),AS284,0)=MAX(IF(AND(NOT(AND(AO284=1,AN284&lt;&gt;1)),ISNUMBER(AG284),AG284&lt;=T284),AS284,0),IF(AND(NOT(AND(AO284=1,AN284&lt;&gt;1)),ISNUMBER(AH284),AH284&lt;=T284),AT284,0),IF(AND(NOT(AND(AO284=1,AN284&lt;&gt;1)),ISNUMBER(AI284),AI284&lt;=T284),AU284,0),IF(AND(ISNUMBER(AJ284),AJ284&lt;=T284),AV284,0))),"SW",IF(AND(IF(AND(NOT(AND(AO284=1,AN284&lt;&gt;1)),ISNUMBER(AH284),AH284&lt;=T284),AT284,0)&gt;0,IF(AND(NOT(AND(AO284=1,AN284&lt;&gt;1)),ISNUMBER(AH284),AH284&lt;=T284),AT284,0)=MAX(IF(AND(NOT(AND(AO284=1,AN284&lt;&gt;1)),ISNUMBER(AG284),AG284&lt;=T284),AS284,0),IF(AND(NOT(AND(AO284=1,AN284&lt;&gt;1)),ISNUMBER(AH284),AH284&lt;=T284),AT284,0),IF(AND(NOT(AND(AO284=1,AN284&lt;&gt;1)),ISNUMBER(AI284),AI284&lt;=T284),AU284,0),IF(AND(ISNUMBER(AJ284),AJ284&lt;=T284),AV284,0))),"AB",IF(AND(IF(AND(NOT(AND(AO284=1,AN284&lt;&gt;1)),ISNUMBER(AI284),AI284&lt;=T284),AU284,0)&gt;0,IF(AND(NOT(AND(AO284=1,AN284&lt;&gt;1)),ISNUMBER(AI284),AI284&lt;=T284),AU284,0)=MAX(IF(AND(NOT(AND(AO284=1,AN284&lt;&gt;1)),ISNUMBER(AG284),AG284&lt;=T284),AS284,0),IF(AND(NOT(AND(AO284=1,AN284&lt;&gt;1)),ISNUMBER(AH284),AH284&lt;=T284),AT284,0),IF(AND(NOT(AND(AO284=1,AN284&lt;&gt;1)),ISNUMBER(AI284),AI284&lt;=T284),AU284,0),IF(AND(ISNUMBER(AJ284),AJ284&lt;=T284),AV284,0))),"SC","Mag")))))))</f>
        <v/>
      </c>
    </row>
    <row r="285" customFormat="false" ht="15" hidden="false" customHeight="false" outlineLevel="0" collapsed="false">
      <c r="A285" s="26" t="n">
        <v>280</v>
      </c>
      <c r="B285" s="27" t="n">
        <f aca="false">A285*10/60</f>
        <v>46.6666666666667</v>
      </c>
      <c r="C285" s="21" t="n">
        <f aca="false">X284</f>
        <v>18.6730249835055</v>
      </c>
      <c r="D285" s="27" t="n">
        <f aca="false">D284+W284</f>
        <v>0</v>
      </c>
      <c r="E285" s="26" t="n">
        <f aca="false">E284+IF(U284="SW",1,0)</f>
        <v>12</v>
      </c>
      <c r="F285" s="26" t="n">
        <f aca="false">F284+IF(U284="AB",1,0)</f>
        <v>10</v>
      </c>
      <c r="G285" s="26" t="n">
        <f aca="false">G284+IF(U284="SC",1,0)</f>
        <v>7</v>
      </c>
      <c r="H285" s="26" t="n">
        <f aca="false">H284+IF(U284="Mag",1,0)</f>
        <v>5</v>
      </c>
      <c r="I285" s="26" t="n">
        <f aca="false">MAX(I284,IF(U284="OR",1,0))</f>
        <v>1</v>
      </c>
      <c r="J285" s="26" t="n">
        <f aca="false">MAX(J284,IF(U284="HP",1,0))</f>
        <v>1</v>
      </c>
      <c r="K285" s="26" t="n">
        <f aca="false">MAX(K284,IF(U284="FP",1,0))</f>
        <v>1</v>
      </c>
      <c r="L285" s="26" t="n">
        <f aca="false">MAX(L284,IF(U284="transition",1,0))</f>
        <v>1</v>
      </c>
      <c r="M285" s="28" t="n">
        <f aca="false">(Parameters!$B$9+(IF(E285=0,0,(Upgrades!$J$6+E285*Upgrades!$K$6)*POWER(Upgrades!$L$6,E285)))*(IF(Upgrades!$T$7="Solar Wind",POWER(Upgrades!$U$7,F285),1)*IF(Upgrades!$T$8="Solar Wind",POWER(Upgrades!$U$8,G285),1)*IF(Upgrades!$T$9="Solar Wind",POWER(Upgrades!$U$9,H285),1)*IF(Upgrades!$T$10="Solar Wind",POWER(Upgrades!$U$10,I285),1)*IF(Upgrades!$T$11="Solar Wind",POWER(Upgrades!$U$11,J285),1)*IF(Upgrades!$T$12="Solar Wind",POWER(Upgrades!$U$12,K285),1))+(IF(F285=0,0,(Upgrades!$J$7+F285*Upgrades!$K$7)*POWER(Upgrades!$L$7,F285)))*(IF(Upgrades!$T$6="Asteroid Belt",POWER(Upgrades!$U$6,E285),1)*IF(Upgrades!$T$8="Asteroid Belt",POWER(Upgrades!$U$8,G285),1)*IF(Upgrades!$T$9="Asteroid Belt",POWER(Upgrades!$U$9,H285),1)*IF(Upgrades!$T$10="Asteroid Belt",POWER(Upgrades!$U$10,I285),1)*IF(Upgrades!$T$11="Asteroid Belt",POWER(Upgrades!$U$11,J285),1)*IF(Upgrades!$T$12="Asteroid Belt",POWER(Upgrades!$U$12,K285),1))+(IF(G285=0,0,(Upgrades!$J$8+G285*Upgrades!$K$8)*POWER(Upgrades!$L$8,G285)))*(IF(Upgrades!$T$6="Stellar Coupling",POWER(Upgrades!$U$6,E285),1)*IF(Upgrades!$T$7="Stellar Coupling",POWER(Upgrades!$U$7,F285),1)*IF(Upgrades!$T$9="Stellar Coupling",POWER(Upgrades!$U$9,H285),1)*IF(Upgrades!$T$10="Stellar Coupling",POWER(Upgrades!$U$10,I285),1)*IF(Upgrades!$T$11="Stellar Coupling",POWER(Upgrades!$U$11,J285),1)*IF(Upgrades!$T$12="Stellar Coupling",POWER(Upgrades!$U$12,K285),1))+(IF(H285=0,0,(Upgrades!$J$9+H285*Upgrades!$K$9)*POWER(Upgrades!$L$9,H285)))*(IF(Upgrades!$T$6="Magnetosphere",POWER(Upgrades!$U$6,E285),1)*IF(Upgrades!$T$7="Magnetosphere",POWER(Upgrades!$U$7,F285),1)*IF(Upgrades!$T$8="Magnetosphere",POWER(Upgrades!$U$8,G285),1)*IF(Upgrades!$T$10="Magnetosphere",POWER(Upgrades!$U$10,I285),1)*IF(Upgrades!$T$11="Magnetosphere",POWER(Upgrades!$U$11,J285),1)*IF(Upgrades!$T$12="Magnetosphere",POWER(Upgrades!$U$12,K285),1))+(IF(I285=0,0,(Upgrades!$J$10+I285*Upgrades!$K$10)*POWER(Upgrades!$L$10,I285)))*(IF(Upgrades!$T$6="Orbital Resonance",POWER(Upgrades!$U$6,E285),1)*IF(Upgrades!$T$7="Orbital Resonance",POWER(Upgrades!$U$7,F285),1)*IF(Upgrades!$T$8="Orbital Resonance",POWER(Upgrades!$U$8,G285),1)*IF(Upgrades!$T$9="Orbital Resonance",POWER(Upgrades!$U$9,H285),1)*IF(Upgrades!$T$11="Orbital Resonance",POWER(Upgrades!$U$11,J285),1)*IF(Upgrades!$T$12="Orbital Resonance",POWER(Upgrades!$U$12,K285),1))+(IF(J285=0,0,(Upgrades!$J$11+J285*Upgrades!$K$11)*POWER(Upgrades!$L$11,J285)))*(IF(Upgrades!$T$6="Heliopause",POWER(Upgrades!$U$6,E285),1)*IF(Upgrades!$T$7="Heliopause",POWER(Upgrades!$U$7,F285),1)*IF(Upgrades!$T$8="Heliopause",POWER(Upgrades!$U$8,G285),1)*IF(Upgrades!$T$9="Heliopause",POWER(Upgrades!$U$9,H285),1)*IF(Upgrades!$T$10="Heliopause",POWER(Upgrades!$U$10,I285),1)*IF(Upgrades!$T$12="Heliopause",POWER(Upgrades!$U$12,K285),1))+(IF(K285=0,0,(Upgrades!$J$12+K285*Upgrades!$K$12)*POWER(Upgrades!$L$12,K285)))*(IF(Upgrades!$T$6="First Photons",POWER(Upgrades!$U$6,E285),1)*IF(Upgrades!$T$7="First Photons",POWER(Upgrades!$U$7,F285),1)*IF(Upgrades!$T$8="First Photons",POWER(Upgrades!$U$8,G285),1)*IF(Upgrades!$T$9="First Photons",POWER(Upgrades!$U$9,H285),1)*IF(Upgrades!$T$10="First Photons",POWER(Upgrades!$U$10,I285),1)*IF(Upgrades!$T$11="First Photons",POWER(Upgrades!$U$11,J285),1)))*POWER(Upgrades!$Q$6,E285)*POWER(Upgrades!$Q$7,F285)*POWER(Upgrades!$Q$8,G285)*POWER(Upgrades!$Q$9,H285)*POWER(Upgrades!$Q$10,I285)*POWER(Upgrades!$Q$11,J285)*POWER(Upgrades!$Q$12,K285)</f>
        <v>5.61</v>
      </c>
      <c r="N285" s="28" t="n">
        <f aca="false">((IF(E285=0,0,(Upgrades!$G$6+E285*Upgrades!$H$6)*POWER(Upgrades!$I$6,E285)))*(IF(Upgrades!$T$7="Solar Wind",POWER(Upgrades!$U$7,F285),1)*IF(Upgrades!$T$8="Solar Wind",POWER(Upgrades!$U$8,G285),1)*IF(Upgrades!$T$9="Solar Wind",POWER(Upgrades!$U$9,H285),1)*IF(Upgrades!$T$10="Solar Wind",POWER(Upgrades!$U$10,I285),1)*IF(Upgrades!$T$11="Solar Wind",POWER(Upgrades!$U$11,J285),1)*IF(Upgrades!$T$12="Solar Wind",POWER(Upgrades!$U$12,K285),1))+(IF(F285=0,0,(Upgrades!$G$7+F285*Upgrades!$H$7)*POWER(Upgrades!$I$7,F285)))*(IF(Upgrades!$T$6="Asteroid Belt",POWER(Upgrades!$U$6,E285),1)*IF(Upgrades!$T$8="Asteroid Belt",POWER(Upgrades!$U$8,G285),1)*IF(Upgrades!$T$9="Asteroid Belt",POWER(Upgrades!$U$9,H285),1)*IF(Upgrades!$T$10="Asteroid Belt",POWER(Upgrades!$U$10,I285),1)*IF(Upgrades!$T$11="Asteroid Belt",POWER(Upgrades!$U$11,J285),1)*IF(Upgrades!$T$12="Asteroid Belt",POWER(Upgrades!$U$12,K285),1))+(IF(G285=0,0,(Upgrades!$G$8+G285*Upgrades!$H$8)*POWER(Upgrades!$I$8,G285)))*(IF(Upgrades!$T$6="Stellar Coupling",POWER(Upgrades!$U$6,E285),1)*IF(Upgrades!$T$7="Stellar Coupling",POWER(Upgrades!$U$7,F285),1)*IF(Upgrades!$T$9="Stellar Coupling",POWER(Upgrades!$U$9,H285),1)*IF(Upgrades!$T$10="Stellar Coupling",POWER(Upgrades!$U$10,I285),1)*IF(Upgrades!$T$11="Stellar Coupling",POWER(Upgrades!$U$11,J285),1)*IF(Upgrades!$T$12="Stellar Coupling",POWER(Upgrades!$U$12,K285),1))+(IF(H285=0,0,(Upgrades!$G$9+H285*Upgrades!$H$9)*POWER(Upgrades!$I$9,H285)))*(IF(Upgrades!$T$6="Magnetosphere",POWER(Upgrades!$U$6,E285),1)*IF(Upgrades!$T$7="Magnetosphere",POWER(Upgrades!$U$7,F285),1)*IF(Upgrades!$T$8="Magnetosphere",POWER(Upgrades!$U$8,G285),1)*IF(Upgrades!$T$10="Magnetosphere",POWER(Upgrades!$U$10,I285),1)*IF(Upgrades!$T$11="Magnetosphere",POWER(Upgrades!$U$11,J285),1)*IF(Upgrades!$T$12="Magnetosphere",POWER(Upgrades!$U$12,K285),1))+(IF(I285=0,0,(Upgrades!$G$10+I285*Upgrades!$H$10)*POWER(Upgrades!$I$10,I285)))*(IF(Upgrades!$T$6="Orbital Resonance",POWER(Upgrades!$U$6,E285),1)*IF(Upgrades!$T$7="Orbital Resonance",POWER(Upgrades!$U$7,F285),1)*IF(Upgrades!$T$8="Orbital Resonance",POWER(Upgrades!$U$8,G285),1)*IF(Upgrades!$T$9="Orbital Resonance",POWER(Upgrades!$U$9,H285),1)*IF(Upgrades!$T$11="Orbital Resonance",POWER(Upgrades!$U$11,J285),1)*IF(Upgrades!$T$12="Orbital Resonance",POWER(Upgrades!$U$12,K285),1))+(IF(J285=0,0,(Upgrades!$G$11+J285*Upgrades!$H$11)*POWER(Upgrades!$I$11,J285)))*(IF(Upgrades!$T$6="Heliopause",POWER(Upgrades!$U$6,E285),1)*IF(Upgrades!$T$7="Heliopause",POWER(Upgrades!$U$7,F285),1)*IF(Upgrades!$T$8="Heliopause",POWER(Upgrades!$U$8,G285),1)*IF(Upgrades!$T$9="Heliopause",POWER(Upgrades!$U$9,H285),1)*IF(Upgrades!$T$10="Heliopause",POWER(Upgrades!$U$10,I285),1)*IF(Upgrades!$T$12="Heliopause",POWER(Upgrades!$U$12,K285),1))+(IF(K285=0,0,(Upgrades!$G$12+K285*Upgrades!$H$12)*POWER(Upgrades!$I$12,K285)))*(IF(Upgrades!$T$6="First Photons",POWER(Upgrades!$U$6,E285),1)*IF(Upgrades!$T$7="First Photons",POWER(Upgrades!$U$7,F285),1)*IF(Upgrades!$T$8="First Photons",POWER(Upgrades!$U$8,G285),1)*IF(Upgrades!$T$9="First Photons",POWER(Upgrades!$U$9,H285),1)*IF(Upgrades!$T$10="First Photons",POWER(Upgrades!$U$10,I285),1)*IF(Upgrades!$T$11="First Photons",POWER(Upgrades!$U$11,J285),1)))*POWER(Upgrades!$P$6,E285)*POWER(Upgrades!$P$7,F285)*POWER(Upgrades!$P$8,G285)*POWER(Upgrades!$P$9,H285)*POWER(Upgrades!$P$10,I285)*POWER(Upgrades!$P$11,J285)*POWER(Upgrades!$P$12,K285)</f>
        <v>11.2</v>
      </c>
      <c r="O285" s="28" t="n">
        <f aca="false">((IF(E285=0,0,(Upgrades!$M$6+E285*Upgrades!$N$6)*POWER(Upgrades!$O$6,E285)))*(IF(Upgrades!$T$7="Solar Wind",POWER(Upgrades!$U$7,F285),1)*IF(Upgrades!$T$8="Solar Wind",POWER(Upgrades!$U$8,G285),1)*IF(Upgrades!$T$9="Solar Wind",POWER(Upgrades!$U$9,H285),1)*IF(Upgrades!$T$10="Solar Wind",POWER(Upgrades!$U$10,I285),1)*IF(Upgrades!$T$11="Solar Wind",POWER(Upgrades!$U$11,J285),1)*IF(Upgrades!$T$12="Solar Wind",POWER(Upgrades!$U$12,K285),1))+(IF(F285=0,0,(Upgrades!$M$7+F285*Upgrades!$N$7)*POWER(Upgrades!$O$7,F285)))*(IF(Upgrades!$T$6="Asteroid Belt",POWER(Upgrades!$U$6,E285),1)*IF(Upgrades!$T$8="Asteroid Belt",POWER(Upgrades!$U$8,G285),1)*IF(Upgrades!$T$9="Asteroid Belt",POWER(Upgrades!$U$9,H285),1)*IF(Upgrades!$T$10="Asteroid Belt",POWER(Upgrades!$U$10,I285),1)*IF(Upgrades!$T$11="Asteroid Belt",POWER(Upgrades!$U$11,J285),1)*IF(Upgrades!$T$12="Asteroid Belt",POWER(Upgrades!$U$12,K285),1))+(IF(G285=0,0,(Upgrades!$M$8+G285*Upgrades!$N$8)*POWER(Upgrades!$O$8,G285)))*(IF(Upgrades!$T$6="Stellar Coupling",POWER(Upgrades!$U$6,E285),1)*IF(Upgrades!$T$7="Stellar Coupling",POWER(Upgrades!$U$7,F285),1)*IF(Upgrades!$T$9="Stellar Coupling",POWER(Upgrades!$U$9,H285),1)*IF(Upgrades!$T$10="Stellar Coupling",POWER(Upgrades!$U$10,I285),1)*IF(Upgrades!$T$11="Stellar Coupling",POWER(Upgrades!$U$11,J285),1)*IF(Upgrades!$T$12="Stellar Coupling",POWER(Upgrades!$U$12,K285),1))+(IF(H285=0,0,(Upgrades!$M$9+H285*Upgrades!$N$9)*POWER(Upgrades!$O$9,H285)))*(IF(Upgrades!$T$6="Magnetosphere",POWER(Upgrades!$U$6,E285),1)*IF(Upgrades!$T$7="Magnetosphere",POWER(Upgrades!$U$7,F285),1)*IF(Upgrades!$T$8="Magnetosphere",POWER(Upgrades!$U$8,G285),1)*IF(Upgrades!$T$10="Magnetosphere",POWER(Upgrades!$U$10,I285),1)*IF(Upgrades!$T$11="Magnetosphere",POWER(Upgrades!$U$11,J285),1)*IF(Upgrades!$T$12="Magnetosphere",POWER(Upgrades!$U$12,K285),1))+(IF(I285=0,0,(Upgrades!$M$10+I285*Upgrades!$N$10)*POWER(Upgrades!$O$10,I285)))*(IF(Upgrades!$T$6="Orbital Resonance",POWER(Upgrades!$U$6,E285),1)*IF(Upgrades!$T$7="Orbital Resonance",POWER(Upgrades!$U$7,F285),1)*IF(Upgrades!$T$8="Orbital Resonance",POWER(Upgrades!$U$8,G285),1)*IF(Upgrades!$T$9="Orbital Resonance",POWER(Upgrades!$U$9,H285),1)*IF(Upgrades!$T$11="Orbital Resonance",POWER(Upgrades!$U$11,J285),1)*IF(Upgrades!$T$12="Orbital Resonance",POWER(Upgrades!$U$12,K285),1))+(IF(J285=0,0,(Upgrades!$M$11+J285*Upgrades!$N$11)*POWER(Upgrades!$O$11,J285)))*(IF(Upgrades!$T$6="Heliopause",POWER(Upgrades!$U$6,E285),1)*IF(Upgrades!$T$7="Heliopause",POWER(Upgrades!$U$7,F285),1)*IF(Upgrades!$T$8="Heliopause",POWER(Upgrades!$U$8,G285),1)*IF(Upgrades!$T$9="Heliopause",POWER(Upgrades!$U$9,H285),1)*IF(Upgrades!$T$10="Heliopause",POWER(Upgrades!$U$10,I285),1)*IF(Upgrades!$T$12="Heliopause",POWER(Upgrades!$U$12,K285),1))+(IF(K285=0,0,(Upgrades!$M$12+K285*Upgrades!$N$12)*POWER(Upgrades!$O$12,K285)))*(IF(Upgrades!$T$6="First Photons",POWER(Upgrades!$U$6,E285),1)*IF(Upgrades!$T$7="First Photons",POWER(Upgrades!$U$7,F285),1)*IF(Upgrades!$T$8="First Photons",POWER(Upgrades!$U$8,G285),1)*IF(Upgrades!$T$9="First Photons",POWER(Upgrades!$U$9,H285),1)*IF(Upgrades!$T$10="First Photons",POWER(Upgrades!$U$10,I285),1)*IF(Upgrades!$T$11="First Photons",POWER(Upgrades!$U$11,J285),1)))*POWER(Upgrades!$R$6,E285)*POWER(Upgrades!$R$7,F285)*POWER(Upgrades!$R$8,G285)*POWER(Upgrades!$R$9,H285)*POWER(Upgrades!$R$10,I285)*POWER(Upgrades!$R$11,J285)*POWER(Upgrades!$R$12,K285)</f>
        <v>0</v>
      </c>
      <c r="P285" s="27" t="n">
        <f aca="false">IF(L285=1,0,M285*Parameters!$B$10/60*Parameters!$B$11*10)</f>
        <v>0</v>
      </c>
      <c r="Q285" s="27" t="n">
        <f aca="false">IF(L285=1,0,O285*M285*10)</f>
        <v>0</v>
      </c>
      <c r="R285" s="27" t="n">
        <f aca="false">IF(L285=1,0,N285*10)</f>
        <v>0</v>
      </c>
      <c r="S285" s="27" t="n">
        <f aca="false">P285+Q285+R285</f>
        <v>0</v>
      </c>
      <c r="T285" s="21" t="n">
        <f aca="false">C285+S285</f>
        <v>18.6730249835055</v>
      </c>
      <c r="U285" s="34" t="str">
        <f aca="false">AX285</f>
        <v/>
      </c>
      <c r="V285" s="21" t="n">
        <f aca="false">IF(U285="",0,IF(U285="transition",0,IF(U285="SW",AG285,IF(U285="AB",AH285,IF(U285="SC",AI285,IF(U285="Mag",AJ285,IF(U285="OR",AK285,IF(U285="HP",AL285,IF(U285="FP",AM285,0)))))))))</f>
        <v>0</v>
      </c>
      <c r="W285" s="27" t="n">
        <f aca="false">IF(U285="OR",Upgrades!$F$10,IF(U285="HP",Upgrades!$F$11,IF(U285="transition",-Parameters!$B$18,0)))</f>
        <v>0</v>
      </c>
      <c r="X285" s="21" t="n">
        <f aca="false">T285-V285</f>
        <v>18.6730249835055</v>
      </c>
      <c r="Y285" s="30" t="n">
        <f aca="false">M285*Parameters!$B$10/60*Parameters!$B$11+O285*M285+N285</f>
        <v>20.55</v>
      </c>
      <c r="Z285" s="35" t="str">
        <f aca="false">IF(U285="transition","→ Tier 2 (Stellar Neighborhood)",IF(U285="FP","First Photons — light begins, system quickens",IF(U285="HP","Heliopause acquired",IF(U285="OR","Orbital Resonance — passive multiplier active",IF(AND(AO285=1,L285=0,AN285&lt;&gt;1),"Cohesion ready (waiting on completionist upgrades)","")))))</f>
        <v/>
      </c>
      <c r="AA285" s="27" t="n">
        <f aca="false">(IF(E285=0,0,(Upgrades!$G$6+E285*Upgrades!$H$6)*POWER(Upgrades!$I$6,E285)))*(IF(Upgrades!$T$7="Solar Wind",POWER(Upgrades!$U$7,F285),1)*IF(Upgrades!$T$8="Solar Wind",POWER(Upgrades!$U$8,G285),1)*IF(Upgrades!$T$9="Solar Wind",POWER(Upgrades!$U$9,H285),1)*IF(Upgrades!$T$10="Solar Wind",POWER(Upgrades!$U$10,I285),1)*IF(Upgrades!$T$11="Solar Wind",POWER(Upgrades!$U$11,J285),1)*IF(Upgrades!$T$12="Solar Wind",POWER(Upgrades!$U$12,K285),1))*POWER(Upgrades!$P$6,E285)*POWER(Upgrades!$P$7,F285)*POWER(Upgrades!$P$8,G285)*POWER(Upgrades!$P$9,H285)*POWER(Upgrades!$P$10,I285)*POWER(Upgrades!$P$11,J285)*POWER(Upgrades!$P$12,K285)*60</f>
        <v>72</v>
      </c>
      <c r="AB285" s="27" t="n">
        <f aca="false">(IF(F285=0,0,(Upgrades!$G$7+F285*Upgrades!$H$7)*POWER(Upgrades!$I$7,F285)))*(IF(Upgrades!$T$6="Asteroid Belt",POWER(Upgrades!$U$6,E285),1)*IF(Upgrades!$T$8="Asteroid Belt",POWER(Upgrades!$U$8,G285),1)*IF(Upgrades!$T$9="Asteroid Belt",POWER(Upgrades!$U$9,H285),1)*IF(Upgrades!$T$10="Asteroid Belt",POWER(Upgrades!$U$10,I285),1)*IF(Upgrades!$T$11="Asteroid Belt",POWER(Upgrades!$U$11,J285),1)*IF(Upgrades!$T$12="Asteroid Belt",POWER(Upgrades!$U$12,K285),1))*POWER(Upgrades!$P$6,E285)*POWER(Upgrades!$P$7,F285)*POWER(Upgrades!$P$8,G285)*POWER(Upgrades!$P$9,H285)*POWER(Upgrades!$P$10,I285)*POWER(Upgrades!$P$11,J285)*POWER(Upgrades!$P$12,K285)*60</f>
        <v>150</v>
      </c>
      <c r="AC285" s="27" t="n">
        <f aca="false">(IF(G285=0,0,(Upgrades!$J$8+G285*Upgrades!$K$8)*POWER(Upgrades!$L$8,G285)))*(IF(Upgrades!$T$6="Stellar Coupling",POWER(Upgrades!$U$6,E285),1)*IF(Upgrades!$T$7="Stellar Coupling",POWER(Upgrades!$U$7,F285),1)*IF(Upgrades!$T$9="Stellar Coupling",POWER(Upgrades!$U$9,H285),1)*IF(Upgrades!$T$10="Stellar Coupling",POWER(Upgrades!$U$10,I285),1)*IF(Upgrades!$T$11="Stellar Coupling",POWER(Upgrades!$U$11,J285),1)*IF(Upgrades!$T$12="Stellar Coupling",POWER(Upgrades!$U$12,K285),1))*POWER(Upgrades!$Q$6,E285)*POWER(Upgrades!$Q$7,F285)*POWER(Upgrades!$Q$8,G285)*POWER(Upgrades!$Q$9,H285)*POWER(Upgrades!$Q$10,I285)*POWER(Upgrades!$Q$11,J285)*POWER(Upgrades!$Q$12,K285)*Parameters!$B$10*Parameters!$B$11</f>
        <v>441</v>
      </c>
      <c r="AD285" s="27" t="n">
        <f aca="false">(IF(H285=0,0,(Upgrades!$G$9+H285*Upgrades!$H$9)*POWER(Upgrades!$I$9,H285)))*(IF(Upgrades!$T$6="Magnetosphere",POWER(Upgrades!$U$6,E285),1)*IF(Upgrades!$T$7="Magnetosphere",POWER(Upgrades!$U$7,F285),1)*IF(Upgrades!$T$8="Magnetosphere",POWER(Upgrades!$U$8,G285),1)*IF(Upgrades!$T$10="Magnetosphere",POWER(Upgrades!$U$10,I285),1)*IF(Upgrades!$T$11="Magnetosphere",POWER(Upgrades!$U$11,J285),1)*IF(Upgrades!$T$12="Magnetosphere",POWER(Upgrades!$U$12,K285),1))*POWER(Upgrades!$P$6,E285)*POWER(Upgrades!$P$7,F285)*POWER(Upgrades!$P$8,G285)*POWER(Upgrades!$P$9,H285)*POWER(Upgrades!$P$10,I285)*POWER(Upgrades!$P$11,J285)*POWER(Upgrades!$P$12,K285)*60</f>
        <v>375</v>
      </c>
      <c r="AE285" s="27" t="n">
        <f aca="false">(IF(K285=0,0,(Upgrades!$G$12+K285*Upgrades!$H$12)*POWER(Upgrades!$I$12,K285)))*(IF(Upgrades!$T$6="First Photons",POWER(Upgrades!$U$6,E285),1)*IF(Upgrades!$T$7="First Photons",POWER(Upgrades!$U$7,F285),1)*IF(Upgrades!$T$8="First Photons",POWER(Upgrades!$U$8,G285),1)*IF(Upgrades!$T$9="First Photons",POWER(Upgrades!$U$9,H285),1)*IF(Upgrades!$T$10="First Photons",POWER(Upgrades!$U$10,I285),1)*IF(Upgrades!$T$11="First Photons",POWER(Upgrades!$U$11,J285),1))*POWER(Upgrades!$P$6,E285)*POWER(Upgrades!$P$7,F285)*POWER(Upgrades!$P$8,G285)*POWER(Upgrades!$P$9,H285)*POWER(Upgrades!$P$10,I285)*POWER(Upgrades!$P$11,J285)*POWER(Upgrades!$P$12,K285)*60</f>
        <v>75</v>
      </c>
      <c r="AF285" s="27" t="n">
        <f aca="false">Parameters!$B$9*POWER(Upgrades!$Q$6,E285)*POWER(Upgrades!$Q$7,F285)*POWER(Upgrades!$Q$8,G285)*POWER(Upgrades!$Q$9,H285)*POWER(Upgrades!$Q$10,I285)*POWER(Upgrades!$Q$11,J285)*POWER(Upgrades!$Q$12,K285)*(Parameters!$B$10*Parameters!$B$11+O285*60)</f>
        <v>120</v>
      </c>
      <c r="AG285" s="21" t="n">
        <f aca="false">IF(E285&gt;=Upgrades!$E$6,"",Upgrades!$C$6*POWER(Upgrades!$D$6,E285))</f>
        <v>37.4517507383159</v>
      </c>
      <c r="AH285" s="21" t="n">
        <f aca="false">IF(F285&gt;=Upgrades!$E$7,"",Upgrades!$C$7*POWER(Upgrades!$D$7,F285))</f>
        <v>80.9111547141581</v>
      </c>
      <c r="AI285" s="21" t="n">
        <f aca="false">IF(G285&gt;=Upgrades!$E$8,"",Upgrades!$C$8*POWER(Upgrades!$D$8,G285))</f>
        <v>231.9097088</v>
      </c>
      <c r="AJ285" s="21" t="str">
        <f aca="false">IF(H285&gt;=Upgrades!$E$9,"",Upgrades!$C$9*POWER(Upgrades!$D$9,H285))</f>
        <v/>
      </c>
      <c r="AK285" s="21" t="str">
        <f aca="false">IF(I285&gt;=Upgrades!$E$10,"",Upgrades!$C$10*POWER(Upgrades!$D$10,I285))</f>
        <v/>
      </c>
      <c r="AL285" s="21" t="str">
        <f aca="false">IF(J285&gt;=Upgrades!$E$11,"",Upgrades!$C$11*POWER(Upgrades!$D$11,J285))</f>
        <v/>
      </c>
      <c r="AM285" s="21" t="str">
        <f aca="false">IF(K285&gt;=Upgrades!$E$12,"",Upgrades!$C$12*POWER(Upgrades!$D$12,K285))</f>
        <v/>
      </c>
      <c r="AN285" s="26" t="str">
        <f aca="false">IF(AND(D285&gt;=Parameters!$B$18,(H285&gt;=Upgrades!$E$9)*(K285&gt;=Upgrades!$E$12)=1,L285=0),1,"")</f>
        <v/>
      </c>
      <c r="AO285" s="26" t="str">
        <f aca="false">IF(AND(D285&gt;=Parameters!$B$18,L285=0),1,"")</f>
        <v/>
      </c>
      <c r="AP285" s="21" t="n">
        <f aca="false">MIN(IF(ISNUMBER(AK285),AK285,9000000000000000),IF(ISNUMBER(AL285),AL285,9000000000000000),IF(ISNUMBER(AM285),AM285,9000000000000000))</f>
        <v>9000000000000000</v>
      </c>
      <c r="AQ285" s="21" t="n">
        <f aca="false">MIN(IF(ISNUMBER(AG285),AG285,9000000000000000),IF(ISNUMBER(AH285),AH285,9000000000000000),IF(ISNUMBER(AI285),AI285,9000000000000000),IF(ISNUMBER(AJ285),AJ285,9000000000000000))</f>
        <v>37.4517507383159</v>
      </c>
      <c r="AR285" s="32" t="b">
        <f aca="false">IF(AW285&gt;Parameters!$B$21*(MAX(IF(AND(NOT(AND(AO285=1,AN285&lt;&gt;1)),ISNUMBER(AG285),AG285&lt;=T285),AS285,0),IF(AND(NOT(AND(AO285=1,AN285&lt;&gt;1)),ISNUMBER(AH285),AH285&lt;=T285),AT285,0),IF(AND(NOT(AND(AO285=1,AN285&lt;&gt;1)),ISNUMBER(AI285),AI285&lt;=T285),AU285,0),IF(AND(ISNUMBER(AJ285),AJ285&lt;=T285),AV285,0))),TRUE(),FALSE())</f>
        <v>1</v>
      </c>
      <c r="AS285" s="33" t="n">
        <f aca="false">IFERROR(Upgrades!$H$6*(POWER(Upgrades!$P$6,E285)*POWER(Upgrades!$P$7,F285)*POWER(Upgrades!$P$8,G285)*POWER(Upgrades!$P$9,H285)*POWER(Upgrades!$P$10,I285)*POWER(Upgrades!$P$11,J285)*POWER(Upgrades!$P$12,K285))*(IF(Upgrades!$T$7="Solar Wind",POWER(Upgrades!$U$7,F285),1)*IF(Upgrades!$T$8="Solar Wind",POWER(Upgrades!$U$8,G285),1)*IF(Upgrades!$T$9="Solar Wind",POWER(Upgrades!$U$9,H285),1)*IF(Upgrades!$T$10="Solar Wind",POWER(Upgrades!$U$10,I285),1)*IF(Upgrades!$T$11="Solar Wind",POWER(Upgrades!$U$11,J285),1)*IF(Upgrades!$T$12="Solar Wind",POWER(Upgrades!$U$12,K285),1))/AG285,0)</f>
        <v>0.0026701021455238</v>
      </c>
      <c r="AT285" s="33" t="n">
        <f aca="false">IFERROR(Upgrades!$H$7*(POWER(Upgrades!$P$6,E285)*POWER(Upgrades!$P$7,F285)*POWER(Upgrades!$P$8,G285)*POWER(Upgrades!$P$9,H285)*POWER(Upgrades!$P$10,I285)*POWER(Upgrades!$P$11,J285)*POWER(Upgrades!$P$12,K285))*(IF(Upgrades!$T$6="Asteroid Belt",POWER(Upgrades!$U$6,E285),1)*IF(Upgrades!$T$8="Asteroid Belt",POWER(Upgrades!$U$8,G285),1)*IF(Upgrades!$T$9="Asteroid Belt",POWER(Upgrades!$U$9,H285),1)*IF(Upgrades!$T$10="Asteroid Belt",POWER(Upgrades!$U$10,I285),1)*IF(Upgrades!$T$11="Asteroid Belt",POWER(Upgrades!$U$11,J285),1)*IF(Upgrades!$T$12="Asteroid Belt",POWER(Upgrades!$U$12,K285),1))/AH285,0)</f>
        <v>0.00308980882652332</v>
      </c>
      <c r="AU285" s="33" t="n">
        <f aca="false">IFERROR(Upgrades!$K$8*(POWER(Upgrades!$Q$6,E285)*POWER(Upgrades!$Q$7,F285)*POWER(Upgrades!$Q$8,G285)*POWER(Upgrades!$Q$9,H285)*POWER(Upgrades!$Q$10,I285)*POWER(Upgrades!$Q$11,J285)*POWER(Upgrades!$Q$12,K285))*(IF(Upgrades!$T$6="Stellar Coupling",POWER(Upgrades!$U$6,E285),1)*IF(Upgrades!$T$7="Stellar Coupling",POWER(Upgrades!$U$7,F285),1)*IF(Upgrades!$T$9="Stellar Coupling",POWER(Upgrades!$U$9,H285),1)*IF(Upgrades!$T$10="Stellar Coupling",POWER(Upgrades!$U$10,I285),1)*IF(Upgrades!$T$11="Stellar Coupling",POWER(Upgrades!$U$11,J285),1)*IF(Upgrades!$T$12="Stellar Coupling",POWER(Upgrades!$U$12,K285),1))*Parameters!$B$10*Parameters!$B$11/60/AI285,0)</f>
        <v>0.00452762415783776</v>
      </c>
      <c r="AV285" s="33" t="n">
        <f aca="false">IFERROR(Upgrades!$H$9*(POWER(Upgrades!$P$6,E285)*POWER(Upgrades!$P$7,F285)*POWER(Upgrades!$P$8,G285)*POWER(Upgrades!$P$9,H285)*POWER(Upgrades!$P$10,I285)*POWER(Upgrades!$P$11,J285)*POWER(Upgrades!$P$12,K285))*(IF(Upgrades!$T$6="Magnetosphere",POWER(Upgrades!$U$6,E285),1)*IF(Upgrades!$T$7="Magnetosphere",POWER(Upgrades!$U$7,F285),1)*IF(Upgrades!$T$8="Magnetosphere",POWER(Upgrades!$U$8,G285),1)*IF(Upgrades!$T$10="Magnetosphere",POWER(Upgrades!$U$10,I285),1)*IF(Upgrades!$T$11="Magnetosphere",POWER(Upgrades!$U$11,J285),1)*IF(Upgrades!$T$12="Magnetosphere",POWER(Upgrades!$U$12,K285),1))/AJ285,0)</f>
        <v>0</v>
      </c>
      <c r="AW285" s="33" t="n">
        <f aca="false">MAX(IF(I285&gt;0,0,IFERROR(0.25*N285/Upgrades!$C$10,0)),IF(J285&gt;0,0,IFERROR(0.5*((IF(G285=0,0,(Upgrades!$J$8+G285*Upgrades!$K$8)*POWER(Upgrades!$L$8,G285)))*(IF(Upgrades!$T$6="Stellar Coupling",POWER(Upgrades!$U$6,E285),1)*IF(Upgrades!$T$7="Stellar Coupling",POWER(Upgrades!$U$7,F285),1)*IF(Upgrades!$T$9="Stellar Coupling",POWER(Upgrades!$U$9,H285),1)*IF(Upgrades!$T$10="Stellar Coupling",POWER(Upgrades!$U$10,I285),1)*IF(Upgrades!$T$11="Stellar Coupling",POWER(Upgrades!$U$11,J285),1)*IF(Upgrades!$T$12="Stellar Coupling",POWER(Upgrades!$U$12,K285),1))*(POWER(Upgrades!$Q$6,E285)*POWER(Upgrades!$Q$7,F285)*POWER(Upgrades!$Q$8,G285)*POWER(Upgrades!$Q$9,H285)*POWER(Upgrades!$Q$10,I285)*POWER(Upgrades!$Q$11,J285)*POWER(Upgrades!$Q$12,K285))*Parameters!$B$10*Parameters!$B$11/60)/Upgrades!$C$11,0)),IF(K285&gt;0,0,IFERROR((1*(POWER(Upgrades!$P$6,E285)*POWER(Upgrades!$P$7,F285)*POWER(Upgrades!$P$8,G285)*POWER(Upgrades!$P$9,H285)*POWER(Upgrades!$P$10,I285)*POWER(Upgrades!$P$11,J285)*POWER(Upgrades!$P$12,K285))+0.2*M285*Parameters!$B$10*Parameters!$B$11/60)/Upgrades!$C$12,0)),IF(AND(ISNUMBER(AG285),AG285&gt;T285),AS285,0),IF(AND(ISNUMBER(AH285),AH285&gt;T285),AT285,0),IF(AND(ISNUMBER(AI285),AI285&gt;T285),AU285,0),IF(AND(ISNUMBER(AJ285),AJ285&gt;T285),AV285,0))</f>
        <v>0.00452762415783776</v>
      </c>
      <c r="AX285" s="29" t="str">
        <f aca="false">IF(AN285=1,"transition",IF(MIN(IF(AND(I285=0,ISNUMBER(AK285),AK285&lt;=T285),AK285,9000000000000000),IF(AND(J285=0,ISNUMBER(AL285),AL285&lt;=T285),AL285,9000000000000000),IF(AND(K285=0,ISNUMBER(AM285),AM285&lt;=T285),AM285,9000000000000000))&lt;9000000000000000,IF(AND(AND(I285=0,ISNUMBER(AK285),AK285&lt;=T285),AK285=MIN(IF(AND(I285=0,ISNUMBER(AK285),AK285&lt;=T285),AK285,9000000000000000),IF(AND(J285=0,ISNUMBER(AL285),AL285&lt;=T285),AL285,9000000000000000),IF(AND(K285=0,ISNUMBER(AM285),AM285&lt;=T285),AM285,9000000000000000))),"OR",IF(AND(AND(J285=0,ISNUMBER(AL285),AL285&lt;=T285),AL285=MIN(IF(AND(I285=0,ISNUMBER(AK285),AK285&lt;=T285),AK285,9000000000000000),IF(AND(J285=0,ISNUMBER(AL285),AL285&lt;=T285),AL285,9000000000000000),IF(AND(K285=0,ISNUMBER(AM285),AM285&lt;=T285),AM285,9000000000000000))),"HP","FP")),IF(AR285=TRUE(),"",IF(MAX(IF(AND(NOT(AND(AO285=1,AN285&lt;&gt;1)),ISNUMBER(AG285),AG285&lt;=T285),AS285,0),IF(AND(NOT(AND(AO285=1,AN285&lt;&gt;1)),ISNUMBER(AH285),AH285&lt;=T285),AT285,0),IF(AND(NOT(AND(AO285=1,AN285&lt;&gt;1)),ISNUMBER(AI285),AI285&lt;=T285),AU285,0),IF(AND(ISNUMBER(AJ285),AJ285&lt;=T285),AV285,0))&lt;=0,"",IF(AND(IF(AND(NOT(AND(AO285=1,AN285&lt;&gt;1)),ISNUMBER(AG285),AG285&lt;=T285),AS285,0)&gt;0,IF(AND(NOT(AND(AO285=1,AN285&lt;&gt;1)),ISNUMBER(AG285),AG285&lt;=T285),AS285,0)=MAX(IF(AND(NOT(AND(AO285=1,AN285&lt;&gt;1)),ISNUMBER(AG285),AG285&lt;=T285),AS285,0),IF(AND(NOT(AND(AO285=1,AN285&lt;&gt;1)),ISNUMBER(AH285),AH285&lt;=T285),AT285,0),IF(AND(NOT(AND(AO285=1,AN285&lt;&gt;1)),ISNUMBER(AI285),AI285&lt;=T285),AU285,0),IF(AND(ISNUMBER(AJ285),AJ285&lt;=T285),AV285,0))),"SW",IF(AND(IF(AND(NOT(AND(AO285=1,AN285&lt;&gt;1)),ISNUMBER(AH285),AH285&lt;=T285),AT285,0)&gt;0,IF(AND(NOT(AND(AO285=1,AN285&lt;&gt;1)),ISNUMBER(AH285),AH285&lt;=T285),AT285,0)=MAX(IF(AND(NOT(AND(AO285=1,AN285&lt;&gt;1)),ISNUMBER(AG285),AG285&lt;=T285),AS285,0),IF(AND(NOT(AND(AO285=1,AN285&lt;&gt;1)),ISNUMBER(AH285),AH285&lt;=T285),AT285,0),IF(AND(NOT(AND(AO285=1,AN285&lt;&gt;1)),ISNUMBER(AI285),AI285&lt;=T285),AU285,0),IF(AND(ISNUMBER(AJ285),AJ285&lt;=T285),AV285,0))),"AB",IF(AND(IF(AND(NOT(AND(AO285=1,AN285&lt;&gt;1)),ISNUMBER(AI285),AI285&lt;=T285),AU285,0)&gt;0,IF(AND(NOT(AND(AO285=1,AN285&lt;&gt;1)),ISNUMBER(AI285),AI285&lt;=T285),AU285,0)=MAX(IF(AND(NOT(AND(AO285=1,AN285&lt;&gt;1)),ISNUMBER(AG285),AG285&lt;=T285),AS285,0),IF(AND(NOT(AND(AO285=1,AN285&lt;&gt;1)),ISNUMBER(AH285),AH285&lt;=T285),AT285,0),IF(AND(NOT(AND(AO285=1,AN285&lt;&gt;1)),ISNUMBER(AI285),AI285&lt;=T285),AU285,0),IF(AND(ISNUMBER(AJ285),AJ285&lt;=T285),AV285,0))),"SC","Mag")))))))</f>
        <v/>
      </c>
    </row>
    <row r="286" customFormat="false" ht="15" hidden="false" customHeight="false" outlineLevel="0" collapsed="false">
      <c r="A286" s="26" t="n">
        <v>281</v>
      </c>
      <c r="B286" s="27" t="n">
        <f aca="false">A286*10/60</f>
        <v>46.8333333333333</v>
      </c>
      <c r="C286" s="21" t="n">
        <f aca="false">X285</f>
        <v>18.6730249835055</v>
      </c>
      <c r="D286" s="27" t="n">
        <f aca="false">D285+W285</f>
        <v>0</v>
      </c>
      <c r="E286" s="26" t="n">
        <f aca="false">E285+IF(U285="SW",1,0)</f>
        <v>12</v>
      </c>
      <c r="F286" s="26" t="n">
        <f aca="false">F285+IF(U285="AB",1,0)</f>
        <v>10</v>
      </c>
      <c r="G286" s="26" t="n">
        <f aca="false">G285+IF(U285="SC",1,0)</f>
        <v>7</v>
      </c>
      <c r="H286" s="26" t="n">
        <f aca="false">H285+IF(U285="Mag",1,0)</f>
        <v>5</v>
      </c>
      <c r="I286" s="26" t="n">
        <f aca="false">MAX(I285,IF(U285="OR",1,0))</f>
        <v>1</v>
      </c>
      <c r="J286" s="26" t="n">
        <f aca="false">MAX(J285,IF(U285="HP",1,0))</f>
        <v>1</v>
      </c>
      <c r="K286" s="26" t="n">
        <f aca="false">MAX(K285,IF(U285="FP",1,0))</f>
        <v>1</v>
      </c>
      <c r="L286" s="26" t="n">
        <f aca="false">MAX(L285,IF(U285="transition",1,0))</f>
        <v>1</v>
      </c>
      <c r="M286" s="28" t="n">
        <f aca="false">(Parameters!$B$9+(IF(E286=0,0,(Upgrades!$J$6+E286*Upgrades!$K$6)*POWER(Upgrades!$L$6,E286)))*(IF(Upgrades!$T$7="Solar Wind",POWER(Upgrades!$U$7,F286),1)*IF(Upgrades!$T$8="Solar Wind",POWER(Upgrades!$U$8,G286),1)*IF(Upgrades!$T$9="Solar Wind",POWER(Upgrades!$U$9,H286),1)*IF(Upgrades!$T$10="Solar Wind",POWER(Upgrades!$U$10,I286),1)*IF(Upgrades!$T$11="Solar Wind",POWER(Upgrades!$U$11,J286),1)*IF(Upgrades!$T$12="Solar Wind",POWER(Upgrades!$U$12,K286),1))+(IF(F286=0,0,(Upgrades!$J$7+F286*Upgrades!$K$7)*POWER(Upgrades!$L$7,F286)))*(IF(Upgrades!$T$6="Asteroid Belt",POWER(Upgrades!$U$6,E286),1)*IF(Upgrades!$T$8="Asteroid Belt",POWER(Upgrades!$U$8,G286),1)*IF(Upgrades!$T$9="Asteroid Belt",POWER(Upgrades!$U$9,H286),1)*IF(Upgrades!$T$10="Asteroid Belt",POWER(Upgrades!$U$10,I286),1)*IF(Upgrades!$T$11="Asteroid Belt",POWER(Upgrades!$U$11,J286),1)*IF(Upgrades!$T$12="Asteroid Belt",POWER(Upgrades!$U$12,K286),1))+(IF(G286=0,0,(Upgrades!$J$8+G286*Upgrades!$K$8)*POWER(Upgrades!$L$8,G286)))*(IF(Upgrades!$T$6="Stellar Coupling",POWER(Upgrades!$U$6,E286),1)*IF(Upgrades!$T$7="Stellar Coupling",POWER(Upgrades!$U$7,F286),1)*IF(Upgrades!$T$9="Stellar Coupling",POWER(Upgrades!$U$9,H286),1)*IF(Upgrades!$T$10="Stellar Coupling",POWER(Upgrades!$U$10,I286),1)*IF(Upgrades!$T$11="Stellar Coupling",POWER(Upgrades!$U$11,J286),1)*IF(Upgrades!$T$12="Stellar Coupling",POWER(Upgrades!$U$12,K286),1))+(IF(H286=0,0,(Upgrades!$J$9+H286*Upgrades!$K$9)*POWER(Upgrades!$L$9,H286)))*(IF(Upgrades!$T$6="Magnetosphere",POWER(Upgrades!$U$6,E286),1)*IF(Upgrades!$T$7="Magnetosphere",POWER(Upgrades!$U$7,F286),1)*IF(Upgrades!$T$8="Magnetosphere",POWER(Upgrades!$U$8,G286),1)*IF(Upgrades!$T$10="Magnetosphere",POWER(Upgrades!$U$10,I286),1)*IF(Upgrades!$T$11="Magnetosphere",POWER(Upgrades!$U$11,J286),1)*IF(Upgrades!$T$12="Magnetosphere",POWER(Upgrades!$U$12,K286),1))+(IF(I286=0,0,(Upgrades!$J$10+I286*Upgrades!$K$10)*POWER(Upgrades!$L$10,I286)))*(IF(Upgrades!$T$6="Orbital Resonance",POWER(Upgrades!$U$6,E286),1)*IF(Upgrades!$T$7="Orbital Resonance",POWER(Upgrades!$U$7,F286),1)*IF(Upgrades!$T$8="Orbital Resonance",POWER(Upgrades!$U$8,G286),1)*IF(Upgrades!$T$9="Orbital Resonance",POWER(Upgrades!$U$9,H286),1)*IF(Upgrades!$T$11="Orbital Resonance",POWER(Upgrades!$U$11,J286),1)*IF(Upgrades!$T$12="Orbital Resonance",POWER(Upgrades!$U$12,K286),1))+(IF(J286=0,0,(Upgrades!$J$11+J286*Upgrades!$K$11)*POWER(Upgrades!$L$11,J286)))*(IF(Upgrades!$T$6="Heliopause",POWER(Upgrades!$U$6,E286),1)*IF(Upgrades!$T$7="Heliopause",POWER(Upgrades!$U$7,F286),1)*IF(Upgrades!$T$8="Heliopause",POWER(Upgrades!$U$8,G286),1)*IF(Upgrades!$T$9="Heliopause",POWER(Upgrades!$U$9,H286),1)*IF(Upgrades!$T$10="Heliopause",POWER(Upgrades!$U$10,I286),1)*IF(Upgrades!$T$12="Heliopause",POWER(Upgrades!$U$12,K286),1))+(IF(K286=0,0,(Upgrades!$J$12+K286*Upgrades!$K$12)*POWER(Upgrades!$L$12,K286)))*(IF(Upgrades!$T$6="First Photons",POWER(Upgrades!$U$6,E286),1)*IF(Upgrades!$T$7="First Photons",POWER(Upgrades!$U$7,F286),1)*IF(Upgrades!$T$8="First Photons",POWER(Upgrades!$U$8,G286),1)*IF(Upgrades!$T$9="First Photons",POWER(Upgrades!$U$9,H286),1)*IF(Upgrades!$T$10="First Photons",POWER(Upgrades!$U$10,I286),1)*IF(Upgrades!$T$11="First Photons",POWER(Upgrades!$U$11,J286),1)))*POWER(Upgrades!$Q$6,E286)*POWER(Upgrades!$Q$7,F286)*POWER(Upgrades!$Q$8,G286)*POWER(Upgrades!$Q$9,H286)*POWER(Upgrades!$Q$10,I286)*POWER(Upgrades!$Q$11,J286)*POWER(Upgrades!$Q$12,K286)</f>
        <v>5.61</v>
      </c>
      <c r="N286" s="28" t="n">
        <f aca="false">((IF(E286=0,0,(Upgrades!$G$6+E286*Upgrades!$H$6)*POWER(Upgrades!$I$6,E286)))*(IF(Upgrades!$T$7="Solar Wind",POWER(Upgrades!$U$7,F286),1)*IF(Upgrades!$T$8="Solar Wind",POWER(Upgrades!$U$8,G286),1)*IF(Upgrades!$T$9="Solar Wind",POWER(Upgrades!$U$9,H286),1)*IF(Upgrades!$T$10="Solar Wind",POWER(Upgrades!$U$10,I286),1)*IF(Upgrades!$T$11="Solar Wind",POWER(Upgrades!$U$11,J286),1)*IF(Upgrades!$T$12="Solar Wind",POWER(Upgrades!$U$12,K286),1))+(IF(F286=0,0,(Upgrades!$G$7+F286*Upgrades!$H$7)*POWER(Upgrades!$I$7,F286)))*(IF(Upgrades!$T$6="Asteroid Belt",POWER(Upgrades!$U$6,E286),1)*IF(Upgrades!$T$8="Asteroid Belt",POWER(Upgrades!$U$8,G286),1)*IF(Upgrades!$T$9="Asteroid Belt",POWER(Upgrades!$U$9,H286),1)*IF(Upgrades!$T$10="Asteroid Belt",POWER(Upgrades!$U$10,I286),1)*IF(Upgrades!$T$11="Asteroid Belt",POWER(Upgrades!$U$11,J286),1)*IF(Upgrades!$T$12="Asteroid Belt",POWER(Upgrades!$U$12,K286),1))+(IF(G286=0,0,(Upgrades!$G$8+G286*Upgrades!$H$8)*POWER(Upgrades!$I$8,G286)))*(IF(Upgrades!$T$6="Stellar Coupling",POWER(Upgrades!$U$6,E286),1)*IF(Upgrades!$T$7="Stellar Coupling",POWER(Upgrades!$U$7,F286),1)*IF(Upgrades!$T$9="Stellar Coupling",POWER(Upgrades!$U$9,H286),1)*IF(Upgrades!$T$10="Stellar Coupling",POWER(Upgrades!$U$10,I286),1)*IF(Upgrades!$T$11="Stellar Coupling",POWER(Upgrades!$U$11,J286),1)*IF(Upgrades!$T$12="Stellar Coupling",POWER(Upgrades!$U$12,K286),1))+(IF(H286=0,0,(Upgrades!$G$9+H286*Upgrades!$H$9)*POWER(Upgrades!$I$9,H286)))*(IF(Upgrades!$T$6="Magnetosphere",POWER(Upgrades!$U$6,E286),1)*IF(Upgrades!$T$7="Magnetosphere",POWER(Upgrades!$U$7,F286),1)*IF(Upgrades!$T$8="Magnetosphere",POWER(Upgrades!$U$8,G286),1)*IF(Upgrades!$T$10="Magnetosphere",POWER(Upgrades!$U$10,I286),1)*IF(Upgrades!$T$11="Magnetosphere",POWER(Upgrades!$U$11,J286),1)*IF(Upgrades!$T$12="Magnetosphere",POWER(Upgrades!$U$12,K286),1))+(IF(I286=0,0,(Upgrades!$G$10+I286*Upgrades!$H$10)*POWER(Upgrades!$I$10,I286)))*(IF(Upgrades!$T$6="Orbital Resonance",POWER(Upgrades!$U$6,E286),1)*IF(Upgrades!$T$7="Orbital Resonance",POWER(Upgrades!$U$7,F286),1)*IF(Upgrades!$T$8="Orbital Resonance",POWER(Upgrades!$U$8,G286),1)*IF(Upgrades!$T$9="Orbital Resonance",POWER(Upgrades!$U$9,H286),1)*IF(Upgrades!$T$11="Orbital Resonance",POWER(Upgrades!$U$11,J286),1)*IF(Upgrades!$T$12="Orbital Resonance",POWER(Upgrades!$U$12,K286),1))+(IF(J286=0,0,(Upgrades!$G$11+J286*Upgrades!$H$11)*POWER(Upgrades!$I$11,J286)))*(IF(Upgrades!$T$6="Heliopause",POWER(Upgrades!$U$6,E286),1)*IF(Upgrades!$T$7="Heliopause",POWER(Upgrades!$U$7,F286),1)*IF(Upgrades!$T$8="Heliopause",POWER(Upgrades!$U$8,G286),1)*IF(Upgrades!$T$9="Heliopause",POWER(Upgrades!$U$9,H286),1)*IF(Upgrades!$T$10="Heliopause",POWER(Upgrades!$U$10,I286),1)*IF(Upgrades!$T$12="Heliopause",POWER(Upgrades!$U$12,K286),1))+(IF(K286=0,0,(Upgrades!$G$12+K286*Upgrades!$H$12)*POWER(Upgrades!$I$12,K286)))*(IF(Upgrades!$T$6="First Photons",POWER(Upgrades!$U$6,E286),1)*IF(Upgrades!$T$7="First Photons",POWER(Upgrades!$U$7,F286),1)*IF(Upgrades!$T$8="First Photons",POWER(Upgrades!$U$8,G286),1)*IF(Upgrades!$T$9="First Photons",POWER(Upgrades!$U$9,H286),1)*IF(Upgrades!$T$10="First Photons",POWER(Upgrades!$U$10,I286),1)*IF(Upgrades!$T$11="First Photons",POWER(Upgrades!$U$11,J286),1)))*POWER(Upgrades!$P$6,E286)*POWER(Upgrades!$P$7,F286)*POWER(Upgrades!$P$8,G286)*POWER(Upgrades!$P$9,H286)*POWER(Upgrades!$P$10,I286)*POWER(Upgrades!$P$11,J286)*POWER(Upgrades!$P$12,K286)</f>
        <v>11.2</v>
      </c>
      <c r="O286" s="28" t="n">
        <f aca="false">((IF(E286=0,0,(Upgrades!$M$6+E286*Upgrades!$N$6)*POWER(Upgrades!$O$6,E286)))*(IF(Upgrades!$T$7="Solar Wind",POWER(Upgrades!$U$7,F286),1)*IF(Upgrades!$T$8="Solar Wind",POWER(Upgrades!$U$8,G286),1)*IF(Upgrades!$T$9="Solar Wind",POWER(Upgrades!$U$9,H286),1)*IF(Upgrades!$T$10="Solar Wind",POWER(Upgrades!$U$10,I286),1)*IF(Upgrades!$T$11="Solar Wind",POWER(Upgrades!$U$11,J286),1)*IF(Upgrades!$T$12="Solar Wind",POWER(Upgrades!$U$12,K286),1))+(IF(F286=0,0,(Upgrades!$M$7+F286*Upgrades!$N$7)*POWER(Upgrades!$O$7,F286)))*(IF(Upgrades!$T$6="Asteroid Belt",POWER(Upgrades!$U$6,E286),1)*IF(Upgrades!$T$8="Asteroid Belt",POWER(Upgrades!$U$8,G286),1)*IF(Upgrades!$T$9="Asteroid Belt",POWER(Upgrades!$U$9,H286),1)*IF(Upgrades!$T$10="Asteroid Belt",POWER(Upgrades!$U$10,I286),1)*IF(Upgrades!$T$11="Asteroid Belt",POWER(Upgrades!$U$11,J286),1)*IF(Upgrades!$T$12="Asteroid Belt",POWER(Upgrades!$U$12,K286),1))+(IF(G286=0,0,(Upgrades!$M$8+G286*Upgrades!$N$8)*POWER(Upgrades!$O$8,G286)))*(IF(Upgrades!$T$6="Stellar Coupling",POWER(Upgrades!$U$6,E286),1)*IF(Upgrades!$T$7="Stellar Coupling",POWER(Upgrades!$U$7,F286),1)*IF(Upgrades!$T$9="Stellar Coupling",POWER(Upgrades!$U$9,H286),1)*IF(Upgrades!$T$10="Stellar Coupling",POWER(Upgrades!$U$10,I286),1)*IF(Upgrades!$T$11="Stellar Coupling",POWER(Upgrades!$U$11,J286),1)*IF(Upgrades!$T$12="Stellar Coupling",POWER(Upgrades!$U$12,K286),1))+(IF(H286=0,0,(Upgrades!$M$9+H286*Upgrades!$N$9)*POWER(Upgrades!$O$9,H286)))*(IF(Upgrades!$T$6="Magnetosphere",POWER(Upgrades!$U$6,E286),1)*IF(Upgrades!$T$7="Magnetosphere",POWER(Upgrades!$U$7,F286),1)*IF(Upgrades!$T$8="Magnetosphere",POWER(Upgrades!$U$8,G286),1)*IF(Upgrades!$T$10="Magnetosphere",POWER(Upgrades!$U$10,I286),1)*IF(Upgrades!$T$11="Magnetosphere",POWER(Upgrades!$U$11,J286),1)*IF(Upgrades!$T$12="Magnetosphere",POWER(Upgrades!$U$12,K286),1))+(IF(I286=0,0,(Upgrades!$M$10+I286*Upgrades!$N$10)*POWER(Upgrades!$O$10,I286)))*(IF(Upgrades!$T$6="Orbital Resonance",POWER(Upgrades!$U$6,E286),1)*IF(Upgrades!$T$7="Orbital Resonance",POWER(Upgrades!$U$7,F286),1)*IF(Upgrades!$T$8="Orbital Resonance",POWER(Upgrades!$U$8,G286),1)*IF(Upgrades!$T$9="Orbital Resonance",POWER(Upgrades!$U$9,H286),1)*IF(Upgrades!$T$11="Orbital Resonance",POWER(Upgrades!$U$11,J286),1)*IF(Upgrades!$T$12="Orbital Resonance",POWER(Upgrades!$U$12,K286),1))+(IF(J286=0,0,(Upgrades!$M$11+J286*Upgrades!$N$11)*POWER(Upgrades!$O$11,J286)))*(IF(Upgrades!$T$6="Heliopause",POWER(Upgrades!$U$6,E286),1)*IF(Upgrades!$T$7="Heliopause",POWER(Upgrades!$U$7,F286),1)*IF(Upgrades!$T$8="Heliopause",POWER(Upgrades!$U$8,G286),1)*IF(Upgrades!$T$9="Heliopause",POWER(Upgrades!$U$9,H286),1)*IF(Upgrades!$T$10="Heliopause",POWER(Upgrades!$U$10,I286),1)*IF(Upgrades!$T$12="Heliopause",POWER(Upgrades!$U$12,K286),1))+(IF(K286=0,0,(Upgrades!$M$12+K286*Upgrades!$N$12)*POWER(Upgrades!$O$12,K286)))*(IF(Upgrades!$T$6="First Photons",POWER(Upgrades!$U$6,E286),1)*IF(Upgrades!$T$7="First Photons",POWER(Upgrades!$U$7,F286),1)*IF(Upgrades!$T$8="First Photons",POWER(Upgrades!$U$8,G286),1)*IF(Upgrades!$T$9="First Photons",POWER(Upgrades!$U$9,H286),1)*IF(Upgrades!$T$10="First Photons",POWER(Upgrades!$U$10,I286),1)*IF(Upgrades!$T$11="First Photons",POWER(Upgrades!$U$11,J286),1)))*POWER(Upgrades!$R$6,E286)*POWER(Upgrades!$R$7,F286)*POWER(Upgrades!$R$8,G286)*POWER(Upgrades!$R$9,H286)*POWER(Upgrades!$R$10,I286)*POWER(Upgrades!$R$11,J286)*POWER(Upgrades!$R$12,K286)</f>
        <v>0</v>
      </c>
      <c r="P286" s="27" t="n">
        <f aca="false">IF(L286=1,0,M286*Parameters!$B$10/60*Parameters!$B$11*10)</f>
        <v>0</v>
      </c>
      <c r="Q286" s="27" t="n">
        <f aca="false">IF(L286=1,0,O286*M286*10)</f>
        <v>0</v>
      </c>
      <c r="R286" s="27" t="n">
        <f aca="false">IF(L286=1,0,N286*10)</f>
        <v>0</v>
      </c>
      <c r="S286" s="27" t="n">
        <f aca="false">P286+Q286+R286</f>
        <v>0</v>
      </c>
      <c r="T286" s="21" t="n">
        <f aca="false">C286+S286</f>
        <v>18.6730249835055</v>
      </c>
      <c r="U286" s="34" t="str">
        <f aca="false">AX286</f>
        <v/>
      </c>
      <c r="V286" s="21" t="n">
        <f aca="false">IF(U286="",0,IF(U286="transition",0,IF(U286="SW",AG286,IF(U286="AB",AH286,IF(U286="SC",AI286,IF(U286="Mag",AJ286,IF(U286="OR",AK286,IF(U286="HP",AL286,IF(U286="FP",AM286,0)))))))))</f>
        <v>0</v>
      </c>
      <c r="W286" s="27" t="n">
        <f aca="false">IF(U286="OR",Upgrades!$F$10,IF(U286="HP",Upgrades!$F$11,IF(U286="transition",-Parameters!$B$18,0)))</f>
        <v>0</v>
      </c>
      <c r="X286" s="21" t="n">
        <f aca="false">T286-V286</f>
        <v>18.6730249835055</v>
      </c>
      <c r="Y286" s="30" t="n">
        <f aca="false">M286*Parameters!$B$10/60*Parameters!$B$11+O286*M286+N286</f>
        <v>20.55</v>
      </c>
      <c r="Z286" s="35" t="str">
        <f aca="false">IF(U286="transition","→ Tier 2 (Stellar Neighborhood)",IF(U286="FP","First Photons — light begins, system quickens",IF(U286="HP","Heliopause acquired",IF(U286="OR","Orbital Resonance — passive multiplier active",IF(AND(AO286=1,L286=0,AN286&lt;&gt;1),"Cohesion ready (waiting on completionist upgrades)","")))))</f>
        <v/>
      </c>
      <c r="AA286" s="27" t="n">
        <f aca="false">(IF(E286=0,0,(Upgrades!$G$6+E286*Upgrades!$H$6)*POWER(Upgrades!$I$6,E286)))*(IF(Upgrades!$T$7="Solar Wind",POWER(Upgrades!$U$7,F286),1)*IF(Upgrades!$T$8="Solar Wind",POWER(Upgrades!$U$8,G286),1)*IF(Upgrades!$T$9="Solar Wind",POWER(Upgrades!$U$9,H286),1)*IF(Upgrades!$T$10="Solar Wind",POWER(Upgrades!$U$10,I286),1)*IF(Upgrades!$T$11="Solar Wind",POWER(Upgrades!$U$11,J286),1)*IF(Upgrades!$T$12="Solar Wind",POWER(Upgrades!$U$12,K286),1))*POWER(Upgrades!$P$6,E286)*POWER(Upgrades!$P$7,F286)*POWER(Upgrades!$P$8,G286)*POWER(Upgrades!$P$9,H286)*POWER(Upgrades!$P$10,I286)*POWER(Upgrades!$P$11,J286)*POWER(Upgrades!$P$12,K286)*60</f>
        <v>72</v>
      </c>
      <c r="AB286" s="27" t="n">
        <f aca="false">(IF(F286=0,0,(Upgrades!$G$7+F286*Upgrades!$H$7)*POWER(Upgrades!$I$7,F286)))*(IF(Upgrades!$T$6="Asteroid Belt",POWER(Upgrades!$U$6,E286),1)*IF(Upgrades!$T$8="Asteroid Belt",POWER(Upgrades!$U$8,G286),1)*IF(Upgrades!$T$9="Asteroid Belt",POWER(Upgrades!$U$9,H286),1)*IF(Upgrades!$T$10="Asteroid Belt",POWER(Upgrades!$U$10,I286),1)*IF(Upgrades!$T$11="Asteroid Belt",POWER(Upgrades!$U$11,J286),1)*IF(Upgrades!$T$12="Asteroid Belt",POWER(Upgrades!$U$12,K286),1))*POWER(Upgrades!$P$6,E286)*POWER(Upgrades!$P$7,F286)*POWER(Upgrades!$P$8,G286)*POWER(Upgrades!$P$9,H286)*POWER(Upgrades!$P$10,I286)*POWER(Upgrades!$P$11,J286)*POWER(Upgrades!$P$12,K286)*60</f>
        <v>150</v>
      </c>
      <c r="AC286" s="27" t="n">
        <f aca="false">(IF(G286=0,0,(Upgrades!$J$8+G286*Upgrades!$K$8)*POWER(Upgrades!$L$8,G286)))*(IF(Upgrades!$T$6="Stellar Coupling",POWER(Upgrades!$U$6,E286),1)*IF(Upgrades!$T$7="Stellar Coupling",POWER(Upgrades!$U$7,F286),1)*IF(Upgrades!$T$9="Stellar Coupling",POWER(Upgrades!$U$9,H286),1)*IF(Upgrades!$T$10="Stellar Coupling",POWER(Upgrades!$U$10,I286),1)*IF(Upgrades!$T$11="Stellar Coupling",POWER(Upgrades!$U$11,J286),1)*IF(Upgrades!$T$12="Stellar Coupling",POWER(Upgrades!$U$12,K286),1))*POWER(Upgrades!$Q$6,E286)*POWER(Upgrades!$Q$7,F286)*POWER(Upgrades!$Q$8,G286)*POWER(Upgrades!$Q$9,H286)*POWER(Upgrades!$Q$10,I286)*POWER(Upgrades!$Q$11,J286)*POWER(Upgrades!$Q$12,K286)*Parameters!$B$10*Parameters!$B$11</f>
        <v>441</v>
      </c>
      <c r="AD286" s="27" t="n">
        <f aca="false">(IF(H286=0,0,(Upgrades!$G$9+H286*Upgrades!$H$9)*POWER(Upgrades!$I$9,H286)))*(IF(Upgrades!$T$6="Magnetosphere",POWER(Upgrades!$U$6,E286),1)*IF(Upgrades!$T$7="Magnetosphere",POWER(Upgrades!$U$7,F286),1)*IF(Upgrades!$T$8="Magnetosphere",POWER(Upgrades!$U$8,G286),1)*IF(Upgrades!$T$10="Magnetosphere",POWER(Upgrades!$U$10,I286),1)*IF(Upgrades!$T$11="Magnetosphere",POWER(Upgrades!$U$11,J286),1)*IF(Upgrades!$T$12="Magnetosphere",POWER(Upgrades!$U$12,K286),1))*POWER(Upgrades!$P$6,E286)*POWER(Upgrades!$P$7,F286)*POWER(Upgrades!$P$8,G286)*POWER(Upgrades!$P$9,H286)*POWER(Upgrades!$P$10,I286)*POWER(Upgrades!$P$11,J286)*POWER(Upgrades!$P$12,K286)*60</f>
        <v>375</v>
      </c>
      <c r="AE286" s="27" t="n">
        <f aca="false">(IF(K286=0,0,(Upgrades!$G$12+K286*Upgrades!$H$12)*POWER(Upgrades!$I$12,K286)))*(IF(Upgrades!$T$6="First Photons",POWER(Upgrades!$U$6,E286),1)*IF(Upgrades!$T$7="First Photons",POWER(Upgrades!$U$7,F286),1)*IF(Upgrades!$T$8="First Photons",POWER(Upgrades!$U$8,G286),1)*IF(Upgrades!$T$9="First Photons",POWER(Upgrades!$U$9,H286),1)*IF(Upgrades!$T$10="First Photons",POWER(Upgrades!$U$10,I286),1)*IF(Upgrades!$T$11="First Photons",POWER(Upgrades!$U$11,J286),1))*POWER(Upgrades!$P$6,E286)*POWER(Upgrades!$P$7,F286)*POWER(Upgrades!$P$8,G286)*POWER(Upgrades!$P$9,H286)*POWER(Upgrades!$P$10,I286)*POWER(Upgrades!$P$11,J286)*POWER(Upgrades!$P$12,K286)*60</f>
        <v>75</v>
      </c>
      <c r="AF286" s="27" t="n">
        <f aca="false">Parameters!$B$9*POWER(Upgrades!$Q$6,E286)*POWER(Upgrades!$Q$7,F286)*POWER(Upgrades!$Q$8,G286)*POWER(Upgrades!$Q$9,H286)*POWER(Upgrades!$Q$10,I286)*POWER(Upgrades!$Q$11,J286)*POWER(Upgrades!$Q$12,K286)*(Parameters!$B$10*Parameters!$B$11+O286*60)</f>
        <v>120</v>
      </c>
      <c r="AG286" s="21" t="n">
        <f aca="false">IF(E286&gt;=Upgrades!$E$6,"",Upgrades!$C$6*POWER(Upgrades!$D$6,E286))</f>
        <v>37.4517507383159</v>
      </c>
      <c r="AH286" s="21" t="n">
        <f aca="false">IF(F286&gt;=Upgrades!$E$7,"",Upgrades!$C$7*POWER(Upgrades!$D$7,F286))</f>
        <v>80.9111547141581</v>
      </c>
      <c r="AI286" s="21" t="n">
        <f aca="false">IF(G286&gt;=Upgrades!$E$8,"",Upgrades!$C$8*POWER(Upgrades!$D$8,G286))</f>
        <v>231.9097088</v>
      </c>
      <c r="AJ286" s="21" t="str">
        <f aca="false">IF(H286&gt;=Upgrades!$E$9,"",Upgrades!$C$9*POWER(Upgrades!$D$9,H286))</f>
        <v/>
      </c>
      <c r="AK286" s="21" t="str">
        <f aca="false">IF(I286&gt;=Upgrades!$E$10,"",Upgrades!$C$10*POWER(Upgrades!$D$10,I286))</f>
        <v/>
      </c>
      <c r="AL286" s="21" t="str">
        <f aca="false">IF(J286&gt;=Upgrades!$E$11,"",Upgrades!$C$11*POWER(Upgrades!$D$11,J286))</f>
        <v/>
      </c>
      <c r="AM286" s="21" t="str">
        <f aca="false">IF(K286&gt;=Upgrades!$E$12,"",Upgrades!$C$12*POWER(Upgrades!$D$12,K286))</f>
        <v/>
      </c>
      <c r="AN286" s="26" t="str">
        <f aca="false">IF(AND(D286&gt;=Parameters!$B$18,(H286&gt;=Upgrades!$E$9)*(K286&gt;=Upgrades!$E$12)=1,L286=0),1,"")</f>
        <v/>
      </c>
      <c r="AO286" s="26" t="str">
        <f aca="false">IF(AND(D286&gt;=Parameters!$B$18,L286=0),1,"")</f>
        <v/>
      </c>
      <c r="AP286" s="21" t="n">
        <f aca="false">MIN(IF(ISNUMBER(AK286),AK286,9000000000000000),IF(ISNUMBER(AL286),AL286,9000000000000000),IF(ISNUMBER(AM286),AM286,9000000000000000))</f>
        <v>9000000000000000</v>
      </c>
      <c r="AQ286" s="21" t="n">
        <f aca="false">MIN(IF(ISNUMBER(AG286),AG286,9000000000000000),IF(ISNUMBER(AH286),AH286,9000000000000000),IF(ISNUMBER(AI286),AI286,9000000000000000),IF(ISNUMBER(AJ286),AJ286,9000000000000000))</f>
        <v>37.4517507383159</v>
      </c>
      <c r="AR286" s="32" t="b">
        <f aca="false">IF(AW286&gt;Parameters!$B$21*(MAX(IF(AND(NOT(AND(AO286=1,AN286&lt;&gt;1)),ISNUMBER(AG286),AG286&lt;=T286),AS286,0),IF(AND(NOT(AND(AO286=1,AN286&lt;&gt;1)),ISNUMBER(AH286),AH286&lt;=T286),AT286,0),IF(AND(NOT(AND(AO286=1,AN286&lt;&gt;1)),ISNUMBER(AI286),AI286&lt;=T286),AU286,0),IF(AND(ISNUMBER(AJ286),AJ286&lt;=T286),AV286,0))),TRUE(),FALSE())</f>
        <v>1</v>
      </c>
      <c r="AS286" s="33" t="n">
        <f aca="false">IFERROR(Upgrades!$H$6*(POWER(Upgrades!$P$6,E286)*POWER(Upgrades!$P$7,F286)*POWER(Upgrades!$P$8,G286)*POWER(Upgrades!$P$9,H286)*POWER(Upgrades!$P$10,I286)*POWER(Upgrades!$P$11,J286)*POWER(Upgrades!$P$12,K286))*(IF(Upgrades!$T$7="Solar Wind",POWER(Upgrades!$U$7,F286),1)*IF(Upgrades!$T$8="Solar Wind",POWER(Upgrades!$U$8,G286),1)*IF(Upgrades!$T$9="Solar Wind",POWER(Upgrades!$U$9,H286),1)*IF(Upgrades!$T$10="Solar Wind",POWER(Upgrades!$U$10,I286),1)*IF(Upgrades!$T$11="Solar Wind",POWER(Upgrades!$U$11,J286),1)*IF(Upgrades!$T$12="Solar Wind",POWER(Upgrades!$U$12,K286),1))/AG286,0)</f>
        <v>0.0026701021455238</v>
      </c>
      <c r="AT286" s="33" t="n">
        <f aca="false">IFERROR(Upgrades!$H$7*(POWER(Upgrades!$P$6,E286)*POWER(Upgrades!$P$7,F286)*POWER(Upgrades!$P$8,G286)*POWER(Upgrades!$P$9,H286)*POWER(Upgrades!$P$10,I286)*POWER(Upgrades!$P$11,J286)*POWER(Upgrades!$P$12,K286))*(IF(Upgrades!$T$6="Asteroid Belt",POWER(Upgrades!$U$6,E286),1)*IF(Upgrades!$T$8="Asteroid Belt",POWER(Upgrades!$U$8,G286),1)*IF(Upgrades!$T$9="Asteroid Belt",POWER(Upgrades!$U$9,H286),1)*IF(Upgrades!$T$10="Asteroid Belt",POWER(Upgrades!$U$10,I286),1)*IF(Upgrades!$T$11="Asteroid Belt",POWER(Upgrades!$U$11,J286),1)*IF(Upgrades!$T$12="Asteroid Belt",POWER(Upgrades!$U$12,K286),1))/AH286,0)</f>
        <v>0.00308980882652332</v>
      </c>
      <c r="AU286" s="33" t="n">
        <f aca="false">IFERROR(Upgrades!$K$8*(POWER(Upgrades!$Q$6,E286)*POWER(Upgrades!$Q$7,F286)*POWER(Upgrades!$Q$8,G286)*POWER(Upgrades!$Q$9,H286)*POWER(Upgrades!$Q$10,I286)*POWER(Upgrades!$Q$11,J286)*POWER(Upgrades!$Q$12,K286))*(IF(Upgrades!$T$6="Stellar Coupling",POWER(Upgrades!$U$6,E286),1)*IF(Upgrades!$T$7="Stellar Coupling",POWER(Upgrades!$U$7,F286),1)*IF(Upgrades!$T$9="Stellar Coupling",POWER(Upgrades!$U$9,H286),1)*IF(Upgrades!$T$10="Stellar Coupling",POWER(Upgrades!$U$10,I286),1)*IF(Upgrades!$T$11="Stellar Coupling",POWER(Upgrades!$U$11,J286),1)*IF(Upgrades!$T$12="Stellar Coupling",POWER(Upgrades!$U$12,K286),1))*Parameters!$B$10*Parameters!$B$11/60/AI286,0)</f>
        <v>0.00452762415783776</v>
      </c>
      <c r="AV286" s="33" t="n">
        <f aca="false">IFERROR(Upgrades!$H$9*(POWER(Upgrades!$P$6,E286)*POWER(Upgrades!$P$7,F286)*POWER(Upgrades!$P$8,G286)*POWER(Upgrades!$P$9,H286)*POWER(Upgrades!$P$10,I286)*POWER(Upgrades!$P$11,J286)*POWER(Upgrades!$P$12,K286))*(IF(Upgrades!$T$6="Magnetosphere",POWER(Upgrades!$U$6,E286),1)*IF(Upgrades!$T$7="Magnetosphere",POWER(Upgrades!$U$7,F286),1)*IF(Upgrades!$T$8="Magnetosphere",POWER(Upgrades!$U$8,G286),1)*IF(Upgrades!$T$10="Magnetosphere",POWER(Upgrades!$U$10,I286),1)*IF(Upgrades!$T$11="Magnetosphere",POWER(Upgrades!$U$11,J286),1)*IF(Upgrades!$T$12="Magnetosphere",POWER(Upgrades!$U$12,K286),1))/AJ286,0)</f>
        <v>0</v>
      </c>
      <c r="AW286" s="33" t="n">
        <f aca="false">MAX(IF(I286&gt;0,0,IFERROR(0.25*N286/Upgrades!$C$10,0)),IF(J286&gt;0,0,IFERROR(0.5*((IF(G286=0,0,(Upgrades!$J$8+G286*Upgrades!$K$8)*POWER(Upgrades!$L$8,G286)))*(IF(Upgrades!$T$6="Stellar Coupling",POWER(Upgrades!$U$6,E286),1)*IF(Upgrades!$T$7="Stellar Coupling",POWER(Upgrades!$U$7,F286),1)*IF(Upgrades!$T$9="Stellar Coupling",POWER(Upgrades!$U$9,H286),1)*IF(Upgrades!$T$10="Stellar Coupling",POWER(Upgrades!$U$10,I286),1)*IF(Upgrades!$T$11="Stellar Coupling",POWER(Upgrades!$U$11,J286),1)*IF(Upgrades!$T$12="Stellar Coupling",POWER(Upgrades!$U$12,K286),1))*(POWER(Upgrades!$Q$6,E286)*POWER(Upgrades!$Q$7,F286)*POWER(Upgrades!$Q$8,G286)*POWER(Upgrades!$Q$9,H286)*POWER(Upgrades!$Q$10,I286)*POWER(Upgrades!$Q$11,J286)*POWER(Upgrades!$Q$12,K286))*Parameters!$B$10*Parameters!$B$11/60)/Upgrades!$C$11,0)),IF(K286&gt;0,0,IFERROR((1*(POWER(Upgrades!$P$6,E286)*POWER(Upgrades!$P$7,F286)*POWER(Upgrades!$P$8,G286)*POWER(Upgrades!$P$9,H286)*POWER(Upgrades!$P$10,I286)*POWER(Upgrades!$P$11,J286)*POWER(Upgrades!$P$12,K286))+0.2*M286*Parameters!$B$10*Parameters!$B$11/60)/Upgrades!$C$12,0)),IF(AND(ISNUMBER(AG286),AG286&gt;T286),AS286,0),IF(AND(ISNUMBER(AH286),AH286&gt;T286),AT286,0),IF(AND(ISNUMBER(AI286),AI286&gt;T286),AU286,0),IF(AND(ISNUMBER(AJ286),AJ286&gt;T286),AV286,0))</f>
        <v>0.00452762415783776</v>
      </c>
      <c r="AX286" s="29" t="str">
        <f aca="false">IF(AN286=1,"transition",IF(MIN(IF(AND(I286=0,ISNUMBER(AK286),AK286&lt;=T286),AK286,9000000000000000),IF(AND(J286=0,ISNUMBER(AL286),AL286&lt;=T286),AL286,9000000000000000),IF(AND(K286=0,ISNUMBER(AM286),AM286&lt;=T286),AM286,9000000000000000))&lt;9000000000000000,IF(AND(AND(I286=0,ISNUMBER(AK286),AK286&lt;=T286),AK286=MIN(IF(AND(I286=0,ISNUMBER(AK286),AK286&lt;=T286),AK286,9000000000000000),IF(AND(J286=0,ISNUMBER(AL286),AL286&lt;=T286),AL286,9000000000000000),IF(AND(K286=0,ISNUMBER(AM286),AM286&lt;=T286),AM286,9000000000000000))),"OR",IF(AND(AND(J286=0,ISNUMBER(AL286),AL286&lt;=T286),AL286=MIN(IF(AND(I286=0,ISNUMBER(AK286),AK286&lt;=T286),AK286,9000000000000000),IF(AND(J286=0,ISNUMBER(AL286),AL286&lt;=T286),AL286,9000000000000000),IF(AND(K286=0,ISNUMBER(AM286),AM286&lt;=T286),AM286,9000000000000000))),"HP","FP")),IF(AR286=TRUE(),"",IF(MAX(IF(AND(NOT(AND(AO286=1,AN286&lt;&gt;1)),ISNUMBER(AG286),AG286&lt;=T286),AS286,0),IF(AND(NOT(AND(AO286=1,AN286&lt;&gt;1)),ISNUMBER(AH286),AH286&lt;=T286),AT286,0),IF(AND(NOT(AND(AO286=1,AN286&lt;&gt;1)),ISNUMBER(AI286),AI286&lt;=T286),AU286,0),IF(AND(ISNUMBER(AJ286),AJ286&lt;=T286),AV286,0))&lt;=0,"",IF(AND(IF(AND(NOT(AND(AO286=1,AN286&lt;&gt;1)),ISNUMBER(AG286),AG286&lt;=T286),AS286,0)&gt;0,IF(AND(NOT(AND(AO286=1,AN286&lt;&gt;1)),ISNUMBER(AG286),AG286&lt;=T286),AS286,0)=MAX(IF(AND(NOT(AND(AO286=1,AN286&lt;&gt;1)),ISNUMBER(AG286),AG286&lt;=T286),AS286,0),IF(AND(NOT(AND(AO286=1,AN286&lt;&gt;1)),ISNUMBER(AH286),AH286&lt;=T286),AT286,0),IF(AND(NOT(AND(AO286=1,AN286&lt;&gt;1)),ISNUMBER(AI286),AI286&lt;=T286),AU286,0),IF(AND(ISNUMBER(AJ286),AJ286&lt;=T286),AV286,0))),"SW",IF(AND(IF(AND(NOT(AND(AO286=1,AN286&lt;&gt;1)),ISNUMBER(AH286),AH286&lt;=T286),AT286,0)&gt;0,IF(AND(NOT(AND(AO286=1,AN286&lt;&gt;1)),ISNUMBER(AH286),AH286&lt;=T286),AT286,0)=MAX(IF(AND(NOT(AND(AO286=1,AN286&lt;&gt;1)),ISNUMBER(AG286),AG286&lt;=T286),AS286,0),IF(AND(NOT(AND(AO286=1,AN286&lt;&gt;1)),ISNUMBER(AH286),AH286&lt;=T286),AT286,0),IF(AND(NOT(AND(AO286=1,AN286&lt;&gt;1)),ISNUMBER(AI286),AI286&lt;=T286),AU286,0),IF(AND(ISNUMBER(AJ286),AJ286&lt;=T286),AV286,0))),"AB",IF(AND(IF(AND(NOT(AND(AO286=1,AN286&lt;&gt;1)),ISNUMBER(AI286),AI286&lt;=T286),AU286,0)&gt;0,IF(AND(NOT(AND(AO286=1,AN286&lt;&gt;1)),ISNUMBER(AI286),AI286&lt;=T286),AU286,0)=MAX(IF(AND(NOT(AND(AO286=1,AN286&lt;&gt;1)),ISNUMBER(AG286),AG286&lt;=T286),AS286,0),IF(AND(NOT(AND(AO286=1,AN286&lt;&gt;1)),ISNUMBER(AH286),AH286&lt;=T286),AT286,0),IF(AND(NOT(AND(AO286=1,AN286&lt;&gt;1)),ISNUMBER(AI286),AI286&lt;=T286),AU286,0),IF(AND(ISNUMBER(AJ286),AJ286&lt;=T286),AV286,0))),"SC","Mag")))))))</f>
        <v/>
      </c>
    </row>
    <row r="287" customFormat="false" ht="15" hidden="false" customHeight="false" outlineLevel="0" collapsed="false">
      <c r="A287" s="26" t="n">
        <v>282</v>
      </c>
      <c r="B287" s="27" t="n">
        <f aca="false">A287*10/60</f>
        <v>47</v>
      </c>
      <c r="C287" s="21" t="n">
        <f aca="false">X286</f>
        <v>18.6730249835055</v>
      </c>
      <c r="D287" s="27" t="n">
        <f aca="false">D286+W286</f>
        <v>0</v>
      </c>
      <c r="E287" s="26" t="n">
        <f aca="false">E286+IF(U286="SW",1,0)</f>
        <v>12</v>
      </c>
      <c r="F287" s="26" t="n">
        <f aca="false">F286+IF(U286="AB",1,0)</f>
        <v>10</v>
      </c>
      <c r="G287" s="26" t="n">
        <f aca="false">G286+IF(U286="SC",1,0)</f>
        <v>7</v>
      </c>
      <c r="H287" s="26" t="n">
        <f aca="false">H286+IF(U286="Mag",1,0)</f>
        <v>5</v>
      </c>
      <c r="I287" s="26" t="n">
        <f aca="false">MAX(I286,IF(U286="OR",1,0))</f>
        <v>1</v>
      </c>
      <c r="J287" s="26" t="n">
        <f aca="false">MAX(J286,IF(U286="HP",1,0))</f>
        <v>1</v>
      </c>
      <c r="K287" s="26" t="n">
        <f aca="false">MAX(K286,IF(U286="FP",1,0))</f>
        <v>1</v>
      </c>
      <c r="L287" s="26" t="n">
        <f aca="false">MAX(L286,IF(U286="transition",1,0))</f>
        <v>1</v>
      </c>
      <c r="M287" s="28" t="n">
        <f aca="false">(Parameters!$B$9+(IF(E287=0,0,(Upgrades!$J$6+E287*Upgrades!$K$6)*POWER(Upgrades!$L$6,E287)))*(IF(Upgrades!$T$7="Solar Wind",POWER(Upgrades!$U$7,F287),1)*IF(Upgrades!$T$8="Solar Wind",POWER(Upgrades!$U$8,G287),1)*IF(Upgrades!$T$9="Solar Wind",POWER(Upgrades!$U$9,H287),1)*IF(Upgrades!$T$10="Solar Wind",POWER(Upgrades!$U$10,I287),1)*IF(Upgrades!$T$11="Solar Wind",POWER(Upgrades!$U$11,J287),1)*IF(Upgrades!$T$12="Solar Wind",POWER(Upgrades!$U$12,K287),1))+(IF(F287=0,0,(Upgrades!$J$7+F287*Upgrades!$K$7)*POWER(Upgrades!$L$7,F287)))*(IF(Upgrades!$T$6="Asteroid Belt",POWER(Upgrades!$U$6,E287),1)*IF(Upgrades!$T$8="Asteroid Belt",POWER(Upgrades!$U$8,G287),1)*IF(Upgrades!$T$9="Asteroid Belt",POWER(Upgrades!$U$9,H287),1)*IF(Upgrades!$T$10="Asteroid Belt",POWER(Upgrades!$U$10,I287),1)*IF(Upgrades!$T$11="Asteroid Belt",POWER(Upgrades!$U$11,J287),1)*IF(Upgrades!$T$12="Asteroid Belt",POWER(Upgrades!$U$12,K287),1))+(IF(G287=0,0,(Upgrades!$J$8+G287*Upgrades!$K$8)*POWER(Upgrades!$L$8,G287)))*(IF(Upgrades!$T$6="Stellar Coupling",POWER(Upgrades!$U$6,E287),1)*IF(Upgrades!$T$7="Stellar Coupling",POWER(Upgrades!$U$7,F287),1)*IF(Upgrades!$T$9="Stellar Coupling",POWER(Upgrades!$U$9,H287),1)*IF(Upgrades!$T$10="Stellar Coupling",POWER(Upgrades!$U$10,I287),1)*IF(Upgrades!$T$11="Stellar Coupling",POWER(Upgrades!$U$11,J287),1)*IF(Upgrades!$T$12="Stellar Coupling",POWER(Upgrades!$U$12,K287),1))+(IF(H287=0,0,(Upgrades!$J$9+H287*Upgrades!$K$9)*POWER(Upgrades!$L$9,H287)))*(IF(Upgrades!$T$6="Magnetosphere",POWER(Upgrades!$U$6,E287),1)*IF(Upgrades!$T$7="Magnetosphere",POWER(Upgrades!$U$7,F287),1)*IF(Upgrades!$T$8="Magnetosphere",POWER(Upgrades!$U$8,G287),1)*IF(Upgrades!$T$10="Magnetosphere",POWER(Upgrades!$U$10,I287),1)*IF(Upgrades!$T$11="Magnetosphere",POWER(Upgrades!$U$11,J287),1)*IF(Upgrades!$T$12="Magnetosphere",POWER(Upgrades!$U$12,K287),1))+(IF(I287=0,0,(Upgrades!$J$10+I287*Upgrades!$K$10)*POWER(Upgrades!$L$10,I287)))*(IF(Upgrades!$T$6="Orbital Resonance",POWER(Upgrades!$U$6,E287),1)*IF(Upgrades!$T$7="Orbital Resonance",POWER(Upgrades!$U$7,F287),1)*IF(Upgrades!$T$8="Orbital Resonance",POWER(Upgrades!$U$8,G287),1)*IF(Upgrades!$T$9="Orbital Resonance",POWER(Upgrades!$U$9,H287),1)*IF(Upgrades!$T$11="Orbital Resonance",POWER(Upgrades!$U$11,J287),1)*IF(Upgrades!$T$12="Orbital Resonance",POWER(Upgrades!$U$12,K287),1))+(IF(J287=0,0,(Upgrades!$J$11+J287*Upgrades!$K$11)*POWER(Upgrades!$L$11,J287)))*(IF(Upgrades!$T$6="Heliopause",POWER(Upgrades!$U$6,E287),1)*IF(Upgrades!$T$7="Heliopause",POWER(Upgrades!$U$7,F287),1)*IF(Upgrades!$T$8="Heliopause",POWER(Upgrades!$U$8,G287),1)*IF(Upgrades!$T$9="Heliopause",POWER(Upgrades!$U$9,H287),1)*IF(Upgrades!$T$10="Heliopause",POWER(Upgrades!$U$10,I287),1)*IF(Upgrades!$T$12="Heliopause",POWER(Upgrades!$U$12,K287),1))+(IF(K287=0,0,(Upgrades!$J$12+K287*Upgrades!$K$12)*POWER(Upgrades!$L$12,K287)))*(IF(Upgrades!$T$6="First Photons",POWER(Upgrades!$U$6,E287),1)*IF(Upgrades!$T$7="First Photons",POWER(Upgrades!$U$7,F287),1)*IF(Upgrades!$T$8="First Photons",POWER(Upgrades!$U$8,G287),1)*IF(Upgrades!$T$9="First Photons",POWER(Upgrades!$U$9,H287),1)*IF(Upgrades!$T$10="First Photons",POWER(Upgrades!$U$10,I287),1)*IF(Upgrades!$T$11="First Photons",POWER(Upgrades!$U$11,J287),1)))*POWER(Upgrades!$Q$6,E287)*POWER(Upgrades!$Q$7,F287)*POWER(Upgrades!$Q$8,G287)*POWER(Upgrades!$Q$9,H287)*POWER(Upgrades!$Q$10,I287)*POWER(Upgrades!$Q$11,J287)*POWER(Upgrades!$Q$12,K287)</f>
        <v>5.61</v>
      </c>
      <c r="N287" s="28" t="n">
        <f aca="false">((IF(E287=0,0,(Upgrades!$G$6+E287*Upgrades!$H$6)*POWER(Upgrades!$I$6,E287)))*(IF(Upgrades!$T$7="Solar Wind",POWER(Upgrades!$U$7,F287),1)*IF(Upgrades!$T$8="Solar Wind",POWER(Upgrades!$U$8,G287),1)*IF(Upgrades!$T$9="Solar Wind",POWER(Upgrades!$U$9,H287),1)*IF(Upgrades!$T$10="Solar Wind",POWER(Upgrades!$U$10,I287),1)*IF(Upgrades!$T$11="Solar Wind",POWER(Upgrades!$U$11,J287),1)*IF(Upgrades!$T$12="Solar Wind",POWER(Upgrades!$U$12,K287),1))+(IF(F287=0,0,(Upgrades!$G$7+F287*Upgrades!$H$7)*POWER(Upgrades!$I$7,F287)))*(IF(Upgrades!$T$6="Asteroid Belt",POWER(Upgrades!$U$6,E287),1)*IF(Upgrades!$T$8="Asteroid Belt",POWER(Upgrades!$U$8,G287),1)*IF(Upgrades!$T$9="Asteroid Belt",POWER(Upgrades!$U$9,H287),1)*IF(Upgrades!$T$10="Asteroid Belt",POWER(Upgrades!$U$10,I287),1)*IF(Upgrades!$T$11="Asteroid Belt",POWER(Upgrades!$U$11,J287),1)*IF(Upgrades!$T$12="Asteroid Belt",POWER(Upgrades!$U$12,K287),1))+(IF(G287=0,0,(Upgrades!$G$8+G287*Upgrades!$H$8)*POWER(Upgrades!$I$8,G287)))*(IF(Upgrades!$T$6="Stellar Coupling",POWER(Upgrades!$U$6,E287),1)*IF(Upgrades!$T$7="Stellar Coupling",POWER(Upgrades!$U$7,F287),1)*IF(Upgrades!$T$9="Stellar Coupling",POWER(Upgrades!$U$9,H287),1)*IF(Upgrades!$T$10="Stellar Coupling",POWER(Upgrades!$U$10,I287),1)*IF(Upgrades!$T$11="Stellar Coupling",POWER(Upgrades!$U$11,J287),1)*IF(Upgrades!$T$12="Stellar Coupling",POWER(Upgrades!$U$12,K287),1))+(IF(H287=0,0,(Upgrades!$G$9+H287*Upgrades!$H$9)*POWER(Upgrades!$I$9,H287)))*(IF(Upgrades!$T$6="Magnetosphere",POWER(Upgrades!$U$6,E287),1)*IF(Upgrades!$T$7="Magnetosphere",POWER(Upgrades!$U$7,F287),1)*IF(Upgrades!$T$8="Magnetosphere",POWER(Upgrades!$U$8,G287),1)*IF(Upgrades!$T$10="Magnetosphere",POWER(Upgrades!$U$10,I287),1)*IF(Upgrades!$T$11="Magnetosphere",POWER(Upgrades!$U$11,J287),1)*IF(Upgrades!$T$12="Magnetosphere",POWER(Upgrades!$U$12,K287),1))+(IF(I287=0,0,(Upgrades!$G$10+I287*Upgrades!$H$10)*POWER(Upgrades!$I$10,I287)))*(IF(Upgrades!$T$6="Orbital Resonance",POWER(Upgrades!$U$6,E287),1)*IF(Upgrades!$T$7="Orbital Resonance",POWER(Upgrades!$U$7,F287),1)*IF(Upgrades!$T$8="Orbital Resonance",POWER(Upgrades!$U$8,G287),1)*IF(Upgrades!$T$9="Orbital Resonance",POWER(Upgrades!$U$9,H287),1)*IF(Upgrades!$T$11="Orbital Resonance",POWER(Upgrades!$U$11,J287),1)*IF(Upgrades!$T$12="Orbital Resonance",POWER(Upgrades!$U$12,K287),1))+(IF(J287=0,0,(Upgrades!$G$11+J287*Upgrades!$H$11)*POWER(Upgrades!$I$11,J287)))*(IF(Upgrades!$T$6="Heliopause",POWER(Upgrades!$U$6,E287),1)*IF(Upgrades!$T$7="Heliopause",POWER(Upgrades!$U$7,F287),1)*IF(Upgrades!$T$8="Heliopause",POWER(Upgrades!$U$8,G287),1)*IF(Upgrades!$T$9="Heliopause",POWER(Upgrades!$U$9,H287),1)*IF(Upgrades!$T$10="Heliopause",POWER(Upgrades!$U$10,I287),1)*IF(Upgrades!$T$12="Heliopause",POWER(Upgrades!$U$12,K287),1))+(IF(K287=0,0,(Upgrades!$G$12+K287*Upgrades!$H$12)*POWER(Upgrades!$I$12,K287)))*(IF(Upgrades!$T$6="First Photons",POWER(Upgrades!$U$6,E287),1)*IF(Upgrades!$T$7="First Photons",POWER(Upgrades!$U$7,F287),1)*IF(Upgrades!$T$8="First Photons",POWER(Upgrades!$U$8,G287),1)*IF(Upgrades!$T$9="First Photons",POWER(Upgrades!$U$9,H287),1)*IF(Upgrades!$T$10="First Photons",POWER(Upgrades!$U$10,I287),1)*IF(Upgrades!$T$11="First Photons",POWER(Upgrades!$U$11,J287),1)))*POWER(Upgrades!$P$6,E287)*POWER(Upgrades!$P$7,F287)*POWER(Upgrades!$P$8,G287)*POWER(Upgrades!$P$9,H287)*POWER(Upgrades!$P$10,I287)*POWER(Upgrades!$P$11,J287)*POWER(Upgrades!$P$12,K287)</f>
        <v>11.2</v>
      </c>
      <c r="O287" s="28" t="n">
        <f aca="false">((IF(E287=0,0,(Upgrades!$M$6+E287*Upgrades!$N$6)*POWER(Upgrades!$O$6,E287)))*(IF(Upgrades!$T$7="Solar Wind",POWER(Upgrades!$U$7,F287),1)*IF(Upgrades!$T$8="Solar Wind",POWER(Upgrades!$U$8,G287),1)*IF(Upgrades!$T$9="Solar Wind",POWER(Upgrades!$U$9,H287),1)*IF(Upgrades!$T$10="Solar Wind",POWER(Upgrades!$U$10,I287),1)*IF(Upgrades!$T$11="Solar Wind",POWER(Upgrades!$U$11,J287),1)*IF(Upgrades!$T$12="Solar Wind",POWER(Upgrades!$U$12,K287),1))+(IF(F287=0,0,(Upgrades!$M$7+F287*Upgrades!$N$7)*POWER(Upgrades!$O$7,F287)))*(IF(Upgrades!$T$6="Asteroid Belt",POWER(Upgrades!$U$6,E287),1)*IF(Upgrades!$T$8="Asteroid Belt",POWER(Upgrades!$U$8,G287),1)*IF(Upgrades!$T$9="Asteroid Belt",POWER(Upgrades!$U$9,H287),1)*IF(Upgrades!$T$10="Asteroid Belt",POWER(Upgrades!$U$10,I287),1)*IF(Upgrades!$T$11="Asteroid Belt",POWER(Upgrades!$U$11,J287),1)*IF(Upgrades!$T$12="Asteroid Belt",POWER(Upgrades!$U$12,K287),1))+(IF(G287=0,0,(Upgrades!$M$8+G287*Upgrades!$N$8)*POWER(Upgrades!$O$8,G287)))*(IF(Upgrades!$T$6="Stellar Coupling",POWER(Upgrades!$U$6,E287),1)*IF(Upgrades!$T$7="Stellar Coupling",POWER(Upgrades!$U$7,F287),1)*IF(Upgrades!$T$9="Stellar Coupling",POWER(Upgrades!$U$9,H287),1)*IF(Upgrades!$T$10="Stellar Coupling",POWER(Upgrades!$U$10,I287),1)*IF(Upgrades!$T$11="Stellar Coupling",POWER(Upgrades!$U$11,J287),1)*IF(Upgrades!$T$12="Stellar Coupling",POWER(Upgrades!$U$12,K287),1))+(IF(H287=0,0,(Upgrades!$M$9+H287*Upgrades!$N$9)*POWER(Upgrades!$O$9,H287)))*(IF(Upgrades!$T$6="Magnetosphere",POWER(Upgrades!$U$6,E287),1)*IF(Upgrades!$T$7="Magnetosphere",POWER(Upgrades!$U$7,F287),1)*IF(Upgrades!$T$8="Magnetosphere",POWER(Upgrades!$U$8,G287),1)*IF(Upgrades!$T$10="Magnetosphere",POWER(Upgrades!$U$10,I287),1)*IF(Upgrades!$T$11="Magnetosphere",POWER(Upgrades!$U$11,J287),1)*IF(Upgrades!$T$12="Magnetosphere",POWER(Upgrades!$U$12,K287),1))+(IF(I287=0,0,(Upgrades!$M$10+I287*Upgrades!$N$10)*POWER(Upgrades!$O$10,I287)))*(IF(Upgrades!$T$6="Orbital Resonance",POWER(Upgrades!$U$6,E287),1)*IF(Upgrades!$T$7="Orbital Resonance",POWER(Upgrades!$U$7,F287),1)*IF(Upgrades!$T$8="Orbital Resonance",POWER(Upgrades!$U$8,G287),1)*IF(Upgrades!$T$9="Orbital Resonance",POWER(Upgrades!$U$9,H287),1)*IF(Upgrades!$T$11="Orbital Resonance",POWER(Upgrades!$U$11,J287),1)*IF(Upgrades!$T$12="Orbital Resonance",POWER(Upgrades!$U$12,K287),1))+(IF(J287=0,0,(Upgrades!$M$11+J287*Upgrades!$N$11)*POWER(Upgrades!$O$11,J287)))*(IF(Upgrades!$T$6="Heliopause",POWER(Upgrades!$U$6,E287),1)*IF(Upgrades!$T$7="Heliopause",POWER(Upgrades!$U$7,F287),1)*IF(Upgrades!$T$8="Heliopause",POWER(Upgrades!$U$8,G287),1)*IF(Upgrades!$T$9="Heliopause",POWER(Upgrades!$U$9,H287),1)*IF(Upgrades!$T$10="Heliopause",POWER(Upgrades!$U$10,I287),1)*IF(Upgrades!$T$12="Heliopause",POWER(Upgrades!$U$12,K287),1))+(IF(K287=0,0,(Upgrades!$M$12+K287*Upgrades!$N$12)*POWER(Upgrades!$O$12,K287)))*(IF(Upgrades!$T$6="First Photons",POWER(Upgrades!$U$6,E287),1)*IF(Upgrades!$T$7="First Photons",POWER(Upgrades!$U$7,F287),1)*IF(Upgrades!$T$8="First Photons",POWER(Upgrades!$U$8,G287),1)*IF(Upgrades!$T$9="First Photons",POWER(Upgrades!$U$9,H287),1)*IF(Upgrades!$T$10="First Photons",POWER(Upgrades!$U$10,I287),1)*IF(Upgrades!$T$11="First Photons",POWER(Upgrades!$U$11,J287),1)))*POWER(Upgrades!$R$6,E287)*POWER(Upgrades!$R$7,F287)*POWER(Upgrades!$R$8,G287)*POWER(Upgrades!$R$9,H287)*POWER(Upgrades!$R$10,I287)*POWER(Upgrades!$R$11,J287)*POWER(Upgrades!$R$12,K287)</f>
        <v>0</v>
      </c>
      <c r="P287" s="27" t="n">
        <f aca="false">IF(L287=1,0,M287*Parameters!$B$10/60*Parameters!$B$11*10)</f>
        <v>0</v>
      </c>
      <c r="Q287" s="27" t="n">
        <f aca="false">IF(L287=1,0,O287*M287*10)</f>
        <v>0</v>
      </c>
      <c r="R287" s="27" t="n">
        <f aca="false">IF(L287=1,0,N287*10)</f>
        <v>0</v>
      </c>
      <c r="S287" s="27" t="n">
        <f aca="false">P287+Q287+R287</f>
        <v>0</v>
      </c>
      <c r="T287" s="21" t="n">
        <f aca="false">C287+S287</f>
        <v>18.6730249835055</v>
      </c>
      <c r="U287" s="34" t="str">
        <f aca="false">AX287</f>
        <v/>
      </c>
      <c r="V287" s="21" t="n">
        <f aca="false">IF(U287="",0,IF(U287="transition",0,IF(U287="SW",AG287,IF(U287="AB",AH287,IF(U287="SC",AI287,IF(U287="Mag",AJ287,IF(U287="OR",AK287,IF(U287="HP",AL287,IF(U287="FP",AM287,0)))))))))</f>
        <v>0</v>
      </c>
      <c r="W287" s="27" t="n">
        <f aca="false">IF(U287="OR",Upgrades!$F$10,IF(U287="HP",Upgrades!$F$11,IF(U287="transition",-Parameters!$B$18,0)))</f>
        <v>0</v>
      </c>
      <c r="X287" s="21" t="n">
        <f aca="false">T287-V287</f>
        <v>18.6730249835055</v>
      </c>
      <c r="Y287" s="30" t="n">
        <f aca="false">M287*Parameters!$B$10/60*Parameters!$B$11+O287*M287+N287</f>
        <v>20.55</v>
      </c>
      <c r="Z287" s="35" t="str">
        <f aca="false">IF(U287="transition","→ Tier 2 (Stellar Neighborhood)",IF(U287="FP","First Photons — light begins, system quickens",IF(U287="HP","Heliopause acquired",IF(U287="OR","Orbital Resonance — passive multiplier active",IF(AND(AO287=1,L287=0,AN287&lt;&gt;1),"Cohesion ready (waiting on completionist upgrades)","")))))</f>
        <v/>
      </c>
      <c r="AA287" s="27" t="n">
        <f aca="false">(IF(E287=0,0,(Upgrades!$G$6+E287*Upgrades!$H$6)*POWER(Upgrades!$I$6,E287)))*(IF(Upgrades!$T$7="Solar Wind",POWER(Upgrades!$U$7,F287),1)*IF(Upgrades!$T$8="Solar Wind",POWER(Upgrades!$U$8,G287),1)*IF(Upgrades!$T$9="Solar Wind",POWER(Upgrades!$U$9,H287),1)*IF(Upgrades!$T$10="Solar Wind",POWER(Upgrades!$U$10,I287),1)*IF(Upgrades!$T$11="Solar Wind",POWER(Upgrades!$U$11,J287),1)*IF(Upgrades!$T$12="Solar Wind",POWER(Upgrades!$U$12,K287),1))*POWER(Upgrades!$P$6,E287)*POWER(Upgrades!$P$7,F287)*POWER(Upgrades!$P$8,G287)*POWER(Upgrades!$P$9,H287)*POWER(Upgrades!$P$10,I287)*POWER(Upgrades!$P$11,J287)*POWER(Upgrades!$P$12,K287)*60</f>
        <v>72</v>
      </c>
      <c r="AB287" s="27" t="n">
        <f aca="false">(IF(F287=0,0,(Upgrades!$G$7+F287*Upgrades!$H$7)*POWER(Upgrades!$I$7,F287)))*(IF(Upgrades!$T$6="Asteroid Belt",POWER(Upgrades!$U$6,E287),1)*IF(Upgrades!$T$8="Asteroid Belt",POWER(Upgrades!$U$8,G287),1)*IF(Upgrades!$T$9="Asteroid Belt",POWER(Upgrades!$U$9,H287),1)*IF(Upgrades!$T$10="Asteroid Belt",POWER(Upgrades!$U$10,I287),1)*IF(Upgrades!$T$11="Asteroid Belt",POWER(Upgrades!$U$11,J287),1)*IF(Upgrades!$T$12="Asteroid Belt",POWER(Upgrades!$U$12,K287),1))*POWER(Upgrades!$P$6,E287)*POWER(Upgrades!$P$7,F287)*POWER(Upgrades!$P$8,G287)*POWER(Upgrades!$P$9,H287)*POWER(Upgrades!$P$10,I287)*POWER(Upgrades!$P$11,J287)*POWER(Upgrades!$P$12,K287)*60</f>
        <v>150</v>
      </c>
      <c r="AC287" s="27" t="n">
        <f aca="false">(IF(G287=0,0,(Upgrades!$J$8+G287*Upgrades!$K$8)*POWER(Upgrades!$L$8,G287)))*(IF(Upgrades!$T$6="Stellar Coupling",POWER(Upgrades!$U$6,E287),1)*IF(Upgrades!$T$7="Stellar Coupling",POWER(Upgrades!$U$7,F287),1)*IF(Upgrades!$T$9="Stellar Coupling",POWER(Upgrades!$U$9,H287),1)*IF(Upgrades!$T$10="Stellar Coupling",POWER(Upgrades!$U$10,I287),1)*IF(Upgrades!$T$11="Stellar Coupling",POWER(Upgrades!$U$11,J287),1)*IF(Upgrades!$T$12="Stellar Coupling",POWER(Upgrades!$U$12,K287),1))*POWER(Upgrades!$Q$6,E287)*POWER(Upgrades!$Q$7,F287)*POWER(Upgrades!$Q$8,G287)*POWER(Upgrades!$Q$9,H287)*POWER(Upgrades!$Q$10,I287)*POWER(Upgrades!$Q$11,J287)*POWER(Upgrades!$Q$12,K287)*Parameters!$B$10*Parameters!$B$11</f>
        <v>441</v>
      </c>
      <c r="AD287" s="27" t="n">
        <f aca="false">(IF(H287=0,0,(Upgrades!$G$9+H287*Upgrades!$H$9)*POWER(Upgrades!$I$9,H287)))*(IF(Upgrades!$T$6="Magnetosphere",POWER(Upgrades!$U$6,E287),1)*IF(Upgrades!$T$7="Magnetosphere",POWER(Upgrades!$U$7,F287),1)*IF(Upgrades!$T$8="Magnetosphere",POWER(Upgrades!$U$8,G287),1)*IF(Upgrades!$T$10="Magnetosphere",POWER(Upgrades!$U$10,I287),1)*IF(Upgrades!$T$11="Magnetosphere",POWER(Upgrades!$U$11,J287),1)*IF(Upgrades!$T$12="Magnetosphere",POWER(Upgrades!$U$12,K287),1))*POWER(Upgrades!$P$6,E287)*POWER(Upgrades!$P$7,F287)*POWER(Upgrades!$P$8,G287)*POWER(Upgrades!$P$9,H287)*POWER(Upgrades!$P$10,I287)*POWER(Upgrades!$P$11,J287)*POWER(Upgrades!$P$12,K287)*60</f>
        <v>375</v>
      </c>
      <c r="AE287" s="27" t="n">
        <f aca="false">(IF(K287=0,0,(Upgrades!$G$12+K287*Upgrades!$H$12)*POWER(Upgrades!$I$12,K287)))*(IF(Upgrades!$T$6="First Photons",POWER(Upgrades!$U$6,E287),1)*IF(Upgrades!$T$7="First Photons",POWER(Upgrades!$U$7,F287),1)*IF(Upgrades!$T$8="First Photons",POWER(Upgrades!$U$8,G287),1)*IF(Upgrades!$T$9="First Photons",POWER(Upgrades!$U$9,H287),1)*IF(Upgrades!$T$10="First Photons",POWER(Upgrades!$U$10,I287),1)*IF(Upgrades!$T$11="First Photons",POWER(Upgrades!$U$11,J287),1))*POWER(Upgrades!$P$6,E287)*POWER(Upgrades!$P$7,F287)*POWER(Upgrades!$P$8,G287)*POWER(Upgrades!$P$9,H287)*POWER(Upgrades!$P$10,I287)*POWER(Upgrades!$P$11,J287)*POWER(Upgrades!$P$12,K287)*60</f>
        <v>75</v>
      </c>
      <c r="AF287" s="27" t="n">
        <f aca="false">Parameters!$B$9*POWER(Upgrades!$Q$6,E287)*POWER(Upgrades!$Q$7,F287)*POWER(Upgrades!$Q$8,G287)*POWER(Upgrades!$Q$9,H287)*POWER(Upgrades!$Q$10,I287)*POWER(Upgrades!$Q$11,J287)*POWER(Upgrades!$Q$12,K287)*(Parameters!$B$10*Parameters!$B$11+O287*60)</f>
        <v>120</v>
      </c>
      <c r="AG287" s="21" t="n">
        <f aca="false">IF(E287&gt;=Upgrades!$E$6,"",Upgrades!$C$6*POWER(Upgrades!$D$6,E287))</f>
        <v>37.4517507383159</v>
      </c>
      <c r="AH287" s="21" t="n">
        <f aca="false">IF(F287&gt;=Upgrades!$E$7,"",Upgrades!$C$7*POWER(Upgrades!$D$7,F287))</f>
        <v>80.9111547141581</v>
      </c>
      <c r="AI287" s="21" t="n">
        <f aca="false">IF(G287&gt;=Upgrades!$E$8,"",Upgrades!$C$8*POWER(Upgrades!$D$8,G287))</f>
        <v>231.9097088</v>
      </c>
      <c r="AJ287" s="21" t="str">
        <f aca="false">IF(H287&gt;=Upgrades!$E$9,"",Upgrades!$C$9*POWER(Upgrades!$D$9,H287))</f>
        <v/>
      </c>
      <c r="AK287" s="21" t="str">
        <f aca="false">IF(I287&gt;=Upgrades!$E$10,"",Upgrades!$C$10*POWER(Upgrades!$D$10,I287))</f>
        <v/>
      </c>
      <c r="AL287" s="21" t="str">
        <f aca="false">IF(J287&gt;=Upgrades!$E$11,"",Upgrades!$C$11*POWER(Upgrades!$D$11,J287))</f>
        <v/>
      </c>
      <c r="AM287" s="21" t="str">
        <f aca="false">IF(K287&gt;=Upgrades!$E$12,"",Upgrades!$C$12*POWER(Upgrades!$D$12,K287))</f>
        <v/>
      </c>
      <c r="AN287" s="26" t="str">
        <f aca="false">IF(AND(D287&gt;=Parameters!$B$18,(H287&gt;=Upgrades!$E$9)*(K287&gt;=Upgrades!$E$12)=1,L287=0),1,"")</f>
        <v/>
      </c>
      <c r="AO287" s="26" t="str">
        <f aca="false">IF(AND(D287&gt;=Parameters!$B$18,L287=0),1,"")</f>
        <v/>
      </c>
      <c r="AP287" s="21" t="n">
        <f aca="false">MIN(IF(ISNUMBER(AK287),AK287,9000000000000000),IF(ISNUMBER(AL287),AL287,9000000000000000),IF(ISNUMBER(AM287),AM287,9000000000000000))</f>
        <v>9000000000000000</v>
      </c>
      <c r="AQ287" s="21" t="n">
        <f aca="false">MIN(IF(ISNUMBER(AG287),AG287,9000000000000000),IF(ISNUMBER(AH287),AH287,9000000000000000),IF(ISNUMBER(AI287),AI287,9000000000000000),IF(ISNUMBER(AJ287),AJ287,9000000000000000))</f>
        <v>37.4517507383159</v>
      </c>
      <c r="AR287" s="32" t="b">
        <f aca="false">IF(AW287&gt;Parameters!$B$21*(MAX(IF(AND(NOT(AND(AO287=1,AN287&lt;&gt;1)),ISNUMBER(AG287),AG287&lt;=T287),AS287,0),IF(AND(NOT(AND(AO287=1,AN287&lt;&gt;1)),ISNUMBER(AH287),AH287&lt;=T287),AT287,0),IF(AND(NOT(AND(AO287=1,AN287&lt;&gt;1)),ISNUMBER(AI287),AI287&lt;=T287),AU287,0),IF(AND(ISNUMBER(AJ287),AJ287&lt;=T287),AV287,0))),TRUE(),FALSE())</f>
        <v>1</v>
      </c>
      <c r="AS287" s="33" t="n">
        <f aca="false">IFERROR(Upgrades!$H$6*(POWER(Upgrades!$P$6,E287)*POWER(Upgrades!$P$7,F287)*POWER(Upgrades!$P$8,G287)*POWER(Upgrades!$P$9,H287)*POWER(Upgrades!$P$10,I287)*POWER(Upgrades!$P$11,J287)*POWER(Upgrades!$P$12,K287))*(IF(Upgrades!$T$7="Solar Wind",POWER(Upgrades!$U$7,F287),1)*IF(Upgrades!$T$8="Solar Wind",POWER(Upgrades!$U$8,G287),1)*IF(Upgrades!$T$9="Solar Wind",POWER(Upgrades!$U$9,H287),1)*IF(Upgrades!$T$10="Solar Wind",POWER(Upgrades!$U$10,I287),1)*IF(Upgrades!$T$11="Solar Wind",POWER(Upgrades!$U$11,J287),1)*IF(Upgrades!$T$12="Solar Wind",POWER(Upgrades!$U$12,K287),1))/AG287,0)</f>
        <v>0.0026701021455238</v>
      </c>
      <c r="AT287" s="33" t="n">
        <f aca="false">IFERROR(Upgrades!$H$7*(POWER(Upgrades!$P$6,E287)*POWER(Upgrades!$P$7,F287)*POWER(Upgrades!$P$8,G287)*POWER(Upgrades!$P$9,H287)*POWER(Upgrades!$P$10,I287)*POWER(Upgrades!$P$11,J287)*POWER(Upgrades!$P$12,K287))*(IF(Upgrades!$T$6="Asteroid Belt",POWER(Upgrades!$U$6,E287),1)*IF(Upgrades!$T$8="Asteroid Belt",POWER(Upgrades!$U$8,G287),1)*IF(Upgrades!$T$9="Asteroid Belt",POWER(Upgrades!$U$9,H287),1)*IF(Upgrades!$T$10="Asteroid Belt",POWER(Upgrades!$U$10,I287),1)*IF(Upgrades!$T$11="Asteroid Belt",POWER(Upgrades!$U$11,J287),1)*IF(Upgrades!$T$12="Asteroid Belt",POWER(Upgrades!$U$12,K287),1))/AH287,0)</f>
        <v>0.00308980882652332</v>
      </c>
      <c r="AU287" s="33" t="n">
        <f aca="false">IFERROR(Upgrades!$K$8*(POWER(Upgrades!$Q$6,E287)*POWER(Upgrades!$Q$7,F287)*POWER(Upgrades!$Q$8,G287)*POWER(Upgrades!$Q$9,H287)*POWER(Upgrades!$Q$10,I287)*POWER(Upgrades!$Q$11,J287)*POWER(Upgrades!$Q$12,K287))*(IF(Upgrades!$T$6="Stellar Coupling",POWER(Upgrades!$U$6,E287),1)*IF(Upgrades!$T$7="Stellar Coupling",POWER(Upgrades!$U$7,F287),1)*IF(Upgrades!$T$9="Stellar Coupling",POWER(Upgrades!$U$9,H287),1)*IF(Upgrades!$T$10="Stellar Coupling",POWER(Upgrades!$U$10,I287),1)*IF(Upgrades!$T$11="Stellar Coupling",POWER(Upgrades!$U$11,J287),1)*IF(Upgrades!$T$12="Stellar Coupling",POWER(Upgrades!$U$12,K287),1))*Parameters!$B$10*Parameters!$B$11/60/AI287,0)</f>
        <v>0.00452762415783776</v>
      </c>
      <c r="AV287" s="33" t="n">
        <f aca="false">IFERROR(Upgrades!$H$9*(POWER(Upgrades!$P$6,E287)*POWER(Upgrades!$P$7,F287)*POWER(Upgrades!$P$8,G287)*POWER(Upgrades!$P$9,H287)*POWER(Upgrades!$P$10,I287)*POWER(Upgrades!$P$11,J287)*POWER(Upgrades!$P$12,K287))*(IF(Upgrades!$T$6="Magnetosphere",POWER(Upgrades!$U$6,E287),1)*IF(Upgrades!$T$7="Magnetosphere",POWER(Upgrades!$U$7,F287),1)*IF(Upgrades!$T$8="Magnetosphere",POWER(Upgrades!$U$8,G287),1)*IF(Upgrades!$T$10="Magnetosphere",POWER(Upgrades!$U$10,I287),1)*IF(Upgrades!$T$11="Magnetosphere",POWER(Upgrades!$U$11,J287),1)*IF(Upgrades!$T$12="Magnetosphere",POWER(Upgrades!$U$12,K287),1))/AJ287,0)</f>
        <v>0</v>
      </c>
      <c r="AW287" s="33" t="n">
        <f aca="false">MAX(IF(I287&gt;0,0,IFERROR(0.25*N287/Upgrades!$C$10,0)),IF(J287&gt;0,0,IFERROR(0.5*((IF(G287=0,0,(Upgrades!$J$8+G287*Upgrades!$K$8)*POWER(Upgrades!$L$8,G287)))*(IF(Upgrades!$T$6="Stellar Coupling",POWER(Upgrades!$U$6,E287),1)*IF(Upgrades!$T$7="Stellar Coupling",POWER(Upgrades!$U$7,F287),1)*IF(Upgrades!$T$9="Stellar Coupling",POWER(Upgrades!$U$9,H287),1)*IF(Upgrades!$T$10="Stellar Coupling",POWER(Upgrades!$U$10,I287),1)*IF(Upgrades!$T$11="Stellar Coupling",POWER(Upgrades!$U$11,J287),1)*IF(Upgrades!$T$12="Stellar Coupling",POWER(Upgrades!$U$12,K287),1))*(POWER(Upgrades!$Q$6,E287)*POWER(Upgrades!$Q$7,F287)*POWER(Upgrades!$Q$8,G287)*POWER(Upgrades!$Q$9,H287)*POWER(Upgrades!$Q$10,I287)*POWER(Upgrades!$Q$11,J287)*POWER(Upgrades!$Q$12,K287))*Parameters!$B$10*Parameters!$B$11/60)/Upgrades!$C$11,0)),IF(K287&gt;0,0,IFERROR((1*(POWER(Upgrades!$P$6,E287)*POWER(Upgrades!$P$7,F287)*POWER(Upgrades!$P$8,G287)*POWER(Upgrades!$P$9,H287)*POWER(Upgrades!$P$10,I287)*POWER(Upgrades!$P$11,J287)*POWER(Upgrades!$P$12,K287))+0.2*M287*Parameters!$B$10*Parameters!$B$11/60)/Upgrades!$C$12,0)),IF(AND(ISNUMBER(AG287),AG287&gt;T287),AS287,0),IF(AND(ISNUMBER(AH287),AH287&gt;T287),AT287,0),IF(AND(ISNUMBER(AI287),AI287&gt;T287),AU287,0),IF(AND(ISNUMBER(AJ287),AJ287&gt;T287),AV287,0))</f>
        <v>0.00452762415783776</v>
      </c>
      <c r="AX287" s="29" t="str">
        <f aca="false">IF(AN287=1,"transition",IF(MIN(IF(AND(I287=0,ISNUMBER(AK287),AK287&lt;=T287),AK287,9000000000000000),IF(AND(J287=0,ISNUMBER(AL287),AL287&lt;=T287),AL287,9000000000000000),IF(AND(K287=0,ISNUMBER(AM287),AM287&lt;=T287),AM287,9000000000000000))&lt;9000000000000000,IF(AND(AND(I287=0,ISNUMBER(AK287),AK287&lt;=T287),AK287=MIN(IF(AND(I287=0,ISNUMBER(AK287),AK287&lt;=T287),AK287,9000000000000000),IF(AND(J287=0,ISNUMBER(AL287),AL287&lt;=T287),AL287,9000000000000000),IF(AND(K287=0,ISNUMBER(AM287),AM287&lt;=T287),AM287,9000000000000000))),"OR",IF(AND(AND(J287=0,ISNUMBER(AL287),AL287&lt;=T287),AL287=MIN(IF(AND(I287=0,ISNUMBER(AK287),AK287&lt;=T287),AK287,9000000000000000),IF(AND(J287=0,ISNUMBER(AL287),AL287&lt;=T287),AL287,9000000000000000),IF(AND(K287=0,ISNUMBER(AM287),AM287&lt;=T287),AM287,9000000000000000))),"HP","FP")),IF(AR287=TRUE(),"",IF(MAX(IF(AND(NOT(AND(AO287=1,AN287&lt;&gt;1)),ISNUMBER(AG287),AG287&lt;=T287),AS287,0),IF(AND(NOT(AND(AO287=1,AN287&lt;&gt;1)),ISNUMBER(AH287),AH287&lt;=T287),AT287,0),IF(AND(NOT(AND(AO287=1,AN287&lt;&gt;1)),ISNUMBER(AI287),AI287&lt;=T287),AU287,0),IF(AND(ISNUMBER(AJ287),AJ287&lt;=T287),AV287,0))&lt;=0,"",IF(AND(IF(AND(NOT(AND(AO287=1,AN287&lt;&gt;1)),ISNUMBER(AG287),AG287&lt;=T287),AS287,0)&gt;0,IF(AND(NOT(AND(AO287=1,AN287&lt;&gt;1)),ISNUMBER(AG287),AG287&lt;=T287),AS287,0)=MAX(IF(AND(NOT(AND(AO287=1,AN287&lt;&gt;1)),ISNUMBER(AG287),AG287&lt;=T287),AS287,0),IF(AND(NOT(AND(AO287=1,AN287&lt;&gt;1)),ISNUMBER(AH287),AH287&lt;=T287),AT287,0),IF(AND(NOT(AND(AO287=1,AN287&lt;&gt;1)),ISNUMBER(AI287),AI287&lt;=T287),AU287,0),IF(AND(ISNUMBER(AJ287),AJ287&lt;=T287),AV287,0))),"SW",IF(AND(IF(AND(NOT(AND(AO287=1,AN287&lt;&gt;1)),ISNUMBER(AH287),AH287&lt;=T287),AT287,0)&gt;0,IF(AND(NOT(AND(AO287=1,AN287&lt;&gt;1)),ISNUMBER(AH287),AH287&lt;=T287),AT287,0)=MAX(IF(AND(NOT(AND(AO287=1,AN287&lt;&gt;1)),ISNUMBER(AG287),AG287&lt;=T287),AS287,0),IF(AND(NOT(AND(AO287=1,AN287&lt;&gt;1)),ISNUMBER(AH287),AH287&lt;=T287),AT287,0),IF(AND(NOT(AND(AO287=1,AN287&lt;&gt;1)),ISNUMBER(AI287),AI287&lt;=T287),AU287,0),IF(AND(ISNUMBER(AJ287),AJ287&lt;=T287),AV287,0))),"AB",IF(AND(IF(AND(NOT(AND(AO287=1,AN287&lt;&gt;1)),ISNUMBER(AI287),AI287&lt;=T287),AU287,0)&gt;0,IF(AND(NOT(AND(AO287=1,AN287&lt;&gt;1)),ISNUMBER(AI287),AI287&lt;=T287),AU287,0)=MAX(IF(AND(NOT(AND(AO287=1,AN287&lt;&gt;1)),ISNUMBER(AG287),AG287&lt;=T287),AS287,0),IF(AND(NOT(AND(AO287=1,AN287&lt;&gt;1)),ISNUMBER(AH287),AH287&lt;=T287),AT287,0),IF(AND(NOT(AND(AO287=1,AN287&lt;&gt;1)),ISNUMBER(AI287),AI287&lt;=T287),AU287,0),IF(AND(ISNUMBER(AJ287),AJ287&lt;=T287),AV287,0))),"SC","Mag")))))))</f>
        <v/>
      </c>
    </row>
    <row r="288" customFormat="false" ht="15" hidden="false" customHeight="false" outlineLevel="0" collapsed="false">
      <c r="A288" s="26" t="n">
        <v>283</v>
      </c>
      <c r="B288" s="27" t="n">
        <f aca="false">A288*10/60</f>
        <v>47.1666666666667</v>
      </c>
      <c r="C288" s="21" t="n">
        <f aca="false">X287</f>
        <v>18.6730249835055</v>
      </c>
      <c r="D288" s="27" t="n">
        <f aca="false">D287+W287</f>
        <v>0</v>
      </c>
      <c r="E288" s="26" t="n">
        <f aca="false">E287+IF(U287="SW",1,0)</f>
        <v>12</v>
      </c>
      <c r="F288" s="26" t="n">
        <f aca="false">F287+IF(U287="AB",1,0)</f>
        <v>10</v>
      </c>
      <c r="G288" s="26" t="n">
        <f aca="false">G287+IF(U287="SC",1,0)</f>
        <v>7</v>
      </c>
      <c r="H288" s="26" t="n">
        <f aca="false">H287+IF(U287="Mag",1,0)</f>
        <v>5</v>
      </c>
      <c r="I288" s="26" t="n">
        <f aca="false">MAX(I287,IF(U287="OR",1,0))</f>
        <v>1</v>
      </c>
      <c r="J288" s="26" t="n">
        <f aca="false">MAX(J287,IF(U287="HP",1,0))</f>
        <v>1</v>
      </c>
      <c r="K288" s="26" t="n">
        <f aca="false">MAX(K287,IF(U287="FP",1,0))</f>
        <v>1</v>
      </c>
      <c r="L288" s="26" t="n">
        <f aca="false">MAX(L287,IF(U287="transition",1,0))</f>
        <v>1</v>
      </c>
      <c r="M288" s="28" t="n">
        <f aca="false">(Parameters!$B$9+(IF(E288=0,0,(Upgrades!$J$6+E288*Upgrades!$K$6)*POWER(Upgrades!$L$6,E288)))*(IF(Upgrades!$T$7="Solar Wind",POWER(Upgrades!$U$7,F288),1)*IF(Upgrades!$T$8="Solar Wind",POWER(Upgrades!$U$8,G288),1)*IF(Upgrades!$T$9="Solar Wind",POWER(Upgrades!$U$9,H288),1)*IF(Upgrades!$T$10="Solar Wind",POWER(Upgrades!$U$10,I288),1)*IF(Upgrades!$T$11="Solar Wind",POWER(Upgrades!$U$11,J288),1)*IF(Upgrades!$T$12="Solar Wind",POWER(Upgrades!$U$12,K288),1))+(IF(F288=0,0,(Upgrades!$J$7+F288*Upgrades!$K$7)*POWER(Upgrades!$L$7,F288)))*(IF(Upgrades!$T$6="Asteroid Belt",POWER(Upgrades!$U$6,E288),1)*IF(Upgrades!$T$8="Asteroid Belt",POWER(Upgrades!$U$8,G288),1)*IF(Upgrades!$T$9="Asteroid Belt",POWER(Upgrades!$U$9,H288),1)*IF(Upgrades!$T$10="Asteroid Belt",POWER(Upgrades!$U$10,I288),1)*IF(Upgrades!$T$11="Asteroid Belt",POWER(Upgrades!$U$11,J288),1)*IF(Upgrades!$T$12="Asteroid Belt",POWER(Upgrades!$U$12,K288),1))+(IF(G288=0,0,(Upgrades!$J$8+G288*Upgrades!$K$8)*POWER(Upgrades!$L$8,G288)))*(IF(Upgrades!$T$6="Stellar Coupling",POWER(Upgrades!$U$6,E288),1)*IF(Upgrades!$T$7="Stellar Coupling",POWER(Upgrades!$U$7,F288),1)*IF(Upgrades!$T$9="Stellar Coupling",POWER(Upgrades!$U$9,H288),1)*IF(Upgrades!$T$10="Stellar Coupling",POWER(Upgrades!$U$10,I288),1)*IF(Upgrades!$T$11="Stellar Coupling",POWER(Upgrades!$U$11,J288),1)*IF(Upgrades!$T$12="Stellar Coupling",POWER(Upgrades!$U$12,K288),1))+(IF(H288=0,0,(Upgrades!$J$9+H288*Upgrades!$K$9)*POWER(Upgrades!$L$9,H288)))*(IF(Upgrades!$T$6="Magnetosphere",POWER(Upgrades!$U$6,E288),1)*IF(Upgrades!$T$7="Magnetosphere",POWER(Upgrades!$U$7,F288),1)*IF(Upgrades!$T$8="Magnetosphere",POWER(Upgrades!$U$8,G288),1)*IF(Upgrades!$T$10="Magnetosphere",POWER(Upgrades!$U$10,I288),1)*IF(Upgrades!$T$11="Magnetosphere",POWER(Upgrades!$U$11,J288),1)*IF(Upgrades!$T$12="Magnetosphere",POWER(Upgrades!$U$12,K288),1))+(IF(I288=0,0,(Upgrades!$J$10+I288*Upgrades!$K$10)*POWER(Upgrades!$L$10,I288)))*(IF(Upgrades!$T$6="Orbital Resonance",POWER(Upgrades!$U$6,E288),1)*IF(Upgrades!$T$7="Orbital Resonance",POWER(Upgrades!$U$7,F288),1)*IF(Upgrades!$T$8="Orbital Resonance",POWER(Upgrades!$U$8,G288),1)*IF(Upgrades!$T$9="Orbital Resonance",POWER(Upgrades!$U$9,H288),1)*IF(Upgrades!$T$11="Orbital Resonance",POWER(Upgrades!$U$11,J288),1)*IF(Upgrades!$T$12="Orbital Resonance",POWER(Upgrades!$U$12,K288),1))+(IF(J288=0,0,(Upgrades!$J$11+J288*Upgrades!$K$11)*POWER(Upgrades!$L$11,J288)))*(IF(Upgrades!$T$6="Heliopause",POWER(Upgrades!$U$6,E288),1)*IF(Upgrades!$T$7="Heliopause",POWER(Upgrades!$U$7,F288),1)*IF(Upgrades!$T$8="Heliopause",POWER(Upgrades!$U$8,G288),1)*IF(Upgrades!$T$9="Heliopause",POWER(Upgrades!$U$9,H288),1)*IF(Upgrades!$T$10="Heliopause",POWER(Upgrades!$U$10,I288),1)*IF(Upgrades!$T$12="Heliopause",POWER(Upgrades!$U$12,K288),1))+(IF(K288=0,0,(Upgrades!$J$12+K288*Upgrades!$K$12)*POWER(Upgrades!$L$12,K288)))*(IF(Upgrades!$T$6="First Photons",POWER(Upgrades!$U$6,E288),1)*IF(Upgrades!$T$7="First Photons",POWER(Upgrades!$U$7,F288),1)*IF(Upgrades!$T$8="First Photons",POWER(Upgrades!$U$8,G288),1)*IF(Upgrades!$T$9="First Photons",POWER(Upgrades!$U$9,H288),1)*IF(Upgrades!$T$10="First Photons",POWER(Upgrades!$U$10,I288),1)*IF(Upgrades!$T$11="First Photons",POWER(Upgrades!$U$11,J288),1)))*POWER(Upgrades!$Q$6,E288)*POWER(Upgrades!$Q$7,F288)*POWER(Upgrades!$Q$8,G288)*POWER(Upgrades!$Q$9,H288)*POWER(Upgrades!$Q$10,I288)*POWER(Upgrades!$Q$11,J288)*POWER(Upgrades!$Q$12,K288)</f>
        <v>5.61</v>
      </c>
      <c r="N288" s="28" t="n">
        <f aca="false">((IF(E288=0,0,(Upgrades!$G$6+E288*Upgrades!$H$6)*POWER(Upgrades!$I$6,E288)))*(IF(Upgrades!$T$7="Solar Wind",POWER(Upgrades!$U$7,F288),1)*IF(Upgrades!$T$8="Solar Wind",POWER(Upgrades!$U$8,G288),1)*IF(Upgrades!$T$9="Solar Wind",POWER(Upgrades!$U$9,H288),1)*IF(Upgrades!$T$10="Solar Wind",POWER(Upgrades!$U$10,I288),1)*IF(Upgrades!$T$11="Solar Wind",POWER(Upgrades!$U$11,J288),1)*IF(Upgrades!$T$12="Solar Wind",POWER(Upgrades!$U$12,K288),1))+(IF(F288=0,0,(Upgrades!$G$7+F288*Upgrades!$H$7)*POWER(Upgrades!$I$7,F288)))*(IF(Upgrades!$T$6="Asteroid Belt",POWER(Upgrades!$U$6,E288),1)*IF(Upgrades!$T$8="Asteroid Belt",POWER(Upgrades!$U$8,G288),1)*IF(Upgrades!$T$9="Asteroid Belt",POWER(Upgrades!$U$9,H288),1)*IF(Upgrades!$T$10="Asteroid Belt",POWER(Upgrades!$U$10,I288),1)*IF(Upgrades!$T$11="Asteroid Belt",POWER(Upgrades!$U$11,J288),1)*IF(Upgrades!$T$12="Asteroid Belt",POWER(Upgrades!$U$12,K288),1))+(IF(G288=0,0,(Upgrades!$G$8+G288*Upgrades!$H$8)*POWER(Upgrades!$I$8,G288)))*(IF(Upgrades!$T$6="Stellar Coupling",POWER(Upgrades!$U$6,E288),1)*IF(Upgrades!$T$7="Stellar Coupling",POWER(Upgrades!$U$7,F288),1)*IF(Upgrades!$T$9="Stellar Coupling",POWER(Upgrades!$U$9,H288),1)*IF(Upgrades!$T$10="Stellar Coupling",POWER(Upgrades!$U$10,I288),1)*IF(Upgrades!$T$11="Stellar Coupling",POWER(Upgrades!$U$11,J288),1)*IF(Upgrades!$T$12="Stellar Coupling",POWER(Upgrades!$U$12,K288),1))+(IF(H288=0,0,(Upgrades!$G$9+H288*Upgrades!$H$9)*POWER(Upgrades!$I$9,H288)))*(IF(Upgrades!$T$6="Magnetosphere",POWER(Upgrades!$U$6,E288),1)*IF(Upgrades!$T$7="Magnetosphere",POWER(Upgrades!$U$7,F288),1)*IF(Upgrades!$T$8="Magnetosphere",POWER(Upgrades!$U$8,G288),1)*IF(Upgrades!$T$10="Magnetosphere",POWER(Upgrades!$U$10,I288),1)*IF(Upgrades!$T$11="Magnetosphere",POWER(Upgrades!$U$11,J288),1)*IF(Upgrades!$T$12="Magnetosphere",POWER(Upgrades!$U$12,K288),1))+(IF(I288=0,0,(Upgrades!$G$10+I288*Upgrades!$H$10)*POWER(Upgrades!$I$10,I288)))*(IF(Upgrades!$T$6="Orbital Resonance",POWER(Upgrades!$U$6,E288),1)*IF(Upgrades!$T$7="Orbital Resonance",POWER(Upgrades!$U$7,F288),1)*IF(Upgrades!$T$8="Orbital Resonance",POWER(Upgrades!$U$8,G288),1)*IF(Upgrades!$T$9="Orbital Resonance",POWER(Upgrades!$U$9,H288),1)*IF(Upgrades!$T$11="Orbital Resonance",POWER(Upgrades!$U$11,J288),1)*IF(Upgrades!$T$12="Orbital Resonance",POWER(Upgrades!$U$12,K288),1))+(IF(J288=0,0,(Upgrades!$G$11+J288*Upgrades!$H$11)*POWER(Upgrades!$I$11,J288)))*(IF(Upgrades!$T$6="Heliopause",POWER(Upgrades!$U$6,E288),1)*IF(Upgrades!$T$7="Heliopause",POWER(Upgrades!$U$7,F288),1)*IF(Upgrades!$T$8="Heliopause",POWER(Upgrades!$U$8,G288),1)*IF(Upgrades!$T$9="Heliopause",POWER(Upgrades!$U$9,H288),1)*IF(Upgrades!$T$10="Heliopause",POWER(Upgrades!$U$10,I288),1)*IF(Upgrades!$T$12="Heliopause",POWER(Upgrades!$U$12,K288),1))+(IF(K288=0,0,(Upgrades!$G$12+K288*Upgrades!$H$12)*POWER(Upgrades!$I$12,K288)))*(IF(Upgrades!$T$6="First Photons",POWER(Upgrades!$U$6,E288),1)*IF(Upgrades!$T$7="First Photons",POWER(Upgrades!$U$7,F288),1)*IF(Upgrades!$T$8="First Photons",POWER(Upgrades!$U$8,G288),1)*IF(Upgrades!$T$9="First Photons",POWER(Upgrades!$U$9,H288),1)*IF(Upgrades!$T$10="First Photons",POWER(Upgrades!$U$10,I288),1)*IF(Upgrades!$T$11="First Photons",POWER(Upgrades!$U$11,J288),1)))*POWER(Upgrades!$P$6,E288)*POWER(Upgrades!$P$7,F288)*POWER(Upgrades!$P$8,G288)*POWER(Upgrades!$P$9,H288)*POWER(Upgrades!$P$10,I288)*POWER(Upgrades!$P$11,J288)*POWER(Upgrades!$P$12,K288)</f>
        <v>11.2</v>
      </c>
      <c r="O288" s="28" t="n">
        <f aca="false">((IF(E288=0,0,(Upgrades!$M$6+E288*Upgrades!$N$6)*POWER(Upgrades!$O$6,E288)))*(IF(Upgrades!$T$7="Solar Wind",POWER(Upgrades!$U$7,F288),1)*IF(Upgrades!$T$8="Solar Wind",POWER(Upgrades!$U$8,G288),1)*IF(Upgrades!$T$9="Solar Wind",POWER(Upgrades!$U$9,H288),1)*IF(Upgrades!$T$10="Solar Wind",POWER(Upgrades!$U$10,I288),1)*IF(Upgrades!$T$11="Solar Wind",POWER(Upgrades!$U$11,J288),1)*IF(Upgrades!$T$12="Solar Wind",POWER(Upgrades!$U$12,K288),1))+(IF(F288=0,0,(Upgrades!$M$7+F288*Upgrades!$N$7)*POWER(Upgrades!$O$7,F288)))*(IF(Upgrades!$T$6="Asteroid Belt",POWER(Upgrades!$U$6,E288),1)*IF(Upgrades!$T$8="Asteroid Belt",POWER(Upgrades!$U$8,G288),1)*IF(Upgrades!$T$9="Asteroid Belt",POWER(Upgrades!$U$9,H288),1)*IF(Upgrades!$T$10="Asteroid Belt",POWER(Upgrades!$U$10,I288),1)*IF(Upgrades!$T$11="Asteroid Belt",POWER(Upgrades!$U$11,J288),1)*IF(Upgrades!$T$12="Asteroid Belt",POWER(Upgrades!$U$12,K288),1))+(IF(G288=0,0,(Upgrades!$M$8+G288*Upgrades!$N$8)*POWER(Upgrades!$O$8,G288)))*(IF(Upgrades!$T$6="Stellar Coupling",POWER(Upgrades!$U$6,E288),1)*IF(Upgrades!$T$7="Stellar Coupling",POWER(Upgrades!$U$7,F288),1)*IF(Upgrades!$T$9="Stellar Coupling",POWER(Upgrades!$U$9,H288),1)*IF(Upgrades!$T$10="Stellar Coupling",POWER(Upgrades!$U$10,I288),1)*IF(Upgrades!$T$11="Stellar Coupling",POWER(Upgrades!$U$11,J288),1)*IF(Upgrades!$T$12="Stellar Coupling",POWER(Upgrades!$U$12,K288),1))+(IF(H288=0,0,(Upgrades!$M$9+H288*Upgrades!$N$9)*POWER(Upgrades!$O$9,H288)))*(IF(Upgrades!$T$6="Magnetosphere",POWER(Upgrades!$U$6,E288),1)*IF(Upgrades!$T$7="Magnetosphere",POWER(Upgrades!$U$7,F288),1)*IF(Upgrades!$T$8="Magnetosphere",POWER(Upgrades!$U$8,G288),1)*IF(Upgrades!$T$10="Magnetosphere",POWER(Upgrades!$U$10,I288),1)*IF(Upgrades!$T$11="Magnetosphere",POWER(Upgrades!$U$11,J288),1)*IF(Upgrades!$T$12="Magnetosphere",POWER(Upgrades!$U$12,K288),1))+(IF(I288=0,0,(Upgrades!$M$10+I288*Upgrades!$N$10)*POWER(Upgrades!$O$10,I288)))*(IF(Upgrades!$T$6="Orbital Resonance",POWER(Upgrades!$U$6,E288),1)*IF(Upgrades!$T$7="Orbital Resonance",POWER(Upgrades!$U$7,F288),1)*IF(Upgrades!$T$8="Orbital Resonance",POWER(Upgrades!$U$8,G288),1)*IF(Upgrades!$T$9="Orbital Resonance",POWER(Upgrades!$U$9,H288),1)*IF(Upgrades!$T$11="Orbital Resonance",POWER(Upgrades!$U$11,J288),1)*IF(Upgrades!$T$12="Orbital Resonance",POWER(Upgrades!$U$12,K288),1))+(IF(J288=0,0,(Upgrades!$M$11+J288*Upgrades!$N$11)*POWER(Upgrades!$O$11,J288)))*(IF(Upgrades!$T$6="Heliopause",POWER(Upgrades!$U$6,E288),1)*IF(Upgrades!$T$7="Heliopause",POWER(Upgrades!$U$7,F288),1)*IF(Upgrades!$T$8="Heliopause",POWER(Upgrades!$U$8,G288),1)*IF(Upgrades!$T$9="Heliopause",POWER(Upgrades!$U$9,H288),1)*IF(Upgrades!$T$10="Heliopause",POWER(Upgrades!$U$10,I288),1)*IF(Upgrades!$T$12="Heliopause",POWER(Upgrades!$U$12,K288),1))+(IF(K288=0,0,(Upgrades!$M$12+K288*Upgrades!$N$12)*POWER(Upgrades!$O$12,K288)))*(IF(Upgrades!$T$6="First Photons",POWER(Upgrades!$U$6,E288),1)*IF(Upgrades!$T$7="First Photons",POWER(Upgrades!$U$7,F288),1)*IF(Upgrades!$T$8="First Photons",POWER(Upgrades!$U$8,G288),1)*IF(Upgrades!$T$9="First Photons",POWER(Upgrades!$U$9,H288),1)*IF(Upgrades!$T$10="First Photons",POWER(Upgrades!$U$10,I288),1)*IF(Upgrades!$T$11="First Photons",POWER(Upgrades!$U$11,J288),1)))*POWER(Upgrades!$R$6,E288)*POWER(Upgrades!$R$7,F288)*POWER(Upgrades!$R$8,G288)*POWER(Upgrades!$R$9,H288)*POWER(Upgrades!$R$10,I288)*POWER(Upgrades!$R$11,J288)*POWER(Upgrades!$R$12,K288)</f>
        <v>0</v>
      </c>
      <c r="P288" s="27" t="n">
        <f aca="false">IF(L288=1,0,M288*Parameters!$B$10/60*Parameters!$B$11*10)</f>
        <v>0</v>
      </c>
      <c r="Q288" s="27" t="n">
        <f aca="false">IF(L288=1,0,O288*M288*10)</f>
        <v>0</v>
      </c>
      <c r="R288" s="27" t="n">
        <f aca="false">IF(L288=1,0,N288*10)</f>
        <v>0</v>
      </c>
      <c r="S288" s="27" t="n">
        <f aca="false">P288+Q288+R288</f>
        <v>0</v>
      </c>
      <c r="T288" s="21" t="n">
        <f aca="false">C288+S288</f>
        <v>18.6730249835055</v>
      </c>
      <c r="U288" s="34" t="str">
        <f aca="false">AX288</f>
        <v/>
      </c>
      <c r="V288" s="21" t="n">
        <f aca="false">IF(U288="",0,IF(U288="transition",0,IF(U288="SW",AG288,IF(U288="AB",AH288,IF(U288="SC",AI288,IF(U288="Mag",AJ288,IF(U288="OR",AK288,IF(U288="HP",AL288,IF(U288="FP",AM288,0)))))))))</f>
        <v>0</v>
      </c>
      <c r="W288" s="27" t="n">
        <f aca="false">IF(U288="OR",Upgrades!$F$10,IF(U288="HP",Upgrades!$F$11,IF(U288="transition",-Parameters!$B$18,0)))</f>
        <v>0</v>
      </c>
      <c r="X288" s="21" t="n">
        <f aca="false">T288-V288</f>
        <v>18.6730249835055</v>
      </c>
      <c r="Y288" s="30" t="n">
        <f aca="false">M288*Parameters!$B$10/60*Parameters!$B$11+O288*M288+N288</f>
        <v>20.55</v>
      </c>
      <c r="Z288" s="35" t="str">
        <f aca="false">IF(U288="transition","→ Tier 2 (Stellar Neighborhood)",IF(U288="FP","First Photons — light begins, system quickens",IF(U288="HP","Heliopause acquired",IF(U288="OR","Orbital Resonance — passive multiplier active",IF(AND(AO288=1,L288=0,AN288&lt;&gt;1),"Cohesion ready (waiting on completionist upgrades)","")))))</f>
        <v/>
      </c>
      <c r="AA288" s="27" t="n">
        <f aca="false">(IF(E288=0,0,(Upgrades!$G$6+E288*Upgrades!$H$6)*POWER(Upgrades!$I$6,E288)))*(IF(Upgrades!$T$7="Solar Wind",POWER(Upgrades!$U$7,F288),1)*IF(Upgrades!$T$8="Solar Wind",POWER(Upgrades!$U$8,G288),1)*IF(Upgrades!$T$9="Solar Wind",POWER(Upgrades!$U$9,H288),1)*IF(Upgrades!$T$10="Solar Wind",POWER(Upgrades!$U$10,I288),1)*IF(Upgrades!$T$11="Solar Wind",POWER(Upgrades!$U$11,J288),1)*IF(Upgrades!$T$12="Solar Wind",POWER(Upgrades!$U$12,K288),1))*POWER(Upgrades!$P$6,E288)*POWER(Upgrades!$P$7,F288)*POWER(Upgrades!$P$8,G288)*POWER(Upgrades!$P$9,H288)*POWER(Upgrades!$P$10,I288)*POWER(Upgrades!$P$11,J288)*POWER(Upgrades!$P$12,K288)*60</f>
        <v>72</v>
      </c>
      <c r="AB288" s="27" t="n">
        <f aca="false">(IF(F288=0,0,(Upgrades!$G$7+F288*Upgrades!$H$7)*POWER(Upgrades!$I$7,F288)))*(IF(Upgrades!$T$6="Asteroid Belt",POWER(Upgrades!$U$6,E288),1)*IF(Upgrades!$T$8="Asteroid Belt",POWER(Upgrades!$U$8,G288),1)*IF(Upgrades!$T$9="Asteroid Belt",POWER(Upgrades!$U$9,H288),1)*IF(Upgrades!$T$10="Asteroid Belt",POWER(Upgrades!$U$10,I288),1)*IF(Upgrades!$T$11="Asteroid Belt",POWER(Upgrades!$U$11,J288),1)*IF(Upgrades!$T$12="Asteroid Belt",POWER(Upgrades!$U$12,K288),1))*POWER(Upgrades!$P$6,E288)*POWER(Upgrades!$P$7,F288)*POWER(Upgrades!$P$8,G288)*POWER(Upgrades!$P$9,H288)*POWER(Upgrades!$P$10,I288)*POWER(Upgrades!$P$11,J288)*POWER(Upgrades!$P$12,K288)*60</f>
        <v>150</v>
      </c>
      <c r="AC288" s="27" t="n">
        <f aca="false">(IF(G288=0,0,(Upgrades!$J$8+G288*Upgrades!$K$8)*POWER(Upgrades!$L$8,G288)))*(IF(Upgrades!$T$6="Stellar Coupling",POWER(Upgrades!$U$6,E288),1)*IF(Upgrades!$T$7="Stellar Coupling",POWER(Upgrades!$U$7,F288),1)*IF(Upgrades!$T$9="Stellar Coupling",POWER(Upgrades!$U$9,H288),1)*IF(Upgrades!$T$10="Stellar Coupling",POWER(Upgrades!$U$10,I288),1)*IF(Upgrades!$T$11="Stellar Coupling",POWER(Upgrades!$U$11,J288),1)*IF(Upgrades!$T$12="Stellar Coupling",POWER(Upgrades!$U$12,K288),1))*POWER(Upgrades!$Q$6,E288)*POWER(Upgrades!$Q$7,F288)*POWER(Upgrades!$Q$8,G288)*POWER(Upgrades!$Q$9,H288)*POWER(Upgrades!$Q$10,I288)*POWER(Upgrades!$Q$11,J288)*POWER(Upgrades!$Q$12,K288)*Parameters!$B$10*Parameters!$B$11</f>
        <v>441</v>
      </c>
      <c r="AD288" s="27" t="n">
        <f aca="false">(IF(H288=0,0,(Upgrades!$G$9+H288*Upgrades!$H$9)*POWER(Upgrades!$I$9,H288)))*(IF(Upgrades!$T$6="Magnetosphere",POWER(Upgrades!$U$6,E288),1)*IF(Upgrades!$T$7="Magnetosphere",POWER(Upgrades!$U$7,F288),1)*IF(Upgrades!$T$8="Magnetosphere",POWER(Upgrades!$U$8,G288),1)*IF(Upgrades!$T$10="Magnetosphere",POWER(Upgrades!$U$10,I288),1)*IF(Upgrades!$T$11="Magnetosphere",POWER(Upgrades!$U$11,J288),1)*IF(Upgrades!$T$12="Magnetosphere",POWER(Upgrades!$U$12,K288),1))*POWER(Upgrades!$P$6,E288)*POWER(Upgrades!$P$7,F288)*POWER(Upgrades!$P$8,G288)*POWER(Upgrades!$P$9,H288)*POWER(Upgrades!$P$10,I288)*POWER(Upgrades!$P$11,J288)*POWER(Upgrades!$P$12,K288)*60</f>
        <v>375</v>
      </c>
      <c r="AE288" s="27" t="n">
        <f aca="false">(IF(K288=0,0,(Upgrades!$G$12+K288*Upgrades!$H$12)*POWER(Upgrades!$I$12,K288)))*(IF(Upgrades!$T$6="First Photons",POWER(Upgrades!$U$6,E288),1)*IF(Upgrades!$T$7="First Photons",POWER(Upgrades!$U$7,F288),1)*IF(Upgrades!$T$8="First Photons",POWER(Upgrades!$U$8,G288),1)*IF(Upgrades!$T$9="First Photons",POWER(Upgrades!$U$9,H288),1)*IF(Upgrades!$T$10="First Photons",POWER(Upgrades!$U$10,I288),1)*IF(Upgrades!$T$11="First Photons",POWER(Upgrades!$U$11,J288),1))*POWER(Upgrades!$P$6,E288)*POWER(Upgrades!$P$7,F288)*POWER(Upgrades!$P$8,G288)*POWER(Upgrades!$P$9,H288)*POWER(Upgrades!$P$10,I288)*POWER(Upgrades!$P$11,J288)*POWER(Upgrades!$P$12,K288)*60</f>
        <v>75</v>
      </c>
      <c r="AF288" s="27" t="n">
        <f aca="false">Parameters!$B$9*POWER(Upgrades!$Q$6,E288)*POWER(Upgrades!$Q$7,F288)*POWER(Upgrades!$Q$8,G288)*POWER(Upgrades!$Q$9,H288)*POWER(Upgrades!$Q$10,I288)*POWER(Upgrades!$Q$11,J288)*POWER(Upgrades!$Q$12,K288)*(Parameters!$B$10*Parameters!$B$11+O288*60)</f>
        <v>120</v>
      </c>
      <c r="AG288" s="21" t="n">
        <f aca="false">IF(E288&gt;=Upgrades!$E$6,"",Upgrades!$C$6*POWER(Upgrades!$D$6,E288))</f>
        <v>37.4517507383159</v>
      </c>
      <c r="AH288" s="21" t="n">
        <f aca="false">IF(F288&gt;=Upgrades!$E$7,"",Upgrades!$C$7*POWER(Upgrades!$D$7,F288))</f>
        <v>80.9111547141581</v>
      </c>
      <c r="AI288" s="21" t="n">
        <f aca="false">IF(G288&gt;=Upgrades!$E$8,"",Upgrades!$C$8*POWER(Upgrades!$D$8,G288))</f>
        <v>231.9097088</v>
      </c>
      <c r="AJ288" s="21" t="str">
        <f aca="false">IF(H288&gt;=Upgrades!$E$9,"",Upgrades!$C$9*POWER(Upgrades!$D$9,H288))</f>
        <v/>
      </c>
      <c r="AK288" s="21" t="str">
        <f aca="false">IF(I288&gt;=Upgrades!$E$10,"",Upgrades!$C$10*POWER(Upgrades!$D$10,I288))</f>
        <v/>
      </c>
      <c r="AL288" s="21" t="str">
        <f aca="false">IF(J288&gt;=Upgrades!$E$11,"",Upgrades!$C$11*POWER(Upgrades!$D$11,J288))</f>
        <v/>
      </c>
      <c r="AM288" s="21" t="str">
        <f aca="false">IF(K288&gt;=Upgrades!$E$12,"",Upgrades!$C$12*POWER(Upgrades!$D$12,K288))</f>
        <v/>
      </c>
      <c r="AN288" s="26" t="str">
        <f aca="false">IF(AND(D288&gt;=Parameters!$B$18,(H288&gt;=Upgrades!$E$9)*(K288&gt;=Upgrades!$E$12)=1,L288=0),1,"")</f>
        <v/>
      </c>
      <c r="AO288" s="26" t="str">
        <f aca="false">IF(AND(D288&gt;=Parameters!$B$18,L288=0),1,"")</f>
        <v/>
      </c>
      <c r="AP288" s="21" t="n">
        <f aca="false">MIN(IF(ISNUMBER(AK288),AK288,9000000000000000),IF(ISNUMBER(AL288),AL288,9000000000000000),IF(ISNUMBER(AM288),AM288,9000000000000000))</f>
        <v>9000000000000000</v>
      </c>
      <c r="AQ288" s="21" t="n">
        <f aca="false">MIN(IF(ISNUMBER(AG288),AG288,9000000000000000),IF(ISNUMBER(AH288),AH288,9000000000000000),IF(ISNUMBER(AI288),AI288,9000000000000000),IF(ISNUMBER(AJ288),AJ288,9000000000000000))</f>
        <v>37.4517507383159</v>
      </c>
      <c r="AR288" s="32" t="b">
        <f aca="false">IF(AW288&gt;Parameters!$B$21*(MAX(IF(AND(NOT(AND(AO288=1,AN288&lt;&gt;1)),ISNUMBER(AG288),AG288&lt;=T288),AS288,0),IF(AND(NOT(AND(AO288=1,AN288&lt;&gt;1)),ISNUMBER(AH288),AH288&lt;=T288),AT288,0),IF(AND(NOT(AND(AO288=1,AN288&lt;&gt;1)),ISNUMBER(AI288),AI288&lt;=T288),AU288,0),IF(AND(ISNUMBER(AJ288),AJ288&lt;=T288),AV288,0))),TRUE(),FALSE())</f>
        <v>1</v>
      </c>
      <c r="AS288" s="33" t="n">
        <f aca="false">IFERROR(Upgrades!$H$6*(POWER(Upgrades!$P$6,E288)*POWER(Upgrades!$P$7,F288)*POWER(Upgrades!$P$8,G288)*POWER(Upgrades!$P$9,H288)*POWER(Upgrades!$P$10,I288)*POWER(Upgrades!$P$11,J288)*POWER(Upgrades!$P$12,K288))*(IF(Upgrades!$T$7="Solar Wind",POWER(Upgrades!$U$7,F288),1)*IF(Upgrades!$T$8="Solar Wind",POWER(Upgrades!$U$8,G288),1)*IF(Upgrades!$T$9="Solar Wind",POWER(Upgrades!$U$9,H288),1)*IF(Upgrades!$T$10="Solar Wind",POWER(Upgrades!$U$10,I288),1)*IF(Upgrades!$T$11="Solar Wind",POWER(Upgrades!$U$11,J288),1)*IF(Upgrades!$T$12="Solar Wind",POWER(Upgrades!$U$12,K288),1))/AG288,0)</f>
        <v>0.0026701021455238</v>
      </c>
      <c r="AT288" s="33" t="n">
        <f aca="false">IFERROR(Upgrades!$H$7*(POWER(Upgrades!$P$6,E288)*POWER(Upgrades!$P$7,F288)*POWER(Upgrades!$P$8,G288)*POWER(Upgrades!$P$9,H288)*POWER(Upgrades!$P$10,I288)*POWER(Upgrades!$P$11,J288)*POWER(Upgrades!$P$12,K288))*(IF(Upgrades!$T$6="Asteroid Belt",POWER(Upgrades!$U$6,E288),1)*IF(Upgrades!$T$8="Asteroid Belt",POWER(Upgrades!$U$8,G288),1)*IF(Upgrades!$T$9="Asteroid Belt",POWER(Upgrades!$U$9,H288),1)*IF(Upgrades!$T$10="Asteroid Belt",POWER(Upgrades!$U$10,I288),1)*IF(Upgrades!$T$11="Asteroid Belt",POWER(Upgrades!$U$11,J288),1)*IF(Upgrades!$T$12="Asteroid Belt",POWER(Upgrades!$U$12,K288),1))/AH288,0)</f>
        <v>0.00308980882652332</v>
      </c>
      <c r="AU288" s="33" t="n">
        <f aca="false">IFERROR(Upgrades!$K$8*(POWER(Upgrades!$Q$6,E288)*POWER(Upgrades!$Q$7,F288)*POWER(Upgrades!$Q$8,G288)*POWER(Upgrades!$Q$9,H288)*POWER(Upgrades!$Q$10,I288)*POWER(Upgrades!$Q$11,J288)*POWER(Upgrades!$Q$12,K288))*(IF(Upgrades!$T$6="Stellar Coupling",POWER(Upgrades!$U$6,E288),1)*IF(Upgrades!$T$7="Stellar Coupling",POWER(Upgrades!$U$7,F288),1)*IF(Upgrades!$T$9="Stellar Coupling",POWER(Upgrades!$U$9,H288),1)*IF(Upgrades!$T$10="Stellar Coupling",POWER(Upgrades!$U$10,I288),1)*IF(Upgrades!$T$11="Stellar Coupling",POWER(Upgrades!$U$11,J288),1)*IF(Upgrades!$T$12="Stellar Coupling",POWER(Upgrades!$U$12,K288),1))*Parameters!$B$10*Parameters!$B$11/60/AI288,0)</f>
        <v>0.00452762415783776</v>
      </c>
      <c r="AV288" s="33" t="n">
        <f aca="false">IFERROR(Upgrades!$H$9*(POWER(Upgrades!$P$6,E288)*POWER(Upgrades!$P$7,F288)*POWER(Upgrades!$P$8,G288)*POWER(Upgrades!$P$9,H288)*POWER(Upgrades!$P$10,I288)*POWER(Upgrades!$P$11,J288)*POWER(Upgrades!$P$12,K288))*(IF(Upgrades!$T$6="Magnetosphere",POWER(Upgrades!$U$6,E288),1)*IF(Upgrades!$T$7="Magnetosphere",POWER(Upgrades!$U$7,F288),1)*IF(Upgrades!$T$8="Magnetosphere",POWER(Upgrades!$U$8,G288),1)*IF(Upgrades!$T$10="Magnetosphere",POWER(Upgrades!$U$10,I288),1)*IF(Upgrades!$T$11="Magnetosphere",POWER(Upgrades!$U$11,J288),1)*IF(Upgrades!$T$12="Magnetosphere",POWER(Upgrades!$U$12,K288),1))/AJ288,0)</f>
        <v>0</v>
      </c>
      <c r="AW288" s="33" t="n">
        <f aca="false">MAX(IF(I288&gt;0,0,IFERROR(0.25*N288/Upgrades!$C$10,0)),IF(J288&gt;0,0,IFERROR(0.5*((IF(G288=0,0,(Upgrades!$J$8+G288*Upgrades!$K$8)*POWER(Upgrades!$L$8,G288)))*(IF(Upgrades!$T$6="Stellar Coupling",POWER(Upgrades!$U$6,E288),1)*IF(Upgrades!$T$7="Stellar Coupling",POWER(Upgrades!$U$7,F288),1)*IF(Upgrades!$T$9="Stellar Coupling",POWER(Upgrades!$U$9,H288),1)*IF(Upgrades!$T$10="Stellar Coupling",POWER(Upgrades!$U$10,I288),1)*IF(Upgrades!$T$11="Stellar Coupling",POWER(Upgrades!$U$11,J288),1)*IF(Upgrades!$T$12="Stellar Coupling",POWER(Upgrades!$U$12,K288),1))*(POWER(Upgrades!$Q$6,E288)*POWER(Upgrades!$Q$7,F288)*POWER(Upgrades!$Q$8,G288)*POWER(Upgrades!$Q$9,H288)*POWER(Upgrades!$Q$10,I288)*POWER(Upgrades!$Q$11,J288)*POWER(Upgrades!$Q$12,K288))*Parameters!$B$10*Parameters!$B$11/60)/Upgrades!$C$11,0)),IF(K288&gt;0,0,IFERROR((1*(POWER(Upgrades!$P$6,E288)*POWER(Upgrades!$P$7,F288)*POWER(Upgrades!$P$8,G288)*POWER(Upgrades!$P$9,H288)*POWER(Upgrades!$P$10,I288)*POWER(Upgrades!$P$11,J288)*POWER(Upgrades!$P$12,K288))+0.2*M288*Parameters!$B$10*Parameters!$B$11/60)/Upgrades!$C$12,0)),IF(AND(ISNUMBER(AG288),AG288&gt;T288),AS288,0),IF(AND(ISNUMBER(AH288),AH288&gt;T288),AT288,0),IF(AND(ISNUMBER(AI288),AI288&gt;T288),AU288,0),IF(AND(ISNUMBER(AJ288),AJ288&gt;T288),AV288,0))</f>
        <v>0.00452762415783776</v>
      </c>
      <c r="AX288" s="29" t="str">
        <f aca="false">IF(AN288=1,"transition",IF(MIN(IF(AND(I288=0,ISNUMBER(AK288),AK288&lt;=T288),AK288,9000000000000000),IF(AND(J288=0,ISNUMBER(AL288),AL288&lt;=T288),AL288,9000000000000000),IF(AND(K288=0,ISNUMBER(AM288),AM288&lt;=T288),AM288,9000000000000000))&lt;9000000000000000,IF(AND(AND(I288=0,ISNUMBER(AK288),AK288&lt;=T288),AK288=MIN(IF(AND(I288=0,ISNUMBER(AK288),AK288&lt;=T288),AK288,9000000000000000),IF(AND(J288=0,ISNUMBER(AL288),AL288&lt;=T288),AL288,9000000000000000),IF(AND(K288=0,ISNUMBER(AM288),AM288&lt;=T288),AM288,9000000000000000))),"OR",IF(AND(AND(J288=0,ISNUMBER(AL288),AL288&lt;=T288),AL288=MIN(IF(AND(I288=0,ISNUMBER(AK288),AK288&lt;=T288),AK288,9000000000000000),IF(AND(J288=0,ISNUMBER(AL288),AL288&lt;=T288),AL288,9000000000000000),IF(AND(K288=0,ISNUMBER(AM288),AM288&lt;=T288),AM288,9000000000000000))),"HP","FP")),IF(AR288=TRUE(),"",IF(MAX(IF(AND(NOT(AND(AO288=1,AN288&lt;&gt;1)),ISNUMBER(AG288),AG288&lt;=T288),AS288,0),IF(AND(NOT(AND(AO288=1,AN288&lt;&gt;1)),ISNUMBER(AH288),AH288&lt;=T288),AT288,0),IF(AND(NOT(AND(AO288=1,AN288&lt;&gt;1)),ISNUMBER(AI288),AI288&lt;=T288),AU288,0),IF(AND(ISNUMBER(AJ288),AJ288&lt;=T288),AV288,0))&lt;=0,"",IF(AND(IF(AND(NOT(AND(AO288=1,AN288&lt;&gt;1)),ISNUMBER(AG288),AG288&lt;=T288),AS288,0)&gt;0,IF(AND(NOT(AND(AO288=1,AN288&lt;&gt;1)),ISNUMBER(AG288),AG288&lt;=T288),AS288,0)=MAX(IF(AND(NOT(AND(AO288=1,AN288&lt;&gt;1)),ISNUMBER(AG288),AG288&lt;=T288),AS288,0),IF(AND(NOT(AND(AO288=1,AN288&lt;&gt;1)),ISNUMBER(AH288),AH288&lt;=T288),AT288,0),IF(AND(NOT(AND(AO288=1,AN288&lt;&gt;1)),ISNUMBER(AI288),AI288&lt;=T288),AU288,0),IF(AND(ISNUMBER(AJ288),AJ288&lt;=T288),AV288,0))),"SW",IF(AND(IF(AND(NOT(AND(AO288=1,AN288&lt;&gt;1)),ISNUMBER(AH288),AH288&lt;=T288),AT288,0)&gt;0,IF(AND(NOT(AND(AO288=1,AN288&lt;&gt;1)),ISNUMBER(AH288),AH288&lt;=T288),AT288,0)=MAX(IF(AND(NOT(AND(AO288=1,AN288&lt;&gt;1)),ISNUMBER(AG288),AG288&lt;=T288),AS288,0),IF(AND(NOT(AND(AO288=1,AN288&lt;&gt;1)),ISNUMBER(AH288),AH288&lt;=T288),AT288,0),IF(AND(NOT(AND(AO288=1,AN288&lt;&gt;1)),ISNUMBER(AI288),AI288&lt;=T288),AU288,0),IF(AND(ISNUMBER(AJ288),AJ288&lt;=T288),AV288,0))),"AB",IF(AND(IF(AND(NOT(AND(AO288=1,AN288&lt;&gt;1)),ISNUMBER(AI288),AI288&lt;=T288),AU288,0)&gt;0,IF(AND(NOT(AND(AO288=1,AN288&lt;&gt;1)),ISNUMBER(AI288),AI288&lt;=T288),AU288,0)=MAX(IF(AND(NOT(AND(AO288=1,AN288&lt;&gt;1)),ISNUMBER(AG288),AG288&lt;=T288),AS288,0),IF(AND(NOT(AND(AO288=1,AN288&lt;&gt;1)),ISNUMBER(AH288),AH288&lt;=T288),AT288,0),IF(AND(NOT(AND(AO288=1,AN288&lt;&gt;1)),ISNUMBER(AI288),AI288&lt;=T288),AU288,0),IF(AND(ISNUMBER(AJ288),AJ288&lt;=T288),AV288,0))),"SC","Mag")))))))</f>
        <v/>
      </c>
    </row>
    <row r="289" customFormat="false" ht="15" hidden="false" customHeight="false" outlineLevel="0" collapsed="false">
      <c r="A289" s="26" t="n">
        <v>284</v>
      </c>
      <c r="B289" s="27" t="n">
        <f aca="false">A289*10/60</f>
        <v>47.3333333333333</v>
      </c>
      <c r="C289" s="21" t="n">
        <f aca="false">X288</f>
        <v>18.6730249835055</v>
      </c>
      <c r="D289" s="27" t="n">
        <f aca="false">D288+W288</f>
        <v>0</v>
      </c>
      <c r="E289" s="26" t="n">
        <f aca="false">E288+IF(U288="SW",1,0)</f>
        <v>12</v>
      </c>
      <c r="F289" s="26" t="n">
        <f aca="false">F288+IF(U288="AB",1,0)</f>
        <v>10</v>
      </c>
      <c r="G289" s="26" t="n">
        <f aca="false">G288+IF(U288="SC",1,0)</f>
        <v>7</v>
      </c>
      <c r="H289" s="26" t="n">
        <f aca="false">H288+IF(U288="Mag",1,0)</f>
        <v>5</v>
      </c>
      <c r="I289" s="26" t="n">
        <f aca="false">MAX(I288,IF(U288="OR",1,0))</f>
        <v>1</v>
      </c>
      <c r="J289" s="26" t="n">
        <f aca="false">MAX(J288,IF(U288="HP",1,0))</f>
        <v>1</v>
      </c>
      <c r="K289" s="26" t="n">
        <f aca="false">MAX(K288,IF(U288="FP",1,0))</f>
        <v>1</v>
      </c>
      <c r="L289" s="26" t="n">
        <f aca="false">MAX(L288,IF(U288="transition",1,0))</f>
        <v>1</v>
      </c>
      <c r="M289" s="28" t="n">
        <f aca="false">(Parameters!$B$9+(IF(E289=0,0,(Upgrades!$J$6+E289*Upgrades!$K$6)*POWER(Upgrades!$L$6,E289)))*(IF(Upgrades!$T$7="Solar Wind",POWER(Upgrades!$U$7,F289),1)*IF(Upgrades!$T$8="Solar Wind",POWER(Upgrades!$U$8,G289),1)*IF(Upgrades!$T$9="Solar Wind",POWER(Upgrades!$U$9,H289),1)*IF(Upgrades!$T$10="Solar Wind",POWER(Upgrades!$U$10,I289),1)*IF(Upgrades!$T$11="Solar Wind",POWER(Upgrades!$U$11,J289),1)*IF(Upgrades!$T$12="Solar Wind",POWER(Upgrades!$U$12,K289),1))+(IF(F289=0,0,(Upgrades!$J$7+F289*Upgrades!$K$7)*POWER(Upgrades!$L$7,F289)))*(IF(Upgrades!$T$6="Asteroid Belt",POWER(Upgrades!$U$6,E289),1)*IF(Upgrades!$T$8="Asteroid Belt",POWER(Upgrades!$U$8,G289),1)*IF(Upgrades!$T$9="Asteroid Belt",POWER(Upgrades!$U$9,H289),1)*IF(Upgrades!$T$10="Asteroid Belt",POWER(Upgrades!$U$10,I289),1)*IF(Upgrades!$T$11="Asteroid Belt",POWER(Upgrades!$U$11,J289),1)*IF(Upgrades!$T$12="Asteroid Belt",POWER(Upgrades!$U$12,K289),1))+(IF(G289=0,0,(Upgrades!$J$8+G289*Upgrades!$K$8)*POWER(Upgrades!$L$8,G289)))*(IF(Upgrades!$T$6="Stellar Coupling",POWER(Upgrades!$U$6,E289),1)*IF(Upgrades!$T$7="Stellar Coupling",POWER(Upgrades!$U$7,F289),1)*IF(Upgrades!$T$9="Stellar Coupling",POWER(Upgrades!$U$9,H289),1)*IF(Upgrades!$T$10="Stellar Coupling",POWER(Upgrades!$U$10,I289),1)*IF(Upgrades!$T$11="Stellar Coupling",POWER(Upgrades!$U$11,J289),1)*IF(Upgrades!$T$12="Stellar Coupling",POWER(Upgrades!$U$12,K289),1))+(IF(H289=0,0,(Upgrades!$J$9+H289*Upgrades!$K$9)*POWER(Upgrades!$L$9,H289)))*(IF(Upgrades!$T$6="Magnetosphere",POWER(Upgrades!$U$6,E289),1)*IF(Upgrades!$T$7="Magnetosphere",POWER(Upgrades!$U$7,F289),1)*IF(Upgrades!$T$8="Magnetosphere",POWER(Upgrades!$U$8,G289),1)*IF(Upgrades!$T$10="Magnetosphere",POWER(Upgrades!$U$10,I289),1)*IF(Upgrades!$T$11="Magnetosphere",POWER(Upgrades!$U$11,J289),1)*IF(Upgrades!$T$12="Magnetosphere",POWER(Upgrades!$U$12,K289),1))+(IF(I289=0,0,(Upgrades!$J$10+I289*Upgrades!$K$10)*POWER(Upgrades!$L$10,I289)))*(IF(Upgrades!$T$6="Orbital Resonance",POWER(Upgrades!$U$6,E289),1)*IF(Upgrades!$T$7="Orbital Resonance",POWER(Upgrades!$U$7,F289),1)*IF(Upgrades!$T$8="Orbital Resonance",POWER(Upgrades!$U$8,G289),1)*IF(Upgrades!$T$9="Orbital Resonance",POWER(Upgrades!$U$9,H289),1)*IF(Upgrades!$T$11="Orbital Resonance",POWER(Upgrades!$U$11,J289),1)*IF(Upgrades!$T$12="Orbital Resonance",POWER(Upgrades!$U$12,K289),1))+(IF(J289=0,0,(Upgrades!$J$11+J289*Upgrades!$K$11)*POWER(Upgrades!$L$11,J289)))*(IF(Upgrades!$T$6="Heliopause",POWER(Upgrades!$U$6,E289),1)*IF(Upgrades!$T$7="Heliopause",POWER(Upgrades!$U$7,F289),1)*IF(Upgrades!$T$8="Heliopause",POWER(Upgrades!$U$8,G289),1)*IF(Upgrades!$T$9="Heliopause",POWER(Upgrades!$U$9,H289),1)*IF(Upgrades!$T$10="Heliopause",POWER(Upgrades!$U$10,I289),1)*IF(Upgrades!$T$12="Heliopause",POWER(Upgrades!$U$12,K289),1))+(IF(K289=0,0,(Upgrades!$J$12+K289*Upgrades!$K$12)*POWER(Upgrades!$L$12,K289)))*(IF(Upgrades!$T$6="First Photons",POWER(Upgrades!$U$6,E289),1)*IF(Upgrades!$T$7="First Photons",POWER(Upgrades!$U$7,F289),1)*IF(Upgrades!$T$8="First Photons",POWER(Upgrades!$U$8,G289),1)*IF(Upgrades!$T$9="First Photons",POWER(Upgrades!$U$9,H289),1)*IF(Upgrades!$T$10="First Photons",POWER(Upgrades!$U$10,I289),1)*IF(Upgrades!$T$11="First Photons",POWER(Upgrades!$U$11,J289),1)))*POWER(Upgrades!$Q$6,E289)*POWER(Upgrades!$Q$7,F289)*POWER(Upgrades!$Q$8,G289)*POWER(Upgrades!$Q$9,H289)*POWER(Upgrades!$Q$10,I289)*POWER(Upgrades!$Q$11,J289)*POWER(Upgrades!$Q$12,K289)</f>
        <v>5.61</v>
      </c>
      <c r="N289" s="28" t="n">
        <f aca="false">((IF(E289=0,0,(Upgrades!$G$6+E289*Upgrades!$H$6)*POWER(Upgrades!$I$6,E289)))*(IF(Upgrades!$T$7="Solar Wind",POWER(Upgrades!$U$7,F289),1)*IF(Upgrades!$T$8="Solar Wind",POWER(Upgrades!$U$8,G289),1)*IF(Upgrades!$T$9="Solar Wind",POWER(Upgrades!$U$9,H289),1)*IF(Upgrades!$T$10="Solar Wind",POWER(Upgrades!$U$10,I289),1)*IF(Upgrades!$T$11="Solar Wind",POWER(Upgrades!$U$11,J289),1)*IF(Upgrades!$T$12="Solar Wind",POWER(Upgrades!$U$12,K289),1))+(IF(F289=0,0,(Upgrades!$G$7+F289*Upgrades!$H$7)*POWER(Upgrades!$I$7,F289)))*(IF(Upgrades!$T$6="Asteroid Belt",POWER(Upgrades!$U$6,E289),1)*IF(Upgrades!$T$8="Asteroid Belt",POWER(Upgrades!$U$8,G289),1)*IF(Upgrades!$T$9="Asteroid Belt",POWER(Upgrades!$U$9,H289),1)*IF(Upgrades!$T$10="Asteroid Belt",POWER(Upgrades!$U$10,I289),1)*IF(Upgrades!$T$11="Asteroid Belt",POWER(Upgrades!$U$11,J289),1)*IF(Upgrades!$T$12="Asteroid Belt",POWER(Upgrades!$U$12,K289),1))+(IF(G289=0,0,(Upgrades!$G$8+G289*Upgrades!$H$8)*POWER(Upgrades!$I$8,G289)))*(IF(Upgrades!$T$6="Stellar Coupling",POWER(Upgrades!$U$6,E289),1)*IF(Upgrades!$T$7="Stellar Coupling",POWER(Upgrades!$U$7,F289),1)*IF(Upgrades!$T$9="Stellar Coupling",POWER(Upgrades!$U$9,H289),1)*IF(Upgrades!$T$10="Stellar Coupling",POWER(Upgrades!$U$10,I289),1)*IF(Upgrades!$T$11="Stellar Coupling",POWER(Upgrades!$U$11,J289),1)*IF(Upgrades!$T$12="Stellar Coupling",POWER(Upgrades!$U$12,K289),1))+(IF(H289=0,0,(Upgrades!$G$9+H289*Upgrades!$H$9)*POWER(Upgrades!$I$9,H289)))*(IF(Upgrades!$T$6="Magnetosphere",POWER(Upgrades!$U$6,E289),1)*IF(Upgrades!$T$7="Magnetosphere",POWER(Upgrades!$U$7,F289),1)*IF(Upgrades!$T$8="Magnetosphere",POWER(Upgrades!$U$8,G289),1)*IF(Upgrades!$T$10="Magnetosphere",POWER(Upgrades!$U$10,I289),1)*IF(Upgrades!$T$11="Magnetosphere",POWER(Upgrades!$U$11,J289),1)*IF(Upgrades!$T$12="Magnetosphere",POWER(Upgrades!$U$12,K289),1))+(IF(I289=0,0,(Upgrades!$G$10+I289*Upgrades!$H$10)*POWER(Upgrades!$I$10,I289)))*(IF(Upgrades!$T$6="Orbital Resonance",POWER(Upgrades!$U$6,E289),1)*IF(Upgrades!$T$7="Orbital Resonance",POWER(Upgrades!$U$7,F289),1)*IF(Upgrades!$T$8="Orbital Resonance",POWER(Upgrades!$U$8,G289),1)*IF(Upgrades!$T$9="Orbital Resonance",POWER(Upgrades!$U$9,H289),1)*IF(Upgrades!$T$11="Orbital Resonance",POWER(Upgrades!$U$11,J289),1)*IF(Upgrades!$T$12="Orbital Resonance",POWER(Upgrades!$U$12,K289),1))+(IF(J289=0,0,(Upgrades!$G$11+J289*Upgrades!$H$11)*POWER(Upgrades!$I$11,J289)))*(IF(Upgrades!$T$6="Heliopause",POWER(Upgrades!$U$6,E289),1)*IF(Upgrades!$T$7="Heliopause",POWER(Upgrades!$U$7,F289),1)*IF(Upgrades!$T$8="Heliopause",POWER(Upgrades!$U$8,G289),1)*IF(Upgrades!$T$9="Heliopause",POWER(Upgrades!$U$9,H289),1)*IF(Upgrades!$T$10="Heliopause",POWER(Upgrades!$U$10,I289),1)*IF(Upgrades!$T$12="Heliopause",POWER(Upgrades!$U$12,K289),1))+(IF(K289=0,0,(Upgrades!$G$12+K289*Upgrades!$H$12)*POWER(Upgrades!$I$12,K289)))*(IF(Upgrades!$T$6="First Photons",POWER(Upgrades!$U$6,E289),1)*IF(Upgrades!$T$7="First Photons",POWER(Upgrades!$U$7,F289),1)*IF(Upgrades!$T$8="First Photons",POWER(Upgrades!$U$8,G289),1)*IF(Upgrades!$T$9="First Photons",POWER(Upgrades!$U$9,H289),1)*IF(Upgrades!$T$10="First Photons",POWER(Upgrades!$U$10,I289),1)*IF(Upgrades!$T$11="First Photons",POWER(Upgrades!$U$11,J289),1)))*POWER(Upgrades!$P$6,E289)*POWER(Upgrades!$P$7,F289)*POWER(Upgrades!$P$8,G289)*POWER(Upgrades!$P$9,H289)*POWER(Upgrades!$P$10,I289)*POWER(Upgrades!$P$11,J289)*POWER(Upgrades!$P$12,K289)</f>
        <v>11.2</v>
      </c>
      <c r="O289" s="28" t="n">
        <f aca="false">((IF(E289=0,0,(Upgrades!$M$6+E289*Upgrades!$N$6)*POWER(Upgrades!$O$6,E289)))*(IF(Upgrades!$T$7="Solar Wind",POWER(Upgrades!$U$7,F289),1)*IF(Upgrades!$T$8="Solar Wind",POWER(Upgrades!$U$8,G289),1)*IF(Upgrades!$T$9="Solar Wind",POWER(Upgrades!$U$9,H289),1)*IF(Upgrades!$T$10="Solar Wind",POWER(Upgrades!$U$10,I289),1)*IF(Upgrades!$T$11="Solar Wind",POWER(Upgrades!$U$11,J289),1)*IF(Upgrades!$T$12="Solar Wind",POWER(Upgrades!$U$12,K289),1))+(IF(F289=0,0,(Upgrades!$M$7+F289*Upgrades!$N$7)*POWER(Upgrades!$O$7,F289)))*(IF(Upgrades!$T$6="Asteroid Belt",POWER(Upgrades!$U$6,E289),1)*IF(Upgrades!$T$8="Asteroid Belt",POWER(Upgrades!$U$8,G289),1)*IF(Upgrades!$T$9="Asteroid Belt",POWER(Upgrades!$U$9,H289),1)*IF(Upgrades!$T$10="Asteroid Belt",POWER(Upgrades!$U$10,I289),1)*IF(Upgrades!$T$11="Asteroid Belt",POWER(Upgrades!$U$11,J289),1)*IF(Upgrades!$T$12="Asteroid Belt",POWER(Upgrades!$U$12,K289),1))+(IF(G289=0,0,(Upgrades!$M$8+G289*Upgrades!$N$8)*POWER(Upgrades!$O$8,G289)))*(IF(Upgrades!$T$6="Stellar Coupling",POWER(Upgrades!$U$6,E289),1)*IF(Upgrades!$T$7="Stellar Coupling",POWER(Upgrades!$U$7,F289),1)*IF(Upgrades!$T$9="Stellar Coupling",POWER(Upgrades!$U$9,H289),1)*IF(Upgrades!$T$10="Stellar Coupling",POWER(Upgrades!$U$10,I289),1)*IF(Upgrades!$T$11="Stellar Coupling",POWER(Upgrades!$U$11,J289),1)*IF(Upgrades!$T$12="Stellar Coupling",POWER(Upgrades!$U$12,K289),1))+(IF(H289=0,0,(Upgrades!$M$9+H289*Upgrades!$N$9)*POWER(Upgrades!$O$9,H289)))*(IF(Upgrades!$T$6="Magnetosphere",POWER(Upgrades!$U$6,E289),1)*IF(Upgrades!$T$7="Magnetosphere",POWER(Upgrades!$U$7,F289),1)*IF(Upgrades!$T$8="Magnetosphere",POWER(Upgrades!$U$8,G289),1)*IF(Upgrades!$T$10="Magnetosphere",POWER(Upgrades!$U$10,I289),1)*IF(Upgrades!$T$11="Magnetosphere",POWER(Upgrades!$U$11,J289),1)*IF(Upgrades!$T$12="Magnetosphere",POWER(Upgrades!$U$12,K289),1))+(IF(I289=0,0,(Upgrades!$M$10+I289*Upgrades!$N$10)*POWER(Upgrades!$O$10,I289)))*(IF(Upgrades!$T$6="Orbital Resonance",POWER(Upgrades!$U$6,E289),1)*IF(Upgrades!$T$7="Orbital Resonance",POWER(Upgrades!$U$7,F289),1)*IF(Upgrades!$T$8="Orbital Resonance",POWER(Upgrades!$U$8,G289),1)*IF(Upgrades!$T$9="Orbital Resonance",POWER(Upgrades!$U$9,H289),1)*IF(Upgrades!$T$11="Orbital Resonance",POWER(Upgrades!$U$11,J289),1)*IF(Upgrades!$T$12="Orbital Resonance",POWER(Upgrades!$U$12,K289),1))+(IF(J289=0,0,(Upgrades!$M$11+J289*Upgrades!$N$11)*POWER(Upgrades!$O$11,J289)))*(IF(Upgrades!$T$6="Heliopause",POWER(Upgrades!$U$6,E289),1)*IF(Upgrades!$T$7="Heliopause",POWER(Upgrades!$U$7,F289),1)*IF(Upgrades!$T$8="Heliopause",POWER(Upgrades!$U$8,G289),1)*IF(Upgrades!$T$9="Heliopause",POWER(Upgrades!$U$9,H289),1)*IF(Upgrades!$T$10="Heliopause",POWER(Upgrades!$U$10,I289),1)*IF(Upgrades!$T$12="Heliopause",POWER(Upgrades!$U$12,K289),1))+(IF(K289=0,0,(Upgrades!$M$12+K289*Upgrades!$N$12)*POWER(Upgrades!$O$12,K289)))*(IF(Upgrades!$T$6="First Photons",POWER(Upgrades!$U$6,E289),1)*IF(Upgrades!$T$7="First Photons",POWER(Upgrades!$U$7,F289),1)*IF(Upgrades!$T$8="First Photons",POWER(Upgrades!$U$8,G289),1)*IF(Upgrades!$T$9="First Photons",POWER(Upgrades!$U$9,H289),1)*IF(Upgrades!$T$10="First Photons",POWER(Upgrades!$U$10,I289),1)*IF(Upgrades!$T$11="First Photons",POWER(Upgrades!$U$11,J289),1)))*POWER(Upgrades!$R$6,E289)*POWER(Upgrades!$R$7,F289)*POWER(Upgrades!$R$8,G289)*POWER(Upgrades!$R$9,H289)*POWER(Upgrades!$R$10,I289)*POWER(Upgrades!$R$11,J289)*POWER(Upgrades!$R$12,K289)</f>
        <v>0</v>
      </c>
      <c r="P289" s="27" t="n">
        <f aca="false">IF(L289=1,0,M289*Parameters!$B$10/60*Parameters!$B$11*10)</f>
        <v>0</v>
      </c>
      <c r="Q289" s="27" t="n">
        <f aca="false">IF(L289=1,0,O289*M289*10)</f>
        <v>0</v>
      </c>
      <c r="R289" s="27" t="n">
        <f aca="false">IF(L289=1,0,N289*10)</f>
        <v>0</v>
      </c>
      <c r="S289" s="27" t="n">
        <f aca="false">P289+Q289+R289</f>
        <v>0</v>
      </c>
      <c r="T289" s="21" t="n">
        <f aca="false">C289+S289</f>
        <v>18.6730249835055</v>
      </c>
      <c r="U289" s="34" t="str">
        <f aca="false">AX289</f>
        <v/>
      </c>
      <c r="V289" s="21" t="n">
        <f aca="false">IF(U289="",0,IF(U289="transition",0,IF(U289="SW",AG289,IF(U289="AB",AH289,IF(U289="SC",AI289,IF(U289="Mag",AJ289,IF(U289="OR",AK289,IF(U289="HP",AL289,IF(U289="FP",AM289,0)))))))))</f>
        <v>0</v>
      </c>
      <c r="W289" s="27" t="n">
        <f aca="false">IF(U289="OR",Upgrades!$F$10,IF(U289="HP",Upgrades!$F$11,IF(U289="transition",-Parameters!$B$18,0)))</f>
        <v>0</v>
      </c>
      <c r="X289" s="21" t="n">
        <f aca="false">T289-V289</f>
        <v>18.6730249835055</v>
      </c>
      <c r="Y289" s="30" t="n">
        <f aca="false">M289*Parameters!$B$10/60*Parameters!$B$11+O289*M289+N289</f>
        <v>20.55</v>
      </c>
      <c r="Z289" s="35" t="str">
        <f aca="false">IF(U289="transition","→ Tier 2 (Stellar Neighborhood)",IF(U289="FP","First Photons — light begins, system quickens",IF(U289="HP","Heliopause acquired",IF(U289="OR","Orbital Resonance — passive multiplier active",IF(AND(AO289=1,L289=0,AN289&lt;&gt;1),"Cohesion ready (waiting on completionist upgrades)","")))))</f>
        <v/>
      </c>
      <c r="AA289" s="27" t="n">
        <f aca="false">(IF(E289=0,0,(Upgrades!$G$6+E289*Upgrades!$H$6)*POWER(Upgrades!$I$6,E289)))*(IF(Upgrades!$T$7="Solar Wind",POWER(Upgrades!$U$7,F289),1)*IF(Upgrades!$T$8="Solar Wind",POWER(Upgrades!$U$8,G289),1)*IF(Upgrades!$T$9="Solar Wind",POWER(Upgrades!$U$9,H289),1)*IF(Upgrades!$T$10="Solar Wind",POWER(Upgrades!$U$10,I289),1)*IF(Upgrades!$T$11="Solar Wind",POWER(Upgrades!$U$11,J289),1)*IF(Upgrades!$T$12="Solar Wind",POWER(Upgrades!$U$12,K289),1))*POWER(Upgrades!$P$6,E289)*POWER(Upgrades!$P$7,F289)*POWER(Upgrades!$P$8,G289)*POWER(Upgrades!$P$9,H289)*POWER(Upgrades!$P$10,I289)*POWER(Upgrades!$P$11,J289)*POWER(Upgrades!$P$12,K289)*60</f>
        <v>72</v>
      </c>
      <c r="AB289" s="27" t="n">
        <f aca="false">(IF(F289=0,0,(Upgrades!$G$7+F289*Upgrades!$H$7)*POWER(Upgrades!$I$7,F289)))*(IF(Upgrades!$T$6="Asteroid Belt",POWER(Upgrades!$U$6,E289),1)*IF(Upgrades!$T$8="Asteroid Belt",POWER(Upgrades!$U$8,G289),1)*IF(Upgrades!$T$9="Asteroid Belt",POWER(Upgrades!$U$9,H289),1)*IF(Upgrades!$T$10="Asteroid Belt",POWER(Upgrades!$U$10,I289),1)*IF(Upgrades!$T$11="Asteroid Belt",POWER(Upgrades!$U$11,J289),1)*IF(Upgrades!$T$12="Asteroid Belt",POWER(Upgrades!$U$12,K289),1))*POWER(Upgrades!$P$6,E289)*POWER(Upgrades!$P$7,F289)*POWER(Upgrades!$P$8,G289)*POWER(Upgrades!$P$9,H289)*POWER(Upgrades!$P$10,I289)*POWER(Upgrades!$P$11,J289)*POWER(Upgrades!$P$12,K289)*60</f>
        <v>150</v>
      </c>
      <c r="AC289" s="27" t="n">
        <f aca="false">(IF(G289=0,0,(Upgrades!$J$8+G289*Upgrades!$K$8)*POWER(Upgrades!$L$8,G289)))*(IF(Upgrades!$T$6="Stellar Coupling",POWER(Upgrades!$U$6,E289),1)*IF(Upgrades!$T$7="Stellar Coupling",POWER(Upgrades!$U$7,F289),1)*IF(Upgrades!$T$9="Stellar Coupling",POWER(Upgrades!$U$9,H289),1)*IF(Upgrades!$T$10="Stellar Coupling",POWER(Upgrades!$U$10,I289),1)*IF(Upgrades!$T$11="Stellar Coupling",POWER(Upgrades!$U$11,J289),1)*IF(Upgrades!$T$12="Stellar Coupling",POWER(Upgrades!$U$12,K289),1))*POWER(Upgrades!$Q$6,E289)*POWER(Upgrades!$Q$7,F289)*POWER(Upgrades!$Q$8,G289)*POWER(Upgrades!$Q$9,H289)*POWER(Upgrades!$Q$10,I289)*POWER(Upgrades!$Q$11,J289)*POWER(Upgrades!$Q$12,K289)*Parameters!$B$10*Parameters!$B$11</f>
        <v>441</v>
      </c>
      <c r="AD289" s="27" t="n">
        <f aca="false">(IF(H289=0,0,(Upgrades!$G$9+H289*Upgrades!$H$9)*POWER(Upgrades!$I$9,H289)))*(IF(Upgrades!$T$6="Magnetosphere",POWER(Upgrades!$U$6,E289),1)*IF(Upgrades!$T$7="Magnetosphere",POWER(Upgrades!$U$7,F289),1)*IF(Upgrades!$T$8="Magnetosphere",POWER(Upgrades!$U$8,G289),1)*IF(Upgrades!$T$10="Magnetosphere",POWER(Upgrades!$U$10,I289),1)*IF(Upgrades!$T$11="Magnetosphere",POWER(Upgrades!$U$11,J289),1)*IF(Upgrades!$T$12="Magnetosphere",POWER(Upgrades!$U$12,K289),1))*POWER(Upgrades!$P$6,E289)*POWER(Upgrades!$P$7,F289)*POWER(Upgrades!$P$8,G289)*POWER(Upgrades!$P$9,H289)*POWER(Upgrades!$P$10,I289)*POWER(Upgrades!$P$11,J289)*POWER(Upgrades!$P$12,K289)*60</f>
        <v>375</v>
      </c>
      <c r="AE289" s="27" t="n">
        <f aca="false">(IF(K289=0,0,(Upgrades!$G$12+K289*Upgrades!$H$12)*POWER(Upgrades!$I$12,K289)))*(IF(Upgrades!$T$6="First Photons",POWER(Upgrades!$U$6,E289),1)*IF(Upgrades!$T$7="First Photons",POWER(Upgrades!$U$7,F289),1)*IF(Upgrades!$T$8="First Photons",POWER(Upgrades!$U$8,G289),1)*IF(Upgrades!$T$9="First Photons",POWER(Upgrades!$U$9,H289),1)*IF(Upgrades!$T$10="First Photons",POWER(Upgrades!$U$10,I289),1)*IF(Upgrades!$T$11="First Photons",POWER(Upgrades!$U$11,J289),1))*POWER(Upgrades!$P$6,E289)*POWER(Upgrades!$P$7,F289)*POWER(Upgrades!$P$8,G289)*POWER(Upgrades!$P$9,H289)*POWER(Upgrades!$P$10,I289)*POWER(Upgrades!$P$11,J289)*POWER(Upgrades!$P$12,K289)*60</f>
        <v>75</v>
      </c>
      <c r="AF289" s="27" t="n">
        <f aca="false">Parameters!$B$9*POWER(Upgrades!$Q$6,E289)*POWER(Upgrades!$Q$7,F289)*POWER(Upgrades!$Q$8,G289)*POWER(Upgrades!$Q$9,H289)*POWER(Upgrades!$Q$10,I289)*POWER(Upgrades!$Q$11,J289)*POWER(Upgrades!$Q$12,K289)*(Parameters!$B$10*Parameters!$B$11+O289*60)</f>
        <v>120</v>
      </c>
      <c r="AG289" s="21" t="n">
        <f aca="false">IF(E289&gt;=Upgrades!$E$6,"",Upgrades!$C$6*POWER(Upgrades!$D$6,E289))</f>
        <v>37.4517507383159</v>
      </c>
      <c r="AH289" s="21" t="n">
        <f aca="false">IF(F289&gt;=Upgrades!$E$7,"",Upgrades!$C$7*POWER(Upgrades!$D$7,F289))</f>
        <v>80.9111547141581</v>
      </c>
      <c r="AI289" s="21" t="n">
        <f aca="false">IF(G289&gt;=Upgrades!$E$8,"",Upgrades!$C$8*POWER(Upgrades!$D$8,G289))</f>
        <v>231.9097088</v>
      </c>
      <c r="AJ289" s="21" t="str">
        <f aca="false">IF(H289&gt;=Upgrades!$E$9,"",Upgrades!$C$9*POWER(Upgrades!$D$9,H289))</f>
        <v/>
      </c>
      <c r="AK289" s="21" t="str">
        <f aca="false">IF(I289&gt;=Upgrades!$E$10,"",Upgrades!$C$10*POWER(Upgrades!$D$10,I289))</f>
        <v/>
      </c>
      <c r="AL289" s="21" t="str">
        <f aca="false">IF(J289&gt;=Upgrades!$E$11,"",Upgrades!$C$11*POWER(Upgrades!$D$11,J289))</f>
        <v/>
      </c>
      <c r="AM289" s="21" t="str">
        <f aca="false">IF(K289&gt;=Upgrades!$E$12,"",Upgrades!$C$12*POWER(Upgrades!$D$12,K289))</f>
        <v/>
      </c>
      <c r="AN289" s="26" t="str">
        <f aca="false">IF(AND(D289&gt;=Parameters!$B$18,(H289&gt;=Upgrades!$E$9)*(K289&gt;=Upgrades!$E$12)=1,L289=0),1,"")</f>
        <v/>
      </c>
      <c r="AO289" s="26" t="str">
        <f aca="false">IF(AND(D289&gt;=Parameters!$B$18,L289=0),1,"")</f>
        <v/>
      </c>
      <c r="AP289" s="21" t="n">
        <f aca="false">MIN(IF(ISNUMBER(AK289),AK289,9000000000000000),IF(ISNUMBER(AL289),AL289,9000000000000000),IF(ISNUMBER(AM289),AM289,9000000000000000))</f>
        <v>9000000000000000</v>
      </c>
      <c r="AQ289" s="21" t="n">
        <f aca="false">MIN(IF(ISNUMBER(AG289),AG289,9000000000000000),IF(ISNUMBER(AH289),AH289,9000000000000000),IF(ISNUMBER(AI289),AI289,9000000000000000),IF(ISNUMBER(AJ289),AJ289,9000000000000000))</f>
        <v>37.4517507383159</v>
      </c>
      <c r="AR289" s="32" t="b">
        <f aca="false">IF(AW289&gt;Parameters!$B$21*(MAX(IF(AND(NOT(AND(AO289=1,AN289&lt;&gt;1)),ISNUMBER(AG289),AG289&lt;=T289),AS289,0),IF(AND(NOT(AND(AO289=1,AN289&lt;&gt;1)),ISNUMBER(AH289),AH289&lt;=T289),AT289,0),IF(AND(NOT(AND(AO289=1,AN289&lt;&gt;1)),ISNUMBER(AI289),AI289&lt;=T289),AU289,0),IF(AND(ISNUMBER(AJ289),AJ289&lt;=T289),AV289,0))),TRUE(),FALSE())</f>
        <v>1</v>
      </c>
      <c r="AS289" s="33" t="n">
        <f aca="false">IFERROR(Upgrades!$H$6*(POWER(Upgrades!$P$6,E289)*POWER(Upgrades!$P$7,F289)*POWER(Upgrades!$P$8,G289)*POWER(Upgrades!$P$9,H289)*POWER(Upgrades!$P$10,I289)*POWER(Upgrades!$P$11,J289)*POWER(Upgrades!$P$12,K289))*(IF(Upgrades!$T$7="Solar Wind",POWER(Upgrades!$U$7,F289),1)*IF(Upgrades!$T$8="Solar Wind",POWER(Upgrades!$U$8,G289),1)*IF(Upgrades!$T$9="Solar Wind",POWER(Upgrades!$U$9,H289),1)*IF(Upgrades!$T$10="Solar Wind",POWER(Upgrades!$U$10,I289),1)*IF(Upgrades!$T$11="Solar Wind",POWER(Upgrades!$U$11,J289),1)*IF(Upgrades!$T$12="Solar Wind",POWER(Upgrades!$U$12,K289),1))/AG289,0)</f>
        <v>0.0026701021455238</v>
      </c>
      <c r="AT289" s="33" t="n">
        <f aca="false">IFERROR(Upgrades!$H$7*(POWER(Upgrades!$P$6,E289)*POWER(Upgrades!$P$7,F289)*POWER(Upgrades!$P$8,G289)*POWER(Upgrades!$P$9,H289)*POWER(Upgrades!$P$10,I289)*POWER(Upgrades!$P$11,J289)*POWER(Upgrades!$P$12,K289))*(IF(Upgrades!$T$6="Asteroid Belt",POWER(Upgrades!$U$6,E289),1)*IF(Upgrades!$T$8="Asteroid Belt",POWER(Upgrades!$U$8,G289),1)*IF(Upgrades!$T$9="Asteroid Belt",POWER(Upgrades!$U$9,H289),1)*IF(Upgrades!$T$10="Asteroid Belt",POWER(Upgrades!$U$10,I289),1)*IF(Upgrades!$T$11="Asteroid Belt",POWER(Upgrades!$U$11,J289),1)*IF(Upgrades!$T$12="Asteroid Belt",POWER(Upgrades!$U$12,K289),1))/AH289,0)</f>
        <v>0.00308980882652332</v>
      </c>
      <c r="AU289" s="33" t="n">
        <f aca="false">IFERROR(Upgrades!$K$8*(POWER(Upgrades!$Q$6,E289)*POWER(Upgrades!$Q$7,F289)*POWER(Upgrades!$Q$8,G289)*POWER(Upgrades!$Q$9,H289)*POWER(Upgrades!$Q$10,I289)*POWER(Upgrades!$Q$11,J289)*POWER(Upgrades!$Q$12,K289))*(IF(Upgrades!$T$6="Stellar Coupling",POWER(Upgrades!$U$6,E289),1)*IF(Upgrades!$T$7="Stellar Coupling",POWER(Upgrades!$U$7,F289),1)*IF(Upgrades!$T$9="Stellar Coupling",POWER(Upgrades!$U$9,H289),1)*IF(Upgrades!$T$10="Stellar Coupling",POWER(Upgrades!$U$10,I289),1)*IF(Upgrades!$T$11="Stellar Coupling",POWER(Upgrades!$U$11,J289),1)*IF(Upgrades!$T$12="Stellar Coupling",POWER(Upgrades!$U$12,K289),1))*Parameters!$B$10*Parameters!$B$11/60/AI289,0)</f>
        <v>0.00452762415783776</v>
      </c>
      <c r="AV289" s="33" t="n">
        <f aca="false">IFERROR(Upgrades!$H$9*(POWER(Upgrades!$P$6,E289)*POWER(Upgrades!$P$7,F289)*POWER(Upgrades!$P$8,G289)*POWER(Upgrades!$P$9,H289)*POWER(Upgrades!$P$10,I289)*POWER(Upgrades!$P$11,J289)*POWER(Upgrades!$P$12,K289))*(IF(Upgrades!$T$6="Magnetosphere",POWER(Upgrades!$U$6,E289),1)*IF(Upgrades!$T$7="Magnetosphere",POWER(Upgrades!$U$7,F289),1)*IF(Upgrades!$T$8="Magnetosphere",POWER(Upgrades!$U$8,G289),1)*IF(Upgrades!$T$10="Magnetosphere",POWER(Upgrades!$U$10,I289),1)*IF(Upgrades!$T$11="Magnetosphere",POWER(Upgrades!$U$11,J289),1)*IF(Upgrades!$T$12="Magnetosphere",POWER(Upgrades!$U$12,K289),1))/AJ289,0)</f>
        <v>0</v>
      </c>
      <c r="AW289" s="33" t="n">
        <f aca="false">MAX(IF(I289&gt;0,0,IFERROR(0.25*N289/Upgrades!$C$10,0)),IF(J289&gt;0,0,IFERROR(0.5*((IF(G289=0,0,(Upgrades!$J$8+G289*Upgrades!$K$8)*POWER(Upgrades!$L$8,G289)))*(IF(Upgrades!$T$6="Stellar Coupling",POWER(Upgrades!$U$6,E289),1)*IF(Upgrades!$T$7="Stellar Coupling",POWER(Upgrades!$U$7,F289),1)*IF(Upgrades!$T$9="Stellar Coupling",POWER(Upgrades!$U$9,H289),1)*IF(Upgrades!$T$10="Stellar Coupling",POWER(Upgrades!$U$10,I289),1)*IF(Upgrades!$T$11="Stellar Coupling",POWER(Upgrades!$U$11,J289),1)*IF(Upgrades!$T$12="Stellar Coupling",POWER(Upgrades!$U$12,K289),1))*(POWER(Upgrades!$Q$6,E289)*POWER(Upgrades!$Q$7,F289)*POWER(Upgrades!$Q$8,G289)*POWER(Upgrades!$Q$9,H289)*POWER(Upgrades!$Q$10,I289)*POWER(Upgrades!$Q$11,J289)*POWER(Upgrades!$Q$12,K289))*Parameters!$B$10*Parameters!$B$11/60)/Upgrades!$C$11,0)),IF(K289&gt;0,0,IFERROR((1*(POWER(Upgrades!$P$6,E289)*POWER(Upgrades!$P$7,F289)*POWER(Upgrades!$P$8,G289)*POWER(Upgrades!$P$9,H289)*POWER(Upgrades!$P$10,I289)*POWER(Upgrades!$P$11,J289)*POWER(Upgrades!$P$12,K289))+0.2*M289*Parameters!$B$10*Parameters!$B$11/60)/Upgrades!$C$12,0)),IF(AND(ISNUMBER(AG289),AG289&gt;T289),AS289,0),IF(AND(ISNUMBER(AH289),AH289&gt;T289),AT289,0),IF(AND(ISNUMBER(AI289),AI289&gt;T289),AU289,0),IF(AND(ISNUMBER(AJ289),AJ289&gt;T289),AV289,0))</f>
        <v>0.00452762415783776</v>
      </c>
      <c r="AX289" s="29" t="str">
        <f aca="false">IF(AN289=1,"transition",IF(MIN(IF(AND(I289=0,ISNUMBER(AK289),AK289&lt;=T289),AK289,9000000000000000),IF(AND(J289=0,ISNUMBER(AL289),AL289&lt;=T289),AL289,9000000000000000),IF(AND(K289=0,ISNUMBER(AM289),AM289&lt;=T289),AM289,9000000000000000))&lt;9000000000000000,IF(AND(AND(I289=0,ISNUMBER(AK289),AK289&lt;=T289),AK289=MIN(IF(AND(I289=0,ISNUMBER(AK289),AK289&lt;=T289),AK289,9000000000000000),IF(AND(J289=0,ISNUMBER(AL289),AL289&lt;=T289),AL289,9000000000000000),IF(AND(K289=0,ISNUMBER(AM289),AM289&lt;=T289),AM289,9000000000000000))),"OR",IF(AND(AND(J289=0,ISNUMBER(AL289),AL289&lt;=T289),AL289=MIN(IF(AND(I289=0,ISNUMBER(AK289),AK289&lt;=T289),AK289,9000000000000000),IF(AND(J289=0,ISNUMBER(AL289),AL289&lt;=T289),AL289,9000000000000000),IF(AND(K289=0,ISNUMBER(AM289),AM289&lt;=T289),AM289,9000000000000000))),"HP","FP")),IF(AR289=TRUE(),"",IF(MAX(IF(AND(NOT(AND(AO289=1,AN289&lt;&gt;1)),ISNUMBER(AG289),AG289&lt;=T289),AS289,0),IF(AND(NOT(AND(AO289=1,AN289&lt;&gt;1)),ISNUMBER(AH289),AH289&lt;=T289),AT289,0),IF(AND(NOT(AND(AO289=1,AN289&lt;&gt;1)),ISNUMBER(AI289),AI289&lt;=T289),AU289,0),IF(AND(ISNUMBER(AJ289),AJ289&lt;=T289),AV289,0))&lt;=0,"",IF(AND(IF(AND(NOT(AND(AO289=1,AN289&lt;&gt;1)),ISNUMBER(AG289),AG289&lt;=T289),AS289,0)&gt;0,IF(AND(NOT(AND(AO289=1,AN289&lt;&gt;1)),ISNUMBER(AG289),AG289&lt;=T289),AS289,0)=MAX(IF(AND(NOT(AND(AO289=1,AN289&lt;&gt;1)),ISNUMBER(AG289),AG289&lt;=T289),AS289,0),IF(AND(NOT(AND(AO289=1,AN289&lt;&gt;1)),ISNUMBER(AH289),AH289&lt;=T289),AT289,0),IF(AND(NOT(AND(AO289=1,AN289&lt;&gt;1)),ISNUMBER(AI289),AI289&lt;=T289),AU289,0),IF(AND(ISNUMBER(AJ289),AJ289&lt;=T289),AV289,0))),"SW",IF(AND(IF(AND(NOT(AND(AO289=1,AN289&lt;&gt;1)),ISNUMBER(AH289),AH289&lt;=T289),AT289,0)&gt;0,IF(AND(NOT(AND(AO289=1,AN289&lt;&gt;1)),ISNUMBER(AH289),AH289&lt;=T289),AT289,0)=MAX(IF(AND(NOT(AND(AO289=1,AN289&lt;&gt;1)),ISNUMBER(AG289),AG289&lt;=T289),AS289,0),IF(AND(NOT(AND(AO289=1,AN289&lt;&gt;1)),ISNUMBER(AH289),AH289&lt;=T289),AT289,0),IF(AND(NOT(AND(AO289=1,AN289&lt;&gt;1)),ISNUMBER(AI289),AI289&lt;=T289),AU289,0),IF(AND(ISNUMBER(AJ289),AJ289&lt;=T289),AV289,0))),"AB",IF(AND(IF(AND(NOT(AND(AO289=1,AN289&lt;&gt;1)),ISNUMBER(AI289),AI289&lt;=T289),AU289,0)&gt;0,IF(AND(NOT(AND(AO289=1,AN289&lt;&gt;1)),ISNUMBER(AI289),AI289&lt;=T289),AU289,0)=MAX(IF(AND(NOT(AND(AO289=1,AN289&lt;&gt;1)),ISNUMBER(AG289),AG289&lt;=T289),AS289,0),IF(AND(NOT(AND(AO289=1,AN289&lt;&gt;1)),ISNUMBER(AH289),AH289&lt;=T289),AT289,0),IF(AND(NOT(AND(AO289=1,AN289&lt;&gt;1)),ISNUMBER(AI289),AI289&lt;=T289),AU289,0),IF(AND(ISNUMBER(AJ289),AJ289&lt;=T289),AV289,0))),"SC","Mag")))))))</f>
        <v/>
      </c>
    </row>
    <row r="290" customFormat="false" ht="15" hidden="false" customHeight="false" outlineLevel="0" collapsed="false">
      <c r="A290" s="26" t="n">
        <v>285</v>
      </c>
      <c r="B290" s="27" t="n">
        <f aca="false">A290*10/60</f>
        <v>47.5</v>
      </c>
      <c r="C290" s="21" t="n">
        <f aca="false">X289</f>
        <v>18.6730249835055</v>
      </c>
      <c r="D290" s="27" t="n">
        <f aca="false">D289+W289</f>
        <v>0</v>
      </c>
      <c r="E290" s="26" t="n">
        <f aca="false">E289+IF(U289="SW",1,0)</f>
        <v>12</v>
      </c>
      <c r="F290" s="26" t="n">
        <f aca="false">F289+IF(U289="AB",1,0)</f>
        <v>10</v>
      </c>
      <c r="G290" s="26" t="n">
        <f aca="false">G289+IF(U289="SC",1,0)</f>
        <v>7</v>
      </c>
      <c r="H290" s="26" t="n">
        <f aca="false">H289+IF(U289="Mag",1,0)</f>
        <v>5</v>
      </c>
      <c r="I290" s="26" t="n">
        <f aca="false">MAX(I289,IF(U289="OR",1,0))</f>
        <v>1</v>
      </c>
      <c r="J290" s="26" t="n">
        <f aca="false">MAX(J289,IF(U289="HP",1,0))</f>
        <v>1</v>
      </c>
      <c r="K290" s="26" t="n">
        <f aca="false">MAX(K289,IF(U289="FP",1,0))</f>
        <v>1</v>
      </c>
      <c r="L290" s="26" t="n">
        <f aca="false">MAX(L289,IF(U289="transition",1,0))</f>
        <v>1</v>
      </c>
      <c r="M290" s="28" t="n">
        <f aca="false">(Parameters!$B$9+(IF(E290=0,0,(Upgrades!$J$6+E290*Upgrades!$K$6)*POWER(Upgrades!$L$6,E290)))*(IF(Upgrades!$T$7="Solar Wind",POWER(Upgrades!$U$7,F290),1)*IF(Upgrades!$T$8="Solar Wind",POWER(Upgrades!$U$8,G290),1)*IF(Upgrades!$T$9="Solar Wind",POWER(Upgrades!$U$9,H290),1)*IF(Upgrades!$T$10="Solar Wind",POWER(Upgrades!$U$10,I290),1)*IF(Upgrades!$T$11="Solar Wind",POWER(Upgrades!$U$11,J290),1)*IF(Upgrades!$T$12="Solar Wind",POWER(Upgrades!$U$12,K290),1))+(IF(F290=0,0,(Upgrades!$J$7+F290*Upgrades!$K$7)*POWER(Upgrades!$L$7,F290)))*(IF(Upgrades!$T$6="Asteroid Belt",POWER(Upgrades!$U$6,E290),1)*IF(Upgrades!$T$8="Asteroid Belt",POWER(Upgrades!$U$8,G290),1)*IF(Upgrades!$T$9="Asteroid Belt",POWER(Upgrades!$U$9,H290),1)*IF(Upgrades!$T$10="Asteroid Belt",POWER(Upgrades!$U$10,I290),1)*IF(Upgrades!$T$11="Asteroid Belt",POWER(Upgrades!$U$11,J290),1)*IF(Upgrades!$T$12="Asteroid Belt",POWER(Upgrades!$U$12,K290),1))+(IF(G290=0,0,(Upgrades!$J$8+G290*Upgrades!$K$8)*POWER(Upgrades!$L$8,G290)))*(IF(Upgrades!$T$6="Stellar Coupling",POWER(Upgrades!$U$6,E290),1)*IF(Upgrades!$T$7="Stellar Coupling",POWER(Upgrades!$U$7,F290),1)*IF(Upgrades!$T$9="Stellar Coupling",POWER(Upgrades!$U$9,H290),1)*IF(Upgrades!$T$10="Stellar Coupling",POWER(Upgrades!$U$10,I290),1)*IF(Upgrades!$T$11="Stellar Coupling",POWER(Upgrades!$U$11,J290),1)*IF(Upgrades!$T$12="Stellar Coupling",POWER(Upgrades!$U$12,K290),1))+(IF(H290=0,0,(Upgrades!$J$9+H290*Upgrades!$K$9)*POWER(Upgrades!$L$9,H290)))*(IF(Upgrades!$T$6="Magnetosphere",POWER(Upgrades!$U$6,E290),1)*IF(Upgrades!$T$7="Magnetosphere",POWER(Upgrades!$U$7,F290),1)*IF(Upgrades!$T$8="Magnetosphere",POWER(Upgrades!$U$8,G290),1)*IF(Upgrades!$T$10="Magnetosphere",POWER(Upgrades!$U$10,I290),1)*IF(Upgrades!$T$11="Magnetosphere",POWER(Upgrades!$U$11,J290),1)*IF(Upgrades!$T$12="Magnetosphere",POWER(Upgrades!$U$12,K290),1))+(IF(I290=0,0,(Upgrades!$J$10+I290*Upgrades!$K$10)*POWER(Upgrades!$L$10,I290)))*(IF(Upgrades!$T$6="Orbital Resonance",POWER(Upgrades!$U$6,E290),1)*IF(Upgrades!$T$7="Orbital Resonance",POWER(Upgrades!$U$7,F290),1)*IF(Upgrades!$T$8="Orbital Resonance",POWER(Upgrades!$U$8,G290),1)*IF(Upgrades!$T$9="Orbital Resonance",POWER(Upgrades!$U$9,H290),1)*IF(Upgrades!$T$11="Orbital Resonance",POWER(Upgrades!$U$11,J290),1)*IF(Upgrades!$T$12="Orbital Resonance",POWER(Upgrades!$U$12,K290),1))+(IF(J290=0,0,(Upgrades!$J$11+J290*Upgrades!$K$11)*POWER(Upgrades!$L$11,J290)))*(IF(Upgrades!$T$6="Heliopause",POWER(Upgrades!$U$6,E290),1)*IF(Upgrades!$T$7="Heliopause",POWER(Upgrades!$U$7,F290),1)*IF(Upgrades!$T$8="Heliopause",POWER(Upgrades!$U$8,G290),1)*IF(Upgrades!$T$9="Heliopause",POWER(Upgrades!$U$9,H290),1)*IF(Upgrades!$T$10="Heliopause",POWER(Upgrades!$U$10,I290),1)*IF(Upgrades!$T$12="Heliopause",POWER(Upgrades!$U$12,K290),1))+(IF(K290=0,0,(Upgrades!$J$12+K290*Upgrades!$K$12)*POWER(Upgrades!$L$12,K290)))*(IF(Upgrades!$T$6="First Photons",POWER(Upgrades!$U$6,E290),1)*IF(Upgrades!$T$7="First Photons",POWER(Upgrades!$U$7,F290),1)*IF(Upgrades!$T$8="First Photons",POWER(Upgrades!$U$8,G290),1)*IF(Upgrades!$T$9="First Photons",POWER(Upgrades!$U$9,H290),1)*IF(Upgrades!$T$10="First Photons",POWER(Upgrades!$U$10,I290),1)*IF(Upgrades!$T$11="First Photons",POWER(Upgrades!$U$11,J290),1)))*POWER(Upgrades!$Q$6,E290)*POWER(Upgrades!$Q$7,F290)*POWER(Upgrades!$Q$8,G290)*POWER(Upgrades!$Q$9,H290)*POWER(Upgrades!$Q$10,I290)*POWER(Upgrades!$Q$11,J290)*POWER(Upgrades!$Q$12,K290)</f>
        <v>5.61</v>
      </c>
      <c r="N290" s="28" t="n">
        <f aca="false">((IF(E290=0,0,(Upgrades!$G$6+E290*Upgrades!$H$6)*POWER(Upgrades!$I$6,E290)))*(IF(Upgrades!$T$7="Solar Wind",POWER(Upgrades!$U$7,F290),1)*IF(Upgrades!$T$8="Solar Wind",POWER(Upgrades!$U$8,G290),1)*IF(Upgrades!$T$9="Solar Wind",POWER(Upgrades!$U$9,H290),1)*IF(Upgrades!$T$10="Solar Wind",POWER(Upgrades!$U$10,I290),1)*IF(Upgrades!$T$11="Solar Wind",POWER(Upgrades!$U$11,J290),1)*IF(Upgrades!$T$12="Solar Wind",POWER(Upgrades!$U$12,K290),1))+(IF(F290=0,0,(Upgrades!$G$7+F290*Upgrades!$H$7)*POWER(Upgrades!$I$7,F290)))*(IF(Upgrades!$T$6="Asteroid Belt",POWER(Upgrades!$U$6,E290),1)*IF(Upgrades!$T$8="Asteroid Belt",POWER(Upgrades!$U$8,G290),1)*IF(Upgrades!$T$9="Asteroid Belt",POWER(Upgrades!$U$9,H290),1)*IF(Upgrades!$T$10="Asteroid Belt",POWER(Upgrades!$U$10,I290),1)*IF(Upgrades!$T$11="Asteroid Belt",POWER(Upgrades!$U$11,J290),1)*IF(Upgrades!$T$12="Asteroid Belt",POWER(Upgrades!$U$12,K290),1))+(IF(G290=0,0,(Upgrades!$G$8+G290*Upgrades!$H$8)*POWER(Upgrades!$I$8,G290)))*(IF(Upgrades!$T$6="Stellar Coupling",POWER(Upgrades!$U$6,E290),1)*IF(Upgrades!$T$7="Stellar Coupling",POWER(Upgrades!$U$7,F290),1)*IF(Upgrades!$T$9="Stellar Coupling",POWER(Upgrades!$U$9,H290),1)*IF(Upgrades!$T$10="Stellar Coupling",POWER(Upgrades!$U$10,I290),1)*IF(Upgrades!$T$11="Stellar Coupling",POWER(Upgrades!$U$11,J290),1)*IF(Upgrades!$T$12="Stellar Coupling",POWER(Upgrades!$U$12,K290),1))+(IF(H290=0,0,(Upgrades!$G$9+H290*Upgrades!$H$9)*POWER(Upgrades!$I$9,H290)))*(IF(Upgrades!$T$6="Magnetosphere",POWER(Upgrades!$U$6,E290),1)*IF(Upgrades!$T$7="Magnetosphere",POWER(Upgrades!$U$7,F290),1)*IF(Upgrades!$T$8="Magnetosphere",POWER(Upgrades!$U$8,G290),1)*IF(Upgrades!$T$10="Magnetosphere",POWER(Upgrades!$U$10,I290),1)*IF(Upgrades!$T$11="Magnetosphere",POWER(Upgrades!$U$11,J290),1)*IF(Upgrades!$T$12="Magnetosphere",POWER(Upgrades!$U$12,K290),1))+(IF(I290=0,0,(Upgrades!$G$10+I290*Upgrades!$H$10)*POWER(Upgrades!$I$10,I290)))*(IF(Upgrades!$T$6="Orbital Resonance",POWER(Upgrades!$U$6,E290),1)*IF(Upgrades!$T$7="Orbital Resonance",POWER(Upgrades!$U$7,F290),1)*IF(Upgrades!$T$8="Orbital Resonance",POWER(Upgrades!$U$8,G290),1)*IF(Upgrades!$T$9="Orbital Resonance",POWER(Upgrades!$U$9,H290),1)*IF(Upgrades!$T$11="Orbital Resonance",POWER(Upgrades!$U$11,J290),1)*IF(Upgrades!$T$12="Orbital Resonance",POWER(Upgrades!$U$12,K290),1))+(IF(J290=0,0,(Upgrades!$G$11+J290*Upgrades!$H$11)*POWER(Upgrades!$I$11,J290)))*(IF(Upgrades!$T$6="Heliopause",POWER(Upgrades!$U$6,E290),1)*IF(Upgrades!$T$7="Heliopause",POWER(Upgrades!$U$7,F290),1)*IF(Upgrades!$T$8="Heliopause",POWER(Upgrades!$U$8,G290),1)*IF(Upgrades!$T$9="Heliopause",POWER(Upgrades!$U$9,H290),1)*IF(Upgrades!$T$10="Heliopause",POWER(Upgrades!$U$10,I290),1)*IF(Upgrades!$T$12="Heliopause",POWER(Upgrades!$U$12,K290),1))+(IF(K290=0,0,(Upgrades!$G$12+K290*Upgrades!$H$12)*POWER(Upgrades!$I$12,K290)))*(IF(Upgrades!$T$6="First Photons",POWER(Upgrades!$U$6,E290),1)*IF(Upgrades!$T$7="First Photons",POWER(Upgrades!$U$7,F290),1)*IF(Upgrades!$T$8="First Photons",POWER(Upgrades!$U$8,G290),1)*IF(Upgrades!$T$9="First Photons",POWER(Upgrades!$U$9,H290),1)*IF(Upgrades!$T$10="First Photons",POWER(Upgrades!$U$10,I290),1)*IF(Upgrades!$T$11="First Photons",POWER(Upgrades!$U$11,J290),1)))*POWER(Upgrades!$P$6,E290)*POWER(Upgrades!$P$7,F290)*POWER(Upgrades!$P$8,G290)*POWER(Upgrades!$P$9,H290)*POWER(Upgrades!$P$10,I290)*POWER(Upgrades!$P$11,J290)*POWER(Upgrades!$P$12,K290)</f>
        <v>11.2</v>
      </c>
      <c r="O290" s="28" t="n">
        <f aca="false">((IF(E290=0,0,(Upgrades!$M$6+E290*Upgrades!$N$6)*POWER(Upgrades!$O$6,E290)))*(IF(Upgrades!$T$7="Solar Wind",POWER(Upgrades!$U$7,F290),1)*IF(Upgrades!$T$8="Solar Wind",POWER(Upgrades!$U$8,G290),1)*IF(Upgrades!$T$9="Solar Wind",POWER(Upgrades!$U$9,H290),1)*IF(Upgrades!$T$10="Solar Wind",POWER(Upgrades!$U$10,I290),1)*IF(Upgrades!$T$11="Solar Wind",POWER(Upgrades!$U$11,J290),1)*IF(Upgrades!$T$12="Solar Wind",POWER(Upgrades!$U$12,K290),1))+(IF(F290=0,0,(Upgrades!$M$7+F290*Upgrades!$N$7)*POWER(Upgrades!$O$7,F290)))*(IF(Upgrades!$T$6="Asteroid Belt",POWER(Upgrades!$U$6,E290),1)*IF(Upgrades!$T$8="Asteroid Belt",POWER(Upgrades!$U$8,G290),1)*IF(Upgrades!$T$9="Asteroid Belt",POWER(Upgrades!$U$9,H290),1)*IF(Upgrades!$T$10="Asteroid Belt",POWER(Upgrades!$U$10,I290),1)*IF(Upgrades!$T$11="Asteroid Belt",POWER(Upgrades!$U$11,J290),1)*IF(Upgrades!$T$12="Asteroid Belt",POWER(Upgrades!$U$12,K290),1))+(IF(G290=0,0,(Upgrades!$M$8+G290*Upgrades!$N$8)*POWER(Upgrades!$O$8,G290)))*(IF(Upgrades!$T$6="Stellar Coupling",POWER(Upgrades!$U$6,E290),1)*IF(Upgrades!$T$7="Stellar Coupling",POWER(Upgrades!$U$7,F290),1)*IF(Upgrades!$T$9="Stellar Coupling",POWER(Upgrades!$U$9,H290),1)*IF(Upgrades!$T$10="Stellar Coupling",POWER(Upgrades!$U$10,I290),1)*IF(Upgrades!$T$11="Stellar Coupling",POWER(Upgrades!$U$11,J290),1)*IF(Upgrades!$T$12="Stellar Coupling",POWER(Upgrades!$U$12,K290),1))+(IF(H290=0,0,(Upgrades!$M$9+H290*Upgrades!$N$9)*POWER(Upgrades!$O$9,H290)))*(IF(Upgrades!$T$6="Magnetosphere",POWER(Upgrades!$U$6,E290),1)*IF(Upgrades!$T$7="Magnetosphere",POWER(Upgrades!$U$7,F290),1)*IF(Upgrades!$T$8="Magnetosphere",POWER(Upgrades!$U$8,G290),1)*IF(Upgrades!$T$10="Magnetosphere",POWER(Upgrades!$U$10,I290),1)*IF(Upgrades!$T$11="Magnetosphere",POWER(Upgrades!$U$11,J290),1)*IF(Upgrades!$T$12="Magnetosphere",POWER(Upgrades!$U$12,K290),1))+(IF(I290=0,0,(Upgrades!$M$10+I290*Upgrades!$N$10)*POWER(Upgrades!$O$10,I290)))*(IF(Upgrades!$T$6="Orbital Resonance",POWER(Upgrades!$U$6,E290),1)*IF(Upgrades!$T$7="Orbital Resonance",POWER(Upgrades!$U$7,F290),1)*IF(Upgrades!$T$8="Orbital Resonance",POWER(Upgrades!$U$8,G290),1)*IF(Upgrades!$T$9="Orbital Resonance",POWER(Upgrades!$U$9,H290),1)*IF(Upgrades!$T$11="Orbital Resonance",POWER(Upgrades!$U$11,J290),1)*IF(Upgrades!$T$12="Orbital Resonance",POWER(Upgrades!$U$12,K290),1))+(IF(J290=0,0,(Upgrades!$M$11+J290*Upgrades!$N$11)*POWER(Upgrades!$O$11,J290)))*(IF(Upgrades!$T$6="Heliopause",POWER(Upgrades!$U$6,E290),1)*IF(Upgrades!$T$7="Heliopause",POWER(Upgrades!$U$7,F290),1)*IF(Upgrades!$T$8="Heliopause",POWER(Upgrades!$U$8,G290),1)*IF(Upgrades!$T$9="Heliopause",POWER(Upgrades!$U$9,H290),1)*IF(Upgrades!$T$10="Heliopause",POWER(Upgrades!$U$10,I290),1)*IF(Upgrades!$T$12="Heliopause",POWER(Upgrades!$U$12,K290),1))+(IF(K290=0,0,(Upgrades!$M$12+K290*Upgrades!$N$12)*POWER(Upgrades!$O$12,K290)))*(IF(Upgrades!$T$6="First Photons",POWER(Upgrades!$U$6,E290),1)*IF(Upgrades!$T$7="First Photons",POWER(Upgrades!$U$7,F290),1)*IF(Upgrades!$T$8="First Photons",POWER(Upgrades!$U$8,G290),1)*IF(Upgrades!$T$9="First Photons",POWER(Upgrades!$U$9,H290),1)*IF(Upgrades!$T$10="First Photons",POWER(Upgrades!$U$10,I290),1)*IF(Upgrades!$T$11="First Photons",POWER(Upgrades!$U$11,J290),1)))*POWER(Upgrades!$R$6,E290)*POWER(Upgrades!$R$7,F290)*POWER(Upgrades!$R$8,G290)*POWER(Upgrades!$R$9,H290)*POWER(Upgrades!$R$10,I290)*POWER(Upgrades!$R$11,J290)*POWER(Upgrades!$R$12,K290)</f>
        <v>0</v>
      </c>
      <c r="P290" s="27" t="n">
        <f aca="false">IF(L290=1,0,M290*Parameters!$B$10/60*Parameters!$B$11*10)</f>
        <v>0</v>
      </c>
      <c r="Q290" s="27" t="n">
        <f aca="false">IF(L290=1,0,O290*M290*10)</f>
        <v>0</v>
      </c>
      <c r="R290" s="27" t="n">
        <f aca="false">IF(L290=1,0,N290*10)</f>
        <v>0</v>
      </c>
      <c r="S290" s="27" t="n">
        <f aca="false">P290+Q290+R290</f>
        <v>0</v>
      </c>
      <c r="T290" s="21" t="n">
        <f aca="false">C290+S290</f>
        <v>18.6730249835055</v>
      </c>
      <c r="U290" s="34" t="str">
        <f aca="false">AX290</f>
        <v/>
      </c>
      <c r="V290" s="21" t="n">
        <f aca="false">IF(U290="",0,IF(U290="transition",0,IF(U290="SW",AG290,IF(U290="AB",AH290,IF(U290="SC",AI290,IF(U290="Mag",AJ290,IF(U290="OR",AK290,IF(U290="HP",AL290,IF(U290="FP",AM290,0)))))))))</f>
        <v>0</v>
      </c>
      <c r="W290" s="27" t="n">
        <f aca="false">IF(U290="OR",Upgrades!$F$10,IF(U290="HP",Upgrades!$F$11,IF(U290="transition",-Parameters!$B$18,0)))</f>
        <v>0</v>
      </c>
      <c r="X290" s="21" t="n">
        <f aca="false">T290-V290</f>
        <v>18.6730249835055</v>
      </c>
      <c r="Y290" s="30" t="n">
        <f aca="false">M290*Parameters!$B$10/60*Parameters!$B$11+O290*M290+N290</f>
        <v>20.55</v>
      </c>
      <c r="Z290" s="35" t="str">
        <f aca="false">IF(U290="transition","→ Tier 2 (Stellar Neighborhood)",IF(U290="FP","First Photons — light begins, system quickens",IF(U290="HP","Heliopause acquired",IF(U290="OR","Orbital Resonance — passive multiplier active",IF(AND(AO290=1,L290=0,AN290&lt;&gt;1),"Cohesion ready (waiting on completionist upgrades)","")))))</f>
        <v/>
      </c>
      <c r="AA290" s="27" t="n">
        <f aca="false">(IF(E290=0,0,(Upgrades!$G$6+E290*Upgrades!$H$6)*POWER(Upgrades!$I$6,E290)))*(IF(Upgrades!$T$7="Solar Wind",POWER(Upgrades!$U$7,F290),1)*IF(Upgrades!$T$8="Solar Wind",POWER(Upgrades!$U$8,G290),1)*IF(Upgrades!$T$9="Solar Wind",POWER(Upgrades!$U$9,H290),1)*IF(Upgrades!$T$10="Solar Wind",POWER(Upgrades!$U$10,I290),1)*IF(Upgrades!$T$11="Solar Wind",POWER(Upgrades!$U$11,J290),1)*IF(Upgrades!$T$12="Solar Wind",POWER(Upgrades!$U$12,K290),1))*POWER(Upgrades!$P$6,E290)*POWER(Upgrades!$P$7,F290)*POWER(Upgrades!$P$8,G290)*POWER(Upgrades!$P$9,H290)*POWER(Upgrades!$P$10,I290)*POWER(Upgrades!$P$11,J290)*POWER(Upgrades!$P$12,K290)*60</f>
        <v>72</v>
      </c>
      <c r="AB290" s="27" t="n">
        <f aca="false">(IF(F290=0,0,(Upgrades!$G$7+F290*Upgrades!$H$7)*POWER(Upgrades!$I$7,F290)))*(IF(Upgrades!$T$6="Asteroid Belt",POWER(Upgrades!$U$6,E290),1)*IF(Upgrades!$T$8="Asteroid Belt",POWER(Upgrades!$U$8,G290),1)*IF(Upgrades!$T$9="Asteroid Belt",POWER(Upgrades!$U$9,H290),1)*IF(Upgrades!$T$10="Asteroid Belt",POWER(Upgrades!$U$10,I290),1)*IF(Upgrades!$T$11="Asteroid Belt",POWER(Upgrades!$U$11,J290),1)*IF(Upgrades!$T$12="Asteroid Belt",POWER(Upgrades!$U$12,K290),1))*POWER(Upgrades!$P$6,E290)*POWER(Upgrades!$P$7,F290)*POWER(Upgrades!$P$8,G290)*POWER(Upgrades!$P$9,H290)*POWER(Upgrades!$P$10,I290)*POWER(Upgrades!$P$11,J290)*POWER(Upgrades!$P$12,K290)*60</f>
        <v>150</v>
      </c>
      <c r="AC290" s="27" t="n">
        <f aca="false">(IF(G290=0,0,(Upgrades!$J$8+G290*Upgrades!$K$8)*POWER(Upgrades!$L$8,G290)))*(IF(Upgrades!$T$6="Stellar Coupling",POWER(Upgrades!$U$6,E290),1)*IF(Upgrades!$T$7="Stellar Coupling",POWER(Upgrades!$U$7,F290),1)*IF(Upgrades!$T$9="Stellar Coupling",POWER(Upgrades!$U$9,H290),1)*IF(Upgrades!$T$10="Stellar Coupling",POWER(Upgrades!$U$10,I290),1)*IF(Upgrades!$T$11="Stellar Coupling",POWER(Upgrades!$U$11,J290),1)*IF(Upgrades!$T$12="Stellar Coupling",POWER(Upgrades!$U$12,K290),1))*POWER(Upgrades!$Q$6,E290)*POWER(Upgrades!$Q$7,F290)*POWER(Upgrades!$Q$8,G290)*POWER(Upgrades!$Q$9,H290)*POWER(Upgrades!$Q$10,I290)*POWER(Upgrades!$Q$11,J290)*POWER(Upgrades!$Q$12,K290)*Parameters!$B$10*Parameters!$B$11</f>
        <v>441</v>
      </c>
      <c r="AD290" s="27" t="n">
        <f aca="false">(IF(H290=0,0,(Upgrades!$G$9+H290*Upgrades!$H$9)*POWER(Upgrades!$I$9,H290)))*(IF(Upgrades!$T$6="Magnetosphere",POWER(Upgrades!$U$6,E290),1)*IF(Upgrades!$T$7="Magnetosphere",POWER(Upgrades!$U$7,F290),1)*IF(Upgrades!$T$8="Magnetosphere",POWER(Upgrades!$U$8,G290),1)*IF(Upgrades!$T$10="Magnetosphere",POWER(Upgrades!$U$10,I290),1)*IF(Upgrades!$T$11="Magnetosphere",POWER(Upgrades!$U$11,J290),1)*IF(Upgrades!$T$12="Magnetosphere",POWER(Upgrades!$U$12,K290),1))*POWER(Upgrades!$P$6,E290)*POWER(Upgrades!$P$7,F290)*POWER(Upgrades!$P$8,G290)*POWER(Upgrades!$P$9,H290)*POWER(Upgrades!$P$10,I290)*POWER(Upgrades!$P$11,J290)*POWER(Upgrades!$P$12,K290)*60</f>
        <v>375</v>
      </c>
      <c r="AE290" s="27" t="n">
        <f aca="false">(IF(K290=0,0,(Upgrades!$G$12+K290*Upgrades!$H$12)*POWER(Upgrades!$I$12,K290)))*(IF(Upgrades!$T$6="First Photons",POWER(Upgrades!$U$6,E290),1)*IF(Upgrades!$T$7="First Photons",POWER(Upgrades!$U$7,F290),1)*IF(Upgrades!$T$8="First Photons",POWER(Upgrades!$U$8,G290),1)*IF(Upgrades!$T$9="First Photons",POWER(Upgrades!$U$9,H290),1)*IF(Upgrades!$T$10="First Photons",POWER(Upgrades!$U$10,I290),1)*IF(Upgrades!$T$11="First Photons",POWER(Upgrades!$U$11,J290),1))*POWER(Upgrades!$P$6,E290)*POWER(Upgrades!$P$7,F290)*POWER(Upgrades!$P$8,G290)*POWER(Upgrades!$P$9,H290)*POWER(Upgrades!$P$10,I290)*POWER(Upgrades!$P$11,J290)*POWER(Upgrades!$P$12,K290)*60</f>
        <v>75</v>
      </c>
      <c r="AF290" s="27" t="n">
        <f aca="false">Parameters!$B$9*POWER(Upgrades!$Q$6,E290)*POWER(Upgrades!$Q$7,F290)*POWER(Upgrades!$Q$8,G290)*POWER(Upgrades!$Q$9,H290)*POWER(Upgrades!$Q$10,I290)*POWER(Upgrades!$Q$11,J290)*POWER(Upgrades!$Q$12,K290)*(Parameters!$B$10*Parameters!$B$11+O290*60)</f>
        <v>120</v>
      </c>
      <c r="AG290" s="21" t="n">
        <f aca="false">IF(E290&gt;=Upgrades!$E$6,"",Upgrades!$C$6*POWER(Upgrades!$D$6,E290))</f>
        <v>37.4517507383159</v>
      </c>
      <c r="AH290" s="21" t="n">
        <f aca="false">IF(F290&gt;=Upgrades!$E$7,"",Upgrades!$C$7*POWER(Upgrades!$D$7,F290))</f>
        <v>80.9111547141581</v>
      </c>
      <c r="AI290" s="21" t="n">
        <f aca="false">IF(G290&gt;=Upgrades!$E$8,"",Upgrades!$C$8*POWER(Upgrades!$D$8,G290))</f>
        <v>231.9097088</v>
      </c>
      <c r="AJ290" s="21" t="str">
        <f aca="false">IF(H290&gt;=Upgrades!$E$9,"",Upgrades!$C$9*POWER(Upgrades!$D$9,H290))</f>
        <v/>
      </c>
      <c r="AK290" s="21" t="str">
        <f aca="false">IF(I290&gt;=Upgrades!$E$10,"",Upgrades!$C$10*POWER(Upgrades!$D$10,I290))</f>
        <v/>
      </c>
      <c r="AL290" s="21" t="str">
        <f aca="false">IF(J290&gt;=Upgrades!$E$11,"",Upgrades!$C$11*POWER(Upgrades!$D$11,J290))</f>
        <v/>
      </c>
      <c r="AM290" s="21" t="str">
        <f aca="false">IF(K290&gt;=Upgrades!$E$12,"",Upgrades!$C$12*POWER(Upgrades!$D$12,K290))</f>
        <v/>
      </c>
      <c r="AN290" s="26" t="str">
        <f aca="false">IF(AND(D290&gt;=Parameters!$B$18,(H290&gt;=Upgrades!$E$9)*(K290&gt;=Upgrades!$E$12)=1,L290=0),1,"")</f>
        <v/>
      </c>
      <c r="AO290" s="26" t="str">
        <f aca="false">IF(AND(D290&gt;=Parameters!$B$18,L290=0),1,"")</f>
        <v/>
      </c>
      <c r="AP290" s="21" t="n">
        <f aca="false">MIN(IF(ISNUMBER(AK290),AK290,9000000000000000),IF(ISNUMBER(AL290),AL290,9000000000000000),IF(ISNUMBER(AM290),AM290,9000000000000000))</f>
        <v>9000000000000000</v>
      </c>
      <c r="AQ290" s="21" t="n">
        <f aca="false">MIN(IF(ISNUMBER(AG290),AG290,9000000000000000),IF(ISNUMBER(AH290),AH290,9000000000000000),IF(ISNUMBER(AI290),AI290,9000000000000000),IF(ISNUMBER(AJ290),AJ290,9000000000000000))</f>
        <v>37.4517507383159</v>
      </c>
      <c r="AR290" s="32" t="b">
        <f aca="false">IF(AW290&gt;Parameters!$B$21*(MAX(IF(AND(NOT(AND(AO290=1,AN290&lt;&gt;1)),ISNUMBER(AG290),AG290&lt;=T290),AS290,0),IF(AND(NOT(AND(AO290=1,AN290&lt;&gt;1)),ISNUMBER(AH290),AH290&lt;=T290),AT290,0),IF(AND(NOT(AND(AO290=1,AN290&lt;&gt;1)),ISNUMBER(AI290),AI290&lt;=T290),AU290,0),IF(AND(ISNUMBER(AJ290),AJ290&lt;=T290),AV290,0))),TRUE(),FALSE())</f>
        <v>1</v>
      </c>
      <c r="AS290" s="33" t="n">
        <f aca="false">IFERROR(Upgrades!$H$6*(POWER(Upgrades!$P$6,E290)*POWER(Upgrades!$P$7,F290)*POWER(Upgrades!$P$8,G290)*POWER(Upgrades!$P$9,H290)*POWER(Upgrades!$P$10,I290)*POWER(Upgrades!$P$11,J290)*POWER(Upgrades!$P$12,K290))*(IF(Upgrades!$T$7="Solar Wind",POWER(Upgrades!$U$7,F290),1)*IF(Upgrades!$T$8="Solar Wind",POWER(Upgrades!$U$8,G290),1)*IF(Upgrades!$T$9="Solar Wind",POWER(Upgrades!$U$9,H290),1)*IF(Upgrades!$T$10="Solar Wind",POWER(Upgrades!$U$10,I290),1)*IF(Upgrades!$T$11="Solar Wind",POWER(Upgrades!$U$11,J290),1)*IF(Upgrades!$T$12="Solar Wind",POWER(Upgrades!$U$12,K290),1))/AG290,0)</f>
        <v>0.0026701021455238</v>
      </c>
      <c r="AT290" s="33" t="n">
        <f aca="false">IFERROR(Upgrades!$H$7*(POWER(Upgrades!$P$6,E290)*POWER(Upgrades!$P$7,F290)*POWER(Upgrades!$P$8,G290)*POWER(Upgrades!$P$9,H290)*POWER(Upgrades!$P$10,I290)*POWER(Upgrades!$P$11,J290)*POWER(Upgrades!$P$12,K290))*(IF(Upgrades!$T$6="Asteroid Belt",POWER(Upgrades!$U$6,E290),1)*IF(Upgrades!$T$8="Asteroid Belt",POWER(Upgrades!$U$8,G290),1)*IF(Upgrades!$T$9="Asteroid Belt",POWER(Upgrades!$U$9,H290),1)*IF(Upgrades!$T$10="Asteroid Belt",POWER(Upgrades!$U$10,I290),1)*IF(Upgrades!$T$11="Asteroid Belt",POWER(Upgrades!$U$11,J290),1)*IF(Upgrades!$T$12="Asteroid Belt",POWER(Upgrades!$U$12,K290),1))/AH290,0)</f>
        <v>0.00308980882652332</v>
      </c>
      <c r="AU290" s="33" t="n">
        <f aca="false">IFERROR(Upgrades!$K$8*(POWER(Upgrades!$Q$6,E290)*POWER(Upgrades!$Q$7,F290)*POWER(Upgrades!$Q$8,G290)*POWER(Upgrades!$Q$9,H290)*POWER(Upgrades!$Q$10,I290)*POWER(Upgrades!$Q$11,J290)*POWER(Upgrades!$Q$12,K290))*(IF(Upgrades!$T$6="Stellar Coupling",POWER(Upgrades!$U$6,E290),1)*IF(Upgrades!$T$7="Stellar Coupling",POWER(Upgrades!$U$7,F290),1)*IF(Upgrades!$T$9="Stellar Coupling",POWER(Upgrades!$U$9,H290),1)*IF(Upgrades!$T$10="Stellar Coupling",POWER(Upgrades!$U$10,I290),1)*IF(Upgrades!$T$11="Stellar Coupling",POWER(Upgrades!$U$11,J290),1)*IF(Upgrades!$T$12="Stellar Coupling",POWER(Upgrades!$U$12,K290),1))*Parameters!$B$10*Parameters!$B$11/60/AI290,0)</f>
        <v>0.00452762415783776</v>
      </c>
      <c r="AV290" s="33" t="n">
        <f aca="false">IFERROR(Upgrades!$H$9*(POWER(Upgrades!$P$6,E290)*POWER(Upgrades!$P$7,F290)*POWER(Upgrades!$P$8,G290)*POWER(Upgrades!$P$9,H290)*POWER(Upgrades!$P$10,I290)*POWER(Upgrades!$P$11,J290)*POWER(Upgrades!$P$12,K290))*(IF(Upgrades!$T$6="Magnetosphere",POWER(Upgrades!$U$6,E290),1)*IF(Upgrades!$T$7="Magnetosphere",POWER(Upgrades!$U$7,F290),1)*IF(Upgrades!$T$8="Magnetosphere",POWER(Upgrades!$U$8,G290),1)*IF(Upgrades!$T$10="Magnetosphere",POWER(Upgrades!$U$10,I290),1)*IF(Upgrades!$T$11="Magnetosphere",POWER(Upgrades!$U$11,J290),1)*IF(Upgrades!$T$12="Magnetosphere",POWER(Upgrades!$U$12,K290),1))/AJ290,0)</f>
        <v>0</v>
      </c>
      <c r="AW290" s="33" t="n">
        <f aca="false">MAX(IF(I290&gt;0,0,IFERROR(0.25*N290/Upgrades!$C$10,0)),IF(J290&gt;0,0,IFERROR(0.5*((IF(G290=0,0,(Upgrades!$J$8+G290*Upgrades!$K$8)*POWER(Upgrades!$L$8,G290)))*(IF(Upgrades!$T$6="Stellar Coupling",POWER(Upgrades!$U$6,E290),1)*IF(Upgrades!$T$7="Stellar Coupling",POWER(Upgrades!$U$7,F290),1)*IF(Upgrades!$T$9="Stellar Coupling",POWER(Upgrades!$U$9,H290),1)*IF(Upgrades!$T$10="Stellar Coupling",POWER(Upgrades!$U$10,I290),1)*IF(Upgrades!$T$11="Stellar Coupling",POWER(Upgrades!$U$11,J290),1)*IF(Upgrades!$T$12="Stellar Coupling",POWER(Upgrades!$U$12,K290),1))*(POWER(Upgrades!$Q$6,E290)*POWER(Upgrades!$Q$7,F290)*POWER(Upgrades!$Q$8,G290)*POWER(Upgrades!$Q$9,H290)*POWER(Upgrades!$Q$10,I290)*POWER(Upgrades!$Q$11,J290)*POWER(Upgrades!$Q$12,K290))*Parameters!$B$10*Parameters!$B$11/60)/Upgrades!$C$11,0)),IF(K290&gt;0,0,IFERROR((1*(POWER(Upgrades!$P$6,E290)*POWER(Upgrades!$P$7,F290)*POWER(Upgrades!$P$8,G290)*POWER(Upgrades!$P$9,H290)*POWER(Upgrades!$P$10,I290)*POWER(Upgrades!$P$11,J290)*POWER(Upgrades!$P$12,K290))+0.2*M290*Parameters!$B$10*Parameters!$B$11/60)/Upgrades!$C$12,0)),IF(AND(ISNUMBER(AG290),AG290&gt;T290),AS290,0),IF(AND(ISNUMBER(AH290),AH290&gt;T290),AT290,0),IF(AND(ISNUMBER(AI290),AI290&gt;T290),AU290,0),IF(AND(ISNUMBER(AJ290),AJ290&gt;T290),AV290,0))</f>
        <v>0.00452762415783776</v>
      </c>
      <c r="AX290" s="29" t="str">
        <f aca="false">IF(AN290=1,"transition",IF(MIN(IF(AND(I290=0,ISNUMBER(AK290),AK290&lt;=T290),AK290,9000000000000000),IF(AND(J290=0,ISNUMBER(AL290),AL290&lt;=T290),AL290,9000000000000000),IF(AND(K290=0,ISNUMBER(AM290),AM290&lt;=T290),AM290,9000000000000000))&lt;9000000000000000,IF(AND(AND(I290=0,ISNUMBER(AK290),AK290&lt;=T290),AK290=MIN(IF(AND(I290=0,ISNUMBER(AK290),AK290&lt;=T290),AK290,9000000000000000),IF(AND(J290=0,ISNUMBER(AL290),AL290&lt;=T290),AL290,9000000000000000),IF(AND(K290=0,ISNUMBER(AM290),AM290&lt;=T290),AM290,9000000000000000))),"OR",IF(AND(AND(J290=0,ISNUMBER(AL290),AL290&lt;=T290),AL290=MIN(IF(AND(I290=0,ISNUMBER(AK290),AK290&lt;=T290),AK290,9000000000000000),IF(AND(J290=0,ISNUMBER(AL290),AL290&lt;=T290),AL290,9000000000000000),IF(AND(K290=0,ISNUMBER(AM290),AM290&lt;=T290),AM290,9000000000000000))),"HP","FP")),IF(AR290=TRUE(),"",IF(MAX(IF(AND(NOT(AND(AO290=1,AN290&lt;&gt;1)),ISNUMBER(AG290),AG290&lt;=T290),AS290,0),IF(AND(NOT(AND(AO290=1,AN290&lt;&gt;1)),ISNUMBER(AH290),AH290&lt;=T290),AT290,0),IF(AND(NOT(AND(AO290=1,AN290&lt;&gt;1)),ISNUMBER(AI290),AI290&lt;=T290),AU290,0),IF(AND(ISNUMBER(AJ290),AJ290&lt;=T290),AV290,0))&lt;=0,"",IF(AND(IF(AND(NOT(AND(AO290=1,AN290&lt;&gt;1)),ISNUMBER(AG290),AG290&lt;=T290),AS290,0)&gt;0,IF(AND(NOT(AND(AO290=1,AN290&lt;&gt;1)),ISNUMBER(AG290),AG290&lt;=T290),AS290,0)=MAX(IF(AND(NOT(AND(AO290=1,AN290&lt;&gt;1)),ISNUMBER(AG290),AG290&lt;=T290),AS290,0),IF(AND(NOT(AND(AO290=1,AN290&lt;&gt;1)),ISNUMBER(AH290),AH290&lt;=T290),AT290,0),IF(AND(NOT(AND(AO290=1,AN290&lt;&gt;1)),ISNUMBER(AI290),AI290&lt;=T290),AU290,0),IF(AND(ISNUMBER(AJ290),AJ290&lt;=T290),AV290,0))),"SW",IF(AND(IF(AND(NOT(AND(AO290=1,AN290&lt;&gt;1)),ISNUMBER(AH290),AH290&lt;=T290),AT290,0)&gt;0,IF(AND(NOT(AND(AO290=1,AN290&lt;&gt;1)),ISNUMBER(AH290),AH290&lt;=T290),AT290,0)=MAX(IF(AND(NOT(AND(AO290=1,AN290&lt;&gt;1)),ISNUMBER(AG290),AG290&lt;=T290),AS290,0),IF(AND(NOT(AND(AO290=1,AN290&lt;&gt;1)),ISNUMBER(AH290),AH290&lt;=T290),AT290,0),IF(AND(NOT(AND(AO290=1,AN290&lt;&gt;1)),ISNUMBER(AI290),AI290&lt;=T290),AU290,0),IF(AND(ISNUMBER(AJ290),AJ290&lt;=T290),AV290,0))),"AB",IF(AND(IF(AND(NOT(AND(AO290=1,AN290&lt;&gt;1)),ISNUMBER(AI290),AI290&lt;=T290),AU290,0)&gt;0,IF(AND(NOT(AND(AO290=1,AN290&lt;&gt;1)),ISNUMBER(AI290),AI290&lt;=T290),AU290,0)=MAX(IF(AND(NOT(AND(AO290=1,AN290&lt;&gt;1)),ISNUMBER(AG290),AG290&lt;=T290),AS290,0),IF(AND(NOT(AND(AO290=1,AN290&lt;&gt;1)),ISNUMBER(AH290),AH290&lt;=T290),AT290,0),IF(AND(NOT(AND(AO290=1,AN290&lt;&gt;1)),ISNUMBER(AI290),AI290&lt;=T290),AU290,0),IF(AND(ISNUMBER(AJ290),AJ290&lt;=T290),AV290,0))),"SC","Mag")))))))</f>
        <v/>
      </c>
    </row>
    <row r="291" customFormat="false" ht="15" hidden="false" customHeight="false" outlineLevel="0" collapsed="false">
      <c r="A291" s="26" t="n">
        <v>286</v>
      </c>
      <c r="B291" s="27" t="n">
        <f aca="false">A291*10/60</f>
        <v>47.6666666666667</v>
      </c>
      <c r="C291" s="21" t="n">
        <f aca="false">X290</f>
        <v>18.6730249835055</v>
      </c>
      <c r="D291" s="27" t="n">
        <f aca="false">D290+W290</f>
        <v>0</v>
      </c>
      <c r="E291" s="26" t="n">
        <f aca="false">E290+IF(U290="SW",1,0)</f>
        <v>12</v>
      </c>
      <c r="F291" s="26" t="n">
        <f aca="false">F290+IF(U290="AB",1,0)</f>
        <v>10</v>
      </c>
      <c r="G291" s="26" t="n">
        <f aca="false">G290+IF(U290="SC",1,0)</f>
        <v>7</v>
      </c>
      <c r="H291" s="26" t="n">
        <f aca="false">H290+IF(U290="Mag",1,0)</f>
        <v>5</v>
      </c>
      <c r="I291" s="26" t="n">
        <f aca="false">MAX(I290,IF(U290="OR",1,0))</f>
        <v>1</v>
      </c>
      <c r="J291" s="26" t="n">
        <f aca="false">MAX(J290,IF(U290="HP",1,0))</f>
        <v>1</v>
      </c>
      <c r="K291" s="26" t="n">
        <f aca="false">MAX(K290,IF(U290="FP",1,0))</f>
        <v>1</v>
      </c>
      <c r="L291" s="26" t="n">
        <f aca="false">MAX(L290,IF(U290="transition",1,0))</f>
        <v>1</v>
      </c>
      <c r="M291" s="28" t="n">
        <f aca="false">(Parameters!$B$9+(IF(E291=0,0,(Upgrades!$J$6+E291*Upgrades!$K$6)*POWER(Upgrades!$L$6,E291)))*(IF(Upgrades!$T$7="Solar Wind",POWER(Upgrades!$U$7,F291),1)*IF(Upgrades!$T$8="Solar Wind",POWER(Upgrades!$U$8,G291),1)*IF(Upgrades!$T$9="Solar Wind",POWER(Upgrades!$U$9,H291),1)*IF(Upgrades!$T$10="Solar Wind",POWER(Upgrades!$U$10,I291),1)*IF(Upgrades!$T$11="Solar Wind",POWER(Upgrades!$U$11,J291),1)*IF(Upgrades!$T$12="Solar Wind",POWER(Upgrades!$U$12,K291),1))+(IF(F291=0,0,(Upgrades!$J$7+F291*Upgrades!$K$7)*POWER(Upgrades!$L$7,F291)))*(IF(Upgrades!$T$6="Asteroid Belt",POWER(Upgrades!$U$6,E291),1)*IF(Upgrades!$T$8="Asteroid Belt",POWER(Upgrades!$U$8,G291),1)*IF(Upgrades!$T$9="Asteroid Belt",POWER(Upgrades!$U$9,H291),1)*IF(Upgrades!$T$10="Asteroid Belt",POWER(Upgrades!$U$10,I291),1)*IF(Upgrades!$T$11="Asteroid Belt",POWER(Upgrades!$U$11,J291),1)*IF(Upgrades!$T$12="Asteroid Belt",POWER(Upgrades!$U$12,K291),1))+(IF(G291=0,0,(Upgrades!$J$8+G291*Upgrades!$K$8)*POWER(Upgrades!$L$8,G291)))*(IF(Upgrades!$T$6="Stellar Coupling",POWER(Upgrades!$U$6,E291),1)*IF(Upgrades!$T$7="Stellar Coupling",POWER(Upgrades!$U$7,F291),1)*IF(Upgrades!$T$9="Stellar Coupling",POWER(Upgrades!$U$9,H291),1)*IF(Upgrades!$T$10="Stellar Coupling",POWER(Upgrades!$U$10,I291),1)*IF(Upgrades!$T$11="Stellar Coupling",POWER(Upgrades!$U$11,J291),1)*IF(Upgrades!$T$12="Stellar Coupling",POWER(Upgrades!$U$12,K291),1))+(IF(H291=0,0,(Upgrades!$J$9+H291*Upgrades!$K$9)*POWER(Upgrades!$L$9,H291)))*(IF(Upgrades!$T$6="Magnetosphere",POWER(Upgrades!$U$6,E291),1)*IF(Upgrades!$T$7="Magnetosphere",POWER(Upgrades!$U$7,F291),1)*IF(Upgrades!$T$8="Magnetosphere",POWER(Upgrades!$U$8,G291),1)*IF(Upgrades!$T$10="Magnetosphere",POWER(Upgrades!$U$10,I291),1)*IF(Upgrades!$T$11="Magnetosphere",POWER(Upgrades!$U$11,J291),1)*IF(Upgrades!$T$12="Magnetosphere",POWER(Upgrades!$U$12,K291),1))+(IF(I291=0,0,(Upgrades!$J$10+I291*Upgrades!$K$10)*POWER(Upgrades!$L$10,I291)))*(IF(Upgrades!$T$6="Orbital Resonance",POWER(Upgrades!$U$6,E291),1)*IF(Upgrades!$T$7="Orbital Resonance",POWER(Upgrades!$U$7,F291),1)*IF(Upgrades!$T$8="Orbital Resonance",POWER(Upgrades!$U$8,G291),1)*IF(Upgrades!$T$9="Orbital Resonance",POWER(Upgrades!$U$9,H291),1)*IF(Upgrades!$T$11="Orbital Resonance",POWER(Upgrades!$U$11,J291),1)*IF(Upgrades!$T$12="Orbital Resonance",POWER(Upgrades!$U$12,K291),1))+(IF(J291=0,0,(Upgrades!$J$11+J291*Upgrades!$K$11)*POWER(Upgrades!$L$11,J291)))*(IF(Upgrades!$T$6="Heliopause",POWER(Upgrades!$U$6,E291),1)*IF(Upgrades!$T$7="Heliopause",POWER(Upgrades!$U$7,F291),1)*IF(Upgrades!$T$8="Heliopause",POWER(Upgrades!$U$8,G291),1)*IF(Upgrades!$T$9="Heliopause",POWER(Upgrades!$U$9,H291),1)*IF(Upgrades!$T$10="Heliopause",POWER(Upgrades!$U$10,I291),1)*IF(Upgrades!$T$12="Heliopause",POWER(Upgrades!$U$12,K291),1))+(IF(K291=0,0,(Upgrades!$J$12+K291*Upgrades!$K$12)*POWER(Upgrades!$L$12,K291)))*(IF(Upgrades!$T$6="First Photons",POWER(Upgrades!$U$6,E291),1)*IF(Upgrades!$T$7="First Photons",POWER(Upgrades!$U$7,F291),1)*IF(Upgrades!$T$8="First Photons",POWER(Upgrades!$U$8,G291),1)*IF(Upgrades!$T$9="First Photons",POWER(Upgrades!$U$9,H291),1)*IF(Upgrades!$T$10="First Photons",POWER(Upgrades!$U$10,I291),1)*IF(Upgrades!$T$11="First Photons",POWER(Upgrades!$U$11,J291),1)))*POWER(Upgrades!$Q$6,E291)*POWER(Upgrades!$Q$7,F291)*POWER(Upgrades!$Q$8,G291)*POWER(Upgrades!$Q$9,H291)*POWER(Upgrades!$Q$10,I291)*POWER(Upgrades!$Q$11,J291)*POWER(Upgrades!$Q$12,K291)</f>
        <v>5.61</v>
      </c>
      <c r="N291" s="28" t="n">
        <f aca="false">((IF(E291=0,0,(Upgrades!$G$6+E291*Upgrades!$H$6)*POWER(Upgrades!$I$6,E291)))*(IF(Upgrades!$T$7="Solar Wind",POWER(Upgrades!$U$7,F291),1)*IF(Upgrades!$T$8="Solar Wind",POWER(Upgrades!$U$8,G291),1)*IF(Upgrades!$T$9="Solar Wind",POWER(Upgrades!$U$9,H291),1)*IF(Upgrades!$T$10="Solar Wind",POWER(Upgrades!$U$10,I291),1)*IF(Upgrades!$T$11="Solar Wind",POWER(Upgrades!$U$11,J291),1)*IF(Upgrades!$T$12="Solar Wind",POWER(Upgrades!$U$12,K291),1))+(IF(F291=0,0,(Upgrades!$G$7+F291*Upgrades!$H$7)*POWER(Upgrades!$I$7,F291)))*(IF(Upgrades!$T$6="Asteroid Belt",POWER(Upgrades!$U$6,E291),1)*IF(Upgrades!$T$8="Asteroid Belt",POWER(Upgrades!$U$8,G291),1)*IF(Upgrades!$T$9="Asteroid Belt",POWER(Upgrades!$U$9,H291),1)*IF(Upgrades!$T$10="Asteroid Belt",POWER(Upgrades!$U$10,I291),1)*IF(Upgrades!$T$11="Asteroid Belt",POWER(Upgrades!$U$11,J291),1)*IF(Upgrades!$T$12="Asteroid Belt",POWER(Upgrades!$U$12,K291),1))+(IF(G291=0,0,(Upgrades!$G$8+G291*Upgrades!$H$8)*POWER(Upgrades!$I$8,G291)))*(IF(Upgrades!$T$6="Stellar Coupling",POWER(Upgrades!$U$6,E291),1)*IF(Upgrades!$T$7="Stellar Coupling",POWER(Upgrades!$U$7,F291),1)*IF(Upgrades!$T$9="Stellar Coupling",POWER(Upgrades!$U$9,H291),1)*IF(Upgrades!$T$10="Stellar Coupling",POWER(Upgrades!$U$10,I291),1)*IF(Upgrades!$T$11="Stellar Coupling",POWER(Upgrades!$U$11,J291),1)*IF(Upgrades!$T$12="Stellar Coupling",POWER(Upgrades!$U$12,K291),1))+(IF(H291=0,0,(Upgrades!$G$9+H291*Upgrades!$H$9)*POWER(Upgrades!$I$9,H291)))*(IF(Upgrades!$T$6="Magnetosphere",POWER(Upgrades!$U$6,E291),1)*IF(Upgrades!$T$7="Magnetosphere",POWER(Upgrades!$U$7,F291),1)*IF(Upgrades!$T$8="Magnetosphere",POWER(Upgrades!$U$8,G291),1)*IF(Upgrades!$T$10="Magnetosphere",POWER(Upgrades!$U$10,I291),1)*IF(Upgrades!$T$11="Magnetosphere",POWER(Upgrades!$U$11,J291),1)*IF(Upgrades!$T$12="Magnetosphere",POWER(Upgrades!$U$12,K291),1))+(IF(I291=0,0,(Upgrades!$G$10+I291*Upgrades!$H$10)*POWER(Upgrades!$I$10,I291)))*(IF(Upgrades!$T$6="Orbital Resonance",POWER(Upgrades!$U$6,E291),1)*IF(Upgrades!$T$7="Orbital Resonance",POWER(Upgrades!$U$7,F291),1)*IF(Upgrades!$T$8="Orbital Resonance",POWER(Upgrades!$U$8,G291),1)*IF(Upgrades!$T$9="Orbital Resonance",POWER(Upgrades!$U$9,H291),1)*IF(Upgrades!$T$11="Orbital Resonance",POWER(Upgrades!$U$11,J291),1)*IF(Upgrades!$T$12="Orbital Resonance",POWER(Upgrades!$U$12,K291),1))+(IF(J291=0,0,(Upgrades!$G$11+J291*Upgrades!$H$11)*POWER(Upgrades!$I$11,J291)))*(IF(Upgrades!$T$6="Heliopause",POWER(Upgrades!$U$6,E291),1)*IF(Upgrades!$T$7="Heliopause",POWER(Upgrades!$U$7,F291),1)*IF(Upgrades!$T$8="Heliopause",POWER(Upgrades!$U$8,G291),1)*IF(Upgrades!$T$9="Heliopause",POWER(Upgrades!$U$9,H291),1)*IF(Upgrades!$T$10="Heliopause",POWER(Upgrades!$U$10,I291),1)*IF(Upgrades!$T$12="Heliopause",POWER(Upgrades!$U$12,K291),1))+(IF(K291=0,0,(Upgrades!$G$12+K291*Upgrades!$H$12)*POWER(Upgrades!$I$12,K291)))*(IF(Upgrades!$T$6="First Photons",POWER(Upgrades!$U$6,E291),1)*IF(Upgrades!$T$7="First Photons",POWER(Upgrades!$U$7,F291),1)*IF(Upgrades!$T$8="First Photons",POWER(Upgrades!$U$8,G291),1)*IF(Upgrades!$T$9="First Photons",POWER(Upgrades!$U$9,H291),1)*IF(Upgrades!$T$10="First Photons",POWER(Upgrades!$U$10,I291),1)*IF(Upgrades!$T$11="First Photons",POWER(Upgrades!$U$11,J291),1)))*POWER(Upgrades!$P$6,E291)*POWER(Upgrades!$P$7,F291)*POWER(Upgrades!$P$8,G291)*POWER(Upgrades!$P$9,H291)*POWER(Upgrades!$P$10,I291)*POWER(Upgrades!$P$11,J291)*POWER(Upgrades!$P$12,K291)</f>
        <v>11.2</v>
      </c>
      <c r="O291" s="28" t="n">
        <f aca="false">((IF(E291=0,0,(Upgrades!$M$6+E291*Upgrades!$N$6)*POWER(Upgrades!$O$6,E291)))*(IF(Upgrades!$T$7="Solar Wind",POWER(Upgrades!$U$7,F291),1)*IF(Upgrades!$T$8="Solar Wind",POWER(Upgrades!$U$8,G291),1)*IF(Upgrades!$T$9="Solar Wind",POWER(Upgrades!$U$9,H291),1)*IF(Upgrades!$T$10="Solar Wind",POWER(Upgrades!$U$10,I291),1)*IF(Upgrades!$T$11="Solar Wind",POWER(Upgrades!$U$11,J291),1)*IF(Upgrades!$T$12="Solar Wind",POWER(Upgrades!$U$12,K291),1))+(IF(F291=0,0,(Upgrades!$M$7+F291*Upgrades!$N$7)*POWER(Upgrades!$O$7,F291)))*(IF(Upgrades!$T$6="Asteroid Belt",POWER(Upgrades!$U$6,E291),1)*IF(Upgrades!$T$8="Asteroid Belt",POWER(Upgrades!$U$8,G291),1)*IF(Upgrades!$T$9="Asteroid Belt",POWER(Upgrades!$U$9,H291),1)*IF(Upgrades!$T$10="Asteroid Belt",POWER(Upgrades!$U$10,I291),1)*IF(Upgrades!$T$11="Asteroid Belt",POWER(Upgrades!$U$11,J291),1)*IF(Upgrades!$T$12="Asteroid Belt",POWER(Upgrades!$U$12,K291),1))+(IF(G291=0,0,(Upgrades!$M$8+G291*Upgrades!$N$8)*POWER(Upgrades!$O$8,G291)))*(IF(Upgrades!$T$6="Stellar Coupling",POWER(Upgrades!$U$6,E291),1)*IF(Upgrades!$T$7="Stellar Coupling",POWER(Upgrades!$U$7,F291),1)*IF(Upgrades!$T$9="Stellar Coupling",POWER(Upgrades!$U$9,H291),1)*IF(Upgrades!$T$10="Stellar Coupling",POWER(Upgrades!$U$10,I291),1)*IF(Upgrades!$T$11="Stellar Coupling",POWER(Upgrades!$U$11,J291),1)*IF(Upgrades!$T$12="Stellar Coupling",POWER(Upgrades!$U$12,K291),1))+(IF(H291=0,0,(Upgrades!$M$9+H291*Upgrades!$N$9)*POWER(Upgrades!$O$9,H291)))*(IF(Upgrades!$T$6="Magnetosphere",POWER(Upgrades!$U$6,E291),1)*IF(Upgrades!$T$7="Magnetosphere",POWER(Upgrades!$U$7,F291),1)*IF(Upgrades!$T$8="Magnetosphere",POWER(Upgrades!$U$8,G291),1)*IF(Upgrades!$T$10="Magnetosphere",POWER(Upgrades!$U$10,I291),1)*IF(Upgrades!$T$11="Magnetosphere",POWER(Upgrades!$U$11,J291),1)*IF(Upgrades!$T$12="Magnetosphere",POWER(Upgrades!$U$12,K291),1))+(IF(I291=0,0,(Upgrades!$M$10+I291*Upgrades!$N$10)*POWER(Upgrades!$O$10,I291)))*(IF(Upgrades!$T$6="Orbital Resonance",POWER(Upgrades!$U$6,E291),1)*IF(Upgrades!$T$7="Orbital Resonance",POWER(Upgrades!$U$7,F291),1)*IF(Upgrades!$T$8="Orbital Resonance",POWER(Upgrades!$U$8,G291),1)*IF(Upgrades!$T$9="Orbital Resonance",POWER(Upgrades!$U$9,H291),1)*IF(Upgrades!$T$11="Orbital Resonance",POWER(Upgrades!$U$11,J291),1)*IF(Upgrades!$T$12="Orbital Resonance",POWER(Upgrades!$U$12,K291),1))+(IF(J291=0,0,(Upgrades!$M$11+J291*Upgrades!$N$11)*POWER(Upgrades!$O$11,J291)))*(IF(Upgrades!$T$6="Heliopause",POWER(Upgrades!$U$6,E291),1)*IF(Upgrades!$T$7="Heliopause",POWER(Upgrades!$U$7,F291),1)*IF(Upgrades!$T$8="Heliopause",POWER(Upgrades!$U$8,G291),1)*IF(Upgrades!$T$9="Heliopause",POWER(Upgrades!$U$9,H291),1)*IF(Upgrades!$T$10="Heliopause",POWER(Upgrades!$U$10,I291),1)*IF(Upgrades!$T$12="Heliopause",POWER(Upgrades!$U$12,K291),1))+(IF(K291=0,0,(Upgrades!$M$12+K291*Upgrades!$N$12)*POWER(Upgrades!$O$12,K291)))*(IF(Upgrades!$T$6="First Photons",POWER(Upgrades!$U$6,E291),1)*IF(Upgrades!$T$7="First Photons",POWER(Upgrades!$U$7,F291),1)*IF(Upgrades!$T$8="First Photons",POWER(Upgrades!$U$8,G291),1)*IF(Upgrades!$T$9="First Photons",POWER(Upgrades!$U$9,H291),1)*IF(Upgrades!$T$10="First Photons",POWER(Upgrades!$U$10,I291),1)*IF(Upgrades!$T$11="First Photons",POWER(Upgrades!$U$11,J291),1)))*POWER(Upgrades!$R$6,E291)*POWER(Upgrades!$R$7,F291)*POWER(Upgrades!$R$8,G291)*POWER(Upgrades!$R$9,H291)*POWER(Upgrades!$R$10,I291)*POWER(Upgrades!$R$11,J291)*POWER(Upgrades!$R$12,K291)</f>
        <v>0</v>
      </c>
      <c r="P291" s="27" t="n">
        <f aca="false">IF(L291=1,0,M291*Parameters!$B$10/60*Parameters!$B$11*10)</f>
        <v>0</v>
      </c>
      <c r="Q291" s="27" t="n">
        <f aca="false">IF(L291=1,0,O291*M291*10)</f>
        <v>0</v>
      </c>
      <c r="R291" s="27" t="n">
        <f aca="false">IF(L291=1,0,N291*10)</f>
        <v>0</v>
      </c>
      <c r="S291" s="27" t="n">
        <f aca="false">P291+Q291+R291</f>
        <v>0</v>
      </c>
      <c r="T291" s="21" t="n">
        <f aca="false">C291+S291</f>
        <v>18.6730249835055</v>
      </c>
      <c r="U291" s="34" t="str">
        <f aca="false">AX291</f>
        <v/>
      </c>
      <c r="V291" s="21" t="n">
        <f aca="false">IF(U291="",0,IF(U291="transition",0,IF(U291="SW",AG291,IF(U291="AB",AH291,IF(U291="SC",AI291,IF(U291="Mag",AJ291,IF(U291="OR",AK291,IF(U291="HP",AL291,IF(U291="FP",AM291,0)))))))))</f>
        <v>0</v>
      </c>
      <c r="W291" s="27" t="n">
        <f aca="false">IF(U291="OR",Upgrades!$F$10,IF(U291="HP",Upgrades!$F$11,IF(U291="transition",-Parameters!$B$18,0)))</f>
        <v>0</v>
      </c>
      <c r="X291" s="21" t="n">
        <f aca="false">T291-V291</f>
        <v>18.6730249835055</v>
      </c>
      <c r="Y291" s="30" t="n">
        <f aca="false">M291*Parameters!$B$10/60*Parameters!$B$11+O291*M291+N291</f>
        <v>20.55</v>
      </c>
      <c r="Z291" s="35" t="str">
        <f aca="false">IF(U291="transition","→ Tier 2 (Stellar Neighborhood)",IF(U291="FP","First Photons — light begins, system quickens",IF(U291="HP","Heliopause acquired",IF(U291="OR","Orbital Resonance — passive multiplier active",IF(AND(AO291=1,L291=0,AN291&lt;&gt;1),"Cohesion ready (waiting on completionist upgrades)","")))))</f>
        <v/>
      </c>
      <c r="AA291" s="27" t="n">
        <f aca="false">(IF(E291=0,0,(Upgrades!$G$6+E291*Upgrades!$H$6)*POWER(Upgrades!$I$6,E291)))*(IF(Upgrades!$T$7="Solar Wind",POWER(Upgrades!$U$7,F291),1)*IF(Upgrades!$T$8="Solar Wind",POWER(Upgrades!$U$8,G291),1)*IF(Upgrades!$T$9="Solar Wind",POWER(Upgrades!$U$9,H291),1)*IF(Upgrades!$T$10="Solar Wind",POWER(Upgrades!$U$10,I291),1)*IF(Upgrades!$T$11="Solar Wind",POWER(Upgrades!$U$11,J291),1)*IF(Upgrades!$T$12="Solar Wind",POWER(Upgrades!$U$12,K291),1))*POWER(Upgrades!$P$6,E291)*POWER(Upgrades!$P$7,F291)*POWER(Upgrades!$P$8,G291)*POWER(Upgrades!$P$9,H291)*POWER(Upgrades!$P$10,I291)*POWER(Upgrades!$P$11,J291)*POWER(Upgrades!$P$12,K291)*60</f>
        <v>72</v>
      </c>
      <c r="AB291" s="27" t="n">
        <f aca="false">(IF(F291=0,0,(Upgrades!$G$7+F291*Upgrades!$H$7)*POWER(Upgrades!$I$7,F291)))*(IF(Upgrades!$T$6="Asteroid Belt",POWER(Upgrades!$U$6,E291),1)*IF(Upgrades!$T$8="Asteroid Belt",POWER(Upgrades!$U$8,G291),1)*IF(Upgrades!$T$9="Asteroid Belt",POWER(Upgrades!$U$9,H291),1)*IF(Upgrades!$T$10="Asteroid Belt",POWER(Upgrades!$U$10,I291),1)*IF(Upgrades!$T$11="Asteroid Belt",POWER(Upgrades!$U$11,J291),1)*IF(Upgrades!$T$12="Asteroid Belt",POWER(Upgrades!$U$12,K291),1))*POWER(Upgrades!$P$6,E291)*POWER(Upgrades!$P$7,F291)*POWER(Upgrades!$P$8,G291)*POWER(Upgrades!$P$9,H291)*POWER(Upgrades!$P$10,I291)*POWER(Upgrades!$P$11,J291)*POWER(Upgrades!$P$12,K291)*60</f>
        <v>150</v>
      </c>
      <c r="AC291" s="27" t="n">
        <f aca="false">(IF(G291=0,0,(Upgrades!$J$8+G291*Upgrades!$K$8)*POWER(Upgrades!$L$8,G291)))*(IF(Upgrades!$T$6="Stellar Coupling",POWER(Upgrades!$U$6,E291),1)*IF(Upgrades!$T$7="Stellar Coupling",POWER(Upgrades!$U$7,F291),1)*IF(Upgrades!$T$9="Stellar Coupling",POWER(Upgrades!$U$9,H291),1)*IF(Upgrades!$T$10="Stellar Coupling",POWER(Upgrades!$U$10,I291),1)*IF(Upgrades!$T$11="Stellar Coupling",POWER(Upgrades!$U$11,J291),1)*IF(Upgrades!$T$12="Stellar Coupling",POWER(Upgrades!$U$12,K291),1))*POWER(Upgrades!$Q$6,E291)*POWER(Upgrades!$Q$7,F291)*POWER(Upgrades!$Q$8,G291)*POWER(Upgrades!$Q$9,H291)*POWER(Upgrades!$Q$10,I291)*POWER(Upgrades!$Q$11,J291)*POWER(Upgrades!$Q$12,K291)*Parameters!$B$10*Parameters!$B$11</f>
        <v>441</v>
      </c>
      <c r="AD291" s="27" t="n">
        <f aca="false">(IF(H291=0,0,(Upgrades!$G$9+H291*Upgrades!$H$9)*POWER(Upgrades!$I$9,H291)))*(IF(Upgrades!$T$6="Magnetosphere",POWER(Upgrades!$U$6,E291),1)*IF(Upgrades!$T$7="Magnetosphere",POWER(Upgrades!$U$7,F291),1)*IF(Upgrades!$T$8="Magnetosphere",POWER(Upgrades!$U$8,G291),1)*IF(Upgrades!$T$10="Magnetosphere",POWER(Upgrades!$U$10,I291),1)*IF(Upgrades!$T$11="Magnetosphere",POWER(Upgrades!$U$11,J291),1)*IF(Upgrades!$T$12="Magnetosphere",POWER(Upgrades!$U$12,K291),1))*POWER(Upgrades!$P$6,E291)*POWER(Upgrades!$P$7,F291)*POWER(Upgrades!$P$8,G291)*POWER(Upgrades!$P$9,H291)*POWER(Upgrades!$P$10,I291)*POWER(Upgrades!$P$11,J291)*POWER(Upgrades!$P$12,K291)*60</f>
        <v>375</v>
      </c>
      <c r="AE291" s="27" t="n">
        <f aca="false">(IF(K291=0,0,(Upgrades!$G$12+K291*Upgrades!$H$12)*POWER(Upgrades!$I$12,K291)))*(IF(Upgrades!$T$6="First Photons",POWER(Upgrades!$U$6,E291),1)*IF(Upgrades!$T$7="First Photons",POWER(Upgrades!$U$7,F291),1)*IF(Upgrades!$T$8="First Photons",POWER(Upgrades!$U$8,G291),1)*IF(Upgrades!$T$9="First Photons",POWER(Upgrades!$U$9,H291),1)*IF(Upgrades!$T$10="First Photons",POWER(Upgrades!$U$10,I291),1)*IF(Upgrades!$T$11="First Photons",POWER(Upgrades!$U$11,J291),1))*POWER(Upgrades!$P$6,E291)*POWER(Upgrades!$P$7,F291)*POWER(Upgrades!$P$8,G291)*POWER(Upgrades!$P$9,H291)*POWER(Upgrades!$P$10,I291)*POWER(Upgrades!$P$11,J291)*POWER(Upgrades!$P$12,K291)*60</f>
        <v>75</v>
      </c>
      <c r="AF291" s="27" t="n">
        <f aca="false">Parameters!$B$9*POWER(Upgrades!$Q$6,E291)*POWER(Upgrades!$Q$7,F291)*POWER(Upgrades!$Q$8,G291)*POWER(Upgrades!$Q$9,H291)*POWER(Upgrades!$Q$10,I291)*POWER(Upgrades!$Q$11,J291)*POWER(Upgrades!$Q$12,K291)*(Parameters!$B$10*Parameters!$B$11+O291*60)</f>
        <v>120</v>
      </c>
      <c r="AG291" s="21" t="n">
        <f aca="false">IF(E291&gt;=Upgrades!$E$6,"",Upgrades!$C$6*POWER(Upgrades!$D$6,E291))</f>
        <v>37.4517507383159</v>
      </c>
      <c r="AH291" s="21" t="n">
        <f aca="false">IF(F291&gt;=Upgrades!$E$7,"",Upgrades!$C$7*POWER(Upgrades!$D$7,F291))</f>
        <v>80.9111547141581</v>
      </c>
      <c r="AI291" s="21" t="n">
        <f aca="false">IF(G291&gt;=Upgrades!$E$8,"",Upgrades!$C$8*POWER(Upgrades!$D$8,G291))</f>
        <v>231.9097088</v>
      </c>
      <c r="AJ291" s="21" t="str">
        <f aca="false">IF(H291&gt;=Upgrades!$E$9,"",Upgrades!$C$9*POWER(Upgrades!$D$9,H291))</f>
        <v/>
      </c>
      <c r="AK291" s="21" t="str">
        <f aca="false">IF(I291&gt;=Upgrades!$E$10,"",Upgrades!$C$10*POWER(Upgrades!$D$10,I291))</f>
        <v/>
      </c>
      <c r="AL291" s="21" t="str">
        <f aca="false">IF(J291&gt;=Upgrades!$E$11,"",Upgrades!$C$11*POWER(Upgrades!$D$11,J291))</f>
        <v/>
      </c>
      <c r="AM291" s="21" t="str">
        <f aca="false">IF(K291&gt;=Upgrades!$E$12,"",Upgrades!$C$12*POWER(Upgrades!$D$12,K291))</f>
        <v/>
      </c>
      <c r="AN291" s="26" t="str">
        <f aca="false">IF(AND(D291&gt;=Parameters!$B$18,(H291&gt;=Upgrades!$E$9)*(K291&gt;=Upgrades!$E$12)=1,L291=0),1,"")</f>
        <v/>
      </c>
      <c r="AO291" s="26" t="str">
        <f aca="false">IF(AND(D291&gt;=Parameters!$B$18,L291=0),1,"")</f>
        <v/>
      </c>
      <c r="AP291" s="21" t="n">
        <f aca="false">MIN(IF(ISNUMBER(AK291),AK291,9000000000000000),IF(ISNUMBER(AL291),AL291,9000000000000000),IF(ISNUMBER(AM291),AM291,9000000000000000))</f>
        <v>9000000000000000</v>
      </c>
      <c r="AQ291" s="21" t="n">
        <f aca="false">MIN(IF(ISNUMBER(AG291),AG291,9000000000000000),IF(ISNUMBER(AH291),AH291,9000000000000000),IF(ISNUMBER(AI291),AI291,9000000000000000),IF(ISNUMBER(AJ291),AJ291,9000000000000000))</f>
        <v>37.4517507383159</v>
      </c>
      <c r="AR291" s="32" t="b">
        <f aca="false">IF(AW291&gt;Parameters!$B$21*(MAX(IF(AND(NOT(AND(AO291=1,AN291&lt;&gt;1)),ISNUMBER(AG291),AG291&lt;=T291),AS291,0),IF(AND(NOT(AND(AO291=1,AN291&lt;&gt;1)),ISNUMBER(AH291),AH291&lt;=T291),AT291,0),IF(AND(NOT(AND(AO291=1,AN291&lt;&gt;1)),ISNUMBER(AI291),AI291&lt;=T291),AU291,0),IF(AND(ISNUMBER(AJ291),AJ291&lt;=T291),AV291,0))),TRUE(),FALSE())</f>
        <v>1</v>
      </c>
      <c r="AS291" s="33" t="n">
        <f aca="false">IFERROR(Upgrades!$H$6*(POWER(Upgrades!$P$6,E291)*POWER(Upgrades!$P$7,F291)*POWER(Upgrades!$P$8,G291)*POWER(Upgrades!$P$9,H291)*POWER(Upgrades!$P$10,I291)*POWER(Upgrades!$P$11,J291)*POWER(Upgrades!$P$12,K291))*(IF(Upgrades!$T$7="Solar Wind",POWER(Upgrades!$U$7,F291),1)*IF(Upgrades!$T$8="Solar Wind",POWER(Upgrades!$U$8,G291),1)*IF(Upgrades!$T$9="Solar Wind",POWER(Upgrades!$U$9,H291),1)*IF(Upgrades!$T$10="Solar Wind",POWER(Upgrades!$U$10,I291),1)*IF(Upgrades!$T$11="Solar Wind",POWER(Upgrades!$U$11,J291),1)*IF(Upgrades!$T$12="Solar Wind",POWER(Upgrades!$U$12,K291),1))/AG291,0)</f>
        <v>0.0026701021455238</v>
      </c>
      <c r="AT291" s="33" t="n">
        <f aca="false">IFERROR(Upgrades!$H$7*(POWER(Upgrades!$P$6,E291)*POWER(Upgrades!$P$7,F291)*POWER(Upgrades!$P$8,G291)*POWER(Upgrades!$P$9,H291)*POWER(Upgrades!$P$10,I291)*POWER(Upgrades!$P$11,J291)*POWER(Upgrades!$P$12,K291))*(IF(Upgrades!$T$6="Asteroid Belt",POWER(Upgrades!$U$6,E291),1)*IF(Upgrades!$T$8="Asteroid Belt",POWER(Upgrades!$U$8,G291),1)*IF(Upgrades!$T$9="Asteroid Belt",POWER(Upgrades!$U$9,H291),1)*IF(Upgrades!$T$10="Asteroid Belt",POWER(Upgrades!$U$10,I291),1)*IF(Upgrades!$T$11="Asteroid Belt",POWER(Upgrades!$U$11,J291),1)*IF(Upgrades!$T$12="Asteroid Belt",POWER(Upgrades!$U$12,K291),1))/AH291,0)</f>
        <v>0.00308980882652332</v>
      </c>
      <c r="AU291" s="33" t="n">
        <f aca="false">IFERROR(Upgrades!$K$8*(POWER(Upgrades!$Q$6,E291)*POWER(Upgrades!$Q$7,F291)*POWER(Upgrades!$Q$8,G291)*POWER(Upgrades!$Q$9,H291)*POWER(Upgrades!$Q$10,I291)*POWER(Upgrades!$Q$11,J291)*POWER(Upgrades!$Q$12,K291))*(IF(Upgrades!$T$6="Stellar Coupling",POWER(Upgrades!$U$6,E291),1)*IF(Upgrades!$T$7="Stellar Coupling",POWER(Upgrades!$U$7,F291),1)*IF(Upgrades!$T$9="Stellar Coupling",POWER(Upgrades!$U$9,H291),1)*IF(Upgrades!$T$10="Stellar Coupling",POWER(Upgrades!$U$10,I291),1)*IF(Upgrades!$T$11="Stellar Coupling",POWER(Upgrades!$U$11,J291),1)*IF(Upgrades!$T$12="Stellar Coupling",POWER(Upgrades!$U$12,K291),1))*Parameters!$B$10*Parameters!$B$11/60/AI291,0)</f>
        <v>0.00452762415783776</v>
      </c>
      <c r="AV291" s="33" t="n">
        <f aca="false">IFERROR(Upgrades!$H$9*(POWER(Upgrades!$P$6,E291)*POWER(Upgrades!$P$7,F291)*POWER(Upgrades!$P$8,G291)*POWER(Upgrades!$P$9,H291)*POWER(Upgrades!$P$10,I291)*POWER(Upgrades!$P$11,J291)*POWER(Upgrades!$P$12,K291))*(IF(Upgrades!$T$6="Magnetosphere",POWER(Upgrades!$U$6,E291),1)*IF(Upgrades!$T$7="Magnetosphere",POWER(Upgrades!$U$7,F291),1)*IF(Upgrades!$T$8="Magnetosphere",POWER(Upgrades!$U$8,G291),1)*IF(Upgrades!$T$10="Magnetosphere",POWER(Upgrades!$U$10,I291),1)*IF(Upgrades!$T$11="Magnetosphere",POWER(Upgrades!$U$11,J291),1)*IF(Upgrades!$T$12="Magnetosphere",POWER(Upgrades!$U$12,K291),1))/AJ291,0)</f>
        <v>0</v>
      </c>
      <c r="AW291" s="33" t="n">
        <f aca="false">MAX(IF(I291&gt;0,0,IFERROR(0.25*N291/Upgrades!$C$10,0)),IF(J291&gt;0,0,IFERROR(0.5*((IF(G291=0,0,(Upgrades!$J$8+G291*Upgrades!$K$8)*POWER(Upgrades!$L$8,G291)))*(IF(Upgrades!$T$6="Stellar Coupling",POWER(Upgrades!$U$6,E291),1)*IF(Upgrades!$T$7="Stellar Coupling",POWER(Upgrades!$U$7,F291),1)*IF(Upgrades!$T$9="Stellar Coupling",POWER(Upgrades!$U$9,H291),1)*IF(Upgrades!$T$10="Stellar Coupling",POWER(Upgrades!$U$10,I291),1)*IF(Upgrades!$T$11="Stellar Coupling",POWER(Upgrades!$U$11,J291),1)*IF(Upgrades!$T$12="Stellar Coupling",POWER(Upgrades!$U$12,K291),1))*(POWER(Upgrades!$Q$6,E291)*POWER(Upgrades!$Q$7,F291)*POWER(Upgrades!$Q$8,G291)*POWER(Upgrades!$Q$9,H291)*POWER(Upgrades!$Q$10,I291)*POWER(Upgrades!$Q$11,J291)*POWER(Upgrades!$Q$12,K291))*Parameters!$B$10*Parameters!$B$11/60)/Upgrades!$C$11,0)),IF(K291&gt;0,0,IFERROR((1*(POWER(Upgrades!$P$6,E291)*POWER(Upgrades!$P$7,F291)*POWER(Upgrades!$P$8,G291)*POWER(Upgrades!$P$9,H291)*POWER(Upgrades!$P$10,I291)*POWER(Upgrades!$P$11,J291)*POWER(Upgrades!$P$12,K291))+0.2*M291*Parameters!$B$10*Parameters!$B$11/60)/Upgrades!$C$12,0)),IF(AND(ISNUMBER(AG291),AG291&gt;T291),AS291,0),IF(AND(ISNUMBER(AH291),AH291&gt;T291),AT291,0),IF(AND(ISNUMBER(AI291),AI291&gt;T291),AU291,0),IF(AND(ISNUMBER(AJ291),AJ291&gt;T291),AV291,0))</f>
        <v>0.00452762415783776</v>
      </c>
      <c r="AX291" s="29" t="str">
        <f aca="false">IF(AN291=1,"transition",IF(MIN(IF(AND(I291=0,ISNUMBER(AK291),AK291&lt;=T291),AK291,9000000000000000),IF(AND(J291=0,ISNUMBER(AL291),AL291&lt;=T291),AL291,9000000000000000),IF(AND(K291=0,ISNUMBER(AM291),AM291&lt;=T291),AM291,9000000000000000))&lt;9000000000000000,IF(AND(AND(I291=0,ISNUMBER(AK291),AK291&lt;=T291),AK291=MIN(IF(AND(I291=0,ISNUMBER(AK291),AK291&lt;=T291),AK291,9000000000000000),IF(AND(J291=0,ISNUMBER(AL291),AL291&lt;=T291),AL291,9000000000000000),IF(AND(K291=0,ISNUMBER(AM291),AM291&lt;=T291),AM291,9000000000000000))),"OR",IF(AND(AND(J291=0,ISNUMBER(AL291),AL291&lt;=T291),AL291=MIN(IF(AND(I291=0,ISNUMBER(AK291),AK291&lt;=T291),AK291,9000000000000000),IF(AND(J291=0,ISNUMBER(AL291),AL291&lt;=T291),AL291,9000000000000000),IF(AND(K291=0,ISNUMBER(AM291),AM291&lt;=T291),AM291,9000000000000000))),"HP","FP")),IF(AR291=TRUE(),"",IF(MAX(IF(AND(NOT(AND(AO291=1,AN291&lt;&gt;1)),ISNUMBER(AG291),AG291&lt;=T291),AS291,0),IF(AND(NOT(AND(AO291=1,AN291&lt;&gt;1)),ISNUMBER(AH291),AH291&lt;=T291),AT291,0),IF(AND(NOT(AND(AO291=1,AN291&lt;&gt;1)),ISNUMBER(AI291),AI291&lt;=T291),AU291,0),IF(AND(ISNUMBER(AJ291),AJ291&lt;=T291),AV291,0))&lt;=0,"",IF(AND(IF(AND(NOT(AND(AO291=1,AN291&lt;&gt;1)),ISNUMBER(AG291),AG291&lt;=T291),AS291,0)&gt;0,IF(AND(NOT(AND(AO291=1,AN291&lt;&gt;1)),ISNUMBER(AG291),AG291&lt;=T291),AS291,0)=MAX(IF(AND(NOT(AND(AO291=1,AN291&lt;&gt;1)),ISNUMBER(AG291),AG291&lt;=T291),AS291,0),IF(AND(NOT(AND(AO291=1,AN291&lt;&gt;1)),ISNUMBER(AH291),AH291&lt;=T291),AT291,0),IF(AND(NOT(AND(AO291=1,AN291&lt;&gt;1)),ISNUMBER(AI291),AI291&lt;=T291),AU291,0),IF(AND(ISNUMBER(AJ291),AJ291&lt;=T291),AV291,0))),"SW",IF(AND(IF(AND(NOT(AND(AO291=1,AN291&lt;&gt;1)),ISNUMBER(AH291),AH291&lt;=T291),AT291,0)&gt;0,IF(AND(NOT(AND(AO291=1,AN291&lt;&gt;1)),ISNUMBER(AH291),AH291&lt;=T291),AT291,0)=MAX(IF(AND(NOT(AND(AO291=1,AN291&lt;&gt;1)),ISNUMBER(AG291),AG291&lt;=T291),AS291,0),IF(AND(NOT(AND(AO291=1,AN291&lt;&gt;1)),ISNUMBER(AH291),AH291&lt;=T291),AT291,0),IF(AND(NOT(AND(AO291=1,AN291&lt;&gt;1)),ISNUMBER(AI291),AI291&lt;=T291),AU291,0),IF(AND(ISNUMBER(AJ291),AJ291&lt;=T291),AV291,0))),"AB",IF(AND(IF(AND(NOT(AND(AO291=1,AN291&lt;&gt;1)),ISNUMBER(AI291),AI291&lt;=T291),AU291,0)&gt;0,IF(AND(NOT(AND(AO291=1,AN291&lt;&gt;1)),ISNUMBER(AI291),AI291&lt;=T291),AU291,0)=MAX(IF(AND(NOT(AND(AO291=1,AN291&lt;&gt;1)),ISNUMBER(AG291),AG291&lt;=T291),AS291,0),IF(AND(NOT(AND(AO291=1,AN291&lt;&gt;1)),ISNUMBER(AH291),AH291&lt;=T291),AT291,0),IF(AND(NOT(AND(AO291=1,AN291&lt;&gt;1)),ISNUMBER(AI291),AI291&lt;=T291),AU291,0),IF(AND(ISNUMBER(AJ291),AJ291&lt;=T291),AV291,0))),"SC","Mag")))))))</f>
        <v/>
      </c>
    </row>
    <row r="292" customFormat="false" ht="15" hidden="false" customHeight="false" outlineLevel="0" collapsed="false">
      <c r="A292" s="26" t="n">
        <v>287</v>
      </c>
      <c r="B292" s="27" t="n">
        <f aca="false">A292*10/60</f>
        <v>47.8333333333333</v>
      </c>
      <c r="C292" s="21" t="n">
        <f aca="false">X291</f>
        <v>18.6730249835055</v>
      </c>
      <c r="D292" s="27" t="n">
        <f aca="false">D291+W291</f>
        <v>0</v>
      </c>
      <c r="E292" s="26" t="n">
        <f aca="false">E291+IF(U291="SW",1,0)</f>
        <v>12</v>
      </c>
      <c r="F292" s="26" t="n">
        <f aca="false">F291+IF(U291="AB",1,0)</f>
        <v>10</v>
      </c>
      <c r="G292" s="26" t="n">
        <f aca="false">G291+IF(U291="SC",1,0)</f>
        <v>7</v>
      </c>
      <c r="H292" s="26" t="n">
        <f aca="false">H291+IF(U291="Mag",1,0)</f>
        <v>5</v>
      </c>
      <c r="I292" s="26" t="n">
        <f aca="false">MAX(I291,IF(U291="OR",1,0))</f>
        <v>1</v>
      </c>
      <c r="J292" s="26" t="n">
        <f aca="false">MAX(J291,IF(U291="HP",1,0))</f>
        <v>1</v>
      </c>
      <c r="K292" s="26" t="n">
        <f aca="false">MAX(K291,IF(U291="FP",1,0))</f>
        <v>1</v>
      </c>
      <c r="L292" s="26" t="n">
        <f aca="false">MAX(L291,IF(U291="transition",1,0))</f>
        <v>1</v>
      </c>
      <c r="M292" s="28" t="n">
        <f aca="false">(Parameters!$B$9+(IF(E292=0,0,(Upgrades!$J$6+E292*Upgrades!$K$6)*POWER(Upgrades!$L$6,E292)))*(IF(Upgrades!$T$7="Solar Wind",POWER(Upgrades!$U$7,F292),1)*IF(Upgrades!$T$8="Solar Wind",POWER(Upgrades!$U$8,G292),1)*IF(Upgrades!$T$9="Solar Wind",POWER(Upgrades!$U$9,H292),1)*IF(Upgrades!$T$10="Solar Wind",POWER(Upgrades!$U$10,I292),1)*IF(Upgrades!$T$11="Solar Wind",POWER(Upgrades!$U$11,J292),1)*IF(Upgrades!$T$12="Solar Wind",POWER(Upgrades!$U$12,K292),1))+(IF(F292=0,0,(Upgrades!$J$7+F292*Upgrades!$K$7)*POWER(Upgrades!$L$7,F292)))*(IF(Upgrades!$T$6="Asteroid Belt",POWER(Upgrades!$U$6,E292),1)*IF(Upgrades!$T$8="Asteroid Belt",POWER(Upgrades!$U$8,G292),1)*IF(Upgrades!$T$9="Asteroid Belt",POWER(Upgrades!$U$9,H292),1)*IF(Upgrades!$T$10="Asteroid Belt",POWER(Upgrades!$U$10,I292),1)*IF(Upgrades!$T$11="Asteroid Belt",POWER(Upgrades!$U$11,J292),1)*IF(Upgrades!$T$12="Asteroid Belt",POWER(Upgrades!$U$12,K292),1))+(IF(G292=0,0,(Upgrades!$J$8+G292*Upgrades!$K$8)*POWER(Upgrades!$L$8,G292)))*(IF(Upgrades!$T$6="Stellar Coupling",POWER(Upgrades!$U$6,E292),1)*IF(Upgrades!$T$7="Stellar Coupling",POWER(Upgrades!$U$7,F292),1)*IF(Upgrades!$T$9="Stellar Coupling",POWER(Upgrades!$U$9,H292),1)*IF(Upgrades!$T$10="Stellar Coupling",POWER(Upgrades!$U$10,I292),1)*IF(Upgrades!$T$11="Stellar Coupling",POWER(Upgrades!$U$11,J292),1)*IF(Upgrades!$T$12="Stellar Coupling",POWER(Upgrades!$U$12,K292),1))+(IF(H292=0,0,(Upgrades!$J$9+H292*Upgrades!$K$9)*POWER(Upgrades!$L$9,H292)))*(IF(Upgrades!$T$6="Magnetosphere",POWER(Upgrades!$U$6,E292),1)*IF(Upgrades!$T$7="Magnetosphere",POWER(Upgrades!$U$7,F292),1)*IF(Upgrades!$T$8="Magnetosphere",POWER(Upgrades!$U$8,G292),1)*IF(Upgrades!$T$10="Magnetosphere",POWER(Upgrades!$U$10,I292),1)*IF(Upgrades!$T$11="Magnetosphere",POWER(Upgrades!$U$11,J292),1)*IF(Upgrades!$T$12="Magnetosphere",POWER(Upgrades!$U$12,K292),1))+(IF(I292=0,0,(Upgrades!$J$10+I292*Upgrades!$K$10)*POWER(Upgrades!$L$10,I292)))*(IF(Upgrades!$T$6="Orbital Resonance",POWER(Upgrades!$U$6,E292),1)*IF(Upgrades!$T$7="Orbital Resonance",POWER(Upgrades!$U$7,F292),1)*IF(Upgrades!$T$8="Orbital Resonance",POWER(Upgrades!$U$8,G292),1)*IF(Upgrades!$T$9="Orbital Resonance",POWER(Upgrades!$U$9,H292),1)*IF(Upgrades!$T$11="Orbital Resonance",POWER(Upgrades!$U$11,J292),1)*IF(Upgrades!$T$12="Orbital Resonance",POWER(Upgrades!$U$12,K292),1))+(IF(J292=0,0,(Upgrades!$J$11+J292*Upgrades!$K$11)*POWER(Upgrades!$L$11,J292)))*(IF(Upgrades!$T$6="Heliopause",POWER(Upgrades!$U$6,E292),1)*IF(Upgrades!$T$7="Heliopause",POWER(Upgrades!$U$7,F292),1)*IF(Upgrades!$T$8="Heliopause",POWER(Upgrades!$U$8,G292),1)*IF(Upgrades!$T$9="Heliopause",POWER(Upgrades!$U$9,H292),1)*IF(Upgrades!$T$10="Heliopause",POWER(Upgrades!$U$10,I292),1)*IF(Upgrades!$T$12="Heliopause",POWER(Upgrades!$U$12,K292),1))+(IF(K292=0,0,(Upgrades!$J$12+K292*Upgrades!$K$12)*POWER(Upgrades!$L$12,K292)))*(IF(Upgrades!$T$6="First Photons",POWER(Upgrades!$U$6,E292),1)*IF(Upgrades!$T$7="First Photons",POWER(Upgrades!$U$7,F292),1)*IF(Upgrades!$T$8="First Photons",POWER(Upgrades!$U$8,G292),1)*IF(Upgrades!$T$9="First Photons",POWER(Upgrades!$U$9,H292),1)*IF(Upgrades!$T$10="First Photons",POWER(Upgrades!$U$10,I292),1)*IF(Upgrades!$T$11="First Photons",POWER(Upgrades!$U$11,J292),1)))*POWER(Upgrades!$Q$6,E292)*POWER(Upgrades!$Q$7,F292)*POWER(Upgrades!$Q$8,G292)*POWER(Upgrades!$Q$9,H292)*POWER(Upgrades!$Q$10,I292)*POWER(Upgrades!$Q$11,J292)*POWER(Upgrades!$Q$12,K292)</f>
        <v>5.61</v>
      </c>
      <c r="N292" s="28" t="n">
        <f aca="false">((IF(E292=0,0,(Upgrades!$G$6+E292*Upgrades!$H$6)*POWER(Upgrades!$I$6,E292)))*(IF(Upgrades!$T$7="Solar Wind",POWER(Upgrades!$U$7,F292),1)*IF(Upgrades!$T$8="Solar Wind",POWER(Upgrades!$U$8,G292),1)*IF(Upgrades!$T$9="Solar Wind",POWER(Upgrades!$U$9,H292),1)*IF(Upgrades!$T$10="Solar Wind",POWER(Upgrades!$U$10,I292),1)*IF(Upgrades!$T$11="Solar Wind",POWER(Upgrades!$U$11,J292),1)*IF(Upgrades!$T$12="Solar Wind",POWER(Upgrades!$U$12,K292),1))+(IF(F292=0,0,(Upgrades!$G$7+F292*Upgrades!$H$7)*POWER(Upgrades!$I$7,F292)))*(IF(Upgrades!$T$6="Asteroid Belt",POWER(Upgrades!$U$6,E292),1)*IF(Upgrades!$T$8="Asteroid Belt",POWER(Upgrades!$U$8,G292),1)*IF(Upgrades!$T$9="Asteroid Belt",POWER(Upgrades!$U$9,H292),1)*IF(Upgrades!$T$10="Asteroid Belt",POWER(Upgrades!$U$10,I292),1)*IF(Upgrades!$T$11="Asteroid Belt",POWER(Upgrades!$U$11,J292),1)*IF(Upgrades!$T$12="Asteroid Belt",POWER(Upgrades!$U$12,K292),1))+(IF(G292=0,0,(Upgrades!$G$8+G292*Upgrades!$H$8)*POWER(Upgrades!$I$8,G292)))*(IF(Upgrades!$T$6="Stellar Coupling",POWER(Upgrades!$U$6,E292),1)*IF(Upgrades!$T$7="Stellar Coupling",POWER(Upgrades!$U$7,F292),1)*IF(Upgrades!$T$9="Stellar Coupling",POWER(Upgrades!$U$9,H292),1)*IF(Upgrades!$T$10="Stellar Coupling",POWER(Upgrades!$U$10,I292),1)*IF(Upgrades!$T$11="Stellar Coupling",POWER(Upgrades!$U$11,J292),1)*IF(Upgrades!$T$12="Stellar Coupling",POWER(Upgrades!$U$12,K292),1))+(IF(H292=0,0,(Upgrades!$G$9+H292*Upgrades!$H$9)*POWER(Upgrades!$I$9,H292)))*(IF(Upgrades!$T$6="Magnetosphere",POWER(Upgrades!$U$6,E292),1)*IF(Upgrades!$T$7="Magnetosphere",POWER(Upgrades!$U$7,F292),1)*IF(Upgrades!$T$8="Magnetosphere",POWER(Upgrades!$U$8,G292),1)*IF(Upgrades!$T$10="Magnetosphere",POWER(Upgrades!$U$10,I292),1)*IF(Upgrades!$T$11="Magnetosphere",POWER(Upgrades!$U$11,J292),1)*IF(Upgrades!$T$12="Magnetosphere",POWER(Upgrades!$U$12,K292),1))+(IF(I292=0,0,(Upgrades!$G$10+I292*Upgrades!$H$10)*POWER(Upgrades!$I$10,I292)))*(IF(Upgrades!$T$6="Orbital Resonance",POWER(Upgrades!$U$6,E292),1)*IF(Upgrades!$T$7="Orbital Resonance",POWER(Upgrades!$U$7,F292),1)*IF(Upgrades!$T$8="Orbital Resonance",POWER(Upgrades!$U$8,G292),1)*IF(Upgrades!$T$9="Orbital Resonance",POWER(Upgrades!$U$9,H292),1)*IF(Upgrades!$T$11="Orbital Resonance",POWER(Upgrades!$U$11,J292),1)*IF(Upgrades!$T$12="Orbital Resonance",POWER(Upgrades!$U$12,K292),1))+(IF(J292=0,0,(Upgrades!$G$11+J292*Upgrades!$H$11)*POWER(Upgrades!$I$11,J292)))*(IF(Upgrades!$T$6="Heliopause",POWER(Upgrades!$U$6,E292),1)*IF(Upgrades!$T$7="Heliopause",POWER(Upgrades!$U$7,F292),1)*IF(Upgrades!$T$8="Heliopause",POWER(Upgrades!$U$8,G292),1)*IF(Upgrades!$T$9="Heliopause",POWER(Upgrades!$U$9,H292),1)*IF(Upgrades!$T$10="Heliopause",POWER(Upgrades!$U$10,I292),1)*IF(Upgrades!$T$12="Heliopause",POWER(Upgrades!$U$12,K292),1))+(IF(K292=0,0,(Upgrades!$G$12+K292*Upgrades!$H$12)*POWER(Upgrades!$I$12,K292)))*(IF(Upgrades!$T$6="First Photons",POWER(Upgrades!$U$6,E292),1)*IF(Upgrades!$T$7="First Photons",POWER(Upgrades!$U$7,F292),1)*IF(Upgrades!$T$8="First Photons",POWER(Upgrades!$U$8,G292),1)*IF(Upgrades!$T$9="First Photons",POWER(Upgrades!$U$9,H292),1)*IF(Upgrades!$T$10="First Photons",POWER(Upgrades!$U$10,I292),1)*IF(Upgrades!$T$11="First Photons",POWER(Upgrades!$U$11,J292),1)))*POWER(Upgrades!$P$6,E292)*POWER(Upgrades!$P$7,F292)*POWER(Upgrades!$P$8,G292)*POWER(Upgrades!$P$9,H292)*POWER(Upgrades!$P$10,I292)*POWER(Upgrades!$P$11,J292)*POWER(Upgrades!$P$12,K292)</f>
        <v>11.2</v>
      </c>
      <c r="O292" s="28" t="n">
        <f aca="false">((IF(E292=0,0,(Upgrades!$M$6+E292*Upgrades!$N$6)*POWER(Upgrades!$O$6,E292)))*(IF(Upgrades!$T$7="Solar Wind",POWER(Upgrades!$U$7,F292),1)*IF(Upgrades!$T$8="Solar Wind",POWER(Upgrades!$U$8,G292),1)*IF(Upgrades!$T$9="Solar Wind",POWER(Upgrades!$U$9,H292),1)*IF(Upgrades!$T$10="Solar Wind",POWER(Upgrades!$U$10,I292),1)*IF(Upgrades!$T$11="Solar Wind",POWER(Upgrades!$U$11,J292),1)*IF(Upgrades!$T$12="Solar Wind",POWER(Upgrades!$U$12,K292),1))+(IF(F292=0,0,(Upgrades!$M$7+F292*Upgrades!$N$7)*POWER(Upgrades!$O$7,F292)))*(IF(Upgrades!$T$6="Asteroid Belt",POWER(Upgrades!$U$6,E292),1)*IF(Upgrades!$T$8="Asteroid Belt",POWER(Upgrades!$U$8,G292),1)*IF(Upgrades!$T$9="Asteroid Belt",POWER(Upgrades!$U$9,H292),1)*IF(Upgrades!$T$10="Asteroid Belt",POWER(Upgrades!$U$10,I292),1)*IF(Upgrades!$T$11="Asteroid Belt",POWER(Upgrades!$U$11,J292),1)*IF(Upgrades!$T$12="Asteroid Belt",POWER(Upgrades!$U$12,K292),1))+(IF(G292=0,0,(Upgrades!$M$8+G292*Upgrades!$N$8)*POWER(Upgrades!$O$8,G292)))*(IF(Upgrades!$T$6="Stellar Coupling",POWER(Upgrades!$U$6,E292),1)*IF(Upgrades!$T$7="Stellar Coupling",POWER(Upgrades!$U$7,F292),1)*IF(Upgrades!$T$9="Stellar Coupling",POWER(Upgrades!$U$9,H292),1)*IF(Upgrades!$T$10="Stellar Coupling",POWER(Upgrades!$U$10,I292),1)*IF(Upgrades!$T$11="Stellar Coupling",POWER(Upgrades!$U$11,J292),1)*IF(Upgrades!$T$12="Stellar Coupling",POWER(Upgrades!$U$12,K292),1))+(IF(H292=0,0,(Upgrades!$M$9+H292*Upgrades!$N$9)*POWER(Upgrades!$O$9,H292)))*(IF(Upgrades!$T$6="Magnetosphere",POWER(Upgrades!$U$6,E292),1)*IF(Upgrades!$T$7="Magnetosphere",POWER(Upgrades!$U$7,F292),1)*IF(Upgrades!$T$8="Magnetosphere",POWER(Upgrades!$U$8,G292),1)*IF(Upgrades!$T$10="Magnetosphere",POWER(Upgrades!$U$10,I292),1)*IF(Upgrades!$T$11="Magnetosphere",POWER(Upgrades!$U$11,J292),1)*IF(Upgrades!$T$12="Magnetosphere",POWER(Upgrades!$U$12,K292),1))+(IF(I292=0,0,(Upgrades!$M$10+I292*Upgrades!$N$10)*POWER(Upgrades!$O$10,I292)))*(IF(Upgrades!$T$6="Orbital Resonance",POWER(Upgrades!$U$6,E292),1)*IF(Upgrades!$T$7="Orbital Resonance",POWER(Upgrades!$U$7,F292),1)*IF(Upgrades!$T$8="Orbital Resonance",POWER(Upgrades!$U$8,G292),1)*IF(Upgrades!$T$9="Orbital Resonance",POWER(Upgrades!$U$9,H292),1)*IF(Upgrades!$T$11="Orbital Resonance",POWER(Upgrades!$U$11,J292),1)*IF(Upgrades!$T$12="Orbital Resonance",POWER(Upgrades!$U$12,K292),1))+(IF(J292=0,0,(Upgrades!$M$11+J292*Upgrades!$N$11)*POWER(Upgrades!$O$11,J292)))*(IF(Upgrades!$T$6="Heliopause",POWER(Upgrades!$U$6,E292),1)*IF(Upgrades!$T$7="Heliopause",POWER(Upgrades!$U$7,F292),1)*IF(Upgrades!$T$8="Heliopause",POWER(Upgrades!$U$8,G292),1)*IF(Upgrades!$T$9="Heliopause",POWER(Upgrades!$U$9,H292),1)*IF(Upgrades!$T$10="Heliopause",POWER(Upgrades!$U$10,I292),1)*IF(Upgrades!$T$12="Heliopause",POWER(Upgrades!$U$12,K292),1))+(IF(K292=0,0,(Upgrades!$M$12+K292*Upgrades!$N$12)*POWER(Upgrades!$O$12,K292)))*(IF(Upgrades!$T$6="First Photons",POWER(Upgrades!$U$6,E292),1)*IF(Upgrades!$T$7="First Photons",POWER(Upgrades!$U$7,F292),1)*IF(Upgrades!$T$8="First Photons",POWER(Upgrades!$U$8,G292),1)*IF(Upgrades!$T$9="First Photons",POWER(Upgrades!$U$9,H292),1)*IF(Upgrades!$T$10="First Photons",POWER(Upgrades!$U$10,I292),1)*IF(Upgrades!$T$11="First Photons",POWER(Upgrades!$U$11,J292),1)))*POWER(Upgrades!$R$6,E292)*POWER(Upgrades!$R$7,F292)*POWER(Upgrades!$R$8,G292)*POWER(Upgrades!$R$9,H292)*POWER(Upgrades!$R$10,I292)*POWER(Upgrades!$R$11,J292)*POWER(Upgrades!$R$12,K292)</f>
        <v>0</v>
      </c>
      <c r="P292" s="27" t="n">
        <f aca="false">IF(L292=1,0,M292*Parameters!$B$10/60*Parameters!$B$11*10)</f>
        <v>0</v>
      </c>
      <c r="Q292" s="27" t="n">
        <f aca="false">IF(L292=1,0,O292*M292*10)</f>
        <v>0</v>
      </c>
      <c r="R292" s="27" t="n">
        <f aca="false">IF(L292=1,0,N292*10)</f>
        <v>0</v>
      </c>
      <c r="S292" s="27" t="n">
        <f aca="false">P292+Q292+R292</f>
        <v>0</v>
      </c>
      <c r="T292" s="21" t="n">
        <f aca="false">C292+S292</f>
        <v>18.6730249835055</v>
      </c>
      <c r="U292" s="34" t="str">
        <f aca="false">AX292</f>
        <v/>
      </c>
      <c r="V292" s="21" t="n">
        <f aca="false">IF(U292="",0,IF(U292="transition",0,IF(U292="SW",AG292,IF(U292="AB",AH292,IF(U292="SC",AI292,IF(U292="Mag",AJ292,IF(U292="OR",AK292,IF(U292="HP",AL292,IF(U292="FP",AM292,0)))))))))</f>
        <v>0</v>
      </c>
      <c r="W292" s="27" t="n">
        <f aca="false">IF(U292="OR",Upgrades!$F$10,IF(U292="HP",Upgrades!$F$11,IF(U292="transition",-Parameters!$B$18,0)))</f>
        <v>0</v>
      </c>
      <c r="X292" s="21" t="n">
        <f aca="false">T292-V292</f>
        <v>18.6730249835055</v>
      </c>
      <c r="Y292" s="30" t="n">
        <f aca="false">M292*Parameters!$B$10/60*Parameters!$B$11+O292*M292+N292</f>
        <v>20.55</v>
      </c>
      <c r="Z292" s="35" t="str">
        <f aca="false">IF(U292="transition","→ Tier 2 (Stellar Neighborhood)",IF(U292="FP","First Photons — light begins, system quickens",IF(U292="HP","Heliopause acquired",IF(U292="OR","Orbital Resonance — passive multiplier active",IF(AND(AO292=1,L292=0,AN292&lt;&gt;1),"Cohesion ready (waiting on completionist upgrades)","")))))</f>
        <v/>
      </c>
      <c r="AA292" s="27" t="n">
        <f aca="false">(IF(E292=0,0,(Upgrades!$G$6+E292*Upgrades!$H$6)*POWER(Upgrades!$I$6,E292)))*(IF(Upgrades!$T$7="Solar Wind",POWER(Upgrades!$U$7,F292),1)*IF(Upgrades!$T$8="Solar Wind",POWER(Upgrades!$U$8,G292),1)*IF(Upgrades!$T$9="Solar Wind",POWER(Upgrades!$U$9,H292),1)*IF(Upgrades!$T$10="Solar Wind",POWER(Upgrades!$U$10,I292),1)*IF(Upgrades!$T$11="Solar Wind",POWER(Upgrades!$U$11,J292),1)*IF(Upgrades!$T$12="Solar Wind",POWER(Upgrades!$U$12,K292),1))*POWER(Upgrades!$P$6,E292)*POWER(Upgrades!$P$7,F292)*POWER(Upgrades!$P$8,G292)*POWER(Upgrades!$P$9,H292)*POWER(Upgrades!$P$10,I292)*POWER(Upgrades!$P$11,J292)*POWER(Upgrades!$P$12,K292)*60</f>
        <v>72</v>
      </c>
      <c r="AB292" s="27" t="n">
        <f aca="false">(IF(F292=0,0,(Upgrades!$G$7+F292*Upgrades!$H$7)*POWER(Upgrades!$I$7,F292)))*(IF(Upgrades!$T$6="Asteroid Belt",POWER(Upgrades!$U$6,E292),1)*IF(Upgrades!$T$8="Asteroid Belt",POWER(Upgrades!$U$8,G292),1)*IF(Upgrades!$T$9="Asteroid Belt",POWER(Upgrades!$U$9,H292),1)*IF(Upgrades!$T$10="Asteroid Belt",POWER(Upgrades!$U$10,I292),1)*IF(Upgrades!$T$11="Asteroid Belt",POWER(Upgrades!$U$11,J292),1)*IF(Upgrades!$T$12="Asteroid Belt",POWER(Upgrades!$U$12,K292),1))*POWER(Upgrades!$P$6,E292)*POWER(Upgrades!$P$7,F292)*POWER(Upgrades!$P$8,G292)*POWER(Upgrades!$P$9,H292)*POWER(Upgrades!$P$10,I292)*POWER(Upgrades!$P$11,J292)*POWER(Upgrades!$P$12,K292)*60</f>
        <v>150</v>
      </c>
      <c r="AC292" s="27" t="n">
        <f aca="false">(IF(G292=0,0,(Upgrades!$J$8+G292*Upgrades!$K$8)*POWER(Upgrades!$L$8,G292)))*(IF(Upgrades!$T$6="Stellar Coupling",POWER(Upgrades!$U$6,E292),1)*IF(Upgrades!$T$7="Stellar Coupling",POWER(Upgrades!$U$7,F292),1)*IF(Upgrades!$T$9="Stellar Coupling",POWER(Upgrades!$U$9,H292),1)*IF(Upgrades!$T$10="Stellar Coupling",POWER(Upgrades!$U$10,I292),1)*IF(Upgrades!$T$11="Stellar Coupling",POWER(Upgrades!$U$11,J292),1)*IF(Upgrades!$T$12="Stellar Coupling",POWER(Upgrades!$U$12,K292),1))*POWER(Upgrades!$Q$6,E292)*POWER(Upgrades!$Q$7,F292)*POWER(Upgrades!$Q$8,G292)*POWER(Upgrades!$Q$9,H292)*POWER(Upgrades!$Q$10,I292)*POWER(Upgrades!$Q$11,J292)*POWER(Upgrades!$Q$12,K292)*Parameters!$B$10*Parameters!$B$11</f>
        <v>441</v>
      </c>
      <c r="AD292" s="27" t="n">
        <f aca="false">(IF(H292=0,0,(Upgrades!$G$9+H292*Upgrades!$H$9)*POWER(Upgrades!$I$9,H292)))*(IF(Upgrades!$T$6="Magnetosphere",POWER(Upgrades!$U$6,E292),1)*IF(Upgrades!$T$7="Magnetosphere",POWER(Upgrades!$U$7,F292),1)*IF(Upgrades!$T$8="Magnetosphere",POWER(Upgrades!$U$8,G292),1)*IF(Upgrades!$T$10="Magnetosphere",POWER(Upgrades!$U$10,I292),1)*IF(Upgrades!$T$11="Magnetosphere",POWER(Upgrades!$U$11,J292),1)*IF(Upgrades!$T$12="Magnetosphere",POWER(Upgrades!$U$12,K292),1))*POWER(Upgrades!$P$6,E292)*POWER(Upgrades!$P$7,F292)*POWER(Upgrades!$P$8,G292)*POWER(Upgrades!$P$9,H292)*POWER(Upgrades!$P$10,I292)*POWER(Upgrades!$P$11,J292)*POWER(Upgrades!$P$12,K292)*60</f>
        <v>375</v>
      </c>
      <c r="AE292" s="27" t="n">
        <f aca="false">(IF(K292=0,0,(Upgrades!$G$12+K292*Upgrades!$H$12)*POWER(Upgrades!$I$12,K292)))*(IF(Upgrades!$T$6="First Photons",POWER(Upgrades!$U$6,E292),1)*IF(Upgrades!$T$7="First Photons",POWER(Upgrades!$U$7,F292),1)*IF(Upgrades!$T$8="First Photons",POWER(Upgrades!$U$8,G292),1)*IF(Upgrades!$T$9="First Photons",POWER(Upgrades!$U$9,H292),1)*IF(Upgrades!$T$10="First Photons",POWER(Upgrades!$U$10,I292),1)*IF(Upgrades!$T$11="First Photons",POWER(Upgrades!$U$11,J292),1))*POWER(Upgrades!$P$6,E292)*POWER(Upgrades!$P$7,F292)*POWER(Upgrades!$P$8,G292)*POWER(Upgrades!$P$9,H292)*POWER(Upgrades!$P$10,I292)*POWER(Upgrades!$P$11,J292)*POWER(Upgrades!$P$12,K292)*60</f>
        <v>75</v>
      </c>
      <c r="AF292" s="27" t="n">
        <f aca="false">Parameters!$B$9*POWER(Upgrades!$Q$6,E292)*POWER(Upgrades!$Q$7,F292)*POWER(Upgrades!$Q$8,G292)*POWER(Upgrades!$Q$9,H292)*POWER(Upgrades!$Q$10,I292)*POWER(Upgrades!$Q$11,J292)*POWER(Upgrades!$Q$12,K292)*(Parameters!$B$10*Parameters!$B$11+O292*60)</f>
        <v>120</v>
      </c>
      <c r="AG292" s="21" t="n">
        <f aca="false">IF(E292&gt;=Upgrades!$E$6,"",Upgrades!$C$6*POWER(Upgrades!$D$6,E292))</f>
        <v>37.4517507383159</v>
      </c>
      <c r="AH292" s="21" t="n">
        <f aca="false">IF(F292&gt;=Upgrades!$E$7,"",Upgrades!$C$7*POWER(Upgrades!$D$7,F292))</f>
        <v>80.9111547141581</v>
      </c>
      <c r="AI292" s="21" t="n">
        <f aca="false">IF(G292&gt;=Upgrades!$E$8,"",Upgrades!$C$8*POWER(Upgrades!$D$8,G292))</f>
        <v>231.9097088</v>
      </c>
      <c r="AJ292" s="21" t="str">
        <f aca="false">IF(H292&gt;=Upgrades!$E$9,"",Upgrades!$C$9*POWER(Upgrades!$D$9,H292))</f>
        <v/>
      </c>
      <c r="AK292" s="21" t="str">
        <f aca="false">IF(I292&gt;=Upgrades!$E$10,"",Upgrades!$C$10*POWER(Upgrades!$D$10,I292))</f>
        <v/>
      </c>
      <c r="AL292" s="21" t="str">
        <f aca="false">IF(J292&gt;=Upgrades!$E$11,"",Upgrades!$C$11*POWER(Upgrades!$D$11,J292))</f>
        <v/>
      </c>
      <c r="AM292" s="21" t="str">
        <f aca="false">IF(K292&gt;=Upgrades!$E$12,"",Upgrades!$C$12*POWER(Upgrades!$D$12,K292))</f>
        <v/>
      </c>
      <c r="AN292" s="26" t="str">
        <f aca="false">IF(AND(D292&gt;=Parameters!$B$18,(H292&gt;=Upgrades!$E$9)*(K292&gt;=Upgrades!$E$12)=1,L292=0),1,"")</f>
        <v/>
      </c>
      <c r="AO292" s="26" t="str">
        <f aca="false">IF(AND(D292&gt;=Parameters!$B$18,L292=0),1,"")</f>
        <v/>
      </c>
      <c r="AP292" s="21" t="n">
        <f aca="false">MIN(IF(ISNUMBER(AK292),AK292,9000000000000000),IF(ISNUMBER(AL292),AL292,9000000000000000),IF(ISNUMBER(AM292),AM292,9000000000000000))</f>
        <v>9000000000000000</v>
      </c>
      <c r="AQ292" s="21" t="n">
        <f aca="false">MIN(IF(ISNUMBER(AG292),AG292,9000000000000000),IF(ISNUMBER(AH292),AH292,9000000000000000),IF(ISNUMBER(AI292),AI292,9000000000000000),IF(ISNUMBER(AJ292),AJ292,9000000000000000))</f>
        <v>37.4517507383159</v>
      </c>
      <c r="AR292" s="32" t="b">
        <f aca="false">IF(AW292&gt;Parameters!$B$21*(MAX(IF(AND(NOT(AND(AO292=1,AN292&lt;&gt;1)),ISNUMBER(AG292),AG292&lt;=T292),AS292,0),IF(AND(NOT(AND(AO292=1,AN292&lt;&gt;1)),ISNUMBER(AH292),AH292&lt;=T292),AT292,0),IF(AND(NOT(AND(AO292=1,AN292&lt;&gt;1)),ISNUMBER(AI292),AI292&lt;=T292),AU292,0),IF(AND(ISNUMBER(AJ292),AJ292&lt;=T292),AV292,0))),TRUE(),FALSE())</f>
        <v>1</v>
      </c>
      <c r="AS292" s="33" t="n">
        <f aca="false">IFERROR(Upgrades!$H$6*(POWER(Upgrades!$P$6,E292)*POWER(Upgrades!$P$7,F292)*POWER(Upgrades!$P$8,G292)*POWER(Upgrades!$P$9,H292)*POWER(Upgrades!$P$10,I292)*POWER(Upgrades!$P$11,J292)*POWER(Upgrades!$P$12,K292))*(IF(Upgrades!$T$7="Solar Wind",POWER(Upgrades!$U$7,F292),1)*IF(Upgrades!$T$8="Solar Wind",POWER(Upgrades!$U$8,G292),1)*IF(Upgrades!$T$9="Solar Wind",POWER(Upgrades!$U$9,H292),1)*IF(Upgrades!$T$10="Solar Wind",POWER(Upgrades!$U$10,I292),1)*IF(Upgrades!$T$11="Solar Wind",POWER(Upgrades!$U$11,J292),1)*IF(Upgrades!$T$12="Solar Wind",POWER(Upgrades!$U$12,K292),1))/AG292,0)</f>
        <v>0.0026701021455238</v>
      </c>
      <c r="AT292" s="33" t="n">
        <f aca="false">IFERROR(Upgrades!$H$7*(POWER(Upgrades!$P$6,E292)*POWER(Upgrades!$P$7,F292)*POWER(Upgrades!$P$8,G292)*POWER(Upgrades!$P$9,H292)*POWER(Upgrades!$P$10,I292)*POWER(Upgrades!$P$11,J292)*POWER(Upgrades!$P$12,K292))*(IF(Upgrades!$T$6="Asteroid Belt",POWER(Upgrades!$U$6,E292),1)*IF(Upgrades!$T$8="Asteroid Belt",POWER(Upgrades!$U$8,G292),1)*IF(Upgrades!$T$9="Asteroid Belt",POWER(Upgrades!$U$9,H292),1)*IF(Upgrades!$T$10="Asteroid Belt",POWER(Upgrades!$U$10,I292),1)*IF(Upgrades!$T$11="Asteroid Belt",POWER(Upgrades!$U$11,J292),1)*IF(Upgrades!$T$12="Asteroid Belt",POWER(Upgrades!$U$12,K292),1))/AH292,0)</f>
        <v>0.00308980882652332</v>
      </c>
      <c r="AU292" s="33" t="n">
        <f aca="false">IFERROR(Upgrades!$K$8*(POWER(Upgrades!$Q$6,E292)*POWER(Upgrades!$Q$7,F292)*POWER(Upgrades!$Q$8,G292)*POWER(Upgrades!$Q$9,H292)*POWER(Upgrades!$Q$10,I292)*POWER(Upgrades!$Q$11,J292)*POWER(Upgrades!$Q$12,K292))*(IF(Upgrades!$T$6="Stellar Coupling",POWER(Upgrades!$U$6,E292),1)*IF(Upgrades!$T$7="Stellar Coupling",POWER(Upgrades!$U$7,F292),1)*IF(Upgrades!$T$9="Stellar Coupling",POWER(Upgrades!$U$9,H292),1)*IF(Upgrades!$T$10="Stellar Coupling",POWER(Upgrades!$U$10,I292),1)*IF(Upgrades!$T$11="Stellar Coupling",POWER(Upgrades!$U$11,J292),1)*IF(Upgrades!$T$12="Stellar Coupling",POWER(Upgrades!$U$12,K292),1))*Parameters!$B$10*Parameters!$B$11/60/AI292,0)</f>
        <v>0.00452762415783776</v>
      </c>
      <c r="AV292" s="33" t="n">
        <f aca="false">IFERROR(Upgrades!$H$9*(POWER(Upgrades!$P$6,E292)*POWER(Upgrades!$P$7,F292)*POWER(Upgrades!$P$8,G292)*POWER(Upgrades!$P$9,H292)*POWER(Upgrades!$P$10,I292)*POWER(Upgrades!$P$11,J292)*POWER(Upgrades!$P$12,K292))*(IF(Upgrades!$T$6="Magnetosphere",POWER(Upgrades!$U$6,E292),1)*IF(Upgrades!$T$7="Magnetosphere",POWER(Upgrades!$U$7,F292),1)*IF(Upgrades!$T$8="Magnetosphere",POWER(Upgrades!$U$8,G292),1)*IF(Upgrades!$T$10="Magnetosphere",POWER(Upgrades!$U$10,I292),1)*IF(Upgrades!$T$11="Magnetosphere",POWER(Upgrades!$U$11,J292),1)*IF(Upgrades!$T$12="Magnetosphere",POWER(Upgrades!$U$12,K292),1))/AJ292,0)</f>
        <v>0</v>
      </c>
      <c r="AW292" s="33" t="n">
        <f aca="false">MAX(IF(I292&gt;0,0,IFERROR(0.25*N292/Upgrades!$C$10,0)),IF(J292&gt;0,0,IFERROR(0.5*((IF(G292=0,0,(Upgrades!$J$8+G292*Upgrades!$K$8)*POWER(Upgrades!$L$8,G292)))*(IF(Upgrades!$T$6="Stellar Coupling",POWER(Upgrades!$U$6,E292),1)*IF(Upgrades!$T$7="Stellar Coupling",POWER(Upgrades!$U$7,F292),1)*IF(Upgrades!$T$9="Stellar Coupling",POWER(Upgrades!$U$9,H292),1)*IF(Upgrades!$T$10="Stellar Coupling",POWER(Upgrades!$U$10,I292),1)*IF(Upgrades!$T$11="Stellar Coupling",POWER(Upgrades!$U$11,J292),1)*IF(Upgrades!$T$12="Stellar Coupling",POWER(Upgrades!$U$12,K292),1))*(POWER(Upgrades!$Q$6,E292)*POWER(Upgrades!$Q$7,F292)*POWER(Upgrades!$Q$8,G292)*POWER(Upgrades!$Q$9,H292)*POWER(Upgrades!$Q$10,I292)*POWER(Upgrades!$Q$11,J292)*POWER(Upgrades!$Q$12,K292))*Parameters!$B$10*Parameters!$B$11/60)/Upgrades!$C$11,0)),IF(K292&gt;0,0,IFERROR((1*(POWER(Upgrades!$P$6,E292)*POWER(Upgrades!$P$7,F292)*POWER(Upgrades!$P$8,G292)*POWER(Upgrades!$P$9,H292)*POWER(Upgrades!$P$10,I292)*POWER(Upgrades!$P$11,J292)*POWER(Upgrades!$P$12,K292))+0.2*M292*Parameters!$B$10*Parameters!$B$11/60)/Upgrades!$C$12,0)),IF(AND(ISNUMBER(AG292),AG292&gt;T292),AS292,0),IF(AND(ISNUMBER(AH292),AH292&gt;T292),AT292,0),IF(AND(ISNUMBER(AI292),AI292&gt;T292),AU292,0),IF(AND(ISNUMBER(AJ292),AJ292&gt;T292),AV292,0))</f>
        <v>0.00452762415783776</v>
      </c>
      <c r="AX292" s="29" t="str">
        <f aca="false">IF(AN292=1,"transition",IF(MIN(IF(AND(I292=0,ISNUMBER(AK292),AK292&lt;=T292),AK292,9000000000000000),IF(AND(J292=0,ISNUMBER(AL292),AL292&lt;=T292),AL292,9000000000000000),IF(AND(K292=0,ISNUMBER(AM292),AM292&lt;=T292),AM292,9000000000000000))&lt;9000000000000000,IF(AND(AND(I292=0,ISNUMBER(AK292),AK292&lt;=T292),AK292=MIN(IF(AND(I292=0,ISNUMBER(AK292),AK292&lt;=T292),AK292,9000000000000000),IF(AND(J292=0,ISNUMBER(AL292),AL292&lt;=T292),AL292,9000000000000000),IF(AND(K292=0,ISNUMBER(AM292),AM292&lt;=T292),AM292,9000000000000000))),"OR",IF(AND(AND(J292=0,ISNUMBER(AL292),AL292&lt;=T292),AL292=MIN(IF(AND(I292=0,ISNUMBER(AK292),AK292&lt;=T292),AK292,9000000000000000),IF(AND(J292=0,ISNUMBER(AL292),AL292&lt;=T292),AL292,9000000000000000),IF(AND(K292=0,ISNUMBER(AM292),AM292&lt;=T292),AM292,9000000000000000))),"HP","FP")),IF(AR292=TRUE(),"",IF(MAX(IF(AND(NOT(AND(AO292=1,AN292&lt;&gt;1)),ISNUMBER(AG292),AG292&lt;=T292),AS292,0),IF(AND(NOT(AND(AO292=1,AN292&lt;&gt;1)),ISNUMBER(AH292),AH292&lt;=T292),AT292,0),IF(AND(NOT(AND(AO292=1,AN292&lt;&gt;1)),ISNUMBER(AI292),AI292&lt;=T292),AU292,0),IF(AND(ISNUMBER(AJ292),AJ292&lt;=T292),AV292,0))&lt;=0,"",IF(AND(IF(AND(NOT(AND(AO292=1,AN292&lt;&gt;1)),ISNUMBER(AG292),AG292&lt;=T292),AS292,0)&gt;0,IF(AND(NOT(AND(AO292=1,AN292&lt;&gt;1)),ISNUMBER(AG292),AG292&lt;=T292),AS292,0)=MAX(IF(AND(NOT(AND(AO292=1,AN292&lt;&gt;1)),ISNUMBER(AG292),AG292&lt;=T292),AS292,0),IF(AND(NOT(AND(AO292=1,AN292&lt;&gt;1)),ISNUMBER(AH292),AH292&lt;=T292),AT292,0),IF(AND(NOT(AND(AO292=1,AN292&lt;&gt;1)),ISNUMBER(AI292),AI292&lt;=T292),AU292,0),IF(AND(ISNUMBER(AJ292),AJ292&lt;=T292),AV292,0))),"SW",IF(AND(IF(AND(NOT(AND(AO292=1,AN292&lt;&gt;1)),ISNUMBER(AH292),AH292&lt;=T292),AT292,0)&gt;0,IF(AND(NOT(AND(AO292=1,AN292&lt;&gt;1)),ISNUMBER(AH292),AH292&lt;=T292),AT292,0)=MAX(IF(AND(NOT(AND(AO292=1,AN292&lt;&gt;1)),ISNUMBER(AG292),AG292&lt;=T292),AS292,0),IF(AND(NOT(AND(AO292=1,AN292&lt;&gt;1)),ISNUMBER(AH292),AH292&lt;=T292),AT292,0),IF(AND(NOT(AND(AO292=1,AN292&lt;&gt;1)),ISNUMBER(AI292),AI292&lt;=T292),AU292,0),IF(AND(ISNUMBER(AJ292),AJ292&lt;=T292),AV292,0))),"AB",IF(AND(IF(AND(NOT(AND(AO292=1,AN292&lt;&gt;1)),ISNUMBER(AI292),AI292&lt;=T292),AU292,0)&gt;0,IF(AND(NOT(AND(AO292=1,AN292&lt;&gt;1)),ISNUMBER(AI292),AI292&lt;=T292),AU292,0)=MAX(IF(AND(NOT(AND(AO292=1,AN292&lt;&gt;1)),ISNUMBER(AG292),AG292&lt;=T292),AS292,0),IF(AND(NOT(AND(AO292=1,AN292&lt;&gt;1)),ISNUMBER(AH292),AH292&lt;=T292),AT292,0),IF(AND(NOT(AND(AO292=1,AN292&lt;&gt;1)),ISNUMBER(AI292),AI292&lt;=T292),AU292,0),IF(AND(ISNUMBER(AJ292),AJ292&lt;=T292),AV292,0))),"SC","Mag")))))))</f>
        <v/>
      </c>
    </row>
    <row r="293" customFormat="false" ht="15" hidden="false" customHeight="false" outlineLevel="0" collapsed="false">
      <c r="A293" s="26" t="n">
        <v>288</v>
      </c>
      <c r="B293" s="27" t="n">
        <f aca="false">A293*10/60</f>
        <v>48</v>
      </c>
      <c r="C293" s="21" t="n">
        <f aca="false">X292</f>
        <v>18.6730249835055</v>
      </c>
      <c r="D293" s="27" t="n">
        <f aca="false">D292+W292</f>
        <v>0</v>
      </c>
      <c r="E293" s="26" t="n">
        <f aca="false">E292+IF(U292="SW",1,0)</f>
        <v>12</v>
      </c>
      <c r="F293" s="26" t="n">
        <f aca="false">F292+IF(U292="AB",1,0)</f>
        <v>10</v>
      </c>
      <c r="G293" s="26" t="n">
        <f aca="false">G292+IF(U292="SC",1,0)</f>
        <v>7</v>
      </c>
      <c r="H293" s="26" t="n">
        <f aca="false">H292+IF(U292="Mag",1,0)</f>
        <v>5</v>
      </c>
      <c r="I293" s="26" t="n">
        <f aca="false">MAX(I292,IF(U292="OR",1,0))</f>
        <v>1</v>
      </c>
      <c r="J293" s="26" t="n">
        <f aca="false">MAX(J292,IF(U292="HP",1,0))</f>
        <v>1</v>
      </c>
      <c r="K293" s="26" t="n">
        <f aca="false">MAX(K292,IF(U292="FP",1,0))</f>
        <v>1</v>
      </c>
      <c r="L293" s="26" t="n">
        <f aca="false">MAX(L292,IF(U292="transition",1,0))</f>
        <v>1</v>
      </c>
      <c r="M293" s="28" t="n">
        <f aca="false">(Parameters!$B$9+(IF(E293=0,0,(Upgrades!$J$6+E293*Upgrades!$K$6)*POWER(Upgrades!$L$6,E293)))*(IF(Upgrades!$T$7="Solar Wind",POWER(Upgrades!$U$7,F293),1)*IF(Upgrades!$T$8="Solar Wind",POWER(Upgrades!$U$8,G293),1)*IF(Upgrades!$T$9="Solar Wind",POWER(Upgrades!$U$9,H293),1)*IF(Upgrades!$T$10="Solar Wind",POWER(Upgrades!$U$10,I293),1)*IF(Upgrades!$T$11="Solar Wind",POWER(Upgrades!$U$11,J293),1)*IF(Upgrades!$T$12="Solar Wind",POWER(Upgrades!$U$12,K293),1))+(IF(F293=0,0,(Upgrades!$J$7+F293*Upgrades!$K$7)*POWER(Upgrades!$L$7,F293)))*(IF(Upgrades!$T$6="Asteroid Belt",POWER(Upgrades!$U$6,E293),1)*IF(Upgrades!$T$8="Asteroid Belt",POWER(Upgrades!$U$8,G293),1)*IF(Upgrades!$T$9="Asteroid Belt",POWER(Upgrades!$U$9,H293),1)*IF(Upgrades!$T$10="Asteroid Belt",POWER(Upgrades!$U$10,I293),1)*IF(Upgrades!$T$11="Asteroid Belt",POWER(Upgrades!$U$11,J293),1)*IF(Upgrades!$T$12="Asteroid Belt",POWER(Upgrades!$U$12,K293),1))+(IF(G293=0,0,(Upgrades!$J$8+G293*Upgrades!$K$8)*POWER(Upgrades!$L$8,G293)))*(IF(Upgrades!$T$6="Stellar Coupling",POWER(Upgrades!$U$6,E293),1)*IF(Upgrades!$T$7="Stellar Coupling",POWER(Upgrades!$U$7,F293),1)*IF(Upgrades!$T$9="Stellar Coupling",POWER(Upgrades!$U$9,H293),1)*IF(Upgrades!$T$10="Stellar Coupling",POWER(Upgrades!$U$10,I293),1)*IF(Upgrades!$T$11="Stellar Coupling",POWER(Upgrades!$U$11,J293),1)*IF(Upgrades!$T$12="Stellar Coupling",POWER(Upgrades!$U$12,K293),1))+(IF(H293=0,0,(Upgrades!$J$9+H293*Upgrades!$K$9)*POWER(Upgrades!$L$9,H293)))*(IF(Upgrades!$T$6="Magnetosphere",POWER(Upgrades!$U$6,E293),1)*IF(Upgrades!$T$7="Magnetosphere",POWER(Upgrades!$U$7,F293),1)*IF(Upgrades!$T$8="Magnetosphere",POWER(Upgrades!$U$8,G293),1)*IF(Upgrades!$T$10="Magnetosphere",POWER(Upgrades!$U$10,I293),1)*IF(Upgrades!$T$11="Magnetosphere",POWER(Upgrades!$U$11,J293),1)*IF(Upgrades!$T$12="Magnetosphere",POWER(Upgrades!$U$12,K293),1))+(IF(I293=0,0,(Upgrades!$J$10+I293*Upgrades!$K$10)*POWER(Upgrades!$L$10,I293)))*(IF(Upgrades!$T$6="Orbital Resonance",POWER(Upgrades!$U$6,E293),1)*IF(Upgrades!$T$7="Orbital Resonance",POWER(Upgrades!$U$7,F293),1)*IF(Upgrades!$T$8="Orbital Resonance",POWER(Upgrades!$U$8,G293),1)*IF(Upgrades!$T$9="Orbital Resonance",POWER(Upgrades!$U$9,H293),1)*IF(Upgrades!$T$11="Orbital Resonance",POWER(Upgrades!$U$11,J293),1)*IF(Upgrades!$T$12="Orbital Resonance",POWER(Upgrades!$U$12,K293),1))+(IF(J293=0,0,(Upgrades!$J$11+J293*Upgrades!$K$11)*POWER(Upgrades!$L$11,J293)))*(IF(Upgrades!$T$6="Heliopause",POWER(Upgrades!$U$6,E293),1)*IF(Upgrades!$T$7="Heliopause",POWER(Upgrades!$U$7,F293),1)*IF(Upgrades!$T$8="Heliopause",POWER(Upgrades!$U$8,G293),1)*IF(Upgrades!$T$9="Heliopause",POWER(Upgrades!$U$9,H293),1)*IF(Upgrades!$T$10="Heliopause",POWER(Upgrades!$U$10,I293),1)*IF(Upgrades!$T$12="Heliopause",POWER(Upgrades!$U$12,K293),1))+(IF(K293=0,0,(Upgrades!$J$12+K293*Upgrades!$K$12)*POWER(Upgrades!$L$12,K293)))*(IF(Upgrades!$T$6="First Photons",POWER(Upgrades!$U$6,E293),1)*IF(Upgrades!$T$7="First Photons",POWER(Upgrades!$U$7,F293),1)*IF(Upgrades!$T$8="First Photons",POWER(Upgrades!$U$8,G293),1)*IF(Upgrades!$T$9="First Photons",POWER(Upgrades!$U$9,H293),1)*IF(Upgrades!$T$10="First Photons",POWER(Upgrades!$U$10,I293),1)*IF(Upgrades!$T$11="First Photons",POWER(Upgrades!$U$11,J293),1)))*POWER(Upgrades!$Q$6,E293)*POWER(Upgrades!$Q$7,F293)*POWER(Upgrades!$Q$8,G293)*POWER(Upgrades!$Q$9,H293)*POWER(Upgrades!$Q$10,I293)*POWER(Upgrades!$Q$11,J293)*POWER(Upgrades!$Q$12,K293)</f>
        <v>5.61</v>
      </c>
      <c r="N293" s="28" t="n">
        <f aca="false">((IF(E293=0,0,(Upgrades!$G$6+E293*Upgrades!$H$6)*POWER(Upgrades!$I$6,E293)))*(IF(Upgrades!$T$7="Solar Wind",POWER(Upgrades!$U$7,F293),1)*IF(Upgrades!$T$8="Solar Wind",POWER(Upgrades!$U$8,G293),1)*IF(Upgrades!$T$9="Solar Wind",POWER(Upgrades!$U$9,H293),1)*IF(Upgrades!$T$10="Solar Wind",POWER(Upgrades!$U$10,I293),1)*IF(Upgrades!$T$11="Solar Wind",POWER(Upgrades!$U$11,J293),1)*IF(Upgrades!$T$12="Solar Wind",POWER(Upgrades!$U$12,K293),1))+(IF(F293=0,0,(Upgrades!$G$7+F293*Upgrades!$H$7)*POWER(Upgrades!$I$7,F293)))*(IF(Upgrades!$T$6="Asteroid Belt",POWER(Upgrades!$U$6,E293),1)*IF(Upgrades!$T$8="Asteroid Belt",POWER(Upgrades!$U$8,G293),1)*IF(Upgrades!$T$9="Asteroid Belt",POWER(Upgrades!$U$9,H293),1)*IF(Upgrades!$T$10="Asteroid Belt",POWER(Upgrades!$U$10,I293),1)*IF(Upgrades!$T$11="Asteroid Belt",POWER(Upgrades!$U$11,J293),1)*IF(Upgrades!$T$12="Asteroid Belt",POWER(Upgrades!$U$12,K293),1))+(IF(G293=0,0,(Upgrades!$G$8+G293*Upgrades!$H$8)*POWER(Upgrades!$I$8,G293)))*(IF(Upgrades!$T$6="Stellar Coupling",POWER(Upgrades!$U$6,E293),1)*IF(Upgrades!$T$7="Stellar Coupling",POWER(Upgrades!$U$7,F293),1)*IF(Upgrades!$T$9="Stellar Coupling",POWER(Upgrades!$U$9,H293),1)*IF(Upgrades!$T$10="Stellar Coupling",POWER(Upgrades!$U$10,I293),1)*IF(Upgrades!$T$11="Stellar Coupling",POWER(Upgrades!$U$11,J293),1)*IF(Upgrades!$T$12="Stellar Coupling",POWER(Upgrades!$U$12,K293),1))+(IF(H293=0,0,(Upgrades!$G$9+H293*Upgrades!$H$9)*POWER(Upgrades!$I$9,H293)))*(IF(Upgrades!$T$6="Magnetosphere",POWER(Upgrades!$U$6,E293),1)*IF(Upgrades!$T$7="Magnetosphere",POWER(Upgrades!$U$7,F293),1)*IF(Upgrades!$T$8="Magnetosphere",POWER(Upgrades!$U$8,G293),1)*IF(Upgrades!$T$10="Magnetosphere",POWER(Upgrades!$U$10,I293),1)*IF(Upgrades!$T$11="Magnetosphere",POWER(Upgrades!$U$11,J293),1)*IF(Upgrades!$T$12="Magnetosphere",POWER(Upgrades!$U$12,K293),1))+(IF(I293=0,0,(Upgrades!$G$10+I293*Upgrades!$H$10)*POWER(Upgrades!$I$10,I293)))*(IF(Upgrades!$T$6="Orbital Resonance",POWER(Upgrades!$U$6,E293),1)*IF(Upgrades!$T$7="Orbital Resonance",POWER(Upgrades!$U$7,F293),1)*IF(Upgrades!$T$8="Orbital Resonance",POWER(Upgrades!$U$8,G293),1)*IF(Upgrades!$T$9="Orbital Resonance",POWER(Upgrades!$U$9,H293),1)*IF(Upgrades!$T$11="Orbital Resonance",POWER(Upgrades!$U$11,J293),1)*IF(Upgrades!$T$12="Orbital Resonance",POWER(Upgrades!$U$12,K293),1))+(IF(J293=0,0,(Upgrades!$G$11+J293*Upgrades!$H$11)*POWER(Upgrades!$I$11,J293)))*(IF(Upgrades!$T$6="Heliopause",POWER(Upgrades!$U$6,E293),1)*IF(Upgrades!$T$7="Heliopause",POWER(Upgrades!$U$7,F293),1)*IF(Upgrades!$T$8="Heliopause",POWER(Upgrades!$U$8,G293),1)*IF(Upgrades!$T$9="Heliopause",POWER(Upgrades!$U$9,H293),1)*IF(Upgrades!$T$10="Heliopause",POWER(Upgrades!$U$10,I293),1)*IF(Upgrades!$T$12="Heliopause",POWER(Upgrades!$U$12,K293),1))+(IF(K293=0,0,(Upgrades!$G$12+K293*Upgrades!$H$12)*POWER(Upgrades!$I$12,K293)))*(IF(Upgrades!$T$6="First Photons",POWER(Upgrades!$U$6,E293),1)*IF(Upgrades!$T$7="First Photons",POWER(Upgrades!$U$7,F293),1)*IF(Upgrades!$T$8="First Photons",POWER(Upgrades!$U$8,G293),1)*IF(Upgrades!$T$9="First Photons",POWER(Upgrades!$U$9,H293),1)*IF(Upgrades!$T$10="First Photons",POWER(Upgrades!$U$10,I293),1)*IF(Upgrades!$T$11="First Photons",POWER(Upgrades!$U$11,J293),1)))*POWER(Upgrades!$P$6,E293)*POWER(Upgrades!$P$7,F293)*POWER(Upgrades!$P$8,G293)*POWER(Upgrades!$P$9,H293)*POWER(Upgrades!$P$10,I293)*POWER(Upgrades!$P$11,J293)*POWER(Upgrades!$P$12,K293)</f>
        <v>11.2</v>
      </c>
      <c r="O293" s="28" t="n">
        <f aca="false">((IF(E293=0,0,(Upgrades!$M$6+E293*Upgrades!$N$6)*POWER(Upgrades!$O$6,E293)))*(IF(Upgrades!$T$7="Solar Wind",POWER(Upgrades!$U$7,F293),1)*IF(Upgrades!$T$8="Solar Wind",POWER(Upgrades!$U$8,G293),1)*IF(Upgrades!$T$9="Solar Wind",POWER(Upgrades!$U$9,H293),1)*IF(Upgrades!$T$10="Solar Wind",POWER(Upgrades!$U$10,I293),1)*IF(Upgrades!$T$11="Solar Wind",POWER(Upgrades!$U$11,J293),1)*IF(Upgrades!$T$12="Solar Wind",POWER(Upgrades!$U$12,K293),1))+(IF(F293=0,0,(Upgrades!$M$7+F293*Upgrades!$N$7)*POWER(Upgrades!$O$7,F293)))*(IF(Upgrades!$T$6="Asteroid Belt",POWER(Upgrades!$U$6,E293),1)*IF(Upgrades!$T$8="Asteroid Belt",POWER(Upgrades!$U$8,G293),1)*IF(Upgrades!$T$9="Asteroid Belt",POWER(Upgrades!$U$9,H293),1)*IF(Upgrades!$T$10="Asteroid Belt",POWER(Upgrades!$U$10,I293),1)*IF(Upgrades!$T$11="Asteroid Belt",POWER(Upgrades!$U$11,J293),1)*IF(Upgrades!$T$12="Asteroid Belt",POWER(Upgrades!$U$12,K293),1))+(IF(G293=0,0,(Upgrades!$M$8+G293*Upgrades!$N$8)*POWER(Upgrades!$O$8,G293)))*(IF(Upgrades!$T$6="Stellar Coupling",POWER(Upgrades!$U$6,E293),1)*IF(Upgrades!$T$7="Stellar Coupling",POWER(Upgrades!$U$7,F293),1)*IF(Upgrades!$T$9="Stellar Coupling",POWER(Upgrades!$U$9,H293),1)*IF(Upgrades!$T$10="Stellar Coupling",POWER(Upgrades!$U$10,I293),1)*IF(Upgrades!$T$11="Stellar Coupling",POWER(Upgrades!$U$11,J293),1)*IF(Upgrades!$T$12="Stellar Coupling",POWER(Upgrades!$U$12,K293),1))+(IF(H293=0,0,(Upgrades!$M$9+H293*Upgrades!$N$9)*POWER(Upgrades!$O$9,H293)))*(IF(Upgrades!$T$6="Magnetosphere",POWER(Upgrades!$U$6,E293),1)*IF(Upgrades!$T$7="Magnetosphere",POWER(Upgrades!$U$7,F293),1)*IF(Upgrades!$T$8="Magnetosphere",POWER(Upgrades!$U$8,G293),1)*IF(Upgrades!$T$10="Magnetosphere",POWER(Upgrades!$U$10,I293),1)*IF(Upgrades!$T$11="Magnetosphere",POWER(Upgrades!$U$11,J293),1)*IF(Upgrades!$T$12="Magnetosphere",POWER(Upgrades!$U$12,K293),1))+(IF(I293=0,0,(Upgrades!$M$10+I293*Upgrades!$N$10)*POWER(Upgrades!$O$10,I293)))*(IF(Upgrades!$T$6="Orbital Resonance",POWER(Upgrades!$U$6,E293),1)*IF(Upgrades!$T$7="Orbital Resonance",POWER(Upgrades!$U$7,F293),1)*IF(Upgrades!$T$8="Orbital Resonance",POWER(Upgrades!$U$8,G293),1)*IF(Upgrades!$T$9="Orbital Resonance",POWER(Upgrades!$U$9,H293),1)*IF(Upgrades!$T$11="Orbital Resonance",POWER(Upgrades!$U$11,J293),1)*IF(Upgrades!$T$12="Orbital Resonance",POWER(Upgrades!$U$12,K293),1))+(IF(J293=0,0,(Upgrades!$M$11+J293*Upgrades!$N$11)*POWER(Upgrades!$O$11,J293)))*(IF(Upgrades!$T$6="Heliopause",POWER(Upgrades!$U$6,E293),1)*IF(Upgrades!$T$7="Heliopause",POWER(Upgrades!$U$7,F293),1)*IF(Upgrades!$T$8="Heliopause",POWER(Upgrades!$U$8,G293),1)*IF(Upgrades!$T$9="Heliopause",POWER(Upgrades!$U$9,H293),1)*IF(Upgrades!$T$10="Heliopause",POWER(Upgrades!$U$10,I293),1)*IF(Upgrades!$T$12="Heliopause",POWER(Upgrades!$U$12,K293),1))+(IF(K293=0,0,(Upgrades!$M$12+K293*Upgrades!$N$12)*POWER(Upgrades!$O$12,K293)))*(IF(Upgrades!$T$6="First Photons",POWER(Upgrades!$U$6,E293),1)*IF(Upgrades!$T$7="First Photons",POWER(Upgrades!$U$7,F293),1)*IF(Upgrades!$T$8="First Photons",POWER(Upgrades!$U$8,G293),1)*IF(Upgrades!$T$9="First Photons",POWER(Upgrades!$U$9,H293),1)*IF(Upgrades!$T$10="First Photons",POWER(Upgrades!$U$10,I293),1)*IF(Upgrades!$T$11="First Photons",POWER(Upgrades!$U$11,J293),1)))*POWER(Upgrades!$R$6,E293)*POWER(Upgrades!$R$7,F293)*POWER(Upgrades!$R$8,G293)*POWER(Upgrades!$R$9,H293)*POWER(Upgrades!$R$10,I293)*POWER(Upgrades!$R$11,J293)*POWER(Upgrades!$R$12,K293)</f>
        <v>0</v>
      </c>
      <c r="P293" s="27" t="n">
        <f aca="false">IF(L293=1,0,M293*Parameters!$B$10/60*Parameters!$B$11*10)</f>
        <v>0</v>
      </c>
      <c r="Q293" s="27" t="n">
        <f aca="false">IF(L293=1,0,O293*M293*10)</f>
        <v>0</v>
      </c>
      <c r="R293" s="27" t="n">
        <f aca="false">IF(L293=1,0,N293*10)</f>
        <v>0</v>
      </c>
      <c r="S293" s="27" t="n">
        <f aca="false">P293+Q293+R293</f>
        <v>0</v>
      </c>
      <c r="T293" s="21" t="n">
        <f aca="false">C293+S293</f>
        <v>18.6730249835055</v>
      </c>
      <c r="U293" s="34" t="str">
        <f aca="false">AX293</f>
        <v/>
      </c>
      <c r="V293" s="21" t="n">
        <f aca="false">IF(U293="",0,IF(U293="transition",0,IF(U293="SW",AG293,IF(U293="AB",AH293,IF(U293="SC",AI293,IF(U293="Mag",AJ293,IF(U293="OR",AK293,IF(U293="HP",AL293,IF(U293="FP",AM293,0)))))))))</f>
        <v>0</v>
      </c>
      <c r="W293" s="27" t="n">
        <f aca="false">IF(U293="OR",Upgrades!$F$10,IF(U293="HP",Upgrades!$F$11,IF(U293="transition",-Parameters!$B$18,0)))</f>
        <v>0</v>
      </c>
      <c r="X293" s="21" t="n">
        <f aca="false">T293-V293</f>
        <v>18.6730249835055</v>
      </c>
      <c r="Y293" s="30" t="n">
        <f aca="false">M293*Parameters!$B$10/60*Parameters!$B$11+O293*M293+N293</f>
        <v>20.55</v>
      </c>
      <c r="Z293" s="35" t="str">
        <f aca="false">IF(U293="transition","→ Tier 2 (Stellar Neighborhood)",IF(U293="FP","First Photons — light begins, system quickens",IF(U293="HP","Heliopause acquired",IF(U293="OR","Orbital Resonance — passive multiplier active",IF(AND(AO293=1,L293=0,AN293&lt;&gt;1),"Cohesion ready (waiting on completionist upgrades)","")))))</f>
        <v/>
      </c>
      <c r="AA293" s="27" t="n">
        <f aca="false">(IF(E293=0,0,(Upgrades!$G$6+E293*Upgrades!$H$6)*POWER(Upgrades!$I$6,E293)))*(IF(Upgrades!$T$7="Solar Wind",POWER(Upgrades!$U$7,F293),1)*IF(Upgrades!$T$8="Solar Wind",POWER(Upgrades!$U$8,G293),1)*IF(Upgrades!$T$9="Solar Wind",POWER(Upgrades!$U$9,H293),1)*IF(Upgrades!$T$10="Solar Wind",POWER(Upgrades!$U$10,I293),1)*IF(Upgrades!$T$11="Solar Wind",POWER(Upgrades!$U$11,J293),1)*IF(Upgrades!$T$12="Solar Wind",POWER(Upgrades!$U$12,K293),1))*POWER(Upgrades!$P$6,E293)*POWER(Upgrades!$P$7,F293)*POWER(Upgrades!$P$8,G293)*POWER(Upgrades!$P$9,H293)*POWER(Upgrades!$P$10,I293)*POWER(Upgrades!$P$11,J293)*POWER(Upgrades!$P$12,K293)*60</f>
        <v>72</v>
      </c>
      <c r="AB293" s="27" t="n">
        <f aca="false">(IF(F293=0,0,(Upgrades!$G$7+F293*Upgrades!$H$7)*POWER(Upgrades!$I$7,F293)))*(IF(Upgrades!$T$6="Asteroid Belt",POWER(Upgrades!$U$6,E293),1)*IF(Upgrades!$T$8="Asteroid Belt",POWER(Upgrades!$U$8,G293),1)*IF(Upgrades!$T$9="Asteroid Belt",POWER(Upgrades!$U$9,H293),1)*IF(Upgrades!$T$10="Asteroid Belt",POWER(Upgrades!$U$10,I293),1)*IF(Upgrades!$T$11="Asteroid Belt",POWER(Upgrades!$U$11,J293),1)*IF(Upgrades!$T$12="Asteroid Belt",POWER(Upgrades!$U$12,K293),1))*POWER(Upgrades!$P$6,E293)*POWER(Upgrades!$P$7,F293)*POWER(Upgrades!$P$8,G293)*POWER(Upgrades!$P$9,H293)*POWER(Upgrades!$P$10,I293)*POWER(Upgrades!$P$11,J293)*POWER(Upgrades!$P$12,K293)*60</f>
        <v>150</v>
      </c>
      <c r="AC293" s="27" t="n">
        <f aca="false">(IF(G293=0,0,(Upgrades!$J$8+G293*Upgrades!$K$8)*POWER(Upgrades!$L$8,G293)))*(IF(Upgrades!$T$6="Stellar Coupling",POWER(Upgrades!$U$6,E293),1)*IF(Upgrades!$T$7="Stellar Coupling",POWER(Upgrades!$U$7,F293),1)*IF(Upgrades!$T$9="Stellar Coupling",POWER(Upgrades!$U$9,H293),1)*IF(Upgrades!$T$10="Stellar Coupling",POWER(Upgrades!$U$10,I293),1)*IF(Upgrades!$T$11="Stellar Coupling",POWER(Upgrades!$U$11,J293),1)*IF(Upgrades!$T$12="Stellar Coupling",POWER(Upgrades!$U$12,K293),1))*POWER(Upgrades!$Q$6,E293)*POWER(Upgrades!$Q$7,F293)*POWER(Upgrades!$Q$8,G293)*POWER(Upgrades!$Q$9,H293)*POWER(Upgrades!$Q$10,I293)*POWER(Upgrades!$Q$11,J293)*POWER(Upgrades!$Q$12,K293)*Parameters!$B$10*Parameters!$B$11</f>
        <v>441</v>
      </c>
      <c r="AD293" s="27" t="n">
        <f aca="false">(IF(H293=0,0,(Upgrades!$G$9+H293*Upgrades!$H$9)*POWER(Upgrades!$I$9,H293)))*(IF(Upgrades!$T$6="Magnetosphere",POWER(Upgrades!$U$6,E293),1)*IF(Upgrades!$T$7="Magnetosphere",POWER(Upgrades!$U$7,F293),1)*IF(Upgrades!$T$8="Magnetosphere",POWER(Upgrades!$U$8,G293),1)*IF(Upgrades!$T$10="Magnetosphere",POWER(Upgrades!$U$10,I293),1)*IF(Upgrades!$T$11="Magnetosphere",POWER(Upgrades!$U$11,J293),1)*IF(Upgrades!$T$12="Magnetosphere",POWER(Upgrades!$U$12,K293),1))*POWER(Upgrades!$P$6,E293)*POWER(Upgrades!$P$7,F293)*POWER(Upgrades!$P$8,G293)*POWER(Upgrades!$P$9,H293)*POWER(Upgrades!$P$10,I293)*POWER(Upgrades!$P$11,J293)*POWER(Upgrades!$P$12,K293)*60</f>
        <v>375</v>
      </c>
      <c r="AE293" s="27" t="n">
        <f aca="false">(IF(K293=0,0,(Upgrades!$G$12+K293*Upgrades!$H$12)*POWER(Upgrades!$I$12,K293)))*(IF(Upgrades!$T$6="First Photons",POWER(Upgrades!$U$6,E293),1)*IF(Upgrades!$T$7="First Photons",POWER(Upgrades!$U$7,F293),1)*IF(Upgrades!$T$8="First Photons",POWER(Upgrades!$U$8,G293),1)*IF(Upgrades!$T$9="First Photons",POWER(Upgrades!$U$9,H293),1)*IF(Upgrades!$T$10="First Photons",POWER(Upgrades!$U$10,I293),1)*IF(Upgrades!$T$11="First Photons",POWER(Upgrades!$U$11,J293),1))*POWER(Upgrades!$P$6,E293)*POWER(Upgrades!$P$7,F293)*POWER(Upgrades!$P$8,G293)*POWER(Upgrades!$P$9,H293)*POWER(Upgrades!$P$10,I293)*POWER(Upgrades!$P$11,J293)*POWER(Upgrades!$P$12,K293)*60</f>
        <v>75</v>
      </c>
      <c r="AF293" s="27" t="n">
        <f aca="false">Parameters!$B$9*POWER(Upgrades!$Q$6,E293)*POWER(Upgrades!$Q$7,F293)*POWER(Upgrades!$Q$8,G293)*POWER(Upgrades!$Q$9,H293)*POWER(Upgrades!$Q$10,I293)*POWER(Upgrades!$Q$11,J293)*POWER(Upgrades!$Q$12,K293)*(Parameters!$B$10*Parameters!$B$11+O293*60)</f>
        <v>120</v>
      </c>
      <c r="AG293" s="21" t="n">
        <f aca="false">IF(E293&gt;=Upgrades!$E$6,"",Upgrades!$C$6*POWER(Upgrades!$D$6,E293))</f>
        <v>37.4517507383159</v>
      </c>
      <c r="AH293" s="21" t="n">
        <f aca="false">IF(F293&gt;=Upgrades!$E$7,"",Upgrades!$C$7*POWER(Upgrades!$D$7,F293))</f>
        <v>80.9111547141581</v>
      </c>
      <c r="AI293" s="21" t="n">
        <f aca="false">IF(G293&gt;=Upgrades!$E$8,"",Upgrades!$C$8*POWER(Upgrades!$D$8,G293))</f>
        <v>231.9097088</v>
      </c>
      <c r="AJ293" s="21" t="str">
        <f aca="false">IF(H293&gt;=Upgrades!$E$9,"",Upgrades!$C$9*POWER(Upgrades!$D$9,H293))</f>
        <v/>
      </c>
      <c r="AK293" s="21" t="str">
        <f aca="false">IF(I293&gt;=Upgrades!$E$10,"",Upgrades!$C$10*POWER(Upgrades!$D$10,I293))</f>
        <v/>
      </c>
      <c r="AL293" s="21" t="str">
        <f aca="false">IF(J293&gt;=Upgrades!$E$11,"",Upgrades!$C$11*POWER(Upgrades!$D$11,J293))</f>
        <v/>
      </c>
      <c r="AM293" s="21" t="str">
        <f aca="false">IF(K293&gt;=Upgrades!$E$12,"",Upgrades!$C$12*POWER(Upgrades!$D$12,K293))</f>
        <v/>
      </c>
      <c r="AN293" s="26" t="str">
        <f aca="false">IF(AND(D293&gt;=Parameters!$B$18,(H293&gt;=Upgrades!$E$9)*(K293&gt;=Upgrades!$E$12)=1,L293=0),1,"")</f>
        <v/>
      </c>
      <c r="AO293" s="26" t="str">
        <f aca="false">IF(AND(D293&gt;=Parameters!$B$18,L293=0),1,"")</f>
        <v/>
      </c>
      <c r="AP293" s="21" t="n">
        <f aca="false">MIN(IF(ISNUMBER(AK293),AK293,9000000000000000),IF(ISNUMBER(AL293),AL293,9000000000000000),IF(ISNUMBER(AM293),AM293,9000000000000000))</f>
        <v>9000000000000000</v>
      </c>
      <c r="AQ293" s="21" t="n">
        <f aca="false">MIN(IF(ISNUMBER(AG293),AG293,9000000000000000),IF(ISNUMBER(AH293),AH293,9000000000000000),IF(ISNUMBER(AI293),AI293,9000000000000000),IF(ISNUMBER(AJ293),AJ293,9000000000000000))</f>
        <v>37.4517507383159</v>
      </c>
      <c r="AR293" s="32" t="b">
        <f aca="false">IF(AW293&gt;Parameters!$B$21*(MAX(IF(AND(NOT(AND(AO293=1,AN293&lt;&gt;1)),ISNUMBER(AG293),AG293&lt;=T293),AS293,0),IF(AND(NOT(AND(AO293=1,AN293&lt;&gt;1)),ISNUMBER(AH293),AH293&lt;=T293),AT293,0),IF(AND(NOT(AND(AO293=1,AN293&lt;&gt;1)),ISNUMBER(AI293),AI293&lt;=T293),AU293,0),IF(AND(ISNUMBER(AJ293),AJ293&lt;=T293),AV293,0))),TRUE(),FALSE())</f>
        <v>1</v>
      </c>
      <c r="AS293" s="33" t="n">
        <f aca="false">IFERROR(Upgrades!$H$6*(POWER(Upgrades!$P$6,E293)*POWER(Upgrades!$P$7,F293)*POWER(Upgrades!$P$8,G293)*POWER(Upgrades!$P$9,H293)*POWER(Upgrades!$P$10,I293)*POWER(Upgrades!$P$11,J293)*POWER(Upgrades!$P$12,K293))*(IF(Upgrades!$T$7="Solar Wind",POWER(Upgrades!$U$7,F293),1)*IF(Upgrades!$T$8="Solar Wind",POWER(Upgrades!$U$8,G293),1)*IF(Upgrades!$T$9="Solar Wind",POWER(Upgrades!$U$9,H293),1)*IF(Upgrades!$T$10="Solar Wind",POWER(Upgrades!$U$10,I293),1)*IF(Upgrades!$T$11="Solar Wind",POWER(Upgrades!$U$11,J293),1)*IF(Upgrades!$T$12="Solar Wind",POWER(Upgrades!$U$12,K293),1))/AG293,0)</f>
        <v>0.0026701021455238</v>
      </c>
      <c r="AT293" s="33" t="n">
        <f aca="false">IFERROR(Upgrades!$H$7*(POWER(Upgrades!$P$6,E293)*POWER(Upgrades!$P$7,F293)*POWER(Upgrades!$P$8,G293)*POWER(Upgrades!$P$9,H293)*POWER(Upgrades!$P$10,I293)*POWER(Upgrades!$P$11,J293)*POWER(Upgrades!$P$12,K293))*(IF(Upgrades!$T$6="Asteroid Belt",POWER(Upgrades!$U$6,E293),1)*IF(Upgrades!$T$8="Asteroid Belt",POWER(Upgrades!$U$8,G293),1)*IF(Upgrades!$T$9="Asteroid Belt",POWER(Upgrades!$U$9,H293),1)*IF(Upgrades!$T$10="Asteroid Belt",POWER(Upgrades!$U$10,I293),1)*IF(Upgrades!$T$11="Asteroid Belt",POWER(Upgrades!$U$11,J293),1)*IF(Upgrades!$T$12="Asteroid Belt",POWER(Upgrades!$U$12,K293),1))/AH293,0)</f>
        <v>0.00308980882652332</v>
      </c>
      <c r="AU293" s="33" t="n">
        <f aca="false">IFERROR(Upgrades!$K$8*(POWER(Upgrades!$Q$6,E293)*POWER(Upgrades!$Q$7,F293)*POWER(Upgrades!$Q$8,G293)*POWER(Upgrades!$Q$9,H293)*POWER(Upgrades!$Q$10,I293)*POWER(Upgrades!$Q$11,J293)*POWER(Upgrades!$Q$12,K293))*(IF(Upgrades!$T$6="Stellar Coupling",POWER(Upgrades!$U$6,E293),1)*IF(Upgrades!$T$7="Stellar Coupling",POWER(Upgrades!$U$7,F293),1)*IF(Upgrades!$T$9="Stellar Coupling",POWER(Upgrades!$U$9,H293),1)*IF(Upgrades!$T$10="Stellar Coupling",POWER(Upgrades!$U$10,I293),1)*IF(Upgrades!$T$11="Stellar Coupling",POWER(Upgrades!$U$11,J293),1)*IF(Upgrades!$T$12="Stellar Coupling",POWER(Upgrades!$U$12,K293),1))*Parameters!$B$10*Parameters!$B$11/60/AI293,0)</f>
        <v>0.00452762415783776</v>
      </c>
      <c r="AV293" s="33" t="n">
        <f aca="false">IFERROR(Upgrades!$H$9*(POWER(Upgrades!$P$6,E293)*POWER(Upgrades!$P$7,F293)*POWER(Upgrades!$P$8,G293)*POWER(Upgrades!$P$9,H293)*POWER(Upgrades!$P$10,I293)*POWER(Upgrades!$P$11,J293)*POWER(Upgrades!$P$12,K293))*(IF(Upgrades!$T$6="Magnetosphere",POWER(Upgrades!$U$6,E293),1)*IF(Upgrades!$T$7="Magnetosphere",POWER(Upgrades!$U$7,F293),1)*IF(Upgrades!$T$8="Magnetosphere",POWER(Upgrades!$U$8,G293),1)*IF(Upgrades!$T$10="Magnetosphere",POWER(Upgrades!$U$10,I293),1)*IF(Upgrades!$T$11="Magnetosphere",POWER(Upgrades!$U$11,J293),1)*IF(Upgrades!$T$12="Magnetosphere",POWER(Upgrades!$U$12,K293),1))/AJ293,0)</f>
        <v>0</v>
      </c>
      <c r="AW293" s="33" t="n">
        <f aca="false">MAX(IF(I293&gt;0,0,IFERROR(0.25*N293/Upgrades!$C$10,0)),IF(J293&gt;0,0,IFERROR(0.5*((IF(G293=0,0,(Upgrades!$J$8+G293*Upgrades!$K$8)*POWER(Upgrades!$L$8,G293)))*(IF(Upgrades!$T$6="Stellar Coupling",POWER(Upgrades!$U$6,E293),1)*IF(Upgrades!$T$7="Stellar Coupling",POWER(Upgrades!$U$7,F293),1)*IF(Upgrades!$T$9="Stellar Coupling",POWER(Upgrades!$U$9,H293),1)*IF(Upgrades!$T$10="Stellar Coupling",POWER(Upgrades!$U$10,I293),1)*IF(Upgrades!$T$11="Stellar Coupling",POWER(Upgrades!$U$11,J293),1)*IF(Upgrades!$T$12="Stellar Coupling",POWER(Upgrades!$U$12,K293),1))*(POWER(Upgrades!$Q$6,E293)*POWER(Upgrades!$Q$7,F293)*POWER(Upgrades!$Q$8,G293)*POWER(Upgrades!$Q$9,H293)*POWER(Upgrades!$Q$10,I293)*POWER(Upgrades!$Q$11,J293)*POWER(Upgrades!$Q$12,K293))*Parameters!$B$10*Parameters!$B$11/60)/Upgrades!$C$11,0)),IF(K293&gt;0,0,IFERROR((1*(POWER(Upgrades!$P$6,E293)*POWER(Upgrades!$P$7,F293)*POWER(Upgrades!$P$8,G293)*POWER(Upgrades!$P$9,H293)*POWER(Upgrades!$P$10,I293)*POWER(Upgrades!$P$11,J293)*POWER(Upgrades!$P$12,K293))+0.2*M293*Parameters!$B$10*Parameters!$B$11/60)/Upgrades!$C$12,0)),IF(AND(ISNUMBER(AG293),AG293&gt;T293),AS293,0),IF(AND(ISNUMBER(AH293),AH293&gt;T293),AT293,0),IF(AND(ISNUMBER(AI293),AI293&gt;T293),AU293,0),IF(AND(ISNUMBER(AJ293),AJ293&gt;T293),AV293,0))</f>
        <v>0.00452762415783776</v>
      </c>
      <c r="AX293" s="29" t="str">
        <f aca="false">IF(AN293=1,"transition",IF(MIN(IF(AND(I293=0,ISNUMBER(AK293),AK293&lt;=T293),AK293,9000000000000000),IF(AND(J293=0,ISNUMBER(AL293),AL293&lt;=T293),AL293,9000000000000000),IF(AND(K293=0,ISNUMBER(AM293),AM293&lt;=T293),AM293,9000000000000000))&lt;9000000000000000,IF(AND(AND(I293=0,ISNUMBER(AK293),AK293&lt;=T293),AK293=MIN(IF(AND(I293=0,ISNUMBER(AK293),AK293&lt;=T293),AK293,9000000000000000),IF(AND(J293=0,ISNUMBER(AL293),AL293&lt;=T293),AL293,9000000000000000),IF(AND(K293=0,ISNUMBER(AM293),AM293&lt;=T293),AM293,9000000000000000))),"OR",IF(AND(AND(J293=0,ISNUMBER(AL293),AL293&lt;=T293),AL293=MIN(IF(AND(I293=0,ISNUMBER(AK293),AK293&lt;=T293),AK293,9000000000000000),IF(AND(J293=0,ISNUMBER(AL293),AL293&lt;=T293),AL293,9000000000000000),IF(AND(K293=0,ISNUMBER(AM293),AM293&lt;=T293),AM293,9000000000000000))),"HP","FP")),IF(AR293=TRUE(),"",IF(MAX(IF(AND(NOT(AND(AO293=1,AN293&lt;&gt;1)),ISNUMBER(AG293),AG293&lt;=T293),AS293,0),IF(AND(NOT(AND(AO293=1,AN293&lt;&gt;1)),ISNUMBER(AH293),AH293&lt;=T293),AT293,0),IF(AND(NOT(AND(AO293=1,AN293&lt;&gt;1)),ISNUMBER(AI293),AI293&lt;=T293),AU293,0),IF(AND(ISNUMBER(AJ293),AJ293&lt;=T293),AV293,0))&lt;=0,"",IF(AND(IF(AND(NOT(AND(AO293=1,AN293&lt;&gt;1)),ISNUMBER(AG293),AG293&lt;=T293),AS293,0)&gt;0,IF(AND(NOT(AND(AO293=1,AN293&lt;&gt;1)),ISNUMBER(AG293),AG293&lt;=T293),AS293,0)=MAX(IF(AND(NOT(AND(AO293=1,AN293&lt;&gt;1)),ISNUMBER(AG293),AG293&lt;=T293),AS293,0),IF(AND(NOT(AND(AO293=1,AN293&lt;&gt;1)),ISNUMBER(AH293),AH293&lt;=T293),AT293,0),IF(AND(NOT(AND(AO293=1,AN293&lt;&gt;1)),ISNUMBER(AI293),AI293&lt;=T293),AU293,0),IF(AND(ISNUMBER(AJ293),AJ293&lt;=T293),AV293,0))),"SW",IF(AND(IF(AND(NOT(AND(AO293=1,AN293&lt;&gt;1)),ISNUMBER(AH293),AH293&lt;=T293),AT293,0)&gt;0,IF(AND(NOT(AND(AO293=1,AN293&lt;&gt;1)),ISNUMBER(AH293),AH293&lt;=T293),AT293,0)=MAX(IF(AND(NOT(AND(AO293=1,AN293&lt;&gt;1)),ISNUMBER(AG293),AG293&lt;=T293),AS293,0),IF(AND(NOT(AND(AO293=1,AN293&lt;&gt;1)),ISNUMBER(AH293),AH293&lt;=T293),AT293,0),IF(AND(NOT(AND(AO293=1,AN293&lt;&gt;1)),ISNUMBER(AI293),AI293&lt;=T293),AU293,0),IF(AND(ISNUMBER(AJ293),AJ293&lt;=T293),AV293,0))),"AB",IF(AND(IF(AND(NOT(AND(AO293=1,AN293&lt;&gt;1)),ISNUMBER(AI293),AI293&lt;=T293),AU293,0)&gt;0,IF(AND(NOT(AND(AO293=1,AN293&lt;&gt;1)),ISNUMBER(AI293),AI293&lt;=T293),AU293,0)=MAX(IF(AND(NOT(AND(AO293=1,AN293&lt;&gt;1)),ISNUMBER(AG293),AG293&lt;=T293),AS293,0),IF(AND(NOT(AND(AO293=1,AN293&lt;&gt;1)),ISNUMBER(AH293),AH293&lt;=T293),AT293,0),IF(AND(NOT(AND(AO293=1,AN293&lt;&gt;1)),ISNUMBER(AI293),AI293&lt;=T293),AU293,0),IF(AND(ISNUMBER(AJ293),AJ293&lt;=T293),AV293,0))),"SC","Mag")))))))</f>
        <v/>
      </c>
    </row>
    <row r="294" customFormat="false" ht="15" hidden="false" customHeight="false" outlineLevel="0" collapsed="false">
      <c r="A294" s="26" t="n">
        <v>289</v>
      </c>
      <c r="B294" s="27" t="n">
        <f aca="false">A294*10/60</f>
        <v>48.1666666666667</v>
      </c>
      <c r="C294" s="21" t="n">
        <f aca="false">X293</f>
        <v>18.6730249835055</v>
      </c>
      <c r="D294" s="27" t="n">
        <f aca="false">D293+W293</f>
        <v>0</v>
      </c>
      <c r="E294" s="26" t="n">
        <f aca="false">E293+IF(U293="SW",1,0)</f>
        <v>12</v>
      </c>
      <c r="F294" s="26" t="n">
        <f aca="false">F293+IF(U293="AB",1,0)</f>
        <v>10</v>
      </c>
      <c r="G294" s="26" t="n">
        <f aca="false">G293+IF(U293="SC",1,0)</f>
        <v>7</v>
      </c>
      <c r="H294" s="26" t="n">
        <f aca="false">H293+IF(U293="Mag",1,0)</f>
        <v>5</v>
      </c>
      <c r="I294" s="26" t="n">
        <f aca="false">MAX(I293,IF(U293="OR",1,0))</f>
        <v>1</v>
      </c>
      <c r="J294" s="26" t="n">
        <f aca="false">MAX(J293,IF(U293="HP",1,0))</f>
        <v>1</v>
      </c>
      <c r="K294" s="26" t="n">
        <f aca="false">MAX(K293,IF(U293="FP",1,0))</f>
        <v>1</v>
      </c>
      <c r="L294" s="26" t="n">
        <f aca="false">MAX(L293,IF(U293="transition",1,0))</f>
        <v>1</v>
      </c>
      <c r="M294" s="28" t="n">
        <f aca="false">(Parameters!$B$9+(IF(E294=0,0,(Upgrades!$J$6+E294*Upgrades!$K$6)*POWER(Upgrades!$L$6,E294)))*(IF(Upgrades!$T$7="Solar Wind",POWER(Upgrades!$U$7,F294),1)*IF(Upgrades!$T$8="Solar Wind",POWER(Upgrades!$U$8,G294),1)*IF(Upgrades!$T$9="Solar Wind",POWER(Upgrades!$U$9,H294),1)*IF(Upgrades!$T$10="Solar Wind",POWER(Upgrades!$U$10,I294),1)*IF(Upgrades!$T$11="Solar Wind",POWER(Upgrades!$U$11,J294),1)*IF(Upgrades!$T$12="Solar Wind",POWER(Upgrades!$U$12,K294),1))+(IF(F294=0,0,(Upgrades!$J$7+F294*Upgrades!$K$7)*POWER(Upgrades!$L$7,F294)))*(IF(Upgrades!$T$6="Asteroid Belt",POWER(Upgrades!$U$6,E294),1)*IF(Upgrades!$T$8="Asteroid Belt",POWER(Upgrades!$U$8,G294),1)*IF(Upgrades!$T$9="Asteroid Belt",POWER(Upgrades!$U$9,H294),1)*IF(Upgrades!$T$10="Asteroid Belt",POWER(Upgrades!$U$10,I294),1)*IF(Upgrades!$T$11="Asteroid Belt",POWER(Upgrades!$U$11,J294),1)*IF(Upgrades!$T$12="Asteroid Belt",POWER(Upgrades!$U$12,K294),1))+(IF(G294=0,0,(Upgrades!$J$8+G294*Upgrades!$K$8)*POWER(Upgrades!$L$8,G294)))*(IF(Upgrades!$T$6="Stellar Coupling",POWER(Upgrades!$U$6,E294),1)*IF(Upgrades!$T$7="Stellar Coupling",POWER(Upgrades!$U$7,F294),1)*IF(Upgrades!$T$9="Stellar Coupling",POWER(Upgrades!$U$9,H294),1)*IF(Upgrades!$T$10="Stellar Coupling",POWER(Upgrades!$U$10,I294),1)*IF(Upgrades!$T$11="Stellar Coupling",POWER(Upgrades!$U$11,J294),1)*IF(Upgrades!$T$12="Stellar Coupling",POWER(Upgrades!$U$12,K294),1))+(IF(H294=0,0,(Upgrades!$J$9+H294*Upgrades!$K$9)*POWER(Upgrades!$L$9,H294)))*(IF(Upgrades!$T$6="Magnetosphere",POWER(Upgrades!$U$6,E294),1)*IF(Upgrades!$T$7="Magnetosphere",POWER(Upgrades!$U$7,F294),1)*IF(Upgrades!$T$8="Magnetosphere",POWER(Upgrades!$U$8,G294),1)*IF(Upgrades!$T$10="Magnetosphere",POWER(Upgrades!$U$10,I294),1)*IF(Upgrades!$T$11="Magnetosphere",POWER(Upgrades!$U$11,J294),1)*IF(Upgrades!$T$12="Magnetosphere",POWER(Upgrades!$U$12,K294),1))+(IF(I294=0,0,(Upgrades!$J$10+I294*Upgrades!$K$10)*POWER(Upgrades!$L$10,I294)))*(IF(Upgrades!$T$6="Orbital Resonance",POWER(Upgrades!$U$6,E294),1)*IF(Upgrades!$T$7="Orbital Resonance",POWER(Upgrades!$U$7,F294),1)*IF(Upgrades!$T$8="Orbital Resonance",POWER(Upgrades!$U$8,G294),1)*IF(Upgrades!$T$9="Orbital Resonance",POWER(Upgrades!$U$9,H294),1)*IF(Upgrades!$T$11="Orbital Resonance",POWER(Upgrades!$U$11,J294),1)*IF(Upgrades!$T$12="Orbital Resonance",POWER(Upgrades!$U$12,K294),1))+(IF(J294=0,0,(Upgrades!$J$11+J294*Upgrades!$K$11)*POWER(Upgrades!$L$11,J294)))*(IF(Upgrades!$T$6="Heliopause",POWER(Upgrades!$U$6,E294),1)*IF(Upgrades!$T$7="Heliopause",POWER(Upgrades!$U$7,F294),1)*IF(Upgrades!$T$8="Heliopause",POWER(Upgrades!$U$8,G294),1)*IF(Upgrades!$T$9="Heliopause",POWER(Upgrades!$U$9,H294),1)*IF(Upgrades!$T$10="Heliopause",POWER(Upgrades!$U$10,I294),1)*IF(Upgrades!$T$12="Heliopause",POWER(Upgrades!$U$12,K294),1))+(IF(K294=0,0,(Upgrades!$J$12+K294*Upgrades!$K$12)*POWER(Upgrades!$L$12,K294)))*(IF(Upgrades!$T$6="First Photons",POWER(Upgrades!$U$6,E294),1)*IF(Upgrades!$T$7="First Photons",POWER(Upgrades!$U$7,F294),1)*IF(Upgrades!$T$8="First Photons",POWER(Upgrades!$U$8,G294),1)*IF(Upgrades!$T$9="First Photons",POWER(Upgrades!$U$9,H294),1)*IF(Upgrades!$T$10="First Photons",POWER(Upgrades!$U$10,I294),1)*IF(Upgrades!$T$11="First Photons",POWER(Upgrades!$U$11,J294),1)))*POWER(Upgrades!$Q$6,E294)*POWER(Upgrades!$Q$7,F294)*POWER(Upgrades!$Q$8,G294)*POWER(Upgrades!$Q$9,H294)*POWER(Upgrades!$Q$10,I294)*POWER(Upgrades!$Q$11,J294)*POWER(Upgrades!$Q$12,K294)</f>
        <v>5.61</v>
      </c>
      <c r="N294" s="28" t="n">
        <f aca="false">((IF(E294=0,0,(Upgrades!$G$6+E294*Upgrades!$H$6)*POWER(Upgrades!$I$6,E294)))*(IF(Upgrades!$T$7="Solar Wind",POWER(Upgrades!$U$7,F294),1)*IF(Upgrades!$T$8="Solar Wind",POWER(Upgrades!$U$8,G294),1)*IF(Upgrades!$T$9="Solar Wind",POWER(Upgrades!$U$9,H294),1)*IF(Upgrades!$T$10="Solar Wind",POWER(Upgrades!$U$10,I294),1)*IF(Upgrades!$T$11="Solar Wind",POWER(Upgrades!$U$11,J294),1)*IF(Upgrades!$T$12="Solar Wind",POWER(Upgrades!$U$12,K294),1))+(IF(F294=0,0,(Upgrades!$G$7+F294*Upgrades!$H$7)*POWER(Upgrades!$I$7,F294)))*(IF(Upgrades!$T$6="Asteroid Belt",POWER(Upgrades!$U$6,E294),1)*IF(Upgrades!$T$8="Asteroid Belt",POWER(Upgrades!$U$8,G294),1)*IF(Upgrades!$T$9="Asteroid Belt",POWER(Upgrades!$U$9,H294),1)*IF(Upgrades!$T$10="Asteroid Belt",POWER(Upgrades!$U$10,I294),1)*IF(Upgrades!$T$11="Asteroid Belt",POWER(Upgrades!$U$11,J294),1)*IF(Upgrades!$T$12="Asteroid Belt",POWER(Upgrades!$U$12,K294),1))+(IF(G294=0,0,(Upgrades!$G$8+G294*Upgrades!$H$8)*POWER(Upgrades!$I$8,G294)))*(IF(Upgrades!$T$6="Stellar Coupling",POWER(Upgrades!$U$6,E294),1)*IF(Upgrades!$T$7="Stellar Coupling",POWER(Upgrades!$U$7,F294),1)*IF(Upgrades!$T$9="Stellar Coupling",POWER(Upgrades!$U$9,H294),1)*IF(Upgrades!$T$10="Stellar Coupling",POWER(Upgrades!$U$10,I294),1)*IF(Upgrades!$T$11="Stellar Coupling",POWER(Upgrades!$U$11,J294),1)*IF(Upgrades!$T$12="Stellar Coupling",POWER(Upgrades!$U$12,K294),1))+(IF(H294=0,0,(Upgrades!$G$9+H294*Upgrades!$H$9)*POWER(Upgrades!$I$9,H294)))*(IF(Upgrades!$T$6="Magnetosphere",POWER(Upgrades!$U$6,E294),1)*IF(Upgrades!$T$7="Magnetosphere",POWER(Upgrades!$U$7,F294),1)*IF(Upgrades!$T$8="Magnetosphere",POWER(Upgrades!$U$8,G294),1)*IF(Upgrades!$T$10="Magnetosphere",POWER(Upgrades!$U$10,I294),1)*IF(Upgrades!$T$11="Magnetosphere",POWER(Upgrades!$U$11,J294),1)*IF(Upgrades!$T$12="Magnetosphere",POWER(Upgrades!$U$12,K294),1))+(IF(I294=0,0,(Upgrades!$G$10+I294*Upgrades!$H$10)*POWER(Upgrades!$I$10,I294)))*(IF(Upgrades!$T$6="Orbital Resonance",POWER(Upgrades!$U$6,E294),1)*IF(Upgrades!$T$7="Orbital Resonance",POWER(Upgrades!$U$7,F294),1)*IF(Upgrades!$T$8="Orbital Resonance",POWER(Upgrades!$U$8,G294),1)*IF(Upgrades!$T$9="Orbital Resonance",POWER(Upgrades!$U$9,H294),1)*IF(Upgrades!$T$11="Orbital Resonance",POWER(Upgrades!$U$11,J294),1)*IF(Upgrades!$T$12="Orbital Resonance",POWER(Upgrades!$U$12,K294),1))+(IF(J294=0,0,(Upgrades!$G$11+J294*Upgrades!$H$11)*POWER(Upgrades!$I$11,J294)))*(IF(Upgrades!$T$6="Heliopause",POWER(Upgrades!$U$6,E294),1)*IF(Upgrades!$T$7="Heliopause",POWER(Upgrades!$U$7,F294),1)*IF(Upgrades!$T$8="Heliopause",POWER(Upgrades!$U$8,G294),1)*IF(Upgrades!$T$9="Heliopause",POWER(Upgrades!$U$9,H294),1)*IF(Upgrades!$T$10="Heliopause",POWER(Upgrades!$U$10,I294),1)*IF(Upgrades!$T$12="Heliopause",POWER(Upgrades!$U$12,K294),1))+(IF(K294=0,0,(Upgrades!$G$12+K294*Upgrades!$H$12)*POWER(Upgrades!$I$12,K294)))*(IF(Upgrades!$T$6="First Photons",POWER(Upgrades!$U$6,E294),1)*IF(Upgrades!$T$7="First Photons",POWER(Upgrades!$U$7,F294),1)*IF(Upgrades!$T$8="First Photons",POWER(Upgrades!$U$8,G294),1)*IF(Upgrades!$T$9="First Photons",POWER(Upgrades!$U$9,H294),1)*IF(Upgrades!$T$10="First Photons",POWER(Upgrades!$U$10,I294),1)*IF(Upgrades!$T$11="First Photons",POWER(Upgrades!$U$11,J294),1)))*POWER(Upgrades!$P$6,E294)*POWER(Upgrades!$P$7,F294)*POWER(Upgrades!$P$8,G294)*POWER(Upgrades!$P$9,H294)*POWER(Upgrades!$P$10,I294)*POWER(Upgrades!$P$11,J294)*POWER(Upgrades!$P$12,K294)</f>
        <v>11.2</v>
      </c>
      <c r="O294" s="28" t="n">
        <f aca="false">((IF(E294=0,0,(Upgrades!$M$6+E294*Upgrades!$N$6)*POWER(Upgrades!$O$6,E294)))*(IF(Upgrades!$T$7="Solar Wind",POWER(Upgrades!$U$7,F294),1)*IF(Upgrades!$T$8="Solar Wind",POWER(Upgrades!$U$8,G294),1)*IF(Upgrades!$T$9="Solar Wind",POWER(Upgrades!$U$9,H294),1)*IF(Upgrades!$T$10="Solar Wind",POWER(Upgrades!$U$10,I294),1)*IF(Upgrades!$T$11="Solar Wind",POWER(Upgrades!$U$11,J294),1)*IF(Upgrades!$T$12="Solar Wind",POWER(Upgrades!$U$12,K294),1))+(IF(F294=0,0,(Upgrades!$M$7+F294*Upgrades!$N$7)*POWER(Upgrades!$O$7,F294)))*(IF(Upgrades!$T$6="Asteroid Belt",POWER(Upgrades!$U$6,E294),1)*IF(Upgrades!$T$8="Asteroid Belt",POWER(Upgrades!$U$8,G294),1)*IF(Upgrades!$T$9="Asteroid Belt",POWER(Upgrades!$U$9,H294),1)*IF(Upgrades!$T$10="Asteroid Belt",POWER(Upgrades!$U$10,I294),1)*IF(Upgrades!$T$11="Asteroid Belt",POWER(Upgrades!$U$11,J294),1)*IF(Upgrades!$T$12="Asteroid Belt",POWER(Upgrades!$U$12,K294),1))+(IF(G294=0,0,(Upgrades!$M$8+G294*Upgrades!$N$8)*POWER(Upgrades!$O$8,G294)))*(IF(Upgrades!$T$6="Stellar Coupling",POWER(Upgrades!$U$6,E294),1)*IF(Upgrades!$T$7="Stellar Coupling",POWER(Upgrades!$U$7,F294),1)*IF(Upgrades!$T$9="Stellar Coupling",POWER(Upgrades!$U$9,H294),1)*IF(Upgrades!$T$10="Stellar Coupling",POWER(Upgrades!$U$10,I294),1)*IF(Upgrades!$T$11="Stellar Coupling",POWER(Upgrades!$U$11,J294),1)*IF(Upgrades!$T$12="Stellar Coupling",POWER(Upgrades!$U$12,K294),1))+(IF(H294=0,0,(Upgrades!$M$9+H294*Upgrades!$N$9)*POWER(Upgrades!$O$9,H294)))*(IF(Upgrades!$T$6="Magnetosphere",POWER(Upgrades!$U$6,E294),1)*IF(Upgrades!$T$7="Magnetosphere",POWER(Upgrades!$U$7,F294),1)*IF(Upgrades!$T$8="Magnetosphere",POWER(Upgrades!$U$8,G294),1)*IF(Upgrades!$T$10="Magnetosphere",POWER(Upgrades!$U$10,I294),1)*IF(Upgrades!$T$11="Magnetosphere",POWER(Upgrades!$U$11,J294),1)*IF(Upgrades!$T$12="Magnetosphere",POWER(Upgrades!$U$12,K294),1))+(IF(I294=0,0,(Upgrades!$M$10+I294*Upgrades!$N$10)*POWER(Upgrades!$O$10,I294)))*(IF(Upgrades!$T$6="Orbital Resonance",POWER(Upgrades!$U$6,E294),1)*IF(Upgrades!$T$7="Orbital Resonance",POWER(Upgrades!$U$7,F294),1)*IF(Upgrades!$T$8="Orbital Resonance",POWER(Upgrades!$U$8,G294),1)*IF(Upgrades!$T$9="Orbital Resonance",POWER(Upgrades!$U$9,H294),1)*IF(Upgrades!$T$11="Orbital Resonance",POWER(Upgrades!$U$11,J294),1)*IF(Upgrades!$T$12="Orbital Resonance",POWER(Upgrades!$U$12,K294),1))+(IF(J294=0,0,(Upgrades!$M$11+J294*Upgrades!$N$11)*POWER(Upgrades!$O$11,J294)))*(IF(Upgrades!$T$6="Heliopause",POWER(Upgrades!$U$6,E294),1)*IF(Upgrades!$T$7="Heliopause",POWER(Upgrades!$U$7,F294),1)*IF(Upgrades!$T$8="Heliopause",POWER(Upgrades!$U$8,G294),1)*IF(Upgrades!$T$9="Heliopause",POWER(Upgrades!$U$9,H294),1)*IF(Upgrades!$T$10="Heliopause",POWER(Upgrades!$U$10,I294),1)*IF(Upgrades!$T$12="Heliopause",POWER(Upgrades!$U$12,K294),1))+(IF(K294=0,0,(Upgrades!$M$12+K294*Upgrades!$N$12)*POWER(Upgrades!$O$12,K294)))*(IF(Upgrades!$T$6="First Photons",POWER(Upgrades!$U$6,E294),1)*IF(Upgrades!$T$7="First Photons",POWER(Upgrades!$U$7,F294),1)*IF(Upgrades!$T$8="First Photons",POWER(Upgrades!$U$8,G294),1)*IF(Upgrades!$T$9="First Photons",POWER(Upgrades!$U$9,H294),1)*IF(Upgrades!$T$10="First Photons",POWER(Upgrades!$U$10,I294),1)*IF(Upgrades!$T$11="First Photons",POWER(Upgrades!$U$11,J294),1)))*POWER(Upgrades!$R$6,E294)*POWER(Upgrades!$R$7,F294)*POWER(Upgrades!$R$8,G294)*POWER(Upgrades!$R$9,H294)*POWER(Upgrades!$R$10,I294)*POWER(Upgrades!$R$11,J294)*POWER(Upgrades!$R$12,K294)</f>
        <v>0</v>
      </c>
      <c r="P294" s="27" t="n">
        <f aca="false">IF(L294=1,0,M294*Parameters!$B$10/60*Parameters!$B$11*10)</f>
        <v>0</v>
      </c>
      <c r="Q294" s="27" t="n">
        <f aca="false">IF(L294=1,0,O294*M294*10)</f>
        <v>0</v>
      </c>
      <c r="R294" s="27" t="n">
        <f aca="false">IF(L294=1,0,N294*10)</f>
        <v>0</v>
      </c>
      <c r="S294" s="27" t="n">
        <f aca="false">P294+Q294+R294</f>
        <v>0</v>
      </c>
      <c r="T294" s="21" t="n">
        <f aca="false">C294+S294</f>
        <v>18.6730249835055</v>
      </c>
      <c r="U294" s="34" t="str">
        <f aca="false">AX294</f>
        <v/>
      </c>
      <c r="V294" s="21" t="n">
        <f aca="false">IF(U294="",0,IF(U294="transition",0,IF(U294="SW",AG294,IF(U294="AB",AH294,IF(U294="SC",AI294,IF(U294="Mag",AJ294,IF(U294="OR",AK294,IF(U294="HP",AL294,IF(U294="FP",AM294,0)))))))))</f>
        <v>0</v>
      </c>
      <c r="W294" s="27" t="n">
        <f aca="false">IF(U294="OR",Upgrades!$F$10,IF(U294="HP",Upgrades!$F$11,IF(U294="transition",-Parameters!$B$18,0)))</f>
        <v>0</v>
      </c>
      <c r="X294" s="21" t="n">
        <f aca="false">T294-V294</f>
        <v>18.6730249835055</v>
      </c>
      <c r="Y294" s="30" t="n">
        <f aca="false">M294*Parameters!$B$10/60*Parameters!$B$11+O294*M294+N294</f>
        <v>20.55</v>
      </c>
      <c r="Z294" s="35" t="str">
        <f aca="false">IF(U294="transition","→ Tier 2 (Stellar Neighborhood)",IF(U294="FP","First Photons — light begins, system quickens",IF(U294="HP","Heliopause acquired",IF(U294="OR","Orbital Resonance — passive multiplier active",IF(AND(AO294=1,L294=0,AN294&lt;&gt;1),"Cohesion ready (waiting on completionist upgrades)","")))))</f>
        <v/>
      </c>
      <c r="AA294" s="27" t="n">
        <f aca="false">(IF(E294=0,0,(Upgrades!$G$6+E294*Upgrades!$H$6)*POWER(Upgrades!$I$6,E294)))*(IF(Upgrades!$T$7="Solar Wind",POWER(Upgrades!$U$7,F294),1)*IF(Upgrades!$T$8="Solar Wind",POWER(Upgrades!$U$8,G294),1)*IF(Upgrades!$T$9="Solar Wind",POWER(Upgrades!$U$9,H294),1)*IF(Upgrades!$T$10="Solar Wind",POWER(Upgrades!$U$10,I294),1)*IF(Upgrades!$T$11="Solar Wind",POWER(Upgrades!$U$11,J294),1)*IF(Upgrades!$T$12="Solar Wind",POWER(Upgrades!$U$12,K294),1))*POWER(Upgrades!$P$6,E294)*POWER(Upgrades!$P$7,F294)*POWER(Upgrades!$P$8,G294)*POWER(Upgrades!$P$9,H294)*POWER(Upgrades!$P$10,I294)*POWER(Upgrades!$P$11,J294)*POWER(Upgrades!$P$12,K294)*60</f>
        <v>72</v>
      </c>
      <c r="AB294" s="27" t="n">
        <f aca="false">(IF(F294=0,0,(Upgrades!$G$7+F294*Upgrades!$H$7)*POWER(Upgrades!$I$7,F294)))*(IF(Upgrades!$T$6="Asteroid Belt",POWER(Upgrades!$U$6,E294),1)*IF(Upgrades!$T$8="Asteroid Belt",POWER(Upgrades!$U$8,G294),1)*IF(Upgrades!$T$9="Asteroid Belt",POWER(Upgrades!$U$9,H294),1)*IF(Upgrades!$T$10="Asteroid Belt",POWER(Upgrades!$U$10,I294),1)*IF(Upgrades!$T$11="Asteroid Belt",POWER(Upgrades!$U$11,J294),1)*IF(Upgrades!$T$12="Asteroid Belt",POWER(Upgrades!$U$12,K294),1))*POWER(Upgrades!$P$6,E294)*POWER(Upgrades!$P$7,F294)*POWER(Upgrades!$P$8,G294)*POWER(Upgrades!$P$9,H294)*POWER(Upgrades!$P$10,I294)*POWER(Upgrades!$P$11,J294)*POWER(Upgrades!$P$12,K294)*60</f>
        <v>150</v>
      </c>
      <c r="AC294" s="27" t="n">
        <f aca="false">(IF(G294=0,0,(Upgrades!$J$8+G294*Upgrades!$K$8)*POWER(Upgrades!$L$8,G294)))*(IF(Upgrades!$T$6="Stellar Coupling",POWER(Upgrades!$U$6,E294),1)*IF(Upgrades!$T$7="Stellar Coupling",POWER(Upgrades!$U$7,F294),1)*IF(Upgrades!$T$9="Stellar Coupling",POWER(Upgrades!$U$9,H294),1)*IF(Upgrades!$T$10="Stellar Coupling",POWER(Upgrades!$U$10,I294),1)*IF(Upgrades!$T$11="Stellar Coupling",POWER(Upgrades!$U$11,J294),1)*IF(Upgrades!$T$12="Stellar Coupling",POWER(Upgrades!$U$12,K294),1))*POWER(Upgrades!$Q$6,E294)*POWER(Upgrades!$Q$7,F294)*POWER(Upgrades!$Q$8,G294)*POWER(Upgrades!$Q$9,H294)*POWER(Upgrades!$Q$10,I294)*POWER(Upgrades!$Q$11,J294)*POWER(Upgrades!$Q$12,K294)*Parameters!$B$10*Parameters!$B$11</f>
        <v>441</v>
      </c>
      <c r="AD294" s="27" t="n">
        <f aca="false">(IF(H294=0,0,(Upgrades!$G$9+H294*Upgrades!$H$9)*POWER(Upgrades!$I$9,H294)))*(IF(Upgrades!$T$6="Magnetosphere",POWER(Upgrades!$U$6,E294),1)*IF(Upgrades!$T$7="Magnetosphere",POWER(Upgrades!$U$7,F294),1)*IF(Upgrades!$T$8="Magnetosphere",POWER(Upgrades!$U$8,G294),1)*IF(Upgrades!$T$10="Magnetosphere",POWER(Upgrades!$U$10,I294),1)*IF(Upgrades!$T$11="Magnetosphere",POWER(Upgrades!$U$11,J294),1)*IF(Upgrades!$T$12="Magnetosphere",POWER(Upgrades!$U$12,K294),1))*POWER(Upgrades!$P$6,E294)*POWER(Upgrades!$P$7,F294)*POWER(Upgrades!$P$8,G294)*POWER(Upgrades!$P$9,H294)*POWER(Upgrades!$P$10,I294)*POWER(Upgrades!$P$11,J294)*POWER(Upgrades!$P$12,K294)*60</f>
        <v>375</v>
      </c>
      <c r="AE294" s="27" t="n">
        <f aca="false">(IF(K294=0,0,(Upgrades!$G$12+K294*Upgrades!$H$12)*POWER(Upgrades!$I$12,K294)))*(IF(Upgrades!$T$6="First Photons",POWER(Upgrades!$U$6,E294),1)*IF(Upgrades!$T$7="First Photons",POWER(Upgrades!$U$7,F294),1)*IF(Upgrades!$T$8="First Photons",POWER(Upgrades!$U$8,G294),1)*IF(Upgrades!$T$9="First Photons",POWER(Upgrades!$U$9,H294),1)*IF(Upgrades!$T$10="First Photons",POWER(Upgrades!$U$10,I294),1)*IF(Upgrades!$T$11="First Photons",POWER(Upgrades!$U$11,J294),1))*POWER(Upgrades!$P$6,E294)*POWER(Upgrades!$P$7,F294)*POWER(Upgrades!$P$8,G294)*POWER(Upgrades!$P$9,H294)*POWER(Upgrades!$P$10,I294)*POWER(Upgrades!$P$11,J294)*POWER(Upgrades!$P$12,K294)*60</f>
        <v>75</v>
      </c>
      <c r="AF294" s="27" t="n">
        <f aca="false">Parameters!$B$9*POWER(Upgrades!$Q$6,E294)*POWER(Upgrades!$Q$7,F294)*POWER(Upgrades!$Q$8,G294)*POWER(Upgrades!$Q$9,H294)*POWER(Upgrades!$Q$10,I294)*POWER(Upgrades!$Q$11,J294)*POWER(Upgrades!$Q$12,K294)*(Parameters!$B$10*Parameters!$B$11+O294*60)</f>
        <v>120</v>
      </c>
      <c r="AG294" s="21" t="n">
        <f aca="false">IF(E294&gt;=Upgrades!$E$6,"",Upgrades!$C$6*POWER(Upgrades!$D$6,E294))</f>
        <v>37.4517507383159</v>
      </c>
      <c r="AH294" s="21" t="n">
        <f aca="false">IF(F294&gt;=Upgrades!$E$7,"",Upgrades!$C$7*POWER(Upgrades!$D$7,F294))</f>
        <v>80.9111547141581</v>
      </c>
      <c r="AI294" s="21" t="n">
        <f aca="false">IF(G294&gt;=Upgrades!$E$8,"",Upgrades!$C$8*POWER(Upgrades!$D$8,G294))</f>
        <v>231.9097088</v>
      </c>
      <c r="AJ294" s="21" t="str">
        <f aca="false">IF(H294&gt;=Upgrades!$E$9,"",Upgrades!$C$9*POWER(Upgrades!$D$9,H294))</f>
        <v/>
      </c>
      <c r="AK294" s="21" t="str">
        <f aca="false">IF(I294&gt;=Upgrades!$E$10,"",Upgrades!$C$10*POWER(Upgrades!$D$10,I294))</f>
        <v/>
      </c>
      <c r="AL294" s="21" t="str">
        <f aca="false">IF(J294&gt;=Upgrades!$E$11,"",Upgrades!$C$11*POWER(Upgrades!$D$11,J294))</f>
        <v/>
      </c>
      <c r="AM294" s="21" t="str">
        <f aca="false">IF(K294&gt;=Upgrades!$E$12,"",Upgrades!$C$12*POWER(Upgrades!$D$12,K294))</f>
        <v/>
      </c>
      <c r="AN294" s="26" t="str">
        <f aca="false">IF(AND(D294&gt;=Parameters!$B$18,(H294&gt;=Upgrades!$E$9)*(K294&gt;=Upgrades!$E$12)=1,L294=0),1,"")</f>
        <v/>
      </c>
      <c r="AO294" s="26" t="str">
        <f aca="false">IF(AND(D294&gt;=Parameters!$B$18,L294=0),1,"")</f>
        <v/>
      </c>
      <c r="AP294" s="21" t="n">
        <f aca="false">MIN(IF(ISNUMBER(AK294),AK294,9000000000000000),IF(ISNUMBER(AL294),AL294,9000000000000000),IF(ISNUMBER(AM294),AM294,9000000000000000))</f>
        <v>9000000000000000</v>
      </c>
      <c r="AQ294" s="21" t="n">
        <f aca="false">MIN(IF(ISNUMBER(AG294),AG294,9000000000000000),IF(ISNUMBER(AH294),AH294,9000000000000000),IF(ISNUMBER(AI294),AI294,9000000000000000),IF(ISNUMBER(AJ294),AJ294,9000000000000000))</f>
        <v>37.4517507383159</v>
      </c>
      <c r="AR294" s="32" t="b">
        <f aca="false">IF(AW294&gt;Parameters!$B$21*(MAX(IF(AND(NOT(AND(AO294=1,AN294&lt;&gt;1)),ISNUMBER(AG294),AG294&lt;=T294),AS294,0),IF(AND(NOT(AND(AO294=1,AN294&lt;&gt;1)),ISNUMBER(AH294),AH294&lt;=T294),AT294,0),IF(AND(NOT(AND(AO294=1,AN294&lt;&gt;1)),ISNUMBER(AI294),AI294&lt;=T294),AU294,0),IF(AND(ISNUMBER(AJ294),AJ294&lt;=T294),AV294,0))),TRUE(),FALSE())</f>
        <v>1</v>
      </c>
      <c r="AS294" s="33" t="n">
        <f aca="false">IFERROR(Upgrades!$H$6*(POWER(Upgrades!$P$6,E294)*POWER(Upgrades!$P$7,F294)*POWER(Upgrades!$P$8,G294)*POWER(Upgrades!$P$9,H294)*POWER(Upgrades!$P$10,I294)*POWER(Upgrades!$P$11,J294)*POWER(Upgrades!$P$12,K294))*(IF(Upgrades!$T$7="Solar Wind",POWER(Upgrades!$U$7,F294),1)*IF(Upgrades!$T$8="Solar Wind",POWER(Upgrades!$U$8,G294),1)*IF(Upgrades!$T$9="Solar Wind",POWER(Upgrades!$U$9,H294),1)*IF(Upgrades!$T$10="Solar Wind",POWER(Upgrades!$U$10,I294),1)*IF(Upgrades!$T$11="Solar Wind",POWER(Upgrades!$U$11,J294),1)*IF(Upgrades!$T$12="Solar Wind",POWER(Upgrades!$U$12,K294),1))/AG294,0)</f>
        <v>0.0026701021455238</v>
      </c>
      <c r="AT294" s="33" t="n">
        <f aca="false">IFERROR(Upgrades!$H$7*(POWER(Upgrades!$P$6,E294)*POWER(Upgrades!$P$7,F294)*POWER(Upgrades!$P$8,G294)*POWER(Upgrades!$P$9,H294)*POWER(Upgrades!$P$10,I294)*POWER(Upgrades!$P$11,J294)*POWER(Upgrades!$P$12,K294))*(IF(Upgrades!$T$6="Asteroid Belt",POWER(Upgrades!$U$6,E294),1)*IF(Upgrades!$T$8="Asteroid Belt",POWER(Upgrades!$U$8,G294),1)*IF(Upgrades!$T$9="Asteroid Belt",POWER(Upgrades!$U$9,H294),1)*IF(Upgrades!$T$10="Asteroid Belt",POWER(Upgrades!$U$10,I294),1)*IF(Upgrades!$T$11="Asteroid Belt",POWER(Upgrades!$U$11,J294),1)*IF(Upgrades!$T$12="Asteroid Belt",POWER(Upgrades!$U$12,K294),1))/AH294,0)</f>
        <v>0.00308980882652332</v>
      </c>
      <c r="AU294" s="33" t="n">
        <f aca="false">IFERROR(Upgrades!$K$8*(POWER(Upgrades!$Q$6,E294)*POWER(Upgrades!$Q$7,F294)*POWER(Upgrades!$Q$8,G294)*POWER(Upgrades!$Q$9,H294)*POWER(Upgrades!$Q$10,I294)*POWER(Upgrades!$Q$11,J294)*POWER(Upgrades!$Q$12,K294))*(IF(Upgrades!$T$6="Stellar Coupling",POWER(Upgrades!$U$6,E294),1)*IF(Upgrades!$T$7="Stellar Coupling",POWER(Upgrades!$U$7,F294),1)*IF(Upgrades!$T$9="Stellar Coupling",POWER(Upgrades!$U$9,H294),1)*IF(Upgrades!$T$10="Stellar Coupling",POWER(Upgrades!$U$10,I294),1)*IF(Upgrades!$T$11="Stellar Coupling",POWER(Upgrades!$U$11,J294),1)*IF(Upgrades!$T$12="Stellar Coupling",POWER(Upgrades!$U$12,K294),1))*Parameters!$B$10*Parameters!$B$11/60/AI294,0)</f>
        <v>0.00452762415783776</v>
      </c>
      <c r="AV294" s="33" t="n">
        <f aca="false">IFERROR(Upgrades!$H$9*(POWER(Upgrades!$P$6,E294)*POWER(Upgrades!$P$7,F294)*POWER(Upgrades!$P$8,G294)*POWER(Upgrades!$P$9,H294)*POWER(Upgrades!$P$10,I294)*POWER(Upgrades!$P$11,J294)*POWER(Upgrades!$P$12,K294))*(IF(Upgrades!$T$6="Magnetosphere",POWER(Upgrades!$U$6,E294),1)*IF(Upgrades!$T$7="Magnetosphere",POWER(Upgrades!$U$7,F294),1)*IF(Upgrades!$T$8="Magnetosphere",POWER(Upgrades!$U$8,G294),1)*IF(Upgrades!$T$10="Magnetosphere",POWER(Upgrades!$U$10,I294),1)*IF(Upgrades!$T$11="Magnetosphere",POWER(Upgrades!$U$11,J294),1)*IF(Upgrades!$T$12="Magnetosphere",POWER(Upgrades!$U$12,K294),1))/AJ294,0)</f>
        <v>0</v>
      </c>
      <c r="AW294" s="33" t="n">
        <f aca="false">MAX(IF(I294&gt;0,0,IFERROR(0.25*N294/Upgrades!$C$10,0)),IF(J294&gt;0,0,IFERROR(0.5*((IF(G294=0,0,(Upgrades!$J$8+G294*Upgrades!$K$8)*POWER(Upgrades!$L$8,G294)))*(IF(Upgrades!$T$6="Stellar Coupling",POWER(Upgrades!$U$6,E294),1)*IF(Upgrades!$T$7="Stellar Coupling",POWER(Upgrades!$U$7,F294),1)*IF(Upgrades!$T$9="Stellar Coupling",POWER(Upgrades!$U$9,H294),1)*IF(Upgrades!$T$10="Stellar Coupling",POWER(Upgrades!$U$10,I294),1)*IF(Upgrades!$T$11="Stellar Coupling",POWER(Upgrades!$U$11,J294),1)*IF(Upgrades!$T$12="Stellar Coupling",POWER(Upgrades!$U$12,K294),1))*(POWER(Upgrades!$Q$6,E294)*POWER(Upgrades!$Q$7,F294)*POWER(Upgrades!$Q$8,G294)*POWER(Upgrades!$Q$9,H294)*POWER(Upgrades!$Q$10,I294)*POWER(Upgrades!$Q$11,J294)*POWER(Upgrades!$Q$12,K294))*Parameters!$B$10*Parameters!$B$11/60)/Upgrades!$C$11,0)),IF(K294&gt;0,0,IFERROR((1*(POWER(Upgrades!$P$6,E294)*POWER(Upgrades!$P$7,F294)*POWER(Upgrades!$P$8,G294)*POWER(Upgrades!$P$9,H294)*POWER(Upgrades!$P$10,I294)*POWER(Upgrades!$P$11,J294)*POWER(Upgrades!$P$12,K294))+0.2*M294*Parameters!$B$10*Parameters!$B$11/60)/Upgrades!$C$12,0)),IF(AND(ISNUMBER(AG294),AG294&gt;T294),AS294,0),IF(AND(ISNUMBER(AH294),AH294&gt;T294),AT294,0),IF(AND(ISNUMBER(AI294),AI294&gt;T294),AU294,0),IF(AND(ISNUMBER(AJ294),AJ294&gt;T294),AV294,0))</f>
        <v>0.00452762415783776</v>
      </c>
      <c r="AX294" s="29" t="str">
        <f aca="false">IF(AN294=1,"transition",IF(MIN(IF(AND(I294=0,ISNUMBER(AK294),AK294&lt;=T294),AK294,9000000000000000),IF(AND(J294=0,ISNUMBER(AL294),AL294&lt;=T294),AL294,9000000000000000),IF(AND(K294=0,ISNUMBER(AM294),AM294&lt;=T294),AM294,9000000000000000))&lt;9000000000000000,IF(AND(AND(I294=0,ISNUMBER(AK294),AK294&lt;=T294),AK294=MIN(IF(AND(I294=0,ISNUMBER(AK294),AK294&lt;=T294),AK294,9000000000000000),IF(AND(J294=0,ISNUMBER(AL294),AL294&lt;=T294),AL294,9000000000000000),IF(AND(K294=0,ISNUMBER(AM294),AM294&lt;=T294),AM294,9000000000000000))),"OR",IF(AND(AND(J294=0,ISNUMBER(AL294),AL294&lt;=T294),AL294=MIN(IF(AND(I294=0,ISNUMBER(AK294),AK294&lt;=T294),AK294,9000000000000000),IF(AND(J294=0,ISNUMBER(AL294),AL294&lt;=T294),AL294,9000000000000000),IF(AND(K294=0,ISNUMBER(AM294),AM294&lt;=T294),AM294,9000000000000000))),"HP","FP")),IF(AR294=TRUE(),"",IF(MAX(IF(AND(NOT(AND(AO294=1,AN294&lt;&gt;1)),ISNUMBER(AG294),AG294&lt;=T294),AS294,0),IF(AND(NOT(AND(AO294=1,AN294&lt;&gt;1)),ISNUMBER(AH294),AH294&lt;=T294),AT294,0),IF(AND(NOT(AND(AO294=1,AN294&lt;&gt;1)),ISNUMBER(AI294),AI294&lt;=T294),AU294,0),IF(AND(ISNUMBER(AJ294),AJ294&lt;=T294),AV294,0))&lt;=0,"",IF(AND(IF(AND(NOT(AND(AO294=1,AN294&lt;&gt;1)),ISNUMBER(AG294),AG294&lt;=T294),AS294,0)&gt;0,IF(AND(NOT(AND(AO294=1,AN294&lt;&gt;1)),ISNUMBER(AG294),AG294&lt;=T294),AS294,0)=MAX(IF(AND(NOT(AND(AO294=1,AN294&lt;&gt;1)),ISNUMBER(AG294),AG294&lt;=T294),AS294,0),IF(AND(NOT(AND(AO294=1,AN294&lt;&gt;1)),ISNUMBER(AH294),AH294&lt;=T294),AT294,0),IF(AND(NOT(AND(AO294=1,AN294&lt;&gt;1)),ISNUMBER(AI294),AI294&lt;=T294),AU294,0),IF(AND(ISNUMBER(AJ294),AJ294&lt;=T294),AV294,0))),"SW",IF(AND(IF(AND(NOT(AND(AO294=1,AN294&lt;&gt;1)),ISNUMBER(AH294),AH294&lt;=T294),AT294,0)&gt;0,IF(AND(NOT(AND(AO294=1,AN294&lt;&gt;1)),ISNUMBER(AH294),AH294&lt;=T294),AT294,0)=MAX(IF(AND(NOT(AND(AO294=1,AN294&lt;&gt;1)),ISNUMBER(AG294),AG294&lt;=T294),AS294,0),IF(AND(NOT(AND(AO294=1,AN294&lt;&gt;1)),ISNUMBER(AH294),AH294&lt;=T294),AT294,0),IF(AND(NOT(AND(AO294=1,AN294&lt;&gt;1)),ISNUMBER(AI294),AI294&lt;=T294),AU294,0),IF(AND(ISNUMBER(AJ294),AJ294&lt;=T294),AV294,0))),"AB",IF(AND(IF(AND(NOT(AND(AO294=1,AN294&lt;&gt;1)),ISNUMBER(AI294),AI294&lt;=T294),AU294,0)&gt;0,IF(AND(NOT(AND(AO294=1,AN294&lt;&gt;1)),ISNUMBER(AI294),AI294&lt;=T294),AU294,0)=MAX(IF(AND(NOT(AND(AO294=1,AN294&lt;&gt;1)),ISNUMBER(AG294),AG294&lt;=T294),AS294,0),IF(AND(NOT(AND(AO294=1,AN294&lt;&gt;1)),ISNUMBER(AH294),AH294&lt;=T294),AT294,0),IF(AND(NOT(AND(AO294=1,AN294&lt;&gt;1)),ISNUMBER(AI294),AI294&lt;=T294),AU294,0),IF(AND(ISNUMBER(AJ294),AJ294&lt;=T294),AV294,0))),"SC","Mag")))))))</f>
        <v/>
      </c>
    </row>
    <row r="295" customFormat="false" ht="15" hidden="false" customHeight="false" outlineLevel="0" collapsed="false">
      <c r="A295" s="26" t="n">
        <v>290</v>
      </c>
      <c r="B295" s="27" t="n">
        <f aca="false">A295*10/60</f>
        <v>48.3333333333333</v>
      </c>
      <c r="C295" s="21" t="n">
        <f aca="false">X294</f>
        <v>18.6730249835055</v>
      </c>
      <c r="D295" s="27" t="n">
        <f aca="false">D294+W294</f>
        <v>0</v>
      </c>
      <c r="E295" s="26" t="n">
        <f aca="false">E294+IF(U294="SW",1,0)</f>
        <v>12</v>
      </c>
      <c r="F295" s="26" t="n">
        <f aca="false">F294+IF(U294="AB",1,0)</f>
        <v>10</v>
      </c>
      <c r="G295" s="26" t="n">
        <f aca="false">G294+IF(U294="SC",1,0)</f>
        <v>7</v>
      </c>
      <c r="H295" s="26" t="n">
        <f aca="false">H294+IF(U294="Mag",1,0)</f>
        <v>5</v>
      </c>
      <c r="I295" s="26" t="n">
        <f aca="false">MAX(I294,IF(U294="OR",1,0))</f>
        <v>1</v>
      </c>
      <c r="J295" s="26" t="n">
        <f aca="false">MAX(J294,IF(U294="HP",1,0))</f>
        <v>1</v>
      </c>
      <c r="K295" s="26" t="n">
        <f aca="false">MAX(K294,IF(U294="FP",1,0))</f>
        <v>1</v>
      </c>
      <c r="L295" s="26" t="n">
        <f aca="false">MAX(L294,IF(U294="transition",1,0))</f>
        <v>1</v>
      </c>
      <c r="M295" s="28" t="n">
        <f aca="false">(Parameters!$B$9+(IF(E295=0,0,(Upgrades!$J$6+E295*Upgrades!$K$6)*POWER(Upgrades!$L$6,E295)))*(IF(Upgrades!$T$7="Solar Wind",POWER(Upgrades!$U$7,F295),1)*IF(Upgrades!$T$8="Solar Wind",POWER(Upgrades!$U$8,G295),1)*IF(Upgrades!$T$9="Solar Wind",POWER(Upgrades!$U$9,H295),1)*IF(Upgrades!$T$10="Solar Wind",POWER(Upgrades!$U$10,I295),1)*IF(Upgrades!$T$11="Solar Wind",POWER(Upgrades!$U$11,J295),1)*IF(Upgrades!$T$12="Solar Wind",POWER(Upgrades!$U$12,K295),1))+(IF(F295=0,0,(Upgrades!$J$7+F295*Upgrades!$K$7)*POWER(Upgrades!$L$7,F295)))*(IF(Upgrades!$T$6="Asteroid Belt",POWER(Upgrades!$U$6,E295),1)*IF(Upgrades!$T$8="Asteroid Belt",POWER(Upgrades!$U$8,G295),1)*IF(Upgrades!$T$9="Asteroid Belt",POWER(Upgrades!$U$9,H295),1)*IF(Upgrades!$T$10="Asteroid Belt",POWER(Upgrades!$U$10,I295),1)*IF(Upgrades!$T$11="Asteroid Belt",POWER(Upgrades!$U$11,J295),1)*IF(Upgrades!$T$12="Asteroid Belt",POWER(Upgrades!$U$12,K295),1))+(IF(G295=0,0,(Upgrades!$J$8+G295*Upgrades!$K$8)*POWER(Upgrades!$L$8,G295)))*(IF(Upgrades!$T$6="Stellar Coupling",POWER(Upgrades!$U$6,E295),1)*IF(Upgrades!$T$7="Stellar Coupling",POWER(Upgrades!$U$7,F295),1)*IF(Upgrades!$T$9="Stellar Coupling",POWER(Upgrades!$U$9,H295),1)*IF(Upgrades!$T$10="Stellar Coupling",POWER(Upgrades!$U$10,I295),1)*IF(Upgrades!$T$11="Stellar Coupling",POWER(Upgrades!$U$11,J295),1)*IF(Upgrades!$T$12="Stellar Coupling",POWER(Upgrades!$U$12,K295),1))+(IF(H295=0,0,(Upgrades!$J$9+H295*Upgrades!$K$9)*POWER(Upgrades!$L$9,H295)))*(IF(Upgrades!$T$6="Magnetosphere",POWER(Upgrades!$U$6,E295),1)*IF(Upgrades!$T$7="Magnetosphere",POWER(Upgrades!$U$7,F295),1)*IF(Upgrades!$T$8="Magnetosphere",POWER(Upgrades!$U$8,G295),1)*IF(Upgrades!$T$10="Magnetosphere",POWER(Upgrades!$U$10,I295),1)*IF(Upgrades!$T$11="Magnetosphere",POWER(Upgrades!$U$11,J295),1)*IF(Upgrades!$T$12="Magnetosphere",POWER(Upgrades!$U$12,K295),1))+(IF(I295=0,0,(Upgrades!$J$10+I295*Upgrades!$K$10)*POWER(Upgrades!$L$10,I295)))*(IF(Upgrades!$T$6="Orbital Resonance",POWER(Upgrades!$U$6,E295),1)*IF(Upgrades!$T$7="Orbital Resonance",POWER(Upgrades!$U$7,F295),1)*IF(Upgrades!$T$8="Orbital Resonance",POWER(Upgrades!$U$8,G295),1)*IF(Upgrades!$T$9="Orbital Resonance",POWER(Upgrades!$U$9,H295),1)*IF(Upgrades!$T$11="Orbital Resonance",POWER(Upgrades!$U$11,J295),1)*IF(Upgrades!$T$12="Orbital Resonance",POWER(Upgrades!$U$12,K295),1))+(IF(J295=0,0,(Upgrades!$J$11+J295*Upgrades!$K$11)*POWER(Upgrades!$L$11,J295)))*(IF(Upgrades!$T$6="Heliopause",POWER(Upgrades!$U$6,E295),1)*IF(Upgrades!$T$7="Heliopause",POWER(Upgrades!$U$7,F295),1)*IF(Upgrades!$T$8="Heliopause",POWER(Upgrades!$U$8,G295),1)*IF(Upgrades!$T$9="Heliopause",POWER(Upgrades!$U$9,H295),1)*IF(Upgrades!$T$10="Heliopause",POWER(Upgrades!$U$10,I295),1)*IF(Upgrades!$T$12="Heliopause",POWER(Upgrades!$U$12,K295),1))+(IF(K295=0,0,(Upgrades!$J$12+K295*Upgrades!$K$12)*POWER(Upgrades!$L$12,K295)))*(IF(Upgrades!$T$6="First Photons",POWER(Upgrades!$U$6,E295),1)*IF(Upgrades!$T$7="First Photons",POWER(Upgrades!$U$7,F295),1)*IF(Upgrades!$T$8="First Photons",POWER(Upgrades!$U$8,G295),1)*IF(Upgrades!$T$9="First Photons",POWER(Upgrades!$U$9,H295),1)*IF(Upgrades!$T$10="First Photons",POWER(Upgrades!$U$10,I295),1)*IF(Upgrades!$T$11="First Photons",POWER(Upgrades!$U$11,J295),1)))*POWER(Upgrades!$Q$6,E295)*POWER(Upgrades!$Q$7,F295)*POWER(Upgrades!$Q$8,G295)*POWER(Upgrades!$Q$9,H295)*POWER(Upgrades!$Q$10,I295)*POWER(Upgrades!$Q$11,J295)*POWER(Upgrades!$Q$12,K295)</f>
        <v>5.61</v>
      </c>
      <c r="N295" s="28" t="n">
        <f aca="false">((IF(E295=0,0,(Upgrades!$G$6+E295*Upgrades!$H$6)*POWER(Upgrades!$I$6,E295)))*(IF(Upgrades!$T$7="Solar Wind",POWER(Upgrades!$U$7,F295),1)*IF(Upgrades!$T$8="Solar Wind",POWER(Upgrades!$U$8,G295),1)*IF(Upgrades!$T$9="Solar Wind",POWER(Upgrades!$U$9,H295),1)*IF(Upgrades!$T$10="Solar Wind",POWER(Upgrades!$U$10,I295),1)*IF(Upgrades!$T$11="Solar Wind",POWER(Upgrades!$U$11,J295),1)*IF(Upgrades!$T$12="Solar Wind",POWER(Upgrades!$U$12,K295),1))+(IF(F295=0,0,(Upgrades!$G$7+F295*Upgrades!$H$7)*POWER(Upgrades!$I$7,F295)))*(IF(Upgrades!$T$6="Asteroid Belt",POWER(Upgrades!$U$6,E295),1)*IF(Upgrades!$T$8="Asteroid Belt",POWER(Upgrades!$U$8,G295),1)*IF(Upgrades!$T$9="Asteroid Belt",POWER(Upgrades!$U$9,H295),1)*IF(Upgrades!$T$10="Asteroid Belt",POWER(Upgrades!$U$10,I295),1)*IF(Upgrades!$T$11="Asteroid Belt",POWER(Upgrades!$U$11,J295),1)*IF(Upgrades!$T$12="Asteroid Belt",POWER(Upgrades!$U$12,K295),1))+(IF(G295=0,0,(Upgrades!$G$8+G295*Upgrades!$H$8)*POWER(Upgrades!$I$8,G295)))*(IF(Upgrades!$T$6="Stellar Coupling",POWER(Upgrades!$U$6,E295),1)*IF(Upgrades!$T$7="Stellar Coupling",POWER(Upgrades!$U$7,F295),1)*IF(Upgrades!$T$9="Stellar Coupling",POWER(Upgrades!$U$9,H295),1)*IF(Upgrades!$T$10="Stellar Coupling",POWER(Upgrades!$U$10,I295),1)*IF(Upgrades!$T$11="Stellar Coupling",POWER(Upgrades!$U$11,J295),1)*IF(Upgrades!$T$12="Stellar Coupling",POWER(Upgrades!$U$12,K295),1))+(IF(H295=0,0,(Upgrades!$G$9+H295*Upgrades!$H$9)*POWER(Upgrades!$I$9,H295)))*(IF(Upgrades!$T$6="Magnetosphere",POWER(Upgrades!$U$6,E295),1)*IF(Upgrades!$T$7="Magnetosphere",POWER(Upgrades!$U$7,F295),1)*IF(Upgrades!$T$8="Magnetosphere",POWER(Upgrades!$U$8,G295),1)*IF(Upgrades!$T$10="Magnetosphere",POWER(Upgrades!$U$10,I295),1)*IF(Upgrades!$T$11="Magnetosphere",POWER(Upgrades!$U$11,J295),1)*IF(Upgrades!$T$12="Magnetosphere",POWER(Upgrades!$U$12,K295),1))+(IF(I295=0,0,(Upgrades!$G$10+I295*Upgrades!$H$10)*POWER(Upgrades!$I$10,I295)))*(IF(Upgrades!$T$6="Orbital Resonance",POWER(Upgrades!$U$6,E295),1)*IF(Upgrades!$T$7="Orbital Resonance",POWER(Upgrades!$U$7,F295),1)*IF(Upgrades!$T$8="Orbital Resonance",POWER(Upgrades!$U$8,G295),1)*IF(Upgrades!$T$9="Orbital Resonance",POWER(Upgrades!$U$9,H295),1)*IF(Upgrades!$T$11="Orbital Resonance",POWER(Upgrades!$U$11,J295),1)*IF(Upgrades!$T$12="Orbital Resonance",POWER(Upgrades!$U$12,K295),1))+(IF(J295=0,0,(Upgrades!$G$11+J295*Upgrades!$H$11)*POWER(Upgrades!$I$11,J295)))*(IF(Upgrades!$T$6="Heliopause",POWER(Upgrades!$U$6,E295),1)*IF(Upgrades!$T$7="Heliopause",POWER(Upgrades!$U$7,F295),1)*IF(Upgrades!$T$8="Heliopause",POWER(Upgrades!$U$8,G295),1)*IF(Upgrades!$T$9="Heliopause",POWER(Upgrades!$U$9,H295),1)*IF(Upgrades!$T$10="Heliopause",POWER(Upgrades!$U$10,I295),1)*IF(Upgrades!$T$12="Heliopause",POWER(Upgrades!$U$12,K295),1))+(IF(K295=0,0,(Upgrades!$G$12+K295*Upgrades!$H$12)*POWER(Upgrades!$I$12,K295)))*(IF(Upgrades!$T$6="First Photons",POWER(Upgrades!$U$6,E295),1)*IF(Upgrades!$T$7="First Photons",POWER(Upgrades!$U$7,F295),1)*IF(Upgrades!$T$8="First Photons",POWER(Upgrades!$U$8,G295),1)*IF(Upgrades!$T$9="First Photons",POWER(Upgrades!$U$9,H295),1)*IF(Upgrades!$T$10="First Photons",POWER(Upgrades!$U$10,I295),1)*IF(Upgrades!$T$11="First Photons",POWER(Upgrades!$U$11,J295),1)))*POWER(Upgrades!$P$6,E295)*POWER(Upgrades!$P$7,F295)*POWER(Upgrades!$P$8,G295)*POWER(Upgrades!$P$9,H295)*POWER(Upgrades!$P$10,I295)*POWER(Upgrades!$P$11,J295)*POWER(Upgrades!$P$12,K295)</f>
        <v>11.2</v>
      </c>
      <c r="O295" s="28" t="n">
        <f aca="false">((IF(E295=0,0,(Upgrades!$M$6+E295*Upgrades!$N$6)*POWER(Upgrades!$O$6,E295)))*(IF(Upgrades!$T$7="Solar Wind",POWER(Upgrades!$U$7,F295),1)*IF(Upgrades!$T$8="Solar Wind",POWER(Upgrades!$U$8,G295),1)*IF(Upgrades!$T$9="Solar Wind",POWER(Upgrades!$U$9,H295),1)*IF(Upgrades!$T$10="Solar Wind",POWER(Upgrades!$U$10,I295),1)*IF(Upgrades!$T$11="Solar Wind",POWER(Upgrades!$U$11,J295),1)*IF(Upgrades!$T$12="Solar Wind",POWER(Upgrades!$U$12,K295),1))+(IF(F295=0,0,(Upgrades!$M$7+F295*Upgrades!$N$7)*POWER(Upgrades!$O$7,F295)))*(IF(Upgrades!$T$6="Asteroid Belt",POWER(Upgrades!$U$6,E295),1)*IF(Upgrades!$T$8="Asteroid Belt",POWER(Upgrades!$U$8,G295),1)*IF(Upgrades!$T$9="Asteroid Belt",POWER(Upgrades!$U$9,H295),1)*IF(Upgrades!$T$10="Asteroid Belt",POWER(Upgrades!$U$10,I295),1)*IF(Upgrades!$T$11="Asteroid Belt",POWER(Upgrades!$U$11,J295),1)*IF(Upgrades!$T$12="Asteroid Belt",POWER(Upgrades!$U$12,K295),1))+(IF(G295=0,0,(Upgrades!$M$8+G295*Upgrades!$N$8)*POWER(Upgrades!$O$8,G295)))*(IF(Upgrades!$T$6="Stellar Coupling",POWER(Upgrades!$U$6,E295),1)*IF(Upgrades!$T$7="Stellar Coupling",POWER(Upgrades!$U$7,F295),1)*IF(Upgrades!$T$9="Stellar Coupling",POWER(Upgrades!$U$9,H295),1)*IF(Upgrades!$T$10="Stellar Coupling",POWER(Upgrades!$U$10,I295),1)*IF(Upgrades!$T$11="Stellar Coupling",POWER(Upgrades!$U$11,J295),1)*IF(Upgrades!$T$12="Stellar Coupling",POWER(Upgrades!$U$12,K295),1))+(IF(H295=0,0,(Upgrades!$M$9+H295*Upgrades!$N$9)*POWER(Upgrades!$O$9,H295)))*(IF(Upgrades!$T$6="Magnetosphere",POWER(Upgrades!$U$6,E295),1)*IF(Upgrades!$T$7="Magnetosphere",POWER(Upgrades!$U$7,F295),1)*IF(Upgrades!$T$8="Magnetosphere",POWER(Upgrades!$U$8,G295),1)*IF(Upgrades!$T$10="Magnetosphere",POWER(Upgrades!$U$10,I295),1)*IF(Upgrades!$T$11="Magnetosphere",POWER(Upgrades!$U$11,J295),1)*IF(Upgrades!$T$12="Magnetosphere",POWER(Upgrades!$U$12,K295),1))+(IF(I295=0,0,(Upgrades!$M$10+I295*Upgrades!$N$10)*POWER(Upgrades!$O$10,I295)))*(IF(Upgrades!$T$6="Orbital Resonance",POWER(Upgrades!$U$6,E295),1)*IF(Upgrades!$T$7="Orbital Resonance",POWER(Upgrades!$U$7,F295),1)*IF(Upgrades!$T$8="Orbital Resonance",POWER(Upgrades!$U$8,G295),1)*IF(Upgrades!$T$9="Orbital Resonance",POWER(Upgrades!$U$9,H295),1)*IF(Upgrades!$T$11="Orbital Resonance",POWER(Upgrades!$U$11,J295),1)*IF(Upgrades!$T$12="Orbital Resonance",POWER(Upgrades!$U$12,K295),1))+(IF(J295=0,0,(Upgrades!$M$11+J295*Upgrades!$N$11)*POWER(Upgrades!$O$11,J295)))*(IF(Upgrades!$T$6="Heliopause",POWER(Upgrades!$U$6,E295),1)*IF(Upgrades!$T$7="Heliopause",POWER(Upgrades!$U$7,F295),1)*IF(Upgrades!$T$8="Heliopause",POWER(Upgrades!$U$8,G295),1)*IF(Upgrades!$T$9="Heliopause",POWER(Upgrades!$U$9,H295),1)*IF(Upgrades!$T$10="Heliopause",POWER(Upgrades!$U$10,I295),1)*IF(Upgrades!$T$12="Heliopause",POWER(Upgrades!$U$12,K295),1))+(IF(K295=0,0,(Upgrades!$M$12+K295*Upgrades!$N$12)*POWER(Upgrades!$O$12,K295)))*(IF(Upgrades!$T$6="First Photons",POWER(Upgrades!$U$6,E295),1)*IF(Upgrades!$T$7="First Photons",POWER(Upgrades!$U$7,F295),1)*IF(Upgrades!$T$8="First Photons",POWER(Upgrades!$U$8,G295),1)*IF(Upgrades!$T$9="First Photons",POWER(Upgrades!$U$9,H295),1)*IF(Upgrades!$T$10="First Photons",POWER(Upgrades!$U$10,I295),1)*IF(Upgrades!$T$11="First Photons",POWER(Upgrades!$U$11,J295),1)))*POWER(Upgrades!$R$6,E295)*POWER(Upgrades!$R$7,F295)*POWER(Upgrades!$R$8,G295)*POWER(Upgrades!$R$9,H295)*POWER(Upgrades!$R$10,I295)*POWER(Upgrades!$R$11,J295)*POWER(Upgrades!$R$12,K295)</f>
        <v>0</v>
      </c>
      <c r="P295" s="27" t="n">
        <f aca="false">IF(L295=1,0,M295*Parameters!$B$10/60*Parameters!$B$11*10)</f>
        <v>0</v>
      </c>
      <c r="Q295" s="27" t="n">
        <f aca="false">IF(L295=1,0,O295*M295*10)</f>
        <v>0</v>
      </c>
      <c r="R295" s="27" t="n">
        <f aca="false">IF(L295=1,0,N295*10)</f>
        <v>0</v>
      </c>
      <c r="S295" s="27" t="n">
        <f aca="false">P295+Q295+R295</f>
        <v>0</v>
      </c>
      <c r="T295" s="21" t="n">
        <f aca="false">C295+S295</f>
        <v>18.6730249835055</v>
      </c>
      <c r="U295" s="34" t="str">
        <f aca="false">AX295</f>
        <v/>
      </c>
      <c r="V295" s="21" t="n">
        <f aca="false">IF(U295="",0,IF(U295="transition",0,IF(U295="SW",AG295,IF(U295="AB",AH295,IF(U295="SC",AI295,IF(U295="Mag",AJ295,IF(U295="OR",AK295,IF(U295="HP",AL295,IF(U295="FP",AM295,0)))))))))</f>
        <v>0</v>
      </c>
      <c r="W295" s="27" t="n">
        <f aca="false">IF(U295="OR",Upgrades!$F$10,IF(U295="HP",Upgrades!$F$11,IF(U295="transition",-Parameters!$B$18,0)))</f>
        <v>0</v>
      </c>
      <c r="X295" s="21" t="n">
        <f aca="false">T295-V295</f>
        <v>18.6730249835055</v>
      </c>
      <c r="Y295" s="30" t="n">
        <f aca="false">M295*Parameters!$B$10/60*Parameters!$B$11+O295*M295+N295</f>
        <v>20.55</v>
      </c>
      <c r="Z295" s="35" t="str">
        <f aca="false">IF(U295="transition","→ Tier 2 (Stellar Neighborhood)",IF(U295="FP","First Photons — light begins, system quickens",IF(U295="HP","Heliopause acquired",IF(U295="OR","Orbital Resonance — passive multiplier active",IF(AND(AO295=1,L295=0,AN295&lt;&gt;1),"Cohesion ready (waiting on completionist upgrades)","")))))</f>
        <v/>
      </c>
      <c r="AA295" s="27" t="n">
        <f aca="false">(IF(E295=0,0,(Upgrades!$G$6+E295*Upgrades!$H$6)*POWER(Upgrades!$I$6,E295)))*(IF(Upgrades!$T$7="Solar Wind",POWER(Upgrades!$U$7,F295),1)*IF(Upgrades!$T$8="Solar Wind",POWER(Upgrades!$U$8,G295),1)*IF(Upgrades!$T$9="Solar Wind",POWER(Upgrades!$U$9,H295),1)*IF(Upgrades!$T$10="Solar Wind",POWER(Upgrades!$U$10,I295),1)*IF(Upgrades!$T$11="Solar Wind",POWER(Upgrades!$U$11,J295),1)*IF(Upgrades!$T$12="Solar Wind",POWER(Upgrades!$U$12,K295),1))*POWER(Upgrades!$P$6,E295)*POWER(Upgrades!$P$7,F295)*POWER(Upgrades!$P$8,G295)*POWER(Upgrades!$P$9,H295)*POWER(Upgrades!$P$10,I295)*POWER(Upgrades!$P$11,J295)*POWER(Upgrades!$P$12,K295)*60</f>
        <v>72</v>
      </c>
      <c r="AB295" s="27" t="n">
        <f aca="false">(IF(F295=0,0,(Upgrades!$G$7+F295*Upgrades!$H$7)*POWER(Upgrades!$I$7,F295)))*(IF(Upgrades!$T$6="Asteroid Belt",POWER(Upgrades!$U$6,E295),1)*IF(Upgrades!$T$8="Asteroid Belt",POWER(Upgrades!$U$8,G295),1)*IF(Upgrades!$T$9="Asteroid Belt",POWER(Upgrades!$U$9,H295),1)*IF(Upgrades!$T$10="Asteroid Belt",POWER(Upgrades!$U$10,I295),1)*IF(Upgrades!$T$11="Asteroid Belt",POWER(Upgrades!$U$11,J295),1)*IF(Upgrades!$T$12="Asteroid Belt",POWER(Upgrades!$U$12,K295),1))*POWER(Upgrades!$P$6,E295)*POWER(Upgrades!$P$7,F295)*POWER(Upgrades!$P$8,G295)*POWER(Upgrades!$P$9,H295)*POWER(Upgrades!$P$10,I295)*POWER(Upgrades!$P$11,J295)*POWER(Upgrades!$P$12,K295)*60</f>
        <v>150</v>
      </c>
      <c r="AC295" s="27" t="n">
        <f aca="false">(IF(G295=0,0,(Upgrades!$J$8+G295*Upgrades!$K$8)*POWER(Upgrades!$L$8,G295)))*(IF(Upgrades!$T$6="Stellar Coupling",POWER(Upgrades!$U$6,E295),1)*IF(Upgrades!$T$7="Stellar Coupling",POWER(Upgrades!$U$7,F295),1)*IF(Upgrades!$T$9="Stellar Coupling",POWER(Upgrades!$U$9,H295),1)*IF(Upgrades!$T$10="Stellar Coupling",POWER(Upgrades!$U$10,I295),1)*IF(Upgrades!$T$11="Stellar Coupling",POWER(Upgrades!$U$11,J295),1)*IF(Upgrades!$T$12="Stellar Coupling",POWER(Upgrades!$U$12,K295),1))*POWER(Upgrades!$Q$6,E295)*POWER(Upgrades!$Q$7,F295)*POWER(Upgrades!$Q$8,G295)*POWER(Upgrades!$Q$9,H295)*POWER(Upgrades!$Q$10,I295)*POWER(Upgrades!$Q$11,J295)*POWER(Upgrades!$Q$12,K295)*Parameters!$B$10*Parameters!$B$11</f>
        <v>441</v>
      </c>
      <c r="AD295" s="27" t="n">
        <f aca="false">(IF(H295=0,0,(Upgrades!$G$9+H295*Upgrades!$H$9)*POWER(Upgrades!$I$9,H295)))*(IF(Upgrades!$T$6="Magnetosphere",POWER(Upgrades!$U$6,E295),1)*IF(Upgrades!$T$7="Magnetosphere",POWER(Upgrades!$U$7,F295),1)*IF(Upgrades!$T$8="Magnetosphere",POWER(Upgrades!$U$8,G295),1)*IF(Upgrades!$T$10="Magnetosphere",POWER(Upgrades!$U$10,I295),1)*IF(Upgrades!$T$11="Magnetosphere",POWER(Upgrades!$U$11,J295),1)*IF(Upgrades!$T$12="Magnetosphere",POWER(Upgrades!$U$12,K295),1))*POWER(Upgrades!$P$6,E295)*POWER(Upgrades!$P$7,F295)*POWER(Upgrades!$P$8,G295)*POWER(Upgrades!$P$9,H295)*POWER(Upgrades!$P$10,I295)*POWER(Upgrades!$P$11,J295)*POWER(Upgrades!$P$12,K295)*60</f>
        <v>375</v>
      </c>
      <c r="AE295" s="27" t="n">
        <f aca="false">(IF(K295=0,0,(Upgrades!$G$12+K295*Upgrades!$H$12)*POWER(Upgrades!$I$12,K295)))*(IF(Upgrades!$T$6="First Photons",POWER(Upgrades!$U$6,E295),1)*IF(Upgrades!$T$7="First Photons",POWER(Upgrades!$U$7,F295),1)*IF(Upgrades!$T$8="First Photons",POWER(Upgrades!$U$8,G295),1)*IF(Upgrades!$T$9="First Photons",POWER(Upgrades!$U$9,H295),1)*IF(Upgrades!$T$10="First Photons",POWER(Upgrades!$U$10,I295),1)*IF(Upgrades!$T$11="First Photons",POWER(Upgrades!$U$11,J295),1))*POWER(Upgrades!$P$6,E295)*POWER(Upgrades!$P$7,F295)*POWER(Upgrades!$P$8,G295)*POWER(Upgrades!$P$9,H295)*POWER(Upgrades!$P$10,I295)*POWER(Upgrades!$P$11,J295)*POWER(Upgrades!$P$12,K295)*60</f>
        <v>75</v>
      </c>
      <c r="AF295" s="27" t="n">
        <f aca="false">Parameters!$B$9*POWER(Upgrades!$Q$6,E295)*POWER(Upgrades!$Q$7,F295)*POWER(Upgrades!$Q$8,G295)*POWER(Upgrades!$Q$9,H295)*POWER(Upgrades!$Q$10,I295)*POWER(Upgrades!$Q$11,J295)*POWER(Upgrades!$Q$12,K295)*(Parameters!$B$10*Parameters!$B$11+O295*60)</f>
        <v>120</v>
      </c>
      <c r="AG295" s="21" t="n">
        <f aca="false">IF(E295&gt;=Upgrades!$E$6,"",Upgrades!$C$6*POWER(Upgrades!$D$6,E295))</f>
        <v>37.4517507383159</v>
      </c>
      <c r="AH295" s="21" t="n">
        <f aca="false">IF(F295&gt;=Upgrades!$E$7,"",Upgrades!$C$7*POWER(Upgrades!$D$7,F295))</f>
        <v>80.9111547141581</v>
      </c>
      <c r="AI295" s="21" t="n">
        <f aca="false">IF(G295&gt;=Upgrades!$E$8,"",Upgrades!$C$8*POWER(Upgrades!$D$8,G295))</f>
        <v>231.9097088</v>
      </c>
      <c r="AJ295" s="21" t="str">
        <f aca="false">IF(H295&gt;=Upgrades!$E$9,"",Upgrades!$C$9*POWER(Upgrades!$D$9,H295))</f>
        <v/>
      </c>
      <c r="AK295" s="21" t="str">
        <f aca="false">IF(I295&gt;=Upgrades!$E$10,"",Upgrades!$C$10*POWER(Upgrades!$D$10,I295))</f>
        <v/>
      </c>
      <c r="AL295" s="21" t="str">
        <f aca="false">IF(J295&gt;=Upgrades!$E$11,"",Upgrades!$C$11*POWER(Upgrades!$D$11,J295))</f>
        <v/>
      </c>
      <c r="AM295" s="21" t="str">
        <f aca="false">IF(K295&gt;=Upgrades!$E$12,"",Upgrades!$C$12*POWER(Upgrades!$D$12,K295))</f>
        <v/>
      </c>
      <c r="AN295" s="26" t="str">
        <f aca="false">IF(AND(D295&gt;=Parameters!$B$18,(H295&gt;=Upgrades!$E$9)*(K295&gt;=Upgrades!$E$12)=1,L295=0),1,"")</f>
        <v/>
      </c>
      <c r="AO295" s="26" t="str">
        <f aca="false">IF(AND(D295&gt;=Parameters!$B$18,L295=0),1,"")</f>
        <v/>
      </c>
      <c r="AP295" s="21" t="n">
        <f aca="false">MIN(IF(ISNUMBER(AK295),AK295,9000000000000000),IF(ISNUMBER(AL295),AL295,9000000000000000),IF(ISNUMBER(AM295),AM295,9000000000000000))</f>
        <v>9000000000000000</v>
      </c>
      <c r="AQ295" s="21" t="n">
        <f aca="false">MIN(IF(ISNUMBER(AG295),AG295,9000000000000000),IF(ISNUMBER(AH295),AH295,9000000000000000),IF(ISNUMBER(AI295),AI295,9000000000000000),IF(ISNUMBER(AJ295),AJ295,9000000000000000))</f>
        <v>37.4517507383159</v>
      </c>
      <c r="AR295" s="32" t="b">
        <f aca="false">IF(AW295&gt;Parameters!$B$21*(MAX(IF(AND(NOT(AND(AO295=1,AN295&lt;&gt;1)),ISNUMBER(AG295),AG295&lt;=T295),AS295,0),IF(AND(NOT(AND(AO295=1,AN295&lt;&gt;1)),ISNUMBER(AH295),AH295&lt;=T295),AT295,0),IF(AND(NOT(AND(AO295=1,AN295&lt;&gt;1)),ISNUMBER(AI295),AI295&lt;=T295),AU295,0),IF(AND(ISNUMBER(AJ295),AJ295&lt;=T295),AV295,0))),TRUE(),FALSE())</f>
        <v>1</v>
      </c>
      <c r="AS295" s="33" t="n">
        <f aca="false">IFERROR(Upgrades!$H$6*(POWER(Upgrades!$P$6,E295)*POWER(Upgrades!$P$7,F295)*POWER(Upgrades!$P$8,G295)*POWER(Upgrades!$P$9,H295)*POWER(Upgrades!$P$10,I295)*POWER(Upgrades!$P$11,J295)*POWER(Upgrades!$P$12,K295))*(IF(Upgrades!$T$7="Solar Wind",POWER(Upgrades!$U$7,F295),1)*IF(Upgrades!$T$8="Solar Wind",POWER(Upgrades!$U$8,G295),1)*IF(Upgrades!$T$9="Solar Wind",POWER(Upgrades!$U$9,H295),1)*IF(Upgrades!$T$10="Solar Wind",POWER(Upgrades!$U$10,I295),1)*IF(Upgrades!$T$11="Solar Wind",POWER(Upgrades!$U$11,J295),1)*IF(Upgrades!$T$12="Solar Wind",POWER(Upgrades!$U$12,K295),1))/AG295,0)</f>
        <v>0.0026701021455238</v>
      </c>
      <c r="AT295" s="33" t="n">
        <f aca="false">IFERROR(Upgrades!$H$7*(POWER(Upgrades!$P$6,E295)*POWER(Upgrades!$P$7,F295)*POWER(Upgrades!$P$8,G295)*POWER(Upgrades!$P$9,H295)*POWER(Upgrades!$P$10,I295)*POWER(Upgrades!$P$11,J295)*POWER(Upgrades!$P$12,K295))*(IF(Upgrades!$T$6="Asteroid Belt",POWER(Upgrades!$U$6,E295),1)*IF(Upgrades!$T$8="Asteroid Belt",POWER(Upgrades!$U$8,G295),1)*IF(Upgrades!$T$9="Asteroid Belt",POWER(Upgrades!$U$9,H295),1)*IF(Upgrades!$T$10="Asteroid Belt",POWER(Upgrades!$U$10,I295),1)*IF(Upgrades!$T$11="Asteroid Belt",POWER(Upgrades!$U$11,J295),1)*IF(Upgrades!$T$12="Asteroid Belt",POWER(Upgrades!$U$12,K295),1))/AH295,0)</f>
        <v>0.00308980882652332</v>
      </c>
      <c r="AU295" s="33" t="n">
        <f aca="false">IFERROR(Upgrades!$K$8*(POWER(Upgrades!$Q$6,E295)*POWER(Upgrades!$Q$7,F295)*POWER(Upgrades!$Q$8,G295)*POWER(Upgrades!$Q$9,H295)*POWER(Upgrades!$Q$10,I295)*POWER(Upgrades!$Q$11,J295)*POWER(Upgrades!$Q$12,K295))*(IF(Upgrades!$T$6="Stellar Coupling",POWER(Upgrades!$U$6,E295),1)*IF(Upgrades!$T$7="Stellar Coupling",POWER(Upgrades!$U$7,F295),1)*IF(Upgrades!$T$9="Stellar Coupling",POWER(Upgrades!$U$9,H295),1)*IF(Upgrades!$T$10="Stellar Coupling",POWER(Upgrades!$U$10,I295),1)*IF(Upgrades!$T$11="Stellar Coupling",POWER(Upgrades!$U$11,J295),1)*IF(Upgrades!$T$12="Stellar Coupling",POWER(Upgrades!$U$12,K295),1))*Parameters!$B$10*Parameters!$B$11/60/AI295,0)</f>
        <v>0.00452762415783776</v>
      </c>
      <c r="AV295" s="33" t="n">
        <f aca="false">IFERROR(Upgrades!$H$9*(POWER(Upgrades!$P$6,E295)*POWER(Upgrades!$P$7,F295)*POWER(Upgrades!$P$8,G295)*POWER(Upgrades!$P$9,H295)*POWER(Upgrades!$P$10,I295)*POWER(Upgrades!$P$11,J295)*POWER(Upgrades!$P$12,K295))*(IF(Upgrades!$T$6="Magnetosphere",POWER(Upgrades!$U$6,E295),1)*IF(Upgrades!$T$7="Magnetosphere",POWER(Upgrades!$U$7,F295),1)*IF(Upgrades!$T$8="Magnetosphere",POWER(Upgrades!$U$8,G295),1)*IF(Upgrades!$T$10="Magnetosphere",POWER(Upgrades!$U$10,I295),1)*IF(Upgrades!$T$11="Magnetosphere",POWER(Upgrades!$U$11,J295),1)*IF(Upgrades!$T$12="Magnetosphere",POWER(Upgrades!$U$12,K295),1))/AJ295,0)</f>
        <v>0</v>
      </c>
      <c r="AW295" s="33" t="n">
        <f aca="false">MAX(IF(I295&gt;0,0,IFERROR(0.25*N295/Upgrades!$C$10,0)),IF(J295&gt;0,0,IFERROR(0.5*((IF(G295=0,0,(Upgrades!$J$8+G295*Upgrades!$K$8)*POWER(Upgrades!$L$8,G295)))*(IF(Upgrades!$T$6="Stellar Coupling",POWER(Upgrades!$U$6,E295),1)*IF(Upgrades!$T$7="Stellar Coupling",POWER(Upgrades!$U$7,F295),1)*IF(Upgrades!$T$9="Stellar Coupling",POWER(Upgrades!$U$9,H295),1)*IF(Upgrades!$T$10="Stellar Coupling",POWER(Upgrades!$U$10,I295),1)*IF(Upgrades!$T$11="Stellar Coupling",POWER(Upgrades!$U$11,J295),1)*IF(Upgrades!$T$12="Stellar Coupling",POWER(Upgrades!$U$12,K295),1))*(POWER(Upgrades!$Q$6,E295)*POWER(Upgrades!$Q$7,F295)*POWER(Upgrades!$Q$8,G295)*POWER(Upgrades!$Q$9,H295)*POWER(Upgrades!$Q$10,I295)*POWER(Upgrades!$Q$11,J295)*POWER(Upgrades!$Q$12,K295))*Parameters!$B$10*Parameters!$B$11/60)/Upgrades!$C$11,0)),IF(K295&gt;0,0,IFERROR((1*(POWER(Upgrades!$P$6,E295)*POWER(Upgrades!$P$7,F295)*POWER(Upgrades!$P$8,G295)*POWER(Upgrades!$P$9,H295)*POWER(Upgrades!$P$10,I295)*POWER(Upgrades!$P$11,J295)*POWER(Upgrades!$P$12,K295))+0.2*M295*Parameters!$B$10*Parameters!$B$11/60)/Upgrades!$C$12,0)),IF(AND(ISNUMBER(AG295),AG295&gt;T295),AS295,0),IF(AND(ISNUMBER(AH295),AH295&gt;T295),AT295,0),IF(AND(ISNUMBER(AI295),AI295&gt;T295),AU295,0),IF(AND(ISNUMBER(AJ295),AJ295&gt;T295),AV295,0))</f>
        <v>0.00452762415783776</v>
      </c>
      <c r="AX295" s="29" t="str">
        <f aca="false">IF(AN295=1,"transition",IF(MIN(IF(AND(I295=0,ISNUMBER(AK295),AK295&lt;=T295),AK295,9000000000000000),IF(AND(J295=0,ISNUMBER(AL295),AL295&lt;=T295),AL295,9000000000000000),IF(AND(K295=0,ISNUMBER(AM295),AM295&lt;=T295),AM295,9000000000000000))&lt;9000000000000000,IF(AND(AND(I295=0,ISNUMBER(AK295),AK295&lt;=T295),AK295=MIN(IF(AND(I295=0,ISNUMBER(AK295),AK295&lt;=T295),AK295,9000000000000000),IF(AND(J295=0,ISNUMBER(AL295),AL295&lt;=T295),AL295,9000000000000000),IF(AND(K295=0,ISNUMBER(AM295),AM295&lt;=T295),AM295,9000000000000000))),"OR",IF(AND(AND(J295=0,ISNUMBER(AL295),AL295&lt;=T295),AL295=MIN(IF(AND(I295=0,ISNUMBER(AK295),AK295&lt;=T295),AK295,9000000000000000),IF(AND(J295=0,ISNUMBER(AL295),AL295&lt;=T295),AL295,9000000000000000),IF(AND(K295=0,ISNUMBER(AM295),AM295&lt;=T295),AM295,9000000000000000))),"HP","FP")),IF(AR295=TRUE(),"",IF(MAX(IF(AND(NOT(AND(AO295=1,AN295&lt;&gt;1)),ISNUMBER(AG295),AG295&lt;=T295),AS295,0),IF(AND(NOT(AND(AO295=1,AN295&lt;&gt;1)),ISNUMBER(AH295),AH295&lt;=T295),AT295,0),IF(AND(NOT(AND(AO295=1,AN295&lt;&gt;1)),ISNUMBER(AI295),AI295&lt;=T295),AU295,0),IF(AND(ISNUMBER(AJ295),AJ295&lt;=T295),AV295,0))&lt;=0,"",IF(AND(IF(AND(NOT(AND(AO295=1,AN295&lt;&gt;1)),ISNUMBER(AG295),AG295&lt;=T295),AS295,0)&gt;0,IF(AND(NOT(AND(AO295=1,AN295&lt;&gt;1)),ISNUMBER(AG295),AG295&lt;=T295),AS295,0)=MAX(IF(AND(NOT(AND(AO295=1,AN295&lt;&gt;1)),ISNUMBER(AG295),AG295&lt;=T295),AS295,0),IF(AND(NOT(AND(AO295=1,AN295&lt;&gt;1)),ISNUMBER(AH295),AH295&lt;=T295),AT295,0),IF(AND(NOT(AND(AO295=1,AN295&lt;&gt;1)),ISNUMBER(AI295),AI295&lt;=T295),AU295,0),IF(AND(ISNUMBER(AJ295),AJ295&lt;=T295),AV295,0))),"SW",IF(AND(IF(AND(NOT(AND(AO295=1,AN295&lt;&gt;1)),ISNUMBER(AH295),AH295&lt;=T295),AT295,0)&gt;0,IF(AND(NOT(AND(AO295=1,AN295&lt;&gt;1)),ISNUMBER(AH295),AH295&lt;=T295),AT295,0)=MAX(IF(AND(NOT(AND(AO295=1,AN295&lt;&gt;1)),ISNUMBER(AG295),AG295&lt;=T295),AS295,0),IF(AND(NOT(AND(AO295=1,AN295&lt;&gt;1)),ISNUMBER(AH295),AH295&lt;=T295),AT295,0),IF(AND(NOT(AND(AO295=1,AN295&lt;&gt;1)),ISNUMBER(AI295),AI295&lt;=T295),AU295,0),IF(AND(ISNUMBER(AJ295),AJ295&lt;=T295),AV295,0))),"AB",IF(AND(IF(AND(NOT(AND(AO295=1,AN295&lt;&gt;1)),ISNUMBER(AI295),AI295&lt;=T295),AU295,0)&gt;0,IF(AND(NOT(AND(AO295=1,AN295&lt;&gt;1)),ISNUMBER(AI295),AI295&lt;=T295),AU295,0)=MAX(IF(AND(NOT(AND(AO295=1,AN295&lt;&gt;1)),ISNUMBER(AG295),AG295&lt;=T295),AS295,0),IF(AND(NOT(AND(AO295=1,AN295&lt;&gt;1)),ISNUMBER(AH295),AH295&lt;=T295),AT295,0),IF(AND(NOT(AND(AO295=1,AN295&lt;&gt;1)),ISNUMBER(AI295),AI295&lt;=T295),AU295,0),IF(AND(ISNUMBER(AJ295),AJ295&lt;=T295),AV295,0))),"SC","Mag")))))))</f>
        <v/>
      </c>
    </row>
    <row r="296" customFormat="false" ht="15" hidden="false" customHeight="false" outlineLevel="0" collapsed="false">
      <c r="A296" s="26" t="n">
        <v>291</v>
      </c>
      <c r="B296" s="27" t="n">
        <f aca="false">A296*10/60</f>
        <v>48.5</v>
      </c>
      <c r="C296" s="21" t="n">
        <f aca="false">X295</f>
        <v>18.6730249835055</v>
      </c>
      <c r="D296" s="27" t="n">
        <f aca="false">D295+W295</f>
        <v>0</v>
      </c>
      <c r="E296" s="26" t="n">
        <f aca="false">E295+IF(U295="SW",1,0)</f>
        <v>12</v>
      </c>
      <c r="F296" s="26" t="n">
        <f aca="false">F295+IF(U295="AB",1,0)</f>
        <v>10</v>
      </c>
      <c r="G296" s="26" t="n">
        <f aca="false">G295+IF(U295="SC",1,0)</f>
        <v>7</v>
      </c>
      <c r="H296" s="26" t="n">
        <f aca="false">H295+IF(U295="Mag",1,0)</f>
        <v>5</v>
      </c>
      <c r="I296" s="26" t="n">
        <f aca="false">MAX(I295,IF(U295="OR",1,0))</f>
        <v>1</v>
      </c>
      <c r="J296" s="26" t="n">
        <f aca="false">MAX(J295,IF(U295="HP",1,0))</f>
        <v>1</v>
      </c>
      <c r="K296" s="26" t="n">
        <f aca="false">MAX(K295,IF(U295="FP",1,0))</f>
        <v>1</v>
      </c>
      <c r="L296" s="26" t="n">
        <f aca="false">MAX(L295,IF(U295="transition",1,0))</f>
        <v>1</v>
      </c>
      <c r="M296" s="28" t="n">
        <f aca="false">(Parameters!$B$9+(IF(E296=0,0,(Upgrades!$J$6+E296*Upgrades!$K$6)*POWER(Upgrades!$L$6,E296)))*(IF(Upgrades!$T$7="Solar Wind",POWER(Upgrades!$U$7,F296),1)*IF(Upgrades!$T$8="Solar Wind",POWER(Upgrades!$U$8,G296),1)*IF(Upgrades!$T$9="Solar Wind",POWER(Upgrades!$U$9,H296),1)*IF(Upgrades!$T$10="Solar Wind",POWER(Upgrades!$U$10,I296),1)*IF(Upgrades!$T$11="Solar Wind",POWER(Upgrades!$U$11,J296),1)*IF(Upgrades!$T$12="Solar Wind",POWER(Upgrades!$U$12,K296),1))+(IF(F296=0,0,(Upgrades!$J$7+F296*Upgrades!$K$7)*POWER(Upgrades!$L$7,F296)))*(IF(Upgrades!$T$6="Asteroid Belt",POWER(Upgrades!$U$6,E296),1)*IF(Upgrades!$T$8="Asteroid Belt",POWER(Upgrades!$U$8,G296),1)*IF(Upgrades!$T$9="Asteroid Belt",POWER(Upgrades!$U$9,H296),1)*IF(Upgrades!$T$10="Asteroid Belt",POWER(Upgrades!$U$10,I296),1)*IF(Upgrades!$T$11="Asteroid Belt",POWER(Upgrades!$U$11,J296),1)*IF(Upgrades!$T$12="Asteroid Belt",POWER(Upgrades!$U$12,K296),1))+(IF(G296=0,0,(Upgrades!$J$8+G296*Upgrades!$K$8)*POWER(Upgrades!$L$8,G296)))*(IF(Upgrades!$T$6="Stellar Coupling",POWER(Upgrades!$U$6,E296),1)*IF(Upgrades!$T$7="Stellar Coupling",POWER(Upgrades!$U$7,F296),1)*IF(Upgrades!$T$9="Stellar Coupling",POWER(Upgrades!$U$9,H296),1)*IF(Upgrades!$T$10="Stellar Coupling",POWER(Upgrades!$U$10,I296),1)*IF(Upgrades!$T$11="Stellar Coupling",POWER(Upgrades!$U$11,J296),1)*IF(Upgrades!$T$12="Stellar Coupling",POWER(Upgrades!$U$12,K296),1))+(IF(H296=0,0,(Upgrades!$J$9+H296*Upgrades!$K$9)*POWER(Upgrades!$L$9,H296)))*(IF(Upgrades!$T$6="Magnetosphere",POWER(Upgrades!$U$6,E296),1)*IF(Upgrades!$T$7="Magnetosphere",POWER(Upgrades!$U$7,F296),1)*IF(Upgrades!$T$8="Magnetosphere",POWER(Upgrades!$U$8,G296),1)*IF(Upgrades!$T$10="Magnetosphere",POWER(Upgrades!$U$10,I296),1)*IF(Upgrades!$T$11="Magnetosphere",POWER(Upgrades!$U$11,J296),1)*IF(Upgrades!$T$12="Magnetosphere",POWER(Upgrades!$U$12,K296),1))+(IF(I296=0,0,(Upgrades!$J$10+I296*Upgrades!$K$10)*POWER(Upgrades!$L$10,I296)))*(IF(Upgrades!$T$6="Orbital Resonance",POWER(Upgrades!$U$6,E296),1)*IF(Upgrades!$T$7="Orbital Resonance",POWER(Upgrades!$U$7,F296),1)*IF(Upgrades!$T$8="Orbital Resonance",POWER(Upgrades!$U$8,G296),1)*IF(Upgrades!$T$9="Orbital Resonance",POWER(Upgrades!$U$9,H296),1)*IF(Upgrades!$T$11="Orbital Resonance",POWER(Upgrades!$U$11,J296),1)*IF(Upgrades!$T$12="Orbital Resonance",POWER(Upgrades!$U$12,K296),1))+(IF(J296=0,0,(Upgrades!$J$11+J296*Upgrades!$K$11)*POWER(Upgrades!$L$11,J296)))*(IF(Upgrades!$T$6="Heliopause",POWER(Upgrades!$U$6,E296),1)*IF(Upgrades!$T$7="Heliopause",POWER(Upgrades!$U$7,F296),1)*IF(Upgrades!$T$8="Heliopause",POWER(Upgrades!$U$8,G296),1)*IF(Upgrades!$T$9="Heliopause",POWER(Upgrades!$U$9,H296),1)*IF(Upgrades!$T$10="Heliopause",POWER(Upgrades!$U$10,I296),1)*IF(Upgrades!$T$12="Heliopause",POWER(Upgrades!$U$12,K296),1))+(IF(K296=0,0,(Upgrades!$J$12+K296*Upgrades!$K$12)*POWER(Upgrades!$L$12,K296)))*(IF(Upgrades!$T$6="First Photons",POWER(Upgrades!$U$6,E296),1)*IF(Upgrades!$T$7="First Photons",POWER(Upgrades!$U$7,F296),1)*IF(Upgrades!$T$8="First Photons",POWER(Upgrades!$U$8,G296),1)*IF(Upgrades!$T$9="First Photons",POWER(Upgrades!$U$9,H296),1)*IF(Upgrades!$T$10="First Photons",POWER(Upgrades!$U$10,I296),1)*IF(Upgrades!$T$11="First Photons",POWER(Upgrades!$U$11,J296),1)))*POWER(Upgrades!$Q$6,E296)*POWER(Upgrades!$Q$7,F296)*POWER(Upgrades!$Q$8,G296)*POWER(Upgrades!$Q$9,H296)*POWER(Upgrades!$Q$10,I296)*POWER(Upgrades!$Q$11,J296)*POWER(Upgrades!$Q$12,K296)</f>
        <v>5.61</v>
      </c>
      <c r="N296" s="28" t="n">
        <f aca="false">((IF(E296=0,0,(Upgrades!$G$6+E296*Upgrades!$H$6)*POWER(Upgrades!$I$6,E296)))*(IF(Upgrades!$T$7="Solar Wind",POWER(Upgrades!$U$7,F296),1)*IF(Upgrades!$T$8="Solar Wind",POWER(Upgrades!$U$8,G296),1)*IF(Upgrades!$T$9="Solar Wind",POWER(Upgrades!$U$9,H296),1)*IF(Upgrades!$T$10="Solar Wind",POWER(Upgrades!$U$10,I296),1)*IF(Upgrades!$T$11="Solar Wind",POWER(Upgrades!$U$11,J296),1)*IF(Upgrades!$T$12="Solar Wind",POWER(Upgrades!$U$12,K296),1))+(IF(F296=0,0,(Upgrades!$G$7+F296*Upgrades!$H$7)*POWER(Upgrades!$I$7,F296)))*(IF(Upgrades!$T$6="Asteroid Belt",POWER(Upgrades!$U$6,E296),1)*IF(Upgrades!$T$8="Asteroid Belt",POWER(Upgrades!$U$8,G296),1)*IF(Upgrades!$T$9="Asteroid Belt",POWER(Upgrades!$U$9,H296),1)*IF(Upgrades!$T$10="Asteroid Belt",POWER(Upgrades!$U$10,I296),1)*IF(Upgrades!$T$11="Asteroid Belt",POWER(Upgrades!$U$11,J296),1)*IF(Upgrades!$T$12="Asteroid Belt",POWER(Upgrades!$U$12,K296),1))+(IF(G296=0,0,(Upgrades!$G$8+G296*Upgrades!$H$8)*POWER(Upgrades!$I$8,G296)))*(IF(Upgrades!$T$6="Stellar Coupling",POWER(Upgrades!$U$6,E296),1)*IF(Upgrades!$T$7="Stellar Coupling",POWER(Upgrades!$U$7,F296),1)*IF(Upgrades!$T$9="Stellar Coupling",POWER(Upgrades!$U$9,H296),1)*IF(Upgrades!$T$10="Stellar Coupling",POWER(Upgrades!$U$10,I296),1)*IF(Upgrades!$T$11="Stellar Coupling",POWER(Upgrades!$U$11,J296),1)*IF(Upgrades!$T$12="Stellar Coupling",POWER(Upgrades!$U$12,K296),1))+(IF(H296=0,0,(Upgrades!$G$9+H296*Upgrades!$H$9)*POWER(Upgrades!$I$9,H296)))*(IF(Upgrades!$T$6="Magnetosphere",POWER(Upgrades!$U$6,E296),1)*IF(Upgrades!$T$7="Magnetosphere",POWER(Upgrades!$U$7,F296),1)*IF(Upgrades!$T$8="Magnetosphere",POWER(Upgrades!$U$8,G296),1)*IF(Upgrades!$T$10="Magnetosphere",POWER(Upgrades!$U$10,I296),1)*IF(Upgrades!$T$11="Magnetosphere",POWER(Upgrades!$U$11,J296),1)*IF(Upgrades!$T$12="Magnetosphere",POWER(Upgrades!$U$12,K296),1))+(IF(I296=0,0,(Upgrades!$G$10+I296*Upgrades!$H$10)*POWER(Upgrades!$I$10,I296)))*(IF(Upgrades!$T$6="Orbital Resonance",POWER(Upgrades!$U$6,E296),1)*IF(Upgrades!$T$7="Orbital Resonance",POWER(Upgrades!$U$7,F296),1)*IF(Upgrades!$T$8="Orbital Resonance",POWER(Upgrades!$U$8,G296),1)*IF(Upgrades!$T$9="Orbital Resonance",POWER(Upgrades!$U$9,H296),1)*IF(Upgrades!$T$11="Orbital Resonance",POWER(Upgrades!$U$11,J296),1)*IF(Upgrades!$T$12="Orbital Resonance",POWER(Upgrades!$U$12,K296),1))+(IF(J296=0,0,(Upgrades!$G$11+J296*Upgrades!$H$11)*POWER(Upgrades!$I$11,J296)))*(IF(Upgrades!$T$6="Heliopause",POWER(Upgrades!$U$6,E296),1)*IF(Upgrades!$T$7="Heliopause",POWER(Upgrades!$U$7,F296),1)*IF(Upgrades!$T$8="Heliopause",POWER(Upgrades!$U$8,G296),1)*IF(Upgrades!$T$9="Heliopause",POWER(Upgrades!$U$9,H296),1)*IF(Upgrades!$T$10="Heliopause",POWER(Upgrades!$U$10,I296),1)*IF(Upgrades!$T$12="Heliopause",POWER(Upgrades!$U$12,K296),1))+(IF(K296=0,0,(Upgrades!$G$12+K296*Upgrades!$H$12)*POWER(Upgrades!$I$12,K296)))*(IF(Upgrades!$T$6="First Photons",POWER(Upgrades!$U$6,E296),1)*IF(Upgrades!$T$7="First Photons",POWER(Upgrades!$U$7,F296),1)*IF(Upgrades!$T$8="First Photons",POWER(Upgrades!$U$8,G296),1)*IF(Upgrades!$T$9="First Photons",POWER(Upgrades!$U$9,H296),1)*IF(Upgrades!$T$10="First Photons",POWER(Upgrades!$U$10,I296),1)*IF(Upgrades!$T$11="First Photons",POWER(Upgrades!$U$11,J296),1)))*POWER(Upgrades!$P$6,E296)*POWER(Upgrades!$P$7,F296)*POWER(Upgrades!$P$8,G296)*POWER(Upgrades!$P$9,H296)*POWER(Upgrades!$P$10,I296)*POWER(Upgrades!$P$11,J296)*POWER(Upgrades!$P$12,K296)</f>
        <v>11.2</v>
      </c>
      <c r="O296" s="28" t="n">
        <f aca="false">((IF(E296=0,0,(Upgrades!$M$6+E296*Upgrades!$N$6)*POWER(Upgrades!$O$6,E296)))*(IF(Upgrades!$T$7="Solar Wind",POWER(Upgrades!$U$7,F296),1)*IF(Upgrades!$T$8="Solar Wind",POWER(Upgrades!$U$8,G296),1)*IF(Upgrades!$T$9="Solar Wind",POWER(Upgrades!$U$9,H296),1)*IF(Upgrades!$T$10="Solar Wind",POWER(Upgrades!$U$10,I296),1)*IF(Upgrades!$T$11="Solar Wind",POWER(Upgrades!$U$11,J296),1)*IF(Upgrades!$T$12="Solar Wind",POWER(Upgrades!$U$12,K296),1))+(IF(F296=0,0,(Upgrades!$M$7+F296*Upgrades!$N$7)*POWER(Upgrades!$O$7,F296)))*(IF(Upgrades!$T$6="Asteroid Belt",POWER(Upgrades!$U$6,E296),1)*IF(Upgrades!$T$8="Asteroid Belt",POWER(Upgrades!$U$8,G296),1)*IF(Upgrades!$T$9="Asteroid Belt",POWER(Upgrades!$U$9,H296),1)*IF(Upgrades!$T$10="Asteroid Belt",POWER(Upgrades!$U$10,I296),1)*IF(Upgrades!$T$11="Asteroid Belt",POWER(Upgrades!$U$11,J296),1)*IF(Upgrades!$T$12="Asteroid Belt",POWER(Upgrades!$U$12,K296),1))+(IF(G296=0,0,(Upgrades!$M$8+G296*Upgrades!$N$8)*POWER(Upgrades!$O$8,G296)))*(IF(Upgrades!$T$6="Stellar Coupling",POWER(Upgrades!$U$6,E296),1)*IF(Upgrades!$T$7="Stellar Coupling",POWER(Upgrades!$U$7,F296),1)*IF(Upgrades!$T$9="Stellar Coupling",POWER(Upgrades!$U$9,H296),1)*IF(Upgrades!$T$10="Stellar Coupling",POWER(Upgrades!$U$10,I296),1)*IF(Upgrades!$T$11="Stellar Coupling",POWER(Upgrades!$U$11,J296),1)*IF(Upgrades!$T$12="Stellar Coupling",POWER(Upgrades!$U$12,K296),1))+(IF(H296=0,0,(Upgrades!$M$9+H296*Upgrades!$N$9)*POWER(Upgrades!$O$9,H296)))*(IF(Upgrades!$T$6="Magnetosphere",POWER(Upgrades!$U$6,E296),1)*IF(Upgrades!$T$7="Magnetosphere",POWER(Upgrades!$U$7,F296),1)*IF(Upgrades!$T$8="Magnetosphere",POWER(Upgrades!$U$8,G296),1)*IF(Upgrades!$T$10="Magnetosphere",POWER(Upgrades!$U$10,I296),1)*IF(Upgrades!$T$11="Magnetosphere",POWER(Upgrades!$U$11,J296),1)*IF(Upgrades!$T$12="Magnetosphere",POWER(Upgrades!$U$12,K296),1))+(IF(I296=0,0,(Upgrades!$M$10+I296*Upgrades!$N$10)*POWER(Upgrades!$O$10,I296)))*(IF(Upgrades!$T$6="Orbital Resonance",POWER(Upgrades!$U$6,E296),1)*IF(Upgrades!$T$7="Orbital Resonance",POWER(Upgrades!$U$7,F296),1)*IF(Upgrades!$T$8="Orbital Resonance",POWER(Upgrades!$U$8,G296),1)*IF(Upgrades!$T$9="Orbital Resonance",POWER(Upgrades!$U$9,H296),1)*IF(Upgrades!$T$11="Orbital Resonance",POWER(Upgrades!$U$11,J296),1)*IF(Upgrades!$T$12="Orbital Resonance",POWER(Upgrades!$U$12,K296),1))+(IF(J296=0,0,(Upgrades!$M$11+J296*Upgrades!$N$11)*POWER(Upgrades!$O$11,J296)))*(IF(Upgrades!$T$6="Heliopause",POWER(Upgrades!$U$6,E296),1)*IF(Upgrades!$T$7="Heliopause",POWER(Upgrades!$U$7,F296),1)*IF(Upgrades!$T$8="Heliopause",POWER(Upgrades!$U$8,G296),1)*IF(Upgrades!$T$9="Heliopause",POWER(Upgrades!$U$9,H296),1)*IF(Upgrades!$T$10="Heliopause",POWER(Upgrades!$U$10,I296),1)*IF(Upgrades!$T$12="Heliopause",POWER(Upgrades!$U$12,K296),1))+(IF(K296=0,0,(Upgrades!$M$12+K296*Upgrades!$N$12)*POWER(Upgrades!$O$12,K296)))*(IF(Upgrades!$T$6="First Photons",POWER(Upgrades!$U$6,E296),1)*IF(Upgrades!$T$7="First Photons",POWER(Upgrades!$U$7,F296),1)*IF(Upgrades!$T$8="First Photons",POWER(Upgrades!$U$8,G296),1)*IF(Upgrades!$T$9="First Photons",POWER(Upgrades!$U$9,H296),1)*IF(Upgrades!$T$10="First Photons",POWER(Upgrades!$U$10,I296),1)*IF(Upgrades!$T$11="First Photons",POWER(Upgrades!$U$11,J296),1)))*POWER(Upgrades!$R$6,E296)*POWER(Upgrades!$R$7,F296)*POWER(Upgrades!$R$8,G296)*POWER(Upgrades!$R$9,H296)*POWER(Upgrades!$R$10,I296)*POWER(Upgrades!$R$11,J296)*POWER(Upgrades!$R$12,K296)</f>
        <v>0</v>
      </c>
      <c r="P296" s="27" t="n">
        <f aca="false">IF(L296=1,0,M296*Parameters!$B$10/60*Parameters!$B$11*10)</f>
        <v>0</v>
      </c>
      <c r="Q296" s="27" t="n">
        <f aca="false">IF(L296=1,0,O296*M296*10)</f>
        <v>0</v>
      </c>
      <c r="R296" s="27" t="n">
        <f aca="false">IF(L296=1,0,N296*10)</f>
        <v>0</v>
      </c>
      <c r="S296" s="27" t="n">
        <f aca="false">P296+Q296+R296</f>
        <v>0</v>
      </c>
      <c r="T296" s="21" t="n">
        <f aca="false">C296+S296</f>
        <v>18.6730249835055</v>
      </c>
      <c r="U296" s="34" t="str">
        <f aca="false">AX296</f>
        <v/>
      </c>
      <c r="V296" s="21" t="n">
        <f aca="false">IF(U296="",0,IF(U296="transition",0,IF(U296="SW",AG296,IF(U296="AB",AH296,IF(U296="SC",AI296,IF(U296="Mag",AJ296,IF(U296="OR",AK296,IF(U296="HP",AL296,IF(U296="FP",AM296,0)))))))))</f>
        <v>0</v>
      </c>
      <c r="W296" s="27" t="n">
        <f aca="false">IF(U296="OR",Upgrades!$F$10,IF(U296="HP",Upgrades!$F$11,IF(U296="transition",-Parameters!$B$18,0)))</f>
        <v>0</v>
      </c>
      <c r="X296" s="21" t="n">
        <f aca="false">T296-V296</f>
        <v>18.6730249835055</v>
      </c>
      <c r="Y296" s="30" t="n">
        <f aca="false">M296*Parameters!$B$10/60*Parameters!$B$11+O296*M296+N296</f>
        <v>20.55</v>
      </c>
      <c r="Z296" s="35" t="str">
        <f aca="false">IF(U296="transition","→ Tier 2 (Stellar Neighborhood)",IF(U296="FP","First Photons — light begins, system quickens",IF(U296="HP","Heliopause acquired",IF(U296="OR","Orbital Resonance — passive multiplier active",IF(AND(AO296=1,L296=0,AN296&lt;&gt;1),"Cohesion ready (waiting on completionist upgrades)","")))))</f>
        <v/>
      </c>
      <c r="AA296" s="27" t="n">
        <f aca="false">(IF(E296=0,0,(Upgrades!$G$6+E296*Upgrades!$H$6)*POWER(Upgrades!$I$6,E296)))*(IF(Upgrades!$T$7="Solar Wind",POWER(Upgrades!$U$7,F296),1)*IF(Upgrades!$T$8="Solar Wind",POWER(Upgrades!$U$8,G296),1)*IF(Upgrades!$T$9="Solar Wind",POWER(Upgrades!$U$9,H296),1)*IF(Upgrades!$T$10="Solar Wind",POWER(Upgrades!$U$10,I296),1)*IF(Upgrades!$T$11="Solar Wind",POWER(Upgrades!$U$11,J296),1)*IF(Upgrades!$T$12="Solar Wind",POWER(Upgrades!$U$12,K296),1))*POWER(Upgrades!$P$6,E296)*POWER(Upgrades!$P$7,F296)*POWER(Upgrades!$P$8,G296)*POWER(Upgrades!$P$9,H296)*POWER(Upgrades!$P$10,I296)*POWER(Upgrades!$P$11,J296)*POWER(Upgrades!$P$12,K296)*60</f>
        <v>72</v>
      </c>
      <c r="AB296" s="27" t="n">
        <f aca="false">(IF(F296=0,0,(Upgrades!$G$7+F296*Upgrades!$H$7)*POWER(Upgrades!$I$7,F296)))*(IF(Upgrades!$T$6="Asteroid Belt",POWER(Upgrades!$U$6,E296),1)*IF(Upgrades!$T$8="Asteroid Belt",POWER(Upgrades!$U$8,G296),1)*IF(Upgrades!$T$9="Asteroid Belt",POWER(Upgrades!$U$9,H296),1)*IF(Upgrades!$T$10="Asteroid Belt",POWER(Upgrades!$U$10,I296),1)*IF(Upgrades!$T$11="Asteroid Belt",POWER(Upgrades!$U$11,J296),1)*IF(Upgrades!$T$12="Asteroid Belt",POWER(Upgrades!$U$12,K296),1))*POWER(Upgrades!$P$6,E296)*POWER(Upgrades!$P$7,F296)*POWER(Upgrades!$P$8,G296)*POWER(Upgrades!$P$9,H296)*POWER(Upgrades!$P$10,I296)*POWER(Upgrades!$P$11,J296)*POWER(Upgrades!$P$12,K296)*60</f>
        <v>150</v>
      </c>
      <c r="AC296" s="27" t="n">
        <f aca="false">(IF(G296=0,0,(Upgrades!$J$8+G296*Upgrades!$K$8)*POWER(Upgrades!$L$8,G296)))*(IF(Upgrades!$T$6="Stellar Coupling",POWER(Upgrades!$U$6,E296),1)*IF(Upgrades!$T$7="Stellar Coupling",POWER(Upgrades!$U$7,F296),1)*IF(Upgrades!$T$9="Stellar Coupling",POWER(Upgrades!$U$9,H296),1)*IF(Upgrades!$T$10="Stellar Coupling",POWER(Upgrades!$U$10,I296),1)*IF(Upgrades!$T$11="Stellar Coupling",POWER(Upgrades!$U$11,J296),1)*IF(Upgrades!$T$12="Stellar Coupling",POWER(Upgrades!$U$12,K296),1))*POWER(Upgrades!$Q$6,E296)*POWER(Upgrades!$Q$7,F296)*POWER(Upgrades!$Q$8,G296)*POWER(Upgrades!$Q$9,H296)*POWER(Upgrades!$Q$10,I296)*POWER(Upgrades!$Q$11,J296)*POWER(Upgrades!$Q$12,K296)*Parameters!$B$10*Parameters!$B$11</f>
        <v>441</v>
      </c>
      <c r="AD296" s="27" t="n">
        <f aca="false">(IF(H296=0,0,(Upgrades!$G$9+H296*Upgrades!$H$9)*POWER(Upgrades!$I$9,H296)))*(IF(Upgrades!$T$6="Magnetosphere",POWER(Upgrades!$U$6,E296),1)*IF(Upgrades!$T$7="Magnetosphere",POWER(Upgrades!$U$7,F296),1)*IF(Upgrades!$T$8="Magnetosphere",POWER(Upgrades!$U$8,G296),1)*IF(Upgrades!$T$10="Magnetosphere",POWER(Upgrades!$U$10,I296),1)*IF(Upgrades!$T$11="Magnetosphere",POWER(Upgrades!$U$11,J296),1)*IF(Upgrades!$T$12="Magnetosphere",POWER(Upgrades!$U$12,K296),1))*POWER(Upgrades!$P$6,E296)*POWER(Upgrades!$P$7,F296)*POWER(Upgrades!$P$8,G296)*POWER(Upgrades!$P$9,H296)*POWER(Upgrades!$P$10,I296)*POWER(Upgrades!$P$11,J296)*POWER(Upgrades!$P$12,K296)*60</f>
        <v>375</v>
      </c>
      <c r="AE296" s="27" t="n">
        <f aca="false">(IF(K296=0,0,(Upgrades!$G$12+K296*Upgrades!$H$12)*POWER(Upgrades!$I$12,K296)))*(IF(Upgrades!$T$6="First Photons",POWER(Upgrades!$U$6,E296),1)*IF(Upgrades!$T$7="First Photons",POWER(Upgrades!$U$7,F296),1)*IF(Upgrades!$T$8="First Photons",POWER(Upgrades!$U$8,G296),1)*IF(Upgrades!$T$9="First Photons",POWER(Upgrades!$U$9,H296),1)*IF(Upgrades!$T$10="First Photons",POWER(Upgrades!$U$10,I296),1)*IF(Upgrades!$T$11="First Photons",POWER(Upgrades!$U$11,J296),1))*POWER(Upgrades!$P$6,E296)*POWER(Upgrades!$P$7,F296)*POWER(Upgrades!$P$8,G296)*POWER(Upgrades!$P$9,H296)*POWER(Upgrades!$P$10,I296)*POWER(Upgrades!$P$11,J296)*POWER(Upgrades!$P$12,K296)*60</f>
        <v>75</v>
      </c>
      <c r="AF296" s="27" t="n">
        <f aca="false">Parameters!$B$9*POWER(Upgrades!$Q$6,E296)*POWER(Upgrades!$Q$7,F296)*POWER(Upgrades!$Q$8,G296)*POWER(Upgrades!$Q$9,H296)*POWER(Upgrades!$Q$10,I296)*POWER(Upgrades!$Q$11,J296)*POWER(Upgrades!$Q$12,K296)*(Parameters!$B$10*Parameters!$B$11+O296*60)</f>
        <v>120</v>
      </c>
      <c r="AG296" s="21" t="n">
        <f aca="false">IF(E296&gt;=Upgrades!$E$6,"",Upgrades!$C$6*POWER(Upgrades!$D$6,E296))</f>
        <v>37.4517507383159</v>
      </c>
      <c r="AH296" s="21" t="n">
        <f aca="false">IF(F296&gt;=Upgrades!$E$7,"",Upgrades!$C$7*POWER(Upgrades!$D$7,F296))</f>
        <v>80.9111547141581</v>
      </c>
      <c r="AI296" s="21" t="n">
        <f aca="false">IF(G296&gt;=Upgrades!$E$8,"",Upgrades!$C$8*POWER(Upgrades!$D$8,G296))</f>
        <v>231.9097088</v>
      </c>
      <c r="AJ296" s="21" t="str">
        <f aca="false">IF(H296&gt;=Upgrades!$E$9,"",Upgrades!$C$9*POWER(Upgrades!$D$9,H296))</f>
        <v/>
      </c>
      <c r="AK296" s="21" t="str">
        <f aca="false">IF(I296&gt;=Upgrades!$E$10,"",Upgrades!$C$10*POWER(Upgrades!$D$10,I296))</f>
        <v/>
      </c>
      <c r="AL296" s="21" t="str">
        <f aca="false">IF(J296&gt;=Upgrades!$E$11,"",Upgrades!$C$11*POWER(Upgrades!$D$11,J296))</f>
        <v/>
      </c>
      <c r="AM296" s="21" t="str">
        <f aca="false">IF(K296&gt;=Upgrades!$E$12,"",Upgrades!$C$12*POWER(Upgrades!$D$12,K296))</f>
        <v/>
      </c>
      <c r="AN296" s="26" t="str">
        <f aca="false">IF(AND(D296&gt;=Parameters!$B$18,(H296&gt;=Upgrades!$E$9)*(K296&gt;=Upgrades!$E$12)=1,L296=0),1,"")</f>
        <v/>
      </c>
      <c r="AO296" s="26" t="str">
        <f aca="false">IF(AND(D296&gt;=Parameters!$B$18,L296=0),1,"")</f>
        <v/>
      </c>
      <c r="AP296" s="21" t="n">
        <f aca="false">MIN(IF(ISNUMBER(AK296),AK296,9000000000000000),IF(ISNUMBER(AL296),AL296,9000000000000000),IF(ISNUMBER(AM296),AM296,9000000000000000))</f>
        <v>9000000000000000</v>
      </c>
      <c r="AQ296" s="21" t="n">
        <f aca="false">MIN(IF(ISNUMBER(AG296),AG296,9000000000000000),IF(ISNUMBER(AH296),AH296,9000000000000000),IF(ISNUMBER(AI296),AI296,9000000000000000),IF(ISNUMBER(AJ296),AJ296,9000000000000000))</f>
        <v>37.4517507383159</v>
      </c>
      <c r="AR296" s="32" t="b">
        <f aca="false">IF(AW296&gt;Parameters!$B$21*(MAX(IF(AND(NOT(AND(AO296=1,AN296&lt;&gt;1)),ISNUMBER(AG296),AG296&lt;=T296),AS296,0),IF(AND(NOT(AND(AO296=1,AN296&lt;&gt;1)),ISNUMBER(AH296),AH296&lt;=T296),AT296,0),IF(AND(NOT(AND(AO296=1,AN296&lt;&gt;1)),ISNUMBER(AI296),AI296&lt;=T296),AU296,0),IF(AND(ISNUMBER(AJ296),AJ296&lt;=T296),AV296,0))),TRUE(),FALSE())</f>
        <v>1</v>
      </c>
      <c r="AS296" s="33" t="n">
        <f aca="false">IFERROR(Upgrades!$H$6*(POWER(Upgrades!$P$6,E296)*POWER(Upgrades!$P$7,F296)*POWER(Upgrades!$P$8,G296)*POWER(Upgrades!$P$9,H296)*POWER(Upgrades!$P$10,I296)*POWER(Upgrades!$P$11,J296)*POWER(Upgrades!$P$12,K296))*(IF(Upgrades!$T$7="Solar Wind",POWER(Upgrades!$U$7,F296),1)*IF(Upgrades!$T$8="Solar Wind",POWER(Upgrades!$U$8,G296),1)*IF(Upgrades!$T$9="Solar Wind",POWER(Upgrades!$U$9,H296),1)*IF(Upgrades!$T$10="Solar Wind",POWER(Upgrades!$U$10,I296),1)*IF(Upgrades!$T$11="Solar Wind",POWER(Upgrades!$U$11,J296),1)*IF(Upgrades!$T$12="Solar Wind",POWER(Upgrades!$U$12,K296),1))/AG296,0)</f>
        <v>0.0026701021455238</v>
      </c>
      <c r="AT296" s="33" t="n">
        <f aca="false">IFERROR(Upgrades!$H$7*(POWER(Upgrades!$P$6,E296)*POWER(Upgrades!$P$7,F296)*POWER(Upgrades!$P$8,G296)*POWER(Upgrades!$P$9,H296)*POWER(Upgrades!$P$10,I296)*POWER(Upgrades!$P$11,J296)*POWER(Upgrades!$P$12,K296))*(IF(Upgrades!$T$6="Asteroid Belt",POWER(Upgrades!$U$6,E296),1)*IF(Upgrades!$T$8="Asteroid Belt",POWER(Upgrades!$U$8,G296),1)*IF(Upgrades!$T$9="Asteroid Belt",POWER(Upgrades!$U$9,H296),1)*IF(Upgrades!$T$10="Asteroid Belt",POWER(Upgrades!$U$10,I296),1)*IF(Upgrades!$T$11="Asteroid Belt",POWER(Upgrades!$U$11,J296),1)*IF(Upgrades!$T$12="Asteroid Belt",POWER(Upgrades!$U$12,K296),1))/AH296,0)</f>
        <v>0.00308980882652332</v>
      </c>
      <c r="AU296" s="33" t="n">
        <f aca="false">IFERROR(Upgrades!$K$8*(POWER(Upgrades!$Q$6,E296)*POWER(Upgrades!$Q$7,F296)*POWER(Upgrades!$Q$8,G296)*POWER(Upgrades!$Q$9,H296)*POWER(Upgrades!$Q$10,I296)*POWER(Upgrades!$Q$11,J296)*POWER(Upgrades!$Q$12,K296))*(IF(Upgrades!$T$6="Stellar Coupling",POWER(Upgrades!$U$6,E296),1)*IF(Upgrades!$T$7="Stellar Coupling",POWER(Upgrades!$U$7,F296),1)*IF(Upgrades!$T$9="Stellar Coupling",POWER(Upgrades!$U$9,H296),1)*IF(Upgrades!$T$10="Stellar Coupling",POWER(Upgrades!$U$10,I296),1)*IF(Upgrades!$T$11="Stellar Coupling",POWER(Upgrades!$U$11,J296),1)*IF(Upgrades!$T$12="Stellar Coupling",POWER(Upgrades!$U$12,K296),1))*Parameters!$B$10*Parameters!$B$11/60/AI296,0)</f>
        <v>0.00452762415783776</v>
      </c>
      <c r="AV296" s="33" t="n">
        <f aca="false">IFERROR(Upgrades!$H$9*(POWER(Upgrades!$P$6,E296)*POWER(Upgrades!$P$7,F296)*POWER(Upgrades!$P$8,G296)*POWER(Upgrades!$P$9,H296)*POWER(Upgrades!$P$10,I296)*POWER(Upgrades!$P$11,J296)*POWER(Upgrades!$P$12,K296))*(IF(Upgrades!$T$6="Magnetosphere",POWER(Upgrades!$U$6,E296),1)*IF(Upgrades!$T$7="Magnetosphere",POWER(Upgrades!$U$7,F296),1)*IF(Upgrades!$T$8="Magnetosphere",POWER(Upgrades!$U$8,G296),1)*IF(Upgrades!$T$10="Magnetosphere",POWER(Upgrades!$U$10,I296),1)*IF(Upgrades!$T$11="Magnetosphere",POWER(Upgrades!$U$11,J296),1)*IF(Upgrades!$T$12="Magnetosphere",POWER(Upgrades!$U$12,K296),1))/AJ296,0)</f>
        <v>0</v>
      </c>
      <c r="AW296" s="33" t="n">
        <f aca="false">MAX(IF(I296&gt;0,0,IFERROR(0.25*N296/Upgrades!$C$10,0)),IF(J296&gt;0,0,IFERROR(0.5*((IF(G296=0,0,(Upgrades!$J$8+G296*Upgrades!$K$8)*POWER(Upgrades!$L$8,G296)))*(IF(Upgrades!$T$6="Stellar Coupling",POWER(Upgrades!$U$6,E296),1)*IF(Upgrades!$T$7="Stellar Coupling",POWER(Upgrades!$U$7,F296),1)*IF(Upgrades!$T$9="Stellar Coupling",POWER(Upgrades!$U$9,H296),1)*IF(Upgrades!$T$10="Stellar Coupling",POWER(Upgrades!$U$10,I296),1)*IF(Upgrades!$T$11="Stellar Coupling",POWER(Upgrades!$U$11,J296),1)*IF(Upgrades!$T$12="Stellar Coupling",POWER(Upgrades!$U$12,K296),1))*(POWER(Upgrades!$Q$6,E296)*POWER(Upgrades!$Q$7,F296)*POWER(Upgrades!$Q$8,G296)*POWER(Upgrades!$Q$9,H296)*POWER(Upgrades!$Q$10,I296)*POWER(Upgrades!$Q$11,J296)*POWER(Upgrades!$Q$12,K296))*Parameters!$B$10*Parameters!$B$11/60)/Upgrades!$C$11,0)),IF(K296&gt;0,0,IFERROR((1*(POWER(Upgrades!$P$6,E296)*POWER(Upgrades!$P$7,F296)*POWER(Upgrades!$P$8,G296)*POWER(Upgrades!$P$9,H296)*POWER(Upgrades!$P$10,I296)*POWER(Upgrades!$P$11,J296)*POWER(Upgrades!$P$12,K296))+0.2*M296*Parameters!$B$10*Parameters!$B$11/60)/Upgrades!$C$12,0)),IF(AND(ISNUMBER(AG296),AG296&gt;T296),AS296,0),IF(AND(ISNUMBER(AH296),AH296&gt;T296),AT296,0),IF(AND(ISNUMBER(AI296),AI296&gt;T296),AU296,0),IF(AND(ISNUMBER(AJ296),AJ296&gt;T296),AV296,0))</f>
        <v>0.00452762415783776</v>
      </c>
      <c r="AX296" s="29" t="str">
        <f aca="false">IF(AN296=1,"transition",IF(MIN(IF(AND(I296=0,ISNUMBER(AK296),AK296&lt;=T296),AK296,9000000000000000),IF(AND(J296=0,ISNUMBER(AL296),AL296&lt;=T296),AL296,9000000000000000),IF(AND(K296=0,ISNUMBER(AM296),AM296&lt;=T296),AM296,9000000000000000))&lt;9000000000000000,IF(AND(AND(I296=0,ISNUMBER(AK296),AK296&lt;=T296),AK296=MIN(IF(AND(I296=0,ISNUMBER(AK296),AK296&lt;=T296),AK296,9000000000000000),IF(AND(J296=0,ISNUMBER(AL296),AL296&lt;=T296),AL296,9000000000000000),IF(AND(K296=0,ISNUMBER(AM296),AM296&lt;=T296),AM296,9000000000000000))),"OR",IF(AND(AND(J296=0,ISNUMBER(AL296),AL296&lt;=T296),AL296=MIN(IF(AND(I296=0,ISNUMBER(AK296),AK296&lt;=T296),AK296,9000000000000000),IF(AND(J296=0,ISNUMBER(AL296),AL296&lt;=T296),AL296,9000000000000000),IF(AND(K296=0,ISNUMBER(AM296),AM296&lt;=T296),AM296,9000000000000000))),"HP","FP")),IF(AR296=TRUE(),"",IF(MAX(IF(AND(NOT(AND(AO296=1,AN296&lt;&gt;1)),ISNUMBER(AG296),AG296&lt;=T296),AS296,0),IF(AND(NOT(AND(AO296=1,AN296&lt;&gt;1)),ISNUMBER(AH296),AH296&lt;=T296),AT296,0),IF(AND(NOT(AND(AO296=1,AN296&lt;&gt;1)),ISNUMBER(AI296),AI296&lt;=T296),AU296,0),IF(AND(ISNUMBER(AJ296),AJ296&lt;=T296),AV296,0))&lt;=0,"",IF(AND(IF(AND(NOT(AND(AO296=1,AN296&lt;&gt;1)),ISNUMBER(AG296),AG296&lt;=T296),AS296,0)&gt;0,IF(AND(NOT(AND(AO296=1,AN296&lt;&gt;1)),ISNUMBER(AG296),AG296&lt;=T296),AS296,0)=MAX(IF(AND(NOT(AND(AO296=1,AN296&lt;&gt;1)),ISNUMBER(AG296),AG296&lt;=T296),AS296,0),IF(AND(NOT(AND(AO296=1,AN296&lt;&gt;1)),ISNUMBER(AH296),AH296&lt;=T296),AT296,0),IF(AND(NOT(AND(AO296=1,AN296&lt;&gt;1)),ISNUMBER(AI296),AI296&lt;=T296),AU296,0),IF(AND(ISNUMBER(AJ296),AJ296&lt;=T296),AV296,0))),"SW",IF(AND(IF(AND(NOT(AND(AO296=1,AN296&lt;&gt;1)),ISNUMBER(AH296),AH296&lt;=T296),AT296,0)&gt;0,IF(AND(NOT(AND(AO296=1,AN296&lt;&gt;1)),ISNUMBER(AH296),AH296&lt;=T296),AT296,0)=MAX(IF(AND(NOT(AND(AO296=1,AN296&lt;&gt;1)),ISNUMBER(AG296),AG296&lt;=T296),AS296,0),IF(AND(NOT(AND(AO296=1,AN296&lt;&gt;1)),ISNUMBER(AH296),AH296&lt;=T296),AT296,0),IF(AND(NOT(AND(AO296=1,AN296&lt;&gt;1)),ISNUMBER(AI296),AI296&lt;=T296),AU296,0),IF(AND(ISNUMBER(AJ296),AJ296&lt;=T296),AV296,0))),"AB",IF(AND(IF(AND(NOT(AND(AO296=1,AN296&lt;&gt;1)),ISNUMBER(AI296),AI296&lt;=T296),AU296,0)&gt;0,IF(AND(NOT(AND(AO296=1,AN296&lt;&gt;1)),ISNUMBER(AI296),AI296&lt;=T296),AU296,0)=MAX(IF(AND(NOT(AND(AO296=1,AN296&lt;&gt;1)),ISNUMBER(AG296),AG296&lt;=T296),AS296,0),IF(AND(NOT(AND(AO296=1,AN296&lt;&gt;1)),ISNUMBER(AH296),AH296&lt;=T296),AT296,0),IF(AND(NOT(AND(AO296=1,AN296&lt;&gt;1)),ISNUMBER(AI296),AI296&lt;=T296),AU296,0),IF(AND(ISNUMBER(AJ296),AJ296&lt;=T296),AV296,0))),"SC","Mag")))))))</f>
        <v/>
      </c>
    </row>
    <row r="297" customFormat="false" ht="15" hidden="false" customHeight="false" outlineLevel="0" collapsed="false">
      <c r="A297" s="26" t="n">
        <v>292</v>
      </c>
      <c r="B297" s="27" t="n">
        <f aca="false">A297*10/60</f>
        <v>48.6666666666667</v>
      </c>
      <c r="C297" s="21" t="n">
        <f aca="false">X296</f>
        <v>18.6730249835055</v>
      </c>
      <c r="D297" s="27" t="n">
        <f aca="false">D296+W296</f>
        <v>0</v>
      </c>
      <c r="E297" s="26" t="n">
        <f aca="false">E296+IF(U296="SW",1,0)</f>
        <v>12</v>
      </c>
      <c r="F297" s="26" t="n">
        <f aca="false">F296+IF(U296="AB",1,0)</f>
        <v>10</v>
      </c>
      <c r="G297" s="26" t="n">
        <f aca="false">G296+IF(U296="SC",1,0)</f>
        <v>7</v>
      </c>
      <c r="H297" s="26" t="n">
        <f aca="false">H296+IF(U296="Mag",1,0)</f>
        <v>5</v>
      </c>
      <c r="I297" s="26" t="n">
        <f aca="false">MAX(I296,IF(U296="OR",1,0))</f>
        <v>1</v>
      </c>
      <c r="J297" s="26" t="n">
        <f aca="false">MAX(J296,IF(U296="HP",1,0))</f>
        <v>1</v>
      </c>
      <c r="K297" s="26" t="n">
        <f aca="false">MAX(K296,IF(U296="FP",1,0))</f>
        <v>1</v>
      </c>
      <c r="L297" s="26" t="n">
        <f aca="false">MAX(L296,IF(U296="transition",1,0))</f>
        <v>1</v>
      </c>
      <c r="M297" s="28" t="n">
        <f aca="false">(Parameters!$B$9+(IF(E297=0,0,(Upgrades!$J$6+E297*Upgrades!$K$6)*POWER(Upgrades!$L$6,E297)))*(IF(Upgrades!$T$7="Solar Wind",POWER(Upgrades!$U$7,F297),1)*IF(Upgrades!$T$8="Solar Wind",POWER(Upgrades!$U$8,G297),1)*IF(Upgrades!$T$9="Solar Wind",POWER(Upgrades!$U$9,H297),1)*IF(Upgrades!$T$10="Solar Wind",POWER(Upgrades!$U$10,I297),1)*IF(Upgrades!$T$11="Solar Wind",POWER(Upgrades!$U$11,J297),1)*IF(Upgrades!$T$12="Solar Wind",POWER(Upgrades!$U$12,K297),1))+(IF(F297=0,0,(Upgrades!$J$7+F297*Upgrades!$K$7)*POWER(Upgrades!$L$7,F297)))*(IF(Upgrades!$T$6="Asteroid Belt",POWER(Upgrades!$U$6,E297),1)*IF(Upgrades!$T$8="Asteroid Belt",POWER(Upgrades!$U$8,G297),1)*IF(Upgrades!$T$9="Asteroid Belt",POWER(Upgrades!$U$9,H297),1)*IF(Upgrades!$T$10="Asteroid Belt",POWER(Upgrades!$U$10,I297),1)*IF(Upgrades!$T$11="Asteroid Belt",POWER(Upgrades!$U$11,J297),1)*IF(Upgrades!$T$12="Asteroid Belt",POWER(Upgrades!$U$12,K297),1))+(IF(G297=0,0,(Upgrades!$J$8+G297*Upgrades!$K$8)*POWER(Upgrades!$L$8,G297)))*(IF(Upgrades!$T$6="Stellar Coupling",POWER(Upgrades!$U$6,E297),1)*IF(Upgrades!$T$7="Stellar Coupling",POWER(Upgrades!$U$7,F297),1)*IF(Upgrades!$T$9="Stellar Coupling",POWER(Upgrades!$U$9,H297),1)*IF(Upgrades!$T$10="Stellar Coupling",POWER(Upgrades!$U$10,I297),1)*IF(Upgrades!$T$11="Stellar Coupling",POWER(Upgrades!$U$11,J297),1)*IF(Upgrades!$T$12="Stellar Coupling",POWER(Upgrades!$U$12,K297),1))+(IF(H297=0,0,(Upgrades!$J$9+H297*Upgrades!$K$9)*POWER(Upgrades!$L$9,H297)))*(IF(Upgrades!$T$6="Magnetosphere",POWER(Upgrades!$U$6,E297),1)*IF(Upgrades!$T$7="Magnetosphere",POWER(Upgrades!$U$7,F297),1)*IF(Upgrades!$T$8="Magnetosphere",POWER(Upgrades!$U$8,G297),1)*IF(Upgrades!$T$10="Magnetosphere",POWER(Upgrades!$U$10,I297),1)*IF(Upgrades!$T$11="Magnetosphere",POWER(Upgrades!$U$11,J297),1)*IF(Upgrades!$T$12="Magnetosphere",POWER(Upgrades!$U$12,K297),1))+(IF(I297=0,0,(Upgrades!$J$10+I297*Upgrades!$K$10)*POWER(Upgrades!$L$10,I297)))*(IF(Upgrades!$T$6="Orbital Resonance",POWER(Upgrades!$U$6,E297),1)*IF(Upgrades!$T$7="Orbital Resonance",POWER(Upgrades!$U$7,F297),1)*IF(Upgrades!$T$8="Orbital Resonance",POWER(Upgrades!$U$8,G297),1)*IF(Upgrades!$T$9="Orbital Resonance",POWER(Upgrades!$U$9,H297),1)*IF(Upgrades!$T$11="Orbital Resonance",POWER(Upgrades!$U$11,J297),1)*IF(Upgrades!$T$12="Orbital Resonance",POWER(Upgrades!$U$12,K297),1))+(IF(J297=0,0,(Upgrades!$J$11+J297*Upgrades!$K$11)*POWER(Upgrades!$L$11,J297)))*(IF(Upgrades!$T$6="Heliopause",POWER(Upgrades!$U$6,E297),1)*IF(Upgrades!$T$7="Heliopause",POWER(Upgrades!$U$7,F297),1)*IF(Upgrades!$T$8="Heliopause",POWER(Upgrades!$U$8,G297),1)*IF(Upgrades!$T$9="Heliopause",POWER(Upgrades!$U$9,H297),1)*IF(Upgrades!$T$10="Heliopause",POWER(Upgrades!$U$10,I297),1)*IF(Upgrades!$T$12="Heliopause",POWER(Upgrades!$U$12,K297),1))+(IF(K297=0,0,(Upgrades!$J$12+K297*Upgrades!$K$12)*POWER(Upgrades!$L$12,K297)))*(IF(Upgrades!$T$6="First Photons",POWER(Upgrades!$U$6,E297),1)*IF(Upgrades!$T$7="First Photons",POWER(Upgrades!$U$7,F297),1)*IF(Upgrades!$T$8="First Photons",POWER(Upgrades!$U$8,G297),1)*IF(Upgrades!$T$9="First Photons",POWER(Upgrades!$U$9,H297),1)*IF(Upgrades!$T$10="First Photons",POWER(Upgrades!$U$10,I297),1)*IF(Upgrades!$T$11="First Photons",POWER(Upgrades!$U$11,J297),1)))*POWER(Upgrades!$Q$6,E297)*POWER(Upgrades!$Q$7,F297)*POWER(Upgrades!$Q$8,G297)*POWER(Upgrades!$Q$9,H297)*POWER(Upgrades!$Q$10,I297)*POWER(Upgrades!$Q$11,J297)*POWER(Upgrades!$Q$12,K297)</f>
        <v>5.61</v>
      </c>
      <c r="N297" s="28" t="n">
        <f aca="false">((IF(E297=0,0,(Upgrades!$G$6+E297*Upgrades!$H$6)*POWER(Upgrades!$I$6,E297)))*(IF(Upgrades!$T$7="Solar Wind",POWER(Upgrades!$U$7,F297),1)*IF(Upgrades!$T$8="Solar Wind",POWER(Upgrades!$U$8,G297),1)*IF(Upgrades!$T$9="Solar Wind",POWER(Upgrades!$U$9,H297),1)*IF(Upgrades!$T$10="Solar Wind",POWER(Upgrades!$U$10,I297),1)*IF(Upgrades!$T$11="Solar Wind",POWER(Upgrades!$U$11,J297),1)*IF(Upgrades!$T$12="Solar Wind",POWER(Upgrades!$U$12,K297),1))+(IF(F297=0,0,(Upgrades!$G$7+F297*Upgrades!$H$7)*POWER(Upgrades!$I$7,F297)))*(IF(Upgrades!$T$6="Asteroid Belt",POWER(Upgrades!$U$6,E297),1)*IF(Upgrades!$T$8="Asteroid Belt",POWER(Upgrades!$U$8,G297),1)*IF(Upgrades!$T$9="Asteroid Belt",POWER(Upgrades!$U$9,H297),1)*IF(Upgrades!$T$10="Asteroid Belt",POWER(Upgrades!$U$10,I297),1)*IF(Upgrades!$T$11="Asteroid Belt",POWER(Upgrades!$U$11,J297),1)*IF(Upgrades!$T$12="Asteroid Belt",POWER(Upgrades!$U$12,K297),1))+(IF(G297=0,0,(Upgrades!$G$8+G297*Upgrades!$H$8)*POWER(Upgrades!$I$8,G297)))*(IF(Upgrades!$T$6="Stellar Coupling",POWER(Upgrades!$U$6,E297),1)*IF(Upgrades!$T$7="Stellar Coupling",POWER(Upgrades!$U$7,F297),1)*IF(Upgrades!$T$9="Stellar Coupling",POWER(Upgrades!$U$9,H297),1)*IF(Upgrades!$T$10="Stellar Coupling",POWER(Upgrades!$U$10,I297),1)*IF(Upgrades!$T$11="Stellar Coupling",POWER(Upgrades!$U$11,J297),1)*IF(Upgrades!$T$12="Stellar Coupling",POWER(Upgrades!$U$12,K297),1))+(IF(H297=0,0,(Upgrades!$G$9+H297*Upgrades!$H$9)*POWER(Upgrades!$I$9,H297)))*(IF(Upgrades!$T$6="Magnetosphere",POWER(Upgrades!$U$6,E297),1)*IF(Upgrades!$T$7="Magnetosphere",POWER(Upgrades!$U$7,F297),1)*IF(Upgrades!$T$8="Magnetosphere",POWER(Upgrades!$U$8,G297),1)*IF(Upgrades!$T$10="Magnetosphere",POWER(Upgrades!$U$10,I297),1)*IF(Upgrades!$T$11="Magnetosphere",POWER(Upgrades!$U$11,J297),1)*IF(Upgrades!$T$12="Magnetosphere",POWER(Upgrades!$U$12,K297),1))+(IF(I297=0,0,(Upgrades!$G$10+I297*Upgrades!$H$10)*POWER(Upgrades!$I$10,I297)))*(IF(Upgrades!$T$6="Orbital Resonance",POWER(Upgrades!$U$6,E297),1)*IF(Upgrades!$T$7="Orbital Resonance",POWER(Upgrades!$U$7,F297),1)*IF(Upgrades!$T$8="Orbital Resonance",POWER(Upgrades!$U$8,G297),1)*IF(Upgrades!$T$9="Orbital Resonance",POWER(Upgrades!$U$9,H297),1)*IF(Upgrades!$T$11="Orbital Resonance",POWER(Upgrades!$U$11,J297),1)*IF(Upgrades!$T$12="Orbital Resonance",POWER(Upgrades!$U$12,K297),1))+(IF(J297=0,0,(Upgrades!$G$11+J297*Upgrades!$H$11)*POWER(Upgrades!$I$11,J297)))*(IF(Upgrades!$T$6="Heliopause",POWER(Upgrades!$U$6,E297),1)*IF(Upgrades!$T$7="Heliopause",POWER(Upgrades!$U$7,F297),1)*IF(Upgrades!$T$8="Heliopause",POWER(Upgrades!$U$8,G297),1)*IF(Upgrades!$T$9="Heliopause",POWER(Upgrades!$U$9,H297),1)*IF(Upgrades!$T$10="Heliopause",POWER(Upgrades!$U$10,I297),1)*IF(Upgrades!$T$12="Heliopause",POWER(Upgrades!$U$12,K297),1))+(IF(K297=0,0,(Upgrades!$G$12+K297*Upgrades!$H$12)*POWER(Upgrades!$I$12,K297)))*(IF(Upgrades!$T$6="First Photons",POWER(Upgrades!$U$6,E297),1)*IF(Upgrades!$T$7="First Photons",POWER(Upgrades!$U$7,F297),1)*IF(Upgrades!$T$8="First Photons",POWER(Upgrades!$U$8,G297),1)*IF(Upgrades!$T$9="First Photons",POWER(Upgrades!$U$9,H297),1)*IF(Upgrades!$T$10="First Photons",POWER(Upgrades!$U$10,I297),1)*IF(Upgrades!$T$11="First Photons",POWER(Upgrades!$U$11,J297),1)))*POWER(Upgrades!$P$6,E297)*POWER(Upgrades!$P$7,F297)*POWER(Upgrades!$P$8,G297)*POWER(Upgrades!$P$9,H297)*POWER(Upgrades!$P$10,I297)*POWER(Upgrades!$P$11,J297)*POWER(Upgrades!$P$12,K297)</f>
        <v>11.2</v>
      </c>
      <c r="O297" s="28" t="n">
        <f aca="false">((IF(E297=0,0,(Upgrades!$M$6+E297*Upgrades!$N$6)*POWER(Upgrades!$O$6,E297)))*(IF(Upgrades!$T$7="Solar Wind",POWER(Upgrades!$U$7,F297),1)*IF(Upgrades!$T$8="Solar Wind",POWER(Upgrades!$U$8,G297),1)*IF(Upgrades!$T$9="Solar Wind",POWER(Upgrades!$U$9,H297),1)*IF(Upgrades!$T$10="Solar Wind",POWER(Upgrades!$U$10,I297),1)*IF(Upgrades!$T$11="Solar Wind",POWER(Upgrades!$U$11,J297),1)*IF(Upgrades!$T$12="Solar Wind",POWER(Upgrades!$U$12,K297),1))+(IF(F297=0,0,(Upgrades!$M$7+F297*Upgrades!$N$7)*POWER(Upgrades!$O$7,F297)))*(IF(Upgrades!$T$6="Asteroid Belt",POWER(Upgrades!$U$6,E297),1)*IF(Upgrades!$T$8="Asteroid Belt",POWER(Upgrades!$U$8,G297),1)*IF(Upgrades!$T$9="Asteroid Belt",POWER(Upgrades!$U$9,H297),1)*IF(Upgrades!$T$10="Asteroid Belt",POWER(Upgrades!$U$10,I297),1)*IF(Upgrades!$T$11="Asteroid Belt",POWER(Upgrades!$U$11,J297),1)*IF(Upgrades!$T$12="Asteroid Belt",POWER(Upgrades!$U$12,K297),1))+(IF(G297=0,0,(Upgrades!$M$8+G297*Upgrades!$N$8)*POWER(Upgrades!$O$8,G297)))*(IF(Upgrades!$T$6="Stellar Coupling",POWER(Upgrades!$U$6,E297),1)*IF(Upgrades!$T$7="Stellar Coupling",POWER(Upgrades!$U$7,F297),1)*IF(Upgrades!$T$9="Stellar Coupling",POWER(Upgrades!$U$9,H297),1)*IF(Upgrades!$T$10="Stellar Coupling",POWER(Upgrades!$U$10,I297),1)*IF(Upgrades!$T$11="Stellar Coupling",POWER(Upgrades!$U$11,J297),1)*IF(Upgrades!$T$12="Stellar Coupling",POWER(Upgrades!$U$12,K297),1))+(IF(H297=0,0,(Upgrades!$M$9+H297*Upgrades!$N$9)*POWER(Upgrades!$O$9,H297)))*(IF(Upgrades!$T$6="Magnetosphere",POWER(Upgrades!$U$6,E297),1)*IF(Upgrades!$T$7="Magnetosphere",POWER(Upgrades!$U$7,F297),1)*IF(Upgrades!$T$8="Magnetosphere",POWER(Upgrades!$U$8,G297),1)*IF(Upgrades!$T$10="Magnetosphere",POWER(Upgrades!$U$10,I297),1)*IF(Upgrades!$T$11="Magnetosphere",POWER(Upgrades!$U$11,J297),1)*IF(Upgrades!$T$12="Magnetosphere",POWER(Upgrades!$U$12,K297),1))+(IF(I297=0,0,(Upgrades!$M$10+I297*Upgrades!$N$10)*POWER(Upgrades!$O$10,I297)))*(IF(Upgrades!$T$6="Orbital Resonance",POWER(Upgrades!$U$6,E297),1)*IF(Upgrades!$T$7="Orbital Resonance",POWER(Upgrades!$U$7,F297),1)*IF(Upgrades!$T$8="Orbital Resonance",POWER(Upgrades!$U$8,G297),1)*IF(Upgrades!$T$9="Orbital Resonance",POWER(Upgrades!$U$9,H297),1)*IF(Upgrades!$T$11="Orbital Resonance",POWER(Upgrades!$U$11,J297),1)*IF(Upgrades!$T$12="Orbital Resonance",POWER(Upgrades!$U$12,K297),1))+(IF(J297=0,0,(Upgrades!$M$11+J297*Upgrades!$N$11)*POWER(Upgrades!$O$11,J297)))*(IF(Upgrades!$T$6="Heliopause",POWER(Upgrades!$U$6,E297),1)*IF(Upgrades!$T$7="Heliopause",POWER(Upgrades!$U$7,F297),1)*IF(Upgrades!$T$8="Heliopause",POWER(Upgrades!$U$8,G297),1)*IF(Upgrades!$T$9="Heliopause",POWER(Upgrades!$U$9,H297),1)*IF(Upgrades!$T$10="Heliopause",POWER(Upgrades!$U$10,I297),1)*IF(Upgrades!$T$12="Heliopause",POWER(Upgrades!$U$12,K297),1))+(IF(K297=0,0,(Upgrades!$M$12+K297*Upgrades!$N$12)*POWER(Upgrades!$O$12,K297)))*(IF(Upgrades!$T$6="First Photons",POWER(Upgrades!$U$6,E297),1)*IF(Upgrades!$T$7="First Photons",POWER(Upgrades!$U$7,F297),1)*IF(Upgrades!$T$8="First Photons",POWER(Upgrades!$U$8,G297),1)*IF(Upgrades!$T$9="First Photons",POWER(Upgrades!$U$9,H297),1)*IF(Upgrades!$T$10="First Photons",POWER(Upgrades!$U$10,I297),1)*IF(Upgrades!$T$11="First Photons",POWER(Upgrades!$U$11,J297),1)))*POWER(Upgrades!$R$6,E297)*POWER(Upgrades!$R$7,F297)*POWER(Upgrades!$R$8,G297)*POWER(Upgrades!$R$9,H297)*POWER(Upgrades!$R$10,I297)*POWER(Upgrades!$R$11,J297)*POWER(Upgrades!$R$12,K297)</f>
        <v>0</v>
      </c>
      <c r="P297" s="27" t="n">
        <f aca="false">IF(L297=1,0,M297*Parameters!$B$10/60*Parameters!$B$11*10)</f>
        <v>0</v>
      </c>
      <c r="Q297" s="27" t="n">
        <f aca="false">IF(L297=1,0,O297*M297*10)</f>
        <v>0</v>
      </c>
      <c r="R297" s="27" t="n">
        <f aca="false">IF(L297=1,0,N297*10)</f>
        <v>0</v>
      </c>
      <c r="S297" s="27" t="n">
        <f aca="false">P297+Q297+R297</f>
        <v>0</v>
      </c>
      <c r="T297" s="21" t="n">
        <f aca="false">C297+S297</f>
        <v>18.6730249835055</v>
      </c>
      <c r="U297" s="34" t="str">
        <f aca="false">AX297</f>
        <v/>
      </c>
      <c r="V297" s="21" t="n">
        <f aca="false">IF(U297="",0,IF(U297="transition",0,IF(U297="SW",AG297,IF(U297="AB",AH297,IF(U297="SC",AI297,IF(U297="Mag",AJ297,IF(U297="OR",AK297,IF(U297="HP",AL297,IF(U297="FP",AM297,0)))))))))</f>
        <v>0</v>
      </c>
      <c r="W297" s="27" t="n">
        <f aca="false">IF(U297="OR",Upgrades!$F$10,IF(U297="HP",Upgrades!$F$11,IF(U297="transition",-Parameters!$B$18,0)))</f>
        <v>0</v>
      </c>
      <c r="X297" s="21" t="n">
        <f aca="false">T297-V297</f>
        <v>18.6730249835055</v>
      </c>
      <c r="Y297" s="30" t="n">
        <f aca="false">M297*Parameters!$B$10/60*Parameters!$B$11+O297*M297+N297</f>
        <v>20.55</v>
      </c>
      <c r="Z297" s="35" t="str">
        <f aca="false">IF(U297="transition","→ Tier 2 (Stellar Neighborhood)",IF(U297="FP","First Photons — light begins, system quickens",IF(U297="HP","Heliopause acquired",IF(U297="OR","Orbital Resonance — passive multiplier active",IF(AND(AO297=1,L297=0,AN297&lt;&gt;1),"Cohesion ready (waiting on completionist upgrades)","")))))</f>
        <v/>
      </c>
      <c r="AA297" s="27" t="n">
        <f aca="false">(IF(E297=0,0,(Upgrades!$G$6+E297*Upgrades!$H$6)*POWER(Upgrades!$I$6,E297)))*(IF(Upgrades!$T$7="Solar Wind",POWER(Upgrades!$U$7,F297),1)*IF(Upgrades!$T$8="Solar Wind",POWER(Upgrades!$U$8,G297),1)*IF(Upgrades!$T$9="Solar Wind",POWER(Upgrades!$U$9,H297),1)*IF(Upgrades!$T$10="Solar Wind",POWER(Upgrades!$U$10,I297),1)*IF(Upgrades!$T$11="Solar Wind",POWER(Upgrades!$U$11,J297),1)*IF(Upgrades!$T$12="Solar Wind",POWER(Upgrades!$U$12,K297),1))*POWER(Upgrades!$P$6,E297)*POWER(Upgrades!$P$7,F297)*POWER(Upgrades!$P$8,G297)*POWER(Upgrades!$P$9,H297)*POWER(Upgrades!$P$10,I297)*POWER(Upgrades!$P$11,J297)*POWER(Upgrades!$P$12,K297)*60</f>
        <v>72</v>
      </c>
      <c r="AB297" s="27" t="n">
        <f aca="false">(IF(F297=0,0,(Upgrades!$G$7+F297*Upgrades!$H$7)*POWER(Upgrades!$I$7,F297)))*(IF(Upgrades!$T$6="Asteroid Belt",POWER(Upgrades!$U$6,E297),1)*IF(Upgrades!$T$8="Asteroid Belt",POWER(Upgrades!$U$8,G297),1)*IF(Upgrades!$T$9="Asteroid Belt",POWER(Upgrades!$U$9,H297),1)*IF(Upgrades!$T$10="Asteroid Belt",POWER(Upgrades!$U$10,I297),1)*IF(Upgrades!$T$11="Asteroid Belt",POWER(Upgrades!$U$11,J297),1)*IF(Upgrades!$T$12="Asteroid Belt",POWER(Upgrades!$U$12,K297),1))*POWER(Upgrades!$P$6,E297)*POWER(Upgrades!$P$7,F297)*POWER(Upgrades!$P$8,G297)*POWER(Upgrades!$P$9,H297)*POWER(Upgrades!$P$10,I297)*POWER(Upgrades!$P$11,J297)*POWER(Upgrades!$P$12,K297)*60</f>
        <v>150</v>
      </c>
      <c r="AC297" s="27" t="n">
        <f aca="false">(IF(G297=0,0,(Upgrades!$J$8+G297*Upgrades!$K$8)*POWER(Upgrades!$L$8,G297)))*(IF(Upgrades!$T$6="Stellar Coupling",POWER(Upgrades!$U$6,E297),1)*IF(Upgrades!$T$7="Stellar Coupling",POWER(Upgrades!$U$7,F297),1)*IF(Upgrades!$T$9="Stellar Coupling",POWER(Upgrades!$U$9,H297),1)*IF(Upgrades!$T$10="Stellar Coupling",POWER(Upgrades!$U$10,I297),1)*IF(Upgrades!$T$11="Stellar Coupling",POWER(Upgrades!$U$11,J297),1)*IF(Upgrades!$T$12="Stellar Coupling",POWER(Upgrades!$U$12,K297),1))*POWER(Upgrades!$Q$6,E297)*POWER(Upgrades!$Q$7,F297)*POWER(Upgrades!$Q$8,G297)*POWER(Upgrades!$Q$9,H297)*POWER(Upgrades!$Q$10,I297)*POWER(Upgrades!$Q$11,J297)*POWER(Upgrades!$Q$12,K297)*Parameters!$B$10*Parameters!$B$11</f>
        <v>441</v>
      </c>
      <c r="AD297" s="27" t="n">
        <f aca="false">(IF(H297=0,0,(Upgrades!$G$9+H297*Upgrades!$H$9)*POWER(Upgrades!$I$9,H297)))*(IF(Upgrades!$T$6="Magnetosphere",POWER(Upgrades!$U$6,E297),1)*IF(Upgrades!$T$7="Magnetosphere",POWER(Upgrades!$U$7,F297),1)*IF(Upgrades!$T$8="Magnetosphere",POWER(Upgrades!$U$8,G297),1)*IF(Upgrades!$T$10="Magnetosphere",POWER(Upgrades!$U$10,I297),1)*IF(Upgrades!$T$11="Magnetosphere",POWER(Upgrades!$U$11,J297),1)*IF(Upgrades!$T$12="Magnetosphere",POWER(Upgrades!$U$12,K297),1))*POWER(Upgrades!$P$6,E297)*POWER(Upgrades!$P$7,F297)*POWER(Upgrades!$P$8,G297)*POWER(Upgrades!$P$9,H297)*POWER(Upgrades!$P$10,I297)*POWER(Upgrades!$P$11,J297)*POWER(Upgrades!$P$12,K297)*60</f>
        <v>375</v>
      </c>
      <c r="AE297" s="27" t="n">
        <f aca="false">(IF(K297=0,0,(Upgrades!$G$12+K297*Upgrades!$H$12)*POWER(Upgrades!$I$12,K297)))*(IF(Upgrades!$T$6="First Photons",POWER(Upgrades!$U$6,E297),1)*IF(Upgrades!$T$7="First Photons",POWER(Upgrades!$U$7,F297),1)*IF(Upgrades!$T$8="First Photons",POWER(Upgrades!$U$8,G297),1)*IF(Upgrades!$T$9="First Photons",POWER(Upgrades!$U$9,H297),1)*IF(Upgrades!$T$10="First Photons",POWER(Upgrades!$U$10,I297),1)*IF(Upgrades!$T$11="First Photons",POWER(Upgrades!$U$11,J297),1))*POWER(Upgrades!$P$6,E297)*POWER(Upgrades!$P$7,F297)*POWER(Upgrades!$P$8,G297)*POWER(Upgrades!$P$9,H297)*POWER(Upgrades!$P$10,I297)*POWER(Upgrades!$P$11,J297)*POWER(Upgrades!$P$12,K297)*60</f>
        <v>75</v>
      </c>
      <c r="AF297" s="27" t="n">
        <f aca="false">Parameters!$B$9*POWER(Upgrades!$Q$6,E297)*POWER(Upgrades!$Q$7,F297)*POWER(Upgrades!$Q$8,G297)*POWER(Upgrades!$Q$9,H297)*POWER(Upgrades!$Q$10,I297)*POWER(Upgrades!$Q$11,J297)*POWER(Upgrades!$Q$12,K297)*(Parameters!$B$10*Parameters!$B$11+O297*60)</f>
        <v>120</v>
      </c>
      <c r="AG297" s="21" t="n">
        <f aca="false">IF(E297&gt;=Upgrades!$E$6,"",Upgrades!$C$6*POWER(Upgrades!$D$6,E297))</f>
        <v>37.4517507383159</v>
      </c>
      <c r="AH297" s="21" t="n">
        <f aca="false">IF(F297&gt;=Upgrades!$E$7,"",Upgrades!$C$7*POWER(Upgrades!$D$7,F297))</f>
        <v>80.9111547141581</v>
      </c>
      <c r="AI297" s="21" t="n">
        <f aca="false">IF(G297&gt;=Upgrades!$E$8,"",Upgrades!$C$8*POWER(Upgrades!$D$8,G297))</f>
        <v>231.9097088</v>
      </c>
      <c r="AJ297" s="21" t="str">
        <f aca="false">IF(H297&gt;=Upgrades!$E$9,"",Upgrades!$C$9*POWER(Upgrades!$D$9,H297))</f>
        <v/>
      </c>
      <c r="AK297" s="21" t="str">
        <f aca="false">IF(I297&gt;=Upgrades!$E$10,"",Upgrades!$C$10*POWER(Upgrades!$D$10,I297))</f>
        <v/>
      </c>
      <c r="AL297" s="21" t="str">
        <f aca="false">IF(J297&gt;=Upgrades!$E$11,"",Upgrades!$C$11*POWER(Upgrades!$D$11,J297))</f>
        <v/>
      </c>
      <c r="AM297" s="21" t="str">
        <f aca="false">IF(K297&gt;=Upgrades!$E$12,"",Upgrades!$C$12*POWER(Upgrades!$D$12,K297))</f>
        <v/>
      </c>
      <c r="AN297" s="26" t="str">
        <f aca="false">IF(AND(D297&gt;=Parameters!$B$18,(H297&gt;=Upgrades!$E$9)*(K297&gt;=Upgrades!$E$12)=1,L297=0),1,"")</f>
        <v/>
      </c>
      <c r="AO297" s="26" t="str">
        <f aca="false">IF(AND(D297&gt;=Parameters!$B$18,L297=0),1,"")</f>
        <v/>
      </c>
      <c r="AP297" s="21" t="n">
        <f aca="false">MIN(IF(ISNUMBER(AK297),AK297,9000000000000000),IF(ISNUMBER(AL297),AL297,9000000000000000),IF(ISNUMBER(AM297),AM297,9000000000000000))</f>
        <v>9000000000000000</v>
      </c>
      <c r="AQ297" s="21" t="n">
        <f aca="false">MIN(IF(ISNUMBER(AG297),AG297,9000000000000000),IF(ISNUMBER(AH297),AH297,9000000000000000),IF(ISNUMBER(AI297),AI297,9000000000000000),IF(ISNUMBER(AJ297),AJ297,9000000000000000))</f>
        <v>37.4517507383159</v>
      </c>
      <c r="AR297" s="32" t="b">
        <f aca="false">IF(AW297&gt;Parameters!$B$21*(MAX(IF(AND(NOT(AND(AO297=1,AN297&lt;&gt;1)),ISNUMBER(AG297),AG297&lt;=T297),AS297,0),IF(AND(NOT(AND(AO297=1,AN297&lt;&gt;1)),ISNUMBER(AH297),AH297&lt;=T297),AT297,0),IF(AND(NOT(AND(AO297=1,AN297&lt;&gt;1)),ISNUMBER(AI297),AI297&lt;=T297),AU297,0),IF(AND(ISNUMBER(AJ297),AJ297&lt;=T297),AV297,0))),TRUE(),FALSE())</f>
        <v>1</v>
      </c>
      <c r="AS297" s="33" t="n">
        <f aca="false">IFERROR(Upgrades!$H$6*(POWER(Upgrades!$P$6,E297)*POWER(Upgrades!$P$7,F297)*POWER(Upgrades!$P$8,G297)*POWER(Upgrades!$P$9,H297)*POWER(Upgrades!$P$10,I297)*POWER(Upgrades!$P$11,J297)*POWER(Upgrades!$P$12,K297))*(IF(Upgrades!$T$7="Solar Wind",POWER(Upgrades!$U$7,F297),1)*IF(Upgrades!$T$8="Solar Wind",POWER(Upgrades!$U$8,G297),1)*IF(Upgrades!$T$9="Solar Wind",POWER(Upgrades!$U$9,H297),1)*IF(Upgrades!$T$10="Solar Wind",POWER(Upgrades!$U$10,I297),1)*IF(Upgrades!$T$11="Solar Wind",POWER(Upgrades!$U$11,J297),1)*IF(Upgrades!$T$12="Solar Wind",POWER(Upgrades!$U$12,K297),1))/AG297,0)</f>
        <v>0.0026701021455238</v>
      </c>
      <c r="AT297" s="33" t="n">
        <f aca="false">IFERROR(Upgrades!$H$7*(POWER(Upgrades!$P$6,E297)*POWER(Upgrades!$P$7,F297)*POWER(Upgrades!$P$8,G297)*POWER(Upgrades!$P$9,H297)*POWER(Upgrades!$P$10,I297)*POWER(Upgrades!$P$11,J297)*POWER(Upgrades!$P$12,K297))*(IF(Upgrades!$T$6="Asteroid Belt",POWER(Upgrades!$U$6,E297),1)*IF(Upgrades!$T$8="Asteroid Belt",POWER(Upgrades!$U$8,G297),1)*IF(Upgrades!$T$9="Asteroid Belt",POWER(Upgrades!$U$9,H297),1)*IF(Upgrades!$T$10="Asteroid Belt",POWER(Upgrades!$U$10,I297),1)*IF(Upgrades!$T$11="Asteroid Belt",POWER(Upgrades!$U$11,J297),1)*IF(Upgrades!$T$12="Asteroid Belt",POWER(Upgrades!$U$12,K297),1))/AH297,0)</f>
        <v>0.00308980882652332</v>
      </c>
      <c r="AU297" s="33" t="n">
        <f aca="false">IFERROR(Upgrades!$K$8*(POWER(Upgrades!$Q$6,E297)*POWER(Upgrades!$Q$7,F297)*POWER(Upgrades!$Q$8,G297)*POWER(Upgrades!$Q$9,H297)*POWER(Upgrades!$Q$10,I297)*POWER(Upgrades!$Q$11,J297)*POWER(Upgrades!$Q$12,K297))*(IF(Upgrades!$T$6="Stellar Coupling",POWER(Upgrades!$U$6,E297),1)*IF(Upgrades!$T$7="Stellar Coupling",POWER(Upgrades!$U$7,F297),1)*IF(Upgrades!$T$9="Stellar Coupling",POWER(Upgrades!$U$9,H297),1)*IF(Upgrades!$T$10="Stellar Coupling",POWER(Upgrades!$U$10,I297),1)*IF(Upgrades!$T$11="Stellar Coupling",POWER(Upgrades!$U$11,J297),1)*IF(Upgrades!$T$12="Stellar Coupling",POWER(Upgrades!$U$12,K297),1))*Parameters!$B$10*Parameters!$B$11/60/AI297,0)</f>
        <v>0.00452762415783776</v>
      </c>
      <c r="AV297" s="33" t="n">
        <f aca="false">IFERROR(Upgrades!$H$9*(POWER(Upgrades!$P$6,E297)*POWER(Upgrades!$P$7,F297)*POWER(Upgrades!$P$8,G297)*POWER(Upgrades!$P$9,H297)*POWER(Upgrades!$P$10,I297)*POWER(Upgrades!$P$11,J297)*POWER(Upgrades!$P$12,K297))*(IF(Upgrades!$T$6="Magnetosphere",POWER(Upgrades!$U$6,E297),1)*IF(Upgrades!$T$7="Magnetosphere",POWER(Upgrades!$U$7,F297),1)*IF(Upgrades!$T$8="Magnetosphere",POWER(Upgrades!$U$8,G297),1)*IF(Upgrades!$T$10="Magnetosphere",POWER(Upgrades!$U$10,I297),1)*IF(Upgrades!$T$11="Magnetosphere",POWER(Upgrades!$U$11,J297),1)*IF(Upgrades!$T$12="Magnetosphere",POWER(Upgrades!$U$12,K297),1))/AJ297,0)</f>
        <v>0</v>
      </c>
      <c r="AW297" s="33" t="n">
        <f aca="false">MAX(IF(I297&gt;0,0,IFERROR(0.25*N297/Upgrades!$C$10,0)),IF(J297&gt;0,0,IFERROR(0.5*((IF(G297=0,0,(Upgrades!$J$8+G297*Upgrades!$K$8)*POWER(Upgrades!$L$8,G297)))*(IF(Upgrades!$T$6="Stellar Coupling",POWER(Upgrades!$U$6,E297),1)*IF(Upgrades!$T$7="Stellar Coupling",POWER(Upgrades!$U$7,F297),1)*IF(Upgrades!$T$9="Stellar Coupling",POWER(Upgrades!$U$9,H297),1)*IF(Upgrades!$T$10="Stellar Coupling",POWER(Upgrades!$U$10,I297),1)*IF(Upgrades!$T$11="Stellar Coupling",POWER(Upgrades!$U$11,J297),1)*IF(Upgrades!$T$12="Stellar Coupling",POWER(Upgrades!$U$12,K297),1))*(POWER(Upgrades!$Q$6,E297)*POWER(Upgrades!$Q$7,F297)*POWER(Upgrades!$Q$8,G297)*POWER(Upgrades!$Q$9,H297)*POWER(Upgrades!$Q$10,I297)*POWER(Upgrades!$Q$11,J297)*POWER(Upgrades!$Q$12,K297))*Parameters!$B$10*Parameters!$B$11/60)/Upgrades!$C$11,0)),IF(K297&gt;0,0,IFERROR((1*(POWER(Upgrades!$P$6,E297)*POWER(Upgrades!$P$7,F297)*POWER(Upgrades!$P$8,G297)*POWER(Upgrades!$P$9,H297)*POWER(Upgrades!$P$10,I297)*POWER(Upgrades!$P$11,J297)*POWER(Upgrades!$P$12,K297))+0.2*M297*Parameters!$B$10*Parameters!$B$11/60)/Upgrades!$C$12,0)),IF(AND(ISNUMBER(AG297),AG297&gt;T297),AS297,0),IF(AND(ISNUMBER(AH297),AH297&gt;T297),AT297,0),IF(AND(ISNUMBER(AI297),AI297&gt;T297),AU297,0),IF(AND(ISNUMBER(AJ297),AJ297&gt;T297),AV297,0))</f>
        <v>0.00452762415783776</v>
      </c>
      <c r="AX297" s="29" t="str">
        <f aca="false">IF(AN297=1,"transition",IF(MIN(IF(AND(I297=0,ISNUMBER(AK297),AK297&lt;=T297),AK297,9000000000000000),IF(AND(J297=0,ISNUMBER(AL297),AL297&lt;=T297),AL297,9000000000000000),IF(AND(K297=0,ISNUMBER(AM297),AM297&lt;=T297),AM297,9000000000000000))&lt;9000000000000000,IF(AND(AND(I297=0,ISNUMBER(AK297),AK297&lt;=T297),AK297=MIN(IF(AND(I297=0,ISNUMBER(AK297),AK297&lt;=T297),AK297,9000000000000000),IF(AND(J297=0,ISNUMBER(AL297),AL297&lt;=T297),AL297,9000000000000000),IF(AND(K297=0,ISNUMBER(AM297),AM297&lt;=T297),AM297,9000000000000000))),"OR",IF(AND(AND(J297=0,ISNUMBER(AL297),AL297&lt;=T297),AL297=MIN(IF(AND(I297=0,ISNUMBER(AK297),AK297&lt;=T297),AK297,9000000000000000),IF(AND(J297=0,ISNUMBER(AL297),AL297&lt;=T297),AL297,9000000000000000),IF(AND(K297=0,ISNUMBER(AM297),AM297&lt;=T297),AM297,9000000000000000))),"HP","FP")),IF(AR297=TRUE(),"",IF(MAX(IF(AND(NOT(AND(AO297=1,AN297&lt;&gt;1)),ISNUMBER(AG297),AG297&lt;=T297),AS297,0),IF(AND(NOT(AND(AO297=1,AN297&lt;&gt;1)),ISNUMBER(AH297),AH297&lt;=T297),AT297,0),IF(AND(NOT(AND(AO297=1,AN297&lt;&gt;1)),ISNUMBER(AI297),AI297&lt;=T297),AU297,0),IF(AND(ISNUMBER(AJ297),AJ297&lt;=T297),AV297,0))&lt;=0,"",IF(AND(IF(AND(NOT(AND(AO297=1,AN297&lt;&gt;1)),ISNUMBER(AG297),AG297&lt;=T297),AS297,0)&gt;0,IF(AND(NOT(AND(AO297=1,AN297&lt;&gt;1)),ISNUMBER(AG297),AG297&lt;=T297),AS297,0)=MAX(IF(AND(NOT(AND(AO297=1,AN297&lt;&gt;1)),ISNUMBER(AG297),AG297&lt;=T297),AS297,0),IF(AND(NOT(AND(AO297=1,AN297&lt;&gt;1)),ISNUMBER(AH297),AH297&lt;=T297),AT297,0),IF(AND(NOT(AND(AO297=1,AN297&lt;&gt;1)),ISNUMBER(AI297),AI297&lt;=T297),AU297,0),IF(AND(ISNUMBER(AJ297),AJ297&lt;=T297),AV297,0))),"SW",IF(AND(IF(AND(NOT(AND(AO297=1,AN297&lt;&gt;1)),ISNUMBER(AH297),AH297&lt;=T297),AT297,0)&gt;0,IF(AND(NOT(AND(AO297=1,AN297&lt;&gt;1)),ISNUMBER(AH297),AH297&lt;=T297),AT297,0)=MAX(IF(AND(NOT(AND(AO297=1,AN297&lt;&gt;1)),ISNUMBER(AG297),AG297&lt;=T297),AS297,0),IF(AND(NOT(AND(AO297=1,AN297&lt;&gt;1)),ISNUMBER(AH297),AH297&lt;=T297),AT297,0),IF(AND(NOT(AND(AO297=1,AN297&lt;&gt;1)),ISNUMBER(AI297),AI297&lt;=T297),AU297,0),IF(AND(ISNUMBER(AJ297),AJ297&lt;=T297),AV297,0))),"AB",IF(AND(IF(AND(NOT(AND(AO297=1,AN297&lt;&gt;1)),ISNUMBER(AI297),AI297&lt;=T297),AU297,0)&gt;0,IF(AND(NOT(AND(AO297=1,AN297&lt;&gt;1)),ISNUMBER(AI297),AI297&lt;=T297),AU297,0)=MAX(IF(AND(NOT(AND(AO297=1,AN297&lt;&gt;1)),ISNUMBER(AG297),AG297&lt;=T297),AS297,0),IF(AND(NOT(AND(AO297=1,AN297&lt;&gt;1)),ISNUMBER(AH297),AH297&lt;=T297),AT297,0),IF(AND(NOT(AND(AO297=1,AN297&lt;&gt;1)),ISNUMBER(AI297),AI297&lt;=T297),AU297,0),IF(AND(ISNUMBER(AJ297),AJ297&lt;=T297),AV297,0))),"SC","Mag")))))))</f>
        <v/>
      </c>
    </row>
    <row r="298" customFormat="false" ht="15" hidden="false" customHeight="false" outlineLevel="0" collapsed="false">
      <c r="A298" s="26" t="n">
        <v>293</v>
      </c>
      <c r="B298" s="27" t="n">
        <f aca="false">A298*10/60</f>
        <v>48.8333333333333</v>
      </c>
      <c r="C298" s="21" t="n">
        <f aca="false">X297</f>
        <v>18.6730249835055</v>
      </c>
      <c r="D298" s="27" t="n">
        <f aca="false">D297+W297</f>
        <v>0</v>
      </c>
      <c r="E298" s="26" t="n">
        <f aca="false">E297+IF(U297="SW",1,0)</f>
        <v>12</v>
      </c>
      <c r="F298" s="26" t="n">
        <f aca="false">F297+IF(U297="AB",1,0)</f>
        <v>10</v>
      </c>
      <c r="G298" s="26" t="n">
        <f aca="false">G297+IF(U297="SC",1,0)</f>
        <v>7</v>
      </c>
      <c r="H298" s="26" t="n">
        <f aca="false">H297+IF(U297="Mag",1,0)</f>
        <v>5</v>
      </c>
      <c r="I298" s="26" t="n">
        <f aca="false">MAX(I297,IF(U297="OR",1,0))</f>
        <v>1</v>
      </c>
      <c r="J298" s="26" t="n">
        <f aca="false">MAX(J297,IF(U297="HP",1,0))</f>
        <v>1</v>
      </c>
      <c r="K298" s="26" t="n">
        <f aca="false">MAX(K297,IF(U297="FP",1,0))</f>
        <v>1</v>
      </c>
      <c r="L298" s="26" t="n">
        <f aca="false">MAX(L297,IF(U297="transition",1,0))</f>
        <v>1</v>
      </c>
      <c r="M298" s="28" t="n">
        <f aca="false">(Parameters!$B$9+(IF(E298=0,0,(Upgrades!$J$6+E298*Upgrades!$K$6)*POWER(Upgrades!$L$6,E298)))*(IF(Upgrades!$T$7="Solar Wind",POWER(Upgrades!$U$7,F298),1)*IF(Upgrades!$T$8="Solar Wind",POWER(Upgrades!$U$8,G298),1)*IF(Upgrades!$T$9="Solar Wind",POWER(Upgrades!$U$9,H298),1)*IF(Upgrades!$T$10="Solar Wind",POWER(Upgrades!$U$10,I298),1)*IF(Upgrades!$T$11="Solar Wind",POWER(Upgrades!$U$11,J298),1)*IF(Upgrades!$T$12="Solar Wind",POWER(Upgrades!$U$12,K298),1))+(IF(F298=0,0,(Upgrades!$J$7+F298*Upgrades!$K$7)*POWER(Upgrades!$L$7,F298)))*(IF(Upgrades!$T$6="Asteroid Belt",POWER(Upgrades!$U$6,E298),1)*IF(Upgrades!$T$8="Asteroid Belt",POWER(Upgrades!$U$8,G298),1)*IF(Upgrades!$T$9="Asteroid Belt",POWER(Upgrades!$U$9,H298),1)*IF(Upgrades!$T$10="Asteroid Belt",POWER(Upgrades!$U$10,I298),1)*IF(Upgrades!$T$11="Asteroid Belt",POWER(Upgrades!$U$11,J298),1)*IF(Upgrades!$T$12="Asteroid Belt",POWER(Upgrades!$U$12,K298),1))+(IF(G298=0,0,(Upgrades!$J$8+G298*Upgrades!$K$8)*POWER(Upgrades!$L$8,G298)))*(IF(Upgrades!$T$6="Stellar Coupling",POWER(Upgrades!$U$6,E298),1)*IF(Upgrades!$T$7="Stellar Coupling",POWER(Upgrades!$U$7,F298),1)*IF(Upgrades!$T$9="Stellar Coupling",POWER(Upgrades!$U$9,H298),1)*IF(Upgrades!$T$10="Stellar Coupling",POWER(Upgrades!$U$10,I298),1)*IF(Upgrades!$T$11="Stellar Coupling",POWER(Upgrades!$U$11,J298),1)*IF(Upgrades!$T$12="Stellar Coupling",POWER(Upgrades!$U$12,K298),1))+(IF(H298=0,0,(Upgrades!$J$9+H298*Upgrades!$K$9)*POWER(Upgrades!$L$9,H298)))*(IF(Upgrades!$T$6="Magnetosphere",POWER(Upgrades!$U$6,E298),1)*IF(Upgrades!$T$7="Magnetosphere",POWER(Upgrades!$U$7,F298),1)*IF(Upgrades!$T$8="Magnetosphere",POWER(Upgrades!$U$8,G298),1)*IF(Upgrades!$T$10="Magnetosphere",POWER(Upgrades!$U$10,I298),1)*IF(Upgrades!$T$11="Magnetosphere",POWER(Upgrades!$U$11,J298),1)*IF(Upgrades!$T$12="Magnetosphere",POWER(Upgrades!$U$12,K298),1))+(IF(I298=0,0,(Upgrades!$J$10+I298*Upgrades!$K$10)*POWER(Upgrades!$L$10,I298)))*(IF(Upgrades!$T$6="Orbital Resonance",POWER(Upgrades!$U$6,E298),1)*IF(Upgrades!$T$7="Orbital Resonance",POWER(Upgrades!$U$7,F298),1)*IF(Upgrades!$T$8="Orbital Resonance",POWER(Upgrades!$U$8,G298),1)*IF(Upgrades!$T$9="Orbital Resonance",POWER(Upgrades!$U$9,H298),1)*IF(Upgrades!$T$11="Orbital Resonance",POWER(Upgrades!$U$11,J298),1)*IF(Upgrades!$T$12="Orbital Resonance",POWER(Upgrades!$U$12,K298),1))+(IF(J298=0,0,(Upgrades!$J$11+J298*Upgrades!$K$11)*POWER(Upgrades!$L$11,J298)))*(IF(Upgrades!$T$6="Heliopause",POWER(Upgrades!$U$6,E298),1)*IF(Upgrades!$T$7="Heliopause",POWER(Upgrades!$U$7,F298),1)*IF(Upgrades!$T$8="Heliopause",POWER(Upgrades!$U$8,G298),1)*IF(Upgrades!$T$9="Heliopause",POWER(Upgrades!$U$9,H298),1)*IF(Upgrades!$T$10="Heliopause",POWER(Upgrades!$U$10,I298),1)*IF(Upgrades!$T$12="Heliopause",POWER(Upgrades!$U$12,K298),1))+(IF(K298=0,0,(Upgrades!$J$12+K298*Upgrades!$K$12)*POWER(Upgrades!$L$12,K298)))*(IF(Upgrades!$T$6="First Photons",POWER(Upgrades!$U$6,E298),1)*IF(Upgrades!$T$7="First Photons",POWER(Upgrades!$U$7,F298),1)*IF(Upgrades!$T$8="First Photons",POWER(Upgrades!$U$8,G298),1)*IF(Upgrades!$T$9="First Photons",POWER(Upgrades!$U$9,H298),1)*IF(Upgrades!$T$10="First Photons",POWER(Upgrades!$U$10,I298),1)*IF(Upgrades!$T$11="First Photons",POWER(Upgrades!$U$11,J298),1)))*POWER(Upgrades!$Q$6,E298)*POWER(Upgrades!$Q$7,F298)*POWER(Upgrades!$Q$8,G298)*POWER(Upgrades!$Q$9,H298)*POWER(Upgrades!$Q$10,I298)*POWER(Upgrades!$Q$11,J298)*POWER(Upgrades!$Q$12,K298)</f>
        <v>5.61</v>
      </c>
      <c r="N298" s="28" t="n">
        <f aca="false">((IF(E298=0,0,(Upgrades!$G$6+E298*Upgrades!$H$6)*POWER(Upgrades!$I$6,E298)))*(IF(Upgrades!$T$7="Solar Wind",POWER(Upgrades!$U$7,F298),1)*IF(Upgrades!$T$8="Solar Wind",POWER(Upgrades!$U$8,G298),1)*IF(Upgrades!$T$9="Solar Wind",POWER(Upgrades!$U$9,H298),1)*IF(Upgrades!$T$10="Solar Wind",POWER(Upgrades!$U$10,I298),1)*IF(Upgrades!$T$11="Solar Wind",POWER(Upgrades!$U$11,J298),1)*IF(Upgrades!$T$12="Solar Wind",POWER(Upgrades!$U$12,K298),1))+(IF(F298=0,0,(Upgrades!$G$7+F298*Upgrades!$H$7)*POWER(Upgrades!$I$7,F298)))*(IF(Upgrades!$T$6="Asteroid Belt",POWER(Upgrades!$U$6,E298),1)*IF(Upgrades!$T$8="Asteroid Belt",POWER(Upgrades!$U$8,G298),1)*IF(Upgrades!$T$9="Asteroid Belt",POWER(Upgrades!$U$9,H298),1)*IF(Upgrades!$T$10="Asteroid Belt",POWER(Upgrades!$U$10,I298),1)*IF(Upgrades!$T$11="Asteroid Belt",POWER(Upgrades!$U$11,J298),1)*IF(Upgrades!$T$12="Asteroid Belt",POWER(Upgrades!$U$12,K298),1))+(IF(G298=0,0,(Upgrades!$G$8+G298*Upgrades!$H$8)*POWER(Upgrades!$I$8,G298)))*(IF(Upgrades!$T$6="Stellar Coupling",POWER(Upgrades!$U$6,E298),1)*IF(Upgrades!$T$7="Stellar Coupling",POWER(Upgrades!$U$7,F298),1)*IF(Upgrades!$T$9="Stellar Coupling",POWER(Upgrades!$U$9,H298),1)*IF(Upgrades!$T$10="Stellar Coupling",POWER(Upgrades!$U$10,I298),1)*IF(Upgrades!$T$11="Stellar Coupling",POWER(Upgrades!$U$11,J298),1)*IF(Upgrades!$T$12="Stellar Coupling",POWER(Upgrades!$U$12,K298),1))+(IF(H298=0,0,(Upgrades!$G$9+H298*Upgrades!$H$9)*POWER(Upgrades!$I$9,H298)))*(IF(Upgrades!$T$6="Magnetosphere",POWER(Upgrades!$U$6,E298),1)*IF(Upgrades!$T$7="Magnetosphere",POWER(Upgrades!$U$7,F298),1)*IF(Upgrades!$T$8="Magnetosphere",POWER(Upgrades!$U$8,G298),1)*IF(Upgrades!$T$10="Magnetosphere",POWER(Upgrades!$U$10,I298),1)*IF(Upgrades!$T$11="Magnetosphere",POWER(Upgrades!$U$11,J298),1)*IF(Upgrades!$T$12="Magnetosphere",POWER(Upgrades!$U$12,K298),1))+(IF(I298=0,0,(Upgrades!$G$10+I298*Upgrades!$H$10)*POWER(Upgrades!$I$10,I298)))*(IF(Upgrades!$T$6="Orbital Resonance",POWER(Upgrades!$U$6,E298),1)*IF(Upgrades!$T$7="Orbital Resonance",POWER(Upgrades!$U$7,F298),1)*IF(Upgrades!$T$8="Orbital Resonance",POWER(Upgrades!$U$8,G298),1)*IF(Upgrades!$T$9="Orbital Resonance",POWER(Upgrades!$U$9,H298),1)*IF(Upgrades!$T$11="Orbital Resonance",POWER(Upgrades!$U$11,J298),1)*IF(Upgrades!$T$12="Orbital Resonance",POWER(Upgrades!$U$12,K298),1))+(IF(J298=0,0,(Upgrades!$G$11+J298*Upgrades!$H$11)*POWER(Upgrades!$I$11,J298)))*(IF(Upgrades!$T$6="Heliopause",POWER(Upgrades!$U$6,E298),1)*IF(Upgrades!$T$7="Heliopause",POWER(Upgrades!$U$7,F298),1)*IF(Upgrades!$T$8="Heliopause",POWER(Upgrades!$U$8,G298),1)*IF(Upgrades!$T$9="Heliopause",POWER(Upgrades!$U$9,H298),1)*IF(Upgrades!$T$10="Heliopause",POWER(Upgrades!$U$10,I298),1)*IF(Upgrades!$T$12="Heliopause",POWER(Upgrades!$U$12,K298),1))+(IF(K298=0,0,(Upgrades!$G$12+K298*Upgrades!$H$12)*POWER(Upgrades!$I$12,K298)))*(IF(Upgrades!$T$6="First Photons",POWER(Upgrades!$U$6,E298),1)*IF(Upgrades!$T$7="First Photons",POWER(Upgrades!$U$7,F298),1)*IF(Upgrades!$T$8="First Photons",POWER(Upgrades!$U$8,G298),1)*IF(Upgrades!$T$9="First Photons",POWER(Upgrades!$U$9,H298),1)*IF(Upgrades!$T$10="First Photons",POWER(Upgrades!$U$10,I298),1)*IF(Upgrades!$T$11="First Photons",POWER(Upgrades!$U$11,J298),1)))*POWER(Upgrades!$P$6,E298)*POWER(Upgrades!$P$7,F298)*POWER(Upgrades!$P$8,G298)*POWER(Upgrades!$P$9,H298)*POWER(Upgrades!$P$10,I298)*POWER(Upgrades!$P$11,J298)*POWER(Upgrades!$P$12,K298)</f>
        <v>11.2</v>
      </c>
      <c r="O298" s="28" t="n">
        <f aca="false">((IF(E298=0,0,(Upgrades!$M$6+E298*Upgrades!$N$6)*POWER(Upgrades!$O$6,E298)))*(IF(Upgrades!$T$7="Solar Wind",POWER(Upgrades!$U$7,F298),1)*IF(Upgrades!$T$8="Solar Wind",POWER(Upgrades!$U$8,G298),1)*IF(Upgrades!$T$9="Solar Wind",POWER(Upgrades!$U$9,H298),1)*IF(Upgrades!$T$10="Solar Wind",POWER(Upgrades!$U$10,I298),1)*IF(Upgrades!$T$11="Solar Wind",POWER(Upgrades!$U$11,J298),1)*IF(Upgrades!$T$12="Solar Wind",POWER(Upgrades!$U$12,K298),1))+(IF(F298=0,0,(Upgrades!$M$7+F298*Upgrades!$N$7)*POWER(Upgrades!$O$7,F298)))*(IF(Upgrades!$T$6="Asteroid Belt",POWER(Upgrades!$U$6,E298),1)*IF(Upgrades!$T$8="Asteroid Belt",POWER(Upgrades!$U$8,G298),1)*IF(Upgrades!$T$9="Asteroid Belt",POWER(Upgrades!$U$9,H298),1)*IF(Upgrades!$T$10="Asteroid Belt",POWER(Upgrades!$U$10,I298),1)*IF(Upgrades!$T$11="Asteroid Belt",POWER(Upgrades!$U$11,J298),1)*IF(Upgrades!$T$12="Asteroid Belt",POWER(Upgrades!$U$12,K298),1))+(IF(G298=0,0,(Upgrades!$M$8+G298*Upgrades!$N$8)*POWER(Upgrades!$O$8,G298)))*(IF(Upgrades!$T$6="Stellar Coupling",POWER(Upgrades!$U$6,E298),1)*IF(Upgrades!$T$7="Stellar Coupling",POWER(Upgrades!$U$7,F298),1)*IF(Upgrades!$T$9="Stellar Coupling",POWER(Upgrades!$U$9,H298),1)*IF(Upgrades!$T$10="Stellar Coupling",POWER(Upgrades!$U$10,I298),1)*IF(Upgrades!$T$11="Stellar Coupling",POWER(Upgrades!$U$11,J298),1)*IF(Upgrades!$T$12="Stellar Coupling",POWER(Upgrades!$U$12,K298),1))+(IF(H298=0,0,(Upgrades!$M$9+H298*Upgrades!$N$9)*POWER(Upgrades!$O$9,H298)))*(IF(Upgrades!$T$6="Magnetosphere",POWER(Upgrades!$U$6,E298),1)*IF(Upgrades!$T$7="Magnetosphere",POWER(Upgrades!$U$7,F298),1)*IF(Upgrades!$T$8="Magnetosphere",POWER(Upgrades!$U$8,G298),1)*IF(Upgrades!$T$10="Magnetosphere",POWER(Upgrades!$U$10,I298),1)*IF(Upgrades!$T$11="Magnetosphere",POWER(Upgrades!$U$11,J298),1)*IF(Upgrades!$T$12="Magnetosphere",POWER(Upgrades!$U$12,K298),1))+(IF(I298=0,0,(Upgrades!$M$10+I298*Upgrades!$N$10)*POWER(Upgrades!$O$10,I298)))*(IF(Upgrades!$T$6="Orbital Resonance",POWER(Upgrades!$U$6,E298),1)*IF(Upgrades!$T$7="Orbital Resonance",POWER(Upgrades!$U$7,F298),1)*IF(Upgrades!$T$8="Orbital Resonance",POWER(Upgrades!$U$8,G298),1)*IF(Upgrades!$T$9="Orbital Resonance",POWER(Upgrades!$U$9,H298),1)*IF(Upgrades!$T$11="Orbital Resonance",POWER(Upgrades!$U$11,J298),1)*IF(Upgrades!$T$12="Orbital Resonance",POWER(Upgrades!$U$12,K298),1))+(IF(J298=0,0,(Upgrades!$M$11+J298*Upgrades!$N$11)*POWER(Upgrades!$O$11,J298)))*(IF(Upgrades!$T$6="Heliopause",POWER(Upgrades!$U$6,E298),1)*IF(Upgrades!$T$7="Heliopause",POWER(Upgrades!$U$7,F298),1)*IF(Upgrades!$T$8="Heliopause",POWER(Upgrades!$U$8,G298),1)*IF(Upgrades!$T$9="Heliopause",POWER(Upgrades!$U$9,H298),1)*IF(Upgrades!$T$10="Heliopause",POWER(Upgrades!$U$10,I298),1)*IF(Upgrades!$T$12="Heliopause",POWER(Upgrades!$U$12,K298),1))+(IF(K298=0,0,(Upgrades!$M$12+K298*Upgrades!$N$12)*POWER(Upgrades!$O$12,K298)))*(IF(Upgrades!$T$6="First Photons",POWER(Upgrades!$U$6,E298),1)*IF(Upgrades!$T$7="First Photons",POWER(Upgrades!$U$7,F298),1)*IF(Upgrades!$T$8="First Photons",POWER(Upgrades!$U$8,G298),1)*IF(Upgrades!$T$9="First Photons",POWER(Upgrades!$U$9,H298),1)*IF(Upgrades!$T$10="First Photons",POWER(Upgrades!$U$10,I298),1)*IF(Upgrades!$T$11="First Photons",POWER(Upgrades!$U$11,J298),1)))*POWER(Upgrades!$R$6,E298)*POWER(Upgrades!$R$7,F298)*POWER(Upgrades!$R$8,G298)*POWER(Upgrades!$R$9,H298)*POWER(Upgrades!$R$10,I298)*POWER(Upgrades!$R$11,J298)*POWER(Upgrades!$R$12,K298)</f>
        <v>0</v>
      </c>
      <c r="P298" s="27" t="n">
        <f aca="false">IF(L298=1,0,M298*Parameters!$B$10/60*Parameters!$B$11*10)</f>
        <v>0</v>
      </c>
      <c r="Q298" s="27" t="n">
        <f aca="false">IF(L298=1,0,O298*M298*10)</f>
        <v>0</v>
      </c>
      <c r="R298" s="27" t="n">
        <f aca="false">IF(L298=1,0,N298*10)</f>
        <v>0</v>
      </c>
      <c r="S298" s="27" t="n">
        <f aca="false">P298+Q298+R298</f>
        <v>0</v>
      </c>
      <c r="T298" s="21" t="n">
        <f aca="false">C298+S298</f>
        <v>18.6730249835055</v>
      </c>
      <c r="U298" s="34" t="str">
        <f aca="false">AX298</f>
        <v/>
      </c>
      <c r="V298" s="21" t="n">
        <f aca="false">IF(U298="",0,IF(U298="transition",0,IF(U298="SW",AG298,IF(U298="AB",AH298,IF(U298="SC",AI298,IF(U298="Mag",AJ298,IF(U298="OR",AK298,IF(U298="HP",AL298,IF(U298="FP",AM298,0)))))))))</f>
        <v>0</v>
      </c>
      <c r="W298" s="27" t="n">
        <f aca="false">IF(U298="OR",Upgrades!$F$10,IF(U298="HP",Upgrades!$F$11,IF(U298="transition",-Parameters!$B$18,0)))</f>
        <v>0</v>
      </c>
      <c r="X298" s="21" t="n">
        <f aca="false">T298-V298</f>
        <v>18.6730249835055</v>
      </c>
      <c r="Y298" s="30" t="n">
        <f aca="false">M298*Parameters!$B$10/60*Parameters!$B$11+O298*M298+N298</f>
        <v>20.55</v>
      </c>
      <c r="Z298" s="35" t="str">
        <f aca="false">IF(U298="transition","→ Tier 2 (Stellar Neighborhood)",IF(U298="FP","First Photons — light begins, system quickens",IF(U298="HP","Heliopause acquired",IF(U298="OR","Orbital Resonance — passive multiplier active",IF(AND(AO298=1,L298=0,AN298&lt;&gt;1),"Cohesion ready (waiting on completionist upgrades)","")))))</f>
        <v/>
      </c>
      <c r="AA298" s="27" t="n">
        <f aca="false">(IF(E298=0,0,(Upgrades!$G$6+E298*Upgrades!$H$6)*POWER(Upgrades!$I$6,E298)))*(IF(Upgrades!$T$7="Solar Wind",POWER(Upgrades!$U$7,F298),1)*IF(Upgrades!$T$8="Solar Wind",POWER(Upgrades!$U$8,G298),1)*IF(Upgrades!$T$9="Solar Wind",POWER(Upgrades!$U$9,H298),1)*IF(Upgrades!$T$10="Solar Wind",POWER(Upgrades!$U$10,I298),1)*IF(Upgrades!$T$11="Solar Wind",POWER(Upgrades!$U$11,J298),1)*IF(Upgrades!$T$12="Solar Wind",POWER(Upgrades!$U$12,K298),1))*POWER(Upgrades!$P$6,E298)*POWER(Upgrades!$P$7,F298)*POWER(Upgrades!$P$8,G298)*POWER(Upgrades!$P$9,H298)*POWER(Upgrades!$P$10,I298)*POWER(Upgrades!$P$11,J298)*POWER(Upgrades!$P$12,K298)*60</f>
        <v>72</v>
      </c>
      <c r="AB298" s="27" t="n">
        <f aca="false">(IF(F298=0,0,(Upgrades!$G$7+F298*Upgrades!$H$7)*POWER(Upgrades!$I$7,F298)))*(IF(Upgrades!$T$6="Asteroid Belt",POWER(Upgrades!$U$6,E298),1)*IF(Upgrades!$T$8="Asteroid Belt",POWER(Upgrades!$U$8,G298),1)*IF(Upgrades!$T$9="Asteroid Belt",POWER(Upgrades!$U$9,H298),1)*IF(Upgrades!$T$10="Asteroid Belt",POWER(Upgrades!$U$10,I298),1)*IF(Upgrades!$T$11="Asteroid Belt",POWER(Upgrades!$U$11,J298),1)*IF(Upgrades!$T$12="Asteroid Belt",POWER(Upgrades!$U$12,K298),1))*POWER(Upgrades!$P$6,E298)*POWER(Upgrades!$P$7,F298)*POWER(Upgrades!$P$8,G298)*POWER(Upgrades!$P$9,H298)*POWER(Upgrades!$P$10,I298)*POWER(Upgrades!$P$11,J298)*POWER(Upgrades!$P$12,K298)*60</f>
        <v>150</v>
      </c>
      <c r="AC298" s="27" t="n">
        <f aca="false">(IF(G298=0,0,(Upgrades!$J$8+G298*Upgrades!$K$8)*POWER(Upgrades!$L$8,G298)))*(IF(Upgrades!$T$6="Stellar Coupling",POWER(Upgrades!$U$6,E298),1)*IF(Upgrades!$T$7="Stellar Coupling",POWER(Upgrades!$U$7,F298),1)*IF(Upgrades!$T$9="Stellar Coupling",POWER(Upgrades!$U$9,H298),1)*IF(Upgrades!$T$10="Stellar Coupling",POWER(Upgrades!$U$10,I298),1)*IF(Upgrades!$T$11="Stellar Coupling",POWER(Upgrades!$U$11,J298),1)*IF(Upgrades!$T$12="Stellar Coupling",POWER(Upgrades!$U$12,K298),1))*POWER(Upgrades!$Q$6,E298)*POWER(Upgrades!$Q$7,F298)*POWER(Upgrades!$Q$8,G298)*POWER(Upgrades!$Q$9,H298)*POWER(Upgrades!$Q$10,I298)*POWER(Upgrades!$Q$11,J298)*POWER(Upgrades!$Q$12,K298)*Parameters!$B$10*Parameters!$B$11</f>
        <v>441</v>
      </c>
      <c r="AD298" s="27" t="n">
        <f aca="false">(IF(H298=0,0,(Upgrades!$G$9+H298*Upgrades!$H$9)*POWER(Upgrades!$I$9,H298)))*(IF(Upgrades!$T$6="Magnetosphere",POWER(Upgrades!$U$6,E298),1)*IF(Upgrades!$T$7="Magnetosphere",POWER(Upgrades!$U$7,F298),1)*IF(Upgrades!$T$8="Magnetosphere",POWER(Upgrades!$U$8,G298),1)*IF(Upgrades!$T$10="Magnetosphere",POWER(Upgrades!$U$10,I298),1)*IF(Upgrades!$T$11="Magnetosphere",POWER(Upgrades!$U$11,J298),1)*IF(Upgrades!$T$12="Magnetosphere",POWER(Upgrades!$U$12,K298),1))*POWER(Upgrades!$P$6,E298)*POWER(Upgrades!$P$7,F298)*POWER(Upgrades!$P$8,G298)*POWER(Upgrades!$P$9,H298)*POWER(Upgrades!$P$10,I298)*POWER(Upgrades!$P$11,J298)*POWER(Upgrades!$P$12,K298)*60</f>
        <v>375</v>
      </c>
      <c r="AE298" s="27" t="n">
        <f aca="false">(IF(K298=0,0,(Upgrades!$G$12+K298*Upgrades!$H$12)*POWER(Upgrades!$I$12,K298)))*(IF(Upgrades!$T$6="First Photons",POWER(Upgrades!$U$6,E298),1)*IF(Upgrades!$T$7="First Photons",POWER(Upgrades!$U$7,F298),1)*IF(Upgrades!$T$8="First Photons",POWER(Upgrades!$U$8,G298),1)*IF(Upgrades!$T$9="First Photons",POWER(Upgrades!$U$9,H298),1)*IF(Upgrades!$T$10="First Photons",POWER(Upgrades!$U$10,I298),1)*IF(Upgrades!$T$11="First Photons",POWER(Upgrades!$U$11,J298),1))*POWER(Upgrades!$P$6,E298)*POWER(Upgrades!$P$7,F298)*POWER(Upgrades!$P$8,G298)*POWER(Upgrades!$P$9,H298)*POWER(Upgrades!$P$10,I298)*POWER(Upgrades!$P$11,J298)*POWER(Upgrades!$P$12,K298)*60</f>
        <v>75</v>
      </c>
      <c r="AF298" s="27" t="n">
        <f aca="false">Parameters!$B$9*POWER(Upgrades!$Q$6,E298)*POWER(Upgrades!$Q$7,F298)*POWER(Upgrades!$Q$8,G298)*POWER(Upgrades!$Q$9,H298)*POWER(Upgrades!$Q$10,I298)*POWER(Upgrades!$Q$11,J298)*POWER(Upgrades!$Q$12,K298)*(Parameters!$B$10*Parameters!$B$11+O298*60)</f>
        <v>120</v>
      </c>
      <c r="AG298" s="21" t="n">
        <f aca="false">IF(E298&gt;=Upgrades!$E$6,"",Upgrades!$C$6*POWER(Upgrades!$D$6,E298))</f>
        <v>37.4517507383159</v>
      </c>
      <c r="AH298" s="21" t="n">
        <f aca="false">IF(F298&gt;=Upgrades!$E$7,"",Upgrades!$C$7*POWER(Upgrades!$D$7,F298))</f>
        <v>80.9111547141581</v>
      </c>
      <c r="AI298" s="21" t="n">
        <f aca="false">IF(G298&gt;=Upgrades!$E$8,"",Upgrades!$C$8*POWER(Upgrades!$D$8,G298))</f>
        <v>231.9097088</v>
      </c>
      <c r="AJ298" s="21" t="str">
        <f aca="false">IF(H298&gt;=Upgrades!$E$9,"",Upgrades!$C$9*POWER(Upgrades!$D$9,H298))</f>
        <v/>
      </c>
      <c r="AK298" s="21" t="str">
        <f aca="false">IF(I298&gt;=Upgrades!$E$10,"",Upgrades!$C$10*POWER(Upgrades!$D$10,I298))</f>
        <v/>
      </c>
      <c r="AL298" s="21" t="str">
        <f aca="false">IF(J298&gt;=Upgrades!$E$11,"",Upgrades!$C$11*POWER(Upgrades!$D$11,J298))</f>
        <v/>
      </c>
      <c r="AM298" s="21" t="str">
        <f aca="false">IF(K298&gt;=Upgrades!$E$12,"",Upgrades!$C$12*POWER(Upgrades!$D$12,K298))</f>
        <v/>
      </c>
      <c r="AN298" s="26" t="str">
        <f aca="false">IF(AND(D298&gt;=Parameters!$B$18,(H298&gt;=Upgrades!$E$9)*(K298&gt;=Upgrades!$E$12)=1,L298=0),1,"")</f>
        <v/>
      </c>
      <c r="AO298" s="26" t="str">
        <f aca="false">IF(AND(D298&gt;=Parameters!$B$18,L298=0),1,"")</f>
        <v/>
      </c>
      <c r="AP298" s="21" t="n">
        <f aca="false">MIN(IF(ISNUMBER(AK298),AK298,9000000000000000),IF(ISNUMBER(AL298),AL298,9000000000000000),IF(ISNUMBER(AM298),AM298,9000000000000000))</f>
        <v>9000000000000000</v>
      </c>
      <c r="AQ298" s="21" t="n">
        <f aca="false">MIN(IF(ISNUMBER(AG298),AG298,9000000000000000),IF(ISNUMBER(AH298),AH298,9000000000000000),IF(ISNUMBER(AI298),AI298,9000000000000000),IF(ISNUMBER(AJ298),AJ298,9000000000000000))</f>
        <v>37.4517507383159</v>
      </c>
      <c r="AR298" s="32" t="b">
        <f aca="false">IF(AW298&gt;Parameters!$B$21*(MAX(IF(AND(NOT(AND(AO298=1,AN298&lt;&gt;1)),ISNUMBER(AG298),AG298&lt;=T298),AS298,0),IF(AND(NOT(AND(AO298=1,AN298&lt;&gt;1)),ISNUMBER(AH298),AH298&lt;=T298),AT298,0),IF(AND(NOT(AND(AO298=1,AN298&lt;&gt;1)),ISNUMBER(AI298),AI298&lt;=T298),AU298,0),IF(AND(ISNUMBER(AJ298),AJ298&lt;=T298),AV298,0))),TRUE(),FALSE())</f>
        <v>1</v>
      </c>
      <c r="AS298" s="33" t="n">
        <f aca="false">IFERROR(Upgrades!$H$6*(POWER(Upgrades!$P$6,E298)*POWER(Upgrades!$P$7,F298)*POWER(Upgrades!$P$8,G298)*POWER(Upgrades!$P$9,H298)*POWER(Upgrades!$P$10,I298)*POWER(Upgrades!$P$11,J298)*POWER(Upgrades!$P$12,K298))*(IF(Upgrades!$T$7="Solar Wind",POWER(Upgrades!$U$7,F298),1)*IF(Upgrades!$T$8="Solar Wind",POWER(Upgrades!$U$8,G298),1)*IF(Upgrades!$T$9="Solar Wind",POWER(Upgrades!$U$9,H298),1)*IF(Upgrades!$T$10="Solar Wind",POWER(Upgrades!$U$10,I298),1)*IF(Upgrades!$T$11="Solar Wind",POWER(Upgrades!$U$11,J298),1)*IF(Upgrades!$T$12="Solar Wind",POWER(Upgrades!$U$12,K298),1))/AG298,0)</f>
        <v>0.0026701021455238</v>
      </c>
      <c r="AT298" s="33" t="n">
        <f aca="false">IFERROR(Upgrades!$H$7*(POWER(Upgrades!$P$6,E298)*POWER(Upgrades!$P$7,F298)*POWER(Upgrades!$P$8,G298)*POWER(Upgrades!$P$9,H298)*POWER(Upgrades!$P$10,I298)*POWER(Upgrades!$P$11,J298)*POWER(Upgrades!$P$12,K298))*(IF(Upgrades!$T$6="Asteroid Belt",POWER(Upgrades!$U$6,E298),1)*IF(Upgrades!$T$8="Asteroid Belt",POWER(Upgrades!$U$8,G298),1)*IF(Upgrades!$T$9="Asteroid Belt",POWER(Upgrades!$U$9,H298),1)*IF(Upgrades!$T$10="Asteroid Belt",POWER(Upgrades!$U$10,I298),1)*IF(Upgrades!$T$11="Asteroid Belt",POWER(Upgrades!$U$11,J298),1)*IF(Upgrades!$T$12="Asteroid Belt",POWER(Upgrades!$U$12,K298),1))/AH298,0)</f>
        <v>0.00308980882652332</v>
      </c>
      <c r="AU298" s="33" t="n">
        <f aca="false">IFERROR(Upgrades!$K$8*(POWER(Upgrades!$Q$6,E298)*POWER(Upgrades!$Q$7,F298)*POWER(Upgrades!$Q$8,G298)*POWER(Upgrades!$Q$9,H298)*POWER(Upgrades!$Q$10,I298)*POWER(Upgrades!$Q$11,J298)*POWER(Upgrades!$Q$12,K298))*(IF(Upgrades!$T$6="Stellar Coupling",POWER(Upgrades!$U$6,E298),1)*IF(Upgrades!$T$7="Stellar Coupling",POWER(Upgrades!$U$7,F298),1)*IF(Upgrades!$T$9="Stellar Coupling",POWER(Upgrades!$U$9,H298),1)*IF(Upgrades!$T$10="Stellar Coupling",POWER(Upgrades!$U$10,I298),1)*IF(Upgrades!$T$11="Stellar Coupling",POWER(Upgrades!$U$11,J298),1)*IF(Upgrades!$T$12="Stellar Coupling",POWER(Upgrades!$U$12,K298),1))*Parameters!$B$10*Parameters!$B$11/60/AI298,0)</f>
        <v>0.00452762415783776</v>
      </c>
      <c r="AV298" s="33" t="n">
        <f aca="false">IFERROR(Upgrades!$H$9*(POWER(Upgrades!$P$6,E298)*POWER(Upgrades!$P$7,F298)*POWER(Upgrades!$P$8,G298)*POWER(Upgrades!$P$9,H298)*POWER(Upgrades!$P$10,I298)*POWER(Upgrades!$P$11,J298)*POWER(Upgrades!$P$12,K298))*(IF(Upgrades!$T$6="Magnetosphere",POWER(Upgrades!$U$6,E298),1)*IF(Upgrades!$T$7="Magnetosphere",POWER(Upgrades!$U$7,F298),1)*IF(Upgrades!$T$8="Magnetosphere",POWER(Upgrades!$U$8,G298),1)*IF(Upgrades!$T$10="Magnetosphere",POWER(Upgrades!$U$10,I298),1)*IF(Upgrades!$T$11="Magnetosphere",POWER(Upgrades!$U$11,J298),1)*IF(Upgrades!$T$12="Magnetosphere",POWER(Upgrades!$U$12,K298),1))/AJ298,0)</f>
        <v>0</v>
      </c>
      <c r="AW298" s="33" t="n">
        <f aca="false">MAX(IF(I298&gt;0,0,IFERROR(0.25*N298/Upgrades!$C$10,0)),IF(J298&gt;0,0,IFERROR(0.5*((IF(G298=0,0,(Upgrades!$J$8+G298*Upgrades!$K$8)*POWER(Upgrades!$L$8,G298)))*(IF(Upgrades!$T$6="Stellar Coupling",POWER(Upgrades!$U$6,E298),1)*IF(Upgrades!$T$7="Stellar Coupling",POWER(Upgrades!$U$7,F298),1)*IF(Upgrades!$T$9="Stellar Coupling",POWER(Upgrades!$U$9,H298),1)*IF(Upgrades!$T$10="Stellar Coupling",POWER(Upgrades!$U$10,I298),1)*IF(Upgrades!$T$11="Stellar Coupling",POWER(Upgrades!$U$11,J298),1)*IF(Upgrades!$T$12="Stellar Coupling",POWER(Upgrades!$U$12,K298),1))*(POWER(Upgrades!$Q$6,E298)*POWER(Upgrades!$Q$7,F298)*POWER(Upgrades!$Q$8,G298)*POWER(Upgrades!$Q$9,H298)*POWER(Upgrades!$Q$10,I298)*POWER(Upgrades!$Q$11,J298)*POWER(Upgrades!$Q$12,K298))*Parameters!$B$10*Parameters!$B$11/60)/Upgrades!$C$11,0)),IF(K298&gt;0,0,IFERROR((1*(POWER(Upgrades!$P$6,E298)*POWER(Upgrades!$P$7,F298)*POWER(Upgrades!$P$8,G298)*POWER(Upgrades!$P$9,H298)*POWER(Upgrades!$P$10,I298)*POWER(Upgrades!$P$11,J298)*POWER(Upgrades!$P$12,K298))+0.2*M298*Parameters!$B$10*Parameters!$B$11/60)/Upgrades!$C$12,0)),IF(AND(ISNUMBER(AG298),AG298&gt;T298),AS298,0),IF(AND(ISNUMBER(AH298),AH298&gt;T298),AT298,0),IF(AND(ISNUMBER(AI298),AI298&gt;T298),AU298,0),IF(AND(ISNUMBER(AJ298),AJ298&gt;T298),AV298,0))</f>
        <v>0.00452762415783776</v>
      </c>
      <c r="AX298" s="29" t="str">
        <f aca="false">IF(AN298=1,"transition",IF(MIN(IF(AND(I298=0,ISNUMBER(AK298),AK298&lt;=T298),AK298,9000000000000000),IF(AND(J298=0,ISNUMBER(AL298),AL298&lt;=T298),AL298,9000000000000000),IF(AND(K298=0,ISNUMBER(AM298),AM298&lt;=T298),AM298,9000000000000000))&lt;9000000000000000,IF(AND(AND(I298=0,ISNUMBER(AK298),AK298&lt;=T298),AK298=MIN(IF(AND(I298=0,ISNUMBER(AK298),AK298&lt;=T298),AK298,9000000000000000),IF(AND(J298=0,ISNUMBER(AL298),AL298&lt;=T298),AL298,9000000000000000),IF(AND(K298=0,ISNUMBER(AM298),AM298&lt;=T298),AM298,9000000000000000))),"OR",IF(AND(AND(J298=0,ISNUMBER(AL298),AL298&lt;=T298),AL298=MIN(IF(AND(I298=0,ISNUMBER(AK298),AK298&lt;=T298),AK298,9000000000000000),IF(AND(J298=0,ISNUMBER(AL298),AL298&lt;=T298),AL298,9000000000000000),IF(AND(K298=0,ISNUMBER(AM298),AM298&lt;=T298),AM298,9000000000000000))),"HP","FP")),IF(AR298=TRUE(),"",IF(MAX(IF(AND(NOT(AND(AO298=1,AN298&lt;&gt;1)),ISNUMBER(AG298),AG298&lt;=T298),AS298,0),IF(AND(NOT(AND(AO298=1,AN298&lt;&gt;1)),ISNUMBER(AH298),AH298&lt;=T298),AT298,0),IF(AND(NOT(AND(AO298=1,AN298&lt;&gt;1)),ISNUMBER(AI298),AI298&lt;=T298),AU298,0),IF(AND(ISNUMBER(AJ298),AJ298&lt;=T298),AV298,0))&lt;=0,"",IF(AND(IF(AND(NOT(AND(AO298=1,AN298&lt;&gt;1)),ISNUMBER(AG298),AG298&lt;=T298),AS298,0)&gt;0,IF(AND(NOT(AND(AO298=1,AN298&lt;&gt;1)),ISNUMBER(AG298),AG298&lt;=T298),AS298,0)=MAX(IF(AND(NOT(AND(AO298=1,AN298&lt;&gt;1)),ISNUMBER(AG298),AG298&lt;=T298),AS298,0),IF(AND(NOT(AND(AO298=1,AN298&lt;&gt;1)),ISNUMBER(AH298),AH298&lt;=T298),AT298,0),IF(AND(NOT(AND(AO298=1,AN298&lt;&gt;1)),ISNUMBER(AI298),AI298&lt;=T298),AU298,0),IF(AND(ISNUMBER(AJ298),AJ298&lt;=T298),AV298,0))),"SW",IF(AND(IF(AND(NOT(AND(AO298=1,AN298&lt;&gt;1)),ISNUMBER(AH298),AH298&lt;=T298),AT298,0)&gt;0,IF(AND(NOT(AND(AO298=1,AN298&lt;&gt;1)),ISNUMBER(AH298),AH298&lt;=T298),AT298,0)=MAX(IF(AND(NOT(AND(AO298=1,AN298&lt;&gt;1)),ISNUMBER(AG298),AG298&lt;=T298),AS298,0),IF(AND(NOT(AND(AO298=1,AN298&lt;&gt;1)),ISNUMBER(AH298),AH298&lt;=T298),AT298,0),IF(AND(NOT(AND(AO298=1,AN298&lt;&gt;1)),ISNUMBER(AI298),AI298&lt;=T298),AU298,0),IF(AND(ISNUMBER(AJ298),AJ298&lt;=T298),AV298,0))),"AB",IF(AND(IF(AND(NOT(AND(AO298=1,AN298&lt;&gt;1)),ISNUMBER(AI298),AI298&lt;=T298),AU298,0)&gt;0,IF(AND(NOT(AND(AO298=1,AN298&lt;&gt;1)),ISNUMBER(AI298),AI298&lt;=T298),AU298,0)=MAX(IF(AND(NOT(AND(AO298=1,AN298&lt;&gt;1)),ISNUMBER(AG298),AG298&lt;=T298),AS298,0),IF(AND(NOT(AND(AO298=1,AN298&lt;&gt;1)),ISNUMBER(AH298),AH298&lt;=T298),AT298,0),IF(AND(NOT(AND(AO298=1,AN298&lt;&gt;1)),ISNUMBER(AI298),AI298&lt;=T298),AU298,0),IF(AND(ISNUMBER(AJ298),AJ298&lt;=T298),AV298,0))),"SC","Mag")))))))</f>
        <v/>
      </c>
    </row>
    <row r="299" customFormat="false" ht="15" hidden="false" customHeight="false" outlineLevel="0" collapsed="false">
      <c r="A299" s="26" t="n">
        <v>294</v>
      </c>
      <c r="B299" s="27" t="n">
        <f aca="false">A299*10/60</f>
        <v>49</v>
      </c>
      <c r="C299" s="21" t="n">
        <f aca="false">X298</f>
        <v>18.6730249835055</v>
      </c>
      <c r="D299" s="27" t="n">
        <f aca="false">D298+W298</f>
        <v>0</v>
      </c>
      <c r="E299" s="26" t="n">
        <f aca="false">E298+IF(U298="SW",1,0)</f>
        <v>12</v>
      </c>
      <c r="F299" s="26" t="n">
        <f aca="false">F298+IF(U298="AB",1,0)</f>
        <v>10</v>
      </c>
      <c r="G299" s="26" t="n">
        <f aca="false">G298+IF(U298="SC",1,0)</f>
        <v>7</v>
      </c>
      <c r="H299" s="26" t="n">
        <f aca="false">H298+IF(U298="Mag",1,0)</f>
        <v>5</v>
      </c>
      <c r="I299" s="26" t="n">
        <f aca="false">MAX(I298,IF(U298="OR",1,0))</f>
        <v>1</v>
      </c>
      <c r="J299" s="26" t="n">
        <f aca="false">MAX(J298,IF(U298="HP",1,0))</f>
        <v>1</v>
      </c>
      <c r="K299" s="26" t="n">
        <f aca="false">MAX(K298,IF(U298="FP",1,0))</f>
        <v>1</v>
      </c>
      <c r="L299" s="26" t="n">
        <f aca="false">MAX(L298,IF(U298="transition",1,0))</f>
        <v>1</v>
      </c>
      <c r="M299" s="28" t="n">
        <f aca="false">(Parameters!$B$9+(IF(E299=0,0,(Upgrades!$J$6+E299*Upgrades!$K$6)*POWER(Upgrades!$L$6,E299)))*(IF(Upgrades!$T$7="Solar Wind",POWER(Upgrades!$U$7,F299),1)*IF(Upgrades!$T$8="Solar Wind",POWER(Upgrades!$U$8,G299),1)*IF(Upgrades!$T$9="Solar Wind",POWER(Upgrades!$U$9,H299),1)*IF(Upgrades!$T$10="Solar Wind",POWER(Upgrades!$U$10,I299),1)*IF(Upgrades!$T$11="Solar Wind",POWER(Upgrades!$U$11,J299),1)*IF(Upgrades!$T$12="Solar Wind",POWER(Upgrades!$U$12,K299),1))+(IF(F299=0,0,(Upgrades!$J$7+F299*Upgrades!$K$7)*POWER(Upgrades!$L$7,F299)))*(IF(Upgrades!$T$6="Asteroid Belt",POWER(Upgrades!$U$6,E299),1)*IF(Upgrades!$T$8="Asteroid Belt",POWER(Upgrades!$U$8,G299),1)*IF(Upgrades!$T$9="Asteroid Belt",POWER(Upgrades!$U$9,H299),1)*IF(Upgrades!$T$10="Asteroid Belt",POWER(Upgrades!$U$10,I299),1)*IF(Upgrades!$T$11="Asteroid Belt",POWER(Upgrades!$U$11,J299),1)*IF(Upgrades!$T$12="Asteroid Belt",POWER(Upgrades!$U$12,K299),1))+(IF(G299=0,0,(Upgrades!$J$8+G299*Upgrades!$K$8)*POWER(Upgrades!$L$8,G299)))*(IF(Upgrades!$T$6="Stellar Coupling",POWER(Upgrades!$U$6,E299),1)*IF(Upgrades!$T$7="Stellar Coupling",POWER(Upgrades!$U$7,F299),1)*IF(Upgrades!$T$9="Stellar Coupling",POWER(Upgrades!$U$9,H299),1)*IF(Upgrades!$T$10="Stellar Coupling",POWER(Upgrades!$U$10,I299),1)*IF(Upgrades!$T$11="Stellar Coupling",POWER(Upgrades!$U$11,J299),1)*IF(Upgrades!$T$12="Stellar Coupling",POWER(Upgrades!$U$12,K299),1))+(IF(H299=0,0,(Upgrades!$J$9+H299*Upgrades!$K$9)*POWER(Upgrades!$L$9,H299)))*(IF(Upgrades!$T$6="Magnetosphere",POWER(Upgrades!$U$6,E299),1)*IF(Upgrades!$T$7="Magnetosphere",POWER(Upgrades!$U$7,F299),1)*IF(Upgrades!$T$8="Magnetosphere",POWER(Upgrades!$U$8,G299),1)*IF(Upgrades!$T$10="Magnetosphere",POWER(Upgrades!$U$10,I299),1)*IF(Upgrades!$T$11="Magnetosphere",POWER(Upgrades!$U$11,J299),1)*IF(Upgrades!$T$12="Magnetosphere",POWER(Upgrades!$U$12,K299),1))+(IF(I299=0,0,(Upgrades!$J$10+I299*Upgrades!$K$10)*POWER(Upgrades!$L$10,I299)))*(IF(Upgrades!$T$6="Orbital Resonance",POWER(Upgrades!$U$6,E299),1)*IF(Upgrades!$T$7="Orbital Resonance",POWER(Upgrades!$U$7,F299),1)*IF(Upgrades!$T$8="Orbital Resonance",POWER(Upgrades!$U$8,G299),1)*IF(Upgrades!$T$9="Orbital Resonance",POWER(Upgrades!$U$9,H299),1)*IF(Upgrades!$T$11="Orbital Resonance",POWER(Upgrades!$U$11,J299),1)*IF(Upgrades!$T$12="Orbital Resonance",POWER(Upgrades!$U$12,K299),1))+(IF(J299=0,0,(Upgrades!$J$11+J299*Upgrades!$K$11)*POWER(Upgrades!$L$11,J299)))*(IF(Upgrades!$T$6="Heliopause",POWER(Upgrades!$U$6,E299),1)*IF(Upgrades!$T$7="Heliopause",POWER(Upgrades!$U$7,F299),1)*IF(Upgrades!$T$8="Heliopause",POWER(Upgrades!$U$8,G299),1)*IF(Upgrades!$T$9="Heliopause",POWER(Upgrades!$U$9,H299),1)*IF(Upgrades!$T$10="Heliopause",POWER(Upgrades!$U$10,I299),1)*IF(Upgrades!$T$12="Heliopause",POWER(Upgrades!$U$12,K299),1))+(IF(K299=0,0,(Upgrades!$J$12+K299*Upgrades!$K$12)*POWER(Upgrades!$L$12,K299)))*(IF(Upgrades!$T$6="First Photons",POWER(Upgrades!$U$6,E299),1)*IF(Upgrades!$T$7="First Photons",POWER(Upgrades!$U$7,F299),1)*IF(Upgrades!$T$8="First Photons",POWER(Upgrades!$U$8,G299),1)*IF(Upgrades!$T$9="First Photons",POWER(Upgrades!$U$9,H299),1)*IF(Upgrades!$T$10="First Photons",POWER(Upgrades!$U$10,I299),1)*IF(Upgrades!$T$11="First Photons",POWER(Upgrades!$U$11,J299),1)))*POWER(Upgrades!$Q$6,E299)*POWER(Upgrades!$Q$7,F299)*POWER(Upgrades!$Q$8,G299)*POWER(Upgrades!$Q$9,H299)*POWER(Upgrades!$Q$10,I299)*POWER(Upgrades!$Q$11,J299)*POWER(Upgrades!$Q$12,K299)</f>
        <v>5.61</v>
      </c>
      <c r="N299" s="28" t="n">
        <f aca="false">((IF(E299=0,0,(Upgrades!$G$6+E299*Upgrades!$H$6)*POWER(Upgrades!$I$6,E299)))*(IF(Upgrades!$T$7="Solar Wind",POWER(Upgrades!$U$7,F299),1)*IF(Upgrades!$T$8="Solar Wind",POWER(Upgrades!$U$8,G299),1)*IF(Upgrades!$T$9="Solar Wind",POWER(Upgrades!$U$9,H299),1)*IF(Upgrades!$T$10="Solar Wind",POWER(Upgrades!$U$10,I299),1)*IF(Upgrades!$T$11="Solar Wind",POWER(Upgrades!$U$11,J299),1)*IF(Upgrades!$T$12="Solar Wind",POWER(Upgrades!$U$12,K299),1))+(IF(F299=0,0,(Upgrades!$G$7+F299*Upgrades!$H$7)*POWER(Upgrades!$I$7,F299)))*(IF(Upgrades!$T$6="Asteroid Belt",POWER(Upgrades!$U$6,E299),1)*IF(Upgrades!$T$8="Asteroid Belt",POWER(Upgrades!$U$8,G299),1)*IF(Upgrades!$T$9="Asteroid Belt",POWER(Upgrades!$U$9,H299),1)*IF(Upgrades!$T$10="Asteroid Belt",POWER(Upgrades!$U$10,I299),1)*IF(Upgrades!$T$11="Asteroid Belt",POWER(Upgrades!$U$11,J299),1)*IF(Upgrades!$T$12="Asteroid Belt",POWER(Upgrades!$U$12,K299),1))+(IF(G299=0,0,(Upgrades!$G$8+G299*Upgrades!$H$8)*POWER(Upgrades!$I$8,G299)))*(IF(Upgrades!$T$6="Stellar Coupling",POWER(Upgrades!$U$6,E299),1)*IF(Upgrades!$T$7="Stellar Coupling",POWER(Upgrades!$U$7,F299),1)*IF(Upgrades!$T$9="Stellar Coupling",POWER(Upgrades!$U$9,H299),1)*IF(Upgrades!$T$10="Stellar Coupling",POWER(Upgrades!$U$10,I299),1)*IF(Upgrades!$T$11="Stellar Coupling",POWER(Upgrades!$U$11,J299),1)*IF(Upgrades!$T$12="Stellar Coupling",POWER(Upgrades!$U$12,K299),1))+(IF(H299=0,0,(Upgrades!$G$9+H299*Upgrades!$H$9)*POWER(Upgrades!$I$9,H299)))*(IF(Upgrades!$T$6="Magnetosphere",POWER(Upgrades!$U$6,E299),1)*IF(Upgrades!$T$7="Magnetosphere",POWER(Upgrades!$U$7,F299),1)*IF(Upgrades!$T$8="Magnetosphere",POWER(Upgrades!$U$8,G299),1)*IF(Upgrades!$T$10="Magnetosphere",POWER(Upgrades!$U$10,I299),1)*IF(Upgrades!$T$11="Magnetosphere",POWER(Upgrades!$U$11,J299),1)*IF(Upgrades!$T$12="Magnetosphere",POWER(Upgrades!$U$12,K299),1))+(IF(I299=0,0,(Upgrades!$G$10+I299*Upgrades!$H$10)*POWER(Upgrades!$I$10,I299)))*(IF(Upgrades!$T$6="Orbital Resonance",POWER(Upgrades!$U$6,E299),1)*IF(Upgrades!$T$7="Orbital Resonance",POWER(Upgrades!$U$7,F299),1)*IF(Upgrades!$T$8="Orbital Resonance",POWER(Upgrades!$U$8,G299),1)*IF(Upgrades!$T$9="Orbital Resonance",POWER(Upgrades!$U$9,H299),1)*IF(Upgrades!$T$11="Orbital Resonance",POWER(Upgrades!$U$11,J299),1)*IF(Upgrades!$T$12="Orbital Resonance",POWER(Upgrades!$U$12,K299),1))+(IF(J299=0,0,(Upgrades!$G$11+J299*Upgrades!$H$11)*POWER(Upgrades!$I$11,J299)))*(IF(Upgrades!$T$6="Heliopause",POWER(Upgrades!$U$6,E299),1)*IF(Upgrades!$T$7="Heliopause",POWER(Upgrades!$U$7,F299),1)*IF(Upgrades!$T$8="Heliopause",POWER(Upgrades!$U$8,G299),1)*IF(Upgrades!$T$9="Heliopause",POWER(Upgrades!$U$9,H299),1)*IF(Upgrades!$T$10="Heliopause",POWER(Upgrades!$U$10,I299),1)*IF(Upgrades!$T$12="Heliopause",POWER(Upgrades!$U$12,K299),1))+(IF(K299=0,0,(Upgrades!$G$12+K299*Upgrades!$H$12)*POWER(Upgrades!$I$12,K299)))*(IF(Upgrades!$T$6="First Photons",POWER(Upgrades!$U$6,E299),1)*IF(Upgrades!$T$7="First Photons",POWER(Upgrades!$U$7,F299),1)*IF(Upgrades!$T$8="First Photons",POWER(Upgrades!$U$8,G299),1)*IF(Upgrades!$T$9="First Photons",POWER(Upgrades!$U$9,H299),1)*IF(Upgrades!$T$10="First Photons",POWER(Upgrades!$U$10,I299),1)*IF(Upgrades!$T$11="First Photons",POWER(Upgrades!$U$11,J299),1)))*POWER(Upgrades!$P$6,E299)*POWER(Upgrades!$P$7,F299)*POWER(Upgrades!$P$8,G299)*POWER(Upgrades!$P$9,H299)*POWER(Upgrades!$P$10,I299)*POWER(Upgrades!$P$11,J299)*POWER(Upgrades!$P$12,K299)</f>
        <v>11.2</v>
      </c>
      <c r="O299" s="28" t="n">
        <f aca="false">((IF(E299=0,0,(Upgrades!$M$6+E299*Upgrades!$N$6)*POWER(Upgrades!$O$6,E299)))*(IF(Upgrades!$T$7="Solar Wind",POWER(Upgrades!$U$7,F299),1)*IF(Upgrades!$T$8="Solar Wind",POWER(Upgrades!$U$8,G299),1)*IF(Upgrades!$T$9="Solar Wind",POWER(Upgrades!$U$9,H299),1)*IF(Upgrades!$T$10="Solar Wind",POWER(Upgrades!$U$10,I299),1)*IF(Upgrades!$T$11="Solar Wind",POWER(Upgrades!$U$11,J299),1)*IF(Upgrades!$T$12="Solar Wind",POWER(Upgrades!$U$12,K299),1))+(IF(F299=0,0,(Upgrades!$M$7+F299*Upgrades!$N$7)*POWER(Upgrades!$O$7,F299)))*(IF(Upgrades!$T$6="Asteroid Belt",POWER(Upgrades!$U$6,E299),1)*IF(Upgrades!$T$8="Asteroid Belt",POWER(Upgrades!$U$8,G299),1)*IF(Upgrades!$T$9="Asteroid Belt",POWER(Upgrades!$U$9,H299),1)*IF(Upgrades!$T$10="Asteroid Belt",POWER(Upgrades!$U$10,I299),1)*IF(Upgrades!$T$11="Asteroid Belt",POWER(Upgrades!$U$11,J299),1)*IF(Upgrades!$T$12="Asteroid Belt",POWER(Upgrades!$U$12,K299),1))+(IF(G299=0,0,(Upgrades!$M$8+G299*Upgrades!$N$8)*POWER(Upgrades!$O$8,G299)))*(IF(Upgrades!$T$6="Stellar Coupling",POWER(Upgrades!$U$6,E299),1)*IF(Upgrades!$T$7="Stellar Coupling",POWER(Upgrades!$U$7,F299),1)*IF(Upgrades!$T$9="Stellar Coupling",POWER(Upgrades!$U$9,H299),1)*IF(Upgrades!$T$10="Stellar Coupling",POWER(Upgrades!$U$10,I299),1)*IF(Upgrades!$T$11="Stellar Coupling",POWER(Upgrades!$U$11,J299),1)*IF(Upgrades!$T$12="Stellar Coupling",POWER(Upgrades!$U$12,K299),1))+(IF(H299=0,0,(Upgrades!$M$9+H299*Upgrades!$N$9)*POWER(Upgrades!$O$9,H299)))*(IF(Upgrades!$T$6="Magnetosphere",POWER(Upgrades!$U$6,E299),1)*IF(Upgrades!$T$7="Magnetosphere",POWER(Upgrades!$U$7,F299),1)*IF(Upgrades!$T$8="Magnetosphere",POWER(Upgrades!$U$8,G299),1)*IF(Upgrades!$T$10="Magnetosphere",POWER(Upgrades!$U$10,I299),1)*IF(Upgrades!$T$11="Magnetosphere",POWER(Upgrades!$U$11,J299),1)*IF(Upgrades!$T$12="Magnetosphere",POWER(Upgrades!$U$12,K299),1))+(IF(I299=0,0,(Upgrades!$M$10+I299*Upgrades!$N$10)*POWER(Upgrades!$O$10,I299)))*(IF(Upgrades!$T$6="Orbital Resonance",POWER(Upgrades!$U$6,E299),1)*IF(Upgrades!$T$7="Orbital Resonance",POWER(Upgrades!$U$7,F299),1)*IF(Upgrades!$T$8="Orbital Resonance",POWER(Upgrades!$U$8,G299),1)*IF(Upgrades!$T$9="Orbital Resonance",POWER(Upgrades!$U$9,H299),1)*IF(Upgrades!$T$11="Orbital Resonance",POWER(Upgrades!$U$11,J299),1)*IF(Upgrades!$T$12="Orbital Resonance",POWER(Upgrades!$U$12,K299),1))+(IF(J299=0,0,(Upgrades!$M$11+J299*Upgrades!$N$11)*POWER(Upgrades!$O$11,J299)))*(IF(Upgrades!$T$6="Heliopause",POWER(Upgrades!$U$6,E299),1)*IF(Upgrades!$T$7="Heliopause",POWER(Upgrades!$U$7,F299),1)*IF(Upgrades!$T$8="Heliopause",POWER(Upgrades!$U$8,G299),1)*IF(Upgrades!$T$9="Heliopause",POWER(Upgrades!$U$9,H299),1)*IF(Upgrades!$T$10="Heliopause",POWER(Upgrades!$U$10,I299),1)*IF(Upgrades!$T$12="Heliopause",POWER(Upgrades!$U$12,K299),1))+(IF(K299=0,0,(Upgrades!$M$12+K299*Upgrades!$N$12)*POWER(Upgrades!$O$12,K299)))*(IF(Upgrades!$T$6="First Photons",POWER(Upgrades!$U$6,E299),1)*IF(Upgrades!$T$7="First Photons",POWER(Upgrades!$U$7,F299),1)*IF(Upgrades!$T$8="First Photons",POWER(Upgrades!$U$8,G299),1)*IF(Upgrades!$T$9="First Photons",POWER(Upgrades!$U$9,H299),1)*IF(Upgrades!$T$10="First Photons",POWER(Upgrades!$U$10,I299),1)*IF(Upgrades!$T$11="First Photons",POWER(Upgrades!$U$11,J299),1)))*POWER(Upgrades!$R$6,E299)*POWER(Upgrades!$R$7,F299)*POWER(Upgrades!$R$8,G299)*POWER(Upgrades!$R$9,H299)*POWER(Upgrades!$R$10,I299)*POWER(Upgrades!$R$11,J299)*POWER(Upgrades!$R$12,K299)</f>
        <v>0</v>
      </c>
      <c r="P299" s="27" t="n">
        <f aca="false">IF(L299=1,0,M299*Parameters!$B$10/60*Parameters!$B$11*10)</f>
        <v>0</v>
      </c>
      <c r="Q299" s="27" t="n">
        <f aca="false">IF(L299=1,0,O299*M299*10)</f>
        <v>0</v>
      </c>
      <c r="R299" s="27" t="n">
        <f aca="false">IF(L299=1,0,N299*10)</f>
        <v>0</v>
      </c>
      <c r="S299" s="27" t="n">
        <f aca="false">P299+Q299+R299</f>
        <v>0</v>
      </c>
      <c r="T299" s="21" t="n">
        <f aca="false">C299+S299</f>
        <v>18.6730249835055</v>
      </c>
      <c r="U299" s="34" t="str">
        <f aca="false">AX299</f>
        <v/>
      </c>
      <c r="V299" s="21" t="n">
        <f aca="false">IF(U299="",0,IF(U299="transition",0,IF(U299="SW",AG299,IF(U299="AB",AH299,IF(U299="SC",AI299,IF(U299="Mag",AJ299,IF(U299="OR",AK299,IF(U299="HP",AL299,IF(U299="FP",AM299,0)))))))))</f>
        <v>0</v>
      </c>
      <c r="W299" s="27" t="n">
        <f aca="false">IF(U299="OR",Upgrades!$F$10,IF(U299="HP",Upgrades!$F$11,IF(U299="transition",-Parameters!$B$18,0)))</f>
        <v>0</v>
      </c>
      <c r="X299" s="21" t="n">
        <f aca="false">T299-V299</f>
        <v>18.6730249835055</v>
      </c>
      <c r="Y299" s="30" t="n">
        <f aca="false">M299*Parameters!$B$10/60*Parameters!$B$11+O299*M299+N299</f>
        <v>20.55</v>
      </c>
      <c r="Z299" s="35" t="str">
        <f aca="false">IF(U299="transition","→ Tier 2 (Stellar Neighborhood)",IF(U299="FP","First Photons — light begins, system quickens",IF(U299="HP","Heliopause acquired",IF(U299="OR","Orbital Resonance — passive multiplier active",IF(AND(AO299=1,L299=0,AN299&lt;&gt;1),"Cohesion ready (waiting on completionist upgrades)","")))))</f>
        <v/>
      </c>
      <c r="AA299" s="27" t="n">
        <f aca="false">(IF(E299=0,0,(Upgrades!$G$6+E299*Upgrades!$H$6)*POWER(Upgrades!$I$6,E299)))*(IF(Upgrades!$T$7="Solar Wind",POWER(Upgrades!$U$7,F299),1)*IF(Upgrades!$T$8="Solar Wind",POWER(Upgrades!$U$8,G299),1)*IF(Upgrades!$T$9="Solar Wind",POWER(Upgrades!$U$9,H299),1)*IF(Upgrades!$T$10="Solar Wind",POWER(Upgrades!$U$10,I299),1)*IF(Upgrades!$T$11="Solar Wind",POWER(Upgrades!$U$11,J299),1)*IF(Upgrades!$T$12="Solar Wind",POWER(Upgrades!$U$12,K299),1))*POWER(Upgrades!$P$6,E299)*POWER(Upgrades!$P$7,F299)*POWER(Upgrades!$P$8,G299)*POWER(Upgrades!$P$9,H299)*POWER(Upgrades!$P$10,I299)*POWER(Upgrades!$P$11,J299)*POWER(Upgrades!$P$12,K299)*60</f>
        <v>72</v>
      </c>
      <c r="AB299" s="27" t="n">
        <f aca="false">(IF(F299=0,0,(Upgrades!$G$7+F299*Upgrades!$H$7)*POWER(Upgrades!$I$7,F299)))*(IF(Upgrades!$T$6="Asteroid Belt",POWER(Upgrades!$U$6,E299),1)*IF(Upgrades!$T$8="Asteroid Belt",POWER(Upgrades!$U$8,G299),1)*IF(Upgrades!$T$9="Asteroid Belt",POWER(Upgrades!$U$9,H299),1)*IF(Upgrades!$T$10="Asteroid Belt",POWER(Upgrades!$U$10,I299),1)*IF(Upgrades!$T$11="Asteroid Belt",POWER(Upgrades!$U$11,J299),1)*IF(Upgrades!$T$12="Asteroid Belt",POWER(Upgrades!$U$12,K299),1))*POWER(Upgrades!$P$6,E299)*POWER(Upgrades!$P$7,F299)*POWER(Upgrades!$P$8,G299)*POWER(Upgrades!$P$9,H299)*POWER(Upgrades!$P$10,I299)*POWER(Upgrades!$P$11,J299)*POWER(Upgrades!$P$12,K299)*60</f>
        <v>150</v>
      </c>
      <c r="AC299" s="27" t="n">
        <f aca="false">(IF(G299=0,0,(Upgrades!$J$8+G299*Upgrades!$K$8)*POWER(Upgrades!$L$8,G299)))*(IF(Upgrades!$T$6="Stellar Coupling",POWER(Upgrades!$U$6,E299),1)*IF(Upgrades!$T$7="Stellar Coupling",POWER(Upgrades!$U$7,F299),1)*IF(Upgrades!$T$9="Stellar Coupling",POWER(Upgrades!$U$9,H299),1)*IF(Upgrades!$T$10="Stellar Coupling",POWER(Upgrades!$U$10,I299),1)*IF(Upgrades!$T$11="Stellar Coupling",POWER(Upgrades!$U$11,J299),1)*IF(Upgrades!$T$12="Stellar Coupling",POWER(Upgrades!$U$12,K299),1))*POWER(Upgrades!$Q$6,E299)*POWER(Upgrades!$Q$7,F299)*POWER(Upgrades!$Q$8,G299)*POWER(Upgrades!$Q$9,H299)*POWER(Upgrades!$Q$10,I299)*POWER(Upgrades!$Q$11,J299)*POWER(Upgrades!$Q$12,K299)*Parameters!$B$10*Parameters!$B$11</f>
        <v>441</v>
      </c>
      <c r="AD299" s="27" t="n">
        <f aca="false">(IF(H299=0,0,(Upgrades!$G$9+H299*Upgrades!$H$9)*POWER(Upgrades!$I$9,H299)))*(IF(Upgrades!$T$6="Magnetosphere",POWER(Upgrades!$U$6,E299),1)*IF(Upgrades!$T$7="Magnetosphere",POWER(Upgrades!$U$7,F299),1)*IF(Upgrades!$T$8="Magnetosphere",POWER(Upgrades!$U$8,G299),1)*IF(Upgrades!$T$10="Magnetosphere",POWER(Upgrades!$U$10,I299),1)*IF(Upgrades!$T$11="Magnetosphere",POWER(Upgrades!$U$11,J299),1)*IF(Upgrades!$T$12="Magnetosphere",POWER(Upgrades!$U$12,K299),1))*POWER(Upgrades!$P$6,E299)*POWER(Upgrades!$P$7,F299)*POWER(Upgrades!$P$8,G299)*POWER(Upgrades!$P$9,H299)*POWER(Upgrades!$P$10,I299)*POWER(Upgrades!$P$11,J299)*POWER(Upgrades!$P$12,K299)*60</f>
        <v>375</v>
      </c>
      <c r="AE299" s="27" t="n">
        <f aca="false">(IF(K299=0,0,(Upgrades!$G$12+K299*Upgrades!$H$12)*POWER(Upgrades!$I$12,K299)))*(IF(Upgrades!$T$6="First Photons",POWER(Upgrades!$U$6,E299),1)*IF(Upgrades!$T$7="First Photons",POWER(Upgrades!$U$7,F299),1)*IF(Upgrades!$T$8="First Photons",POWER(Upgrades!$U$8,G299),1)*IF(Upgrades!$T$9="First Photons",POWER(Upgrades!$U$9,H299),1)*IF(Upgrades!$T$10="First Photons",POWER(Upgrades!$U$10,I299),1)*IF(Upgrades!$T$11="First Photons",POWER(Upgrades!$U$11,J299),1))*POWER(Upgrades!$P$6,E299)*POWER(Upgrades!$P$7,F299)*POWER(Upgrades!$P$8,G299)*POWER(Upgrades!$P$9,H299)*POWER(Upgrades!$P$10,I299)*POWER(Upgrades!$P$11,J299)*POWER(Upgrades!$P$12,K299)*60</f>
        <v>75</v>
      </c>
      <c r="AF299" s="27" t="n">
        <f aca="false">Parameters!$B$9*POWER(Upgrades!$Q$6,E299)*POWER(Upgrades!$Q$7,F299)*POWER(Upgrades!$Q$8,G299)*POWER(Upgrades!$Q$9,H299)*POWER(Upgrades!$Q$10,I299)*POWER(Upgrades!$Q$11,J299)*POWER(Upgrades!$Q$12,K299)*(Parameters!$B$10*Parameters!$B$11+O299*60)</f>
        <v>120</v>
      </c>
      <c r="AG299" s="21" t="n">
        <f aca="false">IF(E299&gt;=Upgrades!$E$6,"",Upgrades!$C$6*POWER(Upgrades!$D$6,E299))</f>
        <v>37.4517507383159</v>
      </c>
      <c r="AH299" s="21" t="n">
        <f aca="false">IF(F299&gt;=Upgrades!$E$7,"",Upgrades!$C$7*POWER(Upgrades!$D$7,F299))</f>
        <v>80.9111547141581</v>
      </c>
      <c r="AI299" s="21" t="n">
        <f aca="false">IF(G299&gt;=Upgrades!$E$8,"",Upgrades!$C$8*POWER(Upgrades!$D$8,G299))</f>
        <v>231.9097088</v>
      </c>
      <c r="AJ299" s="21" t="str">
        <f aca="false">IF(H299&gt;=Upgrades!$E$9,"",Upgrades!$C$9*POWER(Upgrades!$D$9,H299))</f>
        <v/>
      </c>
      <c r="AK299" s="21" t="str">
        <f aca="false">IF(I299&gt;=Upgrades!$E$10,"",Upgrades!$C$10*POWER(Upgrades!$D$10,I299))</f>
        <v/>
      </c>
      <c r="AL299" s="21" t="str">
        <f aca="false">IF(J299&gt;=Upgrades!$E$11,"",Upgrades!$C$11*POWER(Upgrades!$D$11,J299))</f>
        <v/>
      </c>
      <c r="AM299" s="21" t="str">
        <f aca="false">IF(K299&gt;=Upgrades!$E$12,"",Upgrades!$C$12*POWER(Upgrades!$D$12,K299))</f>
        <v/>
      </c>
      <c r="AN299" s="26" t="str">
        <f aca="false">IF(AND(D299&gt;=Parameters!$B$18,(H299&gt;=Upgrades!$E$9)*(K299&gt;=Upgrades!$E$12)=1,L299=0),1,"")</f>
        <v/>
      </c>
      <c r="AO299" s="26" t="str">
        <f aca="false">IF(AND(D299&gt;=Parameters!$B$18,L299=0),1,"")</f>
        <v/>
      </c>
      <c r="AP299" s="21" t="n">
        <f aca="false">MIN(IF(ISNUMBER(AK299),AK299,9000000000000000),IF(ISNUMBER(AL299),AL299,9000000000000000),IF(ISNUMBER(AM299),AM299,9000000000000000))</f>
        <v>9000000000000000</v>
      </c>
      <c r="AQ299" s="21" t="n">
        <f aca="false">MIN(IF(ISNUMBER(AG299),AG299,9000000000000000),IF(ISNUMBER(AH299),AH299,9000000000000000),IF(ISNUMBER(AI299),AI299,9000000000000000),IF(ISNUMBER(AJ299),AJ299,9000000000000000))</f>
        <v>37.4517507383159</v>
      </c>
      <c r="AR299" s="32" t="b">
        <f aca="false">IF(AW299&gt;Parameters!$B$21*(MAX(IF(AND(NOT(AND(AO299=1,AN299&lt;&gt;1)),ISNUMBER(AG299),AG299&lt;=T299),AS299,0),IF(AND(NOT(AND(AO299=1,AN299&lt;&gt;1)),ISNUMBER(AH299),AH299&lt;=T299),AT299,0),IF(AND(NOT(AND(AO299=1,AN299&lt;&gt;1)),ISNUMBER(AI299),AI299&lt;=T299),AU299,0),IF(AND(ISNUMBER(AJ299),AJ299&lt;=T299),AV299,0))),TRUE(),FALSE())</f>
        <v>1</v>
      </c>
      <c r="AS299" s="33" t="n">
        <f aca="false">IFERROR(Upgrades!$H$6*(POWER(Upgrades!$P$6,E299)*POWER(Upgrades!$P$7,F299)*POWER(Upgrades!$P$8,G299)*POWER(Upgrades!$P$9,H299)*POWER(Upgrades!$P$10,I299)*POWER(Upgrades!$P$11,J299)*POWER(Upgrades!$P$12,K299))*(IF(Upgrades!$T$7="Solar Wind",POWER(Upgrades!$U$7,F299),1)*IF(Upgrades!$T$8="Solar Wind",POWER(Upgrades!$U$8,G299),1)*IF(Upgrades!$T$9="Solar Wind",POWER(Upgrades!$U$9,H299),1)*IF(Upgrades!$T$10="Solar Wind",POWER(Upgrades!$U$10,I299),1)*IF(Upgrades!$T$11="Solar Wind",POWER(Upgrades!$U$11,J299),1)*IF(Upgrades!$T$12="Solar Wind",POWER(Upgrades!$U$12,K299),1))/AG299,0)</f>
        <v>0.0026701021455238</v>
      </c>
      <c r="AT299" s="33" t="n">
        <f aca="false">IFERROR(Upgrades!$H$7*(POWER(Upgrades!$P$6,E299)*POWER(Upgrades!$P$7,F299)*POWER(Upgrades!$P$8,G299)*POWER(Upgrades!$P$9,H299)*POWER(Upgrades!$P$10,I299)*POWER(Upgrades!$P$11,J299)*POWER(Upgrades!$P$12,K299))*(IF(Upgrades!$T$6="Asteroid Belt",POWER(Upgrades!$U$6,E299),1)*IF(Upgrades!$T$8="Asteroid Belt",POWER(Upgrades!$U$8,G299),1)*IF(Upgrades!$T$9="Asteroid Belt",POWER(Upgrades!$U$9,H299),1)*IF(Upgrades!$T$10="Asteroid Belt",POWER(Upgrades!$U$10,I299),1)*IF(Upgrades!$T$11="Asteroid Belt",POWER(Upgrades!$U$11,J299),1)*IF(Upgrades!$T$12="Asteroid Belt",POWER(Upgrades!$U$12,K299),1))/AH299,0)</f>
        <v>0.00308980882652332</v>
      </c>
      <c r="AU299" s="33" t="n">
        <f aca="false">IFERROR(Upgrades!$K$8*(POWER(Upgrades!$Q$6,E299)*POWER(Upgrades!$Q$7,F299)*POWER(Upgrades!$Q$8,G299)*POWER(Upgrades!$Q$9,H299)*POWER(Upgrades!$Q$10,I299)*POWER(Upgrades!$Q$11,J299)*POWER(Upgrades!$Q$12,K299))*(IF(Upgrades!$T$6="Stellar Coupling",POWER(Upgrades!$U$6,E299),1)*IF(Upgrades!$T$7="Stellar Coupling",POWER(Upgrades!$U$7,F299),1)*IF(Upgrades!$T$9="Stellar Coupling",POWER(Upgrades!$U$9,H299),1)*IF(Upgrades!$T$10="Stellar Coupling",POWER(Upgrades!$U$10,I299),1)*IF(Upgrades!$T$11="Stellar Coupling",POWER(Upgrades!$U$11,J299),1)*IF(Upgrades!$T$12="Stellar Coupling",POWER(Upgrades!$U$12,K299),1))*Parameters!$B$10*Parameters!$B$11/60/AI299,0)</f>
        <v>0.00452762415783776</v>
      </c>
      <c r="AV299" s="33" t="n">
        <f aca="false">IFERROR(Upgrades!$H$9*(POWER(Upgrades!$P$6,E299)*POWER(Upgrades!$P$7,F299)*POWER(Upgrades!$P$8,G299)*POWER(Upgrades!$P$9,H299)*POWER(Upgrades!$P$10,I299)*POWER(Upgrades!$P$11,J299)*POWER(Upgrades!$P$12,K299))*(IF(Upgrades!$T$6="Magnetosphere",POWER(Upgrades!$U$6,E299),1)*IF(Upgrades!$T$7="Magnetosphere",POWER(Upgrades!$U$7,F299),1)*IF(Upgrades!$T$8="Magnetosphere",POWER(Upgrades!$U$8,G299),1)*IF(Upgrades!$T$10="Magnetosphere",POWER(Upgrades!$U$10,I299),1)*IF(Upgrades!$T$11="Magnetosphere",POWER(Upgrades!$U$11,J299),1)*IF(Upgrades!$T$12="Magnetosphere",POWER(Upgrades!$U$12,K299),1))/AJ299,0)</f>
        <v>0</v>
      </c>
      <c r="AW299" s="33" t="n">
        <f aca="false">MAX(IF(I299&gt;0,0,IFERROR(0.25*N299/Upgrades!$C$10,0)),IF(J299&gt;0,0,IFERROR(0.5*((IF(G299=0,0,(Upgrades!$J$8+G299*Upgrades!$K$8)*POWER(Upgrades!$L$8,G299)))*(IF(Upgrades!$T$6="Stellar Coupling",POWER(Upgrades!$U$6,E299),1)*IF(Upgrades!$T$7="Stellar Coupling",POWER(Upgrades!$U$7,F299),1)*IF(Upgrades!$T$9="Stellar Coupling",POWER(Upgrades!$U$9,H299),1)*IF(Upgrades!$T$10="Stellar Coupling",POWER(Upgrades!$U$10,I299),1)*IF(Upgrades!$T$11="Stellar Coupling",POWER(Upgrades!$U$11,J299),1)*IF(Upgrades!$T$12="Stellar Coupling",POWER(Upgrades!$U$12,K299),1))*(POWER(Upgrades!$Q$6,E299)*POWER(Upgrades!$Q$7,F299)*POWER(Upgrades!$Q$8,G299)*POWER(Upgrades!$Q$9,H299)*POWER(Upgrades!$Q$10,I299)*POWER(Upgrades!$Q$11,J299)*POWER(Upgrades!$Q$12,K299))*Parameters!$B$10*Parameters!$B$11/60)/Upgrades!$C$11,0)),IF(K299&gt;0,0,IFERROR((1*(POWER(Upgrades!$P$6,E299)*POWER(Upgrades!$P$7,F299)*POWER(Upgrades!$P$8,G299)*POWER(Upgrades!$P$9,H299)*POWER(Upgrades!$P$10,I299)*POWER(Upgrades!$P$11,J299)*POWER(Upgrades!$P$12,K299))+0.2*M299*Parameters!$B$10*Parameters!$B$11/60)/Upgrades!$C$12,0)),IF(AND(ISNUMBER(AG299),AG299&gt;T299),AS299,0),IF(AND(ISNUMBER(AH299),AH299&gt;T299),AT299,0),IF(AND(ISNUMBER(AI299),AI299&gt;T299),AU299,0),IF(AND(ISNUMBER(AJ299),AJ299&gt;T299),AV299,0))</f>
        <v>0.00452762415783776</v>
      </c>
      <c r="AX299" s="29" t="str">
        <f aca="false">IF(AN299=1,"transition",IF(MIN(IF(AND(I299=0,ISNUMBER(AK299),AK299&lt;=T299),AK299,9000000000000000),IF(AND(J299=0,ISNUMBER(AL299),AL299&lt;=T299),AL299,9000000000000000),IF(AND(K299=0,ISNUMBER(AM299),AM299&lt;=T299),AM299,9000000000000000))&lt;9000000000000000,IF(AND(AND(I299=0,ISNUMBER(AK299),AK299&lt;=T299),AK299=MIN(IF(AND(I299=0,ISNUMBER(AK299),AK299&lt;=T299),AK299,9000000000000000),IF(AND(J299=0,ISNUMBER(AL299),AL299&lt;=T299),AL299,9000000000000000),IF(AND(K299=0,ISNUMBER(AM299),AM299&lt;=T299),AM299,9000000000000000))),"OR",IF(AND(AND(J299=0,ISNUMBER(AL299),AL299&lt;=T299),AL299=MIN(IF(AND(I299=0,ISNUMBER(AK299),AK299&lt;=T299),AK299,9000000000000000),IF(AND(J299=0,ISNUMBER(AL299),AL299&lt;=T299),AL299,9000000000000000),IF(AND(K299=0,ISNUMBER(AM299),AM299&lt;=T299),AM299,9000000000000000))),"HP","FP")),IF(AR299=TRUE(),"",IF(MAX(IF(AND(NOT(AND(AO299=1,AN299&lt;&gt;1)),ISNUMBER(AG299),AG299&lt;=T299),AS299,0),IF(AND(NOT(AND(AO299=1,AN299&lt;&gt;1)),ISNUMBER(AH299),AH299&lt;=T299),AT299,0),IF(AND(NOT(AND(AO299=1,AN299&lt;&gt;1)),ISNUMBER(AI299),AI299&lt;=T299),AU299,0),IF(AND(ISNUMBER(AJ299),AJ299&lt;=T299),AV299,0))&lt;=0,"",IF(AND(IF(AND(NOT(AND(AO299=1,AN299&lt;&gt;1)),ISNUMBER(AG299),AG299&lt;=T299),AS299,0)&gt;0,IF(AND(NOT(AND(AO299=1,AN299&lt;&gt;1)),ISNUMBER(AG299),AG299&lt;=T299),AS299,0)=MAX(IF(AND(NOT(AND(AO299=1,AN299&lt;&gt;1)),ISNUMBER(AG299),AG299&lt;=T299),AS299,0),IF(AND(NOT(AND(AO299=1,AN299&lt;&gt;1)),ISNUMBER(AH299),AH299&lt;=T299),AT299,0),IF(AND(NOT(AND(AO299=1,AN299&lt;&gt;1)),ISNUMBER(AI299),AI299&lt;=T299),AU299,0),IF(AND(ISNUMBER(AJ299),AJ299&lt;=T299),AV299,0))),"SW",IF(AND(IF(AND(NOT(AND(AO299=1,AN299&lt;&gt;1)),ISNUMBER(AH299),AH299&lt;=T299),AT299,0)&gt;0,IF(AND(NOT(AND(AO299=1,AN299&lt;&gt;1)),ISNUMBER(AH299),AH299&lt;=T299),AT299,0)=MAX(IF(AND(NOT(AND(AO299=1,AN299&lt;&gt;1)),ISNUMBER(AG299),AG299&lt;=T299),AS299,0),IF(AND(NOT(AND(AO299=1,AN299&lt;&gt;1)),ISNUMBER(AH299),AH299&lt;=T299),AT299,0),IF(AND(NOT(AND(AO299=1,AN299&lt;&gt;1)),ISNUMBER(AI299),AI299&lt;=T299),AU299,0),IF(AND(ISNUMBER(AJ299),AJ299&lt;=T299),AV299,0))),"AB",IF(AND(IF(AND(NOT(AND(AO299=1,AN299&lt;&gt;1)),ISNUMBER(AI299),AI299&lt;=T299),AU299,0)&gt;0,IF(AND(NOT(AND(AO299=1,AN299&lt;&gt;1)),ISNUMBER(AI299),AI299&lt;=T299),AU299,0)=MAX(IF(AND(NOT(AND(AO299=1,AN299&lt;&gt;1)),ISNUMBER(AG299),AG299&lt;=T299),AS299,0),IF(AND(NOT(AND(AO299=1,AN299&lt;&gt;1)),ISNUMBER(AH299),AH299&lt;=T299),AT299,0),IF(AND(NOT(AND(AO299=1,AN299&lt;&gt;1)),ISNUMBER(AI299),AI299&lt;=T299),AU299,0),IF(AND(ISNUMBER(AJ299),AJ299&lt;=T299),AV299,0))),"SC","Mag")))))))</f>
        <v/>
      </c>
    </row>
    <row r="300" customFormat="false" ht="15" hidden="false" customHeight="false" outlineLevel="0" collapsed="false">
      <c r="A300" s="26" t="n">
        <v>295</v>
      </c>
      <c r="B300" s="27" t="n">
        <f aca="false">A300*10/60</f>
        <v>49.1666666666667</v>
      </c>
      <c r="C300" s="21" t="n">
        <f aca="false">X299</f>
        <v>18.6730249835055</v>
      </c>
      <c r="D300" s="27" t="n">
        <f aca="false">D299+W299</f>
        <v>0</v>
      </c>
      <c r="E300" s="26" t="n">
        <f aca="false">E299+IF(U299="SW",1,0)</f>
        <v>12</v>
      </c>
      <c r="F300" s="26" t="n">
        <f aca="false">F299+IF(U299="AB",1,0)</f>
        <v>10</v>
      </c>
      <c r="G300" s="26" t="n">
        <f aca="false">G299+IF(U299="SC",1,0)</f>
        <v>7</v>
      </c>
      <c r="H300" s="26" t="n">
        <f aca="false">H299+IF(U299="Mag",1,0)</f>
        <v>5</v>
      </c>
      <c r="I300" s="26" t="n">
        <f aca="false">MAX(I299,IF(U299="OR",1,0))</f>
        <v>1</v>
      </c>
      <c r="J300" s="26" t="n">
        <f aca="false">MAX(J299,IF(U299="HP",1,0))</f>
        <v>1</v>
      </c>
      <c r="K300" s="26" t="n">
        <f aca="false">MAX(K299,IF(U299="FP",1,0))</f>
        <v>1</v>
      </c>
      <c r="L300" s="26" t="n">
        <f aca="false">MAX(L299,IF(U299="transition",1,0))</f>
        <v>1</v>
      </c>
      <c r="M300" s="28" t="n">
        <f aca="false">(Parameters!$B$9+(IF(E300=0,0,(Upgrades!$J$6+E300*Upgrades!$K$6)*POWER(Upgrades!$L$6,E300)))*(IF(Upgrades!$T$7="Solar Wind",POWER(Upgrades!$U$7,F300),1)*IF(Upgrades!$T$8="Solar Wind",POWER(Upgrades!$U$8,G300),1)*IF(Upgrades!$T$9="Solar Wind",POWER(Upgrades!$U$9,H300),1)*IF(Upgrades!$T$10="Solar Wind",POWER(Upgrades!$U$10,I300),1)*IF(Upgrades!$T$11="Solar Wind",POWER(Upgrades!$U$11,J300),1)*IF(Upgrades!$T$12="Solar Wind",POWER(Upgrades!$U$12,K300),1))+(IF(F300=0,0,(Upgrades!$J$7+F300*Upgrades!$K$7)*POWER(Upgrades!$L$7,F300)))*(IF(Upgrades!$T$6="Asteroid Belt",POWER(Upgrades!$U$6,E300),1)*IF(Upgrades!$T$8="Asteroid Belt",POWER(Upgrades!$U$8,G300),1)*IF(Upgrades!$T$9="Asteroid Belt",POWER(Upgrades!$U$9,H300),1)*IF(Upgrades!$T$10="Asteroid Belt",POWER(Upgrades!$U$10,I300),1)*IF(Upgrades!$T$11="Asteroid Belt",POWER(Upgrades!$U$11,J300),1)*IF(Upgrades!$T$12="Asteroid Belt",POWER(Upgrades!$U$12,K300),1))+(IF(G300=0,0,(Upgrades!$J$8+G300*Upgrades!$K$8)*POWER(Upgrades!$L$8,G300)))*(IF(Upgrades!$T$6="Stellar Coupling",POWER(Upgrades!$U$6,E300),1)*IF(Upgrades!$T$7="Stellar Coupling",POWER(Upgrades!$U$7,F300),1)*IF(Upgrades!$T$9="Stellar Coupling",POWER(Upgrades!$U$9,H300),1)*IF(Upgrades!$T$10="Stellar Coupling",POWER(Upgrades!$U$10,I300),1)*IF(Upgrades!$T$11="Stellar Coupling",POWER(Upgrades!$U$11,J300),1)*IF(Upgrades!$T$12="Stellar Coupling",POWER(Upgrades!$U$12,K300),1))+(IF(H300=0,0,(Upgrades!$J$9+H300*Upgrades!$K$9)*POWER(Upgrades!$L$9,H300)))*(IF(Upgrades!$T$6="Magnetosphere",POWER(Upgrades!$U$6,E300),1)*IF(Upgrades!$T$7="Magnetosphere",POWER(Upgrades!$U$7,F300),1)*IF(Upgrades!$T$8="Magnetosphere",POWER(Upgrades!$U$8,G300),1)*IF(Upgrades!$T$10="Magnetosphere",POWER(Upgrades!$U$10,I300),1)*IF(Upgrades!$T$11="Magnetosphere",POWER(Upgrades!$U$11,J300),1)*IF(Upgrades!$T$12="Magnetosphere",POWER(Upgrades!$U$12,K300),1))+(IF(I300=0,0,(Upgrades!$J$10+I300*Upgrades!$K$10)*POWER(Upgrades!$L$10,I300)))*(IF(Upgrades!$T$6="Orbital Resonance",POWER(Upgrades!$U$6,E300),1)*IF(Upgrades!$T$7="Orbital Resonance",POWER(Upgrades!$U$7,F300),1)*IF(Upgrades!$T$8="Orbital Resonance",POWER(Upgrades!$U$8,G300),1)*IF(Upgrades!$T$9="Orbital Resonance",POWER(Upgrades!$U$9,H300),1)*IF(Upgrades!$T$11="Orbital Resonance",POWER(Upgrades!$U$11,J300),1)*IF(Upgrades!$T$12="Orbital Resonance",POWER(Upgrades!$U$12,K300),1))+(IF(J300=0,0,(Upgrades!$J$11+J300*Upgrades!$K$11)*POWER(Upgrades!$L$11,J300)))*(IF(Upgrades!$T$6="Heliopause",POWER(Upgrades!$U$6,E300),1)*IF(Upgrades!$T$7="Heliopause",POWER(Upgrades!$U$7,F300),1)*IF(Upgrades!$T$8="Heliopause",POWER(Upgrades!$U$8,G300),1)*IF(Upgrades!$T$9="Heliopause",POWER(Upgrades!$U$9,H300),1)*IF(Upgrades!$T$10="Heliopause",POWER(Upgrades!$U$10,I300),1)*IF(Upgrades!$T$12="Heliopause",POWER(Upgrades!$U$12,K300),1))+(IF(K300=0,0,(Upgrades!$J$12+K300*Upgrades!$K$12)*POWER(Upgrades!$L$12,K300)))*(IF(Upgrades!$T$6="First Photons",POWER(Upgrades!$U$6,E300),1)*IF(Upgrades!$T$7="First Photons",POWER(Upgrades!$U$7,F300),1)*IF(Upgrades!$T$8="First Photons",POWER(Upgrades!$U$8,G300),1)*IF(Upgrades!$T$9="First Photons",POWER(Upgrades!$U$9,H300),1)*IF(Upgrades!$T$10="First Photons",POWER(Upgrades!$U$10,I300),1)*IF(Upgrades!$T$11="First Photons",POWER(Upgrades!$U$11,J300),1)))*POWER(Upgrades!$Q$6,E300)*POWER(Upgrades!$Q$7,F300)*POWER(Upgrades!$Q$8,G300)*POWER(Upgrades!$Q$9,H300)*POWER(Upgrades!$Q$10,I300)*POWER(Upgrades!$Q$11,J300)*POWER(Upgrades!$Q$12,K300)</f>
        <v>5.61</v>
      </c>
      <c r="N300" s="28" t="n">
        <f aca="false">((IF(E300=0,0,(Upgrades!$G$6+E300*Upgrades!$H$6)*POWER(Upgrades!$I$6,E300)))*(IF(Upgrades!$T$7="Solar Wind",POWER(Upgrades!$U$7,F300),1)*IF(Upgrades!$T$8="Solar Wind",POWER(Upgrades!$U$8,G300),1)*IF(Upgrades!$T$9="Solar Wind",POWER(Upgrades!$U$9,H300),1)*IF(Upgrades!$T$10="Solar Wind",POWER(Upgrades!$U$10,I300),1)*IF(Upgrades!$T$11="Solar Wind",POWER(Upgrades!$U$11,J300),1)*IF(Upgrades!$T$12="Solar Wind",POWER(Upgrades!$U$12,K300),1))+(IF(F300=0,0,(Upgrades!$G$7+F300*Upgrades!$H$7)*POWER(Upgrades!$I$7,F300)))*(IF(Upgrades!$T$6="Asteroid Belt",POWER(Upgrades!$U$6,E300),1)*IF(Upgrades!$T$8="Asteroid Belt",POWER(Upgrades!$U$8,G300),1)*IF(Upgrades!$T$9="Asteroid Belt",POWER(Upgrades!$U$9,H300),1)*IF(Upgrades!$T$10="Asteroid Belt",POWER(Upgrades!$U$10,I300),1)*IF(Upgrades!$T$11="Asteroid Belt",POWER(Upgrades!$U$11,J300),1)*IF(Upgrades!$T$12="Asteroid Belt",POWER(Upgrades!$U$12,K300),1))+(IF(G300=0,0,(Upgrades!$G$8+G300*Upgrades!$H$8)*POWER(Upgrades!$I$8,G300)))*(IF(Upgrades!$T$6="Stellar Coupling",POWER(Upgrades!$U$6,E300),1)*IF(Upgrades!$T$7="Stellar Coupling",POWER(Upgrades!$U$7,F300),1)*IF(Upgrades!$T$9="Stellar Coupling",POWER(Upgrades!$U$9,H300),1)*IF(Upgrades!$T$10="Stellar Coupling",POWER(Upgrades!$U$10,I300),1)*IF(Upgrades!$T$11="Stellar Coupling",POWER(Upgrades!$U$11,J300),1)*IF(Upgrades!$T$12="Stellar Coupling",POWER(Upgrades!$U$12,K300),1))+(IF(H300=0,0,(Upgrades!$G$9+H300*Upgrades!$H$9)*POWER(Upgrades!$I$9,H300)))*(IF(Upgrades!$T$6="Magnetosphere",POWER(Upgrades!$U$6,E300),1)*IF(Upgrades!$T$7="Magnetosphere",POWER(Upgrades!$U$7,F300),1)*IF(Upgrades!$T$8="Magnetosphere",POWER(Upgrades!$U$8,G300),1)*IF(Upgrades!$T$10="Magnetosphere",POWER(Upgrades!$U$10,I300),1)*IF(Upgrades!$T$11="Magnetosphere",POWER(Upgrades!$U$11,J300),1)*IF(Upgrades!$T$12="Magnetosphere",POWER(Upgrades!$U$12,K300),1))+(IF(I300=0,0,(Upgrades!$G$10+I300*Upgrades!$H$10)*POWER(Upgrades!$I$10,I300)))*(IF(Upgrades!$T$6="Orbital Resonance",POWER(Upgrades!$U$6,E300),1)*IF(Upgrades!$T$7="Orbital Resonance",POWER(Upgrades!$U$7,F300),1)*IF(Upgrades!$T$8="Orbital Resonance",POWER(Upgrades!$U$8,G300),1)*IF(Upgrades!$T$9="Orbital Resonance",POWER(Upgrades!$U$9,H300),1)*IF(Upgrades!$T$11="Orbital Resonance",POWER(Upgrades!$U$11,J300),1)*IF(Upgrades!$T$12="Orbital Resonance",POWER(Upgrades!$U$12,K300),1))+(IF(J300=0,0,(Upgrades!$G$11+J300*Upgrades!$H$11)*POWER(Upgrades!$I$11,J300)))*(IF(Upgrades!$T$6="Heliopause",POWER(Upgrades!$U$6,E300),1)*IF(Upgrades!$T$7="Heliopause",POWER(Upgrades!$U$7,F300),1)*IF(Upgrades!$T$8="Heliopause",POWER(Upgrades!$U$8,G300),1)*IF(Upgrades!$T$9="Heliopause",POWER(Upgrades!$U$9,H300),1)*IF(Upgrades!$T$10="Heliopause",POWER(Upgrades!$U$10,I300),1)*IF(Upgrades!$T$12="Heliopause",POWER(Upgrades!$U$12,K300),1))+(IF(K300=0,0,(Upgrades!$G$12+K300*Upgrades!$H$12)*POWER(Upgrades!$I$12,K300)))*(IF(Upgrades!$T$6="First Photons",POWER(Upgrades!$U$6,E300),1)*IF(Upgrades!$T$7="First Photons",POWER(Upgrades!$U$7,F300),1)*IF(Upgrades!$T$8="First Photons",POWER(Upgrades!$U$8,G300),1)*IF(Upgrades!$T$9="First Photons",POWER(Upgrades!$U$9,H300),1)*IF(Upgrades!$T$10="First Photons",POWER(Upgrades!$U$10,I300),1)*IF(Upgrades!$T$11="First Photons",POWER(Upgrades!$U$11,J300),1)))*POWER(Upgrades!$P$6,E300)*POWER(Upgrades!$P$7,F300)*POWER(Upgrades!$P$8,G300)*POWER(Upgrades!$P$9,H300)*POWER(Upgrades!$P$10,I300)*POWER(Upgrades!$P$11,J300)*POWER(Upgrades!$P$12,K300)</f>
        <v>11.2</v>
      </c>
      <c r="O300" s="28" t="n">
        <f aca="false">((IF(E300=0,0,(Upgrades!$M$6+E300*Upgrades!$N$6)*POWER(Upgrades!$O$6,E300)))*(IF(Upgrades!$T$7="Solar Wind",POWER(Upgrades!$U$7,F300),1)*IF(Upgrades!$T$8="Solar Wind",POWER(Upgrades!$U$8,G300),1)*IF(Upgrades!$T$9="Solar Wind",POWER(Upgrades!$U$9,H300),1)*IF(Upgrades!$T$10="Solar Wind",POWER(Upgrades!$U$10,I300),1)*IF(Upgrades!$T$11="Solar Wind",POWER(Upgrades!$U$11,J300),1)*IF(Upgrades!$T$12="Solar Wind",POWER(Upgrades!$U$12,K300),1))+(IF(F300=0,0,(Upgrades!$M$7+F300*Upgrades!$N$7)*POWER(Upgrades!$O$7,F300)))*(IF(Upgrades!$T$6="Asteroid Belt",POWER(Upgrades!$U$6,E300),1)*IF(Upgrades!$T$8="Asteroid Belt",POWER(Upgrades!$U$8,G300),1)*IF(Upgrades!$T$9="Asteroid Belt",POWER(Upgrades!$U$9,H300),1)*IF(Upgrades!$T$10="Asteroid Belt",POWER(Upgrades!$U$10,I300),1)*IF(Upgrades!$T$11="Asteroid Belt",POWER(Upgrades!$U$11,J300),1)*IF(Upgrades!$T$12="Asteroid Belt",POWER(Upgrades!$U$12,K300),1))+(IF(G300=0,0,(Upgrades!$M$8+G300*Upgrades!$N$8)*POWER(Upgrades!$O$8,G300)))*(IF(Upgrades!$T$6="Stellar Coupling",POWER(Upgrades!$U$6,E300),1)*IF(Upgrades!$T$7="Stellar Coupling",POWER(Upgrades!$U$7,F300),1)*IF(Upgrades!$T$9="Stellar Coupling",POWER(Upgrades!$U$9,H300),1)*IF(Upgrades!$T$10="Stellar Coupling",POWER(Upgrades!$U$10,I300),1)*IF(Upgrades!$T$11="Stellar Coupling",POWER(Upgrades!$U$11,J300),1)*IF(Upgrades!$T$12="Stellar Coupling",POWER(Upgrades!$U$12,K300),1))+(IF(H300=0,0,(Upgrades!$M$9+H300*Upgrades!$N$9)*POWER(Upgrades!$O$9,H300)))*(IF(Upgrades!$T$6="Magnetosphere",POWER(Upgrades!$U$6,E300),1)*IF(Upgrades!$T$7="Magnetosphere",POWER(Upgrades!$U$7,F300),1)*IF(Upgrades!$T$8="Magnetosphere",POWER(Upgrades!$U$8,G300),1)*IF(Upgrades!$T$10="Magnetosphere",POWER(Upgrades!$U$10,I300),1)*IF(Upgrades!$T$11="Magnetosphere",POWER(Upgrades!$U$11,J300),1)*IF(Upgrades!$T$12="Magnetosphere",POWER(Upgrades!$U$12,K300),1))+(IF(I300=0,0,(Upgrades!$M$10+I300*Upgrades!$N$10)*POWER(Upgrades!$O$10,I300)))*(IF(Upgrades!$T$6="Orbital Resonance",POWER(Upgrades!$U$6,E300),1)*IF(Upgrades!$T$7="Orbital Resonance",POWER(Upgrades!$U$7,F300),1)*IF(Upgrades!$T$8="Orbital Resonance",POWER(Upgrades!$U$8,G300),1)*IF(Upgrades!$T$9="Orbital Resonance",POWER(Upgrades!$U$9,H300),1)*IF(Upgrades!$T$11="Orbital Resonance",POWER(Upgrades!$U$11,J300),1)*IF(Upgrades!$T$12="Orbital Resonance",POWER(Upgrades!$U$12,K300),1))+(IF(J300=0,0,(Upgrades!$M$11+J300*Upgrades!$N$11)*POWER(Upgrades!$O$11,J300)))*(IF(Upgrades!$T$6="Heliopause",POWER(Upgrades!$U$6,E300),1)*IF(Upgrades!$T$7="Heliopause",POWER(Upgrades!$U$7,F300),1)*IF(Upgrades!$T$8="Heliopause",POWER(Upgrades!$U$8,G300),1)*IF(Upgrades!$T$9="Heliopause",POWER(Upgrades!$U$9,H300),1)*IF(Upgrades!$T$10="Heliopause",POWER(Upgrades!$U$10,I300),1)*IF(Upgrades!$T$12="Heliopause",POWER(Upgrades!$U$12,K300),1))+(IF(K300=0,0,(Upgrades!$M$12+K300*Upgrades!$N$12)*POWER(Upgrades!$O$12,K300)))*(IF(Upgrades!$T$6="First Photons",POWER(Upgrades!$U$6,E300),1)*IF(Upgrades!$T$7="First Photons",POWER(Upgrades!$U$7,F300),1)*IF(Upgrades!$T$8="First Photons",POWER(Upgrades!$U$8,G300),1)*IF(Upgrades!$T$9="First Photons",POWER(Upgrades!$U$9,H300),1)*IF(Upgrades!$T$10="First Photons",POWER(Upgrades!$U$10,I300),1)*IF(Upgrades!$T$11="First Photons",POWER(Upgrades!$U$11,J300),1)))*POWER(Upgrades!$R$6,E300)*POWER(Upgrades!$R$7,F300)*POWER(Upgrades!$R$8,G300)*POWER(Upgrades!$R$9,H300)*POWER(Upgrades!$R$10,I300)*POWER(Upgrades!$R$11,J300)*POWER(Upgrades!$R$12,K300)</f>
        <v>0</v>
      </c>
      <c r="P300" s="27" t="n">
        <f aca="false">IF(L300=1,0,M300*Parameters!$B$10/60*Parameters!$B$11*10)</f>
        <v>0</v>
      </c>
      <c r="Q300" s="27" t="n">
        <f aca="false">IF(L300=1,0,O300*M300*10)</f>
        <v>0</v>
      </c>
      <c r="R300" s="27" t="n">
        <f aca="false">IF(L300=1,0,N300*10)</f>
        <v>0</v>
      </c>
      <c r="S300" s="27" t="n">
        <f aca="false">P300+Q300+R300</f>
        <v>0</v>
      </c>
      <c r="T300" s="21" t="n">
        <f aca="false">C300+S300</f>
        <v>18.6730249835055</v>
      </c>
      <c r="U300" s="34" t="str">
        <f aca="false">AX300</f>
        <v/>
      </c>
      <c r="V300" s="21" t="n">
        <f aca="false">IF(U300="",0,IF(U300="transition",0,IF(U300="SW",AG300,IF(U300="AB",AH300,IF(U300="SC",AI300,IF(U300="Mag",AJ300,IF(U300="OR",AK300,IF(U300="HP",AL300,IF(U300="FP",AM300,0)))))))))</f>
        <v>0</v>
      </c>
      <c r="W300" s="27" t="n">
        <f aca="false">IF(U300="OR",Upgrades!$F$10,IF(U300="HP",Upgrades!$F$11,IF(U300="transition",-Parameters!$B$18,0)))</f>
        <v>0</v>
      </c>
      <c r="X300" s="21" t="n">
        <f aca="false">T300-V300</f>
        <v>18.6730249835055</v>
      </c>
      <c r="Y300" s="30" t="n">
        <f aca="false">M300*Parameters!$B$10/60*Parameters!$B$11+O300*M300+N300</f>
        <v>20.55</v>
      </c>
      <c r="Z300" s="35" t="str">
        <f aca="false">IF(U300="transition","→ Tier 2 (Stellar Neighborhood)",IF(U300="FP","First Photons — light begins, system quickens",IF(U300="HP","Heliopause acquired",IF(U300="OR","Orbital Resonance — passive multiplier active",IF(AND(AO300=1,L300=0,AN300&lt;&gt;1),"Cohesion ready (waiting on completionist upgrades)","")))))</f>
        <v/>
      </c>
      <c r="AA300" s="27" t="n">
        <f aca="false">(IF(E300=0,0,(Upgrades!$G$6+E300*Upgrades!$H$6)*POWER(Upgrades!$I$6,E300)))*(IF(Upgrades!$T$7="Solar Wind",POWER(Upgrades!$U$7,F300),1)*IF(Upgrades!$T$8="Solar Wind",POWER(Upgrades!$U$8,G300),1)*IF(Upgrades!$T$9="Solar Wind",POWER(Upgrades!$U$9,H300),1)*IF(Upgrades!$T$10="Solar Wind",POWER(Upgrades!$U$10,I300),1)*IF(Upgrades!$T$11="Solar Wind",POWER(Upgrades!$U$11,J300),1)*IF(Upgrades!$T$12="Solar Wind",POWER(Upgrades!$U$12,K300),1))*POWER(Upgrades!$P$6,E300)*POWER(Upgrades!$P$7,F300)*POWER(Upgrades!$P$8,G300)*POWER(Upgrades!$P$9,H300)*POWER(Upgrades!$P$10,I300)*POWER(Upgrades!$P$11,J300)*POWER(Upgrades!$P$12,K300)*60</f>
        <v>72</v>
      </c>
      <c r="AB300" s="27" t="n">
        <f aca="false">(IF(F300=0,0,(Upgrades!$G$7+F300*Upgrades!$H$7)*POWER(Upgrades!$I$7,F300)))*(IF(Upgrades!$T$6="Asteroid Belt",POWER(Upgrades!$U$6,E300),1)*IF(Upgrades!$T$8="Asteroid Belt",POWER(Upgrades!$U$8,G300),1)*IF(Upgrades!$T$9="Asteroid Belt",POWER(Upgrades!$U$9,H300),1)*IF(Upgrades!$T$10="Asteroid Belt",POWER(Upgrades!$U$10,I300),1)*IF(Upgrades!$T$11="Asteroid Belt",POWER(Upgrades!$U$11,J300),1)*IF(Upgrades!$T$12="Asteroid Belt",POWER(Upgrades!$U$12,K300),1))*POWER(Upgrades!$P$6,E300)*POWER(Upgrades!$P$7,F300)*POWER(Upgrades!$P$8,G300)*POWER(Upgrades!$P$9,H300)*POWER(Upgrades!$P$10,I300)*POWER(Upgrades!$P$11,J300)*POWER(Upgrades!$P$12,K300)*60</f>
        <v>150</v>
      </c>
      <c r="AC300" s="27" t="n">
        <f aca="false">(IF(G300=0,0,(Upgrades!$J$8+G300*Upgrades!$K$8)*POWER(Upgrades!$L$8,G300)))*(IF(Upgrades!$T$6="Stellar Coupling",POWER(Upgrades!$U$6,E300),1)*IF(Upgrades!$T$7="Stellar Coupling",POWER(Upgrades!$U$7,F300),1)*IF(Upgrades!$T$9="Stellar Coupling",POWER(Upgrades!$U$9,H300),1)*IF(Upgrades!$T$10="Stellar Coupling",POWER(Upgrades!$U$10,I300),1)*IF(Upgrades!$T$11="Stellar Coupling",POWER(Upgrades!$U$11,J300),1)*IF(Upgrades!$T$12="Stellar Coupling",POWER(Upgrades!$U$12,K300),1))*POWER(Upgrades!$Q$6,E300)*POWER(Upgrades!$Q$7,F300)*POWER(Upgrades!$Q$8,G300)*POWER(Upgrades!$Q$9,H300)*POWER(Upgrades!$Q$10,I300)*POWER(Upgrades!$Q$11,J300)*POWER(Upgrades!$Q$12,K300)*Parameters!$B$10*Parameters!$B$11</f>
        <v>441</v>
      </c>
      <c r="AD300" s="27" t="n">
        <f aca="false">(IF(H300=0,0,(Upgrades!$G$9+H300*Upgrades!$H$9)*POWER(Upgrades!$I$9,H300)))*(IF(Upgrades!$T$6="Magnetosphere",POWER(Upgrades!$U$6,E300),1)*IF(Upgrades!$T$7="Magnetosphere",POWER(Upgrades!$U$7,F300),1)*IF(Upgrades!$T$8="Magnetosphere",POWER(Upgrades!$U$8,G300),1)*IF(Upgrades!$T$10="Magnetosphere",POWER(Upgrades!$U$10,I300),1)*IF(Upgrades!$T$11="Magnetosphere",POWER(Upgrades!$U$11,J300),1)*IF(Upgrades!$T$12="Magnetosphere",POWER(Upgrades!$U$12,K300),1))*POWER(Upgrades!$P$6,E300)*POWER(Upgrades!$P$7,F300)*POWER(Upgrades!$P$8,G300)*POWER(Upgrades!$P$9,H300)*POWER(Upgrades!$P$10,I300)*POWER(Upgrades!$P$11,J300)*POWER(Upgrades!$P$12,K300)*60</f>
        <v>375</v>
      </c>
      <c r="AE300" s="27" t="n">
        <f aca="false">(IF(K300=0,0,(Upgrades!$G$12+K300*Upgrades!$H$12)*POWER(Upgrades!$I$12,K300)))*(IF(Upgrades!$T$6="First Photons",POWER(Upgrades!$U$6,E300),1)*IF(Upgrades!$T$7="First Photons",POWER(Upgrades!$U$7,F300),1)*IF(Upgrades!$T$8="First Photons",POWER(Upgrades!$U$8,G300),1)*IF(Upgrades!$T$9="First Photons",POWER(Upgrades!$U$9,H300),1)*IF(Upgrades!$T$10="First Photons",POWER(Upgrades!$U$10,I300),1)*IF(Upgrades!$T$11="First Photons",POWER(Upgrades!$U$11,J300),1))*POWER(Upgrades!$P$6,E300)*POWER(Upgrades!$P$7,F300)*POWER(Upgrades!$P$8,G300)*POWER(Upgrades!$P$9,H300)*POWER(Upgrades!$P$10,I300)*POWER(Upgrades!$P$11,J300)*POWER(Upgrades!$P$12,K300)*60</f>
        <v>75</v>
      </c>
      <c r="AF300" s="27" t="n">
        <f aca="false">Parameters!$B$9*POWER(Upgrades!$Q$6,E300)*POWER(Upgrades!$Q$7,F300)*POWER(Upgrades!$Q$8,G300)*POWER(Upgrades!$Q$9,H300)*POWER(Upgrades!$Q$10,I300)*POWER(Upgrades!$Q$11,J300)*POWER(Upgrades!$Q$12,K300)*(Parameters!$B$10*Parameters!$B$11+O300*60)</f>
        <v>120</v>
      </c>
      <c r="AG300" s="21" t="n">
        <f aca="false">IF(E300&gt;=Upgrades!$E$6,"",Upgrades!$C$6*POWER(Upgrades!$D$6,E300))</f>
        <v>37.4517507383159</v>
      </c>
      <c r="AH300" s="21" t="n">
        <f aca="false">IF(F300&gt;=Upgrades!$E$7,"",Upgrades!$C$7*POWER(Upgrades!$D$7,F300))</f>
        <v>80.9111547141581</v>
      </c>
      <c r="AI300" s="21" t="n">
        <f aca="false">IF(G300&gt;=Upgrades!$E$8,"",Upgrades!$C$8*POWER(Upgrades!$D$8,G300))</f>
        <v>231.9097088</v>
      </c>
      <c r="AJ300" s="21" t="str">
        <f aca="false">IF(H300&gt;=Upgrades!$E$9,"",Upgrades!$C$9*POWER(Upgrades!$D$9,H300))</f>
        <v/>
      </c>
      <c r="AK300" s="21" t="str">
        <f aca="false">IF(I300&gt;=Upgrades!$E$10,"",Upgrades!$C$10*POWER(Upgrades!$D$10,I300))</f>
        <v/>
      </c>
      <c r="AL300" s="21" t="str">
        <f aca="false">IF(J300&gt;=Upgrades!$E$11,"",Upgrades!$C$11*POWER(Upgrades!$D$11,J300))</f>
        <v/>
      </c>
      <c r="AM300" s="21" t="str">
        <f aca="false">IF(K300&gt;=Upgrades!$E$12,"",Upgrades!$C$12*POWER(Upgrades!$D$12,K300))</f>
        <v/>
      </c>
      <c r="AN300" s="26" t="str">
        <f aca="false">IF(AND(D300&gt;=Parameters!$B$18,(H300&gt;=Upgrades!$E$9)*(K300&gt;=Upgrades!$E$12)=1,L300=0),1,"")</f>
        <v/>
      </c>
      <c r="AO300" s="26" t="str">
        <f aca="false">IF(AND(D300&gt;=Parameters!$B$18,L300=0),1,"")</f>
        <v/>
      </c>
      <c r="AP300" s="21" t="n">
        <f aca="false">MIN(IF(ISNUMBER(AK300),AK300,9000000000000000),IF(ISNUMBER(AL300),AL300,9000000000000000),IF(ISNUMBER(AM300),AM300,9000000000000000))</f>
        <v>9000000000000000</v>
      </c>
      <c r="AQ300" s="21" t="n">
        <f aca="false">MIN(IF(ISNUMBER(AG300),AG300,9000000000000000),IF(ISNUMBER(AH300),AH300,9000000000000000),IF(ISNUMBER(AI300),AI300,9000000000000000),IF(ISNUMBER(AJ300),AJ300,9000000000000000))</f>
        <v>37.4517507383159</v>
      </c>
      <c r="AR300" s="32" t="b">
        <f aca="false">IF(AW300&gt;Parameters!$B$21*(MAX(IF(AND(NOT(AND(AO300=1,AN300&lt;&gt;1)),ISNUMBER(AG300),AG300&lt;=T300),AS300,0),IF(AND(NOT(AND(AO300=1,AN300&lt;&gt;1)),ISNUMBER(AH300),AH300&lt;=T300),AT300,0),IF(AND(NOT(AND(AO300=1,AN300&lt;&gt;1)),ISNUMBER(AI300),AI300&lt;=T300),AU300,0),IF(AND(ISNUMBER(AJ300),AJ300&lt;=T300),AV300,0))),TRUE(),FALSE())</f>
        <v>1</v>
      </c>
      <c r="AS300" s="33" t="n">
        <f aca="false">IFERROR(Upgrades!$H$6*(POWER(Upgrades!$P$6,E300)*POWER(Upgrades!$P$7,F300)*POWER(Upgrades!$P$8,G300)*POWER(Upgrades!$P$9,H300)*POWER(Upgrades!$P$10,I300)*POWER(Upgrades!$P$11,J300)*POWER(Upgrades!$P$12,K300))*(IF(Upgrades!$T$7="Solar Wind",POWER(Upgrades!$U$7,F300),1)*IF(Upgrades!$T$8="Solar Wind",POWER(Upgrades!$U$8,G300),1)*IF(Upgrades!$T$9="Solar Wind",POWER(Upgrades!$U$9,H300),1)*IF(Upgrades!$T$10="Solar Wind",POWER(Upgrades!$U$10,I300),1)*IF(Upgrades!$T$11="Solar Wind",POWER(Upgrades!$U$11,J300),1)*IF(Upgrades!$T$12="Solar Wind",POWER(Upgrades!$U$12,K300),1))/AG300,0)</f>
        <v>0.0026701021455238</v>
      </c>
      <c r="AT300" s="33" t="n">
        <f aca="false">IFERROR(Upgrades!$H$7*(POWER(Upgrades!$P$6,E300)*POWER(Upgrades!$P$7,F300)*POWER(Upgrades!$P$8,G300)*POWER(Upgrades!$P$9,H300)*POWER(Upgrades!$P$10,I300)*POWER(Upgrades!$P$11,J300)*POWER(Upgrades!$P$12,K300))*(IF(Upgrades!$T$6="Asteroid Belt",POWER(Upgrades!$U$6,E300),1)*IF(Upgrades!$T$8="Asteroid Belt",POWER(Upgrades!$U$8,G300),1)*IF(Upgrades!$T$9="Asteroid Belt",POWER(Upgrades!$U$9,H300),1)*IF(Upgrades!$T$10="Asteroid Belt",POWER(Upgrades!$U$10,I300),1)*IF(Upgrades!$T$11="Asteroid Belt",POWER(Upgrades!$U$11,J300),1)*IF(Upgrades!$T$12="Asteroid Belt",POWER(Upgrades!$U$12,K300),1))/AH300,0)</f>
        <v>0.00308980882652332</v>
      </c>
      <c r="AU300" s="33" t="n">
        <f aca="false">IFERROR(Upgrades!$K$8*(POWER(Upgrades!$Q$6,E300)*POWER(Upgrades!$Q$7,F300)*POWER(Upgrades!$Q$8,G300)*POWER(Upgrades!$Q$9,H300)*POWER(Upgrades!$Q$10,I300)*POWER(Upgrades!$Q$11,J300)*POWER(Upgrades!$Q$12,K300))*(IF(Upgrades!$T$6="Stellar Coupling",POWER(Upgrades!$U$6,E300),1)*IF(Upgrades!$T$7="Stellar Coupling",POWER(Upgrades!$U$7,F300),1)*IF(Upgrades!$T$9="Stellar Coupling",POWER(Upgrades!$U$9,H300),1)*IF(Upgrades!$T$10="Stellar Coupling",POWER(Upgrades!$U$10,I300),1)*IF(Upgrades!$T$11="Stellar Coupling",POWER(Upgrades!$U$11,J300),1)*IF(Upgrades!$T$12="Stellar Coupling",POWER(Upgrades!$U$12,K300),1))*Parameters!$B$10*Parameters!$B$11/60/AI300,0)</f>
        <v>0.00452762415783776</v>
      </c>
      <c r="AV300" s="33" t="n">
        <f aca="false">IFERROR(Upgrades!$H$9*(POWER(Upgrades!$P$6,E300)*POWER(Upgrades!$P$7,F300)*POWER(Upgrades!$P$8,G300)*POWER(Upgrades!$P$9,H300)*POWER(Upgrades!$P$10,I300)*POWER(Upgrades!$P$11,J300)*POWER(Upgrades!$P$12,K300))*(IF(Upgrades!$T$6="Magnetosphere",POWER(Upgrades!$U$6,E300),1)*IF(Upgrades!$T$7="Magnetosphere",POWER(Upgrades!$U$7,F300),1)*IF(Upgrades!$T$8="Magnetosphere",POWER(Upgrades!$U$8,G300),1)*IF(Upgrades!$T$10="Magnetosphere",POWER(Upgrades!$U$10,I300),1)*IF(Upgrades!$T$11="Magnetosphere",POWER(Upgrades!$U$11,J300),1)*IF(Upgrades!$T$12="Magnetosphere",POWER(Upgrades!$U$12,K300),1))/AJ300,0)</f>
        <v>0</v>
      </c>
      <c r="AW300" s="33" t="n">
        <f aca="false">MAX(IF(I300&gt;0,0,IFERROR(0.25*N300/Upgrades!$C$10,0)),IF(J300&gt;0,0,IFERROR(0.5*((IF(G300=0,0,(Upgrades!$J$8+G300*Upgrades!$K$8)*POWER(Upgrades!$L$8,G300)))*(IF(Upgrades!$T$6="Stellar Coupling",POWER(Upgrades!$U$6,E300),1)*IF(Upgrades!$T$7="Stellar Coupling",POWER(Upgrades!$U$7,F300),1)*IF(Upgrades!$T$9="Stellar Coupling",POWER(Upgrades!$U$9,H300),1)*IF(Upgrades!$T$10="Stellar Coupling",POWER(Upgrades!$U$10,I300),1)*IF(Upgrades!$T$11="Stellar Coupling",POWER(Upgrades!$U$11,J300),1)*IF(Upgrades!$T$12="Stellar Coupling",POWER(Upgrades!$U$12,K300),1))*(POWER(Upgrades!$Q$6,E300)*POWER(Upgrades!$Q$7,F300)*POWER(Upgrades!$Q$8,G300)*POWER(Upgrades!$Q$9,H300)*POWER(Upgrades!$Q$10,I300)*POWER(Upgrades!$Q$11,J300)*POWER(Upgrades!$Q$12,K300))*Parameters!$B$10*Parameters!$B$11/60)/Upgrades!$C$11,0)),IF(K300&gt;0,0,IFERROR((1*(POWER(Upgrades!$P$6,E300)*POWER(Upgrades!$P$7,F300)*POWER(Upgrades!$P$8,G300)*POWER(Upgrades!$P$9,H300)*POWER(Upgrades!$P$10,I300)*POWER(Upgrades!$P$11,J300)*POWER(Upgrades!$P$12,K300))+0.2*M300*Parameters!$B$10*Parameters!$B$11/60)/Upgrades!$C$12,0)),IF(AND(ISNUMBER(AG300),AG300&gt;T300),AS300,0),IF(AND(ISNUMBER(AH300),AH300&gt;T300),AT300,0),IF(AND(ISNUMBER(AI300),AI300&gt;T300),AU300,0),IF(AND(ISNUMBER(AJ300),AJ300&gt;T300),AV300,0))</f>
        <v>0.00452762415783776</v>
      </c>
      <c r="AX300" s="29" t="str">
        <f aca="false">IF(AN300=1,"transition",IF(MIN(IF(AND(I300=0,ISNUMBER(AK300),AK300&lt;=T300),AK300,9000000000000000),IF(AND(J300=0,ISNUMBER(AL300),AL300&lt;=T300),AL300,9000000000000000),IF(AND(K300=0,ISNUMBER(AM300),AM300&lt;=T300),AM300,9000000000000000))&lt;9000000000000000,IF(AND(AND(I300=0,ISNUMBER(AK300),AK300&lt;=T300),AK300=MIN(IF(AND(I300=0,ISNUMBER(AK300),AK300&lt;=T300),AK300,9000000000000000),IF(AND(J300=0,ISNUMBER(AL300),AL300&lt;=T300),AL300,9000000000000000),IF(AND(K300=0,ISNUMBER(AM300),AM300&lt;=T300),AM300,9000000000000000))),"OR",IF(AND(AND(J300=0,ISNUMBER(AL300),AL300&lt;=T300),AL300=MIN(IF(AND(I300=0,ISNUMBER(AK300),AK300&lt;=T300),AK300,9000000000000000),IF(AND(J300=0,ISNUMBER(AL300),AL300&lt;=T300),AL300,9000000000000000),IF(AND(K300=0,ISNUMBER(AM300),AM300&lt;=T300),AM300,9000000000000000))),"HP","FP")),IF(AR300=TRUE(),"",IF(MAX(IF(AND(NOT(AND(AO300=1,AN300&lt;&gt;1)),ISNUMBER(AG300),AG300&lt;=T300),AS300,0),IF(AND(NOT(AND(AO300=1,AN300&lt;&gt;1)),ISNUMBER(AH300),AH300&lt;=T300),AT300,0),IF(AND(NOT(AND(AO300=1,AN300&lt;&gt;1)),ISNUMBER(AI300),AI300&lt;=T300),AU300,0),IF(AND(ISNUMBER(AJ300),AJ300&lt;=T300),AV300,0))&lt;=0,"",IF(AND(IF(AND(NOT(AND(AO300=1,AN300&lt;&gt;1)),ISNUMBER(AG300),AG300&lt;=T300),AS300,0)&gt;0,IF(AND(NOT(AND(AO300=1,AN300&lt;&gt;1)),ISNUMBER(AG300),AG300&lt;=T300),AS300,0)=MAX(IF(AND(NOT(AND(AO300=1,AN300&lt;&gt;1)),ISNUMBER(AG300),AG300&lt;=T300),AS300,0),IF(AND(NOT(AND(AO300=1,AN300&lt;&gt;1)),ISNUMBER(AH300),AH300&lt;=T300),AT300,0),IF(AND(NOT(AND(AO300=1,AN300&lt;&gt;1)),ISNUMBER(AI300),AI300&lt;=T300),AU300,0),IF(AND(ISNUMBER(AJ300),AJ300&lt;=T300),AV300,0))),"SW",IF(AND(IF(AND(NOT(AND(AO300=1,AN300&lt;&gt;1)),ISNUMBER(AH300),AH300&lt;=T300),AT300,0)&gt;0,IF(AND(NOT(AND(AO300=1,AN300&lt;&gt;1)),ISNUMBER(AH300),AH300&lt;=T300),AT300,0)=MAX(IF(AND(NOT(AND(AO300=1,AN300&lt;&gt;1)),ISNUMBER(AG300),AG300&lt;=T300),AS300,0),IF(AND(NOT(AND(AO300=1,AN300&lt;&gt;1)),ISNUMBER(AH300),AH300&lt;=T300),AT300,0),IF(AND(NOT(AND(AO300=1,AN300&lt;&gt;1)),ISNUMBER(AI300),AI300&lt;=T300),AU300,0),IF(AND(ISNUMBER(AJ300),AJ300&lt;=T300),AV300,0))),"AB",IF(AND(IF(AND(NOT(AND(AO300=1,AN300&lt;&gt;1)),ISNUMBER(AI300),AI300&lt;=T300),AU300,0)&gt;0,IF(AND(NOT(AND(AO300=1,AN300&lt;&gt;1)),ISNUMBER(AI300),AI300&lt;=T300),AU300,0)=MAX(IF(AND(NOT(AND(AO300=1,AN300&lt;&gt;1)),ISNUMBER(AG300),AG300&lt;=T300),AS300,0),IF(AND(NOT(AND(AO300=1,AN300&lt;&gt;1)),ISNUMBER(AH300),AH300&lt;=T300),AT300,0),IF(AND(NOT(AND(AO300=1,AN300&lt;&gt;1)),ISNUMBER(AI300),AI300&lt;=T300),AU300,0),IF(AND(ISNUMBER(AJ300),AJ300&lt;=T300),AV300,0))),"SC","Mag")))))))</f>
        <v/>
      </c>
    </row>
    <row r="301" customFormat="false" ht="15" hidden="false" customHeight="false" outlineLevel="0" collapsed="false">
      <c r="A301" s="26" t="n">
        <v>296</v>
      </c>
      <c r="B301" s="27" t="n">
        <f aca="false">A301*10/60</f>
        <v>49.3333333333333</v>
      </c>
      <c r="C301" s="21" t="n">
        <f aca="false">X300</f>
        <v>18.6730249835055</v>
      </c>
      <c r="D301" s="27" t="n">
        <f aca="false">D300+W300</f>
        <v>0</v>
      </c>
      <c r="E301" s="26" t="n">
        <f aca="false">E300+IF(U300="SW",1,0)</f>
        <v>12</v>
      </c>
      <c r="F301" s="26" t="n">
        <f aca="false">F300+IF(U300="AB",1,0)</f>
        <v>10</v>
      </c>
      <c r="G301" s="26" t="n">
        <f aca="false">G300+IF(U300="SC",1,0)</f>
        <v>7</v>
      </c>
      <c r="H301" s="26" t="n">
        <f aca="false">H300+IF(U300="Mag",1,0)</f>
        <v>5</v>
      </c>
      <c r="I301" s="26" t="n">
        <f aca="false">MAX(I300,IF(U300="OR",1,0))</f>
        <v>1</v>
      </c>
      <c r="J301" s="26" t="n">
        <f aca="false">MAX(J300,IF(U300="HP",1,0))</f>
        <v>1</v>
      </c>
      <c r="K301" s="26" t="n">
        <f aca="false">MAX(K300,IF(U300="FP",1,0))</f>
        <v>1</v>
      </c>
      <c r="L301" s="26" t="n">
        <f aca="false">MAX(L300,IF(U300="transition",1,0))</f>
        <v>1</v>
      </c>
      <c r="M301" s="28" t="n">
        <f aca="false">(Parameters!$B$9+(IF(E301=0,0,(Upgrades!$J$6+E301*Upgrades!$K$6)*POWER(Upgrades!$L$6,E301)))*(IF(Upgrades!$T$7="Solar Wind",POWER(Upgrades!$U$7,F301),1)*IF(Upgrades!$T$8="Solar Wind",POWER(Upgrades!$U$8,G301),1)*IF(Upgrades!$T$9="Solar Wind",POWER(Upgrades!$U$9,H301),1)*IF(Upgrades!$T$10="Solar Wind",POWER(Upgrades!$U$10,I301),1)*IF(Upgrades!$T$11="Solar Wind",POWER(Upgrades!$U$11,J301),1)*IF(Upgrades!$T$12="Solar Wind",POWER(Upgrades!$U$12,K301),1))+(IF(F301=0,0,(Upgrades!$J$7+F301*Upgrades!$K$7)*POWER(Upgrades!$L$7,F301)))*(IF(Upgrades!$T$6="Asteroid Belt",POWER(Upgrades!$U$6,E301),1)*IF(Upgrades!$T$8="Asteroid Belt",POWER(Upgrades!$U$8,G301),1)*IF(Upgrades!$T$9="Asteroid Belt",POWER(Upgrades!$U$9,H301),1)*IF(Upgrades!$T$10="Asteroid Belt",POWER(Upgrades!$U$10,I301),1)*IF(Upgrades!$T$11="Asteroid Belt",POWER(Upgrades!$U$11,J301),1)*IF(Upgrades!$T$12="Asteroid Belt",POWER(Upgrades!$U$12,K301),1))+(IF(G301=0,0,(Upgrades!$J$8+G301*Upgrades!$K$8)*POWER(Upgrades!$L$8,G301)))*(IF(Upgrades!$T$6="Stellar Coupling",POWER(Upgrades!$U$6,E301),1)*IF(Upgrades!$T$7="Stellar Coupling",POWER(Upgrades!$U$7,F301),1)*IF(Upgrades!$T$9="Stellar Coupling",POWER(Upgrades!$U$9,H301),1)*IF(Upgrades!$T$10="Stellar Coupling",POWER(Upgrades!$U$10,I301),1)*IF(Upgrades!$T$11="Stellar Coupling",POWER(Upgrades!$U$11,J301),1)*IF(Upgrades!$T$12="Stellar Coupling",POWER(Upgrades!$U$12,K301),1))+(IF(H301=0,0,(Upgrades!$J$9+H301*Upgrades!$K$9)*POWER(Upgrades!$L$9,H301)))*(IF(Upgrades!$T$6="Magnetosphere",POWER(Upgrades!$U$6,E301),1)*IF(Upgrades!$T$7="Magnetosphere",POWER(Upgrades!$U$7,F301),1)*IF(Upgrades!$T$8="Magnetosphere",POWER(Upgrades!$U$8,G301),1)*IF(Upgrades!$T$10="Magnetosphere",POWER(Upgrades!$U$10,I301),1)*IF(Upgrades!$T$11="Magnetosphere",POWER(Upgrades!$U$11,J301),1)*IF(Upgrades!$T$12="Magnetosphere",POWER(Upgrades!$U$12,K301),1))+(IF(I301=0,0,(Upgrades!$J$10+I301*Upgrades!$K$10)*POWER(Upgrades!$L$10,I301)))*(IF(Upgrades!$T$6="Orbital Resonance",POWER(Upgrades!$U$6,E301),1)*IF(Upgrades!$T$7="Orbital Resonance",POWER(Upgrades!$U$7,F301),1)*IF(Upgrades!$T$8="Orbital Resonance",POWER(Upgrades!$U$8,G301),1)*IF(Upgrades!$T$9="Orbital Resonance",POWER(Upgrades!$U$9,H301),1)*IF(Upgrades!$T$11="Orbital Resonance",POWER(Upgrades!$U$11,J301),1)*IF(Upgrades!$T$12="Orbital Resonance",POWER(Upgrades!$U$12,K301),1))+(IF(J301=0,0,(Upgrades!$J$11+J301*Upgrades!$K$11)*POWER(Upgrades!$L$11,J301)))*(IF(Upgrades!$T$6="Heliopause",POWER(Upgrades!$U$6,E301),1)*IF(Upgrades!$T$7="Heliopause",POWER(Upgrades!$U$7,F301),1)*IF(Upgrades!$T$8="Heliopause",POWER(Upgrades!$U$8,G301),1)*IF(Upgrades!$T$9="Heliopause",POWER(Upgrades!$U$9,H301),1)*IF(Upgrades!$T$10="Heliopause",POWER(Upgrades!$U$10,I301),1)*IF(Upgrades!$T$12="Heliopause",POWER(Upgrades!$U$12,K301),1))+(IF(K301=0,0,(Upgrades!$J$12+K301*Upgrades!$K$12)*POWER(Upgrades!$L$12,K301)))*(IF(Upgrades!$T$6="First Photons",POWER(Upgrades!$U$6,E301),1)*IF(Upgrades!$T$7="First Photons",POWER(Upgrades!$U$7,F301),1)*IF(Upgrades!$T$8="First Photons",POWER(Upgrades!$U$8,G301),1)*IF(Upgrades!$T$9="First Photons",POWER(Upgrades!$U$9,H301),1)*IF(Upgrades!$T$10="First Photons",POWER(Upgrades!$U$10,I301),1)*IF(Upgrades!$T$11="First Photons",POWER(Upgrades!$U$11,J301),1)))*POWER(Upgrades!$Q$6,E301)*POWER(Upgrades!$Q$7,F301)*POWER(Upgrades!$Q$8,G301)*POWER(Upgrades!$Q$9,H301)*POWER(Upgrades!$Q$10,I301)*POWER(Upgrades!$Q$11,J301)*POWER(Upgrades!$Q$12,K301)</f>
        <v>5.61</v>
      </c>
      <c r="N301" s="28" t="n">
        <f aca="false">((IF(E301=0,0,(Upgrades!$G$6+E301*Upgrades!$H$6)*POWER(Upgrades!$I$6,E301)))*(IF(Upgrades!$T$7="Solar Wind",POWER(Upgrades!$U$7,F301),1)*IF(Upgrades!$T$8="Solar Wind",POWER(Upgrades!$U$8,G301),1)*IF(Upgrades!$T$9="Solar Wind",POWER(Upgrades!$U$9,H301),1)*IF(Upgrades!$T$10="Solar Wind",POWER(Upgrades!$U$10,I301),1)*IF(Upgrades!$T$11="Solar Wind",POWER(Upgrades!$U$11,J301),1)*IF(Upgrades!$T$12="Solar Wind",POWER(Upgrades!$U$12,K301),1))+(IF(F301=0,0,(Upgrades!$G$7+F301*Upgrades!$H$7)*POWER(Upgrades!$I$7,F301)))*(IF(Upgrades!$T$6="Asteroid Belt",POWER(Upgrades!$U$6,E301),1)*IF(Upgrades!$T$8="Asteroid Belt",POWER(Upgrades!$U$8,G301),1)*IF(Upgrades!$T$9="Asteroid Belt",POWER(Upgrades!$U$9,H301),1)*IF(Upgrades!$T$10="Asteroid Belt",POWER(Upgrades!$U$10,I301),1)*IF(Upgrades!$T$11="Asteroid Belt",POWER(Upgrades!$U$11,J301),1)*IF(Upgrades!$T$12="Asteroid Belt",POWER(Upgrades!$U$12,K301),1))+(IF(G301=0,0,(Upgrades!$G$8+G301*Upgrades!$H$8)*POWER(Upgrades!$I$8,G301)))*(IF(Upgrades!$T$6="Stellar Coupling",POWER(Upgrades!$U$6,E301),1)*IF(Upgrades!$T$7="Stellar Coupling",POWER(Upgrades!$U$7,F301),1)*IF(Upgrades!$T$9="Stellar Coupling",POWER(Upgrades!$U$9,H301),1)*IF(Upgrades!$T$10="Stellar Coupling",POWER(Upgrades!$U$10,I301),1)*IF(Upgrades!$T$11="Stellar Coupling",POWER(Upgrades!$U$11,J301),1)*IF(Upgrades!$T$12="Stellar Coupling",POWER(Upgrades!$U$12,K301),1))+(IF(H301=0,0,(Upgrades!$G$9+H301*Upgrades!$H$9)*POWER(Upgrades!$I$9,H301)))*(IF(Upgrades!$T$6="Magnetosphere",POWER(Upgrades!$U$6,E301),1)*IF(Upgrades!$T$7="Magnetosphere",POWER(Upgrades!$U$7,F301),1)*IF(Upgrades!$T$8="Magnetosphere",POWER(Upgrades!$U$8,G301),1)*IF(Upgrades!$T$10="Magnetosphere",POWER(Upgrades!$U$10,I301),1)*IF(Upgrades!$T$11="Magnetosphere",POWER(Upgrades!$U$11,J301),1)*IF(Upgrades!$T$12="Magnetosphere",POWER(Upgrades!$U$12,K301),1))+(IF(I301=0,0,(Upgrades!$G$10+I301*Upgrades!$H$10)*POWER(Upgrades!$I$10,I301)))*(IF(Upgrades!$T$6="Orbital Resonance",POWER(Upgrades!$U$6,E301),1)*IF(Upgrades!$T$7="Orbital Resonance",POWER(Upgrades!$U$7,F301),1)*IF(Upgrades!$T$8="Orbital Resonance",POWER(Upgrades!$U$8,G301),1)*IF(Upgrades!$T$9="Orbital Resonance",POWER(Upgrades!$U$9,H301),1)*IF(Upgrades!$T$11="Orbital Resonance",POWER(Upgrades!$U$11,J301),1)*IF(Upgrades!$T$12="Orbital Resonance",POWER(Upgrades!$U$12,K301),1))+(IF(J301=0,0,(Upgrades!$G$11+J301*Upgrades!$H$11)*POWER(Upgrades!$I$11,J301)))*(IF(Upgrades!$T$6="Heliopause",POWER(Upgrades!$U$6,E301),1)*IF(Upgrades!$T$7="Heliopause",POWER(Upgrades!$U$7,F301),1)*IF(Upgrades!$T$8="Heliopause",POWER(Upgrades!$U$8,G301),1)*IF(Upgrades!$T$9="Heliopause",POWER(Upgrades!$U$9,H301),1)*IF(Upgrades!$T$10="Heliopause",POWER(Upgrades!$U$10,I301),1)*IF(Upgrades!$T$12="Heliopause",POWER(Upgrades!$U$12,K301),1))+(IF(K301=0,0,(Upgrades!$G$12+K301*Upgrades!$H$12)*POWER(Upgrades!$I$12,K301)))*(IF(Upgrades!$T$6="First Photons",POWER(Upgrades!$U$6,E301),1)*IF(Upgrades!$T$7="First Photons",POWER(Upgrades!$U$7,F301),1)*IF(Upgrades!$T$8="First Photons",POWER(Upgrades!$U$8,G301),1)*IF(Upgrades!$T$9="First Photons",POWER(Upgrades!$U$9,H301),1)*IF(Upgrades!$T$10="First Photons",POWER(Upgrades!$U$10,I301),1)*IF(Upgrades!$T$11="First Photons",POWER(Upgrades!$U$11,J301),1)))*POWER(Upgrades!$P$6,E301)*POWER(Upgrades!$P$7,F301)*POWER(Upgrades!$P$8,G301)*POWER(Upgrades!$P$9,H301)*POWER(Upgrades!$P$10,I301)*POWER(Upgrades!$P$11,J301)*POWER(Upgrades!$P$12,K301)</f>
        <v>11.2</v>
      </c>
      <c r="O301" s="28" t="n">
        <f aca="false">((IF(E301=0,0,(Upgrades!$M$6+E301*Upgrades!$N$6)*POWER(Upgrades!$O$6,E301)))*(IF(Upgrades!$T$7="Solar Wind",POWER(Upgrades!$U$7,F301),1)*IF(Upgrades!$T$8="Solar Wind",POWER(Upgrades!$U$8,G301),1)*IF(Upgrades!$T$9="Solar Wind",POWER(Upgrades!$U$9,H301),1)*IF(Upgrades!$T$10="Solar Wind",POWER(Upgrades!$U$10,I301),1)*IF(Upgrades!$T$11="Solar Wind",POWER(Upgrades!$U$11,J301),1)*IF(Upgrades!$T$12="Solar Wind",POWER(Upgrades!$U$12,K301),1))+(IF(F301=0,0,(Upgrades!$M$7+F301*Upgrades!$N$7)*POWER(Upgrades!$O$7,F301)))*(IF(Upgrades!$T$6="Asteroid Belt",POWER(Upgrades!$U$6,E301),1)*IF(Upgrades!$T$8="Asteroid Belt",POWER(Upgrades!$U$8,G301),1)*IF(Upgrades!$T$9="Asteroid Belt",POWER(Upgrades!$U$9,H301),1)*IF(Upgrades!$T$10="Asteroid Belt",POWER(Upgrades!$U$10,I301),1)*IF(Upgrades!$T$11="Asteroid Belt",POWER(Upgrades!$U$11,J301),1)*IF(Upgrades!$T$12="Asteroid Belt",POWER(Upgrades!$U$12,K301),1))+(IF(G301=0,0,(Upgrades!$M$8+G301*Upgrades!$N$8)*POWER(Upgrades!$O$8,G301)))*(IF(Upgrades!$T$6="Stellar Coupling",POWER(Upgrades!$U$6,E301),1)*IF(Upgrades!$T$7="Stellar Coupling",POWER(Upgrades!$U$7,F301),1)*IF(Upgrades!$T$9="Stellar Coupling",POWER(Upgrades!$U$9,H301),1)*IF(Upgrades!$T$10="Stellar Coupling",POWER(Upgrades!$U$10,I301),1)*IF(Upgrades!$T$11="Stellar Coupling",POWER(Upgrades!$U$11,J301),1)*IF(Upgrades!$T$12="Stellar Coupling",POWER(Upgrades!$U$12,K301),1))+(IF(H301=0,0,(Upgrades!$M$9+H301*Upgrades!$N$9)*POWER(Upgrades!$O$9,H301)))*(IF(Upgrades!$T$6="Magnetosphere",POWER(Upgrades!$U$6,E301),1)*IF(Upgrades!$T$7="Magnetosphere",POWER(Upgrades!$U$7,F301),1)*IF(Upgrades!$T$8="Magnetosphere",POWER(Upgrades!$U$8,G301),1)*IF(Upgrades!$T$10="Magnetosphere",POWER(Upgrades!$U$10,I301),1)*IF(Upgrades!$T$11="Magnetosphere",POWER(Upgrades!$U$11,J301),1)*IF(Upgrades!$T$12="Magnetosphere",POWER(Upgrades!$U$12,K301),1))+(IF(I301=0,0,(Upgrades!$M$10+I301*Upgrades!$N$10)*POWER(Upgrades!$O$10,I301)))*(IF(Upgrades!$T$6="Orbital Resonance",POWER(Upgrades!$U$6,E301),1)*IF(Upgrades!$T$7="Orbital Resonance",POWER(Upgrades!$U$7,F301),1)*IF(Upgrades!$T$8="Orbital Resonance",POWER(Upgrades!$U$8,G301),1)*IF(Upgrades!$T$9="Orbital Resonance",POWER(Upgrades!$U$9,H301),1)*IF(Upgrades!$T$11="Orbital Resonance",POWER(Upgrades!$U$11,J301),1)*IF(Upgrades!$T$12="Orbital Resonance",POWER(Upgrades!$U$12,K301),1))+(IF(J301=0,0,(Upgrades!$M$11+J301*Upgrades!$N$11)*POWER(Upgrades!$O$11,J301)))*(IF(Upgrades!$T$6="Heliopause",POWER(Upgrades!$U$6,E301),1)*IF(Upgrades!$T$7="Heliopause",POWER(Upgrades!$U$7,F301),1)*IF(Upgrades!$T$8="Heliopause",POWER(Upgrades!$U$8,G301),1)*IF(Upgrades!$T$9="Heliopause",POWER(Upgrades!$U$9,H301),1)*IF(Upgrades!$T$10="Heliopause",POWER(Upgrades!$U$10,I301),1)*IF(Upgrades!$T$12="Heliopause",POWER(Upgrades!$U$12,K301),1))+(IF(K301=0,0,(Upgrades!$M$12+K301*Upgrades!$N$12)*POWER(Upgrades!$O$12,K301)))*(IF(Upgrades!$T$6="First Photons",POWER(Upgrades!$U$6,E301),1)*IF(Upgrades!$T$7="First Photons",POWER(Upgrades!$U$7,F301),1)*IF(Upgrades!$T$8="First Photons",POWER(Upgrades!$U$8,G301),1)*IF(Upgrades!$T$9="First Photons",POWER(Upgrades!$U$9,H301),1)*IF(Upgrades!$T$10="First Photons",POWER(Upgrades!$U$10,I301),1)*IF(Upgrades!$T$11="First Photons",POWER(Upgrades!$U$11,J301),1)))*POWER(Upgrades!$R$6,E301)*POWER(Upgrades!$R$7,F301)*POWER(Upgrades!$R$8,G301)*POWER(Upgrades!$R$9,H301)*POWER(Upgrades!$R$10,I301)*POWER(Upgrades!$R$11,J301)*POWER(Upgrades!$R$12,K301)</f>
        <v>0</v>
      </c>
      <c r="P301" s="27" t="n">
        <f aca="false">IF(L301=1,0,M301*Parameters!$B$10/60*Parameters!$B$11*10)</f>
        <v>0</v>
      </c>
      <c r="Q301" s="27" t="n">
        <f aca="false">IF(L301=1,0,O301*M301*10)</f>
        <v>0</v>
      </c>
      <c r="R301" s="27" t="n">
        <f aca="false">IF(L301=1,0,N301*10)</f>
        <v>0</v>
      </c>
      <c r="S301" s="27" t="n">
        <f aca="false">P301+Q301+R301</f>
        <v>0</v>
      </c>
      <c r="T301" s="21" t="n">
        <f aca="false">C301+S301</f>
        <v>18.6730249835055</v>
      </c>
      <c r="U301" s="34" t="str">
        <f aca="false">AX301</f>
        <v/>
      </c>
      <c r="V301" s="21" t="n">
        <f aca="false">IF(U301="",0,IF(U301="transition",0,IF(U301="SW",AG301,IF(U301="AB",AH301,IF(U301="SC",AI301,IF(U301="Mag",AJ301,IF(U301="OR",AK301,IF(U301="HP",AL301,IF(U301="FP",AM301,0)))))))))</f>
        <v>0</v>
      </c>
      <c r="W301" s="27" t="n">
        <f aca="false">IF(U301="OR",Upgrades!$F$10,IF(U301="HP",Upgrades!$F$11,IF(U301="transition",-Parameters!$B$18,0)))</f>
        <v>0</v>
      </c>
      <c r="X301" s="21" t="n">
        <f aca="false">T301-V301</f>
        <v>18.6730249835055</v>
      </c>
      <c r="Y301" s="30" t="n">
        <f aca="false">M301*Parameters!$B$10/60*Parameters!$B$11+O301*M301+N301</f>
        <v>20.55</v>
      </c>
      <c r="Z301" s="35" t="str">
        <f aca="false">IF(U301="transition","→ Tier 2 (Stellar Neighborhood)",IF(U301="FP","First Photons — light begins, system quickens",IF(U301="HP","Heliopause acquired",IF(U301="OR","Orbital Resonance — passive multiplier active",IF(AND(AO301=1,L301=0,AN301&lt;&gt;1),"Cohesion ready (waiting on completionist upgrades)","")))))</f>
        <v/>
      </c>
      <c r="AA301" s="27" t="n">
        <f aca="false">(IF(E301=0,0,(Upgrades!$G$6+E301*Upgrades!$H$6)*POWER(Upgrades!$I$6,E301)))*(IF(Upgrades!$T$7="Solar Wind",POWER(Upgrades!$U$7,F301),1)*IF(Upgrades!$T$8="Solar Wind",POWER(Upgrades!$U$8,G301),1)*IF(Upgrades!$T$9="Solar Wind",POWER(Upgrades!$U$9,H301),1)*IF(Upgrades!$T$10="Solar Wind",POWER(Upgrades!$U$10,I301),1)*IF(Upgrades!$T$11="Solar Wind",POWER(Upgrades!$U$11,J301),1)*IF(Upgrades!$T$12="Solar Wind",POWER(Upgrades!$U$12,K301),1))*POWER(Upgrades!$P$6,E301)*POWER(Upgrades!$P$7,F301)*POWER(Upgrades!$P$8,G301)*POWER(Upgrades!$P$9,H301)*POWER(Upgrades!$P$10,I301)*POWER(Upgrades!$P$11,J301)*POWER(Upgrades!$P$12,K301)*60</f>
        <v>72</v>
      </c>
      <c r="AB301" s="27" t="n">
        <f aca="false">(IF(F301=0,0,(Upgrades!$G$7+F301*Upgrades!$H$7)*POWER(Upgrades!$I$7,F301)))*(IF(Upgrades!$T$6="Asteroid Belt",POWER(Upgrades!$U$6,E301),1)*IF(Upgrades!$T$8="Asteroid Belt",POWER(Upgrades!$U$8,G301),1)*IF(Upgrades!$T$9="Asteroid Belt",POWER(Upgrades!$U$9,H301),1)*IF(Upgrades!$T$10="Asteroid Belt",POWER(Upgrades!$U$10,I301),1)*IF(Upgrades!$T$11="Asteroid Belt",POWER(Upgrades!$U$11,J301),1)*IF(Upgrades!$T$12="Asteroid Belt",POWER(Upgrades!$U$12,K301),1))*POWER(Upgrades!$P$6,E301)*POWER(Upgrades!$P$7,F301)*POWER(Upgrades!$P$8,G301)*POWER(Upgrades!$P$9,H301)*POWER(Upgrades!$P$10,I301)*POWER(Upgrades!$P$11,J301)*POWER(Upgrades!$P$12,K301)*60</f>
        <v>150</v>
      </c>
      <c r="AC301" s="27" t="n">
        <f aca="false">(IF(G301=0,0,(Upgrades!$J$8+G301*Upgrades!$K$8)*POWER(Upgrades!$L$8,G301)))*(IF(Upgrades!$T$6="Stellar Coupling",POWER(Upgrades!$U$6,E301),1)*IF(Upgrades!$T$7="Stellar Coupling",POWER(Upgrades!$U$7,F301),1)*IF(Upgrades!$T$9="Stellar Coupling",POWER(Upgrades!$U$9,H301),1)*IF(Upgrades!$T$10="Stellar Coupling",POWER(Upgrades!$U$10,I301),1)*IF(Upgrades!$T$11="Stellar Coupling",POWER(Upgrades!$U$11,J301),1)*IF(Upgrades!$T$12="Stellar Coupling",POWER(Upgrades!$U$12,K301),1))*POWER(Upgrades!$Q$6,E301)*POWER(Upgrades!$Q$7,F301)*POWER(Upgrades!$Q$8,G301)*POWER(Upgrades!$Q$9,H301)*POWER(Upgrades!$Q$10,I301)*POWER(Upgrades!$Q$11,J301)*POWER(Upgrades!$Q$12,K301)*Parameters!$B$10*Parameters!$B$11</f>
        <v>441</v>
      </c>
      <c r="AD301" s="27" t="n">
        <f aca="false">(IF(H301=0,0,(Upgrades!$G$9+H301*Upgrades!$H$9)*POWER(Upgrades!$I$9,H301)))*(IF(Upgrades!$T$6="Magnetosphere",POWER(Upgrades!$U$6,E301),1)*IF(Upgrades!$T$7="Magnetosphere",POWER(Upgrades!$U$7,F301),1)*IF(Upgrades!$T$8="Magnetosphere",POWER(Upgrades!$U$8,G301),1)*IF(Upgrades!$T$10="Magnetosphere",POWER(Upgrades!$U$10,I301),1)*IF(Upgrades!$T$11="Magnetosphere",POWER(Upgrades!$U$11,J301),1)*IF(Upgrades!$T$12="Magnetosphere",POWER(Upgrades!$U$12,K301),1))*POWER(Upgrades!$P$6,E301)*POWER(Upgrades!$P$7,F301)*POWER(Upgrades!$P$8,G301)*POWER(Upgrades!$P$9,H301)*POWER(Upgrades!$P$10,I301)*POWER(Upgrades!$P$11,J301)*POWER(Upgrades!$P$12,K301)*60</f>
        <v>375</v>
      </c>
      <c r="AE301" s="27" t="n">
        <f aca="false">(IF(K301=0,0,(Upgrades!$G$12+K301*Upgrades!$H$12)*POWER(Upgrades!$I$12,K301)))*(IF(Upgrades!$T$6="First Photons",POWER(Upgrades!$U$6,E301),1)*IF(Upgrades!$T$7="First Photons",POWER(Upgrades!$U$7,F301),1)*IF(Upgrades!$T$8="First Photons",POWER(Upgrades!$U$8,G301),1)*IF(Upgrades!$T$9="First Photons",POWER(Upgrades!$U$9,H301),1)*IF(Upgrades!$T$10="First Photons",POWER(Upgrades!$U$10,I301),1)*IF(Upgrades!$T$11="First Photons",POWER(Upgrades!$U$11,J301),1))*POWER(Upgrades!$P$6,E301)*POWER(Upgrades!$P$7,F301)*POWER(Upgrades!$P$8,G301)*POWER(Upgrades!$P$9,H301)*POWER(Upgrades!$P$10,I301)*POWER(Upgrades!$P$11,J301)*POWER(Upgrades!$P$12,K301)*60</f>
        <v>75</v>
      </c>
      <c r="AF301" s="27" t="n">
        <f aca="false">Parameters!$B$9*POWER(Upgrades!$Q$6,E301)*POWER(Upgrades!$Q$7,F301)*POWER(Upgrades!$Q$8,G301)*POWER(Upgrades!$Q$9,H301)*POWER(Upgrades!$Q$10,I301)*POWER(Upgrades!$Q$11,J301)*POWER(Upgrades!$Q$12,K301)*(Parameters!$B$10*Parameters!$B$11+O301*60)</f>
        <v>120</v>
      </c>
      <c r="AG301" s="21" t="n">
        <f aca="false">IF(E301&gt;=Upgrades!$E$6,"",Upgrades!$C$6*POWER(Upgrades!$D$6,E301))</f>
        <v>37.4517507383159</v>
      </c>
      <c r="AH301" s="21" t="n">
        <f aca="false">IF(F301&gt;=Upgrades!$E$7,"",Upgrades!$C$7*POWER(Upgrades!$D$7,F301))</f>
        <v>80.9111547141581</v>
      </c>
      <c r="AI301" s="21" t="n">
        <f aca="false">IF(G301&gt;=Upgrades!$E$8,"",Upgrades!$C$8*POWER(Upgrades!$D$8,G301))</f>
        <v>231.9097088</v>
      </c>
      <c r="AJ301" s="21" t="str">
        <f aca="false">IF(H301&gt;=Upgrades!$E$9,"",Upgrades!$C$9*POWER(Upgrades!$D$9,H301))</f>
        <v/>
      </c>
      <c r="AK301" s="21" t="str">
        <f aca="false">IF(I301&gt;=Upgrades!$E$10,"",Upgrades!$C$10*POWER(Upgrades!$D$10,I301))</f>
        <v/>
      </c>
      <c r="AL301" s="21" t="str">
        <f aca="false">IF(J301&gt;=Upgrades!$E$11,"",Upgrades!$C$11*POWER(Upgrades!$D$11,J301))</f>
        <v/>
      </c>
      <c r="AM301" s="21" t="str">
        <f aca="false">IF(K301&gt;=Upgrades!$E$12,"",Upgrades!$C$12*POWER(Upgrades!$D$12,K301))</f>
        <v/>
      </c>
      <c r="AN301" s="26" t="str">
        <f aca="false">IF(AND(D301&gt;=Parameters!$B$18,(H301&gt;=Upgrades!$E$9)*(K301&gt;=Upgrades!$E$12)=1,L301=0),1,"")</f>
        <v/>
      </c>
      <c r="AO301" s="26" t="str">
        <f aca="false">IF(AND(D301&gt;=Parameters!$B$18,L301=0),1,"")</f>
        <v/>
      </c>
      <c r="AP301" s="21" t="n">
        <f aca="false">MIN(IF(ISNUMBER(AK301),AK301,9000000000000000),IF(ISNUMBER(AL301),AL301,9000000000000000),IF(ISNUMBER(AM301),AM301,9000000000000000))</f>
        <v>9000000000000000</v>
      </c>
      <c r="AQ301" s="21" t="n">
        <f aca="false">MIN(IF(ISNUMBER(AG301),AG301,9000000000000000),IF(ISNUMBER(AH301),AH301,9000000000000000),IF(ISNUMBER(AI301),AI301,9000000000000000),IF(ISNUMBER(AJ301),AJ301,9000000000000000))</f>
        <v>37.4517507383159</v>
      </c>
      <c r="AR301" s="32" t="b">
        <f aca="false">IF(AW301&gt;Parameters!$B$21*(MAX(IF(AND(NOT(AND(AO301=1,AN301&lt;&gt;1)),ISNUMBER(AG301),AG301&lt;=T301),AS301,0),IF(AND(NOT(AND(AO301=1,AN301&lt;&gt;1)),ISNUMBER(AH301),AH301&lt;=T301),AT301,0),IF(AND(NOT(AND(AO301=1,AN301&lt;&gt;1)),ISNUMBER(AI301),AI301&lt;=T301),AU301,0),IF(AND(ISNUMBER(AJ301),AJ301&lt;=T301),AV301,0))),TRUE(),FALSE())</f>
        <v>1</v>
      </c>
      <c r="AS301" s="33" t="n">
        <f aca="false">IFERROR(Upgrades!$H$6*(POWER(Upgrades!$P$6,E301)*POWER(Upgrades!$P$7,F301)*POWER(Upgrades!$P$8,G301)*POWER(Upgrades!$P$9,H301)*POWER(Upgrades!$P$10,I301)*POWER(Upgrades!$P$11,J301)*POWER(Upgrades!$P$12,K301))*(IF(Upgrades!$T$7="Solar Wind",POWER(Upgrades!$U$7,F301),1)*IF(Upgrades!$T$8="Solar Wind",POWER(Upgrades!$U$8,G301),1)*IF(Upgrades!$T$9="Solar Wind",POWER(Upgrades!$U$9,H301),1)*IF(Upgrades!$T$10="Solar Wind",POWER(Upgrades!$U$10,I301),1)*IF(Upgrades!$T$11="Solar Wind",POWER(Upgrades!$U$11,J301),1)*IF(Upgrades!$T$12="Solar Wind",POWER(Upgrades!$U$12,K301),1))/AG301,0)</f>
        <v>0.0026701021455238</v>
      </c>
      <c r="AT301" s="33" t="n">
        <f aca="false">IFERROR(Upgrades!$H$7*(POWER(Upgrades!$P$6,E301)*POWER(Upgrades!$P$7,F301)*POWER(Upgrades!$P$8,G301)*POWER(Upgrades!$P$9,H301)*POWER(Upgrades!$P$10,I301)*POWER(Upgrades!$P$11,J301)*POWER(Upgrades!$P$12,K301))*(IF(Upgrades!$T$6="Asteroid Belt",POWER(Upgrades!$U$6,E301),1)*IF(Upgrades!$T$8="Asteroid Belt",POWER(Upgrades!$U$8,G301),1)*IF(Upgrades!$T$9="Asteroid Belt",POWER(Upgrades!$U$9,H301),1)*IF(Upgrades!$T$10="Asteroid Belt",POWER(Upgrades!$U$10,I301),1)*IF(Upgrades!$T$11="Asteroid Belt",POWER(Upgrades!$U$11,J301),1)*IF(Upgrades!$T$12="Asteroid Belt",POWER(Upgrades!$U$12,K301),1))/AH301,0)</f>
        <v>0.00308980882652332</v>
      </c>
      <c r="AU301" s="33" t="n">
        <f aca="false">IFERROR(Upgrades!$K$8*(POWER(Upgrades!$Q$6,E301)*POWER(Upgrades!$Q$7,F301)*POWER(Upgrades!$Q$8,G301)*POWER(Upgrades!$Q$9,H301)*POWER(Upgrades!$Q$10,I301)*POWER(Upgrades!$Q$11,J301)*POWER(Upgrades!$Q$12,K301))*(IF(Upgrades!$T$6="Stellar Coupling",POWER(Upgrades!$U$6,E301),1)*IF(Upgrades!$T$7="Stellar Coupling",POWER(Upgrades!$U$7,F301),1)*IF(Upgrades!$T$9="Stellar Coupling",POWER(Upgrades!$U$9,H301),1)*IF(Upgrades!$T$10="Stellar Coupling",POWER(Upgrades!$U$10,I301),1)*IF(Upgrades!$T$11="Stellar Coupling",POWER(Upgrades!$U$11,J301),1)*IF(Upgrades!$T$12="Stellar Coupling",POWER(Upgrades!$U$12,K301),1))*Parameters!$B$10*Parameters!$B$11/60/AI301,0)</f>
        <v>0.00452762415783776</v>
      </c>
      <c r="AV301" s="33" t="n">
        <f aca="false">IFERROR(Upgrades!$H$9*(POWER(Upgrades!$P$6,E301)*POWER(Upgrades!$P$7,F301)*POWER(Upgrades!$P$8,G301)*POWER(Upgrades!$P$9,H301)*POWER(Upgrades!$P$10,I301)*POWER(Upgrades!$P$11,J301)*POWER(Upgrades!$P$12,K301))*(IF(Upgrades!$T$6="Magnetosphere",POWER(Upgrades!$U$6,E301),1)*IF(Upgrades!$T$7="Magnetosphere",POWER(Upgrades!$U$7,F301),1)*IF(Upgrades!$T$8="Magnetosphere",POWER(Upgrades!$U$8,G301),1)*IF(Upgrades!$T$10="Magnetosphere",POWER(Upgrades!$U$10,I301),1)*IF(Upgrades!$T$11="Magnetosphere",POWER(Upgrades!$U$11,J301),1)*IF(Upgrades!$T$12="Magnetosphere",POWER(Upgrades!$U$12,K301),1))/AJ301,0)</f>
        <v>0</v>
      </c>
      <c r="AW301" s="33" t="n">
        <f aca="false">MAX(IF(I301&gt;0,0,IFERROR(0.25*N301/Upgrades!$C$10,0)),IF(J301&gt;0,0,IFERROR(0.5*((IF(G301=0,0,(Upgrades!$J$8+G301*Upgrades!$K$8)*POWER(Upgrades!$L$8,G301)))*(IF(Upgrades!$T$6="Stellar Coupling",POWER(Upgrades!$U$6,E301),1)*IF(Upgrades!$T$7="Stellar Coupling",POWER(Upgrades!$U$7,F301),1)*IF(Upgrades!$T$9="Stellar Coupling",POWER(Upgrades!$U$9,H301),1)*IF(Upgrades!$T$10="Stellar Coupling",POWER(Upgrades!$U$10,I301),1)*IF(Upgrades!$T$11="Stellar Coupling",POWER(Upgrades!$U$11,J301),1)*IF(Upgrades!$T$12="Stellar Coupling",POWER(Upgrades!$U$12,K301),1))*(POWER(Upgrades!$Q$6,E301)*POWER(Upgrades!$Q$7,F301)*POWER(Upgrades!$Q$8,G301)*POWER(Upgrades!$Q$9,H301)*POWER(Upgrades!$Q$10,I301)*POWER(Upgrades!$Q$11,J301)*POWER(Upgrades!$Q$12,K301))*Parameters!$B$10*Parameters!$B$11/60)/Upgrades!$C$11,0)),IF(K301&gt;0,0,IFERROR((1*(POWER(Upgrades!$P$6,E301)*POWER(Upgrades!$P$7,F301)*POWER(Upgrades!$P$8,G301)*POWER(Upgrades!$P$9,H301)*POWER(Upgrades!$P$10,I301)*POWER(Upgrades!$P$11,J301)*POWER(Upgrades!$P$12,K301))+0.2*M301*Parameters!$B$10*Parameters!$B$11/60)/Upgrades!$C$12,0)),IF(AND(ISNUMBER(AG301),AG301&gt;T301),AS301,0),IF(AND(ISNUMBER(AH301),AH301&gt;T301),AT301,0),IF(AND(ISNUMBER(AI301),AI301&gt;T301),AU301,0),IF(AND(ISNUMBER(AJ301),AJ301&gt;T301),AV301,0))</f>
        <v>0.00452762415783776</v>
      </c>
      <c r="AX301" s="29" t="str">
        <f aca="false">IF(AN301=1,"transition",IF(MIN(IF(AND(I301=0,ISNUMBER(AK301),AK301&lt;=T301),AK301,9000000000000000),IF(AND(J301=0,ISNUMBER(AL301),AL301&lt;=T301),AL301,9000000000000000),IF(AND(K301=0,ISNUMBER(AM301),AM301&lt;=T301),AM301,9000000000000000))&lt;9000000000000000,IF(AND(AND(I301=0,ISNUMBER(AK301),AK301&lt;=T301),AK301=MIN(IF(AND(I301=0,ISNUMBER(AK301),AK301&lt;=T301),AK301,9000000000000000),IF(AND(J301=0,ISNUMBER(AL301),AL301&lt;=T301),AL301,9000000000000000),IF(AND(K301=0,ISNUMBER(AM301),AM301&lt;=T301),AM301,9000000000000000))),"OR",IF(AND(AND(J301=0,ISNUMBER(AL301),AL301&lt;=T301),AL301=MIN(IF(AND(I301=0,ISNUMBER(AK301),AK301&lt;=T301),AK301,9000000000000000),IF(AND(J301=0,ISNUMBER(AL301),AL301&lt;=T301),AL301,9000000000000000),IF(AND(K301=0,ISNUMBER(AM301),AM301&lt;=T301),AM301,9000000000000000))),"HP","FP")),IF(AR301=TRUE(),"",IF(MAX(IF(AND(NOT(AND(AO301=1,AN301&lt;&gt;1)),ISNUMBER(AG301),AG301&lt;=T301),AS301,0),IF(AND(NOT(AND(AO301=1,AN301&lt;&gt;1)),ISNUMBER(AH301),AH301&lt;=T301),AT301,0),IF(AND(NOT(AND(AO301=1,AN301&lt;&gt;1)),ISNUMBER(AI301),AI301&lt;=T301),AU301,0),IF(AND(ISNUMBER(AJ301),AJ301&lt;=T301),AV301,0))&lt;=0,"",IF(AND(IF(AND(NOT(AND(AO301=1,AN301&lt;&gt;1)),ISNUMBER(AG301),AG301&lt;=T301),AS301,0)&gt;0,IF(AND(NOT(AND(AO301=1,AN301&lt;&gt;1)),ISNUMBER(AG301),AG301&lt;=T301),AS301,0)=MAX(IF(AND(NOT(AND(AO301=1,AN301&lt;&gt;1)),ISNUMBER(AG301),AG301&lt;=T301),AS301,0),IF(AND(NOT(AND(AO301=1,AN301&lt;&gt;1)),ISNUMBER(AH301),AH301&lt;=T301),AT301,0),IF(AND(NOT(AND(AO301=1,AN301&lt;&gt;1)),ISNUMBER(AI301),AI301&lt;=T301),AU301,0),IF(AND(ISNUMBER(AJ301),AJ301&lt;=T301),AV301,0))),"SW",IF(AND(IF(AND(NOT(AND(AO301=1,AN301&lt;&gt;1)),ISNUMBER(AH301),AH301&lt;=T301),AT301,0)&gt;0,IF(AND(NOT(AND(AO301=1,AN301&lt;&gt;1)),ISNUMBER(AH301),AH301&lt;=T301),AT301,0)=MAX(IF(AND(NOT(AND(AO301=1,AN301&lt;&gt;1)),ISNUMBER(AG301),AG301&lt;=T301),AS301,0),IF(AND(NOT(AND(AO301=1,AN301&lt;&gt;1)),ISNUMBER(AH301),AH301&lt;=T301),AT301,0),IF(AND(NOT(AND(AO301=1,AN301&lt;&gt;1)),ISNUMBER(AI301),AI301&lt;=T301),AU301,0),IF(AND(ISNUMBER(AJ301),AJ301&lt;=T301),AV301,0))),"AB",IF(AND(IF(AND(NOT(AND(AO301=1,AN301&lt;&gt;1)),ISNUMBER(AI301),AI301&lt;=T301),AU301,0)&gt;0,IF(AND(NOT(AND(AO301=1,AN301&lt;&gt;1)),ISNUMBER(AI301),AI301&lt;=T301),AU301,0)=MAX(IF(AND(NOT(AND(AO301=1,AN301&lt;&gt;1)),ISNUMBER(AG301),AG301&lt;=T301),AS301,0),IF(AND(NOT(AND(AO301=1,AN301&lt;&gt;1)),ISNUMBER(AH301),AH301&lt;=T301),AT301,0),IF(AND(NOT(AND(AO301=1,AN301&lt;&gt;1)),ISNUMBER(AI301),AI301&lt;=T301),AU301,0),IF(AND(ISNUMBER(AJ301),AJ301&lt;=T301),AV301,0))),"SC","Mag")))))))</f>
        <v/>
      </c>
    </row>
    <row r="302" customFormat="false" ht="15" hidden="false" customHeight="false" outlineLevel="0" collapsed="false">
      <c r="A302" s="26" t="n">
        <v>297</v>
      </c>
      <c r="B302" s="27" t="n">
        <f aca="false">A302*10/60</f>
        <v>49.5</v>
      </c>
      <c r="C302" s="21" t="n">
        <f aca="false">X301</f>
        <v>18.6730249835055</v>
      </c>
      <c r="D302" s="27" t="n">
        <f aca="false">D301+W301</f>
        <v>0</v>
      </c>
      <c r="E302" s="26" t="n">
        <f aca="false">E301+IF(U301="SW",1,0)</f>
        <v>12</v>
      </c>
      <c r="F302" s="26" t="n">
        <f aca="false">F301+IF(U301="AB",1,0)</f>
        <v>10</v>
      </c>
      <c r="G302" s="26" t="n">
        <f aca="false">G301+IF(U301="SC",1,0)</f>
        <v>7</v>
      </c>
      <c r="H302" s="26" t="n">
        <f aca="false">H301+IF(U301="Mag",1,0)</f>
        <v>5</v>
      </c>
      <c r="I302" s="26" t="n">
        <f aca="false">MAX(I301,IF(U301="OR",1,0))</f>
        <v>1</v>
      </c>
      <c r="J302" s="26" t="n">
        <f aca="false">MAX(J301,IF(U301="HP",1,0))</f>
        <v>1</v>
      </c>
      <c r="K302" s="26" t="n">
        <f aca="false">MAX(K301,IF(U301="FP",1,0))</f>
        <v>1</v>
      </c>
      <c r="L302" s="26" t="n">
        <f aca="false">MAX(L301,IF(U301="transition",1,0))</f>
        <v>1</v>
      </c>
      <c r="M302" s="28" t="n">
        <f aca="false">(Parameters!$B$9+(IF(E302=0,0,(Upgrades!$J$6+E302*Upgrades!$K$6)*POWER(Upgrades!$L$6,E302)))*(IF(Upgrades!$T$7="Solar Wind",POWER(Upgrades!$U$7,F302),1)*IF(Upgrades!$T$8="Solar Wind",POWER(Upgrades!$U$8,G302),1)*IF(Upgrades!$T$9="Solar Wind",POWER(Upgrades!$U$9,H302),1)*IF(Upgrades!$T$10="Solar Wind",POWER(Upgrades!$U$10,I302),1)*IF(Upgrades!$T$11="Solar Wind",POWER(Upgrades!$U$11,J302),1)*IF(Upgrades!$T$12="Solar Wind",POWER(Upgrades!$U$12,K302),1))+(IF(F302=0,0,(Upgrades!$J$7+F302*Upgrades!$K$7)*POWER(Upgrades!$L$7,F302)))*(IF(Upgrades!$T$6="Asteroid Belt",POWER(Upgrades!$U$6,E302),1)*IF(Upgrades!$T$8="Asteroid Belt",POWER(Upgrades!$U$8,G302),1)*IF(Upgrades!$T$9="Asteroid Belt",POWER(Upgrades!$U$9,H302),1)*IF(Upgrades!$T$10="Asteroid Belt",POWER(Upgrades!$U$10,I302),1)*IF(Upgrades!$T$11="Asteroid Belt",POWER(Upgrades!$U$11,J302),1)*IF(Upgrades!$T$12="Asteroid Belt",POWER(Upgrades!$U$12,K302),1))+(IF(G302=0,0,(Upgrades!$J$8+G302*Upgrades!$K$8)*POWER(Upgrades!$L$8,G302)))*(IF(Upgrades!$T$6="Stellar Coupling",POWER(Upgrades!$U$6,E302),1)*IF(Upgrades!$T$7="Stellar Coupling",POWER(Upgrades!$U$7,F302),1)*IF(Upgrades!$T$9="Stellar Coupling",POWER(Upgrades!$U$9,H302),1)*IF(Upgrades!$T$10="Stellar Coupling",POWER(Upgrades!$U$10,I302),1)*IF(Upgrades!$T$11="Stellar Coupling",POWER(Upgrades!$U$11,J302),1)*IF(Upgrades!$T$12="Stellar Coupling",POWER(Upgrades!$U$12,K302),1))+(IF(H302=0,0,(Upgrades!$J$9+H302*Upgrades!$K$9)*POWER(Upgrades!$L$9,H302)))*(IF(Upgrades!$T$6="Magnetosphere",POWER(Upgrades!$U$6,E302),1)*IF(Upgrades!$T$7="Magnetosphere",POWER(Upgrades!$U$7,F302),1)*IF(Upgrades!$T$8="Magnetosphere",POWER(Upgrades!$U$8,G302),1)*IF(Upgrades!$T$10="Magnetosphere",POWER(Upgrades!$U$10,I302),1)*IF(Upgrades!$T$11="Magnetosphere",POWER(Upgrades!$U$11,J302),1)*IF(Upgrades!$T$12="Magnetosphere",POWER(Upgrades!$U$12,K302),1))+(IF(I302=0,0,(Upgrades!$J$10+I302*Upgrades!$K$10)*POWER(Upgrades!$L$10,I302)))*(IF(Upgrades!$T$6="Orbital Resonance",POWER(Upgrades!$U$6,E302),1)*IF(Upgrades!$T$7="Orbital Resonance",POWER(Upgrades!$U$7,F302),1)*IF(Upgrades!$T$8="Orbital Resonance",POWER(Upgrades!$U$8,G302),1)*IF(Upgrades!$T$9="Orbital Resonance",POWER(Upgrades!$U$9,H302),1)*IF(Upgrades!$T$11="Orbital Resonance",POWER(Upgrades!$U$11,J302),1)*IF(Upgrades!$T$12="Orbital Resonance",POWER(Upgrades!$U$12,K302),1))+(IF(J302=0,0,(Upgrades!$J$11+J302*Upgrades!$K$11)*POWER(Upgrades!$L$11,J302)))*(IF(Upgrades!$T$6="Heliopause",POWER(Upgrades!$U$6,E302),1)*IF(Upgrades!$T$7="Heliopause",POWER(Upgrades!$U$7,F302),1)*IF(Upgrades!$T$8="Heliopause",POWER(Upgrades!$U$8,G302),1)*IF(Upgrades!$T$9="Heliopause",POWER(Upgrades!$U$9,H302),1)*IF(Upgrades!$T$10="Heliopause",POWER(Upgrades!$U$10,I302),1)*IF(Upgrades!$T$12="Heliopause",POWER(Upgrades!$U$12,K302),1))+(IF(K302=0,0,(Upgrades!$J$12+K302*Upgrades!$K$12)*POWER(Upgrades!$L$12,K302)))*(IF(Upgrades!$T$6="First Photons",POWER(Upgrades!$U$6,E302),1)*IF(Upgrades!$T$7="First Photons",POWER(Upgrades!$U$7,F302),1)*IF(Upgrades!$T$8="First Photons",POWER(Upgrades!$U$8,G302),1)*IF(Upgrades!$T$9="First Photons",POWER(Upgrades!$U$9,H302),1)*IF(Upgrades!$T$10="First Photons",POWER(Upgrades!$U$10,I302),1)*IF(Upgrades!$T$11="First Photons",POWER(Upgrades!$U$11,J302),1)))*POWER(Upgrades!$Q$6,E302)*POWER(Upgrades!$Q$7,F302)*POWER(Upgrades!$Q$8,G302)*POWER(Upgrades!$Q$9,H302)*POWER(Upgrades!$Q$10,I302)*POWER(Upgrades!$Q$11,J302)*POWER(Upgrades!$Q$12,K302)</f>
        <v>5.61</v>
      </c>
      <c r="N302" s="28" t="n">
        <f aca="false">((IF(E302=0,0,(Upgrades!$G$6+E302*Upgrades!$H$6)*POWER(Upgrades!$I$6,E302)))*(IF(Upgrades!$T$7="Solar Wind",POWER(Upgrades!$U$7,F302),1)*IF(Upgrades!$T$8="Solar Wind",POWER(Upgrades!$U$8,G302),1)*IF(Upgrades!$T$9="Solar Wind",POWER(Upgrades!$U$9,H302),1)*IF(Upgrades!$T$10="Solar Wind",POWER(Upgrades!$U$10,I302),1)*IF(Upgrades!$T$11="Solar Wind",POWER(Upgrades!$U$11,J302),1)*IF(Upgrades!$T$12="Solar Wind",POWER(Upgrades!$U$12,K302),1))+(IF(F302=0,0,(Upgrades!$G$7+F302*Upgrades!$H$7)*POWER(Upgrades!$I$7,F302)))*(IF(Upgrades!$T$6="Asteroid Belt",POWER(Upgrades!$U$6,E302),1)*IF(Upgrades!$T$8="Asteroid Belt",POWER(Upgrades!$U$8,G302),1)*IF(Upgrades!$T$9="Asteroid Belt",POWER(Upgrades!$U$9,H302),1)*IF(Upgrades!$T$10="Asteroid Belt",POWER(Upgrades!$U$10,I302),1)*IF(Upgrades!$T$11="Asteroid Belt",POWER(Upgrades!$U$11,J302),1)*IF(Upgrades!$T$12="Asteroid Belt",POWER(Upgrades!$U$12,K302),1))+(IF(G302=0,0,(Upgrades!$G$8+G302*Upgrades!$H$8)*POWER(Upgrades!$I$8,G302)))*(IF(Upgrades!$T$6="Stellar Coupling",POWER(Upgrades!$U$6,E302),1)*IF(Upgrades!$T$7="Stellar Coupling",POWER(Upgrades!$U$7,F302),1)*IF(Upgrades!$T$9="Stellar Coupling",POWER(Upgrades!$U$9,H302),1)*IF(Upgrades!$T$10="Stellar Coupling",POWER(Upgrades!$U$10,I302),1)*IF(Upgrades!$T$11="Stellar Coupling",POWER(Upgrades!$U$11,J302),1)*IF(Upgrades!$T$12="Stellar Coupling",POWER(Upgrades!$U$12,K302),1))+(IF(H302=0,0,(Upgrades!$G$9+H302*Upgrades!$H$9)*POWER(Upgrades!$I$9,H302)))*(IF(Upgrades!$T$6="Magnetosphere",POWER(Upgrades!$U$6,E302),1)*IF(Upgrades!$T$7="Magnetosphere",POWER(Upgrades!$U$7,F302),1)*IF(Upgrades!$T$8="Magnetosphere",POWER(Upgrades!$U$8,G302),1)*IF(Upgrades!$T$10="Magnetosphere",POWER(Upgrades!$U$10,I302),1)*IF(Upgrades!$T$11="Magnetosphere",POWER(Upgrades!$U$11,J302),1)*IF(Upgrades!$T$12="Magnetosphere",POWER(Upgrades!$U$12,K302),1))+(IF(I302=0,0,(Upgrades!$G$10+I302*Upgrades!$H$10)*POWER(Upgrades!$I$10,I302)))*(IF(Upgrades!$T$6="Orbital Resonance",POWER(Upgrades!$U$6,E302),1)*IF(Upgrades!$T$7="Orbital Resonance",POWER(Upgrades!$U$7,F302),1)*IF(Upgrades!$T$8="Orbital Resonance",POWER(Upgrades!$U$8,G302),1)*IF(Upgrades!$T$9="Orbital Resonance",POWER(Upgrades!$U$9,H302),1)*IF(Upgrades!$T$11="Orbital Resonance",POWER(Upgrades!$U$11,J302),1)*IF(Upgrades!$T$12="Orbital Resonance",POWER(Upgrades!$U$12,K302),1))+(IF(J302=0,0,(Upgrades!$G$11+J302*Upgrades!$H$11)*POWER(Upgrades!$I$11,J302)))*(IF(Upgrades!$T$6="Heliopause",POWER(Upgrades!$U$6,E302),1)*IF(Upgrades!$T$7="Heliopause",POWER(Upgrades!$U$7,F302),1)*IF(Upgrades!$T$8="Heliopause",POWER(Upgrades!$U$8,G302),1)*IF(Upgrades!$T$9="Heliopause",POWER(Upgrades!$U$9,H302),1)*IF(Upgrades!$T$10="Heliopause",POWER(Upgrades!$U$10,I302),1)*IF(Upgrades!$T$12="Heliopause",POWER(Upgrades!$U$12,K302),1))+(IF(K302=0,0,(Upgrades!$G$12+K302*Upgrades!$H$12)*POWER(Upgrades!$I$12,K302)))*(IF(Upgrades!$T$6="First Photons",POWER(Upgrades!$U$6,E302),1)*IF(Upgrades!$T$7="First Photons",POWER(Upgrades!$U$7,F302),1)*IF(Upgrades!$T$8="First Photons",POWER(Upgrades!$U$8,G302),1)*IF(Upgrades!$T$9="First Photons",POWER(Upgrades!$U$9,H302),1)*IF(Upgrades!$T$10="First Photons",POWER(Upgrades!$U$10,I302),1)*IF(Upgrades!$T$11="First Photons",POWER(Upgrades!$U$11,J302),1)))*POWER(Upgrades!$P$6,E302)*POWER(Upgrades!$P$7,F302)*POWER(Upgrades!$P$8,G302)*POWER(Upgrades!$P$9,H302)*POWER(Upgrades!$P$10,I302)*POWER(Upgrades!$P$11,J302)*POWER(Upgrades!$P$12,K302)</f>
        <v>11.2</v>
      </c>
      <c r="O302" s="28" t="n">
        <f aca="false">((IF(E302=0,0,(Upgrades!$M$6+E302*Upgrades!$N$6)*POWER(Upgrades!$O$6,E302)))*(IF(Upgrades!$T$7="Solar Wind",POWER(Upgrades!$U$7,F302),1)*IF(Upgrades!$T$8="Solar Wind",POWER(Upgrades!$U$8,G302),1)*IF(Upgrades!$T$9="Solar Wind",POWER(Upgrades!$U$9,H302),1)*IF(Upgrades!$T$10="Solar Wind",POWER(Upgrades!$U$10,I302),1)*IF(Upgrades!$T$11="Solar Wind",POWER(Upgrades!$U$11,J302),1)*IF(Upgrades!$T$12="Solar Wind",POWER(Upgrades!$U$12,K302),1))+(IF(F302=0,0,(Upgrades!$M$7+F302*Upgrades!$N$7)*POWER(Upgrades!$O$7,F302)))*(IF(Upgrades!$T$6="Asteroid Belt",POWER(Upgrades!$U$6,E302),1)*IF(Upgrades!$T$8="Asteroid Belt",POWER(Upgrades!$U$8,G302),1)*IF(Upgrades!$T$9="Asteroid Belt",POWER(Upgrades!$U$9,H302),1)*IF(Upgrades!$T$10="Asteroid Belt",POWER(Upgrades!$U$10,I302),1)*IF(Upgrades!$T$11="Asteroid Belt",POWER(Upgrades!$U$11,J302),1)*IF(Upgrades!$T$12="Asteroid Belt",POWER(Upgrades!$U$12,K302),1))+(IF(G302=0,0,(Upgrades!$M$8+G302*Upgrades!$N$8)*POWER(Upgrades!$O$8,G302)))*(IF(Upgrades!$T$6="Stellar Coupling",POWER(Upgrades!$U$6,E302),1)*IF(Upgrades!$T$7="Stellar Coupling",POWER(Upgrades!$U$7,F302),1)*IF(Upgrades!$T$9="Stellar Coupling",POWER(Upgrades!$U$9,H302),1)*IF(Upgrades!$T$10="Stellar Coupling",POWER(Upgrades!$U$10,I302),1)*IF(Upgrades!$T$11="Stellar Coupling",POWER(Upgrades!$U$11,J302),1)*IF(Upgrades!$T$12="Stellar Coupling",POWER(Upgrades!$U$12,K302),1))+(IF(H302=0,0,(Upgrades!$M$9+H302*Upgrades!$N$9)*POWER(Upgrades!$O$9,H302)))*(IF(Upgrades!$T$6="Magnetosphere",POWER(Upgrades!$U$6,E302),1)*IF(Upgrades!$T$7="Magnetosphere",POWER(Upgrades!$U$7,F302),1)*IF(Upgrades!$T$8="Magnetosphere",POWER(Upgrades!$U$8,G302),1)*IF(Upgrades!$T$10="Magnetosphere",POWER(Upgrades!$U$10,I302),1)*IF(Upgrades!$T$11="Magnetosphere",POWER(Upgrades!$U$11,J302),1)*IF(Upgrades!$T$12="Magnetosphere",POWER(Upgrades!$U$12,K302),1))+(IF(I302=0,0,(Upgrades!$M$10+I302*Upgrades!$N$10)*POWER(Upgrades!$O$10,I302)))*(IF(Upgrades!$T$6="Orbital Resonance",POWER(Upgrades!$U$6,E302),1)*IF(Upgrades!$T$7="Orbital Resonance",POWER(Upgrades!$U$7,F302),1)*IF(Upgrades!$T$8="Orbital Resonance",POWER(Upgrades!$U$8,G302),1)*IF(Upgrades!$T$9="Orbital Resonance",POWER(Upgrades!$U$9,H302),1)*IF(Upgrades!$T$11="Orbital Resonance",POWER(Upgrades!$U$11,J302),1)*IF(Upgrades!$T$12="Orbital Resonance",POWER(Upgrades!$U$12,K302),1))+(IF(J302=0,0,(Upgrades!$M$11+J302*Upgrades!$N$11)*POWER(Upgrades!$O$11,J302)))*(IF(Upgrades!$T$6="Heliopause",POWER(Upgrades!$U$6,E302),1)*IF(Upgrades!$T$7="Heliopause",POWER(Upgrades!$U$7,F302),1)*IF(Upgrades!$T$8="Heliopause",POWER(Upgrades!$U$8,G302),1)*IF(Upgrades!$T$9="Heliopause",POWER(Upgrades!$U$9,H302),1)*IF(Upgrades!$T$10="Heliopause",POWER(Upgrades!$U$10,I302),1)*IF(Upgrades!$T$12="Heliopause",POWER(Upgrades!$U$12,K302),1))+(IF(K302=0,0,(Upgrades!$M$12+K302*Upgrades!$N$12)*POWER(Upgrades!$O$12,K302)))*(IF(Upgrades!$T$6="First Photons",POWER(Upgrades!$U$6,E302),1)*IF(Upgrades!$T$7="First Photons",POWER(Upgrades!$U$7,F302),1)*IF(Upgrades!$T$8="First Photons",POWER(Upgrades!$U$8,G302),1)*IF(Upgrades!$T$9="First Photons",POWER(Upgrades!$U$9,H302),1)*IF(Upgrades!$T$10="First Photons",POWER(Upgrades!$U$10,I302),1)*IF(Upgrades!$T$11="First Photons",POWER(Upgrades!$U$11,J302),1)))*POWER(Upgrades!$R$6,E302)*POWER(Upgrades!$R$7,F302)*POWER(Upgrades!$R$8,G302)*POWER(Upgrades!$R$9,H302)*POWER(Upgrades!$R$10,I302)*POWER(Upgrades!$R$11,J302)*POWER(Upgrades!$R$12,K302)</f>
        <v>0</v>
      </c>
      <c r="P302" s="27" t="n">
        <f aca="false">IF(L302=1,0,M302*Parameters!$B$10/60*Parameters!$B$11*10)</f>
        <v>0</v>
      </c>
      <c r="Q302" s="27" t="n">
        <f aca="false">IF(L302=1,0,O302*M302*10)</f>
        <v>0</v>
      </c>
      <c r="R302" s="27" t="n">
        <f aca="false">IF(L302=1,0,N302*10)</f>
        <v>0</v>
      </c>
      <c r="S302" s="27" t="n">
        <f aca="false">P302+Q302+R302</f>
        <v>0</v>
      </c>
      <c r="T302" s="21" t="n">
        <f aca="false">C302+S302</f>
        <v>18.6730249835055</v>
      </c>
      <c r="U302" s="34" t="str">
        <f aca="false">AX302</f>
        <v/>
      </c>
      <c r="V302" s="21" t="n">
        <f aca="false">IF(U302="",0,IF(U302="transition",0,IF(U302="SW",AG302,IF(U302="AB",AH302,IF(U302="SC",AI302,IF(U302="Mag",AJ302,IF(U302="OR",AK302,IF(U302="HP",AL302,IF(U302="FP",AM302,0)))))))))</f>
        <v>0</v>
      </c>
      <c r="W302" s="27" t="n">
        <f aca="false">IF(U302="OR",Upgrades!$F$10,IF(U302="HP",Upgrades!$F$11,IF(U302="transition",-Parameters!$B$18,0)))</f>
        <v>0</v>
      </c>
      <c r="X302" s="21" t="n">
        <f aca="false">T302-V302</f>
        <v>18.6730249835055</v>
      </c>
      <c r="Y302" s="30" t="n">
        <f aca="false">M302*Parameters!$B$10/60*Parameters!$B$11+O302*M302+N302</f>
        <v>20.55</v>
      </c>
      <c r="Z302" s="35" t="str">
        <f aca="false">IF(U302="transition","→ Tier 2 (Stellar Neighborhood)",IF(U302="FP","First Photons — light begins, system quickens",IF(U302="HP","Heliopause acquired",IF(U302="OR","Orbital Resonance — passive multiplier active",IF(AND(AO302=1,L302=0,AN302&lt;&gt;1),"Cohesion ready (waiting on completionist upgrades)","")))))</f>
        <v/>
      </c>
      <c r="AA302" s="27" t="n">
        <f aca="false">(IF(E302=0,0,(Upgrades!$G$6+E302*Upgrades!$H$6)*POWER(Upgrades!$I$6,E302)))*(IF(Upgrades!$T$7="Solar Wind",POWER(Upgrades!$U$7,F302),1)*IF(Upgrades!$T$8="Solar Wind",POWER(Upgrades!$U$8,G302),1)*IF(Upgrades!$T$9="Solar Wind",POWER(Upgrades!$U$9,H302),1)*IF(Upgrades!$T$10="Solar Wind",POWER(Upgrades!$U$10,I302),1)*IF(Upgrades!$T$11="Solar Wind",POWER(Upgrades!$U$11,J302),1)*IF(Upgrades!$T$12="Solar Wind",POWER(Upgrades!$U$12,K302),1))*POWER(Upgrades!$P$6,E302)*POWER(Upgrades!$P$7,F302)*POWER(Upgrades!$P$8,G302)*POWER(Upgrades!$P$9,H302)*POWER(Upgrades!$P$10,I302)*POWER(Upgrades!$P$11,J302)*POWER(Upgrades!$P$12,K302)*60</f>
        <v>72</v>
      </c>
      <c r="AB302" s="27" t="n">
        <f aca="false">(IF(F302=0,0,(Upgrades!$G$7+F302*Upgrades!$H$7)*POWER(Upgrades!$I$7,F302)))*(IF(Upgrades!$T$6="Asteroid Belt",POWER(Upgrades!$U$6,E302),1)*IF(Upgrades!$T$8="Asteroid Belt",POWER(Upgrades!$U$8,G302),1)*IF(Upgrades!$T$9="Asteroid Belt",POWER(Upgrades!$U$9,H302),1)*IF(Upgrades!$T$10="Asteroid Belt",POWER(Upgrades!$U$10,I302),1)*IF(Upgrades!$T$11="Asteroid Belt",POWER(Upgrades!$U$11,J302),1)*IF(Upgrades!$T$12="Asteroid Belt",POWER(Upgrades!$U$12,K302),1))*POWER(Upgrades!$P$6,E302)*POWER(Upgrades!$P$7,F302)*POWER(Upgrades!$P$8,G302)*POWER(Upgrades!$P$9,H302)*POWER(Upgrades!$P$10,I302)*POWER(Upgrades!$P$11,J302)*POWER(Upgrades!$P$12,K302)*60</f>
        <v>150</v>
      </c>
      <c r="AC302" s="27" t="n">
        <f aca="false">(IF(G302=0,0,(Upgrades!$J$8+G302*Upgrades!$K$8)*POWER(Upgrades!$L$8,G302)))*(IF(Upgrades!$T$6="Stellar Coupling",POWER(Upgrades!$U$6,E302),1)*IF(Upgrades!$T$7="Stellar Coupling",POWER(Upgrades!$U$7,F302),1)*IF(Upgrades!$T$9="Stellar Coupling",POWER(Upgrades!$U$9,H302),1)*IF(Upgrades!$T$10="Stellar Coupling",POWER(Upgrades!$U$10,I302),1)*IF(Upgrades!$T$11="Stellar Coupling",POWER(Upgrades!$U$11,J302),1)*IF(Upgrades!$T$12="Stellar Coupling",POWER(Upgrades!$U$12,K302),1))*POWER(Upgrades!$Q$6,E302)*POWER(Upgrades!$Q$7,F302)*POWER(Upgrades!$Q$8,G302)*POWER(Upgrades!$Q$9,H302)*POWER(Upgrades!$Q$10,I302)*POWER(Upgrades!$Q$11,J302)*POWER(Upgrades!$Q$12,K302)*Parameters!$B$10*Parameters!$B$11</f>
        <v>441</v>
      </c>
      <c r="AD302" s="27" t="n">
        <f aca="false">(IF(H302=0,0,(Upgrades!$G$9+H302*Upgrades!$H$9)*POWER(Upgrades!$I$9,H302)))*(IF(Upgrades!$T$6="Magnetosphere",POWER(Upgrades!$U$6,E302),1)*IF(Upgrades!$T$7="Magnetosphere",POWER(Upgrades!$U$7,F302),1)*IF(Upgrades!$T$8="Magnetosphere",POWER(Upgrades!$U$8,G302),1)*IF(Upgrades!$T$10="Magnetosphere",POWER(Upgrades!$U$10,I302),1)*IF(Upgrades!$T$11="Magnetosphere",POWER(Upgrades!$U$11,J302),1)*IF(Upgrades!$T$12="Magnetosphere",POWER(Upgrades!$U$12,K302),1))*POWER(Upgrades!$P$6,E302)*POWER(Upgrades!$P$7,F302)*POWER(Upgrades!$P$8,G302)*POWER(Upgrades!$P$9,H302)*POWER(Upgrades!$P$10,I302)*POWER(Upgrades!$P$11,J302)*POWER(Upgrades!$P$12,K302)*60</f>
        <v>375</v>
      </c>
      <c r="AE302" s="27" t="n">
        <f aca="false">(IF(K302=0,0,(Upgrades!$G$12+K302*Upgrades!$H$12)*POWER(Upgrades!$I$12,K302)))*(IF(Upgrades!$T$6="First Photons",POWER(Upgrades!$U$6,E302),1)*IF(Upgrades!$T$7="First Photons",POWER(Upgrades!$U$7,F302),1)*IF(Upgrades!$T$8="First Photons",POWER(Upgrades!$U$8,G302),1)*IF(Upgrades!$T$9="First Photons",POWER(Upgrades!$U$9,H302),1)*IF(Upgrades!$T$10="First Photons",POWER(Upgrades!$U$10,I302),1)*IF(Upgrades!$T$11="First Photons",POWER(Upgrades!$U$11,J302),1))*POWER(Upgrades!$P$6,E302)*POWER(Upgrades!$P$7,F302)*POWER(Upgrades!$P$8,G302)*POWER(Upgrades!$P$9,H302)*POWER(Upgrades!$P$10,I302)*POWER(Upgrades!$P$11,J302)*POWER(Upgrades!$P$12,K302)*60</f>
        <v>75</v>
      </c>
      <c r="AF302" s="27" t="n">
        <f aca="false">Parameters!$B$9*POWER(Upgrades!$Q$6,E302)*POWER(Upgrades!$Q$7,F302)*POWER(Upgrades!$Q$8,G302)*POWER(Upgrades!$Q$9,H302)*POWER(Upgrades!$Q$10,I302)*POWER(Upgrades!$Q$11,J302)*POWER(Upgrades!$Q$12,K302)*(Parameters!$B$10*Parameters!$B$11+O302*60)</f>
        <v>120</v>
      </c>
      <c r="AG302" s="21" t="n">
        <f aca="false">IF(E302&gt;=Upgrades!$E$6,"",Upgrades!$C$6*POWER(Upgrades!$D$6,E302))</f>
        <v>37.4517507383159</v>
      </c>
      <c r="AH302" s="21" t="n">
        <f aca="false">IF(F302&gt;=Upgrades!$E$7,"",Upgrades!$C$7*POWER(Upgrades!$D$7,F302))</f>
        <v>80.9111547141581</v>
      </c>
      <c r="AI302" s="21" t="n">
        <f aca="false">IF(G302&gt;=Upgrades!$E$8,"",Upgrades!$C$8*POWER(Upgrades!$D$8,G302))</f>
        <v>231.9097088</v>
      </c>
      <c r="AJ302" s="21" t="str">
        <f aca="false">IF(H302&gt;=Upgrades!$E$9,"",Upgrades!$C$9*POWER(Upgrades!$D$9,H302))</f>
        <v/>
      </c>
      <c r="AK302" s="21" t="str">
        <f aca="false">IF(I302&gt;=Upgrades!$E$10,"",Upgrades!$C$10*POWER(Upgrades!$D$10,I302))</f>
        <v/>
      </c>
      <c r="AL302" s="21" t="str">
        <f aca="false">IF(J302&gt;=Upgrades!$E$11,"",Upgrades!$C$11*POWER(Upgrades!$D$11,J302))</f>
        <v/>
      </c>
      <c r="AM302" s="21" t="str">
        <f aca="false">IF(K302&gt;=Upgrades!$E$12,"",Upgrades!$C$12*POWER(Upgrades!$D$12,K302))</f>
        <v/>
      </c>
      <c r="AN302" s="26" t="str">
        <f aca="false">IF(AND(D302&gt;=Parameters!$B$18,(H302&gt;=Upgrades!$E$9)*(K302&gt;=Upgrades!$E$12)=1,L302=0),1,"")</f>
        <v/>
      </c>
      <c r="AO302" s="26" t="str">
        <f aca="false">IF(AND(D302&gt;=Parameters!$B$18,L302=0),1,"")</f>
        <v/>
      </c>
      <c r="AP302" s="21" t="n">
        <f aca="false">MIN(IF(ISNUMBER(AK302),AK302,9000000000000000),IF(ISNUMBER(AL302),AL302,9000000000000000),IF(ISNUMBER(AM302),AM302,9000000000000000))</f>
        <v>9000000000000000</v>
      </c>
      <c r="AQ302" s="21" t="n">
        <f aca="false">MIN(IF(ISNUMBER(AG302),AG302,9000000000000000),IF(ISNUMBER(AH302),AH302,9000000000000000),IF(ISNUMBER(AI302),AI302,9000000000000000),IF(ISNUMBER(AJ302),AJ302,9000000000000000))</f>
        <v>37.4517507383159</v>
      </c>
      <c r="AR302" s="32" t="b">
        <f aca="false">IF(AW302&gt;Parameters!$B$21*(MAX(IF(AND(NOT(AND(AO302=1,AN302&lt;&gt;1)),ISNUMBER(AG302),AG302&lt;=T302),AS302,0),IF(AND(NOT(AND(AO302=1,AN302&lt;&gt;1)),ISNUMBER(AH302),AH302&lt;=T302),AT302,0),IF(AND(NOT(AND(AO302=1,AN302&lt;&gt;1)),ISNUMBER(AI302),AI302&lt;=T302),AU302,0),IF(AND(ISNUMBER(AJ302),AJ302&lt;=T302),AV302,0))),TRUE(),FALSE())</f>
        <v>1</v>
      </c>
      <c r="AS302" s="33" t="n">
        <f aca="false">IFERROR(Upgrades!$H$6*(POWER(Upgrades!$P$6,E302)*POWER(Upgrades!$P$7,F302)*POWER(Upgrades!$P$8,G302)*POWER(Upgrades!$P$9,H302)*POWER(Upgrades!$P$10,I302)*POWER(Upgrades!$P$11,J302)*POWER(Upgrades!$P$12,K302))*(IF(Upgrades!$T$7="Solar Wind",POWER(Upgrades!$U$7,F302),1)*IF(Upgrades!$T$8="Solar Wind",POWER(Upgrades!$U$8,G302),1)*IF(Upgrades!$T$9="Solar Wind",POWER(Upgrades!$U$9,H302),1)*IF(Upgrades!$T$10="Solar Wind",POWER(Upgrades!$U$10,I302),1)*IF(Upgrades!$T$11="Solar Wind",POWER(Upgrades!$U$11,J302),1)*IF(Upgrades!$T$12="Solar Wind",POWER(Upgrades!$U$12,K302),1))/AG302,0)</f>
        <v>0.0026701021455238</v>
      </c>
      <c r="AT302" s="33" t="n">
        <f aca="false">IFERROR(Upgrades!$H$7*(POWER(Upgrades!$P$6,E302)*POWER(Upgrades!$P$7,F302)*POWER(Upgrades!$P$8,G302)*POWER(Upgrades!$P$9,H302)*POWER(Upgrades!$P$10,I302)*POWER(Upgrades!$P$11,J302)*POWER(Upgrades!$P$12,K302))*(IF(Upgrades!$T$6="Asteroid Belt",POWER(Upgrades!$U$6,E302),1)*IF(Upgrades!$T$8="Asteroid Belt",POWER(Upgrades!$U$8,G302),1)*IF(Upgrades!$T$9="Asteroid Belt",POWER(Upgrades!$U$9,H302),1)*IF(Upgrades!$T$10="Asteroid Belt",POWER(Upgrades!$U$10,I302),1)*IF(Upgrades!$T$11="Asteroid Belt",POWER(Upgrades!$U$11,J302),1)*IF(Upgrades!$T$12="Asteroid Belt",POWER(Upgrades!$U$12,K302),1))/AH302,0)</f>
        <v>0.00308980882652332</v>
      </c>
      <c r="AU302" s="33" t="n">
        <f aca="false">IFERROR(Upgrades!$K$8*(POWER(Upgrades!$Q$6,E302)*POWER(Upgrades!$Q$7,F302)*POWER(Upgrades!$Q$8,G302)*POWER(Upgrades!$Q$9,H302)*POWER(Upgrades!$Q$10,I302)*POWER(Upgrades!$Q$11,J302)*POWER(Upgrades!$Q$12,K302))*(IF(Upgrades!$T$6="Stellar Coupling",POWER(Upgrades!$U$6,E302),1)*IF(Upgrades!$T$7="Stellar Coupling",POWER(Upgrades!$U$7,F302),1)*IF(Upgrades!$T$9="Stellar Coupling",POWER(Upgrades!$U$9,H302),1)*IF(Upgrades!$T$10="Stellar Coupling",POWER(Upgrades!$U$10,I302),1)*IF(Upgrades!$T$11="Stellar Coupling",POWER(Upgrades!$U$11,J302),1)*IF(Upgrades!$T$12="Stellar Coupling",POWER(Upgrades!$U$12,K302),1))*Parameters!$B$10*Parameters!$B$11/60/AI302,0)</f>
        <v>0.00452762415783776</v>
      </c>
      <c r="AV302" s="33" t="n">
        <f aca="false">IFERROR(Upgrades!$H$9*(POWER(Upgrades!$P$6,E302)*POWER(Upgrades!$P$7,F302)*POWER(Upgrades!$P$8,G302)*POWER(Upgrades!$P$9,H302)*POWER(Upgrades!$P$10,I302)*POWER(Upgrades!$P$11,J302)*POWER(Upgrades!$P$12,K302))*(IF(Upgrades!$T$6="Magnetosphere",POWER(Upgrades!$U$6,E302),1)*IF(Upgrades!$T$7="Magnetosphere",POWER(Upgrades!$U$7,F302),1)*IF(Upgrades!$T$8="Magnetosphere",POWER(Upgrades!$U$8,G302),1)*IF(Upgrades!$T$10="Magnetosphere",POWER(Upgrades!$U$10,I302),1)*IF(Upgrades!$T$11="Magnetosphere",POWER(Upgrades!$U$11,J302),1)*IF(Upgrades!$T$12="Magnetosphere",POWER(Upgrades!$U$12,K302),1))/AJ302,0)</f>
        <v>0</v>
      </c>
      <c r="AW302" s="33" t="n">
        <f aca="false">MAX(IF(I302&gt;0,0,IFERROR(0.25*N302/Upgrades!$C$10,0)),IF(J302&gt;0,0,IFERROR(0.5*((IF(G302=0,0,(Upgrades!$J$8+G302*Upgrades!$K$8)*POWER(Upgrades!$L$8,G302)))*(IF(Upgrades!$T$6="Stellar Coupling",POWER(Upgrades!$U$6,E302),1)*IF(Upgrades!$T$7="Stellar Coupling",POWER(Upgrades!$U$7,F302),1)*IF(Upgrades!$T$9="Stellar Coupling",POWER(Upgrades!$U$9,H302),1)*IF(Upgrades!$T$10="Stellar Coupling",POWER(Upgrades!$U$10,I302),1)*IF(Upgrades!$T$11="Stellar Coupling",POWER(Upgrades!$U$11,J302),1)*IF(Upgrades!$T$12="Stellar Coupling",POWER(Upgrades!$U$12,K302),1))*(POWER(Upgrades!$Q$6,E302)*POWER(Upgrades!$Q$7,F302)*POWER(Upgrades!$Q$8,G302)*POWER(Upgrades!$Q$9,H302)*POWER(Upgrades!$Q$10,I302)*POWER(Upgrades!$Q$11,J302)*POWER(Upgrades!$Q$12,K302))*Parameters!$B$10*Parameters!$B$11/60)/Upgrades!$C$11,0)),IF(K302&gt;0,0,IFERROR((1*(POWER(Upgrades!$P$6,E302)*POWER(Upgrades!$P$7,F302)*POWER(Upgrades!$P$8,G302)*POWER(Upgrades!$P$9,H302)*POWER(Upgrades!$P$10,I302)*POWER(Upgrades!$P$11,J302)*POWER(Upgrades!$P$12,K302))+0.2*M302*Parameters!$B$10*Parameters!$B$11/60)/Upgrades!$C$12,0)),IF(AND(ISNUMBER(AG302),AG302&gt;T302),AS302,0),IF(AND(ISNUMBER(AH302),AH302&gt;T302),AT302,0),IF(AND(ISNUMBER(AI302),AI302&gt;T302),AU302,0),IF(AND(ISNUMBER(AJ302),AJ302&gt;T302),AV302,0))</f>
        <v>0.00452762415783776</v>
      </c>
      <c r="AX302" s="29" t="str">
        <f aca="false">IF(AN302=1,"transition",IF(MIN(IF(AND(I302=0,ISNUMBER(AK302),AK302&lt;=T302),AK302,9000000000000000),IF(AND(J302=0,ISNUMBER(AL302),AL302&lt;=T302),AL302,9000000000000000),IF(AND(K302=0,ISNUMBER(AM302),AM302&lt;=T302),AM302,9000000000000000))&lt;9000000000000000,IF(AND(AND(I302=0,ISNUMBER(AK302),AK302&lt;=T302),AK302=MIN(IF(AND(I302=0,ISNUMBER(AK302),AK302&lt;=T302),AK302,9000000000000000),IF(AND(J302=0,ISNUMBER(AL302),AL302&lt;=T302),AL302,9000000000000000),IF(AND(K302=0,ISNUMBER(AM302),AM302&lt;=T302),AM302,9000000000000000))),"OR",IF(AND(AND(J302=0,ISNUMBER(AL302),AL302&lt;=T302),AL302=MIN(IF(AND(I302=0,ISNUMBER(AK302),AK302&lt;=T302),AK302,9000000000000000),IF(AND(J302=0,ISNUMBER(AL302),AL302&lt;=T302),AL302,9000000000000000),IF(AND(K302=0,ISNUMBER(AM302),AM302&lt;=T302),AM302,9000000000000000))),"HP","FP")),IF(AR302=TRUE(),"",IF(MAX(IF(AND(NOT(AND(AO302=1,AN302&lt;&gt;1)),ISNUMBER(AG302),AG302&lt;=T302),AS302,0),IF(AND(NOT(AND(AO302=1,AN302&lt;&gt;1)),ISNUMBER(AH302),AH302&lt;=T302),AT302,0),IF(AND(NOT(AND(AO302=1,AN302&lt;&gt;1)),ISNUMBER(AI302),AI302&lt;=T302),AU302,0),IF(AND(ISNUMBER(AJ302),AJ302&lt;=T302),AV302,0))&lt;=0,"",IF(AND(IF(AND(NOT(AND(AO302=1,AN302&lt;&gt;1)),ISNUMBER(AG302),AG302&lt;=T302),AS302,0)&gt;0,IF(AND(NOT(AND(AO302=1,AN302&lt;&gt;1)),ISNUMBER(AG302),AG302&lt;=T302),AS302,0)=MAX(IF(AND(NOT(AND(AO302=1,AN302&lt;&gt;1)),ISNUMBER(AG302),AG302&lt;=T302),AS302,0),IF(AND(NOT(AND(AO302=1,AN302&lt;&gt;1)),ISNUMBER(AH302),AH302&lt;=T302),AT302,0),IF(AND(NOT(AND(AO302=1,AN302&lt;&gt;1)),ISNUMBER(AI302),AI302&lt;=T302),AU302,0),IF(AND(ISNUMBER(AJ302),AJ302&lt;=T302),AV302,0))),"SW",IF(AND(IF(AND(NOT(AND(AO302=1,AN302&lt;&gt;1)),ISNUMBER(AH302),AH302&lt;=T302),AT302,0)&gt;0,IF(AND(NOT(AND(AO302=1,AN302&lt;&gt;1)),ISNUMBER(AH302),AH302&lt;=T302),AT302,0)=MAX(IF(AND(NOT(AND(AO302=1,AN302&lt;&gt;1)),ISNUMBER(AG302),AG302&lt;=T302),AS302,0),IF(AND(NOT(AND(AO302=1,AN302&lt;&gt;1)),ISNUMBER(AH302),AH302&lt;=T302),AT302,0),IF(AND(NOT(AND(AO302=1,AN302&lt;&gt;1)),ISNUMBER(AI302),AI302&lt;=T302),AU302,0),IF(AND(ISNUMBER(AJ302),AJ302&lt;=T302),AV302,0))),"AB",IF(AND(IF(AND(NOT(AND(AO302=1,AN302&lt;&gt;1)),ISNUMBER(AI302),AI302&lt;=T302),AU302,0)&gt;0,IF(AND(NOT(AND(AO302=1,AN302&lt;&gt;1)),ISNUMBER(AI302),AI302&lt;=T302),AU302,0)=MAX(IF(AND(NOT(AND(AO302=1,AN302&lt;&gt;1)),ISNUMBER(AG302),AG302&lt;=T302),AS302,0),IF(AND(NOT(AND(AO302=1,AN302&lt;&gt;1)),ISNUMBER(AH302),AH302&lt;=T302),AT302,0),IF(AND(NOT(AND(AO302=1,AN302&lt;&gt;1)),ISNUMBER(AI302),AI302&lt;=T302),AU302,0),IF(AND(ISNUMBER(AJ302),AJ302&lt;=T302),AV302,0))),"SC","Mag")))))))</f>
        <v/>
      </c>
    </row>
    <row r="303" customFormat="false" ht="15" hidden="false" customHeight="false" outlineLevel="0" collapsed="false">
      <c r="A303" s="26" t="n">
        <v>298</v>
      </c>
      <c r="B303" s="27" t="n">
        <f aca="false">A303*10/60</f>
        <v>49.6666666666667</v>
      </c>
      <c r="C303" s="21" t="n">
        <f aca="false">X302</f>
        <v>18.6730249835055</v>
      </c>
      <c r="D303" s="27" t="n">
        <f aca="false">D302+W302</f>
        <v>0</v>
      </c>
      <c r="E303" s="26" t="n">
        <f aca="false">E302+IF(U302="SW",1,0)</f>
        <v>12</v>
      </c>
      <c r="F303" s="26" t="n">
        <f aca="false">F302+IF(U302="AB",1,0)</f>
        <v>10</v>
      </c>
      <c r="G303" s="26" t="n">
        <f aca="false">G302+IF(U302="SC",1,0)</f>
        <v>7</v>
      </c>
      <c r="H303" s="26" t="n">
        <f aca="false">H302+IF(U302="Mag",1,0)</f>
        <v>5</v>
      </c>
      <c r="I303" s="26" t="n">
        <f aca="false">MAX(I302,IF(U302="OR",1,0))</f>
        <v>1</v>
      </c>
      <c r="J303" s="26" t="n">
        <f aca="false">MAX(J302,IF(U302="HP",1,0))</f>
        <v>1</v>
      </c>
      <c r="K303" s="26" t="n">
        <f aca="false">MAX(K302,IF(U302="FP",1,0))</f>
        <v>1</v>
      </c>
      <c r="L303" s="26" t="n">
        <f aca="false">MAX(L302,IF(U302="transition",1,0))</f>
        <v>1</v>
      </c>
      <c r="M303" s="28" t="n">
        <f aca="false">(Parameters!$B$9+(IF(E303=0,0,(Upgrades!$J$6+E303*Upgrades!$K$6)*POWER(Upgrades!$L$6,E303)))*(IF(Upgrades!$T$7="Solar Wind",POWER(Upgrades!$U$7,F303),1)*IF(Upgrades!$T$8="Solar Wind",POWER(Upgrades!$U$8,G303),1)*IF(Upgrades!$T$9="Solar Wind",POWER(Upgrades!$U$9,H303),1)*IF(Upgrades!$T$10="Solar Wind",POWER(Upgrades!$U$10,I303),1)*IF(Upgrades!$T$11="Solar Wind",POWER(Upgrades!$U$11,J303),1)*IF(Upgrades!$T$12="Solar Wind",POWER(Upgrades!$U$12,K303),1))+(IF(F303=0,0,(Upgrades!$J$7+F303*Upgrades!$K$7)*POWER(Upgrades!$L$7,F303)))*(IF(Upgrades!$T$6="Asteroid Belt",POWER(Upgrades!$U$6,E303),1)*IF(Upgrades!$T$8="Asteroid Belt",POWER(Upgrades!$U$8,G303),1)*IF(Upgrades!$T$9="Asteroid Belt",POWER(Upgrades!$U$9,H303),1)*IF(Upgrades!$T$10="Asteroid Belt",POWER(Upgrades!$U$10,I303),1)*IF(Upgrades!$T$11="Asteroid Belt",POWER(Upgrades!$U$11,J303),1)*IF(Upgrades!$T$12="Asteroid Belt",POWER(Upgrades!$U$12,K303),1))+(IF(G303=0,0,(Upgrades!$J$8+G303*Upgrades!$K$8)*POWER(Upgrades!$L$8,G303)))*(IF(Upgrades!$T$6="Stellar Coupling",POWER(Upgrades!$U$6,E303),1)*IF(Upgrades!$T$7="Stellar Coupling",POWER(Upgrades!$U$7,F303),1)*IF(Upgrades!$T$9="Stellar Coupling",POWER(Upgrades!$U$9,H303),1)*IF(Upgrades!$T$10="Stellar Coupling",POWER(Upgrades!$U$10,I303),1)*IF(Upgrades!$T$11="Stellar Coupling",POWER(Upgrades!$U$11,J303),1)*IF(Upgrades!$T$12="Stellar Coupling",POWER(Upgrades!$U$12,K303),1))+(IF(H303=0,0,(Upgrades!$J$9+H303*Upgrades!$K$9)*POWER(Upgrades!$L$9,H303)))*(IF(Upgrades!$T$6="Magnetosphere",POWER(Upgrades!$U$6,E303),1)*IF(Upgrades!$T$7="Magnetosphere",POWER(Upgrades!$U$7,F303),1)*IF(Upgrades!$T$8="Magnetosphere",POWER(Upgrades!$U$8,G303),1)*IF(Upgrades!$T$10="Magnetosphere",POWER(Upgrades!$U$10,I303),1)*IF(Upgrades!$T$11="Magnetosphere",POWER(Upgrades!$U$11,J303),1)*IF(Upgrades!$T$12="Magnetosphere",POWER(Upgrades!$U$12,K303),1))+(IF(I303=0,0,(Upgrades!$J$10+I303*Upgrades!$K$10)*POWER(Upgrades!$L$10,I303)))*(IF(Upgrades!$T$6="Orbital Resonance",POWER(Upgrades!$U$6,E303),1)*IF(Upgrades!$T$7="Orbital Resonance",POWER(Upgrades!$U$7,F303),1)*IF(Upgrades!$T$8="Orbital Resonance",POWER(Upgrades!$U$8,G303),1)*IF(Upgrades!$T$9="Orbital Resonance",POWER(Upgrades!$U$9,H303),1)*IF(Upgrades!$T$11="Orbital Resonance",POWER(Upgrades!$U$11,J303),1)*IF(Upgrades!$T$12="Orbital Resonance",POWER(Upgrades!$U$12,K303),1))+(IF(J303=0,0,(Upgrades!$J$11+J303*Upgrades!$K$11)*POWER(Upgrades!$L$11,J303)))*(IF(Upgrades!$T$6="Heliopause",POWER(Upgrades!$U$6,E303),1)*IF(Upgrades!$T$7="Heliopause",POWER(Upgrades!$U$7,F303),1)*IF(Upgrades!$T$8="Heliopause",POWER(Upgrades!$U$8,G303),1)*IF(Upgrades!$T$9="Heliopause",POWER(Upgrades!$U$9,H303),1)*IF(Upgrades!$T$10="Heliopause",POWER(Upgrades!$U$10,I303),1)*IF(Upgrades!$T$12="Heliopause",POWER(Upgrades!$U$12,K303),1))+(IF(K303=0,0,(Upgrades!$J$12+K303*Upgrades!$K$12)*POWER(Upgrades!$L$12,K303)))*(IF(Upgrades!$T$6="First Photons",POWER(Upgrades!$U$6,E303),1)*IF(Upgrades!$T$7="First Photons",POWER(Upgrades!$U$7,F303),1)*IF(Upgrades!$T$8="First Photons",POWER(Upgrades!$U$8,G303),1)*IF(Upgrades!$T$9="First Photons",POWER(Upgrades!$U$9,H303),1)*IF(Upgrades!$T$10="First Photons",POWER(Upgrades!$U$10,I303),1)*IF(Upgrades!$T$11="First Photons",POWER(Upgrades!$U$11,J303),1)))*POWER(Upgrades!$Q$6,E303)*POWER(Upgrades!$Q$7,F303)*POWER(Upgrades!$Q$8,G303)*POWER(Upgrades!$Q$9,H303)*POWER(Upgrades!$Q$10,I303)*POWER(Upgrades!$Q$11,J303)*POWER(Upgrades!$Q$12,K303)</f>
        <v>5.61</v>
      </c>
      <c r="N303" s="28" t="n">
        <f aca="false">((IF(E303=0,0,(Upgrades!$G$6+E303*Upgrades!$H$6)*POWER(Upgrades!$I$6,E303)))*(IF(Upgrades!$T$7="Solar Wind",POWER(Upgrades!$U$7,F303),1)*IF(Upgrades!$T$8="Solar Wind",POWER(Upgrades!$U$8,G303),1)*IF(Upgrades!$T$9="Solar Wind",POWER(Upgrades!$U$9,H303),1)*IF(Upgrades!$T$10="Solar Wind",POWER(Upgrades!$U$10,I303),1)*IF(Upgrades!$T$11="Solar Wind",POWER(Upgrades!$U$11,J303),1)*IF(Upgrades!$T$12="Solar Wind",POWER(Upgrades!$U$12,K303),1))+(IF(F303=0,0,(Upgrades!$G$7+F303*Upgrades!$H$7)*POWER(Upgrades!$I$7,F303)))*(IF(Upgrades!$T$6="Asteroid Belt",POWER(Upgrades!$U$6,E303),1)*IF(Upgrades!$T$8="Asteroid Belt",POWER(Upgrades!$U$8,G303),1)*IF(Upgrades!$T$9="Asteroid Belt",POWER(Upgrades!$U$9,H303),1)*IF(Upgrades!$T$10="Asteroid Belt",POWER(Upgrades!$U$10,I303),1)*IF(Upgrades!$T$11="Asteroid Belt",POWER(Upgrades!$U$11,J303),1)*IF(Upgrades!$T$12="Asteroid Belt",POWER(Upgrades!$U$12,K303),1))+(IF(G303=0,0,(Upgrades!$G$8+G303*Upgrades!$H$8)*POWER(Upgrades!$I$8,G303)))*(IF(Upgrades!$T$6="Stellar Coupling",POWER(Upgrades!$U$6,E303),1)*IF(Upgrades!$T$7="Stellar Coupling",POWER(Upgrades!$U$7,F303),1)*IF(Upgrades!$T$9="Stellar Coupling",POWER(Upgrades!$U$9,H303),1)*IF(Upgrades!$T$10="Stellar Coupling",POWER(Upgrades!$U$10,I303),1)*IF(Upgrades!$T$11="Stellar Coupling",POWER(Upgrades!$U$11,J303),1)*IF(Upgrades!$T$12="Stellar Coupling",POWER(Upgrades!$U$12,K303),1))+(IF(H303=0,0,(Upgrades!$G$9+H303*Upgrades!$H$9)*POWER(Upgrades!$I$9,H303)))*(IF(Upgrades!$T$6="Magnetosphere",POWER(Upgrades!$U$6,E303),1)*IF(Upgrades!$T$7="Magnetosphere",POWER(Upgrades!$U$7,F303),1)*IF(Upgrades!$T$8="Magnetosphere",POWER(Upgrades!$U$8,G303),1)*IF(Upgrades!$T$10="Magnetosphere",POWER(Upgrades!$U$10,I303),1)*IF(Upgrades!$T$11="Magnetosphere",POWER(Upgrades!$U$11,J303),1)*IF(Upgrades!$T$12="Magnetosphere",POWER(Upgrades!$U$12,K303),1))+(IF(I303=0,0,(Upgrades!$G$10+I303*Upgrades!$H$10)*POWER(Upgrades!$I$10,I303)))*(IF(Upgrades!$T$6="Orbital Resonance",POWER(Upgrades!$U$6,E303),1)*IF(Upgrades!$T$7="Orbital Resonance",POWER(Upgrades!$U$7,F303),1)*IF(Upgrades!$T$8="Orbital Resonance",POWER(Upgrades!$U$8,G303),1)*IF(Upgrades!$T$9="Orbital Resonance",POWER(Upgrades!$U$9,H303),1)*IF(Upgrades!$T$11="Orbital Resonance",POWER(Upgrades!$U$11,J303),1)*IF(Upgrades!$T$12="Orbital Resonance",POWER(Upgrades!$U$12,K303),1))+(IF(J303=0,0,(Upgrades!$G$11+J303*Upgrades!$H$11)*POWER(Upgrades!$I$11,J303)))*(IF(Upgrades!$T$6="Heliopause",POWER(Upgrades!$U$6,E303),1)*IF(Upgrades!$T$7="Heliopause",POWER(Upgrades!$U$7,F303),1)*IF(Upgrades!$T$8="Heliopause",POWER(Upgrades!$U$8,G303),1)*IF(Upgrades!$T$9="Heliopause",POWER(Upgrades!$U$9,H303),1)*IF(Upgrades!$T$10="Heliopause",POWER(Upgrades!$U$10,I303),1)*IF(Upgrades!$T$12="Heliopause",POWER(Upgrades!$U$12,K303),1))+(IF(K303=0,0,(Upgrades!$G$12+K303*Upgrades!$H$12)*POWER(Upgrades!$I$12,K303)))*(IF(Upgrades!$T$6="First Photons",POWER(Upgrades!$U$6,E303),1)*IF(Upgrades!$T$7="First Photons",POWER(Upgrades!$U$7,F303),1)*IF(Upgrades!$T$8="First Photons",POWER(Upgrades!$U$8,G303),1)*IF(Upgrades!$T$9="First Photons",POWER(Upgrades!$U$9,H303),1)*IF(Upgrades!$T$10="First Photons",POWER(Upgrades!$U$10,I303),1)*IF(Upgrades!$T$11="First Photons",POWER(Upgrades!$U$11,J303),1)))*POWER(Upgrades!$P$6,E303)*POWER(Upgrades!$P$7,F303)*POWER(Upgrades!$P$8,G303)*POWER(Upgrades!$P$9,H303)*POWER(Upgrades!$P$10,I303)*POWER(Upgrades!$P$11,J303)*POWER(Upgrades!$P$12,K303)</f>
        <v>11.2</v>
      </c>
      <c r="O303" s="28" t="n">
        <f aca="false">((IF(E303=0,0,(Upgrades!$M$6+E303*Upgrades!$N$6)*POWER(Upgrades!$O$6,E303)))*(IF(Upgrades!$T$7="Solar Wind",POWER(Upgrades!$U$7,F303),1)*IF(Upgrades!$T$8="Solar Wind",POWER(Upgrades!$U$8,G303),1)*IF(Upgrades!$T$9="Solar Wind",POWER(Upgrades!$U$9,H303),1)*IF(Upgrades!$T$10="Solar Wind",POWER(Upgrades!$U$10,I303),1)*IF(Upgrades!$T$11="Solar Wind",POWER(Upgrades!$U$11,J303),1)*IF(Upgrades!$T$12="Solar Wind",POWER(Upgrades!$U$12,K303),1))+(IF(F303=0,0,(Upgrades!$M$7+F303*Upgrades!$N$7)*POWER(Upgrades!$O$7,F303)))*(IF(Upgrades!$T$6="Asteroid Belt",POWER(Upgrades!$U$6,E303),1)*IF(Upgrades!$T$8="Asteroid Belt",POWER(Upgrades!$U$8,G303),1)*IF(Upgrades!$T$9="Asteroid Belt",POWER(Upgrades!$U$9,H303),1)*IF(Upgrades!$T$10="Asteroid Belt",POWER(Upgrades!$U$10,I303),1)*IF(Upgrades!$T$11="Asteroid Belt",POWER(Upgrades!$U$11,J303),1)*IF(Upgrades!$T$12="Asteroid Belt",POWER(Upgrades!$U$12,K303),1))+(IF(G303=0,0,(Upgrades!$M$8+G303*Upgrades!$N$8)*POWER(Upgrades!$O$8,G303)))*(IF(Upgrades!$T$6="Stellar Coupling",POWER(Upgrades!$U$6,E303),1)*IF(Upgrades!$T$7="Stellar Coupling",POWER(Upgrades!$U$7,F303),1)*IF(Upgrades!$T$9="Stellar Coupling",POWER(Upgrades!$U$9,H303),1)*IF(Upgrades!$T$10="Stellar Coupling",POWER(Upgrades!$U$10,I303),1)*IF(Upgrades!$T$11="Stellar Coupling",POWER(Upgrades!$U$11,J303),1)*IF(Upgrades!$T$12="Stellar Coupling",POWER(Upgrades!$U$12,K303),1))+(IF(H303=0,0,(Upgrades!$M$9+H303*Upgrades!$N$9)*POWER(Upgrades!$O$9,H303)))*(IF(Upgrades!$T$6="Magnetosphere",POWER(Upgrades!$U$6,E303),1)*IF(Upgrades!$T$7="Magnetosphere",POWER(Upgrades!$U$7,F303),1)*IF(Upgrades!$T$8="Magnetosphere",POWER(Upgrades!$U$8,G303),1)*IF(Upgrades!$T$10="Magnetosphere",POWER(Upgrades!$U$10,I303),1)*IF(Upgrades!$T$11="Magnetosphere",POWER(Upgrades!$U$11,J303),1)*IF(Upgrades!$T$12="Magnetosphere",POWER(Upgrades!$U$12,K303),1))+(IF(I303=0,0,(Upgrades!$M$10+I303*Upgrades!$N$10)*POWER(Upgrades!$O$10,I303)))*(IF(Upgrades!$T$6="Orbital Resonance",POWER(Upgrades!$U$6,E303),1)*IF(Upgrades!$T$7="Orbital Resonance",POWER(Upgrades!$U$7,F303),1)*IF(Upgrades!$T$8="Orbital Resonance",POWER(Upgrades!$U$8,G303),1)*IF(Upgrades!$T$9="Orbital Resonance",POWER(Upgrades!$U$9,H303),1)*IF(Upgrades!$T$11="Orbital Resonance",POWER(Upgrades!$U$11,J303),1)*IF(Upgrades!$T$12="Orbital Resonance",POWER(Upgrades!$U$12,K303),1))+(IF(J303=0,0,(Upgrades!$M$11+J303*Upgrades!$N$11)*POWER(Upgrades!$O$11,J303)))*(IF(Upgrades!$T$6="Heliopause",POWER(Upgrades!$U$6,E303),1)*IF(Upgrades!$T$7="Heliopause",POWER(Upgrades!$U$7,F303),1)*IF(Upgrades!$T$8="Heliopause",POWER(Upgrades!$U$8,G303),1)*IF(Upgrades!$T$9="Heliopause",POWER(Upgrades!$U$9,H303),1)*IF(Upgrades!$T$10="Heliopause",POWER(Upgrades!$U$10,I303),1)*IF(Upgrades!$T$12="Heliopause",POWER(Upgrades!$U$12,K303),1))+(IF(K303=0,0,(Upgrades!$M$12+K303*Upgrades!$N$12)*POWER(Upgrades!$O$12,K303)))*(IF(Upgrades!$T$6="First Photons",POWER(Upgrades!$U$6,E303),1)*IF(Upgrades!$T$7="First Photons",POWER(Upgrades!$U$7,F303),1)*IF(Upgrades!$T$8="First Photons",POWER(Upgrades!$U$8,G303),1)*IF(Upgrades!$T$9="First Photons",POWER(Upgrades!$U$9,H303),1)*IF(Upgrades!$T$10="First Photons",POWER(Upgrades!$U$10,I303),1)*IF(Upgrades!$T$11="First Photons",POWER(Upgrades!$U$11,J303),1)))*POWER(Upgrades!$R$6,E303)*POWER(Upgrades!$R$7,F303)*POWER(Upgrades!$R$8,G303)*POWER(Upgrades!$R$9,H303)*POWER(Upgrades!$R$10,I303)*POWER(Upgrades!$R$11,J303)*POWER(Upgrades!$R$12,K303)</f>
        <v>0</v>
      </c>
      <c r="P303" s="27" t="n">
        <f aca="false">IF(L303=1,0,M303*Parameters!$B$10/60*Parameters!$B$11*10)</f>
        <v>0</v>
      </c>
      <c r="Q303" s="27" t="n">
        <f aca="false">IF(L303=1,0,O303*M303*10)</f>
        <v>0</v>
      </c>
      <c r="R303" s="27" t="n">
        <f aca="false">IF(L303=1,0,N303*10)</f>
        <v>0</v>
      </c>
      <c r="S303" s="27" t="n">
        <f aca="false">P303+Q303+R303</f>
        <v>0</v>
      </c>
      <c r="T303" s="21" t="n">
        <f aca="false">C303+S303</f>
        <v>18.6730249835055</v>
      </c>
      <c r="U303" s="34" t="str">
        <f aca="false">AX303</f>
        <v/>
      </c>
      <c r="V303" s="21" t="n">
        <f aca="false">IF(U303="",0,IF(U303="transition",0,IF(U303="SW",AG303,IF(U303="AB",AH303,IF(U303="SC",AI303,IF(U303="Mag",AJ303,IF(U303="OR",AK303,IF(U303="HP",AL303,IF(U303="FP",AM303,0)))))))))</f>
        <v>0</v>
      </c>
      <c r="W303" s="27" t="n">
        <f aca="false">IF(U303="OR",Upgrades!$F$10,IF(U303="HP",Upgrades!$F$11,IF(U303="transition",-Parameters!$B$18,0)))</f>
        <v>0</v>
      </c>
      <c r="X303" s="21" t="n">
        <f aca="false">T303-V303</f>
        <v>18.6730249835055</v>
      </c>
      <c r="Y303" s="30" t="n">
        <f aca="false">M303*Parameters!$B$10/60*Parameters!$B$11+O303*M303+N303</f>
        <v>20.55</v>
      </c>
      <c r="Z303" s="35" t="str">
        <f aca="false">IF(U303="transition","→ Tier 2 (Stellar Neighborhood)",IF(U303="FP","First Photons — light begins, system quickens",IF(U303="HP","Heliopause acquired",IF(U303="OR","Orbital Resonance — passive multiplier active",IF(AND(AO303=1,L303=0,AN303&lt;&gt;1),"Cohesion ready (waiting on completionist upgrades)","")))))</f>
        <v/>
      </c>
      <c r="AA303" s="27" t="n">
        <f aca="false">(IF(E303=0,0,(Upgrades!$G$6+E303*Upgrades!$H$6)*POWER(Upgrades!$I$6,E303)))*(IF(Upgrades!$T$7="Solar Wind",POWER(Upgrades!$U$7,F303),1)*IF(Upgrades!$T$8="Solar Wind",POWER(Upgrades!$U$8,G303),1)*IF(Upgrades!$T$9="Solar Wind",POWER(Upgrades!$U$9,H303),1)*IF(Upgrades!$T$10="Solar Wind",POWER(Upgrades!$U$10,I303),1)*IF(Upgrades!$T$11="Solar Wind",POWER(Upgrades!$U$11,J303),1)*IF(Upgrades!$T$12="Solar Wind",POWER(Upgrades!$U$12,K303),1))*POWER(Upgrades!$P$6,E303)*POWER(Upgrades!$P$7,F303)*POWER(Upgrades!$P$8,G303)*POWER(Upgrades!$P$9,H303)*POWER(Upgrades!$P$10,I303)*POWER(Upgrades!$P$11,J303)*POWER(Upgrades!$P$12,K303)*60</f>
        <v>72</v>
      </c>
      <c r="AB303" s="27" t="n">
        <f aca="false">(IF(F303=0,0,(Upgrades!$G$7+F303*Upgrades!$H$7)*POWER(Upgrades!$I$7,F303)))*(IF(Upgrades!$T$6="Asteroid Belt",POWER(Upgrades!$U$6,E303),1)*IF(Upgrades!$T$8="Asteroid Belt",POWER(Upgrades!$U$8,G303),1)*IF(Upgrades!$T$9="Asteroid Belt",POWER(Upgrades!$U$9,H303),1)*IF(Upgrades!$T$10="Asteroid Belt",POWER(Upgrades!$U$10,I303),1)*IF(Upgrades!$T$11="Asteroid Belt",POWER(Upgrades!$U$11,J303),1)*IF(Upgrades!$T$12="Asteroid Belt",POWER(Upgrades!$U$12,K303),1))*POWER(Upgrades!$P$6,E303)*POWER(Upgrades!$P$7,F303)*POWER(Upgrades!$P$8,G303)*POWER(Upgrades!$P$9,H303)*POWER(Upgrades!$P$10,I303)*POWER(Upgrades!$P$11,J303)*POWER(Upgrades!$P$12,K303)*60</f>
        <v>150</v>
      </c>
      <c r="AC303" s="27" t="n">
        <f aca="false">(IF(G303=0,0,(Upgrades!$J$8+G303*Upgrades!$K$8)*POWER(Upgrades!$L$8,G303)))*(IF(Upgrades!$T$6="Stellar Coupling",POWER(Upgrades!$U$6,E303),1)*IF(Upgrades!$T$7="Stellar Coupling",POWER(Upgrades!$U$7,F303),1)*IF(Upgrades!$T$9="Stellar Coupling",POWER(Upgrades!$U$9,H303),1)*IF(Upgrades!$T$10="Stellar Coupling",POWER(Upgrades!$U$10,I303),1)*IF(Upgrades!$T$11="Stellar Coupling",POWER(Upgrades!$U$11,J303),1)*IF(Upgrades!$T$12="Stellar Coupling",POWER(Upgrades!$U$12,K303),1))*POWER(Upgrades!$Q$6,E303)*POWER(Upgrades!$Q$7,F303)*POWER(Upgrades!$Q$8,G303)*POWER(Upgrades!$Q$9,H303)*POWER(Upgrades!$Q$10,I303)*POWER(Upgrades!$Q$11,J303)*POWER(Upgrades!$Q$12,K303)*Parameters!$B$10*Parameters!$B$11</f>
        <v>441</v>
      </c>
      <c r="AD303" s="27" t="n">
        <f aca="false">(IF(H303=0,0,(Upgrades!$G$9+H303*Upgrades!$H$9)*POWER(Upgrades!$I$9,H303)))*(IF(Upgrades!$T$6="Magnetosphere",POWER(Upgrades!$U$6,E303),1)*IF(Upgrades!$T$7="Magnetosphere",POWER(Upgrades!$U$7,F303),1)*IF(Upgrades!$T$8="Magnetosphere",POWER(Upgrades!$U$8,G303),1)*IF(Upgrades!$T$10="Magnetosphere",POWER(Upgrades!$U$10,I303),1)*IF(Upgrades!$T$11="Magnetosphere",POWER(Upgrades!$U$11,J303),1)*IF(Upgrades!$T$12="Magnetosphere",POWER(Upgrades!$U$12,K303),1))*POWER(Upgrades!$P$6,E303)*POWER(Upgrades!$P$7,F303)*POWER(Upgrades!$P$8,G303)*POWER(Upgrades!$P$9,H303)*POWER(Upgrades!$P$10,I303)*POWER(Upgrades!$P$11,J303)*POWER(Upgrades!$P$12,K303)*60</f>
        <v>375</v>
      </c>
      <c r="AE303" s="27" t="n">
        <f aca="false">(IF(K303=0,0,(Upgrades!$G$12+K303*Upgrades!$H$12)*POWER(Upgrades!$I$12,K303)))*(IF(Upgrades!$T$6="First Photons",POWER(Upgrades!$U$6,E303),1)*IF(Upgrades!$T$7="First Photons",POWER(Upgrades!$U$7,F303),1)*IF(Upgrades!$T$8="First Photons",POWER(Upgrades!$U$8,G303),1)*IF(Upgrades!$T$9="First Photons",POWER(Upgrades!$U$9,H303),1)*IF(Upgrades!$T$10="First Photons",POWER(Upgrades!$U$10,I303),1)*IF(Upgrades!$T$11="First Photons",POWER(Upgrades!$U$11,J303),1))*POWER(Upgrades!$P$6,E303)*POWER(Upgrades!$P$7,F303)*POWER(Upgrades!$P$8,G303)*POWER(Upgrades!$P$9,H303)*POWER(Upgrades!$P$10,I303)*POWER(Upgrades!$P$11,J303)*POWER(Upgrades!$P$12,K303)*60</f>
        <v>75</v>
      </c>
      <c r="AF303" s="27" t="n">
        <f aca="false">Parameters!$B$9*POWER(Upgrades!$Q$6,E303)*POWER(Upgrades!$Q$7,F303)*POWER(Upgrades!$Q$8,G303)*POWER(Upgrades!$Q$9,H303)*POWER(Upgrades!$Q$10,I303)*POWER(Upgrades!$Q$11,J303)*POWER(Upgrades!$Q$12,K303)*(Parameters!$B$10*Parameters!$B$11+O303*60)</f>
        <v>120</v>
      </c>
      <c r="AG303" s="21" t="n">
        <f aca="false">IF(E303&gt;=Upgrades!$E$6,"",Upgrades!$C$6*POWER(Upgrades!$D$6,E303))</f>
        <v>37.4517507383159</v>
      </c>
      <c r="AH303" s="21" t="n">
        <f aca="false">IF(F303&gt;=Upgrades!$E$7,"",Upgrades!$C$7*POWER(Upgrades!$D$7,F303))</f>
        <v>80.9111547141581</v>
      </c>
      <c r="AI303" s="21" t="n">
        <f aca="false">IF(G303&gt;=Upgrades!$E$8,"",Upgrades!$C$8*POWER(Upgrades!$D$8,G303))</f>
        <v>231.9097088</v>
      </c>
      <c r="AJ303" s="21" t="str">
        <f aca="false">IF(H303&gt;=Upgrades!$E$9,"",Upgrades!$C$9*POWER(Upgrades!$D$9,H303))</f>
        <v/>
      </c>
      <c r="AK303" s="21" t="str">
        <f aca="false">IF(I303&gt;=Upgrades!$E$10,"",Upgrades!$C$10*POWER(Upgrades!$D$10,I303))</f>
        <v/>
      </c>
      <c r="AL303" s="21" t="str">
        <f aca="false">IF(J303&gt;=Upgrades!$E$11,"",Upgrades!$C$11*POWER(Upgrades!$D$11,J303))</f>
        <v/>
      </c>
      <c r="AM303" s="21" t="str">
        <f aca="false">IF(K303&gt;=Upgrades!$E$12,"",Upgrades!$C$12*POWER(Upgrades!$D$12,K303))</f>
        <v/>
      </c>
      <c r="AN303" s="26" t="str">
        <f aca="false">IF(AND(D303&gt;=Parameters!$B$18,(H303&gt;=Upgrades!$E$9)*(K303&gt;=Upgrades!$E$12)=1,L303=0),1,"")</f>
        <v/>
      </c>
      <c r="AO303" s="26" t="str">
        <f aca="false">IF(AND(D303&gt;=Parameters!$B$18,L303=0),1,"")</f>
        <v/>
      </c>
      <c r="AP303" s="21" t="n">
        <f aca="false">MIN(IF(ISNUMBER(AK303),AK303,9000000000000000),IF(ISNUMBER(AL303),AL303,9000000000000000),IF(ISNUMBER(AM303),AM303,9000000000000000))</f>
        <v>9000000000000000</v>
      </c>
      <c r="AQ303" s="21" t="n">
        <f aca="false">MIN(IF(ISNUMBER(AG303),AG303,9000000000000000),IF(ISNUMBER(AH303),AH303,9000000000000000),IF(ISNUMBER(AI303),AI303,9000000000000000),IF(ISNUMBER(AJ303),AJ303,9000000000000000))</f>
        <v>37.4517507383159</v>
      </c>
      <c r="AR303" s="32" t="b">
        <f aca="false">IF(AW303&gt;Parameters!$B$21*(MAX(IF(AND(NOT(AND(AO303=1,AN303&lt;&gt;1)),ISNUMBER(AG303),AG303&lt;=T303),AS303,0),IF(AND(NOT(AND(AO303=1,AN303&lt;&gt;1)),ISNUMBER(AH303),AH303&lt;=T303),AT303,0),IF(AND(NOT(AND(AO303=1,AN303&lt;&gt;1)),ISNUMBER(AI303),AI303&lt;=T303),AU303,0),IF(AND(ISNUMBER(AJ303),AJ303&lt;=T303),AV303,0))),TRUE(),FALSE())</f>
        <v>1</v>
      </c>
      <c r="AS303" s="33" t="n">
        <f aca="false">IFERROR(Upgrades!$H$6*(POWER(Upgrades!$P$6,E303)*POWER(Upgrades!$P$7,F303)*POWER(Upgrades!$P$8,G303)*POWER(Upgrades!$P$9,H303)*POWER(Upgrades!$P$10,I303)*POWER(Upgrades!$P$11,J303)*POWER(Upgrades!$P$12,K303))*(IF(Upgrades!$T$7="Solar Wind",POWER(Upgrades!$U$7,F303),1)*IF(Upgrades!$T$8="Solar Wind",POWER(Upgrades!$U$8,G303),1)*IF(Upgrades!$T$9="Solar Wind",POWER(Upgrades!$U$9,H303),1)*IF(Upgrades!$T$10="Solar Wind",POWER(Upgrades!$U$10,I303),1)*IF(Upgrades!$T$11="Solar Wind",POWER(Upgrades!$U$11,J303),1)*IF(Upgrades!$T$12="Solar Wind",POWER(Upgrades!$U$12,K303),1))/AG303,0)</f>
        <v>0.0026701021455238</v>
      </c>
      <c r="AT303" s="33" t="n">
        <f aca="false">IFERROR(Upgrades!$H$7*(POWER(Upgrades!$P$6,E303)*POWER(Upgrades!$P$7,F303)*POWER(Upgrades!$P$8,G303)*POWER(Upgrades!$P$9,H303)*POWER(Upgrades!$P$10,I303)*POWER(Upgrades!$P$11,J303)*POWER(Upgrades!$P$12,K303))*(IF(Upgrades!$T$6="Asteroid Belt",POWER(Upgrades!$U$6,E303),1)*IF(Upgrades!$T$8="Asteroid Belt",POWER(Upgrades!$U$8,G303),1)*IF(Upgrades!$T$9="Asteroid Belt",POWER(Upgrades!$U$9,H303),1)*IF(Upgrades!$T$10="Asteroid Belt",POWER(Upgrades!$U$10,I303),1)*IF(Upgrades!$T$11="Asteroid Belt",POWER(Upgrades!$U$11,J303),1)*IF(Upgrades!$T$12="Asteroid Belt",POWER(Upgrades!$U$12,K303),1))/AH303,0)</f>
        <v>0.00308980882652332</v>
      </c>
      <c r="AU303" s="33" t="n">
        <f aca="false">IFERROR(Upgrades!$K$8*(POWER(Upgrades!$Q$6,E303)*POWER(Upgrades!$Q$7,F303)*POWER(Upgrades!$Q$8,G303)*POWER(Upgrades!$Q$9,H303)*POWER(Upgrades!$Q$10,I303)*POWER(Upgrades!$Q$11,J303)*POWER(Upgrades!$Q$12,K303))*(IF(Upgrades!$T$6="Stellar Coupling",POWER(Upgrades!$U$6,E303),1)*IF(Upgrades!$T$7="Stellar Coupling",POWER(Upgrades!$U$7,F303),1)*IF(Upgrades!$T$9="Stellar Coupling",POWER(Upgrades!$U$9,H303),1)*IF(Upgrades!$T$10="Stellar Coupling",POWER(Upgrades!$U$10,I303),1)*IF(Upgrades!$T$11="Stellar Coupling",POWER(Upgrades!$U$11,J303),1)*IF(Upgrades!$T$12="Stellar Coupling",POWER(Upgrades!$U$12,K303),1))*Parameters!$B$10*Parameters!$B$11/60/AI303,0)</f>
        <v>0.00452762415783776</v>
      </c>
      <c r="AV303" s="33" t="n">
        <f aca="false">IFERROR(Upgrades!$H$9*(POWER(Upgrades!$P$6,E303)*POWER(Upgrades!$P$7,F303)*POWER(Upgrades!$P$8,G303)*POWER(Upgrades!$P$9,H303)*POWER(Upgrades!$P$10,I303)*POWER(Upgrades!$P$11,J303)*POWER(Upgrades!$P$12,K303))*(IF(Upgrades!$T$6="Magnetosphere",POWER(Upgrades!$U$6,E303),1)*IF(Upgrades!$T$7="Magnetosphere",POWER(Upgrades!$U$7,F303),1)*IF(Upgrades!$T$8="Magnetosphere",POWER(Upgrades!$U$8,G303),1)*IF(Upgrades!$T$10="Magnetosphere",POWER(Upgrades!$U$10,I303),1)*IF(Upgrades!$T$11="Magnetosphere",POWER(Upgrades!$U$11,J303),1)*IF(Upgrades!$T$12="Magnetosphere",POWER(Upgrades!$U$12,K303),1))/AJ303,0)</f>
        <v>0</v>
      </c>
      <c r="AW303" s="33" t="n">
        <f aca="false">MAX(IF(I303&gt;0,0,IFERROR(0.25*N303/Upgrades!$C$10,0)),IF(J303&gt;0,0,IFERROR(0.5*((IF(G303=0,0,(Upgrades!$J$8+G303*Upgrades!$K$8)*POWER(Upgrades!$L$8,G303)))*(IF(Upgrades!$T$6="Stellar Coupling",POWER(Upgrades!$U$6,E303),1)*IF(Upgrades!$T$7="Stellar Coupling",POWER(Upgrades!$U$7,F303),1)*IF(Upgrades!$T$9="Stellar Coupling",POWER(Upgrades!$U$9,H303),1)*IF(Upgrades!$T$10="Stellar Coupling",POWER(Upgrades!$U$10,I303),1)*IF(Upgrades!$T$11="Stellar Coupling",POWER(Upgrades!$U$11,J303),1)*IF(Upgrades!$T$12="Stellar Coupling",POWER(Upgrades!$U$12,K303),1))*(POWER(Upgrades!$Q$6,E303)*POWER(Upgrades!$Q$7,F303)*POWER(Upgrades!$Q$8,G303)*POWER(Upgrades!$Q$9,H303)*POWER(Upgrades!$Q$10,I303)*POWER(Upgrades!$Q$11,J303)*POWER(Upgrades!$Q$12,K303))*Parameters!$B$10*Parameters!$B$11/60)/Upgrades!$C$11,0)),IF(K303&gt;0,0,IFERROR((1*(POWER(Upgrades!$P$6,E303)*POWER(Upgrades!$P$7,F303)*POWER(Upgrades!$P$8,G303)*POWER(Upgrades!$P$9,H303)*POWER(Upgrades!$P$10,I303)*POWER(Upgrades!$P$11,J303)*POWER(Upgrades!$P$12,K303))+0.2*M303*Parameters!$B$10*Parameters!$B$11/60)/Upgrades!$C$12,0)),IF(AND(ISNUMBER(AG303),AG303&gt;T303),AS303,0),IF(AND(ISNUMBER(AH303),AH303&gt;T303),AT303,0),IF(AND(ISNUMBER(AI303),AI303&gt;T303),AU303,0),IF(AND(ISNUMBER(AJ303),AJ303&gt;T303),AV303,0))</f>
        <v>0.00452762415783776</v>
      </c>
      <c r="AX303" s="29" t="str">
        <f aca="false">IF(AN303=1,"transition",IF(MIN(IF(AND(I303=0,ISNUMBER(AK303),AK303&lt;=T303),AK303,9000000000000000),IF(AND(J303=0,ISNUMBER(AL303),AL303&lt;=T303),AL303,9000000000000000),IF(AND(K303=0,ISNUMBER(AM303),AM303&lt;=T303),AM303,9000000000000000))&lt;9000000000000000,IF(AND(AND(I303=0,ISNUMBER(AK303),AK303&lt;=T303),AK303=MIN(IF(AND(I303=0,ISNUMBER(AK303),AK303&lt;=T303),AK303,9000000000000000),IF(AND(J303=0,ISNUMBER(AL303),AL303&lt;=T303),AL303,9000000000000000),IF(AND(K303=0,ISNUMBER(AM303),AM303&lt;=T303),AM303,9000000000000000))),"OR",IF(AND(AND(J303=0,ISNUMBER(AL303),AL303&lt;=T303),AL303=MIN(IF(AND(I303=0,ISNUMBER(AK303),AK303&lt;=T303),AK303,9000000000000000),IF(AND(J303=0,ISNUMBER(AL303),AL303&lt;=T303),AL303,9000000000000000),IF(AND(K303=0,ISNUMBER(AM303),AM303&lt;=T303),AM303,9000000000000000))),"HP","FP")),IF(AR303=TRUE(),"",IF(MAX(IF(AND(NOT(AND(AO303=1,AN303&lt;&gt;1)),ISNUMBER(AG303),AG303&lt;=T303),AS303,0),IF(AND(NOT(AND(AO303=1,AN303&lt;&gt;1)),ISNUMBER(AH303),AH303&lt;=T303),AT303,0),IF(AND(NOT(AND(AO303=1,AN303&lt;&gt;1)),ISNUMBER(AI303),AI303&lt;=T303),AU303,0),IF(AND(ISNUMBER(AJ303),AJ303&lt;=T303),AV303,0))&lt;=0,"",IF(AND(IF(AND(NOT(AND(AO303=1,AN303&lt;&gt;1)),ISNUMBER(AG303),AG303&lt;=T303),AS303,0)&gt;0,IF(AND(NOT(AND(AO303=1,AN303&lt;&gt;1)),ISNUMBER(AG303),AG303&lt;=T303),AS303,0)=MAX(IF(AND(NOT(AND(AO303=1,AN303&lt;&gt;1)),ISNUMBER(AG303),AG303&lt;=T303),AS303,0),IF(AND(NOT(AND(AO303=1,AN303&lt;&gt;1)),ISNUMBER(AH303),AH303&lt;=T303),AT303,0),IF(AND(NOT(AND(AO303=1,AN303&lt;&gt;1)),ISNUMBER(AI303),AI303&lt;=T303),AU303,0),IF(AND(ISNUMBER(AJ303),AJ303&lt;=T303),AV303,0))),"SW",IF(AND(IF(AND(NOT(AND(AO303=1,AN303&lt;&gt;1)),ISNUMBER(AH303),AH303&lt;=T303),AT303,0)&gt;0,IF(AND(NOT(AND(AO303=1,AN303&lt;&gt;1)),ISNUMBER(AH303),AH303&lt;=T303),AT303,0)=MAX(IF(AND(NOT(AND(AO303=1,AN303&lt;&gt;1)),ISNUMBER(AG303),AG303&lt;=T303),AS303,0),IF(AND(NOT(AND(AO303=1,AN303&lt;&gt;1)),ISNUMBER(AH303),AH303&lt;=T303),AT303,0),IF(AND(NOT(AND(AO303=1,AN303&lt;&gt;1)),ISNUMBER(AI303),AI303&lt;=T303),AU303,0),IF(AND(ISNUMBER(AJ303),AJ303&lt;=T303),AV303,0))),"AB",IF(AND(IF(AND(NOT(AND(AO303=1,AN303&lt;&gt;1)),ISNUMBER(AI303),AI303&lt;=T303),AU303,0)&gt;0,IF(AND(NOT(AND(AO303=1,AN303&lt;&gt;1)),ISNUMBER(AI303),AI303&lt;=T303),AU303,0)=MAX(IF(AND(NOT(AND(AO303=1,AN303&lt;&gt;1)),ISNUMBER(AG303),AG303&lt;=T303),AS303,0),IF(AND(NOT(AND(AO303=1,AN303&lt;&gt;1)),ISNUMBER(AH303),AH303&lt;=T303),AT303,0),IF(AND(NOT(AND(AO303=1,AN303&lt;&gt;1)),ISNUMBER(AI303),AI303&lt;=T303),AU303,0),IF(AND(ISNUMBER(AJ303),AJ303&lt;=T303),AV303,0))),"SC","Mag")))))))</f>
        <v/>
      </c>
    </row>
    <row r="304" customFormat="false" ht="15" hidden="false" customHeight="false" outlineLevel="0" collapsed="false">
      <c r="A304" s="26" t="n">
        <v>299</v>
      </c>
      <c r="B304" s="27" t="n">
        <f aca="false">A304*10/60</f>
        <v>49.8333333333333</v>
      </c>
      <c r="C304" s="21" t="n">
        <f aca="false">X303</f>
        <v>18.6730249835055</v>
      </c>
      <c r="D304" s="27" t="n">
        <f aca="false">D303+W303</f>
        <v>0</v>
      </c>
      <c r="E304" s="26" t="n">
        <f aca="false">E303+IF(U303="SW",1,0)</f>
        <v>12</v>
      </c>
      <c r="F304" s="26" t="n">
        <f aca="false">F303+IF(U303="AB",1,0)</f>
        <v>10</v>
      </c>
      <c r="G304" s="26" t="n">
        <f aca="false">G303+IF(U303="SC",1,0)</f>
        <v>7</v>
      </c>
      <c r="H304" s="26" t="n">
        <f aca="false">H303+IF(U303="Mag",1,0)</f>
        <v>5</v>
      </c>
      <c r="I304" s="26" t="n">
        <f aca="false">MAX(I303,IF(U303="OR",1,0))</f>
        <v>1</v>
      </c>
      <c r="J304" s="26" t="n">
        <f aca="false">MAX(J303,IF(U303="HP",1,0))</f>
        <v>1</v>
      </c>
      <c r="K304" s="26" t="n">
        <f aca="false">MAX(K303,IF(U303="FP",1,0))</f>
        <v>1</v>
      </c>
      <c r="L304" s="26" t="n">
        <f aca="false">MAX(L303,IF(U303="transition",1,0))</f>
        <v>1</v>
      </c>
      <c r="M304" s="28" t="n">
        <f aca="false">(Parameters!$B$9+(IF(E304=0,0,(Upgrades!$J$6+E304*Upgrades!$K$6)*POWER(Upgrades!$L$6,E304)))*(IF(Upgrades!$T$7="Solar Wind",POWER(Upgrades!$U$7,F304),1)*IF(Upgrades!$T$8="Solar Wind",POWER(Upgrades!$U$8,G304),1)*IF(Upgrades!$T$9="Solar Wind",POWER(Upgrades!$U$9,H304),1)*IF(Upgrades!$T$10="Solar Wind",POWER(Upgrades!$U$10,I304),1)*IF(Upgrades!$T$11="Solar Wind",POWER(Upgrades!$U$11,J304),1)*IF(Upgrades!$T$12="Solar Wind",POWER(Upgrades!$U$12,K304),1))+(IF(F304=0,0,(Upgrades!$J$7+F304*Upgrades!$K$7)*POWER(Upgrades!$L$7,F304)))*(IF(Upgrades!$T$6="Asteroid Belt",POWER(Upgrades!$U$6,E304),1)*IF(Upgrades!$T$8="Asteroid Belt",POWER(Upgrades!$U$8,G304),1)*IF(Upgrades!$T$9="Asteroid Belt",POWER(Upgrades!$U$9,H304),1)*IF(Upgrades!$T$10="Asteroid Belt",POWER(Upgrades!$U$10,I304),1)*IF(Upgrades!$T$11="Asteroid Belt",POWER(Upgrades!$U$11,J304),1)*IF(Upgrades!$T$12="Asteroid Belt",POWER(Upgrades!$U$12,K304),1))+(IF(G304=0,0,(Upgrades!$J$8+G304*Upgrades!$K$8)*POWER(Upgrades!$L$8,G304)))*(IF(Upgrades!$T$6="Stellar Coupling",POWER(Upgrades!$U$6,E304),1)*IF(Upgrades!$T$7="Stellar Coupling",POWER(Upgrades!$U$7,F304),1)*IF(Upgrades!$T$9="Stellar Coupling",POWER(Upgrades!$U$9,H304),1)*IF(Upgrades!$T$10="Stellar Coupling",POWER(Upgrades!$U$10,I304),1)*IF(Upgrades!$T$11="Stellar Coupling",POWER(Upgrades!$U$11,J304),1)*IF(Upgrades!$T$12="Stellar Coupling",POWER(Upgrades!$U$12,K304),1))+(IF(H304=0,0,(Upgrades!$J$9+H304*Upgrades!$K$9)*POWER(Upgrades!$L$9,H304)))*(IF(Upgrades!$T$6="Magnetosphere",POWER(Upgrades!$U$6,E304),1)*IF(Upgrades!$T$7="Magnetosphere",POWER(Upgrades!$U$7,F304),1)*IF(Upgrades!$T$8="Magnetosphere",POWER(Upgrades!$U$8,G304),1)*IF(Upgrades!$T$10="Magnetosphere",POWER(Upgrades!$U$10,I304),1)*IF(Upgrades!$T$11="Magnetosphere",POWER(Upgrades!$U$11,J304),1)*IF(Upgrades!$T$12="Magnetosphere",POWER(Upgrades!$U$12,K304),1))+(IF(I304=0,0,(Upgrades!$J$10+I304*Upgrades!$K$10)*POWER(Upgrades!$L$10,I304)))*(IF(Upgrades!$T$6="Orbital Resonance",POWER(Upgrades!$U$6,E304),1)*IF(Upgrades!$T$7="Orbital Resonance",POWER(Upgrades!$U$7,F304),1)*IF(Upgrades!$T$8="Orbital Resonance",POWER(Upgrades!$U$8,G304),1)*IF(Upgrades!$T$9="Orbital Resonance",POWER(Upgrades!$U$9,H304),1)*IF(Upgrades!$T$11="Orbital Resonance",POWER(Upgrades!$U$11,J304),1)*IF(Upgrades!$T$12="Orbital Resonance",POWER(Upgrades!$U$12,K304),1))+(IF(J304=0,0,(Upgrades!$J$11+J304*Upgrades!$K$11)*POWER(Upgrades!$L$11,J304)))*(IF(Upgrades!$T$6="Heliopause",POWER(Upgrades!$U$6,E304),1)*IF(Upgrades!$T$7="Heliopause",POWER(Upgrades!$U$7,F304),1)*IF(Upgrades!$T$8="Heliopause",POWER(Upgrades!$U$8,G304),1)*IF(Upgrades!$T$9="Heliopause",POWER(Upgrades!$U$9,H304),1)*IF(Upgrades!$T$10="Heliopause",POWER(Upgrades!$U$10,I304),1)*IF(Upgrades!$T$12="Heliopause",POWER(Upgrades!$U$12,K304),1))+(IF(K304=0,0,(Upgrades!$J$12+K304*Upgrades!$K$12)*POWER(Upgrades!$L$12,K304)))*(IF(Upgrades!$T$6="First Photons",POWER(Upgrades!$U$6,E304),1)*IF(Upgrades!$T$7="First Photons",POWER(Upgrades!$U$7,F304),1)*IF(Upgrades!$T$8="First Photons",POWER(Upgrades!$U$8,G304),1)*IF(Upgrades!$T$9="First Photons",POWER(Upgrades!$U$9,H304),1)*IF(Upgrades!$T$10="First Photons",POWER(Upgrades!$U$10,I304),1)*IF(Upgrades!$T$11="First Photons",POWER(Upgrades!$U$11,J304),1)))*POWER(Upgrades!$Q$6,E304)*POWER(Upgrades!$Q$7,F304)*POWER(Upgrades!$Q$8,G304)*POWER(Upgrades!$Q$9,H304)*POWER(Upgrades!$Q$10,I304)*POWER(Upgrades!$Q$11,J304)*POWER(Upgrades!$Q$12,K304)</f>
        <v>5.61</v>
      </c>
      <c r="N304" s="28" t="n">
        <f aca="false">((IF(E304=0,0,(Upgrades!$G$6+E304*Upgrades!$H$6)*POWER(Upgrades!$I$6,E304)))*(IF(Upgrades!$T$7="Solar Wind",POWER(Upgrades!$U$7,F304),1)*IF(Upgrades!$T$8="Solar Wind",POWER(Upgrades!$U$8,G304),1)*IF(Upgrades!$T$9="Solar Wind",POWER(Upgrades!$U$9,H304),1)*IF(Upgrades!$T$10="Solar Wind",POWER(Upgrades!$U$10,I304),1)*IF(Upgrades!$T$11="Solar Wind",POWER(Upgrades!$U$11,J304),1)*IF(Upgrades!$T$12="Solar Wind",POWER(Upgrades!$U$12,K304),1))+(IF(F304=0,0,(Upgrades!$G$7+F304*Upgrades!$H$7)*POWER(Upgrades!$I$7,F304)))*(IF(Upgrades!$T$6="Asteroid Belt",POWER(Upgrades!$U$6,E304),1)*IF(Upgrades!$T$8="Asteroid Belt",POWER(Upgrades!$U$8,G304),1)*IF(Upgrades!$T$9="Asteroid Belt",POWER(Upgrades!$U$9,H304),1)*IF(Upgrades!$T$10="Asteroid Belt",POWER(Upgrades!$U$10,I304),1)*IF(Upgrades!$T$11="Asteroid Belt",POWER(Upgrades!$U$11,J304),1)*IF(Upgrades!$T$12="Asteroid Belt",POWER(Upgrades!$U$12,K304),1))+(IF(G304=0,0,(Upgrades!$G$8+G304*Upgrades!$H$8)*POWER(Upgrades!$I$8,G304)))*(IF(Upgrades!$T$6="Stellar Coupling",POWER(Upgrades!$U$6,E304),1)*IF(Upgrades!$T$7="Stellar Coupling",POWER(Upgrades!$U$7,F304),1)*IF(Upgrades!$T$9="Stellar Coupling",POWER(Upgrades!$U$9,H304),1)*IF(Upgrades!$T$10="Stellar Coupling",POWER(Upgrades!$U$10,I304),1)*IF(Upgrades!$T$11="Stellar Coupling",POWER(Upgrades!$U$11,J304),1)*IF(Upgrades!$T$12="Stellar Coupling",POWER(Upgrades!$U$12,K304),1))+(IF(H304=0,0,(Upgrades!$G$9+H304*Upgrades!$H$9)*POWER(Upgrades!$I$9,H304)))*(IF(Upgrades!$T$6="Magnetosphere",POWER(Upgrades!$U$6,E304),1)*IF(Upgrades!$T$7="Magnetosphere",POWER(Upgrades!$U$7,F304),1)*IF(Upgrades!$T$8="Magnetosphere",POWER(Upgrades!$U$8,G304),1)*IF(Upgrades!$T$10="Magnetosphere",POWER(Upgrades!$U$10,I304),1)*IF(Upgrades!$T$11="Magnetosphere",POWER(Upgrades!$U$11,J304),1)*IF(Upgrades!$T$12="Magnetosphere",POWER(Upgrades!$U$12,K304),1))+(IF(I304=0,0,(Upgrades!$G$10+I304*Upgrades!$H$10)*POWER(Upgrades!$I$10,I304)))*(IF(Upgrades!$T$6="Orbital Resonance",POWER(Upgrades!$U$6,E304),1)*IF(Upgrades!$T$7="Orbital Resonance",POWER(Upgrades!$U$7,F304),1)*IF(Upgrades!$T$8="Orbital Resonance",POWER(Upgrades!$U$8,G304),1)*IF(Upgrades!$T$9="Orbital Resonance",POWER(Upgrades!$U$9,H304),1)*IF(Upgrades!$T$11="Orbital Resonance",POWER(Upgrades!$U$11,J304),1)*IF(Upgrades!$T$12="Orbital Resonance",POWER(Upgrades!$U$12,K304),1))+(IF(J304=0,0,(Upgrades!$G$11+J304*Upgrades!$H$11)*POWER(Upgrades!$I$11,J304)))*(IF(Upgrades!$T$6="Heliopause",POWER(Upgrades!$U$6,E304),1)*IF(Upgrades!$T$7="Heliopause",POWER(Upgrades!$U$7,F304),1)*IF(Upgrades!$T$8="Heliopause",POWER(Upgrades!$U$8,G304),1)*IF(Upgrades!$T$9="Heliopause",POWER(Upgrades!$U$9,H304),1)*IF(Upgrades!$T$10="Heliopause",POWER(Upgrades!$U$10,I304),1)*IF(Upgrades!$T$12="Heliopause",POWER(Upgrades!$U$12,K304),1))+(IF(K304=0,0,(Upgrades!$G$12+K304*Upgrades!$H$12)*POWER(Upgrades!$I$12,K304)))*(IF(Upgrades!$T$6="First Photons",POWER(Upgrades!$U$6,E304),1)*IF(Upgrades!$T$7="First Photons",POWER(Upgrades!$U$7,F304),1)*IF(Upgrades!$T$8="First Photons",POWER(Upgrades!$U$8,G304),1)*IF(Upgrades!$T$9="First Photons",POWER(Upgrades!$U$9,H304),1)*IF(Upgrades!$T$10="First Photons",POWER(Upgrades!$U$10,I304),1)*IF(Upgrades!$T$11="First Photons",POWER(Upgrades!$U$11,J304),1)))*POWER(Upgrades!$P$6,E304)*POWER(Upgrades!$P$7,F304)*POWER(Upgrades!$P$8,G304)*POWER(Upgrades!$P$9,H304)*POWER(Upgrades!$P$10,I304)*POWER(Upgrades!$P$11,J304)*POWER(Upgrades!$P$12,K304)</f>
        <v>11.2</v>
      </c>
      <c r="O304" s="28" t="n">
        <f aca="false">((IF(E304=0,0,(Upgrades!$M$6+E304*Upgrades!$N$6)*POWER(Upgrades!$O$6,E304)))*(IF(Upgrades!$T$7="Solar Wind",POWER(Upgrades!$U$7,F304),1)*IF(Upgrades!$T$8="Solar Wind",POWER(Upgrades!$U$8,G304),1)*IF(Upgrades!$T$9="Solar Wind",POWER(Upgrades!$U$9,H304),1)*IF(Upgrades!$T$10="Solar Wind",POWER(Upgrades!$U$10,I304),1)*IF(Upgrades!$T$11="Solar Wind",POWER(Upgrades!$U$11,J304),1)*IF(Upgrades!$T$12="Solar Wind",POWER(Upgrades!$U$12,K304),1))+(IF(F304=0,0,(Upgrades!$M$7+F304*Upgrades!$N$7)*POWER(Upgrades!$O$7,F304)))*(IF(Upgrades!$T$6="Asteroid Belt",POWER(Upgrades!$U$6,E304),1)*IF(Upgrades!$T$8="Asteroid Belt",POWER(Upgrades!$U$8,G304),1)*IF(Upgrades!$T$9="Asteroid Belt",POWER(Upgrades!$U$9,H304),1)*IF(Upgrades!$T$10="Asteroid Belt",POWER(Upgrades!$U$10,I304),1)*IF(Upgrades!$T$11="Asteroid Belt",POWER(Upgrades!$U$11,J304),1)*IF(Upgrades!$T$12="Asteroid Belt",POWER(Upgrades!$U$12,K304),1))+(IF(G304=0,0,(Upgrades!$M$8+G304*Upgrades!$N$8)*POWER(Upgrades!$O$8,G304)))*(IF(Upgrades!$T$6="Stellar Coupling",POWER(Upgrades!$U$6,E304),1)*IF(Upgrades!$T$7="Stellar Coupling",POWER(Upgrades!$U$7,F304),1)*IF(Upgrades!$T$9="Stellar Coupling",POWER(Upgrades!$U$9,H304),1)*IF(Upgrades!$T$10="Stellar Coupling",POWER(Upgrades!$U$10,I304),1)*IF(Upgrades!$T$11="Stellar Coupling",POWER(Upgrades!$U$11,J304),1)*IF(Upgrades!$T$12="Stellar Coupling",POWER(Upgrades!$U$12,K304),1))+(IF(H304=0,0,(Upgrades!$M$9+H304*Upgrades!$N$9)*POWER(Upgrades!$O$9,H304)))*(IF(Upgrades!$T$6="Magnetosphere",POWER(Upgrades!$U$6,E304),1)*IF(Upgrades!$T$7="Magnetosphere",POWER(Upgrades!$U$7,F304),1)*IF(Upgrades!$T$8="Magnetosphere",POWER(Upgrades!$U$8,G304),1)*IF(Upgrades!$T$10="Magnetosphere",POWER(Upgrades!$U$10,I304),1)*IF(Upgrades!$T$11="Magnetosphere",POWER(Upgrades!$U$11,J304),1)*IF(Upgrades!$T$12="Magnetosphere",POWER(Upgrades!$U$12,K304),1))+(IF(I304=0,0,(Upgrades!$M$10+I304*Upgrades!$N$10)*POWER(Upgrades!$O$10,I304)))*(IF(Upgrades!$T$6="Orbital Resonance",POWER(Upgrades!$U$6,E304),1)*IF(Upgrades!$T$7="Orbital Resonance",POWER(Upgrades!$U$7,F304),1)*IF(Upgrades!$T$8="Orbital Resonance",POWER(Upgrades!$U$8,G304),1)*IF(Upgrades!$T$9="Orbital Resonance",POWER(Upgrades!$U$9,H304),1)*IF(Upgrades!$T$11="Orbital Resonance",POWER(Upgrades!$U$11,J304),1)*IF(Upgrades!$T$12="Orbital Resonance",POWER(Upgrades!$U$12,K304),1))+(IF(J304=0,0,(Upgrades!$M$11+J304*Upgrades!$N$11)*POWER(Upgrades!$O$11,J304)))*(IF(Upgrades!$T$6="Heliopause",POWER(Upgrades!$U$6,E304),1)*IF(Upgrades!$T$7="Heliopause",POWER(Upgrades!$U$7,F304),1)*IF(Upgrades!$T$8="Heliopause",POWER(Upgrades!$U$8,G304),1)*IF(Upgrades!$T$9="Heliopause",POWER(Upgrades!$U$9,H304),1)*IF(Upgrades!$T$10="Heliopause",POWER(Upgrades!$U$10,I304),1)*IF(Upgrades!$T$12="Heliopause",POWER(Upgrades!$U$12,K304),1))+(IF(K304=0,0,(Upgrades!$M$12+K304*Upgrades!$N$12)*POWER(Upgrades!$O$12,K304)))*(IF(Upgrades!$T$6="First Photons",POWER(Upgrades!$U$6,E304),1)*IF(Upgrades!$T$7="First Photons",POWER(Upgrades!$U$7,F304),1)*IF(Upgrades!$T$8="First Photons",POWER(Upgrades!$U$8,G304),1)*IF(Upgrades!$T$9="First Photons",POWER(Upgrades!$U$9,H304),1)*IF(Upgrades!$T$10="First Photons",POWER(Upgrades!$U$10,I304),1)*IF(Upgrades!$T$11="First Photons",POWER(Upgrades!$U$11,J304),1)))*POWER(Upgrades!$R$6,E304)*POWER(Upgrades!$R$7,F304)*POWER(Upgrades!$R$8,G304)*POWER(Upgrades!$R$9,H304)*POWER(Upgrades!$R$10,I304)*POWER(Upgrades!$R$11,J304)*POWER(Upgrades!$R$12,K304)</f>
        <v>0</v>
      </c>
      <c r="P304" s="27" t="n">
        <f aca="false">IF(L304=1,0,M304*Parameters!$B$10/60*Parameters!$B$11*10)</f>
        <v>0</v>
      </c>
      <c r="Q304" s="27" t="n">
        <f aca="false">IF(L304=1,0,O304*M304*10)</f>
        <v>0</v>
      </c>
      <c r="R304" s="27" t="n">
        <f aca="false">IF(L304=1,0,N304*10)</f>
        <v>0</v>
      </c>
      <c r="S304" s="27" t="n">
        <f aca="false">P304+Q304+R304</f>
        <v>0</v>
      </c>
      <c r="T304" s="21" t="n">
        <f aca="false">C304+S304</f>
        <v>18.6730249835055</v>
      </c>
      <c r="U304" s="34" t="str">
        <f aca="false">AX304</f>
        <v/>
      </c>
      <c r="V304" s="21" t="n">
        <f aca="false">IF(U304="",0,IF(U304="transition",0,IF(U304="SW",AG304,IF(U304="AB",AH304,IF(U304="SC",AI304,IF(U304="Mag",AJ304,IF(U304="OR",AK304,IF(U304="HP",AL304,IF(U304="FP",AM304,0)))))))))</f>
        <v>0</v>
      </c>
      <c r="W304" s="27" t="n">
        <f aca="false">IF(U304="OR",Upgrades!$F$10,IF(U304="HP",Upgrades!$F$11,IF(U304="transition",-Parameters!$B$18,0)))</f>
        <v>0</v>
      </c>
      <c r="X304" s="21" t="n">
        <f aca="false">T304-V304</f>
        <v>18.6730249835055</v>
      </c>
      <c r="Y304" s="30" t="n">
        <f aca="false">M304*Parameters!$B$10/60*Parameters!$B$11+O304*M304+N304</f>
        <v>20.55</v>
      </c>
      <c r="Z304" s="35" t="str">
        <f aca="false">IF(U304="transition","→ Tier 2 (Stellar Neighborhood)",IF(U304="FP","First Photons — light begins, system quickens",IF(U304="HP","Heliopause acquired",IF(U304="OR","Orbital Resonance — passive multiplier active",IF(AND(AO304=1,L304=0,AN304&lt;&gt;1),"Cohesion ready (waiting on completionist upgrades)","")))))</f>
        <v/>
      </c>
      <c r="AA304" s="27" t="n">
        <f aca="false">(IF(E304=0,0,(Upgrades!$G$6+E304*Upgrades!$H$6)*POWER(Upgrades!$I$6,E304)))*(IF(Upgrades!$T$7="Solar Wind",POWER(Upgrades!$U$7,F304),1)*IF(Upgrades!$T$8="Solar Wind",POWER(Upgrades!$U$8,G304),1)*IF(Upgrades!$T$9="Solar Wind",POWER(Upgrades!$U$9,H304),1)*IF(Upgrades!$T$10="Solar Wind",POWER(Upgrades!$U$10,I304),1)*IF(Upgrades!$T$11="Solar Wind",POWER(Upgrades!$U$11,J304),1)*IF(Upgrades!$T$12="Solar Wind",POWER(Upgrades!$U$12,K304),1))*POWER(Upgrades!$P$6,E304)*POWER(Upgrades!$P$7,F304)*POWER(Upgrades!$P$8,G304)*POWER(Upgrades!$P$9,H304)*POWER(Upgrades!$P$10,I304)*POWER(Upgrades!$P$11,J304)*POWER(Upgrades!$P$12,K304)*60</f>
        <v>72</v>
      </c>
      <c r="AB304" s="27" t="n">
        <f aca="false">(IF(F304=0,0,(Upgrades!$G$7+F304*Upgrades!$H$7)*POWER(Upgrades!$I$7,F304)))*(IF(Upgrades!$T$6="Asteroid Belt",POWER(Upgrades!$U$6,E304),1)*IF(Upgrades!$T$8="Asteroid Belt",POWER(Upgrades!$U$8,G304),1)*IF(Upgrades!$T$9="Asteroid Belt",POWER(Upgrades!$U$9,H304),1)*IF(Upgrades!$T$10="Asteroid Belt",POWER(Upgrades!$U$10,I304),1)*IF(Upgrades!$T$11="Asteroid Belt",POWER(Upgrades!$U$11,J304),1)*IF(Upgrades!$T$12="Asteroid Belt",POWER(Upgrades!$U$12,K304),1))*POWER(Upgrades!$P$6,E304)*POWER(Upgrades!$P$7,F304)*POWER(Upgrades!$P$8,G304)*POWER(Upgrades!$P$9,H304)*POWER(Upgrades!$P$10,I304)*POWER(Upgrades!$P$11,J304)*POWER(Upgrades!$P$12,K304)*60</f>
        <v>150</v>
      </c>
      <c r="AC304" s="27" t="n">
        <f aca="false">(IF(G304=0,0,(Upgrades!$J$8+G304*Upgrades!$K$8)*POWER(Upgrades!$L$8,G304)))*(IF(Upgrades!$T$6="Stellar Coupling",POWER(Upgrades!$U$6,E304),1)*IF(Upgrades!$T$7="Stellar Coupling",POWER(Upgrades!$U$7,F304),1)*IF(Upgrades!$T$9="Stellar Coupling",POWER(Upgrades!$U$9,H304),1)*IF(Upgrades!$T$10="Stellar Coupling",POWER(Upgrades!$U$10,I304),1)*IF(Upgrades!$T$11="Stellar Coupling",POWER(Upgrades!$U$11,J304),1)*IF(Upgrades!$T$12="Stellar Coupling",POWER(Upgrades!$U$12,K304),1))*POWER(Upgrades!$Q$6,E304)*POWER(Upgrades!$Q$7,F304)*POWER(Upgrades!$Q$8,G304)*POWER(Upgrades!$Q$9,H304)*POWER(Upgrades!$Q$10,I304)*POWER(Upgrades!$Q$11,J304)*POWER(Upgrades!$Q$12,K304)*Parameters!$B$10*Parameters!$B$11</f>
        <v>441</v>
      </c>
      <c r="AD304" s="27" t="n">
        <f aca="false">(IF(H304=0,0,(Upgrades!$G$9+H304*Upgrades!$H$9)*POWER(Upgrades!$I$9,H304)))*(IF(Upgrades!$T$6="Magnetosphere",POWER(Upgrades!$U$6,E304),1)*IF(Upgrades!$T$7="Magnetosphere",POWER(Upgrades!$U$7,F304),1)*IF(Upgrades!$T$8="Magnetosphere",POWER(Upgrades!$U$8,G304),1)*IF(Upgrades!$T$10="Magnetosphere",POWER(Upgrades!$U$10,I304),1)*IF(Upgrades!$T$11="Magnetosphere",POWER(Upgrades!$U$11,J304),1)*IF(Upgrades!$T$12="Magnetosphere",POWER(Upgrades!$U$12,K304),1))*POWER(Upgrades!$P$6,E304)*POWER(Upgrades!$P$7,F304)*POWER(Upgrades!$P$8,G304)*POWER(Upgrades!$P$9,H304)*POWER(Upgrades!$P$10,I304)*POWER(Upgrades!$P$11,J304)*POWER(Upgrades!$P$12,K304)*60</f>
        <v>375</v>
      </c>
      <c r="AE304" s="27" t="n">
        <f aca="false">(IF(K304=0,0,(Upgrades!$G$12+K304*Upgrades!$H$12)*POWER(Upgrades!$I$12,K304)))*(IF(Upgrades!$T$6="First Photons",POWER(Upgrades!$U$6,E304),1)*IF(Upgrades!$T$7="First Photons",POWER(Upgrades!$U$7,F304),1)*IF(Upgrades!$T$8="First Photons",POWER(Upgrades!$U$8,G304),1)*IF(Upgrades!$T$9="First Photons",POWER(Upgrades!$U$9,H304),1)*IF(Upgrades!$T$10="First Photons",POWER(Upgrades!$U$10,I304),1)*IF(Upgrades!$T$11="First Photons",POWER(Upgrades!$U$11,J304),1))*POWER(Upgrades!$P$6,E304)*POWER(Upgrades!$P$7,F304)*POWER(Upgrades!$P$8,G304)*POWER(Upgrades!$P$9,H304)*POWER(Upgrades!$P$10,I304)*POWER(Upgrades!$P$11,J304)*POWER(Upgrades!$P$12,K304)*60</f>
        <v>75</v>
      </c>
      <c r="AF304" s="27" t="n">
        <f aca="false">Parameters!$B$9*POWER(Upgrades!$Q$6,E304)*POWER(Upgrades!$Q$7,F304)*POWER(Upgrades!$Q$8,G304)*POWER(Upgrades!$Q$9,H304)*POWER(Upgrades!$Q$10,I304)*POWER(Upgrades!$Q$11,J304)*POWER(Upgrades!$Q$12,K304)*(Parameters!$B$10*Parameters!$B$11+O304*60)</f>
        <v>120</v>
      </c>
      <c r="AG304" s="21" t="n">
        <f aca="false">IF(E304&gt;=Upgrades!$E$6,"",Upgrades!$C$6*POWER(Upgrades!$D$6,E304))</f>
        <v>37.4517507383159</v>
      </c>
      <c r="AH304" s="21" t="n">
        <f aca="false">IF(F304&gt;=Upgrades!$E$7,"",Upgrades!$C$7*POWER(Upgrades!$D$7,F304))</f>
        <v>80.9111547141581</v>
      </c>
      <c r="AI304" s="21" t="n">
        <f aca="false">IF(G304&gt;=Upgrades!$E$8,"",Upgrades!$C$8*POWER(Upgrades!$D$8,G304))</f>
        <v>231.9097088</v>
      </c>
      <c r="AJ304" s="21" t="str">
        <f aca="false">IF(H304&gt;=Upgrades!$E$9,"",Upgrades!$C$9*POWER(Upgrades!$D$9,H304))</f>
        <v/>
      </c>
      <c r="AK304" s="21" t="str">
        <f aca="false">IF(I304&gt;=Upgrades!$E$10,"",Upgrades!$C$10*POWER(Upgrades!$D$10,I304))</f>
        <v/>
      </c>
      <c r="AL304" s="21" t="str">
        <f aca="false">IF(J304&gt;=Upgrades!$E$11,"",Upgrades!$C$11*POWER(Upgrades!$D$11,J304))</f>
        <v/>
      </c>
      <c r="AM304" s="21" t="str">
        <f aca="false">IF(K304&gt;=Upgrades!$E$12,"",Upgrades!$C$12*POWER(Upgrades!$D$12,K304))</f>
        <v/>
      </c>
      <c r="AN304" s="26" t="str">
        <f aca="false">IF(AND(D304&gt;=Parameters!$B$18,(H304&gt;=Upgrades!$E$9)*(K304&gt;=Upgrades!$E$12)=1,L304=0),1,"")</f>
        <v/>
      </c>
      <c r="AO304" s="26" t="str">
        <f aca="false">IF(AND(D304&gt;=Parameters!$B$18,L304=0),1,"")</f>
        <v/>
      </c>
      <c r="AP304" s="21" t="n">
        <f aca="false">MIN(IF(ISNUMBER(AK304),AK304,9000000000000000),IF(ISNUMBER(AL304),AL304,9000000000000000),IF(ISNUMBER(AM304),AM304,9000000000000000))</f>
        <v>9000000000000000</v>
      </c>
      <c r="AQ304" s="21" t="n">
        <f aca="false">MIN(IF(ISNUMBER(AG304),AG304,9000000000000000),IF(ISNUMBER(AH304),AH304,9000000000000000),IF(ISNUMBER(AI304),AI304,9000000000000000),IF(ISNUMBER(AJ304),AJ304,9000000000000000))</f>
        <v>37.4517507383159</v>
      </c>
      <c r="AR304" s="32" t="b">
        <f aca="false">IF(AW304&gt;Parameters!$B$21*(MAX(IF(AND(NOT(AND(AO304=1,AN304&lt;&gt;1)),ISNUMBER(AG304),AG304&lt;=T304),AS304,0),IF(AND(NOT(AND(AO304=1,AN304&lt;&gt;1)),ISNUMBER(AH304),AH304&lt;=T304),AT304,0),IF(AND(NOT(AND(AO304=1,AN304&lt;&gt;1)),ISNUMBER(AI304),AI304&lt;=T304),AU304,0),IF(AND(ISNUMBER(AJ304),AJ304&lt;=T304),AV304,0))),TRUE(),FALSE())</f>
        <v>1</v>
      </c>
      <c r="AS304" s="33" t="n">
        <f aca="false">IFERROR(Upgrades!$H$6*(POWER(Upgrades!$P$6,E304)*POWER(Upgrades!$P$7,F304)*POWER(Upgrades!$P$8,G304)*POWER(Upgrades!$P$9,H304)*POWER(Upgrades!$P$10,I304)*POWER(Upgrades!$P$11,J304)*POWER(Upgrades!$P$12,K304))*(IF(Upgrades!$T$7="Solar Wind",POWER(Upgrades!$U$7,F304),1)*IF(Upgrades!$T$8="Solar Wind",POWER(Upgrades!$U$8,G304),1)*IF(Upgrades!$T$9="Solar Wind",POWER(Upgrades!$U$9,H304),1)*IF(Upgrades!$T$10="Solar Wind",POWER(Upgrades!$U$10,I304),1)*IF(Upgrades!$T$11="Solar Wind",POWER(Upgrades!$U$11,J304),1)*IF(Upgrades!$T$12="Solar Wind",POWER(Upgrades!$U$12,K304),1))/AG304,0)</f>
        <v>0.0026701021455238</v>
      </c>
      <c r="AT304" s="33" t="n">
        <f aca="false">IFERROR(Upgrades!$H$7*(POWER(Upgrades!$P$6,E304)*POWER(Upgrades!$P$7,F304)*POWER(Upgrades!$P$8,G304)*POWER(Upgrades!$P$9,H304)*POWER(Upgrades!$P$10,I304)*POWER(Upgrades!$P$11,J304)*POWER(Upgrades!$P$12,K304))*(IF(Upgrades!$T$6="Asteroid Belt",POWER(Upgrades!$U$6,E304),1)*IF(Upgrades!$T$8="Asteroid Belt",POWER(Upgrades!$U$8,G304),1)*IF(Upgrades!$T$9="Asteroid Belt",POWER(Upgrades!$U$9,H304),1)*IF(Upgrades!$T$10="Asteroid Belt",POWER(Upgrades!$U$10,I304),1)*IF(Upgrades!$T$11="Asteroid Belt",POWER(Upgrades!$U$11,J304),1)*IF(Upgrades!$T$12="Asteroid Belt",POWER(Upgrades!$U$12,K304),1))/AH304,0)</f>
        <v>0.00308980882652332</v>
      </c>
      <c r="AU304" s="33" t="n">
        <f aca="false">IFERROR(Upgrades!$K$8*(POWER(Upgrades!$Q$6,E304)*POWER(Upgrades!$Q$7,F304)*POWER(Upgrades!$Q$8,G304)*POWER(Upgrades!$Q$9,H304)*POWER(Upgrades!$Q$10,I304)*POWER(Upgrades!$Q$11,J304)*POWER(Upgrades!$Q$12,K304))*(IF(Upgrades!$T$6="Stellar Coupling",POWER(Upgrades!$U$6,E304),1)*IF(Upgrades!$T$7="Stellar Coupling",POWER(Upgrades!$U$7,F304),1)*IF(Upgrades!$T$9="Stellar Coupling",POWER(Upgrades!$U$9,H304),1)*IF(Upgrades!$T$10="Stellar Coupling",POWER(Upgrades!$U$10,I304),1)*IF(Upgrades!$T$11="Stellar Coupling",POWER(Upgrades!$U$11,J304),1)*IF(Upgrades!$T$12="Stellar Coupling",POWER(Upgrades!$U$12,K304),1))*Parameters!$B$10*Parameters!$B$11/60/AI304,0)</f>
        <v>0.00452762415783776</v>
      </c>
      <c r="AV304" s="33" t="n">
        <f aca="false">IFERROR(Upgrades!$H$9*(POWER(Upgrades!$P$6,E304)*POWER(Upgrades!$P$7,F304)*POWER(Upgrades!$P$8,G304)*POWER(Upgrades!$P$9,H304)*POWER(Upgrades!$P$10,I304)*POWER(Upgrades!$P$11,J304)*POWER(Upgrades!$P$12,K304))*(IF(Upgrades!$T$6="Magnetosphere",POWER(Upgrades!$U$6,E304),1)*IF(Upgrades!$T$7="Magnetosphere",POWER(Upgrades!$U$7,F304),1)*IF(Upgrades!$T$8="Magnetosphere",POWER(Upgrades!$U$8,G304),1)*IF(Upgrades!$T$10="Magnetosphere",POWER(Upgrades!$U$10,I304),1)*IF(Upgrades!$T$11="Magnetosphere",POWER(Upgrades!$U$11,J304),1)*IF(Upgrades!$T$12="Magnetosphere",POWER(Upgrades!$U$12,K304),1))/AJ304,0)</f>
        <v>0</v>
      </c>
      <c r="AW304" s="33" t="n">
        <f aca="false">MAX(IF(I304&gt;0,0,IFERROR(0.25*N304/Upgrades!$C$10,0)),IF(J304&gt;0,0,IFERROR(0.5*((IF(G304=0,0,(Upgrades!$J$8+G304*Upgrades!$K$8)*POWER(Upgrades!$L$8,G304)))*(IF(Upgrades!$T$6="Stellar Coupling",POWER(Upgrades!$U$6,E304),1)*IF(Upgrades!$T$7="Stellar Coupling",POWER(Upgrades!$U$7,F304),1)*IF(Upgrades!$T$9="Stellar Coupling",POWER(Upgrades!$U$9,H304),1)*IF(Upgrades!$T$10="Stellar Coupling",POWER(Upgrades!$U$10,I304),1)*IF(Upgrades!$T$11="Stellar Coupling",POWER(Upgrades!$U$11,J304),1)*IF(Upgrades!$T$12="Stellar Coupling",POWER(Upgrades!$U$12,K304),1))*(POWER(Upgrades!$Q$6,E304)*POWER(Upgrades!$Q$7,F304)*POWER(Upgrades!$Q$8,G304)*POWER(Upgrades!$Q$9,H304)*POWER(Upgrades!$Q$10,I304)*POWER(Upgrades!$Q$11,J304)*POWER(Upgrades!$Q$12,K304))*Parameters!$B$10*Parameters!$B$11/60)/Upgrades!$C$11,0)),IF(K304&gt;0,0,IFERROR((1*(POWER(Upgrades!$P$6,E304)*POWER(Upgrades!$P$7,F304)*POWER(Upgrades!$P$8,G304)*POWER(Upgrades!$P$9,H304)*POWER(Upgrades!$P$10,I304)*POWER(Upgrades!$P$11,J304)*POWER(Upgrades!$P$12,K304))+0.2*M304*Parameters!$B$10*Parameters!$B$11/60)/Upgrades!$C$12,0)),IF(AND(ISNUMBER(AG304),AG304&gt;T304),AS304,0),IF(AND(ISNUMBER(AH304),AH304&gt;T304),AT304,0),IF(AND(ISNUMBER(AI304),AI304&gt;T304),AU304,0),IF(AND(ISNUMBER(AJ304),AJ304&gt;T304),AV304,0))</f>
        <v>0.00452762415783776</v>
      </c>
      <c r="AX304" s="29" t="str">
        <f aca="false">IF(AN304=1,"transition",IF(MIN(IF(AND(I304=0,ISNUMBER(AK304),AK304&lt;=T304),AK304,9000000000000000),IF(AND(J304=0,ISNUMBER(AL304),AL304&lt;=T304),AL304,9000000000000000),IF(AND(K304=0,ISNUMBER(AM304),AM304&lt;=T304),AM304,9000000000000000))&lt;9000000000000000,IF(AND(AND(I304=0,ISNUMBER(AK304),AK304&lt;=T304),AK304=MIN(IF(AND(I304=0,ISNUMBER(AK304),AK304&lt;=T304),AK304,9000000000000000),IF(AND(J304=0,ISNUMBER(AL304),AL304&lt;=T304),AL304,9000000000000000),IF(AND(K304=0,ISNUMBER(AM304),AM304&lt;=T304),AM304,9000000000000000))),"OR",IF(AND(AND(J304=0,ISNUMBER(AL304),AL304&lt;=T304),AL304=MIN(IF(AND(I304=0,ISNUMBER(AK304),AK304&lt;=T304),AK304,9000000000000000),IF(AND(J304=0,ISNUMBER(AL304),AL304&lt;=T304),AL304,9000000000000000),IF(AND(K304=0,ISNUMBER(AM304),AM304&lt;=T304),AM304,9000000000000000))),"HP","FP")),IF(AR304=TRUE(),"",IF(MAX(IF(AND(NOT(AND(AO304=1,AN304&lt;&gt;1)),ISNUMBER(AG304),AG304&lt;=T304),AS304,0),IF(AND(NOT(AND(AO304=1,AN304&lt;&gt;1)),ISNUMBER(AH304),AH304&lt;=T304),AT304,0),IF(AND(NOT(AND(AO304=1,AN304&lt;&gt;1)),ISNUMBER(AI304),AI304&lt;=T304),AU304,0),IF(AND(ISNUMBER(AJ304),AJ304&lt;=T304),AV304,0))&lt;=0,"",IF(AND(IF(AND(NOT(AND(AO304=1,AN304&lt;&gt;1)),ISNUMBER(AG304),AG304&lt;=T304),AS304,0)&gt;0,IF(AND(NOT(AND(AO304=1,AN304&lt;&gt;1)),ISNUMBER(AG304),AG304&lt;=T304),AS304,0)=MAX(IF(AND(NOT(AND(AO304=1,AN304&lt;&gt;1)),ISNUMBER(AG304),AG304&lt;=T304),AS304,0),IF(AND(NOT(AND(AO304=1,AN304&lt;&gt;1)),ISNUMBER(AH304),AH304&lt;=T304),AT304,0),IF(AND(NOT(AND(AO304=1,AN304&lt;&gt;1)),ISNUMBER(AI304),AI304&lt;=T304),AU304,0),IF(AND(ISNUMBER(AJ304),AJ304&lt;=T304),AV304,0))),"SW",IF(AND(IF(AND(NOT(AND(AO304=1,AN304&lt;&gt;1)),ISNUMBER(AH304),AH304&lt;=T304),AT304,0)&gt;0,IF(AND(NOT(AND(AO304=1,AN304&lt;&gt;1)),ISNUMBER(AH304),AH304&lt;=T304),AT304,0)=MAX(IF(AND(NOT(AND(AO304=1,AN304&lt;&gt;1)),ISNUMBER(AG304),AG304&lt;=T304),AS304,0),IF(AND(NOT(AND(AO304=1,AN304&lt;&gt;1)),ISNUMBER(AH304),AH304&lt;=T304),AT304,0),IF(AND(NOT(AND(AO304=1,AN304&lt;&gt;1)),ISNUMBER(AI304),AI304&lt;=T304),AU304,0),IF(AND(ISNUMBER(AJ304),AJ304&lt;=T304),AV304,0))),"AB",IF(AND(IF(AND(NOT(AND(AO304=1,AN304&lt;&gt;1)),ISNUMBER(AI304),AI304&lt;=T304),AU304,0)&gt;0,IF(AND(NOT(AND(AO304=1,AN304&lt;&gt;1)),ISNUMBER(AI304),AI304&lt;=T304),AU304,0)=MAX(IF(AND(NOT(AND(AO304=1,AN304&lt;&gt;1)),ISNUMBER(AG304),AG304&lt;=T304),AS304,0),IF(AND(NOT(AND(AO304=1,AN304&lt;&gt;1)),ISNUMBER(AH304),AH304&lt;=T304),AT304,0),IF(AND(NOT(AND(AO304=1,AN304&lt;&gt;1)),ISNUMBER(AI304),AI304&lt;=T304),AU304,0),IF(AND(ISNUMBER(AJ304),AJ304&lt;=T304),AV304,0))),"SC","Mag")))))))</f>
        <v/>
      </c>
    </row>
    <row r="305" customFormat="false" ht="15" hidden="false" customHeight="false" outlineLevel="0" collapsed="false">
      <c r="A305" s="26" t="n">
        <v>300</v>
      </c>
      <c r="B305" s="27" t="n">
        <f aca="false">A305*10/60</f>
        <v>50</v>
      </c>
      <c r="C305" s="21" t="n">
        <f aca="false">X304</f>
        <v>18.6730249835055</v>
      </c>
      <c r="D305" s="27" t="n">
        <f aca="false">D304+W304</f>
        <v>0</v>
      </c>
      <c r="E305" s="26" t="n">
        <f aca="false">E304+IF(U304="SW",1,0)</f>
        <v>12</v>
      </c>
      <c r="F305" s="26" t="n">
        <f aca="false">F304+IF(U304="AB",1,0)</f>
        <v>10</v>
      </c>
      <c r="G305" s="26" t="n">
        <f aca="false">G304+IF(U304="SC",1,0)</f>
        <v>7</v>
      </c>
      <c r="H305" s="26" t="n">
        <f aca="false">H304+IF(U304="Mag",1,0)</f>
        <v>5</v>
      </c>
      <c r="I305" s="26" t="n">
        <f aca="false">MAX(I304,IF(U304="OR",1,0))</f>
        <v>1</v>
      </c>
      <c r="J305" s="26" t="n">
        <f aca="false">MAX(J304,IF(U304="HP",1,0))</f>
        <v>1</v>
      </c>
      <c r="K305" s="26" t="n">
        <f aca="false">MAX(K304,IF(U304="FP",1,0))</f>
        <v>1</v>
      </c>
      <c r="L305" s="26" t="n">
        <f aca="false">MAX(L304,IF(U304="transition",1,0))</f>
        <v>1</v>
      </c>
      <c r="M305" s="28" t="n">
        <f aca="false">(Parameters!$B$9+(IF(E305=0,0,(Upgrades!$J$6+E305*Upgrades!$K$6)*POWER(Upgrades!$L$6,E305)))*(IF(Upgrades!$T$7="Solar Wind",POWER(Upgrades!$U$7,F305),1)*IF(Upgrades!$T$8="Solar Wind",POWER(Upgrades!$U$8,G305),1)*IF(Upgrades!$T$9="Solar Wind",POWER(Upgrades!$U$9,H305),1)*IF(Upgrades!$T$10="Solar Wind",POWER(Upgrades!$U$10,I305),1)*IF(Upgrades!$T$11="Solar Wind",POWER(Upgrades!$U$11,J305),1)*IF(Upgrades!$T$12="Solar Wind",POWER(Upgrades!$U$12,K305),1))+(IF(F305=0,0,(Upgrades!$J$7+F305*Upgrades!$K$7)*POWER(Upgrades!$L$7,F305)))*(IF(Upgrades!$T$6="Asteroid Belt",POWER(Upgrades!$U$6,E305),1)*IF(Upgrades!$T$8="Asteroid Belt",POWER(Upgrades!$U$8,G305),1)*IF(Upgrades!$T$9="Asteroid Belt",POWER(Upgrades!$U$9,H305),1)*IF(Upgrades!$T$10="Asteroid Belt",POWER(Upgrades!$U$10,I305),1)*IF(Upgrades!$T$11="Asteroid Belt",POWER(Upgrades!$U$11,J305),1)*IF(Upgrades!$T$12="Asteroid Belt",POWER(Upgrades!$U$12,K305),1))+(IF(G305=0,0,(Upgrades!$J$8+G305*Upgrades!$K$8)*POWER(Upgrades!$L$8,G305)))*(IF(Upgrades!$T$6="Stellar Coupling",POWER(Upgrades!$U$6,E305),1)*IF(Upgrades!$T$7="Stellar Coupling",POWER(Upgrades!$U$7,F305),1)*IF(Upgrades!$T$9="Stellar Coupling",POWER(Upgrades!$U$9,H305),1)*IF(Upgrades!$T$10="Stellar Coupling",POWER(Upgrades!$U$10,I305),1)*IF(Upgrades!$T$11="Stellar Coupling",POWER(Upgrades!$U$11,J305),1)*IF(Upgrades!$T$12="Stellar Coupling",POWER(Upgrades!$U$12,K305),1))+(IF(H305=0,0,(Upgrades!$J$9+H305*Upgrades!$K$9)*POWER(Upgrades!$L$9,H305)))*(IF(Upgrades!$T$6="Magnetosphere",POWER(Upgrades!$U$6,E305),1)*IF(Upgrades!$T$7="Magnetosphere",POWER(Upgrades!$U$7,F305),1)*IF(Upgrades!$T$8="Magnetosphere",POWER(Upgrades!$U$8,G305),1)*IF(Upgrades!$T$10="Magnetosphere",POWER(Upgrades!$U$10,I305),1)*IF(Upgrades!$T$11="Magnetosphere",POWER(Upgrades!$U$11,J305),1)*IF(Upgrades!$T$12="Magnetosphere",POWER(Upgrades!$U$12,K305),1))+(IF(I305=0,0,(Upgrades!$J$10+I305*Upgrades!$K$10)*POWER(Upgrades!$L$10,I305)))*(IF(Upgrades!$T$6="Orbital Resonance",POWER(Upgrades!$U$6,E305),1)*IF(Upgrades!$T$7="Orbital Resonance",POWER(Upgrades!$U$7,F305),1)*IF(Upgrades!$T$8="Orbital Resonance",POWER(Upgrades!$U$8,G305),1)*IF(Upgrades!$T$9="Orbital Resonance",POWER(Upgrades!$U$9,H305),1)*IF(Upgrades!$T$11="Orbital Resonance",POWER(Upgrades!$U$11,J305),1)*IF(Upgrades!$T$12="Orbital Resonance",POWER(Upgrades!$U$12,K305),1))+(IF(J305=0,0,(Upgrades!$J$11+J305*Upgrades!$K$11)*POWER(Upgrades!$L$11,J305)))*(IF(Upgrades!$T$6="Heliopause",POWER(Upgrades!$U$6,E305),1)*IF(Upgrades!$T$7="Heliopause",POWER(Upgrades!$U$7,F305),1)*IF(Upgrades!$T$8="Heliopause",POWER(Upgrades!$U$8,G305),1)*IF(Upgrades!$T$9="Heliopause",POWER(Upgrades!$U$9,H305),1)*IF(Upgrades!$T$10="Heliopause",POWER(Upgrades!$U$10,I305),1)*IF(Upgrades!$T$12="Heliopause",POWER(Upgrades!$U$12,K305),1))+(IF(K305=0,0,(Upgrades!$J$12+K305*Upgrades!$K$12)*POWER(Upgrades!$L$12,K305)))*(IF(Upgrades!$T$6="First Photons",POWER(Upgrades!$U$6,E305),1)*IF(Upgrades!$T$7="First Photons",POWER(Upgrades!$U$7,F305),1)*IF(Upgrades!$T$8="First Photons",POWER(Upgrades!$U$8,G305),1)*IF(Upgrades!$T$9="First Photons",POWER(Upgrades!$U$9,H305),1)*IF(Upgrades!$T$10="First Photons",POWER(Upgrades!$U$10,I305),1)*IF(Upgrades!$T$11="First Photons",POWER(Upgrades!$U$11,J305),1)))*POWER(Upgrades!$Q$6,E305)*POWER(Upgrades!$Q$7,F305)*POWER(Upgrades!$Q$8,G305)*POWER(Upgrades!$Q$9,H305)*POWER(Upgrades!$Q$10,I305)*POWER(Upgrades!$Q$11,J305)*POWER(Upgrades!$Q$12,K305)</f>
        <v>5.61</v>
      </c>
      <c r="N305" s="28" t="n">
        <f aca="false">((IF(E305=0,0,(Upgrades!$G$6+E305*Upgrades!$H$6)*POWER(Upgrades!$I$6,E305)))*(IF(Upgrades!$T$7="Solar Wind",POWER(Upgrades!$U$7,F305),1)*IF(Upgrades!$T$8="Solar Wind",POWER(Upgrades!$U$8,G305),1)*IF(Upgrades!$T$9="Solar Wind",POWER(Upgrades!$U$9,H305),1)*IF(Upgrades!$T$10="Solar Wind",POWER(Upgrades!$U$10,I305),1)*IF(Upgrades!$T$11="Solar Wind",POWER(Upgrades!$U$11,J305),1)*IF(Upgrades!$T$12="Solar Wind",POWER(Upgrades!$U$12,K305),1))+(IF(F305=0,0,(Upgrades!$G$7+F305*Upgrades!$H$7)*POWER(Upgrades!$I$7,F305)))*(IF(Upgrades!$T$6="Asteroid Belt",POWER(Upgrades!$U$6,E305),1)*IF(Upgrades!$T$8="Asteroid Belt",POWER(Upgrades!$U$8,G305),1)*IF(Upgrades!$T$9="Asteroid Belt",POWER(Upgrades!$U$9,H305),1)*IF(Upgrades!$T$10="Asteroid Belt",POWER(Upgrades!$U$10,I305),1)*IF(Upgrades!$T$11="Asteroid Belt",POWER(Upgrades!$U$11,J305),1)*IF(Upgrades!$T$12="Asteroid Belt",POWER(Upgrades!$U$12,K305),1))+(IF(G305=0,0,(Upgrades!$G$8+G305*Upgrades!$H$8)*POWER(Upgrades!$I$8,G305)))*(IF(Upgrades!$T$6="Stellar Coupling",POWER(Upgrades!$U$6,E305),1)*IF(Upgrades!$T$7="Stellar Coupling",POWER(Upgrades!$U$7,F305),1)*IF(Upgrades!$T$9="Stellar Coupling",POWER(Upgrades!$U$9,H305),1)*IF(Upgrades!$T$10="Stellar Coupling",POWER(Upgrades!$U$10,I305),1)*IF(Upgrades!$T$11="Stellar Coupling",POWER(Upgrades!$U$11,J305),1)*IF(Upgrades!$T$12="Stellar Coupling",POWER(Upgrades!$U$12,K305),1))+(IF(H305=0,0,(Upgrades!$G$9+H305*Upgrades!$H$9)*POWER(Upgrades!$I$9,H305)))*(IF(Upgrades!$T$6="Magnetosphere",POWER(Upgrades!$U$6,E305),1)*IF(Upgrades!$T$7="Magnetosphere",POWER(Upgrades!$U$7,F305),1)*IF(Upgrades!$T$8="Magnetosphere",POWER(Upgrades!$U$8,G305),1)*IF(Upgrades!$T$10="Magnetosphere",POWER(Upgrades!$U$10,I305),1)*IF(Upgrades!$T$11="Magnetosphere",POWER(Upgrades!$U$11,J305),1)*IF(Upgrades!$T$12="Magnetosphere",POWER(Upgrades!$U$12,K305),1))+(IF(I305=0,0,(Upgrades!$G$10+I305*Upgrades!$H$10)*POWER(Upgrades!$I$10,I305)))*(IF(Upgrades!$T$6="Orbital Resonance",POWER(Upgrades!$U$6,E305),1)*IF(Upgrades!$T$7="Orbital Resonance",POWER(Upgrades!$U$7,F305),1)*IF(Upgrades!$T$8="Orbital Resonance",POWER(Upgrades!$U$8,G305),1)*IF(Upgrades!$T$9="Orbital Resonance",POWER(Upgrades!$U$9,H305),1)*IF(Upgrades!$T$11="Orbital Resonance",POWER(Upgrades!$U$11,J305),1)*IF(Upgrades!$T$12="Orbital Resonance",POWER(Upgrades!$U$12,K305),1))+(IF(J305=0,0,(Upgrades!$G$11+J305*Upgrades!$H$11)*POWER(Upgrades!$I$11,J305)))*(IF(Upgrades!$T$6="Heliopause",POWER(Upgrades!$U$6,E305),1)*IF(Upgrades!$T$7="Heliopause",POWER(Upgrades!$U$7,F305),1)*IF(Upgrades!$T$8="Heliopause",POWER(Upgrades!$U$8,G305),1)*IF(Upgrades!$T$9="Heliopause",POWER(Upgrades!$U$9,H305),1)*IF(Upgrades!$T$10="Heliopause",POWER(Upgrades!$U$10,I305),1)*IF(Upgrades!$T$12="Heliopause",POWER(Upgrades!$U$12,K305),1))+(IF(K305=0,0,(Upgrades!$G$12+K305*Upgrades!$H$12)*POWER(Upgrades!$I$12,K305)))*(IF(Upgrades!$T$6="First Photons",POWER(Upgrades!$U$6,E305),1)*IF(Upgrades!$T$7="First Photons",POWER(Upgrades!$U$7,F305),1)*IF(Upgrades!$T$8="First Photons",POWER(Upgrades!$U$8,G305),1)*IF(Upgrades!$T$9="First Photons",POWER(Upgrades!$U$9,H305),1)*IF(Upgrades!$T$10="First Photons",POWER(Upgrades!$U$10,I305),1)*IF(Upgrades!$T$11="First Photons",POWER(Upgrades!$U$11,J305),1)))*POWER(Upgrades!$P$6,E305)*POWER(Upgrades!$P$7,F305)*POWER(Upgrades!$P$8,G305)*POWER(Upgrades!$P$9,H305)*POWER(Upgrades!$P$10,I305)*POWER(Upgrades!$P$11,J305)*POWER(Upgrades!$P$12,K305)</f>
        <v>11.2</v>
      </c>
      <c r="O305" s="28" t="n">
        <f aca="false">((IF(E305=0,0,(Upgrades!$M$6+E305*Upgrades!$N$6)*POWER(Upgrades!$O$6,E305)))*(IF(Upgrades!$T$7="Solar Wind",POWER(Upgrades!$U$7,F305),1)*IF(Upgrades!$T$8="Solar Wind",POWER(Upgrades!$U$8,G305),1)*IF(Upgrades!$T$9="Solar Wind",POWER(Upgrades!$U$9,H305),1)*IF(Upgrades!$T$10="Solar Wind",POWER(Upgrades!$U$10,I305),1)*IF(Upgrades!$T$11="Solar Wind",POWER(Upgrades!$U$11,J305),1)*IF(Upgrades!$T$12="Solar Wind",POWER(Upgrades!$U$12,K305),1))+(IF(F305=0,0,(Upgrades!$M$7+F305*Upgrades!$N$7)*POWER(Upgrades!$O$7,F305)))*(IF(Upgrades!$T$6="Asteroid Belt",POWER(Upgrades!$U$6,E305),1)*IF(Upgrades!$T$8="Asteroid Belt",POWER(Upgrades!$U$8,G305),1)*IF(Upgrades!$T$9="Asteroid Belt",POWER(Upgrades!$U$9,H305),1)*IF(Upgrades!$T$10="Asteroid Belt",POWER(Upgrades!$U$10,I305),1)*IF(Upgrades!$T$11="Asteroid Belt",POWER(Upgrades!$U$11,J305),1)*IF(Upgrades!$T$12="Asteroid Belt",POWER(Upgrades!$U$12,K305),1))+(IF(G305=0,0,(Upgrades!$M$8+G305*Upgrades!$N$8)*POWER(Upgrades!$O$8,G305)))*(IF(Upgrades!$T$6="Stellar Coupling",POWER(Upgrades!$U$6,E305),1)*IF(Upgrades!$T$7="Stellar Coupling",POWER(Upgrades!$U$7,F305),1)*IF(Upgrades!$T$9="Stellar Coupling",POWER(Upgrades!$U$9,H305),1)*IF(Upgrades!$T$10="Stellar Coupling",POWER(Upgrades!$U$10,I305),1)*IF(Upgrades!$T$11="Stellar Coupling",POWER(Upgrades!$U$11,J305),1)*IF(Upgrades!$T$12="Stellar Coupling",POWER(Upgrades!$U$12,K305),1))+(IF(H305=0,0,(Upgrades!$M$9+H305*Upgrades!$N$9)*POWER(Upgrades!$O$9,H305)))*(IF(Upgrades!$T$6="Magnetosphere",POWER(Upgrades!$U$6,E305),1)*IF(Upgrades!$T$7="Magnetosphere",POWER(Upgrades!$U$7,F305),1)*IF(Upgrades!$T$8="Magnetosphere",POWER(Upgrades!$U$8,G305),1)*IF(Upgrades!$T$10="Magnetosphere",POWER(Upgrades!$U$10,I305),1)*IF(Upgrades!$T$11="Magnetosphere",POWER(Upgrades!$U$11,J305),1)*IF(Upgrades!$T$12="Magnetosphere",POWER(Upgrades!$U$12,K305),1))+(IF(I305=0,0,(Upgrades!$M$10+I305*Upgrades!$N$10)*POWER(Upgrades!$O$10,I305)))*(IF(Upgrades!$T$6="Orbital Resonance",POWER(Upgrades!$U$6,E305),1)*IF(Upgrades!$T$7="Orbital Resonance",POWER(Upgrades!$U$7,F305),1)*IF(Upgrades!$T$8="Orbital Resonance",POWER(Upgrades!$U$8,G305),1)*IF(Upgrades!$T$9="Orbital Resonance",POWER(Upgrades!$U$9,H305),1)*IF(Upgrades!$T$11="Orbital Resonance",POWER(Upgrades!$U$11,J305),1)*IF(Upgrades!$T$12="Orbital Resonance",POWER(Upgrades!$U$12,K305),1))+(IF(J305=0,0,(Upgrades!$M$11+J305*Upgrades!$N$11)*POWER(Upgrades!$O$11,J305)))*(IF(Upgrades!$T$6="Heliopause",POWER(Upgrades!$U$6,E305),1)*IF(Upgrades!$T$7="Heliopause",POWER(Upgrades!$U$7,F305),1)*IF(Upgrades!$T$8="Heliopause",POWER(Upgrades!$U$8,G305),1)*IF(Upgrades!$T$9="Heliopause",POWER(Upgrades!$U$9,H305),1)*IF(Upgrades!$T$10="Heliopause",POWER(Upgrades!$U$10,I305),1)*IF(Upgrades!$T$12="Heliopause",POWER(Upgrades!$U$12,K305),1))+(IF(K305=0,0,(Upgrades!$M$12+K305*Upgrades!$N$12)*POWER(Upgrades!$O$12,K305)))*(IF(Upgrades!$T$6="First Photons",POWER(Upgrades!$U$6,E305),1)*IF(Upgrades!$T$7="First Photons",POWER(Upgrades!$U$7,F305),1)*IF(Upgrades!$T$8="First Photons",POWER(Upgrades!$U$8,G305),1)*IF(Upgrades!$T$9="First Photons",POWER(Upgrades!$U$9,H305),1)*IF(Upgrades!$T$10="First Photons",POWER(Upgrades!$U$10,I305),1)*IF(Upgrades!$T$11="First Photons",POWER(Upgrades!$U$11,J305),1)))*POWER(Upgrades!$R$6,E305)*POWER(Upgrades!$R$7,F305)*POWER(Upgrades!$R$8,G305)*POWER(Upgrades!$R$9,H305)*POWER(Upgrades!$R$10,I305)*POWER(Upgrades!$R$11,J305)*POWER(Upgrades!$R$12,K305)</f>
        <v>0</v>
      </c>
      <c r="P305" s="27" t="n">
        <f aca="false">IF(L305=1,0,M305*Parameters!$B$10/60*Parameters!$B$11*10)</f>
        <v>0</v>
      </c>
      <c r="Q305" s="27" t="n">
        <f aca="false">IF(L305=1,0,O305*M305*10)</f>
        <v>0</v>
      </c>
      <c r="R305" s="27" t="n">
        <f aca="false">IF(L305=1,0,N305*10)</f>
        <v>0</v>
      </c>
      <c r="S305" s="27" t="n">
        <f aca="false">P305+Q305+R305</f>
        <v>0</v>
      </c>
      <c r="T305" s="21" t="n">
        <f aca="false">C305+S305</f>
        <v>18.6730249835055</v>
      </c>
      <c r="U305" s="34" t="str">
        <f aca="false">AX305</f>
        <v/>
      </c>
      <c r="V305" s="21" t="n">
        <f aca="false">IF(U305="",0,IF(U305="transition",0,IF(U305="SW",AG305,IF(U305="AB",AH305,IF(U305="SC",AI305,IF(U305="Mag",AJ305,IF(U305="OR",AK305,IF(U305="HP",AL305,IF(U305="FP",AM305,0)))))))))</f>
        <v>0</v>
      </c>
      <c r="W305" s="27" t="n">
        <f aca="false">IF(U305="OR",Upgrades!$F$10,IF(U305="HP",Upgrades!$F$11,IF(U305="transition",-Parameters!$B$18,0)))</f>
        <v>0</v>
      </c>
      <c r="X305" s="21" t="n">
        <f aca="false">T305-V305</f>
        <v>18.6730249835055</v>
      </c>
      <c r="Y305" s="30" t="n">
        <f aca="false">M305*Parameters!$B$10/60*Parameters!$B$11+O305*M305+N305</f>
        <v>20.55</v>
      </c>
      <c r="Z305" s="35" t="str">
        <f aca="false">IF(U305="transition","→ Tier 2 (Stellar Neighborhood)",IF(U305="FP","First Photons — light begins, system quickens",IF(U305="HP","Heliopause acquired",IF(U305="OR","Orbital Resonance — passive multiplier active",IF(AND(AO305=1,L305=0,AN305&lt;&gt;1),"Cohesion ready (waiting on completionist upgrades)","")))))</f>
        <v/>
      </c>
      <c r="AA305" s="27" t="n">
        <f aca="false">(IF(E305=0,0,(Upgrades!$G$6+E305*Upgrades!$H$6)*POWER(Upgrades!$I$6,E305)))*(IF(Upgrades!$T$7="Solar Wind",POWER(Upgrades!$U$7,F305),1)*IF(Upgrades!$T$8="Solar Wind",POWER(Upgrades!$U$8,G305),1)*IF(Upgrades!$T$9="Solar Wind",POWER(Upgrades!$U$9,H305),1)*IF(Upgrades!$T$10="Solar Wind",POWER(Upgrades!$U$10,I305),1)*IF(Upgrades!$T$11="Solar Wind",POWER(Upgrades!$U$11,J305),1)*IF(Upgrades!$T$12="Solar Wind",POWER(Upgrades!$U$12,K305),1))*POWER(Upgrades!$P$6,E305)*POWER(Upgrades!$P$7,F305)*POWER(Upgrades!$P$8,G305)*POWER(Upgrades!$P$9,H305)*POWER(Upgrades!$P$10,I305)*POWER(Upgrades!$P$11,J305)*POWER(Upgrades!$P$12,K305)*60</f>
        <v>72</v>
      </c>
      <c r="AB305" s="27" t="n">
        <f aca="false">(IF(F305=0,0,(Upgrades!$G$7+F305*Upgrades!$H$7)*POWER(Upgrades!$I$7,F305)))*(IF(Upgrades!$T$6="Asteroid Belt",POWER(Upgrades!$U$6,E305),1)*IF(Upgrades!$T$8="Asteroid Belt",POWER(Upgrades!$U$8,G305),1)*IF(Upgrades!$T$9="Asteroid Belt",POWER(Upgrades!$U$9,H305),1)*IF(Upgrades!$T$10="Asteroid Belt",POWER(Upgrades!$U$10,I305),1)*IF(Upgrades!$T$11="Asteroid Belt",POWER(Upgrades!$U$11,J305),1)*IF(Upgrades!$T$12="Asteroid Belt",POWER(Upgrades!$U$12,K305),1))*POWER(Upgrades!$P$6,E305)*POWER(Upgrades!$P$7,F305)*POWER(Upgrades!$P$8,G305)*POWER(Upgrades!$P$9,H305)*POWER(Upgrades!$P$10,I305)*POWER(Upgrades!$P$11,J305)*POWER(Upgrades!$P$12,K305)*60</f>
        <v>150</v>
      </c>
      <c r="AC305" s="27" t="n">
        <f aca="false">(IF(G305=0,0,(Upgrades!$J$8+G305*Upgrades!$K$8)*POWER(Upgrades!$L$8,G305)))*(IF(Upgrades!$T$6="Stellar Coupling",POWER(Upgrades!$U$6,E305),1)*IF(Upgrades!$T$7="Stellar Coupling",POWER(Upgrades!$U$7,F305),1)*IF(Upgrades!$T$9="Stellar Coupling",POWER(Upgrades!$U$9,H305),1)*IF(Upgrades!$T$10="Stellar Coupling",POWER(Upgrades!$U$10,I305),1)*IF(Upgrades!$T$11="Stellar Coupling",POWER(Upgrades!$U$11,J305),1)*IF(Upgrades!$T$12="Stellar Coupling",POWER(Upgrades!$U$12,K305),1))*POWER(Upgrades!$Q$6,E305)*POWER(Upgrades!$Q$7,F305)*POWER(Upgrades!$Q$8,G305)*POWER(Upgrades!$Q$9,H305)*POWER(Upgrades!$Q$10,I305)*POWER(Upgrades!$Q$11,J305)*POWER(Upgrades!$Q$12,K305)*Parameters!$B$10*Parameters!$B$11</f>
        <v>441</v>
      </c>
      <c r="AD305" s="27" t="n">
        <f aca="false">(IF(H305=0,0,(Upgrades!$G$9+H305*Upgrades!$H$9)*POWER(Upgrades!$I$9,H305)))*(IF(Upgrades!$T$6="Magnetosphere",POWER(Upgrades!$U$6,E305),1)*IF(Upgrades!$T$7="Magnetosphere",POWER(Upgrades!$U$7,F305),1)*IF(Upgrades!$T$8="Magnetosphere",POWER(Upgrades!$U$8,G305),1)*IF(Upgrades!$T$10="Magnetosphere",POWER(Upgrades!$U$10,I305),1)*IF(Upgrades!$T$11="Magnetosphere",POWER(Upgrades!$U$11,J305),1)*IF(Upgrades!$T$12="Magnetosphere",POWER(Upgrades!$U$12,K305),1))*POWER(Upgrades!$P$6,E305)*POWER(Upgrades!$P$7,F305)*POWER(Upgrades!$P$8,G305)*POWER(Upgrades!$P$9,H305)*POWER(Upgrades!$P$10,I305)*POWER(Upgrades!$P$11,J305)*POWER(Upgrades!$P$12,K305)*60</f>
        <v>375</v>
      </c>
      <c r="AE305" s="27" t="n">
        <f aca="false">(IF(K305=0,0,(Upgrades!$G$12+K305*Upgrades!$H$12)*POWER(Upgrades!$I$12,K305)))*(IF(Upgrades!$T$6="First Photons",POWER(Upgrades!$U$6,E305),1)*IF(Upgrades!$T$7="First Photons",POWER(Upgrades!$U$7,F305),1)*IF(Upgrades!$T$8="First Photons",POWER(Upgrades!$U$8,G305),1)*IF(Upgrades!$T$9="First Photons",POWER(Upgrades!$U$9,H305),1)*IF(Upgrades!$T$10="First Photons",POWER(Upgrades!$U$10,I305),1)*IF(Upgrades!$T$11="First Photons",POWER(Upgrades!$U$11,J305),1))*POWER(Upgrades!$P$6,E305)*POWER(Upgrades!$P$7,F305)*POWER(Upgrades!$P$8,G305)*POWER(Upgrades!$P$9,H305)*POWER(Upgrades!$P$10,I305)*POWER(Upgrades!$P$11,J305)*POWER(Upgrades!$P$12,K305)*60</f>
        <v>75</v>
      </c>
      <c r="AF305" s="27" t="n">
        <f aca="false">Parameters!$B$9*POWER(Upgrades!$Q$6,E305)*POWER(Upgrades!$Q$7,F305)*POWER(Upgrades!$Q$8,G305)*POWER(Upgrades!$Q$9,H305)*POWER(Upgrades!$Q$10,I305)*POWER(Upgrades!$Q$11,J305)*POWER(Upgrades!$Q$12,K305)*(Parameters!$B$10*Parameters!$B$11+O305*60)</f>
        <v>120</v>
      </c>
      <c r="AG305" s="21" t="n">
        <f aca="false">IF(E305&gt;=Upgrades!$E$6,"",Upgrades!$C$6*POWER(Upgrades!$D$6,E305))</f>
        <v>37.4517507383159</v>
      </c>
      <c r="AH305" s="21" t="n">
        <f aca="false">IF(F305&gt;=Upgrades!$E$7,"",Upgrades!$C$7*POWER(Upgrades!$D$7,F305))</f>
        <v>80.9111547141581</v>
      </c>
      <c r="AI305" s="21" t="n">
        <f aca="false">IF(G305&gt;=Upgrades!$E$8,"",Upgrades!$C$8*POWER(Upgrades!$D$8,G305))</f>
        <v>231.9097088</v>
      </c>
      <c r="AJ305" s="21" t="str">
        <f aca="false">IF(H305&gt;=Upgrades!$E$9,"",Upgrades!$C$9*POWER(Upgrades!$D$9,H305))</f>
        <v/>
      </c>
      <c r="AK305" s="21" t="str">
        <f aca="false">IF(I305&gt;=Upgrades!$E$10,"",Upgrades!$C$10*POWER(Upgrades!$D$10,I305))</f>
        <v/>
      </c>
      <c r="AL305" s="21" t="str">
        <f aca="false">IF(J305&gt;=Upgrades!$E$11,"",Upgrades!$C$11*POWER(Upgrades!$D$11,J305))</f>
        <v/>
      </c>
      <c r="AM305" s="21" t="str">
        <f aca="false">IF(K305&gt;=Upgrades!$E$12,"",Upgrades!$C$12*POWER(Upgrades!$D$12,K305))</f>
        <v/>
      </c>
      <c r="AN305" s="26" t="str">
        <f aca="false">IF(AND(D305&gt;=Parameters!$B$18,(H305&gt;=Upgrades!$E$9)*(K305&gt;=Upgrades!$E$12)=1,L305=0),1,"")</f>
        <v/>
      </c>
      <c r="AO305" s="26" t="str">
        <f aca="false">IF(AND(D305&gt;=Parameters!$B$18,L305=0),1,"")</f>
        <v/>
      </c>
      <c r="AP305" s="21" t="n">
        <f aca="false">MIN(IF(ISNUMBER(AK305),AK305,9000000000000000),IF(ISNUMBER(AL305),AL305,9000000000000000),IF(ISNUMBER(AM305),AM305,9000000000000000))</f>
        <v>9000000000000000</v>
      </c>
      <c r="AQ305" s="21" t="n">
        <f aca="false">MIN(IF(ISNUMBER(AG305),AG305,9000000000000000),IF(ISNUMBER(AH305),AH305,9000000000000000),IF(ISNUMBER(AI305),AI305,9000000000000000),IF(ISNUMBER(AJ305),AJ305,9000000000000000))</f>
        <v>37.4517507383159</v>
      </c>
      <c r="AR305" s="32" t="b">
        <f aca="false">IF(AW305&gt;Parameters!$B$21*(MAX(IF(AND(NOT(AND(AO305=1,AN305&lt;&gt;1)),ISNUMBER(AG305),AG305&lt;=T305),AS305,0),IF(AND(NOT(AND(AO305=1,AN305&lt;&gt;1)),ISNUMBER(AH305),AH305&lt;=T305),AT305,0),IF(AND(NOT(AND(AO305=1,AN305&lt;&gt;1)),ISNUMBER(AI305),AI305&lt;=T305),AU305,0),IF(AND(ISNUMBER(AJ305),AJ305&lt;=T305),AV305,0))),TRUE(),FALSE())</f>
        <v>1</v>
      </c>
      <c r="AS305" s="33" t="n">
        <f aca="false">IFERROR(Upgrades!$H$6*(POWER(Upgrades!$P$6,E305)*POWER(Upgrades!$P$7,F305)*POWER(Upgrades!$P$8,G305)*POWER(Upgrades!$P$9,H305)*POWER(Upgrades!$P$10,I305)*POWER(Upgrades!$P$11,J305)*POWER(Upgrades!$P$12,K305))*(IF(Upgrades!$T$7="Solar Wind",POWER(Upgrades!$U$7,F305),1)*IF(Upgrades!$T$8="Solar Wind",POWER(Upgrades!$U$8,G305),1)*IF(Upgrades!$T$9="Solar Wind",POWER(Upgrades!$U$9,H305),1)*IF(Upgrades!$T$10="Solar Wind",POWER(Upgrades!$U$10,I305),1)*IF(Upgrades!$T$11="Solar Wind",POWER(Upgrades!$U$11,J305),1)*IF(Upgrades!$T$12="Solar Wind",POWER(Upgrades!$U$12,K305),1))/AG305,0)</f>
        <v>0.0026701021455238</v>
      </c>
      <c r="AT305" s="33" t="n">
        <f aca="false">IFERROR(Upgrades!$H$7*(POWER(Upgrades!$P$6,E305)*POWER(Upgrades!$P$7,F305)*POWER(Upgrades!$P$8,G305)*POWER(Upgrades!$P$9,H305)*POWER(Upgrades!$P$10,I305)*POWER(Upgrades!$P$11,J305)*POWER(Upgrades!$P$12,K305))*(IF(Upgrades!$T$6="Asteroid Belt",POWER(Upgrades!$U$6,E305),1)*IF(Upgrades!$T$8="Asteroid Belt",POWER(Upgrades!$U$8,G305),1)*IF(Upgrades!$T$9="Asteroid Belt",POWER(Upgrades!$U$9,H305),1)*IF(Upgrades!$T$10="Asteroid Belt",POWER(Upgrades!$U$10,I305),1)*IF(Upgrades!$T$11="Asteroid Belt",POWER(Upgrades!$U$11,J305),1)*IF(Upgrades!$T$12="Asteroid Belt",POWER(Upgrades!$U$12,K305),1))/AH305,0)</f>
        <v>0.00308980882652332</v>
      </c>
      <c r="AU305" s="33" t="n">
        <f aca="false">IFERROR(Upgrades!$K$8*(POWER(Upgrades!$Q$6,E305)*POWER(Upgrades!$Q$7,F305)*POWER(Upgrades!$Q$8,G305)*POWER(Upgrades!$Q$9,H305)*POWER(Upgrades!$Q$10,I305)*POWER(Upgrades!$Q$11,J305)*POWER(Upgrades!$Q$12,K305))*(IF(Upgrades!$T$6="Stellar Coupling",POWER(Upgrades!$U$6,E305),1)*IF(Upgrades!$T$7="Stellar Coupling",POWER(Upgrades!$U$7,F305),1)*IF(Upgrades!$T$9="Stellar Coupling",POWER(Upgrades!$U$9,H305),1)*IF(Upgrades!$T$10="Stellar Coupling",POWER(Upgrades!$U$10,I305),1)*IF(Upgrades!$T$11="Stellar Coupling",POWER(Upgrades!$U$11,J305),1)*IF(Upgrades!$T$12="Stellar Coupling",POWER(Upgrades!$U$12,K305),1))*Parameters!$B$10*Parameters!$B$11/60/AI305,0)</f>
        <v>0.00452762415783776</v>
      </c>
      <c r="AV305" s="33" t="n">
        <f aca="false">IFERROR(Upgrades!$H$9*(POWER(Upgrades!$P$6,E305)*POWER(Upgrades!$P$7,F305)*POWER(Upgrades!$P$8,G305)*POWER(Upgrades!$P$9,H305)*POWER(Upgrades!$P$10,I305)*POWER(Upgrades!$P$11,J305)*POWER(Upgrades!$P$12,K305))*(IF(Upgrades!$T$6="Magnetosphere",POWER(Upgrades!$U$6,E305),1)*IF(Upgrades!$T$7="Magnetosphere",POWER(Upgrades!$U$7,F305),1)*IF(Upgrades!$T$8="Magnetosphere",POWER(Upgrades!$U$8,G305),1)*IF(Upgrades!$T$10="Magnetosphere",POWER(Upgrades!$U$10,I305),1)*IF(Upgrades!$T$11="Magnetosphere",POWER(Upgrades!$U$11,J305),1)*IF(Upgrades!$T$12="Magnetosphere",POWER(Upgrades!$U$12,K305),1))/AJ305,0)</f>
        <v>0</v>
      </c>
      <c r="AW305" s="33" t="n">
        <f aca="false">MAX(IF(I305&gt;0,0,IFERROR(0.25*N305/Upgrades!$C$10,0)),IF(J305&gt;0,0,IFERROR(0.5*((IF(G305=0,0,(Upgrades!$J$8+G305*Upgrades!$K$8)*POWER(Upgrades!$L$8,G305)))*(IF(Upgrades!$T$6="Stellar Coupling",POWER(Upgrades!$U$6,E305),1)*IF(Upgrades!$T$7="Stellar Coupling",POWER(Upgrades!$U$7,F305),1)*IF(Upgrades!$T$9="Stellar Coupling",POWER(Upgrades!$U$9,H305),1)*IF(Upgrades!$T$10="Stellar Coupling",POWER(Upgrades!$U$10,I305),1)*IF(Upgrades!$T$11="Stellar Coupling",POWER(Upgrades!$U$11,J305),1)*IF(Upgrades!$T$12="Stellar Coupling",POWER(Upgrades!$U$12,K305),1))*(POWER(Upgrades!$Q$6,E305)*POWER(Upgrades!$Q$7,F305)*POWER(Upgrades!$Q$8,G305)*POWER(Upgrades!$Q$9,H305)*POWER(Upgrades!$Q$10,I305)*POWER(Upgrades!$Q$11,J305)*POWER(Upgrades!$Q$12,K305))*Parameters!$B$10*Parameters!$B$11/60)/Upgrades!$C$11,0)),IF(K305&gt;0,0,IFERROR((1*(POWER(Upgrades!$P$6,E305)*POWER(Upgrades!$P$7,F305)*POWER(Upgrades!$P$8,G305)*POWER(Upgrades!$P$9,H305)*POWER(Upgrades!$P$10,I305)*POWER(Upgrades!$P$11,J305)*POWER(Upgrades!$P$12,K305))+0.2*M305*Parameters!$B$10*Parameters!$B$11/60)/Upgrades!$C$12,0)),IF(AND(ISNUMBER(AG305),AG305&gt;T305),AS305,0),IF(AND(ISNUMBER(AH305),AH305&gt;T305),AT305,0),IF(AND(ISNUMBER(AI305),AI305&gt;T305),AU305,0),IF(AND(ISNUMBER(AJ305),AJ305&gt;T305),AV305,0))</f>
        <v>0.00452762415783776</v>
      </c>
      <c r="AX305" s="29" t="str">
        <f aca="false">IF(AN305=1,"transition",IF(MIN(IF(AND(I305=0,ISNUMBER(AK305),AK305&lt;=T305),AK305,9000000000000000),IF(AND(J305=0,ISNUMBER(AL305),AL305&lt;=T305),AL305,9000000000000000),IF(AND(K305=0,ISNUMBER(AM305),AM305&lt;=T305),AM305,9000000000000000))&lt;9000000000000000,IF(AND(AND(I305=0,ISNUMBER(AK305),AK305&lt;=T305),AK305=MIN(IF(AND(I305=0,ISNUMBER(AK305),AK305&lt;=T305),AK305,9000000000000000),IF(AND(J305=0,ISNUMBER(AL305),AL305&lt;=T305),AL305,9000000000000000),IF(AND(K305=0,ISNUMBER(AM305),AM305&lt;=T305),AM305,9000000000000000))),"OR",IF(AND(AND(J305=0,ISNUMBER(AL305),AL305&lt;=T305),AL305=MIN(IF(AND(I305=0,ISNUMBER(AK305),AK305&lt;=T305),AK305,9000000000000000),IF(AND(J305=0,ISNUMBER(AL305),AL305&lt;=T305),AL305,9000000000000000),IF(AND(K305=0,ISNUMBER(AM305),AM305&lt;=T305),AM305,9000000000000000))),"HP","FP")),IF(AR305=TRUE(),"",IF(MAX(IF(AND(NOT(AND(AO305=1,AN305&lt;&gt;1)),ISNUMBER(AG305),AG305&lt;=T305),AS305,0),IF(AND(NOT(AND(AO305=1,AN305&lt;&gt;1)),ISNUMBER(AH305),AH305&lt;=T305),AT305,0),IF(AND(NOT(AND(AO305=1,AN305&lt;&gt;1)),ISNUMBER(AI305),AI305&lt;=T305),AU305,0),IF(AND(ISNUMBER(AJ305),AJ305&lt;=T305),AV305,0))&lt;=0,"",IF(AND(IF(AND(NOT(AND(AO305=1,AN305&lt;&gt;1)),ISNUMBER(AG305),AG305&lt;=T305),AS305,0)&gt;0,IF(AND(NOT(AND(AO305=1,AN305&lt;&gt;1)),ISNUMBER(AG305),AG305&lt;=T305),AS305,0)=MAX(IF(AND(NOT(AND(AO305=1,AN305&lt;&gt;1)),ISNUMBER(AG305),AG305&lt;=T305),AS305,0),IF(AND(NOT(AND(AO305=1,AN305&lt;&gt;1)),ISNUMBER(AH305),AH305&lt;=T305),AT305,0),IF(AND(NOT(AND(AO305=1,AN305&lt;&gt;1)),ISNUMBER(AI305),AI305&lt;=T305),AU305,0),IF(AND(ISNUMBER(AJ305),AJ305&lt;=T305),AV305,0))),"SW",IF(AND(IF(AND(NOT(AND(AO305=1,AN305&lt;&gt;1)),ISNUMBER(AH305),AH305&lt;=T305),AT305,0)&gt;0,IF(AND(NOT(AND(AO305=1,AN305&lt;&gt;1)),ISNUMBER(AH305),AH305&lt;=T305),AT305,0)=MAX(IF(AND(NOT(AND(AO305=1,AN305&lt;&gt;1)),ISNUMBER(AG305),AG305&lt;=T305),AS305,0),IF(AND(NOT(AND(AO305=1,AN305&lt;&gt;1)),ISNUMBER(AH305),AH305&lt;=T305),AT305,0),IF(AND(NOT(AND(AO305=1,AN305&lt;&gt;1)),ISNUMBER(AI305),AI305&lt;=T305),AU305,0),IF(AND(ISNUMBER(AJ305),AJ305&lt;=T305),AV305,0))),"AB",IF(AND(IF(AND(NOT(AND(AO305=1,AN305&lt;&gt;1)),ISNUMBER(AI305),AI305&lt;=T305),AU305,0)&gt;0,IF(AND(NOT(AND(AO305=1,AN305&lt;&gt;1)),ISNUMBER(AI305),AI305&lt;=T305),AU305,0)=MAX(IF(AND(NOT(AND(AO305=1,AN305&lt;&gt;1)),ISNUMBER(AG305),AG305&lt;=T305),AS305,0),IF(AND(NOT(AND(AO305=1,AN305&lt;&gt;1)),ISNUMBER(AH305),AH305&lt;=T305),AT305,0),IF(AND(NOT(AND(AO305=1,AN305&lt;&gt;1)),ISNUMBER(AI305),AI305&lt;=T305),AU305,0),IF(AND(ISNUMBER(AJ305),AJ305&lt;=T305),AV305,0))),"SC","Mag")))))))</f>
        <v/>
      </c>
    </row>
    <row r="306" customFormat="false" ht="15" hidden="false" customHeight="false" outlineLevel="0" collapsed="false">
      <c r="A306" s="26" t="n">
        <v>301</v>
      </c>
      <c r="B306" s="27" t="n">
        <f aca="false">A306*10/60</f>
        <v>50.1666666666667</v>
      </c>
      <c r="C306" s="21" t="n">
        <f aca="false">X305</f>
        <v>18.6730249835055</v>
      </c>
      <c r="D306" s="27" t="n">
        <f aca="false">D305+W305</f>
        <v>0</v>
      </c>
      <c r="E306" s="26" t="n">
        <f aca="false">E305+IF(U305="SW",1,0)</f>
        <v>12</v>
      </c>
      <c r="F306" s="26" t="n">
        <f aca="false">F305+IF(U305="AB",1,0)</f>
        <v>10</v>
      </c>
      <c r="G306" s="26" t="n">
        <f aca="false">G305+IF(U305="SC",1,0)</f>
        <v>7</v>
      </c>
      <c r="H306" s="26" t="n">
        <f aca="false">H305+IF(U305="Mag",1,0)</f>
        <v>5</v>
      </c>
      <c r="I306" s="26" t="n">
        <f aca="false">MAX(I305,IF(U305="OR",1,0))</f>
        <v>1</v>
      </c>
      <c r="J306" s="26" t="n">
        <f aca="false">MAX(J305,IF(U305="HP",1,0))</f>
        <v>1</v>
      </c>
      <c r="K306" s="26" t="n">
        <f aca="false">MAX(K305,IF(U305="FP",1,0))</f>
        <v>1</v>
      </c>
      <c r="L306" s="26" t="n">
        <f aca="false">MAX(L305,IF(U305="transition",1,0))</f>
        <v>1</v>
      </c>
      <c r="M306" s="28" t="n">
        <f aca="false">(Parameters!$B$9+(IF(E306=0,0,(Upgrades!$J$6+E306*Upgrades!$K$6)*POWER(Upgrades!$L$6,E306)))*(IF(Upgrades!$T$7="Solar Wind",POWER(Upgrades!$U$7,F306),1)*IF(Upgrades!$T$8="Solar Wind",POWER(Upgrades!$U$8,G306),1)*IF(Upgrades!$T$9="Solar Wind",POWER(Upgrades!$U$9,H306),1)*IF(Upgrades!$T$10="Solar Wind",POWER(Upgrades!$U$10,I306),1)*IF(Upgrades!$T$11="Solar Wind",POWER(Upgrades!$U$11,J306),1)*IF(Upgrades!$T$12="Solar Wind",POWER(Upgrades!$U$12,K306),1))+(IF(F306=0,0,(Upgrades!$J$7+F306*Upgrades!$K$7)*POWER(Upgrades!$L$7,F306)))*(IF(Upgrades!$T$6="Asteroid Belt",POWER(Upgrades!$U$6,E306),1)*IF(Upgrades!$T$8="Asteroid Belt",POWER(Upgrades!$U$8,G306),1)*IF(Upgrades!$T$9="Asteroid Belt",POWER(Upgrades!$U$9,H306),1)*IF(Upgrades!$T$10="Asteroid Belt",POWER(Upgrades!$U$10,I306),1)*IF(Upgrades!$T$11="Asteroid Belt",POWER(Upgrades!$U$11,J306),1)*IF(Upgrades!$T$12="Asteroid Belt",POWER(Upgrades!$U$12,K306),1))+(IF(G306=0,0,(Upgrades!$J$8+G306*Upgrades!$K$8)*POWER(Upgrades!$L$8,G306)))*(IF(Upgrades!$T$6="Stellar Coupling",POWER(Upgrades!$U$6,E306),1)*IF(Upgrades!$T$7="Stellar Coupling",POWER(Upgrades!$U$7,F306),1)*IF(Upgrades!$T$9="Stellar Coupling",POWER(Upgrades!$U$9,H306),1)*IF(Upgrades!$T$10="Stellar Coupling",POWER(Upgrades!$U$10,I306),1)*IF(Upgrades!$T$11="Stellar Coupling",POWER(Upgrades!$U$11,J306),1)*IF(Upgrades!$T$12="Stellar Coupling",POWER(Upgrades!$U$12,K306),1))+(IF(H306=0,0,(Upgrades!$J$9+H306*Upgrades!$K$9)*POWER(Upgrades!$L$9,H306)))*(IF(Upgrades!$T$6="Magnetosphere",POWER(Upgrades!$U$6,E306),1)*IF(Upgrades!$T$7="Magnetosphere",POWER(Upgrades!$U$7,F306),1)*IF(Upgrades!$T$8="Magnetosphere",POWER(Upgrades!$U$8,G306),1)*IF(Upgrades!$T$10="Magnetosphere",POWER(Upgrades!$U$10,I306),1)*IF(Upgrades!$T$11="Magnetosphere",POWER(Upgrades!$U$11,J306),1)*IF(Upgrades!$T$12="Magnetosphere",POWER(Upgrades!$U$12,K306),1))+(IF(I306=0,0,(Upgrades!$J$10+I306*Upgrades!$K$10)*POWER(Upgrades!$L$10,I306)))*(IF(Upgrades!$T$6="Orbital Resonance",POWER(Upgrades!$U$6,E306),1)*IF(Upgrades!$T$7="Orbital Resonance",POWER(Upgrades!$U$7,F306),1)*IF(Upgrades!$T$8="Orbital Resonance",POWER(Upgrades!$U$8,G306),1)*IF(Upgrades!$T$9="Orbital Resonance",POWER(Upgrades!$U$9,H306),1)*IF(Upgrades!$T$11="Orbital Resonance",POWER(Upgrades!$U$11,J306),1)*IF(Upgrades!$T$12="Orbital Resonance",POWER(Upgrades!$U$12,K306),1))+(IF(J306=0,0,(Upgrades!$J$11+J306*Upgrades!$K$11)*POWER(Upgrades!$L$11,J306)))*(IF(Upgrades!$T$6="Heliopause",POWER(Upgrades!$U$6,E306),1)*IF(Upgrades!$T$7="Heliopause",POWER(Upgrades!$U$7,F306),1)*IF(Upgrades!$T$8="Heliopause",POWER(Upgrades!$U$8,G306),1)*IF(Upgrades!$T$9="Heliopause",POWER(Upgrades!$U$9,H306),1)*IF(Upgrades!$T$10="Heliopause",POWER(Upgrades!$U$10,I306),1)*IF(Upgrades!$T$12="Heliopause",POWER(Upgrades!$U$12,K306),1))+(IF(K306=0,0,(Upgrades!$J$12+K306*Upgrades!$K$12)*POWER(Upgrades!$L$12,K306)))*(IF(Upgrades!$T$6="First Photons",POWER(Upgrades!$U$6,E306),1)*IF(Upgrades!$T$7="First Photons",POWER(Upgrades!$U$7,F306),1)*IF(Upgrades!$T$8="First Photons",POWER(Upgrades!$U$8,G306),1)*IF(Upgrades!$T$9="First Photons",POWER(Upgrades!$U$9,H306),1)*IF(Upgrades!$T$10="First Photons",POWER(Upgrades!$U$10,I306),1)*IF(Upgrades!$T$11="First Photons",POWER(Upgrades!$U$11,J306),1)))*POWER(Upgrades!$Q$6,E306)*POWER(Upgrades!$Q$7,F306)*POWER(Upgrades!$Q$8,G306)*POWER(Upgrades!$Q$9,H306)*POWER(Upgrades!$Q$10,I306)*POWER(Upgrades!$Q$11,J306)*POWER(Upgrades!$Q$12,K306)</f>
        <v>5.61</v>
      </c>
      <c r="N306" s="28" t="n">
        <f aca="false">((IF(E306=0,0,(Upgrades!$G$6+E306*Upgrades!$H$6)*POWER(Upgrades!$I$6,E306)))*(IF(Upgrades!$T$7="Solar Wind",POWER(Upgrades!$U$7,F306),1)*IF(Upgrades!$T$8="Solar Wind",POWER(Upgrades!$U$8,G306),1)*IF(Upgrades!$T$9="Solar Wind",POWER(Upgrades!$U$9,H306),1)*IF(Upgrades!$T$10="Solar Wind",POWER(Upgrades!$U$10,I306),1)*IF(Upgrades!$T$11="Solar Wind",POWER(Upgrades!$U$11,J306),1)*IF(Upgrades!$T$12="Solar Wind",POWER(Upgrades!$U$12,K306),1))+(IF(F306=0,0,(Upgrades!$G$7+F306*Upgrades!$H$7)*POWER(Upgrades!$I$7,F306)))*(IF(Upgrades!$T$6="Asteroid Belt",POWER(Upgrades!$U$6,E306),1)*IF(Upgrades!$T$8="Asteroid Belt",POWER(Upgrades!$U$8,G306),1)*IF(Upgrades!$T$9="Asteroid Belt",POWER(Upgrades!$U$9,H306),1)*IF(Upgrades!$T$10="Asteroid Belt",POWER(Upgrades!$U$10,I306),1)*IF(Upgrades!$T$11="Asteroid Belt",POWER(Upgrades!$U$11,J306),1)*IF(Upgrades!$T$12="Asteroid Belt",POWER(Upgrades!$U$12,K306),1))+(IF(G306=0,0,(Upgrades!$G$8+G306*Upgrades!$H$8)*POWER(Upgrades!$I$8,G306)))*(IF(Upgrades!$T$6="Stellar Coupling",POWER(Upgrades!$U$6,E306),1)*IF(Upgrades!$T$7="Stellar Coupling",POWER(Upgrades!$U$7,F306),1)*IF(Upgrades!$T$9="Stellar Coupling",POWER(Upgrades!$U$9,H306),1)*IF(Upgrades!$T$10="Stellar Coupling",POWER(Upgrades!$U$10,I306),1)*IF(Upgrades!$T$11="Stellar Coupling",POWER(Upgrades!$U$11,J306),1)*IF(Upgrades!$T$12="Stellar Coupling",POWER(Upgrades!$U$12,K306),1))+(IF(H306=0,0,(Upgrades!$G$9+H306*Upgrades!$H$9)*POWER(Upgrades!$I$9,H306)))*(IF(Upgrades!$T$6="Magnetosphere",POWER(Upgrades!$U$6,E306),1)*IF(Upgrades!$T$7="Magnetosphere",POWER(Upgrades!$U$7,F306),1)*IF(Upgrades!$T$8="Magnetosphere",POWER(Upgrades!$U$8,G306),1)*IF(Upgrades!$T$10="Magnetosphere",POWER(Upgrades!$U$10,I306),1)*IF(Upgrades!$T$11="Magnetosphere",POWER(Upgrades!$U$11,J306),1)*IF(Upgrades!$T$12="Magnetosphere",POWER(Upgrades!$U$12,K306),1))+(IF(I306=0,0,(Upgrades!$G$10+I306*Upgrades!$H$10)*POWER(Upgrades!$I$10,I306)))*(IF(Upgrades!$T$6="Orbital Resonance",POWER(Upgrades!$U$6,E306),1)*IF(Upgrades!$T$7="Orbital Resonance",POWER(Upgrades!$U$7,F306),1)*IF(Upgrades!$T$8="Orbital Resonance",POWER(Upgrades!$U$8,G306),1)*IF(Upgrades!$T$9="Orbital Resonance",POWER(Upgrades!$U$9,H306),1)*IF(Upgrades!$T$11="Orbital Resonance",POWER(Upgrades!$U$11,J306),1)*IF(Upgrades!$T$12="Orbital Resonance",POWER(Upgrades!$U$12,K306),1))+(IF(J306=0,0,(Upgrades!$G$11+J306*Upgrades!$H$11)*POWER(Upgrades!$I$11,J306)))*(IF(Upgrades!$T$6="Heliopause",POWER(Upgrades!$U$6,E306),1)*IF(Upgrades!$T$7="Heliopause",POWER(Upgrades!$U$7,F306),1)*IF(Upgrades!$T$8="Heliopause",POWER(Upgrades!$U$8,G306),1)*IF(Upgrades!$T$9="Heliopause",POWER(Upgrades!$U$9,H306),1)*IF(Upgrades!$T$10="Heliopause",POWER(Upgrades!$U$10,I306),1)*IF(Upgrades!$T$12="Heliopause",POWER(Upgrades!$U$12,K306),1))+(IF(K306=0,0,(Upgrades!$G$12+K306*Upgrades!$H$12)*POWER(Upgrades!$I$12,K306)))*(IF(Upgrades!$T$6="First Photons",POWER(Upgrades!$U$6,E306),1)*IF(Upgrades!$T$7="First Photons",POWER(Upgrades!$U$7,F306),1)*IF(Upgrades!$T$8="First Photons",POWER(Upgrades!$U$8,G306),1)*IF(Upgrades!$T$9="First Photons",POWER(Upgrades!$U$9,H306),1)*IF(Upgrades!$T$10="First Photons",POWER(Upgrades!$U$10,I306),1)*IF(Upgrades!$T$11="First Photons",POWER(Upgrades!$U$11,J306),1)))*POWER(Upgrades!$P$6,E306)*POWER(Upgrades!$P$7,F306)*POWER(Upgrades!$P$8,G306)*POWER(Upgrades!$P$9,H306)*POWER(Upgrades!$P$10,I306)*POWER(Upgrades!$P$11,J306)*POWER(Upgrades!$P$12,K306)</f>
        <v>11.2</v>
      </c>
      <c r="O306" s="28" t="n">
        <f aca="false">((IF(E306=0,0,(Upgrades!$M$6+E306*Upgrades!$N$6)*POWER(Upgrades!$O$6,E306)))*(IF(Upgrades!$T$7="Solar Wind",POWER(Upgrades!$U$7,F306),1)*IF(Upgrades!$T$8="Solar Wind",POWER(Upgrades!$U$8,G306),1)*IF(Upgrades!$T$9="Solar Wind",POWER(Upgrades!$U$9,H306),1)*IF(Upgrades!$T$10="Solar Wind",POWER(Upgrades!$U$10,I306),1)*IF(Upgrades!$T$11="Solar Wind",POWER(Upgrades!$U$11,J306),1)*IF(Upgrades!$T$12="Solar Wind",POWER(Upgrades!$U$12,K306),1))+(IF(F306=0,0,(Upgrades!$M$7+F306*Upgrades!$N$7)*POWER(Upgrades!$O$7,F306)))*(IF(Upgrades!$T$6="Asteroid Belt",POWER(Upgrades!$U$6,E306),1)*IF(Upgrades!$T$8="Asteroid Belt",POWER(Upgrades!$U$8,G306),1)*IF(Upgrades!$T$9="Asteroid Belt",POWER(Upgrades!$U$9,H306),1)*IF(Upgrades!$T$10="Asteroid Belt",POWER(Upgrades!$U$10,I306),1)*IF(Upgrades!$T$11="Asteroid Belt",POWER(Upgrades!$U$11,J306),1)*IF(Upgrades!$T$12="Asteroid Belt",POWER(Upgrades!$U$12,K306),1))+(IF(G306=0,0,(Upgrades!$M$8+G306*Upgrades!$N$8)*POWER(Upgrades!$O$8,G306)))*(IF(Upgrades!$T$6="Stellar Coupling",POWER(Upgrades!$U$6,E306),1)*IF(Upgrades!$T$7="Stellar Coupling",POWER(Upgrades!$U$7,F306),1)*IF(Upgrades!$T$9="Stellar Coupling",POWER(Upgrades!$U$9,H306),1)*IF(Upgrades!$T$10="Stellar Coupling",POWER(Upgrades!$U$10,I306),1)*IF(Upgrades!$T$11="Stellar Coupling",POWER(Upgrades!$U$11,J306),1)*IF(Upgrades!$T$12="Stellar Coupling",POWER(Upgrades!$U$12,K306),1))+(IF(H306=0,0,(Upgrades!$M$9+H306*Upgrades!$N$9)*POWER(Upgrades!$O$9,H306)))*(IF(Upgrades!$T$6="Magnetosphere",POWER(Upgrades!$U$6,E306),1)*IF(Upgrades!$T$7="Magnetosphere",POWER(Upgrades!$U$7,F306),1)*IF(Upgrades!$T$8="Magnetosphere",POWER(Upgrades!$U$8,G306),1)*IF(Upgrades!$T$10="Magnetosphere",POWER(Upgrades!$U$10,I306),1)*IF(Upgrades!$T$11="Magnetosphere",POWER(Upgrades!$U$11,J306),1)*IF(Upgrades!$T$12="Magnetosphere",POWER(Upgrades!$U$12,K306),1))+(IF(I306=0,0,(Upgrades!$M$10+I306*Upgrades!$N$10)*POWER(Upgrades!$O$10,I306)))*(IF(Upgrades!$T$6="Orbital Resonance",POWER(Upgrades!$U$6,E306),1)*IF(Upgrades!$T$7="Orbital Resonance",POWER(Upgrades!$U$7,F306),1)*IF(Upgrades!$T$8="Orbital Resonance",POWER(Upgrades!$U$8,G306),1)*IF(Upgrades!$T$9="Orbital Resonance",POWER(Upgrades!$U$9,H306),1)*IF(Upgrades!$T$11="Orbital Resonance",POWER(Upgrades!$U$11,J306),1)*IF(Upgrades!$T$12="Orbital Resonance",POWER(Upgrades!$U$12,K306),1))+(IF(J306=0,0,(Upgrades!$M$11+J306*Upgrades!$N$11)*POWER(Upgrades!$O$11,J306)))*(IF(Upgrades!$T$6="Heliopause",POWER(Upgrades!$U$6,E306),1)*IF(Upgrades!$T$7="Heliopause",POWER(Upgrades!$U$7,F306),1)*IF(Upgrades!$T$8="Heliopause",POWER(Upgrades!$U$8,G306),1)*IF(Upgrades!$T$9="Heliopause",POWER(Upgrades!$U$9,H306),1)*IF(Upgrades!$T$10="Heliopause",POWER(Upgrades!$U$10,I306),1)*IF(Upgrades!$T$12="Heliopause",POWER(Upgrades!$U$12,K306),1))+(IF(K306=0,0,(Upgrades!$M$12+K306*Upgrades!$N$12)*POWER(Upgrades!$O$12,K306)))*(IF(Upgrades!$T$6="First Photons",POWER(Upgrades!$U$6,E306),1)*IF(Upgrades!$T$7="First Photons",POWER(Upgrades!$U$7,F306),1)*IF(Upgrades!$T$8="First Photons",POWER(Upgrades!$U$8,G306),1)*IF(Upgrades!$T$9="First Photons",POWER(Upgrades!$U$9,H306),1)*IF(Upgrades!$T$10="First Photons",POWER(Upgrades!$U$10,I306),1)*IF(Upgrades!$T$11="First Photons",POWER(Upgrades!$U$11,J306),1)))*POWER(Upgrades!$R$6,E306)*POWER(Upgrades!$R$7,F306)*POWER(Upgrades!$R$8,G306)*POWER(Upgrades!$R$9,H306)*POWER(Upgrades!$R$10,I306)*POWER(Upgrades!$R$11,J306)*POWER(Upgrades!$R$12,K306)</f>
        <v>0</v>
      </c>
      <c r="P306" s="27" t="n">
        <f aca="false">IF(L306=1,0,M306*Parameters!$B$10/60*Parameters!$B$11*10)</f>
        <v>0</v>
      </c>
      <c r="Q306" s="27" t="n">
        <f aca="false">IF(L306=1,0,O306*M306*10)</f>
        <v>0</v>
      </c>
      <c r="R306" s="27" t="n">
        <f aca="false">IF(L306=1,0,N306*10)</f>
        <v>0</v>
      </c>
      <c r="S306" s="27" t="n">
        <f aca="false">P306+Q306+R306</f>
        <v>0</v>
      </c>
      <c r="T306" s="21" t="n">
        <f aca="false">C306+S306</f>
        <v>18.6730249835055</v>
      </c>
      <c r="U306" s="34" t="str">
        <f aca="false">AX306</f>
        <v/>
      </c>
      <c r="V306" s="21" t="n">
        <f aca="false">IF(U306="",0,IF(U306="transition",0,IF(U306="SW",AG306,IF(U306="AB",AH306,IF(U306="SC",AI306,IF(U306="Mag",AJ306,IF(U306="OR",AK306,IF(U306="HP",AL306,IF(U306="FP",AM306,0)))))))))</f>
        <v>0</v>
      </c>
      <c r="W306" s="27" t="n">
        <f aca="false">IF(U306="OR",Upgrades!$F$10,IF(U306="HP",Upgrades!$F$11,IF(U306="transition",-Parameters!$B$18,0)))</f>
        <v>0</v>
      </c>
      <c r="X306" s="21" t="n">
        <f aca="false">T306-V306</f>
        <v>18.6730249835055</v>
      </c>
      <c r="Y306" s="30" t="n">
        <f aca="false">M306*Parameters!$B$10/60*Parameters!$B$11+O306*M306+N306</f>
        <v>20.55</v>
      </c>
      <c r="Z306" s="35" t="str">
        <f aca="false">IF(U306="transition","→ Tier 2 (Stellar Neighborhood)",IF(U306="FP","First Photons — light begins, system quickens",IF(U306="HP","Heliopause acquired",IF(U306="OR","Orbital Resonance — passive multiplier active",IF(AND(AO306=1,L306=0,AN306&lt;&gt;1),"Cohesion ready (waiting on completionist upgrades)","")))))</f>
        <v/>
      </c>
      <c r="AA306" s="27" t="n">
        <f aca="false">(IF(E306=0,0,(Upgrades!$G$6+E306*Upgrades!$H$6)*POWER(Upgrades!$I$6,E306)))*(IF(Upgrades!$T$7="Solar Wind",POWER(Upgrades!$U$7,F306),1)*IF(Upgrades!$T$8="Solar Wind",POWER(Upgrades!$U$8,G306),1)*IF(Upgrades!$T$9="Solar Wind",POWER(Upgrades!$U$9,H306),1)*IF(Upgrades!$T$10="Solar Wind",POWER(Upgrades!$U$10,I306),1)*IF(Upgrades!$T$11="Solar Wind",POWER(Upgrades!$U$11,J306),1)*IF(Upgrades!$T$12="Solar Wind",POWER(Upgrades!$U$12,K306),1))*POWER(Upgrades!$P$6,E306)*POWER(Upgrades!$P$7,F306)*POWER(Upgrades!$P$8,G306)*POWER(Upgrades!$P$9,H306)*POWER(Upgrades!$P$10,I306)*POWER(Upgrades!$P$11,J306)*POWER(Upgrades!$P$12,K306)*60</f>
        <v>72</v>
      </c>
      <c r="AB306" s="27" t="n">
        <f aca="false">(IF(F306=0,0,(Upgrades!$G$7+F306*Upgrades!$H$7)*POWER(Upgrades!$I$7,F306)))*(IF(Upgrades!$T$6="Asteroid Belt",POWER(Upgrades!$U$6,E306),1)*IF(Upgrades!$T$8="Asteroid Belt",POWER(Upgrades!$U$8,G306),1)*IF(Upgrades!$T$9="Asteroid Belt",POWER(Upgrades!$U$9,H306),1)*IF(Upgrades!$T$10="Asteroid Belt",POWER(Upgrades!$U$10,I306),1)*IF(Upgrades!$T$11="Asteroid Belt",POWER(Upgrades!$U$11,J306),1)*IF(Upgrades!$T$12="Asteroid Belt",POWER(Upgrades!$U$12,K306),1))*POWER(Upgrades!$P$6,E306)*POWER(Upgrades!$P$7,F306)*POWER(Upgrades!$P$8,G306)*POWER(Upgrades!$P$9,H306)*POWER(Upgrades!$P$10,I306)*POWER(Upgrades!$P$11,J306)*POWER(Upgrades!$P$12,K306)*60</f>
        <v>150</v>
      </c>
      <c r="AC306" s="27" t="n">
        <f aca="false">(IF(G306=0,0,(Upgrades!$J$8+G306*Upgrades!$K$8)*POWER(Upgrades!$L$8,G306)))*(IF(Upgrades!$T$6="Stellar Coupling",POWER(Upgrades!$U$6,E306),1)*IF(Upgrades!$T$7="Stellar Coupling",POWER(Upgrades!$U$7,F306),1)*IF(Upgrades!$T$9="Stellar Coupling",POWER(Upgrades!$U$9,H306),1)*IF(Upgrades!$T$10="Stellar Coupling",POWER(Upgrades!$U$10,I306),1)*IF(Upgrades!$T$11="Stellar Coupling",POWER(Upgrades!$U$11,J306),1)*IF(Upgrades!$T$12="Stellar Coupling",POWER(Upgrades!$U$12,K306),1))*POWER(Upgrades!$Q$6,E306)*POWER(Upgrades!$Q$7,F306)*POWER(Upgrades!$Q$8,G306)*POWER(Upgrades!$Q$9,H306)*POWER(Upgrades!$Q$10,I306)*POWER(Upgrades!$Q$11,J306)*POWER(Upgrades!$Q$12,K306)*Parameters!$B$10*Parameters!$B$11</f>
        <v>441</v>
      </c>
      <c r="AD306" s="27" t="n">
        <f aca="false">(IF(H306=0,0,(Upgrades!$G$9+H306*Upgrades!$H$9)*POWER(Upgrades!$I$9,H306)))*(IF(Upgrades!$T$6="Magnetosphere",POWER(Upgrades!$U$6,E306),1)*IF(Upgrades!$T$7="Magnetosphere",POWER(Upgrades!$U$7,F306),1)*IF(Upgrades!$T$8="Magnetosphere",POWER(Upgrades!$U$8,G306),1)*IF(Upgrades!$T$10="Magnetosphere",POWER(Upgrades!$U$10,I306),1)*IF(Upgrades!$T$11="Magnetosphere",POWER(Upgrades!$U$11,J306),1)*IF(Upgrades!$T$12="Magnetosphere",POWER(Upgrades!$U$12,K306),1))*POWER(Upgrades!$P$6,E306)*POWER(Upgrades!$P$7,F306)*POWER(Upgrades!$P$8,G306)*POWER(Upgrades!$P$9,H306)*POWER(Upgrades!$P$10,I306)*POWER(Upgrades!$P$11,J306)*POWER(Upgrades!$P$12,K306)*60</f>
        <v>375</v>
      </c>
      <c r="AE306" s="27" t="n">
        <f aca="false">(IF(K306=0,0,(Upgrades!$G$12+K306*Upgrades!$H$12)*POWER(Upgrades!$I$12,K306)))*(IF(Upgrades!$T$6="First Photons",POWER(Upgrades!$U$6,E306),1)*IF(Upgrades!$T$7="First Photons",POWER(Upgrades!$U$7,F306),1)*IF(Upgrades!$T$8="First Photons",POWER(Upgrades!$U$8,G306),1)*IF(Upgrades!$T$9="First Photons",POWER(Upgrades!$U$9,H306),1)*IF(Upgrades!$T$10="First Photons",POWER(Upgrades!$U$10,I306),1)*IF(Upgrades!$T$11="First Photons",POWER(Upgrades!$U$11,J306),1))*POWER(Upgrades!$P$6,E306)*POWER(Upgrades!$P$7,F306)*POWER(Upgrades!$P$8,G306)*POWER(Upgrades!$P$9,H306)*POWER(Upgrades!$P$10,I306)*POWER(Upgrades!$P$11,J306)*POWER(Upgrades!$P$12,K306)*60</f>
        <v>75</v>
      </c>
      <c r="AF306" s="27" t="n">
        <f aca="false">Parameters!$B$9*POWER(Upgrades!$Q$6,E306)*POWER(Upgrades!$Q$7,F306)*POWER(Upgrades!$Q$8,G306)*POWER(Upgrades!$Q$9,H306)*POWER(Upgrades!$Q$10,I306)*POWER(Upgrades!$Q$11,J306)*POWER(Upgrades!$Q$12,K306)*(Parameters!$B$10*Parameters!$B$11+O306*60)</f>
        <v>120</v>
      </c>
      <c r="AG306" s="21" t="n">
        <f aca="false">IF(E306&gt;=Upgrades!$E$6,"",Upgrades!$C$6*POWER(Upgrades!$D$6,E306))</f>
        <v>37.4517507383159</v>
      </c>
      <c r="AH306" s="21" t="n">
        <f aca="false">IF(F306&gt;=Upgrades!$E$7,"",Upgrades!$C$7*POWER(Upgrades!$D$7,F306))</f>
        <v>80.9111547141581</v>
      </c>
      <c r="AI306" s="21" t="n">
        <f aca="false">IF(G306&gt;=Upgrades!$E$8,"",Upgrades!$C$8*POWER(Upgrades!$D$8,G306))</f>
        <v>231.9097088</v>
      </c>
      <c r="AJ306" s="21" t="str">
        <f aca="false">IF(H306&gt;=Upgrades!$E$9,"",Upgrades!$C$9*POWER(Upgrades!$D$9,H306))</f>
        <v/>
      </c>
      <c r="AK306" s="21" t="str">
        <f aca="false">IF(I306&gt;=Upgrades!$E$10,"",Upgrades!$C$10*POWER(Upgrades!$D$10,I306))</f>
        <v/>
      </c>
      <c r="AL306" s="21" t="str">
        <f aca="false">IF(J306&gt;=Upgrades!$E$11,"",Upgrades!$C$11*POWER(Upgrades!$D$11,J306))</f>
        <v/>
      </c>
      <c r="AM306" s="21" t="str">
        <f aca="false">IF(K306&gt;=Upgrades!$E$12,"",Upgrades!$C$12*POWER(Upgrades!$D$12,K306))</f>
        <v/>
      </c>
      <c r="AN306" s="26" t="str">
        <f aca="false">IF(AND(D306&gt;=Parameters!$B$18,(H306&gt;=Upgrades!$E$9)*(K306&gt;=Upgrades!$E$12)=1,L306=0),1,"")</f>
        <v/>
      </c>
      <c r="AO306" s="26" t="str">
        <f aca="false">IF(AND(D306&gt;=Parameters!$B$18,L306=0),1,"")</f>
        <v/>
      </c>
      <c r="AP306" s="21" t="n">
        <f aca="false">MIN(IF(ISNUMBER(AK306),AK306,9000000000000000),IF(ISNUMBER(AL306),AL306,9000000000000000),IF(ISNUMBER(AM306),AM306,9000000000000000))</f>
        <v>9000000000000000</v>
      </c>
      <c r="AQ306" s="21" t="n">
        <f aca="false">MIN(IF(ISNUMBER(AG306),AG306,9000000000000000),IF(ISNUMBER(AH306),AH306,9000000000000000),IF(ISNUMBER(AI306),AI306,9000000000000000),IF(ISNUMBER(AJ306),AJ306,9000000000000000))</f>
        <v>37.4517507383159</v>
      </c>
      <c r="AR306" s="32" t="b">
        <f aca="false">IF(AW306&gt;Parameters!$B$21*(MAX(IF(AND(NOT(AND(AO306=1,AN306&lt;&gt;1)),ISNUMBER(AG306),AG306&lt;=T306),AS306,0),IF(AND(NOT(AND(AO306=1,AN306&lt;&gt;1)),ISNUMBER(AH306),AH306&lt;=T306),AT306,0),IF(AND(NOT(AND(AO306=1,AN306&lt;&gt;1)),ISNUMBER(AI306),AI306&lt;=T306),AU306,0),IF(AND(ISNUMBER(AJ306),AJ306&lt;=T306),AV306,0))),TRUE(),FALSE())</f>
        <v>1</v>
      </c>
      <c r="AS306" s="33" t="n">
        <f aca="false">IFERROR(Upgrades!$H$6*(POWER(Upgrades!$P$6,E306)*POWER(Upgrades!$P$7,F306)*POWER(Upgrades!$P$8,G306)*POWER(Upgrades!$P$9,H306)*POWER(Upgrades!$P$10,I306)*POWER(Upgrades!$P$11,J306)*POWER(Upgrades!$P$12,K306))*(IF(Upgrades!$T$7="Solar Wind",POWER(Upgrades!$U$7,F306),1)*IF(Upgrades!$T$8="Solar Wind",POWER(Upgrades!$U$8,G306),1)*IF(Upgrades!$T$9="Solar Wind",POWER(Upgrades!$U$9,H306),1)*IF(Upgrades!$T$10="Solar Wind",POWER(Upgrades!$U$10,I306),1)*IF(Upgrades!$T$11="Solar Wind",POWER(Upgrades!$U$11,J306),1)*IF(Upgrades!$T$12="Solar Wind",POWER(Upgrades!$U$12,K306),1))/AG306,0)</f>
        <v>0.0026701021455238</v>
      </c>
      <c r="AT306" s="33" t="n">
        <f aca="false">IFERROR(Upgrades!$H$7*(POWER(Upgrades!$P$6,E306)*POWER(Upgrades!$P$7,F306)*POWER(Upgrades!$P$8,G306)*POWER(Upgrades!$P$9,H306)*POWER(Upgrades!$P$10,I306)*POWER(Upgrades!$P$11,J306)*POWER(Upgrades!$P$12,K306))*(IF(Upgrades!$T$6="Asteroid Belt",POWER(Upgrades!$U$6,E306),1)*IF(Upgrades!$T$8="Asteroid Belt",POWER(Upgrades!$U$8,G306),1)*IF(Upgrades!$T$9="Asteroid Belt",POWER(Upgrades!$U$9,H306),1)*IF(Upgrades!$T$10="Asteroid Belt",POWER(Upgrades!$U$10,I306),1)*IF(Upgrades!$T$11="Asteroid Belt",POWER(Upgrades!$U$11,J306),1)*IF(Upgrades!$T$12="Asteroid Belt",POWER(Upgrades!$U$12,K306),1))/AH306,0)</f>
        <v>0.00308980882652332</v>
      </c>
      <c r="AU306" s="33" t="n">
        <f aca="false">IFERROR(Upgrades!$K$8*(POWER(Upgrades!$Q$6,E306)*POWER(Upgrades!$Q$7,F306)*POWER(Upgrades!$Q$8,G306)*POWER(Upgrades!$Q$9,H306)*POWER(Upgrades!$Q$10,I306)*POWER(Upgrades!$Q$11,J306)*POWER(Upgrades!$Q$12,K306))*(IF(Upgrades!$T$6="Stellar Coupling",POWER(Upgrades!$U$6,E306),1)*IF(Upgrades!$T$7="Stellar Coupling",POWER(Upgrades!$U$7,F306),1)*IF(Upgrades!$T$9="Stellar Coupling",POWER(Upgrades!$U$9,H306),1)*IF(Upgrades!$T$10="Stellar Coupling",POWER(Upgrades!$U$10,I306),1)*IF(Upgrades!$T$11="Stellar Coupling",POWER(Upgrades!$U$11,J306),1)*IF(Upgrades!$T$12="Stellar Coupling",POWER(Upgrades!$U$12,K306),1))*Parameters!$B$10*Parameters!$B$11/60/AI306,0)</f>
        <v>0.00452762415783776</v>
      </c>
      <c r="AV306" s="33" t="n">
        <f aca="false">IFERROR(Upgrades!$H$9*(POWER(Upgrades!$P$6,E306)*POWER(Upgrades!$P$7,F306)*POWER(Upgrades!$P$8,G306)*POWER(Upgrades!$P$9,H306)*POWER(Upgrades!$P$10,I306)*POWER(Upgrades!$P$11,J306)*POWER(Upgrades!$P$12,K306))*(IF(Upgrades!$T$6="Magnetosphere",POWER(Upgrades!$U$6,E306),1)*IF(Upgrades!$T$7="Magnetosphere",POWER(Upgrades!$U$7,F306),1)*IF(Upgrades!$T$8="Magnetosphere",POWER(Upgrades!$U$8,G306),1)*IF(Upgrades!$T$10="Magnetosphere",POWER(Upgrades!$U$10,I306),1)*IF(Upgrades!$T$11="Magnetosphere",POWER(Upgrades!$U$11,J306),1)*IF(Upgrades!$T$12="Magnetosphere",POWER(Upgrades!$U$12,K306),1))/AJ306,0)</f>
        <v>0</v>
      </c>
      <c r="AW306" s="33" t="n">
        <f aca="false">MAX(IF(I306&gt;0,0,IFERROR(0.25*N306/Upgrades!$C$10,0)),IF(J306&gt;0,0,IFERROR(0.5*((IF(G306=0,0,(Upgrades!$J$8+G306*Upgrades!$K$8)*POWER(Upgrades!$L$8,G306)))*(IF(Upgrades!$T$6="Stellar Coupling",POWER(Upgrades!$U$6,E306),1)*IF(Upgrades!$T$7="Stellar Coupling",POWER(Upgrades!$U$7,F306),1)*IF(Upgrades!$T$9="Stellar Coupling",POWER(Upgrades!$U$9,H306),1)*IF(Upgrades!$T$10="Stellar Coupling",POWER(Upgrades!$U$10,I306),1)*IF(Upgrades!$T$11="Stellar Coupling",POWER(Upgrades!$U$11,J306),1)*IF(Upgrades!$T$12="Stellar Coupling",POWER(Upgrades!$U$12,K306),1))*(POWER(Upgrades!$Q$6,E306)*POWER(Upgrades!$Q$7,F306)*POWER(Upgrades!$Q$8,G306)*POWER(Upgrades!$Q$9,H306)*POWER(Upgrades!$Q$10,I306)*POWER(Upgrades!$Q$11,J306)*POWER(Upgrades!$Q$12,K306))*Parameters!$B$10*Parameters!$B$11/60)/Upgrades!$C$11,0)),IF(K306&gt;0,0,IFERROR((1*(POWER(Upgrades!$P$6,E306)*POWER(Upgrades!$P$7,F306)*POWER(Upgrades!$P$8,G306)*POWER(Upgrades!$P$9,H306)*POWER(Upgrades!$P$10,I306)*POWER(Upgrades!$P$11,J306)*POWER(Upgrades!$P$12,K306))+0.2*M306*Parameters!$B$10*Parameters!$B$11/60)/Upgrades!$C$12,0)),IF(AND(ISNUMBER(AG306),AG306&gt;T306),AS306,0),IF(AND(ISNUMBER(AH306),AH306&gt;T306),AT306,0),IF(AND(ISNUMBER(AI306),AI306&gt;T306),AU306,0),IF(AND(ISNUMBER(AJ306),AJ306&gt;T306),AV306,0))</f>
        <v>0.00452762415783776</v>
      </c>
      <c r="AX306" s="29" t="str">
        <f aca="false">IF(AN306=1,"transition",IF(MIN(IF(AND(I306=0,ISNUMBER(AK306),AK306&lt;=T306),AK306,9000000000000000),IF(AND(J306=0,ISNUMBER(AL306),AL306&lt;=T306),AL306,9000000000000000),IF(AND(K306=0,ISNUMBER(AM306),AM306&lt;=T306),AM306,9000000000000000))&lt;9000000000000000,IF(AND(AND(I306=0,ISNUMBER(AK306),AK306&lt;=T306),AK306=MIN(IF(AND(I306=0,ISNUMBER(AK306),AK306&lt;=T306),AK306,9000000000000000),IF(AND(J306=0,ISNUMBER(AL306),AL306&lt;=T306),AL306,9000000000000000),IF(AND(K306=0,ISNUMBER(AM306),AM306&lt;=T306),AM306,9000000000000000))),"OR",IF(AND(AND(J306=0,ISNUMBER(AL306),AL306&lt;=T306),AL306=MIN(IF(AND(I306=0,ISNUMBER(AK306),AK306&lt;=T306),AK306,9000000000000000),IF(AND(J306=0,ISNUMBER(AL306),AL306&lt;=T306),AL306,9000000000000000),IF(AND(K306=0,ISNUMBER(AM306),AM306&lt;=T306),AM306,9000000000000000))),"HP","FP")),IF(AR306=TRUE(),"",IF(MAX(IF(AND(NOT(AND(AO306=1,AN306&lt;&gt;1)),ISNUMBER(AG306),AG306&lt;=T306),AS306,0),IF(AND(NOT(AND(AO306=1,AN306&lt;&gt;1)),ISNUMBER(AH306),AH306&lt;=T306),AT306,0),IF(AND(NOT(AND(AO306=1,AN306&lt;&gt;1)),ISNUMBER(AI306),AI306&lt;=T306),AU306,0),IF(AND(ISNUMBER(AJ306),AJ306&lt;=T306),AV306,0))&lt;=0,"",IF(AND(IF(AND(NOT(AND(AO306=1,AN306&lt;&gt;1)),ISNUMBER(AG306),AG306&lt;=T306),AS306,0)&gt;0,IF(AND(NOT(AND(AO306=1,AN306&lt;&gt;1)),ISNUMBER(AG306),AG306&lt;=T306),AS306,0)=MAX(IF(AND(NOT(AND(AO306=1,AN306&lt;&gt;1)),ISNUMBER(AG306),AG306&lt;=T306),AS306,0),IF(AND(NOT(AND(AO306=1,AN306&lt;&gt;1)),ISNUMBER(AH306),AH306&lt;=T306),AT306,0),IF(AND(NOT(AND(AO306=1,AN306&lt;&gt;1)),ISNUMBER(AI306),AI306&lt;=T306),AU306,0),IF(AND(ISNUMBER(AJ306),AJ306&lt;=T306),AV306,0))),"SW",IF(AND(IF(AND(NOT(AND(AO306=1,AN306&lt;&gt;1)),ISNUMBER(AH306),AH306&lt;=T306),AT306,0)&gt;0,IF(AND(NOT(AND(AO306=1,AN306&lt;&gt;1)),ISNUMBER(AH306),AH306&lt;=T306),AT306,0)=MAX(IF(AND(NOT(AND(AO306=1,AN306&lt;&gt;1)),ISNUMBER(AG306),AG306&lt;=T306),AS306,0),IF(AND(NOT(AND(AO306=1,AN306&lt;&gt;1)),ISNUMBER(AH306),AH306&lt;=T306),AT306,0),IF(AND(NOT(AND(AO306=1,AN306&lt;&gt;1)),ISNUMBER(AI306),AI306&lt;=T306),AU306,0),IF(AND(ISNUMBER(AJ306),AJ306&lt;=T306),AV306,0))),"AB",IF(AND(IF(AND(NOT(AND(AO306=1,AN306&lt;&gt;1)),ISNUMBER(AI306),AI306&lt;=T306),AU306,0)&gt;0,IF(AND(NOT(AND(AO306=1,AN306&lt;&gt;1)),ISNUMBER(AI306),AI306&lt;=T306),AU306,0)=MAX(IF(AND(NOT(AND(AO306=1,AN306&lt;&gt;1)),ISNUMBER(AG306),AG306&lt;=T306),AS306,0),IF(AND(NOT(AND(AO306=1,AN306&lt;&gt;1)),ISNUMBER(AH306),AH306&lt;=T306),AT306,0),IF(AND(NOT(AND(AO306=1,AN306&lt;&gt;1)),ISNUMBER(AI306),AI306&lt;=T306),AU306,0),IF(AND(ISNUMBER(AJ306),AJ306&lt;=T306),AV306,0))),"SC","Mag")))))))</f>
        <v/>
      </c>
    </row>
    <row r="307" customFormat="false" ht="15" hidden="false" customHeight="false" outlineLevel="0" collapsed="false">
      <c r="A307" s="26" t="n">
        <v>302</v>
      </c>
      <c r="B307" s="27" t="n">
        <f aca="false">A307*10/60</f>
        <v>50.3333333333333</v>
      </c>
      <c r="C307" s="21" t="n">
        <f aca="false">X306</f>
        <v>18.6730249835055</v>
      </c>
      <c r="D307" s="27" t="n">
        <f aca="false">D306+W306</f>
        <v>0</v>
      </c>
      <c r="E307" s="26" t="n">
        <f aca="false">E306+IF(U306="SW",1,0)</f>
        <v>12</v>
      </c>
      <c r="F307" s="26" t="n">
        <f aca="false">F306+IF(U306="AB",1,0)</f>
        <v>10</v>
      </c>
      <c r="G307" s="26" t="n">
        <f aca="false">G306+IF(U306="SC",1,0)</f>
        <v>7</v>
      </c>
      <c r="H307" s="26" t="n">
        <f aca="false">H306+IF(U306="Mag",1,0)</f>
        <v>5</v>
      </c>
      <c r="I307" s="26" t="n">
        <f aca="false">MAX(I306,IF(U306="OR",1,0))</f>
        <v>1</v>
      </c>
      <c r="J307" s="26" t="n">
        <f aca="false">MAX(J306,IF(U306="HP",1,0))</f>
        <v>1</v>
      </c>
      <c r="K307" s="26" t="n">
        <f aca="false">MAX(K306,IF(U306="FP",1,0))</f>
        <v>1</v>
      </c>
      <c r="L307" s="26" t="n">
        <f aca="false">MAX(L306,IF(U306="transition",1,0))</f>
        <v>1</v>
      </c>
      <c r="M307" s="28" t="n">
        <f aca="false">(Parameters!$B$9+(IF(E307=0,0,(Upgrades!$J$6+E307*Upgrades!$K$6)*POWER(Upgrades!$L$6,E307)))*(IF(Upgrades!$T$7="Solar Wind",POWER(Upgrades!$U$7,F307),1)*IF(Upgrades!$T$8="Solar Wind",POWER(Upgrades!$U$8,G307),1)*IF(Upgrades!$T$9="Solar Wind",POWER(Upgrades!$U$9,H307),1)*IF(Upgrades!$T$10="Solar Wind",POWER(Upgrades!$U$10,I307),1)*IF(Upgrades!$T$11="Solar Wind",POWER(Upgrades!$U$11,J307),1)*IF(Upgrades!$T$12="Solar Wind",POWER(Upgrades!$U$12,K307),1))+(IF(F307=0,0,(Upgrades!$J$7+F307*Upgrades!$K$7)*POWER(Upgrades!$L$7,F307)))*(IF(Upgrades!$T$6="Asteroid Belt",POWER(Upgrades!$U$6,E307),1)*IF(Upgrades!$T$8="Asteroid Belt",POWER(Upgrades!$U$8,G307),1)*IF(Upgrades!$T$9="Asteroid Belt",POWER(Upgrades!$U$9,H307),1)*IF(Upgrades!$T$10="Asteroid Belt",POWER(Upgrades!$U$10,I307),1)*IF(Upgrades!$T$11="Asteroid Belt",POWER(Upgrades!$U$11,J307),1)*IF(Upgrades!$T$12="Asteroid Belt",POWER(Upgrades!$U$12,K307),1))+(IF(G307=0,0,(Upgrades!$J$8+G307*Upgrades!$K$8)*POWER(Upgrades!$L$8,G307)))*(IF(Upgrades!$T$6="Stellar Coupling",POWER(Upgrades!$U$6,E307),1)*IF(Upgrades!$T$7="Stellar Coupling",POWER(Upgrades!$U$7,F307),1)*IF(Upgrades!$T$9="Stellar Coupling",POWER(Upgrades!$U$9,H307),1)*IF(Upgrades!$T$10="Stellar Coupling",POWER(Upgrades!$U$10,I307),1)*IF(Upgrades!$T$11="Stellar Coupling",POWER(Upgrades!$U$11,J307),1)*IF(Upgrades!$T$12="Stellar Coupling",POWER(Upgrades!$U$12,K307),1))+(IF(H307=0,0,(Upgrades!$J$9+H307*Upgrades!$K$9)*POWER(Upgrades!$L$9,H307)))*(IF(Upgrades!$T$6="Magnetosphere",POWER(Upgrades!$U$6,E307),1)*IF(Upgrades!$T$7="Magnetosphere",POWER(Upgrades!$U$7,F307),1)*IF(Upgrades!$T$8="Magnetosphere",POWER(Upgrades!$U$8,G307),1)*IF(Upgrades!$T$10="Magnetosphere",POWER(Upgrades!$U$10,I307),1)*IF(Upgrades!$T$11="Magnetosphere",POWER(Upgrades!$U$11,J307),1)*IF(Upgrades!$T$12="Magnetosphere",POWER(Upgrades!$U$12,K307),1))+(IF(I307=0,0,(Upgrades!$J$10+I307*Upgrades!$K$10)*POWER(Upgrades!$L$10,I307)))*(IF(Upgrades!$T$6="Orbital Resonance",POWER(Upgrades!$U$6,E307),1)*IF(Upgrades!$T$7="Orbital Resonance",POWER(Upgrades!$U$7,F307),1)*IF(Upgrades!$T$8="Orbital Resonance",POWER(Upgrades!$U$8,G307),1)*IF(Upgrades!$T$9="Orbital Resonance",POWER(Upgrades!$U$9,H307),1)*IF(Upgrades!$T$11="Orbital Resonance",POWER(Upgrades!$U$11,J307),1)*IF(Upgrades!$T$12="Orbital Resonance",POWER(Upgrades!$U$12,K307),1))+(IF(J307=0,0,(Upgrades!$J$11+J307*Upgrades!$K$11)*POWER(Upgrades!$L$11,J307)))*(IF(Upgrades!$T$6="Heliopause",POWER(Upgrades!$U$6,E307),1)*IF(Upgrades!$T$7="Heliopause",POWER(Upgrades!$U$7,F307),1)*IF(Upgrades!$T$8="Heliopause",POWER(Upgrades!$U$8,G307),1)*IF(Upgrades!$T$9="Heliopause",POWER(Upgrades!$U$9,H307),1)*IF(Upgrades!$T$10="Heliopause",POWER(Upgrades!$U$10,I307),1)*IF(Upgrades!$T$12="Heliopause",POWER(Upgrades!$U$12,K307),1))+(IF(K307=0,0,(Upgrades!$J$12+K307*Upgrades!$K$12)*POWER(Upgrades!$L$12,K307)))*(IF(Upgrades!$T$6="First Photons",POWER(Upgrades!$U$6,E307),1)*IF(Upgrades!$T$7="First Photons",POWER(Upgrades!$U$7,F307),1)*IF(Upgrades!$T$8="First Photons",POWER(Upgrades!$U$8,G307),1)*IF(Upgrades!$T$9="First Photons",POWER(Upgrades!$U$9,H307),1)*IF(Upgrades!$T$10="First Photons",POWER(Upgrades!$U$10,I307),1)*IF(Upgrades!$T$11="First Photons",POWER(Upgrades!$U$11,J307),1)))*POWER(Upgrades!$Q$6,E307)*POWER(Upgrades!$Q$7,F307)*POWER(Upgrades!$Q$8,G307)*POWER(Upgrades!$Q$9,H307)*POWER(Upgrades!$Q$10,I307)*POWER(Upgrades!$Q$11,J307)*POWER(Upgrades!$Q$12,K307)</f>
        <v>5.61</v>
      </c>
      <c r="N307" s="28" t="n">
        <f aca="false">((IF(E307=0,0,(Upgrades!$G$6+E307*Upgrades!$H$6)*POWER(Upgrades!$I$6,E307)))*(IF(Upgrades!$T$7="Solar Wind",POWER(Upgrades!$U$7,F307),1)*IF(Upgrades!$T$8="Solar Wind",POWER(Upgrades!$U$8,G307),1)*IF(Upgrades!$T$9="Solar Wind",POWER(Upgrades!$U$9,H307),1)*IF(Upgrades!$T$10="Solar Wind",POWER(Upgrades!$U$10,I307),1)*IF(Upgrades!$T$11="Solar Wind",POWER(Upgrades!$U$11,J307),1)*IF(Upgrades!$T$12="Solar Wind",POWER(Upgrades!$U$12,K307),1))+(IF(F307=0,0,(Upgrades!$G$7+F307*Upgrades!$H$7)*POWER(Upgrades!$I$7,F307)))*(IF(Upgrades!$T$6="Asteroid Belt",POWER(Upgrades!$U$6,E307),1)*IF(Upgrades!$T$8="Asteroid Belt",POWER(Upgrades!$U$8,G307),1)*IF(Upgrades!$T$9="Asteroid Belt",POWER(Upgrades!$U$9,H307),1)*IF(Upgrades!$T$10="Asteroid Belt",POWER(Upgrades!$U$10,I307),1)*IF(Upgrades!$T$11="Asteroid Belt",POWER(Upgrades!$U$11,J307),1)*IF(Upgrades!$T$12="Asteroid Belt",POWER(Upgrades!$U$12,K307),1))+(IF(G307=0,0,(Upgrades!$G$8+G307*Upgrades!$H$8)*POWER(Upgrades!$I$8,G307)))*(IF(Upgrades!$T$6="Stellar Coupling",POWER(Upgrades!$U$6,E307),1)*IF(Upgrades!$T$7="Stellar Coupling",POWER(Upgrades!$U$7,F307),1)*IF(Upgrades!$T$9="Stellar Coupling",POWER(Upgrades!$U$9,H307),1)*IF(Upgrades!$T$10="Stellar Coupling",POWER(Upgrades!$U$10,I307),1)*IF(Upgrades!$T$11="Stellar Coupling",POWER(Upgrades!$U$11,J307),1)*IF(Upgrades!$T$12="Stellar Coupling",POWER(Upgrades!$U$12,K307),1))+(IF(H307=0,0,(Upgrades!$G$9+H307*Upgrades!$H$9)*POWER(Upgrades!$I$9,H307)))*(IF(Upgrades!$T$6="Magnetosphere",POWER(Upgrades!$U$6,E307),1)*IF(Upgrades!$T$7="Magnetosphere",POWER(Upgrades!$U$7,F307),1)*IF(Upgrades!$T$8="Magnetosphere",POWER(Upgrades!$U$8,G307),1)*IF(Upgrades!$T$10="Magnetosphere",POWER(Upgrades!$U$10,I307),1)*IF(Upgrades!$T$11="Magnetosphere",POWER(Upgrades!$U$11,J307),1)*IF(Upgrades!$T$12="Magnetosphere",POWER(Upgrades!$U$12,K307),1))+(IF(I307=0,0,(Upgrades!$G$10+I307*Upgrades!$H$10)*POWER(Upgrades!$I$10,I307)))*(IF(Upgrades!$T$6="Orbital Resonance",POWER(Upgrades!$U$6,E307),1)*IF(Upgrades!$T$7="Orbital Resonance",POWER(Upgrades!$U$7,F307),1)*IF(Upgrades!$T$8="Orbital Resonance",POWER(Upgrades!$U$8,G307),1)*IF(Upgrades!$T$9="Orbital Resonance",POWER(Upgrades!$U$9,H307),1)*IF(Upgrades!$T$11="Orbital Resonance",POWER(Upgrades!$U$11,J307),1)*IF(Upgrades!$T$12="Orbital Resonance",POWER(Upgrades!$U$12,K307),1))+(IF(J307=0,0,(Upgrades!$G$11+J307*Upgrades!$H$11)*POWER(Upgrades!$I$11,J307)))*(IF(Upgrades!$T$6="Heliopause",POWER(Upgrades!$U$6,E307),1)*IF(Upgrades!$T$7="Heliopause",POWER(Upgrades!$U$7,F307),1)*IF(Upgrades!$T$8="Heliopause",POWER(Upgrades!$U$8,G307),1)*IF(Upgrades!$T$9="Heliopause",POWER(Upgrades!$U$9,H307),1)*IF(Upgrades!$T$10="Heliopause",POWER(Upgrades!$U$10,I307),1)*IF(Upgrades!$T$12="Heliopause",POWER(Upgrades!$U$12,K307),1))+(IF(K307=0,0,(Upgrades!$G$12+K307*Upgrades!$H$12)*POWER(Upgrades!$I$12,K307)))*(IF(Upgrades!$T$6="First Photons",POWER(Upgrades!$U$6,E307),1)*IF(Upgrades!$T$7="First Photons",POWER(Upgrades!$U$7,F307),1)*IF(Upgrades!$T$8="First Photons",POWER(Upgrades!$U$8,G307),1)*IF(Upgrades!$T$9="First Photons",POWER(Upgrades!$U$9,H307),1)*IF(Upgrades!$T$10="First Photons",POWER(Upgrades!$U$10,I307),1)*IF(Upgrades!$T$11="First Photons",POWER(Upgrades!$U$11,J307),1)))*POWER(Upgrades!$P$6,E307)*POWER(Upgrades!$P$7,F307)*POWER(Upgrades!$P$8,G307)*POWER(Upgrades!$P$9,H307)*POWER(Upgrades!$P$10,I307)*POWER(Upgrades!$P$11,J307)*POWER(Upgrades!$P$12,K307)</f>
        <v>11.2</v>
      </c>
      <c r="O307" s="28" t="n">
        <f aca="false">((IF(E307=0,0,(Upgrades!$M$6+E307*Upgrades!$N$6)*POWER(Upgrades!$O$6,E307)))*(IF(Upgrades!$T$7="Solar Wind",POWER(Upgrades!$U$7,F307),1)*IF(Upgrades!$T$8="Solar Wind",POWER(Upgrades!$U$8,G307),1)*IF(Upgrades!$T$9="Solar Wind",POWER(Upgrades!$U$9,H307),1)*IF(Upgrades!$T$10="Solar Wind",POWER(Upgrades!$U$10,I307),1)*IF(Upgrades!$T$11="Solar Wind",POWER(Upgrades!$U$11,J307),1)*IF(Upgrades!$T$12="Solar Wind",POWER(Upgrades!$U$12,K307),1))+(IF(F307=0,0,(Upgrades!$M$7+F307*Upgrades!$N$7)*POWER(Upgrades!$O$7,F307)))*(IF(Upgrades!$T$6="Asteroid Belt",POWER(Upgrades!$U$6,E307),1)*IF(Upgrades!$T$8="Asteroid Belt",POWER(Upgrades!$U$8,G307),1)*IF(Upgrades!$T$9="Asteroid Belt",POWER(Upgrades!$U$9,H307),1)*IF(Upgrades!$T$10="Asteroid Belt",POWER(Upgrades!$U$10,I307),1)*IF(Upgrades!$T$11="Asteroid Belt",POWER(Upgrades!$U$11,J307),1)*IF(Upgrades!$T$12="Asteroid Belt",POWER(Upgrades!$U$12,K307),1))+(IF(G307=0,0,(Upgrades!$M$8+G307*Upgrades!$N$8)*POWER(Upgrades!$O$8,G307)))*(IF(Upgrades!$T$6="Stellar Coupling",POWER(Upgrades!$U$6,E307),1)*IF(Upgrades!$T$7="Stellar Coupling",POWER(Upgrades!$U$7,F307),1)*IF(Upgrades!$T$9="Stellar Coupling",POWER(Upgrades!$U$9,H307),1)*IF(Upgrades!$T$10="Stellar Coupling",POWER(Upgrades!$U$10,I307),1)*IF(Upgrades!$T$11="Stellar Coupling",POWER(Upgrades!$U$11,J307),1)*IF(Upgrades!$T$12="Stellar Coupling",POWER(Upgrades!$U$12,K307),1))+(IF(H307=0,0,(Upgrades!$M$9+H307*Upgrades!$N$9)*POWER(Upgrades!$O$9,H307)))*(IF(Upgrades!$T$6="Magnetosphere",POWER(Upgrades!$U$6,E307),1)*IF(Upgrades!$T$7="Magnetosphere",POWER(Upgrades!$U$7,F307),1)*IF(Upgrades!$T$8="Magnetosphere",POWER(Upgrades!$U$8,G307),1)*IF(Upgrades!$T$10="Magnetosphere",POWER(Upgrades!$U$10,I307),1)*IF(Upgrades!$T$11="Magnetosphere",POWER(Upgrades!$U$11,J307),1)*IF(Upgrades!$T$12="Magnetosphere",POWER(Upgrades!$U$12,K307),1))+(IF(I307=0,0,(Upgrades!$M$10+I307*Upgrades!$N$10)*POWER(Upgrades!$O$10,I307)))*(IF(Upgrades!$T$6="Orbital Resonance",POWER(Upgrades!$U$6,E307),1)*IF(Upgrades!$T$7="Orbital Resonance",POWER(Upgrades!$U$7,F307),1)*IF(Upgrades!$T$8="Orbital Resonance",POWER(Upgrades!$U$8,G307),1)*IF(Upgrades!$T$9="Orbital Resonance",POWER(Upgrades!$U$9,H307),1)*IF(Upgrades!$T$11="Orbital Resonance",POWER(Upgrades!$U$11,J307),1)*IF(Upgrades!$T$12="Orbital Resonance",POWER(Upgrades!$U$12,K307),1))+(IF(J307=0,0,(Upgrades!$M$11+J307*Upgrades!$N$11)*POWER(Upgrades!$O$11,J307)))*(IF(Upgrades!$T$6="Heliopause",POWER(Upgrades!$U$6,E307),1)*IF(Upgrades!$T$7="Heliopause",POWER(Upgrades!$U$7,F307),1)*IF(Upgrades!$T$8="Heliopause",POWER(Upgrades!$U$8,G307),1)*IF(Upgrades!$T$9="Heliopause",POWER(Upgrades!$U$9,H307),1)*IF(Upgrades!$T$10="Heliopause",POWER(Upgrades!$U$10,I307),1)*IF(Upgrades!$T$12="Heliopause",POWER(Upgrades!$U$12,K307),1))+(IF(K307=0,0,(Upgrades!$M$12+K307*Upgrades!$N$12)*POWER(Upgrades!$O$12,K307)))*(IF(Upgrades!$T$6="First Photons",POWER(Upgrades!$U$6,E307),1)*IF(Upgrades!$T$7="First Photons",POWER(Upgrades!$U$7,F307),1)*IF(Upgrades!$T$8="First Photons",POWER(Upgrades!$U$8,G307),1)*IF(Upgrades!$T$9="First Photons",POWER(Upgrades!$U$9,H307),1)*IF(Upgrades!$T$10="First Photons",POWER(Upgrades!$U$10,I307),1)*IF(Upgrades!$T$11="First Photons",POWER(Upgrades!$U$11,J307),1)))*POWER(Upgrades!$R$6,E307)*POWER(Upgrades!$R$7,F307)*POWER(Upgrades!$R$8,G307)*POWER(Upgrades!$R$9,H307)*POWER(Upgrades!$R$10,I307)*POWER(Upgrades!$R$11,J307)*POWER(Upgrades!$R$12,K307)</f>
        <v>0</v>
      </c>
      <c r="P307" s="27" t="n">
        <f aca="false">IF(L307=1,0,M307*Parameters!$B$10/60*Parameters!$B$11*10)</f>
        <v>0</v>
      </c>
      <c r="Q307" s="27" t="n">
        <f aca="false">IF(L307=1,0,O307*M307*10)</f>
        <v>0</v>
      </c>
      <c r="R307" s="27" t="n">
        <f aca="false">IF(L307=1,0,N307*10)</f>
        <v>0</v>
      </c>
      <c r="S307" s="27" t="n">
        <f aca="false">P307+Q307+R307</f>
        <v>0</v>
      </c>
      <c r="T307" s="21" t="n">
        <f aca="false">C307+S307</f>
        <v>18.6730249835055</v>
      </c>
      <c r="U307" s="34" t="str">
        <f aca="false">AX307</f>
        <v/>
      </c>
      <c r="V307" s="21" t="n">
        <f aca="false">IF(U307="",0,IF(U307="transition",0,IF(U307="SW",AG307,IF(U307="AB",AH307,IF(U307="SC",AI307,IF(U307="Mag",AJ307,IF(U307="OR",AK307,IF(U307="HP",AL307,IF(U307="FP",AM307,0)))))))))</f>
        <v>0</v>
      </c>
      <c r="W307" s="27" t="n">
        <f aca="false">IF(U307="OR",Upgrades!$F$10,IF(U307="HP",Upgrades!$F$11,IF(U307="transition",-Parameters!$B$18,0)))</f>
        <v>0</v>
      </c>
      <c r="X307" s="21" t="n">
        <f aca="false">T307-V307</f>
        <v>18.6730249835055</v>
      </c>
      <c r="Y307" s="30" t="n">
        <f aca="false">M307*Parameters!$B$10/60*Parameters!$B$11+O307*M307+N307</f>
        <v>20.55</v>
      </c>
      <c r="Z307" s="35" t="str">
        <f aca="false">IF(U307="transition","→ Tier 2 (Stellar Neighborhood)",IF(U307="FP","First Photons — light begins, system quickens",IF(U307="HP","Heliopause acquired",IF(U307="OR","Orbital Resonance — passive multiplier active",IF(AND(AO307=1,L307=0,AN307&lt;&gt;1),"Cohesion ready (waiting on completionist upgrades)","")))))</f>
        <v/>
      </c>
      <c r="AA307" s="27" t="n">
        <f aca="false">(IF(E307=0,0,(Upgrades!$G$6+E307*Upgrades!$H$6)*POWER(Upgrades!$I$6,E307)))*(IF(Upgrades!$T$7="Solar Wind",POWER(Upgrades!$U$7,F307),1)*IF(Upgrades!$T$8="Solar Wind",POWER(Upgrades!$U$8,G307),1)*IF(Upgrades!$T$9="Solar Wind",POWER(Upgrades!$U$9,H307),1)*IF(Upgrades!$T$10="Solar Wind",POWER(Upgrades!$U$10,I307),1)*IF(Upgrades!$T$11="Solar Wind",POWER(Upgrades!$U$11,J307),1)*IF(Upgrades!$T$12="Solar Wind",POWER(Upgrades!$U$12,K307),1))*POWER(Upgrades!$P$6,E307)*POWER(Upgrades!$P$7,F307)*POWER(Upgrades!$P$8,G307)*POWER(Upgrades!$P$9,H307)*POWER(Upgrades!$P$10,I307)*POWER(Upgrades!$P$11,J307)*POWER(Upgrades!$P$12,K307)*60</f>
        <v>72</v>
      </c>
      <c r="AB307" s="27" t="n">
        <f aca="false">(IF(F307=0,0,(Upgrades!$G$7+F307*Upgrades!$H$7)*POWER(Upgrades!$I$7,F307)))*(IF(Upgrades!$T$6="Asteroid Belt",POWER(Upgrades!$U$6,E307),1)*IF(Upgrades!$T$8="Asteroid Belt",POWER(Upgrades!$U$8,G307),1)*IF(Upgrades!$T$9="Asteroid Belt",POWER(Upgrades!$U$9,H307),1)*IF(Upgrades!$T$10="Asteroid Belt",POWER(Upgrades!$U$10,I307),1)*IF(Upgrades!$T$11="Asteroid Belt",POWER(Upgrades!$U$11,J307),1)*IF(Upgrades!$T$12="Asteroid Belt",POWER(Upgrades!$U$12,K307),1))*POWER(Upgrades!$P$6,E307)*POWER(Upgrades!$P$7,F307)*POWER(Upgrades!$P$8,G307)*POWER(Upgrades!$P$9,H307)*POWER(Upgrades!$P$10,I307)*POWER(Upgrades!$P$11,J307)*POWER(Upgrades!$P$12,K307)*60</f>
        <v>150</v>
      </c>
      <c r="AC307" s="27" t="n">
        <f aca="false">(IF(G307=0,0,(Upgrades!$J$8+G307*Upgrades!$K$8)*POWER(Upgrades!$L$8,G307)))*(IF(Upgrades!$T$6="Stellar Coupling",POWER(Upgrades!$U$6,E307),1)*IF(Upgrades!$T$7="Stellar Coupling",POWER(Upgrades!$U$7,F307),1)*IF(Upgrades!$T$9="Stellar Coupling",POWER(Upgrades!$U$9,H307),1)*IF(Upgrades!$T$10="Stellar Coupling",POWER(Upgrades!$U$10,I307),1)*IF(Upgrades!$T$11="Stellar Coupling",POWER(Upgrades!$U$11,J307),1)*IF(Upgrades!$T$12="Stellar Coupling",POWER(Upgrades!$U$12,K307),1))*POWER(Upgrades!$Q$6,E307)*POWER(Upgrades!$Q$7,F307)*POWER(Upgrades!$Q$8,G307)*POWER(Upgrades!$Q$9,H307)*POWER(Upgrades!$Q$10,I307)*POWER(Upgrades!$Q$11,J307)*POWER(Upgrades!$Q$12,K307)*Parameters!$B$10*Parameters!$B$11</f>
        <v>441</v>
      </c>
      <c r="AD307" s="27" t="n">
        <f aca="false">(IF(H307=0,0,(Upgrades!$G$9+H307*Upgrades!$H$9)*POWER(Upgrades!$I$9,H307)))*(IF(Upgrades!$T$6="Magnetosphere",POWER(Upgrades!$U$6,E307),1)*IF(Upgrades!$T$7="Magnetosphere",POWER(Upgrades!$U$7,F307),1)*IF(Upgrades!$T$8="Magnetosphere",POWER(Upgrades!$U$8,G307),1)*IF(Upgrades!$T$10="Magnetosphere",POWER(Upgrades!$U$10,I307),1)*IF(Upgrades!$T$11="Magnetosphere",POWER(Upgrades!$U$11,J307),1)*IF(Upgrades!$T$12="Magnetosphere",POWER(Upgrades!$U$12,K307),1))*POWER(Upgrades!$P$6,E307)*POWER(Upgrades!$P$7,F307)*POWER(Upgrades!$P$8,G307)*POWER(Upgrades!$P$9,H307)*POWER(Upgrades!$P$10,I307)*POWER(Upgrades!$P$11,J307)*POWER(Upgrades!$P$12,K307)*60</f>
        <v>375</v>
      </c>
      <c r="AE307" s="27" t="n">
        <f aca="false">(IF(K307=0,0,(Upgrades!$G$12+K307*Upgrades!$H$12)*POWER(Upgrades!$I$12,K307)))*(IF(Upgrades!$T$6="First Photons",POWER(Upgrades!$U$6,E307),1)*IF(Upgrades!$T$7="First Photons",POWER(Upgrades!$U$7,F307),1)*IF(Upgrades!$T$8="First Photons",POWER(Upgrades!$U$8,G307),1)*IF(Upgrades!$T$9="First Photons",POWER(Upgrades!$U$9,H307),1)*IF(Upgrades!$T$10="First Photons",POWER(Upgrades!$U$10,I307),1)*IF(Upgrades!$T$11="First Photons",POWER(Upgrades!$U$11,J307),1))*POWER(Upgrades!$P$6,E307)*POWER(Upgrades!$P$7,F307)*POWER(Upgrades!$P$8,G307)*POWER(Upgrades!$P$9,H307)*POWER(Upgrades!$P$10,I307)*POWER(Upgrades!$P$11,J307)*POWER(Upgrades!$P$12,K307)*60</f>
        <v>75</v>
      </c>
      <c r="AF307" s="27" t="n">
        <f aca="false">Parameters!$B$9*POWER(Upgrades!$Q$6,E307)*POWER(Upgrades!$Q$7,F307)*POWER(Upgrades!$Q$8,G307)*POWER(Upgrades!$Q$9,H307)*POWER(Upgrades!$Q$10,I307)*POWER(Upgrades!$Q$11,J307)*POWER(Upgrades!$Q$12,K307)*(Parameters!$B$10*Parameters!$B$11+O307*60)</f>
        <v>120</v>
      </c>
      <c r="AG307" s="21" t="n">
        <f aca="false">IF(E307&gt;=Upgrades!$E$6,"",Upgrades!$C$6*POWER(Upgrades!$D$6,E307))</f>
        <v>37.4517507383159</v>
      </c>
      <c r="AH307" s="21" t="n">
        <f aca="false">IF(F307&gt;=Upgrades!$E$7,"",Upgrades!$C$7*POWER(Upgrades!$D$7,F307))</f>
        <v>80.9111547141581</v>
      </c>
      <c r="AI307" s="21" t="n">
        <f aca="false">IF(G307&gt;=Upgrades!$E$8,"",Upgrades!$C$8*POWER(Upgrades!$D$8,G307))</f>
        <v>231.9097088</v>
      </c>
      <c r="AJ307" s="21" t="str">
        <f aca="false">IF(H307&gt;=Upgrades!$E$9,"",Upgrades!$C$9*POWER(Upgrades!$D$9,H307))</f>
        <v/>
      </c>
      <c r="AK307" s="21" t="str">
        <f aca="false">IF(I307&gt;=Upgrades!$E$10,"",Upgrades!$C$10*POWER(Upgrades!$D$10,I307))</f>
        <v/>
      </c>
      <c r="AL307" s="21" t="str">
        <f aca="false">IF(J307&gt;=Upgrades!$E$11,"",Upgrades!$C$11*POWER(Upgrades!$D$11,J307))</f>
        <v/>
      </c>
      <c r="AM307" s="21" t="str">
        <f aca="false">IF(K307&gt;=Upgrades!$E$12,"",Upgrades!$C$12*POWER(Upgrades!$D$12,K307))</f>
        <v/>
      </c>
      <c r="AN307" s="26" t="str">
        <f aca="false">IF(AND(D307&gt;=Parameters!$B$18,(H307&gt;=Upgrades!$E$9)*(K307&gt;=Upgrades!$E$12)=1,L307=0),1,"")</f>
        <v/>
      </c>
      <c r="AO307" s="26" t="str">
        <f aca="false">IF(AND(D307&gt;=Parameters!$B$18,L307=0),1,"")</f>
        <v/>
      </c>
      <c r="AP307" s="21" t="n">
        <f aca="false">MIN(IF(ISNUMBER(AK307),AK307,9000000000000000),IF(ISNUMBER(AL307),AL307,9000000000000000),IF(ISNUMBER(AM307),AM307,9000000000000000))</f>
        <v>9000000000000000</v>
      </c>
      <c r="AQ307" s="21" t="n">
        <f aca="false">MIN(IF(ISNUMBER(AG307),AG307,9000000000000000),IF(ISNUMBER(AH307),AH307,9000000000000000),IF(ISNUMBER(AI307),AI307,9000000000000000),IF(ISNUMBER(AJ307),AJ307,9000000000000000))</f>
        <v>37.4517507383159</v>
      </c>
      <c r="AR307" s="32" t="b">
        <f aca="false">IF(AW307&gt;Parameters!$B$21*(MAX(IF(AND(NOT(AND(AO307=1,AN307&lt;&gt;1)),ISNUMBER(AG307),AG307&lt;=T307),AS307,0),IF(AND(NOT(AND(AO307=1,AN307&lt;&gt;1)),ISNUMBER(AH307),AH307&lt;=T307),AT307,0),IF(AND(NOT(AND(AO307=1,AN307&lt;&gt;1)),ISNUMBER(AI307),AI307&lt;=T307),AU307,0),IF(AND(ISNUMBER(AJ307),AJ307&lt;=T307),AV307,0))),TRUE(),FALSE())</f>
        <v>1</v>
      </c>
      <c r="AS307" s="33" t="n">
        <f aca="false">IFERROR(Upgrades!$H$6*(POWER(Upgrades!$P$6,E307)*POWER(Upgrades!$P$7,F307)*POWER(Upgrades!$P$8,G307)*POWER(Upgrades!$P$9,H307)*POWER(Upgrades!$P$10,I307)*POWER(Upgrades!$P$11,J307)*POWER(Upgrades!$P$12,K307))*(IF(Upgrades!$T$7="Solar Wind",POWER(Upgrades!$U$7,F307),1)*IF(Upgrades!$T$8="Solar Wind",POWER(Upgrades!$U$8,G307),1)*IF(Upgrades!$T$9="Solar Wind",POWER(Upgrades!$U$9,H307),1)*IF(Upgrades!$T$10="Solar Wind",POWER(Upgrades!$U$10,I307),1)*IF(Upgrades!$T$11="Solar Wind",POWER(Upgrades!$U$11,J307),1)*IF(Upgrades!$T$12="Solar Wind",POWER(Upgrades!$U$12,K307),1))/AG307,0)</f>
        <v>0.0026701021455238</v>
      </c>
      <c r="AT307" s="33" t="n">
        <f aca="false">IFERROR(Upgrades!$H$7*(POWER(Upgrades!$P$6,E307)*POWER(Upgrades!$P$7,F307)*POWER(Upgrades!$P$8,G307)*POWER(Upgrades!$P$9,H307)*POWER(Upgrades!$P$10,I307)*POWER(Upgrades!$P$11,J307)*POWER(Upgrades!$P$12,K307))*(IF(Upgrades!$T$6="Asteroid Belt",POWER(Upgrades!$U$6,E307),1)*IF(Upgrades!$T$8="Asteroid Belt",POWER(Upgrades!$U$8,G307),1)*IF(Upgrades!$T$9="Asteroid Belt",POWER(Upgrades!$U$9,H307),1)*IF(Upgrades!$T$10="Asteroid Belt",POWER(Upgrades!$U$10,I307),1)*IF(Upgrades!$T$11="Asteroid Belt",POWER(Upgrades!$U$11,J307),1)*IF(Upgrades!$T$12="Asteroid Belt",POWER(Upgrades!$U$12,K307),1))/AH307,0)</f>
        <v>0.00308980882652332</v>
      </c>
      <c r="AU307" s="33" t="n">
        <f aca="false">IFERROR(Upgrades!$K$8*(POWER(Upgrades!$Q$6,E307)*POWER(Upgrades!$Q$7,F307)*POWER(Upgrades!$Q$8,G307)*POWER(Upgrades!$Q$9,H307)*POWER(Upgrades!$Q$10,I307)*POWER(Upgrades!$Q$11,J307)*POWER(Upgrades!$Q$12,K307))*(IF(Upgrades!$T$6="Stellar Coupling",POWER(Upgrades!$U$6,E307),1)*IF(Upgrades!$T$7="Stellar Coupling",POWER(Upgrades!$U$7,F307),1)*IF(Upgrades!$T$9="Stellar Coupling",POWER(Upgrades!$U$9,H307),1)*IF(Upgrades!$T$10="Stellar Coupling",POWER(Upgrades!$U$10,I307),1)*IF(Upgrades!$T$11="Stellar Coupling",POWER(Upgrades!$U$11,J307),1)*IF(Upgrades!$T$12="Stellar Coupling",POWER(Upgrades!$U$12,K307),1))*Parameters!$B$10*Parameters!$B$11/60/AI307,0)</f>
        <v>0.00452762415783776</v>
      </c>
      <c r="AV307" s="33" t="n">
        <f aca="false">IFERROR(Upgrades!$H$9*(POWER(Upgrades!$P$6,E307)*POWER(Upgrades!$P$7,F307)*POWER(Upgrades!$P$8,G307)*POWER(Upgrades!$P$9,H307)*POWER(Upgrades!$P$10,I307)*POWER(Upgrades!$P$11,J307)*POWER(Upgrades!$P$12,K307))*(IF(Upgrades!$T$6="Magnetosphere",POWER(Upgrades!$U$6,E307),1)*IF(Upgrades!$T$7="Magnetosphere",POWER(Upgrades!$U$7,F307),1)*IF(Upgrades!$T$8="Magnetosphere",POWER(Upgrades!$U$8,G307),1)*IF(Upgrades!$T$10="Magnetosphere",POWER(Upgrades!$U$10,I307),1)*IF(Upgrades!$T$11="Magnetosphere",POWER(Upgrades!$U$11,J307),1)*IF(Upgrades!$T$12="Magnetosphere",POWER(Upgrades!$U$12,K307),1))/AJ307,0)</f>
        <v>0</v>
      </c>
      <c r="AW307" s="33" t="n">
        <f aca="false">MAX(IF(I307&gt;0,0,IFERROR(0.25*N307/Upgrades!$C$10,0)),IF(J307&gt;0,0,IFERROR(0.5*((IF(G307=0,0,(Upgrades!$J$8+G307*Upgrades!$K$8)*POWER(Upgrades!$L$8,G307)))*(IF(Upgrades!$T$6="Stellar Coupling",POWER(Upgrades!$U$6,E307),1)*IF(Upgrades!$T$7="Stellar Coupling",POWER(Upgrades!$U$7,F307),1)*IF(Upgrades!$T$9="Stellar Coupling",POWER(Upgrades!$U$9,H307),1)*IF(Upgrades!$T$10="Stellar Coupling",POWER(Upgrades!$U$10,I307),1)*IF(Upgrades!$T$11="Stellar Coupling",POWER(Upgrades!$U$11,J307),1)*IF(Upgrades!$T$12="Stellar Coupling",POWER(Upgrades!$U$12,K307),1))*(POWER(Upgrades!$Q$6,E307)*POWER(Upgrades!$Q$7,F307)*POWER(Upgrades!$Q$8,G307)*POWER(Upgrades!$Q$9,H307)*POWER(Upgrades!$Q$10,I307)*POWER(Upgrades!$Q$11,J307)*POWER(Upgrades!$Q$12,K307))*Parameters!$B$10*Parameters!$B$11/60)/Upgrades!$C$11,0)),IF(K307&gt;0,0,IFERROR((1*(POWER(Upgrades!$P$6,E307)*POWER(Upgrades!$P$7,F307)*POWER(Upgrades!$P$8,G307)*POWER(Upgrades!$P$9,H307)*POWER(Upgrades!$P$10,I307)*POWER(Upgrades!$P$11,J307)*POWER(Upgrades!$P$12,K307))+0.2*M307*Parameters!$B$10*Parameters!$B$11/60)/Upgrades!$C$12,0)),IF(AND(ISNUMBER(AG307),AG307&gt;T307),AS307,0),IF(AND(ISNUMBER(AH307),AH307&gt;T307),AT307,0),IF(AND(ISNUMBER(AI307),AI307&gt;T307),AU307,0),IF(AND(ISNUMBER(AJ307),AJ307&gt;T307),AV307,0))</f>
        <v>0.00452762415783776</v>
      </c>
      <c r="AX307" s="29" t="str">
        <f aca="false">IF(AN307=1,"transition",IF(MIN(IF(AND(I307=0,ISNUMBER(AK307),AK307&lt;=T307),AK307,9000000000000000),IF(AND(J307=0,ISNUMBER(AL307),AL307&lt;=T307),AL307,9000000000000000),IF(AND(K307=0,ISNUMBER(AM307),AM307&lt;=T307),AM307,9000000000000000))&lt;9000000000000000,IF(AND(AND(I307=0,ISNUMBER(AK307),AK307&lt;=T307),AK307=MIN(IF(AND(I307=0,ISNUMBER(AK307),AK307&lt;=T307),AK307,9000000000000000),IF(AND(J307=0,ISNUMBER(AL307),AL307&lt;=T307),AL307,9000000000000000),IF(AND(K307=0,ISNUMBER(AM307),AM307&lt;=T307),AM307,9000000000000000))),"OR",IF(AND(AND(J307=0,ISNUMBER(AL307),AL307&lt;=T307),AL307=MIN(IF(AND(I307=0,ISNUMBER(AK307),AK307&lt;=T307),AK307,9000000000000000),IF(AND(J307=0,ISNUMBER(AL307),AL307&lt;=T307),AL307,9000000000000000),IF(AND(K307=0,ISNUMBER(AM307),AM307&lt;=T307),AM307,9000000000000000))),"HP","FP")),IF(AR307=TRUE(),"",IF(MAX(IF(AND(NOT(AND(AO307=1,AN307&lt;&gt;1)),ISNUMBER(AG307),AG307&lt;=T307),AS307,0),IF(AND(NOT(AND(AO307=1,AN307&lt;&gt;1)),ISNUMBER(AH307),AH307&lt;=T307),AT307,0),IF(AND(NOT(AND(AO307=1,AN307&lt;&gt;1)),ISNUMBER(AI307),AI307&lt;=T307),AU307,0),IF(AND(ISNUMBER(AJ307),AJ307&lt;=T307),AV307,0))&lt;=0,"",IF(AND(IF(AND(NOT(AND(AO307=1,AN307&lt;&gt;1)),ISNUMBER(AG307),AG307&lt;=T307),AS307,0)&gt;0,IF(AND(NOT(AND(AO307=1,AN307&lt;&gt;1)),ISNUMBER(AG307),AG307&lt;=T307),AS307,0)=MAX(IF(AND(NOT(AND(AO307=1,AN307&lt;&gt;1)),ISNUMBER(AG307),AG307&lt;=T307),AS307,0),IF(AND(NOT(AND(AO307=1,AN307&lt;&gt;1)),ISNUMBER(AH307),AH307&lt;=T307),AT307,0),IF(AND(NOT(AND(AO307=1,AN307&lt;&gt;1)),ISNUMBER(AI307),AI307&lt;=T307),AU307,0),IF(AND(ISNUMBER(AJ307),AJ307&lt;=T307),AV307,0))),"SW",IF(AND(IF(AND(NOT(AND(AO307=1,AN307&lt;&gt;1)),ISNUMBER(AH307),AH307&lt;=T307),AT307,0)&gt;0,IF(AND(NOT(AND(AO307=1,AN307&lt;&gt;1)),ISNUMBER(AH307),AH307&lt;=T307),AT307,0)=MAX(IF(AND(NOT(AND(AO307=1,AN307&lt;&gt;1)),ISNUMBER(AG307),AG307&lt;=T307),AS307,0),IF(AND(NOT(AND(AO307=1,AN307&lt;&gt;1)),ISNUMBER(AH307),AH307&lt;=T307),AT307,0),IF(AND(NOT(AND(AO307=1,AN307&lt;&gt;1)),ISNUMBER(AI307),AI307&lt;=T307),AU307,0),IF(AND(ISNUMBER(AJ307),AJ307&lt;=T307),AV307,0))),"AB",IF(AND(IF(AND(NOT(AND(AO307=1,AN307&lt;&gt;1)),ISNUMBER(AI307),AI307&lt;=T307),AU307,0)&gt;0,IF(AND(NOT(AND(AO307=1,AN307&lt;&gt;1)),ISNUMBER(AI307),AI307&lt;=T307),AU307,0)=MAX(IF(AND(NOT(AND(AO307=1,AN307&lt;&gt;1)),ISNUMBER(AG307),AG307&lt;=T307),AS307,0),IF(AND(NOT(AND(AO307=1,AN307&lt;&gt;1)),ISNUMBER(AH307),AH307&lt;=T307),AT307,0),IF(AND(NOT(AND(AO307=1,AN307&lt;&gt;1)),ISNUMBER(AI307),AI307&lt;=T307),AU307,0),IF(AND(ISNUMBER(AJ307),AJ307&lt;=T307),AV307,0))),"SC","Mag")))))))</f>
        <v/>
      </c>
    </row>
    <row r="308" customFormat="false" ht="15" hidden="false" customHeight="false" outlineLevel="0" collapsed="false">
      <c r="A308" s="26" t="n">
        <v>303</v>
      </c>
      <c r="B308" s="27" t="n">
        <f aca="false">A308*10/60</f>
        <v>50.5</v>
      </c>
      <c r="C308" s="21" t="n">
        <f aca="false">X307</f>
        <v>18.6730249835055</v>
      </c>
      <c r="D308" s="27" t="n">
        <f aca="false">D307+W307</f>
        <v>0</v>
      </c>
      <c r="E308" s="26" t="n">
        <f aca="false">E307+IF(U307="SW",1,0)</f>
        <v>12</v>
      </c>
      <c r="F308" s="26" t="n">
        <f aca="false">F307+IF(U307="AB",1,0)</f>
        <v>10</v>
      </c>
      <c r="G308" s="26" t="n">
        <f aca="false">G307+IF(U307="SC",1,0)</f>
        <v>7</v>
      </c>
      <c r="H308" s="26" t="n">
        <f aca="false">H307+IF(U307="Mag",1,0)</f>
        <v>5</v>
      </c>
      <c r="I308" s="26" t="n">
        <f aca="false">MAX(I307,IF(U307="OR",1,0))</f>
        <v>1</v>
      </c>
      <c r="J308" s="26" t="n">
        <f aca="false">MAX(J307,IF(U307="HP",1,0))</f>
        <v>1</v>
      </c>
      <c r="K308" s="26" t="n">
        <f aca="false">MAX(K307,IF(U307="FP",1,0))</f>
        <v>1</v>
      </c>
      <c r="L308" s="26" t="n">
        <f aca="false">MAX(L307,IF(U307="transition",1,0))</f>
        <v>1</v>
      </c>
      <c r="M308" s="28" t="n">
        <f aca="false">(Parameters!$B$9+(IF(E308=0,0,(Upgrades!$J$6+E308*Upgrades!$K$6)*POWER(Upgrades!$L$6,E308)))*(IF(Upgrades!$T$7="Solar Wind",POWER(Upgrades!$U$7,F308),1)*IF(Upgrades!$T$8="Solar Wind",POWER(Upgrades!$U$8,G308),1)*IF(Upgrades!$T$9="Solar Wind",POWER(Upgrades!$U$9,H308),1)*IF(Upgrades!$T$10="Solar Wind",POWER(Upgrades!$U$10,I308),1)*IF(Upgrades!$T$11="Solar Wind",POWER(Upgrades!$U$11,J308),1)*IF(Upgrades!$T$12="Solar Wind",POWER(Upgrades!$U$12,K308),1))+(IF(F308=0,0,(Upgrades!$J$7+F308*Upgrades!$K$7)*POWER(Upgrades!$L$7,F308)))*(IF(Upgrades!$T$6="Asteroid Belt",POWER(Upgrades!$U$6,E308),1)*IF(Upgrades!$T$8="Asteroid Belt",POWER(Upgrades!$U$8,G308),1)*IF(Upgrades!$T$9="Asteroid Belt",POWER(Upgrades!$U$9,H308),1)*IF(Upgrades!$T$10="Asteroid Belt",POWER(Upgrades!$U$10,I308),1)*IF(Upgrades!$T$11="Asteroid Belt",POWER(Upgrades!$U$11,J308),1)*IF(Upgrades!$T$12="Asteroid Belt",POWER(Upgrades!$U$12,K308),1))+(IF(G308=0,0,(Upgrades!$J$8+G308*Upgrades!$K$8)*POWER(Upgrades!$L$8,G308)))*(IF(Upgrades!$T$6="Stellar Coupling",POWER(Upgrades!$U$6,E308),1)*IF(Upgrades!$T$7="Stellar Coupling",POWER(Upgrades!$U$7,F308),1)*IF(Upgrades!$T$9="Stellar Coupling",POWER(Upgrades!$U$9,H308),1)*IF(Upgrades!$T$10="Stellar Coupling",POWER(Upgrades!$U$10,I308),1)*IF(Upgrades!$T$11="Stellar Coupling",POWER(Upgrades!$U$11,J308),1)*IF(Upgrades!$T$12="Stellar Coupling",POWER(Upgrades!$U$12,K308),1))+(IF(H308=0,0,(Upgrades!$J$9+H308*Upgrades!$K$9)*POWER(Upgrades!$L$9,H308)))*(IF(Upgrades!$T$6="Magnetosphere",POWER(Upgrades!$U$6,E308),1)*IF(Upgrades!$T$7="Magnetosphere",POWER(Upgrades!$U$7,F308),1)*IF(Upgrades!$T$8="Magnetosphere",POWER(Upgrades!$U$8,G308),1)*IF(Upgrades!$T$10="Magnetosphere",POWER(Upgrades!$U$10,I308),1)*IF(Upgrades!$T$11="Magnetosphere",POWER(Upgrades!$U$11,J308),1)*IF(Upgrades!$T$12="Magnetosphere",POWER(Upgrades!$U$12,K308),1))+(IF(I308=0,0,(Upgrades!$J$10+I308*Upgrades!$K$10)*POWER(Upgrades!$L$10,I308)))*(IF(Upgrades!$T$6="Orbital Resonance",POWER(Upgrades!$U$6,E308),1)*IF(Upgrades!$T$7="Orbital Resonance",POWER(Upgrades!$U$7,F308),1)*IF(Upgrades!$T$8="Orbital Resonance",POWER(Upgrades!$U$8,G308),1)*IF(Upgrades!$T$9="Orbital Resonance",POWER(Upgrades!$U$9,H308),1)*IF(Upgrades!$T$11="Orbital Resonance",POWER(Upgrades!$U$11,J308),1)*IF(Upgrades!$T$12="Orbital Resonance",POWER(Upgrades!$U$12,K308),1))+(IF(J308=0,0,(Upgrades!$J$11+J308*Upgrades!$K$11)*POWER(Upgrades!$L$11,J308)))*(IF(Upgrades!$T$6="Heliopause",POWER(Upgrades!$U$6,E308),1)*IF(Upgrades!$T$7="Heliopause",POWER(Upgrades!$U$7,F308),1)*IF(Upgrades!$T$8="Heliopause",POWER(Upgrades!$U$8,G308),1)*IF(Upgrades!$T$9="Heliopause",POWER(Upgrades!$U$9,H308),1)*IF(Upgrades!$T$10="Heliopause",POWER(Upgrades!$U$10,I308),1)*IF(Upgrades!$T$12="Heliopause",POWER(Upgrades!$U$12,K308),1))+(IF(K308=0,0,(Upgrades!$J$12+K308*Upgrades!$K$12)*POWER(Upgrades!$L$12,K308)))*(IF(Upgrades!$T$6="First Photons",POWER(Upgrades!$U$6,E308),1)*IF(Upgrades!$T$7="First Photons",POWER(Upgrades!$U$7,F308),1)*IF(Upgrades!$T$8="First Photons",POWER(Upgrades!$U$8,G308),1)*IF(Upgrades!$T$9="First Photons",POWER(Upgrades!$U$9,H308),1)*IF(Upgrades!$T$10="First Photons",POWER(Upgrades!$U$10,I308),1)*IF(Upgrades!$T$11="First Photons",POWER(Upgrades!$U$11,J308),1)))*POWER(Upgrades!$Q$6,E308)*POWER(Upgrades!$Q$7,F308)*POWER(Upgrades!$Q$8,G308)*POWER(Upgrades!$Q$9,H308)*POWER(Upgrades!$Q$10,I308)*POWER(Upgrades!$Q$11,J308)*POWER(Upgrades!$Q$12,K308)</f>
        <v>5.61</v>
      </c>
      <c r="N308" s="28" t="n">
        <f aca="false">((IF(E308=0,0,(Upgrades!$G$6+E308*Upgrades!$H$6)*POWER(Upgrades!$I$6,E308)))*(IF(Upgrades!$T$7="Solar Wind",POWER(Upgrades!$U$7,F308),1)*IF(Upgrades!$T$8="Solar Wind",POWER(Upgrades!$U$8,G308),1)*IF(Upgrades!$T$9="Solar Wind",POWER(Upgrades!$U$9,H308),1)*IF(Upgrades!$T$10="Solar Wind",POWER(Upgrades!$U$10,I308),1)*IF(Upgrades!$T$11="Solar Wind",POWER(Upgrades!$U$11,J308),1)*IF(Upgrades!$T$12="Solar Wind",POWER(Upgrades!$U$12,K308),1))+(IF(F308=0,0,(Upgrades!$G$7+F308*Upgrades!$H$7)*POWER(Upgrades!$I$7,F308)))*(IF(Upgrades!$T$6="Asteroid Belt",POWER(Upgrades!$U$6,E308),1)*IF(Upgrades!$T$8="Asteroid Belt",POWER(Upgrades!$U$8,G308),1)*IF(Upgrades!$T$9="Asteroid Belt",POWER(Upgrades!$U$9,H308),1)*IF(Upgrades!$T$10="Asteroid Belt",POWER(Upgrades!$U$10,I308),1)*IF(Upgrades!$T$11="Asteroid Belt",POWER(Upgrades!$U$11,J308),1)*IF(Upgrades!$T$12="Asteroid Belt",POWER(Upgrades!$U$12,K308),1))+(IF(G308=0,0,(Upgrades!$G$8+G308*Upgrades!$H$8)*POWER(Upgrades!$I$8,G308)))*(IF(Upgrades!$T$6="Stellar Coupling",POWER(Upgrades!$U$6,E308),1)*IF(Upgrades!$T$7="Stellar Coupling",POWER(Upgrades!$U$7,F308),1)*IF(Upgrades!$T$9="Stellar Coupling",POWER(Upgrades!$U$9,H308),1)*IF(Upgrades!$T$10="Stellar Coupling",POWER(Upgrades!$U$10,I308),1)*IF(Upgrades!$T$11="Stellar Coupling",POWER(Upgrades!$U$11,J308),1)*IF(Upgrades!$T$12="Stellar Coupling",POWER(Upgrades!$U$12,K308),1))+(IF(H308=0,0,(Upgrades!$G$9+H308*Upgrades!$H$9)*POWER(Upgrades!$I$9,H308)))*(IF(Upgrades!$T$6="Magnetosphere",POWER(Upgrades!$U$6,E308),1)*IF(Upgrades!$T$7="Magnetosphere",POWER(Upgrades!$U$7,F308),1)*IF(Upgrades!$T$8="Magnetosphere",POWER(Upgrades!$U$8,G308),1)*IF(Upgrades!$T$10="Magnetosphere",POWER(Upgrades!$U$10,I308),1)*IF(Upgrades!$T$11="Magnetosphere",POWER(Upgrades!$U$11,J308),1)*IF(Upgrades!$T$12="Magnetosphere",POWER(Upgrades!$U$12,K308),1))+(IF(I308=0,0,(Upgrades!$G$10+I308*Upgrades!$H$10)*POWER(Upgrades!$I$10,I308)))*(IF(Upgrades!$T$6="Orbital Resonance",POWER(Upgrades!$U$6,E308),1)*IF(Upgrades!$T$7="Orbital Resonance",POWER(Upgrades!$U$7,F308),1)*IF(Upgrades!$T$8="Orbital Resonance",POWER(Upgrades!$U$8,G308),1)*IF(Upgrades!$T$9="Orbital Resonance",POWER(Upgrades!$U$9,H308),1)*IF(Upgrades!$T$11="Orbital Resonance",POWER(Upgrades!$U$11,J308),1)*IF(Upgrades!$T$12="Orbital Resonance",POWER(Upgrades!$U$12,K308),1))+(IF(J308=0,0,(Upgrades!$G$11+J308*Upgrades!$H$11)*POWER(Upgrades!$I$11,J308)))*(IF(Upgrades!$T$6="Heliopause",POWER(Upgrades!$U$6,E308),1)*IF(Upgrades!$T$7="Heliopause",POWER(Upgrades!$U$7,F308),1)*IF(Upgrades!$T$8="Heliopause",POWER(Upgrades!$U$8,G308),1)*IF(Upgrades!$T$9="Heliopause",POWER(Upgrades!$U$9,H308),1)*IF(Upgrades!$T$10="Heliopause",POWER(Upgrades!$U$10,I308),1)*IF(Upgrades!$T$12="Heliopause",POWER(Upgrades!$U$12,K308),1))+(IF(K308=0,0,(Upgrades!$G$12+K308*Upgrades!$H$12)*POWER(Upgrades!$I$12,K308)))*(IF(Upgrades!$T$6="First Photons",POWER(Upgrades!$U$6,E308),1)*IF(Upgrades!$T$7="First Photons",POWER(Upgrades!$U$7,F308),1)*IF(Upgrades!$T$8="First Photons",POWER(Upgrades!$U$8,G308),1)*IF(Upgrades!$T$9="First Photons",POWER(Upgrades!$U$9,H308),1)*IF(Upgrades!$T$10="First Photons",POWER(Upgrades!$U$10,I308),1)*IF(Upgrades!$T$11="First Photons",POWER(Upgrades!$U$11,J308),1)))*POWER(Upgrades!$P$6,E308)*POWER(Upgrades!$P$7,F308)*POWER(Upgrades!$P$8,G308)*POWER(Upgrades!$P$9,H308)*POWER(Upgrades!$P$10,I308)*POWER(Upgrades!$P$11,J308)*POWER(Upgrades!$P$12,K308)</f>
        <v>11.2</v>
      </c>
      <c r="O308" s="28" t="n">
        <f aca="false">((IF(E308=0,0,(Upgrades!$M$6+E308*Upgrades!$N$6)*POWER(Upgrades!$O$6,E308)))*(IF(Upgrades!$T$7="Solar Wind",POWER(Upgrades!$U$7,F308),1)*IF(Upgrades!$T$8="Solar Wind",POWER(Upgrades!$U$8,G308),1)*IF(Upgrades!$T$9="Solar Wind",POWER(Upgrades!$U$9,H308),1)*IF(Upgrades!$T$10="Solar Wind",POWER(Upgrades!$U$10,I308),1)*IF(Upgrades!$T$11="Solar Wind",POWER(Upgrades!$U$11,J308),1)*IF(Upgrades!$T$12="Solar Wind",POWER(Upgrades!$U$12,K308),1))+(IF(F308=0,0,(Upgrades!$M$7+F308*Upgrades!$N$7)*POWER(Upgrades!$O$7,F308)))*(IF(Upgrades!$T$6="Asteroid Belt",POWER(Upgrades!$U$6,E308),1)*IF(Upgrades!$T$8="Asteroid Belt",POWER(Upgrades!$U$8,G308),1)*IF(Upgrades!$T$9="Asteroid Belt",POWER(Upgrades!$U$9,H308),1)*IF(Upgrades!$T$10="Asteroid Belt",POWER(Upgrades!$U$10,I308),1)*IF(Upgrades!$T$11="Asteroid Belt",POWER(Upgrades!$U$11,J308),1)*IF(Upgrades!$T$12="Asteroid Belt",POWER(Upgrades!$U$12,K308),1))+(IF(G308=0,0,(Upgrades!$M$8+G308*Upgrades!$N$8)*POWER(Upgrades!$O$8,G308)))*(IF(Upgrades!$T$6="Stellar Coupling",POWER(Upgrades!$U$6,E308),1)*IF(Upgrades!$T$7="Stellar Coupling",POWER(Upgrades!$U$7,F308),1)*IF(Upgrades!$T$9="Stellar Coupling",POWER(Upgrades!$U$9,H308),1)*IF(Upgrades!$T$10="Stellar Coupling",POWER(Upgrades!$U$10,I308),1)*IF(Upgrades!$T$11="Stellar Coupling",POWER(Upgrades!$U$11,J308),1)*IF(Upgrades!$T$12="Stellar Coupling",POWER(Upgrades!$U$12,K308),1))+(IF(H308=0,0,(Upgrades!$M$9+H308*Upgrades!$N$9)*POWER(Upgrades!$O$9,H308)))*(IF(Upgrades!$T$6="Magnetosphere",POWER(Upgrades!$U$6,E308),1)*IF(Upgrades!$T$7="Magnetosphere",POWER(Upgrades!$U$7,F308),1)*IF(Upgrades!$T$8="Magnetosphere",POWER(Upgrades!$U$8,G308),1)*IF(Upgrades!$T$10="Magnetosphere",POWER(Upgrades!$U$10,I308),1)*IF(Upgrades!$T$11="Magnetosphere",POWER(Upgrades!$U$11,J308),1)*IF(Upgrades!$T$12="Magnetosphere",POWER(Upgrades!$U$12,K308),1))+(IF(I308=0,0,(Upgrades!$M$10+I308*Upgrades!$N$10)*POWER(Upgrades!$O$10,I308)))*(IF(Upgrades!$T$6="Orbital Resonance",POWER(Upgrades!$U$6,E308),1)*IF(Upgrades!$T$7="Orbital Resonance",POWER(Upgrades!$U$7,F308),1)*IF(Upgrades!$T$8="Orbital Resonance",POWER(Upgrades!$U$8,G308),1)*IF(Upgrades!$T$9="Orbital Resonance",POWER(Upgrades!$U$9,H308),1)*IF(Upgrades!$T$11="Orbital Resonance",POWER(Upgrades!$U$11,J308),1)*IF(Upgrades!$T$12="Orbital Resonance",POWER(Upgrades!$U$12,K308),1))+(IF(J308=0,0,(Upgrades!$M$11+J308*Upgrades!$N$11)*POWER(Upgrades!$O$11,J308)))*(IF(Upgrades!$T$6="Heliopause",POWER(Upgrades!$U$6,E308),1)*IF(Upgrades!$T$7="Heliopause",POWER(Upgrades!$U$7,F308),1)*IF(Upgrades!$T$8="Heliopause",POWER(Upgrades!$U$8,G308),1)*IF(Upgrades!$T$9="Heliopause",POWER(Upgrades!$U$9,H308),1)*IF(Upgrades!$T$10="Heliopause",POWER(Upgrades!$U$10,I308),1)*IF(Upgrades!$T$12="Heliopause",POWER(Upgrades!$U$12,K308),1))+(IF(K308=0,0,(Upgrades!$M$12+K308*Upgrades!$N$12)*POWER(Upgrades!$O$12,K308)))*(IF(Upgrades!$T$6="First Photons",POWER(Upgrades!$U$6,E308),1)*IF(Upgrades!$T$7="First Photons",POWER(Upgrades!$U$7,F308),1)*IF(Upgrades!$T$8="First Photons",POWER(Upgrades!$U$8,G308),1)*IF(Upgrades!$T$9="First Photons",POWER(Upgrades!$U$9,H308),1)*IF(Upgrades!$T$10="First Photons",POWER(Upgrades!$U$10,I308),1)*IF(Upgrades!$T$11="First Photons",POWER(Upgrades!$U$11,J308),1)))*POWER(Upgrades!$R$6,E308)*POWER(Upgrades!$R$7,F308)*POWER(Upgrades!$R$8,G308)*POWER(Upgrades!$R$9,H308)*POWER(Upgrades!$R$10,I308)*POWER(Upgrades!$R$11,J308)*POWER(Upgrades!$R$12,K308)</f>
        <v>0</v>
      </c>
      <c r="P308" s="27" t="n">
        <f aca="false">IF(L308=1,0,M308*Parameters!$B$10/60*Parameters!$B$11*10)</f>
        <v>0</v>
      </c>
      <c r="Q308" s="27" t="n">
        <f aca="false">IF(L308=1,0,O308*M308*10)</f>
        <v>0</v>
      </c>
      <c r="R308" s="27" t="n">
        <f aca="false">IF(L308=1,0,N308*10)</f>
        <v>0</v>
      </c>
      <c r="S308" s="27" t="n">
        <f aca="false">P308+Q308+R308</f>
        <v>0</v>
      </c>
      <c r="T308" s="21" t="n">
        <f aca="false">C308+S308</f>
        <v>18.6730249835055</v>
      </c>
      <c r="U308" s="34" t="str">
        <f aca="false">AX308</f>
        <v/>
      </c>
      <c r="V308" s="21" t="n">
        <f aca="false">IF(U308="",0,IF(U308="transition",0,IF(U308="SW",AG308,IF(U308="AB",AH308,IF(U308="SC",AI308,IF(U308="Mag",AJ308,IF(U308="OR",AK308,IF(U308="HP",AL308,IF(U308="FP",AM308,0)))))))))</f>
        <v>0</v>
      </c>
      <c r="W308" s="27" t="n">
        <f aca="false">IF(U308="OR",Upgrades!$F$10,IF(U308="HP",Upgrades!$F$11,IF(U308="transition",-Parameters!$B$18,0)))</f>
        <v>0</v>
      </c>
      <c r="X308" s="21" t="n">
        <f aca="false">T308-V308</f>
        <v>18.6730249835055</v>
      </c>
      <c r="Y308" s="30" t="n">
        <f aca="false">M308*Parameters!$B$10/60*Parameters!$B$11+O308*M308+N308</f>
        <v>20.55</v>
      </c>
      <c r="Z308" s="35" t="str">
        <f aca="false">IF(U308="transition","→ Tier 2 (Stellar Neighborhood)",IF(U308="FP","First Photons — light begins, system quickens",IF(U308="HP","Heliopause acquired",IF(U308="OR","Orbital Resonance — passive multiplier active",IF(AND(AO308=1,L308=0,AN308&lt;&gt;1),"Cohesion ready (waiting on completionist upgrades)","")))))</f>
        <v/>
      </c>
      <c r="AA308" s="27" t="n">
        <f aca="false">(IF(E308=0,0,(Upgrades!$G$6+E308*Upgrades!$H$6)*POWER(Upgrades!$I$6,E308)))*(IF(Upgrades!$T$7="Solar Wind",POWER(Upgrades!$U$7,F308),1)*IF(Upgrades!$T$8="Solar Wind",POWER(Upgrades!$U$8,G308),1)*IF(Upgrades!$T$9="Solar Wind",POWER(Upgrades!$U$9,H308),1)*IF(Upgrades!$T$10="Solar Wind",POWER(Upgrades!$U$10,I308),1)*IF(Upgrades!$T$11="Solar Wind",POWER(Upgrades!$U$11,J308),1)*IF(Upgrades!$T$12="Solar Wind",POWER(Upgrades!$U$12,K308),1))*POWER(Upgrades!$P$6,E308)*POWER(Upgrades!$P$7,F308)*POWER(Upgrades!$P$8,G308)*POWER(Upgrades!$P$9,H308)*POWER(Upgrades!$P$10,I308)*POWER(Upgrades!$P$11,J308)*POWER(Upgrades!$P$12,K308)*60</f>
        <v>72</v>
      </c>
      <c r="AB308" s="27" t="n">
        <f aca="false">(IF(F308=0,0,(Upgrades!$G$7+F308*Upgrades!$H$7)*POWER(Upgrades!$I$7,F308)))*(IF(Upgrades!$T$6="Asteroid Belt",POWER(Upgrades!$U$6,E308),1)*IF(Upgrades!$T$8="Asteroid Belt",POWER(Upgrades!$U$8,G308),1)*IF(Upgrades!$T$9="Asteroid Belt",POWER(Upgrades!$U$9,H308),1)*IF(Upgrades!$T$10="Asteroid Belt",POWER(Upgrades!$U$10,I308),1)*IF(Upgrades!$T$11="Asteroid Belt",POWER(Upgrades!$U$11,J308),1)*IF(Upgrades!$T$12="Asteroid Belt",POWER(Upgrades!$U$12,K308),1))*POWER(Upgrades!$P$6,E308)*POWER(Upgrades!$P$7,F308)*POWER(Upgrades!$P$8,G308)*POWER(Upgrades!$P$9,H308)*POWER(Upgrades!$P$10,I308)*POWER(Upgrades!$P$11,J308)*POWER(Upgrades!$P$12,K308)*60</f>
        <v>150</v>
      </c>
      <c r="AC308" s="27" t="n">
        <f aca="false">(IF(G308=0,0,(Upgrades!$J$8+G308*Upgrades!$K$8)*POWER(Upgrades!$L$8,G308)))*(IF(Upgrades!$T$6="Stellar Coupling",POWER(Upgrades!$U$6,E308),1)*IF(Upgrades!$T$7="Stellar Coupling",POWER(Upgrades!$U$7,F308),1)*IF(Upgrades!$T$9="Stellar Coupling",POWER(Upgrades!$U$9,H308),1)*IF(Upgrades!$T$10="Stellar Coupling",POWER(Upgrades!$U$10,I308),1)*IF(Upgrades!$T$11="Stellar Coupling",POWER(Upgrades!$U$11,J308),1)*IF(Upgrades!$T$12="Stellar Coupling",POWER(Upgrades!$U$12,K308),1))*POWER(Upgrades!$Q$6,E308)*POWER(Upgrades!$Q$7,F308)*POWER(Upgrades!$Q$8,G308)*POWER(Upgrades!$Q$9,H308)*POWER(Upgrades!$Q$10,I308)*POWER(Upgrades!$Q$11,J308)*POWER(Upgrades!$Q$12,K308)*Parameters!$B$10*Parameters!$B$11</f>
        <v>441</v>
      </c>
      <c r="AD308" s="27" t="n">
        <f aca="false">(IF(H308=0,0,(Upgrades!$G$9+H308*Upgrades!$H$9)*POWER(Upgrades!$I$9,H308)))*(IF(Upgrades!$T$6="Magnetosphere",POWER(Upgrades!$U$6,E308),1)*IF(Upgrades!$T$7="Magnetosphere",POWER(Upgrades!$U$7,F308),1)*IF(Upgrades!$T$8="Magnetosphere",POWER(Upgrades!$U$8,G308),1)*IF(Upgrades!$T$10="Magnetosphere",POWER(Upgrades!$U$10,I308),1)*IF(Upgrades!$T$11="Magnetosphere",POWER(Upgrades!$U$11,J308),1)*IF(Upgrades!$T$12="Magnetosphere",POWER(Upgrades!$U$12,K308),1))*POWER(Upgrades!$P$6,E308)*POWER(Upgrades!$P$7,F308)*POWER(Upgrades!$P$8,G308)*POWER(Upgrades!$P$9,H308)*POWER(Upgrades!$P$10,I308)*POWER(Upgrades!$P$11,J308)*POWER(Upgrades!$P$12,K308)*60</f>
        <v>375</v>
      </c>
      <c r="AE308" s="27" t="n">
        <f aca="false">(IF(K308=0,0,(Upgrades!$G$12+K308*Upgrades!$H$12)*POWER(Upgrades!$I$12,K308)))*(IF(Upgrades!$T$6="First Photons",POWER(Upgrades!$U$6,E308),1)*IF(Upgrades!$T$7="First Photons",POWER(Upgrades!$U$7,F308),1)*IF(Upgrades!$T$8="First Photons",POWER(Upgrades!$U$8,G308),1)*IF(Upgrades!$T$9="First Photons",POWER(Upgrades!$U$9,H308),1)*IF(Upgrades!$T$10="First Photons",POWER(Upgrades!$U$10,I308),1)*IF(Upgrades!$T$11="First Photons",POWER(Upgrades!$U$11,J308),1))*POWER(Upgrades!$P$6,E308)*POWER(Upgrades!$P$7,F308)*POWER(Upgrades!$P$8,G308)*POWER(Upgrades!$P$9,H308)*POWER(Upgrades!$P$10,I308)*POWER(Upgrades!$P$11,J308)*POWER(Upgrades!$P$12,K308)*60</f>
        <v>75</v>
      </c>
      <c r="AF308" s="27" t="n">
        <f aca="false">Parameters!$B$9*POWER(Upgrades!$Q$6,E308)*POWER(Upgrades!$Q$7,F308)*POWER(Upgrades!$Q$8,G308)*POWER(Upgrades!$Q$9,H308)*POWER(Upgrades!$Q$10,I308)*POWER(Upgrades!$Q$11,J308)*POWER(Upgrades!$Q$12,K308)*(Parameters!$B$10*Parameters!$B$11+O308*60)</f>
        <v>120</v>
      </c>
      <c r="AG308" s="21" t="n">
        <f aca="false">IF(E308&gt;=Upgrades!$E$6,"",Upgrades!$C$6*POWER(Upgrades!$D$6,E308))</f>
        <v>37.4517507383159</v>
      </c>
      <c r="AH308" s="21" t="n">
        <f aca="false">IF(F308&gt;=Upgrades!$E$7,"",Upgrades!$C$7*POWER(Upgrades!$D$7,F308))</f>
        <v>80.9111547141581</v>
      </c>
      <c r="AI308" s="21" t="n">
        <f aca="false">IF(G308&gt;=Upgrades!$E$8,"",Upgrades!$C$8*POWER(Upgrades!$D$8,G308))</f>
        <v>231.9097088</v>
      </c>
      <c r="AJ308" s="21" t="str">
        <f aca="false">IF(H308&gt;=Upgrades!$E$9,"",Upgrades!$C$9*POWER(Upgrades!$D$9,H308))</f>
        <v/>
      </c>
      <c r="AK308" s="21" t="str">
        <f aca="false">IF(I308&gt;=Upgrades!$E$10,"",Upgrades!$C$10*POWER(Upgrades!$D$10,I308))</f>
        <v/>
      </c>
      <c r="AL308" s="21" t="str">
        <f aca="false">IF(J308&gt;=Upgrades!$E$11,"",Upgrades!$C$11*POWER(Upgrades!$D$11,J308))</f>
        <v/>
      </c>
      <c r="AM308" s="21" t="str">
        <f aca="false">IF(K308&gt;=Upgrades!$E$12,"",Upgrades!$C$12*POWER(Upgrades!$D$12,K308))</f>
        <v/>
      </c>
      <c r="AN308" s="26" t="str">
        <f aca="false">IF(AND(D308&gt;=Parameters!$B$18,(H308&gt;=Upgrades!$E$9)*(K308&gt;=Upgrades!$E$12)=1,L308=0),1,"")</f>
        <v/>
      </c>
      <c r="AO308" s="26" t="str">
        <f aca="false">IF(AND(D308&gt;=Parameters!$B$18,L308=0),1,"")</f>
        <v/>
      </c>
      <c r="AP308" s="21" t="n">
        <f aca="false">MIN(IF(ISNUMBER(AK308),AK308,9000000000000000),IF(ISNUMBER(AL308),AL308,9000000000000000),IF(ISNUMBER(AM308),AM308,9000000000000000))</f>
        <v>9000000000000000</v>
      </c>
      <c r="AQ308" s="21" t="n">
        <f aca="false">MIN(IF(ISNUMBER(AG308),AG308,9000000000000000),IF(ISNUMBER(AH308),AH308,9000000000000000),IF(ISNUMBER(AI308),AI308,9000000000000000),IF(ISNUMBER(AJ308),AJ308,9000000000000000))</f>
        <v>37.4517507383159</v>
      </c>
      <c r="AR308" s="32" t="b">
        <f aca="false">IF(AW308&gt;Parameters!$B$21*(MAX(IF(AND(NOT(AND(AO308=1,AN308&lt;&gt;1)),ISNUMBER(AG308),AG308&lt;=T308),AS308,0),IF(AND(NOT(AND(AO308=1,AN308&lt;&gt;1)),ISNUMBER(AH308),AH308&lt;=T308),AT308,0),IF(AND(NOT(AND(AO308=1,AN308&lt;&gt;1)),ISNUMBER(AI308),AI308&lt;=T308),AU308,0),IF(AND(ISNUMBER(AJ308),AJ308&lt;=T308),AV308,0))),TRUE(),FALSE())</f>
        <v>1</v>
      </c>
      <c r="AS308" s="33" t="n">
        <f aca="false">IFERROR(Upgrades!$H$6*(POWER(Upgrades!$P$6,E308)*POWER(Upgrades!$P$7,F308)*POWER(Upgrades!$P$8,G308)*POWER(Upgrades!$P$9,H308)*POWER(Upgrades!$P$10,I308)*POWER(Upgrades!$P$11,J308)*POWER(Upgrades!$P$12,K308))*(IF(Upgrades!$T$7="Solar Wind",POWER(Upgrades!$U$7,F308),1)*IF(Upgrades!$T$8="Solar Wind",POWER(Upgrades!$U$8,G308),1)*IF(Upgrades!$T$9="Solar Wind",POWER(Upgrades!$U$9,H308),1)*IF(Upgrades!$T$10="Solar Wind",POWER(Upgrades!$U$10,I308),1)*IF(Upgrades!$T$11="Solar Wind",POWER(Upgrades!$U$11,J308),1)*IF(Upgrades!$T$12="Solar Wind",POWER(Upgrades!$U$12,K308),1))/AG308,0)</f>
        <v>0.0026701021455238</v>
      </c>
      <c r="AT308" s="33" t="n">
        <f aca="false">IFERROR(Upgrades!$H$7*(POWER(Upgrades!$P$6,E308)*POWER(Upgrades!$P$7,F308)*POWER(Upgrades!$P$8,G308)*POWER(Upgrades!$P$9,H308)*POWER(Upgrades!$P$10,I308)*POWER(Upgrades!$P$11,J308)*POWER(Upgrades!$P$12,K308))*(IF(Upgrades!$T$6="Asteroid Belt",POWER(Upgrades!$U$6,E308),1)*IF(Upgrades!$T$8="Asteroid Belt",POWER(Upgrades!$U$8,G308),1)*IF(Upgrades!$T$9="Asteroid Belt",POWER(Upgrades!$U$9,H308),1)*IF(Upgrades!$T$10="Asteroid Belt",POWER(Upgrades!$U$10,I308),1)*IF(Upgrades!$T$11="Asteroid Belt",POWER(Upgrades!$U$11,J308),1)*IF(Upgrades!$T$12="Asteroid Belt",POWER(Upgrades!$U$12,K308),1))/AH308,0)</f>
        <v>0.00308980882652332</v>
      </c>
      <c r="AU308" s="33" t="n">
        <f aca="false">IFERROR(Upgrades!$K$8*(POWER(Upgrades!$Q$6,E308)*POWER(Upgrades!$Q$7,F308)*POWER(Upgrades!$Q$8,G308)*POWER(Upgrades!$Q$9,H308)*POWER(Upgrades!$Q$10,I308)*POWER(Upgrades!$Q$11,J308)*POWER(Upgrades!$Q$12,K308))*(IF(Upgrades!$T$6="Stellar Coupling",POWER(Upgrades!$U$6,E308),1)*IF(Upgrades!$T$7="Stellar Coupling",POWER(Upgrades!$U$7,F308),1)*IF(Upgrades!$T$9="Stellar Coupling",POWER(Upgrades!$U$9,H308),1)*IF(Upgrades!$T$10="Stellar Coupling",POWER(Upgrades!$U$10,I308),1)*IF(Upgrades!$T$11="Stellar Coupling",POWER(Upgrades!$U$11,J308),1)*IF(Upgrades!$T$12="Stellar Coupling",POWER(Upgrades!$U$12,K308),1))*Parameters!$B$10*Parameters!$B$11/60/AI308,0)</f>
        <v>0.00452762415783776</v>
      </c>
      <c r="AV308" s="33" t="n">
        <f aca="false">IFERROR(Upgrades!$H$9*(POWER(Upgrades!$P$6,E308)*POWER(Upgrades!$P$7,F308)*POWER(Upgrades!$P$8,G308)*POWER(Upgrades!$P$9,H308)*POWER(Upgrades!$P$10,I308)*POWER(Upgrades!$P$11,J308)*POWER(Upgrades!$P$12,K308))*(IF(Upgrades!$T$6="Magnetosphere",POWER(Upgrades!$U$6,E308),1)*IF(Upgrades!$T$7="Magnetosphere",POWER(Upgrades!$U$7,F308),1)*IF(Upgrades!$T$8="Magnetosphere",POWER(Upgrades!$U$8,G308),1)*IF(Upgrades!$T$10="Magnetosphere",POWER(Upgrades!$U$10,I308),1)*IF(Upgrades!$T$11="Magnetosphere",POWER(Upgrades!$U$11,J308),1)*IF(Upgrades!$T$12="Magnetosphere",POWER(Upgrades!$U$12,K308),1))/AJ308,0)</f>
        <v>0</v>
      </c>
      <c r="AW308" s="33" t="n">
        <f aca="false">MAX(IF(I308&gt;0,0,IFERROR(0.25*N308/Upgrades!$C$10,0)),IF(J308&gt;0,0,IFERROR(0.5*((IF(G308=0,0,(Upgrades!$J$8+G308*Upgrades!$K$8)*POWER(Upgrades!$L$8,G308)))*(IF(Upgrades!$T$6="Stellar Coupling",POWER(Upgrades!$U$6,E308),1)*IF(Upgrades!$T$7="Stellar Coupling",POWER(Upgrades!$U$7,F308),1)*IF(Upgrades!$T$9="Stellar Coupling",POWER(Upgrades!$U$9,H308),1)*IF(Upgrades!$T$10="Stellar Coupling",POWER(Upgrades!$U$10,I308),1)*IF(Upgrades!$T$11="Stellar Coupling",POWER(Upgrades!$U$11,J308),1)*IF(Upgrades!$T$12="Stellar Coupling",POWER(Upgrades!$U$12,K308),1))*(POWER(Upgrades!$Q$6,E308)*POWER(Upgrades!$Q$7,F308)*POWER(Upgrades!$Q$8,G308)*POWER(Upgrades!$Q$9,H308)*POWER(Upgrades!$Q$10,I308)*POWER(Upgrades!$Q$11,J308)*POWER(Upgrades!$Q$12,K308))*Parameters!$B$10*Parameters!$B$11/60)/Upgrades!$C$11,0)),IF(K308&gt;0,0,IFERROR((1*(POWER(Upgrades!$P$6,E308)*POWER(Upgrades!$P$7,F308)*POWER(Upgrades!$P$8,G308)*POWER(Upgrades!$P$9,H308)*POWER(Upgrades!$P$10,I308)*POWER(Upgrades!$P$11,J308)*POWER(Upgrades!$P$12,K308))+0.2*M308*Parameters!$B$10*Parameters!$B$11/60)/Upgrades!$C$12,0)),IF(AND(ISNUMBER(AG308),AG308&gt;T308),AS308,0),IF(AND(ISNUMBER(AH308),AH308&gt;T308),AT308,0),IF(AND(ISNUMBER(AI308),AI308&gt;T308),AU308,0),IF(AND(ISNUMBER(AJ308),AJ308&gt;T308),AV308,0))</f>
        <v>0.00452762415783776</v>
      </c>
      <c r="AX308" s="29" t="str">
        <f aca="false">IF(AN308=1,"transition",IF(MIN(IF(AND(I308=0,ISNUMBER(AK308),AK308&lt;=T308),AK308,9000000000000000),IF(AND(J308=0,ISNUMBER(AL308),AL308&lt;=T308),AL308,9000000000000000),IF(AND(K308=0,ISNUMBER(AM308),AM308&lt;=T308),AM308,9000000000000000))&lt;9000000000000000,IF(AND(AND(I308=0,ISNUMBER(AK308),AK308&lt;=T308),AK308=MIN(IF(AND(I308=0,ISNUMBER(AK308),AK308&lt;=T308),AK308,9000000000000000),IF(AND(J308=0,ISNUMBER(AL308),AL308&lt;=T308),AL308,9000000000000000),IF(AND(K308=0,ISNUMBER(AM308),AM308&lt;=T308),AM308,9000000000000000))),"OR",IF(AND(AND(J308=0,ISNUMBER(AL308),AL308&lt;=T308),AL308=MIN(IF(AND(I308=0,ISNUMBER(AK308),AK308&lt;=T308),AK308,9000000000000000),IF(AND(J308=0,ISNUMBER(AL308),AL308&lt;=T308),AL308,9000000000000000),IF(AND(K308=0,ISNUMBER(AM308),AM308&lt;=T308),AM308,9000000000000000))),"HP","FP")),IF(AR308=TRUE(),"",IF(MAX(IF(AND(NOT(AND(AO308=1,AN308&lt;&gt;1)),ISNUMBER(AG308),AG308&lt;=T308),AS308,0),IF(AND(NOT(AND(AO308=1,AN308&lt;&gt;1)),ISNUMBER(AH308),AH308&lt;=T308),AT308,0),IF(AND(NOT(AND(AO308=1,AN308&lt;&gt;1)),ISNUMBER(AI308),AI308&lt;=T308),AU308,0),IF(AND(ISNUMBER(AJ308),AJ308&lt;=T308),AV308,0))&lt;=0,"",IF(AND(IF(AND(NOT(AND(AO308=1,AN308&lt;&gt;1)),ISNUMBER(AG308),AG308&lt;=T308),AS308,0)&gt;0,IF(AND(NOT(AND(AO308=1,AN308&lt;&gt;1)),ISNUMBER(AG308),AG308&lt;=T308),AS308,0)=MAX(IF(AND(NOT(AND(AO308=1,AN308&lt;&gt;1)),ISNUMBER(AG308),AG308&lt;=T308),AS308,0),IF(AND(NOT(AND(AO308=1,AN308&lt;&gt;1)),ISNUMBER(AH308),AH308&lt;=T308),AT308,0),IF(AND(NOT(AND(AO308=1,AN308&lt;&gt;1)),ISNUMBER(AI308),AI308&lt;=T308),AU308,0),IF(AND(ISNUMBER(AJ308),AJ308&lt;=T308),AV308,0))),"SW",IF(AND(IF(AND(NOT(AND(AO308=1,AN308&lt;&gt;1)),ISNUMBER(AH308),AH308&lt;=T308),AT308,0)&gt;0,IF(AND(NOT(AND(AO308=1,AN308&lt;&gt;1)),ISNUMBER(AH308),AH308&lt;=T308),AT308,0)=MAX(IF(AND(NOT(AND(AO308=1,AN308&lt;&gt;1)),ISNUMBER(AG308),AG308&lt;=T308),AS308,0),IF(AND(NOT(AND(AO308=1,AN308&lt;&gt;1)),ISNUMBER(AH308),AH308&lt;=T308),AT308,0),IF(AND(NOT(AND(AO308=1,AN308&lt;&gt;1)),ISNUMBER(AI308),AI308&lt;=T308),AU308,0),IF(AND(ISNUMBER(AJ308),AJ308&lt;=T308),AV308,0))),"AB",IF(AND(IF(AND(NOT(AND(AO308=1,AN308&lt;&gt;1)),ISNUMBER(AI308),AI308&lt;=T308),AU308,0)&gt;0,IF(AND(NOT(AND(AO308=1,AN308&lt;&gt;1)),ISNUMBER(AI308),AI308&lt;=T308),AU308,0)=MAX(IF(AND(NOT(AND(AO308=1,AN308&lt;&gt;1)),ISNUMBER(AG308),AG308&lt;=T308),AS308,0),IF(AND(NOT(AND(AO308=1,AN308&lt;&gt;1)),ISNUMBER(AH308),AH308&lt;=T308),AT308,0),IF(AND(NOT(AND(AO308=1,AN308&lt;&gt;1)),ISNUMBER(AI308),AI308&lt;=T308),AU308,0),IF(AND(ISNUMBER(AJ308),AJ308&lt;=T308),AV308,0))),"SC","Mag")))))))</f>
        <v/>
      </c>
    </row>
    <row r="309" customFormat="false" ht="15" hidden="false" customHeight="false" outlineLevel="0" collapsed="false">
      <c r="A309" s="26" t="n">
        <v>304</v>
      </c>
      <c r="B309" s="27" t="n">
        <f aca="false">A309*10/60</f>
        <v>50.6666666666667</v>
      </c>
      <c r="C309" s="21" t="n">
        <f aca="false">X308</f>
        <v>18.6730249835055</v>
      </c>
      <c r="D309" s="27" t="n">
        <f aca="false">D308+W308</f>
        <v>0</v>
      </c>
      <c r="E309" s="26" t="n">
        <f aca="false">E308+IF(U308="SW",1,0)</f>
        <v>12</v>
      </c>
      <c r="F309" s="26" t="n">
        <f aca="false">F308+IF(U308="AB",1,0)</f>
        <v>10</v>
      </c>
      <c r="G309" s="26" t="n">
        <f aca="false">G308+IF(U308="SC",1,0)</f>
        <v>7</v>
      </c>
      <c r="H309" s="26" t="n">
        <f aca="false">H308+IF(U308="Mag",1,0)</f>
        <v>5</v>
      </c>
      <c r="I309" s="26" t="n">
        <f aca="false">MAX(I308,IF(U308="OR",1,0))</f>
        <v>1</v>
      </c>
      <c r="J309" s="26" t="n">
        <f aca="false">MAX(J308,IF(U308="HP",1,0))</f>
        <v>1</v>
      </c>
      <c r="K309" s="26" t="n">
        <f aca="false">MAX(K308,IF(U308="FP",1,0))</f>
        <v>1</v>
      </c>
      <c r="L309" s="26" t="n">
        <f aca="false">MAX(L308,IF(U308="transition",1,0))</f>
        <v>1</v>
      </c>
      <c r="M309" s="28" t="n">
        <f aca="false">(Parameters!$B$9+(IF(E309=0,0,(Upgrades!$J$6+E309*Upgrades!$K$6)*POWER(Upgrades!$L$6,E309)))*(IF(Upgrades!$T$7="Solar Wind",POWER(Upgrades!$U$7,F309),1)*IF(Upgrades!$T$8="Solar Wind",POWER(Upgrades!$U$8,G309),1)*IF(Upgrades!$T$9="Solar Wind",POWER(Upgrades!$U$9,H309),1)*IF(Upgrades!$T$10="Solar Wind",POWER(Upgrades!$U$10,I309),1)*IF(Upgrades!$T$11="Solar Wind",POWER(Upgrades!$U$11,J309),1)*IF(Upgrades!$T$12="Solar Wind",POWER(Upgrades!$U$12,K309),1))+(IF(F309=0,0,(Upgrades!$J$7+F309*Upgrades!$K$7)*POWER(Upgrades!$L$7,F309)))*(IF(Upgrades!$T$6="Asteroid Belt",POWER(Upgrades!$U$6,E309),1)*IF(Upgrades!$T$8="Asteroid Belt",POWER(Upgrades!$U$8,G309),1)*IF(Upgrades!$T$9="Asteroid Belt",POWER(Upgrades!$U$9,H309),1)*IF(Upgrades!$T$10="Asteroid Belt",POWER(Upgrades!$U$10,I309),1)*IF(Upgrades!$T$11="Asteroid Belt",POWER(Upgrades!$U$11,J309),1)*IF(Upgrades!$T$12="Asteroid Belt",POWER(Upgrades!$U$12,K309),1))+(IF(G309=0,0,(Upgrades!$J$8+G309*Upgrades!$K$8)*POWER(Upgrades!$L$8,G309)))*(IF(Upgrades!$T$6="Stellar Coupling",POWER(Upgrades!$U$6,E309),1)*IF(Upgrades!$T$7="Stellar Coupling",POWER(Upgrades!$U$7,F309),1)*IF(Upgrades!$T$9="Stellar Coupling",POWER(Upgrades!$U$9,H309),1)*IF(Upgrades!$T$10="Stellar Coupling",POWER(Upgrades!$U$10,I309),1)*IF(Upgrades!$T$11="Stellar Coupling",POWER(Upgrades!$U$11,J309),1)*IF(Upgrades!$T$12="Stellar Coupling",POWER(Upgrades!$U$12,K309),1))+(IF(H309=0,0,(Upgrades!$J$9+H309*Upgrades!$K$9)*POWER(Upgrades!$L$9,H309)))*(IF(Upgrades!$T$6="Magnetosphere",POWER(Upgrades!$U$6,E309),1)*IF(Upgrades!$T$7="Magnetosphere",POWER(Upgrades!$U$7,F309),1)*IF(Upgrades!$T$8="Magnetosphere",POWER(Upgrades!$U$8,G309),1)*IF(Upgrades!$T$10="Magnetosphere",POWER(Upgrades!$U$10,I309),1)*IF(Upgrades!$T$11="Magnetosphere",POWER(Upgrades!$U$11,J309),1)*IF(Upgrades!$T$12="Magnetosphere",POWER(Upgrades!$U$12,K309),1))+(IF(I309=0,0,(Upgrades!$J$10+I309*Upgrades!$K$10)*POWER(Upgrades!$L$10,I309)))*(IF(Upgrades!$T$6="Orbital Resonance",POWER(Upgrades!$U$6,E309),1)*IF(Upgrades!$T$7="Orbital Resonance",POWER(Upgrades!$U$7,F309),1)*IF(Upgrades!$T$8="Orbital Resonance",POWER(Upgrades!$U$8,G309),1)*IF(Upgrades!$T$9="Orbital Resonance",POWER(Upgrades!$U$9,H309),1)*IF(Upgrades!$T$11="Orbital Resonance",POWER(Upgrades!$U$11,J309),1)*IF(Upgrades!$T$12="Orbital Resonance",POWER(Upgrades!$U$12,K309),1))+(IF(J309=0,0,(Upgrades!$J$11+J309*Upgrades!$K$11)*POWER(Upgrades!$L$11,J309)))*(IF(Upgrades!$T$6="Heliopause",POWER(Upgrades!$U$6,E309),1)*IF(Upgrades!$T$7="Heliopause",POWER(Upgrades!$U$7,F309),1)*IF(Upgrades!$T$8="Heliopause",POWER(Upgrades!$U$8,G309),1)*IF(Upgrades!$T$9="Heliopause",POWER(Upgrades!$U$9,H309),1)*IF(Upgrades!$T$10="Heliopause",POWER(Upgrades!$U$10,I309),1)*IF(Upgrades!$T$12="Heliopause",POWER(Upgrades!$U$12,K309),1))+(IF(K309=0,0,(Upgrades!$J$12+K309*Upgrades!$K$12)*POWER(Upgrades!$L$12,K309)))*(IF(Upgrades!$T$6="First Photons",POWER(Upgrades!$U$6,E309),1)*IF(Upgrades!$T$7="First Photons",POWER(Upgrades!$U$7,F309),1)*IF(Upgrades!$T$8="First Photons",POWER(Upgrades!$U$8,G309),1)*IF(Upgrades!$T$9="First Photons",POWER(Upgrades!$U$9,H309),1)*IF(Upgrades!$T$10="First Photons",POWER(Upgrades!$U$10,I309),1)*IF(Upgrades!$T$11="First Photons",POWER(Upgrades!$U$11,J309),1)))*POWER(Upgrades!$Q$6,E309)*POWER(Upgrades!$Q$7,F309)*POWER(Upgrades!$Q$8,G309)*POWER(Upgrades!$Q$9,H309)*POWER(Upgrades!$Q$10,I309)*POWER(Upgrades!$Q$11,J309)*POWER(Upgrades!$Q$12,K309)</f>
        <v>5.61</v>
      </c>
      <c r="N309" s="28" t="n">
        <f aca="false">((IF(E309=0,0,(Upgrades!$G$6+E309*Upgrades!$H$6)*POWER(Upgrades!$I$6,E309)))*(IF(Upgrades!$T$7="Solar Wind",POWER(Upgrades!$U$7,F309),1)*IF(Upgrades!$T$8="Solar Wind",POWER(Upgrades!$U$8,G309),1)*IF(Upgrades!$T$9="Solar Wind",POWER(Upgrades!$U$9,H309),1)*IF(Upgrades!$T$10="Solar Wind",POWER(Upgrades!$U$10,I309),1)*IF(Upgrades!$T$11="Solar Wind",POWER(Upgrades!$U$11,J309),1)*IF(Upgrades!$T$12="Solar Wind",POWER(Upgrades!$U$12,K309),1))+(IF(F309=0,0,(Upgrades!$G$7+F309*Upgrades!$H$7)*POWER(Upgrades!$I$7,F309)))*(IF(Upgrades!$T$6="Asteroid Belt",POWER(Upgrades!$U$6,E309),1)*IF(Upgrades!$T$8="Asteroid Belt",POWER(Upgrades!$U$8,G309),1)*IF(Upgrades!$T$9="Asteroid Belt",POWER(Upgrades!$U$9,H309),1)*IF(Upgrades!$T$10="Asteroid Belt",POWER(Upgrades!$U$10,I309),1)*IF(Upgrades!$T$11="Asteroid Belt",POWER(Upgrades!$U$11,J309),1)*IF(Upgrades!$T$12="Asteroid Belt",POWER(Upgrades!$U$12,K309),1))+(IF(G309=0,0,(Upgrades!$G$8+G309*Upgrades!$H$8)*POWER(Upgrades!$I$8,G309)))*(IF(Upgrades!$T$6="Stellar Coupling",POWER(Upgrades!$U$6,E309),1)*IF(Upgrades!$T$7="Stellar Coupling",POWER(Upgrades!$U$7,F309),1)*IF(Upgrades!$T$9="Stellar Coupling",POWER(Upgrades!$U$9,H309),1)*IF(Upgrades!$T$10="Stellar Coupling",POWER(Upgrades!$U$10,I309),1)*IF(Upgrades!$T$11="Stellar Coupling",POWER(Upgrades!$U$11,J309),1)*IF(Upgrades!$T$12="Stellar Coupling",POWER(Upgrades!$U$12,K309),1))+(IF(H309=0,0,(Upgrades!$G$9+H309*Upgrades!$H$9)*POWER(Upgrades!$I$9,H309)))*(IF(Upgrades!$T$6="Magnetosphere",POWER(Upgrades!$U$6,E309),1)*IF(Upgrades!$T$7="Magnetosphere",POWER(Upgrades!$U$7,F309),1)*IF(Upgrades!$T$8="Magnetosphere",POWER(Upgrades!$U$8,G309),1)*IF(Upgrades!$T$10="Magnetosphere",POWER(Upgrades!$U$10,I309),1)*IF(Upgrades!$T$11="Magnetosphere",POWER(Upgrades!$U$11,J309),1)*IF(Upgrades!$T$12="Magnetosphere",POWER(Upgrades!$U$12,K309),1))+(IF(I309=0,0,(Upgrades!$G$10+I309*Upgrades!$H$10)*POWER(Upgrades!$I$10,I309)))*(IF(Upgrades!$T$6="Orbital Resonance",POWER(Upgrades!$U$6,E309),1)*IF(Upgrades!$T$7="Orbital Resonance",POWER(Upgrades!$U$7,F309),1)*IF(Upgrades!$T$8="Orbital Resonance",POWER(Upgrades!$U$8,G309),1)*IF(Upgrades!$T$9="Orbital Resonance",POWER(Upgrades!$U$9,H309),1)*IF(Upgrades!$T$11="Orbital Resonance",POWER(Upgrades!$U$11,J309),1)*IF(Upgrades!$T$12="Orbital Resonance",POWER(Upgrades!$U$12,K309),1))+(IF(J309=0,0,(Upgrades!$G$11+J309*Upgrades!$H$11)*POWER(Upgrades!$I$11,J309)))*(IF(Upgrades!$T$6="Heliopause",POWER(Upgrades!$U$6,E309),1)*IF(Upgrades!$T$7="Heliopause",POWER(Upgrades!$U$7,F309),1)*IF(Upgrades!$T$8="Heliopause",POWER(Upgrades!$U$8,G309),1)*IF(Upgrades!$T$9="Heliopause",POWER(Upgrades!$U$9,H309),1)*IF(Upgrades!$T$10="Heliopause",POWER(Upgrades!$U$10,I309),1)*IF(Upgrades!$T$12="Heliopause",POWER(Upgrades!$U$12,K309),1))+(IF(K309=0,0,(Upgrades!$G$12+K309*Upgrades!$H$12)*POWER(Upgrades!$I$12,K309)))*(IF(Upgrades!$T$6="First Photons",POWER(Upgrades!$U$6,E309),1)*IF(Upgrades!$T$7="First Photons",POWER(Upgrades!$U$7,F309),1)*IF(Upgrades!$T$8="First Photons",POWER(Upgrades!$U$8,G309),1)*IF(Upgrades!$T$9="First Photons",POWER(Upgrades!$U$9,H309),1)*IF(Upgrades!$T$10="First Photons",POWER(Upgrades!$U$10,I309),1)*IF(Upgrades!$T$11="First Photons",POWER(Upgrades!$U$11,J309),1)))*POWER(Upgrades!$P$6,E309)*POWER(Upgrades!$P$7,F309)*POWER(Upgrades!$P$8,G309)*POWER(Upgrades!$P$9,H309)*POWER(Upgrades!$P$10,I309)*POWER(Upgrades!$P$11,J309)*POWER(Upgrades!$P$12,K309)</f>
        <v>11.2</v>
      </c>
      <c r="O309" s="28" t="n">
        <f aca="false">((IF(E309=0,0,(Upgrades!$M$6+E309*Upgrades!$N$6)*POWER(Upgrades!$O$6,E309)))*(IF(Upgrades!$T$7="Solar Wind",POWER(Upgrades!$U$7,F309),1)*IF(Upgrades!$T$8="Solar Wind",POWER(Upgrades!$U$8,G309),1)*IF(Upgrades!$T$9="Solar Wind",POWER(Upgrades!$U$9,H309),1)*IF(Upgrades!$T$10="Solar Wind",POWER(Upgrades!$U$10,I309),1)*IF(Upgrades!$T$11="Solar Wind",POWER(Upgrades!$U$11,J309),1)*IF(Upgrades!$T$12="Solar Wind",POWER(Upgrades!$U$12,K309),1))+(IF(F309=0,0,(Upgrades!$M$7+F309*Upgrades!$N$7)*POWER(Upgrades!$O$7,F309)))*(IF(Upgrades!$T$6="Asteroid Belt",POWER(Upgrades!$U$6,E309),1)*IF(Upgrades!$T$8="Asteroid Belt",POWER(Upgrades!$U$8,G309),1)*IF(Upgrades!$T$9="Asteroid Belt",POWER(Upgrades!$U$9,H309),1)*IF(Upgrades!$T$10="Asteroid Belt",POWER(Upgrades!$U$10,I309),1)*IF(Upgrades!$T$11="Asteroid Belt",POWER(Upgrades!$U$11,J309),1)*IF(Upgrades!$T$12="Asteroid Belt",POWER(Upgrades!$U$12,K309),1))+(IF(G309=0,0,(Upgrades!$M$8+G309*Upgrades!$N$8)*POWER(Upgrades!$O$8,G309)))*(IF(Upgrades!$T$6="Stellar Coupling",POWER(Upgrades!$U$6,E309),1)*IF(Upgrades!$T$7="Stellar Coupling",POWER(Upgrades!$U$7,F309),1)*IF(Upgrades!$T$9="Stellar Coupling",POWER(Upgrades!$U$9,H309),1)*IF(Upgrades!$T$10="Stellar Coupling",POWER(Upgrades!$U$10,I309),1)*IF(Upgrades!$T$11="Stellar Coupling",POWER(Upgrades!$U$11,J309),1)*IF(Upgrades!$T$12="Stellar Coupling",POWER(Upgrades!$U$12,K309),1))+(IF(H309=0,0,(Upgrades!$M$9+H309*Upgrades!$N$9)*POWER(Upgrades!$O$9,H309)))*(IF(Upgrades!$T$6="Magnetosphere",POWER(Upgrades!$U$6,E309),1)*IF(Upgrades!$T$7="Magnetosphere",POWER(Upgrades!$U$7,F309),1)*IF(Upgrades!$T$8="Magnetosphere",POWER(Upgrades!$U$8,G309),1)*IF(Upgrades!$T$10="Magnetosphere",POWER(Upgrades!$U$10,I309),1)*IF(Upgrades!$T$11="Magnetosphere",POWER(Upgrades!$U$11,J309),1)*IF(Upgrades!$T$12="Magnetosphere",POWER(Upgrades!$U$12,K309),1))+(IF(I309=0,0,(Upgrades!$M$10+I309*Upgrades!$N$10)*POWER(Upgrades!$O$10,I309)))*(IF(Upgrades!$T$6="Orbital Resonance",POWER(Upgrades!$U$6,E309),1)*IF(Upgrades!$T$7="Orbital Resonance",POWER(Upgrades!$U$7,F309),1)*IF(Upgrades!$T$8="Orbital Resonance",POWER(Upgrades!$U$8,G309),1)*IF(Upgrades!$T$9="Orbital Resonance",POWER(Upgrades!$U$9,H309),1)*IF(Upgrades!$T$11="Orbital Resonance",POWER(Upgrades!$U$11,J309),1)*IF(Upgrades!$T$12="Orbital Resonance",POWER(Upgrades!$U$12,K309),1))+(IF(J309=0,0,(Upgrades!$M$11+J309*Upgrades!$N$11)*POWER(Upgrades!$O$11,J309)))*(IF(Upgrades!$T$6="Heliopause",POWER(Upgrades!$U$6,E309),1)*IF(Upgrades!$T$7="Heliopause",POWER(Upgrades!$U$7,F309),1)*IF(Upgrades!$T$8="Heliopause",POWER(Upgrades!$U$8,G309),1)*IF(Upgrades!$T$9="Heliopause",POWER(Upgrades!$U$9,H309),1)*IF(Upgrades!$T$10="Heliopause",POWER(Upgrades!$U$10,I309),1)*IF(Upgrades!$T$12="Heliopause",POWER(Upgrades!$U$12,K309),1))+(IF(K309=0,0,(Upgrades!$M$12+K309*Upgrades!$N$12)*POWER(Upgrades!$O$12,K309)))*(IF(Upgrades!$T$6="First Photons",POWER(Upgrades!$U$6,E309),1)*IF(Upgrades!$T$7="First Photons",POWER(Upgrades!$U$7,F309),1)*IF(Upgrades!$T$8="First Photons",POWER(Upgrades!$U$8,G309),1)*IF(Upgrades!$T$9="First Photons",POWER(Upgrades!$U$9,H309),1)*IF(Upgrades!$T$10="First Photons",POWER(Upgrades!$U$10,I309),1)*IF(Upgrades!$T$11="First Photons",POWER(Upgrades!$U$11,J309),1)))*POWER(Upgrades!$R$6,E309)*POWER(Upgrades!$R$7,F309)*POWER(Upgrades!$R$8,G309)*POWER(Upgrades!$R$9,H309)*POWER(Upgrades!$R$10,I309)*POWER(Upgrades!$R$11,J309)*POWER(Upgrades!$R$12,K309)</f>
        <v>0</v>
      </c>
      <c r="P309" s="27" t="n">
        <f aca="false">IF(L309=1,0,M309*Parameters!$B$10/60*Parameters!$B$11*10)</f>
        <v>0</v>
      </c>
      <c r="Q309" s="27" t="n">
        <f aca="false">IF(L309=1,0,O309*M309*10)</f>
        <v>0</v>
      </c>
      <c r="R309" s="27" t="n">
        <f aca="false">IF(L309=1,0,N309*10)</f>
        <v>0</v>
      </c>
      <c r="S309" s="27" t="n">
        <f aca="false">P309+Q309+R309</f>
        <v>0</v>
      </c>
      <c r="T309" s="21" t="n">
        <f aca="false">C309+S309</f>
        <v>18.6730249835055</v>
      </c>
      <c r="U309" s="34" t="str">
        <f aca="false">AX309</f>
        <v/>
      </c>
      <c r="V309" s="21" t="n">
        <f aca="false">IF(U309="",0,IF(U309="transition",0,IF(U309="SW",AG309,IF(U309="AB",AH309,IF(U309="SC",AI309,IF(U309="Mag",AJ309,IF(U309="OR",AK309,IF(U309="HP",AL309,IF(U309="FP",AM309,0)))))))))</f>
        <v>0</v>
      </c>
      <c r="W309" s="27" t="n">
        <f aca="false">IF(U309="OR",Upgrades!$F$10,IF(U309="HP",Upgrades!$F$11,IF(U309="transition",-Parameters!$B$18,0)))</f>
        <v>0</v>
      </c>
      <c r="X309" s="21" t="n">
        <f aca="false">T309-V309</f>
        <v>18.6730249835055</v>
      </c>
      <c r="Y309" s="30" t="n">
        <f aca="false">M309*Parameters!$B$10/60*Parameters!$B$11+O309*M309+N309</f>
        <v>20.55</v>
      </c>
      <c r="Z309" s="35" t="str">
        <f aca="false">IF(U309="transition","→ Tier 2 (Stellar Neighborhood)",IF(U309="FP","First Photons — light begins, system quickens",IF(U309="HP","Heliopause acquired",IF(U309="OR","Orbital Resonance — passive multiplier active",IF(AND(AO309=1,L309=0,AN309&lt;&gt;1),"Cohesion ready (waiting on completionist upgrades)","")))))</f>
        <v/>
      </c>
      <c r="AA309" s="27" t="n">
        <f aca="false">(IF(E309=0,0,(Upgrades!$G$6+E309*Upgrades!$H$6)*POWER(Upgrades!$I$6,E309)))*(IF(Upgrades!$T$7="Solar Wind",POWER(Upgrades!$U$7,F309),1)*IF(Upgrades!$T$8="Solar Wind",POWER(Upgrades!$U$8,G309),1)*IF(Upgrades!$T$9="Solar Wind",POWER(Upgrades!$U$9,H309),1)*IF(Upgrades!$T$10="Solar Wind",POWER(Upgrades!$U$10,I309),1)*IF(Upgrades!$T$11="Solar Wind",POWER(Upgrades!$U$11,J309),1)*IF(Upgrades!$T$12="Solar Wind",POWER(Upgrades!$U$12,K309),1))*POWER(Upgrades!$P$6,E309)*POWER(Upgrades!$P$7,F309)*POWER(Upgrades!$P$8,G309)*POWER(Upgrades!$P$9,H309)*POWER(Upgrades!$P$10,I309)*POWER(Upgrades!$P$11,J309)*POWER(Upgrades!$P$12,K309)*60</f>
        <v>72</v>
      </c>
      <c r="AB309" s="27" t="n">
        <f aca="false">(IF(F309=0,0,(Upgrades!$G$7+F309*Upgrades!$H$7)*POWER(Upgrades!$I$7,F309)))*(IF(Upgrades!$T$6="Asteroid Belt",POWER(Upgrades!$U$6,E309),1)*IF(Upgrades!$T$8="Asteroid Belt",POWER(Upgrades!$U$8,G309),1)*IF(Upgrades!$T$9="Asteroid Belt",POWER(Upgrades!$U$9,H309),1)*IF(Upgrades!$T$10="Asteroid Belt",POWER(Upgrades!$U$10,I309),1)*IF(Upgrades!$T$11="Asteroid Belt",POWER(Upgrades!$U$11,J309),1)*IF(Upgrades!$T$12="Asteroid Belt",POWER(Upgrades!$U$12,K309),1))*POWER(Upgrades!$P$6,E309)*POWER(Upgrades!$P$7,F309)*POWER(Upgrades!$P$8,G309)*POWER(Upgrades!$P$9,H309)*POWER(Upgrades!$P$10,I309)*POWER(Upgrades!$P$11,J309)*POWER(Upgrades!$P$12,K309)*60</f>
        <v>150</v>
      </c>
      <c r="AC309" s="27" t="n">
        <f aca="false">(IF(G309=0,0,(Upgrades!$J$8+G309*Upgrades!$K$8)*POWER(Upgrades!$L$8,G309)))*(IF(Upgrades!$T$6="Stellar Coupling",POWER(Upgrades!$U$6,E309),1)*IF(Upgrades!$T$7="Stellar Coupling",POWER(Upgrades!$U$7,F309),1)*IF(Upgrades!$T$9="Stellar Coupling",POWER(Upgrades!$U$9,H309),1)*IF(Upgrades!$T$10="Stellar Coupling",POWER(Upgrades!$U$10,I309),1)*IF(Upgrades!$T$11="Stellar Coupling",POWER(Upgrades!$U$11,J309),1)*IF(Upgrades!$T$12="Stellar Coupling",POWER(Upgrades!$U$12,K309),1))*POWER(Upgrades!$Q$6,E309)*POWER(Upgrades!$Q$7,F309)*POWER(Upgrades!$Q$8,G309)*POWER(Upgrades!$Q$9,H309)*POWER(Upgrades!$Q$10,I309)*POWER(Upgrades!$Q$11,J309)*POWER(Upgrades!$Q$12,K309)*Parameters!$B$10*Parameters!$B$11</f>
        <v>441</v>
      </c>
      <c r="AD309" s="27" t="n">
        <f aca="false">(IF(H309=0,0,(Upgrades!$G$9+H309*Upgrades!$H$9)*POWER(Upgrades!$I$9,H309)))*(IF(Upgrades!$T$6="Magnetosphere",POWER(Upgrades!$U$6,E309),1)*IF(Upgrades!$T$7="Magnetosphere",POWER(Upgrades!$U$7,F309),1)*IF(Upgrades!$T$8="Magnetosphere",POWER(Upgrades!$U$8,G309),1)*IF(Upgrades!$T$10="Magnetosphere",POWER(Upgrades!$U$10,I309),1)*IF(Upgrades!$T$11="Magnetosphere",POWER(Upgrades!$U$11,J309),1)*IF(Upgrades!$T$12="Magnetosphere",POWER(Upgrades!$U$12,K309),1))*POWER(Upgrades!$P$6,E309)*POWER(Upgrades!$P$7,F309)*POWER(Upgrades!$P$8,G309)*POWER(Upgrades!$P$9,H309)*POWER(Upgrades!$P$10,I309)*POWER(Upgrades!$P$11,J309)*POWER(Upgrades!$P$12,K309)*60</f>
        <v>375</v>
      </c>
      <c r="AE309" s="27" t="n">
        <f aca="false">(IF(K309=0,0,(Upgrades!$G$12+K309*Upgrades!$H$12)*POWER(Upgrades!$I$12,K309)))*(IF(Upgrades!$T$6="First Photons",POWER(Upgrades!$U$6,E309),1)*IF(Upgrades!$T$7="First Photons",POWER(Upgrades!$U$7,F309),1)*IF(Upgrades!$T$8="First Photons",POWER(Upgrades!$U$8,G309),1)*IF(Upgrades!$T$9="First Photons",POWER(Upgrades!$U$9,H309),1)*IF(Upgrades!$T$10="First Photons",POWER(Upgrades!$U$10,I309),1)*IF(Upgrades!$T$11="First Photons",POWER(Upgrades!$U$11,J309),1))*POWER(Upgrades!$P$6,E309)*POWER(Upgrades!$P$7,F309)*POWER(Upgrades!$P$8,G309)*POWER(Upgrades!$P$9,H309)*POWER(Upgrades!$P$10,I309)*POWER(Upgrades!$P$11,J309)*POWER(Upgrades!$P$12,K309)*60</f>
        <v>75</v>
      </c>
      <c r="AF309" s="27" t="n">
        <f aca="false">Parameters!$B$9*POWER(Upgrades!$Q$6,E309)*POWER(Upgrades!$Q$7,F309)*POWER(Upgrades!$Q$8,G309)*POWER(Upgrades!$Q$9,H309)*POWER(Upgrades!$Q$10,I309)*POWER(Upgrades!$Q$11,J309)*POWER(Upgrades!$Q$12,K309)*(Parameters!$B$10*Parameters!$B$11+O309*60)</f>
        <v>120</v>
      </c>
      <c r="AG309" s="21" t="n">
        <f aca="false">IF(E309&gt;=Upgrades!$E$6,"",Upgrades!$C$6*POWER(Upgrades!$D$6,E309))</f>
        <v>37.4517507383159</v>
      </c>
      <c r="AH309" s="21" t="n">
        <f aca="false">IF(F309&gt;=Upgrades!$E$7,"",Upgrades!$C$7*POWER(Upgrades!$D$7,F309))</f>
        <v>80.9111547141581</v>
      </c>
      <c r="AI309" s="21" t="n">
        <f aca="false">IF(G309&gt;=Upgrades!$E$8,"",Upgrades!$C$8*POWER(Upgrades!$D$8,G309))</f>
        <v>231.9097088</v>
      </c>
      <c r="AJ309" s="21" t="str">
        <f aca="false">IF(H309&gt;=Upgrades!$E$9,"",Upgrades!$C$9*POWER(Upgrades!$D$9,H309))</f>
        <v/>
      </c>
      <c r="AK309" s="21" t="str">
        <f aca="false">IF(I309&gt;=Upgrades!$E$10,"",Upgrades!$C$10*POWER(Upgrades!$D$10,I309))</f>
        <v/>
      </c>
      <c r="AL309" s="21" t="str">
        <f aca="false">IF(J309&gt;=Upgrades!$E$11,"",Upgrades!$C$11*POWER(Upgrades!$D$11,J309))</f>
        <v/>
      </c>
      <c r="AM309" s="21" t="str">
        <f aca="false">IF(K309&gt;=Upgrades!$E$12,"",Upgrades!$C$12*POWER(Upgrades!$D$12,K309))</f>
        <v/>
      </c>
      <c r="AN309" s="26" t="str">
        <f aca="false">IF(AND(D309&gt;=Parameters!$B$18,(H309&gt;=Upgrades!$E$9)*(K309&gt;=Upgrades!$E$12)=1,L309=0),1,"")</f>
        <v/>
      </c>
      <c r="AO309" s="26" t="str">
        <f aca="false">IF(AND(D309&gt;=Parameters!$B$18,L309=0),1,"")</f>
        <v/>
      </c>
      <c r="AP309" s="21" t="n">
        <f aca="false">MIN(IF(ISNUMBER(AK309),AK309,9000000000000000),IF(ISNUMBER(AL309),AL309,9000000000000000),IF(ISNUMBER(AM309),AM309,9000000000000000))</f>
        <v>9000000000000000</v>
      </c>
      <c r="AQ309" s="21" t="n">
        <f aca="false">MIN(IF(ISNUMBER(AG309),AG309,9000000000000000),IF(ISNUMBER(AH309),AH309,9000000000000000),IF(ISNUMBER(AI309),AI309,9000000000000000),IF(ISNUMBER(AJ309),AJ309,9000000000000000))</f>
        <v>37.4517507383159</v>
      </c>
      <c r="AR309" s="32" t="b">
        <f aca="false">IF(AW309&gt;Parameters!$B$21*(MAX(IF(AND(NOT(AND(AO309=1,AN309&lt;&gt;1)),ISNUMBER(AG309),AG309&lt;=T309),AS309,0),IF(AND(NOT(AND(AO309=1,AN309&lt;&gt;1)),ISNUMBER(AH309),AH309&lt;=T309),AT309,0),IF(AND(NOT(AND(AO309=1,AN309&lt;&gt;1)),ISNUMBER(AI309),AI309&lt;=T309),AU309,0),IF(AND(ISNUMBER(AJ309),AJ309&lt;=T309),AV309,0))),TRUE(),FALSE())</f>
        <v>1</v>
      </c>
      <c r="AS309" s="33" t="n">
        <f aca="false">IFERROR(Upgrades!$H$6*(POWER(Upgrades!$P$6,E309)*POWER(Upgrades!$P$7,F309)*POWER(Upgrades!$P$8,G309)*POWER(Upgrades!$P$9,H309)*POWER(Upgrades!$P$10,I309)*POWER(Upgrades!$P$11,J309)*POWER(Upgrades!$P$12,K309))*(IF(Upgrades!$T$7="Solar Wind",POWER(Upgrades!$U$7,F309),1)*IF(Upgrades!$T$8="Solar Wind",POWER(Upgrades!$U$8,G309),1)*IF(Upgrades!$T$9="Solar Wind",POWER(Upgrades!$U$9,H309),1)*IF(Upgrades!$T$10="Solar Wind",POWER(Upgrades!$U$10,I309),1)*IF(Upgrades!$T$11="Solar Wind",POWER(Upgrades!$U$11,J309),1)*IF(Upgrades!$T$12="Solar Wind",POWER(Upgrades!$U$12,K309),1))/AG309,0)</f>
        <v>0.0026701021455238</v>
      </c>
      <c r="AT309" s="33" t="n">
        <f aca="false">IFERROR(Upgrades!$H$7*(POWER(Upgrades!$P$6,E309)*POWER(Upgrades!$P$7,F309)*POWER(Upgrades!$P$8,G309)*POWER(Upgrades!$P$9,H309)*POWER(Upgrades!$P$10,I309)*POWER(Upgrades!$P$11,J309)*POWER(Upgrades!$P$12,K309))*(IF(Upgrades!$T$6="Asteroid Belt",POWER(Upgrades!$U$6,E309),1)*IF(Upgrades!$T$8="Asteroid Belt",POWER(Upgrades!$U$8,G309),1)*IF(Upgrades!$T$9="Asteroid Belt",POWER(Upgrades!$U$9,H309),1)*IF(Upgrades!$T$10="Asteroid Belt",POWER(Upgrades!$U$10,I309),1)*IF(Upgrades!$T$11="Asteroid Belt",POWER(Upgrades!$U$11,J309),1)*IF(Upgrades!$T$12="Asteroid Belt",POWER(Upgrades!$U$12,K309),1))/AH309,0)</f>
        <v>0.00308980882652332</v>
      </c>
      <c r="AU309" s="33" t="n">
        <f aca="false">IFERROR(Upgrades!$K$8*(POWER(Upgrades!$Q$6,E309)*POWER(Upgrades!$Q$7,F309)*POWER(Upgrades!$Q$8,G309)*POWER(Upgrades!$Q$9,H309)*POWER(Upgrades!$Q$10,I309)*POWER(Upgrades!$Q$11,J309)*POWER(Upgrades!$Q$12,K309))*(IF(Upgrades!$T$6="Stellar Coupling",POWER(Upgrades!$U$6,E309),1)*IF(Upgrades!$T$7="Stellar Coupling",POWER(Upgrades!$U$7,F309),1)*IF(Upgrades!$T$9="Stellar Coupling",POWER(Upgrades!$U$9,H309),1)*IF(Upgrades!$T$10="Stellar Coupling",POWER(Upgrades!$U$10,I309),1)*IF(Upgrades!$T$11="Stellar Coupling",POWER(Upgrades!$U$11,J309),1)*IF(Upgrades!$T$12="Stellar Coupling",POWER(Upgrades!$U$12,K309),1))*Parameters!$B$10*Parameters!$B$11/60/AI309,0)</f>
        <v>0.00452762415783776</v>
      </c>
      <c r="AV309" s="33" t="n">
        <f aca="false">IFERROR(Upgrades!$H$9*(POWER(Upgrades!$P$6,E309)*POWER(Upgrades!$P$7,F309)*POWER(Upgrades!$P$8,G309)*POWER(Upgrades!$P$9,H309)*POWER(Upgrades!$P$10,I309)*POWER(Upgrades!$P$11,J309)*POWER(Upgrades!$P$12,K309))*(IF(Upgrades!$T$6="Magnetosphere",POWER(Upgrades!$U$6,E309),1)*IF(Upgrades!$T$7="Magnetosphere",POWER(Upgrades!$U$7,F309),1)*IF(Upgrades!$T$8="Magnetosphere",POWER(Upgrades!$U$8,G309),1)*IF(Upgrades!$T$10="Magnetosphere",POWER(Upgrades!$U$10,I309),1)*IF(Upgrades!$T$11="Magnetosphere",POWER(Upgrades!$U$11,J309),1)*IF(Upgrades!$T$12="Magnetosphere",POWER(Upgrades!$U$12,K309),1))/AJ309,0)</f>
        <v>0</v>
      </c>
      <c r="AW309" s="33" t="n">
        <f aca="false">MAX(IF(I309&gt;0,0,IFERROR(0.25*N309/Upgrades!$C$10,0)),IF(J309&gt;0,0,IFERROR(0.5*((IF(G309=0,0,(Upgrades!$J$8+G309*Upgrades!$K$8)*POWER(Upgrades!$L$8,G309)))*(IF(Upgrades!$T$6="Stellar Coupling",POWER(Upgrades!$U$6,E309),1)*IF(Upgrades!$T$7="Stellar Coupling",POWER(Upgrades!$U$7,F309),1)*IF(Upgrades!$T$9="Stellar Coupling",POWER(Upgrades!$U$9,H309),1)*IF(Upgrades!$T$10="Stellar Coupling",POWER(Upgrades!$U$10,I309),1)*IF(Upgrades!$T$11="Stellar Coupling",POWER(Upgrades!$U$11,J309),1)*IF(Upgrades!$T$12="Stellar Coupling",POWER(Upgrades!$U$12,K309),1))*(POWER(Upgrades!$Q$6,E309)*POWER(Upgrades!$Q$7,F309)*POWER(Upgrades!$Q$8,G309)*POWER(Upgrades!$Q$9,H309)*POWER(Upgrades!$Q$10,I309)*POWER(Upgrades!$Q$11,J309)*POWER(Upgrades!$Q$12,K309))*Parameters!$B$10*Parameters!$B$11/60)/Upgrades!$C$11,0)),IF(K309&gt;0,0,IFERROR((1*(POWER(Upgrades!$P$6,E309)*POWER(Upgrades!$P$7,F309)*POWER(Upgrades!$P$8,G309)*POWER(Upgrades!$P$9,H309)*POWER(Upgrades!$P$10,I309)*POWER(Upgrades!$P$11,J309)*POWER(Upgrades!$P$12,K309))+0.2*M309*Parameters!$B$10*Parameters!$B$11/60)/Upgrades!$C$12,0)),IF(AND(ISNUMBER(AG309),AG309&gt;T309),AS309,0),IF(AND(ISNUMBER(AH309),AH309&gt;T309),AT309,0),IF(AND(ISNUMBER(AI309),AI309&gt;T309),AU309,0),IF(AND(ISNUMBER(AJ309),AJ309&gt;T309),AV309,0))</f>
        <v>0.00452762415783776</v>
      </c>
      <c r="AX309" s="29" t="str">
        <f aca="false">IF(AN309=1,"transition",IF(MIN(IF(AND(I309=0,ISNUMBER(AK309),AK309&lt;=T309),AK309,9000000000000000),IF(AND(J309=0,ISNUMBER(AL309),AL309&lt;=T309),AL309,9000000000000000),IF(AND(K309=0,ISNUMBER(AM309),AM309&lt;=T309),AM309,9000000000000000))&lt;9000000000000000,IF(AND(AND(I309=0,ISNUMBER(AK309),AK309&lt;=T309),AK309=MIN(IF(AND(I309=0,ISNUMBER(AK309),AK309&lt;=T309),AK309,9000000000000000),IF(AND(J309=0,ISNUMBER(AL309),AL309&lt;=T309),AL309,9000000000000000),IF(AND(K309=0,ISNUMBER(AM309),AM309&lt;=T309),AM309,9000000000000000))),"OR",IF(AND(AND(J309=0,ISNUMBER(AL309),AL309&lt;=T309),AL309=MIN(IF(AND(I309=0,ISNUMBER(AK309),AK309&lt;=T309),AK309,9000000000000000),IF(AND(J309=0,ISNUMBER(AL309),AL309&lt;=T309),AL309,9000000000000000),IF(AND(K309=0,ISNUMBER(AM309),AM309&lt;=T309),AM309,9000000000000000))),"HP","FP")),IF(AR309=TRUE(),"",IF(MAX(IF(AND(NOT(AND(AO309=1,AN309&lt;&gt;1)),ISNUMBER(AG309),AG309&lt;=T309),AS309,0),IF(AND(NOT(AND(AO309=1,AN309&lt;&gt;1)),ISNUMBER(AH309),AH309&lt;=T309),AT309,0),IF(AND(NOT(AND(AO309=1,AN309&lt;&gt;1)),ISNUMBER(AI309),AI309&lt;=T309),AU309,0),IF(AND(ISNUMBER(AJ309),AJ309&lt;=T309),AV309,0))&lt;=0,"",IF(AND(IF(AND(NOT(AND(AO309=1,AN309&lt;&gt;1)),ISNUMBER(AG309),AG309&lt;=T309),AS309,0)&gt;0,IF(AND(NOT(AND(AO309=1,AN309&lt;&gt;1)),ISNUMBER(AG309),AG309&lt;=T309),AS309,0)=MAX(IF(AND(NOT(AND(AO309=1,AN309&lt;&gt;1)),ISNUMBER(AG309),AG309&lt;=T309),AS309,0),IF(AND(NOT(AND(AO309=1,AN309&lt;&gt;1)),ISNUMBER(AH309),AH309&lt;=T309),AT309,0),IF(AND(NOT(AND(AO309=1,AN309&lt;&gt;1)),ISNUMBER(AI309),AI309&lt;=T309),AU309,0),IF(AND(ISNUMBER(AJ309),AJ309&lt;=T309),AV309,0))),"SW",IF(AND(IF(AND(NOT(AND(AO309=1,AN309&lt;&gt;1)),ISNUMBER(AH309),AH309&lt;=T309),AT309,0)&gt;0,IF(AND(NOT(AND(AO309=1,AN309&lt;&gt;1)),ISNUMBER(AH309),AH309&lt;=T309),AT309,0)=MAX(IF(AND(NOT(AND(AO309=1,AN309&lt;&gt;1)),ISNUMBER(AG309),AG309&lt;=T309),AS309,0),IF(AND(NOT(AND(AO309=1,AN309&lt;&gt;1)),ISNUMBER(AH309),AH309&lt;=T309),AT309,0),IF(AND(NOT(AND(AO309=1,AN309&lt;&gt;1)),ISNUMBER(AI309),AI309&lt;=T309),AU309,0),IF(AND(ISNUMBER(AJ309),AJ309&lt;=T309),AV309,0))),"AB",IF(AND(IF(AND(NOT(AND(AO309=1,AN309&lt;&gt;1)),ISNUMBER(AI309),AI309&lt;=T309),AU309,0)&gt;0,IF(AND(NOT(AND(AO309=1,AN309&lt;&gt;1)),ISNUMBER(AI309),AI309&lt;=T309),AU309,0)=MAX(IF(AND(NOT(AND(AO309=1,AN309&lt;&gt;1)),ISNUMBER(AG309),AG309&lt;=T309),AS309,0),IF(AND(NOT(AND(AO309=1,AN309&lt;&gt;1)),ISNUMBER(AH309),AH309&lt;=T309),AT309,0),IF(AND(NOT(AND(AO309=1,AN309&lt;&gt;1)),ISNUMBER(AI309),AI309&lt;=T309),AU309,0),IF(AND(ISNUMBER(AJ309),AJ309&lt;=T309),AV309,0))),"SC","Mag")))))))</f>
        <v/>
      </c>
    </row>
    <row r="310" customFormat="false" ht="15" hidden="false" customHeight="false" outlineLevel="0" collapsed="false">
      <c r="A310" s="26" t="n">
        <v>305</v>
      </c>
      <c r="B310" s="27" t="n">
        <f aca="false">A310*10/60</f>
        <v>50.8333333333333</v>
      </c>
      <c r="C310" s="21" t="n">
        <f aca="false">X309</f>
        <v>18.6730249835055</v>
      </c>
      <c r="D310" s="27" t="n">
        <f aca="false">D309+W309</f>
        <v>0</v>
      </c>
      <c r="E310" s="26" t="n">
        <f aca="false">E309+IF(U309="SW",1,0)</f>
        <v>12</v>
      </c>
      <c r="F310" s="26" t="n">
        <f aca="false">F309+IF(U309="AB",1,0)</f>
        <v>10</v>
      </c>
      <c r="G310" s="26" t="n">
        <f aca="false">G309+IF(U309="SC",1,0)</f>
        <v>7</v>
      </c>
      <c r="H310" s="26" t="n">
        <f aca="false">H309+IF(U309="Mag",1,0)</f>
        <v>5</v>
      </c>
      <c r="I310" s="26" t="n">
        <f aca="false">MAX(I309,IF(U309="OR",1,0))</f>
        <v>1</v>
      </c>
      <c r="J310" s="26" t="n">
        <f aca="false">MAX(J309,IF(U309="HP",1,0))</f>
        <v>1</v>
      </c>
      <c r="K310" s="26" t="n">
        <f aca="false">MAX(K309,IF(U309="FP",1,0))</f>
        <v>1</v>
      </c>
      <c r="L310" s="26" t="n">
        <f aca="false">MAX(L309,IF(U309="transition",1,0))</f>
        <v>1</v>
      </c>
      <c r="M310" s="28" t="n">
        <f aca="false">(Parameters!$B$9+(IF(E310=0,0,(Upgrades!$J$6+E310*Upgrades!$K$6)*POWER(Upgrades!$L$6,E310)))*(IF(Upgrades!$T$7="Solar Wind",POWER(Upgrades!$U$7,F310),1)*IF(Upgrades!$T$8="Solar Wind",POWER(Upgrades!$U$8,G310),1)*IF(Upgrades!$T$9="Solar Wind",POWER(Upgrades!$U$9,H310),1)*IF(Upgrades!$T$10="Solar Wind",POWER(Upgrades!$U$10,I310),1)*IF(Upgrades!$T$11="Solar Wind",POWER(Upgrades!$U$11,J310),1)*IF(Upgrades!$T$12="Solar Wind",POWER(Upgrades!$U$12,K310),1))+(IF(F310=0,0,(Upgrades!$J$7+F310*Upgrades!$K$7)*POWER(Upgrades!$L$7,F310)))*(IF(Upgrades!$T$6="Asteroid Belt",POWER(Upgrades!$U$6,E310),1)*IF(Upgrades!$T$8="Asteroid Belt",POWER(Upgrades!$U$8,G310),1)*IF(Upgrades!$T$9="Asteroid Belt",POWER(Upgrades!$U$9,H310),1)*IF(Upgrades!$T$10="Asteroid Belt",POWER(Upgrades!$U$10,I310),1)*IF(Upgrades!$T$11="Asteroid Belt",POWER(Upgrades!$U$11,J310),1)*IF(Upgrades!$T$12="Asteroid Belt",POWER(Upgrades!$U$12,K310),1))+(IF(G310=0,0,(Upgrades!$J$8+G310*Upgrades!$K$8)*POWER(Upgrades!$L$8,G310)))*(IF(Upgrades!$T$6="Stellar Coupling",POWER(Upgrades!$U$6,E310),1)*IF(Upgrades!$T$7="Stellar Coupling",POWER(Upgrades!$U$7,F310),1)*IF(Upgrades!$T$9="Stellar Coupling",POWER(Upgrades!$U$9,H310),1)*IF(Upgrades!$T$10="Stellar Coupling",POWER(Upgrades!$U$10,I310),1)*IF(Upgrades!$T$11="Stellar Coupling",POWER(Upgrades!$U$11,J310),1)*IF(Upgrades!$T$12="Stellar Coupling",POWER(Upgrades!$U$12,K310),1))+(IF(H310=0,0,(Upgrades!$J$9+H310*Upgrades!$K$9)*POWER(Upgrades!$L$9,H310)))*(IF(Upgrades!$T$6="Magnetosphere",POWER(Upgrades!$U$6,E310),1)*IF(Upgrades!$T$7="Magnetosphere",POWER(Upgrades!$U$7,F310),1)*IF(Upgrades!$T$8="Magnetosphere",POWER(Upgrades!$U$8,G310),1)*IF(Upgrades!$T$10="Magnetosphere",POWER(Upgrades!$U$10,I310),1)*IF(Upgrades!$T$11="Magnetosphere",POWER(Upgrades!$U$11,J310),1)*IF(Upgrades!$T$12="Magnetosphere",POWER(Upgrades!$U$12,K310),1))+(IF(I310=0,0,(Upgrades!$J$10+I310*Upgrades!$K$10)*POWER(Upgrades!$L$10,I310)))*(IF(Upgrades!$T$6="Orbital Resonance",POWER(Upgrades!$U$6,E310),1)*IF(Upgrades!$T$7="Orbital Resonance",POWER(Upgrades!$U$7,F310),1)*IF(Upgrades!$T$8="Orbital Resonance",POWER(Upgrades!$U$8,G310),1)*IF(Upgrades!$T$9="Orbital Resonance",POWER(Upgrades!$U$9,H310),1)*IF(Upgrades!$T$11="Orbital Resonance",POWER(Upgrades!$U$11,J310),1)*IF(Upgrades!$T$12="Orbital Resonance",POWER(Upgrades!$U$12,K310),1))+(IF(J310=0,0,(Upgrades!$J$11+J310*Upgrades!$K$11)*POWER(Upgrades!$L$11,J310)))*(IF(Upgrades!$T$6="Heliopause",POWER(Upgrades!$U$6,E310),1)*IF(Upgrades!$T$7="Heliopause",POWER(Upgrades!$U$7,F310),1)*IF(Upgrades!$T$8="Heliopause",POWER(Upgrades!$U$8,G310),1)*IF(Upgrades!$T$9="Heliopause",POWER(Upgrades!$U$9,H310),1)*IF(Upgrades!$T$10="Heliopause",POWER(Upgrades!$U$10,I310),1)*IF(Upgrades!$T$12="Heliopause",POWER(Upgrades!$U$12,K310),1))+(IF(K310=0,0,(Upgrades!$J$12+K310*Upgrades!$K$12)*POWER(Upgrades!$L$12,K310)))*(IF(Upgrades!$T$6="First Photons",POWER(Upgrades!$U$6,E310),1)*IF(Upgrades!$T$7="First Photons",POWER(Upgrades!$U$7,F310),1)*IF(Upgrades!$T$8="First Photons",POWER(Upgrades!$U$8,G310),1)*IF(Upgrades!$T$9="First Photons",POWER(Upgrades!$U$9,H310),1)*IF(Upgrades!$T$10="First Photons",POWER(Upgrades!$U$10,I310),1)*IF(Upgrades!$T$11="First Photons",POWER(Upgrades!$U$11,J310),1)))*POWER(Upgrades!$Q$6,E310)*POWER(Upgrades!$Q$7,F310)*POWER(Upgrades!$Q$8,G310)*POWER(Upgrades!$Q$9,H310)*POWER(Upgrades!$Q$10,I310)*POWER(Upgrades!$Q$11,J310)*POWER(Upgrades!$Q$12,K310)</f>
        <v>5.61</v>
      </c>
      <c r="N310" s="28" t="n">
        <f aca="false">((IF(E310=0,0,(Upgrades!$G$6+E310*Upgrades!$H$6)*POWER(Upgrades!$I$6,E310)))*(IF(Upgrades!$T$7="Solar Wind",POWER(Upgrades!$U$7,F310),1)*IF(Upgrades!$T$8="Solar Wind",POWER(Upgrades!$U$8,G310),1)*IF(Upgrades!$T$9="Solar Wind",POWER(Upgrades!$U$9,H310),1)*IF(Upgrades!$T$10="Solar Wind",POWER(Upgrades!$U$10,I310),1)*IF(Upgrades!$T$11="Solar Wind",POWER(Upgrades!$U$11,J310),1)*IF(Upgrades!$T$12="Solar Wind",POWER(Upgrades!$U$12,K310),1))+(IF(F310=0,0,(Upgrades!$G$7+F310*Upgrades!$H$7)*POWER(Upgrades!$I$7,F310)))*(IF(Upgrades!$T$6="Asteroid Belt",POWER(Upgrades!$U$6,E310),1)*IF(Upgrades!$T$8="Asteroid Belt",POWER(Upgrades!$U$8,G310),1)*IF(Upgrades!$T$9="Asteroid Belt",POWER(Upgrades!$U$9,H310),1)*IF(Upgrades!$T$10="Asteroid Belt",POWER(Upgrades!$U$10,I310),1)*IF(Upgrades!$T$11="Asteroid Belt",POWER(Upgrades!$U$11,J310),1)*IF(Upgrades!$T$12="Asteroid Belt",POWER(Upgrades!$U$12,K310),1))+(IF(G310=0,0,(Upgrades!$G$8+G310*Upgrades!$H$8)*POWER(Upgrades!$I$8,G310)))*(IF(Upgrades!$T$6="Stellar Coupling",POWER(Upgrades!$U$6,E310),1)*IF(Upgrades!$T$7="Stellar Coupling",POWER(Upgrades!$U$7,F310),1)*IF(Upgrades!$T$9="Stellar Coupling",POWER(Upgrades!$U$9,H310),1)*IF(Upgrades!$T$10="Stellar Coupling",POWER(Upgrades!$U$10,I310),1)*IF(Upgrades!$T$11="Stellar Coupling",POWER(Upgrades!$U$11,J310),1)*IF(Upgrades!$T$12="Stellar Coupling",POWER(Upgrades!$U$12,K310),1))+(IF(H310=0,0,(Upgrades!$G$9+H310*Upgrades!$H$9)*POWER(Upgrades!$I$9,H310)))*(IF(Upgrades!$T$6="Magnetosphere",POWER(Upgrades!$U$6,E310),1)*IF(Upgrades!$T$7="Magnetosphere",POWER(Upgrades!$U$7,F310),1)*IF(Upgrades!$T$8="Magnetosphere",POWER(Upgrades!$U$8,G310),1)*IF(Upgrades!$T$10="Magnetosphere",POWER(Upgrades!$U$10,I310),1)*IF(Upgrades!$T$11="Magnetosphere",POWER(Upgrades!$U$11,J310),1)*IF(Upgrades!$T$12="Magnetosphere",POWER(Upgrades!$U$12,K310),1))+(IF(I310=0,0,(Upgrades!$G$10+I310*Upgrades!$H$10)*POWER(Upgrades!$I$10,I310)))*(IF(Upgrades!$T$6="Orbital Resonance",POWER(Upgrades!$U$6,E310),1)*IF(Upgrades!$T$7="Orbital Resonance",POWER(Upgrades!$U$7,F310),1)*IF(Upgrades!$T$8="Orbital Resonance",POWER(Upgrades!$U$8,G310),1)*IF(Upgrades!$T$9="Orbital Resonance",POWER(Upgrades!$U$9,H310),1)*IF(Upgrades!$T$11="Orbital Resonance",POWER(Upgrades!$U$11,J310),1)*IF(Upgrades!$T$12="Orbital Resonance",POWER(Upgrades!$U$12,K310),1))+(IF(J310=0,0,(Upgrades!$G$11+J310*Upgrades!$H$11)*POWER(Upgrades!$I$11,J310)))*(IF(Upgrades!$T$6="Heliopause",POWER(Upgrades!$U$6,E310),1)*IF(Upgrades!$T$7="Heliopause",POWER(Upgrades!$U$7,F310),1)*IF(Upgrades!$T$8="Heliopause",POWER(Upgrades!$U$8,G310),1)*IF(Upgrades!$T$9="Heliopause",POWER(Upgrades!$U$9,H310),1)*IF(Upgrades!$T$10="Heliopause",POWER(Upgrades!$U$10,I310),1)*IF(Upgrades!$T$12="Heliopause",POWER(Upgrades!$U$12,K310),1))+(IF(K310=0,0,(Upgrades!$G$12+K310*Upgrades!$H$12)*POWER(Upgrades!$I$12,K310)))*(IF(Upgrades!$T$6="First Photons",POWER(Upgrades!$U$6,E310),1)*IF(Upgrades!$T$7="First Photons",POWER(Upgrades!$U$7,F310),1)*IF(Upgrades!$T$8="First Photons",POWER(Upgrades!$U$8,G310),1)*IF(Upgrades!$T$9="First Photons",POWER(Upgrades!$U$9,H310),1)*IF(Upgrades!$T$10="First Photons",POWER(Upgrades!$U$10,I310),1)*IF(Upgrades!$T$11="First Photons",POWER(Upgrades!$U$11,J310),1)))*POWER(Upgrades!$P$6,E310)*POWER(Upgrades!$P$7,F310)*POWER(Upgrades!$P$8,G310)*POWER(Upgrades!$P$9,H310)*POWER(Upgrades!$P$10,I310)*POWER(Upgrades!$P$11,J310)*POWER(Upgrades!$P$12,K310)</f>
        <v>11.2</v>
      </c>
      <c r="O310" s="28" t="n">
        <f aca="false">((IF(E310=0,0,(Upgrades!$M$6+E310*Upgrades!$N$6)*POWER(Upgrades!$O$6,E310)))*(IF(Upgrades!$T$7="Solar Wind",POWER(Upgrades!$U$7,F310),1)*IF(Upgrades!$T$8="Solar Wind",POWER(Upgrades!$U$8,G310),1)*IF(Upgrades!$T$9="Solar Wind",POWER(Upgrades!$U$9,H310),1)*IF(Upgrades!$T$10="Solar Wind",POWER(Upgrades!$U$10,I310),1)*IF(Upgrades!$T$11="Solar Wind",POWER(Upgrades!$U$11,J310),1)*IF(Upgrades!$T$12="Solar Wind",POWER(Upgrades!$U$12,K310),1))+(IF(F310=0,0,(Upgrades!$M$7+F310*Upgrades!$N$7)*POWER(Upgrades!$O$7,F310)))*(IF(Upgrades!$T$6="Asteroid Belt",POWER(Upgrades!$U$6,E310),1)*IF(Upgrades!$T$8="Asteroid Belt",POWER(Upgrades!$U$8,G310),1)*IF(Upgrades!$T$9="Asteroid Belt",POWER(Upgrades!$U$9,H310),1)*IF(Upgrades!$T$10="Asteroid Belt",POWER(Upgrades!$U$10,I310),1)*IF(Upgrades!$T$11="Asteroid Belt",POWER(Upgrades!$U$11,J310),1)*IF(Upgrades!$T$12="Asteroid Belt",POWER(Upgrades!$U$12,K310),1))+(IF(G310=0,0,(Upgrades!$M$8+G310*Upgrades!$N$8)*POWER(Upgrades!$O$8,G310)))*(IF(Upgrades!$T$6="Stellar Coupling",POWER(Upgrades!$U$6,E310),1)*IF(Upgrades!$T$7="Stellar Coupling",POWER(Upgrades!$U$7,F310),1)*IF(Upgrades!$T$9="Stellar Coupling",POWER(Upgrades!$U$9,H310),1)*IF(Upgrades!$T$10="Stellar Coupling",POWER(Upgrades!$U$10,I310),1)*IF(Upgrades!$T$11="Stellar Coupling",POWER(Upgrades!$U$11,J310),1)*IF(Upgrades!$T$12="Stellar Coupling",POWER(Upgrades!$U$12,K310),1))+(IF(H310=0,0,(Upgrades!$M$9+H310*Upgrades!$N$9)*POWER(Upgrades!$O$9,H310)))*(IF(Upgrades!$T$6="Magnetosphere",POWER(Upgrades!$U$6,E310),1)*IF(Upgrades!$T$7="Magnetosphere",POWER(Upgrades!$U$7,F310),1)*IF(Upgrades!$T$8="Magnetosphere",POWER(Upgrades!$U$8,G310),1)*IF(Upgrades!$T$10="Magnetosphere",POWER(Upgrades!$U$10,I310),1)*IF(Upgrades!$T$11="Magnetosphere",POWER(Upgrades!$U$11,J310),1)*IF(Upgrades!$T$12="Magnetosphere",POWER(Upgrades!$U$12,K310),1))+(IF(I310=0,0,(Upgrades!$M$10+I310*Upgrades!$N$10)*POWER(Upgrades!$O$10,I310)))*(IF(Upgrades!$T$6="Orbital Resonance",POWER(Upgrades!$U$6,E310),1)*IF(Upgrades!$T$7="Orbital Resonance",POWER(Upgrades!$U$7,F310),1)*IF(Upgrades!$T$8="Orbital Resonance",POWER(Upgrades!$U$8,G310),1)*IF(Upgrades!$T$9="Orbital Resonance",POWER(Upgrades!$U$9,H310),1)*IF(Upgrades!$T$11="Orbital Resonance",POWER(Upgrades!$U$11,J310),1)*IF(Upgrades!$T$12="Orbital Resonance",POWER(Upgrades!$U$12,K310),1))+(IF(J310=0,0,(Upgrades!$M$11+J310*Upgrades!$N$11)*POWER(Upgrades!$O$11,J310)))*(IF(Upgrades!$T$6="Heliopause",POWER(Upgrades!$U$6,E310),1)*IF(Upgrades!$T$7="Heliopause",POWER(Upgrades!$U$7,F310),1)*IF(Upgrades!$T$8="Heliopause",POWER(Upgrades!$U$8,G310),1)*IF(Upgrades!$T$9="Heliopause",POWER(Upgrades!$U$9,H310),1)*IF(Upgrades!$T$10="Heliopause",POWER(Upgrades!$U$10,I310),1)*IF(Upgrades!$T$12="Heliopause",POWER(Upgrades!$U$12,K310),1))+(IF(K310=0,0,(Upgrades!$M$12+K310*Upgrades!$N$12)*POWER(Upgrades!$O$12,K310)))*(IF(Upgrades!$T$6="First Photons",POWER(Upgrades!$U$6,E310),1)*IF(Upgrades!$T$7="First Photons",POWER(Upgrades!$U$7,F310),1)*IF(Upgrades!$T$8="First Photons",POWER(Upgrades!$U$8,G310),1)*IF(Upgrades!$T$9="First Photons",POWER(Upgrades!$U$9,H310),1)*IF(Upgrades!$T$10="First Photons",POWER(Upgrades!$U$10,I310),1)*IF(Upgrades!$T$11="First Photons",POWER(Upgrades!$U$11,J310),1)))*POWER(Upgrades!$R$6,E310)*POWER(Upgrades!$R$7,F310)*POWER(Upgrades!$R$8,G310)*POWER(Upgrades!$R$9,H310)*POWER(Upgrades!$R$10,I310)*POWER(Upgrades!$R$11,J310)*POWER(Upgrades!$R$12,K310)</f>
        <v>0</v>
      </c>
      <c r="P310" s="27" t="n">
        <f aca="false">IF(L310=1,0,M310*Parameters!$B$10/60*Parameters!$B$11*10)</f>
        <v>0</v>
      </c>
      <c r="Q310" s="27" t="n">
        <f aca="false">IF(L310=1,0,O310*M310*10)</f>
        <v>0</v>
      </c>
      <c r="R310" s="27" t="n">
        <f aca="false">IF(L310=1,0,N310*10)</f>
        <v>0</v>
      </c>
      <c r="S310" s="27" t="n">
        <f aca="false">P310+Q310+R310</f>
        <v>0</v>
      </c>
      <c r="T310" s="21" t="n">
        <f aca="false">C310+S310</f>
        <v>18.6730249835055</v>
      </c>
      <c r="U310" s="34" t="str">
        <f aca="false">AX310</f>
        <v/>
      </c>
      <c r="V310" s="21" t="n">
        <f aca="false">IF(U310="",0,IF(U310="transition",0,IF(U310="SW",AG310,IF(U310="AB",AH310,IF(U310="SC",AI310,IF(U310="Mag",AJ310,IF(U310="OR",AK310,IF(U310="HP",AL310,IF(U310="FP",AM310,0)))))))))</f>
        <v>0</v>
      </c>
      <c r="W310" s="27" t="n">
        <f aca="false">IF(U310="OR",Upgrades!$F$10,IF(U310="HP",Upgrades!$F$11,IF(U310="transition",-Parameters!$B$18,0)))</f>
        <v>0</v>
      </c>
      <c r="X310" s="21" t="n">
        <f aca="false">T310-V310</f>
        <v>18.6730249835055</v>
      </c>
      <c r="Y310" s="30" t="n">
        <f aca="false">M310*Parameters!$B$10/60*Parameters!$B$11+O310*M310+N310</f>
        <v>20.55</v>
      </c>
      <c r="Z310" s="35" t="str">
        <f aca="false">IF(U310="transition","→ Tier 2 (Stellar Neighborhood)",IF(U310="FP","First Photons — light begins, system quickens",IF(U310="HP","Heliopause acquired",IF(U310="OR","Orbital Resonance — passive multiplier active",IF(AND(AO310=1,L310=0,AN310&lt;&gt;1),"Cohesion ready (waiting on completionist upgrades)","")))))</f>
        <v/>
      </c>
      <c r="AA310" s="27" t="n">
        <f aca="false">(IF(E310=0,0,(Upgrades!$G$6+E310*Upgrades!$H$6)*POWER(Upgrades!$I$6,E310)))*(IF(Upgrades!$T$7="Solar Wind",POWER(Upgrades!$U$7,F310),1)*IF(Upgrades!$T$8="Solar Wind",POWER(Upgrades!$U$8,G310),1)*IF(Upgrades!$T$9="Solar Wind",POWER(Upgrades!$U$9,H310),1)*IF(Upgrades!$T$10="Solar Wind",POWER(Upgrades!$U$10,I310),1)*IF(Upgrades!$T$11="Solar Wind",POWER(Upgrades!$U$11,J310),1)*IF(Upgrades!$T$12="Solar Wind",POWER(Upgrades!$U$12,K310),1))*POWER(Upgrades!$P$6,E310)*POWER(Upgrades!$P$7,F310)*POWER(Upgrades!$P$8,G310)*POWER(Upgrades!$P$9,H310)*POWER(Upgrades!$P$10,I310)*POWER(Upgrades!$P$11,J310)*POWER(Upgrades!$P$12,K310)*60</f>
        <v>72</v>
      </c>
      <c r="AB310" s="27" t="n">
        <f aca="false">(IF(F310=0,0,(Upgrades!$G$7+F310*Upgrades!$H$7)*POWER(Upgrades!$I$7,F310)))*(IF(Upgrades!$T$6="Asteroid Belt",POWER(Upgrades!$U$6,E310),1)*IF(Upgrades!$T$8="Asteroid Belt",POWER(Upgrades!$U$8,G310),1)*IF(Upgrades!$T$9="Asteroid Belt",POWER(Upgrades!$U$9,H310),1)*IF(Upgrades!$T$10="Asteroid Belt",POWER(Upgrades!$U$10,I310),1)*IF(Upgrades!$T$11="Asteroid Belt",POWER(Upgrades!$U$11,J310),1)*IF(Upgrades!$T$12="Asteroid Belt",POWER(Upgrades!$U$12,K310),1))*POWER(Upgrades!$P$6,E310)*POWER(Upgrades!$P$7,F310)*POWER(Upgrades!$P$8,G310)*POWER(Upgrades!$P$9,H310)*POWER(Upgrades!$P$10,I310)*POWER(Upgrades!$P$11,J310)*POWER(Upgrades!$P$12,K310)*60</f>
        <v>150</v>
      </c>
      <c r="AC310" s="27" t="n">
        <f aca="false">(IF(G310=0,0,(Upgrades!$J$8+G310*Upgrades!$K$8)*POWER(Upgrades!$L$8,G310)))*(IF(Upgrades!$T$6="Stellar Coupling",POWER(Upgrades!$U$6,E310),1)*IF(Upgrades!$T$7="Stellar Coupling",POWER(Upgrades!$U$7,F310),1)*IF(Upgrades!$T$9="Stellar Coupling",POWER(Upgrades!$U$9,H310),1)*IF(Upgrades!$T$10="Stellar Coupling",POWER(Upgrades!$U$10,I310),1)*IF(Upgrades!$T$11="Stellar Coupling",POWER(Upgrades!$U$11,J310),1)*IF(Upgrades!$T$12="Stellar Coupling",POWER(Upgrades!$U$12,K310),1))*POWER(Upgrades!$Q$6,E310)*POWER(Upgrades!$Q$7,F310)*POWER(Upgrades!$Q$8,G310)*POWER(Upgrades!$Q$9,H310)*POWER(Upgrades!$Q$10,I310)*POWER(Upgrades!$Q$11,J310)*POWER(Upgrades!$Q$12,K310)*Parameters!$B$10*Parameters!$B$11</f>
        <v>441</v>
      </c>
      <c r="AD310" s="27" t="n">
        <f aca="false">(IF(H310=0,0,(Upgrades!$G$9+H310*Upgrades!$H$9)*POWER(Upgrades!$I$9,H310)))*(IF(Upgrades!$T$6="Magnetosphere",POWER(Upgrades!$U$6,E310),1)*IF(Upgrades!$T$7="Magnetosphere",POWER(Upgrades!$U$7,F310),1)*IF(Upgrades!$T$8="Magnetosphere",POWER(Upgrades!$U$8,G310),1)*IF(Upgrades!$T$10="Magnetosphere",POWER(Upgrades!$U$10,I310),1)*IF(Upgrades!$T$11="Magnetosphere",POWER(Upgrades!$U$11,J310),1)*IF(Upgrades!$T$12="Magnetosphere",POWER(Upgrades!$U$12,K310),1))*POWER(Upgrades!$P$6,E310)*POWER(Upgrades!$P$7,F310)*POWER(Upgrades!$P$8,G310)*POWER(Upgrades!$P$9,H310)*POWER(Upgrades!$P$10,I310)*POWER(Upgrades!$P$11,J310)*POWER(Upgrades!$P$12,K310)*60</f>
        <v>375</v>
      </c>
      <c r="AE310" s="27" t="n">
        <f aca="false">(IF(K310=0,0,(Upgrades!$G$12+K310*Upgrades!$H$12)*POWER(Upgrades!$I$12,K310)))*(IF(Upgrades!$T$6="First Photons",POWER(Upgrades!$U$6,E310),1)*IF(Upgrades!$T$7="First Photons",POWER(Upgrades!$U$7,F310),1)*IF(Upgrades!$T$8="First Photons",POWER(Upgrades!$U$8,G310),1)*IF(Upgrades!$T$9="First Photons",POWER(Upgrades!$U$9,H310),1)*IF(Upgrades!$T$10="First Photons",POWER(Upgrades!$U$10,I310),1)*IF(Upgrades!$T$11="First Photons",POWER(Upgrades!$U$11,J310),1))*POWER(Upgrades!$P$6,E310)*POWER(Upgrades!$P$7,F310)*POWER(Upgrades!$P$8,G310)*POWER(Upgrades!$P$9,H310)*POWER(Upgrades!$P$10,I310)*POWER(Upgrades!$P$11,J310)*POWER(Upgrades!$P$12,K310)*60</f>
        <v>75</v>
      </c>
      <c r="AF310" s="27" t="n">
        <f aca="false">Parameters!$B$9*POWER(Upgrades!$Q$6,E310)*POWER(Upgrades!$Q$7,F310)*POWER(Upgrades!$Q$8,G310)*POWER(Upgrades!$Q$9,H310)*POWER(Upgrades!$Q$10,I310)*POWER(Upgrades!$Q$11,J310)*POWER(Upgrades!$Q$12,K310)*(Parameters!$B$10*Parameters!$B$11+O310*60)</f>
        <v>120</v>
      </c>
      <c r="AG310" s="21" t="n">
        <f aca="false">IF(E310&gt;=Upgrades!$E$6,"",Upgrades!$C$6*POWER(Upgrades!$D$6,E310))</f>
        <v>37.4517507383159</v>
      </c>
      <c r="AH310" s="21" t="n">
        <f aca="false">IF(F310&gt;=Upgrades!$E$7,"",Upgrades!$C$7*POWER(Upgrades!$D$7,F310))</f>
        <v>80.9111547141581</v>
      </c>
      <c r="AI310" s="21" t="n">
        <f aca="false">IF(G310&gt;=Upgrades!$E$8,"",Upgrades!$C$8*POWER(Upgrades!$D$8,G310))</f>
        <v>231.9097088</v>
      </c>
      <c r="AJ310" s="21" t="str">
        <f aca="false">IF(H310&gt;=Upgrades!$E$9,"",Upgrades!$C$9*POWER(Upgrades!$D$9,H310))</f>
        <v/>
      </c>
      <c r="AK310" s="21" t="str">
        <f aca="false">IF(I310&gt;=Upgrades!$E$10,"",Upgrades!$C$10*POWER(Upgrades!$D$10,I310))</f>
        <v/>
      </c>
      <c r="AL310" s="21" t="str">
        <f aca="false">IF(J310&gt;=Upgrades!$E$11,"",Upgrades!$C$11*POWER(Upgrades!$D$11,J310))</f>
        <v/>
      </c>
      <c r="AM310" s="21" t="str">
        <f aca="false">IF(K310&gt;=Upgrades!$E$12,"",Upgrades!$C$12*POWER(Upgrades!$D$12,K310))</f>
        <v/>
      </c>
      <c r="AN310" s="26" t="str">
        <f aca="false">IF(AND(D310&gt;=Parameters!$B$18,(H310&gt;=Upgrades!$E$9)*(K310&gt;=Upgrades!$E$12)=1,L310=0),1,"")</f>
        <v/>
      </c>
      <c r="AO310" s="26" t="str">
        <f aca="false">IF(AND(D310&gt;=Parameters!$B$18,L310=0),1,"")</f>
        <v/>
      </c>
      <c r="AP310" s="21" t="n">
        <f aca="false">MIN(IF(ISNUMBER(AK310),AK310,9000000000000000),IF(ISNUMBER(AL310),AL310,9000000000000000),IF(ISNUMBER(AM310),AM310,9000000000000000))</f>
        <v>9000000000000000</v>
      </c>
      <c r="AQ310" s="21" t="n">
        <f aca="false">MIN(IF(ISNUMBER(AG310),AG310,9000000000000000),IF(ISNUMBER(AH310),AH310,9000000000000000),IF(ISNUMBER(AI310),AI310,9000000000000000),IF(ISNUMBER(AJ310),AJ310,9000000000000000))</f>
        <v>37.4517507383159</v>
      </c>
      <c r="AR310" s="32" t="b">
        <f aca="false">IF(AW310&gt;Parameters!$B$21*(MAX(IF(AND(NOT(AND(AO310=1,AN310&lt;&gt;1)),ISNUMBER(AG310),AG310&lt;=T310),AS310,0),IF(AND(NOT(AND(AO310=1,AN310&lt;&gt;1)),ISNUMBER(AH310),AH310&lt;=T310),AT310,0),IF(AND(NOT(AND(AO310=1,AN310&lt;&gt;1)),ISNUMBER(AI310),AI310&lt;=T310),AU310,0),IF(AND(ISNUMBER(AJ310),AJ310&lt;=T310),AV310,0))),TRUE(),FALSE())</f>
        <v>1</v>
      </c>
      <c r="AS310" s="33" t="n">
        <f aca="false">IFERROR(Upgrades!$H$6*(POWER(Upgrades!$P$6,E310)*POWER(Upgrades!$P$7,F310)*POWER(Upgrades!$P$8,G310)*POWER(Upgrades!$P$9,H310)*POWER(Upgrades!$P$10,I310)*POWER(Upgrades!$P$11,J310)*POWER(Upgrades!$P$12,K310))*(IF(Upgrades!$T$7="Solar Wind",POWER(Upgrades!$U$7,F310),1)*IF(Upgrades!$T$8="Solar Wind",POWER(Upgrades!$U$8,G310),1)*IF(Upgrades!$T$9="Solar Wind",POWER(Upgrades!$U$9,H310),1)*IF(Upgrades!$T$10="Solar Wind",POWER(Upgrades!$U$10,I310),1)*IF(Upgrades!$T$11="Solar Wind",POWER(Upgrades!$U$11,J310),1)*IF(Upgrades!$T$12="Solar Wind",POWER(Upgrades!$U$12,K310),1))/AG310,0)</f>
        <v>0.0026701021455238</v>
      </c>
      <c r="AT310" s="33" t="n">
        <f aca="false">IFERROR(Upgrades!$H$7*(POWER(Upgrades!$P$6,E310)*POWER(Upgrades!$P$7,F310)*POWER(Upgrades!$P$8,G310)*POWER(Upgrades!$P$9,H310)*POWER(Upgrades!$P$10,I310)*POWER(Upgrades!$P$11,J310)*POWER(Upgrades!$P$12,K310))*(IF(Upgrades!$T$6="Asteroid Belt",POWER(Upgrades!$U$6,E310),1)*IF(Upgrades!$T$8="Asteroid Belt",POWER(Upgrades!$U$8,G310),1)*IF(Upgrades!$T$9="Asteroid Belt",POWER(Upgrades!$U$9,H310),1)*IF(Upgrades!$T$10="Asteroid Belt",POWER(Upgrades!$U$10,I310),1)*IF(Upgrades!$T$11="Asteroid Belt",POWER(Upgrades!$U$11,J310),1)*IF(Upgrades!$T$12="Asteroid Belt",POWER(Upgrades!$U$12,K310),1))/AH310,0)</f>
        <v>0.00308980882652332</v>
      </c>
      <c r="AU310" s="33" t="n">
        <f aca="false">IFERROR(Upgrades!$K$8*(POWER(Upgrades!$Q$6,E310)*POWER(Upgrades!$Q$7,F310)*POWER(Upgrades!$Q$8,G310)*POWER(Upgrades!$Q$9,H310)*POWER(Upgrades!$Q$10,I310)*POWER(Upgrades!$Q$11,J310)*POWER(Upgrades!$Q$12,K310))*(IF(Upgrades!$T$6="Stellar Coupling",POWER(Upgrades!$U$6,E310),1)*IF(Upgrades!$T$7="Stellar Coupling",POWER(Upgrades!$U$7,F310),1)*IF(Upgrades!$T$9="Stellar Coupling",POWER(Upgrades!$U$9,H310),1)*IF(Upgrades!$T$10="Stellar Coupling",POWER(Upgrades!$U$10,I310),1)*IF(Upgrades!$T$11="Stellar Coupling",POWER(Upgrades!$U$11,J310),1)*IF(Upgrades!$T$12="Stellar Coupling",POWER(Upgrades!$U$12,K310),1))*Parameters!$B$10*Parameters!$B$11/60/AI310,0)</f>
        <v>0.00452762415783776</v>
      </c>
      <c r="AV310" s="33" t="n">
        <f aca="false">IFERROR(Upgrades!$H$9*(POWER(Upgrades!$P$6,E310)*POWER(Upgrades!$P$7,F310)*POWER(Upgrades!$P$8,G310)*POWER(Upgrades!$P$9,H310)*POWER(Upgrades!$P$10,I310)*POWER(Upgrades!$P$11,J310)*POWER(Upgrades!$P$12,K310))*(IF(Upgrades!$T$6="Magnetosphere",POWER(Upgrades!$U$6,E310),1)*IF(Upgrades!$T$7="Magnetosphere",POWER(Upgrades!$U$7,F310),1)*IF(Upgrades!$T$8="Magnetosphere",POWER(Upgrades!$U$8,G310),1)*IF(Upgrades!$T$10="Magnetosphere",POWER(Upgrades!$U$10,I310),1)*IF(Upgrades!$T$11="Magnetosphere",POWER(Upgrades!$U$11,J310),1)*IF(Upgrades!$T$12="Magnetosphere",POWER(Upgrades!$U$12,K310),1))/AJ310,0)</f>
        <v>0</v>
      </c>
      <c r="AW310" s="33" t="n">
        <f aca="false">MAX(IF(I310&gt;0,0,IFERROR(0.25*N310/Upgrades!$C$10,0)),IF(J310&gt;0,0,IFERROR(0.5*((IF(G310=0,0,(Upgrades!$J$8+G310*Upgrades!$K$8)*POWER(Upgrades!$L$8,G310)))*(IF(Upgrades!$T$6="Stellar Coupling",POWER(Upgrades!$U$6,E310),1)*IF(Upgrades!$T$7="Stellar Coupling",POWER(Upgrades!$U$7,F310),1)*IF(Upgrades!$T$9="Stellar Coupling",POWER(Upgrades!$U$9,H310),1)*IF(Upgrades!$T$10="Stellar Coupling",POWER(Upgrades!$U$10,I310),1)*IF(Upgrades!$T$11="Stellar Coupling",POWER(Upgrades!$U$11,J310),1)*IF(Upgrades!$T$12="Stellar Coupling",POWER(Upgrades!$U$12,K310),1))*(POWER(Upgrades!$Q$6,E310)*POWER(Upgrades!$Q$7,F310)*POWER(Upgrades!$Q$8,G310)*POWER(Upgrades!$Q$9,H310)*POWER(Upgrades!$Q$10,I310)*POWER(Upgrades!$Q$11,J310)*POWER(Upgrades!$Q$12,K310))*Parameters!$B$10*Parameters!$B$11/60)/Upgrades!$C$11,0)),IF(K310&gt;0,0,IFERROR((1*(POWER(Upgrades!$P$6,E310)*POWER(Upgrades!$P$7,F310)*POWER(Upgrades!$P$8,G310)*POWER(Upgrades!$P$9,H310)*POWER(Upgrades!$P$10,I310)*POWER(Upgrades!$P$11,J310)*POWER(Upgrades!$P$12,K310))+0.2*M310*Parameters!$B$10*Parameters!$B$11/60)/Upgrades!$C$12,0)),IF(AND(ISNUMBER(AG310),AG310&gt;T310),AS310,0),IF(AND(ISNUMBER(AH310),AH310&gt;T310),AT310,0),IF(AND(ISNUMBER(AI310),AI310&gt;T310),AU310,0),IF(AND(ISNUMBER(AJ310),AJ310&gt;T310),AV310,0))</f>
        <v>0.00452762415783776</v>
      </c>
      <c r="AX310" s="29" t="str">
        <f aca="false">IF(AN310=1,"transition",IF(MIN(IF(AND(I310=0,ISNUMBER(AK310),AK310&lt;=T310),AK310,9000000000000000),IF(AND(J310=0,ISNUMBER(AL310),AL310&lt;=T310),AL310,9000000000000000),IF(AND(K310=0,ISNUMBER(AM310),AM310&lt;=T310),AM310,9000000000000000))&lt;9000000000000000,IF(AND(AND(I310=0,ISNUMBER(AK310),AK310&lt;=T310),AK310=MIN(IF(AND(I310=0,ISNUMBER(AK310),AK310&lt;=T310),AK310,9000000000000000),IF(AND(J310=0,ISNUMBER(AL310),AL310&lt;=T310),AL310,9000000000000000),IF(AND(K310=0,ISNUMBER(AM310),AM310&lt;=T310),AM310,9000000000000000))),"OR",IF(AND(AND(J310=0,ISNUMBER(AL310),AL310&lt;=T310),AL310=MIN(IF(AND(I310=0,ISNUMBER(AK310),AK310&lt;=T310),AK310,9000000000000000),IF(AND(J310=0,ISNUMBER(AL310),AL310&lt;=T310),AL310,9000000000000000),IF(AND(K310=0,ISNUMBER(AM310),AM310&lt;=T310),AM310,9000000000000000))),"HP","FP")),IF(AR310=TRUE(),"",IF(MAX(IF(AND(NOT(AND(AO310=1,AN310&lt;&gt;1)),ISNUMBER(AG310),AG310&lt;=T310),AS310,0),IF(AND(NOT(AND(AO310=1,AN310&lt;&gt;1)),ISNUMBER(AH310),AH310&lt;=T310),AT310,0),IF(AND(NOT(AND(AO310=1,AN310&lt;&gt;1)),ISNUMBER(AI310),AI310&lt;=T310),AU310,0),IF(AND(ISNUMBER(AJ310),AJ310&lt;=T310),AV310,0))&lt;=0,"",IF(AND(IF(AND(NOT(AND(AO310=1,AN310&lt;&gt;1)),ISNUMBER(AG310),AG310&lt;=T310),AS310,0)&gt;0,IF(AND(NOT(AND(AO310=1,AN310&lt;&gt;1)),ISNUMBER(AG310),AG310&lt;=T310),AS310,0)=MAX(IF(AND(NOT(AND(AO310=1,AN310&lt;&gt;1)),ISNUMBER(AG310),AG310&lt;=T310),AS310,0),IF(AND(NOT(AND(AO310=1,AN310&lt;&gt;1)),ISNUMBER(AH310),AH310&lt;=T310),AT310,0),IF(AND(NOT(AND(AO310=1,AN310&lt;&gt;1)),ISNUMBER(AI310),AI310&lt;=T310),AU310,0),IF(AND(ISNUMBER(AJ310),AJ310&lt;=T310),AV310,0))),"SW",IF(AND(IF(AND(NOT(AND(AO310=1,AN310&lt;&gt;1)),ISNUMBER(AH310),AH310&lt;=T310),AT310,0)&gt;0,IF(AND(NOT(AND(AO310=1,AN310&lt;&gt;1)),ISNUMBER(AH310),AH310&lt;=T310),AT310,0)=MAX(IF(AND(NOT(AND(AO310=1,AN310&lt;&gt;1)),ISNUMBER(AG310),AG310&lt;=T310),AS310,0),IF(AND(NOT(AND(AO310=1,AN310&lt;&gt;1)),ISNUMBER(AH310),AH310&lt;=T310),AT310,0),IF(AND(NOT(AND(AO310=1,AN310&lt;&gt;1)),ISNUMBER(AI310),AI310&lt;=T310),AU310,0),IF(AND(ISNUMBER(AJ310),AJ310&lt;=T310),AV310,0))),"AB",IF(AND(IF(AND(NOT(AND(AO310=1,AN310&lt;&gt;1)),ISNUMBER(AI310),AI310&lt;=T310),AU310,0)&gt;0,IF(AND(NOT(AND(AO310=1,AN310&lt;&gt;1)),ISNUMBER(AI310),AI310&lt;=T310),AU310,0)=MAX(IF(AND(NOT(AND(AO310=1,AN310&lt;&gt;1)),ISNUMBER(AG310),AG310&lt;=T310),AS310,0),IF(AND(NOT(AND(AO310=1,AN310&lt;&gt;1)),ISNUMBER(AH310),AH310&lt;=T310),AT310,0),IF(AND(NOT(AND(AO310=1,AN310&lt;&gt;1)),ISNUMBER(AI310),AI310&lt;=T310),AU310,0),IF(AND(ISNUMBER(AJ310),AJ310&lt;=T310),AV310,0))),"SC","Mag")))))))</f>
        <v/>
      </c>
    </row>
    <row r="311" customFormat="false" ht="15" hidden="false" customHeight="false" outlineLevel="0" collapsed="false">
      <c r="A311" s="26" t="n">
        <v>306</v>
      </c>
      <c r="B311" s="27" t="n">
        <f aca="false">A311*10/60</f>
        <v>51</v>
      </c>
      <c r="C311" s="21" t="n">
        <f aca="false">X310</f>
        <v>18.6730249835055</v>
      </c>
      <c r="D311" s="27" t="n">
        <f aca="false">D310+W310</f>
        <v>0</v>
      </c>
      <c r="E311" s="26" t="n">
        <f aca="false">E310+IF(U310="SW",1,0)</f>
        <v>12</v>
      </c>
      <c r="F311" s="26" t="n">
        <f aca="false">F310+IF(U310="AB",1,0)</f>
        <v>10</v>
      </c>
      <c r="G311" s="26" t="n">
        <f aca="false">G310+IF(U310="SC",1,0)</f>
        <v>7</v>
      </c>
      <c r="H311" s="26" t="n">
        <f aca="false">H310+IF(U310="Mag",1,0)</f>
        <v>5</v>
      </c>
      <c r="I311" s="26" t="n">
        <f aca="false">MAX(I310,IF(U310="OR",1,0))</f>
        <v>1</v>
      </c>
      <c r="J311" s="26" t="n">
        <f aca="false">MAX(J310,IF(U310="HP",1,0))</f>
        <v>1</v>
      </c>
      <c r="K311" s="26" t="n">
        <f aca="false">MAX(K310,IF(U310="FP",1,0))</f>
        <v>1</v>
      </c>
      <c r="L311" s="26" t="n">
        <f aca="false">MAX(L310,IF(U310="transition",1,0))</f>
        <v>1</v>
      </c>
      <c r="M311" s="28" t="n">
        <f aca="false">(Parameters!$B$9+(IF(E311=0,0,(Upgrades!$J$6+E311*Upgrades!$K$6)*POWER(Upgrades!$L$6,E311)))*(IF(Upgrades!$T$7="Solar Wind",POWER(Upgrades!$U$7,F311),1)*IF(Upgrades!$T$8="Solar Wind",POWER(Upgrades!$U$8,G311),1)*IF(Upgrades!$T$9="Solar Wind",POWER(Upgrades!$U$9,H311),1)*IF(Upgrades!$T$10="Solar Wind",POWER(Upgrades!$U$10,I311),1)*IF(Upgrades!$T$11="Solar Wind",POWER(Upgrades!$U$11,J311),1)*IF(Upgrades!$T$12="Solar Wind",POWER(Upgrades!$U$12,K311),1))+(IF(F311=0,0,(Upgrades!$J$7+F311*Upgrades!$K$7)*POWER(Upgrades!$L$7,F311)))*(IF(Upgrades!$T$6="Asteroid Belt",POWER(Upgrades!$U$6,E311),1)*IF(Upgrades!$T$8="Asteroid Belt",POWER(Upgrades!$U$8,G311),1)*IF(Upgrades!$T$9="Asteroid Belt",POWER(Upgrades!$U$9,H311),1)*IF(Upgrades!$T$10="Asteroid Belt",POWER(Upgrades!$U$10,I311),1)*IF(Upgrades!$T$11="Asteroid Belt",POWER(Upgrades!$U$11,J311),1)*IF(Upgrades!$T$12="Asteroid Belt",POWER(Upgrades!$U$12,K311),1))+(IF(G311=0,0,(Upgrades!$J$8+G311*Upgrades!$K$8)*POWER(Upgrades!$L$8,G311)))*(IF(Upgrades!$T$6="Stellar Coupling",POWER(Upgrades!$U$6,E311),1)*IF(Upgrades!$T$7="Stellar Coupling",POWER(Upgrades!$U$7,F311),1)*IF(Upgrades!$T$9="Stellar Coupling",POWER(Upgrades!$U$9,H311),1)*IF(Upgrades!$T$10="Stellar Coupling",POWER(Upgrades!$U$10,I311),1)*IF(Upgrades!$T$11="Stellar Coupling",POWER(Upgrades!$U$11,J311),1)*IF(Upgrades!$T$12="Stellar Coupling",POWER(Upgrades!$U$12,K311),1))+(IF(H311=0,0,(Upgrades!$J$9+H311*Upgrades!$K$9)*POWER(Upgrades!$L$9,H311)))*(IF(Upgrades!$T$6="Magnetosphere",POWER(Upgrades!$U$6,E311),1)*IF(Upgrades!$T$7="Magnetosphere",POWER(Upgrades!$U$7,F311),1)*IF(Upgrades!$T$8="Magnetosphere",POWER(Upgrades!$U$8,G311),1)*IF(Upgrades!$T$10="Magnetosphere",POWER(Upgrades!$U$10,I311),1)*IF(Upgrades!$T$11="Magnetosphere",POWER(Upgrades!$U$11,J311),1)*IF(Upgrades!$T$12="Magnetosphere",POWER(Upgrades!$U$12,K311),1))+(IF(I311=0,0,(Upgrades!$J$10+I311*Upgrades!$K$10)*POWER(Upgrades!$L$10,I311)))*(IF(Upgrades!$T$6="Orbital Resonance",POWER(Upgrades!$U$6,E311),1)*IF(Upgrades!$T$7="Orbital Resonance",POWER(Upgrades!$U$7,F311),1)*IF(Upgrades!$T$8="Orbital Resonance",POWER(Upgrades!$U$8,G311),1)*IF(Upgrades!$T$9="Orbital Resonance",POWER(Upgrades!$U$9,H311),1)*IF(Upgrades!$T$11="Orbital Resonance",POWER(Upgrades!$U$11,J311),1)*IF(Upgrades!$T$12="Orbital Resonance",POWER(Upgrades!$U$12,K311),1))+(IF(J311=0,0,(Upgrades!$J$11+J311*Upgrades!$K$11)*POWER(Upgrades!$L$11,J311)))*(IF(Upgrades!$T$6="Heliopause",POWER(Upgrades!$U$6,E311),1)*IF(Upgrades!$T$7="Heliopause",POWER(Upgrades!$U$7,F311),1)*IF(Upgrades!$T$8="Heliopause",POWER(Upgrades!$U$8,G311),1)*IF(Upgrades!$T$9="Heliopause",POWER(Upgrades!$U$9,H311),1)*IF(Upgrades!$T$10="Heliopause",POWER(Upgrades!$U$10,I311),1)*IF(Upgrades!$T$12="Heliopause",POWER(Upgrades!$U$12,K311),1))+(IF(K311=0,0,(Upgrades!$J$12+K311*Upgrades!$K$12)*POWER(Upgrades!$L$12,K311)))*(IF(Upgrades!$T$6="First Photons",POWER(Upgrades!$U$6,E311),1)*IF(Upgrades!$T$7="First Photons",POWER(Upgrades!$U$7,F311),1)*IF(Upgrades!$T$8="First Photons",POWER(Upgrades!$U$8,G311),1)*IF(Upgrades!$T$9="First Photons",POWER(Upgrades!$U$9,H311),1)*IF(Upgrades!$T$10="First Photons",POWER(Upgrades!$U$10,I311),1)*IF(Upgrades!$T$11="First Photons",POWER(Upgrades!$U$11,J311),1)))*POWER(Upgrades!$Q$6,E311)*POWER(Upgrades!$Q$7,F311)*POWER(Upgrades!$Q$8,G311)*POWER(Upgrades!$Q$9,H311)*POWER(Upgrades!$Q$10,I311)*POWER(Upgrades!$Q$11,J311)*POWER(Upgrades!$Q$12,K311)</f>
        <v>5.61</v>
      </c>
      <c r="N311" s="28" t="n">
        <f aca="false">((IF(E311=0,0,(Upgrades!$G$6+E311*Upgrades!$H$6)*POWER(Upgrades!$I$6,E311)))*(IF(Upgrades!$T$7="Solar Wind",POWER(Upgrades!$U$7,F311),1)*IF(Upgrades!$T$8="Solar Wind",POWER(Upgrades!$U$8,G311),1)*IF(Upgrades!$T$9="Solar Wind",POWER(Upgrades!$U$9,H311),1)*IF(Upgrades!$T$10="Solar Wind",POWER(Upgrades!$U$10,I311),1)*IF(Upgrades!$T$11="Solar Wind",POWER(Upgrades!$U$11,J311),1)*IF(Upgrades!$T$12="Solar Wind",POWER(Upgrades!$U$12,K311),1))+(IF(F311=0,0,(Upgrades!$G$7+F311*Upgrades!$H$7)*POWER(Upgrades!$I$7,F311)))*(IF(Upgrades!$T$6="Asteroid Belt",POWER(Upgrades!$U$6,E311),1)*IF(Upgrades!$T$8="Asteroid Belt",POWER(Upgrades!$U$8,G311),1)*IF(Upgrades!$T$9="Asteroid Belt",POWER(Upgrades!$U$9,H311),1)*IF(Upgrades!$T$10="Asteroid Belt",POWER(Upgrades!$U$10,I311),1)*IF(Upgrades!$T$11="Asteroid Belt",POWER(Upgrades!$U$11,J311),1)*IF(Upgrades!$T$12="Asteroid Belt",POWER(Upgrades!$U$12,K311),1))+(IF(G311=0,0,(Upgrades!$G$8+G311*Upgrades!$H$8)*POWER(Upgrades!$I$8,G311)))*(IF(Upgrades!$T$6="Stellar Coupling",POWER(Upgrades!$U$6,E311),1)*IF(Upgrades!$T$7="Stellar Coupling",POWER(Upgrades!$U$7,F311),1)*IF(Upgrades!$T$9="Stellar Coupling",POWER(Upgrades!$U$9,H311),1)*IF(Upgrades!$T$10="Stellar Coupling",POWER(Upgrades!$U$10,I311),1)*IF(Upgrades!$T$11="Stellar Coupling",POWER(Upgrades!$U$11,J311),1)*IF(Upgrades!$T$12="Stellar Coupling",POWER(Upgrades!$U$12,K311),1))+(IF(H311=0,0,(Upgrades!$G$9+H311*Upgrades!$H$9)*POWER(Upgrades!$I$9,H311)))*(IF(Upgrades!$T$6="Magnetosphere",POWER(Upgrades!$U$6,E311),1)*IF(Upgrades!$T$7="Magnetosphere",POWER(Upgrades!$U$7,F311),1)*IF(Upgrades!$T$8="Magnetosphere",POWER(Upgrades!$U$8,G311),1)*IF(Upgrades!$T$10="Magnetosphere",POWER(Upgrades!$U$10,I311),1)*IF(Upgrades!$T$11="Magnetosphere",POWER(Upgrades!$U$11,J311),1)*IF(Upgrades!$T$12="Magnetosphere",POWER(Upgrades!$U$12,K311),1))+(IF(I311=0,0,(Upgrades!$G$10+I311*Upgrades!$H$10)*POWER(Upgrades!$I$10,I311)))*(IF(Upgrades!$T$6="Orbital Resonance",POWER(Upgrades!$U$6,E311),1)*IF(Upgrades!$T$7="Orbital Resonance",POWER(Upgrades!$U$7,F311),1)*IF(Upgrades!$T$8="Orbital Resonance",POWER(Upgrades!$U$8,G311),1)*IF(Upgrades!$T$9="Orbital Resonance",POWER(Upgrades!$U$9,H311),1)*IF(Upgrades!$T$11="Orbital Resonance",POWER(Upgrades!$U$11,J311),1)*IF(Upgrades!$T$12="Orbital Resonance",POWER(Upgrades!$U$12,K311),1))+(IF(J311=0,0,(Upgrades!$G$11+J311*Upgrades!$H$11)*POWER(Upgrades!$I$11,J311)))*(IF(Upgrades!$T$6="Heliopause",POWER(Upgrades!$U$6,E311),1)*IF(Upgrades!$T$7="Heliopause",POWER(Upgrades!$U$7,F311),1)*IF(Upgrades!$T$8="Heliopause",POWER(Upgrades!$U$8,G311),1)*IF(Upgrades!$T$9="Heliopause",POWER(Upgrades!$U$9,H311),1)*IF(Upgrades!$T$10="Heliopause",POWER(Upgrades!$U$10,I311),1)*IF(Upgrades!$T$12="Heliopause",POWER(Upgrades!$U$12,K311),1))+(IF(K311=0,0,(Upgrades!$G$12+K311*Upgrades!$H$12)*POWER(Upgrades!$I$12,K311)))*(IF(Upgrades!$T$6="First Photons",POWER(Upgrades!$U$6,E311),1)*IF(Upgrades!$T$7="First Photons",POWER(Upgrades!$U$7,F311),1)*IF(Upgrades!$T$8="First Photons",POWER(Upgrades!$U$8,G311),1)*IF(Upgrades!$T$9="First Photons",POWER(Upgrades!$U$9,H311),1)*IF(Upgrades!$T$10="First Photons",POWER(Upgrades!$U$10,I311),1)*IF(Upgrades!$T$11="First Photons",POWER(Upgrades!$U$11,J311),1)))*POWER(Upgrades!$P$6,E311)*POWER(Upgrades!$P$7,F311)*POWER(Upgrades!$P$8,G311)*POWER(Upgrades!$P$9,H311)*POWER(Upgrades!$P$10,I311)*POWER(Upgrades!$P$11,J311)*POWER(Upgrades!$P$12,K311)</f>
        <v>11.2</v>
      </c>
      <c r="O311" s="28" t="n">
        <f aca="false">((IF(E311=0,0,(Upgrades!$M$6+E311*Upgrades!$N$6)*POWER(Upgrades!$O$6,E311)))*(IF(Upgrades!$T$7="Solar Wind",POWER(Upgrades!$U$7,F311),1)*IF(Upgrades!$T$8="Solar Wind",POWER(Upgrades!$U$8,G311),1)*IF(Upgrades!$T$9="Solar Wind",POWER(Upgrades!$U$9,H311),1)*IF(Upgrades!$T$10="Solar Wind",POWER(Upgrades!$U$10,I311),1)*IF(Upgrades!$T$11="Solar Wind",POWER(Upgrades!$U$11,J311),1)*IF(Upgrades!$T$12="Solar Wind",POWER(Upgrades!$U$12,K311),1))+(IF(F311=0,0,(Upgrades!$M$7+F311*Upgrades!$N$7)*POWER(Upgrades!$O$7,F311)))*(IF(Upgrades!$T$6="Asteroid Belt",POWER(Upgrades!$U$6,E311),1)*IF(Upgrades!$T$8="Asteroid Belt",POWER(Upgrades!$U$8,G311),1)*IF(Upgrades!$T$9="Asteroid Belt",POWER(Upgrades!$U$9,H311),1)*IF(Upgrades!$T$10="Asteroid Belt",POWER(Upgrades!$U$10,I311),1)*IF(Upgrades!$T$11="Asteroid Belt",POWER(Upgrades!$U$11,J311),1)*IF(Upgrades!$T$12="Asteroid Belt",POWER(Upgrades!$U$12,K311),1))+(IF(G311=0,0,(Upgrades!$M$8+G311*Upgrades!$N$8)*POWER(Upgrades!$O$8,G311)))*(IF(Upgrades!$T$6="Stellar Coupling",POWER(Upgrades!$U$6,E311),1)*IF(Upgrades!$T$7="Stellar Coupling",POWER(Upgrades!$U$7,F311),1)*IF(Upgrades!$T$9="Stellar Coupling",POWER(Upgrades!$U$9,H311),1)*IF(Upgrades!$T$10="Stellar Coupling",POWER(Upgrades!$U$10,I311),1)*IF(Upgrades!$T$11="Stellar Coupling",POWER(Upgrades!$U$11,J311),1)*IF(Upgrades!$T$12="Stellar Coupling",POWER(Upgrades!$U$12,K311),1))+(IF(H311=0,0,(Upgrades!$M$9+H311*Upgrades!$N$9)*POWER(Upgrades!$O$9,H311)))*(IF(Upgrades!$T$6="Magnetosphere",POWER(Upgrades!$U$6,E311),1)*IF(Upgrades!$T$7="Magnetosphere",POWER(Upgrades!$U$7,F311),1)*IF(Upgrades!$T$8="Magnetosphere",POWER(Upgrades!$U$8,G311),1)*IF(Upgrades!$T$10="Magnetosphere",POWER(Upgrades!$U$10,I311),1)*IF(Upgrades!$T$11="Magnetosphere",POWER(Upgrades!$U$11,J311),1)*IF(Upgrades!$T$12="Magnetosphere",POWER(Upgrades!$U$12,K311),1))+(IF(I311=0,0,(Upgrades!$M$10+I311*Upgrades!$N$10)*POWER(Upgrades!$O$10,I311)))*(IF(Upgrades!$T$6="Orbital Resonance",POWER(Upgrades!$U$6,E311),1)*IF(Upgrades!$T$7="Orbital Resonance",POWER(Upgrades!$U$7,F311),1)*IF(Upgrades!$T$8="Orbital Resonance",POWER(Upgrades!$U$8,G311),1)*IF(Upgrades!$T$9="Orbital Resonance",POWER(Upgrades!$U$9,H311),1)*IF(Upgrades!$T$11="Orbital Resonance",POWER(Upgrades!$U$11,J311),1)*IF(Upgrades!$T$12="Orbital Resonance",POWER(Upgrades!$U$12,K311),1))+(IF(J311=0,0,(Upgrades!$M$11+J311*Upgrades!$N$11)*POWER(Upgrades!$O$11,J311)))*(IF(Upgrades!$T$6="Heliopause",POWER(Upgrades!$U$6,E311),1)*IF(Upgrades!$T$7="Heliopause",POWER(Upgrades!$U$7,F311),1)*IF(Upgrades!$T$8="Heliopause",POWER(Upgrades!$U$8,G311),1)*IF(Upgrades!$T$9="Heliopause",POWER(Upgrades!$U$9,H311),1)*IF(Upgrades!$T$10="Heliopause",POWER(Upgrades!$U$10,I311),1)*IF(Upgrades!$T$12="Heliopause",POWER(Upgrades!$U$12,K311),1))+(IF(K311=0,0,(Upgrades!$M$12+K311*Upgrades!$N$12)*POWER(Upgrades!$O$12,K311)))*(IF(Upgrades!$T$6="First Photons",POWER(Upgrades!$U$6,E311),1)*IF(Upgrades!$T$7="First Photons",POWER(Upgrades!$U$7,F311),1)*IF(Upgrades!$T$8="First Photons",POWER(Upgrades!$U$8,G311),1)*IF(Upgrades!$T$9="First Photons",POWER(Upgrades!$U$9,H311),1)*IF(Upgrades!$T$10="First Photons",POWER(Upgrades!$U$10,I311),1)*IF(Upgrades!$T$11="First Photons",POWER(Upgrades!$U$11,J311),1)))*POWER(Upgrades!$R$6,E311)*POWER(Upgrades!$R$7,F311)*POWER(Upgrades!$R$8,G311)*POWER(Upgrades!$R$9,H311)*POWER(Upgrades!$R$10,I311)*POWER(Upgrades!$R$11,J311)*POWER(Upgrades!$R$12,K311)</f>
        <v>0</v>
      </c>
      <c r="P311" s="27" t="n">
        <f aca="false">IF(L311=1,0,M311*Parameters!$B$10/60*Parameters!$B$11*10)</f>
        <v>0</v>
      </c>
      <c r="Q311" s="27" t="n">
        <f aca="false">IF(L311=1,0,O311*M311*10)</f>
        <v>0</v>
      </c>
      <c r="R311" s="27" t="n">
        <f aca="false">IF(L311=1,0,N311*10)</f>
        <v>0</v>
      </c>
      <c r="S311" s="27" t="n">
        <f aca="false">P311+Q311+R311</f>
        <v>0</v>
      </c>
      <c r="T311" s="21" t="n">
        <f aca="false">C311+S311</f>
        <v>18.6730249835055</v>
      </c>
      <c r="U311" s="34" t="str">
        <f aca="false">AX311</f>
        <v/>
      </c>
      <c r="V311" s="21" t="n">
        <f aca="false">IF(U311="",0,IF(U311="transition",0,IF(U311="SW",AG311,IF(U311="AB",AH311,IF(U311="SC",AI311,IF(U311="Mag",AJ311,IF(U311="OR",AK311,IF(U311="HP",AL311,IF(U311="FP",AM311,0)))))))))</f>
        <v>0</v>
      </c>
      <c r="W311" s="27" t="n">
        <f aca="false">IF(U311="OR",Upgrades!$F$10,IF(U311="HP",Upgrades!$F$11,IF(U311="transition",-Parameters!$B$18,0)))</f>
        <v>0</v>
      </c>
      <c r="X311" s="21" t="n">
        <f aca="false">T311-V311</f>
        <v>18.6730249835055</v>
      </c>
      <c r="Y311" s="30" t="n">
        <f aca="false">M311*Parameters!$B$10/60*Parameters!$B$11+O311*M311+N311</f>
        <v>20.55</v>
      </c>
      <c r="Z311" s="35" t="str">
        <f aca="false">IF(U311="transition","→ Tier 2 (Stellar Neighborhood)",IF(U311="FP","First Photons — light begins, system quickens",IF(U311="HP","Heliopause acquired",IF(U311="OR","Orbital Resonance — passive multiplier active",IF(AND(AO311=1,L311=0,AN311&lt;&gt;1),"Cohesion ready (waiting on completionist upgrades)","")))))</f>
        <v/>
      </c>
      <c r="AA311" s="27" t="n">
        <f aca="false">(IF(E311=0,0,(Upgrades!$G$6+E311*Upgrades!$H$6)*POWER(Upgrades!$I$6,E311)))*(IF(Upgrades!$T$7="Solar Wind",POWER(Upgrades!$U$7,F311),1)*IF(Upgrades!$T$8="Solar Wind",POWER(Upgrades!$U$8,G311),1)*IF(Upgrades!$T$9="Solar Wind",POWER(Upgrades!$U$9,H311),1)*IF(Upgrades!$T$10="Solar Wind",POWER(Upgrades!$U$10,I311),1)*IF(Upgrades!$T$11="Solar Wind",POWER(Upgrades!$U$11,J311),1)*IF(Upgrades!$T$12="Solar Wind",POWER(Upgrades!$U$12,K311),1))*POWER(Upgrades!$P$6,E311)*POWER(Upgrades!$P$7,F311)*POWER(Upgrades!$P$8,G311)*POWER(Upgrades!$P$9,H311)*POWER(Upgrades!$P$10,I311)*POWER(Upgrades!$P$11,J311)*POWER(Upgrades!$P$12,K311)*60</f>
        <v>72</v>
      </c>
      <c r="AB311" s="27" t="n">
        <f aca="false">(IF(F311=0,0,(Upgrades!$G$7+F311*Upgrades!$H$7)*POWER(Upgrades!$I$7,F311)))*(IF(Upgrades!$T$6="Asteroid Belt",POWER(Upgrades!$U$6,E311),1)*IF(Upgrades!$T$8="Asteroid Belt",POWER(Upgrades!$U$8,G311),1)*IF(Upgrades!$T$9="Asteroid Belt",POWER(Upgrades!$U$9,H311),1)*IF(Upgrades!$T$10="Asteroid Belt",POWER(Upgrades!$U$10,I311),1)*IF(Upgrades!$T$11="Asteroid Belt",POWER(Upgrades!$U$11,J311),1)*IF(Upgrades!$T$12="Asteroid Belt",POWER(Upgrades!$U$12,K311),1))*POWER(Upgrades!$P$6,E311)*POWER(Upgrades!$P$7,F311)*POWER(Upgrades!$P$8,G311)*POWER(Upgrades!$P$9,H311)*POWER(Upgrades!$P$10,I311)*POWER(Upgrades!$P$11,J311)*POWER(Upgrades!$P$12,K311)*60</f>
        <v>150</v>
      </c>
      <c r="AC311" s="27" t="n">
        <f aca="false">(IF(G311=0,0,(Upgrades!$J$8+G311*Upgrades!$K$8)*POWER(Upgrades!$L$8,G311)))*(IF(Upgrades!$T$6="Stellar Coupling",POWER(Upgrades!$U$6,E311),1)*IF(Upgrades!$T$7="Stellar Coupling",POWER(Upgrades!$U$7,F311),1)*IF(Upgrades!$T$9="Stellar Coupling",POWER(Upgrades!$U$9,H311),1)*IF(Upgrades!$T$10="Stellar Coupling",POWER(Upgrades!$U$10,I311),1)*IF(Upgrades!$T$11="Stellar Coupling",POWER(Upgrades!$U$11,J311),1)*IF(Upgrades!$T$12="Stellar Coupling",POWER(Upgrades!$U$12,K311),1))*POWER(Upgrades!$Q$6,E311)*POWER(Upgrades!$Q$7,F311)*POWER(Upgrades!$Q$8,G311)*POWER(Upgrades!$Q$9,H311)*POWER(Upgrades!$Q$10,I311)*POWER(Upgrades!$Q$11,J311)*POWER(Upgrades!$Q$12,K311)*Parameters!$B$10*Parameters!$B$11</f>
        <v>441</v>
      </c>
      <c r="AD311" s="27" t="n">
        <f aca="false">(IF(H311=0,0,(Upgrades!$G$9+H311*Upgrades!$H$9)*POWER(Upgrades!$I$9,H311)))*(IF(Upgrades!$T$6="Magnetosphere",POWER(Upgrades!$U$6,E311),1)*IF(Upgrades!$T$7="Magnetosphere",POWER(Upgrades!$U$7,F311),1)*IF(Upgrades!$T$8="Magnetosphere",POWER(Upgrades!$U$8,G311),1)*IF(Upgrades!$T$10="Magnetosphere",POWER(Upgrades!$U$10,I311),1)*IF(Upgrades!$T$11="Magnetosphere",POWER(Upgrades!$U$11,J311),1)*IF(Upgrades!$T$12="Magnetosphere",POWER(Upgrades!$U$12,K311),1))*POWER(Upgrades!$P$6,E311)*POWER(Upgrades!$P$7,F311)*POWER(Upgrades!$P$8,G311)*POWER(Upgrades!$P$9,H311)*POWER(Upgrades!$P$10,I311)*POWER(Upgrades!$P$11,J311)*POWER(Upgrades!$P$12,K311)*60</f>
        <v>375</v>
      </c>
      <c r="AE311" s="27" t="n">
        <f aca="false">(IF(K311=0,0,(Upgrades!$G$12+K311*Upgrades!$H$12)*POWER(Upgrades!$I$12,K311)))*(IF(Upgrades!$T$6="First Photons",POWER(Upgrades!$U$6,E311),1)*IF(Upgrades!$T$7="First Photons",POWER(Upgrades!$U$7,F311),1)*IF(Upgrades!$T$8="First Photons",POWER(Upgrades!$U$8,G311),1)*IF(Upgrades!$T$9="First Photons",POWER(Upgrades!$U$9,H311),1)*IF(Upgrades!$T$10="First Photons",POWER(Upgrades!$U$10,I311),1)*IF(Upgrades!$T$11="First Photons",POWER(Upgrades!$U$11,J311),1))*POWER(Upgrades!$P$6,E311)*POWER(Upgrades!$P$7,F311)*POWER(Upgrades!$P$8,G311)*POWER(Upgrades!$P$9,H311)*POWER(Upgrades!$P$10,I311)*POWER(Upgrades!$P$11,J311)*POWER(Upgrades!$P$12,K311)*60</f>
        <v>75</v>
      </c>
      <c r="AF311" s="27" t="n">
        <f aca="false">Parameters!$B$9*POWER(Upgrades!$Q$6,E311)*POWER(Upgrades!$Q$7,F311)*POWER(Upgrades!$Q$8,G311)*POWER(Upgrades!$Q$9,H311)*POWER(Upgrades!$Q$10,I311)*POWER(Upgrades!$Q$11,J311)*POWER(Upgrades!$Q$12,K311)*(Parameters!$B$10*Parameters!$B$11+O311*60)</f>
        <v>120</v>
      </c>
      <c r="AG311" s="21" t="n">
        <f aca="false">IF(E311&gt;=Upgrades!$E$6,"",Upgrades!$C$6*POWER(Upgrades!$D$6,E311))</f>
        <v>37.4517507383159</v>
      </c>
      <c r="AH311" s="21" t="n">
        <f aca="false">IF(F311&gt;=Upgrades!$E$7,"",Upgrades!$C$7*POWER(Upgrades!$D$7,F311))</f>
        <v>80.9111547141581</v>
      </c>
      <c r="AI311" s="21" t="n">
        <f aca="false">IF(G311&gt;=Upgrades!$E$8,"",Upgrades!$C$8*POWER(Upgrades!$D$8,G311))</f>
        <v>231.9097088</v>
      </c>
      <c r="AJ311" s="21" t="str">
        <f aca="false">IF(H311&gt;=Upgrades!$E$9,"",Upgrades!$C$9*POWER(Upgrades!$D$9,H311))</f>
        <v/>
      </c>
      <c r="AK311" s="21" t="str">
        <f aca="false">IF(I311&gt;=Upgrades!$E$10,"",Upgrades!$C$10*POWER(Upgrades!$D$10,I311))</f>
        <v/>
      </c>
      <c r="AL311" s="21" t="str">
        <f aca="false">IF(J311&gt;=Upgrades!$E$11,"",Upgrades!$C$11*POWER(Upgrades!$D$11,J311))</f>
        <v/>
      </c>
      <c r="AM311" s="21" t="str">
        <f aca="false">IF(K311&gt;=Upgrades!$E$12,"",Upgrades!$C$12*POWER(Upgrades!$D$12,K311))</f>
        <v/>
      </c>
      <c r="AN311" s="26" t="str">
        <f aca="false">IF(AND(D311&gt;=Parameters!$B$18,(H311&gt;=Upgrades!$E$9)*(K311&gt;=Upgrades!$E$12)=1,L311=0),1,"")</f>
        <v/>
      </c>
      <c r="AO311" s="26" t="str">
        <f aca="false">IF(AND(D311&gt;=Parameters!$B$18,L311=0),1,"")</f>
        <v/>
      </c>
      <c r="AP311" s="21" t="n">
        <f aca="false">MIN(IF(ISNUMBER(AK311),AK311,9000000000000000),IF(ISNUMBER(AL311),AL311,9000000000000000),IF(ISNUMBER(AM311),AM311,9000000000000000))</f>
        <v>9000000000000000</v>
      </c>
      <c r="AQ311" s="21" t="n">
        <f aca="false">MIN(IF(ISNUMBER(AG311),AG311,9000000000000000),IF(ISNUMBER(AH311),AH311,9000000000000000),IF(ISNUMBER(AI311),AI311,9000000000000000),IF(ISNUMBER(AJ311),AJ311,9000000000000000))</f>
        <v>37.4517507383159</v>
      </c>
      <c r="AR311" s="32" t="b">
        <f aca="false">IF(AW311&gt;Parameters!$B$21*(MAX(IF(AND(NOT(AND(AO311=1,AN311&lt;&gt;1)),ISNUMBER(AG311),AG311&lt;=T311),AS311,0),IF(AND(NOT(AND(AO311=1,AN311&lt;&gt;1)),ISNUMBER(AH311),AH311&lt;=T311),AT311,0),IF(AND(NOT(AND(AO311=1,AN311&lt;&gt;1)),ISNUMBER(AI311),AI311&lt;=T311),AU311,0),IF(AND(ISNUMBER(AJ311),AJ311&lt;=T311),AV311,0))),TRUE(),FALSE())</f>
        <v>1</v>
      </c>
      <c r="AS311" s="33" t="n">
        <f aca="false">IFERROR(Upgrades!$H$6*(POWER(Upgrades!$P$6,E311)*POWER(Upgrades!$P$7,F311)*POWER(Upgrades!$P$8,G311)*POWER(Upgrades!$P$9,H311)*POWER(Upgrades!$P$10,I311)*POWER(Upgrades!$P$11,J311)*POWER(Upgrades!$P$12,K311))*(IF(Upgrades!$T$7="Solar Wind",POWER(Upgrades!$U$7,F311),1)*IF(Upgrades!$T$8="Solar Wind",POWER(Upgrades!$U$8,G311),1)*IF(Upgrades!$T$9="Solar Wind",POWER(Upgrades!$U$9,H311),1)*IF(Upgrades!$T$10="Solar Wind",POWER(Upgrades!$U$10,I311),1)*IF(Upgrades!$T$11="Solar Wind",POWER(Upgrades!$U$11,J311),1)*IF(Upgrades!$T$12="Solar Wind",POWER(Upgrades!$U$12,K311),1))/AG311,0)</f>
        <v>0.0026701021455238</v>
      </c>
      <c r="AT311" s="33" t="n">
        <f aca="false">IFERROR(Upgrades!$H$7*(POWER(Upgrades!$P$6,E311)*POWER(Upgrades!$P$7,F311)*POWER(Upgrades!$P$8,G311)*POWER(Upgrades!$P$9,H311)*POWER(Upgrades!$P$10,I311)*POWER(Upgrades!$P$11,J311)*POWER(Upgrades!$P$12,K311))*(IF(Upgrades!$T$6="Asteroid Belt",POWER(Upgrades!$U$6,E311),1)*IF(Upgrades!$T$8="Asteroid Belt",POWER(Upgrades!$U$8,G311),1)*IF(Upgrades!$T$9="Asteroid Belt",POWER(Upgrades!$U$9,H311),1)*IF(Upgrades!$T$10="Asteroid Belt",POWER(Upgrades!$U$10,I311),1)*IF(Upgrades!$T$11="Asteroid Belt",POWER(Upgrades!$U$11,J311),1)*IF(Upgrades!$T$12="Asteroid Belt",POWER(Upgrades!$U$12,K311),1))/AH311,0)</f>
        <v>0.00308980882652332</v>
      </c>
      <c r="AU311" s="33" t="n">
        <f aca="false">IFERROR(Upgrades!$K$8*(POWER(Upgrades!$Q$6,E311)*POWER(Upgrades!$Q$7,F311)*POWER(Upgrades!$Q$8,G311)*POWER(Upgrades!$Q$9,H311)*POWER(Upgrades!$Q$10,I311)*POWER(Upgrades!$Q$11,J311)*POWER(Upgrades!$Q$12,K311))*(IF(Upgrades!$T$6="Stellar Coupling",POWER(Upgrades!$U$6,E311),1)*IF(Upgrades!$T$7="Stellar Coupling",POWER(Upgrades!$U$7,F311),1)*IF(Upgrades!$T$9="Stellar Coupling",POWER(Upgrades!$U$9,H311),1)*IF(Upgrades!$T$10="Stellar Coupling",POWER(Upgrades!$U$10,I311),1)*IF(Upgrades!$T$11="Stellar Coupling",POWER(Upgrades!$U$11,J311),1)*IF(Upgrades!$T$12="Stellar Coupling",POWER(Upgrades!$U$12,K311),1))*Parameters!$B$10*Parameters!$B$11/60/AI311,0)</f>
        <v>0.00452762415783776</v>
      </c>
      <c r="AV311" s="33" t="n">
        <f aca="false">IFERROR(Upgrades!$H$9*(POWER(Upgrades!$P$6,E311)*POWER(Upgrades!$P$7,F311)*POWER(Upgrades!$P$8,G311)*POWER(Upgrades!$P$9,H311)*POWER(Upgrades!$P$10,I311)*POWER(Upgrades!$P$11,J311)*POWER(Upgrades!$P$12,K311))*(IF(Upgrades!$T$6="Magnetosphere",POWER(Upgrades!$U$6,E311),1)*IF(Upgrades!$T$7="Magnetosphere",POWER(Upgrades!$U$7,F311),1)*IF(Upgrades!$T$8="Magnetosphere",POWER(Upgrades!$U$8,G311),1)*IF(Upgrades!$T$10="Magnetosphere",POWER(Upgrades!$U$10,I311),1)*IF(Upgrades!$T$11="Magnetosphere",POWER(Upgrades!$U$11,J311),1)*IF(Upgrades!$T$12="Magnetosphere",POWER(Upgrades!$U$12,K311),1))/AJ311,0)</f>
        <v>0</v>
      </c>
      <c r="AW311" s="33" t="n">
        <f aca="false">MAX(IF(I311&gt;0,0,IFERROR(0.25*N311/Upgrades!$C$10,0)),IF(J311&gt;0,0,IFERROR(0.5*((IF(G311=0,0,(Upgrades!$J$8+G311*Upgrades!$K$8)*POWER(Upgrades!$L$8,G311)))*(IF(Upgrades!$T$6="Stellar Coupling",POWER(Upgrades!$U$6,E311),1)*IF(Upgrades!$T$7="Stellar Coupling",POWER(Upgrades!$U$7,F311),1)*IF(Upgrades!$T$9="Stellar Coupling",POWER(Upgrades!$U$9,H311),1)*IF(Upgrades!$T$10="Stellar Coupling",POWER(Upgrades!$U$10,I311),1)*IF(Upgrades!$T$11="Stellar Coupling",POWER(Upgrades!$U$11,J311),1)*IF(Upgrades!$T$12="Stellar Coupling",POWER(Upgrades!$U$12,K311),1))*(POWER(Upgrades!$Q$6,E311)*POWER(Upgrades!$Q$7,F311)*POWER(Upgrades!$Q$8,G311)*POWER(Upgrades!$Q$9,H311)*POWER(Upgrades!$Q$10,I311)*POWER(Upgrades!$Q$11,J311)*POWER(Upgrades!$Q$12,K311))*Parameters!$B$10*Parameters!$B$11/60)/Upgrades!$C$11,0)),IF(K311&gt;0,0,IFERROR((1*(POWER(Upgrades!$P$6,E311)*POWER(Upgrades!$P$7,F311)*POWER(Upgrades!$P$8,G311)*POWER(Upgrades!$P$9,H311)*POWER(Upgrades!$P$10,I311)*POWER(Upgrades!$P$11,J311)*POWER(Upgrades!$P$12,K311))+0.2*M311*Parameters!$B$10*Parameters!$B$11/60)/Upgrades!$C$12,0)),IF(AND(ISNUMBER(AG311),AG311&gt;T311),AS311,0),IF(AND(ISNUMBER(AH311),AH311&gt;T311),AT311,0),IF(AND(ISNUMBER(AI311),AI311&gt;T311),AU311,0),IF(AND(ISNUMBER(AJ311),AJ311&gt;T311),AV311,0))</f>
        <v>0.00452762415783776</v>
      </c>
      <c r="AX311" s="29" t="str">
        <f aca="false">IF(AN311=1,"transition",IF(MIN(IF(AND(I311=0,ISNUMBER(AK311),AK311&lt;=T311),AK311,9000000000000000),IF(AND(J311=0,ISNUMBER(AL311),AL311&lt;=T311),AL311,9000000000000000),IF(AND(K311=0,ISNUMBER(AM311),AM311&lt;=T311),AM311,9000000000000000))&lt;9000000000000000,IF(AND(AND(I311=0,ISNUMBER(AK311),AK311&lt;=T311),AK311=MIN(IF(AND(I311=0,ISNUMBER(AK311),AK311&lt;=T311),AK311,9000000000000000),IF(AND(J311=0,ISNUMBER(AL311),AL311&lt;=T311),AL311,9000000000000000),IF(AND(K311=0,ISNUMBER(AM311),AM311&lt;=T311),AM311,9000000000000000))),"OR",IF(AND(AND(J311=0,ISNUMBER(AL311),AL311&lt;=T311),AL311=MIN(IF(AND(I311=0,ISNUMBER(AK311),AK311&lt;=T311),AK311,9000000000000000),IF(AND(J311=0,ISNUMBER(AL311),AL311&lt;=T311),AL311,9000000000000000),IF(AND(K311=0,ISNUMBER(AM311),AM311&lt;=T311),AM311,9000000000000000))),"HP","FP")),IF(AR311=TRUE(),"",IF(MAX(IF(AND(NOT(AND(AO311=1,AN311&lt;&gt;1)),ISNUMBER(AG311),AG311&lt;=T311),AS311,0),IF(AND(NOT(AND(AO311=1,AN311&lt;&gt;1)),ISNUMBER(AH311),AH311&lt;=T311),AT311,0),IF(AND(NOT(AND(AO311=1,AN311&lt;&gt;1)),ISNUMBER(AI311),AI311&lt;=T311),AU311,0),IF(AND(ISNUMBER(AJ311),AJ311&lt;=T311),AV311,0))&lt;=0,"",IF(AND(IF(AND(NOT(AND(AO311=1,AN311&lt;&gt;1)),ISNUMBER(AG311),AG311&lt;=T311),AS311,0)&gt;0,IF(AND(NOT(AND(AO311=1,AN311&lt;&gt;1)),ISNUMBER(AG311),AG311&lt;=T311),AS311,0)=MAX(IF(AND(NOT(AND(AO311=1,AN311&lt;&gt;1)),ISNUMBER(AG311),AG311&lt;=T311),AS311,0),IF(AND(NOT(AND(AO311=1,AN311&lt;&gt;1)),ISNUMBER(AH311),AH311&lt;=T311),AT311,0),IF(AND(NOT(AND(AO311=1,AN311&lt;&gt;1)),ISNUMBER(AI311),AI311&lt;=T311),AU311,0),IF(AND(ISNUMBER(AJ311),AJ311&lt;=T311),AV311,0))),"SW",IF(AND(IF(AND(NOT(AND(AO311=1,AN311&lt;&gt;1)),ISNUMBER(AH311),AH311&lt;=T311),AT311,0)&gt;0,IF(AND(NOT(AND(AO311=1,AN311&lt;&gt;1)),ISNUMBER(AH311),AH311&lt;=T311),AT311,0)=MAX(IF(AND(NOT(AND(AO311=1,AN311&lt;&gt;1)),ISNUMBER(AG311),AG311&lt;=T311),AS311,0),IF(AND(NOT(AND(AO311=1,AN311&lt;&gt;1)),ISNUMBER(AH311),AH311&lt;=T311),AT311,0),IF(AND(NOT(AND(AO311=1,AN311&lt;&gt;1)),ISNUMBER(AI311),AI311&lt;=T311),AU311,0),IF(AND(ISNUMBER(AJ311),AJ311&lt;=T311),AV311,0))),"AB",IF(AND(IF(AND(NOT(AND(AO311=1,AN311&lt;&gt;1)),ISNUMBER(AI311),AI311&lt;=T311),AU311,0)&gt;0,IF(AND(NOT(AND(AO311=1,AN311&lt;&gt;1)),ISNUMBER(AI311),AI311&lt;=T311),AU311,0)=MAX(IF(AND(NOT(AND(AO311=1,AN311&lt;&gt;1)),ISNUMBER(AG311),AG311&lt;=T311),AS311,0),IF(AND(NOT(AND(AO311=1,AN311&lt;&gt;1)),ISNUMBER(AH311),AH311&lt;=T311),AT311,0),IF(AND(NOT(AND(AO311=1,AN311&lt;&gt;1)),ISNUMBER(AI311),AI311&lt;=T311),AU311,0),IF(AND(ISNUMBER(AJ311),AJ311&lt;=T311),AV311,0))),"SC","Mag")))))))</f>
        <v/>
      </c>
    </row>
    <row r="312" customFormat="false" ht="15" hidden="false" customHeight="false" outlineLevel="0" collapsed="false">
      <c r="A312" s="26" t="n">
        <v>307</v>
      </c>
      <c r="B312" s="27" t="n">
        <f aca="false">A312*10/60</f>
        <v>51.1666666666667</v>
      </c>
      <c r="C312" s="21" t="n">
        <f aca="false">X311</f>
        <v>18.6730249835055</v>
      </c>
      <c r="D312" s="27" t="n">
        <f aca="false">D311+W311</f>
        <v>0</v>
      </c>
      <c r="E312" s="26" t="n">
        <f aca="false">E311+IF(U311="SW",1,0)</f>
        <v>12</v>
      </c>
      <c r="F312" s="26" t="n">
        <f aca="false">F311+IF(U311="AB",1,0)</f>
        <v>10</v>
      </c>
      <c r="G312" s="26" t="n">
        <f aca="false">G311+IF(U311="SC",1,0)</f>
        <v>7</v>
      </c>
      <c r="H312" s="26" t="n">
        <f aca="false">H311+IF(U311="Mag",1,0)</f>
        <v>5</v>
      </c>
      <c r="I312" s="26" t="n">
        <f aca="false">MAX(I311,IF(U311="OR",1,0))</f>
        <v>1</v>
      </c>
      <c r="J312" s="26" t="n">
        <f aca="false">MAX(J311,IF(U311="HP",1,0))</f>
        <v>1</v>
      </c>
      <c r="K312" s="26" t="n">
        <f aca="false">MAX(K311,IF(U311="FP",1,0))</f>
        <v>1</v>
      </c>
      <c r="L312" s="26" t="n">
        <f aca="false">MAX(L311,IF(U311="transition",1,0))</f>
        <v>1</v>
      </c>
      <c r="M312" s="28" t="n">
        <f aca="false">(Parameters!$B$9+(IF(E312=0,0,(Upgrades!$J$6+E312*Upgrades!$K$6)*POWER(Upgrades!$L$6,E312)))*(IF(Upgrades!$T$7="Solar Wind",POWER(Upgrades!$U$7,F312),1)*IF(Upgrades!$T$8="Solar Wind",POWER(Upgrades!$U$8,G312),1)*IF(Upgrades!$T$9="Solar Wind",POWER(Upgrades!$U$9,H312),1)*IF(Upgrades!$T$10="Solar Wind",POWER(Upgrades!$U$10,I312),1)*IF(Upgrades!$T$11="Solar Wind",POWER(Upgrades!$U$11,J312),1)*IF(Upgrades!$T$12="Solar Wind",POWER(Upgrades!$U$12,K312),1))+(IF(F312=0,0,(Upgrades!$J$7+F312*Upgrades!$K$7)*POWER(Upgrades!$L$7,F312)))*(IF(Upgrades!$T$6="Asteroid Belt",POWER(Upgrades!$U$6,E312),1)*IF(Upgrades!$T$8="Asteroid Belt",POWER(Upgrades!$U$8,G312),1)*IF(Upgrades!$T$9="Asteroid Belt",POWER(Upgrades!$U$9,H312),1)*IF(Upgrades!$T$10="Asteroid Belt",POWER(Upgrades!$U$10,I312),1)*IF(Upgrades!$T$11="Asteroid Belt",POWER(Upgrades!$U$11,J312),1)*IF(Upgrades!$T$12="Asteroid Belt",POWER(Upgrades!$U$12,K312),1))+(IF(G312=0,0,(Upgrades!$J$8+G312*Upgrades!$K$8)*POWER(Upgrades!$L$8,G312)))*(IF(Upgrades!$T$6="Stellar Coupling",POWER(Upgrades!$U$6,E312),1)*IF(Upgrades!$T$7="Stellar Coupling",POWER(Upgrades!$U$7,F312),1)*IF(Upgrades!$T$9="Stellar Coupling",POWER(Upgrades!$U$9,H312),1)*IF(Upgrades!$T$10="Stellar Coupling",POWER(Upgrades!$U$10,I312),1)*IF(Upgrades!$T$11="Stellar Coupling",POWER(Upgrades!$U$11,J312),1)*IF(Upgrades!$T$12="Stellar Coupling",POWER(Upgrades!$U$12,K312),1))+(IF(H312=0,0,(Upgrades!$J$9+H312*Upgrades!$K$9)*POWER(Upgrades!$L$9,H312)))*(IF(Upgrades!$T$6="Magnetosphere",POWER(Upgrades!$U$6,E312),1)*IF(Upgrades!$T$7="Magnetosphere",POWER(Upgrades!$U$7,F312),1)*IF(Upgrades!$T$8="Magnetosphere",POWER(Upgrades!$U$8,G312),1)*IF(Upgrades!$T$10="Magnetosphere",POWER(Upgrades!$U$10,I312),1)*IF(Upgrades!$T$11="Magnetosphere",POWER(Upgrades!$U$11,J312),1)*IF(Upgrades!$T$12="Magnetosphere",POWER(Upgrades!$U$12,K312),1))+(IF(I312=0,0,(Upgrades!$J$10+I312*Upgrades!$K$10)*POWER(Upgrades!$L$10,I312)))*(IF(Upgrades!$T$6="Orbital Resonance",POWER(Upgrades!$U$6,E312),1)*IF(Upgrades!$T$7="Orbital Resonance",POWER(Upgrades!$U$7,F312),1)*IF(Upgrades!$T$8="Orbital Resonance",POWER(Upgrades!$U$8,G312),1)*IF(Upgrades!$T$9="Orbital Resonance",POWER(Upgrades!$U$9,H312),1)*IF(Upgrades!$T$11="Orbital Resonance",POWER(Upgrades!$U$11,J312),1)*IF(Upgrades!$T$12="Orbital Resonance",POWER(Upgrades!$U$12,K312),1))+(IF(J312=0,0,(Upgrades!$J$11+J312*Upgrades!$K$11)*POWER(Upgrades!$L$11,J312)))*(IF(Upgrades!$T$6="Heliopause",POWER(Upgrades!$U$6,E312),1)*IF(Upgrades!$T$7="Heliopause",POWER(Upgrades!$U$7,F312),1)*IF(Upgrades!$T$8="Heliopause",POWER(Upgrades!$U$8,G312),1)*IF(Upgrades!$T$9="Heliopause",POWER(Upgrades!$U$9,H312),1)*IF(Upgrades!$T$10="Heliopause",POWER(Upgrades!$U$10,I312),1)*IF(Upgrades!$T$12="Heliopause",POWER(Upgrades!$U$12,K312),1))+(IF(K312=0,0,(Upgrades!$J$12+K312*Upgrades!$K$12)*POWER(Upgrades!$L$12,K312)))*(IF(Upgrades!$T$6="First Photons",POWER(Upgrades!$U$6,E312),1)*IF(Upgrades!$T$7="First Photons",POWER(Upgrades!$U$7,F312),1)*IF(Upgrades!$T$8="First Photons",POWER(Upgrades!$U$8,G312),1)*IF(Upgrades!$T$9="First Photons",POWER(Upgrades!$U$9,H312),1)*IF(Upgrades!$T$10="First Photons",POWER(Upgrades!$U$10,I312),1)*IF(Upgrades!$T$11="First Photons",POWER(Upgrades!$U$11,J312),1)))*POWER(Upgrades!$Q$6,E312)*POWER(Upgrades!$Q$7,F312)*POWER(Upgrades!$Q$8,G312)*POWER(Upgrades!$Q$9,H312)*POWER(Upgrades!$Q$10,I312)*POWER(Upgrades!$Q$11,J312)*POWER(Upgrades!$Q$12,K312)</f>
        <v>5.61</v>
      </c>
      <c r="N312" s="28" t="n">
        <f aca="false">((IF(E312=0,0,(Upgrades!$G$6+E312*Upgrades!$H$6)*POWER(Upgrades!$I$6,E312)))*(IF(Upgrades!$T$7="Solar Wind",POWER(Upgrades!$U$7,F312),1)*IF(Upgrades!$T$8="Solar Wind",POWER(Upgrades!$U$8,G312),1)*IF(Upgrades!$T$9="Solar Wind",POWER(Upgrades!$U$9,H312),1)*IF(Upgrades!$T$10="Solar Wind",POWER(Upgrades!$U$10,I312),1)*IF(Upgrades!$T$11="Solar Wind",POWER(Upgrades!$U$11,J312),1)*IF(Upgrades!$T$12="Solar Wind",POWER(Upgrades!$U$12,K312),1))+(IF(F312=0,0,(Upgrades!$G$7+F312*Upgrades!$H$7)*POWER(Upgrades!$I$7,F312)))*(IF(Upgrades!$T$6="Asteroid Belt",POWER(Upgrades!$U$6,E312),1)*IF(Upgrades!$T$8="Asteroid Belt",POWER(Upgrades!$U$8,G312),1)*IF(Upgrades!$T$9="Asteroid Belt",POWER(Upgrades!$U$9,H312),1)*IF(Upgrades!$T$10="Asteroid Belt",POWER(Upgrades!$U$10,I312),1)*IF(Upgrades!$T$11="Asteroid Belt",POWER(Upgrades!$U$11,J312),1)*IF(Upgrades!$T$12="Asteroid Belt",POWER(Upgrades!$U$12,K312),1))+(IF(G312=0,0,(Upgrades!$G$8+G312*Upgrades!$H$8)*POWER(Upgrades!$I$8,G312)))*(IF(Upgrades!$T$6="Stellar Coupling",POWER(Upgrades!$U$6,E312),1)*IF(Upgrades!$T$7="Stellar Coupling",POWER(Upgrades!$U$7,F312),1)*IF(Upgrades!$T$9="Stellar Coupling",POWER(Upgrades!$U$9,H312),1)*IF(Upgrades!$T$10="Stellar Coupling",POWER(Upgrades!$U$10,I312),1)*IF(Upgrades!$T$11="Stellar Coupling",POWER(Upgrades!$U$11,J312),1)*IF(Upgrades!$T$12="Stellar Coupling",POWER(Upgrades!$U$12,K312),1))+(IF(H312=0,0,(Upgrades!$G$9+H312*Upgrades!$H$9)*POWER(Upgrades!$I$9,H312)))*(IF(Upgrades!$T$6="Magnetosphere",POWER(Upgrades!$U$6,E312),1)*IF(Upgrades!$T$7="Magnetosphere",POWER(Upgrades!$U$7,F312),1)*IF(Upgrades!$T$8="Magnetosphere",POWER(Upgrades!$U$8,G312),1)*IF(Upgrades!$T$10="Magnetosphere",POWER(Upgrades!$U$10,I312),1)*IF(Upgrades!$T$11="Magnetosphere",POWER(Upgrades!$U$11,J312),1)*IF(Upgrades!$T$12="Magnetosphere",POWER(Upgrades!$U$12,K312),1))+(IF(I312=0,0,(Upgrades!$G$10+I312*Upgrades!$H$10)*POWER(Upgrades!$I$10,I312)))*(IF(Upgrades!$T$6="Orbital Resonance",POWER(Upgrades!$U$6,E312),1)*IF(Upgrades!$T$7="Orbital Resonance",POWER(Upgrades!$U$7,F312),1)*IF(Upgrades!$T$8="Orbital Resonance",POWER(Upgrades!$U$8,G312),1)*IF(Upgrades!$T$9="Orbital Resonance",POWER(Upgrades!$U$9,H312),1)*IF(Upgrades!$T$11="Orbital Resonance",POWER(Upgrades!$U$11,J312),1)*IF(Upgrades!$T$12="Orbital Resonance",POWER(Upgrades!$U$12,K312),1))+(IF(J312=0,0,(Upgrades!$G$11+J312*Upgrades!$H$11)*POWER(Upgrades!$I$11,J312)))*(IF(Upgrades!$T$6="Heliopause",POWER(Upgrades!$U$6,E312),1)*IF(Upgrades!$T$7="Heliopause",POWER(Upgrades!$U$7,F312),1)*IF(Upgrades!$T$8="Heliopause",POWER(Upgrades!$U$8,G312),1)*IF(Upgrades!$T$9="Heliopause",POWER(Upgrades!$U$9,H312),1)*IF(Upgrades!$T$10="Heliopause",POWER(Upgrades!$U$10,I312),1)*IF(Upgrades!$T$12="Heliopause",POWER(Upgrades!$U$12,K312),1))+(IF(K312=0,0,(Upgrades!$G$12+K312*Upgrades!$H$12)*POWER(Upgrades!$I$12,K312)))*(IF(Upgrades!$T$6="First Photons",POWER(Upgrades!$U$6,E312),1)*IF(Upgrades!$T$7="First Photons",POWER(Upgrades!$U$7,F312),1)*IF(Upgrades!$T$8="First Photons",POWER(Upgrades!$U$8,G312),1)*IF(Upgrades!$T$9="First Photons",POWER(Upgrades!$U$9,H312),1)*IF(Upgrades!$T$10="First Photons",POWER(Upgrades!$U$10,I312),1)*IF(Upgrades!$T$11="First Photons",POWER(Upgrades!$U$11,J312),1)))*POWER(Upgrades!$P$6,E312)*POWER(Upgrades!$P$7,F312)*POWER(Upgrades!$P$8,G312)*POWER(Upgrades!$P$9,H312)*POWER(Upgrades!$P$10,I312)*POWER(Upgrades!$P$11,J312)*POWER(Upgrades!$P$12,K312)</f>
        <v>11.2</v>
      </c>
      <c r="O312" s="28" t="n">
        <f aca="false">((IF(E312=0,0,(Upgrades!$M$6+E312*Upgrades!$N$6)*POWER(Upgrades!$O$6,E312)))*(IF(Upgrades!$T$7="Solar Wind",POWER(Upgrades!$U$7,F312),1)*IF(Upgrades!$T$8="Solar Wind",POWER(Upgrades!$U$8,G312),1)*IF(Upgrades!$T$9="Solar Wind",POWER(Upgrades!$U$9,H312),1)*IF(Upgrades!$T$10="Solar Wind",POWER(Upgrades!$U$10,I312),1)*IF(Upgrades!$T$11="Solar Wind",POWER(Upgrades!$U$11,J312),1)*IF(Upgrades!$T$12="Solar Wind",POWER(Upgrades!$U$12,K312),1))+(IF(F312=0,0,(Upgrades!$M$7+F312*Upgrades!$N$7)*POWER(Upgrades!$O$7,F312)))*(IF(Upgrades!$T$6="Asteroid Belt",POWER(Upgrades!$U$6,E312),1)*IF(Upgrades!$T$8="Asteroid Belt",POWER(Upgrades!$U$8,G312),1)*IF(Upgrades!$T$9="Asteroid Belt",POWER(Upgrades!$U$9,H312),1)*IF(Upgrades!$T$10="Asteroid Belt",POWER(Upgrades!$U$10,I312),1)*IF(Upgrades!$T$11="Asteroid Belt",POWER(Upgrades!$U$11,J312),1)*IF(Upgrades!$T$12="Asteroid Belt",POWER(Upgrades!$U$12,K312),1))+(IF(G312=0,0,(Upgrades!$M$8+G312*Upgrades!$N$8)*POWER(Upgrades!$O$8,G312)))*(IF(Upgrades!$T$6="Stellar Coupling",POWER(Upgrades!$U$6,E312),1)*IF(Upgrades!$T$7="Stellar Coupling",POWER(Upgrades!$U$7,F312),1)*IF(Upgrades!$T$9="Stellar Coupling",POWER(Upgrades!$U$9,H312),1)*IF(Upgrades!$T$10="Stellar Coupling",POWER(Upgrades!$U$10,I312),1)*IF(Upgrades!$T$11="Stellar Coupling",POWER(Upgrades!$U$11,J312),1)*IF(Upgrades!$T$12="Stellar Coupling",POWER(Upgrades!$U$12,K312),1))+(IF(H312=0,0,(Upgrades!$M$9+H312*Upgrades!$N$9)*POWER(Upgrades!$O$9,H312)))*(IF(Upgrades!$T$6="Magnetosphere",POWER(Upgrades!$U$6,E312),1)*IF(Upgrades!$T$7="Magnetosphere",POWER(Upgrades!$U$7,F312),1)*IF(Upgrades!$T$8="Magnetosphere",POWER(Upgrades!$U$8,G312),1)*IF(Upgrades!$T$10="Magnetosphere",POWER(Upgrades!$U$10,I312),1)*IF(Upgrades!$T$11="Magnetosphere",POWER(Upgrades!$U$11,J312),1)*IF(Upgrades!$T$12="Magnetosphere",POWER(Upgrades!$U$12,K312),1))+(IF(I312=0,0,(Upgrades!$M$10+I312*Upgrades!$N$10)*POWER(Upgrades!$O$10,I312)))*(IF(Upgrades!$T$6="Orbital Resonance",POWER(Upgrades!$U$6,E312),1)*IF(Upgrades!$T$7="Orbital Resonance",POWER(Upgrades!$U$7,F312),1)*IF(Upgrades!$T$8="Orbital Resonance",POWER(Upgrades!$U$8,G312),1)*IF(Upgrades!$T$9="Orbital Resonance",POWER(Upgrades!$U$9,H312),1)*IF(Upgrades!$T$11="Orbital Resonance",POWER(Upgrades!$U$11,J312),1)*IF(Upgrades!$T$12="Orbital Resonance",POWER(Upgrades!$U$12,K312),1))+(IF(J312=0,0,(Upgrades!$M$11+J312*Upgrades!$N$11)*POWER(Upgrades!$O$11,J312)))*(IF(Upgrades!$T$6="Heliopause",POWER(Upgrades!$U$6,E312),1)*IF(Upgrades!$T$7="Heliopause",POWER(Upgrades!$U$7,F312),1)*IF(Upgrades!$T$8="Heliopause",POWER(Upgrades!$U$8,G312),1)*IF(Upgrades!$T$9="Heliopause",POWER(Upgrades!$U$9,H312),1)*IF(Upgrades!$T$10="Heliopause",POWER(Upgrades!$U$10,I312),1)*IF(Upgrades!$T$12="Heliopause",POWER(Upgrades!$U$12,K312),1))+(IF(K312=0,0,(Upgrades!$M$12+K312*Upgrades!$N$12)*POWER(Upgrades!$O$12,K312)))*(IF(Upgrades!$T$6="First Photons",POWER(Upgrades!$U$6,E312),1)*IF(Upgrades!$T$7="First Photons",POWER(Upgrades!$U$7,F312),1)*IF(Upgrades!$T$8="First Photons",POWER(Upgrades!$U$8,G312),1)*IF(Upgrades!$T$9="First Photons",POWER(Upgrades!$U$9,H312),1)*IF(Upgrades!$T$10="First Photons",POWER(Upgrades!$U$10,I312),1)*IF(Upgrades!$T$11="First Photons",POWER(Upgrades!$U$11,J312),1)))*POWER(Upgrades!$R$6,E312)*POWER(Upgrades!$R$7,F312)*POWER(Upgrades!$R$8,G312)*POWER(Upgrades!$R$9,H312)*POWER(Upgrades!$R$10,I312)*POWER(Upgrades!$R$11,J312)*POWER(Upgrades!$R$12,K312)</f>
        <v>0</v>
      </c>
      <c r="P312" s="27" t="n">
        <f aca="false">IF(L312=1,0,M312*Parameters!$B$10/60*Parameters!$B$11*10)</f>
        <v>0</v>
      </c>
      <c r="Q312" s="27" t="n">
        <f aca="false">IF(L312=1,0,O312*M312*10)</f>
        <v>0</v>
      </c>
      <c r="R312" s="27" t="n">
        <f aca="false">IF(L312=1,0,N312*10)</f>
        <v>0</v>
      </c>
      <c r="S312" s="27" t="n">
        <f aca="false">P312+Q312+R312</f>
        <v>0</v>
      </c>
      <c r="T312" s="21" t="n">
        <f aca="false">C312+S312</f>
        <v>18.6730249835055</v>
      </c>
      <c r="U312" s="34" t="str">
        <f aca="false">AX312</f>
        <v/>
      </c>
      <c r="V312" s="21" t="n">
        <f aca="false">IF(U312="",0,IF(U312="transition",0,IF(U312="SW",AG312,IF(U312="AB",AH312,IF(U312="SC",AI312,IF(U312="Mag",AJ312,IF(U312="OR",AK312,IF(U312="HP",AL312,IF(U312="FP",AM312,0)))))))))</f>
        <v>0</v>
      </c>
      <c r="W312" s="27" t="n">
        <f aca="false">IF(U312="OR",Upgrades!$F$10,IF(U312="HP",Upgrades!$F$11,IF(U312="transition",-Parameters!$B$18,0)))</f>
        <v>0</v>
      </c>
      <c r="X312" s="21" t="n">
        <f aca="false">T312-V312</f>
        <v>18.6730249835055</v>
      </c>
      <c r="Y312" s="30" t="n">
        <f aca="false">M312*Parameters!$B$10/60*Parameters!$B$11+O312*M312+N312</f>
        <v>20.55</v>
      </c>
      <c r="Z312" s="35" t="str">
        <f aca="false">IF(U312="transition","→ Tier 2 (Stellar Neighborhood)",IF(U312="FP","First Photons — light begins, system quickens",IF(U312="HP","Heliopause acquired",IF(U312="OR","Orbital Resonance — passive multiplier active",IF(AND(AO312=1,L312=0,AN312&lt;&gt;1),"Cohesion ready (waiting on completionist upgrades)","")))))</f>
        <v/>
      </c>
      <c r="AA312" s="27" t="n">
        <f aca="false">(IF(E312=0,0,(Upgrades!$G$6+E312*Upgrades!$H$6)*POWER(Upgrades!$I$6,E312)))*(IF(Upgrades!$T$7="Solar Wind",POWER(Upgrades!$U$7,F312),1)*IF(Upgrades!$T$8="Solar Wind",POWER(Upgrades!$U$8,G312),1)*IF(Upgrades!$T$9="Solar Wind",POWER(Upgrades!$U$9,H312),1)*IF(Upgrades!$T$10="Solar Wind",POWER(Upgrades!$U$10,I312),1)*IF(Upgrades!$T$11="Solar Wind",POWER(Upgrades!$U$11,J312),1)*IF(Upgrades!$T$12="Solar Wind",POWER(Upgrades!$U$12,K312),1))*POWER(Upgrades!$P$6,E312)*POWER(Upgrades!$P$7,F312)*POWER(Upgrades!$P$8,G312)*POWER(Upgrades!$P$9,H312)*POWER(Upgrades!$P$10,I312)*POWER(Upgrades!$P$11,J312)*POWER(Upgrades!$P$12,K312)*60</f>
        <v>72</v>
      </c>
      <c r="AB312" s="27" t="n">
        <f aca="false">(IF(F312=0,0,(Upgrades!$G$7+F312*Upgrades!$H$7)*POWER(Upgrades!$I$7,F312)))*(IF(Upgrades!$T$6="Asteroid Belt",POWER(Upgrades!$U$6,E312),1)*IF(Upgrades!$T$8="Asteroid Belt",POWER(Upgrades!$U$8,G312),1)*IF(Upgrades!$T$9="Asteroid Belt",POWER(Upgrades!$U$9,H312),1)*IF(Upgrades!$T$10="Asteroid Belt",POWER(Upgrades!$U$10,I312),1)*IF(Upgrades!$T$11="Asteroid Belt",POWER(Upgrades!$U$11,J312),1)*IF(Upgrades!$T$12="Asteroid Belt",POWER(Upgrades!$U$12,K312),1))*POWER(Upgrades!$P$6,E312)*POWER(Upgrades!$P$7,F312)*POWER(Upgrades!$P$8,G312)*POWER(Upgrades!$P$9,H312)*POWER(Upgrades!$P$10,I312)*POWER(Upgrades!$P$11,J312)*POWER(Upgrades!$P$12,K312)*60</f>
        <v>150</v>
      </c>
      <c r="AC312" s="27" t="n">
        <f aca="false">(IF(G312=0,0,(Upgrades!$J$8+G312*Upgrades!$K$8)*POWER(Upgrades!$L$8,G312)))*(IF(Upgrades!$T$6="Stellar Coupling",POWER(Upgrades!$U$6,E312),1)*IF(Upgrades!$T$7="Stellar Coupling",POWER(Upgrades!$U$7,F312),1)*IF(Upgrades!$T$9="Stellar Coupling",POWER(Upgrades!$U$9,H312),1)*IF(Upgrades!$T$10="Stellar Coupling",POWER(Upgrades!$U$10,I312),1)*IF(Upgrades!$T$11="Stellar Coupling",POWER(Upgrades!$U$11,J312),1)*IF(Upgrades!$T$12="Stellar Coupling",POWER(Upgrades!$U$12,K312),1))*POWER(Upgrades!$Q$6,E312)*POWER(Upgrades!$Q$7,F312)*POWER(Upgrades!$Q$8,G312)*POWER(Upgrades!$Q$9,H312)*POWER(Upgrades!$Q$10,I312)*POWER(Upgrades!$Q$11,J312)*POWER(Upgrades!$Q$12,K312)*Parameters!$B$10*Parameters!$B$11</f>
        <v>441</v>
      </c>
      <c r="AD312" s="27" t="n">
        <f aca="false">(IF(H312=0,0,(Upgrades!$G$9+H312*Upgrades!$H$9)*POWER(Upgrades!$I$9,H312)))*(IF(Upgrades!$T$6="Magnetosphere",POWER(Upgrades!$U$6,E312),1)*IF(Upgrades!$T$7="Magnetosphere",POWER(Upgrades!$U$7,F312),1)*IF(Upgrades!$T$8="Magnetosphere",POWER(Upgrades!$U$8,G312),1)*IF(Upgrades!$T$10="Magnetosphere",POWER(Upgrades!$U$10,I312),1)*IF(Upgrades!$T$11="Magnetosphere",POWER(Upgrades!$U$11,J312),1)*IF(Upgrades!$T$12="Magnetosphere",POWER(Upgrades!$U$12,K312),1))*POWER(Upgrades!$P$6,E312)*POWER(Upgrades!$P$7,F312)*POWER(Upgrades!$P$8,G312)*POWER(Upgrades!$P$9,H312)*POWER(Upgrades!$P$10,I312)*POWER(Upgrades!$P$11,J312)*POWER(Upgrades!$P$12,K312)*60</f>
        <v>375</v>
      </c>
      <c r="AE312" s="27" t="n">
        <f aca="false">(IF(K312=0,0,(Upgrades!$G$12+K312*Upgrades!$H$12)*POWER(Upgrades!$I$12,K312)))*(IF(Upgrades!$T$6="First Photons",POWER(Upgrades!$U$6,E312),1)*IF(Upgrades!$T$7="First Photons",POWER(Upgrades!$U$7,F312),1)*IF(Upgrades!$T$8="First Photons",POWER(Upgrades!$U$8,G312),1)*IF(Upgrades!$T$9="First Photons",POWER(Upgrades!$U$9,H312),1)*IF(Upgrades!$T$10="First Photons",POWER(Upgrades!$U$10,I312),1)*IF(Upgrades!$T$11="First Photons",POWER(Upgrades!$U$11,J312),1))*POWER(Upgrades!$P$6,E312)*POWER(Upgrades!$P$7,F312)*POWER(Upgrades!$P$8,G312)*POWER(Upgrades!$P$9,H312)*POWER(Upgrades!$P$10,I312)*POWER(Upgrades!$P$11,J312)*POWER(Upgrades!$P$12,K312)*60</f>
        <v>75</v>
      </c>
      <c r="AF312" s="27" t="n">
        <f aca="false">Parameters!$B$9*POWER(Upgrades!$Q$6,E312)*POWER(Upgrades!$Q$7,F312)*POWER(Upgrades!$Q$8,G312)*POWER(Upgrades!$Q$9,H312)*POWER(Upgrades!$Q$10,I312)*POWER(Upgrades!$Q$11,J312)*POWER(Upgrades!$Q$12,K312)*(Parameters!$B$10*Parameters!$B$11+O312*60)</f>
        <v>120</v>
      </c>
      <c r="AG312" s="21" t="n">
        <f aca="false">IF(E312&gt;=Upgrades!$E$6,"",Upgrades!$C$6*POWER(Upgrades!$D$6,E312))</f>
        <v>37.4517507383159</v>
      </c>
      <c r="AH312" s="21" t="n">
        <f aca="false">IF(F312&gt;=Upgrades!$E$7,"",Upgrades!$C$7*POWER(Upgrades!$D$7,F312))</f>
        <v>80.9111547141581</v>
      </c>
      <c r="AI312" s="21" t="n">
        <f aca="false">IF(G312&gt;=Upgrades!$E$8,"",Upgrades!$C$8*POWER(Upgrades!$D$8,G312))</f>
        <v>231.9097088</v>
      </c>
      <c r="AJ312" s="21" t="str">
        <f aca="false">IF(H312&gt;=Upgrades!$E$9,"",Upgrades!$C$9*POWER(Upgrades!$D$9,H312))</f>
        <v/>
      </c>
      <c r="AK312" s="21" t="str">
        <f aca="false">IF(I312&gt;=Upgrades!$E$10,"",Upgrades!$C$10*POWER(Upgrades!$D$10,I312))</f>
        <v/>
      </c>
      <c r="AL312" s="21" t="str">
        <f aca="false">IF(J312&gt;=Upgrades!$E$11,"",Upgrades!$C$11*POWER(Upgrades!$D$11,J312))</f>
        <v/>
      </c>
      <c r="AM312" s="21" t="str">
        <f aca="false">IF(K312&gt;=Upgrades!$E$12,"",Upgrades!$C$12*POWER(Upgrades!$D$12,K312))</f>
        <v/>
      </c>
      <c r="AN312" s="26" t="str">
        <f aca="false">IF(AND(D312&gt;=Parameters!$B$18,(H312&gt;=Upgrades!$E$9)*(K312&gt;=Upgrades!$E$12)=1,L312=0),1,"")</f>
        <v/>
      </c>
      <c r="AO312" s="26" t="str">
        <f aca="false">IF(AND(D312&gt;=Parameters!$B$18,L312=0),1,"")</f>
        <v/>
      </c>
      <c r="AP312" s="21" t="n">
        <f aca="false">MIN(IF(ISNUMBER(AK312),AK312,9000000000000000),IF(ISNUMBER(AL312),AL312,9000000000000000),IF(ISNUMBER(AM312),AM312,9000000000000000))</f>
        <v>9000000000000000</v>
      </c>
      <c r="AQ312" s="21" t="n">
        <f aca="false">MIN(IF(ISNUMBER(AG312),AG312,9000000000000000),IF(ISNUMBER(AH312),AH312,9000000000000000),IF(ISNUMBER(AI312),AI312,9000000000000000),IF(ISNUMBER(AJ312),AJ312,9000000000000000))</f>
        <v>37.4517507383159</v>
      </c>
      <c r="AR312" s="32" t="b">
        <f aca="false">IF(AW312&gt;Parameters!$B$21*(MAX(IF(AND(NOT(AND(AO312=1,AN312&lt;&gt;1)),ISNUMBER(AG312),AG312&lt;=T312),AS312,0),IF(AND(NOT(AND(AO312=1,AN312&lt;&gt;1)),ISNUMBER(AH312),AH312&lt;=T312),AT312,0),IF(AND(NOT(AND(AO312=1,AN312&lt;&gt;1)),ISNUMBER(AI312),AI312&lt;=T312),AU312,0),IF(AND(ISNUMBER(AJ312),AJ312&lt;=T312),AV312,0))),TRUE(),FALSE())</f>
        <v>1</v>
      </c>
      <c r="AS312" s="33" t="n">
        <f aca="false">IFERROR(Upgrades!$H$6*(POWER(Upgrades!$P$6,E312)*POWER(Upgrades!$P$7,F312)*POWER(Upgrades!$P$8,G312)*POWER(Upgrades!$P$9,H312)*POWER(Upgrades!$P$10,I312)*POWER(Upgrades!$P$11,J312)*POWER(Upgrades!$P$12,K312))*(IF(Upgrades!$T$7="Solar Wind",POWER(Upgrades!$U$7,F312),1)*IF(Upgrades!$T$8="Solar Wind",POWER(Upgrades!$U$8,G312),1)*IF(Upgrades!$T$9="Solar Wind",POWER(Upgrades!$U$9,H312),1)*IF(Upgrades!$T$10="Solar Wind",POWER(Upgrades!$U$10,I312),1)*IF(Upgrades!$T$11="Solar Wind",POWER(Upgrades!$U$11,J312),1)*IF(Upgrades!$T$12="Solar Wind",POWER(Upgrades!$U$12,K312),1))/AG312,0)</f>
        <v>0.0026701021455238</v>
      </c>
      <c r="AT312" s="33" t="n">
        <f aca="false">IFERROR(Upgrades!$H$7*(POWER(Upgrades!$P$6,E312)*POWER(Upgrades!$P$7,F312)*POWER(Upgrades!$P$8,G312)*POWER(Upgrades!$P$9,H312)*POWER(Upgrades!$P$10,I312)*POWER(Upgrades!$P$11,J312)*POWER(Upgrades!$P$12,K312))*(IF(Upgrades!$T$6="Asteroid Belt",POWER(Upgrades!$U$6,E312),1)*IF(Upgrades!$T$8="Asteroid Belt",POWER(Upgrades!$U$8,G312),1)*IF(Upgrades!$T$9="Asteroid Belt",POWER(Upgrades!$U$9,H312),1)*IF(Upgrades!$T$10="Asteroid Belt",POWER(Upgrades!$U$10,I312),1)*IF(Upgrades!$T$11="Asteroid Belt",POWER(Upgrades!$U$11,J312),1)*IF(Upgrades!$T$12="Asteroid Belt",POWER(Upgrades!$U$12,K312),1))/AH312,0)</f>
        <v>0.00308980882652332</v>
      </c>
      <c r="AU312" s="33" t="n">
        <f aca="false">IFERROR(Upgrades!$K$8*(POWER(Upgrades!$Q$6,E312)*POWER(Upgrades!$Q$7,F312)*POWER(Upgrades!$Q$8,G312)*POWER(Upgrades!$Q$9,H312)*POWER(Upgrades!$Q$10,I312)*POWER(Upgrades!$Q$11,J312)*POWER(Upgrades!$Q$12,K312))*(IF(Upgrades!$T$6="Stellar Coupling",POWER(Upgrades!$U$6,E312),1)*IF(Upgrades!$T$7="Stellar Coupling",POWER(Upgrades!$U$7,F312),1)*IF(Upgrades!$T$9="Stellar Coupling",POWER(Upgrades!$U$9,H312),1)*IF(Upgrades!$T$10="Stellar Coupling",POWER(Upgrades!$U$10,I312),1)*IF(Upgrades!$T$11="Stellar Coupling",POWER(Upgrades!$U$11,J312),1)*IF(Upgrades!$T$12="Stellar Coupling",POWER(Upgrades!$U$12,K312),1))*Parameters!$B$10*Parameters!$B$11/60/AI312,0)</f>
        <v>0.00452762415783776</v>
      </c>
      <c r="AV312" s="33" t="n">
        <f aca="false">IFERROR(Upgrades!$H$9*(POWER(Upgrades!$P$6,E312)*POWER(Upgrades!$P$7,F312)*POWER(Upgrades!$P$8,G312)*POWER(Upgrades!$P$9,H312)*POWER(Upgrades!$P$10,I312)*POWER(Upgrades!$P$11,J312)*POWER(Upgrades!$P$12,K312))*(IF(Upgrades!$T$6="Magnetosphere",POWER(Upgrades!$U$6,E312),1)*IF(Upgrades!$T$7="Magnetosphere",POWER(Upgrades!$U$7,F312),1)*IF(Upgrades!$T$8="Magnetosphere",POWER(Upgrades!$U$8,G312),1)*IF(Upgrades!$T$10="Magnetosphere",POWER(Upgrades!$U$10,I312),1)*IF(Upgrades!$T$11="Magnetosphere",POWER(Upgrades!$U$11,J312),1)*IF(Upgrades!$T$12="Magnetosphere",POWER(Upgrades!$U$12,K312),1))/AJ312,0)</f>
        <v>0</v>
      </c>
      <c r="AW312" s="33" t="n">
        <f aca="false">MAX(IF(I312&gt;0,0,IFERROR(0.25*N312/Upgrades!$C$10,0)),IF(J312&gt;0,0,IFERROR(0.5*((IF(G312=0,0,(Upgrades!$J$8+G312*Upgrades!$K$8)*POWER(Upgrades!$L$8,G312)))*(IF(Upgrades!$T$6="Stellar Coupling",POWER(Upgrades!$U$6,E312),1)*IF(Upgrades!$T$7="Stellar Coupling",POWER(Upgrades!$U$7,F312),1)*IF(Upgrades!$T$9="Stellar Coupling",POWER(Upgrades!$U$9,H312),1)*IF(Upgrades!$T$10="Stellar Coupling",POWER(Upgrades!$U$10,I312),1)*IF(Upgrades!$T$11="Stellar Coupling",POWER(Upgrades!$U$11,J312),1)*IF(Upgrades!$T$12="Stellar Coupling",POWER(Upgrades!$U$12,K312),1))*(POWER(Upgrades!$Q$6,E312)*POWER(Upgrades!$Q$7,F312)*POWER(Upgrades!$Q$8,G312)*POWER(Upgrades!$Q$9,H312)*POWER(Upgrades!$Q$10,I312)*POWER(Upgrades!$Q$11,J312)*POWER(Upgrades!$Q$12,K312))*Parameters!$B$10*Parameters!$B$11/60)/Upgrades!$C$11,0)),IF(K312&gt;0,0,IFERROR((1*(POWER(Upgrades!$P$6,E312)*POWER(Upgrades!$P$7,F312)*POWER(Upgrades!$P$8,G312)*POWER(Upgrades!$P$9,H312)*POWER(Upgrades!$P$10,I312)*POWER(Upgrades!$P$11,J312)*POWER(Upgrades!$P$12,K312))+0.2*M312*Parameters!$B$10*Parameters!$B$11/60)/Upgrades!$C$12,0)),IF(AND(ISNUMBER(AG312),AG312&gt;T312),AS312,0),IF(AND(ISNUMBER(AH312),AH312&gt;T312),AT312,0),IF(AND(ISNUMBER(AI312),AI312&gt;T312),AU312,0),IF(AND(ISNUMBER(AJ312),AJ312&gt;T312),AV312,0))</f>
        <v>0.00452762415783776</v>
      </c>
      <c r="AX312" s="29" t="str">
        <f aca="false">IF(AN312=1,"transition",IF(MIN(IF(AND(I312=0,ISNUMBER(AK312),AK312&lt;=T312),AK312,9000000000000000),IF(AND(J312=0,ISNUMBER(AL312),AL312&lt;=T312),AL312,9000000000000000),IF(AND(K312=0,ISNUMBER(AM312),AM312&lt;=T312),AM312,9000000000000000))&lt;9000000000000000,IF(AND(AND(I312=0,ISNUMBER(AK312),AK312&lt;=T312),AK312=MIN(IF(AND(I312=0,ISNUMBER(AK312),AK312&lt;=T312),AK312,9000000000000000),IF(AND(J312=0,ISNUMBER(AL312),AL312&lt;=T312),AL312,9000000000000000),IF(AND(K312=0,ISNUMBER(AM312),AM312&lt;=T312),AM312,9000000000000000))),"OR",IF(AND(AND(J312=0,ISNUMBER(AL312),AL312&lt;=T312),AL312=MIN(IF(AND(I312=0,ISNUMBER(AK312),AK312&lt;=T312),AK312,9000000000000000),IF(AND(J312=0,ISNUMBER(AL312),AL312&lt;=T312),AL312,9000000000000000),IF(AND(K312=0,ISNUMBER(AM312),AM312&lt;=T312),AM312,9000000000000000))),"HP","FP")),IF(AR312=TRUE(),"",IF(MAX(IF(AND(NOT(AND(AO312=1,AN312&lt;&gt;1)),ISNUMBER(AG312),AG312&lt;=T312),AS312,0),IF(AND(NOT(AND(AO312=1,AN312&lt;&gt;1)),ISNUMBER(AH312),AH312&lt;=T312),AT312,0),IF(AND(NOT(AND(AO312=1,AN312&lt;&gt;1)),ISNUMBER(AI312),AI312&lt;=T312),AU312,0),IF(AND(ISNUMBER(AJ312),AJ312&lt;=T312),AV312,0))&lt;=0,"",IF(AND(IF(AND(NOT(AND(AO312=1,AN312&lt;&gt;1)),ISNUMBER(AG312),AG312&lt;=T312),AS312,0)&gt;0,IF(AND(NOT(AND(AO312=1,AN312&lt;&gt;1)),ISNUMBER(AG312),AG312&lt;=T312),AS312,0)=MAX(IF(AND(NOT(AND(AO312=1,AN312&lt;&gt;1)),ISNUMBER(AG312),AG312&lt;=T312),AS312,0),IF(AND(NOT(AND(AO312=1,AN312&lt;&gt;1)),ISNUMBER(AH312),AH312&lt;=T312),AT312,0),IF(AND(NOT(AND(AO312=1,AN312&lt;&gt;1)),ISNUMBER(AI312),AI312&lt;=T312),AU312,0),IF(AND(ISNUMBER(AJ312),AJ312&lt;=T312),AV312,0))),"SW",IF(AND(IF(AND(NOT(AND(AO312=1,AN312&lt;&gt;1)),ISNUMBER(AH312),AH312&lt;=T312),AT312,0)&gt;0,IF(AND(NOT(AND(AO312=1,AN312&lt;&gt;1)),ISNUMBER(AH312),AH312&lt;=T312),AT312,0)=MAX(IF(AND(NOT(AND(AO312=1,AN312&lt;&gt;1)),ISNUMBER(AG312),AG312&lt;=T312),AS312,0),IF(AND(NOT(AND(AO312=1,AN312&lt;&gt;1)),ISNUMBER(AH312),AH312&lt;=T312),AT312,0),IF(AND(NOT(AND(AO312=1,AN312&lt;&gt;1)),ISNUMBER(AI312),AI312&lt;=T312),AU312,0),IF(AND(ISNUMBER(AJ312),AJ312&lt;=T312),AV312,0))),"AB",IF(AND(IF(AND(NOT(AND(AO312=1,AN312&lt;&gt;1)),ISNUMBER(AI312),AI312&lt;=T312),AU312,0)&gt;0,IF(AND(NOT(AND(AO312=1,AN312&lt;&gt;1)),ISNUMBER(AI312),AI312&lt;=T312),AU312,0)=MAX(IF(AND(NOT(AND(AO312=1,AN312&lt;&gt;1)),ISNUMBER(AG312),AG312&lt;=T312),AS312,0),IF(AND(NOT(AND(AO312=1,AN312&lt;&gt;1)),ISNUMBER(AH312),AH312&lt;=T312),AT312,0),IF(AND(NOT(AND(AO312=1,AN312&lt;&gt;1)),ISNUMBER(AI312),AI312&lt;=T312),AU312,0),IF(AND(ISNUMBER(AJ312),AJ312&lt;=T312),AV312,0))),"SC","Mag")))))))</f>
        <v/>
      </c>
    </row>
    <row r="313" customFormat="false" ht="15" hidden="false" customHeight="false" outlineLevel="0" collapsed="false">
      <c r="A313" s="26" t="n">
        <v>308</v>
      </c>
      <c r="B313" s="27" t="n">
        <f aca="false">A313*10/60</f>
        <v>51.3333333333333</v>
      </c>
      <c r="C313" s="21" t="n">
        <f aca="false">X312</f>
        <v>18.6730249835055</v>
      </c>
      <c r="D313" s="27" t="n">
        <f aca="false">D312+W312</f>
        <v>0</v>
      </c>
      <c r="E313" s="26" t="n">
        <f aca="false">E312+IF(U312="SW",1,0)</f>
        <v>12</v>
      </c>
      <c r="F313" s="26" t="n">
        <f aca="false">F312+IF(U312="AB",1,0)</f>
        <v>10</v>
      </c>
      <c r="G313" s="26" t="n">
        <f aca="false">G312+IF(U312="SC",1,0)</f>
        <v>7</v>
      </c>
      <c r="H313" s="26" t="n">
        <f aca="false">H312+IF(U312="Mag",1,0)</f>
        <v>5</v>
      </c>
      <c r="I313" s="26" t="n">
        <f aca="false">MAX(I312,IF(U312="OR",1,0))</f>
        <v>1</v>
      </c>
      <c r="J313" s="26" t="n">
        <f aca="false">MAX(J312,IF(U312="HP",1,0))</f>
        <v>1</v>
      </c>
      <c r="K313" s="26" t="n">
        <f aca="false">MAX(K312,IF(U312="FP",1,0))</f>
        <v>1</v>
      </c>
      <c r="L313" s="26" t="n">
        <f aca="false">MAX(L312,IF(U312="transition",1,0))</f>
        <v>1</v>
      </c>
      <c r="M313" s="28" t="n">
        <f aca="false">(Parameters!$B$9+(IF(E313=0,0,(Upgrades!$J$6+E313*Upgrades!$K$6)*POWER(Upgrades!$L$6,E313)))*(IF(Upgrades!$T$7="Solar Wind",POWER(Upgrades!$U$7,F313),1)*IF(Upgrades!$T$8="Solar Wind",POWER(Upgrades!$U$8,G313),1)*IF(Upgrades!$T$9="Solar Wind",POWER(Upgrades!$U$9,H313),1)*IF(Upgrades!$T$10="Solar Wind",POWER(Upgrades!$U$10,I313),1)*IF(Upgrades!$T$11="Solar Wind",POWER(Upgrades!$U$11,J313),1)*IF(Upgrades!$T$12="Solar Wind",POWER(Upgrades!$U$12,K313),1))+(IF(F313=0,0,(Upgrades!$J$7+F313*Upgrades!$K$7)*POWER(Upgrades!$L$7,F313)))*(IF(Upgrades!$T$6="Asteroid Belt",POWER(Upgrades!$U$6,E313),1)*IF(Upgrades!$T$8="Asteroid Belt",POWER(Upgrades!$U$8,G313),1)*IF(Upgrades!$T$9="Asteroid Belt",POWER(Upgrades!$U$9,H313),1)*IF(Upgrades!$T$10="Asteroid Belt",POWER(Upgrades!$U$10,I313),1)*IF(Upgrades!$T$11="Asteroid Belt",POWER(Upgrades!$U$11,J313),1)*IF(Upgrades!$T$12="Asteroid Belt",POWER(Upgrades!$U$12,K313),1))+(IF(G313=0,0,(Upgrades!$J$8+G313*Upgrades!$K$8)*POWER(Upgrades!$L$8,G313)))*(IF(Upgrades!$T$6="Stellar Coupling",POWER(Upgrades!$U$6,E313),1)*IF(Upgrades!$T$7="Stellar Coupling",POWER(Upgrades!$U$7,F313),1)*IF(Upgrades!$T$9="Stellar Coupling",POWER(Upgrades!$U$9,H313),1)*IF(Upgrades!$T$10="Stellar Coupling",POWER(Upgrades!$U$10,I313),1)*IF(Upgrades!$T$11="Stellar Coupling",POWER(Upgrades!$U$11,J313),1)*IF(Upgrades!$T$12="Stellar Coupling",POWER(Upgrades!$U$12,K313),1))+(IF(H313=0,0,(Upgrades!$J$9+H313*Upgrades!$K$9)*POWER(Upgrades!$L$9,H313)))*(IF(Upgrades!$T$6="Magnetosphere",POWER(Upgrades!$U$6,E313),1)*IF(Upgrades!$T$7="Magnetosphere",POWER(Upgrades!$U$7,F313),1)*IF(Upgrades!$T$8="Magnetosphere",POWER(Upgrades!$U$8,G313),1)*IF(Upgrades!$T$10="Magnetosphere",POWER(Upgrades!$U$10,I313),1)*IF(Upgrades!$T$11="Magnetosphere",POWER(Upgrades!$U$11,J313),1)*IF(Upgrades!$T$12="Magnetosphere",POWER(Upgrades!$U$12,K313),1))+(IF(I313=0,0,(Upgrades!$J$10+I313*Upgrades!$K$10)*POWER(Upgrades!$L$10,I313)))*(IF(Upgrades!$T$6="Orbital Resonance",POWER(Upgrades!$U$6,E313),1)*IF(Upgrades!$T$7="Orbital Resonance",POWER(Upgrades!$U$7,F313),1)*IF(Upgrades!$T$8="Orbital Resonance",POWER(Upgrades!$U$8,G313),1)*IF(Upgrades!$T$9="Orbital Resonance",POWER(Upgrades!$U$9,H313),1)*IF(Upgrades!$T$11="Orbital Resonance",POWER(Upgrades!$U$11,J313),1)*IF(Upgrades!$T$12="Orbital Resonance",POWER(Upgrades!$U$12,K313),1))+(IF(J313=0,0,(Upgrades!$J$11+J313*Upgrades!$K$11)*POWER(Upgrades!$L$11,J313)))*(IF(Upgrades!$T$6="Heliopause",POWER(Upgrades!$U$6,E313),1)*IF(Upgrades!$T$7="Heliopause",POWER(Upgrades!$U$7,F313),1)*IF(Upgrades!$T$8="Heliopause",POWER(Upgrades!$U$8,G313),1)*IF(Upgrades!$T$9="Heliopause",POWER(Upgrades!$U$9,H313),1)*IF(Upgrades!$T$10="Heliopause",POWER(Upgrades!$U$10,I313),1)*IF(Upgrades!$T$12="Heliopause",POWER(Upgrades!$U$12,K313),1))+(IF(K313=0,0,(Upgrades!$J$12+K313*Upgrades!$K$12)*POWER(Upgrades!$L$12,K313)))*(IF(Upgrades!$T$6="First Photons",POWER(Upgrades!$U$6,E313),1)*IF(Upgrades!$T$7="First Photons",POWER(Upgrades!$U$7,F313),1)*IF(Upgrades!$T$8="First Photons",POWER(Upgrades!$U$8,G313),1)*IF(Upgrades!$T$9="First Photons",POWER(Upgrades!$U$9,H313),1)*IF(Upgrades!$T$10="First Photons",POWER(Upgrades!$U$10,I313),1)*IF(Upgrades!$T$11="First Photons",POWER(Upgrades!$U$11,J313),1)))*POWER(Upgrades!$Q$6,E313)*POWER(Upgrades!$Q$7,F313)*POWER(Upgrades!$Q$8,G313)*POWER(Upgrades!$Q$9,H313)*POWER(Upgrades!$Q$10,I313)*POWER(Upgrades!$Q$11,J313)*POWER(Upgrades!$Q$12,K313)</f>
        <v>5.61</v>
      </c>
      <c r="N313" s="28" t="n">
        <f aca="false">((IF(E313=0,0,(Upgrades!$G$6+E313*Upgrades!$H$6)*POWER(Upgrades!$I$6,E313)))*(IF(Upgrades!$T$7="Solar Wind",POWER(Upgrades!$U$7,F313),1)*IF(Upgrades!$T$8="Solar Wind",POWER(Upgrades!$U$8,G313),1)*IF(Upgrades!$T$9="Solar Wind",POWER(Upgrades!$U$9,H313),1)*IF(Upgrades!$T$10="Solar Wind",POWER(Upgrades!$U$10,I313),1)*IF(Upgrades!$T$11="Solar Wind",POWER(Upgrades!$U$11,J313),1)*IF(Upgrades!$T$12="Solar Wind",POWER(Upgrades!$U$12,K313),1))+(IF(F313=0,0,(Upgrades!$G$7+F313*Upgrades!$H$7)*POWER(Upgrades!$I$7,F313)))*(IF(Upgrades!$T$6="Asteroid Belt",POWER(Upgrades!$U$6,E313),1)*IF(Upgrades!$T$8="Asteroid Belt",POWER(Upgrades!$U$8,G313),1)*IF(Upgrades!$T$9="Asteroid Belt",POWER(Upgrades!$U$9,H313),1)*IF(Upgrades!$T$10="Asteroid Belt",POWER(Upgrades!$U$10,I313),1)*IF(Upgrades!$T$11="Asteroid Belt",POWER(Upgrades!$U$11,J313),1)*IF(Upgrades!$T$12="Asteroid Belt",POWER(Upgrades!$U$12,K313),1))+(IF(G313=0,0,(Upgrades!$G$8+G313*Upgrades!$H$8)*POWER(Upgrades!$I$8,G313)))*(IF(Upgrades!$T$6="Stellar Coupling",POWER(Upgrades!$U$6,E313),1)*IF(Upgrades!$T$7="Stellar Coupling",POWER(Upgrades!$U$7,F313),1)*IF(Upgrades!$T$9="Stellar Coupling",POWER(Upgrades!$U$9,H313),1)*IF(Upgrades!$T$10="Stellar Coupling",POWER(Upgrades!$U$10,I313),1)*IF(Upgrades!$T$11="Stellar Coupling",POWER(Upgrades!$U$11,J313),1)*IF(Upgrades!$T$12="Stellar Coupling",POWER(Upgrades!$U$12,K313),1))+(IF(H313=0,0,(Upgrades!$G$9+H313*Upgrades!$H$9)*POWER(Upgrades!$I$9,H313)))*(IF(Upgrades!$T$6="Magnetosphere",POWER(Upgrades!$U$6,E313),1)*IF(Upgrades!$T$7="Magnetosphere",POWER(Upgrades!$U$7,F313),1)*IF(Upgrades!$T$8="Magnetosphere",POWER(Upgrades!$U$8,G313),1)*IF(Upgrades!$T$10="Magnetosphere",POWER(Upgrades!$U$10,I313),1)*IF(Upgrades!$T$11="Magnetosphere",POWER(Upgrades!$U$11,J313),1)*IF(Upgrades!$T$12="Magnetosphere",POWER(Upgrades!$U$12,K313),1))+(IF(I313=0,0,(Upgrades!$G$10+I313*Upgrades!$H$10)*POWER(Upgrades!$I$10,I313)))*(IF(Upgrades!$T$6="Orbital Resonance",POWER(Upgrades!$U$6,E313),1)*IF(Upgrades!$T$7="Orbital Resonance",POWER(Upgrades!$U$7,F313),1)*IF(Upgrades!$T$8="Orbital Resonance",POWER(Upgrades!$U$8,G313),1)*IF(Upgrades!$T$9="Orbital Resonance",POWER(Upgrades!$U$9,H313),1)*IF(Upgrades!$T$11="Orbital Resonance",POWER(Upgrades!$U$11,J313),1)*IF(Upgrades!$T$12="Orbital Resonance",POWER(Upgrades!$U$12,K313),1))+(IF(J313=0,0,(Upgrades!$G$11+J313*Upgrades!$H$11)*POWER(Upgrades!$I$11,J313)))*(IF(Upgrades!$T$6="Heliopause",POWER(Upgrades!$U$6,E313),1)*IF(Upgrades!$T$7="Heliopause",POWER(Upgrades!$U$7,F313),1)*IF(Upgrades!$T$8="Heliopause",POWER(Upgrades!$U$8,G313),1)*IF(Upgrades!$T$9="Heliopause",POWER(Upgrades!$U$9,H313),1)*IF(Upgrades!$T$10="Heliopause",POWER(Upgrades!$U$10,I313),1)*IF(Upgrades!$T$12="Heliopause",POWER(Upgrades!$U$12,K313),1))+(IF(K313=0,0,(Upgrades!$G$12+K313*Upgrades!$H$12)*POWER(Upgrades!$I$12,K313)))*(IF(Upgrades!$T$6="First Photons",POWER(Upgrades!$U$6,E313),1)*IF(Upgrades!$T$7="First Photons",POWER(Upgrades!$U$7,F313),1)*IF(Upgrades!$T$8="First Photons",POWER(Upgrades!$U$8,G313),1)*IF(Upgrades!$T$9="First Photons",POWER(Upgrades!$U$9,H313),1)*IF(Upgrades!$T$10="First Photons",POWER(Upgrades!$U$10,I313),1)*IF(Upgrades!$T$11="First Photons",POWER(Upgrades!$U$11,J313),1)))*POWER(Upgrades!$P$6,E313)*POWER(Upgrades!$P$7,F313)*POWER(Upgrades!$P$8,G313)*POWER(Upgrades!$P$9,H313)*POWER(Upgrades!$P$10,I313)*POWER(Upgrades!$P$11,J313)*POWER(Upgrades!$P$12,K313)</f>
        <v>11.2</v>
      </c>
      <c r="O313" s="28" t="n">
        <f aca="false">((IF(E313=0,0,(Upgrades!$M$6+E313*Upgrades!$N$6)*POWER(Upgrades!$O$6,E313)))*(IF(Upgrades!$T$7="Solar Wind",POWER(Upgrades!$U$7,F313),1)*IF(Upgrades!$T$8="Solar Wind",POWER(Upgrades!$U$8,G313),1)*IF(Upgrades!$T$9="Solar Wind",POWER(Upgrades!$U$9,H313),1)*IF(Upgrades!$T$10="Solar Wind",POWER(Upgrades!$U$10,I313),1)*IF(Upgrades!$T$11="Solar Wind",POWER(Upgrades!$U$11,J313),1)*IF(Upgrades!$T$12="Solar Wind",POWER(Upgrades!$U$12,K313),1))+(IF(F313=0,0,(Upgrades!$M$7+F313*Upgrades!$N$7)*POWER(Upgrades!$O$7,F313)))*(IF(Upgrades!$T$6="Asteroid Belt",POWER(Upgrades!$U$6,E313),1)*IF(Upgrades!$T$8="Asteroid Belt",POWER(Upgrades!$U$8,G313),1)*IF(Upgrades!$T$9="Asteroid Belt",POWER(Upgrades!$U$9,H313),1)*IF(Upgrades!$T$10="Asteroid Belt",POWER(Upgrades!$U$10,I313),1)*IF(Upgrades!$T$11="Asteroid Belt",POWER(Upgrades!$U$11,J313),1)*IF(Upgrades!$T$12="Asteroid Belt",POWER(Upgrades!$U$12,K313),1))+(IF(G313=0,0,(Upgrades!$M$8+G313*Upgrades!$N$8)*POWER(Upgrades!$O$8,G313)))*(IF(Upgrades!$T$6="Stellar Coupling",POWER(Upgrades!$U$6,E313),1)*IF(Upgrades!$T$7="Stellar Coupling",POWER(Upgrades!$U$7,F313),1)*IF(Upgrades!$T$9="Stellar Coupling",POWER(Upgrades!$U$9,H313),1)*IF(Upgrades!$T$10="Stellar Coupling",POWER(Upgrades!$U$10,I313),1)*IF(Upgrades!$T$11="Stellar Coupling",POWER(Upgrades!$U$11,J313),1)*IF(Upgrades!$T$12="Stellar Coupling",POWER(Upgrades!$U$12,K313),1))+(IF(H313=0,0,(Upgrades!$M$9+H313*Upgrades!$N$9)*POWER(Upgrades!$O$9,H313)))*(IF(Upgrades!$T$6="Magnetosphere",POWER(Upgrades!$U$6,E313),1)*IF(Upgrades!$T$7="Magnetosphere",POWER(Upgrades!$U$7,F313),1)*IF(Upgrades!$T$8="Magnetosphere",POWER(Upgrades!$U$8,G313),1)*IF(Upgrades!$T$10="Magnetosphere",POWER(Upgrades!$U$10,I313),1)*IF(Upgrades!$T$11="Magnetosphere",POWER(Upgrades!$U$11,J313),1)*IF(Upgrades!$T$12="Magnetosphere",POWER(Upgrades!$U$12,K313),1))+(IF(I313=0,0,(Upgrades!$M$10+I313*Upgrades!$N$10)*POWER(Upgrades!$O$10,I313)))*(IF(Upgrades!$T$6="Orbital Resonance",POWER(Upgrades!$U$6,E313),1)*IF(Upgrades!$T$7="Orbital Resonance",POWER(Upgrades!$U$7,F313),1)*IF(Upgrades!$T$8="Orbital Resonance",POWER(Upgrades!$U$8,G313),1)*IF(Upgrades!$T$9="Orbital Resonance",POWER(Upgrades!$U$9,H313),1)*IF(Upgrades!$T$11="Orbital Resonance",POWER(Upgrades!$U$11,J313),1)*IF(Upgrades!$T$12="Orbital Resonance",POWER(Upgrades!$U$12,K313),1))+(IF(J313=0,0,(Upgrades!$M$11+J313*Upgrades!$N$11)*POWER(Upgrades!$O$11,J313)))*(IF(Upgrades!$T$6="Heliopause",POWER(Upgrades!$U$6,E313),1)*IF(Upgrades!$T$7="Heliopause",POWER(Upgrades!$U$7,F313),1)*IF(Upgrades!$T$8="Heliopause",POWER(Upgrades!$U$8,G313),1)*IF(Upgrades!$T$9="Heliopause",POWER(Upgrades!$U$9,H313),1)*IF(Upgrades!$T$10="Heliopause",POWER(Upgrades!$U$10,I313),1)*IF(Upgrades!$T$12="Heliopause",POWER(Upgrades!$U$12,K313),1))+(IF(K313=0,0,(Upgrades!$M$12+K313*Upgrades!$N$12)*POWER(Upgrades!$O$12,K313)))*(IF(Upgrades!$T$6="First Photons",POWER(Upgrades!$U$6,E313),1)*IF(Upgrades!$T$7="First Photons",POWER(Upgrades!$U$7,F313),1)*IF(Upgrades!$T$8="First Photons",POWER(Upgrades!$U$8,G313),1)*IF(Upgrades!$T$9="First Photons",POWER(Upgrades!$U$9,H313),1)*IF(Upgrades!$T$10="First Photons",POWER(Upgrades!$U$10,I313),1)*IF(Upgrades!$T$11="First Photons",POWER(Upgrades!$U$11,J313),1)))*POWER(Upgrades!$R$6,E313)*POWER(Upgrades!$R$7,F313)*POWER(Upgrades!$R$8,G313)*POWER(Upgrades!$R$9,H313)*POWER(Upgrades!$R$10,I313)*POWER(Upgrades!$R$11,J313)*POWER(Upgrades!$R$12,K313)</f>
        <v>0</v>
      </c>
      <c r="P313" s="27" t="n">
        <f aca="false">IF(L313=1,0,M313*Parameters!$B$10/60*Parameters!$B$11*10)</f>
        <v>0</v>
      </c>
      <c r="Q313" s="27" t="n">
        <f aca="false">IF(L313=1,0,O313*M313*10)</f>
        <v>0</v>
      </c>
      <c r="R313" s="27" t="n">
        <f aca="false">IF(L313=1,0,N313*10)</f>
        <v>0</v>
      </c>
      <c r="S313" s="27" t="n">
        <f aca="false">P313+Q313+R313</f>
        <v>0</v>
      </c>
      <c r="T313" s="21" t="n">
        <f aca="false">C313+S313</f>
        <v>18.6730249835055</v>
      </c>
      <c r="U313" s="34" t="str">
        <f aca="false">AX313</f>
        <v/>
      </c>
      <c r="V313" s="21" t="n">
        <f aca="false">IF(U313="",0,IF(U313="transition",0,IF(U313="SW",AG313,IF(U313="AB",AH313,IF(U313="SC",AI313,IF(U313="Mag",AJ313,IF(U313="OR",AK313,IF(U313="HP",AL313,IF(U313="FP",AM313,0)))))))))</f>
        <v>0</v>
      </c>
      <c r="W313" s="27" t="n">
        <f aca="false">IF(U313="OR",Upgrades!$F$10,IF(U313="HP",Upgrades!$F$11,IF(U313="transition",-Parameters!$B$18,0)))</f>
        <v>0</v>
      </c>
      <c r="X313" s="21" t="n">
        <f aca="false">T313-V313</f>
        <v>18.6730249835055</v>
      </c>
      <c r="Y313" s="30" t="n">
        <f aca="false">M313*Parameters!$B$10/60*Parameters!$B$11+O313*M313+N313</f>
        <v>20.55</v>
      </c>
      <c r="Z313" s="35" t="str">
        <f aca="false">IF(U313="transition","→ Tier 2 (Stellar Neighborhood)",IF(U313="FP","First Photons — light begins, system quickens",IF(U313="HP","Heliopause acquired",IF(U313="OR","Orbital Resonance — passive multiplier active",IF(AND(AO313=1,L313=0,AN313&lt;&gt;1),"Cohesion ready (waiting on completionist upgrades)","")))))</f>
        <v/>
      </c>
      <c r="AA313" s="27" t="n">
        <f aca="false">(IF(E313=0,0,(Upgrades!$G$6+E313*Upgrades!$H$6)*POWER(Upgrades!$I$6,E313)))*(IF(Upgrades!$T$7="Solar Wind",POWER(Upgrades!$U$7,F313),1)*IF(Upgrades!$T$8="Solar Wind",POWER(Upgrades!$U$8,G313),1)*IF(Upgrades!$T$9="Solar Wind",POWER(Upgrades!$U$9,H313),1)*IF(Upgrades!$T$10="Solar Wind",POWER(Upgrades!$U$10,I313),1)*IF(Upgrades!$T$11="Solar Wind",POWER(Upgrades!$U$11,J313),1)*IF(Upgrades!$T$12="Solar Wind",POWER(Upgrades!$U$12,K313),1))*POWER(Upgrades!$P$6,E313)*POWER(Upgrades!$P$7,F313)*POWER(Upgrades!$P$8,G313)*POWER(Upgrades!$P$9,H313)*POWER(Upgrades!$P$10,I313)*POWER(Upgrades!$P$11,J313)*POWER(Upgrades!$P$12,K313)*60</f>
        <v>72</v>
      </c>
      <c r="AB313" s="27" t="n">
        <f aca="false">(IF(F313=0,0,(Upgrades!$G$7+F313*Upgrades!$H$7)*POWER(Upgrades!$I$7,F313)))*(IF(Upgrades!$T$6="Asteroid Belt",POWER(Upgrades!$U$6,E313),1)*IF(Upgrades!$T$8="Asteroid Belt",POWER(Upgrades!$U$8,G313),1)*IF(Upgrades!$T$9="Asteroid Belt",POWER(Upgrades!$U$9,H313),1)*IF(Upgrades!$T$10="Asteroid Belt",POWER(Upgrades!$U$10,I313),1)*IF(Upgrades!$T$11="Asteroid Belt",POWER(Upgrades!$U$11,J313),1)*IF(Upgrades!$T$12="Asteroid Belt",POWER(Upgrades!$U$12,K313),1))*POWER(Upgrades!$P$6,E313)*POWER(Upgrades!$P$7,F313)*POWER(Upgrades!$P$8,G313)*POWER(Upgrades!$P$9,H313)*POWER(Upgrades!$P$10,I313)*POWER(Upgrades!$P$11,J313)*POWER(Upgrades!$P$12,K313)*60</f>
        <v>150</v>
      </c>
      <c r="AC313" s="27" t="n">
        <f aca="false">(IF(G313=0,0,(Upgrades!$J$8+G313*Upgrades!$K$8)*POWER(Upgrades!$L$8,G313)))*(IF(Upgrades!$T$6="Stellar Coupling",POWER(Upgrades!$U$6,E313),1)*IF(Upgrades!$T$7="Stellar Coupling",POWER(Upgrades!$U$7,F313),1)*IF(Upgrades!$T$9="Stellar Coupling",POWER(Upgrades!$U$9,H313),1)*IF(Upgrades!$T$10="Stellar Coupling",POWER(Upgrades!$U$10,I313),1)*IF(Upgrades!$T$11="Stellar Coupling",POWER(Upgrades!$U$11,J313),1)*IF(Upgrades!$T$12="Stellar Coupling",POWER(Upgrades!$U$12,K313),1))*POWER(Upgrades!$Q$6,E313)*POWER(Upgrades!$Q$7,F313)*POWER(Upgrades!$Q$8,G313)*POWER(Upgrades!$Q$9,H313)*POWER(Upgrades!$Q$10,I313)*POWER(Upgrades!$Q$11,J313)*POWER(Upgrades!$Q$12,K313)*Parameters!$B$10*Parameters!$B$11</f>
        <v>441</v>
      </c>
      <c r="AD313" s="27" t="n">
        <f aca="false">(IF(H313=0,0,(Upgrades!$G$9+H313*Upgrades!$H$9)*POWER(Upgrades!$I$9,H313)))*(IF(Upgrades!$T$6="Magnetosphere",POWER(Upgrades!$U$6,E313),1)*IF(Upgrades!$T$7="Magnetosphere",POWER(Upgrades!$U$7,F313),1)*IF(Upgrades!$T$8="Magnetosphere",POWER(Upgrades!$U$8,G313),1)*IF(Upgrades!$T$10="Magnetosphere",POWER(Upgrades!$U$10,I313),1)*IF(Upgrades!$T$11="Magnetosphere",POWER(Upgrades!$U$11,J313),1)*IF(Upgrades!$T$12="Magnetosphere",POWER(Upgrades!$U$12,K313),1))*POWER(Upgrades!$P$6,E313)*POWER(Upgrades!$P$7,F313)*POWER(Upgrades!$P$8,G313)*POWER(Upgrades!$P$9,H313)*POWER(Upgrades!$P$10,I313)*POWER(Upgrades!$P$11,J313)*POWER(Upgrades!$P$12,K313)*60</f>
        <v>375</v>
      </c>
      <c r="AE313" s="27" t="n">
        <f aca="false">(IF(K313=0,0,(Upgrades!$G$12+K313*Upgrades!$H$12)*POWER(Upgrades!$I$12,K313)))*(IF(Upgrades!$T$6="First Photons",POWER(Upgrades!$U$6,E313),1)*IF(Upgrades!$T$7="First Photons",POWER(Upgrades!$U$7,F313),1)*IF(Upgrades!$T$8="First Photons",POWER(Upgrades!$U$8,G313),1)*IF(Upgrades!$T$9="First Photons",POWER(Upgrades!$U$9,H313),1)*IF(Upgrades!$T$10="First Photons",POWER(Upgrades!$U$10,I313),1)*IF(Upgrades!$T$11="First Photons",POWER(Upgrades!$U$11,J313),1))*POWER(Upgrades!$P$6,E313)*POWER(Upgrades!$P$7,F313)*POWER(Upgrades!$P$8,G313)*POWER(Upgrades!$P$9,H313)*POWER(Upgrades!$P$10,I313)*POWER(Upgrades!$P$11,J313)*POWER(Upgrades!$P$12,K313)*60</f>
        <v>75</v>
      </c>
      <c r="AF313" s="27" t="n">
        <f aca="false">Parameters!$B$9*POWER(Upgrades!$Q$6,E313)*POWER(Upgrades!$Q$7,F313)*POWER(Upgrades!$Q$8,G313)*POWER(Upgrades!$Q$9,H313)*POWER(Upgrades!$Q$10,I313)*POWER(Upgrades!$Q$11,J313)*POWER(Upgrades!$Q$12,K313)*(Parameters!$B$10*Parameters!$B$11+O313*60)</f>
        <v>120</v>
      </c>
      <c r="AG313" s="21" t="n">
        <f aca="false">IF(E313&gt;=Upgrades!$E$6,"",Upgrades!$C$6*POWER(Upgrades!$D$6,E313))</f>
        <v>37.4517507383159</v>
      </c>
      <c r="AH313" s="21" t="n">
        <f aca="false">IF(F313&gt;=Upgrades!$E$7,"",Upgrades!$C$7*POWER(Upgrades!$D$7,F313))</f>
        <v>80.9111547141581</v>
      </c>
      <c r="AI313" s="21" t="n">
        <f aca="false">IF(G313&gt;=Upgrades!$E$8,"",Upgrades!$C$8*POWER(Upgrades!$D$8,G313))</f>
        <v>231.9097088</v>
      </c>
      <c r="AJ313" s="21" t="str">
        <f aca="false">IF(H313&gt;=Upgrades!$E$9,"",Upgrades!$C$9*POWER(Upgrades!$D$9,H313))</f>
        <v/>
      </c>
      <c r="AK313" s="21" t="str">
        <f aca="false">IF(I313&gt;=Upgrades!$E$10,"",Upgrades!$C$10*POWER(Upgrades!$D$10,I313))</f>
        <v/>
      </c>
      <c r="AL313" s="21" t="str">
        <f aca="false">IF(J313&gt;=Upgrades!$E$11,"",Upgrades!$C$11*POWER(Upgrades!$D$11,J313))</f>
        <v/>
      </c>
      <c r="AM313" s="21" t="str">
        <f aca="false">IF(K313&gt;=Upgrades!$E$12,"",Upgrades!$C$12*POWER(Upgrades!$D$12,K313))</f>
        <v/>
      </c>
      <c r="AN313" s="26" t="str">
        <f aca="false">IF(AND(D313&gt;=Parameters!$B$18,(H313&gt;=Upgrades!$E$9)*(K313&gt;=Upgrades!$E$12)=1,L313=0),1,"")</f>
        <v/>
      </c>
      <c r="AO313" s="26" t="str">
        <f aca="false">IF(AND(D313&gt;=Parameters!$B$18,L313=0),1,"")</f>
        <v/>
      </c>
      <c r="AP313" s="21" t="n">
        <f aca="false">MIN(IF(ISNUMBER(AK313),AK313,9000000000000000),IF(ISNUMBER(AL313),AL313,9000000000000000),IF(ISNUMBER(AM313),AM313,9000000000000000))</f>
        <v>9000000000000000</v>
      </c>
      <c r="AQ313" s="21" t="n">
        <f aca="false">MIN(IF(ISNUMBER(AG313),AG313,9000000000000000),IF(ISNUMBER(AH313),AH313,9000000000000000),IF(ISNUMBER(AI313),AI313,9000000000000000),IF(ISNUMBER(AJ313),AJ313,9000000000000000))</f>
        <v>37.4517507383159</v>
      </c>
      <c r="AR313" s="32" t="b">
        <f aca="false">IF(AW313&gt;Parameters!$B$21*(MAX(IF(AND(NOT(AND(AO313=1,AN313&lt;&gt;1)),ISNUMBER(AG313),AG313&lt;=T313),AS313,0),IF(AND(NOT(AND(AO313=1,AN313&lt;&gt;1)),ISNUMBER(AH313),AH313&lt;=T313),AT313,0),IF(AND(NOT(AND(AO313=1,AN313&lt;&gt;1)),ISNUMBER(AI313),AI313&lt;=T313),AU313,0),IF(AND(ISNUMBER(AJ313),AJ313&lt;=T313),AV313,0))),TRUE(),FALSE())</f>
        <v>1</v>
      </c>
      <c r="AS313" s="33" t="n">
        <f aca="false">IFERROR(Upgrades!$H$6*(POWER(Upgrades!$P$6,E313)*POWER(Upgrades!$P$7,F313)*POWER(Upgrades!$P$8,G313)*POWER(Upgrades!$P$9,H313)*POWER(Upgrades!$P$10,I313)*POWER(Upgrades!$P$11,J313)*POWER(Upgrades!$P$12,K313))*(IF(Upgrades!$T$7="Solar Wind",POWER(Upgrades!$U$7,F313),1)*IF(Upgrades!$T$8="Solar Wind",POWER(Upgrades!$U$8,G313),1)*IF(Upgrades!$T$9="Solar Wind",POWER(Upgrades!$U$9,H313),1)*IF(Upgrades!$T$10="Solar Wind",POWER(Upgrades!$U$10,I313),1)*IF(Upgrades!$T$11="Solar Wind",POWER(Upgrades!$U$11,J313),1)*IF(Upgrades!$T$12="Solar Wind",POWER(Upgrades!$U$12,K313),1))/AG313,0)</f>
        <v>0.0026701021455238</v>
      </c>
      <c r="AT313" s="33" t="n">
        <f aca="false">IFERROR(Upgrades!$H$7*(POWER(Upgrades!$P$6,E313)*POWER(Upgrades!$P$7,F313)*POWER(Upgrades!$P$8,G313)*POWER(Upgrades!$P$9,H313)*POWER(Upgrades!$P$10,I313)*POWER(Upgrades!$P$11,J313)*POWER(Upgrades!$P$12,K313))*(IF(Upgrades!$T$6="Asteroid Belt",POWER(Upgrades!$U$6,E313),1)*IF(Upgrades!$T$8="Asteroid Belt",POWER(Upgrades!$U$8,G313),1)*IF(Upgrades!$T$9="Asteroid Belt",POWER(Upgrades!$U$9,H313),1)*IF(Upgrades!$T$10="Asteroid Belt",POWER(Upgrades!$U$10,I313),1)*IF(Upgrades!$T$11="Asteroid Belt",POWER(Upgrades!$U$11,J313),1)*IF(Upgrades!$T$12="Asteroid Belt",POWER(Upgrades!$U$12,K313),1))/AH313,0)</f>
        <v>0.00308980882652332</v>
      </c>
      <c r="AU313" s="33" t="n">
        <f aca="false">IFERROR(Upgrades!$K$8*(POWER(Upgrades!$Q$6,E313)*POWER(Upgrades!$Q$7,F313)*POWER(Upgrades!$Q$8,G313)*POWER(Upgrades!$Q$9,H313)*POWER(Upgrades!$Q$10,I313)*POWER(Upgrades!$Q$11,J313)*POWER(Upgrades!$Q$12,K313))*(IF(Upgrades!$T$6="Stellar Coupling",POWER(Upgrades!$U$6,E313),1)*IF(Upgrades!$T$7="Stellar Coupling",POWER(Upgrades!$U$7,F313),1)*IF(Upgrades!$T$9="Stellar Coupling",POWER(Upgrades!$U$9,H313),1)*IF(Upgrades!$T$10="Stellar Coupling",POWER(Upgrades!$U$10,I313),1)*IF(Upgrades!$T$11="Stellar Coupling",POWER(Upgrades!$U$11,J313),1)*IF(Upgrades!$T$12="Stellar Coupling",POWER(Upgrades!$U$12,K313),1))*Parameters!$B$10*Parameters!$B$11/60/AI313,0)</f>
        <v>0.00452762415783776</v>
      </c>
      <c r="AV313" s="33" t="n">
        <f aca="false">IFERROR(Upgrades!$H$9*(POWER(Upgrades!$P$6,E313)*POWER(Upgrades!$P$7,F313)*POWER(Upgrades!$P$8,G313)*POWER(Upgrades!$P$9,H313)*POWER(Upgrades!$P$10,I313)*POWER(Upgrades!$P$11,J313)*POWER(Upgrades!$P$12,K313))*(IF(Upgrades!$T$6="Magnetosphere",POWER(Upgrades!$U$6,E313),1)*IF(Upgrades!$T$7="Magnetosphere",POWER(Upgrades!$U$7,F313),1)*IF(Upgrades!$T$8="Magnetosphere",POWER(Upgrades!$U$8,G313),1)*IF(Upgrades!$T$10="Magnetosphere",POWER(Upgrades!$U$10,I313),1)*IF(Upgrades!$T$11="Magnetosphere",POWER(Upgrades!$U$11,J313),1)*IF(Upgrades!$T$12="Magnetosphere",POWER(Upgrades!$U$12,K313),1))/AJ313,0)</f>
        <v>0</v>
      </c>
      <c r="AW313" s="33" t="n">
        <f aca="false">MAX(IF(I313&gt;0,0,IFERROR(0.25*N313/Upgrades!$C$10,0)),IF(J313&gt;0,0,IFERROR(0.5*((IF(G313=0,0,(Upgrades!$J$8+G313*Upgrades!$K$8)*POWER(Upgrades!$L$8,G313)))*(IF(Upgrades!$T$6="Stellar Coupling",POWER(Upgrades!$U$6,E313),1)*IF(Upgrades!$T$7="Stellar Coupling",POWER(Upgrades!$U$7,F313),1)*IF(Upgrades!$T$9="Stellar Coupling",POWER(Upgrades!$U$9,H313),1)*IF(Upgrades!$T$10="Stellar Coupling",POWER(Upgrades!$U$10,I313),1)*IF(Upgrades!$T$11="Stellar Coupling",POWER(Upgrades!$U$11,J313),1)*IF(Upgrades!$T$12="Stellar Coupling",POWER(Upgrades!$U$12,K313),1))*(POWER(Upgrades!$Q$6,E313)*POWER(Upgrades!$Q$7,F313)*POWER(Upgrades!$Q$8,G313)*POWER(Upgrades!$Q$9,H313)*POWER(Upgrades!$Q$10,I313)*POWER(Upgrades!$Q$11,J313)*POWER(Upgrades!$Q$12,K313))*Parameters!$B$10*Parameters!$B$11/60)/Upgrades!$C$11,0)),IF(K313&gt;0,0,IFERROR((1*(POWER(Upgrades!$P$6,E313)*POWER(Upgrades!$P$7,F313)*POWER(Upgrades!$P$8,G313)*POWER(Upgrades!$P$9,H313)*POWER(Upgrades!$P$10,I313)*POWER(Upgrades!$P$11,J313)*POWER(Upgrades!$P$12,K313))+0.2*M313*Parameters!$B$10*Parameters!$B$11/60)/Upgrades!$C$12,0)),IF(AND(ISNUMBER(AG313),AG313&gt;T313),AS313,0),IF(AND(ISNUMBER(AH313),AH313&gt;T313),AT313,0),IF(AND(ISNUMBER(AI313),AI313&gt;T313),AU313,0),IF(AND(ISNUMBER(AJ313),AJ313&gt;T313),AV313,0))</f>
        <v>0.00452762415783776</v>
      </c>
      <c r="AX313" s="29" t="str">
        <f aca="false">IF(AN313=1,"transition",IF(MIN(IF(AND(I313=0,ISNUMBER(AK313),AK313&lt;=T313),AK313,9000000000000000),IF(AND(J313=0,ISNUMBER(AL313),AL313&lt;=T313),AL313,9000000000000000),IF(AND(K313=0,ISNUMBER(AM313),AM313&lt;=T313),AM313,9000000000000000))&lt;9000000000000000,IF(AND(AND(I313=0,ISNUMBER(AK313),AK313&lt;=T313),AK313=MIN(IF(AND(I313=0,ISNUMBER(AK313),AK313&lt;=T313),AK313,9000000000000000),IF(AND(J313=0,ISNUMBER(AL313),AL313&lt;=T313),AL313,9000000000000000),IF(AND(K313=0,ISNUMBER(AM313),AM313&lt;=T313),AM313,9000000000000000))),"OR",IF(AND(AND(J313=0,ISNUMBER(AL313),AL313&lt;=T313),AL313=MIN(IF(AND(I313=0,ISNUMBER(AK313),AK313&lt;=T313),AK313,9000000000000000),IF(AND(J313=0,ISNUMBER(AL313),AL313&lt;=T313),AL313,9000000000000000),IF(AND(K313=0,ISNUMBER(AM313),AM313&lt;=T313),AM313,9000000000000000))),"HP","FP")),IF(AR313=TRUE(),"",IF(MAX(IF(AND(NOT(AND(AO313=1,AN313&lt;&gt;1)),ISNUMBER(AG313),AG313&lt;=T313),AS313,0),IF(AND(NOT(AND(AO313=1,AN313&lt;&gt;1)),ISNUMBER(AH313),AH313&lt;=T313),AT313,0),IF(AND(NOT(AND(AO313=1,AN313&lt;&gt;1)),ISNUMBER(AI313),AI313&lt;=T313),AU313,0),IF(AND(ISNUMBER(AJ313),AJ313&lt;=T313),AV313,0))&lt;=0,"",IF(AND(IF(AND(NOT(AND(AO313=1,AN313&lt;&gt;1)),ISNUMBER(AG313),AG313&lt;=T313),AS313,0)&gt;0,IF(AND(NOT(AND(AO313=1,AN313&lt;&gt;1)),ISNUMBER(AG313),AG313&lt;=T313),AS313,0)=MAX(IF(AND(NOT(AND(AO313=1,AN313&lt;&gt;1)),ISNUMBER(AG313),AG313&lt;=T313),AS313,0),IF(AND(NOT(AND(AO313=1,AN313&lt;&gt;1)),ISNUMBER(AH313),AH313&lt;=T313),AT313,0),IF(AND(NOT(AND(AO313=1,AN313&lt;&gt;1)),ISNUMBER(AI313),AI313&lt;=T313),AU313,0),IF(AND(ISNUMBER(AJ313),AJ313&lt;=T313),AV313,0))),"SW",IF(AND(IF(AND(NOT(AND(AO313=1,AN313&lt;&gt;1)),ISNUMBER(AH313),AH313&lt;=T313),AT313,0)&gt;0,IF(AND(NOT(AND(AO313=1,AN313&lt;&gt;1)),ISNUMBER(AH313),AH313&lt;=T313),AT313,0)=MAX(IF(AND(NOT(AND(AO313=1,AN313&lt;&gt;1)),ISNUMBER(AG313),AG313&lt;=T313),AS313,0),IF(AND(NOT(AND(AO313=1,AN313&lt;&gt;1)),ISNUMBER(AH313),AH313&lt;=T313),AT313,0),IF(AND(NOT(AND(AO313=1,AN313&lt;&gt;1)),ISNUMBER(AI313),AI313&lt;=T313),AU313,0),IF(AND(ISNUMBER(AJ313),AJ313&lt;=T313),AV313,0))),"AB",IF(AND(IF(AND(NOT(AND(AO313=1,AN313&lt;&gt;1)),ISNUMBER(AI313),AI313&lt;=T313),AU313,0)&gt;0,IF(AND(NOT(AND(AO313=1,AN313&lt;&gt;1)),ISNUMBER(AI313),AI313&lt;=T313),AU313,0)=MAX(IF(AND(NOT(AND(AO313=1,AN313&lt;&gt;1)),ISNUMBER(AG313),AG313&lt;=T313),AS313,0),IF(AND(NOT(AND(AO313=1,AN313&lt;&gt;1)),ISNUMBER(AH313),AH313&lt;=T313),AT313,0),IF(AND(NOT(AND(AO313=1,AN313&lt;&gt;1)),ISNUMBER(AI313),AI313&lt;=T313),AU313,0),IF(AND(ISNUMBER(AJ313),AJ313&lt;=T313),AV313,0))),"SC","Mag")))))))</f>
        <v/>
      </c>
    </row>
    <row r="314" customFormat="false" ht="15" hidden="false" customHeight="false" outlineLevel="0" collapsed="false">
      <c r="A314" s="26" t="n">
        <v>309</v>
      </c>
      <c r="B314" s="27" t="n">
        <f aca="false">A314*10/60</f>
        <v>51.5</v>
      </c>
      <c r="C314" s="21" t="n">
        <f aca="false">X313</f>
        <v>18.6730249835055</v>
      </c>
      <c r="D314" s="27" t="n">
        <f aca="false">D313+W313</f>
        <v>0</v>
      </c>
      <c r="E314" s="26" t="n">
        <f aca="false">E313+IF(U313="SW",1,0)</f>
        <v>12</v>
      </c>
      <c r="F314" s="26" t="n">
        <f aca="false">F313+IF(U313="AB",1,0)</f>
        <v>10</v>
      </c>
      <c r="G314" s="26" t="n">
        <f aca="false">G313+IF(U313="SC",1,0)</f>
        <v>7</v>
      </c>
      <c r="H314" s="26" t="n">
        <f aca="false">H313+IF(U313="Mag",1,0)</f>
        <v>5</v>
      </c>
      <c r="I314" s="26" t="n">
        <f aca="false">MAX(I313,IF(U313="OR",1,0))</f>
        <v>1</v>
      </c>
      <c r="J314" s="26" t="n">
        <f aca="false">MAX(J313,IF(U313="HP",1,0))</f>
        <v>1</v>
      </c>
      <c r="K314" s="26" t="n">
        <f aca="false">MAX(K313,IF(U313="FP",1,0))</f>
        <v>1</v>
      </c>
      <c r="L314" s="26" t="n">
        <f aca="false">MAX(L313,IF(U313="transition",1,0))</f>
        <v>1</v>
      </c>
      <c r="M314" s="28" t="n">
        <f aca="false">(Parameters!$B$9+(IF(E314=0,0,(Upgrades!$J$6+E314*Upgrades!$K$6)*POWER(Upgrades!$L$6,E314)))*(IF(Upgrades!$T$7="Solar Wind",POWER(Upgrades!$U$7,F314),1)*IF(Upgrades!$T$8="Solar Wind",POWER(Upgrades!$U$8,G314),1)*IF(Upgrades!$T$9="Solar Wind",POWER(Upgrades!$U$9,H314),1)*IF(Upgrades!$T$10="Solar Wind",POWER(Upgrades!$U$10,I314),1)*IF(Upgrades!$T$11="Solar Wind",POWER(Upgrades!$U$11,J314),1)*IF(Upgrades!$T$12="Solar Wind",POWER(Upgrades!$U$12,K314),1))+(IF(F314=0,0,(Upgrades!$J$7+F314*Upgrades!$K$7)*POWER(Upgrades!$L$7,F314)))*(IF(Upgrades!$T$6="Asteroid Belt",POWER(Upgrades!$U$6,E314),1)*IF(Upgrades!$T$8="Asteroid Belt",POWER(Upgrades!$U$8,G314),1)*IF(Upgrades!$T$9="Asteroid Belt",POWER(Upgrades!$U$9,H314),1)*IF(Upgrades!$T$10="Asteroid Belt",POWER(Upgrades!$U$10,I314),1)*IF(Upgrades!$T$11="Asteroid Belt",POWER(Upgrades!$U$11,J314),1)*IF(Upgrades!$T$12="Asteroid Belt",POWER(Upgrades!$U$12,K314),1))+(IF(G314=0,0,(Upgrades!$J$8+G314*Upgrades!$K$8)*POWER(Upgrades!$L$8,G314)))*(IF(Upgrades!$T$6="Stellar Coupling",POWER(Upgrades!$U$6,E314),1)*IF(Upgrades!$T$7="Stellar Coupling",POWER(Upgrades!$U$7,F314),1)*IF(Upgrades!$T$9="Stellar Coupling",POWER(Upgrades!$U$9,H314),1)*IF(Upgrades!$T$10="Stellar Coupling",POWER(Upgrades!$U$10,I314),1)*IF(Upgrades!$T$11="Stellar Coupling",POWER(Upgrades!$U$11,J314),1)*IF(Upgrades!$T$12="Stellar Coupling",POWER(Upgrades!$U$12,K314),1))+(IF(H314=0,0,(Upgrades!$J$9+H314*Upgrades!$K$9)*POWER(Upgrades!$L$9,H314)))*(IF(Upgrades!$T$6="Magnetosphere",POWER(Upgrades!$U$6,E314),1)*IF(Upgrades!$T$7="Magnetosphere",POWER(Upgrades!$U$7,F314),1)*IF(Upgrades!$T$8="Magnetosphere",POWER(Upgrades!$U$8,G314),1)*IF(Upgrades!$T$10="Magnetosphere",POWER(Upgrades!$U$10,I314),1)*IF(Upgrades!$T$11="Magnetosphere",POWER(Upgrades!$U$11,J314),1)*IF(Upgrades!$T$12="Magnetosphere",POWER(Upgrades!$U$12,K314),1))+(IF(I314=0,0,(Upgrades!$J$10+I314*Upgrades!$K$10)*POWER(Upgrades!$L$10,I314)))*(IF(Upgrades!$T$6="Orbital Resonance",POWER(Upgrades!$U$6,E314),1)*IF(Upgrades!$T$7="Orbital Resonance",POWER(Upgrades!$U$7,F314),1)*IF(Upgrades!$T$8="Orbital Resonance",POWER(Upgrades!$U$8,G314),1)*IF(Upgrades!$T$9="Orbital Resonance",POWER(Upgrades!$U$9,H314),1)*IF(Upgrades!$T$11="Orbital Resonance",POWER(Upgrades!$U$11,J314),1)*IF(Upgrades!$T$12="Orbital Resonance",POWER(Upgrades!$U$12,K314),1))+(IF(J314=0,0,(Upgrades!$J$11+J314*Upgrades!$K$11)*POWER(Upgrades!$L$11,J314)))*(IF(Upgrades!$T$6="Heliopause",POWER(Upgrades!$U$6,E314),1)*IF(Upgrades!$T$7="Heliopause",POWER(Upgrades!$U$7,F314),1)*IF(Upgrades!$T$8="Heliopause",POWER(Upgrades!$U$8,G314),1)*IF(Upgrades!$T$9="Heliopause",POWER(Upgrades!$U$9,H314),1)*IF(Upgrades!$T$10="Heliopause",POWER(Upgrades!$U$10,I314),1)*IF(Upgrades!$T$12="Heliopause",POWER(Upgrades!$U$12,K314),1))+(IF(K314=0,0,(Upgrades!$J$12+K314*Upgrades!$K$12)*POWER(Upgrades!$L$12,K314)))*(IF(Upgrades!$T$6="First Photons",POWER(Upgrades!$U$6,E314),1)*IF(Upgrades!$T$7="First Photons",POWER(Upgrades!$U$7,F314),1)*IF(Upgrades!$T$8="First Photons",POWER(Upgrades!$U$8,G314),1)*IF(Upgrades!$T$9="First Photons",POWER(Upgrades!$U$9,H314),1)*IF(Upgrades!$T$10="First Photons",POWER(Upgrades!$U$10,I314),1)*IF(Upgrades!$T$11="First Photons",POWER(Upgrades!$U$11,J314),1)))*POWER(Upgrades!$Q$6,E314)*POWER(Upgrades!$Q$7,F314)*POWER(Upgrades!$Q$8,G314)*POWER(Upgrades!$Q$9,H314)*POWER(Upgrades!$Q$10,I314)*POWER(Upgrades!$Q$11,J314)*POWER(Upgrades!$Q$12,K314)</f>
        <v>5.61</v>
      </c>
      <c r="N314" s="28" t="n">
        <f aca="false">((IF(E314=0,0,(Upgrades!$G$6+E314*Upgrades!$H$6)*POWER(Upgrades!$I$6,E314)))*(IF(Upgrades!$T$7="Solar Wind",POWER(Upgrades!$U$7,F314),1)*IF(Upgrades!$T$8="Solar Wind",POWER(Upgrades!$U$8,G314),1)*IF(Upgrades!$T$9="Solar Wind",POWER(Upgrades!$U$9,H314),1)*IF(Upgrades!$T$10="Solar Wind",POWER(Upgrades!$U$10,I314),1)*IF(Upgrades!$T$11="Solar Wind",POWER(Upgrades!$U$11,J314),1)*IF(Upgrades!$T$12="Solar Wind",POWER(Upgrades!$U$12,K314),1))+(IF(F314=0,0,(Upgrades!$G$7+F314*Upgrades!$H$7)*POWER(Upgrades!$I$7,F314)))*(IF(Upgrades!$T$6="Asteroid Belt",POWER(Upgrades!$U$6,E314),1)*IF(Upgrades!$T$8="Asteroid Belt",POWER(Upgrades!$U$8,G314),1)*IF(Upgrades!$T$9="Asteroid Belt",POWER(Upgrades!$U$9,H314),1)*IF(Upgrades!$T$10="Asteroid Belt",POWER(Upgrades!$U$10,I314),1)*IF(Upgrades!$T$11="Asteroid Belt",POWER(Upgrades!$U$11,J314),1)*IF(Upgrades!$T$12="Asteroid Belt",POWER(Upgrades!$U$12,K314),1))+(IF(G314=0,0,(Upgrades!$G$8+G314*Upgrades!$H$8)*POWER(Upgrades!$I$8,G314)))*(IF(Upgrades!$T$6="Stellar Coupling",POWER(Upgrades!$U$6,E314),1)*IF(Upgrades!$T$7="Stellar Coupling",POWER(Upgrades!$U$7,F314),1)*IF(Upgrades!$T$9="Stellar Coupling",POWER(Upgrades!$U$9,H314),1)*IF(Upgrades!$T$10="Stellar Coupling",POWER(Upgrades!$U$10,I314),1)*IF(Upgrades!$T$11="Stellar Coupling",POWER(Upgrades!$U$11,J314),1)*IF(Upgrades!$T$12="Stellar Coupling",POWER(Upgrades!$U$12,K314),1))+(IF(H314=0,0,(Upgrades!$G$9+H314*Upgrades!$H$9)*POWER(Upgrades!$I$9,H314)))*(IF(Upgrades!$T$6="Magnetosphere",POWER(Upgrades!$U$6,E314),1)*IF(Upgrades!$T$7="Magnetosphere",POWER(Upgrades!$U$7,F314),1)*IF(Upgrades!$T$8="Magnetosphere",POWER(Upgrades!$U$8,G314),1)*IF(Upgrades!$T$10="Magnetosphere",POWER(Upgrades!$U$10,I314),1)*IF(Upgrades!$T$11="Magnetosphere",POWER(Upgrades!$U$11,J314),1)*IF(Upgrades!$T$12="Magnetosphere",POWER(Upgrades!$U$12,K314),1))+(IF(I314=0,0,(Upgrades!$G$10+I314*Upgrades!$H$10)*POWER(Upgrades!$I$10,I314)))*(IF(Upgrades!$T$6="Orbital Resonance",POWER(Upgrades!$U$6,E314),1)*IF(Upgrades!$T$7="Orbital Resonance",POWER(Upgrades!$U$7,F314),1)*IF(Upgrades!$T$8="Orbital Resonance",POWER(Upgrades!$U$8,G314),1)*IF(Upgrades!$T$9="Orbital Resonance",POWER(Upgrades!$U$9,H314),1)*IF(Upgrades!$T$11="Orbital Resonance",POWER(Upgrades!$U$11,J314),1)*IF(Upgrades!$T$12="Orbital Resonance",POWER(Upgrades!$U$12,K314),1))+(IF(J314=0,0,(Upgrades!$G$11+J314*Upgrades!$H$11)*POWER(Upgrades!$I$11,J314)))*(IF(Upgrades!$T$6="Heliopause",POWER(Upgrades!$U$6,E314),1)*IF(Upgrades!$T$7="Heliopause",POWER(Upgrades!$U$7,F314),1)*IF(Upgrades!$T$8="Heliopause",POWER(Upgrades!$U$8,G314),1)*IF(Upgrades!$T$9="Heliopause",POWER(Upgrades!$U$9,H314),1)*IF(Upgrades!$T$10="Heliopause",POWER(Upgrades!$U$10,I314),1)*IF(Upgrades!$T$12="Heliopause",POWER(Upgrades!$U$12,K314),1))+(IF(K314=0,0,(Upgrades!$G$12+K314*Upgrades!$H$12)*POWER(Upgrades!$I$12,K314)))*(IF(Upgrades!$T$6="First Photons",POWER(Upgrades!$U$6,E314),1)*IF(Upgrades!$T$7="First Photons",POWER(Upgrades!$U$7,F314),1)*IF(Upgrades!$T$8="First Photons",POWER(Upgrades!$U$8,G314),1)*IF(Upgrades!$T$9="First Photons",POWER(Upgrades!$U$9,H314),1)*IF(Upgrades!$T$10="First Photons",POWER(Upgrades!$U$10,I314),1)*IF(Upgrades!$T$11="First Photons",POWER(Upgrades!$U$11,J314),1)))*POWER(Upgrades!$P$6,E314)*POWER(Upgrades!$P$7,F314)*POWER(Upgrades!$P$8,G314)*POWER(Upgrades!$P$9,H314)*POWER(Upgrades!$P$10,I314)*POWER(Upgrades!$P$11,J314)*POWER(Upgrades!$P$12,K314)</f>
        <v>11.2</v>
      </c>
      <c r="O314" s="28" t="n">
        <f aca="false">((IF(E314=0,0,(Upgrades!$M$6+E314*Upgrades!$N$6)*POWER(Upgrades!$O$6,E314)))*(IF(Upgrades!$T$7="Solar Wind",POWER(Upgrades!$U$7,F314),1)*IF(Upgrades!$T$8="Solar Wind",POWER(Upgrades!$U$8,G314),1)*IF(Upgrades!$T$9="Solar Wind",POWER(Upgrades!$U$9,H314),1)*IF(Upgrades!$T$10="Solar Wind",POWER(Upgrades!$U$10,I314),1)*IF(Upgrades!$T$11="Solar Wind",POWER(Upgrades!$U$11,J314),1)*IF(Upgrades!$T$12="Solar Wind",POWER(Upgrades!$U$12,K314),1))+(IF(F314=0,0,(Upgrades!$M$7+F314*Upgrades!$N$7)*POWER(Upgrades!$O$7,F314)))*(IF(Upgrades!$T$6="Asteroid Belt",POWER(Upgrades!$U$6,E314),1)*IF(Upgrades!$T$8="Asteroid Belt",POWER(Upgrades!$U$8,G314),1)*IF(Upgrades!$T$9="Asteroid Belt",POWER(Upgrades!$U$9,H314),1)*IF(Upgrades!$T$10="Asteroid Belt",POWER(Upgrades!$U$10,I314),1)*IF(Upgrades!$T$11="Asteroid Belt",POWER(Upgrades!$U$11,J314),1)*IF(Upgrades!$T$12="Asteroid Belt",POWER(Upgrades!$U$12,K314),1))+(IF(G314=0,0,(Upgrades!$M$8+G314*Upgrades!$N$8)*POWER(Upgrades!$O$8,G314)))*(IF(Upgrades!$T$6="Stellar Coupling",POWER(Upgrades!$U$6,E314),1)*IF(Upgrades!$T$7="Stellar Coupling",POWER(Upgrades!$U$7,F314),1)*IF(Upgrades!$T$9="Stellar Coupling",POWER(Upgrades!$U$9,H314),1)*IF(Upgrades!$T$10="Stellar Coupling",POWER(Upgrades!$U$10,I314),1)*IF(Upgrades!$T$11="Stellar Coupling",POWER(Upgrades!$U$11,J314),1)*IF(Upgrades!$T$12="Stellar Coupling",POWER(Upgrades!$U$12,K314),1))+(IF(H314=0,0,(Upgrades!$M$9+H314*Upgrades!$N$9)*POWER(Upgrades!$O$9,H314)))*(IF(Upgrades!$T$6="Magnetosphere",POWER(Upgrades!$U$6,E314),1)*IF(Upgrades!$T$7="Magnetosphere",POWER(Upgrades!$U$7,F314),1)*IF(Upgrades!$T$8="Magnetosphere",POWER(Upgrades!$U$8,G314),1)*IF(Upgrades!$T$10="Magnetosphere",POWER(Upgrades!$U$10,I314),1)*IF(Upgrades!$T$11="Magnetosphere",POWER(Upgrades!$U$11,J314),1)*IF(Upgrades!$T$12="Magnetosphere",POWER(Upgrades!$U$12,K314),1))+(IF(I314=0,0,(Upgrades!$M$10+I314*Upgrades!$N$10)*POWER(Upgrades!$O$10,I314)))*(IF(Upgrades!$T$6="Orbital Resonance",POWER(Upgrades!$U$6,E314),1)*IF(Upgrades!$T$7="Orbital Resonance",POWER(Upgrades!$U$7,F314),1)*IF(Upgrades!$T$8="Orbital Resonance",POWER(Upgrades!$U$8,G314),1)*IF(Upgrades!$T$9="Orbital Resonance",POWER(Upgrades!$U$9,H314),1)*IF(Upgrades!$T$11="Orbital Resonance",POWER(Upgrades!$U$11,J314),1)*IF(Upgrades!$T$12="Orbital Resonance",POWER(Upgrades!$U$12,K314),1))+(IF(J314=0,0,(Upgrades!$M$11+J314*Upgrades!$N$11)*POWER(Upgrades!$O$11,J314)))*(IF(Upgrades!$T$6="Heliopause",POWER(Upgrades!$U$6,E314),1)*IF(Upgrades!$T$7="Heliopause",POWER(Upgrades!$U$7,F314),1)*IF(Upgrades!$T$8="Heliopause",POWER(Upgrades!$U$8,G314),1)*IF(Upgrades!$T$9="Heliopause",POWER(Upgrades!$U$9,H314),1)*IF(Upgrades!$T$10="Heliopause",POWER(Upgrades!$U$10,I314),1)*IF(Upgrades!$T$12="Heliopause",POWER(Upgrades!$U$12,K314),1))+(IF(K314=0,0,(Upgrades!$M$12+K314*Upgrades!$N$12)*POWER(Upgrades!$O$12,K314)))*(IF(Upgrades!$T$6="First Photons",POWER(Upgrades!$U$6,E314),1)*IF(Upgrades!$T$7="First Photons",POWER(Upgrades!$U$7,F314),1)*IF(Upgrades!$T$8="First Photons",POWER(Upgrades!$U$8,G314),1)*IF(Upgrades!$T$9="First Photons",POWER(Upgrades!$U$9,H314),1)*IF(Upgrades!$T$10="First Photons",POWER(Upgrades!$U$10,I314),1)*IF(Upgrades!$T$11="First Photons",POWER(Upgrades!$U$11,J314),1)))*POWER(Upgrades!$R$6,E314)*POWER(Upgrades!$R$7,F314)*POWER(Upgrades!$R$8,G314)*POWER(Upgrades!$R$9,H314)*POWER(Upgrades!$R$10,I314)*POWER(Upgrades!$R$11,J314)*POWER(Upgrades!$R$12,K314)</f>
        <v>0</v>
      </c>
      <c r="P314" s="27" t="n">
        <f aca="false">IF(L314=1,0,M314*Parameters!$B$10/60*Parameters!$B$11*10)</f>
        <v>0</v>
      </c>
      <c r="Q314" s="27" t="n">
        <f aca="false">IF(L314=1,0,O314*M314*10)</f>
        <v>0</v>
      </c>
      <c r="R314" s="27" t="n">
        <f aca="false">IF(L314=1,0,N314*10)</f>
        <v>0</v>
      </c>
      <c r="S314" s="27" t="n">
        <f aca="false">P314+Q314+R314</f>
        <v>0</v>
      </c>
      <c r="T314" s="21" t="n">
        <f aca="false">C314+S314</f>
        <v>18.6730249835055</v>
      </c>
      <c r="U314" s="34" t="str">
        <f aca="false">AX314</f>
        <v/>
      </c>
      <c r="V314" s="21" t="n">
        <f aca="false">IF(U314="",0,IF(U314="transition",0,IF(U314="SW",AG314,IF(U314="AB",AH314,IF(U314="SC",AI314,IF(U314="Mag",AJ314,IF(U314="OR",AK314,IF(U314="HP",AL314,IF(U314="FP",AM314,0)))))))))</f>
        <v>0</v>
      </c>
      <c r="W314" s="27" t="n">
        <f aca="false">IF(U314="OR",Upgrades!$F$10,IF(U314="HP",Upgrades!$F$11,IF(U314="transition",-Parameters!$B$18,0)))</f>
        <v>0</v>
      </c>
      <c r="X314" s="21" t="n">
        <f aca="false">T314-V314</f>
        <v>18.6730249835055</v>
      </c>
      <c r="Y314" s="30" t="n">
        <f aca="false">M314*Parameters!$B$10/60*Parameters!$B$11+O314*M314+N314</f>
        <v>20.55</v>
      </c>
      <c r="Z314" s="35" t="str">
        <f aca="false">IF(U314="transition","→ Tier 2 (Stellar Neighborhood)",IF(U314="FP","First Photons — light begins, system quickens",IF(U314="HP","Heliopause acquired",IF(U314="OR","Orbital Resonance — passive multiplier active",IF(AND(AO314=1,L314=0,AN314&lt;&gt;1),"Cohesion ready (waiting on completionist upgrades)","")))))</f>
        <v/>
      </c>
      <c r="AA314" s="27" t="n">
        <f aca="false">(IF(E314=0,0,(Upgrades!$G$6+E314*Upgrades!$H$6)*POWER(Upgrades!$I$6,E314)))*(IF(Upgrades!$T$7="Solar Wind",POWER(Upgrades!$U$7,F314),1)*IF(Upgrades!$T$8="Solar Wind",POWER(Upgrades!$U$8,G314),1)*IF(Upgrades!$T$9="Solar Wind",POWER(Upgrades!$U$9,H314),1)*IF(Upgrades!$T$10="Solar Wind",POWER(Upgrades!$U$10,I314),1)*IF(Upgrades!$T$11="Solar Wind",POWER(Upgrades!$U$11,J314),1)*IF(Upgrades!$T$12="Solar Wind",POWER(Upgrades!$U$12,K314),1))*POWER(Upgrades!$P$6,E314)*POWER(Upgrades!$P$7,F314)*POWER(Upgrades!$P$8,G314)*POWER(Upgrades!$P$9,H314)*POWER(Upgrades!$P$10,I314)*POWER(Upgrades!$P$11,J314)*POWER(Upgrades!$P$12,K314)*60</f>
        <v>72</v>
      </c>
      <c r="AB314" s="27" t="n">
        <f aca="false">(IF(F314=0,0,(Upgrades!$G$7+F314*Upgrades!$H$7)*POWER(Upgrades!$I$7,F314)))*(IF(Upgrades!$T$6="Asteroid Belt",POWER(Upgrades!$U$6,E314),1)*IF(Upgrades!$T$8="Asteroid Belt",POWER(Upgrades!$U$8,G314),1)*IF(Upgrades!$T$9="Asteroid Belt",POWER(Upgrades!$U$9,H314),1)*IF(Upgrades!$T$10="Asteroid Belt",POWER(Upgrades!$U$10,I314),1)*IF(Upgrades!$T$11="Asteroid Belt",POWER(Upgrades!$U$11,J314),1)*IF(Upgrades!$T$12="Asteroid Belt",POWER(Upgrades!$U$12,K314),1))*POWER(Upgrades!$P$6,E314)*POWER(Upgrades!$P$7,F314)*POWER(Upgrades!$P$8,G314)*POWER(Upgrades!$P$9,H314)*POWER(Upgrades!$P$10,I314)*POWER(Upgrades!$P$11,J314)*POWER(Upgrades!$P$12,K314)*60</f>
        <v>150</v>
      </c>
      <c r="AC314" s="27" t="n">
        <f aca="false">(IF(G314=0,0,(Upgrades!$J$8+G314*Upgrades!$K$8)*POWER(Upgrades!$L$8,G314)))*(IF(Upgrades!$T$6="Stellar Coupling",POWER(Upgrades!$U$6,E314),1)*IF(Upgrades!$T$7="Stellar Coupling",POWER(Upgrades!$U$7,F314),1)*IF(Upgrades!$T$9="Stellar Coupling",POWER(Upgrades!$U$9,H314),1)*IF(Upgrades!$T$10="Stellar Coupling",POWER(Upgrades!$U$10,I314),1)*IF(Upgrades!$T$11="Stellar Coupling",POWER(Upgrades!$U$11,J314),1)*IF(Upgrades!$T$12="Stellar Coupling",POWER(Upgrades!$U$12,K314),1))*POWER(Upgrades!$Q$6,E314)*POWER(Upgrades!$Q$7,F314)*POWER(Upgrades!$Q$8,G314)*POWER(Upgrades!$Q$9,H314)*POWER(Upgrades!$Q$10,I314)*POWER(Upgrades!$Q$11,J314)*POWER(Upgrades!$Q$12,K314)*Parameters!$B$10*Parameters!$B$11</f>
        <v>441</v>
      </c>
      <c r="AD314" s="27" t="n">
        <f aca="false">(IF(H314=0,0,(Upgrades!$G$9+H314*Upgrades!$H$9)*POWER(Upgrades!$I$9,H314)))*(IF(Upgrades!$T$6="Magnetosphere",POWER(Upgrades!$U$6,E314),1)*IF(Upgrades!$T$7="Magnetosphere",POWER(Upgrades!$U$7,F314),1)*IF(Upgrades!$T$8="Magnetosphere",POWER(Upgrades!$U$8,G314),1)*IF(Upgrades!$T$10="Magnetosphere",POWER(Upgrades!$U$10,I314),1)*IF(Upgrades!$T$11="Magnetosphere",POWER(Upgrades!$U$11,J314),1)*IF(Upgrades!$T$12="Magnetosphere",POWER(Upgrades!$U$12,K314),1))*POWER(Upgrades!$P$6,E314)*POWER(Upgrades!$P$7,F314)*POWER(Upgrades!$P$8,G314)*POWER(Upgrades!$P$9,H314)*POWER(Upgrades!$P$10,I314)*POWER(Upgrades!$P$11,J314)*POWER(Upgrades!$P$12,K314)*60</f>
        <v>375</v>
      </c>
      <c r="AE314" s="27" t="n">
        <f aca="false">(IF(K314=0,0,(Upgrades!$G$12+K314*Upgrades!$H$12)*POWER(Upgrades!$I$12,K314)))*(IF(Upgrades!$T$6="First Photons",POWER(Upgrades!$U$6,E314),1)*IF(Upgrades!$T$7="First Photons",POWER(Upgrades!$U$7,F314),1)*IF(Upgrades!$T$8="First Photons",POWER(Upgrades!$U$8,G314),1)*IF(Upgrades!$T$9="First Photons",POWER(Upgrades!$U$9,H314),1)*IF(Upgrades!$T$10="First Photons",POWER(Upgrades!$U$10,I314),1)*IF(Upgrades!$T$11="First Photons",POWER(Upgrades!$U$11,J314),1))*POWER(Upgrades!$P$6,E314)*POWER(Upgrades!$P$7,F314)*POWER(Upgrades!$P$8,G314)*POWER(Upgrades!$P$9,H314)*POWER(Upgrades!$P$10,I314)*POWER(Upgrades!$P$11,J314)*POWER(Upgrades!$P$12,K314)*60</f>
        <v>75</v>
      </c>
      <c r="AF314" s="27" t="n">
        <f aca="false">Parameters!$B$9*POWER(Upgrades!$Q$6,E314)*POWER(Upgrades!$Q$7,F314)*POWER(Upgrades!$Q$8,G314)*POWER(Upgrades!$Q$9,H314)*POWER(Upgrades!$Q$10,I314)*POWER(Upgrades!$Q$11,J314)*POWER(Upgrades!$Q$12,K314)*(Parameters!$B$10*Parameters!$B$11+O314*60)</f>
        <v>120</v>
      </c>
      <c r="AG314" s="21" t="n">
        <f aca="false">IF(E314&gt;=Upgrades!$E$6,"",Upgrades!$C$6*POWER(Upgrades!$D$6,E314))</f>
        <v>37.4517507383159</v>
      </c>
      <c r="AH314" s="21" t="n">
        <f aca="false">IF(F314&gt;=Upgrades!$E$7,"",Upgrades!$C$7*POWER(Upgrades!$D$7,F314))</f>
        <v>80.9111547141581</v>
      </c>
      <c r="AI314" s="21" t="n">
        <f aca="false">IF(G314&gt;=Upgrades!$E$8,"",Upgrades!$C$8*POWER(Upgrades!$D$8,G314))</f>
        <v>231.9097088</v>
      </c>
      <c r="AJ314" s="21" t="str">
        <f aca="false">IF(H314&gt;=Upgrades!$E$9,"",Upgrades!$C$9*POWER(Upgrades!$D$9,H314))</f>
        <v/>
      </c>
      <c r="AK314" s="21" t="str">
        <f aca="false">IF(I314&gt;=Upgrades!$E$10,"",Upgrades!$C$10*POWER(Upgrades!$D$10,I314))</f>
        <v/>
      </c>
      <c r="AL314" s="21" t="str">
        <f aca="false">IF(J314&gt;=Upgrades!$E$11,"",Upgrades!$C$11*POWER(Upgrades!$D$11,J314))</f>
        <v/>
      </c>
      <c r="AM314" s="21" t="str">
        <f aca="false">IF(K314&gt;=Upgrades!$E$12,"",Upgrades!$C$12*POWER(Upgrades!$D$12,K314))</f>
        <v/>
      </c>
      <c r="AN314" s="26" t="str">
        <f aca="false">IF(AND(D314&gt;=Parameters!$B$18,(H314&gt;=Upgrades!$E$9)*(K314&gt;=Upgrades!$E$12)=1,L314=0),1,"")</f>
        <v/>
      </c>
      <c r="AO314" s="26" t="str">
        <f aca="false">IF(AND(D314&gt;=Parameters!$B$18,L314=0),1,"")</f>
        <v/>
      </c>
      <c r="AP314" s="21" t="n">
        <f aca="false">MIN(IF(ISNUMBER(AK314),AK314,9000000000000000),IF(ISNUMBER(AL314),AL314,9000000000000000),IF(ISNUMBER(AM314),AM314,9000000000000000))</f>
        <v>9000000000000000</v>
      </c>
      <c r="AQ314" s="21" t="n">
        <f aca="false">MIN(IF(ISNUMBER(AG314),AG314,9000000000000000),IF(ISNUMBER(AH314),AH314,9000000000000000),IF(ISNUMBER(AI314),AI314,9000000000000000),IF(ISNUMBER(AJ314),AJ314,9000000000000000))</f>
        <v>37.4517507383159</v>
      </c>
      <c r="AR314" s="32" t="b">
        <f aca="false">IF(AW314&gt;Parameters!$B$21*(MAX(IF(AND(NOT(AND(AO314=1,AN314&lt;&gt;1)),ISNUMBER(AG314),AG314&lt;=T314),AS314,0),IF(AND(NOT(AND(AO314=1,AN314&lt;&gt;1)),ISNUMBER(AH314),AH314&lt;=T314),AT314,0),IF(AND(NOT(AND(AO314=1,AN314&lt;&gt;1)),ISNUMBER(AI314),AI314&lt;=T314),AU314,0),IF(AND(ISNUMBER(AJ314),AJ314&lt;=T314),AV314,0))),TRUE(),FALSE())</f>
        <v>1</v>
      </c>
      <c r="AS314" s="33" t="n">
        <f aca="false">IFERROR(Upgrades!$H$6*(POWER(Upgrades!$P$6,E314)*POWER(Upgrades!$P$7,F314)*POWER(Upgrades!$P$8,G314)*POWER(Upgrades!$P$9,H314)*POWER(Upgrades!$P$10,I314)*POWER(Upgrades!$P$11,J314)*POWER(Upgrades!$P$12,K314))*(IF(Upgrades!$T$7="Solar Wind",POWER(Upgrades!$U$7,F314),1)*IF(Upgrades!$T$8="Solar Wind",POWER(Upgrades!$U$8,G314),1)*IF(Upgrades!$T$9="Solar Wind",POWER(Upgrades!$U$9,H314),1)*IF(Upgrades!$T$10="Solar Wind",POWER(Upgrades!$U$10,I314),1)*IF(Upgrades!$T$11="Solar Wind",POWER(Upgrades!$U$11,J314),1)*IF(Upgrades!$T$12="Solar Wind",POWER(Upgrades!$U$12,K314),1))/AG314,0)</f>
        <v>0.0026701021455238</v>
      </c>
      <c r="AT314" s="33" t="n">
        <f aca="false">IFERROR(Upgrades!$H$7*(POWER(Upgrades!$P$6,E314)*POWER(Upgrades!$P$7,F314)*POWER(Upgrades!$P$8,G314)*POWER(Upgrades!$P$9,H314)*POWER(Upgrades!$P$10,I314)*POWER(Upgrades!$P$11,J314)*POWER(Upgrades!$P$12,K314))*(IF(Upgrades!$T$6="Asteroid Belt",POWER(Upgrades!$U$6,E314),1)*IF(Upgrades!$T$8="Asteroid Belt",POWER(Upgrades!$U$8,G314),1)*IF(Upgrades!$T$9="Asteroid Belt",POWER(Upgrades!$U$9,H314),1)*IF(Upgrades!$T$10="Asteroid Belt",POWER(Upgrades!$U$10,I314),1)*IF(Upgrades!$T$11="Asteroid Belt",POWER(Upgrades!$U$11,J314),1)*IF(Upgrades!$T$12="Asteroid Belt",POWER(Upgrades!$U$12,K314),1))/AH314,0)</f>
        <v>0.00308980882652332</v>
      </c>
      <c r="AU314" s="33" t="n">
        <f aca="false">IFERROR(Upgrades!$K$8*(POWER(Upgrades!$Q$6,E314)*POWER(Upgrades!$Q$7,F314)*POWER(Upgrades!$Q$8,G314)*POWER(Upgrades!$Q$9,H314)*POWER(Upgrades!$Q$10,I314)*POWER(Upgrades!$Q$11,J314)*POWER(Upgrades!$Q$12,K314))*(IF(Upgrades!$T$6="Stellar Coupling",POWER(Upgrades!$U$6,E314),1)*IF(Upgrades!$T$7="Stellar Coupling",POWER(Upgrades!$U$7,F314),1)*IF(Upgrades!$T$9="Stellar Coupling",POWER(Upgrades!$U$9,H314),1)*IF(Upgrades!$T$10="Stellar Coupling",POWER(Upgrades!$U$10,I314),1)*IF(Upgrades!$T$11="Stellar Coupling",POWER(Upgrades!$U$11,J314),1)*IF(Upgrades!$T$12="Stellar Coupling",POWER(Upgrades!$U$12,K314),1))*Parameters!$B$10*Parameters!$B$11/60/AI314,0)</f>
        <v>0.00452762415783776</v>
      </c>
      <c r="AV314" s="33" t="n">
        <f aca="false">IFERROR(Upgrades!$H$9*(POWER(Upgrades!$P$6,E314)*POWER(Upgrades!$P$7,F314)*POWER(Upgrades!$P$8,G314)*POWER(Upgrades!$P$9,H314)*POWER(Upgrades!$P$10,I314)*POWER(Upgrades!$P$11,J314)*POWER(Upgrades!$P$12,K314))*(IF(Upgrades!$T$6="Magnetosphere",POWER(Upgrades!$U$6,E314),1)*IF(Upgrades!$T$7="Magnetosphere",POWER(Upgrades!$U$7,F314),1)*IF(Upgrades!$T$8="Magnetosphere",POWER(Upgrades!$U$8,G314),1)*IF(Upgrades!$T$10="Magnetosphere",POWER(Upgrades!$U$10,I314),1)*IF(Upgrades!$T$11="Magnetosphere",POWER(Upgrades!$U$11,J314),1)*IF(Upgrades!$T$12="Magnetosphere",POWER(Upgrades!$U$12,K314),1))/AJ314,0)</f>
        <v>0</v>
      </c>
      <c r="AW314" s="33" t="n">
        <f aca="false">MAX(IF(I314&gt;0,0,IFERROR(0.25*N314/Upgrades!$C$10,0)),IF(J314&gt;0,0,IFERROR(0.5*((IF(G314=0,0,(Upgrades!$J$8+G314*Upgrades!$K$8)*POWER(Upgrades!$L$8,G314)))*(IF(Upgrades!$T$6="Stellar Coupling",POWER(Upgrades!$U$6,E314),1)*IF(Upgrades!$T$7="Stellar Coupling",POWER(Upgrades!$U$7,F314),1)*IF(Upgrades!$T$9="Stellar Coupling",POWER(Upgrades!$U$9,H314),1)*IF(Upgrades!$T$10="Stellar Coupling",POWER(Upgrades!$U$10,I314),1)*IF(Upgrades!$T$11="Stellar Coupling",POWER(Upgrades!$U$11,J314),1)*IF(Upgrades!$T$12="Stellar Coupling",POWER(Upgrades!$U$12,K314),1))*(POWER(Upgrades!$Q$6,E314)*POWER(Upgrades!$Q$7,F314)*POWER(Upgrades!$Q$8,G314)*POWER(Upgrades!$Q$9,H314)*POWER(Upgrades!$Q$10,I314)*POWER(Upgrades!$Q$11,J314)*POWER(Upgrades!$Q$12,K314))*Parameters!$B$10*Parameters!$B$11/60)/Upgrades!$C$11,0)),IF(K314&gt;0,0,IFERROR((1*(POWER(Upgrades!$P$6,E314)*POWER(Upgrades!$P$7,F314)*POWER(Upgrades!$P$8,G314)*POWER(Upgrades!$P$9,H314)*POWER(Upgrades!$P$10,I314)*POWER(Upgrades!$P$11,J314)*POWER(Upgrades!$P$12,K314))+0.2*M314*Parameters!$B$10*Parameters!$B$11/60)/Upgrades!$C$12,0)),IF(AND(ISNUMBER(AG314),AG314&gt;T314),AS314,0),IF(AND(ISNUMBER(AH314),AH314&gt;T314),AT314,0),IF(AND(ISNUMBER(AI314),AI314&gt;T314),AU314,0),IF(AND(ISNUMBER(AJ314),AJ314&gt;T314),AV314,0))</f>
        <v>0.00452762415783776</v>
      </c>
      <c r="AX314" s="29" t="str">
        <f aca="false">IF(AN314=1,"transition",IF(MIN(IF(AND(I314=0,ISNUMBER(AK314),AK314&lt;=T314),AK314,9000000000000000),IF(AND(J314=0,ISNUMBER(AL314),AL314&lt;=T314),AL314,9000000000000000),IF(AND(K314=0,ISNUMBER(AM314),AM314&lt;=T314),AM314,9000000000000000))&lt;9000000000000000,IF(AND(AND(I314=0,ISNUMBER(AK314),AK314&lt;=T314),AK314=MIN(IF(AND(I314=0,ISNUMBER(AK314),AK314&lt;=T314),AK314,9000000000000000),IF(AND(J314=0,ISNUMBER(AL314),AL314&lt;=T314),AL314,9000000000000000),IF(AND(K314=0,ISNUMBER(AM314),AM314&lt;=T314),AM314,9000000000000000))),"OR",IF(AND(AND(J314=0,ISNUMBER(AL314),AL314&lt;=T314),AL314=MIN(IF(AND(I314=0,ISNUMBER(AK314),AK314&lt;=T314),AK314,9000000000000000),IF(AND(J314=0,ISNUMBER(AL314),AL314&lt;=T314),AL314,9000000000000000),IF(AND(K314=0,ISNUMBER(AM314),AM314&lt;=T314),AM314,9000000000000000))),"HP","FP")),IF(AR314=TRUE(),"",IF(MAX(IF(AND(NOT(AND(AO314=1,AN314&lt;&gt;1)),ISNUMBER(AG314),AG314&lt;=T314),AS314,0),IF(AND(NOT(AND(AO314=1,AN314&lt;&gt;1)),ISNUMBER(AH314),AH314&lt;=T314),AT314,0),IF(AND(NOT(AND(AO314=1,AN314&lt;&gt;1)),ISNUMBER(AI314),AI314&lt;=T314),AU314,0),IF(AND(ISNUMBER(AJ314),AJ314&lt;=T314),AV314,0))&lt;=0,"",IF(AND(IF(AND(NOT(AND(AO314=1,AN314&lt;&gt;1)),ISNUMBER(AG314),AG314&lt;=T314),AS314,0)&gt;0,IF(AND(NOT(AND(AO314=1,AN314&lt;&gt;1)),ISNUMBER(AG314),AG314&lt;=T314),AS314,0)=MAX(IF(AND(NOT(AND(AO314=1,AN314&lt;&gt;1)),ISNUMBER(AG314),AG314&lt;=T314),AS314,0),IF(AND(NOT(AND(AO314=1,AN314&lt;&gt;1)),ISNUMBER(AH314),AH314&lt;=T314),AT314,0),IF(AND(NOT(AND(AO314=1,AN314&lt;&gt;1)),ISNUMBER(AI314),AI314&lt;=T314),AU314,0),IF(AND(ISNUMBER(AJ314),AJ314&lt;=T314),AV314,0))),"SW",IF(AND(IF(AND(NOT(AND(AO314=1,AN314&lt;&gt;1)),ISNUMBER(AH314),AH314&lt;=T314),AT314,0)&gt;0,IF(AND(NOT(AND(AO314=1,AN314&lt;&gt;1)),ISNUMBER(AH314),AH314&lt;=T314),AT314,0)=MAX(IF(AND(NOT(AND(AO314=1,AN314&lt;&gt;1)),ISNUMBER(AG314),AG314&lt;=T314),AS314,0),IF(AND(NOT(AND(AO314=1,AN314&lt;&gt;1)),ISNUMBER(AH314),AH314&lt;=T314),AT314,0),IF(AND(NOT(AND(AO314=1,AN314&lt;&gt;1)),ISNUMBER(AI314),AI314&lt;=T314),AU314,0),IF(AND(ISNUMBER(AJ314),AJ314&lt;=T314),AV314,0))),"AB",IF(AND(IF(AND(NOT(AND(AO314=1,AN314&lt;&gt;1)),ISNUMBER(AI314),AI314&lt;=T314),AU314,0)&gt;0,IF(AND(NOT(AND(AO314=1,AN314&lt;&gt;1)),ISNUMBER(AI314),AI314&lt;=T314),AU314,0)=MAX(IF(AND(NOT(AND(AO314=1,AN314&lt;&gt;1)),ISNUMBER(AG314),AG314&lt;=T314),AS314,0),IF(AND(NOT(AND(AO314=1,AN314&lt;&gt;1)),ISNUMBER(AH314),AH314&lt;=T314),AT314,0),IF(AND(NOT(AND(AO314=1,AN314&lt;&gt;1)),ISNUMBER(AI314),AI314&lt;=T314),AU314,0),IF(AND(ISNUMBER(AJ314),AJ314&lt;=T314),AV314,0))),"SC","Mag")))))))</f>
        <v/>
      </c>
    </row>
    <row r="315" customFormat="false" ht="15" hidden="false" customHeight="false" outlineLevel="0" collapsed="false">
      <c r="A315" s="26" t="n">
        <v>310</v>
      </c>
      <c r="B315" s="27" t="n">
        <f aca="false">A315*10/60</f>
        <v>51.6666666666667</v>
      </c>
      <c r="C315" s="21" t="n">
        <f aca="false">X314</f>
        <v>18.6730249835055</v>
      </c>
      <c r="D315" s="27" t="n">
        <f aca="false">D314+W314</f>
        <v>0</v>
      </c>
      <c r="E315" s="26" t="n">
        <f aca="false">E314+IF(U314="SW",1,0)</f>
        <v>12</v>
      </c>
      <c r="F315" s="26" t="n">
        <f aca="false">F314+IF(U314="AB",1,0)</f>
        <v>10</v>
      </c>
      <c r="G315" s="26" t="n">
        <f aca="false">G314+IF(U314="SC",1,0)</f>
        <v>7</v>
      </c>
      <c r="H315" s="26" t="n">
        <f aca="false">H314+IF(U314="Mag",1,0)</f>
        <v>5</v>
      </c>
      <c r="I315" s="26" t="n">
        <f aca="false">MAX(I314,IF(U314="OR",1,0))</f>
        <v>1</v>
      </c>
      <c r="J315" s="26" t="n">
        <f aca="false">MAX(J314,IF(U314="HP",1,0))</f>
        <v>1</v>
      </c>
      <c r="K315" s="26" t="n">
        <f aca="false">MAX(K314,IF(U314="FP",1,0))</f>
        <v>1</v>
      </c>
      <c r="L315" s="26" t="n">
        <f aca="false">MAX(L314,IF(U314="transition",1,0))</f>
        <v>1</v>
      </c>
      <c r="M315" s="28" t="n">
        <f aca="false">(Parameters!$B$9+(IF(E315=0,0,(Upgrades!$J$6+E315*Upgrades!$K$6)*POWER(Upgrades!$L$6,E315)))*(IF(Upgrades!$T$7="Solar Wind",POWER(Upgrades!$U$7,F315),1)*IF(Upgrades!$T$8="Solar Wind",POWER(Upgrades!$U$8,G315),1)*IF(Upgrades!$T$9="Solar Wind",POWER(Upgrades!$U$9,H315),1)*IF(Upgrades!$T$10="Solar Wind",POWER(Upgrades!$U$10,I315),1)*IF(Upgrades!$T$11="Solar Wind",POWER(Upgrades!$U$11,J315),1)*IF(Upgrades!$T$12="Solar Wind",POWER(Upgrades!$U$12,K315),1))+(IF(F315=0,0,(Upgrades!$J$7+F315*Upgrades!$K$7)*POWER(Upgrades!$L$7,F315)))*(IF(Upgrades!$T$6="Asteroid Belt",POWER(Upgrades!$U$6,E315),1)*IF(Upgrades!$T$8="Asteroid Belt",POWER(Upgrades!$U$8,G315),1)*IF(Upgrades!$T$9="Asteroid Belt",POWER(Upgrades!$U$9,H315),1)*IF(Upgrades!$T$10="Asteroid Belt",POWER(Upgrades!$U$10,I315),1)*IF(Upgrades!$T$11="Asteroid Belt",POWER(Upgrades!$U$11,J315),1)*IF(Upgrades!$T$12="Asteroid Belt",POWER(Upgrades!$U$12,K315),1))+(IF(G315=0,0,(Upgrades!$J$8+G315*Upgrades!$K$8)*POWER(Upgrades!$L$8,G315)))*(IF(Upgrades!$T$6="Stellar Coupling",POWER(Upgrades!$U$6,E315),1)*IF(Upgrades!$T$7="Stellar Coupling",POWER(Upgrades!$U$7,F315),1)*IF(Upgrades!$T$9="Stellar Coupling",POWER(Upgrades!$U$9,H315),1)*IF(Upgrades!$T$10="Stellar Coupling",POWER(Upgrades!$U$10,I315),1)*IF(Upgrades!$T$11="Stellar Coupling",POWER(Upgrades!$U$11,J315),1)*IF(Upgrades!$T$12="Stellar Coupling",POWER(Upgrades!$U$12,K315),1))+(IF(H315=0,0,(Upgrades!$J$9+H315*Upgrades!$K$9)*POWER(Upgrades!$L$9,H315)))*(IF(Upgrades!$T$6="Magnetosphere",POWER(Upgrades!$U$6,E315),1)*IF(Upgrades!$T$7="Magnetosphere",POWER(Upgrades!$U$7,F315),1)*IF(Upgrades!$T$8="Magnetosphere",POWER(Upgrades!$U$8,G315),1)*IF(Upgrades!$T$10="Magnetosphere",POWER(Upgrades!$U$10,I315),1)*IF(Upgrades!$T$11="Magnetosphere",POWER(Upgrades!$U$11,J315),1)*IF(Upgrades!$T$12="Magnetosphere",POWER(Upgrades!$U$12,K315),1))+(IF(I315=0,0,(Upgrades!$J$10+I315*Upgrades!$K$10)*POWER(Upgrades!$L$10,I315)))*(IF(Upgrades!$T$6="Orbital Resonance",POWER(Upgrades!$U$6,E315),1)*IF(Upgrades!$T$7="Orbital Resonance",POWER(Upgrades!$U$7,F315),1)*IF(Upgrades!$T$8="Orbital Resonance",POWER(Upgrades!$U$8,G315),1)*IF(Upgrades!$T$9="Orbital Resonance",POWER(Upgrades!$U$9,H315),1)*IF(Upgrades!$T$11="Orbital Resonance",POWER(Upgrades!$U$11,J315),1)*IF(Upgrades!$T$12="Orbital Resonance",POWER(Upgrades!$U$12,K315),1))+(IF(J315=0,0,(Upgrades!$J$11+J315*Upgrades!$K$11)*POWER(Upgrades!$L$11,J315)))*(IF(Upgrades!$T$6="Heliopause",POWER(Upgrades!$U$6,E315),1)*IF(Upgrades!$T$7="Heliopause",POWER(Upgrades!$U$7,F315),1)*IF(Upgrades!$T$8="Heliopause",POWER(Upgrades!$U$8,G315),1)*IF(Upgrades!$T$9="Heliopause",POWER(Upgrades!$U$9,H315),1)*IF(Upgrades!$T$10="Heliopause",POWER(Upgrades!$U$10,I315),1)*IF(Upgrades!$T$12="Heliopause",POWER(Upgrades!$U$12,K315),1))+(IF(K315=0,0,(Upgrades!$J$12+K315*Upgrades!$K$12)*POWER(Upgrades!$L$12,K315)))*(IF(Upgrades!$T$6="First Photons",POWER(Upgrades!$U$6,E315),1)*IF(Upgrades!$T$7="First Photons",POWER(Upgrades!$U$7,F315),1)*IF(Upgrades!$T$8="First Photons",POWER(Upgrades!$U$8,G315),1)*IF(Upgrades!$T$9="First Photons",POWER(Upgrades!$U$9,H315),1)*IF(Upgrades!$T$10="First Photons",POWER(Upgrades!$U$10,I315),1)*IF(Upgrades!$T$11="First Photons",POWER(Upgrades!$U$11,J315),1)))*POWER(Upgrades!$Q$6,E315)*POWER(Upgrades!$Q$7,F315)*POWER(Upgrades!$Q$8,G315)*POWER(Upgrades!$Q$9,H315)*POWER(Upgrades!$Q$10,I315)*POWER(Upgrades!$Q$11,J315)*POWER(Upgrades!$Q$12,K315)</f>
        <v>5.61</v>
      </c>
      <c r="N315" s="28" t="n">
        <f aca="false">((IF(E315=0,0,(Upgrades!$G$6+E315*Upgrades!$H$6)*POWER(Upgrades!$I$6,E315)))*(IF(Upgrades!$T$7="Solar Wind",POWER(Upgrades!$U$7,F315),1)*IF(Upgrades!$T$8="Solar Wind",POWER(Upgrades!$U$8,G315),1)*IF(Upgrades!$T$9="Solar Wind",POWER(Upgrades!$U$9,H315),1)*IF(Upgrades!$T$10="Solar Wind",POWER(Upgrades!$U$10,I315),1)*IF(Upgrades!$T$11="Solar Wind",POWER(Upgrades!$U$11,J315),1)*IF(Upgrades!$T$12="Solar Wind",POWER(Upgrades!$U$12,K315),1))+(IF(F315=0,0,(Upgrades!$G$7+F315*Upgrades!$H$7)*POWER(Upgrades!$I$7,F315)))*(IF(Upgrades!$T$6="Asteroid Belt",POWER(Upgrades!$U$6,E315),1)*IF(Upgrades!$T$8="Asteroid Belt",POWER(Upgrades!$U$8,G315),1)*IF(Upgrades!$T$9="Asteroid Belt",POWER(Upgrades!$U$9,H315),1)*IF(Upgrades!$T$10="Asteroid Belt",POWER(Upgrades!$U$10,I315),1)*IF(Upgrades!$T$11="Asteroid Belt",POWER(Upgrades!$U$11,J315),1)*IF(Upgrades!$T$12="Asteroid Belt",POWER(Upgrades!$U$12,K315),1))+(IF(G315=0,0,(Upgrades!$G$8+G315*Upgrades!$H$8)*POWER(Upgrades!$I$8,G315)))*(IF(Upgrades!$T$6="Stellar Coupling",POWER(Upgrades!$U$6,E315),1)*IF(Upgrades!$T$7="Stellar Coupling",POWER(Upgrades!$U$7,F315),1)*IF(Upgrades!$T$9="Stellar Coupling",POWER(Upgrades!$U$9,H315),1)*IF(Upgrades!$T$10="Stellar Coupling",POWER(Upgrades!$U$10,I315),1)*IF(Upgrades!$T$11="Stellar Coupling",POWER(Upgrades!$U$11,J315),1)*IF(Upgrades!$T$12="Stellar Coupling",POWER(Upgrades!$U$12,K315),1))+(IF(H315=0,0,(Upgrades!$G$9+H315*Upgrades!$H$9)*POWER(Upgrades!$I$9,H315)))*(IF(Upgrades!$T$6="Magnetosphere",POWER(Upgrades!$U$6,E315),1)*IF(Upgrades!$T$7="Magnetosphere",POWER(Upgrades!$U$7,F315),1)*IF(Upgrades!$T$8="Magnetosphere",POWER(Upgrades!$U$8,G315),1)*IF(Upgrades!$T$10="Magnetosphere",POWER(Upgrades!$U$10,I315),1)*IF(Upgrades!$T$11="Magnetosphere",POWER(Upgrades!$U$11,J315),1)*IF(Upgrades!$T$12="Magnetosphere",POWER(Upgrades!$U$12,K315),1))+(IF(I315=0,0,(Upgrades!$G$10+I315*Upgrades!$H$10)*POWER(Upgrades!$I$10,I315)))*(IF(Upgrades!$T$6="Orbital Resonance",POWER(Upgrades!$U$6,E315),1)*IF(Upgrades!$T$7="Orbital Resonance",POWER(Upgrades!$U$7,F315),1)*IF(Upgrades!$T$8="Orbital Resonance",POWER(Upgrades!$U$8,G315),1)*IF(Upgrades!$T$9="Orbital Resonance",POWER(Upgrades!$U$9,H315),1)*IF(Upgrades!$T$11="Orbital Resonance",POWER(Upgrades!$U$11,J315),1)*IF(Upgrades!$T$12="Orbital Resonance",POWER(Upgrades!$U$12,K315),1))+(IF(J315=0,0,(Upgrades!$G$11+J315*Upgrades!$H$11)*POWER(Upgrades!$I$11,J315)))*(IF(Upgrades!$T$6="Heliopause",POWER(Upgrades!$U$6,E315),1)*IF(Upgrades!$T$7="Heliopause",POWER(Upgrades!$U$7,F315),1)*IF(Upgrades!$T$8="Heliopause",POWER(Upgrades!$U$8,G315),1)*IF(Upgrades!$T$9="Heliopause",POWER(Upgrades!$U$9,H315),1)*IF(Upgrades!$T$10="Heliopause",POWER(Upgrades!$U$10,I315),1)*IF(Upgrades!$T$12="Heliopause",POWER(Upgrades!$U$12,K315),1))+(IF(K315=0,0,(Upgrades!$G$12+K315*Upgrades!$H$12)*POWER(Upgrades!$I$12,K315)))*(IF(Upgrades!$T$6="First Photons",POWER(Upgrades!$U$6,E315),1)*IF(Upgrades!$T$7="First Photons",POWER(Upgrades!$U$7,F315),1)*IF(Upgrades!$T$8="First Photons",POWER(Upgrades!$U$8,G315),1)*IF(Upgrades!$T$9="First Photons",POWER(Upgrades!$U$9,H315),1)*IF(Upgrades!$T$10="First Photons",POWER(Upgrades!$U$10,I315),1)*IF(Upgrades!$T$11="First Photons",POWER(Upgrades!$U$11,J315),1)))*POWER(Upgrades!$P$6,E315)*POWER(Upgrades!$P$7,F315)*POWER(Upgrades!$P$8,G315)*POWER(Upgrades!$P$9,H315)*POWER(Upgrades!$P$10,I315)*POWER(Upgrades!$P$11,J315)*POWER(Upgrades!$P$12,K315)</f>
        <v>11.2</v>
      </c>
      <c r="O315" s="28" t="n">
        <f aca="false">((IF(E315=0,0,(Upgrades!$M$6+E315*Upgrades!$N$6)*POWER(Upgrades!$O$6,E315)))*(IF(Upgrades!$T$7="Solar Wind",POWER(Upgrades!$U$7,F315),1)*IF(Upgrades!$T$8="Solar Wind",POWER(Upgrades!$U$8,G315),1)*IF(Upgrades!$T$9="Solar Wind",POWER(Upgrades!$U$9,H315),1)*IF(Upgrades!$T$10="Solar Wind",POWER(Upgrades!$U$10,I315),1)*IF(Upgrades!$T$11="Solar Wind",POWER(Upgrades!$U$11,J315),1)*IF(Upgrades!$T$12="Solar Wind",POWER(Upgrades!$U$12,K315),1))+(IF(F315=0,0,(Upgrades!$M$7+F315*Upgrades!$N$7)*POWER(Upgrades!$O$7,F315)))*(IF(Upgrades!$T$6="Asteroid Belt",POWER(Upgrades!$U$6,E315),1)*IF(Upgrades!$T$8="Asteroid Belt",POWER(Upgrades!$U$8,G315),1)*IF(Upgrades!$T$9="Asteroid Belt",POWER(Upgrades!$U$9,H315),1)*IF(Upgrades!$T$10="Asteroid Belt",POWER(Upgrades!$U$10,I315),1)*IF(Upgrades!$T$11="Asteroid Belt",POWER(Upgrades!$U$11,J315),1)*IF(Upgrades!$T$12="Asteroid Belt",POWER(Upgrades!$U$12,K315),1))+(IF(G315=0,0,(Upgrades!$M$8+G315*Upgrades!$N$8)*POWER(Upgrades!$O$8,G315)))*(IF(Upgrades!$T$6="Stellar Coupling",POWER(Upgrades!$U$6,E315),1)*IF(Upgrades!$T$7="Stellar Coupling",POWER(Upgrades!$U$7,F315),1)*IF(Upgrades!$T$9="Stellar Coupling",POWER(Upgrades!$U$9,H315),1)*IF(Upgrades!$T$10="Stellar Coupling",POWER(Upgrades!$U$10,I315),1)*IF(Upgrades!$T$11="Stellar Coupling",POWER(Upgrades!$U$11,J315),1)*IF(Upgrades!$T$12="Stellar Coupling",POWER(Upgrades!$U$12,K315),1))+(IF(H315=0,0,(Upgrades!$M$9+H315*Upgrades!$N$9)*POWER(Upgrades!$O$9,H315)))*(IF(Upgrades!$T$6="Magnetosphere",POWER(Upgrades!$U$6,E315),1)*IF(Upgrades!$T$7="Magnetosphere",POWER(Upgrades!$U$7,F315),1)*IF(Upgrades!$T$8="Magnetosphere",POWER(Upgrades!$U$8,G315),1)*IF(Upgrades!$T$10="Magnetosphere",POWER(Upgrades!$U$10,I315),1)*IF(Upgrades!$T$11="Magnetosphere",POWER(Upgrades!$U$11,J315),1)*IF(Upgrades!$T$12="Magnetosphere",POWER(Upgrades!$U$12,K315),1))+(IF(I315=0,0,(Upgrades!$M$10+I315*Upgrades!$N$10)*POWER(Upgrades!$O$10,I315)))*(IF(Upgrades!$T$6="Orbital Resonance",POWER(Upgrades!$U$6,E315),1)*IF(Upgrades!$T$7="Orbital Resonance",POWER(Upgrades!$U$7,F315),1)*IF(Upgrades!$T$8="Orbital Resonance",POWER(Upgrades!$U$8,G315),1)*IF(Upgrades!$T$9="Orbital Resonance",POWER(Upgrades!$U$9,H315),1)*IF(Upgrades!$T$11="Orbital Resonance",POWER(Upgrades!$U$11,J315),1)*IF(Upgrades!$T$12="Orbital Resonance",POWER(Upgrades!$U$12,K315),1))+(IF(J315=0,0,(Upgrades!$M$11+J315*Upgrades!$N$11)*POWER(Upgrades!$O$11,J315)))*(IF(Upgrades!$T$6="Heliopause",POWER(Upgrades!$U$6,E315),1)*IF(Upgrades!$T$7="Heliopause",POWER(Upgrades!$U$7,F315),1)*IF(Upgrades!$T$8="Heliopause",POWER(Upgrades!$U$8,G315),1)*IF(Upgrades!$T$9="Heliopause",POWER(Upgrades!$U$9,H315),1)*IF(Upgrades!$T$10="Heliopause",POWER(Upgrades!$U$10,I315),1)*IF(Upgrades!$T$12="Heliopause",POWER(Upgrades!$U$12,K315),1))+(IF(K315=0,0,(Upgrades!$M$12+K315*Upgrades!$N$12)*POWER(Upgrades!$O$12,K315)))*(IF(Upgrades!$T$6="First Photons",POWER(Upgrades!$U$6,E315),1)*IF(Upgrades!$T$7="First Photons",POWER(Upgrades!$U$7,F315),1)*IF(Upgrades!$T$8="First Photons",POWER(Upgrades!$U$8,G315),1)*IF(Upgrades!$T$9="First Photons",POWER(Upgrades!$U$9,H315),1)*IF(Upgrades!$T$10="First Photons",POWER(Upgrades!$U$10,I315),1)*IF(Upgrades!$T$11="First Photons",POWER(Upgrades!$U$11,J315),1)))*POWER(Upgrades!$R$6,E315)*POWER(Upgrades!$R$7,F315)*POWER(Upgrades!$R$8,G315)*POWER(Upgrades!$R$9,H315)*POWER(Upgrades!$R$10,I315)*POWER(Upgrades!$R$11,J315)*POWER(Upgrades!$R$12,K315)</f>
        <v>0</v>
      </c>
      <c r="P315" s="27" t="n">
        <f aca="false">IF(L315=1,0,M315*Parameters!$B$10/60*Parameters!$B$11*10)</f>
        <v>0</v>
      </c>
      <c r="Q315" s="27" t="n">
        <f aca="false">IF(L315=1,0,O315*M315*10)</f>
        <v>0</v>
      </c>
      <c r="R315" s="27" t="n">
        <f aca="false">IF(L315=1,0,N315*10)</f>
        <v>0</v>
      </c>
      <c r="S315" s="27" t="n">
        <f aca="false">P315+Q315+R315</f>
        <v>0</v>
      </c>
      <c r="T315" s="21" t="n">
        <f aca="false">C315+S315</f>
        <v>18.6730249835055</v>
      </c>
      <c r="U315" s="34" t="str">
        <f aca="false">AX315</f>
        <v/>
      </c>
      <c r="V315" s="21" t="n">
        <f aca="false">IF(U315="",0,IF(U315="transition",0,IF(U315="SW",AG315,IF(U315="AB",AH315,IF(U315="SC",AI315,IF(U315="Mag",AJ315,IF(U315="OR",AK315,IF(U315="HP",AL315,IF(U315="FP",AM315,0)))))))))</f>
        <v>0</v>
      </c>
      <c r="W315" s="27" t="n">
        <f aca="false">IF(U315="OR",Upgrades!$F$10,IF(U315="HP",Upgrades!$F$11,IF(U315="transition",-Parameters!$B$18,0)))</f>
        <v>0</v>
      </c>
      <c r="X315" s="21" t="n">
        <f aca="false">T315-V315</f>
        <v>18.6730249835055</v>
      </c>
      <c r="Y315" s="30" t="n">
        <f aca="false">M315*Parameters!$B$10/60*Parameters!$B$11+O315*M315+N315</f>
        <v>20.55</v>
      </c>
      <c r="Z315" s="35" t="str">
        <f aca="false">IF(U315="transition","→ Tier 2 (Stellar Neighborhood)",IF(U315="FP","First Photons — light begins, system quickens",IF(U315="HP","Heliopause acquired",IF(U315="OR","Orbital Resonance — passive multiplier active",IF(AND(AO315=1,L315=0,AN315&lt;&gt;1),"Cohesion ready (waiting on completionist upgrades)","")))))</f>
        <v/>
      </c>
      <c r="AA315" s="27" t="n">
        <f aca="false">(IF(E315=0,0,(Upgrades!$G$6+E315*Upgrades!$H$6)*POWER(Upgrades!$I$6,E315)))*(IF(Upgrades!$T$7="Solar Wind",POWER(Upgrades!$U$7,F315),1)*IF(Upgrades!$T$8="Solar Wind",POWER(Upgrades!$U$8,G315),1)*IF(Upgrades!$T$9="Solar Wind",POWER(Upgrades!$U$9,H315),1)*IF(Upgrades!$T$10="Solar Wind",POWER(Upgrades!$U$10,I315),1)*IF(Upgrades!$T$11="Solar Wind",POWER(Upgrades!$U$11,J315),1)*IF(Upgrades!$T$12="Solar Wind",POWER(Upgrades!$U$12,K315),1))*POWER(Upgrades!$P$6,E315)*POWER(Upgrades!$P$7,F315)*POWER(Upgrades!$P$8,G315)*POWER(Upgrades!$P$9,H315)*POWER(Upgrades!$P$10,I315)*POWER(Upgrades!$P$11,J315)*POWER(Upgrades!$P$12,K315)*60</f>
        <v>72</v>
      </c>
      <c r="AB315" s="27" t="n">
        <f aca="false">(IF(F315=0,0,(Upgrades!$G$7+F315*Upgrades!$H$7)*POWER(Upgrades!$I$7,F315)))*(IF(Upgrades!$T$6="Asteroid Belt",POWER(Upgrades!$U$6,E315),1)*IF(Upgrades!$T$8="Asteroid Belt",POWER(Upgrades!$U$8,G315),1)*IF(Upgrades!$T$9="Asteroid Belt",POWER(Upgrades!$U$9,H315),1)*IF(Upgrades!$T$10="Asteroid Belt",POWER(Upgrades!$U$10,I315),1)*IF(Upgrades!$T$11="Asteroid Belt",POWER(Upgrades!$U$11,J315),1)*IF(Upgrades!$T$12="Asteroid Belt",POWER(Upgrades!$U$12,K315),1))*POWER(Upgrades!$P$6,E315)*POWER(Upgrades!$P$7,F315)*POWER(Upgrades!$P$8,G315)*POWER(Upgrades!$P$9,H315)*POWER(Upgrades!$P$10,I315)*POWER(Upgrades!$P$11,J315)*POWER(Upgrades!$P$12,K315)*60</f>
        <v>150</v>
      </c>
      <c r="AC315" s="27" t="n">
        <f aca="false">(IF(G315=0,0,(Upgrades!$J$8+G315*Upgrades!$K$8)*POWER(Upgrades!$L$8,G315)))*(IF(Upgrades!$T$6="Stellar Coupling",POWER(Upgrades!$U$6,E315),1)*IF(Upgrades!$T$7="Stellar Coupling",POWER(Upgrades!$U$7,F315),1)*IF(Upgrades!$T$9="Stellar Coupling",POWER(Upgrades!$U$9,H315),1)*IF(Upgrades!$T$10="Stellar Coupling",POWER(Upgrades!$U$10,I315),1)*IF(Upgrades!$T$11="Stellar Coupling",POWER(Upgrades!$U$11,J315),1)*IF(Upgrades!$T$12="Stellar Coupling",POWER(Upgrades!$U$12,K315),1))*POWER(Upgrades!$Q$6,E315)*POWER(Upgrades!$Q$7,F315)*POWER(Upgrades!$Q$8,G315)*POWER(Upgrades!$Q$9,H315)*POWER(Upgrades!$Q$10,I315)*POWER(Upgrades!$Q$11,J315)*POWER(Upgrades!$Q$12,K315)*Parameters!$B$10*Parameters!$B$11</f>
        <v>441</v>
      </c>
      <c r="AD315" s="27" t="n">
        <f aca="false">(IF(H315=0,0,(Upgrades!$G$9+H315*Upgrades!$H$9)*POWER(Upgrades!$I$9,H315)))*(IF(Upgrades!$T$6="Magnetosphere",POWER(Upgrades!$U$6,E315),1)*IF(Upgrades!$T$7="Magnetosphere",POWER(Upgrades!$U$7,F315),1)*IF(Upgrades!$T$8="Magnetosphere",POWER(Upgrades!$U$8,G315),1)*IF(Upgrades!$T$10="Magnetosphere",POWER(Upgrades!$U$10,I315),1)*IF(Upgrades!$T$11="Magnetosphere",POWER(Upgrades!$U$11,J315),1)*IF(Upgrades!$T$12="Magnetosphere",POWER(Upgrades!$U$12,K315),1))*POWER(Upgrades!$P$6,E315)*POWER(Upgrades!$P$7,F315)*POWER(Upgrades!$P$8,G315)*POWER(Upgrades!$P$9,H315)*POWER(Upgrades!$P$10,I315)*POWER(Upgrades!$P$11,J315)*POWER(Upgrades!$P$12,K315)*60</f>
        <v>375</v>
      </c>
      <c r="AE315" s="27" t="n">
        <f aca="false">(IF(K315=0,0,(Upgrades!$G$12+K315*Upgrades!$H$12)*POWER(Upgrades!$I$12,K315)))*(IF(Upgrades!$T$6="First Photons",POWER(Upgrades!$U$6,E315),1)*IF(Upgrades!$T$7="First Photons",POWER(Upgrades!$U$7,F315),1)*IF(Upgrades!$T$8="First Photons",POWER(Upgrades!$U$8,G315),1)*IF(Upgrades!$T$9="First Photons",POWER(Upgrades!$U$9,H315),1)*IF(Upgrades!$T$10="First Photons",POWER(Upgrades!$U$10,I315),1)*IF(Upgrades!$T$11="First Photons",POWER(Upgrades!$U$11,J315),1))*POWER(Upgrades!$P$6,E315)*POWER(Upgrades!$P$7,F315)*POWER(Upgrades!$P$8,G315)*POWER(Upgrades!$P$9,H315)*POWER(Upgrades!$P$10,I315)*POWER(Upgrades!$P$11,J315)*POWER(Upgrades!$P$12,K315)*60</f>
        <v>75</v>
      </c>
      <c r="AF315" s="27" t="n">
        <f aca="false">Parameters!$B$9*POWER(Upgrades!$Q$6,E315)*POWER(Upgrades!$Q$7,F315)*POWER(Upgrades!$Q$8,G315)*POWER(Upgrades!$Q$9,H315)*POWER(Upgrades!$Q$10,I315)*POWER(Upgrades!$Q$11,J315)*POWER(Upgrades!$Q$12,K315)*(Parameters!$B$10*Parameters!$B$11+O315*60)</f>
        <v>120</v>
      </c>
      <c r="AG315" s="21" t="n">
        <f aca="false">IF(E315&gt;=Upgrades!$E$6,"",Upgrades!$C$6*POWER(Upgrades!$D$6,E315))</f>
        <v>37.4517507383159</v>
      </c>
      <c r="AH315" s="21" t="n">
        <f aca="false">IF(F315&gt;=Upgrades!$E$7,"",Upgrades!$C$7*POWER(Upgrades!$D$7,F315))</f>
        <v>80.9111547141581</v>
      </c>
      <c r="AI315" s="21" t="n">
        <f aca="false">IF(G315&gt;=Upgrades!$E$8,"",Upgrades!$C$8*POWER(Upgrades!$D$8,G315))</f>
        <v>231.9097088</v>
      </c>
      <c r="AJ315" s="21" t="str">
        <f aca="false">IF(H315&gt;=Upgrades!$E$9,"",Upgrades!$C$9*POWER(Upgrades!$D$9,H315))</f>
        <v/>
      </c>
      <c r="AK315" s="21" t="str">
        <f aca="false">IF(I315&gt;=Upgrades!$E$10,"",Upgrades!$C$10*POWER(Upgrades!$D$10,I315))</f>
        <v/>
      </c>
      <c r="AL315" s="21" t="str">
        <f aca="false">IF(J315&gt;=Upgrades!$E$11,"",Upgrades!$C$11*POWER(Upgrades!$D$11,J315))</f>
        <v/>
      </c>
      <c r="AM315" s="21" t="str">
        <f aca="false">IF(K315&gt;=Upgrades!$E$12,"",Upgrades!$C$12*POWER(Upgrades!$D$12,K315))</f>
        <v/>
      </c>
      <c r="AN315" s="26" t="str">
        <f aca="false">IF(AND(D315&gt;=Parameters!$B$18,(H315&gt;=Upgrades!$E$9)*(K315&gt;=Upgrades!$E$12)=1,L315=0),1,"")</f>
        <v/>
      </c>
      <c r="AO315" s="26" t="str">
        <f aca="false">IF(AND(D315&gt;=Parameters!$B$18,L315=0),1,"")</f>
        <v/>
      </c>
      <c r="AP315" s="21" t="n">
        <f aca="false">MIN(IF(ISNUMBER(AK315),AK315,9000000000000000),IF(ISNUMBER(AL315),AL315,9000000000000000),IF(ISNUMBER(AM315),AM315,9000000000000000))</f>
        <v>9000000000000000</v>
      </c>
      <c r="AQ315" s="21" t="n">
        <f aca="false">MIN(IF(ISNUMBER(AG315),AG315,9000000000000000),IF(ISNUMBER(AH315),AH315,9000000000000000),IF(ISNUMBER(AI315),AI315,9000000000000000),IF(ISNUMBER(AJ315),AJ315,9000000000000000))</f>
        <v>37.4517507383159</v>
      </c>
      <c r="AR315" s="32" t="b">
        <f aca="false">IF(AW315&gt;Parameters!$B$21*(MAX(IF(AND(NOT(AND(AO315=1,AN315&lt;&gt;1)),ISNUMBER(AG315),AG315&lt;=T315),AS315,0),IF(AND(NOT(AND(AO315=1,AN315&lt;&gt;1)),ISNUMBER(AH315),AH315&lt;=T315),AT315,0),IF(AND(NOT(AND(AO315=1,AN315&lt;&gt;1)),ISNUMBER(AI315),AI315&lt;=T315),AU315,0),IF(AND(ISNUMBER(AJ315),AJ315&lt;=T315),AV315,0))),TRUE(),FALSE())</f>
        <v>1</v>
      </c>
      <c r="AS315" s="33" t="n">
        <f aca="false">IFERROR(Upgrades!$H$6*(POWER(Upgrades!$P$6,E315)*POWER(Upgrades!$P$7,F315)*POWER(Upgrades!$P$8,G315)*POWER(Upgrades!$P$9,H315)*POWER(Upgrades!$P$10,I315)*POWER(Upgrades!$P$11,J315)*POWER(Upgrades!$P$12,K315))*(IF(Upgrades!$T$7="Solar Wind",POWER(Upgrades!$U$7,F315),1)*IF(Upgrades!$T$8="Solar Wind",POWER(Upgrades!$U$8,G315),1)*IF(Upgrades!$T$9="Solar Wind",POWER(Upgrades!$U$9,H315),1)*IF(Upgrades!$T$10="Solar Wind",POWER(Upgrades!$U$10,I315),1)*IF(Upgrades!$T$11="Solar Wind",POWER(Upgrades!$U$11,J315),1)*IF(Upgrades!$T$12="Solar Wind",POWER(Upgrades!$U$12,K315),1))/AG315,0)</f>
        <v>0.0026701021455238</v>
      </c>
      <c r="AT315" s="33" t="n">
        <f aca="false">IFERROR(Upgrades!$H$7*(POWER(Upgrades!$P$6,E315)*POWER(Upgrades!$P$7,F315)*POWER(Upgrades!$P$8,G315)*POWER(Upgrades!$P$9,H315)*POWER(Upgrades!$P$10,I315)*POWER(Upgrades!$P$11,J315)*POWER(Upgrades!$P$12,K315))*(IF(Upgrades!$T$6="Asteroid Belt",POWER(Upgrades!$U$6,E315),1)*IF(Upgrades!$T$8="Asteroid Belt",POWER(Upgrades!$U$8,G315),1)*IF(Upgrades!$T$9="Asteroid Belt",POWER(Upgrades!$U$9,H315),1)*IF(Upgrades!$T$10="Asteroid Belt",POWER(Upgrades!$U$10,I315),1)*IF(Upgrades!$T$11="Asteroid Belt",POWER(Upgrades!$U$11,J315),1)*IF(Upgrades!$T$12="Asteroid Belt",POWER(Upgrades!$U$12,K315),1))/AH315,0)</f>
        <v>0.00308980882652332</v>
      </c>
      <c r="AU315" s="33" t="n">
        <f aca="false">IFERROR(Upgrades!$K$8*(POWER(Upgrades!$Q$6,E315)*POWER(Upgrades!$Q$7,F315)*POWER(Upgrades!$Q$8,G315)*POWER(Upgrades!$Q$9,H315)*POWER(Upgrades!$Q$10,I315)*POWER(Upgrades!$Q$11,J315)*POWER(Upgrades!$Q$12,K315))*(IF(Upgrades!$T$6="Stellar Coupling",POWER(Upgrades!$U$6,E315),1)*IF(Upgrades!$T$7="Stellar Coupling",POWER(Upgrades!$U$7,F315),1)*IF(Upgrades!$T$9="Stellar Coupling",POWER(Upgrades!$U$9,H315),1)*IF(Upgrades!$T$10="Stellar Coupling",POWER(Upgrades!$U$10,I315),1)*IF(Upgrades!$T$11="Stellar Coupling",POWER(Upgrades!$U$11,J315),1)*IF(Upgrades!$T$12="Stellar Coupling",POWER(Upgrades!$U$12,K315),1))*Parameters!$B$10*Parameters!$B$11/60/AI315,0)</f>
        <v>0.00452762415783776</v>
      </c>
      <c r="AV315" s="33" t="n">
        <f aca="false">IFERROR(Upgrades!$H$9*(POWER(Upgrades!$P$6,E315)*POWER(Upgrades!$P$7,F315)*POWER(Upgrades!$P$8,G315)*POWER(Upgrades!$P$9,H315)*POWER(Upgrades!$P$10,I315)*POWER(Upgrades!$P$11,J315)*POWER(Upgrades!$P$12,K315))*(IF(Upgrades!$T$6="Magnetosphere",POWER(Upgrades!$U$6,E315),1)*IF(Upgrades!$T$7="Magnetosphere",POWER(Upgrades!$U$7,F315),1)*IF(Upgrades!$T$8="Magnetosphere",POWER(Upgrades!$U$8,G315),1)*IF(Upgrades!$T$10="Magnetosphere",POWER(Upgrades!$U$10,I315),1)*IF(Upgrades!$T$11="Magnetosphere",POWER(Upgrades!$U$11,J315),1)*IF(Upgrades!$T$12="Magnetosphere",POWER(Upgrades!$U$12,K315),1))/AJ315,0)</f>
        <v>0</v>
      </c>
      <c r="AW315" s="33" t="n">
        <f aca="false">MAX(IF(I315&gt;0,0,IFERROR(0.25*N315/Upgrades!$C$10,0)),IF(J315&gt;0,0,IFERROR(0.5*((IF(G315=0,0,(Upgrades!$J$8+G315*Upgrades!$K$8)*POWER(Upgrades!$L$8,G315)))*(IF(Upgrades!$T$6="Stellar Coupling",POWER(Upgrades!$U$6,E315),1)*IF(Upgrades!$T$7="Stellar Coupling",POWER(Upgrades!$U$7,F315),1)*IF(Upgrades!$T$9="Stellar Coupling",POWER(Upgrades!$U$9,H315),1)*IF(Upgrades!$T$10="Stellar Coupling",POWER(Upgrades!$U$10,I315),1)*IF(Upgrades!$T$11="Stellar Coupling",POWER(Upgrades!$U$11,J315),1)*IF(Upgrades!$T$12="Stellar Coupling",POWER(Upgrades!$U$12,K315),1))*(POWER(Upgrades!$Q$6,E315)*POWER(Upgrades!$Q$7,F315)*POWER(Upgrades!$Q$8,G315)*POWER(Upgrades!$Q$9,H315)*POWER(Upgrades!$Q$10,I315)*POWER(Upgrades!$Q$11,J315)*POWER(Upgrades!$Q$12,K315))*Parameters!$B$10*Parameters!$B$11/60)/Upgrades!$C$11,0)),IF(K315&gt;0,0,IFERROR((1*(POWER(Upgrades!$P$6,E315)*POWER(Upgrades!$P$7,F315)*POWER(Upgrades!$P$8,G315)*POWER(Upgrades!$P$9,H315)*POWER(Upgrades!$P$10,I315)*POWER(Upgrades!$P$11,J315)*POWER(Upgrades!$P$12,K315))+0.2*M315*Parameters!$B$10*Parameters!$B$11/60)/Upgrades!$C$12,0)),IF(AND(ISNUMBER(AG315),AG315&gt;T315),AS315,0),IF(AND(ISNUMBER(AH315),AH315&gt;T315),AT315,0),IF(AND(ISNUMBER(AI315),AI315&gt;T315),AU315,0),IF(AND(ISNUMBER(AJ315),AJ315&gt;T315),AV315,0))</f>
        <v>0.00452762415783776</v>
      </c>
      <c r="AX315" s="29" t="str">
        <f aca="false">IF(AN315=1,"transition",IF(MIN(IF(AND(I315=0,ISNUMBER(AK315),AK315&lt;=T315),AK315,9000000000000000),IF(AND(J315=0,ISNUMBER(AL315),AL315&lt;=T315),AL315,9000000000000000),IF(AND(K315=0,ISNUMBER(AM315),AM315&lt;=T315),AM315,9000000000000000))&lt;9000000000000000,IF(AND(AND(I315=0,ISNUMBER(AK315),AK315&lt;=T315),AK315=MIN(IF(AND(I315=0,ISNUMBER(AK315),AK315&lt;=T315),AK315,9000000000000000),IF(AND(J315=0,ISNUMBER(AL315),AL315&lt;=T315),AL315,9000000000000000),IF(AND(K315=0,ISNUMBER(AM315),AM315&lt;=T315),AM315,9000000000000000))),"OR",IF(AND(AND(J315=0,ISNUMBER(AL315),AL315&lt;=T315),AL315=MIN(IF(AND(I315=0,ISNUMBER(AK315),AK315&lt;=T315),AK315,9000000000000000),IF(AND(J315=0,ISNUMBER(AL315),AL315&lt;=T315),AL315,9000000000000000),IF(AND(K315=0,ISNUMBER(AM315),AM315&lt;=T315),AM315,9000000000000000))),"HP","FP")),IF(AR315=TRUE(),"",IF(MAX(IF(AND(NOT(AND(AO315=1,AN315&lt;&gt;1)),ISNUMBER(AG315),AG315&lt;=T315),AS315,0),IF(AND(NOT(AND(AO315=1,AN315&lt;&gt;1)),ISNUMBER(AH315),AH315&lt;=T315),AT315,0),IF(AND(NOT(AND(AO315=1,AN315&lt;&gt;1)),ISNUMBER(AI315),AI315&lt;=T315),AU315,0),IF(AND(ISNUMBER(AJ315),AJ315&lt;=T315),AV315,0))&lt;=0,"",IF(AND(IF(AND(NOT(AND(AO315=1,AN315&lt;&gt;1)),ISNUMBER(AG315),AG315&lt;=T315),AS315,0)&gt;0,IF(AND(NOT(AND(AO315=1,AN315&lt;&gt;1)),ISNUMBER(AG315),AG315&lt;=T315),AS315,0)=MAX(IF(AND(NOT(AND(AO315=1,AN315&lt;&gt;1)),ISNUMBER(AG315),AG315&lt;=T315),AS315,0),IF(AND(NOT(AND(AO315=1,AN315&lt;&gt;1)),ISNUMBER(AH315),AH315&lt;=T315),AT315,0),IF(AND(NOT(AND(AO315=1,AN315&lt;&gt;1)),ISNUMBER(AI315),AI315&lt;=T315),AU315,0),IF(AND(ISNUMBER(AJ315),AJ315&lt;=T315),AV315,0))),"SW",IF(AND(IF(AND(NOT(AND(AO315=1,AN315&lt;&gt;1)),ISNUMBER(AH315),AH315&lt;=T315),AT315,0)&gt;0,IF(AND(NOT(AND(AO315=1,AN315&lt;&gt;1)),ISNUMBER(AH315),AH315&lt;=T315),AT315,0)=MAX(IF(AND(NOT(AND(AO315=1,AN315&lt;&gt;1)),ISNUMBER(AG315),AG315&lt;=T315),AS315,0),IF(AND(NOT(AND(AO315=1,AN315&lt;&gt;1)),ISNUMBER(AH315),AH315&lt;=T315),AT315,0),IF(AND(NOT(AND(AO315=1,AN315&lt;&gt;1)),ISNUMBER(AI315),AI315&lt;=T315),AU315,0),IF(AND(ISNUMBER(AJ315),AJ315&lt;=T315),AV315,0))),"AB",IF(AND(IF(AND(NOT(AND(AO315=1,AN315&lt;&gt;1)),ISNUMBER(AI315),AI315&lt;=T315),AU315,0)&gt;0,IF(AND(NOT(AND(AO315=1,AN315&lt;&gt;1)),ISNUMBER(AI315),AI315&lt;=T315),AU315,0)=MAX(IF(AND(NOT(AND(AO315=1,AN315&lt;&gt;1)),ISNUMBER(AG315),AG315&lt;=T315),AS315,0),IF(AND(NOT(AND(AO315=1,AN315&lt;&gt;1)),ISNUMBER(AH315),AH315&lt;=T315),AT315,0),IF(AND(NOT(AND(AO315=1,AN315&lt;&gt;1)),ISNUMBER(AI315),AI315&lt;=T315),AU315,0),IF(AND(ISNUMBER(AJ315),AJ315&lt;=T315),AV315,0))),"SC","Mag")))))))</f>
        <v/>
      </c>
    </row>
    <row r="316" customFormat="false" ht="15" hidden="false" customHeight="false" outlineLevel="0" collapsed="false">
      <c r="A316" s="26" t="n">
        <v>311</v>
      </c>
      <c r="B316" s="27" t="n">
        <f aca="false">A316*10/60</f>
        <v>51.8333333333333</v>
      </c>
      <c r="C316" s="21" t="n">
        <f aca="false">X315</f>
        <v>18.6730249835055</v>
      </c>
      <c r="D316" s="27" t="n">
        <f aca="false">D315+W315</f>
        <v>0</v>
      </c>
      <c r="E316" s="26" t="n">
        <f aca="false">E315+IF(U315="SW",1,0)</f>
        <v>12</v>
      </c>
      <c r="F316" s="26" t="n">
        <f aca="false">F315+IF(U315="AB",1,0)</f>
        <v>10</v>
      </c>
      <c r="G316" s="26" t="n">
        <f aca="false">G315+IF(U315="SC",1,0)</f>
        <v>7</v>
      </c>
      <c r="H316" s="26" t="n">
        <f aca="false">H315+IF(U315="Mag",1,0)</f>
        <v>5</v>
      </c>
      <c r="I316" s="26" t="n">
        <f aca="false">MAX(I315,IF(U315="OR",1,0))</f>
        <v>1</v>
      </c>
      <c r="J316" s="26" t="n">
        <f aca="false">MAX(J315,IF(U315="HP",1,0))</f>
        <v>1</v>
      </c>
      <c r="K316" s="26" t="n">
        <f aca="false">MAX(K315,IF(U315="FP",1,0))</f>
        <v>1</v>
      </c>
      <c r="L316" s="26" t="n">
        <f aca="false">MAX(L315,IF(U315="transition",1,0))</f>
        <v>1</v>
      </c>
      <c r="M316" s="28" t="n">
        <f aca="false">(Parameters!$B$9+(IF(E316=0,0,(Upgrades!$J$6+E316*Upgrades!$K$6)*POWER(Upgrades!$L$6,E316)))*(IF(Upgrades!$T$7="Solar Wind",POWER(Upgrades!$U$7,F316),1)*IF(Upgrades!$T$8="Solar Wind",POWER(Upgrades!$U$8,G316),1)*IF(Upgrades!$T$9="Solar Wind",POWER(Upgrades!$U$9,H316),1)*IF(Upgrades!$T$10="Solar Wind",POWER(Upgrades!$U$10,I316),1)*IF(Upgrades!$T$11="Solar Wind",POWER(Upgrades!$U$11,J316),1)*IF(Upgrades!$T$12="Solar Wind",POWER(Upgrades!$U$12,K316),1))+(IF(F316=0,0,(Upgrades!$J$7+F316*Upgrades!$K$7)*POWER(Upgrades!$L$7,F316)))*(IF(Upgrades!$T$6="Asteroid Belt",POWER(Upgrades!$U$6,E316),1)*IF(Upgrades!$T$8="Asteroid Belt",POWER(Upgrades!$U$8,G316),1)*IF(Upgrades!$T$9="Asteroid Belt",POWER(Upgrades!$U$9,H316),1)*IF(Upgrades!$T$10="Asteroid Belt",POWER(Upgrades!$U$10,I316),1)*IF(Upgrades!$T$11="Asteroid Belt",POWER(Upgrades!$U$11,J316),1)*IF(Upgrades!$T$12="Asteroid Belt",POWER(Upgrades!$U$12,K316),1))+(IF(G316=0,0,(Upgrades!$J$8+G316*Upgrades!$K$8)*POWER(Upgrades!$L$8,G316)))*(IF(Upgrades!$T$6="Stellar Coupling",POWER(Upgrades!$U$6,E316),1)*IF(Upgrades!$T$7="Stellar Coupling",POWER(Upgrades!$U$7,F316),1)*IF(Upgrades!$T$9="Stellar Coupling",POWER(Upgrades!$U$9,H316),1)*IF(Upgrades!$T$10="Stellar Coupling",POWER(Upgrades!$U$10,I316),1)*IF(Upgrades!$T$11="Stellar Coupling",POWER(Upgrades!$U$11,J316),1)*IF(Upgrades!$T$12="Stellar Coupling",POWER(Upgrades!$U$12,K316),1))+(IF(H316=0,0,(Upgrades!$J$9+H316*Upgrades!$K$9)*POWER(Upgrades!$L$9,H316)))*(IF(Upgrades!$T$6="Magnetosphere",POWER(Upgrades!$U$6,E316),1)*IF(Upgrades!$T$7="Magnetosphere",POWER(Upgrades!$U$7,F316),1)*IF(Upgrades!$T$8="Magnetosphere",POWER(Upgrades!$U$8,G316),1)*IF(Upgrades!$T$10="Magnetosphere",POWER(Upgrades!$U$10,I316),1)*IF(Upgrades!$T$11="Magnetosphere",POWER(Upgrades!$U$11,J316),1)*IF(Upgrades!$T$12="Magnetosphere",POWER(Upgrades!$U$12,K316),1))+(IF(I316=0,0,(Upgrades!$J$10+I316*Upgrades!$K$10)*POWER(Upgrades!$L$10,I316)))*(IF(Upgrades!$T$6="Orbital Resonance",POWER(Upgrades!$U$6,E316),1)*IF(Upgrades!$T$7="Orbital Resonance",POWER(Upgrades!$U$7,F316),1)*IF(Upgrades!$T$8="Orbital Resonance",POWER(Upgrades!$U$8,G316),1)*IF(Upgrades!$T$9="Orbital Resonance",POWER(Upgrades!$U$9,H316),1)*IF(Upgrades!$T$11="Orbital Resonance",POWER(Upgrades!$U$11,J316),1)*IF(Upgrades!$T$12="Orbital Resonance",POWER(Upgrades!$U$12,K316),1))+(IF(J316=0,0,(Upgrades!$J$11+J316*Upgrades!$K$11)*POWER(Upgrades!$L$11,J316)))*(IF(Upgrades!$T$6="Heliopause",POWER(Upgrades!$U$6,E316),1)*IF(Upgrades!$T$7="Heliopause",POWER(Upgrades!$U$7,F316),1)*IF(Upgrades!$T$8="Heliopause",POWER(Upgrades!$U$8,G316),1)*IF(Upgrades!$T$9="Heliopause",POWER(Upgrades!$U$9,H316),1)*IF(Upgrades!$T$10="Heliopause",POWER(Upgrades!$U$10,I316),1)*IF(Upgrades!$T$12="Heliopause",POWER(Upgrades!$U$12,K316),1))+(IF(K316=0,0,(Upgrades!$J$12+K316*Upgrades!$K$12)*POWER(Upgrades!$L$12,K316)))*(IF(Upgrades!$T$6="First Photons",POWER(Upgrades!$U$6,E316),1)*IF(Upgrades!$T$7="First Photons",POWER(Upgrades!$U$7,F316),1)*IF(Upgrades!$T$8="First Photons",POWER(Upgrades!$U$8,G316),1)*IF(Upgrades!$T$9="First Photons",POWER(Upgrades!$U$9,H316),1)*IF(Upgrades!$T$10="First Photons",POWER(Upgrades!$U$10,I316),1)*IF(Upgrades!$T$11="First Photons",POWER(Upgrades!$U$11,J316),1)))*POWER(Upgrades!$Q$6,E316)*POWER(Upgrades!$Q$7,F316)*POWER(Upgrades!$Q$8,G316)*POWER(Upgrades!$Q$9,H316)*POWER(Upgrades!$Q$10,I316)*POWER(Upgrades!$Q$11,J316)*POWER(Upgrades!$Q$12,K316)</f>
        <v>5.61</v>
      </c>
      <c r="N316" s="28" t="n">
        <f aca="false">((IF(E316=0,0,(Upgrades!$G$6+E316*Upgrades!$H$6)*POWER(Upgrades!$I$6,E316)))*(IF(Upgrades!$T$7="Solar Wind",POWER(Upgrades!$U$7,F316),1)*IF(Upgrades!$T$8="Solar Wind",POWER(Upgrades!$U$8,G316),1)*IF(Upgrades!$T$9="Solar Wind",POWER(Upgrades!$U$9,H316),1)*IF(Upgrades!$T$10="Solar Wind",POWER(Upgrades!$U$10,I316),1)*IF(Upgrades!$T$11="Solar Wind",POWER(Upgrades!$U$11,J316),1)*IF(Upgrades!$T$12="Solar Wind",POWER(Upgrades!$U$12,K316),1))+(IF(F316=0,0,(Upgrades!$G$7+F316*Upgrades!$H$7)*POWER(Upgrades!$I$7,F316)))*(IF(Upgrades!$T$6="Asteroid Belt",POWER(Upgrades!$U$6,E316),1)*IF(Upgrades!$T$8="Asteroid Belt",POWER(Upgrades!$U$8,G316),1)*IF(Upgrades!$T$9="Asteroid Belt",POWER(Upgrades!$U$9,H316),1)*IF(Upgrades!$T$10="Asteroid Belt",POWER(Upgrades!$U$10,I316),1)*IF(Upgrades!$T$11="Asteroid Belt",POWER(Upgrades!$U$11,J316),1)*IF(Upgrades!$T$12="Asteroid Belt",POWER(Upgrades!$U$12,K316),1))+(IF(G316=0,0,(Upgrades!$G$8+G316*Upgrades!$H$8)*POWER(Upgrades!$I$8,G316)))*(IF(Upgrades!$T$6="Stellar Coupling",POWER(Upgrades!$U$6,E316),1)*IF(Upgrades!$T$7="Stellar Coupling",POWER(Upgrades!$U$7,F316),1)*IF(Upgrades!$T$9="Stellar Coupling",POWER(Upgrades!$U$9,H316),1)*IF(Upgrades!$T$10="Stellar Coupling",POWER(Upgrades!$U$10,I316),1)*IF(Upgrades!$T$11="Stellar Coupling",POWER(Upgrades!$U$11,J316),1)*IF(Upgrades!$T$12="Stellar Coupling",POWER(Upgrades!$U$12,K316),1))+(IF(H316=0,0,(Upgrades!$G$9+H316*Upgrades!$H$9)*POWER(Upgrades!$I$9,H316)))*(IF(Upgrades!$T$6="Magnetosphere",POWER(Upgrades!$U$6,E316),1)*IF(Upgrades!$T$7="Magnetosphere",POWER(Upgrades!$U$7,F316),1)*IF(Upgrades!$T$8="Magnetosphere",POWER(Upgrades!$U$8,G316),1)*IF(Upgrades!$T$10="Magnetosphere",POWER(Upgrades!$U$10,I316),1)*IF(Upgrades!$T$11="Magnetosphere",POWER(Upgrades!$U$11,J316),1)*IF(Upgrades!$T$12="Magnetosphere",POWER(Upgrades!$U$12,K316),1))+(IF(I316=0,0,(Upgrades!$G$10+I316*Upgrades!$H$10)*POWER(Upgrades!$I$10,I316)))*(IF(Upgrades!$T$6="Orbital Resonance",POWER(Upgrades!$U$6,E316),1)*IF(Upgrades!$T$7="Orbital Resonance",POWER(Upgrades!$U$7,F316),1)*IF(Upgrades!$T$8="Orbital Resonance",POWER(Upgrades!$U$8,G316),1)*IF(Upgrades!$T$9="Orbital Resonance",POWER(Upgrades!$U$9,H316),1)*IF(Upgrades!$T$11="Orbital Resonance",POWER(Upgrades!$U$11,J316),1)*IF(Upgrades!$T$12="Orbital Resonance",POWER(Upgrades!$U$12,K316),1))+(IF(J316=0,0,(Upgrades!$G$11+J316*Upgrades!$H$11)*POWER(Upgrades!$I$11,J316)))*(IF(Upgrades!$T$6="Heliopause",POWER(Upgrades!$U$6,E316),1)*IF(Upgrades!$T$7="Heliopause",POWER(Upgrades!$U$7,F316),1)*IF(Upgrades!$T$8="Heliopause",POWER(Upgrades!$U$8,G316),1)*IF(Upgrades!$T$9="Heliopause",POWER(Upgrades!$U$9,H316),1)*IF(Upgrades!$T$10="Heliopause",POWER(Upgrades!$U$10,I316),1)*IF(Upgrades!$T$12="Heliopause",POWER(Upgrades!$U$12,K316),1))+(IF(K316=0,0,(Upgrades!$G$12+K316*Upgrades!$H$12)*POWER(Upgrades!$I$12,K316)))*(IF(Upgrades!$T$6="First Photons",POWER(Upgrades!$U$6,E316),1)*IF(Upgrades!$T$7="First Photons",POWER(Upgrades!$U$7,F316),1)*IF(Upgrades!$T$8="First Photons",POWER(Upgrades!$U$8,G316),1)*IF(Upgrades!$T$9="First Photons",POWER(Upgrades!$U$9,H316),1)*IF(Upgrades!$T$10="First Photons",POWER(Upgrades!$U$10,I316),1)*IF(Upgrades!$T$11="First Photons",POWER(Upgrades!$U$11,J316),1)))*POWER(Upgrades!$P$6,E316)*POWER(Upgrades!$P$7,F316)*POWER(Upgrades!$P$8,G316)*POWER(Upgrades!$P$9,H316)*POWER(Upgrades!$P$10,I316)*POWER(Upgrades!$P$11,J316)*POWER(Upgrades!$P$12,K316)</f>
        <v>11.2</v>
      </c>
      <c r="O316" s="28" t="n">
        <f aca="false">((IF(E316=0,0,(Upgrades!$M$6+E316*Upgrades!$N$6)*POWER(Upgrades!$O$6,E316)))*(IF(Upgrades!$T$7="Solar Wind",POWER(Upgrades!$U$7,F316),1)*IF(Upgrades!$T$8="Solar Wind",POWER(Upgrades!$U$8,G316),1)*IF(Upgrades!$T$9="Solar Wind",POWER(Upgrades!$U$9,H316),1)*IF(Upgrades!$T$10="Solar Wind",POWER(Upgrades!$U$10,I316),1)*IF(Upgrades!$T$11="Solar Wind",POWER(Upgrades!$U$11,J316),1)*IF(Upgrades!$T$12="Solar Wind",POWER(Upgrades!$U$12,K316),1))+(IF(F316=0,0,(Upgrades!$M$7+F316*Upgrades!$N$7)*POWER(Upgrades!$O$7,F316)))*(IF(Upgrades!$T$6="Asteroid Belt",POWER(Upgrades!$U$6,E316),1)*IF(Upgrades!$T$8="Asteroid Belt",POWER(Upgrades!$U$8,G316),1)*IF(Upgrades!$T$9="Asteroid Belt",POWER(Upgrades!$U$9,H316),1)*IF(Upgrades!$T$10="Asteroid Belt",POWER(Upgrades!$U$10,I316),1)*IF(Upgrades!$T$11="Asteroid Belt",POWER(Upgrades!$U$11,J316),1)*IF(Upgrades!$T$12="Asteroid Belt",POWER(Upgrades!$U$12,K316),1))+(IF(G316=0,0,(Upgrades!$M$8+G316*Upgrades!$N$8)*POWER(Upgrades!$O$8,G316)))*(IF(Upgrades!$T$6="Stellar Coupling",POWER(Upgrades!$U$6,E316),1)*IF(Upgrades!$T$7="Stellar Coupling",POWER(Upgrades!$U$7,F316),1)*IF(Upgrades!$T$9="Stellar Coupling",POWER(Upgrades!$U$9,H316),1)*IF(Upgrades!$T$10="Stellar Coupling",POWER(Upgrades!$U$10,I316),1)*IF(Upgrades!$T$11="Stellar Coupling",POWER(Upgrades!$U$11,J316),1)*IF(Upgrades!$T$12="Stellar Coupling",POWER(Upgrades!$U$12,K316),1))+(IF(H316=0,0,(Upgrades!$M$9+H316*Upgrades!$N$9)*POWER(Upgrades!$O$9,H316)))*(IF(Upgrades!$T$6="Magnetosphere",POWER(Upgrades!$U$6,E316),1)*IF(Upgrades!$T$7="Magnetosphere",POWER(Upgrades!$U$7,F316),1)*IF(Upgrades!$T$8="Magnetosphere",POWER(Upgrades!$U$8,G316),1)*IF(Upgrades!$T$10="Magnetosphere",POWER(Upgrades!$U$10,I316),1)*IF(Upgrades!$T$11="Magnetosphere",POWER(Upgrades!$U$11,J316),1)*IF(Upgrades!$T$12="Magnetosphere",POWER(Upgrades!$U$12,K316),1))+(IF(I316=0,0,(Upgrades!$M$10+I316*Upgrades!$N$10)*POWER(Upgrades!$O$10,I316)))*(IF(Upgrades!$T$6="Orbital Resonance",POWER(Upgrades!$U$6,E316),1)*IF(Upgrades!$T$7="Orbital Resonance",POWER(Upgrades!$U$7,F316),1)*IF(Upgrades!$T$8="Orbital Resonance",POWER(Upgrades!$U$8,G316),1)*IF(Upgrades!$T$9="Orbital Resonance",POWER(Upgrades!$U$9,H316),1)*IF(Upgrades!$T$11="Orbital Resonance",POWER(Upgrades!$U$11,J316),1)*IF(Upgrades!$T$12="Orbital Resonance",POWER(Upgrades!$U$12,K316),1))+(IF(J316=0,0,(Upgrades!$M$11+J316*Upgrades!$N$11)*POWER(Upgrades!$O$11,J316)))*(IF(Upgrades!$T$6="Heliopause",POWER(Upgrades!$U$6,E316),1)*IF(Upgrades!$T$7="Heliopause",POWER(Upgrades!$U$7,F316),1)*IF(Upgrades!$T$8="Heliopause",POWER(Upgrades!$U$8,G316),1)*IF(Upgrades!$T$9="Heliopause",POWER(Upgrades!$U$9,H316),1)*IF(Upgrades!$T$10="Heliopause",POWER(Upgrades!$U$10,I316),1)*IF(Upgrades!$T$12="Heliopause",POWER(Upgrades!$U$12,K316),1))+(IF(K316=0,0,(Upgrades!$M$12+K316*Upgrades!$N$12)*POWER(Upgrades!$O$12,K316)))*(IF(Upgrades!$T$6="First Photons",POWER(Upgrades!$U$6,E316),1)*IF(Upgrades!$T$7="First Photons",POWER(Upgrades!$U$7,F316),1)*IF(Upgrades!$T$8="First Photons",POWER(Upgrades!$U$8,G316),1)*IF(Upgrades!$T$9="First Photons",POWER(Upgrades!$U$9,H316),1)*IF(Upgrades!$T$10="First Photons",POWER(Upgrades!$U$10,I316),1)*IF(Upgrades!$T$11="First Photons",POWER(Upgrades!$U$11,J316),1)))*POWER(Upgrades!$R$6,E316)*POWER(Upgrades!$R$7,F316)*POWER(Upgrades!$R$8,G316)*POWER(Upgrades!$R$9,H316)*POWER(Upgrades!$R$10,I316)*POWER(Upgrades!$R$11,J316)*POWER(Upgrades!$R$12,K316)</f>
        <v>0</v>
      </c>
      <c r="P316" s="27" t="n">
        <f aca="false">IF(L316=1,0,M316*Parameters!$B$10/60*Parameters!$B$11*10)</f>
        <v>0</v>
      </c>
      <c r="Q316" s="27" t="n">
        <f aca="false">IF(L316=1,0,O316*M316*10)</f>
        <v>0</v>
      </c>
      <c r="R316" s="27" t="n">
        <f aca="false">IF(L316=1,0,N316*10)</f>
        <v>0</v>
      </c>
      <c r="S316" s="27" t="n">
        <f aca="false">P316+Q316+R316</f>
        <v>0</v>
      </c>
      <c r="T316" s="21" t="n">
        <f aca="false">C316+S316</f>
        <v>18.6730249835055</v>
      </c>
      <c r="U316" s="34" t="str">
        <f aca="false">AX316</f>
        <v/>
      </c>
      <c r="V316" s="21" t="n">
        <f aca="false">IF(U316="",0,IF(U316="transition",0,IF(U316="SW",AG316,IF(U316="AB",AH316,IF(U316="SC",AI316,IF(U316="Mag",AJ316,IF(U316="OR",AK316,IF(U316="HP",AL316,IF(U316="FP",AM316,0)))))))))</f>
        <v>0</v>
      </c>
      <c r="W316" s="27" t="n">
        <f aca="false">IF(U316="OR",Upgrades!$F$10,IF(U316="HP",Upgrades!$F$11,IF(U316="transition",-Parameters!$B$18,0)))</f>
        <v>0</v>
      </c>
      <c r="X316" s="21" t="n">
        <f aca="false">T316-V316</f>
        <v>18.6730249835055</v>
      </c>
      <c r="Y316" s="30" t="n">
        <f aca="false">M316*Parameters!$B$10/60*Parameters!$B$11+O316*M316+N316</f>
        <v>20.55</v>
      </c>
      <c r="Z316" s="35" t="str">
        <f aca="false">IF(U316="transition","→ Tier 2 (Stellar Neighborhood)",IF(U316="FP","First Photons — light begins, system quickens",IF(U316="HP","Heliopause acquired",IF(U316="OR","Orbital Resonance — passive multiplier active",IF(AND(AO316=1,L316=0,AN316&lt;&gt;1),"Cohesion ready (waiting on completionist upgrades)","")))))</f>
        <v/>
      </c>
      <c r="AA316" s="27" t="n">
        <f aca="false">(IF(E316=0,0,(Upgrades!$G$6+E316*Upgrades!$H$6)*POWER(Upgrades!$I$6,E316)))*(IF(Upgrades!$T$7="Solar Wind",POWER(Upgrades!$U$7,F316),1)*IF(Upgrades!$T$8="Solar Wind",POWER(Upgrades!$U$8,G316),1)*IF(Upgrades!$T$9="Solar Wind",POWER(Upgrades!$U$9,H316),1)*IF(Upgrades!$T$10="Solar Wind",POWER(Upgrades!$U$10,I316),1)*IF(Upgrades!$T$11="Solar Wind",POWER(Upgrades!$U$11,J316),1)*IF(Upgrades!$T$12="Solar Wind",POWER(Upgrades!$U$12,K316),1))*POWER(Upgrades!$P$6,E316)*POWER(Upgrades!$P$7,F316)*POWER(Upgrades!$P$8,G316)*POWER(Upgrades!$P$9,H316)*POWER(Upgrades!$P$10,I316)*POWER(Upgrades!$P$11,J316)*POWER(Upgrades!$P$12,K316)*60</f>
        <v>72</v>
      </c>
      <c r="AB316" s="27" t="n">
        <f aca="false">(IF(F316=0,0,(Upgrades!$G$7+F316*Upgrades!$H$7)*POWER(Upgrades!$I$7,F316)))*(IF(Upgrades!$T$6="Asteroid Belt",POWER(Upgrades!$U$6,E316),1)*IF(Upgrades!$T$8="Asteroid Belt",POWER(Upgrades!$U$8,G316),1)*IF(Upgrades!$T$9="Asteroid Belt",POWER(Upgrades!$U$9,H316),1)*IF(Upgrades!$T$10="Asteroid Belt",POWER(Upgrades!$U$10,I316),1)*IF(Upgrades!$T$11="Asteroid Belt",POWER(Upgrades!$U$11,J316),1)*IF(Upgrades!$T$12="Asteroid Belt",POWER(Upgrades!$U$12,K316),1))*POWER(Upgrades!$P$6,E316)*POWER(Upgrades!$P$7,F316)*POWER(Upgrades!$P$8,G316)*POWER(Upgrades!$P$9,H316)*POWER(Upgrades!$P$10,I316)*POWER(Upgrades!$P$11,J316)*POWER(Upgrades!$P$12,K316)*60</f>
        <v>150</v>
      </c>
      <c r="AC316" s="27" t="n">
        <f aca="false">(IF(G316=0,0,(Upgrades!$J$8+G316*Upgrades!$K$8)*POWER(Upgrades!$L$8,G316)))*(IF(Upgrades!$T$6="Stellar Coupling",POWER(Upgrades!$U$6,E316),1)*IF(Upgrades!$T$7="Stellar Coupling",POWER(Upgrades!$U$7,F316),1)*IF(Upgrades!$T$9="Stellar Coupling",POWER(Upgrades!$U$9,H316),1)*IF(Upgrades!$T$10="Stellar Coupling",POWER(Upgrades!$U$10,I316),1)*IF(Upgrades!$T$11="Stellar Coupling",POWER(Upgrades!$U$11,J316),1)*IF(Upgrades!$T$12="Stellar Coupling",POWER(Upgrades!$U$12,K316),1))*POWER(Upgrades!$Q$6,E316)*POWER(Upgrades!$Q$7,F316)*POWER(Upgrades!$Q$8,G316)*POWER(Upgrades!$Q$9,H316)*POWER(Upgrades!$Q$10,I316)*POWER(Upgrades!$Q$11,J316)*POWER(Upgrades!$Q$12,K316)*Parameters!$B$10*Parameters!$B$11</f>
        <v>441</v>
      </c>
      <c r="AD316" s="27" t="n">
        <f aca="false">(IF(H316=0,0,(Upgrades!$G$9+H316*Upgrades!$H$9)*POWER(Upgrades!$I$9,H316)))*(IF(Upgrades!$T$6="Magnetosphere",POWER(Upgrades!$U$6,E316),1)*IF(Upgrades!$T$7="Magnetosphere",POWER(Upgrades!$U$7,F316),1)*IF(Upgrades!$T$8="Magnetosphere",POWER(Upgrades!$U$8,G316),1)*IF(Upgrades!$T$10="Magnetosphere",POWER(Upgrades!$U$10,I316),1)*IF(Upgrades!$T$11="Magnetosphere",POWER(Upgrades!$U$11,J316),1)*IF(Upgrades!$T$12="Magnetosphere",POWER(Upgrades!$U$12,K316),1))*POWER(Upgrades!$P$6,E316)*POWER(Upgrades!$P$7,F316)*POWER(Upgrades!$P$8,G316)*POWER(Upgrades!$P$9,H316)*POWER(Upgrades!$P$10,I316)*POWER(Upgrades!$P$11,J316)*POWER(Upgrades!$P$12,K316)*60</f>
        <v>375</v>
      </c>
      <c r="AE316" s="27" t="n">
        <f aca="false">(IF(K316=0,0,(Upgrades!$G$12+K316*Upgrades!$H$12)*POWER(Upgrades!$I$12,K316)))*(IF(Upgrades!$T$6="First Photons",POWER(Upgrades!$U$6,E316),1)*IF(Upgrades!$T$7="First Photons",POWER(Upgrades!$U$7,F316),1)*IF(Upgrades!$T$8="First Photons",POWER(Upgrades!$U$8,G316),1)*IF(Upgrades!$T$9="First Photons",POWER(Upgrades!$U$9,H316),1)*IF(Upgrades!$T$10="First Photons",POWER(Upgrades!$U$10,I316),1)*IF(Upgrades!$T$11="First Photons",POWER(Upgrades!$U$11,J316),1))*POWER(Upgrades!$P$6,E316)*POWER(Upgrades!$P$7,F316)*POWER(Upgrades!$P$8,G316)*POWER(Upgrades!$P$9,H316)*POWER(Upgrades!$P$10,I316)*POWER(Upgrades!$P$11,J316)*POWER(Upgrades!$P$12,K316)*60</f>
        <v>75</v>
      </c>
      <c r="AF316" s="27" t="n">
        <f aca="false">Parameters!$B$9*POWER(Upgrades!$Q$6,E316)*POWER(Upgrades!$Q$7,F316)*POWER(Upgrades!$Q$8,G316)*POWER(Upgrades!$Q$9,H316)*POWER(Upgrades!$Q$10,I316)*POWER(Upgrades!$Q$11,J316)*POWER(Upgrades!$Q$12,K316)*(Parameters!$B$10*Parameters!$B$11+O316*60)</f>
        <v>120</v>
      </c>
      <c r="AG316" s="21" t="n">
        <f aca="false">IF(E316&gt;=Upgrades!$E$6,"",Upgrades!$C$6*POWER(Upgrades!$D$6,E316))</f>
        <v>37.4517507383159</v>
      </c>
      <c r="AH316" s="21" t="n">
        <f aca="false">IF(F316&gt;=Upgrades!$E$7,"",Upgrades!$C$7*POWER(Upgrades!$D$7,F316))</f>
        <v>80.9111547141581</v>
      </c>
      <c r="AI316" s="21" t="n">
        <f aca="false">IF(G316&gt;=Upgrades!$E$8,"",Upgrades!$C$8*POWER(Upgrades!$D$8,G316))</f>
        <v>231.9097088</v>
      </c>
      <c r="AJ316" s="21" t="str">
        <f aca="false">IF(H316&gt;=Upgrades!$E$9,"",Upgrades!$C$9*POWER(Upgrades!$D$9,H316))</f>
        <v/>
      </c>
      <c r="AK316" s="21" t="str">
        <f aca="false">IF(I316&gt;=Upgrades!$E$10,"",Upgrades!$C$10*POWER(Upgrades!$D$10,I316))</f>
        <v/>
      </c>
      <c r="AL316" s="21" t="str">
        <f aca="false">IF(J316&gt;=Upgrades!$E$11,"",Upgrades!$C$11*POWER(Upgrades!$D$11,J316))</f>
        <v/>
      </c>
      <c r="AM316" s="21" t="str">
        <f aca="false">IF(K316&gt;=Upgrades!$E$12,"",Upgrades!$C$12*POWER(Upgrades!$D$12,K316))</f>
        <v/>
      </c>
      <c r="AN316" s="26" t="str">
        <f aca="false">IF(AND(D316&gt;=Parameters!$B$18,(H316&gt;=Upgrades!$E$9)*(K316&gt;=Upgrades!$E$12)=1,L316=0),1,"")</f>
        <v/>
      </c>
      <c r="AO316" s="26" t="str">
        <f aca="false">IF(AND(D316&gt;=Parameters!$B$18,L316=0),1,"")</f>
        <v/>
      </c>
      <c r="AP316" s="21" t="n">
        <f aca="false">MIN(IF(ISNUMBER(AK316),AK316,9000000000000000),IF(ISNUMBER(AL316),AL316,9000000000000000),IF(ISNUMBER(AM316),AM316,9000000000000000))</f>
        <v>9000000000000000</v>
      </c>
      <c r="AQ316" s="21" t="n">
        <f aca="false">MIN(IF(ISNUMBER(AG316),AG316,9000000000000000),IF(ISNUMBER(AH316),AH316,9000000000000000),IF(ISNUMBER(AI316),AI316,9000000000000000),IF(ISNUMBER(AJ316),AJ316,9000000000000000))</f>
        <v>37.4517507383159</v>
      </c>
      <c r="AR316" s="32" t="b">
        <f aca="false">IF(AW316&gt;Parameters!$B$21*(MAX(IF(AND(NOT(AND(AO316=1,AN316&lt;&gt;1)),ISNUMBER(AG316),AG316&lt;=T316),AS316,0),IF(AND(NOT(AND(AO316=1,AN316&lt;&gt;1)),ISNUMBER(AH316),AH316&lt;=T316),AT316,0),IF(AND(NOT(AND(AO316=1,AN316&lt;&gt;1)),ISNUMBER(AI316),AI316&lt;=T316),AU316,0),IF(AND(ISNUMBER(AJ316),AJ316&lt;=T316),AV316,0))),TRUE(),FALSE())</f>
        <v>1</v>
      </c>
      <c r="AS316" s="33" t="n">
        <f aca="false">IFERROR(Upgrades!$H$6*(POWER(Upgrades!$P$6,E316)*POWER(Upgrades!$P$7,F316)*POWER(Upgrades!$P$8,G316)*POWER(Upgrades!$P$9,H316)*POWER(Upgrades!$P$10,I316)*POWER(Upgrades!$P$11,J316)*POWER(Upgrades!$P$12,K316))*(IF(Upgrades!$T$7="Solar Wind",POWER(Upgrades!$U$7,F316),1)*IF(Upgrades!$T$8="Solar Wind",POWER(Upgrades!$U$8,G316),1)*IF(Upgrades!$T$9="Solar Wind",POWER(Upgrades!$U$9,H316),1)*IF(Upgrades!$T$10="Solar Wind",POWER(Upgrades!$U$10,I316),1)*IF(Upgrades!$T$11="Solar Wind",POWER(Upgrades!$U$11,J316),1)*IF(Upgrades!$T$12="Solar Wind",POWER(Upgrades!$U$12,K316),1))/AG316,0)</f>
        <v>0.0026701021455238</v>
      </c>
      <c r="AT316" s="33" t="n">
        <f aca="false">IFERROR(Upgrades!$H$7*(POWER(Upgrades!$P$6,E316)*POWER(Upgrades!$P$7,F316)*POWER(Upgrades!$P$8,G316)*POWER(Upgrades!$P$9,H316)*POWER(Upgrades!$P$10,I316)*POWER(Upgrades!$P$11,J316)*POWER(Upgrades!$P$12,K316))*(IF(Upgrades!$T$6="Asteroid Belt",POWER(Upgrades!$U$6,E316),1)*IF(Upgrades!$T$8="Asteroid Belt",POWER(Upgrades!$U$8,G316),1)*IF(Upgrades!$T$9="Asteroid Belt",POWER(Upgrades!$U$9,H316),1)*IF(Upgrades!$T$10="Asteroid Belt",POWER(Upgrades!$U$10,I316),1)*IF(Upgrades!$T$11="Asteroid Belt",POWER(Upgrades!$U$11,J316),1)*IF(Upgrades!$T$12="Asteroid Belt",POWER(Upgrades!$U$12,K316),1))/AH316,0)</f>
        <v>0.00308980882652332</v>
      </c>
      <c r="AU316" s="33" t="n">
        <f aca="false">IFERROR(Upgrades!$K$8*(POWER(Upgrades!$Q$6,E316)*POWER(Upgrades!$Q$7,F316)*POWER(Upgrades!$Q$8,G316)*POWER(Upgrades!$Q$9,H316)*POWER(Upgrades!$Q$10,I316)*POWER(Upgrades!$Q$11,J316)*POWER(Upgrades!$Q$12,K316))*(IF(Upgrades!$T$6="Stellar Coupling",POWER(Upgrades!$U$6,E316),1)*IF(Upgrades!$T$7="Stellar Coupling",POWER(Upgrades!$U$7,F316),1)*IF(Upgrades!$T$9="Stellar Coupling",POWER(Upgrades!$U$9,H316),1)*IF(Upgrades!$T$10="Stellar Coupling",POWER(Upgrades!$U$10,I316),1)*IF(Upgrades!$T$11="Stellar Coupling",POWER(Upgrades!$U$11,J316),1)*IF(Upgrades!$T$12="Stellar Coupling",POWER(Upgrades!$U$12,K316),1))*Parameters!$B$10*Parameters!$B$11/60/AI316,0)</f>
        <v>0.00452762415783776</v>
      </c>
      <c r="AV316" s="33" t="n">
        <f aca="false">IFERROR(Upgrades!$H$9*(POWER(Upgrades!$P$6,E316)*POWER(Upgrades!$P$7,F316)*POWER(Upgrades!$P$8,G316)*POWER(Upgrades!$P$9,H316)*POWER(Upgrades!$P$10,I316)*POWER(Upgrades!$P$11,J316)*POWER(Upgrades!$P$12,K316))*(IF(Upgrades!$T$6="Magnetosphere",POWER(Upgrades!$U$6,E316),1)*IF(Upgrades!$T$7="Magnetosphere",POWER(Upgrades!$U$7,F316),1)*IF(Upgrades!$T$8="Magnetosphere",POWER(Upgrades!$U$8,G316),1)*IF(Upgrades!$T$10="Magnetosphere",POWER(Upgrades!$U$10,I316),1)*IF(Upgrades!$T$11="Magnetosphere",POWER(Upgrades!$U$11,J316),1)*IF(Upgrades!$T$12="Magnetosphere",POWER(Upgrades!$U$12,K316),1))/AJ316,0)</f>
        <v>0</v>
      </c>
      <c r="AW316" s="33" t="n">
        <f aca="false">MAX(IF(I316&gt;0,0,IFERROR(0.25*N316/Upgrades!$C$10,0)),IF(J316&gt;0,0,IFERROR(0.5*((IF(G316=0,0,(Upgrades!$J$8+G316*Upgrades!$K$8)*POWER(Upgrades!$L$8,G316)))*(IF(Upgrades!$T$6="Stellar Coupling",POWER(Upgrades!$U$6,E316),1)*IF(Upgrades!$T$7="Stellar Coupling",POWER(Upgrades!$U$7,F316),1)*IF(Upgrades!$T$9="Stellar Coupling",POWER(Upgrades!$U$9,H316),1)*IF(Upgrades!$T$10="Stellar Coupling",POWER(Upgrades!$U$10,I316),1)*IF(Upgrades!$T$11="Stellar Coupling",POWER(Upgrades!$U$11,J316),1)*IF(Upgrades!$T$12="Stellar Coupling",POWER(Upgrades!$U$12,K316),1))*(POWER(Upgrades!$Q$6,E316)*POWER(Upgrades!$Q$7,F316)*POWER(Upgrades!$Q$8,G316)*POWER(Upgrades!$Q$9,H316)*POWER(Upgrades!$Q$10,I316)*POWER(Upgrades!$Q$11,J316)*POWER(Upgrades!$Q$12,K316))*Parameters!$B$10*Parameters!$B$11/60)/Upgrades!$C$11,0)),IF(K316&gt;0,0,IFERROR((1*(POWER(Upgrades!$P$6,E316)*POWER(Upgrades!$P$7,F316)*POWER(Upgrades!$P$8,G316)*POWER(Upgrades!$P$9,H316)*POWER(Upgrades!$P$10,I316)*POWER(Upgrades!$P$11,J316)*POWER(Upgrades!$P$12,K316))+0.2*M316*Parameters!$B$10*Parameters!$B$11/60)/Upgrades!$C$12,0)),IF(AND(ISNUMBER(AG316),AG316&gt;T316),AS316,0),IF(AND(ISNUMBER(AH316),AH316&gt;T316),AT316,0),IF(AND(ISNUMBER(AI316),AI316&gt;T316),AU316,0),IF(AND(ISNUMBER(AJ316),AJ316&gt;T316),AV316,0))</f>
        <v>0.00452762415783776</v>
      </c>
      <c r="AX316" s="29" t="str">
        <f aca="false">IF(AN316=1,"transition",IF(MIN(IF(AND(I316=0,ISNUMBER(AK316),AK316&lt;=T316),AK316,9000000000000000),IF(AND(J316=0,ISNUMBER(AL316),AL316&lt;=T316),AL316,9000000000000000),IF(AND(K316=0,ISNUMBER(AM316),AM316&lt;=T316),AM316,9000000000000000))&lt;9000000000000000,IF(AND(AND(I316=0,ISNUMBER(AK316),AK316&lt;=T316),AK316=MIN(IF(AND(I316=0,ISNUMBER(AK316),AK316&lt;=T316),AK316,9000000000000000),IF(AND(J316=0,ISNUMBER(AL316),AL316&lt;=T316),AL316,9000000000000000),IF(AND(K316=0,ISNUMBER(AM316),AM316&lt;=T316),AM316,9000000000000000))),"OR",IF(AND(AND(J316=0,ISNUMBER(AL316),AL316&lt;=T316),AL316=MIN(IF(AND(I316=0,ISNUMBER(AK316),AK316&lt;=T316),AK316,9000000000000000),IF(AND(J316=0,ISNUMBER(AL316),AL316&lt;=T316),AL316,9000000000000000),IF(AND(K316=0,ISNUMBER(AM316),AM316&lt;=T316),AM316,9000000000000000))),"HP","FP")),IF(AR316=TRUE(),"",IF(MAX(IF(AND(NOT(AND(AO316=1,AN316&lt;&gt;1)),ISNUMBER(AG316),AG316&lt;=T316),AS316,0),IF(AND(NOT(AND(AO316=1,AN316&lt;&gt;1)),ISNUMBER(AH316),AH316&lt;=T316),AT316,0),IF(AND(NOT(AND(AO316=1,AN316&lt;&gt;1)),ISNUMBER(AI316),AI316&lt;=T316),AU316,0),IF(AND(ISNUMBER(AJ316),AJ316&lt;=T316),AV316,0))&lt;=0,"",IF(AND(IF(AND(NOT(AND(AO316=1,AN316&lt;&gt;1)),ISNUMBER(AG316),AG316&lt;=T316),AS316,0)&gt;0,IF(AND(NOT(AND(AO316=1,AN316&lt;&gt;1)),ISNUMBER(AG316),AG316&lt;=T316),AS316,0)=MAX(IF(AND(NOT(AND(AO316=1,AN316&lt;&gt;1)),ISNUMBER(AG316),AG316&lt;=T316),AS316,0),IF(AND(NOT(AND(AO316=1,AN316&lt;&gt;1)),ISNUMBER(AH316),AH316&lt;=T316),AT316,0),IF(AND(NOT(AND(AO316=1,AN316&lt;&gt;1)),ISNUMBER(AI316),AI316&lt;=T316),AU316,0),IF(AND(ISNUMBER(AJ316),AJ316&lt;=T316),AV316,0))),"SW",IF(AND(IF(AND(NOT(AND(AO316=1,AN316&lt;&gt;1)),ISNUMBER(AH316),AH316&lt;=T316),AT316,0)&gt;0,IF(AND(NOT(AND(AO316=1,AN316&lt;&gt;1)),ISNUMBER(AH316),AH316&lt;=T316),AT316,0)=MAX(IF(AND(NOT(AND(AO316=1,AN316&lt;&gt;1)),ISNUMBER(AG316),AG316&lt;=T316),AS316,0),IF(AND(NOT(AND(AO316=1,AN316&lt;&gt;1)),ISNUMBER(AH316),AH316&lt;=T316),AT316,0),IF(AND(NOT(AND(AO316=1,AN316&lt;&gt;1)),ISNUMBER(AI316),AI316&lt;=T316),AU316,0),IF(AND(ISNUMBER(AJ316),AJ316&lt;=T316),AV316,0))),"AB",IF(AND(IF(AND(NOT(AND(AO316=1,AN316&lt;&gt;1)),ISNUMBER(AI316),AI316&lt;=T316),AU316,0)&gt;0,IF(AND(NOT(AND(AO316=1,AN316&lt;&gt;1)),ISNUMBER(AI316),AI316&lt;=T316),AU316,0)=MAX(IF(AND(NOT(AND(AO316=1,AN316&lt;&gt;1)),ISNUMBER(AG316),AG316&lt;=T316),AS316,0),IF(AND(NOT(AND(AO316=1,AN316&lt;&gt;1)),ISNUMBER(AH316),AH316&lt;=T316),AT316,0),IF(AND(NOT(AND(AO316=1,AN316&lt;&gt;1)),ISNUMBER(AI316),AI316&lt;=T316),AU316,0),IF(AND(ISNUMBER(AJ316),AJ316&lt;=T316),AV316,0))),"SC","Mag")))))))</f>
        <v/>
      </c>
    </row>
    <row r="317" customFormat="false" ht="15" hidden="false" customHeight="false" outlineLevel="0" collapsed="false">
      <c r="A317" s="26" t="n">
        <v>312</v>
      </c>
      <c r="B317" s="27" t="n">
        <f aca="false">A317*10/60</f>
        <v>52</v>
      </c>
      <c r="C317" s="21" t="n">
        <f aca="false">X316</f>
        <v>18.6730249835055</v>
      </c>
      <c r="D317" s="27" t="n">
        <f aca="false">D316+W316</f>
        <v>0</v>
      </c>
      <c r="E317" s="26" t="n">
        <f aca="false">E316+IF(U316="SW",1,0)</f>
        <v>12</v>
      </c>
      <c r="F317" s="26" t="n">
        <f aca="false">F316+IF(U316="AB",1,0)</f>
        <v>10</v>
      </c>
      <c r="G317" s="26" t="n">
        <f aca="false">G316+IF(U316="SC",1,0)</f>
        <v>7</v>
      </c>
      <c r="H317" s="26" t="n">
        <f aca="false">H316+IF(U316="Mag",1,0)</f>
        <v>5</v>
      </c>
      <c r="I317" s="26" t="n">
        <f aca="false">MAX(I316,IF(U316="OR",1,0))</f>
        <v>1</v>
      </c>
      <c r="J317" s="26" t="n">
        <f aca="false">MAX(J316,IF(U316="HP",1,0))</f>
        <v>1</v>
      </c>
      <c r="K317" s="26" t="n">
        <f aca="false">MAX(K316,IF(U316="FP",1,0))</f>
        <v>1</v>
      </c>
      <c r="L317" s="26" t="n">
        <f aca="false">MAX(L316,IF(U316="transition",1,0))</f>
        <v>1</v>
      </c>
      <c r="M317" s="28" t="n">
        <f aca="false">(Parameters!$B$9+(IF(E317=0,0,(Upgrades!$J$6+E317*Upgrades!$K$6)*POWER(Upgrades!$L$6,E317)))*(IF(Upgrades!$T$7="Solar Wind",POWER(Upgrades!$U$7,F317),1)*IF(Upgrades!$T$8="Solar Wind",POWER(Upgrades!$U$8,G317),1)*IF(Upgrades!$T$9="Solar Wind",POWER(Upgrades!$U$9,H317),1)*IF(Upgrades!$T$10="Solar Wind",POWER(Upgrades!$U$10,I317),1)*IF(Upgrades!$T$11="Solar Wind",POWER(Upgrades!$U$11,J317),1)*IF(Upgrades!$T$12="Solar Wind",POWER(Upgrades!$U$12,K317),1))+(IF(F317=0,0,(Upgrades!$J$7+F317*Upgrades!$K$7)*POWER(Upgrades!$L$7,F317)))*(IF(Upgrades!$T$6="Asteroid Belt",POWER(Upgrades!$U$6,E317),1)*IF(Upgrades!$T$8="Asteroid Belt",POWER(Upgrades!$U$8,G317),1)*IF(Upgrades!$T$9="Asteroid Belt",POWER(Upgrades!$U$9,H317),1)*IF(Upgrades!$T$10="Asteroid Belt",POWER(Upgrades!$U$10,I317),1)*IF(Upgrades!$T$11="Asteroid Belt",POWER(Upgrades!$U$11,J317),1)*IF(Upgrades!$T$12="Asteroid Belt",POWER(Upgrades!$U$12,K317),1))+(IF(G317=0,0,(Upgrades!$J$8+G317*Upgrades!$K$8)*POWER(Upgrades!$L$8,G317)))*(IF(Upgrades!$T$6="Stellar Coupling",POWER(Upgrades!$U$6,E317),1)*IF(Upgrades!$T$7="Stellar Coupling",POWER(Upgrades!$U$7,F317),1)*IF(Upgrades!$T$9="Stellar Coupling",POWER(Upgrades!$U$9,H317),1)*IF(Upgrades!$T$10="Stellar Coupling",POWER(Upgrades!$U$10,I317),1)*IF(Upgrades!$T$11="Stellar Coupling",POWER(Upgrades!$U$11,J317),1)*IF(Upgrades!$T$12="Stellar Coupling",POWER(Upgrades!$U$12,K317),1))+(IF(H317=0,0,(Upgrades!$J$9+H317*Upgrades!$K$9)*POWER(Upgrades!$L$9,H317)))*(IF(Upgrades!$T$6="Magnetosphere",POWER(Upgrades!$U$6,E317),1)*IF(Upgrades!$T$7="Magnetosphere",POWER(Upgrades!$U$7,F317),1)*IF(Upgrades!$T$8="Magnetosphere",POWER(Upgrades!$U$8,G317),1)*IF(Upgrades!$T$10="Magnetosphere",POWER(Upgrades!$U$10,I317),1)*IF(Upgrades!$T$11="Magnetosphere",POWER(Upgrades!$U$11,J317),1)*IF(Upgrades!$T$12="Magnetosphere",POWER(Upgrades!$U$12,K317),1))+(IF(I317=0,0,(Upgrades!$J$10+I317*Upgrades!$K$10)*POWER(Upgrades!$L$10,I317)))*(IF(Upgrades!$T$6="Orbital Resonance",POWER(Upgrades!$U$6,E317),1)*IF(Upgrades!$T$7="Orbital Resonance",POWER(Upgrades!$U$7,F317),1)*IF(Upgrades!$T$8="Orbital Resonance",POWER(Upgrades!$U$8,G317),1)*IF(Upgrades!$T$9="Orbital Resonance",POWER(Upgrades!$U$9,H317),1)*IF(Upgrades!$T$11="Orbital Resonance",POWER(Upgrades!$U$11,J317),1)*IF(Upgrades!$T$12="Orbital Resonance",POWER(Upgrades!$U$12,K317),1))+(IF(J317=0,0,(Upgrades!$J$11+J317*Upgrades!$K$11)*POWER(Upgrades!$L$11,J317)))*(IF(Upgrades!$T$6="Heliopause",POWER(Upgrades!$U$6,E317),1)*IF(Upgrades!$T$7="Heliopause",POWER(Upgrades!$U$7,F317),1)*IF(Upgrades!$T$8="Heliopause",POWER(Upgrades!$U$8,G317),1)*IF(Upgrades!$T$9="Heliopause",POWER(Upgrades!$U$9,H317),1)*IF(Upgrades!$T$10="Heliopause",POWER(Upgrades!$U$10,I317),1)*IF(Upgrades!$T$12="Heliopause",POWER(Upgrades!$U$12,K317),1))+(IF(K317=0,0,(Upgrades!$J$12+K317*Upgrades!$K$12)*POWER(Upgrades!$L$12,K317)))*(IF(Upgrades!$T$6="First Photons",POWER(Upgrades!$U$6,E317),1)*IF(Upgrades!$T$7="First Photons",POWER(Upgrades!$U$7,F317),1)*IF(Upgrades!$T$8="First Photons",POWER(Upgrades!$U$8,G317),1)*IF(Upgrades!$T$9="First Photons",POWER(Upgrades!$U$9,H317),1)*IF(Upgrades!$T$10="First Photons",POWER(Upgrades!$U$10,I317),1)*IF(Upgrades!$T$11="First Photons",POWER(Upgrades!$U$11,J317),1)))*POWER(Upgrades!$Q$6,E317)*POWER(Upgrades!$Q$7,F317)*POWER(Upgrades!$Q$8,G317)*POWER(Upgrades!$Q$9,H317)*POWER(Upgrades!$Q$10,I317)*POWER(Upgrades!$Q$11,J317)*POWER(Upgrades!$Q$12,K317)</f>
        <v>5.61</v>
      </c>
      <c r="N317" s="28" t="n">
        <f aca="false">((IF(E317=0,0,(Upgrades!$G$6+E317*Upgrades!$H$6)*POWER(Upgrades!$I$6,E317)))*(IF(Upgrades!$T$7="Solar Wind",POWER(Upgrades!$U$7,F317),1)*IF(Upgrades!$T$8="Solar Wind",POWER(Upgrades!$U$8,G317),1)*IF(Upgrades!$T$9="Solar Wind",POWER(Upgrades!$U$9,H317),1)*IF(Upgrades!$T$10="Solar Wind",POWER(Upgrades!$U$10,I317),1)*IF(Upgrades!$T$11="Solar Wind",POWER(Upgrades!$U$11,J317),1)*IF(Upgrades!$T$12="Solar Wind",POWER(Upgrades!$U$12,K317),1))+(IF(F317=0,0,(Upgrades!$G$7+F317*Upgrades!$H$7)*POWER(Upgrades!$I$7,F317)))*(IF(Upgrades!$T$6="Asteroid Belt",POWER(Upgrades!$U$6,E317),1)*IF(Upgrades!$T$8="Asteroid Belt",POWER(Upgrades!$U$8,G317),1)*IF(Upgrades!$T$9="Asteroid Belt",POWER(Upgrades!$U$9,H317),1)*IF(Upgrades!$T$10="Asteroid Belt",POWER(Upgrades!$U$10,I317),1)*IF(Upgrades!$T$11="Asteroid Belt",POWER(Upgrades!$U$11,J317),1)*IF(Upgrades!$T$12="Asteroid Belt",POWER(Upgrades!$U$12,K317),1))+(IF(G317=0,0,(Upgrades!$G$8+G317*Upgrades!$H$8)*POWER(Upgrades!$I$8,G317)))*(IF(Upgrades!$T$6="Stellar Coupling",POWER(Upgrades!$U$6,E317),1)*IF(Upgrades!$T$7="Stellar Coupling",POWER(Upgrades!$U$7,F317),1)*IF(Upgrades!$T$9="Stellar Coupling",POWER(Upgrades!$U$9,H317),1)*IF(Upgrades!$T$10="Stellar Coupling",POWER(Upgrades!$U$10,I317),1)*IF(Upgrades!$T$11="Stellar Coupling",POWER(Upgrades!$U$11,J317),1)*IF(Upgrades!$T$12="Stellar Coupling",POWER(Upgrades!$U$12,K317),1))+(IF(H317=0,0,(Upgrades!$G$9+H317*Upgrades!$H$9)*POWER(Upgrades!$I$9,H317)))*(IF(Upgrades!$T$6="Magnetosphere",POWER(Upgrades!$U$6,E317),1)*IF(Upgrades!$T$7="Magnetosphere",POWER(Upgrades!$U$7,F317),1)*IF(Upgrades!$T$8="Magnetosphere",POWER(Upgrades!$U$8,G317),1)*IF(Upgrades!$T$10="Magnetosphere",POWER(Upgrades!$U$10,I317),1)*IF(Upgrades!$T$11="Magnetosphere",POWER(Upgrades!$U$11,J317),1)*IF(Upgrades!$T$12="Magnetosphere",POWER(Upgrades!$U$12,K317),1))+(IF(I317=0,0,(Upgrades!$G$10+I317*Upgrades!$H$10)*POWER(Upgrades!$I$10,I317)))*(IF(Upgrades!$T$6="Orbital Resonance",POWER(Upgrades!$U$6,E317),1)*IF(Upgrades!$T$7="Orbital Resonance",POWER(Upgrades!$U$7,F317),1)*IF(Upgrades!$T$8="Orbital Resonance",POWER(Upgrades!$U$8,G317),1)*IF(Upgrades!$T$9="Orbital Resonance",POWER(Upgrades!$U$9,H317),1)*IF(Upgrades!$T$11="Orbital Resonance",POWER(Upgrades!$U$11,J317),1)*IF(Upgrades!$T$12="Orbital Resonance",POWER(Upgrades!$U$12,K317),1))+(IF(J317=0,0,(Upgrades!$G$11+J317*Upgrades!$H$11)*POWER(Upgrades!$I$11,J317)))*(IF(Upgrades!$T$6="Heliopause",POWER(Upgrades!$U$6,E317),1)*IF(Upgrades!$T$7="Heliopause",POWER(Upgrades!$U$7,F317),1)*IF(Upgrades!$T$8="Heliopause",POWER(Upgrades!$U$8,G317),1)*IF(Upgrades!$T$9="Heliopause",POWER(Upgrades!$U$9,H317),1)*IF(Upgrades!$T$10="Heliopause",POWER(Upgrades!$U$10,I317),1)*IF(Upgrades!$T$12="Heliopause",POWER(Upgrades!$U$12,K317),1))+(IF(K317=0,0,(Upgrades!$G$12+K317*Upgrades!$H$12)*POWER(Upgrades!$I$12,K317)))*(IF(Upgrades!$T$6="First Photons",POWER(Upgrades!$U$6,E317),1)*IF(Upgrades!$T$7="First Photons",POWER(Upgrades!$U$7,F317),1)*IF(Upgrades!$T$8="First Photons",POWER(Upgrades!$U$8,G317),1)*IF(Upgrades!$T$9="First Photons",POWER(Upgrades!$U$9,H317),1)*IF(Upgrades!$T$10="First Photons",POWER(Upgrades!$U$10,I317),1)*IF(Upgrades!$T$11="First Photons",POWER(Upgrades!$U$11,J317),1)))*POWER(Upgrades!$P$6,E317)*POWER(Upgrades!$P$7,F317)*POWER(Upgrades!$P$8,G317)*POWER(Upgrades!$P$9,H317)*POWER(Upgrades!$P$10,I317)*POWER(Upgrades!$P$11,J317)*POWER(Upgrades!$P$12,K317)</f>
        <v>11.2</v>
      </c>
      <c r="O317" s="28" t="n">
        <f aca="false">((IF(E317=0,0,(Upgrades!$M$6+E317*Upgrades!$N$6)*POWER(Upgrades!$O$6,E317)))*(IF(Upgrades!$T$7="Solar Wind",POWER(Upgrades!$U$7,F317),1)*IF(Upgrades!$T$8="Solar Wind",POWER(Upgrades!$U$8,G317),1)*IF(Upgrades!$T$9="Solar Wind",POWER(Upgrades!$U$9,H317),1)*IF(Upgrades!$T$10="Solar Wind",POWER(Upgrades!$U$10,I317),1)*IF(Upgrades!$T$11="Solar Wind",POWER(Upgrades!$U$11,J317),1)*IF(Upgrades!$T$12="Solar Wind",POWER(Upgrades!$U$12,K317),1))+(IF(F317=0,0,(Upgrades!$M$7+F317*Upgrades!$N$7)*POWER(Upgrades!$O$7,F317)))*(IF(Upgrades!$T$6="Asteroid Belt",POWER(Upgrades!$U$6,E317),1)*IF(Upgrades!$T$8="Asteroid Belt",POWER(Upgrades!$U$8,G317),1)*IF(Upgrades!$T$9="Asteroid Belt",POWER(Upgrades!$U$9,H317),1)*IF(Upgrades!$T$10="Asteroid Belt",POWER(Upgrades!$U$10,I317),1)*IF(Upgrades!$T$11="Asteroid Belt",POWER(Upgrades!$U$11,J317),1)*IF(Upgrades!$T$12="Asteroid Belt",POWER(Upgrades!$U$12,K317),1))+(IF(G317=0,0,(Upgrades!$M$8+G317*Upgrades!$N$8)*POWER(Upgrades!$O$8,G317)))*(IF(Upgrades!$T$6="Stellar Coupling",POWER(Upgrades!$U$6,E317),1)*IF(Upgrades!$T$7="Stellar Coupling",POWER(Upgrades!$U$7,F317),1)*IF(Upgrades!$T$9="Stellar Coupling",POWER(Upgrades!$U$9,H317),1)*IF(Upgrades!$T$10="Stellar Coupling",POWER(Upgrades!$U$10,I317),1)*IF(Upgrades!$T$11="Stellar Coupling",POWER(Upgrades!$U$11,J317),1)*IF(Upgrades!$T$12="Stellar Coupling",POWER(Upgrades!$U$12,K317),1))+(IF(H317=0,0,(Upgrades!$M$9+H317*Upgrades!$N$9)*POWER(Upgrades!$O$9,H317)))*(IF(Upgrades!$T$6="Magnetosphere",POWER(Upgrades!$U$6,E317),1)*IF(Upgrades!$T$7="Magnetosphere",POWER(Upgrades!$U$7,F317),1)*IF(Upgrades!$T$8="Magnetosphere",POWER(Upgrades!$U$8,G317),1)*IF(Upgrades!$T$10="Magnetosphere",POWER(Upgrades!$U$10,I317),1)*IF(Upgrades!$T$11="Magnetosphere",POWER(Upgrades!$U$11,J317),1)*IF(Upgrades!$T$12="Magnetosphere",POWER(Upgrades!$U$12,K317),1))+(IF(I317=0,0,(Upgrades!$M$10+I317*Upgrades!$N$10)*POWER(Upgrades!$O$10,I317)))*(IF(Upgrades!$T$6="Orbital Resonance",POWER(Upgrades!$U$6,E317),1)*IF(Upgrades!$T$7="Orbital Resonance",POWER(Upgrades!$U$7,F317),1)*IF(Upgrades!$T$8="Orbital Resonance",POWER(Upgrades!$U$8,G317),1)*IF(Upgrades!$T$9="Orbital Resonance",POWER(Upgrades!$U$9,H317),1)*IF(Upgrades!$T$11="Orbital Resonance",POWER(Upgrades!$U$11,J317),1)*IF(Upgrades!$T$12="Orbital Resonance",POWER(Upgrades!$U$12,K317),1))+(IF(J317=0,0,(Upgrades!$M$11+J317*Upgrades!$N$11)*POWER(Upgrades!$O$11,J317)))*(IF(Upgrades!$T$6="Heliopause",POWER(Upgrades!$U$6,E317),1)*IF(Upgrades!$T$7="Heliopause",POWER(Upgrades!$U$7,F317),1)*IF(Upgrades!$T$8="Heliopause",POWER(Upgrades!$U$8,G317),1)*IF(Upgrades!$T$9="Heliopause",POWER(Upgrades!$U$9,H317),1)*IF(Upgrades!$T$10="Heliopause",POWER(Upgrades!$U$10,I317),1)*IF(Upgrades!$T$12="Heliopause",POWER(Upgrades!$U$12,K317),1))+(IF(K317=0,0,(Upgrades!$M$12+K317*Upgrades!$N$12)*POWER(Upgrades!$O$12,K317)))*(IF(Upgrades!$T$6="First Photons",POWER(Upgrades!$U$6,E317),1)*IF(Upgrades!$T$7="First Photons",POWER(Upgrades!$U$7,F317),1)*IF(Upgrades!$T$8="First Photons",POWER(Upgrades!$U$8,G317),1)*IF(Upgrades!$T$9="First Photons",POWER(Upgrades!$U$9,H317),1)*IF(Upgrades!$T$10="First Photons",POWER(Upgrades!$U$10,I317),1)*IF(Upgrades!$T$11="First Photons",POWER(Upgrades!$U$11,J317),1)))*POWER(Upgrades!$R$6,E317)*POWER(Upgrades!$R$7,F317)*POWER(Upgrades!$R$8,G317)*POWER(Upgrades!$R$9,H317)*POWER(Upgrades!$R$10,I317)*POWER(Upgrades!$R$11,J317)*POWER(Upgrades!$R$12,K317)</f>
        <v>0</v>
      </c>
      <c r="P317" s="27" t="n">
        <f aca="false">IF(L317=1,0,M317*Parameters!$B$10/60*Parameters!$B$11*10)</f>
        <v>0</v>
      </c>
      <c r="Q317" s="27" t="n">
        <f aca="false">IF(L317=1,0,O317*M317*10)</f>
        <v>0</v>
      </c>
      <c r="R317" s="27" t="n">
        <f aca="false">IF(L317=1,0,N317*10)</f>
        <v>0</v>
      </c>
      <c r="S317" s="27" t="n">
        <f aca="false">P317+Q317+R317</f>
        <v>0</v>
      </c>
      <c r="T317" s="21" t="n">
        <f aca="false">C317+S317</f>
        <v>18.6730249835055</v>
      </c>
      <c r="U317" s="34" t="str">
        <f aca="false">AX317</f>
        <v/>
      </c>
      <c r="V317" s="21" t="n">
        <f aca="false">IF(U317="",0,IF(U317="transition",0,IF(U317="SW",AG317,IF(U317="AB",AH317,IF(U317="SC",AI317,IF(U317="Mag",AJ317,IF(U317="OR",AK317,IF(U317="HP",AL317,IF(U317="FP",AM317,0)))))))))</f>
        <v>0</v>
      </c>
      <c r="W317" s="27" t="n">
        <f aca="false">IF(U317="OR",Upgrades!$F$10,IF(U317="HP",Upgrades!$F$11,IF(U317="transition",-Parameters!$B$18,0)))</f>
        <v>0</v>
      </c>
      <c r="X317" s="21" t="n">
        <f aca="false">T317-V317</f>
        <v>18.6730249835055</v>
      </c>
      <c r="Y317" s="30" t="n">
        <f aca="false">M317*Parameters!$B$10/60*Parameters!$B$11+O317*M317+N317</f>
        <v>20.55</v>
      </c>
      <c r="Z317" s="35" t="str">
        <f aca="false">IF(U317="transition","→ Tier 2 (Stellar Neighborhood)",IF(U317="FP","First Photons — light begins, system quickens",IF(U317="HP","Heliopause acquired",IF(U317="OR","Orbital Resonance — passive multiplier active",IF(AND(AO317=1,L317=0,AN317&lt;&gt;1),"Cohesion ready (waiting on completionist upgrades)","")))))</f>
        <v/>
      </c>
      <c r="AA317" s="27" t="n">
        <f aca="false">(IF(E317=0,0,(Upgrades!$G$6+E317*Upgrades!$H$6)*POWER(Upgrades!$I$6,E317)))*(IF(Upgrades!$T$7="Solar Wind",POWER(Upgrades!$U$7,F317),1)*IF(Upgrades!$T$8="Solar Wind",POWER(Upgrades!$U$8,G317),1)*IF(Upgrades!$T$9="Solar Wind",POWER(Upgrades!$U$9,H317),1)*IF(Upgrades!$T$10="Solar Wind",POWER(Upgrades!$U$10,I317),1)*IF(Upgrades!$T$11="Solar Wind",POWER(Upgrades!$U$11,J317),1)*IF(Upgrades!$T$12="Solar Wind",POWER(Upgrades!$U$12,K317),1))*POWER(Upgrades!$P$6,E317)*POWER(Upgrades!$P$7,F317)*POWER(Upgrades!$P$8,G317)*POWER(Upgrades!$P$9,H317)*POWER(Upgrades!$P$10,I317)*POWER(Upgrades!$P$11,J317)*POWER(Upgrades!$P$12,K317)*60</f>
        <v>72</v>
      </c>
      <c r="AB317" s="27" t="n">
        <f aca="false">(IF(F317=0,0,(Upgrades!$G$7+F317*Upgrades!$H$7)*POWER(Upgrades!$I$7,F317)))*(IF(Upgrades!$T$6="Asteroid Belt",POWER(Upgrades!$U$6,E317),1)*IF(Upgrades!$T$8="Asteroid Belt",POWER(Upgrades!$U$8,G317),1)*IF(Upgrades!$T$9="Asteroid Belt",POWER(Upgrades!$U$9,H317),1)*IF(Upgrades!$T$10="Asteroid Belt",POWER(Upgrades!$U$10,I317),1)*IF(Upgrades!$T$11="Asteroid Belt",POWER(Upgrades!$U$11,J317),1)*IF(Upgrades!$T$12="Asteroid Belt",POWER(Upgrades!$U$12,K317),1))*POWER(Upgrades!$P$6,E317)*POWER(Upgrades!$P$7,F317)*POWER(Upgrades!$P$8,G317)*POWER(Upgrades!$P$9,H317)*POWER(Upgrades!$P$10,I317)*POWER(Upgrades!$P$11,J317)*POWER(Upgrades!$P$12,K317)*60</f>
        <v>150</v>
      </c>
      <c r="AC317" s="27" t="n">
        <f aca="false">(IF(G317=0,0,(Upgrades!$J$8+G317*Upgrades!$K$8)*POWER(Upgrades!$L$8,G317)))*(IF(Upgrades!$T$6="Stellar Coupling",POWER(Upgrades!$U$6,E317),1)*IF(Upgrades!$T$7="Stellar Coupling",POWER(Upgrades!$U$7,F317),1)*IF(Upgrades!$T$9="Stellar Coupling",POWER(Upgrades!$U$9,H317),1)*IF(Upgrades!$T$10="Stellar Coupling",POWER(Upgrades!$U$10,I317),1)*IF(Upgrades!$T$11="Stellar Coupling",POWER(Upgrades!$U$11,J317),1)*IF(Upgrades!$T$12="Stellar Coupling",POWER(Upgrades!$U$12,K317),1))*POWER(Upgrades!$Q$6,E317)*POWER(Upgrades!$Q$7,F317)*POWER(Upgrades!$Q$8,G317)*POWER(Upgrades!$Q$9,H317)*POWER(Upgrades!$Q$10,I317)*POWER(Upgrades!$Q$11,J317)*POWER(Upgrades!$Q$12,K317)*Parameters!$B$10*Parameters!$B$11</f>
        <v>441</v>
      </c>
      <c r="AD317" s="27" t="n">
        <f aca="false">(IF(H317=0,0,(Upgrades!$G$9+H317*Upgrades!$H$9)*POWER(Upgrades!$I$9,H317)))*(IF(Upgrades!$T$6="Magnetosphere",POWER(Upgrades!$U$6,E317),1)*IF(Upgrades!$T$7="Magnetosphere",POWER(Upgrades!$U$7,F317),1)*IF(Upgrades!$T$8="Magnetosphere",POWER(Upgrades!$U$8,G317),1)*IF(Upgrades!$T$10="Magnetosphere",POWER(Upgrades!$U$10,I317),1)*IF(Upgrades!$T$11="Magnetosphere",POWER(Upgrades!$U$11,J317),1)*IF(Upgrades!$T$12="Magnetosphere",POWER(Upgrades!$U$12,K317),1))*POWER(Upgrades!$P$6,E317)*POWER(Upgrades!$P$7,F317)*POWER(Upgrades!$P$8,G317)*POWER(Upgrades!$P$9,H317)*POWER(Upgrades!$P$10,I317)*POWER(Upgrades!$P$11,J317)*POWER(Upgrades!$P$12,K317)*60</f>
        <v>375</v>
      </c>
      <c r="AE317" s="27" t="n">
        <f aca="false">(IF(K317=0,0,(Upgrades!$G$12+K317*Upgrades!$H$12)*POWER(Upgrades!$I$12,K317)))*(IF(Upgrades!$T$6="First Photons",POWER(Upgrades!$U$6,E317),1)*IF(Upgrades!$T$7="First Photons",POWER(Upgrades!$U$7,F317),1)*IF(Upgrades!$T$8="First Photons",POWER(Upgrades!$U$8,G317),1)*IF(Upgrades!$T$9="First Photons",POWER(Upgrades!$U$9,H317),1)*IF(Upgrades!$T$10="First Photons",POWER(Upgrades!$U$10,I317),1)*IF(Upgrades!$T$11="First Photons",POWER(Upgrades!$U$11,J317),1))*POWER(Upgrades!$P$6,E317)*POWER(Upgrades!$P$7,F317)*POWER(Upgrades!$P$8,G317)*POWER(Upgrades!$P$9,H317)*POWER(Upgrades!$P$10,I317)*POWER(Upgrades!$P$11,J317)*POWER(Upgrades!$P$12,K317)*60</f>
        <v>75</v>
      </c>
      <c r="AF317" s="27" t="n">
        <f aca="false">Parameters!$B$9*POWER(Upgrades!$Q$6,E317)*POWER(Upgrades!$Q$7,F317)*POWER(Upgrades!$Q$8,G317)*POWER(Upgrades!$Q$9,H317)*POWER(Upgrades!$Q$10,I317)*POWER(Upgrades!$Q$11,J317)*POWER(Upgrades!$Q$12,K317)*(Parameters!$B$10*Parameters!$B$11+O317*60)</f>
        <v>120</v>
      </c>
      <c r="AG317" s="21" t="n">
        <f aca="false">IF(E317&gt;=Upgrades!$E$6,"",Upgrades!$C$6*POWER(Upgrades!$D$6,E317))</f>
        <v>37.4517507383159</v>
      </c>
      <c r="AH317" s="21" t="n">
        <f aca="false">IF(F317&gt;=Upgrades!$E$7,"",Upgrades!$C$7*POWER(Upgrades!$D$7,F317))</f>
        <v>80.9111547141581</v>
      </c>
      <c r="AI317" s="21" t="n">
        <f aca="false">IF(G317&gt;=Upgrades!$E$8,"",Upgrades!$C$8*POWER(Upgrades!$D$8,G317))</f>
        <v>231.9097088</v>
      </c>
      <c r="AJ317" s="21" t="str">
        <f aca="false">IF(H317&gt;=Upgrades!$E$9,"",Upgrades!$C$9*POWER(Upgrades!$D$9,H317))</f>
        <v/>
      </c>
      <c r="AK317" s="21" t="str">
        <f aca="false">IF(I317&gt;=Upgrades!$E$10,"",Upgrades!$C$10*POWER(Upgrades!$D$10,I317))</f>
        <v/>
      </c>
      <c r="AL317" s="21" t="str">
        <f aca="false">IF(J317&gt;=Upgrades!$E$11,"",Upgrades!$C$11*POWER(Upgrades!$D$11,J317))</f>
        <v/>
      </c>
      <c r="AM317" s="21" t="str">
        <f aca="false">IF(K317&gt;=Upgrades!$E$12,"",Upgrades!$C$12*POWER(Upgrades!$D$12,K317))</f>
        <v/>
      </c>
      <c r="AN317" s="26" t="str">
        <f aca="false">IF(AND(D317&gt;=Parameters!$B$18,(H317&gt;=Upgrades!$E$9)*(K317&gt;=Upgrades!$E$12)=1,L317=0),1,"")</f>
        <v/>
      </c>
      <c r="AO317" s="26" t="str">
        <f aca="false">IF(AND(D317&gt;=Parameters!$B$18,L317=0),1,"")</f>
        <v/>
      </c>
      <c r="AP317" s="21" t="n">
        <f aca="false">MIN(IF(ISNUMBER(AK317),AK317,9000000000000000),IF(ISNUMBER(AL317),AL317,9000000000000000),IF(ISNUMBER(AM317),AM317,9000000000000000))</f>
        <v>9000000000000000</v>
      </c>
      <c r="AQ317" s="21" t="n">
        <f aca="false">MIN(IF(ISNUMBER(AG317),AG317,9000000000000000),IF(ISNUMBER(AH317),AH317,9000000000000000),IF(ISNUMBER(AI317),AI317,9000000000000000),IF(ISNUMBER(AJ317),AJ317,9000000000000000))</f>
        <v>37.4517507383159</v>
      </c>
      <c r="AR317" s="32" t="b">
        <f aca="false">IF(AW317&gt;Parameters!$B$21*(MAX(IF(AND(NOT(AND(AO317=1,AN317&lt;&gt;1)),ISNUMBER(AG317),AG317&lt;=T317),AS317,0),IF(AND(NOT(AND(AO317=1,AN317&lt;&gt;1)),ISNUMBER(AH317),AH317&lt;=T317),AT317,0),IF(AND(NOT(AND(AO317=1,AN317&lt;&gt;1)),ISNUMBER(AI317),AI317&lt;=T317),AU317,0),IF(AND(ISNUMBER(AJ317),AJ317&lt;=T317),AV317,0))),TRUE(),FALSE())</f>
        <v>1</v>
      </c>
      <c r="AS317" s="33" t="n">
        <f aca="false">IFERROR(Upgrades!$H$6*(POWER(Upgrades!$P$6,E317)*POWER(Upgrades!$P$7,F317)*POWER(Upgrades!$P$8,G317)*POWER(Upgrades!$P$9,H317)*POWER(Upgrades!$P$10,I317)*POWER(Upgrades!$P$11,J317)*POWER(Upgrades!$P$12,K317))*(IF(Upgrades!$T$7="Solar Wind",POWER(Upgrades!$U$7,F317),1)*IF(Upgrades!$T$8="Solar Wind",POWER(Upgrades!$U$8,G317),1)*IF(Upgrades!$T$9="Solar Wind",POWER(Upgrades!$U$9,H317),1)*IF(Upgrades!$T$10="Solar Wind",POWER(Upgrades!$U$10,I317),1)*IF(Upgrades!$T$11="Solar Wind",POWER(Upgrades!$U$11,J317),1)*IF(Upgrades!$T$12="Solar Wind",POWER(Upgrades!$U$12,K317),1))/AG317,0)</f>
        <v>0.0026701021455238</v>
      </c>
      <c r="AT317" s="33" t="n">
        <f aca="false">IFERROR(Upgrades!$H$7*(POWER(Upgrades!$P$6,E317)*POWER(Upgrades!$P$7,F317)*POWER(Upgrades!$P$8,G317)*POWER(Upgrades!$P$9,H317)*POWER(Upgrades!$P$10,I317)*POWER(Upgrades!$P$11,J317)*POWER(Upgrades!$P$12,K317))*(IF(Upgrades!$T$6="Asteroid Belt",POWER(Upgrades!$U$6,E317),1)*IF(Upgrades!$T$8="Asteroid Belt",POWER(Upgrades!$U$8,G317),1)*IF(Upgrades!$T$9="Asteroid Belt",POWER(Upgrades!$U$9,H317),1)*IF(Upgrades!$T$10="Asteroid Belt",POWER(Upgrades!$U$10,I317),1)*IF(Upgrades!$T$11="Asteroid Belt",POWER(Upgrades!$U$11,J317),1)*IF(Upgrades!$T$12="Asteroid Belt",POWER(Upgrades!$U$12,K317),1))/AH317,0)</f>
        <v>0.00308980882652332</v>
      </c>
      <c r="AU317" s="33" t="n">
        <f aca="false">IFERROR(Upgrades!$K$8*(POWER(Upgrades!$Q$6,E317)*POWER(Upgrades!$Q$7,F317)*POWER(Upgrades!$Q$8,G317)*POWER(Upgrades!$Q$9,H317)*POWER(Upgrades!$Q$10,I317)*POWER(Upgrades!$Q$11,J317)*POWER(Upgrades!$Q$12,K317))*(IF(Upgrades!$T$6="Stellar Coupling",POWER(Upgrades!$U$6,E317),1)*IF(Upgrades!$T$7="Stellar Coupling",POWER(Upgrades!$U$7,F317),1)*IF(Upgrades!$T$9="Stellar Coupling",POWER(Upgrades!$U$9,H317),1)*IF(Upgrades!$T$10="Stellar Coupling",POWER(Upgrades!$U$10,I317),1)*IF(Upgrades!$T$11="Stellar Coupling",POWER(Upgrades!$U$11,J317),1)*IF(Upgrades!$T$12="Stellar Coupling",POWER(Upgrades!$U$12,K317),1))*Parameters!$B$10*Parameters!$B$11/60/AI317,0)</f>
        <v>0.00452762415783776</v>
      </c>
      <c r="AV317" s="33" t="n">
        <f aca="false">IFERROR(Upgrades!$H$9*(POWER(Upgrades!$P$6,E317)*POWER(Upgrades!$P$7,F317)*POWER(Upgrades!$P$8,G317)*POWER(Upgrades!$P$9,H317)*POWER(Upgrades!$P$10,I317)*POWER(Upgrades!$P$11,J317)*POWER(Upgrades!$P$12,K317))*(IF(Upgrades!$T$6="Magnetosphere",POWER(Upgrades!$U$6,E317),1)*IF(Upgrades!$T$7="Magnetosphere",POWER(Upgrades!$U$7,F317),1)*IF(Upgrades!$T$8="Magnetosphere",POWER(Upgrades!$U$8,G317),1)*IF(Upgrades!$T$10="Magnetosphere",POWER(Upgrades!$U$10,I317),1)*IF(Upgrades!$T$11="Magnetosphere",POWER(Upgrades!$U$11,J317),1)*IF(Upgrades!$T$12="Magnetosphere",POWER(Upgrades!$U$12,K317),1))/AJ317,0)</f>
        <v>0</v>
      </c>
      <c r="AW317" s="33" t="n">
        <f aca="false">MAX(IF(I317&gt;0,0,IFERROR(0.25*N317/Upgrades!$C$10,0)),IF(J317&gt;0,0,IFERROR(0.5*((IF(G317=0,0,(Upgrades!$J$8+G317*Upgrades!$K$8)*POWER(Upgrades!$L$8,G317)))*(IF(Upgrades!$T$6="Stellar Coupling",POWER(Upgrades!$U$6,E317),1)*IF(Upgrades!$T$7="Stellar Coupling",POWER(Upgrades!$U$7,F317),1)*IF(Upgrades!$T$9="Stellar Coupling",POWER(Upgrades!$U$9,H317),1)*IF(Upgrades!$T$10="Stellar Coupling",POWER(Upgrades!$U$10,I317),1)*IF(Upgrades!$T$11="Stellar Coupling",POWER(Upgrades!$U$11,J317),1)*IF(Upgrades!$T$12="Stellar Coupling",POWER(Upgrades!$U$12,K317),1))*(POWER(Upgrades!$Q$6,E317)*POWER(Upgrades!$Q$7,F317)*POWER(Upgrades!$Q$8,G317)*POWER(Upgrades!$Q$9,H317)*POWER(Upgrades!$Q$10,I317)*POWER(Upgrades!$Q$11,J317)*POWER(Upgrades!$Q$12,K317))*Parameters!$B$10*Parameters!$B$11/60)/Upgrades!$C$11,0)),IF(K317&gt;0,0,IFERROR((1*(POWER(Upgrades!$P$6,E317)*POWER(Upgrades!$P$7,F317)*POWER(Upgrades!$P$8,G317)*POWER(Upgrades!$P$9,H317)*POWER(Upgrades!$P$10,I317)*POWER(Upgrades!$P$11,J317)*POWER(Upgrades!$P$12,K317))+0.2*M317*Parameters!$B$10*Parameters!$B$11/60)/Upgrades!$C$12,0)),IF(AND(ISNUMBER(AG317),AG317&gt;T317),AS317,0),IF(AND(ISNUMBER(AH317),AH317&gt;T317),AT317,0),IF(AND(ISNUMBER(AI317),AI317&gt;T317),AU317,0),IF(AND(ISNUMBER(AJ317),AJ317&gt;T317),AV317,0))</f>
        <v>0.00452762415783776</v>
      </c>
      <c r="AX317" s="29" t="str">
        <f aca="false">IF(AN317=1,"transition",IF(MIN(IF(AND(I317=0,ISNUMBER(AK317),AK317&lt;=T317),AK317,9000000000000000),IF(AND(J317=0,ISNUMBER(AL317),AL317&lt;=T317),AL317,9000000000000000),IF(AND(K317=0,ISNUMBER(AM317),AM317&lt;=T317),AM317,9000000000000000))&lt;9000000000000000,IF(AND(AND(I317=0,ISNUMBER(AK317),AK317&lt;=T317),AK317=MIN(IF(AND(I317=0,ISNUMBER(AK317),AK317&lt;=T317),AK317,9000000000000000),IF(AND(J317=0,ISNUMBER(AL317),AL317&lt;=T317),AL317,9000000000000000),IF(AND(K317=0,ISNUMBER(AM317),AM317&lt;=T317),AM317,9000000000000000))),"OR",IF(AND(AND(J317=0,ISNUMBER(AL317),AL317&lt;=T317),AL317=MIN(IF(AND(I317=0,ISNUMBER(AK317),AK317&lt;=T317),AK317,9000000000000000),IF(AND(J317=0,ISNUMBER(AL317),AL317&lt;=T317),AL317,9000000000000000),IF(AND(K317=0,ISNUMBER(AM317),AM317&lt;=T317),AM317,9000000000000000))),"HP","FP")),IF(AR317=TRUE(),"",IF(MAX(IF(AND(NOT(AND(AO317=1,AN317&lt;&gt;1)),ISNUMBER(AG317),AG317&lt;=T317),AS317,0),IF(AND(NOT(AND(AO317=1,AN317&lt;&gt;1)),ISNUMBER(AH317),AH317&lt;=T317),AT317,0),IF(AND(NOT(AND(AO317=1,AN317&lt;&gt;1)),ISNUMBER(AI317),AI317&lt;=T317),AU317,0),IF(AND(ISNUMBER(AJ317),AJ317&lt;=T317),AV317,0))&lt;=0,"",IF(AND(IF(AND(NOT(AND(AO317=1,AN317&lt;&gt;1)),ISNUMBER(AG317),AG317&lt;=T317),AS317,0)&gt;0,IF(AND(NOT(AND(AO317=1,AN317&lt;&gt;1)),ISNUMBER(AG317),AG317&lt;=T317),AS317,0)=MAX(IF(AND(NOT(AND(AO317=1,AN317&lt;&gt;1)),ISNUMBER(AG317),AG317&lt;=T317),AS317,0),IF(AND(NOT(AND(AO317=1,AN317&lt;&gt;1)),ISNUMBER(AH317),AH317&lt;=T317),AT317,0),IF(AND(NOT(AND(AO317=1,AN317&lt;&gt;1)),ISNUMBER(AI317),AI317&lt;=T317),AU317,0),IF(AND(ISNUMBER(AJ317),AJ317&lt;=T317),AV317,0))),"SW",IF(AND(IF(AND(NOT(AND(AO317=1,AN317&lt;&gt;1)),ISNUMBER(AH317),AH317&lt;=T317),AT317,0)&gt;0,IF(AND(NOT(AND(AO317=1,AN317&lt;&gt;1)),ISNUMBER(AH317),AH317&lt;=T317),AT317,0)=MAX(IF(AND(NOT(AND(AO317=1,AN317&lt;&gt;1)),ISNUMBER(AG317),AG317&lt;=T317),AS317,0),IF(AND(NOT(AND(AO317=1,AN317&lt;&gt;1)),ISNUMBER(AH317),AH317&lt;=T317),AT317,0),IF(AND(NOT(AND(AO317=1,AN317&lt;&gt;1)),ISNUMBER(AI317),AI317&lt;=T317),AU317,0),IF(AND(ISNUMBER(AJ317),AJ317&lt;=T317),AV317,0))),"AB",IF(AND(IF(AND(NOT(AND(AO317=1,AN317&lt;&gt;1)),ISNUMBER(AI317),AI317&lt;=T317),AU317,0)&gt;0,IF(AND(NOT(AND(AO317=1,AN317&lt;&gt;1)),ISNUMBER(AI317),AI317&lt;=T317),AU317,0)=MAX(IF(AND(NOT(AND(AO317=1,AN317&lt;&gt;1)),ISNUMBER(AG317),AG317&lt;=T317),AS317,0),IF(AND(NOT(AND(AO317=1,AN317&lt;&gt;1)),ISNUMBER(AH317),AH317&lt;=T317),AT317,0),IF(AND(NOT(AND(AO317=1,AN317&lt;&gt;1)),ISNUMBER(AI317),AI317&lt;=T317),AU317,0),IF(AND(ISNUMBER(AJ317),AJ317&lt;=T317),AV317,0))),"SC","Mag")))))))</f>
        <v/>
      </c>
    </row>
    <row r="318" customFormat="false" ht="15" hidden="false" customHeight="false" outlineLevel="0" collapsed="false">
      <c r="A318" s="26" t="n">
        <v>313</v>
      </c>
      <c r="B318" s="27" t="n">
        <f aca="false">A318*10/60</f>
        <v>52.1666666666667</v>
      </c>
      <c r="C318" s="21" t="n">
        <f aca="false">X317</f>
        <v>18.6730249835055</v>
      </c>
      <c r="D318" s="27" t="n">
        <f aca="false">D317+W317</f>
        <v>0</v>
      </c>
      <c r="E318" s="26" t="n">
        <f aca="false">E317+IF(U317="SW",1,0)</f>
        <v>12</v>
      </c>
      <c r="F318" s="26" t="n">
        <f aca="false">F317+IF(U317="AB",1,0)</f>
        <v>10</v>
      </c>
      <c r="G318" s="26" t="n">
        <f aca="false">G317+IF(U317="SC",1,0)</f>
        <v>7</v>
      </c>
      <c r="H318" s="26" t="n">
        <f aca="false">H317+IF(U317="Mag",1,0)</f>
        <v>5</v>
      </c>
      <c r="I318" s="26" t="n">
        <f aca="false">MAX(I317,IF(U317="OR",1,0))</f>
        <v>1</v>
      </c>
      <c r="J318" s="26" t="n">
        <f aca="false">MAX(J317,IF(U317="HP",1,0))</f>
        <v>1</v>
      </c>
      <c r="K318" s="26" t="n">
        <f aca="false">MAX(K317,IF(U317="FP",1,0))</f>
        <v>1</v>
      </c>
      <c r="L318" s="26" t="n">
        <f aca="false">MAX(L317,IF(U317="transition",1,0))</f>
        <v>1</v>
      </c>
      <c r="M318" s="28" t="n">
        <f aca="false">(Parameters!$B$9+(IF(E318=0,0,(Upgrades!$J$6+E318*Upgrades!$K$6)*POWER(Upgrades!$L$6,E318)))*(IF(Upgrades!$T$7="Solar Wind",POWER(Upgrades!$U$7,F318),1)*IF(Upgrades!$T$8="Solar Wind",POWER(Upgrades!$U$8,G318),1)*IF(Upgrades!$T$9="Solar Wind",POWER(Upgrades!$U$9,H318),1)*IF(Upgrades!$T$10="Solar Wind",POWER(Upgrades!$U$10,I318),1)*IF(Upgrades!$T$11="Solar Wind",POWER(Upgrades!$U$11,J318),1)*IF(Upgrades!$T$12="Solar Wind",POWER(Upgrades!$U$12,K318),1))+(IF(F318=0,0,(Upgrades!$J$7+F318*Upgrades!$K$7)*POWER(Upgrades!$L$7,F318)))*(IF(Upgrades!$T$6="Asteroid Belt",POWER(Upgrades!$U$6,E318),1)*IF(Upgrades!$T$8="Asteroid Belt",POWER(Upgrades!$U$8,G318),1)*IF(Upgrades!$T$9="Asteroid Belt",POWER(Upgrades!$U$9,H318),1)*IF(Upgrades!$T$10="Asteroid Belt",POWER(Upgrades!$U$10,I318),1)*IF(Upgrades!$T$11="Asteroid Belt",POWER(Upgrades!$U$11,J318),1)*IF(Upgrades!$T$12="Asteroid Belt",POWER(Upgrades!$U$12,K318),1))+(IF(G318=0,0,(Upgrades!$J$8+G318*Upgrades!$K$8)*POWER(Upgrades!$L$8,G318)))*(IF(Upgrades!$T$6="Stellar Coupling",POWER(Upgrades!$U$6,E318),1)*IF(Upgrades!$T$7="Stellar Coupling",POWER(Upgrades!$U$7,F318),1)*IF(Upgrades!$T$9="Stellar Coupling",POWER(Upgrades!$U$9,H318),1)*IF(Upgrades!$T$10="Stellar Coupling",POWER(Upgrades!$U$10,I318),1)*IF(Upgrades!$T$11="Stellar Coupling",POWER(Upgrades!$U$11,J318),1)*IF(Upgrades!$T$12="Stellar Coupling",POWER(Upgrades!$U$12,K318),1))+(IF(H318=0,0,(Upgrades!$J$9+H318*Upgrades!$K$9)*POWER(Upgrades!$L$9,H318)))*(IF(Upgrades!$T$6="Magnetosphere",POWER(Upgrades!$U$6,E318),1)*IF(Upgrades!$T$7="Magnetosphere",POWER(Upgrades!$U$7,F318),1)*IF(Upgrades!$T$8="Magnetosphere",POWER(Upgrades!$U$8,G318),1)*IF(Upgrades!$T$10="Magnetosphere",POWER(Upgrades!$U$10,I318),1)*IF(Upgrades!$T$11="Magnetosphere",POWER(Upgrades!$U$11,J318),1)*IF(Upgrades!$T$12="Magnetosphere",POWER(Upgrades!$U$12,K318),1))+(IF(I318=0,0,(Upgrades!$J$10+I318*Upgrades!$K$10)*POWER(Upgrades!$L$10,I318)))*(IF(Upgrades!$T$6="Orbital Resonance",POWER(Upgrades!$U$6,E318),1)*IF(Upgrades!$T$7="Orbital Resonance",POWER(Upgrades!$U$7,F318),1)*IF(Upgrades!$T$8="Orbital Resonance",POWER(Upgrades!$U$8,G318),1)*IF(Upgrades!$T$9="Orbital Resonance",POWER(Upgrades!$U$9,H318),1)*IF(Upgrades!$T$11="Orbital Resonance",POWER(Upgrades!$U$11,J318),1)*IF(Upgrades!$T$12="Orbital Resonance",POWER(Upgrades!$U$12,K318),1))+(IF(J318=0,0,(Upgrades!$J$11+J318*Upgrades!$K$11)*POWER(Upgrades!$L$11,J318)))*(IF(Upgrades!$T$6="Heliopause",POWER(Upgrades!$U$6,E318),1)*IF(Upgrades!$T$7="Heliopause",POWER(Upgrades!$U$7,F318),1)*IF(Upgrades!$T$8="Heliopause",POWER(Upgrades!$U$8,G318),1)*IF(Upgrades!$T$9="Heliopause",POWER(Upgrades!$U$9,H318),1)*IF(Upgrades!$T$10="Heliopause",POWER(Upgrades!$U$10,I318),1)*IF(Upgrades!$T$12="Heliopause",POWER(Upgrades!$U$12,K318),1))+(IF(K318=0,0,(Upgrades!$J$12+K318*Upgrades!$K$12)*POWER(Upgrades!$L$12,K318)))*(IF(Upgrades!$T$6="First Photons",POWER(Upgrades!$U$6,E318),1)*IF(Upgrades!$T$7="First Photons",POWER(Upgrades!$U$7,F318),1)*IF(Upgrades!$T$8="First Photons",POWER(Upgrades!$U$8,G318),1)*IF(Upgrades!$T$9="First Photons",POWER(Upgrades!$U$9,H318),1)*IF(Upgrades!$T$10="First Photons",POWER(Upgrades!$U$10,I318),1)*IF(Upgrades!$T$11="First Photons",POWER(Upgrades!$U$11,J318),1)))*POWER(Upgrades!$Q$6,E318)*POWER(Upgrades!$Q$7,F318)*POWER(Upgrades!$Q$8,G318)*POWER(Upgrades!$Q$9,H318)*POWER(Upgrades!$Q$10,I318)*POWER(Upgrades!$Q$11,J318)*POWER(Upgrades!$Q$12,K318)</f>
        <v>5.61</v>
      </c>
      <c r="N318" s="28" t="n">
        <f aca="false">((IF(E318=0,0,(Upgrades!$G$6+E318*Upgrades!$H$6)*POWER(Upgrades!$I$6,E318)))*(IF(Upgrades!$T$7="Solar Wind",POWER(Upgrades!$U$7,F318),1)*IF(Upgrades!$T$8="Solar Wind",POWER(Upgrades!$U$8,G318),1)*IF(Upgrades!$T$9="Solar Wind",POWER(Upgrades!$U$9,H318),1)*IF(Upgrades!$T$10="Solar Wind",POWER(Upgrades!$U$10,I318),1)*IF(Upgrades!$T$11="Solar Wind",POWER(Upgrades!$U$11,J318),1)*IF(Upgrades!$T$12="Solar Wind",POWER(Upgrades!$U$12,K318),1))+(IF(F318=0,0,(Upgrades!$G$7+F318*Upgrades!$H$7)*POWER(Upgrades!$I$7,F318)))*(IF(Upgrades!$T$6="Asteroid Belt",POWER(Upgrades!$U$6,E318),1)*IF(Upgrades!$T$8="Asteroid Belt",POWER(Upgrades!$U$8,G318),1)*IF(Upgrades!$T$9="Asteroid Belt",POWER(Upgrades!$U$9,H318),1)*IF(Upgrades!$T$10="Asteroid Belt",POWER(Upgrades!$U$10,I318),1)*IF(Upgrades!$T$11="Asteroid Belt",POWER(Upgrades!$U$11,J318),1)*IF(Upgrades!$T$12="Asteroid Belt",POWER(Upgrades!$U$12,K318),1))+(IF(G318=0,0,(Upgrades!$G$8+G318*Upgrades!$H$8)*POWER(Upgrades!$I$8,G318)))*(IF(Upgrades!$T$6="Stellar Coupling",POWER(Upgrades!$U$6,E318),1)*IF(Upgrades!$T$7="Stellar Coupling",POWER(Upgrades!$U$7,F318),1)*IF(Upgrades!$T$9="Stellar Coupling",POWER(Upgrades!$U$9,H318),1)*IF(Upgrades!$T$10="Stellar Coupling",POWER(Upgrades!$U$10,I318),1)*IF(Upgrades!$T$11="Stellar Coupling",POWER(Upgrades!$U$11,J318),1)*IF(Upgrades!$T$12="Stellar Coupling",POWER(Upgrades!$U$12,K318),1))+(IF(H318=0,0,(Upgrades!$G$9+H318*Upgrades!$H$9)*POWER(Upgrades!$I$9,H318)))*(IF(Upgrades!$T$6="Magnetosphere",POWER(Upgrades!$U$6,E318),1)*IF(Upgrades!$T$7="Magnetosphere",POWER(Upgrades!$U$7,F318),1)*IF(Upgrades!$T$8="Magnetosphere",POWER(Upgrades!$U$8,G318),1)*IF(Upgrades!$T$10="Magnetosphere",POWER(Upgrades!$U$10,I318),1)*IF(Upgrades!$T$11="Magnetosphere",POWER(Upgrades!$U$11,J318),1)*IF(Upgrades!$T$12="Magnetosphere",POWER(Upgrades!$U$12,K318),1))+(IF(I318=0,0,(Upgrades!$G$10+I318*Upgrades!$H$10)*POWER(Upgrades!$I$10,I318)))*(IF(Upgrades!$T$6="Orbital Resonance",POWER(Upgrades!$U$6,E318),1)*IF(Upgrades!$T$7="Orbital Resonance",POWER(Upgrades!$U$7,F318),1)*IF(Upgrades!$T$8="Orbital Resonance",POWER(Upgrades!$U$8,G318),1)*IF(Upgrades!$T$9="Orbital Resonance",POWER(Upgrades!$U$9,H318),1)*IF(Upgrades!$T$11="Orbital Resonance",POWER(Upgrades!$U$11,J318),1)*IF(Upgrades!$T$12="Orbital Resonance",POWER(Upgrades!$U$12,K318),1))+(IF(J318=0,0,(Upgrades!$G$11+J318*Upgrades!$H$11)*POWER(Upgrades!$I$11,J318)))*(IF(Upgrades!$T$6="Heliopause",POWER(Upgrades!$U$6,E318),1)*IF(Upgrades!$T$7="Heliopause",POWER(Upgrades!$U$7,F318),1)*IF(Upgrades!$T$8="Heliopause",POWER(Upgrades!$U$8,G318),1)*IF(Upgrades!$T$9="Heliopause",POWER(Upgrades!$U$9,H318),1)*IF(Upgrades!$T$10="Heliopause",POWER(Upgrades!$U$10,I318),1)*IF(Upgrades!$T$12="Heliopause",POWER(Upgrades!$U$12,K318),1))+(IF(K318=0,0,(Upgrades!$G$12+K318*Upgrades!$H$12)*POWER(Upgrades!$I$12,K318)))*(IF(Upgrades!$T$6="First Photons",POWER(Upgrades!$U$6,E318),1)*IF(Upgrades!$T$7="First Photons",POWER(Upgrades!$U$7,F318),1)*IF(Upgrades!$T$8="First Photons",POWER(Upgrades!$U$8,G318),1)*IF(Upgrades!$T$9="First Photons",POWER(Upgrades!$U$9,H318),1)*IF(Upgrades!$T$10="First Photons",POWER(Upgrades!$U$10,I318),1)*IF(Upgrades!$T$11="First Photons",POWER(Upgrades!$U$11,J318),1)))*POWER(Upgrades!$P$6,E318)*POWER(Upgrades!$P$7,F318)*POWER(Upgrades!$P$8,G318)*POWER(Upgrades!$P$9,H318)*POWER(Upgrades!$P$10,I318)*POWER(Upgrades!$P$11,J318)*POWER(Upgrades!$P$12,K318)</f>
        <v>11.2</v>
      </c>
      <c r="O318" s="28" t="n">
        <f aca="false">((IF(E318=0,0,(Upgrades!$M$6+E318*Upgrades!$N$6)*POWER(Upgrades!$O$6,E318)))*(IF(Upgrades!$T$7="Solar Wind",POWER(Upgrades!$U$7,F318),1)*IF(Upgrades!$T$8="Solar Wind",POWER(Upgrades!$U$8,G318),1)*IF(Upgrades!$T$9="Solar Wind",POWER(Upgrades!$U$9,H318),1)*IF(Upgrades!$T$10="Solar Wind",POWER(Upgrades!$U$10,I318),1)*IF(Upgrades!$T$11="Solar Wind",POWER(Upgrades!$U$11,J318),1)*IF(Upgrades!$T$12="Solar Wind",POWER(Upgrades!$U$12,K318),1))+(IF(F318=0,0,(Upgrades!$M$7+F318*Upgrades!$N$7)*POWER(Upgrades!$O$7,F318)))*(IF(Upgrades!$T$6="Asteroid Belt",POWER(Upgrades!$U$6,E318),1)*IF(Upgrades!$T$8="Asteroid Belt",POWER(Upgrades!$U$8,G318),1)*IF(Upgrades!$T$9="Asteroid Belt",POWER(Upgrades!$U$9,H318),1)*IF(Upgrades!$T$10="Asteroid Belt",POWER(Upgrades!$U$10,I318),1)*IF(Upgrades!$T$11="Asteroid Belt",POWER(Upgrades!$U$11,J318),1)*IF(Upgrades!$T$12="Asteroid Belt",POWER(Upgrades!$U$12,K318),1))+(IF(G318=0,0,(Upgrades!$M$8+G318*Upgrades!$N$8)*POWER(Upgrades!$O$8,G318)))*(IF(Upgrades!$T$6="Stellar Coupling",POWER(Upgrades!$U$6,E318),1)*IF(Upgrades!$T$7="Stellar Coupling",POWER(Upgrades!$U$7,F318),1)*IF(Upgrades!$T$9="Stellar Coupling",POWER(Upgrades!$U$9,H318),1)*IF(Upgrades!$T$10="Stellar Coupling",POWER(Upgrades!$U$10,I318),1)*IF(Upgrades!$T$11="Stellar Coupling",POWER(Upgrades!$U$11,J318),1)*IF(Upgrades!$T$12="Stellar Coupling",POWER(Upgrades!$U$12,K318),1))+(IF(H318=0,0,(Upgrades!$M$9+H318*Upgrades!$N$9)*POWER(Upgrades!$O$9,H318)))*(IF(Upgrades!$T$6="Magnetosphere",POWER(Upgrades!$U$6,E318),1)*IF(Upgrades!$T$7="Magnetosphere",POWER(Upgrades!$U$7,F318),1)*IF(Upgrades!$T$8="Magnetosphere",POWER(Upgrades!$U$8,G318),1)*IF(Upgrades!$T$10="Magnetosphere",POWER(Upgrades!$U$10,I318),1)*IF(Upgrades!$T$11="Magnetosphere",POWER(Upgrades!$U$11,J318),1)*IF(Upgrades!$T$12="Magnetosphere",POWER(Upgrades!$U$12,K318),1))+(IF(I318=0,0,(Upgrades!$M$10+I318*Upgrades!$N$10)*POWER(Upgrades!$O$10,I318)))*(IF(Upgrades!$T$6="Orbital Resonance",POWER(Upgrades!$U$6,E318),1)*IF(Upgrades!$T$7="Orbital Resonance",POWER(Upgrades!$U$7,F318),1)*IF(Upgrades!$T$8="Orbital Resonance",POWER(Upgrades!$U$8,G318),1)*IF(Upgrades!$T$9="Orbital Resonance",POWER(Upgrades!$U$9,H318),1)*IF(Upgrades!$T$11="Orbital Resonance",POWER(Upgrades!$U$11,J318),1)*IF(Upgrades!$T$12="Orbital Resonance",POWER(Upgrades!$U$12,K318),1))+(IF(J318=0,0,(Upgrades!$M$11+J318*Upgrades!$N$11)*POWER(Upgrades!$O$11,J318)))*(IF(Upgrades!$T$6="Heliopause",POWER(Upgrades!$U$6,E318),1)*IF(Upgrades!$T$7="Heliopause",POWER(Upgrades!$U$7,F318),1)*IF(Upgrades!$T$8="Heliopause",POWER(Upgrades!$U$8,G318),1)*IF(Upgrades!$T$9="Heliopause",POWER(Upgrades!$U$9,H318),1)*IF(Upgrades!$T$10="Heliopause",POWER(Upgrades!$U$10,I318),1)*IF(Upgrades!$T$12="Heliopause",POWER(Upgrades!$U$12,K318),1))+(IF(K318=0,0,(Upgrades!$M$12+K318*Upgrades!$N$12)*POWER(Upgrades!$O$12,K318)))*(IF(Upgrades!$T$6="First Photons",POWER(Upgrades!$U$6,E318),1)*IF(Upgrades!$T$7="First Photons",POWER(Upgrades!$U$7,F318),1)*IF(Upgrades!$T$8="First Photons",POWER(Upgrades!$U$8,G318),1)*IF(Upgrades!$T$9="First Photons",POWER(Upgrades!$U$9,H318),1)*IF(Upgrades!$T$10="First Photons",POWER(Upgrades!$U$10,I318),1)*IF(Upgrades!$T$11="First Photons",POWER(Upgrades!$U$11,J318),1)))*POWER(Upgrades!$R$6,E318)*POWER(Upgrades!$R$7,F318)*POWER(Upgrades!$R$8,G318)*POWER(Upgrades!$R$9,H318)*POWER(Upgrades!$R$10,I318)*POWER(Upgrades!$R$11,J318)*POWER(Upgrades!$R$12,K318)</f>
        <v>0</v>
      </c>
      <c r="P318" s="27" t="n">
        <f aca="false">IF(L318=1,0,M318*Parameters!$B$10/60*Parameters!$B$11*10)</f>
        <v>0</v>
      </c>
      <c r="Q318" s="27" t="n">
        <f aca="false">IF(L318=1,0,O318*M318*10)</f>
        <v>0</v>
      </c>
      <c r="R318" s="27" t="n">
        <f aca="false">IF(L318=1,0,N318*10)</f>
        <v>0</v>
      </c>
      <c r="S318" s="27" t="n">
        <f aca="false">P318+Q318+R318</f>
        <v>0</v>
      </c>
      <c r="T318" s="21" t="n">
        <f aca="false">C318+S318</f>
        <v>18.6730249835055</v>
      </c>
      <c r="U318" s="34" t="str">
        <f aca="false">AX318</f>
        <v/>
      </c>
      <c r="V318" s="21" t="n">
        <f aca="false">IF(U318="",0,IF(U318="transition",0,IF(U318="SW",AG318,IF(U318="AB",AH318,IF(U318="SC",AI318,IF(U318="Mag",AJ318,IF(U318="OR",AK318,IF(U318="HP",AL318,IF(U318="FP",AM318,0)))))))))</f>
        <v>0</v>
      </c>
      <c r="W318" s="27" t="n">
        <f aca="false">IF(U318="OR",Upgrades!$F$10,IF(U318="HP",Upgrades!$F$11,IF(U318="transition",-Parameters!$B$18,0)))</f>
        <v>0</v>
      </c>
      <c r="X318" s="21" t="n">
        <f aca="false">T318-V318</f>
        <v>18.6730249835055</v>
      </c>
      <c r="Y318" s="30" t="n">
        <f aca="false">M318*Parameters!$B$10/60*Parameters!$B$11+O318*M318+N318</f>
        <v>20.55</v>
      </c>
      <c r="Z318" s="35" t="str">
        <f aca="false">IF(U318="transition","→ Tier 2 (Stellar Neighborhood)",IF(U318="FP","First Photons — light begins, system quickens",IF(U318="HP","Heliopause acquired",IF(U318="OR","Orbital Resonance — passive multiplier active",IF(AND(AO318=1,L318=0,AN318&lt;&gt;1),"Cohesion ready (waiting on completionist upgrades)","")))))</f>
        <v/>
      </c>
      <c r="AA318" s="27" t="n">
        <f aca="false">(IF(E318=0,0,(Upgrades!$G$6+E318*Upgrades!$H$6)*POWER(Upgrades!$I$6,E318)))*(IF(Upgrades!$T$7="Solar Wind",POWER(Upgrades!$U$7,F318),1)*IF(Upgrades!$T$8="Solar Wind",POWER(Upgrades!$U$8,G318),1)*IF(Upgrades!$T$9="Solar Wind",POWER(Upgrades!$U$9,H318),1)*IF(Upgrades!$T$10="Solar Wind",POWER(Upgrades!$U$10,I318),1)*IF(Upgrades!$T$11="Solar Wind",POWER(Upgrades!$U$11,J318),1)*IF(Upgrades!$T$12="Solar Wind",POWER(Upgrades!$U$12,K318),1))*POWER(Upgrades!$P$6,E318)*POWER(Upgrades!$P$7,F318)*POWER(Upgrades!$P$8,G318)*POWER(Upgrades!$P$9,H318)*POWER(Upgrades!$P$10,I318)*POWER(Upgrades!$P$11,J318)*POWER(Upgrades!$P$12,K318)*60</f>
        <v>72</v>
      </c>
      <c r="AB318" s="27" t="n">
        <f aca="false">(IF(F318=0,0,(Upgrades!$G$7+F318*Upgrades!$H$7)*POWER(Upgrades!$I$7,F318)))*(IF(Upgrades!$T$6="Asteroid Belt",POWER(Upgrades!$U$6,E318),1)*IF(Upgrades!$T$8="Asteroid Belt",POWER(Upgrades!$U$8,G318),1)*IF(Upgrades!$T$9="Asteroid Belt",POWER(Upgrades!$U$9,H318),1)*IF(Upgrades!$T$10="Asteroid Belt",POWER(Upgrades!$U$10,I318),1)*IF(Upgrades!$T$11="Asteroid Belt",POWER(Upgrades!$U$11,J318),1)*IF(Upgrades!$T$12="Asteroid Belt",POWER(Upgrades!$U$12,K318),1))*POWER(Upgrades!$P$6,E318)*POWER(Upgrades!$P$7,F318)*POWER(Upgrades!$P$8,G318)*POWER(Upgrades!$P$9,H318)*POWER(Upgrades!$P$10,I318)*POWER(Upgrades!$P$11,J318)*POWER(Upgrades!$P$12,K318)*60</f>
        <v>150</v>
      </c>
      <c r="AC318" s="27" t="n">
        <f aca="false">(IF(G318=0,0,(Upgrades!$J$8+G318*Upgrades!$K$8)*POWER(Upgrades!$L$8,G318)))*(IF(Upgrades!$T$6="Stellar Coupling",POWER(Upgrades!$U$6,E318),1)*IF(Upgrades!$T$7="Stellar Coupling",POWER(Upgrades!$U$7,F318),1)*IF(Upgrades!$T$9="Stellar Coupling",POWER(Upgrades!$U$9,H318),1)*IF(Upgrades!$T$10="Stellar Coupling",POWER(Upgrades!$U$10,I318),1)*IF(Upgrades!$T$11="Stellar Coupling",POWER(Upgrades!$U$11,J318),1)*IF(Upgrades!$T$12="Stellar Coupling",POWER(Upgrades!$U$12,K318),1))*POWER(Upgrades!$Q$6,E318)*POWER(Upgrades!$Q$7,F318)*POWER(Upgrades!$Q$8,G318)*POWER(Upgrades!$Q$9,H318)*POWER(Upgrades!$Q$10,I318)*POWER(Upgrades!$Q$11,J318)*POWER(Upgrades!$Q$12,K318)*Parameters!$B$10*Parameters!$B$11</f>
        <v>441</v>
      </c>
      <c r="AD318" s="27" t="n">
        <f aca="false">(IF(H318=0,0,(Upgrades!$G$9+H318*Upgrades!$H$9)*POWER(Upgrades!$I$9,H318)))*(IF(Upgrades!$T$6="Magnetosphere",POWER(Upgrades!$U$6,E318),1)*IF(Upgrades!$T$7="Magnetosphere",POWER(Upgrades!$U$7,F318),1)*IF(Upgrades!$T$8="Magnetosphere",POWER(Upgrades!$U$8,G318),1)*IF(Upgrades!$T$10="Magnetosphere",POWER(Upgrades!$U$10,I318),1)*IF(Upgrades!$T$11="Magnetosphere",POWER(Upgrades!$U$11,J318),1)*IF(Upgrades!$T$12="Magnetosphere",POWER(Upgrades!$U$12,K318),1))*POWER(Upgrades!$P$6,E318)*POWER(Upgrades!$P$7,F318)*POWER(Upgrades!$P$8,G318)*POWER(Upgrades!$P$9,H318)*POWER(Upgrades!$P$10,I318)*POWER(Upgrades!$P$11,J318)*POWER(Upgrades!$P$12,K318)*60</f>
        <v>375</v>
      </c>
      <c r="AE318" s="27" t="n">
        <f aca="false">(IF(K318=0,0,(Upgrades!$G$12+K318*Upgrades!$H$12)*POWER(Upgrades!$I$12,K318)))*(IF(Upgrades!$T$6="First Photons",POWER(Upgrades!$U$6,E318),1)*IF(Upgrades!$T$7="First Photons",POWER(Upgrades!$U$7,F318),1)*IF(Upgrades!$T$8="First Photons",POWER(Upgrades!$U$8,G318),1)*IF(Upgrades!$T$9="First Photons",POWER(Upgrades!$U$9,H318),1)*IF(Upgrades!$T$10="First Photons",POWER(Upgrades!$U$10,I318),1)*IF(Upgrades!$T$11="First Photons",POWER(Upgrades!$U$11,J318),1))*POWER(Upgrades!$P$6,E318)*POWER(Upgrades!$P$7,F318)*POWER(Upgrades!$P$8,G318)*POWER(Upgrades!$P$9,H318)*POWER(Upgrades!$P$10,I318)*POWER(Upgrades!$P$11,J318)*POWER(Upgrades!$P$12,K318)*60</f>
        <v>75</v>
      </c>
      <c r="AF318" s="27" t="n">
        <f aca="false">Parameters!$B$9*POWER(Upgrades!$Q$6,E318)*POWER(Upgrades!$Q$7,F318)*POWER(Upgrades!$Q$8,G318)*POWER(Upgrades!$Q$9,H318)*POWER(Upgrades!$Q$10,I318)*POWER(Upgrades!$Q$11,J318)*POWER(Upgrades!$Q$12,K318)*(Parameters!$B$10*Parameters!$B$11+O318*60)</f>
        <v>120</v>
      </c>
      <c r="AG318" s="21" t="n">
        <f aca="false">IF(E318&gt;=Upgrades!$E$6,"",Upgrades!$C$6*POWER(Upgrades!$D$6,E318))</f>
        <v>37.4517507383159</v>
      </c>
      <c r="AH318" s="21" t="n">
        <f aca="false">IF(F318&gt;=Upgrades!$E$7,"",Upgrades!$C$7*POWER(Upgrades!$D$7,F318))</f>
        <v>80.9111547141581</v>
      </c>
      <c r="AI318" s="21" t="n">
        <f aca="false">IF(G318&gt;=Upgrades!$E$8,"",Upgrades!$C$8*POWER(Upgrades!$D$8,G318))</f>
        <v>231.9097088</v>
      </c>
      <c r="AJ318" s="21" t="str">
        <f aca="false">IF(H318&gt;=Upgrades!$E$9,"",Upgrades!$C$9*POWER(Upgrades!$D$9,H318))</f>
        <v/>
      </c>
      <c r="AK318" s="21" t="str">
        <f aca="false">IF(I318&gt;=Upgrades!$E$10,"",Upgrades!$C$10*POWER(Upgrades!$D$10,I318))</f>
        <v/>
      </c>
      <c r="AL318" s="21" t="str">
        <f aca="false">IF(J318&gt;=Upgrades!$E$11,"",Upgrades!$C$11*POWER(Upgrades!$D$11,J318))</f>
        <v/>
      </c>
      <c r="AM318" s="21" t="str">
        <f aca="false">IF(K318&gt;=Upgrades!$E$12,"",Upgrades!$C$12*POWER(Upgrades!$D$12,K318))</f>
        <v/>
      </c>
      <c r="AN318" s="26" t="str">
        <f aca="false">IF(AND(D318&gt;=Parameters!$B$18,(H318&gt;=Upgrades!$E$9)*(K318&gt;=Upgrades!$E$12)=1,L318=0),1,"")</f>
        <v/>
      </c>
      <c r="AO318" s="26" t="str">
        <f aca="false">IF(AND(D318&gt;=Parameters!$B$18,L318=0),1,"")</f>
        <v/>
      </c>
      <c r="AP318" s="21" t="n">
        <f aca="false">MIN(IF(ISNUMBER(AK318),AK318,9000000000000000),IF(ISNUMBER(AL318),AL318,9000000000000000),IF(ISNUMBER(AM318),AM318,9000000000000000))</f>
        <v>9000000000000000</v>
      </c>
      <c r="AQ318" s="21" t="n">
        <f aca="false">MIN(IF(ISNUMBER(AG318),AG318,9000000000000000),IF(ISNUMBER(AH318),AH318,9000000000000000),IF(ISNUMBER(AI318),AI318,9000000000000000),IF(ISNUMBER(AJ318),AJ318,9000000000000000))</f>
        <v>37.4517507383159</v>
      </c>
      <c r="AR318" s="32" t="b">
        <f aca="false">IF(AW318&gt;Parameters!$B$21*(MAX(IF(AND(NOT(AND(AO318=1,AN318&lt;&gt;1)),ISNUMBER(AG318),AG318&lt;=T318),AS318,0),IF(AND(NOT(AND(AO318=1,AN318&lt;&gt;1)),ISNUMBER(AH318),AH318&lt;=T318),AT318,0),IF(AND(NOT(AND(AO318=1,AN318&lt;&gt;1)),ISNUMBER(AI318),AI318&lt;=T318),AU318,0),IF(AND(ISNUMBER(AJ318),AJ318&lt;=T318),AV318,0))),TRUE(),FALSE())</f>
        <v>1</v>
      </c>
      <c r="AS318" s="33" t="n">
        <f aca="false">IFERROR(Upgrades!$H$6*(POWER(Upgrades!$P$6,E318)*POWER(Upgrades!$P$7,F318)*POWER(Upgrades!$P$8,G318)*POWER(Upgrades!$P$9,H318)*POWER(Upgrades!$P$10,I318)*POWER(Upgrades!$P$11,J318)*POWER(Upgrades!$P$12,K318))*(IF(Upgrades!$T$7="Solar Wind",POWER(Upgrades!$U$7,F318),1)*IF(Upgrades!$T$8="Solar Wind",POWER(Upgrades!$U$8,G318),1)*IF(Upgrades!$T$9="Solar Wind",POWER(Upgrades!$U$9,H318),1)*IF(Upgrades!$T$10="Solar Wind",POWER(Upgrades!$U$10,I318),1)*IF(Upgrades!$T$11="Solar Wind",POWER(Upgrades!$U$11,J318),1)*IF(Upgrades!$T$12="Solar Wind",POWER(Upgrades!$U$12,K318),1))/AG318,0)</f>
        <v>0.0026701021455238</v>
      </c>
      <c r="AT318" s="33" t="n">
        <f aca="false">IFERROR(Upgrades!$H$7*(POWER(Upgrades!$P$6,E318)*POWER(Upgrades!$P$7,F318)*POWER(Upgrades!$P$8,G318)*POWER(Upgrades!$P$9,H318)*POWER(Upgrades!$P$10,I318)*POWER(Upgrades!$P$11,J318)*POWER(Upgrades!$P$12,K318))*(IF(Upgrades!$T$6="Asteroid Belt",POWER(Upgrades!$U$6,E318),1)*IF(Upgrades!$T$8="Asteroid Belt",POWER(Upgrades!$U$8,G318),1)*IF(Upgrades!$T$9="Asteroid Belt",POWER(Upgrades!$U$9,H318),1)*IF(Upgrades!$T$10="Asteroid Belt",POWER(Upgrades!$U$10,I318),1)*IF(Upgrades!$T$11="Asteroid Belt",POWER(Upgrades!$U$11,J318),1)*IF(Upgrades!$T$12="Asteroid Belt",POWER(Upgrades!$U$12,K318),1))/AH318,0)</f>
        <v>0.00308980882652332</v>
      </c>
      <c r="AU318" s="33" t="n">
        <f aca="false">IFERROR(Upgrades!$K$8*(POWER(Upgrades!$Q$6,E318)*POWER(Upgrades!$Q$7,F318)*POWER(Upgrades!$Q$8,G318)*POWER(Upgrades!$Q$9,H318)*POWER(Upgrades!$Q$10,I318)*POWER(Upgrades!$Q$11,J318)*POWER(Upgrades!$Q$12,K318))*(IF(Upgrades!$T$6="Stellar Coupling",POWER(Upgrades!$U$6,E318),1)*IF(Upgrades!$T$7="Stellar Coupling",POWER(Upgrades!$U$7,F318),1)*IF(Upgrades!$T$9="Stellar Coupling",POWER(Upgrades!$U$9,H318),1)*IF(Upgrades!$T$10="Stellar Coupling",POWER(Upgrades!$U$10,I318),1)*IF(Upgrades!$T$11="Stellar Coupling",POWER(Upgrades!$U$11,J318),1)*IF(Upgrades!$T$12="Stellar Coupling",POWER(Upgrades!$U$12,K318),1))*Parameters!$B$10*Parameters!$B$11/60/AI318,0)</f>
        <v>0.00452762415783776</v>
      </c>
      <c r="AV318" s="33" t="n">
        <f aca="false">IFERROR(Upgrades!$H$9*(POWER(Upgrades!$P$6,E318)*POWER(Upgrades!$P$7,F318)*POWER(Upgrades!$P$8,G318)*POWER(Upgrades!$P$9,H318)*POWER(Upgrades!$P$10,I318)*POWER(Upgrades!$P$11,J318)*POWER(Upgrades!$P$12,K318))*(IF(Upgrades!$T$6="Magnetosphere",POWER(Upgrades!$U$6,E318),1)*IF(Upgrades!$T$7="Magnetosphere",POWER(Upgrades!$U$7,F318),1)*IF(Upgrades!$T$8="Magnetosphere",POWER(Upgrades!$U$8,G318),1)*IF(Upgrades!$T$10="Magnetosphere",POWER(Upgrades!$U$10,I318),1)*IF(Upgrades!$T$11="Magnetosphere",POWER(Upgrades!$U$11,J318),1)*IF(Upgrades!$T$12="Magnetosphere",POWER(Upgrades!$U$12,K318),1))/AJ318,0)</f>
        <v>0</v>
      </c>
      <c r="AW318" s="33" t="n">
        <f aca="false">MAX(IF(I318&gt;0,0,IFERROR(0.25*N318/Upgrades!$C$10,0)),IF(J318&gt;0,0,IFERROR(0.5*((IF(G318=0,0,(Upgrades!$J$8+G318*Upgrades!$K$8)*POWER(Upgrades!$L$8,G318)))*(IF(Upgrades!$T$6="Stellar Coupling",POWER(Upgrades!$U$6,E318),1)*IF(Upgrades!$T$7="Stellar Coupling",POWER(Upgrades!$U$7,F318),1)*IF(Upgrades!$T$9="Stellar Coupling",POWER(Upgrades!$U$9,H318),1)*IF(Upgrades!$T$10="Stellar Coupling",POWER(Upgrades!$U$10,I318),1)*IF(Upgrades!$T$11="Stellar Coupling",POWER(Upgrades!$U$11,J318),1)*IF(Upgrades!$T$12="Stellar Coupling",POWER(Upgrades!$U$12,K318),1))*(POWER(Upgrades!$Q$6,E318)*POWER(Upgrades!$Q$7,F318)*POWER(Upgrades!$Q$8,G318)*POWER(Upgrades!$Q$9,H318)*POWER(Upgrades!$Q$10,I318)*POWER(Upgrades!$Q$11,J318)*POWER(Upgrades!$Q$12,K318))*Parameters!$B$10*Parameters!$B$11/60)/Upgrades!$C$11,0)),IF(K318&gt;0,0,IFERROR((1*(POWER(Upgrades!$P$6,E318)*POWER(Upgrades!$P$7,F318)*POWER(Upgrades!$P$8,G318)*POWER(Upgrades!$P$9,H318)*POWER(Upgrades!$P$10,I318)*POWER(Upgrades!$P$11,J318)*POWER(Upgrades!$P$12,K318))+0.2*M318*Parameters!$B$10*Parameters!$B$11/60)/Upgrades!$C$12,0)),IF(AND(ISNUMBER(AG318),AG318&gt;T318),AS318,0),IF(AND(ISNUMBER(AH318),AH318&gt;T318),AT318,0),IF(AND(ISNUMBER(AI318),AI318&gt;T318),AU318,0),IF(AND(ISNUMBER(AJ318),AJ318&gt;T318),AV318,0))</f>
        <v>0.00452762415783776</v>
      </c>
      <c r="AX318" s="29" t="str">
        <f aca="false">IF(AN318=1,"transition",IF(MIN(IF(AND(I318=0,ISNUMBER(AK318),AK318&lt;=T318),AK318,9000000000000000),IF(AND(J318=0,ISNUMBER(AL318),AL318&lt;=T318),AL318,9000000000000000),IF(AND(K318=0,ISNUMBER(AM318),AM318&lt;=T318),AM318,9000000000000000))&lt;9000000000000000,IF(AND(AND(I318=0,ISNUMBER(AK318),AK318&lt;=T318),AK318=MIN(IF(AND(I318=0,ISNUMBER(AK318),AK318&lt;=T318),AK318,9000000000000000),IF(AND(J318=0,ISNUMBER(AL318),AL318&lt;=T318),AL318,9000000000000000),IF(AND(K318=0,ISNUMBER(AM318),AM318&lt;=T318),AM318,9000000000000000))),"OR",IF(AND(AND(J318=0,ISNUMBER(AL318),AL318&lt;=T318),AL318=MIN(IF(AND(I318=0,ISNUMBER(AK318),AK318&lt;=T318),AK318,9000000000000000),IF(AND(J318=0,ISNUMBER(AL318),AL318&lt;=T318),AL318,9000000000000000),IF(AND(K318=0,ISNUMBER(AM318),AM318&lt;=T318),AM318,9000000000000000))),"HP","FP")),IF(AR318=TRUE(),"",IF(MAX(IF(AND(NOT(AND(AO318=1,AN318&lt;&gt;1)),ISNUMBER(AG318),AG318&lt;=T318),AS318,0),IF(AND(NOT(AND(AO318=1,AN318&lt;&gt;1)),ISNUMBER(AH318),AH318&lt;=T318),AT318,0),IF(AND(NOT(AND(AO318=1,AN318&lt;&gt;1)),ISNUMBER(AI318),AI318&lt;=T318),AU318,0),IF(AND(ISNUMBER(AJ318),AJ318&lt;=T318),AV318,0))&lt;=0,"",IF(AND(IF(AND(NOT(AND(AO318=1,AN318&lt;&gt;1)),ISNUMBER(AG318),AG318&lt;=T318),AS318,0)&gt;0,IF(AND(NOT(AND(AO318=1,AN318&lt;&gt;1)),ISNUMBER(AG318),AG318&lt;=T318),AS318,0)=MAX(IF(AND(NOT(AND(AO318=1,AN318&lt;&gt;1)),ISNUMBER(AG318),AG318&lt;=T318),AS318,0),IF(AND(NOT(AND(AO318=1,AN318&lt;&gt;1)),ISNUMBER(AH318),AH318&lt;=T318),AT318,0),IF(AND(NOT(AND(AO318=1,AN318&lt;&gt;1)),ISNUMBER(AI318),AI318&lt;=T318),AU318,0),IF(AND(ISNUMBER(AJ318),AJ318&lt;=T318),AV318,0))),"SW",IF(AND(IF(AND(NOT(AND(AO318=1,AN318&lt;&gt;1)),ISNUMBER(AH318),AH318&lt;=T318),AT318,0)&gt;0,IF(AND(NOT(AND(AO318=1,AN318&lt;&gt;1)),ISNUMBER(AH318),AH318&lt;=T318),AT318,0)=MAX(IF(AND(NOT(AND(AO318=1,AN318&lt;&gt;1)),ISNUMBER(AG318),AG318&lt;=T318),AS318,0),IF(AND(NOT(AND(AO318=1,AN318&lt;&gt;1)),ISNUMBER(AH318),AH318&lt;=T318),AT318,0),IF(AND(NOT(AND(AO318=1,AN318&lt;&gt;1)),ISNUMBER(AI318),AI318&lt;=T318),AU318,0),IF(AND(ISNUMBER(AJ318),AJ318&lt;=T318),AV318,0))),"AB",IF(AND(IF(AND(NOT(AND(AO318=1,AN318&lt;&gt;1)),ISNUMBER(AI318),AI318&lt;=T318),AU318,0)&gt;0,IF(AND(NOT(AND(AO318=1,AN318&lt;&gt;1)),ISNUMBER(AI318),AI318&lt;=T318),AU318,0)=MAX(IF(AND(NOT(AND(AO318=1,AN318&lt;&gt;1)),ISNUMBER(AG318),AG318&lt;=T318),AS318,0),IF(AND(NOT(AND(AO318=1,AN318&lt;&gt;1)),ISNUMBER(AH318),AH318&lt;=T318),AT318,0),IF(AND(NOT(AND(AO318=1,AN318&lt;&gt;1)),ISNUMBER(AI318),AI318&lt;=T318),AU318,0),IF(AND(ISNUMBER(AJ318),AJ318&lt;=T318),AV318,0))),"SC","Mag")))))))</f>
        <v/>
      </c>
    </row>
    <row r="319" customFormat="false" ht="15" hidden="false" customHeight="false" outlineLevel="0" collapsed="false">
      <c r="A319" s="26" t="n">
        <v>314</v>
      </c>
      <c r="B319" s="27" t="n">
        <f aca="false">A319*10/60</f>
        <v>52.3333333333333</v>
      </c>
      <c r="C319" s="21" t="n">
        <f aca="false">X318</f>
        <v>18.6730249835055</v>
      </c>
      <c r="D319" s="27" t="n">
        <f aca="false">D318+W318</f>
        <v>0</v>
      </c>
      <c r="E319" s="26" t="n">
        <f aca="false">E318+IF(U318="SW",1,0)</f>
        <v>12</v>
      </c>
      <c r="F319" s="26" t="n">
        <f aca="false">F318+IF(U318="AB",1,0)</f>
        <v>10</v>
      </c>
      <c r="G319" s="26" t="n">
        <f aca="false">G318+IF(U318="SC",1,0)</f>
        <v>7</v>
      </c>
      <c r="H319" s="26" t="n">
        <f aca="false">H318+IF(U318="Mag",1,0)</f>
        <v>5</v>
      </c>
      <c r="I319" s="26" t="n">
        <f aca="false">MAX(I318,IF(U318="OR",1,0))</f>
        <v>1</v>
      </c>
      <c r="J319" s="26" t="n">
        <f aca="false">MAX(J318,IF(U318="HP",1,0))</f>
        <v>1</v>
      </c>
      <c r="K319" s="26" t="n">
        <f aca="false">MAX(K318,IF(U318="FP",1,0))</f>
        <v>1</v>
      </c>
      <c r="L319" s="26" t="n">
        <f aca="false">MAX(L318,IF(U318="transition",1,0))</f>
        <v>1</v>
      </c>
      <c r="M319" s="28" t="n">
        <f aca="false">(Parameters!$B$9+(IF(E319=0,0,(Upgrades!$J$6+E319*Upgrades!$K$6)*POWER(Upgrades!$L$6,E319)))*(IF(Upgrades!$T$7="Solar Wind",POWER(Upgrades!$U$7,F319),1)*IF(Upgrades!$T$8="Solar Wind",POWER(Upgrades!$U$8,G319),1)*IF(Upgrades!$T$9="Solar Wind",POWER(Upgrades!$U$9,H319),1)*IF(Upgrades!$T$10="Solar Wind",POWER(Upgrades!$U$10,I319),1)*IF(Upgrades!$T$11="Solar Wind",POWER(Upgrades!$U$11,J319),1)*IF(Upgrades!$T$12="Solar Wind",POWER(Upgrades!$U$12,K319),1))+(IF(F319=0,0,(Upgrades!$J$7+F319*Upgrades!$K$7)*POWER(Upgrades!$L$7,F319)))*(IF(Upgrades!$T$6="Asteroid Belt",POWER(Upgrades!$U$6,E319),1)*IF(Upgrades!$T$8="Asteroid Belt",POWER(Upgrades!$U$8,G319),1)*IF(Upgrades!$T$9="Asteroid Belt",POWER(Upgrades!$U$9,H319),1)*IF(Upgrades!$T$10="Asteroid Belt",POWER(Upgrades!$U$10,I319),1)*IF(Upgrades!$T$11="Asteroid Belt",POWER(Upgrades!$U$11,J319),1)*IF(Upgrades!$T$12="Asteroid Belt",POWER(Upgrades!$U$12,K319),1))+(IF(G319=0,0,(Upgrades!$J$8+G319*Upgrades!$K$8)*POWER(Upgrades!$L$8,G319)))*(IF(Upgrades!$T$6="Stellar Coupling",POWER(Upgrades!$U$6,E319),1)*IF(Upgrades!$T$7="Stellar Coupling",POWER(Upgrades!$U$7,F319),1)*IF(Upgrades!$T$9="Stellar Coupling",POWER(Upgrades!$U$9,H319),1)*IF(Upgrades!$T$10="Stellar Coupling",POWER(Upgrades!$U$10,I319),1)*IF(Upgrades!$T$11="Stellar Coupling",POWER(Upgrades!$U$11,J319),1)*IF(Upgrades!$T$12="Stellar Coupling",POWER(Upgrades!$U$12,K319),1))+(IF(H319=0,0,(Upgrades!$J$9+H319*Upgrades!$K$9)*POWER(Upgrades!$L$9,H319)))*(IF(Upgrades!$T$6="Magnetosphere",POWER(Upgrades!$U$6,E319),1)*IF(Upgrades!$T$7="Magnetosphere",POWER(Upgrades!$U$7,F319),1)*IF(Upgrades!$T$8="Magnetosphere",POWER(Upgrades!$U$8,G319),1)*IF(Upgrades!$T$10="Magnetosphere",POWER(Upgrades!$U$10,I319),1)*IF(Upgrades!$T$11="Magnetosphere",POWER(Upgrades!$U$11,J319),1)*IF(Upgrades!$T$12="Magnetosphere",POWER(Upgrades!$U$12,K319),1))+(IF(I319=0,0,(Upgrades!$J$10+I319*Upgrades!$K$10)*POWER(Upgrades!$L$10,I319)))*(IF(Upgrades!$T$6="Orbital Resonance",POWER(Upgrades!$U$6,E319),1)*IF(Upgrades!$T$7="Orbital Resonance",POWER(Upgrades!$U$7,F319),1)*IF(Upgrades!$T$8="Orbital Resonance",POWER(Upgrades!$U$8,G319),1)*IF(Upgrades!$T$9="Orbital Resonance",POWER(Upgrades!$U$9,H319),1)*IF(Upgrades!$T$11="Orbital Resonance",POWER(Upgrades!$U$11,J319),1)*IF(Upgrades!$T$12="Orbital Resonance",POWER(Upgrades!$U$12,K319),1))+(IF(J319=0,0,(Upgrades!$J$11+J319*Upgrades!$K$11)*POWER(Upgrades!$L$11,J319)))*(IF(Upgrades!$T$6="Heliopause",POWER(Upgrades!$U$6,E319),1)*IF(Upgrades!$T$7="Heliopause",POWER(Upgrades!$U$7,F319),1)*IF(Upgrades!$T$8="Heliopause",POWER(Upgrades!$U$8,G319),1)*IF(Upgrades!$T$9="Heliopause",POWER(Upgrades!$U$9,H319),1)*IF(Upgrades!$T$10="Heliopause",POWER(Upgrades!$U$10,I319),1)*IF(Upgrades!$T$12="Heliopause",POWER(Upgrades!$U$12,K319),1))+(IF(K319=0,0,(Upgrades!$J$12+K319*Upgrades!$K$12)*POWER(Upgrades!$L$12,K319)))*(IF(Upgrades!$T$6="First Photons",POWER(Upgrades!$U$6,E319),1)*IF(Upgrades!$T$7="First Photons",POWER(Upgrades!$U$7,F319),1)*IF(Upgrades!$T$8="First Photons",POWER(Upgrades!$U$8,G319),1)*IF(Upgrades!$T$9="First Photons",POWER(Upgrades!$U$9,H319),1)*IF(Upgrades!$T$10="First Photons",POWER(Upgrades!$U$10,I319),1)*IF(Upgrades!$T$11="First Photons",POWER(Upgrades!$U$11,J319),1)))*POWER(Upgrades!$Q$6,E319)*POWER(Upgrades!$Q$7,F319)*POWER(Upgrades!$Q$8,G319)*POWER(Upgrades!$Q$9,H319)*POWER(Upgrades!$Q$10,I319)*POWER(Upgrades!$Q$11,J319)*POWER(Upgrades!$Q$12,K319)</f>
        <v>5.61</v>
      </c>
      <c r="N319" s="28" t="n">
        <f aca="false">((IF(E319=0,0,(Upgrades!$G$6+E319*Upgrades!$H$6)*POWER(Upgrades!$I$6,E319)))*(IF(Upgrades!$T$7="Solar Wind",POWER(Upgrades!$U$7,F319),1)*IF(Upgrades!$T$8="Solar Wind",POWER(Upgrades!$U$8,G319),1)*IF(Upgrades!$T$9="Solar Wind",POWER(Upgrades!$U$9,H319),1)*IF(Upgrades!$T$10="Solar Wind",POWER(Upgrades!$U$10,I319),1)*IF(Upgrades!$T$11="Solar Wind",POWER(Upgrades!$U$11,J319),1)*IF(Upgrades!$T$12="Solar Wind",POWER(Upgrades!$U$12,K319),1))+(IF(F319=0,0,(Upgrades!$G$7+F319*Upgrades!$H$7)*POWER(Upgrades!$I$7,F319)))*(IF(Upgrades!$T$6="Asteroid Belt",POWER(Upgrades!$U$6,E319),1)*IF(Upgrades!$T$8="Asteroid Belt",POWER(Upgrades!$U$8,G319),1)*IF(Upgrades!$T$9="Asteroid Belt",POWER(Upgrades!$U$9,H319),1)*IF(Upgrades!$T$10="Asteroid Belt",POWER(Upgrades!$U$10,I319),1)*IF(Upgrades!$T$11="Asteroid Belt",POWER(Upgrades!$U$11,J319),1)*IF(Upgrades!$T$12="Asteroid Belt",POWER(Upgrades!$U$12,K319),1))+(IF(G319=0,0,(Upgrades!$G$8+G319*Upgrades!$H$8)*POWER(Upgrades!$I$8,G319)))*(IF(Upgrades!$T$6="Stellar Coupling",POWER(Upgrades!$U$6,E319),1)*IF(Upgrades!$T$7="Stellar Coupling",POWER(Upgrades!$U$7,F319),1)*IF(Upgrades!$T$9="Stellar Coupling",POWER(Upgrades!$U$9,H319),1)*IF(Upgrades!$T$10="Stellar Coupling",POWER(Upgrades!$U$10,I319),1)*IF(Upgrades!$T$11="Stellar Coupling",POWER(Upgrades!$U$11,J319),1)*IF(Upgrades!$T$12="Stellar Coupling",POWER(Upgrades!$U$12,K319),1))+(IF(H319=0,0,(Upgrades!$G$9+H319*Upgrades!$H$9)*POWER(Upgrades!$I$9,H319)))*(IF(Upgrades!$T$6="Magnetosphere",POWER(Upgrades!$U$6,E319),1)*IF(Upgrades!$T$7="Magnetosphere",POWER(Upgrades!$U$7,F319),1)*IF(Upgrades!$T$8="Magnetosphere",POWER(Upgrades!$U$8,G319),1)*IF(Upgrades!$T$10="Magnetosphere",POWER(Upgrades!$U$10,I319),1)*IF(Upgrades!$T$11="Magnetosphere",POWER(Upgrades!$U$11,J319),1)*IF(Upgrades!$T$12="Magnetosphere",POWER(Upgrades!$U$12,K319),1))+(IF(I319=0,0,(Upgrades!$G$10+I319*Upgrades!$H$10)*POWER(Upgrades!$I$10,I319)))*(IF(Upgrades!$T$6="Orbital Resonance",POWER(Upgrades!$U$6,E319),1)*IF(Upgrades!$T$7="Orbital Resonance",POWER(Upgrades!$U$7,F319),1)*IF(Upgrades!$T$8="Orbital Resonance",POWER(Upgrades!$U$8,G319),1)*IF(Upgrades!$T$9="Orbital Resonance",POWER(Upgrades!$U$9,H319),1)*IF(Upgrades!$T$11="Orbital Resonance",POWER(Upgrades!$U$11,J319),1)*IF(Upgrades!$T$12="Orbital Resonance",POWER(Upgrades!$U$12,K319),1))+(IF(J319=0,0,(Upgrades!$G$11+J319*Upgrades!$H$11)*POWER(Upgrades!$I$11,J319)))*(IF(Upgrades!$T$6="Heliopause",POWER(Upgrades!$U$6,E319),1)*IF(Upgrades!$T$7="Heliopause",POWER(Upgrades!$U$7,F319),1)*IF(Upgrades!$T$8="Heliopause",POWER(Upgrades!$U$8,G319),1)*IF(Upgrades!$T$9="Heliopause",POWER(Upgrades!$U$9,H319),1)*IF(Upgrades!$T$10="Heliopause",POWER(Upgrades!$U$10,I319),1)*IF(Upgrades!$T$12="Heliopause",POWER(Upgrades!$U$12,K319),1))+(IF(K319=0,0,(Upgrades!$G$12+K319*Upgrades!$H$12)*POWER(Upgrades!$I$12,K319)))*(IF(Upgrades!$T$6="First Photons",POWER(Upgrades!$U$6,E319),1)*IF(Upgrades!$T$7="First Photons",POWER(Upgrades!$U$7,F319),1)*IF(Upgrades!$T$8="First Photons",POWER(Upgrades!$U$8,G319),1)*IF(Upgrades!$T$9="First Photons",POWER(Upgrades!$U$9,H319),1)*IF(Upgrades!$T$10="First Photons",POWER(Upgrades!$U$10,I319),1)*IF(Upgrades!$T$11="First Photons",POWER(Upgrades!$U$11,J319),1)))*POWER(Upgrades!$P$6,E319)*POWER(Upgrades!$P$7,F319)*POWER(Upgrades!$P$8,G319)*POWER(Upgrades!$P$9,H319)*POWER(Upgrades!$P$10,I319)*POWER(Upgrades!$P$11,J319)*POWER(Upgrades!$P$12,K319)</f>
        <v>11.2</v>
      </c>
      <c r="O319" s="28" t="n">
        <f aca="false">((IF(E319=0,0,(Upgrades!$M$6+E319*Upgrades!$N$6)*POWER(Upgrades!$O$6,E319)))*(IF(Upgrades!$T$7="Solar Wind",POWER(Upgrades!$U$7,F319),1)*IF(Upgrades!$T$8="Solar Wind",POWER(Upgrades!$U$8,G319),1)*IF(Upgrades!$T$9="Solar Wind",POWER(Upgrades!$U$9,H319),1)*IF(Upgrades!$T$10="Solar Wind",POWER(Upgrades!$U$10,I319),1)*IF(Upgrades!$T$11="Solar Wind",POWER(Upgrades!$U$11,J319),1)*IF(Upgrades!$T$12="Solar Wind",POWER(Upgrades!$U$12,K319),1))+(IF(F319=0,0,(Upgrades!$M$7+F319*Upgrades!$N$7)*POWER(Upgrades!$O$7,F319)))*(IF(Upgrades!$T$6="Asteroid Belt",POWER(Upgrades!$U$6,E319),1)*IF(Upgrades!$T$8="Asteroid Belt",POWER(Upgrades!$U$8,G319),1)*IF(Upgrades!$T$9="Asteroid Belt",POWER(Upgrades!$U$9,H319),1)*IF(Upgrades!$T$10="Asteroid Belt",POWER(Upgrades!$U$10,I319),1)*IF(Upgrades!$T$11="Asteroid Belt",POWER(Upgrades!$U$11,J319),1)*IF(Upgrades!$T$12="Asteroid Belt",POWER(Upgrades!$U$12,K319),1))+(IF(G319=0,0,(Upgrades!$M$8+G319*Upgrades!$N$8)*POWER(Upgrades!$O$8,G319)))*(IF(Upgrades!$T$6="Stellar Coupling",POWER(Upgrades!$U$6,E319),1)*IF(Upgrades!$T$7="Stellar Coupling",POWER(Upgrades!$U$7,F319),1)*IF(Upgrades!$T$9="Stellar Coupling",POWER(Upgrades!$U$9,H319),1)*IF(Upgrades!$T$10="Stellar Coupling",POWER(Upgrades!$U$10,I319),1)*IF(Upgrades!$T$11="Stellar Coupling",POWER(Upgrades!$U$11,J319),1)*IF(Upgrades!$T$12="Stellar Coupling",POWER(Upgrades!$U$12,K319),1))+(IF(H319=0,0,(Upgrades!$M$9+H319*Upgrades!$N$9)*POWER(Upgrades!$O$9,H319)))*(IF(Upgrades!$T$6="Magnetosphere",POWER(Upgrades!$U$6,E319),1)*IF(Upgrades!$T$7="Magnetosphere",POWER(Upgrades!$U$7,F319),1)*IF(Upgrades!$T$8="Magnetosphere",POWER(Upgrades!$U$8,G319),1)*IF(Upgrades!$T$10="Magnetosphere",POWER(Upgrades!$U$10,I319),1)*IF(Upgrades!$T$11="Magnetosphere",POWER(Upgrades!$U$11,J319),1)*IF(Upgrades!$T$12="Magnetosphere",POWER(Upgrades!$U$12,K319),1))+(IF(I319=0,0,(Upgrades!$M$10+I319*Upgrades!$N$10)*POWER(Upgrades!$O$10,I319)))*(IF(Upgrades!$T$6="Orbital Resonance",POWER(Upgrades!$U$6,E319),1)*IF(Upgrades!$T$7="Orbital Resonance",POWER(Upgrades!$U$7,F319),1)*IF(Upgrades!$T$8="Orbital Resonance",POWER(Upgrades!$U$8,G319),1)*IF(Upgrades!$T$9="Orbital Resonance",POWER(Upgrades!$U$9,H319),1)*IF(Upgrades!$T$11="Orbital Resonance",POWER(Upgrades!$U$11,J319),1)*IF(Upgrades!$T$12="Orbital Resonance",POWER(Upgrades!$U$12,K319),1))+(IF(J319=0,0,(Upgrades!$M$11+J319*Upgrades!$N$11)*POWER(Upgrades!$O$11,J319)))*(IF(Upgrades!$T$6="Heliopause",POWER(Upgrades!$U$6,E319),1)*IF(Upgrades!$T$7="Heliopause",POWER(Upgrades!$U$7,F319),1)*IF(Upgrades!$T$8="Heliopause",POWER(Upgrades!$U$8,G319),1)*IF(Upgrades!$T$9="Heliopause",POWER(Upgrades!$U$9,H319),1)*IF(Upgrades!$T$10="Heliopause",POWER(Upgrades!$U$10,I319),1)*IF(Upgrades!$T$12="Heliopause",POWER(Upgrades!$U$12,K319),1))+(IF(K319=0,0,(Upgrades!$M$12+K319*Upgrades!$N$12)*POWER(Upgrades!$O$12,K319)))*(IF(Upgrades!$T$6="First Photons",POWER(Upgrades!$U$6,E319),1)*IF(Upgrades!$T$7="First Photons",POWER(Upgrades!$U$7,F319),1)*IF(Upgrades!$T$8="First Photons",POWER(Upgrades!$U$8,G319),1)*IF(Upgrades!$T$9="First Photons",POWER(Upgrades!$U$9,H319),1)*IF(Upgrades!$T$10="First Photons",POWER(Upgrades!$U$10,I319),1)*IF(Upgrades!$T$11="First Photons",POWER(Upgrades!$U$11,J319),1)))*POWER(Upgrades!$R$6,E319)*POWER(Upgrades!$R$7,F319)*POWER(Upgrades!$R$8,G319)*POWER(Upgrades!$R$9,H319)*POWER(Upgrades!$R$10,I319)*POWER(Upgrades!$R$11,J319)*POWER(Upgrades!$R$12,K319)</f>
        <v>0</v>
      </c>
      <c r="P319" s="27" t="n">
        <f aca="false">IF(L319=1,0,M319*Parameters!$B$10/60*Parameters!$B$11*10)</f>
        <v>0</v>
      </c>
      <c r="Q319" s="27" t="n">
        <f aca="false">IF(L319=1,0,O319*M319*10)</f>
        <v>0</v>
      </c>
      <c r="R319" s="27" t="n">
        <f aca="false">IF(L319=1,0,N319*10)</f>
        <v>0</v>
      </c>
      <c r="S319" s="27" t="n">
        <f aca="false">P319+Q319+R319</f>
        <v>0</v>
      </c>
      <c r="T319" s="21" t="n">
        <f aca="false">C319+S319</f>
        <v>18.6730249835055</v>
      </c>
      <c r="U319" s="34" t="str">
        <f aca="false">AX319</f>
        <v/>
      </c>
      <c r="V319" s="21" t="n">
        <f aca="false">IF(U319="",0,IF(U319="transition",0,IF(U319="SW",AG319,IF(U319="AB",AH319,IF(U319="SC",AI319,IF(U319="Mag",AJ319,IF(U319="OR",AK319,IF(U319="HP",AL319,IF(U319="FP",AM319,0)))))))))</f>
        <v>0</v>
      </c>
      <c r="W319" s="27" t="n">
        <f aca="false">IF(U319="OR",Upgrades!$F$10,IF(U319="HP",Upgrades!$F$11,IF(U319="transition",-Parameters!$B$18,0)))</f>
        <v>0</v>
      </c>
      <c r="X319" s="21" t="n">
        <f aca="false">T319-V319</f>
        <v>18.6730249835055</v>
      </c>
      <c r="Y319" s="30" t="n">
        <f aca="false">M319*Parameters!$B$10/60*Parameters!$B$11+O319*M319+N319</f>
        <v>20.55</v>
      </c>
      <c r="Z319" s="35" t="str">
        <f aca="false">IF(U319="transition","→ Tier 2 (Stellar Neighborhood)",IF(U319="FP","First Photons — light begins, system quickens",IF(U319="HP","Heliopause acquired",IF(U319="OR","Orbital Resonance — passive multiplier active",IF(AND(AO319=1,L319=0,AN319&lt;&gt;1),"Cohesion ready (waiting on completionist upgrades)","")))))</f>
        <v/>
      </c>
      <c r="AA319" s="27" t="n">
        <f aca="false">(IF(E319=0,0,(Upgrades!$G$6+E319*Upgrades!$H$6)*POWER(Upgrades!$I$6,E319)))*(IF(Upgrades!$T$7="Solar Wind",POWER(Upgrades!$U$7,F319),1)*IF(Upgrades!$T$8="Solar Wind",POWER(Upgrades!$U$8,G319),1)*IF(Upgrades!$T$9="Solar Wind",POWER(Upgrades!$U$9,H319),1)*IF(Upgrades!$T$10="Solar Wind",POWER(Upgrades!$U$10,I319),1)*IF(Upgrades!$T$11="Solar Wind",POWER(Upgrades!$U$11,J319),1)*IF(Upgrades!$T$12="Solar Wind",POWER(Upgrades!$U$12,K319),1))*POWER(Upgrades!$P$6,E319)*POWER(Upgrades!$P$7,F319)*POWER(Upgrades!$P$8,G319)*POWER(Upgrades!$P$9,H319)*POWER(Upgrades!$P$10,I319)*POWER(Upgrades!$P$11,J319)*POWER(Upgrades!$P$12,K319)*60</f>
        <v>72</v>
      </c>
      <c r="AB319" s="27" t="n">
        <f aca="false">(IF(F319=0,0,(Upgrades!$G$7+F319*Upgrades!$H$7)*POWER(Upgrades!$I$7,F319)))*(IF(Upgrades!$T$6="Asteroid Belt",POWER(Upgrades!$U$6,E319),1)*IF(Upgrades!$T$8="Asteroid Belt",POWER(Upgrades!$U$8,G319),1)*IF(Upgrades!$T$9="Asteroid Belt",POWER(Upgrades!$U$9,H319),1)*IF(Upgrades!$T$10="Asteroid Belt",POWER(Upgrades!$U$10,I319),1)*IF(Upgrades!$T$11="Asteroid Belt",POWER(Upgrades!$U$11,J319),1)*IF(Upgrades!$T$12="Asteroid Belt",POWER(Upgrades!$U$12,K319),1))*POWER(Upgrades!$P$6,E319)*POWER(Upgrades!$P$7,F319)*POWER(Upgrades!$P$8,G319)*POWER(Upgrades!$P$9,H319)*POWER(Upgrades!$P$10,I319)*POWER(Upgrades!$P$11,J319)*POWER(Upgrades!$P$12,K319)*60</f>
        <v>150</v>
      </c>
      <c r="AC319" s="27" t="n">
        <f aca="false">(IF(G319=0,0,(Upgrades!$J$8+G319*Upgrades!$K$8)*POWER(Upgrades!$L$8,G319)))*(IF(Upgrades!$T$6="Stellar Coupling",POWER(Upgrades!$U$6,E319),1)*IF(Upgrades!$T$7="Stellar Coupling",POWER(Upgrades!$U$7,F319),1)*IF(Upgrades!$T$9="Stellar Coupling",POWER(Upgrades!$U$9,H319),1)*IF(Upgrades!$T$10="Stellar Coupling",POWER(Upgrades!$U$10,I319),1)*IF(Upgrades!$T$11="Stellar Coupling",POWER(Upgrades!$U$11,J319),1)*IF(Upgrades!$T$12="Stellar Coupling",POWER(Upgrades!$U$12,K319),1))*POWER(Upgrades!$Q$6,E319)*POWER(Upgrades!$Q$7,F319)*POWER(Upgrades!$Q$8,G319)*POWER(Upgrades!$Q$9,H319)*POWER(Upgrades!$Q$10,I319)*POWER(Upgrades!$Q$11,J319)*POWER(Upgrades!$Q$12,K319)*Parameters!$B$10*Parameters!$B$11</f>
        <v>441</v>
      </c>
      <c r="AD319" s="27" t="n">
        <f aca="false">(IF(H319=0,0,(Upgrades!$G$9+H319*Upgrades!$H$9)*POWER(Upgrades!$I$9,H319)))*(IF(Upgrades!$T$6="Magnetosphere",POWER(Upgrades!$U$6,E319),1)*IF(Upgrades!$T$7="Magnetosphere",POWER(Upgrades!$U$7,F319),1)*IF(Upgrades!$T$8="Magnetosphere",POWER(Upgrades!$U$8,G319),1)*IF(Upgrades!$T$10="Magnetosphere",POWER(Upgrades!$U$10,I319),1)*IF(Upgrades!$T$11="Magnetosphere",POWER(Upgrades!$U$11,J319),1)*IF(Upgrades!$T$12="Magnetosphere",POWER(Upgrades!$U$12,K319),1))*POWER(Upgrades!$P$6,E319)*POWER(Upgrades!$P$7,F319)*POWER(Upgrades!$P$8,G319)*POWER(Upgrades!$P$9,H319)*POWER(Upgrades!$P$10,I319)*POWER(Upgrades!$P$11,J319)*POWER(Upgrades!$P$12,K319)*60</f>
        <v>375</v>
      </c>
      <c r="AE319" s="27" t="n">
        <f aca="false">(IF(K319=0,0,(Upgrades!$G$12+K319*Upgrades!$H$12)*POWER(Upgrades!$I$12,K319)))*(IF(Upgrades!$T$6="First Photons",POWER(Upgrades!$U$6,E319),1)*IF(Upgrades!$T$7="First Photons",POWER(Upgrades!$U$7,F319),1)*IF(Upgrades!$T$8="First Photons",POWER(Upgrades!$U$8,G319),1)*IF(Upgrades!$T$9="First Photons",POWER(Upgrades!$U$9,H319),1)*IF(Upgrades!$T$10="First Photons",POWER(Upgrades!$U$10,I319),1)*IF(Upgrades!$T$11="First Photons",POWER(Upgrades!$U$11,J319),1))*POWER(Upgrades!$P$6,E319)*POWER(Upgrades!$P$7,F319)*POWER(Upgrades!$P$8,G319)*POWER(Upgrades!$P$9,H319)*POWER(Upgrades!$P$10,I319)*POWER(Upgrades!$P$11,J319)*POWER(Upgrades!$P$12,K319)*60</f>
        <v>75</v>
      </c>
      <c r="AF319" s="27" t="n">
        <f aca="false">Parameters!$B$9*POWER(Upgrades!$Q$6,E319)*POWER(Upgrades!$Q$7,F319)*POWER(Upgrades!$Q$8,G319)*POWER(Upgrades!$Q$9,H319)*POWER(Upgrades!$Q$10,I319)*POWER(Upgrades!$Q$11,J319)*POWER(Upgrades!$Q$12,K319)*(Parameters!$B$10*Parameters!$B$11+O319*60)</f>
        <v>120</v>
      </c>
      <c r="AG319" s="21" t="n">
        <f aca="false">IF(E319&gt;=Upgrades!$E$6,"",Upgrades!$C$6*POWER(Upgrades!$D$6,E319))</f>
        <v>37.4517507383159</v>
      </c>
      <c r="AH319" s="21" t="n">
        <f aca="false">IF(F319&gt;=Upgrades!$E$7,"",Upgrades!$C$7*POWER(Upgrades!$D$7,F319))</f>
        <v>80.9111547141581</v>
      </c>
      <c r="AI319" s="21" t="n">
        <f aca="false">IF(G319&gt;=Upgrades!$E$8,"",Upgrades!$C$8*POWER(Upgrades!$D$8,G319))</f>
        <v>231.9097088</v>
      </c>
      <c r="AJ319" s="21" t="str">
        <f aca="false">IF(H319&gt;=Upgrades!$E$9,"",Upgrades!$C$9*POWER(Upgrades!$D$9,H319))</f>
        <v/>
      </c>
      <c r="AK319" s="21" t="str">
        <f aca="false">IF(I319&gt;=Upgrades!$E$10,"",Upgrades!$C$10*POWER(Upgrades!$D$10,I319))</f>
        <v/>
      </c>
      <c r="AL319" s="21" t="str">
        <f aca="false">IF(J319&gt;=Upgrades!$E$11,"",Upgrades!$C$11*POWER(Upgrades!$D$11,J319))</f>
        <v/>
      </c>
      <c r="AM319" s="21" t="str">
        <f aca="false">IF(K319&gt;=Upgrades!$E$12,"",Upgrades!$C$12*POWER(Upgrades!$D$12,K319))</f>
        <v/>
      </c>
      <c r="AN319" s="26" t="str">
        <f aca="false">IF(AND(D319&gt;=Parameters!$B$18,(H319&gt;=Upgrades!$E$9)*(K319&gt;=Upgrades!$E$12)=1,L319=0),1,"")</f>
        <v/>
      </c>
      <c r="AO319" s="26" t="str">
        <f aca="false">IF(AND(D319&gt;=Parameters!$B$18,L319=0),1,"")</f>
        <v/>
      </c>
      <c r="AP319" s="21" t="n">
        <f aca="false">MIN(IF(ISNUMBER(AK319),AK319,9000000000000000),IF(ISNUMBER(AL319),AL319,9000000000000000),IF(ISNUMBER(AM319),AM319,9000000000000000))</f>
        <v>9000000000000000</v>
      </c>
      <c r="AQ319" s="21" t="n">
        <f aca="false">MIN(IF(ISNUMBER(AG319),AG319,9000000000000000),IF(ISNUMBER(AH319),AH319,9000000000000000),IF(ISNUMBER(AI319),AI319,9000000000000000),IF(ISNUMBER(AJ319),AJ319,9000000000000000))</f>
        <v>37.4517507383159</v>
      </c>
      <c r="AR319" s="32" t="b">
        <f aca="false">IF(AW319&gt;Parameters!$B$21*(MAX(IF(AND(NOT(AND(AO319=1,AN319&lt;&gt;1)),ISNUMBER(AG319),AG319&lt;=T319),AS319,0),IF(AND(NOT(AND(AO319=1,AN319&lt;&gt;1)),ISNUMBER(AH319),AH319&lt;=T319),AT319,0),IF(AND(NOT(AND(AO319=1,AN319&lt;&gt;1)),ISNUMBER(AI319),AI319&lt;=T319),AU319,0),IF(AND(ISNUMBER(AJ319),AJ319&lt;=T319),AV319,0))),TRUE(),FALSE())</f>
        <v>1</v>
      </c>
      <c r="AS319" s="33" t="n">
        <f aca="false">IFERROR(Upgrades!$H$6*(POWER(Upgrades!$P$6,E319)*POWER(Upgrades!$P$7,F319)*POWER(Upgrades!$P$8,G319)*POWER(Upgrades!$P$9,H319)*POWER(Upgrades!$P$10,I319)*POWER(Upgrades!$P$11,J319)*POWER(Upgrades!$P$12,K319))*(IF(Upgrades!$T$7="Solar Wind",POWER(Upgrades!$U$7,F319),1)*IF(Upgrades!$T$8="Solar Wind",POWER(Upgrades!$U$8,G319),1)*IF(Upgrades!$T$9="Solar Wind",POWER(Upgrades!$U$9,H319),1)*IF(Upgrades!$T$10="Solar Wind",POWER(Upgrades!$U$10,I319),1)*IF(Upgrades!$T$11="Solar Wind",POWER(Upgrades!$U$11,J319),1)*IF(Upgrades!$T$12="Solar Wind",POWER(Upgrades!$U$12,K319),1))/AG319,0)</f>
        <v>0.0026701021455238</v>
      </c>
      <c r="AT319" s="33" t="n">
        <f aca="false">IFERROR(Upgrades!$H$7*(POWER(Upgrades!$P$6,E319)*POWER(Upgrades!$P$7,F319)*POWER(Upgrades!$P$8,G319)*POWER(Upgrades!$P$9,H319)*POWER(Upgrades!$P$10,I319)*POWER(Upgrades!$P$11,J319)*POWER(Upgrades!$P$12,K319))*(IF(Upgrades!$T$6="Asteroid Belt",POWER(Upgrades!$U$6,E319),1)*IF(Upgrades!$T$8="Asteroid Belt",POWER(Upgrades!$U$8,G319),1)*IF(Upgrades!$T$9="Asteroid Belt",POWER(Upgrades!$U$9,H319),1)*IF(Upgrades!$T$10="Asteroid Belt",POWER(Upgrades!$U$10,I319),1)*IF(Upgrades!$T$11="Asteroid Belt",POWER(Upgrades!$U$11,J319),1)*IF(Upgrades!$T$12="Asteroid Belt",POWER(Upgrades!$U$12,K319),1))/AH319,0)</f>
        <v>0.00308980882652332</v>
      </c>
      <c r="AU319" s="33" t="n">
        <f aca="false">IFERROR(Upgrades!$K$8*(POWER(Upgrades!$Q$6,E319)*POWER(Upgrades!$Q$7,F319)*POWER(Upgrades!$Q$8,G319)*POWER(Upgrades!$Q$9,H319)*POWER(Upgrades!$Q$10,I319)*POWER(Upgrades!$Q$11,J319)*POWER(Upgrades!$Q$12,K319))*(IF(Upgrades!$T$6="Stellar Coupling",POWER(Upgrades!$U$6,E319),1)*IF(Upgrades!$T$7="Stellar Coupling",POWER(Upgrades!$U$7,F319),1)*IF(Upgrades!$T$9="Stellar Coupling",POWER(Upgrades!$U$9,H319),1)*IF(Upgrades!$T$10="Stellar Coupling",POWER(Upgrades!$U$10,I319),1)*IF(Upgrades!$T$11="Stellar Coupling",POWER(Upgrades!$U$11,J319),1)*IF(Upgrades!$T$12="Stellar Coupling",POWER(Upgrades!$U$12,K319),1))*Parameters!$B$10*Parameters!$B$11/60/AI319,0)</f>
        <v>0.00452762415783776</v>
      </c>
      <c r="AV319" s="33" t="n">
        <f aca="false">IFERROR(Upgrades!$H$9*(POWER(Upgrades!$P$6,E319)*POWER(Upgrades!$P$7,F319)*POWER(Upgrades!$P$8,G319)*POWER(Upgrades!$P$9,H319)*POWER(Upgrades!$P$10,I319)*POWER(Upgrades!$P$11,J319)*POWER(Upgrades!$P$12,K319))*(IF(Upgrades!$T$6="Magnetosphere",POWER(Upgrades!$U$6,E319),1)*IF(Upgrades!$T$7="Magnetosphere",POWER(Upgrades!$U$7,F319),1)*IF(Upgrades!$T$8="Magnetosphere",POWER(Upgrades!$U$8,G319),1)*IF(Upgrades!$T$10="Magnetosphere",POWER(Upgrades!$U$10,I319),1)*IF(Upgrades!$T$11="Magnetosphere",POWER(Upgrades!$U$11,J319),1)*IF(Upgrades!$T$12="Magnetosphere",POWER(Upgrades!$U$12,K319),1))/AJ319,0)</f>
        <v>0</v>
      </c>
      <c r="AW319" s="33" t="n">
        <f aca="false">MAX(IF(I319&gt;0,0,IFERROR(0.25*N319/Upgrades!$C$10,0)),IF(J319&gt;0,0,IFERROR(0.5*((IF(G319=0,0,(Upgrades!$J$8+G319*Upgrades!$K$8)*POWER(Upgrades!$L$8,G319)))*(IF(Upgrades!$T$6="Stellar Coupling",POWER(Upgrades!$U$6,E319),1)*IF(Upgrades!$T$7="Stellar Coupling",POWER(Upgrades!$U$7,F319),1)*IF(Upgrades!$T$9="Stellar Coupling",POWER(Upgrades!$U$9,H319),1)*IF(Upgrades!$T$10="Stellar Coupling",POWER(Upgrades!$U$10,I319),1)*IF(Upgrades!$T$11="Stellar Coupling",POWER(Upgrades!$U$11,J319),1)*IF(Upgrades!$T$12="Stellar Coupling",POWER(Upgrades!$U$12,K319),1))*(POWER(Upgrades!$Q$6,E319)*POWER(Upgrades!$Q$7,F319)*POWER(Upgrades!$Q$8,G319)*POWER(Upgrades!$Q$9,H319)*POWER(Upgrades!$Q$10,I319)*POWER(Upgrades!$Q$11,J319)*POWER(Upgrades!$Q$12,K319))*Parameters!$B$10*Parameters!$B$11/60)/Upgrades!$C$11,0)),IF(K319&gt;0,0,IFERROR((1*(POWER(Upgrades!$P$6,E319)*POWER(Upgrades!$P$7,F319)*POWER(Upgrades!$P$8,G319)*POWER(Upgrades!$P$9,H319)*POWER(Upgrades!$P$10,I319)*POWER(Upgrades!$P$11,J319)*POWER(Upgrades!$P$12,K319))+0.2*M319*Parameters!$B$10*Parameters!$B$11/60)/Upgrades!$C$12,0)),IF(AND(ISNUMBER(AG319),AG319&gt;T319),AS319,0),IF(AND(ISNUMBER(AH319),AH319&gt;T319),AT319,0),IF(AND(ISNUMBER(AI319),AI319&gt;T319),AU319,0),IF(AND(ISNUMBER(AJ319),AJ319&gt;T319),AV319,0))</f>
        <v>0.00452762415783776</v>
      </c>
      <c r="AX319" s="29" t="str">
        <f aca="false">IF(AN319=1,"transition",IF(MIN(IF(AND(I319=0,ISNUMBER(AK319),AK319&lt;=T319),AK319,9000000000000000),IF(AND(J319=0,ISNUMBER(AL319),AL319&lt;=T319),AL319,9000000000000000),IF(AND(K319=0,ISNUMBER(AM319),AM319&lt;=T319),AM319,9000000000000000))&lt;9000000000000000,IF(AND(AND(I319=0,ISNUMBER(AK319),AK319&lt;=T319),AK319=MIN(IF(AND(I319=0,ISNUMBER(AK319),AK319&lt;=T319),AK319,9000000000000000),IF(AND(J319=0,ISNUMBER(AL319),AL319&lt;=T319),AL319,9000000000000000),IF(AND(K319=0,ISNUMBER(AM319),AM319&lt;=T319),AM319,9000000000000000))),"OR",IF(AND(AND(J319=0,ISNUMBER(AL319),AL319&lt;=T319),AL319=MIN(IF(AND(I319=0,ISNUMBER(AK319),AK319&lt;=T319),AK319,9000000000000000),IF(AND(J319=0,ISNUMBER(AL319),AL319&lt;=T319),AL319,9000000000000000),IF(AND(K319=0,ISNUMBER(AM319),AM319&lt;=T319),AM319,9000000000000000))),"HP","FP")),IF(AR319=TRUE(),"",IF(MAX(IF(AND(NOT(AND(AO319=1,AN319&lt;&gt;1)),ISNUMBER(AG319),AG319&lt;=T319),AS319,0),IF(AND(NOT(AND(AO319=1,AN319&lt;&gt;1)),ISNUMBER(AH319),AH319&lt;=T319),AT319,0),IF(AND(NOT(AND(AO319=1,AN319&lt;&gt;1)),ISNUMBER(AI319),AI319&lt;=T319),AU319,0),IF(AND(ISNUMBER(AJ319),AJ319&lt;=T319),AV319,0))&lt;=0,"",IF(AND(IF(AND(NOT(AND(AO319=1,AN319&lt;&gt;1)),ISNUMBER(AG319),AG319&lt;=T319),AS319,0)&gt;0,IF(AND(NOT(AND(AO319=1,AN319&lt;&gt;1)),ISNUMBER(AG319),AG319&lt;=T319),AS319,0)=MAX(IF(AND(NOT(AND(AO319=1,AN319&lt;&gt;1)),ISNUMBER(AG319),AG319&lt;=T319),AS319,0),IF(AND(NOT(AND(AO319=1,AN319&lt;&gt;1)),ISNUMBER(AH319),AH319&lt;=T319),AT319,0),IF(AND(NOT(AND(AO319=1,AN319&lt;&gt;1)),ISNUMBER(AI319),AI319&lt;=T319),AU319,0),IF(AND(ISNUMBER(AJ319),AJ319&lt;=T319),AV319,0))),"SW",IF(AND(IF(AND(NOT(AND(AO319=1,AN319&lt;&gt;1)),ISNUMBER(AH319),AH319&lt;=T319),AT319,0)&gt;0,IF(AND(NOT(AND(AO319=1,AN319&lt;&gt;1)),ISNUMBER(AH319),AH319&lt;=T319),AT319,0)=MAX(IF(AND(NOT(AND(AO319=1,AN319&lt;&gt;1)),ISNUMBER(AG319),AG319&lt;=T319),AS319,0),IF(AND(NOT(AND(AO319=1,AN319&lt;&gt;1)),ISNUMBER(AH319),AH319&lt;=T319),AT319,0),IF(AND(NOT(AND(AO319=1,AN319&lt;&gt;1)),ISNUMBER(AI319),AI319&lt;=T319),AU319,0),IF(AND(ISNUMBER(AJ319),AJ319&lt;=T319),AV319,0))),"AB",IF(AND(IF(AND(NOT(AND(AO319=1,AN319&lt;&gt;1)),ISNUMBER(AI319),AI319&lt;=T319),AU319,0)&gt;0,IF(AND(NOT(AND(AO319=1,AN319&lt;&gt;1)),ISNUMBER(AI319),AI319&lt;=T319),AU319,0)=MAX(IF(AND(NOT(AND(AO319=1,AN319&lt;&gt;1)),ISNUMBER(AG319),AG319&lt;=T319),AS319,0),IF(AND(NOT(AND(AO319=1,AN319&lt;&gt;1)),ISNUMBER(AH319),AH319&lt;=T319),AT319,0),IF(AND(NOT(AND(AO319=1,AN319&lt;&gt;1)),ISNUMBER(AI319),AI319&lt;=T319),AU319,0),IF(AND(ISNUMBER(AJ319),AJ319&lt;=T319),AV319,0))),"SC","Mag")))))))</f>
        <v/>
      </c>
    </row>
    <row r="320" customFormat="false" ht="15" hidden="false" customHeight="false" outlineLevel="0" collapsed="false">
      <c r="A320" s="26" t="n">
        <v>315</v>
      </c>
      <c r="B320" s="27" t="n">
        <f aca="false">A320*10/60</f>
        <v>52.5</v>
      </c>
      <c r="C320" s="21" t="n">
        <f aca="false">X319</f>
        <v>18.6730249835055</v>
      </c>
      <c r="D320" s="27" t="n">
        <f aca="false">D319+W319</f>
        <v>0</v>
      </c>
      <c r="E320" s="26" t="n">
        <f aca="false">E319+IF(U319="SW",1,0)</f>
        <v>12</v>
      </c>
      <c r="F320" s="26" t="n">
        <f aca="false">F319+IF(U319="AB",1,0)</f>
        <v>10</v>
      </c>
      <c r="G320" s="26" t="n">
        <f aca="false">G319+IF(U319="SC",1,0)</f>
        <v>7</v>
      </c>
      <c r="H320" s="26" t="n">
        <f aca="false">H319+IF(U319="Mag",1,0)</f>
        <v>5</v>
      </c>
      <c r="I320" s="26" t="n">
        <f aca="false">MAX(I319,IF(U319="OR",1,0))</f>
        <v>1</v>
      </c>
      <c r="J320" s="26" t="n">
        <f aca="false">MAX(J319,IF(U319="HP",1,0))</f>
        <v>1</v>
      </c>
      <c r="K320" s="26" t="n">
        <f aca="false">MAX(K319,IF(U319="FP",1,0))</f>
        <v>1</v>
      </c>
      <c r="L320" s="26" t="n">
        <f aca="false">MAX(L319,IF(U319="transition",1,0))</f>
        <v>1</v>
      </c>
      <c r="M320" s="28" t="n">
        <f aca="false">(Parameters!$B$9+(IF(E320=0,0,(Upgrades!$J$6+E320*Upgrades!$K$6)*POWER(Upgrades!$L$6,E320)))*(IF(Upgrades!$T$7="Solar Wind",POWER(Upgrades!$U$7,F320),1)*IF(Upgrades!$T$8="Solar Wind",POWER(Upgrades!$U$8,G320),1)*IF(Upgrades!$T$9="Solar Wind",POWER(Upgrades!$U$9,H320),1)*IF(Upgrades!$T$10="Solar Wind",POWER(Upgrades!$U$10,I320),1)*IF(Upgrades!$T$11="Solar Wind",POWER(Upgrades!$U$11,J320),1)*IF(Upgrades!$T$12="Solar Wind",POWER(Upgrades!$U$12,K320),1))+(IF(F320=0,0,(Upgrades!$J$7+F320*Upgrades!$K$7)*POWER(Upgrades!$L$7,F320)))*(IF(Upgrades!$T$6="Asteroid Belt",POWER(Upgrades!$U$6,E320),1)*IF(Upgrades!$T$8="Asteroid Belt",POWER(Upgrades!$U$8,G320),1)*IF(Upgrades!$T$9="Asteroid Belt",POWER(Upgrades!$U$9,H320),1)*IF(Upgrades!$T$10="Asteroid Belt",POWER(Upgrades!$U$10,I320),1)*IF(Upgrades!$T$11="Asteroid Belt",POWER(Upgrades!$U$11,J320),1)*IF(Upgrades!$T$12="Asteroid Belt",POWER(Upgrades!$U$12,K320),1))+(IF(G320=0,0,(Upgrades!$J$8+G320*Upgrades!$K$8)*POWER(Upgrades!$L$8,G320)))*(IF(Upgrades!$T$6="Stellar Coupling",POWER(Upgrades!$U$6,E320),1)*IF(Upgrades!$T$7="Stellar Coupling",POWER(Upgrades!$U$7,F320),1)*IF(Upgrades!$T$9="Stellar Coupling",POWER(Upgrades!$U$9,H320),1)*IF(Upgrades!$T$10="Stellar Coupling",POWER(Upgrades!$U$10,I320),1)*IF(Upgrades!$T$11="Stellar Coupling",POWER(Upgrades!$U$11,J320),1)*IF(Upgrades!$T$12="Stellar Coupling",POWER(Upgrades!$U$12,K320),1))+(IF(H320=0,0,(Upgrades!$J$9+H320*Upgrades!$K$9)*POWER(Upgrades!$L$9,H320)))*(IF(Upgrades!$T$6="Magnetosphere",POWER(Upgrades!$U$6,E320),1)*IF(Upgrades!$T$7="Magnetosphere",POWER(Upgrades!$U$7,F320),1)*IF(Upgrades!$T$8="Magnetosphere",POWER(Upgrades!$U$8,G320),1)*IF(Upgrades!$T$10="Magnetosphere",POWER(Upgrades!$U$10,I320),1)*IF(Upgrades!$T$11="Magnetosphere",POWER(Upgrades!$U$11,J320),1)*IF(Upgrades!$T$12="Magnetosphere",POWER(Upgrades!$U$12,K320),1))+(IF(I320=0,0,(Upgrades!$J$10+I320*Upgrades!$K$10)*POWER(Upgrades!$L$10,I320)))*(IF(Upgrades!$T$6="Orbital Resonance",POWER(Upgrades!$U$6,E320),1)*IF(Upgrades!$T$7="Orbital Resonance",POWER(Upgrades!$U$7,F320),1)*IF(Upgrades!$T$8="Orbital Resonance",POWER(Upgrades!$U$8,G320),1)*IF(Upgrades!$T$9="Orbital Resonance",POWER(Upgrades!$U$9,H320),1)*IF(Upgrades!$T$11="Orbital Resonance",POWER(Upgrades!$U$11,J320),1)*IF(Upgrades!$T$12="Orbital Resonance",POWER(Upgrades!$U$12,K320),1))+(IF(J320=0,0,(Upgrades!$J$11+J320*Upgrades!$K$11)*POWER(Upgrades!$L$11,J320)))*(IF(Upgrades!$T$6="Heliopause",POWER(Upgrades!$U$6,E320),1)*IF(Upgrades!$T$7="Heliopause",POWER(Upgrades!$U$7,F320),1)*IF(Upgrades!$T$8="Heliopause",POWER(Upgrades!$U$8,G320),1)*IF(Upgrades!$T$9="Heliopause",POWER(Upgrades!$U$9,H320),1)*IF(Upgrades!$T$10="Heliopause",POWER(Upgrades!$U$10,I320),1)*IF(Upgrades!$T$12="Heliopause",POWER(Upgrades!$U$12,K320),1))+(IF(K320=0,0,(Upgrades!$J$12+K320*Upgrades!$K$12)*POWER(Upgrades!$L$12,K320)))*(IF(Upgrades!$T$6="First Photons",POWER(Upgrades!$U$6,E320),1)*IF(Upgrades!$T$7="First Photons",POWER(Upgrades!$U$7,F320),1)*IF(Upgrades!$T$8="First Photons",POWER(Upgrades!$U$8,G320),1)*IF(Upgrades!$T$9="First Photons",POWER(Upgrades!$U$9,H320),1)*IF(Upgrades!$T$10="First Photons",POWER(Upgrades!$U$10,I320),1)*IF(Upgrades!$T$11="First Photons",POWER(Upgrades!$U$11,J320),1)))*POWER(Upgrades!$Q$6,E320)*POWER(Upgrades!$Q$7,F320)*POWER(Upgrades!$Q$8,G320)*POWER(Upgrades!$Q$9,H320)*POWER(Upgrades!$Q$10,I320)*POWER(Upgrades!$Q$11,J320)*POWER(Upgrades!$Q$12,K320)</f>
        <v>5.61</v>
      </c>
      <c r="N320" s="28" t="n">
        <f aca="false">((IF(E320=0,0,(Upgrades!$G$6+E320*Upgrades!$H$6)*POWER(Upgrades!$I$6,E320)))*(IF(Upgrades!$T$7="Solar Wind",POWER(Upgrades!$U$7,F320),1)*IF(Upgrades!$T$8="Solar Wind",POWER(Upgrades!$U$8,G320),1)*IF(Upgrades!$T$9="Solar Wind",POWER(Upgrades!$U$9,H320),1)*IF(Upgrades!$T$10="Solar Wind",POWER(Upgrades!$U$10,I320),1)*IF(Upgrades!$T$11="Solar Wind",POWER(Upgrades!$U$11,J320),1)*IF(Upgrades!$T$12="Solar Wind",POWER(Upgrades!$U$12,K320),1))+(IF(F320=0,0,(Upgrades!$G$7+F320*Upgrades!$H$7)*POWER(Upgrades!$I$7,F320)))*(IF(Upgrades!$T$6="Asteroid Belt",POWER(Upgrades!$U$6,E320),1)*IF(Upgrades!$T$8="Asteroid Belt",POWER(Upgrades!$U$8,G320),1)*IF(Upgrades!$T$9="Asteroid Belt",POWER(Upgrades!$U$9,H320),1)*IF(Upgrades!$T$10="Asteroid Belt",POWER(Upgrades!$U$10,I320),1)*IF(Upgrades!$T$11="Asteroid Belt",POWER(Upgrades!$U$11,J320),1)*IF(Upgrades!$T$12="Asteroid Belt",POWER(Upgrades!$U$12,K320),1))+(IF(G320=0,0,(Upgrades!$G$8+G320*Upgrades!$H$8)*POWER(Upgrades!$I$8,G320)))*(IF(Upgrades!$T$6="Stellar Coupling",POWER(Upgrades!$U$6,E320),1)*IF(Upgrades!$T$7="Stellar Coupling",POWER(Upgrades!$U$7,F320),1)*IF(Upgrades!$T$9="Stellar Coupling",POWER(Upgrades!$U$9,H320),1)*IF(Upgrades!$T$10="Stellar Coupling",POWER(Upgrades!$U$10,I320),1)*IF(Upgrades!$T$11="Stellar Coupling",POWER(Upgrades!$U$11,J320),1)*IF(Upgrades!$T$12="Stellar Coupling",POWER(Upgrades!$U$12,K320),1))+(IF(H320=0,0,(Upgrades!$G$9+H320*Upgrades!$H$9)*POWER(Upgrades!$I$9,H320)))*(IF(Upgrades!$T$6="Magnetosphere",POWER(Upgrades!$U$6,E320),1)*IF(Upgrades!$T$7="Magnetosphere",POWER(Upgrades!$U$7,F320),1)*IF(Upgrades!$T$8="Magnetosphere",POWER(Upgrades!$U$8,G320),1)*IF(Upgrades!$T$10="Magnetosphere",POWER(Upgrades!$U$10,I320),1)*IF(Upgrades!$T$11="Magnetosphere",POWER(Upgrades!$U$11,J320),1)*IF(Upgrades!$T$12="Magnetosphere",POWER(Upgrades!$U$12,K320),1))+(IF(I320=0,0,(Upgrades!$G$10+I320*Upgrades!$H$10)*POWER(Upgrades!$I$10,I320)))*(IF(Upgrades!$T$6="Orbital Resonance",POWER(Upgrades!$U$6,E320),1)*IF(Upgrades!$T$7="Orbital Resonance",POWER(Upgrades!$U$7,F320),1)*IF(Upgrades!$T$8="Orbital Resonance",POWER(Upgrades!$U$8,G320),1)*IF(Upgrades!$T$9="Orbital Resonance",POWER(Upgrades!$U$9,H320),1)*IF(Upgrades!$T$11="Orbital Resonance",POWER(Upgrades!$U$11,J320),1)*IF(Upgrades!$T$12="Orbital Resonance",POWER(Upgrades!$U$12,K320),1))+(IF(J320=0,0,(Upgrades!$G$11+J320*Upgrades!$H$11)*POWER(Upgrades!$I$11,J320)))*(IF(Upgrades!$T$6="Heliopause",POWER(Upgrades!$U$6,E320),1)*IF(Upgrades!$T$7="Heliopause",POWER(Upgrades!$U$7,F320),1)*IF(Upgrades!$T$8="Heliopause",POWER(Upgrades!$U$8,G320),1)*IF(Upgrades!$T$9="Heliopause",POWER(Upgrades!$U$9,H320),1)*IF(Upgrades!$T$10="Heliopause",POWER(Upgrades!$U$10,I320),1)*IF(Upgrades!$T$12="Heliopause",POWER(Upgrades!$U$12,K320),1))+(IF(K320=0,0,(Upgrades!$G$12+K320*Upgrades!$H$12)*POWER(Upgrades!$I$12,K320)))*(IF(Upgrades!$T$6="First Photons",POWER(Upgrades!$U$6,E320),1)*IF(Upgrades!$T$7="First Photons",POWER(Upgrades!$U$7,F320),1)*IF(Upgrades!$T$8="First Photons",POWER(Upgrades!$U$8,G320),1)*IF(Upgrades!$T$9="First Photons",POWER(Upgrades!$U$9,H320),1)*IF(Upgrades!$T$10="First Photons",POWER(Upgrades!$U$10,I320),1)*IF(Upgrades!$T$11="First Photons",POWER(Upgrades!$U$11,J320),1)))*POWER(Upgrades!$P$6,E320)*POWER(Upgrades!$P$7,F320)*POWER(Upgrades!$P$8,G320)*POWER(Upgrades!$P$9,H320)*POWER(Upgrades!$P$10,I320)*POWER(Upgrades!$P$11,J320)*POWER(Upgrades!$P$12,K320)</f>
        <v>11.2</v>
      </c>
      <c r="O320" s="28" t="n">
        <f aca="false">((IF(E320=0,0,(Upgrades!$M$6+E320*Upgrades!$N$6)*POWER(Upgrades!$O$6,E320)))*(IF(Upgrades!$T$7="Solar Wind",POWER(Upgrades!$U$7,F320),1)*IF(Upgrades!$T$8="Solar Wind",POWER(Upgrades!$U$8,G320),1)*IF(Upgrades!$T$9="Solar Wind",POWER(Upgrades!$U$9,H320),1)*IF(Upgrades!$T$10="Solar Wind",POWER(Upgrades!$U$10,I320),1)*IF(Upgrades!$T$11="Solar Wind",POWER(Upgrades!$U$11,J320),1)*IF(Upgrades!$T$12="Solar Wind",POWER(Upgrades!$U$12,K320),1))+(IF(F320=0,0,(Upgrades!$M$7+F320*Upgrades!$N$7)*POWER(Upgrades!$O$7,F320)))*(IF(Upgrades!$T$6="Asteroid Belt",POWER(Upgrades!$U$6,E320),1)*IF(Upgrades!$T$8="Asteroid Belt",POWER(Upgrades!$U$8,G320),1)*IF(Upgrades!$T$9="Asteroid Belt",POWER(Upgrades!$U$9,H320),1)*IF(Upgrades!$T$10="Asteroid Belt",POWER(Upgrades!$U$10,I320),1)*IF(Upgrades!$T$11="Asteroid Belt",POWER(Upgrades!$U$11,J320),1)*IF(Upgrades!$T$12="Asteroid Belt",POWER(Upgrades!$U$12,K320),1))+(IF(G320=0,0,(Upgrades!$M$8+G320*Upgrades!$N$8)*POWER(Upgrades!$O$8,G320)))*(IF(Upgrades!$T$6="Stellar Coupling",POWER(Upgrades!$U$6,E320),1)*IF(Upgrades!$T$7="Stellar Coupling",POWER(Upgrades!$U$7,F320),1)*IF(Upgrades!$T$9="Stellar Coupling",POWER(Upgrades!$U$9,H320),1)*IF(Upgrades!$T$10="Stellar Coupling",POWER(Upgrades!$U$10,I320),1)*IF(Upgrades!$T$11="Stellar Coupling",POWER(Upgrades!$U$11,J320),1)*IF(Upgrades!$T$12="Stellar Coupling",POWER(Upgrades!$U$12,K320),1))+(IF(H320=0,0,(Upgrades!$M$9+H320*Upgrades!$N$9)*POWER(Upgrades!$O$9,H320)))*(IF(Upgrades!$T$6="Magnetosphere",POWER(Upgrades!$U$6,E320),1)*IF(Upgrades!$T$7="Magnetosphere",POWER(Upgrades!$U$7,F320),1)*IF(Upgrades!$T$8="Magnetosphere",POWER(Upgrades!$U$8,G320),1)*IF(Upgrades!$T$10="Magnetosphere",POWER(Upgrades!$U$10,I320),1)*IF(Upgrades!$T$11="Magnetosphere",POWER(Upgrades!$U$11,J320),1)*IF(Upgrades!$T$12="Magnetosphere",POWER(Upgrades!$U$12,K320),1))+(IF(I320=0,0,(Upgrades!$M$10+I320*Upgrades!$N$10)*POWER(Upgrades!$O$10,I320)))*(IF(Upgrades!$T$6="Orbital Resonance",POWER(Upgrades!$U$6,E320),1)*IF(Upgrades!$T$7="Orbital Resonance",POWER(Upgrades!$U$7,F320),1)*IF(Upgrades!$T$8="Orbital Resonance",POWER(Upgrades!$U$8,G320),1)*IF(Upgrades!$T$9="Orbital Resonance",POWER(Upgrades!$U$9,H320),1)*IF(Upgrades!$T$11="Orbital Resonance",POWER(Upgrades!$U$11,J320),1)*IF(Upgrades!$T$12="Orbital Resonance",POWER(Upgrades!$U$12,K320),1))+(IF(J320=0,0,(Upgrades!$M$11+J320*Upgrades!$N$11)*POWER(Upgrades!$O$11,J320)))*(IF(Upgrades!$T$6="Heliopause",POWER(Upgrades!$U$6,E320),1)*IF(Upgrades!$T$7="Heliopause",POWER(Upgrades!$U$7,F320),1)*IF(Upgrades!$T$8="Heliopause",POWER(Upgrades!$U$8,G320),1)*IF(Upgrades!$T$9="Heliopause",POWER(Upgrades!$U$9,H320),1)*IF(Upgrades!$T$10="Heliopause",POWER(Upgrades!$U$10,I320),1)*IF(Upgrades!$T$12="Heliopause",POWER(Upgrades!$U$12,K320),1))+(IF(K320=0,0,(Upgrades!$M$12+K320*Upgrades!$N$12)*POWER(Upgrades!$O$12,K320)))*(IF(Upgrades!$T$6="First Photons",POWER(Upgrades!$U$6,E320),1)*IF(Upgrades!$T$7="First Photons",POWER(Upgrades!$U$7,F320),1)*IF(Upgrades!$T$8="First Photons",POWER(Upgrades!$U$8,G320),1)*IF(Upgrades!$T$9="First Photons",POWER(Upgrades!$U$9,H320),1)*IF(Upgrades!$T$10="First Photons",POWER(Upgrades!$U$10,I320),1)*IF(Upgrades!$T$11="First Photons",POWER(Upgrades!$U$11,J320),1)))*POWER(Upgrades!$R$6,E320)*POWER(Upgrades!$R$7,F320)*POWER(Upgrades!$R$8,G320)*POWER(Upgrades!$R$9,H320)*POWER(Upgrades!$R$10,I320)*POWER(Upgrades!$R$11,J320)*POWER(Upgrades!$R$12,K320)</f>
        <v>0</v>
      </c>
      <c r="P320" s="27" t="n">
        <f aca="false">IF(L320=1,0,M320*Parameters!$B$10/60*Parameters!$B$11*10)</f>
        <v>0</v>
      </c>
      <c r="Q320" s="27" t="n">
        <f aca="false">IF(L320=1,0,O320*M320*10)</f>
        <v>0</v>
      </c>
      <c r="R320" s="27" t="n">
        <f aca="false">IF(L320=1,0,N320*10)</f>
        <v>0</v>
      </c>
      <c r="S320" s="27" t="n">
        <f aca="false">P320+Q320+R320</f>
        <v>0</v>
      </c>
      <c r="T320" s="21" t="n">
        <f aca="false">C320+S320</f>
        <v>18.6730249835055</v>
      </c>
      <c r="U320" s="34" t="str">
        <f aca="false">AX320</f>
        <v/>
      </c>
      <c r="V320" s="21" t="n">
        <f aca="false">IF(U320="",0,IF(U320="transition",0,IF(U320="SW",AG320,IF(U320="AB",AH320,IF(U320="SC",AI320,IF(U320="Mag",AJ320,IF(U320="OR",AK320,IF(U320="HP",AL320,IF(U320="FP",AM320,0)))))))))</f>
        <v>0</v>
      </c>
      <c r="W320" s="27" t="n">
        <f aca="false">IF(U320="OR",Upgrades!$F$10,IF(U320="HP",Upgrades!$F$11,IF(U320="transition",-Parameters!$B$18,0)))</f>
        <v>0</v>
      </c>
      <c r="X320" s="21" t="n">
        <f aca="false">T320-V320</f>
        <v>18.6730249835055</v>
      </c>
      <c r="Y320" s="30" t="n">
        <f aca="false">M320*Parameters!$B$10/60*Parameters!$B$11+O320*M320+N320</f>
        <v>20.55</v>
      </c>
      <c r="Z320" s="35" t="str">
        <f aca="false">IF(U320="transition","→ Tier 2 (Stellar Neighborhood)",IF(U320="FP","First Photons — light begins, system quickens",IF(U320="HP","Heliopause acquired",IF(U320="OR","Orbital Resonance — passive multiplier active",IF(AND(AO320=1,L320=0,AN320&lt;&gt;1),"Cohesion ready (waiting on completionist upgrades)","")))))</f>
        <v/>
      </c>
      <c r="AA320" s="27" t="n">
        <f aca="false">(IF(E320=0,0,(Upgrades!$G$6+E320*Upgrades!$H$6)*POWER(Upgrades!$I$6,E320)))*(IF(Upgrades!$T$7="Solar Wind",POWER(Upgrades!$U$7,F320),1)*IF(Upgrades!$T$8="Solar Wind",POWER(Upgrades!$U$8,G320),1)*IF(Upgrades!$T$9="Solar Wind",POWER(Upgrades!$U$9,H320),1)*IF(Upgrades!$T$10="Solar Wind",POWER(Upgrades!$U$10,I320),1)*IF(Upgrades!$T$11="Solar Wind",POWER(Upgrades!$U$11,J320),1)*IF(Upgrades!$T$12="Solar Wind",POWER(Upgrades!$U$12,K320),1))*POWER(Upgrades!$P$6,E320)*POWER(Upgrades!$P$7,F320)*POWER(Upgrades!$P$8,G320)*POWER(Upgrades!$P$9,H320)*POWER(Upgrades!$P$10,I320)*POWER(Upgrades!$P$11,J320)*POWER(Upgrades!$P$12,K320)*60</f>
        <v>72</v>
      </c>
      <c r="AB320" s="27" t="n">
        <f aca="false">(IF(F320=0,0,(Upgrades!$G$7+F320*Upgrades!$H$7)*POWER(Upgrades!$I$7,F320)))*(IF(Upgrades!$T$6="Asteroid Belt",POWER(Upgrades!$U$6,E320),1)*IF(Upgrades!$T$8="Asteroid Belt",POWER(Upgrades!$U$8,G320),1)*IF(Upgrades!$T$9="Asteroid Belt",POWER(Upgrades!$U$9,H320),1)*IF(Upgrades!$T$10="Asteroid Belt",POWER(Upgrades!$U$10,I320),1)*IF(Upgrades!$T$11="Asteroid Belt",POWER(Upgrades!$U$11,J320),1)*IF(Upgrades!$T$12="Asteroid Belt",POWER(Upgrades!$U$12,K320),1))*POWER(Upgrades!$P$6,E320)*POWER(Upgrades!$P$7,F320)*POWER(Upgrades!$P$8,G320)*POWER(Upgrades!$P$9,H320)*POWER(Upgrades!$P$10,I320)*POWER(Upgrades!$P$11,J320)*POWER(Upgrades!$P$12,K320)*60</f>
        <v>150</v>
      </c>
      <c r="AC320" s="27" t="n">
        <f aca="false">(IF(G320=0,0,(Upgrades!$J$8+G320*Upgrades!$K$8)*POWER(Upgrades!$L$8,G320)))*(IF(Upgrades!$T$6="Stellar Coupling",POWER(Upgrades!$U$6,E320),1)*IF(Upgrades!$T$7="Stellar Coupling",POWER(Upgrades!$U$7,F320),1)*IF(Upgrades!$T$9="Stellar Coupling",POWER(Upgrades!$U$9,H320),1)*IF(Upgrades!$T$10="Stellar Coupling",POWER(Upgrades!$U$10,I320),1)*IF(Upgrades!$T$11="Stellar Coupling",POWER(Upgrades!$U$11,J320),1)*IF(Upgrades!$T$12="Stellar Coupling",POWER(Upgrades!$U$12,K320),1))*POWER(Upgrades!$Q$6,E320)*POWER(Upgrades!$Q$7,F320)*POWER(Upgrades!$Q$8,G320)*POWER(Upgrades!$Q$9,H320)*POWER(Upgrades!$Q$10,I320)*POWER(Upgrades!$Q$11,J320)*POWER(Upgrades!$Q$12,K320)*Parameters!$B$10*Parameters!$B$11</f>
        <v>441</v>
      </c>
      <c r="AD320" s="27" t="n">
        <f aca="false">(IF(H320=0,0,(Upgrades!$G$9+H320*Upgrades!$H$9)*POWER(Upgrades!$I$9,H320)))*(IF(Upgrades!$T$6="Magnetosphere",POWER(Upgrades!$U$6,E320),1)*IF(Upgrades!$T$7="Magnetosphere",POWER(Upgrades!$U$7,F320),1)*IF(Upgrades!$T$8="Magnetosphere",POWER(Upgrades!$U$8,G320),1)*IF(Upgrades!$T$10="Magnetosphere",POWER(Upgrades!$U$10,I320),1)*IF(Upgrades!$T$11="Magnetosphere",POWER(Upgrades!$U$11,J320),1)*IF(Upgrades!$T$12="Magnetosphere",POWER(Upgrades!$U$12,K320),1))*POWER(Upgrades!$P$6,E320)*POWER(Upgrades!$P$7,F320)*POWER(Upgrades!$P$8,G320)*POWER(Upgrades!$P$9,H320)*POWER(Upgrades!$P$10,I320)*POWER(Upgrades!$P$11,J320)*POWER(Upgrades!$P$12,K320)*60</f>
        <v>375</v>
      </c>
      <c r="AE320" s="27" t="n">
        <f aca="false">(IF(K320=0,0,(Upgrades!$G$12+K320*Upgrades!$H$12)*POWER(Upgrades!$I$12,K320)))*(IF(Upgrades!$T$6="First Photons",POWER(Upgrades!$U$6,E320),1)*IF(Upgrades!$T$7="First Photons",POWER(Upgrades!$U$7,F320),1)*IF(Upgrades!$T$8="First Photons",POWER(Upgrades!$U$8,G320),1)*IF(Upgrades!$T$9="First Photons",POWER(Upgrades!$U$9,H320),1)*IF(Upgrades!$T$10="First Photons",POWER(Upgrades!$U$10,I320),1)*IF(Upgrades!$T$11="First Photons",POWER(Upgrades!$U$11,J320),1))*POWER(Upgrades!$P$6,E320)*POWER(Upgrades!$P$7,F320)*POWER(Upgrades!$P$8,G320)*POWER(Upgrades!$P$9,H320)*POWER(Upgrades!$P$10,I320)*POWER(Upgrades!$P$11,J320)*POWER(Upgrades!$P$12,K320)*60</f>
        <v>75</v>
      </c>
      <c r="AF320" s="27" t="n">
        <f aca="false">Parameters!$B$9*POWER(Upgrades!$Q$6,E320)*POWER(Upgrades!$Q$7,F320)*POWER(Upgrades!$Q$8,G320)*POWER(Upgrades!$Q$9,H320)*POWER(Upgrades!$Q$10,I320)*POWER(Upgrades!$Q$11,J320)*POWER(Upgrades!$Q$12,K320)*(Parameters!$B$10*Parameters!$B$11+O320*60)</f>
        <v>120</v>
      </c>
      <c r="AG320" s="21" t="n">
        <f aca="false">IF(E320&gt;=Upgrades!$E$6,"",Upgrades!$C$6*POWER(Upgrades!$D$6,E320))</f>
        <v>37.4517507383159</v>
      </c>
      <c r="AH320" s="21" t="n">
        <f aca="false">IF(F320&gt;=Upgrades!$E$7,"",Upgrades!$C$7*POWER(Upgrades!$D$7,F320))</f>
        <v>80.9111547141581</v>
      </c>
      <c r="AI320" s="21" t="n">
        <f aca="false">IF(G320&gt;=Upgrades!$E$8,"",Upgrades!$C$8*POWER(Upgrades!$D$8,G320))</f>
        <v>231.9097088</v>
      </c>
      <c r="AJ320" s="21" t="str">
        <f aca="false">IF(H320&gt;=Upgrades!$E$9,"",Upgrades!$C$9*POWER(Upgrades!$D$9,H320))</f>
        <v/>
      </c>
      <c r="AK320" s="21" t="str">
        <f aca="false">IF(I320&gt;=Upgrades!$E$10,"",Upgrades!$C$10*POWER(Upgrades!$D$10,I320))</f>
        <v/>
      </c>
      <c r="AL320" s="21" t="str">
        <f aca="false">IF(J320&gt;=Upgrades!$E$11,"",Upgrades!$C$11*POWER(Upgrades!$D$11,J320))</f>
        <v/>
      </c>
      <c r="AM320" s="21" t="str">
        <f aca="false">IF(K320&gt;=Upgrades!$E$12,"",Upgrades!$C$12*POWER(Upgrades!$D$12,K320))</f>
        <v/>
      </c>
      <c r="AN320" s="26" t="str">
        <f aca="false">IF(AND(D320&gt;=Parameters!$B$18,(H320&gt;=Upgrades!$E$9)*(K320&gt;=Upgrades!$E$12)=1,L320=0),1,"")</f>
        <v/>
      </c>
      <c r="AO320" s="26" t="str">
        <f aca="false">IF(AND(D320&gt;=Parameters!$B$18,L320=0),1,"")</f>
        <v/>
      </c>
      <c r="AP320" s="21" t="n">
        <f aca="false">MIN(IF(ISNUMBER(AK320),AK320,9000000000000000),IF(ISNUMBER(AL320),AL320,9000000000000000),IF(ISNUMBER(AM320),AM320,9000000000000000))</f>
        <v>9000000000000000</v>
      </c>
      <c r="AQ320" s="21" t="n">
        <f aca="false">MIN(IF(ISNUMBER(AG320),AG320,9000000000000000),IF(ISNUMBER(AH320),AH320,9000000000000000),IF(ISNUMBER(AI320),AI320,9000000000000000),IF(ISNUMBER(AJ320),AJ320,9000000000000000))</f>
        <v>37.4517507383159</v>
      </c>
      <c r="AR320" s="32" t="b">
        <f aca="false">IF(AW320&gt;Parameters!$B$21*(MAX(IF(AND(NOT(AND(AO320=1,AN320&lt;&gt;1)),ISNUMBER(AG320),AG320&lt;=T320),AS320,0),IF(AND(NOT(AND(AO320=1,AN320&lt;&gt;1)),ISNUMBER(AH320),AH320&lt;=T320),AT320,0),IF(AND(NOT(AND(AO320=1,AN320&lt;&gt;1)),ISNUMBER(AI320),AI320&lt;=T320),AU320,0),IF(AND(ISNUMBER(AJ320),AJ320&lt;=T320),AV320,0))),TRUE(),FALSE())</f>
        <v>1</v>
      </c>
      <c r="AS320" s="33" t="n">
        <f aca="false">IFERROR(Upgrades!$H$6*(POWER(Upgrades!$P$6,E320)*POWER(Upgrades!$P$7,F320)*POWER(Upgrades!$P$8,G320)*POWER(Upgrades!$P$9,H320)*POWER(Upgrades!$P$10,I320)*POWER(Upgrades!$P$11,J320)*POWER(Upgrades!$P$12,K320))*(IF(Upgrades!$T$7="Solar Wind",POWER(Upgrades!$U$7,F320),1)*IF(Upgrades!$T$8="Solar Wind",POWER(Upgrades!$U$8,G320),1)*IF(Upgrades!$T$9="Solar Wind",POWER(Upgrades!$U$9,H320),1)*IF(Upgrades!$T$10="Solar Wind",POWER(Upgrades!$U$10,I320),1)*IF(Upgrades!$T$11="Solar Wind",POWER(Upgrades!$U$11,J320),1)*IF(Upgrades!$T$12="Solar Wind",POWER(Upgrades!$U$12,K320),1))/AG320,0)</f>
        <v>0.0026701021455238</v>
      </c>
      <c r="AT320" s="33" t="n">
        <f aca="false">IFERROR(Upgrades!$H$7*(POWER(Upgrades!$P$6,E320)*POWER(Upgrades!$P$7,F320)*POWER(Upgrades!$P$8,G320)*POWER(Upgrades!$P$9,H320)*POWER(Upgrades!$P$10,I320)*POWER(Upgrades!$P$11,J320)*POWER(Upgrades!$P$12,K320))*(IF(Upgrades!$T$6="Asteroid Belt",POWER(Upgrades!$U$6,E320),1)*IF(Upgrades!$T$8="Asteroid Belt",POWER(Upgrades!$U$8,G320),1)*IF(Upgrades!$T$9="Asteroid Belt",POWER(Upgrades!$U$9,H320),1)*IF(Upgrades!$T$10="Asteroid Belt",POWER(Upgrades!$U$10,I320),1)*IF(Upgrades!$T$11="Asteroid Belt",POWER(Upgrades!$U$11,J320),1)*IF(Upgrades!$T$12="Asteroid Belt",POWER(Upgrades!$U$12,K320),1))/AH320,0)</f>
        <v>0.00308980882652332</v>
      </c>
      <c r="AU320" s="33" t="n">
        <f aca="false">IFERROR(Upgrades!$K$8*(POWER(Upgrades!$Q$6,E320)*POWER(Upgrades!$Q$7,F320)*POWER(Upgrades!$Q$8,G320)*POWER(Upgrades!$Q$9,H320)*POWER(Upgrades!$Q$10,I320)*POWER(Upgrades!$Q$11,J320)*POWER(Upgrades!$Q$12,K320))*(IF(Upgrades!$T$6="Stellar Coupling",POWER(Upgrades!$U$6,E320),1)*IF(Upgrades!$T$7="Stellar Coupling",POWER(Upgrades!$U$7,F320),1)*IF(Upgrades!$T$9="Stellar Coupling",POWER(Upgrades!$U$9,H320),1)*IF(Upgrades!$T$10="Stellar Coupling",POWER(Upgrades!$U$10,I320),1)*IF(Upgrades!$T$11="Stellar Coupling",POWER(Upgrades!$U$11,J320),1)*IF(Upgrades!$T$12="Stellar Coupling",POWER(Upgrades!$U$12,K320),1))*Parameters!$B$10*Parameters!$B$11/60/AI320,0)</f>
        <v>0.00452762415783776</v>
      </c>
      <c r="AV320" s="33" t="n">
        <f aca="false">IFERROR(Upgrades!$H$9*(POWER(Upgrades!$P$6,E320)*POWER(Upgrades!$P$7,F320)*POWER(Upgrades!$P$8,G320)*POWER(Upgrades!$P$9,H320)*POWER(Upgrades!$P$10,I320)*POWER(Upgrades!$P$11,J320)*POWER(Upgrades!$P$12,K320))*(IF(Upgrades!$T$6="Magnetosphere",POWER(Upgrades!$U$6,E320),1)*IF(Upgrades!$T$7="Magnetosphere",POWER(Upgrades!$U$7,F320),1)*IF(Upgrades!$T$8="Magnetosphere",POWER(Upgrades!$U$8,G320),1)*IF(Upgrades!$T$10="Magnetosphere",POWER(Upgrades!$U$10,I320),1)*IF(Upgrades!$T$11="Magnetosphere",POWER(Upgrades!$U$11,J320),1)*IF(Upgrades!$T$12="Magnetosphere",POWER(Upgrades!$U$12,K320),1))/AJ320,0)</f>
        <v>0</v>
      </c>
      <c r="AW320" s="33" t="n">
        <f aca="false">MAX(IF(I320&gt;0,0,IFERROR(0.25*N320/Upgrades!$C$10,0)),IF(J320&gt;0,0,IFERROR(0.5*((IF(G320=0,0,(Upgrades!$J$8+G320*Upgrades!$K$8)*POWER(Upgrades!$L$8,G320)))*(IF(Upgrades!$T$6="Stellar Coupling",POWER(Upgrades!$U$6,E320),1)*IF(Upgrades!$T$7="Stellar Coupling",POWER(Upgrades!$U$7,F320),1)*IF(Upgrades!$T$9="Stellar Coupling",POWER(Upgrades!$U$9,H320),1)*IF(Upgrades!$T$10="Stellar Coupling",POWER(Upgrades!$U$10,I320),1)*IF(Upgrades!$T$11="Stellar Coupling",POWER(Upgrades!$U$11,J320),1)*IF(Upgrades!$T$12="Stellar Coupling",POWER(Upgrades!$U$12,K320),1))*(POWER(Upgrades!$Q$6,E320)*POWER(Upgrades!$Q$7,F320)*POWER(Upgrades!$Q$8,G320)*POWER(Upgrades!$Q$9,H320)*POWER(Upgrades!$Q$10,I320)*POWER(Upgrades!$Q$11,J320)*POWER(Upgrades!$Q$12,K320))*Parameters!$B$10*Parameters!$B$11/60)/Upgrades!$C$11,0)),IF(K320&gt;0,0,IFERROR((1*(POWER(Upgrades!$P$6,E320)*POWER(Upgrades!$P$7,F320)*POWER(Upgrades!$P$8,G320)*POWER(Upgrades!$P$9,H320)*POWER(Upgrades!$P$10,I320)*POWER(Upgrades!$P$11,J320)*POWER(Upgrades!$P$12,K320))+0.2*M320*Parameters!$B$10*Parameters!$B$11/60)/Upgrades!$C$12,0)),IF(AND(ISNUMBER(AG320),AG320&gt;T320),AS320,0),IF(AND(ISNUMBER(AH320),AH320&gt;T320),AT320,0),IF(AND(ISNUMBER(AI320),AI320&gt;T320),AU320,0),IF(AND(ISNUMBER(AJ320),AJ320&gt;T320),AV320,0))</f>
        <v>0.00452762415783776</v>
      </c>
      <c r="AX320" s="29" t="str">
        <f aca="false">IF(AN320=1,"transition",IF(MIN(IF(AND(I320=0,ISNUMBER(AK320),AK320&lt;=T320),AK320,9000000000000000),IF(AND(J320=0,ISNUMBER(AL320),AL320&lt;=T320),AL320,9000000000000000),IF(AND(K320=0,ISNUMBER(AM320),AM320&lt;=T320),AM320,9000000000000000))&lt;9000000000000000,IF(AND(AND(I320=0,ISNUMBER(AK320),AK320&lt;=T320),AK320=MIN(IF(AND(I320=0,ISNUMBER(AK320),AK320&lt;=T320),AK320,9000000000000000),IF(AND(J320=0,ISNUMBER(AL320),AL320&lt;=T320),AL320,9000000000000000),IF(AND(K320=0,ISNUMBER(AM320),AM320&lt;=T320),AM320,9000000000000000))),"OR",IF(AND(AND(J320=0,ISNUMBER(AL320),AL320&lt;=T320),AL320=MIN(IF(AND(I320=0,ISNUMBER(AK320),AK320&lt;=T320),AK320,9000000000000000),IF(AND(J320=0,ISNUMBER(AL320),AL320&lt;=T320),AL320,9000000000000000),IF(AND(K320=0,ISNUMBER(AM320),AM320&lt;=T320),AM320,9000000000000000))),"HP","FP")),IF(AR320=TRUE(),"",IF(MAX(IF(AND(NOT(AND(AO320=1,AN320&lt;&gt;1)),ISNUMBER(AG320),AG320&lt;=T320),AS320,0),IF(AND(NOT(AND(AO320=1,AN320&lt;&gt;1)),ISNUMBER(AH320),AH320&lt;=T320),AT320,0),IF(AND(NOT(AND(AO320=1,AN320&lt;&gt;1)),ISNUMBER(AI320),AI320&lt;=T320),AU320,0),IF(AND(ISNUMBER(AJ320),AJ320&lt;=T320),AV320,0))&lt;=0,"",IF(AND(IF(AND(NOT(AND(AO320=1,AN320&lt;&gt;1)),ISNUMBER(AG320),AG320&lt;=T320),AS320,0)&gt;0,IF(AND(NOT(AND(AO320=1,AN320&lt;&gt;1)),ISNUMBER(AG320),AG320&lt;=T320),AS320,0)=MAX(IF(AND(NOT(AND(AO320=1,AN320&lt;&gt;1)),ISNUMBER(AG320),AG320&lt;=T320),AS320,0),IF(AND(NOT(AND(AO320=1,AN320&lt;&gt;1)),ISNUMBER(AH320),AH320&lt;=T320),AT320,0),IF(AND(NOT(AND(AO320=1,AN320&lt;&gt;1)),ISNUMBER(AI320),AI320&lt;=T320),AU320,0),IF(AND(ISNUMBER(AJ320),AJ320&lt;=T320),AV320,0))),"SW",IF(AND(IF(AND(NOT(AND(AO320=1,AN320&lt;&gt;1)),ISNUMBER(AH320),AH320&lt;=T320),AT320,0)&gt;0,IF(AND(NOT(AND(AO320=1,AN320&lt;&gt;1)),ISNUMBER(AH320),AH320&lt;=T320),AT320,0)=MAX(IF(AND(NOT(AND(AO320=1,AN320&lt;&gt;1)),ISNUMBER(AG320),AG320&lt;=T320),AS320,0),IF(AND(NOT(AND(AO320=1,AN320&lt;&gt;1)),ISNUMBER(AH320),AH320&lt;=T320),AT320,0),IF(AND(NOT(AND(AO320=1,AN320&lt;&gt;1)),ISNUMBER(AI320),AI320&lt;=T320),AU320,0),IF(AND(ISNUMBER(AJ320),AJ320&lt;=T320),AV320,0))),"AB",IF(AND(IF(AND(NOT(AND(AO320=1,AN320&lt;&gt;1)),ISNUMBER(AI320),AI320&lt;=T320),AU320,0)&gt;0,IF(AND(NOT(AND(AO320=1,AN320&lt;&gt;1)),ISNUMBER(AI320),AI320&lt;=T320),AU320,0)=MAX(IF(AND(NOT(AND(AO320=1,AN320&lt;&gt;1)),ISNUMBER(AG320),AG320&lt;=T320),AS320,0),IF(AND(NOT(AND(AO320=1,AN320&lt;&gt;1)),ISNUMBER(AH320),AH320&lt;=T320),AT320,0),IF(AND(NOT(AND(AO320=1,AN320&lt;&gt;1)),ISNUMBER(AI320),AI320&lt;=T320),AU320,0),IF(AND(ISNUMBER(AJ320),AJ320&lt;=T320),AV320,0))),"SC","Mag")))))))</f>
        <v/>
      </c>
    </row>
    <row r="321" customFormat="false" ht="15" hidden="false" customHeight="false" outlineLevel="0" collapsed="false">
      <c r="A321" s="26" t="n">
        <v>316</v>
      </c>
      <c r="B321" s="27" t="n">
        <f aca="false">A321*10/60</f>
        <v>52.6666666666667</v>
      </c>
      <c r="C321" s="21" t="n">
        <f aca="false">X320</f>
        <v>18.6730249835055</v>
      </c>
      <c r="D321" s="27" t="n">
        <f aca="false">D320+W320</f>
        <v>0</v>
      </c>
      <c r="E321" s="26" t="n">
        <f aca="false">E320+IF(U320="SW",1,0)</f>
        <v>12</v>
      </c>
      <c r="F321" s="26" t="n">
        <f aca="false">F320+IF(U320="AB",1,0)</f>
        <v>10</v>
      </c>
      <c r="G321" s="26" t="n">
        <f aca="false">G320+IF(U320="SC",1,0)</f>
        <v>7</v>
      </c>
      <c r="H321" s="26" t="n">
        <f aca="false">H320+IF(U320="Mag",1,0)</f>
        <v>5</v>
      </c>
      <c r="I321" s="26" t="n">
        <f aca="false">MAX(I320,IF(U320="OR",1,0))</f>
        <v>1</v>
      </c>
      <c r="J321" s="26" t="n">
        <f aca="false">MAX(J320,IF(U320="HP",1,0))</f>
        <v>1</v>
      </c>
      <c r="K321" s="26" t="n">
        <f aca="false">MAX(K320,IF(U320="FP",1,0))</f>
        <v>1</v>
      </c>
      <c r="L321" s="26" t="n">
        <f aca="false">MAX(L320,IF(U320="transition",1,0))</f>
        <v>1</v>
      </c>
      <c r="M321" s="28" t="n">
        <f aca="false">(Parameters!$B$9+(IF(E321=0,0,(Upgrades!$J$6+E321*Upgrades!$K$6)*POWER(Upgrades!$L$6,E321)))*(IF(Upgrades!$T$7="Solar Wind",POWER(Upgrades!$U$7,F321),1)*IF(Upgrades!$T$8="Solar Wind",POWER(Upgrades!$U$8,G321),1)*IF(Upgrades!$T$9="Solar Wind",POWER(Upgrades!$U$9,H321),1)*IF(Upgrades!$T$10="Solar Wind",POWER(Upgrades!$U$10,I321),1)*IF(Upgrades!$T$11="Solar Wind",POWER(Upgrades!$U$11,J321),1)*IF(Upgrades!$T$12="Solar Wind",POWER(Upgrades!$U$12,K321),1))+(IF(F321=0,0,(Upgrades!$J$7+F321*Upgrades!$K$7)*POWER(Upgrades!$L$7,F321)))*(IF(Upgrades!$T$6="Asteroid Belt",POWER(Upgrades!$U$6,E321),1)*IF(Upgrades!$T$8="Asteroid Belt",POWER(Upgrades!$U$8,G321),1)*IF(Upgrades!$T$9="Asteroid Belt",POWER(Upgrades!$U$9,H321),1)*IF(Upgrades!$T$10="Asteroid Belt",POWER(Upgrades!$U$10,I321),1)*IF(Upgrades!$T$11="Asteroid Belt",POWER(Upgrades!$U$11,J321),1)*IF(Upgrades!$T$12="Asteroid Belt",POWER(Upgrades!$U$12,K321),1))+(IF(G321=0,0,(Upgrades!$J$8+G321*Upgrades!$K$8)*POWER(Upgrades!$L$8,G321)))*(IF(Upgrades!$T$6="Stellar Coupling",POWER(Upgrades!$U$6,E321),1)*IF(Upgrades!$T$7="Stellar Coupling",POWER(Upgrades!$U$7,F321),1)*IF(Upgrades!$T$9="Stellar Coupling",POWER(Upgrades!$U$9,H321),1)*IF(Upgrades!$T$10="Stellar Coupling",POWER(Upgrades!$U$10,I321),1)*IF(Upgrades!$T$11="Stellar Coupling",POWER(Upgrades!$U$11,J321),1)*IF(Upgrades!$T$12="Stellar Coupling",POWER(Upgrades!$U$12,K321),1))+(IF(H321=0,0,(Upgrades!$J$9+H321*Upgrades!$K$9)*POWER(Upgrades!$L$9,H321)))*(IF(Upgrades!$T$6="Magnetosphere",POWER(Upgrades!$U$6,E321),1)*IF(Upgrades!$T$7="Magnetosphere",POWER(Upgrades!$U$7,F321),1)*IF(Upgrades!$T$8="Magnetosphere",POWER(Upgrades!$U$8,G321),1)*IF(Upgrades!$T$10="Magnetosphere",POWER(Upgrades!$U$10,I321),1)*IF(Upgrades!$T$11="Magnetosphere",POWER(Upgrades!$U$11,J321),1)*IF(Upgrades!$T$12="Magnetosphere",POWER(Upgrades!$U$12,K321),1))+(IF(I321=0,0,(Upgrades!$J$10+I321*Upgrades!$K$10)*POWER(Upgrades!$L$10,I321)))*(IF(Upgrades!$T$6="Orbital Resonance",POWER(Upgrades!$U$6,E321),1)*IF(Upgrades!$T$7="Orbital Resonance",POWER(Upgrades!$U$7,F321),1)*IF(Upgrades!$T$8="Orbital Resonance",POWER(Upgrades!$U$8,G321),1)*IF(Upgrades!$T$9="Orbital Resonance",POWER(Upgrades!$U$9,H321),1)*IF(Upgrades!$T$11="Orbital Resonance",POWER(Upgrades!$U$11,J321),1)*IF(Upgrades!$T$12="Orbital Resonance",POWER(Upgrades!$U$12,K321),1))+(IF(J321=0,0,(Upgrades!$J$11+J321*Upgrades!$K$11)*POWER(Upgrades!$L$11,J321)))*(IF(Upgrades!$T$6="Heliopause",POWER(Upgrades!$U$6,E321),1)*IF(Upgrades!$T$7="Heliopause",POWER(Upgrades!$U$7,F321),1)*IF(Upgrades!$T$8="Heliopause",POWER(Upgrades!$U$8,G321),1)*IF(Upgrades!$T$9="Heliopause",POWER(Upgrades!$U$9,H321),1)*IF(Upgrades!$T$10="Heliopause",POWER(Upgrades!$U$10,I321),1)*IF(Upgrades!$T$12="Heliopause",POWER(Upgrades!$U$12,K321),1))+(IF(K321=0,0,(Upgrades!$J$12+K321*Upgrades!$K$12)*POWER(Upgrades!$L$12,K321)))*(IF(Upgrades!$T$6="First Photons",POWER(Upgrades!$U$6,E321),1)*IF(Upgrades!$T$7="First Photons",POWER(Upgrades!$U$7,F321),1)*IF(Upgrades!$T$8="First Photons",POWER(Upgrades!$U$8,G321),1)*IF(Upgrades!$T$9="First Photons",POWER(Upgrades!$U$9,H321),1)*IF(Upgrades!$T$10="First Photons",POWER(Upgrades!$U$10,I321),1)*IF(Upgrades!$T$11="First Photons",POWER(Upgrades!$U$11,J321),1)))*POWER(Upgrades!$Q$6,E321)*POWER(Upgrades!$Q$7,F321)*POWER(Upgrades!$Q$8,G321)*POWER(Upgrades!$Q$9,H321)*POWER(Upgrades!$Q$10,I321)*POWER(Upgrades!$Q$11,J321)*POWER(Upgrades!$Q$12,K321)</f>
        <v>5.61</v>
      </c>
      <c r="N321" s="28" t="n">
        <f aca="false">((IF(E321=0,0,(Upgrades!$G$6+E321*Upgrades!$H$6)*POWER(Upgrades!$I$6,E321)))*(IF(Upgrades!$T$7="Solar Wind",POWER(Upgrades!$U$7,F321),1)*IF(Upgrades!$T$8="Solar Wind",POWER(Upgrades!$U$8,G321),1)*IF(Upgrades!$T$9="Solar Wind",POWER(Upgrades!$U$9,H321),1)*IF(Upgrades!$T$10="Solar Wind",POWER(Upgrades!$U$10,I321),1)*IF(Upgrades!$T$11="Solar Wind",POWER(Upgrades!$U$11,J321),1)*IF(Upgrades!$T$12="Solar Wind",POWER(Upgrades!$U$12,K321),1))+(IF(F321=0,0,(Upgrades!$G$7+F321*Upgrades!$H$7)*POWER(Upgrades!$I$7,F321)))*(IF(Upgrades!$T$6="Asteroid Belt",POWER(Upgrades!$U$6,E321),1)*IF(Upgrades!$T$8="Asteroid Belt",POWER(Upgrades!$U$8,G321),1)*IF(Upgrades!$T$9="Asteroid Belt",POWER(Upgrades!$U$9,H321),1)*IF(Upgrades!$T$10="Asteroid Belt",POWER(Upgrades!$U$10,I321),1)*IF(Upgrades!$T$11="Asteroid Belt",POWER(Upgrades!$U$11,J321),1)*IF(Upgrades!$T$12="Asteroid Belt",POWER(Upgrades!$U$12,K321),1))+(IF(G321=0,0,(Upgrades!$G$8+G321*Upgrades!$H$8)*POWER(Upgrades!$I$8,G321)))*(IF(Upgrades!$T$6="Stellar Coupling",POWER(Upgrades!$U$6,E321),1)*IF(Upgrades!$T$7="Stellar Coupling",POWER(Upgrades!$U$7,F321),1)*IF(Upgrades!$T$9="Stellar Coupling",POWER(Upgrades!$U$9,H321),1)*IF(Upgrades!$T$10="Stellar Coupling",POWER(Upgrades!$U$10,I321),1)*IF(Upgrades!$T$11="Stellar Coupling",POWER(Upgrades!$U$11,J321),1)*IF(Upgrades!$T$12="Stellar Coupling",POWER(Upgrades!$U$12,K321),1))+(IF(H321=0,0,(Upgrades!$G$9+H321*Upgrades!$H$9)*POWER(Upgrades!$I$9,H321)))*(IF(Upgrades!$T$6="Magnetosphere",POWER(Upgrades!$U$6,E321),1)*IF(Upgrades!$T$7="Magnetosphere",POWER(Upgrades!$U$7,F321),1)*IF(Upgrades!$T$8="Magnetosphere",POWER(Upgrades!$U$8,G321),1)*IF(Upgrades!$T$10="Magnetosphere",POWER(Upgrades!$U$10,I321),1)*IF(Upgrades!$T$11="Magnetosphere",POWER(Upgrades!$U$11,J321),1)*IF(Upgrades!$T$12="Magnetosphere",POWER(Upgrades!$U$12,K321),1))+(IF(I321=0,0,(Upgrades!$G$10+I321*Upgrades!$H$10)*POWER(Upgrades!$I$10,I321)))*(IF(Upgrades!$T$6="Orbital Resonance",POWER(Upgrades!$U$6,E321),1)*IF(Upgrades!$T$7="Orbital Resonance",POWER(Upgrades!$U$7,F321),1)*IF(Upgrades!$T$8="Orbital Resonance",POWER(Upgrades!$U$8,G321),1)*IF(Upgrades!$T$9="Orbital Resonance",POWER(Upgrades!$U$9,H321),1)*IF(Upgrades!$T$11="Orbital Resonance",POWER(Upgrades!$U$11,J321),1)*IF(Upgrades!$T$12="Orbital Resonance",POWER(Upgrades!$U$12,K321),1))+(IF(J321=0,0,(Upgrades!$G$11+J321*Upgrades!$H$11)*POWER(Upgrades!$I$11,J321)))*(IF(Upgrades!$T$6="Heliopause",POWER(Upgrades!$U$6,E321),1)*IF(Upgrades!$T$7="Heliopause",POWER(Upgrades!$U$7,F321),1)*IF(Upgrades!$T$8="Heliopause",POWER(Upgrades!$U$8,G321),1)*IF(Upgrades!$T$9="Heliopause",POWER(Upgrades!$U$9,H321),1)*IF(Upgrades!$T$10="Heliopause",POWER(Upgrades!$U$10,I321),1)*IF(Upgrades!$T$12="Heliopause",POWER(Upgrades!$U$12,K321),1))+(IF(K321=0,0,(Upgrades!$G$12+K321*Upgrades!$H$12)*POWER(Upgrades!$I$12,K321)))*(IF(Upgrades!$T$6="First Photons",POWER(Upgrades!$U$6,E321),1)*IF(Upgrades!$T$7="First Photons",POWER(Upgrades!$U$7,F321),1)*IF(Upgrades!$T$8="First Photons",POWER(Upgrades!$U$8,G321),1)*IF(Upgrades!$T$9="First Photons",POWER(Upgrades!$U$9,H321),1)*IF(Upgrades!$T$10="First Photons",POWER(Upgrades!$U$10,I321),1)*IF(Upgrades!$T$11="First Photons",POWER(Upgrades!$U$11,J321),1)))*POWER(Upgrades!$P$6,E321)*POWER(Upgrades!$P$7,F321)*POWER(Upgrades!$P$8,G321)*POWER(Upgrades!$P$9,H321)*POWER(Upgrades!$P$10,I321)*POWER(Upgrades!$P$11,J321)*POWER(Upgrades!$P$12,K321)</f>
        <v>11.2</v>
      </c>
      <c r="O321" s="28" t="n">
        <f aca="false">((IF(E321=0,0,(Upgrades!$M$6+E321*Upgrades!$N$6)*POWER(Upgrades!$O$6,E321)))*(IF(Upgrades!$T$7="Solar Wind",POWER(Upgrades!$U$7,F321),1)*IF(Upgrades!$T$8="Solar Wind",POWER(Upgrades!$U$8,G321),1)*IF(Upgrades!$T$9="Solar Wind",POWER(Upgrades!$U$9,H321),1)*IF(Upgrades!$T$10="Solar Wind",POWER(Upgrades!$U$10,I321),1)*IF(Upgrades!$T$11="Solar Wind",POWER(Upgrades!$U$11,J321),1)*IF(Upgrades!$T$12="Solar Wind",POWER(Upgrades!$U$12,K321),1))+(IF(F321=0,0,(Upgrades!$M$7+F321*Upgrades!$N$7)*POWER(Upgrades!$O$7,F321)))*(IF(Upgrades!$T$6="Asteroid Belt",POWER(Upgrades!$U$6,E321),1)*IF(Upgrades!$T$8="Asteroid Belt",POWER(Upgrades!$U$8,G321),1)*IF(Upgrades!$T$9="Asteroid Belt",POWER(Upgrades!$U$9,H321),1)*IF(Upgrades!$T$10="Asteroid Belt",POWER(Upgrades!$U$10,I321),1)*IF(Upgrades!$T$11="Asteroid Belt",POWER(Upgrades!$U$11,J321),1)*IF(Upgrades!$T$12="Asteroid Belt",POWER(Upgrades!$U$12,K321),1))+(IF(G321=0,0,(Upgrades!$M$8+G321*Upgrades!$N$8)*POWER(Upgrades!$O$8,G321)))*(IF(Upgrades!$T$6="Stellar Coupling",POWER(Upgrades!$U$6,E321),1)*IF(Upgrades!$T$7="Stellar Coupling",POWER(Upgrades!$U$7,F321),1)*IF(Upgrades!$T$9="Stellar Coupling",POWER(Upgrades!$U$9,H321),1)*IF(Upgrades!$T$10="Stellar Coupling",POWER(Upgrades!$U$10,I321),1)*IF(Upgrades!$T$11="Stellar Coupling",POWER(Upgrades!$U$11,J321),1)*IF(Upgrades!$T$12="Stellar Coupling",POWER(Upgrades!$U$12,K321),1))+(IF(H321=0,0,(Upgrades!$M$9+H321*Upgrades!$N$9)*POWER(Upgrades!$O$9,H321)))*(IF(Upgrades!$T$6="Magnetosphere",POWER(Upgrades!$U$6,E321),1)*IF(Upgrades!$T$7="Magnetosphere",POWER(Upgrades!$U$7,F321),1)*IF(Upgrades!$T$8="Magnetosphere",POWER(Upgrades!$U$8,G321),1)*IF(Upgrades!$T$10="Magnetosphere",POWER(Upgrades!$U$10,I321),1)*IF(Upgrades!$T$11="Magnetosphere",POWER(Upgrades!$U$11,J321),1)*IF(Upgrades!$T$12="Magnetosphere",POWER(Upgrades!$U$12,K321),1))+(IF(I321=0,0,(Upgrades!$M$10+I321*Upgrades!$N$10)*POWER(Upgrades!$O$10,I321)))*(IF(Upgrades!$T$6="Orbital Resonance",POWER(Upgrades!$U$6,E321),1)*IF(Upgrades!$T$7="Orbital Resonance",POWER(Upgrades!$U$7,F321),1)*IF(Upgrades!$T$8="Orbital Resonance",POWER(Upgrades!$U$8,G321),1)*IF(Upgrades!$T$9="Orbital Resonance",POWER(Upgrades!$U$9,H321),1)*IF(Upgrades!$T$11="Orbital Resonance",POWER(Upgrades!$U$11,J321),1)*IF(Upgrades!$T$12="Orbital Resonance",POWER(Upgrades!$U$12,K321),1))+(IF(J321=0,0,(Upgrades!$M$11+J321*Upgrades!$N$11)*POWER(Upgrades!$O$11,J321)))*(IF(Upgrades!$T$6="Heliopause",POWER(Upgrades!$U$6,E321),1)*IF(Upgrades!$T$7="Heliopause",POWER(Upgrades!$U$7,F321),1)*IF(Upgrades!$T$8="Heliopause",POWER(Upgrades!$U$8,G321),1)*IF(Upgrades!$T$9="Heliopause",POWER(Upgrades!$U$9,H321),1)*IF(Upgrades!$T$10="Heliopause",POWER(Upgrades!$U$10,I321),1)*IF(Upgrades!$T$12="Heliopause",POWER(Upgrades!$U$12,K321),1))+(IF(K321=0,0,(Upgrades!$M$12+K321*Upgrades!$N$12)*POWER(Upgrades!$O$12,K321)))*(IF(Upgrades!$T$6="First Photons",POWER(Upgrades!$U$6,E321),1)*IF(Upgrades!$T$7="First Photons",POWER(Upgrades!$U$7,F321),1)*IF(Upgrades!$T$8="First Photons",POWER(Upgrades!$U$8,G321),1)*IF(Upgrades!$T$9="First Photons",POWER(Upgrades!$U$9,H321),1)*IF(Upgrades!$T$10="First Photons",POWER(Upgrades!$U$10,I321),1)*IF(Upgrades!$T$11="First Photons",POWER(Upgrades!$U$11,J321),1)))*POWER(Upgrades!$R$6,E321)*POWER(Upgrades!$R$7,F321)*POWER(Upgrades!$R$8,G321)*POWER(Upgrades!$R$9,H321)*POWER(Upgrades!$R$10,I321)*POWER(Upgrades!$R$11,J321)*POWER(Upgrades!$R$12,K321)</f>
        <v>0</v>
      </c>
      <c r="P321" s="27" t="n">
        <f aca="false">IF(L321=1,0,M321*Parameters!$B$10/60*Parameters!$B$11*10)</f>
        <v>0</v>
      </c>
      <c r="Q321" s="27" t="n">
        <f aca="false">IF(L321=1,0,O321*M321*10)</f>
        <v>0</v>
      </c>
      <c r="R321" s="27" t="n">
        <f aca="false">IF(L321=1,0,N321*10)</f>
        <v>0</v>
      </c>
      <c r="S321" s="27" t="n">
        <f aca="false">P321+Q321+R321</f>
        <v>0</v>
      </c>
      <c r="T321" s="21" t="n">
        <f aca="false">C321+S321</f>
        <v>18.6730249835055</v>
      </c>
      <c r="U321" s="34" t="str">
        <f aca="false">AX321</f>
        <v/>
      </c>
      <c r="V321" s="21" t="n">
        <f aca="false">IF(U321="",0,IF(U321="transition",0,IF(U321="SW",AG321,IF(U321="AB",AH321,IF(U321="SC",AI321,IF(U321="Mag",AJ321,IF(U321="OR",AK321,IF(U321="HP",AL321,IF(U321="FP",AM321,0)))))))))</f>
        <v>0</v>
      </c>
      <c r="W321" s="27" t="n">
        <f aca="false">IF(U321="OR",Upgrades!$F$10,IF(U321="HP",Upgrades!$F$11,IF(U321="transition",-Parameters!$B$18,0)))</f>
        <v>0</v>
      </c>
      <c r="X321" s="21" t="n">
        <f aca="false">T321-V321</f>
        <v>18.6730249835055</v>
      </c>
      <c r="Y321" s="30" t="n">
        <f aca="false">M321*Parameters!$B$10/60*Parameters!$B$11+O321*M321+N321</f>
        <v>20.55</v>
      </c>
      <c r="Z321" s="35" t="str">
        <f aca="false">IF(U321="transition","→ Tier 2 (Stellar Neighborhood)",IF(U321="FP","First Photons — light begins, system quickens",IF(U321="HP","Heliopause acquired",IF(U321="OR","Orbital Resonance — passive multiplier active",IF(AND(AO321=1,L321=0,AN321&lt;&gt;1),"Cohesion ready (waiting on completionist upgrades)","")))))</f>
        <v/>
      </c>
      <c r="AA321" s="27" t="n">
        <f aca="false">(IF(E321=0,0,(Upgrades!$G$6+E321*Upgrades!$H$6)*POWER(Upgrades!$I$6,E321)))*(IF(Upgrades!$T$7="Solar Wind",POWER(Upgrades!$U$7,F321),1)*IF(Upgrades!$T$8="Solar Wind",POWER(Upgrades!$U$8,G321),1)*IF(Upgrades!$T$9="Solar Wind",POWER(Upgrades!$U$9,H321),1)*IF(Upgrades!$T$10="Solar Wind",POWER(Upgrades!$U$10,I321),1)*IF(Upgrades!$T$11="Solar Wind",POWER(Upgrades!$U$11,J321),1)*IF(Upgrades!$T$12="Solar Wind",POWER(Upgrades!$U$12,K321),1))*POWER(Upgrades!$P$6,E321)*POWER(Upgrades!$P$7,F321)*POWER(Upgrades!$P$8,G321)*POWER(Upgrades!$P$9,H321)*POWER(Upgrades!$P$10,I321)*POWER(Upgrades!$P$11,J321)*POWER(Upgrades!$P$12,K321)*60</f>
        <v>72</v>
      </c>
      <c r="AB321" s="27" t="n">
        <f aca="false">(IF(F321=0,0,(Upgrades!$G$7+F321*Upgrades!$H$7)*POWER(Upgrades!$I$7,F321)))*(IF(Upgrades!$T$6="Asteroid Belt",POWER(Upgrades!$U$6,E321),1)*IF(Upgrades!$T$8="Asteroid Belt",POWER(Upgrades!$U$8,G321),1)*IF(Upgrades!$T$9="Asteroid Belt",POWER(Upgrades!$U$9,H321),1)*IF(Upgrades!$T$10="Asteroid Belt",POWER(Upgrades!$U$10,I321),1)*IF(Upgrades!$T$11="Asteroid Belt",POWER(Upgrades!$U$11,J321),1)*IF(Upgrades!$T$12="Asteroid Belt",POWER(Upgrades!$U$12,K321),1))*POWER(Upgrades!$P$6,E321)*POWER(Upgrades!$P$7,F321)*POWER(Upgrades!$P$8,G321)*POWER(Upgrades!$P$9,H321)*POWER(Upgrades!$P$10,I321)*POWER(Upgrades!$P$11,J321)*POWER(Upgrades!$P$12,K321)*60</f>
        <v>150</v>
      </c>
      <c r="AC321" s="27" t="n">
        <f aca="false">(IF(G321=0,0,(Upgrades!$J$8+G321*Upgrades!$K$8)*POWER(Upgrades!$L$8,G321)))*(IF(Upgrades!$T$6="Stellar Coupling",POWER(Upgrades!$U$6,E321),1)*IF(Upgrades!$T$7="Stellar Coupling",POWER(Upgrades!$U$7,F321),1)*IF(Upgrades!$T$9="Stellar Coupling",POWER(Upgrades!$U$9,H321),1)*IF(Upgrades!$T$10="Stellar Coupling",POWER(Upgrades!$U$10,I321),1)*IF(Upgrades!$T$11="Stellar Coupling",POWER(Upgrades!$U$11,J321),1)*IF(Upgrades!$T$12="Stellar Coupling",POWER(Upgrades!$U$12,K321),1))*POWER(Upgrades!$Q$6,E321)*POWER(Upgrades!$Q$7,F321)*POWER(Upgrades!$Q$8,G321)*POWER(Upgrades!$Q$9,H321)*POWER(Upgrades!$Q$10,I321)*POWER(Upgrades!$Q$11,J321)*POWER(Upgrades!$Q$12,K321)*Parameters!$B$10*Parameters!$B$11</f>
        <v>441</v>
      </c>
      <c r="AD321" s="27" t="n">
        <f aca="false">(IF(H321=0,0,(Upgrades!$G$9+H321*Upgrades!$H$9)*POWER(Upgrades!$I$9,H321)))*(IF(Upgrades!$T$6="Magnetosphere",POWER(Upgrades!$U$6,E321),1)*IF(Upgrades!$T$7="Magnetosphere",POWER(Upgrades!$U$7,F321),1)*IF(Upgrades!$T$8="Magnetosphere",POWER(Upgrades!$U$8,G321),1)*IF(Upgrades!$T$10="Magnetosphere",POWER(Upgrades!$U$10,I321),1)*IF(Upgrades!$T$11="Magnetosphere",POWER(Upgrades!$U$11,J321),1)*IF(Upgrades!$T$12="Magnetosphere",POWER(Upgrades!$U$12,K321),1))*POWER(Upgrades!$P$6,E321)*POWER(Upgrades!$P$7,F321)*POWER(Upgrades!$P$8,G321)*POWER(Upgrades!$P$9,H321)*POWER(Upgrades!$P$10,I321)*POWER(Upgrades!$P$11,J321)*POWER(Upgrades!$P$12,K321)*60</f>
        <v>375</v>
      </c>
      <c r="AE321" s="27" t="n">
        <f aca="false">(IF(K321=0,0,(Upgrades!$G$12+K321*Upgrades!$H$12)*POWER(Upgrades!$I$12,K321)))*(IF(Upgrades!$T$6="First Photons",POWER(Upgrades!$U$6,E321),1)*IF(Upgrades!$T$7="First Photons",POWER(Upgrades!$U$7,F321),1)*IF(Upgrades!$T$8="First Photons",POWER(Upgrades!$U$8,G321),1)*IF(Upgrades!$T$9="First Photons",POWER(Upgrades!$U$9,H321),1)*IF(Upgrades!$T$10="First Photons",POWER(Upgrades!$U$10,I321),1)*IF(Upgrades!$T$11="First Photons",POWER(Upgrades!$U$11,J321),1))*POWER(Upgrades!$P$6,E321)*POWER(Upgrades!$P$7,F321)*POWER(Upgrades!$P$8,G321)*POWER(Upgrades!$P$9,H321)*POWER(Upgrades!$P$10,I321)*POWER(Upgrades!$P$11,J321)*POWER(Upgrades!$P$12,K321)*60</f>
        <v>75</v>
      </c>
      <c r="AF321" s="27" t="n">
        <f aca="false">Parameters!$B$9*POWER(Upgrades!$Q$6,E321)*POWER(Upgrades!$Q$7,F321)*POWER(Upgrades!$Q$8,G321)*POWER(Upgrades!$Q$9,H321)*POWER(Upgrades!$Q$10,I321)*POWER(Upgrades!$Q$11,J321)*POWER(Upgrades!$Q$12,K321)*(Parameters!$B$10*Parameters!$B$11+O321*60)</f>
        <v>120</v>
      </c>
      <c r="AG321" s="21" t="n">
        <f aca="false">IF(E321&gt;=Upgrades!$E$6,"",Upgrades!$C$6*POWER(Upgrades!$D$6,E321))</f>
        <v>37.4517507383159</v>
      </c>
      <c r="AH321" s="21" t="n">
        <f aca="false">IF(F321&gt;=Upgrades!$E$7,"",Upgrades!$C$7*POWER(Upgrades!$D$7,F321))</f>
        <v>80.9111547141581</v>
      </c>
      <c r="AI321" s="21" t="n">
        <f aca="false">IF(G321&gt;=Upgrades!$E$8,"",Upgrades!$C$8*POWER(Upgrades!$D$8,G321))</f>
        <v>231.9097088</v>
      </c>
      <c r="AJ321" s="21" t="str">
        <f aca="false">IF(H321&gt;=Upgrades!$E$9,"",Upgrades!$C$9*POWER(Upgrades!$D$9,H321))</f>
        <v/>
      </c>
      <c r="AK321" s="21" t="str">
        <f aca="false">IF(I321&gt;=Upgrades!$E$10,"",Upgrades!$C$10*POWER(Upgrades!$D$10,I321))</f>
        <v/>
      </c>
      <c r="AL321" s="21" t="str">
        <f aca="false">IF(J321&gt;=Upgrades!$E$11,"",Upgrades!$C$11*POWER(Upgrades!$D$11,J321))</f>
        <v/>
      </c>
      <c r="AM321" s="21" t="str">
        <f aca="false">IF(K321&gt;=Upgrades!$E$12,"",Upgrades!$C$12*POWER(Upgrades!$D$12,K321))</f>
        <v/>
      </c>
      <c r="AN321" s="26" t="str">
        <f aca="false">IF(AND(D321&gt;=Parameters!$B$18,(H321&gt;=Upgrades!$E$9)*(K321&gt;=Upgrades!$E$12)=1,L321=0),1,"")</f>
        <v/>
      </c>
      <c r="AO321" s="26" t="str">
        <f aca="false">IF(AND(D321&gt;=Parameters!$B$18,L321=0),1,"")</f>
        <v/>
      </c>
      <c r="AP321" s="21" t="n">
        <f aca="false">MIN(IF(ISNUMBER(AK321),AK321,9000000000000000),IF(ISNUMBER(AL321),AL321,9000000000000000),IF(ISNUMBER(AM321),AM321,9000000000000000))</f>
        <v>9000000000000000</v>
      </c>
      <c r="AQ321" s="21" t="n">
        <f aca="false">MIN(IF(ISNUMBER(AG321),AG321,9000000000000000),IF(ISNUMBER(AH321),AH321,9000000000000000),IF(ISNUMBER(AI321),AI321,9000000000000000),IF(ISNUMBER(AJ321),AJ321,9000000000000000))</f>
        <v>37.4517507383159</v>
      </c>
      <c r="AR321" s="32" t="b">
        <f aca="false">IF(AW321&gt;Parameters!$B$21*(MAX(IF(AND(NOT(AND(AO321=1,AN321&lt;&gt;1)),ISNUMBER(AG321),AG321&lt;=T321),AS321,0),IF(AND(NOT(AND(AO321=1,AN321&lt;&gt;1)),ISNUMBER(AH321),AH321&lt;=T321),AT321,0),IF(AND(NOT(AND(AO321=1,AN321&lt;&gt;1)),ISNUMBER(AI321),AI321&lt;=T321),AU321,0),IF(AND(ISNUMBER(AJ321),AJ321&lt;=T321),AV321,0))),TRUE(),FALSE())</f>
        <v>1</v>
      </c>
      <c r="AS321" s="33" t="n">
        <f aca="false">IFERROR(Upgrades!$H$6*(POWER(Upgrades!$P$6,E321)*POWER(Upgrades!$P$7,F321)*POWER(Upgrades!$P$8,G321)*POWER(Upgrades!$P$9,H321)*POWER(Upgrades!$P$10,I321)*POWER(Upgrades!$P$11,J321)*POWER(Upgrades!$P$12,K321))*(IF(Upgrades!$T$7="Solar Wind",POWER(Upgrades!$U$7,F321),1)*IF(Upgrades!$T$8="Solar Wind",POWER(Upgrades!$U$8,G321),1)*IF(Upgrades!$T$9="Solar Wind",POWER(Upgrades!$U$9,H321),1)*IF(Upgrades!$T$10="Solar Wind",POWER(Upgrades!$U$10,I321),1)*IF(Upgrades!$T$11="Solar Wind",POWER(Upgrades!$U$11,J321),1)*IF(Upgrades!$T$12="Solar Wind",POWER(Upgrades!$U$12,K321),1))/AG321,0)</f>
        <v>0.0026701021455238</v>
      </c>
      <c r="AT321" s="33" t="n">
        <f aca="false">IFERROR(Upgrades!$H$7*(POWER(Upgrades!$P$6,E321)*POWER(Upgrades!$P$7,F321)*POWER(Upgrades!$P$8,G321)*POWER(Upgrades!$P$9,H321)*POWER(Upgrades!$P$10,I321)*POWER(Upgrades!$P$11,J321)*POWER(Upgrades!$P$12,K321))*(IF(Upgrades!$T$6="Asteroid Belt",POWER(Upgrades!$U$6,E321),1)*IF(Upgrades!$T$8="Asteroid Belt",POWER(Upgrades!$U$8,G321),1)*IF(Upgrades!$T$9="Asteroid Belt",POWER(Upgrades!$U$9,H321),1)*IF(Upgrades!$T$10="Asteroid Belt",POWER(Upgrades!$U$10,I321),1)*IF(Upgrades!$T$11="Asteroid Belt",POWER(Upgrades!$U$11,J321),1)*IF(Upgrades!$T$12="Asteroid Belt",POWER(Upgrades!$U$12,K321),1))/AH321,0)</f>
        <v>0.00308980882652332</v>
      </c>
      <c r="AU321" s="33" t="n">
        <f aca="false">IFERROR(Upgrades!$K$8*(POWER(Upgrades!$Q$6,E321)*POWER(Upgrades!$Q$7,F321)*POWER(Upgrades!$Q$8,G321)*POWER(Upgrades!$Q$9,H321)*POWER(Upgrades!$Q$10,I321)*POWER(Upgrades!$Q$11,J321)*POWER(Upgrades!$Q$12,K321))*(IF(Upgrades!$T$6="Stellar Coupling",POWER(Upgrades!$U$6,E321),1)*IF(Upgrades!$T$7="Stellar Coupling",POWER(Upgrades!$U$7,F321),1)*IF(Upgrades!$T$9="Stellar Coupling",POWER(Upgrades!$U$9,H321),1)*IF(Upgrades!$T$10="Stellar Coupling",POWER(Upgrades!$U$10,I321),1)*IF(Upgrades!$T$11="Stellar Coupling",POWER(Upgrades!$U$11,J321),1)*IF(Upgrades!$T$12="Stellar Coupling",POWER(Upgrades!$U$12,K321),1))*Parameters!$B$10*Parameters!$B$11/60/AI321,0)</f>
        <v>0.00452762415783776</v>
      </c>
      <c r="AV321" s="33" t="n">
        <f aca="false">IFERROR(Upgrades!$H$9*(POWER(Upgrades!$P$6,E321)*POWER(Upgrades!$P$7,F321)*POWER(Upgrades!$P$8,G321)*POWER(Upgrades!$P$9,H321)*POWER(Upgrades!$P$10,I321)*POWER(Upgrades!$P$11,J321)*POWER(Upgrades!$P$12,K321))*(IF(Upgrades!$T$6="Magnetosphere",POWER(Upgrades!$U$6,E321),1)*IF(Upgrades!$T$7="Magnetosphere",POWER(Upgrades!$U$7,F321),1)*IF(Upgrades!$T$8="Magnetosphere",POWER(Upgrades!$U$8,G321),1)*IF(Upgrades!$T$10="Magnetosphere",POWER(Upgrades!$U$10,I321),1)*IF(Upgrades!$T$11="Magnetosphere",POWER(Upgrades!$U$11,J321),1)*IF(Upgrades!$T$12="Magnetosphere",POWER(Upgrades!$U$12,K321),1))/AJ321,0)</f>
        <v>0</v>
      </c>
      <c r="AW321" s="33" t="n">
        <f aca="false">MAX(IF(I321&gt;0,0,IFERROR(0.25*N321/Upgrades!$C$10,0)),IF(J321&gt;0,0,IFERROR(0.5*((IF(G321=0,0,(Upgrades!$J$8+G321*Upgrades!$K$8)*POWER(Upgrades!$L$8,G321)))*(IF(Upgrades!$T$6="Stellar Coupling",POWER(Upgrades!$U$6,E321),1)*IF(Upgrades!$T$7="Stellar Coupling",POWER(Upgrades!$U$7,F321),1)*IF(Upgrades!$T$9="Stellar Coupling",POWER(Upgrades!$U$9,H321),1)*IF(Upgrades!$T$10="Stellar Coupling",POWER(Upgrades!$U$10,I321),1)*IF(Upgrades!$T$11="Stellar Coupling",POWER(Upgrades!$U$11,J321),1)*IF(Upgrades!$T$12="Stellar Coupling",POWER(Upgrades!$U$12,K321),1))*(POWER(Upgrades!$Q$6,E321)*POWER(Upgrades!$Q$7,F321)*POWER(Upgrades!$Q$8,G321)*POWER(Upgrades!$Q$9,H321)*POWER(Upgrades!$Q$10,I321)*POWER(Upgrades!$Q$11,J321)*POWER(Upgrades!$Q$12,K321))*Parameters!$B$10*Parameters!$B$11/60)/Upgrades!$C$11,0)),IF(K321&gt;0,0,IFERROR((1*(POWER(Upgrades!$P$6,E321)*POWER(Upgrades!$P$7,F321)*POWER(Upgrades!$P$8,G321)*POWER(Upgrades!$P$9,H321)*POWER(Upgrades!$P$10,I321)*POWER(Upgrades!$P$11,J321)*POWER(Upgrades!$P$12,K321))+0.2*M321*Parameters!$B$10*Parameters!$B$11/60)/Upgrades!$C$12,0)),IF(AND(ISNUMBER(AG321),AG321&gt;T321),AS321,0),IF(AND(ISNUMBER(AH321),AH321&gt;T321),AT321,0),IF(AND(ISNUMBER(AI321),AI321&gt;T321),AU321,0),IF(AND(ISNUMBER(AJ321),AJ321&gt;T321),AV321,0))</f>
        <v>0.00452762415783776</v>
      </c>
      <c r="AX321" s="29" t="str">
        <f aca="false">IF(AN321=1,"transition",IF(MIN(IF(AND(I321=0,ISNUMBER(AK321),AK321&lt;=T321),AK321,9000000000000000),IF(AND(J321=0,ISNUMBER(AL321),AL321&lt;=T321),AL321,9000000000000000),IF(AND(K321=0,ISNUMBER(AM321),AM321&lt;=T321),AM321,9000000000000000))&lt;9000000000000000,IF(AND(AND(I321=0,ISNUMBER(AK321),AK321&lt;=T321),AK321=MIN(IF(AND(I321=0,ISNUMBER(AK321),AK321&lt;=T321),AK321,9000000000000000),IF(AND(J321=0,ISNUMBER(AL321),AL321&lt;=T321),AL321,9000000000000000),IF(AND(K321=0,ISNUMBER(AM321),AM321&lt;=T321),AM321,9000000000000000))),"OR",IF(AND(AND(J321=0,ISNUMBER(AL321),AL321&lt;=T321),AL321=MIN(IF(AND(I321=0,ISNUMBER(AK321),AK321&lt;=T321),AK321,9000000000000000),IF(AND(J321=0,ISNUMBER(AL321),AL321&lt;=T321),AL321,9000000000000000),IF(AND(K321=0,ISNUMBER(AM321),AM321&lt;=T321),AM321,9000000000000000))),"HP","FP")),IF(AR321=TRUE(),"",IF(MAX(IF(AND(NOT(AND(AO321=1,AN321&lt;&gt;1)),ISNUMBER(AG321),AG321&lt;=T321),AS321,0),IF(AND(NOT(AND(AO321=1,AN321&lt;&gt;1)),ISNUMBER(AH321),AH321&lt;=T321),AT321,0),IF(AND(NOT(AND(AO321=1,AN321&lt;&gt;1)),ISNUMBER(AI321),AI321&lt;=T321),AU321,0),IF(AND(ISNUMBER(AJ321),AJ321&lt;=T321),AV321,0))&lt;=0,"",IF(AND(IF(AND(NOT(AND(AO321=1,AN321&lt;&gt;1)),ISNUMBER(AG321),AG321&lt;=T321),AS321,0)&gt;0,IF(AND(NOT(AND(AO321=1,AN321&lt;&gt;1)),ISNUMBER(AG321),AG321&lt;=T321),AS321,0)=MAX(IF(AND(NOT(AND(AO321=1,AN321&lt;&gt;1)),ISNUMBER(AG321),AG321&lt;=T321),AS321,0),IF(AND(NOT(AND(AO321=1,AN321&lt;&gt;1)),ISNUMBER(AH321),AH321&lt;=T321),AT321,0),IF(AND(NOT(AND(AO321=1,AN321&lt;&gt;1)),ISNUMBER(AI321),AI321&lt;=T321),AU321,0),IF(AND(ISNUMBER(AJ321),AJ321&lt;=T321),AV321,0))),"SW",IF(AND(IF(AND(NOT(AND(AO321=1,AN321&lt;&gt;1)),ISNUMBER(AH321),AH321&lt;=T321),AT321,0)&gt;0,IF(AND(NOT(AND(AO321=1,AN321&lt;&gt;1)),ISNUMBER(AH321),AH321&lt;=T321),AT321,0)=MAX(IF(AND(NOT(AND(AO321=1,AN321&lt;&gt;1)),ISNUMBER(AG321),AG321&lt;=T321),AS321,0),IF(AND(NOT(AND(AO321=1,AN321&lt;&gt;1)),ISNUMBER(AH321),AH321&lt;=T321),AT321,0),IF(AND(NOT(AND(AO321=1,AN321&lt;&gt;1)),ISNUMBER(AI321),AI321&lt;=T321),AU321,0),IF(AND(ISNUMBER(AJ321),AJ321&lt;=T321),AV321,0))),"AB",IF(AND(IF(AND(NOT(AND(AO321=1,AN321&lt;&gt;1)),ISNUMBER(AI321),AI321&lt;=T321),AU321,0)&gt;0,IF(AND(NOT(AND(AO321=1,AN321&lt;&gt;1)),ISNUMBER(AI321),AI321&lt;=T321),AU321,0)=MAX(IF(AND(NOT(AND(AO321=1,AN321&lt;&gt;1)),ISNUMBER(AG321),AG321&lt;=T321),AS321,0),IF(AND(NOT(AND(AO321=1,AN321&lt;&gt;1)),ISNUMBER(AH321),AH321&lt;=T321),AT321,0),IF(AND(NOT(AND(AO321=1,AN321&lt;&gt;1)),ISNUMBER(AI321),AI321&lt;=T321),AU321,0),IF(AND(ISNUMBER(AJ321),AJ321&lt;=T321),AV321,0))),"SC","Mag")))))))</f>
        <v/>
      </c>
    </row>
    <row r="322" customFormat="false" ht="15" hidden="false" customHeight="false" outlineLevel="0" collapsed="false">
      <c r="A322" s="26" t="n">
        <v>317</v>
      </c>
      <c r="B322" s="27" t="n">
        <f aca="false">A322*10/60</f>
        <v>52.8333333333333</v>
      </c>
      <c r="C322" s="21" t="n">
        <f aca="false">X321</f>
        <v>18.6730249835055</v>
      </c>
      <c r="D322" s="27" t="n">
        <f aca="false">D321+W321</f>
        <v>0</v>
      </c>
      <c r="E322" s="26" t="n">
        <f aca="false">E321+IF(U321="SW",1,0)</f>
        <v>12</v>
      </c>
      <c r="F322" s="26" t="n">
        <f aca="false">F321+IF(U321="AB",1,0)</f>
        <v>10</v>
      </c>
      <c r="G322" s="26" t="n">
        <f aca="false">G321+IF(U321="SC",1,0)</f>
        <v>7</v>
      </c>
      <c r="H322" s="26" t="n">
        <f aca="false">H321+IF(U321="Mag",1,0)</f>
        <v>5</v>
      </c>
      <c r="I322" s="26" t="n">
        <f aca="false">MAX(I321,IF(U321="OR",1,0))</f>
        <v>1</v>
      </c>
      <c r="J322" s="26" t="n">
        <f aca="false">MAX(J321,IF(U321="HP",1,0))</f>
        <v>1</v>
      </c>
      <c r="K322" s="26" t="n">
        <f aca="false">MAX(K321,IF(U321="FP",1,0))</f>
        <v>1</v>
      </c>
      <c r="L322" s="26" t="n">
        <f aca="false">MAX(L321,IF(U321="transition",1,0))</f>
        <v>1</v>
      </c>
      <c r="M322" s="28" t="n">
        <f aca="false">(Parameters!$B$9+(IF(E322=0,0,(Upgrades!$J$6+E322*Upgrades!$K$6)*POWER(Upgrades!$L$6,E322)))*(IF(Upgrades!$T$7="Solar Wind",POWER(Upgrades!$U$7,F322),1)*IF(Upgrades!$T$8="Solar Wind",POWER(Upgrades!$U$8,G322),1)*IF(Upgrades!$T$9="Solar Wind",POWER(Upgrades!$U$9,H322),1)*IF(Upgrades!$T$10="Solar Wind",POWER(Upgrades!$U$10,I322),1)*IF(Upgrades!$T$11="Solar Wind",POWER(Upgrades!$U$11,J322),1)*IF(Upgrades!$T$12="Solar Wind",POWER(Upgrades!$U$12,K322),1))+(IF(F322=0,0,(Upgrades!$J$7+F322*Upgrades!$K$7)*POWER(Upgrades!$L$7,F322)))*(IF(Upgrades!$T$6="Asteroid Belt",POWER(Upgrades!$U$6,E322),1)*IF(Upgrades!$T$8="Asteroid Belt",POWER(Upgrades!$U$8,G322),1)*IF(Upgrades!$T$9="Asteroid Belt",POWER(Upgrades!$U$9,H322),1)*IF(Upgrades!$T$10="Asteroid Belt",POWER(Upgrades!$U$10,I322),1)*IF(Upgrades!$T$11="Asteroid Belt",POWER(Upgrades!$U$11,J322),1)*IF(Upgrades!$T$12="Asteroid Belt",POWER(Upgrades!$U$12,K322),1))+(IF(G322=0,0,(Upgrades!$J$8+G322*Upgrades!$K$8)*POWER(Upgrades!$L$8,G322)))*(IF(Upgrades!$T$6="Stellar Coupling",POWER(Upgrades!$U$6,E322),1)*IF(Upgrades!$T$7="Stellar Coupling",POWER(Upgrades!$U$7,F322),1)*IF(Upgrades!$T$9="Stellar Coupling",POWER(Upgrades!$U$9,H322),1)*IF(Upgrades!$T$10="Stellar Coupling",POWER(Upgrades!$U$10,I322),1)*IF(Upgrades!$T$11="Stellar Coupling",POWER(Upgrades!$U$11,J322),1)*IF(Upgrades!$T$12="Stellar Coupling",POWER(Upgrades!$U$12,K322),1))+(IF(H322=0,0,(Upgrades!$J$9+H322*Upgrades!$K$9)*POWER(Upgrades!$L$9,H322)))*(IF(Upgrades!$T$6="Magnetosphere",POWER(Upgrades!$U$6,E322),1)*IF(Upgrades!$T$7="Magnetosphere",POWER(Upgrades!$U$7,F322),1)*IF(Upgrades!$T$8="Magnetosphere",POWER(Upgrades!$U$8,G322),1)*IF(Upgrades!$T$10="Magnetosphere",POWER(Upgrades!$U$10,I322),1)*IF(Upgrades!$T$11="Magnetosphere",POWER(Upgrades!$U$11,J322),1)*IF(Upgrades!$T$12="Magnetosphere",POWER(Upgrades!$U$12,K322),1))+(IF(I322=0,0,(Upgrades!$J$10+I322*Upgrades!$K$10)*POWER(Upgrades!$L$10,I322)))*(IF(Upgrades!$T$6="Orbital Resonance",POWER(Upgrades!$U$6,E322),1)*IF(Upgrades!$T$7="Orbital Resonance",POWER(Upgrades!$U$7,F322),1)*IF(Upgrades!$T$8="Orbital Resonance",POWER(Upgrades!$U$8,G322),1)*IF(Upgrades!$T$9="Orbital Resonance",POWER(Upgrades!$U$9,H322),1)*IF(Upgrades!$T$11="Orbital Resonance",POWER(Upgrades!$U$11,J322),1)*IF(Upgrades!$T$12="Orbital Resonance",POWER(Upgrades!$U$12,K322),1))+(IF(J322=0,0,(Upgrades!$J$11+J322*Upgrades!$K$11)*POWER(Upgrades!$L$11,J322)))*(IF(Upgrades!$T$6="Heliopause",POWER(Upgrades!$U$6,E322),1)*IF(Upgrades!$T$7="Heliopause",POWER(Upgrades!$U$7,F322),1)*IF(Upgrades!$T$8="Heliopause",POWER(Upgrades!$U$8,G322),1)*IF(Upgrades!$T$9="Heliopause",POWER(Upgrades!$U$9,H322),1)*IF(Upgrades!$T$10="Heliopause",POWER(Upgrades!$U$10,I322),1)*IF(Upgrades!$T$12="Heliopause",POWER(Upgrades!$U$12,K322),1))+(IF(K322=0,0,(Upgrades!$J$12+K322*Upgrades!$K$12)*POWER(Upgrades!$L$12,K322)))*(IF(Upgrades!$T$6="First Photons",POWER(Upgrades!$U$6,E322),1)*IF(Upgrades!$T$7="First Photons",POWER(Upgrades!$U$7,F322),1)*IF(Upgrades!$T$8="First Photons",POWER(Upgrades!$U$8,G322),1)*IF(Upgrades!$T$9="First Photons",POWER(Upgrades!$U$9,H322),1)*IF(Upgrades!$T$10="First Photons",POWER(Upgrades!$U$10,I322),1)*IF(Upgrades!$T$11="First Photons",POWER(Upgrades!$U$11,J322),1)))*POWER(Upgrades!$Q$6,E322)*POWER(Upgrades!$Q$7,F322)*POWER(Upgrades!$Q$8,G322)*POWER(Upgrades!$Q$9,H322)*POWER(Upgrades!$Q$10,I322)*POWER(Upgrades!$Q$11,J322)*POWER(Upgrades!$Q$12,K322)</f>
        <v>5.61</v>
      </c>
      <c r="N322" s="28" t="n">
        <f aca="false">((IF(E322=0,0,(Upgrades!$G$6+E322*Upgrades!$H$6)*POWER(Upgrades!$I$6,E322)))*(IF(Upgrades!$T$7="Solar Wind",POWER(Upgrades!$U$7,F322),1)*IF(Upgrades!$T$8="Solar Wind",POWER(Upgrades!$U$8,G322),1)*IF(Upgrades!$T$9="Solar Wind",POWER(Upgrades!$U$9,H322),1)*IF(Upgrades!$T$10="Solar Wind",POWER(Upgrades!$U$10,I322),1)*IF(Upgrades!$T$11="Solar Wind",POWER(Upgrades!$U$11,J322),1)*IF(Upgrades!$T$12="Solar Wind",POWER(Upgrades!$U$12,K322),1))+(IF(F322=0,0,(Upgrades!$G$7+F322*Upgrades!$H$7)*POWER(Upgrades!$I$7,F322)))*(IF(Upgrades!$T$6="Asteroid Belt",POWER(Upgrades!$U$6,E322),1)*IF(Upgrades!$T$8="Asteroid Belt",POWER(Upgrades!$U$8,G322),1)*IF(Upgrades!$T$9="Asteroid Belt",POWER(Upgrades!$U$9,H322),1)*IF(Upgrades!$T$10="Asteroid Belt",POWER(Upgrades!$U$10,I322),1)*IF(Upgrades!$T$11="Asteroid Belt",POWER(Upgrades!$U$11,J322),1)*IF(Upgrades!$T$12="Asteroid Belt",POWER(Upgrades!$U$12,K322),1))+(IF(G322=0,0,(Upgrades!$G$8+G322*Upgrades!$H$8)*POWER(Upgrades!$I$8,G322)))*(IF(Upgrades!$T$6="Stellar Coupling",POWER(Upgrades!$U$6,E322),1)*IF(Upgrades!$T$7="Stellar Coupling",POWER(Upgrades!$U$7,F322),1)*IF(Upgrades!$T$9="Stellar Coupling",POWER(Upgrades!$U$9,H322),1)*IF(Upgrades!$T$10="Stellar Coupling",POWER(Upgrades!$U$10,I322),1)*IF(Upgrades!$T$11="Stellar Coupling",POWER(Upgrades!$U$11,J322),1)*IF(Upgrades!$T$12="Stellar Coupling",POWER(Upgrades!$U$12,K322),1))+(IF(H322=0,0,(Upgrades!$G$9+H322*Upgrades!$H$9)*POWER(Upgrades!$I$9,H322)))*(IF(Upgrades!$T$6="Magnetosphere",POWER(Upgrades!$U$6,E322),1)*IF(Upgrades!$T$7="Magnetosphere",POWER(Upgrades!$U$7,F322),1)*IF(Upgrades!$T$8="Magnetosphere",POWER(Upgrades!$U$8,G322),1)*IF(Upgrades!$T$10="Magnetosphere",POWER(Upgrades!$U$10,I322),1)*IF(Upgrades!$T$11="Magnetosphere",POWER(Upgrades!$U$11,J322),1)*IF(Upgrades!$T$12="Magnetosphere",POWER(Upgrades!$U$12,K322),1))+(IF(I322=0,0,(Upgrades!$G$10+I322*Upgrades!$H$10)*POWER(Upgrades!$I$10,I322)))*(IF(Upgrades!$T$6="Orbital Resonance",POWER(Upgrades!$U$6,E322),1)*IF(Upgrades!$T$7="Orbital Resonance",POWER(Upgrades!$U$7,F322),1)*IF(Upgrades!$T$8="Orbital Resonance",POWER(Upgrades!$U$8,G322),1)*IF(Upgrades!$T$9="Orbital Resonance",POWER(Upgrades!$U$9,H322),1)*IF(Upgrades!$T$11="Orbital Resonance",POWER(Upgrades!$U$11,J322),1)*IF(Upgrades!$T$12="Orbital Resonance",POWER(Upgrades!$U$12,K322),1))+(IF(J322=0,0,(Upgrades!$G$11+J322*Upgrades!$H$11)*POWER(Upgrades!$I$11,J322)))*(IF(Upgrades!$T$6="Heliopause",POWER(Upgrades!$U$6,E322),1)*IF(Upgrades!$T$7="Heliopause",POWER(Upgrades!$U$7,F322),1)*IF(Upgrades!$T$8="Heliopause",POWER(Upgrades!$U$8,G322),1)*IF(Upgrades!$T$9="Heliopause",POWER(Upgrades!$U$9,H322),1)*IF(Upgrades!$T$10="Heliopause",POWER(Upgrades!$U$10,I322),1)*IF(Upgrades!$T$12="Heliopause",POWER(Upgrades!$U$12,K322),1))+(IF(K322=0,0,(Upgrades!$G$12+K322*Upgrades!$H$12)*POWER(Upgrades!$I$12,K322)))*(IF(Upgrades!$T$6="First Photons",POWER(Upgrades!$U$6,E322),1)*IF(Upgrades!$T$7="First Photons",POWER(Upgrades!$U$7,F322),1)*IF(Upgrades!$T$8="First Photons",POWER(Upgrades!$U$8,G322),1)*IF(Upgrades!$T$9="First Photons",POWER(Upgrades!$U$9,H322),1)*IF(Upgrades!$T$10="First Photons",POWER(Upgrades!$U$10,I322),1)*IF(Upgrades!$T$11="First Photons",POWER(Upgrades!$U$11,J322),1)))*POWER(Upgrades!$P$6,E322)*POWER(Upgrades!$P$7,F322)*POWER(Upgrades!$P$8,G322)*POWER(Upgrades!$P$9,H322)*POWER(Upgrades!$P$10,I322)*POWER(Upgrades!$P$11,J322)*POWER(Upgrades!$P$12,K322)</f>
        <v>11.2</v>
      </c>
      <c r="O322" s="28" t="n">
        <f aca="false">((IF(E322=0,0,(Upgrades!$M$6+E322*Upgrades!$N$6)*POWER(Upgrades!$O$6,E322)))*(IF(Upgrades!$T$7="Solar Wind",POWER(Upgrades!$U$7,F322),1)*IF(Upgrades!$T$8="Solar Wind",POWER(Upgrades!$U$8,G322),1)*IF(Upgrades!$T$9="Solar Wind",POWER(Upgrades!$U$9,H322),1)*IF(Upgrades!$T$10="Solar Wind",POWER(Upgrades!$U$10,I322),1)*IF(Upgrades!$T$11="Solar Wind",POWER(Upgrades!$U$11,J322),1)*IF(Upgrades!$T$12="Solar Wind",POWER(Upgrades!$U$12,K322),1))+(IF(F322=0,0,(Upgrades!$M$7+F322*Upgrades!$N$7)*POWER(Upgrades!$O$7,F322)))*(IF(Upgrades!$T$6="Asteroid Belt",POWER(Upgrades!$U$6,E322),1)*IF(Upgrades!$T$8="Asteroid Belt",POWER(Upgrades!$U$8,G322),1)*IF(Upgrades!$T$9="Asteroid Belt",POWER(Upgrades!$U$9,H322),1)*IF(Upgrades!$T$10="Asteroid Belt",POWER(Upgrades!$U$10,I322),1)*IF(Upgrades!$T$11="Asteroid Belt",POWER(Upgrades!$U$11,J322),1)*IF(Upgrades!$T$12="Asteroid Belt",POWER(Upgrades!$U$12,K322),1))+(IF(G322=0,0,(Upgrades!$M$8+G322*Upgrades!$N$8)*POWER(Upgrades!$O$8,G322)))*(IF(Upgrades!$T$6="Stellar Coupling",POWER(Upgrades!$U$6,E322),1)*IF(Upgrades!$T$7="Stellar Coupling",POWER(Upgrades!$U$7,F322),1)*IF(Upgrades!$T$9="Stellar Coupling",POWER(Upgrades!$U$9,H322),1)*IF(Upgrades!$T$10="Stellar Coupling",POWER(Upgrades!$U$10,I322),1)*IF(Upgrades!$T$11="Stellar Coupling",POWER(Upgrades!$U$11,J322),1)*IF(Upgrades!$T$12="Stellar Coupling",POWER(Upgrades!$U$12,K322),1))+(IF(H322=0,0,(Upgrades!$M$9+H322*Upgrades!$N$9)*POWER(Upgrades!$O$9,H322)))*(IF(Upgrades!$T$6="Magnetosphere",POWER(Upgrades!$U$6,E322),1)*IF(Upgrades!$T$7="Magnetosphere",POWER(Upgrades!$U$7,F322),1)*IF(Upgrades!$T$8="Magnetosphere",POWER(Upgrades!$U$8,G322),1)*IF(Upgrades!$T$10="Magnetosphere",POWER(Upgrades!$U$10,I322),1)*IF(Upgrades!$T$11="Magnetosphere",POWER(Upgrades!$U$11,J322),1)*IF(Upgrades!$T$12="Magnetosphere",POWER(Upgrades!$U$12,K322),1))+(IF(I322=0,0,(Upgrades!$M$10+I322*Upgrades!$N$10)*POWER(Upgrades!$O$10,I322)))*(IF(Upgrades!$T$6="Orbital Resonance",POWER(Upgrades!$U$6,E322),1)*IF(Upgrades!$T$7="Orbital Resonance",POWER(Upgrades!$U$7,F322),1)*IF(Upgrades!$T$8="Orbital Resonance",POWER(Upgrades!$U$8,G322),1)*IF(Upgrades!$T$9="Orbital Resonance",POWER(Upgrades!$U$9,H322),1)*IF(Upgrades!$T$11="Orbital Resonance",POWER(Upgrades!$U$11,J322),1)*IF(Upgrades!$T$12="Orbital Resonance",POWER(Upgrades!$U$12,K322),1))+(IF(J322=0,0,(Upgrades!$M$11+J322*Upgrades!$N$11)*POWER(Upgrades!$O$11,J322)))*(IF(Upgrades!$T$6="Heliopause",POWER(Upgrades!$U$6,E322),1)*IF(Upgrades!$T$7="Heliopause",POWER(Upgrades!$U$7,F322),1)*IF(Upgrades!$T$8="Heliopause",POWER(Upgrades!$U$8,G322),1)*IF(Upgrades!$T$9="Heliopause",POWER(Upgrades!$U$9,H322),1)*IF(Upgrades!$T$10="Heliopause",POWER(Upgrades!$U$10,I322),1)*IF(Upgrades!$T$12="Heliopause",POWER(Upgrades!$U$12,K322),1))+(IF(K322=0,0,(Upgrades!$M$12+K322*Upgrades!$N$12)*POWER(Upgrades!$O$12,K322)))*(IF(Upgrades!$T$6="First Photons",POWER(Upgrades!$U$6,E322),1)*IF(Upgrades!$T$7="First Photons",POWER(Upgrades!$U$7,F322),1)*IF(Upgrades!$T$8="First Photons",POWER(Upgrades!$U$8,G322),1)*IF(Upgrades!$T$9="First Photons",POWER(Upgrades!$U$9,H322),1)*IF(Upgrades!$T$10="First Photons",POWER(Upgrades!$U$10,I322),1)*IF(Upgrades!$T$11="First Photons",POWER(Upgrades!$U$11,J322),1)))*POWER(Upgrades!$R$6,E322)*POWER(Upgrades!$R$7,F322)*POWER(Upgrades!$R$8,G322)*POWER(Upgrades!$R$9,H322)*POWER(Upgrades!$R$10,I322)*POWER(Upgrades!$R$11,J322)*POWER(Upgrades!$R$12,K322)</f>
        <v>0</v>
      </c>
      <c r="P322" s="27" t="n">
        <f aca="false">IF(L322=1,0,M322*Parameters!$B$10/60*Parameters!$B$11*10)</f>
        <v>0</v>
      </c>
      <c r="Q322" s="27" t="n">
        <f aca="false">IF(L322=1,0,O322*M322*10)</f>
        <v>0</v>
      </c>
      <c r="R322" s="27" t="n">
        <f aca="false">IF(L322=1,0,N322*10)</f>
        <v>0</v>
      </c>
      <c r="S322" s="27" t="n">
        <f aca="false">P322+Q322+R322</f>
        <v>0</v>
      </c>
      <c r="T322" s="21" t="n">
        <f aca="false">C322+S322</f>
        <v>18.6730249835055</v>
      </c>
      <c r="U322" s="34" t="str">
        <f aca="false">AX322</f>
        <v/>
      </c>
      <c r="V322" s="21" t="n">
        <f aca="false">IF(U322="",0,IF(U322="transition",0,IF(U322="SW",AG322,IF(U322="AB",AH322,IF(U322="SC",AI322,IF(U322="Mag",AJ322,IF(U322="OR",AK322,IF(U322="HP",AL322,IF(U322="FP",AM322,0)))))))))</f>
        <v>0</v>
      </c>
      <c r="W322" s="27" t="n">
        <f aca="false">IF(U322="OR",Upgrades!$F$10,IF(U322="HP",Upgrades!$F$11,IF(U322="transition",-Parameters!$B$18,0)))</f>
        <v>0</v>
      </c>
      <c r="X322" s="21" t="n">
        <f aca="false">T322-V322</f>
        <v>18.6730249835055</v>
      </c>
      <c r="Y322" s="30" t="n">
        <f aca="false">M322*Parameters!$B$10/60*Parameters!$B$11+O322*M322+N322</f>
        <v>20.55</v>
      </c>
      <c r="Z322" s="35" t="str">
        <f aca="false">IF(U322="transition","→ Tier 2 (Stellar Neighborhood)",IF(U322="FP","First Photons — light begins, system quickens",IF(U322="HP","Heliopause acquired",IF(U322="OR","Orbital Resonance — passive multiplier active",IF(AND(AO322=1,L322=0,AN322&lt;&gt;1),"Cohesion ready (waiting on completionist upgrades)","")))))</f>
        <v/>
      </c>
      <c r="AA322" s="27" t="n">
        <f aca="false">(IF(E322=0,0,(Upgrades!$G$6+E322*Upgrades!$H$6)*POWER(Upgrades!$I$6,E322)))*(IF(Upgrades!$T$7="Solar Wind",POWER(Upgrades!$U$7,F322),1)*IF(Upgrades!$T$8="Solar Wind",POWER(Upgrades!$U$8,G322),1)*IF(Upgrades!$T$9="Solar Wind",POWER(Upgrades!$U$9,H322),1)*IF(Upgrades!$T$10="Solar Wind",POWER(Upgrades!$U$10,I322),1)*IF(Upgrades!$T$11="Solar Wind",POWER(Upgrades!$U$11,J322),1)*IF(Upgrades!$T$12="Solar Wind",POWER(Upgrades!$U$12,K322),1))*POWER(Upgrades!$P$6,E322)*POWER(Upgrades!$P$7,F322)*POWER(Upgrades!$P$8,G322)*POWER(Upgrades!$P$9,H322)*POWER(Upgrades!$P$10,I322)*POWER(Upgrades!$P$11,J322)*POWER(Upgrades!$P$12,K322)*60</f>
        <v>72</v>
      </c>
      <c r="AB322" s="27" t="n">
        <f aca="false">(IF(F322=0,0,(Upgrades!$G$7+F322*Upgrades!$H$7)*POWER(Upgrades!$I$7,F322)))*(IF(Upgrades!$T$6="Asteroid Belt",POWER(Upgrades!$U$6,E322),1)*IF(Upgrades!$T$8="Asteroid Belt",POWER(Upgrades!$U$8,G322),1)*IF(Upgrades!$T$9="Asteroid Belt",POWER(Upgrades!$U$9,H322),1)*IF(Upgrades!$T$10="Asteroid Belt",POWER(Upgrades!$U$10,I322),1)*IF(Upgrades!$T$11="Asteroid Belt",POWER(Upgrades!$U$11,J322),1)*IF(Upgrades!$T$12="Asteroid Belt",POWER(Upgrades!$U$12,K322),1))*POWER(Upgrades!$P$6,E322)*POWER(Upgrades!$P$7,F322)*POWER(Upgrades!$P$8,G322)*POWER(Upgrades!$P$9,H322)*POWER(Upgrades!$P$10,I322)*POWER(Upgrades!$P$11,J322)*POWER(Upgrades!$P$12,K322)*60</f>
        <v>150</v>
      </c>
      <c r="AC322" s="27" t="n">
        <f aca="false">(IF(G322=0,0,(Upgrades!$J$8+G322*Upgrades!$K$8)*POWER(Upgrades!$L$8,G322)))*(IF(Upgrades!$T$6="Stellar Coupling",POWER(Upgrades!$U$6,E322),1)*IF(Upgrades!$T$7="Stellar Coupling",POWER(Upgrades!$U$7,F322),1)*IF(Upgrades!$T$9="Stellar Coupling",POWER(Upgrades!$U$9,H322),1)*IF(Upgrades!$T$10="Stellar Coupling",POWER(Upgrades!$U$10,I322),1)*IF(Upgrades!$T$11="Stellar Coupling",POWER(Upgrades!$U$11,J322),1)*IF(Upgrades!$T$12="Stellar Coupling",POWER(Upgrades!$U$12,K322),1))*POWER(Upgrades!$Q$6,E322)*POWER(Upgrades!$Q$7,F322)*POWER(Upgrades!$Q$8,G322)*POWER(Upgrades!$Q$9,H322)*POWER(Upgrades!$Q$10,I322)*POWER(Upgrades!$Q$11,J322)*POWER(Upgrades!$Q$12,K322)*Parameters!$B$10*Parameters!$B$11</f>
        <v>441</v>
      </c>
      <c r="AD322" s="27" t="n">
        <f aca="false">(IF(H322=0,0,(Upgrades!$G$9+H322*Upgrades!$H$9)*POWER(Upgrades!$I$9,H322)))*(IF(Upgrades!$T$6="Magnetosphere",POWER(Upgrades!$U$6,E322),1)*IF(Upgrades!$T$7="Magnetosphere",POWER(Upgrades!$U$7,F322),1)*IF(Upgrades!$T$8="Magnetosphere",POWER(Upgrades!$U$8,G322),1)*IF(Upgrades!$T$10="Magnetosphere",POWER(Upgrades!$U$10,I322),1)*IF(Upgrades!$T$11="Magnetosphere",POWER(Upgrades!$U$11,J322),1)*IF(Upgrades!$T$12="Magnetosphere",POWER(Upgrades!$U$12,K322),1))*POWER(Upgrades!$P$6,E322)*POWER(Upgrades!$P$7,F322)*POWER(Upgrades!$P$8,G322)*POWER(Upgrades!$P$9,H322)*POWER(Upgrades!$P$10,I322)*POWER(Upgrades!$P$11,J322)*POWER(Upgrades!$P$12,K322)*60</f>
        <v>375</v>
      </c>
      <c r="AE322" s="27" t="n">
        <f aca="false">(IF(K322=0,0,(Upgrades!$G$12+K322*Upgrades!$H$12)*POWER(Upgrades!$I$12,K322)))*(IF(Upgrades!$T$6="First Photons",POWER(Upgrades!$U$6,E322),1)*IF(Upgrades!$T$7="First Photons",POWER(Upgrades!$U$7,F322),1)*IF(Upgrades!$T$8="First Photons",POWER(Upgrades!$U$8,G322),1)*IF(Upgrades!$T$9="First Photons",POWER(Upgrades!$U$9,H322),1)*IF(Upgrades!$T$10="First Photons",POWER(Upgrades!$U$10,I322),1)*IF(Upgrades!$T$11="First Photons",POWER(Upgrades!$U$11,J322),1))*POWER(Upgrades!$P$6,E322)*POWER(Upgrades!$P$7,F322)*POWER(Upgrades!$P$8,G322)*POWER(Upgrades!$P$9,H322)*POWER(Upgrades!$P$10,I322)*POWER(Upgrades!$P$11,J322)*POWER(Upgrades!$P$12,K322)*60</f>
        <v>75</v>
      </c>
      <c r="AF322" s="27" t="n">
        <f aca="false">Parameters!$B$9*POWER(Upgrades!$Q$6,E322)*POWER(Upgrades!$Q$7,F322)*POWER(Upgrades!$Q$8,G322)*POWER(Upgrades!$Q$9,H322)*POWER(Upgrades!$Q$10,I322)*POWER(Upgrades!$Q$11,J322)*POWER(Upgrades!$Q$12,K322)*(Parameters!$B$10*Parameters!$B$11+O322*60)</f>
        <v>120</v>
      </c>
      <c r="AG322" s="21" t="n">
        <f aca="false">IF(E322&gt;=Upgrades!$E$6,"",Upgrades!$C$6*POWER(Upgrades!$D$6,E322))</f>
        <v>37.4517507383159</v>
      </c>
      <c r="AH322" s="21" t="n">
        <f aca="false">IF(F322&gt;=Upgrades!$E$7,"",Upgrades!$C$7*POWER(Upgrades!$D$7,F322))</f>
        <v>80.9111547141581</v>
      </c>
      <c r="AI322" s="21" t="n">
        <f aca="false">IF(G322&gt;=Upgrades!$E$8,"",Upgrades!$C$8*POWER(Upgrades!$D$8,G322))</f>
        <v>231.9097088</v>
      </c>
      <c r="AJ322" s="21" t="str">
        <f aca="false">IF(H322&gt;=Upgrades!$E$9,"",Upgrades!$C$9*POWER(Upgrades!$D$9,H322))</f>
        <v/>
      </c>
      <c r="AK322" s="21" t="str">
        <f aca="false">IF(I322&gt;=Upgrades!$E$10,"",Upgrades!$C$10*POWER(Upgrades!$D$10,I322))</f>
        <v/>
      </c>
      <c r="AL322" s="21" t="str">
        <f aca="false">IF(J322&gt;=Upgrades!$E$11,"",Upgrades!$C$11*POWER(Upgrades!$D$11,J322))</f>
        <v/>
      </c>
      <c r="AM322" s="21" t="str">
        <f aca="false">IF(K322&gt;=Upgrades!$E$12,"",Upgrades!$C$12*POWER(Upgrades!$D$12,K322))</f>
        <v/>
      </c>
      <c r="AN322" s="26" t="str">
        <f aca="false">IF(AND(D322&gt;=Parameters!$B$18,(H322&gt;=Upgrades!$E$9)*(K322&gt;=Upgrades!$E$12)=1,L322=0),1,"")</f>
        <v/>
      </c>
      <c r="AO322" s="26" t="str">
        <f aca="false">IF(AND(D322&gt;=Parameters!$B$18,L322=0),1,"")</f>
        <v/>
      </c>
      <c r="AP322" s="21" t="n">
        <f aca="false">MIN(IF(ISNUMBER(AK322),AK322,9000000000000000),IF(ISNUMBER(AL322),AL322,9000000000000000),IF(ISNUMBER(AM322),AM322,9000000000000000))</f>
        <v>9000000000000000</v>
      </c>
      <c r="AQ322" s="21" t="n">
        <f aca="false">MIN(IF(ISNUMBER(AG322),AG322,9000000000000000),IF(ISNUMBER(AH322),AH322,9000000000000000),IF(ISNUMBER(AI322),AI322,9000000000000000),IF(ISNUMBER(AJ322),AJ322,9000000000000000))</f>
        <v>37.4517507383159</v>
      </c>
      <c r="AR322" s="32" t="b">
        <f aca="false">IF(AW322&gt;Parameters!$B$21*(MAX(IF(AND(NOT(AND(AO322=1,AN322&lt;&gt;1)),ISNUMBER(AG322),AG322&lt;=T322),AS322,0),IF(AND(NOT(AND(AO322=1,AN322&lt;&gt;1)),ISNUMBER(AH322),AH322&lt;=T322),AT322,0),IF(AND(NOT(AND(AO322=1,AN322&lt;&gt;1)),ISNUMBER(AI322),AI322&lt;=T322),AU322,0),IF(AND(ISNUMBER(AJ322),AJ322&lt;=T322),AV322,0))),TRUE(),FALSE())</f>
        <v>1</v>
      </c>
      <c r="AS322" s="33" t="n">
        <f aca="false">IFERROR(Upgrades!$H$6*(POWER(Upgrades!$P$6,E322)*POWER(Upgrades!$P$7,F322)*POWER(Upgrades!$P$8,G322)*POWER(Upgrades!$P$9,H322)*POWER(Upgrades!$P$10,I322)*POWER(Upgrades!$P$11,J322)*POWER(Upgrades!$P$12,K322))*(IF(Upgrades!$T$7="Solar Wind",POWER(Upgrades!$U$7,F322),1)*IF(Upgrades!$T$8="Solar Wind",POWER(Upgrades!$U$8,G322),1)*IF(Upgrades!$T$9="Solar Wind",POWER(Upgrades!$U$9,H322),1)*IF(Upgrades!$T$10="Solar Wind",POWER(Upgrades!$U$10,I322),1)*IF(Upgrades!$T$11="Solar Wind",POWER(Upgrades!$U$11,J322),1)*IF(Upgrades!$T$12="Solar Wind",POWER(Upgrades!$U$12,K322),1))/AG322,0)</f>
        <v>0.0026701021455238</v>
      </c>
      <c r="AT322" s="33" t="n">
        <f aca="false">IFERROR(Upgrades!$H$7*(POWER(Upgrades!$P$6,E322)*POWER(Upgrades!$P$7,F322)*POWER(Upgrades!$P$8,G322)*POWER(Upgrades!$P$9,H322)*POWER(Upgrades!$P$10,I322)*POWER(Upgrades!$P$11,J322)*POWER(Upgrades!$P$12,K322))*(IF(Upgrades!$T$6="Asteroid Belt",POWER(Upgrades!$U$6,E322),1)*IF(Upgrades!$T$8="Asteroid Belt",POWER(Upgrades!$U$8,G322),1)*IF(Upgrades!$T$9="Asteroid Belt",POWER(Upgrades!$U$9,H322),1)*IF(Upgrades!$T$10="Asteroid Belt",POWER(Upgrades!$U$10,I322),1)*IF(Upgrades!$T$11="Asteroid Belt",POWER(Upgrades!$U$11,J322),1)*IF(Upgrades!$T$12="Asteroid Belt",POWER(Upgrades!$U$12,K322),1))/AH322,0)</f>
        <v>0.00308980882652332</v>
      </c>
      <c r="AU322" s="33" t="n">
        <f aca="false">IFERROR(Upgrades!$K$8*(POWER(Upgrades!$Q$6,E322)*POWER(Upgrades!$Q$7,F322)*POWER(Upgrades!$Q$8,G322)*POWER(Upgrades!$Q$9,H322)*POWER(Upgrades!$Q$10,I322)*POWER(Upgrades!$Q$11,J322)*POWER(Upgrades!$Q$12,K322))*(IF(Upgrades!$T$6="Stellar Coupling",POWER(Upgrades!$U$6,E322),1)*IF(Upgrades!$T$7="Stellar Coupling",POWER(Upgrades!$U$7,F322),1)*IF(Upgrades!$T$9="Stellar Coupling",POWER(Upgrades!$U$9,H322),1)*IF(Upgrades!$T$10="Stellar Coupling",POWER(Upgrades!$U$10,I322),1)*IF(Upgrades!$T$11="Stellar Coupling",POWER(Upgrades!$U$11,J322),1)*IF(Upgrades!$T$12="Stellar Coupling",POWER(Upgrades!$U$12,K322),1))*Parameters!$B$10*Parameters!$B$11/60/AI322,0)</f>
        <v>0.00452762415783776</v>
      </c>
      <c r="AV322" s="33" t="n">
        <f aca="false">IFERROR(Upgrades!$H$9*(POWER(Upgrades!$P$6,E322)*POWER(Upgrades!$P$7,F322)*POWER(Upgrades!$P$8,G322)*POWER(Upgrades!$P$9,H322)*POWER(Upgrades!$P$10,I322)*POWER(Upgrades!$P$11,J322)*POWER(Upgrades!$P$12,K322))*(IF(Upgrades!$T$6="Magnetosphere",POWER(Upgrades!$U$6,E322),1)*IF(Upgrades!$T$7="Magnetosphere",POWER(Upgrades!$U$7,F322),1)*IF(Upgrades!$T$8="Magnetosphere",POWER(Upgrades!$U$8,G322),1)*IF(Upgrades!$T$10="Magnetosphere",POWER(Upgrades!$U$10,I322),1)*IF(Upgrades!$T$11="Magnetosphere",POWER(Upgrades!$U$11,J322),1)*IF(Upgrades!$T$12="Magnetosphere",POWER(Upgrades!$U$12,K322),1))/AJ322,0)</f>
        <v>0</v>
      </c>
      <c r="AW322" s="33" t="n">
        <f aca="false">MAX(IF(I322&gt;0,0,IFERROR(0.25*N322/Upgrades!$C$10,0)),IF(J322&gt;0,0,IFERROR(0.5*((IF(G322=0,0,(Upgrades!$J$8+G322*Upgrades!$K$8)*POWER(Upgrades!$L$8,G322)))*(IF(Upgrades!$T$6="Stellar Coupling",POWER(Upgrades!$U$6,E322),1)*IF(Upgrades!$T$7="Stellar Coupling",POWER(Upgrades!$U$7,F322),1)*IF(Upgrades!$T$9="Stellar Coupling",POWER(Upgrades!$U$9,H322),1)*IF(Upgrades!$T$10="Stellar Coupling",POWER(Upgrades!$U$10,I322),1)*IF(Upgrades!$T$11="Stellar Coupling",POWER(Upgrades!$U$11,J322),1)*IF(Upgrades!$T$12="Stellar Coupling",POWER(Upgrades!$U$12,K322),1))*(POWER(Upgrades!$Q$6,E322)*POWER(Upgrades!$Q$7,F322)*POWER(Upgrades!$Q$8,G322)*POWER(Upgrades!$Q$9,H322)*POWER(Upgrades!$Q$10,I322)*POWER(Upgrades!$Q$11,J322)*POWER(Upgrades!$Q$12,K322))*Parameters!$B$10*Parameters!$B$11/60)/Upgrades!$C$11,0)),IF(K322&gt;0,0,IFERROR((1*(POWER(Upgrades!$P$6,E322)*POWER(Upgrades!$P$7,F322)*POWER(Upgrades!$P$8,G322)*POWER(Upgrades!$P$9,H322)*POWER(Upgrades!$P$10,I322)*POWER(Upgrades!$P$11,J322)*POWER(Upgrades!$P$12,K322))+0.2*M322*Parameters!$B$10*Parameters!$B$11/60)/Upgrades!$C$12,0)),IF(AND(ISNUMBER(AG322),AG322&gt;T322),AS322,0),IF(AND(ISNUMBER(AH322),AH322&gt;T322),AT322,0),IF(AND(ISNUMBER(AI322),AI322&gt;T322),AU322,0),IF(AND(ISNUMBER(AJ322),AJ322&gt;T322),AV322,0))</f>
        <v>0.00452762415783776</v>
      </c>
      <c r="AX322" s="29" t="str">
        <f aca="false">IF(AN322=1,"transition",IF(MIN(IF(AND(I322=0,ISNUMBER(AK322),AK322&lt;=T322),AK322,9000000000000000),IF(AND(J322=0,ISNUMBER(AL322),AL322&lt;=T322),AL322,9000000000000000),IF(AND(K322=0,ISNUMBER(AM322),AM322&lt;=T322),AM322,9000000000000000))&lt;9000000000000000,IF(AND(AND(I322=0,ISNUMBER(AK322),AK322&lt;=T322),AK322=MIN(IF(AND(I322=0,ISNUMBER(AK322),AK322&lt;=T322),AK322,9000000000000000),IF(AND(J322=0,ISNUMBER(AL322),AL322&lt;=T322),AL322,9000000000000000),IF(AND(K322=0,ISNUMBER(AM322),AM322&lt;=T322),AM322,9000000000000000))),"OR",IF(AND(AND(J322=0,ISNUMBER(AL322),AL322&lt;=T322),AL322=MIN(IF(AND(I322=0,ISNUMBER(AK322),AK322&lt;=T322),AK322,9000000000000000),IF(AND(J322=0,ISNUMBER(AL322),AL322&lt;=T322),AL322,9000000000000000),IF(AND(K322=0,ISNUMBER(AM322),AM322&lt;=T322),AM322,9000000000000000))),"HP","FP")),IF(AR322=TRUE(),"",IF(MAX(IF(AND(NOT(AND(AO322=1,AN322&lt;&gt;1)),ISNUMBER(AG322),AG322&lt;=T322),AS322,0),IF(AND(NOT(AND(AO322=1,AN322&lt;&gt;1)),ISNUMBER(AH322),AH322&lt;=T322),AT322,0),IF(AND(NOT(AND(AO322=1,AN322&lt;&gt;1)),ISNUMBER(AI322),AI322&lt;=T322),AU322,0),IF(AND(ISNUMBER(AJ322),AJ322&lt;=T322),AV322,0))&lt;=0,"",IF(AND(IF(AND(NOT(AND(AO322=1,AN322&lt;&gt;1)),ISNUMBER(AG322),AG322&lt;=T322),AS322,0)&gt;0,IF(AND(NOT(AND(AO322=1,AN322&lt;&gt;1)),ISNUMBER(AG322),AG322&lt;=T322),AS322,0)=MAX(IF(AND(NOT(AND(AO322=1,AN322&lt;&gt;1)),ISNUMBER(AG322),AG322&lt;=T322),AS322,0),IF(AND(NOT(AND(AO322=1,AN322&lt;&gt;1)),ISNUMBER(AH322),AH322&lt;=T322),AT322,0),IF(AND(NOT(AND(AO322=1,AN322&lt;&gt;1)),ISNUMBER(AI322),AI322&lt;=T322),AU322,0),IF(AND(ISNUMBER(AJ322),AJ322&lt;=T322),AV322,0))),"SW",IF(AND(IF(AND(NOT(AND(AO322=1,AN322&lt;&gt;1)),ISNUMBER(AH322),AH322&lt;=T322),AT322,0)&gt;0,IF(AND(NOT(AND(AO322=1,AN322&lt;&gt;1)),ISNUMBER(AH322),AH322&lt;=T322),AT322,0)=MAX(IF(AND(NOT(AND(AO322=1,AN322&lt;&gt;1)),ISNUMBER(AG322),AG322&lt;=T322),AS322,0),IF(AND(NOT(AND(AO322=1,AN322&lt;&gt;1)),ISNUMBER(AH322),AH322&lt;=T322),AT322,0),IF(AND(NOT(AND(AO322=1,AN322&lt;&gt;1)),ISNUMBER(AI322),AI322&lt;=T322),AU322,0),IF(AND(ISNUMBER(AJ322),AJ322&lt;=T322),AV322,0))),"AB",IF(AND(IF(AND(NOT(AND(AO322=1,AN322&lt;&gt;1)),ISNUMBER(AI322),AI322&lt;=T322),AU322,0)&gt;0,IF(AND(NOT(AND(AO322=1,AN322&lt;&gt;1)),ISNUMBER(AI322),AI322&lt;=T322),AU322,0)=MAX(IF(AND(NOT(AND(AO322=1,AN322&lt;&gt;1)),ISNUMBER(AG322),AG322&lt;=T322),AS322,0),IF(AND(NOT(AND(AO322=1,AN322&lt;&gt;1)),ISNUMBER(AH322),AH322&lt;=T322),AT322,0),IF(AND(NOT(AND(AO322=1,AN322&lt;&gt;1)),ISNUMBER(AI322),AI322&lt;=T322),AU322,0),IF(AND(ISNUMBER(AJ322),AJ322&lt;=T322),AV322,0))),"SC","Mag")))))))</f>
        <v/>
      </c>
    </row>
    <row r="323" customFormat="false" ht="15" hidden="false" customHeight="false" outlineLevel="0" collapsed="false">
      <c r="A323" s="26" t="n">
        <v>318</v>
      </c>
      <c r="B323" s="27" t="n">
        <f aca="false">A323*10/60</f>
        <v>53</v>
      </c>
      <c r="C323" s="21" t="n">
        <f aca="false">X322</f>
        <v>18.6730249835055</v>
      </c>
      <c r="D323" s="27" t="n">
        <f aca="false">D322+W322</f>
        <v>0</v>
      </c>
      <c r="E323" s="26" t="n">
        <f aca="false">E322+IF(U322="SW",1,0)</f>
        <v>12</v>
      </c>
      <c r="F323" s="26" t="n">
        <f aca="false">F322+IF(U322="AB",1,0)</f>
        <v>10</v>
      </c>
      <c r="G323" s="26" t="n">
        <f aca="false">G322+IF(U322="SC",1,0)</f>
        <v>7</v>
      </c>
      <c r="H323" s="26" t="n">
        <f aca="false">H322+IF(U322="Mag",1,0)</f>
        <v>5</v>
      </c>
      <c r="I323" s="26" t="n">
        <f aca="false">MAX(I322,IF(U322="OR",1,0))</f>
        <v>1</v>
      </c>
      <c r="J323" s="26" t="n">
        <f aca="false">MAX(J322,IF(U322="HP",1,0))</f>
        <v>1</v>
      </c>
      <c r="K323" s="26" t="n">
        <f aca="false">MAX(K322,IF(U322="FP",1,0))</f>
        <v>1</v>
      </c>
      <c r="L323" s="26" t="n">
        <f aca="false">MAX(L322,IF(U322="transition",1,0))</f>
        <v>1</v>
      </c>
      <c r="M323" s="28" t="n">
        <f aca="false">(Parameters!$B$9+(IF(E323=0,0,(Upgrades!$J$6+E323*Upgrades!$K$6)*POWER(Upgrades!$L$6,E323)))*(IF(Upgrades!$T$7="Solar Wind",POWER(Upgrades!$U$7,F323),1)*IF(Upgrades!$T$8="Solar Wind",POWER(Upgrades!$U$8,G323),1)*IF(Upgrades!$T$9="Solar Wind",POWER(Upgrades!$U$9,H323),1)*IF(Upgrades!$T$10="Solar Wind",POWER(Upgrades!$U$10,I323),1)*IF(Upgrades!$T$11="Solar Wind",POWER(Upgrades!$U$11,J323),1)*IF(Upgrades!$T$12="Solar Wind",POWER(Upgrades!$U$12,K323),1))+(IF(F323=0,0,(Upgrades!$J$7+F323*Upgrades!$K$7)*POWER(Upgrades!$L$7,F323)))*(IF(Upgrades!$T$6="Asteroid Belt",POWER(Upgrades!$U$6,E323),1)*IF(Upgrades!$T$8="Asteroid Belt",POWER(Upgrades!$U$8,G323),1)*IF(Upgrades!$T$9="Asteroid Belt",POWER(Upgrades!$U$9,H323),1)*IF(Upgrades!$T$10="Asteroid Belt",POWER(Upgrades!$U$10,I323),1)*IF(Upgrades!$T$11="Asteroid Belt",POWER(Upgrades!$U$11,J323),1)*IF(Upgrades!$T$12="Asteroid Belt",POWER(Upgrades!$U$12,K323),1))+(IF(G323=0,0,(Upgrades!$J$8+G323*Upgrades!$K$8)*POWER(Upgrades!$L$8,G323)))*(IF(Upgrades!$T$6="Stellar Coupling",POWER(Upgrades!$U$6,E323),1)*IF(Upgrades!$T$7="Stellar Coupling",POWER(Upgrades!$U$7,F323),1)*IF(Upgrades!$T$9="Stellar Coupling",POWER(Upgrades!$U$9,H323),1)*IF(Upgrades!$T$10="Stellar Coupling",POWER(Upgrades!$U$10,I323),1)*IF(Upgrades!$T$11="Stellar Coupling",POWER(Upgrades!$U$11,J323),1)*IF(Upgrades!$T$12="Stellar Coupling",POWER(Upgrades!$U$12,K323),1))+(IF(H323=0,0,(Upgrades!$J$9+H323*Upgrades!$K$9)*POWER(Upgrades!$L$9,H323)))*(IF(Upgrades!$T$6="Magnetosphere",POWER(Upgrades!$U$6,E323),1)*IF(Upgrades!$T$7="Magnetosphere",POWER(Upgrades!$U$7,F323),1)*IF(Upgrades!$T$8="Magnetosphere",POWER(Upgrades!$U$8,G323),1)*IF(Upgrades!$T$10="Magnetosphere",POWER(Upgrades!$U$10,I323),1)*IF(Upgrades!$T$11="Magnetosphere",POWER(Upgrades!$U$11,J323),1)*IF(Upgrades!$T$12="Magnetosphere",POWER(Upgrades!$U$12,K323),1))+(IF(I323=0,0,(Upgrades!$J$10+I323*Upgrades!$K$10)*POWER(Upgrades!$L$10,I323)))*(IF(Upgrades!$T$6="Orbital Resonance",POWER(Upgrades!$U$6,E323),1)*IF(Upgrades!$T$7="Orbital Resonance",POWER(Upgrades!$U$7,F323),1)*IF(Upgrades!$T$8="Orbital Resonance",POWER(Upgrades!$U$8,G323),1)*IF(Upgrades!$T$9="Orbital Resonance",POWER(Upgrades!$U$9,H323),1)*IF(Upgrades!$T$11="Orbital Resonance",POWER(Upgrades!$U$11,J323),1)*IF(Upgrades!$T$12="Orbital Resonance",POWER(Upgrades!$U$12,K323),1))+(IF(J323=0,0,(Upgrades!$J$11+J323*Upgrades!$K$11)*POWER(Upgrades!$L$11,J323)))*(IF(Upgrades!$T$6="Heliopause",POWER(Upgrades!$U$6,E323),1)*IF(Upgrades!$T$7="Heliopause",POWER(Upgrades!$U$7,F323),1)*IF(Upgrades!$T$8="Heliopause",POWER(Upgrades!$U$8,G323),1)*IF(Upgrades!$T$9="Heliopause",POWER(Upgrades!$U$9,H323),1)*IF(Upgrades!$T$10="Heliopause",POWER(Upgrades!$U$10,I323),1)*IF(Upgrades!$T$12="Heliopause",POWER(Upgrades!$U$12,K323),1))+(IF(K323=0,0,(Upgrades!$J$12+K323*Upgrades!$K$12)*POWER(Upgrades!$L$12,K323)))*(IF(Upgrades!$T$6="First Photons",POWER(Upgrades!$U$6,E323),1)*IF(Upgrades!$T$7="First Photons",POWER(Upgrades!$U$7,F323),1)*IF(Upgrades!$T$8="First Photons",POWER(Upgrades!$U$8,G323),1)*IF(Upgrades!$T$9="First Photons",POWER(Upgrades!$U$9,H323),1)*IF(Upgrades!$T$10="First Photons",POWER(Upgrades!$U$10,I323),1)*IF(Upgrades!$T$11="First Photons",POWER(Upgrades!$U$11,J323),1)))*POWER(Upgrades!$Q$6,E323)*POWER(Upgrades!$Q$7,F323)*POWER(Upgrades!$Q$8,G323)*POWER(Upgrades!$Q$9,H323)*POWER(Upgrades!$Q$10,I323)*POWER(Upgrades!$Q$11,J323)*POWER(Upgrades!$Q$12,K323)</f>
        <v>5.61</v>
      </c>
      <c r="N323" s="28" t="n">
        <f aca="false">((IF(E323=0,0,(Upgrades!$G$6+E323*Upgrades!$H$6)*POWER(Upgrades!$I$6,E323)))*(IF(Upgrades!$T$7="Solar Wind",POWER(Upgrades!$U$7,F323),1)*IF(Upgrades!$T$8="Solar Wind",POWER(Upgrades!$U$8,G323),1)*IF(Upgrades!$T$9="Solar Wind",POWER(Upgrades!$U$9,H323),1)*IF(Upgrades!$T$10="Solar Wind",POWER(Upgrades!$U$10,I323),1)*IF(Upgrades!$T$11="Solar Wind",POWER(Upgrades!$U$11,J323),1)*IF(Upgrades!$T$12="Solar Wind",POWER(Upgrades!$U$12,K323),1))+(IF(F323=0,0,(Upgrades!$G$7+F323*Upgrades!$H$7)*POWER(Upgrades!$I$7,F323)))*(IF(Upgrades!$T$6="Asteroid Belt",POWER(Upgrades!$U$6,E323),1)*IF(Upgrades!$T$8="Asteroid Belt",POWER(Upgrades!$U$8,G323),1)*IF(Upgrades!$T$9="Asteroid Belt",POWER(Upgrades!$U$9,H323),1)*IF(Upgrades!$T$10="Asteroid Belt",POWER(Upgrades!$U$10,I323),1)*IF(Upgrades!$T$11="Asteroid Belt",POWER(Upgrades!$U$11,J323),1)*IF(Upgrades!$T$12="Asteroid Belt",POWER(Upgrades!$U$12,K323),1))+(IF(G323=0,0,(Upgrades!$G$8+G323*Upgrades!$H$8)*POWER(Upgrades!$I$8,G323)))*(IF(Upgrades!$T$6="Stellar Coupling",POWER(Upgrades!$U$6,E323),1)*IF(Upgrades!$T$7="Stellar Coupling",POWER(Upgrades!$U$7,F323),1)*IF(Upgrades!$T$9="Stellar Coupling",POWER(Upgrades!$U$9,H323),1)*IF(Upgrades!$T$10="Stellar Coupling",POWER(Upgrades!$U$10,I323),1)*IF(Upgrades!$T$11="Stellar Coupling",POWER(Upgrades!$U$11,J323),1)*IF(Upgrades!$T$12="Stellar Coupling",POWER(Upgrades!$U$12,K323),1))+(IF(H323=0,0,(Upgrades!$G$9+H323*Upgrades!$H$9)*POWER(Upgrades!$I$9,H323)))*(IF(Upgrades!$T$6="Magnetosphere",POWER(Upgrades!$U$6,E323),1)*IF(Upgrades!$T$7="Magnetosphere",POWER(Upgrades!$U$7,F323),1)*IF(Upgrades!$T$8="Magnetosphere",POWER(Upgrades!$U$8,G323),1)*IF(Upgrades!$T$10="Magnetosphere",POWER(Upgrades!$U$10,I323),1)*IF(Upgrades!$T$11="Magnetosphere",POWER(Upgrades!$U$11,J323),1)*IF(Upgrades!$T$12="Magnetosphere",POWER(Upgrades!$U$12,K323),1))+(IF(I323=0,0,(Upgrades!$G$10+I323*Upgrades!$H$10)*POWER(Upgrades!$I$10,I323)))*(IF(Upgrades!$T$6="Orbital Resonance",POWER(Upgrades!$U$6,E323),1)*IF(Upgrades!$T$7="Orbital Resonance",POWER(Upgrades!$U$7,F323),1)*IF(Upgrades!$T$8="Orbital Resonance",POWER(Upgrades!$U$8,G323),1)*IF(Upgrades!$T$9="Orbital Resonance",POWER(Upgrades!$U$9,H323),1)*IF(Upgrades!$T$11="Orbital Resonance",POWER(Upgrades!$U$11,J323),1)*IF(Upgrades!$T$12="Orbital Resonance",POWER(Upgrades!$U$12,K323),1))+(IF(J323=0,0,(Upgrades!$G$11+J323*Upgrades!$H$11)*POWER(Upgrades!$I$11,J323)))*(IF(Upgrades!$T$6="Heliopause",POWER(Upgrades!$U$6,E323),1)*IF(Upgrades!$T$7="Heliopause",POWER(Upgrades!$U$7,F323),1)*IF(Upgrades!$T$8="Heliopause",POWER(Upgrades!$U$8,G323),1)*IF(Upgrades!$T$9="Heliopause",POWER(Upgrades!$U$9,H323),1)*IF(Upgrades!$T$10="Heliopause",POWER(Upgrades!$U$10,I323),1)*IF(Upgrades!$T$12="Heliopause",POWER(Upgrades!$U$12,K323),1))+(IF(K323=0,0,(Upgrades!$G$12+K323*Upgrades!$H$12)*POWER(Upgrades!$I$12,K323)))*(IF(Upgrades!$T$6="First Photons",POWER(Upgrades!$U$6,E323),1)*IF(Upgrades!$T$7="First Photons",POWER(Upgrades!$U$7,F323),1)*IF(Upgrades!$T$8="First Photons",POWER(Upgrades!$U$8,G323),1)*IF(Upgrades!$T$9="First Photons",POWER(Upgrades!$U$9,H323),1)*IF(Upgrades!$T$10="First Photons",POWER(Upgrades!$U$10,I323),1)*IF(Upgrades!$T$11="First Photons",POWER(Upgrades!$U$11,J323),1)))*POWER(Upgrades!$P$6,E323)*POWER(Upgrades!$P$7,F323)*POWER(Upgrades!$P$8,G323)*POWER(Upgrades!$P$9,H323)*POWER(Upgrades!$P$10,I323)*POWER(Upgrades!$P$11,J323)*POWER(Upgrades!$P$12,K323)</f>
        <v>11.2</v>
      </c>
      <c r="O323" s="28" t="n">
        <f aca="false">((IF(E323=0,0,(Upgrades!$M$6+E323*Upgrades!$N$6)*POWER(Upgrades!$O$6,E323)))*(IF(Upgrades!$T$7="Solar Wind",POWER(Upgrades!$U$7,F323),1)*IF(Upgrades!$T$8="Solar Wind",POWER(Upgrades!$U$8,G323),1)*IF(Upgrades!$T$9="Solar Wind",POWER(Upgrades!$U$9,H323),1)*IF(Upgrades!$T$10="Solar Wind",POWER(Upgrades!$U$10,I323),1)*IF(Upgrades!$T$11="Solar Wind",POWER(Upgrades!$U$11,J323),1)*IF(Upgrades!$T$12="Solar Wind",POWER(Upgrades!$U$12,K323),1))+(IF(F323=0,0,(Upgrades!$M$7+F323*Upgrades!$N$7)*POWER(Upgrades!$O$7,F323)))*(IF(Upgrades!$T$6="Asteroid Belt",POWER(Upgrades!$U$6,E323),1)*IF(Upgrades!$T$8="Asteroid Belt",POWER(Upgrades!$U$8,G323),1)*IF(Upgrades!$T$9="Asteroid Belt",POWER(Upgrades!$U$9,H323),1)*IF(Upgrades!$T$10="Asteroid Belt",POWER(Upgrades!$U$10,I323),1)*IF(Upgrades!$T$11="Asteroid Belt",POWER(Upgrades!$U$11,J323),1)*IF(Upgrades!$T$12="Asteroid Belt",POWER(Upgrades!$U$12,K323),1))+(IF(G323=0,0,(Upgrades!$M$8+G323*Upgrades!$N$8)*POWER(Upgrades!$O$8,G323)))*(IF(Upgrades!$T$6="Stellar Coupling",POWER(Upgrades!$U$6,E323),1)*IF(Upgrades!$T$7="Stellar Coupling",POWER(Upgrades!$U$7,F323),1)*IF(Upgrades!$T$9="Stellar Coupling",POWER(Upgrades!$U$9,H323),1)*IF(Upgrades!$T$10="Stellar Coupling",POWER(Upgrades!$U$10,I323),1)*IF(Upgrades!$T$11="Stellar Coupling",POWER(Upgrades!$U$11,J323),1)*IF(Upgrades!$T$12="Stellar Coupling",POWER(Upgrades!$U$12,K323),1))+(IF(H323=0,0,(Upgrades!$M$9+H323*Upgrades!$N$9)*POWER(Upgrades!$O$9,H323)))*(IF(Upgrades!$T$6="Magnetosphere",POWER(Upgrades!$U$6,E323),1)*IF(Upgrades!$T$7="Magnetosphere",POWER(Upgrades!$U$7,F323),1)*IF(Upgrades!$T$8="Magnetosphere",POWER(Upgrades!$U$8,G323),1)*IF(Upgrades!$T$10="Magnetosphere",POWER(Upgrades!$U$10,I323),1)*IF(Upgrades!$T$11="Magnetosphere",POWER(Upgrades!$U$11,J323),1)*IF(Upgrades!$T$12="Magnetosphere",POWER(Upgrades!$U$12,K323),1))+(IF(I323=0,0,(Upgrades!$M$10+I323*Upgrades!$N$10)*POWER(Upgrades!$O$10,I323)))*(IF(Upgrades!$T$6="Orbital Resonance",POWER(Upgrades!$U$6,E323),1)*IF(Upgrades!$T$7="Orbital Resonance",POWER(Upgrades!$U$7,F323),1)*IF(Upgrades!$T$8="Orbital Resonance",POWER(Upgrades!$U$8,G323),1)*IF(Upgrades!$T$9="Orbital Resonance",POWER(Upgrades!$U$9,H323),1)*IF(Upgrades!$T$11="Orbital Resonance",POWER(Upgrades!$U$11,J323),1)*IF(Upgrades!$T$12="Orbital Resonance",POWER(Upgrades!$U$12,K323),1))+(IF(J323=0,0,(Upgrades!$M$11+J323*Upgrades!$N$11)*POWER(Upgrades!$O$11,J323)))*(IF(Upgrades!$T$6="Heliopause",POWER(Upgrades!$U$6,E323),1)*IF(Upgrades!$T$7="Heliopause",POWER(Upgrades!$U$7,F323),1)*IF(Upgrades!$T$8="Heliopause",POWER(Upgrades!$U$8,G323),1)*IF(Upgrades!$T$9="Heliopause",POWER(Upgrades!$U$9,H323),1)*IF(Upgrades!$T$10="Heliopause",POWER(Upgrades!$U$10,I323),1)*IF(Upgrades!$T$12="Heliopause",POWER(Upgrades!$U$12,K323),1))+(IF(K323=0,0,(Upgrades!$M$12+K323*Upgrades!$N$12)*POWER(Upgrades!$O$12,K323)))*(IF(Upgrades!$T$6="First Photons",POWER(Upgrades!$U$6,E323),1)*IF(Upgrades!$T$7="First Photons",POWER(Upgrades!$U$7,F323),1)*IF(Upgrades!$T$8="First Photons",POWER(Upgrades!$U$8,G323),1)*IF(Upgrades!$T$9="First Photons",POWER(Upgrades!$U$9,H323),1)*IF(Upgrades!$T$10="First Photons",POWER(Upgrades!$U$10,I323),1)*IF(Upgrades!$T$11="First Photons",POWER(Upgrades!$U$11,J323),1)))*POWER(Upgrades!$R$6,E323)*POWER(Upgrades!$R$7,F323)*POWER(Upgrades!$R$8,G323)*POWER(Upgrades!$R$9,H323)*POWER(Upgrades!$R$10,I323)*POWER(Upgrades!$R$11,J323)*POWER(Upgrades!$R$12,K323)</f>
        <v>0</v>
      </c>
      <c r="P323" s="27" t="n">
        <f aca="false">IF(L323=1,0,M323*Parameters!$B$10/60*Parameters!$B$11*10)</f>
        <v>0</v>
      </c>
      <c r="Q323" s="27" t="n">
        <f aca="false">IF(L323=1,0,O323*M323*10)</f>
        <v>0</v>
      </c>
      <c r="R323" s="27" t="n">
        <f aca="false">IF(L323=1,0,N323*10)</f>
        <v>0</v>
      </c>
      <c r="S323" s="27" t="n">
        <f aca="false">P323+Q323+R323</f>
        <v>0</v>
      </c>
      <c r="T323" s="21" t="n">
        <f aca="false">C323+S323</f>
        <v>18.6730249835055</v>
      </c>
      <c r="U323" s="34" t="str">
        <f aca="false">AX323</f>
        <v/>
      </c>
      <c r="V323" s="21" t="n">
        <f aca="false">IF(U323="",0,IF(U323="transition",0,IF(U323="SW",AG323,IF(U323="AB",AH323,IF(U323="SC",AI323,IF(U323="Mag",AJ323,IF(U323="OR",AK323,IF(U323="HP",AL323,IF(U323="FP",AM323,0)))))))))</f>
        <v>0</v>
      </c>
      <c r="W323" s="27" t="n">
        <f aca="false">IF(U323="OR",Upgrades!$F$10,IF(U323="HP",Upgrades!$F$11,IF(U323="transition",-Parameters!$B$18,0)))</f>
        <v>0</v>
      </c>
      <c r="X323" s="21" t="n">
        <f aca="false">T323-V323</f>
        <v>18.6730249835055</v>
      </c>
      <c r="Y323" s="30" t="n">
        <f aca="false">M323*Parameters!$B$10/60*Parameters!$B$11+O323*M323+N323</f>
        <v>20.55</v>
      </c>
      <c r="Z323" s="35" t="str">
        <f aca="false">IF(U323="transition","→ Tier 2 (Stellar Neighborhood)",IF(U323="FP","First Photons — light begins, system quickens",IF(U323="HP","Heliopause acquired",IF(U323="OR","Orbital Resonance — passive multiplier active",IF(AND(AO323=1,L323=0,AN323&lt;&gt;1),"Cohesion ready (waiting on completionist upgrades)","")))))</f>
        <v/>
      </c>
      <c r="AA323" s="27" t="n">
        <f aca="false">(IF(E323=0,0,(Upgrades!$G$6+E323*Upgrades!$H$6)*POWER(Upgrades!$I$6,E323)))*(IF(Upgrades!$T$7="Solar Wind",POWER(Upgrades!$U$7,F323),1)*IF(Upgrades!$T$8="Solar Wind",POWER(Upgrades!$U$8,G323),1)*IF(Upgrades!$T$9="Solar Wind",POWER(Upgrades!$U$9,H323),1)*IF(Upgrades!$T$10="Solar Wind",POWER(Upgrades!$U$10,I323),1)*IF(Upgrades!$T$11="Solar Wind",POWER(Upgrades!$U$11,J323),1)*IF(Upgrades!$T$12="Solar Wind",POWER(Upgrades!$U$12,K323),1))*POWER(Upgrades!$P$6,E323)*POWER(Upgrades!$P$7,F323)*POWER(Upgrades!$P$8,G323)*POWER(Upgrades!$P$9,H323)*POWER(Upgrades!$P$10,I323)*POWER(Upgrades!$P$11,J323)*POWER(Upgrades!$P$12,K323)*60</f>
        <v>72</v>
      </c>
      <c r="AB323" s="27" t="n">
        <f aca="false">(IF(F323=0,0,(Upgrades!$G$7+F323*Upgrades!$H$7)*POWER(Upgrades!$I$7,F323)))*(IF(Upgrades!$T$6="Asteroid Belt",POWER(Upgrades!$U$6,E323),1)*IF(Upgrades!$T$8="Asteroid Belt",POWER(Upgrades!$U$8,G323),1)*IF(Upgrades!$T$9="Asteroid Belt",POWER(Upgrades!$U$9,H323),1)*IF(Upgrades!$T$10="Asteroid Belt",POWER(Upgrades!$U$10,I323),1)*IF(Upgrades!$T$11="Asteroid Belt",POWER(Upgrades!$U$11,J323),1)*IF(Upgrades!$T$12="Asteroid Belt",POWER(Upgrades!$U$12,K323),1))*POWER(Upgrades!$P$6,E323)*POWER(Upgrades!$P$7,F323)*POWER(Upgrades!$P$8,G323)*POWER(Upgrades!$P$9,H323)*POWER(Upgrades!$P$10,I323)*POWER(Upgrades!$P$11,J323)*POWER(Upgrades!$P$12,K323)*60</f>
        <v>150</v>
      </c>
      <c r="AC323" s="27" t="n">
        <f aca="false">(IF(G323=0,0,(Upgrades!$J$8+G323*Upgrades!$K$8)*POWER(Upgrades!$L$8,G323)))*(IF(Upgrades!$T$6="Stellar Coupling",POWER(Upgrades!$U$6,E323),1)*IF(Upgrades!$T$7="Stellar Coupling",POWER(Upgrades!$U$7,F323),1)*IF(Upgrades!$T$9="Stellar Coupling",POWER(Upgrades!$U$9,H323),1)*IF(Upgrades!$T$10="Stellar Coupling",POWER(Upgrades!$U$10,I323),1)*IF(Upgrades!$T$11="Stellar Coupling",POWER(Upgrades!$U$11,J323),1)*IF(Upgrades!$T$12="Stellar Coupling",POWER(Upgrades!$U$12,K323),1))*POWER(Upgrades!$Q$6,E323)*POWER(Upgrades!$Q$7,F323)*POWER(Upgrades!$Q$8,G323)*POWER(Upgrades!$Q$9,H323)*POWER(Upgrades!$Q$10,I323)*POWER(Upgrades!$Q$11,J323)*POWER(Upgrades!$Q$12,K323)*Parameters!$B$10*Parameters!$B$11</f>
        <v>441</v>
      </c>
      <c r="AD323" s="27" t="n">
        <f aca="false">(IF(H323=0,0,(Upgrades!$G$9+H323*Upgrades!$H$9)*POWER(Upgrades!$I$9,H323)))*(IF(Upgrades!$T$6="Magnetosphere",POWER(Upgrades!$U$6,E323),1)*IF(Upgrades!$T$7="Magnetosphere",POWER(Upgrades!$U$7,F323),1)*IF(Upgrades!$T$8="Magnetosphere",POWER(Upgrades!$U$8,G323),1)*IF(Upgrades!$T$10="Magnetosphere",POWER(Upgrades!$U$10,I323),1)*IF(Upgrades!$T$11="Magnetosphere",POWER(Upgrades!$U$11,J323),1)*IF(Upgrades!$T$12="Magnetosphere",POWER(Upgrades!$U$12,K323),1))*POWER(Upgrades!$P$6,E323)*POWER(Upgrades!$P$7,F323)*POWER(Upgrades!$P$8,G323)*POWER(Upgrades!$P$9,H323)*POWER(Upgrades!$P$10,I323)*POWER(Upgrades!$P$11,J323)*POWER(Upgrades!$P$12,K323)*60</f>
        <v>375</v>
      </c>
      <c r="AE323" s="27" t="n">
        <f aca="false">(IF(K323=0,0,(Upgrades!$G$12+K323*Upgrades!$H$12)*POWER(Upgrades!$I$12,K323)))*(IF(Upgrades!$T$6="First Photons",POWER(Upgrades!$U$6,E323),1)*IF(Upgrades!$T$7="First Photons",POWER(Upgrades!$U$7,F323),1)*IF(Upgrades!$T$8="First Photons",POWER(Upgrades!$U$8,G323),1)*IF(Upgrades!$T$9="First Photons",POWER(Upgrades!$U$9,H323),1)*IF(Upgrades!$T$10="First Photons",POWER(Upgrades!$U$10,I323),1)*IF(Upgrades!$T$11="First Photons",POWER(Upgrades!$U$11,J323),1))*POWER(Upgrades!$P$6,E323)*POWER(Upgrades!$P$7,F323)*POWER(Upgrades!$P$8,G323)*POWER(Upgrades!$P$9,H323)*POWER(Upgrades!$P$10,I323)*POWER(Upgrades!$P$11,J323)*POWER(Upgrades!$P$12,K323)*60</f>
        <v>75</v>
      </c>
      <c r="AF323" s="27" t="n">
        <f aca="false">Parameters!$B$9*POWER(Upgrades!$Q$6,E323)*POWER(Upgrades!$Q$7,F323)*POWER(Upgrades!$Q$8,G323)*POWER(Upgrades!$Q$9,H323)*POWER(Upgrades!$Q$10,I323)*POWER(Upgrades!$Q$11,J323)*POWER(Upgrades!$Q$12,K323)*(Parameters!$B$10*Parameters!$B$11+O323*60)</f>
        <v>120</v>
      </c>
      <c r="AG323" s="21" t="n">
        <f aca="false">IF(E323&gt;=Upgrades!$E$6,"",Upgrades!$C$6*POWER(Upgrades!$D$6,E323))</f>
        <v>37.4517507383159</v>
      </c>
      <c r="AH323" s="21" t="n">
        <f aca="false">IF(F323&gt;=Upgrades!$E$7,"",Upgrades!$C$7*POWER(Upgrades!$D$7,F323))</f>
        <v>80.9111547141581</v>
      </c>
      <c r="AI323" s="21" t="n">
        <f aca="false">IF(G323&gt;=Upgrades!$E$8,"",Upgrades!$C$8*POWER(Upgrades!$D$8,G323))</f>
        <v>231.9097088</v>
      </c>
      <c r="AJ323" s="21" t="str">
        <f aca="false">IF(H323&gt;=Upgrades!$E$9,"",Upgrades!$C$9*POWER(Upgrades!$D$9,H323))</f>
        <v/>
      </c>
      <c r="AK323" s="21" t="str">
        <f aca="false">IF(I323&gt;=Upgrades!$E$10,"",Upgrades!$C$10*POWER(Upgrades!$D$10,I323))</f>
        <v/>
      </c>
      <c r="AL323" s="21" t="str">
        <f aca="false">IF(J323&gt;=Upgrades!$E$11,"",Upgrades!$C$11*POWER(Upgrades!$D$11,J323))</f>
        <v/>
      </c>
      <c r="AM323" s="21" t="str">
        <f aca="false">IF(K323&gt;=Upgrades!$E$12,"",Upgrades!$C$12*POWER(Upgrades!$D$12,K323))</f>
        <v/>
      </c>
      <c r="AN323" s="26" t="str">
        <f aca="false">IF(AND(D323&gt;=Parameters!$B$18,(H323&gt;=Upgrades!$E$9)*(K323&gt;=Upgrades!$E$12)=1,L323=0),1,"")</f>
        <v/>
      </c>
      <c r="AO323" s="26" t="str">
        <f aca="false">IF(AND(D323&gt;=Parameters!$B$18,L323=0),1,"")</f>
        <v/>
      </c>
      <c r="AP323" s="21" t="n">
        <f aca="false">MIN(IF(ISNUMBER(AK323),AK323,9000000000000000),IF(ISNUMBER(AL323),AL323,9000000000000000),IF(ISNUMBER(AM323),AM323,9000000000000000))</f>
        <v>9000000000000000</v>
      </c>
      <c r="AQ323" s="21" t="n">
        <f aca="false">MIN(IF(ISNUMBER(AG323),AG323,9000000000000000),IF(ISNUMBER(AH323),AH323,9000000000000000),IF(ISNUMBER(AI323),AI323,9000000000000000),IF(ISNUMBER(AJ323),AJ323,9000000000000000))</f>
        <v>37.4517507383159</v>
      </c>
      <c r="AR323" s="32" t="b">
        <f aca="false">IF(AW323&gt;Parameters!$B$21*(MAX(IF(AND(NOT(AND(AO323=1,AN323&lt;&gt;1)),ISNUMBER(AG323),AG323&lt;=T323),AS323,0),IF(AND(NOT(AND(AO323=1,AN323&lt;&gt;1)),ISNUMBER(AH323),AH323&lt;=T323),AT323,0),IF(AND(NOT(AND(AO323=1,AN323&lt;&gt;1)),ISNUMBER(AI323),AI323&lt;=T323),AU323,0),IF(AND(ISNUMBER(AJ323),AJ323&lt;=T323),AV323,0))),TRUE(),FALSE())</f>
        <v>1</v>
      </c>
      <c r="AS323" s="33" t="n">
        <f aca="false">IFERROR(Upgrades!$H$6*(POWER(Upgrades!$P$6,E323)*POWER(Upgrades!$P$7,F323)*POWER(Upgrades!$P$8,G323)*POWER(Upgrades!$P$9,H323)*POWER(Upgrades!$P$10,I323)*POWER(Upgrades!$P$11,J323)*POWER(Upgrades!$P$12,K323))*(IF(Upgrades!$T$7="Solar Wind",POWER(Upgrades!$U$7,F323),1)*IF(Upgrades!$T$8="Solar Wind",POWER(Upgrades!$U$8,G323),1)*IF(Upgrades!$T$9="Solar Wind",POWER(Upgrades!$U$9,H323),1)*IF(Upgrades!$T$10="Solar Wind",POWER(Upgrades!$U$10,I323),1)*IF(Upgrades!$T$11="Solar Wind",POWER(Upgrades!$U$11,J323),1)*IF(Upgrades!$T$12="Solar Wind",POWER(Upgrades!$U$12,K323),1))/AG323,0)</f>
        <v>0.0026701021455238</v>
      </c>
      <c r="AT323" s="33" t="n">
        <f aca="false">IFERROR(Upgrades!$H$7*(POWER(Upgrades!$P$6,E323)*POWER(Upgrades!$P$7,F323)*POWER(Upgrades!$P$8,G323)*POWER(Upgrades!$P$9,H323)*POWER(Upgrades!$P$10,I323)*POWER(Upgrades!$P$11,J323)*POWER(Upgrades!$P$12,K323))*(IF(Upgrades!$T$6="Asteroid Belt",POWER(Upgrades!$U$6,E323),1)*IF(Upgrades!$T$8="Asteroid Belt",POWER(Upgrades!$U$8,G323),1)*IF(Upgrades!$T$9="Asteroid Belt",POWER(Upgrades!$U$9,H323),1)*IF(Upgrades!$T$10="Asteroid Belt",POWER(Upgrades!$U$10,I323),1)*IF(Upgrades!$T$11="Asteroid Belt",POWER(Upgrades!$U$11,J323),1)*IF(Upgrades!$T$12="Asteroid Belt",POWER(Upgrades!$U$12,K323),1))/AH323,0)</f>
        <v>0.00308980882652332</v>
      </c>
      <c r="AU323" s="33" t="n">
        <f aca="false">IFERROR(Upgrades!$K$8*(POWER(Upgrades!$Q$6,E323)*POWER(Upgrades!$Q$7,F323)*POWER(Upgrades!$Q$8,G323)*POWER(Upgrades!$Q$9,H323)*POWER(Upgrades!$Q$10,I323)*POWER(Upgrades!$Q$11,J323)*POWER(Upgrades!$Q$12,K323))*(IF(Upgrades!$T$6="Stellar Coupling",POWER(Upgrades!$U$6,E323),1)*IF(Upgrades!$T$7="Stellar Coupling",POWER(Upgrades!$U$7,F323),1)*IF(Upgrades!$T$9="Stellar Coupling",POWER(Upgrades!$U$9,H323),1)*IF(Upgrades!$T$10="Stellar Coupling",POWER(Upgrades!$U$10,I323),1)*IF(Upgrades!$T$11="Stellar Coupling",POWER(Upgrades!$U$11,J323),1)*IF(Upgrades!$T$12="Stellar Coupling",POWER(Upgrades!$U$12,K323),1))*Parameters!$B$10*Parameters!$B$11/60/AI323,0)</f>
        <v>0.00452762415783776</v>
      </c>
      <c r="AV323" s="33" t="n">
        <f aca="false">IFERROR(Upgrades!$H$9*(POWER(Upgrades!$P$6,E323)*POWER(Upgrades!$P$7,F323)*POWER(Upgrades!$P$8,G323)*POWER(Upgrades!$P$9,H323)*POWER(Upgrades!$P$10,I323)*POWER(Upgrades!$P$11,J323)*POWER(Upgrades!$P$12,K323))*(IF(Upgrades!$T$6="Magnetosphere",POWER(Upgrades!$U$6,E323),1)*IF(Upgrades!$T$7="Magnetosphere",POWER(Upgrades!$U$7,F323),1)*IF(Upgrades!$T$8="Magnetosphere",POWER(Upgrades!$U$8,G323),1)*IF(Upgrades!$T$10="Magnetosphere",POWER(Upgrades!$U$10,I323),1)*IF(Upgrades!$T$11="Magnetosphere",POWER(Upgrades!$U$11,J323),1)*IF(Upgrades!$T$12="Magnetosphere",POWER(Upgrades!$U$12,K323),1))/AJ323,0)</f>
        <v>0</v>
      </c>
      <c r="AW323" s="33" t="n">
        <f aca="false">MAX(IF(I323&gt;0,0,IFERROR(0.25*N323/Upgrades!$C$10,0)),IF(J323&gt;0,0,IFERROR(0.5*((IF(G323=0,0,(Upgrades!$J$8+G323*Upgrades!$K$8)*POWER(Upgrades!$L$8,G323)))*(IF(Upgrades!$T$6="Stellar Coupling",POWER(Upgrades!$U$6,E323),1)*IF(Upgrades!$T$7="Stellar Coupling",POWER(Upgrades!$U$7,F323),1)*IF(Upgrades!$T$9="Stellar Coupling",POWER(Upgrades!$U$9,H323),1)*IF(Upgrades!$T$10="Stellar Coupling",POWER(Upgrades!$U$10,I323),1)*IF(Upgrades!$T$11="Stellar Coupling",POWER(Upgrades!$U$11,J323),1)*IF(Upgrades!$T$12="Stellar Coupling",POWER(Upgrades!$U$12,K323),1))*(POWER(Upgrades!$Q$6,E323)*POWER(Upgrades!$Q$7,F323)*POWER(Upgrades!$Q$8,G323)*POWER(Upgrades!$Q$9,H323)*POWER(Upgrades!$Q$10,I323)*POWER(Upgrades!$Q$11,J323)*POWER(Upgrades!$Q$12,K323))*Parameters!$B$10*Parameters!$B$11/60)/Upgrades!$C$11,0)),IF(K323&gt;0,0,IFERROR((1*(POWER(Upgrades!$P$6,E323)*POWER(Upgrades!$P$7,F323)*POWER(Upgrades!$P$8,G323)*POWER(Upgrades!$P$9,H323)*POWER(Upgrades!$P$10,I323)*POWER(Upgrades!$P$11,J323)*POWER(Upgrades!$P$12,K323))+0.2*M323*Parameters!$B$10*Parameters!$B$11/60)/Upgrades!$C$12,0)),IF(AND(ISNUMBER(AG323),AG323&gt;T323),AS323,0),IF(AND(ISNUMBER(AH323),AH323&gt;T323),AT323,0),IF(AND(ISNUMBER(AI323),AI323&gt;T323),AU323,0),IF(AND(ISNUMBER(AJ323),AJ323&gt;T323),AV323,0))</f>
        <v>0.00452762415783776</v>
      </c>
      <c r="AX323" s="29" t="str">
        <f aca="false">IF(AN323=1,"transition",IF(MIN(IF(AND(I323=0,ISNUMBER(AK323),AK323&lt;=T323),AK323,9000000000000000),IF(AND(J323=0,ISNUMBER(AL323),AL323&lt;=T323),AL323,9000000000000000),IF(AND(K323=0,ISNUMBER(AM323),AM323&lt;=T323),AM323,9000000000000000))&lt;9000000000000000,IF(AND(AND(I323=0,ISNUMBER(AK323),AK323&lt;=T323),AK323=MIN(IF(AND(I323=0,ISNUMBER(AK323),AK323&lt;=T323),AK323,9000000000000000),IF(AND(J323=0,ISNUMBER(AL323),AL323&lt;=T323),AL323,9000000000000000),IF(AND(K323=0,ISNUMBER(AM323),AM323&lt;=T323),AM323,9000000000000000))),"OR",IF(AND(AND(J323=0,ISNUMBER(AL323),AL323&lt;=T323),AL323=MIN(IF(AND(I323=0,ISNUMBER(AK323),AK323&lt;=T323),AK323,9000000000000000),IF(AND(J323=0,ISNUMBER(AL323),AL323&lt;=T323),AL323,9000000000000000),IF(AND(K323=0,ISNUMBER(AM323),AM323&lt;=T323),AM323,9000000000000000))),"HP","FP")),IF(AR323=TRUE(),"",IF(MAX(IF(AND(NOT(AND(AO323=1,AN323&lt;&gt;1)),ISNUMBER(AG323),AG323&lt;=T323),AS323,0),IF(AND(NOT(AND(AO323=1,AN323&lt;&gt;1)),ISNUMBER(AH323),AH323&lt;=T323),AT323,0),IF(AND(NOT(AND(AO323=1,AN323&lt;&gt;1)),ISNUMBER(AI323),AI323&lt;=T323),AU323,0),IF(AND(ISNUMBER(AJ323),AJ323&lt;=T323),AV323,0))&lt;=0,"",IF(AND(IF(AND(NOT(AND(AO323=1,AN323&lt;&gt;1)),ISNUMBER(AG323),AG323&lt;=T323),AS323,0)&gt;0,IF(AND(NOT(AND(AO323=1,AN323&lt;&gt;1)),ISNUMBER(AG323),AG323&lt;=T323),AS323,0)=MAX(IF(AND(NOT(AND(AO323=1,AN323&lt;&gt;1)),ISNUMBER(AG323),AG323&lt;=T323),AS323,0),IF(AND(NOT(AND(AO323=1,AN323&lt;&gt;1)),ISNUMBER(AH323),AH323&lt;=T323),AT323,0),IF(AND(NOT(AND(AO323=1,AN323&lt;&gt;1)),ISNUMBER(AI323),AI323&lt;=T323),AU323,0),IF(AND(ISNUMBER(AJ323),AJ323&lt;=T323),AV323,0))),"SW",IF(AND(IF(AND(NOT(AND(AO323=1,AN323&lt;&gt;1)),ISNUMBER(AH323),AH323&lt;=T323),AT323,0)&gt;0,IF(AND(NOT(AND(AO323=1,AN323&lt;&gt;1)),ISNUMBER(AH323),AH323&lt;=T323),AT323,0)=MAX(IF(AND(NOT(AND(AO323=1,AN323&lt;&gt;1)),ISNUMBER(AG323),AG323&lt;=T323),AS323,0),IF(AND(NOT(AND(AO323=1,AN323&lt;&gt;1)),ISNUMBER(AH323),AH323&lt;=T323),AT323,0),IF(AND(NOT(AND(AO323=1,AN323&lt;&gt;1)),ISNUMBER(AI323),AI323&lt;=T323),AU323,0),IF(AND(ISNUMBER(AJ323),AJ323&lt;=T323),AV323,0))),"AB",IF(AND(IF(AND(NOT(AND(AO323=1,AN323&lt;&gt;1)),ISNUMBER(AI323),AI323&lt;=T323),AU323,0)&gt;0,IF(AND(NOT(AND(AO323=1,AN323&lt;&gt;1)),ISNUMBER(AI323),AI323&lt;=T323),AU323,0)=MAX(IF(AND(NOT(AND(AO323=1,AN323&lt;&gt;1)),ISNUMBER(AG323),AG323&lt;=T323),AS323,0),IF(AND(NOT(AND(AO323=1,AN323&lt;&gt;1)),ISNUMBER(AH323),AH323&lt;=T323),AT323,0),IF(AND(NOT(AND(AO323=1,AN323&lt;&gt;1)),ISNUMBER(AI323),AI323&lt;=T323),AU323,0),IF(AND(ISNUMBER(AJ323),AJ323&lt;=T323),AV323,0))),"SC","Mag")))))))</f>
        <v/>
      </c>
    </row>
    <row r="324" customFormat="false" ht="15" hidden="false" customHeight="false" outlineLevel="0" collapsed="false">
      <c r="A324" s="26" t="n">
        <v>319</v>
      </c>
      <c r="B324" s="27" t="n">
        <f aca="false">A324*10/60</f>
        <v>53.1666666666667</v>
      </c>
      <c r="C324" s="21" t="n">
        <f aca="false">X323</f>
        <v>18.6730249835055</v>
      </c>
      <c r="D324" s="27" t="n">
        <f aca="false">D323+W323</f>
        <v>0</v>
      </c>
      <c r="E324" s="26" t="n">
        <f aca="false">E323+IF(U323="SW",1,0)</f>
        <v>12</v>
      </c>
      <c r="F324" s="26" t="n">
        <f aca="false">F323+IF(U323="AB",1,0)</f>
        <v>10</v>
      </c>
      <c r="G324" s="26" t="n">
        <f aca="false">G323+IF(U323="SC",1,0)</f>
        <v>7</v>
      </c>
      <c r="H324" s="26" t="n">
        <f aca="false">H323+IF(U323="Mag",1,0)</f>
        <v>5</v>
      </c>
      <c r="I324" s="26" t="n">
        <f aca="false">MAX(I323,IF(U323="OR",1,0))</f>
        <v>1</v>
      </c>
      <c r="J324" s="26" t="n">
        <f aca="false">MAX(J323,IF(U323="HP",1,0))</f>
        <v>1</v>
      </c>
      <c r="K324" s="26" t="n">
        <f aca="false">MAX(K323,IF(U323="FP",1,0))</f>
        <v>1</v>
      </c>
      <c r="L324" s="26" t="n">
        <f aca="false">MAX(L323,IF(U323="transition",1,0))</f>
        <v>1</v>
      </c>
      <c r="M324" s="28" t="n">
        <f aca="false">(Parameters!$B$9+(IF(E324=0,0,(Upgrades!$J$6+E324*Upgrades!$K$6)*POWER(Upgrades!$L$6,E324)))*(IF(Upgrades!$T$7="Solar Wind",POWER(Upgrades!$U$7,F324),1)*IF(Upgrades!$T$8="Solar Wind",POWER(Upgrades!$U$8,G324),1)*IF(Upgrades!$T$9="Solar Wind",POWER(Upgrades!$U$9,H324),1)*IF(Upgrades!$T$10="Solar Wind",POWER(Upgrades!$U$10,I324),1)*IF(Upgrades!$T$11="Solar Wind",POWER(Upgrades!$U$11,J324),1)*IF(Upgrades!$T$12="Solar Wind",POWER(Upgrades!$U$12,K324),1))+(IF(F324=0,0,(Upgrades!$J$7+F324*Upgrades!$K$7)*POWER(Upgrades!$L$7,F324)))*(IF(Upgrades!$T$6="Asteroid Belt",POWER(Upgrades!$U$6,E324),1)*IF(Upgrades!$T$8="Asteroid Belt",POWER(Upgrades!$U$8,G324),1)*IF(Upgrades!$T$9="Asteroid Belt",POWER(Upgrades!$U$9,H324),1)*IF(Upgrades!$T$10="Asteroid Belt",POWER(Upgrades!$U$10,I324),1)*IF(Upgrades!$T$11="Asteroid Belt",POWER(Upgrades!$U$11,J324),1)*IF(Upgrades!$T$12="Asteroid Belt",POWER(Upgrades!$U$12,K324),1))+(IF(G324=0,0,(Upgrades!$J$8+G324*Upgrades!$K$8)*POWER(Upgrades!$L$8,G324)))*(IF(Upgrades!$T$6="Stellar Coupling",POWER(Upgrades!$U$6,E324),1)*IF(Upgrades!$T$7="Stellar Coupling",POWER(Upgrades!$U$7,F324),1)*IF(Upgrades!$T$9="Stellar Coupling",POWER(Upgrades!$U$9,H324),1)*IF(Upgrades!$T$10="Stellar Coupling",POWER(Upgrades!$U$10,I324),1)*IF(Upgrades!$T$11="Stellar Coupling",POWER(Upgrades!$U$11,J324),1)*IF(Upgrades!$T$12="Stellar Coupling",POWER(Upgrades!$U$12,K324),1))+(IF(H324=0,0,(Upgrades!$J$9+H324*Upgrades!$K$9)*POWER(Upgrades!$L$9,H324)))*(IF(Upgrades!$T$6="Magnetosphere",POWER(Upgrades!$U$6,E324),1)*IF(Upgrades!$T$7="Magnetosphere",POWER(Upgrades!$U$7,F324),1)*IF(Upgrades!$T$8="Magnetosphere",POWER(Upgrades!$U$8,G324),1)*IF(Upgrades!$T$10="Magnetosphere",POWER(Upgrades!$U$10,I324),1)*IF(Upgrades!$T$11="Magnetosphere",POWER(Upgrades!$U$11,J324),1)*IF(Upgrades!$T$12="Magnetosphere",POWER(Upgrades!$U$12,K324),1))+(IF(I324=0,0,(Upgrades!$J$10+I324*Upgrades!$K$10)*POWER(Upgrades!$L$10,I324)))*(IF(Upgrades!$T$6="Orbital Resonance",POWER(Upgrades!$U$6,E324),1)*IF(Upgrades!$T$7="Orbital Resonance",POWER(Upgrades!$U$7,F324),1)*IF(Upgrades!$T$8="Orbital Resonance",POWER(Upgrades!$U$8,G324),1)*IF(Upgrades!$T$9="Orbital Resonance",POWER(Upgrades!$U$9,H324),1)*IF(Upgrades!$T$11="Orbital Resonance",POWER(Upgrades!$U$11,J324),1)*IF(Upgrades!$T$12="Orbital Resonance",POWER(Upgrades!$U$12,K324),1))+(IF(J324=0,0,(Upgrades!$J$11+J324*Upgrades!$K$11)*POWER(Upgrades!$L$11,J324)))*(IF(Upgrades!$T$6="Heliopause",POWER(Upgrades!$U$6,E324),1)*IF(Upgrades!$T$7="Heliopause",POWER(Upgrades!$U$7,F324),1)*IF(Upgrades!$T$8="Heliopause",POWER(Upgrades!$U$8,G324),1)*IF(Upgrades!$T$9="Heliopause",POWER(Upgrades!$U$9,H324),1)*IF(Upgrades!$T$10="Heliopause",POWER(Upgrades!$U$10,I324),1)*IF(Upgrades!$T$12="Heliopause",POWER(Upgrades!$U$12,K324),1))+(IF(K324=0,0,(Upgrades!$J$12+K324*Upgrades!$K$12)*POWER(Upgrades!$L$12,K324)))*(IF(Upgrades!$T$6="First Photons",POWER(Upgrades!$U$6,E324),1)*IF(Upgrades!$T$7="First Photons",POWER(Upgrades!$U$7,F324),1)*IF(Upgrades!$T$8="First Photons",POWER(Upgrades!$U$8,G324),1)*IF(Upgrades!$T$9="First Photons",POWER(Upgrades!$U$9,H324),1)*IF(Upgrades!$T$10="First Photons",POWER(Upgrades!$U$10,I324),1)*IF(Upgrades!$T$11="First Photons",POWER(Upgrades!$U$11,J324),1)))*POWER(Upgrades!$Q$6,E324)*POWER(Upgrades!$Q$7,F324)*POWER(Upgrades!$Q$8,G324)*POWER(Upgrades!$Q$9,H324)*POWER(Upgrades!$Q$10,I324)*POWER(Upgrades!$Q$11,J324)*POWER(Upgrades!$Q$12,K324)</f>
        <v>5.61</v>
      </c>
      <c r="N324" s="28" t="n">
        <f aca="false">((IF(E324=0,0,(Upgrades!$G$6+E324*Upgrades!$H$6)*POWER(Upgrades!$I$6,E324)))*(IF(Upgrades!$T$7="Solar Wind",POWER(Upgrades!$U$7,F324),1)*IF(Upgrades!$T$8="Solar Wind",POWER(Upgrades!$U$8,G324),1)*IF(Upgrades!$T$9="Solar Wind",POWER(Upgrades!$U$9,H324),1)*IF(Upgrades!$T$10="Solar Wind",POWER(Upgrades!$U$10,I324),1)*IF(Upgrades!$T$11="Solar Wind",POWER(Upgrades!$U$11,J324),1)*IF(Upgrades!$T$12="Solar Wind",POWER(Upgrades!$U$12,K324),1))+(IF(F324=0,0,(Upgrades!$G$7+F324*Upgrades!$H$7)*POWER(Upgrades!$I$7,F324)))*(IF(Upgrades!$T$6="Asteroid Belt",POWER(Upgrades!$U$6,E324),1)*IF(Upgrades!$T$8="Asteroid Belt",POWER(Upgrades!$U$8,G324),1)*IF(Upgrades!$T$9="Asteroid Belt",POWER(Upgrades!$U$9,H324),1)*IF(Upgrades!$T$10="Asteroid Belt",POWER(Upgrades!$U$10,I324),1)*IF(Upgrades!$T$11="Asteroid Belt",POWER(Upgrades!$U$11,J324),1)*IF(Upgrades!$T$12="Asteroid Belt",POWER(Upgrades!$U$12,K324),1))+(IF(G324=0,0,(Upgrades!$G$8+G324*Upgrades!$H$8)*POWER(Upgrades!$I$8,G324)))*(IF(Upgrades!$T$6="Stellar Coupling",POWER(Upgrades!$U$6,E324),1)*IF(Upgrades!$T$7="Stellar Coupling",POWER(Upgrades!$U$7,F324),1)*IF(Upgrades!$T$9="Stellar Coupling",POWER(Upgrades!$U$9,H324),1)*IF(Upgrades!$T$10="Stellar Coupling",POWER(Upgrades!$U$10,I324),1)*IF(Upgrades!$T$11="Stellar Coupling",POWER(Upgrades!$U$11,J324),1)*IF(Upgrades!$T$12="Stellar Coupling",POWER(Upgrades!$U$12,K324),1))+(IF(H324=0,0,(Upgrades!$G$9+H324*Upgrades!$H$9)*POWER(Upgrades!$I$9,H324)))*(IF(Upgrades!$T$6="Magnetosphere",POWER(Upgrades!$U$6,E324),1)*IF(Upgrades!$T$7="Magnetosphere",POWER(Upgrades!$U$7,F324),1)*IF(Upgrades!$T$8="Magnetosphere",POWER(Upgrades!$U$8,G324),1)*IF(Upgrades!$T$10="Magnetosphere",POWER(Upgrades!$U$10,I324),1)*IF(Upgrades!$T$11="Magnetosphere",POWER(Upgrades!$U$11,J324),1)*IF(Upgrades!$T$12="Magnetosphere",POWER(Upgrades!$U$12,K324),1))+(IF(I324=0,0,(Upgrades!$G$10+I324*Upgrades!$H$10)*POWER(Upgrades!$I$10,I324)))*(IF(Upgrades!$T$6="Orbital Resonance",POWER(Upgrades!$U$6,E324),1)*IF(Upgrades!$T$7="Orbital Resonance",POWER(Upgrades!$U$7,F324),1)*IF(Upgrades!$T$8="Orbital Resonance",POWER(Upgrades!$U$8,G324),1)*IF(Upgrades!$T$9="Orbital Resonance",POWER(Upgrades!$U$9,H324),1)*IF(Upgrades!$T$11="Orbital Resonance",POWER(Upgrades!$U$11,J324),1)*IF(Upgrades!$T$12="Orbital Resonance",POWER(Upgrades!$U$12,K324),1))+(IF(J324=0,0,(Upgrades!$G$11+J324*Upgrades!$H$11)*POWER(Upgrades!$I$11,J324)))*(IF(Upgrades!$T$6="Heliopause",POWER(Upgrades!$U$6,E324),1)*IF(Upgrades!$T$7="Heliopause",POWER(Upgrades!$U$7,F324),1)*IF(Upgrades!$T$8="Heliopause",POWER(Upgrades!$U$8,G324),1)*IF(Upgrades!$T$9="Heliopause",POWER(Upgrades!$U$9,H324),1)*IF(Upgrades!$T$10="Heliopause",POWER(Upgrades!$U$10,I324),1)*IF(Upgrades!$T$12="Heliopause",POWER(Upgrades!$U$12,K324),1))+(IF(K324=0,0,(Upgrades!$G$12+K324*Upgrades!$H$12)*POWER(Upgrades!$I$12,K324)))*(IF(Upgrades!$T$6="First Photons",POWER(Upgrades!$U$6,E324),1)*IF(Upgrades!$T$7="First Photons",POWER(Upgrades!$U$7,F324),1)*IF(Upgrades!$T$8="First Photons",POWER(Upgrades!$U$8,G324),1)*IF(Upgrades!$T$9="First Photons",POWER(Upgrades!$U$9,H324),1)*IF(Upgrades!$T$10="First Photons",POWER(Upgrades!$U$10,I324),1)*IF(Upgrades!$T$11="First Photons",POWER(Upgrades!$U$11,J324),1)))*POWER(Upgrades!$P$6,E324)*POWER(Upgrades!$P$7,F324)*POWER(Upgrades!$P$8,G324)*POWER(Upgrades!$P$9,H324)*POWER(Upgrades!$P$10,I324)*POWER(Upgrades!$P$11,J324)*POWER(Upgrades!$P$12,K324)</f>
        <v>11.2</v>
      </c>
      <c r="O324" s="28" t="n">
        <f aca="false">((IF(E324=0,0,(Upgrades!$M$6+E324*Upgrades!$N$6)*POWER(Upgrades!$O$6,E324)))*(IF(Upgrades!$T$7="Solar Wind",POWER(Upgrades!$U$7,F324),1)*IF(Upgrades!$T$8="Solar Wind",POWER(Upgrades!$U$8,G324),1)*IF(Upgrades!$T$9="Solar Wind",POWER(Upgrades!$U$9,H324),1)*IF(Upgrades!$T$10="Solar Wind",POWER(Upgrades!$U$10,I324),1)*IF(Upgrades!$T$11="Solar Wind",POWER(Upgrades!$U$11,J324),1)*IF(Upgrades!$T$12="Solar Wind",POWER(Upgrades!$U$12,K324),1))+(IF(F324=0,0,(Upgrades!$M$7+F324*Upgrades!$N$7)*POWER(Upgrades!$O$7,F324)))*(IF(Upgrades!$T$6="Asteroid Belt",POWER(Upgrades!$U$6,E324),1)*IF(Upgrades!$T$8="Asteroid Belt",POWER(Upgrades!$U$8,G324),1)*IF(Upgrades!$T$9="Asteroid Belt",POWER(Upgrades!$U$9,H324),1)*IF(Upgrades!$T$10="Asteroid Belt",POWER(Upgrades!$U$10,I324),1)*IF(Upgrades!$T$11="Asteroid Belt",POWER(Upgrades!$U$11,J324),1)*IF(Upgrades!$T$12="Asteroid Belt",POWER(Upgrades!$U$12,K324),1))+(IF(G324=0,0,(Upgrades!$M$8+G324*Upgrades!$N$8)*POWER(Upgrades!$O$8,G324)))*(IF(Upgrades!$T$6="Stellar Coupling",POWER(Upgrades!$U$6,E324),1)*IF(Upgrades!$T$7="Stellar Coupling",POWER(Upgrades!$U$7,F324),1)*IF(Upgrades!$T$9="Stellar Coupling",POWER(Upgrades!$U$9,H324),1)*IF(Upgrades!$T$10="Stellar Coupling",POWER(Upgrades!$U$10,I324),1)*IF(Upgrades!$T$11="Stellar Coupling",POWER(Upgrades!$U$11,J324),1)*IF(Upgrades!$T$12="Stellar Coupling",POWER(Upgrades!$U$12,K324),1))+(IF(H324=0,0,(Upgrades!$M$9+H324*Upgrades!$N$9)*POWER(Upgrades!$O$9,H324)))*(IF(Upgrades!$T$6="Magnetosphere",POWER(Upgrades!$U$6,E324),1)*IF(Upgrades!$T$7="Magnetosphere",POWER(Upgrades!$U$7,F324),1)*IF(Upgrades!$T$8="Magnetosphere",POWER(Upgrades!$U$8,G324),1)*IF(Upgrades!$T$10="Magnetosphere",POWER(Upgrades!$U$10,I324),1)*IF(Upgrades!$T$11="Magnetosphere",POWER(Upgrades!$U$11,J324),1)*IF(Upgrades!$T$12="Magnetosphere",POWER(Upgrades!$U$12,K324),1))+(IF(I324=0,0,(Upgrades!$M$10+I324*Upgrades!$N$10)*POWER(Upgrades!$O$10,I324)))*(IF(Upgrades!$T$6="Orbital Resonance",POWER(Upgrades!$U$6,E324),1)*IF(Upgrades!$T$7="Orbital Resonance",POWER(Upgrades!$U$7,F324),1)*IF(Upgrades!$T$8="Orbital Resonance",POWER(Upgrades!$U$8,G324),1)*IF(Upgrades!$T$9="Orbital Resonance",POWER(Upgrades!$U$9,H324),1)*IF(Upgrades!$T$11="Orbital Resonance",POWER(Upgrades!$U$11,J324),1)*IF(Upgrades!$T$12="Orbital Resonance",POWER(Upgrades!$U$12,K324),1))+(IF(J324=0,0,(Upgrades!$M$11+J324*Upgrades!$N$11)*POWER(Upgrades!$O$11,J324)))*(IF(Upgrades!$T$6="Heliopause",POWER(Upgrades!$U$6,E324),1)*IF(Upgrades!$T$7="Heliopause",POWER(Upgrades!$U$7,F324),1)*IF(Upgrades!$T$8="Heliopause",POWER(Upgrades!$U$8,G324),1)*IF(Upgrades!$T$9="Heliopause",POWER(Upgrades!$U$9,H324),1)*IF(Upgrades!$T$10="Heliopause",POWER(Upgrades!$U$10,I324),1)*IF(Upgrades!$T$12="Heliopause",POWER(Upgrades!$U$12,K324),1))+(IF(K324=0,0,(Upgrades!$M$12+K324*Upgrades!$N$12)*POWER(Upgrades!$O$12,K324)))*(IF(Upgrades!$T$6="First Photons",POWER(Upgrades!$U$6,E324),1)*IF(Upgrades!$T$7="First Photons",POWER(Upgrades!$U$7,F324),1)*IF(Upgrades!$T$8="First Photons",POWER(Upgrades!$U$8,G324),1)*IF(Upgrades!$T$9="First Photons",POWER(Upgrades!$U$9,H324),1)*IF(Upgrades!$T$10="First Photons",POWER(Upgrades!$U$10,I324),1)*IF(Upgrades!$T$11="First Photons",POWER(Upgrades!$U$11,J324),1)))*POWER(Upgrades!$R$6,E324)*POWER(Upgrades!$R$7,F324)*POWER(Upgrades!$R$8,G324)*POWER(Upgrades!$R$9,H324)*POWER(Upgrades!$R$10,I324)*POWER(Upgrades!$R$11,J324)*POWER(Upgrades!$R$12,K324)</f>
        <v>0</v>
      </c>
      <c r="P324" s="27" t="n">
        <f aca="false">IF(L324=1,0,M324*Parameters!$B$10/60*Parameters!$B$11*10)</f>
        <v>0</v>
      </c>
      <c r="Q324" s="27" t="n">
        <f aca="false">IF(L324=1,0,O324*M324*10)</f>
        <v>0</v>
      </c>
      <c r="R324" s="27" t="n">
        <f aca="false">IF(L324=1,0,N324*10)</f>
        <v>0</v>
      </c>
      <c r="S324" s="27" t="n">
        <f aca="false">P324+Q324+R324</f>
        <v>0</v>
      </c>
      <c r="T324" s="21" t="n">
        <f aca="false">C324+S324</f>
        <v>18.6730249835055</v>
      </c>
      <c r="U324" s="34" t="str">
        <f aca="false">AX324</f>
        <v/>
      </c>
      <c r="V324" s="21" t="n">
        <f aca="false">IF(U324="",0,IF(U324="transition",0,IF(U324="SW",AG324,IF(U324="AB",AH324,IF(U324="SC",AI324,IF(U324="Mag",AJ324,IF(U324="OR",AK324,IF(U324="HP",AL324,IF(U324="FP",AM324,0)))))))))</f>
        <v>0</v>
      </c>
      <c r="W324" s="27" t="n">
        <f aca="false">IF(U324="OR",Upgrades!$F$10,IF(U324="HP",Upgrades!$F$11,IF(U324="transition",-Parameters!$B$18,0)))</f>
        <v>0</v>
      </c>
      <c r="X324" s="21" t="n">
        <f aca="false">T324-V324</f>
        <v>18.6730249835055</v>
      </c>
      <c r="Y324" s="30" t="n">
        <f aca="false">M324*Parameters!$B$10/60*Parameters!$B$11+O324*M324+N324</f>
        <v>20.55</v>
      </c>
      <c r="Z324" s="35" t="str">
        <f aca="false">IF(U324="transition","→ Tier 2 (Stellar Neighborhood)",IF(U324="FP","First Photons — light begins, system quickens",IF(U324="HP","Heliopause acquired",IF(U324="OR","Orbital Resonance — passive multiplier active",IF(AND(AO324=1,L324=0,AN324&lt;&gt;1),"Cohesion ready (waiting on completionist upgrades)","")))))</f>
        <v/>
      </c>
      <c r="AA324" s="27" t="n">
        <f aca="false">(IF(E324=0,0,(Upgrades!$G$6+E324*Upgrades!$H$6)*POWER(Upgrades!$I$6,E324)))*(IF(Upgrades!$T$7="Solar Wind",POWER(Upgrades!$U$7,F324),1)*IF(Upgrades!$T$8="Solar Wind",POWER(Upgrades!$U$8,G324),1)*IF(Upgrades!$T$9="Solar Wind",POWER(Upgrades!$U$9,H324),1)*IF(Upgrades!$T$10="Solar Wind",POWER(Upgrades!$U$10,I324),1)*IF(Upgrades!$T$11="Solar Wind",POWER(Upgrades!$U$11,J324),1)*IF(Upgrades!$T$12="Solar Wind",POWER(Upgrades!$U$12,K324),1))*POWER(Upgrades!$P$6,E324)*POWER(Upgrades!$P$7,F324)*POWER(Upgrades!$P$8,G324)*POWER(Upgrades!$P$9,H324)*POWER(Upgrades!$P$10,I324)*POWER(Upgrades!$P$11,J324)*POWER(Upgrades!$P$12,K324)*60</f>
        <v>72</v>
      </c>
      <c r="AB324" s="27" t="n">
        <f aca="false">(IF(F324=0,0,(Upgrades!$G$7+F324*Upgrades!$H$7)*POWER(Upgrades!$I$7,F324)))*(IF(Upgrades!$T$6="Asteroid Belt",POWER(Upgrades!$U$6,E324),1)*IF(Upgrades!$T$8="Asteroid Belt",POWER(Upgrades!$U$8,G324),1)*IF(Upgrades!$T$9="Asteroid Belt",POWER(Upgrades!$U$9,H324),1)*IF(Upgrades!$T$10="Asteroid Belt",POWER(Upgrades!$U$10,I324),1)*IF(Upgrades!$T$11="Asteroid Belt",POWER(Upgrades!$U$11,J324),1)*IF(Upgrades!$T$12="Asteroid Belt",POWER(Upgrades!$U$12,K324),1))*POWER(Upgrades!$P$6,E324)*POWER(Upgrades!$P$7,F324)*POWER(Upgrades!$P$8,G324)*POWER(Upgrades!$P$9,H324)*POWER(Upgrades!$P$10,I324)*POWER(Upgrades!$P$11,J324)*POWER(Upgrades!$P$12,K324)*60</f>
        <v>150</v>
      </c>
      <c r="AC324" s="27" t="n">
        <f aca="false">(IF(G324=0,0,(Upgrades!$J$8+G324*Upgrades!$K$8)*POWER(Upgrades!$L$8,G324)))*(IF(Upgrades!$T$6="Stellar Coupling",POWER(Upgrades!$U$6,E324),1)*IF(Upgrades!$T$7="Stellar Coupling",POWER(Upgrades!$U$7,F324),1)*IF(Upgrades!$T$9="Stellar Coupling",POWER(Upgrades!$U$9,H324),1)*IF(Upgrades!$T$10="Stellar Coupling",POWER(Upgrades!$U$10,I324),1)*IF(Upgrades!$T$11="Stellar Coupling",POWER(Upgrades!$U$11,J324),1)*IF(Upgrades!$T$12="Stellar Coupling",POWER(Upgrades!$U$12,K324),1))*POWER(Upgrades!$Q$6,E324)*POWER(Upgrades!$Q$7,F324)*POWER(Upgrades!$Q$8,G324)*POWER(Upgrades!$Q$9,H324)*POWER(Upgrades!$Q$10,I324)*POWER(Upgrades!$Q$11,J324)*POWER(Upgrades!$Q$12,K324)*Parameters!$B$10*Parameters!$B$11</f>
        <v>441</v>
      </c>
      <c r="AD324" s="27" t="n">
        <f aca="false">(IF(H324=0,0,(Upgrades!$G$9+H324*Upgrades!$H$9)*POWER(Upgrades!$I$9,H324)))*(IF(Upgrades!$T$6="Magnetosphere",POWER(Upgrades!$U$6,E324),1)*IF(Upgrades!$T$7="Magnetosphere",POWER(Upgrades!$U$7,F324),1)*IF(Upgrades!$T$8="Magnetosphere",POWER(Upgrades!$U$8,G324),1)*IF(Upgrades!$T$10="Magnetosphere",POWER(Upgrades!$U$10,I324),1)*IF(Upgrades!$T$11="Magnetosphere",POWER(Upgrades!$U$11,J324),1)*IF(Upgrades!$T$12="Magnetosphere",POWER(Upgrades!$U$12,K324),1))*POWER(Upgrades!$P$6,E324)*POWER(Upgrades!$P$7,F324)*POWER(Upgrades!$P$8,G324)*POWER(Upgrades!$P$9,H324)*POWER(Upgrades!$P$10,I324)*POWER(Upgrades!$P$11,J324)*POWER(Upgrades!$P$12,K324)*60</f>
        <v>375</v>
      </c>
      <c r="AE324" s="27" t="n">
        <f aca="false">(IF(K324=0,0,(Upgrades!$G$12+K324*Upgrades!$H$12)*POWER(Upgrades!$I$12,K324)))*(IF(Upgrades!$T$6="First Photons",POWER(Upgrades!$U$6,E324),1)*IF(Upgrades!$T$7="First Photons",POWER(Upgrades!$U$7,F324),1)*IF(Upgrades!$T$8="First Photons",POWER(Upgrades!$U$8,G324),1)*IF(Upgrades!$T$9="First Photons",POWER(Upgrades!$U$9,H324),1)*IF(Upgrades!$T$10="First Photons",POWER(Upgrades!$U$10,I324),1)*IF(Upgrades!$T$11="First Photons",POWER(Upgrades!$U$11,J324),1))*POWER(Upgrades!$P$6,E324)*POWER(Upgrades!$P$7,F324)*POWER(Upgrades!$P$8,G324)*POWER(Upgrades!$P$9,H324)*POWER(Upgrades!$P$10,I324)*POWER(Upgrades!$P$11,J324)*POWER(Upgrades!$P$12,K324)*60</f>
        <v>75</v>
      </c>
      <c r="AF324" s="27" t="n">
        <f aca="false">Parameters!$B$9*POWER(Upgrades!$Q$6,E324)*POWER(Upgrades!$Q$7,F324)*POWER(Upgrades!$Q$8,G324)*POWER(Upgrades!$Q$9,H324)*POWER(Upgrades!$Q$10,I324)*POWER(Upgrades!$Q$11,J324)*POWER(Upgrades!$Q$12,K324)*(Parameters!$B$10*Parameters!$B$11+O324*60)</f>
        <v>120</v>
      </c>
      <c r="AG324" s="21" t="n">
        <f aca="false">IF(E324&gt;=Upgrades!$E$6,"",Upgrades!$C$6*POWER(Upgrades!$D$6,E324))</f>
        <v>37.4517507383159</v>
      </c>
      <c r="AH324" s="21" t="n">
        <f aca="false">IF(F324&gt;=Upgrades!$E$7,"",Upgrades!$C$7*POWER(Upgrades!$D$7,F324))</f>
        <v>80.9111547141581</v>
      </c>
      <c r="AI324" s="21" t="n">
        <f aca="false">IF(G324&gt;=Upgrades!$E$8,"",Upgrades!$C$8*POWER(Upgrades!$D$8,G324))</f>
        <v>231.9097088</v>
      </c>
      <c r="AJ324" s="21" t="str">
        <f aca="false">IF(H324&gt;=Upgrades!$E$9,"",Upgrades!$C$9*POWER(Upgrades!$D$9,H324))</f>
        <v/>
      </c>
      <c r="AK324" s="21" t="str">
        <f aca="false">IF(I324&gt;=Upgrades!$E$10,"",Upgrades!$C$10*POWER(Upgrades!$D$10,I324))</f>
        <v/>
      </c>
      <c r="AL324" s="21" t="str">
        <f aca="false">IF(J324&gt;=Upgrades!$E$11,"",Upgrades!$C$11*POWER(Upgrades!$D$11,J324))</f>
        <v/>
      </c>
      <c r="AM324" s="21" t="str">
        <f aca="false">IF(K324&gt;=Upgrades!$E$12,"",Upgrades!$C$12*POWER(Upgrades!$D$12,K324))</f>
        <v/>
      </c>
      <c r="AN324" s="26" t="str">
        <f aca="false">IF(AND(D324&gt;=Parameters!$B$18,(H324&gt;=Upgrades!$E$9)*(K324&gt;=Upgrades!$E$12)=1,L324=0),1,"")</f>
        <v/>
      </c>
      <c r="AO324" s="26" t="str">
        <f aca="false">IF(AND(D324&gt;=Parameters!$B$18,L324=0),1,"")</f>
        <v/>
      </c>
      <c r="AP324" s="21" t="n">
        <f aca="false">MIN(IF(ISNUMBER(AK324),AK324,9000000000000000),IF(ISNUMBER(AL324),AL324,9000000000000000),IF(ISNUMBER(AM324),AM324,9000000000000000))</f>
        <v>9000000000000000</v>
      </c>
      <c r="AQ324" s="21" t="n">
        <f aca="false">MIN(IF(ISNUMBER(AG324),AG324,9000000000000000),IF(ISNUMBER(AH324),AH324,9000000000000000),IF(ISNUMBER(AI324),AI324,9000000000000000),IF(ISNUMBER(AJ324),AJ324,9000000000000000))</f>
        <v>37.4517507383159</v>
      </c>
      <c r="AR324" s="32" t="b">
        <f aca="false">IF(AW324&gt;Parameters!$B$21*(MAX(IF(AND(NOT(AND(AO324=1,AN324&lt;&gt;1)),ISNUMBER(AG324),AG324&lt;=T324),AS324,0),IF(AND(NOT(AND(AO324=1,AN324&lt;&gt;1)),ISNUMBER(AH324),AH324&lt;=T324),AT324,0),IF(AND(NOT(AND(AO324=1,AN324&lt;&gt;1)),ISNUMBER(AI324),AI324&lt;=T324),AU324,0),IF(AND(ISNUMBER(AJ324),AJ324&lt;=T324),AV324,0))),TRUE(),FALSE())</f>
        <v>1</v>
      </c>
      <c r="AS324" s="33" t="n">
        <f aca="false">IFERROR(Upgrades!$H$6*(POWER(Upgrades!$P$6,E324)*POWER(Upgrades!$P$7,F324)*POWER(Upgrades!$P$8,G324)*POWER(Upgrades!$P$9,H324)*POWER(Upgrades!$P$10,I324)*POWER(Upgrades!$P$11,J324)*POWER(Upgrades!$P$12,K324))*(IF(Upgrades!$T$7="Solar Wind",POWER(Upgrades!$U$7,F324),1)*IF(Upgrades!$T$8="Solar Wind",POWER(Upgrades!$U$8,G324),1)*IF(Upgrades!$T$9="Solar Wind",POWER(Upgrades!$U$9,H324),1)*IF(Upgrades!$T$10="Solar Wind",POWER(Upgrades!$U$10,I324),1)*IF(Upgrades!$T$11="Solar Wind",POWER(Upgrades!$U$11,J324),1)*IF(Upgrades!$T$12="Solar Wind",POWER(Upgrades!$U$12,K324),1))/AG324,0)</f>
        <v>0.0026701021455238</v>
      </c>
      <c r="AT324" s="33" t="n">
        <f aca="false">IFERROR(Upgrades!$H$7*(POWER(Upgrades!$P$6,E324)*POWER(Upgrades!$P$7,F324)*POWER(Upgrades!$P$8,G324)*POWER(Upgrades!$P$9,H324)*POWER(Upgrades!$P$10,I324)*POWER(Upgrades!$P$11,J324)*POWER(Upgrades!$P$12,K324))*(IF(Upgrades!$T$6="Asteroid Belt",POWER(Upgrades!$U$6,E324),1)*IF(Upgrades!$T$8="Asteroid Belt",POWER(Upgrades!$U$8,G324),1)*IF(Upgrades!$T$9="Asteroid Belt",POWER(Upgrades!$U$9,H324),1)*IF(Upgrades!$T$10="Asteroid Belt",POWER(Upgrades!$U$10,I324),1)*IF(Upgrades!$T$11="Asteroid Belt",POWER(Upgrades!$U$11,J324),1)*IF(Upgrades!$T$12="Asteroid Belt",POWER(Upgrades!$U$12,K324),1))/AH324,0)</f>
        <v>0.00308980882652332</v>
      </c>
      <c r="AU324" s="33" t="n">
        <f aca="false">IFERROR(Upgrades!$K$8*(POWER(Upgrades!$Q$6,E324)*POWER(Upgrades!$Q$7,F324)*POWER(Upgrades!$Q$8,G324)*POWER(Upgrades!$Q$9,H324)*POWER(Upgrades!$Q$10,I324)*POWER(Upgrades!$Q$11,J324)*POWER(Upgrades!$Q$12,K324))*(IF(Upgrades!$T$6="Stellar Coupling",POWER(Upgrades!$U$6,E324),1)*IF(Upgrades!$T$7="Stellar Coupling",POWER(Upgrades!$U$7,F324),1)*IF(Upgrades!$T$9="Stellar Coupling",POWER(Upgrades!$U$9,H324),1)*IF(Upgrades!$T$10="Stellar Coupling",POWER(Upgrades!$U$10,I324),1)*IF(Upgrades!$T$11="Stellar Coupling",POWER(Upgrades!$U$11,J324),1)*IF(Upgrades!$T$12="Stellar Coupling",POWER(Upgrades!$U$12,K324),1))*Parameters!$B$10*Parameters!$B$11/60/AI324,0)</f>
        <v>0.00452762415783776</v>
      </c>
      <c r="AV324" s="33" t="n">
        <f aca="false">IFERROR(Upgrades!$H$9*(POWER(Upgrades!$P$6,E324)*POWER(Upgrades!$P$7,F324)*POWER(Upgrades!$P$8,G324)*POWER(Upgrades!$P$9,H324)*POWER(Upgrades!$P$10,I324)*POWER(Upgrades!$P$11,J324)*POWER(Upgrades!$P$12,K324))*(IF(Upgrades!$T$6="Magnetosphere",POWER(Upgrades!$U$6,E324),1)*IF(Upgrades!$T$7="Magnetosphere",POWER(Upgrades!$U$7,F324),1)*IF(Upgrades!$T$8="Magnetosphere",POWER(Upgrades!$U$8,G324),1)*IF(Upgrades!$T$10="Magnetosphere",POWER(Upgrades!$U$10,I324),1)*IF(Upgrades!$T$11="Magnetosphere",POWER(Upgrades!$U$11,J324),1)*IF(Upgrades!$T$12="Magnetosphere",POWER(Upgrades!$U$12,K324),1))/AJ324,0)</f>
        <v>0</v>
      </c>
      <c r="AW324" s="33" t="n">
        <f aca="false">MAX(IF(I324&gt;0,0,IFERROR(0.25*N324/Upgrades!$C$10,0)),IF(J324&gt;0,0,IFERROR(0.5*((IF(G324=0,0,(Upgrades!$J$8+G324*Upgrades!$K$8)*POWER(Upgrades!$L$8,G324)))*(IF(Upgrades!$T$6="Stellar Coupling",POWER(Upgrades!$U$6,E324),1)*IF(Upgrades!$T$7="Stellar Coupling",POWER(Upgrades!$U$7,F324),1)*IF(Upgrades!$T$9="Stellar Coupling",POWER(Upgrades!$U$9,H324),1)*IF(Upgrades!$T$10="Stellar Coupling",POWER(Upgrades!$U$10,I324),1)*IF(Upgrades!$T$11="Stellar Coupling",POWER(Upgrades!$U$11,J324),1)*IF(Upgrades!$T$12="Stellar Coupling",POWER(Upgrades!$U$12,K324),1))*(POWER(Upgrades!$Q$6,E324)*POWER(Upgrades!$Q$7,F324)*POWER(Upgrades!$Q$8,G324)*POWER(Upgrades!$Q$9,H324)*POWER(Upgrades!$Q$10,I324)*POWER(Upgrades!$Q$11,J324)*POWER(Upgrades!$Q$12,K324))*Parameters!$B$10*Parameters!$B$11/60)/Upgrades!$C$11,0)),IF(K324&gt;0,0,IFERROR((1*(POWER(Upgrades!$P$6,E324)*POWER(Upgrades!$P$7,F324)*POWER(Upgrades!$P$8,G324)*POWER(Upgrades!$P$9,H324)*POWER(Upgrades!$P$10,I324)*POWER(Upgrades!$P$11,J324)*POWER(Upgrades!$P$12,K324))+0.2*M324*Parameters!$B$10*Parameters!$B$11/60)/Upgrades!$C$12,0)),IF(AND(ISNUMBER(AG324),AG324&gt;T324),AS324,0),IF(AND(ISNUMBER(AH324),AH324&gt;T324),AT324,0),IF(AND(ISNUMBER(AI324),AI324&gt;T324),AU324,0),IF(AND(ISNUMBER(AJ324),AJ324&gt;T324),AV324,0))</f>
        <v>0.00452762415783776</v>
      </c>
      <c r="AX324" s="29" t="str">
        <f aca="false">IF(AN324=1,"transition",IF(MIN(IF(AND(I324=0,ISNUMBER(AK324),AK324&lt;=T324),AK324,9000000000000000),IF(AND(J324=0,ISNUMBER(AL324),AL324&lt;=T324),AL324,9000000000000000),IF(AND(K324=0,ISNUMBER(AM324),AM324&lt;=T324),AM324,9000000000000000))&lt;9000000000000000,IF(AND(AND(I324=0,ISNUMBER(AK324),AK324&lt;=T324),AK324=MIN(IF(AND(I324=0,ISNUMBER(AK324),AK324&lt;=T324),AK324,9000000000000000),IF(AND(J324=0,ISNUMBER(AL324),AL324&lt;=T324),AL324,9000000000000000),IF(AND(K324=0,ISNUMBER(AM324),AM324&lt;=T324),AM324,9000000000000000))),"OR",IF(AND(AND(J324=0,ISNUMBER(AL324),AL324&lt;=T324),AL324=MIN(IF(AND(I324=0,ISNUMBER(AK324),AK324&lt;=T324),AK324,9000000000000000),IF(AND(J324=0,ISNUMBER(AL324),AL324&lt;=T324),AL324,9000000000000000),IF(AND(K324=0,ISNUMBER(AM324),AM324&lt;=T324),AM324,9000000000000000))),"HP","FP")),IF(AR324=TRUE(),"",IF(MAX(IF(AND(NOT(AND(AO324=1,AN324&lt;&gt;1)),ISNUMBER(AG324),AG324&lt;=T324),AS324,0),IF(AND(NOT(AND(AO324=1,AN324&lt;&gt;1)),ISNUMBER(AH324),AH324&lt;=T324),AT324,0),IF(AND(NOT(AND(AO324=1,AN324&lt;&gt;1)),ISNUMBER(AI324),AI324&lt;=T324),AU324,0),IF(AND(ISNUMBER(AJ324),AJ324&lt;=T324),AV324,0))&lt;=0,"",IF(AND(IF(AND(NOT(AND(AO324=1,AN324&lt;&gt;1)),ISNUMBER(AG324),AG324&lt;=T324),AS324,0)&gt;0,IF(AND(NOT(AND(AO324=1,AN324&lt;&gt;1)),ISNUMBER(AG324),AG324&lt;=T324),AS324,0)=MAX(IF(AND(NOT(AND(AO324=1,AN324&lt;&gt;1)),ISNUMBER(AG324),AG324&lt;=T324),AS324,0),IF(AND(NOT(AND(AO324=1,AN324&lt;&gt;1)),ISNUMBER(AH324),AH324&lt;=T324),AT324,0),IF(AND(NOT(AND(AO324=1,AN324&lt;&gt;1)),ISNUMBER(AI324),AI324&lt;=T324),AU324,0),IF(AND(ISNUMBER(AJ324),AJ324&lt;=T324),AV324,0))),"SW",IF(AND(IF(AND(NOT(AND(AO324=1,AN324&lt;&gt;1)),ISNUMBER(AH324),AH324&lt;=T324),AT324,0)&gt;0,IF(AND(NOT(AND(AO324=1,AN324&lt;&gt;1)),ISNUMBER(AH324),AH324&lt;=T324),AT324,0)=MAX(IF(AND(NOT(AND(AO324=1,AN324&lt;&gt;1)),ISNUMBER(AG324),AG324&lt;=T324),AS324,0),IF(AND(NOT(AND(AO324=1,AN324&lt;&gt;1)),ISNUMBER(AH324),AH324&lt;=T324),AT324,0),IF(AND(NOT(AND(AO324=1,AN324&lt;&gt;1)),ISNUMBER(AI324),AI324&lt;=T324),AU324,0),IF(AND(ISNUMBER(AJ324),AJ324&lt;=T324),AV324,0))),"AB",IF(AND(IF(AND(NOT(AND(AO324=1,AN324&lt;&gt;1)),ISNUMBER(AI324),AI324&lt;=T324),AU324,0)&gt;0,IF(AND(NOT(AND(AO324=1,AN324&lt;&gt;1)),ISNUMBER(AI324),AI324&lt;=T324),AU324,0)=MAX(IF(AND(NOT(AND(AO324=1,AN324&lt;&gt;1)),ISNUMBER(AG324),AG324&lt;=T324),AS324,0),IF(AND(NOT(AND(AO324=1,AN324&lt;&gt;1)),ISNUMBER(AH324),AH324&lt;=T324),AT324,0),IF(AND(NOT(AND(AO324=1,AN324&lt;&gt;1)),ISNUMBER(AI324),AI324&lt;=T324),AU324,0),IF(AND(ISNUMBER(AJ324),AJ324&lt;=T324),AV324,0))),"SC","Mag")))))))</f>
        <v/>
      </c>
    </row>
    <row r="325" customFormat="false" ht="15" hidden="false" customHeight="false" outlineLevel="0" collapsed="false">
      <c r="A325" s="26" t="n">
        <v>320</v>
      </c>
      <c r="B325" s="27" t="n">
        <f aca="false">A325*10/60</f>
        <v>53.3333333333333</v>
      </c>
      <c r="C325" s="21" t="n">
        <f aca="false">X324</f>
        <v>18.6730249835055</v>
      </c>
      <c r="D325" s="27" t="n">
        <f aca="false">D324+W324</f>
        <v>0</v>
      </c>
      <c r="E325" s="26" t="n">
        <f aca="false">E324+IF(U324="SW",1,0)</f>
        <v>12</v>
      </c>
      <c r="F325" s="26" t="n">
        <f aca="false">F324+IF(U324="AB",1,0)</f>
        <v>10</v>
      </c>
      <c r="G325" s="26" t="n">
        <f aca="false">G324+IF(U324="SC",1,0)</f>
        <v>7</v>
      </c>
      <c r="H325" s="26" t="n">
        <f aca="false">H324+IF(U324="Mag",1,0)</f>
        <v>5</v>
      </c>
      <c r="I325" s="26" t="n">
        <f aca="false">MAX(I324,IF(U324="OR",1,0))</f>
        <v>1</v>
      </c>
      <c r="J325" s="26" t="n">
        <f aca="false">MAX(J324,IF(U324="HP",1,0))</f>
        <v>1</v>
      </c>
      <c r="K325" s="26" t="n">
        <f aca="false">MAX(K324,IF(U324="FP",1,0))</f>
        <v>1</v>
      </c>
      <c r="L325" s="26" t="n">
        <f aca="false">MAX(L324,IF(U324="transition",1,0))</f>
        <v>1</v>
      </c>
      <c r="M325" s="28" t="n">
        <f aca="false">(Parameters!$B$9+(IF(E325=0,0,(Upgrades!$J$6+E325*Upgrades!$K$6)*POWER(Upgrades!$L$6,E325)))*(IF(Upgrades!$T$7="Solar Wind",POWER(Upgrades!$U$7,F325),1)*IF(Upgrades!$T$8="Solar Wind",POWER(Upgrades!$U$8,G325),1)*IF(Upgrades!$T$9="Solar Wind",POWER(Upgrades!$U$9,H325),1)*IF(Upgrades!$T$10="Solar Wind",POWER(Upgrades!$U$10,I325),1)*IF(Upgrades!$T$11="Solar Wind",POWER(Upgrades!$U$11,J325),1)*IF(Upgrades!$T$12="Solar Wind",POWER(Upgrades!$U$12,K325),1))+(IF(F325=0,0,(Upgrades!$J$7+F325*Upgrades!$K$7)*POWER(Upgrades!$L$7,F325)))*(IF(Upgrades!$T$6="Asteroid Belt",POWER(Upgrades!$U$6,E325),1)*IF(Upgrades!$T$8="Asteroid Belt",POWER(Upgrades!$U$8,G325),1)*IF(Upgrades!$T$9="Asteroid Belt",POWER(Upgrades!$U$9,H325),1)*IF(Upgrades!$T$10="Asteroid Belt",POWER(Upgrades!$U$10,I325),1)*IF(Upgrades!$T$11="Asteroid Belt",POWER(Upgrades!$U$11,J325),1)*IF(Upgrades!$T$12="Asteroid Belt",POWER(Upgrades!$U$12,K325),1))+(IF(G325=0,0,(Upgrades!$J$8+G325*Upgrades!$K$8)*POWER(Upgrades!$L$8,G325)))*(IF(Upgrades!$T$6="Stellar Coupling",POWER(Upgrades!$U$6,E325),1)*IF(Upgrades!$T$7="Stellar Coupling",POWER(Upgrades!$U$7,F325),1)*IF(Upgrades!$T$9="Stellar Coupling",POWER(Upgrades!$U$9,H325),1)*IF(Upgrades!$T$10="Stellar Coupling",POWER(Upgrades!$U$10,I325),1)*IF(Upgrades!$T$11="Stellar Coupling",POWER(Upgrades!$U$11,J325),1)*IF(Upgrades!$T$12="Stellar Coupling",POWER(Upgrades!$U$12,K325),1))+(IF(H325=0,0,(Upgrades!$J$9+H325*Upgrades!$K$9)*POWER(Upgrades!$L$9,H325)))*(IF(Upgrades!$T$6="Magnetosphere",POWER(Upgrades!$U$6,E325),1)*IF(Upgrades!$T$7="Magnetosphere",POWER(Upgrades!$U$7,F325),1)*IF(Upgrades!$T$8="Magnetosphere",POWER(Upgrades!$U$8,G325),1)*IF(Upgrades!$T$10="Magnetosphere",POWER(Upgrades!$U$10,I325),1)*IF(Upgrades!$T$11="Magnetosphere",POWER(Upgrades!$U$11,J325),1)*IF(Upgrades!$T$12="Magnetosphere",POWER(Upgrades!$U$12,K325),1))+(IF(I325=0,0,(Upgrades!$J$10+I325*Upgrades!$K$10)*POWER(Upgrades!$L$10,I325)))*(IF(Upgrades!$T$6="Orbital Resonance",POWER(Upgrades!$U$6,E325),1)*IF(Upgrades!$T$7="Orbital Resonance",POWER(Upgrades!$U$7,F325),1)*IF(Upgrades!$T$8="Orbital Resonance",POWER(Upgrades!$U$8,G325),1)*IF(Upgrades!$T$9="Orbital Resonance",POWER(Upgrades!$U$9,H325),1)*IF(Upgrades!$T$11="Orbital Resonance",POWER(Upgrades!$U$11,J325),1)*IF(Upgrades!$T$12="Orbital Resonance",POWER(Upgrades!$U$12,K325),1))+(IF(J325=0,0,(Upgrades!$J$11+J325*Upgrades!$K$11)*POWER(Upgrades!$L$11,J325)))*(IF(Upgrades!$T$6="Heliopause",POWER(Upgrades!$U$6,E325),1)*IF(Upgrades!$T$7="Heliopause",POWER(Upgrades!$U$7,F325),1)*IF(Upgrades!$T$8="Heliopause",POWER(Upgrades!$U$8,G325),1)*IF(Upgrades!$T$9="Heliopause",POWER(Upgrades!$U$9,H325),1)*IF(Upgrades!$T$10="Heliopause",POWER(Upgrades!$U$10,I325),1)*IF(Upgrades!$T$12="Heliopause",POWER(Upgrades!$U$12,K325),1))+(IF(K325=0,0,(Upgrades!$J$12+K325*Upgrades!$K$12)*POWER(Upgrades!$L$12,K325)))*(IF(Upgrades!$T$6="First Photons",POWER(Upgrades!$U$6,E325),1)*IF(Upgrades!$T$7="First Photons",POWER(Upgrades!$U$7,F325),1)*IF(Upgrades!$T$8="First Photons",POWER(Upgrades!$U$8,G325),1)*IF(Upgrades!$T$9="First Photons",POWER(Upgrades!$U$9,H325),1)*IF(Upgrades!$T$10="First Photons",POWER(Upgrades!$U$10,I325),1)*IF(Upgrades!$T$11="First Photons",POWER(Upgrades!$U$11,J325),1)))*POWER(Upgrades!$Q$6,E325)*POWER(Upgrades!$Q$7,F325)*POWER(Upgrades!$Q$8,G325)*POWER(Upgrades!$Q$9,H325)*POWER(Upgrades!$Q$10,I325)*POWER(Upgrades!$Q$11,J325)*POWER(Upgrades!$Q$12,K325)</f>
        <v>5.61</v>
      </c>
      <c r="N325" s="28" t="n">
        <f aca="false">((IF(E325=0,0,(Upgrades!$G$6+E325*Upgrades!$H$6)*POWER(Upgrades!$I$6,E325)))*(IF(Upgrades!$T$7="Solar Wind",POWER(Upgrades!$U$7,F325),1)*IF(Upgrades!$T$8="Solar Wind",POWER(Upgrades!$U$8,G325),1)*IF(Upgrades!$T$9="Solar Wind",POWER(Upgrades!$U$9,H325),1)*IF(Upgrades!$T$10="Solar Wind",POWER(Upgrades!$U$10,I325),1)*IF(Upgrades!$T$11="Solar Wind",POWER(Upgrades!$U$11,J325),1)*IF(Upgrades!$T$12="Solar Wind",POWER(Upgrades!$U$12,K325),1))+(IF(F325=0,0,(Upgrades!$G$7+F325*Upgrades!$H$7)*POWER(Upgrades!$I$7,F325)))*(IF(Upgrades!$T$6="Asteroid Belt",POWER(Upgrades!$U$6,E325),1)*IF(Upgrades!$T$8="Asteroid Belt",POWER(Upgrades!$U$8,G325),1)*IF(Upgrades!$T$9="Asteroid Belt",POWER(Upgrades!$U$9,H325),1)*IF(Upgrades!$T$10="Asteroid Belt",POWER(Upgrades!$U$10,I325),1)*IF(Upgrades!$T$11="Asteroid Belt",POWER(Upgrades!$U$11,J325),1)*IF(Upgrades!$T$12="Asteroid Belt",POWER(Upgrades!$U$12,K325),1))+(IF(G325=0,0,(Upgrades!$G$8+G325*Upgrades!$H$8)*POWER(Upgrades!$I$8,G325)))*(IF(Upgrades!$T$6="Stellar Coupling",POWER(Upgrades!$U$6,E325),1)*IF(Upgrades!$T$7="Stellar Coupling",POWER(Upgrades!$U$7,F325),1)*IF(Upgrades!$T$9="Stellar Coupling",POWER(Upgrades!$U$9,H325),1)*IF(Upgrades!$T$10="Stellar Coupling",POWER(Upgrades!$U$10,I325),1)*IF(Upgrades!$T$11="Stellar Coupling",POWER(Upgrades!$U$11,J325),1)*IF(Upgrades!$T$12="Stellar Coupling",POWER(Upgrades!$U$12,K325),1))+(IF(H325=0,0,(Upgrades!$G$9+H325*Upgrades!$H$9)*POWER(Upgrades!$I$9,H325)))*(IF(Upgrades!$T$6="Magnetosphere",POWER(Upgrades!$U$6,E325),1)*IF(Upgrades!$T$7="Magnetosphere",POWER(Upgrades!$U$7,F325),1)*IF(Upgrades!$T$8="Magnetosphere",POWER(Upgrades!$U$8,G325),1)*IF(Upgrades!$T$10="Magnetosphere",POWER(Upgrades!$U$10,I325),1)*IF(Upgrades!$T$11="Magnetosphere",POWER(Upgrades!$U$11,J325),1)*IF(Upgrades!$T$12="Magnetosphere",POWER(Upgrades!$U$12,K325),1))+(IF(I325=0,0,(Upgrades!$G$10+I325*Upgrades!$H$10)*POWER(Upgrades!$I$10,I325)))*(IF(Upgrades!$T$6="Orbital Resonance",POWER(Upgrades!$U$6,E325),1)*IF(Upgrades!$T$7="Orbital Resonance",POWER(Upgrades!$U$7,F325),1)*IF(Upgrades!$T$8="Orbital Resonance",POWER(Upgrades!$U$8,G325),1)*IF(Upgrades!$T$9="Orbital Resonance",POWER(Upgrades!$U$9,H325),1)*IF(Upgrades!$T$11="Orbital Resonance",POWER(Upgrades!$U$11,J325),1)*IF(Upgrades!$T$12="Orbital Resonance",POWER(Upgrades!$U$12,K325),1))+(IF(J325=0,0,(Upgrades!$G$11+J325*Upgrades!$H$11)*POWER(Upgrades!$I$11,J325)))*(IF(Upgrades!$T$6="Heliopause",POWER(Upgrades!$U$6,E325),1)*IF(Upgrades!$T$7="Heliopause",POWER(Upgrades!$U$7,F325),1)*IF(Upgrades!$T$8="Heliopause",POWER(Upgrades!$U$8,G325),1)*IF(Upgrades!$T$9="Heliopause",POWER(Upgrades!$U$9,H325),1)*IF(Upgrades!$T$10="Heliopause",POWER(Upgrades!$U$10,I325),1)*IF(Upgrades!$T$12="Heliopause",POWER(Upgrades!$U$12,K325),1))+(IF(K325=0,0,(Upgrades!$G$12+K325*Upgrades!$H$12)*POWER(Upgrades!$I$12,K325)))*(IF(Upgrades!$T$6="First Photons",POWER(Upgrades!$U$6,E325),1)*IF(Upgrades!$T$7="First Photons",POWER(Upgrades!$U$7,F325),1)*IF(Upgrades!$T$8="First Photons",POWER(Upgrades!$U$8,G325),1)*IF(Upgrades!$T$9="First Photons",POWER(Upgrades!$U$9,H325),1)*IF(Upgrades!$T$10="First Photons",POWER(Upgrades!$U$10,I325),1)*IF(Upgrades!$T$11="First Photons",POWER(Upgrades!$U$11,J325),1)))*POWER(Upgrades!$P$6,E325)*POWER(Upgrades!$P$7,F325)*POWER(Upgrades!$P$8,G325)*POWER(Upgrades!$P$9,H325)*POWER(Upgrades!$P$10,I325)*POWER(Upgrades!$P$11,J325)*POWER(Upgrades!$P$12,K325)</f>
        <v>11.2</v>
      </c>
      <c r="O325" s="28" t="n">
        <f aca="false">((IF(E325=0,0,(Upgrades!$M$6+E325*Upgrades!$N$6)*POWER(Upgrades!$O$6,E325)))*(IF(Upgrades!$T$7="Solar Wind",POWER(Upgrades!$U$7,F325),1)*IF(Upgrades!$T$8="Solar Wind",POWER(Upgrades!$U$8,G325),1)*IF(Upgrades!$T$9="Solar Wind",POWER(Upgrades!$U$9,H325),1)*IF(Upgrades!$T$10="Solar Wind",POWER(Upgrades!$U$10,I325),1)*IF(Upgrades!$T$11="Solar Wind",POWER(Upgrades!$U$11,J325),1)*IF(Upgrades!$T$12="Solar Wind",POWER(Upgrades!$U$12,K325),1))+(IF(F325=0,0,(Upgrades!$M$7+F325*Upgrades!$N$7)*POWER(Upgrades!$O$7,F325)))*(IF(Upgrades!$T$6="Asteroid Belt",POWER(Upgrades!$U$6,E325),1)*IF(Upgrades!$T$8="Asteroid Belt",POWER(Upgrades!$U$8,G325),1)*IF(Upgrades!$T$9="Asteroid Belt",POWER(Upgrades!$U$9,H325),1)*IF(Upgrades!$T$10="Asteroid Belt",POWER(Upgrades!$U$10,I325),1)*IF(Upgrades!$T$11="Asteroid Belt",POWER(Upgrades!$U$11,J325),1)*IF(Upgrades!$T$12="Asteroid Belt",POWER(Upgrades!$U$12,K325),1))+(IF(G325=0,0,(Upgrades!$M$8+G325*Upgrades!$N$8)*POWER(Upgrades!$O$8,G325)))*(IF(Upgrades!$T$6="Stellar Coupling",POWER(Upgrades!$U$6,E325),1)*IF(Upgrades!$T$7="Stellar Coupling",POWER(Upgrades!$U$7,F325),1)*IF(Upgrades!$T$9="Stellar Coupling",POWER(Upgrades!$U$9,H325),1)*IF(Upgrades!$T$10="Stellar Coupling",POWER(Upgrades!$U$10,I325),1)*IF(Upgrades!$T$11="Stellar Coupling",POWER(Upgrades!$U$11,J325),1)*IF(Upgrades!$T$12="Stellar Coupling",POWER(Upgrades!$U$12,K325),1))+(IF(H325=0,0,(Upgrades!$M$9+H325*Upgrades!$N$9)*POWER(Upgrades!$O$9,H325)))*(IF(Upgrades!$T$6="Magnetosphere",POWER(Upgrades!$U$6,E325),1)*IF(Upgrades!$T$7="Magnetosphere",POWER(Upgrades!$U$7,F325),1)*IF(Upgrades!$T$8="Magnetosphere",POWER(Upgrades!$U$8,G325),1)*IF(Upgrades!$T$10="Magnetosphere",POWER(Upgrades!$U$10,I325),1)*IF(Upgrades!$T$11="Magnetosphere",POWER(Upgrades!$U$11,J325),1)*IF(Upgrades!$T$12="Magnetosphere",POWER(Upgrades!$U$12,K325),1))+(IF(I325=0,0,(Upgrades!$M$10+I325*Upgrades!$N$10)*POWER(Upgrades!$O$10,I325)))*(IF(Upgrades!$T$6="Orbital Resonance",POWER(Upgrades!$U$6,E325),1)*IF(Upgrades!$T$7="Orbital Resonance",POWER(Upgrades!$U$7,F325),1)*IF(Upgrades!$T$8="Orbital Resonance",POWER(Upgrades!$U$8,G325),1)*IF(Upgrades!$T$9="Orbital Resonance",POWER(Upgrades!$U$9,H325),1)*IF(Upgrades!$T$11="Orbital Resonance",POWER(Upgrades!$U$11,J325),1)*IF(Upgrades!$T$12="Orbital Resonance",POWER(Upgrades!$U$12,K325),1))+(IF(J325=0,0,(Upgrades!$M$11+J325*Upgrades!$N$11)*POWER(Upgrades!$O$11,J325)))*(IF(Upgrades!$T$6="Heliopause",POWER(Upgrades!$U$6,E325),1)*IF(Upgrades!$T$7="Heliopause",POWER(Upgrades!$U$7,F325),1)*IF(Upgrades!$T$8="Heliopause",POWER(Upgrades!$U$8,G325),1)*IF(Upgrades!$T$9="Heliopause",POWER(Upgrades!$U$9,H325),1)*IF(Upgrades!$T$10="Heliopause",POWER(Upgrades!$U$10,I325),1)*IF(Upgrades!$T$12="Heliopause",POWER(Upgrades!$U$12,K325),1))+(IF(K325=0,0,(Upgrades!$M$12+K325*Upgrades!$N$12)*POWER(Upgrades!$O$12,K325)))*(IF(Upgrades!$T$6="First Photons",POWER(Upgrades!$U$6,E325),1)*IF(Upgrades!$T$7="First Photons",POWER(Upgrades!$U$7,F325),1)*IF(Upgrades!$T$8="First Photons",POWER(Upgrades!$U$8,G325),1)*IF(Upgrades!$T$9="First Photons",POWER(Upgrades!$U$9,H325),1)*IF(Upgrades!$T$10="First Photons",POWER(Upgrades!$U$10,I325),1)*IF(Upgrades!$T$11="First Photons",POWER(Upgrades!$U$11,J325),1)))*POWER(Upgrades!$R$6,E325)*POWER(Upgrades!$R$7,F325)*POWER(Upgrades!$R$8,G325)*POWER(Upgrades!$R$9,H325)*POWER(Upgrades!$R$10,I325)*POWER(Upgrades!$R$11,J325)*POWER(Upgrades!$R$12,K325)</f>
        <v>0</v>
      </c>
      <c r="P325" s="27" t="n">
        <f aca="false">IF(L325=1,0,M325*Parameters!$B$10/60*Parameters!$B$11*10)</f>
        <v>0</v>
      </c>
      <c r="Q325" s="27" t="n">
        <f aca="false">IF(L325=1,0,O325*M325*10)</f>
        <v>0</v>
      </c>
      <c r="R325" s="27" t="n">
        <f aca="false">IF(L325=1,0,N325*10)</f>
        <v>0</v>
      </c>
      <c r="S325" s="27" t="n">
        <f aca="false">P325+Q325+R325</f>
        <v>0</v>
      </c>
      <c r="T325" s="21" t="n">
        <f aca="false">C325+S325</f>
        <v>18.6730249835055</v>
      </c>
      <c r="U325" s="34" t="str">
        <f aca="false">AX325</f>
        <v/>
      </c>
      <c r="V325" s="21" t="n">
        <f aca="false">IF(U325="",0,IF(U325="transition",0,IF(U325="SW",AG325,IF(U325="AB",AH325,IF(U325="SC",AI325,IF(U325="Mag",AJ325,IF(U325="OR",AK325,IF(U325="HP",AL325,IF(U325="FP",AM325,0)))))))))</f>
        <v>0</v>
      </c>
      <c r="W325" s="27" t="n">
        <f aca="false">IF(U325="OR",Upgrades!$F$10,IF(U325="HP",Upgrades!$F$11,IF(U325="transition",-Parameters!$B$18,0)))</f>
        <v>0</v>
      </c>
      <c r="X325" s="21" t="n">
        <f aca="false">T325-V325</f>
        <v>18.6730249835055</v>
      </c>
      <c r="Y325" s="30" t="n">
        <f aca="false">M325*Parameters!$B$10/60*Parameters!$B$11+O325*M325+N325</f>
        <v>20.55</v>
      </c>
      <c r="Z325" s="35" t="str">
        <f aca="false">IF(U325="transition","→ Tier 2 (Stellar Neighborhood)",IF(U325="FP","First Photons — light begins, system quickens",IF(U325="HP","Heliopause acquired",IF(U325="OR","Orbital Resonance — passive multiplier active",IF(AND(AO325=1,L325=0,AN325&lt;&gt;1),"Cohesion ready (waiting on completionist upgrades)","")))))</f>
        <v/>
      </c>
      <c r="AA325" s="27" t="n">
        <f aca="false">(IF(E325=0,0,(Upgrades!$G$6+E325*Upgrades!$H$6)*POWER(Upgrades!$I$6,E325)))*(IF(Upgrades!$T$7="Solar Wind",POWER(Upgrades!$U$7,F325),1)*IF(Upgrades!$T$8="Solar Wind",POWER(Upgrades!$U$8,G325),1)*IF(Upgrades!$T$9="Solar Wind",POWER(Upgrades!$U$9,H325),1)*IF(Upgrades!$T$10="Solar Wind",POWER(Upgrades!$U$10,I325),1)*IF(Upgrades!$T$11="Solar Wind",POWER(Upgrades!$U$11,J325),1)*IF(Upgrades!$T$12="Solar Wind",POWER(Upgrades!$U$12,K325),1))*POWER(Upgrades!$P$6,E325)*POWER(Upgrades!$P$7,F325)*POWER(Upgrades!$P$8,G325)*POWER(Upgrades!$P$9,H325)*POWER(Upgrades!$P$10,I325)*POWER(Upgrades!$P$11,J325)*POWER(Upgrades!$P$12,K325)*60</f>
        <v>72</v>
      </c>
      <c r="AB325" s="27" t="n">
        <f aca="false">(IF(F325=0,0,(Upgrades!$G$7+F325*Upgrades!$H$7)*POWER(Upgrades!$I$7,F325)))*(IF(Upgrades!$T$6="Asteroid Belt",POWER(Upgrades!$U$6,E325),1)*IF(Upgrades!$T$8="Asteroid Belt",POWER(Upgrades!$U$8,G325),1)*IF(Upgrades!$T$9="Asteroid Belt",POWER(Upgrades!$U$9,H325),1)*IF(Upgrades!$T$10="Asteroid Belt",POWER(Upgrades!$U$10,I325),1)*IF(Upgrades!$T$11="Asteroid Belt",POWER(Upgrades!$U$11,J325),1)*IF(Upgrades!$T$12="Asteroid Belt",POWER(Upgrades!$U$12,K325),1))*POWER(Upgrades!$P$6,E325)*POWER(Upgrades!$P$7,F325)*POWER(Upgrades!$P$8,G325)*POWER(Upgrades!$P$9,H325)*POWER(Upgrades!$P$10,I325)*POWER(Upgrades!$P$11,J325)*POWER(Upgrades!$P$12,K325)*60</f>
        <v>150</v>
      </c>
      <c r="AC325" s="27" t="n">
        <f aca="false">(IF(G325=0,0,(Upgrades!$J$8+G325*Upgrades!$K$8)*POWER(Upgrades!$L$8,G325)))*(IF(Upgrades!$T$6="Stellar Coupling",POWER(Upgrades!$U$6,E325),1)*IF(Upgrades!$T$7="Stellar Coupling",POWER(Upgrades!$U$7,F325),1)*IF(Upgrades!$T$9="Stellar Coupling",POWER(Upgrades!$U$9,H325),1)*IF(Upgrades!$T$10="Stellar Coupling",POWER(Upgrades!$U$10,I325),1)*IF(Upgrades!$T$11="Stellar Coupling",POWER(Upgrades!$U$11,J325),1)*IF(Upgrades!$T$12="Stellar Coupling",POWER(Upgrades!$U$12,K325),1))*POWER(Upgrades!$Q$6,E325)*POWER(Upgrades!$Q$7,F325)*POWER(Upgrades!$Q$8,G325)*POWER(Upgrades!$Q$9,H325)*POWER(Upgrades!$Q$10,I325)*POWER(Upgrades!$Q$11,J325)*POWER(Upgrades!$Q$12,K325)*Parameters!$B$10*Parameters!$B$11</f>
        <v>441</v>
      </c>
      <c r="AD325" s="27" t="n">
        <f aca="false">(IF(H325=0,0,(Upgrades!$G$9+H325*Upgrades!$H$9)*POWER(Upgrades!$I$9,H325)))*(IF(Upgrades!$T$6="Magnetosphere",POWER(Upgrades!$U$6,E325),1)*IF(Upgrades!$T$7="Magnetosphere",POWER(Upgrades!$U$7,F325),1)*IF(Upgrades!$T$8="Magnetosphere",POWER(Upgrades!$U$8,G325),1)*IF(Upgrades!$T$10="Magnetosphere",POWER(Upgrades!$U$10,I325),1)*IF(Upgrades!$T$11="Magnetosphere",POWER(Upgrades!$U$11,J325),1)*IF(Upgrades!$T$12="Magnetosphere",POWER(Upgrades!$U$12,K325),1))*POWER(Upgrades!$P$6,E325)*POWER(Upgrades!$P$7,F325)*POWER(Upgrades!$P$8,G325)*POWER(Upgrades!$P$9,H325)*POWER(Upgrades!$P$10,I325)*POWER(Upgrades!$P$11,J325)*POWER(Upgrades!$P$12,K325)*60</f>
        <v>375</v>
      </c>
      <c r="AE325" s="27" t="n">
        <f aca="false">(IF(K325=0,0,(Upgrades!$G$12+K325*Upgrades!$H$12)*POWER(Upgrades!$I$12,K325)))*(IF(Upgrades!$T$6="First Photons",POWER(Upgrades!$U$6,E325),1)*IF(Upgrades!$T$7="First Photons",POWER(Upgrades!$U$7,F325),1)*IF(Upgrades!$T$8="First Photons",POWER(Upgrades!$U$8,G325),1)*IF(Upgrades!$T$9="First Photons",POWER(Upgrades!$U$9,H325),1)*IF(Upgrades!$T$10="First Photons",POWER(Upgrades!$U$10,I325),1)*IF(Upgrades!$T$11="First Photons",POWER(Upgrades!$U$11,J325),1))*POWER(Upgrades!$P$6,E325)*POWER(Upgrades!$P$7,F325)*POWER(Upgrades!$P$8,G325)*POWER(Upgrades!$P$9,H325)*POWER(Upgrades!$P$10,I325)*POWER(Upgrades!$P$11,J325)*POWER(Upgrades!$P$12,K325)*60</f>
        <v>75</v>
      </c>
      <c r="AF325" s="27" t="n">
        <f aca="false">Parameters!$B$9*POWER(Upgrades!$Q$6,E325)*POWER(Upgrades!$Q$7,F325)*POWER(Upgrades!$Q$8,G325)*POWER(Upgrades!$Q$9,H325)*POWER(Upgrades!$Q$10,I325)*POWER(Upgrades!$Q$11,J325)*POWER(Upgrades!$Q$12,K325)*(Parameters!$B$10*Parameters!$B$11+O325*60)</f>
        <v>120</v>
      </c>
      <c r="AG325" s="21" t="n">
        <f aca="false">IF(E325&gt;=Upgrades!$E$6,"",Upgrades!$C$6*POWER(Upgrades!$D$6,E325))</f>
        <v>37.4517507383159</v>
      </c>
      <c r="AH325" s="21" t="n">
        <f aca="false">IF(F325&gt;=Upgrades!$E$7,"",Upgrades!$C$7*POWER(Upgrades!$D$7,F325))</f>
        <v>80.9111547141581</v>
      </c>
      <c r="AI325" s="21" t="n">
        <f aca="false">IF(G325&gt;=Upgrades!$E$8,"",Upgrades!$C$8*POWER(Upgrades!$D$8,G325))</f>
        <v>231.9097088</v>
      </c>
      <c r="AJ325" s="21" t="str">
        <f aca="false">IF(H325&gt;=Upgrades!$E$9,"",Upgrades!$C$9*POWER(Upgrades!$D$9,H325))</f>
        <v/>
      </c>
      <c r="AK325" s="21" t="str">
        <f aca="false">IF(I325&gt;=Upgrades!$E$10,"",Upgrades!$C$10*POWER(Upgrades!$D$10,I325))</f>
        <v/>
      </c>
      <c r="AL325" s="21" t="str">
        <f aca="false">IF(J325&gt;=Upgrades!$E$11,"",Upgrades!$C$11*POWER(Upgrades!$D$11,J325))</f>
        <v/>
      </c>
      <c r="AM325" s="21" t="str">
        <f aca="false">IF(K325&gt;=Upgrades!$E$12,"",Upgrades!$C$12*POWER(Upgrades!$D$12,K325))</f>
        <v/>
      </c>
      <c r="AN325" s="26" t="str">
        <f aca="false">IF(AND(D325&gt;=Parameters!$B$18,(H325&gt;=Upgrades!$E$9)*(K325&gt;=Upgrades!$E$12)=1,L325=0),1,"")</f>
        <v/>
      </c>
      <c r="AO325" s="26" t="str">
        <f aca="false">IF(AND(D325&gt;=Parameters!$B$18,L325=0),1,"")</f>
        <v/>
      </c>
      <c r="AP325" s="21" t="n">
        <f aca="false">MIN(IF(ISNUMBER(AK325),AK325,9000000000000000),IF(ISNUMBER(AL325),AL325,9000000000000000),IF(ISNUMBER(AM325),AM325,9000000000000000))</f>
        <v>9000000000000000</v>
      </c>
      <c r="AQ325" s="21" t="n">
        <f aca="false">MIN(IF(ISNUMBER(AG325),AG325,9000000000000000),IF(ISNUMBER(AH325),AH325,9000000000000000),IF(ISNUMBER(AI325),AI325,9000000000000000),IF(ISNUMBER(AJ325),AJ325,9000000000000000))</f>
        <v>37.4517507383159</v>
      </c>
      <c r="AR325" s="32" t="b">
        <f aca="false">IF(AW325&gt;Parameters!$B$21*(MAX(IF(AND(NOT(AND(AO325=1,AN325&lt;&gt;1)),ISNUMBER(AG325),AG325&lt;=T325),AS325,0),IF(AND(NOT(AND(AO325=1,AN325&lt;&gt;1)),ISNUMBER(AH325),AH325&lt;=T325),AT325,0),IF(AND(NOT(AND(AO325=1,AN325&lt;&gt;1)),ISNUMBER(AI325),AI325&lt;=T325),AU325,0),IF(AND(ISNUMBER(AJ325),AJ325&lt;=T325),AV325,0))),TRUE(),FALSE())</f>
        <v>1</v>
      </c>
      <c r="AS325" s="33" t="n">
        <f aca="false">IFERROR(Upgrades!$H$6*(POWER(Upgrades!$P$6,E325)*POWER(Upgrades!$P$7,F325)*POWER(Upgrades!$P$8,G325)*POWER(Upgrades!$P$9,H325)*POWER(Upgrades!$P$10,I325)*POWER(Upgrades!$P$11,J325)*POWER(Upgrades!$P$12,K325))*(IF(Upgrades!$T$7="Solar Wind",POWER(Upgrades!$U$7,F325),1)*IF(Upgrades!$T$8="Solar Wind",POWER(Upgrades!$U$8,G325),1)*IF(Upgrades!$T$9="Solar Wind",POWER(Upgrades!$U$9,H325),1)*IF(Upgrades!$T$10="Solar Wind",POWER(Upgrades!$U$10,I325),1)*IF(Upgrades!$T$11="Solar Wind",POWER(Upgrades!$U$11,J325),1)*IF(Upgrades!$T$12="Solar Wind",POWER(Upgrades!$U$12,K325),1))/AG325,0)</f>
        <v>0.0026701021455238</v>
      </c>
      <c r="AT325" s="33" t="n">
        <f aca="false">IFERROR(Upgrades!$H$7*(POWER(Upgrades!$P$6,E325)*POWER(Upgrades!$P$7,F325)*POWER(Upgrades!$P$8,G325)*POWER(Upgrades!$P$9,H325)*POWER(Upgrades!$P$10,I325)*POWER(Upgrades!$P$11,J325)*POWER(Upgrades!$P$12,K325))*(IF(Upgrades!$T$6="Asteroid Belt",POWER(Upgrades!$U$6,E325),1)*IF(Upgrades!$T$8="Asteroid Belt",POWER(Upgrades!$U$8,G325),1)*IF(Upgrades!$T$9="Asteroid Belt",POWER(Upgrades!$U$9,H325),1)*IF(Upgrades!$T$10="Asteroid Belt",POWER(Upgrades!$U$10,I325),1)*IF(Upgrades!$T$11="Asteroid Belt",POWER(Upgrades!$U$11,J325),1)*IF(Upgrades!$T$12="Asteroid Belt",POWER(Upgrades!$U$12,K325),1))/AH325,0)</f>
        <v>0.00308980882652332</v>
      </c>
      <c r="AU325" s="33" t="n">
        <f aca="false">IFERROR(Upgrades!$K$8*(POWER(Upgrades!$Q$6,E325)*POWER(Upgrades!$Q$7,F325)*POWER(Upgrades!$Q$8,G325)*POWER(Upgrades!$Q$9,H325)*POWER(Upgrades!$Q$10,I325)*POWER(Upgrades!$Q$11,J325)*POWER(Upgrades!$Q$12,K325))*(IF(Upgrades!$T$6="Stellar Coupling",POWER(Upgrades!$U$6,E325),1)*IF(Upgrades!$T$7="Stellar Coupling",POWER(Upgrades!$U$7,F325),1)*IF(Upgrades!$T$9="Stellar Coupling",POWER(Upgrades!$U$9,H325),1)*IF(Upgrades!$T$10="Stellar Coupling",POWER(Upgrades!$U$10,I325),1)*IF(Upgrades!$T$11="Stellar Coupling",POWER(Upgrades!$U$11,J325),1)*IF(Upgrades!$T$12="Stellar Coupling",POWER(Upgrades!$U$12,K325),1))*Parameters!$B$10*Parameters!$B$11/60/AI325,0)</f>
        <v>0.00452762415783776</v>
      </c>
      <c r="AV325" s="33" t="n">
        <f aca="false">IFERROR(Upgrades!$H$9*(POWER(Upgrades!$P$6,E325)*POWER(Upgrades!$P$7,F325)*POWER(Upgrades!$P$8,G325)*POWER(Upgrades!$P$9,H325)*POWER(Upgrades!$P$10,I325)*POWER(Upgrades!$P$11,J325)*POWER(Upgrades!$P$12,K325))*(IF(Upgrades!$T$6="Magnetosphere",POWER(Upgrades!$U$6,E325),1)*IF(Upgrades!$T$7="Magnetosphere",POWER(Upgrades!$U$7,F325),1)*IF(Upgrades!$T$8="Magnetosphere",POWER(Upgrades!$U$8,G325),1)*IF(Upgrades!$T$10="Magnetosphere",POWER(Upgrades!$U$10,I325),1)*IF(Upgrades!$T$11="Magnetosphere",POWER(Upgrades!$U$11,J325),1)*IF(Upgrades!$T$12="Magnetosphere",POWER(Upgrades!$U$12,K325),1))/AJ325,0)</f>
        <v>0</v>
      </c>
      <c r="AW325" s="33" t="n">
        <f aca="false">MAX(IF(I325&gt;0,0,IFERROR(0.25*N325/Upgrades!$C$10,0)),IF(J325&gt;0,0,IFERROR(0.5*((IF(G325=0,0,(Upgrades!$J$8+G325*Upgrades!$K$8)*POWER(Upgrades!$L$8,G325)))*(IF(Upgrades!$T$6="Stellar Coupling",POWER(Upgrades!$U$6,E325),1)*IF(Upgrades!$T$7="Stellar Coupling",POWER(Upgrades!$U$7,F325),1)*IF(Upgrades!$T$9="Stellar Coupling",POWER(Upgrades!$U$9,H325),1)*IF(Upgrades!$T$10="Stellar Coupling",POWER(Upgrades!$U$10,I325),1)*IF(Upgrades!$T$11="Stellar Coupling",POWER(Upgrades!$U$11,J325),1)*IF(Upgrades!$T$12="Stellar Coupling",POWER(Upgrades!$U$12,K325),1))*(POWER(Upgrades!$Q$6,E325)*POWER(Upgrades!$Q$7,F325)*POWER(Upgrades!$Q$8,G325)*POWER(Upgrades!$Q$9,H325)*POWER(Upgrades!$Q$10,I325)*POWER(Upgrades!$Q$11,J325)*POWER(Upgrades!$Q$12,K325))*Parameters!$B$10*Parameters!$B$11/60)/Upgrades!$C$11,0)),IF(K325&gt;0,0,IFERROR((1*(POWER(Upgrades!$P$6,E325)*POWER(Upgrades!$P$7,F325)*POWER(Upgrades!$P$8,G325)*POWER(Upgrades!$P$9,H325)*POWER(Upgrades!$P$10,I325)*POWER(Upgrades!$P$11,J325)*POWER(Upgrades!$P$12,K325))+0.2*M325*Parameters!$B$10*Parameters!$B$11/60)/Upgrades!$C$12,0)),IF(AND(ISNUMBER(AG325),AG325&gt;T325),AS325,0),IF(AND(ISNUMBER(AH325),AH325&gt;T325),AT325,0),IF(AND(ISNUMBER(AI325),AI325&gt;T325),AU325,0),IF(AND(ISNUMBER(AJ325),AJ325&gt;T325),AV325,0))</f>
        <v>0.00452762415783776</v>
      </c>
      <c r="AX325" s="29" t="str">
        <f aca="false">IF(AN325=1,"transition",IF(MIN(IF(AND(I325=0,ISNUMBER(AK325),AK325&lt;=T325),AK325,9000000000000000),IF(AND(J325=0,ISNUMBER(AL325),AL325&lt;=T325),AL325,9000000000000000),IF(AND(K325=0,ISNUMBER(AM325),AM325&lt;=T325),AM325,9000000000000000))&lt;9000000000000000,IF(AND(AND(I325=0,ISNUMBER(AK325),AK325&lt;=T325),AK325=MIN(IF(AND(I325=0,ISNUMBER(AK325),AK325&lt;=T325),AK325,9000000000000000),IF(AND(J325=0,ISNUMBER(AL325),AL325&lt;=T325),AL325,9000000000000000),IF(AND(K325=0,ISNUMBER(AM325),AM325&lt;=T325),AM325,9000000000000000))),"OR",IF(AND(AND(J325=0,ISNUMBER(AL325),AL325&lt;=T325),AL325=MIN(IF(AND(I325=0,ISNUMBER(AK325),AK325&lt;=T325),AK325,9000000000000000),IF(AND(J325=0,ISNUMBER(AL325),AL325&lt;=T325),AL325,9000000000000000),IF(AND(K325=0,ISNUMBER(AM325),AM325&lt;=T325),AM325,9000000000000000))),"HP","FP")),IF(AR325=TRUE(),"",IF(MAX(IF(AND(NOT(AND(AO325=1,AN325&lt;&gt;1)),ISNUMBER(AG325),AG325&lt;=T325),AS325,0),IF(AND(NOT(AND(AO325=1,AN325&lt;&gt;1)),ISNUMBER(AH325),AH325&lt;=T325),AT325,0),IF(AND(NOT(AND(AO325=1,AN325&lt;&gt;1)),ISNUMBER(AI325),AI325&lt;=T325),AU325,0),IF(AND(ISNUMBER(AJ325),AJ325&lt;=T325),AV325,0))&lt;=0,"",IF(AND(IF(AND(NOT(AND(AO325=1,AN325&lt;&gt;1)),ISNUMBER(AG325),AG325&lt;=T325),AS325,0)&gt;0,IF(AND(NOT(AND(AO325=1,AN325&lt;&gt;1)),ISNUMBER(AG325),AG325&lt;=T325),AS325,0)=MAX(IF(AND(NOT(AND(AO325=1,AN325&lt;&gt;1)),ISNUMBER(AG325),AG325&lt;=T325),AS325,0),IF(AND(NOT(AND(AO325=1,AN325&lt;&gt;1)),ISNUMBER(AH325),AH325&lt;=T325),AT325,0),IF(AND(NOT(AND(AO325=1,AN325&lt;&gt;1)),ISNUMBER(AI325),AI325&lt;=T325),AU325,0),IF(AND(ISNUMBER(AJ325),AJ325&lt;=T325),AV325,0))),"SW",IF(AND(IF(AND(NOT(AND(AO325=1,AN325&lt;&gt;1)),ISNUMBER(AH325),AH325&lt;=T325),AT325,0)&gt;0,IF(AND(NOT(AND(AO325=1,AN325&lt;&gt;1)),ISNUMBER(AH325),AH325&lt;=T325),AT325,0)=MAX(IF(AND(NOT(AND(AO325=1,AN325&lt;&gt;1)),ISNUMBER(AG325),AG325&lt;=T325),AS325,0),IF(AND(NOT(AND(AO325=1,AN325&lt;&gt;1)),ISNUMBER(AH325),AH325&lt;=T325),AT325,0),IF(AND(NOT(AND(AO325=1,AN325&lt;&gt;1)),ISNUMBER(AI325),AI325&lt;=T325),AU325,0),IF(AND(ISNUMBER(AJ325),AJ325&lt;=T325),AV325,0))),"AB",IF(AND(IF(AND(NOT(AND(AO325=1,AN325&lt;&gt;1)),ISNUMBER(AI325),AI325&lt;=T325),AU325,0)&gt;0,IF(AND(NOT(AND(AO325=1,AN325&lt;&gt;1)),ISNUMBER(AI325),AI325&lt;=T325),AU325,0)=MAX(IF(AND(NOT(AND(AO325=1,AN325&lt;&gt;1)),ISNUMBER(AG325),AG325&lt;=T325),AS325,0),IF(AND(NOT(AND(AO325=1,AN325&lt;&gt;1)),ISNUMBER(AH325),AH325&lt;=T325),AT325,0),IF(AND(NOT(AND(AO325=1,AN325&lt;&gt;1)),ISNUMBER(AI325),AI325&lt;=T325),AU325,0),IF(AND(ISNUMBER(AJ325),AJ325&lt;=T325),AV325,0))),"SC","Mag")))))))</f>
        <v/>
      </c>
    </row>
    <row r="326" customFormat="false" ht="15" hidden="false" customHeight="false" outlineLevel="0" collapsed="false">
      <c r="A326" s="26" t="n">
        <v>321</v>
      </c>
      <c r="B326" s="27" t="n">
        <f aca="false">A326*10/60</f>
        <v>53.5</v>
      </c>
      <c r="C326" s="21" t="n">
        <f aca="false">X325</f>
        <v>18.6730249835055</v>
      </c>
      <c r="D326" s="27" t="n">
        <f aca="false">D325+W325</f>
        <v>0</v>
      </c>
      <c r="E326" s="26" t="n">
        <f aca="false">E325+IF(U325="SW",1,0)</f>
        <v>12</v>
      </c>
      <c r="F326" s="26" t="n">
        <f aca="false">F325+IF(U325="AB",1,0)</f>
        <v>10</v>
      </c>
      <c r="G326" s="26" t="n">
        <f aca="false">G325+IF(U325="SC",1,0)</f>
        <v>7</v>
      </c>
      <c r="H326" s="26" t="n">
        <f aca="false">H325+IF(U325="Mag",1,0)</f>
        <v>5</v>
      </c>
      <c r="I326" s="26" t="n">
        <f aca="false">MAX(I325,IF(U325="OR",1,0))</f>
        <v>1</v>
      </c>
      <c r="J326" s="26" t="n">
        <f aca="false">MAX(J325,IF(U325="HP",1,0))</f>
        <v>1</v>
      </c>
      <c r="K326" s="26" t="n">
        <f aca="false">MAX(K325,IF(U325="FP",1,0))</f>
        <v>1</v>
      </c>
      <c r="L326" s="26" t="n">
        <f aca="false">MAX(L325,IF(U325="transition",1,0))</f>
        <v>1</v>
      </c>
      <c r="M326" s="28" t="n">
        <f aca="false">(Parameters!$B$9+(IF(E326=0,0,(Upgrades!$J$6+E326*Upgrades!$K$6)*POWER(Upgrades!$L$6,E326)))*(IF(Upgrades!$T$7="Solar Wind",POWER(Upgrades!$U$7,F326),1)*IF(Upgrades!$T$8="Solar Wind",POWER(Upgrades!$U$8,G326),1)*IF(Upgrades!$T$9="Solar Wind",POWER(Upgrades!$U$9,H326),1)*IF(Upgrades!$T$10="Solar Wind",POWER(Upgrades!$U$10,I326),1)*IF(Upgrades!$T$11="Solar Wind",POWER(Upgrades!$U$11,J326),1)*IF(Upgrades!$T$12="Solar Wind",POWER(Upgrades!$U$12,K326),1))+(IF(F326=0,0,(Upgrades!$J$7+F326*Upgrades!$K$7)*POWER(Upgrades!$L$7,F326)))*(IF(Upgrades!$T$6="Asteroid Belt",POWER(Upgrades!$U$6,E326),1)*IF(Upgrades!$T$8="Asteroid Belt",POWER(Upgrades!$U$8,G326),1)*IF(Upgrades!$T$9="Asteroid Belt",POWER(Upgrades!$U$9,H326),1)*IF(Upgrades!$T$10="Asteroid Belt",POWER(Upgrades!$U$10,I326),1)*IF(Upgrades!$T$11="Asteroid Belt",POWER(Upgrades!$U$11,J326),1)*IF(Upgrades!$T$12="Asteroid Belt",POWER(Upgrades!$U$12,K326),1))+(IF(G326=0,0,(Upgrades!$J$8+G326*Upgrades!$K$8)*POWER(Upgrades!$L$8,G326)))*(IF(Upgrades!$T$6="Stellar Coupling",POWER(Upgrades!$U$6,E326),1)*IF(Upgrades!$T$7="Stellar Coupling",POWER(Upgrades!$U$7,F326),1)*IF(Upgrades!$T$9="Stellar Coupling",POWER(Upgrades!$U$9,H326),1)*IF(Upgrades!$T$10="Stellar Coupling",POWER(Upgrades!$U$10,I326),1)*IF(Upgrades!$T$11="Stellar Coupling",POWER(Upgrades!$U$11,J326),1)*IF(Upgrades!$T$12="Stellar Coupling",POWER(Upgrades!$U$12,K326),1))+(IF(H326=0,0,(Upgrades!$J$9+H326*Upgrades!$K$9)*POWER(Upgrades!$L$9,H326)))*(IF(Upgrades!$T$6="Magnetosphere",POWER(Upgrades!$U$6,E326),1)*IF(Upgrades!$T$7="Magnetosphere",POWER(Upgrades!$U$7,F326),1)*IF(Upgrades!$T$8="Magnetosphere",POWER(Upgrades!$U$8,G326),1)*IF(Upgrades!$T$10="Magnetosphere",POWER(Upgrades!$U$10,I326),1)*IF(Upgrades!$T$11="Magnetosphere",POWER(Upgrades!$U$11,J326),1)*IF(Upgrades!$T$12="Magnetosphere",POWER(Upgrades!$U$12,K326),1))+(IF(I326=0,0,(Upgrades!$J$10+I326*Upgrades!$K$10)*POWER(Upgrades!$L$10,I326)))*(IF(Upgrades!$T$6="Orbital Resonance",POWER(Upgrades!$U$6,E326),1)*IF(Upgrades!$T$7="Orbital Resonance",POWER(Upgrades!$U$7,F326),1)*IF(Upgrades!$T$8="Orbital Resonance",POWER(Upgrades!$U$8,G326),1)*IF(Upgrades!$T$9="Orbital Resonance",POWER(Upgrades!$U$9,H326),1)*IF(Upgrades!$T$11="Orbital Resonance",POWER(Upgrades!$U$11,J326),1)*IF(Upgrades!$T$12="Orbital Resonance",POWER(Upgrades!$U$12,K326),1))+(IF(J326=0,0,(Upgrades!$J$11+J326*Upgrades!$K$11)*POWER(Upgrades!$L$11,J326)))*(IF(Upgrades!$T$6="Heliopause",POWER(Upgrades!$U$6,E326),1)*IF(Upgrades!$T$7="Heliopause",POWER(Upgrades!$U$7,F326),1)*IF(Upgrades!$T$8="Heliopause",POWER(Upgrades!$U$8,G326),1)*IF(Upgrades!$T$9="Heliopause",POWER(Upgrades!$U$9,H326),1)*IF(Upgrades!$T$10="Heliopause",POWER(Upgrades!$U$10,I326),1)*IF(Upgrades!$T$12="Heliopause",POWER(Upgrades!$U$12,K326),1))+(IF(K326=0,0,(Upgrades!$J$12+K326*Upgrades!$K$12)*POWER(Upgrades!$L$12,K326)))*(IF(Upgrades!$T$6="First Photons",POWER(Upgrades!$U$6,E326),1)*IF(Upgrades!$T$7="First Photons",POWER(Upgrades!$U$7,F326),1)*IF(Upgrades!$T$8="First Photons",POWER(Upgrades!$U$8,G326),1)*IF(Upgrades!$T$9="First Photons",POWER(Upgrades!$U$9,H326),1)*IF(Upgrades!$T$10="First Photons",POWER(Upgrades!$U$10,I326),1)*IF(Upgrades!$T$11="First Photons",POWER(Upgrades!$U$11,J326),1)))*POWER(Upgrades!$Q$6,E326)*POWER(Upgrades!$Q$7,F326)*POWER(Upgrades!$Q$8,G326)*POWER(Upgrades!$Q$9,H326)*POWER(Upgrades!$Q$10,I326)*POWER(Upgrades!$Q$11,J326)*POWER(Upgrades!$Q$12,K326)</f>
        <v>5.61</v>
      </c>
      <c r="N326" s="28" t="n">
        <f aca="false">((IF(E326=0,0,(Upgrades!$G$6+E326*Upgrades!$H$6)*POWER(Upgrades!$I$6,E326)))*(IF(Upgrades!$T$7="Solar Wind",POWER(Upgrades!$U$7,F326),1)*IF(Upgrades!$T$8="Solar Wind",POWER(Upgrades!$U$8,G326),1)*IF(Upgrades!$T$9="Solar Wind",POWER(Upgrades!$U$9,H326),1)*IF(Upgrades!$T$10="Solar Wind",POWER(Upgrades!$U$10,I326),1)*IF(Upgrades!$T$11="Solar Wind",POWER(Upgrades!$U$11,J326),1)*IF(Upgrades!$T$12="Solar Wind",POWER(Upgrades!$U$12,K326),1))+(IF(F326=0,0,(Upgrades!$G$7+F326*Upgrades!$H$7)*POWER(Upgrades!$I$7,F326)))*(IF(Upgrades!$T$6="Asteroid Belt",POWER(Upgrades!$U$6,E326),1)*IF(Upgrades!$T$8="Asteroid Belt",POWER(Upgrades!$U$8,G326),1)*IF(Upgrades!$T$9="Asteroid Belt",POWER(Upgrades!$U$9,H326),1)*IF(Upgrades!$T$10="Asteroid Belt",POWER(Upgrades!$U$10,I326),1)*IF(Upgrades!$T$11="Asteroid Belt",POWER(Upgrades!$U$11,J326),1)*IF(Upgrades!$T$12="Asteroid Belt",POWER(Upgrades!$U$12,K326),1))+(IF(G326=0,0,(Upgrades!$G$8+G326*Upgrades!$H$8)*POWER(Upgrades!$I$8,G326)))*(IF(Upgrades!$T$6="Stellar Coupling",POWER(Upgrades!$U$6,E326),1)*IF(Upgrades!$T$7="Stellar Coupling",POWER(Upgrades!$U$7,F326),1)*IF(Upgrades!$T$9="Stellar Coupling",POWER(Upgrades!$U$9,H326),1)*IF(Upgrades!$T$10="Stellar Coupling",POWER(Upgrades!$U$10,I326),1)*IF(Upgrades!$T$11="Stellar Coupling",POWER(Upgrades!$U$11,J326),1)*IF(Upgrades!$T$12="Stellar Coupling",POWER(Upgrades!$U$12,K326),1))+(IF(H326=0,0,(Upgrades!$G$9+H326*Upgrades!$H$9)*POWER(Upgrades!$I$9,H326)))*(IF(Upgrades!$T$6="Magnetosphere",POWER(Upgrades!$U$6,E326),1)*IF(Upgrades!$T$7="Magnetosphere",POWER(Upgrades!$U$7,F326),1)*IF(Upgrades!$T$8="Magnetosphere",POWER(Upgrades!$U$8,G326),1)*IF(Upgrades!$T$10="Magnetosphere",POWER(Upgrades!$U$10,I326),1)*IF(Upgrades!$T$11="Magnetosphere",POWER(Upgrades!$U$11,J326),1)*IF(Upgrades!$T$12="Magnetosphere",POWER(Upgrades!$U$12,K326),1))+(IF(I326=0,0,(Upgrades!$G$10+I326*Upgrades!$H$10)*POWER(Upgrades!$I$10,I326)))*(IF(Upgrades!$T$6="Orbital Resonance",POWER(Upgrades!$U$6,E326),1)*IF(Upgrades!$T$7="Orbital Resonance",POWER(Upgrades!$U$7,F326),1)*IF(Upgrades!$T$8="Orbital Resonance",POWER(Upgrades!$U$8,G326),1)*IF(Upgrades!$T$9="Orbital Resonance",POWER(Upgrades!$U$9,H326),1)*IF(Upgrades!$T$11="Orbital Resonance",POWER(Upgrades!$U$11,J326),1)*IF(Upgrades!$T$12="Orbital Resonance",POWER(Upgrades!$U$12,K326),1))+(IF(J326=0,0,(Upgrades!$G$11+J326*Upgrades!$H$11)*POWER(Upgrades!$I$11,J326)))*(IF(Upgrades!$T$6="Heliopause",POWER(Upgrades!$U$6,E326),1)*IF(Upgrades!$T$7="Heliopause",POWER(Upgrades!$U$7,F326),1)*IF(Upgrades!$T$8="Heliopause",POWER(Upgrades!$U$8,G326),1)*IF(Upgrades!$T$9="Heliopause",POWER(Upgrades!$U$9,H326),1)*IF(Upgrades!$T$10="Heliopause",POWER(Upgrades!$U$10,I326),1)*IF(Upgrades!$T$12="Heliopause",POWER(Upgrades!$U$12,K326),1))+(IF(K326=0,0,(Upgrades!$G$12+K326*Upgrades!$H$12)*POWER(Upgrades!$I$12,K326)))*(IF(Upgrades!$T$6="First Photons",POWER(Upgrades!$U$6,E326),1)*IF(Upgrades!$T$7="First Photons",POWER(Upgrades!$U$7,F326),1)*IF(Upgrades!$T$8="First Photons",POWER(Upgrades!$U$8,G326),1)*IF(Upgrades!$T$9="First Photons",POWER(Upgrades!$U$9,H326),1)*IF(Upgrades!$T$10="First Photons",POWER(Upgrades!$U$10,I326),1)*IF(Upgrades!$T$11="First Photons",POWER(Upgrades!$U$11,J326),1)))*POWER(Upgrades!$P$6,E326)*POWER(Upgrades!$P$7,F326)*POWER(Upgrades!$P$8,G326)*POWER(Upgrades!$P$9,H326)*POWER(Upgrades!$P$10,I326)*POWER(Upgrades!$P$11,J326)*POWER(Upgrades!$P$12,K326)</f>
        <v>11.2</v>
      </c>
      <c r="O326" s="28" t="n">
        <f aca="false">((IF(E326=0,0,(Upgrades!$M$6+E326*Upgrades!$N$6)*POWER(Upgrades!$O$6,E326)))*(IF(Upgrades!$T$7="Solar Wind",POWER(Upgrades!$U$7,F326),1)*IF(Upgrades!$T$8="Solar Wind",POWER(Upgrades!$U$8,G326),1)*IF(Upgrades!$T$9="Solar Wind",POWER(Upgrades!$U$9,H326),1)*IF(Upgrades!$T$10="Solar Wind",POWER(Upgrades!$U$10,I326),1)*IF(Upgrades!$T$11="Solar Wind",POWER(Upgrades!$U$11,J326),1)*IF(Upgrades!$T$12="Solar Wind",POWER(Upgrades!$U$12,K326),1))+(IF(F326=0,0,(Upgrades!$M$7+F326*Upgrades!$N$7)*POWER(Upgrades!$O$7,F326)))*(IF(Upgrades!$T$6="Asteroid Belt",POWER(Upgrades!$U$6,E326),1)*IF(Upgrades!$T$8="Asteroid Belt",POWER(Upgrades!$U$8,G326),1)*IF(Upgrades!$T$9="Asteroid Belt",POWER(Upgrades!$U$9,H326),1)*IF(Upgrades!$T$10="Asteroid Belt",POWER(Upgrades!$U$10,I326),1)*IF(Upgrades!$T$11="Asteroid Belt",POWER(Upgrades!$U$11,J326),1)*IF(Upgrades!$T$12="Asteroid Belt",POWER(Upgrades!$U$12,K326),1))+(IF(G326=0,0,(Upgrades!$M$8+G326*Upgrades!$N$8)*POWER(Upgrades!$O$8,G326)))*(IF(Upgrades!$T$6="Stellar Coupling",POWER(Upgrades!$U$6,E326),1)*IF(Upgrades!$T$7="Stellar Coupling",POWER(Upgrades!$U$7,F326),1)*IF(Upgrades!$T$9="Stellar Coupling",POWER(Upgrades!$U$9,H326),1)*IF(Upgrades!$T$10="Stellar Coupling",POWER(Upgrades!$U$10,I326),1)*IF(Upgrades!$T$11="Stellar Coupling",POWER(Upgrades!$U$11,J326),1)*IF(Upgrades!$T$12="Stellar Coupling",POWER(Upgrades!$U$12,K326),1))+(IF(H326=0,0,(Upgrades!$M$9+H326*Upgrades!$N$9)*POWER(Upgrades!$O$9,H326)))*(IF(Upgrades!$T$6="Magnetosphere",POWER(Upgrades!$U$6,E326),1)*IF(Upgrades!$T$7="Magnetosphere",POWER(Upgrades!$U$7,F326),1)*IF(Upgrades!$T$8="Magnetosphere",POWER(Upgrades!$U$8,G326),1)*IF(Upgrades!$T$10="Magnetosphere",POWER(Upgrades!$U$10,I326),1)*IF(Upgrades!$T$11="Magnetosphere",POWER(Upgrades!$U$11,J326),1)*IF(Upgrades!$T$12="Magnetosphere",POWER(Upgrades!$U$12,K326),1))+(IF(I326=0,0,(Upgrades!$M$10+I326*Upgrades!$N$10)*POWER(Upgrades!$O$10,I326)))*(IF(Upgrades!$T$6="Orbital Resonance",POWER(Upgrades!$U$6,E326),1)*IF(Upgrades!$T$7="Orbital Resonance",POWER(Upgrades!$U$7,F326),1)*IF(Upgrades!$T$8="Orbital Resonance",POWER(Upgrades!$U$8,G326),1)*IF(Upgrades!$T$9="Orbital Resonance",POWER(Upgrades!$U$9,H326),1)*IF(Upgrades!$T$11="Orbital Resonance",POWER(Upgrades!$U$11,J326),1)*IF(Upgrades!$T$12="Orbital Resonance",POWER(Upgrades!$U$12,K326),1))+(IF(J326=0,0,(Upgrades!$M$11+J326*Upgrades!$N$11)*POWER(Upgrades!$O$11,J326)))*(IF(Upgrades!$T$6="Heliopause",POWER(Upgrades!$U$6,E326),1)*IF(Upgrades!$T$7="Heliopause",POWER(Upgrades!$U$7,F326),1)*IF(Upgrades!$T$8="Heliopause",POWER(Upgrades!$U$8,G326),1)*IF(Upgrades!$T$9="Heliopause",POWER(Upgrades!$U$9,H326),1)*IF(Upgrades!$T$10="Heliopause",POWER(Upgrades!$U$10,I326),1)*IF(Upgrades!$T$12="Heliopause",POWER(Upgrades!$U$12,K326),1))+(IF(K326=0,0,(Upgrades!$M$12+K326*Upgrades!$N$12)*POWER(Upgrades!$O$12,K326)))*(IF(Upgrades!$T$6="First Photons",POWER(Upgrades!$U$6,E326),1)*IF(Upgrades!$T$7="First Photons",POWER(Upgrades!$U$7,F326),1)*IF(Upgrades!$T$8="First Photons",POWER(Upgrades!$U$8,G326),1)*IF(Upgrades!$T$9="First Photons",POWER(Upgrades!$U$9,H326),1)*IF(Upgrades!$T$10="First Photons",POWER(Upgrades!$U$10,I326),1)*IF(Upgrades!$T$11="First Photons",POWER(Upgrades!$U$11,J326),1)))*POWER(Upgrades!$R$6,E326)*POWER(Upgrades!$R$7,F326)*POWER(Upgrades!$R$8,G326)*POWER(Upgrades!$R$9,H326)*POWER(Upgrades!$R$10,I326)*POWER(Upgrades!$R$11,J326)*POWER(Upgrades!$R$12,K326)</f>
        <v>0</v>
      </c>
      <c r="P326" s="27" t="n">
        <f aca="false">IF(L326=1,0,M326*Parameters!$B$10/60*Parameters!$B$11*10)</f>
        <v>0</v>
      </c>
      <c r="Q326" s="27" t="n">
        <f aca="false">IF(L326=1,0,O326*M326*10)</f>
        <v>0</v>
      </c>
      <c r="R326" s="27" t="n">
        <f aca="false">IF(L326=1,0,N326*10)</f>
        <v>0</v>
      </c>
      <c r="S326" s="27" t="n">
        <f aca="false">P326+Q326+R326</f>
        <v>0</v>
      </c>
      <c r="T326" s="21" t="n">
        <f aca="false">C326+S326</f>
        <v>18.6730249835055</v>
      </c>
      <c r="U326" s="34" t="str">
        <f aca="false">AX326</f>
        <v/>
      </c>
      <c r="V326" s="21" t="n">
        <f aca="false">IF(U326="",0,IF(U326="transition",0,IF(U326="SW",AG326,IF(U326="AB",AH326,IF(U326="SC",AI326,IF(U326="Mag",AJ326,IF(U326="OR",AK326,IF(U326="HP",AL326,IF(U326="FP",AM326,0)))))))))</f>
        <v>0</v>
      </c>
      <c r="W326" s="27" t="n">
        <f aca="false">IF(U326="OR",Upgrades!$F$10,IF(U326="HP",Upgrades!$F$11,IF(U326="transition",-Parameters!$B$18,0)))</f>
        <v>0</v>
      </c>
      <c r="X326" s="21" t="n">
        <f aca="false">T326-V326</f>
        <v>18.6730249835055</v>
      </c>
      <c r="Y326" s="30" t="n">
        <f aca="false">M326*Parameters!$B$10/60*Parameters!$B$11+O326*M326+N326</f>
        <v>20.55</v>
      </c>
      <c r="Z326" s="35" t="str">
        <f aca="false">IF(U326="transition","→ Tier 2 (Stellar Neighborhood)",IF(U326="FP","First Photons — light begins, system quickens",IF(U326="HP","Heliopause acquired",IF(U326="OR","Orbital Resonance — passive multiplier active",IF(AND(AO326=1,L326=0,AN326&lt;&gt;1),"Cohesion ready (waiting on completionist upgrades)","")))))</f>
        <v/>
      </c>
      <c r="AA326" s="27" t="n">
        <f aca="false">(IF(E326=0,0,(Upgrades!$G$6+E326*Upgrades!$H$6)*POWER(Upgrades!$I$6,E326)))*(IF(Upgrades!$T$7="Solar Wind",POWER(Upgrades!$U$7,F326),1)*IF(Upgrades!$T$8="Solar Wind",POWER(Upgrades!$U$8,G326),1)*IF(Upgrades!$T$9="Solar Wind",POWER(Upgrades!$U$9,H326),1)*IF(Upgrades!$T$10="Solar Wind",POWER(Upgrades!$U$10,I326),1)*IF(Upgrades!$T$11="Solar Wind",POWER(Upgrades!$U$11,J326),1)*IF(Upgrades!$T$12="Solar Wind",POWER(Upgrades!$U$12,K326),1))*POWER(Upgrades!$P$6,E326)*POWER(Upgrades!$P$7,F326)*POWER(Upgrades!$P$8,G326)*POWER(Upgrades!$P$9,H326)*POWER(Upgrades!$P$10,I326)*POWER(Upgrades!$P$11,J326)*POWER(Upgrades!$P$12,K326)*60</f>
        <v>72</v>
      </c>
      <c r="AB326" s="27" t="n">
        <f aca="false">(IF(F326=0,0,(Upgrades!$G$7+F326*Upgrades!$H$7)*POWER(Upgrades!$I$7,F326)))*(IF(Upgrades!$T$6="Asteroid Belt",POWER(Upgrades!$U$6,E326),1)*IF(Upgrades!$T$8="Asteroid Belt",POWER(Upgrades!$U$8,G326),1)*IF(Upgrades!$T$9="Asteroid Belt",POWER(Upgrades!$U$9,H326),1)*IF(Upgrades!$T$10="Asteroid Belt",POWER(Upgrades!$U$10,I326),1)*IF(Upgrades!$T$11="Asteroid Belt",POWER(Upgrades!$U$11,J326),1)*IF(Upgrades!$T$12="Asteroid Belt",POWER(Upgrades!$U$12,K326),1))*POWER(Upgrades!$P$6,E326)*POWER(Upgrades!$P$7,F326)*POWER(Upgrades!$P$8,G326)*POWER(Upgrades!$P$9,H326)*POWER(Upgrades!$P$10,I326)*POWER(Upgrades!$P$11,J326)*POWER(Upgrades!$P$12,K326)*60</f>
        <v>150</v>
      </c>
      <c r="AC326" s="27" t="n">
        <f aca="false">(IF(G326=0,0,(Upgrades!$J$8+G326*Upgrades!$K$8)*POWER(Upgrades!$L$8,G326)))*(IF(Upgrades!$T$6="Stellar Coupling",POWER(Upgrades!$U$6,E326),1)*IF(Upgrades!$T$7="Stellar Coupling",POWER(Upgrades!$U$7,F326),1)*IF(Upgrades!$T$9="Stellar Coupling",POWER(Upgrades!$U$9,H326),1)*IF(Upgrades!$T$10="Stellar Coupling",POWER(Upgrades!$U$10,I326),1)*IF(Upgrades!$T$11="Stellar Coupling",POWER(Upgrades!$U$11,J326),1)*IF(Upgrades!$T$12="Stellar Coupling",POWER(Upgrades!$U$12,K326),1))*POWER(Upgrades!$Q$6,E326)*POWER(Upgrades!$Q$7,F326)*POWER(Upgrades!$Q$8,G326)*POWER(Upgrades!$Q$9,H326)*POWER(Upgrades!$Q$10,I326)*POWER(Upgrades!$Q$11,J326)*POWER(Upgrades!$Q$12,K326)*Parameters!$B$10*Parameters!$B$11</f>
        <v>441</v>
      </c>
      <c r="AD326" s="27" t="n">
        <f aca="false">(IF(H326=0,0,(Upgrades!$G$9+H326*Upgrades!$H$9)*POWER(Upgrades!$I$9,H326)))*(IF(Upgrades!$T$6="Magnetosphere",POWER(Upgrades!$U$6,E326),1)*IF(Upgrades!$T$7="Magnetosphere",POWER(Upgrades!$U$7,F326),1)*IF(Upgrades!$T$8="Magnetosphere",POWER(Upgrades!$U$8,G326),1)*IF(Upgrades!$T$10="Magnetosphere",POWER(Upgrades!$U$10,I326),1)*IF(Upgrades!$T$11="Magnetosphere",POWER(Upgrades!$U$11,J326),1)*IF(Upgrades!$T$12="Magnetosphere",POWER(Upgrades!$U$12,K326),1))*POWER(Upgrades!$P$6,E326)*POWER(Upgrades!$P$7,F326)*POWER(Upgrades!$P$8,G326)*POWER(Upgrades!$P$9,H326)*POWER(Upgrades!$P$10,I326)*POWER(Upgrades!$P$11,J326)*POWER(Upgrades!$P$12,K326)*60</f>
        <v>375</v>
      </c>
      <c r="AE326" s="27" t="n">
        <f aca="false">(IF(K326=0,0,(Upgrades!$G$12+K326*Upgrades!$H$12)*POWER(Upgrades!$I$12,K326)))*(IF(Upgrades!$T$6="First Photons",POWER(Upgrades!$U$6,E326),1)*IF(Upgrades!$T$7="First Photons",POWER(Upgrades!$U$7,F326),1)*IF(Upgrades!$T$8="First Photons",POWER(Upgrades!$U$8,G326),1)*IF(Upgrades!$T$9="First Photons",POWER(Upgrades!$U$9,H326),1)*IF(Upgrades!$T$10="First Photons",POWER(Upgrades!$U$10,I326),1)*IF(Upgrades!$T$11="First Photons",POWER(Upgrades!$U$11,J326),1))*POWER(Upgrades!$P$6,E326)*POWER(Upgrades!$P$7,F326)*POWER(Upgrades!$P$8,G326)*POWER(Upgrades!$P$9,H326)*POWER(Upgrades!$P$10,I326)*POWER(Upgrades!$P$11,J326)*POWER(Upgrades!$P$12,K326)*60</f>
        <v>75</v>
      </c>
      <c r="AF326" s="27" t="n">
        <f aca="false">Parameters!$B$9*POWER(Upgrades!$Q$6,E326)*POWER(Upgrades!$Q$7,F326)*POWER(Upgrades!$Q$8,G326)*POWER(Upgrades!$Q$9,H326)*POWER(Upgrades!$Q$10,I326)*POWER(Upgrades!$Q$11,J326)*POWER(Upgrades!$Q$12,K326)*(Parameters!$B$10*Parameters!$B$11+O326*60)</f>
        <v>120</v>
      </c>
      <c r="AG326" s="21" t="n">
        <f aca="false">IF(E326&gt;=Upgrades!$E$6,"",Upgrades!$C$6*POWER(Upgrades!$D$6,E326))</f>
        <v>37.4517507383159</v>
      </c>
      <c r="AH326" s="21" t="n">
        <f aca="false">IF(F326&gt;=Upgrades!$E$7,"",Upgrades!$C$7*POWER(Upgrades!$D$7,F326))</f>
        <v>80.9111547141581</v>
      </c>
      <c r="AI326" s="21" t="n">
        <f aca="false">IF(G326&gt;=Upgrades!$E$8,"",Upgrades!$C$8*POWER(Upgrades!$D$8,G326))</f>
        <v>231.9097088</v>
      </c>
      <c r="AJ326" s="21" t="str">
        <f aca="false">IF(H326&gt;=Upgrades!$E$9,"",Upgrades!$C$9*POWER(Upgrades!$D$9,H326))</f>
        <v/>
      </c>
      <c r="AK326" s="21" t="str">
        <f aca="false">IF(I326&gt;=Upgrades!$E$10,"",Upgrades!$C$10*POWER(Upgrades!$D$10,I326))</f>
        <v/>
      </c>
      <c r="AL326" s="21" t="str">
        <f aca="false">IF(J326&gt;=Upgrades!$E$11,"",Upgrades!$C$11*POWER(Upgrades!$D$11,J326))</f>
        <v/>
      </c>
      <c r="AM326" s="21" t="str">
        <f aca="false">IF(K326&gt;=Upgrades!$E$12,"",Upgrades!$C$12*POWER(Upgrades!$D$12,K326))</f>
        <v/>
      </c>
      <c r="AN326" s="26" t="str">
        <f aca="false">IF(AND(D326&gt;=Parameters!$B$18,(H326&gt;=Upgrades!$E$9)*(K326&gt;=Upgrades!$E$12)=1,L326=0),1,"")</f>
        <v/>
      </c>
      <c r="AO326" s="26" t="str">
        <f aca="false">IF(AND(D326&gt;=Parameters!$B$18,L326=0),1,"")</f>
        <v/>
      </c>
      <c r="AP326" s="21" t="n">
        <f aca="false">MIN(IF(ISNUMBER(AK326),AK326,9000000000000000),IF(ISNUMBER(AL326),AL326,9000000000000000),IF(ISNUMBER(AM326),AM326,9000000000000000))</f>
        <v>9000000000000000</v>
      </c>
      <c r="AQ326" s="21" t="n">
        <f aca="false">MIN(IF(ISNUMBER(AG326),AG326,9000000000000000),IF(ISNUMBER(AH326),AH326,9000000000000000),IF(ISNUMBER(AI326),AI326,9000000000000000),IF(ISNUMBER(AJ326),AJ326,9000000000000000))</f>
        <v>37.4517507383159</v>
      </c>
      <c r="AR326" s="32" t="b">
        <f aca="false">IF(AW326&gt;Parameters!$B$21*(MAX(IF(AND(NOT(AND(AO326=1,AN326&lt;&gt;1)),ISNUMBER(AG326),AG326&lt;=T326),AS326,0),IF(AND(NOT(AND(AO326=1,AN326&lt;&gt;1)),ISNUMBER(AH326),AH326&lt;=T326),AT326,0),IF(AND(NOT(AND(AO326=1,AN326&lt;&gt;1)),ISNUMBER(AI326),AI326&lt;=T326),AU326,0),IF(AND(ISNUMBER(AJ326),AJ326&lt;=T326),AV326,0))),TRUE(),FALSE())</f>
        <v>1</v>
      </c>
      <c r="AS326" s="33" t="n">
        <f aca="false">IFERROR(Upgrades!$H$6*(POWER(Upgrades!$P$6,E326)*POWER(Upgrades!$P$7,F326)*POWER(Upgrades!$P$8,G326)*POWER(Upgrades!$P$9,H326)*POWER(Upgrades!$P$10,I326)*POWER(Upgrades!$P$11,J326)*POWER(Upgrades!$P$12,K326))*(IF(Upgrades!$T$7="Solar Wind",POWER(Upgrades!$U$7,F326),1)*IF(Upgrades!$T$8="Solar Wind",POWER(Upgrades!$U$8,G326),1)*IF(Upgrades!$T$9="Solar Wind",POWER(Upgrades!$U$9,H326),1)*IF(Upgrades!$T$10="Solar Wind",POWER(Upgrades!$U$10,I326),1)*IF(Upgrades!$T$11="Solar Wind",POWER(Upgrades!$U$11,J326),1)*IF(Upgrades!$T$12="Solar Wind",POWER(Upgrades!$U$12,K326),1))/AG326,0)</f>
        <v>0.0026701021455238</v>
      </c>
      <c r="AT326" s="33" t="n">
        <f aca="false">IFERROR(Upgrades!$H$7*(POWER(Upgrades!$P$6,E326)*POWER(Upgrades!$P$7,F326)*POWER(Upgrades!$P$8,G326)*POWER(Upgrades!$P$9,H326)*POWER(Upgrades!$P$10,I326)*POWER(Upgrades!$P$11,J326)*POWER(Upgrades!$P$12,K326))*(IF(Upgrades!$T$6="Asteroid Belt",POWER(Upgrades!$U$6,E326),1)*IF(Upgrades!$T$8="Asteroid Belt",POWER(Upgrades!$U$8,G326),1)*IF(Upgrades!$T$9="Asteroid Belt",POWER(Upgrades!$U$9,H326),1)*IF(Upgrades!$T$10="Asteroid Belt",POWER(Upgrades!$U$10,I326),1)*IF(Upgrades!$T$11="Asteroid Belt",POWER(Upgrades!$U$11,J326),1)*IF(Upgrades!$T$12="Asteroid Belt",POWER(Upgrades!$U$12,K326),1))/AH326,0)</f>
        <v>0.00308980882652332</v>
      </c>
      <c r="AU326" s="33" t="n">
        <f aca="false">IFERROR(Upgrades!$K$8*(POWER(Upgrades!$Q$6,E326)*POWER(Upgrades!$Q$7,F326)*POWER(Upgrades!$Q$8,G326)*POWER(Upgrades!$Q$9,H326)*POWER(Upgrades!$Q$10,I326)*POWER(Upgrades!$Q$11,J326)*POWER(Upgrades!$Q$12,K326))*(IF(Upgrades!$T$6="Stellar Coupling",POWER(Upgrades!$U$6,E326),1)*IF(Upgrades!$T$7="Stellar Coupling",POWER(Upgrades!$U$7,F326),1)*IF(Upgrades!$T$9="Stellar Coupling",POWER(Upgrades!$U$9,H326),1)*IF(Upgrades!$T$10="Stellar Coupling",POWER(Upgrades!$U$10,I326),1)*IF(Upgrades!$T$11="Stellar Coupling",POWER(Upgrades!$U$11,J326),1)*IF(Upgrades!$T$12="Stellar Coupling",POWER(Upgrades!$U$12,K326),1))*Parameters!$B$10*Parameters!$B$11/60/AI326,0)</f>
        <v>0.00452762415783776</v>
      </c>
      <c r="AV326" s="33" t="n">
        <f aca="false">IFERROR(Upgrades!$H$9*(POWER(Upgrades!$P$6,E326)*POWER(Upgrades!$P$7,F326)*POWER(Upgrades!$P$8,G326)*POWER(Upgrades!$P$9,H326)*POWER(Upgrades!$P$10,I326)*POWER(Upgrades!$P$11,J326)*POWER(Upgrades!$P$12,K326))*(IF(Upgrades!$T$6="Magnetosphere",POWER(Upgrades!$U$6,E326),1)*IF(Upgrades!$T$7="Magnetosphere",POWER(Upgrades!$U$7,F326),1)*IF(Upgrades!$T$8="Magnetosphere",POWER(Upgrades!$U$8,G326),1)*IF(Upgrades!$T$10="Magnetosphere",POWER(Upgrades!$U$10,I326),1)*IF(Upgrades!$T$11="Magnetosphere",POWER(Upgrades!$U$11,J326),1)*IF(Upgrades!$T$12="Magnetosphere",POWER(Upgrades!$U$12,K326),1))/AJ326,0)</f>
        <v>0</v>
      </c>
      <c r="AW326" s="33" t="n">
        <f aca="false">MAX(IF(I326&gt;0,0,IFERROR(0.25*N326/Upgrades!$C$10,0)),IF(J326&gt;0,0,IFERROR(0.5*((IF(G326=0,0,(Upgrades!$J$8+G326*Upgrades!$K$8)*POWER(Upgrades!$L$8,G326)))*(IF(Upgrades!$T$6="Stellar Coupling",POWER(Upgrades!$U$6,E326),1)*IF(Upgrades!$T$7="Stellar Coupling",POWER(Upgrades!$U$7,F326),1)*IF(Upgrades!$T$9="Stellar Coupling",POWER(Upgrades!$U$9,H326),1)*IF(Upgrades!$T$10="Stellar Coupling",POWER(Upgrades!$U$10,I326),1)*IF(Upgrades!$T$11="Stellar Coupling",POWER(Upgrades!$U$11,J326),1)*IF(Upgrades!$T$12="Stellar Coupling",POWER(Upgrades!$U$12,K326),1))*(POWER(Upgrades!$Q$6,E326)*POWER(Upgrades!$Q$7,F326)*POWER(Upgrades!$Q$8,G326)*POWER(Upgrades!$Q$9,H326)*POWER(Upgrades!$Q$10,I326)*POWER(Upgrades!$Q$11,J326)*POWER(Upgrades!$Q$12,K326))*Parameters!$B$10*Parameters!$B$11/60)/Upgrades!$C$11,0)),IF(K326&gt;0,0,IFERROR((1*(POWER(Upgrades!$P$6,E326)*POWER(Upgrades!$P$7,F326)*POWER(Upgrades!$P$8,G326)*POWER(Upgrades!$P$9,H326)*POWER(Upgrades!$P$10,I326)*POWER(Upgrades!$P$11,J326)*POWER(Upgrades!$P$12,K326))+0.2*M326*Parameters!$B$10*Parameters!$B$11/60)/Upgrades!$C$12,0)),IF(AND(ISNUMBER(AG326),AG326&gt;T326),AS326,0),IF(AND(ISNUMBER(AH326),AH326&gt;T326),AT326,0),IF(AND(ISNUMBER(AI326),AI326&gt;T326),AU326,0),IF(AND(ISNUMBER(AJ326),AJ326&gt;T326),AV326,0))</f>
        <v>0.00452762415783776</v>
      </c>
      <c r="AX326" s="29" t="str">
        <f aca="false">IF(AN326=1,"transition",IF(MIN(IF(AND(I326=0,ISNUMBER(AK326),AK326&lt;=T326),AK326,9000000000000000),IF(AND(J326=0,ISNUMBER(AL326),AL326&lt;=T326),AL326,9000000000000000),IF(AND(K326=0,ISNUMBER(AM326),AM326&lt;=T326),AM326,9000000000000000))&lt;9000000000000000,IF(AND(AND(I326=0,ISNUMBER(AK326),AK326&lt;=T326),AK326=MIN(IF(AND(I326=0,ISNUMBER(AK326),AK326&lt;=T326),AK326,9000000000000000),IF(AND(J326=0,ISNUMBER(AL326),AL326&lt;=T326),AL326,9000000000000000),IF(AND(K326=0,ISNUMBER(AM326),AM326&lt;=T326),AM326,9000000000000000))),"OR",IF(AND(AND(J326=0,ISNUMBER(AL326),AL326&lt;=T326),AL326=MIN(IF(AND(I326=0,ISNUMBER(AK326),AK326&lt;=T326),AK326,9000000000000000),IF(AND(J326=0,ISNUMBER(AL326),AL326&lt;=T326),AL326,9000000000000000),IF(AND(K326=0,ISNUMBER(AM326),AM326&lt;=T326),AM326,9000000000000000))),"HP","FP")),IF(AR326=TRUE(),"",IF(MAX(IF(AND(NOT(AND(AO326=1,AN326&lt;&gt;1)),ISNUMBER(AG326),AG326&lt;=T326),AS326,0),IF(AND(NOT(AND(AO326=1,AN326&lt;&gt;1)),ISNUMBER(AH326),AH326&lt;=T326),AT326,0),IF(AND(NOT(AND(AO326=1,AN326&lt;&gt;1)),ISNUMBER(AI326),AI326&lt;=T326),AU326,0),IF(AND(ISNUMBER(AJ326),AJ326&lt;=T326),AV326,0))&lt;=0,"",IF(AND(IF(AND(NOT(AND(AO326=1,AN326&lt;&gt;1)),ISNUMBER(AG326),AG326&lt;=T326),AS326,0)&gt;0,IF(AND(NOT(AND(AO326=1,AN326&lt;&gt;1)),ISNUMBER(AG326),AG326&lt;=T326),AS326,0)=MAX(IF(AND(NOT(AND(AO326=1,AN326&lt;&gt;1)),ISNUMBER(AG326),AG326&lt;=T326),AS326,0),IF(AND(NOT(AND(AO326=1,AN326&lt;&gt;1)),ISNUMBER(AH326),AH326&lt;=T326),AT326,0),IF(AND(NOT(AND(AO326=1,AN326&lt;&gt;1)),ISNUMBER(AI326),AI326&lt;=T326),AU326,0),IF(AND(ISNUMBER(AJ326),AJ326&lt;=T326),AV326,0))),"SW",IF(AND(IF(AND(NOT(AND(AO326=1,AN326&lt;&gt;1)),ISNUMBER(AH326),AH326&lt;=T326),AT326,0)&gt;0,IF(AND(NOT(AND(AO326=1,AN326&lt;&gt;1)),ISNUMBER(AH326),AH326&lt;=T326),AT326,0)=MAX(IF(AND(NOT(AND(AO326=1,AN326&lt;&gt;1)),ISNUMBER(AG326),AG326&lt;=T326),AS326,0),IF(AND(NOT(AND(AO326=1,AN326&lt;&gt;1)),ISNUMBER(AH326),AH326&lt;=T326),AT326,0),IF(AND(NOT(AND(AO326=1,AN326&lt;&gt;1)),ISNUMBER(AI326),AI326&lt;=T326),AU326,0),IF(AND(ISNUMBER(AJ326),AJ326&lt;=T326),AV326,0))),"AB",IF(AND(IF(AND(NOT(AND(AO326=1,AN326&lt;&gt;1)),ISNUMBER(AI326),AI326&lt;=T326),AU326,0)&gt;0,IF(AND(NOT(AND(AO326=1,AN326&lt;&gt;1)),ISNUMBER(AI326),AI326&lt;=T326),AU326,0)=MAX(IF(AND(NOT(AND(AO326=1,AN326&lt;&gt;1)),ISNUMBER(AG326),AG326&lt;=T326),AS326,0),IF(AND(NOT(AND(AO326=1,AN326&lt;&gt;1)),ISNUMBER(AH326),AH326&lt;=T326),AT326,0),IF(AND(NOT(AND(AO326=1,AN326&lt;&gt;1)),ISNUMBER(AI326),AI326&lt;=T326),AU326,0),IF(AND(ISNUMBER(AJ326),AJ326&lt;=T326),AV326,0))),"SC","Mag")))))))</f>
        <v/>
      </c>
    </row>
    <row r="327" customFormat="false" ht="15" hidden="false" customHeight="false" outlineLevel="0" collapsed="false">
      <c r="A327" s="26" t="n">
        <v>322</v>
      </c>
      <c r="B327" s="27" t="n">
        <f aca="false">A327*10/60</f>
        <v>53.6666666666667</v>
      </c>
      <c r="C327" s="21" t="n">
        <f aca="false">X326</f>
        <v>18.6730249835055</v>
      </c>
      <c r="D327" s="27" t="n">
        <f aca="false">D326+W326</f>
        <v>0</v>
      </c>
      <c r="E327" s="26" t="n">
        <f aca="false">E326+IF(U326="SW",1,0)</f>
        <v>12</v>
      </c>
      <c r="F327" s="26" t="n">
        <f aca="false">F326+IF(U326="AB",1,0)</f>
        <v>10</v>
      </c>
      <c r="G327" s="26" t="n">
        <f aca="false">G326+IF(U326="SC",1,0)</f>
        <v>7</v>
      </c>
      <c r="H327" s="26" t="n">
        <f aca="false">H326+IF(U326="Mag",1,0)</f>
        <v>5</v>
      </c>
      <c r="I327" s="26" t="n">
        <f aca="false">MAX(I326,IF(U326="OR",1,0))</f>
        <v>1</v>
      </c>
      <c r="J327" s="26" t="n">
        <f aca="false">MAX(J326,IF(U326="HP",1,0))</f>
        <v>1</v>
      </c>
      <c r="K327" s="26" t="n">
        <f aca="false">MAX(K326,IF(U326="FP",1,0))</f>
        <v>1</v>
      </c>
      <c r="L327" s="26" t="n">
        <f aca="false">MAX(L326,IF(U326="transition",1,0))</f>
        <v>1</v>
      </c>
      <c r="M327" s="28" t="n">
        <f aca="false">(Parameters!$B$9+(IF(E327=0,0,(Upgrades!$J$6+E327*Upgrades!$K$6)*POWER(Upgrades!$L$6,E327)))*(IF(Upgrades!$T$7="Solar Wind",POWER(Upgrades!$U$7,F327),1)*IF(Upgrades!$T$8="Solar Wind",POWER(Upgrades!$U$8,G327),1)*IF(Upgrades!$T$9="Solar Wind",POWER(Upgrades!$U$9,H327),1)*IF(Upgrades!$T$10="Solar Wind",POWER(Upgrades!$U$10,I327),1)*IF(Upgrades!$T$11="Solar Wind",POWER(Upgrades!$U$11,J327),1)*IF(Upgrades!$T$12="Solar Wind",POWER(Upgrades!$U$12,K327),1))+(IF(F327=0,0,(Upgrades!$J$7+F327*Upgrades!$K$7)*POWER(Upgrades!$L$7,F327)))*(IF(Upgrades!$T$6="Asteroid Belt",POWER(Upgrades!$U$6,E327),1)*IF(Upgrades!$T$8="Asteroid Belt",POWER(Upgrades!$U$8,G327),1)*IF(Upgrades!$T$9="Asteroid Belt",POWER(Upgrades!$U$9,H327),1)*IF(Upgrades!$T$10="Asteroid Belt",POWER(Upgrades!$U$10,I327),1)*IF(Upgrades!$T$11="Asteroid Belt",POWER(Upgrades!$U$11,J327),1)*IF(Upgrades!$T$12="Asteroid Belt",POWER(Upgrades!$U$12,K327),1))+(IF(G327=0,0,(Upgrades!$J$8+G327*Upgrades!$K$8)*POWER(Upgrades!$L$8,G327)))*(IF(Upgrades!$T$6="Stellar Coupling",POWER(Upgrades!$U$6,E327),1)*IF(Upgrades!$T$7="Stellar Coupling",POWER(Upgrades!$U$7,F327),1)*IF(Upgrades!$T$9="Stellar Coupling",POWER(Upgrades!$U$9,H327),1)*IF(Upgrades!$T$10="Stellar Coupling",POWER(Upgrades!$U$10,I327),1)*IF(Upgrades!$T$11="Stellar Coupling",POWER(Upgrades!$U$11,J327),1)*IF(Upgrades!$T$12="Stellar Coupling",POWER(Upgrades!$U$12,K327),1))+(IF(H327=0,0,(Upgrades!$J$9+H327*Upgrades!$K$9)*POWER(Upgrades!$L$9,H327)))*(IF(Upgrades!$T$6="Magnetosphere",POWER(Upgrades!$U$6,E327),1)*IF(Upgrades!$T$7="Magnetosphere",POWER(Upgrades!$U$7,F327),1)*IF(Upgrades!$T$8="Magnetosphere",POWER(Upgrades!$U$8,G327),1)*IF(Upgrades!$T$10="Magnetosphere",POWER(Upgrades!$U$10,I327),1)*IF(Upgrades!$T$11="Magnetosphere",POWER(Upgrades!$U$11,J327),1)*IF(Upgrades!$T$12="Magnetosphere",POWER(Upgrades!$U$12,K327),1))+(IF(I327=0,0,(Upgrades!$J$10+I327*Upgrades!$K$10)*POWER(Upgrades!$L$10,I327)))*(IF(Upgrades!$T$6="Orbital Resonance",POWER(Upgrades!$U$6,E327),1)*IF(Upgrades!$T$7="Orbital Resonance",POWER(Upgrades!$U$7,F327),1)*IF(Upgrades!$T$8="Orbital Resonance",POWER(Upgrades!$U$8,G327),1)*IF(Upgrades!$T$9="Orbital Resonance",POWER(Upgrades!$U$9,H327),1)*IF(Upgrades!$T$11="Orbital Resonance",POWER(Upgrades!$U$11,J327),1)*IF(Upgrades!$T$12="Orbital Resonance",POWER(Upgrades!$U$12,K327),1))+(IF(J327=0,0,(Upgrades!$J$11+J327*Upgrades!$K$11)*POWER(Upgrades!$L$11,J327)))*(IF(Upgrades!$T$6="Heliopause",POWER(Upgrades!$U$6,E327),1)*IF(Upgrades!$T$7="Heliopause",POWER(Upgrades!$U$7,F327),1)*IF(Upgrades!$T$8="Heliopause",POWER(Upgrades!$U$8,G327),1)*IF(Upgrades!$T$9="Heliopause",POWER(Upgrades!$U$9,H327),1)*IF(Upgrades!$T$10="Heliopause",POWER(Upgrades!$U$10,I327),1)*IF(Upgrades!$T$12="Heliopause",POWER(Upgrades!$U$12,K327),1))+(IF(K327=0,0,(Upgrades!$J$12+K327*Upgrades!$K$12)*POWER(Upgrades!$L$12,K327)))*(IF(Upgrades!$T$6="First Photons",POWER(Upgrades!$U$6,E327),1)*IF(Upgrades!$T$7="First Photons",POWER(Upgrades!$U$7,F327),1)*IF(Upgrades!$T$8="First Photons",POWER(Upgrades!$U$8,G327),1)*IF(Upgrades!$T$9="First Photons",POWER(Upgrades!$U$9,H327),1)*IF(Upgrades!$T$10="First Photons",POWER(Upgrades!$U$10,I327),1)*IF(Upgrades!$T$11="First Photons",POWER(Upgrades!$U$11,J327),1)))*POWER(Upgrades!$Q$6,E327)*POWER(Upgrades!$Q$7,F327)*POWER(Upgrades!$Q$8,G327)*POWER(Upgrades!$Q$9,H327)*POWER(Upgrades!$Q$10,I327)*POWER(Upgrades!$Q$11,J327)*POWER(Upgrades!$Q$12,K327)</f>
        <v>5.61</v>
      </c>
      <c r="N327" s="28" t="n">
        <f aca="false">((IF(E327=0,0,(Upgrades!$G$6+E327*Upgrades!$H$6)*POWER(Upgrades!$I$6,E327)))*(IF(Upgrades!$T$7="Solar Wind",POWER(Upgrades!$U$7,F327),1)*IF(Upgrades!$T$8="Solar Wind",POWER(Upgrades!$U$8,G327),1)*IF(Upgrades!$T$9="Solar Wind",POWER(Upgrades!$U$9,H327),1)*IF(Upgrades!$T$10="Solar Wind",POWER(Upgrades!$U$10,I327),1)*IF(Upgrades!$T$11="Solar Wind",POWER(Upgrades!$U$11,J327),1)*IF(Upgrades!$T$12="Solar Wind",POWER(Upgrades!$U$12,K327),1))+(IF(F327=0,0,(Upgrades!$G$7+F327*Upgrades!$H$7)*POWER(Upgrades!$I$7,F327)))*(IF(Upgrades!$T$6="Asteroid Belt",POWER(Upgrades!$U$6,E327),1)*IF(Upgrades!$T$8="Asteroid Belt",POWER(Upgrades!$U$8,G327),1)*IF(Upgrades!$T$9="Asteroid Belt",POWER(Upgrades!$U$9,H327),1)*IF(Upgrades!$T$10="Asteroid Belt",POWER(Upgrades!$U$10,I327),1)*IF(Upgrades!$T$11="Asteroid Belt",POWER(Upgrades!$U$11,J327),1)*IF(Upgrades!$T$12="Asteroid Belt",POWER(Upgrades!$U$12,K327),1))+(IF(G327=0,0,(Upgrades!$G$8+G327*Upgrades!$H$8)*POWER(Upgrades!$I$8,G327)))*(IF(Upgrades!$T$6="Stellar Coupling",POWER(Upgrades!$U$6,E327),1)*IF(Upgrades!$T$7="Stellar Coupling",POWER(Upgrades!$U$7,F327),1)*IF(Upgrades!$T$9="Stellar Coupling",POWER(Upgrades!$U$9,H327),1)*IF(Upgrades!$T$10="Stellar Coupling",POWER(Upgrades!$U$10,I327),1)*IF(Upgrades!$T$11="Stellar Coupling",POWER(Upgrades!$U$11,J327),1)*IF(Upgrades!$T$12="Stellar Coupling",POWER(Upgrades!$U$12,K327),1))+(IF(H327=0,0,(Upgrades!$G$9+H327*Upgrades!$H$9)*POWER(Upgrades!$I$9,H327)))*(IF(Upgrades!$T$6="Magnetosphere",POWER(Upgrades!$U$6,E327),1)*IF(Upgrades!$T$7="Magnetosphere",POWER(Upgrades!$U$7,F327),1)*IF(Upgrades!$T$8="Magnetosphere",POWER(Upgrades!$U$8,G327),1)*IF(Upgrades!$T$10="Magnetosphere",POWER(Upgrades!$U$10,I327),1)*IF(Upgrades!$T$11="Magnetosphere",POWER(Upgrades!$U$11,J327),1)*IF(Upgrades!$T$12="Magnetosphere",POWER(Upgrades!$U$12,K327),1))+(IF(I327=0,0,(Upgrades!$G$10+I327*Upgrades!$H$10)*POWER(Upgrades!$I$10,I327)))*(IF(Upgrades!$T$6="Orbital Resonance",POWER(Upgrades!$U$6,E327),1)*IF(Upgrades!$T$7="Orbital Resonance",POWER(Upgrades!$U$7,F327),1)*IF(Upgrades!$T$8="Orbital Resonance",POWER(Upgrades!$U$8,G327),1)*IF(Upgrades!$T$9="Orbital Resonance",POWER(Upgrades!$U$9,H327),1)*IF(Upgrades!$T$11="Orbital Resonance",POWER(Upgrades!$U$11,J327),1)*IF(Upgrades!$T$12="Orbital Resonance",POWER(Upgrades!$U$12,K327),1))+(IF(J327=0,0,(Upgrades!$G$11+J327*Upgrades!$H$11)*POWER(Upgrades!$I$11,J327)))*(IF(Upgrades!$T$6="Heliopause",POWER(Upgrades!$U$6,E327),1)*IF(Upgrades!$T$7="Heliopause",POWER(Upgrades!$U$7,F327),1)*IF(Upgrades!$T$8="Heliopause",POWER(Upgrades!$U$8,G327),1)*IF(Upgrades!$T$9="Heliopause",POWER(Upgrades!$U$9,H327),1)*IF(Upgrades!$T$10="Heliopause",POWER(Upgrades!$U$10,I327),1)*IF(Upgrades!$T$12="Heliopause",POWER(Upgrades!$U$12,K327),1))+(IF(K327=0,0,(Upgrades!$G$12+K327*Upgrades!$H$12)*POWER(Upgrades!$I$12,K327)))*(IF(Upgrades!$T$6="First Photons",POWER(Upgrades!$U$6,E327),1)*IF(Upgrades!$T$7="First Photons",POWER(Upgrades!$U$7,F327),1)*IF(Upgrades!$T$8="First Photons",POWER(Upgrades!$U$8,G327),1)*IF(Upgrades!$T$9="First Photons",POWER(Upgrades!$U$9,H327),1)*IF(Upgrades!$T$10="First Photons",POWER(Upgrades!$U$10,I327),1)*IF(Upgrades!$T$11="First Photons",POWER(Upgrades!$U$11,J327),1)))*POWER(Upgrades!$P$6,E327)*POWER(Upgrades!$P$7,F327)*POWER(Upgrades!$P$8,G327)*POWER(Upgrades!$P$9,H327)*POWER(Upgrades!$P$10,I327)*POWER(Upgrades!$P$11,J327)*POWER(Upgrades!$P$12,K327)</f>
        <v>11.2</v>
      </c>
      <c r="O327" s="28" t="n">
        <f aca="false">((IF(E327=0,0,(Upgrades!$M$6+E327*Upgrades!$N$6)*POWER(Upgrades!$O$6,E327)))*(IF(Upgrades!$T$7="Solar Wind",POWER(Upgrades!$U$7,F327),1)*IF(Upgrades!$T$8="Solar Wind",POWER(Upgrades!$U$8,G327),1)*IF(Upgrades!$T$9="Solar Wind",POWER(Upgrades!$U$9,H327),1)*IF(Upgrades!$T$10="Solar Wind",POWER(Upgrades!$U$10,I327),1)*IF(Upgrades!$T$11="Solar Wind",POWER(Upgrades!$U$11,J327),1)*IF(Upgrades!$T$12="Solar Wind",POWER(Upgrades!$U$12,K327),1))+(IF(F327=0,0,(Upgrades!$M$7+F327*Upgrades!$N$7)*POWER(Upgrades!$O$7,F327)))*(IF(Upgrades!$T$6="Asteroid Belt",POWER(Upgrades!$U$6,E327),1)*IF(Upgrades!$T$8="Asteroid Belt",POWER(Upgrades!$U$8,G327),1)*IF(Upgrades!$T$9="Asteroid Belt",POWER(Upgrades!$U$9,H327),1)*IF(Upgrades!$T$10="Asteroid Belt",POWER(Upgrades!$U$10,I327),1)*IF(Upgrades!$T$11="Asteroid Belt",POWER(Upgrades!$U$11,J327),1)*IF(Upgrades!$T$12="Asteroid Belt",POWER(Upgrades!$U$12,K327),1))+(IF(G327=0,0,(Upgrades!$M$8+G327*Upgrades!$N$8)*POWER(Upgrades!$O$8,G327)))*(IF(Upgrades!$T$6="Stellar Coupling",POWER(Upgrades!$U$6,E327),1)*IF(Upgrades!$T$7="Stellar Coupling",POWER(Upgrades!$U$7,F327),1)*IF(Upgrades!$T$9="Stellar Coupling",POWER(Upgrades!$U$9,H327),1)*IF(Upgrades!$T$10="Stellar Coupling",POWER(Upgrades!$U$10,I327),1)*IF(Upgrades!$T$11="Stellar Coupling",POWER(Upgrades!$U$11,J327),1)*IF(Upgrades!$T$12="Stellar Coupling",POWER(Upgrades!$U$12,K327),1))+(IF(H327=0,0,(Upgrades!$M$9+H327*Upgrades!$N$9)*POWER(Upgrades!$O$9,H327)))*(IF(Upgrades!$T$6="Magnetosphere",POWER(Upgrades!$U$6,E327),1)*IF(Upgrades!$T$7="Magnetosphere",POWER(Upgrades!$U$7,F327),1)*IF(Upgrades!$T$8="Magnetosphere",POWER(Upgrades!$U$8,G327),1)*IF(Upgrades!$T$10="Magnetosphere",POWER(Upgrades!$U$10,I327),1)*IF(Upgrades!$T$11="Magnetosphere",POWER(Upgrades!$U$11,J327),1)*IF(Upgrades!$T$12="Magnetosphere",POWER(Upgrades!$U$12,K327),1))+(IF(I327=0,0,(Upgrades!$M$10+I327*Upgrades!$N$10)*POWER(Upgrades!$O$10,I327)))*(IF(Upgrades!$T$6="Orbital Resonance",POWER(Upgrades!$U$6,E327),1)*IF(Upgrades!$T$7="Orbital Resonance",POWER(Upgrades!$U$7,F327),1)*IF(Upgrades!$T$8="Orbital Resonance",POWER(Upgrades!$U$8,G327),1)*IF(Upgrades!$T$9="Orbital Resonance",POWER(Upgrades!$U$9,H327),1)*IF(Upgrades!$T$11="Orbital Resonance",POWER(Upgrades!$U$11,J327),1)*IF(Upgrades!$T$12="Orbital Resonance",POWER(Upgrades!$U$12,K327),1))+(IF(J327=0,0,(Upgrades!$M$11+J327*Upgrades!$N$11)*POWER(Upgrades!$O$11,J327)))*(IF(Upgrades!$T$6="Heliopause",POWER(Upgrades!$U$6,E327),1)*IF(Upgrades!$T$7="Heliopause",POWER(Upgrades!$U$7,F327),1)*IF(Upgrades!$T$8="Heliopause",POWER(Upgrades!$U$8,G327),1)*IF(Upgrades!$T$9="Heliopause",POWER(Upgrades!$U$9,H327),1)*IF(Upgrades!$T$10="Heliopause",POWER(Upgrades!$U$10,I327),1)*IF(Upgrades!$T$12="Heliopause",POWER(Upgrades!$U$12,K327),1))+(IF(K327=0,0,(Upgrades!$M$12+K327*Upgrades!$N$12)*POWER(Upgrades!$O$12,K327)))*(IF(Upgrades!$T$6="First Photons",POWER(Upgrades!$U$6,E327),1)*IF(Upgrades!$T$7="First Photons",POWER(Upgrades!$U$7,F327),1)*IF(Upgrades!$T$8="First Photons",POWER(Upgrades!$U$8,G327),1)*IF(Upgrades!$T$9="First Photons",POWER(Upgrades!$U$9,H327),1)*IF(Upgrades!$T$10="First Photons",POWER(Upgrades!$U$10,I327),1)*IF(Upgrades!$T$11="First Photons",POWER(Upgrades!$U$11,J327),1)))*POWER(Upgrades!$R$6,E327)*POWER(Upgrades!$R$7,F327)*POWER(Upgrades!$R$8,G327)*POWER(Upgrades!$R$9,H327)*POWER(Upgrades!$R$10,I327)*POWER(Upgrades!$R$11,J327)*POWER(Upgrades!$R$12,K327)</f>
        <v>0</v>
      </c>
      <c r="P327" s="27" t="n">
        <f aca="false">IF(L327=1,0,M327*Parameters!$B$10/60*Parameters!$B$11*10)</f>
        <v>0</v>
      </c>
      <c r="Q327" s="27" t="n">
        <f aca="false">IF(L327=1,0,O327*M327*10)</f>
        <v>0</v>
      </c>
      <c r="R327" s="27" t="n">
        <f aca="false">IF(L327=1,0,N327*10)</f>
        <v>0</v>
      </c>
      <c r="S327" s="27" t="n">
        <f aca="false">P327+Q327+R327</f>
        <v>0</v>
      </c>
      <c r="T327" s="21" t="n">
        <f aca="false">C327+S327</f>
        <v>18.6730249835055</v>
      </c>
      <c r="U327" s="34" t="str">
        <f aca="false">AX327</f>
        <v/>
      </c>
      <c r="V327" s="21" t="n">
        <f aca="false">IF(U327="",0,IF(U327="transition",0,IF(U327="SW",AG327,IF(U327="AB",AH327,IF(U327="SC",AI327,IF(U327="Mag",AJ327,IF(U327="OR",AK327,IF(U327="HP",AL327,IF(U327="FP",AM327,0)))))))))</f>
        <v>0</v>
      </c>
      <c r="W327" s="27" t="n">
        <f aca="false">IF(U327="OR",Upgrades!$F$10,IF(U327="HP",Upgrades!$F$11,IF(U327="transition",-Parameters!$B$18,0)))</f>
        <v>0</v>
      </c>
      <c r="X327" s="21" t="n">
        <f aca="false">T327-V327</f>
        <v>18.6730249835055</v>
      </c>
      <c r="Y327" s="30" t="n">
        <f aca="false">M327*Parameters!$B$10/60*Parameters!$B$11+O327*M327+N327</f>
        <v>20.55</v>
      </c>
      <c r="Z327" s="35" t="str">
        <f aca="false">IF(U327="transition","→ Tier 2 (Stellar Neighborhood)",IF(U327="FP","First Photons — light begins, system quickens",IF(U327="HP","Heliopause acquired",IF(U327="OR","Orbital Resonance — passive multiplier active",IF(AND(AO327=1,L327=0,AN327&lt;&gt;1),"Cohesion ready (waiting on completionist upgrades)","")))))</f>
        <v/>
      </c>
      <c r="AA327" s="27" t="n">
        <f aca="false">(IF(E327=0,0,(Upgrades!$G$6+E327*Upgrades!$H$6)*POWER(Upgrades!$I$6,E327)))*(IF(Upgrades!$T$7="Solar Wind",POWER(Upgrades!$U$7,F327),1)*IF(Upgrades!$T$8="Solar Wind",POWER(Upgrades!$U$8,G327),1)*IF(Upgrades!$T$9="Solar Wind",POWER(Upgrades!$U$9,H327),1)*IF(Upgrades!$T$10="Solar Wind",POWER(Upgrades!$U$10,I327),1)*IF(Upgrades!$T$11="Solar Wind",POWER(Upgrades!$U$11,J327),1)*IF(Upgrades!$T$12="Solar Wind",POWER(Upgrades!$U$12,K327),1))*POWER(Upgrades!$P$6,E327)*POWER(Upgrades!$P$7,F327)*POWER(Upgrades!$P$8,G327)*POWER(Upgrades!$P$9,H327)*POWER(Upgrades!$P$10,I327)*POWER(Upgrades!$P$11,J327)*POWER(Upgrades!$P$12,K327)*60</f>
        <v>72</v>
      </c>
      <c r="AB327" s="27" t="n">
        <f aca="false">(IF(F327=0,0,(Upgrades!$G$7+F327*Upgrades!$H$7)*POWER(Upgrades!$I$7,F327)))*(IF(Upgrades!$T$6="Asteroid Belt",POWER(Upgrades!$U$6,E327),1)*IF(Upgrades!$T$8="Asteroid Belt",POWER(Upgrades!$U$8,G327),1)*IF(Upgrades!$T$9="Asteroid Belt",POWER(Upgrades!$U$9,H327),1)*IF(Upgrades!$T$10="Asteroid Belt",POWER(Upgrades!$U$10,I327),1)*IF(Upgrades!$T$11="Asteroid Belt",POWER(Upgrades!$U$11,J327),1)*IF(Upgrades!$T$12="Asteroid Belt",POWER(Upgrades!$U$12,K327),1))*POWER(Upgrades!$P$6,E327)*POWER(Upgrades!$P$7,F327)*POWER(Upgrades!$P$8,G327)*POWER(Upgrades!$P$9,H327)*POWER(Upgrades!$P$10,I327)*POWER(Upgrades!$P$11,J327)*POWER(Upgrades!$P$12,K327)*60</f>
        <v>150</v>
      </c>
      <c r="AC327" s="27" t="n">
        <f aca="false">(IF(G327=0,0,(Upgrades!$J$8+G327*Upgrades!$K$8)*POWER(Upgrades!$L$8,G327)))*(IF(Upgrades!$T$6="Stellar Coupling",POWER(Upgrades!$U$6,E327),1)*IF(Upgrades!$T$7="Stellar Coupling",POWER(Upgrades!$U$7,F327),1)*IF(Upgrades!$T$9="Stellar Coupling",POWER(Upgrades!$U$9,H327),1)*IF(Upgrades!$T$10="Stellar Coupling",POWER(Upgrades!$U$10,I327),1)*IF(Upgrades!$T$11="Stellar Coupling",POWER(Upgrades!$U$11,J327),1)*IF(Upgrades!$T$12="Stellar Coupling",POWER(Upgrades!$U$12,K327),1))*POWER(Upgrades!$Q$6,E327)*POWER(Upgrades!$Q$7,F327)*POWER(Upgrades!$Q$8,G327)*POWER(Upgrades!$Q$9,H327)*POWER(Upgrades!$Q$10,I327)*POWER(Upgrades!$Q$11,J327)*POWER(Upgrades!$Q$12,K327)*Parameters!$B$10*Parameters!$B$11</f>
        <v>441</v>
      </c>
      <c r="AD327" s="27" t="n">
        <f aca="false">(IF(H327=0,0,(Upgrades!$G$9+H327*Upgrades!$H$9)*POWER(Upgrades!$I$9,H327)))*(IF(Upgrades!$T$6="Magnetosphere",POWER(Upgrades!$U$6,E327),1)*IF(Upgrades!$T$7="Magnetosphere",POWER(Upgrades!$U$7,F327),1)*IF(Upgrades!$T$8="Magnetosphere",POWER(Upgrades!$U$8,G327),1)*IF(Upgrades!$T$10="Magnetosphere",POWER(Upgrades!$U$10,I327),1)*IF(Upgrades!$T$11="Magnetosphere",POWER(Upgrades!$U$11,J327),1)*IF(Upgrades!$T$12="Magnetosphere",POWER(Upgrades!$U$12,K327),1))*POWER(Upgrades!$P$6,E327)*POWER(Upgrades!$P$7,F327)*POWER(Upgrades!$P$8,G327)*POWER(Upgrades!$P$9,H327)*POWER(Upgrades!$P$10,I327)*POWER(Upgrades!$P$11,J327)*POWER(Upgrades!$P$12,K327)*60</f>
        <v>375</v>
      </c>
      <c r="AE327" s="27" t="n">
        <f aca="false">(IF(K327=0,0,(Upgrades!$G$12+K327*Upgrades!$H$12)*POWER(Upgrades!$I$12,K327)))*(IF(Upgrades!$T$6="First Photons",POWER(Upgrades!$U$6,E327),1)*IF(Upgrades!$T$7="First Photons",POWER(Upgrades!$U$7,F327),1)*IF(Upgrades!$T$8="First Photons",POWER(Upgrades!$U$8,G327),1)*IF(Upgrades!$T$9="First Photons",POWER(Upgrades!$U$9,H327),1)*IF(Upgrades!$T$10="First Photons",POWER(Upgrades!$U$10,I327),1)*IF(Upgrades!$T$11="First Photons",POWER(Upgrades!$U$11,J327),1))*POWER(Upgrades!$P$6,E327)*POWER(Upgrades!$P$7,F327)*POWER(Upgrades!$P$8,G327)*POWER(Upgrades!$P$9,H327)*POWER(Upgrades!$P$10,I327)*POWER(Upgrades!$P$11,J327)*POWER(Upgrades!$P$12,K327)*60</f>
        <v>75</v>
      </c>
      <c r="AF327" s="27" t="n">
        <f aca="false">Parameters!$B$9*POWER(Upgrades!$Q$6,E327)*POWER(Upgrades!$Q$7,F327)*POWER(Upgrades!$Q$8,G327)*POWER(Upgrades!$Q$9,H327)*POWER(Upgrades!$Q$10,I327)*POWER(Upgrades!$Q$11,J327)*POWER(Upgrades!$Q$12,K327)*(Parameters!$B$10*Parameters!$B$11+O327*60)</f>
        <v>120</v>
      </c>
      <c r="AG327" s="21" t="n">
        <f aca="false">IF(E327&gt;=Upgrades!$E$6,"",Upgrades!$C$6*POWER(Upgrades!$D$6,E327))</f>
        <v>37.4517507383159</v>
      </c>
      <c r="AH327" s="21" t="n">
        <f aca="false">IF(F327&gt;=Upgrades!$E$7,"",Upgrades!$C$7*POWER(Upgrades!$D$7,F327))</f>
        <v>80.9111547141581</v>
      </c>
      <c r="AI327" s="21" t="n">
        <f aca="false">IF(G327&gt;=Upgrades!$E$8,"",Upgrades!$C$8*POWER(Upgrades!$D$8,G327))</f>
        <v>231.9097088</v>
      </c>
      <c r="AJ327" s="21" t="str">
        <f aca="false">IF(H327&gt;=Upgrades!$E$9,"",Upgrades!$C$9*POWER(Upgrades!$D$9,H327))</f>
        <v/>
      </c>
      <c r="AK327" s="21" t="str">
        <f aca="false">IF(I327&gt;=Upgrades!$E$10,"",Upgrades!$C$10*POWER(Upgrades!$D$10,I327))</f>
        <v/>
      </c>
      <c r="AL327" s="21" t="str">
        <f aca="false">IF(J327&gt;=Upgrades!$E$11,"",Upgrades!$C$11*POWER(Upgrades!$D$11,J327))</f>
        <v/>
      </c>
      <c r="AM327" s="21" t="str">
        <f aca="false">IF(K327&gt;=Upgrades!$E$12,"",Upgrades!$C$12*POWER(Upgrades!$D$12,K327))</f>
        <v/>
      </c>
      <c r="AN327" s="26" t="str">
        <f aca="false">IF(AND(D327&gt;=Parameters!$B$18,(H327&gt;=Upgrades!$E$9)*(K327&gt;=Upgrades!$E$12)=1,L327=0),1,"")</f>
        <v/>
      </c>
      <c r="AO327" s="26" t="str">
        <f aca="false">IF(AND(D327&gt;=Parameters!$B$18,L327=0),1,"")</f>
        <v/>
      </c>
      <c r="AP327" s="21" t="n">
        <f aca="false">MIN(IF(ISNUMBER(AK327),AK327,9000000000000000),IF(ISNUMBER(AL327),AL327,9000000000000000),IF(ISNUMBER(AM327),AM327,9000000000000000))</f>
        <v>9000000000000000</v>
      </c>
      <c r="AQ327" s="21" t="n">
        <f aca="false">MIN(IF(ISNUMBER(AG327),AG327,9000000000000000),IF(ISNUMBER(AH327),AH327,9000000000000000),IF(ISNUMBER(AI327),AI327,9000000000000000),IF(ISNUMBER(AJ327),AJ327,9000000000000000))</f>
        <v>37.4517507383159</v>
      </c>
      <c r="AR327" s="32" t="b">
        <f aca="false">IF(AW327&gt;Parameters!$B$21*(MAX(IF(AND(NOT(AND(AO327=1,AN327&lt;&gt;1)),ISNUMBER(AG327),AG327&lt;=T327),AS327,0),IF(AND(NOT(AND(AO327=1,AN327&lt;&gt;1)),ISNUMBER(AH327),AH327&lt;=T327),AT327,0),IF(AND(NOT(AND(AO327=1,AN327&lt;&gt;1)),ISNUMBER(AI327),AI327&lt;=T327),AU327,0),IF(AND(ISNUMBER(AJ327),AJ327&lt;=T327),AV327,0))),TRUE(),FALSE())</f>
        <v>1</v>
      </c>
      <c r="AS327" s="33" t="n">
        <f aca="false">IFERROR(Upgrades!$H$6*(POWER(Upgrades!$P$6,E327)*POWER(Upgrades!$P$7,F327)*POWER(Upgrades!$P$8,G327)*POWER(Upgrades!$P$9,H327)*POWER(Upgrades!$P$10,I327)*POWER(Upgrades!$P$11,J327)*POWER(Upgrades!$P$12,K327))*(IF(Upgrades!$T$7="Solar Wind",POWER(Upgrades!$U$7,F327),1)*IF(Upgrades!$T$8="Solar Wind",POWER(Upgrades!$U$8,G327),1)*IF(Upgrades!$T$9="Solar Wind",POWER(Upgrades!$U$9,H327),1)*IF(Upgrades!$T$10="Solar Wind",POWER(Upgrades!$U$10,I327),1)*IF(Upgrades!$T$11="Solar Wind",POWER(Upgrades!$U$11,J327),1)*IF(Upgrades!$T$12="Solar Wind",POWER(Upgrades!$U$12,K327),1))/AG327,0)</f>
        <v>0.0026701021455238</v>
      </c>
      <c r="AT327" s="33" t="n">
        <f aca="false">IFERROR(Upgrades!$H$7*(POWER(Upgrades!$P$6,E327)*POWER(Upgrades!$P$7,F327)*POWER(Upgrades!$P$8,G327)*POWER(Upgrades!$P$9,H327)*POWER(Upgrades!$P$10,I327)*POWER(Upgrades!$P$11,J327)*POWER(Upgrades!$P$12,K327))*(IF(Upgrades!$T$6="Asteroid Belt",POWER(Upgrades!$U$6,E327),1)*IF(Upgrades!$T$8="Asteroid Belt",POWER(Upgrades!$U$8,G327),1)*IF(Upgrades!$T$9="Asteroid Belt",POWER(Upgrades!$U$9,H327),1)*IF(Upgrades!$T$10="Asteroid Belt",POWER(Upgrades!$U$10,I327),1)*IF(Upgrades!$T$11="Asteroid Belt",POWER(Upgrades!$U$11,J327),1)*IF(Upgrades!$T$12="Asteroid Belt",POWER(Upgrades!$U$12,K327),1))/AH327,0)</f>
        <v>0.00308980882652332</v>
      </c>
      <c r="AU327" s="33" t="n">
        <f aca="false">IFERROR(Upgrades!$K$8*(POWER(Upgrades!$Q$6,E327)*POWER(Upgrades!$Q$7,F327)*POWER(Upgrades!$Q$8,G327)*POWER(Upgrades!$Q$9,H327)*POWER(Upgrades!$Q$10,I327)*POWER(Upgrades!$Q$11,J327)*POWER(Upgrades!$Q$12,K327))*(IF(Upgrades!$T$6="Stellar Coupling",POWER(Upgrades!$U$6,E327),1)*IF(Upgrades!$T$7="Stellar Coupling",POWER(Upgrades!$U$7,F327),1)*IF(Upgrades!$T$9="Stellar Coupling",POWER(Upgrades!$U$9,H327),1)*IF(Upgrades!$T$10="Stellar Coupling",POWER(Upgrades!$U$10,I327),1)*IF(Upgrades!$T$11="Stellar Coupling",POWER(Upgrades!$U$11,J327),1)*IF(Upgrades!$T$12="Stellar Coupling",POWER(Upgrades!$U$12,K327),1))*Parameters!$B$10*Parameters!$B$11/60/AI327,0)</f>
        <v>0.00452762415783776</v>
      </c>
      <c r="AV327" s="33" t="n">
        <f aca="false">IFERROR(Upgrades!$H$9*(POWER(Upgrades!$P$6,E327)*POWER(Upgrades!$P$7,F327)*POWER(Upgrades!$P$8,G327)*POWER(Upgrades!$P$9,H327)*POWER(Upgrades!$P$10,I327)*POWER(Upgrades!$P$11,J327)*POWER(Upgrades!$P$12,K327))*(IF(Upgrades!$T$6="Magnetosphere",POWER(Upgrades!$U$6,E327),1)*IF(Upgrades!$T$7="Magnetosphere",POWER(Upgrades!$U$7,F327),1)*IF(Upgrades!$T$8="Magnetosphere",POWER(Upgrades!$U$8,G327),1)*IF(Upgrades!$T$10="Magnetosphere",POWER(Upgrades!$U$10,I327),1)*IF(Upgrades!$T$11="Magnetosphere",POWER(Upgrades!$U$11,J327),1)*IF(Upgrades!$T$12="Magnetosphere",POWER(Upgrades!$U$12,K327),1))/AJ327,0)</f>
        <v>0</v>
      </c>
      <c r="AW327" s="33" t="n">
        <f aca="false">MAX(IF(I327&gt;0,0,IFERROR(0.25*N327/Upgrades!$C$10,0)),IF(J327&gt;0,0,IFERROR(0.5*((IF(G327=0,0,(Upgrades!$J$8+G327*Upgrades!$K$8)*POWER(Upgrades!$L$8,G327)))*(IF(Upgrades!$T$6="Stellar Coupling",POWER(Upgrades!$U$6,E327),1)*IF(Upgrades!$T$7="Stellar Coupling",POWER(Upgrades!$U$7,F327),1)*IF(Upgrades!$T$9="Stellar Coupling",POWER(Upgrades!$U$9,H327),1)*IF(Upgrades!$T$10="Stellar Coupling",POWER(Upgrades!$U$10,I327),1)*IF(Upgrades!$T$11="Stellar Coupling",POWER(Upgrades!$U$11,J327),1)*IF(Upgrades!$T$12="Stellar Coupling",POWER(Upgrades!$U$12,K327),1))*(POWER(Upgrades!$Q$6,E327)*POWER(Upgrades!$Q$7,F327)*POWER(Upgrades!$Q$8,G327)*POWER(Upgrades!$Q$9,H327)*POWER(Upgrades!$Q$10,I327)*POWER(Upgrades!$Q$11,J327)*POWER(Upgrades!$Q$12,K327))*Parameters!$B$10*Parameters!$B$11/60)/Upgrades!$C$11,0)),IF(K327&gt;0,0,IFERROR((1*(POWER(Upgrades!$P$6,E327)*POWER(Upgrades!$P$7,F327)*POWER(Upgrades!$P$8,G327)*POWER(Upgrades!$P$9,H327)*POWER(Upgrades!$P$10,I327)*POWER(Upgrades!$P$11,J327)*POWER(Upgrades!$P$12,K327))+0.2*M327*Parameters!$B$10*Parameters!$B$11/60)/Upgrades!$C$12,0)),IF(AND(ISNUMBER(AG327),AG327&gt;T327),AS327,0),IF(AND(ISNUMBER(AH327),AH327&gt;T327),AT327,0),IF(AND(ISNUMBER(AI327),AI327&gt;T327),AU327,0),IF(AND(ISNUMBER(AJ327),AJ327&gt;T327),AV327,0))</f>
        <v>0.00452762415783776</v>
      </c>
      <c r="AX327" s="29" t="str">
        <f aca="false">IF(AN327=1,"transition",IF(MIN(IF(AND(I327=0,ISNUMBER(AK327),AK327&lt;=T327),AK327,9000000000000000),IF(AND(J327=0,ISNUMBER(AL327),AL327&lt;=T327),AL327,9000000000000000),IF(AND(K327=0,ISNUMBER(AM327),AM327&lt;=T327),AM327,9000000000000000))&lt;9000000000000000,IF(AND(AND(I327=0,ISNUMBER(AK327),AK327&lt;=T327),AK327=MIN(IF(AND(I327=0,ISNUMBER(AK327),AK327&lt;=T327),AK327,9000000000000000),IF(AND(J327=0,ISNUMBER(AL327),AL327&lt;=T327),AL327,9000000000000000),IF(AND(K327=0,ISNUMBER(AM327),AM327&lt;=T327),AM327,9000000000000000))),"OR",IF(AND(AND(J327=0,ISNUMBER(AL327),AL327&lt;=T327),AL327=MIN(IF(AND(I327=0,ISNUMBER(AK327),AK327&lt;=T327),AK327,9000000000000000),IF(AND(J327=0,ISNUMBER(AL327),AL327&lt;=T327),AL327,9000000000000000),IF(AND(K327=0,ISNUMBER(AM327),AM327&lt;=T327),AM327,9000000000000000))),"HP","FP")),IF(AR327=TRUE(),"",IF(MAX(IF(AND(NOT(AND(AO327=1,AN327&lt;&gt;1)),ISNUMBER(AG327),AG327&lt;=T327),AS327,0),IF(AND(NOT(AND(AO327=1,AN327&lt;&gt;1)),ISNUMBER(AH327),AH327&lt;=T327),AT327,0),IF(AND(NOT(AND(AO327=1,AN327&lt;&gt;1)),ISNUMBER(AI327),AI327&lt;=T327),AU327,0),IF(AND(ISNUMBER(AJ327),AJ327&lt;=T327),AV327,0))&lt;=0,"",IF(AND(IF(AND(NOT(AND(AO327=1,AN327&lt;&gt;1)),ISNUMBER(AG327),AG327&lt;=T327),AS327,0)&gt;0,IF(AND(NOT(AND(AO327=1,AN327&lt;&gt;1)),ISNUMBER(AG327),AG327&lt;=T327),AS327,0)=MAX(IF(AND(NOT(AND(AO327=1,AN327&lt;&gt;1)),ISNUMBER(AG327),AG327&lt;=T327),AS327,0),IF(AND(NOT(AND(AO327=1,AN327&lt;&gt;1)),ISNUMBER(AH327),AH327&lt;=T327),AT327,0),IF(AND(NOT(AND(AO327=1,AN327&lt;&gt;1)),ISNUMBER(AI327),AI327&lt;=T327),AU327,0),IF(AND(ISNUMBER(AJ327),AJ327&lt;=T327),AV327,0))),"SW",IF(AND(IF(AND(NOT(AND(AO327=1,AN327&lt;&gt;1)),ISNUMBER(AH327),AH327&lt;=T327),AT327,0)&gt;0,IF(AND(NOT(AND(AO327=1,AN327&lt;&gt;1)),ISNUMBER(AH327),AH327&lt;=T327),AT327,0)=MAX(IF(AND(NOT(AND(AO327=1,AN327&lt;&gt;1)),ISNUMBER(AG327),AG327&lt;=T327),AS327,0),IF(AND(NOT(AND(AO327=1,AN327&lt;&gt;1)),ISNUMBER(AH327),AH327&lt;=T327),AT327,0),IF(AND(NOT(AND(AO327=1,AN327&lt;&gt;1)),ISNUMBER(AI327),AI327&lt;=T327),AU327,0),IF(AND(ISNUMBER(AJ327),AJ327&lt;=T327),AV327,0))),"AB",IF(AND(IF(AND(NOT(AND(AO327=1,AN327&lt;&gt;1)),ISNUMBER(AI327),AI327&lt;=T327),AU327,0)&gt;0,IF(AND(NOT(AND(AO327=1,AN327&lt;&gt;1)),ISNUMBER(AI327),AI327&lt;=T327),AU327,0)=MAX(IF(AND(NOT(AND(AO327=1,AN327&lt;&gt;1)),ISNUMBER(AG327),AG327&lt;=T327),AS327,0),IF(AND(NOT(AND(AO327=1,AN327&lt;&gt;1)),ISNUMBER(AH327),AH327&lt;=T327),AT327,0),IF(AND(NOT(AND(AO327=1,AN327&lt;&gt;1)),ISNUMBER(AI327),AI327&lt;=T327),AU327,0),IF(AND(ISNUMBER(AJ327),AJ327&lt;=T327),AV327,0))),"SC","Mag")))))))</f>
        <v/>
      </c>
    </row>
    <row r="328" customFormat="false" ht="15" hidden="false" customHeight="false" outlineLevel="0" collapsed="false">
      <c r="A328" s="26" t="n">
        <v>323</v>
      </c>
      <c r="B328" s="27" t="n">
        <f aca="false">A328*10/60</f>
        <v>53.8333333333333</v>
      </c>
      <c r="C328" s="21" t="n">
        <f aca="false">X327</f>
        <v>18.6730249835055</v>
      </c>
      <c r="D328" s="27" t="n">
        <f aca="false">D327+W327</f>
        <v>0</v>
      </c>
      <c r="E328" s="26" t="n">
        <f aca="false">E327+IF(U327="SW",1,0)</f>
        <v>12</v>
      </c>
      <c r="F328" s="26" t="n">
        <f aca="false">F327+IF(U327="AB",1,0)</f>
        <v>10</v>
      </c>
      <c r="G328" s="26" t="n">
        <f aca="false">G327+IF(U327="SC",1,0)</f>
        <v>7</v>
      </c>
      <c r="H328" s="26" t="n">
        <f aca="false">H327+IF(U327="Mag",1,0)</f>
        <v>5</v>
      </c>
      <c r="I328" s="26" t="n">
        <f aca="false">MAX(I327,IF(U327="OR",1,0))</f>
        <v>1</v>
      </c>
      <c r="J328" s="26" t="n">
        <f aca="false">MAX(J327,IF(U327="HP",1,0))</f>
        <v>1</v>
      </c>
      <c r="K328" s="26" t="n">
        <f aca="false">MAX(K327,IF(U327="FP",1,0))</f>
        <v>1</v>
      </c>
      <c r="L328" s="26" t="n">
        <f aca="false">MAX(L327,IF(U327="transition",1,0))</f>
        <v>1</v>
      </c>
      <c r="M328" s="28" t="n">
        <f aca="false">(Parameters!$B$9+(IF(E328=0,0,(Upgrades!$J$6+E328*Upgrades!$K$6)*POWER(Upgrades!$L$6,E328)))*(IF(Upgrades!$T$7="Solar Wind",POWER(Upgrades!$U$7,F328),1)*IF(Upgrades!$T$8="Solar Wind",POWER(Upgrades!$U$8,G328),1)*IF(Upgrades!$T$9="Solar Wind",POWER(Upgrades!$U$9,H328),1)*IF(Upgrades!$T$10="Solar Wind",POWER(Upgrades!$U$10,I328),1)*IF(Upgrades!$T$11="Solar Wind",POWER(Upgrades!$U$11,J328),1)*IF(Upgrades!$T$12="Solar Wind",POWER(Upgrades!$U$12,K328),1))+(IF(F328=0,0,(Upgrades!$J$7+F328*Upgrades!$K$7)*POWER(Upgrades!$L$7,F328)))*(IF(Upgrades!$T$6="Asteroid Belt",POWER(Upgrades!$U$6,E328),1)*IF(Upgrades!$T$8="Asteroid Belt",POWER(Upgrades!$U$8,G328),1)*IF(Upgrades!$T$9="Asteroid Belt",POWER(Upgrades!$U$9,H328),1)*IF(Upgrades!$T$10="Asteroid Belt",POWER(Upgrades!$U$10,I328),1)*IF(Upgrades!$T$11="Asteroid Belt",POWER(Upgrades!$U$11,J328),1)*IF(Upgrades!$T$12="Asteroid Belt",POWER(Upgrades!$U$12,K328),1))+(IF(G328=0,0,(Upgrades!$J$8+G328*Upgrades!$K$8)*POWER(Upgrades!$L$8,G328)))*(IF(Upgrades!$T$6="Stellar Coupling",POWER(Upgrades!$U$6,E328),1)*IF(Upgrades!$T$7="Stellar Coupling",POWER(Upgrades!$U$7,F328),1)*IF(Upgrades!$T$9="Stellar Coupling",POWER(Upgrades!$U$9,H328),1)*IF(Upgrades!$T$10="Stellar Coupling",POWER(Upgrades!$U$10,I328),1)*IF(Upgrades!$T$11="Stellar Coupling",POWER(Upgrades!$U$11,J328),1)*IF(Upgrades!$T$12="Stellar Coupling",POWER(Upgrades!$U$12,K328),1))+(IF(H328=0,0,(Upgrades!$J$9+H328*Upgrades!$K$9)*POWER(Upgrades!$L$9,H328)))*(IF(Upgrades!$T$6="Magnetosphere",POWER(Upgrades!$U$6,E328),1)*IF(Upgrades!$T$7="Magnetosphere",POWER(Upgrades!$U$7,F328),1)*IF(Upgrades!$T$8="Magnetosphere",POWER(Upgrades!$U$8,G328),1)*IF(Upgrades!$T$10="Magnetosphere",POWER(Upgrades!$U$10,I328),1)*IF(Upgrades!$T$11="Magnetosphere",POWER(Upgrades!$U$11,J328),1)*IF(Upgrades!$T$12="Magnetosphere",POWER(Upgrades!$U$12,K328),1))+(IF(I328=0,0,(Upgrades!$J$10+I328*Upgrades!$K$10)*POWER(Upgrades!$L$10,I328)))*(IF(Upgrades!$T$6="Orbital Resonance",POWER(Upgrades!$U$6,E328),1)*IF(Upgrades!$T$7="Orbital Resonance",POWER(Upgrades!$U$7,F328),1)*IF(Upgrades!$T$8="Orbital Resonance",POWER(Upgrades!$U$8,G328),1)*IF(Upgrades!$T$9="Orbital Resonance",POWER(Upgrades!$U$9,H328),1)*IF(Upgrades!$T$11="Orbital Resonance",POWER(Upgrades!$U$11,J328),1)*IF(Upgrades!$T$12="Orbital Resonance",POWER(Upgrades!$U$12,K328),1))+(IF(J328=0,0,(Upgrades!$J$11+J328*Upgrades!$K$11)*POWER(Upgrades!$L$11,J328)))*(IF(Upgrades!$T$6="Heliopause",POWER(Upgrades!$U$6,E328),1)*IF(Upgrades!$T$7="Heliopause",POWER(Upgrades!$U$7,F328),1)*IF(Upgrades!$T$8="Heliopause",POWER(Upgrades!$U$8,G328),1)*IF(Upgrades!$T$9="Heliopause",POWER(Upgrades!$U$9,H328),1)*IF(Upgrades!$T$10="Heliopause",POWER(Upgrades!$U$10,I328),1)*IF(Upgrades!$T$12="Heliopause",POWER(Upgrades!$U$12,K328),1))+(IF(K328=0,0,(Upgrades!$J$12+K328*Upgrades!$K$12)*POWER(Upgrades!$L$12,K328)))*(IF(Upgrades!$T$6="First Photons",POWER(Upgrades!$U$6,E328),1)*IF(Upgrades!$T$7="First Photons",POWER(Upgrades!$U$7,F328),1)*IF(Upgrades!$T$8="First Photons",POWER(Upgrades!$U$8,G328),1)*IF(Upgrades!$T$9="First Photons",POWER(Upgrades!$U$9,H328),1)*IF(Upgrades!$T$10="First Photons",POWER(Upgrades!$U$10,I328),1)*IF(Upgrades!$T$11="First Photons",POWER(Upgrades!$U$11,J328),1)))*POWER(Upgrades!$Q$6,E328)*POWER(Upgrades!$Q$7,F328)*POWER(Upgrades!$Q$8,G328)*POWER(Upgrades!$Q$9,H328)*POWER(Upgrades!$Q$10,I328)*POWER(Upgrades!$Q$11,J328)*POWER(Upgrades!$Q$12,K328)</f>
        <v>5.61</v>
      </c>
      <c r="N328" s="28" t="n">
        <f aca="false">((IF(E328=0,0,(Upgrades!$G$6+E328*Upgrades!$H$6)*POWER(Upgrades!$I$6,E328)))*(IF(Upgrades!$T$7="Solar Wind",POWER(Upgrades!$U$7,F328),1)*IF(Upgrades!$T$8="Solar Wind",POWER(Upgrades!$U$8,G328),1)*IF(Upgrades!$T$9="Solar Wind",POWER(Upgrades!$U$9,H328),1)*IF(Upgrades!$T$10="Solar Wind",POWER(Upgrades!$U$10,I328),1)*IF(Upgrades!$T$11="Solar Wind",POWER(Upgrades!$U$11,J328),1)*IF(Upgrades!$T$12="Solar Wind",POWER(Upgrades!$U$12,K328),1))+(IF(F328=0,0,(Upgrades!$G$7+F328*Upgrades!$H$7)*POWER(Upgrades!$I$7,F328)))*(IF(Upgrades!$T$6="Asteroid Belt",POWER(Upgrades!$U$6,E328),1)*IF(Upgrades!$T$8="Asteroid Belt",POWER(Upgrades!$U$8,G328),1)*IF(Upgrades!$T$9="Asteroid Belt",POWER(Upgrades!$U$9,H328),1)*IF(Upgrades!$T$10="Asteroid Belt",POWER(Upgrades!$U$10,I328),1)*IF(Upgrades!$T$11="Asteroid Belt",POWER(Upgrades!$U$11,J328),1)*IF(Upgrades!$T$12="Asteroid Belt",POWER(Upgrades!$U$12,K328),1))+(IF(G328=0,0,(Upgrades!$G$8+G328*Upgrades!$H$8)*POWER(Upgrades!$I$8,G328)))*(IF(Upgrades!$T$6="Stellar Coupling",POWER(Upgrades!$U$6,E328),1)*IF(Upgrades!$T$7="Stellar Coupling",POWER(Upgrades!$U$7,F328),1)*IF(Upgrades!$T$9="Stellar Coupling",POWER(Upgrades!$U$9,H328),1)*IF(Upgrades!$T$10="Stellar Coupling",POWER(Upgrades!$U$10,I328),1)*IF(Upgrades!$T$11="Stellar Coupling",POWER(Upgrades!$U$11,J328),1)*IF(Upgrades!$T$12="Stellar Coupling",POWER(Upgrades!$U$12,K328),1))+(IF(H328=0,0,(Upgrades!$G$9+H328*Upgrades!$H$9)*POWER(Upgrades!$I$9,H328)))*(IF(Upgrades!$T$6="Magnetosphere",POWER(Upgrades!$U$6,E328),1)*IF(Upgrades!$T$7="Magnetosphere",POWER(Upgrades!$U$7,F328),1)*IF(Upgrades!$T$8="Magnetosphere",POWER(Upgrades!$U$8,G328),1)*IF(Upgrades!$T$10="Magnetosphere",POWER(Upgrades!$U$10,I328),1)*IF(Upgrades!$T$11="Magnetosphere",POWER(Upgrades!$U$11,J328),1)*IF(Upgrades!$T$12="Magnetosphere",POWER(Upgrades!$U$12,K328),1))+(IF(I328=0,0,(Upgrades!$G$10+I328*Upgrades!$H$10)*POWER(Upgrades!$I$10,I328)))*(IF(Upgrades!$T$6="Orbital Resonance",POWER(Upgrades!$U$6,E328),1)*IF(Upgrades!$T$7="Orbital Resonance",POWER(Upgrades!$U$7,F328),1)*IF(Upgrades!$T$8="Orbital Resonance",POWER(Upgrades!$U$8,G328),1)*IF(Upgrades!$T$9="Orbital Resonance",POWER(Upgrades!$U$9,H328),1)*IF(Upgrades!$T$11="Orbital Resonance",POWER(Upgrades!$U$11,J328),1)*IF(Upgrades!$T$12="Orbital Resonance",POWER(Upgrades!$U$12,K328),1))+(IF(J328=0,0,(Upgrades!$G$11+J328*Upgrades!$H$11)*POWER(Upgrades!$I$11,J328)))*(IF(Upgrades!$T$6="Heliopause",POWER(Upgrades!$U$6,E328),1)*IF(Upgrades!$T$7="Heliopause",POWER(Upgrades!$U$7,F328),1)*IF(Upgrades!$T$8="Heliopause",POWER(Upgrades!$U$8,G328),1)*IF(Upgrades!$T$9="Heliopause",POWER(Upgrades!$U$9,H328),1)*IF(Upgrades!$T$10="Heliopause",POWER(Upgrades!$U$10,I328),1)*IF(Upgrades!$T$12="Heliopause",POWER(Upgrades!$U$12,K328),1))+(IF(K328=0,0,(Upgrades!$G$12+K328*Upgrades!$H$12)*POWER(Upgrades!$I$12,K328)))*(IF(Upgrades!$T$6="First Photons",POWER(Upgrades!$U$6,E328),1)*IF(Upgrades!$T$7="First Photons",POWER(Upgrades!$U$7,F328),1)*IF(Upgrades!$T$8="First Photons",POWER(Upgrades!$U$8,G328),1)*IF(Upgrades!$T$9="First Photons",POWER(Upgrades!$U$9,H328),1)*IF(Upgrades!$T$10="First Photons",POWER(Upgrades!$U$10,I328),1)*IF(Upgrades!$T$11="First Photons",POWER(Upgrades!$U$11,J328),1)))*POWER(Upgrades!$P$6,E328)*POWER(Upgrades!$P$7,F328)*POWER(Upgrades!$P$8,G328)*POWER(Upgrades!$P$9,H328)*POWER(Upgrades!$P$10,I328)*POWER(Upgrades!$P$11,J328)*POWER(Upgrades!$P$12,K328)</f>
        <v>11.2</v>
      </c>
      <c r="O328" s="28" t="n">
        <f aca="false">((IF(E328=0,0,(Upgrades!$M$6+E328*Upgrades!$N$6)*POWER(Upgrades!$O$6,E328)))*(IF(Upgrades!$T$7="Solar Wind",POWER(Upgrades!$U$7,F328),1)*IF(Upgrades!$T$8="Solar Wind",POWER(Upgrades!$U$8,G328),1)*IF(Upgrades!$T$9="Solar Wind",POWER(Upgrades!$U$9,H328),1)*IF(Upgrades!$T$10="Solar Wind",POWER(Upgrades!$U$10,I328),1)*IF(Upgrades!$T$11="Solar Wind",POWER(Upgrades!$U$11,J328),1)*IF(Upgrades!$T$12="Solar Wind",POWER(Upgrades!$U$12,K328),1))+(IF(F328=0,0,(Upgrades!$M$7+F328*Upgrades!$N$7)*POWER(Upgrades!$O$7,F328)))*(IF(Upgrades!$T$6="Asteroid Belt",POWER(Upgrades!$U$6,E328),1)*IF(Upgrades!$T$8="Asteroid Belt",POWER(Upgrades!$U$8,G328),1)*IF(Upgrades!$T$9="Asteroid Belt",POWER(Upgrades!$U$9,H328),1)*IF(Upgrades!$T$10="Asteroid Belt",POWER(Upgrades!$U$10,I328),1)*IF(Upgrades!$T$11="Asteroid Belt",POWER(Upgrades!$U$11,J328),1)*IF(Upgrades!$T$12="Asteroid Belt",POWER(Upgrades!$U$12,K328),1))+(IF(G328=0,0,(Upgrades!$M$8+G328*Upgrades!$N$8)*POWER(Upgrades!$O$8,G328)))*(IF(Upgrades!$T$6="Stellar Coupling",POWER(Upgrades!$U$6,E328),1)*IF(Upgrades!$T$7="Stellar Coupling",POWER(Upgrades!$U$7,F328),1)*IF(Upgrades!$T$9="Stellar Coupling",POWER(Upgrades!$U$9,H328),1)*IF(Upgrades!$T$10="Stellar Coupling",POWER(Upgrades!$U$10,I328),1)*IF(Upgrades!$T$11="Stellar Coupling",POWER(Upgrades!$U$11,J328),1)*IF(Upgrades!$T$12="Stellar Coupling",POWER(Upgrades!$U$12,K328),1))+(IF(H328=0,0,(Upgrades!$M$9+H328*Upgrades!$N$9)*POWER(Upgrades!$O$9,H328)))*(IF(Upgrades!$T$6="Magnetosphere",POWER(Upgrades!$U$6,E328),1)*IF(Upgrades!$T$7="Magnetosphere",POWER(Upgrades!$U$7,F328),1)*IF(Upgrades!$T$8="Magnetosphere",POWER(Upgrades!$U$8,G328),1)*IF(Upgrades!$T$10="Magnetosphere",POWER(Upgrades!$U$10,I328),1)*IF(Upgrades!$T$11="Magnetosphere",POWER(Upgrades!$U$11,J328),1)*IF(Upgrades!$T$12="Magnetosphere",POWER(Upgrades!$U$12,K328),1))+(IF(I328=0,0,(Upgrades!$M$10+I328*Upgrades!$N$10)*POWER(Upgrades!$O$10,I328)))*(IF(Upgrades!$T$6="Orbital Resonance",POWER(Upgrades!$U$6,E328),1)*IF(Upgrades!$T$7="Orbital Resonance",POWER(Upgrades!$U$7,F328),1)*IF(Upgrades!$T$8="Orbital Resonance",POWER(Upgrades!$U$8,G328),1)*IF(Upgrades!$T$9="Orbital Resonance",POWER(Upgrades!$U$9,H328),1)*IF(Upgrades!$T$11="Orbital Resonance",POWER(Upgrades!$U$11,J328),1)*IF(Upgrades!$T$12="Orbital Resonance",POWER(Upgrades!$U$12,K328),1))+(IF(J328=0,0,(Upgrades!$M$11+J328*Upgrades!$N$11)*POWER(Upgrades!$O$11,J328)))*(IF(Upgrades!$T$6="Heliopause",POWER(Upgrades!$U$6,E328),1)*IF(Upgrades!$T$7="Heliopause",POWER(Upgrades!$U$7,F328),1)*IF(Upgrades!$T$8="Heliopause",POWER(Upgrades!$U$8,G328),1)*IF(Upgrades!$T$9="Heliopause",POWER(Upgrades!$U$9,H328),1)*IF(Upgrades!$T$10="Heliopause",POWER(Upgrades!$U$10,I328),1)*IF(Upgrades!$T$12="Heliopause",POWER(Upgrades!$U$12,K328),1))+(IF(K328=0,0,(Upgrades!$M$12+K328*Upgrades!$N$12)*POWER(Upgrades!$O$12,K328)))*(IF(Upgrades!$T$6="First Photons",POWER(Upgrades!$U$6,E328),1)*IF(Upgrades!$T$7="First Photons",POWER(Upgrades!$U$7,F328),1)*IF(Upgrades!$T$8="First Photons",POWER(Upgrades!$U$8,G328),1)*IF(Upgrades!$T$9="First Photons",POWER(Upgrades!$U$9,H328),1)*IF(Upgrades!$T$10="First Photons",POWER(Upgrades!$U$10,I328),1)*IF(Upgrades!$T$11="First Photons",POWER(Upgrades!$U$11,J328),1)))*POWER(Upgrades!$R$6,E328)*POWER(Upgrades!$R$7,F328)*POWER(Upgrades!$R$8,G328)*POWER(Upgrades!$R$9,H328)*POWER(Upgrades!$R$10,I328)*POWER(Upgrades!$R$11,J328)*POWER(Upgrades!$R$12,K328)</f>
        <v>0</v>
      </c>
      <c r="P328" s="27" t="n">
        <f aca="false">IF(L328=1,0,M328*Parameters!$B$10/60*Parameters!$B$11*10)</f>
        <v>0</v>
      </c>
      <c r="Q328" s="27" t="n">
        <f aca="false">IF(L328=1,0,O328*M328*10)</f>
        <v>0</v>
      </c>
      <c r="R328" s="27" t="n">
        <f aca="false">IF(L328=1,0,N328*10)</f>
        <v>0</v>
      </c>
      <c r="S328" s="27" t="n">
        <f aca="false">P328+Q328+R328</f>
        <v>0</v>
      </c>
      <c r="T328" s="21" t="n">
        <f aca="false">C328+S328</f>
        <v>18.6730249835055</v>
      </c>
      <c r="U328" s="34" t="str">
        <f aca="false">AX328</f>
        <v/>
      </c>
      <c r="V328" s="21" t="n">
        <f aca="false">IF(U328="",0,IF(U328="transition",0,IF(U328="SW",AG328,IF(U328="AB",AH328,IF(U328="SC",AI328,IF(U328="Mag",AJ328,IF(U328="OR",AK328,IF(U328="HP",AL328,IF(U328="FP",AM328,0)))))))))</f>
        <v>0</v>
      </c>
      <c r="W328" s="27" t="n">
        <f aca="false">IF(U328="OR",Upgrades!$F$10,IF(U328="HP",Upgrades!$F$11,IF(U328="transition",-Parameters!$B$18,0)))</f>
        <v>0</v>
      </c>
      <c r="X328" s="21" t="n">
        <f aca="false">T328-V328</f>
        <v>18.6730249835055</v>
      </c>
      <c r="Y328" s="30" t="n">
        <f aca="false">M328*Parameters!$B$10/60*Parameters!$B$11+O328*M328+N328</f>
        <v>20.55</v>
      </c>
      <c r="Z328" s="35" t="str">
        <f aca="false">IF(U328="transition","→ Tier 2 (Stellar Neighborhood)",IF(U328="FP","First Photons — light begins, system quickens",IF(U328="HP","Heliopause acquired",IF(U328="OR","Orbital Resonance — passive multiplier active",IF(AND(AO328=1,L328=0,AN328&lt;&gt;1),"Cohesion ready (waiting on completionist upgrades)","")))))</f>
        <v/>
      </c>
      <c r="AA328" s="27" t="n">
        <f aca="false">(IF(E328=0,0,(Upgrades!$G$6+E328*Upgrades!$H$6)*POWER(Upgrades!$I$6,E328)))*(IF(Upgrades!$T$7="Solar Wind",POWER(Upgrades!$U$7,F328),1)*IF(Upgrades!$T$8="Solar Wind",POWER(Upgrades!$U$8,G328),1)*IF(Upgrades!$T$9="Solar Wind",POWER(Upgrades!$U$9,H328),1)*IF(Upgrades!$T$10="Solar Wind",POWER(Upgrades!$U$10,I328),1)*IF(Upgrades!$T$11="Solar Wind",POWER(Upgrades!$U$11,J328),1)*IF(Upgrades!$T$12="Solar Wind",POWER(Upgrades!$U$12,K328),1))*POWER(Upgrades!$P$6,E328)*POWER(Upgrades!$P$7,F328)*POWER(Upgrades!$P$8,G328)*POWER(Upgrades!$P$9,H328)*POWER(Upgrades!$P$10,I328)*POWER(Upgrades!$P$11,J328)*POWER(Upgrades!$P$12,K328)*60</f>
        <v>72</v>
      </c>
      <c r="AB328" s="27" t="n">
        <f aca="false">(IF(F328=0,0,(Upgrades!$G$7+F328*Upgrades!$H$7)*POWER(Upgrades!$I$7,F328)))*(IF(Upgrades!$T$6="Asteroid Belt",POWER(Upgrades!$U$6,E328),1)*IF(Upgrades!$T$8="Asteroid Belt",POWER(Upgrades!$U$8,G328),1)*IF(Upgrades!$T$9="Asteroid Belt",POWER(Upgrades!$U$9,H328),1)*IF(Upgrades!$T$10="Asteroid Belt",POWER(Upgrades!$U$10,I328),1)*IF(Upgrades!$T$11="Asteroid Belt",POWER(Upgrades!$U$11,J328),1)*IF(Upgrades!$T$12="Asteroid Belt",POWER(Upgrades!$U$12,K328),1))*POWER(Upgrades!$P$6,E328)*POWER(Upgrades!$P$7,F328)*POWER(Upgrades!$P$8,G328)*POWER(Upgrades!$P$9,H328)*POWER(Upgrades!$P$10,I328)*POWER(Upgrades!$P$11,J328)*POWER(Upgrades!$P$12,K328)*60</f>
        <v>150</v>
      </c>
      <c r="AC328" s="27" t="n">
        <f aca="false">(IF(G328=0,0,(Upgrades!$J$8+G328*Upgrades!$K$8)*POWER(Upgrades!$L$8,G328)))*(IF(Upgrades!$T$6="Stellar Coupling",POWER(Upgrades!$U$6,E328),1)*IF(Upgrades!$T$7="Stellar Coupling",POWER(Upgrades!$U$7,F328),1)*IF(Upgrades!$T$9="Stellar Coupling",POWER(Upgrades!$U$9,H328),1)*IF(Upgrades!$T$10="Stellar Coupling",POWER(Upgrades!$U$10,I328),1)*IF(Upgrades!$T$11="Stellar Coupling",POWER(Upgrades!$U$11,J328),1)*IF(Upgrades!$T$12="Stellar Coupling",POWER(Upgrades!$U$12,K328),1))*POWER(Upgrades!$Q$6,E328)*POWER(Upgrades!$Q$7,F328)*POWER(Upgrades!$Q$8,G328)*POWER(Upgrades!$Q$9,H328)*POWER(Upgrades!$Q$10,I328)*POWER(Upgrades!$Q$11,J328)*POWER(Upgrades!$Q$12,K328)*Parameters!$B$10*Parameters!$B$11</f>
        <v>441</v>
      </c>
      <c r="AD328" s="27" t="n">
        <f aca="false">(IF(H328=0,0,(Upgrades!$G$9+H328*Upgrades!$H$9)*POWER(Upgrades!$I$9,H328)))*(IF(Upgrades!$T$6="Magnetosphere",POWER(Upgrades!$U$6,E328),1)*IF(Upgrades!$T$7="Magnetosphere",POWER(Upgrades!$U$7,F328),1)*IF(Upgrades!$T$8="Magnetosphere",POWER(Upgrades!$U$8,G328),1)*IF(Upgrades!$T$10="Magnetosphere",POWER(Upgrades!$U$10,I328),1)*IF(Upgrades!$T$11="Magnetosphere",POWER(Upgrades!$U$11,J328),1)*IF(Upgrades!$T$12="Magnetosphere",POWER(Upgrades!$U$12,K328),1))*POWER(Upgrades!$P$6,E328)*POWER(Upgrades!$P$7,F328)*POWER(Upgrades!$P$8,G328)*POWER(Upgrades!$P$9,H328)*POWER(Upgrades!$P$10,I328)*POWER(Upgrades!$P$11,J328)*POWER(Upgrades!$P$12,K328)*60</f>
        <v>375</v>
      </c>
      <c r="AE328" s="27" t="n">
        <f aca="false">(IF(K328=0,0,(Upgrades!$G$12+K328*Upgrades!$H$12)*POWER(Upgrades!$I$12,K328)))*(IF(Upgrades!$T$6="First Photons",POWER(Upgrades!$U$6,E328),1)*IF(Upgrades!$T$7="First Photons",POWER(Upgrades!$U$7,F328),1)*IF(Upgrades!$T$8="First Photons",POWER(Upgrades!$U$8,G328),1)*IF(Upgrades!$T$9="First Photons",POWER(Upgrades!$U$9,H328),1)*IF(Upgrades!$T$10="First Photons",POWER(Upgrades!$U$10,I328),1)*IF(Upgrades!$T$11="First Photons",POWER(Upgrades!$U$11,J328),1))*POWER(Upgrades!$P$6,E328)*POWER(Upgrades!$P$7,F328)*POWER(Upgrades!$P$8,G328)*POWER(Upgrades!$P$9,H328)*POWER(Upgrades!$P$10,I328)*POWER(Upgrades!$P$11,J328)*POWER(Upgrades!$P$12,K328)*60</f>
        <v>75</v>
      </c>
      <c r="AF328" s="27" t="n">
        <f aca="false">Parameters!$B$9*POWER(Upgrades!$Q$6,E328)*POWER(Upgrades!$Q$7,F328)*POWER(Upgrades!$Q$8,G328)*POWER(Upgrades!$Q$9,H328)*POWER(Upgrades!$Q$10,I328)*POWER(Upgrades!$Q$11,J328)*POWER(Upgrades!$Q$12,K328)*(Parameters!$B$10*Parameters!$B$11+O328*60)</f>
        <v>120</v>
      </c>
      <c r="AG328" s="21" t="n">
        <f aca="false">IF(E328&gt;=Upgrades!$E$6,"",Upgrades!$C$6*POWER(Upgrades!$D$6,E328))</f>
        <v>37.4517507383159</v>
      </c>
      <c r="AH328" s="21" t="n">
        <f aca="false">IF(F328&gt;=Upgrades!$E$7,"",Upgrades!$C$7*POWER(Upgrades!$D$7,F328))</f>
        <v>80.9111547141581</v>
      </c>
      <c r="AI328" s="21" t="n">
        <f aca="false">IF(G328&gt;=Upgrades!$E$8,"",Upgrades!$C$8*POWER(Upgrades!$D$8,G328))</f>
        <v>231.9097088</v>
      </c>
      <c r="AJ328" s="21" t="str">
        <f aca="false">IF(H328&gt;=Upgrades!$E$9,"",Upgrades!$C$9*POWER(Upgrades!$D$9,H328))</f>
        <v/>
      </c>
      <c r="AK328" s="21" t="str">
        <f aca="false">IF(I328&gt;=Upgrades!$E$10,"",Upgrades!$C$10*POWER(Upgrades!$D$10,I328))</f>
        <v/>
      </c>
      <c r="AL328" s="21" t="str">
        <f aca="false">IF(J328&gt;=Upgrades!$E$11,"",Upgrades!$C$11*POWER(Upgrades!$D$11,J328))</f>
        <v/>
      </c>
      <c r="AM328" s="21" t="str">
        <f aca="false">IF(K328&gt;=Upgrades!$E$12,"",Upgrades!$C$12*POWER(Upgrades!$D$12,K328))</f>
        <v/>
      </c>
      <c r="AN328" s="26" t="str">
        <f aca="false">IF(AND(D328&gt;=Parameters!$B$18,(H328&gt;=Upgrades!$E$9)*(K328&gt;=Upgrades!$E$12)=1,L328=0),1,"")</f>
        <v/>
      </c>
      <c r="AO328" s="26" t="str">
        <f aca="false">IF(AND(D328&gt;=Parameters!$B$18,L328=0),1,"")</f>
        <v/>
      </c>
      <c r="AP328" s="21" t="n">
        <f aca="false">MIN(IF(ISNUMBER(AK328),AK328,9000000000000000),IF(ISNUMBER(AL328),AL328,9000000000000000),IF(ISNUMBER(AM328),AM328,9000000000000000))</f>
        <v>9000000000000000</v>
      </c>
      <c r="AQ328" s="21" t="n">
        <f aca="false">MIN(IF(ISNUMBER(AG328),AG328,9000000000000000),IF(ISNUMBER(AH328),AH328,9000000000000000),IF(ISNUMBER(AI328),AI328,9000000000000000),IF(ISNUMBER(AJ328),AJ328,9000000000000000))</f>
        <v>37.4517507383159</v>
      </c>
      <c r="AR328" s="32" t="b">
        <f aca="false">IF(AW328&gt;Parameters!$B$21*(MAX(IF(AND(NOT(AND(AO328=1,AN328&lt;&gt;1)),ISNUMBER(AG328),AG328&lt;=T328),AS328,0),IF(AND(NOT(AND(AO328=1,AN328&lt;&gt;1)),ISNUMBER(AH328),AH328&lt;=T328),AT328,0),IF(AND(NOT(AND(AO328=1,AN328&lt;&gt;1)),ISNUMBER(AI328),AI328&lt;=T328),AU328,0),IF(AND(ISNUMBER(AJ328),AJ328&lt;=T328),AV328,0))),TRUE(),FALSE())</f>
        <v>1</v>
      </c>
      <c r="AS328" s="33" t="n">
        <f aca="false">IFERROR(Upgrades!$H$6*(POWER(Upgrades!$P$6,E328)*POWER(Upgrades!$P$7,F328)*POWER(Upgrades!$P$8,G328)*POWER(Upgrades!$P$9,H328)*POWER(Upgrades!$P$10,I328)*POWER(Upgrades!$P$11,J328)*POWER(Upgrades!$P$12,K328))*(IF(Upgrades!$T$7="Solar Wind",POWER(Upgrades!$U$7,F328),1)*IF(Upgrades!$T$8="Solar Wind",POWER(Upgrades!$U$8,G328),1)*IF(Upgrades!$T$9="Solar Wind",POWER(Upgrades!$U$9,H328),1)*IF(Upgrades!$T$10="Solar Wind",POWER(Upgrades!$U$10,I328),1)*IF(Upgrades!$T$11="Solar Wind",POWER(Upgrades!$U$11,J328),1)*IF(Upgrades!$T$12="Solar Wind",POWER(Upgrades!$U$12,K328),1))/AG328,0)</f>
        <v>0.0026701021455238</v>
      </c>
      <c r="AT328" s="33" t="n">
        <f aca="false">IFERROR(Upgrades!$H$7*(POWER(Upgrades!$P$6,E328)*POWER(Upgrades!$P$7,F328)*POWER(Upgrades!$P$8,G328)*POWER(Upgrades!$P$9,H328)*POWER(Upgrades!$P$10,I328)*POWER(Upgrades!$P$11,J328)*POWER(Upgrades!$P$12,K328))*(IF(Upgrades!$T$6="Asteroid Belt",POWER(Upgrades!$U$6,E328),1)*IF(Upgrades!$T$8="Asteroid Belt",POWER(Upgrades!$U$8,G328),1)*IF(Upgrades!$T$9="Asteroid Belt",POWER(Upgrades!$U$9,H328),1)*IF(Upgrades!$T$10="Asteroid Belt",POWER(Upgrades!$U$10,I328),1)*IF(Upgrades!$T$11="Asteroid Belt",POWER(Upgrades!$U$11,J328),1)*IF(Upgrades!$T$12="Asteroid Belt",POWER(Upgrades!$U$12,K328),1))/AH328,0)</f>
        <v>0.00308980882652332</v>
      </c>
      <c r="AU328" s="33" t="n">
        <f aca="false">IFERROR(Upgrades!$K$8*(POWER(Upgrades!$Q$6,E328)*POWER(Upgrades!$Q$7,F328)*POWER(Upgrades!$Q$8,G328)*POWER(Upgrades!$Q$9,H328)*POWER(Upgrades!$Q$10,I328)*POWER(Upgrades!$Q$11,J328)*POWER(Upgrades!$Q$12,K328))*(IF(Upgrades!$T$6="Stellar Coupling",POWER(Upgrades!$U$6,E328),1)*IF(Upgrades!$T$7="Stellar Coupling",POWER(Upgrades!$U$7,F328),1)*IF(Upgrades!$T$9="Stellar Coupling",POWER(Upgrades!$U$9,H328),1)*IF(Upgrades!$T$10="Stellar Coupling",POWER(Upgrades!$U$10,I328),1)*IF(Upgrades!$T$11="Stellar Coupling",POWER(Upgrades!$U$11,J328),1)*IF(Upgrades!$T$12="Stellar Coupling",POWER(Upgrades!$U$12,K328),1))*Parameters!$B$10*Parameters!$B$11/60/AI328,0)</f>
        <v>0.00452762415783776</v>
      </c>
      <c r="AV328" s="33" t="n">
        <f aca="false">IFERROR(Upgrades!$H$9*(POWER(Upgrades!$P$6,E328)*POWER(Upgrades!$P$7,F328)*POWER(Upgrades!$P$8,G328)*POWER(Upgrades!$P$9,H328)*POWER(Upgrades!$P$10,I328)*POWER(Upgrades!$P$11,J328)*POWER(Upgrades!$P$12,K328))*(IF(Upgrades!$T$6="Magnetosphere",POWER(Upgrades!$U$6,E328),1)*IF(Upgrades!$T$7="Magnetosphere",POWER(Upgrades!$U$7,F328),1)*IF(Upgrades!$T$8="Magnetosphere",POWER(Upgrades!$U$8,G328),1)*IF(Upgrades!$T$10="Magnetosphere",POWER(Upgrades!$U$10,I328),1)*IF(Upgrades!$T$11="Magnetosphere",POWER(Upgrades!$U$11,J328),1)*IF(Upgrades!$T$12="Magnetosphere",POWER(Upgrades!$U$12,K328),1))/AJ328,0)</f>
        <v>0</v>
      </c>
      <c r="AW328" s="33" t="n">
        <f aca="false">MAX(IF(I328&gt;0,0,IFERROR(0.25*N328/Upgrades!$C$10,0)),IF(J328&gt;0,0,IFERROR(0.5*((IF(G328=0,0,(Upgrades!$J$8+G328*Upgrades!$K$8)*POWER(Upgrades!$L$8,G328)))*(IF(Upgrades!$T$6="Stellar Coupling",POWER(Upgrades!$U$6,E328),1)*IF(Upgrades!$T$7="Stellar Coupling",POWER(Upgrades!$U$7,F328),1)*IF(Upgrades!$T$9="Stellar Coupling",POWER(Upgrades!$U$9,H328),1)*IF(Upgrades!$T$10="Stellar Coupling",POWER(Upgrades!$U$10,I328),1)*IF(Upgrades!$T$11="Stellar Coupling",POWER(Upgrades!$U$11,J328),1)*IF(Upgrades!$T$12="Stellar Coupling",POWER(Upgrades!$U$12,K328),1))*(POWER(Upgrades!$Q$6,E328)*POWER(Upgrades!$Q$7,F328)*POWER(Upgrades!$Q$8,G328)*POWER(Upgrades!$Q$9,H328)*POWER(Upgrades!$Q$10,I328)*POWER(Upgrades!$Q$11,J328)*POWER(Upgrades!$Q$12,K328))*Parameters!$B$10*Parameters!$B$11/60)/Upgrades!$C$11,0)),IF(K328&gt;0,0,IFERROR((1*(POWER(Upgrades!$P$6,E328)*POWER(Upgrades!$P$7,F328)*POWER(Upgrades!$P$8,G328)*POWER(Upgrades!$P$9,H328)*POWER(Upgrades!$P$10,I328)*POWER(Upgrades!$P$11,J328)*POWER(Upgrades!$P$12,K328))+0.2*M328*Parameters!$B$10*Parameters!$B$11/60)/Upgrades!$C$12,0)),IF(AND(ISNUMBER(AG328),AG328&gt;T328),AS328,0),IF(AND(ISNUMBER(AH328),AH328&gt;T328),AT328,0),IF(AND(ISNUMBER(AI328),AI328&gt;T328),AU328,0),IF(AND(ISNUMBER(AJ328),AJ328&gt;T328),AV328,0))</f>
        <v>0.00452762415783776</v>
      </c>
      <c r="AX328" s="29" t="str">
        <f aca="false">IF(AN328=1,"transition",IF(MIN(IF(AND(I328=0,ISNUMBER(AK328),AK328&lt;=T328),AK328,9000000000000000),IF(AND(J328=0,ISNUMBER(AL328),AL328&lt;=T328),AL328,9000000000000000),IF(AND(K328=0,ISNUMBER(AM328),AM328&lt;=T328),AM328,9000000000000000))&lt;9000000000000000,IF(AND(AND(I328=0,ISNUMBER(AK328),AK328&lt;=T328),AK328=MIN(IF(AND(I328=0,ISNUMBER(AK328),AK328&lt;=T328),AK328,9000000000000000),IF(AND(J328=0,ISNUMBER(AL328),AL328&lt;=T328),AL328,9000000000000000),IF(AND(K328=0,ISNUMBER(AM328),AM328&lt;=T328),AM328,9000000000000000))),"OR",IF(AND(AND(J328=0,ISNUMBER(AL328),AL328&lt;=T328),AL328=MIN(IF(AND(I328=0,ISNUMBER(AK328),AK328&lt;=T328),AK328,9000000000000000),IF(AND(J328=0,ISNUMBER(AL328),AL328&lt;=T328),AL328,9000000000000000),IF(AND(K328=0,ISNUMBER(AM328),AM328&lt;=T328),AM328,9000000000000000))),"HP","FP")),IF(AR328=TRUE(),"",IF(MAX(IF(AND(NOT(AND(AO328=1,AN328&lt;&gt;1)),ISNUMBER(AG328),AG328&lt;=T328),AS328,0),IF(AND(NOT(AND(AO328=1,AN328&lt;&gt;1)),ISNUMBER(AH328),AH328&lt;=T328),AT328,0),IF(AND(NOT(AND(AO328=1,AN328&lt;&gt;1)),ISNUMBER(AI328),AI328&lt;=T328),AU328,0),IF(AND(ISNUMBER(AJ328),AJ328&lt;=T328),AV328,0))&lt;=0,"",IF(AND(IF(AND(NOT(AND(AO328=1,AN328&lt;&gt;1)),ISNUMBER(AG328),AG328&lt;=T328),AS328,0)&gt;0,IF(AND(NOT(AND(AO328=1,AN328&lt;&gt;1)),ISNUMBER(AG328),AG328&lt;=T328),AS328,0)=MAX(IF(AND(NOT(AND(AO328=1,AN328&lt;&gt;1)),ISNUMBER(AG328),AG328&lt;=T328),AS328,0),IF(AND(NOT(AND(AO328=1,AN328&lt;&gt;1)),ISNUMBER(AH328),AH328&lt;=T328),AT328,0),IF(AND(NOT(AND(AO328=1,AN328&lt;&gt;1)),ISNUMBER(AI328),AI328&lt;=T328),AU328,0),IF(AND(ISNUMBER(AJ328),AJ328&lt;=T328),AV328,0))),"SW",IF(AND(IF(AND(NOT(AND(AO328=1,AN328&lt;&gt;1)),ISNUMBER(AH328),AH328&lt;=T328),AT328,0)&gt;0,IF(AND(NOT(AND(AO328=1,AN328&lt;&gt;1)),ISNUMBER(AH328),AH328&lt;=T328),AT328,0)=MAX(IF(AND(NOT(AND(AO328=1,AN328&lt;&gt;1)),ISNUMBER(AG328),AG328&lt;=T328),AS328,0),IF(AND(NOT(AND(AO328=1,AN328&lt;&gt;1)),ISNUMBER(AH328),AH328&lt;=T328),AT328,0),IF(AND(NOT(AND(AO328=1,AN328&lt;&gt;1)),ISNUMBER(AI328),AI328&lt;=T328),AU328,0),IF(AND(ISNUMBER(AJ328),AJ328&lt;=T328),AV328,0))),"AB",IF(AND(IF(AND(NOT(AND(AO328=1,AN328&lt;&gt;1)),ISNUMBER(AI328),AI328&lt;=T328),AU328,0)&gt;0,IF(AND(NOT(AND(AO328=1,AN328&lt;&gt;1)),ISNUMBER(AI328),AI328&lt;=T328),AU328,0)=MAX(IF(AND(NOT(AND(AO328=1,AN328&lt;&gt;1)),ISNUMBER(AG328),AG328&lt;=T328),AS328,0),IF(AND(NOT(AND(AO328=1,AN328&lt;&gt;1)),ISNUMBER(AH328),AH328&lt;=T328),AT328,0),IF(AND(NOT(AND(AO328=1,AN328&lt;&gt;1)),ISNUMBER(AI328),AI328&lt;=T328),AU328,0),IF(AND(ISNUMBER(AJ328),AJ328&lt;=T328),AV328,0))),"SC","Mag")))))))</f>
        <v/>
      </c>
    </row>
    <row r="329" customFormat="false" ht="15" hidden="false" customHeight="false" outlineLevel="0" collapsed="false">
      <c r="A329" s="26" t="n">
        <v>324</v>
      </c>
      <c r="B329" s="27" t="n">
        <f aca="false">A329*10/60</f>
        <v>54</v>
      </c>
      <c r="C329" s="21" t="n">
        <f aca="false">X328</f>
        <v>18.6730249835055</v>
      </c>
      <c r="D329" s="27" t="n">
        <f aca="false">D328+W328</f>
        <v>0</v>
      </c>
      <c r="E329" s="26" t="n">
        <f aca="false">E328+IF(U328="SW",1,0)</f>
        <v>12</v>
      </c>
      <c r="F329" s="26" t="n">
        <f aca="false">F328+IF(U328="AB",1,0)</f>
        <v>10</v>
      </c>
      <c r="G329" s="26" t="n">
        <f aca="false">G328+IF(U328="SC",1,0)</f>
        <v>7</v>
      </c>
      <c r="H329" s="26" t="n">
        <f aca="false">H328+IF(U328="Mag",1,0)</f>
        <v>5</v>
      </c>
      <c r="I329" s="26" t="n">
        <f aca="false">MAX(I328,IF(U328="OR",1,0))</f>
        <v>1</v>
      </c>
      <c r="J329" s="26" t="n">
        <f aca="false">MAX(J328,IF(U328="HP",1,0))</f>
        <v>1</v>
      </c>
      <c r="K329" s="26" t="n">
        <f aca="false">MAX(K328,IF(U328="FP",1,0))</f>
        <v>1</v>
      </c>
      <c r="L329" s="26" t="n">
        <f aca="false">MAX(L328,IF(U328="transition",1,0))</f>
        <v>1</v>
      </c>
      <c r="M329" s="28" t="n">
        <f aca="false">(Parameters!$B$9+(IF(E329=0,0,(Upgrades!$J$6+E329*Upgrades!$K$6)*POWER(Upgrades!$L$6,E329)))*(IF(Upgrades!$T$7="Solar Wind",POWER(Upgrades!$U$7,F329),1)*IF(Upgrades!$T$8="Solar Wind",POWER(Upgrades!$U$8,G329),1)*IF(Upgrades!$T$9="Solar Wind",POWER(Upgrades!$U$9,H329),1)*IF(Upgrades!$T$10="Solar Wind",POWER(Upgrades!$U$10,I329),1)*IF(Upgrades!$T$11="Solar Wind",POWER(Upgrades!$U$11,J329),1)*IF(Upgrades!$T$12="Solar Wind",POWER(Upgrades!$U$12,K329),1))+(IF(F329=0,0,(Upgrades!$J$7+F329*Upgrades!$K$7)*POWER(Upgrades!$L$7,F329)))*(IF(Upgrades!$T$6="Asteroid Belt",POWER(Upgrades!$U$6,E329),1)*IF(Upgrades!$T$8="Asteroid Belt",POWER(Upgrades!$U$8,G329),1)*IF(Upgrades!$T$9="Asteroid Belt",POWER(Upgrades!$U$9,H329),1)*IF(Upgrades!$T$10="Asteroid Belt",POWER(Upgrades!$U$10,I329),1)*IF(Upgrades!$T$11="Asteroid Belt",POWER(Upgrades!$U$11,J329),1)*IF(Upgrades!$T$12="Asteroid Belt",POWER(Upgrades!$U$12,K329),1))+(IF(G329=0,0,(Upgrades!$J$8+G329*Upgrades!$K$8)*POWER(Upgrades!$L$8,G329)))*(IF(Upgrades!$T$6="Stellar Coupling",POWER(Upgrades!$U$6,E329),1)*IF(Upgrades!$T$7="Stellar Coupling",POWER(Upgrades!$U$7,F329),1)*IF(Upgrades!$T$9="Stellar Coupling",POWER(Upgrades!$U$9,H329),1)*IF(Upgrades!$T$10="Stellar Coupling",POWER(Upgrades!$U$10,I329),1)*IF(Upgrades!$T$11="Stellar Coupling",POWER(Upgrades!$U$11,J329),1)*IF(Upgrades!$T$12="Stellar Coupling",POWER(Upgrades!$U$12,K329),1))+(IF(H329=0,0,(Upgrades!$J$9+H329*Upgrades!$K$9)*POWER(Upgrades!$L$9,H329)))*(IF(Upgrades!$T$6="Magnetosphere",POWER(Upgrades!$U$6,E329),1)*IF(Upgrades!$T$7="Magnetosphere",POWER(Upgrades!$U$7,F329),1)*IF(Upgrades!$T$8="Magnetosphere",POWER(Upgrades!$U$8,G329),1)*IF(Upgrades!$T$10="Magnetosphere",POWER(Upgrades!$U$10,I329),1)*IF(Upgrades!$T$11="Magnetosphere",POWER(Upgrades!$U$11,J329),1)*IF(Upgrades!$T$12="Magnetosphere",POWER(Upgrades!$U$12,K329),1))+(IF(I329=0,0,(Upgrades!$J$10+I329*Upgrades!$K$10)*POWER(Upgrades!$L$10,I329)))*(IF(Upgrades!$T$6="Orbital Resonance",POWER(Upgrades!$U$6,E329),1)*IF(Upgrades!$T$7="Orbital Resonance",POWER(Upgrades!$U$7,F329),1)*IF(Upgrades!$T$8="Orbital Resonance",POWER(Upgrades!$U$8,G329),1)*IF(Upgrades!$T$9="Orbital Resonance",POWER(Upgrades!$U$9,H329),1)*IF(Upgrades!$T$11="Orbital Resonance",POWER(Upgrades!$U$11,J329),1)*IF(Upgrades!$T$12="Orbital Resonance",POWER(Upgrades!$U$12,K329),1))+(IF(J329=0,0,(Upgrades!$J$11+J329*Upgrades!$K$11)*POWER(Upgrades!$L$11,J329)))*(IF(Upgrades!$T$6="Heliopause",POWER(Upgrades!$U$6,E329),1)*IF(Upgrades!$T$7="Heliopause",POWER(Upgrades!$U$7,F329),1)*IF(Upgrades!$T$8="Heliopause",POWER(Upgrades!$U$8,G329),1)*IF(Upgrades!$T$9="Heliopause",POWER(Upgrades!$U$9,H329),1)*IF(Upgrades!$T$10="Heliopause",POWER(Upgrades!$U$10,I329),1)*IF(Upgrades!$T$12="Heliopause",POWER(Upgrades!$U$12,K329),1))+(IF(K329=0,0,(Upgrades!$J$12+K329*Upgrades!$K$12)*POWER(Upgrades!$L$12,K329)))*(IF(Upgrades!$T$6="First Photons",POWER(Upgrades!$U$6,E329),1)*IF(Upgrades!$T$7="First Photons",POWER(Upgrades!$U$7,F329),1)*IF(Upgrades!$T$8="First Photons",POWER(Upgrades!$U$8,G329),1)*IF(Upgrades!$T$9="First Photons",POWER(Upgrades!$U$9,H329),1)*IF(Upgrades!$T$10="First Photons",POWER(Upgrades!$U$10,I329),1)*IF(Upgrades!$T$11="First Photons",POWER(Upgrades!$U$11,J329),1)))*POWER(Upgrades!$Q$6,E329)*POWER(Upgrades!$Q$7,F329)*POWER(Upgrades!$Q$8,G329)*POWER(Upgrades!$Q$9,H329)*POWER(Upgrades!$Q$10,I329)*POWER(Upgrades!$Q$11,J329)*POWER(Upgrades!$Q$12,K329)</f>
        <v>5.61</v>
      </c>
      <c r="N329" s="28" t="n">
        <f aca="false">((IF(E329=0,0,(Upgrades!$G$6+E329*Upgrades!$H$6)*POWER(Upgrades!$I$6,E329)))*(IF(Upgrades!$T$7="Solar Wind",POWER(Upgrades!$U$7,F329),1)*IF(Upgrades!$T$8="Solar Wind",POWER(Upgrades!$U$8,G329),1)*IF(Upgrades!$T$9="Solar Wind",POWER(Upgrades!$U$9,H329),1)*IF(Upgrades!$T$10="Solar Wind",POWER(Upgrades!$U$10,I329),1)*IF(Upgrades!$T$11="Solar Wind",POWER(Upgrades!$U$11,J329),1)*IF(Upgrades!$T$12="Solar Wind",POWER(Upgrades!$U$12,K329),1))+(IF(F329=0,0,(Upgrades!$G$7+F329*Upgrades!$H$7)*POWER(Upgrades!$I$7,F329)))*(IF(Upgrades!$T$6="Asteroid Belt",POWER(Upgrades!$U$6,E329),1)*IF(Upgrades!$T$8="Asteroid Belt",POWER(Upgrades!$U$8,G329),1)*IF(Upgrades!$T$9="Asteroid Belt",POWER(Upgrades!$U$9,H329),1)*IF(Upgrades!$T$10="Asteroid Belt",POWER(Upgrades!$U$10,I329),1)*IF(Upgrades!$T$11="Asteroid Belt",POWER(Upgrades!$U$11,J329),1)*IF(Upgrades!$T$12="Asteroid Belt",POWER(Upgrades!$U$12,K329),1))+(IF(G329=0,0,(Upgrades!$G$8+G329*Upgrades!$H$8)*POWER(Upgrades!$I$8,G329)))*(IF(Upgrades!$T$6="Stellar Coupling",POWER(Upgrades!$U$6,E329),1)*IF(Upgrades!$T$7="Stellar Coupling",POWER(Upgrades!$U$7,F329),1)*IF(Upgrades!$T$9="Stellar Coupling",POWER(Upgrades!$U$9,H329),1)*IF(Upgrades!$T$10="Stellar Coupling",POWER(Upgrades!$U$10,I329),1)*IF(Upgrades!$T$11="Stellar Coupling",POWER(Upgrades!$U$11,J329),1)*IF(Upgrades!$T$12="Stellar Coupling",POWER(Upgrades!$U$12,K329),1))+(IF(H329=0,0,(Upgrades!$G$9+H329*Upgrades!$H$9)*POWER(Upgrades!$I$9,H329)))*(IF(Upgrades!$T$6="Magnetosphere",POWER(Upgrades!$U$6,E329),1)*IF(Upgrades!$T$7="Magnetosphere",POWER(Upgrades!$U$7,F329),1)*IF(Upgrades!$T$8="Magnetosphere",POWER(Upgrades!$U$8,G329),1)*IF(Upgrades!$T$10="Magnetosphere",POWER(Upgrades!$U$10,I329),1)*IF(Upgrades!$T$11="Magnetosphere",POWER(Upgrades!$U$11,J329),1)*IF(Upgrades!$T$12="Magnetosphere",POWER(Upgrades!$U$12,K329),1))+(IF(I329=0,0,(Upgrades!$G$10+I329*Upgrades!$H$10)*POWER(Upgrades!$I$10,I329)))*(IF(Upgrades!$T$6="Orbital Resonance",POWER(Upgrades!$U$6,E329),1)*IF(Upgrades!$T$7="Orbital Resonance",POWER(Upgrades!$U$7,F329),1)*IF(Upgrades!$T$8="Orbital Resonance",POWER(Upgrades!$U$8,G329),1)*IF(Upgrades!$T$9="Orbital Resonance",POWER(Upgrades!$U$9,H329),1)*IF(Upgrades!$T$11="Orbital Resonance",POWER(Upgrades!$U$11,J329),1)*IF(Upgrades!$T$12="Orbital Resonance",POWER(Upgrades!$U$12,K329),1))+(IF(J329=0,0,(Upgrades!$G$11+J329*Upgrades!$H$11)*POWER(Upgrades!$I$11,J329)))*(IF(Upgrades!$T$6="Heliopause",POWER(Upgrades!$U$6,E329),1)*IF(Upgrades!$T$7="Heliopause",POWER(Upgrades!$U$7,F329),1)*IF(Upgrades!$T$8="Heliopause",POWER(Upgrades!$U$8,G329),1)*IF(Upgrades!$T$9="Heliopause",POWER(Upgrades!$U$9,H329),1)*IF(Upgrades!$T$10="Heliopause",POWER(Upgrades!$U$10,I329),1)*IF(Upgrades!$T$12="Heliopause",POWER(Upgrades!$U$12,K329),1))+(IF(K329=0,0,(Upgrades!$G$12+K329*Upgrades!$H$12)*POWER(Upgrades!$I$12,K329)))*(IF(Upgrades!$T$6="First Photons",POWER(Upgrades!$U$6,E329),1)*IF(Upgrades!$T$7="First Photons",POWER(Upgrades!$U$7,F329),1)*IF(Upgrades!$T$8="First Photons",POWER(Upgrades!$U$8,G329),1)*IF(Upgrades!$T$9="First Photons",POWER(Upgrades!$U$9,H329),1)*IF(Upgrades!$T$10="First Photons",POWER(Upgrades!$U$10,I329),1)*IF(Upgrades!$T$11="First Photons",POWER(Upgrades!$U$11,J329),1)))*POWER(Upgrades!$P$6,E329)*POWER(Upgrades!$P$7,F329)*POWER(Upgrades!$P$8,G329)*POWER(Upgrades!$P$9,H329)*POWER(Upgrades!$P$10,I329)*POWER(Upgrades!$P$11,J329)*POWER(Upgrades!$P$12,K329)</f>
        <v>11.2</v>
      </c>
      <c r="O329" s="28" t="n">
        <f aca="false">((IF(E329=0,0,(Upgrades!$M$6+E329*Upgrades!$N$6)*POWER(Upgrades!$O$6,E329)))*(IF(Upgrades!$T$7="Solar Wind",POWER(Upgrades!$U$7,F329),1)*IF(Upgrades!$T$8="Solar Wind",POWER(Upgrades!$U$8,G329),1)*IF(Upgrades!$T$9="Solar Wind",POWER(Upgrades!$U$9,H329),1)*IF(Upgrades!$T$10="Solar Wind",POWER(Upgrades!$U$10,I329),1)*IF(Upgrades!$T$11="Solar Wind",POWER(Upgrades!$U$11,J329),1)*IF(Upgrades!$T$12="Solar Wind",POWER(Upgrades!$U$12,K329),1))+(IF(F329=0,0,(Upgrades!$M$7+F329*Upgrades!$N$7)*POWER(Upgrades!$O$7,F329)))*(IF(Upgrades!$T$6="Asteroid Belt",POWER(Upgrades!$U$6,E329),1)*IF(Upgrades!$T$8="Asteroid Belt",POWER(Upgrades!$U$8,G329),1)*IF(Upgrades!$T$9="Asteroid Belt",POWER(Upgrades!$U$9,H329),1)*IF(Upgrades!$T$10="Asteroid Belt",POWER(Upgrades!$U$10,I329),1)*IF(Upgrades!$T$11="Asteroid Belt",POWER(Upgrades!$U$11,J329),1)*IF(Upgrades!$T$12="Asteroid Belt",POWER(Upgrades!$U$12,K329),1))+(IF(G329=0,0,(Upgrades!$M$8+G329*Upgrades!$N$8)*POWER(Upgrades!$O$8,G329)))*(IF(Upgrades!$T$6="Stellar Coupling",POWER(Upgrades!$U$6,E329),1)*IF(Upgrades!$T$7="Stellar Coupling",POWER(Upgrades!$U$7,F329),1)*IF(Upgrades!$T$9="Stellar Coupling",POWER(Upgrades!$U$9,H329),1)*IF(Upgrades!$T$10="Stellar Coupling",POWER(Upgrades!$U$10,I329),1)*IF(Upgrades!$T$11="Stellar Coupling",POWER(Upgrades!$U$11,J329),1)*IF(Upgrades!$T$12="Stellar Coupling",POWER(Upgrades!$U$12,K329),1))+(IF(H329=0,0,(Upgrades!$M$9+H329*Upgrades!$N$9)*POWER(Upgrades!$O$9,H329)))*(IF(Upgrades!$T$6="Magnetosphere",POWER(Upgrades!$U$6,E329),1)*IF(Upgrades!$T$7="Magnetosphere",POWER(Upgrades!$U$7,F329),1)*IF(Upgrades!$T$8="Magnetosphere",POWER(Upgrades!$U$8,G329),1)*IF(Upgrades!$T$10="Magnetosphere",POWER(Upgrades!$U$10,I329),1)*IF(Upgrades!$T$11="Magnetosphere",POWER(Upgrades!$U$11,J329),1)*IF(Upgrades!$T$12="Magnetosphere",POWER(Upgrades!$U$12,K329),1))+(IF(I329=0,0,(Upgrades!$M$10+I329*Upgrades!$N$10)*POWER(Upgrades!$O$10,I329)))*(IF(Upgrades!$T$6="Orbital Resonance",POWER(Upgrades!$U$6,E329),1)*IF(Upgrades!$T$7="Orbital Resonance",POWER(Upgrades!$U$7,F329),1)*IF(Upgrades!$T$8="Orbital Resonance",POWER(Upgrades!$U$8,G329),1)*IF(Upgrades!$T$9="Orbital Resonance",POWER(Upgrades!$U$9,H329),1)*IF(Upgrades!$T$11="Orbital Resonance",POWER(Upgrades!$U$11,J329),1)*IF(Upgrades!$T$12="Orbital Resonance",POWER(Upgrades!$U$12,K329),1))+(IF(J329=0,0,(Upgrades!$M$11+J329*Upgrades!$N$11)*POWER(Upgrades!$O$11,J329)))*(IF(Upgrades!$T$6="Heliopause",POWER(Upgrades!$U$6,E329),1)*IF(Upgrades!$T$7="Heliopause",POWER(Upgrades!$U$7,F329),1)*IF(Upgrades!$T$8="Heliopause",POWER(Upgrades!$U$8,G329),1)*IF(Upgrades!$T$9="Heliopause",POWER(Upgrades!$U$9,H329),1)*IF(Upgrades!$T$10="Heliopause",POWER(Upgrades!$U$10,I329),1)*IF(Upgrades!$T$12="Heliopause",POWER(Upgrades!$U$12,K329),1))+(IF(K329=0,0,(Upgrades!$M$12+K329*Upgrades!$N$12)*POWER(Upgrades!$O$12,K329)))*(IF(Upgrades!$T$6="First Photons",POWER(Upgrades!$U$6,E329),1)*IF(Upgrades!$T$7="First Photons",POWER(Upgrades!$U$7,F329),1)*IF(Upgrades!$T$8="First Photons",POWER(Upgrades!$U$8,G329),1)*IF(Upgrades!$T$9="First Photons",POWER(Upgrades!$U$9,H329),1)*IF(Upgrades!$T$10="First Photons",POWER(Upgrades!$U$10,I329),1)*IF(Upgrades!$T$11="First Photons",POWER(Upgrades!$U$11,J329),1)))*POWER(Upgrades!$R$6,E329)*POWER(Upgrades!$R$7,F329)*POWER(Upgrades!$R$8,G329)*POWER(Upgrades!$R$9,H329)*POWER(Upgrades!$R$10,I329)*POWER(Upgrades!$R$11,J329)*POWER(Upgrades!$R$12,K329)</f>
        <v>0</v>
      </c>
      <c r="P329" s="27" t="n">
        <f aca="false">IF(L329=1,0,M329*Parameters!$B$10/60*Parameters!$B$11*10)</f>
        <v>0</v>
      </c>
      <c r="Q329" s="27" t="n">
        <f aca="false">IF(L329=1,0,O329*M329*10)</f>
        <v>0</v>
      </c>
      <c r="R329" s="27" t="n">
        <f aca="false">IF(L329=1,0,N329*10)</f>
        <v>0</v>
      </c>
      <c r="S329" s="27" t="n">
        <f aca="false">P329+Q329+R329</f>
        <v>0</v>
      </c>
      <c r="T329" s="21" t="n">
        <f aca="false">C329+S329</f>
        <v>18.6730249835055</v>
      </c>
      <c r="U329" s="34" t="str">
        <f aca="false">AX329</f>
        <v/>
      </c>
      <c r="V329" s="21" t="n">
        <f aca="false">IF(U329="",0,IF(U329="transition",0,IF(U329="SW",AG329,IF(U329="AB",AH329,IF(U329="SC",AI329,IF(U329="Mag",AJ329,IF(U329="OR",AK329,IF(U329="HP",AL329,IF(U329="FP",AM329,0)))))))))</f>
        <v>0</v>
      </c>
      <c r="W329" s="27" t="n">
        <f aca="false">IF(U329="OR",Upgrades!$F$10,IF(U329="HP",Upgrades!$F$11,IF(U329="transition",-Parameters!$B$18,0)))</f>
        <v>0</v>
      </c>
      <c r="X329" s="21" t="n">
        <f aca="false">T329-V329</f>
        <v>18.6730249835055</v>
      </c>
      <c r="Y329" s="30" t="n">
        <f aca="false">M329*Parameters!$B$10/60*Parameters!$B$11+O329*M329+N329</f>
        <v>20.55</v>
      </c>
      <c r="Z329" s="35" t="str">
        <f aca="false">IF(U329="transition","→ Tier 2 (Stellar Neighborhood)",IF(U329="FP","First Photons — light begins, system quickens",IF(U329="HP","Heliopause acquired",IF(U329="OR","Orbital Resonance — passive multiplier active",IF(AND(AO329=1,L329=0,AN329&lt;&gt;1),"Cohesion ready (waiting on completionist upgrades)","")))))</f>
        <v/>
      </c>
      <c r="AA329" s="27" t="n">
        <f aca="false">(IF(E329=0,0,(Upgrades!$G$6+E329*Upgrades!$H$6)*POWER(Upgrades!$I$6,E329)))*(IF(Upgrades!$T$7="Solar Wind",POWER(Upgrades!$U$7,F329),1)*IF(Upgrades!$T$8="Solar Wind",POWER(Upgrades!$U$8,G329),1)*IF(Upgrades!$T$9="Solar Wind",POWER(Upgrades!$U$9,H329),1)*IF(Upgrades!$T$10="Solar Wind",POWER(Upgrades!$U$10,I329),1)*IF(Upgrades!$T$11="Solar Wind",POWER(Upgrades!$U$11,J329),1)*IF(Upgrades!$T$12="Solar Wind",POWER(Upgrades!$U$12,K329),1))*POWER(Upgrades!$P$6,E329)*POWER(Upgrades!$P$7,F329)*POWER(Upgrades!$P$8,G329)*POWER(Upgrades!$P$9,H329)*POWER(Upgrades!$P$10,I329)*POWER(Upgrades!$P$11,J329)*POWER(Upgrades!$P$12,K329)*60</f>
        <v>72</v>
      </c>
      <c r="AB329" s="27" t="n">
        <f aca="false">(IF(F329=0,0,(Upgrades!$G$7+F329*Upgrades!$H$7)*POWER(Upgrades!$I$7,F329)))*(IF(Upgrades!$T$6="Asteroid Belt",POWER(Upgrades!$U$6,E329),1)*IF(Upgrades!$T$8="Asteroid Belt",POWER(Upgrades!$U$8,G329),1)*IF(Upgrades!$T$9="Asteroid Belt",POWER(Upgrades!$U$9,H329),1)*IF(Upgrades!$T$10="Asteroid Belt",POWER(Upgrades!$U$10,I329),1)*IF(Upgrades!$T$11="Asteroid Belt",POWER(Upgrades!$U$11,J329),1)*IF(Upgrades!$T$12="Asteroid Belt",POWER(Upgrades!$U$12,K329),1))*POWER(Upgrades!$P$6,E329)*POWER(Upgrades!$P$7,F329)*POWER(Upgrades!$P$8,G329)*POWER(Upgrades!$P$9,H329)*POWER(Upgrades!$P$10,I329)*POWER(Upgrades!$P$11,J329)*POWER(Upgrades!$P$12,K329)*60</f>
        <v>150</v>
      </c>
      <c r="AC329" s="27" t="n">
        <f aca="false">(IF(G329=0,0,(Upgrades!$J$8+G329*Upgrades!$K$8)*POWER(Upgrades!$L$8,G329)))*(IF(Upgrades!$T$6="Stellar Coupling",POWER(Upgrades!$U$6,E329),1)*IF(Upgrades!$T$7="Stellar Coupling",POWER(Upgrades!$U$7,F329),1)*IF(Upgrades!$T$9="Stellar Coupling",POWER(Upgrades!$U$9,H329),1)*IF(Upgrades!$T$10="Stellar Coupling",POWER(Upgrades!$U$10,I329),1)*IF(Upgrades!$T$11="Stellar Coupling",POWER(Upgrades!$U$11,J329),1)*IF(Upgrades!$T$12="Stellar Coupling",POWER(Upgrades!$U$12,K329),1))*POWER(Upgrades!$Q$6,E329)*POWER(Upgrades!$Q$7,F329)*POWER(Upgrades!$Q$8,G329)*POWER(Upgrades!$Q$9,H329)*POWER(Upgrades!$Q$10,I329)*POWER(Upgrades!$Q$11,J329)*POWER(Upgrades!$Q$12,K329)*Parameters!$B$10*Parameters!$B$11</f>
        <v>441</v>
      </c>
      <c r="AD329" s="27" t="n">
        <f aca="false">(IF(H329=0,0,(Upgrades!$G$9+H329*Upgrades!$H$9)*POWER(Upgrades!$I$9,H329)))*(IF(Upgrades!$T$6="Magnetosphere",POWER(Upgrades!$U$6,E329),1)*IF(Upgrades!$T$7="Magnetosphere",POWER(Upgrades!$U$7,F329),1)*IF(Upgrades!$T$8="Magnetosphere",POWER(Upgrades!$U$8,G329),1)*IF(Upgrades!$T$10="Magnetosphere",POWER(Upgrades!$U$10,I329),1)*IF(Upgrades!$T$11="Magnetosphere",POWER(Upgrades!$U$11,J329),1)*IF(Upgrades!$T$12="Magnetosphere",POWER(Upgrades!$U$12,K329),1))*POWER(Upgrades!$P$6,E329)*POWER(Upgrades!$P$7,F329)*POWER(Upgrades!$P$8,G329)*POWER(Upgrades!$P$9,H329)*POWER(Upgrades!$P$10,I329)*POWER(Upgrades!$P$11,J329)*POWER(Upgrades!$P$12,K329)*60</f>
        <v>375</v>
      </c>
      <c r="AE329" s="27" t="n">
        <f aca="false">(IF(K329=0,0,(Upgrades!$G$12+K329*Upgrades!$H$12)*POWER(Upgrades!$I$12,K329)))*(IF(Upgrades!$T$6="First Photons",POWER(Upgrades!$U$6,E329),1)*IF(Upgrades!$T$7="First Photons",POWER(Upgrades!$U$7,F329),1)*IF(Upgrades!$T$8="First Photons",POWER(Upgrades!$U$8,G329),1)*IF(Upgrades!$T$9="First Photons",POWER(Upgrades!$U$9,H329),1)*IF(Upgrades!$T$10="First Photons",POWER(Upgrades!$U$10,I329),1)*IF(Upgrades!$T$11="First Photons",POWER(Upgrades!$U$11,J329),1))*POWER(Upgrades!$P$6,E329)*POWER(Upgrades!$P$7,F329)*POWER(Upgrades!$P$8,G329)*POWER(Upgrades!$P$9,H329)*POWER(Upgrades!$P$10,I329)*POWER(Upgrades!$P$11,J329)*POWER(Upgrades!$P$12,K329)*60</f>
        <v>75</v>
      </c>
      <c r="AF329" s="27" t="n">
        <f aca="false">Parameters!$B$9*POWER(Upgrades!$Q$6,E329)*POWER(Upgrades!$Q$7,F329)*POWER(Upgrades!$Q$8,G329)*POWER(Upgrades!$Q$9,H329)*POWER(Upgrades!$Q$10,I329)*POWER(Upgrades!$Q$11,J329)*POWER(Upgrades!$Q$12,K329)*(Parameters!$B$10*Parameters!$B$11+O329*60)</f>
        <v>120</v>
      </c>
      <c r="AG329" s="21" t="n">
        <f aca="false">IF(E329&gt;=Upgrades!$E$6,"",Upgrades!$C$6*POWER(Upgrades!$D$6,E329))</f>
        <v>37.4517507383159</v>
      </c>
      <c r="AH329" s="21" t="n">
        <f aca="false">IF(F329&gt;=Upgrades!$E$7,"",Upgrades!$C$7*POWER(Upgrades!$D$7,F329))</f>
        <v>80.9111547141581</v>
      </c>
      <c r="AI329" s="21" t="n">
        <f aca="false">IF(G329&gt;=Upgrades!$E$8,"",Upgrades!$C$8*POWER(Upgrades!$D$8,G329))</f>
        <v>231.9097088</v>
      </c>
      <c r="AJ329" s="21" t="str">
        <f aca="false">IF(H329&gt;=Upgrades!$E$9,"",Upgrades!$C$9*POWER(Upgrades!$D$9,H329))</f>
        <v/>
      </c>
      <c r="AK329" s="21" t="str">
        <f aca="false">IF(I329&gt;=Upgrades!$E$10,"",Upgrades!$C$10*POWER(Upgrades!$D$10,I329))</f>
        <v/>
      </c>
      <c r="AL329" s="21" t="str">
        <f aca="false">IF(J329&gt;=Upgrades!$E$11,"",Upgrades!$C$11*POWER(Upgrades!$D$11,J329))</f>
        <v/>
      </c>
      <c r="AM329" s="21" t="str">
        <f aca="false">IF(K329&gt;=Upgrades!$E$12,"",Upgrades!$C$12*POWER(Upgrades!$D$12,K329))</f>
        <v/>
      </c>
      <c r="AN329" s="26" t="str">
        <f aca="false">IF(AND(D329&gt;=Parameters!$B$18,(H329&gt;=Upgrades!$E$9)*(K329&gt;=Upgrades!$E$12)=1,L329=0),1,"")</f>
        <v/>
      </c>
      <c r="AO329" s="26" t="str">
        <f aca="false">IF(AND(D329&gt;=Parameters!$B$18,L329=0),1,"")</f>
        <v/>
      </c>
      <c r="AP329" s="21" t="n">
        <f aca="false">MIN(IF(ISNUMBER(AK329),AK329,9000000000000000),IF(ISNUMBER(AL329),AL329,9000000000000000),IF(ISNUMBER(AM329),AM329,9000000000000000))</f>
        <v>9000000000000000</v>
      </c>
      <c r="AQ329" s="21" t="n">
        <f aca="false">MIN(IF(ISNUMBER(AG329),AG329,9000000000000000),IF(ISNUMBER(AH329),AH329,9000000000000000),IF(ISNUMBER(AI329),AI329,9000000000000000),IF(ISNUMBER(AJ329),AJ329,9000000000000000))</f>
        <v>37.4517507383159</v>
      </c>
      <c r="AR329" s="32" t="b">
        <f aca="false">IF(AW329&gt;Parameters!$B$21*(MAX(IF(AND(NOT(AND(AO329=1,AN329&lt;&gt;1)),ISNUMBER(AG329),AG329&lt;=T329),AS329,0),IF(AND(NOT(AND(AO329=1,AN329&lt;&gt;1)),ISNUMBER(AH329),AH329&lt;=T329),AT329,0),IF(AND(NOT(AND(AO329=1,AN329&lt;&gt;1)),ISNUMBER(AI329),AI329&lt;=T329),AU329,0),IF(AND(ISNUMBER(AJ329),AJ329&lt;=T329),AV329,0))),TRUE(),FALSE())</f>
        <v>1</v>
      </c>
      <c r="AS329" s="33" t="n">
        <f aca="false">IFERROR(Upgrades!$H$6*(POWER(Upgrades!$P$6,E329)*POWER(Upgrades!$P$7,F329)*POWER(Upgrades!$P$8,G329)*POWER(Upgrades!$P$9,H329)*POWER(Upgrades!$P$10,I329)*POWER(Upgrades!$P$11,J329)*POWER(Upgrades!$P$12,K329))*(IF(Upgrades!$T$7="Solar Wind",POWER(Upgrades!$U$7,F329),1)*IF(Upgrades!$T$8="Solar Wind",POWER(Upgrades!$U$8,G329),1)*IF(Upgrades!$T$9="Solar Wind",POWER(Upgrades!$U$9,H329),1)*IF(Upgrades!$T$10="Solar Wind",POWER(Upgrades!$U$10,I329),1)*IF(Upgrades!$T$11="Solar Wind",POWER(Upgrades!$U$11,J329),1)*IF(Upgrades!$T$12="Solar Wind",POWER(Upgrades!$U$12,K329),1))/AG329,0)</f>
        <v>0.0026701021455238</v>
      </c>
      <c r="AT329" s="33" t="n">
        <f aca="false">IFERROR(Upgrades!$H$7*(POWER(Upgrades!$P$6,E329)*POWER(Upgrades!$P$7,F329)*POWER(Upgrades!$P$8,G329)*POWER(Upgrades!$P$9,H329)*POWER(Upgrades!$P$10,I329)*POWER(Upgrades!$P$11,J329)*POWER(Upgrades!$P$12,K329))*(IF(Upgrades!$T$6="Asteroid Belt",POWER(Upgrades!$U$6,E329),1)*IF(Upgrades!$T$8="Asteroid Belt",POWER(Upgrades!$U$8,G329),1)*IF(Upgrades!$T$9="Asteroid Belt",POWER(Upgrades!$U$9,H329),1)*IF(Upgrades!$T$10="Asteroid Belt",POWER(Upgrades!$U$10,I329),1)*IF(Upgrades!$T$11="Asteroid Belt",POWER(Upgrades!$U$11,J329),1)*IF(Upgrades!$T$12="Asteroid Belt",POWER(Upgrades!$U$12,K329),1))/AH329,0)</f>
        <v>0.00308980882652332</v>
      </c>
      <c r="AU329" s="33" t="n">
        <f aca="false">IFERROR(Upgrades!$K$8*(POWER(Upgrades!$Q$6,E329)*POWER(Upgrades!$Q$7,F329)*POWER(Upgrades!$Q$8,G329)*POWER(Upgrades!$Q$9,H329)*POWER(Upgrades!$Q$10,I329)*POWER(Upgrades!$Q$11,J329)*POWER(Upgrades!$Q$12,K329))*(IF(Upgrades!$T$6="Stellar Coupling",POWER(Upgrades!$U$6,E329),1)*IF(Upgrades!$T$7="Stellar Coupling",POWER(Upgrades!$U$7,F329),1)*IF(Upgrades!$T$9="Stellar Coupling",POWER(Upgrades!$U$9,H329),1)*IF(Upgrades!$T$10="Stellar Coupling",POWER(Upgrades!$U$10,I329),1)*IF(Upgrades!$T$11="Stellar Coupling",POWER(Upgrades!$U$11,J329),1)*IF(Upgrades!$T$12="Stellar Coupling",POWER(Upgrades!$U$12,K329),1))*Parameters!$B$10*Parameters!$B$11/60/AI329,0)</f>
        <v>0.00452762415783776</v>
      </c>
      <c r="AV329" s="33" t="n">
        <f aca="false">IFERROR(Upgrades!$H$9*(POWER(Upgrades!$P$6,E329)*POWER(Upgrades!$P$7,F329)*POWER(Upgrades!$P$8,G329)*POWER(Upgrades!$P$9,H329)*POWER(Upgrades!$P$10,I329)*POWER(Upgrades!$P$11,J329)*POWER(Upgrades!$P$12,K329))*(IF(Upgrades!$T$6="Magnetosphere",POWER(Upgrades!$U$6,E329),1)*IF(Upgrades!$T$7="Magnetosphere",POWER(Upgrades!$U$7,F329),1)*IF(Upgrades!$T$8="Magnetosphere",POWER(Upgrades!$U$8,G329),1)*IF(Upgrades!$T$10="Magnetosphere",POWER(Upgrades!$U$10,I329),1)*IF(Upgrades!$T$11="Magnetosphere",POWER(Upgrades!$U$11,J329),1)*IF(Upgrades!$T$12="Magnetosphere",POWER(Upgrades!$U$12,K329),1))/AJ329,0)</f>
        <v>0</v>
      </c>
      <c r="AW329" s="33" t="n">
        <f aca="false">MAX(IF(I329&gt;0,0,IFERROR(0.25*N329/Upgrades!$C$10,0)),IF(J329&gt;0,0,IFERROR(0.5*((IF(G329=0,0,(Upgrades!$J$8+G329*Upgrades!$K$8)*POWER(Upgrades!$L$8,G329)))*(IF(Upgrades!$T$6="Stellar Coupling",POWER(Upgrades!$U$6,E329),1)*IF(Upgrades!$T$7="Stellar Coupling",POWER(Upgrades!$U$7,F329),1)*IF(Upgrades!$T$9="Stellar Coupling",POWER(Upgrades!$U$9,H329),1)*IF(Upgrades!$T$10="Stellar Coupling",POWER(Upgrades!$U$10,I329),1)*IF(Upgrades!$T$11="Stellar Coupling",POWER(Upgrades!$U$11,J329),1)*IF(Upgrades!$T$12="Stellar Coupling",POWER(Upgrades!$U$12,K329),1))*(POWER(Upgrades!$Q$6,E329)*POWER(Upgrades!$Q$7,F329)*POWER(Upgrades!$Q$8,G329)*POWER(Upgrades!$Q$9,H329)*POWER(Upgrades!$Q$10,I329)*POWER(Upgrades!$Q$11,J329)*POWER(Upgrades!$Q$12,K329))*Parameters!$B$10*Parameters!$B$11/60)/Upgrades!$C$11,0)),IF(K329&gt;0,0,IFERROR((1*(POWER(Upgrades!$P$6,E329)*POWER(Upgrades!$P$7,F329)*POWER(Upgrades!$P$8,G329)*POWER(Upgrades!$P$9,H329)*POWER(Upgrades!$P$10,I329)*POWER(Upgrades!$P$11,J329)*POWER(Upgrades!$P$12,K329))+0.2*M329*Parameters!$B$10*Parameters!$B$11/60)/Upgrades!$C$12,0)),IF(AND(ISNUMBER(AG329),AG329&gt;T329),AS329,0),IF(AND(ISNUMBER(AH329),AH329&gt;T329),AT329,0),IF(AND(ISNUMBER(AI329),AI329&gt;T329),AU329,0),IF(AND(ISNUMBER(AJ329),AJ329&gt;T329),AV329,0))</f>
        <v>0.00452762415783776</v>
      </c>
      <c r="AX329" s="29" t="str">
        <f aca="false">IF(AN329=1,"transition",IF(MIN(IF(AND(I329=0,ISNUMBER(AK329),AK329&lt;=T329),AK329,9000000000000000),IF(AND(J329=0,ISNUMBER(AL329),AL329&lt;=T329),AL329,9000000000000000),IF(AND(K329=0,ISNUMBER(AM329),AM329&lt;=T329),AM329,9000000000000000))&lt;9000000000000000,IF(AND(AND(I329=0,ISNUMBER(AK329),AK329&lt;=T329),AK329=MIN(IF(AND(I329=0,ISNUMBER(AK329),AK329&lt;=T329),AK329,9000000000000000),IF(AND(J329=0,ISNUMBER(AL329),AL329&lt;=T329),AL329,9000000000000000),IF(AND(K329=0,ISNUMBER(AM329),AM329&lt;=T329),AM329,9000000000000000))),"OR",IF(AND(AND(J329=0,ISNUMBER(AL329),AL329&lt;=T329),AL329=MIN(IF(AND(I329=0,ISNUMBER(AK329),AK329&lt;=T329),AK329,9000000000000000),IF(AND(J329=0,ISNUMBER(AL329),AL329&lt;=T329),AL329,9000000000000000),IF(AND(K329=0,ISNUMBER(AM329),AM329&lt;=T329),AM329,9000000000000000))),"HP","FP")),IF(AR329=TRUE(),"",IF(MAX(IF(AND(NOT(AND(AO329=1,AN329&lt;&gt;1)),ISNUMBER(AG329),AG329&lt;=T329),AS329,0),IF(AND(NOT(AND(AO329=1,AN329&lt;&gt;1)),ISNUMBER(AH329),AH329&lt;=T329),AT329,0),IF(AND(NOT(AND(AO329=1,AN329&lt;&gt;1)),ISNUMBER(AI329),AI329&lt;=T329),AU329,0),IF(AND(ISNUMBER(AJ329),AJ329&lt;=T329),AV329,0))&lt;=0,"",IF(AND(IF(AND(NOT(AND(AO329=1,AN329&lt;&gt;1)),ISNUMBER(AG329),AG329&lt;=T329),AS329,0)&gt;0,IF(AND(NOT(AND(AO329=1,AN329&lt;&gt;1)),ISNUMBER(AG329),AG329&lt;=T329),AS329,0)=MAX(IF(AND(NOT(AND(AO329=1,AN329&lt;&gt;1)),ISNUMBER(AG329),AG329&lt;=T329),AS329,0),IF(AND(NOT(AND(AO329=1,AN329&lt;&gt;1)),ISNUMBER(AH329),AH329&lt;=T329),AT329,0),IF(AND(NOT(AND(AO329=1,AN329&lt;&gt;1)),ISNUMBER(AI329),AI329&lt;=T329),AU329,0),IF(AND(ISNUMBER(AJ329),AJ329&lt;=T329),AV329,0))),"SW",IF(AND(IF(AND(NOT(AND(AO329=1,AN329&lt;&gt;1)),ISNUMBER(AH329),AH329&lt;=T329),AT329,0)&gt;0,IF(AND(NOT(AND(AO329=1,AN329&lt;&gt;1)),ISNUMBER(AH329),AH329&lt;=T329),AT329,0)=MAX(IF(AND(NOT(AND(AO329=1,AN329&lt;&gt;1)),ISNUMBER(AG329),AG329&lt;=T329),AS329,0),IF(AND(NOT(AND(AO329=1,AN329&lt;&gt;1)),ISNUMBER(AH329),AH329&lt;=T329),AT329,0),IF(AND(NOT(AND(AO329=1,AN329&lt;&gt;1)),ISNUMBER(AI329),AI329&lt;=T329),AU329,0),IF(AND(ISNUMBER(AJ329),AJ329&lt;=T329),AV329,0))),"AB",IF(AND(IF(AND(NOT(AND(AO329=1,AN329&lt;&gt;1)),ISNUMBER(AI329),AI329&lt;=T329),AU329,0)&gt;0,IF(AND(NOT(AND(AO329=1,AN329&lt;&gt;1)),ISNUMBER(AI329),AI329&lt;=T329),AU329,0)=MAX(IF(AND(NOT(AND(AO329=1,AN329&lt;&gt;1)),ISNUMBER(AG329),AG329&lt;=T329),AS329,0),IF(AND(NOT(AND(AO329=1,AN329&lt;&gt;1)),ISNUMBER(AH329),AH329&lt;=T329),AT329,0),IF(AND(NOT(AND(AO329=1,AN329&lt;&gt;1)),ISNUMBER(AI329),AI329&lt;=T329),AU329,0),IF(AND(ISNUMBER(AJ329),AJ329&lt;=T329),AV329,0))),"SC","Mag")))))))</f>
        <v/>
      </c>
    </row>
    <row r="330" customFormat="false" ht="15" hidden="false" customHeight="false" outlineLevel="0" collapsed="false">
      <c r="A330" s="26" t="n">
        <v>325</v>
      </c>
      <c r="B330" s="27" t="n">
        <f aca="false">A330*10/60</f>
        <v>54.1666666666667</v>
      </c>
      <c r="C330" s="21" t="n">
        <f aca="false">X329</f>
        <v>18.6730249835055</v>
      </c>
      <c r="D330" s="27" t="n">
        <f aca="false">D329+W329</f>
        <v>0</v>
      </c>
      <c r="E330" s="26" t="n">
        <f aca="false">E329+IF(U329="SW",1,0)</f>
        <v>12</v>
      </c>
      <c r="F330" s="26" t="n">
        <f aca="false">F329+IF(U329="AB",1,0)</f>
        <v>10</v>
      </c>
      <c r="G330" s="26" t="n">
        <f aca="false">G329+IF(U329="SC",1,0)</f>
        <v>7</v>
      </c>
      <c r="H330" s="26" t="n">
        <f aca="false">H329+IF(U329="Mag",1,0)</f>
        <v>5</v>
      </c>
      <c r="I330" s="26" t="n">
        <f aca="false">MAX(I329,IF(U329="OR",1,0))</f>
        <v>1</v>
      </c>
      <c r="J330" s="26" t="n">
        <f aca="false">MAX(J329,IF(U329="HP",1,0))</f>
        <v>1</v>
      </c>
      <c r="K330" s="26" t="n">
        <f aca="false">MAX(K329,IF(U329="FP",1,0))</f>
        <v>1</v>
      </c>
      <c r="L330" s="26" t="n">
        <f aca="false">MAX(L329,IF(U329="transition",1,0))</f>
        <v>1</v>
      </c>
      <c r="M330" s="28" t="n">
        <f aca="false">(Parameters!$B$9+(IF(E330=0,0,(Upgrades!$J$6+E330*Upgrades!$K$6)*POWER(Upgrades!$L$6,E330)))*(IF(Upgrades!$T$7="Solar Wind",POWER(Upgrades!$U$7,F330),1)*IF(Upgrades!$T$8="Solar Wind",POWER(Upgrades!$U$8,G330),1)*IF(Upgrades!$T$9="Solar Wind",POWER(Upgrades!$U$9,H330),1)*IF(Upgrades!$T$10="Solar Wind",POWER(Upgrades!$U$10,I330),1)*IF(Upgrades!$T$11="Solar Wind",POWER(Upgrades!$U$11,J330),1)*IF(Upgrades!$T$12="Solar Wind",POWER(Upgrades!$U$12,K330),1))+(IF(F330=0,0,(Upgrades!$J$7+F330*Upgrades!$K$7)*POWER(Upgrades!$L$7,F330)))*(IF(Upgrades!$T$6="Asteroid Belt",POWER(Upgrades!$U$6,E330),1)*IF(Upgrades!$T$8="Asteroid Belt",POWER(Upgrades!$U$8,G330),1)*IF(Upgrades!$T$9="Asteroid Belt",POWER(Upgrades!$U$9,H330),1)*IF(Upgrades!$T$10="Asteroid Belt",POWER(Upgrades!$U$10,I330),1)*IF(Upgrades!$T$11="Asteroid Belt",POWER(Upgrades!$U$11,J330),1)*IF(Upgrades!$T$12="Asteroid Belt",POWER(Upgrades!$U$12,K330),1))+(IF(G330=0,0,(Upgrades!$J$8+G330*Upgrades!$K$8)*POWER(Upgrades!$L$8,G330)))*(IF(Upgrades!$T$6="Stellar Coupling",POWER(Upgrades!$U$6,E330),1)*IF(Upgrades!$T$7="Stellar Coupling",POWER(Upgrades!$U$7,F330),1)*IF(Upgrades!$T$9="Stellar Coupling",POWER(Upgrades!$U$9,H330),1)*IF(Upgrades!$T$10="Stellar Coupling",POWER(Upgrades!$U$10,I330),1)*IF(Upgrades!$T$11="Stellar Coupling",POWER(Upgrades!$U$11,J330),1)*IF(Upgrades!$T$12="Stellar Coupling",POWER(Upgrades!$U$12,K330),1))+(IF(H330=0,0,(Upgrades!$J$9+H330*Upgrades!$K$9)*POWER(Upgrades!$L$9,H330)))*(IF(Upgrades!$T$6="Magnetosphere",POWER(Upgrades!$U$6,E330),1)*IF(Upgrades!$T$7="Magnetosphere",POWER(Upgrades!$U$7,F330),1)*IF(Upgrades!$T$8="Magnetosphere",POWER(Upgrades!$U$8,G330),1)*IF(Upgrades!$T$10="Magnetosphere",POWER(Upgrades!$U$10,I330),1)*IF(Upgrades!$T$11="Magnetosphere",POWER(Upgrades!$U$11,J330),1)*IF(Upgrades!$T$12="Magnetosphere",POWER(Upgrades!$U$12,K330),1))+(IF(I330=0,0,(Upgrades!$J$10+I330*Upgrades!$K$10)*POWER(Upgrades!$L$10,I330)))*(IF(Upgrades!$T$6="Orbital Resonance",POWER(Upgrades!$U$6,E330),1)*IF(Upgrades!$T$7="Orbital Resonance",POWER(Upgrades!$U$7,F330),1)*IF(Upgrades!$T$8="Orbital Resonance",POWER(Upgrades!$U$8,G330),1)*IF(Upgrades!$T$9="Orbital Resonance",POWER(Upgrades!$U$9,H330),1)*IF(Upgrades!$T$11="Orbital Resonance",POWER(Upgrades!$U$11,J330),1)*IF(Upgrades!$T$12="Orbital Resonance",POWER(Upgrades!$U$12,K330),1))+(IF(J330=0,0,(Upgrades!$J$11+J330*Upgrades!$K$11)*POWER(Upgrades!$L$11,J330)))*(IF(Upgrades!$T$6="Heliopause",POWER(Upgrades!$U$6,E330),1)*IF(Upgrades!$T$7="Heliopause",POWER(Upgrades!$U$7,F330),1)*IF(Upgrades!$T$8="Heliopause",POWER(Upgrades!$U$8,G330),1)*IF(Upgrades!$T$9="Heliopause",POWER(Upgrades!$U$9,H330),1)*IF(Upgrades!$T$10="Heliopause",POWER(Upgrades!$U$10,I330),1)*IF(Upgrades!$T$12="Heliopause",POWER(Upgrades!$U$12,K330),1))+(IF(K330=0,0,(Upgrades!$J$12+K330*Upgrades!$K$12)*POWER(Upgrades!$L$12,K330)))*(IF(Upgrades!$T$6="First Photons",POWER(Upgrades!$U$6,E330),1)*IF(Upgrades!$T$7="First Photons",POWER(Upgrades!$U$7,F330),1)*IF(Upgrades!$T$8="First Photons",POWER(Upgrades!$U$8,G330),1)*IF(Upgrades!$T$9="First Photons",POWER(Upgrades!$U$9,H330),1)*IF(Upgrades!$T$10="First Photons",POWER(Upgrades!$U$10,I330),1)*IF(Upgrades!$T$11="First Photons",POWER(Upgrades!$U$11,J330),1)))*POWER(Upgrades!$Q$6,E330)*POWER(Upgrades!$Q$7,F330)*POWER(Upgrades!$Q$8,G330)*POWER(Upgrades!$Q$9,H330)*POWER(Upgrades!$Q$10,I330)*POWER(Upgrades!$Q$11,J330)*POWER(Upgrades!$Q$12,K330)</f>
        <v>5.61</v>
      </c>
      <c r="N330" s="28" t="n">
        <f aca="false">((IF(E330=0,0,(Upgrades!$G$6+E330*Upgrades!$H$6)*POWER(Upgrades!$I$6,E330)))*(IF(Upgrades!$T$7="Solar Wind",POWER(Upgrades!$U$7,F330),1)*IF(Upgrades!$T$8="Solar Wind",POWER(Upgrades!$U$8,G330),1)*IF(Upgrades!$T$9="Solar Wind",POWER(Upgrades!$U$9,H330),1)*IF(Upgrades!$T$10="Solar Wind",POWER(Upgrades!$U$10,I330),1)*IF(Upgrades!$T$11="Solar Wind",POWER(Upgrades!$U$11,J330),1)*IF(Upgrades!$T$12="Solar Wind",POWER(Upgrades!$U$12,K330),1))+(IF(F330=0,0,(Upgrades!$G$7+F330*Upgrades!$H$7)*POWER(Upgrades!$I$7,F330)))*(IF(Upgrades!$T$6="Asteroid Belt",POWER(Upgrades!$U$6,E330),1)*IF(Upgrades!$T$8="Asteroid Belt",POWER(Upgrades!$U$8,G330),1)*IF(Upgrades!$T$9="Asteroid Belt",POWER(Upgrades!$U$9,H330),1)*IF(Upgrades!$T$10="Asteroid Belt",POWER(Upgrades!$U$10,I330),1)*IF(Upgrades!$T$11="Asteroid Belt",POWER(Upgrades!$U$11,J330),1)*IF(Upgrades!$T$12="Asteroid Belt",POWER(Upgrades!$U$12,K330),1))+(IF(G330=0,0,(Upgrades!$G$8+G330*Upgrades!$H$8)*POWER(Upgrades!$I$8,G330)))*(IF(Upgrades!$T$6="Stellar Coupling",POWER(Upgrades!$U$6,E330),1)*IF(Upgrades!$T$7="Stellar Coupling",POWER(Upgrades!$U$7,F330),1)*IF(Upgrades!$T$9="Stellar Coupling",POWER(Upgrades!$U$9,H330),1)*IF(Upgrades!$T$10="Stellar Coupling",POWER(Upgrades!$U$10,I330),1)*IF(Upgrades!$T$11="Stellar Coupling",POWER(Upgrades!$U$11,J330),1)*IF(Upgrades!$T$12="Stellar Coupling",POWER(Upgrades!$U$12,K330),1))+(IF(H330=0,0,(Upgrades!$G$9+H330*Upgrades!$H$9)*POWER(Upgrades!$I$9,H330)))*(IF(Upgrades!$T$6="Magnetosphere",POWER(Upgrades!$U$6,E330),1)*IF(Upgrades!$T$7="Magnetosphere",POWER(Upgrades!$U$7,F330),1)*IF(Upgrades!$T$8="Magnetosphere",POWER(Upgrades!$U$8,G330),1)*IF(Upgrades!$T$10="Magnetosphere",POWER(Upgrades!$U$10,I330),1)*IF(Upgrades!$T$11="Magnetosphere",POWER(Upgrades!$U$11,J330),1)*IF(Upgrades!$T$12="Magnetosphere",POWER(Upgrades!$U$12,K330),1))+(IF(I330=0,0,(Upgrades!$G$10+I330*Upgrades!$H$10)*POWER(Upgrades!$I$10,I330)))*(IF(Upgrades!$T$6="Orbital Resonance",POWER(Upgrades!$U$6,E330),1)*IF(Upgrades!$T$7="Orbital Resonance",POWER(Upgrades!$U$7,F330),1)*IF(Upgrades!$T$8="Orbital Resonance",POWER(Upgrades!$U$8,G330),1)*IF(Upgrades!$T$9="Orbital Resonance",POWER(Upgrades!$U$9,H330),1)*IF(Upgrades!$T$11="Orbital Resonance",POWER(Upgrades!$U$11,J330),1)*IF(Upgrades!$T$12="Orbital Resonance",POWER(Upgrades!$U$12,K330),1))+(IF(J330=0,0,(Upgrades!$G$11+J330*Upgrades!$H$11)*POWER(Upgrades!$I$11,J330)))*(IF(Upgrades!$T$6="Heliopause",POWER(Upgrades!$U$6,E330),1)*IF(Upgrades!$T$7="Heliopause",POWER(Upgrades!$U$7,F330),1)*IF(Upgrades!$T$8="Heliopause",POWER(Upgrades!$U$8,G330),1)*IF(Upgrades!$T$9="Heliopause",POWER(Upgrades!$U$9,H330),1)*IF(Upgrades!$T$10="Heliopause",POWER(Upgrades!$U$10,I330),1)*IF(Upgrades!$T$12="Heliopause",POWER(Upgrades!$U$12,K330),1))+(IF(K330=0,0,(Upgrades!$G$12+K330*Upgrades!$H$12)*POWER(Upgrades!$I$12,K330)))*(IF(Upgrades!$T$6="First Photons",POWER(Upgrades!$U$6,E330),1)*IF(Upgrades!$T$7="First Photons",POWER(Upgrades!$U$7,F330),1)*IF(Upgrades!$T$8="First Photons",POWER(Upgrades!$U$8,G330),1)*IF(Upgrades!$T$9="First Photons",POWER(Upgrades!$U$9,H330),1)*IF(Upgrades!$T$10="First Photons",POWER(Upgrades!$U$10,I330),1)*IF(Upgrades!$T$11="First Photons",POWER(Upgrades!$U$11,J330),1)))*POWER(Upgrades!$P$6,E330)*POWER(Upgrades!$P$7,F330)*POWER(Upgrades!$P$8,G330)*POWER(Upgrades!$P$9,H330)*POWER(Upgrades!$P$10,I330)*POWER(Upgrades!$P$11,J330)*POWER(Upgrades!$P$12,K330)</f>
        <v>11.2</v>
      </c>
      <c r="O330" s="28" t="n">
        <f aca="false">((IF(E330=0,0,(Upgrades!$M$6+E330*Upgrades!$N$6)*POWER(Upgrades!$O$6,E330)))*(IF(Upgrades!$T$7="Solar Wind",POWER(Upgrades!$U$7,F330),1)*IF(Upgrades!$T$8="Solar Wind",POWER(Upgrades!$U$8,G330),1)*IF(Upgrades!$T$9="Solar Wind",POWER(Upgrades!$U$9,H330),1)*IF(Upgrades!$T$10="Solar Wind",POWER(Upgrades!$U$10,I330),1)*IF(Upgrades!$T$11="Solar Wind",POWER(Upgrades!$U$11,J330),1)*IF(Upgrades!$T$12="Solar Wind",POWER(Upgrades!$U$12,K330),1))+(IF(F330=0,0,(Upgrades!$M$7+F330*Upgrades!$N$7)*POWER(Upgrades!$O$7,F330)))*(IF(Upgrades!$T$6="Asteroid Belt",POWER(Upgrades!$U$6,E330),1)*IF(Upgrades!$T$8="Asteroid Belt",POWER(Upgrades!$U$8,G330),1)*IF(Upgrades!$T$9="Asteroid Belt",POWER(Upgrades!$U$9,H330),1)*IF(Upgrades!$T$10="Asteroid Belt",POWER(Upgrades!$U$10,I330),1)*IF(Upgrades!$T$11="Asteroid Belt",POWER(Upgrades!$U$11,J330),1)*IF(Upgrades!$T$12="Asteroid Belt",POWER(Upgrades!$U$12,K330),1))+(IF(G330=0,0,(Upgrades!$M$8+G330*Upgrades!$N$8)*POWER(Upgrades!$O$8,G330)))*(IF(Upgrades!$T$6="Stellar Coupling",POWER(Upgrades!$U$6,E330),1)*IF(Upgrades!$T$7="Stellar Coupling",POWER(Upgrades!$U$7,F330),1)*IF(Upgrades!$T$9="Stellar Coupling",POWER(Upgrades!$U$9,H330),1)*IF(Upgrades!$T$10="Stellar Coupling",POWER(Upgrades!$U$10,I330),1)*IF(Upgrades!$T$11="Stellar Coupling",POWER(Upgrades!$U$11,J330),1)*IF(Upgrades!$T$12="Stellar Coupling",POWER(Upgrades!$U$12,K330),1))+(IF(H330=0,0,(Upgrades!$M$9+H330*Upgrades!$N$9)*POWER(Upgrades!$O$9,H330)))*(IF(Upgrades!$T$6="Magnetosphere",POWER(Upgrades!$U$6,E330),1)*IF(Upgrades!$T$7="Magnetosphere",POWER(Upgrades!$U$7,F330),1)*IF(Upgrades!$T$8="Magnetosphere",POWER(Upgrades!$U$8,G330),1)*IF(Upgrades!$T$10="Magnetosphere",POWER(Upgrades!$U$10,I330),1)*IF(Upgrades!$T$11="Magnetosphere",POWER(Upgrades!$U$11,J330),1)*IF(Upgrades!$T$12="Magnetosphere",POWER(Upgrades!$U$12,K330),1))+(IF(I330=0,0,(Upgrades!$M$10+I330*Upgrades!$N$10)*POWER(Upgrades!$O$10,I330)))*(IF(Upgrades!$T$6="Orbital Resonance",POWER(Upgrades!$U$6,E330),1)*IF(Upgrades!$T$7="Orbital Resonance",POWER(Upgrades!$U$7,F330),1)*IF(Upgrades!$T$8="Orbital Resonance",POWER(Upgrades!$U$8,G330),1)*IF(Upgrades!$T$9="Orbital Resonance",POWER(Upgrades!$U$9,H330),1)*IF(Upgrades!$T$11="Orbital Resonance",POWER(Upgrades!$U$11,J330),1)*IF(Upgrades!$T$12="Orbital Resonance",POWER(Upgrades!$U$12,K330),1))+(IF(J330=0,0,(Upgrades!$M$11+J330*Upgrades!$N$11)*POWER(Upgrades!$O$11,J330)))*(IF(Upgrades!$T$6="Heliopause",POWER(Upgrades!$U$6,E330),1)*IF(Upgrades!$T$7="Heliopause",POWER(Upgrades!$U$7,F330),1)*IF(Upgrades!$T$8="Heliopause",POWER(Upgrades!$U$8,G330),1)*IF(Upgrades!$T$9="Heliopause",POWER(Upgrades!$U$9,H330),1)*IF(Upgrades!$T$10="Heliopause",POWER(Upgrades!$U$10,I330),1)*IF(Upgrades!$T$12="Heliopause",POWER(Upgrades!$U$12,K330),1))+(IF(K330=0,0,(Upgrades!$M$12+K330*Upgrades!$N$12)*POWER(Upgrades!$O$12,K330)))*(IF(Upgrades!$T$6="First Photons",POWER(Upgrades!$U$6,E330),1)*IF(Upgrades!$T$7="First Photons",POWER(Upgrades!$U$7,F330),1)*IF(Upgrades!$T$8="First Photons",POWER(Upgrades!$U$8,G330),1)*IF(Upgrades!$T$9="First Photons",POWER(Upgrades!$U$9,H330),1)*IF(Upgrades!$T$10="First Photons",POWER(Upgrades!$U$10,I330),1)*IF(Upgrades!$T$11="First Photons",POWER(Upgrades!$U$11,J330),1)))*POWER(Upgrades!$R$6,E330)*POWER(Upgrades!$R$7,F330)*POWER(Upgrades!$R$8,G330)*POWER(Upgrades!$R$9,H330)*POWER(Upgrades!$R$10,I330)*POWER(Upgrades!$R$11,J330)*POWER(Upgrades!$R$12,K330)</f>
        <v>0</v>
      </c>
      <c r="P330" s="27" t="n">
        <f aca="false">IF(L330=1,0,M330*Parameters!$B$10/60*Parameters!$B$11*10)</f>
        <v>0</v>
      </c>
      <c r="Q330" s="27" t="n">
        <f aca="false">IF(L330=1,0,O330*M330*10)</f>
        <v>0</v>
      </c>
      <c r="R330" s="27" t="n">
        <f aca="false">IF(L330=1,0,N330*10)</f>
        <v>0</v>
      </c>
      <c r="S330" s="27" t="n">
        <f aca="false">P330+Q330+R330</f>
        <v>0</v>
      </c>
      <c r="T330" s="21" t="n">
        <f aca="false">C330+S330</f>
        <v>18.6730249835055</v>
      </c>
      <c r="U330" s="34" t="str">
        <f aca="false">AX330</f>
        <v/>
      </c>
      <c r="V330" s="21" t="n">
        <f aca="false">IF(U330="",0,IF(U330="transition",0,IF(U330="SW",AG330,IF(U330="AB",AH330,IF(U330="SC",AI330,IF(U330="Mag",AJ330,IF(U330="OR",AK330,IF(U330="HP",AL330,IF(U330="FP",AM330,0)))))))))</f>
        <v>0</v>
      </c>
      <c r="W330" s="27" t="n">
        <f aca="false">IF(U330="OR",Upgrades!$F$10,IF(U330="HP",Upgrades!$F$11,IF(U330="transition",-Parameters!$B$18,0)))</f>
        <v>0</v>
      </c>
      <c r="X330" s="21" t="n">
        <f aca="false">T330-V330</f>
        <v>18.6730249835055</v>
      </c>
      <c r="Y330" s="30" t="n">
        <f aca="false">M330*Parameters!$B$10/60*Parameters!$B$11+O330*M330+N330</f>
        <v>20.55</v>
      </c>
      <c r="Z330" s="35" t="str">
        <f aca="false">IF(U330="transition","→ Tier 2 (Stellar Neighborhood)",IF(U330="FP","First Photons — light begins, system quickens",IF(U330="HP","Heliopause acquired",IF(U330="OR","Orbital Resonance — passive multiplier active",IF(AND(AO330=1,L330=0,AN330&lt;&gt;1),"Cohesion ready (waiting on completionist upgrades)","")))))</f>
        <v/>
      </c>
      <c r="AA330" s="27" t="n">
        <f aca="false">(IF(E330=0,0,(Upgrades!$G$6+E330*Upgrades!$H$6)*POWER(Upgrades!$I$6,E330)))*(IF(Upgrades!$T$7="Solar Wind",POWER(Upgrades!$U$7,F330),1)*IF(Upgrades!$T$8="Solar Wind",POWER(Upgrades!$U$8,G330),1)*IF(Upgrades!$T$9="Solar Wind",POWER(Upgrades!$U$9,H330),1)*IF(Upgrades!$T$10="Solar Wind",POWER(Upgrades!$U$10,I330),1)*IF(Upgrades!$T$11="Solar Wind",POWER(Upgrades!$U$11,J330),1)*IF(Upgrades!$T$12="Solar Wind",POWER(Upgrades!$U$12,K330),1))*POWER(Upgrades!$P$6,E330)*POWER(Upgrades!$P$7,F330)*POWER(Upgrades!$P$8,G330)*POWER(Upgrades!$P$9,H330)*POWER(Upgrades!$P$10,I330)*POWER(Upgrades!$P$11,J330)*POWER(Upgrades!$P$12,K330)*60</f>
        <v>72</v>
      </c>
      <c r="AB330" s="27" t="n">
        <f aca="false">(IF(F330=0,0,(Upgrades!$G$7+F330*Upgrades!$H$7)*POWER(Upgrades!$I$7,F330)))*(IF(Upgrades!$T$6="Asteroid Belt",POWER(Upgrades!$U$6,E330),1)*IF(Upgrades!$T$8="Asteroid Belt",POWER(Upgrades!$U$8,G330),1)*IF(Upgrades!$T$9="Asteroid Belt",POWER(Upgrades!$U$9,H330),1)*IF(Upgrades!$T$10="Asteroid Belt",POWER(Upgrades!$U$10,I330),1)*IF(Upgrades!$T$11="Asteroid Belt",POWER(Upgrades!$U$11,J330),1)*IF(Upgrades!$T$12="Asteroid Belt",POWER(Upgrades!$U$12,K330),1))*POWER(Upgrades!$P$6,E330)*POWER(Upgrades!$P$7,F330)*POWER(Upgrades!$P$8,G330)*POWER(Upgrades!$P$9,H330)*POWER(Upgrades!$P$10,I330)*POWER(Upgrades!$P$11,J330)*POWER(Upgrades!$P$12,K330)*60</f>
        <v>150</v>
      </c>
      <c r="AC330" s="27" t="n">
        <f aca="false">(IF(G330=0,0,(Upgrades!$J$8+G330*Upgrades!$K$8)*POWER(Upgrades!$L$8,G330)))*(IF(Upgrades!$T$6="Stellar Coupling",POWER(Upgrades!$U$6,E330),1)*IF(Upgrades!$T$7="Stellar Coupling",POWER(Upgrades!$U$7,F330),1)*IF(Upgrades!$T$9="Stellar Coupling",POWER(Upgrades!$U$9,H330),1)*IF(Upgrades!$T$10="Stellar Coupling",POWER(Upgrades!$U$10,I330),1)*IF(Upgrades!$T$11="Stellar Coupling",POWER(Upgrades!$U$11,J330),1)*IF(Upgrades!$T$12="Stellar Coupling",POWER(Upgrades!$U$12,K330),1))*POWER(Upgrades!$Q$6,E330)*POWER(Upgrades!$Q$7,F330)*POWER(Upgrades!$Q$8,G330)*POWER(Upgrades!$Q$9,H330)*POWER(Upgrades!$Q$10,I330)*POWER(Upgrades!$Q$11,J330)*POWER(Upgrades!$Q$12,K330)*Parameters!$B$10*Parameters!$B$11</f>
        <v>441</v>
      </c>
      <c r="AD330" s="27" t="n">
        <f aca="false">(IF(H330=0,0,(Upgrades!$G$9+H330*Upgrades!$H$9)*POWER(Upgrades!$I$9,H330)))*(IF(Upgrades!$T$6="Magnetosphere",POWER(Upgrades!$U$6,E330),1)*IF(Upgrades!$T$7="Magnetosphere",POWER(Upgrades!$U$7,F330),1)*IF(Upgrades!$T$8="Magnetosphere",POWER(Upgrades!$U$8,G330),1)*IF(Upgrades!$T$10="Magnetosphere",POWER(Upgrades!$U$10,I330),1)*IF(Upgrades!$T$11="Magnetosphere",POWER(Upgrades!$U$11,J330),1)*IF(Upgrades!$T$12="Magnetosphere",POWER(Upgrades!$U$12,K330),1))*POWER(Upgrades!$P$6,E330)*POWER(Upgrades!$P$7,F330)*POWER(Upgrades!$P$8,G330)*POWER(Upgrades!$P$9,H330)*POWER(Upgrades!$P$10,I330)*POWER(Upgrades!$P$11,J330)*POWER(Upgrades!$P$12,K330)*60</f>
        <v>375</v>
      </c>
      <c r="AE330" s="27" t="n">
        <f aca="false">(IF(K330=0,0,(Upgrades!$G$12+K330*Upgrades!$H$12)*POWER(Upgrades!$I$12,K330)))*(IF(Upgrades!$T$6="First Photons",POWER(Upgrades!$U$6,E330),1)*IF(Upgrades!$T$7="First Photons",POWER(Upgrades!$U$7,F330),1)*IF(Upgrades!$T$8="First Photons",POWER(Upgrades!$U$8,G330),1)*IF(Upgrades!$T$9="First Photons",POWER(Upgrades!$U$9,H330),1)*IF(Upgrades!$T$10="First Photons",POWER(Upgrades!$U$10,I330),1)*IF(Upgrades!$T$11="First Photons",POWER(Upgrades!$U$11,J330),1))*POWER(Upgrades!$P$6,E330)*POWER(Upgrades!$P$7,F330)*POWER(Upgrades!$P$8,G330)*POWER(Upgrades!$P$9,H330)*POWER(Upgrades!$P$10,I330)*POWER(Upgrades!$P$11,J330)*POWER(Upgrades!$P$12,K330)*60</f>
        <v>75</v>
      </c>
      <c r="AF330" s="27" t="n">
        <f aca="false">Parameters!$B$9*POWER(Upgrades!$Q$6,E330)*POWER(Upgrades!$Q$7,F330)*POWER(Upgrades!$Q$8,G330)*POWER(Upgrades!$Q$9,H330)*POWER(Upgrades!$Q$10,I330)*POWER(Upgrades!$Q$11,J330)*POWER(Upgrades!$Q$12,K330)*(Parameters!$B$10*Parameters!$B$11+O330*60)</f>
        <v>120</v>
      </c>
      <c r="AG330" s="21" t="n">
        <f aca="false">IF(E330&gt;=Upgrades!$E$6,"",Upgrades!$C$6*POWER(Upgrades!$D$6,E330))</f>
        <v>37.4517507383159</v>
      </c>
      <c r="AH330" s="21" t="n">
        <f aca="false">IF(F330&gt;=Upgrades!$E$7,"",Upgrades!$C$7*POWER(Upgrades!$D$7,F330))</f>
        <v>80.9111547141581</v>
      </c>
      <c r="AI330" s="21" t="n">
        <f aca="false">IF(G330&gt;=Upgrades!$E$8,"",Upgrades!$C$8*POWER(Upgrades!$D$8,G330))</f>
        <v>231.9097088</v>
      </c>
      <c r="AJ330" s="21" t="str">
        <f aca="false">IF(H330&gt;=Upgrades!$E$9,"",Upgrades!$C$9*POWER(Upgrades!$D$9,H330))</f>
        <v/>
      </c>
      <c r="AK330" s="21" t="str">
        <f aca="false">IF(I330&gt;=Upgrades!$E$10,"",Upgrades!$C$10*POWER(Upgrades!$D$10,I330))</f>
        <v/>
      </c>
      <c r="AL330" s="21" t="str">
        <f aca="false">IF(J330&gt;=Upgrades!$E$11,"",Upgrades!$C$11*POWER(Upgrades!$D$11,J330))</f>
        <v/>
      </c>
      <c r="AM330" s="21" t="str">
        <f aca="false">IF(K330&gt;=Upgrades!$E$12,"",Upgrades!$C$12*POWER(Upgrades!$D$12,K330))</f>
        <v/>
      </c>
      <c r="AN330" s="26" t="str">
        <f aca="false">IF(AND(D330&gt;=Parameters!$B$18,(H330&gt;=Upgrades!$E$9)*(K330&gt;=Upgrades!$E$12)=1,L330=0),1,"")</f>
        <v/>
      </c>
      <c r="AO330" s="26" t="str">
        <f aca="false">IF(AND(D330&gt;=Parameters!$B$18,L330=0),1,"")</f>
        <v/>
      </c>
      <c r="AP330" s="21" t="n">
        <f aca="false">MIN(IF(ISNUMBER(AK330),AK330,9000000000000000),IF(ISNUMBER(AL330),AL330,9000000000000000),IF(ISNUMBER(AM330),AM330,9000000000000000))</f>
        <v>9000000000000000</v>
      </c>
      <c r="AQ330" s="21" t="n">
        <f aca="false">MIN(IF(ISNUMBER(AG330),AG330,9000000000000000),IF(ISNUMBER(AH330),AH330,9000000000000000),IF(ISNUMBER(AI330),AI330,9000000000000000),IF(ISNUMBER(AJ330),AJ330,9000000000000000))</f>
        <v>37.4517507383159</v>
      </c>
      <c r="AR330" s="32" t="b">
        <f aca="false">IF(AW330&gt;Parameters!$B$21*(MAX(IF(AND(NOT(AND(AO330=1,AN330&lt;&gt;1)),ISNUMBER(AG330),AG330&lt;=T330),AS330,0),IF(AND(NOT(AND(AO330=1,AN330&lt;&gt;1)),ISNUMBER(AH330),AH330&lt;=T330),AT330,0),IF(AND(NOT(AND(AO330=1,AN330&lt;&gt;1)),ISNUMBER(AI330),AI330&lt;=T330),AU330,0),IF(AND(ISNUMBER(AJ330),AJ330&lt;=T330),AV330,0))),TRUE(),FALSE())</f>
        <v>1</v>
      </c>
      <c r="AS330" s="33" t="n">
        <f aca="false">IFERROR(Upgrades!$H$6*(POWER(Upgrades!$P$6,E330)*POWER(Upgrades!$P$7,F330)*POWER(Upgrades!$P$8,G330)*POWER(Upgrades!$P$9,H330)*POWER(Upgrades!$P$10,I330)*POWER(Upgrades!$P$11,J330)*POWER(Upgrades!$P$12,K330))*(IF(Upgrades!$T$7="Solar Wind",POWER(Upgrades!$U$7,F330),1)*IF(Upgrades!$T$8="Solar Wind",POWER(Upgrades!$U$8,G330),1)*IF(Upgrades!$T$9="Solar Wind",POWER(Upgrades!$U$9,H330),1)*IF(Upgrades!$T$10="Solar Wind",POWER(Upgrades!$U$10,I330),1)*IF(Upgrades!$T$11="Solar Wind",POWER(Upgrades!$U$11,J330),1)*IF(Upgrades!$T$12="Solar Wind",POWER(Upgrades!$U$12,K330),1))/AG330,0)</f>
        <v>0.0026701021455238</v>
      </c>
      <c r="AT330" s="33" t="n">
        <f aca="false">IFERROR(Upgrades!$H$7*(POWER(Upgrades!$P$6,E330)*POWER(Upgrades!$P$7,F330)*POWER(Upgrades!$P$8,G330)*POWER(Upgrades!$P$9,H330)*POWER(Upgrades!$P$10,I330)*POWER(Upgrades!$P$11,J330)*POWER(Upgrades!$P$12,K330))*(IF(Upgrades!$T$6="Asteroid Belt",POWER(Upgrades!$U$6,E330),1)*IF(Upgrades!$T$8="Asteroid Belt",POWER(Upgrades!$U$8,G330),1)*IF(Upgrades!$T$9="Asteroid Belt",POWER(Upgrades!$U$9,H330),1)*IF(Upgrades!$T$10="Asteroid Belt",POWER(Upgrades!$U$10,I330),1)*IF(Upgrades!$T$11="Asteroid Belt",POWER(Upgrades!$U$11,J330),1)*IF(Upgrades!$T$12="Asteroid Belt",POWER(Upgrades!$U$12,K330),1))/AH330,0)</f>
        <v>0.00308980882652332</v>
      </c>
      <c r="AU330" s="33" t="n">
        <f aca="false">IFERROR(Upgrades!$K$8*(POWER(Upgrades!$Q$6,E330)*POWER(Upgrades!$Q$7,F330)*POWER(Upgrades!$Q$8,G330)*POWER(Upgrades!$Q$9,H330)*POWER(Upgrades!$Q$10,I330)*POWER(Upgrades!$Q$11,J330)*POWER(Upgrades!$Q$12,K330))*(IF(Upgrades!$T$6="Stellar Coupling",POWER(Upgrades!$U$6,E330),1)*IF(Upgrades!$T$7="Stellar Coupling",POWER(Upgrades!$U$7,F330),1)*IF(Upgrades!$T$9="Stellar Coupling",POWER(Upgrades!$U$9,H330),1)*IF(Upgrades!$T$10="Stellar Coupling",POWER(Upgrades!$U$10,I330),1)*IF(Upgrades!$T$11="Stellar Coupling",POWER(Upgrades!$U$11,J330),1)*IF(Upgrades!$T$12="Stellar Coupling",POWER(Upgrades!$U$12,K330),1))*Parameters!$B$10*Parameters!$B$11/60/AI330,0)</f>
        <v>0.00452762415783776</v>
      </c>
      <c r="AV330" s="33" t="n">
        <f aca="false">IFERROR(Upgrades!$H$9*(POWER(Upgrades!$P$6,E330)*POWER(Upgrades!$P$7,F330)*POWER(Upgrades!$P$8,G330)*POWER(Upgrades!$P$9,H330)*POWER(Upgrades!$P$10,I330)*POWER(Upgrades!$P$11,J330)*POWER(Upgrades!$P$12,K330))*(IF(Upgrades!$T$6="Magnetosphere",POWER(Upgrades!$U$6,E330),1)*IF(Upgrades!$T$7="Magnetosphere",POWER(Upgrades!$U$7,F330),1)*IF(Upgrades!$T$8="Magnetosphere",POWER(Upgrades!$U$8,G330),1)*IF(Upgrades!$T$10="Magnetosphere",POWER(Upgrades!$U$10,I330),1)*IF(Upgrades!$T$11="Magnetosphere",POWER(Upgrades!$U$11,J330),1)*IF(Upgrades!$T$12="Magnetosphere",POWER(Upgrades!$U$12,K330),1))/AJ330,0)</f>
        <v>0</v>
      </c>
      <c r="AW330" s="33" t="n">
        <f aca="false">MAX(IF(I330&gt;0,0,IFERROR(0.25*N330/Upgrades!$C$10,0)),IF(J330&gt;0,0,IFERROR(0.5*((IF(G330=0,0,(Upgrades!$J$8+G330*Upgrades!$K$8)*POWER(Upgrades!$L$8,G330)))*(IF(Upgrades!$T$6="Stellar Coupling",POWER(Upgrades!$U$6,E330),1)*IF(Upgrades!$T$7="Stellar Coupling",POWER(Upgrades!$U$7,F330),1)*IF(Upgrades!$T$9="Stellar Coupling",POWER(Upgrades!$U$9,H330),1)*IF(Upgrades!$T$10="Stellar Coupling",POWER(Upgrades!$U$10,I330),1)*IF(Upgrades!$T$11="Stellar Coupling",POWER(Upgrades!$U$11,J330),1)*IF(Upgrades!$T$12="Stellar Coupling",POWER(Upgrades!$U$12,K330),1))*(POWER(Upgrades!$Q$6,E330)*POWER(Upgrades!$Q$7,F330)*POWER(Upgrades!$Q$8,G330)*POWER(Upgrades!$Q$9,H330)*POWER(Upgrades!$Q$10,I330)*POWER(Upgrades!$Q$11,J330)*POWER(Upgrades!$Q$12,K330))*Parameters!$B$10*Parameters!$B$11/60)/Upgrades!$C$11,0)),IF(K330&gt;0,0,IFERROR((1*(POWER(Upgrades!$P$6,E330)*POWER(Upgrades!$P$7,F330)*POWER(Upgrades!$P$8,G330)*POWER(Upgrades!$P$9,H330)*POWER(Upgrades!$P$10,I330)*POWER(Upgrades!$P$11,J330)*POWER(Upgrades!$P$12,K330))+0.2*M330*Parameters!$B$10*Parameters!$B$11/60)/Upgrades!$C$12,0)),IF(AND(ISNUMBER(AG330),AG330&gt;T330),AS330,0),IF(AND(ISNUMBER(AH330),AH330&gt;T330),AT330,0),IF(AND(ISNUMBER(AI330),AI330&gt;T330),AU330,0),IF(AND(ISNUMBER(AJ330),AJ330&gt;T330),AV330,0))</f>
        <v>0.00452762415783776</v>
      </c>
      <c r="AX330" s="29" t="str">
        <f aca="false">IF(AN330=1,"transition",IF(MIN(IF(AND(I330=0,ISNUMBER(AK330),AK330&lt;=T330),AK330,9000000000000000),IF(AND(J330=0,ISNUMBER(AL330),AL330&lt;=T330),AL330,9000000000000000),IF(AND(K330=0,ISNUMBER(AM330),AM330&lt;=T330),AM330,9000000000000000))&lt;9000000000000000,IF(AND(AND(I330=0,ISNUMBER(AK330),AK330&lt;=T330),AK330=MIN(IF(AND(I330=0,ISNUMBER(AK330),AK330&lt;=T330),AK330,9000000000000000),IF(AND(J330=0,ISNUMBER(AL330),AL330&lt;=T330),AL330,9000000000000000),IF(AND(K330=0,ISNUMBER(AM330),AM330&lt;=T330),AM330,9000000000000000))),"OR",IF(AND(AND(J330=0,ISNUMBER(AL330),AL330&lt;=T330),AL330=MIN(IF(AND(I330=0,ISNUMBER(AK330),AK330&lt;=T330),AK330,9000000000000000),IF(AND(J330=0,ISNUMBER(AL330),AL330&lt;=T330),AL330,9000000000000000),IF(AND(K330=0,ISNUMBER(AM330),AM330&lt;=T330),AM330,9000000000000000))),"HP","FP")),IF(AR330=TRUE(),"",IF(MAX(IF(AND(NOT(AND(AO330=1,AN330&lt;&gt;1)),ISNUMBER(AG330),AG330&lt;=T330),AS330,0),IF(AND(NOT(AND(AO330=1,AN330&lt;&gt;1)),ISNUMBER(AH330),AH330&lt;=T330),AT330,0),IF(AND(NOT(AND(AO330=1,AN330&lt;&gt;1)),ISNUMBER(AI330),AI330&lt;=T330),AU330,0),IF(AND(ISNUMBER(AJ330),AJ330&lt;=T330),AV330,0))&lt;=0,"",IF(AND(IF(AND(NOT(AND(AO330=1,AN330&lt;&gt;1)),ISNUMBER(AG330),AG330&lt;=T330),AS330,0)&gt;0,IF(AND(NOT(AND(AO330=1,AN330&lt;&gt;1)),ISNUMBER(AG330),AG330&lt;=T330),AS330,0)=MAX(IF(AND(NOT(AND(AO330=1,AN330&lt;&gt;1)),ISNUMBER(AG330),AG330&lt;=T330),AS330,0),IF(AND(NOT(AND(AO330=1,AN330&lt;&gt;1)),ISNUMBER(AH330),AH330&lt;=T330),AT330,0),IF(AND(NOT(AND(AO330=1,AN330&lt;&gt;1)),ISNUMBER(AI330),AI330&lt;=T330),AU330,0),IF(AND(ISNUMBER(AJ330),AJ330&lt;=T330),AV330,0))),"SW",IF(AND(IF(AND(NOT(AND(AO330=1,AN330&lt;&gt;1)),ISNUMBER(AH330),AH330&lt;=T330),AT330,0)&gt;0,IF(AND(NOT(AND(AO330=1,AN330&lt;&gt;1)),ISNUMBER(AH330),AH330&lt;=T330),AT330,0)=MAX(IF(AND(NOT(AND(AO330=1,AN330&lt;&gt;1)),ISNUMBER(AG330),AG330&lt;=T330),AS330,0),IF(AND(NOT(AND(AO330=1,AN330&lt;&gt;1)),ISNUMBER(AH330),AH330&lt;=T330),AT330,0),IF(AND(NOT(AND(AO330=1,AN330&lt;&gt;1)),ISNUMBER(AI330),AI330&lt;=T330),AU330,0),IF(AND(ISNUMBER(AJ330),AJ330&lt;=T330),AV330,0))),"AB",IF(AND(IF(AND(NOT(AND(AO330=1,AN330&lt;&gt;1)),ISNUMBER(AI330),AI330&lt;=T330),AU330,0)&gt;0,IF(AND(NOT(AND(AO330=1,AN330&lt;&gt;1)),ISNUMBER(AI330),AI330&lt;=T330),AU330,0)=MAX(IF(AND(NOT(AND(AO330=1,AN330&lt;&gt;1)),ISNUMBER(AG330),AG330&lt;=T330),AS330,0),IF(AND(NOT(AND(AO330=1,AN330&lt;&gt;1)),ISNUMBER(AH330),AH330&lt;=T330),AT330,0),IF(AND(NOT(AND(AO330=1,AN330&lt;&gt;1)),ISNUMBER(AI330),AI330&lt;=T330),AU330,0),IF(AND(ISNUMBER(AJ330),AJ330&lt;=T330),AV330,0))),"SC","Mag")))))))</f>
        <v/>
      </c>
    </row>
    <row r="331" customFormat="false" ht="15" hidden="false" customHeight="false" outlineLevel="0" collapsed="false">
      <c r="A331" s="26" t="n">
        <v>326</v>
      </c>
      <c r="B331" s="27" t="n">
        <f aca="false">A331*10/60</f>
        <v>54.3333333333333</v>
      </c>
      <c r="C331" s="21" t="n">
        <f aca="false">X330</f>
        <v>18.6730249835055</v>
      </c>
      <c r="D331" s="27" t="n">
        <f aca="false">D330+W330</f>
        <v>0</v>
      </c>
      <c r="E331" s="26" t="n">
        <f aca="false">E330+IF(U330="SW",1,0)</f>
        <v>12</v>
      </c>
      <c r="F331" s="26" t="n">
        <f aca="false">F330+IF(U330="AB",1,0)</f>
        <v>10</v>
      </c>
      <c r="G331" s="26" t="n">
        <f aca="false">G330+IF(U330="SC",1,0)</f>
        <v>7</v>
      </c>
      <c r="H331" s="26" t="n">
        <f aca="false">H330+IF(U330="Mag",1,0)</f>
        <v>5</v>
      </c>
      <c r="I331" s="26" t="n">
        <f aca="false">MAX(I330,IF(U330="OR",1,0))</f>
        <v>1</v>
      </c>
      <c r="J331" s="26" t="n">
        <f aca="false">MAX(J330,IF(U330="HP",1,0))</f>
        <v>1</v>
      </c>
      <c r="K331" s="26" t="n">
        <f aca="false">MAX(K330,IF(U330="FP",1,0))</f>
        <v>1</v>
      </c>
      <c r="L331" s="26" t="n">
        <f aca="false">MAX(L330,IF(U330="transition",1,0))</f>
        <v>1</v>
      </c>
      <c r="M331" s="28" t="n">
        <f aca="false">(Parameters!$B$9+(IF(E331=0,0,(Upgrades!$J$6+E331*Upgrades!$K$6)*POWER(Upgrades!$L$6,E331)))*(IF(Upgrades!$T$7="Solar Wind",POWER(Upgrades!$U$7,F331),1)*IF(Upgrades!$T$8="Solar Wind",POWER(Upgrades!$U$8,G331),1)*IF(Upgrades!$T$9="Solar Wind",POWER(Upgrades!$U$9,H331),1)*IF(Upgrades!$T$10="Solar Wind",POWER(Upgrades!$U$10,I331),1)*IF(Upgrades!$T$11="Solar Wind",POWER(Upgrades!$U$11,J331),1)*IF(Upgrades!$T$12="Solar Wind",POWER(Upgrades!$U$12,K331),1))+(IF(F331=0,0,(Upgrades!$J$7+F331*Upgrades!$K$7)*POWER(Upgrades!$L$7,F331)))*(IF(Upgrades!$T$6="Asteroid Belt",POWER(Upgrades!$U$6,E331),1)*IF(Upgrades!$T$8="Asteroid Belt",POWER(Upgrades!$U$8,G331),1)*IF(Upgrades!$T$9="Asteroid Belt",POWER(Upgrades!$U$9,H331),1)*IF(Upgrades!$T$10="Asteroid Belt",POWER(Upgrades!$U$10,I331),1)*IF(Upgrades!$T$11="Asteroid Belt",POWER(Upgrades!$U$11,J331),1)*IF(Upgrades!$T$12="Asteroid Belt",POWER(Upgrades!$U$12,K331),1))+(IF(G331=0,0,(Upgrades!$J$8+G331*Upgrades!$K$8)*POWER(Upgrades!$L$8,G331)))*(IF(Upgrades!$T$6="Stellar Coupling",POWER(Upgrades!$U$6,E331),1)*IF(Upgrades!$T$7="Stellar Coupling",POWER(Upgrades!$U$7,F331),1)*IF(Upgrades!$T$9="Stellar Coupling",POWER(Upgrades!$U$9,H331),1)*IF(Upgrades!$T$10="Stellar Coupling",POWER(Upgrades!$U$10,I331),1)*IF(Upgrades!$T$11="Stellar Coupling",POWER(Upgrades!$U$11,J331),1)*IF(Upgrades!$T$12="Stellar Coupling",POWER(Upgrades!$U$12,K331),1))+(IF(H331=0,0,(Upgrades!$J$9+H331*Upgrades!$K$9)*POWER(Upgrades!$L$9,H331)))*(IF(Upgrades!$T$6="Magnetosphere",POWER(Upgrades!$U$6,E331),1)*IF(Upgrades!$T$7="Magnetosphere",POWER(Upgrades!$U$7,F331),1)*IF(Upgrades!$T$8="Magnetosphere",POWER(Upgrades!$U$8,G331),1)*IF(Upgrades!$T$10="Magnetosphere",POWER(Upgrades!$U$10,I331),1)*IF(Upgrades!$T$11="Magnetosphere",POWER(Upgrades!$U$11,J331),1)*IF(Upgrades!$T$12="Magnetosphere",POWER(Upgrades!$U$12,K331),1))+(IF(I331=0,0,(Upgrades!$J$10+I331*Upgrades!$K$10)*POWER(Upgrades!$L$10,I331)))*(IF(Upgrades!$T$6="Orbital Resonance",POWER(Upgrades!$U$6,E331),1)*IF(Upgrades!$T$7="Orbital Resonance",POWER(Upgrades!$U$7,F331),1)*IF(Upgrades!$T$8="Orbital Resonance",POWER(Upgrades!$U$8,G331),1)*IF(Upgrades!$T$9="Orbital Resonance",POWER(Upgrades!$U$9,H331),1)*IF(Upgrades!$T$11="Orbital Resonance",POWER(Upgrades!$U$11,J331),1)*IF(Upgrades!$T$12="Orbital Resonance",POWER(Upgrades!$U$12,K331),1))+(IF(J331=0,0,(Upgrades!$J$11+J331*Upgrades!$K$11)*POWER(Upgrades!$L$11,J331)))*(IF(Upgrades!$T$6="Heliopause",POWER(Upgrades!$U$6,E331),1)*IF(Upgrades!$T$7="Heliopause",POWER(Upgrades!$U$7,F331),1)*IF(Upgrades!$T$8="Heliopause",POWER(Upgrades!$U$8,G331),1)*IF(Upgrades!$T$9="Heliopause",POWER(Upgrades!$U$9,H331),1)*IF(Upgrades!$T$10="Heliopause",POWER(Upgrades!$U$10,I331),1)*IF(Upgrades!$T$12="Heliopause",POWER(Upgrades!$U$12,K331),1))+(IF(K331=0,0,(Upgrades!$J$12+K331*Upgrades!$K$12)*POWER(Upgrades!$L$12,K331)))*(IF(Upgrades!$T$6="First Photons",POWER(Upgrades!$U$6,E331),1)*IF(Upgrades!$T$7="First Photons",POWER(Upgrades!$U$7,F331),1)*IF(Upgrades!$T$8="First Photons",POWER(Upgrades!$U$8,G331),1)*IF(Upgrades!$T$9="First Photons",POWER(Upgrades!$U$9,H331),1)*IF(Upgrades!$T$10="First Photons",POWER(Upgrades!$U$10,I331),1)*IF(Upgrades!$T$11="First Photons",POWER(Upgrades!$U$11,J331),1)))*POWER(Upgrades!$Q$6,E331)*POWER(Upgrades!$Q$7,F331)*POWER(Upgrades!$Q$8,G331)*POWER(Upgrades!$Q$9,H331)*POWER(Upgrades!$Q$10,I331)*POWER(Upgrades!$Q$11,J331)*POWER(Upgrades!$Q$12,K331)</f>
        <v>5.61</v>
      </c>
      <c r="N331" s="28" t="n">
        <f aca="false">((IF(E331=0,0,(Upgrades!$G$6+E331*Upgrades!$H$6)*POWER(Upgrades!$I$6,E331)))*(IF(Upgrades!$T$7="Solar Wind",POWER(Upgrades!$U$7,F331),1)*IF(Upgrades!$T$8="Solar Wind",POWER(Upgrades!$U$8,G331),1)*IF(Upgrades!$T$9="Solar Wind",POWER(Upgrades!$U$9,H331),1)*IF(Upgrades!$T$10="Solar Wind",POWER(Upgrades!$U$10,I331),1)*IF(Upgrades!$T$11="Solar Wind",POWER(Upgrades!$U$11,J331),1)*IF(Upgrades!$T$12="Solar Wind",POWER(Upgrades!$U$12,K331),1))+(IF(F331=0,0,(Upgrades!$G$7+F331*Upgrades!$H$7)*POWER(Upgrades!$I$7,F331)))*(IF(Upgrades!$T$6="Asteroid Belt",POWER(Upgrades!$U$6,E331),1)*IF(Upgrades!$T$8="Asteroid Belt",POWER(Upgrades!$U$8,G331),1)*IF(Upgrades!$T$9="Asteroid Belt",POWER(Upgrades!$U$9,H331),1)*IF(Upgrades!$T$10="Asteroid Belt",POWER(Upgrades!$U$10,I331),1)*IF(Upgrades!$T$11="Asteroid Belt",POWER(Upgrades!$U$11,J331),1)*IF(Upgrades!$T$12="Asteroid Belt",POWER(Upgrades!$U$12,K331),1))+(IF(G331=0,0,(Upgrades!$G$8+G331*Upgrades!$H$8)*POWER(Upgrades!$I$8,G331)))*(IF(Upgrades!$T$6="Stellar Coupling",POWER(Upgrades!$U$6,E331),1)*IF(Upgrades!$T$7="Stellar Coupling",POWER(Upgrades!$U$7,F331),1)*IF(Upgrades!$T$9="Stellar Coupling",POWER(Upgrades!$U$9,H331),1)*IF(Upgrades!$T$10="Stellar Coupling",POWER(Upgrades!$U$10,I331),1)*IF(Upgrades!$T$11="Stellar Coupling",POWER(Upgrades!$U$11,J331),1)*IF(Upgrades!$T$12="Stellar Coupling",POWER(Upgrades!$U$12,K331),1))+(IF(H331=0,0,(Upgrades!$G$9+H331*Upgrades!$H$9)*POWER(Upgrades!$I$9,H331)))*(IF(Upgrades!$T$6="Magnetosphere",POWER(Upgrades!$U$6,E331),1)*IF(Upgrades!$T$7="Magnetosphere",POWER(Upgrades!$U$7,F331),1)*IF(Upgrades!$T$8="Magnetosphere",POWER(Upgrades!$U$8,G331),1)*IF(Upgrades!$T$10="Magnetosphere",POWER(Upgrades!$U$10,I331),1)*IF(Upgrades!$T$11="Magnetosphere",POWER(Upgrades!$U$11,J331),1)*IF(Upgrades!$T$12="Magnetosphere",POWER(Upgrades!$U$12,K331),1))+(IF(I331=0,0,(Upgrades!$G$10+I331*Upgrades!$H$10)*POWER(Upgrades!$I$10,I331)))*(IF(Upgrades!$T$6="Orbital Resonance",POWER(Upgrades!$U$6,E331),1)*IF(Upgrades!$T$7="Orbital Resonance",POWER(Upgrades!$U$7,F331),1)*IF(Upgrades!$T$8="Orbital Resonance",POWER(Upgrades!$U$8,G331),1)*IF(Upgrades!$T$9="Orbital Resonance",POWER(Upgrades!$U$9,H331),1)*IF(Upgrades!$T$11="Orbital Resonance",POWER(Upgrades!$U$11,J331),1)*IF(Upgrades!$T$12="Orbital Resonance",POWER(Upgrades!$U$12,K331),1))+(IF(J331=0,0,(Upgrades!$G$11+J331*Upgrades!$H$11)*POWER(Upgrades!$I$11,J331)))*(IF(Upgrades!$T$6="Heliopause",POWER(Upgrades!$U$6,E331),1)*IF(Upgrades!$T$7="Heliopause",POWER(Upgrades!$U$7,F331),1)*IF(Upgrades!$T$8="Heliopause",POWER(Upgrades!$U$8,G331),1)*IF(Upgrades!$T$9="Heliopause",POWER(Upgrades!$U$9,H331),1)*IF(Upgrades!$T$10="Heliopause",POWER(Upgrades!$U$10,I331),1)*IF(Upgrades!$T$12="Heliopause",POWER(Upgrades!$U$12,K331),1))+(IF(K331=0,0,(Upgrades!$G$12+K331*Upgrades!$H$12)*POWER(Upgrades!$I$12,K331)))*(IF(Upgrades!$T$6="First Photons",POWER(Upgrades!$U$6,E331),1)*IF(Upgrades!$T$7="First Photons",POWER(Upgrades!$U$7,F331),1)*IF(Upgrades!$T$8="First Photons",POWER(Upgrades!$U$8,G331),1)*IF(Upgrades!$T$9="First Photons",POWER(Upgrades!$U$9,H331),1)*IF(Upgrades!$T$10="First Photons",POWER(Upgrades!$U$10,I331),1)*IF(Upgrades!$T$11="First Photons",POWER(Upgrades!$U$11,J331),1)))*POWER(Upgrades!$P$6,E331)*POWER(Upgrades!$P$7,F331)*POWER(Upgrades!$P$8,G331)*POWER(Upgrades!$P$9,H331)*POWER(Upgrades!$P$10,I331)*POWER(Upgrades!$P$11,J331)*POWER(Upgrades!$P$12,K331)</f>
        <v>11.2</v>
      </c>
      <c r="O331" s="28" t="n">
        <f aca="false">((IF(E331=0,0,(Upgrades!$M$6+E331*Upgrades!$N$6)*POWER(Upgrades!$O$6,E331)))*(IF(Upgrades!$T$7="Solar Wind",POWER(Upgrades!$U$7,F331),1)*IF(Upgrades!$T$8="Solar Wind",POWER(Upgrades!$U$8,G331),1)*IF(Upgrades!$T$9="Solar Wind",POWER(Upgrades!$U$9,H331),1)*IF(Upgrades!$T$10="Solar Wind",POWER(Upgrades!$U$10,I331),1)*IF(Upgrades!$T$11="Solar Wind",POWER(Upgrades!$U$11,J331),1)*IF(Upgrades!$T$12="Solar Wind",POWER(Upgrades!$U$12,K331),1))+(IF(F331=0,0,(Upgrades!$M$7+F331*Upgrades!$N$7)*POWER(Upgrades!$O$7,F331)))*(IF(Upgrades!$T$6="Asteroid Belt",POWER(Upgrades!$U$6,E331),1)*IF(Upgrades!$T$8="Asteroid Belt",POWER(Upgrades!$U$8,G331),1)*IF(Upgrades!$T$9="Asteroid Belt",POWER(Upgrades!$U$9,H331),1)*IF(Upgrades!$T$10="Asteroid Belt",POWER(Upgrades!$U$10,I331),1)*IF(Upgrades!$T$11="Asteroid Belt",POWER(Upgrades!$U$11,J331),1)*IF(Upgrades!$T$12="Asteroid Belt",POWER(Upgrades!$U$12,K331),1))+(IF(G331=0,0,(Upgrades!$M$8+G331*Upgrades!$N$8)*POWER(Upgrades!$O$8,G331)))*(IF(Upgrades!$T$6="Stellar Coupling",POWER(Upgrades!$U$6,E331),1)*IF(Upgrades!$T$7="Stellar Coupling",POWER(Upgrades!$U$7,F331),1)*IF(Upgrades!$T$9="Stellar Coupling",POWER(Upgrades!$U$9,H331),1)*IF(Upgrades!$T$10="Stellar Coupling",POWER(Upgrades!$U$10,I331),1)*IF(Upgrades!$T$11="Stellar Coupling",POWER(Upgrades!$U$11,J331),1)*IF(Upgrades!$T$12="Stellar Coupling",POWER(Upgrades!$U$12,K331),1))+(IF(H331=0,0,(Upgrades!$M$9+H331*Upgrades!$N$9)*POWER(Upgrades!$O$9,H331)))*(IF(Upgrades!$T$6="Magnetosphere",POWER(Upgrades!$U$6,E331),1)*IF(Upgrades!$T$7="Magnetosphere",POWER(Upgrades!$U$7,F331),1)*IF(Upgrades!$T$8="Magnetosphere",POWER(Upgrades!$U$8,G331),1)*IF(Upgrades!$T$10="Magnetosphere",POWER(Upgrades!$U$10,I331),1)*IF(Upgrades!$T$11="Magnetosphere",POWER(Upgrades!$U$11,J331),1)*IF(Upgrades!$T$12="Magnetosphere",POWER(Upgrades!$U$12,K331),1))+(IF(I331=0,0,(Upgrades!$M$10+I331*Upgrades!$N$10)*POWER(Upgrades!$O$10,I331)))*(IF(Upgrades!$T$6="Orbital Resonance",POWER(Upgrades!$U$6,E331),1)*IF(Upgrades!$T$7="Orbital Resonance",POWER(Upgrades!$U$7,F331),1)*IF(Upgrades!$T$8="Orbital Resonance",POWER(Upgrades!$U$8,G331),1)*IF(Upgrades!$T$9="Orbital Resonance",POWER(Upgrades!$U$9,H331),1)*IF(Upgrades!$T$11="Orbital Resonance",POWER(Upgrades!$U$11,J331),1)*IF(Upgrades!$T$12="Orbital Resonance",POWER(Upgrades!$U$12,K331),1))+(IF(J331=0,0,(Upgrades!$M$11+J331*Upgrades!$N$11)*POWER(Upgrades!$O$11,J331)))*(IF(Upgrades!$T$6="Heliopause",POWER(Upgrades!$U$6,E331),1)*IF(Upgrades!$T$7="Heliopause",POWER(Upgrades!$U$7,F331),1)*IF(Upgrades!$T$8="Heliopause",POWER(Upgrades!$U$8,G331),1)*IF(Upgrades!$T$9="Heliopause",POWER(Upgrades!$U$9,H331),1)*IF(Upgrades!$T$10="Heliopause",POWER(Upgrades!$U$10,I331),1)*IF(Upgrades!$T$12="Heliopause",POWER(Upgrades!$U$12,K331),1))+(IF(K331=0,0,(Upgrades!$M$12+K331*Upgrades!$N$12)*POWER(Upgrades!$O$12,K331)))*(IF(Upgrades!$T$6="First Photons",POWER(Upgrades!$U$6,E331),1)*IF(Upgrades!$T$7="First Photons",POWER(Upgrades!$U$7,F331),1)*IF(Upgrades!$T$8="First Photons",POWER(Upgrades!$U$8,G331),1)*IF(Upgrades!$T$9="First Photons",POWER(Upgrades!$U$9,H331),1)*IF(Upgrades!$T$10="First Photons",POWER(Upgrades!$U$10,I331),1)*IF(Upgrades!$T$11="First Photons",POWER(Upgrades!$U$11,J331),1)))*POWER(Upgrades!$R$6,E331)*POWER(Upgrades!$R$7,F331)*POWER(Upgrades!$R$8,G331)*POWER(Upgrades!$R$9,H331)*POWER(Upgrades!$R$10,I331)*POWER(Upgrades!$R$11,J331)*POWER(Upgrades!$R$12,K331)</f>
        <v>0</v>
      </c>
      <c r="P331" s="27" t="n">
        <f aca="false">IF(L331=1,0,M331*Parameters!$B$10/60*Parameters!$B$11*10)</f>
        <v>0</v>
      </c>
      <c r="Q331" s="27" t="n">
        <f aca="false">IF(L331=1,0,O331*M331*10)</f>
        <v>0</v>
      </c>
      <c r="R331" s="27" t="n">
        <f aca="false">IF(L331=1,0,N331*10)</f>
        <v>0</v>
      </c>
      <c r="S331" s="27" t="n">
        <f aca="false">P331+Q331+R331</f>
        <v>0</v>
      </c>
      <c r="T331" s="21" t="n">
        <f aca="false">C331+S331</f>
        <v>18.6730249835055</v>
      </c>
      <c r="U331" s="34" t="str">
        <f aca="false">AX331</f>
        <v/>
      </c>
      <c r="V331" s="21" t="n">
        <f aca="false">IF(U331="",0,IF(U331="transition",0,IF(U331="SW",AG331,IF(U331="AB",AH331,IF(U331="SC",AI331,IF(U331="Mag",AJ331,IF(U331="OR",AK331,IF(U331="HP",AL331,IF(U331="FP",AM331,0)))))))))</f>
        <v>0</v>
      </c>
      <c r="W331" s="27" t="n">
        <f aca="false">IF(U331="OR",Upgrades!$F$10,IF(U331="HP",Upgrades!$F$11,IF(U331="transition",-Parameters!$B$18,0)))</f>
        <v>0</v>
      </c>
      <c r="X331" s="21" t="n">
        <f aca="false">T331-V331</f>
        <v>18.6730249835055</v>
      </c>
      <c r="Y331" s="30" t="n">
        <f aca="false">M331*Parameters!$B$10/60*Parameters!$B$11+O331*M331+N331</f>
        <v>20.55</v>
      </c>
      <c r="Z331" s="35" t="str">
        <f aca="false">IF(U331="transition","→ Tier 2 (Stellar Neighborhood)",IF(U331="FP","First Photons — light begins, system quickens",IF(U331="HP","Heliopause acquired",IF(U331="OR","Orbital Resonance — passive multiplier active",IF(AND(AO331=1,L331=0,AN331&lt;&gt;1),"Cohesion ready (waiting on completionist upgrades)","")))))</f>
        <v/>
      </c>
      <c r="AA331" s="27" t="n">
        <f aca="false">(IF(E331=0,0,(Upgrades!$G$6+E331*Upgrades!$H$6)*POWER(Upgrades!$I$6,E331)))*(IF(Upgrades!$T$7="Solar Wind",POWER(Upgrades!$U$7,F331),1)*IF(Upgrades!$T$8="Solar Wind",POWER(Upgrades!$U$8,G331),1)*IF(Upgrades!$T$9="Solar Wind",POWER(Upgrades!$U$9,H331),1)*IF(Upgrades!$T$10="Solar Wind",POWER(Upgrades!$U$10,I331),1)*IF(Upgrades!$T$11="Solar Wind",POWER(Upgrades!$U$11,J331),1)*IF(Upgrades!$T$12="Solar Wind",POWER(Upgrades!$U$12,K331),1))*POWER(Upgrades!$P$6,E331)*POWER(Upgrades!$P$7,F331)*POWER(Upgrades!$P$8,G331)*POWER(Upgrades!$P$9,H331)*POWER(Upgrades!$P$10,I331)*POWER(Upgrades!$P$11,J331)*POWER(Upgrades!$P$12,K331)*60</f>
        <v>72</v>
      </c>
      <c r="AB331" s="27" t="n">
        <f aca="false">(IF(F331=0,0,(Upgrades!$G$7+F331*Upgrades!$H$7)*POWER(Upgrades!$I$7,F331)))*(IF(Upgrades!$T$6="Asteroid Belt",POWER(Upgrades!$U$6,E331),1)*IF(Upgrades!$T$8="Asteroid Belt",POWER(Upgrades!$U$8,G331),1)*IF(Upgrades!$T$9="Asteroid Belt",POWER(Upgrades!$U$9,H331),1)*IF(Upgrades!$T$10="Asteroid Belt",POWER(Upgrades!$U$10,I331),1)*IF(Upgrades!$T$11="Asteroid Belt",POWER(Upgrades!$U$11,J331),1)*IF(Upgrades!$T$12="Asteroid Belt",POWER(Upgrades!$U$12,K331),1))*POWER(Upgrades!$P$6,E331)*POWER(Upgrades!$P$7,F331)*POWER(Upgrades!$P$8,G331)*POWER(Upgrades!$P$9,H331)*POWER(Upgrades!$P$10,I331)*POWER(Upgrades!$P$11,J331)*POWER(Upgrades!$P$12,K331)*60</f>
        <v>150</v>
      </c>
      <c r="AC331" s="27" t="n">
        <f aca="false">(IF(G331=0,0,(Upgrades!$J$8+G331*Upgrades!$K$8)*POWER(Upgrades!$L$8,G331)))*(IF(Upgrades!$T$6="Stellar Coupling",POWER(Upgrades!$U$6,E331),1)*IF(Upgrades!$T$7="Stellar Coupling",POWER(Upgrades!$U$7,F331),1)*IF(Upgrades!$T$9="Stellar Coupling",POWER(Upgrades!$U$9,H331),1)*IF(Upgrades!$T$10="Stellar Coupling",POWER(Upgrades!$U$10,I331),1)*IF(Upgrades!$T$11="Stellar Coupling",POWER(Upgrades!$U$11,J331),1)*IF(Upgrades!$T$12="Stellar Coupling",POWER(Upgrades!$U$12,K331),1))*POWER(Upgrades!$Q$6,E331)*POWER(Upgrades!$Q$7,F331)*POWER(Upgrades!$Q$8,G331)*POWER(Upgrades!$Q$9,H331)*POWER(Upgrades!$Q$10,I331)*POWER(Upgrades!$Q$11,J331)*POWER(Upgrades!$Q$12,K331)*Parameters!$B$10*Parameters!$B$11</f>
        <v>441</v>
      </c>
      <c r="AD331" s="27" t="n">
        <f aca="false">(IF(H331=0,0,(Upgrades!$G$9+H331*Upgrades!$H$9)*POWER(Upgrades!$I$9,H331)))*(IF(Upgrades!$T$6="Magnetosphere",POWER(Upgrades!$U$6,E331),1)*IF(Upgrades!$T$7="Magnetosphere",POWER(Upgrades!$U$7,F331),1)*IF(Upgrades!$T$8="Magnetosphere",POWER(Upgrades!$U$8,G331),1)*IF(Upgrades!$T$10="Magnetosphere",POWER(Upgrades!$U$10,I331),1)*IF(Upgrades!$T$11="Magnetosphere",POWER(Upgrades!$U$11,J331),1)*IF(Upgrades!$T$12="Magnetosphere",POWER(Upgrades!$U$12,K331),1))*POWER(Upgrades!$P$6,E331)*POWER(Upgrades!$P$7,F331)*POWER(Upgrades!$P$8,G331)*POWER(Upgrades!$P$9,H331)*POWER(Upgrades!$P$10,I331)*POWER(Upgrades!$P$11,J331)*POWER(Upgrades!$P$12,K331)*60</f>
        <v>375</v>
      </c>
      <c r="AE331" s="27" t="n">
        <f aca="false">(IF(K331=0,0,(Upgrades!$G$12+K331*Upgrades!$H$12)*POWER(Upgrades!$I$12,K331)))*(IF(Upgrades!$T$6="First Photons",POWER(Upgrades!$U$6,E331),1)*IF(Upgrades!$T$7="First Photons",POWER(Upgrades!$U$7,F331),1)*IF(Upgrades!$T$8="First Photons",POWER(Upgrades!$U$8,G331),1)*IF(Upgrades!$T$9="First Photons",POWER(Upgrades!$U$9,H331),1)*IF(Upgrades!$T$10="First Photons",POWER(Upgrades!$U$10,I331),1)*IF(Upgrades!$T$11="First Photons",POWER(Upgrades!$U$11,J331),1))*POWER(Upgrades!$P$6,E331)*POWER(Upgrades!$P$7,F331)*POWER(Upgrades!$P$8,G331)*POWER(Upgrades!$P$9,H331)*POWER(Upgrades!$P$10,I331)*POWER(Upgrades!$P$11,J331)*POWER(Upgrades!$P$12,K331)*60</f>
        <v>75</v>
      </c>
      <c r="AF331" s="27" t="n">
        <f aca="false">Parameters!$B$9*POWER(Upgrades!$Q$6,E331)*POWER(Upgrades!$Q$7,F331)*POWER(Upgrades!$Q$8,G331)*POWER(Upgrades!$Q$9,H331)*POWER(Upgrades!$Q$10,I331)*POWER(Upgrades!$Q$11,J331)*POWER(Upgrades!$Q$12,K331)*(Parameters!$B$10*Parameters!$B$11+O331*60)</f>
        <v>120</v>
      </c>
      <c r="AG331" s="21" t="n">
        <f aca="false">IF(E331&gt;=Upgrades!$E$6,"",Upgrades!$C$6*POWER(Upgrades!$D$6,E331))</f>
        <v>37.4517507383159</v>
      </c>
      <c r="AH331" s="21" t="n">
        <f aca="false">IF(F331&gt;=Upgrades!$E$7,"",Upgrades!$C$7*POWER(Upgrades!$D$7,F331))</f>
        <v>80.9111547141581</v>
      </c>
      <c r="AI331" s="21" t="n">
        <f aca="false">IF(G331&gt;=Upgrades!$E$8,"",Upgrades!$C$8*POWER(Upgrades!$D$8,G331))</f>
        <v>231.9097088</v>
      </c>
      <c r="AJ331" s="21" t="str">
        <f aca="false">IF(H331&gt;=Upgrades!$E$9,"",Upgrades!$C$9*POWER(Upgrades!$D$9,H331))</f>
        <v/>
      </c>
      <c r="AK331" s="21" t="str">
        <f aca="false">IF(I331&gt;=Upgrades!$E$10,"",Upgrades!$C$10*POWER(Upgrades!$D$10,I331))</f>
        <v/>
      </c>
      <c r="AL331" s="21" t="str">
        <f aca="false">IF(J331&gt;=Upgrades!$E$11,"",Upgrades!$C$11*POWER(Upgrades!$D$11,J331))</f>
        <v/>
      </c>
      <c r="AM331" s="21" t="str">
        <f aca="false">IF(K331&gt;=Upgrades!$E$12,"",Upgrades!$C$12*POWER(Upgrades!$D$12,K331))</f>
        <v/>
      </c>
      <c r="AN331" s="26" t="str">
        <f aca="false">IF(AND(D331&gt;=Parameters!$B$18,(H331&gt;=Upgrades!$E$9)*(K331&gt;=Upgrades!$E$12)=1,L331=0),1,"")</f>
        <v/>
      </c>
      <c r="AO331" s="26" t="str">
        <f aca="false">IF(AND(D331&gt;=Parameters!$B$18,L331=0),1,"")</f>
        <v/>
      </c>
      <c r="AP331" s="21" t="n">
        <f aca="false">MIN(IF(ISNUMBER(AK331),AK331,9000000000000000),IF(ISNUMBER(AL331),AL331,9000000000000000),IF(ISNUMBER(AM331),AM331,9000000000000000))</f>
        <v>9000000000000000</v>
      </c>
      <c r="AQ331" s="21" t="n">
        <f aca="false">MIN(IF(ISNUMBER(AG331),AG331,9000000000000000),IF(ISNUMBER(AH331),AH331,9000000000000000),IF(ISNUMBER(AI331),AI331,9000000000000000),IF(ISNUMBER(AJ331),AJ331,9000000000000000))</f>
        <v>37.4517507383159</v>
      </c>
      <c r="AR331" s="32" t="b">
        <f aca="false">IF(AW331&gt;Parameters!$B$21*(MAX(IF(AND(NOT(AND(AO331=1,AN331&lt;&gt;1)),ISNUMBER(AG331),AG331&lt;=T331),AS331,0),IF(AND(NOT(AND(AO331=1,AN331&lt;&gt;1)),ISNUMBER(AH331),AH331&lt;=T331),AT331,0),IF(AND(NOT(AND(AO331=1,AN331&lt;&gt;1)),ISNUMBER(AI331),AI331&lt;=T331),AU331,0),IF(AND(ISNUMBER(AJ331),AJ331&lt;=T331),AV331,0))),TRUE(),FALSE())</f>
        <v>1</v>
      </c>
      <c r="AS331" s="33" t="n">
        <f aca="false">IFERROR(Upgrades!$H$6*(POWER(Upgrades!$P$6,E331)*POWER(Upgrades!$P$7,F331)*POWER(Upgrades!$P$8,G331)*POWER(Upgrades!$P$9,H331)*POWER(Upgrades!$P$10,I331)*POWER(Upgrades!$P$11,J331)*POWER(Upgrades!$P$12,K331))*(IF(Upgrades!$T$7="Solar Wind",POWER(Upgrades!$U$7,F331),1)*IF(Upgrades!$T$8="Solar Wind",POWER(Upgrades!$U$8,G331),1)*IF(Upgrades!$T$9="Solar Wind",POWER(Upgrades!$U$9,H331),1)*IF(Upgrades!$T$10="Solar Wind",POWER(Upgrades!$U$10,I331),1)*IF(Upgrades!$T$11="Solar Wind",POWER(Upgrades!$U$11,J331),1)*IF(Upgrades!$T$12="Solar Wind",POWER(Upgrades!$U$12,K331),1))/AG331,0)</f>
        <v>0.0026701021455238</v>
      </c>
      <c r="AT331" s="33" t="n">
        <f aca="false">IFERROR(Upgrades!$H$7*(POWER(Upgrades!$P$6,E331)*POWER(Upgrades!$P$7,F331)*POWER(Upgrades!$P$8,G331)*POWER(Upgrades!$P$9,H331)*POWER(Upgrades!$P$10,I331)*POWER(Upgrades!$P$11,J331)*POWER(Upgrades!$P$12,K331))*(IF(Upgrades!$T$6="Asteroid Belt",POWER(Upgrades!$U$6,E331),1)*IF(Upgrades!$T$8="Asteroid Belt",POWER(Upgrades!$U$8,G331),1)*IF(Upgrades!$T$9="Asteroid Belt",POWER(Upgrades!$U$9,H331),1)*IF(Upgrades!$T$10="Asteroid Belt",POWER(Upgrades!$U$10,I331),1)*IF(Upgrades!$T$11="Asteroid Belt",POWER(Upgrades!$U$11,J331),1)*IF(Upgrades!$T$12="Asteroid Belt",POWER(Upgrades!$U$12,K331),1))/AH331,0)</f>
        <v>0.00308980882652332</v>
      </c>
      <c r="AU331" s="33" t="n">
        <f aca="false">IFERROR(Upgrades!$K$8*(POWER(Upgrades!$Q$6,E331)*POWER(Upgrades!$Q$7,F331)*POWER(Upgrades!$Q$8,G331)*POWER(Upgrades!$Q$9,H331)*POWER(Upgrades!$Q$10,I331)*POWER(Upgrades!$Q$11,J331)*POWER(Upgrades!$Q$12,K331))*(IF(Upgrades!$T$6="Stellar Coupling",POWER(Upgrades!$U$6,E331),1)*IF(Upgrades!$T$7="Stellar Coupling",POWER(Upgrades!$U$7,F331),1)*IF(Upgrades!$T$9="Stellar Coupling",POWER(Upgrades!$U$9,H331),1)*IF(Upgrades!$T$10="Stellar Coupling",POWER(Upgrades!$U$10,I331),1)*IF(Upgrades!$T$11="Stellar Coupling",POWER(Upgrades!$U$11,J331),1)*IF(Upgrades!$T$12="Stellar Coupling",POWER(Upgrades!$U$12,K331),1))*Parameters!$B$10*Parameters!$B$11/60/AI331,0)</f>
        <v>0.00452762415783776</v>
      </c>
      <c r="AV331" s="33" t="n">
        <f aca="false">IFERROR(Upgrades!$H$9*(POWER(Upgrades!$P$6,E331)*POWER(Upgrades!$P$7,F331)*POWER(Upgrades!$P$8,G331)*POWER(Upgrades!$P$9,H331)*POWER(Upgrades!$P$10,I331)*POWER(Upgrades!$P$11,J331)*POWER(Upgrades!$P$12,K331))*(IF(Upgrades!$T$6="Magnetosphere",POWER(Upgrades!$U$6,E331),1)*IF(Upgrades!$T$7="Magnetosphere",POWER(Upgrades!$U$7,F331),1)*IF(Upgrades!$T$8="Magnetosphere",POWER(Upgrades!$U$8,G331),1)*IF(Upgrades!$T$10="Magnetosphere",POWER(Upgrades!$U$10,I331),1)*IF(Upgrades!$T$11="Magnetosphere",POWER(Upgrades!$U$11,J331),1)*IF(Upgrades!$T$12="Magnetosphere",POWER(Upgrades!$U$12,K331),1))/AJ331,0)</f>
        <v>0</v>
      </c>
      <c r="AW331" s="33" t="n">
        <f aca="false">MAX(IF(I331&gt;0,0,IFERROR(0.25*N331/Upgrades!$C$10,0)),IF(J331&gt;0,0,IFERROR(0.5*((IF(G331=0,0,(Upgrades!$J$8+G331*Upgrades!$K$8)*POWER(Upgrades!$L$8,G331)))*(IF(Upgrades!$T$6="Stellar Coupling",POWER(Upgrades!$U$6,E331),1)*IF(Upgrades!$T$7="Stellar Coupling",POWER(Upgrades!$U$7,F331),1)*IF(Upgrades!$T$9="Stellar Coupling",POWER(Upgrades!$U$9,H331),1)*IF(Upgrades!$T$10="Stellar Coupling",POWER(Upgrades!$U$10,I331),1)*IF(Upgrades!$T$11="Stellar Coupling",POWER(Upgrades!$U$11,J331),1)*IF(Upgrades!$T$12="Stellar Coupling",POWER(Upgrades!$U$12,K331),1))*(POWER(Upgrades!$Q$6,E331)*POWER(Upgrades!$Q$7,F331)*POWER(Upgrades!$Q$8,G331)*POWER(Upgrades!$Q$9,H331)*POWER(Upgrades!$Q$10,I331)*POWER(Upgrades!$Q$11,J331)*POWER(Upgrades!$Q$12,K331))*Parameters!$B$10*Parameters!$B$11/60)/Upgrades!$C$11,0)),IF(K331&gt;0,0,IFERROR((1*(POWER(Upgrades!$P$6,E331)*POWER(Upgrades!$P$7,F331)*POWER(Upgrades!$P$8,G331)*POWER(Upgrades!$P$9,H331)*POWER(Upgrades!$P$10,I331)*POWER(Upgrades!$P$11,J331)*POWER(Upgrades!$P$12,K331))+0.2*M331*Parameters!$B$10*Parameters!$B$11/60)/Upgrades!$C$12,0)),IF(AND(ISNUMBER(AG331),AG331&gt;T331),AS331,0),IF(AND(ISNUMBER(AH331),AH331&gt;T331),AT331,0),IF(AND(ISNUMBER(AI331),AI331&gt;T331),AU331,0),IF(AND(ISNUMBER(AJ331),AJ331&gt;T331),AV331,0))</f>
        <v>0.00452762415783776</v>
      </c>
      <c r="AX331" s="29" t="str">
        <f aca="false">IF(AN331=1,"transition",IF(MIN(IF(AND(I331=0,ISNUMBER(AK331),AK331&lt;=T331),AK331,9000000000000000),IF(AND(J331=0,ISNUMBER(AL331),AL331&lt;=T331),AL331,9000000000000000),IF(AND(K331=0,ISNUMBER(AM331),AM331&lt;=T331),AM331,9000000000000000))&lt;9000000000000000,IF(AND(AND(I331=0,ISNUMBER(AK331),AK331&lt;=T331),AK331=MIN(IF(AND(I331=0,ISNUMBER(AK331),AK331&lt;=T331),AK331,9000000000000000),IF(AND(J331=0,ISNUMBER(AL331),AL331&lt;=T331),AL331,9000000000000000),IF(AND(K331=0,ISNUMBER(AM331),AM331&lt;=T331),AM331,9000000000000000))),"OR",IF(AND(AND(J331=0,ISNUMBER(AL331),AL331&lt;=T331),AL331=MIN(IF(AND(I331=0,ISNUMBER(AK331),AK331&lt;=T331),AK331,9000000000000000),IF(AND(J331=0,ISNUMBER(AL331),AL331&lt;=T331),AL331,9000000000000000),IF(AND(K331=0,ISNUMBER(AM331),AM331&lt;=T331),AM331,9000000000000000))),"HP","FP")),IF(AR331=TRUE(),"",IF(MAX(IF(AND(NOT(AND(AO331=1,AN331&lt;&gt;1)),ISNUMBER(AG331),AG331&lt;=T331),AS331,0),IF(AND(NOT(AND(AO331=1,AN331&lt;&gt;1)),ISNUMBER(AH331),AH331&lt;=T331),AT331,0),IF(AND(NOT(AND(AO331=1,AN331&lt;&gt;1)),ISNUMBER(AI331),AI331&lt;=T331),AU331,0),IF(AND(ISNUMBER(AJ331),AJ331&lt;=T331),AV331,0))&lt;=0,"",IF(AND(IF(AND(NOT(AND(AO331=1,AN331&lt;&gt;1)),ISNUMBER(AG331),AG331&lt;=T331),AS331,0)&gt;0,IF(AND(NOT(AND(AO331=1,AN331&lt;&gt;1)),ISNUMBER(AG331),AG331&lt;=T331),AS331,0)=MAX(IF(AND(NOT(AND(AO331=1,AN331&lt;&gt;1)),ISNUMBER(AG331),AG331&lt;=T331),AS331,0),IF(AND(NOT(AND(AO331=1,AN331&lt;&gt;1)),ISNUMBER(AH331),AH331&lt;=T331),AT331,0),IF(AND(NOT(AND(AO331=1,AN331&lt;&gt;1)),ISNUMBER(AI331),AI331&lt;=T331),AU331,0),IF(AND(ISNUMBER(AJ331),AJ331&lt;=T331),AV331,0))),"SW",IF(AND(IF(AND(NOT(AND(AO331=1,AN331&lt;&gt;1)),ISNUMBER(AH331),AH331&lt;=T331),AT331,0)&gt;0,IF(AND(NOT(AND(AO331=1,AN331&lt;&gt;1)),ISNUMBER(AH331),AH331&lt;=T331),AT331,0)=MAX(IF(AND(NOT(AND(AO331=1,AN331&lt;&gt;1)),ISNUMBER(AG331),AG331&lt;=T331),AS331,0),IF(AND(NOT(AND(AO331=1,AN331&lt;&gt;1)),ISNUMBER(AH331),AH331&lt;=T331),AT331,0),IF(AND(NOT(AND(AO331=1,AN331&lt;&gt;1)),ISNUMBER(AI331),AI331&lt;=T331),AU331,0),IF(AND(ISNUMBER(AJ331),AJ331&lt;=T331),AV331,0))),"AB",IF(AND(IF(AND(NOT(AND(AO331=1,AN331&lt;&gt;1)),ISNUMBER(AI331),AI331&lt;=T331),AU331,0)&gt;0,IF(AND(NOT(AND(AO331=1,AN331&lt;&gt;1)),ISNUMBER(AI331),AI331&lt;=T331),AU331,0)=MAX(IF(AND(NOT(AND(AO331=1,AN331&lt;&gt;1)),ISNUMBER(AG331),AG331&lt;=T331),AS331,0),IF(AND(NOT(AND(AO331=1,AN331&lt;&gt;1)),ISNUMBER(AH331),AH331&lt;=T331),AT331,0),IF(AND(NOT(AND(AO331=1,AN331&lt;&gt;1)),ISNUMBER(AI331),AI331&lt;=T331),AU331,0),IF(AND(ISNUMBER(AJ331),AJ331&lt;=T331),AV331,0))),"SC","Mag")))))))</f>
        <v/>
      </c>
    </row>
    <row r="332" customFormat="false" ht="15" hidden="false" customHeight="false" outlineLevel="0" collapsed="false">
      <c r="A332" s="26" t="n">
        <v>327</v>
      </c>
      <c r="B332" s="27" t="n">
        <f aca="false">A332*10/60</f>
        <v>54.5</v>
      </c>
      <c r="C332" s="21" t="n">
        <f aca="false">X331</f>
        <v>18.6730249835055</v>
      </c>
      <c r="D332" s="27" t="n">
        <f aca="false">D331+W331</f>
        <v>0</v>
      </c>
      <c r="E332" s="26" t="n">
        <f aca="false">E331+IF(U331="SW",1,0)</f>
        <v>12</v>
      </c>
      <c r="F332" s="26" t="n">
        <f aca="false">F331+IF(U331="AB",1,0)</f>
        <v>10</v>
      </c>
      <c r="G332" s="26" t="n">
        <f aca="false">G331+IF(U331="SC",1,0)</f>
        <v>7</v>
      </c>
      <c r="H332" s="26" t="n">
        <f aca="false">H331+IF(U331="Mag",1,0)</f>
        <v>5</v>
      </c>
      <c r="I332" s="26" t="n">
        <f aca="false">MAX(I331,IF(U331="OR",1,0))</f>
        <v>1</v>
      </c>
      <c r="J332" s="26" t="n">
        <f aca="false">MAX(J331,IF(U331="HP",1,0))</f>
        <v>1</v>
      </c>
      <c r="K332" s="26" t="n">
        <f aca="false">MAX(K331,IF(U331="FP",1,0))</f>
        <v>1</v>
      </c>
      <c r="L332" s="26" t="n">
        <f aca="false">MAX(L331,IF(U331="transition",1,0))</f>
        <v>1</v>
      </c>
      <c r="M332" s="28" t="n">
        <f aca="false">(Parameters!$B$9+(IF(E332=0,0,(Upgrades!$J$6+E332*Upgrades!$K$6)*POWER(Upgrades!$L$6,E332)))*(IF(Upgrades!$T$7="Solar Wind",POWER(Upgrades!$U$7,F332),1)*IF(Upgrades!$T$8="Solar Wind",POWER(Upgrades!$U$8,G332),1)*IF(Upgrades!$T$9="Solar Wind",POWER(Upgrades!$U$9,H332),1)*IF(Upgrades!$T$10="Solar Wind",POWER(Upgrades!$U$10,I332),1)*IF(Upgrades!$T$11="Solar Wind",POWER(Upgrades!$U$11,J332),1)*IF(Upgrades!$T$12="Solar Wind",POWER(Upgrades!$U$12,K332),1))+(IF(F332=0,0,(Upgrades!$J$7+F332*Upgrades!$K$7)*POWER(Upgrades!$L$7,F332)))*(IF(Upgrades!$T$6="Asteroid Belt",POWER(Upgrades!$U$6,E332),1)*IF(Upgrades!$T$8="Asteroid Belt",POWER(Upgrades!$U$8,G332),1)*IF(Upgrades!$T$9="Asteroid Belt",POWER(Upgrades!$U$9,H332),1)*IF(Upgrades!$T$10="Asteroid Belt",POWER(Upgrades!$U$10,I332),1)*IF(Upgrades!$T$11="Asteroid Belt",POWER(Upgrades!$U$11,J332),1)*IF(Upgrades!$T$12="Asteroid Belt",POWER(Upgrades!$U$12,K332),1))+(IF(G332=0,0,(Upgrades!$J$8+G332*Upgrades!$K$8)*POWER(Upgrades!$L$8,G332)))*(IF(Upgrades!$T$6="Stellar Coupling",POWER(Upgrades!$U$6,E332),1)*IF(Upgrades!$T$7="Stellar Coupling",POWER(Upgrades!$U$7,F332),1)*IF(Upgrades!$T$9="Stellar Coupling",POWER(Upgrades!$U$9,H332),1)*IF(Upgrades!$T$10="Stellar Coupling",POWER(Upgrades!$U$10,I332),1)*IF(Upgrades!$T$11="Stellar Coupling",POWER(Upgrades!$U$11,J332),1)*IF(Upgrades!$T$12="Stellar Coupling",POWER(Upgrades!$U$12,K332),1))+(IF(H332=0,0,(Upgrades!$J$9+H332*Upgrades!$K$9)*POWER(Upgrades!$L$9,H332)))*(IF(Upgrades!$T$6="Magnetosphere",POWER(Upgrades!$U$6,E332),1)*IF(Upgrades!$T$7="Magnetosphere",POWER(Upgrades!$U$7,F332),1)*IF(Upgrades!$T$8="Magnetosphere",POWER(Upgrades!$U$8,G332),1)*IF(Upgrades!$T$10="Magnetosphere",POWER(Upgrades!$U$10,I332),1)*IF(Upgrades!$T$11="Magnetosphere",POWER(Upgrades!$U$11,J332),1)*IF(Upgrades!$T$12="Magnetosphere",POWER(Upgrades!$U$12,K332),1))+(IF(I332=0,0,(Upgrades!$J$10+I332*Upgrades!$K$10)*POWER(Upgrades!$L$10,I332)))*(IF(Upgrades!$T$6="Orbital Resonance",POWER(Upgrades!$U$6,E332),1)*IF(Upgrades!$T$7="Orbital Resonance",POWER(Upgrades!$U$7,F332),1)*IF(Upgrades!$T$8="Orbital Resonance",POWER(Upgrades!$U$8,G332),1)*IF(Upgrades!$T$9="Orbital Resonance",POWER(Upgrades!$U$9,H332),1)*IF(Upgrades!$T$11="Orbital Resonance",POWER(Upgrades!$U$11,J332),1)*IF(Upgrades!$T$12="Orbital Resonance",POWER(Upgrades!$U$12,K332),1))+(IF(J332=0,0,(Upgrades!$J$11+J332*Upgrades!$K$11)*POWER(Upgrades!$L$11,J332)))*(IF(Upgrades!$T$6="Heliopause",POWER(Upgrades!$U$6,E332),1)*IF(Upgrades!$T$7="Heliopause",POWER(Upgrades!$U$7,F332),1)*IF(Upgrades!$T$8="Heliopause",POWER(Upgrades!$U$8,G332),1)*IF(Upgrades!$T$9="Heliopause",POWER(Upgrades!$U$9,H332),1)*IF(Upgrades!$T$10="Heliopause",POWER(Upgrades!$U$10,I332),1)*IF(Upgrades!$T$12="Heliopause",POWER(Upgrades!$U$12,K332),1))+(IF(K332=0,0,(Upgrades!$J$12+K332*Upgrades!$K$12)*POWER(Upgrades!$L$12,K332)))*(IF(Upgrades!$T$6="First Photons",POWER(Upgrades!$U$6,E332),1)*IF(Upgrades!$T$7="First Photons",POWER(Upgrades!$U$7,F332),1)*IF(Upgrades!$T$8="First Photons",POWER(Upgrades!$U$8,G332),1)*IF(Upgrades!$T$9="First Photons",POWER(Upgrades!$U$9,H332),1)*IF(Upgrades!$T$10="First Photons",POWER(Upgrades!$U$10,I332),1)*IF(Upgrades!$T$11="First Photons",POWER(Upgrades!$U$11,J332),1)))*POWER(Upgrades!$Q$6,E332)*POWER(Upgrades!$Q$7,F332)*POWER(Upgrades!$Q$8,G332)*POWER(Upgrades!$Q$9,H332)*POWER(Upgrades!$Q$10,I332)*POWER(Upgrades!$Q$11,J332)*POWER(Upgrades!$Q$12,K332)</f>
        <v>5.61</v>
      </c>
      <c r="N332" s="28" t="n">
        <f aca="false">((IF(E332=0,0,(Upgrades!$G$6+E332*Upgrades!$H$6)*POWER(Upgrades!$I$6,E332)))*(IF(Upgrades!$T$7="Solar Wind",POWER(Upgrades!$U$7,F332),1)*IF(Upgrades!$T$8="Solar Wind",POWER(Upgrades!$U$8,G332),1)*IF(Upgrades!$T$9="Solar Wind",POWER(Upgrades!$U$9,H332),1)*IF(Upgrades!$T$10="Solar Wind",POWER(Upgrades!$U$10,I332),1)*IF(Upgrades!$T$11="Solar Wind",POWER(Upgrades!$U$11,J332),1)*IF(Upgrades!$T$12="Solar Wind",POWER(Upgrades!$U$12,K332),1))+(IF(F332=0,0,(Upgrades!$G$7+F332*Upgrades!$H$7)*POWER(Upgrades!$I$7,F332)))*(IF(Upgrades!$T$6="Asteroid Belt",POWER(Upgrades!$U$6,E332),1)*IF(Upgrades!$T$8="Asteroid Belt",POWER(Upgrades!$U$8,G332),1)*IF(Upgrades!$T$9="Asteroid Belt",POWER(Upgrades!$U$9,H332),1)*IF(Upgrades!$T$10="Asteroid Belt",POWER(Upgrades!$U$10,I332),1)*IF(Upgrades!$T$11="Asteroid Belt",POWER(Upgrades!$U$11,J332),1)*IF(Upgrades!$T$12="Asteroid Belt",POWER(Upgrades!$U$12,K332),1))+(IF(G332=0,0,(Upgrades!$G$8+G332*Upgrades!$H$8)*POWER(Upgrades!$I$8,G332)))*(IF(Upgrades!$T$6="Stellar Coupling",POWER(Upgrades!$U$6,E332),1)*IF(Upgrades!$T$7="Stellar Coupling",POWER(Upgrades!$U$7,F332),1)*IF(Upgrades!$T$9="Stellar Coupling",POWER(Upgrades!$U$9,H332),1)*IF(Upgrades!$T$10="Stellar Coupling",POWER(Upgrades!$U$10,I332),1)*IF(Upgrades!$T$11="Stellar Coupling",POWER(Upgrades!$U$11,J332),1)*IF(Upgrades!$T$12="Stellar Coupling",POWER(Upgrades!$U$12,K332),1))+(IF(H332=0,0,(Upgrades!$G$9+H332*Upgrades!$H$9)*POWER(Upgrades!$I$9,H332)))*(IF(Upgrades!$T$6="Magnetosphere",POWER(Upgrades!$U$6,E332),1)*IF(Upgrades!$T$7="Magnetosphere",POWER(Upgrades!$U$7,F332),1)*IF(Upgrades!$T$8="Magnetosphere",POWER(Upgrades!$U$8,G332),1)*IF(Upgrades!$T$10="Magnetosphere",POWER(Upgrades!$U$10,I332),1)*IF(Upgrades!$T$11="Magnetosphere",POWER(Upgrades!$U$11,J332),1)*IF(Upgrades!$T$12="Magnetosphere",POWER(Upgrades!$U$12,K332),1))+(IF(I332=0,0,(Upgrades!$G$10+I332*Upgrades!$H$10)*POWER(Upgrades!$I$10,I332)))*(IF(Upgrades!$T$6="Orbital Resonance",POWER(Upgrades!$U$6,E332),1)*IF(Upgrades!$T$7="Orbital Resonance",POWER(Upgrades!$U$7,F332),1)*IF(Upgrades!$T$8="Orbital Resonance",POWER(Upgrades!$U$8,G332),1)*IF(Upgrades!$T$9="Orbital Resonance",POWER(Upgrades!$U$9,H332),1)*IF(Upgrades!$T$11="Orbital Resonance",POWER(Upgrades!$U$11,J332),1)*IF(Upgrades!$T$12="Orbital Resonance",POWER(Upgrades!$U$12,K332),1))+(IF(J332=0,0,(Upgrades!$G$11+J332*Upgrades!$H$11)*POWER(Upgrades!$I$11,J332)))*(IF(Upgrades!$T$6="Heliopause",POWER(Upgrades!$U$6,E332),1)*IF(Upgrades!$T$7="Heliopause",POWER(Upgrades!$U$7,F332),1)*IF(Upgrades!$T$8="Heliopause",POWER(Upgrades!$U$8,G332),1)*IF(Upgrades!$T$9="Heliopause",POWER(Upgrades!$U$9,H332),1)*IF(Upgrades!$T$10="Heliopause",POWER(Upgrades!$U$10,I332),1)*IF(Upgrades!$T$12="Heliopause",POWER(Upgrades!$U$12,K332),1))+(IF(K332=0,0,(Upgrades!$G$12+K332*Upgrades!$H$12)*POWER(Upgrades!$I$12,K332)))*(IF(Upgrades!$T$6="First Photons",POWER(Upgrades!$U$6,E332),1)*IF(Upgrades!$T$7="First Photons",POWER(Upgrades!$U$7,F332),1)*IF(Upgrades!$T$8="First Photons",POWER(Upgrades!$U$8,G332),1)*IF(Upgrades!$T$9="First Photons",POWER(Upgrades!$U$9,H332),1)*IF(Upgrades!$T$10="First Photons",POWER(Upgrades!$U$10,I332),1)*IF(Upgrades!$T$11="First Photons",POWER(Upgrades!$U$11,J332),1)))*POWER(Upgrades!$P$6,E332)*POWER(Upgrades!$P$7,F332)*POWER(Upgrades!$P$8,G332)*POWER(Upgrades!$P$9,H332)*POWER(Upgrades!$P$10,I332)*POWER(Upgrades!$P$11,J332)*POWER(Upgrades!$P$12,K332)</f>
        <v>11.2</v>
      </c>
      <c r="O332" s="28" t="n">
        <f aca="false">((IF(E332=0,0,(Upgrades!$M$6+E332*Upgrades!$N$6)*POWER(Upgrades!$O$6,E332)))*(IF(Upgrades!$T$7="Solar Wind",POWER(Upgrades!$U$7,F332),1)*IF(Upgrades!$T$8="Solar Wind",POWER(Upgrades!$U$8,G332),1)*IF(Upgrades!$T$9="Solar Wind",POWER(Upgrades!$U$9,H332),1)*IF(Upgrades!$T$10="Solar Wind",POWER(Upgrades!$U$10,I332),1)*IF(Upgrades!$T$11="Solar Wind",POWER(Upgrades!$U$11,J332),1)*IF(Upgrades!$T$12="Solar Wind",POWER(Upgrades!$U$12,K332),1))+(IF(F332=0,0,(Upgrades!$M$7+F332*Upgrades!$N$7)*POWER(Upgrades!$O$7,F332)))*(IF(Upgrades!$T$6="Asteroid Belt",POWER(Upgrades!$U$6,E332),1)*IF(Upgrades!$T$8="Asteroid Belt",POWER(Upgrades!$U$8,G332),1)*IF(Upgrades!$T$9="Asteroid Belt",POWER(Upgrades!$U$9,H332),1)*IF(Upgrades!$T$10="Asteroid Belt",POWER(Upgrades!$U$10,I332),1)*IF(Upgrades!$T$11="Asteroid Belt",POWER(Upgrades!$U$11,J332),1)*IF(Upgrades!$T$12="Asteroid Belt",POWER(Upgrades!$U$12,K332),1))+(IF(G332=0,0,(Upgrades!$M$8+G332*Upgrades!$N$8)*POWER(Upgrades!$O$8,G332)))*(IF(Upgrades!$T$6="Stellar Coupling",POWER(Upgrades!$U$6,E332),1)*IF(Upgrades!$T$7="Stellar Coupling",POWER(Upgrades!$U$7,F332),1)*IF(Upgrades!$T$9="Stellar Coupling",POWER(Upgrades!$U$9,H332),1)*IF(Upgrades!$T$10="Stellar Coupling",POWER(Upgrades!$U$10,I332),1)*IF(Upgrades!$T$11="Stellar Coupling",POWER(Upgrades!$U$11,J332),1)*IF(Upgrades!$T$12="Stellar Coupling",POWER(Upgrades!$U$12,K332),1))+(IF(H332=0,0,(Upgrades!$M$9+H332*Upgrades!$N$9)*POWER(Upgrades!$O$9,H332)))*(IF(Upgrades!$T$6="Magnetosphere",POWER(Upgrades!$U$6,E332),1)*IF(Upgrades!$T$7="Magnetosphere",POWER(Upgrades!$U$7,F332),1)*IF(Upgrades!$T$8="Magnetosphere",POWER(Upgrades!$U$8,G332),1)*IF(Upgrades!$T$10="Magnetosphere",POWER(Upgrades!$U$10,I332),1)*IF(Upgrades!$T$11="Magnetosphere",POWER(Upgrades!$U$11,J332),1)*IF(Upgrades!$T$12="Magnetosphere",POWER(Upgrades!$U$12,K332),1))+(IF(I332=0,0,(Upgrades!$M$10+I332*Upgrades!$N$10)*POWER(Upgrades!$O$10,I332)))*(IF(Upgrades!$T$6="Orbital Resonance",POWER(Upgrades!$U$6,E332),1)*IF(Upgrades!$T$7="Orbital Resonance",POWER(Upgrades!$U$7,F332),1)*IF(Upgrades!$T$8="Orbital Resonance",POWER(Upgrades!$U$8,G332),1)*IF(Upgrades!$T$9="Orbital Resonance",POWER(Upgrades!$U$9,H332),1)*IF(Upgrades!$T$11="Orbital Resonance",POWER(Upgrades!$U$11,J332),1)*IF(Upgrades!$T$12="Orbital Resonance",POWER(Upgrades!$U$12,K332),1))+(IF(J332=0,0,(Upgrades!$M$11+J332*Upgrades!$N$11)*POWER(Upgrades!$O$11,J332)))*(IF(Upgrades!$T$6="Heliopause",POWER(Upgrades!$U$6,E332),1)*IF(Upgrades!$T$7="Heliopause",POWER(Upgrades!$U$7,F332),1)*IF(Upgrades!$T$8="Heliopause",POWER(Upgrades!$U$8,G332),1)*IF(Upgrades!$T$9="Heliopause",POWER(Upgrades!$U$9,H332),1)*IF(Upgrades!$T$10="Heliopause",POWER(Upgrades!$U$10,I332),1)*IF(Upgrades!$T$12="Heliopause",POWER(Upgrades!$U$12,K332),1))+(IF(K332=0,0,(Upgrades!$M$12+K332*Upgrades!$N$12)*POWER(Upgrades!$O$12,K332)))*(IF(Upgrades!$T$6="First Photons",POWER(Upgrades!$U$6,E332),1)*IF(Upgrades!$T$7="First Photons",POWER(Upgrades!$U$7,F332),1)*IF(Upgrades!$T$8="First Photons",POWER(Upgrades!$U$8,G332),1)*IF(Upgrades!$T$9="First Photons",POWER(Upgrades!$U$9,H332),1)*IF(Upgrades!$T$10="First Photons",POWER(Upgrades!$U$10,I332),1)*IF(Upgrades!$T$11="First Photons",POWER(Upgrades!$U$11,J332),1)))*POWER(Upgrades!$R$6,E332)*POWER(Upgrades!$R$7,F332)*POWER(Upgrades!$R$8,G332)*POWER(Upgrades!$R$9,H332)*POWER(Upgrades!$R$10,I332)*POWER(Upgrades!$R$11,J332)*POWER(Upgrades!$R$12,K332)</f>
        <v>0</v>
      </c>
      <c r="P332" s="27" t="n">
        <f aca="false">IF(L332=1,0,M332*Parameters!$B$10/60*Parameters!$B$11*10)</f>
        <v>0</v>
      </c>
      <c r="Q332" s="27" t="n">
        <f aca="false">IF(L332=1,0,O332*M332*10)</f>
        <v>0</v>
      </c>
      <c r="R332" s="27" t="n">
        <f aca="false">IF(L332=1,0,N332*10)</f>
        <v>0</v>
      </c>
      <c r="S332" s="27" t="n">
        <f aca="false">P332+Q332+R332</f>
        <v>0</v>
      </c>
      <c r="T332" s="21" t="n">
        <f aca="false">C332+S332</f>
        <v>18.6730249835055</v>
      </c>
      <c r="U332" s="34" t="str">
        <f aca="false">AX332</f>
        <v/>
      </c>
      <c r="V332" s="21" t="n">
        <f aca="false">IF(U332="",0,IF(U332="transition",0,IF(U332="SW",AG332,IF(U332="AB",AH332,IF(U332="SC",AI332,IF(U332="Mag",AJ332,IF(U332="OR",AK332,IF(U332="HP",AL332,IF(U332="FP",AM332,0)))))))))</f>
        <v>0</v>
      </c>
      <c r="W332" s="27" t="n">
        <f aca="false">IF(U332="OR",Upgrades!$F$10,IF(U332="HP",Upgrades!$F$11,IF(U332="transition",-Parameters!$B$18,0)))</f>
        <v>0</v>
      </c>
      <c r="X332" s="21" t="n">
        <f aca="false">T332-V332</f>
        <v>18.6730249835055</v>
      </c>
      <c r="Y332" s="30" t="n">
        <f aca="false">M332*Parameters!$B$10/60*Parameters!$B$11+O332*M332+N332</f>
        <v>20.55</v>
      </c>
      <c r="Z332" s="35" t="str">
        <f aca="false">IF(U332="transition","→ Tier 2 (Stellar Neighborhood)",IF(U332="FP","First Photons — light begins, system quickens",IF(U332="HP","Heliopause acquired",IF(U332="OR","Orbital Resonance — passive multiplier active",IF(AND(AO332=1,L332=0,AN332&lt;&gt;1),"Cohesion ready (waiting on completionist upgrades)","")))))</f>
        <v/>
      </c>
      <c r="AA332" s="27" t="n">
        <f aca="false">(IF(E332=0,0,(Upgrades!$G$6+E332*Upgrades!$H$6)*POWER(Upgrades!$I$6,E332)))*(IF(Upgrades!$T$7="Solar Wind",POWER(Upgrades!$U$7,F332),1)*IF(Upgrades!$T$8="Solar Wind",POWER(Upgrades!$U$8,G332),1)*IF(Upgrades!$T$9="Solar Wind",POWER(Upgrades!$U$9,H332),1)*IF(Upgrades!$T$10="Solar Wind",POWER(Upgrades!$U$10,I332),1)*IF(Upgrades!$T$11="Solar Wind",POWER(Upgrades!$U$11,J332),1)*IF(Upgrades!$T$12="Solar Wind",POWER(Upgrades!$U$12,K332),1))*POWER(Upgrades!$P$6,E332)*POWER(Upgrades!$P$7,F332)*POWER(Upgrades!$P$8,G332)*POWER(Upgrades!$P$9,H332)*POWER(Upgrades!$P$10,I332)*POWER(Upgrades!$P$11,J332)*POWER(Upgrades!$P$12,K332)*60</f>
        <v>72</v>
      </c>
      <c r="AB332" s="27" t="n">
        <f aca="false">(IF(F332=0,0,(Upgrades!$G$7+F332*Upgrades!$H$7)*POWER(Upgrades!$I$7,F332)))*(IF(Upgrades!$T$6="Asteroid Belt",POWER(Upgrades!$U$6,E332),1)*IF(Upgrades!$T$8="Asteroid Belt",POWER(Upgrades!$U$8,G332),1)*IF(Upgrades!$T$9="Asteroid Belt",POWER(Upgrades!$U$9,H332),1)*IF(Upgrades!$T$10="Asteroid Belt",POWER(Upgrades!$U$10,I332),1)*IF(Upgrades!$T$11="Asteroid Belt",POWER(Upgrades!$U$11,J332),1)*IF(Upgrades!$T$12="Asteroid Belt",POWER(Upgrades!$U$12,K332),1))*POWER(Upgrades!$P$6,E332)*POWER(Upgrades!$P$7,F332)*POWER(Upgrades!$P$8,G332)*POWER(Upgrades!$P$9,H332)*POWER(Upgrades!$P$10,I332)*POWER(Upgrades!$P$11,J332)*POWER(Upgrades!$P$12,K332)*60</f>
        <v>150</v>
      </c>
      <c r="AC332" s="27" t="n">
        <f aca="false">(IF(G332=0,0,(Upgrades!$J$8+G332*Upgrades!$K$8)*POWER(Upgrades!$L$8,G332)))*(IF(Upgrades!$T$6="Stellar Coupling",POWER(Upgrades!$U$6,E332),1)*IF(Upgrades!$T$7="Stellar Coupling",POWER(Upgrades!$U$7,F332),1)*IF(Upgrades!$T$9="Stellar Coupling",POWER(Upgrades!$U$9,H332),1)*IF(Upgrades!$T$10="Stellar Coupling",POWER(Upgrades!$U$10,I332),1)*IF(Upgrades!$T$11="Stellar Coupling",POWER(Upgrades!$U$11,J332),1)*IF(Upgrades!$T$12="Stellar Coupling",POWER(Upgrades!$U$12,K332),1))*POWER(Upgrades!$Q$6,E332)*POWER(Upgrades!$Q$7,F332)*POWER(Upgrades!$Q$8,G332)*POWER(Upgrades!$Q$9,H332)*POWER(Upgrades!$Q$10,I332)*POWER(Upgrades!$Q$11,J332)*POWER(Upgrades!$Q$12,K332)*Parameters!$B$10*Parameters!$B$11</f>
        <v>441</v>
      </c>
      <c r="AD332" s="27" t="n">
        <f aca="false">(IF(H332=0,0,(Upgrades!$G$9+H332*Upgrades!$H$9)*POWER(Upgrades!$I$9,H332)))*(IF(Upgrades!$T$6="Magnetosphere",POWER(Upgrades!$U$6,E332),1)*IF(Upgrades!$T$7="Magnetosphere",POWER(Upgrades!$U$7,F332),1)*IF(Upgrades!$T$8="Magnetosphere",POWER(Upgrades!$U$8,G332),1)*IF(Upgrades!$T$10="Magnetosphere",POWER(Upgrades!$U$10,I332),1)*IF(Upgrades!$T$11="Magnetosphere",POWER(Upgrades!$U$11,J332),1)*IF(Upgrades!$T$12="Magnetosphere",POWER(Upgrades!$U$12,K332),1))*POWER(Upgrades!$P$6,E332)*POWER(Upgrades!$P$7,F332)*POWER(Upgrades!$P$8,G332)*POWER(Upgrades!$P$9,H332)*POWER(Upgrades!$P$10,I332)*POWER(Upgrades!$P$11,J332)*POWER(Upgrades!$P$12,K332)*60</f>
        <v>375</v>
      </c>
      <c r="AE332" s="27" t="n">
        <f aca="false">(IF(K332=0,0,(Upgrades!$G$12+K332*Upgrades!$H$12)*POWER(Upgrades!$I$12,K332)))*(IF(Upgrades!$T$6="First Photons",POWER(Upgrades!$U$6,E332),1)*IF(Upgrades!$T$7="First Photons",POWER(Upgrades!$U$7,F332),1)*IF(Upgrades!$T$8="First Photons",POWER(Upgrades!$U$8,G332),1)*IF(Upgrades!$T$9="First Photons",POWER(Upgrades!$U$9,H332),1)*IF(Upgrades!$T$10="First Photons",POWER(Upgrades!$U$10,I332),1)*IF(Upgrades!$T$11="First Photons",POWER(Upgrades!$U$11,J332),1))*POWER(Upgrades!$P$6,E332)*POWER(Upgrades!$P$7,F332)*POWER(Upgrades!$P$8,G332)*POWER(Upgrades!$P$9,H332)*POWER(Upgrades!$P$10,I332)*POWER(Upgrades!$P$11,J332)*POWER(Upgrades!$P$12,K332)*60</f>
        <v>75</v>
      </c>
      <c r="AF332" s="27" t="n">
        <f aca="false">Parameters!$B$9*POWER(Upgrades!$Q$6,E332)*POWER(Upgrades!$Q$7,F332)*POWER(Upgrades!$Q$8,G332)*POWER(Upgrades!$Q$9,H332)*POWER(Upgrades!$Q$10,I332)*POWER(Upgrades!$Q$11,J332)*POWER(Upgrades!$Q$12,K332)*(Parameters!$B$10*Parameters!$B$11+O332*60)</f>
        <v>120</v>
      </c>
      <c r="AG332" s="21" t="n">
        <f aca="false">IF(E332&gt;=Upgrades!$E$6,"",Upgrades!$C$6*POWER(Upgrades!$D$6,E332))</f>
        <v>37.4517507383159</v>
      </c>
      <c r="AH332" s="21" t="n">
        <f aca="false">IF(F332&gt;=Upgrades!$E$7,"",Upgrades!$C$7*POWER(Upgrades!$D$7,F332))</f>
        <v>80.9111547141581</v>
      </c>
      <c r="AI332" s="21" t="n">
        <f aca="false">IF(G332&gt;=Upgrades!$E$8,"",Upgrades!$C$8*POWER(Upgrades!$D$8,G332))</f>
        <v>231.9097088</v>
      </c>
      <c r="AJ332" s="21" t="str">
        <f aca="false">IF(H332&gt;=Upgrades!$E$9,"",Upgrades!$C$9*POWER(Upgrades!$D$9,H332))</f>
        <v/>
      </c>
      <c r="AK332" s="21" t="str">
        <f aca="false">IF(I332&gt;=Upgrades!$E$10,"",Upgrades!$C$10*POWER(Upgrades!$D$10,I332))</f>
        <v/>
      </c>
      <c r="AL332" s="21" t="str">
        <f aca="false">IF(J332&gt;=Upgrades!$E$11,"",Upgrades!$C$11*POWER(Upgrades!$D$11,J332))</f>
        <v/>
      </c>
      <c r="AM332" s="21" t="str">
        <f aca="false">IF(K332&gt;=Upgrades!$E$12,"",Upgrades!$C$12*POWER(Upgrades!$D$12,K332))</f>
        <v/>
      </c>
      <c r="AN332" s="26" t="str">
        <f aca="false">IF(AND(D332&gt;=Parameters!$B$18,(H332&gt;=Upgrades!$E$9)*(K332&gt;=Upgrades!$E$12)=1,L332=0),1,"")</f>
        <v/>
      </c>
      <c r="AO332" s="26" t="str">
        <f aca="false">IF(AND(D332&gt;=Parameters!$B$18,L332=0),1,"")</f>
        <v/>
      </c>
      <c r="AP332" s="21" t="n">
        <f aca="false">MIN(IF(ISNUMBER(AK332),AK332,9000000000000000),IF(ISNUMBER(AL332),AL332,9000000000000000),IF(ISNUMBER(AM332),AM332,9000000000000000))</f>
        <v>9000000000000000</v>
      </c>
      <c r="AQ332" s="21" t="n">
        <f aca="false">MIN(IF(ISNUMBER(AG332),AG332,9000000000000000),IF(ISNUMBER(AH332),AH332,9000000000000000),IF(ISNUMBER(AI332),AI332,9000000000000000),IF(ISNUMBER(AJ332),AJ332,9000000000000000))</f>
        <v>37.4517507383159</v>
      </c>
      <c r="AR332" s="32" t="b">
        <f aca="false">IF(AW332&gt;Parameters!$B$21*(MAX(IF(AND(NOT(AND(AO332=1,AN332&lt;&gt;1)),ISNUMBER(AG332),AG332&lt;=T332),AS332,0),IF(AND(NOT(AND(AO332=1,AN332&lt;&gt;1)),ISNUMBER(AH332),AH332&lt;=T332),AT332,0),IF(AND(NOT(AND(AO332=1,AN332&lt;&gt;1)),ISNUMBER(AI332),AI332&lt;=T332),AU332,0),IF(AND(ISNUMBER(AJ332),AJ332&lt;=T332),AV332,0))),TRUE(),FALSE())</f>
        <v>1</v>
      </c>
      <c r="AS332" s="33" t="n">
        <f aca="false">IFERROR(Upgrades!$H$6*(POWER(Upgrades!$P$6,E332)*POWER(Upgrades!$P$7,F332)*POWER(Upgrades!$P$8,G332)*POWER(Upgrades!$P$9,H332)*POWER(Upgrades!$P$10,I332)*POWER(Upgrades!$P$11,J332)*POWER(Upgrades!$P$12,K332))*(IF(Upgrades!$T$7="Solar Wind",POWER(Upgrades!$U$7,F332),1)*IF(Upgrades!$T$8="Solar Wind",POWER(Upgrades!$U$8,G332),1)*IF(Upgrades!$T$9="Solar Wind",POWER(Upgrades!$U$9,H332),1)*IF(Upgrades!$T$10="Solar Wind",POWER(Upgrades!$U$10,I332),1)*IF(Upgrades!$T$11="Solar Wind",POWER(Upgrades!$U$11,J332),1)*IF(Upgrades!$T$12="Solar Wind",POWER(Upgrades!$U$12,K332),1))/AG332,0)</f>
        <v>0.0026701021455238</v>
      </c>
      <c r="AT332" s="33" t="n">
        <f aca="false">IFERROR(Upgrades!$H$7*(POWER(Upgrades!$P$6,E332)*POWER(Upgrades!$P$7,F332)*POWER(Upgrades!$P$8,G332)*POWER(Upgrades!$P$9,H332)*POWER(Upgrades!$P$10,I332)*POWER(Upgrades!$P$11,J332)*POWER(Upgrades!$P$12,K332))*(IF(Upgrades!$T$6="Asteroid Belt",POWER(Upgrades!$U$6,E332),1)*IF(Upgrades!$T$8="Asteroid Belt",POWER(Upgrades!$U$8,G332),1)*IF(Upgrades!$T$9="Asteroid Belt",POWER(Upgrades!$U$9,H332),1)*IF(Upgrades!$T$10="Asteroid Belt",POWER(Upgrades!$U$10,I332),1)*IF(Upgrades!$T$11="Asteroid Belt",POWER(Upgrades!$U$11,J332),1)*IF(Upgrades!$T$12="Asteroid Belt",POWER(Upgrades!$U$12,K332),1))/AH332,0)</f>
        <v>0.00308980882652332</v>
      </c>
      <c r="AU332" s="33" t="n">
        <f aca="false">IFERROR(Upgrades!$K$8*(POWER(Upgrades!$Q$6,E332)*POWER(Upgrades!$Q$7,F332)*POWER(Upgrades!$Q$8,G332)*POWER(Upgrades!$Q$9,H332)*POWER(Upgrades!$Q$10,I332)*POWER(Upgrades!$Q$11,J332)*POWER(Upgrades!$Q$12,K332))*(IF(Upgrades!$T$6="Stellar Coupling",POWER(Upgrades!$U$6,E332),1)*IF(Upgrades!$T$7="Stellar Coupling",POWER(Upgrades!$U$7,F332),1)*IF(Upgrades!$T$9="Stellar Coupling",POWER(Upgrades!$U$9,H332),1)*IF(Upgrades!$T$10="Stellar Coupling",POWER(Upgrades!$U$10,I332),1)*IF(Upgrades!$T$11="Stellar Coupling",POWER(Upgrades!$U$11,J332),1)*IF(Upgrades!$T$12="Stellar Coupling",POWER(Upgrades!$U$12,K332),1))*Parameters!$B$10*Parameters!$B$11/60/AI332,0)</f>
        <v>0.00452762415783776</v>
      </c>
      <c r="AV332" s="33" t="n">
        <f aca="false">IFERROR(Upgrades!$H$9*(POWER(Upgrades!$P$6,E332)*POWER(Upgrades!$P$7,F332)*POWER(Upgrades!$P$8,G332)*POWER(Upgrades!$P$9,H332)*POWER(Upgrades!$P$10,I332)*POWER(Upgrades!$P$11,J332)*POWER(Upgrades!$P$12,K332))*(IF(Upgrades!$T$6="Magnetosphere",POWER(Upgrades!$U$6,E332),1)*IF(Upgrades!$T$7="Magnetosphere",POWER(Upgrades!$U$7,F332),1)*IF(Upgrades!$T$8="Magnetosphere",POWER(Upgrades!$U$8,G332),1)*IF(Upgrades!$T$10="Magnetosphere",POWER(Upgrades!$U$10,I332),1)*IF(Upgrades!$T$11="Magnetosphere",POWER(Upgrades!$U$11,J332),1)*IF(Upgrades!$T$12="Magnetosphere",POWER(Upgrades!$U$12,K332),1))/AJ332,0)</f>
        <v>0</v>
      </c>
      <c r="AW332" s="33" t="n">
        <f aca="false">MAX(IF(I332&gt;0,0,IFERROR(0.25*N332/Upgrades!$C$10,0)),IF(J332&gt;0,0,IFERROR(0.5*((IF(G332=0,0,(Upgrades!$J$8+G332*Upgrades!$K$8)*POWER(Upgrades!$L$8,G332)))*(IF(Upgrades!$T$6="Stellar Coupling",POWER(Upgrades!$U$6,E332),1)*IF(Upgrades!$T$7="Stellar Coupling",POWER(Upgrades!$U$7,F332),1)*IF(Upgrades!$T$9="Stellar Coupling",POWER(Upgrades!$U$9,H332),1)*IF(Upgrades!$T$10="Stellar Coupling",POWER(Upgrades!$U$10,I332),1)*IF(Upgrades!$T$11="Stellar Coupling",POWER(Upgrades!$U$11,J332),1)*IF(Upgrades!$T$12="Stellar Coupling",POWER(Upgrades!$U$12,K332),1))*(POWER(Upgrades!$Q$6,E332)*POWER(Upgrades!$Q$7,F332)*POWER(Upgrades!$Q$8,G332)*POWER(Upgrades!$Q$9,H332)*POWER(Upgrades!$Q$10,I332)*POWER(Upgrades!$Q$11,J332)*POWER(Upgrades!$Q$12,K332))*Parameters!$B$10*Parameters!$B$11/60)/Upgrades!$C$11,0)),IF(K332&gt;0,0,IFERROR((1*(POWER(Upgrades!$P$6,E332)*POWER(Upgrades!$P$7,F332)*POWER(Upgrades!$P$8,G332)*POWER(Upgrades!$P$9,H332)*POWER(Upgrades!$P$10,I332)*POWER(Upgrades!$P$11,J332)*POWER(Upgrades!$P$12,K332))+0.2*M332*Parameters!$B$10*Parameters!$B$11/60)/Upgrades!$C$12,0)),IF(AND(ISNUMBER(AG332),AG332&gt;T332),AS332,0),IF(AND(ISNUMBER(AH332),AH332&gt;T332),AT332,0),IF(AND(ISNUMBER(AI332),AI332&gt;T332),AU332,0),IF(AND(ISNUMBER(AJ332),AJ332&gt;T332),AV332,0))</f>
        <v>0.00452762415783776</v>
      </c>
      <c r="AX332" s="29" t="str">
        <f aca="false">IF(AN332=1,"transition",IF(MIN(IF(AND(I332=0,ISNUMBER(AK332),AK332&lt;=T332),AK332,9000000000000000),IF(AND(J332=0,ISNUMBER(AL332),AL332&lt;=T332),AL332,9000000000000000),IF(AND(K332=0,ISNUMBER(AM332),AM332&lt;=T332),AM332,9000000000000000))&lt;9000000000000000,IF(AND(AND(I332=0,ISNUMBER(AK332),AK332&lt;=T332),AK332=MIN(IF(AND(I332=0,ISNUMBER(AK332),AK332&lt;=T332),AK332,9000000000000000),IF(AND(J332=0,ISNUMBER(AL332),AL332&lt;=T332),AL332,9000000000000000),IF(AND(K332=0,ISNUMBER(AM332),AM332&lt;=T332),AM332,9000000000000000))),"OR",IF(AND(AND(J332=0,ISNUMBER(AL332),AL332&lt;=T332),AL332=MIN(IF(AND(I332=0,ISNUMBER(AK332),AK332&lt;=T332),AK332,9000000000000000),IF(AND(J332=0,ISNUMBER(AL332),AL332&lt;=T332),AL332,9000000000000000),IF(AND(K332=0,ISNUMBER(AM332),AM332&lt;=T332),AM332,9000000000000000))),"HP","FP")),IF(AR332=TRUE(),"",IF(MAX(IF(AND(NOT(AND(AO332=1,AN332&lt;&gt;1)),ISNUMBER(AG332),AG332&lt;=T332),AS332,0),IF(AND(NOT(AND(AO332=1,AN332&lt;&gt;1)),ISNUMBER(AH332),AH332&lt;=T332),AT332,0),IF(AND(NOT(AND(AO332=1,AN332&lt;&gt;1)),ISNUMBER(AI332),AI332&lt;=T332),AU332,0),IF(AND(ISNUMBER(AJ332),AJ332&lt;=T332),AV332,0))&lt;=0,"",IF(AND(IF(AND(NOT(AND(AO332=1,AN332&lt;&gt;1)),ISNUMBER(AG332),AG332&lt;=T332),AS332,0)&gt;0,IF(AND(NOT(AND(AO332=1,AN332&lt;&gt;1)),ISNUMBER(AG332),AG332&lt;=T332),AS332,0)=MAX(IF(AND(NOT(AND(AO332=1,AN332&lt;&gt;1)),ISNUMBER(AG332),AG332&lt;=T332),AS332,0),IF(AND(NOT(AND(AO332=1,AN332&lt;&gt;1)),ISNUMBER(AH332),AH332&lt;=T332),AT332,0),IF(AND(NOT(AND(AO332=1,AN332&lt;&gt;1)),ISNUMBER(AI332),AI332&lt;=T332),AU332,0),IF(AND(ISNUMBER(AJ332),AJ332&lt;=T332),AV332,0))),"SW",IF(AND(IF(AND(NOT(AND(AO332=1,AN332&lt;&gt;1)),ISNUMBER(AH332),AH332&lt;=T332),AT332,0)&gt;0,IF(AND(NOT(AND(AO332=1,AN332&lt;&gt;1)),ISNUMBER(AH332),AH332&lt;=T332),AT332,0)=MAX(IF(AND(NOT(AND(AO332=1,AN332&lt;&gt;1)),ISNUMBER(AG332),AG332&lt;=T332),AS332,0),IF(AND(NOT(AND(AO332=1,AN332&lt;&gt;1)),ISNUMBER(AH332),AH332&lt;=T332),AT332,0),IF(AND(NOT(AND(AO332=1,AN332&lt;&gt;1)),ISNUMBER(AI332),AI332&lt;=T332),AU332,0),IF(AND(ISNUMBER(AJ332),AJ332&lt;=T332),AV332,0))),"AB",IF(AND(IF(AND(NOT(AND(AO332=1,AN332&lt;&gt;1)),ISNUMBER(AI332),AI332&lt;=T332),AU332,0)&gt;0,IF(AND(NOT(AND(AO332=1,AN332&lt;&gt;1)),ISNUMBER(AI332),AI332&lt;=T332),AU332,0)=MAX(IF(AND(NOT(AND(AO332=1,AN332&lt;&gt;1)),ISNUMBER(AG332),AG332&lt;=T332),AS332,0),IF(AND(NOT(AND(AO332=1,AN332&lt;&gt;1)),ISNUMBER(AH332),AH332&lt;=T332),AT332,0),IF(AND(NOT(AND(AO332=1,AN332&lt;&gt;1)),ISNUMBER(AI332),AI332&lt;=T332),AU332,0),IF(AND(ISNUMBER(AJ332),AJ332&lt;=T332),AV332,0))),"SC","Mag")))))))</f>
        <v/>
      </c>
    </row>
    <row r="333" customFormat="false" ht="15" hidden="false" customHeight="false" outlineLevel="0" collapsed="false">
      <c r="A333" s="26" t="n">
        <v>328</v>
      </c>
      <c r="B333" s="27" t="n">
        <f aca="false">A333*10/60</f>
        <v>54.6666666666667</v>
      </c>
      <c r="C333" s="21" t="n">
        <f aca="false">X332</f>
        <v>18.6730249835055</v>
      </c>
      <c r="D333" s="27" t="n">
        <f aca="false">D332+W332</f>
        <v>0</v>
      </c>
      <c r="E333" s="26" t="n">
        <f aca="false">E332+IF(U332="SW",1,0)</f>
        <v>12</v>
      </c>
      <c r="F333" s="26" t="n">
        <f aca="false">F332+IF(U332="AB",1,0)</f>
        <v>10</v>
      </c>
      <c r="G333" s="26" t="n">
        <f aca="false">G332+IF(U332="SC",1,0)</f>
        <v>7</v>
      </c>
      <c r="H333" s="26" t="n">
        <f aca="false">H332+IF(U332="Mag",1,0)</f>
        <v>5</v>
      </c>
      <c r="I333" s="26" t="n">
        <f aca="false">MAX(I332,IF(U332="OR",1,0))</f>
        <v>1</v>
      </c>
      <c r="J333" s="26" t="n">
        <f aca="false">MAX(J332,IF(U332="HP",1,0))</f>
        <v>1</v>
      </c>
      <c r="K333" s="26" t="n">
        <f aca="false">MAX(K332,IF(U332="FP",1,0))</f>
        <v>1</v>
      </c>
      <c r="L333" s="26" t="n">
        <f aca="false">MAX(L332,IF(U332="transition",1,0))</f>
        <v>1</v>
      </c>
      <c r="M333" s="28" t="n">
        <f aca="false">(Parameters!$B$9+(IF(E333=0,0,(Upgrades!$J$6+E333*Upgrades!$K$6)*POWER(Upgrades!$L$6,E333)))*(IF(Upgrades!$T$7="Solar Wind",POWER(Upgrades!$U$7,F333),1)*IF(Upgrades!$T$8="Solar Wind",POWER(Upgrades!$U$8,G333),1)*IF(Upgrades!$T$9="Solar Wind",POWER(Upgrades!$U$9,H333),1)*IF(Upgrades!$T$10="Solar Wind",POWER(Upgrades!$U$10,I333),1)*IF(Upgrades!$T$11="Solar Wind",POWER(Upgrades!$U$11,J333),1)*IF(Upgrades!$T$12="Solar Wind",POWER(Upgrades!$U$12,K333),1))+(IF(F333=0,0,(Upgrades!$J$7+F333*Upgrades!$K$7)*POWER(Upgrades!$L$7,F333)))*(IF(Upgrades!$T$6="Asteroid Belt",POWER(Upgrades!$U$6,E333),1)*IF(Upgrades!$T$8="Asteroid Belt",POWER(Upgrades!$U$8,G333),1)*IF(Upgrades!$T$9="Asteroid Belt",POWER(Upgrades!$U$9,H333),1)*IF(Upgrades!$T$10="Asteroid Belt",POWER(Upgrades!$U$10,I333),1)*IF(Upgrades!$T$11="Asteroid Belt",POWER(Upgrades!$U$11,J333),1)*IF(Upgrades!$T$12="Asteroid Belt",POWER(Upgrades!$U$12,K333),1))+(IF(G333=0,0,(Upgrades!$J$8+G333*Upgrades!$K$8)*POWER(Upgrades!$L$8,G333)))*(IF(Upgrades!$T$6="Stellar Coupling",POWER(Upgrades!$U$6,E333),1)*IF(Upgrades!$T$7="Stellar Coupling",POWER(Upgrades!$U$7,F333),1)*IF(Upgrades!$T$9="Stellar Coupling",POWER(Upgrades!$U$9,H333),1)*IF(Upgrades!$T$10="Stellar Coupling",POWER(Upgrades!$U$10,I333),1)*IF(Upgrades!$T$11="Stellar Coupling",POWER(Upgrades!$U$11,J333),1)*IF(Upgrades!$T$12="Stellar Coupling",POWER(Upgrades!$U$12,K333),1))+(IF(H333=0,0,(Upgrades!$J$9+H333*Upgrades!$K$9)*POWER(Upgrades!$L$9,H333)))*(IF(Upgrades!$T$6="Magnetosphere",POWER(Upgrades!$U$6,E333),1)*IF(Upgrades!$T$7="Magnetosphere",POWER(Upgrades!$U$7,F333),1)*IF(Upgrades!$T$8="Magnetosphere",POWER(Upgrades!$U$8,G333),1)*IF(Upgrades!$T$10="Magnetosphere",POWER(Upgrades!$U$10,I333),1)*IF(Upgrades!$T$11="Magnetosphere",POWER(Upgrades!$U$11,J333),1)*IF(Upgrades!$T$12="Magnetosphere",POWER(Upgrades!$U$12,K333),1))+(IF(I333=0,0,(Upgrades!$J$10+I333*Upgrades!$K$10)*POWER(Upgrades!$L$10,I333)))*(IF(Upgrades!$T$6="Orbital Resonance",POWER(Upgrades!$U$6,E333),1)*IF(Upgrades!$T$7="Orbital Resonance",POWER(Upgrades!$U$7,F333),1)*IF(Upgrades!$T$8="Orbital Resonance",POWER(Upgrades!$U$8,G333),1)*IF(Upgrades!$T$9="Orbital Resonance",POWER(Upgrades!$U$9,H333),1)*IF(Upgrades!$T$11="Orbital Resonance",POWER(Upgrades!$U$11,J333),1)*IF(Upgrades!$T$12="Orbital Resonance",POWER(Upgrades!$U$12,K333),1))+(IF(J333=0,0,(Upgrades!$J$11+J333*Upgrades!$K$11)*POWER(Upgrades!$L$11,J333)))*(IF(Upgrades!$T$6="Heliopause",POWER(Upgrades!$U$6,E333),1)*IF(Upgrades!$T$7="Heliopause",POWER(Upgrades!$U$7,F333),1)*IF(Upgrades!$T$8="Heliopause",POWER(Upgrades!$U$8,G333),1)*IF(Upgrades!$T$9="Heliopause",POWER(Upgrades!$U$9,H333),1)*IF(Upgrades!$T$10="Heliopause",POWER(Upgrades!$U$10,I333),1)*IF(Upgrades!$T$12="Heliopause",POWER(Upgrades!$U$12,K333),1))+(IF(K333=0,0,(Upgrades!$J$12+K333*Upgrades!$K$12)*POWER(Upgrades!$L$12,K333)))*(IF(Upgrades!$T$6="First Photons",POWER(Upgrades!$U$6,E333),1)*IF(Upgrades!$T$7="First Photons",POWER(Upgrades!$U$7,F333),1)*IF(Upgrades!$T$8="First Photons",POWER(Upgrades!$U$8,G333),1)*IF(Upgrades!$T$9="First Photons",POWER(Upgrades!$U$9,H333),1)*IF(Upgrades!$T$10="First Photons",POWER(Upgrades!$U$10,I333),1)*IF(Upgrades!$T$11="First Photons",POWER(Upgrades!$U$11,J333),1)))*POWER(Upgrades!$Q$6,E333)*POWER(Upgrades!$Q$7,F333)*POWER(Upgrades!$Q$8,G333)*POWER(Upgrades!$Q$9,H333)*POWER(Upgrades!$Q$10,I333)*POWER(Upgrades!$Q$11,J333)*POWER(Upgrades!$Q$12,K333)</f>
        <v>5.61</v>
      </c>
      <c r="N333" s="28" t="n">
        <f aca="false">((IF(E333=0,0,(Upgrades!$G$6+E333*Upgrades!$H$6)*POWER(Upgrades!$I$6,E333)))*(IF(Upgrades!$T$7="Solar Wind",POWER(Upgrades!$U$7,F333),1)*IF(Upgrades!$T$8="Solar Wind",POWER(Upgrades!$U$8,G333),1)*IF(Upgrades!$T$9="Solar Wind",POWER(Upgrades!$U$9,H333),1)*IF(Upgrades!$T$10="Solar Wind",POWER(Upgrades!$U$10,I333),1)*IF(Upgrades!$T$11="Solar Wind",POWER(Upgrades!$U$11,J333),1)*IF(Upgrades!$T$12="Solar Wind",POWER(Upgrades!$U$12,K333),1))+(IF(F333=0,0,(Upgrades!$G$7+F333*Upgrades!$H$7)*POWER(Upgrades!$I$7,F333)))*(IF(Upgrades!$T$6="Asteroid Belt",POWER(Upgrades!$U$6,E333),1)*IF(Upgrades!$T$8="Asteroid Belt",POWER(Upgrades!$U$8,G333),1)*IF(Upgrades!$T$9="Asteroid Belt",POWER(Upgrades!$U$9,H333),1)*IF(Upgrades!$T$10="Asteroid Belt",POWER(Upgrades!$U$10,I333),1)*IF(Upgrades!$T$11="Asteroid Belt",POWER(Upgrades!$U$11,J333),1)*IF(Upgrades!$T$12="Asteroid Belt",POWER(Upgrades!$U$12,K333),1))+(IF(G333=0,0,(Upgrades!$G$8+G333*Upgrades!$H$8)*POWER(Upgrades!$I$8,G333)))*(IF(Upgrades!$T$6="Stellar Coupling",POWER(Upgrades!$U$6,E333),1)*IF(Upgrades!$T$7="Stellar Coupling",POWER(Upgrades!$U$7,F333),1)*IF(Upgrades!$T$9="Stellar Coupling",POWER(Upgrades!$U$9,H333),1)*IF(Upgrades!$T$10="Stellar Coupling",POWER(Upgrades!$U$10,I333),1)*IF(Upgrades!$T$11="Stellar Coupling",POWER(Upgrades!$U$11,J333),1)*IF(Upgrades!$T$12="Stellar Coupling",POWER(Upgrades!$U$12,K333),1))+(IF(H333=0,0,(Upgrades!$G$9+H333*Upgrades!$H$9)*POWER(Upgrades!$I$9,H333)))*(IF(Upgrades!$T$6="Magnetosphere",POWER(Upgrades!$U$6,E333),1)*IF(Upgrades!$T$7="Magnetosphere",POWER(Upgrades!$U$7,F333),1)*IF(Upgrades!$T$8="Magnetosphere",POWER(Upgrades!$U$8,G333),1)*IF(Upgrades!$T$10="Magnetosphere",POWER(Upgrades!$U$10,I333),1)*IF(Upgrades!$T$11="Magnetosphere",POWER(Upgrades!$U$11,J333),1)*IF(Upgrades!$T$12="Magnetosphere",POWER(Upgrades!$U$12,K333),1))+(IF(I333=0,0,(Upgrades!$G$10+I333*Upgrades!$H$10)*POWER(Upgrades!$I$10,I333)))*(IF(Upgrades!$T$6="Orbital Resonance",POWER(Upgrades!$U$6,E333),1)*IF(Upgrades!$T$7="Orbital Resonance",POWER(Upgrades!$U$7,F333),1)*IF(Upgrades!$T$8="Orbital Resonance",POWER(Upgrades!$U$8,G333),1)*IF(Upgrades!$T$9="Orbital Resonance",POWER(Upgrades!$U$9,H333),1)*IF(Upgrades!$T$11="Orbital Resonance",POWER(Upgrades!$U$11,J333),1)*IF(Upgrades!$T$12="Orbital Resonance",POWER(Upgrades!$U$12,K333),1))+(IF(J333=0,0,(Upgrades!$G$11+J333*Upgrades!$H$11)*POWER(Upgrades!$I$11,J333)))*(IF(Upgrades!$T$6="Heliopause",POWER(Upgrades!$U$6,E333),1)*IF(Upgrades!$T$7="Heliopause",POWER(Upgrades!$U$7,F333),1)*IF(Upgrades!$T$8="Heliopause",POWER(Upgrades!$U$8,G333),1)*IF(Upgrades!$T$9="Heliopause",POWER(Upgrades!$U$9,H333),1)*IF(Upgrades!$T$10="Heliopause",POWER(Upgrades!$U$10,I333),1)*IF(Upgrades!$T$12="Heliopause",POWER(Upgrades!$U$12,K333),1))+(IF(K333=0,0,(Upgrades!$G$12+K333*Upgrades!$H$12)*POWER(Upgrades!$I$12,K333)))*(IF(Upgrades!$T$6="First Photons",POWER(Upgrades!$U$6,E333),1)*IF(Upgrades!$T$7="First Photons",POWER(Upgrades!$U$7,F333),1)*IF(Upgrades!$T$8="First Photons",POWER(Upgrades!$U$8,G333),1)*IF(Upgrades!$T$9="First Photons",POWER(Upgrades!$U$9,H333),1)*IF(Upgrades!$T$10="First Photons",POWER(Upgrades!$U$10,I333),1)*IF(Upgrades!$T$11="First Photons",POWER(Upgrades!$U$11,J333),1)))*POWER(Upgrades!$P$6,E333)*POWER(Upgrades!$P$7,F333)*POWER(Upgrades!$P$8,G333)*POWER(Upgrades!$P$9,H333)*POWER(Upgrades!$P$10,I333)*POWER(Upgrades!$P$11,J333)*POWER(Upgrades!$P$12,K333)</f>
        <v>11.2</v>
      </c>
      <c r="O333" s="28" t="n">
        <f aca="false">((IF(E333=0,0,(Upgrades!$M$6+E333*Upgrades!$N$6)*POWER(Upgrades!$O$6,E333)))*(IF(Upgrades!$T$7="Solar Wind",POWER(Upgrades!$U$7,F333),1)*IF(Upgrades!$T$8="Solar Wind",POWER(Upgrades!$U$8,G333),1)*IF(Upgrades!$T$9="Solar Wind",POWER(Upgrades!$U$9,H333),1)*IF(Upgrades!$T$10="Solar Wind",POWER(Upgrades!$U$10,I333),1)*IF(Upgrades!$T$11="Solar Wind",POWER(Upgrades!$U$11,J333),1)*IF(Upgrades!$T$12="Solar Wind",POWER(Upgrades!$U$12,K333),1))+(IF(F333=0,0,(Upgrades!$M$7+F333*Upgrades!$N$7)*POWER(Upgrades!$O$7,F333)))*(IF(Upgrades!$T$6="Asteroid Belt",POWER(Upgrades!$U$6,E333),1)*IF(Upgrades!$T$8="Asteroid Belt",POWER(Upgrades!$U$8,G333),1)*IF(Upgrades!$T$9="Asteroid Belt",POWER(Upgrades!$U$9,H333),1)*IF(Upgrades!$T$10="Asteroid Belt",POWER(Upgrades!$U$10,I333),1)*IF(Upgrades!$T$11="Asteroid Belt",POWER(Upgrades!$U$11,J333),1)*IF(Upgrades!$T$12="Asteroid Belt",POWER(Upgrades!$U$12,K333),1))+(IF(G333=0,0,(Upgrades!$M$8+G333*Upgrades!$N$8)*POWER(Upgrades!$O$8,G333)))*(IF(Upgrades!$T$6="Stellar Coupling",POWER(Upgrades!$U$6,E333),1)*IF(Upgrades!$T$7="Stellar Coupling",POWER(Upgrades!$U$7,F333),1)*IF(Upgrades!$T$9="Stellar Coupling",POWER(Upgrades!$U$9,H333),1)*IF(Upgrades!$T$10="Stellar Coupling",POWER(Upgrades!$U$10,I333),1)*IF(Upgrades!$T$11="Stellar Coupling",POWER(Upgrades!$U$11,J333),1)*IF(Upgrades!$T$12="Stellar Coupling",POWER(Upgrades!$U$12,K333),1))+(IF(H333=0,0,(Upgrades!$M$9+H333*Upgrades!$N$9)*POWER(Upgrades!$O$9,H333)))*(IF(Upgrades!$T$6="Magnetosphere",POWER(Upgrades!$U$6,E333),1)*IF(Upgrades!$T$7="Magnetosphere",POWER(Upgrades!$U$7,F333),1)*IF(Upgrades!$T$8="Magnetosphere",POWER(Upgrades!$U$8,G333),1)*IF(Upgrades!$T$10="Magnetosphere",POWER(Upgrades!$U$10,I333),1)*IF(Upgrades!$T$11="Magnetosphere",POWER(Upgrades!$U$11,J333),1)*IF(Upgrades!$T$12="Magnetosphere",POWER(Upgrades!$U$12,K333),1))+(IF(I333=0,0,(Upgrades!$M$10+I333*Upgrades!$N$10)*POWER(Upgrades!$O$10,I333)))*(IF(Upgrades!$T$6="Orbital Resonance",POWER(Upgrades!$U$6,E333),1)*IF(Upgrades!$T$7="Orbital Resonance",POWER(Upgrades!$U$7,F333),1)*IF(Upgrades!$T$8="Orbital Resonance",POWER(Upgrades!$U$8,G333),1)*IF(Upgrades!$T$9="Orbital Resonance",POWER(Upgrades!$U$9,H333),1)*IF(Upgrades!$T$11="Orbital Resonance",POWER(Upgrades!$U$11,J333),1)*IF(Upgrades!$T$12="Orbital Resonance",POWER(Upgrades!$U$12,K333),1))+(IF(J333=0,0,(Upgrades!$M$11+J333*Upgrades!$N$11)*POWER(Upgrades!$O$11,J333)))*(IF(Upgrades!$T$6="Heliopause",POWER(Upgrades!$U$6,E333),1)*IF(Upgrades!$T$7="Heliopause",POWER(Upgrades!$U$7,F333),1)*IF(Upgrades!$T$8="Heliopause",POWER(Upgrades!$U$8,G333),1)*IF(Upgrades!$T$9="Heliopause",POWER(Upgrades!$U$9,H333),1)*IF(Upgrades!$T$10="Heliopause",POWER(Upgrades!$U$10,I333),1)*IF(Upgrades!$T$12="Heliopause",POWER(Upgrades!$U$12,K333),1))+(IF(K333=0,0,(Upgrades!$M$12+K333*Upgrades!$N$12)*POWER(Upgrades!$O$12,K333)))*(IF(Upgrades!$T$6="First Photons",POWER(Upgrades!$U$6,E333),1)*IF(Upgrades!$T$7="First Photons",POWER(Upgrades!$U$7,F333),1)*IF(Upgrades!$T$8="First Photons",POWER(Upgrades!$U$8,G333),1)*IF(Upgrades!$T$9="First Photons",POWER(Upgrades!$U$9,H333),1)*IF(Upgrades!$T$10="First Photons",POWER(Upgrades!$U$10,I333),1)*IF(Upgrades!$T$11="First Photons",POWER(Upgrades!$U$11,J333),1)))*POWER(Upgrades!$R$6,E333)*POWER(Upgrades!$R$7,F333)*POWER(Upgrades!$R$8,G333)*POWER(Upgrades!$R$9,H333)*POWER(Upgrades!$R$10,I333)*POWER(Upgrades!$R$11,J333)*POWER(Upgrades!$R$12,K333)</f>
        <v>0</v>
      </c>
      <c r="P333" s="27" t="n">
        <f aca="false">IF(L333=1,0,M333*Parameters!$B$10/60*Parameters!$B$11*10)</f>
        <v>0</v>
      </c>
      <c r="Q333" s="27" t="n">
        <f aca="false">IF(L333=1,0,O333*M333*10)</f>
        <v>0</v>
      </c>
      <c r="R333" s="27" t="n">
        <f aca="false">IF(L333=1,0,N333*10)</f>
        <v>0</v>
      </c>
      <c r="S333" s="27" t="n">
        <f aca="false">P333+Q333+R333</f>
        <v>0</v>
      </c>
      <c r="T333" s="21" t="n">
        <f aca="false">C333+S333</f>
        <v>18.6730249835055</v>
      </c>
      <c r="U333" s="34" t="str">
        <f aca="false">AX333</f>
        <v/>
      </c>
      <c r="V333" s="21" t="n">
        <f aca="false">IF(U333="",0,IF(U333="transition",0,IF(U333="SW",AG333,IF(U333="AB",AH333,IF(U333="SC",AI333,IF(U333="Mag",AJ333,IF(U333="OR",AK333,IF(U333="HP",AL333,IF(U333="FP",AM333,0)))))))))</f>
        <v>0</v>
      </c>
      <c r="W333" s="27" t="n">
        <f aca="false">IF(U333="OR",Upgrades!$F$10,IF(U333="HP",Upgrades!$F$11,IF(U333="transition",-Parameters!$B$18,0)))</f>
        <v>0</v>
      </c>
      <c r="X333" s="21" t="n">
        <f aca="false">T333-V333</f>
        <v>18.6730249835055</v>
      </c>
      <c r="Y333" s="30" t="n">
        <f aca="false">M333*Parameters!$B$10/60*Parameters!$B$11+O333*M333+N333</f>
        <v>20.55</v>
      </c>
      <c r="Z333" s="35" t="str">
        <f aca="false">IF(U333="transition","→ Tier 2 (Stellar Neighborhood)",IF(U333="FP","First Photons — light begins, system quickens",IF(U333="HP","Heliopause acquired",IF(U333="OR","Orbital Resonance — passive multiplier active",IF(AND(AO333=1,L333=0,AN333&lt;&gt;1),"Cohesion ready (waiting on completionist upgrades)","")))))</f>
        <v/>
      </c>
      <c r="AA333" s="27" t="n">
        <f aca="false">(IF(E333=0,0,(Upgrades!$G$6+E333*Upgrades!$H$6)*POWER(Upgrades!$I$6,E333)))*(IF(Upgrades!$T$7="Solar Wind",POWER(Upgrades!$U$7,F333),1)*IF(Upgrades!$T$8="Solar Wind",POWER(Upgrades!$U$8,G333),1)*IF(Upgrades!$T$9="Solar Wind",POWER(Upgrades!$U$9,H333),1)*IF(Upgrades!$T$10="Solar Wind",POWER(Upgrades!$U$10,I333),1)*IF(Upgrades!$T$11="Solar Wind",POWER(Upgrades!$U$11,J333),1)*IF(Upgrades!$T$12="Solar Wind",POWER(Upgrades!$U$12,K333),1))*POWER(Upgrades!$P$6,E333)*POWER(Upgrades!$P$7,F333)*POWER(Upgrades!$P$8,G333)*POWER(Upgrades!$P$9,H333)*POWER(Upgrades!$P$10,I333)*POWER(Upgrades!$P$11,J333)*POWER(Upgrades!$P$12,K333)*60</f>
        <v>72</v>
      </c>
      <c r="AB333" s="27" t="n">
        <f aca="false">(IF(F333=0,0,(Upgrades!$G$7+F333*Upgrades!$H$7)*POWER(Upgrades!$I$7,F333)))*(IF(Upgrades!$T$6="Asteroid Belt",POWER(Upgrades!$U$6,E333),1)*IF(Upgrades!$T$8="Asteroid Belt",POWER(Upgrades!$U$8,G333),1)*IF(Upgrades!$T$9="Asteroid Belt",POWER(Upgrades!$U$9,H333),1)*IF(Upgrades!$T$10="Asteroid Belt",POWER(Upgrades!$U$10,I333),1)*IF(Upgrades!$T$11="Asteroid Belt",POWER(Upgrades!$U$11,J333),1)*IF(Upgrades!$T$12="Asteroid Belt",POWER(Upgrades!$U$12,K333),1))*POWER(Upgrades!$P$6,E333)*POWER(Upgrades!$P$7,F333)*POWER(Upgrades!$P$8,G333)*POWER(Upgrades!$P$9,H333)*POWER(Upgrades!$P$10,I333)*POWER(Upgrades!$P$11,J333)*POWER(Upgrades!$P$12,K333)*60</f>
        <v>150</v>
      </c>
      <c r="AC333" s="27" t="n">
        <f aca="false">(IF(G333=0,0,(Upgrades!$J$8+G333*Upgrades!$K$8)*POWER(Upgrades!$L$8,G333)))*(IF(Upgrades!$T$6="Stellar Coupling",POWER(Upgrades!$U$6,E333),1)*IF(Upgrades!$T$7="Stellar Coupling",POWER(Upgrades!$U$7,F333),1)*IF(Upgrades!$T$9="Stellar Coupling",POWER(Upgrades!$U$9,H333),1)*IF(Upgrades!$T$10="Stellar Coupling",POWER(Upgrades!$U$10,I333),1)*IF(Upgrades!$T$11="Stellar Coupling",POWER(Upgrades!$U$11,J333),1)*IF(Upgrades!$T$12="Stellar Coupling",POWER(Upgrades!$U$12,K333),1))*POWER(Upgrades!$Q$6,E333)*POWER(Upgrades!$Q$7,F333)*POWER(Upgrades!$Q$8,G333)*POWER(Upgrades!$Q$9,H333)*POWER(Upgrades!$Q$10,I333)*POWER(Upgrades!$Q$11,J333)*POWER(Upgrades!$Q$12,K333)*Parameters!$B$10*Parameters!$B$11</f>
        <v>441</v>
      </c>
      <c r="AD333" s="27" t="n">
        <f aca="false">(IF(H333=0,0,(Upgrades!$G$9+H333*Upgrades!$H$9)*POWER(Upgrades!$I$9,H333)))*(IF(Upgrades!$T$6="Magnetosphere",POWER(Upgrades!$U$6,E333),1)*IF(Upgrades!$T$7="Magnetosphere",POWER(Upgrades!$U$7,F333),1)*IF(Upgrades!$T$8="Magnetosphere",POWER(Upgrades!$U$8,G333),1)*IF(Upgrades!$T$10="Magnetosphere",POWER(Upgrades!$U$10,I333),1)*IF(Upgrades!$T$11="Magnetosphere",POWER(Upgrades!$U$11,J333),1)*IF(Upgrades!$T$12="Magnetosphere",POWER(Upgrades!$U$12,K333),1))*POWER(Upgrades!$P$6,E333)*POWER(Upgrades!$P$7,F333)*POWER(Upgrades!$P$8,G333)*POWER(Upgrades!$P$9,H333)*POWER(Upgrades!$P$10,I333)*POWER(Upgrades!$P$11,J333)*POWER(Upgrades!$P$12,K333)*60</f>
        <v>375</v>
      </c>
      <c r="AE333" s="27" t="n">
        <f aca="false">(IF(K333=0,0,(Upgrades!$G$12+K333*Upgrades!$H$12)*POWER(Upgrades!$I$12,K333)))*(IF(Upgrades!$T$6="First Photons",POWER(Upgrades!$U$6,E333),1)*IF(Upgrades!$T$7="First Photons",POWER(Upgrades!$U$7,F333),1)*IF(Upgrades!$T$8="First Photons",POWER(Upgrades!$U$8,G333),1)*IF(Upgrades!$T$9="First Photons",POWER(Upgrades!$U$9,H333),1)*IF(Upgrades!$T$10="First Photons",POWER(Upgrades!$U$10,I333),1)*IF(Upgrades!$T$11="First Photons",POWER(Upgrades!$U$11,J333),1))*POWER(Upgrades!$P$6,E333)*POWER(Upgrades!$P$7,F333)*POWER(Upgrades!$P$8,G333)*POWER(Upgrades!$P$9,H333)*POWER(Upgrades!$P$10,I333)*POWER(Upgrades!$P$11,J333)*POWER(Upgrades!$P$12,K333)*60</f>
        <v>75</v>
      </c>
      <c r="AF333" s="27" t="n">
        <f aca="false">Parameters!$B$9*POWER(Upgrades!$Q$6,E333)*POWER(Upgrades!$Q$7,F333)*POWER(Upgrades!$Q$8,G333)*POWER(Upgrades!$Q$9,H333)*POWER(Upgrades!$Q$10,I333)*POWER(Upgrades!$Q$11,J333)*POWER(Upgrades!$Q$12,K333)*(Parameters!$B$10*Parameters!$B$11+O333*60)</f>
        <v>120</v>
      </c>
      <c r="AG333" s="21" t="n">
        <f aca="false">IF(E333&gt;=Upgrades!$E$6,"",Upgrades!$C$6*POWER(Upgrades!$D$6,E333))</f>
        <v>37.4517507383159</v>
      </c>
      <c r="AH333" s="21" t="n">
        <f aca="false">IF(F333&gt;=Upgrades!$E$7,"",Upgrades!$C$7*POWER(Upgrades!$D$7,F333))</f>
        <v>80.9111547141581</v>
      </c>
      <c r="AI333" s="21" t="n">
        <f aca="false">IF(G333&gt;=Upgrades!$E$8,"",Upgrades!$C$8*POWER(Upgrades!$D$8,G333))</f>
        <v>231.9097088</v>
      </c>
      <c r="AJ333" s="21" t="str">
        <f aca="false">IF(H333&gt;=Upgrades!$E$9,"",Upgrades!$C$9*POWER(Upgrades!$D$9,H333))</f>
        <v/>
      </c>
      <c r="AK333" s="21" t="str">
        <f aca="false">IF(I333&gt;=Upgrades!$E$10,"",Upgrades!$C$10*POWER(Upgrades!$D$10,I333))</f>
        <v/>
      </c>
      <c r="AL333" s="21" t="str">
        <f aca="false">IF(J333&gt;=Upgrades!$E$11,"",Upgrades!$C$11*POWER(Upgrades!$D$11,J333))</f>
        <v/>
      </c>
      <c r="AM333" s="21" t="str">
        <f aca="false">IF(K333&gt;=Upgrades!$E$12,"",Upgrades!$C$12*POWER(Upgrades!$D$12,K333))</f>
        <v/>
      </c>
      <c r="AN333" s="26" t="str">
        <f aca="false">IF(AND(D333&gt;=Parameters!$B$18,(H333&gt;=Upgrades!$E$9)*(K333&gt;=Upgrades!$E$12)=1,L333=0),1,"")</f>
        <v/>
      </c>
      <c r="AO333" s="26" t="str">
        <f aca="false">IF(AND(D333&gt;=Parameters!$B$18,L333=0),1,"")</f>
        <v/>
      </c>
      <c r="AP333" s="21" t="n">
        <f aca="false">MIN(IF(ISNUMBER(AK333),AK333,9000000000000000),IF(ISNUMBER(AL333),AL333,9000000000000000),IF(ISNUMBER(AM333),AM333,9000000000000000))</f>
        <v>9000000000000000</v>
      </c>
      <c r="AQ333" s="21" t="n">
        <f aca="false">MIN(IF(ISNUMBER(AG333),AG333,9000000000000000),IF(ISNUMBER(AH333),AH333,9000000000000000),IF(ISNUMBER(AI333),AI333,9000000000000000),IF(ISNUMBER(AJ333),AJ333,9000000000000000))</f>
        <v>37.4517507383159</v>
      </c>
      <c r="AR333" s="32" t="b">
        <f aca="false">IF(AW333&gt;Parameters!$B$21*(MAX(IF(AND(NOT(AND(AO333=1,AN333&lt;&gt;1)),ISNUMBER(AG333),AG333&lt;=T333),AS333,0),IF(AND(NOT(AND(AO333=1,AN333&lt;&gt;1)),ISNUMBER(AH333),AH333&lt;=T333),AT333,0),IF(AND(NOT(AND(AO333=1,AN333&lt;&gt;1)),ISNUMBER(AI333),AI333&lt;=T333),AU333,0),IF(AND(ISNUMBER(AJ333),AJ333&lt;=T333),AV333,0))),TRUE(),FALSE())</f>
        <v>1</v>
      </c>
      <c r="AS333" s="33" t="n">
        <f aca="false">IFERROR(Upgrades!$H$6*(POWER(Upgrades!$P$6,E333)*POWER(Upgrades!$P$7,F333)*POWER(Upgrades!$P$8,G333)*POWER(Upgrades!$P$9,H333)*POWER(Upgrades!$P$10,I333)*POWER(Upgrades!$P$11,J333)*POWER(Upgrades!$P$12,K333))*(IF(Upgrades!$T$7="Solar Wind",POWER(Upgrades!$U$7,F333),1)*IF(Upgrades!$T$8="Solar Wind",POWER(Upgrades!$U$8,G333),1)*IF(Upgrades!$T$9="Solar Wind",POWER(Upgrades!$U$9,H333),1)*IF(Upgrades!$T$10="Solar Wind",POWER(Upgrades!$U$10,I333),1)*IF(Upgrades!$T$11="Solar Wind",POWER(Upgrades!$U$11,J333),1)*IF(Upgrades!$T$12="Solar Wind",POWER(Upgrades!$U$12,K333),1))/AG333,0)</f>
        <v>0.0026701021455238</v>
      </c>
      <c r="AT333" s="33" t="n">
        <f aca="false">IFERROR(Upgrades!$H$7*(POWER(Upgrades!$P$6,E333)*POWER(Upgrades!$P$7,F333)*POWER(Upgrades!$P$8,G333)*POWER(Upgrades!$P$9,H333)*POWER(Upgrades!$P$10,I333)*POWER(Upgrades!$P$11,J333)*POWER(Upgrades!$P$12,K333))*(IF(Upgrades!$T$6="Asteroid Belt",POWER(Upgrades!$U$6,E333),1)*IF(Upgrades!$T$8="Asteroid Belt",POWER(Upgrades!$U$8,G333),1)*IF(Upgrades!$T$9="Asteroid Belt",POWER(Upgrades!$U$9,H333),1)*IF(Upgrades!$T$10="Asteroid Belt",POWER(Upgrades!$U$10,I333),1)*IF(Upgrades!$T$11="Asteroid Belt",POWER(Upgrades!$U$11,J333),1)*IF(Upgrades!$T$12="Asteroid Belt",POWER(Upgrades!$U$12,K333),1))/AH333,0)</f>
        <v>0.00308980882652332</v>
      </c>
      <c r="AU333" s="33" t="n">
        <f aca="false">IFERROR(Upgrades!$K$8*(POWER(Upgrades!$Q$6,E333)*POWER(Upgrades!$Q$7,F333)*POWER(Upgrades!$Q$8,G333)*POWER(Upgrades!$Q$9,H333)*POWER(Upgrades!$Q$10,I333)*POWER(Upgrades!$Q$11,J333)*POWER(Upgrades!$Q$12,K333))*(IF(Upgrades!$T$6="Stellar Coupling",POWER(Upgrades!$U$6,E333),1)*IF(Upgrades!$T$7="Stellar Coupling",POWER(Upgrades!$U$7,F333),1)*IF(Upgrades!$T$9="Stellar Coupling",POWER(Upgrades!$U$9,H333),1)*IF(Upgrades!$T$10="Stellar Coupling",POWER(Upgrades!$U$10,I333),1)*IF(Upgrades!$T$11="Stellar Coupling",POWER(Upgrades!$U$11,J333),1)*IF(Upgrades!$T$12="Stellar Coupling",POWER(Upgrades!$U$12,K333),1))*Parameters!$B$10*Parameters!$B$11/60/AI333,0)</f>
        <v>0.00452762415783776</v>
      </c>
      <c r="AV333" s="33" t="n">
        <f aca="false">IFERROR(Upgrades!$H$9*(POWER(Upgrades!$P$6,E333)*POWER(Upgrades!$P$7,F333)*POWER(Upgrades!$P$8,G333)*POWER(Upgrades!$P$9,H333)*POWER(Upgrades!$P$10,I333)*POWER(Upgrades!$P$11,J333)*POWER(Upgrades!$P$12,K333))*(IF(Upgrades!$T$6="Magnetosphere",POWER(Upgrades!$U$6,E333),1)*IF(Upgrades!$T$7="Magnetosphere",POWER(Upgrades!$U$7,F333),1)*IF(Upgrades!$T$8="Magnetosphere",POWER(Upgrades!$U$8,G333),1)*IF(Upgrades!$T$10="Magnetosphere",POWER(Upgrades!$U$10,I333),1)*IF(Upgrades!$T$11="Magnetosphere",POWER(Upgrades!$U$11,J333),1)*IF(Upgrades!$T$12="Magnetosphere",POWER(Upgrades!$U$12,K333),1))/AJ333,0)</f>
        <v>0</v>
      </c>
      <c r="AW333" s="33" t="n">
        <f aca="false">MAX(IF(I333&gt;0,0,IFERROR(0.25*N333/Upgrades!$C$10,0)),IF(J333&gt;0,0,IFERROR(0.5*((IF(G333=0,0,(Upgrades!$J$8+G333*Upgrades!$K$8)*POWER(Upgrades!$L$8,G333)))*(IF(Upgrades!$T$6="Stellar Coupling",POWER(Upgrades!$U$6,E333),1)*IF(Upgrades!$T$7="Stellar Coupling",POWER(Upgrades!$U$7,F333),1)*IF(Upgrades!$T$9="Stellar Coupling",POWER(Upgrades!$U$9,H333),1)*IF(Upgrades!$T$10="Stellar Coupling",POWER(Upgrades!$U$10,I333),1)*IF(Upgrades!$T$11="Stellar Coupling",POWER(Upgrades!$U$11,J333),1)*IF(Upgrades!$T$12="Stellar Coupling",POWER(Upgrades!$U$12,K333),1))*(POWER(Upgrades!$Q$6,E333)*POWER(Upgrades!$Q$7,F333)*POWER(Upgrades!$Q$8,G333)*POWER(Upgrades!$Q$9,H333)*POWER(Upgrades!$Q$10,I333)*POWER(Upgrades!$Q$11,J333)*POWER(Upgrades!$Q$12,K333))*Parameters!$B$10*Parameters!$B$11/60)/Upgrades!$C$11,0)),IF(K333&gt;0,0,IFERROR((1*(POWER(Upgrades!$P$6,E333)*POWER(Upgrades!$P$7,F333)*POWER(Upgrades!$P$8,G333)*POWER(Upgrades!$P$9,H333)*POWER(Upgrades!$P$10,I333)*POWER(Upgrades!$P$11,J333)*POWER(Upgrades!$P$12,K333))+0.2*M333*Parameters!$B$10*Parameters!$B$11/60)/Upgrades!$C$12,0)),IF(AND(ISNUMBER(AG333),AG333&gt;T333),AS333,0),IF(AND(ISNUMBER(AH333),AH333&gt;T333),AT333,0),IF(AND(ISNUMBER(AI333),AI333&gt;T333),AU333,0),IF(AND(ISNUMBER(AJ333),AJ333&gt;T333),AV333,0))</f>
        <v>0.00452762415783776</v>
      </c>
      <c r="AX333" s="29" t="str">
        <f aca="false">IF(AN333=1,"transition",IF(MIN(IF(AND(I333=0,ISNUMBER(AK333),AK333&lt;=T333),AK333,9000000000000000),IF(AND(J333=0,ISNUMBER(AL333),AL333&lt;=T333),AL333,9000000000000000),IF(AND(K333=0,ISNUMBER(AM333),AM333&lt;=T333),AM333,9000000000000000))&lt;9000000000000000,IF(AND(AND(I333=0,ISNUMBER(AK333),AK333&lt;=T333),AK333=MIN(IF(AND(I333=0,ISNUMBER(AK333),AK333&lt;=T333),AK333,9000000000000000),IF(AND(J333=0,ISNUMBER(AL333),AL333&lt;=T333),AL333,9000000000000000),IF(AND(K333=0,ISNUMBER(AM333),AM333&lt;=T333),AM333,9000000000000000))),"OR",IF(AND(AND(J333=0,ISNUMBER(AL333),AL333&lt;=T333),AL333=MIN(IF(AND(I333=0,ISNUMBER(AK333),AK333&lt;=T333),AK333,9000000000000000),IF(AND(J333=0,ISNUMBER(AL333),AL333&lt;=T333),AL333,9000000000000000),IF(AND(K333=0,ISNUMBER(AM333),AM333&lt;=T333),AM333,9000000000000000))),"HP","FP")),IF(AR333=TRUE(),"",IF(MAX(IF(AND(NOT(AND(AO333=1,AN333&lt;&gt;1)),ISNUMBER(AG333),AG333&lt;=T333),AS333,0),IF(AND(NOT(AND(AO333=1,AN333&lt;&gt;1)),ISNUMBER(AH333),AH333&lt;=T333),AT333,0),IF(AND(NOT(AND(AO333=1,AN333&lt;&gt;1)),ISNUMBER(AI333),AI333&lt;=T333),AU333,0),IF(AND(ISNUMBER(AJ333),AJ333&lt;=T333),AV333,0))&lt;=0,"",IF(AND(IF(AND(NOT(AND(AO333=1,AN333&lt;&gt;1)),ISNUMBER(AG333),AG333&lt;=T333),AS333,0)&gt;0,IF(AND(NOT(AND(AO333=1,AN333&lt;&gt;1)),ISNUMBER(AG333),AG333&lt;=T333),AS333,0)=MAX(IF(AND(NOT(AND(AO333=1,AN333&lt;&gt;1)),ISNUMBER(AG333),AG333&lt;=T333),AS333,0),IF(AND(NOT(AND(AO333=1,AN333&lt;&gt;1)),ISNUMBER(AH333),AH333&lt;=T333),AT333,0),IF(AND(NOT(AND(AO333=1,AN333&lt;&gt;1)),ISNUMBER(AI333),AI333&lt;=T333),AU333,0),IF(AND(ISNUMBER(AJ333),AJ333&lt;=T333),AV333,0))),"SW",IF(AND(IF(AND(NOT(AND(AO333=1,AN333&lt;&gt;1)),ISNUMBER(AH333),AH333&lt;=T333),AT333,0)&gt;0,IF(AND(NOT(AND(AO333=1,AN333&lt;&gt;1)),ISNUMBER(AH333),AH333&lt;=T333),AT333,0)=MAX(IF(AND(NOT(AND(AO333=1,AN333&lt;&gt;1)),ISNUMBER(AG333),AG333&lt;=T333),AS333,0),IF(AND(NOT(AND(AO333=1,AN333&lt;&gt;1)),ISNUMBER(AH333),AH333&lt;=T333),AT333,0),IF(AND(NOT(AND(AO333=1,AN333&lt;&gt;1)),ISNUMBER(AI333),AI333&lt;=T333),AU333,0),IF(AND(ISNUMBER(AJ333),AJ333&lt;=T333),AV333,0))),"AB",IF(AND(IF(AND(NOT(AND(AO333=1,AN333&lt;&gt;1)),ISNUMBER(AI333),AI333&lt;=T333),AU333,0)&gt;0,IF(AND(NOT(AND(AO333=1,AN333&lt;&gt;1)),ISNUMBER(AI333),AI333&lt;=T333),AU333,0)=MAX(IF(AND(NOT(AND(AO333=1,AN333&lt;&gt;1)),ISNUMBER(AG333),AG333&lt;=T333),AS333,0),IF(AND(NOT(AND(AO333=1,AN333&lt;&gt;1)),ISNUMBER(AH333),AH333&lt;=T333),AT333,0),IF(AND(NOT(AND(AO333=1,AN333&lt;&gt;1)),ISNUMBER(AI333),AI333&lt;=T333),AU333,0),IF(AND(ISNUMBER(AJ333),AJ333&lt;=T333),AV333,0))),"SC","Mag")))))))</f>
        <v/>
      </c>
    </row>
    <row r="334" customFormat="false" ht="15" hidden="false" customHeight="false" outlineLevel="0" collapsed="false">
      <c r="A334" s="26" t="n">
        <v>329</v>
      </c>
      <c r="B334" s="27" t="n">
        <f aca="false">A334*10/60</f>
        <v>54.8333333333333</v>
      </c>
      <c r="C334" s="21" t="n">
        <f aca="false">X333</f>
        <v>18.6730249835055</v>
      </c>
      <c r="D334" s="27" t="n">
        <f aca="false">D333+W333</f>
        <v>0</v>
      </c>
      <c r="E334" s="26" t="n">
        <f aca="false">E333+IF(U333="SW",1,0)</f>
        <v>12</v>
      </c>
      <c r="F334" s="26" t="n">
        <f aca="false">F333+IF(U333="AB",1,0)</f>
        <v>10</v>
      </c>
      <c r="G334" s="26" t="n">
        <f aca="false">G333+IF(U333="SC",1,0)</f>
        <v>7</v>
      </c>
      <c r="H334" s="26" t="n">
        <f aca="false">H333+IF(U333="Mag",1,0)</f>
        <v>5</v>
      </c>
      <c r="I334" s="26" t="n">
        <f aca="false">MAX(I333,IF(U333="OR",1,0))</f>
        <v>1</v>
      </c>
      <c r="J334" s="26" t="n">
        <f aca="false">MAX(J333,IF(U333="HP",1,0))</f>
        <v>1</v>
      </c>
      <c r="K334" s="26" t="n">
        <f aca="false">MAX(K333,IF(U333="FP",1,0))</f>
        <v>1</v>
      </c>
      <c r="L334" s="26" t="n">
        <f aca="false">MAX(L333,IF(U333="transition",1,0))</f>
        <v>1</v>
      </c>
      <c r="M334" s="28" t="n">
        <f aca="false">(Parameters!$B$9+(IF(E334=0,0,(Upgrades!$J$6+E334*Upgrades!$K$6)*POWER(Upgrades!$L$6,E334)))*(IF(Upgrades!$T$7="Solar Wind",POWER(Upgrades!$U$7,F334),1)*IF(Upgrades!$T$8="Solar Wind",POWER(Upgrades!$U$8,G334),1)*IF(Upgrades!$T$9="Solar Wind",POWER(Upgrades!$U$9,H334),1)*IF(Upgrades!$T$10="Solar Wind",POWER(Upgrades!$U$10,I334),1)*IF(Upgrades!$T$11="Solar Wind",POWER(Upgrades!$U$11,J334),1)*IF(Upgrades!$T$12="Solar Wind",POWER(Upgrades!$U$12,K334),1))+(IF(F334=0,0,(Upgrades!$J$7+F334*Upgrades!$K$7)*POWER(Upgrades!$L$7,F334)))*(IF(Upgrades!$T$6="Asteroid Belt",POWER(Upgrades!$U$6,E334),1)*IF(Upgrades!$T$8="Asteroid Belt",POWER(Upgrades!$U$8,G334),1)*IF(Upgrades!$T$9="Asteroid Belt",POWER(Upgrades!$U$9,H334),1)*IF(Upgrades!$T$10="Asteroid Belt",POWER(Upgrades!$U$10,I334),1)*IF(Upgrades!$T$11="Asteroid Belt",POWER(Upgrades!$U$11,J334),1)*IF(Upgrades!$T$12="Asteroid Belt",POWER(Upgrades!$U$12,K334),1))+(IF(G334=0,0,(Upgrades!$J$8+G334*Upgrades!$K$8)*POWER(Upgrades!$L$8,G334)))*(IF(Upgrades!$T$6="Stellar Coupling",POWER(Upgrades!$U$6,E334),1)*IF(Upgrades!$T$7="Stellar Coupling",POWER(Upgrades!$U$7,F334),1)*IF(Upgrades!$T$9="Stellar Coupling",POWER(Upgrades!$U$9,H334),1)*IF(Upgrades!$T$10="Stellar Coupling",POWER(Upgrades!$U$10,I334),1)*IF(Upgrades!$T$11="Stellar Coupling",POWER(Upgrades!$U$11,J334),1)*IF(Upgrades!$T$12="Stellar Coupling",POWER(Upgrades!$U$12,K334),1))+(IF(H334=0,0,(Upgrades!$J$9+H334*Upgrades!$K$9)*POWER(Upgrades!$L$9,H334)))*(IF(Upgrades!$T$6="Magnetosphere",POWER(Upgrades!$U$6,E334),1)*IF(Upgrades!$T$7="Magnetosphere",POWER(Upgrades!$U$7,F334),1)*IF(Upgrades!$T$8="Magnetosphere",POWER(Upgrades!$U$8,G334),1)*IF(Upgrades!$T$10="Magnetosphere",POWER(Upgrades!$U$10,I334),1)*IF(Upgrades!$T$11="Magnetosphere",POWER(Upgrades!$U$11,J334),1)*IF(Upgrades!$T$12="Magnetosphere",POWER(Upgrades!$U$12,K334),1))+(IF(I334=0,0,(Upgrades!$J$10+I334*Upgrades!$K$10)*POWER(Upgrades!$L$10,I334)))*(IF(Upgrades!$T$6="Orbital Resonance",POWER(Upgrades!$U$6,E334),1)*IF(Upgrades!$T$7="Orbital Resonance",POWER(Upgrades!$U$7,F334),1)*IF(Upgrades!$T$8="Orbital Resonance",POWER(Upgrades!$U$8,G334),1)*IF(Upgrades!$T$9="Orbital Resonance",POWER(Upgrades!$U$9,H334),1)*IF(Upgrades!$T$11="Orbital Resonance",POWER(Upgrades!$U$11,J334),1)*IF(Upgrades!$T$12="Orbital Resonance",POWER(Upgrades!$U$12,K334),1))+(IF(J334=0,0,(Upgrades!$J$11+J334*Upgrades!$K$11)*POWER(Upgrades!$L$11,J334)))*(IF(Upgrades!$T$6="Heliopause",POWER(Upgrades!$U$6,E334),1)*IF(Upgrades!$T$7="Heliopause",POWER(Upgrades!$U$7,F334),1)*IF(Upgrades!$T$8="Heliopause",POWER(Upgrades!$U$8,G334),1)*IF(Upgrades!$T$9="Heliopause",POWER(Upgrades!$U$9,H334),1)*IF(Upgrades!$T$10="Heliopause",POWER(Upgrades!$U$10,I334),1)*IF(Upgrades!$T$12="Heliopause",POWER(Upgrades!$U$12,K334),1))+(IF(K334=0,0,(Upgrades!$J$12+K334*Upgrades!$K$12)*POWER(Upgrades!$L$12,K334)))*(IF(Upgrades!$T$6="First Photons",POWER(Upgrades!$U$6,E334),1)*IF(Upgrades!$T$7="First Photons",POWER(Upgrades!$U$7,F334),1)*IF(Upgrades!$T$8="First Photons",POWER(Upgrades!$U$8,G334),1)*IF(Upgrades!$T$9="First Photons",POWER(Upgrades!$U$9,H334),1)*IF(Upgrades!$T$10="First Photons",POWER(Upgrades!$U$10,I334),1)*IF(Upgrades!$T$11="First Photons",POWER(Upgrades!$U$11,J334),1)))*POWER(Upgrades!$Q$6,E334)*POWER(Upgrades!$Q$7,F334)*POWER(Upgrades!$Q$8,G334)*POWER(Upgrades!$Q$9,H334)*POWER(Upgrades!$Q$10,I334)*POWER(Upgrades!$Q$11,J334)*POWER(Upgrades!$Q$12,K334)</f>
        <v>5.61</v>
      </c>
      <c r="N334" s="28" t="n">
        <f aca="false">((IF(E334=0,0,(Upgrades!$G$6+E334*Upgrades!$H$6)*POWER(Upgrades!$I$6,E334)))*(IF(Upgrades!$T$7="Solar Wind",POWER(Upgrades!$U$7,F334),1)*IF(Upgrades!$T$8="Solar Wind",POWER(Upgrades!$U$8,G334),1)*IF(Upgrades!$T$9="Solar Wind",POWER(Upgrades!$U$9,H334),1)*IF(Upgrades!$T$10="Solar Wind",POWER(Upgrades!$U$10,I334),1)*IF(Upgrades!$T$11="Solar Wind",POWER(Upgrades!$U$11,J334),1)*IF(Upgrades!$T$12="Solar Wind",POWER(Upgrades!$U$12,K334),1))+(IF(F334=0,0,(Upgrades!$G$7+F334*Upgrades!$H$7)*POWER(Upgrades!$I$7,F334)))*(IF(Upgrades!$T$6="Asteroid Belt",POWER(Upgrades!$U$6,E334),1)*IF(Upgrades!$T$8="Asteroid Belt",POWER(Upgrades!$U$8,G334),1)*IF(Upgrades!$T$9="Asteroid Belt",POWER(Upgrades!$U$9,H334),1)*IF(Upgrades!$T$10="Asteroid Belt",POWER(Upgrades!$U$10,I334),1)*IF(Upgrades!$T$11="Asteroid Belt",POWER(Upgrades!$U$11,J334),1)*IF(Upgrades!$T$12="Asteroid Belt",POWER(Upgrades!$U$12,K334),1))+(IF(G334=0,0,(Upgrades!$G$8+G334*Upgrades!$H$8)*POWER(Upgrades!$I$8,G334)))*(IF(Upgrades!$T$6="Stellar Coupling",POWER(Upgrades!$U$6,E334),1)*IF(Upgrades!$T$7="Stellar Coupling",POWER(Upgrades!$U$7,F334),1)*IF(Upgrades!$T$9="Stellar Coupling",POWER(Upgrades!$U$9,H334),1)*IF(Upgrades!$T$10="Stellar Coupling",POWER(Upgrades!$U$10,I334),1)*IF(Upgrades!$T$11="Stellar Coupling",POWER(Upgrades!$U$11,J334),1)*IF(Upgrades!$T$12="Stellar Coupling",POWER(Upgrades!$U$12,K334),1))+(IF(H334=0,0,(Upgrades!$G$9+H334*Upgrades!$H$9)*POWER(Upgrades!$I$9,H334)))*(IF(Upgrades!$T$6="Magnetosphere",POWER(Upgrades!$U$6,E334),1)*IF(Upgrades!$T$7="Magnetosphere",POWER(Upgrades!$U$7,F334),1)*IF(Upgrades!$T$8="Magnetosphere",POWER(Upgrades!$U$8,G334),1)*IF(Upgrades!$T$10="Magnetosphere",POWER(Upgrades!$U$10,I334),1)*IF(Upgrades!$T$11="Magnetosphere",POWER(Upgrades!$U$11,J334),1)*IF(Upgrades!$T$12="Magnetosphere",POWER(Upgrades!$U$12,K334),1))+(IF(I334=0,0,(Upgrades!$G$10+I334*Upgrades!$H$10)*POWER(Upgrades!$I$10,I334)))*(IF(Upgrades!$T$6="Orbital Resonance",POWER(Upgrades!$U$6,E334),1)*IF(Upgrades!$T$7="Orbital Resonance",POWER(Upgrades!$U$7,F334),1)*IF(Upgrades!$T$8="Orbital Resonance",POWER(Upgrades!$U$8,G334),1)*IF(Upgrades!$T$9="Orbital Resonance",POWER(Upgrades!$U$9,H334),1)*IF(Upgrades!$T$11="Orbital Resonance",POWER(Upgrades!$U$11,J334),1)*IF(Upgrades!$T$12="Orbital Resonance",POWER(Upgrades!$U$12,K334),1))+(IF(J334=0,0,(Upgrades!$G$11+J334*Upgrades!$H$11)*POWER(Upgrades!$I$11,J334)))*(IF(Upgrades!$T$6="Heliopause",POWER(Upgrades!$U$6,E334),1)*IF(Upgrades!$T$7="Heliopause",POWER(Upgrades!$U$7,F334),1)*IF(Upgrades!$T$8="Heliopause",POWER(Upgrades!$U$8,G334),1)*IF(Upgrades!$T$9="Heliopause",POWER(Upgrades!$U$9,H334),1)*IF(Upgrades!$T$10="Heliopause",POWER(Upgrades!$U$10,I334),1)*IF(Upgrades!$T$12="Heliopause",POWER(Upgrades!$U$12,K334),1))+(IF(K334=0,0,(Upgrades!$G$12+K334*Upgrades!$H$12)*POWER(Upgrades!$I$12,K334)))*(IF(Upgrades!$T$6="First Photons",POWER(Upgrades!$U$6,E334),1)*IF(Upgrades!$T$7="First Photons",POWER(Upgrades!$U$7,F334),1)*IF(Upgrades!$T$8="First Photons",POWER(Upgrades!$U$8,G334),1)*IF(Upgrades!$T$9="First Photons",POWER(Upgrades!$U$9,H334),1)*IF(Upgrades!$T$10="First Photons",POWER(Upgrades!$U$10,I334),1)*IF(Upgrades!$T$11="First Photons",POWER(Upgrades!$U$11,J334),1)))*POWER(Upgrades!$P$6,E334)*POWER(Upgrades!$P$7,F334)*POWER(Upgrades!$P$8,G334)*POWER(Upgrades!$P$9,H334)*POWER(Upgrades!$P$10,I334)*POWER(Upgrades!$P$11,J334)*POWER(Upgrades!$P$12,K334)</f>
        <v>11.2</v>
      </c>
      <c r="O334" s="28" t="n">
        <f aca="false">((IF(E334=0,0,(Upgrades!$M$6+E334*Upgrades!$N$6)*POWER(Upgrades!$O$6,E334)))*(IF(Upgrades!$T$7="Solar Wind",POWER(Upgrades!$U$7,F334),1)*IF(Upgrades!$T$8="Solar Wind",POWER(Upgrades!$U$8,G334),1)*IF(Upgrades!$T$9="Solar Wind",POWER(Upgrades!$U$9,H334),1)*IF(Upgrades!$T$10="Solar Wind",POWER(Upgrades!$U$10,I334),1)*IF(Upgrades!$T$11="Solar Wind",POWER(Upgrades!$U$11,J334),1)*IF(Upgrades!$T$12="Solar Wind",POWER(Upgrades!$U$12,K334),1))+(IF(F334=0,0,(Upgrades!$M$7+F334*Upgrades!$N$7)*POWER(Upgrades!$O$7,F334)))*(IF(Upgrades!$T$6="Asteroid Belt",POWER(Upgrades!$U$6,E334),1)*IF(Upgrades!$T$8="Asteroid Belt",POWER(Upgrades!$U$8,G334),1)*IF(Upgrades!$T$9="Asteroid Belt",POWER(Upgrades!$U$9,H334),1)*IF(Upgrades!$T$10="Asteroid Belt",POWER(Upgrades!$U$10,I334),1)*IF(Upgrades!$T$11="Asteroid Belt",POWER(Upgrades!$U$11,J334),1)*IF(Upgrades!$T$12="Asteroid Belt",POWER(Upgrades!$U$12,K334),1))+(IF(G334=0,0,(Upgrades!$M$8+G334*Upgrades!$N$8)*POWER(Upgrades!$O$8,G334)))*(IF(Upgrades!$T$6="Stellar Coupling",POWER(Upgrades!$U$6,E334),1)*IF(Upgrades!$T$7="Stellar Coupling",POWER(Upgrades!$U$7,F334),1)*IF(Upgrades!$T$9="Stellar Coupling",POWER(Upgrades!$U$9,H334),1)*IF(Upgrades!$T$10="Stellar Coupling",POWER(Upgrades!$U$10,I334),1)*IF(Upgrades!$T$11="Stellar Coupling",POWER(Upgrades!$U$11,J334),1)*IF(Upgrades!$T$12="Stellar Coupling",POWER(Upgrades!$U$12,K334),1))+(IF(H334=0,0,(Upgrades!$M$9+H334*Upgrades!$N$9)*POWER(Upgrades!$O$9,H334)))*(IF(Upgrades!$T$6="Magnetosphere",POWER(Upgrades!$U$6,E334),1)*IF(Upgrades!$T$7="Magnetosphere",POWER(Upgrades!$U$7,F334),1)*IF(Upgrades!$T$8="Magnetosphere",POWER(Upgrades!$U$8,G334),1)*IF(Upgrades!$T$10="Magnetosphere",POWER(Upgrades!$U$10,I334),1)*IF(Upgrades!$T$11="Magnetosphere",POWER(Upgrades!$U$11,J334),1)*IF(Upgrades!$T$12="Magnetosphere",POWER(Upgrades!$U$12,K334),1))+(IF(I334=0,0,(Upgrades!$M$10+I334*Upgrades!$N$10)*POWER(Upgrades!$O$10,I334)))*(IF(Upgrades!$T$6="Orbital Resonance",POWER(Upgrades!$U$6,E334),1)*IF(Upgrades!$T$7="Orbital Resonance",POWER(Upgrades!$U$7,F334),1)*IF(Upgrades!$T$8="Orbital Resonance",POWER(Upgrades!$U$8,G334),1)*IF(Upgrades!$T$9="Orbital Resonance",POWER(Upgrades!$U$9,H334),1)*IF(Upgrades!$T$11="Orbital Resonance",POWER(Upgrades!$U$11,J334),1)*IF(Upgrades!$T$12="Orbital Resonance",POWER(Upgrades!$U$12,K334),1))+(IF(J334=0,0,(Upgrades!$M$11+J334*Upgrades!$N$11)*POWER(Upgrades!$O$11,J334)))*(IF(Upgrades!$T$6="Heliopause",POWER(Upgrades!$U$6,E334),1)*IF(Upgrades!$T$7="Heliopause",POWER(Upgrades!$U$7,F334),1)*IF(Upgrades!$T$8="Heliopause",POWER(Upgrades!$U$8,G334),1)*IF(Upgrades!$T$9="Heliopause",POWER(Upgrades!$U$9,H334),1)*IF(Upgrades!$T$10="Heliopause",POWER(Upgrades!$U$10,I334),1)*IF(Upgrades!$T$12="Heliopause",POWER(Upgrades!$U$12,K334),1))+(IF(K334=0,0,(Upgrades!$M$12+K334*Upgrades!$N$12)*POWER(Upgrades!$O$12,K334)))*(IF(Upgrades!$T$6="First Photons",POWER(Upgrades!$U$6,E334),1)*IF(Upgrades!$T$7="First Photons",POWER(Upgrades!$U$7,F334),1)*IF(Upgrades!$T$8="First Photons",POWER(Upgrades!$U$8,G334),1)*IF(Upgrades!$T$9="First Photons",POWER(Upgrades!$U$9,H334),1)*IF(Upgrades!$T$10="First Photons",POWER(Upgrades!$U$10,I334),1)*IF(Upgrades!$T$11="First Photons",POWER(Upgrades!$U$11,J334),1)))*POWER(Upgrades!$R$6,E334)*POWER(Upgrades!$R$7,F334)*POWER(Upgrades!$R$8,G334)*POWER(Upgrades!$R$9,H334)*POWER(Upgrades!$R$10,I334)*POWER(Upgrades!$R$11,J334)*POWER(Upgrades!$R$12,K334)</f>
        <v>0</v>
      </c>
      <c r="P334" s="27" t="n">
        <f aca="false">IF(L334=1,0,M334*Parameters!$B$10/60*Parameters!$B$11*10)</f>
        <v>0</v>
      </c>
      <c r="Q334" s="27" t="n">
        <f aca="false">IF(L334=1,0,O334*M334*10)</f>
        <v>0</v>
      </c>
      <c r="R334" s="27" t="n">
        <f aca="false">IF(L334=1,0,N334*10)</f>
        <v>0</v>
      </c>
      <c r="S334" s="27" t="n">
        <f aca="false">P334+Q334+R334</f>
        <v>0</v>
      </c>
      <c r="T334" s="21" t="n">
        <f aca="false">C334+S334</f>
        <v>18.6730249835055</v>
      </c>
      <c r="U334" s="34" t="str">
        <f aca="false">AX334</f>
        <v/>
      </c>
      <c r="V334" s="21" t="n">
        <f aca="false">IF(U334="",0,IF(U334="transition",0,IF(U334="SW",AG334,IF(U334="AB",AH334,IF(U334="SC",AI334,IF(U334="Mag",AJ334,IF(U334="OR",AK334,IF(U334="HP",AL334,IF(U334="FP",AM334,0)))))))))</f>
        <v>0</v>
      </c>
      <c r="W334" s="27" t="n">
        <f aca="false">IF(U334="OR",Upgrades!$F$10,IF(U334="HP",Upgrades!$F$11,IF(U334="transition",-Parameters!$B$18,0)))</f>
        <v>0</v>
      </c>
      <c r="X334" s="21" t="n">
        <f aca="false">T334-V334</f>
        <v>18.6730249835055</v>
      </c>
      <c r="Y334" s="30" t="n">
        <f aca="false">M334*Parameters!$B$10/60*Parameters!$B$11+O334*M334+N334</f>
        <v>20.55</v>
      </c>
      <c r="Z334" s="35" t="str">
        <f aca="false">IF(U334="transition","→ Tier 2 (Stellar Neighborhood)",IF(U334="FP","First Photons — light begins, system quickens",IF(U334="HP","Heliopause acquired",IF(U334="OR","Orbital Resonance — passive multiplier active",IF(AND(AO334=1,L334=0,AN334&lt;&gt;1),"Cohesion ready (waiting on completionist upgrades)","")))))</f>
        <v/>
      </c>
      <c r="AA334" s="27" t="n">
        <f aca="false">(IF(E334=0,0,(Upgrades!$G$6+E334*Upgrades!$H$6)*POWER(Upgrades!$I$6,E334)))*(IF(Upgrades!$T$7="Solar Wind",POWER(Upgrades!$U$7,F334),1)*IF(Upgrades!$T$8="Solar Wind",POWER(Upgrades!$U$8,G334),1)*IF(Upgrades!$T$9="Solar Wind",POWER(Upgrades!$U$9,H334),1)*IF(Upgrades!$T$10="Solar Wind",POWER(Upgrades!$U$10,I334),1)*IF(Upgrades!$T$11="Solar Wind",POWER(Upgrades!$U$11,J334),1)*IF(Upgrades!$T$12="Solar Wind",POWER(Upgrades!$U$12,K334),1))*POWER(Upgrades!$P$6,E334)*POWER(Upgrades!$P$7,F334)*POWER(Upgrades!$P$8,G334)*POWER(Upgrades!$P$9,H334)*POWER(Upgrades!$P$10,I334)*POWER(Upgrades!$P$11,J334)*POWER(Upgrades!$P$12,K334)*60</f>
        <v>72</v>
      </c>
      <c r="AB334" s="27" t="n">
        <f aca="false">(IF(F334=0,0,(Upgrades!$G$7+F334*Upgrades!$H$7)*POWER(Upgrades!$I$7,F334)))*(IF(Upgrades!$T$6="Asteroid Belt",POWER(Upgrades!$U$6,E334),1)*IF(Upgrades!$T$8="Asteroid Belt",POWER(Upgrades!$U$8,G334),1)*IF(Upgrades!$T$9="Asteroid Belt",POWER(Upgrades!$U$9,H334),1)*IF(Upgrades!$T$10="Asteroid Belt",POWER(Upgrades!$U$10,I334),1)*IF(Upgrades!$T$11="Asteroid Belt",POWER(Upgrades!$U$11,J334),1)*IF(Upgrades!$T$12="Asteroid Belt",POWER(Upgrades!$U$12,K334),1))*POWER(Upgrades!$P$6,E334)*POWER(Upgrades!$P$7,F334)*POWER(Upgrades!$P$8,G334)*POWER(Upgrades!$P$9,H334)*POWER(Upgrades!$P$10,I334)*POWER(Upgrades!$P$11,J334)*POWER(Upgrades!$P$12,K334)*60</f>
        <v>150</v>
      </c>
      <c r="AC334" s="27" t="n">
        <f aca="false">(IF(G334=0,0,(Upgrades!$J$8+G334*Upgrades!$K$8)*POWER(Upgrades!$L$8,G334)))*(IF(Upgrades!$T$6="Stellar Coupling",POWER(Upgrades!$U$6,E334),1)*IF(Upgrades!$T$7="Stellar Coupling",POWER(Upgrades!$U$7,F334),1)*IF(Upgrades!$T$9="Stellar Coupling",POWER(Upgrades!$U$9,H334),1)*IF(Upgrades!$T$10="Stellar Coupling",POWER(Upgrades!$U$10,I334),1)*IF(Upgrades!$T$11="Stellar Coupling",POWER(Upgrades!$U$11,J334),1)*IF(Upgrades!$T$12="Stellar Coupling",POWER(Upgrades!$U$12,K334),1))*POWER(Upgrades!$Q$6,E334)*POWER(Upgrades!$Q$7,F334)*POWER(Upgrades!$Q$8,G334)*POWER(Upgrades!$Q$9,H334)*POWER(Upgrades!$Q$10,I334)*POWER(Upgrades!$Q$11,J334)*POWER(Upgrades!$Q$12,K334)*Parameters!$B$10*Parameters!$B$11</f>
        <v>441</v>
      </c>
      <c r="AD334" s="27" t="n">
        <f aca="false">(IF(H334=0,0,(Upgrades!$G$9+H334*Upgrades!$H$9)*POWER(Upgrades!$I$9,H334)))*(IF(Upgrades!$T$6="Magnetosphere",POWER(Upgrades!$U$6,E334),1)*IF(Upgrades!$T$7="Magnetosphere",POWER(Upgrades!$U$7,F334),1)*IF(Upgrades!$T$8="Magnetosphere",POWER(Upgrades!$U$8,G334),1)*IF(Upgrades!$T$10="Magnetosphere",POWER(Upgrades!$U$10,I334),1)*IF(Upgrades!$T$11="Magnetosphere",POWER(Upgrades!$U$11,J334),1)*IF(Upgrades!$T$12="Magnetosphere",POWER(Upgrades!$U$12,K334),1))*POWER(Upgrades!$P$6,E334)*POWER(Upgrades!$P$7,F334)*POWER(Upgrades!$P$8,G334)*POWER(Upgrades!$P$9,H334)*POWER(Upgrades!$P$10,I334)*POWER(Upgrades!$P$11,J334)*POWER(Upgrades!$P$12,K334)*60</f>
        <v>375</v>
      </c>
      <c r="AE334" s="27" t="n">
        <f aca="false">(IF(K334=0,0,(Upgrades!$G$12+K334*Upgrades!$H$12)*POWER(Upgrades!$I$12,K334)))*(IF(Upgrades!$T$6="First Photons",POWER(Upgrades!$U$6,E334),1)*IF(Upgrades!$T$7="First Photons",POWER(Upgrades!$U$7,F334),1)*IF(Upgrades!$T$8="First Photons",POWER(Upgrades!$U$8,G334),1)*IF(Upgrades!$T$9="First Photons",POWER(Upgrades!$U$9,H334),1)*IF(Upgrades!$T$10="First Photons",POWER(Upgrades!$U$10,I334),1)*IF(Upgrades!$T$11="First Photons",POWER(Upgrades!$U$11,J334),1))*POWER(Upgrades!$P$6,E334)*POWER(Upgrades!$P$7,F334)*POWER(Upgrades!$P$8,G334)*POWER(Upgrades!$P$9,H334)*POWER(Upgrades!$P$10,I334)*POWER(Upgrades!$P$11,J334)*POWER(Upgrades!$P$12,K334)*60</f>
        <v>75</v>
      </c>
      <c r="AF334" s="27" t="n">
        <f aca="false">Parameters!$B$9*POWER(Upgrades!$Q$6,E334)*POWER(Upgrades!$Q$7,F334)*POWER(Upgrades!$Q$8,G334)*POWER(Upgrades!$Q$9,H334)*POWER(Upgrades!$Q$10,I334)*POWER(Upgrades!$Q$11,J334)*POWER(Upgrades!$Q$12,K334)*(Parameters!$B$10*Parameters!$B$11+O334*60)</f>
        <v>120</v>
      </c>
      <c r="AG334" s="21" t="n">
        <f aca="false">IF(E334&gt;=Upgrades!$E$6,"",Upgrades!$C$6*POWER(Upgrades!$D$6,E334))</f>
        <v>37.4517507383159</v>
      </c>
      <c r="AH334" s="21" t="n">
        <f aca="false">IF(F334&gt;=Upgrades!$E$7,"",Upgrades!$C$7*POWER(Upgrades!$D$7,F334))</f>
        <v>80.9111547141581</v>
      </c>
      <c r="AI334" s="21" t="n">
        <f aca="false">IF(G334&gt;=Upgrades!$E$8,"",Upgrades!$C$8*POWER(Upgrades!$D$8,G334))</f>
        <v>231.9097088</v>
      </c>
      <c r="AJ334" s="21" t="str">
        <f aca="false">IF(H334&gt;=Upgrades!$E$9,"",Upgrades!$C$9*POWER(Upgrades!$D$9,H334))</f>
        <v/>
      </c>
      <c r="AK334" s="21" t="str">
        <f aca="false">IF(I334&gt;=Upgrades!$E$10,"",Upgrades!$C$10*POWER(Upgrades!$D$10,I334))</f>
        <v/>
      </c>
      <c r="AL334" s="21" t="str">
        <f aca="false">IF(J334&gt;=Upgrades!$E$11,"",Upgrades!$C$11*POWER(Upgrades!$D$11,J334))</f>
        <v/>
      </c>
      <c r="AM334" s="21" t="str">
        <f aca="false">IF(K334&gt;=Upgrades!$E$12,"",Upgrades!$C$12*POWER(Upgrades!$D$12,K334))</f>
        <v/>
      </c>
      <c r="AN334" s="26" t="str">
        <f aca="false">IF(AND(D334&gt;=Parameters!$B$18,(H334&gt;=Upgrades!$E$9)*(K334&gt;=Upgrades!$E$12)=1,L334=0),1,"")</f>
        <v/>
      </c>
      <c r="AO334" s="26" t="str">
        <f aca="false">IF(AND(D334&gt;=Parameters!$B$18,L334=0),1,"")</f>
        <v/>
      </c>
      <c r="AP334" s="21" t="n">
        <f aca="false">MIN(IF(ISNUMBER(AK334),AK334,9000000000000000),IF(ISNUMBER(AL334),AL334,9000000000000000),IF(ISNUMBER(AM334),AM334,9000000000000000))</f>
        <v>9000000000000000</v>
      </c>
      <c r="AQ334" s="21" t="n">
        <f aca="false">MIN(IF(ISNUMBER(AG334),AG334,9000000000000000),IF(ISNUMBER(AH334),AH334,9000000000000000),IF(ISNUMBER(AI334),AI334,9000000000000000),IF(ISNUMBER(AJ334),AJ334,9000000000000000))</f>
        <v>37.4517507383159</v>
      </c>
      <c r="AR334" s="32" t="b">
        <f aca="false">IF(AW334&gt;Parameters!$B$21*(MAX(IF(AND(NOT(AND(AO334=1,AN334&lt;&gt;1)),ISNUMBER(AG334),AG334&lt;=T334),AS334,0),IF(AND(NOT(AND(AO334=1,AN334&lt;&gt;1)),ISNUMBER(AH334),AH334&lt;=T334),AT334,0),IF(AND(NOT(AND(AO334=1,AN334&lt;&gt;1)),ISNUMBER(AI334),AI334&lt;=T334),AU334,0),IF(AND(ISNUMBER(AJ334),AJ334&lt;=T334),AV334,0))),TRUE(),FALSE())</f>
        <v>1</v>
      </c>
      <c r="AS334" s="33" t="n">
        <f aca="false">IFERROR(Upgrades!$H$6*(POWER(Upgrades!$P$6,E334)*POWER(Upgrades!$P$7,F334)*POWER(Upgrades!$P$8,G334)*POWER(Upgrades!$P$9,H334)*POWER(Upgrades!$P$10,I334)*POWER(Upgrades!$P$11,J334)*POWER(Upgrades!$P$12,K334))*(IF(Upgrades!$T$7="Solar Wind",POWER(Upgrades!$U$7,F334),1)*IF(Upgrades!$T$8="Solar Wind",POWER(Upgrades!$U$8,G334),1)*IF(Upgrades!$T$9="Solar Wind",POWER(Upgrades!$U$9,H334),1)*IF(Upgrades!$T$10="Solar Wind",POWER(Upgrades!$U$10,I334),1)*IF(Upgrades!$T$11="Solar Wind",POWER(Upgrades!$U$11,J334),1)*IF(Upgrades!$T$12="Solar Wind",POWER(Upgrades!$U$12,K334),1))/AG334,0)</f>
        <v>0.0026701021455238</v>
      </c>
      <c r="AT334" s="33" t="n">
        <f aca="false">IFERROR(Upgrades!$H$7*(POWER(Upgrades!$P$6,E334)*POWER(Upgrades!$P$7,F334)*POWER(Upgrades!$P$8,G334)*POWER(Upgrades!$P$9,H334)*POWER(Upgrades!$P$10,I334)*POWER(Upgrades!$P$11,J334)*POWER(Upgrades!$P$12,K334))*(IF(Upgrades!$T$6="Asteroid Belt",POWER(Upgrades!$U$6,E334),1)*IF(Upgrades!$T$8="Asteroid Belt",POWER(Upgrades!$U$8,G334),1)*IF(Upgrades!$T$9="Asteroid Belt",POWER(Upgrades!$U$9,H334),1)*IF(Upgrades!$T$10="Asteroid Belt",POWER(Upgrades!$U$10,I334),1)*IF(Upgrades!$T$11="Asteroid Belt",POWER(Upgrades!$U$11,J334),1)*IF(Upgrades!$T$12="Asteroid Belt",POWER(Upgrades!$U$12,K334),1))/AH334,0)</f>
        <v>0.00308980882652332</v>
      </c>
      <c r="AU334" s="33" t="n">
        <f aca="false">IFERROR(Upgrades!$K$8*(POWER(Upgrades!$Q$6,E334)*POWER(Upgrades!$Q$7,F334)*POWER(Upgrades!$Q$8,G334)*POWER(Upgrades!$Q$9,H334)*POWER(Upgrades!$Q$10,I334)*POWER(Upgrades!$Q$11,J334)*POWER(Upgrades!$Q$12,K334))*(IF(Upgrades!$T$6="Stellar Coupling",POWER(Upgrades!$U$6,E334),1)*IF(Upgrades!$T$7="Stellar Coupling",POWER(Upgrades!$U$7,F334),1)*IF(Upgrades!$T$9="Stellar Coupling",POWER(Upgrades!$U$9,H334),1)*IF(Upgrades!$T$10="Stellar Coupling",POWER(Upgrades!$U$10,I334),1)*IF(Upgrades!$T$11="Stellar Coupling",POWER(Upgrades!$U$11,J334),1)*IF(Upgrades!$T$12="Stellar Coupling",POWER(Upgrades!$U$12,K334),1))*Parameters!$B$10*Parameters!$B$11/60/AI334,0)</f>
        <v>0.00452762415783776</v>
      </c>
      <c r="AV334" s="33" t="n">
        <f aca="false">IFERROR(Upgrades!$H$9*(POWER(Upgrades!$P$6,E334)*POWER(Upgrades!$P$7,F334)*POWER(Upgrades!$P$8,G334)*POWER(Upgrades!$P$9,H334)*POWER(Upgrades!$P$10,I334)*POWER(Upgrades!$P$11,J334)*POWER(Upgrades!$P$12,K334))*(IF(Upgrades!$T$6="Magnetosphere",POWER(Upgrades!$U$6,E334),1)*IF(Upgrades!$T$7="Magnetosphere",POWER(Upgrades!$U$7,F334),1)*IF(Upgrades!$T$8="Magnetosphere",POWER(Upgrades!$U$8,G334),1)*IF(Upgrades!$T$10="Magnetosphere",POWER(Upgrades!$U$10,I334),1)*IF(Upgrades!$T$11="Magnetosphere",POWER(Upgrades!$U$11,J334),1)*IF(Upgrades!$T$12="Magnetosphere",POWER(Upgrades!$U$12,K334),1))/AJ334,0)</f>
        <v>0</v>
      </c>
      <c r="AW334" s="33" t="n">
        <f aca="false">MAX(IF(I334&gt;0,0,IFERROR(0.25*N334/Upgrades!$C$10,0)),IF(J334&gt;0,0,IFERROR(0.5*((IF(G334=0,0,(Upgrades!$J$8+G334*Upgrades!$K$8)*POWER(Upgrades!$L$8,G334)))*(IF(Upgrades!$T$6="Stellar Coupling",POWER(Upgrades!$U$6,E334),1)*IF(Upgrades!$T$7="Stellar Coupling",POWER(Upgrades!$U$7,F334),1)*IF(Upgrades!$T$9="Stellar Coupling",POWER(Upgrades!$U$9,H334),1)*IF(Upgrades!$T$10="Stellar Coupling",POWER(Upgrades!$U$10,I334),1)*IF(Upgrades!$T$11="Stellar Coupling",POWER(Upgrades!$U$11,J334),1)*IF(Upgrades!$T$12="Stellar Coupling",POWER(Upgrades!$U$12,K334),1))*(POWER(Upgrades!$Q$6,E334)*POWER(Upgrades!$Q$7,F334)*POWER(Upgrades!$Q$8,G334)*POWER(Upgrades!$Q$9,H334)*POWER(Upgrades!$Q$10,I334)*POWER(Upgrades!$Q$11,J334)*POWER(Upgrades!$Q$12,K334))*Parameters!$B$10*Parameters!$B$11/60)/Upgrades!$C$11,0)),IF(K334&gt;0,0,IFERROR((1*(POWER(Upgrades!$P$6,E334)*POWER(Upgrades!$P$7,F334)*POWER(Upgrades!$P$8,G334)*POWER(Upgrades!$P$9,H334)*POWER(Upgrades!$P$10,I334)*POWER(Upgrades!$P$11,J334)*POWER(Upgrades!$P$12,K334))+0.2*M334*Parameters!$B$10*Parameters!$B$11/60)/Upgrades!$C$12,0)),IF(AND(ISNUMBER(AG334),AG334&gt;T334),AS334,0),IF(AND(ISNUMBER(AH334),AH334&gt;T334),AT334,0),IF(AND(ISNUMBER(AI334),AI334&gt;T334),AU334,0),IF(AND(ISNUMBER(AJ334),AJ334&gt;T334),AV334,0))</f>
        <v>0.00452762415783776</v>
      </c>
      <c r="AX334" s="29" t="str">
        <f aca="false">IF(AN334=1,"transition",IF(MIN(IF(AND(I334=0,ISNUMBER(AK334),AK334&lt;=T334),AK334,9000000000000000),IF(AND(J334=0,ISNUMBER(AL334),AL334&lt;=T334),AL334,9000000000000000),IF(AND(K334=0,ISNUMBER(AM334),AM334&lt;=T334),AM334,9000000000000000))&lt;9000000000000000,IF(AND(AND(I334=0,ISNUMBER(AK334),AK334&lt;=T334),AK334=MIN(IF(AND(I334=0,ISNUMBER(AK334),AK334&lt;=T334),AK334,9000000000000000),IF(AND(J334=0,ISNUMBER(AL334),AL334&lt;=T334),AL334,9000000000000000),IF(AND(K334=0,ISNUMBER(AM334),AM334&lt;=T334),AM334,9000000000000000))),"OR",IF(AND(AND(J334=0,ISNUMBER(AL334),AL334&lt;=T334),AL334=MIN(IF(AND(I334=0,ISNUMBER(AK334),AK334&lt;=T334),AK334,9000000000000000),IF(AND(J334=0,ISNUMBER(AL334),AL334&lt;=T334),AL334,9000000000000000),IF(AND(K334=0,ISNUMBER(AM334),AM334&lt;=T334),AM334,9000000000000000))),"HP","FP")),IF(AR334=TRUE(),"",IF(MAX(IF(AND(NOT(AND(AO334=1,AN334&lt;&gt;1)),ISNUMBER(AG334),AG334&lt;=T334),AS334,0),IF(AND(NOT(AND(AO334=1,AN334&lt;&gt;1)),ISNUMBER(AH334),AH334&lt;=T334),AT334,0),IF(AND(NOT(AND(AO334=1,AN334&lt;&gt;1)),ISNUMBER(AI334),AI334&lt;=T334),AU334,0),IF(AND(ISNUMBER(AJ334),AJ334&lt;=T334),AV334,0))&lt;=0,"",IF(AND(IF(AND(NOT(AND(AO334=1,AN334&lt;&gt;1)),ISNUMBER(AG334),AG334&lt;=T334),AS334,0)&gt;0,IF(AND(NOT(AND(AO334=1,AN334&lt;&gt;1)),ISNUMBER(AG334),AG334&lt;=T334),AS334,0)=MAX(IF(AND(NOT(AND(AO334=1,AN334&lt;&gt;1)),ISNUMBER(AG334),AG334&lt;=T334),AS334,0),IF(AND(NOT(AND(AO334=1,AN334&lt;&gt;1)),ISNUMBER(AH334),AH334&lt;=T334),AT334,0),IF(AND(NOT(AND(AO334=1,AN334&lt;&gt;1)),ISNUMBER(AI334),AI334&lt;=T334),AU334,0),IF(AND(ISNUMBER(AJ334),AJ334&lt;=T334),AV334,0))),"SW",IF(AND(IF(AND(NOT(AND(AO334=1,AN334&lt;&gt;1)),ISNUMBER(AH334),AH334&lt;=T334),AT334,0)&gt;0,IF(AND(NOT(AND(AO334=1,AN334&lt;&gt;1)),ISNUMBER(AH334),AH334&lt;=T334),AT334,0)=MAX(IF(AND(NOT(AND(AO334=1,AN334&lt;&gt;1)),ISNUMBER(AG334),AG334&lt;=T334),AS334,0),IF(AND(NOT(AND(AO334=1,AN334&lt;&gt;1)),ISNUMBER(AH334),AH334&lt;=T334),AT334,0),IF(AND(NOT(AND(AO334=1,AN334&lt;&gt;1)),ISNUMBER(AI334),AI334&lt;=T334),AU334,0),IF(AND(ISNUMBER(AJ334),AJ334&lt;=T334),AV334,0))),"AB",IF(AND(IF(AND(NOT(AND(AO334=1,AN334&lt;&gt;1)),ISNUMBER(AI334),AI334&lt;=T334),AU334,0)&gt;0,IF(AND(NOT(AND(AO334=1,AN334&lt;&gt;1)),ISNUMBER(AI334),AI334&lt;=T334),AU334,0)=MAX(IF(AND(NOT(AND(AO334=1,AN334&lt;&gt;1)),ISNUMBER(AG334),AG334&lt;=T334),AS334,0),IF(AND(NOT(AND(AO334=1,AN334&lt;&gt;1)),ISNUMBER(AH334),AH334&lt;=T334),AT334,0),IF(AND(NOT(AND(AO334=1,AN334&lt;&gt;1)),ISNUMBER(AI334),AI334&lt;=T334),AU334,0),IF(AND(ISNUMBER(AJ334),AJ334&lt;=T334),AV334,0))),"SC","Mag")))))))</f>
        <v/>
      </c>
    </row>
    <row r="335" customFormat="false" ht="15" hidden="false" customHeight="false" outlineLevel="0" collapsed="false">
      <c r="A335" s="26" t="n">
        <v>330</v>
      </c>
      <c r="B335" s="27" t="n">
        <f aca="false">A335*10/60</f>
        <v>55</v>
      </c>
      <c r="C335" s="21" t="n">
        <f aca="false">X334</f>
        <v>18.6730249835055</v>
      </c>
      <c r="D335" s="27" t="n">
        <f aca="false">D334+W334</f>
        <v>0</v>
      </c>
      <c r="E335" s="26" t="n">
        <f aca="false">E334+IF(U334="SW",1,0)</f>
        <v>12</v>
      </c>
      <c r="F335" s="26" t="n">
        <f aca="false">F334+IF(U334="AB",1,0)</f>
        <v>10</v>
      </c>
      <c r="G335" s="26" t="n">
        <f aca="false">G334+IF(U334="SC",1,0)</f>
        <v>7</v>
      </c>
      <c r="H335" s="26" t="n">
        <f aca="false">H334+IF(U334="Mag",1,0)</f>
        <v>5</v>
      </c>
      <c r="I335" s="26" t="n">
        <f aca="false">MAX(I334,IF(U334="OR",1,0))</f>
        <v>1</v>
      </c>
      <c r="J335" s="26" t="n">
        <f aca="false">MAX(J334,IF(U334="HP",1,0))</f>
        <v>1</v>
      </c>
      <c r="K335" s="26" t="n">
        <f aca="false">MAX(K334,IF(U334="FP",1,0))</f>
        <v>1</v>
      </c>
      <c r="L335" s="26" t="n">
        <f aca="false">MAX(L334,IF(U334="transition",1,0))</f>
        <v>1</v>
      </c>
      <c r="M335" s="28" t="n">
        <f aca="false">(Parameters!$B$9+(IF(E335=0,0,(Upgrades!$J$6+E335*Upgrades!$K$6)*POWER(Upgrades!$L$6,E335)))*(IF(Upgrades!$T$7="Solar Wind",POWER(Upgrades!$U$7,F335),1)*IF(Upgrades!$T$8="Solar Wind",POWER(Upgrades!$U$8,G335),1)*IF(Upgrades!$T$9="Solar Wind",POWER(Upgrades!$U$9,H335),1)*IF(Upgrades!$T$10="Solar Wind",POWER(Upgrades!$U$10,I335),1)*IF(Upgrades!$T$11="Solar Wind",POWER(Upgrades!$U$11,J335),1)*IF(Upgrades!$T$12="Solar Wind",POWER(Upgrades!$U$12,K335),1))+(IF(F335=0,0,(Upgrades!$J$7+F335*Upgrades!$K$7)*POWER(Upgrades!$L$7,F335)))*(IF(Upgrades!$T$6="Asteroid Belt",POWER(Upgrades!$U$6,E335),1)*IF(Upgrades!$T$8="Asteroid Belt",POWER(Upgrades!$U$8,G335),1)*IF(Upgrades!$T$9="Asteroid Belt",POWER(Upgrades!$U$9,H335),1)*IF(Upgrades!$T$10="Asteroid Belt",POWER(Upgrades!$U$10,I335),1)*IF(Upgrades!$T$11="Asteroid Belt",POWER(Upgrades!$U$11,J335),1)*IF(Upgrades!$T$12="Asteroid Belt",POWER(Upgrades!$U$12,K335),1))+(IF(G335=0,0,(Upgrades!$J$8+G335*Upgrades!$K$8)*POWER(Upgrades!$L$8,G335)))*(IF(Upgrades!$T$6="Stellar Coupling",POWER(Upgrades!$U$6,E335),1)*IF(Upgrades!$T$7="Stellar Coupling",POWER(Upgrades!$U$7,F335),1)*IF(Upgrades!$T$9="Stellar Coupling",POWER(Upgrades!$U$9,H335),1)*IF(Upgrades!$T$10="Stellar Coupling",POWER(Upgrades!$U$10,I335),1)*IF(Upgrades!$T$11="Stellar Coupling",POWER(Upgrades!$U$11,J335),1)*IF(Upgrades!$T$12="Stellar Coupling",POWER(Upgrades!$U$12,K335),1))+(IF(H335=0,0,(Upgrades!$J$9+H335*Upgrades!$K$9)*POWER(Upgrades!$L$9,H335)))*(IF(Upgrades!$T$6="Magnetosphere",POWER(Upgrades!$U$6,E335),1)*IF(Upgrades!$T$7="Magnetosphere",POWER(Upgrades!$U$7,F335),1)*IF(Upgrades!$T$8="Magnetosphere",POWER(Upgrades!$U$8,G335),1)*IF(Upgrades!$T$10="Magnetosphere",POWER(Upgrades!$U$10,I335),1)*IF(Upgrades!$T$11="Magnetosphere",POWER(Upgrades!$U$11,J335),1)*IF(Upgrades!$T$12="Magnetosphere",POWER(Upgrades!$U$12,K335),1))+(IF(I335=0,0,(Upgrades!$J$10+I335*Upgrades!$K$10)*POWER(Upgrades!$L$10,I335)))*(IF(Upgrades!$T$6="Orbital Resonance",POWER(Upgrades!$U$6,E335),1)*IF(Upgrades!$T$7="Orbital Resonance",POWER(Upgrades!$U$7,F335),1)*IF(Upgrades!$T$8="Orbital Resonance",POWER(Upgrades!$U$8,G335),1)*IF(Upgrades!$T$9="Orbital Resonance",POWER(Upgrades!$U$9,H335),1)*IF(Upgrades!$T$11="Orbital Resonance",POWER(Upgrades!$U$11,J335),1)*IF(Upgrades!$T$12="Orbital Resonance",POWER(Upgrades!$U$12,K335),1))+(IF(J335=0,0,(Upgrades!$J$11+J335*Upgrades!$K$11)*POWER(Upgrades!$L$11,J335)))*(IF(Upgrades!$T$6="Heliopause",POWER(Upgrades!$U$6,E335),1)*IF(Upgrades!$T$7="Heliopause",POWER(Upgrades!$U$7,F335),1)*IF(Upgrades!$T$8="Heliopause",POWER(Upgrades!$U$8,G335),1)*IF(Upgrades!$T$9="Heliopause",POWER(Upgrades!$U$9,H335),1)*IF(Upgrades!$T$10="Heliopause",POWER(Upgrades!$U$10,I335),1)*IF(Upgrades!$T$12="Heliopause",POWER(Upgrades!$U$12,K335),1))+(IF(K335=0,0,(Upgrades!$J$12+K335*Upgrades!$K$12)*POWER(Upgrades!$L$12,K335)))*(IF(Upgrades!$T$6="First Photons",POWER(Upgrades!$U$6,E335),1)*IF(Upgrades!$T$7="First Photons",POWER(Upgrades!$U$7,F335),1)*IF(Upgrades!$T$8="First Photons",POWER(Upgrades!$U$8,G335),1)*IF(Upgrades!$T$9="First Photons",POWER(Upgrades!$U$9,H335),1)*IF(Upgrades!$T$10="First Photons",POWER(Upgrades!$U$10,I335),1)*IF(Upgrades!$T$11="First Photons",POWER(Upgrades!$U$11,J335),1)))*POWER(Upgrades!$Q$6,E335)*POWER(Upgrades!$Q$7,F335)*POWER(Upgrades!$Q$8,G335)*POWER(Upgrades!$Q$9,H335)*POWER(Upgrades!$Q$10,I335)*POWER(Upgrades!$Q$11,J335)*POWER(Upgrades!$Q$12,K335)</f>
        <v>5.61</v>
      </c>
      <c r="N335" s="28" t="n">
        <f aca="false">((IF(E335=0,0,(Upgrades!$G$6+E335*Upgrades!$H$6)*POWER(Upgrades!$I$6,E335)))*(IF(Upgrades!$T$7="Solar Wind",POWER(Upgrades!$U$7,F335),1)*IF(Upgrades!$T$8="Solar Wind",POWER(Upgrades!$U$8,G335),1)*IF(Upgrades!$T$9="Solar Wind",POWER(Upgrades!$U$9,H335),1)*IF(Upgrades!$T$10="Solar Wind",POWER(Upgrades!$U$10,I335),1)*IF(Upgrades!$T$11="Solar Wind",POWER(Upgrades!$U$11,J335),1)*IF(Upgrades!$T$12="Solar Wind",POWER(Upgrades!$U$12,K335),1))+(IF(F335=0,0,(Upgrades!$G$7+F335*Upgrades!$H$7)*POWER(Upgrades!$I$7,F335)))*(IF(Upgrades!$T$6="Asteroid Belt",POWER(Upgrades!$U$6,E335),1)*IF(Upgrades!$T$8="Asteroid Belt",POWER(Upgrades!$U$8,G335),1)*IF(Upgrades!$T$9="Asteroid Belt",POWER(Upgrades!$U$9,H335),1)*IF(Upgrades!$T$10="Asteroid Belt",POWER(Upgrades!$U$10,I335),1)*IF(Upgrades!$T$11="Asteroid Belt",POWER(Upgrades!$U$11,J335),1)*IF(Upgrades!$T$12="Asteroid Belt",POWER(Upgrades!$U$12,K335),1))+(IF(G335=0,0,(Upgrades!$G$8+G335*Upgrades!$H$8)*POWER(Upgrades!$I$8,G335)))*(IF(Upgrades!$T$6="Stellar Coupling",POWER(Upgrades!$U$6,E335),1)*IF(Upgrades!$T$7="Stellar Coupling",POWER(Upgrades!$U$7,F335),1)*IF(Upgrades!$T$9="Stellar Coupling",POWER(Upgrades!$U$9,H335),1)*IF(Upgrades!$T$10="Stellar Coupling",POWER(Upgrades!$U$10,I335),1)*IF(Upgrades!$T$11="Stellar Coupling",POWER(Upgrades!$U$11,J335),1)*IF(Upgrades!$T$12="Stellar Coupling",POWER(Upgrades!$U$12,K335),1))+(IF(H335=0,0,(Upgrades!$G$9+H335*Upgrades!$H$9)*POWER(Upgrades!$I$9,H335)))*(IF(Upgrades!$T$6="Magnetosphere",POWER(Upgrades!$U$6,E335),1)*IF(Upgrades!$T$7="Magnetosphere",POWER(Upgrades!$U$7,F335),1)*IF(Upgrades!$T$8="Magnetosphere",POWER(Upgrades!$U$8,G335),1)*IF(Upgrades!$T$10="Magnetosphere",POWER(Upgrades!$U$10,I335),1)*IF(Upgrades!$T$11="Magnetosphere",POWER(Upgrades!$U$11,J335),1)*IF(Upgrades!$T$12="Magnetosphere",POWER(Upgrades!$U$12,K335),1))+(IF(I335=0,0,(Upgrades!$G$10+I335*Upgrades!$H$10)*POWER(Upgrades!$I$10,I335)))*(IF(Upgrades!$T$6="Orbital Resonance",POWER(Upgrades!$U$6,E335),1)*IF(Upgrades!$T$7="Orbital Resonance",POWER(Upgrades!$U$7,F335),1)*IF(Upgrades!$T$8="Orbital Resonance",POWER(Upgrades!$U$8,G335),1)*IF(Upgrades!$T$9="Orbital Resonance",POWER(Upgrades!$U$9,H335),1)*IF(Upgrades!$T$11="Orbital Resonance",POWER(Upgrades!$U$11,J335),1)*IF(Upgrades!$T$12="Orbital Resonance",POWER(Upgrades!$U$12,K335),1))+(IF(J335=0,0,(Upgrades!$G$11+J335*Upgrades!$H$11)*POWER(Upgrades!$I$11,J335)))*(IF(Upgrades!$T$6="Heliopause",POWER(Upgrades!$U$6,E335),1)*IF(Upgrades!$T$7="Heliopause",POWER(Upgrades!$U$7,F335),1)*IF(Upgrades!$T$8="Heliopause",POWER(Upgrades!$U$8,G335),1)*IF(Upgrades!$T$9="Heliopause",POWER(Upgrades!$U$9,H335),1)*IF(Upgrades!$T$10="Heliopause",POWER(Upgrades!$U$10,I335),1)*IF(Upgrades!$T$12="Heliopause",POWER(Upgrades!$U$12,K335),1))+(IF(K335=0,0,(Upgrades!$G$12+K335*Upgrades!$H$12)*POWER(Upgrades!$I$12,K335)))*(IF(Upgrades!$T$6="First Photons",POWER(Upgrades!$U$6,E335),1)*IF(Upgrades!$T$7="First Photons",POWER(Upgrades!$U$7,F335),1)*IF(Upgrades!$T$8="First Photons",POWER(Upgrades!$U$8,G335),1)*IF(Upgrades!$T$9="First Photons",POWER(Upgrades!$U$9,H335),1)*IF(Upgrades!$T$10="First Photons",POWER(Upgrades!$U$10,I335),1)*IF(Upgrades!$T$11="First Photons",POWER(Upgrades!$U$11,J335),1)))*POWER(Upgrades!$P$6,E335)*POWER(Upgrades!$P$7,F335)*POWER(Upgrades!$P$8,G335)*POWER(Upgrades!$P$9,H335)*POWER(Upgrades!$P$10,I335)*POWER(Upgrades!$P$11,J335)*POWER(Upgrades!$P$12,K335)</f>
        <v>11.2</v>
      </c>
      <c r="O335" s="28" t="n">
        <f aca="false">((IF(E335=0,0,(Upgrades!$M$6+E335*Upgrades!$N$6)*POWER(Upgrades!$O$6,E335)))*(IF(Upgrades!$T$7="Solar Wind",POWER(Upgrades!$U$7,F335),1)*IF(Upgrades!$T$8="Solar Wind",POWER(Upgrades!$U$8,G335),1)*IF(Upgrades!$T$9="Solar Wind",POWER(Upgrades!$U$9,H335),1)*IF(Upgrades!$T$10="Solar Wind",POWER(Upgrades!$U$10,I335),1)*IF(Upgrades!$T$11="Solar Wind",POWER(Upgrades!$U$11,J335),1)*IF(Upgrades!$T$12="Solar Wind",POWER(Upgrades!$U$12,K335),1))+(IF(F335=0,0,(Upgrades!$M$7+F335*Upgrades!$N$7)*POWER(Upgrades!$O$7,F335)))*(IF(Upgrades!$T$6="Asteroid Belt",POWER(Upgrades!$U$6,E335),1)*IF(Upgrades!$T$8="Asteroid Belt",POWER(Upgrades!$U$8,G335),1)*IF(Upgrades!$T$9="Asteroid Belt",POWER(Upgrades!$U$9,H335),1)*IF(Upgrades!$T$10="Asteroid Belt",POWER(Upgrades!$U$10,I335),1)*IF(Upgrades!$T$11="Asteroid Belt",POWER(Upgrades!$U$11,J335),1)*IF(Upgrades!$T$12="Asteroid Belt",POWER(Upgrades!$U$12,K335),1))+(IF(G335=0,0,(Upgrades!$M$8+G335*Upgrades!$N$8)*POWER(Upgrades!$O$8,G335)))*(IF(Upgrades!$T$6="Stellar Coupling",POWER(Upgrades!$U$6,E335),1)*IF(Upgrades!$T$7="Stellar Coupling",POWER(Upgrades!$U$7,F335),1)*IF(Upgrades!$T$9="Stellar Coupling",POWER(Upgrades!$U$9,H335),1)*IF(Upgrades!$T$10="Stellar Coupling",POWER(Upgrades!$U$10,I335),1)*IF(Upgrades!$T$11="Stellar Coupling",POWER(Upgrades!$U$11,J335),1)*IF(Upgrades!$T$12="Stellar Coupling",POWER(Upgrades!$U$12,K335),1))+(IF(H335=0,0,(Upgrades!$M$9+H335*Upgrades!$N$9)*POWER(Upgrades!$O$9,H335)))*(IF(Upgrades!$T$6="Magnetosphere",POWER(Upgrades!$U$6,E335),1)*IF(Upgrades!$T$7="Magnetosphere",POWER(Upgrades!$U$7,F335),1)*IF(Upgrades!$T$8="Magnetosphere",POWER(Upgrades!$U$8,G335),1)*IF(Upgrades!$T$10="Magnetosphere",POWER(Upgrades!$U$10,I335),1)*IF(Upgrades!$T$11="Magnetosphere",POWER(Upgrades!$U$11,J335),1)*IF(Upgrades!$T$12="Magnetosphere",POWER(Upgrades!$U$12,K335),1))+(IF(I335=0,0,(Upgrades!$M$10+I335*Upgrades!$N$10)*POWER(Upgrades!$O$10,I335)))*(IF(Upgrades!$T$6="Orbital Resonance",POWER(Upgrades!$U$6,E335),1)*IF(Upgrades!$T$7="Orbital Resonance",POWER(Upgrades!$U$7,F335),1)*IF(Upgrades!$T$8="Orbital Resonance",POWER(Upgrades!$U$8,G335),1)*IF(Upgrades!$T$9="Orbital Resonance",POWER(Upgrades!$U$9,H335),1)*IF(Upgrades!$T$11="Orbital Resonance",POWER(Upgrades!$U$11,J335),1)*IF(Upgrades!$T$12="Orbital Resonance",POWER(Upgrades!$U$12,K335),1))+(IF(J335=0,0,(Upgrades!$M$11+J335*Upgrades!$N$11)*POWER(Upgrades!$O$11,J335)))*(IF(Upgrades!$T$6="Heliopause",POWER(Upgrades!$U$6,E335),1)*IF(Upgrades!$T$7="Heliopause",POWER(Upgrades!$U$7,F335),1)*IF(Upgrades!$T$8="Heliopause",POWER(Upgrades!$U$8,G335),1)*IF(Upgrades!$T$9="Heliopause",POWER(Upgrades!$U$9,H335),1)*IF(Upgrades!$T$10="Heliopause",POWER(Upgrades!$U$10,I335),1)*IF(Upgrades!$T$12="Heliopause",POWER(Upgrades!$U$12,K335),1))+(IF(K335=0,0,(Upgrades!$M$12+K335*Upgrades!$N$12)*POWER(Upgrades!$O$12,K335)))*(IF(Upgrades!$T$6="First Photons",POWER(Upgrades!$U$6,E335),1)*IF(Upgrades!$T$7="First Photons",POWER(Upgrades!$U$7,F335),1)*IF(Upgrades!$T$8="First Photons",POWER(Upgrades!$U$8,G335),1)*IF(Upgrades!$T$9="First Photons",POWER(Upgrades!$U$9,H335),1)*IF(Upgrades!$T$10="First Photons",POWER(Upgrades!$U$10,I335),1)*IF(Upgrades!$T$11="First Photons",POWER(Upgrades!$U$11,J335),1)))*POWER(Upgrades!$R$6,E335)*POWER(Upgrades!$R$7,F335)*POWER(Upgrades!$R$8,G335)*POWER(Upgrades!$R$9,H335)*POWER(Upgrades!$R$10,I335)*POWER(Upgrades!$R$11,J335)*POWER(Upgrades!$R$12,K335)</f>
        <v>0</v>
      </c>
      <c r="P335" s="27" t="n">
        <f aca="false">IF(L335=1,0,M335*Parameters!$B$10/60*Parameters!$B$11*10)</f>
        <v>0</v>
      </c>
      <c r="Q335" s="27" t="n">
        <f aca="false">IF(L335=1,0,O335*M335*10)</f>
        <v>0</v>
      </c>
      <c r="R335" s="27" t="n">
        <f aca="false">IF(L335=1,0,N335*10)</f>
        <v>0</v>
      </c>
      <c r="S335" s="27" t="n">
        <f aca="false">P335+Q335+R335</f>
        <v>0</v>
      </c>
      <c r="T335" s="21" t="n">
        <f aca="false">C335+S335</f>
        <v>18.6730249835055</v>
      </c>
      <c r="U335" s="34" t="str">
        <f aca="false">AX335</f>
        <v/>
      </c>
      <c r="V335" s="21" t="n">
        <f aca="false">IF(U335="",0,IF(U335="transition",0,IF(U335="SW",AG335,IF(U335="AB",AH335,IF(U335="SC",AI335,IF(U335="Mag",AJ335,IF(U335="OR",AK335,IF(U335="HP",AL335,IF(U335="FP",AM335,0)))))))))</f>
        <v>0</v>
      </c>
      <c r="W335" s="27" t="n">
        <f aca="false">IF(U335="OR",Upgrades!$F$10,IF(U335="HP",Upgrades!$F$11,IF(U335="transition",-Parameters!$B$18,0)))</f>
        <v>0</v>
      </c>
      <c r="X335" s="21" t="n">
        <f aca="false">T335-V335</f>
        <v>18.6730249835055</v>
      </c>
      <c r="Y335" s="30" t="n">
        <f aca="false">M335*Parameters!$B$10/60*Parameters!$B$11+O335*M335+N335</f>
        <v>20.55</v>
      </c>
      <c r="Z335" s="35" t="str">
        <f aca="false">IF(U335="transition","→ Tier 2 (Stellar Neighborhood)",IF(U335="FP","First Photons — light begins, system quickens",IF(U335="HP","Heliopause acquired",IF(U335="OR","Orbital Resonance — passive multiplier active",IF(AND(AO335=1,L335=0,AN335&lt;&gt;1),"Cohesion ready (waiting on completionist upgrades)","")))))</f>
        <v/>
      </c>
      <c r="AA335" s="27" t="n">
        <f aca="false">(IF(E335=0,0,(Upgrades!$G$6+E335*Upgrades!$H$6)*POWER(Upgrades!$I$6,E335)))*(IF(Upgrades!$T$7="Solar Wind",POWER(Upgrades!$U$7,F335),1)*IF(Upgrades!$T$8="Solar Wind",POWER(Upgrades!$U$8,G335),1)*IF(Upgrades!$T$9="Solar Wind",POWER(Upgrades!$U$9,H335),1)*IF(Upgrades!$T$10="Solar Wind",POWER(Upgrades!$U$10,I335),1)*IF(Upgrades!$T$11="Solar Wind",POWER(Upgrades!$U$11,J335),1)*IF(Upgrades!$T$12="Solar Wind",POWER(Upgrades!$U$12,K335),1))*POWER(Upgrades!$P$6,E335)*POWER(Upgrades!$P$7,F335)*POWER(Upgrades!$P$8,G335)*POWER(Upgrades!$P$9,H335)*POWER(Upgrades!$P$10,I335)*POWER(Upgrades!$P$11,J335)*POWER(Upgrades!$P$12,K335)*60</f>
        <v>72</v>
      </c>
      <c r="AB335" s="27" t="n">
        <f aca="false">(IF(F335=0,0,(Upgrades!$G$7+F335*Upgrades!$H$7)*POWER(Upgrades!$I$7,F335)))*(IF(Upgrades!$T$6="Asteroid Belt",POWER(Upgrades!$U$6,E335),1)*IF(Upgrades!$T$8="Asteroid Belt",POWER(Upgrades!$U$8,G335),1)*IF(Upgrades!$T$9="Asteroid Belt",POWER(Upgrades!$U$9,H335),1)*IF(Upgrades!$T$10="Asteroid Belt",POWER(Upgrades!$U$10,I335),1)*IF(Upgrades!$T$11="Asteroid Belt",POWER(Upgrades!$U$11,J335),1)*IF(Upgrades!$T$12="Asteroid Belt",POWER(Upgrades!$U$12,K335),1))*POWER(Upgrades!$P$6,E335)*POWER(Upgrades!$P$7,F335)*POWER(Upgrades!$P$8,G335)*POWER(Upgrades!$P$9,H335)*POWER(Upgrades!$P$10,I335)*POWER(Upgrades!$P$11,J335)*POWER(Upgrades!$P$12,K335)*60</f>
        <v>150</v>
      </c>
      <c r="AC335" s="27" t="n">
        <f aca="false">(IF(G335=0,0,(Upgrades!$J$8+G335*Upgrades!$K$8)*POWER(Upgrades!$L$8,G335)))*(IF(Upgrades!$T$6="Stellar Coupling",POWER(Upgrades!$U$6,E335),1)*IF(Upgrades!$T$7="Stellar Coupling",POWER(Upgrades!$U$7,F335),1)*IF(Upgrades!$T$9="Stellar Coupling",POWER(Upgrades!$U$9,H335),1)*IF(Upgrades!$T$10="Stellar Coupling",POWER(Upgrades!$U$10,I335),1)*IF(Upgrades!$T$11="Stellar Coupling",POWER(Upgrades!$U$11,J335),1)*IF(Upgrades!$T$12="Stellar Coupling",POWER(Upgrades!$U$12,K335),1))*POWER(Upgrades!$Q$6,E335)*POWER(Upgrades!$Q$7,F335)*POWER(Upgrades!$Q$8,G335)*POWER(Upgrades!$Q$9,H335)*POWER(Upgrades!$Q$10,I335)*POWER(Upgrades!$Q$11,J335)*POWER(Upgrades!$Q$12,K335)*Parameters!$B$10*Parameters!$B$11</f>
        <v>441</v>
      </c>
      <c r="AD335" s="27" t="n">
        <f aca="false">(IF(H335=0,0,(Upgrades!$G$9+H335*Upgrades!$H$9)*POWER(Upgrades!$I$9,H335)))*(IF(Upgrades!$T$6="Magnetosphere",POWER(Upgrades!$U$6,E335),1)*IF(Upgrades!$T$7="Magnetosphere",POWER(Upgrades!$U$7,F335),1)*IF(Upgrades!$T$8="Magnetosphere",POWER(Upgrades!$U$8,G335),1)*IF(Upgrades!$T$10="Magnetosphere",POWER(Upgrades!$U$10,I335),1)*IF(Upgrades!$T$11="Magnetosphere",POWER(Upgrades!$U$11,J335),1)*IF(Upgrades!$T$12="Magnetosphere",POWER(Upgrades!$U$12,K335),1))*POWER(Upgrades!$P$6,E335)*POWER(Upgrades!$P$7,F335)*POWER(Upgrades!$P$8,G335)*POWER(Upgrades!$P$9,H335)*POWER(Upgrades!$P$10,I335)*POWER(Upgrades!$P$11,J335)*POWER(Upgrades!$P$12,K335)*60</f>
        <v>375</v>
      </c>
      <c r="AE335" s="27" t="n">
        <f aca="false">(IF(K335=0,0,(Upgrades!$G$12+K335*Upgrades!$H$12)*POWER(Upgrades!$I$12,K335)))*(IF(Upgrades!$T$6="First Photons",POWER(Upgrades!$U$6,E335),1)*IF(Upgrades!$T$7="First Photons",POWER(Upgrades!$U$7,F335),1)*IF(Upgrades!$T$8="First Photons",POWER(Upgrades!$U$8,G335),1)*IF(Upgrades!$T$9="First Photons",POWER(Upgrades!$U$9,H335),1)*IF(Upgrades!$T$10="First Photons",POWER(Upgrades!$U$10,I335),1)*IF(Upgrades!$T$11="First Photons",POWER(Upgrades!$U$11,J335),1))*POWER(Upgrades!$P$6,E335)*POWER(Upgrades!$P$7,F335)*POWER(Upgrades!$P$8,G335)*POWER(Upgrades!$P$9,H335)*POWER(Upgrades!$P$10,I335)*POWER(Upgrades!$P$11,J335)*POWER(Upgrades!$P$12,K335)*60</f>
        <v>75</v>
      </c>
      <c r="AF335" s="27" t="n">
        <f aca="false">Parameters!$B$9*POWER(Upgrades!$Q$6,E335)*POWER(Upgrades!$Q$7,F335)*POWER(Upgrades!$Q$8,G335)*POWER(Upgrades!$Q$9,H335)*POWER(Upgrades!$Q$10,I335)*POWER(Upgrades!$Q$11,J335)*POWER(Upgrades!$Q$12,K335)*(Parameters!$B$10*Parameters!$B$11+O335*60)</f>
        <v>120</v>
      </c>
      <c r="AG335" s="21" t="n">
        <f aca="false">IF(E335&gt;=Upgrades!$E$6,"",Upgrades!$C$6*POWER(Upgrades!$D$6,E335))</f>
        <v>37.4517507383159</v>
      </c>
      <c r="AH335" s="21" t="n">
        <f aca="false">IF(F335&gt;=Upgrades!$E$7,"",Upgrades!$C$7*POWER(Upgrades!$D$7,F335))</f>
        <v>80.9111547141581</v>
      </c>
      <c r="AI335" s="21" t="n">
        <f aca="false">IF(G335&gt;=Upgrades!$E$8,"",Upgrades!$C$8*POWER(Upgrades!$D$8,G335))</f>
        <v>231.9097088</v>
      </c>
      <c r="AJ335" s="21" t="str">
        <f aca="false">IF(H335&gt;=Upgrades!$E$9,"",Upgrades!$C$9*POWER(Upgrades!$D$9,H335))</f>
        <v/>
      </c>
      <c r="AK335" s="21" t="str">
        <f aca="false">IF(I335&gt;=Upgrades!$E$10,"",Upgrades!$C$10*POWER(Upgrades!$D$10,I335))</f>
        <v/>
      </c>
      <c r="AL335" s="21" t="str">
        <f aca="false">IF(J335&gt;=Upgrades!$E$11,"",Upgrades!$C$11*POWER(Upgrades!$D$11,J335))</f>
        <v/>
      </c>
      <c r="AM335" s="21" t="str">
        <f aca="false">IF(K335&gt;=Upgrades!$E$12,"",Upgrades!$C$12*POWER(Upgrades!$D$12,K335))</f>
        <v/>
      </c>
      <c r="AN335" s="26" t="str">
        <f aca="false">IF(AND(D335&gt;=Parameters!$B$18,(H335&gt;=Upgrades!$E$9)*(K335&gt;=Upgrades!$E$12)=1,L335=0),1,"")</f>
        <v/>
      </c>
      <c r="AO335" s="26" t="str">
        <f aca="false">IF(AND(D335&gt;=Parameters!$B$18,L335=0),1,"")</f>
        <v/>
      </c>
      <c r="AP335" s="21" t="n">
        <f aca="false">MIN(IF(ISNUMBER(AK335),AK335,9000000000000000),IF(ISNUMBER(AL335),AL335,9000000000000000),IF(ISNUMBER(AM335),AM335,9000000000000000))</f>
        <v>9000000000000000</v>
      </c>
      <c r="AQ335" s="21" t="n">
        <f aca="false">MIN(IF(ISNUMBER(AG335),AG335,9000000000000000),IF(ISNUMBER(AH335),AH335,9000000000000000),IF(ISNUMBER(AI335),AI335,9000000000000000),IF(ISNUMBER(AJ335),AJ335,9000000000000000))</f>
        <v>37.4517507383159</v>
      </c>
      <c r="AR335" s="32" t="b">
        <f aca="false">IF(AW335&gt;Parameters!$B$21*(MAX(IF(AND(NOT(AND(AO335=1,AN335&lt;&gt;1)),ISNUMBER(AG335),AG335&lt;=T335),AS335,0),IF(AND(NOT(AND(AO335=1,AN335&lt;&gt;1)),ISNUMBER(AH335),AH335&lt;=T335),AT335,0),IF(AND(NOT(AND(AO335=1,AN335&lt;&gt;1)),ISNUMBER(AI335),AI335&lt;=T335),AU335,0),IF(AND(ISNUMBER(AJ335),AJ335&lt;=T335),AV335,0))),TRUE(),FALSE())</f>
        <v>1</v>
      </c>
      <c r="AS335" s="33" t="n">
        <f aca="false">IFERROR(Upgrades!$H$6*(POWER(Upgrades!$P$6,E335)*POWER(Upgrades!$P$7,F335)*POWER(Upgrades!$P$8,G335)*POWER(Upgrades!$P$9,H335)*POWER(Upgrades!$P$10,I335)*POWER(Upgrades!$P$11,J335)*POWER(Upgrades!$P$12,K335))*(IF(Upgrades!$T$7="Solar Wind",POWER(Upgrades!$U$7,F335),1)*IF(Upgrades!$T$8="Solar Wind",POWER(Upgrades!$U$8,G335),1)*IF(Upgrades!$T$9="Solar Wind",POWER(Upgrades!$U$9,H335),1)*IF(Upgrades!$T$10="Solar Wind",POWER(Upgrades!$U$10,I335),1)*IF(Upgrades!$T$11="Solar Wind",POWER(Upgrades!$U$11,J335),1)*IF(Upgrades!$T$12="Solar Wind",POWER(Upgrades!$U$12,K335),1))/AG335,0)</f>
        <v>0.0026701021455238</v>
      </c>
      <c r="AT335" s="33" t="n">
        <f aca="false">IFERROR(Upgrades!$H$7*(POWER(Upgrades!$P$6,E335)*POWER(Upgrades!$P$7,F335)*POWER(Upgrades!$P$8,G335)*POWER(Upgrades!$P$9,H335)*POWER(Upgrades!$P$10,I335)*POWER(Upgrades!$P$11,J335)*POWER(Upgrades!$P$12,K335))*(IF(Upgrades!$T$6="Asteroid Belt",POWER(Upgrades!$U$6,E335),1)*IF(Upgrades!$T$8="Asteroid Belt",POWER(Upgrades!$U$8,G335),1)*IF(Upgrades!$T$9="Asteroid Belt",POWER(Upgrades!$U$9,H335),1)*IF(Upgrades!$T$10="Asteroid Belt",POWER(Upgrades!$U$10,I335),1)*IF(Upgrades!$T$11="Asteroid Belt",POWER(Upgrades!$U$11,J335),1)*IF(Upgrades!$T$12="Asteroid Belt",POWER(Upgrades!$U$12,K335),1))/AH335,0)</f>
        <v>0.00308980882652332</v>
      </c>
      <c r="AU335" s="33" t="n">
        <f aca="false">IFERROR(Upgrades!$K$8*(POWER(Upgrades!$Q$6,E335)*POWER(Upgrades!$Q$7,F335)*POWER(Upgrades!$Q$8,G335)*POWER(Upgrades!$Q$9,H335)*POWER(Upgrades!$Q$10,I335)*POWER(Upgrades!$Q$11,J335)*POWER(Upgrades!$Q$12,K335))*(IF(Upgrades!$T$6="Stellar Coupling",POWER(Upgrades!$U$6,E335),1)*IF(Upgrades!$T$7="Stellar Coupling",POWER(Upgrades!$U$7,F335),1)*IF(Upgrades!$T$9="Stellar Coupling",POWER(Upgrades!$U$9,H335),1)*IF(Upgrades!$T$10="Stellar Coupling",POWER(Upgrades!$U$10,I335),1)*IF(Upgrades!$T$11="Stellar Coupling",POWER(Upgrades!$U$11,J335),1)*IF(Upgrades!$T$12="Stellar Coupling",POWER(Upgrades!$U$12,K335),1))*Parameters!$B$10*Parameters!$B$11/60/AI335,0)</f>
        <v>0.00452762415783776</v>
      </c>
      <c r="AV335" s="33" t="n">
        <f aca="false">IFERROR(Upgrades!$H$9*(POWER(Upgrades!$P$6,E335)*POWER(Upgrades!$P$7,F335)*POWER(Upgrades!$P$8,G335)*POWER(Upgrades!$P$9,H335)*POWER(Upgrades!$P$10,I335)*POWER(Upgrades!$P$11,J335)*POWER(Upgrades!$P$12,K335))*(IF(Upgrades!$T$6="Magnetosphere",POWER(Upgrades!$U$6,E335),1)*IF(Upgrades!$T$7="Magnetosphere",POWER(Upgrades!$U$7,F335),1)*IF(Upgrades!$T$8="Magnetosphere",POWER(Upgrades!$U$8,G335),1)*IF(Upgrades!$T$10="Magnetosphere",POWER(Upgrades!$U$10,I335),1)*IF(Upgrades!$T$11="Magnetosphere",POWER(Upgrades!$U$11,J335),1)*IF(Upgrades!$T$12="Magnetosphere",POWER(Upgrades!$U$12,K335),1))/AJ335,0)</f>
        <v>0</v>
      </c>
      <c r="AW335" s="33" t="n">
        <f aca="false">MAX(IF(I335&gt;0,0,IFERROR(0.25*N335/Upgrades!$C$10,0)),IF(J335&gt;0,0,IFERROR(0.5*((IF(G335=0,0,(Upgrades!$J$8+G335*Upgrades!$K$8)*POWER(Upgrades!$L$8,G335)))*(IF(Upgrades!$T$6="Stellar Coupling",POWER(Upgrades!$U$6,E335),1)*IF(Upgrades!$T$7="Stellar Coupling",POWER(Upgrades!$U$7,F335),1)*IF(Upgrades!$T$9="Stellar Coupling",POWER(Upgrades!$U$9,H335),1)*IF(Upgrades!$T$10="Stellar Coupling",POWER(Upgrades!$U$10,I335),1)*IF(Upgrades!$T$11="Stellar Coupling",POWER(Upgrades!$U$11,J335),1)*IF(Upgrades!$T$12="Stellar Coupling",POWER(Upgrades!$U$12,K335),1))*(POWER(Upgrades!$Q$6,E335)*POWER(Upgrades!$Q$7,F335)*POWER(Upgrades!$Q$8,G335)*POWER(Upgrades!$Q$9,H335)*POWER(Upgrades!$Q$10,I335)*POWER(Upgrades!$Q$11,J335)*POWER(Upgrades!$Q$12,K335))*Parameters!$B$10*Parameters!$B$11/60)/Upgrades!$C$11,0)),IF(K335&gt;0,0,IFERROR((1*(POWER(Upgrades!$P$6,E335)*POWER(Upgrades!$P$7,F335)*POWER(Upgrades!$P$8,G335)*POWER(Upgrades!$P$9,H335)*POWER(Upgrades!$P$10,I335)*POWER(Upgrades!$P$11,J335)*POWER(Upgrades!$P$12,K335))+0.2*M335*Parameters!$B$10*Parameters!$B$11/60)/Upgrades!$C$12,0)),IF(AND(ISNUMBER(AG335),AG335&gt;T335),AS335,0),IF(AND(ISNUMBER(AH335),AH335&gt;T335),AT335,0),IF(AND(ISNUMBER(AI335),AI335&gt;T335),AU335,0),IF(AND(ISNUMBER(AJ335),AJ335&gt;T335),AV335,0))</f>
        <v>0.00452762415783776</v>
      </c>
      <c r="AX335" s="29" t="str">
        <f aca="false">IF(AN335=1,"transition",IF(MIN(IF(AND(I335=0,ISNUMBER(AK335),AK335&lt;=T335),AK335,9000000000000000),IF(AND(J335=0,ISNUMBER(AL335),AL335&lt;=T335),AL335,9000000000000000),IF(AND(K335=0,ISNUMBER(AM335),AM335&lt;=T335),AM335,9000000000000000))&lt;9000000000000000,IF(AND(AND(I335=0,ISNUMBER(AK335),AK335&lt;=T335),AK335=MIN(IF(AND(I335=0,ISNUMBER(AK335),AK335&lt;=T335),AK335,9000000000000000),IF(AND(J335=0,ISNUMBER(AL335),AL335&lt;=T335),AL335,9000000000000000),IF(AND(K335=0,ISNUMBER(AM335),AM335&lt;=T335),AM335,9000000000000000))),"OR",IF(AND(AND(J335=0,ISNUMBER(AL335),AL335&lt;=T335),AL335=MIN(IF(AND(I335=0,ISNUMBER(AK335),AK335&lt;=T335),AK335,9000000000000000),IF(AND(J335=0,ISNUMBER(AL335),AL335&lt;=T335),AL335,9000000000000000),IF(AND(K335=0,ISNUMBER(AM335),AM335&lt;=T335),AM335,9000000000000000))),"HP","FP")),IF(AR335=TRUE(),"",IF(MAX(IF(AND(NOT(AND(AO335=1,AN335&lt;&gt;1)),ISNUMBER(AG335),AG335&lt;=T335),AS335,0),IF(AND(NOT(AND(AO335=1,AN335&lt;&gt;1)),ISNUMBER(AH335),AH335&lt;=T335),AT335,0),IF(AND(NOT(AND(AO335=1,AN335&lt;&gt;1)),ISNUMBER(AI335),AI335&lt;=T335),AU335,0),IF(AND(ISNUMBER(AJ335),AJ335&lt;=T335),AV335,0))&lt;=0,"",IF(AND(IF(AND(NOT(AND(AO335=1,AN335&lt;&gt;1)),ISNUMBER(AG335),AG335&lt;=T335),AS335,0)&gt;0,IF(AND(NOT(AND(AO335=1,AN335&lt;&gt;1)),ISNUMBER(AG335),AG335&lt;=T335),AS335,0)=MAX(IF(AND(NOT(AND(AO335=1,AN335&lt;&gt;1)),ISNUMBER(AG335),AG335&lt;=T335),AS335,0),IF(AND(NOT(AND(AO335=1,AN335&lt;&gt;1)),ISNUMBER(AH335),AH335&lt;=T335),AT335,0),IF(AND(NOT(AND(AO335=1,AN335&lt;&gt;1)),ISNUMBER(AI335),AI335&lt;=T335),AU335,0),IF(AND(ISNUMBER(AJ335),AJ335&lt;=T335),AV335,0))),"SW",IF(AND(IF(AND(NOT(AND(AO335=1,AN335&lt;&gt;1)),ISNUMBER(AH335),AH335&lt;=T335),AT335,0)&gt;0,IF(AND(NOT(AND(AO335=1,AN335&lt;&gt;1)),ISNUMBER(AH335),AH335&lt;=T335),AT335,0)=MAX(IF(AND(NOT(AND(AO335=1,AN335&lt;&gt;1)),ISNUMBER(AG335),AG335&lt;=T335),AS335,0),IF(AND(NOT(AND(AO335=1,AN335&lt;&gt;1)),ISNUMBER(AH335),AH335&lt;=T335),AT335,0),IF(AND(NOT(AND(AO335=1,AN335&lt;&gt;1)),ISNUMBER(AI335),AI335&lt;=T335),AU335,0),IF(AND(ISNUMBER(AJ335),AJ335&lt;=T335),AV335,0))),"AB",IF(AND(IF(AND(NOT(AND(AO335=1,AN335&lt;&gt;1)),ISNUMBER(AI335),AI335&lt;=T335),AU335,0)&gt;0,IF(AND(NOT(AND(AO335=1,AN335&lt;&gt;1)),ISNUMBER(AI335),AI335&lt;=T335),AU335,0)=MAX(IF(AND(NOT(AND(AO335=1,AN335&lt;&gt;1)),ISNUMBER(AG335),AG335&lt;=T335),AS335,0),IF(AND(NOT(AND(AO335=1,AN335&lt;&gt;1)),ISNUMBER(AH335),AH335&lt;=T335),AT335,0),IF(AND(NOT(AND(AO335=1,AN335&lt;&gt;1)),ISNUMBER(AI335),AI335&lt;=T335),AU335,0),IF(AND(ISNUMBER(AJ335),AJ335&lt;=T335),AV335,0))),"SC","Mag")))))))</f>
        <v/>
      </c>
    </row>
    <row r="336" customFormat="false" ht="15" hidden="false" customHeight="false" outlineLevel="0" collapsed="false">
      <c r="A336" s="26" t="n">
        <v>331</v>
      </c>
      <c r="B336" s="27" t="n">
        <f aca="false">A336*10/60</f>
        <v>55.1666666666667</v>
      </c>
      <c r="C336" s="21" t="n">
        <f aca="false">X335</f>
        <v>18.6730249835055</v>
      </c>
      <c r="D336" s="27" t="n">
        <f aca="false">D335+W335</f>
        <v>0</v>
      </c>
      <c r="E336" s="26" t="n">
        <f aca="false">E335+IF(U335="SW",1,0)</f>
        <v>12</v>
      </c>
      <c r="F336" s="26" t="n">
        <f aca="false">F335+IF(U335="AB",1,0)</f>
        <v>10</v>
      </c>
      <c r="G336" s="26" t="n">
        <f aca="false">G335+IF(U335="SC",1,0)</f>
        <v>7</v>
      </c>
      <c r="H336" s="26" t="n">
        <f aca="false">H335+IF(U335="Mag",1,0)</f>
        <v>5</v>
      </c>
      <c r="I336" s="26" t="n">
        <f aca="false">MAX(I335,IF(U335="OR",1,0))</f>
        <v>1</v>
      </c>
      <c r="J336" s="26" t="n">
        <f aca="false">MAX(J335,IF(U335="HP",1,0))</f>
        <v>1</v>
      </c>
      <c r="K336" s="26" t="n">
        <f aca="false">MAX(K335,IF(U335="FP",1,0))</f>
        <v>1</v>
      </c>
      <c r="L336" s="26" t="n">
        <f aca="false">MAX(L335,IF(U335="transition",1,0))</f>
        <v>1</v>
      </c>
      <c r="M336" s="28" t="n">
        <f aca="false">(Parameters!$B$9+(IF(E336=0,0,(Upgrades!$J$6+E336*Upgrades!$K$6)*POWER(Upgrades!$L$6,E336)))*(IF(Upgrades!$T$7="Solar Wind",POWER(Upgrades!$U$7,F336),1)*IF(Upgrades!$T$8="Solar Wind",POWER(Upgrades!$U$8,G336),1)*IF(Upgrades!$T$9="Solar Wind",POWER(Upgrades!$U$9,H336),1)*IF(Upgrades!$T$10="Solar Wind",POWER(Upgrades!$U$10,I336),1)*IF(Upgrades!$T$11="Solar Wind",POWER(Upgrades!$U$11,J336),1)*IF(Upgrades!$T$12="Solar Wind",POWER(Upgrades!$U$12,K336),1))+(IF(F336=0,0,(Upgrades!$J$7+F336*Upgrades!$K$7)*POWER(Upgrades!$L$7,F336)))*(IF(Upgrades!$T$6="Asteroid Belt",POWER(Upgrades!$U$6,E336),1)*IF(Upgrades!$T$8="Asteroid Belt",POWER(Upgrades!$U$8,G336),1)*IF(Upgrades!$T$9="Asteroid Belt",POWER(Upgrades!$U$9,H336),1)*IF(Upgrades!$T$10="Asteroid Belt",POWER(Upgrades!$U$10,I336),1)*IF(Upgrades!$T$11="Asteroid Belt",POWER(Upgrades!$U$11,J336),1)*IF(Upgrades!$T$12="Asteroid Belt",POWER(Upgrades!$U$12,K336),1))+(IF(G336=0,0,(Upgrades!$J$8+G336*Upgrades!$K$8)*POWER(Upgrades!$L$8,G336)))*(IF(Upgrades!$T$6="Stellar Coupling",POWER(Upgrades!$U$6,E336),1)*IF(Upgrades!$T$7="Stellar Coupling",POWER(Upgrades!$U$7,F336),1)*IF(Upgrades!$T$9="Stellar Coupling",POWER(Upgrades!$U$9,H336),1)*IF(Upgrades!$T$10="Stellar Coupling",POWER(Upgrades!$U$10,I336),1)*IF(Upgrades!$T$11="Stellar Coupling",POWER(Upgrades!$U$11,J336),1)*IF(Upgrades!$T$12="Stellar Coupling",POWER(Upgrades!$U$12,K336),1))+(IF(H336=0,0,(Upgrades!$J$9+H336*Upgrades!$K$9)*POWER(Upgrades!$L$9,H336)))*(IF(Upgrades!$T$6="Magnetosphere",POWER(Upgrades!$U$6,E336),1)*IF(Upgrades!$T$7="Magnetosphere",POWER(Upgrades!$U$7,F336),1)*IF(Upgrades!$T$8="Magnetosphere",POWER(Upgrades!$U$8,G336),1)*IF(Upgrades!$T$10="Magnetosphere",POWER(Upgrades!$U$10,I336),1)*IF(Upgrades!$T$11="Magnetosphere",POWER(Upgrades!$U$11,J336),1)*IF(Upgrades!$T$12="Magnetosphere",POWER(Upgrades!$U$12,K336),1))+(IF(I336=0,0,(Upgrades!$J$10+I336*Upgrades!$K$10)*POWER(Upgrades!$L$10,I336)))*(IF(Upgrades!$T$6="Orbital Resonance",POWER(Upgrades!$U$6,E336),1)*IF(Upgrades!$T$7="Orbital Resonance",POWER(Upgrades!$U$7,F336),1)*IF(Upgrades!$T$8="Orbital Resonance",POWER(Upgrades!$U$8,G336),1)*IF(Upgrades!$T$9="Orbital Resonance",POWER(Upgrades!$U$9,H336),1)*IF(Upgrades!$T$11="Orbital Resonance",POWER(Upgrades!$U$11,J336),1)*IF(Upgrades!$T$12="Orbital Resonance",POWER(Upgrades!$U$12,K336),1))+(IF(J336=0,0,(Upgrades!$J$11+J336*Upgrades!$K$11)*POWER(Upgrades!$L$11,J336)))*(IF(Upgrades!$T$6="Heliopause",POWER(Upgrades!$U$6,E336),1)*IF(Upgrades!$T$7="Heliopause",POWER(Upgrades!$U$7,F336),1)*IF(Upgrades!$T$8="Heliopause",POWER(Upgrades!$U$8,G336),1)*IF(Upgrades!$T$9="Heliopause",POWER(Upgrades!$U$9,H336),1)*IF(Upgrades!$T$10="Heliopause",POWER(Upgrades!$U$10,I336),1)*IF(Upgrades!$T$12="Heliopause",POWER(Upgrades!$U$12,K336),1))+(IF(K336=0,0,(Upgrades!$J$12+K336*Upgrades!$K$12)*POWER(Upgrades!$L$12,K336)))*(IF(Upgrades!$T$6="First Photons",POWER(Upgrades!$U$6,E336),1)*IF(Upgrades!$T$7="First Photons",POWER(Upgrades!$U$7,F336),1)*IF(Upgrades!$T$8="First Photons",POWER(Upgrades!$U$8,G336),1)*IF(Upgrades!$T$9="First Photons",POWER(Upgrades!$U$9,H336),1)*IF(Upgrades!$T$10="First Photons",POWER(Upgrades!$U$10,I336),1)*IF(Upgrades!$T$11="First Photons",POWER(Upgrades!$U$11,J336),1)))*POWER(Upgrades!$Q$6,E336)*POWER(Upgrades!$Q$7,F336)*POWER(Upgrades!$Q$8,G336)*POWER(Upgrades!$Q$9,H336)*POWER(Upgrades!$Q$10,I336)*POWER(Upgrades!$Q$11,J336)*POWER(Upgrades!$Q$12,K336)</f>
        <v>5.61</v>
      </c>
      <c r="N336" s="28" t="n">
        <f aca="false">((IF(E336=0,0,(Upgrades!$G$6+E336*Upgrades!$H$6)*POWER(Upgrades!$I$6,E336)))*(IF(Upgrades!$T$7="Solar Wind",POWER(Upgrades!$U$7,F336),1)*IF(Upgrades!$T$8="Solar Wind",POWER(Upgrades!$U$8,G336),1)*IF(Upgrades!$T$9="Solar Wind",POWER(Upgrades!$U$9,H336),1)*IF(Upgrades!$T$10="Solar Wind",POWER(Upgrades!$U$10,I336),1)*IF(Upgrades!$T$11="Solar Wind",POWER(Upgrades!$U$11,J336),1)*IF(Upgrades!$T$12="Solar Wind",POWER(Upgrades!$U$12,K336),1))+(IF(F336=0,0,(Upgrades!$G$7+F336*Upgrades!$H$7)*POWER(Upgrades!$I$7,F336)))*(IF(Upgrades!$T$6="Asteroid Belt",POWER(Upgrades!$U$6,E336),1)*IF(Upgrades!$T$8="Asteroid Belt",POWER(Upgrades!$U$8,G336),1)*IF(Upgrades!$T$9="Asteroid Belt",POWER(Upgrades!$U$9,H336),1)*IF(Upgrades!$T$10="Asteroid Belt",POWER(Upgrades!$U$10,I336),1)*IF(Upgrades!$T$11="Asteroid Belt",POWER(Upgrades!$U$11,J336),1)*IF(Upgrades!$T$12="Asteroid Belt",POWER(Upgrades!$U$12,K336),1))+(IF(G336=0,0,(Upgrades!$G$8+G336*Upgrades!$H$8)*POWER(Upgrades!$I$8,G336)))*(IF(Upgrades!$T$6="Stellar Coupling",POWER(Upgrades!$U$6,E336),1)*IF(Upgrades!$T$7="Stellar Coupling",POWER(Upgrades!$U$7,F336),1)*IF(Upgrades!$T$9="Stellar Coupling",POWER(Upgrades!$U$9,H336),1)*IF(Upgrades!$T$10="Stellar Coupling",POWER(Upgrades!$U$10,I336),1)*IF(Upgrades!$T$11="Stellar Coupling",POWER(Upgrades!$U$11,J336),1)*IF(Upgrades!$T$12="Stellar Coupling",POWER(Upgrades!$U$12,K336),1))+(IF(H336=0,0,(Upgrades!$G$9+H336*Upgrades!$H$9)*POWER(Upgrades!$I$9,H336)))*(IF(Upgrades!$T$6="Magnetosphere",POWER(Upgrades!$U$6,E336),1)*IF(Upgrades!$T$7="Magnetosphere",POWER(Upgrades!$U$7,F336),1)*IF(Upgrades!$T$8="Magnetosphere",POWER(Upgrades!$U$8,G336),1)*IF(Upgrades!$T$10="Magnetosphere",POWER(Upgrades!$U$10,I336),1)*IF(Upgrades!$T$11="Magnetosphere",POWER(Upgrades!$U$11,J336),1)*IF(Upgrades!$T$12="Magnetosphere",POWER(Upgrades!$U$12,K336),1))+(IF(I336=0,0,(Upgrades!$G$10+I336*Upgrades!$H$10)*POWER(Upgrades!$I$10,I336)))*(IF(Upgrades!$T$6="Orbital Resonance",POWER(Upgrades!$U$6,E336),1)*IF(Upgrades!$T$7="Orbital Resonance",POWER(Upgrades!$U$7,F336),1)*IF(Upgrades!$T$8="Orbital Resonance",POWER(Upgrades!$U$8,G336),1)*IF(Upgrades!$T$9="Orbital Resonance",POWER(Upgrades!$U$9,H336),1)*IF(Upgrades!$T$11="Orbital Resonance",POWER(Upgrades!$U$11,J336),1)*IF(Upgrades!$T$12="Orbital Resonance",POWER(Upgrades!$U$12,K336),1))+(IF(J336=0,0,(Upgrades!$G$11+J336*Upgrades!$H$11)*POWER(Upgrades!$I$11,J336)))*(IF(Upgrades!$T$6="Heliopause",POWER(Upgrades!$U$6,E336),1)*IF(Upgrades!$T$7="Heliopause",POWER(Upgrades!$U$7,F336),1)*IF(Upgrades!$T$8="Heliopause",POWER(Upgrades!$U$8,G336),1)*IF(Upgrades!$T$9="Heliopause",POWER(Upgrades!$U$9,H336),1)*IF(Upgrades!$T$10="Heliopause",POWER(Upgrades!$U$10,I336),1)*IF(Upgrades!$T$12="Heliopause",POWER(Upgrades!$U$12,K336),1))+(IF(K336=0,0,(Upgrades!$G$12+K336*Upgrades!$H$12)*POWER(Upgrades!$I$12,K336)))*(IF(Upgrades!$T$6="First Photons",POWER(Upgrades!$U$6,E336),1)*IF(Upgrades!$T$7="First Photons",POWER(Upgrades!$U$7,F336),1)*IF(Upgrades!$T$8="First Photons",POWER(Upgrades!$U$8,G336),1)*IF(Upgrades!$T$9="First Photons",POWER(Upgrades!$U$9,H336),1)*IF(Upgrades!$T$10="First Photons",POWER(Upgrades!$U$10,I336),1)*IF(Upgrades!$T$11="First Photons",POWER(Upgrades!$U$11,J336),1)))*POWER(Upgrades!$P$6,E336)*POWER(Upgrades!$P$7,F336)*POWER(Upgrades!$P$8,G336)*POWER(Upgrades!$P$9,H336)*POWER(Upgrades!$P$10,I336)*POWER(Upgrades!$P$11,J336)*POWER(Upgrades!$P$12,K336)</f>
        <v>11.2</v>
      </c>
      <c r="O336" s="28" t="n">
        <f aca="false">((IF(E336=0,0,(Upgrades!$M$6+E336*Upgrades!$N$6)*POWER(Upgrades!$O$6,E336)))*(IF(Upgrades!$T$7="Solar Wind",POWER(Upgrades!$U$7,F336),1)*IF(Upgrades!$T$8="Solar Wind",POWER(Upgrades!$U$8,G336),1)*IF(Upgrades!$T$9="Solar Wind",POWER(Upgrades!$U$9,H336),1)*IF(Upgrades!$T$10="Solar Wind",POWER(Upgrades!$U$10,I336),1)*IF(Upgrades!$T$11="Solar Wind",POWER(Upgrades!$U$11,J336),1)*IF(Upgrades!$T$12="Solar Wind",POWER(Upgrades!$U$12,K336),1))+(IF(F336=0,0,(Upgrades!$M$7+F336*Upgrades!$N$7)*POWER(Upgrades!$O$7,F336)))*(IF(Upgrades!$T$6="Asteroid Belt",POWER(Upgrades!$U$6,E336),1)*IF(Upgrades!$T$8="Asteroid Belt",POWER(Upgrades!$U$8,G336),1)*IF(Upgrades!$T$9="Asteroid Belt",POWER(Upgrades!$U$9,H336),1)*IF(Upgrades!$T$10="Asteroid Belt",POWER(Upgrades!$U$10,I336),1)*IF(Upgrades!$T$11="Asteroid Belt",POWER(Upgrades!$U$11,J336),1)*IF(Upgrades!$T$12="Asteroid Belt",POWER(Upgrades!$U$12,K336),1))+(IF(G336=0,0,(Upgrades!$M$8+G336*Upgrades!$N$8)*POWER(Upgrades!$O$8,G336)))*(IF(Upgrades!$T$6="Stellar Coupling",POWER(Upgrades!$U$6,E336),1)*IF(Upgrades!$T$7="Stellar Coupling",POWER(Upgrades!$U$7,F336),1)*IF(Upgrades!$T$9="Stellar Coupling",POWER(Upgrades!$U$9,H336),1)*IF(Upgrades!$T$10="Stellar Coupling",POWER(Upgrades!$U$10,I336),1)*IF(Upgrades!$T$11="Stellar Coupling",POWER(Upgrades!$U$11,J336),1)*IF(Upgrades!$T$12="Stellar Coupling",POWER(Upgrades!$U$12,K336),1))+(IF(H336=0,0,(Upgrades!$M$9+H336*Upgrades!$N$9)*POWER(Upgrades!$O$9,H336)))*(IF(Upgrades!$T$6="Magnetosphere",POWER(Upgrades!$U$6,E336),1)*IF(Upgrades!$T$7="Magnetosphere",POWER(Upgrades!$U$7,F336),1)*IF(Upgrades!$T$8="Magnetosphere",POWER(Upgrades!$U$8,G336),1)*IF(Upgrades!$T$10="Magnetosphere",POWER(Upgrades!$U$10,I336),1)*IF(Upgrades!$T$11="Magnetosphere",POWER(Upgrades!$U$11,J336),1)*IF(Upgrades!$T$12="Magnetosphere",POWER(Upgrades!$U$12,K336),1))+(IF(I336=0,0,(Upgrades!$M$10+I336*Upgrades!$N$10)*POWER(Upgrades!$O$10,I336)))*(IF(Upgrades!$T$6="Orbital Resonance",POWER(Upgrades!$U$6,E336),1)*IF(Upgrades!$T$7="Orbital Resonance",POWER(Upgrades!$U$7,F336),1)*IF(Upgrades!$T$8="Orbital Resonance",POWER(Upgrades!$U$8,G336),1)*IF(Upgrades!$T$9="Orbital Resonance",POWER(Upgrades!$U$9,H336),1)*IF(Upgrades!$T$11="Orbital Resonance",POWER(Upgrades!$U$11,J336),1)*IF(Upgrades!$T$12="Orbital Resonance",POWER(Upgrades!$U$12,K336),1))+(IF(J336=0,0,(Upgrades!$M$11+J336*Upgrades!$N$11)*POWER(Upgrades!$O$11,J336)))*(IF(Upgrades!$T$6="Heliopause",POWER(Upgrades!$U$6,E336),1)*IF(Upgrades!$T$7="Heliopause",POWER(Upgrades!$U$7,F336),1)*IF(Upgrades!$T$8="Heliopause",POWER(Upgrades!$U$8,G336),1)*IF(Upgrades!$T$9="Heliopause",POWER(Upgrades!$U$9,H336),1)*IF(Upgrades!$T$10="Heliopause",POWER(Upgrades!$U$10,I336),1)*IF(Upgrades!$T$12="Heliopause",POWER(Upgrades!$U$12,K336),1))+(IF(K336=0,0,(Upgrades!$M$12+K336*Upgrades!$N$12)*POWER(Upgrades!$O$12,K336)))*(IF(Upgrades!$T$6="First Photons",POWER(Upgrades!$U$6,E336),1)*IF(Upgrades!$T$7="First Photons",POWER(Upgrades!$U$7,F336),1)*IF(Upgrades!$T$8="First Photons",POWER(Upgrades!$U$8,G336),1)*IF(Upgrades!$T$9="First Photons",POWER(Upgrades!$U$9,H336),1)*IF(Upgrades!$T$10="First Photons",POWER(Upgrades!$U$10,I336),1)*IF(Upgrades!$T$11="First Photons",POWER(Upgrades!$U$11,J336),1)))*POWER(Upgrades!$R$6,E336)*POWER(Upgrades!$R$7,F336)*POWER(Upgrades!$R$8,G336)*POWER(Upgrades!$R$9,H336)*POWER(Upgrades!$R$10,I336)*POWER(Upgrades!$R$11,J336)*POWER(Upgrades!$R$12,K336)</f>
        <v>0</v>
      </c>
      <c r="P336" s="27" t="n">
        <f aca="false">IF(L336=1,0,M336*Parameters!$B$10/60*Parameters!$B$11*10)</f>
        <v>0</v>
      </c>
      <c r="Q336" s="27" t="n">
        <f aca="false">IF(L336=1,0,O336*M336*10)</f>
        <v>0</v>
      </c>
      <c r="R336" s="27" t="n">
        <f aca="false">IF(L336=1,0,N336*10)</f>
        <v>0</v>
      </c>
      <c r="S336" s="27" t="n">
        <f aca="false">P336+Q336+R336</f>
        <v>0</v>
      </c>
      <c r="T336" s="21" t="n">
        <f aca="false">C336+S336</f>
        <v>18.6730249835055</v>
      </c>
      <c r="U336" s="34" t="str">
        <f aca="false">AX336</f>
        <v/>
      </c>
      <c r="V336" s="21" t="n">
        <f aca="false">IF(U336="",0,IF(U336="transition",0,IF(U336="SW",AG336,IF(U336="AB",AH336,IF(U336="SC",AI336,IF(U336="Mag",AJ336,IF(U336="OR",AK336,IF(U336="HP",AL336,IF(U336="FP",AM336,0)))))))))</f>
        <v>0</v>
      </c>
      <c r="W336" s="27" t="n">
        <f aca="false">IF(U336="OR",Upgrades!$F$10,IF(U336="HP",Upgrades!$F$11,IF(U336="transition",-Parameters!$B$18,0)))</f>
        <v>0</v>
      </c>
      <c r="X336" s="21" t="n">
        <f aca="false">T336-V336</f>
        <v>18.6730249835055</v>
      </c>
      <c r="Y336" s="30" t="n">
        <f aca="false">M336*Parameters!$B$10/60*Parameters!$B$11+O336*M336+N336</f>
        <v>20.55</v>
      </c>
      <c r="Z336" s="35" t="str">
        <f aca="false">IF(U336="transition","→ Tier 2 (Stellar Neighborhood)",IF(U336="FP","First Photons — light begins, system quickens",IF(U336="HP","Heliopause acquired",IF(U336="OR","Orbital Resonance — passive multiplier active",IF(AND(AO336=1,L336=0,AN336&lt;&gt;1),"Cohesion ready (waiting on completionist upgrades)","")))))</f>
        <v/>
      </c>
      <c r="AA336" s="27" t="n">
        <f aca="false">(IF(E336=0,0,(Upgrades!$G$6+E336*Upgrades!$H$6)*POWER(Upgrades!$I$6,E336)))*(IF(Upgrades!$T$7="Solar Wind",POWER(Upgrades!$U$7,F336),1)*IF(Upgrades!$T$8="Solar Wind",POWER(Upgrades!$U$8,G336),1)*IF(Upgrades!$T$9="Solar Wind",POWER(Upgrades!$U$9,H336),1)*IF(Upgrades!$T$10="Solar Wind",POWER(Upgrades!$U$10,I336),1)*IF(Upgrades!$T$11="Solar Wind",POWER(Upgrades!$U$11,J336),1)*IF(Upgrades!$T$12="Solar Wind",POWER(Upgrades!$U$12,K336),1))*POWER(Upgrades!$P$6,E336)*POWER(Upgrades!$P$7,F336)*POWER(Upgrades!$P$8,G336)*POWER(Upgrades!$P$9,H336)*POWER(Upgrades!$P$10,I336)*POWER(Upgrades!$P$11,J336)*POWER(Upgrades!$P$12,K336)*60</f>
        <v>72</v>
      </c>
      <c r="AB336" s="27" t="n">
        <f aca="false">(IF(F336=0,0,(Upgrades!$G$7+F336*Upgrades!$H$7)*POWER(Upgrades!$I$7,F336)))*(IF(Upgrades!$T$6="Asteroid Belt",POWER(Upgrades!$U$6,E336),1)*IF(Upgrades!$T$8="Asteroid Belt",POWER(Upgrades!$U$8,G336),1)*IF(Upgrades!$T$9="Asteroid Belt",POWER(Upgrades!$U$9,H336),1)*IF(Upgrades!$T$10="Asteroid Belt",POWER(Upgrades!$U$10,I336),1)*IF(Upgrades!$T$11="Asteroid Belt",POWER(Upgrades!$U$11,J336),1)*IF(Upgrades!$T$12="Asteroid Belt",POWER(Upgrades!$U$12,K336),1))*POWER(Upgrades!$P$6,E336)*POWER(Upgrades!$P$7,F336)*POWER(Upgrades!$P$8,G336)*POWER(Upgrades!$P$9,H336)*POWER(Upgrades!$P$10,I336)*POWER(Upgrades!$P$11,J336)*POWER(Upgrades!$P$12,K336)*60</f>
        <v>150</v>
      </c>
      <c r="AC336" s="27" t="n">
        <f aca="false">(IF(G336=0,0,(Upgrades!$J$8+G336*Upgrades!$K$8)*POWER(Upgrades!$L$8,G336)))*(IF(Upgrades!$T$6="Stellar Coupling",POWER(Upgrades!$U$6,E336),1)*IF(Upgrades!$T$7="Stellar Coupling",POWER(Upgrades!$U$7,F336),1)*IF(Upgrades!$T$9="Stellar Coupling",POWER(Upgrades!$U$9,H336),1)*IF(Upgrades!$T$10="Stellar Coupling",POWER(Upgrades!$U$10,I336),1)*IF(Upgrades!$T$11="Stellar Coupling",POWER(Upgrades!$U$11,J336),1)*IF(Upgrades!$T$12="Stellar Coupling",POWER(Upgrades!$U$12,K336),1))*POWER(Upgrades!$Q$6,E336)*POWER(Upgrades!$Q$7,F336)*POWER(Upgrades!$Q$8,G336)*POWER(Upgrades!$Q$9,H336)*POWER(Upgrades!$Q$10,I336)*POWER(Upgrades!$Q$11,J336)*POWER(Upgrades!$Q$12,K336)*Parameters!$B$10*Parameters!$B$11</f>
        <v>441</v>
      </c>
      <c r="AD336" s="27" t="n">
        <f aca="false">(IF(H336=0,0,(Upgrades!$G$9+H336*Upgrades!$H$9)*POWER(Upgrades!$I$9,H336)))*(IF(Upgrades!$T$6="Magnetosphere",POWER(Upgrades!$U$6,E336),1)*IF(Upgrades!$T$7="Magnetosphere",POWER(Upgrades!$U$7,F336),1)*IF(Upgrades!$T$8="Magnetosphere",POWER(Upgrades!$U$8,G336),1)*IF(Upgrades!$T$10="Magnetosphere",POWER(Upgrades!$U$10,I336),1)*IF(Upgrades!$T$11="Magnetosphere",POWER(Upgrades!$U$11,J336),1)*IF(Upgrades!$T$12="Magnetosphere",POWER(Upgrades!$U$12,K336),1))*POWER(Upgrades!$P$6,E336)*POWER(Upgrades!$P$7,F336)*POWER(Upgrades!$P$8,G336)*POWER(Upgrades!$P$9,H336)*POWER(Upgrades!$P$10,I336)*POWER(Upgrades!$P$11,J336)*POWER(Upgrades!$P$12,K336)*60</f>
        <v>375</v>
      </c>
      <c r="AE336" s="27" t="n">
        <f aca="false">(IF(K336=0,0,(Upgrades!$G$12+K336*Upgrades!$H$12)*POWER(Upgrades!$I$12,K336)))*(IF(Upgrades!$T$6="First Photons",POWER(Upgrades!$U$6,E336),1)*IF(Upgrades!$T$7="First Photons",POWER(Upgrades!$U$7,F336),1)*IF(Upgrades!$T$8="First Photons",POWER(Upgrades!$U$8,G336),1)*IF(Upgrades!$T$9="First Photons",POWER(Upgrades!$U$9,H336),1)*IF(Upgrades!$T$10="First Photons",POWER(Upgrades!$U$10,I336),1)*IF(Upgrades!$T$11="First Photons",POWER(Upgrades!$U$11,J336),1))*POWER(Upgrades!$P$6,E336)*POWER(Upgrades!$P$7,F336)*POWER(Upgrades!$P$8,G336)*POWER(Upgrades!$P$9,H336)*POWER(Upgrades!$P$10,I336)*POWER(Upgrades!$P$11,J336)*POWER(Upgrades!$P$12,K336)*60</f>
        <v>75</v>
      </c>
      <c r="AF336" s="27" t="n">
        <f aca="false">Parameters!$B$9*POWER(Upgrades!$Q$6,E336)*POWER(Upgrades!$Q$7,F336)*POWER(Upgrades!$Q$8,G336)*POWER(Upgrades!$Q$9,H336)*POWER(Upgrades!$Q$10,I336)*POWER(Upgrades!$Q$11,J336)*POWER(Upgrades!$Q$12,K336)*(Parameters!$B$10*Parameters!$B$11+O336*60)</f>
        <v>120</v>
      </c>
      <c r="AG336" s="21" t="n">
        <f aca="false">IF(E336&gt;=Upgrades!$E$6,"",Upgrades!$C$6*POWER(Upgrades!$D$6,E336))</f>
        <v>37.4517507383159</v>
      </c>
      <c r="AH336" s="21" t="n">
        <f aca="false">IF(F336&gt;=Upgrades!$E$7,"",Upgrades!$C$7*POWER(Upgrades!$D$7,F336))</f>
        <v>80.9111547141581</v>
      </c>
      <c r="AI336" s="21" t="n">
        <f aca="false">IF(G336&gt;=Upgrades!$E$8,"",Upgrades!$C$8*POWER(Upgrades!$D$8,G336))</f>
        <v>231.9097088</v>
      </c>
      <c r="AJ336" s="21" t="str">
        <f aca="false">IF(H336&gt;=Upgrades!$E$9,"",Upgrades!$C$9*POWER(Upgrades!$D$9,H336))</f>
        <v/>
      </c>
      <c r="AK336" s="21" t="str">
        <f aca="false">IF(I336&gt;=Upgrades!$E$10,"",Upgrades!$C$10*POWER(Upgrades!$D$10,I336))</f>
        <v/>
      </c>
      <c r="AL336" s="21" t="str">
        <f aca="false">IF(J336&gt;=Upgrades!$E$11,"",Upgrades!$C$11*POWER(Upgrades!$D$11,J336))</f>
        <v/>
      </c>
      <c r="AM336" s="21" t="str">
        <f aca="false">IF(K336&gt;=Upgrades!$E$12,"",Upgrades!$C$12*POWER(Upgrades!$D$12,K336))</f>
        <v/>
      </c>
      <c r="AN336" s="26" t="str">
        <f aca="false">IF(AND(D336&gt;=Parameters!$B$18,(H336&gt;=Upgrades!$E$9)*(K336&gt;=Upgrades!$E$12)=1,L336=0),1,"")</f>
        <v/>
      </c>
      <c r="AO336" s="26" t="str">
        <f aca="false">IF(AND(D336&gt;=Parameters!$B$18,L336=0),1,"")</f>
        <v/>
      </c>
      <c r="AP336" s="21" t="n">
        <f aca="false">MIN(IF(ISNUMBER(AK336),AK336,9000000000000000),IF(ISNUMBER(AL336),AL336,9000000000000000),IF(ISNUMBER(AM336),AM336,9000000000000000))</f>
        <v>9000000000000000</v>
      </c>
      <c r="AQ336" s="21" t="n">
        <f aca="false">MIN(IF(ISNUMBER(AG336),AG336,9000000000000000),IF(ISNUMBER(AH336),AH336,9000000000000000),IF(ISNUMBER(AI336),AI336,9000000000000000),IF(ISNUMBER(AJ336),AJ336,9000000000000000))</f>
        <v>37.4517507383159</v>
      </c>
      <c r="AR336" s="32" t="b">
        <f aca="false">IF(AW336&gt;Parameters!$B$21*(MAX(IF(AND(NOT(AND(AO336=1,AN336&lt;&gt;1)),ISNUMBER(AG336),AG336&lt;=T336),AS336,0),IF(AND(NOT(AND(AO336=1,AN336&lt;&gt;1)),ISNUMBER(AH336),AH336&lt;=T336),AT336,0),IF(AND(NOT(AND(AO336=1,AN336&lt;&gt;1)),ISNUMBER(AI336),AI336&lt;=T336),AU336,0),IF(AND(ISNUMBER(AJ336),AJ336&lt;=T336),AV336,0))),TRUE(),FALSE())</f>
        <v>1</v>
      </c>
      <c r="AS336" s="33" t="n">
        <f aca="false">IFERROR(Upgrades!$H$6*(POWER(Upgrades!$P$6,E336)*POWER(Upgrades!$P$7,F336)*POWER(Upgrades!$P$8,G336)*POWER(Upgrades!$P$9,H336)*POWER(Upgrades!$P$10,I336)*POWER(Upgrades!$P$11,J336)*POWER(Upgrades!$P$12,K336))*(IF(Upgrades!$T$7="Solar Wind",POWER(Upgrades!$U$7,F336),1)*IF(Upgrades!$T$8="Solar Wind",POWER(Upgrades!$U$8,G336),1)*IF(Upgrades!$T$9="Solar Wind",POWER(Upgrades!$U$9,H336),1)*IF(Upgrades!$T$10="Solar Wind",POWER(Upgrades!$U$10,I336),1)*IF(Upgrades!$T$11="Solar Wind",POWER(Upgrades!$U$11,J336),1)*IF(Upgrades!$T$12="Solar Wind",POWER(Upgrades!$U$12,K336),1))/AG336,0)</f>
        <v>0.0026701021455238</v>
      </c>
      <c r="AT336" s="33" t="n">
        <f aca="false">IFERROR(Upgrades!$H$7*(POWER(Upgrades!$P$6,E336)*POWER(Upgrades!$P$7,F336)*POWER(Upgrades!$P$8,G336)*POWER(Upgrades!$P$9,H336)*POWER(Upgrades!$P$10,I336)*POWER(Upgrades!$P$11,J336)*POWER(Upgrades!$P$12,K336))*(IF(Upgrades!$T$6="Asteroid Belt",POWER(Upgrades!$U$6,E336),1)*IF(Upgrades!$T$8="Asteroid Belt",POWER(Upgrades!$U$8,G336),1)*IF(Upgrades!$T$9="Asteroid Belt",POWER(Upgrades!$U$9,H336),1)*IF(Upgrades!$T$10="Asteroid Belt",POWER(Upgrades!$U$10,I336),1)*IF(Upgrades!$T$11="Asteroid Belt",POWER(Upgrades!$U$11,J336),1)*IF(Upgrades!$T$12="Asteroid Belt",POWER(Upgrades!$U$12,K336),1))/AH336,0)</f>
        <v>0.00308980882652332</v>
      </c>
      <c r="AU336" s="33" t="n">
        <f aca="false">IFERROR(Upgrades!$K$8*(POWER(Upgrades!$Q$6,E336)*POWER(Upgrades!$Q$7,F336)*POWER(Upgrades!$Q$8,G336)*POWER(Upgrades!$Q$9,H336)*POWER(Upgrades!$Q$10,I336)*POWER(Upgrades!$Q$11,J336)*POWER(Upgrades!$Q$12,K336))*(IF(Upgrades!$T$6="Stellar Coupling",POWER(Upgrades!$U$6,E336),1)*IF(Upgrades!$T$7="Stellar Coupling",POWER(Upgrades!$U$7,F336),1)*IF(Upgrades!$T$9="Stellar Coupling",POWER(Upgrades!$U$9,H336),1)*IF(Upgrades!$T$10="Stellar Coupling",POWER(Upgrades!$U$10,I336),1)*IF(Upgrades!$T$11="Stellar Coupling",POWER(Upgrades!$U$11,J336),1)*IF(Upgrades!$T$12="Stellar Coupling",POWER(Upgrades!$U$12,K336),1))*Parameters!$B$10*Parameters!$B$11/60/AI336,0)</f>
        <v>0.00452762415783776</v>
      </c>
      <c r="AV336" s="33" t="n">
        <f aca="false">IFERROR(Upgrades!$H$9*(POWER(Upgrades!$P$6,E336)*POWER(Upgrades!$P$7,F336)*POWER(Upgrades!$P$8,G336)*POWER(Upgrades!$P$9,H336)*POWER(Upgrades!$P$10,I336)*POWER(Upgrades!$P$11,J336)*POWER(Upgrades!$P$12,K336))*(IF(Upgrades!$T$6="Magnetosphere",POWER(Upgrades!$U$6,E336),1)*IF(Upgrades!$T$7="Magnetosphere",POWER(Upgrades!$U$7,F336),1)*IF(Upgrades!$T$8="Magnetosphere",POWER(Upgrades!$U$8,G336),1)*IF(Upgrades!$T$10="Magnetosphere",POWER(Upgrades!$U$10,I336),1)*IF(Upgrades!$T$11="Magnetosphere",POWER(Upgrades!$U$11,J336),1)*IF(Upgrades!$T$12="Magnetosphere",POWER(Upgrades!$U$12,K336),1))/AJ336,0)</f>
        <v>0</v>
      </c>
      <c r="AW336" s="33" t="n">
        <f aca="false">MAX(IF(I336&gt;0,0,IFERROR(0.25*N336/Upgrades!$C$10,0)),IF(J336&gt;0,0,IFERROR(0.5*((IF(G336=0,0,(Upgrades!$J$8+G336*Upgrades!$K$8)*POWER(Upgrades!$L$8,G336)))*(IF(Upgrades!$T$6="Stellar Coupling",POWER(Upgrades!$U$6,E336),1)*IF(Upgrades!$T$7="Stellar Coupling",POWER(Upgrades!$U$7,F336),1)*IF(Upgrades!$T$9="Stellar Coupling",POWER(Upgrades!$U$9,H336),1)*IF(Upgrades!$T$10="Stellar Coupling",POWER(Upgrades!$U$10,I336),1)*IF(Upgrades!$T$11="Stellar Coupling",POWER(Upgrades!$U$11,J336),1)*IF(Upgrades!$T$12="Stellar Coupling",POWER(Upgrades!$U$12,K336),1))*(POWER(Upgrades!$Q$6,E336)*POWER(Upgrades!$Q$7,F336)*POWER(Upgrades!$Q$8,G336)*POWER(Upgrades!$Q$9,H336)*POWER(Upgrades!$Q$10,I336)*POWER(Upgrades!$Q$11,J336)*POWER(Upgrades!$Q$12,K336))*Parameters!$B$10*Parameters!$B$11/60)/Upgrades!$C$11,0)),IF(K336&gt;0,0,IFERROR((1*(POWER(Upgrades!$P$6,E336)*POWER(Upgrades!$P$7,F336)*POWER(Upgrades!$P$8,G336)*POWER(Upgrades!$P$9,H336)*POWER(Upgrades!$P$10,I336)*POWER(Upgrades!$P$11,J336)*POWER(Upgrades!$P$12,K336))+0.2*M336*Parameters!$B$10*Parameters!$B$11/60)/Upgrades!$C$12,0)),IF(AND(ISNUMBER(AG336),AG336&gt;T336),AS336,0),IF(AND(ISNUMBER(AH336),AH336&gt;T336),AT336,0),IF(AND(ISNUMBER(AI336),AI336&gt;T336),AU336,0),IF(AND(ISNUMBER(AJ336),AJ336&gt;T336),AV336,0))</f>
        <v>0.00452762415783776</v>
      </c>
      <c r="AX336" s="29" t="str">
        <f aca="false">IF(AN336=1,"transition",IF(MIN(IF(AND(I336=0,ISNUMBER(AK336),AK336&lt;=T336),AK336,9000000000000000),IF(AND(J336=0,ISNUMBER(AL336),AL336&lt;=T336),AL336,9000000000000000),IF(AND(K336=0,ISNUMBER(AM336),AM336&lt;=T336),AM336,9000000000000000))&lt;9000000000000000,IF(AND(AND(I336=0,ISNUMBER(AK336),AK336&lt;=T336),AK336=MIN(IF(AND(I336=0,ISNUMBER(AK336),AK336&lt;=T336),AK336,9000000000000000),IF(AND(J336=0,ISNUMBER(AL336),AL336&lt;=T336),AL336,9000000000000000),IF(AND(K336=0,ISNUMBER(AM336),AM336&lt;=T336),AM336,9000000000000000))),"OR",IF(AND(AND(J336=0,ISNUMBER(AL336),AL336&lt;=T336),AL336=MIN(IF(AND(I336=0,ISNUMBER(AK336),AK336&lt;=T336),AK336,9000000000000000),IF(AND(J336=0,ISNUMBER(AL336),AL336&lt;=T336),AL336,9000000000000000),IF(AND(K336=0,ISNUMBER(AM336),AM336&lt;=T336),AM336,9000000000000000))),"HP","FP")),IF(AR336=TRUE(),"",IF(MAX(IF(AND(NOT(AND(AO336=1,AN336&lt;&gt;1)),ISNUMBER(AG336),AG336&lt;=T336),AS336,0),IF(AND(NOT(AND(AO336=1,AN336&lt;&gt;1)),ISNUMBER(AH336),AH336&lt;=T336),AT336,0),IF(AND(NOT(AND(AO336=1,AN336&lt;&gt;1)),ISNUMBER(AI336),AI336&lt;=T336),AU336,0),IF(AND(ISNUMBER(AJ336),AJ336&lt;=T336),AV336,0))&lt;=0,"",IF(AND(IF(AND(NOT(AND(AO336=1,AN336&lt;&gt;1)),ISNUMBER(AG336),AG336&lt;=T336),AS336,0)&gt;0,IF(AND(NOT(AND(AO336=1,AN336&lt;&gt;1)),ISNUMBER(AG336),AG336&lt;=T336),AS336,0)=MAX(IF(AND(NOT(AND(AO336=1,AN336&lt;&gt;1)),ISNUMBER(AG336),AG336&lt;=T336),AS336,0),IF(AND(NOT(AND(AO336=1,AN336&lt;&gt;1)),ISNUMBER(AH336),AH336&lt;=T336),AT336,0),IF(AND(NOT(AND(AO336=1,AN336&lt;&gt;1)),ISNUMBER(AI336),AI336&lt;=T336),AU336,0),IF(AND(ISNUMBER(AJ336),AJ336&lt;=T336),AV336,0))),"SW",IF(AND(IF(AND(NOT(AND(AO336=1,AN336&lt;&gt;1)),ISNUMBER(AH336),AH336&lt;=T336),AT336,0)&gt;0,IF(AND(NOT(AND(AO336=1,AN336&lt;&gt;1)),ISNUMBER(AH336),AH336&lt;=T336),AT336,0)=MAX(IF(AND(NOT(AND(AO336=1,AN336&lt;&gt;1)),ISNUMBER(AG336),AG336&lt;=T336),AS336,0),IF(AND(NOT(AND(AO336=1,AN336&lt;&gt;1)),ISNUMBER(AH336),AH336&lt;=T336),AT336,0),IF(AND(NOT(AND(AO336=1,AN336&lt;&gt;1)),ISNUMBER(AI336),AI336&lt;=T336),AU336,0),IF(AND(ISNUMBER(AJ336),AJ336&lt;=T336),AV336,0))),"AB",IF(AND(IF(AND(NOT(AND(AO336=1,AN336&lt;&gt;1)),ISNUMBER(AI336),AI336&lt;=T336),AU336,0)&gt;0,IF(AND(NOT(AND(AO336=1,AN336&lt;&gt;1)),ISNUMBER(AI336),AI336&lt;=T336),AU336,0)=MAX(IF(AND(NOT(AND(AO336=1,AN336&lt;&gt;1)),ISNUMBER(AG336),AG336&lt;=T336),AS336,0),IF(AND(NOT(AND(AO336=1,AN336&lt;&gt;1)),ISNUMBER(AH336),AH336&lt;=T336),AT336,0),IF(AND(NOT(AND(AO336=1,AN336&lt;&gt;1)),ISNUMBER(AI336),AI336&lt;=T336),AU336,0),IF(AND(ISNUMBER(AJ336),AJ336&lt;=T336),AV336,0))),"SC","Mag")))))))</f>
        <v/>
      </c>
    </row>
    <row r="337" customFormat="false" ht="15" hidden="false" customHeight="false" outlineLevel="0" collapsed="false">
      <c r="A337" s="26" t="n">
        <v>332</v>
      </c>
      <c r="B337" s="27" t="n">
        <f aca="false">A337*10/60</f>
        <v>55.3333333333333</v>
      </c>
      <c r="C337" s="21" t="n">
        <f aca="false">X336</f>
        <v>18.6730249835055</v>
      </c>
      <c r="D337" s="27" t="n">
        <f aca="false">D336+W336</f>
        <v>0</v>
      </c>
      <c r="E337" s="26" t="n">
        <f aca="false">E336+IF(U336="SW",1,0)</f>
        <v>12</v>
      </c>
      <c r="F337" s="26" t="n">
        <f aca="false">F336+IF(U336="AB",1,0)</f>
        <v>10</v>
      </c>
      <c r="G337" s="26" t="n">
        <f aca="false">G336+IF(U336="SC",1,0)</f>
        <v>7</v>
      </c>
      <c r="H337" s="26" t="n">
        <f aca="false">H336+IF(U336="Mag",1,0)</f>
        <v>5</v>
      </c>
      <c r="I337" s="26" t="n">
        <f aca="false">MAX(I336,IF(U336="OR",1,0))</f>
        <v>1</v>
      </c>
      <c r="J337" s="26" t="n">
        <f aca="false">MAX(J336,IF(U336="HP",1,0))</f>
        <v>1</v>
      </c>
      <c r="K337" s="26" t="n">
        <f aca="false">MAX(K336,IF(U336="FP",1,0))</f>
        <v>1</v>
      </c>
      <c r="L337" s="26" t="n">
        <f aca="false">MAX(L336,IF(U336="transition",1,0))</f>
        <v>1</v>
      </c>
      <c r="M337" s="28" t="n">
        <f aca="false">(Parameters!$B$9+(IF(E337=0,0,(Upgrades!$J$6+E337*Upgrades!$K$6)*POWER(Upgrades!$L$6,E337)))*(IF(Upgrades!$T$7="Solar Wind",POWER(Upgrades!$U$7,F337),1)*IF(Upgrades!$T$8="Solar Wind",POWER(Upgrades!$U$8,G337),1)*IF(Upgrades!$T$9="Solar Wind",POWER(Upgrades!$U$9,H337),1)*IF(Upgrades!$T$10="Solar Wind",POWER(Upgrades!$U$10,I337),1)*IF(Upgrades!$T$11="Solar Wind",POWER(Upgrades!$U$11,J337),1)*IF(Upgrades!$T$12="Solar Wind",POWER(Upgrades!$U$12,K337),1))+(IF(F337=0,0,(Upgrades!$J$7+F337*Upgrades!$K$7)*POWER(Upgrades!$L$7,F337)))*(IF(Upgrades!$T$6="Asteroid Belt",POWER(Upgrades!$U$6,E337),1)*IF(Upgrades!$T$8="Asteroid Belt",POWER(Upgrades!$U$8,G337),1)*IF(Upgrades!$T$9="Asteroid Belt",POWER(Upgrades!$U$9,H337),1)*IF(Upgrades!$T$10="Asteroid Belt",POWER(Upgrades!$U$10,I337),1)*IF(Upgrades!$T$11="Asteroid Belt",POWER(Upgrades!$U$11,J337),1)*IF(Upgrades!$T$12="Asteroid Belt",POWER(Upgrades!$U$12,K337),1))+(IF(G337=0,0,(Upgrades!$J$8+G337*Upgrades!$K$8)*POWER(Upgrades!$L$8,G337)))*(IF(Upgrades!$T$6="Stellar Coupling",POWER(Upgrades!$U$6,E337),1)*IF(Upgrades!$T$7="Stellar Coupling",POWER(Upgrades!$U$7,F337),1)*IF(Upgrades!$T$9="Stellar Coupling",POWER(Upgrades!$U$9,H337),1)*IF(Upgrades!$T$10="Stellar Coupling",POWER(Upgrades!$U$10,I337),1)*IF(Upgrades!$T$11="Stellar Coupling",POWER(Upgrades!$U$11,J337),1)*IF(Upgrades!$T$12="Stellar Coupling",POWER(Upgrades!$U$12,K337),1))+(IF(H337=0,0,(Upgrades!$J$9+H337*Upgrades!$K$9)*POWER(Upgrades!$L$9,H337)))*(IF(Upgrades!$T$6="Magnetosphere",POWER(Upgrades!$U$6,E337),1)*IF(Upgrades!$T$7="Magnetosphere",POWER(Upgrades!$U$7,F337),1)*IF(Upgrades!$T$8="Magnetosphere",POWER(Upgrades!$U$8,G337),1)*IF(Upgrades!$T$10="Magnetosphere",POWER(Upgrades!$U$10,I337),1)*IF(Upgrades!$T$11="Magnetosphere",POWER(Upgrades!$U$11,J337),1)*IF(Upgrades!$T$12="Magnetosphere",POWER(Upgrades!$U$12,K337),1))+(IF(I337=0,0,(Upgrades!$J$10+I337*Upgrades!$K$10)*POWER(Upgrades!$L$10,I337)))*(IF(Upgrades!$T$6="Orbital Resonance",POWER(Upgrades!$U$6,E337),1)*IF(Upgrades!$T$7="Orbital Resonance",POWER(Upgrades!$U$7,F337),1)*IF(Upgrades!$T$8="Orbital Resonance",POWER(Upgrades!$U$8,G337),1)*IF(Upgrades!$T$9="Orbital Resonance",POWER(Upgrades!$U$9,H337),1)*IF(Upgrades!$T$11="Orbital Resonance",POWER(Upgrades!$U$11,J337),1)*IF(Upgrades!$T$12="Orbital Resonance",POWER(Upgrades!$U$12,K337),1))+(IF(J337=0,0,(Upgrades!$J$11+J337*Upgrades!$K$11)*POWER(Upgrades!$L$11,J337)))*(IF(Upgrades!$T$6="Heliopause",POWER(Upgrades!$U$6,E337),1)*IF(Upgrades!$T$7="Heliopause",POWER(Upgrades!$U$7,F337),1)*IF(Upgrades!$T$8="Heliopause",POWER(Upgrades!$U$8,G337),1)*IF(Upgrades!$T$9="Heliopause",POWER(Upgrades!$U$9,H337),1)*IF(Upgrades!$T$10="Heliopause",POWER(Upgrades!$U$10,I337),1)*IF(Upgrades!$T$12="Heliopause",POWER(Upgrades!$U$12,K337),1))+(IF(K337=0,0,(Upgrades!$J$12+K337*Upgrades!$K$12)*POWER(Upgrades!$L$12,K337)))*(IF(Upgrades!$T$6="First Photons",POWER(Upgrades!$U$6,E337),1)*IF(Upgrades!$T$7="First Photons",POWER(Upgrades!$U$7,F337),1)*IF(Upgrades!$T$8="First Photons",POWER(Upgrades!$U$8,G337),1)*IF(Upgrades!$T$9="First Photons",POWER(Upgrades!$U$9,H337),1)*IF(Upgrades!$T$10="First Photons",POWER(Upgrades!$U$10,I337),1)*IF(Upgrades!$T$11="First Photons",POWER(Upgrades!$U$11,J337),1)))*POWER(Upgrades!$Q$6,E337)*POWER(Upgrades!$Q$7,F337)*POWER(Upgrades!$Q$8,G337)*POWER(Upgrades!$Q$9,H337)*POWER(Upgrades!$Q$10,I337)*POWER(Upgrades!$Q$11,J337)*POWER(Upgrades!$Q$12,K337)</f>
        <v>5.61</v>
      </c>
      <c r="N337" s="28" t="n">
        <f aca="false">((IF(E337=0,0,(Upgrades!$G$6+E337*Upgrades!$H$6)*POWER(Upgrades!$I$6,E337)))*(IF(Upgrades!$T$7="Solar Wind",POWER(Upgrades!$U$7,F337),1)*IF(Upgrades!$T$8="Solar Wind",POWER(Upgrades!$U$8,G337),1)*IF(Upgrades!$T$9="Solar Wind",POWER(Upgrades!$U$9,H337),1)*IF(Upgrades!$T$10="Solar Wind",POWER(Upgrades!$U$10,I337),1)*IF(Upgrades!$T$11="Solar Wind",POWER(Upgrades!$U$11,J337),1)*IF(Upgrades!$T$12="Solar Wind",POWER(Upgrades!$U$12,K337),1))+(IF(F337=0,0,(Upgrades!$G$7+F337*Upgrades!$H$7)*POWER(Upgrades!$I$7,F337)))*(IF(Upgrades!$T$6="Asteroid Belt",POWER(Upgrades!$U$6,E337),1)*IF(Upgrades!$T$8="Asteroid Belt",POWER(Upgrades!$U$8,G337),1)*IF(Upgrades!$T$9="Asteroid Belt",POWER(Upgrades!$U$9,H337),1)*IF(Upgrades!$T$10="Asteroid Belt",POWER(Upgrades!$U$10,I337),1)*IF(Upgrades!$T$11="Asteroid Belt",POWER(Upgrades!$U$11,J337),1)*IF(Upgrades!$T$12="Asteroid Belt",POWER(Upgrades!$U$12,K337),1))+(IF(G337=0,0,(Upgrades!$G$8+G337*Upgrades!$H$8)*POWER(Upgrades!$I$8,G337)))*(IF(Upgrades!$T$6="Stellar Coupling",POWER(Upgrades!$U$6,E337),1)*IF(Upgrades!$T$7="Stellar Coupling",POWER(Upgrades!$U$7,F337),1)*IF(Upgrades!$T$9="Stellar Coupling",POWER(Upgrades!$U$9,H337),1)*IF(Upgrades!$T$10="Stellar Coupling",POWER(Upgrades!$U$10,I337),1)*IF(Upgrades!$T$11="Stellar Coupling",POWER(Upgrades!$U$11,J337),1)*IF(Upgrades!$T$12="Stellar Coupling",POWER(Upgrades!$U$12,K337),1))+(IF(H337=0,0,(Upgrades!$G$9+H337*Upgrades!$H$9)*POWER(Upgrades!$I$9,H337)))*(IF(Upgrades!$T$6="Magnetosphere",POWER(Upgrades!$U$6,E337),1)*IF(Upgrades!$T$7="Magnetosphere",POWER(Upgrades!$U$7,F337),1)*IF(Upgrades!$T$8="Magnetosphere",POWER(Upgrades!$U$8,G337),1)*IF(Upgrades!$T$10="Magnetosphere",POWER(Upgrades!$U$10,I337),1)*IF(Upgrades!$T$11="Magnetosphere",POWER(Upgrades!$U$11,J337),1)*IF(Upgrades!$T$12="Magnetosphere",POWER(Upgrades!$U$12,K337),1))+(IF(I337=0,0,(Upgrades!$G$10+I337*Upgrades!$H$10)*POWER(Upgrades!$I$10,I337)))*(IF(Upgrades!$T$6="Orbital Resonance",POWER(Upgrades!$U$6,E337),1)*IF(Upgrades!$T$7="Orbital Resonance",POWER(Upgrades!$U$7,F337),1)*IF(Upgrades!$T$8="Orbital Resonance",POWER(Upgrades!$U$8,G337),1)*IF(Upgrades!$T$9="Orbital Resonance",POWER(Upgrades!$U$9,H337),1)*IF(Upgrades!$T$11="Orbital Resonance",POWER(Upgrades!$U$11,J337),1)*IF(Upgrades!$T$12="Orbital Resonance",POWER(Upgrades!$U$12,K337),1))+(IF(J337=0,0,(Upgrades!$G$11+J337*Upgrades!$H$11)*POWER(Upgrades!$I$11,J337)))*(IF(Upgrades!$T$6="Heliopause",POWER(Upgrades!$U$6,E337),1)*IF(Upgrades!$T$7="Heliopause",POWER(Upgrades!$U$7,F337),1)*IF(Upgrades!$T$8="Heliopause",POWER(Upgrades!$U$8,G337),1)*IF(Upgrades!$T$9="Heliopause",POWER(Upgrades!$U$9,H337),1)*IF(Upgrades!$T$10="Heliopause",POWER(Upgrades!$U$10,I337),1)*IF(Upgrades!$T$12="Heliopause",POWER(Upgrades!$U$12,K337),1))+(IF(K337=0,0,(Upgrades!$G$12+K337*Upgrades!$H$12)*POWER(Upgrades!$I$12,K337)))*(IF(Upgrades!$T$6="First Photons",POWER(Upgrades!$U$6,E337),1)*IF(Upgrades!$T$7="First Photons",POWER(Upgrades!$U$7,F337),1)*IF(Upgrades!$T$8="First Photons",POWER(Upgrades!$U$8,G337),1)*IF(Upgrades!$T$9="First Photons",POWER(Upgrades!$U$9,H337),1)*IF(Upgrades!$T$10="First Photons",POWER(Upgrades!$U$10,I337),1)*IF(Upgrades!$T$11="First Photons",POWER(Upgrades!$U$11,J337),1)))*POWER(Upgrades!$P$6,E337)*POWER(Upgrades!$P$7,F337)*POWER(Upgrades!$P$8,G337)*POWER(Upgrades!$P$9,H337)*POWER(Upgrades!$P$10,I337)*POWER(Upgrades!$P$11,J337)*POWER(Upgrades!$P$12,K337)</f>
        <v>11.2</v>
      </c>
      <c r="O337" s="28" t="n">
        <f aca="false">((IF(E337=0,0,(Upgrades!$M$6+E337*Upgrades!$N$6)*POWER(Upgrades!$O$6,E337)))*(IF(Upgrades!$T$7="Solar Wind",POWER(Upgrades!$U$7,F337),1)*IF(Upgrades!$T$8="Solar Wind",POWER(Upgrades!$U$8,G337),1)*IF(Upgrades!$T$9="Solar Wind",POWER(Upgrades!$U$9,H337),1)*IF(Upgrades!$T$10="Solar Wind",POWER(Upgrades!$U$10,I337),1)*IF(Upgrades!$T$11="Solar Wind",POWER(Upgrades!$U$11,J337),1)*IF(Upgrades!$T$12="Solar Wind",POWER(Upgrades!$U$12,K337),1))+(IF(F337=0,0,(Upgrades!$M$7+F337*Upgrades!$N$7)*POWER(Upgrades!$O$7,F337)))*(IF(Upgrades!$T$6="Asteroid Belt",POWER(Upgrades!$U$6,E337),1)*IF(Upgrades!$T$8="Asteroid Belt",POWER(Upgrades!$U$8,G337),1)*IF(Upgrades!$T$9="Asteroid Belt",POWER(Upgrades!$U$9,H337),1)*IF(Upgrades!$T$10="Asteroid Belt",POWER(Upgrades!$U$10,I337),1)*IF(Upgrades!$T$11="Asteroid Belt",POWER(Upgrades!$U$11,J337),1)*IF(Upgrades!$T$12="Asteroid Belt",POWER(Upgrades!$U$12,K337),1))+(IF(G337=0,0,(Upgrades!$M$8+G337*Upgrades!$N$8)*POWER(Upgrades!$O$8,G337)))*(IF(Upgrades!$T$6="Stellar Coupling",POWER(Upgrades!$U$6,E337),1)*IF(Upgrades!$T$7="Stellar Coupling",POWER(Upgrades!$U$7,F337),1)*IF(Upgrades!$T$9="Stellar Coupling",POWER(Upgrades!$U$9,H337),1)*IF(Upgrades!$T$10="Stellar Coupling",POWER(Upgrades!$U$10,I337),1)*IF(Upgrades!$T$11="Stellar Coupling",POWER(Upgrades!$U$11,J337),1)*IF(Upgrades!$T$12="Stellar Coupling",POWER(Upgrades!$U$12,K337),1))+(IF(H337=0,0,(Upgrades!$M$9+H337*Upgrades!$N$9)*POWER(Upgrades!$O$9,H337)))*(IF(Upgrades!$T$6="Magnetosphere",POWER(Upgrades!$U$6,E337),1)*IF(Upgrades!$T$7="Magnetosphere",POWER(Upgrades!$U$7,F337),1)*IF(Upgrades!$T$8="Magnetosphere",POWER(Upgrades!$U$8,G337),1)*IF(Upgrades!$T$10="Magnetosphere",POWER(Upgrades!$U$10,I337),1)*IF(Upgrades!$T$11="Magnetosphere",POWER(Upgrades!$U$11,J337),1)*IF(Upgrades!$T$12="Magnetosphere",POWER(Upgrades!$U$12,K337),1))+(IF(I337=0,0,(Upgrades!$M$10+I337*Upgrades!$N$10)*POWER(Upgrades!$O$10,I337)))*(IF(Upgrades!$T$6="Orbital Resonance",POWER(Upgrades!$U$6,E337),1)*IF(Upgrades!$T$7="Orbital Resonance",POWER(Upgrades!$U$7,F337),1)*IF(Upgrades!$T$8="Orbital Resonance",POWER(Upgrades!$U$8,G337),1)*IF(Upgrades!$T$9="Orbital Resonance",POWER(Upgrades!$U$9,H337),1)*IF(Upgrades!$T$11="Orbital Resonance",POWER(Upgrades!$U$11,J337),1)*IF(Upgrades!$T$12="Orbital Resonance",POWER(Upgrades!$U$12,K337),1))+(IF(J337=0,0,(Upgrades!$M$11+J337*Upgrades!$N$11)*POWER(Upgrades!$O$11,J337)))*(IF(Upgrades!$T$6="Heliopause",POWER(Upgrades!$U$6,E337),1)*IF(Upgrades!$T$7="Heliopause",POWER(Upgrades!$U$7,F337),1)*IF(Upgrades!$T$8="Heliopause",POWER(Upgrades!$U$8,G337),1)*IF(Upgrades!$T$9="Heliopause",POWER(Upgrades!$U$9,H337),1)*IF(Upgrades!$T$10="Heliopause",POWER(Upgrades!$U$10,I337),1)*IF(Upgrades!$T$12="Heliopause",POWER(Upgrades!$U$12,K337),1))+(IF(K337=0,0,(Upgrades!$M$12+K337*Upgrades!$N$12)*POWER(Upgrades!$O$12,K337)))*(IF(Upgrades!$T$6="First Photons",POWER(Upgrades!$U$6,E337),1)*IF(Upgrades!$T$7="First Photons",POWER(Upgrades!$U$7,F337),1)*IF(Upgrades!$T$8="First Photons",POWER(Upgrades!$U$8,G337),1)*IF(Upgrades!$T$9="First Photons",POWER(Upgrades!$U$9,H337),1)*IF(Upgrades!$T$10="First Photons",POWER(Upgrades!$U$10,I337),1)*IF(Upgrades!$T$11="First Photons",POWER(Upgrades!$U$11,J337),1)))*POWER(Upgrades!$R$6,E337)*POWER(Upgrades!$R$7,F337)*POWER(Upgrades!$R$8,G337)*POWER(Upgrades!$R$9,H337)*POWER(Upgrades!$R$10,I337)*POWER(Upgrades!$R$11,J337)*POWER(Upgrades!$R$12,K337)</f>
        <v>0</v>
      </c>
      <c r="P337" s="27" t="n">
        <f aca="false">IF(L337=1,0,M337*Parameters!$B$10/60*Parameters!$B$11*10)</f>
        <v>0</v>
      </c>
      <c r="Q337" s="27" t="n">
        <f aca="false">IF(L337=1,0,O337*M337*10)</f>
        <v>0</v>
      </c>
      <c r="R337" s="27" t="n">
        <f aca="false">IF(L337=1,0,N337*10)</f>
        <v>0</v>
      </c>
      <c r="S337" s="27" t="n">
        <f aca="false">P337+Q337+R337</f>
        <v>0</v>
      </c>
      <c r="T337" s="21" t="n">
        <f aca="false">C337+S337</f>
        <v>18.6730249835055</v>
      </c>
      <c r="U337" s="34" t="str">
        <f aca="false">AX337</f>
        <v/>
      </c>
      <c r="V337" s="21" t="n">
        <f aca="false">IF(U337="",0,IF(U337="transition",0,IF(U337="SW",AG337,IF(U337="AB",AH337,IF(U337="SC",AI337,IF(U337="Mag",AJ337,IF(U337="OR",AK337,IF(U337="HP",AL337,IF(U337="FP",AM337,0)))))))))</f>
        <v>0</v>
      </c>
      <c r="W337" s="27" t="n">
        <f aca="false">IF(U337="OR",Upgrades!$F$10,IF(U337="HP",Upgrades!$F$11,IF(U337="transition",-Parameters!$B$18,0)))</f>
        <v>0</v>
      </c>
      <c r="X337" s="21" t="n">
        <f aca="false">T337-V337</f>
        <v>18.6730249835055</v>
      </c>
      <c r="Y337" s="30" t="n">
        <f aca="false">M337*Parameters!$B$10/60*Parameters!$B$11+O337*M337+N337</f>
        <v>20.55</v>
      </c>
      <c r="Z337" s="35" t="str">
        <f aca="false">IF(U337="transition","→ Tier 2 (Stellar Neighborhood)",IF(U337="FP","First Photons — light begins, system quickens",IF(U337="HP","Heliopause acquired",IF(U337="OR","Orbital Resonance — passive multiplier active",IF(AND(AO337=1,L337=0,AN337&lt;&gt;1),"Cohesion ready (waiting on completionist upgrades)","")))))</f>
        <v/>
      </c>
      <c r="AA337" s="27" t="n">
        <f aca="false">(IF(E337=0,0,(Upgrades!$G$6+E337*Upgrades!$H$6)*POWER(Upgrades!$I$6,E337)))*(IF(Upgrades!$T$7="Solar Wind",POWER(Upgrades!$U$7,F337),1)*IF(Upgrades!$T$8="Solar Wind",POWER(Upgrades!$U$8,G337),1)*IF(Upgrades!$T$9="Solar Wind",POWER(Upgrades!$U$9,H337),1)*IF(Upgrades!$T$10="Solar Wind",POWER(Upgrades!$U$10,I337),1)*IF(Upgrades!$T$11="Solar Wind",POWER(Upgrades!$U$11,J337),1)*IF(Upgrades!$T$12="Solar Wind",POWER(Upgrades!$U$12,K337),1))*POWER(Upgrades!$P$6,E337)*POWER(Upgrades!$P$7,F337)*POWER(Upgrades!$P$8,G337)*POWER(Upgrades!$P$9,H337)*POWER(Upgrades!$P$10,I337)*POWER(Upgrades!$P$11,J337)*POWER(Upgrades!$P$12,K337)*60</f>
        <v>72</v>
      </c>
      <c r="AB337" s="27" t="n">
        <f aca="false">(IF(F337=0,0,(Upgrades!$G$7+F337*Upgrades!$H$7)*POWER(Upgrades!$I$7,F337)))*(IF(Upgrades!$T$6="Asteroid Belt",POWER(Upgrades!$U$6,E337),1)*IF(Upgrades!$T$8="Asteroid Belt",POWER(Upgrades!$U$8,G337),1)*IF(Upgrades!$T$9="Asteroid Belt",POWER(Upgrades!$U$9,H337),1)*IF(Upgrades!$T$10="Asteroid Belt",POWER(Upgrades!$U$10,I337),1)*IF(Upgrades!$T$11="Asteroid Belt",POWER(Upgrades!$U$11,J337),1)*IF(Upgrades!$T$12="Asteroid Belt",POWER(Upgrades!$U$12,K337),1))*POWER(Upgrades!$P$6,E337)*POWER(Upgrades!$P$7,F337)*POWER(Upgrades!$P$8,G337)*POWER(Upgrades!$P$9,H337)*POWER(Upgrades!$P$10,I337)*POWER(Upgrades!$P$11,J337)*POWER(Upgrades!$P$12,K337)*60</f>
        <v>150</v>
      </c>
      <c r="AC337" s="27" t="n">
        <f aca="false">(IF(G337=0,0,(Upgrades!$J$8+G337*Upgrades!$K$8)*POWER(Upgrades!$L$8,G337)))*(IF(Upgrades!$T$6="Stellar Coupling",POWER(Upgrades!$U$6,E337),1)*IF(Upgrades!$T$7="Stellar Coupling",POWER(Upgrades!$U$7,F337),1)*IF(Upgrades!$T$9="Stellar Coupling",POWER(Upgrades!$U$9,H337),1)*IF(Upgrades!$T$10="Stellar Coupling",POWER(Upgrades!$U$10,I337),1)*IF(Upgrades!$T$11="Stellar Coupling",POWER(Upgrades!$U$11,J337),1)*IF(Upgrades!$T$12="Stellar Coupling",POWER(Upgrades!$U$12,K337),1))*POWER(Upgrades!$Q$6,E337)*POWER(Upgrades!$Q$7,F337)*POWER(Upgrades!$Q$8,G337)*POWER(Upgrades!$Q$9,H337)*POWER(Upgrades!$Q$10,I337)*POWER(Upgrades!$Q$11,J337)*POWER(Upgrades!$Q$12,K337)*Parameters!$B$10*Parameters!$B$11</f>
        <v>441</v>
      </c>
      <c r="AD337" s="27" t="n">
        <f aca="false">(IF(H337=0,0,(Upgrades!$G$9+H337*Upgrades!$H$9)*POWER(Upgrades!$I$9,H337)))*(IF(Upgrades!$T$6="Magnetosphere",POWER(Upgrades!$U$6,E337),1)*IF(Upgrades!$T$7="Magnetosphere",POWER(Upgrades!$U$7,F337),1)*IF(Upgrades!$T$8="Magnetosphere",POWER(Upgrades!$U$8,G337),1)*IF(Upgrades!$T$10="Magnetosphere",POWER(Upgrades!$U$10,I337),1)*IF(Upgrades!$T$11="Magnetosphere",POWER(Upgrades!$U$11,J337),1)*IF(Upgrades!$T$12="Magnetosphere",POWER(Upgrades!$U$12,K337),1))*POWER(Upgrades!$P$6,E337)*POWER(Upgrades!$P$7,F337)*POWER(Upgrades!$P$8,G337)*POWER(Upgrades!$P$9,H337)*POWER(Upgrades!$P$10,I337)*POWER(Upgrades!$P$11,J337)*POWER(Upgrades!$P$12,K337)*60</f>
        <v>375</v>
      </c>
      <c r="AE337" s="27" t="n">
        <f aca="false">(IF(K337=0,0,(Upgrades!$G$12+K337*Upgrades!$H$12)*POWER(Upgrades!$I$12,K337)))*(IF(Upgrades!$T$6="First Photons",POWER(Upgrades!$U$6,E337),1)*IF(Upgrades!$T$7="First Photons",POWER(Upgrades!$U$7,F337),1)*IF(Upgrades!$T$8="First Photons",POWER(Upgrades!$U$8,G337),1)*IF(Upgrades!$T$9="First Photons",POWER(Upgrades!$U$9,H337),1)*IF(Upgrades!$T$10="First Photons",POWER(Upgrades!$U$10,I337),1)*IF(Upgrades!$T$11="First Photons",POWER(Upgrades!$U$11,J337),1))*POWER(Upgrades!$P$6,E337)*POWER(Upgrades!$P$7,F337)*POWER(Upgrades!$P$8,G337)*POWER(Upgrades!$P$9,H337)*POWER(Upgrades!$P$10,I337)*POWER(Upgrades!$P$11,J337)*POWER(Upgrades!$P$12,K337)*60</f>
        <v>75</v>
      </c>
      <c r="AF337" s="27" t="n">
        <f aca="false">Parameters!$B$9*POWER(Upgrades!$Q$6,E337)*POWER(Upgrades!$Q$7,F337)*POWER(Upgrades!$Q$8,G337)*POWER(Upgrades!$Q$9,H337)*POWER(Upgrades!$Q$10,I337)*POWER(Upgrades!$Q$11,J337)*POWER(Upgrades!$Q$12,K337)*(Parameters!$B$10*Parameters!$B$11+O337*60)</f>
        <v>120</v>
      </c>
      <c r="AG337" s="21" t="n">
        <f aca="false">IF(E337&gt;=Upgrades!$E$6,"",Upgrades!$C$6*POWER(Upgrades!$D$6,E337))</f>
        <v>37.4517507383159</v>
      </c>
      <c r="AH337" s="21" t="n">
        <f aca="false">IF(F337&gt;=Upgrades!$E$7,"",Upgrades!$C$7*POWER(Upgrades!$D$7,F337))</f>
        <v>80.9111547141581</v>
      </c>
      <c r="AI337" s="21" t="n">
        <f aca="false">IF(G337&gt;=Upgrades!$E$8,"",Upgrades!$C$8*POWER(Upgrades!$D$8,G337))</f>
        <v>231.9097088</v>
      </c>
      <c r="AJ337" s="21" t="str">
        <f aca="false">IF(H337&gt;=Upgrades!$E$9,"",Upgrades!$C$9*POWER(Upgrades!$D$9,H337))</f>
        <v/>
      </c>
      <c r="AK337" s="21" t="str">
        <f aca="false">IF(I337&gt;=Upgrades!$E$10,"",Upgrades!$C$10*POWER(Upgrades!$D$10,I337))</f>
        <v/>
      </c>
      <c r="AL337" s="21" t="str">
        <f aca="false">IF(J337&gt;=Upgrades!$E$11,"",Upgrades!$C$11*POWER(Upgrades!$D$11,J337))</f>
        <v/>
      </c>
      <c r="AM337" s="21" t="str">
        <f aca="false">IF(K337&gt;=Upgrades!$E$12,"",Upgrades!$C$12*POWER(Upgrades!$D$12,K337))</f>
        <v/>
      </c>
      <c r="AN337" s="26" t="str">
        <f aca="false">IF(AND(D337&gt;=Parameters!$B$18,(H337&gt;=Upgrades!$E$9)*(K337&gt;=Upgrades!$E$12)=1,L337=0),1,"")</f>
        <v/>
      </c>
      <c r="AO337" s="26" t="str">
        <f aca="false">IF(AND(D337&gt;=Parameters!$B$18,L337=0),1,"")</f>
        <v/>
      </c>
      <c r="AP337" s="21" t="n">
        <f aca="false">MIN(IF(ISNUMBER(AK337),AK337,9000000000000000),IF(ISNUMBER(AL337),AL337,9000000000000000),IF(ISNUMBER(AM337),AM337,9000000000000000))</f>
        <v>9000000000000000</v>
      </c>
      <c r="AQ337" s="21" t="n">
        <f aca="false">MIN(IF(ISNUMBER(AG337),AG337,9000000000000000),IF(ISNUMBER(AH337),AH337,9000000000000000),IF(ISNUMBER(AI337),AI337,9000000000000000),IF(ISNUMBER(AJ337),AJ337,9000000000000000))</f>
        <v>37.4517507383159</v>
      </c>
      <c r="AR337" s="32" t="b">
        <f aca="false">IF(AW337&gt;Parameters!$B$21*(MAX(IF(AND(NOT(AND(AO337=1,AN337&lt;&gt;1)),ISNUMBER(AG337),AG337&lt;=T337),AS337,0),IF(AND(NOT(AND(AO337=1,AN337&lt;&gt;1)),ISNUMBER(AH337),AH337&lt;=T337),AT337,0),IF(AND(NOT(AND(AO337=1,AN337&lt;&gt;1)),ISNUMBER(AI337),AI337&lt;=T337),AU337,0),IF(AND(ISNUMBER(AJ337),AJ337&lt;=T337),AV337,0))),TRUE(),FALSE())</f>
        <v>1</v>
      </c>
      <c r="AS337" s="33" t="n">
        <f aca="false">IFERROR(Upgrades!$H$6*(POWER(Upgrades!$P$6,E337)*POWER(Upgrades!$P$7,F337)*POWER(Upgrades!$P$8,G337)*POWER(Upgrades!$P$9,H337)*POWER(Upgrades!$P$10,I337)*POWER(Upgrades!$P$11,J337)*POWER(Upgrades!$P$12,K337))*(IF(Upgrades!$T$7="Solar Wind",POWER(Upgrades!$U$7,F337),1)*IF(Upgrades!$T$8="Solar Wind",POWER(Upgrades!$U$8,G337),1)*IF(Upgrades!$T$9="Solar Wind",POWER(Upgrades!$U$9,H337),1)*IF(Upgrades!$T$10="Solar Wind",POWER(Upgrades!$U$10,I337),1)*IF(Upgrades!$T$11="Solar Wind",POWER(Upgrades!$U$11,J337),1)*IF(Upgrades!$T$12="Solar Wind",POWER(Upgrades!$U$12,K337),1))/AG337,0)</f>
        <v>0.0026701021455238</v>
      </c>
      <c r="AT337" s="33" t="n">
        <f aca="false">IFERROR(Upgrades!$H$7*(POWER(Upgrades!$P$6,E337)*POWER(Upgrades!$P$7,F337)*POWER(Upgrades!$P$8,G337)*POWER(Upgrades!$P$9,H337)*POWER(Upgrades!$P$10,I337)*POWER(Upgrades!$P$11,J337)*POWER(Upgrades!$P$12,K337))*(IF(Upgrades!$T$6="Asteroid Belt",POWER(Upgrades!$U$6,E337),1)*IF(Upgrades!$T$8="Asteroid Belt",POWER(Upgrades!$U$8,G337),1)*IF(Upgrades!$T$9="Asteroid Belt",POWER(Upgrades!$U$9,H337),1)*IF(Upgrades!$T$10="Asteroid Belt",POWER(Upgrades!$U$10,I337),1)*IF(Upgrades!$T$11="Asteroid Belt",POWER(Upgrades!$U$11,J337),1)*IF(Upgrades!$T$12="Asteroid Belt",POWER(Upgrades!$U$12,K337),1))/AH337,0)</f>
        <v>0.00308980882652332</v>
      </c>
      <c r="AU337" s="33" t="n">
        <f aca="false">IFERROR(Upgrades!$K$8*(POWER(Upgrades!$Q$6,E337)*POWER(Upgrades!$Q$7,F337)*POWER(Upgrades!$Q$8,G337)*POWER(Upgrades!$Q$9,H337)*POWER(Upgrades!$Q$10,I337)*POWER(Upgrades!$Q$11,J337)*POWER(Upgrades!$Q$12,K337))*(IF(Upgrades!$T$6="Stellar Coupling",POWER(Upgrades!$U$6,E337),1)*IF(Upgrades!$T$7="Stellar Coupling",POWER(Upgrades!$U$7,F337),1)*IF(Upgrades!$T$9="Stellar Coupling",POWER(Upgrades!$U$9,H337),1)*IF(Upgrades!$T$10="Stellar Coupling",POWER(Upgrades!$U$10,I337),1)*IF(Upgrades!$T$11="Stellar Coupling",POWER(Upgrades!$U$11,J337),1)*IF(Upgrades!$T$12="Stellar Coupling",POWER(Upgrades!$U$12,K337),1))*Parameters!$B$10*Parameters!$B$11/60/AI337,0)</f>
        <v>0.00452762415783776</v>
      </c>
      <c r="AV337" s="33" t="n">
        <f aca="false">IFERROR(Upgrades!$H$9*(POWER(Upgrades!$P$6,E337)*POWER(Upgrades!$P$7,F337)*POWER(Upgrades!$P$8,G337)*POWER(Upgrades!$P$9,H337)*POWER(Upgrades!$P$10,I337)*POWER(Upgrades!$P$11,J337)*POWER(Upgrades!$P$12,K337))*(IF(Upgrades!$T$6="Magnetosphere",POWER(Upgrades!$U$6,E337),1)*IF(Upgrades!$T$7="Magnetosphere",POWER(Upgrades!$U$7,F337),1)*IF(Upgrades!$T$8="Magnetosphere",POWER(Upgrades!$U$8,G337),1)*IF(Upgrades!$T$10="Magnetosphere",POWER(Upgrades!$U$10,I337),1)*IF(Upgrades!$T$11="Magnetosphere",POWER(Upgrades!$U$11,J337),1)*IF(Upgrades!$T$12="Magnetosphere",POWER(Upgrades!$U$12,K337),1))/AJ337,0)</f>
        <v>0</v>
      </c>
      <c r="AW337" s="33" t="n">
        <f aca="false">MAX(IF(I337&gt;0,0,IFERROR(0.25*N337/Upgrades!$C$10,0)),IF(J337&gt;0,0,IFERROR(0.5*((IF(G337=0,0,(Upgrades!$J$8+G337*Upgrades!$K$8)*POWER(Upgrades!$L$8,G337)))*(IF(Upgrades!$T$6="Stellar Coupling",POWER(Upgrades!$U$6,E337),1)*IF(Upgrades!$T$7="Stellar Coupling",POWER(Upgrades!$U$7,F337),1)*IF(Upgrades!$T$9="Stellar Coupling",POWER(Upgrades!$U$9,H337),1)*IF(Upgrades!$T$10="Stellar Coupling",POWER(Upgrades!$U$10,I337),1)*IF(Upgrades!$T$11="Stellar Coupling",POWER(Upgrades!$U$11,J337),1)*IF(Upgrades!$T$12="Stellar Coupling",POWER(Upgrades!$U$12,K337),1))*(POWER(Upgrades!$Q$6,E337)*POWER(Upgrades!$Q$7,F337)*POWER(Upgrades!$Q$8,G337)*POWER(Upgrades!$Q$9,H337)*POWER(Upgrades!$Q$10,I337)*POWER(Upgrades!$Q$11,J337)*POWER(Upgrades!$Q$12,K337))*Parameters!$B$10*Parameters!$B$11/60)/Upgrades!$C$11,0)),IF(K337&gt;0,0,IFERROR((1*(POWER(Upgrades!$P$6,E337)*POWER(Upgrades!$P$7,F337)*POWER(Upgrades!$P$8,G337)*POWER(Upgrades!$P$9,H337)*POWER(Upgrades!$P$10,I337)*POWER(Upgrades!$P$11,J337)*POWER(Upgrades!$P$12,K337))+0.2*M337*Parameters!$B$10*Parameters!$B$11/60)/Upgrades!$C$12,0)),IF(AND(ISNUMBER(AG337),AG337&gt;T337),AS337,0),IF(AND(ISNUMBER(AH337),AH337&gt;T337),AT337,0),IF(AND(ISNUMBER(AI337),AI337&gt;T337),AU337,0),IF(AND(ISNUMBER(AJ337),AJ337&gt;T337),AV337,0))</f>
        <v>0.00452762415783776</v>
      </c>
      <c r="AX337" s="29" t="str">
        <f aca="false">IF(AN337=1,"transition",IF(MIN(IF(AND(I337=0,ISNUMBER(AK337),AK337&lt;=T337),AK337,9000000000000000),IF(AND(J337=0,ISNUMBER(AL337),AL337&lt;=T337),AL337,9000000000000000),IF(AND(K337=0,ISNUMBER(AM337),AM337&lt;=T337),AM337,9000000000000000))&lt;9000000000000000,IF(AND(AND(I337=0,ISNUMBER(AK337),AK337&lt;=T337),AK337=MIN(IF(AND(I337=0,ISNUMBER(AK337),AK337&lt;=T337),AK337,9000000000000000),IF(AND(J337=0,ISNUMBER(AL337),AL337&lt;=T337),AL337,9000000000000000),IF(AND(K337=0,ISNUMBER(AM337),AM337&lt;=T337),AM337,9000000000000000))),"OR",IF(AND(AND(J337=0,ISNUMBER(AL337),AL337&lt;=T337),AL337=MIN(IF(AND(I337=0,ISNUMBER(AK337),AK337&lt;=T337),AK337,9000000000000000),IF(AND(J337=0,ISNUMBER(AL337),AL337&lt;=T337),AL337,9000000000000000),IF(AND(K337=0,ISNUMBER(AM337),AM337&lt;=T337),AM337,9000000000000000))),"HP","FP")),IF(AR337=TRUE(),"",IF(MAX(IF(AND(NOT(AND(AO337=1,AN337&lt;&gt;1)),ISNUMBER(AG337),AG337&lt;=T337),AS337,0),IF(AND(NOT(AND(AO337=1,AN337&lt;&gt;1)),ISNUMBER(AH337),AH337&lt;=T337),AT337,0),IF(AND(NOT(AND(AO337=1,AN337&lt;&gt;1)),ISNUMBER(AI337),AI337&lt;=T337),AU337,0),IF(AND(ISNUMBER(AJ337),AJ337&lt;=T337),AV337,0))&lt;=0,"",IF(AND(IF(AND(NOT(AND(AO337=1,AN337&lt;&gt;1)),ISNUMBER(AG337),AG337&lt;=T337),AS337,0)&gt;0,IF(AND(NOT(AND(AO337=1,AN337&lt;&gt;1)),ISNUMBER(AG337),AG337&lt;=T337),AS337,0)=MAX(IF(AND(NOT(AND(AO337=1,AN337&lt;&gt;1)),ISNUMBER(AG337),AG337&lt;=T337),AS337,0),IF(AND(NOT(AND(AO337=1,AN337&lt;&gt;1)),ISNUMBER(AH337),AH337&lt;=T337),AT337,0),IF(AND(NOT(AND(AO337=1,AN337&lt;&gt;1)),ISNUMBER(AI337),AI337&lt;=T337),AU337,0),IF(AND(ISNUMBER(AJ337),AJ337&lt;=T337),AV337,0))),"SW",IF(AND(IF(AND(NOT(AND(AO337=1,AN337&lt;&gt;1)),ISNUMBER(AH337),AH337&lt;=T337),AT337,0)&gt;0,IF(AND(NOT(AND(AO337=1,AN337&lt;&gt;1)),ISNUMBER(AH337),AH337&lt;=T337),AT337,0)=MAX(IF(AND(NOT(AND(AO337=1,AN337&lt;&gt;1)),ISNUMBER(AG337),AG337&lt;=T337),AS337,0),IF(AND(NOT(AND(AO337=1,AN337&lt;&gt;1)),ISNUMBER(AH337),AH337&lt;=T337),AT337,0),IF(AND(NOT(AND(AO337=1,AN337&lt;&gt;1)),ISNUMBER(AI337),AI337&lt;=T337),AU337,0),IF(AND(ISNUMBER(AJ337),AJ337&lt;=T337),AV337,0))),"AB",IF(AND(IF(AND(NOT(AND(AO337=1,AN337&lt;&gt;1)),ISNUMBER(AI337),AI337&lt;=T337),AU337,0)&gt;0,IF(AND(NOT(AND(AO337=1,AN337&lt;&gt;1)),ISNUMBER(AI337),AI337&lt;=T337),AU337,0)=MAX(IF(AND(NOT(AND(AO337=1,AN337&lt;&gt;1)),ISNUMBER(AG337),AG337&lt;=T337),AS337,0),IF(AND(NOT(AND(AO337=1,AN337&lt;&gt;1)),ISNUMBER(AH337),AH337&lt;=T337),AT337,0),IF(AND(NOT(AND(AO337=1,AN337&lt;&gt;1)),ISNUMBER(AI337),AI337&lt;=T337),AU337,0),IF(AND(ISNUMBER(AJ337),AJ337&lt;=T337),AV337,0))),"SC","Mag")))))))</f>
        <v/>
      </c>
    </row>
    <row r="338" customFormat="false" ht="15" hidden="false" customHeight="false" outlineLevel="0" collapsed="false">
      <c r="A338" s="26" t="n">
        <v>333</v>
      </c>
      <c r="B338" s="27" t="n">
        <f aca="false">A338*10/60</f>
        <v>55.5</v>
      </c>
      <c r="C338" s="21" t="n">
        <f aca="false">X337</f>
        <v>18.6730249835055</v>
      </c>
      <c r="D338" s="27" t="n">
        <f aca="false">D337+W337</f>
        <v>0</v>
      </c>
      <c r="E338" s="26" t="n">
        <f aca="false">E337+IF(U337="SW",1,0)</f>
        <v>12</v>
      </c>
      <c r="F338" s="26" t="n">
        <f aca="false">F337+IF(U337="AB",1,0)</f>
        <v>10</v>
      </c>
      <c r="G338" s="26" t="n">
        <f aca="false">G337+IF(U337="SC",1,0)</f>
        <v>7</v>
      </c>
      <c r="H338" s="26" t="n">
        <f aca="false">H337+IF(U337="Mag",1,0)</f>
        <v>5</v>
      </c>
      <c r="I338" s="26" t="n">
        <f aca="false">MAX(I337,IF(U337="OR",1,0))</f>
        <v>1</v>
      </c>
      <c r="J338" s="26" t="n">
        <f aca="false">MAX(J337,IF(U337="HP",1,0))</f>
        <v>1</v>
      </c>
      <c r="K338" s="26" t="n">
        <f aca="false">MAX(K337,IF(U337="FP",1,0))</f>
        <v>1</v>
      </c>
      <c r="L338" s="26" t="n">
        <f aca="false">MAX(L337,IF(U337="transition",1,0))</f>
        <v>1</v>
      </c>
      <c r="M338" s="28" t="n">
        <f aca="false">(Parameters!$B$9+(IF(E338=0,0,(Upgrades!$J$6+E338*Upgrades!$K$6)*POWER(Upgrades!$L$6,E338)))*(IF(Upgrades!$T$7="Solar Wind",POWER(Upgrades!$U$7,F338),1)*IF(Upgrades!$T$8="Solar Wind",POWER(Upgrades!$U$8,G338),1)*IF(Upgrades!$T$9="Solar Wind",POWER(Upgrades!$U$9,H338),1)*IF(Upgrades!$T$10="Solar Wind",POWER(Upgrades!$U$10,I338),1)*IF(Upgrades!$T$11="Solar Wind",POWER(Upgrades!$U$11,J338),1)*IF(Upgrades!$T$12="Solar Wind",POWER(Upgrades!$U$12,K338),1))+(IF(F338=0,0,(Upgrades!$J$7+F338*Upgrades!$K$7)*POWER(Upgrades!$L$7,F338)))*(IF(Upgrades!$T$6="Asteroid Belt",POWER(Upgrades!$U$6,E338),1)*IF(Upgrades!$T$8="Asteroid Belt",POWER(Upgrades!$U$8,G338),1)*IF(Upgrades!$T$9="Asteroid Belt",POWER(Upgrades!$U$9,H338),1)*IF(Upgrades!$T$10="Asteroid Belt",POWER(Upgrades!$U$10,I338),1)*IF(Upgrades!$T$11="Asteroid Belt",POWER(Upgrades!$U$11,J338),1)*IF(Upgrades!$T$12="Asteroid Belt",POWER(Upgrades!$U$12,K338),1))+(IF(G338=0,0,(Upgrades!$J$8+G338*Upgrades!$K$8)*POWER(Upgrades!$L$8,G338)))*(IF(Upgrades!$T$6="Stellar Coupling",POWER(Upgrades!$U$6,E338),1)*IF(Upgrades!$T$7="Stellar Coupling",POWER(Upgrades!$U$7,F338),1)*IF(Upgrades!$T$9="Stellar Coupling",POWER(Upgrades!$U$9,H338),1)*IF(Upgrades!$T$10="Stellar Coupling",POWER(Upgrades!$U$10,I338),1)*IF(Upgrades!$T$11="Stellar Coupling",POWER(Upgrades!$U$11,J338),1)*IF(Upgrades!$T$12="Stellar Coupling",POWER(Upgrades!$U$12,K338),1))+(IF(H338=0,0,(Upgrades!$J$9+H338*Upgrades!$K$9)*POWER(Upgrades!$L$9,H338)))*(IF(Upgrades!$T$6="Magnetosphere",POWER(Upgrades!$U$6,E338),1)*IF(Upgrades!$T$7="Magnetosphere",POWER(Upgrades!$U$7,F338),1)*IF(Upgrades!$T$8="Magnetosphere",POWER(Upgrades!$U$8,G338),1)*IF(Upgrades!$T$10="Magnetosphere",POWER(Upgrades!$U$10,I338),1)*IF(Upgrades!$T$11="Magnetosphere",POWER(Upgrades!$U$11,J338),1)*IF(Upgrades!$T$12="Magnetosphere",POWER(Upgrades!$U$12,K338),1))+(IF(I338=0,0,(Upgrades!$J$10+I338*Upgrades!$K$10)*POWER(Upgrades!$L$10,I338)))*(IF(Upgrades!$T$6="Orbital Resonance",POWER(Upgrades!$U$6,E338),1)*IF(Upgrades!$T$7="Orbital Resonance",POWER(Upgrades!$U$7,F338),1)*IF(Upgrades!$T$8="Orbital Resonance",POWER(Upgrades!$U$8,G338),1)*IF(Upgrades!$T$9="Orbital Resonance",POWER(Upgrades!$U$9,H338),1)*IF(Upgrades!$T$11="Orbital Resonance",POWER(Upgrades!$U$11,J338),1)*IF(Upgrades!$T$12="Orbital Resonance",POWER(Upgrades!$U$12,K338),1))+(IF(J338=0,0,(Upgrades!$J$11+J338*Upgrades!$K$11)*POWER(Upgrades!$L$11,J338)))*(IF(Upgrades!$T$6="Heliopause",POWER(Upgrades!$U$6,E338),1)*IF(Upgrades!$T$7="Heliopause",POWER(Upgrades!$U$7,F338),1)*IF(Upgrades!$T$8="Heliopause",POWER(Upgrades!$U$8,G338),1)*IF(Upgrades!$T$9="Heliopause",POWER(Upgrades!$U$9,H338),1)*IF(Upgrades!$T$10="Heliopause",POWER(Upgrades!$U$10,I338),1)*IF(Upgrades!$T$12="Heliopause",POWER(Upgrades!$U$12,K338),1))+(IF(K338=0,0,(Upgrades!$J$12+K338*Upgrades!$K$12)*POWER(Upgrades!$L$12,K338)))*(IF(Upgrades!$T$6="First Photons",POWER(Upgrades!$U$6,E338),1)*IF(Upgrades!$T$7="First Photons",POWER(Upgrades!$U$7,F338),1)*IF(Upgrades!$T$8="First Photons",POWER(Upgrades!$U$8,G338),1)*IF(Upgrades!$T$9="First Photons",POWER(Upgrades!$U$9,H338),1)*IF(Upgrades!$T$10="First Photons",POWER(Upgrades!$U$10,I338),1)*IF(Upgrades!$T$11="First Photons",POWER(Upgrades!$U$11,J338),1)))*POWER(Upgrades!$Q$6,E338)*POWER(Upgrades!$Q$7,F338)*POWER(Upgrades!$Q$8,G338)*POWER(Upgrades!$Q$9,H338)*POWER(Upgrades!$Q$10,I338)*POWER(Upgrades!$Q$11,J338)*POWER(Upgrades!$Q$12,K338)</f>
        <v>5.61</v>
      </c>
      <c r="N338" s="28" t="n">
        <f aca="false">((IF(E338=0,0,(Upgrades!$G$6+E338*Upgrades!$H$6)*POWER(Upgrades!$I$6,E338)))*(IF(Upgrades!$T$7="Solar Wind",POWER(Upgrades!$U$7,F338),1)*IF(Upgrades!$T$8="Solar Wind",POWER(Upgrades!$U$8,G338),1)*IF(Upgrades!$T$9="Solar Wind",POWER(Upgrades!$U$9,H338),1)*IF(Upgrades!$T$10="Solar Wind",POWER(Upgrades!$U$10,I338),1)*IF(Upgrades!$T$11="Solar Wind",POWER(Upgrades!$U$11,J338),1)*IF(Upgrades!$T$12="Solar Wind",POWER(Upgrades!$U$12,K338),1))+(IF(F338=0,0,(Upgrades!$G$7+F338*Upgrades!$H$7)*POWER(Upgrades!$I$7,F338)))*(IF(Upgrades!$T$6="Asteroid Belt",POWER(Upgrades!$U$6,E338),1)*IF(Upgrades!$T$8="Asteroid Belt",POWER(Upgrades!$U$8,G338),1)*IF(Upgrades!$T$9="Asteroid Belt",POWER(Upgrades!$U$9,H338),1)*IF(Upgrades!$T$10="Asteroid Belt",POWER(Upgrades!$U$10,I338),1)*IF(Upgrades!$T$11="Asteroid Belt",POWER(Upgrades!$U$11,J338),1)*IF(Upgrades!$T$12="Asteroid Belt",POWER(Upgrades!$U$12,K338),1))+(IF(G338=0,0,(Upgrades!$G$8+G338*Upgrades!$H$8)*POWER(Upgrades!$I$8,G338)))*(IF(Upgrades!$T$6="Stellar Coupling",POWER(Upgrades!$U$6,E338),1)*IF(Upgrades!$T$7="Stellar Coupling",POWER(Upgrades!$U$7,F338),1)*IF(Upgrades!$T$9="Stellar Coupling",POWER(Upgrades!$U$9,H338),1)*IF(Upgrades!$T$10="Stellar Coupling",POWER(Upgrades!$U$10,I338),1)*IF(Upgrades!$T$11="Stellar Coupling",POWER(Upgrades!$U$11,J338),1)*IF(Upgrades!$T$12="Stellar Coupling",POWER(Upgrades!$U$12,K338),1))+(IF(H338=0,0,(Upgrades!$G$9+H338*Upgrades!$H$9)*POWER(Upgrades!$I$9,H338)))*(IF(Upgrades!$T$6="Magnetosphere",POWER(Upgrades!$U$6,E338),1)*IF(Upgrades!$T$7="Magnetosphere",POWER(Upgrades!$U$7,F338),1)*IF(Upgrades!$T$8="Magnetosphere",POWER(Upgrades!$U$8,G338),1)*IF(Upgrades!$T$10="Magnetosphere",POWER(Upgrades!$U$10,I338),1)*IF(Upgrades!$T$11="Magnetosphere",POWER(Upgrades!$U$11,J338),1)*IF(Upgrades!$T$12="Magnetosphere",POWER(Upgrades!$U$12,K338),1))+(IF(I338=0,0,(Upgrades!$G$10+I338*Upgrades!$H$10)*POWER(Upgrades!$I$10,I338)))*(IF(Upgrades!$T$6="Orbital Resonance",POWER(Upgrades!$U$6,E338),1)*IF(Upgrades!$T$7="Orbital Resonance",POWER(Upgrades!$U$7,F338),1)*IF(Upgrades!$T$8="Orbital Resonance",POWER(Upgrades!$U$8,G338),1)*IF(Upgrades!$T$9="Orbital Resonance",POWER(Upgrades!$U$9,H338),1)*IF(Upgrades!$T$11="Orbital Resonance",POWER(Upgrades!$U$11,J338),1)*IF(Upgrades!$T$12="Orbital Resonance",POWER(Upgrades!$U$12,K338),1))+(IF(J338=0,0,(Upgrades!$G$11+J338*Upgrades!$H$11)*POWER(Upgrades!$I$11,J338)))*(IF(Upgrades!$T$6="Heliopause",POWER(Upgrades!$U$6,E338),1)*IF(Upgrades!$T$7="Heliopause",POWER(Upgrades!$U$7,F338),1)*IF(Upgrades!$T$8="Heliopause",POWER(Upgrades!$U$8,G338),1)*IF(Upgrades!$T$9="Heliopause",POWER(Upgrades!$U$9,H338),1)*IF(Upgrades!$T$10="Heliopause",POWER(Upgrades!$U$10,I338),1)*IF(Upgrades!$T$12="Heliopause",POWER(Upgrades!$U$12,K338),1))+(IF(K338=0,0,(Upgrades!$G$12+K338*Upgrades!$H$12)*POWER(Upgrades!$I$12,K338)))*(IF(Upgrades!$T$6="First Photons",POWER(Upgrades!$U$6,E338),1)*IF(Upgrades!$T$7="First Photons",POWER(Upgrades!$U$7,F338),1)*IF(Upgrades!$T$8="First Photons",POWER(Upgrades!$U$8,G338),1)*IF(Upgrades!$T$9="First Photons",POWER(Upgrades!$U$9,H338),1)*IF(Upgrades!$T$10="First Photons",POWER(Upgrades!$U$10,I338),1)*IF(Upgrades!$T$11="First Photons",POWER(Upgrades!$U$11,J338),1)))*POWER(Upgrades!$P$6,E338)*POWER(Upgrades!$P$7,F338)*POWER(Upgrades!$P$8,G338)*POWER(Upgrades!$P$9,H338)*POWER(Upgrades!$P$10,I338)*POWER(Upgrades!$P$11,J338)*POWER(Upgrades!$P$12,K338)</f>
        <v>11.2</v>
      </c>
      <c r="O338" s="28" t="n">
        <f aca="false">((IF(E338=0,0,(Upgrades!$M$6+E338*Upgrades!$N$6)*POWER(Upgrades!$O$6,E338)))*(IF(Upgrades!$T$7="Solar Wind",POWER(Upgrades!$U$7,F338),1)*IF(Upgrades!$T$8="Solar Wind",POWER(Upgrades!$U$8,G338),1)*IF(Upgrades!$T$9="Solar Wind",POWER(Upgrades!$U$9,H338),1)*IF(Upgrades!$T$10="Solar Wind",POWER(Upgrades!$U$10,I338),1)*IF(Upgrades!$T$11="Solar Wind",POWER(Upgrades!$U$11,J338),1)*IF(Upgrades!$T$12="Solar Wind",POWER(Upgrades!$U$12,K338),1))+(IF(F338=0,0,(Upgrades!$M$7+F338*Upgrades!$N$7)*POWER(Upgrades!$O$7,F338)))*(IF(Upgrades!$T$6="Asteroid Belt",POWER(Upgrades!$U$6,E338),1)*IF(Upgrades!$T$8="Asteroid Belt",POWER(Upgrades!$U$8,G338),1)*IF(Upgrades!$T$9="Asteroid Belt",POWER(Upgrades!$U$9,H338),1)*IF(Upgrades!$T$10="Asteroid Belt",POWER(Upgrades!$U$10,I338),1)*IF(Upgrades!$T$11="Asteroid Belt",POWER(Upgrades!$U$11,J338),1)*IF(Upgrades!$T$12="Asteroid Belt",POWER(Upgrades!$U$12,K338),1))+(IF(G338=0,0,(Upgrades!$M$8+G338*Upgrades!$N$8)*POWER(Upgrades!$O$8,G338)))*(IF(Upgrades!$T$6="Stellar Coupling",POWER(Upgrades!$U$6,E338),1)*IF(Upgrades!$T$7="Stellar Coupling",POWER(Upgrades!$U$7,F338),1)*IF(Upgrades!$T$9="Stellar Coupling",POWER(Upgrades!$U$9,H338),1)*IF(Upgrades!$T$10="Stellar Coupling",POWER(Upgrades!$U$10,I338),1)*IF(Upgrades!$T$11="Stellar Coupling",POWER(Upgrades!$U$11,J338),1)*IF(Upgrades!$T$12="Stellar Coupling",POWER(Upgrades!$U$12,K338),1))+(IF(H338=0,0,(Upgrades!$M$9+H338*Upgrades!$N$9)*POWER(Upgrades!$O$9,H338)))*(IF(Upgrades!$T$6="Magnetosphere",POWER(Upgrades!$U$6,E338),1)*IF(Upgrades!$T$7="Magnetosphere",POWER(Upgrades!$U$7,F338),1)*IF(Upgrades!$T$8="Magnetosphere",POWER(Upgrades!$U$8,G338),1)*IF(Upgrades!$T$10="Magnetosphere",POWER(Upgrades!$U$10,I338),1)*IF(Upgrades!$T$11="Magnetosphere",POWER(Upgrades!$U$11,J338),1)*IF(Upgrades!$T$12="Magnetosphere",POWER(Upgrades!$U$12,K338),1))+(IF(I338=0,0,(Upgrades!$M$10+I338*Upgrades!$N$10)*POWER(Upgrades!$O$10,I338)))*(IF(Upgrades!$T$6="Orbital Resonance",POWER(Upgrades!$U$6,E338),1)*IF(Upgrades!$T$7="Orbital Resonance",POWER(Upgrades!$U$7,F338),1)*IF(Upgrades!$T$8="Orbital Resonance",POWER(Upgrades!$U$8,G338),1)*IF(Upgrades!$T$9="Orbital Resonance",POWER(Upgrades!$U$9,H338),1)*IF(Upgrades!$T$11="Orbital Resonance",POWER(Upgrades!$U$11,J338),1)*IF(Upgrades!$T$12="Orbital Resonance",POWER(Upgrades!$U$12,K338),1))+(IF(J338=0,0,(Upgrades!$M$11+J338*Upgrades!$N$11)*POWER(Upgrades!$O$11,J338)))*(IF(Upgrades!$T$6="Heliopause",POWER(Upgrades!$U$6,E338),1)*IF(Upgrades!$T$7="Heliopause",POWER(Upgrades!$U$7,F338),1)*IF(Upgrades!$T$8="Heliopause",POWER(Upgrades!$U$8,G338),1)*IF(Upgrades!$T$9="Heliopause",POWER(Upgrades!$U$9,H338),1)*IF(Upgrades!$T$10="Heliopause",POWER(Upgrades!$U$10,I338),1)*IF(Upgrades!$T$12="Heliopause",POWER(Upgrades!$U$12,K338),1))+(IF(K338=0,0,(Upgrades!$M$12+K338*Upgrades!$N$12)*POWER(Upgrades!$O$12,K338)))*(IF(Upgrades!$T$6="First Photons",POWER(Upgrades!$U$6,E338),1)*IF(Upgrades!$T$7="First Photons",POWER(Upgrades!$U$7,F338),1)*IF(Upgrades!$T$8="First Photons",POWER(Upgrades!$U$8,G338),1)*IF(Upgrades!$T$9="First Photons",POWER(Upgrades!$U$9,H338),1)*IF(Upgrades!$T$10="First Photons",POWER(Upgrades!$U$10,I338),1)*IF(Upgrades!$T$11="First Photons",POWER(Upgrades!$U$11,J338),1)))*POWER(Upgrades!$R$6,E338)*POWER(Upgrades!$R$7,F338)*POWER(Upgrades!$R$8,G338)*POWER(Upgrades!$R$9,H338)*POWER(Upgrades!$R$10,I338)*POWER(Upgrades!$R$11,J338)*POWER(Upgrades!$R$12,K338)</f>
        <v>0</v>
      </c>
      <c r="P338" s="27" t="n">
        <f aca="false">IF(L338=1,0,M338*Parameters!$B$10/60*Parameters!$B$11*10)</f>
        <v>0</v>
      </c>
      <c r="Q338" s="27" t="n">
        <f aca="false">IF(L338=1,0,O338*M338*10)</f>
        <v>0</v>
      </c>
      <c r="R338" s="27" t="n">
        <f aca="false">IF(L338=1,0,N338*10)</f>
        <v>0</v>
      </c>
      <c r="S338" s="27" t="n">
        <f aca="false">P338+Q338+R338</f>
        <v>0</v>
      </c>
      <c r="T338" s="21" t="n">
        <f aca="false">C338+S338</f>
        <v>18.6730249835055</v>
      </c>
      <c r="U338" s="34" t="str">
        <f aca="false">AX338</f>
        <v/>
      </c>
      <c r="V338" s="21" t="n">
        <f aca="false">IF(U338="",0,IF(U338="transition",0,IF(U338="SW",AG338,IF(U338="AB",AH338,IF(U338="SC",AI338,IF(U338="Mag",AJ338,IF(U338="OR",AK338,IF(U338="HP",AL338,IF(U338="FP",AM338,0)))))))))</f>
        <v>0</v>
      </c>
      <c r="W338" s="27" t="n">
        <f aca="false">IF(U338="OR",Upgrades!$F$10,IF(U338="HP",Upgrades!$F$11,IF(U338="transition",-Parameters!$B$18,0)))</f>
        <v>0</v>
      </c>
      <c r="X338" s="21" t="n">
        <f aca="false">T338-V338</f>
        <v>18.6730249835055</v>
      </c>
      <c r="Y338" s="30" t="n">
        <f aca="false">M338*Parameters!$B$10/60*Parameters!$B$11+O338*M338+N338</f>
        <v>20.55</v>
      </c>
      <c r="Z338" s="35" t="str">
        <f aca="false">IF(U338="transition","→ Tier 2 (Stellar Neighborhood)",IF(U338="FP","First Photons — light begins, system quickens",IF(U338="HP","Heliopause acquired",IF(U338="OR","Orbital Resonance — passive multiplier active",IF(AND(AO338=1,L338=0,AN338&lt;&gt;1),"Cohesion ready (waiting on completionist upgrades)","")))))</f>
        <v/>
      </c>
      <c r="AA338" s="27" t="n">
        <f aca="false">(IF(E338=0,0,(Upgrades!$G$6+E338*Upgrades!$H$6)*POWER(Upgrades!$I$6,E338)))*(IF(Upgrades!$T$7="Solar Wind",POWER(Upgrades!$U$7,F338),1)*IF(Upgrades!$T$8="Solar Wind",POWER(Upgrades!$U$8,G338),1)*IF(Upgrades!$T$9="Solar Wind",POWER(Upgrades!$U$9,H338),1)*IF(Upgrades!$T$10="Solar Wind",POWER(Upgrades!$U$10,I338),1)*IF(Upgrades!$T$11="Solar Wind",POWER(Upgrades!$U$11,J338),1)*IF(Upgrades!$T$12="Solar Wind",POWER(Upgrades!$U$12,K338),1))*POWER(Upgrades!$P$6,E338)*POWER(Upgrades!$P$7,F338)*POWER(Upgrades!$P$8,G338)*POWER(Upgrades!$P$9,H338)*POWER(Upgrades!$P$10,I338)*POWER(Upgrades!$P$11,J338)*POWER(Upgrades!$P$12,K338)*60</f>
        <v>72</v>
      </c>
      <c r="AB338" s="27" t="n">
        <f aca="false">(IF(F338=0,0,(Upgrades!$G$7+F338*Upgrades!$H$7)*POWER(Upgrades!$I$7,F338)))*(IF(Upgrades!$T$6="Asteroid Belt",POWER(Upgrades!$U$6,E338),1)*IF(Upgrades!$T$8="Asteroid Belt",POWER(Upgrades!$U$8,G338),1)*IF(Upgrades!$T$9="Asteroid Belt",POWER(Upgrades!$U$9,H338),1)*IF(Upgrades!$T$10="Asteroid Belt",POWER(Upgrades!$U$10,I338),1)*IF(Upgrades!$T$11="Asteroid Belt",POWER(Upgrades!$U$11,J338),1)*IF(Upgrades!$T$12="Asteroid Belt",POWER(Upgrades!$U$12,K338),1))*POWER(Upgrades!$P$6,E338)*POWER(Upgrades!$P$7,F338)*POWER(Upgrades!$P$8,G338)*POWER(Upgrades!$P$9,H338)*POWER(Upgrades!$P$10,I338)*POWER(Upgrades!$P$11,J338)*POWER(Upgrades!$P$12,K338)*60</f>
        <v>150</v>
      </c>
      <c r="AC338" s="27" t="n">
        <f aca="false">(IF(G338=0,0,(Upgrades!$J$8+G338*Upgrades!$K$8)*POWER(Upgrades!$L$8,G338)))*(IF(Upgrades!$T$6="Stellar Coupling",POWER(Upgrades!$U$6,E338),1)*IF(Upgrades!$T$7="Stellar Coupling",POWER(Upgrades!$U$7,F338),1)*IF(Upgrades!$T$9="Stellar Coupling",POWER(Upgrades!$U$9,H338),1)*IF(Upgrades!$T$10="Stellar Coupling",POWER(Upgrades!$U$10,I338),1)*IF(Upgrades!$T$11="Stellar Coupling",POWER(Upgrades!$U$11,J338),1)*IF(Upgrades!$T$12="Stellar Coupling",POWER(Upgrades!$U$12,K338),1))*POWER(Upgrades!$Q$6,E338)*POWER(Upgrades!$Q$7,F338)*POWER(Upgrades!$Q$8,G338)*POWER(Upgrades!$Q$9,H338)*POWER(Upgrades!$Q$10,I338)*POWER(Upgrades!$Q$11,J338)*POWER(Upgrades!$Q$12,K338)*Parameters!$B$10*Parameters!$B$11</f>
        <v>441</v>
      </c>
      <c r="AD338" s="27" t="n">
        <f aca="false">(IF(H338=0,0,(Upgrades!$G$9+H338*Upgrades!$H$9)*POWER(Upgrades!$I$9,H338)))*(IF(Upgrades!$T$6="Magnetosphere",POWER(Upgrades!$U$6,E338),1)*IF(Upgrades!$T$7="Magnetosphere",POWER(Upgrades!$U$7,F338),1)*IF(Upgrades!$T$8="Magnetosphere",POWER(Upgrades!$U$8,G338),1)*IF(Upgrades!$T$10="Magnetosphere",POWER(Upgrades!$U$10,I338),1)*IF(Upgrades!$T$11="Magnetosphere",POWER(Upgrades!$U$11,J338),1)*IF(Upgrades!$T$12="Magnetosphere",POWER(Upgrades!$U$12,K338),1))*POWER(Upgrades!$P$6,E338)*POWER(Upgrades!$P$7,F338)*POWER(Upgrades!$P$8,G338)*POWER(Upgrades!$P$9,H338)*POWER(Upgrades!$P$10,I338)*POWER(Upgrades!$P$11,J338)*POWER(Upgrades!$P$12,K338)*60</f>
        <v>375</v>
      </c>
      <c r="AE338" s="27" t="n">
        <f aca="false">(IF(K338=0,0,(Upgrades!$G$12+K338*Upgrades!$H$12)*POWER(Upgrades!$I$12,K338)))*(IF(Upgrades!$T$6="First Photons",POWER(Upgrades!$U$6,E338),1)*IF(Upgrades!$T$7="First Photons",POWER(Upgrades!$U$7,F338),1)*IF(Upgrades!$T$8="First Photons",POWER(Upgrades!$U$8,G338),1)*IF(Upgrades!$T$9="First Photons",POWER(Upgrades!$U$9,H338),1)*IF(Upgrades!$T$10="First Photons",POWER(Upgrades!$U$10,I338),1)*IF(Upgrades!$T$11="First Photons",POWER(Upgrades!$U$11,J338),1))*POWER(Upgrades!$P$6,E338)*POWER(Upgrades!$P$7,F338)*POWER(Upgrades!$P$8,G338)*POWER(Upgrades!$P$9,H338)*POWER(Upgrades!$P$10,I338)*POWER(Upgrades!$P$11,J338)*POWER(Upgrades!$P$12,K338)*60</f>
        <v>75</v>
      </c>
      <c r="AF338" s="27" t="n">
        <f aca="false">Parameters!$B$9*POWER(Upgrades!$Q$6,E338)*POWER(Upgrades!$Q$7,F338)*POWER(Upgrades!$Q$8,G338)*POWER(Upgrades!$Q$9,H338)*POWER(Upgrades!$Q$10,I338)*POWER(Upgrades!$Q$11,J338)*POWER(Upgrades!$Q$12,K338)*(Parameters!$B$10*Parameters!$B$11+O338*60)</f>
        <v>120</v>
      </c>
      <c r="AG338" s="21" t="n">
        <f aca="false">IF(E338&gt;=Upgrades!$E$6,"",Upgrades!$C$6*POWER(Upgrades!$D$6,E338))</f>
        <v>37.4517507383159</v>
      </c>
      <c r="AH338" s="21" t="n">
        <f aca="false">IF(F338&gt;=Upgrades!$E$7,"",Upgrades!$C$7*POWER(Upgrades!$D$7,F338))</f>
        <v>80.9111547141581</v>
      </c>
      <c r="AI338" s="21" t="n">
        <f aca="false">IF(G338&gt;=Upgrades!$E$8,"",Upgrades!$C$8*POWER(Upgrades!$D$8,G338))</f>
        <v>231.9097088</v>
      </c>
      <c r="AJ338" s="21" t="str">
        <f aca="false">IF(H338&gt;=Upgrades!$E$9,"",Upgrades!$C$9*POWER(Upgrades!$D$9,H338))</f>
        <v/>
      </c>
      <c r="AK338" s="21" t="str">
        <f aca="false">IF(I338&gt;=Upgrades!$E$10,"",Upgrades!$C$10*POWER(Upgrades!$D$10,I338))</f>
        <v/>
      </c>
      <c r="AL338" s="21" t="str">
        <f aca="false">IF(J338&gt;=Upgrades!$E$11,"",Upgrades!$C$11*POWER(Upgrades!$D$11,J338))</f>
        <v/>
      </c>
      <c r="AM338" s="21" t="str">
        <f aca="false">IF(K338&gt;=Upgrades!$E$12,"",Upgrades!$C$12*POWER(Upgrades!$D$12,K338))</f>
        <v/>
      </c>
      <c r="AN338" s="26" t="str">
        <f aca="false">IF(AND(D338&gt;=Parameters!$B$18,(H338&gt;=Upgrades!$E$9)*(K338&gt;=Upgrades!$E$12)=1,L338=0),1,"")</f>
        <v/>
      </c>
      <c r="AO338" s="26" t="str">
        <f aca="false">IF(AND(D338&gt;=Parameters!$B$18,L338=0),1,"")</f>
        <v/>
      </c>
      <c r="AP338" s="21" t="n">
        <f aca="false">MIN(IF(ISNUMBER(AK338),AK338,9000000000000000),IF(ISNUMBER(AL338),AL338,9000000000000000),IF(ISNUMBER(AM338),AM338,9000000000000000))</f>
        <v>9000000000000000</v>
      </c>
      <c r="AQ338" s="21" t="n">
        <f aca="false">MIN(IF(ISNUMBER(AG338),AG338,9000000000000000),IF(ISNUMBER(AH338),AH338,9000000000000000),IF(ISNUMBER(AI338),AI338,9000000000000000),IF(ISNUMBER(AJ338),AJ338,9000000000000000))</f>
        <v>37.4517507383159</v>
      </c>
      <c r="AR338" s="32" t="b">
        <f aca="false">IF(AW338&gt;Parameters!$B$21*(MAX(IF(AND(NOT(AND(AO338=1,AN338&lt;&gt;1)),ISNUMBER(AG338),AG338&lt;=T338),AS338,0),IF(AND(NOT(AND(AO338=1,AN338&lt;&gt;1)),ISNUMBER(AH338),AH338&lt;=T338),AT338,0),IF(AND(NOT(AND(AO338=1,AN338&lt;&gt;1)),ISNUMBER(AI338),AI338&lt;=T338),AU338,0),IF(AND(ISNUMBER(AJ338),AJ338&lt;=T338),AV338,0))),TRUE(),FALSE())</f>
        <v>1</v>
      </c>
      <c r="AS338" s="33" t="n">
        <f aca="false">IFERROR(Upgrades!$H$6*(POWER(Upgrades!$P$6,E338)*POWER(Upgrades!$P$7,F338)*POWER(Upgrades!$P$8,G338)*POWER(Upgrades!$P$9,H338)*POWER(Upgrades!$P$10,I338)*POWER(Upgrades!$P$11,J338)*POWER(Upgrades!$P$12,K338))*(IF(Upgrades!$T$7="Solar Wind",POWER(Upgrades!$U$7,F338),1)*IF(Upgrades!$T$8="Solar Wind",POWER(Upgrades!$U$8,G338),1)*IF(Upgrades!$T$9="Solar Wind",POWER(Upgrades!$U$9,H338),1)*IF(Upgrades!$T$10="Solar Wind",POWER(Upgrades!$U$10,I338),1)*IF(Upgrades!$T$11="Solar Wind",POWER(Upgrades!$U$11,J338),1)*IF(Upgrades!$T$12="Solar Wind",POWER(Upgrades!$U$12,K338),1))/AG338,0)</f>
        <v>0.0026701021455238</v>
      </c>
      <c r="AT338" s="33" t="n">
        <f aca="false">IFERROR(Upgrades!$H$7*(POWER(Upgrades!$P$6,E338)*POWER(Upgrades!$P$7,F338)*POWER(Upgrades!$P$8,G338)*POWER(Upgrades!$P$9,H338)*POWER(Upgrades!$P$10,I338)*POWER(Upgrades!$P$11,J338)*POWER(Upgrades!$P$12,K338))*(IF(Upgrades!$T$6="Asteroid Belt",POWER(Upgrades!$U$6,E338),1)*IF(Upgrades!$T$8="Asteroid Belt",POWER(Upgrades!$U$8,G338),1)*IF(Upgrades!$T$9="Asteroid Belt",POWER(Upgrades!$U$9,H338),1)*IF(Upgrades!$T$10="Asteroid Belt",POWER(Upgrades!$U$10,I338),1)*IF(Upgrades!$T$11="Asteroid Belt",POWER(Upgrades!$U$11,J338),1)*IF(Upgrades!$T$12="Asteroid Belt",POWER(Upgrades!$U$12,K338),1))/AH338,0)</f>
        <v>0.00308980882652332</v>
      </c>
      <c r="AU338" s="33" t="n">
        <f aca="false">IFERROR(Upgrades!$K$8*(POWER(Upgrades!$Q$6,E338)*POWER(Upgrades!$Q$7,F338)*POWER(Upgrades!$Q$8,G338)*POWER(Upgrades!$Q$9,H338)*POWER(Upgrades!$Q$10,I338)*POWER(Upgrades!$Q$11,J338)*POWER(Upgrades!$Q$12,K338))*(IF(Upgrades!$T$6="Stellar Coupling",POWER(Upgrades!$U$6,E338),1)*IF(Upgrades!$T$7="Stellar Coupling",POWER(Upgrades!$U$7,F338),1)*IF(Upgrades!$T$9="Stellar Coupling",POWER(Upgrades!$U$9,H338),1)*IF(Upgrades!$T$10="Stellar Coupling",POWER(Upgrades!$U$10,I338),1)*IF(Upgrades!$T$11="Stellar Coupling",POWER(Upgrades!$U$11,J338),1)*IF(Upgrades!$T$12="Stellar Coupling",POWER(Upgrades!$U$12,K338),1))*Parameters!$B$10*Parameters!$B$11/60/AI338,0)</f>
        <v>0.00452762415783776</v>
      </c>
      <c r="AV338" s="33" t="n">
        <f aca="false">IFERROR(Upgrades!$H$9*(POWER(Upgrades!$P$6,E338)*POWER(Upgrades!$P$7,F338)*POWER(Upgrades!$P$8,G338)*POWER(Upgrades!$P$9,H338)*POWER(Upgrades!$P$10,I338)*POWER(Upgrades!$P$11,J338)*POWER(Upgrades!$P$12,K338))*(IF(Upgrades!$T$6="Magnetosphere",POWER(Upgrades!$U$6,E338),1)*IF(Upgrades!$T$7="Magnetosphere",POWER(Upgrades!$U$7,F338),1)*IF(Upgrades!$T$8="Magnetosphere",POWER(Upgrades!$U$8,G338),1)*IF(Upgrades!$T$10="Magnetosphere",POWER(Upgrades!$U$10,I338),1)*IF(Upgrades!$T$11="Magnetosphere",POWER(Upgrades!$U$11,J338),1)*IF(Upgrades!$T$12="Magnetosphere",POWER(Upgrades!$U$12,K338),1))/AJ338,0)</f>
        <v>0</v>
      </c>
      <c r="AW338" s="33" t="n">
        <f aca="false">MAX(IF(I338&gt;0,0,IFERROR(0.25*N338/Upgrades!$C$10,0)),IF(J338&gt;0,0,IFERROR(0.5*((IF(G338=0,0,(Upgrades!$J$8+G338*Upgrades!$K$8)*POWER(Upgrades!$L$8,G338)))*(IF(Upgrades!$T$6="Stellar Coupling",POWER(Upgrades!$U$6,E338),1)*IF(Upgrades!$T$7="Stellar Coupling",POWER(Upgrades!$U$7,F338),1)*IF(Upgrades!$T$9="Stellar Coupling",POWER(Upgrades!$U$9,H338),1)*IF(Upgrades!$T$10="Stellar Coupling",POWER(Upgrades!$U$10,I338),1)*IF(Upgrades!$T$11="Stellar Coupling",POWER(Upgrades!$U$11,J338),1)*IF(Upgrades!$T$12="Stellar Coupling",POWER(Upgrades!$U$12,K338),1))*(POWER(Upgrades!$Q$6,E338)*POWER(Upgrades!$Q$7,F338)*POWER(Upgrades!$Q$8,G338)*POWER(Upgrades!$Q$9,H338)*POWER(Upgrades!$Q$10,I338)*POWER(Upgrades!$Q$11,J338)*POWER(Upgrades!$Q$12,K338))*Parameters!$B$10*Parameters!$B$11/60)/Upgrades!$C$11,0)),IF(K338&gt;0,0,IFERROR((1*(POWER(Upgrades!$P$6,E338)*POWER(Upgrades!$P$7,F338)*POWER(Upgrades!$P$8,G338)*POWER(Upgrades!$P$9,H338)*POWER(Upgrades!$P$10,I338)*POWER(Upgrades!$P$11,J338)*POWER(Upgrades!$P$12,K338))+0.2*M338*Parameters!$B$10*Parameters!$B$11/60)/Upgrades!$C$12,0)),IF(AND(ISNUMBER(AG338),AG338&gt;T338),AS338,0),IF(AND(ISNUMBER(AH338),AH338&gt;T338),AT338,0),IF(AND(ISNUMBER(AI338),AI338&gt;T338),AU338,0),IF(AND(ISNUMBER(AJ338),AJ338&gt;T338),AV338,0))</f>
        <v>0.00452762415783776</v>
      </c>
      <c r="AX338" s="29" t="str">
        <f aca="false">IF(AN338=1,"transition",IF(MIN(IF(AND(I338=0,ISNUMBER(AK338),AK338&lt;=T338),AK338,9000000000000000),IF(AND(J338=0,ISNUMBER(AL338),AL338&lt;=T338),AL338,9000000000000000),IF(AND(K338=0,ISNUMBER(AM338),AM338&lt;=T338),AM338,9000000000000000))&lt;9000000000000000,IF(AND(AND(I338=0,ISNUMBER(AK338),AK338&lt;=T338),AK338=MIN(IF(AND(I338=0,ISNUMBER(AK338),AK338&lt;=T338),AK338,9000000000000000),IF(AND(J338=0,ISNUMBER(AL338),AL338&lt;=T338),AL338,9000000000000000),IF(AND(K338=0,ISNUMBER(AM338),AM338&lt;=T338),AM338,9000000000000000))),"OR",IF(AND(AND(J338=0,ISNUMBER(AL338),AL338&lt;=T338),AL338=MIN(IF(AND(I338=0,ISNUMBER(AK338),AK338&lt;=T338),AK338,9000000000000000),IF(AND(J338=0,ISNUMBER(AL338),AL338&lt;=T338),AL338,9000000000000000),IF(AND(K338=0,ISNUMBER(AM338),AM338&lt;=T338),AM338,9000000000000000))),"HP","FP")),IF(AR338=TRUE(),"",IF(MAX(IF(AND(NOT(AND(AO338=1,AN338&lt;&gt;1)),ISNUMBER(AG338),AG338&lt;=T338),AS338,0),IF(AND(NOT(AND(AO338=1,AN338&lt;&gt;1)),ISNUMBER(AH338),AH338&lt;=T338),AT338,0),IF(AND(NOT(AND(AO338=1,AN338&lt;&gt;1)),ISNUMBER(AI338),AI338&lt;=T338),AU338,0),IF(AND(ISNUMBER(AJ338),AJ338&lt;=T338),AV338,0))&lt;=0,"",IF(AND(IF(AND(NOT(AND(AO338=1,AN338&lt;&gt;1)),ISNUMBER(AG338),AG338&lt;=T338),AS338,0)&gt;0,IF(AND(NOT(AND(AO338=1,AN338&lt;&gt;1)),ISNUMBER(AG338),AG338&lt;=T338),AS338,0)=MAX(IF(AND(NOT(AND(AO338=1,AN338&lt;&gt;1)),ISNUMBER(AG338),AG338&lt;=T338),AS338,0),IF(AND(NOT(AND(AO338=1,AN338&lt;&gt;1)),ISNUMBER(AH338),AH338&lt;=T338),AT338,0),IF(AND(NOT(AND(AO338=1,AN338&lt;&gt;1)),ISNUMBER(AI338),AI338&lt;=T338),AU338,0),IF(AND(ISNUMBER(AJ338),AJ338&lt;=T338),AV338,0))),"SW",IF(AND(IF(AND(NOT(AND(AO338=1,AN338&lt;&gt;1)),ISNUMBER(AH338),AH338&lt;=T338),AT338,0)&gt;0,IF(AND(NOT(AND(AO338=1,AN338&lt;&gt;1)),ISNUMBER(AH338),AH338&lt;=T338),AT338,0)=MAX(IF(AND(NOT(AND(AO338=1,AN338&lt;&gt;1)),ISNUMBER(AG338),AG338&lt;=T338),AS338,0),IF(AND(NOT(AND(AO338=1,AN338&lt;&gt;1)),ISNUMBER(AH338),AH338&lt;=T338),AT338,0),IF(AND(NOT(AND(AO338=1,AN338&lt;&gt;1)),ISNUMBER(AI338),AI338&lt;=T338),AU338,0),IF(AND(ISNUMBER(AJ338),AJ338&lt;=T338),AV338,0))),"AB",IF(AND(IF(AND(NOT(AND(AO338=1,AN338&lt;&gt;1)),ISNUMBER(AI338),AI338&lt;=T338),AU338,0)&gt;0,IF(AND(NOT(AND(AO338=1,AN338&lt;&gt;1)),ISNUMBER(AI338),AI338&lt;=T338),AU338,0)=MAX(IF(AND(NOT(AND(AO338=1,AN338&lt;&gt;1)),ISNUMBER(AG338),AG338&lt;=T338),AS338,0),IF(AND(NOT(AND(AO338=1,AN338&lt;&gt;1)),ISNUMBER(AH338),AH338&lt;=T338),AT338,0),IF(AND(NOT(AND(AO338=1,AN338&lt;&gt;1)),ISNUMBER(AI338),AI338&lt;=T338),AU338,0),IF(AND(ISNUMBER(AJ338),AJ338&lt;=T338),AV338,0))),"SC","Mag")))))))</f>
        <v/>
      </c>
    </row>
    <row r="339" customFormat="false" ht="15" hidden="false" customHeight="false" outlineLevel="0" collapsed="false">
      <c r="A339" s="26" t="n">
        <v>334</v>
      </c>
      <c r="B339" s="27" t="n">
        <f aca="false">A339*10/60</f>
        <v>55.6666666666667</v>
      </c>
      <c r="C339" s="21" t="n">
        <f aca="false">X338</f>
        <v>18.6730249835055</v>
      </c>
      <c r="D339" s="27" t="n">
        <f aca="false">D338+W338</f>
        <v>0</v>
      </c>
      <c r="E339" s="26" t="n">
        <f aca="false">E338+IF(U338="SW",1,0)</f>
        <v>12</v>
      </c>
      <c r="F339" s="26" t="n">
        <f aca="false">F338+IF(U338="AB",1,0)</f>
        <v>10</v>
      </c>
      <c r="G339" s="26" t="n">
        <f aca="false">G338+IF(U338="SC",1,0)</f>
        <v>7</v>
      </c>
      <c r="H339" s="26" t="n">
        <f aca="false">H338+IF(U338="Mag",1,0)</f>
        <v>5</v>
      </c>
      <c r="I339" s="26" t="n">
        <f aca="false">MAX(I338,IF(U338="OR",1,0))</f>
        <v>1</v>
      </c>
      <c r="J339" s="26" t="n">
        <f aca="false">MAX(J338,IF(U338="HP",1,0))</f>
        <v>1</v>
      </c>
      <c r="K339" s="26" t="n">
        <f aca="false">MAX(K338,IF(U338="FP",1,0))</f>
        <v>1</v>
      </c>
      <c r="L339" s="26" t="n">
        <f aca="false">MAX(L338,IF(U338="transition",1,0))</f>
        <v>1</v>
      </c>
      <c r="M339" s="28" t="n">
        <f aca="false">(Parameters!$B$9+(IF(E339=0,0,(Upgrades!$J$6+E339*Upgrades!$K$6)*POWER(Upgrades!$L$6,E339)))*(IF(Upgrades!$T$7="Solar Wind",POWER(Upgrades!$U$7,F339),1)*IF(Upgrades!$T$8="Solar Wind",POWER(Upgrades!$U$8,G339),1)*IF(Upgrades!$T$9="Solar Wind",POWER(Upgrades!$U$9,H339),1)*IF(Upgrades!$T$10="Solar Wind",POWER(Upgrades!$U$10,I339),1)*IF(Upgrades!$T$11="Solar Wind",POWER(Upgrades!$U$11,J339),1)*IF(Upgrades!$T$12="Solar Wind",POWER(Upgrades!$U$12,K339),1))+(IF(F339=0,0,(Upgrades!$J$7+F339*Upgrades!$K$7)*POWER(Upgrades!$L$7,F339)))*(IF(Upgrades!$T$6="Asteroid Belt",POWER(Upgrades!$U$6,E339),1)*IF(Upgrades!$T$8="Asteroid Belt",POWER(Upgrades!$U$8,G339),1)*IF(Upgrades!$T$9="Asteroid Belt",POWER(Upgrades!$U$9,H339),1)*IF(Upgrades!$T$10="Asteroid Belt",POWER(Upgrades!$U$10,I339),1)*IF(Upgrades!$T$11="Asteroid Belt",POWER(Upgrades!$U$11,J339),1)*IF(Upgrades!$T$12="Asteroid Belt",POWER(Upgrades!$U$12,K339),1))+(IF(G339=0,0,(Upgrades!$J$8+G339*Upgrades!$K$8)*POWER(Upgrades!$L$8,G339)))*(IF(Upgrades!$T$6="Stellar Coupling",POWER(Upgrades!$U$6,E339),1)*IF(Upgrades!$T$7="Stellar Coupling",POWER(Upgrades!$U$7,F339),1)*IF(Upgrades!$T$9="Stellar Coupling",POWER(Upgrades!$U$9,H339),1)*IF(Upgrades!$T$10="Stellar Coupling",POWER(Upgrades!$U$10,I339),1)*IF(Upgrades!$T$11="Stellar Coupling",POWER(Upgrades!$U$11,J339),1)*IF(Upgrades!$T$12="Stellar Coupling",POWER(Upgrades!$U$12,K339),1))+(IF(H339=0,0,(Upgrades!$J$9+H339*Upgrades!$K$9)*POWER(Upgrades!$L$9,H339)))*(IF(Upgrades!$T$6="Magnetosphere",POWER(Upgrades!$U$6,E339),1)*IF(Upgrades!$T$7="Magnetosphere",POWER(Upgrades!$U$7,F339),1)*IF(Upgrades!$T$8="Magnetosphere",POWER(Upgrades!$U$8,G339),1)*IF(Upgrades!$T$10="Magnetosphere",POWER(Upgrades!$U$10,I339),1)*IF(Upgrades!$T$11="Magnetosphere",POWER(Upgrades!$U$11,J339),1)*IF(Upgrades!$T$12="Magnetosphere",POWER(Upgrades!$U$12,K339),1))+(IF(I339=0,0,(Upgrades!$J$10+I339*Upgrades!$K$10)*POWER(Upgrades!$L$10,I339)))*(IF(Upgrades!$T$6="Orbital Resonance",POWER(Upgrades!$U$6,E339),1)*IF(Upgrades!$T$7="Orbital Resonance",POWER(Upgrades!$U$7,F339),1)*IF(Upgrades!$T$8="Orbital Resonance",POWER(Upgrades!$U$8,G339),1)*IF(Upgrades!$T$9="Orbital Resonance",POWER(Upgrades!$U$9,H339),1)*IF(Upgrades!$T$11="Orbital Resonance",POWER(Upgrades!$U$11,J339),1)*IF(Upgrades!$T$12="Orbital Resonance",POWER(Upgrades!$U$12,K339),1))+(IF(J339=0,0,(Upgrades!$J$11+J339*Upgrades!$K$11)*POWER(Upgrades!$L$11,J339)))*(IF(Upgrades!$T$6="Heliopause",POWER(Upgrades!$U$6,E339),1)*IF(Upgrades!$T$7="Heliopause",POWER(Upgrades!$U$7,F339),1)*IF(Upgrades!$T$8="Heliopause",POWER(Upgrades!$U$8,G339),1)*IF(Upgrades!$T$9="Heliopause",POWER(Upgrades!$U$9,H339),1)*IF(Upgrades!$T$10="Heliopause",POWER(Upgrades!$U$10,I339),1)*IF(Upgrades!$T$12="Heliopause",POWER(Upgrades!$U$12,K339),1))+(IF(K339=0,0,(Upgrades!$J$12+K339*Upgrades!$K$12)*POWER(Upgrades!$L$12,K339)))*(IF(Upgrades!$T$6="First Photons",POWER(Upgrades!$U$6,E339),1)*IF(Upgrades!$T$7="First Photons",POWER(Upgrades!$U$7,F339),1)*IF(Upgrades!$T$8="First Photons",POWER(Upgrades!$U$8,G339),1)*IF(Upgrades!$T$9="First Photons",POWER(Upgrades!$U$9,H339),1)*IF(Upgrades!$T$10="First Photons",POWER(Upgrades!$U$10,I339),1)*IF(Upgrades!$T$11="First Photons",POWER(Upgrades!$U$11,J339),1)))*POWER(Upgrades!$Q$6,E339)*POWER(Upgrades!$Q$7,F339)*POWER(Upgrades!$Q$8,G339)*POWER(Upgrades!$Q$9,H339)*POWER(Upgrades!$Q$10,I339)*POWER(Upgrades!$Q$11,J339)*POWER(Upgrades!$Q$12,K339)</f>
        <v>5.61</v>
      </c>
      <c r="N339" s="28" t="n">
        <f aca="false">((IF(E339=0,0,(Upgrades!$G$6+E339*Upgrades!$H$6)*POWER(Upgrades!$I$6,E339)))*(IF(Upgrades!$T$7="Solar Wind",POWER(Upgrades!$U$7,F339),1)*IF(Upgrades!$T$8="Solar Wind",POWER(Upgrades!$U$8,G339),1)*IF(Upgrades!$T$9="Solar Wind",POWER(Upgrades!$U$9,H339),1)*IF(Upgrades!$T$10="Solar Wind",POWER(Upgrades!$U$10,I339),1)*IF(Upgrades!$T$11="Solar Wind",POWER(Upgrades!$U$11,J339),1)*IF(Upgrades!$T$12="Solar Wind",POWER(Upgrades!$U$12,K339),1))+(IF(F339=0,0,(Upgrades!$G$7+F339*Upgrades!$H$7)*POWER(Upgrades!$I$7,F339)))*(IF(Upgrades!$T$6="Asteroid Belt",POWER(Upgrades!$U$6,E339),1)*IF(Upgrades!$T$8="Asteroid Belt",POWER(Upgrades!$U$8,G339),1)*IF(Upgrades!$T$9="Asteroid Belt",POWER(Upgrades!$U$9,H339),1)*IF(Upgrades!$T$10="Asteroid Belt",POWER(Upgrades!$U$10,I339),1)*IF(Upgrades!$T$11="Asteroid Belt",POWER(Upgrades!$U$11,J339),1)*IF(Upgrades!$T$12="Asteroid Belt",POWER(Upgrades!$U$12,K339),1))+(IF(G339=0,0,(Upgrades!$G$8+G339*Upgrades!$H$8)*POWER(Upgrades!$I$8,G339)))*(IF(Upgrades!$T$6="Stellar Coupling",POWER(Upgrades!$U$6,E339),1)*IF(Upgrades!$T$7="Stellar Coupling",POWER(Upgrades!$U$7,F339),1)*IF(Upgrades!$T$9="Stellar Coupling",POWER(Upgrades!$U$9,H339),1)*IF(Upgrades!$T$10="Stellar Coupling",POWER(Upgrades!$U$10,I339),1)*IF(Upgrades!$T$11="Stellar Coupling",POWER(Upgrades!$U$11,J339),1)*IF(Upgrades!$T$12="Stellar Coupling",POWER(Upgrades!$U$12,K339),1))+(IF(H339=0,0,(Upgrades!$G$9+H339*Upgrades!$H$9)*POWER(Upgrades!$I$9,H339)))*(IF(Upgrades!$T$6="Magnetosphere",POWER(Upgrades!$U$6,E339),1)*IF(Upgrades!$T$7="Magnetosphere",POWER(Upgrades!$U$7,F339),1)*IF(Upgrades!$T$8="Magnetosphere",POWER(Upgrades!$U$8,G339),1)*IF(Upgrades!$T$10="Magnetosphere",POWER(Upgrades!$U$10,I339),1)*IF(Upgrades!$T$11="Magnetosphere",POWER(Upgrades!$U$11,J339),1)*IF(Upgrades!$T$12="Magnetosphere",POWER(Upgrades!$U$12,K339),1))+(IF(I339=0,0,(Upgrades!$G$10+I339*Upgrades!$H$10)*POWER(Upgrades!$I$10,I339)))*(IF(Upgrades!$T$6="Orbital Resonance",POWER(Upgrades!$U$6,E339),1)*IF(Upgrades!$T$7="Orbital Resonance",POWER(Upgrades!$U$7,F339),1)*IF(Upgrades!$T$8="Orbital Resonance",POWER(Upgrades!$U$8,G339),1)*IF(Upgrades!$T$9="Orbital Resonance",POWER(Upgrades!$U$9,H339),1)*IF(Upgrades!$T$11="Orbital Resonance",POWER(Upgrades!$U$11,J339),1)*IF(Upgrades!$T$12="Orbital Resonance",POWER(Upgrades!$U$12,K339),1))+(IF(J339=0,0,(Upgrades!$G$11+J339*Upgrades!$H$11)*POWER(Upgrades!$I$11,J339)))*(IF(Upgrades!$T$6="Heliopause",POWER(Upgrades!$U$6,E339),1)*IF(Upgrades!$T$7="Heliopause",POWER(Upgrades!$U$7,F339),1)*IF(Upgrades!$T$8="Heliopause",POWER(Upgrades!$U$8,G339),1)*IF(Upgrades!$T$9="Heliopause",POWER(Upgrades!$U$9,H339),1)*IF(Upgrades!$T$10="Heliopause",POWER(Upgrades!$U$10,I339),1)*IF(Upgrades!$T$12="Heliopause",POWER(Upgrades!$U$12,K339),1))+(IF(K339=0,0,(Upgrades!$G$12+K339*Upgrades!$H$12)*POWER(Upgrades!$I$12,K339)))*(IF(Upgrades!$T$6="First Photons",POWER(Upgrades!$U$6,E339),1)*IF(Upgrades!$T$7="First Photons",POWER(Upgrades!$U$7,F339),1)*IF(Upgrades!$T$8="First Photons",POWER(Upgrades!$U$8,G339),1)*IF(Upgrades!$T$9="First Photons",POWER(Upgrades!$U$9,H339),1)*IF(Upgrades!$T$10="First Photons",POWER(Upgrades!$U$10,I339),1)*IF(Upgrades!$T$11="First Photons",POWER(Upgrades!$U$11,J339),1)))*POWER(Upgrades!$P$6,E339)*POWER(Upgrades!$P$7,F339)*POWER(Upgrades!$P$8,G339)*POWER(Upgrades!$P$9,H339)*POWER(Upgrades!$P$10,I339)*POWER(Upgrades!$P$11,J339)*POWER(Upgrades!$P$12,K339)</f>
        <v>11.2</v>
      </c>
      <c r="O339" s="28" t="n">
        <f aca="false">((IF(E339=0,0,(Upgrades!$M$6+E339*Upgrades!$N$6)*POWER(Upgrades!$O$6,E339)))*(IF(Upgrades!$T$7="Solar Wind",POWER(Upgrades!$U$7,F339),1)*IF(Upgrades!$T$8="Solar Wind",POWER(Upgrades!$U$8,G339),1)*IF(Upgrades!$T$9="Solar Wind",POWER(Upgrades!$U$9,H339),1)*IF(Upgrades!$T$10="Solar Wind",POWER(Upgrades!$U$10,I339),1)*IF(Upgrades!$T$11="Solar Wind",POWER(Upgrades!$U$11,J339),1)*IF(Upgrades!$T$12="Solar Wind",POWER(Upgrades!$U$12,K339),1))+(IF(F339=0,0,(Upgrades!$M$7+F339*Upgrades!$N$7)*POWER(Upgrades!$O$7,F339)))*(IF(Upgrades!$T$6="Asteroid Belt",POWER(Upgrades!$U$6,E339),1)*IF(Upgrades!$T$8="Asteroid Belt",POWER(Upgrades!$U$8,G339),1)*IF(Upgrades!$T$9="Asteroid Belt",POWER(Upgrades!$U$9,H339),1)*IF(Upgrades!$T$10="Asteroid Belt",POWER(Upgrades!$U$10,I339),1)*IF(Upgrades!$T$11="Asteroid Belt",POWER(Upgrades!$U$11,J339),1)*IF(Upgrades!$T$12="Asteroid Belt",POWER(Upgrades!$U$12,K339),1))+(IF(G339=0,0,(Upgrades!$M$8+G339*Upgrades!$N$8)*POWER(Upgrades!$O$8,G339)))*(IF(Upgrades!$T$6="Stellar Coupling",POWER(Upgrades!$U$6,E339),1)*IF(Upgrades!$T$7="Stellar Coupling",POWER(Upgrades!$U$7,F339),1)*IF(Upgrades!$T$9="Stellar Coupling",POWER(Upgrades!$U$9,H339),1)*IF(Upgrades!$T$10="Stellar Coupling",POWER(Upgrades!$U$10,I339),1)*IF(Upgrades!$T$11="Stellar Coupling",POWER(Upgrades!$U$11,J339),1)*IF(Upgrades!$T$12="Stellar Coupling",POWER(Upgrades!$U$12,K339),1))+(IF(H339=0,0,(Upgrades!$M$9+H339*Upgrades!$N$9)*POWER(Upgrades!$O$9,H339)))*(IF(Upgrades!$T$6="Magnetosphere",POWER(Upgrades!$U$6,E339),1)*IF(Upgrades!$T$7="Magnetosphere",POWER(Upgrades!$U$7,F339),1)*IF(Upgrades!$T$8="Magnetosphere",POWER(Upgrades!$U$8,G339),1)*IF(Upgrades!$T$10="Magnetosphere",POWER(Upgrades!$U$10,I339),1)*IF(Upgrades!$T$11="Magnetosphere",POWER(Upgrades!$U$11,J339),1)*IF(Upgrades!$T$12="Magnetosphere",POWER(Upgrades!$U$12,K339),1))+(IF(I339=0,0,(Upgrades!$M$10+I339*Upgrades!$N$10)*POWER(Upgrades!$O$10,I339)))*(IF(Upgrades!$T$6="Orbital Resonance",POWER(Upgrades!$U$6,E339),1)*IF(Upgrades!$T$7="Orbital Resonance",POWER(Upgrades!$U$7,F339),1)*IF(Upgrades!$T$8="Orbital Resonance",POWER(Upgrades!$U$8,G339),1)*IF(Upgrades!$T$9="Orbital Resonance",POWER(Upgrades!$U$9,H339),1)*IF(Upgrades!$T$11="Orbital Resonance",POWER(Upgrades!$U$11,J339),1)*IF(Upgrades!$T$12="Orbital Resonance",POWER(Upgrades!$U$12,K339),1))+(IF(J339=0,0,(Upgrades!$M$11+J339*Upgrades!$N$11)*POWER(Upgrades!$O$11,J339)))*(IF(Upgrades!$T$6="Heliopause",POWER(Upgrades!$U$6,E339),1)*IF(Upgrades!$T$7="Heliopause",POWER(Upgrades!$U$7,F339),1)*IF(Upgrades!$T$8="Heliopause",POWER(Upgrades!$U$8,G339),1)*IF(Upgrades!$T$9="Heliopause",POWER(Upgrades!$U$9,H339),1)*IF(Upgrades!$T$10="Heliopause",POWER(Upgrades!$U$10,I339),1)*IF(Upgrades!$T$12="Heliopause",POWER(Upgrades!$U$12,K339),1))+(IF(K339=0,0,(Upgrades!$M$12+K339*Upgrades!$N$12)*POWER(Upgrades!$O$12,K339)))*(IF(Upgrades!$T$6="First Photons",POWER(Upgrades!$U$6,E339),1)*IF(Upgrades!$T$7="First Photons",POWER(Upgrades!$U$7,F339),1)*IF(Upgrades!$T$8="First Photons",POWER(Upgrades!$U$8,G339),1)*IF(Upgrades!$T$9="First Photons",POWER(Upgrades!$U$9,H339),1)*IF(Upgrades!$T$10="First Photons",POWER(Upgrades!$U$10,I339),1)*IF(Upgrades!$T$11="First Photons",POWER(Upgrades!$U$11,J339),1)))*POWER(Upgrades!$R$6,E339)*POWER(Upgrades!$R$7,F339)*POWER(Upgrades!$R$8,G339)*POWER(Upgrades!$R$9,H339)*POWER(Upgrades!$R$10,I339)*POWER(Upgrades!$R$11,J339)*POWER(Upgrades!$R$12,K339)</f>
        <v>0</v>
      </c>
      <c r="P339" s="27" t="n">
        <f aca="false">IF(L339=1,0,M339*Parameters!$B$10/60*Parameters!$B$11*10)</f>
        <v>0</v>
      </c>
      <c r="Q339" s="27" t="n">
        <f aca="false">IF(L339=1,0,O339*M339*10)</f>
        <v>0</v>
      </c>
      <c r="R339" s="27" t="n">
        <f aca="false">IF(L339=1,0,N339*10)</f>
        <v>0</v>
      </c>
      <c r="S339" s="27" t="n">
        <f aca="false">P339+Q339+R339</f>
        <v>0</v>
      </c>
      <c r="T339" s="21" t="n">
        <f aca="false">C339+S339</f>
        <v>18.6730249835055</v>
      </c>
      <c r="U339" s="34" t="str">
        <f aca="false">AX339</f>
        <v/>
      </c>
      <c r="V339" s="21" t="n">
        <f aca="false">IF(U339="",0,IF(U339="transition",0,IF(U339="SW",AG339,IF(U339="AB",AH339,IF(U339="SC",AI339,IF(U339="Mag",AJ339,IF(U339="OR",AK339,IF(U339="HP",AL339,IF(U339="FP",AM339,0)))))))))</f>
        <v>0</v>
      </c>
      <c r="W339" s="27" t="n">
        <f aca="false">IF(U339="OR",Upgrades!$F$10,IF(U339="HP",Upgrades!$F$11,IF(U339="transition",-Parameters!$B$18,0)))</f>
        <v>0</v>
      </c>
      <c r="X339" s="21" t="n">
        <f aca="false">T339-V339</f>
        <v>18.6730249835055</v>
      </c>
      <c r="Y339" s="30" t="n">
        <f aca="false">M339*Parameters!$B$10/60*Parameters!$B$11+O339*M339+N339</f>
        <v>20.55</v>
      </c>
      <c r="Z339" s="35" t="str">
        <f aca="false">IF(U339="transition","→ Tier 2 (Stellar Neighborhood)",IF(U339="FP","First Photons — light begins, system quickens",IF(U339="HP","Heliopause acquired",IF(U339="OR","Orbital Resonance — passive multiplier active",IF(AND(AO339=1,L339=0,AN339&lt;&gt;1),"Cohesion ready (waiting on completionist upgrades)","")))))</f>
        <v/>
      </c>
      <c r="AA339" s="27" t="n">
        <f aca="false">(IF(E339=0,0,(Upgrades!$G$6+E339*Upgrades!$H$6)*POWER(Upgrades!$I$6,E339)))*(IF(Upgrades!$T$7="Solar Wind",POWER(Upgrades!$U$7,F339),1)*IF(Upgrades!$T$8="Solar Wind",POWER(Upgrades!$U$8,G339),1)*IF(Upgrades!$T$9="Solar Wind",POWER(Upgrades!$U$9,H339),1)*IF(Upgrades!$T$10="Solar Wind",POWER(Upgrades!$U$10,I339),1)*IF(Upgrades!$T$11="Solar Wind",POWER(Upgrades!$U$11,J339),1)*IF(Upgrades!$T$12="Solar Wind",POWER(Upgrades!$U$12,K339),1))*POWER(Upgrades!$P$6,E339)*POWER(Upgrades!$P$7,F339)*POWER(Upgrades!$P$8,G339)*POWER(Upgrades!$P$9,H339)*POWER(Upgrades!$P$10,I339)*POWER(Upgrades!$P$11,J339)*POWER(Upgrades!$P$12,K339)*60</f>
        <v>72</v>
      </c>
      <c r="AB339" s="27" t="n">
        <f aca="false">(IF(F339=0,0,(Upgrades!$G$7+F339*Upgrades!$H$7)*POWER(Upgrades!$I$7,F339)))*(IF(Upgrades!$T$6="Asteroid Belt",POWER(Upgrades!$U$6,E339),1)*IF(Upgrades!$T$8="Asteroid Belt",POWER(Upgrades!$U$8,G339),1)*IF(Upgrades!$T$9="Asteroid Belt",POWER(Upgrades!$U$9,H339),1)*IF(Upgrades!$T$10="Asteroid Belt",POWER(Upgrades!$U$10,I339),1)*IF(Upgrades!$T$11="Asteroid Belt",POWER(Upgrades!$U$11,J339),1)*IF(Upgrades!$T$12="Asteroid Belt",POWER(Upgrades!$U$12,K339),1))*POWER(Upgrades!$P$6,E339)*POWER(Upgrades!$P$7,F339)*POWER(Upgrades!$P$8,G339)*POWER(Upgrades!$P$9,H339)*POWER(Upgrades!$P$10,I339)*POWER(Upgrades!$P$11,J339)*POWER(Upgrades!$P$12,K339)*60</f>
        <v>150</v>
      </c>
      <c r="AC339" s="27" t="n">
        <f aca="false">(IF(G339=0,0,(Upgrades!$J$8+G339*Upgrades!$K$8)*POWER(Upgrades!$L$8,G339)))*(IF(Upgrades!$T$6="Stellar Coupling",POWER(Upgrades!$U$6,E339),1)*IF(Upgrades!$T$7="Stellar Coupling",POWER(Upgrades!$U$7,F339),1)*IF(Upgrades!$T$9="Stellar Coupling",POWER(Upgrades!$U$9,H339),1)*IF(Upgrades!$T$10="Stellar Coupling",POWER(Upgrades!$U$10,I339),1)*IF(Upgrades!$T$11="Stellar Coupling",POWER(Upgrades!$U$11,J339),1)*IF(Upgrades!$T$12="Stellar Coupling",POWER(Upgrades!$U$12,K339),1))*POWER(Upgrades!$Q$6,E339)*POWER(Upgrades!$Q$7,F339)*POWER(Upgrades!$Q$8,G339)*POWER(Upgrades!$Q$9,H339)*POWER(Upgrades!$Q$10,I339)*POWER(Upgrades!$Q$11,J339)*POWER(Upgrades!$Q$12,K339)*Parameters!$B$10*Parameters!$B$11</f>
        <v>441</v>
      </c>
      <c r="AD339" s="27" t="n">
        <f aca="false">(IF(H339=0,0,(Upgrades!$G$9+H339*Upgrades!$H$9)*POWER(Upgrades!$I$9,H339)))*(IF(Upgrades!$T$6="Magnetosphere",POWER(Upgrades!$U$6,E339),1)*IF(Upgrades!$T$7="Magnetosphere",POWER(Upgrades!$U$7,F339),1)*IF(Upgrades!$T$8="Magnetosphere",POWER(Upgrades!$U$8,G339),1)*IF(Upgrades!$T$10="Magnetosphere",POWER(Upgrades!$U$10,I339),1)*IF(Upgrades!$T$11="Magnetosphere",POWER(Upgrades!$U$11,J339),1)*IF(Upgrades!$T$12="Magnetosphere",POWER(Upgrades!$U$12,K339),1))*POWER(Upgrades!$P$6,E339)*POWER(Upgrades!$P$7,F339)*POWER(Upgrades!$P$8,G339)*POWER(Upgrades!$P$9,H339)*POWER(Upgrades!$P$10,I339)*POWER(Upgrades!$P$11,J339)*POWER(Upgrades!$P$12,K339)*60</f>
        <v>375</v>
      </c>
      <c r="AE339" s="27" t="n">
        <f aca="false">(IF(K339=0,0,(Upgrades!$G$12+K339*Upgrades!$H$12)*POWER(Upgrades!$I$12,K339)))*(IF(Upgrades!$T$6="First Photons",POWER(Upgrades!$U$6,E339),1)*IF(Upgrades!$T$7="First Photons",POWER(Upgrades!$U$7,F339),1)*IF(Upgrades!$T$8="First Photons",POWER(Upgrades!$U$8,G339),1)*IF(Upgrades!$T$9="First Photons",POWER(Upgrades!$U$9,H339),1)*IF(Upgrades!$T$10="First Photons",POWER(Upgrades!$U$10,I339),1)*IF(Upgrades!$T$11="First Photons",POWER(Upgrades!$U$11,J339),1))*POWER(Upgrades!$P$6,E339)*POWER(Upgrades!$P$7,F339)*POWER(Upgrades!$P$8,G339)*POWER(Upgrades!$P$9,H339)*POWER(Upgrades!$P$10,I339)*POWER(Upgrades!$P$11,J339)*POWER(Upgrades!$P$12,K339)*60</f>
        <v>75</v>
      </c>
      <c r="AF339" s="27" t="n">
        <f aca="false">Parameters!$B$9*POWER(Upgrades!$Q$6,E339)*POWER(Upgrades!$Q$7,F339)*POWER(Upgrades!$Q$8,G339)*POWER(Upgrades!$Q$9,H339)*POWER(Upgrades!$Q$10,I339)*POWER(Upgrades!$Q$11,J339)*POWER(Upgrades!$Q$12,K339)*(Parameters!$B$10*Parameters!$B$11+O339*60)</f>
        <v>120</v>
      </c>
      <c r="AG339" s="21" t="n">
        <f aca="false">IF(E339&gt;=Upgrades!$E$6,"",Upgrades!$C$6*POWER(Upgrades!$D$6,E339))</f>
        <v>37.4517507383159</v>
      </c>
      <c r="AH339" s="21" t="n">
        <f aca="false">IF(F339&gt;=Upgrades!$E$7,"",Upgrades!$C$7*POWER(Upgrades!$D$7,F339))</f>
        <v>80.9111547141581</v>
      </c>
      <c r="AI339" s="21" t="n">
        <f aca="false">IF(G339&gt;=Upgrades!$E$8,"",Upgrades!$C$8*POWER(Upgrades!$D$8,G339))</f>
        <v>231.9097088</v>
      </c>
      <c r="AJ339" s="21" t="str">
        <f aca="false">IF(H339&gt;=Upgrades!$E$9,"",Upgrades!$C$9*POWER(Upgrades!$D$9,H339))</f>
        <v/>
      </c>
      <c r="AK339" s="21" t="str">
        <f aca="false">IF(I339&gt;=Upgrades!$E$10,"",Upgrades!$C$10*POWER(Upgrades!$D$10,I339))</f>
        <v/>
      </c>
      <c r="AL339" s="21" t="str">
        <f aca="false">IF(J339&gt;=Upgrades!$E$11,"",Upgrades!$C$11*POWER(Upgrades!$D$11,J339))</f>
        <v/>
      </c>
      <c r="AM339" s="21" t="str">
        <f aca="false">IF(K339&gt;=Upgrades!$E$12,"",Upgrades!$C$12*POWER(Upgrades!$D$12,K339))</f>
        <v/>
      </c>
      <c r="AN339" s="26" t="str">
        <f aca="false">IF(AND(D339&gt;=Parameters!$B$18,(H339&gt;=Upgrades!$E$9)*(K339&gt;=Upgrades!$E$12)=1,L339=0),1,"")</f>
        <v/>
      </c>
      <c r="AO339" s="26" t="str">
        <f aca="false">IF(AND(D339&gt;=Parameters!$B$18,L339=0),1,"")</f>
        <v/>
      </c>
      <c r="AP339" s="21" t="n">
        <f aca="false">MIN(IF(ISNUMBER(AK339),AK339,9000000000000000),IF(ISNUMBER(AL339),AL339,9000000000000000),IF(ISNUMBER(AM339),AM339,9000000000000000))</f>
        <v>9000000000000000</v>
      </c>
      <c r="AQ339" s="21" t="n">
        <f aca="false">MIN(IF(ISNUMBER(AG339),AG339,9000000000000000),IF(ISNUMBER(AH339),AH339,9000000000000000),IF(ISNUMBER(AI339),AI339,9000000000000000),IF(ISNUMBER(AJ339),AJ339,9000000000000000))</f>
        <v>37.4517507383159</v>
      </c>
      <c r="AR339" s="32" t="b">
        <f aca="false">IF(AW339&gt;Parameters!$B$21*(MAX(IF(AND(NOT(AND(AO339=1,AN339&lt;&gt;1)),ISNUMBER(AG339),AG339&lt;=T339),AS339,0),IF(AND(NOT(AND(AO339=1,AN339&lt;&gt;1)),ISNUMBER(AH339),AH339&lt;=T339),AT339,0),IF(AND(NOT(AND(AO339=1,AN339&lt;&gt;1)),ISNUMBER(AI339),AI339&lt;=T339),AU339,0),IF(AND(ISNUMBER(AJ339),AJ339&lt;=T339),AV339,0))),TRUE(),FALSE())</f>
        <v>1</v>
      </c>
      <c r="AS339" s="33" t="n">
        <f aca="false">IFERROR(Upgrades!$H$6*(POWER(Upgrades!$P$6,E339)*POWER(Upgrades!$P$7,F339)*POWER(Upgrades!$P$8,G339)*POWER(Upgrades!$P$9,H339)*POWER(Upgrades!$P$10,I339)*POWER(Upgrades!$P$11,J339)*POWER(Upgrades!$P$12,K339))*(IF(Upgrades!$T$7="Solar Wind",POWER(Upgrades!$U$7,F339),1)*IF(Upgrades!$T$8="Solar Wind",POWER(Upgrades!$U$8,G339),1)*IF(Upgrades!$T$9="Solar Wind",POWER(Upgrades!$U$9,H339),1)*IF(Upgrades!$T$10="Solar Wind",POWER(Upgrades!$U$10,I339),1)*IF(Upgrades!$T$11="Solar Wind",POWER(Upgrades!$U$11,J339),1)*IF(Upgrades!$T$12="Solar Wind",POWER(Upgrades!$U$12,K339),1))/AG339,0)</f>
        <v>0.0026701021455238</v>
      </c>
      <c r="AT339" s="33" t="n">
        <f aca="false">IFERROR(Upgrades!$H$7*(POWER(Upgrades!$P$6,E339)*POWER(Upgrades!$P$7,F339)*POWER(Upgrades!$P$8,G339)*POWER(Upgrades!$P$9,H339)*POWER(Upgrades!$P$10,I339)*POWER(Upgrades!$P$11,J339)*POWER(Upgrades!$P$12,K339))*(IF(Upgrades!$T$6="Asteroid Belt",POWER(Upgrades!$U$6,E339),1)*IF(Upgrades!$T$8="Asteroid Belt",POWER(Upgrades!$U$8,G339),1)*IF(Upgrades!$T$9="Asteroid Belt",POWER(Upgrades!$U$9,H339),1)*IF(Upgrades!$T$10="Asteroid Belt",POWER(Upgrades!$U$10,I339),1)*IF(Upgrades!$T$11="Asteroid Belt",POWER(Upgrades!$U$11,J339),1)*IF(Upgrades!$T$12="Asteroid Belt",POWER(Upgrades!$U$12,K339),1))/AH339,0)</f>
        <v>0.00308980882652332</v>
      </c>
      <c r="AU339" s="33" t="n">
        <f aca="false">IFERROR(Upgrades!$K$8*(POWER(Upgrades!$Q$6,E339)*POWER(Upgrades!$Q$7,F339)*POWER(Upgrades!$Q$8,G339)*POWER(Upgrades!$Q$9,H339)*POWER(Upgrades!$Q$10,I339)*POWER(Upgrades!$Q$11,J339)*POWER(Upgrades!$Q$12,K339))*(IF(Upgrades!$T$6="Stellar Coupling",POWER(Upgrades!$U$6,E339),1)*IF(Upgrades!$T$7="Stellar Coupling",POWER(Upgrades!$U$7,F339),1)*IF(Upgrades!$T$9="Stellar Coupling",POWER(Upgrades!$U$9,H339),1)*IF(Upgrades!$T$10="Stellar Coupling",POWER(Upgrades!$U$10,I339),1)*IF(Upgrades!$T$11="Stellar Coupling",POWER(Upgrades!$U$11,J339),1)*IF(Upgrades!$T$12="Stellar Coupling",POWER(Upgrades!$U$12,K339),1))*Parameters!$B$10*Parameters!$B$11/60/AI339,0)</f>
        <v>0.00452762415783776</v>
      </c>
      <c r="AV339" s="33" t="n">
        <f aca="false">IFERROR(Upgrades!$H$9*(POWER(Upgrades!$P$6,E339)*POWER(Upgrades!$P$7,F339)*POWER(Upgrades!$P$8,G339)*POWER(Upgrades!$P$9,H339)*POWER(Upgrades!$P$10,I339)*POWER(Upgrades!$P$11,J339)*POWER(Upgrades!$P$12,K339))*(IF(Upgrades!$T$6="Magnetosphere",POWER(Upgrades!$U$6,E339),1)*IF(Upgrades!$T$7="Magnetosphere",POWER(Upgrades!$U$7,F339),1)*IF(Upgrades!$T$8="Magnetosphere",POWER(Upgrades!$U$8,G339),1)*IF(Upgrades!$T$10="Magnetosphere",POWER(Upgrades!$U$10,I339),1)*IF(Upgrades!$T$11="Magnetosphere",POWER(Upgrades!$U$11,J339),1)*IF(Upgrades!$T$12="Magnetosphere",POWER(Upgrades!$U$12,K339),1))/AJ339,0)</f>
        <v>0</v>
      </c>
      <c r="AW339" s="33" t="n">
        <f aca="false">MAX(IF(I339&gt;0,0,IFERROR(0.25*N339/Upgrades!$C$10,0)),IF(J339&gt;0,0,IFERROR(0.5*((IF(G339=0,0,(Upgrades!$J$8+G339*Upgrades!$K$8)*POWER(Upgrades!$L$8,G339)))*(IF(Upgrades!$T$6="Stellar Coupling",POWER(Upgrades!$U$6,E339),1)*IF(Upgrades!$T$7="Stellar Coupling",POWER(Upgrades!$U$7,F339),1)*IF(Upgrades!$T$9="Stellar Coupling",POWER(Upgrades!$U$9,H339),1)*IF(Upgrades!$T$10="Stellar Coupling",POWER(Upgrades!$U$10,I339),1)*IF(Upgrades!$T$11="Stellar Coupling",POWER(Upgrades!$U$11,J339),1)*IF(Upgrades!$T$12="Stellar Coupling",POWER(Upgrades!$U$12,K339),1))*(POWER(Upgrades!$Q$6,E339)*POWER(Upgrades!$Q$7,F339)*POWER(Upgrades!$Q$8,G339)*POWER(Upgrades!$Q$9,H339)*POWER(Upgrades!$Q$10,I339)*POWER(Upgrades!$Q$11,J339)*POWER(Upgrades!$Q$12,K339))*Parameters!$B$10*Parameters!$B$11/60)/Upgrades!$C$11,0)),IF(K339&gt;0,0,IFERROR((1*(POWER(Upgrades!$P$6,E339)*POWER(Upgrades!$P$7,F339)*POWER(Upgrades!$P$8,G339)*POWER(Upgrades!$P$9,H339)*POWER(Upgrades!$P$10,I339)*POWER(Upgrades!$P$11,J339)*POWER(Upgrades!$P$12,K339))+0.2*M339*Parameters!$B$10*Parameters!$B$11/60)/Upgrades!$C$12,0)),IF(AND(ISNUMBER(AG339),AG339&gt;T339),AS339,0),IF(AND(ISNUMBER(AH339),AH339&gt;T339),AT339,0),IF(AND(ISNUMBER(AI339),AI339&gt;T339),AU339,0),IF(AND(ISNUMBER(AJ339),AJ339&gt;T339),AV339,0))</f>
        <v>0.00452762415783776</v>
      </c>
      <c r="AX339" s="29" t="str">
        <f aca="false">IF(AN339=1,"transition",IF(MIN(IF(AND(I339=0,ISNUMBER(AK339),AK339&lt;=T339),AK339,9000000000000000),IF(AND(J339=0,ISNUMBER(AL339),AL339&lt;=T339),AL339,9000000000000000),IF(AND(K339=0,ISNUMBER(AM339),AM339&lt;=T339),AM339,9000000000000000))&lt;9000000000000000,IF(AND(AND(I339=0,ISNUMBER(AK339),AK339&lt;=T339),AK339=MIN(IF(AND(I339=0,ISNUMBER(AK339),AK339&lt;=T339),AK339,9000000000000000),IF(AND(J339=0,ISNUMBER(AL339),AL339&lt;=T339),AL339,9000000000000000),IF(AND(K339=0,ISNUMBER(AM339),AM339&lt;=T339),AM339,9000000000000000))),"OR",IF(AND(AND(J339=0,ISNUMBER(AL339),AL339&lt;=T339),AL339=MIN(IF(AND(I339=0,ISNUMBER(AK339),AK339&lt;=T339),AK339,9000000000000000),IF(AND(J339=0,ISNUMBER(AL339),AL339&lt;=T339),AL339,9000000000000000),IF(AND(K339=0,ISNUMBER(AM339),AM339&lt;=T339),AM339,9000000000000000))),"HP","FP")),IF(AR339=TRUE(),"",IF(MAX(IF(AND(NOT(AND(AO339=1,AN339&lt;&gt;1)),ISNUMBER(AG339),AG339&lt;=T339),AS339,0),IF(AND(NOT(AND(AO339=1,AN339&lt;&gt;1)),ISNUMBER(AH339),AH339&lt;=T339),AT339,0),IF(AND(NOT(AND(AO339=1,AN339&lt;&gt;1)),ISNUMBER(AI339),AI339&lt;=T339),AU339,0),IF(AND(ISNUMBER(AJ339),AJ339&lt;=T339),AV339,0))&lt;=0,"",IF(AND(IF(AND(NOT(AND(AO339=1,AN339&lt;&gt;1)),ISNUMBER(AG339),AG339&lt;=T339),AS339,0)&gt;0,IF(AND(NOT(AND(AO339=1,AN339&lt;&gt;1)),ISNUMBER(AG339),AG339&lt;=T339),AS339,0)=MAX(IF(AND(NOT(AND(AO339=1,AN339&lt;&gt;1)),ISNUMBER(AG339),AG339&lt;=T339),AS339,0),IF(AND(NOT(AND(AO339=1,AN339&lt;&gt;1)),ISNUMBER(AH339),AH339&lt;=T339),AT339,0),IF(AND(NOT(AND(AO339=1,AN339&lt;&gt;1)),ISNUMBER(AI339),AI339&lt;=T339),AU339,0),IF(AND(ISNUMBER(AJ339),AJ339&lt;=T339),AV339,0))),"SW",IF(AND(IF(AND(NOT(AND(AO339=1,AN339&lt;&gt;1)),ISNUMBER(AH339),AH339&lt;=T339),AT339,0)&gt;0,IF(AND(NOT(AND(AO339=1,AN339&lt;&gt;1)),ISNUMBER(AH339),AH339&lt;=T339),AT339,0)=MAX(IF(AND(NOT(AND(AO339=1,AN339&lt;&gt;1)),ISNUMBER(AG339),AG339&lt;=T339),AS339,0),IF(AND(NOT(AND(AO339=1,AN339&lt;&gt;1)),ISNUMBER(AH339),AH339&lt;=T339),AT339,0),IF(AND(NOT(AND(AO339=1,AN339&lt;&gt;1)),ISNUMBER(AI339),AI339&lt;=T339),AU339,0),IF(AND(ISNUMBER(AJ339),AJ339&lt;=T339),AV339,0))),"AB",IF(AND(IF(AND(NOT(AND(AO339=1,AN339&lt;&gt;1)),ISNUMBER(AI339),AI339&lt;=T339),AU339,0)&gt;0,IF(AND(NOT(AND(AO339=1,AN339&lt;&gt;1)),ISNUMBER(AI339),AI339&lt;=T339),AU339,0)=MAX(IF(AND(NOT(AND(AO339=1,AN339&lt;&gt;1)),ISNUMBER(AG339),AG339&lt;=T339),AS339,0),IF(AND(NOT(AND(AO339=1,AN339&lt;&gt;1)),ISNUMBER(AH339),AH339&lt;=T339),AT339,0),IF(AND(NOT(AND(AO339=1,AN339&lt;&gt;1)),ISNUMBER(AI339),AI339&lt;=T339),AU339,0),IF(AND(ISNUMBER(AJ339),AJ339&lt;=T339),AV339,0))),"SC","Mag")))))))</f>
        <v/>
      </c>
    </row>
    <row r="340" customFormat="false" ht="15" hidden="false" customHeight="false" outlineLevel="0" collapsed="false">
      <c r="A340" s="26" t="n">
        <v>335</v>
      </c>
      <c r="B340" s="27" t="n">
        <f aca="false">A340*10/60</f>
        <v>55.8333333333333</v>
      </c>
      <c r="C340" s="21" t="n">
        <f aca="false">X339</f>
        <v>18.6730249835055</v>
      </c>
      <c r="D340" s="27" t="n">
        <f aca="false">D339+W339</f>
        <v>0</v>
      </c>
      <c r="E340" s="26" t="n">
        <f aca="false">E339+IF(U339="SW",1,0)</f>
        <v>12</v>
      </c>
      <c r="F340" s="26" t="n">
        <f aca="false">F339+IF(U339="AB",1,0)</f>
        <v>10</v>
      </c>
      <c r="G340" s="26" t="n">
        <f aca="false">G339+IF(U339="SC",1,0)</f>
        <v>7</v>
      </c>
      <c r="H340" s="26" t="n">
        <f aca="false">H339+IF(U339="Mag",1,0)</f>
        <v>5</v>
      </c>
      <c r="I340" s="26" t="n">
        <f aca="false">MAX(I339,IF(U339="OR",1,0))</f>
        <v>1</v>
      </c>
      <c r="J340" s="26" t="n">
        <f aca="false">MAX(J339,IF(U339="HP",1,0))</f>
        <v>1</v>
      </c>
      <c r="K340" s="26" t="n">
        <f aca="false">MAX(K339,IF(U339="FP",1,0))</f>
        <v>1</v>
      </c>
      <c r="L340" s="26" t="n">
        <f aca="false">MAX(L339,IF(U339="transition",1,0))</f>
        <v>1</v>
      </c>
      <c r="M340" s="28" t="n">
        <f aca="false">(Parameters!$B$9+(IF(E340=0,0,(Upgrades!$J$6+E340*Upgrades!$K$6)*POWER(Upgrades!$L$6,E340)))*(IF(Upgrades!$T$7="Solar Wind",POWER(Upgrades!$U$7,F340),1)*IF(Upgrades!$T$8="Solar Wind",POWER(Upgrades!$U$8,G340),1)*IF(Upgrades!$T$9="Solar Wind",POWER(Upgrades!$U$9,H340),1)*IF(Upgrades!$T$10="Solar Wind",POWER(Upgrades!$U$10,I340),1)*IF(Upgrades!$T$11="Solar Wind",POWER(Upgrades!$U$11,J340),1)*IF(Upgrades!$T$12="Solar Wind",POWER(Upgrades!$U$12,K340),1))+(IF(F340=0,0,(Upgrades!$J$7+F340*Upgrades!$K$7)*POWER(Upgrades!$L$7,F340)))*(IF(Upgrades!$T$6="Asteroid Belt",POWER(Upgrades!$U$6,E340),1)*IF(Upgrades!$T$8="Asteroid Belt",POWER(Upgrades!$U$8,G340),1)*IF(Upgrades!$T$9="Asteroid Belt",POWER(Upgrades!$U$9,H340),1)*IF(Upgrades!$T$10="Asteroid Belt",POWER(Upgrades!$U$10,I340),1)*IF(Upgrades!$T$11="Asteroid Belt",POWER(Upgrades!$U$11,J340),1)*IF(Upgrades!$T$12="Asteroid Belt",POWER(Upgrades!$U$12,K340),1))+(IF(G340=0,0,(Upgrades!$J$8+G340*Upgrades!$K$8)*POWER(Upgrades!$L$8,G340)))*(IF(Upgrades!$T$6="Stellar Coupling",POWER(Upgrades!$U$6,E340),1)*IF(Upgrades!$T$7="Stellar Coupling",POWER(Upgrades!$U$7,F340),1)*IF(Upgrades!$T$9="Stellar Coupling",POWER(Upgrades!$U$9,H340),1)*IF(Upgrades!$T$10="Stellar Coupling",POWER(Upgrades!$U$10,I340),1)*IF(Upgrades!$T$11="Stellar Coupling",POWER(Upgrades!$U$11,J340),1)*IF(Upgrades!$T$12="Stellar Coupling",POWER(Upgrades!$U$12,K340),1))+(IF(H340=0,0,(Upgrades!$J$9+H340*Upgrades!$K$9)*POWER(Upgrades!$L$9,H340)))*(IF(Upgrades!$T$6="Magnetosphere",POWER(Upgrades!$U$6,E340),1)*IF(Upgrades!$T$7="Magnetosphere",POWER(Upgrades!$U$7,F340),1)*IF(Upgrades!$T$8="Magnetosphere",POWER(Upgrades!$U$8,G340),1)*IF(Upgrades!$T$10="Magnetosphere",POWER(Upgrades!$U$10,I340),1)*IF(Upgrades!$T$11="Magnetosphere",POWER(Upgrades!$U$11,J340),1)*IF(Upgrades!$T$12="Magnetosphere",POWER(Upgrades!$U$12,K340),1))+(IF(I340=0,0,(Upgrades!$J$10+I340*Upgrades!$K$10)*POWER(Upgrades!$L$10,I340)))*(IF(Upgrades!$T$6="Orbital Resonance",POWER(Upgrades!$U$6,E340),1)*IF(Upgrades!$T$7="Orbital Resonance",POWER(Upgrades!$U$7,F340),1)*IF(Upgrades!$T$8="Orbital Resonance",POWER(Upgrades!$U$8,G340),1)*IF(Upgrades!$T$9="Orbital Resonance",POWER(Upgrades!$U$9,H340),1)*IF(Upgrades!$T$11="Orbital Resonance",POWER(Upgrades!$U$11,J340),1)*IF(Upgrades!$T$12="Orbital Resonance",POWER(Upgrades!$U$12,K340),1))+(IF(J340=0,0,(Upgrades!$J$11+J340*Upgrades!$K$11)*POWER(Upgrades!$L$11,J340)))*(IF(Upgrades!$T$6="Heliopause",POWER(Upgrades!$U$6,E340),1)*IF(Upgrades!$T$7="Heliopause",POWER(Upgrades!$U$7,F340),1)*IF(Upgrades!$T$8="Heliopause",POWER(Upgrades!$U$8,G340),1)*IF(Upgrades!$T$9="Heliopause",POWER(Upgrades!$U$9,H340),1)*IF(Upgrades!$T$10="Heliopause",POWER(Upgrades!$U$10,I340),1)*IF(Upgrades!$T$12="Heliopause",POWER(Upgrades!$U$12,K340),1))+(IF(K340=0,0,(Upgrades!$J$12+K340*Upgrades!$K$12)*POWER(Upgrades!$L$12,K340)))*(IF(Upgrades!$T$6="First Photons",POWER(Upgrades!$U$6,E340),1)*IF(Upgrades!$T$7="First Photons",POWER(Upgrades!$U$7,F340),1)*IF(Upgrades!$T$8="First Photons",POWER(Upgrades!$U$8,G340),1)*IF(Upgrades!$T$9="First Photons",POWER(Upgrades!$U$9,H340),1)*IF(Upgrades!$T$10="First Photons",POWER(Upgrades!$U$10,I340),1)*IF(Upgrades!$T$11="First Photons",POWER(Upgrades!$U$11,J340),1)))*POWER(Upgrades!$Q$6,E340)*POWER(Upgrades!$Q$7,F340)*POWER(Upgrades!$Q$8,G340)*POWER(Upgrades!$Q$9,H340)*POWER(Upgrades!$Q$10,I340)*POWER(Upgrades!$Q$11,J340)*POWER(Upgrades!$Q$12,K340)</f>
        <v>5.61</v>
      </c>
      <c r="N340" s="28" t="n">
        <f aca="false">((IF(E340=0,0,(Upgrades!$G$6+E340*Upgrades!$H$6)*POWER(Upgrades!$I$6,E340)))*(IF(Upgrades!$T$7="Solar Wind",POWER(Upgrades!$U$7,F340),1)*IF(Upgrades!$T$8="Solar Wind",POWER(Upgrades!$U$8,G340),1)*IF(Upgrades!$T$9="Solar Wind",POWER(Upgrades!$U$9,H340),1)*IF(Upgrades!$T$10="Solar Wind",POWER(Upgrades!$U$10,I340),1)*IF(Upgrades!$T$11="Solar Wind",POWER(Upgrades!$U$11,J340),1)*IF(Upgrades!$T$12="Solar Wind",POWER(Upgrades!$U$12,K340),1))+(IF(F340=0,0,(Upgrades!$G$7+F340*Upgrades!$H$7)*POWER(Upgrades!$I$7,F340)))*(IF(Upgrades!$T$6="Asteroid Belt",POWER(Upgrades!$U$6,E340),1)*IF(Upgrades!$T$8="Asteroid Belt",POWER(Upgrades!$U$8,G340),1)*IF(Upgrades!$T$9="Asteroid Belt",POWER(Upgrades!$U$9,H340),1)*IF(Upgrades!$T$10="Asteroid Belt",POWER(Upgrades!$U$10,I340),1)*IF(Upgrades!$T$11="Asteroid Belt",POWER(Upgrades!$U$11,J340),1)*IF(Upgrades!$T$12="Asteroid Belt",POWER(Upgrades!$U$12,K340),1))+(IF(G340=0,0,(Upgrades!$G$8+G340*Upgrades!$H$8)*POWER(Upgrades!$I$8,G340)))*(IF(Upgrades!$T$6="Stellar Coupling",POWER(Upgrades!$U$6,E340),1)*IF(Upgrades!$T$7="Stellar Coupling",POWER(Upgrades!$U$7,F340),1)*IF(Upgrades!$T$9="Stellar Coupling",POWER(Upgrades!$U$9,H340),1)*IF(Upgrades!$T$10="Stellar Coupling",POWER(Upgrades!$U$10,I340),1)*IF(Upgrades!$T$11="Stellar Coupling",POWER(Upgrades!$U$11,J340),1)*IF(Upgrades!$T$12="Stellar Coupling",POWER(Upgrades!$U$12,K340),1))+(IF(H340=0,0,(Upgrades!$G$9+H340*Upgrades!$H$9)*POWER(Upgrades!$I$9,H340)))*(IF(Upgrades!$T$6="Magnetosphere",POWER(Upgrades!$U$6,E340),1)*IF(Upgrades!$T$7="Magnetosphere",POWER(Upgrades!$U$7,F340),1)*IF(Upgrades!$T$8="Magnetosphere",POWER(Upgrades!$U$8,G340),1)*IF(Upgrades!$T$10="Magnetosphere",POWER(Upgrades!$U$10,I340),1)*IF(Upgrades!$T$11="Magnetosphere",POWER(Upgrades!$U$11,J340),1)*IF(Upgrades!$T$12="Magnetosphere",POWER(Upgrades!$U$12,K340),1))+(IF(I340=0,0,(Upgrades!$G$10+I340*Upgrades!$H$10)*POWER(Upgrades!$I$10,I340)))*(IF(Upgrades!$T$6="Orbital Resonance",POWER(Upgrades!$U$6,E340),1)*IF(Upgrades!$T$7="Orbital Resonance",POWER(Upgrades!$U$7,F340),1)*IF(Upgrades!$T$8="Orbital Resonance",POWER(Upgrades!$U$8,G340),1)*IF(Upgrades!$T$9="Orbital Resonance",POWER(Upgrades!$U$9,H340),1)*IF(Upgrades!$T$11="Orbital Resonance",POWER(Upgrades!$U$11,J340),1)*IF(Upgrades!$T$12="Orbital Resonance",POWER(Upgrades!$U$12,K340),1))+(IF(J340=0,0,(Upgrades!$G$11+J340*Upgrades!$H$11)*POWER(Upgrades!$I$11,J340)))*(IF(Upgrades!$T$6="Heliopause",POWER(Upgrades!$U$6,E340),1)*IF(Upgrades!$T$7="Heliopause",POWER(Upgrades!$U$7,F340),1)*IF(Upgrades!$T$8="Heliopause",POWER(Upgrades!$U$8,G340),1)*IF(Upgrades!$T$9="Heliopause",POWER(Upgrades!$U$9,H340),1)*IF(Upgrades!$T$10="Heliopause",POWER(Upgrades!$U$10,I340),1)*IF(Upgrades!$T$12="Heliopause",POWER(Upgrades!$U$12,K340),1))+(IF(K340=0,0,(Upgrades!$G$12+K340*Upgrades!$H$12)*POWER(Upgrades!$I$12,K340)))*(IF(Upgrades!$T$6="First Photons",POWER(Upgrades!$U$6,E340),1)*IF(Upgrades!$T$7="First Photons",POWER(Upgrades!$U$7,F340),1)*IF(Upgrades!$T$8="First Photons",POWER(Upgrades!$U$8,G340),1)*IF(Upgrades!$T$9="First Photons",POWER(Upgrades!$U$9,H340),1)*IF(Upgrades!$T$10="First Photons",POWER(Upgrades!$U$10,I340),1)*IF(Upgrades!$T$11="First Photons",POWER(Upgrades!$U$11,J340),1)))*POWER(Upgrades!$P$6,E340)*POWER(Upgrades!$P$7,F340)*POWER(Upgrades!$P$8,G340)*POWER(Upgrades!$P$9,H340)*POWER(Upgrades!$P$10,I340)*POWER(Upgrades!$P$11,J340)*POWER(Upgrades!$P$12,K340)</f>
        <v>11.2</v>
      </c>
      <c r="O340" s="28" t="n">
        <f aca="false">((IF(E340=0,0,(Upgrades!$M$6+E340*Upgrades!$N$6)*POWER(Upgrades!$O$6,E340)))*(IF(Upgrades!$T$7="Solar Wind",POWER(Upgrades!$U$7,F340),1)*IF(Upgrades!$T$8="Solar Wind",POWER(Upgrades!$U$8,G340),1)*IF(Upgrades!$T$9="Solar Wind",POWER(Upgrades!$U$9,H340),1)*IF(Upgrades!$T$10="Solar Wind",POWER(Upgrades!$U$10,I340),1)*IF(Upgrades!$T$11="Solar Wind",POWER(Upgrades!$U$11,J340),1)*IF(Upgrades!$T$12="Solar Wind",POWER(Upgrades!$U$12,K340),1))+(IF(F340=0,0,(Upgrades!$M$7+F340*Upgrades!$N$7)*POWER(Upgrades!$O$7,F340)))*(IF(Upgrades!$T$6="Asteroid Belt",POWER(Upgrades!$U$6,E340),1)*IF(Upgrades!$T$8="Asteroid Belt",POWER(Upgrades!$U$8,G340),1)*IF(Upgrades!$T$9="Asteroid Belt",POWER(Upgrades!$U$9,H340),1)*IF(Upgrades!$T$10="Asteroid Belt",POWER(Upgrades!$U$10,I340),1)*IF(Upgrades!$T$11="Asteroid Belt",POWER(Upgrades!$U$11,J340),1)*IF(Upgrades!$T$12="Asteroid Belt",POWER(Upgrades!$U$12,K340),1))+(IF(G340=0,0,(Upgrades!$M$8+G340*Upgrades!$N$8)*POWER(Upgrades!$O$8,G340)))*(IF(Upgrades!$T$6="Stellar Coupling",POWER(Upgrades!$U$6,E340),1)*IF(Upgrades!$T$7="Stellar Coupling",POWER(Upgrades!$U$7,F340),1)*IF(Upgrades!$T$9="Stellar Coupling",POWER(Upgrades!$U$9,H340),1)*IF(Upgrades!$T$10="Stellar Coupling",POWER(Upgrades!$U$10,I340),1)*IF(Upgrades!$T$11="Stellar Coupling",POWER(Upgrades!$U$11,J340),1)*IF(Upgrades!$T$12="Stellar Coupling",POWER(Upgrades!$U$12,K340),1))+(IF(H340=0,0,(Upgrades!$M$9+H340*Upgrades!$N$9)*POWER(Upgrades!$O$9,H340)))*(IF(Upgrades!$T$6="Magnetosphere",POWER(Upgrades!$U$6,E340),1)*IF(Upgrades!$T$7="Magnetosphere",POWER(Upgrades!$U$7,F340),1)*IF(Upgrades!$T$8="Magnetosphere",POWER(Upgrades!$U$8,G340),1)*IF(Upgrades!$T$10="Magnetosphere",POWER(Upgrades!$U$10,I340),1)*IF(Upgrades!$T$11="Magnetosphere",POWER(Upgrades!$U$11,J340),1)*IF(Upgrades!$T$12="Magnetosphere",POWER(Upgrades!$U$12,K340),1))+(IF(I340=0,0,(Upgrades!$M$10+I340*Upgrades!$N$10)*POWER(Upgrades!$O$10,I340)))*(IF(Upgrades!$T$6="Orbital Resonance",POWER(Upgrades!$U$6,E340),1)*IF(Upgrades!$T$7="Orbital Resonance",POWER(Upgrades!$U$7,F340),1)*IF(Upgrades!$T$8="Orbital Resonance",POWER(Upgrades!$U$8,G340),1)*IF(Upgrades!$T$9="Orbital Resonance",POWER(Upgrades!$U$9,H340),1)*IF(Upgrades!$T$11="Orbital Resonance",POWER(Upgrades!$U$11,J340),1)*IF(Upgrades!$T$12="Orbital Resonance",POWER(Upgrades!$U$12,K340),1))+(IF(J340=0,0,(Upgrades!$M$11+J340*Upgrades!$N$11)*POWER(Upgrades!$O$11,J340)))*(IF(Upgrades!$T$6="Heliopause",POWER(Upgrades!$U$6,E340),1)*IF(Upgrades!$T$7="Heliopause",POWER(Upgrades!$U$7,F340),1)*IF(Upgrades!$T$8="Heliopause",POWER(Upgrades!$U$8,G340),1)*IF(Upgrades!$T$9="Heliopause",POWER(Upgrades!$U$9,H340),1)*IF(Upgrades!$T$10="Heliopause",POWER(Upgrades!$U$10,I340),1)*IF(Upgrades!$T$12="Heliopause",POWER(Upgrades!$U$12,K340),1))+(IF(K340=0,0,(Upgrades!$M$12+K340*Upgrades!$N$12)*POWER(Upgrades!$O$12,K340)))*(IF(Upgrades!$T$6="First Photons",POWER(Upgrades!$U$6,E340),1)*IF(Upgrades!$T$7="First Photons",POWER(Upgrades!$U$7,F340),1)*IF(Upgrades!$T$8="First Photons",POWER(Upgrades!$U$8,G340),1)*IF(Upgrades!$T$9="First Photons",POWER(Upgrades!$U$9,H340),1)*IF(Upgrades!$T$10="First Photons",POWER(Upgrades!$U$10,I340),1)*IF(Upgrades!$T$11="First Photons",POWER(Upgrades!$U$11,J340),1)))*POWER(Upgrades!$R$6,E340)*POWER(Upgrades!$R$7,F340)*POWER(Upgrades!$R$8,G340)*POWER(Upgrades!$R$9,H340)*POWER(Upgrades!$R$10,I340)*POWER(Upgrades!$R$11,J340)*POWER(Upgrades!$R$12,K340)</f>
        <v>0</v>
      </c>
      <c r="P340" s="27" t="n">
        <f aca="false">IF(L340=1,0,M340*Parameters!$B$10/60*Parameters!$B$11*10)</f>
        <v>0</v>
      </c>
      <c r="Q340" s="27" t="n">
        <f aca="false">IF(L340=1,0,O340*M340*10)</f>
        <v>0</v>
      </c>
      <c r="R340" s="27" t="n">
        <f aca="false">IF(L340=1,0,N340*10)</f>
        <v>0</v>
      </c>
      <c r="S340" s="27" t="n">
        <f aca="false">P340+Q340+R340</f>
        <v>0</v>
      </c>
      <c r="T340" s="21" t="n">
        <f aca="false">C340+S340</f>
        <v>18.6730249835055</v>
      </c>
      <c r="U340" s="34" t="str">
        <f aca="false">AX340</f>
        <v/>
      </c>
      <c r="V340" s="21" t="n">
        <f aca="false">IF(U340="",0,IF(U340="transition",0,IF(U340="SW",AG340,IF(U340="AB",AH340,IF(U340="SC",AI340,IF(U340="Mag",AJ340,IF(U340="OR",AK340,IF(U340="HP",AL340,IF(U340="FP",AM340,0)))))))))</f>
        <v>0</v>
      </c>
      <c r="W340" s="27" t="n">
        <f aca="false">IF(U340="OR",Upgrades!$F$10,IF(U340="HP",Upgrades!$F$11,IF(U340="transition",-Parameters!$B$18,0)))</f>
        <v>0</v>
      </c>
      <c r="X340" s="21" t="n">
        <f aca="false">T340-V340</f>
        <v>18.6730249835055</v>
      </c>
      <c r="Y340" s="30" t="n">
        <f aca="false">M340*Parameters!$B$10/60*Parameters!$B$11+O340*M340+N340</f>
        <v>20.55</v>
      </c>
      <c r="Z340" s="35" t="str">
        <f aca="false">IF(U340="transition","→ Tier 2 (Stellar Neighborhood)",IF(U340="FP","First Photons — light begins, system quickens",IF(U340="HP","Heliopause acquired",IF(U340="OR","Orbital Resonance — passive multiplier active",IF(AND(AO340=1,L340=0,AN340&lt;&gt;1),"Cohesion ready (waiting on completionist upgrades)","")))))</f>
        <v/>
      </c>
      <c r="AA340" s="27" t="n">
        <f aca="false">(IF(E340=0,0,(Upgrades!$G$6+E340*Upgrades!$H$6)*POWER(Upgrades!$I$6,E340)))*(IF(Upgrades!$T$7="Solar Wind",POWER(Upgrades!$U$7,F340),1)*IF(Upgrades!$T$8="Solar Wind",POWER(Upgrades!$U$8,G340),1)*IF(Upgrades!$T$9="Solar Wind",POWER(Upgrades!$U$9,H340),1)*IF(Upgrades!$T$10="Solar Wind",POWER(Upgrades!$U$10,I340),1)*IF(Upgrades!$T$11="Solar Wind",POWER(Upgrades!$U$11,J340),1)*IF(Upgrades!$T$12="Solar Wind",POWER(Upgrades!$U$12,K340),1))*POWER(Upgrades!$P$6,E340)*POWER(Upgrades!$P$7,F340)*POWER(Upgrades!$P$8,G340)*POWER(Upgrades!$P$9,H340)*POWER(Upgrades!$P$10,I340)*POWER(Upgrades!$P$11,J340)*POWER(Upgrades!$P$12,K340)*60</f>
        <v>72</v>
      </c>
      <c r="AB340" s="27" t="n">
        <f aca="false">(IF(F340=0,0,(Upgrades!$G$7+F340*Upgrades!$H$7)*POWER(Upgrades!$I$7,F340)))*(IF(Upgrades!$T$6="Asteroid Belt",POWER(Upgrades!$U$6,E340),1)*IF(Upgrades!$T$8="Asteroid Belt",POWER(Upgrades!$U$8,G340),1)*IF(Upgrades!$T$9="Asteroid Belt",POWER(Upgrades!$U$9,H340),1)*IF(Upgrades!$T$10="Asteroid Belt",POWER(Upgrades!$U$10,I340),1)*IF(Upgrades!$T$11="Asteroid Belt",POWER(Upgrades!$U$11,J340),1)*IF(Upgrades!$T$12="Asteroid Belt",POWER(Upgrades!$U$12,K340),1))*POWER(Upgrades!$P$6,E340)*POWER(Upgrades!$P$7,F340)*POWER(Upgrades!$P$8,G340)*POWER(Upgrades!$P$9,H340)*POWER(Upgrades!$P$10,I340)*POWER(Upgrades!$P$11,J340)*POWER(Upgrades!$P$12,K340)*60</f>
        <v>150</v>
      </c>
      <c r="AC340" s="27" t="n">
        <f aca="false">(IF(G340=0,0,(Upgrades!$J$8+G340*Upgrades!$K$8)*POWER(Upgrades!$L$8,G340)))*(IF(Upgrades!$T$6="Stellar Coupling",POWER(Upgrades!$U$6,E340),1)*IF(Upgrades!$T$7="Stellar Coupling",POWER(Upgrades!$U$7,F340),1)*IF(Upgrades!$T$9="Stellar Coupling",POWER(Upgrades!$U$9,H340),1)*IF(Upgrades!$T$10="Stellar Coupling",POWER(Upgrades!$U$10,I340),1)*IF(Upgrades!$T$11="Stellar Coupling",POWER(Upgrades!$U$11,J340),1)*IF(Upgrades!$T$12="Stellar Coupling",POWER(Upgrades!$U$12,K340),1))*POWER(Upgrades!$Q$6,E340)*POWER(Upgrades!$Q$7,F340)*POWER(Upgrades!$Q$8,G340)*POWER(Upgrades!$Q$9,H340)*POWER(Upgrades!$Q$10,I340)*POWER(Upgrades!$Q$11,J340)*POWER(Upgrades!$Q$12,K340)*Parameters!$B$10*Parameters!$B$11</f>
        <v>441</v>
      </c>
      <c r="AD340" s="27" t="n">
        <f aca="false">(IF(H340=0,0,(Upgrades!$G$9+H340*Upgrades!$H$9)*POWER(Upgrades!$I$9,H340)))*(IF(Upgrades!$T$6="Magnetosphere",POWER(Upgrades!$U$6,E340),1)*IF(Upgrades!$T$7="Magnetosphere",POWER(Upgrades!$U$7,F340),1)*IF(Upgrades!$T$8="Magnetosphere",POWER(Upgrades!$U$8,G340),1)*IF(Upgrades!$T$10="Magnetosphere",POWER(Upgrades!$U$10,I340),1)*IF(Upgrades!$T$11="Magnetosphere",POWER(Upgrades!$U$11,J340),1)*IF(Upgrades!$T$12="Magnetosphere",POWER(Upgrades!$U$12,K340),1))*POWER(Upgrades!$P$6,E340)*POWER(Upgrades!$P$7,F340)*POWER(Upgrades!$P$8,G340)*POWER(Upgrades!$P$9,H340)*POWER(Upgrades!$P$10,I340)*POWER(Upgrades!$P$11,J340)*POWER(Upgrades!$P$12,K340)*60</f>
        <v>375</v>
      </c>
      <c r="AE340" s="27" t="n">
        <f aca="false">(IF(K340=0,0,(Upgrades!$G$12+K340*Upgrades!$H$12)*POWER(Upgrades!$I$12,K340)))*(IF(Upgrades!$T$6="First Photons",POWER(Upgrades!$U$6,E340),1)*IF(Upgrades!$T$7="First Photons",POWER(Upgrades!$U$7,F340),1)*IF(Upgrades!$T$8="First Photons",POWER(Upgrades!$U$8,G340),1)*IF(Upgrades!$T$9="First Photons",POWER(Upgrades!$U$9,H340),1)*IF(Upgrades!$T$10="First Photons",POWER(Upgrades!$U$10,I340),1)*IF(Upgrades!$T$11="First Photons",POWER(Upgrades!$U$11,J340),1))*POWER(Upgrades!$P$6,E340)*POWER(Upgrades!$P$7,F340)*POWER(Upgrades!$P$8,G340)*POWER(Upgrades!$P$9,H340)*POWER(Upgrades!$P$10,I340)*POWER(Upgrades!$P$11,J340)*POWER(Upgrades!$P$12,K340)*60</f>
        <v>75</v>
      </c>
      <c r="AF340" s="27" t="n">
        <f aca="false">Parameters!$B$9*POWER(Upgrades!$Q$6,E340)*POWER(Upgrades!$Q$7,F340)*POWER(Upgrades!$Q$8,G340)*POWER(Upgrades!$Q$9,H340)*POWER(Upgrades!$Q$10,I340)*POWER(Upgrades!$Q$11,J340)*POWER(Upgrades!$Q$12,K340)*(Parameters!$B$10*Parameters!$B$11+O340*60)</f>
        <v>120</v>
      </c>
      <c r="AG340" s="21" t="n">
        <f aca="false">IF(E340&gt;=Upgrades!$E$6,"",Upgrades!$C$6*POWER(Upgrades!$D$6,E340))</f>
        <v>37.4517507383159</v>
      </c>
      <c r="AH340" s="21" t="n">
        <f aca="false">IF(F340&gt;=Upgrades!$E$7,"",Upgrades!$C$7*POWER(Upgrades!$D$7,F340))</f>
        <v>80.9111547141581</v>
      </c>
      <c r="AI340" s="21" t="n">
        <f aca="false">IF(G340&gt;=Upgrades!$E$8,"",Upgrades!$C$8*POWER(Upgrades!$D$8,G340))</f>
        <v>231.9097088</v>
      </c>
      <c r="AJ340" s="21" t="str">
        <f aca="false">IF(H340&gt;=Upgrades!$E$9,"",Upgrades!$C$9*POWER(Upgrades!$D$9,H340))</f>
        <v/>
      </c>
      <c r="AK340" s="21" t="str">
        <f aca="false">IF(I340&gt;=Upgrades!$E$10,"",Upgrades!$C$10*POWER(Upgrades!$D$10,I340))</f>
        <v/>
      </c>
      <c r="AL340" s="21" t="str">
        <f aca="false">IF(J340&gt;=Upgrades!$E$11,"",Upgrades!$C$11*POWER(Upgrades!$D$11,J340))</f>
        <v/>
      </c>
      <c r="AM340" s="21" t="str">
        <f aca="false">IF(K340&gt;=Upgrades!$E$12,"",Upgrades!$C$12*POWER(Upgrades!$D$12,K340))</f>
        <v/>
      </c>
      <c r="AN340" s="26" t="str">
        <f aca="false">IF(AND(D340&gt;=Parameters!$B$18,(H340&gt;=Upgrades!$E$9)*(K340&gt;=Upgrades!$E$12)=1,L340=0),1,"")</f>
        <v/>
      </c>
      <c r="AO340" s="26" t="str">
        <f aca="false">IF(AND(D340&gt;=Parameters!$B$18,L340=0),1,"")</f>
        <v/>
      </c>
      <c r="AP340" s="21" t="n">
        <f aca="false">MIN(IF(ISNUMBER(AK340),AK340,9000000000000000),IF(ISNUMBER(AL340),AL340,9000000000000000),IF(ISNUMBER(AM340),AM340,9000000000000000))</f>
        <v>9000000000000000</v>
      </c>
      <c r="AQ340" s="21" t="n">
        <f aca="false">MIN(IF(ISNUMBER(AG340),AG340,9000000000000000),IF(ISNUMBER(AH340),AH340,9000000000000000),IF(ISNUMBER(AI340),AI340,9000000000000000),IF(ISNUMBER(AJ340),AJ340,9000000000000000))</f>
        <v>37.4517507383159</v>
      </c>
      <c r="AR340" s="32" t="b">
        <f aca="false">IF(AW340&gt;Parameters!$B$21*(MAX(IF(AND(NOT(AND(AO340=1,AN340&lt;&gt;1)),ISNUMBER(AG340),AG340&lt;=T340),AS340,0),IF(AND(NOT(AND(AO340=1,AN340&lt;&gt;1)),ISNUMBER(AH340),AH340&lt;=T340),AT340,0),IF(AND(NOT(AND(AO340=1,AN340&lt;&gt;1)),ISNUMBER(AI340),AI340&lt;=T340),AU340,0),IF(AND(ISNUMBER(AJ340),AJ340&lt;=T340),AV340,0))),TRUE(),FALSE())</f>
        <v>1</v>
      </c>
      <c r="AS340" s="33" t="n">
        <f aca="false">IFERROR(Upgrades!$H$6*(POWER(Upgrades!$P$6,E340)*POWER(Upgrades!$P$7,F340)*POWER(Upgrades!$P$8,G340)*POWER(Upgrades!$P$9,H340)*POWER(Upgrades!$P$10,I340)*POWER(Upgrades!$P$11,J340)*POWER(Upgrades!$P$12,K340))*(IF(Upgrades!$T$7="Solar Wind",POWER(Upgrades!$U$7,F340),1)*IF(Upgrades!$T$8="Solar Wind",POWER(Upgrades!$U$8,G340),1)*IF(Upgrades!$T$9="Solar Wind",POWER(Upgrades!$U$9,H340),1)*IF(Upgrades!$T$10="Solar Wind",POWER(Upgrades!$U$10,I340),1)*IF(Upgrades!$T$11="Solar Wind",POWER(Upgrades!$U$11,J340),1)*IF(Upgrades!$T$12="Solar Wind",POWER(Upgrades!$U$12,K340),1))/AG340,0)</f>
        <v>0.0026701021455238</v>
      </c>
      <c r="AT340" s="33" t="n">
        <f aca="false">IFERROR(Upgrades!$H$7*(POWER(Upgrades!$P$6,E340)*POWER(Upgrades!$P$7,F340)*POWER(Upgrades!$P$8,G340)*POWER(Upgrades!$P$9,H340)*POWER(Upgrades!$P$10,I340)*POWER(Upgrades!$P$11,J340)*POWER(Upgrades!$P$12,K340))*(IF(Upgrades!$T$6="Asteroid Belt",POWER(Upgrades!$U$6,E340),1)*IF(Upgrades!$T$8="Asteroid Belt",POWER(Upgrades!$U$8,G340),1)*IF(Upgrades!$T$9="Asteroid Belt",POWER(Upgrades!$U$9,H340),1)*IF(Upgrades!$T$10="Asteroid Belt",POWER(Upgrades!$U$10,I340),1)*IF(Upgrades!$T$11="Asteroid Belt",POWER(Upgrades!$U$11,J340),1)*IF(Upgrades!$T$12="Asteroid Belt",POWER(Upgrades!$U$12,K340),1))/AH340,0)</f>
        <v>0.00308980882652332</v>
      </c>
      <c r="AU340" s="33" t="n">
        <f aca="false">IFERROR(Upgrades!$K$8*(POWER(Upgrades!$Q$6,E340)*POWER(Upgrades!$Q$7,F340)*POWER(Upgrades!$Q$8,G340)*POWER(Upgrades!$Q$9,H340)*POWER(Upgrades!$Q$10,I340)*POWER(Upgrades!$Q$11,J340)*POWER(Upgrades!$Q$12,K340))*(IF(Upgrades!$T$6="Stellar Coupling",POWER(Upgrades!$U$6,E340),1)*IF(Upgrades!$T$7="Stellar Coupling",POWER(Upgrades!$U$7,F340),1)*IF(Upgrades!$T$9="Stellar Coupling",POWER(Upgrades!$U$9,H340),1)*IF(Upgrades!$T$10="Stellar Coupling",POWER(Upgrades!$U$10,I340),1)*IF(Upgrades!$T$11="Stellar Coupling",POWER(Upgrades!$U$11,J340),1)*IF(Upgrades!$T$12="Stellar Coupling",POWER(Upgrades!$U$12,K340),1))*Parameters!$B$10*Parameters!$B$11/60/AI340,0)</f>
        <v>0.00452762415783776</v>
      </c>
      <c r="AV340" s="33" t="n">
        <f aca="false">IFERROR(Upgrades!$H$9*(POWER(Upgrades!$P$6,E340)*POWER(Upgrades!$P$7,F340)*POWER(Upgrades!$P$8,G340)*POWER(Upgrades!$P$9,H340)*POWER(Upgrades!$P$10,I340)*POWER(Upgrades!$P$11,J340)*POWER(Upgrades!$P$12,K340))*(IF(Upgrades!$T$6="Magnetosphere",POWER(Upgrades!$U$6,E340),1)*IF(Upgrades!$T$7="Magnetosphere",POWER(Upgrades!$U$7,F340),1)*IF(Upgrades!$T$8="Magnetosphere",POWER(Upgrades!$U$8,G340),1)*IF(Upgrades!$T$10="Magnetosphere",POWER(Upgrades!$U$10,I340),1)*IF(Upgrades!$T$11="Magnetosphere",POWER(Upgrades!$U$11,J340),1)*IF(Upgrades!$T$12="Magnetosphere",POWER(Upgrades!$U$12,K340),1))/AJ340,0)</f>
        <v>0</v>
      </c>
      <c r="AW340" s="33" t="n">
        <f aca="false">MAX(IF(I340&gt;0,0,IFERROR(0.25*N340/Upgrades!$C$10,0)),IF(J340&gt;0,0,IFERROR(0.5*((IF(G340=0,0,(Upgrades!$J$8+G340*Upgrades!$K$8)*POWER(Upgrades!$L$8,G340)))*(IF(Upgrades!$T$6="Stellar Coupling",POWER(Upgrades!$U$6,E340),1)*IF(Upgrades!$T$7="Stellar Coupling",POWER(Upgrades!$U$7,F340),1)*IF(Upgrades!$T$9="Stellar Coupling",POWER(Upgrades!$U$9,H340),1)*IF(Upgrades!$T$10="Stellar Coupling",POWER(Upgrades!$U$10,I340),1)*IF(Upgrades!$T$11="Stellar Coupling",POWER(Upgrades!$U$11,J340),1)*IF(Upgrades!$T$12="Stellar Coupling",POWER(Upgrades!$U$12,K340),1))*(POWER(Upgrades!$Q$6,E340)*POWER(Upgrades!$Q$7,F340)*POWER(Upgrades!$Q$8,G340)*POWER(Upgrades!$Q$9,H340)*POWER(Upgrades!$Q$10,I340)*POWER(Upgrades!$Q$11,J340)*POWER(Upgrades!$Q$12,K340))*Parameters!$B$10*Parameters!$B$11/60)/Upgrades!$C$11,0)),IF(K340&gt;0,0,IFERROR((1*(POWER(Upgrades!$P$6,E340)*POWER(Upgrades!$P$7,F340)*POWER(Upgrades!$P$8,G340)*POWER(Upgrades!$P$9,H340)*POWER(Upgrades!$P$10,I340)*POWER(Upgrades!$P$11,J340)*POWER(Upgrades!$P$12,K340))+0.2*M340*Parameters!$B$10*Parameters!$B$11/60)/Upgrades!$C$12,0)),IF(AND(ISNUMBER(AG340),AG340&gt;T340),AS340,0),IF(AND(ISNUMBER(AH340),AH340&gt;T340),AT340,0),IF(AND(ISNUMBER(AI340),AI340&gt;T340),AU340,0),IF(AND(ISNUMBER(AJ340),AJ340&gt;T340),AV340,0))</f>
        <v>0.00452762415783776</v>
      </c>
      <c r="AX340" s="29" t="str">
        <f aca="false">IF(AN340=1,"transition",IF(MIN(IF(AND(I340=0,ISNUMBER(AK340),AK340&lt;=T340),AK340,9000000000000000),IF(AND(J340=0,ISNUMBER(AL340),AL340&lt;=T340),AL340,9000000000000000),IF(AND(K340=0,ISNUMBER(AM340),AM340&lt;=T340),AM340,9000000000000000))&lt;9000000000000000,IF(AND(AND(I340=0,ISNUMBER(AK340),AK340&lt;=T340),AK340=MIN(IF(AND(I340=0,ISNUMBER(AK340),AK340&lt;=T340),AK340,9000000000000000),IF(AND(J340=0,ISNUMBER(AL340),AL340&lt;=T340),AL340,9000000000000000),IF(AND(K340=0,ISNUMBER(AM340),AM340&lt;=T340),AM340,9000000000000000))),"OR",IF(AND(AND(J340=0,ISNUMBER(AL340),AL340&lt;=T340),AL340=MIN(IF(AND(I340=0,ISNUMBER(AK340),AK340&lt;=T340),AK340,9000000000000000),IF(AND(J340=0,ISNUMBER(AL340),AL340&lt;=T340),AL340,9000000000000000),IF(AND(K340=0,ISNUMBER(AM340),AM340&lt;=T340),AM340,9000000000000000))),"HP","FP")),IF(AR340=TRUE(),"",IF(MAX(IF(AND(NOT(AND(AO340=1,AN340&lt;&gt;1)),ISNUMBER(AG340),AG340&lt;=T340),AS340,0),IF(AND(NOT(AND(AO340=1,AN340&lt;&gt;1)),ISNUMBER(AH340),AH340&lt;=T340),AT340,0),IF(AND(NOT(AND(AO340=1,AN340&lt;&gt;1)),ISNUMBER(AI340),AI340&lt;=T340),AU340,0),IF(AND(ISNUMBER(AJ340),AJ340&lt;=T340),AV340,0))&lt;=0,"",IF(AND(IF(AND(NOT(AND(AO340=1,AN340&lt;&gt;1)),ISNUMBER(AG340),AG340&lt;=T340),AS340,0)&gt;0,IF(AND(NOT(AND(AO340=1,AN340&lt;&gt;1)),ISNUMBER(AG340),AG340&lt;=T340),AS340,0)=MAX(IF(AND(NOT(AND(AO340=1,AN340&lt;&gt;1)),ISNUMBER(AG340),AG340&lt;=T340),AS340,0),IF(AND(NOT(AND(AO340=1,AN340&lt;&gt;1)),ISNUMBER(AH340),AH340&lt;=T340),AT340,0),IF(AND(NOT(AND(AO340=1,AN340&lt;&gt;1)),ISNUMBER(AI340),AI340&lt;=T340),AU340,0),IF(AND(ISNUMBER(AJ340),AJ340&lt;=T340),AV340,0))),"SW",IF(AND(IF(AND(NOT(AND(AO340=1,AN340&lt;&gt;1)),ISNUMBER(AH340),AH340&lt;=T340),AT340,0)&gt;0,IF(AND(NOT(AND(AO340=1,AN340&lt;&gt;1)),ISNUMBER(AH340),AH340&lt;=T340),AT340,0)=MAX(IF(AND(NOT(AND(AO340=1,AN340&lt;&gt;1)),ISNUMBER(AG340),AG340&lt;=T340),AS340,0),IF(AND(NOT(AND(AO340=1,AN340&lt;&gt;1)),ISNUMBER(AH340),AH340&lt;=T340),AT340,0),IF(AND(NOT(AND(AO340=1,AN340&lt;&gt;1)),ISNUMBER(AI340),AI340&lt;=T340),AU340,0),IF(AND(ISNUMBER(AJ340),AJ340&lt;=T340),AV340,0))),"AB",IF(AND(IF(AND(NOT(AND(AO340=1,AN340&lt;&gt;1)),ISNUMBER(AI340),AI340&lt;=T340),AU340,0)&gt;0,IF(AND(NOT(AND(AO340=1,AN340&lt;&gt;1)),ISNUMBER(AI340),AI340&lt;=T340),AU340,0)=MAX(IF(AND(NOT(AND(AO340=1,AN340&lt;&gt;1)),ISNUMBER(AG340),AG340&lt;=T340),AS340,0),IF(AND(NOT(AND(AO340=1,AN340&lt;&gt;1)),ISNUMBER(AH340),AH340&lt;=T340),AT340,0),IF(AND(NOT(AND(AO340=1,AN340&lt;&gt;1)),ISNUMBER(AI340),AI340&lt;=T340),AU340,0),IF(AND(ISNUMBER(AJ340),AJ340&lt;=T340),AV340,0))),"SC","Mag")))))))</f>
        <v/>
      </c>
    </row>
    <row r="341" customFormat="false" ht="15" hidden="false" customHeight="false" outlineLevel="0" collapsed="false">
      <c r="A341" s="26" t="n">
        <v>336</v>
      </c>
      <c r="B341" s="27" t="n">
        <f aca="false">A341*10/60</f>
        <v>56</v>
      </c>
      <c r="C341" s="21" t="n">
        <f aca="false">X340</f>
        <v>18.6730249835055</v>
      </c>
      <c r="D341" s="27" t="n">
        <f aca="false">D340+W340</f>
        <v>0</v>
      </c>
      <c r="E341" s="26" t="n">
        <f aca="false">E340+IF(U340="SW",1,0)</f>
        <v>12</v>
      </c>
      <c r="F341" s="26" t="n">
        <f aca="false">F340+IF(U340="AB",1,0)</f>
        <v>10</v>
      </c>
      <c r="G341" s="26" t="n">
        <f aca="false">G340+IF(U340="SC",1,0)</f>
        <v>7</v>
      </c>
      <c r="H341" s="26" t="n">
        <f aca="false">H340+IF(U340="Mag",1,0)</f>
        <v>5</v>
      </c>
      <c r="I341" s="26" t="n">
        <f aca="false">MAX(I340,IF(U340="OR",1,0))</f>
        <v>1</v>
      </c>
      <c r="J341" s="26" t="n">
        <f aca="false">MAX(J340,IF(U340="HP",1,0))</f>
        <v>1</v>
      </c>
      <c r="K341" s="26" t="n">
        <f aca="false">MAX(K340,IF(U340="FP",1,0))</f>
        <v>1</v>
      </c>
      <c r="L341" s="26" t="n">
        <f aca="false">MAX(L340,IF(U340="transition",1,0))</f>
        <v>1</v>
      </c>
      <c r="M341" s="28" t="n">
        <f aca="false">(Parameters!$B$9+(IF(E341=0,0,(Upgrades!$J$6+E341*Upgrades!$K$6)*POWER(Upgrades!$L$6,E341)))*(IF(Upgrades!$T$7="Solar Wind",POWER(Upgrades!$U$7,F341),1)*IF(Upgrades!$T$8="Solar Wind",POWER(Upgrades!$U$8,G341),1)*IF(Upgrades!$T$9="Solar Wind",POWER(Upgrades!$U$9,H341),1)*IF(Upgrades!$T$10="Solar Wind",POWER(Upgrades!$U$10,I341),1)*IF(Upgrades!$T$11="Solar Wind",POWER(Upgrades!$U$11,J341),1)*IF(Upgrades!$T$12="Solar Wind",POWER(Upgrades!$U$12,K341),1))+(IF(F341=0,0,(Upgrades!$J$7+F341*Upgrades!$K$7)*POWER(Upgrades!$L$7,F341)))*(IF(Upgrades!$T$6="Asteroid Belt",POWER(Upgrades!$U$6,E341),1)*IF(Upgrades!$T$8="Asteroid Belt",POWER(Upgrades!$U$8,G341),1)*IF(Upgrades!$T$9="Asteroid Belt",POWER(Upgrades!$U$9,H341),1)*IF(Upgrades!$T$10="Asteroid Belt",POWER(Upgrades!$U$10,I341),1)*IF(Upgrades!$T$11="Asteroid Belt",POWER(Upgrades!$U$11,J341),1)*IF(Upgrades!$T$12="Asteroid Belt",POWER(Upgrades!$U$12,K341),1))+(IF(G341=0,0,(Upgrades!$J$8+G341*Upgrades!$K$8)*POWER(Upgrades!$L$8,G341)))*(IF(Upgrades!$T$6="Stellar Coupling",POWER(Upgrades!$U$6,E341),1)*IF(Upgrades!$T$7="Stellar Coupling",POWER(Upgrades!$U$7,F341),1)*IF(Upgrades!$T$9="Stellar Coupling",POWER(Upgrades!$U$9,H341),1)*IF(Upgrades!$T$10="Stellar Coupling",POWER(Upgrades!$U$10,I341),1)*IF(Upgrades!$T$11="Stellar Coupling",POWER(Upgrades!$U$11,J341),1)*IF(Upgrades!$T$12="Stellar Coupling",POWER(Upgrades!$U$12,K341),1))+(IF(H341=0,0,(Upgrades!$J$9+H341*Upgrades!$K$9)*POWER(Upgrades!$L$9,H341)))*(IF(Upgrades!$T$6="Magnetosphere",POWER(Upgrades!$U$6,E341),1)*IF(Upgrades!$T$7="Magnetosphere",POWER(Upgrades!$U$7,F341),1)*IF(Upgrades!$T$8="Magnetosphere",POWER(Upgrades!$U$8,G341),1)*IF(Upgrades!$T$10="Magnetosphere",POWER(Upgrades!$U$10,I341),1)*IF(Upgrades!$T$11="Magnetosphere",POWER(Upgrades!$U$11,J341),1)*IF(Upgrades!$T$12="Magnetosphere",POWER(Upgrades!$U$12,K341),1))+(IF(I341=0,0,(Upgrades!$J$10+I341*Upgrades!$K$10)*POWER(Upgrades!$L$10,I341)))*(IF(Upgrades!$T$6="Orbital Resonance",POWER(Upgrades!$U$6,E341),1)*IF(Upgrades!$T$7="Orbital Resonance",POWER(Upgrades!$U$7,F341),1)*IF(Upgrades!$T$8="Orbital Resonance",POWER(Upgrades!$U$8,G341),1)*IF(Upgrades!$T$9="Orbital Resonance",POWER(Upgrades!$U$9,H341),1)*IF(Upgrades!$T$11="Orbital Resonance",POWER(Upgrades!$U$11,J341),1)*IF(Upgrades!$T$12="Orbital Resonance",POWER(Upgrades!$U$12,K341),1))+(IF(J341=0,0,(Upgrades!$J$11+J341*Upgrades!$K$11)*POWER(Upgrades!$L$11,J341)))*(IF(Upgrades!$T$6="Heliopause",POWER(Upgrades!$U$6,E341),1)*IF(Upgrades!$T$7="Heliopause",POWER(Upgrades!$U$7,F341),1)*IF(Upgrades!$T$8="Heliopause",POWER(Upgrades!$U$8,G341),1)*IF(Upgrades!$T$9="Heliopause",POWER(Upgrades!$U$9,H341),1)*IF(Upgrades!$T$10="Heliopause",POWER(Upgrades!$U$10,I341),1)*IF(Upgrades!$T$12="Heliopause",POWER(Upgrades!$U$12,K341),1))+(IF(K341=0,0,(Upgrades!$J$12+K341*Upgrades!$K$12)*POWER(Upgrades!$L$12,K341)))*(IF(Upgrades!$T$6="First Photons",POWER(Upgrades!$U$6,E341),1)*IF(Upgrades!$T$7="First Photons",POWER(Upgrades!$U$7,F341),1)*IF(Upgrades!$T$8="First Photons",POWER(Upgrades!$U$8,G341),1)*IF(Upgrades!$T$9="First Photons",POWER(Upgrades!$U$9,H341),1)*IF(Upgrades!$T$10="First Photons",POWER(Upgrades!$U$10,I341),1)*IF(Upgrades!$T$11="First Photons",POWER(Upgrades!$U$11,J341),1)))*POWER(Upgrades!$Q$6,E341)*POWER(Upgrades!$Q$7,F341)*POWER(Upgrades!$Q$8,G341)*POWER(Upgrades!$Q$9,H341)*POWER(Upgrades!$Q$10,I341)*POWER(Upgrades!$Q$11,J341)*POWER(Upgrades!$Q$12,K341)</f>
        <v>5.61</v>
      </c>
      <c r="N341" s="28" t="n">
        <f aca="false">((IF(E341=0,0,(Upgrades!$G$6+E341*Upgrades!$H$6)*POWER(Upgrades!$I$6,E341)))*(IF(Upgrades!$T$7="Solar Wind",POWER(Upgrades!$U$7,F341),1)*IF(Upgrades!$T$8="Solar Wind",POWER(Upgrades!$U$8,G341),1)*IF(Upgrades!$T$9="Solar Wind",POWER(Upgrades!$U$9,H341),1)*IF(Upgrades!$T$10="Solar Wind",POWER(Upgrades!$U$10,I341),1)*IF(Upgrades!$T$11="Solar Wind",POWER(Upgrades!$U$11,J341),1)*IF(Upgrades!$T$12="Solar Wind",POWER(Upgrades!$U$12,K341),1))+(IF(F341=0,0,(Upgrades!$G$7+F341*Upgrades!$H$7)*POWER(Upgrades!$I$7,F341)))*(IF(Upgrades!$T$6="Asteroid Belt",POWER(Upgrades!$U$6,E341),1)*IF(Upgrades!$T$8="Asteroid Belt",POWER(Upgrades!$U$8,G341),1)*IF(Upgrades!$T$9="Asteroid Belt",POWER(Upgrades!$U$9,H341),1)*IF(Upgrades!$T$10="Asteroid Belt",POWER(Upgrades!$U$10,I341),1)*IF(Upgrades!$T$11="Asteroid Belt",POWER(Upgrades!$U$11,J341),1)*IF(Upgrades!$T$12="Asteroid Belt",POWER(Upgrades!$U$12,K341),1))+(IF(G341=0,0,(Upgrades!$G$8+G341*Upgrades!$H$8)*POWER(Upgrades!$I$8,G341)))*(IF(Upgrades!$T$6="Stellar Coupling",POWER(Upgrades!$U$6,E341),1)*IF(Upgrades!$T$7="Stellar Coupling",POWER(Upgrades!$U$7,F341),1)*IF(Upgrades!$T$9="Stellar Coupling",POWER(Upgrades!$U$9,H341),1)*IF(Upgrades!$T$10="Stellar Coupling",POWER(Upgrades!$U$10,I341),1)*IF(Upgrades!$T$11="Stellar Coupling",POWER(Upgrades!$U$11,J341),1)*IF(Upgrades!$T$12="Stellar Coupling",POWER(Upgrades!$U$12,K341),1))+(IF(H341=0,0,(Upgrades!$G$9+H341*Upgrades!$H$9)*POWER(Upgrades!$I$9,H341)))*(IF(Upgrades!$T$6="Magnetosphere",POWER(Upgrades!$U$6,E341),1)*IF(Upgrades!$T$7="Magnetosphere",POWER(Upgrades!$U$7,F341),1)*IF(Upgrades!$T$8="Magnetosphere",POWER(Upgrades!$U$8,G341),1)*IF(Upgrades!$T$10="Magnetosphere",POWER(Upgrades!$U$10,I341),1)*IF(Upgrades!$T$11="Magnetosphere",POWER(Upgrades!$U$11,J341),1)*IF(Upgrades!$T$12="Magnetosphere",POWER(Upgrades!$U$12,K341),1))+(IF(I341=0,0,(Upgrades!$G$10+I341*Upgrades!$H$10)*POWER(Upgrades!$I$10,I341)))*(IF(Upgrades!$T$6="Orbital Resonance",POWER(Upgrades!$U$6,E341),1)*IF(Upgrades!$T$7="Orbital Resonance",POWER(Upgrades!$U$7,F341),1)*IF(Upgrades!$T$8="Orbital Resonance",POWER(Upgrades!$U$8,G341),1)*IF(Upgrades!$T$9="Orbital Resonance",POWER(Upgrades!$U$9,H341),1)*IF(Upgrades!$T$11="Orbital Resonance",POWER(Upgrades!$U$11,J341),1)*IF(Upgrades!$T$12="Orbital Resonance",POWER(Upgrades!$U$12,K341),1))+(IF(J341=0,0,(Upgrades!$G$11+J341*Upgrades!$H$11)*POWER(Upgrades!$I$11,J341)))*(IF(Upgrades!$T$6="Heliopause",POWER(Upgrades!$U$6,E341),1)*IF(Upgrades!$T$7="Heliopause",POWER(Upgrades!$U$7,F341),1)*IF(Upgrades!$T$8="Heliopause",POWER(Upgrades!$U$8,G341),1)*IF(Upgrades!$T$9="Heliopause",POWER(Upgrades!$U$9,H341),1)*IF(Upgrades!$T$10="Heliopause",POWER(Upgrades!$U$10,I341),1)*IF(Upgrades!$T$12="Heliopause",POWER(Upgrades!$U$12,K341),1))+(IF(K341=0,0,(Upgrades!$G$12+K341*Upgrades!$H$12)*POWER(Upgrades!$I$12,K341)))*(IF(Upgrades!$T$6="First Photons",POWER(Upgrades!$U$6,E341),1)*IF(Upgrades!$T$7="First Photons",POWER(Upgrades!$U$7,F341),1)*IF(Upgrades!$T$8="First Photons",POWER(Upgrades!$U$8,G341),1)*IF(Upgrades!$T$9="First Photons",POWER(Upgrades!$U$9,H341),1)*IF(Upgrades!$T$10="First Photons",POWER(Upgrades!$U$10,I341),1)*IF(Upgrades!$T$11="First Photons",POWER(Upgrades!$U$11,J341),1)))*POWER(Upgrades!$P$6,E341)*POWER(Upgrades!$P$7,F341)*POWER(Upgrades!$P$8,G341)*POWER(Upgrades!$P$9,H341)*POWER(Upgrades!$P$10,I341)*POWER(Upgrades!$P$11,J341)*POWER(Upgrades!$P$12,K341)</f>
        <v>11.2</v>
      </c>
      <c r="O341" s="28" t="n">
        <f aca="false">((IF(E341=0,0,(Upgrades!$M$6+E341*Upgrades!$N$6)*POWER(Upgrades!$O$6,E341)))*(IF(Upgrades!$T$7="Solar Wind",POWER(Upgrades!$U$7,F341),1)*IF(Upgrades!$T$8="Solar Wind",POWER(Upgrades!$U$8,G341),1)*IF(Upgrades!$T$9="Solar Wind",POWER(Upgrades!$U$9,H341),1)*IF(Upgrades!$T$10="Solar Wind",POWER(Upgrades!$U$10,I341),1)*IF(Upgrades!$T$11="Solar Wind",POWER(Upgrades!$U$11,J341),1)*IF(Upgrades!$T$12="Solar Wind",POWER(Upgrades!$U$12,K341),1))+(IF(F341=0,0,(Upgrades!$M$7+F341*Upgrades!$N$7)*POWER(Upgrades!$O$7,F341)))*(IF(Upgrades!$T$6="Asteroid Belt",POWER(Upgrades!$U$6,E341),1)*IF(Upgrades!$T$8="Asteroid Belt",POWER(Upgrades!$U$8,G341),1)*IF(Upgrades!$T$9="Asteroid Belt",POWER(Upgrades!$U$9,H341),1)*IF(Upgrades!$T$10="Asteroid Belt",POWER(Upgrades!$U$10,I341),1)*IF(Upgrades!$T$11="Asteroid Belt",POWER(Upgrades!$U$11,J341),1)*IF(Upgrades!$T$12="Asteroid Belt",POWER(Upgrades!$U$12,K341),1))+(IF(G341=0,0,(Upgrades!$M$8+G341*Upgrades!$N$8)*POWER(Upgrades!$O$8,G341)))*(IF(Upgrades!$T$6="Stellar Coupling",POWER(Upgrades!$U$6,E341),1)*IF(Upgrades!$T$7="Stellar Coupling",POWER(Upgrades!$U$7,F341),1)*IF(Upgrades!$T$9="Stellar Coupling",POWER(Upgrades!$U$9,H341),1)*IF(Upgrades!$T$10="Stellar Coupling",POWER(Upgrades!$U$10,I341),1)*IF(Upgrades!$T$11="Stellar Coupling",POWER(Upgrades!$U$11,J341),1)*IF(Upgrades!$T$12="Stellar Coupling",POWER(Upgrades!$U$12,K341),1))+(IF(H341=0,0,(Upgrades!$M$9+H341*Upgrades!$N$9)*POWER(Upgrades!$O$9,H341)))*(IF(Upgrades!$T$6="Magnetosphere",POWER(Upgrades!$U$6,E341),1)*IF(Upgrades!$T$7="Magnetosphere",POWER(Upgrades!$U$7,F341),1)*IF(Upgrades!$T$8="Magnetosphere",POWER(Upgrades!$U$8,G341),1)*IF(Upgrades!$T$10="Magnetosphere",POWER(Upgrades!$U$10,I341),1)*IF(Upgrades!$T$11="Magnetosphere",POWER(Upgrades!$U$11,J341),1)*IF(Upgrades!$T$12="Magnetosphere",POWER(Upgrades!$U$12,K341),1))+(IF(I341=0,0,(Upgrades!$M$10+I341*Upgrades!$N$10)*POWER(Upgrades!$O$10,I341)))*(IF(Upgrades!$T$6="Orbital Resonance",POWER(Upgrades!$U$6,E341),1)*IF(Upgrades!$T$7="Orbital Resonance",POWER(Upgrades!$U$7,F341),1)*IF(Upgrades!$T$8="Orbital Resonance",POWER(Upgrades!$U$8,G341),1)*IF(Upgrades!$T$9="Orbital Resonance",POWER(Upgrades!$U$9,H341),1)*IF(Upgrades!$T$11="Orbital Resonance",POWER(Upgrades!$U$11,J341),1)*IF(Upgrades!$T$12="Orbital Resonance",POWER(Upgrades!$U$12,K341),1))+(IF(J341=0,0,(Upgrades!$M$11+J341*Upgrades!$N$11)*POWER(Upgrades!$O$11,J341)))*(IF(Upgrades!$T$6="Heliopause",POWER(Upgrades!$U$6,E341),1)*IF(Upgrades!$T$7="Heliopause",POWER(Upgrades!$U$7,F341),1)*IF(Upgrades!$T$8="Heliopause",POWER(Upgrades!$U$8,G341),1)*IF(Upgrades!$T$9="Heliopause",POWER(Upgrades!$U$9,H341),1)*IF(Upgrades!$T$10="Heliopause",POWER(Upgrades!$U$10,I341),1)*IF(Upgrades!$T$12="Heliopause",POWER(Upgrades!$U$12,K341),1))+(IF(K341=0,0,(Upgrades!$M$12+K341*Upgrades!$N$12)*POWER(Upgrades!$O$12,K341)))*(IF(Upgrades!$T$6="First Photons",POWER(Upgrades!$U$6,E341),1)*IF(Upgrades!$T$7="First Photons",POWER(Upgrades!$U$7,F341),1)*IF(Upgrades!$T$8="First Photons",POWER(Upgrades!$U$8,G341),1)*IF(Upgrades!$T$9="First Photons",POWER(Upgrades!$U$9,H341),1)*IF(Upgrades!$T$10="First Photons",POWER(Upgrades!$U$10,I341),1)*IF(Upgrades!$T$11="First Photons",POWER(Upgrades!$U$11,J341),1)))*POWER(Upgrades!$R$6,E341)*POWER(Upgrades!$R$7,F341)*POWER(Upgrades!$R$8,G341)*POWER(Upgrades!$R$9,H341)*POWER(Upgrades!$R$10,I341)*POWER(Upgrades!$R$11,J341)*POWER(Upgrades!$R$12,K341)</f>
        <v>0</v>
      </c>
      <c r="P341" s="27" t="n">
        <f aca="false">IF(L341=1,0,M341*Parameters!$B$10/60*Parameters!$B$11*10)</f>
        <v>0</v>
      </c>
      <c r="Q341" s="27" t="n">
        <f aca="false">IF(L341=1,0,O341*M341*10)</f>
        <v>0</v>
      </c>
      <c r="R341" s="27" t="n">
        <f aca="false">IF(L341=1,0,N341*10)</f>
        <v>0</v>
      </c>
      <c r="S341" s="27" t="n">
        <f aca="false">P341+Q341+R341</f>
        <v>0</v>
      </c>
      <c r="T341" s="21" t="n">
        <f aca="false">C341+S341</f>
        <v>18.6730249835055</v>
      </c>
      <c r="U341" s="34" t="str">
        <f aca="false">AX341</f>
        <v/>
      </c>
      <c r="V341" s="21" t="n">
        <f aca="false">IF(U341="",0,IF(U341="transition",0,IF(U341="SW",AG341,IF(U341="AB",AH341,IF(U341="SC",AI341,IF(U341="Mag",AJ341,IF(U341="OR",AK341,IF(U341="HP",AL341,IF(U341="FP",AM341,0)))))))))</f>
        <v>0</v>
      </c>
      <c r="W341" s="27" t="n">
        <f aca="false">IF(U341="OR",Upgrades!$F$10,IF(U341="HP",Upgrades!$F$11,IF(U341="transition",-Parameters!$B$18,0)))</f>
        <v>0</v>
      </c>
      <c r="X341" s="21" t="n">
        <f aca="false">T341-V341</f>
        <v>18.6730249835055</v>
      </c>
      <c r="Y341" s="30" t="n">
        <f aca="false">M341*Parameters!$B$10/60*Parameters!$B$11+O341*M341+N341</f>
        <v>20.55</v>
      </c>
      <c r="Z341" s="35" t="str">
        <f aca="false">IF(U341="transition","→ Tier 2 (Stellar Neighborhood)",IF(U341="FP","First Photons — light begins, system quickens",IF(U341="HP","Heliopause acquired",IF(U341="OR","Orbital Resonance — passive multiplier active",IF(AND(AO341=1,L341=0,AN341&lt;&gt;1),"Cohesion ready (waiting on completionist upgrades)","")))))</f>
        <v/>
      </c>
      <c r="AA341" s="27" t="n">
        <f aca="false">(IF(E341=0,0,(Upgrades!$G$6+E341*Upgrades!$H$6)*POWER(Upgrades!$I$6,E341)))*(IF(Upgrades!$T$7="Solar Wind",POWER(Upgrades!$U$7,F341),1)*IF(Upgrades!$T$8="Solar Wind",POWER(Upgrades!$U$8,G341),1)*IF(Upgrades!$T$9="Solar Wind",POWER(Upgrades!$U$9,H341),1)*IF(Upgrades!$T$10="Solar Wind",POWER(Upgrades!$U$10,I341),1)*IF(Upgrades!$T$11="Solar Wind",POWER(Upgrades!$U$11,J341),1)*IF(Upgrades!$T$12="Solar Wind",POWER(Upgrades!$U$12,K341),1))*POWER(Upgrades!$P$6,E341)*POWER(Upgrades!$P$7,F341)*POWER(Upgrades!$P$8,G341)*POWER(Upgrades!$P$9,H341)*POWER(Upgrades!$P$10,I341)*POWER(Upgrades!$P$11,J341)*POWER(Upgrades!$P$12,K341)*60</f>
        <v>72</v>
      </c>
      <c r="AB341" s="27" t="n">
        <f aca="false">(IF(F341=0,0,(Upgrades!$G$7+F341*Upgrades!$H$7)*POWER(Upgrades!$I$7,F341)))*(IF(Upgrades!$T$6="Asteroid Belt",POWER(Upgrades!$U$6,E341),1)*IF(Upgrades!$T$8="Asteroid Belt",POWER(Upgrades!$U$8,G341),1)*IF(Upgrades!$T$9="Asteroid Belt",POWER(Upgrades!$U$9,H341),1)*IF(Upgrades!$T$10="Asteroid Belt",POWER(Upgrades!$U$10,I341),1)*IF(Upgrades!$T$11="Asteroid Belt",POWER(Upgrades!$U$11,J341),1)*IF(Upgrades!$T$12="Asteroid Belt",POWER(Upgrades!$U$12,K341),1))*POWER(Upgrades!$P$6,E341)*POWER(Upgrades!$P$7,F341)*POWER(Upgrades!$P$8,G341)*POWER(Upgrades!$P$9,H341)*POWER(Upgrades!$P$10,I341)*POWER(Upgrades!$P$11,J341)*POWER(Upgrades!$P$12,K341)*60</f>
        <v>150</v>
      </c>
      <c r="AC341" s="27" t="n">
        <f aca="false">(IF(G341=0,0,(Upgrades!$J$8+G341*Upgrades!$K$8)*POWER(Upgrades!$L$8,G341)))*(IF(Upgrades!$T$6="Stellar Coupling",POWER(Upgrades!$U$6,E341),1)*IF(Upgrades!$T$7="Stellar Coupling",POWER(Upgrades!$U$7,F341),1)*IF(Upgrades!$T$9="Stellar Coupling",POWER(Upgrades!$U$9,H341),1)*IF(Upgrades!$T$10="Stellar Coupling",POWER(Upgrades!$U$10,I341),1)*IF(Upgrades!$T$11="Stellar Coupling",POWER(Upgrades!$U$11,J341),1)*IF(Upgrades!$T$12="Stellar Coupling",POWER(Upgrades!$U$12,K341),1))*POWER(Upgrades!$Q$6,E341)*POWER(Upgrades!$Q$7,F341)*POWER(Upgrades!$Q$8,G341)*POWER(Upgrades!$Q$9,H341)*POWER(Upgrades!$Q$10,I341)*POWER(Upgrades!$Q$11,J341)*POWER(Upgrades!$Q$12,K341)*Parameters!$B$10*Parameters!$B$11</f>
        <v>441</v>
      </c>
      <c r="AD341" s="27" t="n">
        <f aca="false">(IF(H341=0,0,(Upgrades!$G$9+H341*Upgrades!$H$9)*POWER(Upgrades!$I$9,H341)))*(IF(Upgrades!$T$6="Magnetosphere",POWER(Upgrades!$U$6,E341),1)*IF(Upgrades!$T$7="Magnetosphere",POWER(Upgrades!$U$7,F341),1)*IF(Upgrades!$T$8="Magnetosphere",POWER(Upgrades!$U$8,G341),1)*IF(Upgrades!$T$10="Magnetosphere",POWER(Upgrades!$U$10,I341),1)*IF(Upgrades!$T$11="Magnetosphere",POWER(Upgrades!$U$11,J341),1)*IF(Upgrades!$T$12="Magnetosphere",POWER(Upgrades!$U$12,K341),1))*POWER(Upgrades!$P$6,E341)*POWER(Upgrades!$P$7,F341)*POWER(Upgrades!$P$8,G341)*POWER(Upgrades!$P$9,H341)*POWER(Upgrades!$P$10,I341)*POWER(Upgrades!$P$11,J341)*POWER(Upgrades!$P$12,K341)*60</f>
        <v>375</v>
      </c>
      <c r="AE341" s="27" t="n">
        <f aca="false">(IF(K341=0,0,(Upgrades!$G$12+K341*Upgrades!$H$12)*POWER(Upgrades!$I$12,K341)))*(IF(Upgrades!$T$6="First Photons",POWER(Upgrades!$U$6,E341),1)*IF(Upgrades!$T$7="First Photons",POWER(Upgrades!$U$7,F341),1)*IF(Upgrades!$T$8="First Photons",POWER(Upgrades!$U$8,G341),1)*IF(Upgrades!$T$9="First Photons",POWER(Upgrades!$U$9,H341),1)*IF(Upgrades!$T$10="First Photons",POWER(Upgrades!$U$10,I341),1)*IF(Upgrades!$T$11="First Photons",POWER(Upgrades!$U$11,J341),1))*POWER(Upgrades!$P$6,E341)*POWER(Upgrades!$P$7,F341)*POWER(Upgrades!$P$8,G341)*POWER(Upgrades!$P$9,H341)*POWER(Upgrades!$P$10,I341)*POWER(Upgrades!$P$11,J341)*POWER(Upgrades!$P$12,K341)*60</f>
        <v>75</v>
      </c>
      <c r="AF341" s="27" t="n">
        <f aca="false">Parameters!$B$9*POWER(Upgrades!$Q$6,E341)*POWER(Upgrades!$Q$7,F341)*POWER(Upgrades!$Q$8,G341)*POWER(Upgrades!$Q$9,H341)*POWER(Upgrades!$Q$10,I341)*POWER(Upgrades!$Q$11,J341)*POWER(Upgrades!$Q$12,K341)*(Parameters!$B$10*Parameters!$B$11+O341*60)</f>
        <v>120</v>
      </c>
      <c r="AG341" s="21" t="n">
        <f aca="false">IF(E341&gt;=Upgrades!$E$6,"",Upgrades!$C$6*POWER(Upgrades!$D$6,E341))</f>
        <v>37.4517507383159</v>
      </c>
      <c r="AH341" s="21" t="n">
        <f aca="false">IF(F341&gt;=Upgrades!$E$7,"",Upgrades!$C$7*POWER(Upgrades!$D$7,F341))</f>
        <v>80.9111547141581</v>
      </c>
      <c r="AI341" s="21" t="n">
        <f aca="false">IF(G341&gt;=Upgrades!$E$8,"",Upgrades!$C$8*POWER(Upgrades!$D$8,G341))</f>
        <v>231.9097088</v>
      </c>
      <c r="AJ341" s="21" t="str">
        <f aca="false">IF(H341&gt;=Upgrades!$E$9,"",Upgrades!$C$9*POWER(Upgrades!$D$9,H341))</f>
        <v/>
      </c>
      <c r="AK341" s="21" t="str">
        <f aca="false">IF(I341&gt;=Upgrades!$E$10,"",Upgrades!$C$10*POWER(Upgrades!$D$10,I341))</f>
        <v/>
      </c>
      <c r="AL341" s="21" t="str">
        <f aca="false">IF(J341&gt;=Upgrades!$E$11,"",Upgrades!$C$11*POWER(Upgrades!$D$11,J341))</f>
        <v/>
      </c>
      <c r="AM341" s="21" t="str">
        <f aca="false">IF(K341&gt;=Upgrades!$E$12,"",Upgrades!$C$12*POWER(Upgrades!$D$12,K341))</f>
        <v/>
      </c>
      <c r="AN341" s="26" t="str">
        <f aca="false">IF(AND(D341&gt;=Parameters!$B$18,(H341&gt;=Upgrades!$E$9)*(K341&gt;=Upgrades!$E$12)=1,L341=0),1,"")</f>
        <v/>
      </c>
      <c r="AO341" s="26" t="str">
        <f aca="false">IF(AND(D341&gt;=Parameters!$B$18,L341=0),1,"")</f>
        <v/>
      </c>
      <c r="AP341" s="21" t="n">
        <f aca="false">MIN(IF(ISNUMBER(AK341),AK341,9000000000000000),IF(ISNUMBER(AL341),AL341,9000000000000000),IF(ISNUMBER(AM341),AM341,9000000000000000))</f>
        <v>9000000000000000</v>
      </c>
      <c r="AQ341" s="21" t="n">
        <f aca="false">MIN(IF(ISNUMBER(AG341),AG341,9000000000000000),IF(ISNUMBER(AH341),AH341,9000000000000000),IF(ISNUMBER(AI341),AI341,9000000000000000),IF(ISNUMBER(AJ341),AJ341,9000000000000000))</f>
        <v>37.4517507383159</v>
      </c>
      <c r="AR341" s="32" t="b">
        <f aca="false">IF(AW341&gt;Parameters!$B$21*(MAX(IF(AND(NOT(AND(AO341=1,AN341&lt;&gt;1)),ISNUMBER(AG341),AG341&lt;=T341),AS341,0),IF(AND(NOT(AND(AO341=1,AN341&lt;&gt;1)),ISNUMBER(AH341),AH341&lt;=T341),AT341,0),IF(AND(NOT(AND(AO341=1,AN341&lt;&gt;1)),ISNUMBER(AI341),AI341&lt;=T341),AU341,0),IF(AND(ISNUMBER(AJ341),AJ341&lt;=T341),AV341,0))),TRUE(),FALSE())</f>
        <v>1</v>
      </c>
      <c r="AS341" s="33" t="n">
        <f aca="false">IFERROR(Upgrades!$H$6*(POWER(Upgrades!$P$6,E341)*POWER(Upgrades!$P$7,F341)*POWER(Upgrades!$P$8,G341)*POWER(Upgrades!$P$9,H341)*POWER(Upgrades!$P$10,I341)*POWER(Upgrades!$P$11,J341)*POWER(Upgrades!$P$12,K341))*(IF(Upgrades!$T$7="Solar Wind",POWER(Upgrades!$U$7,F341),1)*IF(Upgrades!$T$8="Solar Wind",POWER(Upgrades!$U$8,G341),1)*IF(Upgrades!$T$9="Solar Wind",POWER(Upgrades!$U$9,H341),1)*IF(Upgrades!$T$10="Solar Wind",POWER(Upgrades!$U$10,I341),1)*IF(Upgrades!$T$11="Solar Wind",POWER(Upgrades!$U$11,J341),1)*IF(Upgrades!$T$12="Solar Wind",POWER(Upgrades!$U$12,K341),1))/AG341,0)</f>
        <v>0.0026701021455238</v>
      </c>
      <c r="AT341" s="33" t="n">
        <f aca="false">IFERROR(Upgrades!$H$7*(POWER(Upgrades!$P$6,E341)*POWER(Upgrades!$P$7,F341)*POWER(Upgrades!$P$8,G341)*POWER(Upgrades!$P$9,H341)*POWER(Upgrades!$P$10,I341)*POWER(Upgrades!$P$11,J341)*POWER(Upgrades!$P$12,K341))*(IF(Upgrades!$T$6="Asteroid Belt",POWER(Upgrades!$U$6,E341),1)*IF(Upgrades!$T$8="Asteroid Belt",POWER(Upgrades!$U$8,G341),1)*IF(Upgrades!$T$9="Asteroid Belt",POWER(Upgrades!$U$9,H341),1)*IF(Upgrades!$T$10="Asteroid Belt",POWER(Upgrades!$U$10,I341),1)*IF(Upgrades!$T$11="Asteroid Belt",POWER(Upgrades!$U$11,J341),1)*IF(Upgrades!$T$12="Asteroid Belt",POWER(Upgrades!$U$12,K341),1))/AH341,0)</f>
        <v>0.00308980882652332</v>
      </c>
      <c r="AU341" s="33" t="n">
        <f aca="false">IFERROR(Upgrades!$K$8*(POWER(Upgrades!$Q$6,E341)*POWER(Upgrades!$Q$7,F341)*POWER(Upgrades!$Q$8,G341)*POWER(Upgrades!$Q$9,H341)*POWER(Upgrades!$Q$10,I341)*POWER(Upgrades!$Q$11,J341)*POWER(Upgrades!$Q$12,K341))*(IF(Upgrades!$T$6="Stellar Coupling",POWER(Upgrades!$U$6,E341),1)*IF(Upgrades!$T$7="Stellar Coupling",POWER(Upgrades!$U$7,F341),1)*IF(Upgrades!$T$9="Stellar Coupling",POWER(Upgrades!$U$9,H341),1)*IF(Upgrades!$T$10="Stellar Coupling",POWER(Upgrades!$U$10,I341),1)*IF(Upgrades!$T$11="Stellar Coupling",POWER(Upgrades!$U$11,J341),1)*IF(Upgrades!$T$12="Stellar Coupling",POWER(Upgrades!$U$12,K341),1))*Parameters!$B$10*Parameters!$B$11/60/AI341,0)</f>
        <v>0.00452762415783776</v>
      </c>
      <c r="AV341" s="33" t="n">
        <f aca="false">IFERROR(Upgrades!$H$9*(POWER(Upgrades!$P$6,E341)*POWER(Upgrades!$P$7,F341)*POWER(Upgrades!$P$8,G341)*POWER(Upgrades!$P$9,H341)*POWER(Upgrades!$P$10,I341)*POWER(Upgrades!$P$11,J341)*POWER(Upgrades!$P$12,K341))*(IF(Upgrades!$T$6="Magnetosphere",POWER(Upgrades!$U$6,E341),1)*IF(Upgrades!$T$7="Magnetosphere",POWER(Upgrades!$U$7,F341),1)*IF(Upgrades!$T$8="Magnetosphere",POWER(Upgrades!$U$8,G341),1)*IF(Upgrades!$T$10="Magnetosphere",POWER(Upgrades!$U$10,I341),1)*IF(Upgrades!$T$11="Magnetosphere",POWER(Upgrades!$U$11,J341),1)*IF(Upgrades!$T$12="Magnetosphere",POWER(Upgrades!$U$12,K341),1))/AJ341,0)</f>
        <v>0</v>
      </c>
      <c r="AW341" s="33" t="n">
        <f aca="false">MAX(IF(I341&gt;0,0,IFERROR(0.25*N341/Upgrades!$C$10,0)),IF(J341&gt;0,0,IFERROR(0.5*((IF(G341=0,0,(Upgrades!$J$8+G341*Upgrades!$K$8)*POWER(Upgrades!$L$8,G341)))*(IF(Upgrades!$T$6="Stellar Coupling",POWER(Upgrades!$U$6,E341),1)*IF(Upgrades!$T$7="Stellar Coupling",POWER(Upgrades!$U$7,F341),1)*IF(Upgrades!$T$9="Stellar Coupling",POWER(Upgrades!$U$9,H341),1)*IF(Upgrades!$T$10="Stellar Coupling",POWER(Upgrades!$U$10,I341),1)*IF(Upgrades!$T$11="Stellar Coupling",POWER(Upgrades!$U$11,J341),1)*IF(Upgrades!$T$12="Stellar Coupling",POWER(Upgrades!$U$12,K341),1))*(POWER(Upgrades!$Q$6,E341)*POWER(Upgrades!$Q$7,F341)*POWER(Upgrades!$Q$8,G341)*POWER(Upgrades!$Q$9,H341)*POWER(Upgrades!$Q$10,I341)*POWER(Upgrades!$Q$11,J341)*POWER(Upgrades!$Q$12,K341))*Parameters!$B$10*Parameters!$B$11/60)/Upgrades!$C$11,0)),IF(K341&gt;0,0,IFERROR((1*(POWER(Upgrades!$P$6,E341)*POWER(Upgrades!$P$7,F341)*POWER(Upgrades!$P$8,G341)*POWER(Upgrades!$P$9,H341)*POWER(Upgrades!$P$10,I341)*POWER(Upgrades!$P$11,J341)*POWER(Upgrades!$P$12,K341))+0.2*M341*Parameters!$B$10*Parameters!$B$11/60)/Upgrades!$C$12,0)),IF(AND(ISNUMBER(AG341),AG341&gt;T341),AS341,0),IF(AND(ISNUMBER(AH341),AH341&gt;T341),AT341,0),IF(AND(ISNUMBER(AI341),AI341&gt;T341),AU341,0),IF(AND(ISNUMBER(AJ341),AJ341&gt;T341),AV341,0))</f>
        <v>0.00452762415783776</v>
      </c>
      <c r="AX341" s="29" t="str">
        <f aca="false">IF(AN341=1,"transition",IF(MIN(IF(AND(I341=0,ISNUMBER(AK341),AK341&lt;=T341),AK341,9000000000000000),IF(AND(J341=0,ISNUMBER(AL341),AL341&lt;=T341),AL341,9000000000000000),IF(AND(K341=0,ISNUMBER(AM341),AM341&lt;=T341),AM341,9000000000000000))&lt;9000000000000000,IF(AND(AND(I341=0,ISNUMBER(AK341),AK341&lt;=T341),AK341=MIN(IF(AND(I341=0,ISNUMBER(AK341),AK341&lt;=T341),AK341,9000000000000000),IF(AND(J341=0,ISNUMBER(AL341),AL341&lt;=T341),AL341,9000000000000000),IF(AND(K341=0,ISNUMBER(AM341),AM341&lt;=T341),AM341,9000000000000000))),"OR",IF(AND(AND(J341=0,ISNUMBER(AL341),AL341&lt;=T341),AL341=MIN(IF(AND(I341=0,ISNUMBER(AK341),AK341&lt;=T341),AK341,9000000000000000),IF(AND(J341=0,ISNUMBER(AL341),AL341&lt;=T341),AL341,9000000000000000),IF(AND(K341=0,ISNUMBER(AM341),AM341&lt;=T341),AM341,9000000000000000))),"HP","FP")),IF(AR341=TRUE(),"",IF(MAX(IF(AND(NOT(AND(AO341=1,AN341&lt;&gt;1)),ISNUMBER(AG341),AG341&lt;=T341),AS341,0),IF(AND(NOT(AND(AO341=1,AN341&lt;&gt;1)),ISNUMBER(AH341),AH341&lt;=T341),AT341,0),IF(AND(NOT(AND(AO341=1,AN341&lt;&gt;1)),ISNUMBER(AI341),AI341&lt;=T341),AU341,0),IF(AND(ISNUMBER(AJ341),AJ341&lt;=T341),AV341,0))&lt;=0,"",IF(AND(IF(AND(NOT(AND(AO341=1,AN341&lt;&gt;1)),ISNUMBER(AG341),AG341&lt;=T341),AS341,0)&gt;0,IF(AND(NOT(AND(AO341=1,AN341&lt;&gt;1)),ISNUMBER(AG341),AG341&lt;=T341),AS341,0)=MAX(IF(AND(NOT(AND(AO341=1,AN341&lt;&gt;1)),ISNUMBER(AG341),AG341&lt;=T341),AS341,0),IF(AND(NOT(AND(AO341=1,AN341&lt;&gt;1)),ISNUMBER(AH341),AH341&lt;=T341),AT341,0),IF(AND(NOT(AND(AO341=1,AN341&lt;&gt;1)),ISNUMBER(AI341),AI341&lt;=T341),AU341,0),IF(AND(ISNUMBER(AJ341),AJ341&lt;=T341),AV341,0))),"SW",IF(AND(IF(AND(NOT(AND(AO341=1,AN341&lt;&gt;1)),ISNUMBER(AH341),AH341&lt;=T341),AT341,0)&gt;0,IF(AND(NOT(AND(AO341=1,AN341&lt;&gt;1)),ISNUMBER(AH341),AH341&lt;=T341),AT341,0)=MAX(IF(AND(NOT(AND(AO341=1,AN341&lt;&gt;1)),ISNUMBER(AG341),AG341&lt;=T341),AS341,0),IF(AND(NOT(AND(AO341=1,AN341&lt;&gt;1)),ISNUMBER(AH341),AH341&lt;=T341),AT341,0),IF(AND(NOT(AND(AO341=1,AN341&lt;&gt;1)),ISNUMBER(AI341),AI341&lt;=T341),AU341,0),IF(AND(ISNUMBER(AJ341),AJ341&lt;=T341),AV341,0))),"AB",IF(AND(IF(AND(NOT(AND(AO341=1,AN341&lt;&gt;1)),ISNUMBER(AI341),AI341&lt;=T341),AU341,0)&gt;0,IF(AND(NOT(AND(AO341=1,AN341&lt;&gt;1)),ISNUMBER(AI341),AI341&lt;=T341),AU341,0)=MAX(IF(AND(NOT(AND(AO341=1,AN341&lt;&gt;1)),ISNUMBER(AG341),AG341&lt;=T341),AS341,0),IF(AND(NOT(AND(AO341=1,AN341&lt;&gt;1)),ISNUMBER(AH341),AH341&lt;=T341),AT341,0),IF(AND(NOT(AND(AO341=1,AN341&lt;&gt;1)),ISNUMBER(AI341),AI341&lt;=T341),AU341,0),IF(AND(ISNUMBER(AJ341),AJ341&lt;=T341),AV341,0))),"SC","Mag")))))))</f>
        <v/>
      </c>
    </row>
    <row r="342" customFormat="false" ht="15" hidden="false" customHeight="false" outlineLevel="0" collapsed="false">
      <c r="A342" s="26" t="n">
        <v>337</v>
      </c>
      <c r="B342" s="27" t="n">
        <f aca="false">A342*10/60</f>
        <v>56.1666666666667</v>
      </c>
      <c r="C342" s="21" t="n">
        <f aca="false">X341</f>
        <v>18.6730249835055</v>
      </c>
      <c r="D342" s="27" t="n">
        <f aca="false">D341+W341</f>
        <v>0</v>
      </c>
      <c r="E342" s="26" t="n">
        <f aca="false">E341+IF(U341="SW",1,0)</f>
        <v>12</v>
      </c>
      <c r="F342" s="26" t="n">
        <f aca="false">F341+IF(U341="AB",1,0)</f>
        <v>10</v>
      </c>
      <c r="G342" s="26" t="n">
        <f aca="false">G341+IF(U341="SC",1,0)</f>
        <v>7</v>
      </c>
      <c r="H342" s="26" t="n">
        <f aca="false">H341+IF(U341="Mag",1,0)</f>
        <v>5</v>
      </c>
      <c r="I342" s="26" t="n">
        <f aca="false">MAX(I341,IF(U341="OR",1,0))</f>
        <v>1</v>
      </c>
      <c r="J342" s="26" t="n">
        <f aca="false">MAX(J341,IF(U341="HP",1,0))</f>
        <v>1</v>
      </c>
      <c r="K342" s="26" t="n">
        <f aca="false">MAX(K341,IF(U341="FP",1,0))</f>
        <v>1</v>
      </c>
      <c r="L342" s="26" t="n">
        <f aca="false">MAX(L341,IF(U341="transition",1,0))</f>
        <v>1</v>
      </c>
      <c r="M342" s="28" t="n">
        <f aca="false">(Parameters!$B$9+(IF(E342=0,0,(Upgrades!$J$6+E342*Upgrades!$K$6)*POWER(Upgrades!$L$6,E342)))*(IF(Upgrades!$T$7="Solar Wind",POWER(Upgrades!$U$7,F342),1)*IF(Upgrades!$T$8="Solar Wind",POWER(Upgrades!$U$8,G342),1)*IF(Upgrades!$T$9="Solar Wind",POWER(Upgrades!$U$9,H342),1)*IF(Upgrades!$T$10="Solar Wind",POWER(Upgrades!$U$10,I342),1)*IF(Upgrades!$T$11="Solar Wind",POWER(Upgrades!$U$11,J342),1)*IF(Upgrades!$T$12="Solar Wind",POWER(Upgrades!$U$12,K342),1))+(IF(F342=0,0,(Upgrades!$J$7+F342*Upgrades!$K$7)*POWER(Upgrades!$L$7,F342)))*(IF(Upgrades!$T$6="Asteroid Belt",POWER(Upgrades!$U$6,E342),1)*IF(Upgrades!$T$8="Asteroid Belt",POWER(Upgrades!$U$8,G342),1)*IF(Upgrades!$T$9="Asteroid Belt",POWER(Upgrades!$U$9,H342),1)*IF(Upgrades!$T$10="Asteroid Belt",POWER(Upgrades!$U$10,I342),1)*IF(Upgrades!$T$11="Asteroid Belt",POWER(Upgrades!$U$11,J342),1)*IF(Upgrades!$T$12="Asteroid Belt",POWER(Upgrades!$U$12,K342),1))+(IF(G342=0,0,(Upgrades!$J$8+G342*Upgrades!$K$8)*POWER(Upgrades!$L$8,G342)))*(IF(Upgrades!$T$6="Stellar Coupling",POWER(Upgrades!$U$6,E342),1)*IF(Upgrades!$T$7="Stellar Coupling",POWER(Upgrades!$U$7,F342),1)*IF(Upgrades!$T$9="Stellar Coupling",POWER(Upgrades!$U$9,H342),1)*IF(Upgrades!$T$10="Stellar Coupling",POWER(Upgrades!$U$10,I342),1)*IF(Upgrades!$T$11="Stellar Coupling",POWER(Upgrades!$U$11,J342),1)*IF(Upgrades!$T$12="Stellar Coupling",POWER(Upgrades!$U$12,K342),1))+(IF(H342=0,0,(Upgrades!$J$9+H342*Upgrades!$K$9)*POWER(Upgrades!$L$9,H342)))*(IF(Upgrades!$T$6="Magnetosphere",POWER(Upgrades!$U$6,E342),1)*IF(Upgrades!$T$7="Magnetosphere",POWER(Upgrades!$U$7,F342),1)*IF(Upgrades!$T$8="Magnetosphere",POWER(Upgrades!$U$8,G342),1)*IF(Upgrades!$T$10="Magnetosphere",POWER(Upgrades!$U$10,I342),1)*IF(Upgrades!$T$11="Magnetosphere",POWER(Upgrades!$U$11,J342),1)*IF(Upgrades!$T$12="Magnetosphere",POWER(Upgrades!$U$12,K342),1))+(IF(I342=0,0,(Upgrades!$J$10+I342*Upgrades!$K$10)*POWER(Upgrades!$L$10,I342)))*(IF(Upgrades!$T$6="Orbital Resonance",POWER(Upgrades!$U$6,E342),1)*IF(Upgrades!$T$7="Orbital Resonance",POWER(Upgrades!$U$7,F342),1)*IF(Upgrades!$T$8="Orbital Resonance",POWER(Upgrades!$U$8,G342),1)*IF(Upgrades!$T$9="Orbital Resonance",POWER(Upgrades!$U$9,H342),1)*IF(Upgrades!$T$11="Orbital Resonance",POWER(Upgrades!$U$11,J342),1)*IF(Upgrades!$T$12="Orbital Resonance",POWER(Upgrades!$U$12,K342),1))+(IF(J342=0,0,(Upgrades!$J$11+J342*Upgrades!$K$11)*POWER(Upgrades!$L$11,J342)))*(IF(Upgrades!$T$6="Heliopause",POWER(Upgrades!$U$6,E342),1)*IF(Upgrades!$T$7="Heliopause",POWER(Upgrades!$U$7,F342),1)*IF(Upgrades!$T$8="Heliopause",POWER(Upgrades!$U$8,G342),1)*IF(Upgrades!$T$9="Heliopause",POWER(Upgrades!$U$9,H342),1)*IF(Upgrades!$T$10="Heliopause",POWER(Upgrades!$U$10,I342),1)*IF(Upgrades!$T$12="Heliopause",POWER(Upgrades!$U$12,K342),1))+(IF(K342=0,0,(Upgrades!$J$12+K342*Upgrades!$K$12)*POWER(Upgrades!$L$12,K342)))*(IF(Upgrades!$T$6="First Photons",POWER(Upgrades!$U$6,E342),1)*IF(Upgrades!$T$7="First Photons",POWER(Upgrades!$U$7,F342),1)*IF(Upgrades!$T$8="First Photons",POWER(Upgrades!$U$8,G342),1)*IF(Upgrades!$T$9="First Photons",POWER(Upgrades!$U$9,H342),1)*IF(Upgrades!$T$10="First Photons",POWER(Upgrades!$U$10,I342),1)*IF(Upgrades!$T$11="First Photons",POWER(Upgrades!$U$11,J342),1)))*POWER(Upgrades!$Q$6,E342)*POWER(Upgrades!$Q$7,F342)*POWER(Upgrades!$Q$8,G342)*POWER(Upgrades!$Q$9,H342)*POWER(Upgrades!$Q$10,I342)*POWER(Upgrades!$Q$11,J342)*POWER(Upgrades!$Q$12,K342)</f>
        <v>5.61</v>
      </c>
      <c r="N342" s="28" t="n">
        <f aca="false">((IF(E342=0,0,(Upgrades!$G$6+E342*Upgrades!$H$6)*POWER(Upgrades!$I$6,E342)))*(IF(Upgrades!$T$7="Solar Wind",POWER(Upgrades!$U$7,F342),1)*IF(Upgrades!$T$8="Solar Wind",POWER(Upgrades!$U$8,G342),1)*IF(Upgrades!$T$9="Solar Wind",POWER(Upgrades!$U$9,H342),1)*IF(Upgrades!$T$10="Solar Wind",POWER(Upgrades!$U$10,I342),1)*IF(Upgrades!$T$11="Solar Wind",POWER(Upgrades!$U$11,J342),1)*IF(Upgrades!$T$12="Solar Wind",POWER(Upgrades!$U$12,K342),1))+(IF(F342=0,0,(Upgrades!$G$7+F342*Upgrades!$H$7)*POWER(Upgrades!$I$7,F342)))*(IF(Upgrades!$T$6="Asteroid Belt",POWER(Upgrades!$U$6,E342),1)*IF(Upgrades!$T$8="Asteroid Belt",POWER(Upgrades!$U$8,G342),1)*IF(Upgrades!$T$9="Asteroid Belt",POWER(Upgrades!$U$9,H342),1)*IF(Upgrades!$T$10="Asteroid Belt",POWER(Upgrades!$U$10,I342),1)*IF(Upgrades!$T$11="Asteroid Belt",POWER(Upgrades!$U$11,J342),1)*IF(Upgrades!$T$12="Asteroid Belt",POWER(Upgrades!$U$12,K342),1))+(IF(G342=0,0,(Upgrades!$G$8+G342*Upgrades!$H$8)*POWER(Upgrades!$I$8,G342)))*(IF(Upgrades!$T$6="Stellar Coupling",POWER(Upgrades!$U$6,E342),1)*IF(Upgrades!$T$7="Stellar Coupling",POWER(Upgrades!$U$7,F342),1)*IF(Upgrades!$T$9="Stellar Coupling",POWER(Upgrades!$U$9,H342),1)*IF(Upgrades!$T$10="Stellar Coupling",POWER(Upgrades!$U$10,I342),1)*IF(Upgrades!$T$11="Stellar Coupling",POWER(Upgrades!$U$11,J342),1)*IF(Upgrades!$T$12="Stellar Coupling",POWER(Upgrades!$U$12,K342),1))+(IF(H342=0,0,(Upgrades!$G$9+H342*Upgrades!$H$9)*POWER(Upgrades!$I$9,H342)))*(IF(Upgrades!$T$6="Magnetosphere",POWER(Upgrades!$U$6,E342),1)*IF(Upgrades!$T$7="Magnetosphere",POWER(Upgrades!$U$7,F342),1)*IF(Upgrades!$T$8="Magnetosphere",POWER(Upgrades!$U$8,G342),1)*IF(Upgrades!$T$10="Magnetosphere",POWER(Upgrades!$U$10,I342),1)*IF(Upgrades!$T$11="Magnetosphere",POWER(Upgrades!$U$11,J342),1)*IF(Upgrades!$T$12="Magnetosphere",POWER(Upgrades!$U$12,K342),1))+(IF(I342=0,0,(Upgrades!$G$10+I342*Upgrades!$H$10)*POWER(Upgrades!$I$10,I342)))*(IF(Upgrades!$T$6="Orbital Resonance",POWER(Upgrades!$U$6,E342),1)*IF(Upgrades!$T$7="Orbital Resonance",POWER(Upgrades!$U$7,F342),1)*IF(Upgrades!$T$8="Orbital Resonance",POWER(Upgrades!$U$8,G342),1)*IF(Upgrades!$T$9="Orbital Resonance",POWER(Upgrades!$U$9,H342),1)*IF(Upgrades!$T$11="Orbital Resonance",POWER(Upgrades!$U$11,J342),1)*IF(Upgrades!$T$12="Orbital Resonance",POWER(Upgrades!$U$12,K342),1))+(IF(J342=0,0,(Upgrades!$G$11+J342*Upgrades!$H$11)*POWER(Upgrades!$I$11,J342)))*(IF(Upgrades!$T$6="Heliopause",POWER(Upgrades!$U$6,E342),1)*IF(Upgrades!$T$7="Heliopause",POWER(Upgrades!$U$7,F342),1)*IF(Upgrades!$T$8="Heliopause",POWER(Upgrades!$U$8,G342),1)*IF(Upgrades!$T$9="Heliopause",POWER(Upgrades!$U$9,H342),1)*IF(Upgrades!$T$10="Heliopause",POWER(Upgrades!$U$10,I342),1)*IF(Upgrades!$T$12="Heliopause",POWER(Upgrades!$U$12,K342),1))+(IF(K342=0,0,(Upgrades!$G$12+K342*Upgrades!$H$12)*POWER(Upgrades!$I$12,K342)))*(IF(Upgrades!$T$6="First Photons",POWER(Upgrades!$U$6,E342),1)*IF(Upgrades!$T$7="First Photons",POWER(Upgrades!$U$7,F342),1)*IF(Upgrades!$T$8="First Photons",POWER(Upgrades!$U$8,G342),1)*IF(Upgrades!$T$9="First Photons",POWER(Upgrades!$U$9,H342),1)*IF(Upgrades!$T$10="First Photons",POWER(Upgrades!$U$10,I342),1)*IF(Upgrades!$T$11="First Photons",POWER(Upgrades!$U$11,J342),1)))*POWER(Upgrades!$P$6,E342)*POWER(Upgrades!$P$7,F342)*POWER(Upgrades!$P$8,G342)*POWER(Upgrades!$P$9,H342)*POWER(Upgrades!$P$10,I342)*POWER(Upgrades!$P$11,J342)*POWER(Upgrades!$P$12,K342)</f>
        <v>11.2</v>
      </c>
      <c r="O342" s="28" t="n">
        <f aca="false">((IF(E342=0,0,(Upgrades!$M$6+E342*Upgrades!$N$6)*POWER(Upgrades!$O$6,E342)))*(IF(Upgrades!$T$7="Solar Wind",POWER(Upgrades!$U$7,F342),1)*IF(Upgrades!$T$8="Solar Wind",POWER(Upgrades!$U$8,G342),1)*IF(Upgrades!$T$9="Solar Wind",POWER(Upgrades!$U$9,H342),1)*IF(Upgrades!$T$10="Solar Wind",POWER(Upgrades!$U$10,I342),1)*IF(Upgrades!$T$11="Solar Wind",POWER(Upgrades!$U$11,J342),1)*IF(Upgrades!$T$12="Solar Wind",POWER(Upgrades!$U$12,K342),1))+(IF(F342=0,0,(Upgrades!$M$7+F342*Upgrades!$N$7)*POWER(Upgrades!$O$7,F342)))*(IF(Upgrades!$T$6="Asteroid Belt",POWER(Upgrades!$U$6,E342),1)*IF(Upgrades!$T$8="Asteroid Belt",POWER(Upgrades!$U$8,G342),1)*IF(Upgrades!$T$9="Asteroid Belt",POWER(Upgrades!$U$9,H342),1)*IF(Upgrades!$T$10="Asteroid Belt",POWER(Upgrades!$U$10,I342),1)*IF(Upgrades!$T$11="Asteroid Belt",POWER(Upgrades!$U$11,J342),1)*IF(Upgrades!$T$12="Asteroid Belt",POWER(Upgrades!$U$12,K342),1))+(IF(G342=0,0,(Upgrades!$M$8+G342*Upgrades!$N$8)*POWER(Upgrades!$O$8,G342)))*(IF(Upgrades!$T$6="Stellar Coupling",POWER(Upgrades!$U$6,E342),1)*IF(Upgrades!$T$7="Stellar Coupling",POWER(Upgrades!$U$7,F342),1)*IF(Upgrades!$T$9="Stellar Coupling",POWER(Upgrades!$U$9,H342),1)*IF(Upgrades!$T$10="Stellar Coupling",POWER(Upgrades!$U$10,I342),1)*IF(Upgrades!$T$11="Stellar Coupling",POWER(Upgrades!$U$11,J342),1)*IF(Upgrades!$T$12="Stellar Coupling",POWER(Upgrades!$U$12,K342),1))+(IF(H342=0,0,(Upgrades!$M$9+H342*Upgrades!$N$9)*POWER(Upgrades!$O$9,H342)))*(IF(Upgrades!$T$6="Magnetosphere",POWER(Upgrades!$U$6,E342),1)*IF(Upgrades!$T$7="Magnetosphere",POWER(Upgrades!$U$7,F342),1)*IF(Upgrades!$T$8="Magnetosphere",POWER(Upgrades!$U$8,G342),1)*IF(Upgrades!$T$10="Magnetosphere",POWER(Upgrades!$U$10,I342),1)*IF(Upgrades!$T$11="Magnetosphere",POWER(Upgrades!$U$11,J342),1)*IF(Upgrades!$T$12="Magnetosphere",POWER(Upgrades!$U$12,K342),1))+(IF(I342=0,0,(Upgrades!$M$10+I342*Upgrades!$N$10)*POWER(Upgrades!$O$10,I342)))*(IF(Upgrades!$T$6="Orbital Resonance",POWER(Upgrades!$U$6,E342),1)*IF(Upgrades!$T$7="Orbital Resonance",POWER(Upgrades!$U$7,F342),1)*IF(Upgrades!$T$8="Orbital Resonance",POWER(Upgrades!$U$8,G342),1)*IF(Upgrades!$T$9="Orbital Resonance",POWER(Upgrades!$U$9,H342),1)*IF(Upgrades!$T$11="Orbital Resonance",POWER(Upgrades!$U$11,J342),1)*IF(Upgrades!$T$12="Orbital Resonance",POWER(Upgrades!$U$12,K342),1))+(IF(J342=0,0,(Upgrades!$M$11+J342*Upgrades!$N$11)*POWER(Upgrades!$O$11,J342)))*(IF(Upgrades!$T$6="Heliopause",POWER(Upgrades!$U$6,E342),1)*IF(Upgrades!$T$7="Heliopause",POWER(Upgrades!$U$7,F342),1)*IF(Upgrades!$T$8="Heliopause",POWER(Upgrades!$U$8,G342),1)*IF(Upgrades!$T$9="Heliopause",POWER(Upgrades!$U$9,H342),1)*IF(Upgrades!$T$10="Heliopause",POWER(Upgrades!$U$10,I342),1)*IF(Upgrades!$T$12="Heliopause",POWER(Upgrades!$U$12,K342),1))+(IF(K342=0,0,(Upgrades!$M$12+K342*Upgrades!$N$12)*POWER(Upgrades!$O$12,K342)))*(IF(Upgrades!$T$6="First Photons",POWER(Upgrades!$U$6,E342),1)*IF(Upgrades!$T$7="First Photons",POWER(Upgrades!$U$7,F342),1)*IF(Upgrades!$T$8="First Photons",POWER(Upgrades!$U$8,G342),1)*IF(Upgrades!$T$9="First Photons",POWER(Upgrades!$U$9,H342),1)*IF(Upgrades!$T$10="First Photons",POWER(Upgrades!$U$10,I342),1)*IF(Upgrades!$T$11="First Photons",POWER(Upgrades!$U$11,J342),1)))*POWER(Upgrades!$R$6,E342)*POWER(Upgrades!$R$7,F342)*POWER(Upgrades!$R$8,G342)*POWER(Upgrades!$R$9,H342)*POWER(Upgrades!$R$10,I342)*POWER(Upgrades!$R$11,J342)*POWER(Upgrades!$R$12,K342)</f>
        <v>0</v>
      </c>
      <c r="P342" s="27" t="n">
        <f aca="false">IF(L342=1,0,M342*Parameters!$B$10/60*Parameters!$B$11*10)</f>
        <v>0</v>
      </c>
      <c r="Q342" s="27" t="n">
        <f aca="false">IF(L342=1,0,O342*M342*10)</f>
        <v>0</v>
      </c>
      <c r="R342" s="27" t="n">
        <f aca="false">IF(L342=1,0,N342*10)</f>
        <v>0</v>
      </c>
      <c r="S342" s="27" t="n">
        <f aca="false">P342+Q342+R342</f>
        <v>0</v>
      </c>
      <c r="T342" s="21" t="n">
        <f aca="false">C342+S342</f>
        <v>18.6730249835055</v>
      </c>
      <c r="U342" s="34" t="str">
        <f aca="false">AX342</f>
        <v/>
      </c>
      <c r="V342" s="21" t="n">
        <f aca="false">IF(U342="",0,IF(U342="transition",0,IF(U342="SW",AG342,IF(U342="AB",AH342,IF(U342="SC",AI342,IF(U342="Mag",AJ342,IF(U342="OR",AK342,IF(U342="HP",AL342,IF(U342="FP",AM342,0)))))))))</f>
        <v>0</v>
      </c>
      <c r="W342" s="27" t="n">
        <f aca="false">IF(U342="OR",Upgrades!$F$10,IF(U342="HP",Upgrades!$F$11,IF(U342="transition",-Parameters!$B$18,0)))</f>
        <v>0</v>
      </c>
      <c r="X342" s="21" t="n">
        <f aca="false">T342-V342</f>
        <v>18.6730249835055</v>
      </c>
      <c r="Y342" s="30" t="n">
        <f aca="false">M342*Parameters!$B$10/60*Parameters!$B$11+O342*M342+N342</f>
        <v>20.55</v>
      </c>
      <c r="Z342" s="35" t="str">
        <f aca="false">IF(U342="transition","→ Tier 2 (Stellar Neighborhood)",IF(U342="FP","First Photons — light begins, system quickens",IF(U342="HP","Heliopause acquired",IF(U342="OR","Orbital Resonance — passive multiplier active",IF(AND(AO342=1,L342=0,AN342&lt;&gt;1),"Cohesion ready (waiting on completionist upgrades)","")))))</f>
        <v/>
      </c>
      <c r="AA342" s="27" t="n">
        <f aca="false">(IF(E342=0,0,(Upgrades!$G$6+E342*Upgrades!$H$6)*POWER(Upgrades!$I$6,E342)))*(IF(Upgrades!$T$7="Solar Wind",POWER(Upgrades!$U$7,F342),1)*IF(Upgrades!$T$8="Solar Wind",POWER(Upgrades!$U$8,G342),1)*IF(Upgrades!$T$9="Solar Wind",POWER(Upgrades!$U$9,H342),1)*IF(Upgrades!$T$10="Solar Wind",POWER(Upgrades!$U$10,I342),1)*IF(Upgrades!$T$11="Solar Wind",POWER(Upgrades!$U$11,J342),1)*IF(Upgrades!$T$12="Solar Wind",POWER(Upgrades!$U$12,K342),1))*POWER(Upgrades!$P$6,E342)*POWER(Upgrades!$P$7,F342)*POWER(Upgrades!$P$8,G342)*POWER(Upgrades!$P$9,H342)*POWER(Upgrades!$P$10,I342)*POWER(Upgrades!$P$11,J342)*POWER(Upgrades!$P$12,K342)*60</f>
        <v>72</v>
      </c>
      <c r="AB342" s="27" t="n">
        <f aca="false">(IF(F342=0,0,(Upgrades!$G$7+F342*Upgrades!$H$7)*POWER(Upgrades!$I$7,F342)))*(IF(Upgrades!$T$6="Asteroid Belt",POWER(Upgrades!$U$6,E342),1)*IF(Upgrades!$T$8="Asteroid Belt",POWER(Upgrades!$U$8,G342),1)*IF(Upgrades!$T$9="Asteroid Belt",POWER(Upgrades!$U$9,H342),1)*IF(Upgrades!$T$10="Asteroid Belt",POWER(Upgrades!$U$10,I342),1)*IF(Upgrades!$T$11="Asteroid Belt",POWER(Upgrades!$U$11,J342),1)*IF(Upgrades!$T$12="Asteroid Belt",POWER(Upgrades!$U$12,K342),1))*POWER(Upgrades!$P$6,E342)*POWER(Upgrades!$P$7,F342)*POWER(Upgrades!$P$8,G342)*POWER(Upgrades!$P$9,H342)*POWER(Upgrades!$P$10,I342)*POWER(Upgrades!$P$11,J342)*POWER(Upgrades!$P$12,K342)*60</f>
        <v>150</v>
      </c>
      <c r="AC342" s="27" t="n">
        <f aca="false">(IF(G342=0,0,(Upgrades!$J$8+G342*Upgrades!$K$8)*POWER(Upgrades!$L$8,G342)))*(IF(Upgrades!$T$6="Stellar Coupling",POWER(Upgrades!$U$6,E342),1)*IF(Upgrades!$T$7="Stellar Coupling",POWER(Upgrades!$U$7,F342),1)*IF(Upgrades!$T$9="Stellar Coupling",POWER(Upgrades!$U$9,H342),1)*IF(Upgrades!$T$10="Stellar Coupling",POWER(Upgrades!$U$10,I342),1)*IF(Upgrades!$T$11="Stellar Coupling",POWER(Upgrades!$U$11,J342),1)*IF(Upgrades!$T$12="Stellar Coupling",POWER(Upgrades!$U$12,K342),1))*POWER(Upgrades!$Q$6,E342)*POWER(Upgrades!$Q$7,F342)*POWER(Upgrades!$Q$8,G342)*POWER(Upgrades!$Q$9,H342)*POWER(Upgrades!$Q$10,I342)*POWER(Upgrades!$Q$11,J342)*POWER(Upgrades!$Q$12,K342)*Parameters!$B$10*Parameters!$B$11</f>
        <v>441</v>
      </c>
      <c r="AD342" s="27" t="n">
        <f aca="false">(IF(H342=0,0,(Upgrades!$G$9+H342*Upgrades!$H$9)*POWER(Upgrades!$I$9,H342)))*(IF(Upgrades!$T$6="Magnetosphere",POWER(Upgrades!$U$6,E342),1)*IF(Upgrades!$T$7="Magnetosphere",POWER(Upgrades!$U$7,F342),1)*IF(Upgrades!$T$8="Magnetosphere",POWER(Upgrades!$U$8,G342),1)*IF(Upgrades!$T$10="Magnetosphere",POWER(Upgrades!$U$10,I342),1)*IF(Upgrades!$T$11="Magnetosphere",POWER(Upgrades!$U$11,J342),1)*IF(Upgrades!$T$12="Magnetosphere",POWER(Upgrades!$U$12,K342),1))*POWER(Upgrades!$P$6,E342)*POWER(Upgrades!$P$7,F342)*POWER(Upgrades!$P$8,G342)*POWER(Upgrades!$P$9,H342)*POWER(Upgrades!$P$10,I342)*POWER(Upgrades!$P$11,J342)*POWER(Upgrades!$P$12,K342)*60</f>
        <v>375</v>
      </c>
      <c r="AE342" s="27" t="n">
        <f aca="false">(IF(K342=0,0,(Upgrades!$G$12+K342*Upgrades!$H$12)*POWER(Upgrades!$I$12,K342)))*(IF(Upgrades!$T$6="First Photons",POWER(Upgrades!$U$6,E342),1)*IF(Upgrades!$T$7="First Photons",POWER(Upgrades!$U$7,F342),1)*IF(Upgrades!$T$8="First Photons",POWER(Upgrades!$U$8,G342),1)*IF(Upgrades!$T$9="First Photons",POWER(Upgrades!$U$9,H342),1)*IF(Upgrades!$T$10="First Photons",POWER(Upgrades!$U$10,I342),1)*IF(Upgrades!$T$11="First Photons",POWER(Upgrades!$U$11,J342),1))*POWER(Upgrades!$P$6,E342)*POWER(Upgrades!$P$7,F342)*POWER(Upgrades!$P$8,G342)*POWER(Upgrades!$P$9,H342)*POWER(Upgrades!$P$10,I342)*POWER(Upgrades!$P$11,J342)*POWER(Upgrades!$P$12,K342)*60</f>
        <v>75</v>
      </c>
      <c r="AF342" s="27" t="n">
        <f aca="false">Parameters!$B$9*POWER(Upgrades!$Q$6,E342)*POWER(Upgrades!$Q$7,F342)*POWER(Upgrades!$Q$8,G342)*POWER(Upgrades!$Q$9,H342)*POWER(Upgrades!$Q$10,I342)*POWER(Upgrades!$Q$11,J342)*POWER(Upgrades!$Q$12,K342)*(Parameters!$B$10*Parameters!$B$11+O342*60)</f>
        <v>120</v>
      </c>
      <c r="AG342" s="21" t="n">
        <f aca="false">IF(E342&gt;=Upgrades!$E$6,"",Upgrades!$C$6*POWER(Upgrades!$D$6,E342))</f>
        <v>37.4517507383159</v>
      </c>
      <c r="AH342" s="21" t="n">
        <f aca="false">IF(F342&gt;=Upgrades!$E$7,"",Upgrades!$C$7*POWER(Upgrades!$D$7,F342))</f>
        <v>80.9111547141581</v>
      </c>
      <c r="AI342" s="21" t="n">
        <f aca="false">IF(G342&gt;=Upgrades!$E$8,"",Upgrades!$C$8*POWER(Upgrades!$D$8,G342))</f>
        <v>231.9097088</v>
      </c>
      <c r="AJ342" s="21" t="str">
        <f aca="false">IF(H342&gt;=Upgrades!$E$9,"",Upgrades!$C$9*POWER(Upgrades!$D$9,H342))</f>
        <v/>
      </c>
      <c r="AK342" s="21" t="str">
        <f aca="false">IF(I342&gt;=Upgrades!$E$10,"",Upgrades!$C$10*POWER(Upgrades!$D$10,I342))</f>
        <v/>
      </c>
      <c r="AL342" s="21" t="str">
        <f aca="false">IF(J342&gt;=Upgrades!$E$11,"",Upgrades!$C$11*POWER(Upgrades!$D$11,J342))</f>
        <v/>
      </c>
      <c r="AM342" s="21" t="str">
        <f aca="false">IF(K342&gt;=Upgrades!$E$12,"",Upgrades!$C$12*POWER(Upgrades!$D$12,K342))</f>
        <v/>
      </c>
      <c r="AN342" s="26" t="str">
        <f aca="false">IF(AND(D342&gt;=Parameters!$B$18,(H342&gt;=Upgrades!$E$9)*(K342&gt;=Upgrades!$E$12)=1,L342=0),1,"")</f>
        <v/>
      </c>
      <c r="AO342" s="26" t="str">
        <f aca="false">IF(AND(D342&gt;=Parameters!$B$18,L342=0),1,"")</f>
        <v/>
      </c>
      <c r="AP342" s="21" t="n">
        <f aca="false">MIN(IF(ISNUMBER(AK342),AK342,9000000000000000),IF(ISNUMBER(AL342),AL342,9000000000000000),IF(ISNUMBER(AM342),AM342,9000000000000000))</f>
        <v>9000000000000000</v>
      </c>
      <c r="AQ342" s="21" t="n">
        <f aca="false">MIN(IF(ISNUMBER(AG342),AG342,9000000000000000),IF(ISNUMBER(AH342),AH342,9000000000000000),IF(ISNUMBER(AI342),AI342,9000000000000000),IF(ISNUMBER(AJ342),AJ342,9000000000000000))</f>
        <v>37.4517507383159</v>
      </c>
      <c r="AR342" s="32" t="b">
        <f aca="false">IF(AW342&gt;Parameters!$B$21*(MAX(IF(AND(NOT(AND(AO342=1,AN342&lt;&gt;1)),ISNUMBER(AG342),AG342&lt;=T342),AS342,0),IF(AND(NOT(AND(AO342=1,AN342&lt;&gt;1)),ISNUMBER(AH342),AH342&lt;=T342),AT342,0),IF(AND(NOT(AND(AO342=1,AN342&lt;&gt;1)),ISNUMBER(AI342),AI342&lt;=T342),AU342,0),IF(AND(ISNUMBER(AJ342),AJ342&lt;=T342),AV342,0))),TRUE(),FALSE())</f>
        <v>1</v>
      </c>
      <c r="AS342" s="33" t="n">
        <f aca="false">IFERROR(Upgrades!$H$6*(POWER(Upgrades!$P$6,E342)*POWER(Upgrades!$P$7,F342)*POWER(Upgrades!$P$8,G342)*POWER(Upgrades!$P$9,H342)*POWER(Upgrades!$P$10,I342)*POWER(Upgrades!$P$11,J342)*POWER(Upgrades!$P$12,K342))*(IF(Upgrades!$T$7="Solar Wind",POWER(Upgrades!$U$7,F342),1)*IF(Upgrades!$T$8="Solar Wind",POWER(Upgrades!$U$8,G342),1)*IF(Upgrades!$T$9="Solar Wind",POWER(Upgrades!$U$9,H342),1)*IF(Upgrades!$T$10="Solar Wind",POWER(Upgrades!$U$10,I342),1)*IF(Upgrades!$T$11="Solar Wind",POWER(Upgrades!$U$11,J342),1)*IF(Upgrades!$T$12="Solar Wind",POWER(Upgrades!$U$12,K342),1))/AG342,0)</f>
        <v>0.0026701021455238</v>
      </c>
      <c r="AT342" s="33" t="n">
        <f aca="false">IFERROR(Upgrades!$H$7*(POWER(Upgrades!$P$6,E342)*POWER(Upgrades!$P$7,F342)*POWER(Upgrades!$P$8,G342)*POWER(Upgrades!$P$9,H342)*POWER(Upgrades!$P$10,I342)*POWER(Upgrades!$P$11,J342)*POWER(Upgrades!$P$12,K342))*(IF(Upgrades!$T$6="Asteroid Belt",POWER(Upgrades!$U$6,E342),1)*IF(Upgrades!$T$8="Asteroid Belt",POWER(Upgrades!$U$8,G342),1)*IF(Upgrades!$T$9="Asteroid Belt",POWER(Upgrades!$U$9,H342),1)*IF(Upgrades!$T$10="Asteroid Belt",POWER(Upgrades!$U$10,I342),1)*IF(Upgrades!$T$11="Asteroid Belt",POWER(Upgrades!$U$11,J342),1)*IF(Upgrades!$T$12="Asteroid Belt",POWER(Upgrades!$U$12,K342),1))/AH342,0)</f>
        <v>0.00308980882652332</v>
      </c>
      <c r="AU342" s="33" t="n">
        <f aca="false">IFERROR(Upgrades!$K$8*(POWER(Upgrades!$Q$6,E342)*POWER(Upgrades!$Q$7,F342)*POWER(Upgrades!$Q$8,G342)*POWER(Upgrades!$Q$9,H342)*POWER(Upgrades!$Q$10,I342)*POWER(Upgrades!$Q$11,J342)*POWER(Upgrades!$Q$12,K342))*(IF(Upgrades!$T$6="Stellar Coupling",POWER(Upgrades!$U$6,E342),1)*IF(Upgrades!$T$7="Stellar Coupling",POWER(Upgrades!$U$7,F342),1)*IF(Upgrades!$T$9="Stellar Coupling",POWER(Upgrades!$U$9,H342),1)*IF(Upgrades!$T$10="Stellar Coupling",POWER(Upgrades!$U$10,I342),1)*IF(Upgrades!$T$11="Stellar Coupling",POWER(Upgrades!$U$11,J342),1)*IF(Upgrades!$T$12="Stellar Coupling",POWER(Upgrades!$U$12,K342),1))*Parameters!$B$10*Parameters!$B$11/60/AI342,0)</f>
        <v>0.00452762415783776</v>
      </c>
      <c r="AV342" s="33" t="n">
        <f aca="false">IFERROR(Upgrades!$H$9*(POWER(Upgrades!$P$6,E342)*POWER(Upgrades!$P$7,F342)*POWER(Upgrades!$P$8,G342)*POWER(Upgrades!$P$9,H342)*POWER(Upgrades!$P$10,I342)*POWER(Upgrades!$P$11,J342)*POWER(Upgrades!$P$12,K342))*(IF(Upgrades!$T$6="Magnetosphere",POWER(Upgrades!$U$6,E342),1)*IF(Upgrades!$T$7="Magnetosphere",POWER(Upgrades!$U$7,F342),1)*IF(Upgrades!$T$8="Magnetosphere",POWER(Upgrades!$U$8,G342),1)*IF(Upgrades!$T$10="Magnetosphere",POWER(Upgrades!$U$10,I342),1)*IF(Upgrades!$T$11="Magnetosphere",POWER(Upgrades!$U$11,J342),1)*IF(Upgrades!$T$12="Magnetosphere",POWER(Upgrades!$U$12,K342),1))/AJ342,0)</f>
        <v>0</v>
      </c>
      <c r="AW342" s="33" t="n">
        <f aca="false">MAX(IF(I342&gt;0,0,IFERROR(0.25*N342/Upgrades!$C$10,0)),IF(J342&gt;0,0,IFERROR(0.5*((IF(G342=0,0,(Upgrades!$J$8+G342*Upgrades!$K$8)*POWER(Upgrades!$L$8,G342)))*(IF(Upgrades!$T$6="Stellar Coupling",POWER(Upgrades!$U$6,E342),1)*IF(Upgrades!$T$7="Stellar Coupling",POWER(Upgrades!$U$7,F342),1)*IF(Upgrades!$T$9="Stellar Coupling",POWER(Upgrades!$U$9,H342),1)*IF(Upgrades!$T$10="Stellar Coupling",POWER(Upgrades!$U$10,I342),1)*IF(Upgrades!$T$11="Stellar Coupling",POWER(Upgrades!$U$11,J342),1)*IF(Upgrades!$T$12="Stellar Coupling",POWER(Upgrades!$U$12,K342),1))*(POWER(Upgrades!$Q$6,E342)*POWER(Upgrades!$Q$7,F342)*POWER(Upgrades!$Q$8,G342)*POWER(Upgrades!$Q$9,H342)*POWER(Upgrades!$Q$10,I342)*POWER(Upgrades!$Q$11,J342)*POWER(Upgrades!$Q$12,K342))*Parameters!$B$10*Parameters!$B$11/60)/Upgrades!$C$11,0)),IF(K342&gt;0,0,IFERROR((1*(POWER(Upgrades!$P$6,E342)*POWER(Upgrades!$P$7,F342)*POWER(Upgrades!$P$8,G342)*POWER(Upgrades!$P$9,H342)*POWER(Upgrades!$P$10,I342)*POWER(Upgrades!$P$11,J342)*POWER(Upgrades!$P$12,K342))+0.2*M342*Parameters!$B$10*Parameters!$B$11/60)/Upgrades!$C$12,0)),IF(AND(ISNUMBER(AG342),AG342&gt;T342),AS342,0),IF(AND(ISNUMBER(AH342),AH342&gt;T342),AT342,0),IF(AND(ISNUMBER(AI342),AI342&gt;T342),AU342,0),IF(AND(ISNUMBER(AJ342),AJ342&gt;T342),AV342,0))</f>
        <v>0.00452762415783776</v>
      </c>
      <c r="AX342" s="29" t="str">
        <f aca="false">IF(AN342=1,"transition",IF(MIN(IF(AND(I342=0,ISNUMBER(AK342),AK342&lt;=T342),AK342,9000000000000000),IF(AND(J342=0,ISNUMBER(AL342),AL342&lt;=T342),AL342,9000000000000000),IF(AND(K342=0,ISNUMBER(AM342),AM342&lt;=T342),AM342,9000000000000000))&lt;9000000000000000,IF(AND(AND(I342=0,ISNUMBER(AK342),AK342&lt;=T342),AK342=MIN(IF(AND(I342=0,ISNUMBER(AK342),AK342&lt;=T342),AK342,9000000000000000),IF(AND(J342=0,ISNUMBER(AL342),AL342&lt;=T342),AL342,9000000000000000),IF(AND(K342=0,ISNUMBER(AM342),AM342&lt;=T342),AM342,9000000000000000))),"OR",IF(AND(AND(J342=0,ISNUMBER(AL342),AL342&lt;=T342),AL342=MIN(IF(AND(I342=0,ISNUMBER(AK342),AK342&lt;=T342),AK342,9000000000000000),IF(AND(J342=0,ISNUMBER(AL342),AL342&lt;=T342),AL342,9000000000000000),IF(AND(K342=0,ISNUMBER(AM342),AM342&lt;=T342),AM342,9000000000000000))),"HP","FP")),IF(AR342=TRUE(),"",IF(MAX(IF(AND(NOT(AND(AO342=1,AN342&lt;&gt;1)),ISNUMBER(AG342),AG342&lt;=T342),AS342,0),IF(AND(NOT(AND(AO342=1,AN342&lt;&gt;1)),ISNUMBER(AH342),AH342&lt;=T342),AT342,0),IF(AND(NOT(AND(AO342=1,AN342&lt;&gt;1)),ISNUMBER(AI342),AI342&lt;=T342),AU342,0),IF(AND(ISNUMBER(AJ342),AJ342&lt;=T342),AV342,0))&lt;=0,"",IF(AND(IF(AND(NOT(AND(AO342=1,AN342&lt;&gt;1)),ISNUMBER(AG342),AG342&lt;=T342),AS342,0)&gt;0,IF(AND(NOT(AND(AO342=1,AN342&lt;&gt;1)),ISNUMBER(AG342),AG342&lt;=T342),AS342,0)=MAX(IF(AND(NOT(AND(AO342=1,AN342&lt;&gt;1)),ISNUMBER(AG342),AG342&lt;=T342),AS342,0),IF(AND(NOT(AND(AO342=1,AN342&lt;&gt;1)),ISNUMBER(AH342),AH342&lt;=T342),AT342,0),IF(AND(NOT(AND(AO342=1,AN342&lt;&gt;1)),ISNUMBER(AI342),AI342&lt;=T342),AU342,0),IF(AND(ISNUMBER(AJ342),AJ342&lt;=T342),AV342,0))),"SW",IF(AND(IF(AND(NOT(AND(AO342=1,AN342&lt;&gt;1)),ISNUMBER(AH342),AH342&lt;=T342),AT342,0)&gt;0,IF(AND(NOT(AND(AO342=1,AN342&lt;&gt;1)),ISNUMBER(AH342),AH342&lt;=T342),AT342,0)=MAX(IF(AND(NOT(AND(AO342=1,AN342&lt;&gt;1)),ISNUMBER(AG342),AG342&lt;=T342),AS342,0),IF(AND(NOT(AND(AO342=1,AN342&lt;&gt;1)),ISNUMBER(AH342),AH342&lt;=T342),AT342,0),IF(AND(NOT(AND(AO342=1,AN342&lt;&gt;1)),ISNUMBER(AI342),AI342&lt;=T342),AU342,0),IF(AND(ISNUMBER(AJ342),AJ342&lt;=T342),AV342,0))),"AB",IF(AND(IF(AND(NOT(AND(AO342=1,AN342&lt;&gt;1)),ISNUMBER(AI342),AI342&lt;=T342),AU342,0)&gt;0,IF(AND(NOT(AND(AO342=1,AN342&lt;&gt;1)),ISNUMBER(AI342),AI342&lt;=T342),AU342,0)=MAX(IF(AND(NOT(AND(AO342=1,AN342&lt;&gt;1)),ISNUMBER(AG342),AG342&lt;=T342),AS342,0),IF(AND(NOT(AND(AO342=1,AN342&lt;&gt;1)),ISNUMBER(AH342),AH342&lt;=T342),AT342,0),IF(AND(NOT(AND(AO342=1,AN342&lt;&gt;1)),ISNUMBER(AI342),AI342&lt;=T342),AU342,0),IF(AND(ISNUMBER(AJ342),AJ342&lt;=T342),AV342,0))),"SC","Mag")))))))</f>
        <v/>
      </c>
    </row>
    <row r="343" customFormat="false" ht="15" hidden="false" customHeight="false" outlineLevel="0" collapsed="false">
      <c r="A343" s="26" t="n">
        <v>338</v>
      </c>
      <c r="B343" s="27" t="n">
        <f aca="false">A343*10/60</f>
        <v>56.3333333333333</v>
      </c>
      <c r="C343" s="21" t="n">
        <f aca="false">X342</f>
        <v>18.6730249835055</v>
      </c>
      <c r="D343" s="27" t="n">
        <f aca="false">D342+W342</f>
        <v>0</v>
      </c>
      <c r="E343" s="26" t="n">
        <f aca="false">E342+IF(U342="SW",1,0)</f>
        <v>12</v>
      </c>
      <c r="F343" s="26" t="n">
        <f aca="false">F342+IF(U342="AB",1,0)</f>
        <v>10</v>
      </c>
      <c r="G343" s="26" t="n">
        <f aca="false">G342+IF(U342="SC",1,0)</f>
        <v>7</v>
      </c>
      <c r="H343" s="26" t="n">
        <f aca="false">H342+IF(U342="Mag",1,0)</f>
        <v>5</v>
      </c>
      <c r="I343" s="26" t="n">
        <f aca="false">MAX(I342,IF(U342="OR",1,0))</f>
        <v>1</v>
      </c>
      <c r="J343" s="26" t="n">
        <f aca="false">MAX(J342,IF(U342="HP",1,0))</f>
        <v>1</v>
      </c>
      <c r="K343" s="26" t="n">
        <f aca="false">MAX(K342,IF(U342="FP",1,0))</f>
        <v>1</v>
      </c>
      <c r="L343" s="26" t="n">
        <f aca="false">MAX(L342,IF(U342="transition",1,0))</f>
        <v>1</v>
      </c>
      <c r="M343" s="28" t="n">
        <f aca="false">(Parameters!$B$9+(IF(E343=0,0,(Upgrades!$J$6+E343*Upgrades!$K$6)*POWER(Upgrades!$L$6,E343)))*(IF(Upgrades!$T$7="Solar Wind",POWER(Upgrades!$U$7,F343),1)*IF(Upgrades!$T$8="Solar Wind",POWER(Upgrades!$U$8,G343),1)*IF(Upgrades!$T$9="Solar Wind",POWER(Upgrades!$U$9,H343),1)*IF(Upgrades!$T$10="Solar Wind",POWER(Upgrades!$U$10,I343),1)*IF(Upgrades!$T$11="Solar Wind",POWER(Upgrades!$U$11,J343),1)*IF(Upgrades!$T$12="Solar Wind",POWER(Upgrades!$U$12,K343),1))+(IF(F343=0,0,(Upgrades!$J$7+F343*Upgrades!$K$7)*POWER(Upgrades!$L$7,F343)))*(IF(Upgrades!$T$6="Asteroid Belt",POWER(Upgrades!$U$6,E343),1)*IF(Upgrades!$T$8="Asteroid Belt",POWER(Upgrades!$U$8,G343),1)*IF(Upgrades!$T$9="Asteroid Belt",POWER(Upgrades!$U$9,H343),1)*IF(Upgrades!$T$10="Asteroid Belt",POWER(Upgrades!$U$10,I343),1)*IF(Upgrades!$T$11="Asteroid Belt",POWER(Upgrades!$U$11,J343),1)*IF(Upgrades!$T$12="Asteroid Belt",POWER(Upgrades!$U$12,K343),1))+(IF(G343=0,0,(Upgrades!$J$8+G343*Upgrades!$K$8)*POWER(Upgrades!$L$8,G343)))*(IF(Upgrades!$T$6="Stellar Coupling",POWER(Upgrades!$U$6,E343),1)*IF(Upgrades!$T$7="Stellar Coupling",POWER(Upgrades!$U$7,F343),1)*IF(Upgrades!$T$9="Stellar Coupling",POWER(Upgrades!$U$9,H343),1)*IF(Upgrades!$T$10="Stellar Coupling",POWER(Upgrades!$U$10,I343),1)*IF(Upgrades!$T$11="Stellar Coupling",POWER(Upgrades!$U$11,J343),1)*IF(Upgrades!$T$12="Stellar Coupling",POWER(Upgrades!$U$12,K343),1))+(IF(H343=0,0,(Upgrades!$J$9+H343*Upgrades!$K$9)*POWER(Upgrades!$L$9,H343)))*(IF(Upgrades!$T$6="Magnetosphere",POWER(Upgrades!$U$6,E343),1)*IF(Upgrades!$T$7="Magnetosphere",POWER(Upgrades!$U$7,F343),1)*IF(Upgrades!$T$8="Magnetosphere",POWER(Upgrades!$U$8,G343),1)*IF(Upgrades!$T$10="Magnetosphere",POWER(Upgrades!$U$10,I343),1)*IF(Upgrades!$T$11="Magnetosphere",POWER(Upgrades!$U$11,J343),1)*IF(Upgrades!$T$12="Magnetosphere",POWER(Upgrades!$U$12,K343),1))+(IF(I343=0,0,(Upgrades!$J$10+I343*Upgrades!$K$10)*POWER(Upgrades!$L$10,I343)))*(IF(Upgrades!$T$6="Orbital Resonance",POWER(Upgrades!$U$6,E343),1)*IF(Upgrades!$T$7="Orbital Resonance",POWER(Upgrades!$U$7,F343),1)*IF(Upgrades!$T$8="Orbital Resonance",POWER(Upgrades!$U$8,G343),1)*IF(Upgrades!$T$9="Orbital Resonance",POWER(Upgrades!$U$9,H343),1)*IF(Upgrades!$T$11="Orbital Resonance",POWER(Upgrades!$U$11,J343),1)*IF(Upgrades!$T$12="Orbital Resonance",POWER(Upgrades!$U$12,K343),1))+(IF(J343=0,0,(Upgrades!$J$11+J343*Upgrades!$K$11)*POWER(Upgrades!$L$11,J343)))*(IF(Upgrades!$T$6="Heliopause",POWER(Upgrades!$U$6,E343),1)*IF(Upgrades!$T$7="Heliopause",POWER(Upgrades!$U$7,F343),1)*IF(Upgrades!$T$8="Heliopause",POWER(Upgrades!$U$8,G343),1)*IF(Upgrades!$T$9="Heliopause",POWER(Upgrades!$U$9,H343),1)*IF(Upgrades!$T$10="Heliopause",POWER(Upgrades!$U$10,I343),1)*IF(Upgrades!$T$12="Heliopause",POWER(Upgrades!$U$12,K343),1))+(IF(K343=0,0,(Upgrades!$J$12+K343*Upgrades!$K$12)*POWER(Upgrades!$L$12,K343)))*(IF(Upgrades!$T$6="First Photons",POWER(Upgrades!$U$6,E343),1)*IF(Upgrades!$T$7="First Photons",POWER(Upgrades!$U$7,F343),1)*IF(Upgrades!$T$8="First Photons",POWER(Upgrades!$U$8,G343),1)*IF(Upgrades!$T$9="First Photons",POWER(Upgrades!$U$9,H343),1)*IF(Upgrades!$T$10="First Photons",POWER(Upgrades!$U$10,I343),1)*IF(Upgrades!$T$11="First Photons",POWER(Upgrades!$U$11,J343),1)))*POWER(Upgrades!$Q$6,E343)*POWER(Upgrades!$Q$7,F343)*POWER(Upgrades!$Q$8,G343)*POWER(Upgrades!$Q$9,H343)*POWER(Upgrades!$Q$10,I343)*POWER(Upgrades!$Q$11,J343)*POWER(Upgrades!$Q$12,K343)</f>
        <v>5.61</v>
      </c>
      <c r="N343" s="28" t="n">
        <f aca="false">((IF(E343=0,0,(Upgrades!$G$6+E343*Upgrades!$H$6)*POWER(Upgrades!$I$6,E343)))*(IF(Upgrades!$T$7="Solar Wind",POWER(Upgrades!$U$7,F343),1)*IF(Upgrades!$T$8="Solar Wind",POWER(Upgrades!$U$8,G343),1)*IF(Upgrades!$T$9="Solar Wind",POWER(Upgrades!$U$9,H343),1)*IF(Upgrades!$T$10="Solar Wind",POWER(Upgrades!$U$10,I343),1)*IF(Upgrades!$T$11="Solar Wind",POWER(Upgrades!$U$11,J343),1)*IF(Upgrades!$T$12="Solar Wind",POWER(Upgrades!$U$12,K343),1))+(IF(F343=0,0,(Upgrades!$G$7+F343*Upgrades!$H$7)*POWER(Upgrades!$I$7,F343)))*(IF(Upgrades!$T$6="Asteroid Belt",POWER(Upgrades!$U$6,E343),1)*IF(Upgrades!$T$8="Asteroid Belt",POWER(Upgrades!$U$8,G343),1)*IF(Upgrades!$T$9="Asteroid Belt",POWER(Upgrades!$U$9,H343),1)*IF(Upgrades!$T$10="Asteroid Belt",POWER(Upgrades!$U$10,I343),1)*IF(Upgrades!$T$11="Asteroid Belt",POWER(Upgrades!$U$11,J343),1)*IF(Upgrades!$T$12="Asteroid Belt",POWER(Upgrades!$U$12,K343),1))+(IF(G343=0,0,(Upgrades!$G$8+G343*Upgrades!$H$8)*POWER(Upgrades!$I$8,G343)))*(IF(Upgrades!$T$6="Stellar Coupling",POWER(Upgrades!$U$6,E343),1)*IF(Upgrades!$T$7="Stellar Coupling",POWER(Upgrades!$U$7,F343),1)*IF(Upgrades!$T$9="Stellar Coupling",POWER(Upgrades!$U$9,H343),1)*IF(Upgrades!$T$10="Stellar Coupling",POWER(Upgrades!$U$10,I343),1)*IF(Upgrades!$T$11="Stellar Coupling",POWER(Upgrades!$U$11,J343),1)*IF(Upgrades!$T$12="Stellar Coupling",POWER(Upgrades!$U$12,K343),1))+(IF(H343=0,0,(Upgrades!$G$9+H343*Upgrades!$H$9)*POWER(Upgrades!$I$9,H343)))*(IF(Upgrades!$T$6="Magnetosphere",POWER(Upgrades!$U$6,E343),1)*IF(Upgrades!$T$7="Magnetosphere",POWER(Upgrades!$U$7,F343),1)*IF(Upgrades!$T$8="Magnetosphere",POWER(Upgrades!$U$8,G343),1)*IF(Upgrades!$T$10="Magnetosphere",POWER(Upgrades!$U$10,I343),1)*IF(Upgrades!$T$11="Magnetosphere",POWER(Upgrades!$U$11,J343),1)*IF(Upgrades!$T$12="Magnetosphere",POWER(Upgrades!$U$12,K343),1))+(IF(I343=0,0,(Upgrades!$G$10+I343*Upgrades!$H$10)*POWER(Upgrades!$I$10,I343)))*(IF(Upgrades!$T$6="Orbital Resonance",POWER(Upgrades!$U$6,E343),1)*IF(Upgrades!$T$7="Orbital Resonance",POWER(Upgrades!$U$7,F343),1)*IF(Upgrades!$T$8="Orbital Resonance",POWER(Upgrades!$U$8,G343),1)*IF(Upgrades!$T$9="Orbital Resonance",POWER(Upgrades!$U$9,H343),1)*IF(Upgrades!$T$11="Orbital Resonance",POWER(Upgrades!$U$11,J343),1)*IF(Upgrades!$T$12="Orbital Resonance",POWER(Upgrades!$U$12,K343),1))+(IF(J343=0,0,(Upgrades!$G$11+J343*Upgrades!$H$11)*POWER(Upgrades!$I$11,J343)))*(IF(Upgrades!$T$6="Heliopause",POWER(Upgrades!$U$6,E343),1)*IF(Upgrades!$T$7="Heliopause",POWER(Upgrades!$U$7,F343),1)*IF(Upgrades!$T$8="Heliopause",POWER(Upgrades!$U$8,G343),1)*IF(Upgrades!$T$9="Heliopause",POWER(Upgrades!$U$9,H343),1)*IF(Upgrades!$T$10="Heliopause",POWER(Upgrades!$U$10,I343),1)*IF(Upgrades!$T$12="Heliopause",POWER(Upgrades!$U$12,K343),1))+(IF(K343=0,0,(Upgrades!$G$12+K343*Upgrades!$H$12)*POWER(Upgrades!$I$12,K343)))*(IF(Upgrades!$T$6="First Photons",POWER(Upgrades!$U$6,E343),1)*IF(Upgrades!$T$7="First Photons",POWER(Upgrades!$U$7,F343),1)*IF(Upgrades!$T$8="First Photons",POWER(Upgrades!$U$8,G343),1)*IF(Upgrades!$T$9="First Photons",POWER(Upgrades!$U$9,H343),1)*IF(Upgrades!$T$10="First Photons",POWER(Upgrades!$U$10,I343),1)*IF(Upgrades!$T$11="First Photons",POWER(Upgrades!$U$11,J343),1)))*POWER(Upgrades!$P$6,E343)*POWER(Upgrades!$P$7,F343)*POWER(Upgrades!$P$8,G343)*POWER(Upgrades!$P$9,H343)*POWER(Upgrades!$P$10,I343)*POWER(Upgrades!$P$11,J343)*POWER(Upgrades!$P$12,K343)</f>
        <v>11.2</v>
      </c>
      <c r="O343" s="28" t="n">
        <f aca="false">((IF(E343=0,0,(Upgrades!$M$6+E343*Upgrades!$N$6)*POWER(Upgrades!$O$6,E343)))*(IF(Upgrades!$T$7="Solar Wind",POWER(Upgrades!$U$7,F343),1)*IF(Upgrades!$T$8="Solar Wind",POWER(Upgrades!$U$8,G343),1)*IF(Upgrades!$T$9="Solar Wind",POWER(Upgrades!$U$9,H343),1)*IF(Upgrades!$T$10="Solar Wind",POWER(Upgrades!$U$10,I343),1)*IF(Upgrades!$T$11="Solar Wind",POWER(Upgrades!$U$11,J343),1)*IF(Upgrades!$T$12="Solar Wind",POWER(Upgrades!$U$12,K343),1))+(IF(F343=0,0,(Upgrades!$M$7+F343*Upgrades!$N$7)*POWER(Upgrades!$O$7,F343)))*(IF(Upgrades!$T$6="Asteroid Belt",POWER(Upgrades!$U$6,E343),1)*IF(Upgrades!$T$8="Asteroid Belt",POWER(Upgrades!$U$8,G343),1)*IF(Upgrades!$T$9="Asteroid Belt",POWER(Upgrades!$U$9,H343),1)*IF(Upgrades!$T$10="Asteroid Belt",POWER(Upgrades!$U$10,I343),1)*IF(Upgrades!$T$11="Asteroid Belt",POWER(Upgrades!$U$11,J343),1)*IF(Upgrades!$T$12="Asteroid Belt",POWER(Upgrades!$U$12,K343),1))+(IF(G343=0,0,(Upgrades!$M$8+G343*Upgrades!$N$8)*POWER(Upgrades!$O$8,G343)))*(IF(Upgrades!$T$6="Stellar Coupling",POWER(Upgrades!$U$6,E343),1)*IF(Upgrades!$T$7="Stellar Coupling",POWER(Upgrades!$U$7,F343),1)*IF(Upgrades!$T$9="Stellar Coupling",POWER(Upgrades!$U$9,H343),1)*IF(Upgrades!$T$10="Stellar Coupling",POWER(Upgrades!$U$10,I343),1)*IF(Upgrades!$T$11="Stellar Coupling",POWER(Upgrades!$U$11,J343),1)*IF(Upgrades!$T$12="Stellar Coupling",POWER(Upgrades!$U$12,K343),1))+(IF(H343=0,0,(Upgrades!$M$9+H343*Upgrades!$N$9)*POWER(Upgrades!$O$9,H343)))*(IF(Upgrades!$T$6="Magnetosphere",POWER(Upgrades!$U$6,E343),1)*IF(Upgrades!$T$7="Magnetosphere",POWER(Upgrades!$U$7,F343),1)*IF(Upgrades!$T$8="Magnetosphere",POWER(Upgrades!$U$8,G343),1)*IF(Upgrades!$T$10="Magnetosphere",POWER(Upgrades!$U$10,I343),1)*IF(Upgrades!$T$11="Magnetosphere",POWER(Upgrades!$U$11,J343),1)*IF(Upgrades!$T$12="Magnetosphere",POWER(Upgrades!$U$12,K343),1))+(IF(I343=0,0,(Upgrades!$M$10+I343*Upgrades!$N$10)*POWER(Upgrades!$O$10,I343)))*(IF(Upgrades!$T$6="Orbital Resonance",POWER(Upgrades!$U$6,E343),1)*IF(Upgrades!$T$7="Orbital Resonance",POWER(Upgrades!$U$7,F343),1)*IF(Upgrades!$T$8="Orbital Resonance",POWER(Upgrades!$U$8,G343),1)*IF(Upgrades!$T$9="Orbital Resonance",POWER(Upgrades!$U$9,H343),1)*IF(Upgrades!$T$11="Orbital Resonance",POWER(Upgrades!$U$11,J343),1)*IF(Upgrades!$T$12="Orbital Resonance",POWER(Upgrades!$U$12,K343),1))+(IF(J343=0,0,(Upgrades!$M$11+J343*Upgrades!$N$11)*POWER(Upgrades!$O$11,J343)))*(IF(Upgrades!$T$6="Heliopause",POWER(Upgrades!$U$6,E343),1)*IF(Upgrades!$T$7="Heliopause",POWER(Upgrades!$U$7,F343),1)*IF(Upgrades!$T$8="Heliopause",POWER(Upgrades!$U$8,G343),1)*IF(Upgrades!$T$9="Heliopause",POWER(Upgrades!$U$9,H343),1)*IF(Upgrades!$T$10="Heliopause",POWER(Upgrades!$U$10,I343),1)*IF(Upgrades!$T$12="Heliopause",POWER(Upgrades!$U$12,K343),1))+(IF(K343=0,0,(Upgrades!$M$12+K343*Upgrades!$N$12)*POWER(Upgrades!$O$12,K343)))*(IF(Upgrades!$T$6="First Photons",POWER(Upgrades!$U$6,E343),1)*IF(Upgrades!$T$7="First Photons",POWER(Upgrades!$U$7,F343),1)*IF(Upgrades!$T$8="First Photons",POWER(Upgrades!$U$8,G343),1)*IF(Upgrades!$T$9="First Photons",POWER(Upgrades!$U$9,H343),1)*IF(Upgrades!$T$10="First Photons",POWER(Upgrades!$U$10,I343),1)*IF(Upgrades!$T$11="First Photons",POWER(Upgrades!$U$11,J343),1)))*POWER(Upgrades!$R$6,E343)*POWER(Upgrades!$R$7,F343)*POWER(Upgrades!$R$8,G343)*POWER(Upgrades!$R$9,H343)*POWER(Upgrades!$R$10,I343)*POWER(Upgrades!$R$11,J343)*POWER(Upgrades!$R$12,K343)</f>
        <v>0</v>
      </c>
      <c r="P343" s="27" t="n">
        <f aca="false">IF(L343=1,0,M343*Parameters!$B$10/60*Parameters!$B$11*10)</f>
        <v>0</v>
      </c>
      <c r="Q343" s="27" t="n">
        <f aca="false">IF(L343=1,0,O343*M343*10)</f>
        <v>0</v>
      </c>
      <c r="R343" s="27" t="n">
        <f aca="false">IF(L343=1,0,N343*10)</f>
        <v>0</v>
      </c>
      <c r="S343" s="27" t="n">
        <f aca="false">P343+Q343+R343</f>
        <v>0</v>
      </c>
      <c r="T343" s="21" t="n">
        <f aca="false">C343+S343</f>
        <v>18.6730249835055</v>
      </c>
      <c r="U343" s="34" t="str">
        <f aca="false">AX343</f>
        <v/>
      </c>
      <c r="V343" s="21" t="n">
        <f aca="false">IF(U343="",0,IF(U343="transition",0,IF(U343="SW",AG343,IF(U343="AB",AH343,IF(U343="SC",AI343,IF(U343="Mag",AJ343,IF(U343="OR",AK343,IF(U343="HP",AL343,IF(U343="FP",AM343,0)))))))))</f>
        <v>0</v>
      </c>
      <c r="W343" s="27" t="n">
        <f aca="false">IF(U343="OR",Upgrades!$F$10,IF(U343="HP",Upgrades!$F$11,IF(U343="transition",-Parameters!$B$18,0)))</f>
        <v>0</v>
      </c>
      <c r="X343" s="21" t="n">
        <f aca="false">T343-V343</f>
        <v>18.6730249835055</v>
      </c>
      <c r="Y343" s="30" t="n">
        <f aca="false">M343*Parameters!$B$10/60*Parameters!$B$11+O343*M343+N343</f>
        <v>20.55</v>
      </c>
      <c r="Z343" s="35" t="str">
        <f aca="false">IF(U343="transition","→ Tier 2 (Stellar Neighborhood)",IF(U343="FP","First Photons — light begins, system quickens",IF(U343="HP","Heliopause acquired",IF(U343="OR","Orbital Resonance — passive multiplier active",IF(AND(AO343=1,L343=0,AN343&lt;&gt;1),"Cohesion ready (waiting on completionist upgrades)","")))))</f>
        <v/>
      </c>
      <c r="AA343" s="27" t="n">
        <f aca="false">(IF(E343=0,0,(Upgrades!$G$6+E343*Upgrades!$H$6)*POWER(Upgrades!$I$6,E343)))*(IF(Upgrades!$T$7="Solar Wind",POWER(Upgrades!$U$7,F343),1)*IF(Upgrades!$T$8="Solar Wind",POWER(Upgrades!$U$8,G343),1)*IF(Upgrades!$T$9="Solar Wind",POWER(Upgrades!$U$9,H343),1)*IF(Upgrades!$T$10="Solar Wind",POWER(Upgrades!$U$10,I343),1)*IF(Upgrades!$T$11="Solar Wind",POWER(Upgrades!$U$11,J343),1)*IF(Upgrades!$T$12="Solar Wind",POWER(Upgrades!$U$12,K343),1))*POWER(Upgrades!$P$6,E343)*POWER(Upgrades!$P$7,F343)*POWER(Upgrades!$P$8,G343)*POWER(Upgrades!$P$9,H343)*POWER(Upgrades!$P$10,I343)*POWER(Upgrades!$P$11,J343)*POWER(Upgrades!$P$12,K343)*60</f>
        <v>72</v>
      </c>
      <c r="AB343" s="27" t="n">
        <f aca="false">(IF(F343=0,0,(Upgrades!$G$7+F343*Upgrades!$H$7)*POWER(Upgrades!$I$7,F343)))*(IF(Upgrades!$T$6="Asteroid Belt",POWER(Upgrades!$U$6,E343),1)*IF(Upgrades!$T$8="Asteroid Belt",POWER(Upgrades!$U$8,G343),1)*IF(Upgrades!$T$9="Asteroid Belt",POWER(Upgrades!$U$9,H343),1)*IF(Upgrades!$T$10="Asteroid Belt",POWER(Upgrades!$U$10,I343),1)*IF(Upgrades!$T$11="Asteroid Belt",POWER(Upgrades!$U$11,J343),1)*IF(Upgrades!$T$12="Asteroid Belt",POWER(Upgrades!$U$12,K343),1))*POWER(Upgrades!$P$6,E343)*POWER(Upgrades!$P$7,F343)*POWER(Upgrades!$P$8,G343)*POWER(Upgrades!$P$9,H343)*POWER(Upgrades!$P$10,I343)*POWER(Upgrades!$P$11,J343)*POWER(Upgrades!$P$12,K343)*60</f>
        <v>150</v>
      </c>
      <c r="AC343" s="27" t="n">
        <f aca="false">(IF(G343=0,0,(Upgrades!$J$8+G343*Upgrades!$K$8)*POWER(Upgrades!$L$8,G343)))*(IF(Upgrades!$T$6="Stellar Coupling",POWER(Upgrades!$U$6,E343),1)*IF(Upgrades!$T$7="Stellar Coupling",POWER(Upgrades!$U$7,F343),1)*IF(Upgrades!$T$9="Stellar Coupling",POWER(Upgrades!$U$9,H343),1)*IF(Upgrades!$T$10="Stellar Coupling",POWER(Upgrades!$U$10,I343),1)*IF(Upgrades!$T$11="Stellar Coupling",POWER(Upgrades!$U$11,J343),1)*IF(Upgrades!$T$12="Stellar Coupling",POWER(Upgrades!$U$12,K343),1))*POWER(Upgrades!$Q$6,E343)*POWER(Upgrades!$Q$7,F343)*POWER(Upgrades!$Q$8,G343)*POWER(Upgrades!$Q$9,H343)*POWER(Upgrades!$Q$10,I343)*POWER(Upgrades!$Q$11,J343)*POWER(Upgrades!$Q$12,K343)*Parameters!$B$10*Parameters!$B$11</f>
        <v>441</v>
      </c>
      <c r="AD343" s="27" t="n">
        <f aca="false">(IF(H343=0,0,(Upgrades!$G$9+H343*Upgrades!$H$9)*POWER(Upgrades!$I$9,H343)))*(IF(Upgrades!$T$6="Magnetosphere",POWER(Upgrades!$U$6,E343),1)*IF(Upgrades!$T$7="Magnetosphere",POWER(Upgrades!$U$7,F343),1)*IF(Upgrades!$T$8="Magnetosphere",POWER(Upgrades!$U$8,G343),1)*IF(Upgrades!$T$10="Magnetosphere",POWER(Upgrades!$U$10,I343),1)*IF(Upgrades!$T$11="Magnetosphere",POWER(Upgrades!$U$11,J343),1)*IF(Upgrades!$T$12="Magnetosphere",POWER(Upgrades!$U$12,K343),1))*POWER(Upgrades!$P$6,E343)*POWER(Upgrades!$P$7,F343)*POWER(Upgrades!$P$8,G343)*POWER(Upgrades!$P$9,H343)*POWER(Upgrades!$P$10,I343)*POWER(Upgrades!$P$11,J343)*POWER(Upgrades!$P$12,K343)*60</f>
        <v>375</v>
      </c>
      <c r="AE343" s="27" t="n">
        <f aca="false">(IF(K343=0,0,(Upgrades!$G$12+K343*Upgrades!$H$12)*POWER(Upgrades!$I$12,K343)))*(IF(Upgrades!$T$6="First Photons",POWER(Upgrades!$U$6,E343),1)*IF(Upgrades!$T$7="First Photons",POWER(Upgrades!$U$7,F343),1)*IF(Upgrades!$T$8="First Photons",POWER(Upgrades!$U$8,G343),1)*IF(Upgrades!$T$9="First Photons",POWER(Upgrades!$U$9,H343),1)*IF(Upgrades!$T$10="First Photons",POWER(Upgrades!$U$10,I343),1)*IF(Upgrades!$T$11="First Photons",POWER(Upgrades!$U$11,J343),1))*POWER(Upgrades!$P$6,E343)*POWER(Upgrades!$P$7,F343)*POWER(Upgrades!$P$8,G343)*POWER(Upgrades!$P$9,H343)*POWER(Upgrades!$P$10,I343)*POWER(Upgrades!$P$11,J343)*POWER(Upgrades!$P$12,K343)*60</f>
        <v>75</v>
      </c>
      <c r="AF343" s="27" t="n">
        <f aca="false">Parameters!$B$9*POWER(Upgrades!$Q$6,E343)*POWER(Upgrades!$Q$7,F343)*POWER(Upgrades!$Q$8,G343)*POWER(Upgrades!$Q$9,H343)*POWER(Upgrades!$Q$10,I343)*POWER(Upgrades!$Q$11,J343)*POWER(Upgrades!$Q$12,K343)*(Parameters!$B$10*Parameters!$B$11+O343*60)</f>
        <v>120</v>
      </c>
      <c r="AG343" s="21" t="n">
        <f aca="false">IF(E343&gt;=Upgrades!$E$6,"",Upgrades!$C$6*POWER(Upgrades!$D$6,E343))</f>
        <v>37.4517507383159</v>
      </c>
      <c r="AH343" s="21" t="n">
        <f aca="false">IF(F343&gt;=Upgrades!$E$7,"",Upgrades!$C$7*POWER(Upgrades!$D$7,F343))</f>
        <v>80.9111547141581</v>
      </c>
      <c r="AI343" s="21" t="n">
        <f aca="false">IF(G343&gt;=Upgrades!$E$8,"",Upgrades!$C$8*POWER(Upgrades!$D$8,G343))</f>
        <v>231.9097088</v>
      </c>
      <c r="AJ343" s="21" t="str">
        <f aca="false">IF(H343&gt;=Upgrades!$E$9,"",Upgrades!$C$9*POWER(Upgrades!$D$9,H343))</f>
        <v/>
      </c>
      <c r="AK343" s="21" t="str">
        <f aca="false">IF(I343&gt;=Upgrades!$E$10,"",Upgrades!$C$10*POWER(Upgrades!$D$10,I343))</f>
        <v/>
      </c>
      <c r="AL343" s="21" t="str">
        <f aca="false">IF(J343&gt;=Upgrades!$E$11,"",Upgrades!$C$11*POWER(Upgrades!$D$11,J343))</f>
        <v/>
      </c>
      <c r="AM343" s="21" t="str">
        <f aca="false">IF(K343&gt;=Upgrades!$E$12,"",Upgrades!$C$12*POWER(Upgrades!$D$12,K343))</f>
        <v/>
      </c>
      <c r="AN343" s="26" t="str">
        <f aca="false">IF(AND(D343&gt;=Parameters!$B$18,(H343&gt;=Upgrades!$E$9)*(K343&gt;=Upgrades!$E$12)=1,L343=0),1,"")</f>
        <v/>
      </c>
      <c r="AO343" s="26" t="str">
        <f aca="false">IF(AND(D343&gt;=Parameters!$B$18,L343=0),1,"")</f>
        <v/>
      </c>
      <c r="AP343" s="21" t="n">
        <f aca="false">MIN(IF(ISNUMBER(AK343),AK343,9000000000000000),IF(ISNUMBER(AL343),AL343,9000000000000000),IF(ISNUMBER(AM343),AM343,9000000000000000))</f>
        <v>9000000000000000</v>
      </c>
      <c r="AQ343" s="21" t="n">
        <f aca="false">MIN(IF(ISNUMBER(AG343),AG343,9000000000000000),IF(ISNUMBER(AH343),AH343,9000000000000000),IF(ISNUMBER(AI343),AI343,9000000000000000),IF(ISNUMBER(AJ343),AJ343,9000000000000000))</f>
        <v>37.4517507383159</v>
      </c>
      <c r="AR343" s="32" t="b">
        <f aca="false">IF(AW343&gt;Parameters!$B$21*(MAX(IF(AND(NOT(AND(AO343=1,AN343&lt;&gt;1)),ISNUMBER(AG343),AG343&lt;=T343),AS343,0),IF(AND(NOT(AND(AO343=1,AN343&lt;&gt;1)),ISNUMBER(AH343),AH343&lt;=T343),AT343,0),IF(AND(NOT(AND(AO343=1,AN343&lt;&gt;1)),ISNUMBER(AI343),AI343&lt;=T343),AU343,0),IF(AND(ISNUMBER(AJ343),AJ343&lt;=T343),AV343,0))),TRUE(),FALSE())</f>
        <v>1</v>
      </c>
      <c r="AS343" s="33" t="n">
        <f aca="false">IFERROR(Upgrades!$H$6*(POWER(Upgrades!$P$6,E343)*POWER(Upgrades!$P$7,F343)*POWER(Upgrades!$P$8,G343)*POWER(Upgrades!$P$9,H343)*POWER(Upgrades!$P$10,I343)*POWER(Upgrades!$P$11,J343)*POWER(Upgrades!$P$12,K343))*(IF(Upgrades!$T$7="Solar Wind",POWER(Upgrades!$U$7,F343),1)*IF(Upgrades!$T$8="Solar Wind",POWER(Upgrades!$U$8,G343),1)*IF(Upgrades!$T$9="Solar Wind",POWER(Upgrades!$U$9,H343),1)*IF(Upgrades!$T$10="Solar Wind",POWER(Upgrades!$U$10,I343),1)*IF(Upgrades!$T$11="Solar Wind",POWER(Upgrades!$U$11,J343),1)*IF(Upgrades!$T$12="Solar Wind",POWER(Upgrades!$U$12,K343),1))/AG343,0)</f>
        <v>0.0026701021455238</v>
      </c>
      <c r="AT343" s="33" t="n">
        <f aca="false">IFERROR(Upgrades!$H$7*(POWER(Upgrades!$P$6,E343)*POWER(Upgrades!$P$7,F343)*POWER(Upgrades!$P$8,G343)*POWER(Upgrades!$P$9,H343)*POWER(Upgrades!$P$10,I343)*POWER(Upgrades!$P$11,J343)*POWER(Upgrades!$P$12,K343))*(IF(Upgrades!$T$6="Asteroid Belt",POWER(Upgrades!$U$6,E343),1)*IF(Upgrades!$T$8="Asteroid Belt",POWER(Upgrades!$U$8,G343),1)*IF(Upgrades!$T$9="Asteroid Belt",POWER(Upgrades!$U$9,H343),1)*IF(Upgrades!$T$10="Asteroid Belt",POWER(Upgrades!$U$10,I343),1)*IF(Upgrades!$T$11="Asteroid Belt",POWER(Upgrades!$U$11,J343),1)*IF(Upgrades!$T$12="Asteroid Belt",POWER(Upgrades!$U$12,K343),1))/AH343,0)</f>
        <v>0.00308980882652332</v>
      </c>
      <c r="AU343" s="33" t="n">
        <f aca="false">IFERROR(Upgrades!$K$8*(POWER(Upgrades!$Q$6,E343)*POWER(Upgrades!$Q$7,F343)*POWER(Upgrades!$Q$8,G343)*POWER(Upgrades!$Q$9,H343)*POWER(Upgrades!$Q$10,I343)*POWER(Upgrades!$Q$11,J343)*POWER(Upgrades!$Q$12,K343))*(IF(Upgrades!$T$6="Stellar Coupling",POWER(Upgrades!$U$6,E343),1)*IF(Upgrades!$T$7="Stellar Coupling",POWER(Upgrades!$U$7,F343),1)*IF(Upgrades!$T$9="Stellar Coupling",POWER(Upgrades!$U$9,H343),1)*IF(Upgrades!$T$10="Stellar Coupling",POWER(Upgrades!$U$10,I343),1)*IF(Upgrades!$T$11="Stellar Coupling",POWER(Upgrades!$U$11,J343),1)*IF(Upgrades!$T$12="Stellar Coupling",POWER(Upgrades!$U$12,K343),1))*Parameters!$B$10*Parameters!$B$11/60/AI343,0)</f>
        <v>0.00452762415783776</v>
      </c>
      <c r="AV343" s="33" t="n">
        <f aca="false">IFERROR(Upgrades!$H$9*(POWER(Upgrades!$P$6,E343)*POWER(Upgrades!$P$7,F343)*POWER(Upgrades!$P$8,G343)*POWER(Upgrades!$P$9,H343)*POWER(Upgrades!$P$10,I343)*POWER(Upgrades!$P$11,J343)*POWER(Upgrades!$P$12,K343))*(IF(Upgrades!$T$6="Magnetosphere",POWER(Upgrades!$U$6,E343),1)*IF(Upgrades!$T$7="Magnetosphere",POWER(Upgrades!$U$7,F343),1)*IF(Upgrades!$T$8="Magnetosphere",POWER(Upgrades!$U$8,G343),1)*IF(Upgrades!$T$10="Magnetosphere",POWER(Upgrades!$U$10,I343),1)*IF(Upgrades!$T$11="Magnetosphere",POWER(Upgrades!$U$11,J343),1)*IF(Upgrades!$T$12="Magnetosphere",POWER(Upgrades!$U$12,K343),1))/AJ343,0)</f>
        <v>0</v>
      </c>
      <c r="AW343" s="33" t="n">
        <f aca="false">MAX(IF(I343&gt;0,0,IFERROR(0.25*N343/Upgrades!$C$10,0)),IF(J343&gt;0,0,IFERROR(0.5*((IF(G343=0,0,(Upgrades!$J$8+G343*Upgrades!$K$8)*POWER(Upgrades!$L$8,G343)))*(IF(Upgrades!$T$6="Stellar Coupling",POWER(Upgrades!$U$6,E343),1)*IF(Upgrades!$T$7="Stellar Coupling",POWER(Upgrades!$U$7,F343),1)*IF(Upgrades!$T$9="Stellar Coupling",POWER(Upgrades!$U$9,H343),1)*IF(Upgrades!$T$10="Stellar Coupling",POWER(Upgrades!$U$10,I343),1)*IF(Upgrades!$T$11="Stellar Coupling",POWER(Upgrades!$U$11,J343),1)*IF(Upgrades!$T$12="Stellar Coupling",POWER(Upgrades!$U$12,K343),1))*(POWER(Upgrades!$Q$6,E343)*POWER(Upgrades!$Q$7,F343)*POWER(Upgrades!$Q$8,G343)*POWER(Upgrades!$Q$9,H343)*POWER(Upgrades!$Q$10,I343)*POWER(Upgrades!$Q$11,J343)*POWER(Upgrades!$Q$12,K343))*Parameters!$B$10*Parameters!$B$11/60)/Upgrades!$C$11,0)),IF(K343&gt;0,0,IFERROR((1*(POWER(Upgrades!$P$6,E343)*POWER(Upgrades!$P$7,F343)*POWER(Upgrades!$P$8,G343)*POWER(Upgrades!$P$9,H343)*POWER(Upgrades!$P$10,I343)*POWER(Upgrades!$P$11,J343)*POWER(Upgrades!$P$12,K343))+0.2*M343*Parameters!$B$10*Parameters!$B$11/60)/Upgrades!$C$12,0)),IF(AND(ISNUMBER(AG343),AG343&gt;T343),AS343,0),IF(AND(ISNUMBER(AH343),AH343&gt;T343),AT343,0),IF(AND(ISNUMBER(AI343),AI343&gt;T343),AU343,0),IF(AND(ISNUMBER(AJ343),AJ343&gt;T343),AV343,0))</f>
        <v>0.00452762415783776</v>
      </c>
      <c r="AX343" s="29" t="str">
        <f aca="false">IF(AN343=1,"transition",IF(MIN(IF(AND(I343=0,ISNUMBER(AK343),AK343&lt;=T343),AK343,9000000000000000),IF(AND(J343=0,ISNUMBER(AL343),AL343&lt;=T343),AL343,9000000000000000),IF(AND(K343=0,ISNUMBER(AM343),AM343&lt;=T343),AM343,9000000000000000))&lt;9000000000000000,IF(AND(AND(I343=0,ISNUMBER(AK343),AK343&lt;=T343),AK343=MIN(IF(AND(I343=0,ISNUMBER(AK343),AK343&lt;=T343),AK343,9000000000000000),IF(AND(J343=0,ISNUMBER(AL343),AL343&lt;=T343),AL343,9000000000000000),IF(AND(K343=0,ISNUMBER(AM343),AM343&lt;=T343),AM343,9000000000000000))),"OR",IF(AND(AND(J343=0,ISNUMBER(AL343),AL343&lt;=T343),AL343=MIN(IF(AND(I343=0,ISNUMBER(AK343),AK343&lt;=T343),AK343,9000000000000000),IF(AND(J343=0,ISNUMBER(AL343),AL343&lt;=T343),AL343,9000000000000000),IF(AND(K343=0,ISNUMBER(AM343),AM343&lt;=T343),AM343,9000000000000000))),"HP","FP")),IF(AR343=TRUE(),"",IF(MAX(IF(AND(NOT(AND(AO343=1,AN343&lt;&gt;1)),ISNUMBER(AG343),AG343&lt;=T343),AS343,0),IF(AND(NOT(AND(AO343=1,AN343&lt;&gt;1)),ISNUMBER(AH343),AH343&lt;=T343),AT343,0),IF(AND(NOT(AND(AO343=1,AN343&lt;&gt;1)),ISNUMBER(AI343),AI343&lt;=T343),AU343,0),IF(AND(ISNUMBER(AJ343),AJ343&lt;=T343),AV343,0))&lt;=0,"",IF(AND(IF(AND(NOT(AND(AO343=1,AN343&lt;&gt;1)),ISNUMBER(AG343),AG343&lt;=T343),AS343,0)&gt;0,IF(AND(NOT(AND(AO343=1,AN343&lt;&gt;1)),ISNUMBER(AG343),AG343&lt;=T343),AS343,0)=MAX(IF(AND(NOT(AND(AO343=1,AN343&lt;&gt;1)),ISNUMBER(AG343),AG343&lt;=T343),AS343,0),IF(AND(NOT(AND(AO343=1,AN343&lt;&gt;1)),ISNUMBER(AH343),AH343&lt;=T343),AT343,0),IF(AND(NOT(AND(AO343=1,AN343&lt;&gt;1)),ISNUMBER(AI343),AI343&lt;=T343),AU343,0),IF(AND(ISNUMBER(AJ343),AJ343&lt;=T343),AV343,0))),"SW",IF(AND(IF(AND(NOT(AND(AO343=1,AN343&lt;&gt;1)),ISNUMBER(AH343),AH343&lt;=T343),AT343,0)&gt;0,IF(AND(NOT(AND(AO343=1,AN343&lt;&gt;1)),ISNUMBER(AH343),AH343&lt;=T343),AT343,0)=MAX(IF(AND(NOT(AND(AO343=1,AN343&lt;&gt;1)),ISNUMBER(AG343),AG343&lt;=T343),AS343,0),IF(AND(NOT(AND(AO343=1,AN343&lt;&gt;1)),ISNUMBER(AH343),AH343&lt;=T343),AT343,0),IF(AND(NOT(AND(AO343=1,AN343&lt;&gt;1)),ISNUMBER(AI343),AI343&lt;=T343),AU343,0),IF(AND(ISNUMBER(AJ343),AJ343&lt;=T343),AV343,0))),"AB",IF(AND(IF(AND(NOT(AND(AO343=1,AN343&lt;&gt;1)),ISNUMBER(AI343),AI343&lt;=T343),AU343,0)&gt;0,IF(AND(NOT(AND(AO343=1,AN343&lt;&gt;1)),ISNUMBER(AI343),AI343&lt;=T343),AU343,0)=MAX(IF(AND(NOT(AND(AO343=1,AN343&lt;&gt;1)),ISNUMBER(AG343),AG343&lt;=T343),AS343,0),IF(AND(NOT(AND(AO343=1,AN343&lt;&gt;1)),ISNUMBER(AH343),AH343&lt;=T343),AT343,0),IF(AND(NOT(AND(AO343=1,AN343&lt;&gt;1)),ISNUMBER(AI343),AI343&lt;=T343),AU343,0),IF(AND(ISNUMBER(AJ343),AJ343&lt;=T343),AV343,0))),"SC","Mag")))))))</f>
        <v/>
      </c>
    </row>
    <row r="344" customFormat="false" ht="15" hidden="false" customHeight="false" outlineLevel="0" collapsed="false">
      <c r="A344" s="26" t="n">
        <v>339</v>
      </c>
      <c r="B344" s="27" t="n">
        <f aca="false">A344*10/60</f>
        <v>56.5</v>
      </c>
      <c r="C344" s="21" t="n">
        <f aca="false">X343</f>
        <v>18.6730249835055</v>
      </c>
      <c r="D344" s="27" t="n">
        <f aca="false">D343+W343</f>
        <v>0</v>
      </c>
      <c r="E344" s="26" t="n">
        <f aca="false">E343+IF(U343="SW",1,0)</f>
        <v>12</v>
      </c>
      <c r="F344" s="26" t="n">
        <f aca="false">F343+IF(U343="AB",1,0)</f>
        <v>10</v>
      </c>
      <c r="G344" s="26" t="n">
        <f aca="false">G343+IF(U343="SC",1,0)</f>
        <v>7</v>
      </c>
      <c r="H344" s="26" t="n">
        <f aca="false">H343+IF(U343="Mag",1,0)</f>
        <v>5</v>
      </c>
      <c r="I344" s="26" t="n">
        <f aca="false">MAX(I343,IF(U343="OR",1,0))</f>
        <v>1</v>
      </c>
      <c r="J344" s="26" t="n">
        <f aca="false">MAX(J343,IF(U343="HP",1,0))</f>
        <v>1</v>
      </c>
      <c r="K344" s="26" t="n">
        <f aca="false">MAX(K343,IF(U343="FP",1,0))</f>
        <v>1</v>
      </c>
      <c r="L344" s="26" t="n">
        <f aca="false">MAX(L343,IF(U343="transition",1,0))</f>
        <v>1</v>
      </c>
      <c r="M344" s="28" t="n">
        <f aca="false">(Parameters!$B$9+(IF(E344=0,0,(Upgrades!$J$6+E344*Upgrades!$K$6)*POWER(Upgrades!$L$6,E344)))*(IF(Upgrades!$T$7="Solar Wind",POWER(Upgrades!$U$7,F344),1)*IF(Upgrades!$T$8="Solar Wind",POWER(Upgrades!$U$8,G344),1)*IF(Upgrades!$T$9="Solar Wind",POWER(Upgrades!$U$9,H344),1)*IF(Upgrades!$T$10="Solar Wind",POWER(Upgrades!$U$10,I344),1)*IF(Upgrades!$T$11="Solar Wind",POWER(Upgrades!$U$11,J344),1)*IF(Upgrades!$T$12="Solar Wind",POWER(Upgrades!$U$12,K344),1))+(IF(F344=0,0,(Upgrades!$J$7+F344*Upgrades!$K$7)*POWER(Upgrades!$L$7,F344)))*(IF(Upgrades!$T$6="Asteroid Belt",POWER(Upgrades!$U$6,E344),1)*IF(Upgrades!$T$8="Asteroid Belt",POWER(Upgrades!$U$8,G344),1)*IF(Upgrades!$T$9="Asteroid Belt",POWER(Upgrades!$U$9,H344),1)*IF(Upgrades!$T$10="Asteroid Belt",POWER(Upgrades!$U$10,I344),1)*IF(Upgrades!$T$11="Asteroid Belt",POWER(Upgrades!$U$11,J344),1)*IF(Upgrades!$T$12="Asteroid Belt",POWER(Upgrades!$U$12,K344),1))+(IF(G344=0,0,(Upgrades!$J$8+G344*Upgrades!$K$8)*POWER(Upgrades!$L$8,G344)))*(IF(Upgrades!$T$6="Stellar Coupling",POWER(Upgrades!$U$6,E344),1)*IF(Upgrades!$T$7="Stellar Coupling",POWER(Upgrades!$U$7,F344),1)*IF(Upgrades!$T$9="Stellar Coupling",POWER(Upgrades!$U$9,H344),1)*IF(Upgrades!$T$10="Stellar Coupling",POWER(Upgrades!$U$10,I344),1)*IF(Upgrades!$T$11="Stellar Coupling",POWER(Upgrades!$U$11,J344),1)*IF(Upgrades!$T$12="Stellar Coupling",POWER(Upgrades!$U$12,K344),1))+(IF(H344=0,0,(Upgrades!$J$9+H344*Upgrades!$K$9)*POWER(Upgrades!$L$9,H344)))*(IF(Upgrades!$T$6="Magnetosphere",POWER(Upgrades!$U$6,E344),1)*IF(Upgrades!$T$7="Magnetosphere",POWER(Upgrades!$U$7,F344),1)*IF(Upgrades!$T$8="Magnetosphere",POWER(Upgrades!$U$8,G344),1)*IF(Upgrades!$T$10="Magnetosphere",POWER(Upgrades!$U$10,I344),1)*IF(Upgrades!$T$11="Magnetosphere",POWER(Upgrades!$U$11,J344),1)*IF(Upgrades!$T$12="Magnetosphere",POWER(Upgrades!$U$12,K344),1))+(IF(I344=0,0,(Upgrades!$J$10+I344*Upgrades!$K$10)*POWER(Upgrades!$L$10,I344)))*(IF(Upgrades!$T$6="Orbital Resonance",POWER(Upgrades!$U$6,E344),1)*IF(Upgrades!$T$7="Orbital Resonance",POWER(Upgrades!$U$7,F344),1)*IF(Upgrades!$T$8="Orbital Resonance",POWER(Upgrades!$U$8,G344),1)*IF(Upgrades!$T$9="Orbital Resonance",POWER(Upgrades!$U$9,H344),1)*IF(Upgrades!$T$11="Orbital Resonance",POWER(Upgrades!$U$11,J344),1)*IF(Upgrades!$T$12="Orbital Resonance",POWER(Upgrades!$U$12,K344),1))+(IF(J344=0,0,(Upgrades!$J$11+J344*Upgrades!$K$11)*POWER(Upgrades!$L$11,J344)))*(IF(Upgrades!$T$6="Heliopause",POWER(Upgrades!$U$6,E344),1)*IF(Upgrades!$T$7="Heliopause",POWER(Upgrades!$U$7,F344),1)*IF(Upgrades!$T$8="Heliopause",POWER(Upgrades!$U$8,G344),1)*IF(Upgrades!$T$9="Heliopause",POWER(Upgrades!$U$9,H344),1)*IF(Upgrades!$T$10="Heliopause",POWER(Upgrades!$U$10,I344),1)*IF(Upgrades!$T$12="Heliopause",POWER(Upgrades!$U$12,K344),1))+(IF(K344=0,0,(Upgrades!$J$12+K344*Upgrades!$K$12)*POWER(Upgrades!$L$12,K344)))*(IF(Upgrades!$T$6="First Photons",POWER(Upgrades!$U$6,E344),1)*IF(Upgrades!$T$7="First Photons",POWER(Upgrades!$U$7,F344),1)*IF(Upgrades!$T$8="First Photons",POWER(Upgrades!$U$8,G344),1)*IF(Upgrades!$T$9="First Photons",POWER(Upgrades!$U$9,H344),1)*IF(Upgrades!$T$10="First Photons",POWER(Upgrades!$U$10,I344),1)*IF(Upgrades!$T$11="First Photons",POWER(Upgrades!$U$11,J344),1)))*POWER(Upgrades!$Q$6,E344)*POWER(Upgrades!$Q$7,F344)*POWER(Upgrades!$Q$8,G344)*POWER(Upgrades!$Q$9,H344)*POWER(Upgrades!$Q$10,I344)*POWER(Upgrades!$Q$11,J344)*POWER(Upgrades!$Q$12,K344)</f>
        <v>5.61</v>
      </c>
      <c r="N344" s="28" t="n">
        <f aca="false">((IF(E344=0,0,(Upgrades!$G$6+E344*Upgrades!$H$6)*POWER(Upgrades!$I$6,E344)))*(IF(Upgrades!$T$7="Solar Wind",POWER(Upgrades!$U$7,F344),1)*IF(Upgrades!$T$8="Solar Wind",POWER(Upgrades!$U$8,G344),1)*IF(Upgrades!$T$9="Solar Wind",POWER(Upgrades!$U$9,H344),1)*IF(Upgrades!$T$10="Solar Wind",POWER(Upgrades!$U$10,I344),1)*IF(Upgrades!$T$11="Solar Wind",POWER(Upgrades!$U$11,J344),1)*IF(Upgrades!$T$12="Solar Wind",POWER(Upgrades!$U$12,K344),1))+(IF(F344=0,0,(Upgrades!$G$7+F344*Upgrades!$H$7)*POWER(Upgrades!$I$7,F344)))*(IF(Upgrades!$T$6="Asteroid Belt",POWER(Upgrades!$U$6,E344),1)*IF(Upgrades!$T$8="Asteroid Belt",POWER(Upgrades!$U$8,G344),1)*IF(Upgrades!$T$9="Asteroid Belt",POWER(Upgrades!$U$9,H344),1)*IF(Upgrades!$T$10="Asteroid Belt",POWER(Upgrades!$U$10,I344),1)*IF(Upgrades!$T$11="Asteroid Belt",POWER(Upgrades!$U$11,J344),1)*IF(Upgrades!$T$12="Asteroid Belt",POWER(Upgrades!$U$12,K344),1))+(IF(G344=0,0,(Upgrades!$G$8+G344*Upgrades!$H$8)*POWER(Upgrades!$I$8,G344)))*(IF(Upgrades!$T$6="Stellar Coupling",POWER(Upgrades!$U$6,E344),1)*IF(Upgrades!$T$7="Stellar Coupling",POWER(Upgrades!$U$7,F344),1)*IF(Upgrades!$T$9="Stellar Coupling",POWER(Upgrades!$U$9,H344),1)*IF(Upgrades!$T$10="Stellar Coupling",POWER(Upgrades!$U$10,I344),1)*IF(Upgrades!$T$11="Stellar Coupling",POWER(Upgrades!$U$11,J344),1)*IF(Upgrades!$T$12="Stellar Coupling",POWER(Upgrades!$U$12,K344),1))+(IF(H344=0,0,(Upgrades!$G$9+H344*Upgrades!$H$9)*POWER(Upgrades!$I$9,H344)))*(IF(Upgrades!$T$6="Magnetosphere",POWER(Upgrades!$U$6,E344),1)*IF(Upgrades!$T$7="Magnetosphere",POWER(Upgrades!$U$7,F344),1)*IF(Upgrades!$T$8="Magnetosphere",POWER(Upgrades!$U$8,G344),1)*IF(Upgrades!$T$10="Magnetosphere",POWER(Upgrades!$U$10,I344),1)*IF(Upgrades!$T$11="Magnetosphere",POWER(Upgrades!$U$11,J344),1)*IF(Upgrades!$T$12="Magnetosphere",POWER(Upgrades!$U$12,K344),1))+(IF(I344=0,0,(Upgrades!$G$10+I344*Upgrades!$H$10)*POWER(Upgrades!$I$10,I344)))*(IF(Upgrades!$T$6="Orbital Resonance",POWER(Upgrades!$U$6,E344),1)*IF(Upgrades!$T$7="Orbital Resonance",POWER(Upgrades!$U$7,F344),1)*IF(Upgrades!$T$8="Orbital Resonance",POWER(Upgrades!$U$8,G344),1)*IF(Upgrades!$T$9="Orbital Resonance",POWER(Upgrades!$U$9,H344),1)*IF(Upgrades!$T$11="Orbital Resonance",POWER(Upgrades!$U$11,J344),1)*IF(Upgrades!$T$12="Orbital Resonance",POWER(Upgrades!$U$12,K344),1))+(IF(J344=0,0,(Upgrades!$G$11+J344*Upgrades!$H$11)*POWER(Upgrades!$I$11,J344)))*(IF(Upgrades!$T$6="Heliopause",POWER(Upgrades!$U$6,E344),1)*IF(Upgrades!$T$7="Heliopause",POWER(Upgrades!$U$7,F344),1)*IF(Upgrades!$T$8="Heliopause",POWER(Upgrades!$U$8,G344),1)*IF(Upgrades!$T$9="Heliopause",POWER(Upgrades!$U$9,H344),1)*IF(Upgrades!$T$10="Heliopause",POWER(Upgrades!$U$10,I344),1)*IF(Upgrades!$T$12="Heliopause",POWER(Upgrades!$U$12,K344),1))+(IF(K344=0,0,(Upgrades!$G$12+K344*Upgrades!$H$12)*POWER(Upgrades!$I$12,K344)))*(IF(Upgrades!$T$6="First Photons",POWER(Upgrades!$U$6,E344),1)*IF(Upgrades!$T$7="First Photons",POWER(Upgrades!$U$7,F344),1)*IF(Upgrades!$T$8="First Photons",POWER(Upgrades!$U$8,G344),1)*IF(Upgrades!$T$9="First Photons",POWER(Upgrades!$U$9,H344),1)*IF(Upgrades!$T$10="First Photons",POWER(Upgrades!$U$10,I344),1)*IF(Upgrades!$T$11="First Photons",POWER(Upgrades!$U$11,J344),1)))*POWER(Upgrades!$P$6,E344)*POWER(Upgrades!$P$7,F344)*POWER(Upgrades!$P$8,G344)*POWER(Upgrades!$P$9,H344)*POWER(Upgrades!$P$10,I344)*POWER(Upgrades!$P$11,J344)*POWER(Upgrades!$P$12,K344)</f>
        <v>11.2</v>
      </c>
      <c r="O344" s="28" t="n">
        <f aca="false">((IF(E344=0,0,(Upgrades!$M$6+E344*Upgrades!$N$6)*POWER(Upgrades!$O$6,E344)))*(IF(Upgrades!$T$7="Solar Wind",POWER(Upgrades!$U$7,F344),1)*IF(Upgrades!$T$8="Solar Wind",POWER(Upgrades!$U$8,G344),1)*IF(Upgrades!$T$9="Solar Wind",POWER(Upgrades!$U$9,H344),1)*IF(Upgrades!$T$10="Solar Wind",POWER(Upgrades!$U$10,I344),1)*IF(Upgrades!$T$11="Solar Wind",POWER(Upgrades!$U$11,J344),1)*IF(Upgrades!$T$12="Solar Wind",POWER(Upgrades!$U$12,K344),1))+(IF(F344=0,0,(Upgrades!$M$7+F344*Upgrades!$N$7)*POWER(Upgrades!$O$7,F344)))*(IF(Upgrades!$T$6="Asteroid Belt",POWER(Upgrades!$U$6,E344),1)*IF(Upgrades!$T$8="Asteroid Belt",POWER(Upgrades!$U$8,G344),1)*IF(Upgrades!$T$9="Asteroid Belt",POWER(Upgrades!$U$9,H344),1)*IF(Upgrades!$T$10="Asteroid Belt",POWER(Upgrades!$U$10,I344),1)*IF(Upgrades!$T$11="Asteroid Belt",POWER(Upgrades!$U$11,J344),1)*IF(Upgrades!$T$12="Asteroid Belt",POWER(Upgrades!$U$12,K344),1))+(IF(G344=0,0,(Upgrades!$M$8+G344*Upgrades!$N$8)*POWER(Upgrades!$O$8,G344)))*(IF(Upgrades!$T$6="Stellar Coupling",POWER(Upgrades!$U$6,E344),1)*IF(Upgrades!$T$7="Stellar Coupling",POWER(Upgrades!$U$7,F344),1)*IF(Upgrades!$T$9="Stellar Coupling",POWER(Upgrades!$U$9,H344),1)*IF(Upgrades!$T$10="Stellar Coupling",POWER(Upgrades!$U$10,I344),1)*IF(Upgrades!$T$11="Stellar Coupling",POWER(Upgrades!$U$11,J344),1)*IF(Upgrades!$T$12="Stellar Coupling",POWER(Upgrades!$U$12,K344),1))+(IF(H344=0,0,(Upgrades!$M$9+H344*Upgrades!$N$9)*POWER(Upgrades!$O$9,H344)))*(IF(Upgrades!$T$6="Magnetosphere",POWER(Upgrades!$U$6,E344),1)*IF(Upgrades!$T$7="Magnetosphere",POWER(Upgrades!$U$7,F344),1)*IF(Upgrades!$T$8="Magnetosphere",POWER(Upgrades!$U$8,G344),1)*IF(Upgrades!$T$10="Magnetosphere",POWER(Upgrades!$U$10,I344),1)*IF(Upgrades!$T$11="Magnetosphere",POWER(Upgrades!$U$11,J344),1)*IF(Upgrades!$T$12="Magnetosphere",POWER(Upgrades!$U$12,K344),1))+(IF(I344=0,0,(Upgrades!$M$10+I344*Upgrades!$N$10)*POWER(Upgrades!$O$10,I344)))*(IF(Upgrades!$T$6="Orbital Resonance",POWER(Upgrades!$U$6,E344),1)*IF(Upgrades!$T$7="Orbital Resonance",POWER(Upgrades!$U$7,F344),1)*IF(Upgrades!$T$8="Orbital Resonance",POWER(Upgrades!$U$8,G344),1)*IF(Upgrades!$T$9="Orbital Resonance",POWER(Upgrades!$U$9,H344),1)*IF(Upgrades!$T$11="Orbital Resonance",POWER(Upgrades!$U$11,J344),1)*IF(Upgrades!$T$12="Orbital Resonance",POWER(Upgrades!$U$12,K344),1))+(IF(J344=0,0,(Upgrades!$M$11+J344*Upgrades!$N$11)*POWER(Upgrades!$O$11,J344)))*(IF(Upgrades!$T$6="Heliopause",POWER(Upgrades!$U$6,E344),1)*IF(Upgrades!$T$7="Heliopause",POWER(Upgrades!$U$7,F344),1)*IF(Upgrades!$T$8="Heliopause",POWER(Upgrades!$U$8,G344),1)*IF(Upgrades!$T$9="Heliopause",POWER(Upgrades!$U$9,H344),1)*IF(Upgrades!$T$10="Heliopause",POWER(Upgrades!$U$10,I344),1)*IF(Upgrades!$T$12="Heliopause",POWER(Upgrades!$U$12,K344),1))+(IF(K344=0,0,(Upgrades!$M$12+K344*Upgrades!$N$12)*POWER(Upgrades!$O$12,K344)))*(IF(Upgrades!$T$6="First Photons",POWER(Upgrades!$U$6,E344),1)*IF(Upgrades!$T$7="First Photons",POWER(Upgrades!$U$7,F344),1)*IF(Upgrades!$T$8="First Photons",POWER(Upgrades!$U$8,G344),1)*IF(Upgrades!$T$9="First Photons",POWER(Upgrades!$U$9,H344),1)*IF(Upgrades!$T$10="First Photons",POWER(Upgrades!$U$10,I344),1)*IF(Upgrades!$T$11="First Photons",POWER(Upgrades!$U$11,J344),1)))*POWER(Upgrades!$R$6,E344)*POWER(Upgrades!$R$7,F344)*POWER(Upgrades!$R$8,G344)*POWER(Upgrades!$R$9,H344)*POWER(Upgrades!$R$10,I344)*POWER(Upgrades!$R$11,J344)*POWER(Upgrades!$R$12,K344)</f>
        <v>0</v>
      </c>
      <c r="P344" s="27" t="n">
        <f aca="false">IF(L344=1,0,M344*Parameters!$B$10/60*Parameters!$B$11*10)</f>
        <v>0</v>
      </c>
      <c r="Q344" s="27" t="n">
        <f aca="false">IF(L344=1,0,O344*M344*10)</f>
        <v>0</v>
      </c>
      <c r="R344" s="27" t="n">
        <f aca="false">IF(L344=1,0,N344*10)</f>
        <v>0</v>
      </c>
      <c r="S344" s="27" t="n">
        <f aca="false">P344+Q344+R344</f>
        <v>0</v>
      </c>
      <c r="T344" s="21" t="n">
        <f aca="false">C344+S344</f>
        <v>18.6730249835055</v>
      </c>
      <c r="U344" s="34" t="str">
        <f aca="false">AX344</f>
        <v/>
      </c>
      <c r="V344" s="21" t="n">
        <f aca="false">IF(U344="",0,IF(U344="transition",0,IF(U344="SW",AG344,IF(U344="AB",AH344,IF(U344="SC",AI344,IF(U344="Mag",AJ344,IF(U344="OR",AK344,IF(U344="HP",AL344,IF(U344="FP",AM344,0)))))))))</f>
        <v>0</v>
      </c>
      <c r="W344" s="27" t="n">
        <f aca="false">IF(U344="OR",Upgrades!$F$10,IF(U344="HP",Upgrades!$F$11,IF(U344="transition",-Parameters!$B$18,0)))</f>
        <v>0</v>
      </c>
      <c r="X344" s="21" t="n">
        <f aca="false">T344-V344</f>
        <v>18.6730249835055</v>
      </c>
      <c r="Y344" s="30" t="n">
        <f aca="false">M344*Parameters!$B$10/60*Parameters!$B$11+O344*M344+N344</f>
        <v>20.55</v>
      </c>
      <c r="Z344" s="35" t="str">
        <f aca="false">IF(U344="transition","→ Tier 2 (Stellar Neighborhood)",IF(U344="FP","First Photons — light begins, system quickens",IF(U344="HP","Heliopause acquired",IF(U344="OR","Orbital Resonance — passive multiplier active",IF(AND(AO344=1,L344=0,AN344&lt;&gt;1),"Cohesion ready (waiting on completionist upgrades)","")))))</f>
        <v/>
      </c>
      <c r="AA344" s="27" t="n">
        <f aca="false">(IF(E344=0,0,(Upgrades!$G$6+E344*Upgrades!$H$6)*POWER(Upgrades!$I$6,E344)))*(IF(Upgrades!$T$7="Solar Wind",POWER(Upgrades!$U$7,F344),1)*IF(Upgrades!$T$8="Solar Wind",POWER(Upgrades!$U$8,G344),1)*IF(Upgrades!$T$9="Solar Wind",POWER(Upgrades!$U$9,H344),1)*IF(Upgrades!$T$10="Solar Wind",POWER(Upgrades!$U$10,I344),1)*IF(Upgrades!$T$11="Solar Wind",POWER(Upgrades!$U$11,J344),1)*IF(Upgrades!$T$12="Solar Wind",POWER(Upgrades!$U$12,K344),1))*POWER(Upgrades!$P$6,E344)*POWER(Upgrades!$P$7,F344)*POWER(Upgrades!$P$8,G344)*POWER(Upgrades!$P$9,H344)*POWER(Upgrades!$P$10,I344)*POWER(Upgrades!$P$11,J344)*POWER(Upgrades!$P$12,K344)*60</f>
        <v>72</v>
      </c>
      <c r="AB344" s="27" t="n">
        <f aca="false">(IF(F344=0,0,(Upgrades!$G$7+F344*Upgrades!$H$7)*POWER(Upgrades!$I$7,F344)))*(IF(Upgrades!$T$6="Asteroid Belt",POWER(Upgrades!$U$6,E344),1)*IF(Upgrades!$T$8="Asteroid Belt",POWER(Upgrades!$U$8,G344),1)*IF(Upgrades!$T$9="Asteroid Belt",POWER(Upgrades!$U$9,H344),1)*IF(Upgrades!$T$10="Asteroid Belt",POWER(Upgrades!$U$10,I344),1)*IF(Upgrades!$T$11="Asteroid Belt",POWER(Upgrades!$U$11,J344),1)*IF(Upgrades!$T$12="Asteroid Belt",POWER(Upgrades!$U$12,K344),1))*POWER(Upgrades!$P$6,E344)*POWER(Upgrades!$P$7,F344)*POWER(Upgrades!$P$8,G344)*POWER(Upgrades!$P$9,H344)*POWER(Upgrades!$P$10,I344)*POWER(Upgrades!$P$11,J344)*POWER(Upgrades!$P$12,K344)*60</f>
        <v>150</v>
      </c>
      <c r="AC344" s="27" t="n">
        <f aca="false">(IF(G344=0,0,(Upgrades!$J$8+G344*Upgrades!$K$8)*POWER(Upgrades!$L$8,G344)))*(IF(Upgrades!$T$6="Stellar Coupling",POWER(Upgrades!$U$6,E344),1)*IF(Upgrades!$T$7="Stellar Coupling",POWER(Upgrades!$U$7,F344),1)*IF(Upgrades!$T$9="Stellar Coupling",POWER(Upgrades!$U$9,H344),1)*IF(Upgrades!$T$10="Stellar Coupling",POWER(Upgrades!$U$10,I344),1)*IF(Upgrades!$T$11="Stellar Coupling",POWER(Upgrades!$U$11,J344),1)*IF(Upgrades!$T$12="Stellar Coupling",POWER(Upgrades!$U$12,K344),1))*POWER(Upgrades!$Q$6,E344)*POWER(Upgrades!$Q$7,F344)*POWER(Upgrades!$Q$8,G344)*POWER(Upgrades!$Q$9,H344)*POWER(Upgrades!$Q$10,I344)*POWER(Upgrades!$Q$11,J344)*POWER(Upgrades!$Q$12,K344)*Parameters!$B$10*Parameters!$B$11</f>
        <v>441</v>
      </c>
      <c r="AD344" s="27" t="n">
        <f aca="false">(IF(H344=0,0,(Upgrades!$G$9+H344*Upgrades!$H$9)*POWER(Upgrades!$I$9,H344)))*(IF(Upgrades!$T$6="Magnetosphere",POWER(Upgrades!$U$6,E344),1)*IF(Upgrades!$T$7="Magnetosphere",POWER(Upgrades!$U$7,F344),1)*IF(Upgrades!$T$8="Magnetosphere",POWER(Upgrades!$U$8,G344),1)*IF(Upgrades!$T$10="Magnetosphere",POWER(Upgrades!$U$10,I344),1)*IF(Upgrades!$T$11="Magnetosphere",POWER(Upgrades!$U$11,J344),1)*IF(Upgrades!$T$12="Magnetosphere",POWER(Upgrades!$U$12,K344),1))*POWER(Upgrades!$P$6,E344)*POWER(Upgrades!$P$7,F344)*POWER(Upgrades!$P$8,G344)*POWER(Upgrades!$P$9,H344)*POWER(Upgrades!$P$10,I344)*POWER(Upgrades!$P$11,J344)*POWER(Upgrades!$P$12,K344)*60</f>
        <v>375</v>
      </c>
      <c r="AE344" s="27" t="n">
        <f aca="false">(IF(K344=0,0,(Upgrades!$G$12+K344*Upgrades!$H$12)*POWER(Upgrades!$I$12,K344)))*(IF(Upgrades!$T$6="First Photons",POWER(Upgrades!$U$6,E344),1)*IF(Upgrades!$T$7="First Photons",POWER(Upgrades!$U$7,F344),1)*IF(Upgrades!$T$8="First Photons",POWER(Upgrades!$U$8,G344),1)*IF(Upgrades!$T$9="First Photons",POWER(Upgrades!$U$9,H344),1)*IF(Upgrades!$T$10="First Photons",POWER(Upgrades!$U$10,I344),1)*IF(Upgrades!$T$11="First Photons",POWER(Upgrades!$U$11,J344),1))*POWER(Upgrades!$P$6,E344)*POWER(Upgrades!$P$7,F344)*POWER(Upgrades!$P$8,G344)*POWER(Upgrades!$P$9,H344)*POWER(Upgrades!$P$10,I344)*POWER(Upgrades!$P$11,J344)*POWER(Upgrades!$P$12,K344)*60</f>
        <v>75</v>
      </c>
      <c r="AF344" s="27" t="n">
        <f aca="false">Parameters!$B$9*POWER(Upgrades!$Q$6,E344)*POWER(Upgrades!$Q$7,F344)*POWER(Upgrades!$Q$8,G344)*POWER(Upgrades!$Q$9,H344)*POWER(Upgrades!$Q$10,I344)*POWER(Upgrades!$Q$11,J344)*POWER(Upgrades!$Q$12,K344)*(Parameters!$B$10*Parameters!$B$11+O344*60)</f>
        <v>120</v>
      </c>
      <c r="AG344" s="21" t="n">
        <f aca="false">IF(E344&gt;=Upgrades!$E$6,"",Upgrades!$C$6*POWER(Upgrades!$D$6,E344))</f>
        <v>37.4517507383159</v>
      </c>
      <c r="AH344" s="21" t="n">
        <f aca="false">IF(F344&gt;=Upgrades!$E$7,"",Upgrades!$C$7*POWER(Upgrades!$D$7,F344))</f>
        <v>80.9111547141581</v>
      </c>
      <c r="AI344" s="21" t="n">
        <f aca="false">IF(G344&gt;=Upgrades!$E$8,"",Upgrades!$C$8*POWER(Upgrades!$D$8,G344))</f>
        <v>231.9097088</v>
      </c>
      <c r="AJ344" s="21" t="str">
        <f aca="false">IF(H344&gt;=Upgrades!$E$9,"",Upgrades!$C$9*POWER(Upgrades!$D$9,H344))</f>
        <v/>
      </c>
      <c r="AK344" s="21" t="str">
        <f aca="false">IF(I344&gt;=Upgrades!$E$10,"",Upgrades!$C$10*POWER(Upgrades!$D$10,I344))</f>
        <v/>
      </c>
      <c r="AL344" s="21" t="str">
        <f aca="false">IF(J344&gt;=Upgrades!$E$11,"",Upgrades!$C$11*POWER(Upgrades!$D$11,J344))</f>
        <v/>
      </c>
      <c r="AM344" s="21" t="str">
        <f aca="false">IF(K344&gt;=Upgrades!$E$12,"",Upgrades!$C$12*POWER(Upgrades!$D$12,K344))</f>
        <v/>
      </c>
      <c r="AN344" s="26" t="str">
        <f aca="false">IF(AND(D344&gt;=Parameters!$B$18,(H344&gt;=Upgrades!$E$9)*(K344&gt;=Upgrades!$E$12)=1,L344=0),1,"")</f>
        <v/>
      </c>
      <c r="AO344" s="26" t="str">
        <f aca="false">IF(AND(D344&gt;=Parameters!$B$18,L344=0),1,"")</f>
        <v/>
      </c>
      <c r="AP344" s="21" t="n">
        <f aca="false">MIN(IF(ISNUMBER(AK344),AK344,9000000000000000),IF(ISNUMBER(AL344),AL344,9000000000000000),IF(ISNUMBER(AM344),AM344,9000000000000000))</f>
        <v>9000000000000000</v>
      </c>
      <c r="AQ344" s="21" t="n">
        <f aca="false">MIN(IF(ISNUMBER(AG344),AG344,9000000000000000),IF(ISNUMBER(AH344),AH344,9000000000000000),IF(ISNUMBER(AI344),AI344,9000000000000000),IF(ISNUMBER(AJ344),AJ344,9000000000000000))</f>
        <v>37.4517507383159</v>
      </c>
      <c r="AR344" s="32" t="b">
        <f aca="false">IF(AW344&gt;Parameters!$B$21*(MAX(IF(AND(NOT(AND(AO344=1,AN344&lt;&gt;1)),ISNUMBER(AG344),AG344&lt;=T344),AS344,0),IF(AND(NOT(AND(AO344=1,AN344&lt;&gt;1)),ISNUMBER(AH344),AH344&lt;=T344),AT344,0),IF(AND(NOT(AND(AO344=1,AN344&lt;&gt;1)),ISNUMBER(AI344),AI344&lt;=T344),AU344,0),IF(AND(ISNUMBER(AJ344),AJ344&lt;=T344),AV344,0))),TRUE(),FALSE())</f>
        <v>1</v>
      </c>
      <c r="AS344" s="33" t="n">
        <f aca="false">IFERROR(Upgrades!$H$6*(POWER(Upgrades!$P$6,E344)*POWER(Upgrades!$P$7,F344)*POWER(Upgrades!$P$8,G344)*POWER(Upgrades!$P$9,H344)*POWER(Upgrades!$P$10,I344)*POWER(Upgrades!$P$11,J344)*POWER(Upgrades!$P$12,K344))*(IF(Upgrades!$T$7="Solar Wind",POWER(Upgrades!$U$7,F344),1)*IF(Upgrades!$T$8="Solar Wind",POWER(Upgrades!$U$8,G344),1)*IF(Upgrades!$T$9="Solar Wind",POWER(Upgrades!$U$9,H344),1)*IF(Upgrades!$T$10="Solar Wind",POWER(Upgrades!$U$10,I344),1)*IF(Upgrades!$T$11="Solar Wind",POWER(Upgrades!$U$11,J344),1)*IF(Upgrades!$T$12="Solar Wind",POWER(Upgrades!$U$12,K344),1))/AG344,0)</f>
        <v>0.0026701021455238</v>
      </c>
      <c r="AT344" s="33" t="n">
        <f aca="false">IFERROR(Upgrades!$H$7*(POWER(Upgrades!$P$6,E344)*POWER(Upgrades!$P$7,F344)*POWER(Upgrades!$P$8,G344)*POWER(Upgrades!$P$9,H344)*POWER(Upgrades!$P$10,I344)*POWER(Upgrades!$P$11,J344)*POWER(Upgrades!$P$12,K344))*(IF(Upgrades!$T$6="Asteroid Belt",POWER(Upgrades!$U$6,E344),1)*IF(Upgrades!$T$8="Asteroid Belt",POWER(Upgrades!$U$8,G344),1)*IF(Upgrades!$T$9="Asteroid Belt",POWER(Upgrades!$U$9,H344),1)*IF(Upgrades!$T$10="Asteroid Belt",POWER(Upgrades!$U$10,I344),1)*IF(Upgrades!$T$11="Asteroid Belt",POWER(Upgrades!$U$11,J344),1)*IF(Upgrades!$T$12="Asteroid Belt",POWER(Upgrades!$U$12,K344),1))/AH344,0)</f>
        <v>0.00308980882652332</v>
      </c>
      <c r="AU344" s="33" t="n">
        <f aca="false">IFERROR(Upgrades!$K$8*(POWER(Upgrades!$Q$6,E344)*POWER(Upgrades!$Q$7,F344)*POWER(Upgrades!$Q$8,G344)*POWER(Upgrades!$Q$9,H344)*POWER(Upgrades!$Q$10,I344)*POWER(Upgrades!$Q$11,J344)*POWER(Upgrades!$Q$12,K344))*(IF(Upgrades!$T$6="Stellar Coupling",POWER(Upgrades!$U$6,E344),1)*IF(Upgrades!$T$7="Stellar Coupling",POWER(Upgrades!$U$7,F344),1)*IF(Upgrades!$T$9="Stellar Coupling",POWER(Upgrades!$U$9,H344),1)*IF(Upgrades!$T$10="Stellar Coupling",POWER(Upgrades!$U$10,I344),1)*IF(Upgrades!$T$11="Stellar Coupling",POWER(Upgrades!$U$11,J344),1)*IF(Upgrades!$T$12="Stellar Coupling",POWER(Upgrades!$U$12,K344),1))*Parameters!$B$10*Parameters!$B$11/60/AI344,0)</f>
        <v>0.00452762415783776</v>
      </c>
      <c r="AV344" s="33" t="n">
        <f aca="false">IFERROR(Upgrades!$H$9*(POWER(Upgrades!$P$6,E344)*POWER(Upgrades!$P$7,F344)*POWER(Upgrades!$P$8,G344)*POWER(Upgrades!$P$9,H344)*POWER(Upgrades!$P$10,I344)*POWER(Upgrades!$P$11,J344)*POWER(Upgrades!$P$12,K344))*(IF(Upgrades!$T$6="Magnetosphere",POWER(Upgrades!$U$6,E344),1)*IF(Upgrades!$T$7="Magnetosphere",POWER(Upgrades!$U$7,F344),1)*IF(Upgrades!$T$8="Magnetosphere",POWER(Upgrades!$U$8,G344),1)*IF(Upgrades!$T$10="Magnetosphere",POWER(Upgrades!$U$10,I344),1)*IF(Upgrades!$T$11="Magnetosphere",POWER(Upgrades!$U$11,J344),1)*IF(Upgrades!$T$12="Magnetosphere",POWER(Upgrades!$U$12,K344),1))/AJ344,0)</f>
        <v>0</v>
      </c>
      <c r="AW344" s="33" t="n">
        <f aca="false">MAX(IF(I344&gt;0,0,IFERROR(0.25*N344/Upgrades!$C$10,0)),IF(J344&gt;0,0,IFERROR(0.5*((IF(G344=0,0,(Upgrades!$J$8+G344*Upgrades!$K$8)*POWER(Upgrades!$L$8,G344)))*(IF(Upgrades!$T$6="Stellar Coupling",POWER(Upgrades!$U$6,E344),1)*IF(Upgrades!$T$7="Stellar Coupling",POWER(Upgrades!$U$7,F344),1)*IF(Upgrades!$T$9="Stellar Coupling",POWER(Upgrades!$U$9,H344),1)*IF(Upgrades!$T$10="Stellar Coupling",POWER(Upgrades!$U$10,I344),1)*IF(Upgrades!$T$11="Stellar Coupling",POWER(Upgrades!$U$11,J344),1)*IF(Upgrades!$T$12="Stellar Coupling",POWER(Upgrades!$U$12,K344),1))*(POWER(Upgrades!$Q$6,E344)*POWER(Upgrades!$Q$7,F344)*POWER(Upgrades!$Q$8,G344)*POWER(Upgrades!$Q$9,H344)*POWER(Upgrades!$Q$10,I344)*POWER(Upgrades!$Q$11,J344)*POWER(Upgrades!$Q$12,K344))*Parameters!$B$10*Parameters!$B$11/60)/Upgrades!$C$11,0)),IF(K344&gt;0,0,IFERROR((1*(POWER(Upgrades!$P$6,E344)*POWER(Upgrades!$P$7,F344)*POWER(Upgrades!$P$8,G344)*POWER(Upgrades!$P$9,H344)*POWER(Upgrades!$P$10,I344)*POWER(Upgrades!$P$11,J344)*POWER(Upgrades!$P$12,K344))+0.2*M344*Parameters!$B$10*Parameters!$B$11/60)/Upgrades!$C$12,0)),IF(AND(ISNUMBER(AG344),AG344&gt;T344),AS344,0),IF(AND(ISNUMBER(AH344),AH344&gt;T344),AT344,0),IF(AND(ISNUMBER(AI344),AI344&gt;T344),AU344,0),IF(AND(ISNUMBER(AJ344),AJ344&gt;T344),AV344,0))</f>
        <v>0.00452762415783776</v>
      </c>
      <c r="AX344" s="29" t="str">
        <f aca="false">IF(AN344=1,"transition",IF(MIN(IF(AND(I344=0,ISNUMBER(AK344),AK344&lt;=T344),AK344,9000000000000000),IF(AND(J344=0,ISNUMBER(AL344),AL344&lt;=T344),AL344,9000000000000000),IF(AND(K344=0,ISNUMBER(AM344),AM344&lt;=T344),AM344,9000000000000000))&lt;9000000000000000,IF(AND(AND(I344=0,ISNUMBER(AK344),AK344&lt;=T344),AK344=MIN(IF(AND(I344=0,ISNUMBER(AK344),AK344&lt;=T344),AK344,9000000000000000),IF(AND(J344=0,ISNUMBER(AL344),AL344&lt;=T344),AL344,9000000000000000),IF(AND(K344=0,ISNUMBER(AM344),AM344&lt;=T344),AM344,9000000000000000))),"OR",IF(AND(AND(J344=0,ISNUMBER(AL344),AL344&lt;=T344),AL344=MIN(IF(AND(I344=0,ISNUMBER(AK344),AK344&lt;=T344),AK344,9000000000000000),IF(AND(J344=0,ISNUMBER(AL344),AL344&lt;=T344),AL344,9000000000000000),IF(AND(K344=0,ISNUMBER(AM344),AM344&lt;=T344),AM344,9000000000000000))),"HP","FP")),IF(AR344=TRUE(),"",IF(MAX(IF(AND(NOT(AND(AO344=1,AN344&lt;&gt;1)),ISNUMBER(AG344),AG344&lt;=T344),AS344,0),IF(AND(NOT(AND(AO344=1,AN344&lt;&gt;1)),ISNUMBER(AH344),AH344&lt;=T344),AT344,0),IF(AND(NOT(AND(AO344=1,AN344&lt;&gt;1)),ISNUMBER(AI344),AI344&lt;=T344),AU344,0),IF(AND(ISNUMBER(AJ344),AJ344&lt;=T344),AV344,0))&lt;=0,"",IF(AND(IF(AND(NOT(AND(AO344=1,AN344&lt;&gt;1)),ISNUMBER(AG344),AG344&lt;=T344),AS344,0)&gt;0,IF(AND(NOT(AND(AO344=1,AN344&lt;&gt;1)),ISNUMBER(AG344),AG344&lt;=T344),AS344,0)=MAX(IF(AND(NOT(AND(AO344=1,AN344&lt;&gt;1)),ISNUMBER(AG344),AG344&lt;=T344),AS344,0),IF(AND(NOT(AND(AO344=1,AN344&lt;&gt;1)),ISNUMBER(AH344),AH344&lt;=T344),AT344,0),IF(AND(NOT(AND(AO344=1,AN344&lt;&gt;1)),ISNUMBER(AI344),AI344&lt;=T344),AU344,0),IF(AND(ISNUMBER(AJ344),AJ344&lt;=T344),AV344,0))),"SW",IF(AND(IF(AND(NOT(AND(AO344=1,AN344&lt;&gt;1)),ISNUMBER(AH344),AH344&lt;=T344),AT344,0)&gt;0,IF(AND(NOT(AND(AO344=1,AN344&lt;&gt;1)),ISNUMBER(AH344),AH344&lt;=T344),AT344,0)=MAX(IF(AND(NOT(AND(AO344=1,AN344&lt;&gt;1)),ISNUMBER(AG344),AG344&lt;=T344),AS344,0),IF(AND(NOT(AND(AO344=1,AN344&lt;&gt;1)),ISNUMBER(AH344),AH344&lt;=T344),AT344,0),IF(AND(NOT(AND(AO344=1,AN344&lt;&gt;1)),ISNUMBER(AI344),AI344&lt;=T344),AU344,0),IF(AND(ISNUMBER(AJ344),AJ344&lt;=T344),AV344,0))),"AB",IF(AND(IF(AND(NOT(AND(AO344=1,AN344&lt;&gt;1)),ISNUMBER(AI344),AI344&lt;=T344),AU344,0)&gt;0,IF(AND(NOT(AND(AO344=1,AN344&lt;&gt;1)),ISNUMBER(AI344),AI344&lt;=T344),AU344,0)=MAX(IF(AND(NOT(AND(AO344=1,AN344&lt;&gt;1)),ISNUMBER(AG344),AG344&lt;=T344),AS344,0),IF(AND(NOT(AND(AO344=1,AN344&lt;&gt;1)),ISNUMBER(AH344),AH344&lt;=T344),AT344,0),IF(AND(NOT(AND(AO344=1,AN344&lt;&gt;1)),ISNUMBER(AI344),AI344&lt;=T344),AU344,0),IF(AND(ISNUMBER(AJ344),AJ344&lt;=T344),AV344,0))),"SC","Mag")))))))</f>
        <v/>
      </c>
    </row>
    <row r="345" customFormat="false" ht="15" hidden="false" customHeight="false" outlineLevel="0" collapsed="false">
      <c r="A345" s="26" t="n">
        <v>340</v>
      </c>
      <c r="B345" s="27" t="n">
        <f aca="false">A345*10/60</f>
        <v>56.6666666666667</v>
      </c>
      <c r="C345" s="21" t="n">
        <f aca="false">X344</f>
        <v>18.6730249835055</v>
      </c>
      <c r="D345" s="27" t="n">
        <f aca="false">D344+W344</f>
        <v>0</v>
      </c>
      <c r="E345" s="26" t="n">
        <f aca="false">E344+IF(U344="SW",1,0)</f>
        <v>12</v>
      </c>
      <c r="F345" s="26" t="n">
        <f aca="false">F344+IF(U344="AB",1,0)</f>
        <v>10</v>
      </c>
      <c r="G345" s="26" t="n">
        <f aca="false">G344+IF(U344="SC",1,0)</f>
        <v>7</v>
      </c>
      <c r="H345" s="26" t="n">
        <f aca="false">H344+IF(U344="Mag",1,0)</f>
        <v>5</v>
      </c>
      <c r="I345" s="26" t="n">
        <f aca="false">MAX(I344,IF(U344="OR",1,0))</f>
        <v>1</v>
      </c>
      <c r="J345" s="26" t="n">
        <f aca="false">MAX(J344,IF(U344="HP",1,0))</f>
        <v>1</v>
      </c>
      <c r="K345" s="26" t="n">
        <f aca="false">MAX(K344,IF(U344="FP",1,0))</f>
        <v>1</v>
      </c>
      <c r="L345" s="26" t="n">
        <f aca="false">MAX(L344,IF(U344="transition",1,0))</f>
        <v>1</v>
      </c>
      <c r="M345" s="28" t="n">
        <f aca="false">(Parameters!$B$9+(IF(E345=0,0,(Upgrades!$J$6+E345*Upgrades!$K$6)*POWER(Upgrades!$L$6,E345)))*(IF(Upgrades!$T$7="Solar Wind",POWER(Upgrades!$U$7,F345),1)*IF(Upgrades!$T$8="Solar Wind",POWER(Upgrades!$U$8,G345),1)*IF(Upgrades!$T$9="Solar Wind",POWER(Upgrades!$U$9,H345),1)*IF(Upgrades!$T$10="Solar Wind",POWER(Upgrades!$U$10,I345),1)*IF(Upgrades!$T$11="Solar Wind",POWER(Upgrades!$U$11,J345),1)*IF(Upgrades!$T$12="Solar Wind",POWER(Upgrades!$U$12,K345),1))+(IF(F345=0,0,(Upgrades!$J$7+F345*Upgrades!$K$7)*POWER(Upgrades!$L$7,F345)))*(IF(Upgrades!$T$6="Asteroid Belt",POWER(Upgrades!$U$6,E345),1)*IF(Upgrades!$T$8="Asteroid Belt",POWER(Upgrades!$U$8,G345),1)*IF(Upgrades!$T$9="Asteroid Belt",POWER(Upgrades!$U$9,H345),1)*IF(Upgrades!$T$10="Asteroid Belt",POWER(Upgrades!$U$10,I345),1)*IF(Upgrades!$T$11="Asteroid Belt",POWER(Upgrades!$U$11,J345),1)*IF(Upgrades!$T$12="Asteroid Belt",POWER(Upgrades!$U$12,K345),1))+(IF(G345=0,0,(Upgrades!$J$8+G345*Upgrades!$K$8)*POWER(Upgrades!$L$8,G345)))*(IF(Upgrades!$T$6="Stellar Coupling",POWER(Upgrades!$U$6,E345),1)*IF(Upgrades!$T$7="Stellar Coupling",POWER(Upgrades!$U$7,F345),1)*IF(Upgrades!$T$9="Stellar Coupling",POWER(Upgrades!$U$9,H345),1)*IF(Upgrades!$T$10="Stellar Coupling",POWER(Upgrades!$U$10,I345),1)*IF(Upgrades!$T$11="Stellar Coupling",POWER(Upgrades!$U$11,J345),1)*IF(Upgrades!$T$12="Stellar Coupling",POWER(Upgrades!$U$12,K345),1))+(IF(H345=0,0,(Upgrades!$J$9+H345*Upgrades!$K$9)*POWER(Upgrades!$L$9,H345)))*(IF(Upgrades!$T$6="Magnetosphere",POWER(Upgrades!$U$6,E345),1)*IF(Upgrades!$T$7="Magnetosphere",POWER(Upgrades!$U$7,F345),1)*IF(Upgrades!$T$8="Magnetosphere",POWER(Upgrades!$U$8,G345),1)*IF(Upgrades!$T$10="Magnetosphere",POWER(Upgrades!$U$10,I345),1)*IF(Upgrades!$T$11="Magnetosphere",POWER(Upgrades!$U$11,J345),1)*IF(Upgrades!$T$12="Magnetosphere",POWER(Upgrades!$U$12,K345),1))+(IF(I345=0,0,(Upgrades!$J$10+I345*Upgrades!$K$10)*POWER(Upgrades!$L$10,I345)))*(IF(Upgrades!$T$6="Orbital Resonance",POWER(Upgrades!$U$6,E345),1)*IF(Upgrades!$T$7="Orbital Resonance",POWER(Upgrades!$U$7,F345),1)*IF(Upgrades!$T$8="Orbital Resonance",POWER(Upgrades!$U$8,G345),1)*IF(Upgrades!$T$9="Orbital Resonance",POWER(Upgrades!$U$9,H345),1)*IF(Upgrades!$T$11="Orbital Resonance",POWER(Upgrades!$U$11,J345),1)*IF(Upgrades!$T$12="Orbital Resonance",POWER(Upgrades!$U$12,K345),1))+(IF(J345=0,0,(Upgrades!$J$11+J345*Upgrades!$K$11)*POWER(Upgrades!$L$11,J345)))*(IF(Upgrades!$T$6="Heliopause",POWER(Upgrades!$U$6,E345),1)*IF(Upgrades!$T$7="Heliopause",POWER(Upgrades!$U$7,F345),1)*IF(Upgrades!$T$8="Heliopause",POWER(Upgrades!$U$8,G345),1)*IF(Upgrades!$T$9="Heliopause",POWER(Upgrades!$U$9,H345),1)*IF(Upgrades!$T$10="Heliopause",POWER(Upgrades!$U$10,I345),1)*IF(Upgrades!$T$12="Heliopause",POWER(Upgrades!$U$12,K345),1))+(IF(K345=0,0,(Upgrades!$J$12+K345*Upgrades!$K$12)*POWER(Upgrades!$L$12,K345)))*(IF(Upgrades!$T$6="First Photons",POWER(Upgrades!$U$6,E345),1)*IF(Upgrades!$T$7="First Photons",POWER(Upgrades!$U$7,F345),1)*IF(Upgrades!$T$8="First Photons",POWER(Upgrades!$U$8,G345),1)*IF(Upgrades!$T$9="First Photons",POWER(Upgrades!$U$9,H345),1)*IF(Upgrades!$T$10="First Photons",POWER(Upgrades!$U$10,I345),1)*IF(Upgrades!$T$11="First Photons",POWER(Upgrades!$U$11,J345),1)))*POWER(Upgrades!$Q$6,E345)*POWER(Upgrades!$Q$7,F345)*POWER(Upgrades!$Q$8,G345)*POWER(Upgrades!$Q$9,H345)*POWER(Upgrades!$Q$10,I345)*POWER(Upgrades!$Q$11,J345)*POWER(Upgrades!$Q$12,K345)</f>
        <v>5.61</v>
      </c>
      <c r="N345" s="28" t="n">
        <f aca="false">((IF(E345=0,0,(Upgrades!$G$6+E345*Upgrades!$H$6)*POWER(Upgrades!$I$6,E345)))*(IF(Upgrades!$T$7="Solar Wind",POWER(Upgrades!$U$7,F345),1)*IF(Upgrades!$T$8="Solar Wind",POWER(Upgrades!$U$8,G345),1)*IF(Upgrades!$T$9="Solar Wind",POWER(Upgrades!$U$9,H345),1)*IF(Upgrades!$T$10="Solar Wind",POWER(Upgrades!$U$10,I345),1)*IF(Upgrades!$T$11="Solar Wind",POWER(Upgrades!$U$11,J345),1)*IF(Upgrades!$T$12="Solar Wind",POWER(Upgrades!$U$12,K345),1))+(IF(F345=0,0,(Upgrades!$G$7+F345*Upgrades!$H$7)*POWER(Upgrades!$I$7,F345)))*(IF(Upgrades!$T$6="Asteroid Belt",POWER(Upgrades!$U$6,E345),1)*IF(Upgrades!$T$8="Asteroid Belt",POWER(Upgrades!$U$8,G345),1)*IF(Upgrades!$T$9="Asteroid Belt",POWER(Upgrades!$U$9,H345),1)*IF(Upgrades!$T$10="Asteroid Belt",POWER(Upgrades!$U$10,I345),1)*IF(Upgrades!$T$11="Asteroid Belt",POWER(Upgrades!$U$11,J345),1)*IF(Upgrades!$T$12="Asteroid Belt",POWER(Upgrades!$U$12,K345),1))+(IF(G345=0,0,(Upgrades!$G$8+G345*Upgrades!$H$8)*POWER(Upgrades!$I$8,G345)))*(IF(Upgrades!$T$6="Stellar Coupling",POWER(Upgrades!$U$6,E345),1)*IF(Upgrades!$T$7="Stellar Coupling",POWER(Upgrades!$U$7,F345),1)*IF(Upgrades!$T$9="Stellar Coupling",POWER(Upgrades!$U$9,H345),1)*IF(Upgrades!$T$10="Stellar Coupling",POWER(Upgrades!$U$10,I345),1)*IF(Upgrades!$T$11="Stellar Coupling",POWER(Upgrades!$U$11,J345),1)*IF(Upgrades!$T$12="Stellar Coupling",POWER(Upgrades!$U$12,K345),1))+(IF(H345=0,0,(Upgrades!$G$9+H345*Upgrades!$H$9)*POWER(Upgrades!$I$9,H345)))*(IF(Upgrades!$T$6="Magnetosphere",POWER(Upgrades!$U$6,E345),1)*IF(Upgrades!$T$7="Magnetosphere",POWER(Upgrades!$U$7,F345),1)*IF(Upgrades!$T$8="Magnetosphere",POWER(Upgrades!$U$8,G345),1)*IF(Upgrades!$T$10="Magnetosphere",POWER(Upgrades!$U$10,I345),1)*IF(Upgrades!$T$11="Magnetosphere",POWER(Upgrades!$U$11,J345),1)*IF(Upgrades!$T$12="Magnetosphere",POWER(Upgrades!$U$12,K345),1))+(IF(I345=0,0,(Upgrades!$G$10+I345*Upgrades!$H$10)*POWER(Upgrades!$I$10,I345)))*(IF(Upgrades!$T$6="Orbital Resonance",POWER(Upgrades!$U$6,E345),1)*IF(Upgrades!$T$7="Orbital Resonance",POWER(Upgrades!$U$7,F345),1)*IF(Upgrades!$T$8="Orbital Resonance",POWER(Upgrades!$U$8,G345),1)*IF(Upgrades!$T$9="Orbital Resonance",POWER(Upgrades!$U$9,H345),1)*IF(Upgrades!$T$11="Orbital Resonance",POWER(Upgrades!$U$11,J345),1)*IF(Upgrades!$T$12="Orbital Resonance",POWER(Upgrades!$U$12,K345),1))+(IF(J345=0,0,(Upgrades!$G$11+J345*Upgrades!$H$11)*POWER(Upgrades!$I$11,J345)))*(IF(Upgrades!$T$6="Heliopause",POWER(Upgrades!$U$6,E345),1)*IF(Upgrades!$T$7="Heliopause",POWER(Upgrades!$U$7,F345),1)*IF(Upgrades!$T$8="Heliopause",POWER(Upgrades!$U$8,G345),1)*IF(Upgrades!$T$9="Heliopause",POWER(Upgrades!$U$9,H345),1)*IF(Upgrades!$T$10="Heliopause",POWER(Upgrades!$U$10,I345),1)*IF(Upgrades!$T$12="Heliopause",POWER(Upgrades!$U$12,K345),1))+(IF(K345=0,0,(Upgrades!$G$12+K345*Upgrades!$H$12)*POWER(Upgrades!$I$12,K345)))*(IF(Upgrades!$T$6="First Photons",POWER(Upgrades!$U$6,E345),1)*IF(Upgrades!$T$7="First Photons",POWER(Upgrades!$U$7,F345),1)*IF(Upgrades!$T$8="First Photons",POWER(Upgrades!$U$8,G345),1)*IF(Upgrades!$T$9="First Photons",POWER(Upgrades!$U$9,H345),1)*IF(Upgrades!$T$10="First Photons",POWER(Upgrades!$U$10,I345),1)*IF(Upgrades!$T$11="First Photons",POWER(Upgrades!$U$11,J345),1)))*POWER(Upgrades!$P$6,E345)*POWER(Upgrades!$P$7,F345)*POWER(Upgrades!$P$8,G345)*POWER(Upgrades!$P$9,H345)*POWER(Upgrades!$P$10,I345)*POWER(Upgrades!$P$11,J345)*POWER(Upgrades!$P$12,K345)</f>
        <v>11.2</v>
      </c>
      <c r="O345" s="28" t="n">
        <f aca="false">((IF(E345=0,0,(Upgrades!$M$6+E345*Upgrades!$N$6)*POWER(Upgrades!$O$6,E345)))*(IF(Upgrades!$T$7="Solar Wind",POWER(Upgrades!$U$7,F345),1)*IF(Upgrades!$T$8="Solar Wind",POWER(Upgrades!$U$8,G345),1)*IF(Upgrades!$T$9="Solar Wind",POWER(Upgrades!$U$9,H345),1)*IF(Upgrades!$T$10="Solar Wind",POWER(Upgrades!$U$10,I345),1)*IF(Upgrades!$T$11="Solar Wind",POWER(Upgrades!$U$11,J345),1)*IF(Upgrades!$T$12="Solar Wind",POWER(Upgrades!$U$12,K345),1))+(IF(F345=0,0,(Upgrades!$M$7+F345*Upgrades!$N$7)*POWER(Upgrades!$O$7,F345)))*(IF(Upgrades!$T$6="Asteroid Belt",POWER(Upgrades!$U$6,E345),1)*IF(Upgrades!$T$8="Asteroid Belt",POWER(Upgrades!$U$8,G345),1)*IF(Upgrades!$T$9="Asteroid Belt",POWER(Upgrades!$U$9,H345),1)*IF(Upgrades!$T$10="Asteroid Belt",POWER(Upgrades!$U$10,I345),1)*IF(Upgrades!$T$11="Asteroid Belt",POWER(Upgrades!$U$11,J345),1)*IF(Upgrades!$T$12="Asteroid Belt",POWER(Upgrades!$U$12,K345),1))+(IF(G345=0,0,(Upgrades!$M$8+G345*Upgrades!$N$8)*POWER(Upgrades!$O$8,G345)))*(IF(Upgrades!$T$6="Stellar Coupling",POWER(Upgrades!$U$6,E345),1)*IF(Upgrades!$T$7="Stellar Coupling",POWER(Upgrades!$U$7,F345),1)*IF(Upgrades!$T$9="Stellar Coupling",POWER(Upgrades!$U$9,H345),1)*IF(Upgrades!$T$10="Stellar Coupling",POWER(Upgrades!$U$10,I345),1)*IF(Upgrades!$T$11="Stellar Coupling",POWER(Upgrades!$U$11,J345),1)*IF(Upgrades!$T$12="Stellar Coupling",POWER(Upgrades!$U$12,K345),1))+(IF(H345=0,0,(Upgrades!$M$9+H345*Upgrades!$N$9)*POWER(Upgrades!$O$9,H345)))*(IF(Upgrades!$T$6="Magnetosphere",POWER(Upgrades!$U$6,E345),1)*IF(Upgrades!$T$7="Magnetosphere",POWER(Upgrades!$U$7,F345),1)*IF(Upgrades!$T$8="Magnetosphere",POWER(Upgrades!$U$8,G345),1)*IF(Upgrades!$T$10="Magnetosphere",POWER(Upgrades!$U$10,I345),1)*IF(Upgrades!$T$11="Magnetosphere",POWER(Upgrades!$U$11,J345),1)*IF(Upgrades!$T$12="Magnetosphere",POWER(Upgrades!$U$12,K345),1))+(IF(I345=0,0,(Upgrades!$M$10+I345*Upgrades!$N$10)*POWER(Upgrades!$O$10,I345)))*(IF(Upgrades!$T$6="Orbital Resonance",POWER(Upgrades!$U$6,E345),1)*IF(Upgrades!$T$7="Orbital Resonance",POWER(Upgrades!$U$7,F345),1)*IF(Upgrades!$T$8="Orbital Resonance",POWER(Upgrades!$U$8,G345),1)*IF(Upgrades!$T$9="Orbital Resonance",POWER(Upgrades!$U$9,H345),1)*IF(Upgrades!$T$11="Orbital Resonance",POWER(Upgrades!$U$11,J345),1)*IF(Upgrades!$T$12="Orbital Resonance",POWER(Upgrades!$U$12,K345),1))+(IF(J345=0,0,(Upgrades!$M$11+J345*Upgrades!$N$11)*POWER(Upgrades!$O$11,J345)))*(IF(Upgrades!$T$6="Heliopause",POWER(Upgrades!$U$6,E345),1)*IF(Upgrades!$T$7="Heliopause",POWER(Upgrades!$U$7,F345),1)*IF(Upgrades!$T$8="Heliopause",POWER(Upgrades!$U$8,G345),1)*IF(Upgrades!$T$9="Heliopause",POWER(Upgrades!$U$9,H345),1)*IF(Upgrades!$T$10="Heliopause",POWER(Upgrades!$U$10,I345),1)*IF(Upgrades!$T$12="Heliopause",POWER(Upgrades!$U$12,K345),1))+(IF(K345=0,0,(Upgrades!$M$12+K345*Upgrades!$N$12)*POWER(Upgrades!$O$12,K345)))*(IF(Upgrades!$T$6="First Photons",POWER(Upgrades!$U$6,E345),1)*IF(Upgrades!$T$7="First Photons",POWER(Upgrades!$U$7,F345),1)*IF(Upgrades!$T$8="First Photons",POWER(Upgrades!$U$8,G345),1)*IF(Upgrades!$T$9="First Photons",POWER(Upgrades!$U$9,H345),1)*IF(Upgrades!$T$10="First Photons",POWER(Upgrades!$U$10,I345),1)*IF(Upgrades!$T$11="First Photons",POWER(Upgrades!$U$11,J345),1)))*POWER(Upgrades!$R$6,E345)*POWER(Upgrades!$R$7,F345)*POWER(Upgrades!$R$8,G345)*POWER(Upgrades!$R$9,H345)*POWER(Upgrades!$R$10,I345)*POWER(Upgrades!$R$11,J345)*POWER(Upgrades!$R$12,K345)</f>
        <v>0</v>
      </c>
      <c r="P345" s="27" t="n">
        <f aca="false">IF(L345=1,0,M345*Parameters!$B$10/60*Parameters!$B$11*10)</f>
        <v>0</v>
      </c>
      <c r="Q345" s="27" t="n">
        <f aca="false">IF(L345=1,0,O345*M345*10)</f>
        <v>0</v>
      </c>
      <c r="R345" s="27" t="n">
        <f aca="false">IF(L345=1,0,N345*10)</f>
        <v>0</v>
      </c>
      <c r="S345" s="27" t="n">
        <f aca="false">P345+Q345+R345</f>
        <v>0</v>
      </c>
      <c r="T345" s="21" t="n">
        <f aca="false">C345+S345</f>
        <v>18.6730249835055</v>
      </c>
      <c r="U345" s="34" t="str">
        <f aca="false">AX345</f>
        <v/>
      </c>
      <c r="V345" s="21" t="n">
        <f aca="false">IF(U345="",0,IF(U345="transition",0,IF(U345="SW",AG345,IF(U345="AB",AH345,IF(U345="SC",AI345,IF(U345="Mag",AJ345,IF(U345="OR",AK345,IF(U345="HP",AL345,IF(U345="FP",AM345,0)))))))))</f>
        <v>0</v>
      </c>
      <c r="W345" s="27" t="n">
        <f aca="false">IF(U345="OR",Upgrades!$F$10,IF(U345="HP",Upgrades!$F$11,IF(U345="transition",-Parameters!$B$18,0)))</f>
        <v>0</v>
      </c>
      <c r="X345" s="21" t="n">
        <f aca="false">T345-V345</f>
        <v>18.6730249835055</v>
      </c>
      <c r="Y345" s="30" t="n">
        <f aca="false">M345*Parameters!$B$10/60*Parameters!$B$11+O345*M345+N345</f>
        <v>20.55</v>
      </c>
      <c r="Z345" s="35" t="str">
        <f aca="false">IF(U345="transition","→ Tier 2 (Stellar Neighborhood)",IF(U345="FP","First Photons — light begins, system quickens",IF(U345="HP","Heliopause acquired",IF(U345="OR","Orbital Resonance — passive multiplier active",IF(AND(AO345=1,L345=0,AN345&lt;&gt;1),"Cohesion ready (waiting on completionist upgrades)","")))))</f>
        <v/>
      </c>
      <c r="AA345" s="27" t="n">
        <f aca="false">(IF(E345=0,0,(Upgrades!$G$6+E345*Upgrades!$H$6)*POWER(Upgrades!$I$6,E345)))*(IF(Upgrades!$T$7="Solar Wind",POWER(Upgrades!$U$7,F345),1)*IF(Upgrades!$T$8="Solar Wind",POWER(Upgrades!$U$8,G345),1)*IF(Upgrades!$T$9="Solar Wind",POWER(Upgrades!$U$9,H345),1)*IF(Upgrades!$T$10="Solar Wind",POWER(Upgrades!$U$10,I345),1)*IF(Upgrades!$T$11="Solar Wind",POWER(Upgrades!$U$11,J345),1)*IF(Upgrades!$T$12="Solar Wind",POWER(Upgrades!$U$12,K345),1))*POWER(Upgrades!$P$6,E345)*POWER(Upgrades!$P$7,F345)*POWER(Upgrades!$P$8,G345)*POWER(Upgrades!$P$9,H345)*POWER(Upgrades!$P$10,I345)*POWER(Upgrades!$P$11,J345)*POWER(Upgrades!$P$12,K345)*60</f>
        <v>72</v>
      </c>
      <c r="AB345" s="27" t="n">
        <f aca="false">(IF(F345=0,0,(Upgrades!$G$7+F345*Upgrades!$H$7)*POWER(Upgrades!$I$7,F345)))*(IF(Upgrades!$T$6="Asteroid Belt",POWER(Upgrades!$U$6,E345),1)*IF(Upgrades!$T$8="Asteroid Belt",POWER(Upgrades!$U$8,G345),1)*IF(Upgrades!$T$9="Asteroid Belt",POWER(Upgrades!$U$9,H345),1)*IF(Upgrades!$T$10="Asteroid Belt",POWER(Upgrades!$U$10,I345),1)*IF(Upgrades!$T$11="Asteroid Belt",POWER(Upgrades!$U$11,J345),1)*IF(Upgrades!$T$12="Asteroid Belt",POWER(Upgrades!$U$12,K345),1))*POWER(Upgrades!$P$6,E345)*POWER(Upgrades!$P$7,F345)*POWER(Upgrades!$P$8,G345)*POWER(Upgrades!$P$9,H345)*POWER(Upgrades!$P$10,I345)*POWER(Upgrades!$P$11,J345)*POWER(Upgrades!$P$12,K345)*60</f>
        <v>150</v>
      </c>
      <c r="AC345" s="27" t="n">
        <f aca="false">(IF(G345=0,0,(Upgrades!$J$8+G345*Upgrades!$K$8)*POWER(Upgrades!$L$8,G345)))*(IF(Upgrades!$T$6="Stellar Coupling",POWER(Upgrades!$U$6,E345),1)*IF(Upgrades!$T$7="Stellar Coupling",POWER(Upgrades!$U$7,F345),1)*IF(Upgrades!$T$9="Stellar Coupling",POWER(Upgrades!$U$9,H345),1)*IF(Upgrades!$T$10="Stellar Coupling",POWER(Upgrades!$U$10,I345),1)*IF(Upgrades!$T$11="Stellar Coupling",POWER(Upgrades!$U$11,J345),1)*IF(Upgrades!$T$12="Stellar Coupling",POWER(Upgrades!$U$12,K345),1))*POWER(Upgrades!$Q$6,E345)*POWER(Upgrades!$Q$7,F345)*POWER(Upgrades!$Q$8,G345)*POWER(Upgrades!$Q$9,H345)*POWER(Upgrades!$Q$10,I345)*POWER(Upgrades!$Q$11,J345)*POWER(Upgrades!$Q$12,K345)*Parameters!$B$10*Parameters!$B$11</f>
        <v>441</v>
      </c>
      <c r="AD345" s="27" t="n">
        <f aca="false">(IF(H345=0,0,(Upgrades!$G$9+H345*Upgrades!$H$9)*POWER(Upgrades!$I$9,H345)))*(IF(Upgrades!$T$6="Magnetosphere",POWER(Upgrades!$U$6,E345),1)*IF(Upgrades!$T$7="Magnetosphere",POWER(Upgrades!$U$7,F345),1)*IF(Upgrades!$T$8="Magnetosphere",POWER(Upgrades!$U$8,G345),1)*IF(Upgrades!$T$10="Magnetosphere",POWER(Upgrades!$U$10,I345),1)*IF(Upgrades!$T$11="Magnetosphere",POWER(Upgrades!$U$11,J345),1)*IF(Upgrades!$T$12="Magnetosphere",POWER(Upgrades!$U$12,K345),1))*POWER(Upgrades!$P$6,E345)*POWER(Upgrades!$P$7,F345)*POWER(Upgrades!$P$8,G345)*POWER(Upgrades!$P$9,H345)*POWER(Upgrades!$P$10,I345)*POWER(Upgrades!$P$11,J345)*POWER(Upgrades!$P$12,K345)*60</f>
        <v>375</v>
      </c>
      <c r="AE345" s="27" t="n">
        <f aca="false">(IF(K345=0,0,(Upgrades!$G$12+K345*Upgrades!$H$12)*POWER(Upgrades!$I$12,K345)))*(IF(Upgrades!$T$6="First Photons",POWER(Upgrades!$U$6,E345),1)*IF(Upgrades!$T$7="First Photons",POWER(Upgrades!$U$7,F345),1)*IF(Upgrades!$T$8="First Photons",POWER(Upgrades!$U$8,G345),1)*IF(Upgrades!$T$9="First Photons",POWER(Upgrades!$U$9,H345),1)*IF(Upgrades!$T$10="First Photons",POWER(Upgrades!$U$10,I345),1)*IF(Upgrades!$T$11="First Photons",POWER(Upgrades!$U$11,J345),1))*POWER(Upgrades!$P$6,E345)*POWER(Upgrades!$P$7,F345)*POWER(Upgrades!$P$8,G345)*POWER(Upgrades!$P$9,H345)*POWER(Upgrades!$P$10,I345)*POWER(Upgrades!$P$11,J345)*POWER(Upgrades!$P$12,K345)*60</f>
        <v>75</v>
      </c>
      <c r="AF345" s="27" t="n">
        <f aca="false">Parameters!$B$9*POWER(Upgrades!$Q$6,E345)*POWER(Upgrades!$Q$7,F345)*POWER(Upgrades!$Q$8,G345)*POWER(Upgrades!$Q$9,H345)*POWER(Upgrades!$Q$10,I345)*POWER(Upgrades!$Q$11,J345)*POWER(Upgrades!$Q$12,K345)*(Parameters!$B$10*Parameters!$B$11+O345*60)</f>
        <v>120</v>
      </c>
      <c r="AG345" s="21" t="n">
        <f aca="false">IF(E345&gt;=Upgrades!$E$6,"",Upgrades!$C$6*POWER(Upgrades!$D$6,E345))</f>
        <v>37.4517507383159</v>
      </c>
      <c r="AH345" s="21" t="n">
        <f aca="false">IF(F345&gt;=Upgrades!$E$7,"",Upgrades!$C$7*POWER(Upgrades!$D$7,F345))</f>
        <v>80.9111547141581</v>
      </c>
      <c r="AI345" s="21" t="n">
        <f aca="false">IF(G345&gt;=Upgrades!$E$8,"",Upgrades!$C$8*POWER(Upgrades!$D$8,G345))</f>
        <v>231.9097088</v>
      </c>
      <c r="AJ345" s="21" t="str">
        <f aca="false">IF(H345&gt;=Upgrades!$E$9,"",Upgrades!$C$9*POWER(Upgrades!$D$9,H345))</f>
        <v/>
      </c>
      <c r="AK345" s="21" t="str">
        <f aca="false">IF(I345&gt;=Upgrades!$E$10,"",Upgrades!$C$10*POWER(Upgrades!$D$10,I345))</f>
        <v/>
      </c>
      <c r="AL345" s="21" t="str">
        <f aca="false">IF(J345&gt;=Upgrades!$E$11,"",Upgrades!$C$11*POWER(Upgrades!$D$11,J345))</f>
        <v/>
      </c>
      <c r="AM345" s="21" t="str">
        <f aca="false">IF(K345&gt;=Upgrades!$E$12,"",Upgrades!$C$12*POWER(Upgrades!$D$12,K345))</f>
        <v/>
      </c>
      <c r="AN345" s="26" t="str">
        <f aca="false">IF(AND(D345&gt;=Parameters!$B$18,(H345&gt;=Upgrades!$E$9)*(K345&gt;=Upgrades!$E$12)=1,L345=0),1,"")</f>
        <v/>
      </c>
      <c r="AO345" s="26" t="str">
        <f aca="false">IF(AND(D345&gt;=Parameters!$B$18,L345=0),1,"")</f>
        <v/>
      </c>
      <c r="AP345" s="21" t="n">
        <f aca="false">MIN(IF(ISNUMBER(AK345),AK345,9000000000000000),IF(ISNUMBER(AL345),AL345,9000000000000000),IF(ISNUMBER(AM345),AM345,9000000000000000))</f>
        <v>9000000000000000</v>
      </c>
      <c r="AQ345" s="21" t="n">
        <f aca="false">MIN(IF(ISNUMBER(AG345),AG345,9000000000000000),IF(ISNUMBER(AH345),AH345,9000000000000000),IF(ISNUMBER(AI345),AI345,9000000000000000),IF(ISNUMBER(AJ345),AJ345,9000000000000000))</f>
        <v>37.4517507383159</v>
      </c>
      <c r="AR345" s="32" t="b">
        <f aca="false">IF(AW345&gt;Parameters!$B$21*(MAX(IF(AND(NOT(AND(AO345=1,AN345&lt;&gt;1)),ISNUMBER(AG345),AG345&lt;=T345),AS345,0),IF(AND(NOT(AND(AO345=1,AN345&lt;&gt;1)),ISNUMBER(AH345),AH345&lt;=T345),AT345,0),IF(AND(NOT(AND(AO345=1,AN345&lt;&gt;1)),ISNUMBER(AI345),AI345&lt;=T345),AU345,0),IF(AND(ISNUMBER(AJ345),AJ345&lt;=T345),AV345,0))),TRUE(),FALSE())</f>
        <v>1</v>
      </c>
      <c r="AS345" s="33" t="n">
        <f aca="false">IFERROR(Upgrades!$H$6*(POWER(Upgrades!$P$6,E345)*POWER(Upgrades!$P$7,F345)*POWER(Upgrades!$P$8,G345)*POWER(Upgrades!$P$9,H345)*POWER(Upgrades!$P$10,I345)*POWER(Upgrades!$P$11,J345)*POWER(Upgrades!$P$12,K345))*(IF(Upgrades!$T$7="Solar Wind",POWER(Upgrades!$U$7,F345),1)*IF(Upgrades!$T$8="Solar Wind",POWER(Upgrades!$U$8,G345),1)*IF(Upgrades!$T$9="Solar Wind",POWER(Upgrades!$U$9,H345),1)*IF(Upgrades!$T$10="Solar Wind",POWER(Upgrades!$U$10,I345),1)*IF(Upgrades!$T$11="Solar Wind",POWER(Upgrades!$U$11,J345),1)*IF(Upgrades!$T$12="Solar Wind",POWER(Upgrades!$U$12,K345),1))/AG345,0)</f>
        <v>0.0026701021455238</v>
      </c>
      <c r="AT345" s="33" t="n">
        <f aca="false">IFERROR(Upgrades!$H$7*(POWER(Upgrades!$P$6,E345)*POWER(Upgrades!$P$7,F345)*POWER(Upgrades!$P$8,G345)*POWER(Upgrades!$P$9,H345)*POWER(Upgrades!$P$10,I345)*POWER(Upgrades!$P$11,J345)*POWER(Upgrades!$P$12,K345))*(IF(Upgrades!$T$6="Asteroid Belt",POWER(Upgrades!$U$6,E345),1)*IF(Upgrades!$T$8="Asteroid Belt",POWER(Upgrades!$U$8,G345),1)*IF(Upgrades!$T$9="Asteroid Belt",POWER(Upgrades!$U$9,H345),1)*IF(Upgrades!$T$10="Asteroid Belt",POWER(Upgrades!$U$10,I345),1)*IF(Upgrades!$T$11="Asteroid Belt",POWER(Upgrades!$U$11,J345),1)*IF(Upgrades!$T$12="Asteroid Belt",POWER(Upgrades!$U$12,K345),1))/AH345,0)</f>
        <v>0.00308980882652332</v>
      </c>
      <c r="AU345" s="33" t="n">
        <f aca="false">IFERROR(Upgrades!$K$8*(POWER(Upgrades!$Q$6,E345)*POWER(Upgrades!$Q$7,F345)*POWER(Upgrades!$Q$8,G345)*POWER(Upgrades!$Q$9,H345)*POWER(Upgrades!$Q$10,I345)*POWER(Upgrades!$Q$11,J345)*POWER(Upgrades!$Q$12,K345))*(IF(Upgrades!$T$6="Stellar Coupling",POWER(Upgrades!$U$6,E345),1)*IF(Upgrades!$T$7="Stellar Coupling",POWER(Upgrades!$U$7,F345),1)*IF(Upgrades!$T$9="Stellar Coupling",POWER(Upgrades!$U$9,H345),1)*IF(Upgrades!$T$10="Stellar Coupling",POWER(Upgrades!$U$10,I345),1)*IF(Upgrades!$T$11="Stellar Coupling",POWER(Upgrades!$U$11,J345),1)*IF(Upgrades!$T$12="Stellar Coupling",POWER(Upgrades!$U$12,K345),1))*Parameters!$B$10*Parameters!$B$11/60/AI345,0)</f>
        <v>0.00452762415783776</v>
      </c>
      <c r="AV345" s="33" t="n">
        <f aca="false">IFERROR(Upgrades!$H$9*(POWER(Upgrades!$P$6,E345)*POWER(Upgrades!$P$7,F345)*POWER(Upgrades!$P$8,G345)*POWER(Upgrades!$P$9,H345)*POWER(Upgrades!$P$10,I345)*POWER(Upgrades!$P$11,J345)*POWER(Upgrades!$P$12,K345))*(IF(Upgrades!$T$6="Magnetosphere",POWER(Upgrades!$U$6,E345),1)*IF(Upgrades!$T$7="Magnetosphere",POWER(Upgrades!$U$7,F345),1)*IF(Upgrades!$T$8="Magnetosphere",POWER(Upgrades!$U$8,G345),1)*IF(Upgrades!$T$10="Magnetosphere",POWER(Upgrades!$U$10,I345),1)*IF(Upgrades!$T$11="Magnetosphere",POWER(Upgrades!$U$11,J345),1)*IF(Upgrades!$T$12="Magnetosphere",POWER(Upgrades!$U$12,K345),1))/AJ345,0)</f>
        <v>0</v>
      </c>
      <c r="AW345" s="33" t="n">
        <f aca="false">MAX(IF(I345&gt;0,0,IFERROR(0.25*N345/Upgrades!$C$10,0)),IF(J345&gt;0,0,IFERROR(0.5*((IF(G345=0,0,(Upgrades!$J$8+G345*Upgrades!$K$8)*POWER(Upgrades!$L$8,G345)))*(IF(Upgrades!$T$6="Stellar Coupling",POWER(Upgrades!$U$6,E345),1)*IF(Upgrades!$T$7="Stellar Coupling",POWER(Upgrades!$U$7,F345),1)*IF(Upgrades!$T$9="Stellar Coupling",POWER(Upgrades!$U$9,H345),1)*IF(Upgrades!$T$10="Stellar Coupling",POWER(Upgrades!$U$10,I345),1)*IF(Upgrades!$T$11="Stellar Coupling",POWER(Upgrades!$U$11,J345),1)*IF(Upgrades!$T$12="Stellar Coupling",POWER(Upgrades!$U$12,K345),1))*(POWER(Upgrades!$Q$6,E345)*POWER(Upgrades!$Q$7,F345)*POWER(Upgrades!$Q$8,G345)*POWER(Upgrades!$Q$9,H345)*POWER(Upgrades!$Q$10,I345)*POWER(Upgrades!$Q$11,J345)*POWER(Upgrades!$Q$12,K345))*Parameters!$B$10*Parameters!$B$11/60)/Upgrades!$C$11,0)),IF(K345&gt;0,0,IFERROR((1*(POWER(Upgrades!$P$6,E345)*POWER(Upgrades!$P$7,F345)*POWER(Upgrades!$P$8,G345)*POWER(Upgrades!$P$9,H345)*POWER(Upgrades!$P$10,I345)*POWER(Upgrades!$P$11,J345)*POWER(Upgrades!$P$12,K345))+0.2*M345*Parameters!$B$10*Parameters!$B$11/60)/Upgrades!$C$12,0)),IF(AND(ISNUMBER(AG345),AG345&gt;T345),AS345,0),IF(AND(ISNUMBER(AH345),AH345&gt;T345),AT345,0),IF(AND(ISNUMBER(AI345),AI345&gt;T345),AU345,0),IF(AND(ISNUMBER(AJ345),AJ345&gt;T345),AV345,0))</f>
        <v>0.00452762415783776</v>
      </c>
      <c r="AX345" s="29" t="str">
        <f aca="false">IF(AN345=1,"transition",IF(MIN(IF(AND(I345=0,ISNUMBER(AK345),AK345&lt;=T345),AK345,9000000000000000),IF(AND(J345=0,ISNUMBER(AL345),AL345&lt;=T345),AL345,9000000000000000),IF(AND(K345=0,ISNUMBER(AM345),AM345&lt;=T345),AM345,9000000000000000))&lt;9000000000000000,IF(AND(AND(I345=0,ISNUMBER(AK345),AK345&lt;=T345),AK345=MIN(IF(AND(I345=0,ISNUMBER(AK345),AK345&lt;=T345),AK345,9000000000000000),IF(AND(J345=0,ISNUMBER(AL345),AL345&lt;=T345),AL345,9000000000000000),IF(AND(K345=0,ISNUMBER(AM345),AM345&lt;=T345),AM345,9000000000000000))),"OR",IF(AND(AND(J345=0,ISNUMBER(AL345),AL345&lt;=T345),AL345=MIN(IF(AND(I345=0,ISNUMBER(AK345),AK345&lt;=T345),AK345,9000000000000000),IF(AND(J345=0,ISNUMBER(AL345),AL345&lt;=T345),AL345,9000000000000000),IF(AND(K345=0,ISNUMBER(AM345),AM345&lt;=T345),AM345,9000000000000000))),"HP","FP")),IF(AR345=TRUE(),"",IF(MAX(IF(AND(NOT(AND(AO345=1,AN345&lt;&gt;1)),ISNUMBER(AG345),AG345&lt;=T345),AS345,0),IF(AND(NOT(AND(AO345=1,AN345&lt;&gt;1)),ISNUMBER(AH345),AH345&lt;=T345),AT345,0),IF(AND(NOT(AND(AO345=1,AN345&lt;&gt;1)),ISNUMBER(AI345),AI345&lt;=T345),AU345,0),IF(AND(ISNUMBER(AJ345),AJ345&lt;=T345),AV345,0))&lt;=0,"",IF(AND(IF(AND(NOT(AND(AO345=1,AN345&lt;&gt;1)),ISNUMBER(AG345),AG345&lt;=T345),AS345,0)&gt;0,IF(AND(NOT(AND(AO345=1,AN345&lt;&gt;1)),ISNUMBER(AG345),AG345&lt;=T345),AS345,0)=MAX(IF(AND(NOT(AND(AO345=1,AN345&lt;&gt;1)),ISNUMBER(AG345),AG345&lt;=T345),AS345,0),IF(AND(NOT(AND(AO345=1,AN345&lt;&gt;1)),ISNUMBER(AH345),AH345&lt;=T345),AT345,0),IF(AND(NOT(AND(AO345=1,AN345&lt;&gt;1)),ISNUMBER(AI345),AI345&lt;=T345),AU345,0),IF(AND(ISNUMBER(AJ345),AJ345&lt;=T345),AV345,0))),"SW",IF(AND(IF(AND(NOT(AND(AO345=1,AN345&lt;&gt;1)),ISNUMBER(AH345),AH345&lt;=T345),AT345,0)&gt;0,IF(AND(NOT(AND(AO345=1,AN345&lt;&gt;1)),ISNUMBER(AH345),AH345&lt;=T345),AT345,0)=MAX(IF(AND(NOT(AND(AO345=1,AN345&lt;&gt;1)),ISNUMBER(AG345),AG345&lt;=T345),AS345,0),IF(AND(NOT(AND(AO345=1,AN345&lt;&gt;1)),ISNUMBER(AH345),AH345&lt;=T345),AT345,0),IF(AND(NOT(AND(AO345=1,AN345&lt;&gt;1)),ISNUMBER(AI345),AI345&lt;=T345),AU345,0),IF(AND(ISNUMBER(AJ345),AJ345&lt;=T345),AV345,0))),"AB",IF(AND(IF(AND(NOT(AND(AO345=1,AN345&lt;&gt;1)),ISNUMBER(AI345),AI345&lt;=T345),AU345,0)&gt;0,IF(AND(NOT(AND(AO345=1,AN345&lt;&gt;1)),ISNUMBER(AI345),AI345&lt;=T345),AU345,0)=MAX(IF(AND(NOT(AND(AO345=1,AN345&lt;&gt;1)),ISNUMBER(AG345),AG345&lt;=T345),AS345,0),IF(AND(NOT(AND(AO345=1,AN345&lt;&gt;1)),ISNUMBER(AH345),AH345&lt;=T345),AT345,0),IF(AND(NOT(AND(AO345=1,AN345&lt;&gt;1)),ISNUMBER(AI345),AI345&lt;=T345),AU345,0),IF(AND(ISNUMBER(AJ345),AJ345&lt;=T345),AV345,0))),"SC","Mag")))))))</f>
        <v/>
      </c>
    </row>
    <row r="346" customFormat="false" ht="15" hidden="false" customHeight="false" outlineLevel="0" collapsed="false">
      <c r="A346" s="26" t="n">
        <v>341</v>
      </c>
      <c r="B346" s="27" t="n">
        <f aca="false">A346*10/60</f>
        <v>56.8333333333333</v>
      </c>
      <c r="C346" s="21" t="n">
        <f aca="false">X345</f>
        <v>18.6730249835055</v>
      </c>
      <c r="D346" s="27" t="n">
        <f aca="false">D345+W345</f>
        <v>0</v>
      </c>
      <c r="E346" s="26" t="n">
        <f aca="false">E345+IF(U345="SW",1,0)</f>
        <v>12</v>
      </c>
      <c r="F346" s="26" t="n">
        <f aca="false">F345+IF(U345="AB",1,0)</f>
        <v>10</v>
      </c>
      <c r="G346" s="26" t="n">
        <f aca="false">G345+IF(U345="SC",1,0)</f>
        <v>7</v>
      </c>
      <c r="H346" s="26" t="n">
        <f aca="false">H345+IF(U345="Mag",1,0)</f>
        <v>5</v>
      </c>
      <c r="I346" s="26" t="n">
        <f aca="false">MAX(I345,IF(U345="OR",1,0))</f>
        <v>1</v>
      </c>
      <c r="J346" s="26" t="n">
        <f aca="false">MAX(J345,IF(U345="HP",1,0))</f>
        <v>1</v>
      </c>
      <c r="K346" s="26" t="n">
        <f aca="false">MAX(K345,IF(U345="FP",1,0))</f>
        <v>1</v>
      </c>
      <c r="L346" s="26" t="n">
        <f aca="false">MAX(L345,IF(U345="transition",1,0))</f>
        <v>1</v>
      </c>
      <c r="M346" s="28" t="n">
        <f aca="false">(Parameters!$B$9+(IF(E346=0,0,(Upgrades!$J$6+E346*Upgrades!$K$6)*POWER(Upgrades!$L$6,E346)))*(IF(Upgrades!$T$7="Solar Wind",POWER(Upgrades!$U$7,F346),1)*IF(Upgrades!$T$8="Solar Wind",POWER(Upgrades!$U$8,G346),1)*IF(Upgrades!$T$9="Solar Wind",POWER(Upgrades!$U$9,H346),1)*IF(Upgrades!$T$10="Solar Wind",POWER(Upgrades!$U$10,I346),1)*IF(Upgrades!$T$11="Solar Wind",POWER(Upgrades!$U$11,J346),1)*IF(Upgrades!$T$12="Solar Wind",POWER(Upgrades!$U$12,K346),1))+(IF(F346=0,0,(Upgrades!$J$7+F346*Upgrades!$K$7)*POWER(Upgrades!$L$7,F346)))*(IF(Upgrades!$T$6="Asteroid Belt",POWER(Upgrades!$U$6,E346),1)*IF(Upgrades!$T$8="Asteroid Belt",POWER(Upgrades!$U$8,G346),1)*IF(Upgrades!$T$9="Asteroid Belt",POWER(Upgrades!$U$9,H346),1)*IF(Upgrades!$T$10="Asteroid Belt",POWER(Upgrades!$U$10,I346),1)*IF(Upgrades!$T$11="Asteroid Belt",POWER(Upgrades!$U$11,J346),1)*IF(Upgrades!$T$12="Asteroid Belt",POWER(Upgrades!$U$12,K346),1))+(IF(G346=0,0,(Upgrades!$J$8+G346*Upgrades!$K$8)*POWER(Upgrades!$L$8,G346)))*(IF(Upgrades!$T$6="Stellar Coupling",POWER(Upgrades!$U$6,E346),1)*IF(Upgrades!$T$7="Stellar Coupling",POWER(Upgrades!$U$7,F346),1)*IF(Upgrades!$T$9="Stellar Coupling",POWER(Upgrades!$U$9,H346),1)*IF(Upgrades!$T$10="Stellar Coupling",POWER(Upgrades!$U$10,I346),1)*IF(Upgrades!$T$11="Stellar Coupling",POWER(Upgrades!$U$11,J346),1)*IF(Upgrades!$T$12="Stellar Coupling",POWER(Upgrades!$U$12,K346),1))+(IF(H346=0,0,(Upgrades!$J$9+H346*Upgrades!$K$9)*POWER(Upgrades!$L$9,H346)))*(IF(Upgrades!$T$6="Magnetosphere",POWER(Upgrades!$U$6,E346),1)*IF(Upgrades!$T$7="Magnetosphere",POWER(Upgrades!$U$7,F346),1)*IF(Upgrades!$T$8="Magnetosphere",POWER(Upgrades!$U$8,G346),1)*IF(Upgrades!$T$10="Magnetosphere",POWER(Upgrades!$U$10,I346),1)*IF(Upgrades!$T$11="Magnetosphere",POWER(Upgrades!$U$11,J346),1)*IF(Upgrades!$T$12="Magnetosphere",POWER(Upgrades!$U$12,K346),1))+(IF(I346=0,0,(Upgrades!$J$10+I346*Upgrades!$K$10)*POWER(Upgrades!$L$10,I346)))*(IF(Upgrades!$T$6="Orbital Resonance",POWER(Upgrades!$U$6,E346),1)*IF(Upgrades!$T$7="Orbital Resonance",POWER(Upgrades!$U$7,F346),1)*IF(Upgrades!$T$8="Orbital Resonance",POWER(Upgrades!$U$8,G346),1)*IF(Upgrades!$T$9="Orbital Resonance",POWER(Upgrades!$U$9,H346),1)*IF(Upgrades!$T$11="Orbital Resonance",POWER(Upgrades!$U$11,J346),1)*IF(Upgrades!$T$12="Orbital Resonance",POWER(Upgrades!$U$12,K346),1))+(IF(J346=0,0,(Upgrades!$J$11+J346*Upgrades!$K$11)*POWER(Upgrades!$L$11,J346)))*(IF(Upgrades!$T$6="Heliopause",POWER(Upgrades!$U$6,E346),1)*IF(Upgrades!$T$7="Heliopause",POWER(Upgrades!$U$7,F346),1)*IF(Upgrades!$T$8="Heliopause",POWER(Upgrades!$U$8,G346),1)*IF(Upgrades!$T$9="Heliopause",POWER(Upgrades!$U$9,H346),1)*IF(Upgrades!$T$10="Heliopause",POWER(Upgrades!$U$10,I346),1)*IF(Upgrades!$T$12="Heliopause",POWER(Upgrades!$U$12,K346),1))+(IF(K346=0,0,(Upgrades!$J$12+K346*Upgrades!$K$12)*POWER(Upgrades!$L$12,K346)))*(IF(Upgrades!$T$6="First Photons",POWER(Upgrades!$U$6,E346),1)*IF(Upgrades!$T$7="First Photons",POWER(Upgrades!$U$7,F346),1)*IF(Upgrades!$T$8="First Photons",POWER(Upgrades!$U$8,G346),1)*IF(Upgrades!$T$9="First Photons",POWER(Upgrades!$U$9,H346),1)*IF(Upgrades!$T$10="First Photons",POWER(Upgrades!$U$10,I346),1)*IF(Upgrades!$T$11="First Photons",POWER(Upgrades!$U$11,J346),1)))*POWER(Upgrades!$Q$6,E346)*POWER(Upgrades!$Q$7,F346)*POWER(Upgrades!$Q$8,G346)*POWER(Upgrades!$Q$9,H346)*POWER(Upgrades!$Q$10,I346)*POWER(Upgrades!$Q$11,J346)*POWER(Upgrades!$Q$12,K346)</f>
        <v>5.61</v>
      </c>
      <c r="N346" s="28" t="n">
        <f aca="false">((IF(E346=0,0,(Upgrades!$G$6+E346*Upgrades!$H$6)*POWER(Upgrades!$I$6,E346)))*(IF(Upgrades!$T$7="Solar Wind",POWER(Upgrades!$U$7,F346),1)*IF(Upgrades!$T$8="Solar Wind",POWER(Upgrades!$U$8,G346),1)*IF(Upgrades!$T$9="Solar Wind",POWER(Upgrades!$U$9,H346),1)*IF(Upgrades!$T$10="Solar Wind",POWER(Upgrades!$U$10,I346),1)*IF(Upgrades!$T$11="Solar Wind",POWER(Upgrades!$U$11,J346),1)*IF(Upgrades!$T$12="Solar Wind",POWER(Upgrades!$U$12,K346),1))+(IF(F346=0,0,(Upgrades!$G$7+F346*Upgrades!$H$7)*POWER(Upgrades!$I$7,F346)))*(IF(Upgrades!$T$6="Asteroid Belt",POWER(Upgrades!$U$6,E346),1)*IF(Upgrades!$T$8="Asteroid Belt",POWER(Upgrades!$U$8,G346),1)*IF(Upgrades!$T$9="Asteroid Belt",POWER(Upgrades!$U$9,H346),1)*IF(Upgrades!$T$10="Asteroid Belt",POWER(Upgrades!$U$10,I346),1)*IF(Upgrades!$T$11="Asteroid Belt",POWER(Upgrades!$U$11,J346),1)*IF(Upgrades!$T$12="Asteroid Belt",POWER(Upgrades!$U$12,K346),1))+(IF(G346=0,0,(Upgrades!$G$8+G346*Upgrades!$H$8)*POWER(Upgrades!$I$8,G346)))*(IF(Upgrades!$T$6="Stellar Coupling",POWER(Upgrades!$U$6,E346),1)*IF(Upgrades!$T$7="Stellar Coupling",POWER(Upgrades!$U$7,F346),1)*IF(Upgrades!$T$9="Stellar Coupling",POWER(Upgrades!$U$9,H346),1)*IF(Upgrades!$T$10="Stellar Coupling",POWER(Upgrades!$U$10,I346),1)*IF(Upgrades!$T$11="Stellar Coupling",POWER(Upgrades!$U$11,J346),1)*IF(Upgrades!$T$12="Stellar Coupling",POWER(Upgrades!$U$12,K346),1))+(IF(H346=0,0,(Upgrades!$G$9+H346*Upgrades!$H$9)*POWER(Upgrades!$I$9,H346)))*(IF(Upgrades!$T$6="Magnetosphere",POWER(Upgrades!$U$6,E346),1)*IF(Upgrades!$T$7="Magnetosphere",POWER(Upgrades!$U$7,F346),1)*IF(Upgrades!$T$8="Magnetosphere",POWER(Upgrades!$U$8,G346),1)*IF(Upgrades!$T$10="Magnetosphere",POWER(Upgrades!$U$10,I346),1)*IF(Upgrades!$T$11="Magnetosphere",POWER(Upgrades!$U$11,J346),1)*IF(Upgrades!$T$12="Magnetosphere",POWER(Upgrades!$U$12,K346),1))+(IF(I346=0,0,(Upgrades!$G$10+I346*Upgrades!$H$10)*POWER(Upgrades!$I$10,I346)))*(IF(Upgrades!$T$6="Orbital Resonance",POWER(Upgrades!$U$6,E346),1)*IF(Upgrades!$T$7="Orbital Resonance",POWER(Upgrades!$U$7,F346),1)*IF(Upgrades!$T$8="Orbital Resonance",POWER(Upgrades!$U$8,G346),1)*IF(Upgrades!$T$9="Orbital Resonance",POWER(Upgrades!$U$9,H346),1)*IF(Upgrades!$T$11="Orbital Resonance",POWER(Upgrades!$U$11,J346),1)*IF(Upgrades!$T$12="Orbital Resonance",POWER(Upgrades!$U$12,K346),1))+(IF(J346=0,0,(Upgrades!$G$11+J346*Upgrades!$H$11)*POWER(Upgrades!$I$11,J346)))*(IF(Upgrades!$T$6="Heliopause",POWER(Upgrades!$U$6,E346),1)*IF(Upgrades!$T$7="Heliopause",POWER(Upgrades!$U$7,F346),1)*IF(Upgrades!$T$8="Heliopause",POWER(Upgrades!$U$8,G346),1)*IF(Upgrades!$T$9="Heliopause",POWER(Upgrades!$U$9,H346),1)*IF(Upgrades!$T$10="Heliopause",POWER(Upgrades!$U$10,I346),1)*IF(Upgrades!$T$12="Heliopause",POWER(Upgrades!$U$12,K346),1))+(IF(K346=0,0,(Upgrades!$G$12+K346*Upgrades!$H$12)*POWER(Upgrades!$I$12,K346)))*(IF(Upgrades!$T$6="First Photons",POWER(Upgrades!$U$6,E346),1)*IF(Upgrades!$T$7="First Photons",POWER(Upgrades!$U$7,F346),1)*IF(Upgrades!$T$8="First Photons",POWER(Upgrades!$U$8,G346),1)*IF(Upgrades!$T$9="First Photons",POWER(Upgrades!$U$9,H346),1)*IF(Upgrades!$T$10="First Photons",POWER(Upgrades!$U$10,I346),1)*IF(Upgrades!$T$11="First Photons",POWER(Upgrades!$U$11,J346),1)))*POWER(Upgrades!$P$6,E346)*POWER(Upgrades!$P$7,F346)*POWER(Upgrades!$P$8,G346)*POWER(Upgrades!$P$9,H346)*POWER(Upgrades!$P$10,I346)*POWER(Upgrades!$P$11,J346)*POWER(Upgrades!$P$12,K346)</f>
        <v>11.2</v>
      </c>
      <c r="O346" s="28" t="n">
        <f aca="false">((IF(E346=0,0,(Upgrades!$M$6+E346*Upgrades!$N$6)*POWER(Upgrades!$O$6,E346)))*(IF(Upgrades!$T$7="Solar Wind",POWER(Upgrades!$U$7,F346),1)*IF(Upgrades!$T$8="Solar Wind",POWER(Upgrades!$U$8,G346),1)*IF(Upgrades!$T$9="Solar Wind",POWER(Upgrades!$U$9,H346),1)*IF(Upgrades!$T$10="Solar Wind",POWER(Upgrades!$U$10,I346),1)*IF(Upgrades!$T$11="Solar Wind",POWER(Upgrades!$U$11,J346),1)*IF(Upgrades!$T$12="Solar Wind",POWER(Upgrades!$U$12,K346),1))+(IF(F346=0,0,(Upgrades!$M$7+F346*Upgrades!$N$7)*POWER(Upgrades!$O$7,F346)))*(IF(Upgrades!$T$6="Asteroid Belt",POWER(Upgrades!$U$6,E346),1)*IF(Upgrades!$T$8="Asteroid Belt",POWER(Upgrades!$U$8,G346),1)*IF(Upgrades!$T$9="Asteroid Belt",POWER(Upgrades!$U$9,H346),1)*IF(Upgrades!$T$10="Asteroid Belt",POWER(Upgrades!$U$10,I346),1)*IF(Upgrades!$T$11="Asteroid Belt",POWER(Upgrades!$U$11,J346),1)*IF(Upgrades!$T$12="Asteroid Belt",POWER(Upgrades!$U$12,K346),1))+(IF(G346=0,0,(Upgrades!$M$8+G346*Upgrades!$N$8)*POWER(Upgrades!$O$8,G346)))*(IF(Upgrades!$T$6="Stellar Coupling",POWER(Upgrades!$U$6,E346),1)*IF(Upgrades!$T$7="Stellar Coupling",POWER(Upgrades!$U$7,F346),1)*IF(Upgrades!$T$9="Stellar Coupling",POWER(Upgrades!$U$9,H346),1)*IF(Upgrades!$T$10="Stellar Coupling",POWER(Upgrades!$U$10,I346),1)*IF(Upgrades!$T$11="Stellar Coupling",POWER(Upgrades!$U$11,J346),1)*IF(Upgrades!$T$12="Stellar Coupling",POWER(Upgrades!$U$12,K346),1))+(IF(H346=0,0,(Upgrades!$M$9+H346*Upgrades!$N$9)*POWER(Upgrades!$O$9,H346)))*(IF(Upgrades!$T$6="Magnetosphere",POWER(Upgrades!$U$6,E346),1)*IF(Upgrades!$T$7="Magnetosphere",POWER(Upgrades!$U$7,F346),1)*IF(Upgrades!$T$8="Magnetosphere",POWER(Upgrades!$U$8,G346),1)*IF(Upgrades!$T$10="Magnetosphere",POWER(Upgrades!$U$10,I346),1)*IF(Upgrades!$T$11="Magnetosphere",POWER(Upgrades!$U$11,J346),1)*IF(Upgrades!$T$12="Magnetosphere",POWER(Upgrades!$U$12,K346),1))+(IF(I346=0,0,(Upgrades!$M$10+I346*Upgrades!$N$10)*POWER(Upgrades!$O$10,I346)))*(IF(Upgrades!$T$6="Orbital Resonance",POWER(Upgrades!$U$6,E346),1)*IF(Upgrades!$T$7="Orbital Resonance",POWER(Upgrades!$U$7,F346),1)*IF(Upgrades!$T$8="Orbital Resonance",POWER(Upgrades!$U$8,G346),1)*IF(Upgrades!$T$9="Orbital Resonance",POWER(Upgrades!$U$9,H346),1)*IF(Upgrades!$T$11="Orbital Resonance",POWER(Upgrades!$U$11,J346),1)*IF(Upgrades!$T$12="Orbital Resonance",POWER(Upgrades!$U$12,K346),1))+(IF(J346=0,0,(Upgrades!$M$11+J346*Upgrades!$N$11)*POWER(Upgrades!$O$11,J346)))*(IF(Upgrades!$T$6="Heliopause",POWER(Upgrades!$U$6,E346),1)*IF(Upgrades!$T$7="Heliopause",POWER(Upgrades!$U$7,F346),1)*IF(Upgrades!$T$8="Heliopause",POWER(Upgrades!$U$8,G346),1)*IF(Upgrades!$T$9="Heliopause",POWER(Upgrades!$U$9,H346),1)*IF(Upgrades!$T$10="Heliopause",POWER(Upgrades!$U$10,I346),1)*IF(Upgrades!$T$12="Heliopause",POWER(Upgrades!$U$12,K346),1))+(IF(K346=0,0,(Upgrades!$M$12+K346*Upgrades!$N$12)*POWER(Upgrades!$O$12,K346)))*(IF(Upgrades!$T$6="First Photons",POWER(Upgrades!$U$6,E346),1)*IF(Upgrades!$T$7="First Photons",POWER(Upgrades!$U$7,F346),1)*IF(Upgrades!$T$8="First Photons",POWER(Upgrades!$U$8,G346),1)*IF(Upgrades!$T$9="First Photons",POWER(Upgrades!$U$9,H346),1)*IF(Upgrades!$T$10="First Photons",POWER(Upgrades!$U$10,I346),1)*IF(Upgrades!$T$11="First Photons",POWER(Upgrades!$U$11,J346),1)))*POWER(Upgrades!$R$6,E346)*POWER(Upgrades!$R$7,F346)*POWER(Upgrades!$R$8,G346)*POWER(Upgrades!$R$9,H346)*POWER(Upgrades!$R$10,I346)*POWER(Upgrades!$R$11,J346)*POWER(Upgrades!$R$12,K346)</f>
        <v>0</v>
      </c>
      <c r="P346" s="27" t="n">
        <f aca="false">IF(L346=1,0,M346*Parameters!$B$10/60*Parameters!$B$11*10)</f>
        <v>0</v>
      </c>
      <c r="Q346" s="27" t="n">
        <f aca="false">IF(L346=1,0,O346*M346*10)</f>
        <v>0</v>
      </c>
      <c r="R346" s="27" t="n">
        <f aca="false">IF(L346=1,0,N346*10)</f>
        <v>0</v>
      </c>
      <c r="S346" s="27" t="n">
        <f aca="false">P346+Q346+R346</f>
        <v>0</v>
      </c>
      <c r="T346" s="21" t="n">
        <f aca="false">C346+S346</f>
        <v>18.6730249835055</v>
      </c>
      <c r="U346" s="34" t="str">
        <f aca="false">AX346</f>
        <v/>
      </c>
      <c r="V346" s="21" t="n">
        <f aca="false">IF(U346="",0,IF(U346="transition",0,IF(U346="SW",AG346,IF(U346="AB",AH346,IF(U346="SC",AI346,IF(U346="Mag",AJ346,IF(U346="OR",AK346,IF(U346="HP",AL346,IF(U346="FP",AM346,0)))))))))</f>
        <v>0</v>
      </c>
      <c r="W346" s="27" t="n">
        <f aca="false">IF(U346="OR",Upgrades!$F$10,IF(U346="HP",Upgrades!$F$11,IF(U346="transition",-Parameters!$B$18,0)))</f>
        <v>0</v>
      </c>
      <c r="X346" s="21" t="n">
        <f aca="false">T346-V346</f>
        <v>18.6730249835055</v>
      </c>
      <c r="Y346" s="30" t="n">
        <f aca="false">M346*Parameters!$B$10/60*Parameters!$B$11+O346*M346+N346</f>
        <v>20.55</v>
      </c>
      <c r="Z346" s="35" t="str">
        <f aca="false">IF(U346="transition","→ Tier 2 (Stellar Neighborhood)",IF(U346="FP","First Photons — light begins, system quickens",IF(U346="HP","Heliopause acquired",IF(U346="OR","Orbital Resonance — passive multiplier active",IF(AND(AO346=1,L346=0,AN346&lt;&gt;1),"Cohesion ready (waiting on completionist upgrades)","")))))</f>
        <v/>
      </c>
      <c r="AA346" s="27" t="n">
        <f aca="false">(IF(E346=0,0,(Upgrades!$G$6+E346*Upgrades!$H$6)*POWER(Upgrades!$I$6,E346)))*(IF(Upgrades!$T$7="Solar Wind",POWER(Upgrades!$U$7,F346),1)*IF(Upgrades!$T$8="Solar Wind",POWER(Upgrades!$U$8,G346),1)*IF(Upgrades!$T$9="Solar Wind",POWER(Upgrades!$U$9,H346),1)*IF(Upgrades!$T$10="Solar Wind",POWER(Upgrades!$U$10,I346),1)*IF(Upgrades!$T$11="Solar Wind",POWER(Upgrades!$U$11,J346),1)*IF(Upgrades!$T$12="Solar Wind",POWER(Upgrades!$U$12,K346),1))*POWER(Upgrades!$P$6,E346)*POWER(Upgrades!$P$7,F346)*POWER(Upgrades!$P$8,G346)*POWER(Upgrades!$P$9,H346)*POWER(Upgrades!$P$10,I346)*POWER(Upgrades!$P$11,J346)*POWER(Upgrades!$P$12,K346)*60</f>
        <v>72</v>
      </c>
      <c r="AB346" s="27" t="n">
        <f aca="false">(IF(F346=0,0,(Upgrades!$G$7+F346*Upgrades!$H$7)*POWER(Upgrades!$I$7,F346)))*(IF(Upgrades!$T$6="Asteroid Belt",POWER(Upgrades!$U$6,E346),1)*IF(Upgrades!$T$8="Asteroid Belt",POWER(Upgrades!$U$8,G346),1)*IF(Upgrades!$T$9="Asteroid Belt",POWER(Upgrades!$U$9,H346),1)*IF(Upgrades!$T$10="Asteroid Belt",POWER(Upgrades!$U$10,I346),1)*IF(Upgrades!$T$11="Asteroid Belt",POWER(Upgrades!$U$11,J346),1)*IF(Upgrades!$T$12="Asteroid Belt",POWER(Upgrades!$U$12,K346),1))*POWER(Upgrades!$P$6,E346)*POWER(Upgrades!$P$7,F346)*POWER(Upgrades!$P$8,G346)*POWER(Upgrades!$P$9,H346)*POWER(Upgrades!$P$10,I346)*POWER(Upgrades!$P$11,J346)*POWER(Upgrades!$P$12,K346)*60</f>
        <v>150</v>
      </c>
      <c r="AC346" s="27" t="n">
        <f aca="false">(IF(G346=0,0,(Upgrades!$J$8+G346*Upgrades!$K$8)*POWER(Upgrades!$L$8,G346)))*(IF(Upgrades!$T$6="Stellar Coupling",POWER(Upgrades!$U$6,E346),1)*IF(Upgrades!$T$7="Stellar Coupling",POWER(Upgrades!$U$7,F346),1)*IF(Upgrades!$T$9="Stellar Coupling",POWER(Upgrades!$U$9,H346),1)*IF(Upgrades!$T$10="Stellar Coupling",POWER(Upgrades!$U$10,I346),1)*IF(Upgrades!$T$11="Stellar Coupling",POWER(Upgrades!$U$11,J346),1)*IF(Upgrades!$T$12="Stellar Coupling",POWER(Upgrades!$U$12,K346),1))*POWER(Upgrades!$Q$6,E346)*POWER(Upgrades!$Q$7,F346)*POWER(Upgrades!$Q$8,G346)*POWER(Upgrades!$Q$9,H346)*POWER(Upgrades!$Q$10,I346)*POWER(Upgrades!$Q$11,J346)*POWER(Upgrades!$Q$12,K346)*Parameters!$B$10*Parameters!$B$11</f>
        <v>441</v>
      </c>
      <c r="AD346" s="27" t="n">
        <f aca="false">(IF(H346=0,0,(Upgrades!$G$9+H346*Upgrades!$H$9)*POWER(Upgrades!$I$9,H346)))*(IF(Upgrades!$T$6="Magnetosphere",POWER(Upgrades!$U$6,E346),1)*IF(Upgrades!$T$7="Magnetosphere",POWER(Upgrades!$U$7,F346),1)*IF(Upgrades!$T$8="Magnetosphere",POWER(Upgrades!$U$8,G346),1)*IF(Upgrades!$T$10="Magnetosphere",POWER(Upgrades!$U$10,I346),1)*IF(Upgrades!$T$11="Magnetosphere",POWER(Upgrades!$U$11,J346),1)*IF(Upgrades!$T$12="Magnetosphere",POWER(Upgrades!$U$12,K346),1))*POWER(Upgrades!$P$6,E346)*POWER(Upgrades!$P$7,F346)*POWER(Upgrades!$P$8,G346)*POWER(Upgrades!$P$9,H346)*POWER(Upgrades!$P$10,I346)*POWER(Upgrades!$P$11,J346)*POWER(Upgrades!$P$12,K346)*60</f>
        <v>375</v>
      </c>
      <c r="AE346" s="27" t="n">
        <f aca="false">(IF(K346=0,0,(Upgrades!$G$12+K346*Upgrades!$H$12)*POWER(Upgrades!$I$12,K346)))*(IF(Upgrades!$T$6="First Photons",POWER(Upgrades!$U$6,E346),1)*IF(Upgrades!$T$7="First Photons",POWER(Upgrades!$U$7,F346),1)*IF(Upgrades!$T$8="First Photons",POWER(Upgrades!$U$8,G346),1)*IF(Upgrades!$T$9="First Photons",POWER(Upgrades!$U$9,H346),1)*IF(Upgrades!$T$10="First Photons",POWER(Upgrades!$U$10,I346),1)*IF(Upgrades!$T$11="First Photons",POWER(Upgrades!$U$11,J346),1))*POWER(Upgrades!$P$6,E346)*POWER(Upgrades!$P$7,F346)*POWER(Upgrades!$P$8,G346)*POWER(Upgrades!$P$9,H346)*POWER(Upgrades!$P$10,I346)*POWER(Upgrades!$P$11,J346)*POWER(Upgrades!$P$12,K346)*60</f>
        <v>75</v>
      </c>
      <c r="AF346" s="27" t="n">
        <f aca="false">Parameters!$B$9*POWER(Upgrades!$Q$6,E346)*POWER(Upgrades!$Q$7,F346)*POWER(Upgrades!$Q$8,G346)*POWER(Upgrades!$Q$9,H346)*POWER(Upgrades!$Q$10,I346)*POWER(Upgrades!$Q$11,J346)*POWER(Upgrades!$Q$12,K346)*(Parameters!$B$10*Parameters!$B$11+O346*60)</f>
        <v>120</v>
      </c>
      <c r="AG346" s="21" t="n">
        <f aca="false">IF(E346&gt;=Upgrades!$E$6,"",Upgrades!$C$6*POWER(Upgrades!$D$6,E346))</f>
        <v>37.4517507383159</v>
      </c>
      <c r="AH346" s="21" t="n">
        <f aca="false">IF(F346&gt;=Upgrades!$E$7,"",Upgrades!$C$7*POWER(Upgrades!$D$7,F346))</f>
        <v>80.9111547141581</v>
      </c>
      <c r="AI346" s="21" t="n">
        <f aca="false">IF(G346&gt;=Upgrades!$E$8,"",Upgrades!$C$8*POWER(Upgrades!$D$8,G346))</f>
        <v>231.9097088</v>
      </c>
      <c r="AJ346" s="21" t="str">
        <f aca="false">IF(H346&gt;=Upgrades!$E$9,"",Upgrades!$C$9*POWER(Upgrades!$D$9,H346))</f>
        <v/>
      </c>
      <c r="AK346" s="21" t="str">
        <f aca="false">IF(I346&gt;=Upgrades!$E$10,"",Upgrades!$C$10*POWER(Upgrades!$D$10,I346))</f>
        <v/>
      </c>
      <c r="AL346" s="21" t="str">
        <f aca="false">IF(J346&gt;=Upgrades!$E$11,"",Upgrades!$C$11*POWER(Upgrades!$D$11,J346))</f>
        <v/>
      </c>
      <c r="AM346" s="21" t="str">
        <f aca="false">IF(K346&gt;=Upgrades!$E$12,"",Upgrades!$C$12*POWER(Upgrades!$D$12,K346))</f>
        <v/>
      </c>
      <c r="AN346" s="26" t="str">
        <f aca="false">IF(AND(D346&gt;=Parameters!$B$18,(H346&gt;=Upgrades!$E$9)*(K346&gt;=Upgrades!$E$12)=1,L346=0),1,"")</f>
        <v/>
      </c>
      <c r="AO346" s="26" t="str">
        <f aca="false">IF(AND(D346&gt;=Parameters!$B$18,L346=0),1,"")</f>
        <v/>
      </c>
      <c r="AP346" s="21" t="n">
        <f aca="false">MIN(IF(ISNUMBER(AK346),AK346,9000000000000000),IF(ISNUMBER(AL346),AL346,9000000000000000),IF(ISNUMBER(AM346),AM346,9000000000000000))</f>
        <v>9000000000000000</v>
      </c>
      <c r="AQ346" s="21" t="n">
        <f aca="false">MIN(IF(ISNUMBER(AG346),AG346,9000000000000000),IF(ISNUMBER(AH346),AH346,9000000000000000),IF(ISNUMBER(AI346),AI346,9000000000000000),IF(ISNUMBER(AJ346),AJ346,9000000000000000))</f>
        <v>37.4517507383159</v>
      </c>
      <c r="AR346" s="32" t="b">
        <f aca="false">IF(AW346&gt;Parameters!$B$21*(MAX(IF(AND(NOT(AND(AO346=1,AN346&lt;&gt;1)),ISNUMBER(AG346),AG346&lt;=T346),AS346,0),IF(AND(NOT(AND(AO346=1,AN346&lt;&gt;1)),ISNUMBER(AH346),AH346&lt;=T346),AT346,0),IF(AND(NOT(AND(AO346=1,AN346&lt;&gt;1)),ISNUMBER(AI346),AI346&lt;=T346),AU346,0),IF(AND(ISNUMBER(AJ346),AJ346&lt;=T346),AV346,0))),TRUE(),FALSE())</f>
        <v>1</v>
      </c>
      <c r="AS346" s="33" t="n">
        <f aca="false">IFERROR(Upgrades!$H$6*(POWER(Upgrades!$P$6,E346)*POWER(Upgrades!$P$7,F346)*POWER(Upgrades!$P$8,G346)*POWER(Upgrades!$P$9,H346)*POWER(Upgrades!$P$10,I346)*POWER(Upgrades!$P$11,J346)*POWER(Upgrades!$P$12,K346))*(IF(Upgrades!$T$7="Solar Wind",POWER(Upgrades!$U$7,F346),1)*IF(Upgrades!$T$8="Solar Wind",POWER(Upgrades!$U$8,G346),1)*IF(Upgrades!$T$9="Solar Wind",POWER(Upgrades!$U$9,H346),1)*IF(Upgrades!$T$10="Solar Wind",POWER(Upgrades!$U$10,I346),1)*IF(Upgrades!$T$11="Solar Wind",POWER(Upgrades!$U$11,J346),1)*IF(Upgrades!$T$12="Solar Wind",POWER(Upgrades!$U$12,K346),1))/AG346,0)</f>
        <v>0.0026701021455238</v>
      </c>
      <c r="AT346" s="33" t="n">
        <f aca="false">IFERROR(Upgrades!$H$7*(POWER(Upgrades!$P$6,E346)*POWER(Upgrades!$P$7,F346)*POWER(Upgrades!$P$8,G346)*POWER(Upgrades!$P$9,H346)*POWER(Upgrades!$P$10,I346)*POWER(Upgrades!$P$11,J346)*POWER(Upgrades!$P$12,K346))*(IF(Upgrades!$T$6="Asteroid Belt",POWER(Upgrades!$U$6,E346),1)*IF(Upgrades!$T$8="Asteroid Belt",POWER(Upgrades!$U$8,G346),1)*IF(Upgrades!$T$9="Asteroid Belt",POWER(Upgrades!$U$9,H346),1)*IF(Upgrades!$T$10="Asteroid Belt",POWER(Upgrades!$U$10,I346),1)*IF(Upgrades!$T$11="Asteroid Belt",POWER(Upgrades!$U$11,J346),1)*IF(Upgrades!$T$12="Asteroid Belt",POWER(Upgrades!$U$12,K346),1))/AH346,0)</f>
        <v>0.00308980882652332</v>
      </c>
      <c r="AU346" s="33" t="n">
        <f aca="false">IFERROR(Upgrades!$K$8*(POWER(Upgrades!$Q$6,E346)*POWER(Upgrades!$Q$7,F346)*POWER(Upgrades!$Q$8,G346)*POWER(Upgrades!$Q$9,H346)*POWER(Upgrades!$Q$10,I346)*POWER(Upgrades!$Q$11,J346)*POWER(Upgrades!$Q$12,K346))*(IF(Upgrades!$T$6="Stellar Coupling",POWER(Upgrades!$U$6,E346),1)*IF(Upgrades!$T$7="Stellar Coupling",POWER(Upgrades!$U$7,F346),1)*IF(Upgrades!$T$9="Stellar Coupling",POWER(Upgrades!$U$9,H346),1)*IF(Upgrades!$T$10="Stellar Coupling",POWER(Upgrades!$U$10,I346),1)*IF(Upgrades!$T$11="Stellar Coupling",POWER(Upgrades!$U$11,J346),1)*IF(Upgrades!$T$12="Stellar Coupling",POWER(Upgrades!$U$12,K346),1))*Parameters!$B$10*Parameters!$B$11/60/AI346,0)</f>
        <v>0.00452762415783776</v>
      </c>
      <c r="AV346" s="33" t="n">
        <f aca="false">IFERROR(Upgrades!$H$9*(POWER(Upgrades!$P$6,E346)*POWER(Upgrades!$P$7,F346)*POWER(Upgrades!$P$8,G346)*POWER(Upgrades!$P$9,H346)*POWER(Upgrades!$P$10,I346)*POWER(Upgrades!$P$11,J346)*POWER(Upgrades!$P$12,K346))*(IF(Upgrades!$T$6="Magnetosphere",POWER(Upgrades!$U$6,E346),1)*IF(Upgrades!$T$7="Magnetosphere",POWER(Upgrades!$U$7,F346),1)*IF(Upgrades!$T$8="Magnetosphere",POWER(Upgrades!$U$8,G346),1)*IF(Upgrades!$T$10="Magnetosphere",POWER(Upgrades!$U$10,I346),1)*IF(Upgrades!$T$11="Magnetosphere",POWER(Upgrades!$U$11,J346),1)*IF(Upgrades!$T$12="Magnetosphere",POWER(Upgrades!$U$12,K346),1))/AJ346,0)</f>
        <v>0</v>
      </c>
      <c r="AW346" s="33" t="n">
        <f aca="false">MAX(IF(I346&gt;0,0,IFERROR(0.25*N346/Upgrades!$C$10,0)),IF(J346&gt;0,0,IFERROR(0.5*((IF(G346=0,0,(Upgrades!$J$8+G346*Upgrades!$K$8)*POWER(Upgrades!$L$8,G346)))*(IF(Upgrades!$T$6="Stellar Coupling",POWER(Upgrades!$U$6,E346),1)*IF(Upgrades!$T$7="Stellar Coupling",POWER(Upgrades!$U$7,F346),1)*IF(Upgrades!$T$9="Stellar Coupling",POWER(Upgrades!$U$9,H346),1)*IF(Upgrades!$T$10="Stellar Coupling",POWER(Upgrades!$U$10,I346),1)*IF(Upgrades!$T$11="Stellar Coupling",POWER(Upgrades!$U$11,J346),1)*IF(Upgrades!$T$12="Stellar Coupling",POWER(Upgrades!$U$12,K346),1))*(POWER(Upgrades!$Q$6,E346)*POWER(Upgrades!$Q$7,F346)*POWER(Upgrades!$Q$8,G346)*POWER(Upgrades!$Q$9,H346)*POWER(Upgrades!$Q$10,I346)*POWER(Upgrades!$Q$11,J346)*POWER(Upgrades!$Q$12,K346))*Parameters!$B$10*Parameters!$B$11/60)/Upgrades!$C$11,0)),IF(K346&gt;0,0,IFERROR((1*(POWER(Upgrades!$P$6,E346)*POWER(Upgrades!$P$7,F346)*POWER(Upgrades!$P$8,G346)*POWER(Upgrades!$P$9,H346)*POWER(Upgrades!$P$10,I346)*POWER(Upgrades!$P$11,J346)*POWER(Upgrades!$P$12,K346))+0.2*M346*Parameters!$B$10*Parameters!$B$11/60)/Upgrades!$C$12,0)),IF(AND(ISNUMBER(AG346),AG346&gt;T346),AS346,0),IF(AND(ISNUMBER(AH346),AH346&gt;T346),AT346,0),IF(AND(ISNUMBER(AI346),AI346&gt;T346),AU346,0),IF(AND(ISNUMBER(AJ346),AJ346&gt;T346),AV346,0))</f>
        <v>0.00452762415783776</v>
      </c>
      <c r="AX346" s="29" t="str">
        <f aca="false">IF(AN346=1,"transition",IF(MIN(IF(AND(I346=0,ISNUMBER(AK346),AK346&lt;=T346),AK346,9000000000000000),IF(AND(J346=0,ISNUMBER(AL346),AL346&lt;=T346),AL346,9000000000000000),IF(AND(K346=0,ISNUMBER(AM346),AM346&lt;=T346),AM346,9000000000000000))&lt;9000000000000000,IF(AND(AND(I346=0,ISNUMBER(AK346),AK346&lt;=T346),AK346=MIN(IF(AND(I346=0,ISNUMBER(AK346),AK346&lt;=T346),AK346,9000000000000000),IF(AND(J346=0,ISNUMBER(AL346),AL346&lt;=T346),AL346,9000000000000000),IF(AND(K346=0,ISNUMBER(AM346),AM346&lt;=T346),AM346,9000000000000000))),"OR",IF(AND(AND(J346=0,ISNUMBER(AL346),AL346&lt;=T346),AL346=MIN(IF(AND(I346=0,ISNUMBER(AK346),AK346&lt;=T346),AK346,9000000000000000),IF(AND(J346=0,ISNUMBER(AL346),AL346&lt;=T346),AL346,9000000000000000),IF(AND(K346=0,ISNUMBER(AM346),AM346&lt;=T346),AM346,9000000000000000))),"HP","FP")),IF(AR346=TRUE(),"",IF(MAX(IF(AND(NOT(AND(AO346=1,AN346&lt;&gt;1)),ISNUMBER(AG346),AG346&lt;=T346),AS346,0),IF(AND(NOT(AND(AO346=1,AN346&lt;&gt;1)),ISNUMBER(AH346),AH346&lt;=T346),AT346,0),IF(AND(NOT(AND(AO346=1,AN346&lt;&gt;1)),ISNUMBER(AI346),AI346&lt;=T346),AU346,0),IF(AND(ISNUMBER(AJ346),AJ346&lt;=T346),AV346,0))&lt;=0,"",IF(AND(IF(AND(NOT(AND(AO346=1,AN346&lt;&gt;1)),ISNUMBER(AG346),AG346&lt;=T346),AS346,0)&gt;0,IF(AND(NOT(AND(AO346=1,AN346&lt;&gt;1)),ISNUMBER(AG346),AG346&lt;=T346),AS346,0)=MAX(IF(AND(NOT(AND(AO346=1,AN346&lt;&gt;1)),ISNUMBER(AG346),AG346&lt;=T346),AS346,0),IF(AND(NOT(AND(AO346=1,AN346&lt;&gt;1)),ISNUMBER(AH346),AH346&lt;=T346),AT346,0),IF(AND(NOT(AND(AO346=1,AN346&lt;&gt;1)),ISNUMBER(AI346),AI346&lt;=T346),AU346,0),IF(AND(ISNUMBER(AJ346),AJ346&lt;=T346),AV346,0))),"SW",IF(AND(IF(AND(NOT(AND(AO346=1,AN346&lt;&gt;1)),ISNUMBER(AH346),AH346&lt;=T346),AT346,0)&gt;0,IF(AND(NOT(AND(AO346=1,AN346&lt;&gt;1)),ISNUMBER(AH346),AH346&lt;=T346),AT346,0)=MAX(IF(AND(NOT(AND(AO346=1,AN346&lt;&gt;1)),ISNUMBER(AG346),AG346&lt;=T346),AS346,0),IF(AND(NOT(AND(AO346=1,AN346&lt;&gt;1)),ISNUMBER(AH346),AH346&lt;=T346),AT346,0),IF(AND(NOT(AND(AO346=1,AN346&lt;&gt;1)),ISNUMBER(AI346),AI346&lt;=T346),AU346,0),IF(AND(ISNUMBER(AJ346),AJ346&lt;=T346),AV346,0))),"AB",IF(AND(IF(AND(NOT(AND(AO346=1,AN346&lt;&gt;1)),ISNUMBER(AI346),AI346&lt;=T346),AU346,0)&gt;0,IF(AND(NOT(AND(AO346=1,AN346&lt;&gt;1)),ISNUMBER(AI346),AI346&lt;=T346),AU346,0)=MAX(IF(AND(NOT(AND(AO346=1,AN346&lt;&gt;1)),ISNUMBER(AG346),AG346&lt;=T346),AS346,0),IF(AND(NOT(AND(AO346=1,AN346&lt;&gt;1)),ISNUMBER(AH346),AH346&lt;=T346),AT346,0),IF(AND(NOT(AND(AO346=1,AN346&lt;&gt;1)),ISNUMBER(AI346),AI346&lt;=T346),AU346,0),IF(AND(ISNUMBER(AJ346),AJ346&lt;=T346),AV346,0))),"SC","Mag")))))))</f>
        <v/>
      </c>
    </row>
    <row r="347" customFormat="false" ht="15" hidden="false" customHeight="false" outlineLevel="0" collapsed="false">
      <c r="A347" s="26" t="n">
        <v>342</v>
      </c>
      <c r="B347" s="27" t="n">
        <f aca="false">A347*10/60</f>
        <v>57</v>
      </c>
      <c r="C347" s="21" t="n">
        <f aca="false">X346</f>
        <v>18.6730249835055</v>
      </c>
      <c r="D347" s="27" t="n">
        <f aca="false">D346+W346</f>
        <v>0</v>
      </c>
      <c r="E347" s="26" t="n">
        <f aca="false">E346+IF(U346="SW",1,0)</f>
        <v>12</v>
      </c>
      <c r="F347" s="26" t="n">
        <f aca="false">F346+IF(U346="AB",1,0)</f>
        <v>10</v>
      </c>
      <c r="G347" s="26" t="n">
        <f aca="false">G346+IF(U346="SC",1,0)</f>
        <v>7</v>
      </c>
      <c r="H347" s="26" t="n">
        <f aca="false">H346+IF(U346="Mag",1,0)</f>
        <v>5</v>
      </c>
      <c r="I347" s="26" t="n">
        <f aca="false">MAX(I346,IF(U346="OR",1,0))</f>
        <v>1</v>
      </c>
      <c r="J347" s="26" t="n">
        <f aca="false">MAX(J346,IF(U346="HP",1,0))</f>
        <v>1</v>
      </c>
      <c r="K347" s="26" t="n">
        <f aca="false">MAX(K346,IF(U346="FP",1,0))</f>
        <v>1</v>
      </c>
      <c r="L347" s="26" t="n">
        <f aca="false">MAX(L346,IF(U346="transition",1,0))</f>
        <v>1</v>
      </c>
      <c r="M347" s="28" t="n">
        <f aca="false">(Parameters!$B$9+(IF(E347=0,0,(Upgrades!$J$6+E347*Upgrades!$K$6)*POWER(Upgrades!$L$6,E347)))*(IF(Upgrades!$T$7="Solar Wind",POWER(Upgrades!$U$7,F347),1)*IF(Upgrades!$T$8="Solar Wind",POWER(Upgrades!$U$8,G347),1)*IF(Upgrades!$T$9="Solar Wind",POWER(Upgrades!$U$9,H347),1)*IF(Upgrades!$T$10="Solar Wind",POWER(Upgrades!$U$10,I347),1)*IF(Upgrades!$T$11="Solar Wind",POWER(Upgrades!$U$11,J347),1)*IF(Upgrades!$T$12="Solar Wind",POWER(Upgrades!$U$12,K347),1))+(IF(F347=0,0,(Upgrades!$J$7+F347*Upgrades!$K$7)*POWER(Upgrades!$L$7,F347)))*(IF(Upgrades!$T$6="Asteroid Belt",POWER(Upgrades!$U$6,E347),1)*IF(Upgrades!$T$8="Asteroid Belt",POWER(Upgrades!$U$8,G347),1)*IF(Upgrades!$T$9="Asteroid Belt",POWER(Upgrades!$U$9,H347),1)*IF(Upgrades!$T$10="Asteroid Belt",POWER(Upgrades!$U$10,I347),1)*IF(Upgrades!$T$11="Asteroid Belt",POWER(Upgrades!$U$11,J347),1)*IF(Upgrades!$T$12="Asteroid Belt",POWER(Upgrades!$U$12,K347),1))+(IF(G347=0,0,(Upgrades!$J$8+G347*Upgrades!$K$8)*POWER(Upgrades!$L$8,G347)))*(IF(Upgrades!$T$6="Stellar Coupling",POWER(Upgrades!$U$6,E347),1)*IF(Upgrades!$T$7="Stellar Coupling",POWER(Upgrades!$U$7,F347),1)*IF(Upgrades!$T$9="Stellar Coupling",POWER(Upgrades!$U$9,H347),1)*IF(Upgrades!$T$10="Stellar Coupling",POWER(Upgrades!$U$10,I347),1)*IF(Upgrades!$T$11="Stellar Coupling",POWER(Upgrades!$U$11,J347),1)*IF(Upgrades!$T$12="Stellar Coupling",POWER(Upgrades!$U$12,K347),1))+(IF(H347=0,0,(Upgrades!$J$9+H347*Upgrades!$K$9)*POWER(Upgrades!$L$9,H347)))*(IF(Upgrades!$T$6="Magnetosphere",POWER(Upgrades!$U$6,E347),1)*IF(Upgrades!$T$7="Magnetosphere",POWER(Upgrades!$U$7,F347),1)*IF(Upgrades!$T$8="Magnetosphere",POWER(Upgrades!$U$8,G347),1)*IF(Upgrades!$T$10="Magnetosphere",POWER(Upgrades!$U$10,I347),1)*IF(Upgrades!$T$11="Magnetosphere",POWER(Upgrades!$U$11,J347),1)*IF(Upgrades!$T$12="Magnetosphere",POWER(Upgrades!$U$12,K347),1))+(IF(I347=0,0,(Upgrades!$J$10+I347*Upgrades!$K$10)*POWER(Upgrades!$L$10,I347)))*(IF(Upgrades!$T$6="Orbital Resonance",POWER(Upgrades!$U$6,E347),1)*IF(Upgrades!$T$7="Orbital Resonance",POWER(Upgrades!$U$7,F347),1)*IF(Upgrades!$T$8="Orbital Resonance",POWER(Upgrades!$U$8,G347),1)*IF(Upgrades!$T$9="Orbital Resonance",POWER(Upgrades!$U$9,H347),1)*IF(Upgrades!$T$11="Orbital Resonance",POWER(Upgrades!$U$11,J347),1)*IF(Upgrades!$T$12="Orbital Resonance",POWER(Upgrades!$U$12,K347),1))+(IF(J347=0,0,(Upgrades!$J$11+J347*Upgrades!$K$11)*POWER(Upgrades!$L$11,J347)))*(IF(Upgrades!$T$6="Heliopause",POWER(Upgrades!$U$6,E347),1)*IF(Upgrades!$T$7="Heliopause",POWER(Upgrades!$U$7,F347),1)*IF(Upgrades!$T$8="Heliopause",POWER(Upgrades!$U$8,G347),1)*IF(Upgrades!$T$9="Heliopause",POWER(Upgrades!$U$9,H347),1)*IF(Upgrades!$T$10="Heliopause",POWER(Upgrades!$U$10,I347),1)*IF(Upgrades!$T$12="Heliopause",POWER(Upgrades!$U$12,K347),1))+(IF(K347=0,0,(Upgrades!$J$12+K347*Upgrades!$K$12)*POWER(Upgrades!$L$12,K347)))*(IF(Upgrades!$T$6="First Photons",POWER(Upgrades!$U$6,E347),1)*IF(Upgrades!$T$7="First Photons",POWER(Upgrades!$U$7,F347),1)*IF(Upgrades!$T$8="First Photons",POWER(Upgrades!$U$8,G347),1)*IF(Upgrades!$T$9="First Photons",POWER(Upgrades!$U$9,H347),1)*IF(Upgrades!$T$10="First Photons",POWER(Upgrades!$U$10,I347),1)*IF(Upgrades!$T$11="First Photons",POWER(Upgrades!$U$11,J347),1)))*POWER(Upgrades!$Q$6,E347)*POWER(Upgrades!$Q$7,F347)*POWER(Upgrades!$Q$8,G347)*POWER(Upgrades!$Q$9,H347)*POWER(Upgrades!$Q$10,I347)*POWER(Upgrades!$Q$11,J347)*POWER(Upgrades!$Q$12,K347)</f>
        <v>5.61</v>
      </c>
      <c r="N347" s="28" t="n">
        <f aca="false">((IF(E347=0,0,(Upgrades!$G$6+E347*Upgrades!$H$6)*POWER(Upgrades!$I$6,E347)))*(IF(Upgrades!$T$7="Solar Wind",POWER(Upgrades!$U$7,F347),1)*IF(Upgrades!$T$8="Solar Wind",POWER(Upgrades!$U$8,G347),1)*IF(Upgrades!$T$9="Solar Wind",POWER(Upgrades!$U$9,H347),1)*IF(Upgrades!$T$10="Solar Wind",POWER(Upgrades!$U$10,I347),1)*IF(Upgrades!$T$11="Solar Wind",POWER(Upgrades!$U$11,J347),1)*IF(Upgrades!$T$12="Solar Wind",POWER(Upgrades!$U$12,K347),1))+(IF(F347=0,0,(Upgrades!$G$7+F347*Upgrades!$H$7)*POWER(Upgrades!$I$7,F347)))*(IF(Upgrades!$T$6="Asteroid Belt",POWER(Upgrades!$U$6,E347),1)*IF(Upgrades!$T$8="Asteroid Belt",POWER(Upgrades!$U$8,G347),1)*IF(Upgrades!$T$9="Asteroid Belt",POWER(Upgrades!$U$9,H347),1)*IF(Upgrades!$T$10="Asteroid Belt",POWER(Upgrades!$U$10,I347),1)*IF(Upgrades!$T$11="Asteroid Belt",POWER(Upgrades!$U$11,J347),1)*IF(Upgrades!$T$12="Asteroid Belt",POWER(Upgrades!$U$12,K347),1))+(IF(G347=0,0,(Upgrades!$G$8+G347*Upgrades!$H$8)*POWER(Upgrades!$I$8,G347)))*(IF(Upgrades!$T$6="Stellar Coupling",POWER(Upgrades!$U$6,E347),1)*IF(Upgrades!$T$7="Stellar Coupling",POWER(Upgrades!$U$7,F347),1)*IF(Upgrades!$T$9="Stellar Coupling",POWER(Upgrades!$U$9,H347),1)*IF(Upgrades!$T$10="Stellar Coupling",POWER(Upgrades!$U$10,I347),1)*IF(Upgrades!$T$11="Stellar Coupling",POWER(Upgrades!$U$11,J347),1)*IF(Upgrades!$T$12="Stellar Coupling",POWER(Upgrades!$U$12,K347),1))+(IF(H347=0,0,(Upgrades!$G$9+H347*Upgrades!$H$9)*POWER(Upgrades!$I$9,H347)))*(IF(Upgrades!$T$6="Magnetosphere",POWER(Upgrades!$U$6,E347),1)*IF(Upgrades!$T$7="Magnetosphere",POWER(Upgrades!$U$7,F347),1)*IF(Upgrades!$T$8="Magnetosphere",POWER(Upgrades!$U$8,G347),1)*IF(Upgrades!$T$10="Magnetosphere",POWER(Upgrades!$U$10,I347),1)*IF(Upgrades!$T$11="Magnetosphere",POWER(Upgrades!$U$11,J347),1)*IF(Upgrades!$T$12="Magnetosphere",POWER(Upgrades!$U$12,K347),1))+(IF(I347=0,0,(Upgrades!$G$10+I347*Upgrades!$H$10)*POWER(Upgrades!$I$10,I347)))*(IF(Upgrades!$T$6="Orbital Resonance",POWER(Upgrades!$U$6,E347),1)*IF(Upgrades!$T$7="Orbital Resonance",POWER(Upgrades!$U$7,F347),1)*IF(Upgrades!$T$8="Orbital Resonance",POWER(Upgrades!$U$8,G347),1)*IF(Upgrades!$T$9="Orbital Resonance",POWER(Upgrades!$U$9,H347),1)*IF(Upgrades!$T$11="Orbital Resonance",POWER(Upgrades!$U$11,J347),1)*IF(Upgrades!$T$12="Orbital Resonance",POWER(Upgrades!$U$12,K347),1))+(IF(J347=0,0,(Upgrades!$G$11+J347*Upgrades!$H$11)*POWER(Upgrades!$I$11,J347)))*(IF(Upgrades!$T$6="Heliopause",POWER(Upgrades!$U$6,E347),1)*IF(Upgrades!$T$7="Heliopause",POWER(Upgrades!$U$7,F347),1)*IF(Upgrades!$T$8="Heliopause",POWER(Upgrades!$U$8,G347),1)*IF(Upgrades!$T$9="Heliopause",POWER(Upgrades!$U$9,H347),1)*IF(Upgrades!$T$10="Heliopause",POWER(Upgrades!$U$10,I347),1)*IF(Upgrades!$T$12="Heliopause",POWER(Upgrades!$U$12,K347),1))+(IF(K347=0,0,(Upgrades!$G$12+K347*Upgrades!$H$12)*POWER(Upgrades!$I$12,K347)))*(IF(Upgrades!$T$6="First Photons",POWER(Upgrades!$U$6,E347),1)*IF(Upgrades!$T$7="First Photons",POWER(Upgrades!$U$7,F347),1)*IF(Upgrades!$T$8="First Photons",POWER(Upgrades!$U$8,G347),1)*IF(Upgrades!$T$9="First Photons",POWER(Upgrades!$U$9,H347),1)*IF(Upgrades!$T$10="First Photons",POWER(Upgrades!$U$10,I347),1)*IF(Upgrades!$T$11="First Photons",POWER(Upgrades!$U$11,J347),1)))*POWER(Upgrades!$P$6,E347)*POWER(Upgrades!$P$7,F347)*POWER(Upgrades!$P$8,G347)*POWER(Upgrades!$P$9,H347)*POWER(Upgrades!$P$10,I347)*POWER(Upgrades!$P$11,J347)*POWER(Upgrades!$P$12,K347)</f>
        <v>11.2</v>
      </c>
      <c r="O347" s="28" t="n">
        <f aca="false">((IF(E347=0,0,(Upgrades!$M$6+E347*Upgrades!$N$6)*POWER(Upgrades!$O$6,E347)))*(IF(Upgrades!$T$7="Solar Wind",POWER(Upgrades!$U$7,F347),1)*IF(Upgrades!$T$8="Solar Wind",POWER(Upgrades!$U$8,G347),1)*IF(Upgrades!$T$9="Solar Wind",POWER(Upgrades!$U$9,H347),1)*IF(Upgrades!$T$10="Solar Wind",POWER(Upgrades!$U$10,I347),1)*IF(Upgrades!$T$11="Solar Wind",POWER(Upgrades!$U$11,J347),1)*IF(Upgrades!$T$12="Solar Wind",POWER(Upgrades!$U$12,K347),1))+(IF(F347=0,0,(Upgrades!$M$7+F347*Upgrades!$N$7)*POWER(Upgrades!$O$7,F347)))*(IF(Upgrades!$T$6="Asteroid Belt",POWER(Upgrades!$U$6,E347),1)*IF(Upgrades!$T$8="Asteroid Belt",POWER(Upgrades!$U$8,G347),1)*IF(Upgrades!$T$9="Asteroid Belt",POWER(Upgrades!$U$9,H347),1)*IF(Upgrades!$T$10="Asteroid Belt",POWER(Upgrades!$U$10,I347),1)*IF(Upgrades!$T$11="Asteroid Belt",POWER(Upgrades!$U$11,J347),1)*IF(Upgrades!$T$12="Asteroid Belt",POWER(Upgrades!$U$12,K347),1))+(IF(G347=0,0,(Upgrades!$M$8+G347*Upgrades!$N$8)*POWER(Upgrades!$O$8,G347)))*(IF(Upgrades!$T$6="Stellar Coupling",POWER(Upgrades!$U$6,E347),1)*IF(Upgrades!$T$7="Stellar Coupling",POWER(Upgrades!$U$7,F347),1)*IF(Upgrades!$T$9="Stellar Coupling",POWER(Upgrades!$U$9,H347),1)*IF(Upgrades!$T$10="Stellar Coupling",POWER(Upgrades!$U$10,I347),1)*IF(Upgrades!$T$11="Stellar Coupling",POWER(Upgrades!$U$11,J347),1)*IF(Upgrades!$T$12="Stellar Coupling",POWER(Upgrades!$U$12,K347),1))+(IF(H347=0,0,(Upgrades!$M$9+H347*Upgrades!$N$9)*POWER(Upgrades!$O$9,H347)))*(IF(Upgrades!$T$6="Magnetosphere",POWER(Upgrades!$U$6,E347),1)*IF(Upgrades!$T$7="Magnetosphere",POWER(Upgrades!$U$7,F347),1)*IF(Upgrades!$T$8="Magnetosphere",POWER(Upgrades!$U$8,G347),1)*IF(Upgrades!$T$10="Magnetosphere",POWER(Upgrades!$U$10,I347),1)*IF(Upgrades!$T$11="Magnetosphere",POWER(Upgrades!$U$11,J347),1)*IF(Upgrades!$T$12="Magnetosphere",POWER(Upgrades!$U$12,K347),1))+(IF(I347=0,0,(Upgrades!$M$10+I347*Upgrades!$N$10)*POWER(Upgrades!$O$10,I347)))*(IF(Upgrades!$T$6="Orbital Resonance",POWER(Upgrades!$U$6,E347),1)*IF(Upgrades!$T$7="Orbital Resonance",POWER(Upgrades!$U$7,F347),1)*IF(Upgrades!$T$8="Orbital Resonance",POWER(Upgrades!$U$8,G347),1)*IF(Upgrades!$T$9="Orbital Resonance",POWER(Upgrades!$U$9,H347),1)*IF(Upgrades!$T$11="Orbital Resonance",POWER(Upgrades!$U$11,J347),1)*IF(Upgrades!$T$12="Orbital Resonance",POWER(Upgrades!$U$12,K347),1))+(IF(J347=0,0,(Upgrades!$M$11+J347*Upgrades!$N$11)*POWER(Upgrades!$O$11,J347)))*(IF(Upgrades!$T$6="Heliopause",POWER(Upgrades!$U$6,E347),1)*IF(Upgrades!$T$7="Heliopause",POWER(Upgrades!$U$7,F347),1)*IF(Upgrades!$T$8="Heliopause",POWER(Upgrades!$U$8,G347),1)*IF(Upgrades!$T$9="Heliopause",POWER(Upgrades!$U$9,H347),1)*IF(Upgrades!$T$10="Heliopause",POWER(Upgrades!$U$10,I347),1)*IF(Upgrades!$T$12="Heliopause",POWER(Upgrades!$U$12,K347),1))+(IF(K347=0,0,(Upgrades!$M$12+K347*Upgrades!$N$12)*POWER(Upgrades!$O$12,K347)))*(IF(Upgrades!$T$6="First Photons",POWER(Upgrades!$U$6,E347),1)*IF(Upgrades!$T$7="First Photons",POWER(Upgrades!$U$7,F347),1)*IF(Upgrades!$T$8="First Photons",POWER(Upgrades!$U$8,G347),1)*IF(Upgrades!$T$9="First Photons",POWER(Upgrades!$U$9,H347),1)*IF(Upgrades!$T$10="First Photons",POWER(Upgrades!$U$10,I347),1)*IF(Upgrades!$T$11="First Photons",POWER(Upgrades!$U$11,J347),1)))*POWER(Upgrades!$R$6,E347)*POWER(Upgrades!$R$7,F347)*POWER(Upgrades!$R$8,G347)*POWER(Upgrades!$R$9,H347)*POWER(Upgrades!$R$10,I347)*POWER(Upgrades!$R$11,J347)*POWER(Upgrades!$R$12,K347)</f>
        <v>0</v>
      </c>
      <c r="P347" s="27" t="n">
        <f aca="false">IF(L347=1,0,M347*Parameters!$B$10/60*Parameters!$B$11*10)</f>
        <v>0</v>
      </c>
      <c r="Q347" s="27" t="n">
        <f aca="false">IF(L347=1,0,O347*M347*10)</f>
        <v>0</v>
      </c>
      <c r="R347" s="27" t="n">
        <f aca="false">IF(L347=1,0,N347*10)</f>
        <v>0</v>
      </c>
      <c r="S347" s="27" t="n">
        <f aca="false">P347+Q347+R347</f>
        <v>0</v>
      </c>
      <c r="T347" s="21" t="n">
        <f aca="false">C347+S347</f>
        <v>18.6730249835055</v>
      </c>
      <c r="U347" s="34" t="str">
        <f aca="false">AX347</f>
        <v/>
      </c>
      <c r="V347" s="21" t="n">
        <f aca="false">IF(U347="",0,IF(U347="transition",0,IF(U347="SW",AG347,IF(U347="AB",AH347,IF(U347="SC",AI347,IF(U347="Mag",AJ347,IF(U347="OR",AK347,IF(U347="HP",AL347,IF(U347="FP",AM347,0)))))))))</f>
        <v>0</v>
      </c>
      <c r="W347" s="27" t="n">
        <f aca="false">IF(U347="OR",Upgrades!$F$10,IF(U347="HP",Upgrades!$F$11,IF(U347="transition",-Parameters!$B$18,0)))</f>
        <v>0</v>
      </c>
      <c r="X347" s="21" t="n">
        <f aca="false">T347-V347</f>
        <v>18.6730249835055</v>
      </c>
      <c r="Y347" s="30" t="n">
        <f aca="false">M347*Parameters!$B$10/60*Parameters!$B$11+O347*M347+N347</f>
        <v>20.55</v>
      </c>
      <c r="Z347" s="35" t="str">
        <f aca="false">IF(U347="transition","→ Tier 2 (Stellar Neighborhood)",IF(U347="FP","First Photons — light begins, system quickens",IF(U347="HP","Heliopause acquired",IF(U347="OR","Orbital Resonance — passive multiplier active",IF(AND(AO347=1,L347=0,AN347&lt;&gt;1),"Cohesion ready (waiting on completionist upgrades)","")))))</f>
        <v/>
      </c>
      <c r="AA347" s="27" t="n">
        <f aca="false">(IF(E347=0,0,(Upgrades!$G$6+E347*Upgrades!$H$6)*POWER(Upgrades!$I$6,E347)))*(IF(Upgrades!$T$7="Solar Wind",POWER(Upgrades!$U$7,F347),1)*IF(Upgrades!$T$8="Solar Wind",POWER(Upgrades!$U$8,G347),1)*IF(Upgrades!$T$9="Solar Wind",POWER(Upgrades!$U$9,H347),1)*IF(Upgrades!$T$10="Solar Wind",POWER(Upgrades!$U$10,I347),1)*IF(Upgrades!$T$11="Solar Wind",POWER(Upgrades!$U$11,J347),1)*IF(Upgrades!$T$12="Solar Wind",POWER(Upgrades!$U$12,K347),1))*POWER(Upgrades!$P$6,E347)*POWER(Upgrades!$P$7,F347)*POWER(Upgrades!$P$8,G347)*POWER(Upgrades!$P$9,H347)*POWER(Upgrades!$P$10,I347)*POWER(Upgrades!$P$11,J347)*POWER(Upgrades!$P$12,K347)*60</f>
        <v>72</v>
      </c>
      <c r="AB347" s="27" t="n">
        <f aca="false">(IF(F347=0,0,(Upgrades!$G$7+F347*Upgrades!$H$7)*POWER(Upgrades!$I$7,F347)))*(IF(Upgrades!$T$6="Asteroid Belt",POWER(Upgrades!$U$6,E347),1)*IF(Upgrades!$T$8="Asteroid Belt",POWER(Upgrades!$U$8,G347),1)*IF(Upgrades!$T$9="Asteroid Belt",POWER(Upgrades!$U$9,H347),1)*IF(Upgrades!$T$10="Asteroid Belt",POWER(Upgrades!$U$10,I347),1)*IF(Upgrades!$T$11="Asteroid Belt",POWER(Upgrades!$U$11,J347),1)*IF(Upgrades!$T$12="Asteroid Belt",POWER(Upgrades!$U$12,K347),1))*POWER(Upgrades!$P$6,E347)*POWER(Upgrades!$P$7,F347)*POWER(Upgrades!$P$8,G347)*POWER(Upgrades!$P$9,H347)*POWER(Upgrades!$P$10,I347)*POWER(Upgrades!$P$11,J347)*POWER(Upgrades!$P$12,K347)*60</f>
        <v>150</v>
      </c>
      <c r="AC347" s="27" t="n">
        <f aca="false">(IF(G347=0,0,(Upgrades!$J$8+G347*Upgrades!$K$8)*POWER(Upgrades!$L$8,G347)))*(IF(Upgrades!$T$6="Stellar Coupling",POWER(Upgrades!$U$6,E347),1)*IF(Upgrades!$T$7="Stellar Coupling",POWER(Upgrades!$U$7,F347),1)*IF(Upgrades!$T$9="Stellar Coupling",POWER(Upgrades!$U$9,H347),1)*IF(Upgrades!$T$10="Stellar Coupling",POWER(Upgrades!$U$10,I347),1)*IF(Upgrades!$T$11="Stellar Coupling",POWER(Upgrades!$U$11,J347),1)*IF(Upgrades!$T$12="Stellar Coupling",POWER(Upgrades!$U$12,K347),1))*POWER(Upgrades!$Q$6,E347)*POWER(Upgrades!$Q$7,F347)*POWER(Upgrades!$Q$8,G347)*POWER(Upgrades!$Q$9,H347)*POWER(Upgrades!$Q$10,I347)*POWER(Upgrades!$Q$11,J347)*POWER(Upgrades!$Q$12,K347)*Parameters!$B$10*Parameters!$B$11</f>
        <v>441</v>
      </c>
      <c r="AD347" s="27" t="n">
        <f aca="false">(IF(H347=0,0,(Upgrades!$G$9+H347*Upgrades!$H$9)*POWER(Upgrades!$I$9,H347)))*(IF(Upgrades!$T$6="Magnetosphere",POWER(Upgrades!$U$6,E347),1)*IF(Upgrades!$T$7="Magnetosphere",POWER(Upgrades!$U$7,F347),1)*IF(Upgrades!$T$8="Magnetosphere",POWER(Upgrades!$U$8,G347),1)*IF(Upgrades!$T$10="Magnetosphere",POWER(Upgrades!$U$10,I347),1)*IF(Upgrades!$T$11="Magnetosphere",POWER(Upgrades!$U$11,J347),1)*IF(Upgrades!$T$12="Magnetosphere",POWER(Upgrades!$U$12,K347),1))*POWER(Upgrades!$P$6,E347)*POWER(Upgrades!$P$7,F347)*POWER(Upgrades!$P$8,G347)*POWER(Upgrades!$P$9,H347)*POWER(Upgrades!$P$10,I347)*POWER(Upgrades!$P$11,J347)*POWER(Upgrades!$P$12,K347)*60</f>
        <v>375</v>
      </c>
      <c r="AE347" s="27" t="n">
        <f aca="false">(IF(K347=0,0,(Upgrades!$G$12+K347*Upgrades!$H$12)*POWER(Upgrades!$I$12,K347)))*(IF(Upgrades!$T$6="First Photons",POWER(Upgrades!$U$6,E347),1)*IF(Upgrades!$T$7="First Photons",POWER(Upgrades!$U$7,F347),1)*IF(Upgrades!$T$8="First Photons",POWER(Upgrades!$U$8,G347),1)*IF(Upgrades!$T$9="First Photons",POWER(Upgrades!$U$9,H347),1)*IF(Upgrades!$T$10="First Photons",POWER(Upgrades!$U$10,I347),1)*IF(Upgrades!$T$11="First Photons",POWER(Upgrades!$U$11,J347),1))*POWER(Upgrades!$P$6,E347)*POWER(Upgrades!$P$7,F347)*POWER(Upgrades!$P$8,G347)*POWER(Upgrades!$P$9,H347)*POWER(Upgrades!$P$10,I347)*POWER(Upgrades!$P$11,J347)*POWER(Upgrades!$P$12,K347)*60</f>
        <v>75</v>
      </c>
      <c r="AF347" s="27" t="n">
        <f aca="false">Parameters!$B$9*POWER(Upgrades!$Q$6,E347)*POWER(Upgrades!$Q$7,F347)*POWER(Upgrades!$Q$8,G347)*POWER(Upgrades!$Q$9,H347)*POWER(Upgrades!$Q$10,I347)*POWER(Upgrades!$Q$11,J347)*POWER(Upgrades!$Q$12,K347)*(Parameters!$B$10*Parameters!$B$11+O347*60)</f>
        <v>120</v>
      </c>
      <c r="AG347" s="21" t="n">
        <f aca="false">IF(E347&gt;=Upgrades!$E$6,"",Upgrades!$C$6*POWER(Upgrades!$D$6,E347))</f>
        <v>37.4517507383159</v>
      </c>
      <c r="AH347" s="21" t="n">
        <f aca="false">IF(F347&gt;=Upgrades!$E$7,"",Upgrades!$C$7*POWER(Upgrades!$D$7,F347))</f>
        <v>80.9111547141581</v>
      </c>
      <c r="AI347" s="21" t="n">
        <f aca="false">IF(G347&gt;=Upgrades!$E$8,"",Upgrades!$C$8*POWER(Upgrades!$D$8,G347))</f>
        <v>231.9097088</v>
      </c>
      <c r="AJ347" s="21" t="str">
        <f aca="false">IF(H347&gt;=Upgrades!$E$9,"",Upgrades!$C$9*POWER(Upgrades!$D$9,H347))</f>
        <v/>
      </c>
      <c r="AK347" s="21" t="str">
        <f aca="false">IF(I347&gt;=Upgrades!$E$10,"",Upgrades!$C$10*POWER(Upgrades!$D$10,I347))</f>
        <v/>
      </c>
      <c r="AL347" s="21" t="str">
        <f aca="false">IF(J347&gt;=Upgrades!$E$11,"",Upgrades!$C$11*POWER(Upgrades!$D$11,J347))</f>
        <v/>
      </c>
      <c r="AM347" s="21" t="str">
        <f aca="false">IF(K347&gt;=Upgrades!$E$12,"",Upgrades!$C$12*POWER(Upgrades!$D$12,K347))</f>
        <v/>
      </c>
      <c r="AN347" s="26" t="str">
        <f aca="false">IF(AND(D347&gt;=Parameters!$B$18,(H347&gt;=Upgrades!$E$9)*(K347&gt;=Upgrades!$E$12)=1,L347=0),1,"")</f>
        <v/>
      </c>
      <c r="AO347" s="26" t="str">
        <f aca="false">IF(AND(D347&gt;=Parameters!$B$18,L347=0),1,"")</f>
        <v/>
      </c>
      <c r="AP347" s="21" t="n">
        <f aca="false">MIN(IF(ISNUMBER(AK347),AK347,9000000000000000),IF(ISNUMBER(AL347),AL347,9000000000000000),IF(ISNUMBER(AM347),AM347,9000000000000000))</f>
        <v>9000000000000000</v>
      </c>
      <c r="AQ347" s="21" t="n">
        <f aca="false">MIN(IF(ISNUMBER(AG347),AG347,9000000000000000),IF(ISNUMBER(AH347),AH347,9000000000000000),IF(ISNUMBER(AI347),AI347,9000000000000000),IF(ISNUMBER(AJ347),AJ347,9000000000000000))</f>
        <v>37.4517507383159</v>
      </c>
      <c r="AR347" s="32" t="b">
        <f aca="false">IF(AW347&gt;Parameters!$B$21*(MAX(IF(AND(NOT(AND(AO347=1,AN347&lt;&gt;1)),ISNUMBER(AG347),AG347&lt;=T347),AS347,0),IF(AND(NOT(AND(AO347=1,AN347&lt;&gt;1)),ISNUMBER(AH347),AH347&lt;=T347),AT347,0),IF(AND(NOT(AND(AO347=1,AN347&lt;&gt;1)),ISNUMBER(AI347),AI347&lt;=T347),AU347,0),IF(AND(ISNUMBER(AJ347),AJ347&lt;=T347),AV347,0))),TRUE(),FALSE())</f>
        <v>1</v>
      </c>
      <c r="AS347" s="33" t="n">
        <f aca="false">IFERROR(Upgrades!$H$6*(POWER(Upgrades!$P$6,E347)*POWER(Upgrades!$P$7,F347)*POWER(Upgrades!$P$8,G347)*POWER(Upgrades!$P$9,H347)*POWER(Upgrades!$P$10,I347)*POWER(Upgrades!$P$11,J347)*POWER(Upgrades!$P$12,K347))*(IF(Upgrades!$T$7="Solar Wind",POWER(Upgrades!$U$7,F347),1)*IF(Upgrades!$T$8="Solar Wind",POWER(Upgrades!$U$8,G347),1)*IF(Upgrades!$T$9="Solar Wind",POWER(Upgrades!$U$9,H347),1)*IF(Upgrades!$T$10="Solar Wind",POWER(Upgrades!$U$10,I347),1)*IF(Upgrades!$T$11="Solar Wind",POWER(Upgrades!$U$11,J347),1)*IF(Upgrades!$T$12="Solar Wind",POWER(Upgrades!$U$12,K347),1))/AG347,0)</f>
        <v>0.0026701021455238</v>
      </c>
      <c r="AT347" s="33" t="n">
        <f aca="false">IFERROR(Upgrades!$H$7*(POWER(Upgrades!$P$6,E347)*POWER(Upgrades!$P$7,F347)*POWER(Upgrades!$P$8,G347)*POWER(Upgrades!$P$9,H347)*POWER(Upgrades!$P$10,I347)*POWER(Upgrades!$P$11,J347)*POWER(Upgrades!$P$12,K347))*(IF(Upgrades!$T$6="Asteroid Belt",POWER(Upgrades!$U$6,E347),1)*IF(Upgrades!$T$8="Asteroid Belt",POWER(Upgrades!$U$8,G347),1)*IF(Upgrades!$T$9="Asteroid Belt",POWER(Upgrades!$U$9,H347),1)*IF(Upgrades!$T$10="Asteroid Belt",POWER(Upgrades!$U$10,I347),1)*IF(Upgrades!$T$11="Asteroid Belt",POWER(Upgrades!$U$11,J347),1)*IF(Upgrades!$T$12="Asteroid Belt",POWER(Upgrades!$U$12,K347),1))/AH347,0)</f>
        <v>0.00308980882652332</v>
      </c>
      <c r="AU347" s="33" t="n">
        <f aca="false">IFERROR(Upgrades!$K$8*(POWER(Upgrades!$Q$6,E347)*POWER(Upgrades!$Q$7,F347)*POWER(Upgrades!$Q$8,G347)*POWER(Upgrades!$Q$9,H347)*POWER(Upgrades!$Q$10,I347)*POWER(Upgrades!$Q$11,J347)*POWER(Upgrades!$Q$12,K347))*(IF(Upgrades!$T$6="Stellar Coupling",POWER(Upgrades!$U$6,E347),1)*IF(Upgrades!$T$7="Stellar Coupling",POWER(Upgrades!$U$7,F347),1)*IF(Upgrades!$T$9="Stellar Coupling",POWER(Upgrades!$U$9,H347),1)*IF(Upgrades!$T$10="Stellar Coupling",POWER(Upgrades!$U$10,I347),1)*IF(Upgrades!$T$11="Stellar Coupling",POWER(Upgrades!$U$11,J347),1)*IF(Upgrades!$T$12="Stellar Coupling",POWER(Upgrades!$U$12,K347),1))*Parameters!$B$10*Parameters!$B$11/60/AI347,0)</f>
        <v>0.00452762415783776</v>
      </c>
      <c r="AV347" s="33" t="n">
        <f aca="false">IFERROR(Upgrades!$H$9*(POWER(Upgrades!$P$6,E347)*POWER(Upgrades!$P$7,F347)*POWER(Upgrades!$P$8,G347)*POWER(Upgrades!$P$9,H347)*POWER(Upgrades!$P$10,I347)*POWER(Upgrades!$P$11,J347)*POWER(Upgrades!$P$12,K347))*(IF(Upgrades!$T$6="Magnetosphere",POWER(Upgrades!$U$6,E347),1)*IF(Upgrades!$T$7="Magnetosphere",POWER(Upgrades!$U$7,F347),1)*IF(Upgrades!$T$8="Magnetosphere",POWER(Upgrades!$U$8,G347),1)*IF(Upgrades!$T$10="Magnetosphere",POWER(Upgrades!$U$10,I347),1)*IF(Upgrades!$T$11="Magnetosphere",POWER(Upgrades!$U$11,J347),1)*IF(Upgrades!$T$12="Magnetosphere",POWER(Upgrades!$U$12,K347),1))/AJ347,0)</f>
        <v>0</v>
      </c>
      <c r="AW347" s="33" t="n">
        <f aca="false">MAX(IF(I347&gt;0,0,IFERROR(0.25*N347/Upgrades!$C$10,0)),IF(J347&gt;0,0,IFERROR(0.5*((IF(G347=0,0,(Upgrades!$J$8+G347*Upgrades!$K$8)*POWER(Upgrades!$L$8,G347)))*(IF(Upgrades!$T$6="Stellar Coupling",POWER(Upgrades!$U$6,E347),1)*IF(Upgrades!$T$7="Stellar Coupling",POWER(Upgrades!$U$7,F347),1)*IF(Upgrades!$T$9="Stellar Coupling",POWER(Upgrades!$U$9,H347),1)*IF(Upgrades!$T$10="Stellar Coupling",POWER(Upgrades!$U$10,I347),1)*IF(Upgrades!$T$11="Stellar Coupling",POWER(Upgrades!$U$11,J347),1)*IF(Upgrades!$T$12="Stellar Coupling",POWER(Upgrades!$U$12,K347),1))*(POWER(Upgrades!$Q$6,E347)*POWER(Upgrades!$Q$7,F347)*POWER(Upgrades!$Q$8,G347)*POWER(Upgrades!$Q$9,H347)*POWER(Upgrades!$Q$10,I347)*POWER(Upgrades!$Q$11,J347)*POWER(Upgrades!$Q$12,K347))*Parameters!$B$10*Parameters!$B$11/60)/Upgrades!$C$11,0)),IF(K347&gt;0,0,IFERROR((1*(POWER(Upgrades!$P$6,E347)*POWER(Upgrades!$P$7,F347)*POWER(Upgrades!$P$8,G347)*POWER(Upgrades!$P$9,H347)*POWER(Upgrades!$P$10,I347)*POWER(Upgrades!$P$11,J347)*POWER(Upgrades!$P$12,K347))+0.2*M347*Parameters!$B$10*Parameters!$B$11/60)/Upgrades!$C$12,0)),IF(AND(ISNUMBER(AG347),AG347&gt;T347),AS347,0),IF(AND(ISNUMBER(AH347),AH347&gt;T347),AT347,0),IF(AND(ISNUMBER(AI347),AI347&gt;T347),AU347,0),IF(AND(ISNUMBER(AJ347),AJ347&gt;T347),AV347,0))</f>
        <v>0.00452762415783776</v>
      </c>
      <c r="AX347" s="29" t="str">
        <f aca="false">IF(AN347=1,"transition",IF(MIN(IF(AND(I347=0,ISNUMBER(AK347),AK347&lt;=T347),AK347,9000000000000000),IF(AND(J347=0,ISNUMBER(AL347),AL347&lt;=T347),AL347,9000000000000000),IF(AND(K347=0,ISNUMBER(AM347),AM347&lt;=T347),AM347,9000000000000000))&lt;9000000000000000,IF(AND(AND(I347=0,ISNUMBER(AK347),AK347&lt;=T347),AK347=MIN(IF(AND(I347=0,ISNUMBER(AK347),AK347&lt;=T347),AK347,9000000000000000),IF(AND(J347=0,ISNUMBER(AL347),AL347&lt;=T347),AL347,9000000000000000),IF(AND(K347=0,ISNUMBER(AM347),AM347&lt;=T347),AM347,9000000000000000))),"OR",IF(AND(AND(J347=0,ISNUMBER(AL347),AL347&lt;=T347),AL347=MIN(IF(AND(I347=0,ISNUMBER(AK347),AK347&lt;=T347),AK347,9000000000000000),IF(AND(J347=0,ISNUMBER(AL347),AL347&lt;=T347),AL347,9000000000000000),IF(AND(K347=0,ISNUMBER(AM347),AM347&lt;=T347),AM347,9000000000000000))),"HP","FP")),IF(AR347=TRUE(),"",IF(MAX(IF(AND(NOT(AND(AO347=1,AN347&lt;&gt;1)),ISNUMBER(AG347),AG347&lt;=T347),AS347,0),IF(AND(NOT(AND(AO347=1,AN347&lt;&gt;1)),ISNUMBER(AH347),AH347&lt;=T347),AT347,0),IF(AND(NOT(AND(AO347=1,AN347&lt;&gt;1)),ISNUMBER(AI347),AI347&lt;=T347),AU347,0),IF(AND(ISNUMBER(AJ347),AJ347&lt;=T347),AV347,0))&lt;=0,"",IF(AND(IF(AND(NOT(AND(AO347=1,AN347&lt;&gt;1)),ISNUMBER(AG347),AG347&lt;=T347),AS347,0)&gt;0,IF(AND(NOT(AND(AO347=1,AN347&lt;&gt;1)),ISNUMBER(AG347),AG347&lt;=T347),AS347,0)=MAX(IF(AND(NOT(AND(AO347=1,AN347&lt;&gt;1)),ISNUMBER(AG347),AG347&lt;=T347),AS347,0),IF(AND(NOT(AND(AO347=1,AN347&lt;&gt;1)),ISNUMBER(AH347),AH347&lt;=T347),AT347,0),IF(AND(NOT(AND(AO347=1,AN347&lt;&gt;1)),ISNUMBER(AI347),AI347&lt;=T347),AU347,0),IF(AND(ISNUMBER(AJ347),AJ347&lt;=T347),AV347,0))),"SW",IF(AND(IF(AND(NOT(AND(AO347=1,AN347&lt;&gt;1)),ISNUMBER(AH347),AH347&lt;=T347),AT347,0)&gt;0,IF(AND(NOT(AND(AO347=1,AN347&lt;&gt;1)),ISNUMBER(AH347),AH347&lt;=T347),AT347,0)=MAX(IF(AND(NOT(AND(AO347=1,AN347&lt;&gt;1)),ISNUMBER(AG347),AG347&lt;=T347),AS347,0),IF(AND(NOT(AND(AO347=1,AN347&lt;&gt;1)),ISNUMBER(AH347),AH347&lt;=T347),AT347,0),IF(AND(NOT(AND(AO347=1,AN347&lt;&gt;1)),ISNUMBER(AI347),AI347&lt;=T347),AU347,0),IF(AND(ISNUMBER(AJ347),AJ347&lt;=T347),AV347,0))),"AB",IF(AND(IF(AND(NOT(AND(AO347=1,AN347&lt;&gt;1)),ISNUMBER(AI347),AI347&lt;=T347),AU347,0)&gt;0,IF(AND(NOT(AND(AO347=1,AN347&lt;&gt;1)),ISNUMBER(AI347),AI347&lt;=T347),AU347,0)=MAX(IF(AND(NOT(AND(AO347=1,AN347&lt;&gt;1)),ISNUMBER(AG347),AG347&lt;=T347),AS347,0),IF(AND(NOT(AND(AO347=1,AN347&lt;&gt;1)),ISNUMBER(AH347),AH347&lt;=T347),AT347,0),IF(AND(NOT(AND(AO347=1,AN347&lt;&gt;1)),ISNUMBER(AI347),AI347&lt;=T347),AU347,0),IF(AND(ISNUMBER(AJ347),AJ347&lt;=T347),AV347,0))),"SC","Mag")))))))</f>
        <v/>
      </c>
    </row>
    <row r="348" customFormat="false" ht="15" hidden="false" customHeight="false" outlineLevel="0" collapsed="false">
      <c r="A348" s="26" t="n">
        <v>343</v>
      </c>
      <c r="B348" s="27" t="n">
        <f aca="false">A348*10/60</f>
        <v>57.1666666666667</v>
      </c>
      <c r="C348" s="21" t="n">
        <f aca="false">X347</f>
        <v>18.6730249835055</v>
      </c>
      <c r="D348" s="27" t="n">
        <f aca="false">D347+W347</f>
        <v>0</v>
      </c>
      <c r="E348" s="26" t="n">
        <f aca="false">E347+IF(U347="SW",1,0)</f>
        <v>12</v>
      </c>
      <c r="F348" s="26" t="n">
        <f aca="false">F347+IF(U347="AB",1,0)</f>
        <v>10</v>
      </c>
      <c r="G348" s="26" t="n">
        <f aca="false">G347+IF(U347="SC",1,0)</f>
        <v>7</v>
      </c>
      <c r="H348" s="26" t="n">
        <f aca="false">H347+IF(U347="Mag",1,0)</f>
        <v>5</v>
      </c>
      <c r="I348" s="26" t="n">
        <f aca="false">MAX(I347,IF(U347="OR",1,0))</f>
        <v>1</v>
      </c>
      <c r="J348" s="26" t="n">
        <f aca="false">MAX(J347,IF(U347="HP",1,0))</f>
        <v>1</v>
      </c>
      <c r="K348" s="26" t="n">
        <f aca="false">MAX(K347,IF(U347="FP",1,0))</f>
        <v>1</v>
      </c>
      <c r="L348" s="26" t="n">
        <f aca="false">MAX(L347,IF(U347="transition",1,0))</f>
        <v>1</v>
      </c>
      <c r="M348" s="28" t="n">
        <f aca="false">(Parameters!$B$9+(IF(E348=0,0,(Upgrades!$J$6+E348*Upgrades!$K$6)*POWER(Upgrades!$L$6,E348)))*(IF(Upgrades!$T$7="Solar Wind",POWER(Upgrades!$U$7,F348),1)*IF(Upgrades!$T$8="Solar Wind",POWER(Upgrades!$U$8,G348),1)*IF(Upgrades!$T$9="Solar Wind",POWER(Upgrades!$U$9,H348),1)*IF(Upgrades!$T$10="Solar Wind",POWER(Upgrades!$U$10,I348),1)*IF(Upgrades!$T$11="Solar Wind",POWER(Upgrades!$U$11,J348),1)*IF(Upgrades!$T$12="Solar Wind",POWER(Upgrades!$U$12,K348),1))+(IF(F348=0,0,(Upgrades!$J$7+F348*Upgrades!$K$7)*POWER(Upgrades!$L$7,F348)))*(IF(Upgrades!$T$6="Asteroid Belt",POWER(Upgrades!$U$6,E348),1)*IF(Upgrades!$T$8="Asteroid Belt",POWER(Upgrades!$U$8,G348),1)*IF(Upgrades!$T$9="Asteroid Belt",POWER(Upgrades!$U$9,H348),1)*IF(Upgrades!$T$10="Asteroid Belt",POWER(Upgrades!$U$10,I348),1)*IF(Upgrades!$T$11="Asteroid Belt",POWER(Upgrades!$U$11,J348),1)*IF(Upgrades!$T$12="Asteroid Belt",POWER(Upgrades!$U$12,K348),1))+(IF(G348=0,0,(Upgrades!$J$8+G348*Upgrades!$K$8)*POWER(Upgrades!$L$8,G348)))*(IF(Upgrades!$T$6="Stellar Coupling",POWER(Upgrades!$U$6,E348),1)*IF(Upgrades!$T$7="Stellar Coupling",POWER(Upgrades!$U$7,F348),1)*IF(Upgrades!$T$9="Stellar Coupling",POWER(Upgrades!$U$9,H348),1)*IF(Upgrades!$T$10="Stellar Coupling",POWER(Upgrades!$U$10,I348),1)*IF(Upgrades!$T$11="Stellar Coupling",POWER(Upgrades!$U$11,J348),1)*IF(Upgrades!$T$12="Stellar Coupling",POWER(Upgrades!$U$12,K348),1))+(IF(H348=0,0,(Upgrades!$J$9+H348*Upgrades!$K$9)*POWER(Upgrades!$L$9,H348)))*(IF(Upgrades!$T$6="Magnetosphere",POWER(Upgrades!$U$6,E348),1)*IF(Upgrades!$T$7="Magnetosphere",POWER(Upgrades!$U$7,F348),1)*IF(Upgrades!$T$8="Magnetosphere",POWER(Upgrades!$U$8,G348),1)*IF(Upgrades!$T$10="Magnetosphere",POWER(Upgrades!$U$10,I348),1)*IF(Upgrades!$T$11="Magnetosphere",POWER(Upgrades!$U$11,J348),1)*IF(Upgrades!$T$12="Magnetosphere",POWER(Upgrades!$U$12,K348),1))+(IF(I348=0,0,(Upgrades!$J$10+I348*Upgrades!$K$10)*POWER(Upgrades!$L$10,I348)))*(IF(Upgrades!$T$6="Orbital Resonance",POWER(Upgrades!$U$6,E348),1)*IF(Upgrades!$T$7="Orbital Resonance",POWER(Upgrades!$U$7,F348),1)*IF(Upgrades!$T$8="Orbital Resonance",POWER(Upgrades!$U$8,G348),1)*IF(Upgrades!$T$9="Orbital Resonance",POWER(Upgrades!$U$9,H348),1)*IF(Upgrades!$T$11="Orbital Resonance",POWER(Upgrades!$U$11,J348),1)*IF(Upgrades!$T$12="Orbital Resonance",POWER(Upgrades!$U$12,K348),1))+(IF(J348=0,0,(Upgrades!$J$11+J348*Upgrades!$K$11)*POWER(Upgrades!$L$11,J348)))*(IF(Upgrades!$T$6="Heliopause",POWER(Upgrades!$U$6,E348),1)*IF(Upgrades!$T$7="Heliopause",POWER(Upgrades!$U$7,F348),1)*IF(Upgrades!$T$8="Heliopause",POWER(Upgrades!$U$8,G348),1)*IF(Upgrades!$T$9="Heliopause",POWER(Upgrades!$U$9,H348),1)*IF(Upgrades!$T$10="Heliopause",POWER(Upgrades!$U$10,I348),1)*IF(Upgrades!$T$12="Heliopause",POWER(Upgrades!$U$12,K348),1))+(IF(K348=0,0,(Upgrades!$J$12+K348*Upgrades!$K$12)*POWER(Upgrades!$L$12,K348)))*(IF(Upgrades!$T$6="First Photons",POWER(Upgrades!$U$6,E348),1)*IF(Upgrades!$T$7="First Photons",POWER(Upgrades!$U$7,F348),1)*IF(Upgrades!$T$8="First Photons",POWER(Upgrades!$U$8,G348),1)*IF(Upgrades!$T$9="First Photons",POWER(Upgrades!$U$9,H348),1)*IF(Upgrades!$T$10="First Photons",POWER(Upgrades!$U$10,I348),1)*IF(Upgrades!$T$11="First Photons",POWER(Upgrades!$U$11,J348),1)))*POWER(Upgrades!$Q$6,E348)*POWER(Upgrades!$Q$7,F348)*POWER(Upgrades!$Q$8,G348)*POWER(Upgrades!$Q$9,H348)*POWER(Upgrades!$Q$10,I348)*POWER(Upgrades!$Q$11,J348)*POWER(Upgrades!$Q$12,K348)</f>
        <v>5.61</v>
      </c>
      <c r="N348" s="28" t="n">
        <f aca="false">((IF(E348=0,0,(Upgrades!$G$6+E348*Upgrades!$H$6)*POWER(Upgrades!$I$6,E348)))*(IF(Upgrades!$T$7="Solar Wind",POWER(Upgrades!$U$7,F348),1)*IF(Upgrades!$T$8="Solar Wind",POWER(Upgrades!$U$8,G348),1)*IF(Upgrades!$T$9="Solar Wind",POWER(Upgrades!$U$9,H348),1)*IF(Upgrades!$T$10="Solar Wind",POWER(Upgrades!$U$10,I348),1)*IF(Upgrades!$T$11="Solar Wind",POWER(Upgrades!$U$11,J348),1)*IF(Upgrades!$T$12="Solar Wind",POWER(Upgrades!$U$12,K348),1))+(IF(F348=0,0,(Upgrades!$G$7+F348*Upgrades!$H$7)*POWER(Upgrades!$I$7,F348)))*(IF(Upgrades!$T$6="Asteroid Belt",POWER(Upgrades!$U$6,E348),1)*IF(Upgrades!$T$8="Asteroid Belt",POWER(Upgrades!$U$8,G348),1)*IF(Upgrades!$T$9="Asteroid Belt",POWER(Upgrades!$U$9,H348),1)*IF(Upgrades!$T$10="Asteroid Belt",POWER(Upgrades!$U$10,I348),1)*IF(Upgrades!$T$11="Asteroid Belt",POWER(Upgrades!$U$11,J348),1)*IF(Upgrades!$T$12="Asteroid Belt",POWER(Upgrades!$U$12,K348),1))+(IF(G348=0,0,(Upgrades!$G$8+G348*Upgrades!$H$8)*POWER(Upgrades!$I$8,G348)))*(IF(Upgrades!$T$6="Stellar Coupling",POWER(Upgrades!$U$6,E348),1)*IF(Upgrades!$T$7="Stellar Coupling",POWER(Upgrades!$U$7,F348),1)*IF(Upgrades!$T$9="Stellar Coupling",POWER(Upgrades!$U$9,H348),1)*IF(Upgrades!$T$10="Stellar Coupling",POWER(Upgrades!$U$10,I348),1)*IF(Upgrades!$T$11="Stellar Coupling",POWER(Upgrades!$U$11,J348),1)*IF(Upgrades!$T$12="Stellar Coupling",POWER(Upgrades!$U$12,K348),1))+(IF(H348=0,0,(Upgrades!$G$9+H348*Upgrades!$H$9)*POWER(Upgrades!$I$9,H348)))*(IF(Upgrades!$T$6="Magnetosphere",POWER(Upgrades!$U$6,E348),1)*IF(Upgrades!$T$7="Magnetosphere",POWER(Upgrades!$U$7,F348),1)*IF(Upgrades!$T$8="Magnetosphere",POWER(Upgrades!$U$8,G348),1)*IF(Upgrades!$T$10="Magnetosphere",POWER(Upgrades!$U$10,I348),1)*IF(Upgrades!$T$11="Magnetosphere",POWER(Upgrades!$U$11,J348),1)*IF(Upgrades!$T$12="Magnetosphere",POWER(Upgrades!$U$12,K348),1))+(IF(I348=0,0,(Upgrades!$G$10+I348*Upgrades!$H$10)*POWER(Upgrades!$I$10,I348)))*(IF(Upgrades!$T$6="Orbital Resonance",POWER(Upgrades!$U$6,E348),1)*IF(Upgrades!$T$7="Orbital Resonance",POWER(Upgrades!$U$7,F348),1)*IF(Upgrades!$T$8="Orbital Resonance",POWER(Upgrades!$U$8,G348),1)*IF(Upgrades!$T$9="Orbital Resonance",POWER(Upgrades!$U$9,H348),1)*IF(Upgrades!$T$11="Orbital Resonance",POWER(Upgrades!$U$11,J348),1)*IF(Upgrades!$T$12="Orbital Resonance",POWER(Upgrades!$U$12,K348),1))+(IF(J348=0,0,(Upgrades!$G$11+J348*Upgrades!$H$11)*POWER(Upgrades!$I$11,J348)))*(IF(Upgrades!$T$6="Heliopause",POWER(Upgrades!$U$6,E348),1)*IF(Upgrades!$T$7="Heliopause",POWER(Upgrades!$U$7,F348),1)*IF(Upgrades!$T$8="Heliopause",POWER(Upgrades!$U$8,G348),1)*IF(Upgrades!$T$9="Heliopause",POWER(Upgrades!$U$9,H348),1)*IF(Upgrades!$T$10="Heliopause",POWER(Upgrades!$U$10,I348),1)*IF(Upgrades!$T$12="Heliopause",POWER(Upgrades!$U$12,K348),1))+(IF(K348=0,0,(Upgrades!$G$12+K348*Upgrades!$H$12)*POWER(Upgrades!$I$12,K348)))*(IF(Upgrades!$T$6="First Photons",POWER(Upgrades!$U$6,E348),1)*IF(Upgrades!$T$7="First Photons",POWER(Upgrades!$U$7,F348),1)*IF(Upgrades!$T$8="First Photons",POWER(Upgrades!$U$8,G348),1)*IF(Upgrades!$T$9="First Photons",POWER(Upgrades!$U$9,H348),1)*IF(Upgrades!$T$10="First Photons",POWER(Upgrades!$U$10,I348),1)*IF(Upgrades!$T$11="First Photons",POWER(Upgrades!$U$11,J348),1)))*POWER(Upgrades!$P$6,E348)*POWER(Upgrades!$P$7,F348)*POWER(Upgrades!$P$8,G348)*POWER(Upgrades!$P$9,H348)*POWER(Upgrades!$P$10,I348)*POWER(Upgrades!$P$11,J348)*POWER(Upgrades!$P$12,K348)</f>
        <v>11.2</v>
      </c>
      <c r="O348" s="28" t="n">
        <f aca="false">((IF(E348=0,0,(Upgrades!$M$6+E348*Upgrades!$N$6)*POWER(Upgrades!$O$6,E348)))*(IF(Upgrades!$T$7="Solar Wind",POWER(Upgrades!$U$7,F348),1)*IF(Upgrades!$T$8="Solar Wind",POWER(Upgrades!$U$8,G348),1)*IF(Upgrades!$T$9="Solar Wind",POWER(Upgrades!$U$9,H348),1)*IF(Upgrades!$T$10="Solar Wind",POWER(Upgrades!$U$10,I348),1)*IF(Upgrades!$T$11="Solar Wind",POWER(Upgrades!$U$11,J348),1)*IF(Upgrades!$T$12="Solar Wind",POWER(Upgrades!$U$12,K348),1))+(IF(F348=0,0,(Upgrades!$M$7+F348*Upgrades!$N$7)*POWER(Upgrades!$O$7,F348)))*(IF(Upgrades!$T$6="Asteroid Belt",POWER(Upgrades!$U$6,E348),1)*IF(Upgrades!$T$8="Asteroid Belt",POWER(Upgrades!$U$8,G348),1)*IF(Upgrades!$T$9="Asteroid Belt",POWER(Upgrades!$U$9,H348),1)*IF(Upgrades!$T$10="Asteroid Belt",POWER(Upgrades!$U$10,I348),1)*IF(Upgrades!$T$11="Asteroid Belt",POWER(Upgrades!$U$11,J348),1)*IF(Upgrades!$T$12="Asteroid Belt",POWER(Upgrades!$U$12,K348),1))+(IF(G348=0,0,(Upgrades!$M$8+G348*Upgrades!$N$8)*POWER(Upgrades!$O$8,G348)))*(IF(Upgrades!$T$6="Stellar Coupling",POWER(Upgrades!$U$6,E348),1)*IF(Upgrades!$T$7="Stellar Coupling",POWER(Upgrades!$U$7,F348),1)*IF(Upgrades!$T$9="Stellar Coupling",POWER(Upgrades!$U$9,H348),1)*IF(Upgrades!$T$10="Stellar Coupling",POWER(Upgrades!$U$10,I348),1)*IF(Upgrades!$T$11="Stellar Coupling",POWER(Upgrades!$U$11,J348),1)*IF(Upgrades!$T$12="Stellar Coupling",POWER(Upgrades!$U$12,K348),1))+(IF(H348=0,0,(Upgrades!$M$9+H348*Upgrades!$N$9)*POWER(Upgrades!$O$9,H348)))*(IF(Upgrades!$T$6="Magnetosphere",POWER(Upgrades!$U$6,E348),1)*IF(Upgrades!$T$7="Magnetosphere",POWER(Upgrades!$U$7,F348),1)*IF(Upgrades!$T$8="Magnetosphere",POWER(Upgrades!$U$8,G348),1)*IF(Upgrades!$T$10="Magnetosphere",POWER(Upgrades!$U$10,I348),1)*IF(Upgrades!$T$11="Magnetosphere",POWER(Upgrades!$U$11,J348),1)*IF(Upgrades!$T$12="Magnetosphere",POWER(Upgrades!$U$12,K348),1))+(IF(I348=0,0,(Upgrades!$M$10+I348*Upgrades!$N$10)*POWER(Upgrades!$O$10,I348)))*(IF(Upgrades!$T$6="Orbital Resonance",POWER(Upgrades!$U$6,E348),1)*IF(Upgrades!$T$7="Orbital Resonance",POWER(Upgrades!$U$7,F348),1)*IF(Upgrades!$T$8="Orbital Resonance",POWER(Upgrades!$U$8,G348),1)*IF(Upgrades!$T$9="Orbital Resonance",POWER(Upgrades!$U$9,H348),1)*IF(Upgrades!$T$11="Orbital Resonance",POWER(Upgrades!$U$11,J348),1)*IF(Upgrades!$T$12="Orbital Resonance",POWER(Upgrades!$U$12,K348),1))+(IF(J348=0,0,(Upgrades!$M$11+J348*Upgrades!$N$11)*POWER(Upgrades!$O$11,J348)))*(IF(Upgrades!$T$6="Heliopause",POWER(Upgrades!$U$6,E348),1)*IF(Upgrades!$T$7="Heliopause",POWER(Upgrades!$U$7,F348),1)*IF(Upgrades!$T$8="Heliopause",POWER(Upgrades!$U$8,G348),1)*IF(Upgrades!$T$9="Heliopause",POWER(Upgrades!$U$9,H348),1)*IF(Upgrades!$T$10="Heliopause",POWER(Upgrades!$U$10,I348),1)*IF(Upgrades!$T$12="Heliopause",POWER(Upgrades!$U$12,K348),1))+(IF(K348=0,0,(Upgrades!$M$12+K348*Upgrades!$N$12)*POWER(Upgrades!$O$12,K348)))*(IF(Upgrades!$T$6="First Photons",POWER(Upgrades!$U$6,E348),1)*IF(Upgrades!$T$7="First Photons",POWER(Upgrades!$U$7,F348),1)*IF(Upgrades!$T$8="First Photons",POWER(Upgrades!$U$8,G348),1)*IF(Upgrades!$T$9="First Photons",POWER(Upgrades!$U$9,H348),1)*IF(Upgrades!$T$10="First Photons",POWER(Upgrades!$U$10,I348),1)*IF(Upgrades!$T$11="First Photons",POWER(Upgrades!$U$11,J348),1)))*POWER(Upgrades!$R$6,E348)*POWER(Upgrades!$R$7,F348)*POWER(Upgrades!$R$8,G348)*POWER(Upgrades!$R$9,H348)*POWER(Upgrades!$R$10,I348)*POWER(Upgrades!$R$11,J348)*POWER(Upgrades!$R$12,K348)</f>
        <v>0</v>
      </c>
      <c r="P348" s="27" t="n">
        <f aca="false">IF(L348=1,0,M348*Parameters!$B$10/60*Parameters!$B$11*10)</f>
        <v>0</v>
      </c>
      <c r="Q348" s="27" t="n">
        <f aca="false">IF(L348=1,0,O348*M348*10)</f>
        <v>0</v>
      </c>
      <c r="R348" s="27" t="n">
        <f aca="false">IF(L348=1,0,N348*10)</f>
        <v>0</v>
      </c>
      <c r="S348" s="27" t="n">
        <f aca="false">P348+Q348+R348</f>
        <v>0</v>
      </c>
      <c r="T348" s="21" t="n">
        <f aca="false">C348+S348</f>
        <v>18.6730249835055</v>
      </c>
      <c r="U348" s="34" t="str">
        <f aca="false">AX348</f>
        <v/>
      </c>
      <c r="V348" s="21" t="n">
        <f aca="false">IF(U348="",0,IF(U348="transition",0,IF(U348="SW",AG348,IF(U348="AB",AH348,IF(U348="SC",AI348,IF(U348="Mag",AJ348,IF(U348="OR",AK348,IF(U348="HP",AL348,IF(U348="FP",AM348,0)))))))))</f>
        <v>0</v>
      </c>
      <c r="W348" s="27" t="n">
        <f aca="false">IF(U348="OR",Upgrades!$F$10,IF(U348="HP",Upgrades!$F$11,IF(U348="transition",-Parameters!$B$18,0)))</f>
        <v>0</v>
      </c>
      <c r="X348" s="21" t="n">
        <f aca="false">T348-V348</f>
        <v>18.6730249835055</v>
      </c>
      <c r="Y348" s="30" t="n">
        <f aca="false">M348*Parameters!$B$10/60*Parameters!$B$11+O348*M348+N348</f>
        <v>20.55</v>
      </c>
      <c r="Z348" s="35" t="str">
        <f aca="false">IF(U348="transition","→ Tier 2 (Stellar Neighborhood)",IF(U348="FP","First Photons — light begins, system quickens",IF(U348="HP","Heliopause acquired",IF(U348="OR","Orbital Resonance — passive multiplier active",IF(AND(AO348=1,L348=0,AN348&lt;&gt;1),"Cohesion ready (waiting on completionist upgrades)","")))))</f>
        <v/>
      </c>
      <c r="AA348" s="27" t="n">
        <f aca="false">(IF(E348=0,0,(Upgrades!$G$6+E348*Upgrades!$H$6)*POWER(Upgrades!$I$6,E348)))*(IF(Upgrades!$T$7="Solar Wind",POWER(Upgrades!$U$7,F348),1)*IF(Upgrades!$T$8="Solar Wind",POWER(Upgrades!$U$8,G348),1)*IF(Upgrades!$T$9="Solar Wind",POWER(Upgrades!$U$9,H348),1)*IF(Upgrades!$T$10="Solar Wind",POWER(Upgrades!$U$10,I348),1)*IF(Upgrades!$T$11="Solar Wind",POWER(Upgrades!$U$11,J348),1)*IF(Upgrades!$T$12="Solar Wind",POWER(Upgrades!$U$12,K348),1))*POWER(Upgrades!$P$6,E348)*POWER(Upgrades!$P$7,F348)*POWER(Upgrades!$P$8,G348)*POWER(Upgrades!$P$9,H348)*POWER(Upgrades!$P$10,I348)*POWER(Upgrades!$P$11,J348)*POWER(Upgrades!$P$12,K348)*60</f>
        <v>72</v>
      </c>
      <c r="AB348" s="27" t="n">
        <f aca="false">(IF(F348=0,0,(Upgrades!$G$7+F348*Upgrades!$H$7)*POWER(Upgrades!$I$7,F348)))*(IF(Upgrades!$T$6="Asteroid Belt",POWER(Upgrades!$U$6,E348),1)*IF(Upgrades!$T$8="Asteroid Belt",POWER(Upgrades!$U$8,G348),1)*IF(Upgrades!$T$9="Asteroid Belt",POWER(Upgrades!$U$9,H348),1)*IF(Upgrades!$T$10="Asteroid Belt",POWER(Upgrades!$U$10,I348),1)*IF(Upgrades!$T$11="Asteroid Belt",POWER(Upgrades!$U$11,J348),1)*IF(Upgrades!$T$12="Asteroid Belt",POWER(Upgrades!$U$12,K348),1))*POWER(Upgrades!$P$6,E348)*POWER(Upgrades!$P$7,F348)*POWER(Upgrades!$P$8,G348)*POWER(Upgrades!$P$9,H348)*POWER(Upgrades!$P$10,I348)*POWER(Upgrades!$P$11,J348)*POWER(Upgrades!$P$12,K348)*60</f>
        <v>150</v>
      </c>
      <c r="AC348" s="27" t="n">
        <f aca="false">(IF(G348=0,0,(Upgrades!$J$8+G348*Upgrades!$K$8)*POWER(Upgrades!$L$8,G348)))*(IF(Upgrades!$T$6="Stellar Coupling",POWER(Upgrades!$U$6,E348),1)*IF(Upgrades!$T$7="Stellar Coupling",POWER(Upgrades!$U$7,F348),1)*IF(Upgrades!$T$9="Stellar Coupling",POWER(Upgrades!$U$9,H348),1)*IF(Upgrades!$T$10="Stellar Coupling",POWER(Upgrades!$U$10,I348),1)*IF(Upgrades!$T$11="Stellar Coupling",POWER(Upgrades!$U$11,J348),1)*IF(Upgrades!$T$12="Stellar Coupling",POWER(Upgrades!$U$12,K348),1))*POWER(Upgrades!$Q$6,E348)*POWER(Upgrades!$Q$7,F348)*POWER(Upgrades!$Q$8,G348)*POWER(Upgrades!$Q$9,H348)*POWER(Upgrades!$Q$10,I348)*POWER(Upgrades!$Q$11,J348)*POWER(Upgrades!$Q$12,K348)*Parameters!$B$10*Parameters!$B$11</f>
        <v>441</v>
      </c>
      <c r="AD348" s="27" t="n">
        <f aca="false">(IF(H348=0,0,(Upgrades!$G$9+H348*Upgrades!$H$9)*POWER(Upgrades!$I$9,H348)))*(IF(Upgrades!$T$6="Magnetosphere",POWER(Upgrades!$U$6,E348),1)*IF(Upgrades!$T$7="Magnetosphere",POWER(Upgrades!$U$7,F348),1)*IF(Upgrades!$T$8="Magnetosphere",POWER(Upgrades!$U$8,G348),1)*IF(Upgrades!$T$10="Magnetosphere",POWER(Upgrades!$U$10,I348),1)*IF(Upgrades!$T$11="Magnetosphere",POWER(Upgrades!$U$11,J348),1)*IF(Upgrades!$T$12="Magnetosphere",POWER(Upgrades!$U$12,K348),1))*POWER(Upgrades!$P$6,E348)*POWER(Upgrades!$P$7,F348)*POWER(Upgrades!$P$8,G348)*POWER(Upgrades!$P$9,H348)*POWER(Upgrades!$P$10,I348)*POWER(Upgrades!$P$11,J348)*POWER(Upgrades!$P$12,K348)*60</f>
        <v>375</v>
      </c>
      <c r="AE348" s="27" t="n">
        <f aca="false">(IF(K348=0,0,(Upgrades!$G$12+K348*Upgrades!$H$12)*POWER(Upgrades!$I$12,K348)))*(IF(Upgrades!$T$6="First Photons",POWER(Upgrades!$U$6,E348),1)*IF(Upgrades!$T$7="First Photons",POWER(Upgrades!$U$7,F348),1)*IF(Upgrades!$T$8="First Photons",POWER(Upgrades!$U$8,G348),1)*IF(Upgrades!$T$9="First Photons",POWER(Upgrades!$U$9,H348),1)*IF(Upgrades!$T$10="First Photons",POWER(Upgrades!$U$10,I348),1)*IF(Upgrades!$T$11="First Photons",POWER(Upgrades!$U$11,J348),1))*POWER(Upgrades!$P$6,E348)*POWER(Upgrades!$P$7,F348)*POWER(Upgrades!$P$8,G348)*POWER(Upgrades!$P$9,H348)*POWER(Upgrades!$P$10,I348)*POWER(Upgrades!$P$11,J348)*POWER(Upgrades!$P$12,K348)*60</f>
        <v>75</v>
      </c>
      <c r="AF348" s="27" t="n">
        <f aca="false">Parameters!$B$9*POWER(Upgrades!$Q$6,E348)*POWER(Upgrades!$Q$7,F348)*POWER(Upgrades!$Q$8,G348)*POWER(Upgrades!$Q$9,H348)*POWER(Upgrades!$Q$10,I348)*POWER(Upgrades!$Q$11,J348)*POWER(Upgrades!$Q$12,K348)*(Parameters!$B$10*Parameters!$B$11+O348*60)</f>
        <v>120</v>
      </c>
      <c r="AG348" s="21" t="n">
        <f aca="false">IF(E348&gt;=Upgrades!$E$6,"",Upgrades!$C$6*POWER(Upgrades!$D$6,E348))</f>
        <v>37.4517507383159</v>
      </c>
      <c r="AH348" s="21" t="n">
        <f aca="false">IF(F348&gt;=Upgrades!$E$7,"",Upgrades!$C$7*POWER(Upgrades!$D$7,F348))</f>
        <v>80.9111547141581</v>
      </c>
      <c r="AI348" s="21" t="n">
        <f aca="false">IF(G348&gt;=Upgrades!$E$8,"",Upgrades!$C$8*POWER(Upgrades!$D$8,G348))</f>
        <v>231.9097088</v>
      </c>
      <c r="AJ348" s="21" t="str">
        <f aca="false">IF(H348&gt;=Upgrades!$E$9,"",Upgrades!$C$9*POWER(Upgrades!$D$9,H348))</f>
        <v/>
      </c>
      <c r="AK348" s="21" t="str">
        <f aca="false">IF(I348&gt;=Upgrades!$E$10,"",Upgrades!$C$10*POWER(Upgrades!$D$10,I348))</f>
        <v/>
      </c>
      <c r="AL348" s="21" t="str">
        <f aca="false">IF(J348&gt;=Upgrades!$E$11,"",Upgrades!$C$11*POWER(Upgrades!$D$11,J348))</f>
        <v/>
      </c>
      <c r="AM348" s="21" t="str">
        <f aca="false">IF(K348&gt;=Upgrades!$E$12,"",Upgrades!$C$12*POWER(Upgrades!$D$12,K348))</f>
        <v/>
      </c>
      <c r="AN348" s="26" t="str">
        <f aca="false">IF(AND(D348&gt;=Parameters!$B$18,(H348&gt;=Upgrades!$E$9)*(K348&gt;=Upgrades!$E$12)=1,L348=0),1,"")</f>
        <v/>
      </c>
      <c r="AO348" s="26" t="str">
        <f aca="false">IF(AND(D348&gt;=Parameters!$B$18,L348=0),1,"")</f>
        <v/>
      </c>
      <c r="AP348" s="21" t="n">
        <f aca="false">MIN(IF(ISNUMBER(AK348),AK348,9000000000000000),IF(ISNUMBER(AL348),AL348,9000000000000000),IF(ISNUMBER(AM348),AM348,9000000000000000))</f>
        <v>9000000000000000</v>
      </c>
      <c r="AQ348" s="21" t="n">
        <f aca="false">MIN(IF(ISNUMBER(AG348),AG348,9000000000000000),IF(ISNUMBER(AH348),AH348,9000000000000000),IF(ISNUMBER(AI348),AI348,9000000000000000),IF(ISNUMBER(AJ348),AJ348,9000000000000000))</f>
        <v>37.4517507383159</v>
      </c>
      <c r="AR348" s="32" t="b">
        <f aca="false">IF(AW348&gt;Parameters!$B$21*(MAX(IF(AND(NOT(AND(AO348=1,AN348&lt;&gt;1)),ISNUMBER(AG348),AG348&lt;=T348),AS348,0),IF(AND(NOT(AND(AO348=1,AN348&lt;&gt;1)),ISNUMBER(AH348),AH348&lt;=T348),AT348,0),IF(AND(NOT(AND(AO348=1,AN348&lt;&gt;1)),ISNUMBER(AI348),AI348&lt;=T348),AU348,0),IF(AND(ISNUMBER(AJ348),AJ348&lt;=T348),AV348,0))),TRUE(),FALSE())</f>
        <v>1</v>
      </c>
      <c r="AS348" s="33" t="n">
        <f aca="false">IFERROR(Upgrades!$H$6*(POWER(Upgrades!$P$6,E348)*POWER(Upgrades!$P$7,F348)*POWER(Upgrades!$P$8,G348)*POWER(Upgrades!$P$9,H348)*POWER(Upgrades!$P$10,I348)*POWER(Upgrades!$P$11,J348)*POWER(Upgrades!$P$12,K348))*(IF(Upgrades!$T$7="Solar Wind",POWER(Upgrades!$U$7,F348),1)*IF(Upgrades!$T$8="Solar Wind",POWER(Upgrades!$U$8,G348),1)*IF(Upgrades!$T$9="Solar Wind",POWER(Upgrades!$U$9,H348),1)*IF(Upgrades!$T$10="Solar Wind",POWER(Upgrades!$U$10,I348),1)*IF(Upgrades!$T$11="Solar Wind",POWER(Upgrades!$U$11,J348),1)*IF(Upgrades!$T$12="Solar Wind",POWER(Upgrades!$U$12,K348),1))/AG348,0)</f>
        <v>0.0026701021455238</v>
      </c>
      <c r="AT348" s="33" t="n">
        <f aca="false">IFERROR(Upgrades!$H$7*(POWER(Upgrades!$P$6,E348)*POWER(Upgrades!$P$7,F348)*POWER(Upgrades!$P$8,G348)*POWER(Upgrades!$P$9,H348)*POWER(Upgrades!$P$10,I348)*POWER(Upgrades!$P$11,J348)*POWER(Upgrades!$P$12,K348))*(IF(Upgrades!$T$6="Asteroid Belt",POWER(Upgrades!$U$6,E348),1)*IF(Upgrades!$T$8="Asteroid Belt",POWER(Upgrades!$U$8,G348),1)*IF(Upgrades!$T$9="Asteroid Belt",POWER(Upgrades!$U$9,H348),1)*IF(Upgrades!$T$10="Asteroid Belt",POWER(Upgrades!$U$10,I348),1)*IF(Upgrades!$T$11="Asteroid Belt",POWER(Upgrades!$U$11,J348),1)*IF(Upgrades!$T$12="Asteroid Belt",POWER(Upgrades!$U$12,K348),1))/AH348,0)</f>
        <v>0.00308980882652332</v>
      </c>
      <c r="AU348" s="33" t="n">
        <f aca="false">IFERROR(Upgrades!$K$8*(POWER(Upgrades!$Q$6,E348)*POWER(Upgrades!$Q$7,F348)*POWER(Upgrades!$Q$8,G348)*POWER(Upgrades!$Q$9,H348)*POWER(Upgrades!$Q$10,I348)*POWER(Upgrades!$Q$11,J348)*POWER(Upgrades!$Q$12,K348))*(IF(Upgrades!$T$6="Stellar Coupling",POWER(Upgrades!$U$6,E348),1)*IF(Upgrades!$T$7="Stellar Coupling",POWER(Upgrades!$U$7,F348),1)*IF(Upgrades!$T$9="Stellar Coupling",POWER(Upgrades!$U$9,H348),1)*IF(Upgrades!$T$10="Stellar Coupling",POWER(Upgrades!$U$10,I348),1)*IF(Upgrades!$T$11="Stellar Coupling",POWER(Upgrades!$U$11,J348),1)*IF(Upgrades!$T$12="Stellar Coupling",POWER(Upgrades!$U$12,K348),1))*Parameters!$B$10*Parameters!$B$11/60/AI348,0)</f>
        <v>0.00452762415783776</v>
      </c>
      <c r="AV348" s="33" t="n">
        <f aca="false">IFERROR(Upgrades!$H$9*(POWER(Upgrades!$P$6,E348)*POWER(Upgrades!$P$7,F348)*POWER(Upgrades!$P$8,G348)*POWER(Upgrades!$P$9,H348)*POWER(Upgrades!$P$10,I348)*POWER(Upgrades!$P$11,J348)*POWER(Upgrades!$P$12,K348))*(IF(Upgrades!$T$6="Magnetosphere",POWER(Upgrades!$U$6,E348),1)*IF(Upgrades!$T$7="Magnetosphere",POWER(Upgrades!$U$7,F348),1)*IF(Upgrades!$T$8="Magnetosphere",POWER(Upgrades!$U$8,G348),1)*IF(Upgrades!$T$10="Magnetosphere",POWER(Upgrades!$U$10,I348),1)*IF(Upgrades!$T$11="Magnetosphere",POWER(Upgrades!$U$11,J348),1)*IF(Upgrades!$T$12="Magnetosphere",POWER(Upgrades!$U$12,K348),1))/AJ348,0)</f>
        <v>0</v>
      </c>
      <c r="AW348" s="33" t="n">
        <f aca="false">MAX(IF(I348&gt;0,0,IFERROR(0.25*N348/Upgrades!$C$10,0)),IF(J348&gt;0,0,IFERROR(0.5*((IF(G348=0,0,(Upgrades!$J$8+G348*Upgrades!$K$8)*POWER(Upgrades!$L$8,G348)))*(IF(Upgrades!$T$6="Stellar Coupling",POWER(Upgrades!$U$6,E348),1)*IF(Upgrades!$T$7="Stellar Coupling",POWER(Upgrades!$U$7,F348),1)*IF(Upgrades!$T$9="Stellar Coupling",POWER(Upgrades!$U$9,H348),1)*IF(Upgrades!$T$10="Stellar Coupling",POWER(Upgrades!$U$10,I348),1)*IF(Upgrades!$T$11="Stellar Coupling",POWER(Upgrades!$U$11,J348),1)*IF(Upgrades!$T$12="Stellar Coupling",POWER(Upgrades!$U$12,K348),1))*(POWER(Upgrades!$Q$6,E348)*POWER(Upgrades!$Q$7,F348)*POWER(Upgrades!$Q$8,G348)*POWER(Upgrades!$Q$9,H348)*POWER(Upgrades!$Q$10,I348)*POWER(Upgrades!$Q$11,J348)*POWER(Upgrades!$Q$12,K348))*Parameters!$B$10*Parameters!$B$11/60)/Upgrades!$C$11,0)),IF(K348&gt;0,0,IFERROR((1*(POWER(Upgrades!$P$6,E348)*POWER(Upgrades!$P$7,F348)*POWER(Upgrades!$P$8,G348)*POWER(Upgrades!$P$9,H348)*POWER(Upgrades!$P$10,I348)*POWER(Upgrades!$P$11,J348)*POWER(Upgrades!$P$12,K348))+0.2*M348*Parameters!$B$10*Parameters!$B$11/60)/Upgrades!$C$12,0)),IF(AND(ISNUMBER(AG348),AG348&gt;T348),AS348,0),IF(AND(ISNUMBER(AH348),AH348&gt;T348),AT348,0),IF(AND(ISNUMBER(AI348),AI348&gt;T348),AU348,0),IF(AND(ISNUMBER(AJ348),AJ348&gt;T348),AV348,0))</f>
        <v>0.00452762415783776</v>
      </c>
      <c r="AX348" s="29" t="str">
        <f aca="false">IF(AN348=1,"transition",IF(MIN(IF(AND(I348=0,ISNUMBER(AK348),AK348&lt;=T348),AK348,9000000000000000),IF(AND(J348=0,ISNUMBER(AL348),AL348&lt;=T348),AL348,9000000000000000),IF(AND(K348=0,ISNUMBER(AM348),AM348&lt;=T348),AM348,9000000000000000))&lt;9000000000000000,IF(AND(AND(I348=0,ISNUMBER(AK348),AK348&lt;=T348),AK348=MIN(IF(AND(I348=0,ISNUMBER(AK348),AK348&lt;=T348),AK348,9000000000000000),IF(AND(J348=0,ISNUMBER(AL348),AL348&lt;=T348),AL348,9000000000000000),IF(AND(K348=0,ISNUMBER(AM348),AM348&lt;=T348),AM348,9000000000000000))),"OR",IF(AND(AND(J348=0,ISNUMBER(AL348),AL348&lt;=T348),AL348=MIN(IF(AND(I348=0,ISNUMBER(AK348),AK348&lt;=T348),AK348,9000000000000000),IF(AND(J348=0,ISNUMBER(AL348),AL348&lt;=T348),AL348,9000000000000000),IF(AND(K348=0,ISNUMBER(AM348),AM348&lt;=T348),AM348,9000000000000000))),"HP","FP")),IF(AR348=TRUE(),"",IF(MAX(IF(AND(NOT(AND(AO348=1,AN348&lt;&gt;1)),ISNUMBER(AG348),AG348&lt;=T348),AS348,0),IF(AND(NOT(AND(AO348=1,AN348&lt;&gt;1)),ISNUMBER(AH348),AH348&lt;=T348),AT348,0),IF(AND(NOT(AND(AO348=1,AN348&lt;&gt;1)),ISNUMBER(AI348),AI348&lt;=T348),AU348,0),IF(AND(ISNUMBER(AJ348),AJ348&lt;=T348),AV348,0))&lt;=0,"",IF(AND(IF(AND(NOT(AND(AO348=1,AN348&lt;&gt;1)),ISNUMBER(AG348),AG348&lt;=T348),AS348,0)&gt;0,IF(AND(NOT(AND(AO348=1,AN348&lt;&gt;1)),ISNUMBER(AG348),AG348&lt;=T348),AS348,0)=MAX(IF(AND(NOT(AND(AO348=1,AN348&lt;&gt;1)),ISNUMBER(AG348),AG348&lt;=T348),AS348,0),IF(AND(NOT(AND(AO348=1,AN348&lt;&gt;1)),ISNUMBER(AH348),AH348&lt;=T348),AT348,0),IF(AND(NOT(AND(AO348=1,AN348&lt;&gt;1)),ISNUMBER(AI348),AI348&lt;=T348),AU348,0),IF(AND(ISNUMBER(AJ348),AJ348&lt;=T348),AV348,0))),"SW",IF(AND(IF(AND(NOT(AND(AO348=1,AN348&lt;&gt;1)),ISNUMBER(AH348),AH348&lt;=T348),AT348,0)&gt;0,IF(AND(NOT(AND(AO348=1,AN348&lt;&gt;1)),ISNUMBER(AH348),AH348&lt;=T348),AT348,0)=MAX(IF(AND(NOT(AND(AO348=1,AN348&lt;&gt;1)),ISNUMBER(AG348),AG348&lt;=T348),AS348,0),IF(AND(NOT(AND(AO348=1,AN348&lt;&gt;1)),ISNUMBER(AH348),AH348&lt;=T348),AT348,0),IF(AND(NOT(AND(AO348=1,AN348&lt;&gt;1)),ISNUMBER(AI348),AI348&lt;=T348),AU348,0),IF(AND(ISNUMBER(AJ348),AJ348&lt;=T348),AV348,0))),"AB",IF(AND(IF(AND(NOT(AND(AO348=1,AN348&lt;&gt;1)),ISNUMBER(AI348),AI348&lt;=T348),AU348,0)&gt;0,IF(AND(NOT(AND(AO348=1,AN348&lt;&gt;1)),ISNUMBER(AI348),AI348&lt;=T348),AU348,0)=MAX(IF(AND(NOT(AND(AO348=1,AN348&lt;&gt;1)),ISNUMBER(AG348),AG348&lt;=T348),AS348,0),IF(AND(NOT(AND(AO348=1,AN348&lt;&gt;1)),ISNUMBER(AH348),AH348&lt;=T348),AT348,0),IF(AND(NOT(AND(AO348=1,AN348&lt;&gt;1)),ISNUMBER(AI348),AI348&lt;=T348),AU348,0),IF(AND(ISNUMBER(AJ348),AJ348&lt;=T348),AV348,0))),"SC","Mag")))))))</f>
        <v/>
      </c>
    </row>
    <row r="349" customFormat="false" ht="15" hidden="false" customHeight="false" outlineLevel="0" collapsed="false">
      <c r="A349" s="26" t="n">
        <v>344</v>
      </c>
      <c r="B349" s="27" t="n">
        <f aca="false">A349*10/60</f>
        <v>57.3333333333333</v>
      </c>
      <c r="C349" s="21" t="n">
        <f aca="false">X348</f>
        <v>18.6730249835055</v>
      </c>
      <c r="D349" s="27" t="n">
        <f aca="false">D348+W348</f>
        <v>0</v>
      </c>
      <c r="E349" s="26" t="n">
        <f aca="false">E348+IF(U348="SW",1,0)</f>
        <v>12</v>
      </c>
      <c r="F349" s="26" t="n">
        <f aca="false">F348+IF(U348="AB",1,0)</f>
        <v>10</v>
      </c>
      <c r="G349" s="26" t="n">
        <f aca="false">G348+IF(U348="SC",1,0)</f>
        <v>7</v>
      </c>
      <c r="H349" s="26" t="n">
        <f aca="false">H348+IF(U348="Mag",1,0)</f>
        <v>5</v>
      </c>
      <c r="I349" s="26" t="n">
        <f aca="false">MAX(I348,IF(U348="OR",1,0))</f>
        <v>1</v>
      </c>
      <c r="J349" s="26" t="n">
        <f aca="false">MAX(J348,IF(U348="HP",1,0))</f>
        <v>1</v>
      </c>
      <c r="K349" s="26" t="n">
        <f aca="false">MAX(K348,IF(U348="FP",1,0))</f>
        <v>1</v>
      </c>
      <c r="L349" s="26" t="n">
        <f aca="false">MAX(L348,IF(U348="transition",1,0))</f>
        <v>1</v>
      </c>
      <c r="M349" s="28" t="n">
        <f aca="false">(Parameters!$B$9+(IF(E349=0,0,(Upgrades!$J$6+E349*Upgrades!$K$6)*POWER(Upgrades!$L$6,E349)))*(IF(Upgrades!$T$7="Solar Wind",POWER(Upgrades!$U$7,F349),1)*IF(Upgrades!$T$8="Solar Wind",POWER(Upgrades!$U$8,G349),1)*IF(Upgrades!$T$9="Solar Wind",POWER(Upgrades!$U$9,H349),1)*IF(Upgrades!$T$10="Solar Wind",POWER(Upgrades!$U$10,I349),1)*IF(Upgrades!$T$11="Solar Wind",POWER(Upgrades!$U$11,J349),1)*IF(Upgrades!$T$12="Solar Wind",POWER(Upgrades!$U$12,K349),1))+(IF(F349=0,0,(Upgrades!$J$7+F349*Upgrades!$K$7)*POWER(Upgrades!$L$7,F349)))*(IF(Upgrades!$T$6="Asteroid Belt",POWER(Upgrades!$U$6,E349),1)*IF(Upgrades!$T$8="Asteroid Belt",POWER(Upgrades!$U$8,G349),1)*IF(Upgrades!$T$9="Asteroid Belt",POWER(Upgrades!$U$9,H349),1)*IF(Upgrades!$T$10="Asteroid Belt",POWER(Upgrades!$U$10,I349),1)*IF(Upgrades!$T$11="Asteroid Belt",POWER(Upgrades!$U$11,J349),1)*IF(Upgrades!$T$12="Asteroid Belt",POWER(Upgrades!$U$12,K349),1))+(IF(G349=0,0,(Upgrades!$J$8+G349*Upgrades!$K$8)*POWER(Upgrades!$L$8,G349)))*(IF(Upgrades!$T$6="Stellar Coupling",POWER(Upgrades!$U$6,E349),1)*IF(Upgrades!$T$7="Stellar Coupling",POWER(Upgrades!$U$7,F349),1)*IF(Upgrades!$T$9="Stellar Coupling",POWER(Upgrades!$U$9,H349),1)*IF(Upgrades!$T$10="Stellar Coupling",POWER(Upgrades!$U$10,I349),1)*IF(Upgrades!$T$11="Stellar Coupling",POWER(Upgrades!$U$11,J349),1)*IF(Upgrades!$T$12="Stellar Coupling",POWER(Upgrades!$U$12,K349),1))+(IF(H349=0,0,(Upgrades!$J$9+H349*Upgrades!$K$9)*POWER(Upgrades!$L$9,H349)))*(IF(Upgrades!$T$6="Magnetosphere",POWER(Upgrades!$U$6,E349),1)*IF(Upgrades!$T$7="Magnetosphere",POWER(Upgrades!$U$7,F349),1)*IF(Upgrades!$T$8="Magnetosphere",POWER(Upgrades!$U$8,G349),1)*IF(Upgrades!$T$10="Magnetosphere",POWER(Upgrades!$U$10,I349),1)*IF(Upgrades!$T$11="Magnetosphere",POWER(Upgrades!$U$11,J349),1)*IF(Upgrades!$T$12="Magnetosphere",POWER(Upgrades!$U$12,K349),1))+(IF(I349=0,0,(Upgrades!$J$10+I349*Upgrades!$K$10)*POWER(Upgrades!$L$10,I349)))*(IF(Upgrades!$T$6="Orbital Resonance",POWER(Upgrades!$U$6,E349),1)*IF(Upgrades!$T$7="Orbital Resonance",POWER(Upgrades!$U$7,F349),1)*IF(Upgrades!$T$8="Orbital Resonance",POWER(Upgrades!$U$8,G349),1)*IF(Upgrades!$T$9="Orbital Resonance",POWER(Upgrades!$U$9,H349),1)*IF(Upgrades!$T$11="Orbital Resonance",POWER(Upgrades!$U$11,J349),1)*IF(Upgrades!$T$12="Orbital Resonance",POWER(Upgrades!$U$12,K349),1))+(IF(J349=0,0,(Upgrades!$J$11+J349*Upgrades!$K$11)*POWER(Upgrades!$L$11,J349)))*(IF(Upgrades!$T$6="Heliopause",POWER(Upgrades!$U$6,E349),1)*IF(Upgrades!$T$7="Heliopause",POWER(Upgrades!$U$7,F349),1)*IF(Upgrades!$T$8="Heliopause",POWER(Upgrades!$U$8,G349),1)*IF(Upgrades!$T$9="Heliopause",POWER(Upgrades!$U$9,H349),1)*IF(Upgrades!$T$10="Heliopause",POWER(Upgrades!$U$10,I349),1)*IF(Upgrades!$T$12="Heliopause",POWER(Upgrades!$U$12,K349),1))+(IF(K349=0,0,(Upgrades!$J$12+K349*Upgrades!$K$12)*POWER(Upgrades!$L$12,K349)))*(IF(Upgrades!$T$6="First Photons",POWER(Upgrades!$U$6,E349),1)*IF(Upgrades!$T$7="First Photons",POWER(Upgrades!$U$7,F349),1)*IF(Upgrades!$T$8="First Photons",POWER(Upgrades!$U$8,G349),1)*IF(Upgrades!$T$9="First Photons",POWER(Upgrades!$U$9,H349),1)*IF(Upgrades!$T$10="First Photons",POWER(Upgrades!$U$10,I349),1)*IF(Upgrades!$T$11="First Photons",POWER(Upgrades!$U$11,J349),1)))*POWER(Upgrades!$Q$6,E349)*POWER(Upgrades!$Q$7,F349)*POWER(Upgrades!$Q$8,G349)*POWER(Upgrades!$Q$9,H349)*POWER(Upgrades!$Q$10,I349)*POWER(Upgrades!$Q$11,J349)*POWER(Upgrades!$Q$12,K349)</f>
        <v>5.61</v>
      </c>
      <c r="N349" s="28" t="n">
        <f aca="false">((IF(E349=0,0,(Upgrades!$G$6+E349*Upgrades!$H$6)*POWER(Upgrades!$I$6,E349)))*(IF(Upgrades!$T$7="Solar Wind",POWER(Upgrades!$U$7,F349),1)*IF(Upgrades!$T$8="Solar Wind",POWER(Upgrades!$U$8,G349),1)*IF(Upgrades!$T$9="Solar Wind",POWER(Upgrades!$U$9,H349),1)*IF(Upgrades!$T$10="Solar Wind",POWER(Upgrades!$U$10,I349),1)*IF(Upgrades!$T$11="Solar Wind",POWER(Upgrades!$U$11,J349),1)*IF(Upgrades!$T$12="Solar Wind",POWER(Upgrades!$U$12,K349),1))+(IF(F349=0,0,(Upgrades!$G$7+F349*Upgrades!$H$7)*POWER(Upgrades!$I$7,F349)))*(IF(Upgrades!$T$6="Asteroid Belt",POWER(Upgrades!$U$6,E349),1)*IF(Upgrades!$T$8="Asteroid Belt",POWER(Upgrades!$U$8,G349),1)*IF(Upgrades!$T$9="Asteroid Belt",POWER(Upgrades!$U$9,H349),1)*IF(Upgrades!$T$10="Asteroid Belt",POWER(Upgrades!$U$10,I349),1)*IF(Upgrades!$T$11="Asteroid Belt",POWER(Upgrades!$U$11,J349),1)*IF(Upgrades!$T$12="Asteroid Belt",POWER(Upgrades!$U$12,K349),1))+(IF(G349=0,0,(Upgrades!$G$8+G349*Upgrades!$H$8)*POWER(Upgrades!$I$8,G349)))*(IF(Upgrades!$T$6="Stellar Coupling",POWER(Upgrades!$U$6,E349),1)*IF(Upgrades!$T$7="Stellar Coupling",POWER(Upgrades!$U$7,F349),1)*IF(Upgrades!$T$9="Stellar Coupling",POWER(Upgrades!$U$9,H349),1)*IF(Upgrades!$T$10="Stellar Coupling",POWER(Upgrades!$U$10,I349),1)*IF(Upgrades!$T$11="Stellar Coupling",POWER(Upgrades!$U$11,J349),1)*IF(Upgrades!$T$12="Stellar Coupling",POWER(Upgrades!$U$12,K349),1))+(IF(H349=0,0,(Upgrades!$G$9+H349*Upgrades!$H$9)*POWER(Upgrades!$I$9,H349)))*(IF(Upgrades!$T$6="Magnetosphere",POWER(Upgrades!$U$6,E349),1)*IF(Upgrades!$T$7="Magnetosphere",POWER(Upgrades!$U$7,F349),1)*IF(Upgrades!$T$8="Magnetosphere",POWER(Upgrades!$U$8,G349),1)*IF(Upgrades!$T$10="Magnetosphere",POWER(Upgrades!$U$10,I349),1)*IF(Upgrades!$T$11="Magnetosphere",POWER(Upgrades!$U$11,J349),1)*IF(Upgrades!$T$12="Magnetosphere",POWER(Upgrades!$U$12,K349),1))+(IF(I349=0,0,(Upgrades!$G$10+I349*Upgrades!$H$10)*POWER(Upgrades!$I$10,I349)))*(IF(Upgrades!$T$6="Orbital Resonance",POWER(Upgrades!$U$6,E349),1)*IF(Upgrades!$T$7="Orbital Resonance",POWER(Upgrades!$U$7,F349),1)*IF(Upgrades!$T$8="Orbital Resonance",POWER(Upgrades!$U$8,G349),1)*IF(Upgrades!$T$9="Orbital Resonance",POWER(Upgrades!$U$9,H349),1)*IF(Upgrades!$T$11="Orbital Resonance",POWER(Upgrades!$U$11,J349),1)*IF(Upgrades!$T$12="Orbital Resonance",POWER(Upgrades!$U$12,K349),1))+(IF(J349=0,0,(Upgrades!$G$11+J349*Upgrades!$H$11)*POWER(Upgrades!$I$11,J349)))*(IF(Upgrades!$T$6="Heliopause",POWER(Upgrades!$U$6,E349),1)*IF(Upgrades!$T$7="Heliopause",POWER(Upgrades!$U$7,F349),1)*IF(Upgrades!$T$8="Heliopause",POWER(Upgrades!$U$8,G349),1)*IF(Upgrades!$T$9="Heliopause",POWER(Upgrades!$U$9,H349),1)*IF(Upgrades!$T$10="Heliopause",POWER(Upgrades!$U$10,I349),1)*IF(Upgrades!$T$12="Heliopause",POWER(Upgrades!$U$12,K349),1))+(IF(K349=0,0,(Upgrades!$G$12+K349*Upgrades!$H$12)*POWER(Upgrades!$I$12,K349)))*(IF(Upgrades!$T$6="First Photons",POWER(Upgrades!$U$6,E349),1)*IF(Upgrades!$T$7="First Photons",POWER(Upgrades!$U$7,F349),1)*IF(Upgrades!$T$8="First Photons",POWER(Upgrades!$U$8,G349),1)*IF(Upgrades!$T$9="First Photons",POWER(Upgrades!$U$9,H349),1)*IF(Upgrades!$T$10="First Photons",POWER(Upgrades!$U$10,I349),1)*IF(Upgrades!$T$11="First Photons",POWER(Upgrades!$U$11,J349),1)))*POWER(Upgrades!$P$6,E349)*POWER(Upgrades!$P$7,F349)*POWER(Upgrades!$P$8,G349)*POWER(Upgrades!$P$9,H349)*POWER(Upgrades!$P$10,I349)*POWER(Upgrades!$P$11,J349)*POWER(Upgrades!$P$12,K349)</f>
        <v>11.2</v>
      </c>
      <c r="O349" s="28" t="n">
        <f aca="false">((IF(E349=0,0,(Upgrades!$M$6+E349*Upgrades!$N$6)*POWER(Upgrades!$O$6,E349)))*(IF(Upgrades!$T$7="Solar Wind",POWER(Upgrades!$U$7,F349),1)*IF(Upgrades!$T$8="Solar Wind",POWER(Upgrades!$U$8,G349),1)*IF(Upgrades!$T$9="Solar Wind",POWER(Upgrades!$U$9,H349),1)*IF(Upgrades!$T$10="Solar Wind",POWER(Upgrades!$U$10,I349),1)*IF(Upgrades!$T$11="Solar Wind",POWER(Upgrades!$U$11,J349),1)*IF(Upgrades!$T$12="Solar Wind",POWER(Upgrades!$U$12,K349),1))+(IF(F349=0,0,(Upgrades!$M$7+F349*Upgrades!$N$7)*POWER(Upgrades!$O$7,F349)))*(IF(Upgrades!$T$6="Asteroid Belt",POWER(Upgrades!$U$6,E349),1)*IF(Upgrades!$T$8="Asteroid Belt",POWER(Upgrades!$U$8,G349),1)*IF(Upgrades!$T$9="Asteroid Belt",POWER(Upgrades!$U$9,H349),1)*IF(Upgrades!$T$10="Asteroid Belt",POWER(Upgrades!$U$10,I349),1)*IF(Upgrades!$T$11="Asteroid Belt",POWER(Upgrades!$U$11,J349),1)*IF(Upgrades!$T$12="Asteroid Belt",POWER(Upgrades!$U$12,K349),1))+(IF(G349=0,0,(Upgrades!$M$8+G349*Upgrades!$N$8)*POWER(Upgrades!$O$8,G349)))*(IF(Upgrades!$T$6="Stellar Coupling",POWER(Upgrades!$U$6,E349),1)*IF(Upgrades!$T$7="Stellar Coupling",POWER(Upgrades!$U$7,F349),1)*IF(Upgrades!$T$9="Stellar Coupling",POWER(Upgrades!$U$9,H349),1)*IF(Upgrades!$T$10="Stellar Coupling",POWER(Upgrades!$U$10,I349),1)*IF(Upgrades!$T$11="Stellar Coupling",POWER(Upgrades!$U$11,J349),1)*IF(Upgrades!$T$12="Stellar Coupling",POWER(Upgrades!$U$12,K349),1))+(IF(H349=0,0,(Upgrades!$M$9+H349*Upgrades!$N$9)*POWER(Upgrades!$O$9,H349)))*(IF(Upgrades!$T$6="Magnetosphere",POWER(Upgrades!$U$6,E349),1)*IF(Upgrades!$T$7="Magnetosphere",POWER(Upgrades!$U$7,F349),1)*IF(Upgrades!$T$8="Magnetosphere",POWER(Upgrades!$U$8,G349),1)*IF(Upgrades!$T$10="Magnetosphere",POWER(Upgrades!$U$10,I349),1)*IF(Upgrades!$T$11="Magnetosphere",POWER(Upgrades!$U$11,J349),1)*IF(Upgrades!$T$12="Magnetosphere",POWER(Upgrades!$U$12,K349),1))+(IF(I349=0,0,(Upgrades!$M$10+I349*Upgrades!$N$10)*POWER(Upgrades!$O$10,I349)))*(IF(Upgrades!$T$6="Orbital Resonance",POWER(Upgrades!$U$6,E349),1)*IF(Upgrades!$T$7="Orbital Resonance",POWER(Upgrades!$U$7,F349),1)*IF(Upgrades!$T$8="Orbital Resonance",POWER(Upgrades!$U$8,G349),1)*IF(Upgrades!$T$9="Orbital Resonance",POWER(Upgrades!$U$9,H349),1)*IF(Upgrades!$T$11="Orbital Resonance",POWER(Upgrades!$U$11,J349),1)*IF(Upgrades!$T$12="Orbital Resonance",POWER(Upgrades!$U$12,K349),1))+(IF(J349=0,0,(Upgrades!$M$11+J349*Upgrades!$N$11)*POWER(Upgrades!$O$11,J349)))*(IF(Upgrades!$T$6="Heliopause",POWER(Upgrades!$U$6,E349),1)*IF(Upgrades!$T$7="Heliopause",POWER(Upgrades!$U$7,F349),1)*IF(Upgrades!$T$8="Heliopause",POWER(Upgrades!$U$8,G349),1)*IF(Upgrades!$T$9="Heliopause",POWER(Upgrades!$U$9,H349),1)*IF(Upgrades!$T$10="Heliopause",POWER(Upgrades!$U$10,I349),1)*IF(Upgrades!$T$12="Heliopause",POWER(Upgrades!$U$12,K349),1))+(IF(K349=0,0,(Upgrades!$M$12+K349*Upgrades!$N$12)*POWER(Upgrades!$O$12,K349)))*(IF(Upgrades!$T$6="First Photons",POWER(Upgrades!$U$6,E349),1)*IF(Upgrades!$T$7="First Photons",POWER(Upgrades!$U$7,F349),1)*IF(Upgrades!$T$8="First Photons",POWER(Upgrades!$U$8,G349),1)*IF(Upgrades!$T$9="First Photons",POWER(Upgrades!$U$9,H349),1)*IF(Upgrades!$T$10="First Photons",POWER(Upgrades!$U$10,I349),1)*IF(Upgrades!$T$11="First Photons",POWER(Upgrades!$U$11,J349),1)))*POWER(Upgrades!$R$6,E349)*POWER(Upgrades!$R$7,F349)*POWER(Upgrades!$R$8,G349)*POWER(Upgrades!$R$9,H349)*POWER(Upgrades!$R$10,I349)*POWER(Upgrades!$R$11,J349)*POWER(Upgrades!$R$12,K349)</f>
        <v>0</v>
      </c>
      <c r="P349" s="27" t="n">
        <f aca="false">IF(L349=1,0,M349*Parameters!$B$10/60*Parameters!$B$11*10)</f>
        <v>0</v>
      </c>
      <c r="Q349" s="27" t="n">
        <f aca="false">IF(L349=1,0,O349*M349*10)</f>
        <v>0</v>
      </c>
      <c r="R349" s="27" t="n">
        <f aca="false">IF(L349=1,0,N349*10)</f>
        <v>0</v>
      </c>
      <c r="S349" s="27" t="n">
        <f aca="false">P349+Q349+R349</f>
        <v>0</v>
      </c>
      <c r="T349" s="21" t="n">
        <f aca="false">C349+S349</f>
        <v>18.6730249835055</v>
      </c>
      <c r="U349" s="34" t="str">
        <f aca="false">AX349</f>
        <v/>
      </c>
      <c r="V349" s="21" t="n">
        <f aca="false">IF(U349="",0,IF(U349="transition",0,IF(U349="SW",AG349,IF(U349="AB",AH349,IF(U349="SC",AI349,IF(U349="Mag",AJ349,IF(U349="OR",AK349,IF(U349="HP",AL349,IF(U349="FP",AM349,0)))))))))</f>
        <v>0</v>
      </c>
      <c r="W349" s="27" t="n">
        <f aca="false">IF(U349="OR",Upgrades!$F$10,IF(U349="HP",Upgrades!$F$11,IF(U349="transition",-Parameters!$B$18,0)))</f>
        <v>0</v>
      </c>
      <c r="X349" s="21" t="n">
        <f aca="false">T349-V349</f>
        <v>18.6730249835055</v>
      </c>
      <c r="Y349" s="30" t="n">
        <f aca="false">M349*Parameters!$B$10/60*Parameters!$B$11+O349*M349+N349</f>
        <v>20.55</v>
      </c>
      <c r="Z349" s="35" t="str">
        <f aca="false">IF(U349="transition","→ Tier 2 (Stellar Neighborhood)",IF(U349="FP","First Photons — light begins, system quickens",IF(U349="HP","Heliopause acquired",IF(U349="OR","Orbital Resonance — passive multiplier active",IF(AND(AO349=1,L349=0,AN349&lt;&gt;1),"Cohesion ready (waiting on completionist upgrades)","")))))</f>
        <v/>
      </c>
      <c r="AA349" s="27" t="n">
        <f aca="false">(IF(E349=0,0,(Upgrades!$G$6+E349*Upgrades!$H$6)*POWER(Upgrades!$I$6,E349)))*(IF(Upgrades!$T$7="Solar Wind",POWER(Upgrades!$U$7,F349),1)*IF(Upgrades!$T$8="Solar Wind",POWER(Upgrades!$U$8,G349),1)*IF(Upgrades!$T$9="Solar Wind",POWER(Upgrades!$U$9,H349),1)*IF(Upgrades!$T$10="Solar Wind",POWER(Upgrades!$U$10,I349),1)*IF(Upgrades!$T$11="Solar Wind",POWER(Upgrades!$U$11,J349),1)*IF(Upgrades!$T$12="Solar Wind",POWER(Upgrades!$U$12,K349),1))*POWER(Upgrades!$P$6,E349)*POWER(Upgrades!$P$7,F349)*POWER(Upgrades!$P$8,G349)*POWER(Upgrades!$P$9,H349)*POWER(Upgrades!$P$10,I349)*POWER(Upgrades!$P$11,J349)*POWER(Upgrades!$P$12,K349)*60</f>
        <v>72</v>
      </c>
      <c r="AB349" s="27" t="n">
        <f aca="false">(IF(F349=0,0,(Upgrades!$G$7+F349*Upgrades!$H$7)*POWER(Upgrades!$I$7,F349)))*(IF(Upgrades!$T$6="Asteroid Belt",POWER(Upgrades!$U$6,E349),1)*IF(Upgrades!$T$8="Asteroid Belt",POWER(Upgrades!$U$8,G349),1)*IF(Upgrades!$T$9="Asteroid Belt",POWER(Upgrades!$U$9,H349),1)*IF(Upgrades!$T$10="Asteroid Belt",POWER(Upgrades!$U$10,I349),1)*IF(Upgrades!$T$11="Asteroid Belt",POWER(Upgrades!$U$11,J349),1)*IF(Upgrades!$T$12="Asteroid Belt",POWER(Upgrades!$U$12,K349),1))*POWER(Upgrades!$P$6,E349)*POWER(Upgrades!$P$7,F349)*POWER(Upgrades!$P$8,G349)*POWER(Upgrades!$P$9,H349)*POWER(Upgrades!$P$10,I349)*POWER(Upgrades!$P$11,J349)*POWER(Upgrades!$P$12,K349)*60</f>
        <v>150</v>
      </c>
      <c r="AC349" s="27" t="n">
        <f aca="false">(IF(G349=0,0,(Upgrades!$J$8+G349*Upgrades!$K$8)*POWER(Upgrades!$L$8,G349)))*(IF(Upgrades!$T$6="Stellar Coupling",POWER(Upgrades!$U$6,E349),1)*IF(Upgrades!$T$7="Stellar Coupling",POWER(Upgrades!$U$7,F349),1)*IF(Upgrades!$T$9="Stellar Coupling",POWER(Upgrades!$U$9,H349),1)*IF(Upgrades!$T$10="Stellar Coupling",POWER(Upgrades!$U$10,I349),1)*IF(Upgrades!$T$11="Stellar Coupling",POWER(Upgrades!$U$11,J349),1)*IF(Upgrades!$T$12="Stellar Coupling",POWER(Upgrades!$U$12,K349),1))*POWER(Upgrades!$Q$6,E349)*POWER(Upgrades!$Q$7,F349)*POWER(Upgrades!$Q$8,G349)*POWER(Upgrades!$Q$9,H349)*POWER(Upgrades!$Q$10,I349)*POWER(Upgrades!$Q$11,J349)*POWER(Upgrades!$Q$12,K349)*Parameters!$B$10*Parameters!$B$11</f>
        <v>441</v>
      </c>
      <c r="AD349" s="27" t="n">
        <f aca="false">(IF(H349=0,0,(Upgrades!$G$9+H349*Upgrades!$H$9)*POWER(Upgrades!$I$9,H349)))*(IF(Upgrades!$T$6="Magnetosphere",POWER(Upgrades!$U$6,E349),1)*IF(Upgrades!$T$7="Magnetosphere",POWER(Upgrades!$U$7,F349),1)*IF(Upgrades!$T$8="Magnetosphere",POWER(Upgrades!$U$8,G349),1)*IF(Upgrades!$T$10="Magnetosphere",POWER(Upgrades!$U$10,I349),1)*IF(Upgrades!$T$11="Magnetosphere",POWER(Upgrades!$U$11,J349),1)*IF(Upgrades!$T$12="Magnetosphere",POWER(Upgrades!$U$12,K349),1))*POWER(Upgrades!$P$6,E349)*POWER(Upgrades!$P$7,F349)*POWER(Upgrades!$P$8,G349)*POWER(Upgrades!$P$9,H349)*POWER(Upgrades!$P$10,I349)*POWER(Upgrades!$P$11,J349)*POWER(Upgrades!$P$12,K349)*60</f>
        <v>375</v>
      </c>
      <c r="AE349" s="27" t="n">
        <f aca="false">(IF(K349=0,0,(Upgrades!$G$12+K349*Upgrades!$H$12)*POWER(Upgrades!$I$12,K349)))*(IF(Upgrades!$T$6="First Photons",POWER(Upgrades!$U$6,E349),1)*IF(Upgrades!$T$7="First Photons",POWER(Upgrades!$U$7,F349),1)*IF(Upgrades!$T$8="First Photons",POWER(Upgrades!$U$8,G349),1)*IF(Upgrades!$T$9="First Photons",POWER(Upgrades!$U$9,H349),1)*IF(Upgrades!$T$10="First Photons",POWER(Upgrades!$U$10,I349),1)*IF(Upgrades!$T$11="First Photons",POWER(Upgrades!$U$11,J349),1))*POWER(Upgrades!$P$6,E349)*POWER(Upgrades!$P$7,F349)*POWER(Upgrades!$P$8,G349)*POWER(Upgrades!$P$9,H349)*POWER(Upgrades!$P$10,I349)*POWER(Upgrades!$P$11,J349)*POWER(Upgrades!$P$12,K349)*60</f>
        <v>75</v>
      </c>
      <c r="AF349" s="27" t="n">
        <f aca="false">Parameters!$B$9*POWER(Upgrades!$Q$6,E349)*POWER(Upgrades!$Q$7,F349)*POWER(Upgrades!$Q$8,G349)*POWER(Upgrades!$Q$9,H349)*POWER(Upgrades!$Q$10,I349)*POWER(Upgrades!$Q$11,J349)*POWER(Upgrades!$Q$12,K349)*(Parameters!$B$10*Parameters!$B$11+O349*60)</f>
        <v>120</v>
      </c>
      <c r="AG349" s="21" t="n">
        <f aca="false">IF(E349&gt;=Upgrades!$E$6,"",Upgrades!$C$6*POWER(Upgrades!$D$6,E349))</f>
        <v>37.4517507383159</v>
      </c>
      <c r="AH349" s="21" t="n">
        <f aca="false">IF(F349&gt;=Upgrades!$E$7,"",Upgrades!$C$7*POWER(Upgrades!$D$7,F349))</f>
        <v>80.9111547141581</v>
      </c>
      <c r="AI349" s="21" t="n">
        <f aca="false">IF(G349&gt;=Upgrades!$E$8,"",Upgrades!$C$8*POWER(Upgrades!$D$8,G349))</f>
        <v>231.9097088</v>
      </c>
      <c r="AJ349" s="21" t="str">
        <f aca="false">IF(H349&gt;=Upgrades!$E$9,"",Upgrades!$C$9*POWER(Upgrades!$D$9,H349))</f>
        <v/>
      </c>
      <c r="AK349" s="21" t="str">
        <f aca="false">IF(I349&gt;=Upgrades!$E$10,"",Upgrades!$C$10*POWER(Upgrades!$D$10,I349))</f>
        <v/>
      </c>
      <c r="AL349" s="21" t="str">
        <f aca="false">IF(J349&gt;=Upgrades!$E$11,"",Upgrades!$C$11*POWER(Upgrades!$D$11,J349))</f>
        <v/>
      </c>
      <c r="AM349" s="21" t="str">
        <f aca="false">IF(K349&gt;=Upgrades!$E$12,"",Upgrades!$C$12*POWER(Upgrades!$D$12,K349))</f>
        <v/>
      </c>
      <c r="AN349" s="26" t="str">
        <f aca="false">IF(AND(D349&gt;=Parameters!$B$18,(H349&gt;=Upgrades!$E$9)*(K349&gt;=Upgrades!$E$12)=1,L349=0),1,"")</f>
        <v/>
      </c>
      <c r="AO349" s="26" t="str">
        <f aca="false">IF(AND(D349&gt;=Parameters!$B$18,L349=0),1,"")</f>
        <v/>
      </c>
      <c r="AP349" s="21" t="n">
        <f aca="false">MIN(IF(ISNUMBER(AK349),AK349,9000000000000000),IF(ISNUMBER(AL349),AL349,9000000000000000),IF(ISNUMBER(AM349),AM349,9000000000000000))</f>
        <v>9000000000000000</v>
      </c>
      <c r="AQ349" s="21" t="n">
        <f aca="false">MIN(IF(ISNUMBER(AG349),AG349,9000000000000000),IF(ISNUMBER(AH349),AH349,9000000000000000),IF(ISNUMBER(AI349),AI349,9000000000000000),IF(ISNUMBER(AJ349),AJ349,9000000000000000))</f>
        <v>37.4517507383159</v>
      </c>
      <c r="AR349" s="32" t="b">
        <f aca="false">IF(AW349&gt;Parameters!$B$21*(MAX(IF(AND(NOT(AND(AO349=1,AN349&lt;&gt;1)),ISNUMBER(AG349),AG349&lt;=T349),AS349,0),IF(AND(NOT(AND(AO349=1,AN349&lt;&gt;1)),ISNUMBER(AH349),AH349&lt;=T349),AT349,0),IF(AND(NOT(AND(AO349=1,AN349&lt;&gt;1)),ISNUMBER(AI349),AI349&lt;=T349),AU349,0),IF(AND(ISNUMBER(AJ349),AJ349&lt;=T349),AV349,0))),TRUE(),FALSE())</f>
        <v>1</v>
      </c>
      <c r="AS349" s="33" t="n">
        <f aca="false">IFERROR(Upgrades!$H$6*(POWER(Upgrades!$P$6,E349)*POWER(Upgrades!$P$7,F349)*POWER(Upgrades!$P$8,G349)*POWER(Upgrades!$P$9,H349)*POWER(Upgrades!$P$10,I349)*POWER(Upgrades!$P$11,J349)*POWER(Upgrades!$P$12,K349))*(IF(Upgrades!$T$7="Solar Wind",POWER(Upgrades!$U$7,F349),1)*IF(Upgrades!$T$8="Solar Wind",POWER(Upgrades!$U$8,G349),1)*IF(Upgrades!$T$9="Solar Wind",POWER(Upgrades!$U$9,H349),1)*IF(Upgrades!$T$10="Solar Wind",POWER(Upgrades!$U$10,I349),1)*IF(Upgrades!$T$11="Solar Wind",POWER(Upgrades!$U$11,J349),1)*IF(Upgrades!$T$12="Solar Wind",POWER(Upgrades!$U$12,K349),1))/AG349,0)</f>
        <v>0.0026701021455238</v>
      </c>
      <c r="AT349" s="33" t="n">
        <f aca="false">IFERROR(Upgrades!$H$7*(POWER(Upgrades!$P$6,E349)*POWER(Upgrades!$P$7,F349)*POWER(Upgrades!$P$8,G349)*POWER(Upgrades!$P$9,H349)*POWER(Upgrades!$P$10,I349)*POWER(Upgrades!$P$11,J349)*POWER(Upgrades!$P$12,K349))*(IF(Upgrades!$T$6="Asteroid Belt",POWER(Upgrades!$U$6,E349),1)*IF(Upgrades!$T$8="Asteroid Belt",POWER(Upgrades!$U$8,G349),1)*IF(Upgrades!$T$9="Asteroid Belt",POWER(Upgrades!$U$9,H349),1)*IF(Upgrades!$T$10="Asteroid Belt",POWER(Upgrades!$U$10,I349),1)*IF(Upgrades!$T$11="Asteroid Belt",POWER(Upgrades!$U$11,J349),1)*IF(Upgrades!$T$12="Asteroid Belt",POWER(Upgrades!$U$12,K349),1))/AH349,0)</f>
        <v>0.00308980882652332</v>
      </c>
      <c r="AU349" s="33" t="n">
        <f aca="false">IFERROR(Upgrades!$K$8*(POWER(Upgrades!$Q$6,E349)*POWER(Upgrades!$Q$7,F349)*POWER(Upgrades!$Q$8,G349)*POWER(Upgrades!$Q$9,H349)*POWER(Upgrades!$Q$10,I349)*POWER(Upgrades!$Q$11,J349)*POWER(Upgrades!$Q$12,K349))*(IF(Upgrades!$T$6="Stellar Coupling",POWER(Upgrades!$U$6,E349),1)*IF(Upgrades!$T$7="Stellar Coupling",POWER(Upgrades!$U$7,F349),1)*IF(Upgrades!$T$9="Stellar Coupling",POWER(Upgrades!$U$9,H349),1)*IF(Upgrades!$T$10="Stellar Coupling",POWER(Upgrades!$U$10,I349),1)*IF(Upgrades!$T$11="Stellar Coupling",POWER(Upgrades!$U$11,J349),1)*IF(Upgrades!$T$12="Stellar Coupling",POWER(Upgrades!$U$12,K349),1))*Parameters!$B$10*Parameters!$B$11/60/AI349,0)</f>
        <v>0.00452762415783776</v>
      </c>
      <c r="AV349" s="33" t="n">
        <f aca="false">IFERROR(Upgrades!$H$9*(POWER(Upgrades!$P$6,E349)*POWER(Upgrades!$P$7,F349)*POWER(Upgrades!$P$8,G349)*POWER(Upgrades!$P$9,H349)*POWER(Upgrades!$P$10,I349)*POWER(Upgrades!$P$11,J349)*POWER(Upgrades!$P$12,K349))*(IF(Upgrades!$T$6="Magnetosphere",POWER(Upgrades!$U$6,E349),1)*IF(Upgrades!$T$7="Magnetosphere",POWER(Upgrades!$U$7,F349),1)*IF(Upgrades!$T$8="Magnetosphere",POWER(Upgrades!$U$8,G349),1)*IF(Upgrades!$T$10="Magnetosphere",POWER(Upgrades!$U$10,I349),1)*IF(Upgrades!$T$11="Magnetosphere",POWER(Upgrades!$U$11,J349),1)*IF(Upgrades!$T$12="Magnetosphere",POWER(Upgrades!$U$12,K349),1))/AJ349,0)</f>
        <v>0</v>
      </c>
      <c r="AW349" s="33" t="n">
        <f aca="false">MAX(IF(I349&gt;0,0,IFERROR(0.25*N349/Upgrades!$C$10,0)),IF(J349&gt;0,0,IFERROR(0.5*((IF(G349=0,0,(Upgrades!$J$8+G349*Upgrades!$K$8)*POWER(Upgrades!$L$8,G349)))*(IF(Upgrades!$T$6="Stellar Coupling",POWER(Upgrades!$U$6,E349),1)*IF(Upgrades!$T$7="Stellar Coupling",POWER(Upgrades!$U$7,F349),1)*IF(Upgrades!$T$9="Stellar Coupling",POWER(Upgrades!$U$9,H349),1)*IF(Upgrades!$T$10="Stellar Coupling",POWER(Upgrades!$U$10,I349),1)*IF(Upgrades!$T$11="Stellar Coupling",POWER(Upgrades!$U$11,J349),1)*IF(Upgrades!$T$12="Stellar Coupling",POWER(Upgrades!$U$12,K349),1))*(POWER(Upgrades!$Q$6,E349)*POWER(Upgrades!$Q$7,F349)*POWER(Upgrades!$Q$8,G349)*POWER(Upgrades!$Q$9,H349)*POWER(Upgrades!$Q$10,I349)*POWER(Upgrades!$Q$11,J349)*POWER(Upgrades!$Q$12,K349))*Parameters!$B$10*Parameters!$B$11/60)/Upgrades!$C$11,0)),IF(K349&gt;0,0,IFERROR((1*(POWER(Upgrades!$P$6,E349)*POWER(Upgrades!$P$7,F349)*POWER(Upgrades!$P$8,G349)*POWER(Upgrades!$P$9,H349)*POWER(Upgrades!$P$10,I349)*POWER(Upgrades!$P$11,J349)*POWER(Upgrades!$P$12,K349))+0.2*M349*Parameters!$B$10*Parameters!$B$11/60)/Upgrades!$C$12,0)),IF(AND(ISNUMBER(AG349),AG349&gt;T349),AS349,0),IF(AND(ISNUMBER(AH349),AH349&gt;T349),AT349,0),IF(AND(ISNUMBER(AI349),AI349&gt;T349),AU349,0),IF(AND(ISNUMBER(AJ349),AJ349&gt;T349),AV349,0))</f>
        <v>0.00452762415783776</v>
      </c>
      <c r="AX349" s="29" t="str">
        <f aca="false">IF(AN349=1,"transition",IF(MIN(IF(AND(I349=0,ISNUMBER(AK349),AK349&lt;=T349),AK349,9000000000000000),IF(AND(J349=0,ISNUMBER(AL349),AL349&lt;=T349),AL349,9000000000000000),IF(AND(K349=0,ISNUMBER(AM349),AM349&lt;=T349),AM349,9000000000000000))&lt;9000000000000000,IF(AND(AND(I349=0,ISNUMBER(AK349),AK349&lt;=T349),AK349=MIN(IF(AND(I349=0,ISNUMBER(AK349),AK349&lt;=T349),AK349,9000000000000000),IF(AND(J349=0,ISNUMBER(AL349),AL349&lt;=T349),AL349,9000000000000000),IF(AND(K349=0,ISNUMBER(AM349),AM349&lt;=T349),AM349,9000000000000000))),"OR",IF(AND(AND(J349=0,ISNUMBER(AL349),AL349&lt;=T349),AL349=MIN(IF(AND(I349=0,ISNUMBER(AK349),AK349&lt;=T349),AK349,9000000000000000),IF(AND(J349=0,ISNUMBER(AL349),AL349&lt;=T349),AL349,9000000000000000),IF(AND(K349=0,ISNUMBER(AM349),AM349&lt;=T349),AM349,9000000000000000))),"HP","FP")),IF(AR349=TRUE(),"",IF(MAX(IF(AND(NOT(AND(AO349=1,AN349&lt;&gt;1)),ISNUMBER(AG349),AG349&lt;=T349),AS349,0),IF(AND(NOT(AND(AO349=1,AN349&lt;&gt;1)),ISNUMBER(AH349),AH349&lt;=T349),AT349,0),IF(AND(NOT(AND(AO349=1,AN349&lt;&gt;1)),ISNUMBER(AI349),AI349&lt;=T349),AU349,0),IF(AND(ISNUMBER(AJ349),AJ349&lt;=T349),AV349,0))&lt;=0,"",IF(AND(IF(AND(NOT(AND(AO349=1,AN349&lt;&gt;1)),ISNUMBER(AG349),AG349&lt;=T349),AS349,0)&gt;0,IF(AND(NOT(AND(AO349=1,AN349&lt;&gt;1)),ISNUMBER(AG349),AG349&lt;=T349),AS349,0)=MAX(IF(AND(NOT(AND(AO349=1,AN349&lt;&gt;1)),ISNUMBER(AG349),AG349&lt;=T349),AS349,0),IF(AND(NOT(AND(AO349=1,AN349&lt;&gt;1)),ISNUMBER(AH349),AH349&lt;=T349),AT349,0),IF(AND(NOT(AND(AO349=1,AN349&lt;&gt;1)),ISNUMBER(AI349),AI349&lt;=T349),AU349,0),IF(AND(ISNUMBER(AJ349),AJ349&lt;=T349),AV349,0))),"SW",IF(AND(IF(AND(NOT(AND(AO349=1,AN349&lt;&gt;1)),ISNUMBER(AH349),AH349&lt;=T349),AT349,0)&gt;0,IF(AND(NOT(AND(AO349=1,AN349&lt;&gt;1)),ISNUMBER(AH349),AH349&lt;=T349),AT349,0)=MAX(IF(AND(NOT(AND(AO349=1,AN349&lt;&gt;1)),ISNUMBER(AG349),AG349&lt;=T349),AS349,0),IF(AND(NOT(AND(AO349=1,AN349&lt;&gt;1)),ISNUMBER(AH349),AH349&lt;=T349),AT349,0),IF(AND(NOT(AND(AO349=1,AN349&lt;&gt;1)),ISNUMBER(AI349),AI349&lt;=T349),AU349,0),IF(AND(ISNUMBER(AJ349),AJ349&lt;=T349),AV349,0))),"AB",IF(AND(IF(AND(NOT(AND(AO349=1,AN349&lt;&gt;1)),ISNUMBER(AI349),AI349&lt;=T349),AU349,0)&gt;0,IF(AND(NOT(AND(AO349=1,AN349&lt;&gt;1)),ISNUMBER(AI349),AI349&lt;=T349),AU349,0)=MAX(IF(AND(NOT(AND(AO349=1,AN349&lt;&gt;1)),ISNUMBER(AG349),AG349&lt;=T349),AS349,0),IF(AND(NOT(AND(AO349=1,AN349&lt;&gt;1)),ISNUMBER(AH349),AH349&lt;=T349),AT349,0),IF(AND(NOT(AND(AO349=1,AN349&lt;&gt;1)),ISNUMBER(AI349),AI349&lt;=T349),AU349,0),IF(AND(ISNUMBER(AJ349),AJ349&lt;=T349),AV349,0))),"SC","Mag")))))))</f>
        <v/>
      </c>
    </row>
    <row r="350" customFormat="false" ht="15" hidden="false" customHeight="false" outlineLevel="0" collapsed="false">
      <c r="A350" s="26" t="n">
        <v>345</v>
      </c>
      <c r="B350" s="27" t="n">
        <f aca="false">A350*10/60</f>
        <v>57.5</v>
      </c>
      <c r="C350" s="21" t="n">
        <f aca="false">X349</f>
        <v>18.6730249835055</v>
      </c>
      <c r="D350" s="27" t="n">
        <f aca="false">D349+W349</f>
        <v>0</v>
      </c>
      <c r="E350" s="26" t="n">
        <f aca="false">E349+IF(U349="SW",1,0)</f>
        <v>12</v>
      </c>
      <c r="F350" s="26" t="n">
        <f aca="false">F349+IF(U349="AB",1,0)</f>
        <v>10</v>
      </c>
      <c r="G350" s="26" t="n">
        <f aca="false">G349+IF(U349="SC",1,0)</f>
        <v>7</v>
      </c>
      <c r="H350" s="26" t="n">
        <f aca="false">H349+IF(U349="Mag",1,0)</f>
        <v>5</v>
      </c>
      <c r="I350" s="26" t="n">
        <f aca="false">MAX(I349,IF(U349="OR",1,0))</f>
        <v>1</v>
      </c>
      <c r="J350" s="26" t="n">
        <f aca="false">MAX(J349,IF(U349="HP",1,0))</f>
        <v>1</v>
      </c>
      <c r="K350" s="26" t="n">
        <f aca="false">MAX(K349,IF(U349="FP",1,0))</f>
        <v>1</v>
      </c>
      <c r="L350" s="26" t="n">
        <f aca="false">MAX(L349,IF(U349="transition",1,0))</f>
        <v>1</v>
      </c>
      <c r="M350" s="28" t="n">
        <f aca="false">(Parameters!$B$9+(IF(E350=0,0,(Upgrades!$J$6+E350*Upgrades!$K$6)*POWER(Upgrades!$L$6,E350)))*(IF(Upgrades!$T$7="Solar Wind",POWER(Upgrades!$U$7,F350),1)*IF(Upgrades!$T$8="Solar Wind",POWER(Upgrades!$U$8,G350),1)*IF(Upgrades!$T$9="Solar Wind",POWER(Upgrades!$U$9,H350),1)*IF(Upgrades!$T$10="Solar Wind",POWER(Upgrades!$U$10,I350),1)*IF(Upgrades!$T$11="Solar Wind",POWER(Upgrades!$U$11,J350),1)*IF(Upgrades!$T$12="Solar Wind",POWER(Upgrades!$U$12,K350),1))+(IF(F350=0,0,(Upgrades!$J$7+F350*Upgrades!$K$7)*POWER(Upgrades!$L$7,F350)))*(IF(Upgrades!$T$6="Asteroid Belt",POWER(Upgrades!$U$6,E350),1)*IF(Upgrades!$T$8="Asteroid Belt",POWER(Upgrades!$U$8,G350),1)*IF(Upgrades!$T$9="Asteroid Belt",POWER(Upgrades!$U$9,H350),1)*IF(Upgrades!$T$10="Asteroid Belt",POWER(Upgrades!$U$10,I350),1)*IF(Upgrades!$T$11="Asteroid Belt",POWER(Upgrades!$U$11,J350),1)*IF(Upgrades!$T$12="Asteroid Belt",POWER(Upgrades!$U$12,K350),1))+(IF(G350=0,0,(Upgrades!$J$8+G350*Upgrades!$K$8)*POWER(Upgrades!$L$8,G350)))*(IF(Upgrades!$T$6="Stellar Coupling",POWER(Upgrades!$U$6,E350),1)*IF(Upgrades!$T$7="Stellar Coupling",POWER(Upgrades!$U$7,F350),1)*IF(Upgrades!$T$9="Stellar Coupling",POWER(Upgrades!$U$9,H350),1)*IF(Upgrades!$T$10="Stellar Coupling",POWER(Upgrades!$U$10,I350),1)*IF(Upgrades!$T$11="Stellar Coupling",POWER(Upgrades!$U$11,J350),1)*IF(Upgrades!$T$12="Stellar Coupling",POWER(Upgrades!$U$12,K350),1))+(IF(H350=0,0,(Upgrades!$J$9+H350*Upgrades!$K$9)*POWER(Upgrades!$L$9,H350)))*(IF(Upgrades!$T$6="Magnetosphere",POWER(Upgrades!$U$6,E350),1)*IF(Upgrades!$T$7="Magnetosphere",POWER(Upgrades!$U$7,F350),1)*IF(Upgrades!$T$8="Magnetosphere",POWER(Upgrades!$U$8,G350),1)*IF(Upgrades!$T$10="Magnetosphere",POWER(Upgrades!$U$10,I350),1)*IF(Upgrades!$T$11="Magnetosphere",POWER(Upgrades!$U$11,J350),1)*IF(Upgrades!$T$12="Magnetosphere",POWER(Upgrades!$U$12,K350),1))+(IF(I350=0,0,(Upgrades!$J$10+I350*Upgrades!$K$10)*POWER(Upgrades!$L$10,I350)))*(IF(Upgrades!$T$6="Orbital Resonance",POWER(Upgrades!$U$6,E350),1)*IF(Upgrades!$T$7="Orbital Resonance",POWER(Upgrades!$U$7,F350),1)*IF(Upgrades!$T$8="Orbital Resonance",POWER(Upgrades!$U$8,G350),1)*IF(Upgrades!$T$9="Orbital Resonance",POWER(Upgrades!$U$9,H350),1)*IF(Upgrades!$T$11="Orbital Resonance",POWER(Upgrades!$U$11,J350),1)*IF(Upgrades!$T$12="Orbital Resonance",POWER(Upgrades!$U$12,K350),1))+(IF(J350=0,0,(Upgrades!$J$11+J350*Upgrades!$K$11)*POWER(Upgrades!$L$11,J350)))*(IF(Upgrades!$T$6="Heliopause",POWER(Upgrades!$U$6,E350),1)*IF(Upgrades!$T$7="Heliopause",POWER(Upgrades!$U$7,F350),1)*IF(Upgrades!$T$8="Heliopause",POWER(Upgrades!$U$8,G350),1)*IF(Upgrades!$T$9="Heliopause",POWER(Upgrades!$U$9,H350),1)*IF(Upgrades!$T$10="Heliopause",POWER(Upgrades!$U$10,I350),1)*IF(Upgrades!$T$12="Heliopause",POWER(Upgrades!$U$12,K350),1))+(IF(K350=0,0,(Upgrades!$J$12+K350*Upgrades!$K$12)*POWER(Upgrades!$L$12,K350)))*(IF(Upgrades!$T$6="First Photons",POWER(Upgrades!$U$6,E350),1)*IF(Upgrades!$T$7="First Photons",POWER(Upgrades!$U$7,F350),1)*IF(Upgrades!$T$8="First Photons",POWER(Upgrades!$U$8,G350),1)*IF(Upgrades!$T$9="First Photons",POWER(Upgrades!$U$9,H350),1)*IF(Upgrades!$T$10="First Photons",POWER(Upgrades!$U$10,I350),1)*IF(Upgrades!$T$11="First Photons",POWER(Upgrades!$U$11,J350),1)))*POWER(Upgrades!$Q$6,E350)*POWER(Upgrades!$Q$7,F350)*POWER(Upgrades!$Q$8,G350)*POWER(Upgrades!$Q$9,H350)*POWER(Upgrades!$Q$10,I350)*POWER(Upgrades!$Q$11,J350)*POWER(Upgrades!$Q$12,K350)</f>
        <v>5.61</v>
      </c>
      <c r="N350" s="28" t="n">
        <f aca="false">((IF(E350=0,0,(Upgrades!$G$6+E350*Upgrades!$H$6)*POWER(Upgrades!$I$6,E350)))*(IF(Upgrades!$T$7="Solar Wind",POWER(Upgrades!$U$7,F350),1)*IF(Upgrades!$T$8="Solar Wind",POWER(Upgrades!$U$8,G350),1)*IF(Upgrades!$T$9="Solar Wind",POWER(Upgrades!$U$9,H350),1)*IF(Upgrades!$T$10="Solar Wind",POWER(Upgrades!$U$10,I350),1)*IF(Upgrades!$T$11="Solar Wind",POWER(Upgrades!$U$11,J350),1)*IF(Upgrades!$T$12="Solar Wind",POWER(Upgrades!$U$12,K350),1))+(IF(F350=0,0,(Upgrades!$G$7+F350*Upgrades!$H$7)*POWER(Upgrades!$I$7,F350)))*(IF(Upgrades!$T$6="Asteroid Belt",POWER(Upgrades!$U$6,E350),1)*IF(Upgrades!$T$8="Asteroid Belt",POWER(Upgrades!$U$8,G350),1)*IF(Upgrades!$T$9="Asteroid Belt",POWER(Upgrades!$U$9,H350),1)*IF(Upgrades!$T$10="Asteroid Belt",POWER(Upgrades!$U$10,I350),1)*IF(Upgrades!$T$11="Asteroid Belt",POWER(Upgrades!$U$11,J350),1)*IF(Upgrades!$T$12="Asteroid Belt",POWER(Upgrades!$U$12,K350),1))+(IF(G350=0,0,(Upgrades!$G$8+G350*Upgrades!$H$8)*POWER(Upgrades!$I$8,G350)))*(IF(Upgrades!$T$6="Stellar Coupling",POWER(Upgrades!$U$6,E350),1)*IF(Upgrades!$T$7="Stellar Coupling",POWER(Upgrades!$U$7,F350),1)*IF(Upgrades!$T$9="Stellar Coupling",POWER(Upgrades!$U$9,H350),1)*IF(Upgrades!$T$10="Stellar Coupling",POWER(Upgrades!$U$10,I350),1)*IF(Upgrades!$T$11="Stellar Coupling",POWER(Upgrades!$U$11,J350),1)*IF(Upgrades!$T$12="Stellar Coupling",POWER(Upgrades!$U$12,K350),1))+(IF(H350=0,0,(Upgrades!$G$9+H350*Upgrades!$H$9)*POWER(Upgrades!$I$9,H350)))*(IF(Upgrades!$T$6="Magnetosphere",POWER(Upgrades!$U$6,E350),1)*IF(Upgrades!$T$7="Magnetosphere",POWER(Upgrades!$U$7,F350),1)*IF(Upgrades!$T$8="Magnetosphere",POWER(Upgrades!$U$8,G350),1)*IF(Upgrades!$T$10="Magnetosphere",POWER(Upgrades!$U$10,I350),1)*IF(Upgrades!$T$11="Magnetosphere",POWER(Upgrades!$U$11,J350),1)*IF(Upgrades!$T$12="Magnetosphere",POWER(Upgrades!$U$12,K350),1))+(IF(I350=0,0,(Upgrades!$G$10+I350*Upgrades!$H$10)*POWER(Upgrades!$I$10,I350)))*(IF(Upgrades!$T$6="Orbital Resonance",POWER(Upgrades!$U$6,E350),1)*IF(Upgrades!$T$7="Orbital Resonance",POWER(Upgrades!$U$7,F350),1)*IF(Upgrades!$T$8="Orbital Resonance",POWER(Upgrades!$U$8,G350),1)*IF(Upgrades!$T$9="Orbital Resonance",POWER(Upgrades!$U$9,H350),1)*IF(Upgrades!$T$11="Orbital Resonance",POWER(Upgrades!$U$11,J350),1)*IF(Upgrades!$T$12="Orbital Resonance",POWER(Upgrades!$U$12,K350),1))+(IF(J350=0,0,(Upgrades!$G$11+J350*Upgrades!$H$11)*POWER(Upgrades!$I$11,J350)))*(IF(Upgrades!$T$6="Heliopause",POWER(Upgrades!$U$6,E350),1)*IF(Upgrades!$T$7="Heliopause",POWER(Upgrades!$U$7,F350),1)*IF(Upgrades!$T$8="Heliopause",POWER(Upgrades!$U$8,G350),1)*IF(Upgrades!$T$9="Heliopause",POWER(Upgrades!$U$9,H350),1)*IF(Upgrades!$T$10="Heliopause",POWER(Upgrades!$U$10,I350),1)*IF(Upgrades!$T$12="Heliopause",POWER(Upgrades!$U$12,K350),1))+(IF(K350=0,0,(Upgrades!$G$12+K350*Upgrades!$H$12)*POWER(Upgrades!$I$12,K350)))*(IF(Upgrades!$T$6="First Photons",POWER(Upgrades!$U$6,E350),1)*IF(Upgrades!$T$7="First Photons",POWER(Upgrades!$U$7,F350),1)*IF(Upgrades!$T$8="First Photons",POWER(Upgrades!$U$8,G350),1)*IF(Upgrades!$T$9="First Photons",POWER(Upgrades!$U$9,H350),1)*IF(Upgrades!$T$10="First Photons",POWER(Upgrades!$U$10,I350),1)*IF(Upgrades!$T$11="First Photons",POWER(Upgrades!$U$11,J350),1)))*POWER(Upgrades!$P$6,E350)*POWER(Upgrades!$P$7,F350)*POWER(Upgrades!$P$8,G350)*POWER(Upgrades!$P$9,H350)*POWER(Upgrades!$P$10,I350)*POWER(Upgrades!$P$11,J350)*POWER(Upgrades!$P$12,K350)</f>
        <v>11.2</v>
      </c>
      <c r="O350" s="28" t="n">
        <f aca="false">((IF(E350=0,0,(Upgrades!$M$6+E350*Upgrades!$N$6)*POWER(Upgrades!$O$6,E350)))*(IF(Upgrades!$T$7="Solar Wind",POWER(Upgrades!$U$7,F350),1)*IF(Upgrades!$T$8="Solar Wind",POWER(Upgrades!$U$8,G350),1)*IF(Upgrades!$T$9="Solar Wind",POWER(Upgrades!$U$9,H350),1)*IF(Upgrades!$T$10="Solar Wind",POWER(Upgrades!$U$10,I350),1)*IF(Upgrades!$T$11="Solar Wind",POWER(Upgrades!$U$11,J350),1)*IF(Upgrades!$T$12="Solar Wind",POWER(Upgrades!$U$12,K350),1))+(IF(F350=0,0,(Upgrades!$M$7+F350*Upgrades!$N$7)*POWER(Upgrades!$O$7,F350)))*(IF(Upgrades!$T$6="Asteroid Belt",POWER(Upgrades!$U$6,E350),1)*IF(Upgrades!$T$8="Asteroid Belt",POWER(Upgrades!$U$8,G350),1)*IF(Upgrades!$T$9="Asteroid Belt",POWER(Upgrades!$U$9,H350),1)*IF(Upgrades!$T$10="Asteroid Belt",POWER(Upgrades!$U$10,I350),1)*IF(Upgrades!$T$11="Asteroid Belt",POWER(Upgrades!$U$11,J350),1)*IF(Upgrades!$T$12="Asteroid Belt",POWER(Upgrades!$U$12,K350),1))+(IF(G350=0,0,(Upgrades!$M$8+G350*Upgrades!$N$8)*POWER(Upgrades!$O$8,G350)))*(IF(Upgrades!$T$6="Stellar Coupling",POWER(Upgrades!$U$6,E350),1)*IF(Upgrades!$T$7="Stellar Coupling",POWER(Upgrades!$U$7,F350),1)*IF(Upgrades!$T$9="Stellar Coupling",POWER(Upgrades!$U$9,H350),1)*IF(Upgrades!$T$10="Stellar Coupling",POWER(Upgrades!$U$10,I350),1)*IF(Upgrades!$T$11="Stellar Coupling",POWER(Upgrades!$U$11,J350),1)*IF(Upgrades!$T$12="Stellar Coupling",POWER(Upgrades!$U$12,K350),1))+(IF(H350=0,0,(Upgrades!$M$9+H350*Upgrades!$N$9)*POWER(Upgrades!$O$9,H350)))*(IF(Upgrades!$T$6="Magnetosphere",POWER(Upgrades!$U$6,E350),1)*IF(Upgrades!$T$7="Magnetosphere",POWER(Upgrades!$U$7,F350),1)*IF(Upgrades!$T$8="Magnetosphere",POWER(Upgrades!$U$8,G350),1)*IF(Upgrades!$T$10="Magnetosphere",POWER(Upgrades!$U$10,I350),1)*IF(Upgrades!$T$11="Magnetosphere",POWER(Upgrades!$U$11,J350),1)*IF(Upgrades!$T$12="Magnetosphere",POWER(Upgrades!$U$12,K350),1))+(IF(I350=0,0,(Upgrades!$M$10+I350*Upgrades!$N$10)*POWER(Upgrades!$O$10,I350)))*(IF(Upgrades!$T$6="Orbital Resonance",POWER(Upgrades!$U$6,E350),1)*IF(Upgrades!$T$7="Orbital Resonance",POWER(Upgrades!$U$7,F350),1)*IF(Upgrades!$T$8="Orbital Resonance",POWER(Upgrades!$U$8,G350),1)*IF(Upgrades!$T$9="Orbital Resonance",POWER(Upgrades!$U$9,H350),1)*IF(Upgrades!$T$11="Orbital Resonance",POWER(Upgrades!$U$11,J350),1)*IF(Upgrades!$T$12="Orbital Resonance",POWER(Upgrades!$U$12,K350),1))+(IF(J350=0,0,(Upgrades!$M$11+J350*Upgrades!$N$11)*POWER(Upgrades!$O$11,J350)))*(IF(Upgrades!$T$6="Heliopause",POWER(Upgrades!$U$6,E350),1)*IF(Upgrades!$T$7="Heliopause",POWER(Upgrades!$U$7,F350),1)*IF(Upgrades!$T$8="Heliopause",POWER(Upgrades!$U$8,G350),1)*IF(Upgrades!$T$9="Heliopause",POWER(Upgrades!$U$9,H350),1)*IF(Upgrades!$T$10="Heliopause",POWER(Upgrades!$U$10,I350),1)*IF(Upgrades!$T$12="Heliopause",POWER(Upgrades!$U$12,K350),1))+(IF(K350=0,0,(Upgrades!$M$12+K350*Upgrades!$N$12)*POWER(Upgrades!$O$12,K350)))*(IF(Upgrades!$T$6="First Photons",POWER(Upgrades!$U$6,E350),1)*IF(Upgrades!$T$7="First Photons",POWER(Upgrades!$U$7,F350),1)*IF(Upgrades!$T$8="First Photons",POWER(Upgrades!$U$8,G350),1)*IF(Upgrades!$T$9="First Photons",POWER(Upgrades!$U$9,H350),1)*IF(Upgrades!$T$10="First Photons",POWER(Upgrades!$U$10,I350),1)*IF(Upgrades!$T$11="First Photons",POWER(Upgrades!$U$11,J350),1)))*POWER(Upgrades!$R$6,E350)*POWER(Upgrades!$R$7,F350)*POWER(Upgrades!$R$8,G350)*POWER(Upgrades!$R$9,H350)*POWER(Upgrades!$R$10,I350)*POWER(Upgrades!$R$11,J350)*POWER(Upgrades!$R$12,K350)</f>
        <v>0</v>
      </c>
      <c r="P350" s="27" t="n">
        <f aca="false">IF(L350=1,0,M350*Parameters!$B$10/60*Parameters!$B$11*10)</f>
        <v>0</v>
      </c>
      <c r="Q350" s="27" t="n">
        <f aca="false">IF(L350=1,0,O350*M350*10)</f>
        <v>0</v>
      </c>
      <c r="R350" s="27" t="n">
        <f aca="false">IF(L350=1,0,N350*10)</f>
        <v>0</v>
      </c>
      <c r="S350" s="27" t="n">
        <f aca="false">P350+Q350+R350</f>
        <v>0</v>
      </c>
      <c r="T350" s="21" t="n">
        <f aca="false">C350+S350</f>
        <v>18.6730249835055</v>
      </c>
      <c r="U350" s="34" t="str">
        <f aca="false">AX350</f>
        <v/>
      </c>
      <c r="V350" s="21" t="n">
        <f aca="false">IF(U350="",0,IF(U350="transition",0,IF(U350="SW",AG350,IF(U350="AB",AH350,IF(U350="SC",AI350,IF(U350="Mag",AJ350,IF(U350="OR",AK350,IF(U350="HP",AL350,IF(U350="FP",AM350,0)))))))))</f>
        <v>0</v>
      </c>
      <c r="W350" s="27" t="n">
        <f aca="false">IF(U350="OR",Upgrades!$F$10,IF(U350="HP",Upgrades!$F$11,IF(U350="transition",-Parameters!$B$18,0)))</f>
        <v>0</v>
      </c>
      <c r="X350" s="21" t="n">
        <f aca="false">T350-V350</f>
        <v>18.6730249835055</v>
      </c>
      <c r="Y350" s="30" t="n">
        <f aca="false">M350*Parameters!$B$10/60*Parameters!$B$11+O350*M350+N350</f>
        <v>20.55</v>
      </c>
      <c r="Z350" s="35" t="str">
        <f aca="false">IF(U350="transition","→ Tier 2 (Stellar Neighborhood)",IF(U350="FP","First Photons — light begins, system quickens",IF(U350="HP","Heliopause acquired",IF(U350="OR","Orbital Resonance — passive multiplier active",IF(AND(AO350=1,L350=0,AN350&lt;&gt;1),"Cohesion ready (waiting on completionist upgrades)","")))))</f>
        <v/>
      </c>
      <c r="AA350" s="27" t="n">
        <f aca="false">(IF(E350=0,0,(Upgrades!$G$6+E350*Upgrades!$H$6)*POWER(Upgrades!$I$6,E350)))*(IF(Upgrades!$T$7="Solar Wind",POWER(Upgrades!$U$7,F350),1)*IF(Upgrades!$T$8="Solar Wind",POWER(Upgrades!$U$8,G350),1)*IF(Upgrades!$T$9="Solar Wind",POWER(Upgrades!$U$9,H350),1)*IF(Upgrades!$T$10="Solar Wind",POWER(Upgrades!$U$10,I350),1)*IF(Upgrades!$T$11="Solar Wind",POWER(Upgrades!$U$11,J350),1)*IF(Upgrades!$T$12="Solar Wind",POWER(Upgrades!$U$12,K350),1))*POWER(Upgrades!$P$6,E350)*POWER(Upgrades!$P$7,F350)*POWER(Upgrades!$P$8,G350)*POWER(Upgrades!$P$9,H350)*POWER(Upgrades!$P$10,I350)*POWER(Upgrades!$P$11,J350)*POWER(Upgrades!$P$12,K350)*60</f>
        <v>72</v>
      </c>
      <c r="AB350" s="27" t="n">
        <f aca="false">(IF(F350=0,0,(Upgrades!$G$7+F350*Upgrades!$H$7)*POWER(Upgrades!$I$7,F350)))*(IF(Upgrades!$T$6="Asteroid Belt",POWER(Upgrades!$U$6,E350),1)*IF(Upgrades!$T$8="Asteroid Belt",POWER(Upgrades!$U$8,G350),1)*IF(Upgrades!$T$9="Asteroid Belt",POWER(Upgrades!$U$9,H350),1)*IF(Upgrades!$T$10="Asteroid Belt",POWER(Upgrades!$U$10,I350),1)*IF(Upgrades!$T$11="Asteroid Belt",POWER(Upgrades!$U$11,J350),1)*IF(Upgrades!$T$12="Asteroid Belt",POWER(Upgrades!$U$12,K350),1))*POWER(Upgrades!$P$6,E350)*POWER(Upgrades!$P$7,F350)*POWER(Upgrades!$P$8,G350)*POWER(Upgrades!$P$9,H350)*POWER(Upgrades!$P$10,I350)*POWER(Upgrades!$P$11,J350)*POWER(Upgrades!$P$12,K350)*60</f>
        <v>150</v>
      </c>
      <c r="AC350" s="27" t="n">
        <f aca="false">(IF(G350=0,0,(Upgrades!$J$8+G350*Upgrades!$K$8)*POWER(Upgrades!$L$8,G350)))*(IF(Upgrades!$T$6="Stellar Coupling",POWER(Upgrades!$U$6,E350),1)*IF(Upgrades!$T$7="Stellar Coupling",POWER(Upgrades!$U$7,F350),1)*IF(Upgrades!$T$9="Stellar Coupling",POWER(Upgrades!$U$9,H350),1)*IF(Upgrades!$T$10="Stellar Coupling",POWER(Upgrades!$U$10,I350),1)*IF(Upgrades!$T$11="Stellar Coupling",POWER(Upgrades!$U$11,J350),1)*IF(Upgrades!$T$12="Stellar Coupling",POWER(Upgrades!$U$12,K350),1))*POWER(Upgrades!$Q$6,E350)*POWER(Upgrades!$Q$7,F350)*POWER(Upgrades!$Q$8,G350)*POWER(Upgrades!$Q$9,H350)*POWER(Upgrades!$Q$10,I350)*POWER(Upgrades!$Q$11,J350)*POWER(Upgrades!$Q$12,K350)*Parameters!$B$10*Parameters!$B$11</f>
        <v>441</v>
      </c>
      <c r="AD350" s="27" t="n">
        <f aca="false">(IF(H350=0,0,(Upgrades!$G$9+H350*Upgrades!$H$9)*POWER(Upgrades!$I$9,H350)))*(IF(Upgrades!$T$6="Magnetosphere",POWER(Upgrades!$U$6,E350),1)*IF(Upgrades!$T$7="Magnetosphere",POWER(Upgrades!$U$7,F350),1)*IF(Upgrades!$T$8="Magnetosphere",POWER(Upgrades!$U$8,G350),1)*IF(Upgrades!$T$10="Magnetosphere",POWER(Upgrades!$U$10,I350),1)*IF(Upgrades!$T$11="Magnetosphere",POWER(Upgrades!$U$11,J350),1)*IF(Upgrades!$T$12="Magnetosphere",POWER(Upgrades!$U$12,K350),1))*POWER(Upgrades!$P$6,E350)*POWER(Upgrades!$P$7,F350)*POWER(Upgrades!$P$8,G350)*POWER(Upgrades!$P$9,H350)*POWER(Upgrades!$P$10,I350)*POWER(Upgrades!$P$11,J350)*POWER(Upgrades!$P$12,K350)*60</f>
        <v>375</v>
      </c>
      <c r="AE350" s="27" t="n">
        <f aca="false">(IF(K350=0,0,(Upgrades!$G$12+K350*Upgrades!$H$12)*POWER(Upgrades!$I$12,K350)))*(IF(Upgrades!$T$6="First Photons",POWER(Upgrades!$U$6,E350),1)*IF(Upgrades!$T$7="First Photons",POWER(Upgrades!$U$7,F350),1)*IF(Upgrades!$T$8="First Photons",POWER(Upgrades!$U$8,G350),1)*IF(Upgrades!$T$9="First Photons",POWER(Upgrades!$U$9,H350),1)*IF(Upgrades!$T$10="First Photons",POWER(Upgrades!$U$10,I350),1)*IF(Upgrades!$T$11="First Photons",POWER(Upgrades!$U$11,J350),1))*POWER(Upgrades!$P$6,E350)*POWER(Upgrades!$P$7,F350)*POWER(Upgrades!$P$8,G350)*POWER(Upgrades!$P$9,H350)*POWER(Upgrades!$P$10,I350)*POWER(Upgrades!$P$11,J350)*POWER(Upgrades!$P$12,K350)*60</f>
        <v>75</v>
      </c>
      <c r="AF350" s="27" t="n">
        <f aca="false">Parameters!$B$9*POWER(Upgrades!$Q$6,E350)*POWER(Upgrades!$Q$7,F350)*POWER(Upgrades!$Q$8,G350)*POWER(Upgrades!$Q$9,H350)*POWER(Upgrades!$Q$10,I350)*POWER(Upgrades!$Q$11,J350)*POWER(Upgrades!$Q$12,K350)*(Parameters!$B$10*Parameters!$B$11+O350*60)</f>
        <v>120</v>
      </c>
      <c r="AG350" s="21" t="n">
        <f aca="false">IF(E350&gt;=Upgrades!$E$6,"",Upgrades!$C$6*POWER(Upgrades!$D$6,E350))</f>
        <v>37.4517507383159</v>
      </c>
      <c r="AH350" s="21" t="n">
        <f aca="false">IF(F350&gt;=Upgrades!$E$7,"",Upgrades!$C$7*POWER(Upgrades!$D$7,F350))</f>
        <v>80.9111547141581</v>
      </c>
      <c r="AI350" s="21" t="n">
        <f aca="false">IF(G350&gt;=Upgrades!$E$8,"",Upgrades!$C$8*POWER(Upgrades!$D$8,G350))</f>
        <v>231.9097088</v>
      </c>
      <c r="AJ350" s="21" t="str">
        <f aca="false">IF(H350&gt;=Upgrades!$E$9,"",Upgrades!$C$9*POWER(Upgrades!$D$9,H350))</f>
        <v/>
      </c>
      <c r="AK350" s="21" t="str">
        <f aca="false">IF(I350&gt;=Upgrades!$E$10,"",Upgrades!$C$10*POWER(Upgrades!$D$10,I350))</f>
        <v/>
      </c>
      <c r="AL350" s="21" t="str">
        <f aca="false">IF(J350&gt;=Upgrades!$E$11,"",Upgrades!$C$11*POWER(Upgrades!$D$11,J350))</f>
        <v/>
      </c>
      <c r="AM350" s="21" t="str">
        <f aca="false">IF(K350&gt;=Upgrades!$E$12,"",Upgrades!$C$12*POWER(Upgrades!$D$12,K350))</f>
        <v/>
      </c>
      <c r="AN350" s="26" t="str">
        <f aca="false">IF(AND(D350&gt;=Parameters!$B$18,(H350&gt;=Upgrades!$E$9)*(K350&gt;=Upgrades!$E$12)=1,L350=0),1,"")</f>
        <v/>
      </c>
      <c r="AO350" s="26" t="str">
        <f aca="false">IF(AND(D350&gt;=Parameters!$B$18,L350=0),1,"")</f>
        <v/>
      </c>
      <c r="AP350" s="21" t="n">
        <f aca="false">MIN(IF(ISNUMBER(AK350),AK350,9000000000000000),IF(ISNUMBER(AL350),AL350,9000000000000000),IF(ISNUMBER(AM350),AM350,9000000000000000))</f>
        <v>9000000000000000</v>
      </c>
      <c r="AQ350" s="21" t="n">
        <f aca="false">MIN(IF(ISNUMBER(AG350),AG350,9000000000000000),IF(ISNUMBER(AH350),AH350,9000000000000000),IF(ISNUMBER(AI350),AI350,9000000000000000),IF(ISNUMBER(AJ350),AJ350,9000000000000000))</f>
        <v>37.4517507383159</v>
      </c>
      <c r="AR350" s="32" t="b">
        <f aca="false">IF(AW350&gt;Parameters!$B$21*(MAX(IF(AND(NOT(AND(AO350=1,AN350&lt;&gt;1)),ISNUMBER(AG350),AG350&lt;=T350),AS350,0),IF(AND(NOT(AND(AO350=1,AN350&lt;&gt;1)),ISNUMBER(AH350),AH350&lt;=T350),AT350,0),IF(AND(NOT(AND(AO350=1,AN350&lt;&gt;1)),ISNUMBER(AI350),AI350&lt;=T350),AU350,0),IF(AND(ISNUMBER(AJ350),AJ350&lt;=T350),AV350,0))),TRUE(),FALSE())</f>
        <v>1</v>
      </c>
      <c r="AS350" s="33" t="n">
        <f aca="false">IFERROR(Upgrades!$H$6*(POWER(Upgrades!$P$6,E350)*POWER(Upgrades!$P$7,F350)*POWER(Upgrades!$P$8,G350)*POWER(Upgrades!$P$9,H350)*POWER(Upgrades!$P$10,I350)*POWER(Upgrades!$P$11,J350)*POWER(Upgrades!$P$12,K350))*(IF(Upgrades!$T$7="Solar Wind",POWER(Upgrades!$U$7,F350),1)*IF(Upgrades!$T$8="Solar Wind",POWER(Upgrades!$U$8,G350),1)*IF(Upgrades!$T$9="Solar Wind",POWER(Upgrades!$U$9,H350),1)*IF(Upgrades!$T$10="Solar Wind",POWER(Upgrades!$U$10,I350),1)*IF(Upgrades!$T$11="Solar Wind",POWER(Upgrades!$U$11,J350),1)*IF(Upgrades!$T$12="Solar Wind",POWER(Upgrades!$U$12,K350),1))/AG350,0)</f>
        <v>0.0026701021455238</v>
      </c>
      <c r="AT350" s="33" t="n">
        <f aca="false">IFERROR(Upgrades!$H$7*(POWER(Upgrades!$P$6,E350)*POWER(Upgrades!$P$7,F350)*POWER(Upgrades!$P$8,G350)*POWER(Upgrades!$P$9,H350)*POWER(Upgrades!$P$10,I350)*POWER(Upgrades!$P$11,J350)*POWER(Upgrades!$P$12,K350))*(IF(Upgrades!$T$6="Asteroid Belt",POWER(Upgrades!$U$6,E350),1)*IF(Upgrades!$T$8="Asteroid Belt",POWER(Upgrades!$U$8,G350),1)*IF(Upgrades!$T$9="Asteroid Belt",POWER(Upgrades!$U$9,H350),1)*IF(Upgrades!$T$10="Asteroid Belt",POWER(Upgrades!$U$10,I350),1)*IF(Upgrades!$T$11="Asteroid Belt",POWER(Upgrades!$U$11,J350),1)*IF(Upgrades!$T$12="Asteroid Belt",POWER(Upgrades!$U$12,K350),1))/AH350,0)</f>
        <v>0.00308980882652332</v>
      </c>
      <c r="AU350" s="33" t="n">
        <f aca="false">IFERROR(Upgrades!$K$8*(POWER(Upgrades!$Q$6,E350)*POWER(Upgrades!$Q$7,F350)*POWER(Upgrades!$Q$8,G350)*POWER(Upgrades!$Q$9,H350)*POWER(Upgrades!$Q$10,I350)*POWER(Upgrades!$Q$11,J350)*POWER(Upgrades!$Q$12,K350))*(IF(Upgrades!$T$6="Stellar Coupling",POWER(Upgrades!$U$6,E350),1)*IF(Upgrades!$T$7="Stellar Coupling",POWER(Upgrades!$U$7,F350),1)*IF(Upgrades!$T$9="Stellar Coupling",POWER(Upgrades!$U$9,H350),1)*IF(Upgrades!$T$10="Stellar Coupling",POWER(Upgrades!$U$10,I350),1)*IF(Upgrades!$T$11="Stellar Coupling",POWER(Upgrades!$U$11,J350),1)*IF(Upgrades!$T$12="Stellar Coupling",POWER(Upgrades!$U$12,K350),1))*Parameters!$B$10*Parameters!$B$11/60/AI350,0)</f>
        <v>0.00452762415783776</v>
      </c>
      <c r="AV350" s="33" t="n">
        <f aca="false">IFERROR(Upgrades!$H$9*(POWER(Upgrades!$P$6,E350)*POWER(Upgrades!$P$7,F350)*POWER(Upgrades!$P$8,G350)*POWER(Upgrades!$P$9,H350)*POWER(Upgrades!$P$10,I350)*POWER(Upgrades!$P$11,J350)*POWER(Upgrades!$P$12,K350))*(IF(Upgrades!$T$6="Magnetosphere",POWER(Upgrades!$U$6,E350),1)*IF(Upgrades!$T$7="Magnetosphere",POWER(Upgrades!$U$7,F350),1)*IF(Upgrades!$T$8="Magnetosphere",POWER(Upgrades!$U$8,G350),1)*IF(Upgrades!$T$10="Magnetosphere",POWER(Upgrades!$U$10,I350),1)*IF(Upgrades!$T$11="Magnetosphere",POWER(Upgrades!$U$11,J350),1)*IF(Upgrades!$T$12="Magnetosphere",POWER(Upgrades!$U$12,K350),1))/AJ350,0)</f>
        <v>0</v>
      </c>
      <c r="AW350" s="33" t="n">
        <f aca="false">MAX(IF(I350&gt;0,0,IFERROR(0.25*N350/Upgrades!$C$10,0)),IF(J350&gt;0,0,IFERROR(0.5*((IF(G350=0,0,(Upgrades!$J$8+G350*Upgrades!$K$8)*POWER(Upgrades!$L$8,G350)))*(IF(Upgrades!$T$6="Stellar Coupling",POWER(Upgrades!$U$6,E350),1)*IF(Upgrades!$T$7="Stellar Coupling",POWER(Upgrades!$U$7,F350),1)*IF(Upgrades!$T$9="Stellar Coupling",POWER(Upgrades!$U$9,H350),1)*IF(Upgrades!$T$10="Stellar Coupling",POWER(Upgrades!$U$10,I350),1)*IF(Upgrades!$T$11="Stellar Coupling",POWER(Upgrades!$U$11,J350),1)*IF(Upgrades!$T$12="Stellar Coupling",POWER(Upgrades!$U$12,K350),1))*(POWER(Upgrades!$Q$6,E350)*POWER(Upgrades!$Q$7,F350)*POWER(Upgrades!$Q$8,G350)*POWER(Upgrades!$Q$9,H350)*POWER(Upgrades!$Q$10,I350)*POWER(Upgrades!$Q$11,J350)*POWER(Upgrades!$Q$12,K350))*Parameters!$B$10*Parameters!$B$11/60)/Upgrades!$C$11,0)),IF(K350&gt;0,0,IFERROR((1*(POWER(Upgrades!$P$6,E350)*POWER(Upgrades!$P$7,F350)*POWER(Upgrades!$P$8,G350)*POWER(Upgrades!$P$9,H350)*POWER(Upgrades!$P$10,I350)*POWER(Upgrades!$P$11,J350)*POWER(Upgrades!$P$12,K350))+0.2*M350*Parameters!$B$10*Parameters!$B$11/60)/Upgrades!$C$12,0)),IF(AND(ISNUMBER(AG350),AG350&gt;T350),AS350,0),IF(AND(ISNUMBER(AH350),AH350&gt;T350),AT350,0),IF(AND(ISNUMBER(AI350),AI350&gt;T350),AU350,0),IF(AND(ISNUMBER(AJ350),AJ350&gt;T350),AV350,0))</f>
        <v>0.00452762415783776</v>
      </c>
      <c r="AX350" s="29" t="str">
        <f aca="false">IF(AN350=1,"transition",IF(MIN(IF(AND(I350=0,ISNUMBER(AK350),AK350&lt;=T350),AK350,9000000000000000),IF(AND(J350=0,ISNUMBER(AL350),AL350&lt;=T350),AL350,9000000000000000),IF(AND(K350=0,ISNUMBER(AM350),AM350&lt;=T350),AM350,9000000000000000))&lt;9000000000000000,IF(AND(AND(I350=0,ISNUMBER(AK350),AK350&lt;=T350),AK350=MIN(IF(AND(I350=0,ISNUMBER(AK350),AK350&lt;=T350),AK350,9000000000000000),IF(AND(J350=0,ISNUMBER(AL350),AL350&lt;=T350),AL350,9000000000000000),IF(AND(K350=0,ISNUMBER(AM350),AM350&lt;=T350),AM350,9000000000000000))),"OR",IF(AND(AND(J350=0,ISNUMBER(AL350),AL350&lt;=T350),AL350=MIN(IF(AND(I350=0,ISNUMBER(AK350),AK350&lt;=T350),AK350,9000000000000000),IF(AND(J350=0,ISNUMBER(AL350),AL350&lt;=T350),AL350,9000000000000000),IF(AND(K350=0,ISNUMBER(AM350),AM350&lt;=T350),AM350,9000000000000000))),"HP","FP")),IF(AR350=TRUE(),"",IF(MAX(IF(AND(NOT(AND(AO350=1,AN350&lt;&gt;1)),ISNUMBER(AG350),AG350&lt;=T350),AS350,0),IF(AND(NOT(AND(AO350=1,AN350&lt;&gt;1)),ISNUMBER(AH350),AH350&lt;=T350),AT350,0),IF(AND(NOT(AND(AO350=1,AN350&lt;&gt;1)),ISNUMBER(AI350),AI350&lt;=T350),AU350,0),IF(AND(ISNUMBER(AJ350),AJ350&lt;=T350),AV350,0))&lt;=0,"",IF(AND(IF(AND(NOT(AND(AO350=1,AN350&lt;&gt;1)),ISNUMBER(AG350),AG350&lt;=T350),AS350,0)&gt;0,IF(AND(NOT(AND(AO350=1,AN350&lt;&gt;1)),ISNUMBER(AG350),AG350&lt;=T350),AS350,0)=MAX(IF(AND(NOT(AND(AO350=1,AN350&lt;&gt;1)),ISNUMBER(AG350),AG350&lt;=T350),AS350,0),IF(AND(NOT(AND(AO350=1,AN350&lt;&gt;1)),ISNUMBER(AH350),AH350&lt;=T350),AT350,0),IF(AND(NOT(AND(AO350=1,AN350&lt;&gt;1)),ISNUMBER(AI350),AI350&lt;=T350),AU350,0),IF(AND(ISNUMBER(AJ350),AJ350&lt;=T350),AV350,0))),"SW",IF(AND(IF(AND(NOT(AND(AO350=1,AN350&lt;&gt;1)),ISNUMBER(AH350),AH350&lt;=T350),AT350,0)&gt;0,IF(AND(NOT(AND(AO350=1,AN350&lt;&gt;1)),ISNUMBER(AH350),AH350&lt;=T350),AT350,0)=MAX(IF(AND(NOT(AND(AO350=1,AN350&lt;&gt;1)),ISNUMBER(AG350),AG350&lt;=T350),AS350,0),IF(AND(NOT(AND(AO350=1,AN350&lt;&gt;1)),ISNUMBER(AH350),AH350&lt;=T350),AT350,0),IF(AND(NOT(AND(AO350=1,AN350&lt;&gt;1)),ISNUMBER(AI350),AI350&lt;=T350),AU350,0),IF(AND(ISNUMBER(AJ350),AJ350&lt;=T350),AV350,0))),"AB",IF(AND(IF(AND(NOT(AND(AO350=1,AN350&lt;&gt;1)),ISNUMBER(AI350),AI350&lt;=T350),AU350,0)&gt;0,IF(AND(NOT(AND(AO350=1,AN350&lt;&gt;1)),ISNUMBER(AI350),AI350&lt;=T350),AU350,0)=MAX(IF(AND(NOT(AND(AO350=1,AN350&lt;&gt;1)),ISNUMBER(AG350),AG350&lt;=T350),AS350,0),IF(AND(NOT(AND(AO350=1,AN350&lt;&gt;1)),ISNUMBER(AH350),AH350&lt;=T350),AT350,0),IF(AND(NOT(AND(AO350=1,AN350&lt;&gt;1)),ISNUMBER(AI350),AI350&lt;=T350),AU350,0),IF(AND(ISNUMBER(AJ350),AJ350&lt;=T350),AV350,0))),"SC","Mag")))))))</f>
        <v/>
      </c>
    </row>
    <row r="351" customFormat="false" ht="15" hidden="false" customHeight="false" outlineLevel="0" collapsed="false">
      <c r="A351" s="26" t="n">
        <v>346</v>
      </c>
      <c r="B351" s="27" t="n">
        <f aca="false">A351*10/60</f>
        <v>57.6666666666667</v>
      </c>
      <c r="C351" s="21" t="n">
        <f aca="false">X350</f>
        <v>18.6730249835055</v>
      </c>
      <c r="D351" s="27" t="n">
        <f aca="false">D350+W350</f>
        <v>0</v>
      </c>
      <c r="E351" s="26" t="n">
        <f aca="false">E350+IF(U350="SW",1,0)</f>
        <v>12</v>
      </c>
      <c r="F351" s="26" t="n">
        <f aca="false">F350+IF(U350="AB",1,0)</f>
        <v>10</v>
      </c>
      <c r="G351" s="26" t="n">
        <f aca="false">G350+IF(U350="SC",1,0)</f>
        <v>7</v>
      </c>
      <c r="H351" s="26" t="n">
        <f aca="false">H350+IF(U350="Mag",1,0)</f>
        <v>5</v>
      </c>
      <c r="I351" s="26" t="n">
        <f aca="false">MAX(I350,IF(U350="OR",1,0))</f>
        <v>1</v>
      </c>
      <c r="J351" s="26" t="n">
        <f aca="false">MAX(J350,IF(U350="HP",1,0))</f>
        <v>1</v>
      </c>
      <c r="K351" s="26" t="n">
        <f aca="false">MAX(K350,IF(U350="FP",1,0))</f>
        <v>1</v>
      </c>
      <c r="L351" s="26" t="n">
        <f aca="false">MAX(L350,IF(U350="transition",1,0))</f>
        <v>1</v>
      </c>
      <c r="M351" s="28" t="n">
        <f aca="false">(Parameters!$B$9+(IF(E351=0,0,(Upgrades!$J$6+E351*Upgrades!$K$6)*POWER(Upgrades!$L$6,E351)))*(IF(Upgrades!$T$7="Solar Wind",POWER(Upgrades!$U$7,F351),1)*IF(Upgrades!$T$8="Solar Wind",POWER(Upgrades!$U$8,G351),1)*IF(Upgrades!$T$9="Solar Wind",POWER(Upgrades!$U$9,H351),1)*IF(Upgrades!$T$10="Solar Wind",POWER(Upgrades!$U$10,I351),1)*IF(Upgrades!$T$11="Solar Wind",POWER(Upgrades!$U$11,J351),1)*IF(Upgrades!$T$12="Solar Wind",POWER(Upgrades!$U$12,K351),1))+(IF(F351=0,0,(Upgrades!$J$7+F351*Upgrades!$K$7)*POWER(Upgrades!$L$7,F351)))*(IF(Upgrades!$T$6="Asteroid Belt",POWER(Upgrades!$U$6,E351),1)*IF(Upgrades!$T$8="Asteroid Belt",POWER(Upgrades!$U$8,G351),1)*IF(Upgrades!$T$9="Asteroid Belt",POWER(Upgrades!$U$9,H351),1)*IF(Upgrades!$T$10="Asteroid Belt",POWER(Upgrades!$U$10,I351),1)*IF(Upgrades!$T$11="Asteroid Belt",POWER(Upgrades!$U$11,J351),1)*IF(Upgrades!$T$12="Asteroid Belt",POWER(Upgrades!$U$12,K351),1))+(IF(G351=0,0,(Upgrades!$J$8+G351*Upgrades!$K$8)*POWER(Upgrades!$L$8,G351)))*(IF(Upgrades!$T$6="Stellar Coupling",POWER(Upgrades!$U$6,E351),1)*IF(Upgrades!$T$7="Stellar Coupling",POWER(Upgrades!$U$7,F351),1)*IF(Upgrades!$T$9="Stellar Coupling",POWER(Upgrades!$U$9,H351),1)*IF(Upgrades!$T$10="Stellar Coupling",POWER(Upgrades!$U$10,I351),1)*IF(Upgrades!$T$11="Stellar Coupling",POWER(Upgrades!$U$11,J351),1)*IF(Upgrades!$T$12="Stellar Coupling",POWER(Upgrades!$U$12,K351),1))+(IF(H351=0,0,(Upgrades!$J$9+H351*Upgrades!$K$9)*POWER(Upgrades!$L$9,H351)))*(IF(Upgrades!$T$6="Magnetosphere",POWER(Upgrades!$U$6,E351),1)*IF(Upgrades!$T$7="Magnetosphere",POWER(Upgrades!$U$7,F351),1)*IF(Upgrades!$T$8="Magnetosphere",POWER(Upgrades!$U$8,G351),1)*IF(Upgrades!$T$10="Magnetosphere",POWER(Upgrades!$U$10,I351),1)*IF(Upgrades!$T$11="Magnetosphere",POWER(Upgrades!$U$11,J351),1)*IF(Upgrades!$T$12="Magnetosphere",POWER(Upgrades!$U$12,K351),1))+(IF(I351=0,0,(Upgrades!$J$10+I351*Upgrades!$K$10)*POWER(Upgrades!$L$10,I351)))*(IF(Upgrades!$T$6="Orbital Resonance",POWER(Upgrades!$U$6,E351),1)*IF(Upgrades!$T$7="Orbital Resonance",POWER(Upgrades!$U$7,F351),1)*IF(Upgrades!$T$8="Orbital Resonance",POWER(Upgrades!$U$8,G351),1)*IF(Upgrades!$T$9="Orbital Resonance",POWER(Upgrades!$U$9,H351),1)*IF(Upgrades!$T$11="Orbital Resonance",POWER(Upgrades!$U$11,J351),1)*IF(Upgrades!$T$12="Orbital Resonance",POWER(Upgrades!$U$12,K351),1))+(IF(J351=0,0,(Upgrades!$J$11+J351*Upgrades!$K$11)*POWER(Upgrades!$L$11,J351)))*(IF(Upgrades!$T$6="Heliopause",POWER(Upgrades!$U$6,E351),1)*IF(Upgrades!$T$7="Heliopause",POWER(Upgrades!$U$7,F351),1)*IF(Upgrades!$T$8="Heliopause",POWER(Upgrades!$U$8,G351),1)*IF(Upgrades!$T$9="Heliopause",POWER(Upgrades!$U$9,H351),1)*IF(Upgrades!$T$10="Heliopause",POWER(Upgrades!$U$10,I351),1)*IF(Upgrades!$T$12="Heliopause",POWER(Upgrades!$U$12,K351),1))+(IF(K351=0,0,(Upgrades!$J$12+K351*Upgrades!$K$12)*POWER(Upgrades!$L$12,K351)))*(IF(Upgrades!$T$6="First Photons",POWER(Upgrades!$U$6,E351),1)*IF(Upgrades!$T$7="First Photons",POWER(Upgrades!$U$7,F351),1)*IF(Upgrades!$T$8="First Photons",POWER(Upgrades!$U$8,G351),1)*IF(Upgrades!$T$9="First Photons",POWER(Upgrades!$U$9,H351),1)*IF(Upgrades!$T$10="First Photons",POWER(Upgrades!$U$10,I351),1)*IF(Upgrades!$T$11="First Photons",POWER(Upgrades!$U$11,J351),1)))*POWER(Upgrades!$Q$6,E351)*POWER(Upgrades!$Q$7,F351)*POWER(Upgrades!$Q$8,G351)*POWER(Upgrades!$Q$9,H351)*POWER(Upgrades!$Q$10,I351)*POWER(Upgrades!$Q$11,J351)*POWER(Upgrades!$Q$12,K351)</f>
        <v>5.61</v>
      </c>
      <c r="N351" s="28" t="n">
        <f aca="false">((IF(E351=0,0,(Upgrades!$G$6+E351*Upgrades!$H$6)*POWER(Upgrades!$I$6,E351)))*(IF(Upgrades!$T$7="Solar Wind",POWER(Upgrades!$U$7,F351),1)*IF(Upgrades!$T$8="Solar Wind",POWER(Upgrades!$U$8,G351),1)*IF(Upgrades!$T$9="Solar Wind",POWER(Upgrades!$U$9,H351),1)*IF(Upgrades!$T$10="Solar Wind",POWER(Upgrades!$U$10,I351),1)*IF(Upgrades!$T$11="Solar Wind",POWER(Upgrades!$U$11,J351),1)*IF(Upgrades!$T$12="Solar Wind",POWER(Upgrades!$U$12,K351),1))+(IF(F351=0,0,(Upgrades!$G$7+F351*Upgrades!$H$7)*POWER(Upgrades!$I$7,F351)))*(IF(Upgrades!$T$6="Asteroid Belt",POWER(Upgrades!$U$6,E351),1)*IF(Upgrades!$T$8="Asteroid Belt",POWER(Upgrades!$U$8,G351),1)*IF(Upgrades!$T$9="Asteroid Belt",POWER(Upgrades!$U$9,H351),1)*IF(Upgrades!$T$10="Asteroid Belt",POWER(Upgrades!$U$10,I351),1)*IF(Upgrades!$T$11="Asteroid Belt",POWER(Upgrades!$U$11,J351),1)*IF(Upgrades!$T$12="Asteroid Belt",POWER(Upgrades!$U$12,K351),1))+(IF(G351=0,0,(Upgrades!$G$8+G351*Upgrades!$H$8)*POWER(Upgrades!$I$8,G351)))*(IF(Upgrades!$T$6="Stellar Coupling",POWER(Upgrades!$U$6,E351),1)*IF(Upgrades!$T$7="Stellar Coupling",POWER(Upgrades!$U$7,F351),1)*IF(Upgrades!$T$9="Stellar Coupling",POWER(Upgrades!$U$9,H351),1)*IF(Upgrades!$T$10="Stellar Coupling",POWER(Upgrades!$U$10,I351),1)*IF(Upgrades!$T$11="Stellar Coupling",POWER(Upgrades!$U$11,J351),1)*IF(Upgrades!$T$12="Stellar Coupling",POWER(Upgrades!$U$12,K351),1))+(IF(H351=0,0,(Upgrades!$G$9+H351*Upgrades!$H$9)*POWER(Upgrades!$I$9,H351)))*(IF(Upgrades!$T$6="Magnetosphere",POWER(Upgrades!$U$6,E351),1)*IF(Upgrades!$T$7="Magnetosphere",POWER(Upgrades!$U$7,F351),1)*IF(Upgrades!$T$8="Magnetosphere",POWER(Upgrades!$U$8,G351),1)*IF(Upgrades!$T$10="Magnetosphere",POWER(Upgrades!$U$10,I351),1)*IF(Upgrades!$T$11="Magnetosphere",POWER(Upgrades!$U$11,J351),1)*IF(Upgrades!$T$12="Magnetosphere",POWER(Upgrades!$U$12,K351),1))+(IF(I351=0,0,(Upgrades!$G$10+I351*Upgrades!$H$10)*POWER(Upgrades!$I$10,I351)))*(IF(Upgrades!$T$6="Orbital Resonance",POWER(Upgrades!$U$6,E351),1)*IF(Upgrades!$T$7="Orbital Resonance",POWER(Upgrades!$U$7,F351),1)*IF(Upgrades!$T$8="Orbital Resonance",POWER(Upgrades!$U$8,G351),1)*IF(Upgrades!$T$9="Orbital Resonance",POWER(Upgrades!$U$9,H351),1)*IF(Upgrades!$T$11="Orbital Resonance",POWER(Upgrades!$U$11,J351),1)*IF(Upgrades!$T$12="Orbital Resonance",POWER(Upgrades!$U$12,K351),1))+(IF(J351=0,0,(Upgrades!$G$11+J351*Upgrades!$H$11)*POWER(Upgrades!$I$11,J351)))*(IF(Upgrades!$T$6="Heliopause",POWER(Upgrades!$U$6,E351),1)*IF(Upgrades!$T$7="Heliopause",POWER(Upgrades!$U$7,F351),1)*IF(Upgrades!$T$8="Heliopause",POWER(Upgrades!$U$8,G351),1)*IF(Upgrades!$T$9="Heliopause",POWER(Upgrades!$U$9,H351),1)*IF(Upgrades!$T$10="Heliopause",POWER(Upgrades!$U$10,I351),1)*IF(Upgrades!$T$12="Heliopause",POWER(Upgrades!$U$12,K351),1))+(IF(K351=0,0,(Upgrades!$G$12+K351*Upgrades!$H$12)*POWER(Upgrades!$I$12,K351)))*(IF(Upgrades!$T$6="First Photons",POWER(Upgrades!$U$6,E351),1)*IF(Upgrades!$T$7="First Photons",POWER(Upgrades!$U$7,F351),1)*IF(Upgrades!$T$8="First Photons",POWER(Upgrades!$U$8,G351),1)*IF(Upgrades!$T$9="First Photons",POWER(Upgrades!$U$9,H351),1)*IF(Upgrades!$T$10="First Photons",POWER(Upgrades!$U$10,I351),1)*IF(Upgrades!$T$11="First Photons",POWER(Upgrades!$U$11,J351),1)))*POWER(Upgrades!$P$6,E351)*POWER(Upgrades!$P$7,F351)*POWER(Upgrades!$P$8,G351)*POWER(Upgrades!$P$9,H351)*POWER(Upgrades!$P$10,I351)*POWER(Upgrades!$P$11,J351)*POWER(Upgrades!$P$12,K351)</f>
        <v>11.2</v>
      </c>
      <c r="O351" s="28" t="n">
        <f aca="false">((IF(E351=0,0,(Upgrades!$M$6+E351*Upgrades!$N$6)*POWER(Upgrades!$O$6,E351)))*(IF(Upgrades!$T$7="Solar Wind",POWER(Upgrades!$U$7,F351),1)*IF(Upgrades!$T$8="Solar Wind",POWER(Upgrades!$U$8,G351),1)*IF(Upgrades!$T$9="Solar Wind",POWER(Upgrades!$U$9,H351),1)*IF(Upgrades!$T$10="Solar Wind",POWER(Upgrades!$U$10,I351),1)*IF(Upgrades!$T$11="Solar Wind",POWER(Upgrades!$U$11,J351),1)*IF(Upgrades!$T$12="Solar Wind",POWER(Upgrades!$U$12,K351),1))+(IF(F351=0,0,(Upgrades!$M$7+F351*Upgrades!$N$7)*POWER(Upgrades!$O$7,F351)))*(IF(Upgrades!$T$6="Asteroid Belt",POWER(Upgrades!$U$6,E351),1)*IF(Upgrades!$T$8="Asteroid Belt",POWER(Upgrades!$U$8,G351),1)*IF(Upgrades!$T$9="Asteroid Belt",POWER(Upgrades!$U$9,H351),1)*IF(Upgrades!$T$10="Asteroid Belt",POWER(Upgrades!$U$10,I351),1)*IF(Upgrades!$T$11="Asteroid Belt",POWER(Upgrades!$U$11,J351),1)*IF(Upgrades!$T$12="Asteroid Belt",POWER(Upgrades!$U$12,K351),1))+(IF(G351=0,0,(Upgrades!$M$8+G351*Upgrades!$N$8)*POWER(Upgrades!$O$8,G351)))*(IF(Upgrades!$T$6="Stellar Coupling",POWER(Upgrades!$U$6,E351),1)*IF(Upgrades!$T$7="Stellar Coupling",POWER(Upgrades!$U$7,F351),1)*IF(Upgrades!$T$9="Stellar Coupling",POWER(Upgrades!$U$9,H351),1)*IF(Upgrades!$T$10="Stellar Coupling",POWER(Upgrades!$U$10,I351),1)*IF(Upgrades!$T$11="Stellar Coupling",POWER(Upgrades!$U$11,J351),1)*IF(Upgrades!$T$12="Stellar Coupling",POWER(Upgrades!$U$12,K351),1))+(IF(H351=0,0,(Upgrades!$M$9+H351*Upgrades!$N$9)*POWER(Upgrades!$O$9,H351)))*(IF(Upgrades!$T$6="Magnetosphere",POWER(Upgrades!$U$6,E351),1)*IF(Upgrades!$T$7="Magnetosphere",POWER(Upgrades!$U$7,F351),1)*IF(Upgrades!$T$8="Magnetosphere",POWER(Upgrades!$U$8,G351),1)*IF(Upgrades!$T$10="Magnetosphere",POWER(Upgrades!$U$10,I351),1)*IF(Upgrades!$T$11="Magnetosphere",POWER(Upgrades!$U$11,J351),1)*IF(Upgrades!$T$12="Magnetosphere",POWER(Upgrades!$U$12,K351),1))+(IF(I351=0,0,(Upgrades!$M$10+I351*Upgrades!$N$10)*POWER(Upgrades!$O$10,I351)))*(IF(Upgrades!$T$6="Orbital Resonance",POWER(Upgrades!$U$6,E351),1)*IF(Upgrades!$T$7="Orbital Resonance",POWER(Upgrades!$U$7,F351),1)*IF(Upgrades!$T$8="Orbital Resonance",POWER(Upgrades!$U$8,G351),1)*IF(Upgrades!$T$9="Orbital Resonance",POWER(Upgrades!$U$9,H351),1)*IF(Upgrades!$T$11="Orbital Resonance",POWER(Upgrades!$U$11,J351),1)*IF(Upgrades!$T$12="Orbital Resonance",POWER(Upgrades!$U$12,K351),1))+(IF(J351=0,0,(Upgrades!$M$11+J351*Upgrades!$N$11)*POWER(Upgrades!$O$11,J351)))*(IF(Upgrades!$T$6="Heliopause",POWER(Upgrades!$U$6,E351),1)*IF(Upgrades!$T$7="Heliopause",POWER(Upgrades!$U$7,F351),1)*IF(Upgrades!$T$8="Heliopause",POWER(Upgrades!$U$8,G351),1)*IF(Upgrades!$T$9="Heliopause",POWER(Upgrades!$U$9,H351),1)*IF(Upgrades!$T$10="Heliopause",POWER(Upgrades!$U$10,I351),1)*IF(Upgrades!$T$12="Heliopause",POWER(Upgrades!$U$12,K351),1))+(IF(K351=0,0,(Upgrades!$M$12+K351*Upgrades!$N$12)*POWER(Upgrades!$O$12,K351)))*(IF(Upgrades!$T$6="First Photons",POWER(Upgrades!$U$6,E351),1)*IF(Upgrades!$T$7="First Photons",POWER(Upgrades!$U$7,F351),1)*IF(Upgrades!$T$8="First Photons",POWER(Upgrades!$U$8,G351),1)*IF(Upgrades!$T$9="First Photons",POWER(Upgrades!$U$9,H351),1)*IF(Upgrades!$T$10="First Photons",POWER(Upgrades!$U$10,I351),1)*IF(Upgrades!$T$11="First Photons",POWER(Upgrades!$U$11,J351),1)))*POWER(Upgrades!$R$6,E351)*POWER(Upgrades!$R$7,F351)*POWER(Upgrades!$R$8,G351)*POWER(Upgrades!$R$9,H351)*POWER(Upgrades!$R$10,I351)*POWER(Upgrades!$R$11,J351)*POWER(Upgrades!$R$12,K351)</f>
        <v>0</v>
      </c>
      <c r="P351" s="27" t="n">
        <f aca="false">IF(L351=1,0,M351*Parameters!$B$10/60*Parameters!$B$11*10)</f>
        <v>0</v>
      </c>
      <c r="Q351" s="27" t="n">
        <f aca="false">IF(L351=1,0,O351*M351*10)</f>
        <v>0</v>
      </c>
      <c r="R351" s="27" t="n">
        <f aca="false">IF(L351=1,0,N351*10)</f>
        <v>0</v>
      </c>
      <c r="S351" s="27" t="n">
        <f aca="false">P351+Q351+R351</f>
        <v>0</v>
      </c>
      <c r="T351" s="21" t="n">
        <f aca="false">C351+S351</f>
        <v>18.6730249835055</v>
      </c>
      <c r="U351" s="34" t="str">
        <f aca="false">AX351</f>
        <v/>
      </c>
      <c r="V351" s="21" t="n">
        <f aca="false">IF(U351="",0,IF(U351="transition",0,IF(U351="SW",AG351,IF(U351="AB",AH351,IF(U351="SC",AI351,IF(U351="Mag",AJ351,IF(U351="OR",AK351,IF(U351="HP",AL351,IF(U351="FP",AM351,0)))))))))</f>
        <v>0</v>
      </c>
      <c r="W351" s="27" t="n">
        <f aca="false">IF(U351="OR",Upgrades!$F$10,IF(U351="HP",Upgrades!$F$11,IF(U351="transition",-Parameters!$B$18,0)))</f>
        <v>0</v>
      </c>
      <c r="X351" s="21" t="n">
        <f aca="false">T351-V351</f>
        <v>18.6730249835055</v>
      </c>
      <c r="Y351" s="30" t="n">
        <f aca="false">M351*Parameters!$B$10/60*Parameters!$B$11+O351*M351+N351</f>
        <v>20.55</v>
      </c>
      <c r="Z351" s="35" t="str">
        <f aca="false">IF(U351="transition","→ Tier 2 (Stellar Neighborhood)",IF(U351="FP","First Photons — light begins, system quickens",IF(U351="HP","Heliopause acquired",IF(U351="OR","Orbital Resonance — passive multiplier active",IF(AND(AO351=1,L351=0,AN351&lt;&gt;1),"Cohesion ready (waiting on completionist upgrades)","")))))</f>
        <v/>
      </c>
      <c r="AA351" s="27" t="n">
        <f aca="false">(IF(E351=0,0,(Upgrades!$G$6+E351*Upgrades!$H$6)*POWER(Upgrades!$I$6,E351)))*(IF(Upgrades!$T$7="Solar Wind",POWER(Upgrades!$U$7,F351),1)*IF(Upgrades!$T$8="Solar Wind",POWER(Upgrades!$U$8,G351),1)*IF(Upgrades!$T$9="Solar Wind",POWER(Upgrades!$U$9,H351),1)*IF(Upgrades!$T$10="Solar Wind",POWER(Upgrades!$U$10,I351),1)*IF(Upgrades!$T$11="Solar Wind",POWER(Upgrades!$U$11,J351),1)*IF(Upgrades!$T$12="Solar Wind",POWER(Upgrades!$U$12,K351),1))*POWER(Upgrades!$P$6,E351)*POWER(Upgrades!$P$7,F351)*POWER(Upgrades!$P$8,G351)*POWER(Upgrades!$P$9,H351)*POWER(Upgrades!$P$10,I351)*POWER(Upgrades!$P$11,J351)*POWER(Upgrades!$P$12,K351)*60</f>
        <v>72</v>
      </c>
      <c r="AB351" s="27" t="n">
        <f aca="false">(IF(F351=0,0,(Upgrades!$G$7+F351*Upgrades!$H$7)*POWER(Upgrades!$I$7,F351)))*(IF(Upgrades!$T$6="Asteroid Belt",POWER(Upgrades!$U$6,E351),1)*IF(Upgrades!$T$8="Asteroid Belt",POWER(Upgrades!$U$8,G351),1)*IF(Upgrades!$T$9="Asteroid Belt",POWER(Upgrades!$U$9,H351),1)*IF(Upgrades!$T$10="Asteroid Belt",POWER(Upgrades!$U$10,I351),1)*IF(Upgrades!$T$11="Asteroid Belt",POWER(Upgrades!$U$11,J351),1)*IF(Upgrades!$T$12="Asteroid Belt",POWER(Upgrades!$U$12,K351),1))*POWER(Upgrades!$P$6,E351)*POWER(Upgrades!$P$7,F351)*POWER(Upgrades!$P$8,G351)*POWER(Upgrades!$P$9,H351)*POWER(Upgrades!$P$10,I351)*POWER(Upgrades!$P$11,J351)*POWER(Upgrades!$P$12,K351)*60</f>
        <v>150</v>
      </c>
      <c r="AC351" s="27" t="n">
        <f aca="false">(IF(G351=0,0,(Upgrades!$J$8+G351*Upgrades!$K$8)*POWER(Upgrades!$L$8,G351)))*(IF(Upgrades!$T$6="Stellar Coupling",POWER(Upgrades!$U$6,E351),1)*IF(Upgrades!$T$7="Stellar Coupling",POWER(Upgrades!$U$7,F351),1)*IF(Upgrades!$T$9="Stellar Coupling",POWER(Upgrades!$U$9,H351),1)*IF(Upgrades!$T$10="Stellar Coupling",POWER(Upgrades!$U$10,I351),1)*IF(Upgrades!$T$11="Stellar Coupling",POWER(Upgrades!$U$11,J351),1)*IF(Upgrades!$T$12="Stellar Coupling",POWER(Upgrades!$U$12,K351),1))*POWER(Upgrades!$Q$6,E351)*POWER(Upgrades!$Q$7,F351)*POWER(Upgrades!$Q$8,G351)*POWER(Upgrades!$Q$9,H351)*POWER(Upgrades!$Q$10,I351)*POWER(Upgrades!$Q$11,J351)*POWER(Upgrades!$Q$12,K351)*Parameters!$B$10*Parameters!$B$11</f>
        <v>441</v>
      </c>
      <c r="AD351" s="27" t="n">
        <f aca="false">(IF(H351=0,0,(Upgrades!$G$9+H351*Upgrades!$H$9)*POWER(Upgrades!$I$9,H351)))*(IF(Upgrades!$T$6="Magnetosphere",POWER(Upgrades!$U$6,E351),1)*IF(Upgrades!$T$7="Magnetosphere",POWER(Upgrades!$U$7,F351),1)*IF(Upgrades!$T$8="Magnetosphere",POWER(Upgrades!$U$8,G351),1)*IF(Upgrades!$T$10="Magnetosphere",POWER(Upgrades!$U$10,I351),1)*IF(Upgrades!$T$11="Magnetosphere",POWER(Upgrades!$U$11,J351),1)*IF(Upgrades!$T$12="Magnetosphere",POWER(Upgrades!$U$12,K351),1))*POWER(Upgrades!$P$6,E351)*POWER(Upgrades!$P$7,F351)*POWER(Upgrades!$P$8,G351)*POWER(Upgrades!$P$9,H351)*POWER(Upgrades!$P$10,I351)*POWER(Upgrades!$P$11,J351)*POWER(Upgrades!$P$12,K351)*60</f>
        <v>375</v>
      </c>
      <c r="AE351" s="27" t="n">
        <f aca="false">(IF(K351=0,0,(Upgrades!$G$12+K351*Upgrades!$H$12)*POWER(Upgrades!$I$12,K351)))*(IF(Upgrades!$T$6="First Photons",POWER(Upgrades!$U$6,E351),1)*IF(Upgrades!$T$7="First Photons",POWER(Upgrades!$U$7,F351),1)*IF(Upgrades!$T$8="First Photons",POWER(Upgrades!$U$8,G351),1)*IF(Upgrades!$T$9="First Photons",POWER(Upgrades!$U$9,H351),1)*IF(Upgrades!$T$10="First Photons",POWER(Upgrades!$U$10,I351),1)*IF(Upgrades!$T$11="First Photons",POWER(Upgrades!$U$11,J351),1))*POWER(Upgrades!$P$6,E351)*POWER(Upgrades!$P$7,F351)*POWER(Upgrades!$P$8,G351)*POWER(Upgrades!$P$9,H351)*POWER(Upgrades!$P$10,I351)*POWER(Upgrades!$P$11,J351)*POWER(Upgrades!$P$12,K351)*60</f>
        <v>75</v>
      </c>
      <c r="AF351" s="27" t="n">
        <f aca="false">Parameters!$B$9*POWER(Upgrades!$Q$6,E351)*POWER(Upgrades!$Q$7,F351)*POWER(Upgrades!$Q$8,G351)*POWER(Upgrades!$Q$9,H351)*POWER(Upgrades!$Q$10,I351)*POWER(Upgrades!$Q$11,J351)*POWER(Upgrades!$Q$12,K351)*(Parameters!$B$10*Parameters!$B$11+O351*60)</f>
        <v>120</v>
      </c>
      <c r="AG351" s="21" t="n">
        <f aca="false">IF(E351&gt;=Upgrades!$E$6,"",Upgrades!$C$6*POWER(Upgrades!$D$6,E351))</f>
        <v>37.4517507383159</v>
      </c>
      <c r="AH351" s="21" t="n">
        <f aca="false">IF(F351&gt;=Upgrades!$E$7,"",Upgrades!$C$7*POWER(Upgrades!$D$7,F351))</f>
        <v>80.9111547141581</v>
      </c>
      <c r="AI351" s="21" t="n">
        <f aca="false">IF(G351&gt;=Upgrades!$E$8,"",Upgrades!$C$8*POWER(Upgrades!$D$8,G351))</f>
        <v>231.9097088</v>
      </c>
      <c r="AJ351" s="21" t="str">
        <f aca="false">IF(H351&gt;=Upgrades!$E$9,"",Upgrades!$C$9*POWER(Upgrades!$D$9,H351))</f>
        <v/>
      </c>
      <c r="AK351" s="21" t="str">
        <f aca="false">IF(I351&gt;=Upgrades!$E$10,"",Upgrades!$C$10*POWER(Upgrades!$D$10,I351))</f>
        <v/>
      </c>
      <c r="AL351" s="21" t="str">
        <f aca="false">IF(J351&gt;=Upgrades!$E$11,"",Upgrades!$C$11*POWER(Upgrades!$D$11,J351))</f>
        <v/>
      </c>
      <c r="AM351" s="21" t="str">
        <f aca="false">IF(K351&gt;=Upgrades!$E$12,"",Upgrades!$C$12*POWER(Upgrades!$D$12,K351))</f>
        <v/>
      </c>
      <c r="AN351" s="26" t="str">
        <f aca="false">IF(AND(D351&gt;=Parameters!$B$18,(H351&gt;=Upgrades!$E$9)*(K351&gt;=Upgrades!$E$12)=1,L351=0),1,"")</f>
        <v/>
      </c>
      <c r="AO351" s="26" t="str">
        <f aca="false">IF(AND(D351&gt;=Parameters!$B$18,L351=0),1,"")</f>
        <v/>
      </c>
      <c r="AP351" s="21" t="n">
        <f aca="false">MIN(IF(ISNUMBER(AK351),AK351,9000000000000000),IF(ISNUMBER(AL351),AL351,9000000000000000),IF(ISNUMBER(AM351),AM351,9000000000000000))</f>
        <v>9000000000000000</v>
      </c>
      <c r="AQ351" s="21" t="n">
        <f aca="false">MIN(IF(ISNUMBER(AG351),AG351,9000000000000000),IF(ISNUMBER(AH351),AH351,9000000000000000),IF(ISNUMBER(AI351),AI351,9000000000000000),IF(ISNUMBER(AJ351),AJ351,9000000000000000))</f>
        <v>37.4517507383159</v>
      </c>
      <c r="AR351" s="32" t="b">
        <f aca="false">IF(AW351&gt;Parameters!$B$21*(MAX(IF(AND(NOT(AND(AO351=1,AN351&lt;&gt;1)),ISNUMBER(AG351),AG351&lt;=T351),AS351,0),IF(AND(NOT(AND(AO351=1,AN351&lt;&gt;1)),ISNUMBER(AH351),AH351&lt;=T351),AT351,0),IF(AND(NOT(AND(AO351=1,AN351&lt;&gt;1)),ISNUMBER(AI351),AI351&lt;=T351),AU351,0),IF(AND(ISNUMBER(AJ351),AJ351&lt;=T351),AV351,0))),TRUE(),FALSE())</f>
        <v>1</v>
      </c>
      <c r="AS351" s="33" t="n">
        <f aca="false">IFERROR(Upgrades!$H$6*(POWER(Upgrades!$P$6,E351)*POWER(Upgrades!$P$7,F351)*POWER(Upgrades!$P$8,G351)*POWER(Upgrades!$P$9,H351)*POWER(Upgrades!$P$10,I351)*POWER(Upgrades!$P$11,J351)*POWER(Upgrades!$P$12,K351))*(IF(Upgrades!$T$7="Solar Wind",POWER(Upgrades!$U$7,F351),1)*IF(Upgrades!$T$8="Solar Wind",POWER(Upgrades!$U$8,G351),1)*IF(Upgrades!$T$9="Solar Wind",POWER(Upgrades!$U$9,H351),1)*IF(Upgrades!$T$10="Solar Wind",POWER(Upgrades!$U$10,I351),1)*IF(Upgrades!$T$11="Solar Wind",POWER(Upgrades!$U$11,J351),1)*IF(Upgrades!$T$12="Solar Wind",POWER(Upgrades!$U$12,K351),1))/AG351,0)</f>
        <v>0.0026701021455238</v>
      </c>
      <c r="AT351" s="33" t="n">
        <f aca="false">IFERROR(Upgrades!$H$7*(POWER(Upgrades!$P$6,E351)*POWER(Upgrades!$P$7,F351)*POWER(Upgrades!$P$8,G351)*POWER(Upgrades!$P$9,H351)*POWER(Upgrades!$P$10,I351)*POWER(Upgrades!$P$11,J351)*POWER(Upgrades!$P$12,K351))*(IF(Upgrades!$T$6="Asteroid Belt",POWER(Upgrades!$U$6,E351),1)*IF(Upgrades!$T$8="Asteroid Belt",POWER(Upgrades!$U$8,G351),1)*IF(Upgrades!$T$9="Asteroid Belt",POWER(Upgrades!$U$9,H351),1)*IF(Upgrades!$T$10="Asteroid Belt",POWER(Upgrades!$U$10,I351),1)*IF(Upgrades!$T$11="Asteroid Belt",POWER(Upgrades!$U$11,J351),1)*IF(Upgrades!$T$12="Asteroid Belt",POWER(Upgrades!$U$12,K351),1))/AH351,0)</f>
        <v>0.00308980882652332</v>
      </c>
      <c r="AU351" s="33" t="n">
        <f aca="false">IFERROR(Upgrades!$K$8*(POWER(Upgrades!$Q$6,E351)*POWER(Upgrades!$Q$7,F351)*POWER(Upgrades!$Q$8,G351)*POWER(Upgrades!$Q$9,H351)*POWER(Upgrades!$Q$10,I351)*POWER(Upgrades!$Q$11,J351)*POWER(Upgrades!$Q$12,K351))*(IF(Upgrades!$T$6="Stellar Coupling",POWER(Upgrades!$U$6,E351),1)*IF(Upgrades!$T$7="Stellar Coupling",POWER(Upgrades!$U$7,F351),1)*IF(Upgrades!$T$9="Stellar Coupling",POWER(Upgrades!$U$9,H351),1)*IF(Upgrades!$T$10="Stellar Coupling",POWER(Upgrades!$U$10,I351),1)*IF(Upgrades!$T$11="Stellar Coupling",POWER(Upgrades!$U$11,J351),1)*IF(Upgrades!$T$12="Stellar Coupling",POWER(Upgrades!$U$12,K351),1))*Parameters!$B$10*Parameters!$B$11/60/AI351,0)</f>
        <v>0.00452762415783776</v>
      </c>
      <c r="AV351" s="33" t="n">
        <f aca="false">IFERROR(Upgrades!$H$9*(POWER(Upgrades!$P$6,E351)*POWER(Upgrades!$P$7,F351)*POWER(Upgrades!$P$8,G351)*POWER(Upgrades!$P$9,H351)*POWER(Upgrades!$P$10,I351)*POWER(Upgrades!$P$11,J351)*POWER(Upgrades!$P$12,K351))*(IF(Upgrades!$T$6="Magnetosphere",POWER(Upgrades!$U$6,E351),1)*IF(Upgrades!$T$7="Magnetosphere",POWER(Upgrades!$U$7,F351),1)*IF(Upgrades!$T$8="Magnetosphere",POWER(Upgrades!$U$8,G351),1)*IF(Upgrades!$T$10="Magnetosphere",POWER(Upgrades!$U$10,I351),1)*IF(Upgrades!$T$11="Magnetosphere",POWER(Upgrades!$U$11,J351),1)*IF(Upgrades!$T$12="Magnetosphere",POWER(Upgrades!$U$12,K351),1))/AJ351,0)</f>
        <v>0</v>
      </c>
      <c r="AW351" s="33" t="n">
        <f aca="false">MAX(IF(I351&gt;0,0,IFERROR(0.25*N351/Upgrades!$C$10,0)),IF(J351&gt;0,0,IFERROR(0.5*((IF(G351=0,0,(Upgrades!$J$8+G351*Upgrades!$K$8)*POWER(Upgrades!$L$8,G351)))*(IF(Upgrades!$T$6="Stellar Coupling",POWER(Upgrades!$U$6,E351),1)*IF(Upgrades!$T$7="Stellar Coupling",POWER(Upgrades!$U$7,F351),1)*IF(Upgrades!$T$9="Stellar Coupling",POWER(Upgrades!$U$9,H351),1)*IF(Upgrades!$T$10="Stellar Coupling",POWER(Upgrades!$U$10,I351),1)*IF(Upgrades!$T$11="Stellar Coupling",POWER(Upgrades!$U$11,J351),1)*IF(Upgrades!$T$12="Stellar Coupling",POWER(Upgrades!$U$12,K351),1))*(POWER(Upgrades!$Q$6,E351)*POWER(Upgrades!$Q$7,F351)*POWER(Upgrades!$Q$8,G351)*POWER(Upgrades!$Q$9,H351)*POWER(Upgrades!$Q$10,I351)*POWER(Upgrades!$Q$11,J351)*POWER(Upgrades!$Q$12,K351))*Parameters!$B$10*Parameters!$B$11/60)/Upgrades!$C$11,0)),IF(K351&gt;0,0,IFERROR((1*(POWER(Upgrades!$P$6,E351)*POWER(Upgrades!$P$7,F351)*POWER(Upgrades!$P$8,G351)*POWER(Upgrades!$P$9,H351)*POWER(Upgrades!$P$10,I351)*POWER(Upgrades!$P$11,J351)*POWER(Upgrades!$P$12,K351))+0.2*M351*Parameters!$B$10*Parameters!$B$11/60)/Upgrades!$C$12,0)),IF(AND(ISNUMBER(AG351),AG351&gt;T351),AS351,0),IF(AND(ISNUMBER(AH351),AH351&gt;T351),AT351,0),IF(AND(ISNUMBER(AI351),AI351&gt;T351),AU351,0),IF(AND(ISNUMBER(AJ351),AJ351&gt;T351),AV351,0))</f>
        <v>0.00452762415783776</v>
      </c>
      <c r="AX351" s="29" t="str">
        <f aca="false">IF(AN351=1,"transition",IF(MIN(IF(AND(I351=0,ISNUMBER(AK351),AK351&lt;=T351),AK351,9000000000000000),IF(AND(J351=0,ISNUMBER(AL351),AL351&lt;=T351),AL351,9000000000000000),IF(AND(K351=0,ISNUMBER(AM351),AM351&lt;=T351),AM351,9000000000000000))&lt;9000000000000000,IF(AND(AND(I351=0,ISNUMBER(AK351),AK351&lt;=T351),AK351=MIN(IF(AND(I351=0,ISNUMBER(AK351),AK351&lt;=T351),AK351,9000000000000000),IF(AND(J351=0,ISNUMBER(AL351),AL351&lt;=T351),AL351,9000000000000000),IF(AND(K351=0,ISNUMBER(AM351),AM351&lt;=T351),AM351,9000000000000000))),"OR",IF(AND(AND(J351=0,ISNUMBER(AL351),AL351&lt;=T351),AL351=MIN(IF(AND(I351=0,ISNUMBER(AK351),AK351&lt;=T351),AK351,9000000000000000),IF(AND(J351=0,ISNUMBER(AL351),AL351&lt;=T351),AL351,9000000000000000),IF(AND(K351=0,ISNUMBER(AM351),AM351&lt;=T351),AM351,9000000000000000))),"HP","FP")),IF(AR351=TRUE(),"",IF(MAX(IF(AND(NOT(AND(AO351=1,AN351&lt;&gt;1)),ISNUMBER(AG351),AG351&lt;=T351),AS351,0),IF(AND(NOT(AND(AO351=1,AN351&lt;&gt;1)),ISNUMBER(AH351),AH351&lt;=T351),AT351,0),IF(AND(NOT(AND(AO351=1,AN351&lt;&gt;1)),ISNUMBER(AI351),AI351&lt;=T351),AU351,0),IF(AND(ISNUMBER(AJ351),AJ351&lt;=T351),AV351,0))&lt;=0,"",IF(AND(IF(AND(NOT(AND(AO351=1,AN351&lt;&gt;1)),ISNUMBER(AG351),AG351&lt;=T351),AS351,0)&gt;0,IF(AND(NOT(AND(AO351=1,AN351&lt;&gt;1)),ISNUMBER(AG351),AG351&lt;=T351),AS351,0)=MAX(IF(AND(NOT(AND(AO351=1,AN351&lt;&gt;1)),ISNUMBER(AG351),AG351&lt;=T351),AS351,0),IF(AND(NOT(AND(AO351=1,AN351&lt;&gt;1)),ISNUMBER(AH351),AH351&lt;=T351),AT351,0),IF(AND(NOT(AND(AO351=1,AN351&lt;&gt;1)),ISNUMBER(AI351),AI351&lt;=T351),AU351,0),IF(AND(ISNUMBER(AJ351),AJ351&lt;=T351),AV351,0))),"SW",IF(AND(IF(AND(NOT(AND(AO351=1,AN351&lt;&gt;1)),ISNUMBER(AH351),AH351&lt;=T351),AT351,0)&gt;0,IF(AND(NOT(AND(AO351=1,AN351&lt;&gt;1)),ISNUMBER(AH351),AH351&lt;=T351),AT351,0)=MAX(IF(AND(NOT(AND(AO351=1,AN351&lt;&gt;1)),ISNUMBER(AG351),AG351&lt;=T351),AS351,0),IF(AND(NOT(AND(AO351=1,AN351&lt;&gt;1)),ISNUMBER(AH351),AH351&lt;=T351),AT351,0),IF(AND(NOT(AND(AO351=1,AN351&lt;&gt;1)),ISNUMBER(AI351),AI351&lt;=T351),AU351,0),IF(AND(ISNUMBER(AJ351),AJ351&lt;=T351),AV351,0))),"AB",IF(AND(IF(AND(NOT(AND(AO351=1,AN351&lt;&gt;1)),ISNUMBER(AI351),AI351&lt;=T351),AU351,0)&gt;0,IF(AND(NOT(AND(AO351=1,AN351&lt;&gt;1)),ISNUMBER(AI351),AI351&lt;=T351),AU351,0)=MAX(IF(AND(NOT(AND(AO351=1,AN351&lt;&gt;1)),ISNUMBER(AG351),AG351&lt;=T351),AS351,0),IF(AND(NOT(AND(AO351=1,AN351&lt;&gt;1)),ISNUMBER(AH351),AH351&lt;=T351),AT351,0),IF(AND(NOT(AND(AO351=1,AN351&lt;&gt;1)),ISNUMBER(AI351),AI351&lt;=T351),AU351,0),IF(AND(ISNUMBER(AJ351),AJ351&lt;=T351),AV351,0))),"SC","Mag")))))))</f>
        <v/>
      </c>
    </row>
    <row r="352" customFormat="false" ht="15" hidden="false" customHeight="false" outlineLevel="0" collapsed="false">
      <c r="A352" s="26" t="n">
        <v>347</v>
      </c>
      <c r="B352" s="27" t="n">
        <f aca="false">A352*10/60</f>
        <v>57.8333333333333</v>
      </c>
      <c r="C352" s="21" t="n">
        <f aca="false">X351</f>
        <v>18.6730249835055</v>
      </c>
      <c r="D352" s="27" t="n">
        <f aca="false">D351+W351</f>
        <v>0</v>
      </c>
      <c r="E352" s="26" t="n">
        <f aca="false">E351+IF(U351="SW",1,0)</f>
        <v>12</v>
      </c>
      <c r="F352" s="26" t="n">
        <f aca="false">F351+IF(U351="AB",1,0)</f>
        <v>10</v>
      </c>
      <c r="G352" s="26" t="n">
        <f aca="false">G351+IF(U351="SC",1,0)</f>
        <v>7</v>
      </c>
      <c r="H352" s="26" t="n">
        <f aca="false">H351+IF(U351="Mag",1,0)</f>
        <v>5</v>
      </c>
      <c r="I352" s="26" t="n">
        <f aca="false">MAX(I351,IF(U351="OR",1,0))</f>
        <v>1</v>
      </c>
      <c r="J352" s="26" t="n">
        <f aca="false">MAX(J351,IF(U351="HP",1,0))</f>
        <v>1</v>
      </c>
      <c r="K352" s="26" t="n">
        <f aca="false">MAX(K351,IF(U351="FP",1,0))</f>
        <v>1</v>
      </c>
      <c r="L352" s="26" t="n">
        <f aca="false">MAX(L351,IF(U351="transition",1,0))</f>
        <v>1</v>
      </c>
      <c r="M352" s="28" t="n">
        <f aca="false">(Parameters!$B$9+(IF(E352=0,0,(Upgrades!$J$6+E352*Upgrades!$K$6)*POWER(Upgrades!$L$6,E352)))*(IF(Upgrades!$T$7="Solar Wind",POWER(Upgrades!$U$7,F352),1)*IF(Upgrades!$T$8="Solar Wind",POWER(Upgrades!$U$8,G352),1)*IF(Upgrades!$T$9="Solar Wind",POWER(Upgrades!$U$9,H352),1)*IF(Upgrades!$T$10="Solar Wind",POWER(Upgrades!$U$10,I352),1)*IF(Upgrades!$T$11="Solar Wind",POWER(Upgrades!$U$11,J352),1)*IF(Upgrades!$T$12="Solar Wind",POWER(Upgrades!$U$12,K352),1))+(IF(F352=0,0,(Upgrades!$J$7+F352*Upgrades!$K$7)*POWER(Upgrades!$L$7,F352)))*(IF(Upgrades!$T$6="Asteroid Belt",POWER(Upgrades!$U$6,E352),1)*IF(Upgrades!$T$8="Asteroid Belt",POWER(Upgrades!$U$8,G352),1)*IF(Upgrades!$T$9="Asteroid Belt",POWER(Upgrades!$U$9,H352),1)*IF(Upgrades!$T$10="Asteroid Belt",POWER(Upgrades!$U$10,I352),1)*IF(Upgrades!$T$11="Asteroid Belt",POWER(Upgrades!$U$11,J352),1)*IF(Upgrades!$T$12="Asteroid Belt",POWER(Upgrades!$U$12,K352),1))+(IF(G352=0,0,(Upgrades!$J$8+G352*Upgrades!$K$8)*POWER(Upgrades!$L$8,G352)))*(IF(Upgrades!$T$6="Stellar Coupling",POWER(Upgrades!$U$6,E352),1)*IF(Upgrades!$T$7="Stellar Coupling",POWER(Upgrades!$U$7,F352),1)*IF(Upgrades!$T$9="Stellar Coupling",POWER(Upgrades!$U$9,H352),1)*IF(Upgrades!$T$10="Stellar Coupling",POWER(Upgrades!$U$10,I352),1)*IF(Upgrades!$T$11="Stellar Coupling",POWER(Upgrades!$U$11,J352),1)*IF(Upgrades!$T$12="Stellar Coupling",POWER(Upgrades!$U$12,K352),1))+(IF(H352=0,0,(Upgrades!$J$9+H352*Upgrades!$K$9)*POWER(Upgrades!$L$9,H352)))*(IF(Upgrades!$T$6="Magnetosphere",POWER(Upgrades!$U$6,E352),1)*IF(Upgrades!$T$7="Magnetosphere",POWER(Upgrades!$U$7,F352),1)*IF(Upgrades!$T$8="Magnetosphere",POWER(Upgrades!$U$8,G352),1)*IF(Upgrades!$T$10="Magnetosphere",POWER(Upgrades!$U$10,I352),1)*IF(Upgrades!$T$11="Magnetosphere",POWER(Upgrades!$U$11,J352),1)*IF(Upgrades!$T$12="Magnetosphere",POWER(Upgrades!$U$12,K352),1))+(IF(I352=0,0,(Upgrades!$J$10+I352*Upgrades!$K$10)*POWER(Upgrades!$L$10,I352)))*(IF(Upgrades!$T$6="Orbital Resonance",POWER(Upgrades!$U$6,E352),1)*IF(Upgrades!$T$7="Orbital Resonance",POWER(Upgrades!$U$7,F352),1)*IF(Upgrades!$T$8="Orbital Resonance",POWER(Upgrades!$U$8,G352),1)*IF(Upgrades!$T$9="Orbital Resonance",POWER(Upgrades!$U$9,H352),1)*IF(Upgrades!$T$11="Orbital Resonance",POWER(Upgrades!$U$11,J352),1)*IF(Upgrades!$T$12="Orbital Resonance",POWER(Upgrades!$U$12,K352),1))+(IF(J352=0,0,(Upgrades!$J$11+J352*Upgrades!$K$11)*POWER(Upgrades!$L$11,J352)))*(IF(Upgrades!$T$6="Heliopause",POWER(Upgrades!$U$6,E352),1)*IF(Upgrades!$T$7="Heliopause",POWER(Upgrades!$U$7,F352),1)*IF(Upgrades!$T$8="Heliopause",POWER(Upgrades!$U$8,G352),1)*IF(Upgrades!$T$9="Heliopause",POWER(Upgrades!$U$9,H352),1)*IF(Upgrades!$T$10="Heliopause",POWER(Upgrades!$U$10,I352),1)*IF(Upgrades!$T$12="Heliopause",POWER(Upgrades!$U$12,K352),1))+(IF(K352=0,0,(Upgrades!$J$12+K352*Upgrades!$K$12)*POWER(Upgrades!$L$12,K352)))*(IF(Upgrades!$T$6="First Photons",POWER(Upgrades!$U$6,E352),1)*IF(Upgrades!$T$7="First Photons",POWER(Upgrades!$U$7,F352),1)*IF(Upgrades!$T$8="First Photons",POWER(Upgrades!$U$8,G352),1)*IF(Upgrades!$T$9="First Photons",POWER(Upgrades!$U$9,H352),1)*IF(Upgrades!$T$10="First Photons",POWER(Upgrades!$U$10,I352),1)*IF(Upgrades!$T$11="First Photons",POWER(Upgrades!$U$11,J352),1)))*POWER(Upgrades!$Q$6,E352)*POWER(Upgrades!$Q$7,F352)*POWER(Upgrades!$Q$8,G352)*POWER(Upgrades!$Q$9,H352)*POWER(Upgrades!$Q$10,I352)*POWER(Upgrades!$Q$11,J352)*POWER(Upgrades!$Q$12,K352)</f>
        <v>5.61</v>
      </c>
      <c r="N352" s="28" t="n">
        <f aca="false">((IF(E352=0,0,(Upgrades!$G$6+E352*Upgrades!$H$6)*POWER(Upgrades!$I$6,E352)))*(IF(Upgrades!$T$7="Solar Wind",POWER(Upgrades!$U$7,F352),1)*IF(Upgrades!$T$8="Solar Wind",POWER(Upgrades!$U$8,G352),1)*IF(Upgrades!$T$9="Solar Wind",POWER(Upgrades!$U$9,H352),1)*IF(Upgrades!$T$10="Solar Wind",POWER(Upgrades!$U$10,I352),1)*IF(Upgrades!$T$11="Solar Wind",POWER(Upgrades!$U$11,J352),1)*IF(Upgrades!$T$12="Solar Wind",POWER(Upgrades!$U$12,K352),1))+(IF(F352=0,0,(Upgrades!$G$7+F352*Upgrades!$H$7)*POWER(Upgrades!$I$7,F352)))*(IF(Upgrades!$T$6="Asteroid Belt",POWER(Upgrades!$U$6,E352),1)*IF(Upgrades!$T$8="Asteroid Belt",POWER(Upgrades!$U$8,G352),1)*IF(Upgrades!$T$9="Asteroid Belt",POWER(Upgrades!$U$9,H352),1)*IF(Upgrades!$T$10="Asteroid Belt",POWER(Upgrades!$U$10,I352),1)*IF(Upgrades!$T$11="Asteroid Belt",POWER(Upgrades!$U$11,J352),1)*IF(Upgrades!$T$12="Asteroid Belt",POWER(Upgrades!$U$12,K352),1))+(IF(G352=0,0,(Upgrades!$G$8+G352*Upgrades!$H$8)*POWER(Upgrades!$I$8,G352)))*(IF(Upgrades!$T$6="Stellar Coupling",POWER(Upgrades!$U$6,E352),1)*IF(Upgrades!$T$7="Stellar Coupling",POWER(Upgrades!$U$7,F352),1)*IF(Upgrades!$T$9="Stellar Coupling",POWER(Upgrades!$U$9,H352),1)*IF(Upgrades!$T$10="Stellar Coupling",POWER(Upgrades!$U$10,I352),1)*IF(Upgrades!$T$11="Stellar Coupling",POWER(Upgrades!$U$11,J352),1)*IF(Upgrades!$T$12="Stellar Coupling",POWER(Upgrades!$U$12,K352),1))+(IF(H352=0,0,(Upgrades!$G$9+H352*Upgrades!$H$9)*POWER(Upgrades!$I$9,H352)))*(IF(Upgrades!$T$6="Magnetosphere",POWER(Upgrades!$U$6,E352),1)*IF(Upgrades!$T$7="Magnetosphere",POWER(Upgrades!$U$7,F352),1)*IF(Upgrades!$T$8="Magnetosphere",POWER(Upgrades!$U$8,G352),1)*IF(Upgrades!$T$10="Magnetosphere",POWER(Upgrades!$U$10,I352),1)*IF(Upgrades!$T$11="Magnetosphere",POWER(Upgrades!$U$11,J352),1)*IF(Upgrades!$T$12="Magnetosphere",POWER(Upgrades!$U$12,K352),1))+(IF(I352=0,0,(Upgrades!$G$10+I352*Upgrades!$H$10)*POWER(Upgrades!$I$10,I352)))*(IF(Upgrades!$T$6="Orbital Resonance",POWER(Upgrades!$U$6,E352),1)*IF(Upgrades!$T$7="Orbital Resonance",POWER(Upgrades!$U$7,F352),1)*IF(Upgrades!$T$8="Orbital Resonance",POWER(Upgrades!$U$8,G352),1)*IF(Upgrades!$T$9="Orbital Resonance",POWER(Upgrades!$U$9,H352),1)*IF(Upgrades!$T$11="Orbital Resonance",POWER(Upgrades!$U$11,J352),1)*IF(Upgrades!$T$12="Orbital Resonance",POWER(Upgrades!$U$12,K352),1))+(IF(J352=0,0,(Upgrades!$G$11+J352*Upgrades!$H$11)*POWER(Upgrades!$I$11,J352)))*(IF(Upgrades!$T$6="Heliopause",POWER(Upgrades!$U$6,E352),1)*IF(Upgrades!$T$7="Heliopause",POWER(Upgrades!$U$7,F352),1)*IF(Upgrades!$T$8="Heliopause",POWER(Upgrades!$U$8,G352),1)*IF(Upgrades!$T$9="Heliopause",POWER(Upgrades!$U$9,H352),1)*IF(Upgrades!$T$10="Heliopause",POWER(Upgrades!$U$10,I352),1)*IF(Upgrades!$T$12="Heliopause",POWER(Upgrades!$U$12,K352),1))+(IF(K352=0,0,(Upgrades!$G$12+K352*Upgrades!$H$12)*POWER(Upgrades!$I$12,K352)))*(IF(Upgrades!$T$6="First Photons",POWER(Upgrades!$U$6,E352),1)*IF(Upgrades!$T$7="First Photons",POWER(Upgrades!$U$7,F352),1)*IF(Upgrades!$T$8="First Photons",POWER(Upgrades!$U$8,G352),1)*IF(Upgrades!$T$9="First Photons",POWER(Upgrades!$U$9,H352),1)*IF(Upgrades!$T$10="First Photons",POWER(Upgrades!$U$10,I352),1)*IF(Upgrades!$T$11="First Photons",POWER(Upgrades!$U$11,J352),1)))*POWER(Upgrades!$P$6,E352)*POWER(Upgrades!$P$7,F352)*POWER(Upgrades!$P$8,G352)*POWER(Upgrades!$P$9,H352)*POWER(Upgrades!$P$10,I352)*POWER(Upgrades!$P$11,J352)*POWER(Upgrades!$P$12,K352)</f>
        <v>11.2</v>
      </c>
      <c r="O352" s="28" t="n">
        <f aca="false">((IF(E352=0,0,(Upgrades!$M$6+E352*Upgrades!$N$6)*POWER(Upgrades!$O$6,E352)))*(IF(Upgrades!$T$7="Solar Wind",POWER(Upgrades!$U$7,F352),1)*IF(Upgrades!$T$8="Solar Wind",POWER(Upgrades!$U$8,G352),1)*IF(Upgrades!$T$9="Solar Wind",POWER(Upgrades!$U$9,H352),1)*IF(Upgrades!$T$10="Solar Wind",POWER(Upgrades!$U$10,I352),1)*IF(Upgrades!$T$11="Solar Wind",POWER(Upgrades!$U$11,J352),1)*IF(Upgrades!$T$12="Solar Wind",POWER(Upgrades!$U$12,K352),1))+(IF(F352=0,0,(Upgrades!$M$7+F352*Upgrades!$N$7)*POWER(Upgrades!$O$7,F352)))*(IF(Upgrades!$T$6="Asteroid Belt",POWER(Upgrades!$U$6,E352),1)*IF(Upgrades!$T$8="Asteroid Belt",POWER(Upgrades!$U$8,G352),1)*IF(Upgrades!$T$9="Asteroid Belt",POWER(Upgrades!$U$9,H352),1)*IF(Upgrades!$T$10="Asteroid Belt",POWER(Upgrades!$U$10,I352),1)*IF(Upgrades!$T$11="Asteroid Belt",POWER(Upgrades!$U$11,J352),1)*IF(Upgrades!$T$12="Asteroid Belt",POWER(Upgrades!$U$12,K352),1))+(IF(G352=0,0,(Upgrades!$M$8+G352*Upgrades!$N$8)*POWER(Upgrades!$O$8,G352)))*(IF(Upgrades!$T$6="Stellar Coupling",POWER(Upgrades!$U$6,E352),1)*IF(Upgrades!$T$7="Stellar Coupling",POWER(Upgrades!$U$7,F352),1)*IF(Upgrades!$T$9="Stellar Coupling",POWER(Upgrades!$U$9,H352),1)*IF(Upgrades!$T$10="Stellar Coupling",POWER(Upgrades!$U$10,I352),1)*IF(Upgrades!$T$11="Stellar Coupling",POWER(Upgrades!$U$11,J352),1)*IF(Upgrades!$T$12="Stellar Coupling",POWER(Upgrades!$U$12,K352),1))+(IF(H352=0,0,(Upgrades!$M$9+H352*Upgrades!$N$9)*POWER(Upgrades!$O$9,H352)))*(IF(Upgrades!$T$6="Magnetosphere",POWER(Upgrades!$U$6,E352),1)*IF(Upgrades!$T$7="Magnetosphere",POWER(Upgrades!$U$7,F352),1)*IF(Upgrades!$T$8="Magnetosphere",POWER(Upgrades!$U$8,G352),1)*IF(Upgrades!$T$10="Magnetosphere",POWER(Upgrades!$U$10,I352),1)*IF(Upgrades!$T$11="Magnetosphere",POWER(Upgrades!$U$11,J352),1)*IF(Upgrades!$T$12="Magnetosphere",POWER(Upgrades!$U$12,K352),1))+(IF(I352=0,0,(Upgrades!$M$10+I352*Upgrades!$N$10)*POWER(Upgrades!$O$10,I352)))*(IF(Upgrades!$T$6="Orbital Resonance",POWER(Upgrades!$U$6,E352),1)*IF(Upgrades!$T$7="Orbital Resonance",POWER(Upgrades!$U$7,F352),1)*IF(Upgrades!$T$8="Orbital Resonance",POWER(Upgrades!$U$8,G352),1)*IF(Upgrades!$T$9="Orbital Resonance",POWER(Upgrades!$U$9,H352),1)*IF(Upgrades!$T$11="Orbital Resonance",POWER(Upgrades!$U$11,J352),1)*IF(Upgrades!$T$12="Orbital Resonance",POWER(Upgrades!$U$12,K352),1))+(IF(J352=0,0,(Upgrades!$M$11+J352*Upgrades!$N$11)*POWER(Upgrades!$O$11,J352)))*(IF(Upgrades!$T$6="Heliopause",POWER(Upgrades!$U$6,E352),1)*IF(Upgrades!$T$7="Heliopause",POWER(Upgrades!$U$7,F352),1)*IF(Upgrades!$T$8="Heliopause",POWER(Upgrades!$U$8,G352),1)*IF(Upgrades!$T$9="Heliopause",POWER(Upgrades!$U$9,H352),1)*IF(Upgrades!$T$10="Heliopause",POWER(Upgrades!$U$10,I352),1)*IF(Upgrades!$T$12="Heliopause",POWER(Upgrades!$U$12,K352),1))+(IF(K352=0,0,(Upgrades!$M$12+K352*Upgrades!$N$12)*POWER(Upgrades!$O$12,K352)))*(IF(Upgrades!$T$6="First Photons",POWER(Upgrades!$U$6,E352),1)*IF(Upgrades!$T$7="First Photons",POWER(Upgrades!$U$7,F352),1)*IF(Upgrades!$T$8="First Photons",POWER(Upgrades!$U$8,G352),1)*IF(Upgrades!$T$9="First Photons",POWER(Upgrades!$U$9,H352),1)*IF(Upgrades!$T$10="First Photons",POWER(Upgrades!$U$10,I352),1)*IF(Upgrades!$T$11="First Photons",POWER(Upgrades!$U$11,J352),1)))*POWER(Upgrades!$R$6,E352)*POWER(Upgrades!$R$7,F352)*POWER(Upgrades!$R$8,G352)*POWER(Upgrades!$R$9,H352)*POWER(Upgrades!$R$10,I352)*POWER(Upgrades!$R$11,J352)*POWER(Upgrades!$R$12,K352)</f>
        <v>0</v>
      </c>
      <c r="P352" s="27" t="n">
        <f aca="false">IF(L352=1,0,M352*Parameters!$B$10/60*Parameters!$B$11*10)</f>
        <v>0</v>
      </c>
      <c r="Q352" s="27" t="n">
        <f aca="false">IF(L352=1,0,O352*M352*10)</f>
        <v>0</v>
      </c>
      <c r="R352" s="27" t="n">
        <f aca="false">IF(L352=1,0,N352*10)</f>
        <v>0</v>
      </c>
      <c r="S352" s="27" t="n">
        <f aca="false">P352+Q352+R352</f>
        <v>0</v>
      </c>
      <c r="T352" s="21" t="n">
        <f aca="false">C352+S352</f>
        <v>18.6730249835055</v>
      </c>
      <c r="U352" s="34" t="str">
        <f aca="false">AX352</f>
        <v/>
      </c>
      <c r="V352" s="21" t="n">
        <f aca="false">IF(U352="",0,IF(U352="transition",0,IF(U352="SW",AG352,IF(U352="AB",AH352,IF(U352="SC",AI352,IF(U352="Mag",AJ352,IF(U352="OR",AK352,IF(U352="HP",AL352,IF(U352="FP",AM352,0)))))))))</f>
        <v>0</v>
      </c>
      <c r="W352" s="27" t="n">
        <f aca="false">IF(U352="OR",Upgrades!$F$10,IF(U352="HP",Upgrades!$F$11,IF(U352="transition",-Parameters!$B$18,0)))</f>
        <v>0</v>
      </c>
      <c r="X352" s="21" t="n">
        <f aca="false">T352-V352</f>
        <v>18.6730249835055</v>
      </c>
      <c r="Y352" s="30" t="n">
        <f aca="false">M352*Parameters!$B$10/60*Parameters!$B$11+O352*M352+N352</f>
        <v>20.55</v>
      </c>
      <c r="Z352" s="35" t="str">
        <f aca="false">IF(U352="transition","→ Tier 2 (Stellar Neighborhood)",IF(U352="FP","First Photons — light begins, system quickens",IF(U352="HP","Heliopause acquired",IF(U352="OR","Orbital Resonance — passive multiplier active",IF(AND(AO352=1,L352=0,AN352&lt;&gt;1),"Cohesion ready (waiting on completionist upgrades)","")))))</f>
        <v/>
      </c>
      <c r="AA352" s="27" t="n">
        <f aca="false">(IF(E352=0,0,(Upgrades!$G$6+E352*Upgrades!$H$6)*POWER(Upgrades!$I$6,E352)))*(IF(Upgrades!$T$7="Solar Wind",POWER(Upgrades!$U$7,F352),1)*IF(Upgrades!$T$8="Solar Wind",POWER(Upgrades!$U$8,G352),1)*IF(Upgrades!$T$9="Solar Wind",POWER(Upgrades!$U$9,H352),1)*IF(Upgrades!$T$10="Solar Wind",POWER(Upgrades!$U$10,I352),1)*IF(Upgrades!$T$11="Solar Wind",POWER(Upgrades!$U$11,J352),1)*IF(Upgrades!$T$12="Solar Wind",POWER(Upgrades!$U$12,K352),1))*POWER(Upgrades!$P$6,E352)*POWER(Upgrades!$P$7,F352)*POWER(Upgrades!$P$8,G352)*POWER(Upgrades!$P$9,H352)*POWER(Upgrades!$P$10,I352)*POWER(Upgrades!$P$11,J352)*POWER(Upgrades!$P$12,K352)*60</f>
        <v>72</v>
      </c>
      <c r="AB352" s="27" t="n">
        <f aca="false">(IF(F352=0,0,(Upgrades!$G$7+F352*Upgrades!$H$7)*POWER(Upgrades!$I$7,F352)))*(IF(Upgrades!$T$6="Asteroid Belt",POWER(Upgrades!$U$6,E352),1)*IF(Upgrades!$T$8="Asteroid Belt",POWER(Upgrades!$U$8,G352),1)*IF(Upgrades!$T$9="Asteroid Belt",POWER(Upgrades!$U$9,H352),1)*IF(Upgrades!$T$10="Asteroid Belt",POWER(Upgrades!$U$10,I352),1)*IF(Upgrades!$T$11="Asteroid Belt",POWER(Upgrades!$U$11,J352),1)*IF(Upgrades!$T$12="Asteroid Belt",POWER(Upgrades!$U$12,K352),1))*POWER(Upgrades!$P$6,E352)*POWER(Upgrades!$P$7,F352)*POWER(Upgrades!$P$8,G352)*POWER(Upgrades!$P$9,H352)*POWER(Upgrades!$P$10,I352)*POWER(Upgrades!$P$11,J352)*POWER(Upgrades!$P$12,K352)*60</f>
        <v>150</v>
      </c>
      <c r="AC352" s="27" t="n">
        <f aca="false">(IF(G352=0,0,(Upgrades!$J$8+G352*Upgrades!$K$8)*POWER(Upgrades!$L$8,G352)))*(IF(Upgrades!$T$6="Stellar Coupling",POWER(Upgrades!$U$6,E352),1)*IF(Upgrades!$T$7="Stellar Coupling",POWER(Upgrades!$U$7,F352),1)*IF(Upgrades!$T$9="Stellar Coupling",POWER(Upgrades!$U$9,H352),1)*IF(Upgrades!$T$10="Stellar Coupling",POWER(Upgrades!$U$10,I352),1)*IF(Upgrades!$T$11="Stellar Coupling",POWER(Upgrades!$U$11,J352),1)*IF(Upgrades!$T$12="Stellar Coupling",POWER(Upgrades!$U$12,K352),1))*POWER(Upgrades!$Q$6,E352)*POWER(Upgrades!$Q$7,F352)*POWER(Upgrades!$Q$8,G352)*POWER(Upgrades!$Q$9,H352)*POWER(Upgrades!$Q$10,I352)*POWER(Upgrades!$Q$11,J352)*POWER(Upgrades!$Q$12,K352)*Parameters!$B$10*Parameters!$B$11</f>
        <v>441</v>
      </c>
      <c r="AD352" s="27" t="n">
        <f aca="false">(IF(H352=0,0,(Upgrades!$G$9+H352*Upgrades!$H$9)*POWER(Upgrades!$I$9,H352)))*(IF(Upgrades!$T$6="Magnetosphere",POWER(Upgrades!$U$6,E352),1)*IF(Upgrades!$T$7="Magnetosphere",POWER(Upgrades!$U$7,F352),1)*IF(Upgrades!$T$8="Magnetosphere",POWER(Upgrades!$U$8,G352),1)*IF(Upgrades!$T$10="Magnetosphere",POWER(Upgrades!$U$10,I352),1)*IF(Upgrades!$T$11="Magnetosphere",POWER(Upgrades!$U$11,J352),1)*IF(Upgrades!$T$12="Magnetosphere",POWER(Upgrades!$U$12,K352),1))*POWER(Upgrades!$P$6,E352)*POWER(Upgrades!$P$7,F352)*POWER(Upgrades!$P$8,G352)*POWER(Upgrades!$P$9,H352)*POWER(Upgrades!$P$10,I352)*POWER(Upgrades!$P$11,J352)*POWER(Upgrades!$P$12,K352)*60</f>
        <v>375</v>
      </c>
      <c r="AE352" s="27" t="n">
        <f aca="false">(IF(K352=0,0,(Upgrades!$G$12+K352*Upgrades!$H$12)*POWER(Upgrades!$I$12,K352)))*(IF(Upgrades!$T$6="First Photons",POWER(Upgrades!$U$6,E352),1)*IF(Upgrades!$T$7="First Photons",POWER(Upgrades!$U$7,F352),1)*IF(Upgrades!$T$8="First Photons",POWER(Upgrades!$U$8,G352),1)*IF(Upgrades!$T$9="First Photons",POWER(Upgrades!$U$9,H352),1)*IF(Upgrades!$T$10="First Photons",POWER(Upgrades!$U$10,I352),1)*IF(Upgrades!$T$11="First Photons",POWER(Upgrades!$U$11,J352),1))*POWER(Upgrades!$P$6,E352)*POWER(Upgrades!$P$7,F352)*POWER(Upgrades!$P$8,G352)*POWER(Upgrades!$P$9,H352)*POWER(Upgrades!$P$10,I352)*POWER(Upgrades!$P$11,J352)*POWER(Upgrades!$P$12,K352)*60</f>
        <v>75</v>
      </c>
      <c r="AF352" s="27" t="n">
        <f aca="false">Parameters!$B$9*POWER(Upgrades!$Q$6,E352)*POWER(Upgrades!$Q$7,F352)*POWER(Upgrades!$Q$8,G352)*POWER(Upgrades!$Q$9,H352)*POWER(Upgrades!$Q$10,I352)*POWER(Upgrades!$Q$11,J352)*POWER(Upgrades!$Q$12,K352)*(Parameters!$B$10*Parameters!$B$11+O352*60)</f>
        <v>120</v>
      </c>
      <c r="AG352" s="21" t="n">
        <f aca="false">IF(E352&gt;=Upgrades!$E$6,"",Upgrades!$C$6*POWER(Upgrades!$D$6,E352))</f>
        <v>37.4517507383159</v>
      </c>
      <c r="AH352" s="21" t="n">
        <f aca="false">IF(F352&gt;=Upgrades!$E$7,"",Upgrades!$C$7*POWER(Upgrades!$D$7,F352))</f>
        <v>80.9111547141581</v>
      </c>
      <c r="AI352" s="21" t="n">
        <f aca="false">IF(G352&gt;=Upgrades!$E$8,"",Upgrades!$C$8*POWER(Upgrades!$D$8,G352))</f>
        <v>231.9097088</v>
      </c>
      <c r="AJ352" s="21" t="str">
        <f aca="false">IF(H352&gt;=Upgrades!$E$9,"",Upgrades!$C$9*POWER(Upgrades!$D$9,H352))</f>
        <v/>
      </c>
      <c r="AK352" s="21" t="str">
        <f aca="false">IF(I352&gt;=Upgrades!$E$10,"",Upgrades!$C$10*POWER(Upgrades!$D$10,I352))</f>
        <v/>
      </c>
      <c r="AL352" s="21" t="str">
        <f aca="false">IF(J352&gt;=Upgrades!$E$11,"",Upgrades!$C$11*POWER(Upgrades!$D$11,J352))</f>
        <v/>
      </c>
      <c r="AM352" s="21" t="str">
        <f aca="false">IF(K352&gt;=Upgrades!$E$12,"",Upgrades!$C$12*POWER(Upgrades!$D$12,K352))</f>
        <v/>
      </c>
      <c r="AN352" s="26" t="str">
        <f aca="false">IF(AND(D352&gt;=Parameters!$B$18,(H352&gt;=Upgrades!$E$9)*(K352&gt;=Upgrades!$E$12)=1,L352=0),1,"")</f>
        <v/>
      </c>
      <c r="AO352" s="26" t="str">
        <f aca="false">IF(AND(D352&gt;=Parameters!$B$18,L352=0),1,"")</f>
        <v/>
      </c>
      <c r="AP352" s="21" t="n">
        <f aca="false">MIN(IF(ISNUMBER(AK352),AK352,9000000000000000),IF(ISNUMBER(AL352),AL352,9000000000000000),IF(ISNUMBER(AM352),AM352,9000000000000000))</f>
        <v>9000000000000000</v>
      </c>
      <c r="AQ352" s="21" t="n">
        <f aca="false">MIN(IF(ISNUMBER(AG352),AG352,9000000000000000),IF(ISNUMBER(AH352),AH352,9000000000000000),IF(ISNUMBER(AI352),AI352,9000000000000000),IF(ISNUMBER(AJ352),AJ352,9000000000000000))</f>
        <v>37.4517507383159</v>
      </c>
      <c r="AR352" s="32" t="b">
        <f aca="false">IF(AW352&gt;Parameters!$B$21*(MAX(IF(AND(NOT(AND(AO352=1,AN352&lt;&gt;1)),ISNUMBER(AG352),AG352&lt;=T352),AS352,0),IF(AND(NOT(AND(AO352=1,AN352&lt;&gt;1)),ISNUMBER(AH352),AH352&lt;=T352),AT352,0),IF(AND(NOT(AND(AO352=1,AN352&lt;&gt;1)),ISNUMBER(AI352),AI352&lt;=T352),AU352,0),IF(AND(ISNUMBER(AJ352),AJ352&lt;=T352),AV352,0))),TRUE(),FALSE())</f>
        <v>1</v>
      </c>
      <c r="AS352" s="33" t="n">
        <f aca="false">IFERROR(Upgrades!$H$6*(POWER(Upgrades!$P$6,E352)*POWER(Upgrades!$P$7,F352)*POWER(Upgrades!$P$8,G352)*POWER(Upgrades!$P$9,H352)*POWER(Upgrades!$P$10,I352)*POWER(Upgrades!$P$11,J352)*POWER(Upgrades!$P$12,K352))*(IF(Upgrades!$T$7="Solar Wind",POWER(Upgrades!$U$7,F352),1)*IF(Upgrades!$T$8="Solar Wind",POWER(Upgrades!$U$8,G352),1)*IF(Upgrades!$T$9="Solar Wind",POWER(Upgrades!$U$9,H352),1)*IF(Upgrades!$T$10="Solar Wind",POWER(Upgrades!$U$10,I352),1)*IF(Upgrades!$T$11="Solar Wind",POWER(Upgrades!$U$11,J352),1)*IF(Upgrades!$T$12="Solar Wind",POWER(Upgrades!$U$12,K352),1))/AG352,0)</f>
        <v>0.0026701021455238</v>
      </c>
      <c r="AT352" s="33" t="n">
        <f aca="false">IFERROR(Upgrades!$H$7*(POWER(Upgrades!$P$6,E352)*POWER(Upgrades!$P$7,F352)*POWER(Upgrades!$P$8,G352)*POWER(Upgrades!$P$9,H352)*POWER(Upgrades!$P$10,I352)*POWER(Upgrades!$P$11,J352)*POWER(Upgrades!$P$12,K352))*(IF(Upgrades!$T$6="Asteroid Belt",POWER(Upgrades!$U$6,E352),1)*IF(Upgrades!$T$8="Asteroid Belt",POWER(Upgrades!$U$8,G352),1)*IF(Upgrades!$T$9="Asteroid Belt",POWER(Upgrades!$U$9,H352),1)*IF(Upgrades!$T$10="Asteroid Belt",POWER(Upgrades!$U$10,I352),1)*IF(Upgrades!$T$11="Asteroid Belt",POWER(Upgrades!$U$11,J352),1)*IF(Upgrades!$T$12="Asteroid Belt",POWER(Upgrades!$U$12,K352),1))/AH352,0)</f>
        <v>0.00308980882652332</v>
      </c>
      <c r="AU352" s="33" t="n">
        <f aca="false">IFERROR(Upgrades!$K$8*(POWER(Upgrades!$Q$6,E352)*POWER(Upgrades!$Q$7,F352)*POWER(Upgrades!$Q$8,G352)*POWER(Upgrades!$Q$9,H352)*POWER(Upgrades!$Q$10,I352)*POWER(Upgrades!$Q$11,J352)*POWER(Upgrades!$Q$12,K352))*(IF(Upgrades!$T$6="Stellar Coupling",POWER(Upgrades!$U$6,E352),1)*IF(Upgrades!$T$7="Stellar Coupling",POWER(Upgrades!$U$7,F352),1)*IF(Upgrades!$T$9="Stellar Coupling",POWER(Upgrades!$U$9,H352),1)*IF(Upgrades!$T$10="Stellar Coupling",POWER(Upgrades!$U$10,I352),1)*IF(Upgrades!$T$11="Stellar Coupling",POWER(Upgrades!$U$11,J352),1)*IF(Upgrades!$T$12="Stellar Coupling",POWER(Upgrades!$U$12,K352),1))*Parameters!$B$10*Parameters!$B$11/60/AI352,0)</f>
        <v>0.00452762415783776</v>
      </c>
      <c r="AV352" s="33" t="n">
        <f aca="false">IFERROR(Upgrades!$H$9*(POWER(Upgrades!$P$6,E352)*POWER(Upgrades!$P$7,F352)*POWER(Upgrades!$P$8,G352)*POWER(Upgrades!$P$9,H352)*POWER(Upgrades!$P$10,I352)*POWER(Upgrades!$P$11,J352)*POWER(Upgrades!$P$12,K352))*(IF(Upgrades!$T$6="Magnetosphere",POWER(Upgrades!$U$6,E352),1)*IF(Upgrades!$T$7="Magnetosphere",POWER(Upgrades!$U$7,F352),1)*IF(Upgrades!$T$8="Magnetosphere",POWER(Upgrades!$U$8,G352),1)*IF(Upgrades!$T$10="Magnetosphere",POWER(Upgrades!$U$10,I352),1)*IF(Upgrades!$T$11="Magnetosphere",POWER(Upgrades!$U$11,J352),1)*IF(Upgrades!$T$12="Magnetosphere",POWER(Upgrades!$U$12,K352),1))/AJ352,0)</f>
        <v>0</v>
      </c>
      <c r="AW352" s="33" t="n">
        <f aca="false">MAX(IF(I352&gt;0,0,IFERROR(0.25*N352/Upgrades!$C$10,0)),IF(J352&gt;0,0,IFERROR(0.5*((IF(G352=0,0,(Upgrades!$J$8+G352*Upgrades!$K$8)*POWER(Upgrades!$L$8,G352)))*(IF(Upgrades!$T$6="Stellar Coupling",POWER(Upgrades!$U$6,E352),1)*IF(Upgrades!$T$7="Stellar Coupling",POWER(Upgrades!$U$7,F352),1)*IF(Upgrades!$T$9="Stellar Coupling",POWER(Upgrades!$U$9,H352),1)*IF(Upgrades!$T$10="Stellar Coupling",POWER(Upgrades!$U$10,I352),1)*IF(Upgrades!$T$11="Stellar Coupling",POWER(Upgrades!$U$11,J352),1)*IF(Upgrades!$T$12="Stellar Coupling",POWER(Upgrades!$U$12,K352),1))*(POWER(Upgrades!$Q$6,E352)*POWER(Upgrades!$Q$7,F352)*POWER(Upgrades!$Q$8,G352)*POWER(Upgrades!$Q$9,H352)*POWER(Upgrades!$Q$10,I352)*POWER(Upgrades!$Q$11,J352)*POWER(Upgrades!$Q$12,K352))*Parameters!$B$10*Parameters!$B$11/60)/Upgrades!$C$11,0)),IF(K352&gt;0,0,IFERROR((1*(POWER(Upgrades!$P$6,E352)*POWER(Upgrades!$P$7,F352)*POWER(Upgrades!$P$8,G352)*POWER(Upgrades!$P$9,H352)*POWER(Upgrades!$P$10,I352)*POWER(Upgrades!$P$11,J352)*POWER(Upgrades!$P$12,K352))+0.2*M352*Parameters!$B$10*Parameters!$B$11/60)/Upgrades!$C$12,0)),IF(AND(ISNUMBER(AG352),AG352&gt;T352),AS352,0),IF(AND(ISNUMBER(AH352),AH352&gt;T352),AT352,0),IF(AND(ISNUMBER(AI352),AI352&gt;T352),AU352,0),IF(AND(ISNUMBER(AJ352),AJ352&gt;T352),AV352,0))</f>
        <v>0.00452762415783776</v>
      </c>
      <c r="AX352" s="29" t="str">
        <f aca="false">IF(AN352=1,"transition",IF(MIN(IF(AND(I352=0,ISNUMBER(AK352),AK352&lt;=T352),AK352,9000000000000000),IF(AND(J352=0,ISNUMBER(AL352),AL352&lt;=T352),AL352,9000000000000000),IF(AND(K352=0,ISNUMBER(AM352),AM352&lt;=T352),AM352,9000000000000000))&lt;9000000000000000,IF(AND(AND(I352=0,ISNUMBER(AK352),AK352&lt;=T352),AK352=MIN(IF(AND(I352=0,ISNUMBER(AK352),AK352&lt;=T352),AK352,9000000000000000),IF(AND(J352=0,ISNUMBER(AL352),AL352&lt;=T352),AL352,9000000000000000),IF(AND(K352=0,ISNUMBER(AM352),AM352&lt;=T352),AM352,9000000000000000))),"OR",IF(AND(AND(J352=0,ISNUMBER(AL352),AL352&lt;=T352),AL352=MIN(IF(AND(I352=0,ISNUMBER(AK352),AK352&lt;=T352),AK352,9000000000000000),IF(AND(J352=0,ISNUMBER(AL352),AL352&lt;=T352),AL352,9000000000000000),IF(AND(K352=0,ISNUMBER(AM352),AM352&lt;=T352),AM352,9000000000000000))),"HP","FP")),IF(AR352=TRUE(),"",IF(MAX(IF(AND(NOT(AND(AO352=1,AN352&lt;&gt;1)),ISNUMBER(AG352),AG352&lt;=T352),AS352,0),IF(AND(NOT(AND(AO352=1,AN352&lt;&gt;1)),ISNUMBER(AH352),AH352&lt;=T352),AT352,0),IF(AND(NOT(AND(AO352=1,AN352&lt;&gt;1)),ISNUMBER(AI352),AI352&lt;=T352),AU352,0),IF(AND(ISNUMBER(AJ352),AJ352&lt;=T352),AV352,0))&lt;=0,"",IF(AND(IF(AND(NOT(AND(AO352=1,AN352&lt;&gt;1)),ISNUMBER(AG352),AG352&lt;=T352),AS352,0)&gt;0,IF(AND(NOT(AND(AO352=1,AN352&lt;&gt;1)),ISNUMBER(AG352),AG352&lt;=T352),AS352,0)=MAX(IF(AND(NOT(AND(AO352=1,AN352&lt;&gt;1)),ISNUMBER(AG352),AG352&lt;=T352),AS352,0),IF(AND(NOT(AND(AO352=1,AN352&lt;&gt;1)),ISNUMBER(AH352),AH352&lt;=T352),AT352,0),IF(AND(NOT(AND(AO352=1,AN352&lt;&gt;1)),ISNUMBER(AI352),AI352&lt;=T352),AU352,0),IF(AND(ISNUMBER(AJ352),AJ352&lt;=T352),AV352,0))),"SW",IF(AND(IF(AND(NOT(AND(AO352=1,AN352&lt;&gt;1)),ISNUMBER(AH352),AH352&lt;=T352),AT352,0)&gt;0,IF(AND(NOT(AND(AO352=1,AN352&lt;&gt;1)),ISNUMBER(AH352),AH352&lt;=T352),AT352,0)=MAX(IF(AND(NOT(AND(AO352=1,AN352&lt;&gt;1)),ISNUMBER(AG352),AG352&lt;=T352),AS352,0),IF(AND(NOT(AND(AO352=1,AN352&lt;&gt;1)),ISNUMBER(AH352),AH352&lt;=T352),AT352,0),IF(AND(NOT(AND(AO352=1,AN352&lt;&gt;1)),ISNUMBER(AI352),AI352&lt;=T352),AU352,0),IF(AND(ISNUMBER(AJ352),AJ352&lt;=T352),AV352,0))),"AB",IF(AND(IF(AND(NOT(AND(AO352=1,AN352&lt;&gt;1)),ISNUMBER(AI352),AI352&lt;=T352),AU352,0)&gt;0,IF(AND(NOT(AND(AO352=1,AN352&lt;&gt;1)),ISNUMBER(AI352),AI352&lt;=T352),AU352,0)=MAX(IF(AND(NOT(AND(AO352=1,AN352&lt;&gt;1)),ISNUMBER(AG352),AG352&lt;=T352),AS352,0),IF(AND(NOT(AND(AO352=1,AN352&lt;&gt;1)),ISNUMBER(AH352),AH352&lt;=T352),AT352,0),IF(AND(NOT(AND(AO352=1,AN352&lt;&gt;1)),ISNUMBER(AI352),AI352&lt;=T352),AU352,0),IF(AND(ISNUMBER(AJ352),AJ352&lt;=T352),AV352,0))),"SC","Mag")))))))</f>
        <v/>
      </c>
    </row>
    <row r="353" customFormat="false" ht="15" hidden="false" customHeight="false" outlineLevel="0" collapsed="false">
      <c r="A353" s="26" t="n">
        <v>348</v>
      </c>
      <c r="B353" s="27" t="n">
        <f aca="false">A353*10/60</f>
        <v>58</v>
      </c>
      <c r="C353" s="21" t="n">
        <f aca="false">X352</f>
        <v>18.6730249835055</v>
      </c>
      <c r="D353" s="27" t="n">
        <f aca="false">D352+W352</f>
        <v>0</v>
      </c>
      <c r="E353" s="26" t="n">
        <f aca="false">E352+IF(U352="SW",1,0)</f>
        <v>12</v>
      </c>
      <c r="F353" s="26" t="n">
        <f aca="false">F352+IF(U352="AB",1,0)</f>
        <v>10</v>
      </c>
      <c r="G353" s="26" t="n">
        <f aca="false">G352+IF(U352="SC",1,0)</f>
        <v>7</v>
      </c>
      <c r="H353" s="26" t="n">
        <f aca="false">H352+IF(U352="Mag",1,0)</f>
        <v>5</v>
      </c>
      <c r="I353" s="26" t="n">
        <f aca="false">MAX(I352,IF(U352="OR",1,0))</f>
        <v>1</v>
      </c>
      <c r="J353" s="26" t="n">
        <f aca="false">MAX(J352,IF(U352="HP",1,0))</f>
        <v>1</v>
      </c>
      <c r="K353" s="26" t="n">
        <f aca="false">MAX(K352,IF(U352="FP",1,0))</f>
        <v>1</v>
      </c>
      <c r="L353" s="26" t="n">
        <f aca="false">MAX(L352,IF(U352="transition",1,0))</f>
        <v>1</v>
      </c>
      <c r="M353" s="28" t="n">
        <f aca="false">(Parameters!$B$9+(IF(E353=0,0,(Upgrades!$J$6+E353*Upgrades!$K$6)*POWER(Upgrades!$L$6,E353)))*(IF(Upgrades!$T$7="Solar Wind",POWER(Upgrades!$U$7,F353),1)*IF(Upgrades!$T$8="Solar Wind",POWER(Upgrades!$U$8,G353),1)*IF(Upgrades!$T$9="Solar Wind",POWER(Upgrades!$U$9,H353),1)*IF(Upgrades!$T$10="Solar Wind",POWER(Upgrades!$U$10,I353),1)*IF(Upgrades!$T$11="Solar Wind",POWER(Upgrades!$U$11,J353),1)*IF(Upgrades!$T$12="Solar Wind",POWER(Upgrades!$U$12,K353),1))+(IF(F353=0,0,(Upgrades!$J$7+F353*Upgrades!$K$7)*POWER(Upgrades!$L$7,F353)))*(IF(Upgrades!$T$6="Asteroid Belt",POWER(Upgrades!$U$6,E353),1)*IF(Upgrades!$T$8="Asteroid Belt",POWER(Upgrades!$U$8,G353),1)*IF(Upgrades!$T$9="Asteroid Belt",POWER(Upgrades!$U$9,H353),1)*IF(Upgrades!$T$10="Asteroid Belt",POWER(Upgrades!$U$10,I353),1)*IF(Upgrades!$T$11="Asteroid Belt",POWER(Upgrades!$U$11,J353),1)*IF(Upgrades!$T$12="Asteroid Belt",POWER(Upgrades!$U$12,K353),1))+(IF(G353=0,0,(Upgrades!$J$8+G353*Upgrades!$K$8)*POWER(Upgrades!$L$8,G353)))*(IF(Upgrades!$T$6="Stellar Coupling",POWER(Upgrades!$U$6,E353),1)*IF(Upgrades!$T$7="Stellar Coupling",POWER(Upgrades!$U$7,F353),1)*IF(Upgrades!$T$9="Stellar Coupling",POWER(Upgrades!$U$9,H353),1)*IF(Upgrades!$T$10="Stellar Coupling",POWER(Upgrades!$U$10,I353),1)*IF(Upgrades!$T$11="Stellar Coupling",POWER(Upgrades!$U$11,J353),1)*IF(Upgrades!$T$12="Stellar Coupling",POWER(Upgrades!$U$12,K353),1))+(IF(H353=0,0,(Upgrades!$J$9+H353*Upgrades!$K$9)*POWER(Upgrades!$L$9,H353)))*(IF(Upgrades!$T$6="Magnetosphere",POWER(Upgrades!$U$6,E353),1)*IF(Upgrades!$T$7="Magnetosphere",POWER(Upgrades!$U$7,F353),1)*IF(Upgrades!$T$8="Magnetosphere",POWER(Upgrades!$U$8,G353),1)*IF(Upgrades!$T$10="Magnetosphere",POWER(Upgrades!$U$10,I353),1)*IF(Upgrades!$T$11="Magnetosphere",POWER(Upgrades!$U$11,J353),1)*IF(Upgrades!$T$12="Magnetosphere",POWER(Upgrades!$U$12,K353),1))+(IF(I353=0,0,(Upgrades!$J$10+I353*Upgrades!$K$10)*POWER(Upgrades!$L$10,I353)))*(IF(Upgrades!$T$6="Orbital Resonance",POWER(Upgrades!$U$6,E353),1)*IF(Upgrades!$T$7="Orbital Resonance",POWER(Upgrades!$U$7,F353),1)*IF(Upgrades!$T$8="Orbital Resonance",POWER(Upgrades!$U$8,G353),1)*IF(Upgrades!$T$9="Orbital Resonance",POWER(Upgrades!$U$9,H353),1)*IF(Upgrades!$T$11="Orbital Resonance",POWER(Upgrades!$U$11,J353),1)*IF(Upgrades!$T$12="Orbital Resonance",POWER(Upgrades!$U$12,K353),1))+(IF(J353=0,0,(Upgrades!$J$11+J353*Upgrades!$K$11)*POWER(Upgrades!$L$11,J353)))*(IF(Upgrades!$T$6="Heliopause",POWER(Upgrades!$U$6,E353),1)*IF(Upgrades!$T$7="Heliopause",POWER(Upgrades!$U$7,F353),1)*IF(Upgrades!$T$8="Heliopause",POWER(Upgrades!$U$8,G353),1)*IF(Upgrades!$T$9="Heliopause",POWER(Upgrades!$U$9,H353),1)*IF(Upgrades!$T$10="Heliopause",POWER(Upgrades!$U$10,I353),1)*IF(Upgrades!$T$12="Heliopause",POWER(Upgrades!$U$12,K353),1))+(IF(K353=0,0,(Upgrades!$J$12+K353*Upgrades!$K$12)*POWER(Upgrades!$L$12,K353)))*(IF(Upgrades!$T$6="First Photons",POWER(Upgrades!$U$6,E353),1)*IF(Upgrades!$T$7="First Photons",POWER(Upgrades!$U$7,F353),1)*IF(Upgrades!$T$8="First Photons",POWER(Upgrades!$U$8,G353),1)*IF(Upgrades!$T$9="First Photons",POWER(Upgrades!$U$9,H353),1)*IF(Upgrades!$T$10="First Photons",POWER(Upgrades!$U$10,I353),1)*IF(Upgrades!$T$11="First Photons",POWER(Upgrades!$U$11,J353),1)))*POWER(Upgrades!$Q$6,E353)*POWER(Upgrades!$Q$7,F353)*POWER(Upgrades!$Q$8,G353)*POWER(Upgrades!$Q$9,H353)*POWER(Upgrades!$Q$10,I353)*POWER(Upgrades!$Q$11,J353)*POWER(Upgrades!$Q$12,K353)</f>
        <v>5.61</v>
      </c>
      <c r="N353" s="28" t="n">
        <f aca="false">((IF(E353=0,0,(Upgrades!$G$6+E353*Upgrades!$H$6)*POWER(Upgrades!$I$6,E353)))*(IF(Upgrades!$T$7="Solar Wind",POWER(Upgrades!$U$7,F353),1)*IF(Upgrades!$T$8="Solar Wind",POWER(Upgrades!$U$8,G353),1)*IF(Upgrades!$T$9="Solar Wind",POWER(Upgrades!$U$9,H353),1)*IF(Upgrades!$T$10="Solar Wind",POWER(Upgrades!$U$10,I353),1)*IF(Upgrades!$T$11="Solar Wind",POWER(Upgrades!$U$11,J353),1)*IF(Upgrades!$T$12="Solar Wind",POWER(Upgrades!$U$12,K353),1))+(IF(F353=0,0,(Upgrades!$G$7+F353*Upgrades!$H$7)*POWER(Upgrades!$I$7,F353)))*(IF(Upgrades!$T$6="Asteroid Belt",POWER(Upgrades!$U$6,E353),1)*IF(Upgrades!$T$8="Asteroid Belt",POWER(Upgrades!$U$8,G353),1)*IF(Upgrades!$T$9="Asteroid Belt",POWER(Upgrades!$U$9,H353),1)*IF(Upgrades!$T$10="Asteroid Belt",POWER(Upgrades!$U$10,I353),1)*IF(Upgrades!$T$11="Asteroid Belt",POWER(Upgrades!$U$11,J353),1)*IF(Upgrades!$T$12="Asteroid Belt",POWER(Upgrades!$U$12,K353),1))+(IF(G353=0,0,(Upgrades!$G$8+G353*Upgrades!$H$8)*POWER(Upgrades!$I$8,G353)))*(IF(Upgrades!$T$6="Stellar Coupling",POWER(Upgrades!$U$6,E353),1)*IF(Upgrades!$T$7="Stellar Coupling",POWER(Upgrades!$U$7,F353),1)*IF(Upgrades!$T$9="Stellar Coupling",POWER(Upgrades!$U$9,H353),1)*IF(Upgrades!$T$10="Stellar Coupling",POWER(Upgrades!$U$10,I353),1)*IF(Upgrades!$T$11="Stellar Coupling",POWER(Upgrades!$U$11,J353),1)*IF(Upgrades!$T$12="Stellar Coupling",POWER(Upgrades!$U$12,K353),1))+(IF(H353=0,0,(Upgrades!$G$9+H353*Upgrades!$H$9)*POWER(Upgrades!$I$9,H353)))*(IF(Upgrades!$T$6="Magnetosphere",POWER(Upgrades!$U$6,E353),1)*IF(Upgrades!$T$7="Magnetosphere",POWER(Upgrades!$U$7,F353),1)*IF(Upgrades!$T$8="Magnetosphere",POWER(Upgrades!$U$8,G353),1)*IF(Upgrades!$T$10="Magnetosphere",POWER(Upgrades!$U$10,I353),1)*IF(Upgrades!$T$11="Magnetosphere",POWER(Upgrades!$U$11,J353),1)*IF(Upgrades!$T$12="Magnetosphere",POWER(Upgrades!$U$12,K353),1))+(IF(I353=0,0,(Upgrades!$G$10+I353*Upgrades!$H$10)*POWER(Upgrades!$I$10,I353)))*(IF(Upgrades!$T$6="Orbital Resonance",POWER(Upgrades!$U$6,E353),1)*IF(Upgrades!$T$7="Orbital Resonance",POWER(Upgrades!$U$7,F353),1)*IF(Upgrades!$T$8="Orbital Resonance",POWER(Upgrades!$U$8,G353),1)*IF(Upgrades!$T$9="Orbital Resonance",POWER(Upgrades!$U$9,H353),1)*IF(Upgrades!$T$11="Orbital Resonance",POWER(Upgrades!$U$11,J353),1)*IF(Upgrades!$T$12="Orbital Resonance",POWER(Upgrades!$U$12,K353),1))+(IF(J353=0,0,(Upgrades!$G$11+J353*Upgrades!$H$11)*POWER(Upgrades!$I$11,J353)))*(IF(Upgrades!$T$6="Heliopause",POWER(Upgrades!$U$6,E353),1)*IF(Upgrades!$T$7="Heliopause",POWER(Upgrades!$U$7,F353),1)*IF(Upgrades!$T$8="Heliopause",POWER(Upgrades!$U$8,G353),1)*IF(Upgrades!$T$9="Heliopause",POWER(Upgrades!$U$9,H353),1)*IF(Upgrades!$T$10="Heliopause",POWER(Upgrades!$U$10,I353),1)*IF(Upgrades!$T$12="Heliopause",POWER(Upgrades!$U$12,K353),1))+(IF(K353=0,0,(Upgrades!$G$12+K353*Upgrades!$H$12)*POWER(Upgrades!$I$12,K353)))*(IF(Upgrades!$T$6="First Photons",POWER(Upgrades!$U$6,E353),1)*IF(Upgrades!$T$7="First Photons",POWER(Upgrades!$U$7,F353),1)*IF(Upgrades!$T$8="First Photons",POWER(Upgrades!$U$8,G353),1)*IF(Upgrades!$T$9="First Photons",POWER(Upgrades!$U$9,H353),1)*IF(Upgrades!$T$10="First Photons",POWER(Upgrades!$U$10,I353),1)*IF(Upgrades!$T$11="First Photons",POWER(Upgrades!$U$11,J353),1)))*POWER(Upgrades!$P$6,E353)*POWER(Upgrades!$P$7,F353)*POWER(Upgrades!$P$8,G353)*POWER(Upgrades!$P$9,H353)*POWER(Upgrades!$P$10,I353)*POWER(Upgrades!$P$11,J353)*POWER(Upgrades!$P$12,K353)</f>
        <v>11.2</v>
      </c>
      <c r="O353" s="28" t="n">
        <f aca="false">((IF(E353=0,0,(Upgrades!$M$6+E353*Upgrades!$N$6)*POWER(Upgrades!$O$6,E353)))*(IF(Upgrades!$T$7="Solar Wind",POWER(Upgrades!$U$7,F353),1)*IF(Upgrades!$T$8="Solar Wind",POWER(Upgrades!$U$8,G353),1)*IF(Upgrades!$T$9="Solar Wind",POWER(Upgrades!$U$9,H353),1)*IF(Upgrades!$T$10="Solar Wind",POWER(Upgrades!$U$10,I353),1)*IF(Upgrades!$T$11="Solar Wind",POWER(Upgrades!$U$11,J353),1)*IF(Upgrades!$T$12="Solar Wind",POWER(Upgrades!$U$12,K353),1))+(IF(F353=0,0,(Upgrades!$M$7+F353*Upgrades!$N$7)*POWER(Upgrades!$O$7,F353)))*(IF(Upgrades!$T$6="Asteroid Belt",POWER(Upgrades!$U$6,E353),1)*IF(Upgrades!$T$8="Asteroid Belt",POWER(Upgrades!$U$8,G353),1)*IF(Upgrades!$T$9="Asteroid Belt",POWER(Upgrades!$U$9,H353),1)*IF(Upgrades!$T$10="Asteroid Belt",POWER(Upgrades!$U$10,I353),1)*IF(Upgrades!$T$11="Asteroid Belt",POWER(Upgrades!$U$11,J353),1)*IF(Upgrades!$T$12="Asteroid Belt",POWER(Upgrades!$U$12,K353),1))+(IF(G353=0,0,(Upgrades!$M$8+G353*Upgrades!$N$8)*POWER(Upgrades!$O$8,G353)))*(IF(Upgrades!$T$6="Stellar Coupling",POWER(Upgrades!$U$6,E353),1)*IF(Upgrades!$T$7="Stellar Coupling",POWER(Upgrades!$U$7,F353),1)*IF(Upgrades!$T$9="Stellar Coupling",POWER(Upgrades!$U$9,H353),1)*IF(Upgrades!$T$10="Stellar Coupling",POWER(Upgrades!$U$10,I353),1)*IF(Upgrades!$T$11="Stellar Coupling",POWER(Upgrades!$U$11,J353),1)*IF(Upgrades!$T$12="Stellar Coupling",POWER(Upgrades!$U$12,K353),1))+(IF(H353=0,0,(Upgrades!$M$9+H353*Upgrades!$N$9)*POWER(Upgrades!$O$9,H353)))*(IF(Upgrades!$T$6="Magnetosphere",POWER(Upgrades!$U$6,E353),1)*IF(Upgrades!$T$7="Magnetosphere",POWER(Upgrades!$U$7,F353),1)*IF(Upgrades!$T$8="Magnetosphere",POWER(Upgrades!$U$8,G353),1)*IF(Upgrades!$T$10="Magnetosphere",POWER(Upgrades!$U$10,I353),1)*IF(Upgrades!$T$11="Magnetosphere",POWER(Upgrades!$U$11,J353),1)*IF(Upgrades!$T$12="Magnetosphere",POWER(Upgrades!$U$12,K353),1))+(IF(I353=0,0,(Upgrades!$M$10+I353*Upgrades!$N$10)*POWER(Upgrades!$O$10,I353)))*(IF(Upgrades!$T$6="Orbital Resonance",POWER(Upgrades!$U$6,E353),1)*IF(Upgrades!$T$7="Orbital Resonance",POWER(Upgrades!$U$7,F353),1)*IF(Upgrades!$T$8="Orbital Resonance",POWER(Upgrades!$U$8,G353),1)*IF(Upgrades!$T$9="Orbital Resonance",POWER(Upgrades!$U$9,H353),1)*IF(Upgrades!$T$11="Orbital Resonance",POWER(Upgrades!$U$11,J353),1)*IF(Upgrades!$T$12="Orbital Resonance",POWER(Upgrades!$U$12,K353),1))+(IF(J353=0,0,(Upgrades!$M$11+J353*Upgrades!$N$11)*POWER(Upgrades!$O$11,J353)))*(IF(Upgrades!$T$6="Heliopause",POWER(Upgrades!$U$6,E353),1)*IF(Upgrades!$T$7="Heliopause",POWER(Upgrades!$U$7,F353),1)*IF(Upgrades!$T$8="Heliopause",POWER(Upgrades!$U$8,G353),1)*IF(Upgrades!$T$9="Heliopause",POWER(Upgrades!$U$9,H353),1)*IF(Upgrades!$T$10="Heliopause",POWER(Upgrades!$U$10,I353),1)*IF(Upgrades!$T$12="Heliopause",POWER(Upgrades!$U$12,K353),1))+(IF(K353=0,0,(Upgrades!$M$12+K353*Upgrades!$N$12)*POWER(Upgrades!$O$12,K353)))*(IF(Upgrades!$T$6="First Photons",POWER(Upgrades!$U$6,E353),1)*IF(Upgrades!$T$7="First Photons",POWER(Upgrades!$U$7,F353),1)*IF(Upgrades!$T$8="First Photons",POWER(Upgrades!$U$8,G353),1)*IF(Upgrades!$T$9="First Photons",POWER(Upgrades!$U$9,H353),1)*IF(Upgrades!$T$10="First Photons",POWER(Upgrades!$U$10,I353),1)*IF(Upgrades!$T$11="First Photons",POWER(Upgrades!$U$11,J353),1)))*POWER(Upgrades!$R$6,E353)*POWER(Upgrades!$R$7,F353)*POWER(Upgrades!$R$8,G353)*POWER(Upgrades!$R$9,H353)*POWER(Upgrades!$R$10,I353)*POWER(Upgrades!$R$11,J353)*POWER(Upgrades!$R$12,K353)</f>
        <v>0</v>
      </c>
      <c r="P353" s="27" t="n">
        <f aca="false">IF(L353=1,0,M353*Parameters!$B$10/60*Parameters!$B$11*10)</f>
        <v>0</v>
      </c>
      <c r="Q353" s="27" t="n">
        <f aca="false">IF(L353=1,0,O353*M353*10)</f>
        <v>0</v>
      </c>
      <c r="R353" s="27" t="n">
        <f aca="false">IF(L353=1,0,N353*10)</f>
        <v>0</v>
      </c>
      <c r="S353" s="27" t="n">
        <f aca="false">P353+Q353+R353</f>
        <v>0</v>
      </c>
      <c r="T353" s="21" t="n">
        <f aca="false">C353+S353</f>
        <v>18.6730249835055</v>
      </c>
      <c r="U353" s="34" t="str">
        <f aca="false">AX353</f>
        <v/>
      </c>
      <c r="V353" s="21" t="n">
        <f aca="false">IF(U353="",0,IF(U353="transition",0,IF(U353="SW",AG353,IF(U353="AB",AH353,IF(U353="SC",AI353,IF(U353="Mag",AJ353,IF(U353="OR",AK353,IF(U353="HP",AL353,IF(U353="FP",AM353,0)))))))))</f>
        <v>0</v>
      </c>
      <c r="W353" s="27" t="n">
        <f aca="false">IF(U353="OR",Upgrades!$F$10,IF(U353="HP",Upgrades!$F$11,IF(U353="transition",-Parameters!$B$18,0)))</f>
        <v>0</v>
      </c>
      <c r="X353" s="21" t="n">
        <f aca="false">T353-V353</f>
        <v>18.6730249835055</v>
      </c>
      <c r="Y353" s="30" t="n">
        <f aca="false">M353*Parameters!$B$10/60*Parameters!$B$11+O353*M353+N353</f>
        <v>20.55</v>
      </c>
      <c r="Z353" s="35" t="str">
        <f aca="false">IF(U353="transition","→ Tier 2 (Stellar Neighborhood)",IF(U353="FP","First Photons — light begins, system quickens",IF(U353="HP","Heliopause acquired",IF(U353="OR","Orbital Resonance — passive multiplier active",IF(AND(AO353=1,L353=0,AN353&lt;&gt;1),"Cohesion ready (waiting on completionist upgrades)","")))))</f>
        <v/>
      </c>
      <c r="AA353" s="27" t="n">
        <f aca="false">(IF(E353=0,0,(Upgrades!$G$6+E353*Upgrades!$H$6)*POWER(Upgrades!$I$6,E353)))*(IF(Upgrades!$T$7="Solar Wind",POWER(Upgrades!$U$7,F353),1)*IF(Upgrades!$T$8="Solar Wind",POWER(Upgrades!$U$8,G353),1)*IF(Upgrades!$T$9="Solar Wind",POWER(Upgrades!$U$9,H353),1)*IF(Upgrades!$T$10="Solar Wind",POWER(Upgrades!$U$10,I353),1)*IF(Upgrades!$T$11="Solar Wind",POWER(Upgrades!$U$11,J353),1)*IF(Upgrades!$T$12="Solar Wind",POWER(Upgrades!$U$12,K353),1))*POWER(Upgrades!$P$6,E353)*POWER(Upgrades!$P$7,F353)*POWER(Upgrades!$P$8,G353)*POWER(Upgrades!$P$9,H353)*POWER(Upgrades!$P$10,I353)*POWER(Upgrades!$P$11,J353)*POWER(Upgrades!$P$12,K353)*60</f>
        <v>72</v>
      </c>
      <c r="AB353" s="27" t="n">
        <f aca="false">(IF(F353=0,0,(Upgrades!$G$7+F353*Upgrades!$H$7)*POWER(Upgrades!$I$7,F353)))*(IF(Upgrades!$T$6="Asteroid Belt",POWER(Upgrades!$U$6,E353),1)*IF(Upgrades!$T$8="Asteroid Belt",POWER(Upgrades!$U$8,G353),1)*IF(Upgrades!$T$9="Asteroid Belt",POWER(Upgrades!$U$9,H353),1)*IF(Upgrades!$T$10="Asteroid Belt",POWER(Upgrades!$U$10,I353),1)*IF(Upgrades!$T$11="Asteroid Belt",POWER(Upgrades!$U$11,J353),1)*IF(Upgrades!$T$12="Asteroid Belt",POWER(Upgrades!$U$12,K353),1))*POWER(Upgrades!$P$6,E353)*POWER(Upgrades!$P$7,F353)*POWER(Upgrades!$P$8,G353)*POWER(Upgrades!$P$9,H353)*POWER(Upgrades!$P$10,I353)*POWER(Upgrades!$P$11,J353)*POWER(Upgrades!$P$12,K353)*60</f>
        <v>150</v>
      </c>
      <c r="AC353" s="27" t="n">
        <f aca="false">(IF(G353=0,0,(Upgrades!$J$8+G353*Upgrades!$K$8)*POWER(Upgrades!$L$8,G353)))*(IF(Upgrades!$T$6="Stellar Coupling",POWER(Upgrades!$U$6,E353),1)*IF(Upgrades!$T$7="Stellar Coupling",POWER(Upgrades!$U$7,F353),1)*IF(Upgrades!$T$9="Stellar Coupling",POWER(Upgrades!$U$9,H353),1)*IF(Upgrades!$T$10="Stellar Coupling",POWER(Upgrades!$U$10,I353),1)*IF(Upgrades!$T$11="Stellar Coupling",POWER(Upgrades!$U$11,J353),1)*IF(Upgrades!$T$12="Stellar Coupling",POWER(Upgrades!$U$12,K353),1))*POWER(Upgrades!$Q$6,E353)*POWER(Upgrades!$Q$7,F353)*POWER(Upgrades!$Q$8,G353)*POWER(Upgrades!$Q$9,H353)*POWER(Upgrades!$Q$10,I353)*POWER(Upgrades!$Q$11,J353)*POWER(Upgrades!$Q$12,K353)*Parameters!$B$10*Parameters!$B$11</f>
        <v>441</v>
      </c>
      <c r="AD353" s="27" t="n">
        <f aca="false">(IF(H353=0,0,(Upgrades!$G$9+H353*Upgrades!$H$9)*POWER(Upgrades!$I$9,H353)))*(IF(Upgrades!$T$6="Magnetosphere",POWER(Upgrades!$U$6,E353),1)*IF(Upgrades!$T$7="Magnetosphere",POWER(Upgrades!$U$7,F353),1)*IF(Upgrades!$T$8="Magnetosphere",POWER(Upgrades!$U$8,G353),1)*IF(Upgrades!$T$10="Magnetosphere",POWER(Upgrades!$U$10,I353),1)*IF(Upgrades!$T$11="Magnetosphere",POWER(Upgrades!$U$11,J353),1)*IF(Upgrades!$T$12="Magnetosphere",POWER(Upgrades!$U$12,K353),1))*POWER(Upgrades!$P$6,E353)*POWER(Upgrades!$P$7,F353)*POWER(Upgrades!$P$8,G353)*POWER(Upgrades!$P$9,H353)*POWER(Upgrades!$P$10,I353)*POWER(Upgrades!$P$11,J353)*POWER(Upgrades!$P$12,K353)*60</f>
        <v>375</v>
      </c>
      <c r="AE353" s="27" t="n">
        <f aca="false">(IF(K353=0,0,(Upgrades!$G$12+K353*Upgrades!$H$12)*POWER(Upgrades!$I$12,K353)))*(IF(Upgrades!$T$6="First Photons",POWER(Upgrades!$U$6,E353),1)*IF(Upgrades!$T$7="First Photons",POWER(Upgrades!$U$7,F353),1)*IF(Upgrades!$T$8="First Photons",POWER(Upgrades!$U$8,G353),1)*IF(Upgrades!$T$9="First Photons",POWER(Upgrades!$U$9,H353),1)*IF(Upgrades!$T$10="First Photons",POWER(Upgrades!$U$10,I353),1)*IF(Upgrades!$T$11="First Photons",POWER(Upgrades!$U$11,J353),1))*POWER(Upgrades!$P$6,E353)*POWER(Upgrades!$P$7,F353)*POWER(Upgrades!$P$8,G353)*POWER(Upgrades!$P$9,H353)*POWER(Upgrades!$P$10,I353)*POWER(Upgrades!$P$11,J353)*POWER(Upgrades!$P$12,K353)*60</f>
        <v>75</v>
      </c>
      <c r="AF353" s="27" t="n">
        <f aca="false">Parameters!$B$9*POWER(Upgrades!$Q$6,E353)*POWER(Upgrades!$Q$7,F353)*POWER(Upgrades!$Q$8,G353)*POWER(Upgrades!$Q$9,H353)*POWER(Upgrades!$Q$10,I353)*POWER(Upgrades!$Q$11,J353)*POWER(Upgrades!$Q$12,K353)*(Parameters!$B$10*Parameters!$B$11+O353*60)</f>
        <v>120</v>
      </c>
      <c r="AG353" s="21" t="n">
        <f aca="false">IF(E353&gt;=Upgrades!$E$6,"",Upgrades!$C$6*POWER(Upgrades!$D$6,E353))</f>
        <v>37.4517507383159</v>
      </c>
      <c r="AH353" s="21" t="n">
        <f aca="false">IF(F353&gt;=Upgrades!$E$7,"",Upgrades!$C$7*POWER(Upgrades!$D$7,F353))</f>
        <v>80.9111547141581</v>
      </c>
      <c r="AI353" s="21" t="n">
        <f aca="false">IF(G353&gt;=Upgrades!$E$8,"",Upgrades!$C$8*POWER(Upgrades!$D$8,G353))</f>
        <v>231.9097088</v>
      </c>
      <c r="AJ353" s="21" t="str">
        <f aca="false">IF(H353&gt;=Upgrades!$E$9,"",Upgrades!$C$9*POWER(Upgrades!$D$9,H353))</f>
        <v/>
      </c>
      <c r="AK353" s="21" t="str">
        <f aca="false">IF(I353&gt;=Upgrades!$E$10,"",Upgrades!$C$10*POWER(Upgrades!$D$10,I353))</f>
        <v/>
      </c>
      <c r="AL353" s="21" t="str">
        <f aca="false">IF(J353&gt;=Upgrades!$E$11,"",Upgrades!$C$11*POWER(Upgrades!$D$11,J353))</f>
        <v/>
      </c>
      <c r="AM353" s="21" t="str">
        <f aca="false">IF(K353&gt;=Upgrades!$E$12,"",Upgrades!$C$12*POWER(Upgrades!$D$12,K353))</f>
        <v/>
      </c>
      <c r="AN353" s="26" t="str">
        <f aca="false">IF(AND(D353&gt;=Parameters!$B$18,(H353&gt;=Upgrades!$E$9)*(K353&gt;=Upgrades!$E$12)=1,L353=0),1,"")</f>
        <v/>
      </c>
      <c r="AO353" s="26" t="str">
        <f aca="false">IF(AND(D353&gt;=Parameters!$B$18,L353=0),1,"")</f>
        <v/>
      </c>
      <c r="AP353" s="21" t="n">
        <f aca="false">MIN(IF(ISNUMBER(AK353),AK353,9000000000000000),IF(ISNUMBER(AL353),AL353,9000000000000000),IF(ISNUMBER(AM353),AM353,9000000000000000))</f>
        <v>9000000000000000</v>
      </c>
      <c r="AQ353" s="21" t="n">
        <f aca="false">MIN(IF(ISNUMBER(AG353),AG353,9000000000000000),IF(ISNUMBER(AH353),AH353,9000000000000000),IF(ISNUMBER(AI353),AI353,9000000000000000),IF(ISNUMBER(AJ353),AJ353,9000000000000000))</f>
        <v>37.4517507383159</v>
      </c>
      <c r="AR353" s="32" t="b">
        <f aca="false">IF(AW353&gt;Parameters!$B$21*(MAX(IF(AND(NOT(AND(AO353=1,AN353&lt;&gt;1)),ISNUMBER(AG353),AG353&lt;=T353),AS353,0),IF(AND(NOT(AND(AO353=1,AN353&lt;&gt;1)),ISNUMBER(AH353),AH353&lt;=T353),AT353,0),IF(AND(NOT(AND(AO353=1,AN353&lt;&gt;1)),ISNUMBER(AI353),AI353&lt;=T353),AU353,0),IF(AND(ISNUMBER(AJ353),AJ353&lt;=T353),AV353,0))),TRUE(),FALSE())</f>
        <v>1</v>
      </c>
      <c r="AS353" s="33" t="n">
        <f aca="false">IFERROR(Upgrades!$H$6*(POWER(Upgrades!$P$6,E353)*POWER(Upgrades!$P$7,F353)*POWER(Upgrades!$P$8,G353)*POWER(Upgrades!$P$9,H353)*POWER(Upgrades!$P$10,I353)*POWER(Upgrades!$P$11,J353)*POWER(Upgrades!$P$12,K353))*(IF(Upgrades!$T$7="Solar Wind",POWER(Upgrades!$U$7,F353),1)*IF(Upgrades!$T$8="Solar Wind",POWER(Upgrades!$U$8,G353),1)*IF(Upgrades!$T$9="Solar Wind",POWER(Upgrades!$U$9,H353),1)*IF(Upgrades!$T$10="Solar Wind",POWER(Upgrades!$U$10,I353),1)*IF(Upgrades!$T$11="Solar Wind",POWER(Upgrades!$U$11,J353),1)*IF(Upgrades!$T$12="Solar Wind",POWER(Upgrades!$U$12,K353),1))/AG353,0)</f>
        <v>0.0026701021455238</v>
      </c>
      <c r="AT353" s="33" t="n">
        <f aca="false">IFERROR(Upgrades!$H$7*(POWER(Upgrades!$P$6,E353)*POWER(Upgrades!$P$7,F353)*POWER(Upgrades!$P$8,G353)*POWER(Upgrades!$P$9,H353)*POWER(Upgrades!$P$10,I353)*POWER(Upgrades!$P$11,J353)*POWER(Upgrades!$P$12,K353))*(IF(Upgrades!$T$6="Asteroid Belt",POWER(Upgrades!$U$6,E353),1)*IF(Upgrades!$T$8="Asteroid Belt",POWER(Upgrades!$U$8,G353),1)*IF(Upgrades!$T$9="Asteroid Belt",POWER(Upgrades!$U$9,H353),1)*IF(Upgrades!$T$10="Asteroid Belt",POWER(Upgrades!$U$10,I353),1)*IF(Upgrades!$T$11="Asteroid Belt",POWER(Upgrades!$U$11,J353),1)*IF(Upgrades!$T$12="Asteroid Belt",POWER(Upgrades!$U$12,K353),1))/AH353,0)</f>
        <v>0.00308980882652332</v>
      </c>
      <c r="AU353" s="33" t="n">
        <f aca="false">IFERROR(Upgrades!$K$8*(POWER(Upgrades!$Q$6,E353)*POWER(Upgrades!$Q$7,F353)*POWER(Upgrades!$Q$8,G353)*POWER(Upgrades!$Q$9,H353)*POWER(Upgrades!$Q$10,I353)*POWER(Upgrades!$Q$11,J353)*POWER(Upgrades!$Q$12,K353))*(IF(Upgrades!$T$6="Stellar Coupling",POWER(Upgrades!$U$6,E353),1)*IF(Upgrades!$T$7="Stellar Coupling",POWER(Upgrades!$U$7,F353),1)*IF(Upgrades!$T$9="Stellar Coupling",POWER(Upgrades!$U$9,H353),1)*IF(Upgrades!$T$10="Stellar Coupling",POWER(Upgrades!$U$10,I353),1)*IF(Upgrades!$T$11="Stellar Coupling",POWER(Upgrades!$U$11,J353),1)*IF(Upgrades!$T$12="Stellar Coupling",POWER(Upgrades!$U$12,K353),1))*Parameters!$B$10*Parameters!$B$11/60/AI353,0)</f>
        <v>0.00452762415783776</v>
      </c>
      <c r="AV353" s="33" t="n">
        <f aca="false">IFERROR(Upgrades!$H$9*(POWER(Upgrades!$P$6,E353)*POWER(Upgrades!$P$7,F353)*POWER(Upgrades!$P$8,G353)*POWER(Upgrades!$P$9,H353)*POWER(Upgrades!$P$10,I353)*POWER(Upgrades!$P$11,J353)*POWER(Upgrades!$P$12,K353))*(IF(Upgrades!$T$6="Magnetosphere",POWER(Upgrades!$U$6,E353),1)*IF(Upgrades!$T$7="Magnetosphere",POWER(Upgrades!$U$7,F353),1)*IF(Upgrades!$T$8="Magnetosphere",POWER(Upgrades!$U$8,G353),1)*IF(Upgrades!$T$10="Magnetosphere",POWER(Upgrades!$U$10,I353),1)*IF(Upgrades!$T$11="Magnetosphere",POWER(Upgrades!$U$11,J353),1)*IF(Upgrades!$T$12="Magnetosphere",POWER(Upgrades!$U$12,K353),1))/AJ353,0)</f>
        <v>0</v>
      </c>
      <c r="AW353" s="33" t="n">
        <f aca="false">MAX(IF(I353&gt;0,0,IFERROR(0.25*N353/Upgrades!$C$10,0)),IF(J353&gt;0,0,IFERROR(0.5*((IF(G353=0,0,(Upgrades!$J$8+G353*Upgrades!$K$8)*POWER(Upgrades!$L$8,G353)))*(IF(Upgrades!$T$6="Stellar Coupling",POWER(Upgrades!$U$6,E353),1)*IF(Upgrades!$T$7="Stellar Coupling",POWER(Upgrades!$U$7,F353),1)*IF(Upgrades!$T$9="Stellar Coupling",POWER(Upgrades!$U$9,H353),1)*IF(Upgrades!$T$10="Stellar Coupling",POWER(Upgrades!$U$10,I353),1)*IF(Upgrades!$T$11="Stellar Coupling",POWER(Upgrades!$U$11,J353),1)*IF(Upgrades!$T$12="Stellar Coupling",POWER(Upgrades!$U$12,K353),1))*(POWER(Upgrades!$Q$6,E353)*POWER(Upgrades!$Q$7,F353)*POWER(Upgrades!$Q$8,G353)*POWER(Upgrades!$Q$9,H353)*POWER(Upgrades!$Q$10,I353)*POWER(Upgrades!$Q$11,J353)*POWER(Upgrades!$Q$12,K353))*Parameters!$B$10*Parameters!$B$11/60)/Upgrades!$C$11,0)),IF(K353&gt;0,0,IFERROR((1*(POWER(Upgrades!$P$6,E353)*POWER(Upgrades!$P$7,F353)*POWER(Upgrades!$P$8,G353)*POWER(Upgrades!$P$9,H353)*POWER(Upgrades!$P$10,I353)*POWER(Upgrades!$P$11,J353)*POWER(Upgrades!$P$12,K353))+0.2*M353*Parameters!$B$10*Parameters!$B$11/60)/Upgrades!$C$12,0)),IF(AND(ISNUMBER(AG353),AG353&gt;T353),AS353,0),IF(AND(ISNUMBER(AH353),AH353&gt;T353),AT353,0),IF(AND(ISNUMBER(AI353),AI353&gt;T353),AU353,0),IF(AND(ISNUMBER(AJ353),AJ353&gt;T353),AV353,0))</f>
        <v>0.00452762415783776</v>
      </c>
      <c r="AX353" s="29" t="str">
        <f aca="false">IF(AN353=1,"transition",IF(MIN(IF(AND(I353=0,ISNUMBER(AK353),AK353&lt;=T353),AK353,9000000000000000),IF(AND(J353=0,ISNUMBER(AL353),AL353&lt;=T353),AL353,9000000000000000),IF(AND(K353=0,ISNUMBER(AM353),AM353&lt;=T353),AM353,9000000000000000))&lt;9000000000000000,IF(AND(AND(I353=0,ISNUMBER(AK353),AK353&lt;=T353),AK353=MIN(IF(AND(I353=0,ISNUMBER(AK353),AK353&lt;=T353),AK353,9000000000000000),IF(AND(J353=0,ISNUMBER(AL353),AL353&lt;=T353),AL353,9000000000000000),IF(AND(K353=0,ISNUMBER(AM353),AM353&lt;=T353),AM353,9000000000000000))),"OR",IF(AND(AND(J353=0,ISNUMBER(AL353),AL353&lt;=T353),AL353=MIN(IF(AND(I353=0,ISNUMBER(AK353),AK353&lt;=T353),AK353,9000000000000000),IF(AND(J353=0,ISNUMBER(AL353),AL353&lt;=T353),AL353,9000000000000000),IF(AND(K353=0,ISNUMBER(AM353),AM353&lt;=T353),AM353,9000000000000000))),"HP","FP")),IF(AR353=TRUE(),"",IF(MAX(IF(AND(NOT(AND(AO353=1,AN353&lt;&gt;1)),ISNUMBER(AG353),AG353&lt;=T353),AS353,0),IF(AND(NOT(AND(AO353=1,AN353&lt;&gt;1)),ISNUMBER(AH353),AH353&lt;=T353),AT353,0),IF(AND(NOT(AND(AO353=1,AN353&lt;&gt;1)),ISNUMBER(AI353),AI353&lt;=T353),AU353,0),IF(AND(ISNUMBER(AJ353),AJ353&lt;=T353),AV353,0))&lt;=0,"",IF(AND(IF(AND(NOT(AND(AO353=1,AN353&lt;&gt;1)),ISNUMBER(AG353),AG353&lt;=T353),AS353,0)&gt;0,IF(AND(NOT(AND(AO353=1,AN353&lt;&gt;1)),ISNUMBER(AG353),AG353&lt;=T353),AS353,0)=MAX(IF(AND(NOT(AND(AO353=1,AN353&lt;&gt;1)),ISNUMBER(AG353),AG353&lt;=T353),AS353,0),IF(AND(NOT(AND(AO353=1,AN353&lt;&gt;1)),ISNUMBER(AH353),AH353&lt;=T353),AT353,0),IF(AND(NOT(AND(AO353=1,AN353&lt;&gt;1)),ISNUMBER(AI353),AI353&lt;=T353),AU353,0),IF(AND(ISNUMBER(AJ353),AJ353&lt;=T353),AV353,0))),"SW",IF(AND(IF(AND(NOT(AND(AO353=1,AN353&lt;&gt;1)),ISNUMBER(AH353),AH353&lt;=T353),AT353,0)&gt;0,IF(AND(NOT(AND(AO353=1,AN353&lt;&gt;1)),ISNUMBER(AH353),AH353&lt;=T353),AT353,0)=MAX(IF(AND(NOT(AND(AO353=1,AN353&lt;&gt;1)),ISNUMBER(AG353),AG353&lt;=T353),AS353,0),IF(AND(NOT(AND(AO353=1,AN353&lt;&gt;1)),ISNUMBER(AH353),AH353&lt;=T353),AT353,0),IF(AND(NOT(AND(AO353=1,AN353&lt;&gt;1)),ISNUMBER(AI353),AI353&lt;=T353),AU353,0),IF(AND(ISNUMBER(AJ353),AJ353&lt;=T353),AV353,0))),"AB",IF(AND(IF(AND(NOT(AND(AO353=1,AN353&lt;&gt;1)),ISNUMBER(AI353),AI353&lt;=T353),AU353,0)&gt;0,IF(AND(NOT(AND(AO353=1,AN353&lt;&gt;1)),ISNUMBER(AI353),AI353&lt;=T353),AU353,0)=MAX(IF(AND(NOT(AND(AO353=1,AN353&lt;&gt;1)),ISNUMBER(AG353),AG353&lt;=T353),AS353,0),IF(AND(NOT(AND(AO353=1,AN353&lt;&gt;1)),ISNUMBER(AH353),AH353&lt;=T353),AT353,0),IF(AND(NOT(AND(AO353=1,AN353&lt;&gt;1)),ISNUMBER(AI353),AI353&lt;=T353),AU353,0),IF(AND(ISNUMBER(AJ353),AJ353&lt;=T353),AV353,0))),"SC","Mag")))))))</f>
        <v/>
      </c>
    </row>
    <row r="354" customFormat="false" ht="15" hidden="false" customHeight="false" outlineLevel="0" collapsed="false">
      <c r="A354" s="26" t="n">
        <v>349</v>
      </c>
      <c r="B354" s="27" t="n">
        <f aca="false">A354*10/60</f>
        <v>58.1666666666667</v>
      </c>
      <c r="C354" s="21" t="n">
        <f aca="false">X353</f>
        <v>18.6730249835055</v>
      </c>
      <c r="D354" s="27" t="n">
        <f aca="false">D353+W353</f>
        <v>0</v>
      </c>
      <c r="E354" s="26" t="n">
        <f aca="false">E353+IF(U353="SW",1,0)</f>
        <v>12</v>
      </c>
      <c r="F354" s="26" t="n">
        <f aca="false">F353+IF(U353="AB",1,0)</f>
        <v>10</v>
      </c>
      <c r="G354" s="26" t="n">
        <f aca="false">G353+IF(U353="SC",1,0)</f>
        <v>7</v>
      </c>
      <c r="H354" s="26" t="n">
        <f aca="false">H353+IF(U353="Mag",1,0)</f>
        <v>5</v>
      </c>
      <c r="I354" s="26" t="n">
        <f aca="false">MAX(I353,IF(U353="OR",1,0))</f>
        <v>1</v>
      </c>
      <c r="J354" s="26" t="n">
        <f aca="false">MAX(J353,IF(U353="HP",1,0))</f>
        <v>1</v>
      </c>
      <c r="K354" s="26" t="n">
        <f aca="false">MAX(K353,IF(U353="FP",1,0))</f>
        <v>1</v>
      </c>
      <c r="L354" s="26" t="n">
        <f aca="false">MAX(L353,IF(U353="transition",1,0))</f>
        <v>1</v>
      </c>
      <c r="M354" s="28" t="n">
        <f aca="false">(Parameters!$B$9+(IF(E354=0,0,(Upgrades!$J$6+E354*Upgrades!$K$6)*POWER(Upgrades!$L$6,E354)))*(IF(Upgrades!$T$7="Solar Wind",POWER(Upgrades!$U$7,F354),1)*IF(Upgrades!$T$8="Solar Wind",POWER(Upgrades!$U$8,G354),1)*IF(Upgrades!$T$9="Solar Wind",POWER(Upgrades!$U$9,H354),1)*IF(Upgrades!$T$10="Solar Wind",POWER(Upgrades!$U$10,I354),1)*IF(Upgrades!$T$11="Solar Wind",POWER(Upgrades!$U$11,J354),1)*IF(Upgrades!$T$12="Solar Wind",POWER(Upgrades!$U$12,K354),1))+(IF(F354=0,0,(Upgrades!$J$7+F354*Upgrades!$K$7)*POWER(Upgrades!$L$7,F354)))*(IF(Upgrades!$T$6="Asteroid Belt",POWER(Upgrades!$U$6,E354),1)*IF(Upgrades!$T$8="Asteroid Belt",POWER(Upgrades!$U$8,G354),1)*IF(Upgrades!$T$9="Asteroid Belt",POWER(Upgrades!$U$9,H354),1)*IF(Upgrades!$T$10="Asteroid Belt",POWER(Upgrades!$U$10,I354),1)*IF(Upgrades!$T$11="Asteroid Belt",POWER(Upgrades!$U$11,J354),1)*IF(Upgrades!$T$12="Asteroid Belt",POWER(Upgrades!$U$12,K354),1))+(IF(G354=0,0,(Upgrades!$J$8+G354*Upgrades!$K$8)*POWER(Upgrades!$L$8,G354)))*(IF(Upgrades!$T$6="Stellar Coupling",POWER(Upgrades!$U$6,E354),1)*IF(Upgrades!$T$7="Stellar Coupling",POWER(Upgrades!$U$7,F354),1)*IF(Upgrades!$T$9="Stellar Coupling",POWER(Upgrades!$U$9,H354),1)*IF(Upgrades!$T$10="Stellar Coupling",POWER(Upgrades!$U$10,I354),1)*IF(Upgrades!$T$11="Stellar Coupling",POWER(Upgrades!$U$11,J354),1)*IF(Upgrades!$T$12="Stellar Coupling",POWER(Upgrades!$U$12,K354),1))+(IF(H354=0,0,(Upgrades!$J$9+H354*Upgrades!$K$9)*POWER(Upgrades!$L$9,H354)))*(IF(Upgrades!$T$6="Magnetosphere",POWER(Upgrades!$U$6,E354),1)*IF(Upgrades!$T$7="Magnetosphere",POWER(Upgrades!$U$7,F354),1)*IF(Upgrades!$T$8="Magnetosphere",POWER(Upgrades!$U$8,G354),1)*IF(Upgrades!$T$10="Magnetosphere",POWER(Upgrades!$U$10,I354),1)*IF(Upgrades!$T$11="Magnetosphere",POWER(Upgrades!$U$11,J354),1)*IF(Upgrades!$T$12="Magnetosphere",POWER(Upgrades!$U$12,K354),1))+(IF(I354=0,0,(Upgrades!$J$10+I354*Upgrades!$K$10)*POWER(Upgrades!$L$10,I354)))*(IF(Upgrades!$T$6="Orbital Resonance",POWER(Upgrades!$U$6,E354),1)*IF(Upgrades!$T$7="Orbital Resonance",POWER(Upgrades!$U$7,F354),1)*IF(Upgrades!$T$8="Orbital Resonance",POWER(Upgrades!$U$8,G354),1)*IF(Upgrades!$T$9="Orbital Resonance",POWER(Upgrades!$U$9,H354),1)*IF(Upgrades!$T$11="Orbital Resonance",POWER(Upgrades!$U$11,J354),1)*IF(Upgrades!$T$12="Orbital Resonance",POWER(Upgrades!$U$12,K354),1))+(IF(J354=0,0,(Upgrades!$J$11+J354*Upgrades!$K$11)*POWER(Upgrades!$L$11,J354)))*(IF(Upgrades!$T$6="Heliopause",POWER(Upgrades!$U$6,E354),1)*IF(Upgrades!$T$7="Heliopause",POWER(Upgrades!$U$7,F354),1)*IF(Upgrades!$T$8="Heliopause",POWER(Upgrades!$U$8,G354),1)*IF(Upgrades!$T$9="Heliopause",POWER(Upgrades!$U$9,H354),1)*IF(Upgrades!$T$10="Heliopause",POWER(Upgrades!$U$10,I354),1)*IF(Upgrades!$T$12="Heliopause",POWER(Upgrades!$U$12,K354),1))+(IF(K354=0,0,(Upgrades!$J$12+K354*Upgrades!$K$12)*POWER(Upgrades!$L$12,K354)))*(IF(Upgrades!$T$6="First Photons",POWER(Upgrades!$U$6,E354),1)*IF(Upgrades!$T$7="First Photons",POWER(Upgrades!$U$7,F354),1)*IF(Upgrades!$T$8="First Photons",POWER(Upgrades!$U$8,G354),1)*IF(Upgrades!$T$9="First Photons",POWER(Upgrades!$U$9,H354),1)*IF(Upgrades!$T$10="First Photons",POWER(Upgrades!$U$10,I354),1)*IF(Upgrades!$T$11="First Photons",POWER(Upgrades!$U$11,J354),1)))*POWER(Upgrades!$Q$6,E354)*POWER(Upgrades!$Q$7,F354)*POWER(Upgrades!$Q$8,G354)*POWER(Upgrades!$Q$9,H354)*POWER(Upgrades!$Q$10,I354)*POWER(Upgrades!$Q$11,J354)*POWER(Upgrades!$Q$12,K354)</f>
        <v>5.61</v>
      </c>
      <c r="N354" s="28" t="n">
        <f aca="false">((IF(E354=0,0,(Upgrades!$G$6+E354*Upgrades!$H$6)*POWER(Upgrades!$I$6,E354)))*(IF(Upgrades!$T$7="Solar Wind",POWER(Upgrades!$U$7,F354),1)*IF(Upgrades!$T$8="Solar Wind",POWER(Upgrades!$U$8,G354),1)*IF(Upgrades!$T$9="Solar Wind",POWER(Upgrades!$U$9,H354),1)*IF(Upgrades!$T$10="Solar Wind",POWER(Upgrades!$U$10,I354),1)*IF(Upgrades!$T$11="Solar Wind",POWER(Upgrades!$U$11,J354),1)*IF(Upgrades!$T$12="Solar Wind",POWER(Upgrades!$U$12,K354),1))+(IF(F354=0,0,(Upgrades!$G$7+F354*Upgrades!$H$7)*POWER(Upgrades!$I$7,F354)))*(IF(Upgrades!$T$6="Asteroid Belt",POWER(Upgrades!$U$6,E354),1)*IF(Upgrades!$T$8="Asteroid Belt",POWER(Upgrades!$U$8,G354),1)*IF(Upgrades!$T$9="Asteroid Belt",POWER(Upgrades!$U$9,H354),1)*IF(Upgrades!$T$10="Asteroid Belt",POWER(Upgrades!$U$10,I354),1)*IF(Upgrades!$T$11="Asteroid Belt",POWER(Upgrades!$U$11,J354),1)*IF(Upgrades!$T$12="Asteroid Belt",POWER(Upgrades!$U$12,K354),1))+(IF(G354=0,0,(Upgrades!$G$8+G354*Upgrades!$H$8)*POWER(Upgrades!$I$8,G354)))*(IF(Upgrades!$T$6="Stellar Coupling",POWER(Upgrades!$U$6,E354),1)*IF(Upgrades!$T$7="Stellar Coupling",POWER(Upgrades!$U$7,F354),1)*IF(Upgrades!$T$9="Stellar Coupling",POWER(Upgrades!$U$9,H354),1)*IF(Upgrades!$T$10="Stellar Coupling",POWER(Upgrades!$U$10,I354),1)*IF(Upgrades!$T$11="Stellar Coupling",POWER(Upgrades!$U$11,J354),1)*IF(Upgrades!$T$12="Stellar Coupling",POWER(Upgrades!$U$12,K354),1))+(IF(H354=0,0,(Upgrades!$G$9+H354*Upgrades!$H$9)*POWER(Upgrades!$I$9,H354)))*(IF(Upgrades!$T$6="Magnetosphere",POWER(Upgrades!$U$6,E354),1)*IF(Upgrades!$T$7="Magnetosphere",POWER(Upgrades!$U$7,F354),1)*IF(Upgrades!$T$8="Magnetosphere",POWER(Upgrades!$U$8,G354),1)*IF(Upgrades!$T$10="Magnetosphere",POWER(Upgrades!$U$10,I354),1)*IF(Upgrades!$T$11="Magnetosphere",POWER(Upgrades!$U$11,J354),1)*IF(Upgrades!$T$12="Magnetosphere",POWER(Upgrades!$U$12,K354),1))+(IF(I354=0,0,(Upgrades!$G$10+I354*Upgrades!$H$10)*POWER(Upgrades!$I$10,I354)))*(IF(Upgrades!$T$6="Orbital Resonance",POWER(Upgrades!$U$6,E354),1)*IF(Upgrades!$T$7="Orbital Resonance",POWER(Upgrades!$U$7,F354),1)*IF(Upgrades!$T$8="Orbital Resonance",POWER(Upgrades!$U$8,G354),1)*IF(Upgrades!$T$9="Orbital Resonance",POWER(Upgrades!$U$9,H354),1)*IF(Upgrades!$T$11="Orbital Resonance",POWER(Upgrades!$U$11,J354),1)*IF(Upgrades!$T$12="Orbital Resonance",POWER(Upgrades!$U$12,K354),1))+(IF(J354=0,0,(Upgrades!$G$11+J354*Upgrades!$H$11)*POWER(Upgrades!$I$11,J354)))*(IF(Upgrades!$T$6="Heliopause",POWER(Upgrades!$U$6,E354),1)*IF(Upgrades!$T$7="Heliopause",POWER(Upgrades!$U$7,F354),1)*IF(Upgrades!$T$8="Heliopause",POWER(Upgrades!$U$8,G354),1)*IF(Upgrades!$T$9="Heliopause",POWER(Upgrades!$U$9,H354),1)*IF(Upgrades!$T$10="Heliopause",POWER(Upgrades!$U$10,I354),1)*IF(Upgrades!$T$12="Heliopause",POWER(Upgrades!$U$12,K354),1))+(IF(K354=0,0,(Upgrades!$G$12+K354*Upgrades!$H$12)*POWER(Upgrades!$I$12,K354)))*(IF(Upgrades!$T$6="First Photons",POWER(Upgrades!$U$6,E354),1)*IF(Upgrades!$T$7="First Photons",POWER(Upgrades!$U$7,F354),1)*IF(Upgrades!$T$8="First Photons",POWER(Upgrades!$U$8,G354),1)*IF(Upgrades!$T$9="First Photons",POWER(Upgrades!$U$9,H354),1)*IF(Upgrades!$T$10="First Photons",POWER(Upgrades!$U$10,I354),1)*IF(Upgrades!$T$11="First Photons",POWER(Upgrades!$U$11,J354),1)))*POWER(Upgrades!$P$6,E354)*POWER(Upgrades!$P$7,F354)*POWER(Upgrades!$P$8,G354)*POWER(Upgrades!$P$9,H354)*POWER(Upgrades!$P$10,I354)*POWER(Upgrades!$P$11,J354)*POWER(Upgrades!$P$12,K354)</f>
        <v>11.2</v>
      </c>
      <c r="O354" s="28" t="n">
        <f aca="false">((IF(E354=0,0,(Upgrades!$M$6+E354*Upgrades!$N$6)*POWER(Upgrades!$O$6,E354)))*(IF(Upgrades!$T$7="Solar Wind",POWER(Upgrades!$U$7,F354),1)*IF(Upgrades!$T$8="Solar Wind",POWER(Upgrades!$U$8,G354),1)*IF(Upgrades!$T$9="Solar Wind",POWER(Upgrades!$U$9,H354),1)*IF(Upgrades!$T$10="Solar Wind",POWER(Upgrades!$U$10,I354),1)*IF(Upgrades!$T$11="Solar Wind",POWER(Upgrades!$U$11,J354),1)*IF(Upgrades!$T$12="Solar Wind",POWER(Upgrades!$U$12,K354),1))+(IF(F354=0,0,(Upgrades!$M$7+F354*Upgrades!$N$7)*POWER(Upgrades!$O$7,F354)))*(IF(Upgrades!$T$6="Asteroid Belt",POWER(Upgrades!$U$6,E354),1)*IF(Upgrades!$T$8="Asteroid Belt",POWER(Upgrades!$U$8,G354),1)*IF(Upgrades!$T$9="Asteroid Belt",POWER(Upgrades!$U$9,H354),1)*IF(Upgrades!$T$10="Asteroid Belt",POWER(Upgrades!$U$10,I354),1)*IF(Upgrades!$T$11="Asteroid Belt",POWER(Upgrades!$U$11,J354),1)*IF(Upgrades!$T$12="Asteroid Belt",POWER(Upgrades!$U$12,K354),1))+(IF(G354=0,0,(Upgrades!$M$8+G354*Upgrades!$N$8)*POWER(Upgrades!$O$8,G354)))*(IF(Upgrades!$T$6="Stellar Coupling",POWER(Upgrades!$U$6,E354),1)*IF(Upgrades!$T$7="Stellar Coupling",POWER(Upgrades!$U$7,F354),1)*IF(Upgrades!$T$9="Stellar Coupling",POWER(Upgrades!$U$9,H354),1)*IF(Upgrades!$T$10="Stellar Coupling",POWER(Upgrades!$U$10,I354),1)*IF(Upgrades!$T$11="Stellar Coupling",POWER(Upgrades!$U$11,J354),1)*IF(Upgrades!$T$12="Stellar Coupling",POWER(Upgrades!$U$12,K354),1))+(IF(H354=0,0,(Upgrades!$M$9+H354*Upgrades!$N$9)*POWER(Upgrades!$O$9,H354)))*(IF(Upgrades!$T$6="Magnetosphere",POWER(Upgrades!$U$6,E354),1)*IF(Upgrades!$T$7="Magnetosphere",POWER(Upgrades!$U$7,F354),1)*IF(Upgrades!$T$8="Magnetosphere",POWER(Upgrades!$U$8,G354),1)*IF(Upgrades!$T$10="Magnetosphere",POWER(Upgrades!$U$10,I354),1)*IF(Upgrades!$T$11="Magnetosphere",POWER(Upgrades!$U$11,J354),1)*IF(Upgrades!$T$12="Magnetosphere",POWER(Upgrades!$U$12,K354),1))+(IF(I354=0,0,(Upgrades!$M$10+I354*Upgrades!$N$10)*POWER(Upgrades!$O$10,I354)))*(IF(Upgrades!$T$6="Orbital Resonance",POWER(Upgrades!$U$6,E354),1)*IF(Upgrades!$T$7="Orbital Resonance",POWER(Upgrades!$U$7,F354),1)*IF(Upgrades!$T$8="Orbital Resonance",POWER(Upgrades!$U$8,G354),1)*IF(Upgrades!$T$9="Orbital Resonance",POWER(Upgrades!$U$9,H354),1)*IF(Upgrades!$T$11="Orbital Resonance",POWER(Upgrades!$U$11,J354),1)*IF(Upgrades!$T$12="Orbital Resonance",POWER(Upgrades!$U$12,K354),1))+(IF(J354=0,0,(Upgrades!$M$11+J354*Upgrades!$N$11)*POWER(Upgrades!$O$11,J354)))*(IF(Upgrades!$T$6="Heliopause",POWER(Upgrades!$U$6,E354),1)*IF(Upgrades!$T$7="Heliopause",POWER(Upgrades!$U$7,F354),1)*IF(Upgrades!$T$8="Heliopause",POWER(Upgrades!$U$8,G354),1)*IF(Upgrades!$T$9="Heliopause",POWER(Upgrades!$U$9,H354),1)*IF(Upgrades!$T$10="Heliopause",POWER(Upgrades!$U$10,I354),1)*IF(Upgrades!$T$12="Heliopause",POWER(Upgrades!$U$12,K354),1))+(IF(K354=0,0,(Upgrades!$M$12+K354*Upgrades!$N$12)*POWER(Upgrades!$O$12,K354)))*(IF(Upgrades!$T$6="First Photons",POWER(Upgrades!$U$6,E354),1)*IF(Upgrades!$T$7="First Photons",POWER(Upgrades!$U$7,F354),1)*IF(Upgrades!$T$8="First Photons",POWER(Upgrades!$U$8,G354),1)*IF(Upgrades!$T$9="First Photons",POWER(Upgrades!$U$9,H354),1)*IF(Upgrades!$T$10="First Photons",POWER(Upgrades!$U$10,I354),1)*IF(Upgrades!$T$11="First Photons",POWER(Upgrades!$U$11,J354),1)))*POWER(Upgrades!$R$6,E354)*POWER(Upgrades!$R$7,F354)*POWER(Upgrades!$R$8,G354)*POWER(Upgrades!$R$9,H354)*POWER(Upgrades!$R$10,I354)*POWER(Upgrades!$R$11,J354)*POWER(Upgrades!$R$12,K354)</f>
        <v>0</v>
      </c>
      <c r="P354" s="27" t="n">
        <f aca="false">IF(L354=1,0,M354*Parameters!$B$10/60*Parameters!$B$11*10)</f>
        <v>0</v>
      </c>
      <c r="Q354" s="27" t="n">
        <f aca="false">IF(L354=1,0,O354*M354*10)</f>
        <v>0</v>
      </c>
      <c r="R354" s="27" t="n">
        <f aca="false">IF(L354=1,0,N354*10)</f>
        <v>0</v>
      </c>
      <c r="S354" s="27" t="n">
        <f aca="false">P354+Q354+R354</f>
        <v>0</v>
      </c>
      <c r="T354" s="21" t="n">
        <f aca="false">C354+S354</f>
        <v>18.6730249835055</v>
      </c>
      <c r="U354" s="34" t="str">
        <f aca="false">AX354</f>
        <v/>
      </c>
      <c r="V354" s="21" t="n">
        <f aca="false">IF(U354="",0,IF(U354="transition",0,IF(U354="SW",AG354,IF(U354="AB",AH354,IF(U354="SC",AI354,IF(U354="Mag",AJ354,IF(U354="OR",AK354,IF(U354="HP",AL354,IF(U354="FP",AM354,0)))))))))</f>
        <v>0</v>
      </c>
      <c r="W354" s="27" t="n">
        <f aca="false">IF(U354="OR",Upgrades!$F$10,IF(U354="HP",Upgrades!$F$11,IF(U354="transition",-Parameters!$B$18,0)))</f>
        <v>0</v>
      </c>
      <c r="X354" s="21" t="n">
        <f aca="false">T354-V354</f>
        <v>18.6730249835055</v>
      </c>
      <c r="Y354" s="30" t="n">
        <f aca="false">M354*Parameters!$B$10/60*Parameters!$B$11+O354*M354+N354</f>
        <v>20.55</v>
      </c>
      <c r="Z354" s="35" t="str">
        <f aca="false">IF(U354="transition","→ Tier 2 (Stellar Neighborhood)",IF(U354="FP","First Photons — light begins, system quickens",IF(U354="HP","Heliopause acquired",IF(U354="OR","Orbital Resonance — passive multiplier active",IF(AND(AO354=1,L354=0,AN354&lt;&gt;1),"Cohesion ready (waiting on completionist upgrades)","")))))</f>
        <v/>
      </c>
      <c r="AA354" s="27" t="n">
        <f aca="false">(IF(E354=0,0,(Upgrades!$G$6+E354*Upgrades!$H$6)*POWER(Upgrades!$I$6,E354)))*(IF(Upgrades!$T$7="Solar Wind",POWER(Upgrades!$U$7,F354),1)*IF(Upgrades!$T$8="Solar Wind",POWER(Upgrades!$U$8,G354),1)*IF(Upgrades!$T$9="Solar Wind",POWER(Upgrades!$U$9,H354),1)*IF(Upgrades!$T$10="Solar Wind",POWER(Upgrades!$U$10,I354),1)*IF(Upgrades!$T$11="Solar Wind",POWER(Upgrades!$U$11,J354),1)*IF(Upgrades!$T$12="Solar Wind",POWER(Upgrades!$U$12,K354),1))*POWER(Upgrades!$P$6,E354)*POWER(Upgrades!$P$7,F354)*POWER(Upgrades!$P$8,G354)*POWER(Upgrades!$P$9,H354)*POWER(Upgrades!$P$10,I354)*POWER(Upgrades!$P$11,J354)*POWER(Upgrades!$P$12,K354)*60</f>
        <v>72</v>
      </c>
      <c r="AB354" s="27" t="n">
        <f aca="false">(IF(F354=0,0,(Upgrades!$G$7+F354*Upgrades!$H$7)*POWER(Upgrades!$I$7,F354)))*(IF(Upgrades!$T$6="Asteroid Belt",POWER(Upgrades!$U$6,E354),1)*IF(Upgrades!$T$8="Asteroid Belt",POWER(Upgrades!$U$8,G354),1)*IF(Upgrades!$T$9="Asteroid Belt",POWER(Upgrades!$U$9,H354),1)*IF(Upgrades!$T$10="Asteroid Belt",POWER(Upgrades!$U$10,I354),1)*IF(Upgrades!$T$11="Asteroid Belt",POWER(Upgrades!$U$11,J354),1)*IF(Upgrades!$T$12="Asteroid Belt",POWER(Upgrades!$U$12,K354),1))*POWER(Upgrades!$P$6,E354)*POWER(Upgrades!$P$7,F354)*POWER(Upgrades!$P$8,G354)*POWER(Upgrades!$P$9,H354)*POWER(Upgrades!$P$10,I354)*POWER(Upgrades!$P$11,J354)*POWER(Upgrades!$P$12,K354)*60</f>
        <v>150</v>
      </c>
      <c r="AC354" s="27" t="n">
        <f aca="false">(IF(G354=0,0,(Upgrades!$J$8+G354*Upgrades!$K$8)*POWER(Upgrades!$L$8,G354)))*(IF(Upgrades!$T$6="Stellar Coupling",POWER(Upgrades!$U$6,E354),1)*IF(Upgrades!$T$7="Stellar Coupling",POWER(Upgrades!$U$7,F354),1)*IF(Upgrades!$T$9="Stellar Coupling",POWER(Upgrades!$U$9,H354),1)*IF(Upgrades!$T$10="Stellar Coupling",POWER(Upgrades!$U$10,I354),1)*IF(Upgrades!$T$11="Stellar Coupling",POWER(Upgrades!$U$11,J354),1)*IF(Upgrades!$T$12="Stellar Coupling",POWER(Upgrades!$U$12,K354),1))*POWER(Upgrades!$Q$6,E354)*POWER(Upgrades!$Q$7,F354)*POWER(Upgrades!$Q$8,G354)*POWER(Upgrades!$Q$9,H354)*POWER(Upgrades!$Q$10,I354)*POWER(Upgrades!$Q$11,J354)*POWER(Upgrades!$Q$12,K354)*Parameters!$B$10*Parameters!$B$11</f>
        <v>441</v>
      </c>
      <c r="AD354" s="27" t="n">
        <f aca="false">(IF(H354=0,0,(Upgrades!$G$9+H354*Upgrades!$H$9)*POWER(Upgrades!$I$9,H354)))*(IF(Upgrades!$T$6="Magnetosphere",POWER(Upgrades!$U$6,E354),1)*IF(Upgrades!$T$7="Magnetosphere",POWER(Upgrades!$U$7,F354),1)*IF(Upgrades!$T$8="Magnetosphere",POWER(Upgrades!$U$8,G354),1)*IF(Upgrades!$T$10="Magnetosphere",POWER(Upgrades!$U$10,I354),1)*IF(Upgrades!$T$11="Magnetosphere",POWER(Upgrades!$U$11,J354),1)*IF(Upgrades!$T$12="Magnetosphere",POWER(Upgrades!$U$12,K354),1))*POWER(Upgrades!$P$6,E354)*POWER(Upgrades!$P$7,F354)*POWER(Upgrades!$P$8,G354)*POWER(Upgrades!$P$9,H354)*POWER(Upgrades!$P$10,I354)*POWER(Upgrades!$P$11,J354)*POWER(Upgrades!$P$12,K354)*60</f>
        <v>375</v>
      </c>
      <c r="AE354" s="27" t="n">
        <f aca="false">(IF(K354=0,0,(Upgrades!$G$12+K354*Upgrades!$H$12)*POWER(Upgrades!$I$12,K354)))*(IF(Upgrades!$T$6="First Photons",POWER(Upgrades!$U$6,E354),1)*IF(Upgrades!$T$7="First Photons",POWER(Upgrades!$U$7,F354),1)*IF(Upgrades!$T$8="First Photons",POWER(Upgrades!$U$8,G354),1)*IF(Upgrades!$T$9="First Photons",POWER(Upgrades!$U$9,H354),1)*IF(Upgrades!$T$10="First Photons",POWER(Upgrades!$U$10,I354),1)*IF(Upgrades!$T$11="First Photons",POWER(Upgrades!$U$11,J354),1))*POWER(Upgrades!$P$6,E354)*POWER(Upgrades!$P$7,F354)*POWER(Upgrades!$P$8,G354)*POWER(Upgrades!$P$9,H354)*POWER(Upgrades!$P$10,I354)*POWER(Upgrades!$P$11,J354)*POWER(Upgrades!$P$12,K354)*60</f>
        <v>75</v>
      </c>
      <c r="AF354" s="27" t="n">
        <f aca="false">Parameters!$B$9*POWER(Upgrades!$Q$6,E354)*POWER(Upgrades!$Q$7,F354)*POWER(Upgrades!$Q$8,G354)*POWER(Upgrades!$Q$9,H354)*POWER(Upgrades!$Q$10,I354)*POWER(Upgrades!$Q$11,J354)*POWER(Upgrades!$Q$12,K354)*(Parameters!$B$10*Parameters!$B$11+O354*60)</f>
        <v>120</v>
      </c>
      <c r="AG354" s="21" t="n">
        <f aca="false">IF(E354&gt;=Upgrades!$E$6,"",Upgrades!$C$6*POWER(Upgrades!$D$6,E354))</f>
        <v>37.4517507383159</v>
      </c>
      <c r="AH354" s="21" t="n">
        <f aca="false">IF(F354&gt;=Upgrades!$E$7,"",Upgrades!$C$7*POWER(Upgrades!$D$7,F354))</f>
        <v>80.9111547141581</v>
      </c>
      <c r="AI354" s="21" t="n">
        <f aca="false">IF(G354&gt;=Upgrades!$E$8,"",Upgrades!$C$8*POWER(Upgrades!$D$8,G354))</f>
        <v>231.9097088</v>
      </c>
      <c r="AJ354" s="21" t="str">
        <f aca="false">IF(H354&gt;=Upgrades!$E$9,"",Upgrades!$C$9*POWER(Upgrades!$D$9,H354))</f>
        <v/>
      </c>
      <c r="AK354" s="21" t="str">
        <f aca="false">IF(I354&gt;=Upgrades!$E$10,"",Upgrades!$C$10*POWER(Upgrades!$D$10,I354))</f>
        <v/>
      </c>
      <c r="AL354" s="21" t="str">
        <f aca="false">IF(J354&gt;=Upgrades!$E$11,"",Upgrades!$C$11*POWER(Upgrades!$D$11,J354))</f>
        <v/>
      </c>
      <c r="AM354" s="21" t="str">
        <f aca="false">IF(K354&gt;=Upgrades!$E$12,"",Upgrades!$C$12*POWER(Upgrades!$D$12,K354))</f>
        <v/>
      </c>
      <c r="AN354" s="26" t="str">
        <f aca="false">IF(AND(D354&gt;=Parameters!$B$18,(H354&gt;=Upgrades!$E$9)*(K354&gt;=Upgrades!$E$12)=1,L354=0),1,"")</f>
        <v/>
      </c>
      <c r="AO354" s="26" t="str">
        <f aca="false">IF(AND(D354&gt;=Parameters!$B$18,L354=0),1,"")</f>
        <v/>
      </c>
      <c r="AP354" s="21" t="n">
        <f aca="false">MIN(IF(ISNUMBER(AK354),AK354,9000000000000000),IF(ISNUMBER(AL354),AL354,9000000000000000),IF(ISNUMBER(AM354),AM354,9000000000000000))</f>
        <v>9000000000000000</v>
      </c>
      <c r="AQ354" s="21" t="n">
        <f aca="false">MIN(IF(ISNUMBER(AG354),AG354,9000000000000000),IF(ISNUMBER(AH354),AH354,9000000000000000),IF(ISNUMBER(AI354),AI354,9000000000000000),IF(ISNUMBER(AJ354),AJ354,9000000000000000))</f>
        <v>37.4517507383159</v>
      </c>
      <c r="AR354" s="32" t="b">
        <f aca="false">IF(AW354&gt;Parameters!$B$21*(MAX(IF(AND(NOT(AND(AO354=1,AN354&lt;&gt;1)),ISNUMBER(AG354),AG354&lt;=T354),AS354,0),IF(AND(NOT(AND(AO354=1,AN354&lt;&gt;1)),ISNUMBER(AH354),AH354&lt;=T354),AT354,0),IF(AND(NOT(AND(AO354=1,AN354&lt;&gt;1)),ISNUMBER(AI354),AI354&lt;=T354),AU354,0),IF(AND(ISNUMBER(AJ354),AJ354&lt;=T354),AV354,0))),TRUE(),FALSE())</f>
        <v>1</v>
      </c>
      <c r="AS354" s="33" t="n">
        <f aca="false">IFERROR(Upgrades!$H$6*(POWER(Upgrades!$P$6,E354)*POWER(Upgrades!$P$7,F354)*POWER(Upgrades!$P$8,G354)*POWER(Upgrades!$P$9,H354)*POWER(Upgrades!$P$10,I354)*POWER(Upgrades!$P$11,J354)*POWER(Upgrades!$P$12,K354))*(IF(Upgrades!$T$7="Solar Wind",POWER(Upgrades!$U$7,F354),1)*IF(Upgrades!$T$8="Solar Wind",POWER(Upgrades!$U$8,G354),1)*IF(Upgrades!$T$9="Solar Wind",POWER(Upgrades!$U$9,H354),1)*IF(Upgrades!$T$10="Solar Wind",POWER(Upgrades!$U$10,I354),1)*IF(Upgrades!$T$11="Solar Wind",POWER(Upgrades!$U$11,J354),1)*IF(Upgrades!$T$12="Solar Wind",POWER(Upgrades!$U$12,K354),1))/AG354,0)</f>
        <v>0.0026701021455238</v>
      </c>
      <c r="AT354" s="33" t="n">
        <f aca="false">IFERROR(Upgrades!$H$7*(POWER(Upgrades!$P$6,E354)*POWER(Upgrades!$P$7,F354)*POWER(Upgrades!$P$8,G354)*POWER(Upgrades!$P$9,H354)*POWER(Upgrades!$P$10,I354)*POWER(Upgrades!$P$11,J354)*POWER(Upgrades!$P$12,K354))*(IF(Upgrades!$T$6="Asteroid Belt",POWER(Upgrades!$U$6,E354),1)*IF(Upgrades!$T$8="Asteroid Belt",POWER(Upgrades!$U$8,G354),1)*IF(Upgrades!$T$9="Asteroid Belt",POWER(Upgrades!$U$9,H354),1)*IF(Upgrades!$T$10="Asteroid Belt",POWER(Upgrades!$U$10,I354),1)*IF(Upgrades!$T$11="Asteroid Belt",POWER(Upgrades!$U$11,J354),1)*IF(Upgrades!$T$12="Asteroid Belt",POWER(Upgrades!$U$12,K354),1))/AH354,0)</f>
        <v>0.00308980882652332</v>
      </c>
      <c r="AU354" s="33" t="n">
        <f aca="false">IFERROR(Upgrades!$K$8*(POWER(Upgrades!$Q$6,E354)*POWER(Upgrades!$Q$7,F354)*POWER(Upgrades!$Q$8,G354)*POWER(Upgrades!$Q$9,H354)*POWER(Upgrades!$Q$10,I354)*POWER(Upgrades!$Q$11,J354)*POWER(Upgrades!$Q$12,K354))*(IF(Upgrades!$T$6="Stellar Coupling",POWER(Upgrades!$U$6,E354),1)*IF(Upgrades!$T$7="Stellar Coupling",POWER(Upgrades!$U$7,F354),1)*IF(Upgrades!$T$9="Stellar Coupling",POWER(Upgrades!$U$9,H354),1)*IF(Upgrades!$T$10="Stellar Coupling",POWER(Upgrades!$U$10,I354),1)*IF(Upgrades!$T$11="Stellar Coupling",POWER(Upgrades!$U$11,J354),1)*IF(Upgrades!$T$12="Stellar Coupling",POWER(Upgrades!$U$12,K354),1))*Parameters!$B$10*Parameters!$B$11/60/AI354,0)</f>
        <v>0.00452762415783776</v>
      </c>
      <c r="AV354" s="33" t="n">
        <f aca="false">IFERROR(Upgrades!$H$9*(POWER(Upgrades!$P$6,E354)*POWER(Upgrades!$P$7,F354)*POWER(Upgrades!$P$8,G354)*POWER(Upgrades!$P$9,H354)*POWER(Upgrades!$P$10,I354)*POWER(Upgrades!$P$11,J354)*POWER(Upgrades!$P$12,K354))*(IF(Upgrades!$T$6="Magnetosphere",POWER(Upgrades!$U$6,E354),1)*IF(Upgrades!$T$7="Magnetosphere",POWER(Upgrades!$U$7,F354),1)*IF(Upgrades!$T$8="Magnetosphere",POWER(Upgrades!$U$8,G354),1)*IF(Upgrades!$T$10="Magnetosphere",POWER(Upgrades!$U$10,I354),1)*IF(Upgrades!$T$11="Magnetosphere",POWER(Upgrades!$U$11,J354),1)*IF(Upgrades!$T$12="Magnetosphere",POWER(Upgrades!$U$12,K354),1))/AJ354,0)</f>
        <v>0</v>
      </c>
      <c r="AW354" s="33" t="n">
        <f aca="false">MAX(IF(I354&gt;0,0,IFERROR(0.25*N354/Upgrades!$C$10,0)),IF(J354&gt;0,0,IFERROR(0.5*((IF(G354=0,0,(Upgrades!$J$8+G354*Upgrades!$K$8)*POWER(Upgrades!$L$8,G354)))*(IF(Upgrades!$T$6="Stellar Coupling",POWER(Upgrades!$U$6,E354),1)*IF(Upgrades!$T$7="Stellar Coupling",POWER(Upgrades!$U$7,F354),1)*IF(Upgrades!$T$9="Stellar Coupling",POWER(Upgrades!$U$9,H354),1)*IF(Upgrades!$T$10="Stellar Coupling",POWER(Upgrades!$U$10,I354),1)*IF(Upgrades!$T$11="Stellar Coupling",POWER(Upgrades!$U$11,J354),1)*IF(Upgrades!$T$12="Stellar Coupling",POWER(Upgrades!$U$12,K354),1))*(POWER(Upgrades!$Q$6,E354)*POWER(Upgrades!$Q$7,F354)*POWER(Upgrades!$Q$8,G354)*POWER(Upgrades!$Q$9,H354)*POWER(Upgrades!$Q$10,I354)*POWER(Upgrades!$Q$11,J354)*POWER(Upgrades!$Q$12,K354))*Parameters!$B$10*Parameters!$B$11/60)/Upgrades!$C$11,0)),IF(K354&gt;0,0,IFERROR((1*(POWER(Upgrades!$P$6,E354)*POWER(Upgrades!$P$7,F354)*POWER(Upgrades!$P$8,G354)*POWER(Upgrades!$P$9,H354)*POWER(Upgrades!$P$10,I354)*POWER(Upgrades!$P$11,J354)*POWER(Upgrades!$P$12,K354))+0.2*M354*Parameters!$B$10*Parameters!$B$11/60)/Upgrades!$C$12,0)),IF(AND(ISNUMBER(AG354),AG354&gt;T354),AS354,0),IF(AND(ISNUMBER(AH354),AH354&gt;T354),AT354,0),IF(AND(ISNUMBER(AI354),AI354&gt;T354),AU354,0),IF(AND(ISNUMBER(AJ354),AJ354&gt;T354),AV354,0))</f>
        <v>0.00452762415783776</v>
      </c>
      <c r="AX354" s="29" t="str">
        <f aca="false">IF(AN354=1,"transition",IF(MIN(IF(AND(I354=0,ISNUMBER(AK354),AK354&lt;=T354),AK354,9000000000000000),IF(AND(J354=0,ISNUMBER(AL354),AL354&lt;=T354),AL354,9000000000000000),IF(AND(K354=0,ISNUMBER(AM354),AM354&lt;=T354),AM354,9000000000000000))&lt;9000000000000000,IF(AND(AND(I354=0,ISNUMBER(AK354),AK354&lt;=T354),AK354=MIN(IF(AND(I354=0,ISNUMBER(AK354),AK354&lt;=T354),AK354,9000000000000000),IF(AND(J354=0,ISNUMBER(AL354),AL354&lt;=T354),AL354,9000000000000000),IF(AND(K354=0,ISNUMBER(AM354),AM354&lt;=T354),AM354,9000000000000000))),"OR",IF(AND(AND(J354=0,ISNUMBER(AL354),AL354&lt;=T354),AL354=MIN(IF(AND(I354=0,ISNUMBER(AK354),AK354&lt;=T354),AK354,9000000000000000),IF(AND(J354=0,ISNUMBER(AL354),AL354&lt;=T354),AL354,9000000000000000),IF(AND(K354=0,ISNUMBER(AM354),AM354&lt;=T354),AM354,9000000000000000))),"HP","FP")),IF(AR354=TRUE(),"",IF(MAX(IF(AND(NOT(AND(AO354=1,AN354&lt;&gt;1)),ISNUMBER(AG354),AG354&lt;=T354),AS354,0),IF(AND(NOT(AND(AO354=1,AN354&lt;&gt;1)),ISNUMBER(AH354),AH354&lt;=T354),AT354,0),IF(AND(NOT(AND(AO354=1,AN354&lt;&gt;1)),ISNUMBER(AI354),AI354&lt;=T354),AU354,0),IF(AND(ISNUMBER(AJ354),AJ354&lt;=T354),AV354,0))&lt;=0,"",IF(AND(IF(AND(NOT(AND(AO354=1,AN354&lt;&gt;1)),ISNUMBER(AG354),AG354&lt;=T354),AS354,0)&gt;0,IF(AND(NOT(AND(AO354=1,AN354&lt;&gt;1)),ISNUMBER(AG354),AG354&lt;=T354),AS354,0)=MAX(IF(AND(NOT(AND(AO354=1,AN354&lt;&gt;1)),ISNUMBER(AG354),AG354&lt;=T354),AS354,0),IF(AND(NOT(AND(AO354=1,AN354&lt;&gt;1)),ISNUMBER(AH354),AH354&lt;=T354),AT354,0),IF(AND(NOT(AND(AO354=1,AN354&lt;&gt;1)),ISNUMBER(AI354),AI354&lt;=T354),AU354,0),IF(AND(ISNUMBER(AJ354),AJ354&lt;=T354),AV354,0))),"SW",IF(AND(IF(AND(NOT(AND(AO354=1,AN354&lt;&gt;1)),ISNUMBER(AH354),AH354&lt;=T354),AT354,0)&gt;0,IF(AND(NOT(AND(AO354=1,AN354&lt;&gt;1)),ISNUMBER(AH354),AH354&lt;=T354),AT354,0)=MAX(IF(AND(NOT(AND(AO354=1,AN354&lt;&gt;1)),ISNUMBER(AG354),AG354&lt;=T354),AS354,0),IF(AND(NOT(AND(AO354=1,AN354&lt;&gt;1)),ISNUMBER(AH354),AH354&lt;=T354),AT354,0),IF(AND(NOT(AND(AO354=1,AN354&lt;&gt;1)),ISNUMBER(AI354),AI354&lt;=T354),AU354,0),IF(AND(ISNUMBER(AJ354),AJ354&lt;=T354),AV354,0))),"AB",IF(AND(IF(AND(NOT(AND(AO354=1,AN354&lt;&gt;1)),ISNUMBER(AI354),AI354&lt;=T354),AU354,0)&gt;0,IF(AND(NOT(AND(AO354=1,AN354&lt;&gt;1)),ISNUMBER(AI354),AI354&lt;=T354),AU354,0)=MAX(IF(AND(NOT(AND(AO354=1,AN354&lt;&gt;1)),ISNUMBER(AG354),AG354&lt;=T354),AS354,0),IF(AND(NOT(AND(AO354=1,AN354&lt;&gt;1)),ISNUMBER(AH354),AH354&lt;=T354),AT354,0),IF(AND(NOT(AND(AO354=1,AN354&lt;&gt;1)),ISNUMBER(AI354),AI354&lt;=T354),AU354,0),IF(AND(ISNUMBER(AJ354),AJ354&lt;=T354),AV354,0))),"SC","Mag")))))))</f>
        <v/>
      </c>
    </row>
    <row r="355" customFormat="false" ht="15" hidden="false" customHeight="false" outlineLevel="0" collapsed="false">
      <c r="A355" s="26" t="n">
        <v>350</v>
      </c>
      <c r="B355" s="27" t="n">
        <f aca="false">A355*10/60</f>
        <v>58.3333333333333</v>
      </c>
      <c r="C355" s="21" t="n">
        <f aca="false">X354</f>
        <v>18.6730249835055</v>
      </c>
      <c r="D355" s="27" t="n">
        <f aca="false">D354+W354</f>
        <v>0</v>
      </c>
      <c r="E355" s="26" t="n">
        <f aca="false">E354+IF(U354="SW",1,0)</f>
        <v>12</v>
      </c>
      <c r="F355" s="26" t="n">
        <f aca="false">F354+IF(U354="AB",1,0)</f>
        <v>10</v>
      </c>
      <c r="G355" s="26" t="n">
        <f aca="false">G354+IF(U354="SC",1,0)</f>
        <v>7</v>
      </c>
      <c r="H355" s="26" t="n">
        <f aca="false">H354+IF(U354="Mag",1,0)</f>
        <v>5</v>
      </c>
      <c r="I355" s="26" t="n">
        <f aca="false">MAX(I354,IF(U354="OR",1,0))</f>
        <v>1</v>
      </c>
      <c r="J355" s="26" t="n">
        <f aca="false">MAX(J354,IF(U354="HP",1,0))</f>
        <v>1</v>
      </c>
      <c r="K355" s="26" t="n">
        <f aca="false">MAX(K354,IF(U354="FP",1,0))</f>
        <v>1</v>
      </c>
      <c r="L355" s="26" t="n">
        <f aca="false">MAX(L354,IF(U354="transition",1,0))</f>
        <v>1</v>
      </c>
      <c r="M355" s="28" t="n">
        <f aca="false">(Parameters!$B$9+(IF(E355=0,0,(Upgrades!$J$6+E355*Upgrades!$K$6)*POWER(Upgrades!$L$6,E355)))*(IF(Upgrades!$T$7="Solar Wind",POWER(Upgrades!$U$7,F355),1)*IF(Upgrades!$T$8="Solar Wind",POWER(Upgrades!$U$8,G355),1)*IF(Upgrades!$T$9="Solar Wind",POWER(Upgrades!$U$9,H355),1)*IF(Upgrades!$T$10="Solar Wind",POWER(Upgrades!$U$10,I355),1)*IF(Upgrades!$T$11="Solar Wind",POWER(Upgrades!$U$11,J355),1)*IF(Upgrades!$T$12="Solar Wind",POWER(Upgrades!$U$12,K355),1))+(IF(F355=0,0,(Upgrades!$J$7+F355*Upgrades!$K$7)*POWER(Upgrades!$L$7,F355)))*(IF(Upgrades!$T$6="Asteroid Belt",POWER(Upgrades!$U$6,E355),1)*IF(Upgrades!$T$8="Asteroid Belt",POWER(Upgrades!$U$8,G355),1)*IF(Upgrades!$T$9="Asteroid Belt",POWER(Upgrades!$U$9,H355),1)*IF(Upgrades!$T$10="Asteroid Belt",POWER(Upgrades!$U$10,I355),1)*IF(Upgrades!$T$11="Asteroid Belt",POWER(Upgrades!$U$11,J355),1)*IF(Upgrades!$T$12="Asteroid Belt",POWER(Upgrades!$U$12,K355),1))+(IF(G355=0,0,(Upgrades!$J$8+G355*Upgrades!$K$8)*POWER(Upgrades!$L$8,G355)))*(IF(Upgrades!$T$6="Stellar Coupling",POWER(Upgrades!$U$6,E355),1)*IF(Upgrades!$T$7="Stellar Coupling",POWER(Upgrades!$U$7,F355),1)*IF(Upgrades!$T$9="Stellar Coupling",POWER(Upgrades!$U$9,H355),1)*IF(Upgrades!$T$10="Stellar Coupling",POWER(Upgrades!$U$10,I355),1)*IF(Upgrades!$T$11="Stellar Coupling",POWER(Upgrades!$U$11,J355),1)*IF(Upgrades!$T$12="Stellar Coupling",POWER(Upgrades!$U$12,K355),1))+(IF(H355=0,0,(Upgrades!$J$9+H355*Upgrades!$K$9)*POWER(Upgrades!$L$9,H355)))*(IF(Upgrades!$T$6="Magnetosphere",POWER(Upgrades!$U$6,E355),1)*IF(Upgrades!$T$7="Magnetosphere",POWER(Upgrades!$U$7,F355),1)*IF(Upgrades!$T$8="Magnetosphere",POWER(Upgrades!$U$8,G355),1)*IF(Upgrades!$T$10="Magnetosphere",POWER(Upgrades!$U$10,I355),1)*IF(Upgrades!$T$11="Magnetosphere",POWER(Upgrades!$U$11,J355),1)*IF(Upgrades!$T$12="Magnetosphere",POWER(Upgrades!$U$12,K355),1))+(IF(I355=0,0,(Upgrades!$J$10+I355*Upgrades!$K$10)*POWER(Upgrades!$L$10,I355)))*(IF(Upgrades!$T$6="Orbital Resonance",POWER(Upgrades!$U$6,E355),1)*IF(Upgrades!$T$7="Orbital Resonance",POWER(Upgrades!$U$7,F355),1)*IF(Upgrades!$T$8="Orbital Resonance",POWER(Upgrades!$U$8,G355),1)*IF(Upgrades!$T$9="Orbital Resonance",POWER(Upgrades!$U$9,H355),1)*IF(Upgrades!$T$11="Orbital Resonance",POWER(Upgrades!$U$11,J355),1)*IF(Upgrades!$T$12="Orbital Resonance",POWER(Upgrades!$U$12,K355),1))+(IF(J355=0,0,(Upgrades!$J$11+J355*Upgrades!$K$11)*POWER(Upgrades!$L$11,J355)))*(IF(Upgrades!$T$6="Heliopause",POWER(Upgrades!$U$6,E355),1)*IF(Upgrades!$T$7="Heliopause",POWER(Upgrades!$U$7,F355),1)*IF(Upgrades!$T$8="Heliopause",POWER(Upgrades!$U$8,G355),1)*IF(Upgrades!$T$9="Heliopause",POWER(Upgrades!$U$9,H355),1)*IF(Upgrades!$T$10="Heliopause",POWER(Upgrades!$U$10,I355),1)*IF(Upgrades!$T$12="Heliopause",POWER(Upgrades!$U$12,K355),1))+(IF(K355=0,0,(Upgrades!$J$12+K355*Upgrades!$K$12)*POWER(Upgrades!$L$12,K355)))*(IF(Upgrades!$T$6="First Photons",POWER(Upgrades!$U$6,E355),1)*IF(Upgrades!$T$7="First Photons",POWER(Upgrades!$U$7,F355),1)*IF(Upgrades!$T$8="First Photons",POWER(Upgrades!$U$8,G355),1)*IF(Upgrades!$T$9="First Photons",POWER(Upgrades!$U$9,H355),1)*IF(Upgrades!$T$10="First Photons",POWER(Upgrades!$U$10,I355),1)*IF(Upgrades!$T$11="First Photons",POWER(Upgrades!$U$11,J355),1)))*POWER(Upgrades!$Q$6,E355)*POWER(Upgrades!$Q$7,F355)*POWER(Upgrades!$Q$8,G355)*POWER(Upgrades!$Q$9,H355)*POWER(Upgrades!$Q$10,I355)*POWER(Upgrades!$Q$11,J355)*POWER(Upgrades!$Q$12,K355)</f>
        <v>5.61</v>
      </c>
      <c r="N355" s="28" t="n">
        <f aca="false">((IF(E355=0,0,(Upgrades!$G$6+E355*Upgrades!$H$6)*POWER(Upgrades!$I$6,E355)))*(IF(Upgrades!$T$7="Solar Wind",POWER(Upgrades!$U$7,F355),1)*IF(Upgrades!$T$8="Solar Wind",POWER(Upgrades!$U$8,G355),1)*IF(Upgrades!$T$9="Solar Wind",POWER(Upgrades!$U$9,H355),1)*IF(Upgrades!$T$10="Solar Wind",POWER(Upgrades!$U$10,I355),1)*IF(Upgrades!$T$11="Solar Wind",POWER(Upgrades!$U$11,J355),1)*IF(Upgrades!$T$12="Solar Wind",POWER(Upgrades!$U$12,K355),1))+(IF(F355=0,0,(Upgrades!$G$7+F355*Upgrades!$H$7)*POWER(Upgrades!$I$7,F355)))*(IF(Upgrades!$T$6="Asteroid Belt",POWER(Upgrades!$U$6,E355),1)*IF(Upgrades!$T$8="Asteroid Belt",POWER(Upgrades!$U$8,G355),1)*IF(Upgrades!$T$9="Asteroid Belt",POWER(Upgrades!$U$9,H355),1)*IF(Upgrades!$T$10="Asteroid Belt",POWER(Upgrades!$U$10,I355),1)*IF(Upgrades!$T$11="Asteroid Belt",POWER(Upgrades!$U$11,J355),1)*IF(Upgrades!$T$12="Asteroid Belt",POWER(Upgrades!$U$12,K355),1))+(IF(G355=0,0,(Upgrades!$G$8+G355*Upgrades!$H$8)*POWER(Upgrades!$I$8,G355)))*(IF(Upgrades!$T$6="Stellar Coupling",POWER(Upgrades!$U$6,E355),1)*IF(Upgrades!$T$7="Stellar Coupling",POWER(Upgrades!$U$7,F355),1)*IF(Upgrades!$T$9="Stellar Coupling",POWER(Upgrades!$U$9,H355),1)*IF(Upgrades!$T$10="Stellar Coupling",POWER(Upgrades!$U$10,I355),1)*IF(Upgrades!$T$11="Stellar Coupling",POWER(Upgrades!$U$11,J355),1)*IF(Upgrades!$T$12="Stellar Coupling",POWER(Upgrades!$U$12,K355),1))+(IF(H355=0,0,(Upgrades!$G$9+H355*Upgrades!$H$9)*POWER(Upgrades!$I$9,H355)))*(IF(Upgrades!$T$6="Magnetosphere",POWER(Upgrades!$U$6,E355),1)*IF(Upgrades!$T$7="Magnetosphere",POWER(Upgrades!$U$7,F355),1)*IF(Upgrades!$T$8="Magnetosphere",POWER(Upgrades!$U$8,G355),1)*IF(Upgrades!$T$10="Magnetosphere",POWER(Upgrades!$U$10,I355),1)*IF(Upgrades!$T$11="Magnetosphere",POWER(Upgrades!$U$11,J355),1)*IF(Upgrades!$T$12="Magnetosphere",POWER(Upgrades!$U$12,K355),1))+(IF(I355=0,0,(Upgrades!$G$10+I355*Upgrades!$H$10)*POWER(Upgrades!$I$10,I355)))*(IF(Upgrades!$T$6="Orbital Resonance",POWER(Upgrades!$U$6,E355),1)*IF(Upgrades!$T$7="Orbital Resonance",POWER(Upgrades!$U$7,F355),1)*IF(Upgrades!$T$8="Orbital Resonance",POWER(Upgrades!$U$8,G355),1)*IF(Upgrades!$T$9="Orbital Resonance",POWER(Upgrades!$U$9,H355),1)*IF(Upgrades!$T$11="Orbital Resonance",POWER(Upgrades!$U$11,J355),1)*IF(Upgrades!$T$12="Orbital Resonance",POWER(Upgrades!$U$12,K355),1))+(IF(J355=0,0,(Upgrades!$G$11+J355*Upgrades!$H$11)*POWER(Upgrades!$I$11,J355)))*(IF(Upgrades!$T$6="Heliopause",POWER(Upgrades!$U$6,E355),1)*IF(Upgrades!$T$7="Heliopause",POWER(Upgrades!$U$7,F355),1)*IF(Upgrades!$T$8="Heliopause",POWER(Upgrades!$U$8,G355),1)*IF(Upgrades!$T$9="Heliopause",POWER(Upgrades!$U$9,H355),1)*IF(Upgrades!$T$10="Heliopause",POWER(Upgrades!$U$10,I355),1)*IF(Upgrades!$T$12="Heliopause",POWER(Upgrades!$U$12,K355),1))+(IF(K355=0,0,(Upgrades!$G$12+K355*Upgrades!$H$12)*POWER(Upgrades!$I$12,K355)))*(IF(Upgrades!$T$6="First Photons",POWER(Upgrades!$U$6,E355),1)*IF(Upgrades!$T$7="First Photons",POWER(Upgrades!$U$7,F355),1)*IF(Upgrades!$T$8="First Photons",POWER(Upgrades!$U$8,G355),1)*IF(Upgrades!$T$9="First Photons",POWER(Upgrades!$U$9,H355),1)*IF(Upgrades!$T$10="First Photons",POWER(Upgrades!$U$10,I355),1)*IF(Upgrades!$T$11="First Photons",POWER(Upgrades!$U$11,J355),1)))*POWER(Upgrades!$P$6,E355)*POWER(Upgrades!$P$7,F355)*POWER(Upgrades!$P$8,G355)*POWER(Upgrades!$P$9,H355)*POWER(Upgrades!$P$10,I355)*POWER(Upgrades!$P$11,J355)*POWER(Upgrades!$P$12,K355)</f>
        <v>11.2</v>
      </c>
      <c r="O355" s="28" t="n">
        <f aca="false">((IF(E355=0,0,(Upgrades!$M$6+E355*Upgrades!$N$6)*POWER(Upgrades!$O$6,E355)))*(IF(Upgrades!$T$7="Solar Wind",POWER(Upgrades!$U$7,F355),1)*IF(Upgrades!$T$8="Solar Wind",POWER(Upgrades!$U$8,G355),1)*IF(Upgrades!$T$9="Solar Wind",POWER(Upgrades!$U$9,H355),1)*IF(Upgrades!$T$10="Solar Wind",POWER(Upgrades!$U$10,I355),1)*IF(Upgrades!$T$11="Solar Wind",POWER(Upgrades!$U$11,J355),1)*IF(Upgrades!$T$12="Solar Wind",POWER(Upgrades!$U$12,K355),1))+(IF(F355=0,0,(Upgrades!$M$7+F355*Upgrades!$N$7)*POWER(Upgrades!$O$7,F355)))*(IF(Upgrades!$T$6="Asteroid Belt",POWER(Upgrades!$U$6,E355),1)*IF(Upgrades!$T$8="Asteroid Belt",POWER(Upgrades!$U$8,G355),1)*IF(Upgrades!$T$9="Asteroid Belt",POWER(Upgrades!$U$9,H355),1)*IF(Upgrades!$T$10="Asteroid Belt",POWER(Upgrades!$U$10,I355),1)*IF(Upgrades!$T$11="Asteroid Belt",POWER(Upgrades!$U$11,J355),1)*IF(Upgrades!$T$12="Asteroid Belt",POWER(Upgrades!$U$12,K355),1))+(IF(G355=0,0,(Upgrades!$M$8+G355*Upgrades!$N$8)*POWER(Upgrades!$O$8,G355)))*(IF(Upgrades!$T$6="Stellar Coupling",POWER(Upgrades!$U$6,E355),1)*IF(Upgrades!$T$7="Stellar Coupling",POWER(Upgrades!$U$7,F355),1)*IF(Upgrades!$T$9="Stellar Coupling",POWER(Upgrades!$U$9,H355),1)*IF(Upgrades!$T$10="Stellar Coupling",POWER(Upgrades!$U$10,I355),1)*IF(Upgrades!$T$11="Stellar Coupling",POWER(Upgrades!$U$11,J355),1)*IF(Upgrades!$T$12="Stellar Coupling",POWER(Upgrades!$U$12,K355),1))+(IF(H355=0,0,(Upgrades!$M$9+H355*Upgrades!$N$9)*POWER(Upgrades!$O$9,H355)))*(IF(Upgrades!$T$6="Magnetosphere",POWER(Upgrades!$U$6,E355),1)*IF(Upgrades!$T$7="Magnetosphere",POWER(Upgrades!$U$7,F355),1)*IF(Upgrades!$T$8="Magnetosphere",POWER(Upgrades!$U$8,G355),1)*IF(Upgrades!$T$10="Magnetosphere",POWER(Upgrades!$U$10,I355),1)*IF(Upgrades!$T$11="Magnetosphere",POWER(Upgrades!$U$11,J355),1)*IF(Upgrades!$T$12="Magnetosphere",POWER(Upgrades!$U$12,K355),1))+(IF(I355=0,0,(Upgrades!$M$10+I355*Upgrades!$N$10)*POWER(Upgrades!$O$10,I355)))*(IF(Upgrades!$T$6="Orbital Resonance",POWER(Upgrades!$U$6,E355),1)*IF(Upgrades!$T$7="Orbital Resonance",POWER(Upgrades!$U$7,F355),1)*IF(Upgrades!$T$8="Orbital Resonance",POWER(Upgrades!$U$8,G355),1)*IF(Upgrades!$T$9="Orbital Resonance",POWER(Upgrades!$U$9,H355),1)*IF(Upgrades!$T$11="Orbital Resonance",POWER(Upgrades!$U$11,J355),1)*IF(Upgrades!$T$12="Orbital Resonance",POWER(Upgrades!$U$12,K355),1))+(IF(J355=0,0,(Upgrades!$M$11+J355*Upgrades!$N$11)*POWER(Upgrades!$O$11,J355)))*(IF(Upgrades!$T$6="Heliopause",POWER(Upgrades!$U$6,E355),1)*IF(Upgrades!$T$7="Heliopause",POWER(Upgrades!$U$7,F355),1)*IF(Upgrades!$T$8="Heliopause",POWER(Upgrades!$U$8,G355),1)*IF(Upgrades!$T$9="Heliopause",POWER(Upgrades!$U$9,H355),1)*IF(Upgrades!$T$10="Heliopause",POWER(Upgrades!$U$10,I355),1)*IF(Upgrades!$T$12="Heliopause",POWER(Upgrades!$U$12,K355),1))+(IF(K355=0,0,(Upgrades!$M$12+K355*Upgrades!$N$12)*POWER(Upgrades!$O$12,K355)))*(IF(Upgrades!$T$6="First Photons",POWER(Upgrades!$U$6,E355),1)*IF(Upgrades!$T$7="First Photons",POWER(Upgrades!$U$7,F355),1)*IF(Upgrades!$T$8="First Photons",POWER(Upgrades!$U$8,G355),1)*IF(Upgrades!$T$9="First Photons",POWER(Upgrades!$U$9,H355),1)*IF(Upgrades!$T$10="First Photons",POWER(Upgrades!$U$10,I355),1)*IF(Upgrades!$T$11="First Photons",POWER(Upgrades!$U$11,J355),1)))*POWER(Upgrades!$R$6,E355)*POWER(Upgrades!$R$7,F355)*POWER(Upgrades!$R$8,G355)*POWER(Upgrades!$R$9,H355)*POWER(Upgrades!$R$10,I355)*POWER(Upgrades!$R$11,J355)*POWER(Upgrades!$R$12,K355)</f>
        <v>0</v>
      </c>
      <c r="P355" s="27" t="n">
        <f aca="false">IF(L355=1,0,M355*Parameters!$B$10/60*Parameters!$B$11*10)</f>
        <v>0</v>
      </c>
      <c r="Q355" s="27" t="n">
        <f aca="false">IF(L355=1,0,O355*M355*10)</f>
        <v>0</v>
      </c>
      <c r="R355" s="27" t="n">
        <f aca="false">IF(L355=1,0,N355*10)</f>
        <v>0</v>
      </c>
      <c r="S355" s="27" t="n">
        <f aca="false">P355+Q355+R355</f>
        <v>0</v>
      </c>
      <c r="T355" s="21" t="n">
        <f aca="false">C355+S355</f>
        <v>18.6730249835055</v>
      </c>
      <c r="U355" s="34" t="str">
        <f aca="false">AX355</f>
        <v/>
      </c>
      <c r="V355" s="21" t="n">
        <f aca="false">IF(U355="",0,IF(U355="transition",0,IF(U355="SW",AG355,IF(U355="AB",AH355,IF(U355="SC",AI355,IF(U355="Mag",AJ355,IF(U355="OR",AK355,IF(U355="HP",AL355,IF(U355="FP",AM355,0)))))))))</f>
        <v>0</v>
      </c>
      <c r="W355" s="27" t="n">
        <f aca="false">IF(U355="OR",Upgrades!$F$10,IF(U355="HP",Upgrades!$F$11,IF(U355="transition",-Parameters!$B$18,0)))</f>
        <v>0</v>
      </c>
      <c r="X355" s="21" t="n">
        <f aca="false">T355-V355</f>
        <v>18.6730249835055</v>
      </c>
      <c r="Y355" s="30" t="n">
        <f aca="false">M355*Parameters!$B$10/60*Parameters!$B$11+O355*M355+N355</f>
        <v>20.55</v>
      </c>
      <c r="Z355" s="35" t="str">
        <f aca="false">IF(U355="transition","→ Tier 2 (Stellar Neighborhood)",IF(U355="FP","First Photons — light begins, system quickens",IF(U355="HP","Heliopause acquired",IF(U355="OR","Orbital Resonance — passive multiplier active",IF(AND(AO355=1,L355=0,AN355&lt;&gt;1),"Cohesion ready (waiting on completionist upgrades)","")))))</f>
        <v/>
      </c>
      <c r="AA355" s="27" t="n">
        <f aca="false">(IF(E355=0,0,(Upgrades!$G$6+E355*Upgrades!$H$6)*POWER(Upgrades!$I$6,E355)))*(IF(Upgrades!$T$7="Solar Wind",POWER(Upgrades!$U$7,F355),1)*IF(Upgrades!$T$8="Solar Wind",POWER(Upgrades!$U$8,G355),1)*IF(Upgrades!$T$9="Solar Wind",POWER(Upgrades!$U$9,H355),1)*IF(Upgrades!$T$10="Solar Wind",POWER(Upgrades!$U$10,I355),1)*IF(Upgrades!$T$11="Solar Wind",POWER(Upgrades!$U$11,J355),1)*IF(Upgrades!$T$12="Solar Wind",POWER(Upgrades!$U$12,K355),1))*POWER(Upgrades!$P$6,E355)*POWER(Upgrades!$P$7,F355)*POWER(Upgrades!$P$8,G355)*POWER(Upgrades!$P$9,H355)*POWER(Upgrades!$P$10,I355)*POWER(Upgrades!$P$11,J355)*POWER(Upgrades!$P$12,K355)*60</f>
        <v>72</v>
      </c>
      <c r="AB355" s="27" t="n">
        <f aca="false">(IF(F355=0,0,(Upgrades!$G$7+F355*Upgrades!$H$7)*POWER(Upgrades!$I$7,F355)))*(IF(Upgrades!$T$6="Asteroid Belt",POWER(Upgrades!$U$6,E355),1)*IF(Upgrades!$T$8="Asteroid Belt",POWER(Upgrades!$U$8,G355),1)*IF(Upgrades!$T$9="Asteroid Belt",POWER(Upgrades!$U$9,H355),1)*IF(Upgrades!$T$10="Asteroid Belt",POWER(Upgrades!$U$10,I355),1)*IF(Upgrades!$T$11="Asteroid Belt",POWER(Upgrades!$U$11,J355),1)*IF(Upgrades!$T$12="Asteroid Belt",POWER(Upgrades!$U$12,K355),1))*POWER(Upgrades!$P$6,E355)*POWER(Upgrades!$P$7,F355)*POWER(Upgrades!$P$8,G355)*POWER(Upgrades!$P$9,H355)*POWER(Upgrades!$P$10,I355)*POWER(Upgrades!$P$11,J355)*POWER(Upgrades!$P$12,K355)*60</f>
        <v>150</v>
      </c>
      <c r="AC355" s="27" t="n">
        <f aca="false">(IF(G355=0,0,(Upgrades!$J$8+G355*Upgrades!$K$8)*POWER(Upgrades!$L$8,G355)))*(IF(Upgrades!$T$6="Stellar Coupling",POWER(Upgrades!$U$6,E355),1)*IF(Upgrades!$T$7="Stellar Coupling",POWER(Upgrades!$U$7,F355),1)*IF(Upgrades!$T$9="Stellar Coupling",POWER(Upgrades!$U$9,H355),1)*IF(Upgrades!$T$10="Stellar Coupling",POWER(Upgrades!$U$10,I355),1)*IF(Upgrades!$T$11="Stellar Coupling",POWER(Upgrades!$U$11,J355),1)*IF(Upgrades!$T$12="Stellar Coupling",POWER(Upgrades!$U$12,K355),1))*POWER(Upgrades!$Q$6,E355)*POWER(Upgrades!$Q$7,F355)*POWER(Upgrades!$Q$8,G355)*POWER(Upgrades!$Q$9,H355)*POWER(Upgrades!$Q$10,I355)*POWER(Upgrades!$Q$11,J355)*POWER(Upgrades!$Q$12,K355)*Parameters!$B$10*Parameters!$B$11</f>
        <v>441</v>
      </c>
      <c r="AD355" s="27" t="n">
        <f aca="false">(IF(H355=0,0,(Upgrades!$G$9+H355*Upgrades!$H$9)*POWER(Upgrades!$I$9,H355)))*(IF(Upgrades!$T$6="Magnetosphere",POWER(Upgrades!$U$6,E355),1)*IF(Upgrades!$T$7="Magnetosphere",POWER(Upgrades!$U$7,F355),1)*IF(Upgrades!$T$8="Magnetosphere",POWER(Upgrades!$U$8,G355),1)*IF(Upgrades!$T$10="Magnetosphere",POWER(Upgrades!$U$10,I355),1)*IF(Upgrades!$T$11="Magnetosphere",POWER(Upgrades!$U$11,J355),1)*IF(Upgrades!$T$12="Magnetosphere",POWER(Upgrades!$U$12,K355),1))*POWER(Upgrades!$P$6,E355)*POWER(Upgrades!$P$7,F355)*POWER(Upgrades!$P$8,G355)*POWER(Upgrades!$P$9,H355)*POWER(Upgrades!$P$10,I355)*POWER(Upgrades!$P$11,J355)*POWER(Upgrades!$P$12,K355)*60</f>
        <v>375</v>
      </c>
      <c r="AE355" s="27" t="n">
        <f aca="false">(IF(K355=0,0,(Upgrades!$G$12+K355*Upgrades!$H$12)*POWER(Upgrades!$I$12,K355)))*(IF(Upgrades!$T$6="First Photons",POWER(Upgrades!$U$6,E355),1)*IF(Upgrades!$T$7="First Photons",POWER(Upgrades!$U$7,F355),1)*IF(Upgrades!$T$8="First Photons",POWER(Upgrades!$U$8,G355),1)*IF(Upgrades!$T$9="First Photons",POWER(Upgrades!$U$9,H355),1)*IF(Upgrades!$T$10="First Photons",POWER(Upgrades!$U$10,I355),1)*IF(Upgrades!$T$11="First Photons",POWER(Upgrades!$U$11,J355),1))*POWER(Upgrades!$P$6,E355)*POWER(Upgrades!$P$7,F355)*POWER(Upgrades!$P$8,G355)*POWER(Upgrades!$P$9,H355)*POWER(Upgrades!$P$10,I355)*POWER(Upgrades!$P$11,J355)*POWER(Upgrades!$P$12,K355)*60</f>
        <v>75</v>
      </c>
      <c r="AF355" s="27" t="n">
        <f aca="false">Parameters!$B$9*POWER(Upgrades!$Q$6,E355)*POWER(Upgrades!$Q$7,F355)*POWER(Upgrades!$Q$8,G355)*POWER(Upgrades!$Q$9,H355)*POWER(Upgrades!$Q$10,I355)*POWER(Upgrades!$Q$11,J355)*POWER(Upgrades!$Q$12,K355)*(Parameters!$B$10*Parameters!$B$11+O355*60)</f>
        <v>120</v>
      </c>
      <c r="AG355" s="21" t="n">
        <f aca="false">IF(E355&gt;=Upgrades!$E$6,"",Upgrades!$C$6*POWER(Upgrades!$D$6,E355))</f>
        <v>37.4517507383159</v>
      </c>
      <c r="AH355" s="21" t="n">
        <f aca="false">IF(F355&gt;=Upgrades!$E$7,"",Upgrades!$C$7*POWER(Upgrades!$D$7,F355))</f>
        <v>80.9111547141581</v>
      </c>
      <c r="AI355" s="21" t="n">
        <f aca="false">IF(G355&gt;=Upgrades!$E$8,"",Upgrades!$C$8*POWER(Upgrades!$D$8,G355))</f>
        <v>231.9097088</v>
      </c>
      <c r="AJ355" s="21" t="str">
        <f aca="false">IF(H355&gt;=Upgrades!$E$9,"",Upgrades!$C$9*POWER(Upgrades!$D$9,H355))</f>
        <v/>
      </c>
      <c r="AK355" s="21" t="str">
        <f aca="false">IF(I355&gt;=Upgrades!$E$10,"",Upgrades!$C$10*POWER(Upgrades!$D$10,I355))</f>
        <v/>
      </c>
      <c r="AL355" s="21" t="str">
        <f aca="false">IF(J355&gt;=Upgrades!$E$11,"",Upgrades!$C$11*POWER(Upgrades!$D$11,J355))</f>
        <v/>
      </c>
      <c r="AM355" s="21" t="str">
        <f aca="false">IF(K355&gt;=Upgrades!$E$12,"",Upgrades!$C$12*POWER(Upgrades!$D$12,K355))</f>
        <v/>
      </c>
      <c r="AN355" s="26" t="str">
        <f aca="false">IF(AND(D355&gt;=Parameters!$B$18,(H355&gt;=Upgrades!$E$9)*(K355&gt;=Upgrades!$E$12)=1,L355=0),1,"")</f>
        <v/>
      </c>
      <c r="AO355" s="26" t="str">
        <f aca="false">IF(AND(D355&gt;=Parameters!$B$18,L355=0),1,"")</f>
        <v/>
      </c>
      <c r="AP355" s="21" t="n">
        <f aca="false">MIN(IF(ISNUMBER(AK355),AK355,9000000000000000),IF(ISNUMBER(AL355),AL355,9000000000000000),IF(ISNUMBER(AM355),AM355,9000000000000000))</f>
        <v>9000000000000000</v>
      </c>
      <c r="AQ355" s="21" t="n">
        <f aca="false">MIN(IF(ISNUMBER(AG355),AG355,9000000000000000),IF(ISNUMBER(AH355),AH355,9000000000000000),IF(ISNUMBER(AI355),AI355,9000000000000000),IF(ISNUMBER(AJ355),AJ355,9000000000000000))</f>
        <v>37.4517507383159</v>
      </c>
      <c r="AR355" s="32" t="b">
        <f aca="false">IF(AW355&gt;Parameters!$B$21*(MAX(IF(AND(NOT(AND(AO355=1,AN355&lt;&gt;1)),ISNUMBER(AG355),AG355&lt;=T355),AS355,0),IF(AND(NOT(AND(AO355=1,AN355&lt;&gt;1)),ISNUMBER(AH355),AH355&lt;=T355),AT355,0),IF(AND(NOT(AND(AO355=1,AN355&lt;&gt;1)),ISNUMBER(AI355),AI355&lt;=T355),AU355,0),IF(AND(ISNUMBER(AJ355),AJ355&lt;=T355),AV355,0))),TRUE(),FALSE())</f>
        <v>1</v>
      </c>
      <c r="AS355" s="33" t="n">
        <f aca="false">IFERROR(Upgrades!$H$6*(POWER(Upgrades!$P$6,E355)*POWER(Upgrades!$P$7,F355)*POWER(Upgrades!$P$8,G355)*POWER(Upgrades!$P$9,H355)*POWER(Upgrades!$P$10,I355)*POWER(Upgrades!$P$11,J355)*POWER(Upgrades!$P$12,K355))*(IF(Upgrades!$T$7="Solar Wind",POWER(Upgrades!$U$7,F355),1)*IF(Upgrades!$T$8="Solar Wind",POWER(Upgrades!$U$8,G355),1)*IF(Upgrades!$T$9="Solar Wind",POWER(Upgrades!$U$9,H355),1)*IF(Upgrades!$T$10="Solar Wind",POWER(Upgrades!$U$10,I355),1)*IF(Upgrades!$T$11="Solar Wind",POWER(Upgrades!$U$11,J355),1)*IF(Upgrades!$T$12="Solar Wind",POWER(Upgrades!$U$12,K355),1))/AG355,0)</f>
        <v>0.0026701021455238</v>
      </c>
      <c r="AT355" s="33" t="n">
        <f aca="false">IFERROR(Upgrades!$H$7*(POWER(Upgrades!$P$6,E355)*POWER(Upgrades!$P$7,F355)*POWER(Upgrades!$P$8,G355)*POWER(Upgrades!$P$9,H355)*POWER(Upgrades!$P$10,I355)*POWER(Upgrades!$P$11,J355)*POWER(Upgrades!$P$12,K355))*(IF(Upgrades!$T$6="Asteroid Belt",POWER(Upgrades!$U$6,E355),1)*IF(Upgrades!$T$8="Asteroid Belt",POWER(Upgrades!$U$8,G355),1)*IF(Upgrades!$T$9="Asteroid Belt",POWER(Upgrades!$U$9,H355),1)*IF(Upgrades!$T$10="Asteroid Belt",POWER(Upgrades!$U$10,I355),1)*IF(Upgrades!$T$11="Asteroid Belt",POWER(Upgrades!$U$11,J355),1)*IF(Upgrades!$T$12="Asteroid Belt",POWER(Upgrades!$U$12,K355),1))/AH355,0)</f>
        <v>0.00308980882652332</v>
      </c>
      <c r="AU355" s="33" t="n">
        <f aca="false">IFERROR(Upgrades!$K$8*(POWER(Upgrades!$Q$6,E355)*POWER(Upgrades!$Q$7,F355)*POWER(Upgrades!$Q$8,G355)*POWER(Upgrades!$Q$9,H355)*POWER(Upgrades!$Q$10,I355)*POWER(Upgrades!$Q$11,J355)*POWER(Upgrades!$Q$12,K355))*(IF(Upgrades!$T$6="Stellar Coupling",POWER(Upgrades!$U$6,E355),1)*IF(Upgrades!$T$7="Stellar Coupling",POWER(Upgrades!$U$7,F355),1)*IF(Upgrades!$T$9="Stellar Coupling",POWER(Upgrades!$U$9,H355),1)*IF(Upgrades!$T$10="Stellar Coupling",POWER(Upgrades!$U$10,I355),1)*IF(Upgrades!$T$11="Stellar Coupling",POWER(Upgrades!$U$11,J355),1)*IF(Upgrades!$T$12="Stellar Coupling",POWER(Upgrades!$U$12,K355),1))*Parameters!$B$10*Parameters!$B$11/60/AI355,0)</f>
        <v>0.00452762415783776</v>
      </c>
      <c r="AV355" s="33" t="n">
        <f aca="false">IFERROR(Upgrades!$H$9*(POWER(Upgrades!$P$6,E355)*POWER(Upgrades!$P$7,F355)*POWER(Upgrades!$P$8,G355)*POWER(Upgrades!$P$9,H355)*POWER(Upgrades!$P$10,I355)*POWER(Upgrades!$P$11,J355)*POWER(Upgrades!$P$12,K355))*(IF(Upgrades!$T$6="Magnetosphere",POWER(Upgrades!$U$6,E355),1)*IF(Upgrades!$T$7="Magnetosphere",POWER(Upgrades!$U$7,F355),1)*IF(Upgrades!$T$8="Magnetosphere",POWER(Upgrades!$U$8,G355),1)*IF(Upgrades!$T$10="Magnetosphere",POWER(Upgrades!$U$10,I355),1)*IF(Upgrades!$T$11="Magnetosphere",POWER(Upgrades!$U$11,J355),1)*IF(Upgrades!$T$12="Magnetosphere",POWER(Upgrades!$U$12,K355),1))/AJ355,0)</f>
        <v>0</v>
      </c>
      <c r="AW355" s="33" t="n">
        <f aca="false">MAX(IF(I355&gt;0,0,IFERROR(0.25*N355/Upgrades!$C$10,0)),IF(J355&gt;0,0,IFERROR(0.5*((IF(G355=0,0,(Upgrades!$J$8+G355*Upgrades!$K$8)*POWER(Upgrades!$L$8,G355)))*(IF(Upgrades!$T$6="Stellar Coupling",POWER(Upgrades!$U$6,E355),1)*IF(Upgrades!$T$7="Stellar Coupling",POWER(Upgrades!$U$7,F355),1)*IF(Upgrades!$T$9="Stellar Coupling",POWER(Upgrades!$U$9,H355),1)*IF(Upgrades!$T$10="Stellar Coupling",POWER(Upgrades!$U$10,I355),1)*IF(Upgrades!$T$11="Stellar Coupling",POWER(Upgrades!$U$11,J355),1)*IF(Upgrades!$T$12="Stellar Coupling",POWER(Upgrades!$U$12,K355),1))*(POWER(Upgrades!$Q$6,E355)*POWER(Upgrades!$Q$7,F355)*POWER(Upgrades!$Q$8,G355)*POWER(Upgrades!$Q$9,H355)*POWER(Upgrades!$Q$10,I355)*POWER(Upgrades!$Q$11,J355)*POWER(Upgrades!$Q$12,K355))*Parameters!$B$10*Parameters!$B$11/60)/Upgrades!$C$11,0)),IF(K355&gt;0,0,IFERROR((1*(POWER(Upgrades!$P$6,E355)*POWER(Upgrades!$P$7,F355)*POWER(Upgrades!$P$8,G355)*POWER(Upgrades!$P$9,H355)*POWER(Upgrades!$P$10,I355)*POWER(Upgrades!$P$11,J355)*POWER(Upgrades!$P$12,K355))+0.2*M355*Parameters!$B$10*Parameters!$B$11/60)/Upgrades!$C$12,0)),IF(AND(ISNUMBER(AG355),AG355&gt;T355),AS355,0),IF(AND(ISNUMBER(AH355),AH355&gt;T355),AT355,0),IF(AND(ISNUMBER(AI355),AI355&gt;T355),AU355,0),IF(AND(ISNUMBER(AJ355),AJ355&gt;T355),AV355,0))</f>
        <v>0.00452762415783776</v>
      </c>
      <c r="AX355" s="29" t="str">
        <f aca="false">IF(AN355=1,"transition",IF(MIN(IF(AND(I355=0,ISNUMBER(AK355),AK355&lt;=T355),AK355,9000000000000000),IF(AND(J355=0,ISNUMBER(AL355),AL355&lt;=T355),AL355,9000000000000000),IF(AND(K355=0,ISNUMBER(AM355),AM355&lt;=T355),AM355,9000000000000000))&lt;9000000000000000,IF(AND(AND(I355=0,ISNUMBER(AK355),AK355&lt;=T355),AK355=MIN(IF(AND(I355=0,ISNUMBER(AK355),AK355&lt;=T355),AK355,9000000000000000),IF(AND(J355=0,ISNUMBER(AL355),AL355&lt;=T355),AL355,9000000000000000),IF(AND(K355=0,ISNUMBER(AM355),AM355&lt;=T355),AM355,9000000000000000))),"OR",IF(AND(AND(J355=0,ISNUMBER(AL355),AL355&lt;=T355),AL355=MIN(IF(AND(I355=0,ISNUMBER(AK355),AK355&lt;=T355),AK355,9000000000000000),IF(AND(J355=0,ISNUMBER(AL355),AL355&lt;=T355),AL355,9000000000000000),IF(AND(K355=0,ISNUMBER(AM355),AM355&lt;=T355),AM355,9000000000000000))),"HP","FP")),IF(AR355=TRUE(),"",IF(MAX(IF(AND(NOT(AND(AO355=1,AN355&lt;&gt;1)),ISNUMBER(AG355),AG355&lt;=T355),AS355,0),IF(AND(NOT(AND(AO355=1,AN355&lt;&gt;1)),ISNUMBER(AH355),AH355&lt;=T355),AT355,0),IF(AND(NOT(AND(AO355=1,AN355&lt;&gt;1)),ISNUMBER(AI355),AI355&lt;=T355),AU355,0),IF(AND(ISNUMBER(AJ355),AJ355&lt;=T355),AV355,0))&lt;=0,"",IF(AND(IF(AND(NOT(AND(AO355=1,AN355&lt;&gt;1)),ISNUMBER(AG355),AG355&lt;=T355),AS355,0)&gt;0,IF(AND(NOT(AND(AO355=1,AN355&lt;&gt;1)),ISNUMBER(AG355),AG355&lt;=T355),AS355,0)=MAX(IF(AND(NOT(AND(AO355=1,AN355&lt;&gt;1)),ISNUMBER(AG355),AG355&lt;=T355),AS355,0),IF(AND(NOT(AND(AO355=1,AN355&lt;&gt;1)),ISNUMBER(AH355),AH355&lt;=T355),AT355,0),IF(AND(NOT(AND(AO355=1,AN355&lt;&gt;1)),ISNUMBER(AI355),AI355&lt;=T355),AU355,0),IF(AND(ISNUMBER(AJ355),AJ355&lt;=T355),AV355,0))),"SW",IF(AND(IF(AND(NOT(AND(AO355=1,AN355&lt;&gt;1)),ISNUMBER(AH355),AH355&lt;=T355),AT355,0)&gt;0,IF(AND(NOT(AND(AO355=1,AN355&lt;&gt;1)),ISNUMBER(AH355),AH355&lt;=T355),AT355,0)=MAX(IF(AND(NOT(AND(AO355=1,AN355&lt;&gt;1)),ISNUMBER(AG355),AG355&lt;=T355),AS355,0),IF(AND(NOT(AND(AO355=1,AN355&lt;&gt;1)),ISNUMBER(AH355),AH355&lt;=T355),AT355,0),IF(AND(NOT(AND(AO355=1,AN355&lt;&gt;1)),ISNUMBER(AI355),AI355&lt;=T355),AU355,0),IF(AND(ISNUMBER(AJ355),AJ355&lt;=T355),AV355,0))),"AB",IF(AND(IF(AND(NOT(AND(AO355=1,AN355&lt;&gt;1)),ISNUMBER(AI355),AI355&lt;=T355),AU355,0)&gt;0,IF(AND(NOT(AND(AO355=1,AN355&lt;&gt;1)),ISNUMBER(AI355),AI355&lt;=T355),AU355,0)=MAX(IF(AND(NOT(AND(AO355=1,AN355&lt;&gt;1)),ISNUMBER(AG355),AG355&lt;=T355),AS355,0),IF(AND(NOT(AND(AO355=1,AN355&lt;&gt;1)),ISNUMBER(AH355),AH355&lt;=T355),AT355,0),IF(AND(NOT(AND(AO355=1,AN355&lt;&gt;1)),ISNUMBER(AI355),AI355&lt;=T355),AU355,0),IF(AND(ISNUMBER(AJ355),AJ355&lt;=T355),AV355,0))),"SC","Mag")))))))</f>
        <v/>
      </c>
    </row>
    <row r="356" customFormat="false" ht="15" hidden="false" customHeight="false" outlineLevel="0" collapsed="false">
      <c r="A356" s="26" t="n">
        <v>351</v>
      </c>
      <c r="B356" s="27" t="n">
        <f aca="false">A356*10/60</f>
        <v>58.5</v>
      </c>
      <c r="C356" s="21" t="n">
        <f aca="false">X355</f>
        <v>18.6730249835055</v>
      </c>
      <c r="D356" s="27" t="n">
        <f aca="false">D355+W355</f>
        <v>0</v>
      </c>
      <c r="E356" s="26" t="n">
        <f aca="false">E355+IF(U355="SW",1,0)</f>
        <v>12</v>
      </c>
      <c r="F356" s="26" t="n">
        <f aca="false">F355+IF(U355="AB",1,0)</f>
        <v>10</v>
      </c>
      <c r="G356" s="26" t="n">
        <f aca="false">G355+IF(U355="SC",1,0)</f>
        <v>7</v>
      </c>
      <c r="H356" s="26" t="n">
        <f aca="false">H355+IF(U355="Mag",1,0)</f>
        <v>5</v>
      </c>
      <c r="I356" s="26" t="n">
        <f aca="false">MAX(I355,IF(U355="OR",1,0))</f>
        <v>1</v>
      </c>
      <c r="J356" s="26" t="n">
        <f aca="false">MAX(J355,IF(U355="HP",1,0))</f>
        <v>1</v>
      </c>
      <c r="K356" s="26" t="n">
        <f aca="false">MAX(K355,IF(U355="FP",1,0))</f>
        <v>1</v>
      </c>
      <c r="L356" s="26" t="n">
        <f aca="false">MAX(L355,IF(U355="transition",1,0))</f>
        <v>1</v>
      </c>
      <c r="M356" s="28" t="n">
        <f aca="false">(Parameters!$B$9+(IF(E356=0,0,(Upgrades!$J$6+E356*Upgrades!$K$6)*POWER(Upgrades!$L$6,E356)))*(IF(Upgrades!$T$7="Solar Wind",POWER(Upgrades!$U$7,F356),1)*IF(Upgrades!$T$8="Solar Wind",POWER(Upgrades!$U$8,G356),1)*IF(Upgrades!$T$9="Solar Wind",POWER(Upgrades!$U$9,H356),1)*IF(Upgrades!$T$10="Solar Wind",POWER(Upgrades!$U$10,I356),1)*IF(Upgrades!$T$11="Solar Wind",POWER(Upgrades!$U$11,J356),1)*IF(Upgrades!$T$12="Solar Wind",POWER(Upgrades!$U$12,K356),1))+(IF(F356=0,0,(Upgrades!$J$7+F356*Upgrades!$K$7)*POWER(Upgrades!$L$7,F356)))*(IF(Upgrades!$T$6="Asteroid Belt",POWER(Upgrades!$U$6,E356),1)*IF(Upgrades!$T$8="Asteroid Belt",POWER(Upgrades!$U$8,G356),1)*IF(Upgrades!$T$9="Asteroid Belt",POWER(Upgrades!$U$9,H356),1)*IF(Upgrades!$T$10="Asteroid Belt",POWER(Upgrades!$U$10,I356),1)*IF(Upgrades!$T$11="Asteroid Belt",POWER(Upgrades!$U$11,J356),1)*IF(Upgrades!$T$12="Asteroid Belt",POWER(Upgrades!$U$12,K356),1))+(IF(G356=0,0,(Upgrades!$J$8+G356*Upgrades!$K$8)*POWER(Upgrades!$L$8,G356)))*(IF(Upgrades!$T$6="Stellar Coupling",POWER(Upgrades!$U$6,E356),1)*IF(Upgrades!$T$7="Stellar Coupling",POWER(Upgrades!$U$7,F356),1)*IF(Upgrades!$T$9="Stellar Coupling",POWER(Upgrades!$U$9,H356),1)*IF(Upgrades!$T$10="Stellar Coupling",POWER(Upgrades!$U$10,I356),1)*IF(Upgrades!$T$11="Stellar Coupling",POWER(Upgrades!$U$11,J356),1)*IF(Upgrades!$T$12="Stellar Coupling",POWER(Upgrades!$U$12,K356),1))+(IF(H356=0,0,(Upgrades!$J$9+H356*Upgrades!$K$9)*POWER(Upgrades!$L$9,H356)))*(IF(Upgrades!$T$6="Magnetosphere",POWER(Upgrades!$U$6,E356),1)*IF(Upgrades!$T$7="Magnetosphere",POWER(Upgrades!$U$7,F356),1)*IF(Upgrades!$T$8="Magnetosphere",POWER(Upgrades!$U$8,G356),1)*IF(Upgrades!$T$10="Magnetosphere",POWER(Upgrades!$U$10,I356),1)*IF(Upgrades!$T$11="Magnetosphere",POWER(Upgrades!$U$11,J356),1)*IF(Upgrades!$T$12="Magnetosphere",POWER(Upgrades!$U$12,K356),1))+(IF(I356=0,0,(Upgrades!$J$10+I356*Upgrades!$K$10)*POWER(Upgrades!$L$10,I356)))*(IF(Upgrades!$T$6="Orbital Resonance",POWER(Upgrades!$U$6,E356),1)*IF(Upgrades!$T$7="Orbital Resonance",POWER(Upgrades!$U$7,F356),1)*IF(Upgrades!$T$8="Orbital Resonance",POWER(Upgrades!$U$8,G356),1)*IF(Upgrades!$T$9="Orbital Resonance",POWER(Upgrades!$U$9,H356),1)*IF(Upgrades!$T$11="Orbital Resonance",POWER(Upgrades!$U$11,J356),1)*IF(Upgrades!$T$12="Orbital Resonance",POWER(Upgrades!$U$12,K356),1))+(IF(J356=0,0,(Upgrades!$J$11+J356*Upgrades!$K$11)*POWER(Upgrades!$L$11,J356)))*(IF(Upgrades!$T$6="Heliopause",POWER(Upgrades!$U$6,E356),1)*IF(Upgrades!$T$7="Heliopause",POWER(Upgrades!$U$7,F356),1)*IF(Upgrades!$T$8="Heliopause",POWER(Upgrades!$U$8,G356),1)*IF(Upgrades!$T$9="Heliopause",POWER(Upgrades!$U$9,H356),1)*IF(Upgrades!$T$10="Heliopause",POWER(Upgrades!$U$10,I356),1)*IF(Upgrades!$T$12="Heliopause",POWER(Upgrades!$U$12,K356),1))+(IF(K356=0,0,(Upgrades!$J$12+K356*Upgrades!$K$12)*POWER(Upgrades!$L$12,K356)))*(IF(Upgrades!$T$6="First Photons",POWER(Upgrades!$U$6,E356),1)*IF(Upgrades!$T$7="First Photons",POWER(Upgrades!$U$7,F356),1)*IF(Upgrades!$T$8="First Photons",POWER(Upgrades!$U$8,G356),1)*IF(Upgrades!$T$9="First Photons",POWER(Upgrades!$U$9,H356),1)*IF(Upgrades!$T$10="First Photons",POWER(Upgrades!$U$10,I356),1)*IF(Upgrades!$T$11="First Photons",POWER(Upgrades!$U$11,J356),1)))*POWER(Upgrades!$Q$6,E356)*POWER(Upgrades!$Q$7,F356)*POWER(Upgrades!$Q$8,G356)*POWER(Upgrades!$Q$9,H356)*POWER(Upgrades!$Q$10,I356)*POWER(Upgrades!$Q$11,J356)*POWER(Upgrades!$Q$12,K356)</f>
        <v>5.61</v>
      </c>
      <c r="N356" s="28" t="n">
        <f aca="false">((IF(E356=0,0,(Upgrades!$G$6+E356*Upgrades!$H$6)*POWER(Upgrades!$I$6,E356)))*(IF(Upgrades!$T$7="Solar Wind",POWER(Upgrades!$U$7,F356),1)*IF(Upgrades!$T$8="Solar Wind",POWER(Upgrades!$U$8,G356),1)*IF(Upgrades!$T$9="Solar Wind",POWER(Upgrades!$U$9,H356),1)*IF(Upgrades!$T$10="Solar Wind",POWER(Upgrades!$U$10,I356),1)*IF(Upgrades!$T$11="Solar Wind",POWER(Upgrades!$U$11,J356),1)*IF(Upgrades!$T$12="Solar Wind",POWER(Upgrades!$U$12,K356),1))+(IF(F356=0,0,(Upgrades!$G$7+F356*Upgrades!$H$7)*POWER(Upgrades!$I$7,F356)))*(IF(Upgrades!$T$6="Asteroid Belt",POWER(Upgrades!$U$6,E356),1)*IF(Upgrades!$T$8="Asteroid Belt",POWER(Upgrades!$U$8,G356),1)*IF(Upgrades!$T$9="Asteroid Belt",POWER(Upgrades!$U$9,H356),1)*IF(Upgrades!$T$10="Asteroid Belt",POWER(Upgrades!$U$10,I356),1)*IF(Upgrades!$T$11="Asteroid Belt",POWER(Upgrades!$U$11,J356),1)*IF(Upgrades!$T$12="Asteroid Belt",POWER(Upgrades!$U$12,K356),1))+(IF(G356=0,0,(Upgrades!$G$8+G356*Upgrades!$H$8)*POWER(Upgrades!$I$8,G356)))*(IF(Upgrades!$T$6="Stellar Coupling",POWER(Upgrades!$U$6,E356),1)*IF(Upgrades!$T$7="Stellar Coupling",POWER(Upgrades!$U$7,F356),1)*IF(Upgrades!$T$9="Stellar Coupling",POWER(Upgrades!$U$9,H356),1)*IF(Upgrades!$T$10="Stellar Coupling",POWER(Upgrades!$U$10,I356),1)*IF(Upgrades!$T$11="Stellar Coupling",POWER(Upgrades!$U$11,J356),1)*IF(Upgrades!$T$12="Stellar Coupling",POWER(Upgrades!$U$12,K356),1))+(IF(H356=0,0,(Upgrades!$G$9+H356*Upgrades!$H$9)*POWER(Upgrades!$I$9,H356)))*(IF(Upgrades!$T$6="Magnetosphere",POWER(Upgrades!$U$6,E356),1)*IF(Upgrades!$T$7="Magnetosphere",POWER(Upgrades!$U$7,F356),1)*IF(Upgrades!$T$8="Magnetosphere",POWER(Upgrades!$U$8,G356),1)*IF(Upgrades!$T$10="Magnetosphere",POWER(Upgrades!$U$10,I356),1)*IF(Upgrades!$T$11="Magnetosphere",POWER(Upgrades!$U$11,J356),1)*IF(Upgrades!$T$12="Magnetosphere",POWER(Upgrades!$U$12,K356),1))+(IF(I356=0,0,(Upgrades!$G$10+I356*Upgrades!$H$10)*POWER(Upgrades!$I$10,I356)))*(IF(Upgrades!$T$6="Orbital Resonance",POWER(Upgrades!$U$6,E356),1)*IF(Upgrades!$T$7="Orbital Resonance",POWER(Upgrades!$U$7,F356),1)*IF(Upgrades!$T$8="Orbital Resonance",POWER(Upgrades!$U$8,G356),1)*IF(Upgrades!$T$9="Orbital Resonance",POWER(Upgrades!$U$9,H356),1)*IF(Upgrades!$T$11="Orbital Resonance",POWER(Upgrades!$U$11,J356),1)*IF(Upgrades!$T$12="Orbital Resonance",POWER(Upgrades!$U$12,K356),1))+(IF(J356=0,0,(Upgrades!$G$11+J356*Upgrades!$H$11)*POWER(Upgrades!$I$11,J356)))*(IF(Upgrades!$T$6="Heliopause",POWER(Upgrades!$U$6,E356),1)*IF(Upgrades!$T$7="Heliopause",POWER(Upgrades!$U$7,F356),1)*IF(Upgrades!$T$8="Heliopause",POWER(Upgrades!$U$8,G356),1)*IF(Upgrades!$T$9="Heliopause",POWER(Upgrades!$U$9,H356),1)*IF(Upgrades!$T$10="Heliopause",POWER(Upgrades!$U$10,I356),1)*IF(Upgrades!$T$12="Heliopause",POWER(Upgrades!$U$12,K356),1))+(IF(K356=0,0,(Upgrades!$G$12+K356*Upgrades!$H$12)*POWER(Upgrades!$I$12,K356)))*(IF(Upgrades!$T$6="First Photons",POWER(Upgrades!$U$6,E356),1)*IF(Upgrades!$T$7="First Photons",POWER(Upgrades!$U$7,F356),1)*IF(Upgrades!$T$8="First Photons",POWER(Upgrades!$U$8,G356),1)*IF(Upgrades!$T$9="First Photons",POWER(Upgrades!$U$9,H356),1)*IF(Upgrades!$T$10="First Photons",POWER(Upgrades!$U$10,I356),1)*IF(Upgrades!$T$11="First Photons",POWER(Upgrades!$U$11,J356),1)))*POWER(Upgrades!$P$6,E356)*POWER(Upgrades!$P$7,F356)*POWER(Upgrades!$P$8,G356)*POWER(Upgrades!$P$9,H356)*POWER(Upgrades!$P$10,I356)*POWER(Upgrades!$P$11,J356)*POWER(Upgrades!$P$12,K356)</f>
        <v>11.2</v>
      </c>
      <c r="O356" s="28" t="n">
        <f aca="false">((IF(E356=0,0,(Upgrades!$M$6+E356*Upgrades!$N$6)*POWER(Upgrades!$O$6,E356)))*(IF(Upgrades!$T$7="Solar Wind",POWER(Upgrades!$U$7,F356),1)*IF(Upgrades!$T$8="Solar Wind",POWER(Upgrades!$U$8,G356),1)*IF(Upgrades!$T$9="Solar Wind",POWER(Upgrades!$U$9,H356),1)*IF(Upgrades!$T$10="Solar Wind",POWER(Upgrades!$U$10,I356),1)*IF(Upgrades!$T$11="Solar Wind",POWER(Upgrades!$U$11,J356),1)*IF(Upgrades!$T$12="Solar Wind",POWER(Upgrades!$U$12,K356),1))+(IF(F356=0,0,(Upgrades!$M$7+F356*Upgrades!$N$7)*POWER(Upgrades!$O$7,F356)))*(IF(Upgrades!$T$6="Asteroid Belt",POWER(Upgrades!$U$6,E356),1)*IF(Upgrades!$T$8="Asteroid Belt",POWER(Upgrades!$U$8,G356),1)*IF(Upgrades!$T$9="Asteroid Belt",POWER(Upgrades!$U$9,H356),1)*IF(Upgrades!$T$10="Asteroid Belt",POWER(Upgrades!$U$10,I356),1)*IF(Upgrades!$T$11="Asteroid Belt",POWER(Upgrades!$U$11,J356),1)*IF(Upgrades!$T$12="Asteroid Belt",POWER(Upgrades!$U$12,K356),1))+(IF(G356=0,0,(Upgrades!$M$8+G356*Upgrades!$N$8)*POWER(Upgrades!$O$8,G356)))*(IF(Upgrades!$T$6="Stellar Coupling",POWER(Upgrades!$U$6,E356),1)*IF(Upgrades!$T$7="Stellar Coupling",POWER(Upgrades!$U$7,F356),1)*IF(Upgrades!$T$9="Stellar Coupling",POWER(Upgrades!$U$9,H356),1)*IF(Upgrades!$T$10="Stellar Coupling",POWER(Upgrades!$U$10,I356),1)*IF(Upgrades!$T$11="Stellar Coupling",POWER(Upgrades!$U$11,J356),1)*IF(Upgrades!$T$12="Stellar Coupling",POWER(Upgrades!$U$12,K356),1))+(IF(H356=0,0,(Upgrades!$M$9+H356*Upgrades!$N$9)*POWER(Upgrades!$O$9,H356)))*(IF(Upgrades!$T$6="Magnetosphere",POWER(Upgrades!$U$6,E356),1)*IF(Upgrades!$T$7="Magnetosphere",POWER(Upgrades!$U$7,F356),1)*IF(Upgrades!$T$8="Magnetosphere",POWER(Upgrades!$U$8,G356),1)*IF(Upgrades!$T$10="Magnetosphere",POWER(Upgrades!$U$10,I356),1)*IF(Upgrades!$T$11="Magnetosphere",POWER(Upgrades!$U$11,J356),1)*IF(Upgrades!$T$12="Magnetosphere",POWER(Upgrades!$U$12,K356),1))+(IF(I356=0,0,(Upgrades!$M$10+I356*Upgrades!$N$10)*POWER(Upgrades!$O$10,I356)))*(IF(Upgrades!$T$6="Orbital Resonance",POWER(Upgrades!$U$6,E356),1)*IF(Upgrades!$T$7="Orbital Resonance",POWER(Upgrades!$U$7,F356),1)*IF(Upgrades!$T$8="Orbital Resonance",POWER(Upgrades!$U$8,G356),1)*IF(Upgrades!$T$9="Orbital Resonance",POWER(Upgrades!$U$9,H356),1)*IF(Upgrades!$T$11="Orbital Resonance",POWER(Upgrades!$U$11,J356),1)*IF(Upgrades!$T$12="Orbital Resonance",POWER(Upgrades!$U$12,K356),1))+(IF(J356=0,0,(Upgrades!$M$11+J356*Upgrades!$N$11)*POWER(Upgrades!$O$11,J356)))*(IF(Upgrades!$T$6="Heliopause",POWER(Upgrades!$U$6,E356),1)*IF(Upgrades!$T$7="Heliopause",POWER(Upgrades!$U$7,F356),1)*IF(Upgrades!$T$8="Heliopause",POWER(Upgrades!$U$8,G356),1)*IF(Upgrades!$T$9="Heliopause",POWER(Upgrades!$U$9,H356),1)*IF(Upgrades!$T$10="Heliopause",POWER(Upgrades!$U$10,I356),1)*IF(Upgrades!$T$12="Heliopause",POWER(Upgrades!$U$12,K356),1))+(IF(K356=0,0,(Upgrades!$M$12+K356*Upgrades!$N$12)*POWER(Upgrades!$O$12,K356)))*(IF(Upgrades!$T$6="First Photons",POWER(Upgrades!$U$6,E356),1)*IF(Upgrades!$T$7="First Photons",POWER(Upgrades!$U$7,F356),1)*IF(Upgrades!$T$8="First Photons",POWER(Upgrades!$U$8,G356),1)*IF(Upgrades!$T$9="First Photons",POWER(Upgrades!$U$9,H356),1)*IF(Upgrades!$T$10="First Photons",POWER(Upgrades!$U$10,I356),1)*IF(Upgrades!$T$11="First Photons",POWER(Upgrades!$U$11,J356),1)))*POWER(Upgrades!$R$6,E356)*POWER(Upgrades!$R$7,F356)*POWER(Upgrades!$R$8,G356)*POWER(Upgrades!$R$9,H356)*POWER(Upgrades!$R$10,I356)*POWER(Upgrades!$R$11,J356)*POWER(Upgrades!$R$12,K356)</f>
        <v>0</v>
      </c>
      <c r="P356" s="27" t="n">
        <f aca="false">IF(L356=1,0,M356*Parameters!$B$10/60*Parameters!$B$11*10)</f>
        <v>0</v>
      </c>
      <c r="Q356" s="27" t="n">
        <f aca="false">IF(L356=1,0,O356*M356*10)</f>
        <v>0</v>
      </c>
      <c r="R356" s="27" t="n">
        <f aca="false">IF(L356=1,0,N356*10)</f>
        <v>0</v>
      </c>
      <c r="S356" s="27" t="n">
        <f aca="false">P356+Q356+R356</f>
        <v>0</v>
      </c>
      <c r="T356" s="21" t="n">
        <f aca="false">C356+S356</f>
        <v>18.6730249835055</v>
      </c>
      <c r="U356" s="34" t="str">
        <f aca="false">AX356</f>
        <v/>
      </c>
      <c r="V356" s="21" t="n">
        <f aca="false">IF(U356="",0,IF(U356="transition",0,IF(U356="SW",AG356,IF(U356="AB",AH356,IF(U356="SC",AI356,IF(U356="Mag",AJ356,IF(U356="OR",AK356,IF(U356="HP",AL356,IF(U356="FP",AM356,0)))))))))</f>
        <v>0</v>
      </c>
      <c r="W356" s="27" t="n">
        <f aca="false">IF(U356="OR",Upgrades!$F$10,IF(U356="HP",Upgrades!$F$11,IF(U356="transition",-Parameters!$B$18,0)))</f>
        <v>0</v>
      </c>
      <c r="X356" s="21" t="n">
        <f aca="false">T356-V356</f>
        <v>18.6730249835055</v>
      </c>
      <c r="Y356" s="30" t="n">
        <f aca="false">M356*Parameters!$B$10/60*Parameters!$B$11+O356*M356+N356</f>
        <v>20.55</v>
      </c>
      <c r="Z356" s="35" t="str">
        <f aca="false">IF(U356="transition","→ Tier 2 (Stellar Neighborhood)",IF(U356="FP","First Photons — light begins, system quickens",IF(U356="HP","Heliopause acquired",IF(U356="OR","Orbital Resonance — passive multiplier active",IF(AND(AO356=1,L356=0,AN356&lt;&gt;1),"Cohesion ready (waiting on completionist upgrades)","")))))</f>
        <v/>
      </c>
      <c r="AA356" s="27" t="n">
        <f aca="false">(IF(E356=0,0,(Upgrades!$G$6+E356*Upgrades!$H$6)*POWER(Upgrades!$I$6,E356)))*(IF(Upgrades!$T$7="Solar Wind",POWER(Upgrades!$U$7,F356),1)*IF(Upgrades!$T$8="Solar Wind",POWER(Upgrades!$U$8,G356),1)*IF(Upgrades!$T$9="Solar Wind",POWER(Upgrades!$U$9,H356),1)*IF(Upgrades!$T$10="Solar Wind",POWER(Upgrades!$U$10,I356),1)*IF(Upgrades!$T$11="Solar Wind",POWER(Upgrades!$U$11,J356),1)*IF(Upgrades!$T$12="Solar Wind",POWER(Upgrades!$U$12,K356),1))*POWER(Upgrades!$P$6,E356)*POWER(Upgrades!$P$7,F356)*POWER(Upgrades!$P$8,G356)*POWER(Upgrades!$P$9,H356)*POWER(Upgrades!$P$10,I356)*POWER(Upgrades!$P$11,J356)*POWER(Upgrades!$P$12,K356)*60</f>
        <v>72</v>
      </c>
      <c r="AB356" s="27" t="n">
        <f aca="false">(IF(F356=0,0,(Upgrades!$G$7+F356*Upgrades!$H$7)*POWER(Upgrades!$I$7,F356)))*(IF(Upgrades!$T$6="Asteroid Belt",POWER(Upgrades!$U$6,E356),1)*IF(Upgrades!$T$8="Asteroid Belt",POWER(Upgrades!$U$8,G356),1)*IF(Upgrades!$T$9="Asteroid Belt",POWER(Upgrades!$U$9,H356),1)*IF(Upgrades!$T$10="Asteroid Belt",POWER(Upgrades!$U$10,I356),1)*IF(Upgrades!$T$11="Asteroid Belt",POWER(Upgrades!$U$11,J356),1)*IF(Upgrades!$T$12="Asteroid Belt",POWER(Upgrades!$U$12,K356),1))*POWER(Upgrades!$P$6,E356)*POWER(Upgrades!$P$7,F356)*POWER(Upgrades!$P$8,G356)*POWER(Upgrades!$P$9,H356)*POWER(Upgrades!$P$10,I356)*POWER(Upgrades!$P$11,J356)*POWER(Upgrades!$P$12,K356)*60</f>
        <v>150</v>
      </c>
      <c r="AC356" s="27" t="n">
        <f aca="false">(IF(G356=0,0,(Upgrades!$J$8+G356*Upgrades!$K$8)*POWER(Upgrades!$L$8,G356)))*(IF(Upgrades!$T$6="Stellar Coupling",POWER(Upgrades!$U$6,E356),1)*IF(Upgrades!$T$7="Stellar Coupling",POWER(Upgrades!$U$7,F356),1)*IF(Upgrades!$T$9="Stellar Coupling",POWER(Upgrades!$U$9,H356),1)*IF(Upgrades!$T$10="Stellar Coupling",POWER(Upgrades!$U$10,I356),1)*IF(Upgrades!$T$11="Stellar Coupling",POWER(Upgrades!$U$11,J356),1)*IF(Upgrades!$T$12="Stellar Coupling",POWER(Upgrades!$U$12,K356),1))*POWER(Upgrades!$Q$6,E356)*POWER(Upgrades!$Q$7,F356)*POWER(Upgrades!$Q$8,G356)*POWER(Upgrades!$Q$9,H356)*POWER(Upgrades!$Q$10,I356)*POWER(Upgrades!$Q$11,J356)*POWER(Upgrades!$Q$12,K356)*Parameters!$B$10*Parameters!$B$11</f>
        <v>441</v>
      </c>
      <c r="AD356" s="27" t="n">
        <f aca="false">(IF(H356=0,0,(Upgrades!$G$9+H356*Upgrades!$H$9)*POWER(Upgrades!$I$9,H356)))*(IF(Upgrades!$T$6="Magnetosphere",POWER(Upgrades!$U$6,E356),1)*IF(Upgrades!$T$7="Magnetosphere",POWER(Upgrades!$U$7,F356),1)*IF(Upgrades!$T$8="Magnetosphere",POWER(Upgrades!$U$8,G356),1)*IF(Upgrades!$T$10="Magnetosphere",POWER(Upgrades!$U$10,I356),1)*IF(Upgrades!$T$11="Magnetosphere",POWER(Upgrades!$U$11,J356),1)*IF(Upgrades!$T$12="Magnetosphere",POWER(Upgrades!$U$12,K356),1))*POWER(Upgrades!$P$6,E356)*POWER(Upgrades!$P$7,F356)*POWER(Upgrades!$P$8,G356)*POWER(Upgrades!$P$9,H356)*POWER(Upgrades!$P$10,I356)*POWER(Upgrades!$P$11,J356)*POWER(Upgrades!$P$12,K356)*60</f>
        <v>375</v>
      </c>
      <c r="AE356" s="27" t="n">
        <f aca="false">(IF(K356=0,0,(Upgrades!$G$12+K356*Upgrades!$H$12)*POWER(Upgrades!$I$12,K356)))*(IF(Upgrades!$T$6="First Photons",POWER(Upgrades!$U$6,E356),1)*IF(Upgrades!$T$7="First Photons",POWER(Upgrades!$U$7,F356),1)*IF(Upgrades!$T$8="First Photons",POWER(Upgrades!$U$8,G356),1)*IF(Upgrades!$T$9="First Photons",POWER(Upgrades!$U$9,H356),1)*IF(Upgrades!$T$10="First Photons",POWER(Upgrades!$U$10,I356),1)*IF(Upgrades!$T$11="First Photons",POWER(Upgrades!$U$11,J356),1))*POWER(Upgrades!$P$6,E356)*POWER(Upgrades!$P$7,F356)*POWER(Upgrades!$P$8,G356)*POWER(Upgrades!$P$9,H356)*POWER(Upgrades!$P$10,I356)*POWER(Upgrades!$P$11,J356)*POWER(Upgrades!$P$12,K356)*60</f>
        <v>75</v>
      </c>
      <c r="AF356" s="27" t="n">
        <f aca="false">Parameters!$B$9*POWER(Upgrades!$Q$6,E356)*POWER(Upgrades!$Q$7,F356)*POWER(Upgrades!$Q$8,G356)*POWER(Upgrades!$Q$9,H356)*POWER(Upgrades!$Q$10,I356)*POWER(Upgrades!$Q$11,J356)*POWER(Upgrades!$Q$12,K356)*(Parameters!$B$10*Parameters!$B$11+O356*60)</f>
        <v>120</v>
      </c>
      <c r="AG356" s="21" t="n">
        <f aca="false">IF(E356&gt;=Upgrades!$E$6,"",Upgrades!$C$6*POWER(Upgrades!$D$6,E356))</f>
        <v>37.4517507383159</v>
      </c>
      <c r="AH356" s="21" t="n">
        <f aca="false">IF(F356&gt;=Upgrades!$E$7,"",Upgrades!$C$7*POWER(Upgrades!$D$7,F356))</f>
        <v>80.9111547141581</v>
      </c>
      <c r="AI356" s="21" t="n">
        <f aca="false">IF(G356&gt;=Upgrades!$E$8,"",Upgrades!$C$8*POWER(Upgrades!$D$8,G356))</f>
        <v>231.9097088</v>
      </c>
      <c r="AJ356" s="21" t="str">
        <f aca="false">IF(H356&gt;=Upgrades!$E$9,"",Upgrades!$C$9*POWER(Upgrades!$D$9,H356))</f>
        <v/>
      </c>
      <c r="AK356" s="21" t="str">
        <f aca="false">IF(I356&gt;=Upgrades!$E$10,"",Upgrades!$C$10*POWER(Upgrades!$D$10,I356))</f>
        <v/>
      </c>
      <c r="AL356" s="21" t="str">
        <f aca="false">IF(J356&gt;=Upgrades!$E$11,"",Upgrades!$C$11*POWER(Upgrades!$D$11,J356))</f>
        <v/>
      </c>
      <c r="AM356" s="21" t="str">
        <f aca="false">IF(K356&gt;=Upgrades!$E$12,"",Upgrades!$C$12*POWER(Upgrades!$D$12,K356))</f>
        <v/>
      </c>
      <c r="AN356" s="26" t="str">
        <f aca="false">IF(AND(D356&gt;=Parameters!$B$18,(H356&gt;=Upgrades!$E$9)*(K356&gt;=Upgrades!$E$12)=1,L356=0),1,"")</f>
        <v/>
      </c>
      <c r="AO356" s="26" t="str">
        <f aca="false">IF(AND(D356&gt;=Parameters!$B$18,L356=0),1,"")</f>
        <v/>
      </c>
      <c r="AP356" s="21" t="n">
        <f aca="false">MIN(IF(ISNUMBER(AK356),AK356,9000000000000000),IF(ISNUMBER(AL356),AL356,9000000000000000),IF(ISNUMBER(AM356),AM356,9000000000000000))</f>
        <v>9000000000000000</v>
      </c>
      <c r="AQ356" s="21" t="n">
        <f aca="false">MIN(IF(ISNUMBER(AG356),AG356,9000000000000000),IF(ISNUMBER(AH356),AH356,9000000000000000),IF(ISNUMBER(AI356),AI356,9000000000000000),IF(ISNUMBER(AJ356),AJ356,9000000000000000))</f>
        <v>37.4517507383159</v>
      </c>
      <c r="AR356" s="32" t="b">
        <f aca="false">IF(AW356&gt;Parameters!$B$21*(MAX(IF(AND(NOT(AND(AO356=1,AN356&lt;&gt;1)),ISNUMBER(AG356),AG356&lt;=T356),AS356,0),IF(AND(NOT(AND(AO356=1,AN356&lt;&gt;1)),ISNUMBER(AH356),AH356&lt;=T356),AT356,0),IF(AND(NOT(AND(AO356=1,AN356&lt;&gt;1)),ISNUMBER(AI356),AI356&lt;=T356),AU356,0),IF(AND(ISNUMBER(AJ356),AJ356&lt;=T356),AV356,0))),TRUE(),FALSE())</f>
        <v>1</v>
      </c>
      <c r="AS356" s="33" t="n">
        <f aca="false">IFERROR(Upgrades!$H$6*(POWER(Upgrades!$P$6,E356)*POWER(Upgrades!$P$7,F356)*POWER(Upgrades!$P$8,G356)*POWER(Upgrades!$P$9,H356)*POWER(Upgrades!$P$10,I356)*POWER(Upgrades!$P$11,J356)*POWER(Upgrades!$P$12,K356))*(IF(Upgrades!$T$7="Solar Wind",POWER(Upgrades!$U$7,F356),1)*IF(Upgrades!$T$8="Solar Wind",POWER(Upgrades!$U$8,G356),1)*IF(Upgrades!$T$9="Solar Wind",POWER(Upgrades!$U$9,H356),1)*IF(Upgrades!$T$10="Solar Wind",POWER(Upgrades!$U$10,I356),1)*IF(Upgrades!$T$11="Solar Wind",POWER(Upgrades!$U$11,J356),1)*IF(Upgrades!$T$12="Solar Wind",POWER(Upgrades!$U$12,K356),1))/AG356,0)</f>
        <v>0.0026701021455238</v>
      </c>
      <c r="AT356" s="33" t="n">
        <f aca="false">IFERROR(Upgrades!$H$7*(POWER(Upgrades!$P$6,E356)*POWER(Upgrades!$P$7,F356)*POWER(Upgrades!$P$8,G356)*POWER(Upgrades!$P$9,H356)*POWER(Upgrades!$P$10,I356)*POWER(Upgrades!$P$11,J356)*POWER(Upgrades!$P$12,K356))*(IF(Upgrades!$T$6="Asteroid Belt",POWER(Upgrades!$U$6,E356),1)*IF(Upgrades!$T$8="Asteroid Belt",POWER(Upgrades!$U$8,G356),1)*IF(Upgrades!$T$9="Asteroid Belt",POWER(Upgrades!$U$9,H356),1)*IF(Upgrades!$T$10="Asteroid Belt",POWER(Upgrades!$U$10,I356),1)*IF(Upgrades!$T$11="Asteroid Belt",POWER(Upgrades!$U$11,J356),1)*IF(Upgrades!$T$12="Asteroid Belt",POWER(Upgrades!$U$12,K356),1))/AH356,0)</f>
        <v>0.00308980882652332</v>
      </c>
      <c r="AU356" s="33" t="n">
        <f aca="false">IFERROR(Upgrades!$K$8*(POWER(Upgrades!$Q$6,E356)*POWER(Upgrades!$Q$7,F356)*POWER(Upgrades!$Q$8,G356)*POWER(Upgrades!$Q$9,H356)*POWER(Upgrades!$Q$10,I356)*POWER(Upgrades!$Q$11,J356)*POWER(Upgrades!$Q$12,K356))*(IF(Upgrades!$T$6="Stellar Coupling",POWER(Upgrades!$U$6,E356),1)*IF(Upgrades!$T$7="Stellar Coupling",POWER(Upgrades!$U$7,F356),1)*IF(Upgrades!$T$9="Stellar Coupling",POWER(Upgrades!$U$9,H356),1)*IF(Upgrades!$T$10="Stellar Coupling",POWER(Upgrades!$U$10,I356),1)*IF(Upgrades!$T$11="Stellar Coupling",POWER(Upgrades!$U$11,J356),1)*IF(Upgrades!$T$12="Stellar Coupling",POWER(Upgrades!$U$12,K356),1))*Parameters!$B$10*Parameters!$B$11/60/AI356,0)</f>
        <v>0.00452762415783776</v>
      </c>
      <c r="AV356" s="33" t="n">
        <f aca="false">IFERROR(Upgrades!$H$9*(POWER(Upgrades!$P$6,E356)*POWER(Upgrades!$P$7,F356)*POWER(Upgrades!$P$8,G356)*POWER(Upgrades!$P$9,H356)*POWER(Upgrades!$P$10,I356)*POWER(Upgrades!$P$11,J356)*POWER(Upgrades!$P$12,K356))*(IF(Upgrades!$T$6="Magnetosphere",POWER(Upgrades!$U$6,E356),1)*IF(Upgrades!$T$7="Magnetosphere",POWER(Upgrades!$U$7,F356),1)*IF(Upgrades!$T$8="Magnetosphere",POWER(Upgrades!$U$8,G356),1)*IF(Upgrades!$T$10="Magnetosphere",POWER(Upgrades!$U$10,I356),1)*IF(Upgrades!$T$11="Magnetosphere",POWER(Upgrades!$U$11,J356),1)*IF(Upgrades!$T$12="Magnetosphere",POWER(Upgrades!$U$12,K356),1))/AJ356,0)</f>
        <v>0</v>
      </c>
      <c r="AW356" s="33" t="n">
        <f aca="false">MAX(IF(I356&gt;0,0,IFERROR(0.25*N356/Upgrades!$C$10,0)),IF(J356&gt;0,0,IFERROR(0.5*((IF(G356=0,0,(Upgrades!$J$8+G356*Upgrades!$K$8)*POWER(Upgrades!$L$8,G356)))*(IF(Upgrades!$T$6="Stellar Coupling",POWER(Upgrades!$U$6,E356),1)*IF(Upgrades!$T$7="Stellar Coupling",POWER(Upgrades!$U$7,F356),1)*IF(Upgrades!$T$9="Stellar Coupling",POWER(Upgrades!$U$9,H356),1)*IF(Upgrades!$T$10="Stellar Coupling",POWER(Upgrades!$U$10,I356),1)*IF(Upgrades!$T$11="Stellar Coupling",POWER(Upgrades!$U$11,J356),1)*IF(Upgrades!$T$12="Stellar Coupling",POWER(Upgrades!$U$12,K356),1))*(POWER(Upgrades!$Q$6,E356)*POWER(Upgrades!$Q$7,F356)*POWER(Upgrades!$Q$8,G356)*POWER(Upgrades!$Q$9,H356)*POWER(Upgrades!$Q$10,I356)*POWER(Upgrades!$Q$11,J356)*POWER(Upgrades!$Q$12,K356))*Parameters!$B$10*Parameters!$B$11/60)/Upgrades!$C$11,0)),IF(K356&gt;0,0,IFERROR((1*(POWER(Upgrades!$P$6,E356)*POWER(Upgrades!$P$7,F356)*POWER(Upgrades!$P$8,G356)*POWER(Upgrades!$P$9,H356)*POWER(Upgrades!$P$10,I356)*POWER(Upgrades!$P$11,J356)*POWER(Upgrades!$P$12,K356))+0.2*M356*Parameters!$B$10*Parameters!$B$11/60)/Upgrades!$C$12,0)),IF(AND(ISNUMBER(AG356),AG356&gt;T356),AS356,0),IF(AND(ISNUMBER(AH356),AH356&gt;T356),AT356,0),IF(AND(ISNUMBER(AI356),AI356&gt;T356),AU356,0),IF(AND(ISNUMBER(AJ356),AJ356&gt;T356),AV356,0))</f>
        <v>0.00452762415783776</v>
      </c>
      <c r="AX356" s="29" t="str">
        <f aca="false">IF(AN356=1,"transition",IF(MIN(IF(AND(I356=0,ISNUMBER(AK356),AK356&lt;=T356),AK356,9000000000000000),IF(AND(J356=0,ISNUMBER(AL356),AL356&lt;=T356),AL356,9000000000000000),IF(AND(K356=0,ISNUMBER(AM356),AM356&lt;=T356),AM356,9000000000000000))&lt;9000000000000000,IF(AND(AND(I356=0,ISNUMBER(AK356),AK356&lt;=T356),AK356=MIN(IF(AND(I356=0,ISNUMBER(AK356),AK356&lt;=T356),AK356,9000000000000000),IF(AND(J356=0,ISNUMBER(AL356),AL356&lt;=T356),AL356,9000000000000000),IF(AND(K356=0,ISNUMBER(AM356),AM356&lt;=T356),AM356,9000000000000000))),"OR",IF(AND(AND(J356=0,ISNUMBER(AL356),AL356&lt;=T356),AL356=MIN(IF(AND(I356=0,ISNUMBER(AK356),AK356&lt;=T356),AK356,9000000000000000),IF(AND(J356=0,ISNUMBER(AL356),AL356&lt;=T356),AL356,9000000000000000),IF(AND(K356=0,ISNUMBER(AM356),AM356&lt;=T356),AM356,9000000000000000))),"HP","FP")),IF(AR356=TRUE(),"",IF(MAX(IF(AND(NOT(AND(AO356=1,AN356&lt;&gt;1)),ISNUMBER(AG356),AG356&lt;=T356),AS356,0),IF(AND(NOT(AND(AO356=1,AN356&lt;&gt;1)),ISNUMBER(AH356),AH356&lt;=T356),AT356,0),IF(AND(NOT(AND(AO356=1,AN356&lt;&gt;1)),ISNUMBER(AI356),AI356&lt;=T356),AU356,0),IF(AND(ISNUMBER(AJ356),AJ356&lt;=T356),AV356,0))&lt;=0,"",IF(AND(IF(AND(NOT(AND(AO356=1,AN356&lt;&gt;1)),ISNUMBER(AG356),AG356&lt;=T356),AS356,0)&gt;0,IF(AND(NOT(AND(AO356=1,AN356&lt;&gt;1)),ISNUMBER(AG356),AG356&lt;=T356),AS356,0)=MAX(IF(AND(NOT(AND(AO356=1,AN356&lt;&gt;1)),ISNUMBER(AG356),AG356&lt;=T356),AS356,0),IF(AND(NOT(AND(AO356=1,AN356&lt;&gt;1)),ISNUMBER(AH356),AH356&lt;=T356),AT356,0),IF(AND(NOT(AND(AO356=1,AN356&lt;&gt;1)),ISNUMBER(AI356),AI356&lt;=T356),AU356,0),IF(AND(ISNUMBER(AJ356),AJ356&lt;=T356),AV356,0))),"SW",IF(AND(IF(AND(NOT(AND(AO356=1,AN356&lt;&gt;1)),ISNUMBER(AH356),AH356&lt;=T356),AT356,0)&gt;0,IF(AND(NOT(AND(AO356=1,AN356&lt;&gt;1)),ISNUMBER(AH356),AH356&lt;=T356),AT356,0)=MAX(IF(AND(NOT(AND(AO356=1,AN356&lt;&gt;1)),ISNUMBER(AG356),AG356&lt;=T356),AS356,0),IF(AND(NOT(AND(AO356=1,AN356&lt;&gt;1)),ISNUMBER(AH356),AH356&lt;=T356),AT356,0),IF(AND(NOT(AND(AO356=1,AN356&lt;&gt;1)),ISNUMBER(AI356),AI356&lt;=T356),AU356,0),IF(AND(ISNUMBER(AJ356),AJ356&lt;=T356),AV356,0))),"AB",IF(AND(IF(AND(NOT(AND(AO356=1,AN356&lt;&gt;1)),ISNUMBER(AI356),AI356&lt;=T356),AU356,0)&gt;0,IF(AND(NOT(AND(AO356=1,AN356&lt;&gt;1)),ISNUMBER(AI356),AI356&lt;=T356),AU356,0)=MAX(IF(AND(NOT(AND(AO356=1,AN356&lt;&gt;1)),ISNUMBER(AG356),AG356&lt;=T356),AS356,0),IF(AND(NOT(AND(AO356=1,AN356&lt;&gt;1)),ISNUMBER(AH356),AH356&lt;=T356),AT356,0),IF(AND(NOT(AND(AO356=1,AN356&lt;&gt;1)),ISNUMBER(AI356),AI356&lt;=T356),AU356,0),IF(AND(ISNUMBER(AJ356),AJ356&lt;=T356),AV356,0))),"SC","Mag")))))))</f>
        <v/>
      </c>
    </row>
    <row r="357" customFormat="false" ht="15" hidden="false" customHeight="false" outlineLevel="0" collapsed="false">
      <c r="A357" s="26" t="n">
        <v>352</v>
      </c>
      <c r="B357" s="27" t="n">
        <f aca="false">A357*10/60</f>
        <v>58.6666666666667</v>
      </c>
      <c r="C357" s="21" t="n">
        <f aca="false">X356</f>
        <v>18.6730249835055</v>
      </c>
      <c r="D357" s="27" t="n">
        <f aca="false">D356+W356</f>
        <v>0</v>
      </c>
      <c r="E357" s="26" t="n">
        <f aca="false">E356+IF(U356="SW",1,0)</f>
        <v>12</v>
      </c>
      <c r="F357" s="26" t="n">
        <f aca="false">F356+IF(U356="AB",1,0)</f>
        <v>10</v>
      </c>
      <c r="G357" s="26" t="n">
        <f aca="false">G356+IF(U356="SC",1,0)</f>
        <v>7</v>
      </c>
      <c r="H357" s="26" t="n">
        <f aca="false">H356+IF(U356="Mag",1,0)</f>
        <v>5</v>
      </c>
      <c r="I357" s="26" t="n">
        <f aca="false">MAX(I356,IF(U356="OR",1,0))</f>
        <v>1</v>
      </c>
      <c r="J357" s="26" t="n">
        <f aca="false">MAX(J356,IF(U356="HP",1,0))</f>
        <v>1</v>
      </c>
      <c r="K357" s="26" t="n">
        <f aca="false">MAX(K356,IF(U356="FP",1,0))</f>
        <v>1</v>
      </c>
      <c r="L357" s="26" t="n">
        <f aca="false">MAX(L356,IF(U356="transition",1,0))</f>
        <v>1</v>
      </c>
      <c r="M357" s="28" t="n">
        <f aca="false">(Parameters!$B$9+(IF(E357=0,0,(Upgrades!$J$6+E357*Upgrades!$K$6)*POWER(Upgrades!$L$6,E357)))*(IF(Upgrades!$T$7="Solar Wind",POWER(Upgrades!$U$7,F357),1)*IF(Upgrades!$T$8="Solar Wind",POWER(Upgrades!$U$8,G357),1)*IF(Upgrades!$T$9="Solar Wind",POWER(Upgrades!$U$9,H357),1)*IF(Upgrades!$T$10="Solar Wind",POWER(Upgrades!$U$10,I357),1)*IF(Upgrades!$T$11="Solar Wind",POWER(Upgrades!$U$11,J357),1)*IF(Upgrades!$T$12="Solar Wind",POWER(Upgrades!$U$12,K357),1))+(IF(F357=0,0,(Upgrades!$J$7+F357*Upgrades!$K$7)*POWER(Upgrades!$L$7,F357)))*(IF(Upgrades!$T$6="Asteroid Belt",POWER(Upgrades!$U$6,E357),1)*IF(Upgrades!$T$8="Asteroid Belt",POWER(Upgrades!$U$8,G357),1)*IF(Upgrades!$T$9="Asteroid Belt",POWER(Upgrades!$U$9,H357),1)*IF(Upgrades!$T$10="Asteroid Belt",POWER(Upgrades!$U$10,I357),1)*IF(Upgrades!$T$11="Asteroid Belt",POWER(Upgrades!$U$11,J357),1)*IF(Upgrades!$T$12="Asteroid Belt",POWER(Upgrades!$U$12,K357),1))+(IF(G357=0,0,(Upgrades!$J$8+G357*Upgrades!$K$8)*POWER(Upgrades!$L$8,G357)))*(IF(Upgrades!$T$6="Stellar Coupling",POWER(Upgrades!$U$6,E357),1)*IF(Upgrades!$T$7="Stellar Coupling",POWER(Upgrades!$U$7,F357),1)*IF(Upgrades!$T$9="Stellar Coupling",POWER(Upgrades!$U$9,H357),1)*IF(Upgrades!$T$10="Stellar Coupling",POWER(Upgrades!$U$10,I357),1)*IF(Upgrades!$T$11="Stellar Coupling",POWER(Upgrades!$U$11,J357),1)*IF(Upgrades!$T$12="Stellar Coupling",POWER(Upgrades!$U$12,K357),1))+(IF(H357=0,0,(Upgrades!$J$9+H357*Upgrades!$K$9)*POWER(Upgrades!$L$9,H357)))*(IF(Upgrades!$T$6="Magnetosphere",POWER(Upgrades!$U$6,E357),1)*IF(Upgrades!$T$7="Magnetosphere",POWER(Upgrades!$U$7,F357),1)*IF(Upgrades!$T$8="Magnetosphere",POWER(Upgrades!$U$8,G357),1)*IF(Upgrades!$T$10="Magnetosphere",POWER(Upgrades!$U$10,I357),1)*IF(Upgrades!$T$11="Magnetosphere",POWER(Upgrades!$U$11,J357),1)*IF(Upgrades!$T$12="Magnetosphere",POWER(Upgrades!$U$12,K357),1))+(IF(I357=0,0,(Upgrades!$J$10+I357*Upgrades!$K$10)*POWER(Upgrades!$L$10,I357)))*(IF(Upgrades!$T$6="Orbital Resonance",POWER(Upgrades!$U$6,E357),1)*IF(Upgrades!$T$7="Orbital Resonance",POWER(Upgrades!$U$7,F357),1)*IF(Upgrades!$T$8="Orbital Resonance",POWER(Upgrades!$U$8,G357),1)*IF(Upgrades!$T$9="Orbital Resonance",POWER(Upgrades!$U$9,H357),1)*IF(Upgrades!$T$11="Orbital Resonance",POWER(Upgrades!$U$11,J357),1)*IF(Upgrades!$T$12="Orbital Resonance",POWER(Upgrades!$U$12,K357),1))+(IF(J357=0,0,(Upgrades!$J$11+J357*Upgrades!$K$11)*POWER(Upgrades!$L$11,J357)))*(IF(Upgrades!$T$6="Heliopause",POWER(Upgrades!$U$6,E357),1)*IF(Upgrades!$T$7="Heliopause",POWER(Upgrades!$U$7,F357),1)*IF(Upgrades!$T$8="Heliopause",POWER(Upgrades!$U$8,G357),1)*IF(Upgrades!$T$9="Heliopause",POWER(Upgrades!$U$9,H357),1)*IF(Upgrades!$T$10="Heliopause",POWER(Upgrades!$U$10,I357),1)*IF(Upgrades!$T$12="Heliopause",POWER(Upgrades!$U$12,K357),1))+(IF(K357=0,0,(Upgrades!$J$12+K357*Upgrades!$K$12)*POWER(Upgrades!$L$12,K357)))*(IF(Upgrades!$T$6="First Photons",POWER(Upgrades!$U$6,E357),1)*IF(Upgrades!$T$7="First Photons",POWER(Upgrades!$U$7,F357),1)*IF(Upgrades!$T$8="First Photons",POWER(Upgrades!$U$8,G357),1)*IF(Upgrades!$T$9="First Photons",POWER(Upgrades!$U$9,H357),1)*IF(Upgrades!$T$10="First Photons",POWER(Upgrades!$U$10,I357),1)*IF(Upgrades!$T$11="First Photons",POWER(Upgrades!$U$11,J357),1)))*POWER(Upgrades!$Q$6,E357)*POWER(Upgrades!$Q$7,F357)*POWER(Upgrades!$Q$8,G357)*POWER(Upgrades!$Q$9,H357)*POWER(Upgrades!$Q$10,I357)*POWER(Upgrades!$Q$11,J357)*POWER(Upgrades!$Q$12,K357)</f>
        <v>5.61</v>
      </c>
      <c r="N357" s="28" t="n">
        <f aca="false">((IF(E357=0,0,(Upgrades!$G$6+E357*Upgrades!$H$6)*POWER(Upgrades!$I$6,E357)))*(IF(Upgrades!$T$7="Solar Wind",POWER(Upgrades!$U$7,F357),1)*IF(Upgrades!$T$8="Solar Wind",POWER(Upgrades!$U$8,G357),1)*IF(Upgrades!$T$9="Solar Wind",POWER(Upgrades!$U$9,H357),1)*IF(Upgrades!$T$10="Solar Wind",POWER(Upgrades!$U$10,I357),1)*IF(Upgrades!$T$11="Solar Wind",POWER(Upgrades!$U$11,J357),1)*IF(Upgrades!$T$12="Solar Wind",POWER(Upgrades!$U$12,K357),1))+(IF(F357=0,0,(Upgrades!$G$7+F357*Upgrades!$H$7)*POWER(Upgrades!$I$7,F357)))*(IF(Upgrades!$T$6="Asteroid Belt",POWER(Upgrades!$U$6,E357),1)*IF(Upgrades!$T$8="Asteroid Belt",POWER(Upgrades!$U$8,G357),1)*IF(Upgrades!$T$9="Asteroid Belt",POWER(Upgrades!$U$9,H357),1)*IF(Upgrades!$T$10="Asteroid Belt",POWER(Upgrades!$U$10,I357),1)*IF(Upgrades!$T$11="Asteroid Belt",POWER(Upgrades!$U$11,J357),1)*IF(Upgrades!$T$12="Asteroid Belt",POWER(Upgrades!$U$12,K357),1))+(IF(G357=0,0,(Upgrades!$G$8+G357*Upgrades!$H$8)*POWER(Upgrades!$I$8,G357)))*(IF(Upgrades!$T$6="Stellar Coupling",POWER(Upgrades!$U$6,E357),1)*IF(Upgrades!$T$7="Stellar Coupling",POWER(Upgrades!$U$7,F357),1)*IF(Upgrades!$T$9="Stellar Coupling",POWER(Upgrades!$U$9,H357),1)*IF(Upgrades!$T$10="Stellar Coupling",POWER(Upgrades!$U$10,I357),1)*IF(Upgrades!$T$11="Stellar Coupling",POWER(Upgrades!$U$11,J357),1)*IF(Upgrades!$T$12="Stellar Coupling",POWER(Upgrades!$U$12,K357),1))+(IF(H357=0,0,(Upgrades!$G$9+H357*Upgrades!$H$9)*POWER(Upgrades!$I$9,H357)))*(IF(Upgrades!$T$6="Magnetosphere",POWER(Upgrades!$U$6,E357),1)*IF(Upgrades!$T$7="Magnetosphere",POWER(Upgrades!$U$7,F357),1)*IF(Upgrades!$T$8="Magnetosphere",POWER(Upgrades!$U$8,G357),1)*IF(Upgrades!$T$10="Magnetosphere",POWER(Upgrades!$U$10,I357),1)*IF(Upgrades!$T$11="Magnetosphere",POWER(Upgrades!$U$11,J357),1)*IF(Upgrades!$T$12="Magnetosphere",POWER(Upgrades!$U$12,K357),1))+(IF(I357=0,0,(Upgrades!$G$10+I357*Upgrades!$H$10)*POWER(Upgrades!$I$10,I357)))*(IF(Upgrades!$T$6="Orbital Resonance",POWER(Upgrades!$U$6,E357),1)*IF(Upgrades!$T$7="Orbital Resonance",POWER(Upgrades!$U$7,F357),1)*IF(Upgrades!$T$8="Orbital Resonance",POWER(Upgrades!$U$8,G357),1)*IF(Upgrades!$T$9="Orbital Resonance",POWER(Upgrades!$U$9,H357),1)*IF(Upgrades!$T$11="Orbital Resonance",POWER(Upgrades!$U$11,J357),1)*IF(Upgrades!$T$12="Orbital Resonance",POWER(Upgrades!$U$12,K357),1))+(IF(J357=0,0,(Upgrades!$G$11+J357*Upgrades!$H$11)*POWER(Upgrades!$I$11,J357)))*(IF(Upgrades!$T$6="Heliopause",POWER(Upgrades!$U$6,E357),1)*IF(Upgrades!$T$7="Heliopause",POWER(Upgrades!$U$7,F357),1)*IF(Upgrades!$T$8="Heliopause",POWER(Upgrades!$U$8,G357),1)*IF(Upgrades!$T$9="Heliopause",POWER(Upgrades!$U$9,H357),1)*IF(Upgrades!$T$10="Heliopause",POWER(Upgrades!$U$10,I357),1)*IF(Upgrades!$T$12="Heliopause",POWER(Upgrades!$U$12,K357),1))+(IF(K357=0,0,(Upgrades!$G$12+K357*Upgrades!$H$12)*POWER(Upgrades!$I$12,K357)))*(IF(Upgrades!$T$6="First Photons",POWER(Upgrades!$U$6,E357),1)*IF(Upgrades!$T$7="First Photons",POWER(Upgrades!$U$7,F357),1)*IF(Upgrades!$T$8="First Photons",POWER(Upgrades!$U$8,G357),1)*IF(Upgrades!$T$9="First Photons",POWER(Upgrades!$U$9,H357),1)*IF(Upgrades!$T$10="First Photons",POWER(Upgrades!$U$10,I357),1)*IF(Upgrades!$T$11="First Photons",POWER(Upgrades!$U$11,J357),1)))*POWER(Upgrades!$P$6,E357)*POWER(Upgrades!$P$7,F357)*POWER(Upgrades!$P$8,G357)*POWER(Upgrades!$P$9,H357)*POWER(Upgrades!$P$10,I357)*POWER(Upgrades!$P$11,J357)*POWER(Upgrades!$P$12,K357)</f>
        <v>11.2</v>
      </c>
      <c r="O357" s="28" t="n">
        <f aca="false">((IF(E357=0,0,(Upgrades!$M$6+E357*Upgrades!$N$6)*POWER(Upgrades!$O$6,E357)))*(IF(Upgrades!$T$7="Solar Wind",POWER(Upgrades!$U$7,F357),1)*IF(Upgrades!$T$8="Solar Wind",POWER(Upgrades!$U$8,G357),1)*IF(Upgrades!$T$9="Solar Wind",POWER(Upgrades!$U$9,H357),1)*IF(Upgrades!$T$10="Solar Wind",POWER(Upgrades!$U$10,I357),1)*IF(Upgrades!$T$11="Solar Wind",POWER(Upgrades!$U$11,J357),1)*IF(Upgrades!$T$12="Solar Wind",POWER(Upgrades!$U$12,K357),1))+(IF(F357=0,0,(Upgrades!$M$7+F357*Upgrades!$N$7)*POWER(Upgrades!$O$7,F357)))*(IF(Upgrades!$T$6="Asteroid Belt",POWER(Upgrades!$U$6,E357),1)*IF(Upgrades!$T$8="Asteroid Belt",POWER(Upgrades!$U$8,G357),1)*IF(Upgrades!$T$9="Asteroid Belt",POWER(Upgrades!$U$9,H357),1)*IF(Upgrades!$T$10="Asteroid Belt",POWER(Upgrades!$U$10,I357),1)*IF(Upgrades!$T$11="Asteroid Belt",POWER(Upgrades!$U$11,J357),1)*IF(Upgrades!$T$12="Asteroid Belt",POWER(Upgrades!$U$12,K357),1))+(IF(G357=0,0,(Upgrades!$M$8+G357*Upgrades!$N$8)*POWER(Upgrades!$O$8,G357)))*(IF(Upgrades!$T$6="Stellar Coupling",POWER(Upgrades!$U$6,E357),1)*IF(Upgrades!$T$7="Stellar Coupling",POWER(Upgrades!$U$7,F357),1)*IF(Upgrades!$T$9="Stellar Coupling",POWER(Upgrades!$U$9,H357),1)*IF(Upgrades!$T$10="Stellar Coupling",POWER(Upgrades!$U$10,I357),1)*IF(Upgrades!$T$11="Stellar Coupling",POWER(Upgrades!$U$11,J357),1)*IF(Upgrades!$T$12="Stellar Coupling",POWER(Upgrades!$U$12,K357),1))+(IF(H357=0,0,(Upgrades!$M$9+H357*Upgrades!$N$9)*POWER(Upgrades!$O$9,H357)))*(IF(Upgrades!$T$6="Magnetosphere",POWER(Upgrades!$U$6,E357),1)*IF(Upgrades!$T$7="Magnetosphere",POWER(Upgrades!$U$7,F357),1)*IF(Upgrades!$T$8="Magnetosphere",POWER(Upgrades!$U$8,G357),1)*IF(Upgrades!$T$10="Magnetosphere",POWER(Upgrades!$U$10,I357),1)*IF(Upgrades!$T$11="Magnetosphere",POWER(Upgrades!$U$11,J357),1)*IF(Upgrades!$T$12="Magnetosphere",POWER(Upgrades!$U$12,K357),1))+(IF(I357=0,0,(Upgrades!$M$10+I357*Upgrades!$N$10)*POWER(Upgrades!$O$10,I357)))*(IF(Upgrades!$T$6="Orbital Resonance",POWER(Upgrades!$U$6,E357),1)*IF(Upgrades!$T$7="Orbital Resonance",POWER(Upgrades!$U$7,F357),1)*IF(Upgrades!$T$8="Orbital Resonance",POWER(Upgrades!$U$8,G357),1)*IF(Upgrades!$T$9="Orbital Resonance",POWER(Upgrades!$U$9,H357),1)*IF(Upgrades!$T$11="Orbital Resonance",POWER(Upgrades!$U$11,J357),1)*IF(Upgrades!$T$12="Orbital Resonance",POWER(Upgrades!$U$12,K357),1))+(IF(J357=0,0,(Upgrades!$M$11+J357*Upgrades!$N$11)*POWER(Upgrades!$O$11,J357)))*(IF(Upgrades!$T$6="Heliopause",POWER(Upgrades!$U$6,E357),1)*IF(Upgrades!$T$7="Heliopause",POWER(Upgrades!$U$7,F357),1)*IF(Upgrades!$T$8="Heliopause",POWER(Upgrades!$U$8,G357),1)*IF(Upgrades!$T$9="Heliopause",POWER(Upgrades!$U$9,H357),1)*IF(Upgrades!$T$10="Heliopause",POWER(Upgrades!$U$10,I357),1)*IF(Upgrades!$T$12="Heliopause",POWER(Upgrades!$U$12,K357),1))+(IF(K357=0,0,(Upgrades!$M$12+K357*Upgrades!$N$12)*POWER(Upgrades!$O$12,K357)))*(IF(Upgrades!$T$6="First Photons",POWER(Upgrades!$U$6,E357),1)*IF(Upgrades!$T$7="First Photons",POWER(Upgrades!$U$7,F357),1)*IF(Upgrades!$T$8="First Photons",POWER(Upgrades!$U$8,G357),1)*IF(Upgrades!$T$9="First Photons",POWER(Upgrades!$U$9,H357),1)*IF(Upgrades!$T$10="First Photons",POWER(Upgrades!$U$10,I357),1)*IF(Upgrades!$T$11="First Photons",POWER(Upgrades!$U$11,J357),1)))*POWER(Upgrades!$R$6,E357)*POWER(Upgrades!$R$7,F357)*POWER(Upgrades!$R$8,G357)*POWER(Upgrades!$R$9,H357)*POWER(Upgrades!$R$10,I357)*POWER(Upgrades!$R$11,J357)*POWER(Upgrades!$R$12,K357)</f>
        <v>0</v>
      </c>
      <c r="P357" s="27" t="n">
        <f aca="false">IF(L357=1,0,M357*Parameters!$B$10/60*Parameters!$B$11*10)</f>
        <v>0</v>
      </c>
      <c r="Q357" s="27" t="n">
        <f aca="false">IF(L357=1,0,O357*M357*10)</f>
        <v>0</v>
      </c>
      <c r="R357" s="27" t="n">
        <f aca="false">IF(L357=1,0,N357*10)</f>
        <v>0</v>
      </c>
      <c r="S357" s="27" t="n">
        <f aca="false">P357+Q357+R357</f>
        <v>0</v>
      </c>
      <c r="T357" s="21" t="n">
        <f aca="false">C357+S357</f>
        <v>18.6730249835055</v>
      </c>
      <c r="U357" s="34" t="str">
        <f aca="false">AX357</f>
        <v/>
      </c>
      <c r="V357" s="21" t="n">
        <f aca="false">IF(U357="",0,IF(U357="transition",0,IF(U357="SW",AG357,IF(U357="AB",AH357,IF(U357="SC",AI357,IF(U357="Mag",AJ357,IF(U357="OR",AK357,IF(U357="HP",AL357,IF(U357="FP",AM357,0)))))))))</f>
        <v>0</v>
      </c>
      <c r="W357" s="27" t="n">
        <f aca="false">IF(U357="OR",Upgrades!$F$10,IF(U357="HP",Upgrades!$F$11,IF(U357="transition",-Parameters!$B$18,0)))</f>
        <v>0</v>
      </c>
      <c r="X357" s="21" t="n">
        <f aca="false">T357-V357</f>
        <v>18.6730249835055</v>
      </c>
      <c r="Y357" s="30" t="n">
        <f aca="false">M357*Parameters!$B$10/60*Parameters!$B$11+O357*M357+N357</f>
        <v>20.55</v>
      </c>
      <c r="Z357" s="35" t="str">
        <f aca="false">IF(U357="transition","→ Tier 2 (Stellar Neighborhood)",IF(U357="FP","First Photons — light begins, system quickens",IF(U357="HP","Heliopause acquired",IF(U357="OR","Orbital Resonance — passive multiplier active",IF(AND(AO357=1,L357=0,AN357&lt;&gt;1),"Cohesion ready (waiting on completionist upgrades)","")))))</f>
        <v/>
      </c>
      <c r="AA357" s="27" t="n">
        <f aca="false">(IF(E357=0,0,(Upgrades!$G$6+E357*Upgrades!$H$6)*POWER(Upgrades!$I$6,E357)))*(IF(Upgrades!$T$7="Solar Wind",POWER(Upgrades!$U$7,F357),1)*IF(Upgrades!$T$8="Solar Wind",POWER(Upgrades!$U$8,G357),1)*IF(Upgrades!$T$9="Solar Wind",POWER(Upgrades!$U$9,H357),1)*IF(Upgrades!$T$10="Solar Wind",POWER(Upgrades!$U$10,I357),1)*IF(Upgrades!$T$11="Solar Wind",POWER(Upgrades!$U$11,J357),1)*IF(Upgrades!$T$12="Solar Wind",POWER(Upgrades!$U$12,K357),1))*POWER(Upgrades!$P$6,E357)*POWER(Upgrades!$P$7,F357)*POWER(Upgrades!$P$8,G357)*POWER(Upgrades!$P$9,H357)*POWER(Upgrades!$P$10,I357)*POWER(Upgrades!$P$11,J357)*POWER(Upgrades!$P$12,K357)*60</f>
        <v>72</v>
      </c>
      <c r="AB357" s="27" t="n">
        <f aca="false">(IF(F357=0,0,(Upgrades!$G$7+F357*Upgrades!$H$7)*POWER(Upgrades!$I$7,F357)))*(IF(Upgrades!$T$6="Asteroid Belt",POWER(Upgrades!$U$6,E357),1)*IF(Upgrades!$T$8="Asteroid Belt",POWER(Upgrades!$U$8,G357),1)*IF(Upgrades!$T$9="Asteroid Belt",POWER(Upgrades!$U$9,H357),1)*IF(Upgrades!$T$10="Asteroid Belt",POWER(Upgrades!$U$10,I357),1)*IF(Upgrades!$T$11="Asteroid Belt",POWER(Upgrades!$U$11,J357),1)*IF(Upgrades!$T$12="Asteroid Belt",POWER(Upgrades!$U$12,K357),1))*POWER(Upgrades!$P$6,E357)*POWER(Upgrades!$P$7,F357)*POWER(Upgrades!$P$8,G357)*POWER(Upgrades!$P$9,H357)*POWER(Upgrades!$P$10,I357)*POWER(Upgrades!$P$11,J357)*POWER(Upgrades!$P$12,K357)*60</f>
        <v>150</v>
      </c>
      <c r="AC357" s="27" t="n">
        <f aca="false">(IF(G357=0,0,(Upgrades!$J$8+G357*Upgrades!$K$8)*POWER(Upgrades!$L$8,G357)))*(IF(Upgrades!$T$6="Stellar Coupling",POWER(Upgrades!$U$6,E357),1)*IF(Upgrades!$T$7="Stellar Coupling",POWER(Upgrades!$U$7,F357),1)*IF(Upgrades!$T$9="Stellar Coupling",POWER(Upgrades!$U$9,H357),1)*IF(Upgrades!$T$10="Stellar Coupling",POWER(Upgrades!$U$10,I357),1)*IF(Upgrades!$T$11="Stellar Coupling",POWER(Upgrades!$U$11,J357),1)*IF(Upgrades!$T$12="Stellar Coupling",POWER(Upgrades!$U$12,K357),1))*POWER(Upgrades!$Q$6,E357)*POWER(Upgrades!$Q$7,F357)*POWER(Upgrades!$Q$8,G357)*POWER(Upgrades!$Q$9,H357)*POWER(Upgrades!$Q$10,I357)*POWER(Upgrades!$Q$11,J357)*POWER(Upgrades!$Q$12,K357)*Parameters!$B$10*Parameters!$B$11</f>
        <v>441</v>
      </c>
      <c r="AD357" s="27" t="n">
        <f aca="false">(IF(H357=0,0,(Upgrades!$G$9+H357*Upgrades!$H$9)*POWER(Upgrades!$I$9,H357)))*(IF(Upgrades!$T$6="Magnetosphere",POWER(Upgrades!$U$6,E357),1)*IF(Upgrades!$T$7="Magnetosphere",POWER(Upgrades!$U$7,F357),1)*IF(Upgrades!$T$8="Magnetosphere",POWER(Upgrades!$U$8,G357),1)*IF(Upgrades!$T$10="Magnetosphere",POWER(Upgrades!$U$10,I357),1)*IF(Upgrades!$T$11="Magnetosphere",POWER(Upgrades!$U$11,J357),1)*IF(Upgrades!$T$12="Magnetosphere",POWER(Upgrades!$U$12,K357),1))*POWER(Upgrades!$P$6,E357)*POWER(Upgrades!$P$7,F357)*POWER(Upgrades!$P$8,G357)*POWER(Upgrades!$P$9,H357)*POWER(Upgrades!$P$10,I357)*POWER(Upgrades!$P$11,J357)*POWER(Upgrades!$P$12,K357)*60</f>
        <v>375</v>
      </c>
      <c r="AE357" s="27" t="n">
        <f aca="false">(IF(K357=0,0,(Upgrades!$G$12+K357*Upgrades!$H$12)*POWER(Upgrades!$I$12,K357)))*(IF(Upgrades!$T$6="First Photons",POWER(Upgrades!$U$6,E357),1)*IF(Upgrades!$T$7="First Photons",POWER(Upgrades!$U$7,F357),1)*IF(Upgrades!$T$8="First Photons",POWER(Upgrades!$U$8,G357),1)*IF(Upgrades!$T$9="First Photons",POWER(Upgrades!$U$9,H357),1)*IF(Upgrades!$T$10="First Photons",POWER(Upgrades!$U$10,I357),1)*IF(Upgrades!$T$11="First Photons",POWER(Upgrades!$U$11,J357),1))*POWER(Upgrades!$P$6,E357)*POWER(Upgrades!$P$7,F357)*POWER(Upgrades!$P$8,G357)*POWER(Upgrades!$P$9,H357)*POWER(Upgrades!$P$10,I357)*POWER(Upgrades!$P$11,J357)*POWER(Upgrades!$P$12,K357)*60</f>
        <v>75</v>
      </c>
      <c r="AF357" s="27" t="n">
        <f aca="false">Parameters!$B$9*POWER(Upgrades!$Q$6,E357)*POWER(Upgrades!$Q$7,F357)*POWER(Upgrades!$Q$8,G357)*POWER(Upgrades!$Q$9,H357)*POWER(Upgrades!$Q$10,I357)*POWER(Upgrades!$Q$11,J357)*POWER(Upgrades!$Q$12,K357)*(Parameters!$B$10*Parameters!$B$11+O357*60)</f>
        <v>120</v>
      </c>
      <c r="AG357" s="21" t="n">
        <f aca="false">IF(E357&gt;=Upgrades!$E$6,"",Upgrades!$C$6*POWER(Upgrades!$D$6,E357))</f>
        <v>37.4517507383159</v>
      </c>
      <c r="AH357" s="21" t="n">
        <f aca="false">IF(F357&gt;=Upgrades!$E$7,"",Upgrades!$C$7*POWER(Upgrades!$D$7,F357))</f>
        <v>80.9111547141581</v>
      </c>
      <c r="AI357" s="21" t="n">
        <f aca="false">IF(G357&gt;=Upgrades!$E$8,"",Upgrades!$C$8*POWER(Upgrades!$D$8,G357))</f>
        <v>231.9097088</v>
      </c>
      <c r="AJ357" s="21" t="str">
        <f aca="false">IF(H357&gt;=Upgrades!$E$9,"",Upgrades!$C$9*POWER(Upgrades!$D$9,H357))</f>
        <v/>
      </c>
      <c r="AK357" s="21" t="str">
        <f aca="false">IF(I357&gt;=Upgrades!$E$10,"",Upgrades!$C$10*POWER(Upgrades!$D$10,I357))</f>
        <v/>
      </c>
      <c r="AL357" s="21" t="str">
        <f aca="false">IF(J357&gt;=Upgrades!$E$11,"",Upgrades!$C$11*POWER(Upgrades!$D$11,J357))</f>
        <v/>
      </c>
      <c r="AM357" s="21" t="str">
        <f aca="false">IF(K357&gt;=Upgrades!$E$12,"",Upgrades!$C$12*POWER(Upgrades!$D$12,K357))</f>
        <v/>
      </c>
      <c r="AN357" s="26" t="str">
        <f aca="false">IF(AND(D357&gt;=Parameters!$B$18,(H357&gt;=Upgrades!$E$9)*(K357&gt;=Upgrades!$E$12)=1,L357=0),1,"")</f>
        <v/>
      </c>
      <c r="AO357" s="26" t="str">
        <f aca="false">IF(AND(D357&gt;=Parameters!$B$18,L357=0),1,"")</f>
        <v/>
      </c>
      <c r="AP357" s="21" t="n">
        <f aca="false">MIN(IF(ISNUMBER(AK357),AK357,9000000000000000),IF(ISNUMBER(AL357),AL357,9000000000000000),IF(ISNUMBER(AM357),AM357,9000000000000000))</f>
        <v>9000000000000000</v>
      </c>
      <c r="AQ357" s="21" t="n">
        <f aca="false">MIN(IF(ISNUMBER(AG357),AG357,9000000000000000),IF(ISNUMBER(AH357),AH357,9000000000000000),IF(ISNUMBER(AI357),AI357,9000000000000000),IF(ISNUMBER(AJ357),AJ357,9000000000000000))</f>
        <v>37.4517507383159</v>
      </c>
      <c r="AR357" s="32" t="b">
        <f aca="false">IF(AW357&gt;Parameters!$B$21*(MAX(IF(AND(NOT(AND(AO357=1,AN357&lt;&gt;1)),ISNUMBER(AG357),AG357&lt;=T357),AS357,0),IF(AND(NOT(AND(AO357=1,AN357&lt;&gt;1)),ISNUMBER(AH357),AH357&lt;=T357),AT357,0),IF(AND(NOT(AND(AO357=1,AN357&lt;&gt;1)),ISNUMBER(AI357),AI357&lt;=T357),AU357,0),IF(AND(ISNUMBER(AJ357),AJ357&lt;=T357),AV357,0))),TRUE(),FALSE())</f>
        <v>1</v>
      </c>
      <c r="AS357" s="33" t="n">
        <f aca="false">IFERROR(Upgrades!$H$6*(POWER(Upgrades!$P$6,E357)*POWER(Upgrades!$P$7,F357)*POWER(Upgrades!$P$8,G357)*POWER(Upgrades!$P$9,H357)*POWER(Upgrades!$P$10,I357)*POWER(Upgrades!$P$11,J357)*POWER(Upgrades!$P$12,K357))*(IF(Upgrades!$T$7="Solar Wind",POWER(Upgrades!$U$7,F357),1)*IF(Upgrades!$T$8="Solar Wind",POWER(Upgrades!$U$8,G357),1)*IF(Upgrades!$T$9="Solar Wind",POWER(Upgrades!$U$9,H357),1)*IF(Upgrades!$T$10="Solar Wind",POWER(Upgrades!$U$10,I357),1)*IF(Upgrades!$T$11="Solar Wind",POWER(Upgrades!$U$11,J357),1)*IF(Upgrades!$T$12="Solar Wind",POWER(Upgrades!$U$12,K357),1))/AG357,0)</f>
        <v>0.0026701021455238</v>
      </c>
      <c r="AT357" s="33" t="n">
        <f aca="false">IFERROR(Upgrades!$H$7*(POWER(Upgrades!$P$6,E357)*POWER(Upgrades!$P$7,F357)*POWER(Upgrades!$P$8,G357)*POWER(Upgrades!$P$9,H357)*POWER(Upgrades!$P$10,I357)*POWER(Upgrades!$P$11,J357)*POWER(Upgrades!$P$12,K357))*(IF(Upgrades!$T$6="Asteroid Belt",POWER(Upgrades!$U$6,E357),1)*IF(Upgrades!$T$8="Asteroid Belt",POWER(Upgrades!$U$8,G357),1)*IF(Upgrades!$T$9="Asteroid Belt",POWER(Upgrades!$U$9,H357),1)*IF(Upgrades!$T$10="Asteroid Belt",POWER(Upgrades!$U$10,I357),1)*IF(Upgrades!$T$11="Asteroid Belt",POWER(Upgrades!$U$11,J357),1)*IF(Upgrades!$T$12="Asteroid Belt",POWER(Upgrades!$U$12,K357),1))/AH357,0)</f>
        <v>0.00308980882652332</v>
      </c>
      <c r="AU357" s="33" t="n">
        <f aca="false">IFERROR(Upgrades!$K$8*(POWER(Upgrades!$Q$6,E357)*POWER(Upgrades!$Q$7,F357)*POWER(Upgrades!$Q$8,G357)*POWER(Upgrades!$Q$9,H357)*POWER(Upgrades!$Q$10,I357)*POWER(Upgrades!$Q$11,J357)*POWER(Upgrades!$Q$12,K357))*(IF(Upgrades!$T$6="Stellar Coupling",POWER(Upgrades!$U$6,E357),1)*IF(Upgrades!$T$7="Stellar Coupling",POWER(Upgrades!$U$7,F357),1)*IF(Upgrades!$T$9="Stellar Coupling",POWER(Upgrades!$U$9,H357),1)*IF(Upgrades!$T$10="Stellar Coupling",POWER(Upgrades!$U$10,I357),1)*IF(Upgrades!$T$11="Stellar Coupling",POWER(Upgrades!$U$11,J357),1)*IF(Upgrades!$T$12="Stellar Coupling",POWER(Upgrades!$U$12,K357),1))*Parameters!$B$10*Parameters!$B$11/60/AI357,0)</f>
        <v>0.00452762415783776</v>
      </c>
      <c r="AV357" s="33" t="n">
        <f aca="false">IFERROR(Upgrades!$H$9*(POWER(Upgrades!$P$6,E357)*POWER(Upgrades!$P$7,F357)*POWER(Upgrades!$P$8,G357)*POWER(Upgrades!$P$9,H357)*POWER(Upgrades!$P$10,I357)*POWER(Upgrades!$P$11,J357)*POWER(Upgrades!$P$12,K357))*(IF(Upgrades!$T$6="Magnetosphere",POWER(Upgrades!$U$6,E357),1)*IF(Upgrades!$T$7="Magnetosphere",POWER(Upgrades!$U$7,F357),1)*IF(Upgrades!$T$8="Magnetosphere",POWER(Upgrades!$U$8,G357),1)*IF(Upgrades!$T$10="Magnetosphere",POWER(Upgrades!$U$10,I357),1)*IF(Upgrades!$T$11="Magnetosphere",POWER(Upgrades!$U$11,J357),1)*IF(Upgrades!$T$12="Magnetosphere",POWER(Upgrades!$U$12,K357),1))/AJ357,0)</f>
        <v>0</v>
      </c>
      <c r="AW357" s="33" t="n">
        <f aca="false">MAX(IF(I357&gt;0,0,IFERROR(0.25*N357/Upgrades!$C$10,0)),IF(J357&gt;0,0,IFERROR(0.5*((IF(G357=0,0,(Upgrades!$J$8+G357*Upgrades!$K$8)*POWER(Upgrades!$L$8,G357)))*(IF(Upgrades!$T$6="Stellar Coupling",POWER(Upgrades!$U$6,E357),1)*IF(Upgrades!$T$7="Stellar Coupling",POWER(Upgrades!$U$7,F357),1)*IF(Upgrades!$T$9="Stellar Coupling",POWER(Upgrades!$U$9,H357),1)*IF(Upgrades!$T$10="Stellar Coupling",POWER(Upgrades!$U$10,I357),1)*IF(Upgrades!$T$11="Stellar Coupling",POWER(Upgrades!$U$11,J357),1)*IF(Upgrades!$T$12="Stellar Coupling",POWER(Upgrades!$U$12,K357),1))*(POWER(Upgrades!$Q$6,E357)*POWER(Upgrades!$Q$7,F357)*POWER(Upgrades!$Q$8,G357)*POWER(Upgrades!$Q$9,H357)*POWER(Upgrades!$Q$10,I357)*POWER(Upgrades!$Q$11,J357)*POWER(Upgrades!$Q$12,K357))*Parameters!$B$10*Parameters!$B$11/60)/Upgrades!$C$11,0)),IF(K357&gt;0,0,IFERROR((1*(POWER(Upgrades!$P$6,E357)*POWER(Upgrades!$P$7,F357)*POWER(Upgrades!$P$8,G357)*POWER(Upgrades!$P$9,H357)*POWER(Upgrades!$P$10,I357)*POWER(Upgrades!$P$11,J357)*POWER(Upgrades!$P$12,K357))+0.2*M357*Parameters!$B$10*Parameters!$B$11/60)/Upgrades!$C$12,0)),IF(AND(ISNUMBER(AG357),AG357&gt;T357),AS357,0),IF(AND(ISNUMBER(AH357),AH357&gt;T357),AT357,0),IF(AND(ISNUMBER(AI357),AI357&gt;T357),AU357,0),IF(AND(ISNUMBER(AJ357),AJ357&gt;T357),AV357,0))</f>
        <v>0.00452762415783776</v>
      </c>
      <c r="AX357" s="29" t="str">
        <f aca="false">IF(AN357=1,"transition",IF(MIN(IF(AND(I357=0,ISNUMBER(AK357),AK357&lt;=T357),AK357,9000000000000000),IF(AND(J357=0,ISNUMBER(AL357),AL357&lt;=T357),AL357,9000000000000000),IF(AND(K357=0,ISNUMBER(AM357),AM357&lt;=T357),AM357,9000000000000000))&lt;9000000000000000,IF(AND(AND(I357=0,ISNUMBER(AK357),AK357&lt;=T357),AK357=MIN(IF(AND(I357=0,ISNUMBER(AK357),AK357&lt;=T357),AK357,9000000000000000),IF(AND(J357=0,ISNUMBER(AL357),AL357&lt;=T357),AL357,9000000000000000),IF(AND(K357=0,ISNUMBER(AM357),AM357&lt;=T357),AM357,9000000000000000))),"OR",IF(AND(AND(J357=0,ISNUMBER(AL357),AL357&lt;=T357),AL357=MIN(IF(AND(I357=0,ISNUMBER(AK357),AK357&lt;=T357),AK357,9000000000000000),IF(AND(J357=0,ISNUMBER(AL357),AL357&lt;=T357),AL357,9000000000000000),IF(AND(K357=0,ISNUMBER(AM357),AM357&lt;=T357),AM357,9000000000000000))),"HP","FP")),IF(AR357=TRUE(),"",IF(MAX(IF(AND(NOT(AND(AO357=1,AN357&lt;&gt;1)),ISNUMBER(AG357),AG357&lt;=T357),AS357,0),IF(AND(NOT(AND(AO357=1,AN357&lt;&gt;1)),ISNUMBER(AH357),AH357&lt;=T357),AT357,0),IF(AND(NOT(AND(AO357=1,AN357&lt;&gt;1)),ISNUMBER(AI357),AI357&lt;=T357),AU357,0),IF(AND(ISNUMBER(AJ357),AJ357&lt;=T357),AV357,0))&lt;=0,"",IF(AND(IF(AND(NOT(AND(AO357=1,AN357&lt;&gt;1)),ISNUMBER(AG357),AG357&lt;=T357),AS357,0)&gt;0,IF(AND(NOT(AND(AO357=1,AN357&lt;&gt;1)),ISNUMBER(AG357),AG357&lt;=T357),AS357,0)=MAX(IF(AND(NOT(AND(AO357=1,AN357&lt;&gt;1)),ISNUMBER(AG357),AG357&lt;=T357),AS357,0),IF(AND(NOT(AND(AO357=1,AN357&lt;&gt;1)),ISNUMBER(AH357),AH357&lt;=T357),AT357,0),IF(AND(NOT(AND(AO357=1,AN357&lt;&gt;1)),ISNUMBER(AI357),AI357&lt;=T357),AU357,0),IF(AND(ISNUMBER(AJ357),AJ357&lt;=T357),AV357,0))),"SW",IF(AND(IF(AND(NOT(AND(AO357=1,AN357&lt;&gt;1)),ISNUMBER(AH357),AH357&lt;=T357),AT357,0)&gt;0,IF(AND(NOT(AND(AO357=1,AN357&lt;&gt;1)),ISNUMBER(AH357),AH357&lt;=T357),AT357,0)=MAX(IF(AND(NOT(AND(AO357=1,AN357&lt;&gt;1)),ISNUMBER(AG357),AG357&lt;=T357),AS357,0),IF(AND(NOT(AND(AO357=1,AN357&lt;&gt;1)),ISNUMBER(AH357),AH357&lt;=T357),AT357,0),IF(AND(NOT(AND(AO357=1,AN357&lt;&gt;1)),ISNUMBER(AI357),AI357&lt;=T357),AU357,0),IF(AND(ISNUMBER(AJ357),AJ357&lt;=T357),AV357,0))),"AB",IF(AND(IF(AND(NOT(AND(AO357=1,AN357&lt;&gt;1)),ISNUMBER(AI357),AI357&lt;=T357),AU357,0)&gt;0,IF(AND(NOT(AND(AO357=1,AN357&lt;&gt;1)),ISNUMBER(AI357),AI357&lt;=T357),AU357,0)=MAX(IF(AND(NOT(AND(AO357=1,AN357&lt;&gt;1)),ISNUMBER(AG357),AG357&lt;=T357),AS357,0),IF(AND(NOT(AND(AO357=1,AN357&lt;&gt;1)),ISNUMBER(AH357),AH357&lt;=T357),AT357,0),IF(AND(NOT(AND(AO357=1,AN357&lt;&gt;1)),ISNUMBER(AI357),AI357&lt;=T357),AU357,0),IF(AND(ISNUMBER(AJ357),AJ357&lt;=T357),AV357,0))),"SC","Mag")))))))</f>
        <v/>
      </c>
    </row>
    <row r="358" customFormat="false" ht="15" hidden="false" customHeight="false" outlineLevel="0" collapsed="false">
      <c r="A358" s="26" t="n">
        <v>353</v>
      </c>
      <c r="B358" s="27" t="n">
        <f aca="false">A358*10/60</f>
        <v>58.8333333333333</v>
      </c>
      <c r="C358" s="21" t="n">
        <f aca="false">X357</f>
        <v>18.6730249835055</v>
      </c>
      <c r="D358" s="27" t="n">
        <f aca="false">D357+W357</f>
        <v>0</v>
      </c>
      <c r="E358" s="26" t="n">
        <f aca="false">E357+IF(U357="SW",1,0)</f>
        <v>12</v>
      </c>
      <c r="F358" s="26" t="n">
        <f aca="false">F357+IF(U357="AB",1,0)</f>
        <v>10</v>
      </c>
      <c r="G358" s="26" t="n">
        <f aca="false">G357+IF(U357="SC",1,0)</f>
        <v>7</v>
      </c>
      <c r="H358" s="26" t="n">
        <f aca="false">H357+IF(U357="Mag",1,0)</f>
        <v>5</v>
      </c>
      <c r="I358" s="26" t="n">
        <f aca="false">MAX(I357,IF(U357="OR",1,0))</f>
        <v>1</v>
      </c>
      <c r="J358" s="26" t="n">
        <f aca="false">MAX(J357,IF(U357="HP",1,0))</f>
        <v>1</v>
      </c>
      <c r="K358" s="26" t="n">
        <f aca="false">MAX(K357,IF(U357="FP",1,0))</f>
        <v>1</v>
      </c>
      <c r="L358" s="26" t="n">
        <f aca="false">MAX(L357,IF(U357="transition",1,0))</f>
        <v>1</v>
      </c>
      <c r="M358" s="28" t="n">
        <f aca="false">(Parameters!$B$9+(IF(E358=0,0,(Upgrades!$J$6+E358*Upgrades!$K$6)*POWER(Upgrades!$L$6,E358)))*(IF(Upgrades!$T$7="Solar Wind",POWER(Upgrades!$U$7,F358),1)*IF(Upgrades!$T$8="Solar Wind",POWER(Upgrades!$U$8,G358),1)*IF(Upgrades!$T$9="Solar Wind",POWER(Upgrades!$U$9,H358),1)*IF(Upgrades!$T$10="Solar Wind",POWER(Upgrades!$U$10,I358),1)*IF(Upgrades!$T$11="Solar Wind",POWER(Upgrades!$U$11,J358),1)*IF(Upgrades!$T$12="Solar Wind",POWER(Upgrades!$U$12,K358),1))+(IF(F358=0,0,(Upgrades!$J$7+F358*Upgrades!$K$7)*POWER(Upgrades!$L$7,F358)))*(IF(Upgrades!$T$6="Asteroid Belt",POWER(Upgrades!$U$6,E358),1)*IF(Upgrades!$T$8="Asteroid Belt",POWER(Upgrades!$U$8,G358),1)*IF(Upgrades!$T$9="Asteroid Belt",POWER(Upgrades!$U$9,H358),1)*IF(Upgrades!$T$10="Asteroid Belt",POWER(Upgrades!$U$10,I358),1)*IF(Upgrades!$T$11="Asteroid Belt",POWER(Upgrades!$U$11,J358),1)*IF(Upgrades!$T$12="Asteroid Belt",POWER(Upgrades!$U$12,K358),1))+(IF(G358=0,0,(Upgrades!$J$8+G358*Upgrades!$K$8)*POWER(Upgrades!$L$8,G358)))*(IF(Upgrades!$T$6="Stellar Coupling",POWER(Upgrades!$U$6,E358),1)*IF(Upgrades!$T$7="Stellar Coupling",POWER(Upgrades!$U$7,F358),1)*IF(Upgrades!$T$9="Stellar Coupling",POWER(Upgrades!$U$9,H358),1)*IF(Upgrades!$T$10="Stellar Coupling",POWER(Upgrades!$U$10,I358),1)*IF(Upgrades!$T$11="Stellar Coupling",POWER(Upgrades!$U$11,J358),1)*IF(Upgrades!$T$12="Stellar Coupling",POWER(Upgrades!$U$12,K358),1))+(IF(H358=0,0,(Upgrades!$J$9+H358*Upgrades!$K$9)*POWER(Upgrades!$L$9,H358)))*(IF(Upgrades!$T$6="Magnetosphere",POWER(Upgrades!$U$6,E358),1)*IF(Upgrades!$T$7="Magnetosphere",POWER(Upgrades!$U$7,F358),1)*IF(Upgrades!$T$8="Magnetosphere",POWER(Upgrades!$U$8,G358),1)*IF(Upgrades!$T$10="Magnetosphere",POWER(Upgrades!$U$10,I358),1)*IF(Upgrades!$T$11="Magnetosphere",POWER(Upgrades!$U$11,J358),1)*IF(Upgrades!$T$12="Magnetosphere",POWER(Upgrades!$U$12,K358),1))+(IF(I358=0,0,(Upgrades!$J$10+I358*Upgrades!$K$10)*POWER(Upgrades!$L$10,I358)))*(IF(Upgrades!$T$6="Orbital Resonance",POWER(Upgrades!$U$6,E358),1)*IF(Upgrades!$T$7="Orbital Resonance",POWER(Upgrades!$U$7,F358),1)*IF(Upgrades!$T$8="Orbital Resonance",POWER(Upgrades!$U$8,G358),1)*IF(Upgrades!$T$9="Orbital Resonance",POWER(Upgrades!$U$9,H358),1)*IF(Upgrades!$T$11="Orbital Resonance",POWER(Upgrades!$U$11,J358),1)*IF(Upgrades!$T$12="Orbital Resonance",POWER(Upgrades!$U$12,K358),1))+(IF(J358=0,0,(Upgrades!$J$11+J358*Upgrades!$K$11)*POWER(Upgrades!$L$11,J358)))*(IF(Upgrades!$T$6="Heliopause",POWER(Upgrades!$U$6,E358),1)*IF(Upgrades!$T$7="Heliopause",POWER(Upgrades!$U$7,F358),1)*IF(Upgrades!$T$8="Heliopause",POWER(Upgrades!$U$8,G358),1)*IF(Upgrades!$T$9="Heliopause",POWER(Upgrades!$U$9,H358),1)*IF(Upgrades!$T$10="Heliopause",POWER(Upgrades!$U$10,I358),1)*IF(Upgrades!$T$12="Heliopause",POWER(Upgrades!$U$12,K358),1))+(IF(K358=0,0,(Upgrades!$J$12+K358*Upgrades!$K$12)*POWER(Upgrades!$L$12,K358)))*(IF(Upgrades!$T$6="First Photons",POWER(Upgrades!$U$6,E358),1)*IF(Upgrades!$T$7="First Photons",POWER(Upgrades!$U$7,F358),1)*IF(Upgrades!$T$8="First Photons",POWER(Upgrades!$U$8,G358),1)*IF(Upgrades!$T$9="First Photons",POWER(Upgrades!$U$9,H358),1)*IF(Upgrades!$T$10="First Photons",POWER(Upgrades!$U$10,I358),1)*IF(Upgrades!$T$11="First Photons",POWER(Upgrades!$U$11,J358),1)))*POWER(Upgrades!$Q$6,E358)*POWER(Upgrades!$Q$7,F358)*POWER(Upgrades!$Q$8,G358)*POWER(Upgrades!$Q$9,H358)*POWER(Upgrades!$Q$10,I358)*POWER(Upgrades!$Q$11,J358)*POWER(Upgrades!$Q$12,K358)</f>
        <v>5.61</v>
      </c>
      <c r="N358" s="28" t="n">
        <f aca="false">((IF(E358=0,0,(Upgrades!$G$6+E358*Upgrades!$H$6)*POWER(Upgrades!$I$6,E358)))*(IF(Upgrades!$T$7="Solar Wind",POWER(Upgrades!$U$7,F358),1)*IF(Upgrades!$T$8="Solar Wind",POWER(Upgrades!$U$8,G358),1)*IF(Upgrades!$T$9="Solar Wind",POWER(Upgrades!$U$9,H358),1)*IF(Upgrades!$T$10="Solar Wind",POWER(Upgrades!$U$10,I358),1)*IF(Upgrades!$T$11="Solar Wind",POWER(Upgrades!$U$11,J358),1)*IF(Upgrades!$T$12="Solar Wind",POWER(Upgrades!$U$12,K358),1))+(IF(F358=0,0,(Upgrades!$G$7+F358*Upgrades!$H$7)*POWER(Upgrades!$I$7,F358)))*(IF(Upgrades!$T$6="Asteroid Belt",POWER(Upgrades!$U$6,E358),1)*IF(Upgrades!$T$8="Asteroid Belt",POWER(Upgrades!$U$8,G358),1)*IF(Upgrades!$T$9="Asteroid Belt",POWER(Upgrades!$U$9,H358),1)*IF(Upgrades!$T$10="Asteroid Belt",POWER(Upgrades!$U$10,I358),1)*IF(Upgrades!$T$11="Asteroid Belt",POWER(Upgrades!$U$11,J358),1)*IF(Upgrades!$T$12="Asteroid Belt",POWER(Upgrades!$U$12,K358),1))+(IF(G358=0,0,(Upgrades!$G$8+G358*Upgrades!$H$8)*POWER(Upgrades!$I$8,G358)))*(IF(Upgrades!$T$6="Stellar Coupling",POWER(Upgrades!$U$6,E358),1)*IF(Upgrades!$T$7="Stellar Coupling",POWER(Upgrades!$U$7,F358),1)*IF(Upgrades!$T$9="Stellar Coupling",POWER(Upgrades!$U$9,H358),1)*IF(Upgrades!$T$10="Stellar Coupling",POWER(Upgrades!$U$10,I358),1)*IF(Upgrades!$T$11="Stellar Coupling",POWER(Upgrades!$U$11,J358),1)*IF(Upgrades!$T$12="Stellar Coupling",POWER(Upgrades!$U$12,K358),1))+(IF(H358=0,0,(Upgrades!$G$9+H358*Upgrades!$H$9)*POWER(Upgrades!$I$9,H358)))*(IF(Upgrades!$T$6="Magnetosphere",POWER(Upgrades!$U$6,E358),1)*IF(Upgrades!$T$7="Magnetosphere",POWER(Upgrades!$U$7,F358),1)*IF(Upgrades!$T$8="Magnetosphere",POWER(Upgrades!$U$8,G358),1)*IF(Upgrades!$T$10="Magnetosphere",POWER(Upgrades!$U$10,I358),1)*IF(Upgrades!$T$11="Magnetosphere",POWER(Upgrades!$U$11,J358),1)*IF(Upgrades!$T$12="Magnetosphere",POWER(Upgrades!$U$12,K358),1))+(IF(I358=0,0,(Upgrades!$G$10+I358*Upgrades!$H$10)*POWER(Upgrades!$I$10,I358)))*(IF(Upgrades!$T$6="Orbital Resonance",POWER(Upgrades!$U$6,E358),1)*IF(Upgrades!$T$7="Orbital Resonance",POWER(Upgrades!$U$7,F358),1)*IF(Upgrades!$T$8="Orbital Resonance",POWER(Upgrades!$U$8,G358),1)*IF(Upgrades!$T$9="Orbital Resonance",POWER(Upgrades!$U$9,H358),1)*IF(Upgrades!$T$11="Orbital Resonance",POWER(Upgrades!$U$11,J358),1)*IF(Upgrades!$T$12="Orbital Resonance",POWER(Upgrades!$U$12,K358),1))+(IF(J358=0,0,(Upgrades!$G$11+J358*Upgrades!$H$11)*POWER(Upgrades!$I$11,J358)))*(IF(Upgrades!$T$6="Heliopause",POWER(Upgrades!$U$6,E358),1)*IF(Upgrades!$T$7="Heliopause",POWER(Upgrades!$U$7,F358),1)*IF(Upgrades!$T$8="Heliopause",POWER(Upgrades!$U$8,G358),1)*IF(Upgrades!$T$9="Heliopause",POWER(Upgrades!$U$9,H358),1)*IF(Upgrades!$T$10="Heliopause",POWER(Upgrades!$U$10,I358),1)*IF(Upgrades!$T$12="Heliopause",POWER(Upgrades!$U$12,K358),1))+(IF(K358=0,0,(Upgrades!$G$12+K358*Upgrades!$H$12)*POWER(Upgrades!$I$12,K358)))*(IF(Upgrades!$T$6="First Photons",POWER(Upgrades!$U$6,E358),1)*IF(Upgrades!$T$7="First Photons",POWER(Upgrades!$U$7,F358),1)*IF(Upgrades!$T$8="First Photons",POWER(Upgrades!$U$8,G358),1)*IF(Upgrades!$T$9="First Photons",POWER(Upgrades!$U$9,H358),1)*IF(Upgrades!$T$10="First Photons",POWER(Upgrades!$U$10,I358),1)*IF(Upgrades!$T$11="First Photons",POWER(Upgrades!$U$11,J358),1)))*POWER(Upgrades!$P$6,E358)*POWER(Upgrades!$P$7,F358)*POWER(Upgrades!$P$8,G358)*POWER(Upgrades!$P$9,H358)*POWER(Upgrades!$P$10,I358)*POWER(Upgrades!$P$11,J358)*POWER(Upgrades!$P$12,K358)</f>
        <v>11.2</v>
      </c>
      <c r="O358" s="28" t="n">
        <f aca="false">((IF(E358=0,0,(Upgrades!$M$6+E358*Upgrades!$N$6)*POWER(Upgrades!$O$6,E358)))*(IF(Upgrades!$T$7="Solar Wind",POWER(Upgrades!$U$7,F358),1)*IF(Upgrades!$T$8="Solar Wind",POWER(Upgrades!$U$8,G358),1)*IF(Upgrades!$T$9="Solar Wind",POWER(Upgrades!$U$9,H358),1)*IF(Upgrades!$T$10="Solar Wind",POWER(Upgrades!$U$10,I358),1)*IF(Upgrades!$T$11="Solar Wind",POWER(Upgrades!$U$11,J358),1)*IF(Upgrades!$T$12="Solar Wind",POWER(Upgrades!$U$12,K358),1))+(IF(F358=0,0,(Upgrades!$M$7+F358*Upgrades!$N$7)*POWER(Upgrades!$O$7,F358)))*(IF(Upgrades!$T$6="Asteroid Belt",POWER(Upgrades!$U$6,E358),1)*IF(Upgrades!$T$8="Asteroid Belt",POWER(Upgrades!$U$8,G358),1)*IF(Upgrades!$T$9="Asteroid Belt",POWER(Upgrades!$U$9,H358),1)*IF(Upgrades!$T$10="Asteroid Belt",POWER(Upgrades!$U$10,I358),1)*IF(Upgrades!$T$11="Asteroid Belt",POWER(Upgrades!$U$11,J358),1)*IF(Upgrades!$T$12="Asteroid Belt",POWER(Upgrades!$U$12,K358),1))+(IF(G358=0,0,(Upgrades!$M$8+G358*Upgrades!$N$8)*POWER(Upgrades!$O$8,G358)))*(IF(Upgrades!$T$6="Stellar Coupling",POWER(Upgrades!$U$6,E358),1)*IF(Upgrades!$T$7="Stellar Coupling",POWER(Upgrades!$U$7,F358),1)*IF(Upgrades!$T$9="Stellar Coupling",POWER(Upgrades!$U$9,H358),1)*IF(Upgrades!$T$10="Stellar Coupling",POWER(Upgrades!$U$10,I358),1)*IF(Upgrades!$T$11="Stellar Coupling",POWER(Upgrades!$U$11,J358),1)*IF(Upgrades!$T$12="Stellar Coupling",POWER(Upgrades!$U$12,K358),1))+(IF(H358=0,0,(Upgrades!$M$9+H358*Upgrades!$N$9)*POWER(Upgrades!$O$9,H358)))*(IF(Upgrades!$T$6="Magnetosphere",POWER(Upgrades!$U$6,E358),1)*IF(Upgrades!$T$7="Magnetosphere",POWER(Upgrades!$U$7,F358),1)*IF(Upgrades!$T$8="Magnetosphere",POWER(Upgrades!$U$8,G358),1)*IF(Upgrades!$T$10="Magnetosphere",POWER(Upgrades!$U$10,I358),1)*IF(Upgrades!$T$11="Magnetosphere",POWER(Upgrades!$U$11,J358),1)*IF(Upgrades!$T$12="Magnetosphere",POWER(Upgrades!$U$12,K358),1))+(IF(I358=0,0,(Upgrades!$M$10+I358*Upgrades!$N$10)*POWER(Upgrades!$O$10,I358)))*(IF(Upgrades!$T$6="Orbital Resonance",POWER(Upgrades!$U$6,E358),1)*IF(Upgrades!$T$7="Orbital Resonance",POWER(Upgrades!$U$7,F358),1)*IF(Upgrades!$T$8="Orbital Resonance",POWER(Upgrades!$U$8,G358),1)*IF(Upgrades!$T$9="Orbital Resonance",POWER(Upgrades!$U$9,H358),1)*IF(Upgrades!$T$11="Orbital Resonance",POWER(Upgrades!$U$11,J358),1)*IF(Upgrades!$T$12="Orbital Resonance",POWER(Upgrades!$U$12,K358),1))+(IF(J358=0,0,(Upgrades!$M$11+J358*Upgrades!$N$11)*POWER(Upgrades!$O$11,J358)))*(IF(Upgrades!$T$6="Heliopause",POWER(Upgrades!$U$6,E358),1)*IF(Upgrades!$T$7="Heliopause",POWER(Upgrades!$U$7,F358),1)*IF(Upgrades!$T$8="Heliopause",POWER(Upgrades!$U$8,G358),1)*IF(Upgrades!$T$9="Heliopause",POWER(Upgrades!$U$9,H358),1)*IF(Upgrades!$T$10="Heliopause",POWER(Upgrades!$U$10,I358),1)*IF(Upgrades!$T$12="Heliopause",POWER(Upgrades!$U$12,K358),1))+(IF(K358=0,0,(Upgrades!$M$12+K358*Upgrades!$N$12)*POWER(Upgrades!$O$12,K358)))*(IF(Upgrades!$T$6="First Photons",POWER(Upgrades!$U$6,E358),1)*IF(Upgrades!$T$7="First Photons",POWER(Upgrades!$U$7,F358),1)*IF(Upgrades!$T$8="First Photons",POWER(Upgrades!$U$8,G358),1)*IF(Upgrades!$T$9="First Photons",POWER(Upgrades!$U$9,H358),1)*IF(Upgrades!$T$10="First Photons",POWER(Upgrades!$U$10,I358),1)*IF(Upgrades!$T$11="First Photons",POWER(Upgrades!$U$11,J358),1)))*POWER(Upgrades!$R$6,E358)*POWER(Upgrades!$R$7,F358)*POWER(Upgrades!$R$8,G358)*POWER(Upgrades!$R$9,H358)*POWER(Upgrades!$R$10,I358)*POWER(Upgrades!$R$11,J358)*POWER(Upgrades!$R$12,K358)</f>
        <v>0</v>
      </c>
      <c r="P358" s="27" t="n">
        <f aca="false">IF(L358=1,0,M358*Parameters!$B$10/60*Parameters!$B$11*10)</f>
        <v>0</v>
      </c>
      <c r="Q358" s="27" t="n">
        <f aca="false">IF(L358=1,0,O358*M358*10)</f>
        <v>0</v>
      </c>
      <c r="R358" s="27" t="n">
        <f aca="false">IF(L358=1,0,N358*10)</f>
        <v>0</v>
      </c>
      <c r="S358" s="27" t="n">
        <f aca="false">P358+Q358+R358</f>
        <v>0</v>
      </c>
      <c r="T358" s="21" t="n">
        <f aca="false">C358+S358</f>
        <v>18.6730249835055</v>
      </c>
      <c r="U358" s="34" t="str">
        <f aca="false">AX358</f>
        <v/>
      </c>
      <c r="V358" s="21" t="n">
        <f aca="false">IF(U358="",0,IF(U358="transition",0,IF(U358="SW",AG358,IF(U358="AB",AH358,IF(U358="SC",AI358,IF(U358="Mag",AJ358,IF(U358="OR",AK358,IF(U358="HP",AL358,IF(U358="FP",AM358,0)))))))))</f>
        <v>0</v>
      </c>
      <c r="W358" s="27" t="n">
        <f aca="false">IF(U358="OR",Upgrades!$F$10,IF(U358="HP",Upgrades!$F$11,IF(U358="transition",-Parameters!$B$18,0)))</f>
        <v>0</v>
      </c>
      <c r="X358" s="21" t="n">
        <f aca="false">T358-V358</f>
        <v>18.6730249835055</v>
      </c>
      <c r="Y358" s="30" t="n">
        <f aca="false">M358*Parameters!$B$10/60*Parameters!$B$11+O358*M358+N358</f>
        <v>20.55</v>
      </c>
      <c r="Z358" s="35" t="str">
        <f aca="false">IF(U358="transition","→ Tier 2 (Stellar Neighborhood)",IF(U358="FP","First Photons — light begins, system quickens",IF(U358="HP","Heliopause acquired",IF(U358="OR","Orbital Resonance — passive multiplier active",IF(AND(AO358=1,L358=0,AN358&lt;&gt;1),"Cohesion ready (waiting on completionist upgrades)","")))))</f>
        <v/>
      </c>
      <c r="AA358" s="27" t="n">
        <f aca="false">(IF(E358=0,0,(Upgrades!$G$6+E358*Upgrades!$H$6)*POWER(Upgrades!$I$6,E358)))*(IF(Upgrades!$T$7="Solar Wind",POWER(Upgrades!$U$7,F358),1)*IF(Upgrades!$T$8="Solar Wind",POWER(Upgrades!$U$8,G358),1)*IF(Upgrades!$T$9="Solar Wind",POWER(Upgrades!$U$9,H358),1)*IF(Upgrades!$T$10="Solar Wind",POWER(Upgrades!$U$10,I358),1)*IF(Upgrades!$T$11="Solar Wind",POWER(Upgrades!$U$11,J358),1)*IF(Upgrades!$T$12="Solar Wind",POWER(Upgrades!$U$12,K358),1))*POWER(Upgrades!$P$6,E358)*POWER(Upgrades!$P$7,F358)*POWER(Upgrades!$P$8,G358)*POWER(Upgrades!$P$9,H358)*POWER(Upgrades!$P$10,I358)*POWER(Upgrades!$P$11,J358)*POWER(Upgrades!$P$12,K358)*60</f>
        <v>72</v>
      </c>
      <c r="AB358" s="27" t="n">
        <f aca="false">(IF(F358=0,0,(Upgrades!$G$7+F358*Upgrades!$H$7)*POWER(Upgrades!$I$7,F358)))*(IF(Upgrades!$T$6="Asteroid Belt",POWER(Upgrades!$U$6,E358),1)*IF(Upgrades!$T$8="Asteroid Belt",POWER(Upgrades!$U$8,G358),1)*IF(Upgrades!$T$9="Asteroid Belt",POWER(Upgrades!$U$9,H358),1)*IF(Upgrades!$T$10="Asteroid Belt",POWER(Upgrades!$U$10,I358),1)*IF(Upgrades!$T$11="Asteroid Belt",POWER(Upgrades!$U$11,J358),1)*IF(Upgrades!$T$12="Asteroid Belt",POWER(Upgrades!$U$12,K358),1))*POWER(Upgrades!$P$6,E358)*POWER(Upgrades!$P$7,F358)*POWER(Upgrades!$P$8,G358)*POWER(Upgrades!$P$9,H358)*POWER(Upgrades!$P$10,I358)*POWER(Upgrades!$P$11,J358)*POWER(Upgrades!$P$12,K358)*60</f>
        <v>150</v>
      </c>
      <c r="AC358" s="27" t="n">
        <f aca="false">(IF(G358=0,0,(Upgrades!$J$8+G358*Upgrades!$K$8)*POWER(Upgrades!$L$8,G358)))*(IF(Upgrades!$T$6="Stellar Coupling",POWER(Upgrades!$U$6,E358),1)*IF(Upgrades!$T$7="Stellar Coupling",POWER(Upgrades!$U$7,F358),1)*IF(Upgrades!$T$9="Stellar Coupling",POWER(Upgrades!$U$9,H358),1)*IF(Upgrades!$T$10="Stellar Coupling",POWER(Upgrades!$U$10,I358),1)*IF(Upgrades!$T$11="Stellar Coupling",POWER(Upgrades!$U$11,J358),1)*IF(Upgrades!$T$12="Stellar Coupling",POWER(Upgrades!$U$12,K358),1))*POWER(Upgrades!$Q$6,E358)*POWER(Upgrades!$Q$7,F358)*POWER(Upgrades!$Q$8,G358)*POWER(Upgrades!$Q$9,H358)*POWER(Upgrades!$Q$10,I358)*POWER(Upgrades!$Q$11,J358)*POWER(Upgrades!$Q$12,K358)*Parameters!$B$10*Parameters!$B$11</f>
        <v>441</v>
      </c>
      <c r="AD358" s="27" t="n">
        <f aca="false">(IF(H358=0,0,(Upgrades!$G$9+H358*Upgrades!$H$9)*POWER(Upgrades!$I$9,H358)))*(IF(Upgrades!$T$6="Magnetosphere",POWER(Upgrades!$U$6,E358),1)*IF(Upgrades!$T$7="Magnetosphere",POWER(Upgrades!$U$7,F358),1)*IF(Upgrades!$T$8="Magnetosphere",POWER(Upgrades!$U$8,G358),1)*IF(Upgrades!$T$10="Magnetosphere",POWER(Upgrades!$U$10,I358),1)*IF(Upgrades!$T$11="Magnetosphere",POWER(Upgrades!$U$11,J358),1)*IF(Upgrades!$T$12="Magnetosphere",POWER(Upgrades!$U$12,K358),1))*POWER(Upgrades!$P$6,E358)*POWER(Upgrades!$P$7,F358)*POWER(Upgrades!$P$8,G358)*POWER(Upgrades!$P$9,H358)*POWER(Upgrades!$P$10,I358)*POWER(Upgrades!$P$11,J358)*POWER(Upgrades!$P$12,K358)*60</f>
        <v>375</v>
      </c>
      <c r="AE358" s="27" t="n">
        <f aca="false">(IF(K358=0,0,(Upgrades!$G$12+K358*Upgrades!$H$12)*POWER(Upgrades!$I$12,K358)))*(IF(Upgrades!$T$6="First Photons",POWER(Upgrades!$U$6,E358),1)*IF(Upgrades!$T$7="First Photons",POWER(Upgrades!$U$7,F358),1)*IF(Upgrades!$T$8="First Photons",POWER(Upgrades!$U$8,G358),1)*IF(Upgrades!$T$9="First Photons",POWER(Upgrades!$U$9,H358),1)*IF(Upgrades!$T$10="First Photons",POWER(Upgrades!$U$10,I358),1)*IF(Upgrades!$T$11="First Photons",POWER(Upgrades!$U$11,J358),1))*POWER(Upgrades!$P$6,E358)*POWER(Upgrades!$P$7,F358)*POWER(Upgrades!$P$8,G358)*POWER(Upgrades!$P$9,H358)*POWER(Upgrades!$P$10,I358)*POWER(Upgrades!$P$11,J358)*POWER(Upgrades!$P$12,K358)*60</f>
        <v>75</v>
      </c>
      <c r="AF358" s="27" t="n">
        <f aca="false">Parameters!$B$9*POWER(Upgrades!$Q$6,E358)*POWER(Upgrades!$Q$7,F358)*POWER(Upgrades!$Q$8,G358)*POWER(Upgrades!$Q$9,H358)*POWER(Upgrades!$Q$10,I358)*POWER(Upgrades!$Q$11,J358)*POWER(Upgrades!$Q$12,K358)*(Parameters!$B$10*Parameters!$B$11+O358*60)</f>
        <v>120</v>
      </c>
      <c r="AG358" s="21" t="n">
        <f aca="false">IF(E358&gt;=Upgrades!$E$6,"",Upgrades!$C$6*POWER(Upgrades!$D$6,E358))</f>
        <v>37.4517507383159</v>
      </c>
      <c r="AH358" s="21" t="n">
        <f aca="false">IF(F358&gt;=Upgrades!$E$7,"",Upgrades!$C$7*POWER(Upgrades!$D$7,F358))</f>
        <v>80.9111547141581</v>
      </c>
      <c r="AI358" s="21" t="n">
        <f aca="false">IF(G358&gt;=Upgrades!$E$8,"",Upgrades!$C$8*POWER(Upgrades!$D$8,G358))</f>
        <v>231.9097088</v>
      </c>
      <c r="AJ358" s="21" t="str">
        <f aca="false">IF(H358&gt;=Upgrades!$E$9,"",Upgrades!$C$9*POWER(Upgrades!$D$9,H358))</f>
        <v/>
      </c>
      <c r="AK358" s="21" t="str">
        <f aca="false">IF(I358&gt;=Upgrades!$E$10,"",Upgrades!$C$10*POWER(Upgrades!$D$10,I358))</f>
        <v/>
      </c>
      <c r="AL358" s="21" t="str">
        <f aca="false">IF(J358&gt;=Upgrades!$E$11,"",Upgrades!$C$11*POWER(Upgrades!$D$11,J358))</f>
        <v/>
      </c>
      <c r="AM358" s="21" t="str">
        <f aca="false">IF(K358&gt;=Upgrades!$E$12,"",Upgrades!$C$12*POWER(Upgrades!$D$12,K358))</f>
        <v/>
      </c>
      <c r="AN358" s="26" t="str">
        <f aca="false">IF(AND(D358&gt;=Parameters!$B$18,(H358&gt;=Upgrades!$E$9)*(K358&gt;=Upgrades!$E$12)=1,L358=0),1,"")</f>
        <v/>
      </c>
      <c r="AO358" s="26" t="str">
        <f aca="false">IF(AND(D358&gt;=Parameters!$B$18,L358=0),1,"")</f>
        <v/>
      </c>
      <c r="AP358" s="21" t="n">
        <f aca="false">MIN(IF(ISNUMBER(AK358),AK358,9000000000000000),IF(ISNUMBER(AL358),AL358,9000000000000000),IF(ISNUMBER(AM358),AM358,9000000000000000))</f>
        <v>9000000000000000</v>
      </c>
      <c r="AQ358" s="21" t="n">
        <f aca="false">MIN(IF(ISNUMBER(AG358),AG358,9000000000000000),IF(ISNUMBER(AH358),AH358,9000000000000000),IF(ISNUMBER(AI358),AI358,9000000000000000),IF(ISNUMBER(AJ358),AJ358,9000000000000000))</f>
        <v>37.4517507383159</v>
      </c>
      <c r="AR358" s="32" t="b">
        <f aca="false">IF(AW358&gt;Parameters!$B$21*(MAX(IF(AND(NOT(AND(AO358=1,AN358&lt;&gt;1)),ISNUMBER(AG358),AG358&lt;=T358),AS358,0),IF(AND(NOT(AND(AO358=1,AN358&lt;&gt;1)),ISNUMBER(AH358),AH358&lt;=T358),AT358,0),IF(AND(NOT(AND(AO358=1,AN358&lt;&gt;1)),ISNUMBER(AI358),AI358&lt;=T358),AU358,0),IF(AND(ISNUMBER(AJ358),AJ358&lt;=T358),AV358,0))),TRUE(),FALSE())</f>
        <v>1</v>
      </c>
      <c r="AS358" s="33" t="n">
        <f aca="false">IFERROR(Upgrades!$H$6*(POWER(Upgrades!$P$6,E358)*POWER(Upgrades!$P$7,F358)*POWER(Upgrades!$P$8,G358)*POWER(Upgrades!$P$9,H358)*POWER(Upgrades!$P$10,I358)*POWER(Upgrades!$P$11,J358)*POWER(Upgrades!$P$12,K358))*(IF(Upgrades!$T$7="Solar Wind",POWER(Upgrades!$U$7,F358),1)*IF(Upgrades!$T$8="Solar Wind",POWER(Upgrades!$U$8,G358),1)*IF(Upgrades!$T$9="Solar Wind",POWER(Upgrades!$U$9,H358),1)*IF(Upgrades!$T$10="Solar Wind",POWER(Upgrades!$U$10,I358),1)*IF(Upgrades!$T$11="Solar Wind",POWER(Upgrades!$U$11,J358),1)*IF(Upgrades!$T$12="Solar Wind",POWER(Upgrades!$U$12,K358),1))/AG358,0)</f>
        <v>0.0026701021455238</v>
      </c>
      <c r="AT358" s="33" t="n">
        <f aca="false">IFERROR(Upgrades!$H$7*(POWER(Upgrades!$P$6,E358)*POWER(Upgrades!$P$7,F358)*POWER(Upgrades!$P$8,G358)*POWER(Upgrades!$P$9,H358)*POWER(Upgrades!$P$10,I358)*POWER(Upgrades!$P$11,J358)*POWER(Upgrades!$P$12,K358))*(IF(Upgrades!$T$6="Asteroid Belt",POWER(Upgrades!$U$6,E358),1)*IF(Upgrades!$T$8="Asteroid Belt",POWER(Upgrades!$U$8,G358),1)*IF(Upgrades!$T$9="Asteroid Belt",POWER(Upgrades!$U$9,H358),1)*IF(Upgrades!$T$10="Asteroid Belt",POWER(Upgrades!$U$10,I358),1)*IF(Upgrades!$T$11="Asteroid Belt",POWER(Upgrades!$U$11,J358),1)*IF(Upgrades!$T$12="Asteroid Belt",POWER(Upgrades!$U$12,K358),1))/AH358,0)</f>
        <v>0.00308980882652332</v>
      </c>
      <c r="AU358" s="33" t="n">
        <f aca="false">IFERROR(Upgrades!$K$8*(POWER(Upgrades!$Q$6,E358)*POWER(Upgrades!$Q$7,F358)*POWER(Upgrades!$Q$8,G358)*POWER(Upgrades!$Q$9,H358)*POWER(Upgrades!$Q$10,I358)*POWER(Upgrades!$Q$11,J358)*POWER(Upgrades!$Q$12,K358))*(IF(Upgrades!$T$6="Stellar Coupling",POWER(Upgrades!$U$6,E358),1)*IF(Upgrades!$T$7="Stellar Coupling",POWER(Upgrades!$U$7,F358),1)*IF(Upgrades!$T$9="Stellar Coupling",POWER(Upgrades!$U$9,H358),1)*IF(Upgrades!$T$10="Stellar Coupling",POWER(Upgrades!$U$10,I358),1)*IF(Upgrades!$T$11="Stellar Coupling",POWER(Upgrades!$U$11,J358),1)*IF(Upgrades!$T$12="Stellar Coupling",POWER(Upgrades!$U$12,K358),1))*Parameters!$B$10*Parameters!$B$11/60/AI358,0)</f>
        <v>0.00452762415783776</v>
      </c>
      <c r="AV358" s="33" t="n">
        <f aca="false">IFERROR(Upgrades!$H$9*(POWER(Upgrades!$P$6,E358)*POWER(Upgrades!$P$7,F358)*POWER(Upgrades!$P$8,G358)*POWER(Upgrades!$P$9,H358)*POWER(Upgrades!$P$10,I358)*POWER(Upgrades!$P$11,J358)*POWER(Upgrades!$P$12,K358))*(IF(Upgrades!$T$6="Magnetosphere",POWER(Upgrades!$U$6,E358),1)*IF(Upgrades!$T$7="Magnetosphere",POWER(Upgrades!$U$7,F358),1)*IF(Upgrades!$T$8="Magnetosphere",POWER(Upgrades!$U$8,G358),1)*IF(Upgrades!$T$10="Magnetosphere",POWER(Upgrades!$U$10,I358),1)*IF(Upgrades!$T$11="Magnetosphere",POWER(Upgrades!$U$11,J358),1)*IF(Upgrades!$T$12="Magnetosphere",POWER(Upgrades!$U$12,K358),1))/AJ358,0)</f>
        <v>0</v>
      </c>
      <c r="AW358" s="33" t="n">
        <f aca="false">MAX(IF(I358&gt;0,0,IFERROR(0.25*N358/Upgrades!$C$10,0)),IF(J358&gt;0,0,IFERROR(0.5*((IF(G358=0,0,(Upgrades!$J$8+G358*Upgrades!$K$8)*POWER(Upgrades!$L$8,G358)))*(IF(Upgrades!$T$6="Stellar Coupling",POWER(Upgrades!$U$6,E358),1)*IF(Upgrades!$T$7="Stellar Coupling",POWER(Upgrades!$U$7,F358),1)*IF(Upgrades!$T$9="Stellar Coupling",POWER(Upgrades!$U$9,H358),1)*IF(Upgrades!$T$10="Stellar Coupling",POWER(Upgrades!$U$10,I358),1)*IF(Upgrades!$T$11="Stellar Coupling",POWER(Upgrades!$U$11,J358),1)*IF(Upgrades!$T$12="Stellar Coupling",POWER(Upgrades!$U$12,K358),1))*(POWER(Upgrades!$Q$6,E358)*POWER(Upgrades!$Q$7,F358)*POWER(Upgrades!$Q$8,G358)*POWER(Upgrades!$Q$9,H358)*POWER(Upgrades!$Q$10,I358)*POWER(Upgrades!$Q$11,J358)*POWER(Upgrades!$Q$12,K358))*Parameters!$B$10*Parameters!$B$11/60)/Upgrades!$C$11,0)),IF(K358&gt;0,0,IFERROR((1*(POWER(Upgrades!$P$6,E358)*POWER(Upgrades!$P$7,F358)*POWER(Upgrades!$P$8,G358)*POWER(Upgrades!$P$9,H358)*POWER(Upgrades!$P$10,I358)*POWER(Upgrades!$P$11,J358)*POWER(Upgrades!$P$12,K358))+0.2*M358*Parameters!$B$10*Parameters!$B$11/60)/Upgrades!$C$12,0)),IF(AND(ISNUMBER(AG358),AG358&gt;T358),AS358,0),IF(AND(ISNUMBER(AH358),AH358&gt;T358),AT358,0),IF(AND(ISNUMBER(AI358),AI358&gt;T358),AU358,0),IF(AND(ISNUMBER(AJ358),AJ358&gt;T358),AV358,0))</f>
        <v>0.00452762415783776</v>
      </c>
      <c r="AX358" s="29" t="str">
        <f aca="false">IF(AN358=1,"transition",IF(MIN(IF(AND(I358=0,ISNUMBER(AK358),AK358&lt;=T358),AK358,9000000000000000),IF(AND(J358=0,ISNUMBER(AL358),AL358&lt;=T358),AL358,9000000000000000),IF(AND(K358=0,ISNUMBER(AM358),AM358&lt;=T358),AM358,9000000000000000))&lt;9000000000000000,IF(AND(AND(I358=0,ISNUMBER(AK358),AK358&lt;=T358),AK358=MIN(IF(AND(I358=0,ISNUMBER(AK358),AK358&lt;=T358),AK358,9000000000000000),IF(AND(J358=0,ISNUMBER(AL358),AL358&lt;=T358),AL358,9000000000000000),IF(AND(K358=0,ISNUMBER(AM358),AM358&lt;=T358),AM358,9000000000000000))),"OR",IF(AND(AND(J358=0,ISNUMBER(AL358),AL358&lt;=T358),AL358=MIN(IF(AND(I358=0,ISNUMBER(AK358),AK358&lt;=T358),AK358,9000000000000000),IF(AND(J358=0,ISNUMBER(AL358),AL358&lt;=T358),AL358,9000000000000000),IF(AND(K358=0,ISNUMBER(AM358),AM358&lt;=T358),AM358,9000000000000000))),"HP","FP")),IF(AR358=TRUE(),"",IF(MAX(IF(AND(NOT(AND(AO358=1,AN358&lt;&gt;1)),ISNUMBER(AG358),AG358&lt;=T358),AS358,0),IF(AND(NOT(AND(AO358=1,AN358&lt;&gt;1)),ISNUMBER(AH358),AH358&lt;=T358),AT358,0),IF(AND(NOT(AND(AO358=1,AN358&lt;&gt;1)),ISNUMBER(AI358),AI358&lt;=T358),AU358,0),IF(AND(ISNUMBER(AJ358),AJ358&lt;=T358),AV358,0))&lt;=0,"",IF(AND(IF(AND(NOT(AND(AO358=1,AN358&lt;&gt;1)),ISNUMBER(AG358),AG358&lt;=T358),AS358,0)&gt;0,IF(AND(NOT(AND(AO358=1,AN358&lt;&gt;1)),ISNUMBER(AG358),AG358&lt;=T358),AS358,0)=MAX(IF(AND(NOT(AND(AO358=1,AN358&lt;&gt;1)),ISNUMBER(AG358),AG358&lt;=T358),AS358,0),IF(AND(NOT(AND(AO358=1,AN358&lt;&gt;1)),ISNUMBER(AH358),AH358&lt;=T358),AT358,0),IF(AND(NOT(AND(AO358=1,AN358&lt;&gt;1)),ISNUMBER(AI358),AI358&lt;=T358),AU358,0),IF(AND(ISNUMBER(AJ358),AJ358&lt;=T358),AV358,0))),"SW",IF(AND(IF(AND(NOT(AND(AO358=1,AN358&lt;&gt;1)),ISNUMBER(AH358),AH358&lt;=T358),AT358,0)&gt;0,IF(AND(NOT(AND(AO358=1,AN358&lt;&gt;1)),ISNUMBER(AH358),AH358&lt;=T358),AT358,0)=MAX(IF(AND(NOT(AND(AO358=1,AN358&lt;&gt;1)),ISNUMBER(AG358),AG358&lt;=T358),AS358,0),IF(AND(NOT(AND(AO358=1,AN358&lt;&gt;1)),ISNUMBER(AH358),AH358&lt;=T358),AT358,0),IF(AND(NOT(AND(AO358=1,AN358&lt;&gt;1)),ISNUMBER(AI358),AI358&lt;=T358),AU358,0),IF(AND(ISNUMBER(AJ358),AJ358&lt;=T358),AV358,0))),"AB",IF(AND(IF(AND(NOT(AND(AO358=1,AN358&lt;&gt;1)),ISNUMBER(AI358),AI358&lt;=T358),AU358,0)&gt;0,IF(AND(NOT(AND(AO358=1,AN358&lt;&gt;1)),ISNUMBER(AI358),AI358&lt;=T358),AU358,0)=MAX(IF(AND(NOT(AND(AO358=1,AN358&lt;&gt;1)),ISNUMBER(AG358),AG358&lt;=T358),AS358,0),IF(AND(NOT(AND(AO358=1,AN358&lt;&gt;1)),ISNUMBER(AH358),AH358&lt;=T358),AT358,0),IF(AND(NOT(AND(AO358=1,AN358&lt;&gt;1)),ISNUMBER(AI358),AI358&lt;=T358),AU358,0),IF(AND(ISNUMBER(AJ358),AJ358&lt;=T358),AV358,0))),"SC","Mag")))))))</f>
        <v/>
      </c>
    </row>
    <row r="359" customFormat="false" ht="15" hidden="false" customHeight="false" outlineLevel="0" collapsed="false">
      <c r="A359" s="26" t="n">
        <v>354</v>
      </c>
      <c r="B359" s="27" t="n">
        <f aca="false">A359*10/60</f>
        <v>59</v>
      </c>
      <c r="C359" s="21" t="n">
        <f aca="false">X358</f>
        <v>18.6730249835055</v>
      </c>
      <c r="D359" s="27" t="n">
        <f aca="false">D358+W358</f>
        <v>0</v>
      </c>
      <c r="E359" s="26" t="n">
        <f aca="false">E358+IF(U358="SW",1,0)</f>
        <v>12</v>
      </c>
      <c r="F359" s="26" t="n">
        <f aca="false">F358+IF(U358="AB",1,0)</f>
        <v>10</v>
      </c>
      <c r="G359" s="26" t="n">
        <f aca="false">G358+IF(U358="SC",1,0)</f>
        <v>7</v>
      </c>
      <c r="H359" s="26" t="n">
        <f aca="false">H358+IF(U358="Mag",1,0)</f>
        <v>5</v>
      </c>
      <c r="I359" s="26" t="n">
        <f aca="false">MAX(I358,IF(U358="OR",1,0))</f>
        <v>1</v>
      </c>
      <c r="J359" s="26" t="n">
        <f aca="false">MAX(J358,IF(U358="HP",1,0))</f>
        <v>1</v>
      </c>
      <c r="K359" s="26" t="n">
        <f aca="false">MAX(K358,IF(U358="FP",1,0))</f>
        <v>1</v>
      </c>
      <c r="L359" s="26" t="n">
        <f aca="false">MAX(L358,IF(U358="transition",1,0))</f>
        <v>1</v>
      </c>
      <c r="M359" s="28" t="n">
        <f aca="false">(Parameters!$B$9+(IF(E359=0,0,(Upgrades!$J$6+E359*Upgrades!$K$6)*POWER(Upgrades!$L$6,E359)))*(IF(Upgrades!$T$7="Solar Wind",POWER(Upgrades!$U$7,F359),1)*IF(Upgrades!$T$8="Solar Wind",POWER(Upgrades!$U$8,G359),1)*IF(Upgrades!$T$9="Solar Wind",POWER(Upgrades!$U$9,H359),1)*IF(Upgrades!$T$10="Solar Wind",POWER(Upgrades!$U$10,I359),1)*IF(Upgrades!$T$11="Solar Wind",POWER(Upgrades!$U$11,J359),1)*IF(Upgrades!$T$12="Solar Wind",POWER(Upgrades!$U$12,K359),1))+(IF(F359=0,0,(Upgrades!$J$7+F359*Upgrades!$K$7)*POWER(Upgrades!$L$7,F359)))*(IF(Upgrades!$T$6="Asteroid Belt",POWER(Upgrades!$U$6,E359),1)*IF(Upgrades!$T$8="Asteroid Belt",POWER(Upgrades!$U$8,G359),1)*IF(Upgrades!$T$9="Asteroid Belt",POWER(Upgrades!$U$9,H359),1)*IF(Upgrades!$T$10="Asteroid Belt",POWER(Upgrades!$U$10,I359),1)*IF(Upgrades!$T$11="Asteroid Belt",POWER(Upgrades!$U$11,J359),1)*IF(Upgrades!$T$12="Asteroid Belt",POWER(Upgrades!$U$12,K359),1))+(IF(G359=0,0,(Upgrades!$J$8+G359*Upgrades!$K$8)*POWER(Upgrades!$L$8,G359)))*(IF(Upgrades!$T$6="Stellar Coupling",POWER(Upgrades!$U$6,E359),1)*IF(Upgrades!$T$7="Stellar Coupling",POWER(Upgrades!$U$7,F359),1)*IF(Upgrades!$T$9="Stellar Coupling",POWER(Upgrades!$U$9,H359),1)*IF(Upgrades!$T$10="Stellar Coupling",POWER(Upgrades!$U$10,I359),1)*IF(Upgrades!$T$11="Stellar Coupling",POWER(Upgrades!$U$11,J359),1)*IF(Upgrades!$T$12="Stellar Coupling",POWER(Upgrades!$U$12,K359),1))+(IF(H359=0,0,(Upgrades!$J$9+H359*Upgrades!$K$9)*POWER(Upgrades!$L$9,H359)))*(IF(Upgrades!$T$6="Magnetosphere",POWER(Upgrades!$U$6,E359),1)*IF(Upgrades!$T$7="Magnetosphere",POWER(Upgrades!$U$7,F359),1)*IF(Upgrades!$T$8="Magnetosphere",POWER(Upgrades!$U$8,G359),1)*IF(Upgrades!$T$10="Magnetosphere",POWER(Upgrades!$U$10,I359),1)*IF(Upgrades!$T$11="Magnetosphere",POWER(Upgrades!$U$11,J359),1)*IF(Upgrades!$T$12="Magnetosphere",POWER(Upgrades!$U$12,K359),1))+(IF(I359=0,0,(Upgrades!$J$10+I359*Upgrades!$K$10)*POWER(Upgrades!$L$10,I359)))*(IF(Upgrades!$T$6="Orbital Resonance",POWER(Upgrades!$U$6,E359),1)*IF(Upgrades!$T$7="Orbital Resonance",POWER(Upgrades!$U$7,F359),1)*IF(Upgrades!$T$8="Orbital Resonance",POWER(Upgrades!$U$8,G359),1)*IF(Upgrades!$T$9="Orbital Resonance",POWER(Upgrades!$U$9,H359),1)*IF(Upgrades!$T$11="Orbital Resonance",POWER(Upgrades!$U$11,J359),1)*IF(Upgrades!$T$12="Orbital Resonance",POWER(Upgrades!$U$12,K359),1))+(IF(J359=0,0,(Upgrades!$J$11+J359*Upgrades!$K$11)*POWER(Upgrades!$L$11,J359)))*(IF(Upgrades!$T$6="Heliopause",POWER(Upgrades!$U$6,E359),1)*IF(Upgrades!$T$7="Heliopause",POWER(Upgrades!$U$7,F359),1)*IF(Upgrades!$T$8="Heliopause",POWER(Upgrades!$U$8,G359),1)*IF(Upgrades!$T$9="Heliopause",POWER(Upgrades!$U$9,H359),1)*IF(Upgrades!$T$10="Heliopause",POWER(Upgrades!$U$10,I359),1)*IF(Upgrades!$T$12="Heliopause",POWER(Upgrades!$U$12,K359),1))+(IF(K359=0,0,(Upgrades!$J$12+K359*Upgrades!$K$12)*POWER(Upgrades!$L$12,K359)))*(IF(Upgrades!$T$6="First Photons",POWER(Upgrades!$U$6,E359),1)*IF(Upgrades!$T$7="First Photons",POWER(Upgrades!$U$7,F359),1)*IF(Upgrades!$T$8="First Photons",POWER(Upgrades!$U$8,G359),1)*IF(Upgrades!$T$9="First Photons",POWER(Upgrades!$U$9,H359),1)*IF(Upgrades!$T$10="First Photons",POWER(Upgrades!$U$10,I359),1)*IF(Upgrades!$T$11="First Photons",POWER(Upgrades!$U$11,J359),1)))*POWER(Upgrades!$Q$6,E359)*POWER(Upgrades!$Q$7,F359)*POWER(Upgrades!$Q$8,G359)*POWER(Upgrades!$Q$9,H359)*POWER(Upgrades!$Q$10,I359)*POWER(Upgrades!$Q$11,J359)*POWER(Upgrades!$Q$12,K359)</f>
        <v>5.61</v>
      </c>
      <c r="N359" s="28" t="n">
        <f aca="false">((IF(E359=0,0,(Upgrades!$G$6+E359*Upgrades!$H$6)*POWER(Upgrades!$I$6,E359)))*(IF(Upgrades!$T$7="Solar Wind",POWER(Upgrades!$U$7,F359),1)*IF(Upgrades!$T$8="Solar Wind",POWER(Upgrades!$U$8,G359),1)*IF(Upgrades!$T$9="Solar Wind",POWER(Upgrades!$U$9,H359),1)*IF(Upgrades!$T$10="Solar Wind",POWER(Upgrades!$U$10,I359),1)*IF(Upgrades!$T$11="Solar Wind",POWER(Upgrades!$U$11,J359),1)*IF(Upgrades!$T$12="Solar Wind",POWER(Upgrades!$U$12,K359),1))+(IF(F359=0,0,(Upgrades!$G$7+F359*Upgrades!$H$7)*POWER(Upgrades!$I$7,F359)))*(IF(Upgrades!$T$6="Asteroid Belt",POWER(Upgrades!$U$6,E359),1)*IF(Upgrades!$T$8="Asteroid Belt",POWER(Upgrades!$U$8,G359),1)*IF(Upgrades!$T$9="Asteroid Belt",POWER(Upgrades!$U$9,H359),1)*IF(Upgrades!$T$10="Asteroid Belt",POWER(Upgrades!$U$10,I359),1)*IF(Upgrades!$T$11="Asteroid Belt",POWER(Upgrades!$U$11,J359),1)*IF(Upgrades!$T$12="Asteroid Belt",POWER(Upgrades!$U$12,K359),1))+(IF(G359=0,0,(Upgrades!$G$8+G359*Upgrades!$H$8)*POWER(Upgrades!$I$8,G359)))*(IF(Upgrades!$T$6="Stellar Coupling",POWER(Upgrades!$U$6,E359),1)*IF(Upgrades!$T$7="Stellar Coupling",POWER(Upgrades!$U$7,F359),1)*IF(Upgrades!$T$9="Stellar Coupling",POWER(Upgrades!$U$9,H359),1)*IF(Upgrades!$T$10="Stellar Coupling",POWER(Upgrades!$U$10,I359),1)*IF(Upgrades!$T$11="Stellar Coupling",POWER(Upgrades!$U$11,J359),1)*IF(Upgrades!$T$12="Stellar Coupling",POWER(Upgrades!$U$12,K359),1))+(IF(H359=0,0,(Upgrades!$G$9+H359*Upgrades!$H$9)*POWER(Upgrades!$I$9,H359)))*(IF(Upgrades!$T$6="Magnetosphere",POWER(Upgrades!$U$6,E359),1)*IF(Upgrades!$T$7="Magnetosphere",POWER(Upgrades!$U$7,F359),1)*IF(Upgrades!$T$8="Magnetosphere",POWER(Upgrades!$U$8,G359),1)*IF(Upgrades!$T$10="Magnetosphere",POWER(Upgrades!$U$10,I359),1)*IF(Upgrades!$T$11="Magnetosphere",POWER(Upgrades!$U$11,J359),1)*IF(Upgrades!$T$12="Magnetosphere",POWER(Upgrades!$U$12,K359),1))+(IF(I359=0,0,(Upgrades!$G$10+I359*Upgrades!$H$10)*POWER(Upgrades!$I$10,I359)))*(IF(Upgrades!$T$6="Orbital Resonance",POWER(Upgrades!$U$6,E359),1)*IF(Upgrades!$T$7="Orbital Resonance",POWER(Upgrades!$U$7,F359),1)*IF(Upgrades!$T$8="Orbital Resonance",POWER(Upgrades!$U$8,G359),1)*IF(Upgrades!$T$9="Orbital Resonance",POWER(Upgrades!$U$9,H359),1)*IF(Upgrades!$T$11="Orbital Resonance",POWER(Upgrades!$U$11,J359),1)*IF(Upgrades!$T$12="Orbital Resonance",POWER(Upgrades!$U$12,K359),1))+(IF(J359=0,0,(Upgrades!$G$11+J359*Upgrades!$H$11)*POWER(Upgrades!$I$11,J359)))*(IF(Upgrades!$T$6="Heliopause",POWER(Upgrades!$U$6,E359),1)*IF(Upgrades!$T$7="Heliopause",POWER(Upgrades!$U$7,F359),1)*IF(Upgrades!$T$8="Heliopause",POWER(Upgrades!$U$8,G359),1)*IF(Upgrades!$T$9="Heliopause",POWER(Upgrades!$U$9,H359),1)*IF(Upgrades!$T$10="Heliopause",POWER(Upgrades!$U$10,I359),1)*IF(Upgrades!$T$12="Heliopause",POWER(Upgrades!$U$12,K359),1))+(IF(K359=0,0,(Upgrades!$G$12+K359*Upgrades!$H$12)*POWER(Upgrades!$I$12,K359)))*(IF(Upgrades!$T$6="First Photons",POWER(Upgrades!$U$6,E359),1)*IF(Upgrades!$T$7="First Photons",POWER(Upgrades!$U$7,F359),1)*IF(Upgrades!$T$8="First Photons",POWER(Upgrades!$U$8,G359),1)*IF(Upgrades!$T$9="First Photons",POWER(Upgrades!$U$9,H359),1)*IF(Upgrades!$T$10="First Photons",POWER(Upgrades!$U$10,I359),1)*IF(Upgrades!$T$11="First Photons",POWER(Upgrades!$U$11,J359),1)))*POWER(Upgrades!$P$6,E359)*POWER(Upgrades!$P$7,F359)*POWER(Upgrades!$P$8,G359)*POWER(Upgrades!$P$9,H359)*POWER(Upgrades!$P$10,I359)*POWER(Upgrades!$P$11,J359)*POWER(Upgrades!$P$12,K359)</f>
        <v>11.2</v>
      </c>
      <c r="O359" s="28" t="n">
        <f aca="false">((IF(E359=0,0,(Upgrades!$M$6+E359*Upgrades!$N$6)*POWER(Upgrades!$O$6,E359)))*(IF(Upgrades!$T$7="Solar Wind",POWER(Upgrades!$U$7,F359),1)*IF(Upgrades!$T$8="Solar Wind",POWER(Upgrades!$U$8,G359),1)*IF(Upgrades!$T$9="Solar Wind",POWER(Upgrades!$U$9,H359),1)*IF(Upgrades!$T$10="Solar Wind",POWER(Upgrades!$U$10,I359),1)*IF(Upgrades!$T$11="Solar Wind",POWER(Upgrades!$U$11,J359),1)*IF(Upgrades!$T$12="Solar Wind",POWER(Upgrades!$U$12,K359),1))+(IF(F359=0,0,(Upgrades!$M$7+F359*Upgrades!$N$7)*POWER(Upgrades!$O$7,F359)))*(IF(Upgrades!$T$6="Asteroid Belt",POWER(Upgrades!$U$6,E359),1)*IF(Upgrades!$T$8="Asteroid Belt",POWER(Upgrades!$U$8,G359),1)*IF(Upgrades!$T$9="Asteroid Belt",POWER(Upgrades!$U$9,H359),1)*IF(Upgrades!$T$10="Asteroid Belt",POWER(Upgrades!$U$10,I359),1)*IF(Upgrades!$T$11="Asteroid Belt",POWER(Upgrades!$U$11,J359),1)*IF(Upgrades!$T$12="Asteroid Belt",POWER(Upgrades!$U$12,K359),1))+(IF(G359=0,0,(Upgrades!$M$8+G359*Upgrades!$N$8)*POWER(Upgrades!$O$8,G359)))*(IF(Upgrades!$T$6="Stellar Coupling",POWER(Upgrades!$U$6,E359),1)*IF(Upgrades!$T$7="Stellar Coupling",POWER(Upgrades!$U$7,F359),1)*IF(Upgrades!$T$9="Stellar Coupling",POWER(Upgrades!$U$9,H359),1)*IF(Upgrades!$T$10="Stellar Coupling",POWER(Upgrades!$U$10,I359),1)*IF(Upgrades!$T$11="Stellar Coupling",POWER(Upgrades!$U$11,J359),1)*IF(Upgrades!$T$12="Stellar Coupling",POWER(Upgrades!$U$12,K359),1))+(IF(H359=0,0,(Upgrades!$M$9+H359*Upgrades!$N$9)*POWER(Upgrades!$O$9,H359)))*(IF(Upgrades!$T$6="Magnetosphere",POWER(Upgrades!$U$6,E359),1)*IF(Upgrades!$T$7="Magnetosphere",POWER(Upgrades!$U$7,F359),1)*IF(Upgrades!$T$8="Magnetosphere",POWER(Upgrades!$U$8,G359),1)*IF(Upgrades!$T$10="Magnetosphere",POWER(Upgrades!$U$10,I359),1)*IF(Upgrades!$T$11="Magnetosphere",POWER(Upgrades!$U$11,J359),1)*IF(Upgrades!$T$12="Magnetosphere",POWER(Upgrades!$U$12,K359),1))+(IF(I359=0,0,(Upgrades!$M$10+I359*Upgrades!$N$10)*POWER(Upgrades!$O$10,I359)))*(IF(Upgrades!$T$6="Orbital Resonance",POWER(Upgrades!$U$6,E359),1)*IF(Upgrades!$T$7="Orbital Resonance",POWER(Upgrades!$U$7,F359),1)*IF(Upgrades!$T$8="Orbital Resonance",POWER(Upgrades!$U$8,G359),1)*IF(Upgrades!$T$9="Orbital Resonance",POWER(Upgrades!$U$9,H359),1)*IF(Upgrades!$T$11="Orbital Resonance",POWER(Upgrades!$U$11,J359),1)*IF(Upgrades!$T$12="Orbital Resonance",POWER(Upgrades!$U$12,K359),1))+(IF(J359=0,0,(Upgrades!$M$11+J359*Upgrades!$N$11)*POWER(Upgrades!$O$11,J359)))*(IF(Upgrades!$T$6="Heliopause",POWER(Upgrades!$U$6,E359),1)*IF(Upgrades!$T$7="Heliopause",POWER(Upgrades!$U$7,F359),1)*IF(Upgrades!$T$8="Heliopause",POWER(Upgrades!$U$8,G359),1)*IF(Upgrades!$T$9="Heliopause",POWER(Upgrades!$U$9,H359),1)*IF(Upgrades!$T$10="Heliopause",POWER(Upgrades!$U$10,I359),1)*IF(Upgrades!$T$12="Heliopause",POWER(Upgrades!$U$12,K359),1))+(IF(K359=0,0,(Upgrades!$M$12+K359*Upgrades!$N$12)*POWER(Upgrades!$O$12,K359)))*(IF(Upgrades!$T$6="First Photons",POWER(Upgrades!$U$6,E359),1)*IF(Upgrades!$T$7="First Photons",POWER(Upgrades!$U$7,F359),1)*IF(Upgrades!$T$8="First Photons",POWER(Upgrades!$U$8,G359),1)*IF(Upgrades!$T$9="First Photons",POWER(Upgrades!$U$9,H359),1)*IF(Upgrades!$T$10="First Photons",POWER(Upgrades!$U$10,I359),1)*IF(Upgrades!$T$11="First Photons",POWER(Upgrades!$U$11,J359),1)))*POWER(Upgrades!$R$6,E359)*POWER(Upgrades!$R$7,F359)*POWER(Upgrades!$R$8,G359)*POWER(Upgrades!$R$9,H359)*POWER(Upgrades!$R$10,I359)*POWER(Upgrades!$R$11,J359)*POWER(Upgrades!$R$12,K359)</f>
        <v>0</v>
      </c>
      <c r="P359" s="27" t="n">
        <f aca="false">IF(L359=1,0,M359*Parameters!$B$10/60*Parameters!$B$11*10)</f>
        <v>0</v>
      </c>
      <c r="Q359" s="27" t="n">
        <f aca="false">IF(L359=1,0,O359*M359*10)</f>
        <v>0</v>
      </c>
      <c r="R359" s="27" t="n">
        <f aca="false">IF(L359=1,0,N359*10)</f>
        <v>0</v>
      </c>
      <c r="S359" s="27" t="n">
        <f aca="false">P359+Q359+R359</f>
        <v>0</v>
      </c>
      <c r="T359" s="21" t="n">
        <f aca="false">C359+S359</f>
        <v>18.6730249835055</v>
      </c>
      <c r="U359" s="34" t="str">
        <f aca="false">AX359</f>
        <v/>
      </c>
      <c r="V359" s="21" t="n">
        <f aca="false">IF(U359="",0,IF(U359="transition",0,IF(U359="SW",AG359,IF(U359="AB",AH359,IF(U359="SC",AI359,IF(U359="Mag",AJ359,IF(U359="OR",AK359,IF(U359="HP",AL359,IF(U359="FP",AM359,0)))))))))</f>
        <v>0</v>
      </c>
      <c r="W359" s="27" t="n">
        <f aca="false">IF(U359="OR",Upgrades!$F$10,IF(U359="HP",Upgrades!$F$11,IF(U359="transition",-Parameters!$B$18,0)))</f>
        <v>0</v>
      </c>
      <c r="X359" s="21" t="n">
        <f aca="false">T359-V359</f>
        <v>18.6730249835055</v>
      </c>
      <c r="Y359" s="30" t="n">
        <f aca="false">M359*Parameters!$B$10/60*Parameters!$B$11+O359*M359+N359</f>
        <v>20.55</v>
      </c>
      <c r="Z359" s="35" t="str">
        <f aca="false">IF(U359="transition","→ Tier 2 (Stellar Neighborhood)",IF(U359="FP","First Photons — light begins, system quickens",IF(U359="HP","Heliopause acquired",IF(U359="OR","Orbital Resonance — passive multiplier active",IF(AND(AO359=1,L359=0,AN359&lt;&gt;1),"Cohesion ready (waiting on completionist upgrades)","")))))</f>
        <v/>
      </c>
      <c r="AA359" s="27" t="n">
        <f aca="false">(IF(E359=0,0,(Upgrades!$G$6+E359*Upgrades!$H$6)*POWER(Upgrades!$I$6,E359)))*(IF(Upgrades!$T$7="Solar Wind",POWER(Upgrades!$U$7,F359),1)*IF(Upgrades!$T$8="Solar Wind",POWER(Upgrades!$U$8,G359),1)*IF(Upgrades!$T$9="Solar Wind",POWER(Upgrades!$U$9,H359),1)*IF(Upgrades!$T$10="Solar Wind",POWER(Upgrades!$U$10,I359),1)*IF(Upgrades!$T$11="Solar Wind",POWER(Upgrades!$U$11,J359),1)*IF(Upgrades!$T$12="Solar Wind",POWER(Upgrades!$U$12,K359),1))*POWER(Upgrades!$P$6,E359)*POWER(Upgrades!$P$7,F359)*POWER(Upgrades!$P$8,G359)*POWER(Upgrades!$P$9,H359)*POWER(Upgrades!$P$10,I359)*POWER(Upgrades!$P$11,J359)*POWER(Upgrades!$P$12,K359)*60</f>
        <v>72</v>
      </c>
      <c r="AB359" s="27" t="n">
        <f aca="false">(IF(F359=0,0,(Upgrades!$G$7+F359*Upgrades!$H$7)*POWER(Upgrades!$I$7,F359)))*(IF(Upgrades!$T$6="Asteroid Belt",POWER(Upgrades!$U$6,E359),1)*IF(Upgrades!$T$8="Asteroid Belt",POWER(Upgrades!$U$8,G359),1)*IF(Upgrades!$T$9="Asteroid Belt",POWER(Upgrades!$U$9,H359),1)*IF(Upgrades!$T$10="Asteroid Belt",POWER(Upgrades!$U$10,I359),1)*IF(Upgrades!$T$11="Asteroid Belt",POWER(Upgrades!$U$11,J359),1)*IF(Upgrades!$T$12="Asteroid Belt",POWER(Upgrades!$U$12,K359),1))*POWER(Upgrades!$P$6,E359)*POWER(Upgrades!$P$7,F359)*POWER(Upgrades!$P$8,G359)*POWER(Upgrades!$P$9,H359)*POWER(Upgrades!$P$10,I359)*POWER(Upgrades!$P$11,J359)*POWER(Upgrades!$P$12,K359)*60</f>
        <v>150</v>
      </c>
      <c r="AC359" s="27" t="n">
        <f aca="false">(IF(G359=0,0,(Upgrades!$J$8+G359*Upgrades!$K$8)*POWER(Upgrades!$L$8,G359)))*(IF(Upgrades!$T$6="Stellar Coupling",POWER(Upgrades!$U$6,E359),1)*IF(Upgrades!$T$7="Stellar Coupling",POWER(Upgrades!$U$7,F359),1)*IF(Upgrades!$T$9="Stellar Coupling",POWER(Upgrades!$U$9,H359),1)*IF(Upgrades!$T$10="Stellar Coupling",POWER(Upgrades!$U$10,I359),1)*IF(Upgrades!$T$11="Stellar Coupling",POWER(Upgrades!$U$11,J359),1)*IF(Upgrades!$T$12="Stellar Coupling",POWER(Upgrades!$U$12,K359),1))*POWER(Upgrades!$Q$6,E359)*POWER(Upgrades!$Q$7,F359)*POWER(Upgrades!$Q$8,G359)*POWER(Upgrades!$Q$9,H359)*POWER(Upgrades!$Q$10,I359)*POWER(Upgrades!$Q$11,J359)*POWER(Upgrades!$Q$12,K359)*Parameters!$B$10*Parameters!$B$11</f>
        <v>441</v>
      </c>
      <c r="AD359" s="27" t="n">
        <f aca="false">(IF(H359=0,0,(Upgrades!$G$9+H359*Upgrades!$H$9)*POWER(Upgrades!$I$9,H359)))*(IF(Upgrades!$T$6="Magnetosphere",POWER(Upgrades!$U$6,E359),1)*IF(Upgrades!$T$7="Magnetosphere",POWER(Upgrades!$U$7,F359),1)*IF(Upgrades!$T$8="Magnetosphere",POWER(Upgrades!$U$8,G359),1)*IF(Upgrades!$T$10="Magnetosphere",POWER(Upgrades!$U$10,I359),1)*IF(Upgrades!$T$11="Magnetosphere",POWER(Upgrades!$U$11,J359),1)*IF(Upgrades!$T$12="Magnetosphere",POWER(Upgrades!$U$12,K359),1))*POWER(Upgrades!$P$6,E359)*POWER(Upgrades!$P$7,F359)*POWER(Upgrades!$P$8,G359)*POWER(Upgrades!$P$9,H359)*POWER(Upgrades!$P$10,I359)*POWER(Upgrades!$P$11,J359)*POWER(Upgrades!$P$12,K359)*60</f>
        <v>375</v>
      </c>
      <c r="AE359" s="27" t="n">
        <f aca="false">(IF(K359=0,0,(Upgrades!$G$12+K359*Upgrades!$H$12)*POWER(Upgrades!$I$12,K359)))*(IF(Upgrades!$T$6="First Photons",POWER(Upgrades!$U$6,E359),1)*IF(Upgrades!$T$7="First Photons",POWER(Upgrades!$U$7,F359),1)*IF(Upgrades!$T$8="First Photons",POWER(Upgrades!$U$8,G359),1)*IF(Upgrades!$T$9="First Photons",POWER(Upgrades!$U$9,H359),1)*IF(Upgrades!$T$10="First Photons",POWER(Upgrades!$U$10,I359),1)*IF(Upgrades!$T$11="First Photons",POWER(Upgrades!$U$11,J359),1))*POWER(Upgrades!$P$6,E359)*POWER(Upgrades!$P$7,F359)*POWER(Upgrades!$P$8,G359)*POWER(Upgrades!$P$9,H359)*POWER(Upgrades!$P$10,I359)*POWER(Upgrades!$P$11,J359)*POWER(Upgrades!$P$12,K359)*60</f>
        <v>75</v>
      </c>
      <c r="AF359" s="27" t="n">
        <f aca="false">Parameters!$B$9*POWER(Upgrades!$Q$6,E359)*POWER(Upgrades!$Q$7,F359)*POWER(Upgrades!$Q$8,G359)*POWER(Upgrades!$Q$9,H359)*POWER(Upgrades!$Q$10,I359)*POWER(Upgrades!$Q$11,J359)*POWER(Upgrades!$Q$12,K359)*(Parameters!$B$10*Parameters!$B$11+O359*60)</f>
        <v>120</v>
      </c>
      <c r="AG359" s="21" t="n">
        <f aca="false">IF(E359&gt;=Upgrades!$E$6,"",Upgrades!$C$6*POWER(Upgrades!$D$6,E359))</f>
        <v>37.4517507383159</v>
      </c>
      <c r="AH359" s="21" t="n">
        <f aca="false">IF(F359&gt;=Upgrades!$E$7,"",Upgrades!$C$7*POWER(Upgrades!$D$7,F359))</f>
        <v>80.9111547141581</v>
      </c>
      <c r="AI359" s="21" t="n">
        <f aca="false">IF(G359&gt;=Upgrades!$E$8,"",Upgrades!$C$8*POWER(Upgrades!$D$8,G359))</f>
        <v>231.9097088</v>
      </c>
      <c r="AJ359" s="21" t="str">
        <f aca="false">IF(H359&gt;=Upgrades!$E$9,"",Upgrades!$C$9*POWER(Upgrades!$D$9,H359))</f>
        <v/>
      </c>
      <c r="AK359" s="21" t="str">
        <f aca="false">IF(I359&gt;=Upgrades!$E$10,"",Upgrades!$C$10*POWER(Upgrades!$D$10,I359))</f>
        <v/>
      </c>
      <c r="AL359" s="21" t="str">
        <f aca="false">IF(J359&gt;=Upgrades!$E$11,"",Upgrades!$C$11*POWER(Upgrades!$D$11,J359))</f>
        <v/>
      </c>
      <c r="AM359" s="21" t="str">
        <f aca="false">IF(K359&gt;=Upgrades!$E$12,"",Upgrades!$C$12*POWER(Upgrades!$D$12,K359))</f>
        <v/>
      </c>
      <c r="AN359" s="26" t="str">
        <f aca="false">IF(AND(D359&gt;=Parameters!$B$18,(H359&gt;=Upgrades!$E$9)*(K359&gt;=Upgrades!$E$12)=1,L359=0),1,"")</f>
        <v/>
      </c>
      <c r="AO359" s="26" t="str">
        <f aca="false">IF(AND(D359&gt;=Parameters!$B$18,L359=0),1,"")</f>
        <v/>
      </c>
      <c r="AP359" s="21" t="n">
        <f aca="false">MIN(IF(ISNUMBER(AK359),AK359,9000000000000000),IF(ISNUMBER(AL359),AL359,9000000000000000),IF(ISNUMBER(AM359),AM359,9000000000000000))</f>
        <v>9000000000000000</v>
      </c>
      <c r="AQ359" s="21" t="n">
        <f aca="false">MIN(IF(ISNUMBER(AG359),AG359,9000000000000000),IF(ISNUMBER(AH359),AH359,9000000000000000),IF(ISNUMBER(AI359),AI359,9000000000000000),IF(ISNUMBER(AJ359),AJ359,9000000000000000))</f>
        <v>37.4517507383159</v>
      </c>
      <c r="AR359" s="32" t="b">
        <f aca="false">IF(AW359&gt;Parameters!$B$21*(MAX(IF(AND(NOT(AND(AO359=1,AN359&lt;&gt;1)),ISNUMBER(AG359),AG359&lt;=T359),AS359,0),IF(AND(NOT(AND(AO359=1,AN359&lt;&gt;1)),ISNUMBER(AH359),AH359&lt;=T359),AT359,0),IF(AND(NOT(AND(AO359=1,AN359&lt;&gt;1)),ISNUMBER(AI359),AI359&lt;=T359),AU359,0),IF(AND(ISNUMBER(AJ359),AJ359&lt;=T359),AV359,0))),TRUE(),FALSE())</f>
        <v>1</v>
      </c>
      <c r="AS359" s="33" t="n">
        <f aca="false">IFERROR(Upgrades!$H$6*(POWER(Upgrades!$P$6,E359)*POWER(Upgrades!$P$7,F359)*POWER(Upgrades!$P$8,G359)*POWER(Upgrades!$P$9,H359)*POWER(Upgrades!$P$10,I359)*POWER(Upgrades!$P$11,J359)*POWER(Upgrades!$P$12,K359))*(IF(Upgrades!$T$7="Solar Wind",POWER(Upgrades!$U$7,F359),1)*IF(Upgrades!$T$8="Solar Wind",POWER(Upgrades!$U$8,G359),1)*IF(Upgrades!$T$9="Solar Wind",POWER(Upgrades!$U$9,H359),1)*IF(Upgrades!$T$10="Solar Wind",POWER(Upgrades!$U$10,I359),1)*IF(Upgrades!$T$11="Solar Wind",POWER(Upgrades!$U$11,J359),1)*IF(Upgrades!$T$12="Solar Wind",POWER(Upgrades!$U$12,K359),1))/AG359,0)</f>
        <v>0.0026701021455238</v>
      </c>
      <c r="AT359" s="33" t="n">
        <f aca="false">IFERROR(Upgrades!$H$7*(POWER(Upgrades!$P$6,E359)*POWER(Upgrades!$P$7,F359)*POWER(Upgrades!$P$8,G359)*POWER(Upgrades!$P$9,H359)*POWER(Upgrades!$P$10,I359)*POWER(Upgrades!$P$11,J359)*POWER(Upgrades!$P$12,K359))*(IF(Upgrades!$T$6="Asteroid Belt",POWER(Upgrades!$U$6,E359),1)*IF(Upgrades!$T$8="Asteroid Belt",POWER(Upgrades!$U$8,G359),1)*IF(Upgrades!$T$9="Asteroid Belt",POWER(Upgrades!$U$9,H359),1)*IF(Upgrades!$T$10="Asteroid Belt",POWER(Upgrades!$U$10,I359),1)*IF(Upgrades!$T$11="Asteroid Belt",POWER(Upgrades!$U$11,J359),1)*IF(Upgrades!$T$12="Asteroid Belt",POWER(Upgrades!$U$12,K359),1))/AH359,0)</f>
        <v>0.00308980882652332</v>
      </c>
      <c r="AU359" s="33" t="n">
        <f aca="false">IFERROR(Upgrades!$K$8*(POWER(Upgrades!$Q$6,E359)*POWER(Upgrades!$Q$7,F359)*POWER(Upgrades!$Q$8,G359)*POWER(Upgrades!$Q$9,H359)*POWER(Upgrades!$Q$10,I359)*POWER(Upgrades!$Q$11,J359)*POWER(Upgrades!$Q$12,K359))*(IF(Upgrades!$T$6="Stellar Coupling",POWER(Upgrades!$U$6,E359),1)*IF(Upgrades!$T$7="Stellar Coupling",POWER(Upgrades!$U$7,F359),1)*IF(Upgrades!$T$9="Stellar Coupling",POWER(Upgrades!$U$9,H359),1)*IF(Upgrades!$T$10="Stellar Coupling",POWER(Upgrades!$U$10,I359),1)*IF(Upgrades!$T$11="Stellar Coupling",POWER(Upgrades!$U$11,J359),1)*IF(Upgrades!$T$12="Stellar Coupling",POWER(Upgrades!$U$12,K359),1))*Parameters!$B$10*Parameters!$B$11/60/AI359,0)</f>
        <v>0.00452762415783776</v>
      </c>
      <c r="AV359" s="33" t="n">
        <f aca="false">IFERROR(Upgrades!$H$9*(POWER(Upgrades!$P$6,E359)*POWER(Upgrades!$P$7,F359)*POWER(Upgrades!$P$8,G359)*POWER(Upgrades!$P$9,H359)*POWER(Upgrades!$P$10,I359)*POWER(Upgrades!$P$11,J359)*POWER(Upgrades!$P$12,K359))*(IF(Upgrades!$T$6="Magnetosphere",POWER(Upgrades!$U$6,E359),1)*IF(Upgrades!$T$7="Magnetosphere",POWER(Upgrades!$U$7,F359),1)*IF(Upgrades!$T$8="Magnetosphere",POWER(Upgrades!$U$8,G359),1)*IF(Upgrades!$T$10="Magnetosphere",POWER(Upgrades!$U$10,I359),1)*IF(Upgrades!$T$11="Magnetosphere",POWER(Upgrades!$U$11,J359),1)*IF(Upgrades!$T$12="Magnetosphere",POWER(Upgrades!$U$12,K359),1))/AJ359,0)</f>
        <v>0</v>
      </c>
      <c r="AW359" s="33" t="n">
        <f aca="false">MAX(IF(I359&gt;0,0,IFERROR(0.25*N359/Upgrades!$C$10,0)),IF(J359&gt;0,0,IFERROR(0.5*((IF(G359=0,0,(Upgrades!$J$8+G359*Upgrades!$K$8)*POWER(Upgrades!$L$8,G359)))*(IF(Upgrades!$T$6="Stellar Coupling",POWER(Upgrades!$U$6,E359),1)*IF(Upgrades!$T$7="Stellar Coupling",POWER(Upgrades!$U$7,F359),1)*IF(Upgrades!$T$9="Stellar Coupling",POWER(Upgrades!$U$9,H359),1)*IF(Upgrades!$T$10="Stellar Coupling",POWER(Upgrades!$U$10,I359),1)*IF(Upgrades!$T$11="Stellar Coupling",POWER(Upgrades!$U$11,J359),1)*IF(Upgrades!$T$12="Stellar Coupling",POWER(Upgrades!$U$12,K359),1))*(POWER(Upgrades!$Q$6,E359)*POWER(Upgrades!$Q$7,F359)*POWER(Upgrades!$Q$8,G359)*POWER(Upgrades!$Q$9,H359)*POWER(Upgrades!$Q$10,I359)*POWER(Upgrades!$Q$11,J359)*POWER(Upgrades!$Q$12,K359))*Parameters!$B$10*Parameters!$B$11/60)/Upgrades!$C$11,0)),IF(K359&gt;0,0,IFERROR((1*(POWER(Upgrades!$P$6,E359)*POWER(Upgrades!$P$7,F359)*POWER(Upgrades!$P$8,G359)*POWER(Upgrades!$P$9,H359)*POWER(Upgrades!$P$10,I359)*POWER(Upgrades!$P$11,J359)*POWER(Upgrades!$P$12,K359))+0.2*M359*Parameters!$B$10*Parameters!$B$11/60)/Upgrades!$C$12,0)),IF(AND(ISNUMBER(AG359),AG359&gt;T359),AS359,0),IF(AND(ISNUMBER(AH359),AH359&gt;T359),AT359,0),IF(AND(ISNUMBER(AI359),AI359&gt;T359),AU359,0),IF(AND(ISNUMBER(AJ359),AJ359&gt;T359),AV359,0))</f>
        <v>0.00452762415783776</v>
      </c>
      <c r="AX359" s="29" t="str">
        <f aca="false">IF(AN359=1,"transition",IF(MIN(IF(AND(I359=0,ISNUMBER(AK359),AK359&lt;=T359),AK359,9000000000000000),IF(AND(J359=0,ISNUMBER(AL359),AL359&lt;=T359),AL359,9000000000000000),IF(AND(K359=0,ISNUMBER(AM359),AM359&lt;=T359),AM359,9000000000000000))&lt;9000000000000000,IF(AND(AND(I359=0,ISNUMBER(AK359),AK359&lt;=T359),AK359=MIN(IF(AND(I359=0,ISNUMBER(AK359),AK359&lt;=T359),AK359,9000000000000000),IF(AND(J359=0,ISNUMBER(AL359),AL359&lt;=T359),AL359,9000000000000000),IF(AND(K359=0,ISNUMBER(AM359),AM359&lt;=T359),AM359,9000000000000000))),"OR",IF(AND(AND(J359=0,ISNUMBER(AL359),AL359&lt;=T359),AL359=MIN(IF(AND(I359=0,ISNUMBER(AK359),AK359&lt;=T359),AK359,9000000000000000),IF(AND(J359=0,ISNUMBER(AL359),AL359&lt;=T359),AL359,9000000000000000),IF(AND(K359=0,ISNUMBER(AM359),AM359&lt;=T359),AM359,9000000000000000))),"HP","FP")),IF(AR359=TRUE(),"",IF(MAX(IF(AND(NOT(AND(AO359=1,AN359&lt;&gt;1)),ISNUMBER(AG359),AG359&lt;=T359),AS359,0),IF(AND(NOT(AND(AO359=1,AN359&lt;&gt;1)),ISNUMBER(AH359),AH359&lt;=T359),AT359,0),IF(AND(NOT(AND(AO359=1,AN359&lt;&gt;1)),ISNUMBER(AI359),AI359&lt;=T359),AU359,0),IF(AND(ISNUMBER(AJ359),AJ359&lt;=T359),AV359,0))&lt;=0,"",IF(AND(IF(AND(NOT(AND(AO359=1,AN359&lt;&gt;1)),ISNUMBER(AG359),AG359&lt;=T359),AS359,0)&gt;0,IF(AND(NOT(AND(AO359=1,AN359&lt;&gt;1)),ISNUMBER(AG359),AG359&lt;=T359),AS359,0)=MAX(IF(AND(NOT(AND(AO359=1,AN359&lt;&gt;1)),ISNUMBER(AG359),AG359&lt;=T359),AS359,0),IF(AND(NOT(AND(AO359=1,AN359&lt;&gt;1)),ISNUMBER(AH359),AH359&lt;=T359),AT359,0),IF(AND(NOT(AND(AO359=1,AN359&lt;&gt;1)),ISNUMBER(AI359),AI359&lt;=T359),AU359,0),IF(AND(ISNUMBER(AJ359),AJ359&lt;=T359),AV359,0))),"SW",IF(AND(IF(AND(NOT(AND(AO359=1,AN359&lt;&gt;1)),ISNUMBER(AH359),AH359&lt;=T359),AT359,0)&gt;0,IF(AND(NOT(AND(AO359=1,AN359&lt;&gt;1)),ISNUMBER(AH359),AH359&lt;=T359),AT359,0)=MAX(IF(AND(NOT(AND(AO359=1,AN359&lt;&gt;1)),ISNUMBER(AG359),AG359&lt;=T359),AS359,0),IF(AND(NOT(AND(AO359=1,AN359&lt;&gt;1)),ISNUMBER(AH359),AH359&lt;=T359),AT359,0),IF(AND(NOT(AND(AO359=1,AN359&lt;&gt;1)),ISNUMBER(AI359),AI359&lt;=T359),AU359,0),IF(AND(ISNUMBER(AJ359),AJ359&lt;=T359),AV359,0))),"AB",IF(AND(IF(AND(NOT(AND(AO359=1,AN359&lt;&gt;1)),ISNUMBER(AI359),AI359&lt;=T359),AU359,0)&gt;0,IF(AND(NOT(AND(AO359=1,AN359&lt;&gt;1)),ISNUMBER(AI359),AI359&lt;=T359),AU359,0)=MAX(IF(AND(NOT(AND(AO359=1,AN359&lt;&gt;1)),ISNUMBER(AG359),AG359&lt;=T359),AS359,0),IF(AND(NOT(AND(AO359=1,AN359&lt;&gt;1)),ISNUMBER(AH359),AH359&lt;=T359),AT359,0),IF(AND(NOT(AND(AO359=1,AN359&lt;&gt;1)),ISNUMBER(AI359),AI359&lt;=T359),AU359,0),IF(AND(ISNUMBER(AJ359),AJ359&lt;=T359),AV359,0))),"SC","Mag")))))))</f>
        <v/>
      </c>
    </row>
    <row r="360" customFormat="false" ht="15" hidden="false" customHeight="false" outlineLevel="0" collapsed="false">
      <c r="A360" s="26" t="n">
        <v>355</v>
      </c>
      <c r="B360" s="27" t="n">
        <f aca="false">A360*10/60</f>
        <v>59.1666666666667</v>
      </c>
      <c r="C360" s="21" t="n">
        <f aca="false">X359</f>
        <v>18.6730249835055</v>
      </c>
      <c r="D360" s="27" t="n">
        <f aca="false">D359+W359</f>
        <v>0</v>
      </c>
      <c r="E360" s="26" t="n">
        <f aca="false">E359+IF(U359="SW",1,0)</f>
        <v>12</v>
      </c>
      <c r="F360" s="26" t="n">
        <f aca="false">F359+IF(U359="AB",1,0)</f>
        <v>10</v>
      </c>
      <c r="G360" s="26" t="n">
        <f aca="false">G359+IF(U359="SC",1,0)</f>
        <v>7</v>
      </c>
      <c r="H360" s="26" t="n">
        <f aca="false">H359+IF(U359="Mag",1,0)</f>
        <v>5</v>
      </c>
      <c r="I360" s="26" t="n">
        <f aca="false">MAX(I359,IF(U359="OR",1,0))</f>
        <v>1</v>
      </c>
      <c r="J360" s="26" t="n">
        <f aca="false">MAX(J359,IF(U359="HP",1,0))</f>
        <v>1</v>
      </c>
      <c r="K360" s="26" t="n">
        <f aca="false">MAX(K359,IF(U359="FP",1,0))</f>
        <v>1</v>
      </c>
      <c r="L360" s="26" t="n">
        <f aca="false">MAX(L359,IF(U359="transition",1,0))</f>
        <v>1</v>
      </c>
      <c r="M360" s="28" t="n">
        <f aca="false">(Parameters!$B$9+(IF(E360=0,0,(Upgrades!$J$6+E360*Upgrades!$K$6)*POWER(Upgrades!$L$6,E360)))*(IF(Upgrades!$T$7="Solar Wind",POWER(Upgrades!$U$7,F360),1)*IF(Upgrades!$T$8="Solar Wind",POWER(Upgrades!$U$8,G360),1)*IF(Upgrades!$T$9="Solar Wind",POWER(Upgrades!$U$9,H360),1)*IF(Upgrades!$T$10="Solar Wind",POWER(Upgrades!$U$10,I360),1)*IF(Upgrades!$T$11="Solar Wind",POWER(Upgrades!$U$11,J360),1)*IF(Upgrades!$T$12="Solar Wind",POWER(Upgrades!$U$12,K360),1))+(IF(F360=0,0,(Upgrades!$J$7+F360*Upgrades!$K$7)*POWER(Upgrades!$L$7,F360)))*(IF(Upgrades!$T$6="Asteroid Belt",POWER(Upgrades!$U$6,E360),1)*IF(Upgrades!$T$8="Asteroid Belt",POWER(Upgrades!$U$8,G360),1)*IF(Upgrades!$T$9="Asteroid Belt",POWER(Upgrades!$U$9,H360),1)*IF(Upgrades!$T$10="Asteroid Belt",POWER(Upgrades!$U$10,I360),1)*IF(Upgrades!$T$11="Asteroid Belt",POWER(Upgrades!$U$11,J360),1)*IF(Upgrades!$T$12="Asteroid Belt",POWER(Upgrades!$U$12,K360),1))+(IF(G360=0,0,(Upgrades!$J$8+G360*Upgrades!$K$8)*POWER(Upgrades!$L$8,G360)))*(IF(Upgrades!$T$6="Stellar Coupling",POWER(Upgrades!$U$6,E360),1)*IF(Upgrades!$T$7="Stellar Coupling",POWER(Upgrades!$U$7,F360),1)*IF(Upgrades!$T$9="Stellar Coupling",POWER(Upgrades!$U$9,H360),1)*IF(Upgrades!$T$10="Stellar Coupling",POWER(Upgrades!$U$10,I360),1)*IF(Upgrades!$T$11="Stellar Coupling",POWER(Upgrades!$U$11,J360),1)*IF(Upgrades!$T$12="Stellar Coupling",POWER(Upgrades!$U$12,K360),1))+(IF(H360=0,0,(Upgrades!$J$9+H360*Upgrades!$K$9)*POWER(Upgrades!$L$9,H360)))*(IF(Upgrades!$T$6="Magnetosphere",POWER(Upgrades!$U$6,E360),1)*IF(Upgrades!$T$7="Magnetosphere",POWER(Upgrades!$U$7,F360),1)*IF(Upgrades!$T$8="Magnetosphere",POWER(Upgrades!$U$8,G360),1)*IF(Upgrades!$T$10="Magnetosphere",POWER(Upgrades!$U$10,I360),1)*IF(Upgrades!$T$11="Magnetosphere",POWER(Upgrades!$U$11,J360),1)*IF(Upgrades!$T$12="Magnetosphere",POWER(Upgrades!$U$12,K360),1))+(IF(I360=0,0,(Upgrades!$J$10+I360*Upgrades!$K$10)*POWER(Upgrades!$L$10,I360)))*(IF(Upgrades!$T$6="Orbital Resonance",POWER(Upgrades!$U$6,E360),1)*IF(Upgrades!$T$7="Orbital Resonance",POWER(Upgrades!$U$7,F360),1)*IF(Upgrades!$T$8="Orbital Resonance",POWER(Upgrades!$U$8,G360),1)*IF(Upgrades!$T$9="Orbital Resonance",POWER(Upgrades!$U$9,H360),1)*IF(Upgrades!$T$11="Orbital Resonance",POWER(Upgrades!$U$11,J360),1)*IF(Upgrades!$T$12="Orbital Resonance",POWER(Upgrades!$U$12,K360),1))+(IF(J360=0,0,(Upgrades!$J$11+J360*Upgrades!$K$11)*POWER(Upgrades!$L$11,J360)))*(IF(Upgrades!$T$6="Heliopause",POWER(Upgrades!$U$6,E360),1)*IF(Upgrades!$T$7="Heliopause",POWER(Upgrades!$U$7,F360),1)*IF(Upgrades!$T$8="Heliopause",POWER(Upgrades!$U$8,G360),1)*IF(Upgrades!$T$9="Heliopause",POWER(Upgrades!$U$9,H360),1)*IF(Upgrades!$T$10="Heliopause",POWER(Upgrades!$U$10,I360),1)*IF(Upgrades!$T$12="Heliopause",POWER(Upgrades!$U$12,K360),1))+(IF(K360=0,0,(Upgrades!$J$12+K360*Upgrades!$K$12)*POWER(Upgrades!$L$12,K360)))*(IF(Upgrades!$T$6="First Photons",POWER(Upgrades!$U$6,E360),1)*IF(Upgrades!$T$7="First Photons",POWER(Upgrades!$U$7,F360),1)*IF(Upgrades!$T$8="First Photons",POWER(Upgrades!$U$8,G360),1)*IF(Upgrades!$T$9="First Photons",POWER(Upgrades!$U$9,H360),1)*IF(Upgrades!$T$10="First Photons",POWER(Upgrades!$U$10,I360),1)*IF(Upgrades!$T$11="First Photons",POWER(Upgrades!$U$11,J360),1)))*POWER(Upgrades!$Q$6,E360)*POWER(Upgrades!$Q$7,F360)*POWER(Upgrades!$Q$8,G360)*POWER(Upgrades!$Q$9,H360)*POWER(Upgrades!$Q$10,I360)*POWER(Upgrades!$Q$11,J360)*POWER(Upgrades!$Q$12,K360)</f>
        <v>5.61</v>
      </c>
      <c r="N360" s="28" t="n">
        <f aca="false">((IF(E360=0,0,(Upgrades!$G$6+E360*Upgrades!$H$6)*POWER(Upgrades!$I$6,E360)))*(IF(Upgrades!$T$7="Solar Wind",POWER(Upgrades!$U$7,F360),1)*IF(Upgrades!$T$8="Solar Wind",POWER(Upgrades!$U$8,G360),1)*IF(Upgrades!$T$9="Solar Wind",POWER(Upgrades!$U$9,H360),1)*IF(Upgrades!$T$10="Solar Wind",POWER(Upgrades!$U$10,I360),1)*IF(Upgrades!$T$11="Solar Wind",POWER(Upgrades!$U$11,J360),1)*IF(Upgrades!$T$12="Solar Wind",POWER(Upgrades!$U$12,K360),1))+(IF(F360=0,0,(Upgrades!$G$7+F360*Upgrades!$H$7)*POWER(Upgrades!$I$7,F360)))*(IF(Upgrades!$T$6="Asteroid Belt",POWER(Upgrades!$U$6,E360),1)*IF(Upgrades!$T$8="Asteroid Belt",POWER(Upgrades!$U$8,G360),1)*IF(Upgrades!$T$9="Asteroid Belt",POWER(Upgrades!$U$9,H360),1)*IF(Upgrades!$T$10="Asteroid Belt",POWER(Upgrades!$U$10,I360),1)*IF(Upgrades!$T$11="Asteroid Belt",POWER(Upgrades!$U$11,J360),1)*IF(Upgrades!$T$12="Asteroid Belt",POWER(Upgrades!$U$12,K360),1))+(IF(G360=0,0,(Upgrades!$G$8+G360*Upgrades!$H$8)*POWER(Upgrades!$I$8,G360)))*(IF(Upgrades!$T$6="Stellar Coupling",POWER(Upgrades!$U$6,E360),1)*IF(Upgrades!$T$7="Stellar Coupling",POWER(Upgrades!$U$7,F360),1)*IF(Upgrades!$T$9="Stellar Coupling",POWER(Upgrades!$U$9,H360),1)*IF(Upgrades!$T$10="Stellar Coupling",POWER(Upgrades!$U$10,I360),1)*IF(Upgrades!$T$11="Stellar Coupling",POWER(Upgrades!$U$11,J360),1)*IF(Upgrades!$T$12="Stellar Coupling",POWER(Upgrades!$U$12,K360),1))+(IF(H360=0,0,(Upgrades!$G$9+H360*Upgrades!$H$9)*POWER(Upgrades!$I$9,H360)))*(IF(Upgrades!$T$6="Magnetosphere",POWER(Upgrades!$U$6,E360),1)*IF(Upgrades!$T$7="Magnetosphere",POWER(Upgrades!$U$7,F360),1)*IF(Upgrades!$T$8="Magnetosphere",POWER(Upgrades!$U$8,G360),1)*IF(Upgrades!$T$10="Magnetosphere",POWER(Upgrades!$U$10,I360),1)*IF(Upgrades!$T$11="Magnetosphere",POWER(Upgrades!$U$11,J360),1)*IF(Upgrades!$T$12="Magnetosphere",POWER(Upgrades!$U$12,K360),1))+(IF(I360=0,0,(Upgrades!$G$10+I360*Upgrades!$H$10)*POWER(Upgrades!$I$10,I360)))*(IF(Upgrades!$T$6="Orbital Resonance",POWER(Upgrades!$U$6,E360),1)*IF(Upgrades!$T$7="Orbital Resonance",POWER(Upgrades!$U$7,F360),1)*IF(Upgrades!$T$8="Orbital Resonance",POWER(Upgrades!$U$8,G360),1)*IF(Upgrades!$T$9="Orbital Resonance",POWER(Upgrades!$U$9,H360),1)*IF(Upgrades!$T$11="Orbital Resonance",POWER(Upgrades!$U$11,J360),1)*IF(Upgrades!$T$12="Orbital Resonance",POWER(Upgrades!$U$12,K360),1))+(IF(J360=0,0,(Upgrades!$G$11+J360*Upgrades!$H$11)*POWER(Upgrades!$I$11,J360)))*(IF(Upgrades!$T$6="Heliopause",POWER(Upgrades!$U$6,E360),1)*IF(Upgrades!$T$7="Heliopause",POWER(Upgrades!$U$7,F360),1)*IF(Upgrades!$T$8="Heliopause",POWER(Upgrades!$U$8,G360),1)*IF(Upgrades!$T$9="Heliopause",POWER(Upgrades!$U$9,H360),1)*IF(Upgrades!$T$10="Heliopause",POWER(Upgrades!$U$10,I360),1)*IF(Upgrades!$T$12="Heliopause",POWER(Upgrades!$U$12,K360),1))+(IF(K360=0,0,(Upgrades!$G$12+K360*Upgrades!$H$12)*POWER(Upgrades!$I$12,K360)))*(IF(Upgrades!$T$6="First Photons",POWER(Upgrades!$U$6,E360),1)*IF(Upgrades!$T$7="First Photons",POWER(Upgrades!$U$7,F360),1)*IF(Upgrades!$T$8="First Photons",POWER(Upgrades!$U$8,G360),1)*IF(Upgrades!$T$9="First Photons",POWER(Upgrades!$U$9,H360),1)*IF(Upgrades!$T$10="First Photons",POWER(Upgrades!$U$10,I360),1)*IF(Upgrades!$T$11="First Photons",POWER(Upgrades!$U$11,J360),1)))*POWER(Upgrades!$P$6,E360)*POWER(Upgrades!$P$7,F360)*POWER(Upgrades!$P$8,G360)*POWER(Upgrades!$P$9,H360)*POWER(Upgrades!$P$10,I360)*POWER(Upgrades!$P$11,J360)*POWER(Upgrades!$P$12,K360)</f>
        <v>11.2</v>
      </c>
      <c r="O360" s="28" t="n">
        <f aca="false">((IF(E360=0,0,(Upgrades!$M$6+E360*Upgrades!$N$6)*POWER(Upgrades!$O$6,E360)))*(IF(Upgrades!$T$7="Solar Wind",POWER(Upgrades!$U$7,F360),1)*IF(Upgrades!$T$8="Solar Wind",POWER(Upgrades!$U$8,G360),1)*IF(Upgrades!$T$9="Solar Wind",POWER(Upgrades!$U$9,H360),1)*IF(Upgrades!$T$10="Solar Wind",POWER(Upgrades!$U$10,I360),1)*IF(Upgrades!$T$11="Solar Wind",POWER(Upgrades!$U$11,J360),1)*IF(Upgrades!$T$12="Solar Wind",POWER(Upgrades!$U$12,K360),1))+(IF(F360=0,0,(Upgrades!$M$7+F360*Upgrades!$N$7)*POWER(Upgrades!$O$7,F360)))*(IF(Upgrades!$T$6="Asteroid Belt",POWER(Upgrades!$U$6,E360),1)*IF(Upgrades!$T$8="Asteroid Belt",POWER(Upgrades!$U$8,G360),1)*IF(Upgrades!$T$9="Asteroid Belt",POWER(Upgrades!$U$9,H360),1)*IF(Upgrades!$T$10="Asteroid Belt",POWER(Upgrades!$U$10,I360),1)*IF(Upgrades!$T$11="Asteroid Belt",POWER(Upgrades!$U$11,J360),1)*IF(Upgrades!$T$12="Asteroid Belt",POWER(Upgrades!$U$12,K360),1))+(IF(G360=0,0,(Upgrades!$M$8+G360*Upgrades!$N$8)*POWER(Upgrades!$O$8,G360)))*(IF(Upgrades!$T$6="Stellar Coupling",POWER(Upgrades!$U$6,E360),1)*IF(Upgrades!$T$7="Stellar Coupling",POWER(Upgrades!$U$7,F360),1)*IF(Upgrades!$T$9="Stellar Coupling",POWER(Upgrades!$U$9,H360),1)*IF(Upgrades!$T$10="Stellar Coupling",POWER(Upgrades!$U$10,I360),1)*IF(Upgrades!$T$11="Stellar Coupling",POWER(Upgrades!$U$11,J360),1)*IF(Upgrades!$T$12="Stellar Coupling",POWER(Upgrades!$U$12,K360),1))+(IF(H360=0,0,(Upgrades!$M$9+H360*Upgrades!$N$9)*POWER(Upgrades!$O$9,H360)))*(IF(Upgrades!$T$6="Magnetosphere",POWER(Upgrades!$U$6,E360),1)*IF(Upgrades!$T$7="Magnetosphere",POWER(Upgrades!$U$7,F360),1)*IF(Upgrades!$T$8="Magnetosphere",POWER(Upgrades!$U$8,G360),1)*IF(Upgrades!$T$10="Magnetosphere",POWER(Upgrades!$U$10,I360),1)*IF(Upgrades!$T$11="Magnetosphere",POWER(Upgrades!$U$11,J360),1)*IF(Upgrades!$T$12="Magnetosphere",POWER(Upgrades!$U$12,K360),1))+(IF(I360=0,0,(Upgrades!$M$10+I360*Upgrades!$N$10)*POWER(Upgrades!$O$10,I360)))*(IF(Upgrades!$T$6="Orbital Resonance",POWER(Upgrades!$U$6,E360),1)*IF(Upgrades!$T$7="Orbital Resonance",POWER(Upgrades!$U$7,F360),1)*IF(Upgrades!$T$8="Orbital Resonance",POWER(Upgrades!$U$8,G360),1)*IF(Upgrades!$T$9="Orbital Resonance",POWER(Upgrades!$U$9,H360),1)*IF(Upgrades!$T$11="Orbital Resonance",POWER(Upgrades!$U$11,J360),1)*IF(Upgrades!$T$12="Orbital Resonance",POWER(Upgrades!$U$12,K360),1))+(IF(J360=0,0,(Upgrades!$M$11+J360*Upgrades!$N$11)*POWER(Upgrades!$O$11,J360)))*(IF(Upgrades!$T$6="Heliopause",POWER(Upgrades!$U$6,E360),1)*IF(Upgrades!$T$7="Heliopause",POWER(Upgrades!$U$7,F360),1)*IF(Upgrades!$T$8="Heliopause",POWER(Upgrades!$U$8,G360),1)*IF(Upgrades!$T$9="Heliopause",POWER(Upgrades!$U$9,H360),1)*IF(Upgrades!$T$10="Heliopause",POWER(Upgrades!$U$10,I360),1)*IF(Upgrades!$T$12="Heliopause",POWER(Upgrades!$U$12,K360),1))+(IF(K360=0,0,(Upgrades!$M$12+K360*Upgrades!$N$12)*POWER(Upgrades!$O$12,K360)))*(IF(Upgrades!$T$6="First Photons",POWER(Upgrades!$U$6,E360),1)*IF(Upgrades!$T$7="First Photons",POWER(Upgrades!$U$7,F360),1)*IF(Upgrades!$T$8="First Photons",POWER(Upgrades!$U$8,G360),1)*IF(Upgrades!$T$9="First Photons",POWER(Upgrades!$U$9,H360),1)*IF(Upgrades!$T$10="First Photons",POWER(Upgrades!$U$10,I360),1)*IF(Upgrades!$T$11="First Photons",POWER(Upgrades!$U$11,J360),1)))*POWER(Upgrades!$R$6,E360)*POWER(Upgrades!$R$7,F360)*POWER(Upgrades!$R$8,G360)*POWER(Upgrades!$R$9,H360)*POWER(Upgrades!$R$10,I360)*POWER(Upgrades!$R$11,J360)*POWER(Upgrades!$R$12,K360)</f>
        <v>0</v>
      </c>
      <c r="P360" s="27" t="n">
        <f aca="false">IF(L360=1,0,M360*Parameters!$B$10/60*Parameters!$B$11*10)</f>
        <v>0</v>
      </c>
      <c r="Q360" s="27" t="n">
        <f aca="false">IF(L360=1,0,O360*M360*10)</f>
        <v>0</v>
      </c>
      <c r="R360" s="27" t="n">
        <f aca="false">IF(L360=1,0,N360*10)</f>
        <v>0</v>
      </c>
      <c r="S360" s="27" t="n">
        <f aca="false">P360+Q360+R360</f>
        <v>0</v>
      </c>
      <c r="T360" s="21" t="n">
        <f aca="false">C360+S360</f>
        <v>18.6730249835055</v>
      </c>
      <c r="U360" s="34" t="str">
        <f aca="false">AX360</f>
        <v/>
      </c>
      <c r="V360" s="21" t="n">
        <f aca="false">IF(U360="",0,IF(U360="transition",0,IF(U360="SW",AG360,IF(U360="AB",AH360,IF(U360="SC",AI360,IF(U360="Mag",AJ360,IF(U360="OR",AK360,IF(U360="HP",AL360,IF(U360="FP",AM360,0)))))))))</f>
        <v>0</v>
      </c>
      <c r="W360" s="27" t="n">
        <f aca="false">IF(U360="OR",Upgrades!$F$10,IF(U360="HP",Upgrades!$F$11,IF(U360="transition",-Parameters!$B$18,0)))</f>
        <v>0</v>
      </c>
      <c r="X360" s="21" t="n">
        <f aca="false">T360-V360</f>
        <v>18.6730249835055</v>
      </c>
      <c r="Y360" s="30" t="n">
        <f aca="false">M360*Parameters!$B$10/60*Parameters!$B$11+O360*M360+N360</f>
        <v>20.55</v>
      </c>
      <c r="Z360" s="35" t="str">
        <f aca="false">IF(U360="transition","→ Tier 2 (Stellar Neighborhood)",IF(U360="FP","First Photons — light begins, system quickens",IF(U360="HP","Heliopause acquired",IF(U360="OR","Orbital Resonance — passive multiplier active",IF(AND(AO360=1,L360=0,AN360&lt;&gt;1),"Cohesion ready (waiting on completionist upgrades)","")))))</f>
        <v/>
      </c>
      <c r="AA360" s="27" t="n">
        <f aca="false">(IF(E360=0,0,(Upgrades!$G$6+E360*Upgrades!$H$6)*POWER(Upgrades!$I$6,E360)))*(IF(Upgrades!$T$7="Solar Wind",POWER(Upgrades!$U$7,F360),1)*IF(Upgrades!$T$8="Solar Wind",POWER(Upgrades!$U$8,G360),1)*IF(Upgrades!$T$9="Solar Wind",POWER(Upgrades!$U$9,H360),1)*IF(Upgrades!$T$10="Solar Wind",POWER(Upgrades!$U$10,I360),1)*IF(Upgrades!$T$11="Solar Wind",POWER(Upgrades!$U$11,J360),1)*IF(Upgrades!$T$12="Solar Wind",POWER(Upgrades!$U$12,K360),1))*POWER(Upgrades!$P$6,E360)*POWER(Upgrades!$P$7,F360)*POWER(Upgrades!$P$8,G360)*POWER(Upgrades!$P$9,H360)*POWER(Upgrades!$P$10,I360)*POWER(Upgrades!$P$11,J360)*POWER(Upgrades!$P$12,K360)*60</f>
        <v>72</v>
      </c>
      <c r="AB360" s="27" t="n">
        <f aca="false">(IF(F360=0,0,(Upgrades!$G$7+F360*Upgrades!$H$7)*POWER(Upgrades!$I$7,F360)))*(IF(Upgrades!$T$6="Asteroid Belt",POWER(Upgrades!$U$6,E360),1)*IF(Upgrades!$T$8="Asteroid Belt",POWER(Upgrades!$U$8,G360),1)*IF(Upgrades!$T$9="Asteroid Belt",POWER(Upgrades!$U$9,H360),1)*IF(Upgrades!$T$10="Asteroid Belt",POWER(Upgrades!$U$10,I360),1)*IF(Upgrades!$T$11="Asteroid Belt",POWER(Upgrades!$U$11,J360),1)*IF(Upgrades!$T$12="Asteroid Belt",POWER(Upgrades!$U$12,K360),1))*POWER(Upgrades!$P$6,E360)*POWER(Upgrades!$P$7,F360)*POWER(Upgrades!$P$8,G360)*POWER(Upgrades!$P$9,H360)*POWER(Upgrades!$P$10,I360)*POWER(Upgrades!$P$11,J360)*POWER(Upgrades!$P$12,K360)*60</f>
        <v>150</v>
      </c>
      <c r="AC360" s="27" t="n">
        <f aca="false">(IF(G360=0,0,(Upgrades!$J$8+G360*Upgrades!$K$8)*POWER(Upgrades!$L$8,G360)))*(IF(Upgrades!$T$6="Stellar Coupling",POWER(Upgrades!$U$6,E360),1)*IF(Upgrades!$T$7="Stellar Coupling",POWER(Upgrades!$U$7,F360),1)*IF(Upgrades!$T$9="Stellar Coupling",POWER(Upgrades!$U$9,H360),1)*IF(Upgrades!$T$10="Stellar Coupling",POWER(Upgrades!$U$10,I360),1)*IF(Upgrades!$T$11="Stellar Coupling",POWER(Upgrades!$U$11,J360),1)*IF(Upgrades!$T$12="Stellar Coupling",POWER(Upgrades!$U$12,K360),1))*POWER(Upgrades!$Q$6,E360)*POWER(Upgrades!$Q$7,F360)*POWER(Upgrades!$Q$8,G360)*POWER(Upgrades!$Q$9,H360)*POWER(Upgrades!$Q$10,I360)*POWER(Upgrades!$Q$11,J360)*POWER(Upgrades!$Q$12,K360)*Parameters!$B$10*Parameters!$B$11</f>
        <v>441</v>
      </c>
      <c r="AD360" s="27" t="n">
        <f aca="false">(IF(H360=0,0,(Upgrades!$G$9+H360*Upgrades!$H$9)*POWER(Upgrades!$I$9,H360)))*(IF(Upgrades!$T$6="Magnetosphere",POWER(Upgrades!$U$6,E360),1)*IF(Upgrades!$T$7="Magnetosphere",POWER(Upgrades!$U$7,F360),1)*IF(Upgrades!$T$8="Magnetosphere",POWER(Upgrades!$U$8,G360),1)*IF(Upgrades!$T$10="Magnetosphere",POWER(Upgrades!$U$10,I360),1)*IF(Upgrades!$T$11="Magnetosphere",POWER(Upgrades!$U$11,J360),1)*IF(Upgrades!$T$12="Magnetosphere",POWER(Upgrades!$U$12,K360),1))*POWER(Upgrades!$P$6,E360)*POWER(Upgrades!$P$7,F360)*POWER(Upgrades!$P$8,G360)*POWER(Upgrades!$P$9,H360)*POWER(Upgrades!$P$10,I360)*POWER(Upgrades!$P$11,J360)*POWER(Upgrades!$P$12,K360)*60</f>
        <v>375</v>
      </c>
      <c r="AE360" s="27" t="n">
        <f aca="false">(IF(K360=0,0,(Upgrades!$G$12+K360*Upgrades!$H$12)*POWER(Upgrades!$I$12,K360)))*(IF(Upgrades!$T$6="First Photons",POWER(Upgrades!$U$6,E360),1)*IF(Upgrades!$T$7="First Photons",POWER(Upgrades!$U$7,F360),1)*IF(Upgrades!$T$8="First Photons",POWER(Upgrades!$U$8,G360),1)*IF(Upgrades!$T$9="First Photons",POWER(Upgrades!$U$9,H360),1)*IF(Upgrades!$T$10="First Photons",POWER(Upgrades!$U$10,I360),1)*IF(Upgrades!$T$11="First Photons",POWER(Upgrades!$U$11,J360),1))*POWER(Upgrades!$P$6,E360)*POWER(Upgrades!$P$7,F360)*POWER(Upgrades!$P$8,G360)*POWER(Upgrades!$P$9,H360)*POWER(Upgrades!$P$10,I360)*POWER(Upgrades!$P$11,J360)*POWER(Upgrades!$P$12,K360)*60</f>
        <v>75</v>
      </c>
      <c r="AF360" s="27" t="n">
        <f aca="false">Parameters!$B$9*POWER(Upgrades!$Q$6,E360)*POWER(Upgrades!$Q$7,F360)*POWER(Upgrades!$Q$8,G360)*POWER(Upgrades!$Q$9,H360)*POWER(Upgrades!$Q$10,I360)*POWER(Upgrades!$Q$11,J360)*POWER(Upgrades!$Q$12,K360)*(Parameters!$B$10*Parameters!$B$11+O360*60)</f>
        <v>120</v>
      </c>
      <c r="AG360" s="21" t="n">
        <f aca="false">IF(E360&gt;=Upgrades!$E$6,"",Upgrades!$C$6*POWER(Upgrades!$D$6,E360))</f>
        <v>37.4517507383159</v>
      </c>
      <c r="AH360" s="21" t="n">
        <f aca="false">IF(F360&gt;=Upgrades!$E$7,"",Upgrades!$C$7*POWER(Upgrades!$D$7,F360))</f>
        <v>80.9111547141581</v>
      </c>
      <c r="AI360" s="21" t="n">
        <f aca="false">IF(G360&gt;=Upgrades!$E$8,"",Upgrades!$C$8*POWER(Upgrades!$D$8,G360))</f>
        <v>231.9097088</v>
      </c>
      <c r="AJ360" s="21" t="str">
        <f aca="false">IF(H360&gt;=Upgrades!$E$9,"",Upgrades!$C$9*POWER(Upgrades!$D$9,H360))</f>
        <v/>
      </c>
      <c r="AK360" s="21" t="str">
        <f aca="false">IF(I360&gt;=Upgrades!$E$10,"",Upgrades!$C$10*POWER(Upgrades!$D$10,I360))</f>
        <v/>
      </c>
      <c r="AL360" s="21" t="str">
        <f aca="false">IF(J360&gt;=Upgrades!$E$11,"",Upgrades!$C$11*POWER(Upgrades!$D$11,J360))</f>
        <v/>
      </c>
      <c r="AM360" s="21" t="str">
        <f aca="false">IF(K360&gt;=Upgrades!$E$12,"",Upgrades!$C$12*POWER(Upgrades!$D$12,K360))</f>
        <v/>
      </c>
      <c r="AN360" s="26" t="str">
        <f aca="false">IF(AND(D360&gt;=Parameters!$B$18,(H360&gt;=Upgrades!$E$9)*(K360&gt;=Upgrades!$E$12)=1,L360=0),1,"")</f>
        <v/>
      </c>
      <c r="AO360" s="26" t="str">
        <f aca="false">IF(AND(D360&gt;=Parameters!$B$18,L360=0),1,"")</f>
        <v/>
      </c>
      <c r="AP360" s="21" t="n">
        <f aca="false">MIN(IF(ISNUMBER(AK360),AK360,9000000000000000),IF(ISNUMBER(AL360),AL360,9000000000000000),IF(ISNUMBER(AM360),AM360,9000000000000000))</f>
        <v>9000000000000000</v>
      </c>
      <c r="AQ360" s="21" t="n">
        <f aca="false">MIN(IF(ISNUMBER(AG360),AG360,9000000000000000),IF(ISNUMBER(AH360),AH360,9000000000000000),IF(ISNUMBER(AI360),AI360,9000000000000000),IF(ISNUMBER(AJ360),AJ360,9000000000000000))</f>
        <v>37.4517507383159</v>
      </c>
      <c r="AR360" s="32" t="b">
        <f aca="false">IF(AW360&gt;Parameters!$B$21*(MAX(IF(AND(NOT(AND(AO360=1,AN360&lt;&gt;1)),ISNUMBER(AG360),AG360&lt;=T360),AS360,0),IF(AND(NOT(AND(AO360=1,AN360&lt;&gt;1)),ISNUMBER(AH360),AH360&lt;=T360),AT360,0),IF(AND(NOT(AND(AO360=1,AN360&lt;&gt;1)),ISNUMBER(AI360),AI360&lt;=T360),AU360,0),IF(AND(ISNUMBER(AJ360),AJ360&lt;=T360),AV360,0))),TRUE(),FALSE())</f>
        <v>1</v>
      </c>
      <c r="AS360" s="33" t="n">
        <f aca="false">IFERROR(Upgrades!$H$6*(POWER(Upgrades!$P$6,E360)*POWER(Upgrades!$P$7,F360)*POWER(Upgrades!$P$8,G360)*POWER(Upgrades!$P$9,H360)*POWER(Upgrades!$P$10,I360)*POWER(Upgrades!$P$11,J360)*POWER(Upgrades!$P$12,K360))*(IF(Upgrades!$T$7="Solar Wind",POWER(Upgrades!$U$7,F360),1)*IF(Upgrades!$T$8="Solar Wind",POWER(Upgrades!$U$8,G360),1)*IF(Upgrades!$T$9="Solar Wind",POWER(Upgrades!$U$9,H360),1)*IF(Upgrades!$T$10="Solar Wind",POWER(Upgrades!$U$10,I360),1)*IF(Upgrades!$T$11="Solar Wind",POWER(Upgrades!$U$11,J360),1)*IF(Upgrades!$T$12="Solar Wind",POWER(Upgrades!$U$12,K360),1))/AG360,0)</f>
        <v>0.0026701021455238</v>
      </c>
      <c r="AT360" s="33" t="n">
        <f aca="false">IFERROR(Upgrades!$H$7*(POWER(Upgrades!$P$6,E360)*POWER(Upgrades!$P$7,F360)*POWER(Upgrades!$P$8,G360)*POWER(Upgrades!$P$9,H360)*POWER(Upgrades!$P$10,I360)*POWER(Upgrades!$P$11,J360)*POWER(Upgrades!$P$12,K360))*(IF(Upgrades!$T$6="Asteroid Belt",POWER(Upgrades!$U$6,E360),1)*IF(Upgrades!$T$8="Asteroid Belt",POWER(Upgrades!$U$8,G360),1)*IF(Upgrades!$T$9="Asteroid Belt",POWER(Upgrades!$U$9,H360),1)*IF(Upgrades!$T$10="Asteroid Belt",POWER(Upgrades!$U$10,I360),1)*IF(Upgrades!$T$11="Asteroid Belt",POWER(Upgrades!$U$11,J360),1)*IF(Upgrades!$T$12="Asteroid Belt",POWER(Upgrades!$U$12,K360),1))/AH360,0)</f>
        <v>0.00308980882652332</v>
      </c>
      <c r="AU360" s="33" t="n">
        <f aca="false">IFERROR(Upgrades!$K$8*(POWER(Upgrades!$Q$6,E360)*POWER(Upgrades!$Q$7,F360)*POWER(Upgrades!$Q$8,G360)*POWER(Upgrades!$Q$9,H360)*POWER(Upgrades!$Q$10,I360)*POWER(Upgrades!$Q$11,J360)*POWER(Upgrades!$Q$12,K360))*(IF(Upgrades!$T$6="Stellar Coupling",POWER(Upgrades!$U$6,E360),1)*IF(Upgrades!$T$7="Stellar Coupling",POWER(Upgrades!$U$7,F360),1)*IF(Upgrades!$T$9="Stellar Coupling",POWER(Upgrades!$U$9,H360),1)*IF(Upgrades!$T$10="Stellar Coupling",POWER(Upgrades!$U$10,I360),1)*IF(Upgrades!$T$11="Stellar Coupling",POWER(Upgrades!$U$11,J360),1)*IF(Upgrades!$T$12="Stellar Coupling",POWER(Upgrades!$U$12,K360),1))*Parameters!$B$10*Parameters!$B$11/60/AI360,0)</f>
        <v>0.00452762415783776</v>
      </c>
      <c r="AV360" s="33" t="n">
        <f aca="false">IFERROR(Upgrades!$H$9*(POWER(Upgrades!$P$6,E360)*POWER(Upgrades!$P$7,F360)*POWER(Upgrades!$P$8,G360)*POWER(Upgrades!$P$9,H360)*POWER(Upgrades!$P$10,I360)*POWER(Upgrades!$P$11,J360)*POWER(Upgrades!$P$12,K360))*(IF(Upgrades!$T$6="Magnetosphere",POWER(Upgrades!$U$6,E360),1)*IF(Upgrades!$T$7="Magnetosphere",POWER(Upgrades!$U$7,F360),1)*IF(Upgrades!$T$8="Magnetosphere",POWER(Upgrades!$U$8,G360),1)*IF(Upgrades!$T$10="Magnetosphere",POWER(Upgrades!$U$10,I360),1)*IF(Upgrades!$T$11="Magnetosphere",POWER(Upgrades!$U$11,J360),1)*IF(Upgrades!$T$12="Magnetosphere",POWER(Upgrades!$U$12,K360),1))/AJ360,0)</f>
        <v>0</v>
      </c>
      <c r="AW360" s="33" t="n">
        <f aca="false">MAX(IF(I360&gt;0,0,IFERROR(0.25*N360/Upgrades!$C$10,0)),IF(J360&gt;0,0,IFERROR(0.5*((IF(G360=0,0,(Upgrades!$J$8+G360*Upgrades!$K$8)*POWER(Upgrades!$L$8,G360)))*(IF(Upgrades!$T$6="Stellar Coupling",POWER(Upgrades!$U$6,E360),1)*IF(Upgrades!$T$7="Stellar Coupling",POWER(Upgrades!$U$7,F360),1)*IF(Upgrades!$T$9="Stellar Coupling",POWER(Upgrades!$U$9,H360),1)*IF(Upgrades!$T$10="Stellar Coupling",POWER(Upgrades!$U$10,I360),1)*IF(Upgrades!$T$11="Stellar Coupling",POWER(Upgrades!$U$11,J360),1)*IF(Upgrades!$T$12="Stellar Coupling",POWER(Upgrades!$U$12,K360),1))*(POWER(Upgrades!$Q$6,E360)*POWER(Upgrades!$Q$7,F360)*POWER(Upgrades!$Q$8,G360)*POWER(Upgrades!$Q$9,H360)*POWER(Upgrades!$Q$10,I360)*POWER(Upgrades!$Q$11,J360)*POWER(Upgrades!$Q$12,K360))*Parameters!$B$10*Parameters!$B$11/60)/Upgrades!$C$11,0)),IF(K360&gt;0,0,IFERROR((1*(POWER(Upgrades!$P$6,E360)*POWER(Upgrades!$P$7,F360)*POWER(Upgrades!$P$8,G360)*POWER(Upgrades!$P$9,H360)*POWER(Upgrades!$P$10,I360)*POWER(Upgrades!$P$11,J360)*POWER(Upgrades!$P$12,K360))+0.2*M360*Parameters!$B$10*Parameters!$B$11/60)/Upgrades!$C$12,0)),IF(AND(ISNUMBER(AG360),AG360&gt;T360),AS360,0),IF(AND(ISNUMBER(AH360),AH360&gt;T360),AT360,0),IF(AND(ISNUMBER(AI360),AI360&gt;T360),AU360,0),IF(AND(ISNUMBER(AJ360),AJ360&gt;T360),AV360,0))</f>
        <v>0.00452762415783776</v>
      </c>
      <c r="AX360" s="29" t="str">
        <f aca="false">IF(AN360=1,"transition",IF(MIN(IF(AND(I360=0,ISNUMBER(AK360),AK360&lt;=T360),AK360,9000000000000000),IF(AND(J360=0,ISNUMBER(AL360),AL360&lt;=T360),AL360,9000000000000000),IF(AND(K360=0,ISNUMBER(AM360),AM360&lt;=T360),AM360,9000000000000000))&lt;9000000000000000,IF(AND(AND(I360=0,ISNUMBER(AK360),AK360&lt;=T360),AK360=MIN(IF(AND(I360=0,ISNUMBER(AK360),AK360&lt;=T360),AK360,9000000000000000),IF(AND(J360=0,ISNUMBER(AL360),AL360&lt;=T360),AL360,9000000000000000),IF(AND(K360=0,ISNUMBER(AM360),AM360&lt;=T360),AM360,9000000000000000))),"OR",IF(AND(AND(J360=0,ISNUMBER(AL360),AL360&lt;=T360),AL360=MIN(IF(AND(I360=0,ISNUMBER(AK360),AK360&lt;=T360),AK360,9000000000000000),IF(AND(J360=0,ISNUMBER(AL360),AL360&lt;=T360),AL360,9000000000000000),IF(AND(K360=0,ISNUMBER(AM360),AM360&lt;=T360),AM360,9000000000000000))),"HP","FP")),IF(AR360=TRUE(),"",IF(MAX(IF(AND(NOT(AND(AO360=1,AN360&lt;&gt;1)),ISNUMBER(AG360),AG360&lt;=T360),AS360,0),IF(AND(NOT(AND(AO360=1,AN360&lt;&gt;1)),ISNUMBER(AH360),AH360&lt;=T360),AT360,0),IF(AND(NOT(AND(AO360=1,AN360&lt;&gt;1)),ISNUMBER(AI360),AI360&lt;=T360),AU360,0),IF(AND(ISNUMBER(AJ360),AJ360&lt;=T360),AV360,0))&lt;=0,"",IF(AND(IF(AND(NOT(AND(AO360=1,AN360&lt;&gt;1)),ISNUMBER(AG360),AG360&lt;=T360),AS360,0)&gt;0,IF(AND(NOT(AND(AO360=1,AN360&lt;&gt;1)),ISNUMBER(AG360),AG360&lt;=T360),AS360,0)=MAX(IF(AND(NOT(AND(AO360=1,AN360&lt;&gt;1)),ISNUMBER(AG360),AG360&lt;=T360),AS360,0),IF(AND(NOT(AND(AO360=1,AN360&lt;&gt;1)),ISNUMBER(AH360),AH360&lt;=T360),AT360,0),IF(AND(NOT(AND(AO360=1,AN360&lt;&gt;1)),ISNUMBER(AI360),AI360&lt;=T360),AU360,0),IF(AND(ISNUMBER(AJ360),AJ360&lt;=T360),AV360,0))),"SW",IF(AND(IF(AND(NOT(AND(AO360=1,AN360&lt;&gt;1)),ISNUMBER(AH360),AH360&lt;=T360),AT360,0)&gt;0,IF(AND(NOT(AND(AO360=1,AN360&lt;&gt;1)),ISNUMBER(AH360),AH360&lt;=T360),AT360,0)=MAX(IF(AND(NOT(AND(AO360=1,AN360&lt;&gt;1)),ISNUMBER(AG360),AG360&lt;=T360),AS360,0),IF(AND(NOT(AND(AO360=1,AN360&lt;&gt;1)),ISNUMBER(AH360),AH360&lt;=T360),AT360,0),IF(AND(NOT(AND(AO360=1,AN360&lt;&gt;1)),ISNUMBER(AI360),AI360&lt;=T360),AU360,0),IF(AND(ISNUMBER(AJ360),AJ360&lt;=T360),AV360,0))),"AB",IF(AND(IF(AND(NOT(AND(AO360=1,AN360&lt;&gt;1)),ISNUMBER(AI360),AI360&lt;=T360),AU360,0)&gt;0,IF(AND(NOT(AND(AO360=1,AN360&lt;&gt;1)),ISNUMBER(AI360),AI360&lt;=T360),AU360,0)=MAX(IF(AND(NOT(AND(AO360=1,AN360&lt;&gt;1)),ISNUMBER(AG360),AG360&lt;=T360),AS360,0),IF(AND(NOT(AND(AO360=1,AN360&lt;&gt;1)),ISNUMBER(AH360),AH360&lt;=T360),AT360,0),IF(AND(NOT(AND(AO360=1,AN360&lt;&gt;1)),ISNUMBER(AI360),AI360&lt;=T360),AU360,0),IF(AND(ISNUMBER(AJ360),AJ360&lt;=T360),AV360,0))),"SC","Mag")))))))</f>
        <v/>
      </c>
    </row>
    <row r="361" customFormat="false" ht="15" hidden="false" customHeight="false" outlineLevel="0" collapsed="false">
      <c r="A361" s="26" t="n">
        <v>356</v>
      </c>
      <c r="B361" s="27" t="n">
        <f aca="false">A361*10/60</f>
        <v>59.3333333333333</v>
      </c>
      <c r="C361" s="21" t="n">
        <f aca="false">X360</f>
        <v>18.6730249835055</v>
      </c>
      <c r="D361" s="27" t="n">
        <f aca="false">D360+W360</f>
        <v>0</v>
      </c>
      <c r="E361" s="26" t="n">
        <f aca="false">E360+IF(U360="SW",1,0)</f>
        <v>12</v>
      </c>
      <c r="F361" s="26" t="n">
        <f aca="false">F360+IF(U360="AB",1,0)</f>
        <v>10</v>
      </c>
      <c r="G361" s="26" t="n">
        <f aca="false">G360+IF(U360="SC",1,0)</f>
        <v>7</v>
      </c>
      <c r="H361" s="26" t="n">
        <f aca="false">H360+IF(U360="Mag",1,0)</f>
        <v>5</v>
      </c>
      <c r="I361" s="26" t="n">
        <f aca="false">MAX(I360,IF(U360="OR",1,0))</f>
        <v>1</v>
      </c>
      <c r="J361" s="26" t="n">
        <f aca="false">MAX(J360,IF(U360="HP",1,0))</f>
        <v>1</v>
      </c>
      <c r="K361" s="26" t="n">
        <f aca="false">MAX(K360,IF(U360="FP",1,0))</f>
        <v>1</v>
      </c>
      <c r="L361" s="26" t="n">
        <f aca="false">MAX(L360,IF(U360="transition",1,0))</f>
        <v>1</v>
      </c>
      <c r="M361" s="28" t="n">
        <f aca="false">(Parameters!$B$9+(IF(E361=0,0,(Upgrades!$J$6+E361*Upgrades!$K$6)*POWER(Upgrades!$L$6,E361)))*(IF(Upgrades!$T$7="Solar Wind",POWER(Upgrades!$U$7,F361),1)*IF(Upgrades!$T$8="Solar Wind",POWER(Upgrades!$U$8,G361),1)*IF(Upgrades!$T$9="Solar Wind",POWER(Upgrades!$U$9,H361),1)*IF(Upgrades!$T$10="Solar Wind",POWER(Upgrades!$U$10,I361),1)*IF(Upgrades!$T$11="Solar Wind",POWER(Upgrades!$U$11,J361),1)*IF(Upgrades!$T$12="Solar Wind",POWER(Upgrades!$U$12,K361),1))+(IF(F361=0,0,(Upgrades!$J$7+F361*Upgrades!$K$7)*POWER(Upgrades!$L$7,F361)))*(IF(Upgrades!$T$6="Asteroid Belt",POWER(Upgrades!$U$6,E361),1)*IF(Upgrades!$T$8="Asteroid Belt",POWER(Upgrades!$U$8,G361),1)*IF(Upgrades!$T$9="Asteroid Belt",POWER(Upgrades!$U$9,H361),1)*IF(Upgrades!$T$10="Asteroid Belt",POWER(Upgrades!$U$10,I361),1)*IF(Upgrades!$T$11="Asteroid Belt",POWER(Upgrades!$U$11,J361),1)*IF(Upgrades!$T$12="Asteroid Belt",POWER(Upgrades!$U$12,K361),1))+(IF(G361=0,0,(Upgrades!$J$8+G361*Upgrades!$K$8)*POWER(Upgrades!$L$8,G361)))*(IF(Upgrades!$T$6="Stellar Coupling",POWER(Upgrades!$U$6,E361),1)*IF(Upgrades!$T$7="Stellar Coupling",POWER(Upgrades!$U$7,F361),1)*IF(Upgrades!$T$9="Stellar Coupling",POWER(Upgrades!$U$9,H361),1)*IF(Upgrades!$T$10="Stellar Coupling",POWER(Upgrades!$U$10,I361),1)*IF(Upgrades!$T$11="Stellar Coupling",POWER(Upgrades!$U$11,J361),1)*IF(Upgrades!$T$12="Stellar Coupling",POWER(Upgrades!$U$12,K361),1))+(IF(H361=0,0,(Upgrades!$J$9+H361*Upgrades!$K$9)*POWER(Upgrades!$L$9,H361)))*(IF(Upgrades!$T$6="Magnetosphere",POWER(Upgrades!$U$6,E361),1)*IF(Upgrades!$T$7="Magnetosphere",POWER(Upgrades!$U$7,F361),1)*IF(Upgrades!$T$8="Magnetosphere",POWER(Upgrades!$U$8,G361),1)*IF(Upgrades!$T$10="Magnetosphere",POWER(Upgrades!$U$10,I361),1)*IF(Upgrades!$T$11="Magnetosphere",POWER(Upgrades!$U$11,J361),1)*IF(Upgrades!$T$12="Magnetosphere",POWER(Upgrades!$U$12,K361),1))+(IF(I361=0,0,(Upgrades!$J$10+I361*Upgrades!$K$10)*POWER(Upgrades!$L$10,I361)))*(IF(Upgrades!$T$6="Orbital Resonance",POWER(Upgrades!$U$6,E361),1)*IF(Upgrades!$T$7="Orbital Resonance",POWER(Upgrades!$U$7,F361),1)*IF(Upgrades!$T$8="Orbital Resonance",POWER(Upgrades!$U$8,G361),1)*IF(Upgrades!$T$9="Orbital Resonance",POWER(Upgrades!$U$9,H361),1)*IF(Upgrades!$T$11="Orbital Resonance",POWER(Upgrades!$U$11,J361),1)*IF(Upgrades!$T$12="Orbital Resonance",POWER(Upgrades!$U$12,K361),1))+(IF(J361=0,0,(Upgrades!$J$11+J361*Upgrades!$K$11)*POWER(Upgrades!$L$11,J361)))*(IF(Upgrades!$T$6="Heliopause",POWER(Upgrades!$U$6,E361),1)*IF(Upgrades!$T$7="Heliopause",POWER(Upgrades!$U$7,F361),1)*IF(Upgrades!$T$8="Heliopause",POWER(Upgrades!$U$8,G361),1)*IF(Upgrades!$T$9="Heliopause",POWER(Upgrades!$U$9,H361),1)*IF(Upgrades!$T$10="Heliopause",POWER(Upgrades!$U$10,I361),1)*IF(Upgrades!$T$12="Heliopause",POWER(Upgrades!$U$12,K361),1))+(IF(K361=0,0,(Upgrades!$J$12+K361*Upgrades!$K$12)*POWER(Upgrades!$L$12,K361)))*(IF(Upgrades!$T$6="First Photons",POWER(Upgrades!$U$6,E361),1)*IF(Upgrades!$T$7="First Photons",POWER(Upgrades!$U$7,F361),1)*IF(Upgrades!$T$8="First Photons",POWER(Upgrades!$U$8,G361),1)*IF(Upgrades!$T$9="First Photons",POWER(Upgrades!$U$9,H361),1)*IF(Upgrades!$T$10="First Photons",POWER(Upgrades!$U$10,I361),1)*IF(Upgrades!$T$11="First Photons",POWER(Upgrades!$U$11,J361),1)))*POWER(Upgrades!$Q$6,E361)*POWER(Upgrades!$Q$7,F361)*POWER(Upgrades!$Q$8,G361)*POWER(Upgrades!$Q$9,H361)*POWER(Upgrades!$Q$10,I361)*POWER(Upgrades!$Q$11,J361)*POWER(Upgrades!$Q$12,K361)</f>
        <v>5.61</v>
      </c>
      <c r="N361" s="28" t="n">
        <f aca="false">((IF(E361=0,0,(Upgrades!$G$6+E361*Upgrades!$H$6)*POWER(Upgrades!$I$6,E361)))*(IF(Upgrades!$T$7="Solar Wind",POWER(Upgrades!$U$7,F361),1)*IF(Upgrades!$T$8="Solar Wind",POWER(Upgrades!$U$8,G361),1)*IF(Upgrades!$T$9="Solar Wind",POWER(Upgrades!$U$9,H361),1)*IF(Upgrades!$T$10="Solar Wind",POWER(Upgrades!$U$10,I361),1)*IF(Upgrades!$T$11="Solar Wind",POWER(Upgrades!$U$11,J361),1)*IF(Upgrades!$T$12="Solar Wind",POWER(Upgrades!$U$12,K361),1))+(IF(F361=0,0,(Upgrades!$G$7+F361*Upgrades!$H$7)*POWER(Upgrades!$I$7,F361)))*(IF(Upgrades!$T$6="Asteroid Belt",POWER(Upgrades!$U$6,E361),1)*IF(Upgrades!$T$8="Asteroid Belt",POWER(Upgrades!$U$8,G361),1)*IF(Upgrades!$T$9="Asteroid Belt",POWER(Upgrades!$U$9,H361),1)*IF(Upgrades!$T$10="Asteroid Belt",POWER(Upgrades!$U$10,I361),1)*IF(Upgrades!$T$11="Asteroid Belt",POWER(Upgrades!$U$11,J361),1)*IF(Upgrades!$T$12="Asteroid Belt",POWER(Upgrades!$U$12,K361),1))+(IF(G361=0,0,(Upgrades!$G$8+G361*Upgrades!$H$8)*POWER(Upgrades!$I$8,G361)))*(IF(Upgrades!$T$6="Stellar Coupling",POWER(Upgrades!$U$6,E361),1)*IF(Upgrades!$T$7="Stellar Coupling",POWER(Upgrades!$U$7,F361),1)*IF(Upgrades!$T$9="Stellar Coupling",POWER(Upgrades!$U$9,H361),1)*IF(Upgrades!$T$10="Stellar Coupling",POWER(Upgrades!$U$10,I361),1)*IF(Upgrades!$T$11="Stellar Coupling",POWER(Upgrades!$U$11,J361),1)*IF(Upgrades!$T$12="Stellar Coupling",POWER(Upgrades!$U$12,K361),1))+(IF(H361=0,0,(Upgrades!$G$9+H361*Upgrades!$H$9)*POWER(Upgrades!$I$9,H361)))*(IF(Upgrades!$T$6="Magnetosphere",POWER(Upgrades!$U$6,E361),1)*IF(Upgrades!$T$7="Magnetosphere",POWER(Upgrades!$U$7,F361),1)*IF(Upgrades!$T$8="Magnetosphere",POWER(Upgrades!$U$8,G361),1)*IF(Upgrades!$T$10="Magnetosphere",POWER(Upgrades!$U$10,I361),1)*IF(Upgrades!$T$11="Magnetosphere",POWER(Upgrades!$U$11,J361),1)*IF(Upgrades!$T$12="Magnetosphere",POWER(Upgrades!$U$12,K361),1))+(IF(I361=0,0,(Upgrades!$G$10+I361*Upgrades!$H$10)*POWER(Upgrades!$I$10,I361)))*(IF(Upgrades!$T$6="Orbital Resonance",POWER(Upgrades!$U$6,E361),1)*IF(Upgrades!$T$7="Orbital Resonance",POWER(Upgrades!$U$7,F361),1)*IF(Upgrades!$T$8="Orbital Resonance",POWER(Upgrades!$U$8,G361),1)*IF(Upgrades!$T$9="Orbital Resonance",POWER(Upgrades!$U$9,H361),1)*IF(Upgrades!$T$11="Orbital Resonance",POWER(Upgrades!$U$11,J361),1)*IF(Upgrades!$T$12="Orbital Resonance",POWER(Upgrades!$U$12,K361),1))+(IF(J361=0,0,(Upgrades!$G$11+J361*Upgrades!$H$11)*POWER(Upgrades!$I$11,J361)))*(IF(Upgrades!$T$6="Heliopause",POWER(Upgrades!$U$6,E361),1)*IF(Upgrades!$T$7="Heliopause",POWER(Upgrades!$U$7,F361),1)*IF(Upgrades!$T$8="Heliopause",POWER(Upgrades!$U$8,G361),1)*IF(Upgrades!$T$9="Heliopause",POWER(Upgrades!$U$9,H361),1)*IF(Upgrades!$T$10="Heliopause",POWER(Upgrades!$U$10,I361),1)*IF(Upgrades!$T$12="Heliopause",POWER(Upgrades!$U$12,K361),1))+(IF(K361=0,0,(Upgrades!$G$12+K361*Upgrades!$H$12)*POWER(Upgrades!$I$12,K361)))*(IF(Upgrades!$T$6="First Photons",POWER(Upgrades!$U$6,E361),1)*IF(Upgrades!$T$7="First Photons",POWER(Upgrades!$U$7,F361),1)*IF(Upgrades!$T$8="First Photons",POWER(Upgrades!$U$8,G361),1)*IF(Upgrades!$T$9="First Photons",POWER(Upgrades!$U$9,H361),1)*IF(Upgrades!$T$10="First Photons",POWER(Upgrades!$U$10,I361),1)*IF(Upgrades!$T$11="First Photons",POWER(Upgrades!$U$11,J361),1)))*POWER(Upgrades!$P$6,E361)*POWER(Upgrades!$P$7,F361)*POWER(Upgrades!$P$8,G361)*POWER(Upgrades!$P$9,H361)*POWER(Upgrades!$P$10,I361)*POWER(Upgrades!$P$11,J361)*POWER(Upgrades!$P$12,K361)</f>
        <v>11.2</v>
      </c>
      <c r="O361" s="28" t="n">
        <f aca="false">((IF(E361=0,0,(Upgrades!$M$6+E361*Upgrades!$N$6)*POWER(Upgrades!$O$6,E361)))*(IF(Upgrades!$T$7="Solar Wind",POWER(Upgrades!$U$7,F361),1)*IF(Upgrades!$T$8="Solar Wind",POWER(Upgrades!$U$8,G361),1)*IF(Upgrades!$T$9="Solar Wind",POWER(Upgrades!$U$9,H361),1)*IF(Upgrades!$T$10="Solar Wind",POWER(Upgrades!$U$10,I361),1)*IF(Upgrades!$T$11="Solar Wind",POWER(Upgrades!$U$11,J361),1)*IF(Upgrades!$T$12="Solar Wind",POWER(Upgrades!$U$12,K361),1))+(IF(F361=0,0,(Upgrades!$M$7+F361*Upgrades!$N$7)*POWER(Upgrades!$O$7,F361)))*(IF(Upgrades!$T$6="Asteroid Belt",POWER(Upgrades!$U$6,E361),1)*IF(Upgrades!$T$8="Asteroid Belt",POWER(Upgrades!$U$8,G361),1)*IF(Upgrades!$T$9="Asteroid Belt",POWER(Upgrades!$U$9,H361),1)*IF(Upgrades!$T$10="Asteroid Belt",POWER(Upgrades!$U$10,I361),1)*IF(Upgrades!$T$11="Asteroid Belt",POWER(Upgrades!$U$11,J361),1)*IF(Upgrades!$T$12="Asteroid Belt",POWER(Upgrades!$U$12,K361),1))+(IF(G361=0,0,(Upgrades!$M$8+G361*Upgrades!$N$8)*POWER(Upgrades!$O$8,G361)))*(IF(Upgrades!$T$6="Stellar Coupling",POWER(Upgrades!$U$6,E361),1)*IF(Upgrades!$T$7="Stellar Coupling",POWER(Upgrades!$U$7,F361),1)*IF(Upgrades!$T$9="Stellar Coupling",POWER(Upgrades!$U$9,H361),1)*IF(Upgrades!$T$10="Stellar Coupling",POWER(Upgrades!$U$10,I361),1)*IF(Upgrades!$T$11="Stellar Coupling",POWER(Upgrades!$U$11,J361),1)*IF(Upgrades!$T$12="Stellar Coupling",POWER(Upgrades!$U$12,K361),1))+(IF(H361=0,0,(Upgrades!$M$9+H361*Upgrades!$N$9)*POWER(Upgrades!$O$9,H361)))*(IF(Upgrades!$T$6="Magnetosphere",POWER(Upgrades!$U$6,E361),1)*IF(Upgrades!$T$7="Magnetosphere",POWER(Upgrades!$U$7,F361),1)*IF(Upgrades!$T$8="Magnetosphere",POWER(Upgrades!$U$8,G361),1)*IF(Upgrades!$T$10="Magnetosphere",POWER(Upgrades!$U$10,I361),1)*IF(Upgrades!$T$11="Magnetosphere",POWER(Upgrades!$U$11,J361),1)*IF(Upgrades!$T$12="Magnetosphere",POWER(Upgrades!$U$12,K361),1))+(IF(I361=0,0,(Upgrades!$M$10+I361*Upgrades!$N$10)*POWER(Upgrades!$O$10,I361)))*(IF(Upgrades!$T$6="Orbital Resonance",POWER(Upgrades!$U$6,E361),1)*IF(Upgrades!$T$7="Orbital Resonance",POWER(Upgrades!$U$7,F361),1)*IF(Upgrades!$T$8="Orbital Resonance",POWER(Upgrades!$U$8,G361),1)*IF(Upgrades!$T$9="Orbital Resonance",POWER(Upgrades!$U$9,H361),1)*IF(Upgrades!$T$11="Orbital Resonance",POWER(Upgrades!$U$11,J361),1)*IF(Upgrades!$T$12="Orbital Resonance",POWER(Upgrades!$U$12,K361),1))+(IF(J361=0,0,(Upgrades!$M$11+J361*Upgrades!$N$11)*POWER(Upgrades!$O$11,J361)))*(IF(Upgrades!$T$6="Heliopause",POWER(Upgrades!$U$6,E361),1)*IF(Upgrades!$T$7="Heliopause",POWER(Upgrades!$U$7,F361),1)*IF(Upgrades!$T$8="Heliopause",POWER(Upgrades!$U$8,G361),1)*IF(Upgrades!$T$9="Heliopause",POWER(Upgrades!$U$9,H361),1)*IF(Upgrades!$T$10="Heliopause",POWER(Upgrades!$U$10,I361),1)*IF(Upgrades!$T$12="Heliopause",POWER(Upgrades!$U$12,K361),1))+(IF(K361=0,0,(Upgrades!$M$12+K361*Upgrades!$N$12)*POWER(Upgrades!$O$12,K361)))*(IF(Upgrades!$T$6="First Photons",POWER(Upgrades!$U$6,E361),1)*IF(Upgrades!$T$7="First Photons",POWER(Upgrades!$U$7,F361),1)*IF(Upgrades!$T$8="First Photons",POWER(Upgrades!$U$8,G361),1)*IF(Upgrades!$T$9="First Photons",POWER(Upgrades!$U$9,H361),1)*IF(Upgrades!$T$10="First Photons",POWER(Upgrades!$U$10,I361),1)*IF(Upgrades!$T$11="First Photons",POWER(Upgrades!$U$11,J361),1)))*POWER(Upgrades!$R$6,E361)*POWER(Upgrades!$R$7,F361)*POWER(Upgrades!$R$8,G361)*POWER(Upgrades!$R$9,H361)*POWER(Upgrades!$R$10,I361)*POWER(Upgrades!$R$11,J361)*POWER(Upgrades!$R$12,K361)</f>
        <v>0</v>
      </c>
      <c r="P361" s="27" t="n">
        <f aca="false">IF(L361=1,0,M361*Parameters!$B$10/60*Parameters!$B$11*10)</f>
        <v>0</v>
      </c>
      <c r="Q361" s="27" t="n">
        <f aca="false">IF(L361=1,0,O361*M361*10)</f>
        <v>0</v>
      </c>
      <c r="R361" s="27" t="n">
        <f aca="false">IF(L361=1,0,N361*10)</f>
        <v>0</v>
      </c>
      <c r="S361" s="27" t="n">
        <f aca="false">P361+Q361+R361</f>
        <v>0</v>
      </c>
      <c r="T361" s="21" t="n">
        <f aca="false">C361+S361</f>
        <v>18.6730249835055</v>
      </c>
      <c r="U361" s="34" t="str">
        <f aca="false">AX361</f>
        <v/>
      </c>
      <c r="V361" s="21" t="n">
        <f aca="false">IF(U361="",0,IF(U361="transition",0,IF(U361="SW",AG361,IF(U361="AB",AH361,IF(U361="SC",AI361,IF(U361="Mag",AJ361,IF(U361="OR",AK361,IF(U361="HP",AL361,IF(U361="FP",AM361,0)))))))))</f>
        <v>0</v>
      </c>
      <c r="W361" s="27" t="n">
        <f aca="false">IF(U361="OR",Upgrades!$F$10,IF(U361="HP",Upgrades!$F$11,IF(U361="transition",-Parameters!$B$18,0)))</f>
        <v>0</v>
      </c>
      <c r="X361" s="21" t="n">
        <f aca="false">T361-V361</f>
        <v>18.6730249835055</v>
      </c>
      <c r="Y361" s="30" t="n">
        <f aca="false">M361*Parameters!$B$10/60*Parameters!$B$11+O361*M361+N361</f>
        <v>20.55</v>
      </c>
      <c r="Z361" s="35" t="str">
        <f aca="false">IF(U361="transition","→ Tier 2 (Stellar Neighborhood)",IF(U361="FP","First Photons — light begins, system quickens",IF(U361="HP","Heliopause acquired",IF(U361="OR","Orbital Resonance — passive multiplier active",IF(AND(AO361=1,L361=0,AN361&lt;&gt;1),"Cohesion ready (waiting on completionist upgrades)","")))))</f>
        <v/>
      </c>
      <c r="AA361" s="27" t="n">
        <f aca="false">(IF(E361=0,0,(Upgrades!$G$6+E361*Upgrades!$H$6)*POWER(Upgrades!$I$6,E361)))*(IF(Upgrades!$T$7="Solar Wind",POWER(Upgrades!$U$7,F361),1)*IF(Upgrades!$T$8="Solar Wind",POWER(Upgrades!$U$8,G361),1)*IF(Upgrades!$T$9="Solar Wind",POWER(Upgrades!$U$9,H361),1)*IF(Upgrades!$T$10="Solar Wind",POWER(Upgrades!$U$10,I361),1)*IF(Upgrades!$T$11="Solar Wind",POWER(Upgrades!$U$11,J361),1)*IF(Upgrades!$T$12="Solar Wind",POWER(Upgrades!$U$12,K361),1))*POWER(Upgrades!$P$6,E361)*POWER(Upgrades!$P$7,F361)*POWER(Upgrades!$P$8,G361)*POWER(Upgrades!$P$9,H361)*POWER(Upgrades!$P$10,I361)*POWER(Upgrades!$P$11,J361)*POWER(Upgrades!$P$12,K361)*60</f>
        <v>72</v>
      </c>
      <c r="AB361" s="27" t="n">
        <f aca="false">(IF(F361=0,0,(Upgrades!$G$7+F361*Upgrades!$H$7)*POWER(Upgrades!$I$7,F361)))*(IF(Upgrades!$T$6="Asteroid Belt",POWER(Upgrades!$U$6,E361),1)*IF(Upgrades!$T$8="Asteroid Belt",POWER(Upgrades!$U$8,G361),1)*IF(Upgrades!$T$9="Asteroid Belt",POWER(Upgrades!$U$9,H361),1)*IF(Upgrades!$T$10="Asteroid Belt",POWER(Upgrades!$U$10,I361),1)*IF(Upgrades!$T$11="Asteroid Belt",POWER(Upgrades!$U$11,J361),1)*IF(Upgrades!$T$12="Asteroid Belt",POWER(Upgrades!$U$12,K361),1))*POWER(Upgrades!$P$6,E361)*POWER(Upgrades!$P$7,F361)*POWER(Upgrades!$P$8,G361)*POWER(Upgrades!$P$9,H361)*POWER(Upgrades!$P$10,I361)*POWER(Upgrades!$P$11,J361)*POWER(Upgrades!$P$12,K361)*60</f>
        <v>150</v>
      </c>
      <c r="AC361" s="27" t="n">
        <f aca="false">(IF(G361=0,0,(Upgrades!$J$8+G361*Upgrades!$K$8)*POWER(Upgrades!$L$8,G361)))*(IF(Upgrades!$T$6="Stellar Coupling",POWER(Upgrades!$U$6,E361),1)*IF(Upgrades!$T$7="Stellar Coupling",POWER(Upgrades!$U$7,F361),1)*IF(Upgrades!$T$9="Stellar Coupling",POWER(Upgrades!$U$9,H361),1)*IF(Upgrades!$T$10="Stellar Coupling",POWER(Upgrades!$U$10,I361),1)*IF(Upgrades!$T$11="Stellar Coupling",POWER(Upgrades!$U$11,J361),1)*IF(Upgrades!$T$12="Stellar Coupling",POWER(Upgrades!$U$12,K361),1))*POWER(Upgrades!$Q$6,E361)*POWER(Upgrades!$Q$7,F361)*POWER(Upgrades!$Q$8,G361)*POWER(Upgrades!$Q$9,H361)*POWER(Upgrades!$Q$10,I361)*POWER(Upgrades!$Q$11,J361)*POWER(Upgrades!$Q$12,K361)*Parameters!$B$10*Parameters!$B$11</f>
        <v>441</v>
      </c>
      <c r="AD361" s="27" t="n">
        <f aca="false">(IF(H361=0,0,(Upgrades!$G$9+H361*Upgrades!$H$9)*POWER(Upgrades!$I$9,H361)))*(IF(Upgrades!$T$6="Magnetosphere",POWER(Upgrades!$U$6,E361),1)*IF(Upgrades!$T$7="Magnetosphere",POWER(Upgrades!$U$7,F361),1)*IF(Upgrades!$T$8="Magnetosphere",POWER(Upgrades!$U$8,G361),1)*IF(Upgrades!$T$10="Magnetosphere",POWER(Upgrades!$U$10,I361),1)*IF(Upgrades!$T$11="Magnetosphere",POWER(Upgrades!$U$11,J361),1)*IF(Upgrades!$T$12="Magnetosphere",POWER(Upgrades!$U$12,K361),1))*POWER(Upgrades!$P$6,E361)*POWER(Upgrades!$P$7,F361)*POWER(Upgrades!$P$8,G361)*POWER(Upgrades!$P$9,H361)*POWER(Upgrades!$P$10,I361)*POWER(Upgrades!$P$11,J361)*POWER(Upgrades!$P$12,K361)*60</f>
        <v>375</v>
      </c>
      <c r="AE361" s="27" t="n">
        <f aca="false">(IF(K361=0,0,(Upgrades!$G$12+K361*Upgrades!$H$12)*POWER(Upgrades!$I$12,K361)))*(IF(Upgrades!$T$6="First Photons",POWER(Upgrades!$U$6,E361),1)*IF(Upgrades!$T$7="First Photons",POWER(Upgrades!$U$7,F361),1)*IF(Upgrades!$T$8="First Photons",POWER(Upgrades!$U$8,G361),1)*IF(Upgrades!$T$9="First Photons",POWER(Upgrades!$U$9,H361),1)*IF(Upgrades!$T$10="First Photons",POWER(Upgrades!$U$10,I361),1)*IF(Upgrades!$T$11="First Photons",POWER(Upgrades!$U$11,J361),1))*POWER(Upgrades!$P$6,E361)*POWER(Upgrades!$P$7,F361)*POWER(Upgrades!$P$8,G361)*POWER(Upgrades!$P$9,H361)*POWER(Upgrades!$P$10,I361)*POWER(Upgrades!$P$11,J361)*POWER(Upgrades!$P$12,K361)*60</f>
        <v>75</v>
      </c>
      <c r="AF361" s="27" t="n">
        <f aca="false">Parameters!$B$9*POWER(Upgrades!$Q$6,E361)*POWER(Upgrades!$Q$7,F361)*POWER(Upgrades!$Q$8,G361)*POWER(Upgrades!$Q$9,H361)*POWER(Upgrades!$Q$10,I361)*POWER(Upgrades!$Q$11,J361)*POWER(Upgrades!$Q$12,K361)*(Parameters!$B$10*Parameters!$B$11+O361*60)</f>
        <v>120</v>
      </c>
      <c r="AG361" s="21" t="n">
        <f aca="false">IF(E361&gt;=Upgrades!$E$6,"",Upgrades!$C$6*POWER(Upgrades!$D$6,E361))</f>
        <v>37.4517507383159</v>
      </c>
      <c r="AH361" s="21" t="n">
        <f aca="false">IF(F361&gt;=Upgrades!$E$7,"",Upgrades!$C$7*POWER(Upgrades!$D$7,F361))</f>
        <v>80.9111547141581</v>
      </c>
      <c r="AI361" s="21" t="n">
        <f aca="false">IF(G361&gt;=Upgrades!$E$8,"",Upgrades!$C$8*POWER(Upgrades!$D$8,G361))</f>
        <v>231.9097088</v>
      </c>
      <c r="AJ361" s="21" t="str">
        <f aca="false">IF(H361&gt;=Upgrades!$E$9,"",Upgrades!$C$9*POWER(Upgrades!$D$9,H361))</f>
        <v/>
      </c>
      <c r="AK361" s="21" t="str">
        <f aca="false">IF(I361&gt;=Upgrades!$E$10,"",Upgrades!$C$10*POWER(Upgrades!$D$10,I361))</f>
        <v/>
      </c>
      <c r="AL361" s="21" t="str">
        <f aca="false">IF(J361&gt;=Upgrades!$E$11,"",Upgrades!$C$11*POWER(Upgrades!$D$11,J361))</f>
        <v/>
      </c>
      <c r="AM361" s="21" t="str">
        <f aca="false">IF(K361&gt;=Upgrades!$E$12,"",Upgrades!$C$12*POWER(Upgrades!$D$12,K361))</f>
        <v/>
      </c>
      <c r="AN361" s="26" t="str">
        <f aca="false">IF(AND(D361&gt;=Parameters!$B$18,(H361&gt;=Upgrades!$E$9)*(K361&gt;=Upgrades!$E$12)=1,L361=0),1,"")</f>
        <v/>
      </c>
      <c r="AO361" s="26" t="str">
        <f aca="false">IF(AND(D361&gt;=Parameters!$B$18,L361=0),1,"")</f>
        <v/>
      </c>
      <c r="AP361" s="21" t="n">
        <f aca="false">MIN(IF(ISNUMBER(AK361),AK361,9000000000000000),IF(ISNUMBER(AL361),AL361,9000000000000000),IF(ISNUMBER(AM361),AM361,9000000000000000))</f>
        <v>9000000000000000</v>
      </c>
      <c r="AQ361" s="21" t="n">
        <f aca="false">MIN(IF(ISNUMBER(AG361),AG361,9000000000000000),IF(ISNUMBER(AH361),AH361,9000000000000000),IF(ISNUMBER(AI361),AI361,9000000000000000),IF(ISNUMBER(AJ361),AJ361,9000000000000000))</f>
        <v>37.4517507383159</v>
      </c>
      <c r="AR361" s="32" t="b">
        <f aca="false">IF(AW361&gt;Parameters!$B$21*(MAX(IF(AND(NOT(AND(AO361=1,AN361&lt;&gt;1)),ISNUMBER(AG361),AG361&lt;=T361),AS361,0),IF(AND(NOT(AND(AO361=1,AN361&lt;&gt;1)),ISNUMBER(AH361),AH361&lt;=T361),AT361,0),IF(AND(NOT(AND(AO361=1,AN361&lt;&gt;1)),ISNUMBER(AI361),AI361&lt;=T361),AU361,0),IF(AND(ISNUMBER(AJ361),AJ361&lt;=T361),AV361,0))),TRUE(),FALSE())</f>
        <v>1</v>
      </c>
      <c r="AS361" s="33" t="n">
        <f aca="false">IFERROR(Upgrades!$H$6*(POWER(Upgrades!$P$6,E361)*POWER(Upgrades!$P$7,F361)*POWER(Upgrades!$P$8,G361)*POWER(Upgrades!$P$9,H361)*POWER(Upgrades!$P$10,I361)*POWER(Upgrades!$P$11,J361)*POWER(Upgrades!$P$12,K361))*(IF(Upgrades!$T$7="Solar Wind",POWER(Upgrades!$U$7,F361),1)*IF(Upgrades!$T$8="Solar Wind",POWER(Upgrades!$U$8,G361),1)*IF(Upgrades!$T$9="Solar Wind",POWER(Upgrades!$U$9,H361),1)*IF(Upgrades!$T$10="Solar Wind",POWER(Upgrades!$U$10,I361),1)*IF(Upgrades!$T$11="Solar Wind",POWER(Upgrades!$U$11,J361),1)*IF(Upgrades!$T$12="Solar Wind",POWER(Upgrades!$U$12,K361),1))/AG361,0)</f>
        <v>0.0026701021455238</v>
      </c>
      <c r="AT361" s="33" t="n">
        <f aca="false">IFERROR(Upgrades!$H$7*(POWER(Upgrades!$P$6,E361)*POWER(Upgrades!$P$7,F361)*POWER(Upgrades!$P$8,G361)*POWER(Upgrades!$P$9,H361)*POWER(Upgrades!$P$10,I361)*POWER(Upgrades!$P$11,J361)*POWER(Upgrades!$P$12,K361))*(IF(Upgrades!$T$6="Asteroid Belt",POWER(Upgrades!$U$6,E361),1)*IF(Upgrades!$T$8="Asteroid Belt",POWER(Upgrades!$U$8,G361),1)*IF(Upgrades!$T$9="Asteroid Belt",POWER(Upgrades!$U$9,H361),1)*IF(Upgrades!$T$10="Asteroid Belt",POWER(Upgrades!$U$10,I361),1)*IF(Upgrades!$T$11="Asteroid Belt",POWER(Upgrades!$U$11,J361),1)*IF(Upgrades!$T$12="Asteroid Belt",POWER(Upgrades!$U$12,K361),1))/AH361,0)</f>
        <v>0.00308980882652332</v>
      </c>
      <c r="AU361" s="33" t="n">
        <f aca="false">IFERROR(Upgrades!$K$8*(POWER(Upgrades!$Q$6,E361)*POWER(Upgrades!$Q$7,F361)*POWER(Upgrades!$Q$8,G361)*POWER(Upgrades!$Q$9,H361)*POWER(Upgrades!$Q$10,I361)*POWER(Upgrades!$Q$11,J361)*POWER(Upgrades!$Q$12,K361))*(IF(Upgrades!$T$6="Stellar Coupling",POWER(Upgrades!$U$6,E361),1)*IF(Upgrades!$T$7="Stellar Coupling",POWER(Upgrades!$U$7,F361),1)*IF(Upgrades!$T$9="Stellar Coupling",POWER(Upgrades!$U$9,H361),1)*IF(Upgrades!$T$10="Stellar Coupling",POWER(Upgrades!$U$10,I361),1)*IF(Upgrades!$T$11="Stellar Coupling",POWER(Upgrades!$U$11,J361),1)*IF(Upgrades!$T$12="Stellar Coupling",POWER(Upgrades!$U$12,K361),1))*Parameters!$B$10*Parameters!$B$11/60/AI361,0)</f>
        <v>0.00452762415783776</v>
      </c>
      <c r="AV361" s="33" t="n">
        <f aca="false">IFERROR(Upgrades!$H$9*(POWER(Upgrades!$P$6,E361)*POWER(Upgrades!$P$7,F361)*POWER(Upgrades!$P$8,G361)*POWER(Upgrades!$P$9,H361)*POWER(Upgrades!$P$10,I361)*POWER(Upgrades!$P$11,J361)*POWER(Upgrades!$P$12,K361))*(IF(Upgrades!$T$6="Magnetosphere",POWER(Upgrades!$U$6,E361),1)*IF(Upgrades!$T$7="Magnetosphere",POWER(Upgrades!$U$7,F361),1)*IF(Upgrades!$T$8="Magnetosphere",POWER(Upgrades!$U$8,G361),1)*IF(Upgrades!$T$10="Magnetosphere",POWER(Upgrades!$U$10,I361),1)*IF(Upgrades!$T$11="Magnetosphere",POWER(Upgrades!$U$11,J361),1)*IF(Upgrades!$T$12="Magnetosphere",POWER(Upgrades!$U$12,K361),1))/AJ361,0)</f>
        <v>0</v>
      </c>
      <c r="AW361" s="33" t="n">
        <f aca="false">MAX(IF(I361&gt;0,0,IFERROR(0.25*N361/Upgrades!$C$10,0)),IF(J361&gt;0,0,IFERROR(0.5*((IF(G361=0,0,(Upgrades!$J$8+G361*Upgrades!$K$8)*POWER(Upgrades!$L$8,G361)))*(IF(Upgrades!$T$6="Stellar Coupling",POWER(Upgrades!$U$6,E361),1)*IF(Upgrades!$T$7="Stellar Coupling",POWER(Upgrades!$U$7,F361),1)*IF(Upgrades!$T$9="Stellar Coupling",POWER(Upgrades!$U$9,H361),1)*IF(Upgrades!$T$10="Stellar Coupling",POWER(Upgrades!$U$10,I361),1)*IF(Upgrades!$T$11="Stellar Coupling",POWER(Upgrades!$U$11,J361),1)*IF(Upgrades!$T$12="Stellar Coupling",POWER(Upgrades!$U$12,K361),1))*(POWER(Upgrades!$Q$6,E361)*POWER(Upgrades!$Q$7,F361)*POWER(Upgrades!$Q$8,G361)*POWER(Upgrades!$Q$9,H361)*POWER(Upgrades!$Q$10,I361)*POWER(Upgrades!$Q$11,J361)*POWER(Upgrades!$Q$12,K361))*Parameters!$B$10*Parameters!$B$11/60)/Upgrades!$C$11,0)),IF(K361&gt;0,0,IFERROR((1*(POWER(Upgrades!$P$6,E361)*POWER(Upgrades!$P$7,F361)*POWER(Upgrades!$P$8,G361)*POWER(Upgrades!$P$9,H361)*POWER(Upgrades!$P$10,I361)*POWER(Upgrades!$P$11,J361)*POWER(Upgrades!$P$12,K361))+0.2*M361*Parameters!$B$10*Parameters!$B$11/60)/Upgrades!$C$12,0)),IF(AND(ISNUMBER(AG361),AG361&gt;T361),AS361,0),IF(AND(ISNUMBER(AH361),AH361&gt;T361),AT361,0),IF(AND(ISNUMBER(AI361),AI361&gt;T361),AU361,0),IF(AND(ISNUMBER(AJ361),AJ361&gt;T361),AV361,0))</f>
        <v>0.00452762415783776</v>
      </c>
      <c r="AX361" s="29" t="str">
        <f aca="false">IF(AN361=1,"transition",IF(MIN(IF(AND(I361=0,ISNUMBER(AK361),AK361&lt;=T361),AK361,9000000000000000),IF(AND(J361=0,ISNUMBER(AL361),AL361&lt;=T361),AL361,9000000000000000),IF(AND(K361=0,ISNUMBER(AM361),AM361&lt;=T361),AM361,9000000000000000))&lt;9000000000000000,IF(AND(AND(I361=0,ISNUMBER(AK361),AK361&lt;=T361),AK361=MIN(IF(AND(I361=0,ISNUMBER(AK361),AK361&lt;=T361),AK361,9000000000000000),IF(AND(J361=0,ISNUMBER(AL361),AL361&lt;=T361),AL361,9000000000000000),IF(AND(K361=0,ISNUMBER(AM361),AM361&lt;=T361),AM361,9000000000000000))),"OR",IF(AND(AND(J361=0,ISNUMBER(AL361),AL361&lt;=T361),AL361=MIN(IF(AND(I361=0,ISNUMBER(AK361),AK361&lt;=T361),AK361,9000000000000000),IF(AND(J361=0,ISNUMBER(AL361),AL361&lt;=T361),AL361,9000000000000000),IF(AND(K361=0,ISNUMBER(AM361),AM361&lt;=T361),AM361,9000000000000000))),"HP","FP")),IF(AR361=TRUE(),"",IF(MAX(IF(AND(NOT(AND(AO361=1,AN361&lt;&gt;1)),ISNUMBER(AG361),AG361&lt;=T361),AS361,0),IF(AND(NOT(AND(AO361=1,AN361&lt;&gt;1)),ISNUMBER(AH361),AH361&lt;=T361),AT361,0),IF(AND(NOT(AND(AO361=1,AN361&lt;&gt;1)),ISNUMBER(AI361),AI361&lt;=T361),AU361,0),IF(AND(ISNUMBER(AJ361),AJ361&lt;=T361),AV361,0))&lt;=0,"",IF(AND(IF(AND(NOT(AND(AO361=1,AN361&lt;&gt;1)),ISNUMBER(AG361),AG361&lt;=T361),AS361,0)&gt;0,IF(AND(NOT(AND(AO361=1,AN361&lt;&gt;1)),ISNUMBER(AG361),AG361&lt;=T361),AS361,0)=MAX(IF(AND(NOT(AND(AO361=1,AN361&lt;&gt;1)),ISNUMBER(AG361),AG361&lt;=T361),AS361,0),IF(AND(NOT(AND(AO361=1,AN361&lt;&gt;1)),ISNUMBER(AH361),AH361&lt;=T361),AT361,0),IF(AND(NOT(AND(AO361=1,AN361&lt;&gt;1)),ISNUMBER(AI361),AI361&lt;=T361),AU361,0),IF(AND(ISNUMBER(AJ361),AJ361&lt;=T361),AV361,0))),"SW",IF(AND(IF(AND(NOT(AND(AO361=1,AN361&lt;&gt;1)),ISNUMBER(AH361),AH361&lt;=T361),AT361,0)&gt;0,IF(AND(NOT(AND(AO361=1,AN361&lt;&gt;1)),ISNUMBER(AH361),AH361&lt;=T361),AT361,0)=MAX(IF(AND(NOT(AND(AO361=1,AN361&lt;&gt;1)),ISNUMBER(AG361),AG361&lt;=T361),AS361,0),IF(AND(NOT(AND(AO361=1,AN361&lt;&gt;1)),ISNUMBER(AH361),AH361&lt;=T361),AT361,0),IF(AND(NOT(AND(AO361=1,AN361&lt;&gt;1)),ISNUMBER(AI361),AI361&lt;=T361),AU361,0),IF(AND(ISNUMBER(AJ361),AJ361&lt;=T361),AV361,0))),"AB",IF(AND(IF(AND(NOT(AND(AO361=1,AN361&lt;&gt;1)),ISNUMBER(AI361),AI361&lt;=T361),AU361,0)&gt;0,IF(AND(NOT(AND(AO361=1,AN361&lt;&gt;1)),ISNUMBER(AI361),AI361&lt;=T361),AU361,0)=MAX(IF(AND(NOT(AND(AO361=1,AN361&lt;&gt;1)),ISNUMBER(AG361),AG361&lt;=T361),AS361,0),IF(AND(NOT(AND(AO361=1,AN361&lt;&gt;1)),ISNUMBER(AH361),AH361&lt;=T361),AT361,0),IF(AND(NOT(AND(AO361=1,AN361&lt;&gt;1)),ISNUMBER(AI361),AI361&lt;=T361),AU361,0),IF(AND(ISNUMBER(AJ361),AJ361&lt;=T361),AV361,0))),"SC","Mag")))))))</f>
        <v/>
      </c>
    </row>
    <row r="362" customFormat="false" ht="15" hidden="false" customHeight="false" outlineLevel="0" collapsed="false">
      <c r="A362" s="26" t="n">
        <v>357</v>
      </c>
      <c r="B362" s="27" t="n">
        <f aca="false">A362*10/60</f>
        <v>59.5</v>
      </c>
      <c r="C362" s="21" t="n">
        <f aca="false">X361</f>
        <v>18.6730249835055</v>
      </c>
      <c r="D362" s="27" t="n">
        <f aca="false">D361+W361</f>
        <v>0</v>
      </c>
      <c r="E362" s="26" t="n">
        <f aca="false">E361+IF(U361="SW",1,0)</f>
        <v>12</v>
      </c>
      <c r="F362" s="26" t="n">
        <f aca="false">F361+IF(U361="AB",1,0)</f>
        <v>10</v>
      </c>
      <c r="G362" s="26" t="n">
        <f aca="false">G361+IF(U361="SC",1,0)</f>
        <v>7</v>
      </c>
      <c r="H362" s="26" t="n">
        <f aca="false">H361+IF(U361="Mag",1,0)</f>
        <v>5</v>
      </c>
      <c r="I362" s="26" t="n">
        <f aca="false">MAX(I361,IF(U361="OR",1,0))</f>
        <v>1</v>
      </c>
      <c r="J362" s="26" t="n">
        <f aca="false">MAX(J361,IF(U361="HP",1,0))</f>
        <v>1</v>
      </c>
      <c r="K362" s="26" t="n">
        <f aca="false">MAX(K361,IF(U361="FP",1,0))</f>
        <v>1</v>
      </c>
      <c r="L362" s="26" t="n">
        <f aca="false">MAX(L361,IF(U361="transition",1,0))</f>
        <v>1</v>
      </c>
      <c r="M362" s="28" t="n">
        <f aca="false">(Parameters!$B$9+(IF(E362=0,0,(Upgrades!$J$6+E362*Upgrades!$K$6)*POWER(Upgrades!$L$6,E362)))*(IF(Upgrades!$T$7="Solar Wind",POWER(Upgrades!$U$7,F362),1)*IF(Upgrades!$T$8="Solar Wind",POWER(Upgrades!$U$8,G362),1)*IF(Upgrades!$T$9="Solar Wind",POWER(Upgrades!$U$9,H362),1)*IF(Upgrades!$T$10="Solar Wind",POWER(Upgrades!$U$10,I362),1)*IF(Upgrades!$T$11="Solar Wind",POWER(Upgrades!$U$11,J362),1)*IF(Upgrades!$T$12="Solar Wind",POWER(Upgrades!$U$12,K362),1))+(IF(F362=0,0,(Upgrades!$J$7+F362*Upgrades!$K$7)*POWER(Upgrades!$L$7,F362)))*(IF(Upgrades!$T$6="Asteroid Belt",POWER(Upgrades!$U$6,E362),1)*IF(Upgrades!$T$8="Asteroid Belt",POWER(Upgrades!$U$8,G362),1)*IF(Upgrades!$T$9="Asteroid Belt",POWER(Upgrades!$U$9,H362),1)*IF(Upgrades!$T$10="Asteroid Belt",POWER(Upgrades!$U$10,I362),1)*IF(Upgrades!$T$11="Asteroid Belt",POWER(Upgrades!$U$11,J362),1)*IF(Upgrades!$T$12="Asteroid Belt",POWER(Upgrades!$U$12,K362),1))+(IF(G362=0,0,(Upgrades!$J$8+G362*Upgrades!$K$8)*POWER(Upgrades!$L$8,G362)))*(IF(Upgrades!$T$6="Stellar Coupling",POWER(Upgrades!$U$6,E362),1)*IF(Upgrades!$T$7="Stellar Coupling",POWER(Upgrades!$U$7,F362),1)*IF(Upgrades!$T$9="Stellar Coupling",POWER(Upgrades!$U$9,H362),1)*IF(Upgrades!$T$10="Stellar Coupling",POWER(Upgrades!$U$10,I362),1)*IF(Upgrades!$T$11="Stellar Coupling",POWER(Upgrades!$U$11,J362),1)*IF(Upgrades!$T$12="Stellar Coupling",POWER(Upgrades!$U$12,K362),1))+(IF(H362=0,0,(Upgrades!$J$9+H362*Upgrades!$K$9)*POWER(Upgrades!$L$9,H362)))*(IF(Upgrades!$T$6="Magnetosphere",POWER(Upgrades!$U$6,E362),1)*IF(Upgrades!$T$7="Magnetosphere",POWER(Upgrades!$U$7,F362),1)*IF(Upgrades!$T$8="Magnetosphere",POWER(Upgrades!$U$8,G362),1)*IF(Upgrades!$T$10="Magnetosphere",POWER(Upgrades!$U$10,I362),1)*IF(Upgrades!$T$11="Magnetosphere",POWER(Upgrades!$U$11,J362),1)*IF(Upgrades!$T$12="Magnetosphere",POWER(Upgrades!$U$12,K362),1))+(IF(I362=0,0,(Upgrades!$J$10+I362*Upgrades!$K$10)*POWER(Upgrades!$L$10,I362)))*(IF(Upgrades!$T$6="Orbital Resonance",POWER(Upgrades!$U$6,E362),1)*IF(Upgrades!$T$7="Orbital Resonance",POWER(Upgrades!$U$7,F362),1)*IF(Upgrades!$T$8="Orbital Resonance",POWER(Upgrades!$U$8,G362),1)*IF(Upgrades!$T$9="Orbital Resonance",POWER(Upgrades!$U$9,H362),1)*IF(Upgrades!$T$11="Orbital Resonance",POWER(Upgrades!$U$11,J362),1)*IF(Upgrades!$T$12="Orbital Resonance",POWER(Upgrades!$U$12,K362),1))+(IF(J362=0,0,(Upgrades!$J$11+J362*Upgrades!$K$11)*POWER(Upgrades!$L$11,J362)))*(IF(Upgrades!$T$6="Heliopause",POWER(Upgrades!$U$6,E362),1)*IF(Upgrades!$T$7="Heliopause",POWER(Upgrades!$U$7,F362),1)*IF(Upgrades!$T$8="Heliopause",POWER(Upgrades!$U$8,G362),1)*IF(Upgrades!$T$9="Heliopause",POWER(Upgrades!$U$9,H362),1)*IF(Upgrades!$T$10="Heliopause",POWER(Upgrades!$U$10,I362),1)*IF(Upgrades!$T$12="Heliopause",POWER(Upgrades!$U$12,K362),1))+(IF(K362=0,0,(Upgrades!$J$12+K362*Upgrades!$K$12)*POWER(Upgrades!$L$12,K362)))*(IF(Upgrades!$T$6="First Photons",POWER(Upgrades!$U$6,E362),1)*IF(Upgrades!$T$7="First Photons",POWER(Upgrades!$U$7,F362),1)*IF(Upgrades!$T$8="First Photons",POWER(Upgrades!$U$8,G362),1)*IF(Upgrades!$T$9="First Photons",POWER(Upgrades!$U$9,H362),1)*IF(Upgrades!$T$10="First Photons",POWER(Upgrades!$U$10,I362),1)*IF(Upgrades!$T$11="First Photons",POWER(Upgrades!$U$11,J362),1)))*POWER(Upgrades!$Q$6,E362)*POWER(Upgrades!$Q$7,F362)*POWER(Upgrades!$Q$8,G362)*POWER(Upgrades!$Q$9,H362)*POWER(Upgrades!$Q$10,I362)*POWER(Upgrades!$Q$11,J362)*POWER(Upgrades!$Q$12,K362)</f>
        <v>5.61</v>
      </c>
      <c r="N362" s="28" t="n">
        <f aca="false">((IF(E362=0,0,(Upgrades!$G$6+E362*Upgrades!$H$6)*POWER(Upgrades!$I$6,E362)))*(IF(Upgrades!$T$7="Solar Wind",POWER(Upgrades!$U$7,F362),1)*IF(Upgrades!$T$8="Solar Wind",POWER(Upgrades!$U$8,G362),1)*IF(Upgrades!$T$9="Solar Wind",POWER(Upgrades!$U$9,H362),1)*IF(Upgrades!$T$10="Solar Wind",POWER(Upgrades!$U$10,I362),1)*IF(Upgrades!$T$11="Solar Wind",POWER(Upgrades!$U$11,J362),1)*IF(Upgrades!$T$12="Solar Wind",POWER(Upgrades!$U$12,K362),1))+(IF(F362=0,0,(Upgrades!$G$7+F362*Upgrades!$H$7)*POWER(Upgrades!$I$7,F362)))*(IF(Upgrades!$T$6="Asteroid Belt",POWER(Upgrades!$U$6,E362),1)*IF(Upgrades!$T$8="Asteroid Belt",POWER(Upgrades!$U$8,G362),1)*IF(Upgrades!$T$9="Asteroid Belt",POWER(Upgrades!$U$9,H362),1)*IF(Upgrades!$T$10="Asteroid Belt",POWER(Upgrades!$U$10,I362),1)*IF(Upgrades!$T$11="Asteroid Belt",POWER(Upgrades!$U$11,J362),1)*IF(Upgrades!$T$12="Asteroid Belt",POWER(Upgrades!$U$12,K362),1))+(IF(G362=0,0,(Upgrades!$G$8+G362*Upgrades!$H$8)*POWER(Upgrades!$I$8,G362)))*(IF(Upgrades!$T$6="Stellar Coupling",POWER(Upgrades!$U$6,E362),1)*IF(Upgrades!$T$7="Stellar Coupling",POWER(Upgrades!$U$7,F362),1)*IF(Upgrades!$T$9="Stellar Coupling",POWER(Upgrades!$U$9,H362),1)*IF(Upgrades!$T$10="Stellar Coupling",POWER(Upgrades!$U$10,I362),1)*IF(Upgrades!$T$11="Stellar Coupling",POWER(Upgrades!$U$11,J362),1)*IF(Upgrades!$T$12="Stellar Coupling",POWER(Upgrades!$U$12,K362),1))+(IF(H362=0,0,(Upgrades!$G$9+H362*Upgrades!$H$9)*POWER(Upgrades!$I$9,H362)))*(IF(Upgrades!$T$6="Magnetosphere",POWER(Upgrades!$U$6,E362),1)*IF(Upgrades!$T$7="Magnetosphere",POWER(Upgrades!$U$7,F362),1)*IF(Upgrades!$T$8="Magnetosphere",POWER(Upgrades!$U$8,G362),1)*IF(Upgrades!$T$10="Magnetosphere",POWER(Upgrades!$U$10,I362),1)*IF(Upgrades!$T$11="Magnetosphere",POWER(Upgrades!$U$11,J362),1)*IF(Upgrades!$T$12="Magnetosphere",POWER(Upgrades!$U$12,K362),1))+(IF(I362=0,0,(Upgrades!$G$10+I362*Upgrades!$H$10)*POWER(Upgrades!$I$10,I362)))*(IF(Upgrades!$T$6="Orbital Resonance",POWER(Upgrades!$U$6,E362),1)*IF(Upgrades!$T$7="Orbital Resonance",POWER(Upgrades!$U$7,F362),1)*IF(Upgrades!$T$8="Orbital Resonance",POWER(Upgrades!$U$8,G362),1)*IF(Upgrades!$T$9="Orbital Resonance",POWER(Upgrades!$U$9,H362),1)*IF(Upgrades!$T$11="Orbital Resonance",POWER(Upgrades!$U$11,J362),1)*IF(Upgrades!$T$12="Orbital Resonance",POWER(Upgrades!$U$12,K362),1))+(IF(J362=0,0,(Upgrades!$G$11+J362*Upgrades!$H$11)*POWER(Upgrades!$I$11,J362)))*(IF(Upgrades!$T$6="Heliopause",POWER(Upgrades!$U$6,E362),1)*IF(Upgrades!$T$7="Heliopause",POWER(Upgrades!$U$7,F362),1)*IF(Upgrades!$T$8="Heliopause",POWER(Upgrades!$U$8,G362),1)*IF(Upgrades!$T$9="Heliopause",POWER(Upgrades!$U$9,H362),1)*IF(Upgrades!$T$10="Heliopause",POWER(Upgrades!$U$10,I362),1)*IF(Upgrades!$T$12="Heliopause",POWER(Upgrades!$U$12,K362),1))+(IF(K362=0,0,(Upgrades!$G$12+K362*Upgrades!$H$12)*POWER(Upgrades!$I$12,K362)))*(IF(Upgrades!$T$6="First Photons",POWER(Upgrades!$U$6,E362),1)*IF(Upgrades!$T$7="First Photons",POWER(Upgrades!$U$7,F362),1)*IF(Upgrades!$T$8="First Photons",POWER(Upgrades!$U$8,G362),1)*IF(Upgrades!$T$9="First Photons",POWER(Upgrades!$U$9,H362),1)*IF(Upgrades!$T$10="First Photons",POWER(Upgrades!$U$10,I362),1)*IF(Upgrades!$T$11="First Photons",POWER(Upgrades!$U$11,J362),1)))*POWER(Upgrades!$P$6,E362)*POWER(Upgrades!$P$7,F362)*POWER(Upgrades!$P$8,G362)*POWER(Upgrades!$P$9,H362)*POWER(Upgrades!$P$10,I362)*POWER(Upgrades!$P$11,J362)*POWER(Upgrades!$P$12,K362)</f>
        <v>11.2</v>
      </c>
      <c r="O362" s="28" t="n">
        <f aca="false">((IF(E362=0,0,(Upgrades!$M$6+E362*Upgrades!$N$6)*POWER(Upgrades!$O$6,E362)))*(IF(Upgrades!$T$7="Solar Wind",POWER(Upgrades!$U$7,F362),1)*IF(Upgrades!$T$8="Solar Wind",POWER(Upgrades!$U$8,G362),1)*IF(Upgrades!$T$9="Solar Wind",POWER(Upgrades!$U$9,H362),1)*IF(Upgrades!$T$10="Solar Wind",POWER(Upgrades!$U$10,I362),1)*IF(Upgrades!$T$11="Solar Wind",POWER(Upgrades!$U$11,J362),1)*IF(Upgrades!$T$12="Solar Wind",POWER(Upgrades!$U$12,K362),1))+(IF(F362=0,0,(Upgrades!$M$7+F362*Upgrades!$N$7)*POWER(Upgrades!$O$7,F362)))*(IF(Upgrades!$T$6="Asteroid Belt",POWER(Upgrades!$U$6,E362),1)*IF(Upgrades!$T$8="Asteroid Belt",POWER(Upgrades!$U$8,G362),1)*IF(Upgrades!$T$9="Asteroid Belt",POWER(Upgrades!$U$9,H362),1)*IF(Upgrades!$T$10="Asteroid Belt",POWER(Upgrades!$U$10,I362),1)*IF(Upgrades!$T$11="Asteroid Belt",POWER(Upgrades!$U$11,J362),1)*IF(Upgrades!$T$12="Asteroid Belt",POWER(Upgrades!$U$12,K362),1))+(IF(G362=0,0,(Upgrades!$M$8+G362*Upgrades!$N$8)*POWER(Upgrades!$O$8,G362)))*(IF(Upgrades!$T$6="Stellar Coupling",POWER(Upgrades!$U$6,E362),1)*IF(Upgrades!$T$7="Stellar Coupling",POWER(Upgrades!$U$7,F362),1)*IF(Upgrades!$T$9="Stellar Coupling",POWER(Upgrades!$U$9,H362),1)*IF(Upgrades!$T$10="Stellar Coupling",POWER(Upgrades!$U$10,I362),1)*IF(Upgrades!$T$11="Stellar Coupling",POWER(Upgrades!$U$11,J362),1)*IF(Upgrades!$T$12="Stellar Coupling",POWER(Upgrades!$U$12,K362),1))+(IF(H362=0,0,(Upgrades!$M$9+H362*Upgrades!$N$9)*POWER(Upgrades!$O$9,H362)))*(IF(Upgrades!$T$6="Magnetosphere",POWER(Upgrades!$U$6,E362),1)*IF(Upgrades!$T$7="Magnetosphere",POWER(Upgrades!$U$7,F362),1)*IF(Upgrades!$T$8="Magnetosphere",POWER(Upgrades!$U$8,G362),1)*IF(Upgrades!$T$10="Magnetosphere",POWER(Upgrades!$U$10,I362),1)*IF(Upgrades!$T$11="Magnetosphere",POWER(Upgrades!$U$11,J362),1)*IF(Upgrades!$T$12="Magnetosphere",POWER(Upgrades!$U$12,K362),1))+(IF(I362=0,0,(Upgrades!$M$10+I362*Upgrades!$N$10)*POWER(Upgrades!$O$10,I362)))*(IF(Upgrades!$T$6="Orbital Resonance",POWER(Upgrades!$U$6,E362),1)*IF(Upgrades!$T$7="Orbital Resonance",POWER(Upgrades!$U$7,F362),1)*IF(Upgrades!$T$8="Orbital Resonance",POWER(Upgrades!$U$8,G362),1)*IF(Upgrades!$T$9="Orbital Resonance",POWER(Upgrades!$U$9,H362),1)*IF(Upgrades!$T$11="Orbital Resonance",POWER(Upgrades!$U$11,J362),1)*IF(Upgrades!$T$12="Orbital Resonance",POWER(Upgrades!$U$12,K362),1))+(IF(J362=0,0,(Upgrades!$M$11+J362*Upgrades!$N$11)*POWER(Upgrades!$O$11,J362)))*(IF(Upgrades!$T$6="Heliopause",POWER(Upgrades!$U$6,E362),1)*IF(Upgrades!$T$7="Heliopause",POWER(Upgrades!$U$7,F362),1)*IF(Upgrades!$T$8="Heliopause",POWER(Upgrades!$U$8,G362),1)*IF(Upgrades!$T$9="Heliopause",POWER(Upgrades!$U$9,H362),1)*IF(Upgrades!$T$10="Heliopause",POWER(Upgrades!$U$10,I362),1)*IF(Upgrades!$T$12="Heliopause",POWER(Upgrades!$U$12,K362),1))+(IF(K362=0,0,(Upgrades!$M$12+K362*Upgrades!$N$12)*POWER(Upgrades!$O$12,K362)))*(IF(Upgrades!$T$6="First Photons",POWER(Upgrades!$U$6,E362),1)*IF(Upgrades!$T$7="First Photons",POWER(Upgrades!$U$7,F362),1)*IF(Upgrades!$T$8="First Photons",POWER(Upgrades!$U$8,G362),1)*IF(Upgrades!$T$9="First Photons",POWER(Upgrades!$U$9,H362),1)*IF(Upgrades!$T$10="First Photons",POWER(Upgrades!$U$10,I362),1)*IF(Upgrades!$T$11="First Photons",POWER(Upgrades!$U$11,J362),1)))*POWER(Upgrades!$R$6,E362)*POWER(Upgrades!$R$7,F362)*POWER(Upgrades!$R$8,G362)*POWER(Upgrades!$R$9,H362)*POWER(Upgrades!$R$10,I362)*POWER(Upgrades!$R$11,J362)*POWER(Upgrades!$R$12,K362)</f>
        <v>0</v>
      </c>
      <c r="P362" s="27" t="n">
        <f aca="false">IF(L362=1,0,M362*Parameters!$B$10/60*Parameters!$B$11*10)</f>
        <v>0</v>
      </c>
      <c r="Q362" s="27" t="n">
        <f aca="false">IF(L362=1,0,O362*M362*10)</f>
        <v>0</v>
      </c>
      <c r="R362" s="27" t="n">
        <f aca="false">IF(L362=1,0,N362*10)</f>
        <v>0</v>
      </c>
      <c r="S362" s="27" t="n">
        <f aca="false">P362+Q362+R362</f>
        <v>0</v>
      </c>
      <c r="T362" s="21" t="n">
        <f aca="false">C362+S362</f>
        <v>18.6730249835055</v>
      </c>
      <c r="U362" s="34" t="str">
        <f aca="false">AX362</f>
        <v/>
      </c>
      <c r="V362" s="21" t="n">
        <f aca="false">IF(U362="",0,IF(U362="transition",0,IF(U362="SW",AG362,IF(U362="AB",AH362,IF(U362="SC",AI362,IF(U362="Mag",AJ362,IF(U362="OR",AK362,IF(U362="HP",AL362,IF(U362="FP",AM362,0)))))))))</f>
        <v>0</v>
      </c>
      <c r="W362" s="27" t="n">
        <f aca="false">IF(U362="OR",Upgrades!$F$10,IF(U362="HP",Upgrades!$F$11,IF(U362="transition",-Parameters!$B$18,0)))</f>
        <v>0</v>
      </c>
      <c r="X362" s="21" t="n">
        <f aca="false">T362-V362</f>
        <v>18.6730249835055</v>
      </c>
      <c r="Y362" s="30" t="n">
        <f aca="false">M362*Parameters!$B$10/60*Parameters!$B$11+O362*M362+N362</f>
        <v>20.55</v>
      </c>
      <c r="Z362" s="35" t="str">
        <f aca="false">IF(U362="transition","→ Tier 2 (Stellar Neighborhood)",IF(U362="FP","First Photons — light begins, system quickens",IF(U362="HP","Heliopause acquired",IF(U362="OR","Orbital Resonance — passive multiplier active",IF(AND(AO362=1,L362=0,AN362&lt;&gt;1),"Cohesion ready (waiting on completionist upgrades)","")))))</f>
        <v/>
      </c>
      <c r="AA362" s="27" t="n">
        <f aca="false">(IF(E362=0,0,(Upgrades!$G$6+E362*Upgrades!$H$6)*POWER(Upgrades!$I$6,E362)))*(IF(Upgrades!$T$7="Solar Wind",POWER(Upgrades!$U$7,F362),1)*IF(Upgrades!$T$8="Solar Wind",POWER(Upgrades!$U$8,G362),1)*IF(Upgrades!$T$9="Solar Wind",POWER(Upgrades!$U$9,H362),1)*IF(Upgrades!$T$10="Solar Wind",POWER(Upgrades!$U$10,I362),1)*IF(Upgrades!$T$11="Solar Wind",POWER(Upgrades!$U$11,J362),1)*IF(Upgrades!$T$12="Solar Wind",POWER(Upgrades!$U$12,K362),1))*POWER(Upgrades!$P$6,E362)*POWER(Upgrades!$P$7,F362)*POWER(Upgrades!$P$8,G362)*POWER(Upgrades!$P$9,H362)*POWER(Upgrades!$P$10,I362)*POWER(Upgrades!$P$11,J362)*POWER(Upgrades!$P$12,K362)*60</f>
        <v>72</v>
      </c>
      <c r="AB362" s="27" t="n">
        <f aca="false">(IF(F362=0,0,(Upgrades!$G$7+F362*Upgrades!$H$7)*POWER(Upgrades!$I$7,F362)))*(IF(Upgrades!$T$6="Asteroid Belt",POWER(Upgrades!$U$6,E362),1)*IF(Upgrades!$T$8="Asteroid Belt",POWER(Upgrades!$U$8,G362),1)*IF(Upgrades!$T$9="Asteroid Belt",POWER(Upgrades!$U$9,H362),1)*IF(Upgrades!$T$10="Asteroid Belt",POWER(Upgrades!$U$10,I362),1)*IF(Upgrades!$T$11="Asteroid Belt",POWER(Upgrades!$U$11,J362),1)*IF(Upgrades!$T$12="Asteroid Belt",POWER(Upgrades!$U$12,K362),1))*POWER(Upgrades!$P$6,E362)*POWER(Upgrades!$P$7,F362)*POWER(Upgrades!$P$8,G362)*POWER(Upgrades!$P$9,H362)*POWER(Upgrades!$P$10,I362)*POWER(Upgrades!$P$11,J362)*POWER(Upgrades!$P$12,K362)*60</f>
        <v>150</v>
      </c>
      <c r="AC362" s="27" t="n">
        <f aca="false">(IF(G362=0,0,(Upgrades!$J$8+G362*Upgrades!$K$8)*POWER(Upgrades!$L$8,G362)))*(IF(Upgrades!$T$6="Stellar Coupling",POWER(Upgrades!$U$6,E362),1)*IF(Upgrades!$T$7="Stellar Coupling",POWER(Upgrades!$U$7,F362),1)*IF(Upgrades!$T$9="Stellar Coupling",POWER(Upgrades!$U$9,H362),1)*IF(Upgrades!$T$10="Stellar Coupling",POWER(Upgrades!$U$10,I362),1)*IF(Upgrades!$T$11="Stellar Coupling",POWER(Upgrades!$U$11,J362),1)*IF(Upgrades!$T$12="Stellar Coupling",POWER(Upgrades!$U$12,K362),1))*POWER(Upgrades!$Q$6,E362)*POWER(Upgrades!$Q$7,F362)*POWER(Upgrades!$Q$8,G362)*POWER(Upgrades!$Q$9,H362)*POWER(Upgrades!$Q$10,I362)*POWER(Upgrades!$Q$11,J362)*POWER(Upgrades!$Q$12,K362)*Parameters!$B$10*Parameters!$B$11</f>
        <v>441</v>
      </c>
      <c r="AD362" s="27" t="n">
        <f aca="false">(IF(H362=0,0,(Upgrades!$G$9+H362*Upgrades!$H$9)*POWER(Upgrades!$I$9,H362)))*(IF(Upgrades!$T$6="Magnetosphere",POWER(Upgrades!$U$6,E362),1)*IF(Upgrades!$T$7="Magnetosphere",POWER(Upgrades!$U$7,F362),1)*IF(Upgrades!$T$8="Magnetosphere",POWER(Upgrades!$U$8,G362),1)*IF(Upgrades!$T$10="Magnetosphere",POWER(Upgrades!$U$10,I362),1)*IF(Upgrades!$T$11="Magnetosphere",POWER(Upgrades!$U$11,J362),1)*IF(Upgrades!$T$12="Magnetosphere",POWER(Upgrades!$U$12,K362),1))*POWER(Upgrades!$P$6,E362)*POWER(Upgrades!$P$7,F362)*POWER(Upgrades!$P$8,G362)*POWER(Upgrades!$P$9,H362)*POWER(Upgrades!$P$10,I362)*POWER(Upgrades!$P$11,J362)*POWER(Upgrades!$P$12,K362)*60</f>
        <v>375</v>
      </c>
      <c r="AE362" s="27" t="n">
        <f aca="false">(IF(K362=0,0,(Upgrades!$G$12+K362*Upgrades!$H$12)*POWER(Upgrades!$I$12,K362)))*(IF(Upgrades!$T$6="First Photons",POWER(Upgrades!$U$6,E362),1)*IF(Upgrades!$T$7="First Photons",POWER(Upgrades!$U$7,F362),1)*IF(Upgrades!$T$8="First Photons",POWER(Upgrades!$U$8,G362),1)*IF(Upgrades!$T$9="First Photons",POWER(Upgrades!$U$9,H362),1)*IF(Upgrades!$T$10="First Photons",POWER(Upgrades!$U$10,I362),1)*IF(Upgrades!$T$11="First Photons",POWER(Upgrades!$U$11,J362),1))*POWER(Upgrades!$P$6,E362)*POWER(Upgrades!$P$7,F362)*POWER(Upgrades!$P$8,G362)*POWER(Upgrades!$P$9,H362)*POWER(Upgrades!$P$10,I362)*POWER(Upgrades!$P$11,J362)*POWER(Upgrades!$P$12,K362)*60</f>
        <v>75</v>
      </c>
      <c r="AF362" s="27" t="n">
        <f aca="false">Parameters!$B$9*POWER(Upgrades!$Q$6,E362)*POWER(Upgrades!$Q$7,F362)*POWER(Upgrades!$Q$8,G362)*POWER(Upgrades!$Q$9,H362)*POWER(Upgrades!$Q$10,I362)*POWER(Upgrades!$Q$11,J362)*POWER(Upgrades!$Q$12,K362)*(Parameters!$B$10*Parameters!$B$11+O362*60)</f>
        <v>120</v>
      </c>
      <c r="AG362" s="21" t="n">
        <f aca="false">IF(E362&gt;=Upgrades!$E$6,"",Upgrades!$C$6*POWER(Upgrades!$D$6,E362))</f>
        <v>37.4517507383159</v>
      </c>
      <c r="AH362" s="21" t="n">
        <f aca="false">IF(F362&gt;=Upgrades!$E$7,"",Upgrades!$C$7*POWER(Upgrades!$D$7,F362))</f>
        <v>80.9111547141581</v>
      </c>
      <c r="AI362" s="21" t="n">
        <f aca="false">IF(G362&gt;=Upgrades!$E$8,"",Upgrades!$C$8*POWER(Upgrades!$D$8,G362))</f>
        <v>231.9097088</v>
      </c>
      <c r="AJ362" s="21" t="str">
        <f aca="false">IF(H362&gt;=Upgrades!$E$9,"",Upgrades!$C$9*POWER(Upgrades!$D$9,H362))</f>
        <v/>
      </c>
      <c r="AK362" s="21" t="str">
        <f aca="false">IF(I362&gt;=Upgrades!$E$10,"",Upgrades!$C$10*POWER(Upgrades!$D$10,I362))</f>
        <v/>
      </c>
      <c r="AL362" s="21" t="str">
        <f aca="false">IF(J362&gt;=Upgrades!$E$11,"",Upgrades!$C$11*POWER(Upgrades!$D$11,J362))</f>
        <v/>
      </c>
      <c r="AM362" s="21" t="str">
        <f aca="false">IF(K362&gt;=Upgrades!$E$12,"",Upgrades!$C$12*POWER(Upgrades!$D$12,K362))</f>
        <v/>
      </c>
      <c r="AN362" s="26" t="str">
        <f aca="false">IF(AND(D362&gt;=Parameters!$B$18,(H362&gt;=Upgrades!$E$9)*(K362&gt;=Upgrades!$E$12)=1,L362=0),1,"")</f>
        <v/>
      </c>
      <c r="AO362" s="26" t="str">
        <f aca="false">IF(AND(D362&gt;=Parameters!$B$18,L362=0),1,"")</f>
        <v/>
      </c>
      <c r="AP362" s="21" t="n">
        <f aca="false">MIN(IF(ISNUMBER(AK362),AK362,9000000000000000),IF(ISNUMBER(AL362),AL362,9000000000000000),IF(ISNUMBER(AM362),AM362,9000000000000000))</f>
        <v>9000000000000000</v>
      </c>
      <c r="AQ362" s="21" t="n">
        <f aca="false">MIN(IF(ISNUMBER(AG362),AG362,9000000000000000),IF(ISNUMBER(AH362),AH362,9000000000000000),IF(ISNUMBER(AI362),AI362,9000000000000000),IF(ISNUMBER(AJ362),AJ362,9000000000000000))</f>
        <v>37.4517507383159</v>
      </c>
      <c r="AR362" s="32" t="b">
        <f aca="false">IF(AW362&gt;Parameters!$B$21*(MAX(IF(AND(NOT(AND(AO362=1,AN362&lt;&gt;1)),ISNUMBER(AG362),AG362&lt;=T362),AS362,0),IF(AND(NOT(AND(AO362=1,AN362&lt;&gt;1)),ISNUMBER(AH362),AH362&lt;=T362),AT362,0),IF(AND(NOT(AND(AO362=1,AN362&lt;&gt;1)),ISNUMBER(AI362),AI362&lt;=T362),AU362,0),IF(AND(ISNUMBER(AJ362),AJ362&lt;=T362),AV362,0))),TRUE(),FALSE())</f>
        <v>1</v>
      </c>
      <c r="AS362" s="33" t="n">
        <f aca="false">IFERROR(Upgrades!$H$6*(POWER(Upgrades!$P$6,E362)*POWER(Upgrades!$P$7,F362)*POWER(Upgrades!$P$8,G362)*POWER(Upgrades!$P$9,H362)*POWER(Upgrades!$P$10,I362)*POWER(Upgrades!$P$11,J362)*POWER(Upgrades!$P$12,K362))*(IF(Upgrades!$T$7="Solar Wind",POWER(Upgrades!$U$7,F362),1)*IF(Upgrades!$T$8="Solar Wind",POWER(Upgrades!$U$8,G362),1)*IF(Upgrades!$T$9="Solar Wind",POWER(Upgrades!$U$9,H362),1)*IF(Upgrades!$T$10="Solar Wind",POWER(Upgrades!$U$10,I362),1)*IF(Upgrades!$T$11="Solar Wind",POWER(Upgrades!$U$11,J362),1)*IF(Upgrades!$T$12="Solar Wind",POWER(Upgrades!$U$12,K362),1))/AG362,0)</f>
        <v>0.0026701021455238</v>
      </c>
      <c r="AT362" s="33" t="n">
        <f aca="false">IFERROR(Upgrades!$H$7*(POWER(Upgrades!$P$6,E362)*POWER(Upgrades!$P$7,F362)*POWER(Upgrades!$P$8,G362)*POWER(Upgrades!$P$9,H362)*POWER(Upgrades!$P$10,I362)*POWER(Upgrades!$P$11,J362)*POWER(Upgrades!$P$12,K362))*(IF(Upgrades!$T$6="Asteroid Belt",POWER(Upgrades!$U$6,E362),1)*IF(Upgrades!$T$8="Asteroid Belt",POWER(Upgrades!$U$8,G362),1)*IF(Upgrades!$T$9="Asteroid Belt",POWER(Upgrades!$U$9,H362),1)*IF(Upgrades!$T$10="Asteroid Belt",POWER(Upgrades!$U$10,I362),1)*IF(Upgrades!$T$11="Asteroid Belt",POWER(Upgrades!$U$11,J362),1)*IF(Upgrades!$T$12="Asteroid Belt",POWER(Upgrades!$U$12,K362),1))/AH362,0)</f>
        <v>0.00308980882652332</v>
      </c>
      <c r="AU362" s="33" t="n">
        <f aca="false">IFERROR(Upgrades!$K$8*(POWER(Upgrades!$Q$6,E362)*POWER(Upgrades!$Q$7,F362)*POWER(Upgrades!$Q$8,G362)*POWER(Upgrades!$Q$9,H362)*POWER(Upgrades!$Q$10,I362)*POWER(Upgrades!$Q$11,J362)*POWER(Upgrades!$Q$12,K362))*(IF(Upgrades!$T$6="Stellar Coupling",POWER(Upgrades!$U$6,E362),1)*IF(Upgrades!$T$7="Stellar Coupling",POWER(Upgrades!$U$7,F362),1)*IF(Upgrades!$T$9="Stellar Coupling",POWER(Upgrades!$U$9,H362),1)*IF(Upgrades!$T$10="Stellar Coupling",POWER(Upgrades!$U$10,I362),1)*IF(Upgrades!$T$11="Stellar Coupling",POWER(Upgrades!$U$11,J362),1)*IF(Upgrades!$T$12="Stellar Coupling",POWER(Upgrades!$U$12,K362),1))*Parameters!$B$10*Parameters!$B$11/60/AI362,0)</f>
        <v>0.00452762415783776</v>
      </c>
      <c r="AV362" s="33" t="n">
        <f aca="false">IFERROR(Upgrades!$H$9*(POWER(Upgrades!$P$6,E362)*POWER(Upgrades!$P$7,F362)*POWER(Upgrades!$P$8,G362)*POWER(Upgrades!$P$9,H362)*POWER(Upgrades!$P$10,I362)*POWER(Upgrades!$P$11,J362)*POWER(Upgrades!$P$12,K362))*(IF(Upgrades!$T$6="Magnetosphere",POWER(Upgrades!$U$6,E362),1)*IF(Upgrades!$T$7="Magnetosphere",POWER(Upgrades!$U$7,F362),1)*IF(Upgrades!$T$8="Magnetosphere",POWER(Upgrades!$U$8,G362),1)*IF(Upgrades!$T$10="Magnetosphere",POWER(Upgrades!$U$10,I362),1)*IF(Upgrades!$T$11="Magnetosphere",POWER(Upgrades!$U$11,J362),1)*IF(Upgrades!$T$12="Magnetosphere",POWER(Upgrades!$U$12,K362),1))/AJ362,0)</f>
        <v>0</v>
      </c>
      <c r="AW362" s="33" t="n">
        <f aca="false">MAX(IF(I362&gt;0,0,IFERROR(0.25*N362/Upgrades!$C$10,0)),IF(J362&gt;0,0,IFERROR(0.5*((IF(G362=0,0,(Upgrades!$J$8+G362*Upgrades!$K$8)*POWER(Upgrades!$L$8,G362)))*(IF(Upgrades!$T$6="Stellar Coupling",POWER(Upgrades!$U$6,E362),1)*IF(Upgrades!$T$7="Stellar Coupling",POWER(Upgrades!$U$7,F362),1)*IF(Upgrades!$T$9="Stellar Coupling",POWER(Upgrades!$U$9,H362),1)*IF(Upgrades!$T$10="Stellar Coupling",POWER(Upgrades!$U$10,I362),1)*IF(Upgrades!$T$11="Stellar Coupling",POWER(Upgrades!$U$11,J362),1)*IF(Upgrades!$T$12="Stellar Coupling",POWER(Upgrades!$U$12,K362),1))*(POWER(Upgrades!$Q$6,E362)*POWER(Upgrades!$Q$7,F362)*POWER(Upgrades!$Q$8,G362)*POWER(Upgrades!$Q$9,H362)*POWER(Upgrades!$Q$10,I362)*POWER(Upgrades!$Q$11,J362)*POWER(Upgrades!$Q$12,K362))*Parameters!$B$10*Parameters!$B$11/60)/Upgrades!$C$11,0)),IF(K362&gt;0,0,IFERROR((1*(POWER(Upgrades!$P$6,E362)*POWER(Upgrades!$P$7,F362)*POWER(Upgrades!$P$8,G362)*POWER(Upgrades!$P$9,H362)*POWER(Upgrades!$P$10,I362)*POWER(Upgrades!$P$11,J362)*POWER(Upgrades!$P$12,K362))+0.2*M362*Parameters!$B$10*Parameters!$B$11/60)/Upgrades!$C$12,0)),IF(AND(ISNUMBER(AG362),AG362&gt;T362),AS362,0),IF(AND(ISNUMBER(AH362),AH362&gt;T362),AT362,0),IF(AND(ISNUMBER(AI362),AI362&gt;T362),AU362,0),IF(AND(ISNUMBER(AJ362),AJ362&gt;T362),AV362,0))</f>
        <v>0.00452762415783776</v>
      </c>
      <c r="AX362" s="29" t="str">
        <f aca="false">IF(AN362=1,"transition",IF(MIN(IF(AND(I362=0,ISNUMBER(AK362),AK362&lt;=T362),AK362,9000000000000000),IF(AND(J362=0,ISNUMBER(AL362),AL362&lt;=T362),AL362,9000000000000000),IF(AND(K362=0,ISNUMBER(AM362),AM362&lt;=T362),AM362,9000000000000000))&lt;9000000000000000,IF(AND(AND(I362=0,ISNUMBER(AK362),AK362&lt;=T362),AK362=MIN(IF(AND(I362=0,ISNUMBER(AK362),AK362&lt;=T362),AK362,9000000000000000),IF(AND(J362=0,ISNUMBER(AL362),AL362&lt;=T362),AL362,9000000000000000),IF(AND(K362=0,ISNUMBER(AM362),AM362&lt;=T362),AM362,9000000000000000))),"OR",IF(AND(AND(J362=0,ISNUMBER(AL362),AL362&lt;=T362),AL362=MIN(IF(AND(I362=0,ISNUMBER(AK362),AK362&lt;=T362),AK362,9000000000000000),IF(AND(J362=0,ISNUMBER(AL362),AL362&lt;=T362),AL362,9000000000000000),IF(AND(K362=0,ISNUMBER(AM362),AM362&lt;=T362),AM362,9000000000000000))),"HP","FP")),IF(AR362=TRUE(),"",IF(MAX(IF(AND(NOT(AND(AO362=1,AN362&lt;&gt;1)),ISNUMBER(AG362),AG362&lt;=T362),AS362,0),IF(AND(NOT(AND(AO362=1,AN362&lt;&gt;1)),ISNUMBER(AH362),AH362&lt;=T362),AT362,0),IF(AND(NOT(AND(AO362=1,AN362&lt;&gt;1)),ISNUMBER(AI362),AI362&lt;=T362),AU362,0),IF(AND(ISNUMBER(AJ362),AJ362&lt;=T362),AV362,0))&lt;=0,"",IF(AND(IF(AND(NOT(AND(AO362=1,AN362&lt;&gt;1)),ISNUMBER(AG362),AG362&lt;=T362),AS362,0)&gt;0,IF(AND(NOT(AND(AO362=1,AN362&lt;&gt;1)),ISNUMBER(AG362),AG362&lt;=T362),AS362,0)=MAX(IF(AND(NOT(AND(AO362=1,AN362&lt;&gt;1)),ISNUMBER(AG362),AG362&lt;=T362),AS362,0),IF(AND(NOT(AND(AO362=1,AN362&lt;&gt;1)),ISNUMBER(AH362),AH362&lt;=T362),AT362,0),IF(AND(NOT(AND(AO362=1,AN362&lt;&gt;1)),ISNUMBER(AI362),AI362&lt;=T362),AU362,0),IF(AND(ISNUMBER(AJ362),AJ362&lt;=T362),AV362,0))),"SW",IF(AND(IF(AND(NOT(AND(AO362=1,AN362&lt;&gt;1)),ISNUMBER(AH362),AH362&lt;=T362),AT362,0)&gt;0,IF(AND(NOT(AND(AO362=1,AN362&lt;&gt;1)),ISNUMBER(AH362),AH362&lt;=T362),AT362,0)=MAX(IF(AND(NOT(AND(AO362=1,AN362&lt;&gt;1)),ISNUMBER(AG362),AG362&lt;=T362),AS362,0),IF(AND(NOT(AND(AO362=1,AN362&lt;&gt;1)),ISNUMBER(AH362),AH362&lt;=T362),AT362,0),IF(AND(NOT(AND(AO362=1,AN362&lt;&gt;1)),ISNUMBER(AI362),AI362&lt;=T362),AU362,0),IF(AND(ISNUMBER(AJ362),AJ362&lt;=T362),AV362,0))),"AB",IF(AND(IF(AND(NOT(AND(AO362=1,AN362&lt;&gt;1)),ISNUMBER(AI362),AI362&lt;=T362),AU362,0)&gt;0,IF(AND(NOT(AND(AO362=1,AN362&lt;&gt;1)),ISNUMBER(AI362),AI362&lt;=T362),AU362,0)=MAX(IF(AND(NOT(AND(AO362=1,AN362&lt;&gt;1)),ISNUMBER(AG362),AG362&lt;=T362),AS362,0),IF(AND(NOT(AND(AO362=1,AN362&lt;&gt;1)),ISNUMBER(AH362),AH362&lt;=T362),AT362,0),IF(AND(NOT(AND(AO362=1,AN362&lt;&gt;1)),ISNUMBER(AI362),AI362&lt;=T362),AU362,0),IF(AND(ISNUMBER(AJ362),AJ362&lt;=T362),AV362,0))),"SC","Mag")))))))</f>
        <v/>
      </c>
    </row>
    <row r="363" customFormat="false" ht="15" hidden="false" customHeight="false" outlineLevel="0" collapsed="false">
      <c r="A363" s="26" t="n">
        <v>358</v>
      </c>
      <c r="B363" s="27" t="n">
        <f aca="false">A363*10/60</f>
        <v>59.6666666666667</v>
      </c>
      <c r="C363" s="21" t="n">
        <f aca="false">X362</f>
        <v>18.6730249835055</v>
      </c>
      <c r="D363" s="27" t="n">
        <f aca="false">D362+W362</f>
        <v>0</v>
      </c>
      <c r="E363" s="26" t="n">
        <f aca="false">E362+IF(U362="SW",1,0)</f>
        <v>12</v>
      </c>
      <c r="F363" s="26" t="n">
        <f aca="false">F362+IF(U362="AB",1,0)</f>
        <v>10</v>
      </c>
      <c r="G363" s="26" t="n">
        <f aca="false">G362+IF(U362="SC",1,0)</f>
        <v>7</v>
      </c>
      <c r="H363" s="26" t="n">
        <f aca="false">H362+IF(U362="Mag",1,0)</f>
        <v>5</v>
      </c>
      <c r="I363" s="26" t="n">
        <f aca="false">MAX(I362,IF(U362="OR",1,0))</f>
        <v>1</v>
      </c>
      <c r="J363" s="26" t="n">
        <f aca="false">MAX(J362,IF(U362="HP",1,0))</f>
        <v>1</v>
      </c>
      <c r="K363" s="26" t="n">
        <f aca="false">MAX(K362,IF(U362="FP",1,0))</f>
        <v>1</v>
      </c>
      <c r="L363" s="26" t="n">
        <f aca="false">MAX(L362,IF(U362="transition",1,0))</f>
        <v>1</v>
      </c>
      <c r="M363" s="28" t="n">
        <f aca="false">(Parameters!$B$9+(IF(E363=0,0,(Upgrades!$J$6+E363*Upgrades!$K$6)*POWER(Upgrades!$L$6,E363)))*(IF(Upgrades!$T$7="Solar Wind",POWER(Upgrades!$U$7,F363),1)*IF(Upgrades!$T$8="Solar Wind",POWER(Upgrades!$U$8,G363),1)*IF(Upgrades!$T$9="Solar Wind",POWER(Upgrades!$U$9,H363),1)*IF(Upgrades!$T$10="Solar Wind",POWER(Upgrades!$U$10,I363),1)*IF(Upgrades!$T$11="Solar Wind",POWER(Upgrades!$U$11,J363),1)*IF(Upgrades!$T$12="Solar Wind",POWER(Upgrades!$U$12,K363),1))+(IF(F363=0,0,(Upgrades!$J$7+F363*Upgrades!$K$7)*POWER(Upgrades!$L$7,F363)))*(IF(Upgrades!$T$6="Asteroid Belt",POWER(Upgrades!$U$6,E363),1)*IF(Upgrades!$T$8="Asteroid Belt",POWER(Upgrades!$U$8,G363),1)*IF(Upgrades!$T$9="Asteroid Belt",POWER(Upgrades!$U$9,H363),1)*IF(Upgrades!$T$10="Asteroid Belt",POWER(Upgrades!$U$10,I363),1)*IF(Upgrades!$T$11="Asteroid Belt",POWER(Upgrades!$U$11,J363),1)*IF(Upgrades!$T$12="Asteroid Belt",POWER(Upgrades!$U$12,K363),1))+(IF(G363=0,0,(Upgrades!$J$8+G363*Upgrades!$K$8)*POWER(Upgrades!$L$8,G363)))*(IF(Upgrades!$T$6="Stellar Coupling",POWER(Upgrades!$U$6,E363),1)*IF(Upgrades!$T$7="Stellar Coupling",POWER(Upgrades!$U$7,F363),1)*IF(Upgrades!$T$9="Stellar Coupling",POWER(Upgrades!$U$9,H363),1)*IF(Upgrades!$T$10="Stellar Coupling",POWER(Upgrades!$U$10,I363),1)*IF(Upgrades!$T$11="Stellar Coupling",POWER(Upgrades!$U$11,J363),1)*IF(Upgrades!$T$12="Stellar Coupling",POWER(Upgrades!$U$12,K363),1))+(IF(H363=0,0,(Upgrades!$J$9+H363*Upgrades!$K$9)*POWER(Upgrades!$L$9,H363)))*(IF(Upgrades!$T$6="Magnetosphere",POWER(Upgrades!$U$6,E363),1)*IF(Upgrades!$T$7="Magnetosphere",POWER(Upgrades!$U$7,F363),1)*IF(Upgrades!$T$8="Magnetosphere",POWER(Upgrades!$U$8,G363),1)*IF(Upgrades!$T$10="Magnetosphere",POWER(Upgrades!$U$10,I363),1)*IF(Upgrades!$T$11="Magnetosphere",POWER(Upgrades!$U$11,J363),1)*IF(Upgrades!$T$12="Magnetosphere",POWER(Upgrades!$U$12,K363),1))+(IF(I363=0,0,(Upgrades!$J$10+I363*Upgrades!$K$10)*POWER(Upgrades!$L$10,I363)))*(IF(Upgrades!$T$6="Orbital Resonance",POWER(Upgrades!$U$6,E363),1)*IF(Upgrades!$T$7="Orbital Resonance",POWER(Upgrades!$U$7,F363),1)*IF(Upgrades!$T$8="Orbital Resonance",POWER(Upgrades!$U$8,G363),1)*IF(Upgrades!$T$9="Orbital Resonance",POWER(Upgrades!$U$9,H363),1)*IF(Upgrades!$T$11="Orbital Resonance",POWER(Upgrades!$U$11,J363),1)*IF(Upgrades!$T$12="Orbital Resonance",POWER(Upgrades!$U$12,K363),1))+(IF(J363=0,0,(Upgrades!$J$11+J363*Upgrades!$K$11)*POWER(Upgrades!$L$11,J363)))*(IF(Upgrades!$T$6="Heliopause",POWER(Upgrades!$U$6,E363),1)*IF(Upgrades!$T$7="Heliopause",POWER(Upgrades!$U$7,F363),1)*IF(Upgrades!$T$8="Heliopause",POWER(Upgrades!$U$8,G363),1)*IF(Upgrades!$T$9="Heliopause",POWER(Upgrades!$U$9,H363),1)*IF(Upgrades!$T$10="Heliopause",POWER(Upgrades!$U$10,I363),1)*IF(Upgrades!$T$12="Heliopause",POWER(Upgrades!$U$12,K363),1))+(IF(K363=0,0,(Upgrades!$J$12+K363*Upgrades!$K$12)*POWER(Upgrades!$L$12,K363)))*(IF(Upgrades!$T$6="First Photons",POWER(Upgrades!$U$6,E363),1)*IF(Upgrades!$T$7="First Photons",POWER(Upgrades!$U$7,F363),1)*IF(Upgrades!$T$8="First Photons",POWER(Upgrades!$U$8,G363),1)*IF(Upgrades!$T$9="First Photons",POWER(Upgrades!$U$9,H363),1)*IF(Upgrades!$T$10="First Photons",POWER(Upgrades!$U$10,I363),1)*IF(Upgrades!$T$11="First Photons",POWER(Upgrades!$U$11,J363),1)))*POWER(Upgrades!$Q$6,E363)*POWER(Upgrades!$Q$7,F363)*POWER(Upgrades!$Q$8,G363)*POWER(Upgrades!$Q$9,H363)*POWER(Upgrades!$Q$10,I363)*POWER(Upgrades!$Q$11,J363)*POWER(Upgrades!$Q$12,K363)</f>
        <v>5.61</v>
      </c>
      <c r="N363" s="28" t="n">
        <f aca="false">((IF(E363=0,0,(Upgrades!$G$6+E363*Upgrades!$H$6)*POWER(Upgrades!$I$6,E363)))*(IF(Upgrades!$T$7="Solar Wind",POWER(Upgrades!$U$7,F363),1)*IF(Upgrades!$T$8="Solar Wind",POWER(Upgrades!$U$8,G363),1)*IF(Upgrades!$T$9="Solar Wind",POWER(Upgrades!$U$9,H363),1)*IF(Upgrades!$T$10="Solar Wind",POWER(Upgrades!$U$10,I363),1)*IF(Upgrades!$T$11="Solar Wind",POWER(Upgrades!$U$11,J363),1)*IF(Upgrades!$T$12="Solar Wind",POWER(Upgrades!$U$12,K363),1))+(IF(F363=0,0,(Upgrades!$G$7+F363*Upgrades!$H$7)*POWER(Upgrades!$I$7,F363)))*(IF(Upgrades!$T$6="Asteroid Belt",POWER(Upgrades!$U$6,E363),1)*IF(Upgrades!$T$8="Asteroid Belt",POWER(Upgrades!$U$8,G363),1)*IF(Upgrades!$T$9="Asteroid Belt",POWER(Upgrades!$U$9,H363),1)*IF(Upgrades!$T$10="Asteroid Belt",POWER(Upgrades!$U$10,I363),1)*IF(Upgrades!$T$11="Asteroid Belt",POWER(Upgrades!$U$11,J363),1)*IF(Upgrades!$T$12="Asteroid Belt",POWER(Upgrades!$U$12,K363),1))+(IF(G363=0,0,(Upgrades!$G$8+G363*Upgrades!$H$8)*POWER(Upgrades!$I$8,G363)))*(IF(Upgrades!$T$6="Stellar Coupling",POWER(Upgrades!$U$6,E363),1)*IF(Upgrades!$T$7="Stellar Coupling",POWER(Upgrades!$U$7,F363),1)*IF(Upgrades!$T$9="Stellar Coupling",POWER(Upgrades!$U$9,H363),1)*IF(Upgrades!$T$10="Stellar Coupling",POWER(Upgrades!$U$10,I363),1)*IF(Upgrades!$T$11="Stellar Coupling",POWER(Upgrades!$U$11,J363),1)*IF(Upgrades!$T$12="Stellar Coupling",POWER(Upgrades!$U$12,K363),1))+(IF(H363=0,0,(Upgrades!$G$9+H363*Upgrades!$H$9)*POWER(Upgrades!$I$9,H363)))*(IF(Upgrades!$T$6="Magnetosphere",POWER(Upgrades!$U$6,E363),1)*IF(Upgrades!$T$7="Magnetosphere",POWER(Upgrades!$U$7,F363),1)*IF(Upgrades!$T$8="Magnetosphere",POWER(Upgrades!$U$8,G363),1)*IF(Upgrades!$T$10="Magnetosphere",POWER(Upgrades!$U$10,I363),1)*IF(Upgrades!$T$11="Magnetosphere",POWER(Upgrades!$U$11,J363),1)*IF(Upgrades!$T$12="Magnetosphere",POWER(Upgrades!$U$12,K363),1))+(IF(I363=0,0,(Upgrades!$G$10+I363*Upgrades!$H$10)*POWER(Upgrades!$I$10,I363)))*(IF(Upgrades!$T$6="Orbital Resonance",POWER(Upgrades!$U$6,E363),1)*IF(Upgrades!$T$7="Orbital Resonance",POWER(Upgrades!$U$7,F363),1)*IF(Upgrades!$T$8="Orbital Resonance",POWER(Upgrades!$U$8,G363),1)*IF(Upgrades!$T$9="Orbital Resonance",POWER(Upgrades!$U$9,H363),1)*IF(Upgrades!$T$11="Orbital Resonance",POWER(Upgrades!$U$11,J363),1)*IF(Upgrades!$T$12="Orbital Resonance",POWER(Upgrades!$U$12,K363),1))+(IF(J363=0,0,(Upgrades!$G$11+J363*Upgrades!$H$11)*POWER(Upgrades!$I$11,J363)))*(IF(Upgrades!$T$6="Heliopause",POWER(Upgrades!$U$6,E363),1)*IF(Upgrades!$T$7="Heliopause",POWER(Upgrades!$U$7,F363),1)*IF(Upgrades!$T$8="Heliopause",POWER(Upgrades!$U$8,G363),1)*IF(Upgrades!$T$9="Heliopause",POWER(Upgrades!$U$9,H363),1)*IF(Upgrades!$T$10="Heliopause",POWER(Upgrades!$U$10,I363),1)*IF(Upgrades!$T$12="Heliopause",POWER(Upgrades!$U$12,K363),1))+(IF(K363=0,0,(Upgrades!$G$12+K363*Upgrades!$H$12)*POWER(Upgrades!$I$12,K363)))*(IF(Upgrades!$T$6="First Photons",POWER(Upgrades!$U$6,E363),1)*IF(Upgrades!$T$7="First Photons",POWER(Upgrades!$U$7,F363),1)*IF(Upgrades!$T$8="First Photons",POWER(Upgrades!$U$8,G363),1)*IF(Upgrades!$T$9="First Photons",POWER(Upgrades!$U$9,H363),1)*IF(Upgrades!$T$10="First Photons",POWER(Upgrades!$U$10,I363),1)*IF(Upgrades!$T$11="First Photons",POWER(Upgrades!$U$11,J363),1)))*POWER(Upgrades!$P$6,E363)*POWER(Upgrades!$P$7,F363)*POWER(Upgrades!$P$8,G363)*POWER(Upgrades!$P$9,H363)*POWER(Upgrades!$P$10,I363)*POWER(Upgrades!$P$11,J363)*POWER(Upgrades!$P$12,K363)</f>
        <v>11.2</v>
      </c>
      <c r="O363" s="28" t="n">
        <f aca="false">((IF(E363=0,0,(Upgrades!$M$6+E363*Upgrades!$N$6)*POWER(Upgrades!$O$6,E363)))*(IF(Upgrades!$T$7="Solar Wind",POWER(Upgrades!$U$7,F363),1)*IF(Upgrades!$T$8="Solar Wind",POWER(Upgrades!$U$8,G363),1)*IF(Upgrades!$T$9="Solar Wind",POWER(Upgrades!$U$9,H363),1)*IF(Upgrades!$T$10="Solar Wind",POWER(Upgrades!$U$10,I363),1)*IF(Upgrades!$T$11="Solar Wind",POWER(Upgrades!$U$11,J363),1)*IF(Upgrades!$T$12="Solar Wind",POWER(Upgrades!$U$12,K363),1))+(IF(F363=0,0,(Upgrades!$M$7+F363*Upgrades!$N$7)*POWER(Upgrades!$O$7,F363)))*(IF(Upgrades!$T$6="Asteroid Belt",POWER(Upgrades!$U$6,E363),1)*IF(Upgrades!$T$8="Asteroid Belt",POWER(Upgrades!$U$8,G363),1)*IF(Upgrades!$T$9="Asteroid Belt",POWER(Upgrades!$U$9,H363),1)*IF(Upgrades!$T$10="Asteroid Belt",POWER(Upgrades!$U$10,I363),1)*IF(Upgrades!$T$11="Asteroid Belt",POWER(Upgrades!$U$11,J363),1)*IF(Upgrades!$T$12="Asteroid Belt",POWER(Upgrades!$U$12,K363),1))+(IF(G363=0,0,(Upgrades!$M$8+G363*Upgrades!$N$8)*POWER(Upgrades!$O$8,G363)))*(IF(Upgrades!$T$6="Stellar Coupling",POWER(Upgrades!$U$6,E363),1)*IF(Upgrades!$T$7="Stellar Coupling",POWER(Upgrades!$U$7,F363),1)*IF(Upgrades!$T$9="Stellar Coupling",POWER(Upgrades!$U$9,H363),1)*IF(Upgrades!$T$10="Stellar Coupling",POWER(Upgrades!$U$10,I363),1)*IF(Upgrades!$T$11="Stellar Coupling",POWER(Upgrades!$U$11,J363),1)*IF(Upgrades!$T$12="Stellar Coupling",POWER(Upgrades!$U$12,K363),1))+(IF(H363=0,0,(Upgrades!$M$9+H363*Upgrades!$N$9)*POWER(Upgrades!$O$9,H363)))*(IF(Upgrades!$T$6="Magnetosphere",POWER(Upgrades!$U$6,E363),1)*IF(Upgrades!$T$7="Magnetosphere",POWER(Upgrades!$U$7,F363),1)*IF(Upgrades!$T$8="Magnetosphere",POWER(Upgrades!$U$8,G363),1)*IF(Upgrades!$T$10="Magnetosphere",POWER(Upgrades!$U$10,I363),1)*IF(Upgrades!$T$11="Magnetosphere",POWER(Upgrades!$U$11,J363),1)*IF(Upgrades!$T$12="Magnetosphere",POWER(Upgrades!$U$12,K363),1))+(IF(I363=0,0,(Upgrades!$M$10+I363*Upgrades!$N$10)*POWER(Upgrades!$O$10,I363)))*(IF(Upgrades!$T$6="Orbital Resonance",POWER(Upgrades!$U$6,E363),1)*IF(Upgrades!$T$7="Orbital Resonance",POWER(Upgrades!$U$7,F363),1)*IF(Upgrades!$T$8="Orbital Resonance",POWER(Upgrades!$U$8,G363),1)*IF(Upgrades!$T$9="Orbital Resonance",POWER(Upgrades!$U$9,H363),1)*IF(Upgrades!$T$11="Orbital Resonance",POWER(Upgrades!$U$11,J363),1)*IF(Upgrades!$T$12="Orbital Resonance",POWER(Upgrades!$U$12,K363),1))+(IF(J363=0,0,(Upgrades!$M$11+J363*Upgrades!$N$11)*POWER(Upgrades!$O$11,J363)))*(IF(Upgrades!$T$6="Heliopause",POWER(Upgrades!$U$6,E363),1)*IF(Upgrades!$T$7="Heliopause",POWER(Upgrades!$U$7,F363),1)*IF(Upgrades!$T$8="Heliopause",POWER(Upgrades!$U$8,G363),1)*IF(Upgrades!$T$9="Heliopause",POWER(Upgrades!$U$9,H363),1)*IF(Upgrades!$T$10="Heliopause",POWER(Upgrades!$U$10,I363),1)*IF(Upgrades!$T$12="Heliopause",POWER(Upgrades!$U$12,K363),1))+(IF(K363=0,0,(Upgrades!$M$12+K363*Upgrades!$N$12)*POWER(Upgrades!$O$12,K363)))*(IF(Upgrades!$T$6="First Photons",POWER(Upgrades!$U$6,E363),1)*IF(Upgrades!$T$7="First Photons",POWER(Upgrades!$U$7,F363),1)*IF(Upgrades!$T$8="First Photons",POWER(Upgrades!$U$8,G363),1)*IF(Upgrades!$T$9="First Photons",POWER(Upgrades!$U$9,H363),1)*IF(Upgrades!$T$10="First Photons",POWER(Upgrades!$U$10,I363),1)*IF(Upgrades!$T$11="First Photons",POWER(Upgrades!$U$11,J363),1)))*POWER(Upgrades!$R$6,E363)*POWER(Upgrades!$R$7,F363)*POWER(Upgrades!$R$8,G363)*POWER(Upgrades!$R$9,H363)*POWER(Upgrades!$R$10,I363)*POWER(Upgrades!$R$11,J363)*POWER(Upgrades!$R$12,K363)</f>
        <v>0</v>
      </c>
      <c r="P363" s="27" t="n">
        <f aca="false">IF(L363=1,0,M363*Parameters!$B$10/60*Parameters!$B$11*10)</f>
        <v>0</v>
      </c>
      <c r="Q363" s="27" t="n">
        <f aca="false">IF(L363=1,0,O363*M363*10)</f>
        <v>0</v>
      </c>
      <c r="R363" s="27" t="n">
        <f aca="false">IF(L363=1,0,N363*10)</f>
        <v>0</v>
      </c>
      <c r="S363" s="27" t="n">
        <f aca="false">P363+Q363+R363</f>
        <v>0</v>
      </c>
      <c r="T363" s="21" t="n">
        <f aca="false">C363+S363</f>
        <v>18.6730249835055</v>
      </c>
      <c r="U363" s="34" t="str">
        <f aca="false">AX363</f>
        <v/>
      </c>
      <c r="V363" s="21" t="n">
        <f aca="false">IF(U363="",0,IF(U363="transition",0,IF(U363="SW",AG363,IF(U363="AB",AH363,IF(U363="SC",AI363,IF(U363="Mag",AJ363,IF(U363="OR",AK363,IF(U363="HP",AL363,IF(U363="FP",AM363,0)))))))))</f>
        <v>0</v>
      </c>
      <c r="W363" s="27" t="n">
        <f aca="false">IF(U363="OR",Upgrades!$F$10,IF(U363="HP",Upgrades!$F$11,IF(U363="transition",-Parameters!$B$18,0)))</f>
        <v>0</v>
      </c>
      <c r="X363" s="21" t="n">
        <f aca="false">T363-V363</f>
        <v>18.6730249835055</v>
      </c>
      <c r="Y363" s="30" t="n">
        <f aca="false">M363*Parameters!$B$10/60*Parameters!$B$11+O363*M363+N363</f>
        <v>20.55</v>
      </c>
      <c r="Z363" s="35" t="str">
        <f aca="false">IF(U363="transition","→ Tier 2 (Stellar Neighborhood)",IF(U363="FP","First Photons — light begins, system quickens",IF(U363="HP","Heliopause acquired",IF(U363="OR","Orbital Resonance — passive multiplier active",IF(AND(AO363=1,L363=0,AN363&lt;&gt;1),"Cohesion ready (waiting on completionist upgrades)","")))))</f>
        <v/>
      </c>
      <c r="AA363" s="27" t="n">
        <f aca="false">(IF(E363=0,0,(Upgrades!$G$6+E363*Upgrades!$H$6)*POWER(Upgrades!$I$6,E363)))*(IF(Upgrades!$T$7="Solar Wind",POWER(Upgrades!$U$7,F363),1)*IF(Upgrades!$T$8="Solar Wind",POWER(Upgrades!$U$8,G363),1)*IF(Upgrades!$T$9="Solar Wind",POWER(Upgrades!$U$9,H363),1)*IF(Upgrades!$T$10="Solar Wind",POWER(Upgrades!$U$10,I363),1)*IF(Upgrades!$T$11="Solar Wind",POWER(Upgrades!$U$11,J363),1)*IF(Upgrades!$T$12="Solar Wind",POWER(Upgrades!$U$12,K363),1))*POWER(Upgrades!$P$6,E363)*POWER(Upgrades!$P$7,F363)*POWER(Upgrades!$P$8,G363)*POWER(Upgrades!$P$9,H363)*POWER(Upgrades!$P$10,I363)*POWER(Upgrades!$P$11,J363)*POWER(Upgrades!$P$12,K363)*60</f>
        <v>72</v>
      </c>
      <c r="AB363" s="27" t="n">
        <f aca="false">(IF(F363=0,0,(Upgrades!$G$7+F363*Upgrades!$H$7)*POWER(Upgrades!$I$7,F363)))*(IF(Upgrades!$T$6="Asteroid Belt",POWER(Upgrades!$U$6,E363),1)*IF(Upgrades!$T$8="Asteroid Belt",POWER(Upgrades!$U$8,G363),1)*IF(Upgrades!$T$9="Asteroid Belt",POWER(Upgrades!$U$9,H363),1)*IF(Upgrades!$T$10="Asteroid Belt",POWER(Upgrades!$U$10,I363),1)*IF(Upgrades!$T$11="Asteroid Belt",POWER(Upgrades!$U$11,J363),1)*IF(Upgrades!$T$12="Asteroid Belt",POWER(Upgrades!$U$12,K363),1))*POWER(Upgrades!$P$6,E363)*POWER(Upgrades!$P$7,F363)*POWER(Upgrades!$P$8,G363)*POWER(Upgrades!$P$9,H363)*POWER(Upgrades!$P$10,I363)*POWER(Upgrades!$P$11,J363)*POWER(Upgrades!$P$12,K363)*60</f>
        <v>150</v>
      </c>
      <c r="AC363" s="27" t="n">
        <f aca="false">(IF(G363=0,0,(Upgrades!$J$8+G363*Upgrades!$K$8)*POWER(Upgrades!$L$8,G363)))*(IF(Upgrades!$T$6="Stellar Coupling",POWER(Upgrades!$U$6,E363),1)*IF(Upgrades!$T$7="Stellar Coupling",POWER(Upgrades!$U$7,F363),1)*IF(Upgrades!$T$9="Stellar Coupling",POWER(Upgrades!$U$9,H363),1)*IF(Upgrades!$T$10="Stellar Coupling",POWER(Upgrades!$U$10,I363),1)*IF(Upgrades!$T$11="Stellar Coupling",POWER(Upgrades!$U$11,J363),1)*IF(Upgrades!$T$12="Stellar Coupling",POWER(Upgrades!$U$12,K363),1))*POWER(Upgrades!$Q$6,E363)*POWER(Upgrades!$Q$7,F363)*POWER(Upgrades!$Q$8,G363)*POWER(Upgrades!$Q$9,H363)*POWER(Upgrades!$Q$10,I363)*POWER(Upgrades!$Q$11,J363)*POWER(Upgrades!$Q$12,K363)*Parameters!$B$10*Parameters!$B$11</f>
        <v>441</v>
      </c>
      <c r="AD363" s="27" t="n">
        <f aca="false">(IF(H363=0,0,(Upgrades!$G$9+H363*Upgrades!$H$9)*POWER(Upgrades!$I$9,H363)))*(IF(Upgrades!$T$6="Magnetosphere",POWER(Upgrades!$U$6,E363),1)*IF(Upgrades!$T$7="Magnetosphere",POWER(Upgrades!$U$7,F363),1)*IF(Upgrades!$T$8="Magnetosphere",POWER(Upgrades!$U$8,G363),1)*IF(Upgrades!$T$10="Magnetosphere",POWER(Upgrades!$U$10,I363),1)*IF(Upgrades!$T$11="Magnetosphere",POWER(Upgrades!$U$11,J363),1)*IF(Upgrades!$T$12="Magnetosphere",POWER(Upgrades!$U$12,K363),1))*POWER(Upgrades!$P$6,E363)*POWER(Upgrades!$P$7,F363)*POWER(Upgrades!$P$8,G363)*POWER(Upgrades!$P$9,H363)*POWER(Upgrades!$P$10,I363)*POWER(Upgrades!$P$11,J363)*POWER(Upgrades!$P$12,K363)*60</f>
        <v>375</v>
      </c>
      <c r="AE363" s="27" t="n">
        <f aca="false">(IF(K363=0,0,(Upgrades!$G$12+K363*Upgrades!$H$12)*POWER(Upgrades!$I$12,K363)))*(IF(Upgrades!$T$6="First Photons",POWER(Upgrades!$U$6,E363),1)*IF(Upgrades!$T$7="First Photons",POWER(Upgrades!$U$7,F363),1)*IF(Upgrades!$T$8="First Photons",POWER(Upgrades!$U$8,G363),1)*IF(Upgrades!$T$9="First Photons",POWER(Upgrades!$U$9,H363),1)*IF(Upgrades!$T$10="First Photons",POWER(Upgrades!$U$10,I363),1)*IF(Upgrades!$T$11="First Photons",POWER(Upgrades!$U$11,J363),1))*POWER(Upgrades!$P$6,E363)*POWER(Upgrades!$P$7,F363)*POWER(Upgrades!$P$8,G363)*POWER(Upgrades!$P$9,H363)*POWER(Upgrades!$P$10,I363)*POWER(Upgrades!$P$11,J363)*POWER(Upgrades!$P$12,K363)*60</f>
        <v>75</v>
      </c>
      <c r="AF363" s="27" t="n">
        <f aca="false">Parameters!$B$9*POWER(Upgrades!$Q$6,E363)*POWER(Upgrades!$Q$7,F363)*POWER(Upgrades!$Q$8,G363)*POWER(Upgrades!$Q$9,H363)*POWER(Upgrades!$Q$10,I363)*POWER(Upgrades!$Q$11,J363)*POWER(Upgrades!$Q$12,K363)*(Parameters!$B$10*Parameters!$B$11+O363*60)</f>
        <v>120</v>
      </c>
      <c r="AG363" s="21" t="n">
        <f aca="false">IF(E363&gt;=Upgrades!$E$6,"",Upgrades!$C$6*POWER(Upgrades!$D$6,E363))</f>
        <v>37.4517507383159</v>
      </c>
      <c r="AH363" s="21" t="n">
        <f aca="false">IF(F363&gt;=Upgrades!$E$7,"",Upgrades!$C$7*POWER(Upgrades!$D$7,F363))</f>
        <v>80.9111547141581</v>
      </c>
      <c r="AI363" s="21" t="n">
        <f aca="false">IF(G363&gt;=Upgrades!$E$8,"",Upgrades!$C$8*POWER(Upgrades!$D$8,G363))</f>
        <v>231.9097088</v>
      </c>
      <c r="AJ363" s="21" t="str">
        <f aca="false">IF(H363&gt;=Upgrades!$E$9,"",Upgrades!$C$9*POWER(Upgrades!$D$9,H363))</f>
        <v/>
      </c>
      <c r="AK363" s="21" t="str">
        <f aca="false">IF(I363&gt;=Upgrades!$E$10,"",Upgrades!$C$10*POWER(Upgrades!$D$10,I363))</f>
        <v/>
      </c>
      <c r="AL363" s="21" t="str">
        <f aca="false">IF(J363&gt;=Upgrades!$E$11,"",Upgrades!$C$11*POWER(Upgrades!$D$11,J363))</f>
        <v/>
      </c>
      <c r="AM363" s="21" t="str">
        <f aca="false">IF(K363&gt;=Upgrades!$E$12,"",Upgrades!$C$12*POWER(Upgrades!$D$12,K363))</f>
        <v/>
      </c>
      <c r="AN363" s="26" t="str">
        <f aca="false">IF(AND(D363&gt;=Parameters!$B$18,(H363&gt;=Upgrades!$E$9)*(K363&gt;=Upgrades!$E$12)=1,L363=0),1,"")</f>
        <v/>
      </c>
      <c r="AO363" s="26" t="str">
        <f aca="false">IF(AND(D363&gt;=Parameters!$B$18,L363=0),1,"")</f>
        <v/>
      </c>
      <c r="AP363" s="21" t="n">
        <f aca="false">MIN(IF(ISNUMBER(AK363),AK363,9000000000000000),IF(ISNUMBER(AL363),AL363,9000000000000000),IF(ISNUMBER(AM363),AM363,9000000000000000))</f>
        <v>9000000000000000</v>
      </c>
      <c r="AQ363" s="21" t="n">
        <f aca="false">MIN(IF(ISNUMBER(AG363),AG363,9000000000000000),IF(ISNUMBER(AH363),AH363,9000000000000000),IF(ISNUMBER(AI363),AI363,9000000000000000),IF(ISNUMBER(AJ363),AJ363,9000000000000000))</f>
        <v>37.4517507383159</v>
      </c>
      <c r="AR363" s="32" t="b">
        <f aca="false">IF(AW363&gt;Parameters!$B$21*(MAX(IF(AND(NOT(AND(AO363=1,AN363&lt;&gt;1)),ISNUMBER(AG363),AG363&lt;=T363),AS363,0),IF(AND(NOT(AND(AO363=1,AN363&lt;&gt;1)),ISNUMBER(AH363),AH363&lt;=T363),AT363,0),IF(AND(NOT(AND(AO363=1,AN363&lt;&gt;1)),ISNUMBER(AI363),AI363&lt;=T363),AU363,0),IF(AND(ISNUMBER(AJ363),AJ363&lt;=T363),AV363,0))),TRUE(),FALSE())</f>
        <v>1</v>
      </c>
      <c r="AS363" s="33" t="n">
        <f aca="false">IFERROR(Upgrades!$H$6*(POWER(Upgrades!$P$6,E363)*POWER(Upgrades!$P$7,F363)*POWER(Upgrades!$P$8,G363)*POWER(Upgrades!$P$9,H363)*POWER(Upgrades!$P$10,I363)*POWER(Upgrades!$P$11,J363)*POWER(Upgrades!$P$12,K363))*(IF(Upgrades!$T$7="Solar Wind",POWER(Upgrades!$U$7,F363),1)*IF(Upgrades!$T$8="Solar Wind",POWER(Upgrades!$U$8,G363),1)*IF(Upgrades!$T$9="Solar Wind",POWER(Upgrades!$U$9,H363),1)*IF(Upgrades!$T$10="Solar Wind",POWER(Upgrades!$U$10,I363),1)*IF(Upgrades!$T$11="Solar Wind",POWER(Upgrades!$U$11,J363),1)*IF(Upgrades!$T$12="Solar Wind",POWER(Upgrades!$U$12,K363),1))/AG363,0)</f>
        <v>0.0026701021455238</v>
      </c>
      <c r="AT363" s="33" t="n">
        <f aca="false">IFERROR(Upgrades!$H$7*(POWER(Upgrades!$P$6,E363)*POWER(Upgrades!$P$7,F363)*POWER(Upgrades!$P$8,G363)*POWER(Upgrades!$P$9,H363)*POWER(Upgrades!$P$10,I363)*POWER(Upgrades!$P$11,J363)*POWER(Upgrades!$P$12,K363))*(IF(Upgrades!$T$6="Asteroid Belt",POWER(Upgrades!$U$6,E363),1)*IF(Upgrades!$T$8="Asteroid Belt",POWER(Upgrades!$U$8,G363),1)*IF(Upgrades!$T$9="Asteroid Belt",POWER(Upgrades!$U$9,H363),1)*IF(Upgrades!$T$10="Asteroid Belt",POWER(Upgrades!$U$10,I363),1)*IF(Upgrades!$T$11="Asteroid Belt",POWER(Upgrades!$U$11,J363),1)*IF(Upgrades!$T$12="Asteroid Belt",POWER(Upgrades!$U$12,K363),1))/AH363,0)</f>
        <v>0.00308980882652332</v>
      </c>
      <c r="AU363" s="33" t="n">
        <f aca="false">IFERROR(Upgrades!$K$8*(POWER(Upgrades!$Q$6,E363)*POWER(Upgrades!$Q$7,F363)*POWER(Upgrades!$Q$8,G363)*POWER(Upgrades!$Q$9,H363)*POWER(Upgrades!$Q$10,I363)*POWER(Upgrades!$Q$11,J363)*POWER(Upgrades!$Q$12,K363))*(IF(Upgrades!$T$6="Stellar Coupling",POWER(Upgrades!$U$6,E363),1)*IF(Upgrades!$T$7="Stellar Coupling",POWER(Upgrades!$U$7,F363),1)*IF(Upgrades!$T$9="Stellar Coupling",POWER(Upgrades!$U$9,H363),1)*IF(Upgrades!$T$10="Stellar Coupling",POWER(Upgrades!$U$10,I363),1)*IF(Upgrades!$T$11="Stellar Coupling",POWER(Upgrades!$U$11,J363),1)*IF(Upgrades!$T$12="Stellar Coupling",POWER(Upgrades!$U$12,K363),1))*Parameters!$B$10*Parameters!$B$11/60/AI363,0)</f>
        <v>0.00452762415783776</v>
      </c>
      <c r="AV363" s="33" t="n">
        <f aca="false">IFERROR(Upgrades!$H$9*(POWER(Upgrades!$P$6,E363)*POWER(Upgrades!$P$7,F363)*POWER(Upgrades!$P$8,G363)*POWER(Upgrades!$P$9,H363)*POWER(Upgrades!$P$10,I363)*POWER(Upgrades!$P$11,J363)*POWER(Upgrades!$P$12,K363))*(IF(Upgrades!$T$6="Magnetosphere",POWER(Upgrades!$U$6,E363),1)*IF(Upgrades!$T$7="Magnetosphere",POWER(Upgrades!$U$7,F363),1)*IF(Upgrades!$T$8="Magnetosphere",POWER(Upgrades!$U$8,G363),1)*IF(Upgrades!$T$10="Magnetosphere",POWER(Upgrades!$U$10,I363),1)*IF(Upgrades!$T$11="Magnetosphere",POWER(Upgrades!$U$11,J363),1)*IF(Upgrades!$T$12="Magnetosphere",POWER(Upgrades!$U$12,K363),1))/AJ363,0)</f>
        <v>0</v>
      </c>
      <c r="AW363" s="33" t="n">
        <f aca="false">MAX(IF(I363&gt;0,0,IFERROR(0.25*N363/Upgrades!$C$10,0)),IF(J363&gt;0,0,IFERROR(0.5*((IF(G363=0,0,(Upgrades!$J$8+G363*Upgrades!$K$8)*POWER(Upgrades!$L$8,G363)))*(IF(Upgrades!$T$6="Stellar Coupling",POWER(Upgrades!$U$6,E363),1)*IF(Upgrades!$T$7="Stellar Coupling",POWER(Upgrades!$U$7,F363),1)*IF(Upgrades!$T$9="Stellar Coupling",POWER(Upgrades!$U$9,H363),1)*IF(Upgrades!$T$10="Stellar Coupling",POWER(Upgrades!$U$10,I363),1)*IF(Upgrades!$T$11="Stellar Coupling",POWER(Upgrades!$U$11,J363),1)*IF(Upgrades!$T$12="Stellar Coupling",POWER(Upgrades!$U$12,K363),1))*(POWER(Upgrades!$Q$6,E363)*POWER(Upgrades!$Q$7,F363)*POWER(Upgrades!$Q$8,G363)*POWER(Upgrades!$Q$9,H363)*POWER(Upgrades!$Q$10,I363)*POWER(Upgrades!$Q$11,J363)*POWER(Upgrades!$Q$12,K363))*Parameters!$B$10*Parameters!$B$11/60)/Upgrades!$C$11,0)),IF(K363&gt;0,0,IFERROR((1*(POWER(Upgrades!$P$6,E363)*POWER(Upgrades!$P$7,F363)*POWER(Upgrades!$P$8,G363)*POWER(Upgrades!$P$9,H363)*POWER(Upgrades!$P$10,I363)*POWER(Upgrades!$P$11,J363)*POWER(Upgrades!$P$12,K363))+0.2*M363*Parameters!$B$10*Parameters!$B$11/60)/Upgrades!$C$12,0)),IF(AND(ISNUMBER(AG363),AG363&gt;T363),AS363,0),IF(AND(ISNUMBER(AH363),AH363&gt;T363),AT363,0),IF(AND(ISNUMBER(AI363),AI363&gt;T363),AU363,0),IF(AND(ISNUMBER(AJ363),AJ363&gt;T363),AV363,0))</f>
        <v>0.00452762415783776</v>
      </c>
      <c r="AX363" s="29" t="str">
        <f aca="false">IF(AN363=1,"transition",IF(MIN(IF(AND(I363=0,ISNUMBER(AK363),AK363&lt;=T363),AK363,9000000000000000),IF(AND(J363=0,ISNUMBER(AL363),AL363&lt;=T363),AL363,9000000000000000),IF(AND(K363=0,ISNUMBER(AM363),AM363&lt;=T363),AM363,9000000000000000))&lt;9000000000000000,IF(AND(AND(I363=0,ISNUMBER(AK363),AK363&lt;=T363),AK363=MIN(IF(AND(I363=0,ISNUMBER(AK363),AK363&lt;=T363),AK363,9000000000000000),IF(AND(J363=0,ISNUMBER(AL363),AL363&lt;=T363),AL363,9000000000000000),IF(AND(K363=0,ISNUMBER(AM363),AM363&lt;=T363),AM363,9000000000000000))),"OR",IF(AND(AND(J363=0,ISNUMBER(AL363),AL363&lt;=T363),AL363=MIN(IF(AND(I363=0,ISNUMBER(AK363),AK363&lt;=T363),AK363,9000000000000000),IF(AND(J363=0,ISNUMBER(AL363),AL363&lt;=T363),AL363,9000000000000000),IF(AND(K363=0,ISNUMBER(AM363),AM363&lt;=T363),AM363,9000000000000000))),"HP","FP")),IF(AR363=TRUE(),"",IF(MAX(IF(AND(NOT(AND(AO363=1,AN363&lt;&gt;1)),ISNUMBER(AG363),AG363&lt;=T363),AS363,0),IF(AND(NOT(AND(AO363=1,AN363&lt;&gt;1)),ISNUMBER(AH363),AH363&lt;=T363),AT363,0),IF(AND(NOT(AND(AO363=1,AN363&lt;&gt;1)),ISNUMBER(AI363),AI363&lt;=T363),AU363,0),IF(AND(ISNUMBER(AJ363),AJ363&lt;=T363),AV363,0))&lt;=0,"",IF(AND(IF(AND(NOT(AND(AO363=1,AN363&lt;&gt;1)),ISNUMBER(AG363),AG363&lt;=T363),AS363,0)&gt;0,IF(AND(NOT(AND(AO363=1,AN363&lt;&gt;1)),ISNUMBER(AG363),AG363&lt;=T363),AS363,0)=MAX(IF(AND(NOT(AND(AO363=1,AN363&lt;&gt;1)),ISNUMBER(AG363),AG363&lt;=T363),AS363,0),IF(AND(NOT(AND(AO363=1,AN363&lt;&gt;1)),ISNUMBER(AH363),AH363&lt;=T363),AT363,0),IF(AND(NOT(AND(AO363=1,AN363&lt;&gt;1)),ISNUMBER(AI363),AI363&lt;=T363),AU363,0),IF(AND(ISNUMBER(AJ363),AJ363&lt;=T363),AV363,0))),"SW",IF(AND(IF(AND(NOT(AND(AO363=1,AN363&lt;&gt;1)),ISNUMBER(AH363),AH363&lt;=T363),AT363,0)&gt;0,IF(AND(NOT(AND(AO363=1,AN363&lt;&gt;1)),ISNUMBER(AH363),AH363&lt;=T363),AT363,0)=MAX(IF(AND(NOT(AND(AO363=1,AN363&lt;&gt;1)),ISNUMBER(AG363),AG363&lt;=T363),AS363,0),IF(AND(NOT(AND(AO363=1,AN363&lt;&gt;1)),ISNUMBER(AH363),AH363&lt;=T363),AT363,0),IF(AND(NOT(AND(AO363=1,AN363&lt;&gt;1)),ISNUMBER(AI363),AI363&lt;=T363),AU363,0),IF(AND(ISNUMBER(AJ363),AJ363&lt;=T363),AV363,0))),"AB",IF(AND(IF(AND(NOT(AND(AO363=1,AN363&lt;&gt;1)),ISNUMBER(AI363),AI363&lt;=T363),AU363,0)&gt;0,IF(AND(NOT(AND(AO363=1,AN363&lt;&gt;1)),ISNUMBER(AI363),AI363&lt;=T363),AU363,0)=MAX(IF(AND(NOT(AND(AO363=1,AN363&lt;&gt;1)),ISNUMBER(AG363),AG363&lt;=T363),AS363,0),IF(AND(NOT(AND(AO363=1,AN363&lt;&gt;1)),ISNUMBER(AH363),AH363&lt;=T363),AT363,0),IF(AND(NOT(AND(AO363=1,AN363&lt;&gt;1)),ISNUMBER(AI363),AI363&lt;=T363),AU363,0),IF(AND(ISNUMBER(AJ363),AJ363&lt;=T363),AV363,0))),"SC","Mag")))))))</f>
        <v/>
      </c>
    </row>
    <row r="364" customFormat="false" ht="15" hidden="false" customHeight="false" outlineLevel="0" collapsed="false">
      <c r="A364" s="26" t="n">
        <v>359</v>
      </c>
      <c r="B364" s="27" t="n">
        <f aca="false">A364*10/60</f>
        <v>59.8333333333333</v>
      </c>
      <c r="C364" s="21" t="n">
        <f aca="false">X363</f>
        <v>18.6730249835055</v>
      </c>
      <c r="D364" s="27" t="n">
        <f aca="false">D363+W363</f>
        <v>0</v>
      </c>
      <c r="E364" s="26" t="n">
        <f aca="false">E363+IF(U363="SW",1,0)</f>
        <v>12</v>
      </c>
      <c r="F364" s="26" t="n">
        <f aca="false">F363+IF(U363="AB",1,0)</f>
        <v>10</v>
      </c>
      <c r="G364" s="26" t="n">
        <f aca="false">G363+IF(U363="SC",1,0)</f>
        <v>7</v>
      </c>
      <c r="H364" s="26" t="n">
        <f aca="false">H363+IF(U363="Mag",1,0)</f>
        <v>5</v>
      </c>
      <c r="I364" s="26" t="n">
        <f aca="false">MAX(I363,IF(U363="OR",1,0))</f>
        <v>1</v>
      </c>
      <c r="J364" s="26" t="n">
        <f aca="false">MAX(J363,IF(U363="HP",1,0))</f>
        <v>1</v>
      </c>
      <c r="K364" s="26" t="n">
        <f aca="false">MAX(K363,IF(U363="FP",1,0))</f>
        <v>1</v>
      </c>
      <c r="L364" s="26" t="n">
        <f aca="false">MAX(L363,IF(U363="transition",1,0))</f>
        <v>1</v>
      </c>
      <c r="M364" s="28" t="n">
        <f aca="false">(Parameters!$B$9+(IF(E364=0,0,(Upgrades!$J$6+E364*Upgrades!$K$6)*POWER(Upgrades!$L$6,E364)))*(IF(Upgrades!$T$7="Solar Wind",POWER(Upgrades!$U$7,F364),1)*IF(Upgrades!$T$8="Solar Wind",POWER(Upgrades!$U$8,G364),1)*IF(Upgrades!$T$9="Solar Wind",POWER(Upgrades!$U$9,H364),1)*IF(Upgrades!$T$10="Solar Wind",POWER(Upgrades!$U$10,I364),1)*IF(Upgrades!$T$11="Solar Wind",POWER(Upgrades!$U$11,J364),1)*IF(Upgrades!$T$12="Solar Wind",POWER(Upgrades!$U$12,K364),1))+(IF(F364=0,0,(Upgrades!$J$7+F364*Upgrades!$K$7)*POWER(Upgrades!$L$7,F364)))*(IF(Upgrades!$T$6="Asteroid Belt",POWER(Upgrades!$U$6,E364),1)*IF(Upgrades!$T$8="Asteroid Belt",POWER(Upgrades!$U$8,G364),1)*IF(Upgrades!$T$9="Asteroid Belt",POWER(Upgrades!$U$9,H364),1)*IF(Upgrades!$T$10="Asteroid Belt",POWER(Upgrades!$U$10,I364),1)*IF(Upgrades!$T$11="Asteroid Belt",POWER(Upgrades!$U$11,J364),1)*IF(Upgrades!$T$12="Asteroid Belt",POWER(Upgrades!$U$12,K364),1))+(IF(G364=0,0,(Upgrades!$J$8+G364*Upgrades!$K$8)*POWER(Upgrades!$L$8,G364)))*(IF(Upgrades!$T$6="Stellar Coupling",POWER(Upgrades!$U$6,E364),1)*IF(Upgrades!$T$7="Stellar Coupling",POWER(Upgrades!$U$7,F364),1)*IF(Upgrades!$T$9="Stellar Coupling",POWER(Upgrades!$U$9,H364),1)*IF(Upgrades!$T$10="Stellar Coupling",POWER(Upgrades!$U$10,I364),1)*IF(Upgrades!$T$11="Stellar Coupling",POWER(Upgrades!$U$11,J364),1)*IF(Upgrades!$T$12="Stellar Coupling",POWER(Upgrades!$U$12,K364),1))+(IF(H364=0,0,(Upgrades!$J$9+H364*Upgrades!$K$9)*POWER(Upgrades!$L$9,H364)))*(IF(Upgrades!$T$6="Magnetosphere",POWER(Upgrades!$U$6,E364),1)*IF(Upgrades!$T$7="Magnetosphere",POWER(Upgrades!$U$7,F364),1)*IF(Upgrades!$T$8="Magnetosphere",POWER(Upgrades!$U$8,G364),1)*IF(Upgrades!$T$10="Magnetosphere",POWER(Upgrades!$U$10,I364),1)*IF(Upgrades!$T$11="Magnetosphere",POWER(Upgrades!$U$11,J364),1)*IF(Upgrades!$T$12="Magnetosphere",POWER(Upgrades!$U$12,K364),1))+(IF(I364=0,0,(Upgrades!$J$10+I364*Upgrades!$K$10)*POWER(Upgrades!$L$10,I364)))*(IF(Upgrades!$T$6="Orbital Resonance",POWER(Upgrades!$U$6,E364),1)*IF(Upgrades!$T$7="Orbital Resonance",POWER(Upgrades!$U$7,F364),1)*IF(Upgrades!$T$8="Orbital Resonance",POWER(Upgrades!$U$8,G364),1)*IF(Upgrades!$T$9="Orbital Resonance",POWER(Upgrades!$U$9,H364),1)*IF(Upgrades!$T$11="Orbital Resonance",POWER(Upgrades!$U$11,J364),1)*IF(Upgrades!$T$12="Orbital Resonance",POWER(Upgrades!$U$12,K364),1))+(IF(J364=0,0,(Upgrades!$J$11+J364*Upgrades!$K$11)*POWER(Upgrades!$L$11,J364)))*(IF(Upgrades!$T$6="Heliopause",POWER(Upgrades!$U$6,E364),1)*IF(Upgrades!$T$7="Heliopause",POWER(Upgrades!$U$7,F364),1)*IF(Upgrades!$T$8="Heliopause",POWER(Upgrades!$U$8,G364),1)*IF(Upgrades!$T$9="Heliopause",POWER(Upgrades!$U$9,H364),1)*IF(Upgrades!$T$10="Heliopause",POWER(Upgrades!$U$10,I364),1)*IF(Upgrades!$T$12="Heliopause",POWER(Upgrades!$U$12,K364),1))+(IF(K364=0,0,(Upgrades!$J$12+K364*Upgrades!$K$12)*POWER(Upgrades!$L$12,K364)))*(IF(Upgrades!$T$6="First Photons",POWER(Upgrades!$U$6,E364),1)*IF(Upgrades!$T$7="First Photons",POWER(Upgrades!$U$7,F364),1)*IF(Upgrades!$T$8="First Photons",POWER(Upgrades!$U$8,G364),1)*IF(Upgrades!$T$9="First Photons",POWER(Upgrades!$U$9,H364),1)*IF(Upgrades!$T$10="First Photons",POWER(Upgrades!$U$10,I364),1)*IF(Upgrades!$T$11="First Photons",POWER(Upgrades!$U$11,J364),1)))*POWER(Upgrades!$Q$6,E364)*POWER(Upgrades!$Q$7,F364)*POWER(Upgrades!$Q$8,G364)*POWER(Upgrades!$Q$9,H364)*POWER(Upgrades!$Q$10,I364)*POWER(Upgrades!$Q$11,J364)*POWER(Upgrades!$Q$12,K364)</f>
        <v>5.61</v>
      </c>
      <c r="N364" s="28" t="n">
        <f aca="false">((IF(E364=0,0,(Upgrades!$G$6+E364*Upgrades!$H$6)*POWER(Upgrades!$I$6,E364)))*(IF(Upgrades!$T$7="Solar Wind",POWER(Upgrades!$U$7,F364),1)*IF(Upgrades!$T$8="Solar Wind",POWER(Upgrades!$U$8,G364),1)*IF(Upgrades!$T$9="Solar Wind",POWER(Upgrades!$U$9,H364),1)*IF(Upgrades!$T$10="Solar Wind",POWER(Upgrades!$U$10,I364),1)*IF(Upgrades!$T$11="Solar Wind",POWER(Upgrades!$U$11,J364),1)*IF(Upgrades!$T$12="Solar Wind",POWER(Upgrades!$U$12,K364),1))+(IF(F364=0,0,(Upgrades!$G$7+F364*Upgrades!$H$7)*POWER(Upgrades!$I$7,F364)))*(IF(Upgrades!$T$6="Asteroid Belt",POWER(Upgrades!$U$6,E364),1)*IF(Upgrades!$T$8="Asteroid Belt",POWER(Upgrades!$U$8,G364),1)*IF(Upgrades!$T$9="Asteroid Belt",POWER(Upgrades!$U$9,H364),1)*IF(Upgrades!$T$10="Asteroid Belt",POWER(Upgrades!$U$10,I364),1)*IF(Upgrades!$T$11="Asteroid Belt",POWER(Upgrades!$U$11,J364),1)*IF(Upgrades!$T$12="Asteroid Belt",POWER(Upgrades!$U$12,K364),1))+(IF(G364=0,0,(Upgrades!$G$8+G364*Upgrades!$H$8)*POWER(Upgrades!$I$8,G364)))*(IF(Upgrades!$T$6="Stellar Coupling",POWER(Upgrades!$U$6,E364),1)*IF(Upgrades!$T$7="Stellar Coupling",POWER(Upgrades!$U$7,F364),1)*IF(Upgrades!$T$9="Stellar Coupling",POWER(Upgrades!$U$9,H364),1)*IF(Upgrades!$T$10="Stellar Coupling",POWER(Upgrades!$U$10,I364),1)*IF(Upgrades!$T$11="Stellar Coupling",POWER(Upgrades!$U$11,J364),1)*IF(Upgrades!$T$12="Stellar Coupling",POWER(Upgrades!$U$12,K364),1))+(IF(H364=0,0,(Upgrades!$G$9+H364*Upgrades!$H$9)*POWER(Upgrades!$I$9,H364)))*(IF(Upgrades!$T$6="Magnetosphere",POWER(Upgrades!$U$6,E364),1)*IF(Upgrades!$T$7="Magnetosphere",POWER(Upgrades!$U$7,F364),1)*IF(Upgrades!$T$8="Magnetosphere",POWER(Upgrades!$U$8,G364),1)*IF(Upgrades!$T$10="Magnetosphere",POWER(Upgrades!$U$10,I364),1)*IF(Upgrades!$T$11="Magnetosphere",POWER(Upgrades!$U$11,J364),1)*IF(Upgrades!$T$12="Magnetosphere",POWER(Upgrades!$U$12,K364),1))+(IF(I364=0,0,(Upgrades!$G$10+I364*Upgrades!$H$10)*POWER(Upgrades!$I$10,I364)))*(IF(Upgrades!$T$6="Orbital Resonance",POWER(Upgrades!$U$6,E364),1)*IF(Upgrades!$T$7="Orbital Resonance",POWER(Upgrades!$U$7,F364),1)*IF(Upgrades!$T$8="Orbital Resonance",POWER(Upgrades!$U$8,G364),1)*IF(Upgrades!$T$9="Orbital Resonance",POWER(Upgrades!$U$9,H364),1)*IF(Upgrades!$T$11="Orbital Resonance",POWER(Upgrades!$U$11,J364),1)*IF(Upgrades!$T$12="Orbital Resonance",POWER(Upgrades!$U$12,K364),1))+(IF(J364=0,0,(Upgrades!$G$11+J364*Upgrades!$H$11)*POWER(Upgrades!$I$11,J364)))*(IF(Upgrades!$T$6="Heliopause",POWER(Upgrades!$U$6,E364),1)*IF(Upgrades!$T$7="Heliopause",POWER(Upgrades!$U$7,F364),1)*IF(Upgrades!$T$8="Heliopause",POWER(Upgrades!$U$8,G364),1)*IF(Upgrades!$T$9="Heliopause",POWER(Upgrades!$U$9,H364),1)*IF(Upgrades!$T$10="Heliopause",POWER(Upgrades!$U$10,I364),1)*IF(Upgrades!$T$12="Heliopause",POWER(Upgrades!$U$12,K364),1))+(IF(K364=0,0,(Upgrades!$G$12+K364*Upgrades!$H$12)*POWER(Upgrades!$I$12,K364)))*(IF(Upgrades!$T$6="First Photons",POWER(Upgrades!$U$6,E364),1)*IF(Upgrades!$T$7="First Photons",POWER(Upgrades!$U$7,F364),1)*IF(Upgrades!$T$8="First Photons",POWER(Upgrades!$U$8,G364),1)*IF(Upgrades!$T$9="First Photons",POWER(Upgrades!$U$9,H364),1)*IF(Upgrades!$T$10="First Photons",POWER(Upgrades!$U$10,I364),1)*IF(Upgrades!$T$11="First Photons",POWER(Upgrades!$U$11,J364),1)))*POWER(Upgrades!$P$6,E364)*POWER(Upgrades!$P$7,F364)*POWER(Upgrades!$P$8,G364)*POWER(Upgrades!$P$9,H364)*POWER(Upgrades!$P$10,I364)*POWER(Upgrades!$P$11,J364)*POWER(Upgrades!$P$12,K364)</f>
        <v>11.2</v>
      </c>
      <c r="O364" s="28" t="n">
        <f aca="false">((IF(E364=0,0,(Upgrades!$M$6+E364*Upgrades!$N$6)*POWER(Upgrades!$O$6,E364)))*(IF(Upgrades!$T$7="Solar Wind",POWER(Upgrades!$U$7,F364),1)*IF(Upgrades!$T$8="Solar Wind",POWER(Upgrades!$U$8,G364),1)*IF(Upgrades!$T$9="Solar Wind",POWER(Upgrades!$U$9,H364),1)*IF(Upgrades!$T$10="Solar Wind",POWER(Upgrades!$U$10,I364),1)*IF(Upgrades!$T$11="Solar Wind",POWER(Upgrades!$U$11,J364),1)*IF(Upgrades!$T$12="Solar Wind",POWER(Upgrades!$U$12,K364),1))+(IF(F364=0,0,(Upgrades!$M$7+F364*Upgrades!$N$7)*POWER(Upgrades!$O$7,F364)))*(IF(Upgrades!$T$6="Asteroid Belt",POWER(Upgrades!$U$6,E364),1)*IF(Upgrades!$T$8="Asteroid Belt",POWER(Upgrades!$U$8,G364),1)*IF(Upgrades!$T$9="Asteroid Belt",POWER(Upgrades!$U$9,H364),1)*IF(Upgrades!$T$10="Asteroid Belt",POWER(Upgrades!$U$10,I364),1)*IF(Upgrades!$T$11="Asteroid Belt",POWER(Upgrades!$U$11,J364),1)*IF(Upgrades!$T$12="Asteroid Belt",POWER(Upgrades!$U$12,K364),1))+(IF(G364=0,0,(Upgrades!$M$8+G364*Upgrades!$N$8)*POWER(Upgrades!$O$8,G364)))*(IF(Upgrades!$T$6="Stellar Coupling",POWER(Upgrades!$U$6,E364),1)*IF(Upgrades!$T$7="Stellar Coupling",POWER(Upgrades!$U$7,F364),1)*IF(Upgrades!$T$9="Stellar Coupling",POWER(Upgrades!$U$9,H364),1)*IF(Upgrades!$T$10="Stellar Coupling",POWER(Upgrades!$U$10,I364),1)*IF(Upgrades!$T$11="Stellar Coupling",POWER(Upgrades!$U$11,J364),1)*IF(Upgrades!$T$12="Stellar Coupling",POWER(Upgrades!$U$12,K364),1))+(IF(H364=0,0,(Upgrades!$M$9+H364*Upgrades!$N$9)*POWER(Upgrades!$O$9,H364)))*(IF(Upgrades!$T$6="Magnetosphere",POWER(Upgrades!$U$6,E364),1)*IF(Upgrades!$T$7="Magnetosphere",POWER(Upgrades!$U$7,F364),1)*IF(Upgrades!$T$8="Magnetosphere",POWER(Upgrades!$U$8,G364),1)*IF(Upgrades!$T$10="Magnetosphere",POWER(Upgrades!$U$10,I364),1)*IF(Upgrades!$T$11="Magnetosphere",POWER(Upgrades!$U$11,J364),1)*IF(Upgrades!$T$12="Magnetosphere",POWER(Upgrades!$U$12,K364),1))+(IF(I364=0,0,(Upgrades!$M$10+I364*Upgrades!$N$10)*POWER(Upgrades!$O$10,I364)))*(IF(Upgrades!$T$6="Orbital Resonance",POWER(Upgrades!$U$6,E364),1)*IF(Upgrades!$T$7="Orbital Resonance",POWER(Upgrades!$U$7,F364),1)*IF(Upgrades!$T$8="Orbital Resonance",POWER(Upgrades!$U$8,G364),1)*IF(Upgrades!$T$9="Orbital Resonance",POWER(Upgrades!$U$9,H364),1)*IF(Upgrades!$T$11="Orbital Resonance",POWER(Upgrades!$U$11,J364),1)*IF(Upgrades!$T$12="Orbital Resonance",POWER(Upgrades!$U$12,K364),1))+(IF(J364=0,0,(Upgrades!$M$11+J364*Upgrades!$N$11)*POWER(Upgrades!$O$11,J364)))*(IF(Upgrades!$T$6="Heliopause",POWER(Upgrades!$U$6,E364),1)*IF(Upgrades!$T$7="Heliopause",POWER(Upgrades!$U$7,F364),1)*IF(Upgrades!$T$8="Heliopause",POWER(Upgrades!$U$8,G364),1)*IF(Upgrades!$T$9="Heliopause",POWER(Upgrades!$U$9,H364),1)*IF(Upgrades!$T$10="Heliopause",POWER(Upgrades!$U$10,I364),1)*IF(Upgrades!$T$12="Heliopause",POWER(Upgrades!$U$12,K364),1))+(IF(K364=0,0,(Upgrades!$M$12+K364*Upgrades!$N$12)*POWER(Upgrades!$O$12,K364)))*(IF(Upgrades!$T$6="First Photons",POWER(Upgrades!$U$6,E364),1)*IF(Upgrades!$T$7="First Photons",POWER(Upgrades!$U$7,F364),1)*IF(Upgrades!$T$8="First Photons",POWER(Upgrades!$U$8,G364),1)*IF(Upgrades!$T$9="First Photons",POWER(Upgrades!$U$9,H364),1)*IF(Upgrades!$T$10="First Photons",POWER(Upgrades!$U$10,I364),1)*IF(Upgrades!$T$11="First Photons",POWER(Upgrades!$U$11,J364),1)))*POWER(Upgrades!$R$6,E364)*POWER(Upgrades!$R$7,F364)*POWER(Upgrades!$R$8,G364)*POWER(Upgrades!$R$9,H364)*POWER(Upgrades!$R$10,I364)*POWER(Upgrades!$R$11,J364)*POWER(Upgrades!$R$12,K364)</f>
        <v>0</v>
      </c>
      <c r="P364" s="27" t="n">
        <f aca="false">IF(L364=1,0,M364*Parameters!$B$10/60*Parameters!$B$11*10)</f>
        <v>0</v>
      </c>
      <c r="Q364" s="27" t="n">
        <f aca="false">IF(L364=1,0,O364*M364*10)</f>
        <v>0</v>
      </c>
      <c r="R364" s="27" t="n">
        <f aca="false">IF(L364=1,0,N364*10)</f>
        <v>0</v>
      </c>
      <c r="S364" s="27" t="n">
        <f aca="false">P364+Q364+R364</f>
        <v>0</v>
      </c>
      <c r="T364" s="21" t="n">
        <f aca="false">C364+S364</f>
        <v>18.6730249835055</v>
      </c>
      <c r="U364" s="34" t="str">
        <f aca="false">AX364</f>
        <v/>
      </c>
      <c r="V364" s="21" t="n">
        <f aca="false">IF(U364="",0,IF(U364="transition",0,IF(U364="SW",AG364,IF(U364="AB",AH364,IF(U364="SC",AI364,IF(U364="Mag",AJ364,IF(U364="OR",AK364,IF(U364="HP",AL364,IF(U364="FP",AM364,0)))))))))</f>
        <v>0</v>
      </c>
      <c r="W364" s="27" t="n">
        <f aca="false">IF(U364="OR",Upgrades!$F$10,IF(U364="HP",Upgrades!$F$11,IF(U364="transition",-Parameters!$B$18,0)))</f>
        <v>0</v>
      </c>
      <c r="X364" s="21" t="n">
        <f aca="false">T364-V364</f>
        <v>18.6730249835055</v>
      </c>
      <c r="Y364" s="30" t="n">
        <f aca="false">M364*Parameters!$B$10/60*Parameters!$B$11+O364*M364+N364</f>
        <v>20.55</v>
      </c>
      <c r="Z364" s="35" t="str">
        <f aca="false">IF(U364="transition","→ Tier 2 (Stellar Neighborhood)",IF(U364="FP","First Photons — light begins, system quickens",IF(U364="HP","Heliopause acquired",IF(U364="OR","Orbital Resonance — passive multiplier active",IF(AND(AO364=1,L364=0,AN364&lt;&gt;1),"Cohesion ready (waiting on completionist upgrades)","")))))</f>
        <v/>
      </c>
      <c r="AA364" s="27" t="n">
        <f aca="false">(IF(E364=0,0,(Upgrades!$G$6+E364*Upgrades!$H$6)*POWER(Upgrades!$I$6,E364)))*(IF(Upgrades!$T$7="Solar Wind",POWER(Upgrades!$U$7,F364),1)*IF(Upgrades!$T$8="Solar Wind",POWER(Upgrades!$U$8,G364),1)*IF(Upgrades!$T$9="Solar Wind",POWER(Upgrades!$U$9,H364),1)*IF(Upgrades!$T$10="Solar Wind",POWER(Upgrades!$U$10,I364),1)*IF(Upgrades!$T$11="Solar Wind",POWER(Upgrades!$U$11,J364),1)*IF(Upgrades!$T$12="Solar Wind",POWER(Upgrades!$U$12,K364),1))*POWER(Upgrades!$P$6,E364)*POWER(Upgrades!$P$7,F364)*POWER(Upgrades!$P$8,G364)*POWER(Upgrades!$P$9,H364)*POWER(Upgrades!$P$10,I364)*POWER(Upgrades!$P$11,J364)*POWER(Upgrades!$P$12,K364)*60</f>
        <v>72</v>
      </c>
      <c r="AB364" s="27" t="n">
        <f aca="false">(IF(F364=0,0,(Upgrades!$G$7+F364*Upgrades!$H$7)*POWER(Upgrades!$I$7,F364)))*(IF(Upgrades!$T$6="Asteroid Belt",POWER(Upgrades!$U$6,E364),1)*IF(Upgrades!$T$8="Asteroid Belt",POWER(Upgrades!$U$8,G364),1)*IF(Upgrades!$T$9="Asteroid Belt",POWER(Upgrades!$U$9,H364),1)*IF(Upgrades!$T$10="Asteroid Belt",POWER(Upgrades!$U$10,I364),1)*IF(Upgrades!$T$11="Asteroid Belt",POWER(Upgrades!$U$11,J364),1)*IF(Upgrades!$T$12="Asteroid Belt",POWER(Upgrades!$U$12,K364),1))*POWER(Upgrades!$P$6,E364)*POWER(Upgrades!$P$7,F364)*POWER(Upgrades!$P$8,G364)*POWER(Upgrades!$P$9,H364)*POWER(Upgrades!$P$10,I364)*POWER(Upgrades!$P$11,J364)*POWER(Upgrades!$P$12,K364)*60</f>
        <v>150</v>
      </c>
      <c r="AC364" s="27" t="n">
        <f aca="false">(IF(G364=0,0,(Upgrades!$J$8+G364*Upgrades!$K$8)*POWER(Upgrades!$L$8,G364)))*(IF(Upgrades!$T$6="Stellar Coupling",POWER(Upgrades!$U$6,E364),1)*IF(Upgrades!$T$7="Stellar Coupling",POWER(Upgrades!$U$7,F364),1)*IF(Upgrades!$T$9="Stellar Coupling",POWER(Upgrades!$U$9,H364),1)*IF(Upgrades!$T$10="Stellar Coupling",POWER(Upgrades!$U$10,I364),1)*IF(Upgrades!$T$11="Stellar Coupling",POWER(Upgrades!$U$11,J364),1)*IF(Upgrades!$T$12="Stellar Coupling",POWER(Upgrades!$U$12,K364),1))*POWER(Upgrades!$Q$6,E364)*POWER(Upgrades!$Q$7,F364)*POWER(Upgrades!$Q$8,G364)*POWER(Upgrades!$Q$9,H364)*POWER(Upgrades!$Q$10,I364)*POWER(Upgrades!$Q$11,J364)*POWER(Upgrades!$Q$12,K364)*Parameters!$B$10*Parameters!$B$11</f>
        <v>441</v>
      </c>
      <c r="AD364" s="27" t="n">
        <f aca="false">(IF(H364=0,0,(Upgrades!$G$9+H364*Upgrades!$H$9)*POWER(Upgrades!$I$9,H364)))*(IF(Upgrades!$T$6="Magnetosphere",POWER(Upgrades!$U$6,E364),1)*IF(Upgrades!$T$7="Magnetosphere",POWER(Upgrades!$U$7,F364),1)*IF(Upgrades!$T$8="Magnetosphere",POWER(Upgrades!$U$8,G364),1)*IF(Upgrades!$T$10="Magnetosphere",POWER(Upgrades!$U$10,I364),1)*IF(Upgrades!$T$11="Magnetosphere",POWER(Upgrades!$U$11,J364),1)*IF(Upgrades!$T$12="Magnetosphere",POWER(Upgrades!$U$12,K364),1))*POWER(Upgrades!$P$6,E364)*POWER(Upgrades!$P$7,F364)*POWER(Upgrades!$P$8,G364)*POWER(Upgrades!$P$9,H364)*POWER(Upgrades!$P$10,I364)*POWER(Upgrades!$P$11,J364)*POWER(Upgrades!$P$12,K364)*60</f>
        <v>375</v>
      </c>
      <c r="AE364" s="27" t="n">
        <f aca="false">(IF(K364=0,0,(Upgrades!$G$12+K364*Upgrades!$H$12)*POWER(Upgrades!$I$12,K364)))*(IF(Upgrades!$T$6="First Photons",POWER(Upgrades!$U$6,E364),1)*IF(Upgrades!$T$7="First Photons",POWER(Upgrades!$U$7,F364),1)*IF(Upgrades!$T$8="First Photons",POWER(Upgrades!$U$8,G364),1)*IF(Upgrades!$T$9="First Photons",POWER(Upgrades!$U$9,H364),1)*IF(Upgrades!$T$10="First Photons",POWER(Upgrades!$U$10,I364),1)*IF(Upgrades!$T$11="First Photons",POWER(Upgrades!$U$11,J364),1))*POWER(Upgrades!$P$6,E364)*POWER(Upgrades!$P$7,F364)*POWER(Upgrades!$P$8,G364)*POWER(Upgrades!$P$9,H364)*POWER(Upgrades!$P$10,I364)*POWER(Upgrades!$P$11,J364)*POWER(Upgrades!$P$12,K364)*60</f>
        <v>75</v>
      </c>
      <c r="AF364" s="27" t="n">
        <f aca="false">Parameters!$B$9*POWER(Upgrades!$Q$6,E364)*POWER(Upgrades!$Q$7,F364)*POWER(Upgrades!$Q$8,G364)*POWER(Upgrades!$Q$9,H364)*POWER(Upgrades!$Q$10,I364)*POWER(Upgrades!$Q$11,J364)*POWER(Upgrades!$Q$12,K364)*(Parameters!$B$10*Parameters!$B$11+O364*60)</f>
        <v>120</v>
      </c>
      <c r="AG364" s="21" t="n">
        <f aca="false">IF(E364&gt;=Upgrades!$E$6,"",Upgrades!$C$6*POWER(Upgrades!$D$6,E364))</f>
        <v>37.4517507383159</v>
      </c>
      <c r="AH364" s="21" t="n">
        <f aca="false">IF(F364&gt;=Upgrades!$E$7,"",Upgrades!$C$7*POWER(Upgrades!$D$7,F364))</f>
        <v>80.9111547141581</v>
      </c>
      <c r="AI364" s="21" t="n">
        <f aca="false">IF(G364&gt;=Upgrades!$E$8,"",Upgrades!$C$8*POWER(Upgrades!$D$8,G364))</f>
        <v>231.9097088</v>
      </c>
      <c r="AJ364" s="21" t="str">
        <f aca="false">IF(H364&gt;=Upgrades!$E$9,"",Upgrades!$C$9*POWER(Upgrades!$D$9,H364))</f>
        <v/>
      </c>
      <c r="AK364" s="21" t="str">
        <f aca="false">IF(I364&gt;=Upgrades!$E$10,"",Upgrades!$C$10*POWER(Upgrades!$D$10,I364))</f>
        <v/>
      </c>
      <c r="AL364" s="21" t="str">
        <f aca="false">IF(J364&gt;=Upgrades!$E$11,"",Upgrades!$C$11*POWER(Upgrades!$D$11,J364))</f>
        <v/>
      </c>
      <c r="AM364" s="21" t="str">
        <f aca="false">IF(K364&gt;=Upgrades!$E$12,"",Upgrades!$C$12*POWER(Upgrades!$D$12,K364))</f>
        <v/>
      </c>
      <c r="AN364" s="26" t="str">
        <f aca="false">IF(AND(D364&gt;=Parameters!$B$18,(H364&gt;=Upgrades!$E$9)*(K364&gt;=Upgrades!$E$12)=1,L364=0),1,"")</f>
        <v/>
      </c>
      <c r="AO364" s="26" t="str">
        <f aca="false">IF(AND(D364&gt;=Parameters!$B$18,L364=0),1,"")</f>
        <v/>
      </c>
      <c r="AP364" s="21" t="n">
        <f aca="false">MIN(IF(ISNUMBER(AK364),AK364,9000000000000000),IF(ISNUMBER(AL364),AL364,9000000000000000),IF(ISNUMBER(AM364),AM364,9000000000000000))</f>
        <v>9000000000000000</v>
      </c>
      <c r="AQ364" s="21" t="n">
        <f aca="false">MIN(IF(ISNUMBER(AG364),AG364,9000000000000000),IF(ISNUMBER(AH364),AH364,9000000000000000),IF(ISNUMBER(AI364),AI364,9000000000000000),IF(ISNUMBER(AJ364),AJ364,9000000000000000))</f>
        <v>37.4517507383159</v>
      </c>
      <c r="AR364" s="32" t="b">
        <f aca="false">IF(AW364&gt;Parameters!$B$21*(MAX(IF(AND(NOT(AND(AO364=1,AN364&lt;&gt;1)),ISNUMBER(AG364),AG364&lt;=T364),AS364,0),IF(AND(NOT(AND(AO364=1,AN364&lt;&gt;1)),ISNUMBER(AH364),AH364&lt;=T364),AT364,0),IF(AND(NOT(AND(AO364=1,AN364&lt;&gt;1)),ISNUMBER(AI364),AI364&lt;=T364),AU364,0),IF(AND(ISNUMBER(AJ364),AJ364&lt;=T364),AV364,0))),TRUE(),FALSE())</f>
        <v>1</v>
      </c>
      <c r="AS364" s="33" t="n">
        <f aca="false">IFERROR(Upgrades!$H$6*(POWER(Upgrades!$P$6,E364)*POWER(Upgrades!$P$7,F364)*POWER(Upgrades!$P$8,G364)*POWER(Upgrades!$P$9,H364)*POWER(Upgrades!$P$10,I364)*POWER(Upgrades!$P$11,J364)*POWER(Upgrades!$P$12,K364))*(IF(Upgrades!$T$7="Solar Wind",POWER(Upgrades!$U$7,F364),1)*IF(Upgrades!$T$8="Solar Wind",POWER(Upgrades!$U$8,G364),1)*IF(Upgrades!$T$9="Solar Wind",POWER(Upgrades!$U$9,H364),1)*IF(Upgrades!$T$10="Solar Wind",POWER(Upgrades!$U$10,I364),1)*IF(Upgrades!$T$11="Solar Wind",POWER(Upgrades!$U$11,J364),1)*IF(Upgrades!$T$12="Solar Wind",POWER(Upgrades!$U$12,K364),1))/AG364,0)</f>
        <v>0.0026701021455238</v>
      </c>
      <c r="AT364" s="33" t="n">
        <f aca="false">IFERROR(Upgrades!$H$7*(POWER(Upgrades!$P$6,E364)*POWER(Upgrades!$P$7,F364)*POWER(Upgrades!$P$8,G364)*POWER(Upgrades!$P$9,H364)*POWER(Upgrades!$P$10,I364)*POWER(Upgrades!$P$11,J364)*POWER(Upgrades!$P$12,K364))*(IF(Upgrades!$T$6="Asteroid Belt",POWER(Upgrades!$U$6,E364),1)*IF(Upgrades!$T$8="Asteroid Belt",POWER(Upgrades!$U$8,G364),1)*IF(Upgrades!$T$9="Asteroid Belt",POWER(Upgrades!$U$9,H364),1)*IF(Upgrades!$T$10="Asteroid Belt",POWER(Upgrades!$U$10,I364),1)*IF(Upgrades!$T$11="Asteroid Belt",POWER(Upgrades!$U$11,J364),1)*IF(Upgrades!$T$12="Asteroid Belt",POWER(Upgrades!$U$12,K364),1))/AH364,0)</f>
        <v>0.00308980882652332</v>
      </c>
      <c r="AU364" s="33" t="n">
        <f aca="false">IFERROR(Upgrades!$K$8*(POWER(Upgrades!$Q$6,E364)*POWER(Upgrades!$Q$7,F364)*POWER(Upgrades!$Q$8,G364)*POWER(Upgrades!$Q$9,H364)*POWER(Upgrades!$Q$10,I364)*POWER(Upgrades!$Q$11,J364)*POWER(Upgrades!$Q$12,K364))*(IF(Upgrades!$T$6="Stellar Coupling",POWER(Upgrades!$U$6,E364),1)*IF(Upgrades!$T$7="Stellar Coupling",POWER(Upgrades!$U$7,F364),1)*IF(Upgrades!$T$9="Stellar Coupling",POWER(Upgrades!$U$9,H364),1)*IF(Upgrades!$T$10="Stellar Coupling",POWER(Upgrades!$U$10,I364),1)*IF(Upgrades!$T$11="Stellar Coupling",POWER(Upgrades!$U$11,J364),1)*IF(Upgrades!$T$12="Stellar Coupling",POWER(Upgrades!$U$12,K364),1))*Parameters!$B$10*Parameters!$B$11/60/AI364,0)</f>
        <v>0.00452762415783776</v>
      </c>
      <c r="AV364" s="33" t="n">
        <f aca="false">IFERROR(Upgrades!$H$9*(POWER(Upgrades!$P$6,E364)*POWER(Upgrades!$P$7,F364)*POWER(Upgrades!$P$8,G364)*POWER(Upgrades!$P$9,H364)*POWER(Upgrades!$P$10,I364)*POWER(Upgrades!$P$11,J364)*POWER(Upgrades!$P$12,K364))*(IF(Upgrades!$T$6="Magnetosphere",POWER(Upgrades!$U$6,E364),1)*IF(Upgrades!$T$7="Magnetosphere",POWER(Upgrades!$U$7,F364),1)*IF(Upgrades!$T$8="Magnetosphere",POWER(Upgrades!$U$8,G364),1)*IF(Upgrades!$T$10="Magnetosphere",POWER(Upgrades!$U$10,I364),1)*IF(Upgrades!$T$11="Magnetosphere",POWER(Upgrades!$U$11,J364),1)*IF(Upgrades!$T$12="Magnetosphere",POWER(Upgrades!$U$12,K364),1))/AJ364,0)</f>
        <v>0</v>
      </c>
      <c r="AW364" s="33" t="n">
        <f aca="false">MAX(IF(I364&gt;0,0,IFERROR(0.25*N364/Upgrades!$C$10,0)),IF(J364&gt;0,0,IFERROR(0.5*((IF(G364=0,0,(Upgrades!$J$8+G364*Upgrades!$K$8)*POWER(Upgrades!$L$8,G364)))*(IF(Upgrades!$T$6="Stellar Coupling",POWER(Upgrades!$U$6,E364),1)*IF(Upgrades!$T$7="Stellar Coupling",POWER(Upgrades!$U$7,F364),1)*IF(Upgrades!$T$9="Stellar Coupling",POWER(Upgrades!$U$9,H364),1)*IF(Upgrades!$T$10="Stellar Coupling",POWER(Upgrades!$U$10,I364),1)*IF(Upgrades!$T$11="Stellar Coupling",POWER(Upgrades!$U$11,J364),1)*IF(Upgrades!$T$12="Stellar Coupling",POWER(Upgrades!$U$12,K364),1))*(POWER(Upgrades!$Q$6,E364)*POWER(Upgrades!$Q$7,F364)*POWER(Upgrades!$Q$8,G364)*POWER(Upgrades!$Q$9,H364)*POWER(Upgrades!$Q$10,I364)*POWER(Upgrades!$Q$11,J364)*POWER(Upgrades!$Q$12,K364))*Parameters!$B$10*Parameters!$B$11/60)/Upgrades!$C$11,0)),IF(K364&gt;0,0,IFERROR((1*(POWER(Upgrades!$P$6,E364)*POWER(Upgrades!$P$7,F364)*POWER(Upgrades!$P$8,G364)*POWER(Upgrades!$P$9,H364)*POWER(Upgrades!$P$10,I364)*POWER(Upgrades!$P$11,J364)*POWER(Upgrades!$P$12,K364))+0.2*M364*Parameters!$B$10*Parameters!$B$11/60)/Upgrades!$C$12,0)),IF(AND(ISNUMBER(AG364),AG364&gt;T364),AS364,0),IF(AND(ISNUMBER(AH364),AH364&gt;T364),AT364,0),IF(AND(ISNUMBER(AI364),AI364&gt;T364),AU364,0),IF(AND(ISNUMBER(AJ364),AJ364&gt;T364),AV364,0))</f>
        <v>0.00452762415783776</v>
      </c>
      <c r="AX364" s="29" t="str">
        <f aca="false">IF(AN364=1,"transition",IF(MIN(IF(AND(I364=0,ISNUMBER(AK364),AK364&lt;=T364),AK364,9000000000000000),IF(AND(J364=0,ISNUMBER(AL364),AL364&lt;=T364),AL364,9000000000000000),IF(AND(K364=0,ISNUMBER(AM364),AM364&lt;=T364),AM364,9000000000000000))&lt;9000000000000000,IF(AND(AND(I364=0,ISNUMBER(AK364),AK364&lt;=T364),AK364=MIN(IF(AND(I364=0,ISNUMBER(AK364),AK364&lt;=T364),AK364,9000000000000000),IF(AND(J364=0,ISNUMBER(AL364),AL364&lt;=T364),AL364,9000000000000000),IF(AND(K364=0,ISNUMBER(AM364),AM364&lt;=T364),AM364,9000000000000000))),"OR",IF(AND(AND(J364=0,ISNUMBER(AL364),AL364&lt;=T364),AL364=MIN(IF(AND(I364=0,ISNUMBER(AK364),AK364&lt;=T364),AK364,9000000000000000),IF(AND(J364=0,ISNUMBER(AL364),AL364&lt;=T364),AL364,9000000000000000),IF(AND(K364=0,ISNUMBER(AM364),AM364&lt;=T364),AM364,9000000000000000))),"HP","FP")),IF(AR364=TRUE(),"",IF(MAX(IF(AND(NOT(AND(AO364=1,AN364&lt;&gt;1)),ISNUMBER(AG364),AG364&lt;=T364),AS364,0),IF(AND(NOT(AND(AO364=1,AN364&lt;&gt;1)),ISNUMBER(AH364),AH364&lt;=T364),AT364,0),IF(AND(NOT(AND(AO364=1,AN364&lt;&gt;1)),ISNUMBER(AI364),AI364&lt;=T364),AU364,0),IF(AND(ISNUMBER(AJ364),AJ364&lt;=T364),AV364,0))&lt;=0,"",IF(AND(IF(AND(NOT(AND(AO364=1,AN364&lt;&gt;1)),ISNUMBER(AG364),AG364&lt;=T364),AS364,0)&gt;0,IF(AND(NOT(AND(AO364=1,AN364&lt;&gt;1)),ISNUMBER(AG364),AG364&lt;=T364),AS364,0)=MAX(IF(AND(NOT(AND(AO364=1,AN364&lt;&gt;1)),ISNUMBER(AG364),AG364&lt;=T364),AS364,0),IF(AND(NOT(AND(AO364=1,AN364&lt;&gt;1)),ISNUMBER(AH364),AH364&lt;=T364),AT364,0),IF(AND(NOT(AND(AO364=1,AN364&lt;&gt;1)),ISNUMBER(AI364),AI364&lt;=T364),AU364,0),IF(AND(ISNUMBER(AJ364),AJ364&lt;=T364),AV364,0))),"SW",IF(AND(IF(AND(NOT(AND(AO364=1,AN364&lt;&gt;1)),ISNUMBER(AH364),AH364&lt;=T364),AT364,0)&gt;0,IF(AND(NOT(AND(AO364=1,AN364&lt;&gt;1)),ISNUMBER(AH364),AH364&lt;=T364),AT364,0)=MAX(IF(AND(NOT(AND(AO364=1,AN364&lt;&gt;1)),ISNUMBER(AG364),AG364&lt;=T364),AS364,0),IF(AND(NOT(AND(AO364=1,AN364&lt;&gt;1)),ISNUMBER(AH364),AH364&lt;=T364),AT364,0),IF(AND(NOT(AND(AO364=1,AN364&lt;&gt;1)),ISNUMBER(AI364),AI364&lt;=T364),AU364,0),IF(AND(ISNUMBER(AJ364),AJ364&lt;=T364),AV364,0))),"AB",IF(AND(IF(AND(NOT(AND(AO364=1,AN364&lt;&gt;1)),ISNUMBER(AI364),AI364&lt;=T364),AU364,0)&gt;0,IF(AND(NOT(AND(AO364=1,AN364&lt;&gt;1)),ISNUMBER(AI364),AI364&lt;=T364),AU364,0)=MAX(IF(AND(NOT(AND(AO364=1,AN364&lt;&gt;1)),ISNUMBER(AG364),AG364&lt;=T364),AS364,0),IF(AND(NOT(AND(AO364=1,AN364&lt;&gt;1)),ISNUMBER(AH364),AH364&lt;=T364),AT364,0),IF(AND(NOT(AND(AO364=1,AN364&lt;&gt;1)),ISNUMBER(AI364),AI364&lt;=T364),AU364,0),IF(AND(ISNUMBER(AJ364),AJ364&lt;=T364),AV364,0))),"SC","Mag")))))))</f>
        <v/>
      </c>
    </row>
    <row r="365" customFormat="false" ht="15" hidden="false" customHeight="false" outlineLevel="0" collapsed="false">
      <c r="A365" s="26" t="n">
        <v>360</v>
      </c>
      <c r="B365" s="27" t="n">
        <f aca="false">A365*10/60</f>
        <v>60</v>
      </c>
      <c r="C365" s="21" t="n">
        <f aca="false">X364</f>
        <v>18.6730249835055</v>
      </c>
      <c r="D365" s="27" t="n">
        <f aca="false">D364+W364</f>
        <v>0</v>
      </c>
      <c r="E365" s="26" t="n">
        <f aca="false">E364+IF(U364="SW",1,0)</f>
        <v>12</v>
      </c>
      <c r="F365" s="26" t="n">
        <f aca="false">F364+IF(U364="AB",1,0)</f>
        <v>10</v>
      </c>
      <c r="G365" s="26" t="n">
        <f aca="false">G364+IF(U364="SC",1,0)</f>
        <v>7</v>
      </c>
      <c r="H365" s="26" t="n">
        <f aca="false">H364+IF(U364="Mag",1,0)</f>
        <v>5</v>
      </c>
      <c r="I365" s="26" t="n">
        <f aca="false">MAX(I364,IF(U364="OR",1,0))</f>
        <v>1</v>
      </c>
      <c r="J365" s="26" t="n">
        <f aca="false">MAX(J364,IF(U364="HP",1,0))</f>
        <v>1</v>
      </c>
      <c r="K365" s="26" t="n">
        <f aca="false">MAX(K364,IF(U364="FP",1,0))</f>
        <v>1</v>
      </c>
      <c r="L365" s="26" t="n">
        <f aca="false">MAX(L364,IF(U364="transition",1,0))</f>
        <v>1</v>
      </c>
      <c r="M365" s="28" t="n">
        <f aca="false">(Parameters!$B$9+(IF(E365=0,0,(Upgrades!$J$6+E365*Upgrades!$K$6)*POWER(Upgrades!$L$6,E365)))*(IF(Upgrades!$T$7="Solar Wind",POWER(Upgrades!$U$7,F365),1)*IF(Upgrades!$T$8="Solar Wind",POWER(Upgrades!$U$8,G365),1)*IF(Upgrades!$T$9="Solar Wind",POWER(Upgrades!$U$9,H365),1)*IF(Upgrades!$T$10="Solar Wind",POWER(Upgrades!$U$10,I365),1)*IF(Upgrades!$T$11="Solar Wind",POWER(Upgrades!$U$11,J365),1)*IF(Upgrades!$T$12="Solar Wind",POWER(Upgrades!$U$12,K365),1))+(IF(F365=0,0,(Upgrades!$J$7+F365*Upgrades!$K$7)*POWER(Upgrades!$L$7,F365)))*(IF(Upgrades!$T$6="Asteroid Belt",POWER(Upgrades!$U$6,E365),1)*IF(Upgrades!$T$8="Asteroid Belt",POWER(Upgrades!$U$8,G365),1)*IF(Upgrades!$T$9="Asteroid Belt",POWER(Upgrades!$U$9,H365),1)*IF(Upgrades!$T$10="Asteroid Belt",POWER(Upgrades!$U$10,I365),1)*IF(Upgrades!$T$11="Asteroid Belt",POWER(Upgrades!$U$11,J365),1)*IF(Upgrades!$T$12="Asteroid Belt",POWER(Upgrades!$U$12,K365),1))+(IF(G365=0,0,(Upgrades!$J$8+G365*Upgrades!$K$8)*POWER(Upgrades!$L$8,G365)))*(IF(Upgrades!$T$6="Stellar Coupling",POWER(Upgrades!$U$6,E365),1)*IF(Upgrades!$T$7="Stellar Coupling",POWER(Upgrades!$U$7,F365),1)*IF(Upgrades!$T$9="Stellar Coupling",POWER(Upgrades!$U$9,H365),1)*IF(Upgrades!$T$10="Stellar Coupling",POWER(Upgrades!$U$10,I365),1)*IF(Upgrades!$T$11="Stellar Coupling",POWER(Upgrades!$U$11,J365),1)*IF(Upgrades!$T$12="Stellar Coupling",POWER(Upgrades!$U$12,K365),1))+(IF(H365=0,0,(Upgrades!$J$9+H365*Upgrades!$K$9)*POWER(Upgrades!$L$9,H365)))*(IF(Upgrades!$T$6="Magnetosphere",POWER(Upgrades!$U$6,E365),1)*IF(Upgrades!$T$7="Magnetosphere",POWER(Upgrades!$U$7,F365),1)*IF(Upgrades!$T$8="Magnetosphere",POWER(Upgrades!$U$8,G365),1)*IF(Upgrades!$T$10="Magnetosphere",POWER(Upgrades!$U$10,I365),1)*IF(Upgrades!$T$11="Magnetosphere",POWER(Upgrades!$U$11,J365),1)*IF(Upgrades!$T$12="Magnetosphere",POWER(Upgrades!$U$12,K365),1))+(IF(I365=0,0,(Upgrades!$J$10+I365*Upgrades!$K$10)*POWER(Upgrades!$L$10,I365)))*(IF(Upgrades!$T$6="Orbital Resonance",POWER(Upgrades!$U$6,E365),1)*IF(Upgrades!$T$7="Orbital Resonance",POWER(Upgrades!$U$7,F365),1)*IF(Upgrades!$T$8="Orbital Resonance",POWER(Upgrades!$U$8,G365),1)*IF(Upgrades!$T$9="Orbital Resonance",POWER(Upgrades!$U$9,H365),1)*IF(Upgrades!$T$11="Orbital Resonance",POWER(Upgrades!$U$11,J365),1)*IF(Upgrades!$T$12="Orbital Resonance",POWER(Upgrades!$U$12,K365),1))+(IF(J365=0,0,(Upgrades!$J$11+J365*Upgrades!$K$11)*POWER(Upgrades!$L$11,J365)))*(IF(Upgrades!$T$6="Heliopause",POWER(Upgrades!$U$6,E365),1)*IF(Upgrades!$T$7="Heliopause",POWER(Upgrades!$U$7,F365),1)*IF(Upgrades!$T$8="Heliopause",POWER(Upgrades!$U$8,G365),1)*IF(Upgrades!$T$9="Heliopause",POWER(Upgrades!$U$9,H365),1)*IF(Upgrades!$T$10="Heliopause",POWER(Upgrades!$U$10,I365),1)*IF(Upgrades!$T$12="Heliopause",POWER(Upgrades!$U$12,K365),1))+(IF(K365=0,0,(Upgrades!$J$12+K365*Upgrades!$K$12)*POWER(Upgrades!$L$12,K365)))*(IF(Upgrades!$T$6="First Photons",POWER(Upgrades!$U$6,E365),1)*IF(Upgrades!$T$7="First Photons",POWER(Upgrades!$U$7,F365),1)*IF(Upgrades!$T$8="First Photons",POWER(Upgrades!$U$8,G365),1)*IF(Upgrades!$T$9="First Photons",POWER(Upgrades!$U$9,H365),1)*IF(Upgrades!$T$10="First Photons",POWER(Upgrades!$U$10,I365),1)*IF(Upgrades!$T$11="First Photons",POWER(Upgrades!$U$11,J365),1)))*POWER(Upgrades!$Q$6,E365)*POWER(Upgrades!$Q$7,F365)*POWER(Upgrades!$Q$8,G365)*POWER(Upgrades!$Q$9,H365)*POWER(Upgrades!$Q$10,I365)*POWER(Upgrades!$Q$11,J365)*POWER(Upgrades!$Q$12,K365)</f>
        <v>5.61</v>
      </c>
      <c r="N365" s="28" t="n">
        <f aca="false">((IF(E365=0,0,(Upgrades!$G$6+E365*Upgrades!$H$6)*POWER(Upgrades!$I$6,E365)))*(IF(Upgrades!$T$7="Solar Wind",POWER(Upgrades!$U$7,F365),1)*IF(Upgrades!$T$8="Solar Wind",POWER(Upgrades!$U$8,G365),1)*IF(Upgrades!$T$9="Solar Wind",POWER(Upgrades!$U$9,H365),1)*IF(Upgrades!$T$10="Solar Wind",POWER(Upgrades!$U$10,I365),1)*IF(Upgrades!$T$11="Solar Wind",POWER(Upgrades!$U$11,J365),1)*IF(Upgrades!$T$12="Solar Wind",POWER(Upgrades!$U$12,K365),1))+(IF(F365=0,0,(Upgrades!$G$7+F365*Upgrades!$H$7)*POWER(Upgrades!$I$7,F365)))*(IF(Upgrades!$T$6="Asteroid Belt",POWER(Upgrades!$U$6,E365),1)*IF(Upgrades!$T$8="Asteroid Belt",POWER(Upgrades!$U$8,G365),1)*IF(Upgrades!$T$9="Asteroid Belt",POWER(Upgrades!$U$9,H365),1)*IF(Upgrades!$T$10="Asteroid Belt",POWER(Upgrades!$U$10,I365),1)*IF(Upgrades!$T$11="Asteroid Belt",POWER(Upgrades!$U$11,J365),1)*IF(Upgrades!$T$12="Asteroid Belt",POWER(Upgrades!$U$12,K365),1))+(IF(G365=0,0,(Upgrades!$G$8+G365*Upgrades!$H$8)*POWER(Upgrades!$I$8,G365)))*(IF(Upgrades!$T$6="Stellar Coupling",POWER(Upgrades!$U$6,E365),1)*IF(Upgrades!$T$7="Stellar Coupling",POWER(Upgrades!$U$7,F365),1)*IF(Upgrades!$T$9="Stellar Coupling",POWER(Upgrades!$U$9,H365),1)*IF(Upgrades!$T$10="Stellar Coupling",POWER(Upgrades!$U$10,I365),1)*IF(Upgrades!$T$11="Stellar Coupling",POWER(Upgrades!$U$11,J365),1)*IF(Upgrades!$T$12="Stellar Coupling",POWER(Upgrades!$U$12,K365),1))+(IF(H365=0,0,(Upgrades!$G$9+H365*Upgrades!$H$9)*POWER(Upgrades!$I$9,H365)))*(IF(Upgrades!$T$6="Magnetosphere",POWER(Upgrades!$U$6,E365),1)*IF(Upgrades!$T$7="Magnetosphere",POWER(Upgrades!$U$7,F365),1)*IF(Upgrades!$T$8="Magnetosphere",POWER(Upgrades!$U$8,G365),1)*IF(Upgrades!$T$10="Magnetosphere",POWER(Upgrades!$U$10,I365),1)*IF(Upgrades!$T$11="Magnetosphere",POWER(Upgrades!$U$11,J365),1)*IF(Upgrades!$T$12="Magnetosphere",POWER(Upgrades!$U$12,K365),1))+(IF(I365=0,0,(Upgrades!$G$10+I365*Upgrades!$H$10)*POWER(Upgrades!$I$10,I365)))*(IF(Upgrades!$T$6="Orbital Resonance",POWER(Upgrades!$U$6,E365),1)*IF(Upgrades!$T$7="Orbital Resonance",POWER(Upgrades!$U$7,F365),1)*IF(Upgrades!$T$8="Orbital Resonance",POWER(Upgrades!$U$8,G365),1)*IF(Upgrades!$T$9="Orbital Resonance",POWER(Upgrades!$U$9,H365),1)*IF(Upgrades!$T$11="Orbital Resonance",POWER(Upgrades!$U$11,J365),1)*IF(Upgrades!$T$12="Orbital Resonance",POWER(Upgrades!$U$12,K365),1))+(IF(J365=0,0,(Upgrades!$G$11+J365*Upgrades!$H$11)*POWER(Upgrades!$I$11,J365)))*(IF(Upgrades!$T$6="Heliopause",POWER(Upgrades!$U$6,E365),1)*IF(Upgrades!$T$7="Heliopause",POWER(Upgrades!$U$7,F365),1)*IF(Upgrades!$T$8="Heliopause",POWER(Upgrades!$U$8,G365),1)*IF(Upgrades!$T$9="Heliopause",POWER(Upgrades!$U$9,H365),1)*IF(Upgrades!$T$10="Heliopause",POWER(Upgrades!$U$10,I365),1)*IF(Upgrades!$T$12="Heliopause",POWER(Upgrades!$U$12,K365),1))+(IF(K365=0,0,(Upgrades!$G$12+K365*Upgrades!$H$12)*POWER(Upgrades!$I$12,K365)))*(IF(Upgrades!$T$6="First Photons",POWER(Upgrades!$U$6,E365),1)*IF(Upgrades!$T$7="First Photons",POWER(Upgrades!$U$7,F365),1)*IF(Upgrades!$T$8="First Photons",POWER(Upgrades!$U$8,G365),1)*IF(Upgrades!$T$9="First Photons",POWER(Upgrades!$U$9,H365),1)*IF(Upgrades!$T$10="First Photons",POWER(Upgrades!$U$10,I365),1)*IF(Upgrades!$T$11="First Photons",POWER(Upgrades!$U$11,J365),1)))*POWER(Upgrades!$P$6,E365)*POWER(Upgrades!$P$7,F365)*POWER(Upgrades!$P$8,G365)*POWER(Upgrades!$P$9,H365)*POWER(Upgrades!$P$10,I365)*POWER(Upgrades!$P$11,J365)*POWER(Upgrades!$P$12,K365)</f>
        <v>11.2</v>
      </c>
      <c r="O365" s="28" t="n">
        <f aca="false">((IF(E365=0,0,(Upgrades!$M$6+E365*Upgrades!$N$6)*POWER(Upgrades!$O$6,E365)))*(IF(Upgrades!$T$7="Solar Wind",POWER(Upgrades!$U$7,F365),1)*IF(Upgrades!$T$8="Solar Wind",POWER(Upgrades!$U$8,G365),1)*IF(Upgrades!$T$9="Solar Wind",POWER(Upgrades!$U$9,H365),1)*IF(Upgrades!$T$10="Solar Wind",POWER(Upgrades!$U$10,I365),1)*IF(Upgrades!$T$11="Solar Wind",POWER(Upgrades!$U$11,J365),1)*IF(Upgrades!$T$12="Solar Wind",POWER(Upgrades!$U$12,K365),1))+(IF(F365=0,0,(Upgrades!$M$7+F365*Upgrades!$N$7)*POWER(Upgrades!$O$7,F365)))*(IF(Upgrades!$T$6="Asteroid Belt",POWER(Upgrades!$U$6,E365),1)*IF(Upgrades!$T$8="Asteroid Belt",POWER(Upgrades!$U$8,G365),1)*IF(Upgrades!$T$9="Asteroid Belt",POWER(Upgrades!$U$9,H365),1)*IF(Upgrades!$T$10="Asteroid Belt",POWER(Upgrades!$U$10,I365),1)*IF(Upgrades!$T$11="Asteroid Belt",POWER(Upgrades!$U$11,J365),1)*IF(Upgrades!$T$12="Asteroid Belt",POWER(Upgrades!$U$12,K365),1))+(IF(G365=0,0,(Upgrades!$M$8+G365*Upgrades!$N$8)*POWER(Upgrades!$O$8,G365)))*(IF(Upgrades!$T$6="Stellar Coupling",POWER(Upgrades!$U$6,E365),1)*IF(Upgrades!$T$7="Stellar Coupling",POWER(Upgrades!$U$7,F365),1)*IF(Upgrades!$T$9="Stellar Coupling",POWER(Upgrades!$U$9,H365),1)*IF(Upgrades!$T$10="Stellar Coupling",POWER(Upgrades!$U$10,I365),1)*IF(Upgrades!$T$11="Stellar Coupling",POWER(Upgrades!$U$11,J365),1)*IF(Upgrades!$T$12="Stellar Coupling",POWER(Upgrades!$U$12,K365),1))+(IF(H365=0,0,(Upgrades!$M$9+H365*Upgrades!$N$9)*POWER(Upgrades!$O$9,H365)))*(IF(Upgrades!$T$6="Magnetosphere",POWER(Upgrades!$U$6,E365),1)*IF(Upgrades!$T$7="Magnetosphere",POWER(Upgrades!$U$7,F365),1)*IF(Upgrades!$T$8="Magnetosphere",POWER(Upgrades!$U$8,G365),1)*IF(Upgrades!$T$10="Magnetosphere",POWER(Upgrades!$U$10,I365),1)*IF(Upgrades!$T$11="Magnetosphere",POWER(Upgrades!$U$11,J365),1)*IF(Upgrades!$T$12="Magnetosphere",POWER(Upgrades!$U$12,K365),1))+(IF(I365=0,0,(Upgrades!$M$10+I365*Upgrades!$N$10)*POWER(Upgrades!$O$10,I365)))*(IF(Upgrades!$T$6="Orbital Resonance",POWER(Upgrades!$U$6,E365),1)*IF(Upgrades!$T$7="Orbital Resonance",POWER(Upgrades!$U$7,F365),1)*IF(Upgrades!$T$8="Orbital Resonance",POWER(Upgrades!$U$8,G365),1)*IF(Upgrades!$T$9="Orbital Resonance",POWER(Upgrades!$U$9,H365),1)*IF(Upgrades!$T$11="Orbital Resonance",POWER(Upgrades!$U$11,J365),1)*IF(Upgrades!$T$12="Orbital Resonance",POWER(Upgrades!$U$12,K365),1))+(IF(J365=0,0,(Upgrades!$M$11+J365*Upgrades!$N$11)*POWER(Upgrades!$O$11,J365)))*(IF(Upgrades!$T$6="Heliopause",POWER(Upgrades!$U$6,E365),1)*IF(Upgrades!$T$7="Heliopause",POWER(Upgrades!$U$7,F365),1)*IF(Upgrades!$T$8="Heliopause",POWER(Upgrades!$U$8,G365),1)*IF(Upgrades!$T$9="Heliopause",POWER(Upgrades!$U$9,H365),1)*IF(Upgrades!$T$10="Heliopause",POWER(Upgrades!$U$10,I365),1)*IF(Upgrades!$T$12="Heliopause",POWER(Upgrades!$U$12,K365),1))+(IF(K365=0,0,(Upgrades!$M$12+K365*Upgrades!$N$12)*POWER(Upgrades!$O$12,K365)))*(IF(Upgrades!$T$6="First Photons",POWER(Upgrades!$U$6,E365),1)*IF(Upgrades!$T$7="First Photons",POWER(Upgrades!$U$7,F365),1)*IF(Upgrades!$T$8="First Photons",POWER(Upgrades!$U$8,G365),1)*IF(Upgrades!$T$9="First Photons",POWER(Upgrades!$U$9,H365),1)*IF(Upgrades!$T$10="First Photons",POWER(Upgrades!$U$10,I365),1)*IF(Upgrades!$T$11="First Photons",POWER(Upgrades!$U$11,J365),1)))*POWER(Upgrades!$R$6,E365)*POWER(Upgrades!$R$7,F365)*POWER(Upgrades!$R$8,G365)*POWER(Upgrades!$R$9,H365)*POWER(Upgrades!$R$10,I365)*POWER(Upgrades!$R$11,J365)*POWER(Upgrades!$R$12,K365)</f>
        <v>0</v>
      </c>
      <c r="P365" s="27" t="n">
        <f aca="false">IF(L365=1,0,M365*Parameters!$B$10/60*Parameters!$B$11*10)</f>
        <v>0</v>
      </c>
      <c r="Q365" s="27" t="n">
        <f aca="false">IF(L365=1,0,O365*M365*10)</f>
        <v>0</v>
      </c>
      <c r="R365" s="27" t="n">
        <f aca="false">IF(L365=1,0,N365*10)</f>
        <v>0</v>
      </c>
      <c r="S365" s="27" t="n">
        <f aca="false">P365+Q365+R365</f>
        <v>0</v>
      </c>
      <c r="T365" s="21" t="n">
        <f aca="false">C365+S365</f>
        <v>18.6730249835055</v>
      </c>
      <c r="U365" s="34" t="str">
        <f aca="false">AX365</f>
        <v/>
      </c>
      <c r="V365" s="21" t="n">
        <f aca="false">IF(U365="",0,IF(U365="transition",0,IF(U365="SW",AG365,IF(U365="AB",AH365,IF(U365="SC",AI365,IF(U365="Mag",AJ365,IF(U365="OR",AK365,IF(U365="HP",AL365,IF(U365="FP",AM365,0)))))))))</f>
        <v>0</v>
      </c>
      <c r="W365" s="27" t="n">
        <f aca="false">IF(U365="OR",Upgrades!$F$10,IF(U365="HP",Upgrades!$F$11,IF(U365="transition",-Parameters!$B$18,0)))</f>
        <v>0</v>
      </c>
      <c r="X365" s="21" t="n">
        <f aca="false">T365-V365</f>
        <v>18.6730249835055</v>
      </c>
      <c r="Y365" s="30" t="n">
        <f aca="false">M365*Parameters!$B$10/60*Parameters!$B$11+O365*M365+N365</f>
        <v>20.55</v>
      </c>
      <c r="Z365" s="35" t="str">
        <f aca="false">IF(U365="transition","→ Tier 2 (Stellar Neighborhood)",IF(U365="FP","First Photons — light begins, system quickens",IF(U365="HP","Heliopause acquired",IF(U365="OR","Orbital Resonance — passive multiplier active",IF(AND(AO365=1,L365=0,AN365&lt;&gt;1),"Cohesion ready (waiting on completionist upgrades)","")))))</f>
        <v/>
      </c>
      <c r="AA365" s="27" t="n">
        <f aca="false">(IF(E365=0,0,(Upgrades!$G$6+E365*Upgrades!$H$6)*POWER(Upgrades!$I$6,E365)))*(IF(Upgrades!$T$7="Solar Wind",POWER(Upgrades!$U$7,F365),1)*IF(Upgrades!$T$8="Solar Wind",POWER(Upgrades!$U$8,G365),1)*IF(Upgrades!$T$9="Solar Wind",POWER(Upgrades!$U$9,H365),1)*IF(Upgrades!$T$10="Solar Wind",POWER(Upgrades!$U$10,I365),1)*IF(Upgrades!$T$11="Solar Wind",POWER(Upgrades!$U$11,J365),1)*IF(Upgrades!$T$12="Solar Wind",POWER(Upgrades!$U$12,K365),1))*POWER(Upgrades!$P$6,E365)*POWER(Upgrades!$P$7,F365)*POWER(Upgrades!$P$8,G365)*POWER(Upgrades!$P$9,H365)*POWER(Upgrades!$P$10,I365)*POWER(Upgrades!$P$11,J365)*POWER(Upgrades!$P$12,K365)*60</f>
        <v>72</v>
      </c>
      <c r="AB365" s="27" t="n">
        <f aca="false">(IF(F365=0,0,(Upgrades!$G$7+F365*Upgrades!$H$7)*POWER(Upgrades!$I$7,F365)))*(IF(Upgrades!$T$6="Asteroid Belt",POWER(Upgrades!$U$6,E365),1)*IF(Upgrades!$T$8="Asteroid Belt",POWER(Upgrades!$U$8,G365),1)*IF(Upgrades!$T$9="Asteroid Belt",POWER(Upgrades!$U$9,H365),1)*IF(Upgrades!$T$10="Asteroid Belt",POWER(Upgrades!$U$10,I365),1)*IF(Upgrades!$T$11="Asteroid Belt",POWER(Upgrades!$U$11,J365),1)*IF(Upgrades!$T$12="Asteroid Belt",POWER(Upgrades!$U$12,K365),1))*POWER(Upgrades!$P$6,E365)*POWER(Upgrades!$P$7,F365)*POWER(Upgrades!$P$8,G365)*POWER(Upgrades!$P$9,H365)*POWER(Upgrades!$P$10,I365)*POWER(Upgrades!$P$11,J365)*POWER(Upgrades!$P$12,K365)*60</f>
        <v>150</v>
      </c>
      <c r="AC365" s="27" t="n">
        <f aca="false">(IF(G365=0,0,(Upgrades!$J$8+G365*Upgrades!$K$8)*POWER(Upgrades!$L$8,G365)))*(IF(Upgrades!$T$6="Stellar Coupling",POWER(Upgrades!$U$6,E365),1)*IF(Upgrades!$T$7="Stellar Coupling",POWER(Upgrades!$U$7,F365),1)*IF(Upgrades!$T$9="Stellar Coupling",POWER(Upgrades!$U$9,H365),1)*IF(Upgrades!$T$10="Stellar Coupling",POWER(Upgrades!$U$10,I365),1)*IF(Upgrades!$T$11="Stellar Coupling",POWER(Upgrades!$U$11,J365),1)*IF(Upgrades!$T$12="Stellar Coupling",POWER(Upgrades!$U$12,K365),1))*POWER(Upgrades!$Q$6,E365)*POWER(Upgrades!$Q$7,F365)*POWER(Upgrades!$Q$8,G365)*POWER(Upgrades!$Q$9,H365)*POWER(Upgrades!$Q$10,I365)*POWER(Upgrades!$Q$11,J365)*POWER(Upgrades!$Q$12,K365)*Parameters!$B$10*Parameters!$B$11</f>
        <v>441</v>
      </c>
      <c r="AD365" s="27" t="n">
        <f aca="false">(IF(H365=0,0,(Upgrades!$G$9+H365*Upgrades!$H$9)*POWER(Upgrades!$I$9,H365)))*(IF(Upgrades!$T$6="Magnetosphere",POWER(Upgrades!$U$6,E365),1)*IF(Upgrades!$T$7="Magnetosphere",POWER(Upgrades!$U$7,F365),1)*IF(Upgrades!$T$8="Magnetosphere",POWER(Upgrades!$U$8,G365),1)*IF(Upgrades!$T$10="Magnetosphere",POWER(Upgrades!$U$10,I365),1)*IF(Upgrades!$T$11="Magnetosphere",POWER(Upgrades!$U$11,J365),1)*IF(Upgrades!$T$12="Magnetosphere",POWER(Upgrades!$U$12,K365),1))*POWER(Upgrades!$P$6,E365)*POWER(Upgrades!$P$7,F365)*POWER(Upgrades!$P$8,G365)*POWER(Upgrades!$P$9,H365)*POWER(Upgrades!$P$10,I365)*POWER(Upgrades!$P$11,J365)*POWER(Upgrades!$P$12,K365)*60</f>
        <v>375</v>
      </c>
      <c r="AE365" s="27" t="n">
        <f aca="false">(IF(K365=0,0,(Upgrades!$G$12+K365*Upgrades!$H$12)*POWER(Upgrades!$I$12,K365)))*(IF(Upgrades!$T$6="First Photons",POWER(Upgrades!$U$6,E365),1)*IF(Upgrades!$T$7="First Photons",POWER(Upgrades!$U$7,F365),1)*IF(Upgrades!$T$8="First Photons",POWER(Upgrades!$U$8,G365),1)*IF(Upgrades!$T$9="First Photons",POWER(Upgrades!$U$9,H365),1)*IF(Upgrades!$T$10="First Photons",POWER(Upgrades!$U$10,I365),1)*IF(Upgrades!$T$11="First Photons",POWER(Upgrades!$U$11,J365),1))*POWER(Upgrades!$P$6,E365)*POWER(Upgrades!$P$7,F365)*POWER(Upgrades!$P$8,G365)*POWER(Upgrades!$P$9,H365)*POWER(Upgrades!$P$10,I365)*POWER(Upgrades!$P$11,J365)*POWER(Upgrades!$P$12,K365)*60</f>
        <v>75</v>
      </c>
      <c r="AF365" s="27" t="n">
        <f aca="false">Parameters!$B$9*POWER(Upgrades!$Q$6,E365)*POWER(Upgrades!$Q$7,F365)*POWER(Upgrades!$Q$8,G365)*POWER(Upgrades!$Q$9,H365)*POWER(Upgrades!$Q$10,I365)*POWER(Upgrades!$Q$11,J365)*POWER(Upgrades!$Q$12,K365)*(Parameters!$B$10*Parameters!$B$11+O365*60)</f>
        <v>120</v>
      </c>
      <c r="AG365" s="21" t="n">
        <f aca="false">IF(E365&gt;=Upgrades!$E$6,"",Upgrades!$C$6*POWER(Upgrades!$D$6,E365))</f>
        <v>37.4517507383159</v>
      </c>
      <c r="AH365" s="21" t="n">
        <f aca="false">IF(F365&gt;=Upgrades!$E$7,"",Upgrades!$C$7*POWER(Upgrades!$D$7,F365))</f>
        <v>80.9111547141581</v>
      </c>
      <c r="AI365" s="21" t="n">
        <f aca="false">IF(G365&gt;=Upgrades!$E$8,"",Upgrades!$C$8*POWER(Upgrades!$D$8,G365))</f>
        <v>231.9097088</v>
      </c>
      <c r="AJ365" s="21" t="str">
        <f aca="false">IF(H365&gt;=Upgrades!$E$9,"",Upgrades!$C$9*POWER(Upgrades!$D$9,H365))</f>
        <v/>
      </c>
      <c r="AK365" s="21" t="str">
        <f aca="false">IF(I365&gt;=Upgrades!$E$10,"",Upgrades!$C$10*POWER(Upgrades!$D$10,I365))</f>
        <v/>
      </c>
      <c r="AL365" s="21" t="str">
        <f aca="false">IF(J365&gt;=Upgrades!$E$11,"",Upgrades!$C$11*POWER(Upgrades!$D$11,J365))</f>
        <v/>
      </c>
      <c r="AM365" s="21" t="str">
        <f aca="false">IF(K365&gt;=Upgrades!$E$12,"",Upgrades!$C$12*POWER(Upgrades!$D$12,K365))</f>
        <v/>
      </c>
      <c r="AN365" s="26" t="str">
        <f aca="false">IF(AND(D365&gt;=Parameters!$B$18,(H365&gt;=Upgrades!$E$9)*(K365&gt;=Upgrades!$E$12)=1,L365=0),1,"")</f>
        <v/>
      </c>
      <c r="AO365" s="26" t="str">
        <f aca="false">IF(AND(D365&gt;=Parameters!$B$18,L365=0),1,"")</f>
        <v/>
      </c>
      <c r="AP365" s="21" t="n">
        <f aca="false">MIN(IF(ISNUMBER(AK365),AK365,9000000000000000),IF(ISNUMBER(AL365),AL365,9000000000000000),IF(ISNUMBER(AM365),AM365,9000000000000000))</f>
        <v>9000000000000000</v>
      </c>
      <c r="AQ365" s="21" t="n">
        <f aca="false">MIN(IF(ISNUMBER(AG365),AG365,9000000000000000),IF(ISNUMBER(AH365),AH365,9000000000000000),IF(ISNUMBER(AI365),AI365,9000000000000000),IF(ISNUMBER(AJ365),AJ365,9000000000000000))</f>
        <v>37.4517507383159</v>
      </c>
      <c r="AR365" s="32" t="b">
        <f aca="false">IF(AW365&gt;Parameters!$B$21*(MAX(IF(AND(NOT(AND(AO365=1,AN365&lt;&gt;1)),ISNUMBER(AG365),AG365&lt;=T365),AS365,0),IF(AND(NOT(AND(AO365=1,AN365&lt;&gt;1)),ISNUMBER(AH365),AH365&lt;=T365),AT365,0),IF(AND(NOT(AND(AO365=1,AN365&lt;&gt;1)),ISNUMBER(AI365),AI365&lt;=T365),AU365,0),IF(AND(ISNUMBER(AJ365),AJ365&lt;=T365),AV365,0))),TRUE(),FALSE())</f>
        <v>1</v>
      </c>
      <c r="AS365" s="33" t="n">
        <f aca="false">IFERROR(Upgrades!$H$6*(POWER(Upgrades!$P$6,E365)*POWER(Upgrades!$P$7,F365)*POWER(Upgrades!$P$8,G365)*POWER(Upgrades!$P$9,H365)*POWER(Upgrades!$P$10,I365)*POWER(Upgrades!$P$11,J365)*POWER(Upgrades!$P$12,K365))*(IF(Upgrades!$T$7="Solar Wind",POWER(Upgrades!$U$7,F365),1)*IF(Upgrades!$T$8="Solar Wind",POWER(Upgrades!$U$8,G365),1)*IF(Upgrades!$T$9="Solar Wind",POWER(Upgrades!$U$9,H365),1)*IF(Upgrades!$T$10="Solar Wind",POWER(Upgrades!$U$10,I365),1)*IF(Upgrades!$T$11="Solar Wind",POWER(Upgrades!$U$11,J365),1)*IF(Upgrades!$T$12="Solar Wind",POWER(Upgrades!$U$12,K365),1))/AG365,0)</f>
        <v>0.0026701021455238</v>
      </c>
      <c r="AT365" s="33" t="n">
        <f aca="false">IFERROR(Upgrades!$H$7*(POWER(Upgrades!$P$6,E365)*POWER(Upgrades!$P$7,F365)*POWER(Upgrades!$P$8,G365)*POWER(Upgrades!$P$9,H365)*POWER(Upgrades!$P$10,I365)*POWER(Upgrades!$P$11,J365)*POWER(Upgrades!$P$12,K365))*(IF(Upgrades!$T$6="Asteroid Belt",POWER(Upgrades!$U$6,E365),1)*IF(Upgrades!$T$8="Asteroid Belt",POWER(Upgrades!$U$8,G365),1)*IF(Upgrades!$T$9="Asteroid Belt",POWER(Upgrades!$U$9,H365),1)*IF(Upgrades!$T$10="Asteroid Belt",POWER(Upgrades!$U$10,I365),1)*IF(Upgrades!$T$11="Asteroid Belt",POWER(Upgrades!$U$11,J365),1)*IF(Upgrades!$T$12="Asteroid Belt",POWER(Upgrades!$U$12,K365),1))/AH365,0)</f>
        <v>0.00308980882652332</v>
      </c>
      <c r="AU365" s="33" t="n">
        <f aca="false">IFERROR(Upgrades!$K$8*(POWER(Upgrades!$Q$6,E365)*POWER(Upgrades!$Q$7,F365)*POWER(Upgrades!$Q$8,G365)*POWER(Upgrades!$Q$9,H365)*POWER(Upgrades!$Q$10,I365)*POWER(Upgrades!$Q$11,J365)*POWER(Upgrades!$Q$12,K365))*(IF(Upgrades!$T$6="Stellar Coupling",POWER(Upgrades!$U$6,E365),1)*IF(Upgrades!$T$7="Stellar Coupling",POWER(Upgrades!$U$7,F365),1)*IF(Upgrades!$T$9="Stellar Coupling",POWER(Upgrades!$U$9,H365),1)*IF(Upgrades!$T$10="Stellar Coupling",POWER(Upgrades!$U$10,I365),1)*IF(Upgrades!$T$11="Stellar Coupling",POWER(Upgrades!$U$11,J365),1)*IF(Upgrades!$T$12="Stellar Coupling",POWER(Upgrades!$U$12,K365),1))*Parameters!$B$10*Parameters!$B$11/60/AI365,0)</f>
        <v>0.00452762415783776</v>
      </c>
      <c r="AV365" s="33" t="n">
        <f aca="false">IFERROR(Upgrades!$H$9*(POWER(Upgrades!$P$6,E365)*POWER(Upgrades!$P$7,F365)*POWER(Upgrades!$P$8,G365)*POWER(Upgrades!$P$9,H365)*POWER(Upgrades!$P$10,I365)*POWER(Upgrades!$P$11,J365)*POWER(Upgrades!$P$12,K365))*(IF(Upgrades!$T$6="Magnetosphere",POWER(Upgrades!$U$6,E365),1)*IF(Upgrades!$T$7="Magnetosphere",POWER(Upgrades!$U$7,F365),1)*IF(Upgrades!$T$8="Magnetosphere",POWER(Upgrades!$U$8,G365),1)*IF(Upgrades!$T$10="Magnetosphere",POWER(Upgrades!$U$10,I365),1)*IF(Upgrades!$T$11="Magnetosphere",POWER(Upgrades!$U$11,J365),1)*IF(Upgrades!$T$12="Magnetosphere",POWER(Upgrades!$U$12,K365),1))/AJ365,0)</f>
        <v>0</v>
      </c>
      <c r="AW365" s="33" t="n">
        <f aca="false">MAX(IF(I365&gt;0,0,IFERROR(0.25*N365/Upgrades!$C$10,0)),IF(J365&gt;0,0,IFERROR(0.5*((IF(G365=0,0,(Upgrades!$J$8+G365*Upgrades!$K$8)*POWER(Upgrades!$L$8,G365)))*(IF(Upgrades!$T$6="Stellar Coupling",POWER(Upgrades!$U$6,E365),1)*IF(Upgrades!$T$7="Stellar Coupling",POWER(Upgrades!$U$7,F365),1)*IF(Upgrades!$T$9="Stellar Coupling",POWER(Upgrades!$U$9,H365),1)*IF(Upgrades!$T$10="Stellar Coupling",POWER(Upgrades!$U$10,I365),1)*IF(Upgrades!$T$11="Stellar Coupling",POWER(Upgrades!$U$11,J365),1)*IF(Upgrades!$T$12="Stellar Coupling",POWER(Upgrades!$U$12,K365),1))*(POWER(Upgrades!$Q$6,E365)*POWER(Upgrades!$Q$7,F365)*POWER(Upgrades!$Q$8,G365)*POWER(Upgrades!$Q$9,H365)*POWER(Upgrades!$Q$10,I365)*POWER(Upgrades!$Q$11,J365)*POWER(Upgrades!$Q$12,K365))*Parameters!$B$10*Parameters!$B$11/60)/Upgrades!$C$11,0)),IF(K365&gt;0,0,IFERROR((1*(POWER(Upgrades!$P$6,E365)*POWER(Upgrades!$P$7,F365)*POWER(Upgrades!$P$8,G365)*POWER(Upgrades!$P$9,H365)*POWER(Upgrades!$P$10,I365)*POWER(Upgrades!$P$11,J365)*POWER(Upgrades!$P$12,K365))+0.2*M365*Parameters!$B$10*Parameters!$B$11/60)/Upgrades!$C$12,0)),IF(AND(ISNUMBER(AG365),AG365&gt;T365),AS365,0),IF(AND(ISNUMBER(AH365),AH365&gt;T365),AT365,0),IF(AND(ISNUMBER(AI365),AI365&gt;T365),AU365,0),IF(AND(ISNUMBER(AJ365),AJ365&gt;T365),AV365,0))</f>
        <v>0.00452762415783776</v>
      </c>
      <c r="AX365" s="29" t="str">
        <f aca="false">IF(AN365=1,"transition",IF(MIN(IF(AND(I365=0,ISNUMBER(AK365),AK365&lt;=T365),AK365,9000000000000000),IF(AND(J365=0,ISNUMBER(AL365),AL365&lt;=T365),AL365,9000000000000000),IF(AND(K365=0,ISNUMBER(AM365),AM365&lt;=T365),AM365,9000000000000000))&lt;9000000000000000,IF(AND(AND(I365=0,ISNUMBER(AK365),AK365&lt;=T365),AK365=MIN(IF(AND(I365=0,ISNUMBER(AK365),AK365&lt;=T365),AK365,9000000000000000),IF(AND(J365=0,ISNUMBER(AL365),AL365&lt;=T365),AL365,9000000000000000),IF(AND(K365=0,ISNUMBER(AM365),AM365&lt;=T365),AM365,9000000000000000))),"OR",IF(AND(AND(J365=0,ISNUMBER(AL365),AL365&lt;=T365),AL365=MIN(IF(AND(I365=0,ISNUMBER(AK365),AK365&lt;=T365),AK365,9000000000000000),IF(AND(J365=0,ISNUMBER(AL365),AL365&lt;=T365),AL365,9000000000000000),IF(AND(K365=0,ISNUMBER(AM365),AM365&lt;=T365),AM365,9000000000000000))),"HP","FP")),IF(AR365=TRUE(),"",IF(MAX(IF(AND(NOT(AND(AO365=1,AN365&lt;&gt;1)),ISNUMBER(AG365),AG365&lt;=T365),AS365,0),IF(AND(NOT(AND(AO365=1,AN365&lt;&gt;1)),ISNUMBER(AH365),AH365&lt;=T365),AT365,0),IF(AND(NOT(AND(AO365=1,AN365&lt;&gt;1)),ISNUMBER(AI365),AI365&lt;=T365),AU365,0),IF(AND(ISNUMBER(AJ365),AJ365&lt;=T365),AV365,0))&lt;=0,"",IF(AND(IF(AND(NOT(AND(AO365=1,AN365&lt;&gt;1)),ISNUMBER(AG365),AG365&lt;=T365),AS365,0)&gt;0,IF(AND(NOT(AND(AO365=1,AN365&lt;&gt;1)),ISNUMBER(AG365),AG365&lt;=T365),AS365,0)=MAX(IF(AND(NOT(AND(AO365=1,AN365&lt;&gt;1)),ISNUMBER(AG365),AG365&lt;=T365),AS365,0),IF(AND(NOT(AND(AO365=1,AN365&lt;&gt;1)),ISNUMBER(AH365),AH365&lt;=T365),AT365,0),IF(AND(NOT(AND(AO365=1,AN365&lt;&gt;1)),ISNUMBER(AI365),AI365&lt;=T365),AU365,0),IF(AND(ISNUMBER(AJ365),AJ365&lt;=T365),AV365,0))),"SW",IF(AND(IF(AND(NOT(AND(AO365=1,AN365&lt;&gt;1)),ISNUMBER(AH365),AH365&lt;=T365),AT365,0)&gt;0,IF(AND(NOT(AND(AO365=1,AN365&lt;&gt;1)),ISNUMBER(AH365),AH365&lt;=T365),AT365,0)=MAX(IF(AND(NOT(AND(AO365=1,AN365&lt;&gt;1)),ISNUMBER(AG365),AG365&lt;=T365),AS365,0),IF(AND(NOT(AND(AO365=1,AN365&lt;&gt;1)),ISNUMBER(AH365),AH365&lt;=T365),AT365,0),IF(AND(NOT(AND(AO365=1,AN365&lt;&gt;1)),ISNUMBER(AI365),AI365&lt;=T365),AU365,0),IF(AND(ISNUMBER(AJ365),AJ365&lt;=T365),AV365,0))),"AB",IF(AND(IF(AND(NOT(AND(AO365=1,AN365&lt;&gt;1)),ISNUMBER(AI365),AI365&lt;=T365),AU365,0)&gt;0,IF(AND(NOT(AND(AO365=1,AN365&lt;&gt;1)),ISNUMBER(AI365),AI365&lt;=T365),AU365,0)=MAX(IF(AND(NOT(AND(AO365=1,AN365&lt;&gt;1)),ISNUMBER(AG365),AG365&lt;=T365),AS365,0),IF(AND(NOT(AND(AO365=1,AN365&lt;&gt;1)),ISNUMBER(AH365),AH365&lt;=T365),AT365,0),IF(AND(NOT(AND(AO365=1,AN365&lt;&gt;1)),ISNUMBER(AI365),AI365&lt;=T365),AU365,0),IF(AND(ISNUMBER(AJ365),AJ365&lt;=T365),AV365,0))),"SC","Mag")))))))</f>
        <v/>
      </c>
    </row>
    <row r="366" customFormat="false" ht="15" hidden="false" customHeight="false" outlineLevel="0" collapsed="false">
      <c r="A366" s="26" t="n">
        <v>361</v>
      </c>
      <c r="B366" s="27" t="n">
        <f aca="false">A366*10/60</f>
        <v>60.1666666666667</v>
      </c>
      <c r="C366" s="21" t="n">
        <f aca="false">X365</f>
        <v>18.6730249835055</v>
      </c>
      <c r="D366" s="27" t="n">
        <f aca="false">D365+W365</f>
        <v>0</v>
      </c>
      <c r="E366" s="26" t="n">
        <f aca="false">E365+IF(U365="SW",1,0)</f>
        <v>12</v>
      </c>
      <c r="F366" s="26" t="n">
        <f aca="false">F365+IF(U365="AB",1,0)</f>
        <v>10</v>
      </c>
      <c r="G366" s="26" t="n">
        <f aca="false">G365+IF(U365="SC",1,0)</f>
        <v>7</v>
      </c>
      <c r="H366" s="26" t="n">
        <f aca="false">H365+IF(U365="Mag",1,0)</f>
        <v>5</v>
      </c>
      <c r="I366" s="26" t="n">
        <f aca="false">MAX(I365,IF(U365="OR",1,0))</f>
        <v>1</v>
      </c>
      <c r="J366" s="26" t="n">
        <f aca="false">MAX(J365,IF(U365="HP",1,0))</f>
        <v>1</v>
      </c>
      <c r="K366" s="26" t="n">
        <f aca="false">MAX(K365,IF(U365="FP",1,0))</f>
        <v>1</v>
      </c>
      <c r="L366" s="26" t="n">
        <f aca="false">MAX(L365,IF(U365="transition",1,0))</f>
        <v>1</v>
      </c>
      <c r="M366" s="28" t="n">
        <f aca="false">(Parameters!$B$9+(IF(E366=0,0,(Upgrades!$J$6+E366*Upgrades!$K$6)*POWER(Upgrades!$L$6,E366)))*(IF(Upgrades!$T$7="Solar Wind",POWER(Upgrades!$U$7,F366),1)*IF(Upgrades!$T$8="Solar Wind",POWER(Upgrades!$U$8,G366),1)*IF(Upgrades!$T$9="Solar Wind",POWER(Upgrades!$U$9,H366),1)*IF(Upgrades!$T$10="Solar Wind",POWER(Upgrades!$U$10,I366),1)*IF(Upgrades!$T$11="Solar Wind",POWER(Upgrades!$U$11,J366),1)*IF(Upgrades!$T$12="Solar Wind",POWER(Upgrades!$U$12,K366),1))+(IF(F366=0,0,(Upgrades!$J$7+F366*Upgrades!$K$7)*POWER(Upgrades!$L$7,F366)))*(IF(Upgrades!$T$6="Asteroid Belt",POWER(Upgrades!$U$6,E366),1)*IF(Upgrades!$T$8="Asteroid Belt",POWER(Upgrades!$U$8,G366),1)*IF(Upgrades!$T$9="Asteroid Belt",POWER(Upgrades!$U$9,H366),1)*IF(Upgrades!$T$10="Asteroid Belt",POWER(Upgrades!$U$10,I366),1)*IF(Upgrades!$T$11="Asteroid Belt",POWER(Upgrades!$U$11,J366),1)*IF(Upgrades!$T$12="Asteroid Belt",POWER(Upgrades!$U$12,K366),1))+(IF(G366=0,0,(Upgrades!$J$8+G366*Upgrades!$K$8)*POWER(Upgrades!$L$8,G366)))*(IF(Upgrades!$T$6="Stellar Coupling",POWER(Upgrades!$U$6,E366),1)*IF(Upgrades!$T$7="Stellar Coupling",POWER(Upgrades!$U$7,F366),1)*IF(Upgrades!$T$9="Stellar Coupling",POWER(Upgrades!$U$9,H366),1)*IF(Upgrades!$T$10="Stellar Coupling",POWER(Upgrades!$U$10,I366),1)*IF(Upgrades!$T$11="Stellar Coupling",POWER(Upgrades!$U$11,J366),1)*IF(Upgrades!$T$12="Stellar Coupling",POWER(Upgrades!$U$12,K366),1))+(IF(H366=0,0,(Upgrades!$J$9+H366*Upgrades!$K$9)*POWER(Upgrades!$L$9,H366)))*(IF(Upgrades!$T$6="Magnetosphere",POWER(Upgrades!$U$6,E366),1)*IF(Upgrades!$T$7="Magnetosphere",POWER(Upgrades!$U$7,F366),1)*IF(Upgrades!$T$8="Magnetosphere",POWER(Upgrades!$U$8,G366),1)*IF(Upgrades!$T$10="Magnetosphere",POWER(Upgrades!$U$10,I366),1)*IF(Upgrades!$T$11="Magnetosphere",POWER(Upgrades!$U$11,J366),1)*IF(Upgrades!$T$12="Magnetosphere",POWER(Upgrades!$U$12,K366),1))+(IF(I366=0,0,(Upgrades!$J$10+I366*Upgrades!$K$10)*POWER(Upgrades!$L$10,I366)))*(IF(Upgrades!$T$6="Orbital Resonance",POWER(Upgrades!$U$6,E366),1)*IF(Upgrades!$T$7="Orbital Resonance",POWER(Upgrades!$U$7,F366),1)*IF(Upgrades!$T$8="Orbital Resonance",POWER(Upgrades!$U$8,G366),1)*IF(Upgrades!$T$9="Orbital Resonance",POWER(Upgrades!$U$9,H366),1)*IF(Upgrades!$T$11="Orbital Resonance",POWER(Upgrades!$U$11,J366),1)*IF(Upgrades!$T$12="Orbital Resonance",POWER(Upgrades!$U$12,K366),1))+(IF(J366=0,0,(Upgrades!$J$11+J366*Upgrades!$K$11)*POWER(Upgrades!$L$11,J366)))*(IF(Upgrades!$T$6="Heliopause",POWER(Upgrades!$U$6,E366),1)*IF(Upgrades!$T$7="Heliopause",POWER(Upgrades!$U$7,F366),1)*IF(Upgrades!$T$8="Heliopause",POWER(Upgrades!$U$8,G366),1)*IF(Upgrades!$T$9="Heliopause",POWER(Upgrades!$U$9,H366),1)*IF(Upgrades!$T$10="Heliopause",POWER(Upgrades!$U$10,I366),1)*IF(Upgrades!$T$12="Heliopause",POWER(Upgrades!$U$12,K366),1))+(IF(K366=0,0,(Upgrades!$J$12+K366*Upgrades!$K$12)*POWER(Upgrades!$L$12,K366)))*(IF(Upgrades!$T$6="First Photons",POWER(Upgrades!$U$6,E366),1)*IF(Upgrades!$T$7="First Photons",POWER(Upgrades!$U$7,F366),1)*IF(Upgrades!$T$8="First Photons",POWER(Upgrades!$U$8,G366),1)*IF(Upgrades!$T$9="First Photons",POWER(Upgrades!$U$9,H366),1)*IF(Upgrades!$T$10="First Photons",POWER(Upgrades!$U$10,I366),1)*IF(Upgrades!$T$11="First Photons",POWER(Upgrades!$U$11,J366),1)))*POWER(Upgrades!$Q$6,E366)*POWER(Upgrades!$Q$7,F366)*POWER(Upgrades!$Q$8,G366)*POWER(Upgrades!$Q$9,H366)*POWER(Upgrades!$Q$10,I366)*POWER(Upgrades!$Q$11,J366)*POWER(Upgrades!$Q$12,K366)</f>
        <v>5.61</v>
      </c>
      <c r="N366" s="28" t="n">
        <f aca="false">((IF(E366=0,0,(Upgrades!$G$6+E366*Upgrades!$H$6)*POWER(Upgrades!$I$6,E366)))*(IF(Upgrades!$T$7="Solar Wind",POWER(Upgrades!$U$7,F366),1)*IF(Upgrades!$T$8="Solar Wind",POWER(Upgrades!$U$8,G366),1)*IF(Upgrades!$T$9="Solar Wind",POWER(Upgrades!$U$9,H366),1)*IF(Upgrades!$T$10="Solar Wind",POWER(Upgrades!$U$10,I366),1)*IF(Upgrades!$T$11="Solar Wind",POWER(Upgrades!$U$11,J366),1)*IF(Upgrades!$T$12="Solar Wind",POWER(Upgrades!$U$12,K366),1))+(IF(F366=0,0,(Upgrades!$G$7+F366*Upgrades!$H$7)*POWER(Upgrades!$I$7,F366)))*(IF(Upgrades!$T$6="Asteroid Belt",POWER(Upgrades!$U$6,E366),1)*IF(Upgrades!$T$8="Asteroid Belt",POWER(Upgrades!$U$8,G366),1)*IF(Upgrades!$T$9="Asteroid Belt",POWER(Upgrades!$U$9,H366),1)*IF(Upgrades!$T$10="Asteroid Belt",POWER(Upgrades!$U$10,I366),1)*IF(Upgrades!$T$11="Asteroid Belt",POWER(Upgrades!$U$11,J366),1)*IF(Upgrades!$T$12="Asteroid Belt",POWER(Upgrades!$U$12,K366),1))+(IF(G366=0,0,(Upgrades!$G$8+G366*Upgrades!$H$8)*POWER(Upgrades!$I$8,G366)))*(IF(Upgrades!$T$6="Stellar Coupling",POWER(Upgrades!$U$6,E366),1)*IF(Upgrades!$T$7="Stellar Coupling",POWER(Upgrades!$U$7,F366),1)*IF(Upgrades!$T$9="Stellar Coupling",POWER(Upgrades!$U$9,H366),1)*IF(Upgrades!$T$10="Stellar Coupling",POWER(Upgrades!$U$10,I366),1)*IF(Upgrades!$T$11="Stellar Coupling",POWER(Upgrades!$U$11,J366),1)*IF(Upgrades!$T$12="Stellar Coupling",POWER(Upgrades!$U$12,K366),1))+(IF(H366=0,0,(Upgrades!$G$9+H366*Upgrades!$H$9)*POWER(Upgrades!$I$9,H366)))*(IF(Upgrades!$T$6="Magnetosphere",POWER(Upgrades!$U$6,E366),1)*IF(Upgrades!$T$7="Magnetosphere",POWER(Upgrades!$U$7,F366),1)*IF(Upgrades!$T$8="Magnetosphere",POWER(Upgrades!$U$8,G366),1)*IF(Upgrades!$T$10="Magnetosphere",POWER(Upgrades!$U$10,I366),1)*IF(Upgrades!$T$11="Magnetosphere",POWER(Upgrades!$U$11,J366),1)*IF(Upgrades!$T$12="Magnetosphere",POWER(Upgrades!$U$12,K366),1))+(IF(I366=0,0,(Upgrades!$G$10+I366*Upgrades!$H$10)*POWER(Upgrades!$I$10,I366)))*(IF(Upgrades!$T$6="Orbital Resonance",POWER(Upgrades!$U$6,E366),1)*IF(Upgrades!$T$7="Orbital Resonance",POWER(Upgrades!$U$7,F366),1)*IF(Upgrades!$T$8="Orbital Resonance",POWER(Upgrades!$U$8,G366),1)*IF(Upgrades!$T$9="Orbital Resonance",POWER(Upgrades!$U$9,H366),1)*IF(Upgrades!$T$11="Orbital Resonance",POWER(Upgrades!$U$11,J366),1)*IF(Upgrades!$T$12="Orbital Resonance",POWER(Upgrades!$U$12,K366),1))+(IF(J366=0,0,(Upgrades!$G$11+J366*Upgrades!$H$11)*POWER(Upgrades!$I$11,J366)))*(IF(Upgrades!$T$6="Heliopause",POWER(Upgrades!$U$6,E366),1)*IF(Upgrades!$T$7="Heliopause",POWER(Upgrades!$U$7,F366),1)*IF(Upgrades!$T$8="Heliopause",POWER(Upgrades!$U$8,G366),1)*IF(Upgrades!$T$9="Heliopause",POWER(Upgrades!$U$9,H366),1)*IF(Upgrades!$T$10="Heliopause",POWER(Upgrades!$U$10,I366),1)*IF(Upgrades!$T$12="Heliopause",POWER(Upgrades!$U$12,K366),1))+(IF(K366=0,0,(Upgrades!$G$12+K366*Upgrades!$H$12)*POWER(Upgrades!$I$12,K366)))*(IF(Upgrades!$T$6="First Photons",POWER(Upgrades!$U$6,E366),1)*IF(Upgrades!$T$7="First Photons",POWER(Upgrades!$U$7,F366),1)*IF(Upgrades!$T$8="First Photons",POWER(Upgrades!$U$8,G366),1)*IF(Upgrades!$T$9="First Photons",POWER(Upgrades!$U$9,H366),1)*IF(Upgrades!$T$10="First Photons",POWER(Upgrades!$U$10,I366),1)*IF(Upgrades!$T$11="First Photons",POWER(Upgrades!$U$11,J366),1)))*POWER(Upgrades!$P$6,E366)*POWER(Upgrades!$P$7,F366)*POWER(Upgrades!$P$8,G366)*POWER(Upgrades!$P$9,H366)*POWER(Upgrades!$P$10,I366)*POWER(Upgrades!$P$11,J366)*POWER(Upgrades!$P$12,K366)</f>
        <v>11.2</v>
      </c>
      <c r="O366" s="28" t="n">
        <f aca="false">((IF(E366=0,0,(Upgrades!$M$6+E366*Upgrades!$N$6)*POWER(Upgrades!$O$6,E366)))*(IF(Upgrades!$T$7="Solar Wind",POWER(Upgrades!$U$7,F366),1)*IF(Upgrades!$T$8="Solar Wind",POWER(Upgrades!$U$8,G366),1)*IF(Upgrades!$T$9="Solar Wind",POWER(Upgrades!$U$9,H366),1)*IF(Upgrades!$T$10="Solar Wind",POWER(Upgrades!$U$10,I366),1)*IF(Upgrades!$T$11="Solar Wind",POWER(Upgrades!$U$11,J366),1)*IF(Upgrades!$T$12="Solar Wind",POWER(Upgrades!$U$12,K366),1))+(IF(F366=0,0,(Upgrades!$M$7+F366*Upgrades!$N$7)*POWER(Upgrades!$O$7,F366)))*(IF(Upgrades!$T$6="Asteroid Belt",POWER(Upgrades!$U$6,E366),1)*IF(Upgrades!$T$8="Asteroid Belt",POWER(Upgrades!$U$8,G366),1)*IF(Upgrades!$T$9="Asteroid Belt",POWER(Upgrades!$U$9,H366),1)*IF(Upgrades!$T$10="Asteroid Belt",POWER(Upgrades!$U$10,I366),1)*IF(Upgrades!$T$11="Asteroid Belt",POWER(Upgrades!$U$11,J366),1)*IF(Upgrades!$T$12="Asteroid Belt",POWER(Upgrades!$U$12,K366),1))+(IF(G366=0,0,(Upgrades!$M$8+G366*Upgrades!$N$8)*POWER(Upgrades!$O$8,G366)))*(IF(Upgrades!$T$6="Stellar Coupling",POWER(Upgrades!$U$6,E366),1)*IF(Upgrades!$T$7="Stellar Coupling",POWER(Upgrades!$U$7,F366),1)*IF(Upgrades!$T$9="Stellar Coupling",POWER(Upgrades!$U$9,H366),1)*IF(Upgrades!$T$10="Stellar Coupling",POWER(Upgrades!$U$10,I366),1)*IF(Upgrades!$T$11="Stellar Coupling",POWER(Upgrades!$U$11,J366),1)*IF(Upgrades!$T$12="Stellar Coupling",POWER(Upgrades!$U$12,K366),1))+(IF(H366=0,0,(Upgrades!$M$9+H366*Upgrades!$N$9)*POWER(Upgrades!$O$9,H366)))*(IF(Upgrades!$T$6="Magnetosphere",POWER(Upgrades!$U$6,E366),1)*IF(Upgrades!$T$7="Magnetosphere",POWER(Upgrades!$U$7,F366),1)*IF(Upgrades!$T$8="Magnetosphere",POWER(Upgrades!$U$8,G366),1)*IF(Upgrades!$T$10="Magnetosphere",POWER(Upgrades!$U$10,I366),1)*IF(Upgrades!$T$11="Magnetosphere",POWER(Upgrades!$U$11,J366),1)*IF(Upgrades!$T$12="Magnetosphere",POWER(Upgrades!$U$12,K366),1))+(IF(I366=0,0,(Upgrades!$M$10+I366*Upgrades!$N$10)*POWER(Upgrades!$O$10,I366)))*(IF(Upgrades!$T$6="Orbital Resonance",POWER(Upgrades!$U$6,E366),1)*IF(Upgrades!$T$7="Orbital Resonance",POWER(Upgrades!$U$7,F366),1)*IF(Upgrades!$T$8="Orbital Resonance",POWER(Upgrades!$U$8,G366),1)*IF(Upgrades!$T$9="Orbital Resonance",POWER(Upgrades!$U$9,H366),1)*IF(Upgrades!$T$11="Orbital Resonance",POWER(Upgrades!$U$11,J366),1)*IF(Upgrades!$T$12="Orbital Resonance",POWER(Upgrades!$U$12,K366),1))+(IF(J366=0,0,(Upgrades!$M$11+J366*Upgrades!$N$11)*POWER(Upgrades!$O$11,J366)))*(IF(Upgrades!$T$6="Heliopause",POWER(Upgrades!$U$6,E366),1)*IF(Upgrades!$T$7="Heliopause",POWER(Upgrades!$U$7,F366),1)*IF(Upgrades!$T$8="Heliopause",POWER(Upgrades!$U$8,G366),1)*IF(Upgrades!$T$9="Heliopause",POWER(Upgrades!$U$9,H366),1)*IF(Upgrades!$T$10="Heliopause",POWER(Upgrades!$U$10,I366),1)*IF(Upgrades!$T$12="Heliopause",POWER(Upgrades!$U$12,K366),1))+(IF(K366=0,0,(Upgrades!$M$12+K366*Upgrades!$N$12)*POWER(Upgrades!$O$12,K366)))*(IF(Upgrades!$T$6="First Photons",POWER(Upgrades!$U$6,E366),1)*IF(Upgrades!$T$7="First Photons",POWER(Upgrades!$U$7,F366),1)*IF(Upgrades!$T$8="First Photons",POWER(Upgrades!$U$8,G366),1)*IF(Upgrades!$T$9="First Photons",POWER(Upgrades!$U$9,H366),1)*IF(Upgrades!$T$10="First Photons",POWER(Upgrades!$U$10,I366),1)*IF(Upgrades!$T$11="First Photons",POWER(Upgrades!$U$11,J366),1)))*POWER(Upgrades!$R$6,E366)*POWER(Upgrades!$R$7,F366)*POWER(Upgrades!$R$8,G366)*POWER(Upgrades!$R$9,H366)*POWER(Upgrades!$R$10,I366)*POWER(Upgrades!$R$11,J366)*POWER(Upgrades!$R$12,K366)</f>
        <v>0</v>
      </c>
      <c r="P366" s="27" t="n">
        <f aca="false">IF(L366=1,0,M366*Parameters!$B$10/60*Parameters!$B$11*10)</f>
        <v>0</v>
      </c>
      <c r="Q366" s="27" t="n">
        <f aca="false">IF(L366=1,0,O366*M366*10)</f>
        <v>0</v>
      </c>
      <c r="R366" s="27" t="n">
        <f aca="false">IF(L366=1,0,N366*10)</f>
        <v>0</v>
      </c>
      <c r="S366" s="27" t="n">
        <f aca="false">P366+Q366+R366</f>
        <v>0</v>
      </c>
      <c r="T366" s="21" t="n">
        <f aca="false">C366+S366</f>
        <v>18.6730249835055</v>
      </c>
      <c r="U366" s="34" t="str">
        <f aca="false">AX366</f>
        <v/>
      </c>
      <c r="V366" s="21" t="n">
        <f aca="false">IF(U366="",0,IF(U366="transition",0,IF(U366="SW",AG366,IF(U366="AB",AH366,IF(U366="SC",AI366,IF(U366="Mag",AJ366,IF(U366="OR",AK366,IF(U366="HP",AL366,IF(U366="FP",AM366,0)))))))))</f>
        <v>0</v>
      </c>
      <c r="W366" s="27" t="n">
        <f aca="false">IF(U366="OR",Upgrades!$F$10,IF(U366="HP",Upgrades!$F$11,IF(U366="transition",-Parameters!$B$18,0)))</f>
        <v>0</v>
      </c>
      <c r="X366" s="21" t="n">
        <f aca="false">T366-V366</f>
        <v>18.6730249835055</v>
      </c>
      <c r="Y366" s="30" t="n">
        <f aca="false">M366*Parameters!$B$10/60*Parameters!$B$11+O366*M366+N366</f>
        <v>20.55</v>
      </c>
      <c r="Z366" s="35" t="str">
        <f aca="false">IF(U366="transition","→ Tier 2 (Stellar Neighborhood)",IF(U366="FP","First Photons — light begins, system quickens",IF(U366="HP","Heliopause acquired",IF(U366="OR","Orbital Resonance — passive multiplier active",IF(AND(AO366=1,L366=0,AN366&lt;&gt;1),"Cohesion ready (waiting on completionist upgrades)","")))))</f>
        <v/>
      </c>
      <c r="AA366" s="27" t="n">
        <f aca="false">(IF(E366=0,0,(Upgrades!$G$6+E366*Upgrades!$H$6)*POWER(Upgrades!$I$6,E366)))*(IF(Upgrades!$T$7="Solar Wind",POWER(Upgrades!$U$7,F366),1)*IF(Upgrades!$T$8="Solar Wind",POWER(Upgrades!$U$8,G366),1)*IF(Upgrades!$T$9="Solar Wind",POWER(Upgrades!$U$9,H366),1)*IF(Upgrades!$T$10="Solar Wind",POWER(Upgrades!$U$10,I366),1)*IF(Upgrades!$T$11="Solar Wind",POWER(Upgrades!$U$11,J366),1)*IF(Upgrades!$T$12="Solar Wind",POWER(Upgrades!$U$12,K366),1))*POWER(Upgrades!$P$6,E366)*POWER(Upgrades!$P$7,F366)*POWER(Upgrades!$P$8,G366)*POWER(Upgrades!$P$9,H366)*POWER(Upgrades!$P$10,I366)*POWER(Upgrades!$P$11,J366)*POWER(Upgrades!$P$12,K366)*60</f>
        <v>72</v>
      </c>
      <c r="AB366" s="27" t="n">
        <f aca="false">(IF(F366=0,0,(Upgrades!$G$7+F366*Upgrades!$H$7)*POWER(Upgrades!$I$7,F366)))*(IF(Upgrades!$T$6="Asteroid Belt",POWER(Upgrades!$U$6,E366),1)*IF(Upgrades!$T$8="Asteroid Belt",POWER(Upgrades!$U$8,G366),1)*IF(Upgrades!$T$9="Asteroid Belt",POWER(Upgrades!$U$9,H366),1)*IF(Upgrades!$T$10="Asteroid Belt",POWER(Upgrades!$U$10,I366),1)*IF(Upgrades!$T$11="Asteroid Belt",POWER(Upgrades!$U$11,J366),1)*IF(Upgrades!$T$12="Asteroid Belt",POWER(Upgrades!$U$12,K366),1))*POWER(Upgrades!$P$6,E366)*POWER(Upgrades!$P$7,F366)*POWER(Upgrades!$P$8,G366)*POWER(Upgrades!$P$9,H366)*POWER(Upgrades!$P$10,I366)*POWER(Upgrades!$P$11,J366)*POWER(Upgrades!$P$12,K366)*60</f>
        <v>150</v>
      </c>
      <c r="AC366" s="27" t="n">
        <f aca="false">(IF(G366=0,0,(Upgrades!$J$8+G366*Upgrades!$K$8)*POWER(Upgrades!$L$8,G366)))*(IF(Upgrades!$T$6="Stellar Coupling",POWER(Upgrades!$U$6,E366),1)*IF(Upgrades!$T$7="Stellar Coupling",POWER(Upgrades!$U$7,F366),1)*IF(Upgrades!$T$9="Stellar Coupling",POWER(Upgrades!$U$9,H366),1)*IF(Upgrades!$T$10="Stellar Coupling",POWER(Upgrades!$U$10,I366),1)*IF(Upgrades!$T$11="Stellar Coupling",POWER(Upgrades!$U$11,J366),1)*IF(Upgrades!$T$12="Stellar Coupling",POWER(Upgrades!$U$12,K366),1))*POWER(Upgrades!$Q$6,E366)*POWER(Upgrades!$Q$7,F366)*POWER(Upgrades!$Q$8,G366)*POWER(Upgrades!$Q$9,H366)*POWER(Upgrades!$Q$10,I366)*POWER(Upgrades!$Q$11,J366)*POWER(Upgrades!$Q$12,K366)*Parameters!$B$10*Parameters!$B$11</f>
        <v>441</v>
      </c>
      <c r="AD366" s="27" t="n">
        <f aca="false">(IF(H366=0,0,(Upgrades!$G$9+H366*Upgrades!$H$9)*POWER(Upgrades!$I$9,H366)))*(IF(Upgrades!$T$6="Magnetosphere",POWER(Upgrades!$U$6,E366),1)*IF(Upgrades!$T$7="Magnetosphere",POWER(Upgrades!$U$7,F366),1)*IF(Upgrades!$T$8="Magnetosphere",POWER(Upgrades!$U$8,G366),1)*IF(Upgrades!$T$10="Magnetosphere",POWER(Upgrades!$U$10,I366),1)*IF(Upgrades!$T$11="Magnetosphere",POWER(Upgrades!$U$11,J366),1)*IF(Upgrades!$T$12="Magnetosphere",POWER(Upgrades!$U$12,K366),1))*POWER(Upgrades!$P$6,E366)*POWER(Upgrades!$P$7,F366)*POWER(Upgrades!$P$8,G366)*POWER(Upgrades!$P$9,H366)*POWER(Upgrades!$P$10,I366)*POWER(Upgrades!$P$11,J366)*POWER(Upgrades!$P$12,K366)*60</f>
        <v>375</v>
      </c>
      <c r="AE366" s="27" t="n">
        <f aca="false">(IF(K366=0,0,(Upgrades!$G$12+K366*Upgrades!$H$12)*POWER(Upgrades!$I$12,K366)))*(IF(Upgrades!$T$6="First Photons",POWER(Upgrades!$U$6,E366),1)*IF(Upgrades!$T$7="First Photons",POWER(Upgrades!$U$7,F366),1)*IF(Upgrades!$T$8="First Photons",POWER(Upgrades!$U$8,G366),1)*IF(Upgrades!$T$9="First Photons",POWER(Upgrades!$U$9,H366),1)*IF(Upgrades!$T$10="First Photons",POWER(Upgrades!$U$10,I366),1)*IF(Upgrades!$T$11="First Photons",POWER(Upgrades!$U$11,J366),1))*POWER(Upgrades!$P$6,E366)*POWER(Upgrades!$P$7,F366)*POWER(Upgrades!$P$8,G366)*POWER(Upgrades!$P$9,H366)*POWER(Upgrades!$P$10,I366)*POWER(Upgrades!$P$11,J366)*POWER(Upgrades!$P$12,K366)*60</f>
        <v>75</v>
      </c>
      <c r="AF366" s="27" t="n">
        <f aca="false">Parameters!$B$9*POWER(Upgrades!$Q$6,E366)*POWER(Upgrades!$Q$7,F366)*POWER(Upgrades!$Q$8,G366)*POWER(Upgrades!$Q$9,H366)*POWER(Upgrades!$Q$10,I366)*POWER(Upgrades!$Q$11,J366)*POWER(Upgrades!$Q$12,K366)*(Parameters!$B$10*Parameters!$B$11+O366*60)</f>
        <v>120</v>
      </c>
      <c r="AG366" s="21" t="n">
        <f aca="false">IF(E366&gt;=Upgrades!$E$6,"",Upgrades!$C$6*POWER(Upgrades!$D$6,E366))</f>
        <v>37.4517507383159</v>
      </c>
      <c r="AH366" s="21" t="n">
        <f aca="false">IF(F366&gt;=Upgrades!$E$7,"",Upgrades!$C$7*POWER(Upgrades!$D$7,F366))</f>
        <v>80.9111547141581</v>
      </c>
      <c r="AI366" s="21" t="n">
        <f aca="false">IF(G366&gt;=Upgrades!$E$8,"",Upgrades!$C$8*POWER(Upgrades!$D$8,G366))</f>
        <v>231.9097088</v>
      </c>
      <c r="AJ366" s="21" t="str">
        <f aca="false">IF(H366&gt;=Upgrades!$E$9,"",Upgrades!$C$9*POWER(Upgrades!$D$9,H366))</f>
        <v/>
      </c>
      <c r="AK366" s="21" t="str">
        <f aca="false">IF(I366&gt;=Upgrades!$E$10,"",Upgrades!$C$10*POWER(Upgrades!$D$10,I366))</f>
        <v/>
      </c>
      <c r="AL366" s="21" t="str">
        <f aca="false">IF(J366&gt;=Upgrades!$E$11,"",Upgrades!$C$11*POWER(Upgrades!$D$11,J366))</f>
        <v/>
      </c>
      <c r="AM366" s="21" t="str">
        <f aca="false">IF(K366&gt;=Upgrades!$E$12,"",Upgrades!$C$12*POWER(Upgrades!$D$12,K366))</f>
        <v/>
      </c>
      <c r="AN366" s="26" t="str">
        <f aca="false">IF(AND(D366&gt;=Parameters!$B$18,(H366&gt;=Upgrades!$E$9)*(K366&gt;=Upgrades!$E$12)=1,L366=0),1,"")</f>
        <v/>
      </c>
      <c r="AO366" s="26" t="str">
        <f aca="false">IF(AND(D366&gt;=Parameters!$B$18,L366=0),1,"")</f>
        <v/>
      </c>
      <c r="AP366" s="21" t="n">
        <f aca="false">MIN(IF(ISNUMBER(AK366),AK366,9000000000000000),IF(ISNUMBER(AL366),AL366,9000000000000000),IF(ISNUMBER(AM366),AM366,9000000000000000))</f>
        <v>9000000000000000</v>
      </c>
      <c r="AQ366" s="21" t="n">
        <f aca="false">MIN(IF(ISNUMBER(AG366),AG366,9000000000000000),IF(ISNUMBER(AH366),AH366,9000000000000000),IF(ISNUMBER(AI366),AI366,9000000000000000),IF(ISNUMBER(AJ366),AJ366,9000000000000000))</f>
        <v>37.4517507383159</v>
      </c>
      <c r="AR366" s="32" t="b">
        <f aca="false">IF(AW366&gt;Parameters!$B$21*(MAX(IF(AND(NOT(AND(AO366=1,AN366&lt;&gt;1)),ISNUMBER(AG366),AG366&lt;=T366),AS366,0),IF(AND(NOT(AND(AO366=1,AN366&lt;&gt;1)),ISNUMBER(AH366),AH366&lt;=T366),AT366,0),IF(AND(NOT(AND(AO366=1,AN366&lt;&gt;1)),ISNUMBER(AI366),AI366&lt;=T366),AU366,0),IF(AND(ISNUMBER(AJ366),AJ366&lt;=T366),AV366,0))),TRUE(),FALSE())</f>
        <v>1</v>
      </c>
      <c r="AS366" s="33" t="n">
        <f aca="false">IFERROR(Upgrades!$H$6*(POWER(Upgrades!$P$6,E366)*POWER(Upgrades!$P$7,F366)*POWER(Upgrades!$P$8,G366)*POWER(Upgrades!$P$9,H366)*POWER(Upgrades!$P$10,I366)*POWER(Upgrades!$P$11,J366)*POWER(Upgrades!$P$12,K366))*(IF(Upgrades!$T$7="Solar Wind",POWER(Upgrades!$U$7,F366),1)*IF(Upgrades!$T$8="Solar Wind",POWER(Upgrades!$U$8,G366),1)*IF(Upgrades!$T$9="Solar Wind",POWER(Upgrades!$U$9,H366),1)*IF(Upgrades!$T$10="Solar Wind",POWER(Upgrades!$U$10,I366),1)*IF(Upgrades!$T$11="Solar Wind",POWER(Upgrades!$U$11,J366),1)*IF(Upgrades!$T$12="Solar Wind",POWER(Upgrades!$U$12,K366),1))/AG366,0)</f>
        <v>0.0026701021455238</v>
      </c>
      <c r="AT366" s="33" t="n">
        <f aca="false">IFERROR(Upgrades!$H$7*(POWER(Upgrades!$P$6,E366)*POWER(Upgrades!$P$7,F366)*POWER(Upgrades!$P$8,G366)*POWER(Upgrades!$P$9,H366)*POWER(Upgrades!$P$10,I366)*POWER(Upgrades!$P$11,J366)*POWER(Upgrades!$P$12,K366))*(IF(Upgrades!$T$6="Asteroid Belt",POWER(Upgrades!$U$6,E366),1)*IF(Upgrades!$T$8="Asteroid Belt",POWER(Upgrades!$U$8,G366),1)*IF(Upgrades!$T$9="Asteroid Belt",POWER(Upgrades!$U$9,H366),1)*IF(Upgrades!$T$10="Asteroid Belt",POWER(Upgrades!$U$10,I366),1)*IF(Upgrades!$T$11="Asteroid Belt",POWER(Upgrades!$U$11,J366),1)*IF(Upgrades!$T$12="Asteroid Belt",POWER(Upgrades!$U$12,K366),1))/AH366,0)</f>
        <v>0.00308980882652332</v>
      </c>
      <c r="AU366" s="33" t="n">
        <f aca="false">IFERROR(Upgrades!$K$8*(POWER(Upgrades!$Q$6,E366)*POWER(Upgrades!$Q$7,F366)*POWER(Upgrades!$Q$8,G366)*POWER(Upgrades!$Q$9,H366)*POWER(Upgrades!$Q$10,I366)*POWER(Upgrades!$Q$11,J366)*POWER(Upgrades!$Q$12,K366))*(IF(Upgrades!$T$6="Stellar Coupling",POWER(Upgrades!$U$6,E366),1)*IF(Upgrades!$T$7="Stellar Coupling",POWER(Upgrades!$U$7,F366),1)*IF(Upgrades!$T$9="Stellar Coupling",POWER(Upgrades!$U$9,H366),1)*IF(Upgrades!$T$10="Stellar Coupling",POWER(Upgrades!$U$10,I366),1)*IF(Upgrades!$T$11="Stellar Coupling",POWER(Upgrades!$U$11,J366),1)*IF(Upgrades!$T$12="Stellar Coupling",POWER(Upgrades!$U$12,K366),1))*Parameters!$B$10*Parameters!$B$11/60/AI366,0)</f>
        <v>0.00452762415783776</v>
      </c>
      <c r="AV366" s="33" t="n">
        <f aca="false">IFERROR(Upgrades!$H$9*(POWER(Upgrades!$P$6,E366)*POWER(Upgrades!$P$7,F366)*POWER(Upgrades!$P$8,G366)*POWER(Upgrades!$P$9,H366)*POWER(Upgrades!$P$10,I366)*POWER(Upgrades!$P$11,J366)*POWER(Upgrades!$P$12,K366))*(IF(Upgrades!$T$6="Magnetosphere",POWER(Upgrades!$U$6,E366),1)*IF(Upgrades!$T$7="Magnetosphere",POWER(Upgrades!$U$7,F366),1)*IF(Upgrades!$T$8="Magnetosphere",POWER(Upgrades!$U$8,G366),1)*IF(Upgrades!$T$10="Magnetosphere",POWER(Upgrades!$U$10,I366),1)*IF(Upgrades!$T$11="Magnetosphere",POWER(Upgrades!$U$11,J366),1)*IF(Upgrades!$T$12="Magnetosphere",POWER(Upgrades!$U$12,K366),1))/AJ366,0)</f>
        <v>0</v>
      </c>
      <c r="AW366" s="33" t="n">
        <f aca="false">MAX(IF(I366&gt;0,0,IFERROR(0.25*N366/Upgrades!$C$10,0)),IF(J366&gt;0,0,IFERROR(0.5*((IF(G366=0,0,(Upgrades!$J$8+G366*Upgrades!$K$8)*POWER(Upgrades!$L$8,G366)))*(IF(Upgrades!$T$6="Stellar Coupling",POWER(Upgrades!$U$6,E366),1)*IF(Upgrades!$T$7="Stellar Coupling",POWER(Upgrades!$U$7,F366),1)*IF(Upgrades!$T$9="Stellar Coupling",POWER(Upgrades!$U$9,H366),1)*IF(Upgrades!$T$10="Stellar Coupling",POWER(Upgrades!$U$10,I366),1)*IF(Upgrades!$T$11="Stellar Coupling",POWER(Upgrades!$U$11,J366),1)*IF(Upgrades!$T$12="Stellar Coupling",POWER(Upgrades!$U$12,K366),1))*(POWER(Upgrades!$Q$6,E366)*POWER(Upgrades!$Q$7,F366)*POWER(Upgrades!$Q$8,G366)*POWER(Upgrades!$Q$9,H366)*POWER(Upgrades!$Q$10,I366)*POWER(Upgrades!$Q$11,J366)*POWER(Upgrades!$Q$12,K366))*Parameters!$B$10*Parameters!$B$11/60)/Upgrades!$C$11,0)),IF(K366&gt;0,0,IFERROR((1*(POWER(Upgrades!$P$6,E366)*POWER(Upgrades!$P$7,F366)*POWER(Upgrades!$P$8,G366)*POWER(Upgrades!$P$9,H366)*POWER(Upgrades!$P$10,I366)*POWER(Upgrades!$P$11,J366)*POWER(Upgrades!$P$12,K366))+0.2*M366*Parameters!$B$10*Parameters!$B$11/60)/Upgrades!$C$12,0)),IF(AND(ISNUMBER(AG366),AG366&gt;T366),AS366,0),IF(AND(ISNUMBER(AH366),AH366&gt;T366),AT366,0),IF(AND(ISNUMBER(AI366),AI366&gt;T366),AU366,0),IF(AND(ISNUMBER(AJ366),AJ366&gt;T366),AV366,0))</f>
        <v>0.00452762415783776</v>
      </c>
      <c r="AX366" s="29" t="str">
        <f aca="false">IF(AN366=1,"transition",IF(MIN(IF(AND(I366=0,ISNUMBER(AK366),AK366&lt;=T366),AK366,9000000000000000),IF(AND(J366=0,ISNUMBER(AL366),AL366&lt;=T366),AL366,9000000000000000),IF(AND(K366=0,ISNUMBER(AM366),AM366&lt;=T366),AM366,9000000000000000))&lt;9000000000000000,IF(AND(AND(I366=0,ISNUMBER(AK366),AK366&lt;=T366),AK366=MIN(IF(AND(I366=0,ISNUMBER(AK366),AK366&lt;=T366),AK366,9000000000000000),IF(AND(J366=0,ISNUMBER(AL366),AL366&lt;=T366),AL366,9000000000000000),IF(AND(K366=0,ISNUMBER(AM366),AM366&lt;=T366),AM366,9000000000000000))),"OR",IF(AND(AND(J366=0,ISNUMBER(AL366),AL366&lt;=T366),AL366=MIN(IF(AND(I366=0,ISNUMBER(AK366),AK366&lt;=T366),AK366,9000000000000000),IF(AND(J366=0,ISNUMBER(AL366),AL366&lt;=T366),AL366,9000000000000000),IF(AND(K366=0,ISNUMBER(AM366),AM366&lt;=T366),AM366,9000000000000000))),"HP","FP")),IF(AR366=TRUE(),"",IF(MAX(IF(AND(NOT(AND(AO366=1,AN366&lt;&gt;1)),ISNUMBER(AG366),AG366&lt;=T366),AS366,0),IF(AND(NOT(AND(AO366=1,AN366&lt;&gt;1)),ISNUMBER(AH366),AH366&lt;=T366),AT366,0),IF(AND(NOT(AND(AO366=1,AN366&lt;&gt;1)),ISNUMBER(AI366),AI366&lt;=T366),AU366,0),IF(AND(ISNUMBER(AJ366),AJ366&lt;=T366),AV366,0))&lt;=0,"",IF(AND(IF(AND(NOT(AND(AO366=1,AN366&lt;&gt;1)),ISNUMBER(AG366),AG366&lt;=T366),AS366,0)&gt;0,IF(AND(NOT(AND(AO366=1,AN366&lt;&gt;1)),ISNUMBER(AG366),AG366&lt;=T366),AS366,0)=MAX(IF(AND(NOT(AND(AO366=1,AN366&lt;&gt;1)),ISNUMBER(AG366),AG366&lt;=T366),AS366,0),IF(AND(NOT(AND(AO366=1,AN366&lt;&gt;1)),ISNUMBER(AH366),AH366&lt;=T366),AT366,0),IF(AND(NOT(AND(AO366=1,AN366&lt;&gt;1)),ISNUMBER(AI366),AI366&lt;=T366),AU366,0),IF(AND(ISNUMBER(AJ366),AJ366&lt;=T366),AV366,0))),"SW",IF(AND(IF(AND(NOT(AND(AO366=1,AN366&lt;&gt;1)),ISNUMBER(AH366),AH366&lt;=T366),AT366,0)&gt;0,IF(AND(NOT(AND(AO366=1,AN366&lt;&gt;1)),ISNUMBER(AH366),AH366&lt;=T366),AT366,0)=MAX(IF(AND(NOT(AND(AO366=1,AN366&lt;&gt;1)),ISNUMBER(AG366),AG366&lt;=T366),AS366,0),IF(AND(NOT(AND(AO366=1,AN366&lt;&gt;1)),ISNUMBER(AH366),AH366&lt;=T366),AT366,0),IF(AND(NOT(AND(AO366=1,AN366&lt;&gt;1)),ISNUMBER(AI366),AI366&lt;=T366),AU366,0),IF(AND(ISNUMBER(AJ366),AJ366&lt;=T366),AV366,0))),"AB",IF(AND(IF(AND(NOT(AND(AO366=1,AN366&lt;&gt;1)),ISNUMBER(AI366),AI366&lt;=T366),AU366,0)&gt;0,IF(AND(NOT(AND(AO366=1,AN366&lt;&gt;1)),ISNUMBER(AI366),AI366&lt;=T366),AU366,0)=MAX(IF(AND(NOT(AND(AO366=1,AN366&lt;&gt;1)),ISNUMBER(AG366),AG366&lt;=T366),AS366,0),IF(AND(NOT(AND(AO366=1,AN366&lt;&gt;1)),ISNUMBER(AH366),AH366&lt;=T366),AT366,0),IF(AND(NOT(AND(AO366=1,AN366&lt;&gt;1)),ISNUMBER(AI366),AI366&lt;=T366),AU366,0),IF(AND(ISNUMBER(AJ366),AJ366&lt;=T366),AV366,0))),"SC","Mag")))))))</f>
        <v/>
      </c>
    </row>
    <row r="367" customFormat="false" ht="15" hidden="false" customHeight="false" outlineLevel="0" collapsed="false">
      <c r="A367" s="26" t="n">
        <v>362</v>
      </c>
      <c r="B367" s="27" t="n">
        <f aca="false">A367*10/60</f>
        <v>60.3333333333333</v>
      </c>
      <c r="C367" s="21" t="n">
        <f aca="false">X366</f>
        <v>18.6730249835055</v>
      </c>
      <c r="D367" s="27" t="n">
        <f aca="false">D366+W366</f>
        <v>0</v>
      </c>
      <c r="E367" s="26" t="n">
        <f aca="false">E366+IF(U366="SW",1,0)</f>
        <v>12</v>
      </c>
      <c r="F367" s="26" t="n">
        <f aca="false">F366+IF(U366="AB",1,0)</f>
        <v>10</v>
      </c>
      <c r="G367" s="26" t="n">
        <f aca="false">G366+IF(U366="SC",1,0)</f>
        <v>7</v>
      </c>
      <c r="H367" s="26" t="n">
        <f aca="false">H366+IF(U366="Mag",1,0)</f>
        <v>5</v>
      </c>
      <c r="I367" s="26" t="n">
        <f aca="false">MAX(I366,IF(U366="OR",1,0))</f>
        <v>1</v>
      </c>
      <c r="J367" s="26" t="n">
        <f aca="false">MAX(J366,IF(U366="HP",1,0))</f>
        <v>1</v>
      </c>
      <c r="K367" s="26" t="n">
        <f aca="false">MAX(K366,IF(U366="FP",1,0))</f>
        <v>1</v>
      </c>
      <c r="L367" s="26" t="n">
        <f aca="false">MAX(L366,IF(U366="transition",1,0))</f>
        <v>1</v>
      </c>
      <c r="M367" s="28" t="n">
        <f aca="false">(Parameters!$B$9+(IF(E367=0,0,(Upgrades!$J$6+E367*Upgrades!$K$6)*POWER(Upgrades!$L$6,E367)))*(IF(Upgrades!$T$7="Solar Wind",POWER(Upgrades!$U$7,F367),1)*IF(Upgrades!$T$8="Solar Wind",POWER(Upgrades!$U$8,G367),1)*IF(Upgrades!$T$9="Solar Wind",POWER(Upgrades!$U$9,H367),1)*IF(Upgrades!$T$10="Solar Wind",POWER(Upgrades!$U$10,I367),1)*IF(Upgrades!$T$11="Solar Wind",POWER(Upgrades!$U$11,J367),1)*IF(Upgrades!$T$12="Solar Wind",POWER(Upgrades!$U$12,K367),1))+(IF(F367=0,0,(Upgrades!$J$7+F367*Upgrades!$K$7)*POWER(Upgrades!$L$7,F367)))*(IF(Upgrades!$T$6="Asteroid Belt",POWER(Upgrades!$U$6,E367),1)*IF(Upgrades!$T$8="Asteroid Belt",POWER(Upgrades!$U$8,G367),1)*IF(Upgrades!$T$9="Asteroid Belt",POWER(Upgrades!$U$9,H367),1)*IF(Upgrades!$T$10="Asteroid Belt",POWER(Upgrades!$U$10,I367),1)*IF(Upgrades!$T$11="Asteroid Belt",POWER(Upgrades!$U$11,J367),1)*IF(Upgrades!$T$12="Asteroid Belt",POWER(Upgrades!$U$12,K367),1))+(IF(G367=0,0,(Upgrades!$J$8+G367*Upgrades!$K$8)*POWER(Upgrades!$L$8,G367)))*(IF(Upgrades!$T$6="Stellar Coupling",POWER(Upgrades!$U$6,E367),1)*IF(Upgrades!$T$7="Stellar Coupling",POWER(Upgrades!$U$7,F367),1)*IF(Upgrades!$T$9="Stellar Coupling",POWER(Upgrades!$U$9,H367),1)*IF(Upgrades!$T$10="Stellar Coupling",POWER(Upgrades!$U$10,I367),1)*IF(Upgrades!$T$11="Stellar Coupling",POWER(Upgrades!$U$11,J367),1)*IF(Upgrades!$T$12="Stellar Coupling",POWER(Upgrades!$U$12,K367),1))+(IF(H367=0,0,(Upgrades!$J$9+H367*Upgrades!$K$9)*POWER(Upgrades!$L$9,H367)))*(IF(Upgrades!$T$6="Magnetosphere",POWER(Upgrades!$U$6,E367),1)*IF(Upgrades!$T$7="Magnetosphere",POWER(Upgrades!$U$7,F367),1)*IF(Upgrades!$T$8="Magnetosphere",POWER(Upgrades!$U$8,G367),1)*IF(Upgrades!$T$10="Magnetosphere",POWER(Upgrades!$U$10,I367),1)*IF(Upgrades!$T$11="Magnetosphere",POWER(Upgrades!$U$11,J367),1)*IF(Upgrades!$T$12="Magnetosphere",POWER(Upgrades!$U$12,K367),1))+(IF(I367=0,0,(Upgrades!$J$10+I367*Upgrades!$K$10)*POWER(Upgrades!$L$10,I367)))*(IF(Upgrades!$T$6="Orbital Resonance",POWER(Upgrades!$U$6,E367),1)*IF(Upgrades!$T$7="Orbital Resonance",POWER(Upgrades!$U$7,F367),1)*IF(Upgrades!$T$8="Orbital Resonance",POWER(Upgrades!$U$8,G367),1)*IF(Upgrades!$T$9="Orbital Resonance",POWER(Upgrades!$U$9,H367),1)*IF(Upgrades!$T$11="Orbital Resonance",POWER(Upgrades!$U$11,J367),1)*IF(Upgrades!$T$12="Orbital Resonance",POWER(Upgrades!$U$12,K367),1))+(IF(J367=0,0,(Upgrades!$J$11+J367*Upgrades!$K$11)*POWER(Upgrades!$L$11,J367)))*(IF(Upgrades!$T$6="Heliopause",POWER(Upgrades!$U$6,E367),1)*IF(Upgrades!$T$7="Heliopause",POWER(Upgrades!$U$7,F367),1)*IF(Upgrades!$T$8="Heliopause",POWER(Upgrades!$U$8,G367),1)*IF(Upgrades!$T$9="Heliopause",POWER(Upgrades!$U$9,H367),1)*IF(Upgrades!$T$10="Heliopause",POWER(Upgrades!$U$10,I367),1)*IF(Upgrades!$T$12="Heliopause",POWER(Upgrades!$U$12,K367),1))+(IF(K367=0,0,(Upgrades!$J$12+K367*Upgrades!$K$12)*POWER(Upgrades!$L$12,K367)))*(IF(Upgrades!$T$6="First Photons",POWER(Upgrades!$U$6,E367),1)*IF(Upgrades!$T$7="First Photons",POWER(Upgrades!$U$7,F367),1)*IF(Upgrades!$T$8="First Photons",POWER(Upgrades!$U$8,G367),1)*IF(Upgrades!$T$9="First Photons",POWER(Upgrades!$U$9,H367),1)*IF(Upgrades!$T$10="First Photons",POWER(Upgrades!$U$10,I367),1)*IF(Upgrades!$T$11="First Photons",POWER(Upgrades!$U$11,J367),1)))*POWER(Upgrades!$Q$6,E367)*POWER(Upgrades!$Q$7,F367)*POWER(Upgrades!$Q$8,G367)*POWER(Upgrades!$Q$9,H367)*POWER(Upgrades!$Q$10,I367)*POWER(Upgrades!$Q$11,J367)*POWER(Upgrades!$Q$12,K367)</f>
        <v>5.61</v>
      </c>
      <c r="N367" s="28" t="n">
        <f aca="false">((IF(E367=0,0,(Upgrades!$G$6+E367*Upgrades!$H$6)*POWER(Upgrades!$I$6,E367)))*(IF(Upgrades!$T$7="Solar Wind",POWER(Upgrades!$U$7,F367),1)*IF(Upgrades!$T$8="Solar Wind",POWER(Upgrades!$U$8,G367),1)*IF(Upgrades!$T$9="Solar Wind",POWER(Upgrades!$U$9,H367),1)*IF(Upgrades!$T$10="Solar Wind",POWER(Upgrades!$U$10,I367),1)*IF(Upgrades!$T$11="Solar Wind",POWER(Upgrades!$U$11,J367),1)*IF(Upgrades!$T$12="Solar Wind",POWER(Upgrades!$U$12,K367),1))+(IF(F367=0,0,(Upgrades!$G$7+F367*Upgrades!$H$7)*POWER(Upgrades!$I$7,F367)))*(IF(Upgrades!$T$6="Asteroid Belt",POWER(Upgrades!$U$6,E367),1)*IF(Upgrades!$T$8="Asteroid Belt",POWER(Upgrades!$U$8,G367),1)*IF(Upgrades!$T$9="Asteroid Belt",POWER(Upgrades!$U$9,H367),1)*IF(Upgrades!$T$10="Asteroid Belt",POWER(Upgrades!$U$10,I367),1)*IF(Upgrades!$T$11="Asteroid Belt",POWER(Upgrades!$U$11,J367),1)*IF(Upgrades!$T$12="Asteroid Belt",POWER(Upgrades!$U$12,K367),1))+(IF(G367=0,0,(Upgrades!$G$8+G367*Upgrades!$H$8)*POWER(Upgrades!$I$8,G367)))*(IF(Upgrades!$T$6="Stellar Coupling",POWER(Upgrades!$U$6,E367),1)*IF(Upgrades!$T$7="Stellar Coupling",POWER(Upgrades!$U$7,F367),1)*IF(Upgrades!$T$9="Stellar Coupling",POWER(Upgrades!$U$9,H367),1)*IF(Upgrades!$T$10="Stellar Coupling",POWER(Upgrades!$U$10,I367),1)*IF(Upgrades!$T$11="Stellar Coupling",POWER(Upgrades!$U$11,J367),1)*IF(Upgrades!$T$12="Stellar Coupling",POWER(Upgrades!$U$12,K367),1))+(IF(H367=0,0,(Upgrades!$G$9+H367*Upgrades!$H$9)*POWER(Upgrades!$I$9,H367)))*(IF(Upgrades!$T$6="Magnetosphere",POWER(Upgrades!$U$6,E367),1)*IF(Upgrades!$T$7="Magnetosphere",POWER(Upgrades!$U$7,F367),1)*IF(Upgrades!$T$8="Magnetosphere",POWER(Upgrades!$U$8,G367),1)*IF(Upgrades!$T$10="Magnetosphere",POWER(Upgrades!$U$10,I367),1)*IF(Upgrades!$T$11="Magnetosphere",POWER(Upgrades!$U$11,J367),1)*IF(Upgrades!$T$12="Magnetosphere",POWER(Upgrades!$U$12,K367),1))+(IF(I367=0,0,(Upgrades!$G$10+I367*Upgrades!$H$10)*POWER(Upgrades!$I$10,I367)))*(IF(Upgrades!$T$6="Orbital Resonance",POWER(Upgrades!$U$6,E367),1)*IF(Upgrades!$T$7="Orbital Resonance",POWER(Upgrades!$U$7,F367),1)*IF(Upgrades!$T$8="Orbital Resonance",POWER(Upgrades!$U$8,G367),1)*IF(Upgrades!$T$9="Orbital Resonance",POWER(Upgrades!$U$9,H367),1)*IF(Upgrades!$T$11="Orbital Resonance",POWER(Upgrades!$U$11,J367),1)*IF(Upgrades!$T$12="Orbital Resonance",POWER(Upgrades!$U$12,K367),1))+(IF(J367=0,0,(Upgrades!$G$11+J367*Upgrades!$H$11)*POWER(Upgrades!$I$11,J367)))*(IF(Upgrades!$T$6="Heliopause",POWER(Upgrades!$U$6,E367),1)*IF(Upgrades!$T$7="Heliopause",POWER(Upgrades!$U$7,F367),1)*IF(Upgrades!$T$8="Heliopause",POWER(Upgrades!$U$8,G367),1)*IF(Upgrades!$T$9="Heliopause",POWER(Upgrades!$U$9,H367),1)*IF(Upgrades!$T$10="Heliopause",POWER(Upgrades!$U$10,I367),1)*IF(Upgrades!$T$12="Heliopause",POWER(Upgrades!$U$12,K367),1))+(IF(K367=0,0,(Upgrades!$G$12+K367*Upgrades!$H$12)*POWER(Upgrades!$I$12,K367)))*(IF(Upgrades!$T$6="First Photons",POWER(Upgrades!$U$6,E367),1)*IF(Upgrades!$T$7="First Photons",POWER(Upgrades!$U$7,F367),1)*IF(Upgrades!$T$8="First Photons",POWER(Upgrades!$U$8,G367),1)*IF(Upgrades!$T$9="First Photons",POWER(Upgrades!$U$9,H367),1)*IF(Upgrades!$T$10="First Photons",POWER(Upgrades!$U$10,I367),1)*IF(Upgrades!$T$11="First Photons",POWER(Upgrades!$U$11,J367),1)))*POWER(Upgrades!$P$6,E367)*POWER(Upgrades!$P$7,F367)*POWER(Upgrades!$P$8,G367)*POWER(Upgrades!$P$9,H367)*POWER(Upgrades!$P$10,I367)*POWER(Upgrades!$P$11,J367)*POWER(Upgrades!$P$12,K367)</f>
        <v>11.2</v>
      </c>
      <c r="O367" s="28" t="n">
        <f aca="false">((IF(E367=0,0,(Upgrades!$M$6+E367*Upgrades!$N$6)*POWER(Upgrades!$O$6,E367)))*(IF(Upgrades!$T$7="Solar Wind",POWER(Upgrades!$U$7,F367),1)*IF(Upgrades!$T$8="Solar Wind",POWER(Upgrades!$U$8,G367),1)*IF(Upgrades!$T$9="Solar Wind",POWER(Upgrades!$U$9,H367),1)*IF(Upgrades!$T$10="Solar Wind",POWER(Upgrades!$U$10,I367),1)*IF(Upgrades!$T$11="Solar Wind",POWER(Upgrades!$U$11,J367),1)*IF(Upgrades!$T$12="Solar Wind",POWER(Upgrades!$U$12,K367),1))+(IF(F367=0,0,(Upgrades!$M$7+F367*Upgrades!$N$7)*POWER(Upgrades!$O$7,F367)))*(IF(Upgrades!$T$6="Asteroid Belt",POWER(Upgrades!$U$6,E367),1)*IF(Upgrades!$T$8="Asteroid Belt",POWER(Upgrades!$U$8,G367),1)*IF(Upgrades!$T$9="Asteroid Belt",POWER(Upgrades!$U$9,H367),1)*IF(Upgrades!$T$10="Asteroid Belt",POWER(Upgrades!$U$10,I367),1)*IF(Upgrades!$T$11="Asteroid Belt",POWER(Upgrades!$U$11,J367),1)*IF(Upgrades!$T$12="Asteroid Belt",POWER(Upgrades!$U$12,K367),1))+(IF(G367=0,0,(Upgrades!$M$8+G367*Upgrades!$N$8)*POWER(Upgrades!$O$8,G367)))*(IF(Upgrades!$T$6="Stellar Coupling",POWER(Upgrades!$U$6,E367),1)*IF(Upgrades!$T$7="Stellar Coupling",POWER(Upgrades!$U$7,F367),1)*IF(Upgrades!$T$9="Stellar Coupling",POWER(Upgrades!$U$9,H367),1)*IF(Upgrades!$T$10="Stellar Coupling",POWER(Upgrades!$U$10,I367),1)*IF(Upgrades!$T$11="Stellar Coupling",POWER(Upgrades!$U$11,J367),1)*IF(Upgrades!$T$12="Stellar Coupling",POWER(Upgrades!$U$12,K367),1))+(IF(H367=0,0,(Upgrades!$M$9+H367*Upgrades!$N$9)*POWER(Upgrades!$O$9,H367)))*(IF(Upgrades!$T$6="Magnetosphere",POWER(Upgrades!$U$6,E367),1)*IF(Upgrades!$T$7="Magnetosphere",POWER(Upgrades!$U$7,F367),1)*IF(Upgrades!$T$8="Magnetosphere",POWER(Upgrades!$U$8,G367),1)*IF(Upgrades!$T$10="Magnetosphere",POWER(Upgrades!$U$10,I367),1)*IF(Upgrades!$T$11="Magnetosphere",POWER(Upgrades!$U$11,J367),1)*IF(Upgrades!$T$12="Magnetosphere",POWER(Upgrades!$U$12,K367),1))+(IF(I367=0,0,(Upgrades!$M$10+I367*Upgrades!$N$10)*POWER(Upgrades!$O$10,I367)))*(IF(Upgrades!$T$6="Orbital Resonance",POWER(Upgrades!$U$6,E367),1)*IF(Upgrades!$T$7="Orbital Resonance",POWER(Upgrades!$U$7,F367),1)*IF(Upgrades!$T$8="Orbital Resonance",POWER(Upgrades!$U$8,G367),1)*IF(Upgrades!$T$9="Orbital Resonance",POWER(Upgrades!$U$9,H367),1)*IF(Upgrades!$T$11="Orbital Resonance",POWER(Upgrades!$U$11,J367),1)*IF(Upgrades!$T$12="Orbital Resonance",POWER(Upgrades!$U$12,K367),1))+(IF(J367=0,0,(Upgrades!$M$11+J367*Upgrades!$N$11)*POWER(Upgrades!$O$11,J367)))*(IF(Upgrades!$T$6="Heliopause",POWER(Upgrades!$U$6,E367),1)*IF(Upgrades!$T$7="Heliopause",POWER(Upgrades!$U$7,F367),1)*IF(Upgrades!$T$8="Heliopause",POWER(Upgrades!$U$8,G367),1)*IF(Upgrades!$T$9="Heliopause",POWER(Upgrades!$U$9,H367),1)*IF(Upgrades!$T$10="Heliopause",POWER(Upgrades!$U$10,I367),1)*IF(Upgrades!$T$12="Heliopause",POWER(Upgrades!$U$12,K367),1))+(IF(K367=0,0,(Upgrades!$M$12+K367*Upgrades!$N$12)*POWER(Upgrades!$O$12,K367)))*(IF(Upgrades!$T$6="First Photons",POWER(Upgrades!$U$6,E367),1)*IF(Upgrades!$T$7="First Photons",POWER(Upgrades!$U$7,F367),1)*IF(Upgrades!$T$8="First Photons",POWER(Upgrades!$U$8,G367),1)*IF(Upgrades!$T$9="First Photons",POWER(Upgrades!$U$9,H367),1)*IF(Upgrades!$T$10="First Photons",POWER(Upgrades!$U$10,I367),1)*IF(Upgrades!$T$11="First Photons",POWER(Upgrades!$U$11,J367),1)))*POWER(Upgrades!$R$6,E367)*POWER(Upgrades!$R$7,F367)*POWER(Upgrades!$R$8,G367)*POWER(Upgrades!$R$9,H367)*POWER(Upgrades!$R$10,I367)*POWER(Upgrades!$R$11,J367)*POWER(Upgrades!$R$12,K367)</f>
        <v>0</v>
      </c>
      <c r="P367" s="27" t="n">
        <f aca="false">IF(L367=1,0,M367*Parameters!$B$10/60*Parameters!$B$11*10)</f>
        <v>0</v>
      </c>
      <c r="Q367" s="27" t="n">
        <f aca="false">IF(L367=1,0,O367*M367*10)</f>
        <v>0</v>
      </c>
      <c r="R367" s="27" t="n">
        <f aca="false">IF(L367=1,0,N367*10)</f>
        <v>0</v>
      </c>
      <c r="S367" s="27" t="n">
        <f aca="false">P367+Q367+R367</f>
        <v>0</v>
      </c>
      <c r="T367" s="21" t="n">
        <f aca="false">C367+S367</f>
        <v>18.6730249835055</v>
      </c>
      <c r="U367" s="34" t="str">
        <f aca="false">AX367</f>
        <v/>
      </c>
      <c r="V367" s="21" t="n">
        <f aca="false">IF(U367="",0,IF(U367="transition",0,IF(U367="SW",AG367,IF(U367="AB",AH367,IF(U367="SC",AI367,IF(U367="Mag",AJ367,IF(U367="OR",AK367,IF(U367="HP",AL367,IF(U367="FP",AM367,0)))))))))</f>
        <v>0</v>
      </c>
      <c r="W367" s="27" t="n">
        <f aca="false">IF(U367="OR",Upgrades!$F$10,IF(U367="HP",Upgrades!$F$11,IF(U367="transition",-Parameters!$B$18,0)))</f>
        <v>0</v>
      </c>
      <c r="X367" s="21" t="n">
        <f aca="false">T367-V367</f>
        <v>18.6730249835055</v>
      </c>
      <c r="Y367" s="30" t="n">
        <f aca="false">M367*Parameters!$B$10/60*Parameters!$B$11+O367*M367+N367</f>
        <v>20.55</v>
      </c>
      <c r="Z367" s="35" t="str">
        <f aca="false">IF(U367="transition","→ Tier 2 (Stellar Neighborhood)",IF(U367="FP","First Photons — light begins, system quickens",IF(U367="HP","Heliopause acquired",IF(U367="OR","Orbital Resonance — passive multiplier active",IF(AND(AO367=1,L367=0,AN367&lt;&gt;1),"Cohesion ready (waiting on completionist upgrades)","")))))</f>
        <v/>
      </c>
      <c r="AA367" s="27" t="n">
        <f aca="false">(IF(E367=0,0,(Upgrades!$G$6+E367*Upgrades!$H$6)*POWER(Upgrades!$I$6,E367)))*(IF(Upgrades!$T$7="Solar Wind",POWER(Upgrades!$U$7,F367),1)*IF(Upgrades!$T$8="Solar Wind",POWER(Upgrades!$U$8,G367),1)*IF(Upgrades!$T$9="Solar Wind",POWER(Upgrades!$U$9,H367),1)*IF(Upgrades!$T$10="Solar Wind",POWER(Upgrades!$U$10,I367),1)*IF(Upgrades!$T$11="Solar Wind",POWER(Upgrades!$U$11,J367),1)*IF(Upgrades!$T$12="Solar Wind",POWER(Upgrades!$U$12,K367),1))*POWER(Upgrades!$P$6,E367)*POWER(Upgrades!$P$7,F367)*POWER(Upgrades!$P$8,G367)*POWER(Upgrades!$P$9,H367)*POWER(Upgrades!$P$10,I367)*POWER(Upgrades!$P$11,J367)*POWER(Upgrades!$P$12,K367)*60</f>
        <v>72</v>
      </c>
      <c r="AB367" s="27" t="n">
        <f aca="false">(IF(F367=0,0,(Upgrades!$G$7+F367*Upgrades!$H$7)*POWER(Upgrades!$I$7,F367)))*(IF(Upgrades!$T$6="Asteroid Belt",POWER(Upgrades!$U$6,E367),1)*IF(Upgrades!$T$8="Asteroid Belt",POWER(Upgrades!$U$8,G367),1)*IF(Upgrades!$T$9="Asteroid Belt",POWER(Upgrades!$U$9,H367),1)*IF(Upgrades!$T$10="Asteroid Belt",POWER(Upgrades!$U$10,I367),1)*IF(Upgrades!$T$11="Asteroid Belt",POWER(Upgrades!$U$11,J367),1)*IF(Upgrades!$T$12="Asteroid Belt",POWER(Upgrades!$U$12,K367),1))*POWER(Upgrades!$P$6,E367)*POWER(Upgrades!$P$7,F367)*POWER(Upgrades!$P$8,G367)*POWER(Upgrades!$P$9,H367)*POWER(Upgrades!$P$10,I367)*POWER(Upgrades!$P$11,J367)*POWER(Upgrades!$P$12,K367)*60</f>
        <v>150</v>
      </c>
      <c r="AC367" s="27" t="n">
        <f aca="false">(IF(G367=0,0,(Upgrades!$J$8+G367*Upgrades!$K$8)*POWER(Upgrades!$L$8,G367)))*(IF(Upgrades!$T$6="Stellar Coupling",POWER(Upgrades!$U$6,E367),1)*IF(Upgrades!$T$7="Stellar Coupling",POWER(Upgrades!$U$7,F367),1)*IF(Upgrades!$T$9="Stellar Coupling",POWER(Upgrades!$U$9,H367),1)*IF(Upgrades!$T$10="Stellar Coupling",POWER(Upgrades!$U$10,I367),1)*IF(Upgrades!$T$11="Stellar Coupling",POWER(Upgrades!$U$11,J367),1)*IF(Upgrades!$T$12="Stellar Coupling",POWER(Upgrades!$U$12,K367),1))*POWER(Upgrades!$Q$6,E367)*POWER(Upgrades!$Q$7,F367)*POWER(Upgrades!$Q$8,G367)*POWER(Upgrades!$Q$9,H367)*POWER(Upgrades!$Q$10,I367)*POWER(Upgrades!$Q$11,J367)*POWER(Upgrades!$Q$12,K367)*Parameters!$B$10*Parameters!$B$11</f>
        <v>441</v>
      </c>
      <c r="AD367" s="27" t="n">
        <f aca="false">(IF(H367=0,0,(Upgrades!$G$9+H367*Upgrades!$H$9)*POWER(Upgrades!$I$9,H367)))*(IF(Upgrades!$T$6="Magnetosphere",POWER(Upgrades!$U$6,E367),1)*IF(Upgrades!$T$7="Magnetosphere",POWER(Upgrades!$U$7,F367),1)*IF(Upgrades!$T$8="Magnetosphere",POWER(Upgrades!$U$8,G367),1)*IF(Upgrades!$T$10="Magnetosphere",POWER(Upgrades!$U$10,I367),1)*IF(Upgrades!$T$11="Magnetosphere",POWER(Upgrades!$U$11,J367),1)*IF(Upgrades!$T$12="Magnetosphere",POWER(Upgrades!$U$12,K367),1))*POWER(Upgrades!$P$6,E367)*POWER(Upgrades!$P$7,F367)*POWER(Upgrades!$P$8,G367)*POWER(Upgrades!$P$9,H367)*POWER(Upgrades!$P$10,I367)*POWER(Upgrades!$P$11,J367)*POWER(Upgrades!$P$12,K367)*60</f>
        <v>375</v>
      </c>
      <c r="AE367" s="27" t="n">
        <f aca="false">(IF(K367=0,0,(Upgrades!$G$12+K367*Upgrades!$H$12)*POWER(Upgrades!$I$12,K367)))*(IF(Upgrades!$T$6="First Photons",POWER(Upgrades!$U$6,E367),1)*IF(Upgrades!$T$7="First Photons",POWER(Upgrades!$U$7,F367),1)*IF(Upgrades!$T$8="First Photons",POWER(Upgrades!$U$8,G367),1)*IF(Upgrades!$T$9="First Photons",POWER(Upgrades!$U$9,H367),1)*IF(Upgrades!$T$10="First Photons",POWER(Upgrades!$U$10,I367),1)*IF(Upgrades!$T$11="First Photons",POWER(Upgrades!$U$11,J367),1))*POWER(Upgrades!$P$6,E367)*POWER(Upgrades!$P$7,F367)*POWER(Upgrades!$P$8,G367)*POWER(Upgrades!$P$9,H367)*POWER(Upgrades!$P$10,I367)*POWER(Upgrades!$P$11,J367)*POWER(Upgrades!$P$12,K367)*60</f>
        <v>75</v>
      </c>
      <c r="AF367" s="27" t="n">
        <f aca="false">Parameters!$B$9*POWER(Upgrades!$Q$6,E367)*POWER(Upgrades!$Q$7,F367)*POWER(Upgrades!$Q$8,G367)*POWER(Upgrades!$Q$9,H367)*POWER(Upgrades!$Q$10,I367)*POWER(Upgrades!$Q$11,J367)*POWER(Upgrades!$Q$12,K367)*(Parameters!$B$10*Parameters!$B$11+O367*60)</f>
        <v>120</v>
      </c>
      <c r="AG367" s="21" t="n">
        <f aca="false">IF(E367&gt;=Upgrades!$E$6,"",Upgrades!$C$6*POWER(Upgrades!$D$6,E367))</f>
        <v>37.4517507383159</v>
      </c>
      <c r="AH367" s="21" t="n">
        <f aca="false">IF(F367&gt;=Upgrades!$E$7,"",Upgrades!$C$7*POWER(Upgrades!$D$7,F367))</f>
        <v>80.9111547141581</v>
      </c>
      <c r="AI367" s="21" t="n">
        <f aca="false">IF(G367&gt;=Upgrades!$E$8,"",Upgrades!$C$8*POWER(Upgrades!$D$8,G367))</f>
        <v>231.9097088</v>
      </c>
      <c r="AJ367" s="21" t="str">
        <f aca="false">IF(H367&gt;=Upgrades!$E$9,"",Upgrades!$C$9*POWER(Upgrades!$D$9,H367))</f>
        <v/>
      </c>
      <c r="AK367" s="21" t="str">
        <f aca="false">IF(I367&gt;=Upgrades!$E$10,"",Upgrades!$C$10*POWER(Upgrades!$D$10,I367))</f>
        <v/>
      </c>
      <c r="AL367" s="21" t="str">
        <f aca="false">IF(J367&gt;=Upgrades!$E$11,"",Upgrades!$C$11*POWER(Upgrades!$D$11,J367))</f>
        <v/>
      </c>
      <c r="AM367" s="21" t="str">
        <f aca="false">IF(K367&gt;=Upgrades!$E$12,"",Upgrades!$C$12*POWER(Upgrades!$D$12,K367))</f>
        <v/>
      </c>
      <c r="AN367" s="26" t="str">
        <f aca="false">IF(AND(D367&gt;=Parameters!$B$18,(H367&gt;=Upgrades!$E$9)*(K367&gt;=Upgrades!$E$12)=1,L367=0),1,"")</f>
        <v/>
      </c>
      <c r="AO367" s="26" t="str">
        <f aca="false">IF(AND(D367&gt;=Parameters!$B$18,L367=0),1,"")</f>
        <v/>
      </c>
      <c r="AP367" s="21" t="n">
        <f aca="false">MIN(IF(ISNUMBER(AK367),AK367,9000000000000000),IF(ISNUMBER(AL367),AL367,9000000000000000),IF(ISNUMBER(AM367),AM367,9000000000000000))</f>
        <v>9000000000000000</v>
      </c>
      <c r="AQ367" s="21" t="n">
        <f aca="false">MIN(IF(ISNUMBER(AG367),AG367,9000000000000000),IF(ISNUMBER(AH367),AH367,9000000000000000),IF(ISNUMBER(AI367),AI367,9000000000000000),IF(ISNUMBER(AJ367),AJ367,9000000000000000))</f>
        <v>37.4517507383159</v>
      </c>
      <c r="AR367" s="32" t="b">
        <f aca="false">IF(AW367&gt;Parameters!$B$21*(MAX(IF(AND(NOT(AND(AO367=1,AN367&lt;&gt;1)),ISNUMBER(AG367),AG367&lt;=T367),AS367,0),IF(AND(NOT(AND(AO367=1,AN367&lt;&gt;1)),ISNUMBER(AH367),AH367&lt;=T367),AT367,0),IF(AND(NOT(AND(AO367=1,AN367&lt;&gt;1)),ISNUMBER(AI367),AI367&lt;=T367),AU367,0),IF(AND(ISNUMBER(AJ367),AJ367&lt;=T367),AV367,0))),TRUE(),FALSE())</f>
        <v>1</v>
      </c>
      <c r="AS367" s="33" t="n">
        <f aca="false">IFERROR(Upgrades!$H$6*(POWER(Upgrades!$P$6,E367)*POWER(Upgrades!$P$7,F367)*POWER(Upgrades!$P$8,G367)*POWER(Upgrades!$P$9,H367)*POWER(Upgrades!$P$10,I367)*POWER(Upgrades!$P$11,J367)*POWER(Upgrades!$P$12,K367))*(IF(Upgrades!$T$7="Solar Wind",POWER(Upgrades!$U$7,F367),1)*IF(Upgrades!$T$8="Solar Wind",POWER(Upgrades!$U$8,G367),1)*IF(Upgrades!$T$9="Solar Wind",POWER(Upgrades!$U$9,H367),1)*IF(Upgrades!$T$10="Solar Wind",POWER(Upgrades!$U$10,I367),1)*IF(Upgrades!$T$11="Solar Wind",POWER(Upgrades!$U$11,J367),1)*IF(Upgrades!$T$12="Solar Wind",POWER(Upgrades!$U$12,K367),1))/AG367,0)</f>
        <v>0.0026701021455238</v>
      </c>
      <c r="AT367" s="33" t="n">
        <f aca="false">IFERROR(Upgrades!$H$7*(POWER(Upgrades!$P$6,E367)*POWER(Upgrades!$P$7,F367)*POWER(Upgrades!$P$8,G367)*POWER(Upgrades!$P$9,H367)*POWER(Upgrades!$P$10,I367)*POWER(Upgrades!$P$11,J367)*POWER(Upgrades!$P$12,K367))*(IF(Upgrades!$T$6="Asteroid Belt",POWER(Upgrades!$U$6,E367),1)*IF(Upgrades!$T$8="Asteroid Belt",POWER(Upgrades!$U$8,G367),1)*IF(Upgrades!$T$9="Asteroid Belt",POWER(Upgrades!$U$9,H367),1)*IF(Upgrades!$T$10="Asteroid Belt",POWER(Upgrades!$U$10,I367),1)*IF(Upgrades!$T$11="Asteroid Belt",POWER(Upgrades!$U$11,J367),1)*IF(Upgrades!$T$12="Asteroid Belt",POWER(Upgrades!$U$12,K367),1))/AH367,0)</f>
        <v>0.00308980882652332</v>
      </c>
      <c r="AU367" s="33" t="n">
        <f aca="false">IFERROR(Upgrades!$K$8*(POWER(Upgrades!$Q$6,E367)*POWER(Upgrades!$Q$7,F367)*POWER(Upgrades!$Q$8,G367)*POWER(Upgrades!$Q$9,H367)*POWER(Upgrades!$Q$10,I367)*POWER(Upgrades!$Q$11,J367)*POWER(Upgrades!$Q$12,K367))*(IF(Upgrades!$T$6="Stellar Coupling",POWER(Upgrades!$U$6,E367),1)*IF(Upgrades!$T$7="Stellar Coupling",POWER(Upgrades!$U$7,F367),1)*IF(Upgrades!$T$9="Stellar Coupling",POWER(Upgrades!$U$9,H367),1)*IF(Upgrades!$T$10="Stellar Coupling",POWER(Upgrades!$U$10,I367),1)*IF(Upgrades!$T$11="Stellar Coupling",POWER(Upgrades!$U$11,J367),1)*IF(Upgrades!$T$12="Stellar Coupling",POWER(Upgrades!$U$12,K367),1))*Parameters!$B$10*Parameters!$B$11/60/AI367,0)</f>
        <v>0.00452762415783776</v>
      </c>
      <c r="AV367" s="33" t="n">
        <f aca="false">IFERROR(Upgrades!$H$9*(POWER(Upgrades!$P$6,E367)*POWER(Upgrades!$P$7,F367)*POWER(Upgrades!$P$8,G367)*POWER(Upgrades!$P$9,H367)*POWER(Upgrades!$P$10,I367)*POWER(Upgrades!$P$11,J367)*POWER(Upgrades!$P$12,K367))*(IF(Upgrades!$T$6="Magnetosphere",POWER(Upgrades!$U$6,E367),1)*IF(Upgrades!$T$7="Magnetosphere",POWER(Upgrades!$U$7,F367),1)*IF(Upgrades!$T$8="Magnetosphere",POWER(Upgrades!$U$8,G367),1)*IF(Upgrades!$T$10="Magnetosphere",POWER(Upgrades!$U$10,I367),1)*IF(Upgrades!$T$11="Magnetosphere",POWER(Upgrades!$U$11,J367),1)*IF(Upgrades!$T$12="Magnetosphere",POWER(Upgrades!$U$12,K367),1))/AJ367,0)</f>
        <v>0</v>
      </c>
      <c r="AW367" s="33" t="n">
        <f aca="false">MAX(IF(I367&gt;0,0,IFERROR(0.25*N367/Upgrades!$C$10,0)),IF(J367&gt;0,0,IFERROR(0.5*((IF(G367=0,0,(Upgrades!$J$8+G367*Upgrades!$K$8)*POWER(Upgrades!$L$8,G367)))*(IF(Upgrades!$T$6="Stellar Coupling",POWER(Upgrades!$U$6,E367),1)*IF(Upgrades!$T$7="Stellar Coupling",POWER(Upgrades!$U$7,F367),1)*IF(Upgrades!$T$9="Stellar Coupling",POWER(Upgrades!$U$9,H367),1)*IF(Upgrades!$T$10="Stellar Coupling",POWER(Upgrades!$U$10,I367),1)*IF(Upgrades!$T$11="Stellar Coupling",POWER(Upgrades!$U$11,J367),1)*IF(Upgrades!$T$12="Stellar Coupling",POWER(Upgrades!$U$12,K367),1))*(POWER(Upgrades!$Q$6,E367)*POWER(Upgrades!$Q$7,F367)*POWER(Upgrades!$Q$8,G367)*POWER(Upgrades!$Q$9,H367)*POWER(Upgrades!$Q$10,I367)*POWER(Upgrades!$Q$11,J367)*POWER(Upgrades!$Q$12,K367))*Parameters!$B$10*Parameters!$B$11/60)/Upgrades!$C$11,0)),IF(K367&gt;0,0,IFERROR((1*(POWER(Upgrades!$P$6,E367)*POWER(Upgrades!$P$7,F367)*POWER(Upgrades!$P$8,G367)*POWER(Upgrades!$P$9,H367)*POWER(Upgrades!$P$10,I367)*POWER(Upgrades!$P$11,J367)*POWER(Upgrades!$P$12,K367))+0.2*M367*Parameters!$B$10*Parameters!$B$11/60)/Upgrades!$C$12,0)),IF(AND(ISNUMBER(AG367),AG367&gt;T367),AS367,0),IF(AND(ISNUMBER(AH367),AH367&gt;T367),AT367,0),IF(AND(ISNUMBER(AI367),AI367&gt;T367),AU367,0),IF(AND(ISNUMBER(AJ367),AJ367&gt;T367),AV367,0))</f>
        <v>0.00452762415783776</v>
      </c>
      <c r="AX367" s="29" t="str">
        <f aca="false">IF(AN367=1,"transition",IF(MIN(IF(AND(I367=0,ISNUMBER(AK367),AK367&lt;=T367),AK367,9000000000000000),IF(AND(J367=0,ISNUMBER(AL367),AL367&lt;=T367),AL367,9000000000000000),IF(AND(K367=0,ISNUMBER(AM367),AM367&lt;=T367),AM367,9000000000000000))&lt;9000000000000000,IF(AND(AND(I367=0,ISNUMBER(AK367),AK367&lt;=T367),AK367=MIN(IF(AND(I367=0,ISNUMBER(AK367),AK367&lt;=T367),AK367,9000000000000000),IF(AND(J367=0,ISNUMBER(AL367),AL367&lt;=T367),AL367,9000000000000000),IF(AND(K367=0,ISNUMBER(AM367),AM367&lt;=T367),AM367,9000000000000000))),"OR",IF(AND(AND(J367=0,ISNUMBER(AL367),AL367&lt;=T367),AL367=MIN(IF(AND(I367=0,ISNUMBER(AK367),AK367&lt;=T367),AK367,9000000000000000),IF(AND(J367=0,ISNUMBER(AL367),AL367&lt;=T367),AL367,9000000000000000),IF(AND(K367=0,ISNUMBER(AM367),AM367&lt;=T367),AM367,9000000000000000))),"HP","FP")),IF(AR367=TRUE(),"",IF(MAX(IF(AND(NOT(AND(AO367=1,AN367&lt;&gt;1)),ISNUMBER(AG367),AG367&lt;=T367),AS367,0),IF(AND(NOT(AND(AO367=1,AN367&lt;&gt;1)),ISNUMBER(AH367),AH367&lt;=T367),AT367,0),IF(AND(NOT(AND(AO367=1,AN367&lt;&gt;1)),ISNUMBER(AI367),AI367&lt;=T367),AU367,0),IF(AND(ISNUMBER(AJ367),AJ367&lt;=T367),AV367,0))&lt;=0,"",IF(AND(IF(AND(NOT(AND(AO367=1,AN367&lt;&gt;1)),ISNUMBER(AG367),AG367&lt;=T367),AS367,0)&gt;0,IF(AND(NOT(AND(AO367=1,AN367&lt;&gt;1)),ISNUMBER(AG367),AG367&lt;=T367),AS367,0)=MAX(IF(AND(NOT(AND(AO367=1,AN367&lt;&gt;1)),ISNUMBER(AG367),AG367&lt;=T367),AS367,0),IF(AND(NOT(AND(AO367=1,AN367&lt;&gt;1)),ISNUMBER(AH367),AH367&lt;=T367),AT367,0),IF(AND(NOT(AND(AO367=1,AN367&lt;&gt;1)),ISNUMBER(AI367),AI367&lt;=T367),AU367,0),IF(AND(ISNUMBER(AJ367),AJ367&lt;=T367),AV367,0))),"SW",IF(AND(IF(AND(NOT(AND(AO367=1,AN367&lt;&gt;1)),ISNUMBER(AH367),AH367&lt;=T367),AT367,0)&gt;0,IF(AND(NOT(AND(AO367=1,AN367&lt;&gt;1)),ISNUMBER(AH367),AH367&lt;=T367),AT367,0)=MAX(IF(AND(NOT(AND(AO367=1,AN367&lt;&gt;1)),ISNUMBER(AG367),AG367&lt;=T367),AS367,0),IF(AND(NOT(AND(AO367=1,AN367&lt;&gt;1)),ISNUMBER(AH367),AH367&lt;=T367),AT367,0),IF(AND(NOT(AND(AO367=1,AN367&lt;&gt;1)),ISNUMBER(AI367),AI367&lt;=T367),AU367,0),IF(AND(ISNUMBER(AJ367),AJ367&lt;=T367),AV367,0))),"AB",IF(AND(IF(AND(NOT(AND(AO367=1,AN367&lt;&gt;1)),ISNUMBER(AI367),AI367&lt;=T367),AU367,0)&gt;0,IF(AND(NOT(AND(AO367=1,AN367&lt;&gt;1)),ISNUMBER(AI367),AI367&lt;=T367),AU367,0)=MAX(IF(AND(NOT(AND(AO367=1,AN367&lt;&gt;1)),ISNUMBER(AG367),AG367&lt;=T367),AS367,0),IF(AND(NOT(AND(AO367=1,AN367&lt;&gt;1)),ISNUMBER(AH367),AH367&lt;=T367),AT367,0),IF(AND(NOT(AND(AO367=1,AN367&lt;&gt;1)),ISNUMBER(AI367),AI367&lt;=T367),AU367,0),IF(AND(ISNUMBER(AJ367),AJ367&lt;=T367),AV367,0))),"SC","Mag")))))))</f>
        <v/>
      </c>
    </row>
    <row r="368" customFormat="false" ht="15" hidden="false" customHeight="false" outlineLevel="0" collapsed="false">
      <c r="A368" s="26" t="n">
        <v>363</v>
      </c>
      <c r="B368" s="27" t="n">
        <f aca="false">A368*10/60</f>
        <v>60.5</v>
      </c>
      <c r="C368" s="21" t="n">
        <f aca="false">X367</f>
        <v>18.6730249835055</v>
      </c>
      <c r="D368" s="27" t="n">
        <f aca="false">D367+W367</f>
        <v>0</v>
      </c>
      <c r="E368" s="26" t="n">
        <f aca="false">E367+IF(U367="SW",1,0)</f>
        <v>12</v>
      </c>
      <c r="F368" s="26" t="n">
        <f aca="false">F367+IF(U367="AB",1,0)</f>
        <v>10</v>
      </c>
      <c r="G368" s="26" t="n">
        <f aca="false">G367+IF(U367="SC",1,0)</f>
        <v>7</v>
      </c>
      <c r="H368" s="26" t="n">
        <f aca="false">H367+IF(U367="Mag",1,0)</f>
        <v>5</v>
      </c>
      <c r="I368" s="26" t="n">
        <f aca="false">MAX(I367,IF(U367="OR",1,0))</f>
        <v>1</v>
      </c>
      <c r="J368" s="26" t="n">
        <f aca="false">MAX(J367,IF(U367="HP",1,0))</f>
        <v>1</v>
      </c>
      <c r="K368" s="26" t="n">
        <f aca="false">MAX(K367,IF(U367="FP",1,0))</f>
        <v>1</v>
      </c>
      <c r="L368" s="26" t="n">
        <f aca="false">MAX(L367,IF(U367="transition",1,0))</f>
        <v>1</v>
      </c>
      <c r="M368" s="28" t="n">
        <f aca="false">(Parameters!$B$9+(IF(E368=0,0,(Upgrades!$J$6+E368*Upgrades!$K$6)*POWER(Upgrades!$L$6,E368)))*(IF(Upgrades!$T$7="Solar Wind",POWER(Upgrades!$U$7,F368),1)*IF(Upgrades!$T$8="Solar Wind",POWER(Upgrades!$U$8,G368),1)*IF(Upgrades!$T$9="Solar Wind",POWER(Upgrades!$U$9,H368),1)*IF(Upgrades!$T$10="Solar Wind",POWER(Upgrades!$U$10,I368),1)*IF(Upgrades!$T$11="Solar Wind",POWER(Upgrades!$U$11,J368),1)*IF(Upgrades!$T$12="Solar Wind",POWER(Upgrades!$U$12,K368),1))+(IF(F368=0,0,(Upgrades!$J$7+F368*Upgrades!$K$7)*POWER(Upgrades!$L$7,F368)))*(IF(Upgrades!$T$6="Asteroid Belt",POWER(Upgrades!$U$6,E368),1)*IF(Upgrades!$T$8="Asteroid Belt",POWER(Upgrades!$U$8,G368),1)*IF(Upgrades!$T$9="Asteroid Belt",POWER(Upgrades!$U$9,H368),1)*IF(Upgrades!$T$10="Asteroid Belt",POWER(Upgrades!$U$10,I368),1)*IF(Upgrades!$T$11="Asteroid Belt",POWER(Upgrades!$U$11,J368),1)*IF(Upgrades!$T$12="Asteroid Belt",POWER(Upgrades!$U$12,K368),1))+(IF(G368=0,0,(Upgrades!$J$8+G368*Upgrades!$K$8)*POWER(Upgrades!$L$8,G368)))*(IF(Upgrades!$T$6="Stellar Coupling",POWER(Upgrades!$U$6,E368),1)*IF(Upgrades!$T$7="Stellar Coupling",POWER(Upgrades!$U$7,F368),1)*IF(Upgrades!$T$9="Stellar Coupling",POWER(Upgrades!$U$9,H368),1)*IF(Upgrades!$T$10="Stellar Coupling",POWER(Upgrades!$U$10,I368),1)*IF(Upgrades!$T$11="Stellar Coupling",POWER(Upgrades!$U$11,J368),1)*IF(Upgrades!$T$12="Stellar Coupling",POWER(Upgrades!$U$12,K368),1))+(IF(H368=0,0,(Upgrades!$J$9+H368*Upgrades!$K$9)*POWER(Upgrades!$L$9,H368)))*(IF(Upgrades!$T$6="Magnetosphere",POWER(Upgrades!$U$6,E368),1)*IF(Upgrades!$T$7="Magnetosphere",POWER(Upgrades!$U$7,F368),1)*IF(Upgrades!$T$8="Magnetosphere",POWER(Upgrades!$U$8,G368),1)*IF(Upgrades!$T$10="Magnetosphere",POWER(Upgrades!$U$10,I368),1)*IF(Upgrades!$T$11="Magnetosphere",POWER(Upgrades!$U$11,J368),1)*IF(Upgrades!$T$12="Magnetosphere",POWER(Upgrades!$U$12,K368),1))+(IF(I368=0,0,(Upgrades!$J$10+I368*Upgrades!$K$10)*POWER(Upgrades!$L$10,I368)))*(IF(Upgrades!$T$6="Orbital Resonance",POWER(Upgrades!$U$6,E368),1)*IF(Upgrades!$T$7="Orbital Resonance",POWER(Upgrades!$U$7,F368),1)*IF(Upgrades!$T$8="Orbital Resonance",POWER(Upgrades!$U$8,G368),1)*IF(Upgrades!$T$9="Orbital Resonance",POWER(Upgrades!$U$9,H368),1)*IF(Upgrades!$T$11="Orbital Resonance",POWER(Upgrades!$U$11,J368),1)*IF(Upgrades!$T$12="Orbital Resonance",POWER(Upgrades!$U$12,K368),1))+(IF(J368=0,0,(Upgrades!$J$11+J368*Upgrades!$K$11)*POWER(Upgrades!$L$11,J368)))*(IF(Upgrades!$T$6="Heliopause",POWER(Upgrades!$U$6,E368),1)*IF(Upgrades!$T$7="Heliopause",POWER(Upgrades!$U$7,F368),1)*IF(Upgrades!$T$8="Heliopause",POWER(Upgrades!$U$8,G368),1)*IF(Upgrades!$T$9="Heliopause",POWER(Upgrades!$U$9,H368),1)*IF(Upgrades!$T$10="Heliopause",POWER(Upgrades!$U$10,I368),1)*IF(Upgrades!$T$12="Heliopause",POWER(Upgrades!$U$12,K368),1))+(IF(K368=0,0,(Upgrades!$J$12+K368*Upgrades!$K$12)*POWER(Upgrades!$L$12,K368)))*(IF(Upgrades!$T$6="First Photons",POWER(Upgrades!$U$6,E368),1)*IF(Upgrades!$T$7="First Photons",POWER(Upgrades!$U$7,F368),1)*IF(Upgrades!$T$8="First Photons",POWER(Upgrades!$U$8,G368),1)*IF(Upgrades!$T$9="First Photons",POWER(Upgrades!$U$9,H368),1)*IF(Upgrades!$T$10="First Photons",POWER(Upgrades!$U$10,I368),1)*IF(Upgrades!$T$11="First Photons",POWER(Upgrades!$U$11,J368),1)))*POWER(Upgrades!$Q$6,E368)*POWER(Upgrades!$Q$7,F368)*POWER(Upgrades!$Q$8,G368)*POWER(Upgrades!$Q$9,H368)*POWER(Upgrades!$Q$10,I368)*POWER(Upgrades!$Q$11,J368)*POWER(Upgrades!$Q$12,K368)</f>
        <v>5.61</v>
      </c>
      <c r="N368" s="28" t="n">
        <f aca="false">((IF(E368=0,0,(Upgrades!$G$6+E368*Upgrades!$H$6)*POWER(Upgrades!$I$6,E368)))*(IF(Upgrades!$T$7="Solar Wind",POWER(Upgrades!$U$7,F368),1)*IF(Upgrades!$T$8="Solar Wind",POWER(Upgrades!$U$8,G368),1)*IF(Upgrades!$T$9="Solar Wind",POWER(Upgrades!$U$9,H368),1)*IF(Upgrades!$T$10="Solar Wind",POWER(Upgrades!$U$10,I368),1)*IF(Upgrades!$T$11="Solar Wind",POWER(Upgrades!$U$11,J368),1)*IF(Upgrades!$T$12="Solar Wind",POWER(Upgrades!$U$12,K368),1))+(IF(F368=0,0,(Upgrades!$G$7+F368*Upgrades!$H$7)*POWER(Upgrades!$I$7,F368)))*(IF(Upgrades!$T$6="Asteroid Belt",POWER(Upgrades!$U$6,E368),1)*IF(Upgrades!$T$8="Asteroid Belt",POWER(Upgrades!$U$8,G368),1)*IF(Upgrades!$T$9="Asteroid Belt",POWER(Upgrades!$U$9,H368),1)*IF(Upgrades!$T$10="Asteroid Belt",POWER(Upgrades!$U$10,I368),1)*IF(Upgrades!$T$11="Asteroid Belt",POWER(Upgrades!$U$11,J368),1)*IF(Upgrades!$T$12="Asteroid Belt",POWER(Upgrades!$U$12,K368),1))+(IF(G368=0,0,(Upgrades!$G$8+G368*Upgrades!$H$8)*POWER(Upgrades!$I$8,G368)))*(IF(Upgrades!$T$6="Stellar Coupling",POWER(Upgrades!$U$6,E368),1)*IF(Upgrades!$T$7="Stellar Coupling",POWER(Upgrades!$U$7,F368),1)*IF(Upgrades!$T$9="Stellar Coupling",POWER(Upgrades!$U$9,H368),1)*IF(Upgrades!$T$10="Stellar Coupling",POWER(Upgrades!$U$10,I368),1)*IF(Upgrades!$T$11="Stellar Coupling",POWER(Upgrades!$U$11,J368),1)*IF(Upgrades!$T$12="Stellar Coupling",POWER(Upgrades!$U$12,K368),1))+(IF(H368=0,0,(Upgrades!$G$9+H368*Upgrades!$H$9)*POWER(Upgrades!$I$9,H368)))*(IF(Upgrades!$T$6="Magnetosphere",POWER(Upgrades!$U$6,E368),1)*IF(Upgrades!$T$7="Magnetosphere",POWER(Upgrades!$U$7,F368),1)*IF(Upgrades!$T$8="Magnetosphere",POWER(Upgrades!$U$8,G368),1)*IF(Upgrades!$T$10="Magnetosphere",POWER(Upgrades!$U$10,I368),1)*IF(Upgrades!$T$11="Magnetosphere",POWER(Upgrades!$U$11,J368),1)*IF(Upgrades!$T$12="Magnetosphere",POWER(Upgrades!$U$12,K368),1))+(IF(I368=0,0,(Upgrades!$G$10+I368*Upgrades!$H$10)*POWER(Upgrades!$I$10,I368)))*(IF(Upgrades!$T$6="Orbital Resonance",POWER(Upgrades!$U$6,E368),1)*IF(Upgrades!$T$7="Orbital Resonance",POWER(Upgrades!$U$7,F368),1)*IF(Upgrades!$T$8="Orbital Resonance",POWER(Upgrades!$U$8,G368),1)*IF(Upgrades!$T$9="Orbital Resonance",POWER(Upgrades!$U$9,H368),1)*IF(Upgrades!$T$11="Orbital Resonance",POWER(Upgrades!$U$11,J368),1)*IF(Upgrades!$T$12="Orbital Resonance",POWER(Upgrades!$U$12,K368),1))+(IF(J368=0,0,(Upgrades!$G$11+J368*Upgrades!$H$11)*POWER(Upgrades!$I$11,J368)))*(IF(Upgrades!$T$6="Heliopause",POWER(Upgrades!$U$6,E368),1)*IF(Upgrades!$T$7="Heliopause",POWER(Upgrades!$U$7,F368),1)*IF(Upgrades!$T$8="Heliopause",POWER(Upgrades!$U$8,G368),1)*IF(Upgrades!$T$9="Heliopause",POWER(Upgrades!$U$9,H368),1)*IF(Upgrades!$T$10="Heliopause",POWER(Upgrades!$U$10,I368),1)*IF(Upgrades!$T$12="Heliopause",POWER(Upgrades!$U$12,K368),1))+(IF(K368=0,0,(Upgrades!$G$12+K368*Upgrades!$H$12)*POWER(Upgrades!$I$12,K368)))*(IF(Upgrades!$T$6="First Photons",POWER(Upgrades!$U$6,E368),1)*IF(Upgrades!$T$7="First Photons",POWER(Upgrades!$U$7,F368),1)*IF(Upgrades!$T$8="First Photons",POWER(Upgrades!$U$8,G368),1)*IF(Upgrades!$T$9="First Photons",POWER(Upgrades!$U$9,H368),1)*IF(Upgrades!$T$10="First Photons",POWER(Upgrades!$U$10,I368),1)*IF(Upgrades!$T$11="First Photons",POWER(Upgrades!$U$11,J368),1)))*POWER(Upgrades!$P$6,E368)*POWER(Upgrades!$P$7,F368)*POWER(Upgrades!$P$8,G368)*POWER(Upgrades!$P$9,H368)*POWER(Upgrades!$P$10,I368)*POWER(Upgrades!$P$11,J368)*POWER(Upgrades!$P$12,K368)</f>
        <v>11.2</v>
      </c>
      <c r="O368" s="28" t="n">
        <f aca="false">((IF(E368=0,0,(Upgrades!$M$6+E368*Upgrades!$N$6)*POWER(Upgrades!$O$6,E368)))*(IF(Upgrades!$T$7="Solar Wind",POWER(Upgrades!$U$7,F368),1)*IF(Upgrades!$T$8="Solar Wind",POWER(Upgrades!$U$8,G368),1)*IF(Upgrades!$T$9="Solar Wind",POWER(Upgrades!$U$9,H368),1)*IF(Upgrades!$T$10="Solar Wind",POWER(Upgrades!$U$10,I368),1)*IF(Upgrades!$T$11="Solar Wind",POWER(Upgrades!$U$11,J368),1)*IF(Upgrades!$T$12="Solar Wind",POWER(Upgrades!$U$12,K368),1))+(IF(F368=0,0,(Upgrades!$M$7+F368*Upgrades!$N$7)*POWER(Upgrades!$O$7,F368)))*(IF(Upgrades!$T$6="Asteroid Belt",POWER(Upgrades!$U$6,E368),1)*IF(Upgrades!$T$8="Asteroid Belt",POWER(Upgrades!$U$8,G368),1)*IF(Upgrades!$T$9="Asteroid Belt",POWER(Upgrades!$U$9,H368),1)*IF(Upgrades!$T$10="Asteroid Belt",POWER(Upgrades!$U$10,I368),1)*IF(Upgrades!$T$11="Asteroid Belt",POWER(Upgrades!$U$11,J368),1)*IF(Upgrades!$T$12="Asteroid Belt",POWER(Upgrades!$U$12,K368),1))+(IF(G368=0,0,(Upgrades!$M$8+G368*Upgrades!$N$8)*POWER(Upgrades!$O$8,G368)))*(IF(Upgrades!$T$6="Stellar Coupling",POWER(Upgrades!$U$6,E368),1)*IF(Upgrades!$T$7="Stellar Coupling",POWER(Upgrades!$U$7,F368),1)*IF(Upgrades!$T$9="Stellar Coupling",POWER(Upgrades!$U$9,H368),1)*IF(Upgrades!$T$10="Stellar Coupling",POWER(Upgrades!$U$10,I368),1)*IF(Upgrades!$T$11="Stellar Coupling",POWER(Upgrades!$U$11,J368),1)*IF(Upgrades!$T$12="Stellar Coupling",POWER(Upgrades!$U$12,K368),1))+(IF(H368=0,0,(Upgrades!$M$9+H368*Upgrades!$N$9)*POWER(Upgrades!$O$9,H368)))*(IF(Upgrades!$T$6="Magnetosphere",POWER(Upgrades!$U$6,E368),1)*IF(Upgrades!$T$7="Magnetosphere",POWER(Upgrades!$U$7,F368),1)*IF(Upgrades!$T$8="Magnetosphere",POWER(Upgrades!$U$8,G368),1)*IF(Upgrades!$T$10="Magnetosphere",POWER(Upgrades!$U$10,I368),1)*IF(Upgrades!$T$11="Magnetosphere",POWER(Upgrades!$U$11,J368),1)*IF(Upgrades!$T$12="Magnetosphere",POWER(Upgrades!$U$12,K368),1))+(IF(I368=0,0,(Upgrades!$M$10+I368*Upgrades!$N$10)*POWER(Upgrades!$O$10,I368)))*(IF(Upgrades!$T$6="Orbital Resonance",POWER(Upgrades!$U$6,E368),1)*IF(Upgrades!$T$7="Orbital Resonance",POWER(Upgrades!$U$7,F368),1)*IF(Upgrades!$T$8="Orbital Resonance",POWER(Upgrades!$U$8,G368),1)*IF(Upgrades!$T$9="Orbital Resonance",POWER(Upgrades!$U$9,H368),1)*IF(Upgrades!$T$11="Orbital Resonance",POWER(Upgrades!$U$11,J368),1)*IF(Upgrades!$T$12="Orbital Resonance",POWER(Upgrades!$U$12,K368),1))+(IF(J368=0,0,(Upgrades!$M$11+J368*Upgrades!$N$11)*POWER(Upgrades!$O$11,J368)))*(IF(Upgrades!$T$6="Heliopause",POWER(Upgrades!$U$6,E368),1)*IF(Upgrades!$T$7="Heliopause",POWER(Upgrades!$U$7,F368),1)*IF(Upgrades!$T$8="Heliopause",POWER(Upgrades!$U$8,G368),1)*IF(Upgrades!$T$9="Heliopause",POWER(Upgrades!$U$9,H368),1)*IF(Upgrades!$T$10="Heliopause",POWER(Upgrades!$U$10,I368),1)*IF(Upgrades!$T$12="Heliopause",POWER(Upgrades!$U$12,K368),1))+(IF(K368=0,0,(Upgrades!$M$12+K368*Upgrades!$N$12)*POWER(Upgrades!$O$12,K368)))*(IF(Upgrades!$T$6="First Photons",POWER(Upgrades!$U$6,E368),1)*IF(Upgrades!$T$7="First Photons",POWER(Upgrades!$U$7,F368),1)*IF(Upgrades!$T$8="First Photons",POWER(Upgrades!$U$8,G368),1)*IF(Upgrades!$T$9="First Photons",POWER(Upgrades!$U$9,H368),1)*IF(Upgrades!$T$10="First Photons",POWER(Upgrades!$U$10,I368),1)*IF(Upgrades!$T$11="First Photons",POWER(Upgrades!$U$11,J368),1)))*POWER(Upgrades!$R$6,E368)*POWER(Upgrades!$R$7,F368)*POWER(Upgrades!$R$8,G368)*POWER(Upgrades!$R$9,H368)*POWER(Upgrades!$R$10,I368)*POWER(Upgrades!$R$11,J368)*POWER(Upgrades!$R$12,K368)</f>
        <v>0</v>
      </c>
      <c r="P368" s="27" t="n">
        <f aca="false">IF(L368=1,0,M368*Parameters!$B$10/60*Parameters!$B$11*10)</f>
        <v>0</v>
      </c>
      <c r="Q368" s="27" t="n">
        <f aca="false">IF(L368=1,0,O368*M368*10)</f>
        <v>0</v>
      </c>
      <c r="R368" s="27" t="n">
        <f aca="false">IF(L368=1,0,N368*10)</f>
        <v>0</v>
      </c>
      <c r="S368" s="27" t="n">
        <f aca="false">P368+Q368+R368</f>
        <v>0</v>
      </c>
      <c r="T368" s="21" t="n">
        <f aca="false">C368+S368</f>
        <v>18.6730249835055</v>
      </c>
      <c r="U368" s="34" t="str">
        <f aca="false">AX368</f>
        <v/>
      </c>
      <c r="V368" s="21" t="n">
        <f aca="false">IF(U368="",0,IF(U368="transition",0,IF(U368="SW",AG368,IF(U368="AB",AH368,IF(U368="SC",AI368,IF(U368="Mag",AJ368,IF(U368="OR",AK368,IF(U368="HP",AL368,IF(U368="FP",AM368,0)))))))))</f>
        <v>0</v>
      </c>
      <c r="W368" s="27" t="n">
        <f aca="false">IF(U368="OR",Upgrades!$F$10,IF(U368="HP",Upgrades!$F$11,IF(U368="transition",-Parameters!$B$18,0)))</f>
        <v>0</v>
      </c>
      <c r="X368" s="21" t="n">
        <f aca="false">T368-V368</f>
        <v>18.6730249835055</v>
      </c>
      <c r="Y368" s="30" t="n">
        <f aca="false">M368*Parameters!$B$10/60*Parameters!$B$11+O368*M368+N368</f>
        <v>20.55</v>
      </c>
      <c r="Z368" s="35" t="str">
        <f aca="false">IF(U368="transition","→ Tier 2 (Stellar Neighborhood)",IF(U368="FP","First Photons — light begins, system quickens",IF(U368="HP","Heliopause acquired",IF(U368="OR","Orbital Resonance — passive multiplier active",IF(AND(AO368=1,L368=0,AN368&lt;&gt;1),"Cohesion ready (waiting on completionist upgrades)","")))))</f>
        <v/>
      </c>
      <c r="AA368" s="27" t="n">
        <f aca="false">(IF(E368=0,0,(Upgrades!$G$6+E368*Upgrades!$H$6)*POWER(Upgrades!$I$6,E368)))*(IF(Upgrades!$T$7="Solar Wind",POWER(Upgrades!$U$7,F368),1)*IF(Upgrades!$T$8="Solar Wind",POWER(Upgrades!$U$8,G368),1)*IF(Upgrades!$T$9="Solar Wind",POWER(Upgrades!$U$9,H368),1)*IF(Upgrades!$T$10="Solar Wind",POWER(Upgrades!$U$10,I368),1)*IF(Upgrades!$T$11="Solar Wind",POWER(Upgrades!$U$11,J368),1)*IF(Upgrades!$T$12="Solar Wind",POWER(Upgrades!$U$12,K368),1))*POWER(Upgrades!$P$6,E368)*POWER(Upgrades!$P$7,F368)*POWER(Upgrades!$P$8,G368)*POWER(Upgrades!$P$9,H368)*POWER(Upgrades!$P$10,I368)*POWER(Upgrades!$P$11,J368)*POWER(Upgrades!$P$12,K368)*60</f>
        <v>72</v>
      </c>
      <c r="AB368" s="27" t="n">
        <f aca="false">(IF(F368=0,0,(Upgrades!$G$7+F368*Upgrades!$H$7)*POWER(Upgrades!$I$7,F368)))*(IF(Upgrades!$T$6="Asteroid Belt",POWER(Upgrades!$U$6,E368),1)*IF(Upgrades!$T$8="Asteroid Belt",POWER(Upgrades!$U$8,G368),1)*IF(Upgrades!$T$9="Asteroid Belt",POWER(Upgrades!$U$9,H368),1)*IF(Upgrades!$T$10="Asteroid Belt",POWER(Upgrades!$U$10,I368),1)*IF(Upgrades!$T$11="Asteroid Belt",POWER(Upgrades!$U$11,J368),1)*IF(Upgrades!$T$12="Asteroid Belt",POWER(Upgrades!$U$12,K368),1))*POWER(Upgrades!$P$6,E368)*POWER(Upgrades!$P$7,F368)*POWER(Upgrades!$P$8,G368)*POWER(Upgrades!$P$9,H368)*POWER(Upgrades!$P$10,I368)*POWER(Upgrades!$P$11,J368)*POWER(Upgrades!$P$12,K368)*60</f>
        <v>150</v>
      </c>
      <c r="AC368" s="27" t="n">
        <f aca="false">(IF(G368=0,0,(Upgrades!$J$8+G368*Upgrades!$K$8)*POWER(Upgrades!$L$8,G368)))*(IF(Upgrades!$T$6="Stellar Coupling",POWER(Upgrades!$U$6,E368),1)*IF(Upgrades!$T$7="Stellar Coupling",POWER(Upgrades!$U$7,F368),1)*IF(Upgrades!$T$9="Stellar Coupling",POWER(Upgrades!$U$9,H368),1)*IF(Upgrades!$T$10="Stellar Coupling",POWER(Upgrades!$U$10,I368),1)*IF(Upgrades!$T$11="Stellar Coupling",POWER(Upgrades!$U$11,J368),1)*IF(Upgrades!$T$12="Stellar Coupling",POWER(Upgrades!$U$12,K368),1))*POWER(Upgrades!$Q$6,E368)*POWER(Upgrades!$Q$7,F368)*POWER(Upgrades!$Q$8,G368)*POWER(Upgrades!$Q$9,H368)*POWER(Upgrades!$Q$10,I368)*POWER(Upgrades!$Q$11,J368)*POWER(Upgrades!$Q$12,K368)*Parameters!$B$10*Parameters!$B$11</f>
        <v>441</v>
      </c>
      <c r="AD368" s="27" t="n">
        <f aca="false">(IF(H368=0,0,(Upgrades!$G$9+H368*Upgrades!$H$9)*POWER(Upgrades!$I$9,H368)))*(IF(Upgrades!$T$6="Magnetosphere",POWER(Upgrades!$U$6,E368),1)*IF(Upgrades!$T$7="Magnetosphere",POWER(Upgrades!$U$7,F368),1)*IF(Upgrades!$T$8="Magnetosphere",POWER(Upgrades!$U$8,G368),1)*IF(Upgrades!$T$10="Magnetosphere",POWER(Upgrades!$U$10,I368),1)*IF(Upgrades!$T$11="Magnetosphere",POWER(Upgrades!$U$11,J368),1)*IF(Upgrades!$T$12="Magnetosphere",POWER(Upgrades!$U$12,K368),1))*POWER(Upgrades!$P$6,E368)*POWER(Upgrades!$P$7,F368)*POWER(Upgrades!$P$8,G368)*POWER(Upgrades!$P$9,H368)*POWER(Upgrades!$P$10,I368)*POWER(Upgrades!$P$11,J368)*POWER(Upgrades!$P$12,K368)*60</f>
        <v>375</v>
      </c>
      <c r="AE368" s="27" t="n">
        <f aca="false">(IF(K368=0,0,(Upgrades!$G$12+K368*Upgrades!$H$12)*POWER(Upgrades!$I$12,K368)))*(IF(Upgrades!$T$6="First Photons",POWER(Upgrades!$U$6,E368),1)*IF(Upgrades!$T$7="First Photons",POWER(Upgrades!$U$7,F368),1)*IF(Upgrades!$T$8="First Photons",POWER(Upgrades!$U$8,G368),1)*IF(Upgrades!$T$9="First Photons",POWER(Upgrades!$U$9,H368),1)*IF(Upgrades!$T$10="First Photons",POWER(Upgrades!$U$10,I368),1)*IF(Upgrades!$T$11="First Photons",POWER(Upgrades!$U$11,J368),1))*POWER(Upgrades!$P$6,E368)*POWER(Upgrades!$P$7,F368)*POWER(Upgrades!$P$8,G368)*POWER(Upgrades!$P$9,H368)*POWER(Upgrades!$P$10,I368)*POWER(Upgrades!$P$11,J368)*POWER(Upgrades!$P$12,K368)*60</f>
        <v>75</v>
      </c>
      <c r="AF368" s="27" t="n">
        <f aca="false">Parameters!$B$9*POWER(Upgrades!$Q$6,E368)*POWER(Upgrades!$Q$7,F368)*POWER(Upgrades!$Q$8,G368)*POWER(Upgrades!$Q$9,H368)*POWER(Upgrades!$Q$10,I368)*POWER(Upgrades!$Q$11,J368)*POWER(Upgrades!$Q$12,K368)*(Parameters!$B$10*Parameters!$B$11+O368*60)</f>
        <v>120</v>
      </c>
      <c r="AG368" s="21" t="n">
        <f aca="false">IF(E368&gt;=Upgrades!$E$6,"",Upgrades!$C$6*POWER(Upgrades!$D$6,E368))</f>
        <v>37.4517507383159</v>
      </c>
      <c r="AH368" s="21" t="n">
        <f aca="false">IF(F368&gt;=Upgrades!$E$7,"",Upgrades!$C$7*POWER(Upgrades!$D$7,F368))</f>
        <v>80.9111547141581</v>
      </c>
      <c r="AI368" s="21" t="n">
        <f aca="false">IF(G368&gt;=Upgrades!$E$8,"",Upgrades!$C$8*POWER(Upgrades!$D$8,G368))</f>
        <v>231.9097088</v>
      </c>
      <c r="AJ368" s="21" t="str">
        <f aca="false">IF(H368&gt;=Upgrades!$E$9,"",Upgrades!$C$9*POWER(Upgrades!$D$9,H368))</f>
        <v/>
      </c>
      <c r="AK368" s="21" t="str">
        <f aca="false">IF(I368&gt;=Upgrades!$E$10,"",Upgrades!$C$10*POWER(Upgrades!$D$10,I368))</f>
        <v/>
      </c>
      <c r="AL368" s="21" t="str">
        <f aca="false">IF(J368&gt;=Upgrades!$E$11,"",Upgrades!$C$11*POWER(Upgrades!$D$11,J368))</f>
        <v/>
      </c>
      <c r="AM368" s="21" t="str">
        <f aca="false">IF(K368&gt;=Upgrades!$E$12,"",Upgrades!$C$12*POWER(Upgrades!$D$12,K368))</f>
        <v/>
      </c>
      <c r="AN368" s="26" t="str">
        <f aca="false">IF(AND(D368&gt;=Parameters!$B$18,(H368&gt;=Upgrades!$E$9)*(K368&gt;=Upgrades!$E$12)=1,L368=0),1,"")</f>
        <v/>
      </c>
      <c r="AO368" s="26" t="str">
        <f aca="false">IF(AND(D368&gt;=Parameters!$B$18,L368=0),1,"")</f>
        <v/>
      </c>
      <c r="AP368" s="21" t="n">
        <f aca="false">MIN(IF(ISNUMBER(AK368),AK368,9000000000000000),IF(ISNUMBER(AL368),AL368,9000000000000000),IF(ISNUMBER(AM368),AM368,9000000000000000))</f>
        <v>9000000000000000</v>
      </c>
      <c r="AQ368" s="21" t="n">
        <f aca="false">MIN(IF(ISNUMBER(AG368),AG368,9000000000000000),IF(ISNUMBER(AH368),AH368,9000000000000000),IF(ISNUMBER(AI368),AI368,9000000000000000),IF(ISNUMBER(AJ368),AJ368,9000000000000000))</f>
        <v>37.4517507383159</v>
      </c>
      <c r="AR368" s="32" t="b">
        <f aca="false">IF(AW368&gt;Parameters!$B$21*(MAX(IF(AND(NOT(AND(AO368=1,AN368&lt;&gt;1)),ISNUMBER(AG368),AG368&lt;=T368),AS368,0),IF(AND(NOT(AND(AO368=1,AN368&lt;&gt;1)),ISNUMBER(AH368),AH368&lt;=T368),AT368,0),IF(AND(NOT(AND(AO368=1,AN368&lt;&gt;1)),ISNUMBER(AI368),AI368&lt;=T368),AU368,0),IF(AND(ISNUMBER(AJ368),AJ368&lt;=T368),AV368,0))),TRUE(),FALSE())</f>
        <v>1</v>
      </c>
      <c r="AS368" s="33" t="n">
        <f aca="false">IFERROR(Upgrades!$H$6*(POWER(Upgrades!$P$6,E368)*POWER(Upgrades!$P$7,F368)*POWER(Upgrades!$P$8,G368)*POWER(Upgrades!$P$9,H368)*POWER(Upgrades!$P$10,I368)*POWER(Upgrades!$P$11,J368)*POWER(Upgrades!$P$12,K368))*(IF(Upgrades!$T$7="Solar Wind",POWER(Upgrades!$U$7,F368),1)*IF(Upgrades!$T$8="Solar Wind",POWER(Upgrades!$U$8,G368),1)*IF(Upgrades!$T$9="Solar Wind",POWER(Upgrades!$U$9,H368),1)*IF(Upgrades!$T$10="Solar Wind",POWER(Upgrades!$U$10,I368),1)*IF(Upgrades!$T$11="Solar Wind",POWER(Upgrades!$U$11,J368),1)*IF(Upgrades!$T$12="Solar Wind",POWER(Upgrades!$U$12,K368),1))/AG368,0)</f>
        <v>0.0026701021455238</v>
      </c>
      <c r="AT368" s="33" t="n">
        <f aca="false">IFERROR(Upgrades!$H$7*(POWER(Upgrades!$P$6,E368)*POWER(Upgrades!$P$7,F368)*POWER(Upgrades!$P$8,G368)*POWER(Upgrades!$P$9,H368)*POWER(Upgrades!$P$10,I368)*POWER(Upgrades!$P$11,J368)*POWER(Upgrades!$P$12,K368))*(IF(Upgrades!$T$6="Asteroid Belt",POWER(Upgrades!$U$6,E368),1)*IF(Upgrades!$T$8="Asteroid Belt",POWER(Upgrades!$U$8,G368),1)*IF(Upgrades!$T$9="Asteroid Belt",POWER(Upgrades!$U$9,H368),1)*IF(Upgrades!$T$10="Asteroid Belt",POWER(Upgrades!$U$10,I368),1)*IF(Upgrades!$T$11="Asteroid Belt",POWER(Upgrades!$U$11,J368),1)*IF(Upgrades!$T$12="Asteroid Belt",POWER(Upgrades!$U$12,K368),1))/AH368,0)</f>
        <v>0.00308980882652332</v>
      </c>
      <c r="AU368" s="33" t="n">
        <f aca="false">IFERROR(Upgrades!$K$8*(POWER(Upgrades!$Q$6,E368)*POWER(Upgrades!$Q$7,F368)*POWER(Upgrades!$Q$8,G368)*POWER(Upgrades!$Q$9,H368)*POWER(Upgrades!$Q$10,I368)*POWER(Upgrades!$Q$11,J368)*POWER(Upgrades!$Q$12,K368))*(IF(Upgrades!$T$6="Stellar Coupling",POWER(Upgrades!$U$6,E368),1)*IF(Upgrades!$T$7="Stellar Coupling",POWER(Upgrades!$U$7,F368),1)*IF(Upgrades!$T$9="Stellar Coupling",POWER(Upgrades!$U$9,H368),1)*IF(Upgrades!$T$10="Stellar Coupling",POWER(Upgrades!$U$10,I368),1)*IF(Upgrades!$T$11="Stellar Coupling",POWER(Upgrades!$U$11,J368),1)*IF(Upgrades!$T$12="Stellar Coupling",POWER(Upgrades!$U$12,K368),1))*Parameters!$B$10*Parameters!$B$11/60/AI368,0)</f>
        <v>0.00452762415783776</v>
      </c>
      <c r="AV368" s="33" t="n">
        <f aca="false">IFERROR(Upgrades!$H$9*(POWER(Upgrades!$P$6,E368)*POWER(Upgrades!$P$7,F368)*POWER(Upgrades!$P$8,G368)*POWER(Upgrades!$P$9,H368)*POWER(Upgrades!$P$10,I368)*POWER(Upgrades!$P$11,J368)*POWER(Upgrades!$P$12,K368))*(IF(Upgrades!$T$6="Magnetosphere",POWER(Upgrades!$U$6,E368),1)*IF(Upgrades!$T$7="Magnetosphere",POWER(Upgrades!$U$7,F368),1)*IF(Upgrades!$T$8="Magnetosphere",POWER(Upgrades!$U$8,G368),1)*IF(Upgrades!$T$10="Magnetosphere",POWER(Upgrades!$U$10,I368),1)*IF(Upgrades!$T$11="Magnetosphere",POWER(Upgrades!$U$11,J368),1)*IF(Upgrades!$T$12="Magnetosphere",POWER(Upgrades!$U$12,K368),1))/AJ368,0)</f>
        <v>0</v>
      </c>
      <c r="AW368" s="33" t="n">
        <f aca="false">MAX(IF(I368&gt;0,0,IFERROR(0.25*N368/Upgrades!$C$10,0)),IF(J368&gt;0,0,IFERROR(0.5*((IF(G368=0,0,(Upgrades!$J$8+G368*Upgrades!$K$8)*POWER(Upgrades!$L$8,G368)))*(IF(Upgrades!$T$6="Stellar Coupling",POWER(Upgrades!$U$6,E368),1)*IF(Upgrades!$T$7="Stellar Coupling",POWER(Upgrades!$U$7,F368),1)*IF(Upgrades!$T$9="Stellar Coupling",POWER(Upgrades!$U$9,H368),1)*IF(Upgrades!$T$10="Stellar Coupling",POWER(Upgrades!$U$10,I368),1)*IF(Upgrades!$T$11="Stellar Coupling",POWER(Upgrades!$U$11,J368),1)*IF(Upgrades!$T$12="Stellar Coupling",POWER(Upgrades!$U$12,K368),1))*(POWER(Upgrades!$Q$6,E368)*POWER(Upgrades!$Q$7,F368)*POWER(Upgrades!$Q$8,G368)*POWER(Upgrades!$Q$9,H368)*POWER(Upgrades!$Q$10,I368)*POWER(Upgrades!$Q$11,J368)*POWER(Upgrades!$Q$12,K368))*Parameters!$B$10*Parameters!$B$11/60)/Upgrades!$C$11,0)),IF(K368&gt;0,0,IFERROR((1*(POWER(Upgrades!$P$6,E368)*POWER(Upgrades!$P$7,F368)*POWER(Upgrades!$P$8,G368)*POWER(Upgrades!$P$9,H368)*POWER(Upgrades!$P$10,I368)*POWER(Upgrades!$P$11,J368)*POWER(Upgrades!$P$12,K368))+0.2*M368*Parameters!$B$10*Parameters!$B$11/60)/Upgrades!$C$12,0)),IF(AND(ISNUMBER(AG368),AG368&gt;T368),AS368,0),IF(AND(ISNUMBER(AH368),AH368&gt;T368),AT368,0),IF(AND(ISNUMBER(AI368),AI368&gt;T368),AU368,0),IF(AND(ISNUMBER(AJ368),AJ368&gt;T368),AV368,0))</f>
        <v>0.00452762415783776</v>
      </c>
      <c r="AX368" s="29" t="str">
        <f aca="false">IF(AN368=1,"transition",IF(MIN(IF(AND(I368=0,ISNUMBER(AK368),AK368&lt;=T368),AK368,9000000000000000),IF(AND(J368=0,ISNUMBER(AL368),AL368&lt;=T368),AL368,9000000000000000),IF(AND(K368=0,ISNUMBER(AM368),AM368&lt;=T368),AM368,9000000000000000))&lt;9000000000000000,IF(AND(AND(I368=0,ISNUMBER(AK368),AK368&lt;=T368),AK368=MIN(IF(AND(I368=0,ISNUMBER(AK368),AK368&lt;=T368),AK368,9000000000000000),IF(AND(J368=0,ISNUMBER(AL368),AL368&lt;=T368),AL368,9000000000000000),IF(AND(K368=0,ISNUMBER(AM368),AM368&lt;=T368),AM368,9000000000000000))),"OR",IF(AND(AND(J368=0,ISNUMBER(AL368),AL368&lt;=T368),AL368=MIN(IF(AND(I368=0,ISNUMBER(AK368),AK368&lt;=T368),AK368,9000000000000000),IF(AND(J368=0,ISNUMBER(AL368),AL368&lt;=T368),AL368,9000000000000000),IF(AND(K368=0,ISNUMBER(AM368),AM368&lt;=T368),AM368,9000000000000000))),"HP","FP")),IF(AR368=TRUE(),"",IF(MAX(IF(AND(NOT(AND(AO368=1,AN368&lt;&gt;1)),ISNUMBER(AG368),AG368&lt;=T368),AS368,0),IF(AND(NOT(AND(AO368=1,AN368&lt;&gt;1)),ISNUMBER(AH368),AH368&lt;=T368),AT368,0),IF(AND(NOT(AND(AO368=1,AN368&lt;&gt;1)),ISNUMBER(AI368),AI368&lt;=T368),AU368,0),IF(AND(ISNUMBER(AJ368),AJ368&lt;=T368),AV368,0))&lt;=0,"",IF(AND(IF(AND(NOT(AND(AO368=1,AN368&lt;&gt;1)),ISNUMBER(AG368),AG368&lt;=T368),AS368,0)&gt;0,IF(AND(NOT(AND(AO368=1,AN368&lt;&gt;1)),ISNUMBER(AG368),AG368&lt;=T368),AS368,0)=MAX(IF(AND(NOT(AND(AO368=1,AN368&lt;&gt;1)),ISNUMBER(AG368),AG368&lt;=T368),AS368,0),IF(AND(NOT(AND(AO368=1,AN368&lt;&gt;1)),ISNUMBER(AH368),AH368&lt;=T368),AT368,0),IF(AND(NOT(AND(AO368=1,AN368&lt;&gt;1)),ISNUMBER(AI368),AI368&lt;=T368),AU368,0),IF(AND(ISNUMBER(AJ368),AJ368&lt;=T368),AV368,0))),"SW",IF(AND(IF(AND(NOT(AND(AO368=1,AN368&lt;&gt;1)),ISNUMBER(AH368),AH368&lt;=T368),AT368,0)&gt;0,IF(AND(NOT(AND(AO368=1,AN368&lt;&gt;1)),ISNUMBER(AH368),AH368&lt;=T368),AT368,0)=MAX(IF(AND(NOT(AND(AO368=1,AN368&lt;&gt;1)),ISNUMBER(AG368),AG368&lt;=T368),AS368,0),IF(AND(NOT(AND(AO368=1,AN368&lt;&gt;1)),ISNUMBER(AH368),AH368&lt;=T368),AT368,0),IF(AND(NOT(AND(AO368=1,AN368&lt;&gt;1)),ISNUMBER(AI368),AI368&lt;=T368),AU368,0),IF(AND(ISNUMBER(AJ368),AJ368&lt;=T368),AV368,0))),"AB",IF(AND(IF(AND(NOT(AND(AO368=1,AN368&lt;&gt;1)),ISNUMBER(AI368),AI368&lt;=T368),AU368,0)&gt;0,IF(AND(NOT(AND(AO368=1,AN368&lt;&gt;1)),ISNUMBER(AI368),AI368&lt;=T368),AU368,0)=MAX(IF(AND(NOT(AND(AO368=1,AN368&lt;&gt;1)),ISNUMBER(AG368),AG368&lt;=T368),AS368,0),IF(AND(NOT(AND(AO368=1,AN368&lt;&gt;1)),ISNUMBER(AH368),AH368&lt;=T368),AT368,0),IF(AND(NOT(AND(AO368=1,AN368&lt;&gt;1)),ISNUMBER(AI368),AI368&lt;=T368),AU368,0),IF(AND(ISNUMBER(AJ368),AJ368&lt;=T368),AV368,0))),"SC","Mag")))))))</f>
        <v/>
      </c>
    </row>
    <row r="369" customFormat="false" ht="15" hidden="false" customHeight="false" outlineLevel="0" collapsed="false">
      <c r="A369" s="26" t="n">
        <v>364</v>
      </c>
      <c r="B369" s="27" t="n">
        <f aca="false">A369*10/60</f>
        <v>60.6666666666667</v>
      </c>
      <c r="C369" s="21" t="n">
        <f aca="false">X368</f>
        <v>18.6730249835055</v>
      </c>
      <c r="D369" s="27" t="n">
        <f aca="false">D368+W368</f>
        <v>0</v>
      </c>
      <c r="E369" s="26" t="n">
        <f aca="false">E368+IF(U368="SW",1,0)</f>
        <v>12</v>
      </c>
      <c r="F369" s="26" t="n">
        <f aca="false">F368+IF(U368="AB",1,0)</f>
        <v>10</v>
      </c>
      <c r="G369" s="26" t="n">
        <f aca="false">G368+IF(U368="SC",1,0)</f>
        <v>7</v>
      </c>
      <c r="H369" s="26" t="n">
        <f aca="false">H368+IF(U368="Mag",1,0)</f>
        <v>5</v>
      </c>
      <c r="I369" s="26" t="n">
        <f aca="false">MAX(I368,IF(U368="OR",1,0))</f>
        <v>1</v>
      </c>
      <c r="J369" s="26" t="n">
        <f aca="false">MAX(J368,IF(U368="HP",1,0))</f>
        <v>1</v>
      </c>
      <c r="K369" s="26" t="n">
        <f aca="false">MAX(K368,IF(U368="FP",1,0))</f>
        <v>1</v>
      </c>
      <c r="L369" s="26" t="n">
        <f aca="false">MAX(L368,IF(U368="transition",1,0))</f>
        <v>1</v>
      </c>
      <c r="M369" s="28" t="n">
        <f aca="false">(Parameters!$B$9+(IF(E369=0,0,(Upgrades!$J$6+E369*Upgrades!$K$6)*POWER(Upgrades!$L$6,E369)))*(IF(Upgrades!$T$7="Solar Wind",POWER(Upgrades!$U$7,F369),1)*IF(Upgrades!$T$8="Solar Wind",POWER(Upgrades!$U$8,G369),1)*IF(Upgrades!$T$9="Solar Wind",POWER(Upgrades!$U$9,H369),1)*IF(Upgrades!$T$10="Solar Wind",POWER(Upgrades!$U$10,I369),1)*IF(Upgrades!$T$11="Solar Wind",POWER(Upgrades!$U$11,J369),1)*IF(Upgrades!$T$12="Solar Wind",POWER(Upgrades!$U$12,K369),1))+(IF(F369=0,0,(Upgrades!$J$7+F369*Upgrades!$K$7)*POWER(Upgrades!$L$7,F369)))*(IF(Upgrades!$T$6="Asteroid Belt",POWER(Upgrades!$U$6,E369),1)*IF(Upgrades!$T$8="Asteroid Belt",POWER(Upgrades!$U$8,G369),1)*IF(Upgrades!$T$9="Asteroid Belt",POWER(Upgrades!$U$9,H369),1)*IF(Upgrades!$T$10="Asteroid Belt",POWER(Upgrades!$U$10,I369),1)*IF(Upgrades!$T$11="Asteroid Belt",POWER(Upgrades!$U$11,J369),1)*IF(Upgrades!$T$12="Asteroid Belt",POWER(Upgrades!$U$12,K369),1))+(IF(G369=0,0,(Upgrades!$J$8+G369*Upgrades!$K$8)*POWER(Upgrades!$L$8,G369)))*(IF(Upgrades!$T$6="Stellar Coupling",POWER(Upgrades!$U$6,E369),1)*IF(Upgrades!$T$7="Stellar Coupling",POWER(Upgrades!$U$7,F369),1)*IF(Upgrades!$T$9="Stellar Coupling",POWER(Upgrades!$U$9,H369),1)*IF(Upgrades!$T$10="Stellar Coupling",POWER(Upgrades!$U$10,I369),1)*IF(Upgrades!$T$11="Stellar Coupling",POWER(Upgrades!$U$11,J369),1)*IF(Upgrades!$T$12="Stellar Coupling",POWER(Upgrades!$U$12,K369),1))+(IF(H369=0,0,(Upgrades!$J$9+H369*Upgrades!$K$9)*POWER(Upgrades!$L$9,H369)))*(IF(Upgrades!$T$6="Magnetosphere",POWER(Upgrades!$U$6,E369),1)*IF(Upgrades!$T$7="Magnetosphere",POWER(Upgrades!$U$7,F369),1)*IF(Upgrades!$T$8="Magnetosphere",POWER(Upgrades!$U$8,G369),1)*IF(Upgrades!$T$10="Magnetosphere",POWER(Upgrades!$U$10,I369),1)*IF(Upgrades!$T$11="Magnetosphere",POWER(Upgrades!$U$11,J369),1)*IF(Upgrades!$T$12="Magnetosphere",POWER(Upgrades!$U$12,K369),1))+(IF(I369=0,0,(Upgrades!$J$10+I369*Upgrades!$K$10)*POWER(Upgrades!$L$10,I369)))*(IF(Upgrades!$T$6="Orbital Resonance",POWER(Upgrades!$U$6,E369),1)*IF(Upgrades!$T$7="Orbital Resonance",POWER(Upgrades!$U$7,F369),1)*IF(Upgrades!$T$8="Orbital Resonance",POWER(Upgrades!$U$8,G369),1)*IF(Upgrades!$T$9="Orbital Resonance",POWER(Upgrades!$U$9,H369),1)*IF(Upgrades!$T$11="Orbital Resonance",POWER(Upgrades!$U$11,J369),1)*IF(Upgrades!$T$12="Orbital Resonance",POWER(Upgrades!$U$12,K369),1))+(IF(J369=0,0,(Upgrades!$J$11+J369*Upgrades!$K$11)*POWER(Upgrades!$L$11,J369)))*(IF(Upgrades!$T$6="Heliopause",POWER(Upgrades!$U$6,E369),1)*IF(Upgrades!$T$7="Heliopause",POWER(Upgrades!$U$7,F369),1)*IF(Upgrades!$T$8="Heliopause",POWER(Upgrades!$U$8,G369),1)*IF(Upgrades!$T$9="Heliopause",POWER(Upgrades!$U$9,H369),1)*IF(Upgrades!$T$10="Heliopause",POWER(Upgrades!$U$10,I369),1)*IF(Upgrades!$T$12="Heliopause",POWER(Upgrades!$U$12,K369),1))+(IF(K369=0,0,(Upgrades!$J$12+K369*Upgrades!$K$12)*POWER(Upgrades!$L$12,K369)))*(IF(Upgrades!$T$6="First Photons",POWER(Upgrades!$U$6,E369),1)*IF(Upgrades!$T$7="First Photons",POWER(Upgrades!$U$7,F369),1)*IF(Upgrades!$T$8="First Photons",POWER(Upgrades!$U$8,G369),1)*IF(Upgrades!$T$9="First Photons",POWER(Upgrades!$U$9,H369),1)*IF(Upgrades!$T$10="First Photons",POWER(Upgrades!$U$10,I369),1)*IF(Upgrades!$T$11="First Photons",POWER(Upgrades!$U$11,J369),1)))*POWER(Upgrades!$Q$6,E369)*POWER(Upgrades!$Q$7,F369)*POWER(Upgrades!$Q$8,G369)*POWER(Upgrades!$Q$9,H369)*POWER(Upgrades!$Q$10,I369)*POWER(Upgrades!$Q$11,J369)*POWER(Upgrades!$Q$12,K369)</f>
        <v>5.61</v>
      </c>
      <c r="N369" s="28" t="n">
        <f aca="false">((IF(E369=0,0,(Upgrades!$G$6+E369*Upgrades!$H$6)*POWER(Upgrades!$I$6,E369)))*(IF(Upgrades!$T$7="Solar Wind",POWER(Upgrades!$U$7,F369),1)*IF(Upgrades!$T$8="Solar Wind",POWER(Upgrades!$U$8,G369),1)*IF(Upgrades!$T$9="Solar Wind",POWER(Upgrades!$U$9,H369),1)*IF(Upgrades!$T$10="Solar Wind",POWER(Upgrades!$U$10,I369),1)*IF(Upgrades!$T$11="Solar Wind",POWER(Upgrades!$U$11,J369),1)*IF(Upgrades!$T$12="Solar Wind",POWER(Upgrades!$U$12,K369),1))+(IF(F369=0,0,(Upgrades!$G$7+F369*Upgrades!$H$7)*POWER(Upgrades!$I$7,F369)))*(IF(Upgrades!$T$6="Asteroid Belt",POWER(Upgrades!$U$6,E369),1)*IF(Upgrades!$T$8="Asteroid Belt",POWER(Upgrades!$U$8,G369),1)*IF(Upgrades!$T$9="Asteroid Belt",POWER(Upgrades!$U$9,H369),1)*IF(Upgrades!$T$10="Asteroid Belt",POWER(Upgrades!$U$10,I369),1)*IF(Upgrades!$T$11="Asteroid Belt",POWER(Upgrades!$U$11,J369),1)*IF(Upgrades!$T$12="Asteroid Belt",POWER(Upgrades!$U$12,K369),1))+(IF(G369=0,0,(Upgrades!$G$8+G369*Upgrades!$H$8)*POWER(Upgrades!$I$8,G369)))*(IF(Upgrades!$T$6="Stellar Coupling",POWER(Upgrades!$U$6,E369),1)*IF(Upgrades!$T$7="Stellar Coupling",POWER(Upgrades!$U$7,F369),1)*IF(Upgrades!$T$9="Stellar Coupling",POWER(Upgrades!$U$9,H369),1)*IF(Upgrades!$T$10="Stellar Coupling",POWER(Upgrades!$U$10,I369),1)*IF(Upgrades!$T$11="Stellar Coupling",POWER(Upgrades!$U$11,J369),1)*IF(Upgrades!$T$12="Stellar Coupling",POWER(Upgrades!$U$12,K369),1))+(IF(H369=0,0,(Upgrades!$G$9+H369*Upgrades!$H$9)*POWER(Upgrades!$I$9,H369)))*(IF(Upgrades!$T$6="Magnetosphere",POWER(Upgrades!$U$6,E369),1)*IF(Upgrades!$T$7="Magnetosphere",POWER(Upgrades!$U$7,F369),1)*IF(Upgrades!$T$8="Magnetosphere",POWER(Upgrades!$U$8,G369),1)*IF(Upgrades!$T$10="Magnetosphere",POWER(Upgrades!$U$10,I369),1)*IF(Upgrades!$T$11="Magnetosphere",POWER(Upgrades!$U$11,J369),1)*IF(Upgrades!$T$12="Magnetosphere",POWER(Upgrades!$U$12,K369),1))+(IF(I369=0,0,(Upgrades!$G$10+I369*Upgrades!$H$10)*POWER(Upgrades!$I$10,I369)))*(IF(Upgrades!$T$6="Orbital Resonance",POWER(Upgrades!$U$6,E369),1)*IF(Upgrades!$T$7="Orbital Resonance",POWER(Upgrades!$U$7,F369),1)*IF(Upgrades!$T$8="Orbital Resonance",POWER(Upgrades!$U$8,G369),1)*IF(Upgrades!$T$9="Orbital Resonance",POWER(Upgrades!$U$9,H369),1)*IF(Upgrades!$T$11="Orbital Resonance",POWER(Upgrades!$U$11,J369),1)*IF(Upgrades!$T$12="Orbital Resonance",POWER(Upgrades!$U$12,K369),1))+(IF(J369=0,0,(Upgrades!$G$11+J369*Upgrades!$H$11)*POWER(Upgrades!$I$11,J369)))*(IF(Upgrades!$T$6="Heliopause",POWER(Upgrades!$U$6,E369),1)*IF(Upgrades!$T$7="Heliopause",POWER(Upgrades!$U$7,F369),1)*IF(Upgrades!$T$8="Heliopause",POWER(Upgrades!$U$8,G369),1)*IF(Upgrades!$T$9="Heliopause",POWER(Upgrades!$U$9,H369),1)*IF(Upgrades!$T$10="Heliopause",POWER(Upgrades!$U$10,I369),1)*IF(Upgrades!$T$12="Heliopause",POWER(Upgrades!$U$12,K369),1))+(IF(K369=0,0,(Upgrades!$G$12+K369*Upgrades!$H$12)*POWER(Upgrades!$I$12,K369)))*(IF(Upgrades!$T$6="First Photons",POWER(Upgrades!$U$6,E369),1)*IF(Upgrades!$T$7="First Photons",POWER(Upgrades!$U$7,F369),1)*IF(Upgrades!$T$8="First Photons",POWER(Upgrades!$U$8,G369),1)*IF(Upgrades!$T$9="First Photons",POWER(Upgrades!$U$9,H369),1)*IF(Upgrades!$T$10="First Photons",POWER(Upgrades!$U$10,I369),1)*IF(Upgrades!$T$11="First Photons",POWER(Upgrades!$U$11,J369),1)))*POWER(Upgrades!$P$6,E369)*POWER(Upgrades!$P$7,F369)*POWER(Upgrades!$P$8,G369)*POWER(Upgrades!$P$9,H369)*POWER(Upgrades!$P$10,I369)*POWER(Upgrades!$P$11,J369)*POWER(Upgrades!$P$12,K369)</f>
        <v>11.2</v>
      </c>
      <c r="O369" s="28" t="n">
        <f aca="false">((IF(E369=0,0,(Upgrades!$M$6+E369*Upgrades!$N$6)*POWER(Upgrades!$O$6,E369)))*(IF(Upgrades!$T$7="Solar Wind",POWER(Upgrades!$U$7,F369),1)*IF(Upgrades!$T$8="Solar Wind",POWER(Upgrades!$U$8,G369),1)*IF(Upgrades!$T$9="Solar Wind",POWER(Upgrades!$U$9,H369),1)*IF(Upgrades!$T$10="Solar Wind",POWER(Upgrades!$U$10,I369),1)*IF(Upgrades!$T$11="Solar Wind",POWER(Upgrades!$U$11,J369),1)*IF(Upgrades!$T$12="Solar Wind",POWER(Upgrades!$U$12,K369),1))+(IF(F369=0,0,(Upgrades!$M$7+F369*Upgrades!$N$7)*POWER(Upgrades!$O$7,F369)))*(IF(Upgrades!$T$6="Asteroid Belt",POWER(Upgrades!$U$6,E369),1)*IF(Upgrades!$T$8="Asteroid Belt",POWER(Upgrades!$U$8,G369),1)*IF(Upgrades!$T$9="Asteroid Belt",POWER(Upgrades!$U$9,H369),1)*IF(Upgrades!$T$10="Asteroid Belt",POWER(Upgrades!$U$10,I369),1)*IF(Upgrades!$T$11="Asteroid Belt",POWER(Upgrades!$U$11,J369),1)*IF(Upgrades!$T$12="Asteroid Belt",POWER(Upgrades!$U$12,K369),1))+(IF(G369=0,0,(Upgrades!$M$8+G369*Upgrades!$N$8)*POWER(Upgrades!$O$8,G369)))*(IF(Upgrades!$T$6="Stellar Coupling",POWER(Upgrades!$U$6,E369),1)*IF(Upgrades!$T$7="Stellar Coupling",POWER(Upgrades!$U$7,F369),1)*IF(Upgrades!$T$9="Stellar Coupling",POWER(Upgrades!$U$9,H369),1)*IF(Upgrades!$T$10="Stellar Coupling",POWER(Upgrades!$U$10,I369),1)*IF(Upgrades!$T$11="Stellar Coupling",POWER(Upgrades!$U$11,J369),1)*IF(Upgrades!$T$12="Stellar Coupling",POWER(Upgrades!$U$12,K369),1))+(IF(H369=0,0,(Upgrades!$M$9+H369*Upgrades!$N$9)*POWER(Upgrades!$O$9,H369)))*(IF(Upgrades!$T$6="Magnetosphere",POWER(Upgrades!$U$6,E369),1)*IF(Upgrades!$T$7="Magnetosphere",POWER(Upgrades!$U$7,F369),1)*IF(Upgrades!$T$8="Magnetosphere",POWER(Upgrades!$U$8,G369),1)*IF(Upgrades!$T$10="Magnetosphere",POWER(Upgrades!$U$10,I369),1)*IF(Upgrades!$T$11="Magnetosphere",POWER(Upgrades!$U$11,J369),1)*IF(Upgrades!$T$12="Magnetosphere",POWER(Upgrades!$U$12,K369),1))+(IF(I369=0,0,(Upgrades!$M$10+I369*Upgrades!$N$10)*POWER(Upgrades!$O$10,I369)))*(IF(Upgrades!$T$6="Orbital Resonance",POWER(Upgrades!$U$6,E369),1)*IF(Upgrades!$T$7="Orbital Resonance",POWER(Upgrades!$U$7,F369),1)*IF(Upgrades!$T$8="Orbital Resonance",POWER(Upgrades!$U$8,G369),1)*IF(Upgrades!$T$9="Orbital Resonance",POWER(Upgrades!$U$9,H369),1)*IF(Upgrades!$T$11="Orbital Resonance",POWER(Upgrades!$U$11,J369),1)*IF(Upgrades!$T$12="Orbital Resonance",POWER(Upgrades!$U$12,K369),1))+(IF(J369=0,0,(Upgrades!$M$11+J369*Upgrades!$N$11)*POWER(Upgrades!$O$11,J369)))*(IF(Upgrades!$T$6="Heliopause",POWER(Upgrades!$U$6,E369),1)*IF(Upgrades!$T$7="Heliopause",POWER(Upgrades!$U$7,F369),1)*IF(Upgrades!$T$8="Heliopause",POWER(Upgrades!$U$8,G369),1)*IF(Upgrades!$T$9="Heliopause",POWER(Upgrades!$U$9,H369),1)*IF(Upgrades!$T$10="Heliopause",POWER(Upgrades!$U$10,I369),1)*IF(Upgrades!$T$12="Heliopause",POWER(Upgrades!$U$12,K369),1))+(IF(K369=0,0,(Upgrades!$M$12+K369*Upgrades!$N$12)*POWER(Upgrades!$O$12,K369)))*(IF(Upgrades!$T$6="First Photons",POWER(Upgrades!$U$6,E369),1)*IF(Upgrades!$T$7="First Photons",POWER(Upgrades!$U$7,F369),1)*IF(Upgrades!$T$8="First Photons",POWER(Upgrades!$U$8,G369),1)*IF(Upgrades!$T$9="First Photons",POWER(Upgrades!$U$9,H369),1)*IF(Upgrades!$T$10="First Photons",POWER(Upgrades!$U$10,I369),1)*IF(Upgrades!$T$11="First Photons",POWER(Upgrades!$U$11,J369),1)))*POWER(Upgrades!$R$6,E369)*POWER(Upgrades!$R$7,F369)*POWER(Upgrades!$R$8,G369)*POWER(Upgrades!$R$9,H369)*POWER(Upgrades!$R$10,I369)*POWER(Upgrades!$R$11,J369)*POWER(Upgrades!$R$12,K369)</f>
        <v>0</v>
      </c>
      <c r="P369" s="27" t="n">
        <f aca="false">IF(L369=1,0,M369*Parameters!$B$10/60*Parameters!$B$11*10)</f>
        <v>0</v>
      </c>
      <c r="Q369" s="27" t="n">
        <f aca="false">IF(L369=1,0,O369*M369*10)</f>
        <v>0</v>
      </c>
      <c r="R369" s="27" t="n">
        <f aca="false">IF(L369=1,0,N369*10)</f>
        <v>0</v>
      </c>
      <c r="S369" s="27" t="n">
        <f aca="false">P369+Q369+R369</f>
        <v>0</v>
      </c>
      <c r="T369" s="21" t="n">
        <f aca="false">C369+S369</f>
        <v>18.6730249835055</v>
      </c>
      <c r="U369" s="34" t="str">
        <f aca="false">AX369</f>
        <v/>
      </c>
      <c r="V369" s="21" t="n">
        <f aca="false">IF(U369="",0,IF(U369="transition",0,IF(U369="SW",AG369,IF(U369="AB",AH369,IF(U369="SC",AI369,IF(U369="Mag",AJ369,IF(U369="OR",AK369,IF(U369="HP",AL369,IF(U369="FP",AM369,0)))))))))</f>
        <v>0</v>
      </c>
      <c r="W369" s="27" t="n">
        <f aca="false">IF(U369="OR",Upgrades!$F$10,IF(U369="HP",Upgrades!$F$11,IF(U369="transition",-Parameters!$B$18,0)))</f>
        <v>0</v>
      </c>
      <c r="X369" s="21" t="n">
        <f aca="false">T369-V369</f>
        <v>18.6730249835055</v>
      </c>
      <c r="Y369" s="30" t="n">
        <f aca="false">M369*Parameters!$B$10/60*Parameters!$B$11+O369*M369+N369</f>
        <v>20.55</v>
      </c>
      <c r="Z369" s="35" t="str">
        <f aca="false">IF(U369="transition","→ Tier 2 (Stellar Neighborhood)",IF(U369="FP","First Photons — light begins, system quickens",IF(U369="HP","Heliopause acquired",IF(U369="OR","Orbital Resonance — passive multiplier active",IF(AND(AO369=1,L369=0,AN369&lt;&gt;1),"Cohesion ready (waiting on completionist upgrades)","")))))</f>
        <v/>
      </c>
      <c r="AA369" s="27" t="n">
        <f aca="false">(IF(E369=0,0,(Upgrades!$G$6+E369*Upgrades!$H$6)*POWER(Upgrades!$I$6,E369)))*(IF(Upgrades!$T$7="Solar Wind",POWER(Upgrades!$U$7,F369),1)*IF(Upgrades!$T$8="Solar Wind",POWER(Upgrades!$U$8,G369),1)*IF(Upgrades!$T$9="Solar Wind",POWER(Upgrades!$U$9,H369),1)*IF(Upgrades!$T$10="Solar Wind",POWER(Upgrades!$U$10,I369),1)*IF(Upgrades!$T$11="Solar Wind",POWER(Upgrades!$U$11,J369),1)*IF(Upgrades!$T$12="Solar Wind",POWER(Upgrades!$U$12,K369),1))*POWER(Upgrades!$P$6,E369)*POWER(Upgrades!$P$7,F369)*POWER(Upgrades!$P$8,G369)*POWER(Upgrades!$P$9,H369)*POWER(Upgrades!$P$10,I369)*POWER(Upgrades!$P$11,J369)*POWER(Upgrades!$P$12,K369)*60</f>
        <v>72</v>
      </c>
      <c r="AB369" s="27" t="n">
        <f aca="false">(IF(F369=0,0,(Upgrades!$G$7+F369*Upgrades!$H$7)*POWER(Upgrades!$I$7,F369)))*(IF(Upgrades!$T$6="Asteroid Belt",POWER(Upgrades!$U$6,E369),1)*IF(Upgrades!$T$8="Asteroid Belt",POWER(Upgrades!$U$8,G369),1)*IF(Upgrades!$T$9="Asteroid Belt",POWER(Upgrades!$U$9,H369),1)*IF(Upgrades!$T$10="Asteroid Belt",POWER(Upgrades!$U$10,I369),1)*IF(Upgrades!$T$11="Asteroid Belt",POWER(Upgrades!$U$11,J369),1)*IF(Upgrades!$T$12="Asteroid Belt",POWER(Upgrades!$U$12,K369),1))*POWER(Upgrades!$P$6,E369)*POWER(Upgrades!$P$7,F369)*POWER(Upgrades!$P$8,G369)*POWER(Upgrades!$P$9,H369)*POWER(Upgrades!$P$10,I369)*POWER(Upgrades!$P$11,J369)*POWER(Upgrades!$P$12,K369)*60</f>
        <v>150</v>
      </c>
      <c r="AC369" s="27" t="n">
        <f aca="false">(IF(G369=0,0,(Upgrades!$J$8+G369*Upgrades!$K$8)*POWER(Upgrades!$L$8,G369)))*(IF(Upgrades!$T$6="Stellar Coupling",POWER(Upgrades!$U$6,E369),1)*IF(Upgrades!$T$7="Stellar Coupling",POWER(Upgrades!$U$7,F369),1)*IF(Upgrades!$T$9="Stellar Coupling",POWER(Upgrades!$U$9,H369),1)*IF(Upgrades!$T$10="Stellar Coupling",POWER(Upgrades!$U$10,I369),1)*IF(Upgrades!$T$11="Stellar Coupling",POWER(Upgrades!$U$11,J369),1)*IF(Upgrades!$T$12="Stellar Coupling",POWER(Upgrades!$U$12,K369),1))*POWER(Upgrades!$Q$6,E369)*POWER(Upgrades!$Q$7,F369)*POWER(Upgrades!$Q$8,G369)*POWER(Upgrades!$Q$9,H369)*POWER(Upgrades!$Q$10,I369)*POWER(Upgrades!$Q$11,J369)*POWER(Upgrades!$Q$12,K369)*Parameters!$B$10*Parameters!$B$11</f>
        <v>441</v>
      </c>
      <c r="AD369" s="27" t="n">
        <f aca="false">(IF(H369=0,0,(Upgrades!$G$9+H369*Upgrades!$H$9)*POWER(Upgrades!$I$9,H369)))*(IF(Upgrades!$T$6="Magnetosphere",POWER(Upgrades!$U$6,E369),1)*IF(Upgrades!$T$7="Magnetosphere",POWER(Upgrades!$U$7,F369),1)*IF(Upgrades!$T$8="Magnetosphere",POWER(Upgrades!$U$8,G369),1)*IF(Upgrades!$T$10="Magnetosphere",POWER(Upgrades!$U$10,I369),1)*IF(Upgrades!$T$11="Magnetosphere",POWER(Upgrades!$U$11,J369),1)*IF(Upgrades!$T$12="Magnetosphere",POWER(Upgrades!$U$12,K369),1))*POWER(Upgrades!$P$6,E369)*POWER(Upgrades!$P$7,F369)*POWER(Upgrades!$P$8,G369)*POWER(Upgrades!$P$9,H369)*POWER(Upgrades!$P$10,I369)*POWER(Upgrades!$P$11,J369)*POWER(Upgrades!$P$12,K369)*60</f>
        <v>375</v>
      </c>
      <c r="AE369" s="27" t="n">
        <f aca="false">(IF(K369=0,0,(Upgrades!$G$12+K369*Upgrades!$H$12)*POWER(Upgrades!$I$12,K369)))*(IF(Upgrades!$T$6="First Photons",POWER(Upgrades!$U$6,E369),1)*IF(Upgrades!$T$7="First Photons",POWER(Upgrades!$U$7,F369),1)*IF(Upgrades!$T$8="First Photons",POWER(Upgrades!$U$8,G369),1)*IF(Upgrades!$T$9="First Photons",POWER(Upgrades!$U$9,H369),1)*IF(Upgrades!$T$10="First Photons",POWER(Upgrades!$U$10,I369),1)*IF(Upgrades!$T$11="First Photons",POWER(Upgrades!$U$11,J369),1))*POWER(Upgrades!$P$6,E369)*POWER(Upgrades!$P$7,F369)*POWER(Upgrades!$P$8,G369)*POWER(Upgrades!$P$9,H369)*POWER(Upgrades!$P$10,I369)*POWER(Upgrades!$P$11,J369)*POWER(Upgrades!$P$12,K369)*60</f>
        <v>75</v>
      </c>
      <c r="AF369" s="27" t="n">
        <f aca="false">Parameters!$B$9*POWER(Upgrades!$Q$6,E369)*POWER(Upgrades!$Q$7,F369)*POWER(Upgrades!$Q$8,G369)*POWER(Upgrades!$Q$9,H369)*POWER(Upgrades!$Q$10,I369)*POWER(Upgrades!$Q$11,J369)*POWER(Upgrades!$Q$12,K369)*(Parameters!$B$10*Parameters!$B$11+O369*60)</f>
        <v>120</v>
      </c>
      <c r="AG369" s="21" t="n">
        <f aca="false">IF(E369&gt;=Upgrades!$E$6,"",Upgrades!$C$6*POWER(Upgrades!$D$6,E369))</f>
        <v>37.4517507383159</v>
      </c>
      <c r="AH369" s="21" t="n">
        <f aca="false">IF(F369&gt;=Upgrades!$E$7,"",Upgrades!$C$7*POWER(Upgrades!$D$7,F369))</f>
        <v>80.9111547141581</v>
      </c>
      <c r="AI369" s="21" t="n">
        <f aca="false">IF(G369&gt;=Upgrades!$E$8,"",Upgrades!$C$8*POWER(Upgrades!$D$8,G369))</f>
        <v>231.9097088</v>
      </c>
      <c r="AJ369" s="21" t="str">
        <f aca="false">IF(H369&gt;=Upgrades!$E$9,"",Upgrades!$C$9*POWER(Upgrades!$D$9,H369))</f>
        <v/>
      </c>
      <c r="AK369" s="21" t="str">
        <f aca="false">IF(I369&gt;=Upgrades!$E$10,"",Upgrades!$C$10*POWER(Upgrades!$D$10,I369))</f>
        <v/>
      </c>
      <c r="AL369" s="21" t="str">
        <f aca="false">IF(J369&gt;=Upgrades!$E$11,"",Upgrades!$C$11*POWER(Upgrades!$D$11,J369))</f>
        <v/>
      </c>
      <c r="AM369" s="21" t="str">
        <f aca="false">IF(K369&gt;=Upgrades!$E$12,"",Upgrades!$C$12*POWER(Upgrades!$D$12,K369))</f>
        <v/>
      </c>
      <c r="AN369" s="26" t="str">
        <f aca="false">IF(AND(D369&gt;=Parameters!$B$18,(H369&gt;=Upgrades!$E$9)*(K369&gt;=Upgrades!$E$12)=1,L369=0),1,"")</f>
        <v/>
      </c>
      <c r="AO369" s="26" t="str">
        <f aca="false">IF(AND(D369&gt;=Parameters!$B$18,L369=0),1,"")</f>
        <v/>
      </c>
      <c r="AP369" s="21" t="n">
        <f aca="false">MIN(IF(ISNUMBER(AK369),AK369,9000000000000000),IF(ISNUMBER(AL369),AL369,9000000000000000),IF(ISNUMBER(AM369),AM369,9000000000000000))</f>
        <v>9000000000000000</v>
      </c>
      <c r="AQ369" s="21" t="n">
        <f aca="false">MIN(IF(ISNUMBER(AG369),AG369,9000000000000000),IF(ISNUMBER(AH369),AH369,9000000000000000),IF(ISNUMBER(AI369),AI369,9000000000000000),IF(ISNUMBER(AJ369),AJ369,9000000000000000))</f>
        <v>37.4517507383159</v>
      </c>
      <c r="AR369" s="32" t="b">
        <f aca="false">IF(AW369&gt;Parameters!$B$21*(MAX(IF(AND(NOT(AND(AO369=1,AN369&lt;&gt;1)),ISNUMBER(AG369),AG369&lt;=T369),AS369,0),IF(AND(NOT(AND(AO369=1,AN369&lt;&gt;1)),ISNUMBER(AH369),AH369&lt;=T369),AT369,0),IF(AND(NOT(AND(AO369=1,AN369&lt;&gt;1)),ISNUMBER(AI369),AI369&lt;=T369),AU369,0),IF(AND(ISNUMBER(AJ369),AJ369&lt;=T369),AV369,0))),TRUE(),FALSE())</f>
        <v>1</v>
      </c>
      <c r="AS369" s="33" t="n">
        <f aca="false">IFERROR(Upgrades!$H$6*(POWER(Upgrades!$P$6,E369)*POWER(Upgrades!$P$7,F369)*POWER(Upgrades!$P$8,G369)*POWER(Upgrades!$P$9,H369)*POWER(Upgrades!$P$10,I369)*POWER(Upgrades!$P$11,J369)*POWER(Upgrades!$P$12,K369))*(IF(Upgrades!$T$7="Solar Wind",POWER(Upgrades!$U$7,F369),1)*IF(Upgrades!$T$8="Solar Wind",POWER(Upgrades!$U$8,G369),1)*IF(Upgrades!$T$9="Solar Wind",POWER(Upgrades!$U$9,H369),1)*IF(Upgrades!$T$10="Solar Wind",POWER(Upgrades!$U$10,I369),1)*IF(Upgrades!$T$11="Solar Wind",POWER(Upgrades!$U$11,J369),1)*IF(Upgrades!$T$12="Solar Wind",POWER(Upgrades!$U$12,K369),1))/AG369,0)</f>
        <v>0.0026701021455238</v>
      </c>
      <c r="AT369" s="33" t="n">
        <f aca="false">IFERROR(Upgrades!$H$7*(POWER(Upgrades!$P$6,E369)*POWER(Upgrades!$P$7,F369)*POWER(Upgrades!$P$8,G369)*POWER(Upgrades!$P$9,H369)*POWER(Upgrades!$P$10,I369)*POWER(Upgrades!$P$11,J369)*POWER(Upgrades!$P$12,K369))*(IF(Upgrades!$T$6="Asteroid Belt",POWER(Upgrades!$U$6,E369),1)*IF(Upgrades!$T$8="Asteroid Belt",POWER(Upgrades!$U$8,G369),1)*IF(Upgrades!$T$9="Asteroid Belt",POWER(Upgrades!$U$9,H369),1)*IF(Upgrades!$T$10="Asteroid Belt",POWER(Upgrades!$U$10,I369),1)*IF(Upgrades!$T$11="Asteroid Belt",POWER(Upgrades!$U$11,J369),1)*IF(Upgrades!$T$12="Asteroid Belt",POWER(Upgrades!$U$12,K369),1))/AH369,0)</f>
        <v>0.00308980882652332</v>
      </c>
      <c r="AU369" s="33" t="n">
        <f aca="false">IFERROR(Upgrades!$K$8*(POWER(Upgrades!$Q$6,E369)*POWER(Upgrades!$Q$7,F369)*POWER(Upgrades!$Q$8,G369)*POWER(Upgrades!$Q$9,H369)*POWER(Upgrades!$Q$10,I369)*POWER(Upgrades!$Q$11,J369)*POWER(Upgrades!$Q$12,K369))*(IF(Upgrades!$T$6="Stellar Coupling",POWER(Upgrades!$U$6,E369),1)*IF(Upgrades!$T$7="Stellar Coupling",POWER(Upgrades!$U$7,F369),1)*IF(Upgrades!$T$9="Stellar Coupling",POWER(Upgrades!$U$9,H369),1)*IF(Upgrades!$T$10="Stellar Coupling",POWER(Upgrades!$U$10,I369),1)*IF(Upgrades!$T$11="Stellar Coupling",POWER(Upgrades!$U$11,J369),1)*IF(Upgrades!$T$12="Stellar Coupling",POWER(Upgrades!$U$12,K369),1))*Parameters!$B$10*Parameters!$B$11/60/AI369,0)</f>
        <v>0.00452762415783776</v>
      </c>
      <c r="AV369" s="33" t="n">
        <f aca="false">IFERROR(Upgrades!$H$9*(POWER(Upgrades!$P$6,E369)*POWER(Upgrades!$P$7,F369)*POWER(Upgrades!$P$8,G369)*POWER(Upgrades!$P$9,H369)*POWER(Upgrades!$P$10,I369)*POWER(Upgrades!$P$11,J369)*POWER(Upgrades!$P$12,K369))*(IF(Upgrades!$T$6="Magnetosphere",POWER(Upgrades!$U$6,E369),1)*IF(Upgrades!$T$7="Magnetosphere",POWER(Upgrades!$U$7,F369),1)*IF(Upgrades!$T$8="Magnetosphere",POWER(Upgrades!$U$8,G369),1)*IF(Upgrades!$T$10="Magnetosphere",POWER(Upgrades!$U$10,I369),1)*IF(Upgrades!$T$11="Magnetosphere",POWER(Upgrades!$U$11,J369),1)*IF(Upgrades!$T$12="Magnetosphere",POWER(Upgrades!$U$12,K369),1))/AJ369,0)</f>
        <v>0</v>
      </c>
      <c r="AW369" s="33" t="n">
        <f aca="false">MAX(IF(I369&gt;0,0,IFERROR(0.25*N369/Upgrades!$C$10,0)),IF(J369&gt;0,0,IFERROR(0.5*((IF(G369=0,0,(Upgrades!$J$8+G369*Upgrades!$K$8)*POWER(Upgrades!$L$8,G369)))*(IF(Upgrades!$T$6="Stellar Coupling",POWER(Upgrades!$U$6,E369),1)*IF(Upgrades!$T$7="Stellar Coupling",POWER(Upgrades!$U$7,F369),1)*IF(Upgrades!$T$9="Stellar Coupling",POWER(Upgrades!$U$9,H369),1)*IF(Upgrades!$T$10="Stellar Coupling",POWER(Upgrades!$U$10,I369),1)*IF(Upgrades!$T$11="Stellar Coupling",POWER(Upgrades!$U$11,J369),1)*IF(Upgrades!$T$12="Stellar Coupling",POWER(Upgrades!$U$12,K369),1))*(POWER(Upgrades!$Q$6,E369)*POWER(Upgrades!$Q$7,F369)*POWER(Upgrades!$Q$8,G369)*POWER(Upgrades!$Q$9,H369)*POWER(Upgrades!$Q$10,I369)*POWER(Upgrades!$Q$11,J369)*POWER(Upgrades!$Q$12,K369))*Parameters!$B$10*Parameters!$B$11/60)/Upgrades!$C$11,0)),IF(K369&gt;0,0,IFERROR((1*(POWER(Upgrades!$P$6,E369)*POWER(Upgrades!$P$7,F369)*POWER(Upgrades!$P$8,G369)*POWER(Upgrades!$P$9,H369)*POWER(Upgrades!$P$10,I369)*POWER(Upgrades!$P$11,J369)*POWER(Upgrades!$P$12,K369))+0.2*M369*Parameters!$B$10*Parameters!$B$11/60)/Upgrades!$C$12,0)),IF(AND(ISNUMBER(AG369),AG369&gt;T369),AS369,0),IF(AND(ISNUMBER(AH369),AH369&gt;T369),AT369,0),IF(AND(ISNUMBER(AI369),AI369&gt;T369),AU369,0),IF(AND(ISNUMBER(AJ369),AJ369&gt;T369),AV369,0))</f>
        <v>0.00452762415783776</v>
      </c>
      <c r="AX369" s="29" t="str">
        <f aca="false">IF(AN369=1,"transition",IF(MIN(IF(AND(I369=0,ISNUMBER(AK369),AK369&lt;=T369),AK369,9000000000000000),IF(AND(J369=0,ISNUMBER(AL369),AL369&lt;=T369),AL369,9000000000000000),IF(AND(K369=0,ISNUMBER(AM369),AM369&lt;=T369),AM369,9000000000000000))&lt;9000000000000000,IF(AND(AND(I369=0,ISNUMBER(AK369),AK369&lt;=T369),AK369=MIN(IF(AND(I369=0,ISNUMBER(AK369),AK369&lt;=T369),AK369,9000000000000000),IF(AND(J369=0,ISNUMBER(AL369),AL369&lt;=T369),AL369,9000000000000000),IF(AND(K369=0,ISNUMBER(AM369),AM369&lt;=T369),AM369,9000000000000000))),"OR",IF(AND(AND(J369=0,ISNUMBER(AL369),AL369&lt;=T369),AL369=MIN(IF(AND(I369=0,ISNUMBER(AK369),AK369&lt;=T369),AK369,9000000000000000),IF(AND(J369=0,ISNUMBER(AL369),AL369&lt;=T369),AL369,9000000000000000),IF(AND(K369=0,ISNUMBER(AM369),AM369&lt;=T369),AM369,9000000000000000))),"HP","FP")),IF(AR369=TRUE(),"",IF(MAX(IF(AND(NOT(AND(AO369=1,AN369&lt;&gt;1)),ISNUMBER(AG369),AG369&lt;=T369),AS369,0),IF(AND(NOT(AND(AO369=1,AN369&lt;&gt;1)),ISNUMBER(AH369),AH369&lt;=T369),AT369,0),IF(AND(NOT(AND(AO369=1,AN369&lt;&gt;1)),ISNUMBER(AI369),AI369&lt;=T369),AU369,0),IF(AND(ISNUMBER(AJ369),AJ369&lt;=T369),AV369,0))&lt;=0,"",IF(AND(IF(AND(NOT(AND(AO369=1,AN369&lt;&gt;1)),ISNUMBER(AG369),AG369&lt;=T369),AS369,0)&gt;0,IF(AND(NOT(AND(AO369=1,AN369&lt;&gt;1)),ISNUMBER(AG369),AG369&lt;=T369),AS369,0)=MAX(IF(AND(NOT(AND(AO369=1,AN369&lt;&gt;1)),ISNUMBER(AG369),AG369&lt;=T369),AS369,0),IF(AND(NOT(AND(AO369=1,AN369&lt;&gt;1)),ISNUMBER(AH369),AH369&lt;=T369),AT369,0),IF(AND(NOT(AND(AO369=1,AN369&lt;&gt;1)),ISNUMBER(AI369),AI369&lt;=T369),AU369,0),IF(AND(ISNUMBER(AJ369),AJ369&lt;=T369),AV369,0))),"SW",IF(AND(IF(AND(NOT(AND(AO369=1,AN369&lt;&gt;1)),ISNUMBER(AH369),AH369&lt;=T369),AT369,0)&gt;0,IF(AND(NOT(AND(AO369=1,AN369&lt;&gt;1)),ISNUMBER(AH369),AH369&lt;=T369),AT369,0)=MAX(IF(AND(NOT(AND(AO369=1,AN369&lt;&gt;1)),ISNUMBER(AG369),AG369&lt;=T369),AS369,0),IF(AND(NOT(AND(AO369=1,AN369&lt;&gt;1)),ISNUMBER(AH369),AH369&lt;=T369),AT369,0),IF(AND(NOT(AND(AO369=1,AN369&lt;&gt;1)),ISNUMBER(AI369),AI369&lt;=T369),AU369,0),IF(AND(ISNUMBER(AJ369),AJ369&lt;=T369),AV369,0))),"AB",IF(AND(IF(AND(NOT(AND(AO369=1,AN369&lt;&gt;1)),ISNUMBER(AI369),AI369&lt;=T369),AU369,0)&gt;0,IF(AND(NOT(AND(AO369=1,AN369&lt;&gt;1)),ISNUMBER(AI369),AI369&lt;=T369),AU369,0)=MAX(IF(AND(NOT(AND(AO369=1,AN369&lt;&gt;1)),ISNUMBER(AG369),AG369&lt;=T369),AS369,0),IF(AND(NOT(AND(AO369=1,AN369&lt;&gt;1)),ISNUMBER(AH369),AH369&lt;=T369),AT369,0),IF(AND(NOT(AND(AO369=1,AN369&lt;&gt;1)),ISNUMBER(AI369),AI369&lt;=T369),AU369,0),IF(AND(ISNUMBER(AJ369),AJ369&lt;=T369),AV369,0))),"SC","Mag")))))))</f>
        <v/>
      </c>
    </row>
    <row r="370" customFormat="false" ht="15" hidden="false" customHeight="false" outlineLevel="0" collapsed="false">
      <c r="A370" s="26" t="n">
        <v>365</v>
      </c>
      <c r="B370" s="27" t="n">
        <f aca="false">A370*10/60</f>
        <v>60.8333333333333</v>
      </c>
      <c r="C370" s="21" t="n">
        <f aca="false">X369</f>
        <v>18.6730249835055</v>
      </c>
      <c r="D370" s="27" t="n">
        <f aca="false">D369+W369</f>
        <v>0</v>
      </c>
      <c r="E370" s="26" t="n">
        <f aca="false">E369+IF(U369="SW",1,0)</f>
        <v>12</v>
      </c>
      <c r="F370" s="26" t="n">
        <f aca="false">F369+IF(U369="AB",1,0)</f>
        <v>10</v>
      </c>
      <c r="G370" s="26" t="n">
        <f aca="false">G369+IF(U369="SC",1,0)</f>
        <v>7</v>
      </c>
      <c r="H370" s="26" t="n">
        <f aca="false">H369+IF(U369="Mag",1,0)</f>
        <v>5</v>
      </c>
      <c r="I370" s="26" t="n">
        <f aca="false">MAX(I369,IF(U369="OR",1,0))</f>
        <v>1</v>
      </c>
      <c r="J370" s="26" t="n">
        <f aca="false">MAX(J369,IF(U369="HP",1,0))</f>
        <v>1</v>
      </c>
      <c r="K370" s="26" t="n">
        <f aca="false">MAX(K369,IF(U369="FP",1,0))</f>
        <v>1</v>
      </c>
      <c r="L370" s="26" t="n">
        <f aca="false">MAX(L369,IF(U369="transition",1,0))</f>
        <v>1</v>
      </c>
      <c r="M370" s="28" t="n">
        <f aca="false">(Parameters!$B$9+(IF(E370=0,0,(Upgrades!$J$6+E370*Upgrades!$K$6)*POWER(Upgrades!$L$6,E370)))*(IF(Upgrades!$T$7="Solar Wind",POWER(Upgrades!$U$7,F370),1)*IF(Upgrades!$T$8="Solar Wind",POWER(Upgrades!$U$8,G370),1)*IF(Upgrades!$T$9="Solar Wind",POWER(Upgrades!$U$9,H370),1)*IF(Upgrades!$T$10="Solar Wind",POWER(Upgrades!$U$10,I370),1)*IF(Upgrades!$T$11="Solar Wind",POWER(Upgrades!$U$11,J370),1)*IF(Upgrades!$T$12="Solar Wind",POWER(Upgrades!$U$12,K370),1))+(IF(F370=0,0,(Upgrades!$J$7+F370*Upgrades!$K$7)*POWER(Upgrades!$L$7,F370)))*(IF(Upgrades!$T$6="Asteroid Belt",POWER(Upgrades!$U$6,E370),1)*IF(Upgrades!$T$8="Asteroid Belt",POWER(Upgrades!$U$8,G370),1)*IF(Upgrades!$T$9="Asteroid Belt",POWER(Upgrades!$U$9,H370),1)*IF(Upgrades!$T$10="Asteroid Belt",POWER(Upgrades!$U$10,I370),1)*IF(Upgrades!$T$11="Asteroid Belt",POWER(Upgrades!$U$11,J370),1)*IF(Upgrades!$T$12="Asteroid Belt",POWER(Upgrades!$U$12,K370),1))+(IF(G370=0,0,(Upgrades!$J$8+G370*Upgrades!$K$8)*POWER(Upgrades!$L$8,G370)))*(IF(Upgrades!$T$6="Stellar Coupling",POWER(Upgrades!$U$6,E370),1)*IF(Upgrades!$T$7="Stellar Coupling",POWER(Upgrades!$U$7,F370),1)*IF(Upgrades!$T$9="Stellar Coupling",POWER(Upgrades!$U$9,H370),1)*IF(Upgrades!$T$10="Stellar Coupling",POWER(Upgrades!$U$10,I370),1)*IF(Upgrades!$T$11="Stellar Coupling",POWER(Upgrades!$U$11,J370),1)*IF(Upgrades!$T$12="Stellar Coupling",POWER(Upgrades!$U$12,K370),1))+(IF(H370=0,0,(Upgrades!$J$9+H370*Upgrades!$K$9)*POWER(Upgrades!$L$9,H370)))*(IF(Upgrades!$T$6="Magnetosphere",POWER(Upgrades!$U$6,E370),1)*IF(Upgrades!$T$7="Magnetosphere",POWER(Upgrades!$U$7,F370),1)*IF(Upgrades!$T$8="Magnetosphere",POWER(Upgrades!$U$8,G370),1)*IF(Upgrades!$T$10="Magnetosphere",POWER(Upgrades!$U$10,I370),1)*IF(Upgrades!$T$11="Magnetosphere",POWER(Upgrades!$U$11,J370),1)*IF(Upgrades!$T$12="Magnetosphere",POWER(Upgrades!$U$12,K370),1))+(IF(I370=0,0,(Upgrades!$J$10+I370*Upgrades!$K$10)*POWER(Upgrades!$L$10,I370)))*(IF(Upgrades!$T$6="Orbital Resonance",POWER(Upgrades!$U$6,E370),1)*IF(Upgrades!$T$7="Orbital Resonance",POWER(Upgrades!$U$7,F370),1)*IF(Upgrades!$T$8="Orbital Resonance",POWER(Upgrades!$U$8,G370),1)*IF(Upgrades!$T$9="Orbital Resonance",POWER(Upgrades!$U$9,H370),1)*IF(Upgrades!$T$11="Orbital Resonance",POWER(Upgrades!$U$11,J370),1)*IF(Upgrades!$T$12="Orbital Resonance",POWER(Upgrades!$U$12,K370),1))+(IF(J370=0,0,(Upgrades!$J$11+J370*Upgrades!$K$11)*POWER(Upgrades!$L$11,J370)))*(IF(Upgrades!$T$6="Heliopause",POWER(Upgrades!$U$6,E370),1)*IF(Upgrades!$T$7="Heliopause",POWER(Upgrades!$U$7,F370),1)*IF(Upgrades!$T$8="Heliopause",POWER(Upgrades!$U$8,G370),1)*IF(Upgrades!$T$9="Heliopause",POWER(Upgrades!$U$9,H370),1)*IF(Upgrades!$T$10="Heliopause",POWER(Upgrades!$U$10,I370),1)*IF(Upgrades!$T$12="Heliopause",POWER(Upgrades!$U$12,K370),1))+(IF(K370=0,0,(Upgrades!$J$12+K370*Upgrades!$K$12)*POWER(Upgrades!$L$12,K370)))*(IF(Upgrades!$T$6="First Photons",POWER(Upgrades!$U$6,E370),1)*IF(Upgrades!$T$7="First Photons",POWER(Upgrades!$U$7,F370),1)*IF(Upgrades!$T$8="First Photons",POWER(Upgrades!$U$8,G370),1)*IF(Upgrades!$T$9="First Photons",POWER(Upgrades!$U$9,H370),1)*IF(Upgrades!$T$10="First Photons",POWER(Upgrades!$U$10,I370),1)*IF(Upgrades!$T$11="First Photons",POWER(Upgrades!$U$11,J370),1)))*POWER(Upgrades!$Q$6,E370)*POWER(Upgrades!$Q$7,F370)*POWER(Upgrades!$Q$8,G370)*POWER(Upgrades!$Q$9,H370)*POWER(Upgrades!$Q$10,I370)*POWER(Upgrades!$Q$11,J370)*POWER(Upgrades!$Q$12,K370)</f>
        <v>5.61</v>
      </c>
      <c r="N370" s="28" t="n">
        <f aca="false">((IF(E370=0,0,(Upgrades!$G$6+E370*Upgrades!$H$6)*POWER(Upgrades!$I$6,E370)))*(IF(Upgrades!$T$7="Solar Wind",POWER(Upgrades!$U$7,F370),1)*IF(Upgrades!$T$8="Solar Wind",POWER(Upgrades!$U$8,G370),1)*IF(Upgrades!$T$9="Solar Wind",POWER(Upgrades!$U$9,H370),1)*IF(Upgrades!$T$10="Solar Wind",POWER(Upgrades!$U$10,I370),1)*IF(Upgrades!$T$11="Solar Wind",POWER(Upgrades!$U$11,J370),1)*IF(Upgrades!$T$12="Solar Wind",POWER(Upgrades!$U$12,K370),1))+(IF(F370=0,0,(Upgrades!$G$7+F370*Upgrades!$H$7)*POWER(Upgrades!$I$7,F370)))*(IF(Upgrades!$T$6="Asteroid Belt",POWER(Upgrades!$U$6,E370),1)*IF(Upgrades!$T$8="Asteroid Belt",POWER(Upgrades!$U$8,G370),1)*IF(Upgrades!$T$9="Asteroid Belt",POWER(Upgrades!$U$9,H370),1)*IF(Upgrades!$T$10="Asteroid Belt",POWER(Upgrades!$U$10,I370),1)*IF(Upgrades!$T$11="Asteroid Belt",POWER(Upgrades!$U$11,J370),1)*IF(Upgrades!$T$12="Asteroid Belt",POWER(Upgrades!$U$12,K370),1))+(IF(G370=0,0,(Upgrades!$G$8+G370*Upgrades!$H$8)*POWER(Upgrades!$I$8,G370)))*(IF(Upgrades!$T$6="Stellar Coupling",POWER(Upgrades!$U$6,E370),1)*IF(Upgrades!$T$7="Stellar Coupling",POWER(Upgrades!$U$7,F370),1)*IF(Upgrades!$T$9="Stellar Coupling",POWER(Upgrades!$U$9,H370),1)*IF(Upgrades!$T$10="Stellar Coupling",POWER(Upgrades!$U$10,I370),1)*IF(Upgrades!$T$11="Stellar Coupling",POWER(Upgrades!$U$11,J370),1)*IF(Upgrades!$T$12="Stellar Coupling",POWER(Upgrades!$U$12,K370),1))+(IF(H370=0,0,(Upgrades!$G$9+H370*Upgrades!$H$9)*POWER(Upgrades!$I$9,H370)))*(IF(Upgrades!$T$6="Magnetosphere",POWER(Upgrades!$U$6,E370),1)*IF(Upgrades!$T$7="Magnetosphere",POWER(Upgrades!$U$7,F370),1)*IF(Upgrades!$T$8="Magnetosphere",POWER(Upgrades!$U$8,G370),1)*IF(Upgrades!$T$10="Magnetosphere",POWER(Upgrades!$U$10,I370),1)*IF(Upgrades!$T$11="Magnetosphere",POWER(Upgrades!$U$11,J370),1)*IF(Upgrades!$T$12="Magnetosphere",POWER(Upgrades!$U$12,K370),1))+(IF(I370=0,0,(Upgrades!$G$10+I370*Upgrades!$H$10)*POWER(Upgrades!$I$10,I370)))*(IF(Upgrades!$T$6="Orbital Resonance",POWER(Upgrades!$U$6,E370),1)*IF(Upgrades!$T$7="Orbital Resonance",POWER(Upgrades!$U$7,F370),1)*IF(Upgrades!$T$8="Orbital Resonance",POWER(Upgrades!$U$8,G370),1)*IF(Upgrades!$T$9="Orbital Resonance",POWER(Upgrades!$U$9,H370),1)*IF(Upgrades!$T$11="Orbital Resonance",POWER(Upgrades!$U$11,J370),1)*IF(Upgrades!$T$12="Orbital Resonance",POWER(Upgrades!$U$12,K370),1))+(IF(J370=0,0,(Upgrades!$G$11+J370*Upgrades!$H$11)*POWER(Upgrades!$I$11,J370)))*(IF(Upgrades!$T$6="Heliopause",POWER(Upgrades!$U$6,E370),1)*IF(Upgrades!$T$7="Heliopause",POWER(Upgrades!$U$7,F370),1)*IF(Upgrades!$T$8="Heliopause",POWER(Upgrades!$U$8,G370),1)*IF(Upgrades!$T$9="Heliopause",POWER(Upgrades!$U$9,H370),1)*IF(Upgrades!$T$10="Heliopause",POWER(Upgrades!$U$10,I370),1)*IF(Upgrades!$T$12="Heliopause",POWER(Upgrades!$U$12,K370),1))+(IF(K370=0,0,(Upgrades!$G$12+K370*Upgrades!$H$12)*POWER(Upgrades!$I$12,K370)))*(IF(Upgrades!$T$6="First Photons",POWER(Upgrades!$U$6,E370),1)*IF(Upgrades!$T$7="First Photons",POWER(Upgrades!$U$7,F370),1)*IF(Upgrades!$T$8="First Photons",POWER(Upgrades!$U$8,G370),1)*IF(Upgrades!$T$9="First Photons",POWER(Upgrades!$U$9,H370),1)*IF(Upgrades!$T$10="First Photons",POWER(Upgrades!$U$10,I370),1)*IF(Upgrades!$T$11="First Photons",POWER(Upgrades!$U$11,J370),1)))*POWER(Upgrades!$P$6,E370)*POWER(Upgrades!$P$7,F370)*POWER(Upgrades!$P$8,G370)*POWER(Upgrades!$P$9,H370)*POWER(Upgrades!$P$10,I370)*POWER(Upgrades!$P$11,J370)*POWER(Upgrades!$P$12,K370)</f>
        <v>11.2</v>
      </c>
      <c r="O370" s="28" t="n">
        <f aca="false">((IF(E370=0,0,(Upgrades!$M$6+E370*Upgrades!$N$6)*POWER(Upgrades!$O$6,E370)))*(IF(Upgrades!$T$7="Solar Wind",POWER(Upgrades!$U$7,F370),1)*IF(Upgrades!$T$8="Solar Wind",POWER(Upgrades!$U$8,G370),1)*IF(Upgrades!$T$9="Solar Wind",POWER(Upgrades!$U$9,H370),1)*IF(Upgrades!$T$10="Solar Wind",POWER(Upgrades!$U$10,I370),1)*IF(Upgrades!$T$11="Solar Wind",POWER(Upgrades!$U$11,J370),1)*IF(Upgrades!$T$12="Solar Wind",POWER(Upgrades!$U$12,K370),1))+(IF(F370=0,0,(Upgrades!$M$7+F370*Upgrades!$N$7)*POWER(Upgrades!$O$7,F370)))*(IF(Upgrades!$T$6="Asteroid Belt",POWER(Upgrades!$U$6,E370),1)*IF(Upgrades!$T$8="Asteroid Belt",POWER(Upgrades!$U$8,G370),1)*IF(Upgrades!$T$9="Asteroid Belt",POWER(Upgrades!$U$9,H370),1)*IF(Upgrades!$T$10="Asteroid Belt",POWER(Upgrades!$U$10,I370),1)*IF(Upgrades!$T$11="Asteroid Belt",POWER(Upgrades!$U$11,J370),1)*IF(Upgrades!$T$12="Asteroid Belt",POWER(Upgrades!$U$12,K370),1))+(IF(G370=0,0,(Upgrades!$M$8+G370*Upgrades!$N$8)*POWER(Upgrades!$O$8,G370)))*(IF(Upgrades!$T$6="Stellar Coupling",POWER(Upgrades!$U$6,E370),1)*IF(Upgrades!$T$7="Stellar Coupling",POWER(Upgrades!$U$7,F370),1)*IF(Upgrades!$T$9="Stellar Coupling",POWER(Upgrades!$U$9,H370),1)*IF(Upgrades!$T$10="Stellar Coupling",POWER(Upgrades!$U$10,I370),1)*IF(Upgrades!$T$11="Stellar Coupling",POWER(Upgrades!$U$11,J370),1)*IF(Upgrades!$T$12="Stellar Coupling",POWER(Upgrades!$U$12,K370),1))+(IF(H370=0,0,(Upgrades!$M$9+H370*Upgrades!$N$9)*POWER(Upgrades!$O$9,H370)))*(IF(Upgrades!$T$6="Magnetosphere",POWER(Upgrades!$U$6,E370),1)*IF(Upgrades!$T$7="Magnetosphere",POWER(Upgrades!$U$7,F370),1)*IF(Upgrades!$T$8="Magnetosphere",POWER(Upgrades!$U$8,G370),1)*IF(Upgrades!$T$10="Magnetosphere",POWER(Upgrades!$U$10,I370),1)*IF(Upgrades!$T$11="Magnetosphere",POWER(Upgrades!$U$11,J370),1)*IF(Upgrades!$T$12="Magnetosphere",POWER(Upgrades!$U$12,K370),1))+(IF(I370=0,0,(Upgrades!$M$10+I370*Upgrades!$N$10)*POWER(Upgrades!$O$10,I370)))*(IF(Upgrades!$T$6="Orbital Resonance",POWER(Upgrades!$U$6,E370),1)*IF(Upgrades!$T$7="Orbital Resonance",POWER(Upgrades!$U$7,F370),1)*IF(Upgrades!$T$8="Orbital Resonance",POWER(Upgrades!$U$8,G370),1)*IF(Upgrades!$T$9="Orbital Resonance",POWER(Upgrades!$U$9,H370),1)*IF(Upgrades!$T$11="Orbital Resonance",POWER(Upgrades!$U$11,J370),1)*IF(Upgrades!$T$12="Orbital Resonance",POWER(Upgrades!$U$12,K370),1))+(IF(J370=0,0,(Upgrades!$M$11+J370*Upgrades!$N$11)*POWER(Upgrades!$O$11,J370)))*(IF(Upgrades!$T$6="Heliopause",POWER(Upgrades!$U$6,E370),1)*IF(Upgrades!$T$7="Heliopause",POWER(Upgrades!$U$7,F370),1)*IF(Upgrades!$T$8="Heliopause",POWER(Upgrades!$U$8,G370),1)*IF(Upgrades!$T$9="Heliopause",POWER(Upgrades!$U$9,H370),1)*IF(Upgrades!$T$10="Heliopause",POWER(Upgrades!$U$10,I370),1)*IF(Upgrades!$T$12="Heliopause",POWER(Upgrades!$U$12,K370),1))+(IF(K370=0,0,(Upgrades!$M$12+K370*Upgrades!$N$12)*POWER(Upgrades!$O$12,K370)))*(IF(Upgrades!$T$6="First Photons",POWER(Upgrades!$U$6,E370),1)*IF(Upgrades!$T$7="First Photons",POWER(Upgrades!$U$7,F370),1)*IF(Upgrades!$T$8="First Photons",POWER(Upgrades!$U$8,G370),1)*IF(Upgrades!$T$9="First Photons",POWER(Upgrades!$U$9,H370),1)*IF(Upgrades!$T$10="First Photons",POWER(Upgrades!$U$10,I370),1)*IF(Upgrades!$T$11="First Photons",POWER(Upgrades!$U$11,J370),1)))*POWER(Upgrades!$R$6,E370)*POWER(Upgrades!$R$7,F370)*POWER(Upgrades!$R$8,G370)*POWER(Upgrades!$R$9,H370)*POWER(Upgrades!$R$10,I370)*POWER(Upgrades!$R$11,J370)*POWER(Upgrades!$R$12,K370)</f>
        <v>0</v>
      </c>
      <c r="P370" s="27" t="n">
        <f aca="false">IF(L370=1,0,M370*Parameters!$B$10/60*Parameters!$B$11*10)</f>
        <v>0</v>
      </c>
      <c r="Q370" s="27" t="n">
        <f aca="false">IF(L370=1,0,O370*M370*10)</f>
        <v>0</v>
      </c>
      <c r="R370" s="27" t="n">
        <f aca="false">IF(L370=1,0,N370*10)</f>
        <v>0</v>
      </c>
      <c r="S370" s="27" t="n">
        <f aca="false">P370+Q370+R370</f>
        <v>0</v>
      </c>
      <c r="T370" s="21" t="n">
        <f aca="false">C370+S370</f>
        <v>18.6730249835055</v>
      </c>
      <c r="U370" s="34" t="str">
        <f aca="false">AX370</f>
        <v/>
      </c>
      <c r="V370" s="21" t="n">
        <f aca="false">IF(U370="",0,IF(U370="transition",0,IF(U370="SW",AG370,IF(U370="AB",AH370,IF(U370="SC",AI370,IF(U370="Mag",AJ370,IF(U370="OR",AK370,IF(U370="HP",AL370,IF(U370="FP",AM370,0)))))))))</f>
        <v>0</v>
      </c>
      <c r="W370" s="27" t="n">
        <f aca="false">IF(U370="OR",Upgrades!$F$10,IF(U370="HP",Upgrades!$F$11,IF(U370="transition",-Parameters!$B$18,0)))</f>
        <v>0</v>
      </c>
      <c r="X370" s="21" t="n">
        <f aca="false">T370-V370</f>
        <v>18.6730249835055</v>
      </c>
      <c r="Y370" s="30" t="n">
        <f aca="false">M370*Parameters!$B$10/60*Parameters!$B$11+O370*M370+N370</f>
        <v>20.55</v>
      </c>
      <c r="Z370" s="35" t="str">
        <f aca="false">IF(U370="transition","→ Tier 2 (Stellar Neighborhood)",IF(U370="FP","First Photons — light begins, system quickens",IF(U370="HP","Heliopause acquired",IF(U370="OR","Orbital Resonance — passive multiplier active",IF(AND(AO370=1,L370=0,AN370&lt;&gt;1),"Cohesion ready (waiting on completionist upgrades)","")))))</f>
        <v/>
      </c>
      <c r="AA370" s="27" t="n">
        <f aca="false">(IF(E370=0,0,(Upgrades!$G$6+E370*Upgrades!$H$6)*POWER(Upgrades!$I$6,E370)))*(IF(Upgrades!$T$7="Solar Wind",POWER(Upgrades!$U$7,F370),1)*IF(Upgrades!$T$8="Solar Wind",POWER(Upgrades!$U$8,G370),1)*IF(Upgrades!$T$9="Solar Wind",POWER(Upgrades!$U$9,H370),1)*IF(Upgrades!$T$10="Solar Wind",POWER(Upgrades!$U$10,I370),1)*IF(Upgrades!$T$11="Solar Wind",POWER(Upgrades!$U$11,J370),1)*IF(Upgrades!$T$12="Solar Wind",POWER(Upgrades!$U$12,K370),1))*POWER(Upgrades!$P$6,E370)*POWER(Upgrades!$P$7,F370)*POWER(Upgrades!$P$8,G370)*POWER(Upgrades!$P$9,H370)*POWER(Upgrades!$P$10,I370)*POWER(Upgrades!$P$11,J370)*POWER(Upgrades!$P$12,K370)*60</f>
        <v>72</v>
      </c>
      <c r="AB370" s="27" t="n">
        <f aca="false">(IF(F370=0,0,(Upgrades!$G$7+F370*Upgrades!$H$7)*POWER(Upgrades!$I$7,F370)))*(IF(Upgrades!$T$6="Asteroid Belt",POWER(Upgrades!$U$6,E370),1)*IF(Upgrades!$T$8="Asteroid Belt",POWER(Upgrades!$U$8,G370),1)*IF(Upgrades!$T$9="Asteroid Belt",POWER(Upgrades!$U$9,H370),1)*IF(Upgrades!$T$10="Asteroid Belt",POWER(Upgrades!$U$10,I370),1)*IF(Upgrades!$T$11="Asteroid Belt",POWER(Upgrades!$U$11,J370),1)*IF(Upgrades!$T$12="Asteroid Belt",POWER(Upgrades!$U$12,K370),1))*POWER(Upgrades!$P$6,E370)*POWER(Upgrades!$P$7,F370)*POWER(Upgrades!$P$8,G370)*POWER(Upgrades!$P$9,H370)*POWER(Upgrades!$P$10,I370)*POWER(Upgrades!$P$11,J370)*POWER(Upgrades!$P$12,K370)*60</f>
        <v>150</v>
      </c>
      <c r="AC370" s="27" t="n">
        <f aca="false">(IF(G370=0,0,(Upgrades!$J$8+G370*Upgrades!$K$8)*POWER(Upgrades!$L$8,G370)))*(IF(Upgrades!$T$6="Stellar Coupling",POWER(Upgrades!$U$6,E370),1)*IF(Upgrades!$T$7="Stellar Coupling",POWER(Upgrades!$U$7,F370),1)*IF(Upgrades!$T$9="Stellar Coupling",POWER(Upgrades!$U$9,H370),1)*IF(Upgrades!$T$10="Stellar Coupling",POWER(Upgrades!$U$10,I370),1)*IF(Upgrades!$T$11="Stellar Coupling",POWER(Upgrades!$U$11,J370),1)*IF(Upgrades!$T$12="Stellar Coupling",POWER(Upgrades!$U$12,K370),1))*POWER(Upgrades!$Q$6,E370)*POWER(Upgrades!$Q$7,F370)*POWER(Upgrades!$Q$8,G370)*POWER(Upgrades!$Q$9,H370)*POWER(Upgrades!$Q$10,I370)*POWER(Upgrades!$Q$11,J370)*POWER(Upgrades!$Q$12,K370)*Parameters!$B$10*Parameters!$B$11</f>
        <v>441</v>
      </c>
      <c r="AD370" s="27" t="n">
        <f aca="false">(IF(H370=0,0,(Upgrades!$G$9+H370*Upgrades!$H$9)*POWER(Upgrades!$I$9,H370)))*(IF(Upgrades!$T$6="Magnetosphere",POWER(Upgrades!$U$6,E370),1)*IF(Upgrades!$T$7="Magnetosphere",POWER(Upgrades!$U$7,F370),1)*IF(Upgrades!$T$8="Magnetosphere",POWER(Upgrades!$U$8,G370),1)*IF(Upgrades!$T$10="Magnetosphere",POWER(Upgrades!$U$10,I370),1)*IF(Upgrades!$T$11="Magnetosphere",POWER(Upgrades!$U$11,J370),1)*IF(Upgrades!$T$12="Magnetosphere",POWER(Upgrades!$U$12,K370),1))*POWER(Upgrades!$P$6,E370)*POWER(Upgrades!$P$7,F370)*POWER(Upgrades!$P$8,G370)*POWER(Upgrades!$P$9,H370)*POWER(Upgrades!$P$10,I370)*POWER(Upgrades!$P$11,J370)*POWER(Upgrades!$P$12,K370)*60</f>
        <v>375</v>
      </c>
      <c r="AE370" s="27" t="n">
        <f aca="false">(IF(K370=0,0,(Upgrades!$G$12+K370*Upgrades!$H$12)*POWER(Upgrades!$I$12,K370)))*(IF(Upgrades!$T$6="First Photons",POWER(Upgrades!$U$6,E370),1)*IF(Upgrades!$T$7="First Photons",POWER(Upgrades!$U$7,F370),1)*IF(Upgrades!$T$8="First Photons",POWER(Upgrades!$U$8,G370),1)*IF(Upgrades!$T$9="First Photons",POWER(Upgrades!$U$9,H370),1)*IF(Upgrades!$T$10="First Photons",POWER(Upgrades!$U$10,I370),1)*IF(Upgrades!$T$11="First Photons",POWER(Upgrades!$U$11,J370),1))*POWER(Upgrades!$P$6,E370)*POWER(Upgrades!$P$7,F370)*POWER(Upgrades!$P$8,G370)*POWER(Upgrades!$P$9,H370)*POWER(Upgrades!$P$10,I370)*POWER(Upgrades!$P$11,J370)*POWER(Upgrades!$P$12,K370)*60</f>
        <v>75</v>
      </c>
      <c r="AF370" s="27" t="n">
        <f aca="false">Parameters!$B$9*POWER(Upgrades!$Q$6,E370)*POWER(Upgrades!$Q$7,F370)*POWER(Upgrades!$Q$8,G370)*POWER(Upgrades!$Q$9,H370)*POWER(Upgrades!$Q$10,I370)*POWER(Upgrades!$Q$11,J370)*POWER(Upgrades!$Q$12,K370)*(Parameters!$B$10*Parameters!$B$11+O370*60)</f>
        <v>120</v>
      </c>
      <c r="AG370" s="21" t="n">
        <f aca="false">IF(E370&gt;=Upgrades!$E$6,"",Upgrades!$C$6*POWER(Upgrades!$D$6,E370))</f>
        <v>37.4517507383159</v>
      </c>
      <c r="AH370" s="21" t="n">
        <f aca="false">IF(F370&gt;=Upgrades!$E$7,"",Upgrades!$C$7*POWER(Upgrades!$D$7,F370))</f>
        <v>80.9111547141581</v>
      </c>
      <c r="AI370" s="21" t="n">
        <f aca="false">IF(G370&gt;=Upgrades!$E$8,"",Upgrades!$C$8*POWER(Upgrades!$D$8,G370))</f>
        <v>231.9097088</v>
      </c>
      <c r="AJ370" s="21" t="str">
        <f aca="false">IF(H370&gt;=Upgrades!$E$9,"",Upgrades!$C$9*POWER(Upgrades!$D$9,H370))</f>
        <v/>
      </c>
      <c r="AK370" s="21" t="str">
        <f aca="false">IF(I370&gt;=Upgrades!$E$10,"",Upgrades!$C$10*POWER(Upgrades!$D$10,I370))</f>
        <v/>
      </c>
      <c r="AL370" s="21" t="str">
        <f aca="false">IF(J370&gt;=Upgrades!$E$11,"",Upgrades!$C$11*POWER(Upgrades!$D$11,J370))</f>
        <v/>
      </c>
      <c r="AM370" s="21" t="str">
        <f aca="false">IF(K370&gt;=Upgrades!$E$12,"",Upgrades!$C$12*POWER(Upgrades!$D$12,K370))</f>
        <v/>
      </c>
      <c r="AN370" s="26" t="str">
        <f aca="false">IF(AND(D370&gt;=Parameters!$B$18,(H370&gt;=Upgrades!$E$9)*(K370&gt;=Upgrades!$E$12)=1,L370=0),1,"")</f>
        <v/>
      </c>
      <c r="AO370" s="26" t="str">
        <f aca="false">IF(AND(D370&gt;=Parameters!$B$18,L370=0),1,"")</f>
        <v/>
      </c>
      <c r="AP370" s="21" t="n">
        <f aca="false">MIN(IF(ISNUMBER(AK370),AK370,9000000000000000),IF(ISNUMBER(AL370),AL370,9000000000000000),IF(ISNUMBER(AM370),AM370,9000000000000000))</f>
        <v>9000000000000000</v>
      </c>
      <c r="AQ370" s="21" t="n">
        <f aca="false">MIN(IF(ISNUMBER(AG370),AG370,9000000000000000),IF(ISNUMBER(AH370),AH370,9000000000000000),IF(ISNUMBER(AI370),AI370,9000000000000000),IF(ISNUMBER(AJ370),AJ370,9000000000000000))</f>
        <v>37.4517507383159</v>
      </c>
      <c r="AR370" s="32" t="b">
        <f aca="false">IF(AW370&gt;Parameters!$B$21*(MAX(IF(AND(NOT(AND(AO370=1,AN370&lt;&gt;1)),ISNUMBER(AG370),AG370&lt;=T370),AS370,0),IF(AND(NOT(AND(AO370=1,AN370&lt;&gt;1)),ISNUMBER(AH370),AH370&lt;=T370),AT370,0),IF(AND(NOT(AND(AO370=1,AN370&lt;&gt;1)),ISNUMBER(AI370),AI370&lt;=T370),AU370,0),IF(AND(ISNUMBER(AJ370),AJ370&lt;=T370),AV370,0))),TRUE(),FALSE())</f>
        <v>1</v>
      </c>
      <c r="AS370" s="33" t="n">
        <f aca="false">IFERROR(Upgrades!$H$6*(POWER(Upgrades!$P$6,E370)*POWER(Upgrades!$P$7,F370)*POWER(Upgrades!$P$8,G370)*POWER(Upgrades!$P$9,H370)*POWER(Upgrades!$P$10,I370)*POWER(Upgrades!$P$11,J370)*POWER(Upgrades!$P$12,K370))*(IF(Upgrades!$T$7="Solar Wind",POWER(Upgrades!$U$7,F370),1)*IF(Upgrades!$T$8="Solar Wind",POWER(Upgrades!$U$8,G370),1)*IF(Upgrades!$T$9="Solar Wind",POWER(Upgrades!$U$9,H370),1)*IF(Upgrades!$T$10="Solar Wind",POWER(Upgrades!$U$10,I370),1)*IF(Upgrades!$T$11="Solar Wind",POWER(Upgrades!$U$11,J370),1)*IF(Upgrades!$T$12="Solar Wind",POWER(Upgrades!$U$12,K370),1))/AG370,0)</f>
        <v>0.0026701021455238</v>
      </c>
      <c r="AT370" s="33" t="n">
        <f aca="false">IFERROR(Upgrades!$H$7*(POWER(Upgrades!$P$6,E370)*POWER(Upgrades!$P$7,F370)*POWER(Upgrades!$P$8,G370)*POWER(Upgrades!$P$9,H370)*POWER(Upgrades!$P$10,I370)*POWER(Upgrades!$P$11,J370)*POWER(Upgrades!$P$12,K370))*(IF(Upgrades!$T$6="Asteroid Belt",POWER(Upgrades!$U$6,E370),1)*IF(Upgrades!$T$8="Asteroid Belt",POWER(Upgrades!$U$8,G370),1)*IF(Upgrades!$T$9="Asteroid Belt",POWER(Upgrades!$U$9,H370),1)*IF(Upgrades!$T$10="Asteroid Belt",POWER(Upgrades!$U$10,I370),1)*IF(Upgrades!$T$11="Asteroid Belt",POWER(Upgrades!$U$11,J370),1)*IF(Upgrades!$T$12="Asteroid Belt",POWER(Upgrades!$U$12,K370),1))/AH370,0)</f>
        <v>0.00308980882652332</v>
      </c>
      <c r="AU370" s="33" t="n">
        <f aca="false">IFERROR(Upgrades!$K$8*(POWER(Upgrades!$Q$6,E370)*POWER(Upgrades!$Q$7,F370)*POWER(Upgrades!$Q$8,G370)*POWER(Upgrades!$Q$9,H370)*POWER(Upgrades!$Q$10,I370)*POWER(Upgrades!$Q$11,J370)*POWER(Upgrades!$Q$12,K370))*(IF(Upgrades!$T$6="Stellar Coupling",POWER(Upgrades!$U$6,E370),1)*IF(Upgrades!$T$7="Stellar Coupling",POWER(Upgrades!$U$7,F370),1)*IF(Upgrades!$T$9="Stellar Coupling",POWER(Upgrades!$U$9,H370),1)*IF(Upgrades!$T$10="Stellar Coupling",POWER(Upgrades!$U$10,I370),1)*IF(Upgrades!$T$11="Stellar Coupling",POWER(Upgrades!$U$11,J370),1)*IF(Upgrades!$T$12="Stellar Coupling",POWER(Upgrades!$U$12,K370),1))*Parameters!$B$10*Parameters!$B$11/60/AI370,0)</f>
        <v>0.00452762415783776</v>
      </c>
      <c r="AV370" s="33" t="n">
        <f aca="false">IFERROR(Upgrades!$H$9*(POWER(Upgrades!$P$6,E370)*POWER(Upgrades!$P$7,F370)*POWER(Upgrades!$P$8,G370)*POWER(Upgrades!$P$9,H370)*POWER(Upgrades!$P$10,I370)*POWER(Upgrades!$P$11,J370)*POWER(Upgrades!$P$12,K370))*(IF(Upgrades!$T$6="Magnetosphere",POWER(Upgrades!$U$6,E370),1)*IF(Upgrades!$T$7="Magnetosphere",POWER(Upgrades!$U$7,F370),1)*IF(Upgrades!$T$8="Magnetosphere",POWER(Upgrades!$U$8,G370),1)*IF(Upgrades!$T$10="Magnetosphere",POWER(Upgrades!$U$10,I370),1)*IF(Upgrades!$T$11="Magnetosphere",POWER(Upgrades!$U$11,J370),1)*IF(Upgrades!$T$12="Magnetosphere",POWER(Upgrades!$U$12,K370),1))/AJ370,0)</f>
        <v>0</v>
      </c>
      <c r="AW370" s="33" t="n">
        <f aca="false">MAX(IF(I370&gt;0,0,IFERROR(0.25*N370/Upgrades!$C$10,0)),IF(J370&gt;0,0,IFERROR(0.5*((IF(G370=0,0,(Upgrades!$J$8+G370*Upgrades!$K$8)*POWER(Upgrades!$L$8,G370)))*(IF(Upgrades!$T$6="Stellar Coupling",POWER(Upgrades!$U$6,E370),1)*IF(Upgrades!$T$7="Stellar Coupling",POWER(Upgrades!$U$7,F370),1)*IF(Upgrades!$T$9="Stellar Coupling",POWER(Upgrades!$U$9,H370),1)*IF(Upgrades!$T$10="Stellar Coupling",POWER(Upgrades!$U$10,I370),1)*IF(Upgrades!$T$11="Stellar Coupling",POWER(Upgrades!$U$11,J370),1)*IF(Upgrades!$T$12="Stellar Coupling",POWER(Upgrades!$U$12,K370),1))*(POWER(Upgrades!$Q$6,E370)*POWER(Upgrades!$Q$7,F370)*POWER(Upgrades!$Q$8,G370)*POWER(Upgrades!$Q$9,H370)*POWER(Upgrades!$Q$10,I370)*POWER(Upgrades!$Q$11,J370)*POWER(Upgrades!$Q$12,K370))*Parameters!$B$10*Parameters!$B$11/60)/Upgrades!$C$11,0)),IF(K370&gt;0,0,IFERROR((1*(POWER(Upgrades!$P$6,E370)*POWER(Upgrades!$P$7,F370)*POWER(Upgrades!$P$8,G370)*POWER(Upgrades!$P$9,H370)*POWER(Upgrades!$P$10,I370)*POWER(Upgrades!$P$11,J370)*POWER(Upgrades!$P$12,K370))+0.2*M370*Parameters!$B$10*Parameters!$B$11/60)/Upgrades!$C$12,0)),IF(AND(ISNUMBER(AG370),AG370&gt;T370),AS370,0),IF(AND(ISNUMBER(AH370),AH370&gt;T370),AT370,0),IF(AND(ISNUMBER(AI370),AI370&gt;T370),AU370,0),IF(AND(ISNUMBER(AJ370),AJ370&gt;T370),AV370,0))</f>
        <v>0.00452762415783776</v>
      </c>
      <c r="AX370" s="29" t="str">
        <f aca="false">IF(AN370=1,"transition",IF(MIN(IF(AND(I370=0,ISNUMBER(AK370),AK370&lt;=T370),AK370,9000000000000000),IF(AND(J370=0,ISNUMBER(AL370),AL370&lt;=T370),AL370,9000000000000000),IF(AND(K370=0,ISNUMBER(AM370),AM370&lt;=T370),AM370,9000000000000000))&lt;9000000000000000,IF(AND(AND(I370=0,ISNUMBER(AK370),AK370&lt;=T370),AK370=MIN(IF(AND(I370=0,ISNUMBER(AK370),AK370&lt;=T370),AK370,9000000000000000),IF(AND(J370=0,ISNUMBER(AL370),AL370&lt;=T370),AL370,9000000000000000),IF(AND(K370=0,ISNUMBER(AM370),AM370&lt;=T370),AM370,9000000000000000))),"OR",IF(AND(AND(J370=0,ISNUMBER(AL370),AL370&lt;=T370),AL370=MIN(IF(AND(I370=0,ISNUMBER(AK370),AK370&lt;=T370),AK370,9000000000000000),IF(AND(J370=0,ISNUMBER(AL370),AL370&lt;=T370),AL370,9000000000000000),IF(AND(K370=0,ISNUMBER(AM370),AM370&lt;=T370),AM370,9000000000000000))),"HP","FP")),IF(AR370=TRUE(),"",IF(MAX(IF(AND(NOT(AND(AO370=1,AN370&lt;&gt;1)),ISNUMBER(AG370),AG370&lt;=T370),AS370,0),IF(AND(NOT(AND(AO370=1,AN370&lt;&gt;1)),ISNUMBER(AH370),AH370&lt;=T370),AT370,0),IF(AND(NOT(AND(AO370=1,AN370&lt;&gt;1)),ISNUMBER(AI370),AI370&lt;=T370),AU370,0),IF(AND(ISNUMBER(AJ370),AJ370&lt;=T370),AV370,0))&lt;=0,"",IF(AND(IF(AND(NOT(AND(AO370=1,AN370&lt;&gt;1)),ISNUMBER(AG370),AG370&lt;=T370),AS370,0)&gt;0,IF(AND(NOT(AND(AO370=1,AN370&lt;&gt;1)),ISNUMBER(AG370),AG370&lt;=T370),AS370,0)=MAX(IF(AND(NOT(AND(AO370=1,AN370&lt;&gt;1)),ISNUMBER(AG370),AG370&lt;=T370),AS370,0),IF(AND(NOT(AND(AO370=1,AN370&lt;&gt;1)),ISNUMBER(AH370),AH370&lt;=T370),AT370,0),IF(AND(NOT(AND(AO370=1,AN370&lt;&gt;1)),ISNUMBER(AI370),AI370&lt;=T370),AU370,0),IF(AND(ISNUMBER(AJ370),AJ370&lt;=T370),AV370,0))),"SW",IF(AND(IF(AND(NOT(AND(AO370=1,AN370&lt;&gt;1)),ISNUMBER(AH370),AH370&lt;=T370),AT370,0)&gt;0,IF(AND(NOT(AND(AO370=1,AN370&lt;&gt;1)),ISNUMBER(AH370),AH370&lt;=T370),AT370,0)=MAX(IF(AND(NOT(AND(AO370=1,AN370&lt;&gt;1)),ISNUMBER(AG370),AG370&lt;=T370),AS370,0),IF(AND(NOT(AND(AO370=1,AN370&lt;&gt;1)),ISNUMBER(AH370),AH370&lt;=T370),AT370,0),IF(AND(NOT(AND(AO370=1,AN370&lt;&gt;1)),ISNUMBER(AI370),AI370&lt;=T370),AU370,0),IF(AND(ISNUMBER(AJ370),AJ370&lt;=T370),AV370,0))),"AB",IF(AND(IF(AND(NOT(AND(AO370=1,AN370&lt;&gt;1)),ISNUMBER(AI370),AI370&lt;=T370),AU370,0)&gt;0,IF(AND(NOT(AND(AO370=1,AN370&lt;&gt;1)),ISNUMBER(AI370),AI370&lt;=T370),AU370,0)=MAX(IF(AND(NOT(AND(AO370=1,AN370&lt;&gt;1)),ISNUMBER(AG370),AG370&lt;=T370),AS370,0),IF(AND(NOT(AND(AO370=1,AN370&lt;&gt;1)),ISNUMBER(AH370),AH370&lt;=T370),AT370,0),IF(AND(NOT(AND(AO370=1,AN370&lt;&gt;1)),ISNUMBER(AI370),AI370&lt;=T370),AU370,0),IF(AND(ISNUMBER(AJ370),AJ370&lt;=T370),AV370,0))),"SC","Mag")))))))</f>
        <v/>
      </c>
    </row>
    <row r="371" customFormat="false" ht="15" hidden="false" customHeight="false" outlineLevel="0" collapsed="false">
      <c r="A371" s="26" t="n">
        <v>366</v>
      </c>
      <c r="B371" s="27" t="n">
        <f aca="false">A371*10/60</f>
        <v>61</v>
      </c>
      <c r="C371" s="21" t="n">
        <f aca="false">X370</f>
        <v>18.6730249835055</v>
      </c>
      <c r="D371" s="27" t="n">
        <f aca="false">D370+W370</f>
        <v>0</v>
      </c>
      <c r="E371" s="26" t="n">
        <f aca="false">E370+IF(U370="SW",1,0)</f>
        <v>12</v>
      </c>
      <c r="F371" s="26" t="n">
        <f aca="false">F370+IF(U370="AB",1,0)</f>
        <v>10</v>
      </c>
      <c r="G371" s="26" t="n">
        <f aca="false">G370+IF(U370="SC",1,0)</f>
        <v>7</v>
      </c>
      <c r="H371" s="26" t="n">
        <f aca="false">H370+IF(U370="Mag",1,0)</f>
        <v>5</v>
      </c>
      <c r="I371" s="26" t="n">
        <f aca="false">MAX(I370,IF(U370="OR",1,0))</f>
        <v>1</v>
      </c>
      <c r="J371" s="26" t="n">
        <f aca="false">MAX(J370,IF(U370="HP",1,0))</f>
        <v>1</v>
      </c>
      <c r="K371" s="26" t="n">
        <f aca="false">MAX(K370,IF(U370="FP",1,0))</f>
        <v>1</v>
      </c>
      <c r="L371" s="26" t="n">
        <f aca="false">MAX(L370,IF(U370="transition",1,0))</f>
        <v>1</v>
      </c>
      <c r="M371" s="28" t="n">
        <f aca="false">(Parameters!$B$9+(IF(E371=0,0,(Upgrades!$J$6+E371*Upgrades!$K$6)*POWER(Upgrades!$L$6,E371)))*(IF(Upgrades!$T$7="Solar Wind",POWER(Upgrades!$U$7,F371),1)*IF(Upgrades!$T$8="Solar Wind",POWER(Upgrades!$U$8,G371),1)*IF(Upgrades!$T$9="Solar Wind",POWER(Upgrades!$U$9,H371),1)*IF(Upgrades!$T$10="Solar Wind",POWER(Upgrades!$U$10,I371),1)*IF(Upgrades!$T$11="Solar Wind",POWER(Upgrades!$U$11,J371),1)*IF(Upgrades!$T$12="Solar Wind",POWER(Upgrades!$U$12,K371),1))+(IF(F371=0,0,(Upgrades!$J$7+F371*Upgrades!$K$7)*POWER(Upgrades!$L$7,F371)))*(IF(Upgrades!$T$6="Asteroid Belt",POWER(Upgrades!$U$6,E371),1)*IF(Upgrades!$T$8="Asteroid Belt",POWER(Upgrades!$U$8,G371),1)*IF(Upgrades!$T$9="Asteroid Belt",POWER(Upgrades!$U$9,H371),1)*IF(Upgrades!$T$10="Asteroid Belt",POWER(Upgrades!$U$10,I371),1)*IF(Upgrades!$T$11="Asteroid Belt",POWER(Upgrades!$U$11,J371),1)*IF(Upgrades!$T$12="Asteroid Belt",POWER(Upgrades!$U$12,K371),1))+(IF(G371=0,0,(Upgrades!$J$8+G371*Upgrades!$K$8)*POWER(Upgrades!$L$8,G371)))*(IF(Upgrades!$T$6="Stellar Coupling",POWER(Upgrades!$U$6,E371),1)*IF(Upgrades!$T$7="Stellar Coupling",POWER(Upgrades!$U$7,F371),1)*IF(Upgrades!$T$9="Stellar Coupling",POWER(Upgrades!$U$9,H371),1)*IF(Upgrades!$T$10="Stellar Coupling",POWER(Upgrades!$U$10,I371),1)*IF(Upgrades!$T$11="Stellar Coupling",POWER(Upgrades!$U$11,J371),1)*IF(Upgrades!$T$12="Stellar Coupling",POWER(Upgrades!$U$12,K371),1))+(IF(H371=0,0,(Upgrades!$J$9+H371*Upgrades!$K$9)*POWER(Upgrades!$L$9,H371)))*(IF(Upgrades!$T$6="Magnetosphere",POWER(Upgrades!$U$6,E371),1)*IF(Upgrades!$T$7="Magnetosphere",POWER(Upgrades!$U$7,F371),1)*IF(Upgrades!$T$8="Magnetosphere",POWER(Upgrades!$U$8,G371),1)*IF(Upgrades!$T$10="Magnetosphere",POWER(Upgrades!$U$10,I371),1)*IF(Upgrades!$T$11="Magnetosphere",POWER(Upgrades!$U$11,J371),1)*IF(Upgrades!$T$12="Magnetosphere",POWER(Upgrades!$U$12,K371),1))+(IF(I371=0,0,(Upgrades!$J$10+I371*Upgrades!$K$10)*POWER(Upgrades!$L$10,I371)))*(IF(Upgrades!$T$6="Orbital Resonance",POWER(Upgrades!$U$6,E371),1)*IF(Upgrades!$T$7="Orbital Resonance",POWER(Upgrades!$U$7,F371),1)*IF(Upgrades!$T$8="Orbital Resonance",POWER(Upgrades!$U$8,G371),1)*IF(Upgrades!$T$9="Orbital Resonance",POWER(Upgrades!$U$9,H371),1)*IF(Upgrades!$T$11="Orbital Resonance",POWER(Upgrades!$U$11,J371),1)*IF(Upgrades!$T$12="Orbital Resonance",POWER(Upgrades!$U$12,K371),1))+(IF(J371=0,0,(Upgrades!$J$11+J371*Upgrades!$K$11)*POWER(Upgrades!$L$11,J371)))*(IF(Upgrades!$T$6="Heliopause",POWER(Upgrades!$U$6,E371),1)*IF(Upgrades!$T$7="Heliopause",POWER(Upgrades!$U$7,F371),1)*IF(Upgrades!$T$8="Heliopause",POWER(Upgrades!$U$8,G371),1)*IF(Upgrades!$T$9="Heliopause",POWER(Upgrades!$U$9,H371),1)*IF(Upgrades!$T$10="Heliopause",POWER(Upgrades!$U$10,I371),1)*IF(Upgrades!$T$12="Heliopause",POWER(Upgrades!$U$12,K371),1))+(IF(K371=0,0,(Upgrades!$J$12+K371*Upgrades!$K$12)*POWER(Upgrades!$L$12,K371)))*(IF(Upgrades!$T$6="First Photons",POWER(Upgrades!$U$6,E371),1)*IF(Upgrades!$T$7="First Photons",POWER(Upgrades!$U$7,F371),1)*IF(Upgrades!$T$8="First Photons",POWER(Upgrades!$U$8,G371),1)*IF(Upgrades!$T$9="First Photons",POWER(Upgrades!$U$9,H371),1)*IF(Upgrades!$T$10="First Photons",POWER(Upgrades!$U$10,I371),1)*IF(Upgrades!$T$11="First Photons",POWER(Upgrades!$U$11,J371),1)))*POWER(Upgrades!$Q$6,E371)*POWER(Upgrades!$Q$7,F371)*POWER(Upgrades!$Q$8,G371)*POWER(Upgrades!$Q$9,H371)*POWER(Upgrades!$Q$10,I371)*POWER(Upgrades!$Q$11,J371)*POWER(Upgrades!$Q$12,K371)</f>
        <v>5.61</v>
      </c>
      <c r="N371" s="28" t="n">
        <f aca="false">((IF(E371=0,0,(Upgrades!$G$6+E371*Upgrades!$H$6)*POWER(Upgrades!$I$6,E371)))*(IF(Upgrades!$T$7="Solar Wind",POWER(Upgrades!$U$7,F371),1)*IF(Upgrades!$T$8="Solar Wind",POWER(Upgrades!$U$8,G371),1)*IF(Upgrades!$T$9="Solar Wind",POWER(Upgrades!$U$9,H371),1)*IF(Upgrades!$T$10="Solar Wind",POWER(Upgrades!$U$10,I371),1)*IF(Upgrades!$T$11="Solar Wind",POWER(Upgrades!$U$11,J371),1)*IF(Upgrades!$T$12="Solar Wind",POWER(Upgrades!$U$12,K371),1))+(IF(F371=0,0,(Upgrades!$G$7+F371*Upgrades!$H$7)*POWER(Upgrades!$I$7,F371)))*(IF(Upgrades!$T$6="Asteroid Belt",POWER(Upgrades!$U$6,E371),1)*IF(Upgrades!$T$8="Asteroid Belt",POWER(Upgrades!$U$8,G371),1)*IF(Upgrades!$T$9="Asteroid Belt",POWER(Upgrades!$U$9,H371),1)*IF(Upgrades!$T$10="Asteroid Belt",POWER(Upgrades!$U$10,I371),1)*IF(Upgrades!$T$11="Asteroid Belt",POWER(Upgrades!$U$11,J371),1)*IF(Upgrades!$T$12="Asteroid Belt",POWER(Upgrades!$U$12,K371),1))+(IF(G371=0,0,(Upgrades!$G$8+G371*Upgrades!$H$8)*POWER(Upgrades!$I$8,G371)))*(IF(Upgrades!$T$6="Stellar Coupling",POWER(Upgrades!$U$6,E371),1)*IF(Upgrades!$T$7="Stellar Coupling",POWER(Upgrades!$U$7,F371),1)*IF(Upgrades!$T$9="Stellar Coupling",POWER(Upgrades!$U$9,H371),1)*IF(Upgrades!$T$10="Stellar Coupling",POWER(Upgrades!$U$10,I371),1)*IF(Upgrades!$T$11="Stellar Coupling",POWER(Upgrades!$U$11,J371),1)*IF(Upgrades!$T$12="Stellar Coupling",POWER(Upgrades!$U$12,K371),1))+(IF(H371=0,0,(Upgrades!$G$9+H371*Upgrades!$H$9)*POWER(Upgrades!$I$9,H371)))*(IF(Upgrades!$T$6="Magnetosphere",POWER(Upgrades!$U$6,E371),1)*IF(Upgrades!$T$7="Magnetosphere",POWER(Upgrades!$U$7,F371),1)*IF(Upgrades!$T$8="Magnetosphere",POWER(Upgrades!$U$8,G371),1)*IF(Upgrades!$T$10="Magnetosphere",POWER(Upgrades!$U$10,I371),1)*IF(Upgrades!$T$11="Magnetosphere",POWER(Upgrades!$U$11,J371),1)*IF(Upgrades!$T$12="Magnetosphere",POWER(Upgrades!$U$12,K371),1))+(IF(I371=0,0,(Upgrades!$G$10+I371*Upgrades!$H$10)*POWER(Upgrades!$I$10,I371)))*(IF(Upgrades!$T$6="Orbital Resonance",POWER(Upgrades!$U$6,E371),1)*IF(Upgrades!$T$7="Orbital Resonance",POWER(Upgrades!$U$7,F371),1)*IF(Upgrades!$T$8="Orbital Resonance",POWER(Upgrades!$U$8,G371),1)*IF(Upgrades!$T$9="Orbital Resonance",POWER(Upgrades!$U$9,H371),1)*IF(Upgrades!$T$11="Orbital Resonance",POWER(Upgrades!$U$11,J371),1)*IF(Upgrades!$T$12="Orbital Resonance",POWER(Upgrades!$U$12,K371),1))+(IF(J371=0,0,(Upgrades!$G$11+J371*Upgrades!$H$11)*POWER(Upgrades!$I$11,J371)))*(IF(Upgrades!$T$6="Heliopause",POWER(Upgrades!$U$6,E371),1)*IF(Upgrades!$T$7="Heliopause",POWER(Upgrades!$U$7,F371),1)*IF(Upgrades!$T$8="Heliopause",POWER(Upgrades!$U$8,G371),1)*IF(Upgrades!$T$9="Heliopause",POWER(Upgrades!$U$9,H371),1)*IF(Upgrades!$T$10="Heliopause",POWER(Upgrades!$U$10,I371),1)*IF(Upgrades!$T$12="Heliopause",POWER(Upgrades!$U$12,K371),1))+(IF(K371=0,0,(Upgrades!$G$12+K371*Upgrades!$H$12)*POWER(Upgrades!$I$12,K371)))*(IF(Upgrades!$T$6="First Photons",POWER(Upgrades!$U$6,E371),1)*IF(Upgrades!$T$7="First Photons",POWER(Upgrades!$U$7,F371),1)*IF(Upgrades!$T$8="First Photons",POWER(Upgrades!$U$8,G371),1)*IF(Upgrades!$T$9="First Photons",POWER(Upgrades!$U$9,H371),1)*IF(Upgrades!$T$10="First Photons",POWER(Upgrades!$U$10,I371),1)*IF(Upgrades!$T$11="First Photons",POWER(Upgrades!$U$11,J371),1)))*POWER(Upgrades!$P$6,E371)*POWER(Upgrades!$P$7,F371)*POWER(Upgrades!$P$8,G371)*POWER(Upgrades!$P$9,H371)*POWER(Upgrades!$P$10,I371)*POWER(Upgrades!$P$11,J371)*POWER(Upgrades!$P$12,K371)</f>
        <v>11.2</v>
      </c>
      <c r="O371" s="28" t="n">
        <f aca="false">((IF(E371=0,0,(Upgrades!$M$6+E371*Upgrades!$N$6)*POWER(Upgrades!$O$6,E371)))*(IF(Upgrades!$T$7="Solar Wind",POWER(Upgrades!$U$7,F371),1)*IF(Upgrades!$T$8="Solar Wind",POWER(Upgrades!$U$8,G371),1)*IF(Upgrades!$T$9="Solar Wind",POWER(Upgrades!$U$9,H371),1)*IF(Upgrades!$T$10="Solar Wind",POWER(Upgrades!$U$10,I371),1)*IF(Upgrades!$T$11="Solar Wind",POWER(Upgrades!$U$11,J371),1)*IF(Upgrades!$T$12="Solar Wind",POWER(Upgrades!$U$12,K371),1))+(IF(F371=0,0,(Upgrades!$M$7+F371*Upgrades!$N$7)*POWER(Upgrades!$O$7,F371)))*(IF(Upgrades!$T$6="Asteroid Belt",POWER(Upgrades!$U$6,E371),1)*IF(Upgrades!$T$8="Asteroid Belt",POWER(Upgrades!$U$8,G371),1)*IF(Upgrades!$T$9="Asteroid Belt",POWER(Upgrades!$U$9,H371),1)*IF(Upgrades!$T$10="Asteroid Belt",POWER(Upgrades!$U$10,I371),1)*IF(Upgrades!$T$11="Asteroid Belt",POWER(Upgrades!$U$11,J371),1)*IF(Upgrades!$T$12="Asteroid Belt",POWER(Upgrades!$U$12,K371),1))+(IF(G371=0,0,(Upgrades!$M$8+G371*Upgrades!$N$8)*POWER(Upgrades!$O$8,G371)))*(IF(Upgrades!$T$6="Stellar Coupling",POWER(Upgrades!$U$6,E371),1)*IF(Upgrades!$T$7="Stellar Coupling",POWER(Upgrades!$U$7,F371),1)*IF(Upgrades!$T$9="Stellar Coupling",POWER(Upgrades!$U$9,H371),1)*IF(Upgrades!$T$10="Stellar Coupling",POWER(Upgrades!$U$10,I371),1)*IF(Upgrades!$T$11="Stellar Coupling",POWER(Upgrades!$U$11,J371),1)*IF(Upgrades!$T$12="Stellar Coupling",POWER(Upgrades!$U$12,K371),1))+(IF(H371=0,0,(Upgrades!$M$9+H371*Upgrades!$N$9)*POWER(Upgrades!$O$9,H371)))*(IF(Upgrades!$T$6="Magnetosphere",POWER(Upgrades!$U$6,E371),1)*IF(Upgrades!$T$7="Magnetosphere",POWER(Upgrades!$U$7,F371),1)*IF(Upgrades!$T$8="Magnetosphere",POWER(Upgrades!$U$8,G371),1)*IF(Upgrades!$T$10="Magnetosphere",POWER(Upgrades!$U$10,I371),1)*IF(Upgrades!$T$11="Magnetosphere",POWER(Upgrades!$U$11,J371),1)*IF(Upgrades!$T$12="Magnetosphere",POWER(Upgrades!$U$12,K371),1))+(IF(I371=0,0,(Upgrades!$M$10+I371*Upgrades!$N$10)*POWER(Upgrades!$O$10,I371)))*(IF(Upgrades!$T$6="Orbital Resonance",POWER(Upgrades!$U$6,E371),1)*IF(Upgrades!$T$7="Orbital Resonance",POWER(Upgrades!$U$7,F371),1)*IF(Upgrades!$T$8="Orbital Resonance",POWER(Upgrades!$U$8,G371),1)*IF(Upgrades!$T$9="Orbital Resonance",POWER(Upgrades!$U$9,H371),1)*IF(Upgrades!$T$11="Orbital Resonance",POWER(Upgrades!$U$11,J371),1)*IF(Upgrades!$T$12="Orbital Resonance",POWER(Upgrades!$U$12,K371),1))+(IF(J371=0,0,(Upgrades!$M$11+J371*Upgrades!$N$11)*POWER(Upgrades!$O$11,J371)))*(IF(Upgrades!$T$6="Heliopause",POWER(Upgrades!$U$6,E371),1)*IF(Upgrades!$T$7="Heliopause",POWER(Upgrades!$U$7,F371),1)*IF(Upgrades!$T$8="Heliopause",POWER(Upgrades!$U$8,G371),1)*IF(Upgrades!$T$9="Heliopause",POWER(Upgrades!$U$9,H371),1)*IF(Upgrades!$T$10="Heliopause",POWER(Upgrades!$U$10,I371),1)*IF(Upgrades!$T$12="Heliopause",POWER(Upgrades!$U$12,K371),1))+(IF(K371=0,0,(Upgrades!$M$12+K371*Upgrades!$N$12)*POWER(Upgrades!$O$12,K371)))*(IF(Upgrades!$T$6="First Photons",POWER(Upgrades!$U$6,E371),1)*IF(Upgrades!$T$7="First Photons",POWER(Upgrades!$U$7,F371),1)*IF(Upgrades!$T$8="First Photons",POWER(Upgrades!$U$8,G371),1)*IF(Upgrades!$T$9="First Photons",POWER(Upgrades!$U$9,H371),1)*IF(Upgrades!$T$10="First Photons",POWER(Upgrades!$U$10,I371),1)*IF(Upgrades!$T$11="First Photons",POWER(Upgrades!$U$11,J371),1)))*POWER(Upgrades!$R$6,E371)*POWER(Upgrades!$R$7,F371)*POWER(Upgrades!$R$8,G371)*POWER(Upgrades!$R$9,H371)*POWER(Upgrades!$R$10,I371)*POWER(Upgrades!$R$11,J371)*POWER(Upgrades!$R$12,K371)</f>
        <v>0</v>
      </c>
      <c r="P371" s="27" t="n">
        <f aca="false">IF(L371=1,0,M371*Parameters!$B$10/60*Parameters!$B$11*10)</f>
        <v>0</v>
      </c>
      <c r="Q371" s="27" t="n">
        <f aca="false">IF(L371=1,0,O371*M371*10)</f>
        <v>0</v>
      </c>
      <c r="R371" s="27" t="n">
        <f aca="false">IF(L371=1,0,N371*10)</f>
        <v>0</v>
      </c>
      <c r="S371" s="27" t="n">
        <f aca="false">P371+Q371+R371</f>
        <v>0</v>
      </c>
      <c r="T371" s="21" t="n">
        <f aca="false">C371+S371</f>
        <v>18.6730249835055</v>
      </c>
      <c r="U371" s="34" t="str">
        <f aca="false">AX371</f>
        <v/>
      </c>
      <c r="V371" s="21" t="n">
        <f aca="false">IF(U371="",0,IF(U371="transition",0,IF(U371="SW",AG371,IF(U371="AB",AH371,IF(U371="SC",AI371,IF(U371="Mag",AJ371,IF(U371="OR",AK371,IF(U371="HP",AL371,IF(U371="FP",AM371,0)))))))))</f>
        <v>0</v>
      </c>
      <c r="W371" s="27" t="n">
        <f aca="false">IF(U371="OR",Upgrades!$F$10,IF(U371="HP",Upgrades!$F$11,IF(U371="transition",-Parameters!$B$18,0)))</f>
        <v>0</v>
      </c>
      <c r="X371" s="21" t="n">
        <f aca="false">T371-V371</f>
        <v>18.6730249835055</v>
      </c>
      <c r="Y371" s="30" t="n">
        <f aca="false">M371*Parameters!$B$10/60*Parameters!$B$11+O371*M371+N371</f>
        <v>20.55</v>
      </c>
      <c r="Z371" s="35" t="str">
        <f aca="false">IF(U371="transition","→ Tier 2 (Stellar Neighborhood)",IF(U371="FP","First Photons — light begins, system quickens",IF(U371="HP","Heliopause acquired",IF(U371="OR","Orbital Resonance — passive multiplier active",IF(AND(AO371=1,L371=0,AN371&lt;&gt;1),"Cohesion ready (waiting on completionist upgrades)","")))))</f>
        <v/>
      </c>
      <c r="AA371" s="27" t="n">
        <f aca="false">(IF(E371=0,0,(Upgrades!$G$6+E371*Upgrades!$H$6)*POWER(Upgrades!$I$6,E371)))*(IF(Upgrades!$T$7="Solar Wind",POWER(Upgrades!$U$7,F371),1)*IF(Upgrades!$T$8="Solar Wind",POWER(Upgrades!$U$8,G371),1)*IF(Upgrades!$T$9="Solar Wind",POWER(Upgrades!$U$9,H371),1)*IF(Upgrades!$T$10="Solar Wind",POWER(Upgrades!$U$10,I371),1)*IF(Upgrades!$T$11="Solar Wind",POWER(Upgrades!$U$11,J371),1)*IF(Upgrades!$T$12="Solar Wind",POWER(Upgrades!$U$12,K371),1))*POWER(Upgrades!$P$6,E371)*POWER(Upgrades!$P$7,F371)*POWER(Upgrades!$P$8,G371)*POWER(Upgrades!$P$9,H371)*POWER(Upgrades!$P$10,I371)*POWER(Upgrades!$P$11,J371)*POWER(Upgrades!$P$12,K371)*60</f>
        <v>72</v>
      </c>
      <c r="AB371" s="27" t="n">
        <f aca="false">(IF(F371=0,0,(Upgrades!$G$7+F371*Upgrades!$H$7)*POWER(Upgrades!$I$7,F371)))*(IF(Upgrades!$T$6="Asteroid Belt",POWER(Upgrades!$U$6,E371),1)*IF(Upgrades!$T$8="Asteroid Belt",POWER(Upgrades!$U$8,G371),1)*IF(Upgrades!$T$9="Asteroid Belt",POWER(Upgrades!$U$9,H371),1)*IF(Upgrades!$T$10="Asteroid Belt",POWER(Upgrades!$U$10,I371),1)*IF(Upgrades!$T$11="Asteroid Belt",POWER(Upgrades!$U$11,J371),1)*IF(Upgrades!$T$12="Asteroid Belt",POWER(Upgrades!$U$12,K371),1))*POWER(Upgrades!$P$6,E371)*POWER(Upgrades!$P$7,F371)*POWER(Upgrades!$P$8,G371)*POWER(Upgrades!$P$9,H371)*POWER(Upgrades!$P$10,I371)*POWER(Upgrades!$P$11,J371)*POWER(Upgrades!$P$12,K371)*60</f>
        <v>150</v>
      </c>
      <c r="AC371" s="27" t="n">
        <f aca="false">(IF(G371=0,0,(Upgrades!$J$8+G371*Upgrades!$K$8)*POWER(Upgrades!$L$8,G371)))*(IF(Upgrades!$T$6="Stellar Coupling",POWER(Upgrades!$U$6,E371),1)*IF(Upgrades!$T$7="Stellar Coupling",POWER(Upgrades!$U$7,F371),1)*IF(Upgrades!$T$9="Stellar Coupling",POWER(Upgrades!$U$9,H371),1)*IF(Upgrades!$T$10="Stellar Coupling",POWER(Upgrades!$U$10,I371),1)*IF(Upgrades!$T$11="Stellar Coupling",POWER(Upgrades!$U$11,J371),1)*IF(Upgrades!$T$12="Stellar Coupling",POWER(Upgrades!$U$12,K371),1))*POWER(Upgrades!$Q$6,E371)*POWER(Upgrades!$Q$7,F371)*POWER(Upgrades!$Q$8,G371)*POWER(Upgrades!$Q$9,H371)*POWER(Upgrades!$Q$10,I371)*POWER(Upgrades!$Q$11,J371)*POWER(Upgrades!$Q$12,K371)*Parameters!$B$10*Parameters!$B$11</f>
        <v>441</v>
      </c>
      <c r="AD371" s="27" t="n">
        <f aca="false">(IF(H371=0,0,(Upgrades!$G$9+H371*Upgrades!$H$9)*POWER(Upgrades!$I$9,H371)))*(IF(Upgrades!$T$6="Magnetosphere",POWER(Upgrades!$U$6,E371),1)*IF(Upgrades!$T$7="Magnetosphere",POWER(Upgrades!$U$7,F371),1)*IF(Upgrades!$T$8="Magnetosphere",POWER(Upgrades!$U$8,G371),1)*IF(Upgrades!$T$10="Magnetosphere",POWER(Upgrades!$U$10,I371),1)*IF(Upgrades!$T$11="Magnetosphere",POWER(Upgrades!$U$11,J371),1)*IF(Upgrades!$T$12="Magnetosphere",POWER(Upgrades!$U$12,K371),1))*POWER(Upgrades!$P$6,E371)*POWER(Upgrades!$P$7,F371)*POWER(Upgrades!$P$8,G371)*POWER(Upgrades!$P$9,H371)*POWER(Upgrades!$P$10,I371)*POWER(Upgrades!$P$11,J371)*POWER(Upgrades!$P$12,K371)*60</f>
        <v>375</v>
      </c>
      <c r="AE371" s="27" t="n">
        <f aca="false">(IF(K371=0,0,(Upgrades!$G$12+K371*Upgrades!$H$12)*POWER(Upgrades!$I$12,K371)))*(IF(Upgrades!$T$6="First Photons",POWER(Upgrades!$U$6,E371),1)*IF(Upgrades!$T$7="First Photons",POWER(Upgrades!$U$7,F371),1)*IF(Upgrades!$T$8="First Photons",POWER(Upgrades!$U$8,G371),1)*IF(Upgrades!$T$9="First Photons",POWER(Upgrades!$U$9,H371),1)*IF(Upgrades!$T$10="First Photons",POWER(Upgrades!$U$10,I371),1)*IF(Upgrades!$T$11="First Photons",POWER(Upgrades!$U$11,J371),1))*POWER(Upgrades!$P$6,E371)*POWER(Upgrades!$P$7,F371)*POWER(Upgrades!$P$8,G371)*POWER(Upgrades!$P$9,H371)*POWER(Upgrades!$P$10,I371)*POWER(Upgrades!$P$11,J371)*POWER(Upgrades!$P$12,K371)*60</f>
        <v>75</v>
      </c>
      <c r="AF371" s="27" t="n">
        <f aca="false">Parameters!$B$9*POWER(Upgrades!$Q$6,E371)*POWER(Upgrades!$Q$7,F371)*POWER(Upgrades!$Q$8,G371)*POWER(Upgrades!$Q$9,H371)*POWER(Upgrades!$Q$10,I371)*POWER(Upgrades!$Q$11,J371)*POWER(Upgrades!$Q$12,K371)*(Parameters!$B$10*Parameters!$B$11+O371*60)</f>
        <v>120</v>
      </c>
      <c r="AG371" s="21" t="n">
        <f aca="false">IF(E371&gt;=Upgrades!$E$6,"",Upgrades!$C$6*POWER(Upgrades!$D$6,E371))</f>
        <v>37.4517507383159</v>
      </c>
      <c r="AH371" s="21" t="n">
        <f aca="false">IF(F371&gt;=Upgrades!$E$7,"",Upgrades!$C$7*POWER(Upgrades!$D$7,F371))</f>
        <v>80.9111547141581</v>
      </c>
      <c r="AI371" s="21" t="n">
        <f aca="false">IF(G371&gt;=Upgrades!$E$8,"",Upgrades!$C$8*POWER(Upgrades!$D$8,G371))</f>
        <v>231.9097088</v>
      </c>
      <c r="AJ371" s="21" t="str">
        <f aca="false">IF(H371&gt;=Upgrades!$E$9,"",Upgrades!$C$9*POWER(Upgrades!$D$9,H371))</f>
        <v/>
      </c>
      <c r="AK371" s="21" t="str">
        <f aca="false">IF(I371&gt;=Upgrades!$E$10,"",Upgrades!$C$10*POWER(Upgrades!$D$10,I371))</f>
        <v/>
      </c>
      <c r="AL371" s="21" t="str">
        <f aca="false">IF(J371&gt;=Upgrades!$E$11,"",Upgrades!$C$11*POWER(Upgrades!$D$11,J371))</f>
        <v/>
      </c>
      <c r="AM371" s="21" t="str">
        <f aca="false">IF(K371&gt;=Upgrades!$E$12,"",Upgrades!$C$12*POWER(Upgrades!$D$12,K371))</f>
        <v/>
      </c>
      <c r="AN371" s="26" t="str">
        <f aca="false">IF(AND(D371&gt;=Parameters!$B$18,(H371&gt;=Upgrades!$E$9)*(K371&gt;=Upgrades!$E$12)=1,L371=0),1,"")</f>
        <v/>
      </c>
      <c r="AO371" s="26" t="str">
        <f aca="false">IF(AND(D371&gt;=Parameters!$B$18,L371=0),1,"")</f>
        <v/>
      </c>
      <c r="AP371" s="21" t="n">
        <f aca="false">MIN(IF(ISNUMBER(AK371),AK371,9000000000000000),IF(ISNUMBER(AL371),AL371,9000000000000000),IF(ISNUMBER(AM371),AM371,9000000000000000))</f>
        <v>9000000000000000</v>
      </c>
      <c r="AQ371" s="21" t="n">
        <f aca="false">MIN(IF(ISNUMBER(AG371),AG371,9000000000000000),IF(ISNUMBER(AH371),AH371,9000000000000000),IF(ISNUMBER(AI371),AI371,9000000000000000),IF(ISNUMBER(AJ371),AJ371,9000000000000000))</f>
        <v>37.4517507383159</v>
      </c>
      <c r="AR371" s="32" t="b">
        <f aca="false">IF(AW371&gt;Parameters!$B$21*(MAX(IF(AND(NOT(AND(AO371=1,AN371&lt;&gt;1)),ISNUMBER(AG371),AG371&lt;=T371),AS371,0),IF(AND(NOT(AND(AO371=1,AN371&lt;&gt;1)),ISNUMBER(AH371),AH371&lt;=T371),AT371,0),IF(AND(NOT(AND(AO371=1,AN371&lt;&gt;1)),ISNUMBER(AI371),AI371&lt;=T371),AU371,0),IF(AND(ISNUMBER(AJ371),AJ371&lt;=T371),AV371,0))),TRUE(),FALSE())</f>
        <v>1</v>
      </c>
      <c r="AS371" s="33" t="n">
        <f aca="false">IFERROR(Upgrades!$H$6*(POWER(Upgrades!$P$6,E371)*POWER(Upgrades!$P$7,F371)*POWER(Upgrades!$P$8,G371)*POWER(Upgrades!$P$9,H371)*POWER(Upgrades!$P$10,I371)*POWER(Upgrades!$P$11,J371)*POWER(Upgrades!$P$12,K371))*(IF(Upgrades!$T$7="Solar Wind",POWER(Upgrades!$U$7,F371),1)*IF(Upgrades!$T$8="Solar Wind",POWER(Upgrades!$U$8,G371),1)*IF(Upgrades!$T$9="Solar Wind",POWER(Upgrades!$U$9,H371),1)*IF(Upgrades!$T$10="Solar Wind",POWER(Upgrades!$U$10,I371),1)*IF(Upgrades!$T$11="Solar Wind",POWER(Upgrades!$U$11,J371),1)*IF(Upgrades!$T$12="Solar Wind",POWER(Upgrades!$U$12,K371),1))/AG371,0)</f>
        <v>0.0026701021455238</v>
      </c>
      <c r="AT371" s="33" t="n">
        <f aca="false">IFERROR(Upgrades!$H$7*(POWER(Upgrades!$P$6,E371)*POWER(Upgrades!$P$7,F371)*POWER(Upgrades!$P$8,G371)*POWER(Upgrades!$P$9,H371)*POWER(Upgrades!$P$10,I371)*POWER(Upgrades!$P$11,J371)*POWER(Upgrades!$P$12,K371))*(IF(Upgrades!$T$6="Asteroid Belt",POWER(Upgrades!$U$6,E371),1)*IF(Upgrades!$T$8="Asteroid Belt",POWER(Upgrades!$U$8,G371),1)*IF(Upgrades!$T$9="Asteroid Belt",POWER(Upgrades!$U$9,H371),1)*IF(Upgrades!$T$10="Asteroid Belt",POWER(Upgrades!$U$10,I371),1)*IF(Upgrades!$T$11="Asteroid Belt",POWER(Upgrades!$U$11,J371),1)*IF(Upgrades!$T$12="Asteroid Belt",POWER(Upgrades!$U$12,K371),1))/AH371,0)</f>
        <v>0.00308980882652332</v>
      </c>
      <c r="AU371" s="33" t="n">
        <f aca="false">IFERROR(Upgrades!$K$8*(POWER(Upgrades!$Q$6,E371)*POWER(Upgrades!$Q$7,F371)*POWER(Upgrades!$Q$8,G371)*POWER(Upgrades!$Q$9,H371)*POWER(Upgrades!$Q$10,I371)*POWER(Upgrades!$Q$11,J371)*POWER(Upgrades!$Q$12,K371))*(IF(Upgrades!$T$6="Stellar Coupling",POWER(Upgrades!$U$6,E371),1)*IF(Upgrades!$T$7="Stellar Coupling",POWER(Upgrades!$U$7,F371),1)*IF(Upgrades!$T$9="Stellar Coupling",POWER(Upgrades!$U$9,H371),1)*IF(Upgrades!$T$10="Stellar Coupling",POWER(Upgrades!$U$10,I371),1)*IF(Upgrades!$T$11="Stellar Coupling",POWER(Upgrades!$U$11,J371),1)*IF(Upgrades!$T$12="Stellar Coupling",POWER(Upgrades!$U$12,K371),1))*Parameters!$B$10*Parameters!$B$11/60/AI371,0)</f>
        <v>0.00452762415783776</v>
      </c>
      <c r="AV371" s="33" t="n">
        <f aca="false">IFERROR(Upgrades!$H$9*(POWER(Upgrades!$P$6,E371)*POWER(Upgrades!$P$7,F371)*POWER(Upgrades!$P$8,G371)*POWER(Upgrades!$P$9,H371)*POWER(Upgrades!$P$10,I371)*POWER(Upgrades!$P$11,J371)*POWER(Upgrades!$P$12,K371))*(IF(Upgrades!$T$6="Magnetosphere",POWER(Upgrades!$U$6,E371),1)*IF(Upgrades!$T$7="Magnetosphere",POWER(Upgrades!$U$7,F371),1)*IF(Upgrades!$T$8="Magnetosphere",POWER(Upgrades!$U$8,G371),1)*IF(Upgrades!$T$10="Magnetosphere",POWER(Upgrades!$U$10,I371),1)*IF(Upgrades!$T$11="Magnetosphere",POWER(Upgrades!$U$11,J371),1)*IF(Upgrades!$T$12="Magnetosphere",POWER(Upgrades!$U$12,K371),1))/AJ371,0)</f>
        <v>0</v>
      </c>
      <c r="AW371" s="33" t="n">
        <f aca="false">MAX(IF(I371&gt;0,0,IFERROR(0.25*N371/Upgrades!$C$10,0)),IF(J371&gt;0,0,IFERROR(0.5*((IF(G371=0,0,(Upgrades!$J$8+G371*Upgrades!$K$8)*POWER(Upgrades!$L$8,G371)))*(IF(Upgrades!$T$6="Stellar Coupling",POWER(Upgrades!$U$6,E371),1)*IF(Upgrades!$T$7="Stellar Coupling",POWER(Upgrades!$U$7,F371),1)*IF(Upgrades!$T$9="Stellar Coupling",POWER(Upgrades!$U$9,H371),1)*IF(Upgrades!$T$10="Stellar Coupling",POWER(Upgrades!$U$10,I371),1)*IF(Upgrades!$T$11="Stellar Coupling",POWER(Upgrades!$U$11,J371),1)*IF(Upgrades!$T$12="Stellar Coupling",POWER(Upgrades!$U$12,K371),1))*(POWER(Upgrades!$Q$6,E371)*POWER(Upgrades!$Q$7,F371)*POWER(Upgrades!$Q$8,G371)*POWER(Upgrades!$Q$9,H371)*POWER(Upgrades!$Q$10,I371)*POWER(Upgrades!$Q$11,J371)*POWER(Upgrades!$Q$12,K371))*Parameters!$B$10*Parameters!$B$11/60)/Upgrades!$C$11,0)),IF(K371&gt;0,0,IFERROR((1*(POWER(Upgrades!$P$6,E371)*POWER(Upgrades!$P$7,F371)*POWER(Upgrades!$P$8,G371)*POWER(Upgrades!$P$9,H371)*POWER(Upgrades!$P$10,I371)*POWER(Upgrades!$P$11,J371)*POWER(Upgrades!$P$12,K371))+0.2*M371*Parameters!$B$10*Parameters!$B$11/60)/Upgrades!$C$12,0)),IF(AND(ISNUMBER(AG371),AG371&gt;T371),AS371,0),IF(AND(ISNUMBER(AH371),AH371&gt;T371),AT371,0),IF(AND(ISNUMBER(AI371),AI371&gt;T371),AU371,0),IF(AND(ISNUMBER(AJ371),AJ371&gt;T371),AV371,0))</f>
        <v>0.00452762415783776</v>
      </c>
      <c r="AX371" s="29" t="str">
        <f aca="false">IF(AN371=1,"transition",IF(MIN(IF(AND(I371=0,ISNUMBER(AK371),AK371&lt;=T371),AK371,9000000000000000),IF(AND(J371=0,ISNUMBER(AL371),AL371&lt;=T371),AL371,9000000000000000),IF(AND(K371=0,ISNUMBER(AM371),AM371&lt;=T371),AM371,9000000000000000))&lt;9000000000000000,IF(AND(AND(I371=0,ISNUMBER(AK371),AK371&lt;=T371),AK371=MIN(IF(AND(I371=0,ISNUMBER(AK371),AK371&lt;=T371),AK371,9000000000000000),IF(AND(J371=0,ISNUMBER(AL371),AL371&lt;=T371),AL371,9000000000000000),IF(AND(K371=0,ISNUMBER(AM371),AM371&lt;=T371),AM371,9000000000000000))),"OR",IF(AND(AND(J371=0,ISNUMBER(AL371),AL371&lt;=T371),AL371=MIN(IF(AND(I371=0,ISNUMBER(AK371),AK371&lt;=T371),AK371,9000000000000000),IF(AND(J371=0,ISNUMBER(AL371),AL371&lt;=T371),AL371,9000000000000000),IF(AND(K371=0,ISNUMBER(AM371),AM371&lt;=T371),AM371,9000000000000000))),"HP","FP")),IF(AR371=TRUE(),"",IF(MAX(IF(AND(NOT(AND(AO371=1,AN371&lt;&gt;1)),ISNUMBER(AG371),AG371&lt;=T371),AS371,0),IF(AND(NOT(AND(AO371=1,AN371&lt;&gt;1)),ISNUMBER(AH371),AH371&lt;=T371),AT371,0),IF(AND(NOT(AND(AO371=1,AN371&lt;&gt;1)),ISNUMBER(AI371),AI371&lt;=T371),AU371,0),IF(AND(ISNUMBER(AJ371),AJ371&lt;=T371),AV371,0))&lt;=0,"",IF(AND(IF(AND(NOT(AND(AO371=1,AN371&lt;&gt;1)),ISNUMBER(AG371),AG371&lt;=T371),AS371,0)&gt;0,IF(AND(NOT(AND(AO371=1,AN371&lt;&gt;1)),ISNUMBER(AG371),AG371&lt;=T371),AS371,0)=MAX(IF(AND(NOT(AND(AO371=1,AN371&lt;&gt;1)),ISNUMBER(AG371),AG371&lt;=T371),AS371,0),IF(AND(NOT(AND(AO371=1,AN371&lt;&gt;1)),ISNUMBER(AH371),AH371&lt;=T371),AT371,0),IF(AND(NOT(AND(AO371=1,AN371&lt;&gt;1)),ISNUMBER(AI371),AI371&lt;=T371),AU371,0),IF(AND(ISNUMBER(AJ371),AJ371&lt;=T371),AV371,0))),"SW",IF(AND(IF(AND(NOT(AND(AO371=1,AN371&lt;&gt;1)),ISNUMBER(AH371),AH371&lt;=T371),AT371,0)&gt;0,IF(AND(NOT(AND(AO371=1,AN371&lt;&gt;1)),ISNUMBER(AH371),AH371&lt;=T371),AT371,0)=MAX(IF(AND(NOT(AND(AO371=1,AN371&lt;&gt;1)),ISNUMBER(AG371),AG371&lt;=T371),AS371,0),IF(AND(NOT(AND(AO371=1,AN371&lt;&gt;1)),ISNUMBER(AH371),AH371&lt;=T371),AT371,0),IF(AND(NOT(AND(AO371=1,AN371&lt;&gt;1)),ISNUMBER(AI371),AI371&lt;=T371),AU371,0),IF(AND(ISNUMBER(AJ371),AJ371&lt;=T371),AV371,0))),"AB",IF(AND(IF(AND(NOT(AND(AO371=1,AN371&lt;&gt;1)),ISNUMBER(AI371),AI371&lt;=T371),AU371,0)&gt;0,IF(AND(NOT(AND(AO371=1,AN371&lt;&gt;1)),ISNUMBER(AI371),AI371&lt;=T371),AU371,0)=MAX(IF(AND(NOT(AND(AO371=1,AN371&lt;&gt;1)),ISNUMBER(AG371),AG371&lt;=T371),AS371,0),IF(AND(NOT(AND(AO371=1,AN371&lt;&gt;1)),ISNUMBER(AH371),AH371&lt;=T371),AT371,0),IF(AND(NOT(AND(AO371=1,AN371&lt;&gt;1)),ISNUMBER(AI371),AI371&lt;=T371),AU371,0),IF(AND(ISNUMBER(AJ371),AJ371&lt;=T371),AV371,0))),"SC","Mag")))))))</f>
        <v/>
      </c>
    </row>
    <row r="372" customFormat="false" ht="15" hidden="false" customHeight="false" outlineLevel="0" collapsed="false">
      <c r="A372" s="26" t="n">
        <v>367</v>
      </c>
      <c r="B372" s="27" t="n">
        <f aca="false">A372*10/60</f>
        <v>61.1666666666667</v>
      </c>
      <c r="C372" s="21" t="n">
        <f aca="false">X371</f>
        <v>18.6730249835055</v>
      </c>
      <c r="D372" s="27" t="n">
        <f aca="false">D371+W371</f>
        <v>0</v>
      </c>
      <c r="E372" s="26" t="n">
        <f aca="false">E371+IF(U371="SW",1,0)</f>
        <v>12</v>
      </c>
      <c r="F372" s="26" t="n">
        <f aca="false">F371+IF(U371="AB",1,0)</f>
        <v>10</v>
      </c>
      <c r="G372" s="26" t="n">
        <f aca="false">G371+IF(U371="SC",1,0)</f>
        <v>7</v>
      </c>
      <c r="H372" s="26" t="n">
        <f aca="false">H371+IF(U371="Mag",1,0)</f>
        <v>5</v>
      </c>
      <c r="I372" s="26" t="n">
        <f aca="false">MAX(I371,IF(U371="OR",1,0))</f>
        <v>1</v>
      </c>
      <c r="J372" s="26" t="n">
        <f aca="false">MAX(J371,IF(U371="HP",1,0))</f>
        <v>1</v>
      </c>
      <c r="K372" s="26" t="n">
        <f aca="false">MAX(K371,IF(U371="FP",1,0))</f>
        <v>1</v>
      </c>
      <c r="L372" s="26" t="n">
        <f aca="false">MAX(L371,IF(U371="transition",1,0))</f>
        <v>1</v>
      </c>
      <c r="M372" s="28" t="n">
        <f aca="false">(Parameters!$B$9+(IF(E372=0,0,(Upgrades!$J$6+E372*Upgrades!$K$6)*POWER(Upgrades!$L$6,E372)))*(IF(Upgrades!$T$7="Solar Wind",POWER(Upgrades!$U$7,F372),1)*IF(Upgrades!$T$8="Solar Wind",POWER(Upgrades!$U$8,G372),1)*IF(Upgrades!$T$9="Solar Wind",POWER(Upgrades!$U$9,H372),1)*IF(Upgrades!$T$10="Solar Wind",POWER(Upgrades!$U$10,I372),1)*IF(Upgrades!$T$11="Solar Wind",POWER(Upgrades!$U$11,J372),1)*IF(Upgrades!$T$12="Solar Wind",POWER(Upgrades!$U$12,K372),1))+(IF(F372=0,0,(Upgrades!$J$7+F372*Upgrades!$K$7)*POWER(Upgrades!$L$7,F372)))*(IF(Upgrades!$T$6="Asteroid Belt",POWER(Upgrades!$U$6,E372),1)*IF(Upgrades!$T$8="Asteroid Belt",POWER(Upgrades!$U$8,G372),1)*IF(Upgrades!$T$9="Asteroid Belt",POWER(Upgrades!$U$9,H372),1)*IF(Upgrades!$T$10="Asteroid Belt",POWER(Upgrades!$U$10,I372),1)*IF(Upgrades!$T$11="Asteroid Belt",POWER(Upgrades!$U$11,J372),1)*IF(Upgrades!$T$12="Asteroid Belt",POWER(Upgrades!$U$12,K372),1))+(IF(G372=0,0,(Upgrades!$J$8+G372*Upgrades!$K$8)*POWER(Upgrades!$L$8,G372)))*(IF(Upgrades!$T$6="Stellar Coupling",POWER(Upgrades!$U$6,E372),1)*IF(Upgrades!$T$7="Stellar Coupling",POWER(Upgrades!$U$7,F372),1)*IF(Upgrades!$T$9="Stellar Coupling",POWER(Upgrades!$U$9,H372),1)*IF(Upgrades!$T$10="Stellar Coupling",POWER(Upgrades!$U$10,I372),1)*IF(Upgrades!$T$11="Stellar Coupling",POWER(Upgrades!$U$11,J372),1)*IF(Upgrades!$T$12="Stellar Coupling",POWER(Upgrades!$U$12,K372),1))+(IF(H372=0,0,(Upgrades!$J$9+H372*Upgrades!$K$9)*POWER(Upgrades!$L$9,H372)))*(IF(Upgrades!$T$6="Magnetosphere",POWER(Upgrades!$U$6,E372),1)*IF(Upgrades!$T$7="Magnetosphere",POWER(Upgrades!$U$7,F372),1)*IF(Upgrades!$T$8="Magnetosphere",POWER(Upgrades!$U$8,G372),1)*IF(Upgrades!$T$10="Magnetosphere",POWER(Upgrades!$U$10,I372),1)*IF(Upgrades!$T$11="Magnetosphere",POWER(Upgrades!$U$11,J372),1)*IF(Upgrades!$T$12="Magnetosphere",POWER(Upgrades!$U$12,K372),1))+(IF(I372=0,0,(Upgrades!$J$10+I372*Upgrades!$K$10)*POWER(Upgrades!$L$10,I372)))*(IF(Upgrades!$T$6="Orbital Resonance",POWER(Upgrades!$U$6,E372),1)*IF(Upgrades!$T$7="Orbital Resonance",POWER(Upgrades!$U$7,F372),1)*IF(Upgrades!$T$8="Orbital Resonance",POWER(Upgrades!$U$8,G372),1)*IF(Upgrades!$T$9="Orbital Resonance",POWER(Upgrades!$U$9,H372),1)*IF(Upgrades!$T$11="Orbital Resonance",POWER(Upgrades!$U$11,J372),1)*IF(Upgrades!$T$12="Orbital Resonance",POWER(Upgrades!$U$12,K372),1))+(IF(J372=0,0,(Upgrades!$J$11+J372*Upgrades!$K$11)*POWER(Upgrades!$L$11,J372)))*(IF(Upgrades!$T$6="Heliopause",POWER(Upgrades!$U$6,E372),1)*IF(Upgrades!$T$7="Heliopause",POWER(Upgrades!$U$7,F372),1)*IF(Upgrades!$T$8="Heliopause",POWER(Upgrades!$U$8,G372),1)*IF(Upgrades!$T$9="Heliopause",POWER(Upgrades!$U$9,H372),1)*IF(Upgrades!$T$10="Heliopause",POWER(Upgrades!$U$10,I372),1)*IF(Upgrades!$T$12="Heliopause",POWER(Upgrades!$U$12,K372),1))+(IF(K372=0,0,(Upgrades!$J$12+K372*Upgrades!$K$12)*POWER(Upgrades!$L$12,K372)))*(IF(Upgrades!$T$6="First Photons",POWER(Upgrades!$U$6,E372),1)*IF(Upgrades!$T$7="First Photons",POWER(Upgrades!$U$7,F372),1)*IF(Upgrades!$T$8="First Photons",POWER(Upgrades!$U$8,G372),1)*IF(Upgrades!$T$9="First Photons",POWER(Upgrades!$U$9,H372),1)*IF(Upgrades!$T$10="First Photons",POWER(Upgrades!$U$10,I372),1)*IF(Upgrades!$T$11="First Photons",POWER(Upgrades!$U$11,J372),1)))*POWER(Upgrades!$Q$6,E372)*POWER(Upgrades!$Q$7,F372)*POWER(Upgrades!$Q$8,G372)*POWER(Upgrades!$Q$9,H372)*POWER(Upgrades!$Q$10,I372)*POWER(Upgrades!$Q$11,J372)*POWER(Upgrades!$Q$12,K372)</f>
        <v>5.61</v>
      </c>
      <c r="N372" s="28" t="n">
        <f aca="false">((IF(E372=0,0,(Upgrades!$G$6+E372*Upgrades!$H$6)*POWER(Upgrades!$I$6,E372)))*(IF(Upgrades!$T$7="Solar Wind",POWER(Upgrades!$U$7,F372),1)*IF(Upgrades!$T$8="Solar Wind",POWER(Upgrades!$U$8,G372),1)*IF(Upgrades!$T$9="Solar Wind",POWER(Upgrades!$U$9,H372),1)*IF(Upgrades!$T$10="Solar Wind",POWER(Upgrades!$U$10,I372),1)*IF(Upgrades!$T$11="Solar Wind",POWER(Upgrades!$U$11,J372),1)*IF(Upgrades!$T$12="Solar Wind",POWER(Upgrades!$U$12,K372),1))+(IF(F372=0,0,(Upgrades!$G$7+F372*Upgrades!$H$7)*POWER(Upgrades!$I$7,F372)))*(IF(Upgrades!$T$6="Asteroid Belt",POWER(Upgrades!$U$6,E372),1)*IF(Upgrades!$T$8="Asteroid Belt",POWER(Upgrades!$U$8,G372),1)*IF(Upgrades!$T$9="Asteroid Belt",POWER(Upgrades!$U$9,H372),1)*IF(Upgrades!$T$10="Asteroid Belt",POWER(Upgrades!$U$10,I372),1)*IF(Upgrades!$T$11="Asteroid Belt",POWER(Upgrades!$U$11,J372),1)*IF(Upgrades!$T$12="Asteroid Belt",POWER(Upgrades!$U$12,K372),1))+(IF(G372=0,0,(Upgrades!$G$8+G372*Upgrades!$H$8)*POWER(Upgrades!$I$8,G372)))*(IF(Upgrades!$T$6="Stellar Coupling",POWER(Upgrades!$U$6,E372),1)*IF(Upgrades!$T$7="Stellar Coupling",POWER(Upgrades!$U$7,F372),1)*IF(Upgrades!$T$9="Stellar Coupling",POWER(Upgrades!$U$9,H372),1)*IF(Upgrades!$T$10="Stellar Coupling",POWER(Upgrades!$U$10,I372),1)*IF(Upgrades!$T$11="Stellar Coupling",POWER(Upgrades!$U$11,J372),1)*IF(Upgrades!$T$12="Stellar Coupling",POWER(Upgrades!$U$12,K372),1))+(IF(H372=0,0,(Upgrades!$G$9+H372*Upgrades!$H$9)*POWER(Upgrades!$I$9,H372)))*(IF(Upgrades!$T$6="Magnetosphere",POWER(Upgrades!$U$6,E372),1)*IF(Upgrades!$T$7="Magnetosphere",POWER(Upgrades!$U$7,F372),1)*IF(Upgrades!$T$8="Magnetosphere",POWER(Upgrades!$U$8,G372),1)*IF(Upgrades!$T$10="Magnetosphere",POWER(Upgrades!$U$10,I372),1)*IF(Upgrades!$T$11="Magnetosphere",POWER(Upgrades!$U$11,J372),1)*IF(Upgrades!$T$12="Magnetosphere",POWER(Upgrades!$U$12,K372),1))+(IF(I372=0,0,(Upgrades!$G$10+I372*Upgrades!$H$10)*POWER(Upgrades!$I$10,I372)))*(IF(Upgrades!$T$6="Orbital Resonance",POWER(Upgrades!$U$6,E372),1)*IF(Upgrades!$T$7="Orbital Resonance",POWER(Upgrades!$U$7,F372),1)*IF(Upgrades!$T$8="Orbital Resonance",POWER(Upgrades!$U$8,G372),1)*IF(Upgrades!$T$9="Orbital Resonance",POWER(Upgrades!$U$9,H372),1)*IF(Upgrades!$T$11="Orbital Resonance",POWER(Upgrades!$U$11,J372),1)*IF(Upgrades!$T$12="Orbital Resonance",POWER(Upgrades!$U$12,K372),1))+(IF(J372=0,0,(Upgrades!$G$11+J372*Upgrades!$H$11)*POWER(Upgrades!$I$11,J372)))*(IF(Upgrades!$T$6="Heliopause",POWER(Upgrades!$U$6,E372),1)*IF(Upgrades!$T$7="Heliopause",POWER(Upgrades!$U$7,F372),1)*IF(Upgrades!$T$8="Heliopause",POWER(Upgrades!$U$8,G372),1)*IF(Upgrades!$T$9="Heliopause",POWER(Upgrades!$U$9,H372),1)*IF(Upgrades!$T$10="Heliopause",POWER(Upgrades!$U$10,I372),1)*IF(Upgrades!$T$12="Heliopause",POWER(Upgrades!$U$12,K372),1))+(IF(K372=0,0,(Upgrades!$G$12+K372*Upgrades!$H$12)*POWER(Upgrades!$I$12,K372)))*(IF(Upgrades!$T$6="First Photons",POWER(Upgrades!$U$6,E372),1)*IF(Upgrades!$T$7="First Photons",POWER(Upgrades!$U$7,F372),1)*IF(Upgrades!$T$8="First Photons",POWER(Upgrades!$U$8,G372),1)*IF(Upgrades!$T$9="First Photons",POWER(Upgrades!$U$9,H372),1)*IF(Upgrades!$T$10="First Photons",POWER(Upgrades!$U$10,I372),1)*IF(Upgrades!$T$11="First Photons",POWER(Upgrades!$U$11,J372),1)))*POWER(Upgrades!$P$6,E372)*POWER(Upgrades!$P$7,F372)*POWER(Upgrades!$P$8,G372)*POWER(Upgrades!$P$9,H372)*POWER(Upgrades!$P$10,I372)*POWER(Upgrades!$P$11,J372)*POWER(Upgrades!$P$12,K372)</f>
        <v>11.2</v>
      </c>
      <c r="O372" s="28" t="n">
        <f aca="false">((IF(E372=0,0,(Upgrades!$M$6+E372*Upgrades!$N$6)*POWER(Upgrades!$O$6,E372)))*(IF(Upgrades!$T$7="Solar Wind",POWER(Upgrades!$U$7,F372),1)*IF(Upgrades!$T$8="Solar Wind",POWER(Upgrades!$U$8,G372),1)*IF(Upgrades!$T$9="Solar Wind",POWER(Upgrades!$U$9,H372),1)*IF(Upgrades!$T$10="Solar Wind",POWER(Upgrades!$U$10,I372),1)*IF(Upgrades!$T$11="Solar Wind",POWER(Upgrades!$U$11,J372),1)*IF(Upgrades!$T$12="Solar Wind",POWER(Upgrades!$U$12,K372),1))+(IF(F372=0,0,(Upgrades!$M$7+F372*Upgrades!$N$7)*POWER(Upgrades!$O$7,F372)))*(IF(Upgrades!$T$6="Asteroid Belt",POWER(Upgrades!$U$6,E372),1)*IF(Upgrades!$T$8="Asteroid Belt",POWER(Upgrades!$U$8,G372),1)*IF(Upgrades!$T$9="Asteroid Belt",POWER(Upgrades!$U$9,H372),1)*IF(Upgrades!$T$10="Asteroid Belt",POWER(Upgrades!$U$10,I372),1)*IF(Upgrades!$T$11="Asteroid Belt",POWER(Upgrades!$U$11,J372),1)*IF(Upgrades!$T$12="Asteroid Belt",POWER(Upgrades!$U$12,K372),1))+(IF(G372=0,0,(Upgrades!$M$8+G372*Upgrades!$N$8)*POWER(Upgrades!$O$8,G372)))*(IF(Upgrades!$T$6="Stellar Coupling",POWER(Upgrades!$U$6,E372),1)*IF(Upgrades!$T$7="Stellar Coupling",POWER(Upgrades!$U$7,F372),1)*IF(Upgrades!$T$9="Stellar Coupling",POWER(Upgrades!$U$9,H372),1)*IF(Upgrades!$T$10="Stellar Coupling",POWER(Upgrades!$U$10,I372),1)*IF(Upgrades!$T$11="Stellar Coupling",POWER(Upgrades!$U$11,J372),1)*IF(Upgrades!$T$12="Stellar Coupling",POWER(Upgrades!$U$12,K372),1))+(IF(H372=0,0,(Upgrades!$M$9+H372*Upgrades!$N$9)*POWER(Upgrades!$O$9,H372)))*(IF(Upgrades!$T$6="Magnetosphere",POWER(Upgrades!$U$6,E372),1)*IF(Upgrades!$T$7="Magnetosphere",POWER(Upgrades!$U$7,F372),1)*IF(Upgrades!$T$8="Magnetosphere",POWER(Upgrades!$U$8,G372),1)*IF(Upgrades!$T$10="Magnetosphere",POWER(Upgrades!$U$10,I372),1)*IF(Upgrades!$T$11="Magnetosphere",POWER(Upgrades!$U$11,J372),1)*IF(Upgrades!$T$12="Magnetosphere",POWER(Upgrades!$U$12,K372),1))+(IF(I372=0,0,(Upgrades!$M$10+I372*Upgrades!$N$10)*POWER(Upgrades!$O$10,I372)))*(IF(Upgrades!$T$6="Orbital Resonance",POWER(Upgrades!$U$6,E372),1)*IF(Upgrades!$T$7="Orbital Resonance",POWER(Upgrades!$U$7,F372),1)*IF(Upgrades!$T$8="Orbital Resonance",POWER(Upgrades!$U$8,G372),1)*IF(Upgrades!$T$9="Orbital Resonance",POWER(Upgrades!$U$9,H372),1)*IF(Upgrades!$T$11="Orbital Resonance",POWER(Upgrades!$U$11,J372),1)*IF(Upgrades!$T$12="Orbital Resonance",POWER(Upgrades!$U$12,K372),1))+(IF(J372=0,0,(Upgrades!$M$11+J372*Upgrades!$N$11)*POWER(Upgrades!$O$11,J372)))*(IF(Upgrades!$T$6="Heliopause",POWER(Upgrades!$U$6,E372),1)*IF(Upgrades!$T$7="Heliopause",POWER(Upgrades!$U$7,F372),1)*IF(Upgrades!$T$8="Heliopause",POWER(Upgrades!$U$8,G372),1)*IF(Upgrades!$T$9="Heliopause",POWER(Upgrades!$U$9,H372),1)*IF(Upgrades!$T$10="Heliopause",POWER(Upgrades!$U$10,I372),1)*IF(Upgrades!$T$12="Heliopause",POWER(Upgrades!$U$12,K372),1))+(IF(K372=0,0,(Upgrades!$M$12+K372*Upgrades!$N$12)*POWER(Upgrades!$O$12,K372)))*(IF(Upgrades!$T$6="First Photons",POWER(Upgrades!$U$6,E372),1)*IF(Upgrades!$T$7="First Photons",POWER(Upgrades!$U$7,F372),1)*IF(Upgrades!$T$8="First Photons",POWER(Upgrades!$U$8,G372),1)*IF(Upgrades!$T$9="First Photons",POWER(Upgrades!$U$9,H372),1)*IF(Upgrades!$T$10="First Photons",POWER(Upgrades!$U$10,I372),1)*IF(Upgrades!$T$11="First Photons",POWER(Upgrades!$U$11,J372),1)))*POWER(Upgrades!$R$6,E372)*POWER(Upgrades!$R$7,F372)*POWER(Upgrades!$R$8,G372)*POWER(Upgrades!$R$9,H372)*POWER(Upgrades!$R$10,I372)*POWER(Upgrades!$R$11,J372)*POWER(Upgrades!$R$12,K372)</f>
        <v>0</v>
      </c>
      <c r="P372" s="27" t="n">
        <f aca="false">IF(L372=1,0,M372*Parameters!$B$10/60*Parameters!$B$11*10)</f>
        <v>0</v>
      </c>
      <c r="Q372" s="27" t="n">
        <f aca="false">IF(L372=1,0,O372*M372*10)</f>
        <v>0</v>
      </c>
      <c r="R372" s="27" t="n">
        <f aca="false">IF(L372=1,0,N372*10)</f>
        <v>0</v>
      </c>
      <c r="S372" s="27" t="n">
        <f aca="false">P372+Q372+R372</f>
        <v>0</v>
      </c>
      <c r="T372" s="21" t="n">
        <f aca="false">C372+S372</f>
        <v>18.6730249835055</v>
      </c>
      <c r="U372" s="34" t="str">
        <f aca="false">AX372</f>
        <v/>
      </c>
      <c r="V372" s="21" t="n">
        <f aca="false">IF(U372="",0,IF(U372="transition",0,IF(U372="SW",AG372,IF(U372="AB",AH372,IF(U372="SC",AI372,IF(U372="Mag",AJ372,IF(U372="OR",AK372,IF(U372="HP",AL372,IF(U372="FP",AM372,0)))))))))</f>
        <v>0</v>
      </c>
      <c r="W372" s="27" t="n">
        <f aca="false">IF(U372="OR",Upgrades!$F$10,IF(U372="HP",Upgrades!$F$11,IF(U372="transition",-Parameters!$B$18,0)))</f>
        <v>0</v>
      </c>
      <c r="X372" s="21" t="n">
        <f aca="false">T372-V372</f>
        <v>18.6730249835055</v>
      </c>
      <c r="Y372" s="30" t="n">
        <f aca="false">M372*Parameters!$B$10/60*Parameters!$B$11+O372*M372+N372</f>
        <v>20.55</v>
      </c>
      <c r="Z372" s="35" t="str">
        <f aca="false">IF(U372="transition","→ Tier 2 (Stellar Neighborhood)",IF(U372="FP","First Photons — light begins, system quickens",IF(U372="HP","Heliopause acquired",IF(U372="OR","Orbital Resonance — passive multiplier active",IF(AND(AO372=1,L372=0,AN372&lt;&gt;1),"Cohesion ready (waiting on completionist upgrades)","")))))</f>
        <v/>
      </c>
      <c r="AA372" s="27" t="n">
        <f aca="false">(IF(E372=0,0,(Upgrades!$G$6+E372*Upgrades!$H$6)*POWER(Upgrades!$I$6,E372)))*(IF(Upgrades!$T$7="Solar Wind",POWER(Upgrades!$U$7,F372),1)*IF(Upgrades!$T$8="Solar Wind",POWER(Upgrades!$U$8,G372),1)*IF(Upgrades!$T$9="Solar Wind",POWER(Upgrades!$U$9,H372),1)*IF(Upgrades!$T$10="Solar Wind",POWER(Upgrades!$U$10,I372),1)*IF(Upgrades!$T$11="Solar Wind",POWER(Upgrades!$U$11,J372),1)*IF(Upgrades!$T$12="Solar Wind",POWER(Upgrades!$U$12,K372),1))*POWER(Upgrades!$P$6,E372)*POWER(Upgrades!$P$7,F372)*POWER(Upgrades!$P$8,G372)*POWER(Upgrades!$P$9,H372)*POWER(Upgrades!$P$10,I372)*POWER(Upgrades!$P$11,J372)*POWER(Upgrades!$P$12,K372)*60</f>
        <v>72</v>
      </c>
      <c r="AB372" s="27" t="n">
        <f aca="false">(IF(F372=0,0,(Upgrades!$G$7+F372*Upgrades!$H$7)*POWER(Upgrades!$I$7,F372)))*(IF(Upgrades!$T$6="Asteroid Belt",POWER(Upgrades!$U$6,E372),1)*IF(Upgrades!$T$8="Asteroid Belt",POWER(Upgrades!$U$8,G372),1)*IF(Upgrades!$T$9="Asteroid Belt",POWER(Upgrades!$U$9,H372),1)*IF(Upgrades!$T$10="Asteroid Belt",POWER(Upgrades!$U$10,I372),1)*IF(Upgrades!$T$11="Asteroid Belt",POWER(Upgrades!$U$11,J372),1)*IF(Upgrades!$T$12="Asteroid Belt",POWER(Upgrades!$U$12,K372),1))*POWER(Upgrades!$P$6,E372)*POWER(Upgrades!$P$7,F372)*POWER(Upgrades!$P$8,G372)*POWER(Upgrades!$P$9,H372)*POWER(Upgrades!$P$10,I372)*POWER(Upgrades!$P$11,J372)*POWER(Upgrades!$P$12,K372)*60</f>
        <v>150</v>
      </c>
      <c r="AC372" s="27" t="n">
        <f aca="false">(IF(G372=0,0,(Upgrades!$J$8+G372*Upgrades!$K$8)*POWER(Upgrades!$L$8,G372)))*(IF(Upgrades!$T$6="Stellar Coupling",POWER(Upgrades!$U$6,E372),1)*IF(Upgrades!$T$7="Stellar Coupling",POWER(Upgrades!$U$7,F372),1)*IF(Upgrades!$T$9="Stellar Coupling",POWER(Upgrades!$U$9,H372),1)*IF(Upgrades!$T$10="Stellar Coupling",POWER(Upgrades!$U$10,I372),1)*IF(Upgrades!$T$11="Stellar Coupling",POWER(Upgrades!$U$11,J372),1)*IF(Upgrades!$T$12="Stellar Coupling",POWER(Upgrades!$U$12,K372),1))*POWER(Upgrades!$Q$6,E372)*POWER(Upgrades!$Q$7,F372)*POWER(Upgrades!$Q$8,G372)*POWER(Upgrades!$Q$9,H372)*POWER(Upgrades!$Q$10,I372)*POWER(Upgrades!$Q$11,J372)*POWER(Upgrades!$Q$12,K372)*Parameters!$B$10*Parameters!$B$11</f>
        <v>441</v>
      </c>
      <c r="AD372" s="27" t="n">
        <f aca="false">(IF(H372=0,0,(Upgrades!$G$9+H372*Upgrades!$H$9)*POWER(Upgrades!$I$9,H372)))*(IF(Upgrades!$T$6="Magnetosphere",POWER(Upgrades!$U$6,E372),1)*IF(Upgrades!$T$7="Magnetosphere",POWER(Upgrades!$U$7,F372),1)*IF(Upgrades!$T$8="Magnetosphere",POWER(Upgrades!$U$8,G372),1)*IF(Upgrades!$T$10="Magnetosphere",POWER(Upgrades!$U$10,I372),1)*IF(Upgrades!$T$11="Magnetosphere",POWER(Upgrades!$U$11,J372),1)*IF(Upgrades!$T$12="Magnetosphere",POWER(Upgrades!$U$12,K372),1))*POWER(Upgrades!$P$6,E372)*POWER(Upgrades!$P$7,F372)*POWER(Upgrades!$P$8,G372)*POWER(Upgrades!$P$9,H372)*POWER(Upgrades!$P$10,I372)*POWER(Upgrades!$P$11,J372)*POWER(Upgrades!$P$12,K372)*60</f>
        <v>375</v>
      </c>
      <c r="AE372" s="27" t="n">
        <f aca="false">(IF(K372=0,0,(Upgrades!$G$12+K372*Upgrades!$H$12)*POWER(Upgrades!$I$12,K372)))*(IF(Upgrades!$T$6="First Photons",POWER(Upgrades!$U$6,E372),1)*IF(Upgrades!$T$7="First Photons",POWER(Upgrades!$U$7,F372),1)*IF(Upgrades!$T$8="First Photons",POWER(Upgrades!$U$8,G372),1)*IF(Upgrades!$T$9="First Photons",POWER(Upgrades!$U$9,H372),1)*IF(Upgrades!$T$10="First Photons",POWER(Upgrades!$U$10,I372),1)*IF(Upgrades!$T$11="First Photons",POWER(Upgrades!$U$11,J372),1))*POWER(Upgrades!$P$6,E372)*POWER(Upgrades!$P$7,F372)*POWER(Upgrades!$P$8,G372)*POWER(Upgrades!$P$9,H372)*POWER(Upgrades!$P$10,I372)*POWER(Upgrades!$P$11,J372)*POWER(Upgrades!$P$12,K372)*60</f>
        <v>75</v>
      </c>
      <c r="AF372" s="27" t="n">
        <f aca="false">Parameters!$B$9*POWER(Upgrades!$Q$6,E372)*POWER(Upgrades!$Q$7,F372)*POWER(Upgrades!$Q$8,G372)*POWER(Upgrades!$Q$9,H372)*POWER(Upgrades!$Q$10,I372)*POWER(Upgrades!$Q$11,J372)*POWER(Upgrades!$Q$12,K372)*(Parameters!$B$10*Parameters!$B$11+O372*60)</f>
        <v>120</v>
      </c>
      <c r="AG372" s="21" t="n">
        <f aca="false">IF(E372&gt;=Upgrades!$E$6,"",Upgrades!$C$6*POWER(Upgrades!$D$6,E372))</f>
        <v>37.4517507383159</v>
      </c>
      <c r="AH372" s="21" t="n">
        <f aca="false">IF(F372&gt;=Upgrades!$E$7,"",Upgrades!$C$7*POWER(Upgrades!$D$7,F372))</f>
        <v>80.9111547141581</v>
      </c>
      <c r="AI372" s="21" t="n">
        <f aca="false">IF(G372&gt;=Upgrades!$E$8,"",Upgrades!$C$8*POWER(Upgrades!$D$8,G372))</f>
        <v>231.9097088</v>
      </c>
      <c r="AJ372" s="21" t="str">
        <f aca="false">IF(H372&gt;=Upgrades!$E$9,"",Upgrades!$C$9*POWER(Upgrades!$D$9,H372))</f>
        <v/>
      </c>
      <c r="AK372" s="21" t="str">
        <f aca="false">IF(I372&gt;=Upgrades!$E$10,"",Upgrades!$C$10*POWER(Upgrades!$D$10,I372))</f>
        <v/>
      </c>
      <c r="AL372" s="21" t="str">
        <f aca="false">IF(J372&gt;=Upgrades!$E$11,"",Upgrades!$C$11*POWER(Upgrades!$D$11,J372))</f>
        <v/>
      </c>
      <c r="AM372" s="21" t="str">
        <f aca="false">IF(K372&gt;=Upgrades!$E$12,"",Upgrades!$C$12*POWER(Upgrades!$D$12,K372))</f>
        <v/>
      </c>
      <c r="AN372" s="26" t="str">
        <f aca="false">IF(AND(D372&gt;=Parameters!$B$18,(H372&gt;=Upgrades!$E$9)*(K372&gt;=Upgrades!$E$12)=1,L372=0),1,"")</f>
        <v/>
      </c>
      <c r="AO372" s="26" t="str">
        <f aca="false">IF(AND(D372&gt;=Parameters!$B$18,L372=0),1,"")</f>
        <v/>
      </c>
      <c r="AP372" s="21" t="n">
        <f aca="false">MIN(IF(ISNUMBER(AK372),AK372,9000000000000000),IF(ISNUMBER(AL372),AL372,9000000000000000),IF(ISNUMBER(AM372),AM372,9000000000000000))</f>
        <v>9000000000000000</v>
      </c>
      <c r="AQ372" s="21" t="n">
        <f aca="false">MIN(IF(ISNUMBER(AG372),AG372,9000000000000000),IF(ISNUMBER(AH372),AH372,9000000000000000),IF(ISNUMBER(AI372),AI372,9000000000000000),IF(ISNUMBER(AJ372),AJ372,9000000000000000))</f>
        <v>37.4517507383159</v>
      </c>
      <c r="AR372" s="32" t="b">
        <f aca="false">IF(AW372&gt;Parameters!$B$21*(MAX(IF(AND(NOT(AND(AO372=1,AN372&lt;&gt;1)),ISNUMBER(AG372),AG372&lt;=T372),AS372,0),IF(AND(NOT(AND(AO372=1,AN372&lt;&gt;1)),ISNUMBER(AH372),AH372&lt;=T372),AT372,0),IF(AND(NOT(AND(AO372=1,AN372&lt;&gt;1)),ISNUMBER(AI372),AI372&lt;=T372),AU372,0),IF(AND(ISNUMBER(AJ372),AJ372&lt;=T372),AV372,0))),TRUE(),FALSE())</f>
        <v>1</v>
      </c>
      <c r="AS372" s="33" t="n">
        <f aca="false">IFERROR(Upgrades!$H$6*(POWER(Upgrades!$P$6,E372)*POWER(Upgrades!$P$7,F372)*POWER(Upgrades!$P$8,G372)*POWER(Upgrades!$P$9,H372)*POWER(Upgrades!$P$10,I372)*POWER(Upgrades!$P$11,J372)*POWER(Upgrades!$P$12,K372))*(IF(Upgrades!$T$7="Solar Wind",POWER(Upgrades!$U$7,F372),1)*IF(Upgrades!$T$8="Solar Wind",POWER(Upgrades!$U$8,G372),1)*IF(Upgrades!$T$9="Solar Wind",POWER(Upgrades!$U$9,H372),1)*IF(Upgrades!$T$10="Solar Wind",POWER(Upgrades!$U$10,I372),1)*IF(Upgrades!$T$11="Solar Wind",POWER(Upgrades!$U$11,J372),1)*IF(Upgrades!$T$12="Solar Wind",POWER(Upgrades!$U$12,K372),1))/AG372,0)</f>
        <v>0.0026701021455238</v>
      </c>
      <c r="AT372" s="33" t="n">
        <f aca="false">IFERROR(Upgrades!$H$7*(POWER(Upgrades!$P$6,E372)*POWER(Upgrades!$P$7,F372)*POWER(Upgrades!$P$8,G372)*POWER(Upgrades!$P$9,H372)*POWER(Upgrades!$P$10,I372)*POWER(Upgrades!$P$11,J372)*POWER(Upgrades!$P$12,K372))*(IF(Upgrades!$T$6="Asteroid Belt",POWER(Upgrades!$U$6,E372),1)*IF(Upgrades!$T$8="Asteroid Belt",POWER(Upgrades!$U$8,G372),1)*IF(Upgrades!$T$9="Asteroid Belt",POWER(Upgrades!$U$9,H372),1)*IF(Upgrades!$T$10="Asteroid Belt",POWER(Upgrades!$U$10,I372),1)*IF(Upgrades!$T$11="Asteroid Belt",POWER(Upgrades!$U$11,J372),1)*IF(Upgrades!$T$12="Asteroid Belt",POWER(Upgrades!$U$12,K372),1))/AH372,0)</f>
        <v>0.00308980882652332</v>
      </c>
      <c r="AU372" s="33" t="n">
        <f aca="false">IFERROR(Upgrades!$K$8*(POWER(Upgrades!$Q$6,E372)*POWER(Upgrades!$Q$7,F372)*POWER(Upgrades!$Q$8,G372)*POWER(Upgrades!$Q$9,H372)*POWER(Upgrades!$Q$10,I372)*POWER(Upgrades!$Q$11,J372)*POWER(Upgrades!$Q$12,K372))*(IF(Upgrades!$T$6="Stellar Coupling",POWER(Upgrades!$U$6,E372),1)*IF(Upgrades!$T$7="Stellar Coupling",POWER(Upgrades!$U$7,F372),1)*IF(Upgrades!$T$9="Stellar Coupling",POWER(Upgrades!$U$9,H372),1)*IF(Upgrades!$T$10="Stellar Coupling",POWER(Upgrades!$U$10,I372),1)*IF(Upgrades!$T$11="Stellar Coupling",POWER(Upgrades!$U$11,J372),1)*IF(Upgrades!$T$12="Stellar Coupling",POWER(Upgrades!$U$12,K372),1))*Parameters!$B$10*Parameters!$B$11/60/AI372,0)</f>
        <v>0.00452762415783776</v>
      </c>
      <c r="AV372" s="33" t="n">
        <f aca="false">IFERROR(Upgrades!$H$9*(POWER(Upgrades!$P$6,E372)*POWER(Upgrades!$P$7,F372)*POWER(Upgrades!$P$8,G372)*POWER(Upgrades!$P$9,H372)*POWER(Upgrades!$P$10,I372)*POWER(Upgrades!$P$11,J372)*POWER(Upgrades!$P$12,K372))*(IF(Upgrades!$T$6="Magnetosphere",POWER(Upgrades!$U$6,E372),1)*IF(Upgrades!$T$7="Magnetosphere",POWER(Upgrades!$U$7,F372),1)*IF(Upgrades!$T$8="Magnetosphere",POWER(Upgrades!$U$8,G372),1)*IF(Upgrades!$T$10="Magnetosphere",POWER(Upgrades!$U$10,I372),1)*IF(Upgrades!$T$11="Magnetosphere",POWER(Upgrades!$U$11,J372),1)*IF(Upgrades!$T$12="Magnetosphere",POWER(Upgrades!$U$12,K372),1))/AJ372,0)</f>
        <v>0</v>
      </c>
      <c r="AW372" s="33" t="n">
        <f aca="false">MAX(IF(I372&gt;0,0,IFERROR(0.25*N372/Upgrades!$C$10,0)),IF(J372&gt;0,0,IFERROR(0.5*((IF(G372=0,0,(Upgrades!$J$8+G372*Upgrades!$K$8)*POWER(Upgrades!$L$8,G372)))*(IF(Upgrades!$T$6="Stellar Coupling",POWER(Upgrades!$U$6,E372),1)*IF(Upgrades!$T$7="Stellar Coupling",POWER(Upgrades!$U$7,F372),1)*IF(Upgrades!$T$9="Stellar Coupling",POWER(Upgrades!$U$9,H372),1)*IF(Upgrades!$T$10="Stellar Coupling",POWER(Upgrades!$U$10,I372),1)*IF(Upgrades!$T$11="Stellar Coupling",POWER(Upgrades!$U$11,J372),1)*IF(Upgrades!$T$12="Stellar Coupling",POWER(Upgrades!$U$12,K372),1))*(POWER(Upgrades!$Q$6,E372)*POWER(Upgrades!$Q$7,F372)*POWER(Upgrades!$Q$8,G372)*POWER(Upgrades!$Q$9,H372)*POWER(Upgrades!$Q$10,I372)*POWER(Upgrades!$Q$11,J372)*POWER(Upgrades!$Q$12,K372))*Parameters!$B$10*Parameters!$B$11/60)/Upgrades!$C$11,0)),IF(K372&gt;0,0,IFERROR((1*(POWER(Upgrades!$P$6,E372)*POWER(Upgrades!$P$7,F372)*POWER(Upgrades!$P$8,G372)*POWER(Upgrades!$P$9,H372)*POWER(Upgrades!$P$10,I372)*POWER(Upgrades!$P$11,J372)*POWER(Upgrades!$P$12,K372))+0.2*M372*Parameters!$B$10*Parameters!$B$11/60)/Upgrades!$C$12,0)),IF(AND(ISNUMBER(AG372),AG372&gt;T372),AS372,0),IF(AND(ISNUMBER(AH372),AH372&gt;T372),AT372,0),IF(AND(ISNUMBER(AI372),AI372&gt;T372),AU372,0),IF(AND(ISNUMBER(AJ372),AJ372&gt;T372),AV372,0))</f>
        <v>0.00452762415783776</v>
      </c>
      <c r="AX372" s="29" t="str">
        <f aca="false">IF(AN372=1,"transition",IF(MIN(IF(AND(I372=0,ISNUMBER(AK372),AK372&lt;=T372),AK372,9000000000000000),IF(AND(J372=0,ISNUMBER(AL372),AL372&lt;=T372),AL372,9000000000000000),IF(AND(K372=0,ISNUMBER(AM372),AM372&lt;=T372),AM372,9000000000000000))&lt;9000000000000000,IF(AND(AND(I372=0,ISNUMBER(AK372),AK372&lt;=T372),AK372=MIN(IF(AND(I372=0,ISNUMBER(AK372),AK372&lt;=T372),AK372,9000000000000000),IF(AND(J372=0,ISNUMBER(AL372),AL372&lt;=T372),AL372,9000000000000000),IF(AND(K372=0,ISNUMBER(AM372),AM372&lt;=T372),AM372,9000000000000000))),"OR",IF(AND(AND(J372=0,ISNUMBER(AL372),AL372&lt;=T372),AL372=MIN(IF(AND(I372=0,ISNUMBER(AK372),AK372&lt;=T372),AK372,9000000000000000),IF(AND(J372=0,ISNUMBER(AL372),AL372&lt;=T372),AL372,9000000000000000),IF(AND(K372=0,ISNUMBER(AM372),AM372&lt;=T372),AM372,9000000000000000))),"HP","FP")),IF(AR372=TRUE(),"",IF(MAX(IF(AND(NOT(AND(AO372=1,AN372&lt;&gt;1)),ISNUMBER(AG372),AG372&lt;=T372),AS372,0),IF(AND(NOT(AND(AO372=1,AN372&lt;&gt;1)),ISNUMBER(AH372),AH372&lt;=T372),AT372,0),IF(AND(NOT(AND(AO372=1,AN372&lt;&gt;1)),ISNUMBER(AI372),AI372&lt;=T372),AU372,0),IF(AND(ISNUMBER(AJ372),AJ372&lt;=T372),AV372,0))&lt;=0,"",IF(AND(IF(AND(NOT(AND(AO372=1,AN372&lt;&gt;1)),ISNUMBER(AG372),AG372&lt;=T372),AS372,0)&gt;0,IF(AND(NOT(AND(AO372=1,AN372&lt;&gt;1)),ISNUMBER(AG372),AG372&lt;=T372),AS372,0)=MAX(IF(AND(NOT(AND(AO372=1,AN372&lt;&gt;1)),ISNUMBER(AG372),AG372&lt;=T372),AS372,0),IF(AND(NOT(AND(AO372=1,AN372&lt;&gt;1)),ISNUMBER(AH372),AH372&lt;=T372),AT372,0),IF(AND(NOT(AND(AO372=1,AN372&lt;&gt;1)),ISNUMBER(AI372),AI372&lt;=T372),AU372,0),IF(AND(ISNUMBER(AJ372),AJ372&lt;=T372),AV372,0))),"SW",IF(AND(IF(AND(NOT(AND(AO372=1,AN372&lt;&gt;1)),ISNUMBER(AH372),AH372&lt;=T372),AT372,0)&gt;0,IF(AND(NOT(AND(AO372=1,AN372&lt;&gt;1)),ISNUMBER(AH372),AH372&lt;=T372),AT372,0)=MAX(IF(AND(NOT(AND(AO372=1,AN372&lt;&gt;1)),ISNUMBER(AG372),AG372&lt;=T372),AS372,0),IF(AND(NOT(AND(AO372=1,AN372&lt;&gt;1)),ISNUMBER(AH372),AH372&lt;=T372),AT372,0),IF(AND(NOT(AND(AO372=1,AN372&lt;&gt;1)),ISNUMBER(AI372),AI372&lt;=T372),AU372,0),IF(AND(ISNUMBER(AJ372),AJ372&lt;=T372),AV372,0))),"AB",IF(AND(IF(AND(NOT(AND(AO372=1,AN372&lt;&gt;1)),ISNUMBER(AI372),AI372&lt;=T372),AU372,0)&gt;0,IF(AND(NOT(AND(AO372=1,AN372&lt;&gt;1)),ISNUMBER(AI372),AI372&lt;=T372),AU372,0)=MAX(IF(AND(NOT(AND(AO372=1,AN372&lt;&gt;1)),ISNUMBER(AG372),AG372&lt;=T372),AS372,0),IF(AND(NOT(AND(AO372=1,AN372&lt;&gt;1)),ISNUMBER(AH372),AH372&lt;=T372),AT372,0),IF(AND(NOT(AND(AO372=1,AN372&lt;&gt;1)),ISNUMBER(AI372),AI372&lt;=T372),AU372,0),IF(AND(ISNUMBER(AJ372),AJ372&lt;=T372),AV372,0))),"SC","Mag")))))))</f>
        <v/>
      </c>
    </row>
    <row r="373" customFormat="false" ht="15" hidden="false" customHeight="false" outlineLevel="0" collapsed="false">
      <c r="A373" s="26" t="n">
        <v>368</v>
      </c>
      <c r="B373" s="27" t="n">
        <f aca="false">A373*10/60</f>
        <v>61.3333333333333</v>
      </c>
      <c r="C373" s="21" t="n">
        <f aca="false">X372</f>
        <v>18.6730249835055</v>
      </c>
      <c r="D373" s="27" t="n">
        <f aca="false">D372+W372</f>
        <v>0</v>
      </c>
      <c r="E373" s="26" t="n">
        <f aca="false">E372+IF(U372="SW",1,0)</f>
        <v>12</v>
      </c>
      <c r="F373" s="26" t="n">
        <f aca="false">F372+IF(U372="AB",1,0)</f>
        <v>10</v>
      </c>
      <c r="G373" s="26" t="n">
        <f aca="false">G372+IF(U372="SC",1,0)</f>
        <v>7</v>
      </c>
      <c r="H373" s="26" t="n">
        <f aca="false">H372+IF(U372="Mag",1,0)</f>
        <v>5</v>
      </c>
      <c r="I373" s="26" t="n">
        <f aca="false">MAX(I372,IF(U372="OR",1,0))</f>
        <v>1</v>
      </c>
      <c r="J373" s="26" t="n">
        <f aca="false">MAX(J372,IF(U372="HP",1,0))</f>
        <v>1</v>
      </c>
      <c r="K373" s="26" t="n">
        <f aca="false">MAX(K372,IF(U372="FP",1,0))</f>
        <v>1</v>
      </c>
      <c r="L373" s="26" t="n">
        <f aca="false">MAX(L372,IF(U372="transition",1,0))</f>
        <v>1</v>
      </c>
      <c r="M373" s="28" t="n">
        <f aca="false">(Parameters!$B$9+(IF(E373=0,0,(Upgrades!$J$6+E373*Upgrades!$K$6)*POWER(Upgrades!$L$6,E373)))*(IF(Upgrades!$T$7="Solar Wind",POWER(Upgrades!$U$7,F373),1)*IF(Upgrades!$T$8="Solar Wind",POWER(Upgrades!$U$8,G373),1)*IF(Upgrades!$T$9="Solar Wind",POWER(Upgrades!$U$9,H373),1)*IF(Upgrades!$T$10="Solar Wind",POWER(Upgrades!$U$10,I373),1)*IF(Upgrades!$T$11="Solar Wind",POWER(Upgrades!$U$11,J373),1)*IF(Upgrades!$T$12="Solar Wind",POWER(Upgrades!$U$12,K373),1))+(IF(F373=0,0,(Upgrades!$J$7+F373*Upgrades!$K$7)*POWER(Upgrades!$L$7,F373)))*(IF(Upgrades!$T$6="Asteroid Belt",POWER(Upgrades!$U$6,E373),1)*IF(Upgrades!$T$8="Asteroid Belt",POWER(Upgrades!$U$8,G373),1)*IF(Upgrades!$T$9="Asteroid Belt",POWER(Upgrades!$U$9,H373),1)*IF(Upgrades!$T$10="Asteroid Belt",POWER(Upgrades!$U$10,I373),1)*IF(Upgrades!$T$11="Asteroid Belt",POWER(Upgrades!$U$11,J373),1)*IF(Upgrades!$T$12="Asteroid Belt",POWER(Upgrades!$U$12,K373),1))+(IF(G373=0,0,(Upgrades!$J$8+G373*Upgrades!$K$8)*POWER(Upgrades!$L$8,G373)))*(IF(Upgrades!$T$6="Stellar Coupling",POWER(Upgrades!$U$6,E373),1)*IF(Upgrades!$T$7="Stellar Coupling",POWER(Upgrades!$U$7,F373),1)*IF(Upgrades!$T$9="Stellar Coupling",POWER(Upgrades!$U$9,H373),1)*IF(Upgrades!$T$10="Stellar Coupling",POWER(Upgrades!$U$10,I373),1)*IF(Upgrades!$T$11="Stellar Coupling",POWER(Upgrades!$U$11,J373),1)*IF(Upgrades!$T$12="Stellar Coupling",POWER(Upgrades!$U$12,K373),1))+(IF(H373=0,0,(Upgrades!$J$9+H373*Upgrades!$K$9)*POWER(Upgrades!$L$9,H373)))*(IF(Upgrades!$T$6="Magnetosphere",POWER(Upgrades!$U$6,E373),1)*IF(Upgrades!$T$7="Magnetosphere",POWER(Upgrades!$U$7,F373),1)*IF(Upgrades!$T$8="Magnetosphere",POWER(Upgrades!$U$8,G373),1)*IF(Upgrades!$T$10="Magnetosphere",POWER(Upgrades!$U$10,I373),1)*IF(Upgrades!$T$11="Magnetosphere",POWER(Upgrades!$U$11,J373),1)*IF(Upgrades!$T$12="Magnetosphere",POWER(Upgrades!$U$12,K373),1))+(IF(I373=0,0,(Upgrades!$J$10+I373*Upgrades!$K$10)*POWER(Upgrades!$L$10,I373)))*(IF(Upgrades!$T$6="Orbital Resonance",POWER(Upgrades!$U$6,E373),1)*IF(Upgrades!$T$7="Orbital Resonance",POWER(Upgrades!$U$7,F373),1)*IF(Upgrades!$T$8="Orbital Resonance",POWER(Upgrades!$U$8,G373),1)*IF(Upgrades!$T$9="Orbital Resonance",POWER(Upgrades!$U$9,H373),1)*IF(Upgrades!$T$11="Orbital Resonance",POWER(Upgrades!$U$11,J373),1)*IF(Upgrades!$T$12="Orbital Resonance",POWER(Upgrades!$U$12,K373),1))+(IF(J373=0,0,(Upgrades!$J$11+J373*Upgrades!$K$11)*POWER(Upgrades!$L$11,J373)))*(IF(Upgrades!$T$6="Heliopause",POWER(Upgrades!$U$6,E373),1)*IF(Upgrades!$T$7="Heliopause",POWER(Upgrades!$U$7,F373),1)*IF(Upgrades!$T$8="Heliopause",POWER(Upgrades!$U$8,G373),1)*IF(Upgrades!$T$9="Heliopause",POWER(Upgrades!$U$9,H373),1)*IF(Upgrades!$T$10="Heliopause",POWER(Upgrades!$U$10,I373),1)*IF(Upgrades!$T$12="Heliopause",POWER(Upgrades!$U$12,K373),1))+(IF(K373=0,0,(Upgrades!$J$12+K373*Upgrades!$K$12)*POWER(Upgrades!$L$12,K373)))*(IF(Upgrades!$T$6="First Photons",POWER(Upgrades!$U$6,E373),1)*IF(Upgrades!$T$7="First Photons",POWER(Upgrades!$U$7,F373),1)*IF(Upgrades!$T$8="First Photons",POWER(Upgrades!$U$8,G373),1)*IF(Upgrades!$T$9="First Photons",POWER(Upgrades!$U$9,H373),1)*IF(Upgrades!$T$10="First Photons",POWER(Upgrades!$U$10,I373),1)*IF(Upgrades!$T$11="First Photons",POWER(Upgrades!$U$11,J373),1)))*POWER(Upgrades!$Q$6,E373)*POWER(Upgrades!$Q$7,F373)*POWER(Upgrades!$Q$8,G373)*POWER(Upgrades!$Q$9,H373)*POWER(Upgrades!$Q$10,I373)*POWER(Upgrades!$Q$11,J373)*POWER(Upgrades!$Q$12,K373)</f>
        <v>5.61</v>
      </c>
      <c r="N373" s="28" t="n">
        <f aca="false">((IF(E373=0,0,(Upgrades!$G$6+E373*Upgrades!$H$6)*POWER(Upgrades!$I$6,E373)))*(IF(Upgrades!$T$7="Solar Wind",POWER(Upgrades!$U$7,F373),1)*IF(Upgrades!$T$8="Solar Wind",POWER(Upgrades!$U$8,G373),1)*IF(Upgrades!$T$9="Solar Wind",POWER(Upgrades!$U$9,H373),1)*IF(Upgrades!$T$10="Solar Wind",POWER(Upgrades!$U$10,I373),1)*IF(Upgrades!$T$11="Solar Wind",POWER(Upgrades!$U$11,J373),1)*IF(Upgrades!$T$12="Solar Wind",POWER(Upgrades!$U$12,K373),1))+(IF(F373=0,0,(Upgrades!$G$7+F373*Upgrades!$H$7)*POWER(Upgrades!$I$7,F373)))*(IF(Upgrades!$T$6="Asteroid Belt",POWER(Upgrades!$U$6,E373),1)*IF(Upgrades!$T$8="Asteroid Belt",POWER(Upgrades!$U$8,G373),1)*IF(Upgrades!$T$9="Asteroid Belt",POWER(Upgrades!$U$9,H373),1)*IF(Upgrades!$T$10="Asteroid Belt",POWER(Upgrades!$U$10,I373),1)*IF(Upgrades!$T$11="Asteroid Belt",POWER(Upgrades!$U$11,J373),1)*IF(Upgrades!$T$12="Asteroid Belt",POWER(Upgrades!$U$12,K373),1))+(IF(G373=0,0,(Upgrades!$G$8+G373*Upgrades!$H$8)*POWER(Upgrades!$I$8,G373)))*(IF(Upgrades!$T$6="Stellar Coupling",POWER(Upgrades!$U$6,E373),1)*IF(Upgrades!$T$7="Stellar Coupling",POWER(Upgrades!$U$7,F373),1)*IF(Upgrades!$T$9="Stellar Coupling",POWER(Upgrades!$U$9,H373),1)*IF(Upgrades!$T$10="Stellar Coupling",POWER(Upgrades!$U$10,I373),1)*IF(Upgrades!$T$11="Stellar Coupling",POWER(Upgrades!$U$11,J373),1)*IF(Upgrades!$T$12="Stellar Coupling",POWER(Upgrades!$U$12,K373),1))+(IF(H373=0,0,(Upgrades!$G$9+H373*Upgrades!$H$9)*POWER(Upgrades!$I$9,H373)))*(IF(Upgrades!$T$6="Magnetosphere",POWER(Upgrades!$U$6,E373),1)*IF(Upgrades!$T$7="Magnetosphere",POWER(Upgrades!$U$7,F373),1)*IF(Upgrades!$T$8="Magnetosphere",POWER(Upgrades!$U$8,G373),1)*IF(Upgrades!$T$10="Magnetosphere",POWER(Upgrades!$U$10,I373),1)*IF(Upgrades!$T$11="Magnetosphere",POWER(Upgrades!$U$11,J373),1)*IF(Upgrades!$T$12="Magnetosphere",POWER(Upgrades!$U$12,K373),1))+(IF(I373=0,0,(Upgrades!$G$10+I373*Upgrades!$H$10)*POWER(Upgrades!$I$10,I373)))*(IF(Upgrades!$T$6="Orbital Resonance",POWER(Upgrades!$U$6,E373),1)*IF(Upgrades!$T$7="Orbital Resonance",POWER(Upgrades!$U$7,F373),1)*IF(Upgrades!$T$8="Orbital Resonance",POWER(Upgrades!$U$8,G373),1)*IF(Upgrades!$T$9="Orbital Resonance",POWER(Upgrades!$U$9,H373),1)*IF(Upgrades!$T$11="Orbital Resonance",POWER(Upgrades!$U$11,J373),1)*IF(Upgrades!$T$12="Orbital Resonance",POWER(Upgrades!$U$12,K373),1))+(IF(J373=0,0,(Upgrades!$G$11+J373*Upgrades!$H$11)*POWER(Upgrades!$I$11,J373)))*(IF(Upgrades!$T$6="Heliopause",POWER(Upgrades!$U$6,E373),1)*IF(Upgrades!$T$7="Heliopause",POWER(Upgrades!$U$7,F373),1)*IF(Upgrades!$T$8="Heliopause",POWER(Upgrades!$U$8,G373),1)*IF(Upgrades!$T$9="Heliopause",POWER(Upgrades!$U$9,H373),1)*IF(Upgrades!$T$10="Heliopause",POWER(Upgrades!$U$10,I373),1)*IF(Upgrades!$T$12="Heliopause",POWER(Upgrades!$U$12,K373),1))+(IF(K373=0,0,(Upgrades!$G$12+K373*Upgrades!$H$12)*POWER(Upgrades!$I$12,K373)))*(IF(Upgrades!$T$6="First Photons",POWER(Upgrades!$U$6,E373),1)*IF(Upgrades!$T$7="First Photons",POWER(Upgrades!$U$7,F373),1)*IF(Upgrades!$T$8="First Photons",POWER(Upgrades!$U$8,G373),1)*IF(Upgrades!$T$9="First Photons",POWER(Upgrades!$U$9,H373),1)*IF(Upgrades!$T$10="First Photons",POWER(Upgrades!$U$10,I373),1)*IF(Upgrades!$T$11="First Photons",POWER(Upgrades!$U$11,J373),1)))*POWER(Upgrades!$P$6,E373)*POWER(Upgrades!$P$7,F373)*POWER(Upgrades!$P$8,G373)*POWER(Upgrades!$P$9,H373)*POWER(Upgrades!$P$10,I373)*POWER(Upgrades!$P$11,J373)*POWER(Upgrades!$P$12,K373)</f>
        <v>11.2</v>
      </c>
      <c r="O373" s="28" t="n">
        <f aca="false">((IF(E373=0,0,(Upgrades!$M$6+E373*Upgrades!$N$6)*POWER(Upgrades!$O$6,E373)))*(IF(Upgrades!$T$7="Solar Wind",POWER(Upgrades!$U$7,F373),1)*IF(Upgrades!$T$8="Solar Wind",POWER(Upgrades!$U$8,G373),1)*IF(Upgrades!$T$9="Solar Wind",POWER(Upgrades!$U$9,H373),1)*IF(Upgrades!$T$10="Solar Wind",POWER(Upgrades!$U$10,I373),1)*IF(Upgrades!$T$11="Solar Wind",POWER(Upgrades!$U$11,J373),1)*IF(Upgrades!$T$12="Solar Wind",POWER(Upgrades!$U$12,K373),1))+(IF(F373=0,0,(Upgrades!$M$7+F373*Upgrades!$N$7)*POWER(Upgrades!$O$7,F373)))*(IF(Upgrades!$T$6="Asteroid Belt",POWER(Upgrades!$U$6,E373),1)*IF(Upgrades!$T$8="Asteroid Belt",POWER(Upgrades!$U$8,G373),1)*IF(Upgrades!$T$9="Asteroid Belt",POWER(Upgrades!$U$9,H373),1)*IF(Upgrades!$T$10="Asteroid Belt",POWER(Upgrades!$U$10,I373),1)*IF(Upgrades!$T$11="Asteroid Belt",POWER(Upgrades!$U$11,J373),1)*IF(Upgrades!$T$12="Asteroid Belt",POWER(Upgrades!$U$12,K373),1))+(IF(G373=0,0,(Upgrades!$M$8+G373*Upgrades!$N$8)*POWER(Upgrades!$O$8,G373)))*(IF(Upgrades!$T$6="Stellar Coupling",POWER(Upgrades!$U$6,E373),1)*IF(Upgrades!$T$7="Stellar Coupling",POWER(Upgrades!$U$7,F373),1)*IF(Upgrades!$T$9="Stellar Coupling",POWER(Upgrades!$U$9,H373),1)*IF(Upgrades!$T$10="Stellar Coupling",POWER(Upgrades!$U$10,I373),1)*IF(Upgrades!$T$11="Stellar Coupling",POWER(Upgrades!$U$11,J373),1)*IF(Upgrades!$T$12="Stellar Coupling",POWER(Upgrades!$U$12,K373),1))+(IF(H373=0,0,(Upgrades!$M$9+H373*Upgrades!$N$9)*POWER(Upgrades!$O$9,H373)))*(IF(Upgrades!$T$6="Magnetosphere",POWER(Upgrades!$U$6,E373),1)*IF(Upgrades!$T$7="Magnetosphere",POWER(Upgrades!$U$7,F373),1)*IF(Upgrades!$T$8="Magnetosphere",POWER(Upgrades!$U$8,G373),1)*IF(Upgrades!$T$10="Magnetosphere",POWER(Upgrades!$U$10,I373),1)*IF(Upgrades!$T$11="Magnetosphere",POWER(Upgrades!$U$11,J373),1)*IF(Upgrades!$T$12="Magnetosphere",POWER(Upgrades!$U$12,K373),1))+(IF(I373=0,0,(Upgrades!$M$10+I373*Upgrades!$N$10)*POWER(Upgrades!$O$10,I373)))*(IF(Upgrades!$T$6="Orbital Resonance",POWER(Upgrades!$U$6,E373),1)*IF(Upgrades!$T$7="Orbital Resonance",POWER(Upgrades!$U$7,F373),1)*IF(Upgrades!$T$8="Orbital Resonance",POWER(Upgrades!$U$8,G373),1)*IF(Upgrades!$T$9="Orbital Resonance",POWER(Upgrades!$U$9,H373),1)*IF(Upgrades!$T$11="Orbital Resonance",POWER(Upgrades!$U$11,J373),1)*IF(Upgrades!$T$12="Orbital Resonance",POWER(Upgrades!$U$12,K373),1))+(IF(J373=0,0,(Upgrades!$M$11+J373*Upgrades!$N$11)*POWER(Upgrades!$O$11,J373)))*(IF(Upgrades!$T$6="Heliopause",POWER(Upgrades!$U$6,E373),1)*IF(Upgrades!$T$7="Heliopause",POWER(Upgrades!$U$7,F373),1)*IF(Upgrades!$T$8="Heliopause",POWER(Upgrades!$U$8,G373),1)*IF(Upgrades!$T$9="Heliopause",POWER(Upgrades!$U$9,H373),1)*IF(Upgrades!$T$10="Heliopause",POWER(Upgrades!$U$10,I373),1)*IF(Upgrades!$T$12="Heliopause",POWER(Upgrades!$U$12,K373),1))+(IF(K373=0,0,(Upgrades!$M$12+K373*Upgrades!$N$12)*POWER(Upgrades!$O$12,K373)))*(IF(Upgrades!$T$6="First Photons",POWER(Upgrades!$U$6,E373),1)*IF(Upgrades!$T$7="First Photons",POWER(Upgrades!$U$7,F373),1)*IF(Upgrades!$T$8="First Photons",POWER(Upgrades!$U$8,G373),1)*IF(Upgrades!$T$9="First Photons",POWER(Upgrades!$U$9,H373),1)*IF(Upgrades!$T$10="First Photons",POWER(Upgrades!$U$10,I373),1)*IF(Upgrades!$T$11="First Photons",POWER(Upgrades!$U$11,J373),1)))*POWER(Upgrades!$R$6,E373)*POWER(Upgrades!$R$7,F373)*POWER(Upgrades!$R$8,G373)*POWER(Upgrades!$R$9,H373)*POWER(Upgrades!$R$10,I373)*POWER(Upgrades!$R$11,J373)*POWER(Upgrades!$R$12,K373)</f>
        <v>0</v>
      </c>
      <c r="P373" s="27" t="n">
        <f aca="false">IF(L373=1,0,M373*Parameters!$B$10/60*Parameters!$B$11*10)</f>
        <v>0</v>
      </c>
      <c r="Q373" s="27" t="n">
        <f aca="false">IF(L373=1,0,O373*M373*10)</f>
        <v>0</v>
      </c>
      <c r="R373" s="27" t="n">
        <f aca="false">IF(L373=1,0,N373*10)</f>
        <v>0</v>
      </c>
      <c r="S373" s="27" t="n">
        <f aca="false">P373+Q373+R373</f>
        <v>0</v>
      </c>
      <c r="T373" s="21" t="n">
        <f aca="false">C373+S373</f>
        <v>18.6730249835055</v>
      </c>
      <c r="U373" s="34" t="str">
        <f aca="false">AX373</f>
        <v/>
      </c>
      <c r="V373" s="21" t="n">
        <f aca="false">IF(U373="",0,IF(U373="transition",0,IF(U373="SW",AG373,IF(U373="AB",AH373,IF(U373="SC",AI373,IF(U373="Mag",AJ373,IF(U373="OR",AK373,IF(U373="HP",AL373,IF(U373="FP",AM373,0)))))))))</f>
        <v>0</v>
      </c>
      <c r="W373" s="27" t="n">
        <f aca="false">IF(U373="OR",Upgrades!$F$10,IF(U373="HP",Upgrades!$F$11,IF(U373="transition",-Parameters!$B$18,0)))</f>
        <v>0</v>
      </c>
      <c r="X373" s="21" t="n">
        <f aca="false">T373-V373</f>
        <v>18.6730249835055</v>
      </c>
      <c r="Y373" s="30" t="n">
        <f aca="false">M373*Parameters!$B$10/60*Parameters!$B$11+O373*M373+N373</f>
        <v>20.55</v>
      </c>
      <c r="Z373" s="35" t="str">
        <f aca="false">IF(U373="transition","→ Tier 2 (Stellar Neighborhood)",IF(U373="FP","First Photons — light begins, system quickens",IF(U373="HP","Heliopause acquired",IF(U373="OR","Orbital Resonance — passive multiplier active",IF(AND(AO373=1,L373=0,AN373&lt;&gt;1),"Cohesion ready (waiting on completionist upgrades)","")))))</f>
        <v/>
      </c>
      <c r="AA373" s="27" t="n">
        <f aca="false">(IF(E373=0,0,(Upgrades!$G$6+E373*Upgrades!$H$6)*POWER(Upgrades!$I$6,E373)))*(IF(Upgrades!$T$7="Solar Wind",POWER(Upgrades!$U$7,F373),1)*IF(Upgrades!$T$8="Solar Wind",POWER(Upgrades!$U$8,G373),1)*IF(Upgrades!$T$9="Solar Wind",POWER(Upgrades!$U$9,H373),1)*IF(Upgrades!$T$10="Solar Wind",POWER(Upgrades!$U$10,I373),1)*IF(Upgrades!$T$11="Solar Wind",POWER(Upgrades!$U$11,J373),1)*IF(Upgrades!$T$12="Solar Wind",POWER(Upgrades!$U$12,K373),1))*POWER(Upgrades!$P$6,E373)*POWER(Upgrades!$P$7,F373)*POWER(Upgrades!$P$8,G373)*POWER(Upgrades!$P$9,H373)*POWER(Upgrades!$P$10,I373)*POWER(Upgrades!$P$11,J373)*POWER(Upgrades!$P$12,K373)*60</f>
        <v>72</v>
      </c>
      <c r="AB373" s="27" t="n">
        <f aca="false">(IF(F373=0,0,(Upgrades!$G$7+F373*Upgrades!$H$7)*POWER(Upgrades!$I$7,F373)))*(IF(Upgrades!$T$6="Asteroid Belt",POWER(Upgrades!$U$6,E373),1)*IF(Upgrades!$T$8="Asteroid Belt",POWER(Upgrades!$U$8,G373),1)*IF(Upgrades!$T$9="Asteroid Belt",POWER(Upgrades!$U$9,H373),1)*IF(Upgrades!$T$10="Asteroid Belt",POWER(Upgrades!$U$10,I373),1)*IF(Upgrades!$T$11="Asteroid Belt",POWER(Upgrades!$U$11,J373),1)*IF(Upgrades!$T$12="Asteroid Belt",POWER(Upgrades!$U$12,K373),1))*POWER(Upgrades!$P$6,E373)*POWER(Upgrades!$P$7,F373)*POWER(Upgrades!$P$8,G373)*POWER(Upgrades!$P$9,H373)*POWER(Upgrades!$P$10,I373)*POWER(Upgrades!$P$11,J373)*POWER(Upgrades!$P$12,K373)*60</f>
        <v>150</v>
      </c>
      <c r="AC373" s="27" t="n">
        <f aca="false">(IF(G373=0,0,(Upgrades!$J$8+G373*Upgrades!$K$8)*POWER(Upgrades!$L$8,G373)))*(IF(Upgrades!$T$6="Stellar Coupling",POWER(Upgrades!$U$6,E373),1)*IF(Upgrades!$T$7="Stellar Coupling",POWER(Upgrades!$U$7,F373),1)*IF(Upgrades!$T$9="Stellar Coupling",POWER(Upgrades!$U$9,H373),1)*IF(Upgrades!$T$10="Stellar Coupling",POWER(Upgrades!$U$10,I373),1)*IF(Upgrades!$T$11="Stellar Coupling",POWER(Upgrades!$U$11,J373),1)*IF(Upgrades!$T$12="Stellar Coupling",POWER(Upgrades!$U$12,K373),1))*POWER(Upgrades!$Q$6,E373)*POWER(Upgrades!$Q$7,F373)*POWER(Upgrades!$Q$8,G373)*POWER(Upgrades!$Q$9,H373)*POWER(Upgrades!$Q$10,I373)*POWER(Upgrades!$Q$11,J373)*POWER(Upgrades!$Q$12,K373)*Parameters!$B$10*Parameters!$B$11</f>
        <v>441</v>
      </c>
      <c r="AD373" s="27" t="n">
        <f aca="false">(IF(H373=0,0,(Upgrades!$G$9+H373*Upgrades!$H$9)*POWER(Upgrades!$I$9,H373)))*(IF(Upgrades!$T$6="Magnetosphere",POWER(Upgrades!$U$6,E373),1)*IF(Upgrades!$T$7="Magnetosphere",POWER(Upgrades!$U$7,F373),1)*IF(Upgrades!$T$8="Magnetosphere",POWER(Upgrades!$U$8,G373),1)*IF(Upgrades!$T$10="Magnetosphere",POWER(Upgrades!$U$10,I373),1)*IF(Upgrades!$T$11="Magnetosphere",POWER(Upgrades!$U$11,J373),1)*IF(Upgrades!$T$12="Magnetosphere",POWER(Upgrades!$U$12,K373),1))*POWER(Upgrades!$P$6,E373)*POWER(Upgrades!$P$7,F373)*POWER(Upgrades!$P$8,G373)*POWER(Upgrades!$P$9,H373)*POWER(Upgrades!$P$10,I373)*POWER(Upgrades!$P$11,J373)*POWER(Upgrades!$P$12,K373)*60</f>
        <v>375</v>
      </c>
      <c r="AE373" s="27" t="n">
        <f aca="false">(IF(K373=0,0,(Upgrades!$G$12+K373*Upgrades!$H$12)*POWER(Upgrades!$I$12,K373)))*(IF(Upgrades!$T$6="First Photons",POWER(Upgrades!$U$6,E373),1)*IF(Upgrades!$T$7="First Photons",POWER(Upgrades!$U$7,F373),1)*IF(Upgrades!$T$8="First Photons",POWER(Upgrades!$U$8,G373),1)*IF(Upgrades!$T$9="First Photons",POWER(Upgrades!$U$9,H373),1)*IF(Upgrades!$T$10="First Photons",POWER(Upgrades!$U$10,I373),1)*IF(Upgrades!$T$11="First Photons",POWER(Upgrades!$U$11,J373),1))*POWER(Upgrades!$P$6,E373)*POWER(Upgrades!$P$7,F373)*POWER(Upgrades!$P$8,G373)*POWER(Upgrades!$P$9,H373)*POWER(Upgrades!$P$10,I373)*POWER(Upgrades!$P$11,J373)*POWER(Upgrades!$P$12,K373)*60</f>
        <v>75</v>
      </c>
      <c r="AF373" s="27" t="n">
        <f aca="false">Parameters!$B$9*POWER(Upgrades!$Q$6,E373)*POWER(Upgrades!$Q$7,F373)*POWER(Upgrades!$Q$8,G373)*POWER(Upgrades!$Q$9,H373)*POWER(Upgrades!$Q$10,I373)*POWER(Upgrades!$Q$11,J373)*POWER(Upgrades!$Q$12,K373)*(Parameters!$B$10*Parameters!$B$11+O373*60)</f>
        <v>120</v>
      </c>
      <c r="AG373" s="21" t="n">
        <f aca="false">IF(E373&gt;=Upgrades!$E$6,"",Upgrades!$C$6*POWER(Upgrades!$D$6,E373))</f>
        <v>37.4517507383159</v>
      </c>
      <c r="AH373" s="21" t="n">
        <f aca="false">IF(F373&gt;=Upgrades!$E$7,"",Upgrades!$C$7*POWER(Upgrades!$D$7,F373))</f>
        <v>80.9111547141581</v>
      </c>
      <c r="AI373" s="21" t="n">
        <f aca="false">IF(G373&gt;=Upgrades!$E$8,"",Upgrades!$C$8*POWER(Upgrades!$D$8,G373))</f>
        <v>231.9097088</v>
      </c>
      <c r="AJ373" s="21" t="str">
        <f aca="false">IF(H373&gt;=Upgrades!$E$9,"",Upgrades!$C$9*POWER(Upgrades!$D$9,H373))</f>
        <v/>
      </c>
      <c r="AK373" s="21" t="str">
        <f aca="false">IF(I373&gt;=Upgrades!$E$10,"",Upgrades!$C$10*POWER(Upgrades!$D$10,I373))</f>
        <v/>
      </c>
      <c r="AL373" s="21" t="str">
        <f aca="false">IF(J373&gt;=Upgrades!$E$11,"",Upgrades!$C$11*POWER(Upgrades!$D$11,J373))</f>
        <v/>
      </c>
      <c r="AM373" s="21" t="str">
        <f aca="false">IF(K373&gt;=Upgrades!$E$12,"",Upgrades!$C$12*POWER(Upgrades!$D$12,K373))</f>
        <v/>
      </c>
      <c r="AN373" s="26" t="str">
        <f aca="false">IF(AND(D373&gt;=Parameters!$B$18,(H373&gt;=Upgrades!$E$9)*(K373&gt;=Upgrades!$E$12)=1,L373=0),1,"")</f>
        <v/>
      </c>
      <c r="AO373" s="26" t="str">
        <f aca="false">IF(AND(D373&gt;=Parameters!$B$18,L373=0),1,"")</f>
        <v/>
      </c>
      <c r="AP373" s="21" t="n">
        <f aca="false">MIN(IF(ISNUMBER(AK373),AK373,9000000000000000),IF(ISNUMBER(AL373),AL373,9000000000000000),IF(ISNUMBER(AM373),AM373,9000000000000000))</f>
        <v>9000000000000000</v>
      </c>
      <c r="AQ373" s="21" t="n">
        <f aca="false">MIN(IF(ISNUMBER(AG373),AG373,9000000000000000),IF(ISNUMBER(AH373),AH373,9000000000000000),IF(ISNUMBER(AI373),AI373,9000000000000000),IF(ISNUMBER(AJ373),AJ373,9000000000000000))</f>
        <v>37.4517507383159</v>
      </c>
      <c r="AR373" s="32" t="b">
        <f aca="false">IF(AW373&gt;Parameters!$B$21*(MAX(IF(AND(NOT(AND(AO373=1,AN373&lt;&gt;1)),ISNUMBER(AG373),AG373&lt;=T373),AS373,0),IF(AND(NOT(AND(AO373=1,AN373&lt;&gt;1)),ISNUMBER(AH373),AH373&lt;=T373),AT373,0),IF(AND(NOT(AND(AO373=1,AN373&lt;&gt;1)),ISNUMBER(AI373),AI373&lt;=T373),AU373,0),IF(AND(ISNUMBER(AJ373),AJ373&lt;=T373),AV373,0))),TRUE(),FALSE())</f>
        <v>1</v>
      </c>
      <c r="AS373" s="33" t="n">
        <f aca="false">IFERROR(Upgrades!$H$6*(POWER(Upgrades!$P$6,E373)*POWER(Upgrades!$P$7,F373)*POWER(Upgrades!$P$8,G373)*POWER(Upgrades!$P$9,H373)*POWER(Upgrades!$P$10,I373)*POWER(Upgrades!$P$11,J373)*POWER(Upgrades!$P$12,K373))*(IF(Upgrades!$T$7="Solar Wind",POWER(Upgrades!$U$7,F373),1)*IF(Upgrades!$T$8="Solar Wind",POWER(Upgrades!$U$8,G373),1)*IF(Upgrades!$T$9="Solar Wind",POWER(Upgrades!$U$9,H373),1)*IF(Upgrades!$T$10="Solar Wind",POWER(Upgrades!$U$10,I373),1)*IF(Upgrades!$T$11="Solar Wind",POWER(Upgrades!$U$11,J373),1)*IF(Upgrades!$T$12="Solar Wind",POWER(Upgrades!$U$12,K373),1))/AG373,0)</f>
        <v>0.0026701021455238</v>
      </c>
      <c r="AT373" s="33" t="n">
        <f aca="false">IFERROR(Upgrades!$H$7*(POWER(Upgrades!$P$6,E373)*POWER(Upgrades!$P$7,F373)*POWER(Upgrades!$P$8,G373)*POWER(Upgrades!$P$9,H373)*POWER(Upgrades!$P$10,I373)*POWER(Upgrades!$P$11,J373)*POWER(Upgrades!$P$12,K373))*(IF(Upgrades!$T$6="Asteroid Belt",POWER(Upgrades!$U$6,E373),1)*IF(Upgrades!$T$8="Asteroid Belt",POWER(Upgrades!$U$8,G373),1)*IF(Upgrades!$T$9="Asteroid Belt",POWER(Upgrades!$U$9,H373),1)*IF(Upgrades!$T$10="Asteroid Belt",POWER(Upgrades!$U$10,I373),1)*IF(Upgrades!$T$11="Asteroid Belt",POWER(Upgrades!$U$11,J373),1)*IF(Upgrades!$T$12="Asteroid Belt",POWER(Upgrades!$U$12,K373),1))/AH373,0)</f>
        <v>0.00308980882652332</v>
      </c>
      <c r="AU373" s="33" t="n">
        <f aca="false">IFERROR(Upgrades!$K$8*(POWER(Upgrades!$Q$6,E373)*POWER(Upgrades!$Q$7,F373)*POWER(Upgrades!$Q$8,G373)*POWER(Upgrades!$Q$9,H373)*POWER(Upgrades!$Q$10,I373)*POWER(Upgrades!$Q$11,J373)*POWER(Upgrades!$Q$12,K373))*(IF(Upgrades!$T$6="Stellar Coupling",POWER(Upgrades!$U$6,E373),1)*IF(Upgrades!$T$7="Stellar Coupling",POWER(Upgrades!$U$7,F373),1)*IF(Upgrades!$T$9="Stellar Coupling",POWER(Upgrades!$U$9,H373),1)*IF(Upgrades!$T$10="Stellar Coupling",POWER(Upgrades!$U$10,I373),1)*IF(Upgrades!$T$11="Stellar Coupling",POWER(Upgrades!$U$11,J373),1)*IF(Upgrades!$T$12="Stellar Coupling",POWER(Upgrades!$U$12,K373),1))*Parameters!$B$10*Parameters!$B$11/60/AI373,0)</f>
        <v>0.00452762415783776</v>
      </c>
      <c r="AV373" s="33" t="n">
        <f aca="false">IFERROR(Upgrades!$H$9*(POWER(Upgrades!$P$6,E373)*POWER(Upgrades!$P$7,F373)*POWER(Upgrades!$P$8,G373)*POWER(Upgrades!$P$9,H373)*POWER(Upgrades!$P$10,I373)*POWER(Upgrades!$P$11,J373)*POWER(Upgrades!$P$12,K373))*(IF(Upgrades!$T$6="Magnetosphere",POWER(Upgrades!$U$6,E373),1)*IF(Upgrades!$T$7="Magnetosphere",POWER(Upgrades!$U$7,F373),1)*IF(Upgrades!$T$8="Magnetosphere",POWER(Upgrades!$U$8,G373),1)*IF(Upgrades!$T$10="Magnetosphere",POWER(Upgrades!$U$10,I373),1)*IF(Upgrades!$T$11="Magnetosphere",POWER(Upgrades!$U$11,J373),1)*IF(Upgrades!$T$12="Magnetosphere",POWER(Upgrades!$U$12,K373),1))/AJ373,0)</f>
        <v>0</v>
      </c>
      <c r="AW373" s="33" t="n">
        <f aca="false">MAX(IF(I373&gt;0,0,IFERROR(0.25*N373/Upgrades!$C$10,0)),IF(J373&gt;0,0,IFERROR(0.5*((IF(G373=0,0,(Upgrades!$J$8+G373*Upgrades!$K$8)*POWER(Upgrades!$L$8,G373)))*(IF(Upgrades!$T$6="Stellar Coupling",POWER(Upgrades!$U$6,E373),1)*IF(Upgrades!$T$7="Stellar Coupling",POWER(Upgrades!$U$7,F373),1)*IF(Upgrades!$T$9="Stellar Coupling",POWER(Upgrades!$U$9,H373),1)*IF(Upgrades!$T$10="Stellar Coupling",POWER(Upgrades!$U$10,I373),1)*IF(Upgrades!$T$11="Stellar Coupling",POWER(Upgrades!$U$11,J373),1)*IF(Upgrades!$T$12="Stellar Coupling",POWER(Upgrades!$U$12,K373),1))*(POWER(Upgrades!$Q$6,E373)*POWER(Upgrades!$Q$7,F373)*POWER(Upgrades!$Q$8,G373)*POWER(Upgrades!$Q$9,H373)*POWER(Upgrades!$Q$10,I373)*POWER(Upgrades!$Q$11,J373)*POWER(Upgrades!$Q$12,K373))*Parameters!$B$10*Parameters!$B$11/60)/Upgrades!$C$11,0)),IF(K373&gt;0,0,IFERROR((1*(POWER(Upgrades!$P$6,E373)*POWER(Upgrades!$P$7,F373)*POWER(Upgrades!$P$8,G373)*POWER(Upgrades!$P$9,H373)*POWER(Upgrades!$P$10,I373)*POWER(Upgrades!$P$11,J373)*POWER(Upgrades!$P$12,K373))+0.2*M373*Parameters!$B$10*Parameters!$B$11/60)/Upgrades!$C$12,0)),IF(AND(ISNUMBER(AG373),AG373&gt;T373),AS373,0),IF(AND(ISNUMBER(AH373),AH373&gt;T373),AT373,0),IF(AND(ISNUMBER(AI373),AI373&gt;T373),AU373,0),IF(AND(ISNUMBER(AJ373),AJ373&gt;T373),AV373,0))</f>
        <v>0.00452762415783776</v>
      </c>
      <c r="AX373" s="29" t="str">
        <f aca="false">IF(AN373=1,"transition",IF(MIN(IF(AND(I373=0,ISNUMBER(AK373),AK373&lt;=T373),AK373,9000000000000000),IF(AND(J373=0,ISNUMBER(AL373),AL373&lt;=T373),AL373,9000000000000000),IF(AND(K373=0,ISNUMBER(AM373),AM373&lt;=T373),AM373,9000000000000000))&lt;9000000000000000,IF(AND(AND(I373=0,ISNUMBER(AK373),AK373&lt;=T373),AK373=MIN(IF(AND(I373=0,ISNUMBER(AK373),AK373&lt;=T373),AK373,9000000000000000),IF(AND(J373=0,ISNUMBER(AL373),AL373&lt;=T373),AL373,9000000000000000),IF(AND(K373=0,ISNUMBER(AM373),AM373&lt;=T373),AM373,9000000000000000))),"OR",IF(AND(AND(J373=0,ISNUMBER(AL373),AL373&lt;=T373),AL373=MIN(IF(AND(I373=0,ISNUMBER(AK373),AK373&lt;=T373),AK373,9000000000000000),IF(AND(J373=0,ISNUMBER(AL373),AL373&lt;=T373),AL373,9000000000000000),IF(AND(K373=0,ISNUMBER(AM373),AM373&lt;=T373),AM373,9000000000000000))),"HP","FP")),IF(AR373=TRUE(),"",IF(MAX(IF(AND(NOT(AND(AO373=1,AN373&lt;&gt;1)),ISNUMBER(AG373),AG373&lt;=T373),AS373,0),IF(AND(NOT(AND(AO373=1,AN373&lt;&gt;1)),ISNUMBER(AH373),AH373&lt;=T373),AT373,0),IF(AND(NOT(AND(AO373=1,AN373&lt;&gt;1)),ISNUMBER(AI373),AI373&lt;=T373),AU373,0),IF(AND(ISNUMBER(AJ373),AJ373&lt;=T373),AV373,0))&lt;=0,"",IF(AND(IF(AND(NOT(AND(AO373=1,AN373&lt;&gt;1)),ISNUMBER(AG373),AG373&lt;=T373),AS373,0)&gt;0,IF(AND(NOT(AND(AO373=1,AN373&lt;&gt;1)),ISNUMBER(AG373),AG373&lt;=T373),AS373,0)=MAX(IF(AND(NOT(AND(AO373=1,AN373&lt;&gt;1)),ISNUMBER(AG373),AG373&lt;=T373),AS373,0),IF(AND(NOT(AND(AO373=1,AN373&lt;&gt;1)),ISNUMBER(AH373),AH373&lt;=T373),AT373,0),IF(AND(NOT(AND(AO373=1,AN373&lt;&gt;1)),ISNUMBER(AI373),AI373&lt;=T373),AU373,0),IF(AND(ISNUMBER(AJ373),AJ373&lt;=T373),AV373,0))),"SW",IF(AND(IF(AND(NOT(AND(AO373=1,AN373&lt;&gt;1)),ISNUMBER(AH373),AH373&lt;=T373),AT373,0)&gt;0,IF(AND(NOT(AND(AO373=1,AN373&lt;&gt;1)),ISNUMBER(AH373),AH373&lt;=T373),AT373,0)=MAX(IF(AND(NOT(AND(AO373=1,AN373&lt;&gt;1)),ISNUMBER(AG373),AG373&lt;=T373),AS373,0),IF(AND(NOT(AND(AO373=1,AN373&lt;&gt;1)),ISNUMBER(AH373),AH373&lt;=T373),AT373,0),IF(AND(NOT(AND(AO373=1,AN373&lt;&gt;1)),ISNUMBER(AI373),AI373&lt;=T373),AU373,0),IF(AND(ISNUMBER(AJ373),AJ373&lt;=T373),AV373,0))),"AB",IF(AND(IF(AND(NOT(AND(AO373=1,AN373&lt;&gt;1)),ISNUMBER(AI373),AI373&lt;=T373),AU373,0)&gt;0,IF(AND(NOT(AND(AO373=1,AN373&lt;&gt;1)),ISNUMBER(AI373),AI373&lt;=T373),AU373,0)=MAX(IF(AND(NOT(AND(AO373=1,AN373&lt;&gt;1)),ISNUMBER(AG373),AG373&lt;=T373),AS373,0),IF(AND(NOT(AND(AO373=1,AN373&lt;&gt;1)),ISNUMBER(AH373),AH373&lt;=T373),AT373,0),IF(AND(NOT(AND(AO373=1,AN373&lt;&gt;1)),ISNUMBER(AI373),AI373&lt;=T373),AU373,0),IF(AND(ISNUMBER(AJ373),AJ373&lt;=T373),AV373,0))),"SC","Mag")))))))</f>
        <v/>
      </c>
    </row>
    <row r="374" customFormat="false" ht="15" hidden="false" customHeight="false" outlineLevel="0" collapsed="false">
      <c r="A374" s="26" t="n">
        <v>369</v>
      </c>
      <c r="B374" s="27" t="n">
        <f aca="false">A374*10/60</f>
        <v>61.5</v>
      </c>
      <c r="C374" s="21" t="n">
        <f aca="false">X373</f>
        <v>18.6730249835055</v>
      </c>
      <c r="D374" s="27" t="n">
        <f aca="false">D373+W373</f>
        <v>0</v>
      </c>
      <c r="E374" s="26" t="n">
        <f aca="false">E373+IF(U373="SW",1,0)</f>
        <v>12</v>
      </c>
      <c r="F374" s="26" t="n">
        <f aca="false">F373+IF(U373="AB",1,0)</f>
        <v>10</v>
      </c>
      <c r="G374" s="26" t="n">
        <f aca="false">G373+IF(U373="SC",1,0)</f>
        <v>7</v>
      </c>
      <c r="H374" s="26" t="n">
        <f aca="false">H373+IF(U373="Mag",1,0)</f>
        <v>5</v>
      </c>
      <c r="I374" s="26" t="n">
        <f aca="false">MAX(I373,IF(U373="OR",1,0))</f>
        <v>1</v>
      </c>
      <c r="J374" s="26" t="n">
        <f aca="false">MAX(J373,IF(U373="HP",1,0))</f>
        <v>1</v>
      </c>
      <c r="K374" s="26" t="n">
        <f aca="false">MAX(K373,IF(U373="FP",1,0))</f>
        <v>1</v>
      </c>
      <c r="L374" s="26" t="n">
        <f aca="false">MAX(L373,IF(U373="transition",1,0))</f>
        <v>1</v>
      </c>
      <c r="M374" s="28" t="n">
        <f aca="false">(Parameters!$B$9+(IF(E374=0,0,(Upgrades!$J$6+E374*Upgrades!$K$6)*POWER(Upgrades!$L$6,E374)))*(IF(Upgrades!$T$7="Solar Wind",POWER(Upgrades!$U$7,F374),1)*IF(Upgrades!$T$8="Solar Wind",POWER(Upgrades!$U$8,G374),1)*IF(Upgrades!$T$9="Solar Wind",POWER(Upgrades!$U$9,H374),1)*IF(Upgrades!$T$10="Solar Wind",POWER(Upgrades!$U$10,I374),1)*IF(Upgrades!$T$11="Solar Wind",POWER(Upgrades!$U$11,J374),1)*IF(Upgrades!$T$12="Solar Wind",POWER(Upgrades!$U$12,K374),1))+(IF(F374=0,0,(Upgrades!$J$7+F374*Upgrades!$K$7)*POWER(Upgrades!$L$7,F374)))*(IF(Upgrades!$T$6="Asteroid Belt",POWER(Upgrades!$U$6,E374),1)*IF(Upgrades!$T$8="Asteroid Belt",POWER(Upgrades!$U$8,G374),1)*IF(Upgrades!$T$9="Asteroid Belt",POWER(Upgrades!$U$9,H374),1)*IF(Upgrades!$T$10="Asteroid Belt",POWER(Upgrades!$U$10,I374),1)*IF(Upgrades!$T$11="Asteroid Belt",POWER(Upgrades!$U$11,J374),1)*IF(Upgrades!$T$12="Asteroid Belt",POWER(Upgrades!$U$12,K374),1))+(IF(G374=0,0,(Upgrades!$J$8+G374*Upgrades!$K$8)*POWER(Upgrades!$L$8,G374)))*(IF(Upgrades!$T$6="Stellar Coupling",POWER(Upgrades!$U$6,E374),1)*IF(Upgrades!$T$7="Stellar Coupling",POWER(Upgrades!$U$7,F374),1)*IF(Upgrades!$T$9="Stellar Coupling",POWER(Upgrades!$U$9,H374),1)*IF(Upgrades!$T$10="Stellar Coupling",POWER(Upgrades!$U$10,I374),1)*IF(Upgrades!$T$11="Stellar Coupling",POWER(Upgrades!$U$11,J374),1)*IF(Upgrades!$T$12="Stellar Coupling",POWER(Upgrades!$U$12,K374),1))+(IF(H374=0,0,(Upgrades!$J$9+H374*Upgrades!$K$9)*POWER(Upgrades!$L$9,H374)))*(IF(Upgrades!$T$6="Magnetosphere",POWER(Upgrades!$U$6,E374),1)*IF(Upgrades!$T$7="Magnetosphere",POWER(Upgrades!$U$7,F374),1)*IF(Upgrades!$T$8="Magnetosphere",POWER(Upgrades!$U$8,G374),1)*IF(Upgrades!$T$10="Magnetosphere",POWER(Upgrades!$U$10,I374),1)*IF(Upgrades!$T$11="Magnetosphere",POWER(Upgrades!$U$11,J374),1)*IF(Upgrades!$T$12="Magnetosphere",POWER(Upgrades!$U$12,K374),1))+(IF(I374=0,0,(Upgrades!$J$10+I374*Upgrades!$K$10)*POWER(Upgrades!$L$10,I374)))*(IF(Upgrades!$T$6="Orbital Resonance",POWER(Upgrades!$U$6,E374),1)*IF(Upgrades!$T$7="Orbital Resonance",POWER(Upgrades!$U$7,F374),1)*IF(Upgrades!$T$8="Orbital Resonance",POWER(Upgrades!$U$8,G374),1)*IF(Upgrades!$T$9="Orbital Resonance",POWER(Upgrades!$U$9,H374),1)*IF(Upgrades!$T$11="Orbital Resonance",POWER(Upgrades!$U$11,J374),1)*IF(Upgrades!$T$12="Orbital Resonance",POWER(Upgrades!$U$12,K374),1))+(IF(J374=0,0,(Upgrades!$J$11+J374*Upgrades!$K$11)*POWER(Upgrades!$L$11,J374)))*(IF(Upgrades!$T$6="Heliopause",POWER(Upgrades!$U$6,E374),1)*IF(Upgrades!$T$7="Heliopause",POWER(Upgrades!$U$7,F374),1)*IF(Upgrades!$T$8="Heliopause",POWER(Upgrades!$U$8,G374),1)*IF(Upgrades!$T$9="Heliopause",POWER(Upgrades!$U$9,H374),1)*IF(Upgrades!$T$10="Heliopause",POWER(Upgrades!$U$10,I374),1)*IF(Upgrades!$T$12="Heliopause",POWER(Upgrades!$U$12,K374),1))+(IF(K374=0,0,(Upgrades!$J$12+K374*Upgrades!$K$12)*POWER(Upgrades!$L$12,K374)))*(IF(Upgrades!$T$6="First Photons",POWER(Upgrades!$U$6,E374),1)*IF(Upgrades!$T$7="First Photons",POWER(Upgrades!$U$7,F374),1)*IF(Upgrades!$T$8="First Photons",POWER(Upgrades!$U$8,G374),1)*IF(Upgrades!$T$9="First Photons",POWER(Upgrades!$U$9,H374),1)*IF(Upgrades!$T$10="First Photons",POWER(Upgrades!$U$10,I374),1)*IF(Upgrades!$T$11="First Photons",POWER(Upgrades!$U$11,J374),1)))*POWER(Upgrades!$Q$6,E374)*POWER(Upgrades!$Q$7,F374)*POWER(Upgrades!$Q$8,G374)*POWER(Upgrades!$Q$9,H374)*POWER(Upgrades!$Q$10,I374)*POWER(Upgrades!$Q$11,J374)*POWER(Upgrades!$Q$12,K374)</f>
        <v>5.61</v>
      </c>
      <c r="N374" s="28" t="n">
        <f aca="false">((IF(E374=0,0,(Upgrades!$G$6+E374*Upgrades!$H$6)*POWER(Upgrades!$I$6,E374)))*(IF(Upgrades!$T$7="Solar Wind",POWER(Upgrades!$U$7,F374),1)*IF(Upgrades!$T$8="Solar Wind",POWER(Upgrades!$U$8,G374),1)*IF(Upgrades!$T$9="Solar Wind",POWER(Upgrades!$U$9,H374),1)*IF(Upgrades!$T$10="Solar Wind",POWER(Upgrades!$U$10,I374),1)*IF(Upgrades!$T$11="Solar Wind",POWER(Upgrades!$U$11,J374),1)*IF(Upgrades!$T$12="Solar Wind",POWER(Upgrades!$U$12,K374),1))+(IF(F374=0,0,(Upgrades!$G$7+F374*Upgrades!$H$7)*POWER(Upgrades!$I$7,F374)))*(IF(Upgrades!$T$6="Asteroid Belt",POWER(Upgrades!$U$6,E374),1)*IF(Upgrades!$T$8="Asteroid Belt",POWER(Upgrades!$U$8,G374),1)*IF(Upgrades!$T$9="Asteroid Belt",POWER(Upgrades!$U$9,H374),1)*IF(Upgrades!$T$10="Asteroid Belt",POWER(Upgrades!$U$10,I374),1)*IF(Upgrades!$T$11="Asteroid Belt",POWER(Upgrades!$U$11,J374),1)*IF(Upgrades!$T$12="Asteroid Belt",POWER(Upgrades!$U$12,K374),1))+(IF(G374=0,0,(Upgrades!$G$8+G374*Upgrades!$H$8)*POWER(Upgrades!$I$8,G374)))*(IF(Upgrades!$T$6="Stellar Coupling",POWER(Upgrades!$U$6,E374),1)*IF(Upgrades!$T$7="Stellar Coupling",POWER(Upgrades!$U$7,F374),1)*IF(Upgrades!$T$9="Stellar Coupling",POWER(Upgrades!$U$9,H374),1)*IF(Upgrades!$T$10="Stellar Coupling",POWER(Upgrades!$U$10,I374),1)*IF(Upgrades!$T$11="Stellar Coupling",POWER(Upgrades!$U$11,J374),1)*IF(Upgrades!$T$12="Stellar Coupling",POWER(Upgrades!$U$12,K374),1))+(IF(H374=0,0,(Upgrades!$G$9+H374*Upgrades!$H$9)*POWER(Upgrades!$I$9,H374)))*(IF(Upgrades!$T$6="Magnetosphere",POWER(Upgrades!$U$6,E374),1)*IF(Upgrades!$T$7="Magnetosphere",POWER(Upgrades!$U$7,F374),1)*IF(Upgrades!$T$8="Magnetosphere",POWER(Upgrades!$U$8,G374),1)*IF(Upgrades!$T$10="Magnetosphere",POWER(Upgrades!$U$10,I374),1)*IF(Upgrades!$T$11="Magnetosphere",POWER(Upgrades!$U$11,J374),1)*IF(Upgrades!$T$12="Magnetosphere",POWER(Upgrades!$U$12,K374),1))+(IF(I374=0,0,(Upgrades!$G$10+I374*Upgrades!$H$10)*POWER(Upgrades!$I$10,I374)))*(IF(Upgrades!$T$6="Orbital Resonance",POWER(Upgrades!$U$6,E374),1)*IF(Upgrades!$T$7="Orbital Resonance",POWER(Upgrades!$U$7,F374),1)*IF(Upgrades!$T$8="Orbital Resonance",POWER(Upgrades!$U$8,G374),1)*IF(Upgrades!$T$9="Orbital Resonance",POWER(Upgrades!$U$9,H374),1)*IF(Upgrades!$T$11="Orbital Resonance",POWER(Upgrades!$U$11,J374),1)*IF(Upgrades!$T$12="Orbital Resonance",POWER(Upgrades!$U$12,K374),1))+(IF(J374=0,0,(Upgrades!$G$11+J374*Upgrades!$H$11)*POWER(Upgrades!$I$11,J374)))*(IF(Upgrades!$T$6="Heliopause",POWER(Upgrades!$U$6,E374),1)*IF(Upgrades!$T$7="Heliopause",POWER(Upgrades!$U$7,F374),1)*IF(Upgrades!$T$8="Heliopause",POWER(Upgrades!$U$8,G374),1)*IF(Upgrades!$T$9="Heliopause",POWER(Upgrades!$U$9,H374),1)*IF(Upgrades!$T$10="Heliopause",POWER(Upgrades!$U$10,I374),1)*IF(Upgrades!$T$12="Heliopause",POWER(Upgrades!$U$12,K374),1))+(IF(K374=0,0,(Upgrades!$G$12+K374*Upgrades!$H$12)*POWER(Upgrades!$I$12,K374)))*(IF(Upgrades!$T$6="First Photons",POWER(Upgrades!$U$6,E374),1)*IF(Upgrades!$T$7="First Photons",POWER(Upgrades!$U$7,F374),1)*IF(Upgrades!$T$8="First Photons",POWER(Upgrades!$U$8,G374),1)*IF(Upgrades!$T$9="First Photons",POWER(Upgrades!$U$9,H374),1)*IF(Upgrades!$T$10="First Photons",POWER(Upgrades!$U$10,I374),1)*IF(Upgrades!$T$11="First Photons",POWER(Upgrades!$U$11,J374),1)))*POWER(Upgrades!$P$6,E374)*POWER(Upgrades!$P$7,F374)*POWER(Upgrades!$P$8,G374)*POWER(Upgrades!$P$9,H374)*POWER(Upgrades!$P$10,I374)*POWER(Upgrades!$P$11,J374)*POWER(Upgrades!$P$12,K374)</f>
        <v>11.2</v>
      </c>
      <c r="O374" s="28" t="n">
        <f aca="false">((IF(E374=0,0,(Upgrades!$M$6+E374*Upgrades!$N$6)*POWER(Upgrades!$O$6,E374)))*(IF(Upgrades!$T$7="Solar Wind",POWER(Upgrades!$U$7,F374),1)*IF(Upgrades!$T$8="Solar Wind",POWER(Upgrades!$U$8,G374),1)*IF(Upgrades!$T$9="Solar Wind",POWER(Upgrades!$U$9,H374),1)*IF(Upgrades!$T$10="Solar Wind",POWER(Upgrades!$U$10,I374),1)*IF(Upgrades!$T$11="Solar Wind",POWER(Upgrades!$U$11,J374),1)*IF(Upgrades!$T$12="Solar Wind",POWER(Upgrades!$U$12,K374),1))+(IF(F374=0,0,(Upgrades!$M$7+F374*Upgrades!$N$7)*POWER(Upgrades!$O$7,F374)))*(IF(Upgrades!$T$6="Asteroid Belt",POWER(Upgrades!$U$6,E374),1)*IF(Upgrades!$T$8="Asteroid Belt",POWER(Upgrades!$U$8,G374),1)*IF(Upgrades!$T$9="Asteroid Belt",POWER(Upgrades!$U$9,H374),1)*IF(Upgrades!$T$10="Asteroid Belt",POWER(Upgrades!$U$10,I374),1)*IF(Upgrades!$T$11="Asteroid Belt",POWER(Upgrades!$U$11,J374),1)*IF(Upgrades!$T$12="Asteroid Belt",POWER(Upgrades!$U$12,K374),1))+(IF(G374=0,0,(Upgrades!$M$8+G374*Upgrades!$N$8)*POWER(Upgrades!$O$8,G374)))*(IF(Upgrades!$T$6="Stellar Coupling",POWER(Upgrades!$U$6,E374),1)*IF(Upgrades!$T$7="Stellar Coupling",POWER(Upgrades!$U$7,F374),1)*IF(Upgrades!$T$9="Stellar Coupling",POWER(Upgrades!$U$9,H374),1)*IF(Upgrades!$T$10="Stellar Coupling",POWER(Upgrades!$U$10,I374),1)*IF(Upgrades!$T$11="Stellar Coupling",POWER(Upgrades!$U$11,J374),1)*IF(Upgrades!$T$12="Stellar Coupling",POWER(Upgrades!$U$12,K374),1))+(IF(H374=0,0,(Upgrades!$M$9+H374*Upgrades!$N$9)*POWER(Upgrades!$O$9,H374)))*(IF(Upgrades!$T$6="Magnetosphere",POWER(Upgrades!$U$6,E374),1)*IF(Upgrades!$T$7="Magnetosphere",POWER(Upgrades!$U$7,F374),1)*IF(Upgrades!$T$8="Magnetosphere",POWER(Upgrades!$U$8,G374),1)*IF(Upgrades!$T$10="Magnetosphere",POWER(Upgrades!$U$10,I374),1)*IF(Upgrades!$T$11="Magnetosphere",POWER(Upgrades!$U$11,J374),1)*IF(Upgrades!$T$12="Magnetosphere",POWER(Upgrades!$U$12,K374),1))+(IF(I374=0,0,(Upgrades!$M$10+I374*Upgrades!$N$10)*POWER(Upgrades!$O$10,I374)))*(IF(Upgrades!$T$6="Orbital Resonance",POWER(Upgrades!$U$6,E374),1)*IF(Upgrades!$T$7="Orbital Resonance",POWER(Upgrades!$U$7,F374),1)*IF(Upgrades!$T$8="Orbital Resonance",POWER(Upgrades!$U$8,G374),1)*IF(Upgrades!$T$9="Orbital Resonance",POWER(Upgrades!$U$9,H374),1)*IF(Upgrades!$T$11="Orbital Resonance",POWER(Upgrades!$U$11,J374),1)*IF(Upgrades!$T$12="Orbital Resonance",POWER(Upgrades!$U$12,K374),1))+(IF(J374=0,0,(Upgrades!$M$11+J374*Upgrades!$N$11)*POWER(Upgrades!$O$11,J374)))*(IF(Upgrades!$T$6="Heliopause",POWER(Upgrades!$U$6,E374),1)*IF(Upgrades!$T$7="Heliopause",POWER(Upgrades!$U$7,F374),1)*IF(Upgrades!$T$8="Heliopause",POWER(Upgrades!$U$8,G374),1)*IF(Upgrades!$T$9="Heliopause",POWER(Upgrades!$U$9,H374),1)*IF(Upgrades!$T$10="Heliopause",POWER(Upgrades!$U$10,I374),1)*IF(Upgrades!$T$12="Heliopause",POWER(Upgrades!$U$12,K374),1))+(IF(K374=0,0,(Upgrades!$M$12+K374*Upgrades!$N$12)*POWER(Upgrades!$O$12,K374)))*(IF(Upgrades!$T$6="First Photons",POWER(Upgrades!$U$6,E374),1)*IF(Upgrades!$T$7="First Photons",POWER(Upgrades!$U$7,F374),1)*IF(Upgrades!$T$8="First Photons",POWER(Upgrades!$U$8,G374),1)*IF(Upgrades!$T$9="First Photons",POWER(Upgrades!$U$9,H374),1)*IF(Upgrades!$T$10="First Photons",POWER(Upgrades!$U$10,I374),1)*IF(Upgrades!$T$11="First Photons",POWER(Upgrades!$U$11,J374),1)))*POWER(Upgrades!$R$6,E374)*POWER(Upgrades!$R$7,F374)*POWER(Upgrades!$R$8,G374)*POWER(Upgrades!$R$9,H374)*POWER(Upgrades!$R$10,I374)*POWER(Upgrades!$R$11,J374)*POWER(Upgrades!$R$12,K374)</f>
        <v>0</v>
      </c>
      <c r="P374" s="27" t="n">
        <f aca="false">IF(L374=1,0,M374*Parameters!$B$10/60*Parameters!$B$11*10)</f>
        <v>0</v>
      </c>
      <c r="Q374" s="27" t="n">
        <f aca="false">IF(L374=1,0,O374*M374*10)</f>
        <v>0</v>
      </c>
      <c r="R374" s="27" t="n">
        <f aca="false">IF(L374=1,0,N374*10)</f>
        <v>0</v>
      </c>
      <c r="S374" s="27" t="n">
        <f aca="false">P374+Q374+R374</f>
        <v>0</v>
      </c>
      <c r="T374" s="21" t="n">
        <f aca="false">C374+S374</f>
        <v>18.6730249835055</v>
      </c>
      <c r="U374" s="34" t="str">
        <f aca="false">AX374</f>
        <v/>
      </c>
      <c r="V374" s="21" t="n">
        <f aca="false">IF(U374="",0,IF(U374="transition",0,IF(U374="SW",AG374,IF(U374="AB",AH374,IF(U374="SC",AI374,IF(U374="Mag",AJ374,IF(U374="OR",AK374,IF(U374="HP",AL374,IF(U374="FP",AM374,0)))))))))</f>
        <v>0</v>
      </c>
      <c r="W374" s="27" t="n">
        <f aca="false">IF(U374="OR",Upgrades!$F$10,IF(U374="HP",Upgrades!$F$11,IF(U374="transition",-Parameters!$B$18,0)))</f>
        <v>0</v>
      </c>
      <c r="X374" s="21" t="n">
        <f aca="false">T374-V374</f>
        <v>18.6730249835055</v>
      </c>
      <c r="Y374" s="30" t="n">
        <f aca="false">M374*Parameters!$B$10/60*Parameters!$B$11+O374*M374+N374</f>
        <v>20.55</v>
      </c>
      <c r="Z374" s="35" t="str">
        <f aca="false">IF(U374="transition","→ Tier 2 (Stellar Neighborhood)",IF(U374="FP","First Photons — light begins, system quickens",IF(U374="HP","Heliopause acquired",IF(U374="OR","Orbital Resonance — passive multiplier active",IF(AND(AO374=1,L374=0,AN374&lt;&gt;1),"Cohesion ready (waiting on completionist upgrades)","")))))</f>
        <v/>
      </c>
      <c r="AA374" s="27" t="n">
        <f aca="false">(IF(E374=0,0,(Upgrades!$G$6+E374*Upgrades!$H$6)*POWER(Upgrades!$I$6,E374)))*(IF(Upgrades!$T$7="Solar Wind",POWER(Upgrades!$U$7,F374),1)*IF(Upgrades!$T$8="Solar Wind",POWER(Upgrades!$U$8,G374),1)*IF(Upgrades!$T$9="Solar Wind",POWER(Upgrades!$U$9,H374),1)*IF(Upgrades!$T$10="Solar Wind",POWER(Upgrades!$U$10,I374),1)*IF(Upgrades!$T$11="Solar Wind",POWER(Upgrades!$U$11,J374),1)*IF(Upgrades!$T$12="Solar Wind",POWER(Upgrades!$U$12,K374),1))*POWER(Upgrades!$P$6,E374)*POWER(Upgrades!$P$7,F374)*POWER(Upgrades!$P$8,G374)*POWER(Upgrades!$P$9,H374)*POWER(Upgrades!$P$10,I374)*POWER(Upgrades!$P$11,J374)*POWER(Upgrades!$P$12,K374)*60</f>
        <v>72</v>
      </c>
      <c r="AB374" s="27" t="n">
        <f aca="false">(IF(F374=0,0,(Upgrades!$G$7+F374*Upgrades!$H$7)*POWER(Upgrades!$I$7,F374)))*(IF(Upgrades!$T$6="Asteroid Belt",POWER(Upgrades!$U$6,E374),1)*IF(Upgrades!$T$8="Asteroid Belt",POWER(Upgrades!$U$8,G374),1)*IF(Upgrades!$T$9="Asteroid Belt",POWER(Upgrades!$U$9,H374),1)*IF(Upgrades!$T$10="Asteroid Belt",POWER(Upgrades!$U$10,I374),1)*IF(Upgrades!$T$11="Asteroid Belt",POWER(Upgrades!$U$11,J374),1)*IF(Upgrades!$T$12="Asteroid Belt",POWER(Upgrades!$U$12,K374),1))*POWER(Upgrades!$P$6,E374)*POWER(Upgrades!$P$7,F374)*POWER(Upgrades!$P$8,G374)*POWER(Upgrades!$P$9,H374)*POWER(Upgrades!$P$10,I374)*POWER(Upgrades!$P$11,J374)*POWER(Upgrades!$P$12,K374)*60</f>
        <v>150</v>
      </c>
      <c r="AC374" s="27" t="n">
        <f aca="false">(IF(G374=0,0,(Upgrades!$J$8+G374*Upgrades!$K$8)*POWER(Upgrades!$L$8,G374)))*(IF(Upgrades!$T$6="Stellar Coupling",POWER(Upgrades!$U$6,E374),1)*IF(Upgrades!$T$7="Stellar Coupling",POWER(Upgrades!$U$7,F374),1)*IF(Upgrades!$T$9="Stellar Coupling",POWER(Upgrades!$U$9,H374),1)*IF(Upgrades!$T$10="Stellar Coupling",POWER(Upgrades!$U$10,I374),1)*IF(Upgrades!$T$11="Stellar Coupling",POWER(Upgrades!$U$11,J374),1)*IF(Upgrades!$T$12="Stellar Coupling",POWER(Upgrades!$U$12,K374),1))*POWER(Upgrades!$Q$6,E374)*POWER(Upgrades!$Q$7,F374)*POWER(Upgrades!$Q$8,G374)*POWER(Upgrades!$Q$9,H374)*POWER(Upgrades!$Q$10,I374)*POWER(Upgrades!$Q$11,J374)*POWER(Upgrades!$Q$12,K374)*Parameters!$B$10*Parameters!$B$11</f>
        <v>441</v>
      </c>
      <c r="AD374" s="27" t="n">
        <f aca="false">(IF(H374=0,0,(Upgrades!$G$9+H374*Upgrades!$H$9)*POWER(Upgrades!$I$9,H374)))*(IF(Upgrades!$T$6="Magnetosphere",POWER(Upgrades!$U$6,E374),1)*IF(Upgrades!$T$7="Magnetosphere",POWER(Upgrades!$U$7,F374),1)*IF(Upgrades!$T$8="Magnetosphere",POWER(Upgrades!$U$8,G374),1)*IF(Upgrades!$T$10="Magnetosphere",POWER(Upgrades!$U$10,I374),1)*IF(Upgrades!$T$11="Magnetosphere",POWER(Upgrades!$U$11,J374),1)*IF(Upgrades!$T$12="Magnetosphere",POWER(Upgrades!$U$12,K374),1))*POWER(Upgrades!$P$6,E374)*POWER(Upgrades!$P$7,F374)*POWER(Upgrades!$P$8,G374)*POWER(Upgrades!$P$9,H374)*POWER(Upgrades!$P$10,I374)*POWER(Upgrades!$P$11,J374)*POWER(Upgrades!$P$12,K374)*60</f>
        <v>375</v>
      </c>
      <c r="AE374" s="27" t="n">
        <f aca="false">(IF(K374=0,0,(Upgrades!$G$12+K374*Upgrades!$H$12)*POWER(Upgrades!$I$12,K374)))*(IF(Upgrades!$T$6="First Photons",POWER(Upgrades!$U$6,E374),1)*IF(Upgrades!$T$7="First Photons",POWER(Upgrades!$U$7,F374),1)*IF(Upgrades!$T$8="First Photons",POWER(Upgrades!$U$8,G374),1)*IF(Upgrades!$T$9="First Photons",POWER(Upgrades!$U$9,H374),1)*IF(Upgrades!$T$10="First Photons",POWER(Upgrades!$U$10,I374),1)*IF(Upgrades!$T$11="First Photons",POWER(Upgrades!$U$11,J374),1))*POWER(Upgrades!$P$6,E374)*POWER(Upgrades!$P$7,F374)*POWER(Upgrades!$P$8,G374)*POWER(Upgrades!$P$9,H374)*POWER(Upgrades!$P$10,I374)*POWER(Upgrades!$P$11,J374)*POWER(Upgrades!$P$12,K374)*60</f>
        <v>75</v>
      </c>
      <c r="AF374" s="27" t="n">
        <f aca="false">Parameters!$B$9*POWER(Upgrades!$Q$6,E374)*POWER(Upgrades!$Q$7,F374)*POWER(Upgrades!$Q$8,G374)*POWER(Upgrades!$Q$9,H374)*POWER(Upgrades!$Q$10,I374)*POWER(Upgrades!$Q$11,J374)*POWER(Upgrades!$Q$12,K374)*(Parameters!$B$10*Parameters!$B$11+O374*60)</f>
        <v>120</v>
      </c>
      <c r="AG374" s="21" t="n">
        <f aca="false">IF(E374&gt;=Upgrades!$E$6,"",Upgrades!$C$6*POWER(Upgrades!$D$6,E374))</f>
        <v>37.4517507383159</v>
      </c>
      <c r="AH374" s="21" t="n">
        <f aca="false">IF(F374&gt;=Upgrades!$E$7,"",Upgrades!$C$7*POWER(Upgrades!$D$7,F374))</f>
        <v>80.9111547141581</v>
      </c>
      <c r="AI374" s="21" t="n">
        <f aca="false">IF(G374&gt;=Upgrades!$E$8,"",Upgrades!$C$8*POWER(Upgrades!$D$8,G374))</f>
        <v>231.9097088</v>
      </c>
      <c r="AJ374" s="21" t="str">
        <f aca="false">IF(H374&gt;=Upgrades!$E$9,"",Upgrades!$C$9*POWER(Upgrades!$D$9,H374))</f>
        <v/>
      </c>
      <c r="AK374" s="21" t="str">
        <f aca="false">IF(I374&gt;=Upgrades!$E$10,"",Upgrades!$C$10*POWER(Upgrades!$D$10,I374))</f>
        <v/>
      </c>
      <c r="AL374" s="21" t="str">
        <f aca="false">IF(J374&gt;=Upgrades!$E$11,"",Upgrades!$C$11*POWER(Upgrades!$D$11,J374))</f>
        <v/>
      </c>
      <c r="AM374" s="21" t="str">
        <f aca="false">IF(K374&gt;=Upgrades!$E$12,"",Upgrades!$C$12*POWER(Upgrades!$D$12,K374))</f>
        <v/>
      </c>
      <c r="AN374" s="26" t="str">
        <f aca="false">IF(AND(D374&gt;=Parameters!$B$18,(H374&gt;=Upgrades!$E$9)*(K374&gt;=Upgrades!$E$12)=1,L374=0),1,"")</f>
        <v/>
      </c>
      <c r="AO374" s="26" t="str">
        <f aca="false">IF(AND(D374&gt;=Parameters!$B$18,L374=0),1,"")</f>
        <v/>
      </c>
      <c r="AP374" s="21" t="n">
        <f aca="false">MIN(IF(ISNUMBER(AK374),AK374,9000000000000000),IF(ISNUMBER(AL374),AL374,9000000000000000),IF(ISNUMBER(AM374),AM374,9000000000000000))</f>
        <v>9000000000000000</v>
      </c>
      <c r="AQ374" s="21" t="n">
        <f aca="false">MIN(IF(ISNUMBER(AG374),AG374,9000000000000000),IF(ISNUMBER(AH374),AH374,9000000000000000),IF(ISNUMBER(AI374),AI374,9000000000000000),IF(ISNUMBER(AJ374),AJ374,9000000000000000))</f>
        <v>37.4517507383159</v>
      </c>
      <c r="AR374" s="32" t="b">
        <f aca="false">IF(AW374&gt;Parameters!$B$21*(MAX(IF(AND(NOT(AND(AO374=1,AN374&lt;&gt;1)),ISNUMBER(AG374),AG374&lt;=T374),AS374,0),IF(AND(NOT(AND(AO374=1,AN374&lt;&gt;1)),ISNUMBER(AH374),AH374&lt;=T374),AT374,0),IF(AND(NOT(AND(AO374=1,AN374&lt;&gt;1)),ISNUMBER(AI374),AI374&lt;=T374),AU374,0),IF(AND(ISNUMBER(AJ374),AJ374&lt;=T374),AV374,0))),TRUE(),FALSE())</f>
        <v>1</v>
      </c>
      <c r="AS374" s="33" t="n">
        <f aca="false">IFERROR(Upgrades!$H$6*(POWER(Upgrades!$P$6,E374)*POWER(Upgrades!$P$7,F374)*POWER(Upgrades!$P$8,G374)*POWER(Upgrades!$P$9,H374)*POWER(Upgrades!$P$10,I374)*POWER(Upgrades!$P$11,J374)*POWER(Upgrades!$P$12,K374))*(IF(Upgrades!$T$7="Solar Wind",POWER(Upgrades!$U$7,F374),1)*IF(Upgrades!$T$8="Solar Wind",POWER(Upgrades!$U$8,G374),1)*IF(Upgrades!$T$9="Solar Wind",POWER(Upgrades!$U$9,H374),1)*IF(Upgrades!$T$10="Solar Wind",POWER(Upgrades!$U$10,I374),1)*IF(Upgrades!$T$11="Solar Wind",POWER(Upgrades!$U$11,J374),1)*IF(Upgrades!$T$12="Solar Wind",POWER(Upgrades!$U$12,K374),1))/AG374,0)</f>
        <v>0.0026701021455238</v>
      </c>
      <c r="AT374" s="33" t="n">
        <f aca="false">IFERROR(Upgrades!$H$7*(POWER(Upgrades!$P$6,E374)*POWER(Upgrades!$P$7,F374)*POWER(Upgrades!$P$8,G374)*POWER(Upgrades!$P$9,H374)*POWER(Upgrades!$P$10,I374)*POWER(Upgrades!$P$11,J374)*POWER(Upgrades!$P$12,K374))*(IF(Upgrades!$T$6="Asteroid Belt",POWER(Upgrades!$U$6,E374),1)*IF(Upgrades!$T$8="Asteroid Belt",POWER(Upgrades!$U$8,G374),1)*IF(Upgrades!$T$9="Asteroid Belt",POWER(Upgrades!$U$9,H374),1)*IF(Upgrades!$T$10="Asteroid Belt",POWER(Upgrades!$U$10,I374),1)*IF(Upgrades!$T$11="Asteroid Belt",POWER(Upgrades!$U$11,J374),1)*IF(Upgrades!$T$12="Asteroid Belt",POWER(Upgrades!$U$12,K374),1))/AH374,0)</f>
        <v>0.00308980882652332</v>
      </c>
      <c r="AU374" s="33" t="n">
        <f aca="false">IFERROR(Upgrades!$K$8*(POWER(Upgrades!$Q$6,E374)*POWER(Upgrades!$Q$7,F374)*POWER(Upgrades!$Q$8,G374)*POWER(Upgrades!$Q$9,H374)*POWER(Upgrades!$Q$10,I374)*POWER(Upgrades!$Q$11,J374)*POWER(Upgrades!$Q$12,K374))*(IF(Upgrades!$T$6="Stellar Coupling",POWER(Upgrades!$U$6,E374),1)*IF(Upgrades!$T$7="Stellar Coupling",POWER(Upgrades!$U$7,F374),1)*IF(Upgrades!$T$9="Stellar Coupling",POWER(Upgrades!$U$9,H374),1)*IF(Upgrades!$T$10="Stellar Coupling",POWER(Upgrades!$U$10,I374),1)*IF(Upgrades!$T$11="Stellar Coupling",POWER(Upgrades!$U$11,J374),1)*IF(Upgrades!$T$12="Stellar Coupling",POWER(Upgrades!$U$12,K374),1))*Parameters!$B$10*Parameters!$B$11/60/AI374,0)</f>
        <v>0.00452762415783776</v>
      </c>
      <c r="AV374" s="33" t="n">
        <f aca="false">IFERROR(Upgrades!$H$9*(POWER(Upgrades!$P$6,E374)*POWER(Upgrades!$P$7,F374)*POWER(Upgrades!$P$8,G374)*POWER(Upgrades!$P$9,H374)*POWER(Upgrades!$P$10,I374)*POWER(Upgrades!$P$11,J374)*POWER(Upgrades!$P$12,K374))*(IF(Upgrades!$T$6="Magnetosphere",POWER(Upgrades!$U$6,E374),1)*IF(Upgrades!$T$7="Magnetosphere",POWER(Upgrades!$U$7,F374),1)*IF(Upgrades!$T$8="Magnetosphere",POWER(Upgrades!$U$8,G374),1)*IF(Upgrades!$T$10="Magnetosphere",POWER(Upgrades!$U$10,I374),1)*IF(Upgrades!$T$11="Magnetosphere",POWER(Upgrades!$U$11,J374),1)*IF(Upgrades!$T$12="Magnetosphere",POWER(Upgrades!$U$12,K374),1))/AJ374,0)</f>
        <v>0</v>
      </c>
      <c r="AW374" s="33" t="n">
        <f aca="false">MAX(IF(I374&gt;0,0,IFERROR(0.25*N374/Upgrades!$C$10,0)),IF(J374&gt;0,0,IFERROR(0.5*((IF(G374=0,0,(Upgrades!$J$8+G374*Upgrades!$K$8)*POWER(Upgrades!$L$8,G374)))*(IF(Upgrades!$T$6="Stellar Coupling",POWER(Upgrades!$U$6,E374),1)*IF(Upgrades!$T$7="Stellar Coupling",POWER(Upgrades!$U$7,F374),1)*IF(Upgrades!$T$9="Stellar Coupling",POWER(Upgrades!$U$9,H374),1)*IF(Upgrades!$T$10="Stellar Coupling",POWER(Upgrades!$U$10,I374),1)*IF(Upgrades!$T$11="Stellar Coupling",POWER(Upgrades!$U$11,J374),1)*IF(Upgrades!$T$12="Stellar Coupling",POWER(Upgrades!$U$12,K374),1))*(POWER(Upgrades!$Q$6,E374)*POWER(Upgrades!$Q$7,F374)*POWER(Upgrades!$Q$8,G374)*POWER(Upgrades!$Q$9,H374)*POWER(Upgrades!$Q$10,I374)*POWER(Upgrades!$Q$11,J374)*POWER(Upgrades!$Q$12,K374))*Parameters!$B$10*Parameters!$B$11/60)/Upgrades!$C$11,0)),IF(K374&gt;0,0,IFERROR((1*(POWER(Upgrades!$P$6,E374)*POWER(Upgrades!$P$7,F374)*POWER(Upgrades!$P$8,G374)*POWER(Upgrades!$P$9,H374)*POWER(Upgrades!$P$10,I374)*POWER(Upgrades!$P$11,J374)*POWER(Upgrades!$P$12,K374))+0.2*M374*Parameters!$B$10*Parameters!$B$11/60)/Upgrades!$C$12,0)),IF(AND(ISNUMBER(AG374),AG374&gt;T374),AS374,0),IF(AND(ISNUMBER(AH374),AH374&gt;T374),AT374,0),IF(AND(ISNUMBER(AI374),AI374&gt;T374),AU374,0),IF(AND(ISNUMBER(AJ374),AJ374&gt;T374),AV374,0))</f>
        <v>0.00452762415783776</v>
      </c>
      <c r="AX374" s="29" t="str">
        <f aca="false">IF(AN374=1,"transition",IF(MIN(IF(AND(I374=0,ISNUMBER(AK374),AK374&lt;=T374),AK374,9000000000000000),IF(AND(J374=0,ISNUMBER(AL374),AL374&lt;=T374),AL374,9000000000000000),IF(AND(K374=0,ISNUMBER(AM374),AM374&lt;=T374),AM374,9000000000000000))&lt;9000000000000000,IF(AND(AND(I374=0,ISNUMBER(AK374),AK374&lt;=T374),AK374=MIN(IF(AND(I374=0,ISNUMBER(AK374),AK374&lt;=T374),AK374,9000000000000000),IF(AND(J374=0,ISNUMBER(AL374),AL374&lt;=T374),AL374,9000000000000000),IF(AND(K374=0,ISNUMBER(AM374),AM374&lt;=T374),AM374,9000000000000000))),"OR",IF(AND(AND(J374=0,ISNUMBER(AL374),AL374&lt;=T374),AL374=MIN(IF(AND(I374=0,ISNUMBER(AK374),AK374&lt;=T374),AK374,9000000000000000),IF(AND(J374=0,ISNUMBER(AL374),AL374&lt;=T374),AL374,9000000000000000),IF(AND(K374=0,ISNUMBER(AM374),AM374&lt;=T374),AM374,9000000000000000))),"HP","FP")),IF(AR374=TRUE(),"",IF(MAX(IF(AND(NOT(AND(AO374=1,AN374&lt;&gt;1)),ISNUMBER(AG374),AG374&lt;=T374),AS374,0),IF(AND(NOT(AND(AO374=1,AN374&lt;&gt;1)),ISNUMBER(AH374),AH374&lt;=T374),AT374,0),IF(AND(NOT(AND(AO374=1,AN374&lt;&gt;1)),ISNUMBER(AI374),AI374&lt;=T374),AU374,0),IF(AND(ISNUMBER(AJ374),AJ374&lt;=T374),AV374,0))&lt;=0,"",IF(AND(IF(AND(NOT(AND(AO374=1,AN374&lt;&gt;1)),ISNUMBER(AG374),AG374&lt;=T374),AS374,0)&gt;0,IF(AND(NOT(AND(AO374=1,AN374&lt;&gt;1)),ISNUMBER(AG374),AG374&lt;=T374),AS374,0)=MAX(IF(AND(NOT(AND(AO374=1,AN374&lt;&gt;1)),ISNUMBER(AG374),AG374&lt;=T374),AS374,0),IF(AND(NOT(AND(AO374=1,AN374&lt;&gt;1)),ISNUMBER(AH374),AH374&lt;=T374),AT374,0),IF(AND(NOT(AND(AO374=1,AN374&lt;&gt;1)),ISNUMBER(AI374),AI374&lt;=T374),AU374,0),IF(AND(ISNUMBER(AJ374),AJ374&lt;=T374),AV374,0))),"SW",IF(AND(IF(AND(NOT(AND(AO374=1,AN374&lt;&gt;1)),ISNUMBER(AH374),AH374&lt;=T374),AT374,0)&gt;0,IF(AND(NOT(AND(AO374=1,AN374&lt;&gt;1)),ISNUMBER(AH374),AH374&lt;=T374),AT374,0)=MAX(IF(AND(NOT(AND(AO374=1,AN374&lt;&gt;1)),ISNUMBER(AG374),AG374&lt;=T374),AS374,0),IF(AND(NOT(AND(AO374=1,AN374&lt;&gt;1)),ISNUMBER(AH374),AH374&lt;=T374),AT374,0),IF(AND(NOT(AND(AO374=1,AN374&lt;&gt;1)),ISNUMBER(AI374),AI374&lt;=T374),AU374,0),IF(AND(ISNUMBER(AJ374),AJ374&lt;=T374),AV374,0))),"AB",IF(AND(IF(AND(NOT(AND(AO374=1,AN374&lt;&gt;1)),ISNUMBER(AI374),AI374&lt;=T374),AU374,0)&gt;0,IF(AND(NOT(AND(AO374=1,AN374&lt;&gt;1)),ISNUMBER(AI374),AI374&lt;=T374),AU374,0)=MAX(IF(AND(NOT(AND(AO374=1,AN374&lt;&gt;1)),ISNUMBER(AG374),AG374&lt;=T374),AS374,0),IF(AND(NOT(AND(AO374=1,AN374&lt;&gt;1)),ISNUMBER(AH374),AH374&lt;=T374),AT374,0),IF(AND(NOT(AND(AO374=1,AN374&lt;&gt;1)),ISNUMBER(AI374),AI374&lt;=T374),AU374,0),IF(AND(ISNUMBER(AJ374),AJ374&lt;=T374),AV374,0))),"SC","Mag")))))))</f>
        <v/>
      </c>
    </row>
    <row r="375" customFormat="false" ht="15" hidden="false" customHeight="false" outlineLevel="0" collapsed="false">
      <c r="A375" s="26" t="n">
        <v>370</v>
      </c>
      <c r="B375" s="27" t="n">
        <f aca="false">A375*10/60</f>
        <v>61.6666666666667</v>
      </c>
      <c r="C375" s="21" t="n">
        <f aca="false">X374</f>
        <v>18.6730249835055</v>
      </c>
      <c r="D375" s="27" t="n">
        <f aca="false">D374+W374</f>
        <v>0</v>
      </c>
      <c r="E375" s="26" t="n">
        <f aca="false">E374+IF(U374="SW",1,0)</f>
        <v>12</v>
      </c>
      <c r="F375" s="26" t="n">
        <f aca="false">F374+IF(U374="AB",1,0)</f>
        <v>10</v>
      </c>
      <c r="G375" s="26" t="n">
        <f aca="false">G374+IF(U374="SC",1,0)</f>
        <v>7</v>
      </c>
      <c r="H375" s="26" t="n">
        <f aca="false">H374+IF(U374="Mag",1,0)</f>
        <v>5</v>
      </c>
      <c r="I375" s="26" t="n">
        <f aca="false">MAX(I374,IF(U374="OR",1,0))</f>
        <v>1</v>
      </c>
      <c r="J375" s="26" t="n">
        <f aca="false">MAX(J374,IF(U374="HP",1,0))</f>
        <v>1</v>
      </c>
      <c r="K375" s="26" t="n">
        <f aca="false">MAX(K374,IF(U374="FP",1,0))</f>
        <v>1</v>
      </c>
      <c r="L375" s="26" t="n">
        <f aca="false">MAX(L374,IF(U374="transition",1,0))</f>
        <v>1</v>
      </c>
      <c r="M375" s="28" t="n">
        <f aca="false">(Parameters!$B$9+(IF(E375=0,0,(Upgrades!$J$6+E375*Upgrades!$K$6)*POWER(Upgrades!$L$6,E375)))*(IF(Upgrades!$T$7="Solar Wind",POWER(Upgrades!$U$7,F375),1)*IF(Upgrades!$T$8="Solar Wind",POWER(Upgrades!$U$8,G375),1)*IF(Upgrades!$T$9="Solar Wind",POWER(Upgrades!$U$9,H375),1)*IF(Upgrades!$T$10="Solar Wind",POWER(Upgrades!$U$10,I375),1)*IF(Upgrades!$T$11="Solar Wind",POWER(Upgrades!$U$11,J375),1)*IF(Upgrades!$T$12="Solar Wind",POWER(Upgrades!$U$12,K375),1))+(IF(F375=0,0,(Upgrades!$J$7+F375*Upgrades!$K$7)*POWER(Upgrades!$L$7,F375)))*(IF(Upgrades!$T$6="Asteroid Belt",POWER(Upgrades!$U$6,E375),1)*IF(Upgrades!$T$8="Asteroid Belt",POWER(Upgrades!$U$8,G375),1)*IF(Upgrades!$T$9="Asteroid Belt",POWER(Upgrades!$U$9,H375),1)*IF(Upgrades!$T$10="Asteroid Belt",POWER(Upgrades!$U$10,I375),1)*IF(Upgrades!$T$11="Asteroid Belt",POWER(Upgrades!$U$11,J375),1)*IF(Upgrades!$T$12="Asteroid Belt",POWER(Upgrades!$U$12,K375),1))+(IF(G375=0,0,(Upgrades!$J$8+G375*Upgrades!$K$8)*POWER(Upgrades!$L$8,G375)))*(IF(Upgrades!$T$6="Stellar Coupling",POWER(Upgrades!$U$6,E375),1)*IF(Upgrades!$T$7="Stellar Coupling",POWER(Upgrades!$U$7,F375),1)*IF(Upgrades!$T$9="Stellar Coupling",POWER(Upgrades!$U$9,H375),1)*IF(Upgrades!$T$10="Stellar Coupling",POWER(Upgrades!$U$10,I375),1)*IF(Upgrades!$T$11="Stellar Coupling",POWER(Upgrades!$U$11,J375),1)*IF(Upgrades!$T$12="Stellar Coupling",POWER(Upgrades!$U$12,K375),1))+(IF(H375=0,0,(Upgrades!$J$9+H375*Upgrades!$K$9)*POWER(Upgrades!$L$9,H375)))*(IF(Upgrades!$T$6="Magnetosphere",POWER(Upgrades!$U$6,E375),1)*IF(Upgrades!$T$7="Magnetosphere",POWER(Upgrades!$U$7,F375),1)*IF(Upgrades!$T$8="Magnetosphere",POWER(Upgrades!$U$8,G375),1)*IF(Upgrades!$T$10="Magnetosphere",POWER(Upgrades!$U$10,I375),1)*IF(Upgrades!$T$11="Magnetosphere",POWER(Upgrades!$U$11,J375),1)*IF(Upgrades!$T$12="Magnetosphere",POWER(Upgrades!$U$12,K375),1))+(IF(I375=0,0,(Upgrades!$J$10+I375*Upgrades!$K$10)*POWER(Upgrades!$L$10,I375)))*(IF(Upgrades!$T$6="Orbital Resonance",POWER(Upgrades!$U$6,E375),1)*IF(Upgrades!$T$7="Orbital Resonance",POWER(Upgrades!$U$7,F375),1)*IF(Upgrades!$T$8="Orbital Resonance",POWER(Upgrades!$U$8,G375),1)*IF(Upgrades!$T$9="Orbital Resonance",POWER(Upgrades!$U$9,H375),1)*IF(Upgrades!$T$11="Orbital Resonance",POWER(Upgrades!$U$11,J375),1)*IF(Upgrades!$T$12="Orbital Resonance",POWER(Upgrades!$U$12,K375),1))+(IF(J375=0,0,(Upgrades!$J$11+J375*Upgrades!$K$11)*POWER(Upgrades!$L$11,J375)))*(IF(Upgrades!$T$6="Heliopause",POWER(Upgrades!$U$6,E375),1)*IF(Upgrades!$T$7="Heliopause",POWER(Upgrades!$U$7,F375),1)*IF(Upgrades!$T$8="Heliopause",POWER(Upgrades!$U$8,G375),1)*IF(Upgrades!$T$9="Heliopause",POWER(Upgrades!$U$9,H375),1)*IF(Upgrades!$T$10="Heliopause",POWER(Upgrades!$U$10,I375),1)*IF(Upgrades!$T$12="Heliopause",POWER(Upgrades!$U$12,K375),1))+(IF(K375=0,0,(Upgrades!$J$12+K375*Upgrades!$K$12)*POWER(Upgrades!$L$12,K375)))*(IF(Upgrades!$T$6="First Photons",POWER(Upgrades!$U$6,E375),1)*IF(Upgrades!$T$7="First Photons",POWER(Upgrades!$U$7,F375),1)*IF(Upgrades!$T$8="First Photons",POWER(Upgrades!$U$8,G375),1)*IF(Upgrades!$T$9="First Photons",POWER(Upgrades!$U$9,H375),1)*IF(Upgrades!$T$10="First Photons",POWER(Upgrades!$U$10,I375),1)*IF(Upgrades!$T$11="First Photons",POWER(Upgrades!$U$11,J375),1)))*POWER(Upgrades!$Q$6,E375)*POWER(Upgrades!$Q$7,F375)*POWER(Upgrades!$Q$8,G375)*POWER(Upgrades!$Q$9,H375)*POWER(Upgrades!$Q$10,I375)*POWER(Upgrades!$Q$11,J375)*POWER(Upgrades!$Q$12,K375)</f>
        <v>5.61</v>
      </c>
      <c r="N375" s="28" t="n">
        <f aca="false">((IF(E375=0,0,(Upgrades!$G$6+E375*Upgrades!$H$6)*POWER(Upgrades!$I$6,E375)))*(IF(Upgrades!$T$7="Solar Wind",POWER(Upgrades!$U$7,F375),1)*IF(Upgrades!$T$8="Solar Wind",POWER(Upgrades!$U$8,G375),1)*IF(Upgrades!$T$9="Solar Wind",POWER(Upgrades!$U$9,H375),1)*IF(Upgrades!$T$10="Solar Wind",POWER(Upgrades!$U$10,I375),1)*IF(Upgrades!$T$11="Solar Wind",POWER(Upgrades!$U$11,J375),1)*IF(Upgrades!$T$12="Solar Wind",POWER(Upgrades!$U$12,K375),1))+(IF(F375=0,0,(Upgrades!$G$7+F375*Upgrades!$H$7)*POWER(Upgrades!$I$7,F375)))*(IF(Upgrades!$T$6="Asteroid Belt",POWER(Upgrades!$U$6,E375),1)*IF(Upgrades!$T$8="Asteroid Belt",POWER(Upgrades!$U$8,G375),1)*IF(Upgrades!$T$9="Asteroid Belt",POWER(Upgrades!$U$9,H375),1)*IF(Upgrades!$T$10="Asteroid Belt",POWER(Upgrades!$U$10,I375),1)*IF(Upgrades!$T$11="Asteroid Belt",POWER(Upgrades!$U$11,J375),1)*IF(Upgrades!$T$12="Asteroid Belt",POWER(Upgrades!$U$12,K375),1))+(IF(G375=0,0,(Upgrades!$G$8+G375*Upgrades!$H$8)*POWER(Upgrades!$I$8,G375)))*(IF(Upgrades!$T$6="Stellar Coupling",POWER(Upgrades!$U$6,E375),1)*IF(Upgrades!$T$7="Stellar Coupling",POWER(Upgrades!$U$7,F375),1)*IF(Upgrades!$T$9="Stellar Coupling",POWER(Upgrades!$U$9,H375),1)*IF(Upgrades!$T$10="Stellar Coupling",POWER(Upgrades!$U$10,I375),1)*IF(Upgrades!$T$11="Stellar Coupling",POWER(Upgrades!$U$11,J375),1)*IF(Upgrades!$T$12="Stellar Coupling",POWER(Upgrades!$U$12,K375),1))+(IF(H375=0,0,(Upgrades!$G$9+H375*Upgrades!$H$9)*POWER(Upgrades!$I$9,H375)))*(IF(Upgrades!$T$6="Magnetosphere",POWER(Upgrades!$U$6,E375),1)*IF(Upgrades!$T$7="Magnetosphere",POWER(Upgrades!$U$7,F375),1)*IF(Upgrades!$T$8="Magnetosphere",POWER(Upgrades!$U$8,G375),1)*IF(Upgrades!$T$10="Magnetosphere",POWER(Upgrades!$U$10,I375),1)*IF(Upgrades!$T$11="Magnetosphere",POWER(Upgrades!$U$11,J375),1)*IF(Upgrades!$T$12="Magnetosphere",POWER(Upgrades!$U$12,K375),1))+(IF(I375=0,0,(Upgrades!$G$10+I375*Upgrades!$H$10)*POWER(Upgrades!$I$10,I375)))*(IF(Upgrades!$T$6="Orbital Resonance",POWER(Upgrades!$U$6,E375),1)*IF(Upgrades!$T$7="Orbital Resonance",POWER(Upgrades!$U$7,F375),1)*IF(Upgrades!$T$8="Orbital Resonance",POWER(Upgrades!$U$8,G375),1)*IF(Upgrades!$T$9="Orbital Resonance",POWER(Upgrades!$U$9,H375),1)*IF(Upgrades!$T$11="Orbital Resonance",POWER(Upgrades!$U$11,J375),1)*IF(Upgrades!$T$12="Orbital Resonance",POWER(Upgrades!$U$12,K375),1))+(IF(J375=0,0,(Upgrades!$G$11+J375*Upgrades!$H$11)*POWER(Upgrades!$I$11,J375)))*(IF(Upgrades!$T$6="Heliopause",POWER(Upgrades!$U$6,E375),1)*IF(Upgrades!$T$7="Heliopause",POWER(Upgrades!$U$7,F375),1)*IF(Upgrades!$T$8="Heliopause",POWER(Upgrades!$U$8,G375),1)*IF(Upgrades!$T$9="Heliopause",POWER(Upgrades!$U$9,H375),1)*IF(Upgrades!$T$10="Heliopause",POWER(Upgrades!$U$10,I375),1)*IF(Upgrades!$T$12="Heliopause",POWER(Upgrades!$U$12,K375),1))+(IF(K375=0,0,(Upgrades!$G$12+K375*Upgrades!$H$12)*POWER(Upgrades!$I$12,K375)))*(IF(Upgrades!$T$6="First Photons",POWER(Upgrades!$U$6,E375),1)*IF(Upgrades!$T$7="First Photons",POWER(Upgrades!$U$7,F375),1)*IF(Upgrades!$T$8="First Photons",POWER(Upgrades!$U$8,G375),1)*IF(Upgrades!$T$9="First Photons",POWER(Upgrades!$U$9,H375),1)*IF(Upgrades!$T$10="First Photons",POWER(Upgrades!$U$10,I375),1)*IF(Upgrades!$T$11="First Photons",POWER(Upgrades!$U$11,J375),1)))*POWER(Upgrades!$P$6,E375)*POWER(Upgrades!$P$7,F375)*POWER(Upgrades!$P$8,G375)*POWER(Upgrades!$P$9,H375)*POWER(Upgrades!$P$10,I375)*POWER(Upgrades!$P$11,J375)*POWER(Upgrades!$P$12,K375)</f>
        <v>11.2</v>
      </c>
      <c r="O375" s="28" t="n">
        <f aca="false">((IF(E375=0,0,(Upgrades!$M$6+E375*Upgrades!$N$6)*POWER(Upgrades!$O$6,E375)))*(IF(Upgrades!$T$7="Solar Wind",POWER(Upgrades!$U$7,F375),1)*IF(Upgrades!$T$8="Solar Wind",POWER(Upgrades!$U$8,G375),1)*IF(Upgrades!$T$9="Solar Wind",POWER(Upgrades!$U$9,H375),1)*IF(Upgrades!$T$10="Solar Wind",POWER(Upgrades!$U$10,I375),1)*IF(Upgrades!$T$11="Solar Wind",POWER(Upgrades!$U$11,J375),1)*IF(Upgrades!$T$12="Solar Wind",POWER(Upgrades!$U$12,K375),1))+(IF(F375=0,0,(Upgrades!$M$7+F375*Upgrades!$N$7)*POWER(Upgrades!$O$7,F375)))*(IF(Upgrades!$T$6="Asteroid Belt",POWER(Upgrades!$U$6,E375),1)*IF(Upgrades!$T$8="Asteroid Belt",POWER(Upgrades!$U$8,G375),1)*IF(Upgrades!$T$9="Asteroid Belt",POWER(Upgrades!$U$9,H375),1)*IF(Upgrades!$T$10="Asteroid Belt",POWER(Upgrades!$U$10,I375),1)*IF(Upgrades!$T$11="Asteroid Belt",POWER(Upgrades!$U$11,J375),1)*IF(Upgrades!$T$12="Asteroid Belt",POWER(Upgrades!$U$12,K375),1))+(IF(G375=0,0,(Upgrades!$M$8+G375*Upgrades!$N$8)*POWER(Upgrades!$O$8,G375)))*(IF(Upgrades!$T$6="Stellar Coupling",POWER(Upgrades!$U$6,E375),1)*IF(Upgrades!$T$7="Stellar Coupling",POWER(Upgrades!$U$7,F375),1)*IF(Upgrades!$T$9="Stellar Coupling",POWER(Upgrades!$U$9,H375),1)*IF(Upgrades!$T$10="Stellar Coupling",POWER(Upgrades!$U$10,I375),1)*IF(Upgrades!$T$11="Stellar Coupling",POWER(Upgrades!$U$11,J375),1)*IF(Upgrades!$T$12="Stellar Coupling",POWER(Upgrades!$U$12,K375),1))+(IF(H375=0,0,(Upgrades!$M$9+H375*Upgrades!$N$9)*POWER(Upgrades!$O$9,H375)))*(IF(Upgrades!$T$6="Magnetosphere",POWER(Upgrades!$U$6,E375),1)*IF(Upgrades!$T$7="Magnetosphere",POWER(Upgrades!$U$7,F375),1)*IF(Upgrades!$T$8="Magnetosphere",POWER(Upgrades!$U$8,G375),1)*IF(Upgrades!$T$10="Magnetosphere",POWER(Upgrades!$U$10,I375),1)*IF(Upgrades!$T$11="Magnetosphere",POWER(Upgrades!$U$11,J375),1)*IF(Upgrades!$T$12="Magnetosphere",POWER(Upgrades!$U$12,K375),1))+(IF(I375=0,0,(Upgrades!$M$10+I375*Upgrades!$N$10)*POWER(Upgrades!$O$10,I375)))*(IF(Upgrades!$T$6="Orbital Resonance",POWER(Upgrades!$U$6,E375),1)*IF(Upgrades!$T$7="Orbital Resonance",POWER(Upgrades!$U$7,F375),1)*IF(Upgrades!$T$8="Orbital Resonance",POWER(Upgrades!$U$8,G375),1)*IF(Upgrades!$T$9="Orbital Resonance",POWER(Upgrades!$U$9,H375),1)*IF(Upgrades!$T$11="Orbital Resonance",POWER(Upgrades!$U$11,J375),1)*IF(Upgrades!$T$12="Orbital Resonance",POWER(Upgrades!$U$12,K375),1))+(IF(J375=0,0,(Upgrades!$M$11+J375*Upgrades!$N$11)*POWER(Upgrades!$O$11,J375)))*(IF(Upgrades!$T$6="Heliopause",POWER(Upgrades!$U$6,E375),1)*IF(Upgrades!$T$7="Heliopause",POWER(Upgrades!$U$7,F375),1)*IF(Upgrades!$T$8="Heliopause",POWER(Upgrades!$U$8,G375),1)*IF(Upgrades!$T$9="Heliopause",POWER(Upgrades!$U$9,H375),1)*IF(Upgrades!$T$10="Heliopause",POWER(Upgrades!$U$10,I375),1)*IF(Upgrades!$T$12="Heliopause",POWER(Upgrades!$U$12,K375),1))+(IF(K375=0,0,(Upgrades!$M$12+K375*Upgrades!$N$12)*POWER(Upgrades!$O$12,K375)))*(IF(Upgrades!$T$6="First Photons",POWER(Upgrades!$U$6,E375),1)*IF(Upgrades!$T$7="First Photons",POWER(Upgrades!$U$7,F375),1)*IF(Upgrades!$T$8="First Photons",POWER(Upgrades!$U$8,G375),1)*IF(Upgrades!$T$9="First Photons",POWER(Upgrades!$U$9,H375),1)*IF(Upgrades!$T$10="First Photons",POWER(Upgrades!$U$10,I375),1)*IF(Upgrades!$T$11="First Photons",POWER(Upgrades!$U$11,J375),1)))*POWER(Upgrades!$R$6,E375)*POWER(Upgrades!$R$7,F375)*POWER(Upgrades!$R$8,G375)*POWER(Upgrades!$R$9,H375)*POWER(Upgrades!$R$10,I375)*POWER(Upgrades!$R$11,J375)*POWER(Upgrades!$R$12,K375)</f>
        <v>0</v>
      </c>
      <c r="P375" s="27" t="n">
        <f aca="false">IF(L375=1,0,M375*Parameters!$B$10/60*Parameters!$B$11*10)</f>
        <v>0</v>
      </c>
      <c r="Q375" s="27" t="n">
        <f aca="false">IF(L375=1,0,O375*M375*10)</f>
        <v>0</v>
      </c>
      <c r="R375" s="27" t="n">
        <f aca="false">IF(L375=1,0,N375*10)</f>
        <v>0</v>
      </c>
      <c r="S375" s="27" t="n">
        <f aca="false">P375+Q375+R375</f>
        <v>0</v>
      </c>
      <c r="T375" s="21" t="n">
        <f aca="false">C375+S375</f>
        <v>18.6730249835055</v>
      </c>
      <c r="U375" s="34" t="str">
        <f aca="false">AX375</f>
        <v/>
      </c>
      <c r="V375" s="21" t="n">
        <f aca="false">IF(U375="",0,IF(U375="transition",0,IF(U375="SW",AG375,IF(U375="AB",AH375,IF(U375="SC",AI375,IF(U375="Mag",AJ375,IF(U375="OR",AK375,IF(U375="HP",AL375,IF(U375="FP",AM375,0)))))))))</f>
        <v>0</v>
      </c>
      <c r="W375" s="27" t="n">
        <f aca="false">IF(U375="OR",Upgrades!$F$10,IF(U375="HP",Upgrades!$F$11,IF(U375="transition",-Parameters!$B$18,0)))</f>
        <v>0</v>
      </c>
      <c r="X375" s="21" t="n">
        <f aca="false">T375-V375</f>
        <v>18.6730249835055</v>
      </c>
      <c r="Y375" s="30" t="n">
        <f aca="false">M375*Parameters!$B$10/60*Parameters!$B$11+O375*M375+N375</f>
        <v>20.55</v>
      </c>
      <c r="Z375" s="35" t="str">
        <f aca="false">IF(U375="transition","→ Tier 2 (Stellar Neighborhood)",IF(U375="FP","First Photons — light begins, system quickens",IF(U375="HP","Heliopause acquired",IF(U375="OR","Orbital Resonance — passive multiplier active",IF(AND(AO375=1,L375=0,AN375&lt;&gt;1),"Cohesion ready (waiting on completionist upgrades)","")))))</f>
        <v/>
      </c>
      <c r="AA375" s="27" t="n">
        <f aca="false">(IF(E375=0,0,(Upgrades!$G$6+E375*Upgrades!$H$6)*POWER(Upgrades!$I$6,E375)))*(IF(Upgrades!$T$7="Solar Wind",POWER(Upgrades!$U$7,F375),1)*IF(Upgrades!$T$8="Solar Wind",POWER(Upgrades!$U$8,G375),1)*IF(Upgrades!$T$9="Solar Wind",POWER(Upgrades!$U$9,H375),1)*IF(Upgrades!$T$10="Solar Wind",POWER(Upgrades!$U$10,I375),1)*IF(Upgrades!$T$11="Solar Wind",POWER(Upgrades!$U$11,J375),1)*IF(Upgrades!$T$12="Solar Wind",POWER(Upgrades!$U$12,K375),1))*POWER(Upgrades!$P$6,E375)*POWER(Upgrades!$P$7,F375)*POWER(Upgrades!$P$8,G375)*POWER(Upgrades!$P$9,H375)*POWER(Upgrades!$P$10,I375)*POWER(Upgrades!$P$11,J375)*POWER(Upgrades!$P$12,K375)*60</f>
        <v>72</v>
      </c>
      <c r="AB375" s="27" t="n">
        <f aca="false">(IF(F375=0,0,(Upgrades!$G$7+F375*Upgrades!$H$7)*POWER(Upgrades!$I$7,F375)))*(IF(Upgrades!$T$6="Asteroid Belt",POWER(Upgrades!$U$6,E375),1)*IF(Upgrades!$T$8="Asteroid Belt",POWER(Upgrades!$U$8,G375),1)*IF(Upgrades!$T$9="Asteroid Belt",POWER(Upgrades!$U$9,H375),1)*IF(Upgrades!$T$10="Asteroid Belt",POWER(Upgrades!$U$10,I375),1)*IF(Upgrades!$T$11="Asteroid Belt",POWER(Upgrades!$U$11,J375),1)*IF(Upgrades!$T$12="Asteroid Belt",POWER(Upgrades!$U$12,K375),1))*POWER(Upgrades!$P$6,E375)*POWER(Upgrades!$P$7,F375)*POWER(Upgrades!$P$8,G375)*POWER(Upgrades!$P$9,H375)*POWER(Upgrades!$P$10,I375)*POWER(Upgrades!$P$11,J375)*POWER(Upgrades!$P$12,K375)*60</f>
        <v>150</v>
      </c>
      <c r="AC375" s="27" t="n">
        <f aca="false">(IF(G375=0,0,(Upgrades!$J$8+G375*Upgrades!$K$8)*POWER(Upgrades!$L$8,G375)))*(IF(Upgrades!$T$6="Stellar Coupling",POWER(Upgrades!$U$6,E375),1)*IF(Upgrades!$T$7="Stellar Coupling",POWER(Upgrades!$U$7,F375),1)*IF(Upgrades!$T$9="Stellar Coupling",POWER(Upgrades!$U$9,H375),1)*IF(Upgrades!$T$10="Stellar Coupling",POWER(Upgrades!$U$10,I375),1)*IF(Upgrades!$T$11="Stellar Coupling",POWER(Upgrades!$U$11,J375),1)*IF(Upgrades!$T$12="Stellar Coupling",POWER(Upgrades!$U$12,K375),1))*POWER(Upgrades!$Q$6,E375)*POWER(Upgrades!$Q$7,F375)*POWER(Upgrades!$Q$8,G375)*POWER(Upgrades!$Q$9,H375)*POWER(Upgrades!$Q$10,I375)*POWER(Upgrades!$Q$11,J375)*POWER(Upgrades!$Q$12,K375)*Parameters!$B$10*Parameters!$B$11</f>
        <v>441</v>
      </c>
      <c r="AD375" s="27" t="n">
        <f aca="false">(IF(H375=0,0,(Upgrades!$G$9+H375*Upgrades!$H$9)*POWER(Upgrades!$I$9,H375)))*(IF(Upgrades!$T$6="Magnetosphere",POWER(Upgrades!$U$6,E375),1)*IF(Upgrades!$T$7="Magnetosphere",POWER(Upgrades!$U$7,F375),1)*IF(Upgrades!$T$8="Magnetosphere",POWER(Upgrades!$U$8,G375),1)*IF(Upgrades!$T$10="Magnetosphere",POWER(Upgrades!$U$10,I375),1)*IF(Upgrades!$T$11="Magnetosphere",POWER(Upgrades!$U$11,J375),1)*IF(Upgrades!$T$12="Magnetosphere",POWER(Upgrades!$U$12,K375),1))*POWER(Upgrades!$P$6,E375)*POWER(Upgrades!$P$7,F375)*POWER(Upgrades!$P$8,G375)*POWER(Upgrades!$P$9,H375)*POWER(Upgrades!$P$10,I375)*POWER(Upgrades!$P$11,J375)*POWER(Upgrades!$P$12,K375)*60</f>
        <v>375</v>
      </c>
      <c r="AE375" s="27" t="n">
        <f aca="false">(IF(K375=0,0,(Upgrades!$G$12+K375*Upgrades!$H$12)*POWER(Upgrades!$I$12,K375)))*(IF(Upgrades!$T$6="First Photons",POWER(Upgrades!$U$6,E375),1)*IF(Upgrades!$T$7="First Photons",POWER(Upgrades!$U$7,F375),1)*IF(Upgrades!$T$8="First Photons",POWER(Upgrades!$U$8,G375),1)*IF(Upgrades!$T$9="First Photons",POWER(Upgrades!$U$9,H375),1)*IF(Upgrades!$T$10="First Photons",POWER(Upgrades!$U$10,I375),1)*IF(Upgrades!$T$11="First Photons",POWER(Upgrades!$U$11,J375),1))*POWER(Upgrades!$P$6,E375)*POWER(Upgrades!$P$7,F375)*POWER(Upgrades!$P$8,G375)*POWER(Upgrades!$P$9,H375)*POWER(Upgrades!$P$10,I375)*POWER(Upgrades!$P$11,J375)*POWER(Upgrades!$P$12,K375)*60</f>
        <v>75</v>
      </c>
      <c r="AF375" s="27" t="n">
        <f aca="false">Parameters!$B$9*POWER(Upgrades!$Q$6,E375)*POWER(Upgrades!$Q$7,F375)*POWER(Upgrades!$Q$8,G375)*POWER(Upgrades!$Q$9,H375)*POWER(Upgrades!$Q$10,I375)*POWER(Upgrades!$Q$11,J375)*POWER(Upgrades!$Q$12,K375)*(Parameters!$B$10*Parameters!$B$11+O375*60)</f>
        <v>120</v>
      </c>
      <c r="AG375" s="21" t="n">
        <f aca="false">IF(E375&gt;=Upgrades!$E$6,"",Upgrades!$C$6*POWER(Upgrades!$D$6,E375))</f>
        <v>37.4517507383159</v>
      </c>
      <c r="AH375" s="21" t="n">
        <f aca="false">IF(F375&gt;=Upgrades!$E$7,"",Upgrades!$C$7*POWER(Upgrades!$D$7,F375))</f>
        <v>80.9111547141581</v>
      </c>
      <c r="AI375" s="21" t="n">
        <f aca="false">IF(G375&gt;=Upgrades!$E$8,"",Upgrades!$C$8*POWER(Upgrades!$D$8,G375))</f>
        <v>231.9097088</v>
      </c>
      <c r="AJ375" s="21" t="str">
        <f aca="false">IF(H375&gt;=Upgrades!$E$9,"",Upgrades!$C$9*POWER(Upgrades!$D$9,H375))</f>
        <v/>
      </c>
      <c r="AK375" s="21" t="str">
        <f aca="false">IF(I375&gt;=Upgrades!$E$10,"",Upgrades!$C$10*POWER(Upgrades!$D$10,I375))</f>
        <v/>
      </c>
      <c r="AL375" s="21" t="str">
        <f aca="false">IF(J375&gt;=Upgrades!$E$11,"",Upgrades!$C$11*POWER(Upgrades!$D$11,J375))</f>
        <v/>
      </c>
      <c r="AM375" s="21" t="str">
        <f aca="false">IF(K375&gt;=Upgrades!$E$12,"",Upgrades!$C$12*POWER(Upgrades!$D$12,K375))</f>
        <v/>
      </c>
      <c r="AN375" s="26" t="str">
        <f aca="false">IF(AND(D375&gt;=Parameters!$B$18,(H375&gt;=Upgrades!$E$9)*(K375&gt;=Upgrades!$E$12)=1,L375=0),1,"")</f>
        <v/>
      </c>
      <c r="AO375" s="26" t="str">
        <f aca="false">IF(AND(D375&gt;=Parameters!$B$18,L375=0),1,"")</f>
        <v/>
      </c>
      <c r="AP375" s="21" t="n">
        <f aca="false">MIN(IF(ISNUMBER(AK375),AK375,9000000000000000),IF(ISNUMBER(AL375),AL375,9000000000000000),IF(ISNUMBER(AM375),AM375,9000000000000000))</f>
        <v>9000000000000000</v>
      </c>
      <c r="AQ375" s="21" t="n">
        <f aca="false">MIN(IF(ISNUMBER(AG375),AG375,9000000000000000),IF(ISNUMBER(AH375),AH375,9000000000000000),IF(ISNUMBER(AI375),AI375,9000000000000000),IF(ISNUMBER(AJ375),AJ375,9000000000000000))</f>
        <v>37.4517507383159</v>
      </c>
      <c r="AR375" s="32" t="b">
        <f aca="false">IF(AW375&gt;Parameters!$B$21*(MAX(IF(AND(NOT(AND(AO375=1,AN375&lt;&gt;1)),ISNUMBER(AG375),AG375&lt;=T375),AS375,0),IF(AND(NOT(AND(AO375=1,AN375&lt;&gt;1)),ISNUMBER(AH375),AH375&lt;=T375),AT375,0),IF(AND(NOT(AND(AO375=1,AN375&lt;&gt;1)),ISNUMBER(AI375),AI375&lt;=T375),AU375,0),IF(AND(ISNUMBER(AJ375),AJ375&lt;=T375),AV375,0))),TRUE(),FALSE())</f>
        <v>1</v>
      </c>
      <c r="AS375" s="33" t="n">
        <f aca="false">IFERROR(Upgrades!$H$6*(POWER(Upgrades!$P$6,E375)*POWER(Upgrades!$P$7,F375)*POWER(Upgrades!$P$8,G375)*POWER(Upgrades!$P$9,H375)*POWER(Upgrades!$P$10,I375)*POWER(Upgrades!$P$11,J375)*POWER(Upgrades!$P$12,K375))*(IF(Upgrades!$T$7="Solar Wind",POWER(Upgrades!$U$7,F375),1)*IF(Upgrades!$T$8="Solar Wind",POWER(Upgrades!$U$8,G375),1)*IF(Upgrades!$T$9="Solar Wind",POWER(Upgrades!$U$9,H375),1)*IF(Upgrades!$T$10="Solar Wind",POWER(Upgrades!$U$10,I375),1)*IF(Upgrades!$T$11="Solar Wind",POWER(Upgrades!$U$11,J375),1)*IF(Upgrades!$T$12="Solar Wind",POWER(Upgrades!$U$12,K375),1))/AG375,0)</f>
        <v>0.0026701021455238</v>
      </c>
      <c r="AT375" s="33" t="n">
        <f aca="false">IFERROR(Upgrades!$H$7*(POWER(Upgrades!$P$6,E375)*POWER(Upgrades!$P$7,F375)*POWER(Upgrades!$P$8,G375)*POWER(Upgrades!$P$9,H375)*POWER(Upgrades!$P$10,I375)*POWER(Upgrades!$P$11,J375)*POWER(Upgrades!$P$12,K375))*(IF(Upgrades!$T$6="Asteroid Belt",POWER(Upgrades!$U$6,E375),1)*IF(Upgrades!$T$8="Asteroid Belt",POWER(Upgrades!$U$8,G375),1)*IF(Upgrades!$T$9="Asteroid Belt",POWER(Upgrades!$U$9,H375),1)*IF(Upgrades!$T$10="Asteroid Belt",POWER(Upgrades!$U$10,I375),1)*IF(Upgrades!$T$11="Asteroid Belt",POWER(Upgrades!$U$11,J375),1)*IF(Upgrades!$T$12="Asteroid Belt",POWER(Upgrades!$U$12,K375),1))/AH375,0)</f>
        <v>0.00308980882652332</v>
      </c>
      <c r="AU375" s="33" t="n">
        <f aca="false">IFERROR(Upgrades!$K$8*(POWER(Upgrades!$Q$6,E375)*POWER(Upgrades!$Q$7,F375)*POWER(Upgrades!$Q$8,G375)*POWER(Upgrades!$Q$9,H375)*POWER(Upgrades!$Q$10,I375)*POWER(Upgrades!$Q$11,J375)*POWER(Upgrades!$Q$12,K375))*(IF(Upgrades!$T$6="Stellar Coupling",POWER(Upgrades!$U$6,E375),1)*IF(Upgrades!$T$7="Stellar Coupling",POWER(Upgrades!$U$7,F375),1)*IF(Upgrades!$T$9="Stellar Coupling",POWER(Upgrades!$U$9,H375),1)*IF(Upgrades!$T$10="Stellar Coupling",POWER(Upgrades!$U$10,I375),1)*IF(Upgrades!$T$11="Stellar Coupling",POWER(Upgrades!$U$11,J375),1)*IF(Upgrades!$T$12="Stellar Coupling",POWER(Upgrades!$U$12,K375),1))*Parameters!$B$10*Parameters!$B$11/60/AI375,0)</f>
        <v>0.00452762415783776</v>
      </c>
      <c r="AV375" s="33" t="n">
        <f aca="false">IFERROR(Upgrades!$H$9*(POWER(Upgrades!$P$6,E375)*POWER(Upgrades!$P$7,F375)*POWER(Upgrades!$P$8,G375)*POWER(Upgrades!$P$9,H375)*POWER(Upgrades!$P$10,I375)*POWER(Upgrades!$P$11,J375)*POWER(Upgrades!$P$12,K375))*(IF(Upgrades!$T$6="Magnetosphere",POWER(Upgrades!$U$6,E375),1)*IF(Upgrades!$T$7="Magnetosphere",POWER(Upgrades!$U$7,F375),1)*IF(Upgrades!$T$8="Magnetosphere",POWER(Upgrades!$U$8,G375),1)*IF(Upgrades!$T$10="Magnetosphere",POWER(Upgrades!$U$10,I375),1)*IF(Upgrades!$T$11="Magnetosphere",POWER(Upgrades!$U$11,J375),1)*IF(Upgrades!$T$12="Magnetosphere",POWER(Upgrades!$U$12,K375),1))/AJ375,0)</f>
        <v>0</v>
      </c>
      <c r="AW375" s="33" t="n">
        <f aca="false">MAX(IF(I375&gt;0,0,IFERROR(0.25*N375/Upgrades!$C$10,0)),IF(J375&gt;0,0,IFERROR(0.5*((IF(G375=0,0,(Upgrades!$J$8+G375*Upgrades!$K$8)*POWER(Upgrades!$L$8,G375)))*(IF(Upgrades!$T$6="Stellar Coupling",POWER(Upgrades!$U$6,E375),1)*IF(Upgrades!$T$7="Stellar Coupling",POWER(Upgrades!$U$7,F375),1)*IF(Upgrades!$T$9="Stellar Coupling",POWER(Upgrades!$U$9,H375),1)*IF(Upgrades!$T$10="Stellar Coupling",POWER(Upgrades!$U$10,I375),1)*IF(Upgrades!$T$11="Stellar Coupling",POWER(Upgrades!$U$11,J375),1)*IF(Upgrades!$T$12="Stellar Coupling",POWER(Upgrades!$U$12,K375),1))*(POWER(Upgrades!$Q$6,E375)*POWER(Upgrades!$Q$7,F375)*POWER(Upgrades!$Q$8,G375)*POWER(Upgrades!$Q$9,H375)*POWER(Upgrades!$Q$10,I375)*POWER(Upgrades!$Q$11,J375)*POWER(Upgrades!$Q$12,K375))*Parameters!$B$10*Parameters!$B$11/60)/Upgrades!$C$11,0)),IF(K375&gt;0,0,IFERROR((1*(POWER(Upgrades!$P$6,E375)*POWER(Upgrades!$P$7,F375)*POWER(Upgrades!$P$8,G375)*POWER(Upgrades!$P$9,H375)*POWER(Upgrades!$P$10,I375)*POWER(Upgrades!$P$11,J375)*POWER(Upgrades!$P$12,K375))+0.2*M375*Parameters!$B$10*Parameters!$B$11/60)/Upgrades!$C$12,0)),IF(AND(ISNUMBER(AG375),AG375&gt;T375),AS375,0),IF(AND(ISNUMBER(AH375),AH375&gt;T375),AT375,0),IF(AND(ISNUMBER(AI375),AI375&gt;T375),AU375,0),IF(AND(ISNUMBER(AJ375),AJ375&gt;T375),AV375,0))</f>
        <v>0.00452762415783776</v>
      </c>
      <c r="AX375" s="29" t="str">
        <f aca="false">IF(AN375=1,"transition",IF(MIN(IF(AND(I375=0,ISNUMBER(AK375),AK375&lt;=T375),AK375,9000000000000000),IF(AND(J375=0,ISNUMBER(AL375),AL375&lt;=T375),AL375,9000000000000000),IF(AND(K375=0,ISNUMBER(AM375),AM375&lt;=T375),AM375,9000000000000000))&lt;9000000000000000,IF(AND(AND(I375=0,ISNUMBER(AK375),AK375&lt;=T375),AK375=MIN(IF(AND(I375=0,ISNUMBER(AK375),AK375&lt;=T375),AK375,9000000000000000),IF(AND(J375=0,ISNUMBER(AL375),AL375&lt;=T375),AL375,9000000000000000),IF(AND(K375=0,ISNUMBER(AM375),AM375&lt;=T375),AM375,9000000000000000))),"OR",IF(AND(AND(J375=0,ISNUMBER(AL375),AL375&lt;=T375),AL375=MIN(IF(AND(I375=0,ISNUMBER(AK375),AK375&lt;=T375),AK375,9000000000000000),IF(AND(J375=0,ISNUMBER(AL375),AL375&lt;=T375),AL375,9000000000000000),IF(AND(K375=0,ISNUMBER(AM375),AM375&lt;=T375),AM375,9000000000000000))),"HP","FP")),IF(AR375=TRUE(),"",IF(MAX(IF(AND(NOT(AND(AO375=1,AN375&lt;&gt;1)),ISNUMBER(AG375),AG375&lt;=T375),AS375,0),IF(AND(NOT(AND(AO375=1,AN375&lt;&gt;1)),ISNUMBER(AH375),AH375&lt;=T375),AT375,0),IF(AND(NOT(AND(AO375=1,AN375&lt;&gt;1)),ISNUMBER(AI375),AI375&lt;=T375),AU375,0),IF(AND(ISNUMBER(AJ375),AJ375&lt;=T375),AV375,0))&lt;=0,"",IF(AND(IF(AND(NOT(AND(AO375=1,AN375&lt;&gt;1)),ISNUMBER(AG375),AG375&lt;=T375),AS375,0)&gt;0,IF(AND(NOT(AND(AO375=1,AN375&lt;&gt;1)),ISNUMBER(AG375),AG375&lt;=T375),AS375,0)=MAX(IF(AND(NOT(AND(AO375=1,AN375&lt;&gt;1)),ISNUMBER(AG375),AG375&lt;=T375),AS375,0),IF(AND(NOT(AND(AO375=1,AN375&lt;&gt;1)),ISNUMBER(AH375),AH375&lt;=T375),AT375,0),IF(AND(NOT(AND(AO375=1,AN375&lt;&gt;1)),ISNUMBER(AI375),AI375&lt;=T375),AU375,0),IF(AND(ISNUMBER(AJ375),AJ375&lt;=T375),AV375,0))),"SW",IF(AND(IF(AND(NOT(AND(AO375=1,AN375&lt;&gt;1)),ISNUMBER(AH375),AH375&lt;=T375),AT375,0)&gt;0,IF(AND(NOT(AND(AO375=1,AN375&lt;&gt;1)),ISNUMBER(AH375),AH375&lt;=T375),AT375,0)=MAX(IF(AND(NOT(AND(AO375=1,AN375&lt;&gt;1)),ISNUMBER(AG375),AG375&lt;=T375),AS375,0),IF(AND(NOT(AND(AO375=1,AN375&lt;&gt;1)),ISNUMBER(AH375),AH375&lt;=T375),AT375,0),IF(AND(NOT(AND(AO375=1,AN375&lt;&gt;1)),ISNUMBER(AI375),AI375&lt;=T375),AU375,0),IF(AND(ISNUMBER(AJ375),AJ375&lt;=T375),AV375,0))),"AB",IF(AND(IF(AND(NOT(AND(AO375=1,AN375&lt;&gt;1)),ISNUMBER(AI375),AI375&lt;=T375),AU375,0)&gt;0,IF(AND(NOT(AND(AO375=1,AN375&lt;&gt;1)),ISNUMBER(AI375),AI375&lt;=T375),AU375,0)=MAX(IF(AND(NOT(AND(AO375=1,AN375&lt;&gt;1)),ISNUMBER(AG375),AG375&lt;=T375),AS375,0),IF(AND(NOT(AND(AO375=1,AN375&lt;&gt;1)),ISNUMBER(AH375),AH375&lt;=T375),AT375,0),IF(AND(NOT(AND(AO375=1,AN375&lt;&gt;1)),ISNUMBER(AI375),AI375&lt;=T375),AU375,0),IF(AND(ISNUMBER(AJ375),AJ375&lt;=T375),AV375,0))),"SC","Mag")))))))</f>
        <v/>
      </c>
    </row>
    <row r="376" customFormat="false" ht="15" hidden="false" customHeight="false" outlineLevel="0" collapsed="false">
      <c r="A376" s="26" t="n">
        <v>371</v>
      </c>
      <c r="B376" s="27" t="n">
        <f aca="false">A376*10/60</f>
        <v>61.8333333333333</v>
      </c>
      <c r="C376" s="21" t="n">
        <f aca="false">X375</f>
        <v>18.6730249835055</v>
      </c>
      <c r="D376" s="27" t="n">
        <f aca="false">D375+W375</f>
        <v>0</v>
      </c>
      <c r="E376" s="26" t="n">
        <f aca="false">E375+IF(U375="SW",1,0)</f>
        <v>12</v>
      </c>
      <c r="F376" s="26" t="n">
        <f aca="false">F375+IF(U375="AB",1,0)</f>
        <v>10</v>
      </c>
      <c r="G376" s="26" t="n">
        <f aca="false">G375+IF(U375="SC",1,0)</f>
        <v>7</v>
      </c>
      <c r="H376" s="26" t="n">
        <f aca="false">H375+IF(U375="Mag",1,0)</f>
        <v>5</v>
      </c>
      <c r="I376" s="26" t="n">
        <f aca="false">MAX(I375,IF(U375="OR",1,0))</f>
        <v>1</v>
      </c>
      <c r="J376" s="26" t="n">
        <f aca="false">MAX(J375,IF(U375="HP",1,0))</f>
        <v>1</v>
      </c>
      <c r="K376" s="26" t="n">
        <f aca="false">MAX(K375,IF(U375="FP",1,0))</f>
        <v>1</v>
      </c>
      <c r="L376" s="26" t="n">
        <f aca="false">MAX(L375,IF(U375="transition",1,0))</f>
        <v>1</v>
      </c>
      <c r="M376" s="28" t="n">
        <f aca="false">(Parameters!$B$9+(IF(E376=0,0,(Upgrades!$J$6+E376*Upgrades!$K$6)*POWER(Upgrades!$L$6,E376)))*(IF(Upgrades!$T$7="Solar Wind",POWER(Upgrades!$U$7,F376),1)*IF(Upgrades!$T$8="Solar Wind",POWER(Upgrades!$U$8,G376),1)*IF(Upgrades!$T$9="Solar Wind",POWER(Upgrades!$U$9,H376),1)*IF(Upgrades!$T$10="Solar Wind",POWER(Upgrades!$U$10,I376),1)*IF(Upgrades!$T$11="Solar Wind",POWER(Upgrades!$U$11,J376),1)*IF(Upgrades!$T$12="Solar Wind",POWER(Upgrades!$U$12,K376),1))+(IF(F376=0,0,(Upgrades!$J$7+F376*Upgrades!$K$7)*POWER(Upgrades!$L$7,F376)))*(IF(Upgrades!$T$6="Asteroid Belt",POWER(Upgrades!$U$6,E376),1)*IF(Upgrades!$T$8="Asteroid Belt",POWER(Upgrades!$U$8,G376),1)*IF(Upgrades!$T$9="Asteroid Belt",POWER(Upgrades!$U$9,H376),1)*IF(Upgrades!$T$10="Asteroid Belt",POWER(Upgrades!$U$10,I376),1)*IF(Upgrades!$T$11="Asteroid Belt",POWER(Upgrades!$U$11,J376),1)*IF(Upgrades!$T$12="Asteroid Belt",POWER(Upgrades!$U$12,K376),1))+(IF(G376=0,0,(Upgrades!$J$8+G376*Upgrades!$K$8)*POWER(Upgrades!$L$8,G376)))*(IF(Upgrades!$T$6="Stellar Coupling",POWER(Upgrades!$U$6,E376),1)*IF(Upgrades!$T$7="Stellar Coupling",POWER(Upgrades!$U$7,F376),1)*IF(Upgrades!$T$9="Stellar Coupling",POWER(Upgrades!$U$9,H376),1)*IF(Upgrades!$T$10="Stellar Coupling",POWER(Upgrades!$U$10,I376),1)*IF(Upgrades!$T$11="Stellar Coupling",POWER(Upgrades!$U$11,J376),1)*IF(Upgrades!$T$12="Stellar Coupling",POWER(Upgrades!$U$12,K376),1))+(IF(H376=0,0,(Upgrades!$J$9+H376*Upgrades!$K$9)*POWER(Upgrades!$L$9,H376)))*(IF(Upgrades!$T$6="Magnetosphere",POWER(Upgrades!$U$6,E376),1)*IF(Upgrades!$T$7="Magnetosphere",POWER(Upgrades!$U$7,F376),1)*IF(Upgrades!$T$8="Magnetosphere",POWER(Upgrades!$U$8,G376),1)*IF(Upgrades!$T$10="Magnetosphere",POWER(Upgrades!$U$10,I376),1)*IF(Upgrades!$T$11="Magnetosphere",POWER(Upgrades!$U$11,J376),1)*IF(Upgrades!$T$12="Magnetosphere",POWER(Upgrades!$U$12,K376),1))+(IF(I376=0,0,(Upgrades!$J$10+I376*Upgrades!$K$10)*POWER(Upgrades!$L$10,I376)))*(IF(Upgrades!$T$6="Orbital Resonance",POWER(Upgrades!$U$6,E376),1)*IF(Upgrades!$T$7="Orbital Resonance",POWER(Upgrades!$U$7,F376),1)*IF(Upgrades!$T$8="Orbital Resonance",POWER(Upgrades!$U$8,G376),1)*IF(Upgrades!$T$9="Orbital Resonance",POWER(Upgrades!$U$9,H376),1)*IF(Upgrades!$T$11="Orbital Resonance",POWER(Upgrades!$U$11,J376),1)*IF(Upgrades!$T$12="Orbital Resonance",POWER(Upgrades!$U$12,K376),1))+(IF(J376=0,0,(Upgrades!$J$11+J376*Upgrades!$K$11)*POWER(Upgrades!$L$11,J376)))*(IF(Upgrades!$T$6="Heliopause",POWER(Upgrades!$U$6,E376),1)*IF(Upgrades!$T$7="Heliopause",POWER(Upgrades!$U$7,F376),1)*IF(Upgrades!$T$8="Heliopause",POWER(Upgrades!$U$8,G376),1)*IF(Upgrades!$T$9="Heliopause",POWER(Upgrades!$U$9,H376),1)*IF(Upgrades!$T$10="Heliopause",POWER(Upgrades!$U$10,I376),1)*IF(Upgrades!$T$12="Heliopause",POWER(Upgrades!$U$12,K376),1))+(IF(K376=0,0,(Upgrades!$J$12+K376*Upgrades!$K$12)*POWER(Upgrades!$L$12,K376)))*(IF(Upgrades!$T$6="First Photons",POWER(Upgrades!$U$6,E376),1)*IF(Upgrades!$T$7="First Photons",POWER(Upgrades!$U$7,F376),1)*IF(Upgrades!$T$8="First Photons",POWER(Upgrades!$U$8,G376),1)*IF(Upgrades!$T$9="First Photons",POWER(Upgrades!$U$9,H376),1)*IF(Upgrades!$T$10="First Photons",POWER(Upgrades!$U$10,I376),1)*IF(Upgrades!$T$11="First Photons",POWER(Upgrades!$U$11,J376),1)))*POWER(Upgrades!$Q$6,E376)*POWER(Upgrades!$Q$7,F376)*POWER(Upgrades!$Q$8,G376)*POWER(Upgrades!$Q$9,H376)*POWER(Upgrades!$Q$10,I376)*POWER(Upgrades!$Q$11,J376)*POWER(Upgrades!$Q$12,K376)</f>
        <v>5.61</v>
      </c>
      <c r="N376" s="28" t="n">
        <f aca="false">((IF(E376=0,0,(Upgrades!$G$6+E376*Upgrades!$H$6)*POWER(Upgrades!$I$6,E376)))*(IF(Upgrades!$T$7="Solar Wind",POWER(Upgrades!$U$7,F376),1)*IF(Upgrades!$T$8="Solar Wind",POWER(Upgrades!$U$8,G376),1)*IF(Upgrades!$T$9="Solar Wind",POWER(Upgrades!$U$9,H376),1)*IF(Upgrades!$T$10="Solar Wind",POWER(Upgrades!$U$10,I376),1)*IF(Upgrades!$T$11="Solar Wind",POWER(Upgrades!$U$11,J376),1)*IF(Upgrades!$T$12="Solar Wind",POWER(Upgrades!$U$12,K376),1))+(IF(F376=0,0,(Upgrades!$G$7+F376*Upgrades!$H$7)*POWER(Upgrades!$I$7,F376)))*(IF(Upgrades!$T$6="Asteroid Belt",POWER(Upgrades!$U$6,E376),1)*IF(Upgrades!$T$8="Asteroid Belt",POWER(Upgrades!$U$8,G376),1)*IF(Upgrades!$T$9="Asteroid Belt",POWER(Upgrades!$U$9,H376),1)*IF(Upgrades!$T$10="Asteroid Belt",POWER(Upgrades!$U$10,I376),1)*IF(Upgrades!$T$11="Asteroid Belt",POWER(Upgrades!$U$11,J376),1)*IF(Upgrades!$T$12="Asteroid Belt",POWER(Upgrades!$U$12,K376),1))+(IF(G376=0,0,(Upgrades!$G$8+G376*Upgrades!$H$8)*POWER(Upgrades!$I$8,G376)))*(IF(Upgrades!$T$6="Stellar Coupling",POWER(Upgrades!$U$6,E376),1)*IF(Upgrades!$T$7="Stellar Coupling",POWER(Upgrades!$U$7,F376),1)*IF(Upgrades!$T$9="Stellar Coupling",POWER(Upgrades!$U$9,H376),1)*IF(Upgrades!$T$10="Stellar Coupling",POWER(Upgrades!$U$10,I376),1)*IF(Upgrades!$T$11="Stellar Coupling",POWER(Upgrades!$U$11,J376),1)*IF(Upgrades!$T$12="Stellar Coupling",POWER(Upgrades!$U$12,K376),1))+(IF(H376=0,0,(Upgrades!$G$9+H376*Upgrades!$H$9)*POWER(Upgrades!$I$9,H376)))*(IF(Upgrades!$T$6="Magnetosphere",POWER(Upgrades!$U$6,E376),1)*IF(Upgrades!$T$7="Magnetosphere",POWER(Upgrades!$U$7,F376),1)*IF(Upgrades!$T$8="Magnetosphere",POWER(Upgrades!$U$8,G376),1)*IF(Upgrades!$T$10="Magnetosphere",POWER(Upgrades!$U$10,I376),1)*IF(Upgrades!$T$11="Magnetosphere",POWER(Upgrades!$U$11,J376),1)*IF(Upgrades!$T$12="Magnetosphere",POWER(Upgrades!$U$12,K376),1))+(IF(I376=0,0,(Upgrades!$G$10+I376*Upgrades!$H$10)*POWER(Upgrades!$I$10,I376)))*(IF(Upgrades!$T$6="Orbital Resonance",POWER(Upgrades!$U$6,E376),1)*IF(Upgrades!$T$7="Orbital Resonance",POWER(Upgrades!$U$7,F376),1)*IF(Upgrades!$T$8="Orbital Resonance",POWER(Upgrades!$U$8,G376),1)*IF(Upgrades!$T$9="Orbital Resonance",POWER(Upgrades!$U$9,H376),1)*IF(Upgrades!$T$11="Orbital Resonance",POWER(Upgrades!$U$11,J376),1)*IF(Upgrades!$T$12="Orbital Resonance",POWER(Upgrades!$U$12,K376),1))+(IF(J376=0,0,(Upgrades!$G$11+J376*Upgrades!$H$11)*POWER(Upgrades!$I$11,J376)))*(IF(Upgrades!$T$6="Heliopause",POWER(Upgrades!$U$6,E376),1)*IF(Upgrades!$T$7="Heliopause",POWER(Upgrades!$U$7,F376),1)*IF(Upgrades!$T$8="Heliopause",POWER(Upgrades!$U$8,G376),1)*IF(Upgrades!$T$9="Heliopause",POWER(Upgrades!$U$9,H376),1)*IF(Upgrades!$T$10="Heliopause",POWER(Upgrades!$U$10,I376),1)*IF(Upgrades!$T$12="Heliopause",POWER(Upgrades!$U$12,K376),1))+(IF(K376=0,0,(Upgrades!$G$12+K376*Upgrades!$H$12)*POWER(Upgrades!$I$12,K376)))*(IF(Upgrades!$T$6="First Photons",POWER(Upgrades!$U$6,E376),1)*IF(Upgrades!$T$7="First Photons",POWER(Upgrades!$U$7,F376),1)*IF(Upgrades!$T$8="First Photons",POWER(Upgrades!$U$8,G376),1)*IF(Upgrades!$T$9="First Photons",POWER(Upgrades!$U$9,H376),1)*IF(Upgrades!$T$10="First Photons",POWER(Upgrades!$U$10,I376),1)*IF(Upgrades!$T$11="First Photons",POWER(Upgrades!$U$11,J376),1)))*POWER(Upgrades!$P$6,E376)*POWER(Upgrades!$P$7,F376)*POWER(Upgrades!$P$8,G376)*POWER(Upgrades!$P$9,H376)*POWER(Upgrades!$P$10,I376)*POWER(Upgrades!$P$11,J376)*POWER(Upgrades!$P$12,K376)</f>
        <v>11.2</v>
      </c>
      <c r="O376" s="28" t="n">
        <f aca="false">((IF(E376=0,0,(Upgrades!$M$6+E376*Upgrades!$N$6)*POWER(Upgrades!$O$6,E376)))*(IF(Upgrades!$T$7="Solar Wind",POWER(Upgrades!$U$7,F376),1)*IF(Upgrades!$T$8="Solar Wind",POWER(Upgrades!$U$8,G376),1)*IF(Upgrades!$T$9="Solar Wind",POWER(Upgrades!$U$9,H376),1)*IF(Upgrades!$T$10="Solar Wind",POWER(Upgrades!$U$10,I376),1)*IF(Upgrades!$T$11="Solar Wind",POWER(Upgrades!$U$11,J376),1)*IF(Upgrades!$T$12="Solar Wind",POWER(Upgrades!$U$12,K376),1))+(IF(F376=0,0,(Upgrades!$M$7+F376*Upgrades!$N$7)*POWER(Upgrades!$O$7,F376)))*(IF(Upgrades!$T$6="Asteroid Belt",POWER(Upgrades!$U$6,E376),1)*IF(Upgrades!$T$8="Asteroid Belt",POWER(Upgrades!$U$8,G376),1)*IF(Upgrades!$T$9="Asteroid Belt",POWER(Upgrades!$U$9,H376),1)*IF(Upgrades!$T$10="Asteroid Belt",POWER(Upgrades!$U$10,I376),1)*IF(Upgrades!$T$11="Asteroid Belt",POWER(Upgrades!$U$11,J376),1)*IF(Upgrades!$T$12="Asteroid Belt",POWER(Upgrades!$U$12,K376),1))+(IF(G376=0,0,(Upgrades!$M$8+G376*Upgrades!$N$8)*POWER(Upgrades!$O$8,G376)))*(IF(Upgrades!$T$6="Stellar Coupling",POWER(Upgrades!$U$6,E376),1)*IF(Upgrades!$T$7="Stellar Coupling",POWER(Upgrades!$U$7,F376),1)*IF(Upgrades!$T$9="Stellar Coupling",POWER(Upgrades!$U$9,H376),1)*IF(Upgrades!$T$10="Stellar Coupling",POWER(Upgrades!$U$10,I376),1)*IF(Upgrades!$T$11="Stellar Coupling",POWER(Upgrades!$U$11,J376),1)*IF(Upgrades!$T$12="Stellar Coupling",POWER(Upgrades!$U$12,K376),1))+(IF(H376=0,0,(Upgrades!$M$9+H376*Upgrades!$N$9)*POWER(Upgrades!$O$9,H376)))*(IF(Upgrades!$T$6="Magnetosphere",POWER(Upgrades!$U$6,E376),1)*IF(Upgrades!$T$7="Magnetosphere",POWER(Upgrades!$U$7,F376),1)*IF(Upgrades!$T$8="Magnetosphere",POWER(Upgrades!$U$8,G376),1)*IF(Upgrades!$T$10="Magnetosphere",POWER(Upgrades!$U$10,I376),1)*IF(Upgrades!$T$11="Magnetosphere",POWER(Upgrades!$U$11,J376),1)*IF(Upgrades!$T$12="Magnetosphere",POWER(Upgrades!$U$12,K376),1))+(IF(I376=0,0,(Upgrades!$M$10+I376*Upgrades!$N$10)*POWER(Upgrades!$O$10,I376)))*(IF(Upgrades!$T$6="Orbital Resonance",POWER(Upgrades!$U$6,E376),1)*IF(Upgrades!$T$7="Orbital Resonance",POWER(Upgrades!$U$7,F376),1)*IF(Upgrades!$T$8="Orbital Resonance",POWER(Upgrades!$U$8,G376),1)*IF(Upgrades!$T$9="Orbital Resonance",POWER(Upgrades!$U$9,H376),1)*IF(Upgrades!$T$11="Orbital Resonance",POWER(Upgrades!$U$11,J376),1)*IF(Upgrades!$T$12="Orbital Resonance",POWER(Upgrades!$U$12,K376),1))+(IF(J376=0,0,(Upgrades!$M$11+J376*Upgrades!$N$11)*POWER(Upgrades!$O$11,J376)))*(IF(Upgrades!$T$6="Heliopause",POWER(Upgrades!$U$6,E376),1)*IF(Upgrades!$T$7="Heliopause",POWER(Upgrades!$U$7,F376),1)*IF(Upgrades!$T$8="Heliopause",POWER(Upgrades!$U$8,G376),1)*IF(Upgrades!$T$9="Heliopause",POWER(Upgrades!$U$9,H376),1)*IF(Upgrades!$T$10="Heliopause",POWER(Upgrades!$U$10,I376),1)*IF(Upgrades!$T$12="Heliopause",POWER(Upgrades!$U$12,K376),1))+(IF(K376=0,0,(Upgrades!$M$12+K376*Upgrades!$N$12)*POWER(Upgrades!$O$12,K376)))*(IF(Upgrades!$T$6="First Photons",POWER(Upgrades!$U$6,E376),1)*IF(Upgrades!$T$7="First Photons",POWER(Upgrades!$U$7,F376),1)*IF(Upgrades!$T$8="First Photons",POWER(Upgrades!$U$8,G376),1)*IF(Upgrades!$T$9="First Photons",POWER(Upgrades!$U$9,H376),1)*IF(Upgrades!$T$10="First Photons",POWER(Upgrades!$U$10,I376),1)*IF(Upgrades!$T$11="First Photons",POWER(Upgrades!$U$11,J376),1)))*POWER(Upgrades!$R$6,E376)*POWER(Upgrades!$R$7,F376)*POWER(Upgrades!$R$8,G376)*POWER(Upgrades!$R$9,H376)*POWER(Upgrades!$R$10,I376)*POWER(Upgrades!$R$11,J376)*POWER(Upgrades!$R$12,K376)</f>
        <v>0</v>
      </c>
      <c r="P376" s="27" t="n">
        <f aca="false">IF(L376=1,0,M376*Parameters!$B$10/60*Parameters!$B$11*10)</f>
        <v>0</v>
      </c>
      <c r="Q376" s="27" t="n">
        <f aca="false">IF(L376=1,0,O376*M376*10)</f>
        <v>0</v>
      </c>
      <c r="R376" s="27" t="n">
        <f aca="false">IF(L376=1,0,N376*10)</f>
        <v>0</v>
      </c>
      <c r="S376" s="27" t="n">
        <f aca="false">P376+Q376+R376</f>
        <v>0</v>
      </c>
      <c r="T376" s="21" t="n">
        <f aca="false">C376+S376</f>
        <v>18.6730249835055</v>
      </c>
      <c r="U376" s="34" t="str">
        <f aca="false">AX376</f>
        <v/>
      </c>
      <c r="V376" s="21" t="n">
        <f aca="false">IF(U376="",0,IF(U376="transition",0,IF(U376="SW",AG376,IF(U376="AB",AH376,IF(U376="SC",AI376,IF(U376="Mag",AJ376,IF(U376="OR",AK376,IF(U376="HP",AL376,IF(U376="FP",AM376,0)))))))))</f>
        <v>0</v>
      </c>
      <c r="W376" s="27" t="n">
        <f aca="false">IF(U376="OR",Upgrades!$F$10,IF(U376="HP",Upgrades!$F$11,IF(U376="transition",-Parameters!$B$18,0)))</f>
        <v>0</v>
      </c>
      <c r="X376" s="21" t="n">
        <f aca="false">T376-V376</f>
        <v>18.6730249835055</v>
      </c>
      <c r="Y376" s="30" t="n">
        <f aca="false">M376*Parameters!$B$10/60*Parameters!$B$11+O376*M376+N376</f>
        <v>20.55</v>
      </c>
      <c r="Z376" s="35" t="str">
        <f aca="false">IF(U376="transition","→ Tier 2 (Stellar Neighborhood)",IF(U376="FP","First Photons — light begins, system quickens",IF(U376="HP","Heliopause acquired",IF(U376="OR","Orbital Resonance — passive multiplier active",IF(AND(AO376=1,L376=0,AN376&lt;&gt;1),"Cohesion ready (waiting on completionist upgrades)","")))))</f>
        <v/>
      </c>
      <c r="AA376" s="27" t="n">
        <f aca="false">(IF(E376=0,0,(Upgrades!$G$6+E376*Upgrades!$H$6)*POWER(Upgrades!$I$6,E376)))*(IF(Upgrades!$T$7="Solar Wind",POWER(Upgrades!$U$7,F376),1)*IF(Upgrades!$T$8="Solar Wind",POWER(Upgrades!$U$8,G376),1)*IF(Upgrades!$T$9="Solar Wind",POWER(Upgrades!$U$9,H376),1)*IF(Upgrades!$T$10="Solar Wind",POWER(Upgrades!$U$10,I376),1)*IF(Upgrades!$T$11="Solar Wind",POWER(Upgrades!$U$11,J376),1)*IF(Upgrades!$T$12="Solar Wind",POWER(Upgrades!$U$12,K376),1))*POWER(Upgrades!$P$6,E376)*POWER(Upgrades!$P$7,F376)*POWER(Upgrades!$P$8,G376)*POWER(Upgrades!$P$9,H376)*POWER(Upgrades!$P$10,I376)*POWER(Upgrades!$P$11,J376)*POWER(Upgrades!$P$12,K376)*60</f>
        <v>72</v>
      </c>
      <c r="AB376" s="27" t="n">
        <f aca="false">(IF(F376=0,0,(Upgrades!$G$7+F376*Upgrades!$H$7)*POWER(Upgrades!$I$7,F376)))*(IF(Upgrades!$T$6="Asteroid Belt",POWER(Upgrades!$U$6,E376),1)*IF(Upgrades!$T$8="Asteroid Belt",POWER(Upgrades!$U$8,G376),1)*IF(Upgrades!$T$9="Asteroid Belt",POWER(Upgrades!$U$9,H376),1)*IF(Upgrades!$T$10="Asteroid Belt",POWER(Upgrades!$U$10,I376),1)*IF(Upgrades!$T$11="Asteroid Belt",POWER(Upgrades!$U$11,J376),1)*IF(Upgrades!$T$12="Asteroid Belt",POWER(Upgrades!$U$12,K376),1))*POWER(Upgrades!$P$6,E376)*POWER(Upgrades!$P$7,F376)*POWER(Upgrades!$P$8,G376)*POWER(Upgrades!$P$9,H376)*POWER(Upgrades!$P$10,I376)*POWER(Upgrades!$P$11,J376)*POWER(Upgrades!$P$12,K376)*60</f>
        <v>150</v>
      </c>
      <c r="AC376" s="27" t="n">
        <f aca="false">(IF(G376=0,0,(Upgrades!$J$8+G376*Upgrades!$K$8)*POWER(Upgrades!$L$8,G376)))*(IF(Upgrades!$T$6="Stellar Coupling",POWER(Upgrades!$U$6,E376),1)*IF(Upgrades!$T$7="Stellar Coupling",POWER(Upgrades!$U$7,F376),1)*IF(Upgrades!$T$9="Stellar Coupling",POWER(Upgrades!$U$9,H376),1)*IF(Upgrades!$T$10="Stellar Coupling",POWER(Upgrades!$U$10,I376),1)*IF(Upgrades!$T$11="Stellar Coupling",POWER(Upgrades!$U$11,J376),1)*IF(Upgrades!$T$12="Stellar Coupling",POWER(Upgrades!$U$12,K376),1))*POWER(Upgrades!$Q$6,E376)*POWER(Upgrades!$Q$7,F376)*POWER(Upgrades!$Q$8,G376)*POWER(Upgrades!$Q$9,H376)*POWER(Upgrades!$Q$10,I376)*POWER(Upgrades!$Q$11,J376)*POWER(Upgrades!$Q$12,K376)*Parameters!$B$10*Parameters!$B$11</f>
        <v>441</v>
      </c>
      <c r="AD376" s="27" t="n">
        <f aca="false">(IF(H376=0,0,(Upgrades!$G$9+H376*Upgrades!$H$9)*POWER(Upgrades!$I$9,H376)))*(IF(Upgrades!$T$6="Magnetosphere",POWER(Upgrades!$U$6,E376),1)*IF(Upgrades!$T$7="Magnetosphere",POWER(Upgrades!$U$7,F376),1)*IF(Upgrades!$T$8="Magnetosphere",POWER(Upgrades!$U$8,G376),1)*IF(Upgrades!$T$10="Magnetosphere",POWER(Upgrades!$U$10,I376),1)*IF(Upgrades!$T$11="Magnetosphere",POWER(Upgrades!$U$11,J376),1)*IF(Upgrades!$T$12="Magnetosphere",POWER(Upgrades!$U$12,K376),1))*POWER(Upgrades!$P$6,E376)*POWER(Upgrades!$P$7,F376)*POWER(Upgrades!$P$8,G376)*POWER(Upgrades!$P$9,H376)*POWER(Upgrades!$P$10,I376)*POWER(Upgrades!$P$11,J376)*POWER(Upgrades!$P$12,K376)*60</f>
        <v>375</v>
      </c>
      <c r="AE376" s="27" t="n">
        <f aca="false">(IF(K376=0,0,(Upgrades!$G$12+K376*Upgrades!$H$12)*POWER(Upgrades!$I$12,K376)))*(IF(Upgrades!$T$6="First Photons",POWER(Upgrades!$U$6,E376),1)*IF(Upgrades!$T$7="First Photons",POWER(Upgrades!$U$7,F376),1)*IF(Upgrades!$T$8="First Photons",POWER(Upgrades!$U$8,G376),1)*IF(Upgrades!$T$9="First Photons",POWER(Upgrades!$U$9,H376),1)*IF(Upgrades!$T$10="First Photons",POWER(Upgrades!$U$10,I376),1)*IF(Upgrades!$T$11="First Photons",POWER(Upgrades!$U$11,J376),1))*POWER(Upgrades!$P$6,E376)*POWER(Upgrades!$P$7,F376)*POWER(Upgrades!$P$8,G376)*POWER(Upgrades!$P$9,H376)*POWER(Upgrades!$P$10,I376)*POWER(Upgrades!$P$11,J376)*POWER(Upgrades!$P$12,K376)*60</f>
        <v>75</v>
      </c>
      <c r="AF376" s="27" t="n">
        <f aca="false">Parameters!$B$9*POWER(Upgrades!$Q$6,E376)*POWER(Upgrades!$Q$7,F376)*POWER(Upgrades!$Q$8,G376)*POWER(Upgrades!$Q$9,H376)*POWER(Upgrades!$Q$10,I376)*POWER(Upgrades!$Q$11,J376)*POWER(Upgrades!$Q$12,K376)*(Parameters!$B$10*Parameters!$B$11+O376*60)</f>
        <v>120</v>
      </c>
      <c r="AG376" s="21" t="n">
        <f aca="false">IF(E376&gt;=Upgrades!$E$6,"",Upgrades!$C$6*POWER(Upgrades!$D$6,E376))</f>
        <v>37.4517507383159</v>
      </c>
      <c r="AH376" s="21" t="n">
        <f aca="false">IF(F376&gt;=Upgrades!$E$7,"",Upgrades!$C$7*POWER(Upgrades!$D$7,F376))</f>
        <v>80.9111547141581</v>
      </c>
      <c r="AI376" s="21" t="n">
        <f aca="false">IF(G376&gt;=Upgrades!$E$8,"",Upgrades!$C$8*POWER(Upgrades!$D$8,G376))</f>
        <v>231.9097088</v>
      </c>
      <c r="AJ376" s="21" t="str">
        <f aca="false">IF(H376&gt;=Upgrades!$E$9,"",Upgrades!$C$9*POWER(Upgrades!$D$9,H376))</f>
        <v/>
      </c>
      <c r="AK376" s="21" t="str">
        <f aca="false">IF(I376&gt;=Upgrades!$E$10,"",Upgrades!$C$10*POWER(Upgrades!$D$10,I376))</f>
        <v/>
      </c>
      <c r="AL376" s="21" t="str">
        <f aca="false">IF(J376&gt;=Upgrades!$E$11,"",Upgrades!$C$11*POWER(Upgrades!$D$11,J376))</f>
        <v/>
      </c>
      <c r="AM376" s="21" t="str">
        <f aca="false">IF(K376&gt;=Upgrades!$E$12,"",Upgrades!$C$12*POWER(Upgrades!$D$12,K376))</f>
        <v/>
      </c>
      <c r="AN376" s="26" t="str">
        <f aca="false">IF(AND(D376&gt;=Parameters!$B$18,(H376&gt;=Upgrades!$E$9)*(K376&gt;=Upgrades!$E$12)=1,L376=0),1,"")</f>
        <v/>
      </c>
      <c r="AO376" s="26" t="str">
        <f aca="false">IF(AND(D376&gt;=Parameters!$B$18,L376=0),1,"")</f>
        <v/>
      </c>
      <c r="AP376" s="21" t="n">
        <f aca="false">MIN(IF(ISNUMBER(AK376),AK376,9000000000000000),IF(ISNUMBER(AL376),AL376,9000000000000000),IF(ISNUMBER(AM376),AM376,9000000000000000))</f>
        <v>9000000000000000</v>
      </c>
      <c r="AQ376" s="21" t="n">
        <f aca="false">MIN(IF(ISNUMBER(AG376),AG376,9000000000000000),IF(ISNUMBER(AH376),AH376,9000000000000000),IF(ISNUMBER(AI376),AI376,9000000000000000),IF(ISNUMBER(AJ376),AJ376,9000000000000000))</f>
        <v>37.4517507383159</v>
      </c>
      <c r="AR376" s="32" t="b">
        <f aca="false">IF(AW376&gt;Parameters!$B$21*(MAX(IF(AND(NOT(AND(AO376=1,AN376&lt;&gt;1)),ISNUMBER(AG376),AG376&lt;=T376),AS376,0),IF(AND(NOT(AND(AO376=1,AN376&lt;&gt;1)),ISNUMBER(AH376),AH376&lt;=T376),AT376,0),IF(AND(NOT(AND(AO376=1,AN376&lt;&gt;1)),ISNUMBER(AI376),AI376&lt;=T376),AU376,0),IF(AND(ISNUMBER(AJ376),AJ376&lt;=T376),AV376,0))),TRUE(),FALSE())</f>
        <v>1</v>
      </c>
      <c r="AS376" s="33" t="n">
        <f aca="false">IFERROR(Upgrades!$H$6*(POWER(Upgrades!$P$6,E376)*POWER(Upgrades!$P$7,F376)*POWER(Upgrades!$P$8,G376)*POWER(Upgrades!$P$9,H376)*POWER(Upgrades!$P$10,I376)*POWER(Upgrades!$P$11,J376)*POWER(Upgrades!$P$12,K376))*(IF(Upgrades!$T$7="Solar Wind",POWER(Upgrades!$U$7,F376),1)*IF(Upgrades!$T$8="Solar Wind",POWER(Upgrades!$U$8,G376),1)*IF(Upgrades!$T$9="Solar Wind",POWER(Upgrades!$U$9,H376),1)*IF(Upgrades!$T$10="Solar Wind",POWER(Upgrades!$U$10,I376),1)*IF(Upgrades!$T$11="Solar Wind",POWER(Upgrades!$U$11,J376),1)*IF(Upgrades!$T$12="Solar Wind",POWER(Upgrades!$U$12,K376),1))/AG376,0)</f>
        <v>0.0026701021455238</v>
      </c>
      <c r="AT376" s="33" t="n">
        <f aca="false">IFERROR(Upgrades!$H$7*(POWER(Upgrades!$P$6,E376)*POWER(Upgrades!$P$7,F376)*POWER(Upgrades!$P$8,G376)*POWER(Upgrades!$P$9,H376)*POWER(Upgrades!$P$10,I376)*POWER(Upgrades!$P$11,J376)*POWER(Upgrades!$P$12,K376))*(IF(Upgrades!$T$6="Asteroid Belt",POWER(Upgrades!$U$6,E376),1)*IF(Upgrades!$T$8="Asteroid Belt",POWER(Upgrades!$U$8,G376),1)*IF(Upgrades!$T$9="Asteroid Belt",POWER(Upgrades!$U$9,H376),1)*IF(Upgrades!$T$10="Asteroid Belt",POWER(Upgrades!$U$10,I376),1)*IF(Upgrades!$T$11="Asteroid Belt",POWER(Upgrades!$U$11,J376),1)*IF(Upgrades!$T$12="Asteroid Belt",POWER(Upgrades!$U$12,K376),1))/AH376,0)</f>
        <v>0.00308980882652332</v>
      </c>
      <c r="AU376" s="33" t="n">
        <f aca="false">IFERROR(Upgrades!$K$8*(POWER(Upgrades!$Q$6,E376)*POWER(Upgrades!$Q$7,F376)*POWER(Upgrades!$Q$8,G376)*POWER(Upgrades!$Q$9,H376)*POWER(Upgrades!$Q$10,I376)*POWER(Upgrades!$Q$11,J376)*POWER(Upgrades!$Q$12,K376))*(IF(Upgrades!$T$6="Stellar Coupling",POWER(Upgrades!$U$6,E376),1)*IF(Upgrades!$T$7="Stellar Coupling",POWER(Upgrades!$U$7,F376),1)*IF(Upgrades!$T$9="Stellar Coupling",POWER(Upgrades!$U$9,H376),1)*IF(Upgrades!$T$10="Stellar Coupling",POWER(Upgrades!$U$10,I376),1)*IF(Upgrades!$T$11="Stellar Coupling",POWER(Upgrades!$U$11,J376),1)*IF(Upgrades!$T$12="Stellar Coupling",POWER(Upgrades!$U$12,K376),1))*Parameters!$B$10*Parameters!$B$11/60/AI376,0)</f>
        <v>0.00452762415783776</v>
      </c>
      <c r="AV376" s="33" t="n">
        <f aca="false">IFERROR(Upgrades!$H$9*(POWER(Upgrades!$P$6,E376)*POWER(Upgrades!$P$7,F376)*POWER(Upgrades!$P$8,G376)*POWER(Upgrades!$P$9,H376)*POWER(Upgrades!$P$10,I376)*POWER(Upgrades!$P$11,J376)*POWER(Upgrades!$P$12,K376))*(IF(Upgrades!$T$6="Magnetosphere",POWER(Upgrades!$U$6,E376),1)*IF(Upgrades!$T$7="Magnetosphere",POWER(Upgrades!$U$7,F376),1)*IF(Upgrades!$T$8="Magnetosphere",POWER(Upgrades!$U$8,G376),1)*IF(Upgrades!$T$10="Magnetosphere",POWER(Upgrades!$U$10,I376),1)*IF(Upgrades!$T$11="Magnetosphere",POWER(Upgrades!$U$11,J376),1)*IF(Upgrades!$T$12="Magnetosphere",POWER(Upgrades!$U$12,K376),1))/AJ376,0)</f>
        <v>0</v>
      </c>
      <c r="AW376" s="33" t="n">
        <f aca="false">MAX(IF(I376&gt;0,0,IFERROR(0.25*N376/Upgrades!$C$10,0)),IF(J376&gt;0,0,IFERROR(0.5*((IF(G376=0,0,(Upgrades!$J$8+G376*Upgrades!$K$8)*POWER(Upgrades!$L$8,G376)))*(IF(Upgrades!$T$6="Stellar Coupling",POWER(Upgrades!$U$6,E376),1)*IF(Upgrades!$T$7="Stellar Coupling",POWER(Upgrades!$U$7,F376),1)*IF(Upgrades!$T$9="Stellar Coupling",POWER(Upgrades!$U$9,H376),1)*IF(Upgrades!$T$10="Stellar Coupling",POWER(Upgrades!$U$10,I376),1)*IF(Upgrades!$T$11="Stellar Coupling",POWER(Upgrades!$U$11,J376),1)*IF(Upgrades!$T$12="Stellar Coupling",POWER(Upgrades!$U$12,K376),1))*(POWER(Upgrades!$Q$6,E376)*POWER(Upgrades!$Q$7,F376)*POWER(Upgrades!$Q$8,G376)*POWER(Upgrades!$Q$9,H376)*POWER(Upgrades!$Q$10,I376)*POWER(Upgrades!$Q$11,J376)*POWER(Upgrades!$Q$12,K376))*Parameters!$B$10*Parameters!$B$11/60)/Upgrades!$C$11,0)),IF(K376&gt;0,0,IFERROR((1*(POWER(Upgrades!$P$6,E376)*POWER(Upgrades!$P$7,F376)*POWER(Upgrades!$P$8,G376)*POWER(Upgrades!$P$9,H376)*POWER(Upgrades!$P$10,I376)*POWER(Upgrades!$P$11,J376)*POWER(Upgrades!$P$12,K376))+0.2*M376*Parameters!$B$10*Parameters!$B$11/60)/Upgrades!$C$12,0)),IF(AND(ISNUMBER(AG376),AG376&gt;T376),AS376,0),IF(AND(ISNUMBER(AH376),AH376&gt;T376),AT376,0),IF(AND(ISNUMBER(AI376),AI376&gt;T376),AU376,0),IF(AND(ISNUMBER(AJ376),AJ376&gt;T376),AV376,0))</f>
        <v>0.00452762415783776</v>
      </c>
      <c r="AX376" s="29" t="str">
        <f aca="false">IF(AN376=1,"transition",IF(MIN(IF(AND(I376=0,ISNUMBER(AK376),AK376&lt;=T376),AK376,9000000000000000),IF(AND(J376=0,ISNUMBER(AL376),AL376&lt;=T376),AL376,9000000000000000),IF(AND(K376=0,ISNUMBER(AM376),AM376&lt;=T376),AM376,9000000000000000))&lt;9000000000000000,IF(AND(AND(I376=0,ISNUMBER(AK376),AK376&lt;=T376),AK376=MIN(IF(AND(I376=0,ISNUMBER(AK376),AK376&lt;=T376),AK376,9000000000000000),IF(AND(J376=0,ISNUMBER(AL376),AL376&lt;=T376),AL376,9000000000000000),IF(AND(K376=0,ISNUMBER(AM376),AM376&lt;=T376),AM376,9000000000000000))),"OR",IF(AND(AND(J376=0,ISNUMBER(AL376),AL376&lt;=T376),AL376=MIN(IF(AND(I376=0,ISNUMBER(AK376),AK376&lt;=T376),AK376,9000000000000000),IF(AND(J376=0,ISNUMBER(AL376),AL376&lt;=T376),AL376,9000000000000000),IF(AND(K376=0,ISNUMBER(AM376),AM376&lt;=T376),AM376,9000000000000000))),"HP","FP")),IF(AR376=TRUE(),"",IF(MAX(IF(AND(NOT(AND(AO376=1,AN376&lt;&gt;1)),ISNUMBER(AG376),AG376&lt;=T376),AS376,0),IF(AND(NOT(AND(AO376=1,AN376&lt;&gt;1)),ISNUMBER(AH376),AH376&lt;=T376),AT376,0),IF(AND(NOT(AND(AO376=1,AN376&lt;&gt;1)),ISNUMBER(AI376),AI376&lt;=T376),AU376,0),IF(AND(ISNUMBER(AJ376),AJ376&lt;=T376),AV376,0))&lt;=0,"",IF(AND(IF(AND(NOT(AND(AO376=1,AN376&lt;&gt;1)),ISNUMBER(AG376),AG376&lt;=T376),AS376,0)&gt;0,IF(AND(NOT(AND(AO376=1,AN376&lt;&gt;1)),ISNUMBER(AG376),AG376&lt;=T376),AS376,0)=MAX(IF(AND(NOT(AND(AO376=1,AN376&lt;&gt;1)),ISNUMBER(AG376),AG376&lt;=T376),AS376,0),IF(AND(NOT(AND(AO376=1,AN376&lt;&gt;1)),ISNUMBER(AH376),AH376&lt;=T376),AT376,0),IF(AND(NOT(AND(AO376=1,AN376&lt;&gt;1)),ISNUMBER(AI376),AI376&lt;=T376),AU376,0),IF(AND(ISNUMBER(AJ376),AJ376&lt;=T376),AV376,0))),"SW",IF(AND(IF(AND(NOT(AND(AO376=1,AN376&lt;&gt;1)),ISNUMBER(AH376),AH376&lt;=T376),AT376,0)&gt;0,IF(AND(NOT(AND(AO376=1,AN376&lt;&gt;1)),ISNUMBER(AH376),AH376&lt;=T376),AT376,0)=MAX(IF(AND(NOT(AND(AO376=1,AN376&lt;&gt;1)),ISNUMBER(AG376),AG376&lt;=T376),AS376,0),IF(AND(NOT(AND(AO376=1,AN376&lt;&gt;1)),ISNUMBER(AH376),AH376&lt;=T376),AT376,0),IF(AND(NOT(AND(AO376=1,AN376&lt;&gt;1)),ISNUMBER(AI376),AI376&lt;=T376),AU376,0),IF(AND(ISNUMBER(AJ376),AJ376&lt;=T376),AV376,0))),"AB",IF(AND(IF(AND(NOT(AND(AO376=1,AN376&lt;&gt;1)),ISNUMBER(AI376),AI376&lt;=T376),AU376,0)&gt;0,IF(AND(NOT(AND(AO376=1,AN376&lt;&gt;1)),ISNUMBER(AI376),AI376&lt;=T376),AU376,0)=MAX(IF(AND(NOT(AND(AO376=1,AN376&lt;&gt;1)),ISNUMBER(AG376),AG376&lt;=T376),AS376,0),IF(AND(NOT(AND(AO376=1,AN376&lt;&gt;1)),ISNUMBER(AH376),AH376&lt;=T376),AT376,0),IF(AND(NOT(AND(AO376=1,AN376&lt;&gt;1)),ISNUMBER(AI376),AI376&lt;=T376),AU376,0),IF(AND(ISNUMBER(AJ376),AJ376&lt;=T376),AV376,0))),"SC","Mag")))))))</f>
        <v/>
      </c>
    </row>
    <row r="377" customFormat="false" ht="15" hidden="false" customHeight="false" outlineLevel="0" collapsed="false">
      <c r="A377" s="26" t="n">
        <v>372</v>
      </c>
      <c r="B377" s="27" t="n">
        <f aca="false">A377*10/60</f>
        <v>62</v>
      </c>
      <c r="C377" s="21" t="n">
        <f aca="false">X376</f>
        <v>18.6730249835055</v>
      </c>
      <c r="D377" s="27" t="n">
        <f aca="false">D376+W376</f>
        <v>0</v>
      </c>
      <c r="E377" s="26" t="n">
        <f aca="false">E376+IF(U376="SW",1,0)</f>
        <v>12</v>
      </c>
      <c r="F377" s="26" t="n">
        <f aca="false">F376+IF(U376="AB",1,0)</f>
        <v>10</v>
      </c>
      <c r="G377" s="26" t="n">
        <f aca="false">G376+IF(U376="SC",1,0)</f>
        <v>7</v>
      </c>
      <c r="H377" s="26" t="n">
        <f aca="false">H376+IF(U376="Mag",1,0)</f>
        <v>5</v>
      </c>
      <c r="I377" s="26" t="n">
        <f aca="false">MAX(I376,IF(U376="OR",1,0))</f>
        <v>1</v>
      </c>
      <c r="J377" s="26" t="n">
        <f aca="false">MAX(J376,IF(U376="HP",1,0))</f>
        <v>1</v>
      </c>
      <c r="K377" s="26" t="n">
        <f aca="false">MAX(K376,IF(U376="FP",1,0))</f>
        <v>1</v>
      </c>
      <c r="L377" s="26" t="n">
        <f aca="false">MAX(L376,IF(U376="transition",1,0))</f>
        <v>1</v>
      </c>
      <c r="M377" s="28" t="n">
        <f aca="false">(Parameters!$B$9+(IF(E377=0,0,(Upgrades!$J$6+E377*Upgrades!$K$6)*POWER(Upgrades!$L$6,E377)))*(IF(Upgrades!$T$7="Solar Wind",POWER(Upgrades!$U$7,F377),1)*IF(Upgrades!$T$8="Solar Wind",POWER(Upgrades!$U$8,G377),1)*IF(Upgrades!$T$9="Solar Wind",POWER(Upgrades!$U$9,H377),1)*IF(Upgrades!$T$10="Solar Wind",POWER(Upgrades!$U$10,I377),1)*IF(Upgrades!$T$11="Solar Wind",POWER(Upgrades!$U$11,J377),1)*IF(Upgrades!$T$12="Solar Wind",POWER(Upgrades!$U$12,K377),1))+(IF(F377=0,0,(Upgrades!$J$7+F377*Upgrades!$K$7)*POWER(Upgrades!$L$7,F377)))*(IF(Upgrades!$T$6="Asteroid Belt",POWER(Upgrades!$U$6,E377),1)*IF(Upgrades!$T$8="Asteroid Belt",POWER(Upgrades!$U$8,G377),1)*IF(Upgrades!$T$9="Asteroid Belt",POWER(Upgrades!$U$9,H377),1)*IF(Upgrades!$T$10="Asteroid Belt",POWER(Upgrades!$U$10,I377),1)*IF(Upgrades!$T$11="Asteroid Belt",POWER(Upgrades!$U$11,J377),1)*IF(Upgrades!$T$12="Asteroid Belt",POWER(Upgrades!$U$12,K377),1))+(IF(G377=0,0,(Upgrades!$J$8+G377*Upgrades!$K$8)*POWER(Upgrades!$L$8,G377)))*(IF(Upgrades!$T$6="Stellar Coupling",POWER(Upgrades!$U$6,E377),1)*IF(Upgrades!$T$7="Stellar Coupling",POWER(Upgrades!$U$7,F377),1)*IF(Upgrades!$T$9="Stellar Coupling",POWER(Upgrades!$U$9,H377),1)*IF(Upgrades!$T$10="Stellar Coupling",POWER(Upgrades!$U$10,I377),1)*IF(Upgrades!$T$11="Stellar Coupling",POWER(Upgrades!$U$11,J377),1)*IF(Upgrades!$T$12="Stellar Coupling",POWER(Upgrades!$U$12,K377),1))+(IF(H377=0,0,(Upgrades!$J$9+H377*Upgrades!$K$9)*POWER(Upgrades!$L$9,H377)))*(IF(Upgrades!$T$6="Magnetosphere",POWER(Upgrades!$U$6,E377),1)*IF(Upgrades!$T$7="Magnetosphere",POWER(Upgrades!$U$7,F377),1)*IF(Upgrades!$T$8="Magnetosphere",POWER(Upgrades!$U$8,G377),1)*IF(Upgrades!$T$10="Magnetosphere",POWER(Upgrades!$U$10,I377),1)*IF(Upgrades!$T$11="Magnetosphere",POWER(Upgrades!$U$11,J377),1)*IF(Upgrades!$T$12="Magnetosphere",POWER(Upgrades!$U$12,K377),1))+(IF(I377=0,0,(Upgrades!$J$10+I377*Upgrades!$K$10)*POWER(Upgrades!$L$10,I377)))*(IF(Upgrades!$T$6="Orbital Resonance",POWER(Upgrades!$U$6,E377),1)*IF(Upgrades!$T$7="Orbital Resonance",POWER(Upgrades!$U$7,F377),1)*IF(Upgrades!$T$8="Orbital Resonance",POWER(Upgrades!$U$8,G377),1)*IF(Upgrades!$T$9="Orbital Resonance",POWER(Upgrades!$U$9,H377),1)*IF(Upgrades!$T$11="Orbital Resonance",POWER(Upgrades!$U$11,J377),1)*IF(Upgrades!$T$12="Orbital Resonance",POWER(Upgrades!$U$12,K377),1))+(IF(J377=0,0,(Upgrades!$J$11+J377*Upgrades!$K$11)*POWER(Upgrades!$L$11,J377)))*(IF(Upgrades!$T$6="Heliopause",POWER(Upgrades!$U$6,E377),1)*IF(Upgrades!$T$7="Heliopause",POWER(Upgrades!$U$7,F377),1)*IF(Upgrades!$T$8="Heliopause",POWER(Upgrades!$U$8,G377),1)*IF(Upgrades!$T$9="Heliopause",POWER(Upgrades!$U$9,H377),1)*IF(Upgrades!$T$10="Heliopause",POWER(Upgrades!$U$10,I377),1)*IF(Upgrades!$T$12="Heliopause",POWER(Upgrades!$U$12,K377),1))+(IF(K377=0,0,(Upgrades!$J$12+K377*Upgrades!$K$12)*POWER(Upgrades!$L$12,K377)))*(IF(Upgrades!$T$6="First Photons",POWER(Upgrades!$U$6,E377),1)*IF(Upgrades!$T$7="First Photons",POWER(Upgrades!$U$7,F377),1)*IF(Upgrades!$T$8="First Photons",POWER(Upgrades!$U$8,G377),1)*IF(Upgrades!$T$9="First Photons",POWER(Upgrades!$U$9,H377),1)*IF(Upgrades!$T$10="First Photons",POWER(Upgrades!$U$10,I377),1)*IF(Upgrades!$T$11="First Photons",POWER(Upgrades!$U$11,J377),1)))*POWER(Upgrades!$Q$6,E377)*POWER(Upgrades!$Q$7,F377)*POWER(Upgrades!$Q$8,G377)*POWER(Upgrades!$Q$9,H377)*POWER(Upgrades!$Q$10,I377)*POWER(Upgrades!$Q$11,J377)*POWER(Upgrades!$Q$12,K377)</f>
        <v>5.61</v>
      </c>
      <c r="N377" s="28" t="n">
        <f aca="false">((IF(E377=0,0,(Upgrades!$G$6+E377*Upgrades!$H$6)*POWER(Upgrades!$I$6,E377)))*(IF(Upgrades!$T$7="Solar Wind",POWER(Upgrades!$U$7,F377),1)*IF(Upgrades!$T$8="Solar Wind",POWER(Upgrades!$U$8,G377),1)*IF(Upgrades!$T$9="Solar Wind",POWER(Upgrades!$U$9,H377),1)*IF(Upgrades!$T$10="Solar Wind",POWER(Upgrades!$U$10,I377),1)*IF(Upgrades!$T$11="Solar Wind",POWER(Upgrades!$U$11,J377),1)*IF(Upgrades!$T$12="Solar Wind",POWER(Upgrades!$U$12,K377),1))+(IF(F377=0,0,(Upgrades!$G$7+F377*Upgrades!$H$7)*POWER(Upgrades!$I$7,F377)))*(IF(Upgrades!$T$6="Asteroid Belt",POWER(Upgrades!$U$6,E377),1)*IF(Upgrades!$T$8="Asteroid Belt",POWER(Upgrades!$U$8,G377),1)*IF(Upgrades!$T$9="Asteroid Belt",POWER(Upgrades!$U$9,H377),1)*IF(Upgrades!$T$10="Asteroid Belt",POWER(Upgrades!$U$10,I377),1)*IF(Upgrades!$T$11="Asteroid Belt",POWER(Upgrades!$U$11,J377),1)*IF(Upgrades!$T$12="Asteroid Belt",POWER(Upgrades!$U$12,K377),1))+(IF(G377=0,0,(Upgrades!$G$8+G377*Upgrades!$H$8)*POWER(Upgrades!$I$8,G377)))*(IF(Upgrades!$T$6="Stellar Coupling",POWER(Upgrades!$U$6,E377),1)*IF(Upgrades!$T$7="Stellar Coupling",POWER(Upgrades!$U$7,F377),1)*IF(Upgrades!$T$9="Stellar Coupling",POWER(Upgrades!$U$9,H377),1)*IF(Upgrades!$T$10="Stellar Coupling",POWER(Upgrades!$U$10,I377),1)*IF(Upgrades!$T$11="Stellar Coupling",POWER(Upgrades!$U$11,J377),1)*IF(Upgrades!$T$12="Stellar Coupling",POWER(Upgrades!$U$12,K377),1))+(IF(H377=0,0,(Upgrades!$G$9+H377*Upgrades!$H$9)*POWER(Upgrades!$I$9,H377)))*(IF(Upgrades!$T$6="Magnetosphere",POWER(Upgrades!$U$6,E377),1)*IF(Upgrades!$T$7="Magnetosphere",POWER(Upgrades!$U$7,F377),1)*IF(Upgrades!$T$8="Magnetosphere",POWER(Upgrades!$U$8,G377),1)*IF(Upgrades!$T$10="Magnetosphere",POWER(Upgrades!$U$10,I377),1)*IF(Upgrades!$T$11="Magnetosphere",POWER(Upgrades!$U$11,J377),1)*IF(Upgrades!$T$12="Magnetosphere",POWER(Upgrades!$U$12,K377),1))+(IF(I377=0,0,(Upgrades!$G$10+I377*Upgrades!$H$10)*POWER(Upgrades!$I$10,I377)))*(IF(Upgrades!$T$6="Orbital Resonance",POWER(Upgrades!$U$6,E377),1)*IF(Upgrades!$T$7="Orbital Resonance",POWER(Upgrades!$U$7,F377),1)*IF(Upgrades!$T$8="Orbital Resonance",POWER(Upgrades!$U$8,G377),1)*IF(Upgrades!$T$9="Orbital Resonance",POWER(Upgrades!$U$9,H377),1)*IF(Upgrades!$T$11="Orbital Resonance",POWER(Upgrades!$U$11,J377),1)*IF(Upgrades!$T$12="Orbital Resonance",POWER(Upgrades!$U$12,K377),1))+(IF(J377=0,0,(Upgrades!$G$11+J377*Upgrades!$H$11)*POWER(Upgrades!$I$11,J377)))*(IF(Upgrades!$T$6="Heliopause",POWER(Upgrades!$U$6,E377),1)*IF(Upgrades!$T$7="Heliopause",POWER(Upgrades!$U$7,F377),1)*IF(Upgrades!$T$8="Heliopause",POWER(Upgrades!$U$8,G377),1)*IF(Upgrades!$T$9="Heliopause",POWER(Upgrades!$U$9,H377),1)*IF(Upgrades!$T$10="Heliopause",POWER(Upgrades!$U$10,I377),1)*IF(Upgrades!$T$12="Heliopause",POWER(Upgrades!$U$12,K377),1))+(IF(K377=0,0,(Upgrades!$G$12+K377*Upgrades!$H$12)*POWER(Upgrades!$I$12,K377)))*(IF(Upgrades!$T$6="First Photons",POWER(Upgrades!$U$6,E377),1)*IF(Upgrades!$T$7="First Photons",POWER(Upgrades!$U$7,F377),1)*IF(Upgrades!$T$8="First Photons",POWER(Upgrades!$U$8,G377),1)*IF(Upgrades!$T$9="First Photons",POWER(Upgrades!$U$9,H377),1)*IF(Upgrades!$T$10="First Photons",POWER(Upgrades!$U$10,I377),1)*IF(Upgrades!$T$11="First Photons",POWER(Upgrades!$U$11,J377),1)))*POWER(Upgrades!$P$6,E377)*POWER(Upgrades!$P$7,F377)*POWER(Upgrades!$P$8,G377)*POWER(Upgrades!$P$9,H377)*POWER(Upgrades!$P$10,I377)*POWER(Upgrades!$P$11,J377)*POWER(Upgrades!$P$12,K377)</f>
        <v>11.2</v>
      </c>
      <c r="O377" s="28" t="n">
        <f aca="false">((IF(E377=0,0,(Upgrades!$M$6+E377*Upgrades!$N$6)*POWER(Upgrades!$O$6,E377)))*(IF(Upgrades!$T$7="Solar Wind",POWER(Upgrades!$U$7,F377),1)*IF(Upgrades!$T$8="Solar Wind",POWER(Upgrades!$U$8,G377),1)*IF(Upgrades!$T$9="Solar Wind",POWER(Upgrades!$U$9,H377),1)*IF(Upgrades!$T$10="Solar Wind",POWER(Upgrades!$U$10,I377),1)*IF(Upgrades!$T$11="Solar Wind",POWER(Upgrades!$U$11,J377),1)*IF(Upgrades!$T$12="Solar Wind",POWER(Upgrades!$U$12,K377),1))+(IF(F377=0,0,(Upgrades!$M$7+F377*Upgrades!$N$7)*POWER(Upgrades!$O$7,F377)))*(IF(Upgrades!$T$6="Asteroid Belt",POWER(Upgrades!$U$6,E377),1)*IF(Upgrades!$T$8="Asteroid Belt",POWER(Upgrades!$U$8,G377),1)*IF(Upgrades!$T$9="Asteroid Belt",POWER(Upgrades!$U$9,H377),1)*IF(Upgrades!$T$10="Asteroid Belt",POWER(Upgrades!$U$10,I377),1)*IF(Upgrades!$T$11="Asteroid Belt",POWER(Upgrades!$U$11,J377),1)*IF(Upgrades!$T$12="Asteroid Belt",POWER(Upgrades!$U$12,K377),1))+(IF(G377=0,0,(Upgrades!$M$8+G377*Upgrades!$N$8)*POWER(Upgrades!$O$8,G377)))*(IF(Upgrades!$T$6="Stellar Coupling",POWER(Upgrades!$U$6,E377),1)*IF(Upgrades!$T$7="Stellar Coupling",POWER(Upgrades!$U$7,F377),1)*IF(Upgrades!$T$9="Stellar Coupling",POWER(Upgrades!$U$9,H377),1)*IF(Upgrades!$T$10="Stellar Coupling",POWER(Upgrades!$U$10,I377),1)*IF(Upgrades!$T$11="Stellar Coupling",POWER(Upgrades!$U$11,J377),1)*IF(Upgrades!$T$12="Stellar Coupling",POWER(Upgrades!$U$12,K377),1))+(IF(H377=0,0,(Upgrades!$M$9+H377*Upgrades!$N$9)*POWER(Upgrades!$O$9,H377)))*(IF(Upgrades!$T$6="Magnetosphere",POWER(Upgrades!$U$6,E377),1)*IF(Upgrades!$T$7="Magnetosphere",POWER(Upgrades!$U$7,F377),1)*IF(Upgrades!$T$8="Magnetosphere",POWER(Upgrades!$U$8,G377),1)*IF(Upgrades!$T$10="Magnetosphere",POWER(Upgrades!$U$10,I377),1)*IF(Upgrades!$T$11="Magnetosphere",POWER(Upgrades!$U$11,J377),1)*IF(Upgrades!$T$12="Magnetosphere",POWER(Upgrades!$U$12,K377),1))+(IF(I377=0,0,(Upgrades!$M$10+I377*Upgrades!$N$10)*POWER(Upgrades!$O$10,I377)))*(IF(Upgrades!$T$6="Orbital Resonance",POWER(Upgrades!$U$6,E377),1)*IF(Upgrades!$T$7="Orbital Resonance",POWER(Upgrades!$U$7,F377),1)*IF(Upgrades!$T$8="Orbital Resonance",POWER(Upgrades!$U$8,G377),1)*IF(Upgrades!$T$9="Orbital Resonance",POWER(Upgrades!$U$9,H377),1)*IF(Upgrades!$T$11="Orbital Resonance",POWER(Upgrades!$U$11,J377),1)*IF(Upgrades!$T$12="Orbital Resonance",POWER(Upgrades!$U$12,K377),1))+(IF(J377=0,0,(Upgrades!$M$11+J377*Upgrades!$N$11)*POWER(Upgrades!$O$11,J377)))*(IF(Upgrades!$T$6="Heliopause",POWER(Upgrades!$U$6,E377),1)*IF(Upgrades!$T$7="Heliopause",POWER(Upgrades!$U$7,F377),1)*IF(Upgrades!$T$8="Heliopause",POWER(Upgrades!$U$8,G377),1)*IF(Upgrades!$T$9="Heliopause",POWER(Upgrades!$U$9,H377),1)*IF(Upgrades!$T$10="Heliopause",POWER(Upgrades!$U$10,I377),1)*IF(Upgrades!$T$12="Heliopause",POWER(Upgrades!$U$12,K377),1))+(IF(K377=0,0,(Upgrades!$M$12+K377*Upgrades!$N$12)*POWER(Upgrades!$O$12,K377)))*(IF(Upgrades!$T$6="First Photons",POWER(Upgrades!$U$6,E377),1)*IF(Upgrades!$T$7="First Photons",POWER(Upgrades!$U$7,F377),1)*IF(Upgrades!$T$8="First Photons",POWER(Upgrades!$U$8,G377),1)*IF(Upgrades!$T$9="First Photons",POWER(Upgrades!$U$9,H377),1)*IF(Upgrades!$T$10="First Photons",POWER(Upgrades!$U$10,I377),1)*IF(Upgrades!$T$11="First Photons",POWER(Upgrades!$U$11,J377),1)))*POWER(Upgrades!$R$6,E377)*POWER(Upgrades!$R$7,F377)*POWER(Upgrades!$R$8,G377)*POWER(Upgrades!$R$9,H377)*POWER(Upgrades!$R$10,I377)*POWER(Upgrades!$R$11,J377)*POWER(Upgrades!$R$12,K377)</f>
        <v>0</v>
      </c>
      <c r="P377" s="27" t="n">
        <f aca="false">IF(L377=1,0,M377*Parameters!$B$10/60*Parameters!$B$11*10)</f>
        <v>0</v>
      </c>
      <c r="Q377" s="27" t="n">
        <f aca="false">IF(L377=1,0,O377*M377*10)</f>
        <v>0</v>
      </c>
      <c r="R377" s="27" t="n">
        <f aca="false">IF(L377=1,0,N377*10)</f>
        <v>0</v>
      </c>
      <c r="S377" s="27" t="n">
        <f aca="false">P377+Q377+R377</f>
        <v>0</v>
      </c>
      <c r="T377" s="21" t="n">
        <f aca="false">C377+S377</f>
        <v>18.6730249835055</v>
      </c>
      <c r="U377" s="34" t="str">
        <f aca="false">AX377</f>
        <v/>
      </c>
      <c r="V377" s="21" t="n">
        <f aca="false">IF(U377="",0,IF(U377="transition",0,IF(U377="SW",AG377,IF(U377="AB",AH377,IF(U377="SC",AI377,IF(U377="Mag",AJ377,IF(U377="OR",AK377,IF(U377="HP",AL377,IF(U377="FP",AM377,0)))))))))</f>
        <v>0</v>
      </c>
      <c r="W377" s="27" t="n">
        <f aca="false">IF(U377="OR",Upgrades!$F$10,IF(U377="HP",Upgrades!$F$11,IF(U377="transition",-Parameters!$B$18,0)))</f>
        <v>0</v>
      </c>
      <c r="X377" s="21" t="n">
        <f aca="false">T377-V377</f>
        <v>18.6730249835055</v>
      </c>
      <c r="Y377" s="30" t="n">
        <f aca="false">M377*Parameters!$B$10/60*Parameters!$B$11+O377*M377+N377</f>
        <v>20.55</v>
      </c>
      <c r="Z377" s="35" t="str">
        <f aca="false">IF(U377="transition","→ Tier 2 (Stellar Neighborhood)",IF(U377="FP","First Photons — light begins, system quickens",IF(U377="HP","Heliopause acquired",IF(U377="OR","Orbital Resonance — passive multiplier active",IF(AND(AO377=1,L377=0,AN377&lt;&gt;1),"Cohesion ready (waiting on completionist upgrades)","")))))</f>
        <v/>
      </c>
      <c r="AA377" s="27" t="n">
        <f aca="false">(IF(E377=0,0,(Upgrades!$G$6+E377*Upgrades!$H$6)*POWER(Upgrades!$I$6,E377)))*(IF(Upgrades!$T$7="Solar Wind",POWER(Upgrades!$U$7,F377),1)*IF(Upgrades!$T$8="Solar Wind",POWER(Upgrades!$U$8,G377),1)*IF(Upgrades!$T$9="Solar Wind",POWER(Upgrades!$U$9,H377),1)*IF(Upgrades!$T$10="Solar Wind",POWER(Upgrades!$U$10,I377),1)*IF(Upgrades!$T$11="Solar Wind",POWER(Upgrades!$U$11,J377),1)*IF(Upgrades!$T$12="Solar Wind",POWER(Upgrades!$U$12,K377),1))*POWER(Upgrades!$P$6,E377)*POWER(Upgrades!$P$7,F377)*POWER(Upgrades!$P$8,G377)*POWER(Upgrades!$P$9,H377)*POWER(Upgrades!$P$10,I377)*POWER(Upgrades!$P$11,J377)*POWER(Upgrades!$P$12,K377)*60</f>
        <v>72</v>
      </c>
      <c r="AB377" s="27" t="n">
        <f aca="false">(IF(F377=0,0,(Upgrades!$G$7+F377*Upgrades!$H$7)*POWER(Upgrades!$I$7,F377)))*(IF(Upgrades!$T$6="Asteroid Belt",POWER(Upgrades!$U$6,E377),1)*IF(Upgrades!$T$8="Asteroid Belt",POWER(Upgrades!$U$8,G377),1)*IF(Upgrades!$T$9="Asteroid Belt",POWER(Upgrades!$U$9,H377),1)*IF(Upgrades!$T$10="Asteroid Belt",POWER(Upgrades!$U$10,I377),1)*IF(Upgrades!$T$11="Asteroid Belt",POWER(Upgrades!$U$11,J377),1)*IF(Upgrades!$T$12="Asteroid Belt",POWER(Upgrades!$U$12,K377),1))*POWER(Upgrades!$P$6,E377)*POWER(Upgrades!$P$7,F377)*POWER(Upgrades!$P$8,G377)*POWER(Upgrades!$P$9,H377)*POWER(Upgrades!$P$10,I377)*POWER(Upgrades!$P$11,J377)*POWER(Upgrades!$P$12,K377)*60</f>
        <v>150</v>
      </c>
      <c r="AC377" s="27" t="n">
        <f aca="false">(IF(G377=0,0,(Upgrades!$J$8+G377*Upgrades!$K$8)*POWER(Upgrades!$L$8,G377)))*(IF(Upgrades!$T$6="Stellar Coupling",POWER(Upgrades!$U$6,E377),1)*IF(Upgrades!$T$7="Stellar Coupling",POWER(Upgrades!$U$7,F377),1)*IF(Upgrades!$T$9="Stellar Coupling",POWER(Upgrades!$U$9,H377),1)*IF(Upgrades!$T$10="Stellar Coupling",POWER(Upgrades!$U$10,I377),1)*IF(Upgrades!$T$11="Stellar Coupling",POWER(Upgrades!$U$11,J377),1)*IF(Upgrades!$T$12="Stellar Coupling",POWER(Upgrades!$U$12,K377),1))*POWER(Upgrades!$Q$6,E377)*POWER(Upgrades!$Q$7,F377)*POWER(Upgrades!$Q$8,G377)*POWER(Upgrades!$Q$9,H377)*POWER(Upgrades!$Q$10,I377)*POWER(Upgrades!$Q$11,J377)*POWER(Upgrades!$Q$12,K377)*Parameters!$B$10*Parameters!$B$11</f>
        <v>441</v>
      </c>
      <c r="AD377" s="27" t="n">
        <f aca="false">(IF(H377=0,0,(Upgrades!$G$9+H377*Upgrades!$H$9)*POWER(Upgrades!$I$9,H377)))*(IF(Upgrades!$T$6="Magnetosphere",POWER(Upgrades!$U$6,E377),1)*IF(Upgrades!$T$7="Magnetosphere",POWER(Upgrades!$U$7,F377),1)*IF(Upgrades!$T$8="Magnetosphere",POWER(Upgrades!$U$8,G377),1)*IF(Upgrades!$T$10="Magnetosphere",POWER(Upgrades!$U$10,I377),1)*IF(Upgrades!$T$11="Magnetosphere",POWER(Upgrades!$U$11,J377),1)*IF(Upgrades!$T$12="Magnetosphere",POWER(Upgrades!$U$12,K377),1))*POWER(Upgrades!$P$6,E377)*POWER(Upgrades!$P$7,F377)*POWER(Upgrades!$P$8,G377)*POWER(Upgrades!$P$9,H377)*POWER(Upgrades!$P$10,I377)*POWER(Upgrades!$P$11,J377)*POWER(Upgrades!$P$12,K377)*60</f>
        <v>375</v>
      </c>
      <c r="AE377" s="27" t="n">
        <f aca="false">(IF(K377=0,0,(Upgrades!$G$12+K377*Upgrades!$H$12)*POWER(Upgrades!$I$12,K377)))*(IF(Upgrades!$T$6="First Photons",POWER(Upgrades!$U$6,E377),1)*IF(Upgrades!$T$7="First Photons",POWER(Upgrades!$U$7,F377),1)*IF(Upgrades!$T$8="First Photons",POWER(Upgrades!$U$8,G377),1)*IF(Upgrades!$T$9="First Photons",POWER(Upgrades!$U$9,H377),1)*IF(Upgrades!$T$10="First Photons",POWER(Upgrades!$U$10,I377),1)*IF(Upgrades!$T$11="First Photons",POWER(Upgrades!$U$11,J377),1))*POWER(Upgrades!$P$6,E377)*POWER(Upgrades!$P$7,F377)*POWER(Upgrades!$P$8,G377)*POWER(Upgrades!$P$9,H377)*POWER(Upgrades!$P$10,I377)*POWER(Upgrades!$P$11,J377)*POWER(Upgrades!$P$12,K377)*60</f>
        <v>75</v>
      </c>
      <c r="AF377" s="27" t="n">
        <f aca="false">Parameters!$B$9*POWER(Upgrades!$Q$6,E377)*POWER(Upgrades!$Q$7,F377)*POWER(Upgrades!$Q$8,G377)*POWER(Upgrades!$Q$9,H377)*POWER(Upgrades!$Q$10,I377)*POWER(Upgrades!$Q$11,J377)*POWER(Upgrades!$Q$12,K377)*(Parameters!$B$10*Parameters!$B$11+O377*60)</f>
        <v>120</v>
      </c>
      <c r="AG377" s="21" t="n">
        <f aca="false">IF(E377&gt;=Upgrades!$E$6,"",Upgrades!$C$6*POWER(Upgrades!$D$6,E377))</f>
        <v>37.4517507383159</v>
      </c>
      <c r="AH377" s="21" t="n">
        <f aca="false">IF(F377&gt;=Upgrades!$E$7,"",Upgrades!$C$7*POWER(Upgrades!$D$7,F377))</f>
        <v>80.9111547141581</v>
      </c>
      <c r="AI377" s="21" t="n">
        <f aca="false">IF(G377&gt;=Upgrades!$E$8,"",Upgrades!$C$8*POWER(Upgrades!$D$8,G377))</f>
        <v>231.9097088</v>
      </c>
      <c r="AJ377" s="21" t="str">
        <f aca="false">IF(H377&gt;=Upgrades!$E$9,"",Upgrades!$C$9*POWER(Upgrades!$D$9,H377))</f>
        <v/>
      </c>
      <c r="AK377" s="21" t="str">
        <f aca="false">IF(I377&gt;=Upgrades!$E$10,"",Upgrades!$C$10*POWER(Upgrades!$D$10,I377))</f>
        <v/>
      </c>
      <c r="AL377" s="21" t="str">
        <f aca="false">IF(J377&gt;=Upgrades!$E$11,"",Upgrades!$C$11*POWER(Upgrades!$D$11,J377))</f>
        <v/>
      </c>
      <c r="AM377" s="21" t="str">
        <f aca="false">IF(K377&gt;=Upgrades!$E$12,"",Upgrades!$C$12*POWER(Upgrades!$D$12,K377))</f>
        <v/>
      </c>
      <c r="AN377" s="26" t="str">
        <f aca="false">IF(AND(D377&gt;=Parameters!$B$18,(H377&gt;=Upgrades!$E$9)*(K377&gt;=Upgrades!$E$12)=1,L377=0),1,"")</f>
        <v/>
      </c>
      <c r="AO377" s="26" t="str">
        <f aca="false">IF(AND(D377&gt;=Parameters!$B$18,L377=0),1,"")</f>
        <v/>
      </c>
      <c r="AP377" s="21" t="n">
        <f aca="false">MIN(IF(ISNUMBER(AK377),AK377,9000000000000000),IF(ISNUMBER(AL377),AL377,9000000000000000),IF(ISNUMBER(AM377),AM377,9000000000000000))</f>
        <v>9000000000000000</v>
      </c>
      <c r="AQ377" s="21" t="n">
        <f aca="false">MIN(IF(ISNUMBER(AG377),AG377,9000000000000000),IF(ISNUMBER(AH377),AH377,9000000000000000),IF(ISNUMBER(AI377),AI377,9000000000000000),IF(ISNUMBER(AJ377),AJ377,9000000000000000))</f>
        <v>37.4517507383159</v>
      </c>
      <c r="AR377" s="32" t="b">
        <f aca="false">IF(AW377&gt;Parameters!$B$21*(MAX(IF(AND(NOT(AND(AO377=1,AN377&lt;&gt;1)),ISNUMBER(AG377),AG377&lt;=T377),AS377,0),IF(AND(NOT(AND(AO377=1,AN377&lt;&gt;1)),ISNUMBER(AH377),AH377&lt;=T377),AT377,0),IF(AND(NOT(AND(AO377=1,AN377&lt;&gt;1)),ISNUMBER(AI377),AI377&lt;=T377),AU377,0),IF(AND(ISNUMBER(AJ377),AJ377&lt;=T377),AV377,0))),TRUE(),FALSE())</f>
        <v>1</v>
      </c>
      <c r="AS377" s="33" t="n">
        <f aca="false">IFERROR(Upgrades!$H$6*(POWER(Upgrades!$P$6,E377)*POWER(Upgrades!$P$7,F377)*POWER(Upgrades!$P$8,G377)*POWER(Upgrades!$P$9,H377)*POWER(Upgrades!$P$10,I377)*POWER(Upgrades!$P$11,J377)*POWER(Upgrades!$P$12,K377))*(IF(Upgrades!$T$7="Solar Wind",POWER(Upgrades!$U$7,F377),1)*IF(Upgrades!$T$8="Solar Wind",POWER(Upgrades!$U$8,G377),1)*IF(Upgrades!$T$9="Solar Wind",POWER(Upgrades!$U$9,H377),1)*IF(Upgrades!$T$10="Solar Wind",POWER(Upgrades!$U$10,I377),1)*IF(Upgrades!$T$11="Solar Wind",POWER(Upgrades!$U$11,J377),1)*IF(Upgrades!$T$12="Solar Wind",POWER(Upgrades!$U$12,K377),1))/AG377,0)</f>
        <v>0.0026701021455238</v>
      </c>
      <c r="AT377" s="33" t="n">
        <f aca="false">IFERROR(Upgrades!$H$7*(POWER(Upgrades!$P$6,E377)*POWER(Upgrades!$P$7,F377)*POWER(Upgrades!$P$8,G377)*POWER(Upgrades!$P$9,H377)*POWER(Upgrades!$P$10,I377)*POWER(Upgrades!$P$11,J377)*POWER(Upgrades!$P$12,K377))*(IF(Upgrades!$T$6="Asteroid Belt",POWER(Upgrades!$U$6,E377),1)*IF(Upgrades!$T$8="Asteroid Belt",POWER(Upgrades!$U$8,G377),1)*IF(Upgrades!$T$9="Asteroid Belt",POWER(Upgrades!$U$9,H377),1)*IF(Upgrades!$T$10="Asteroid Belt",POWER(Upgrades!$U$10,I377),1)*IF(Upgrades!$T$11="Asteroid Belt",POWER(Upgrades!$U$11,J377),1)*IF(Upgrades!$T$12="Asteroid Belt",POWER(Upgrades!$U$12,K377),1))/AH377,0)</f>
        <v>0.00308980882652332</v>
      </c>
      <c r="AU377" s="33" t="n">
        <f aca="false">IFERROR(Upgrades!$K$8*(POWER(Upgrades!$Q$6,E377)*POWER(Upgrades!$Q$7,F377)*POWER(Upgrades!$Q$8,G377)*POWER(Upgrades!$Q$9,H377)*POWER(Upgrades!$Q$10,I377)*POWER(Upgrades!$Q$11,J377)*POWER(Upgrades!$Q$12,K377))*(IF(Upgrades!$T$6="Stellar Coupling",POWER(Upgrades!$U$6,E377),1)*IF(Upgrades!$T$7="Stellar Coupling",POWER(Upgrades!$U$7,F377),1)*IF(Upgrades!$T$9="Stellar Coupling",POWER(Upgrades!$U$9,H377),1)*IF(Upgrades!$T$10="Stellar Coupling",POWER(Upgrades!$U$10,I377),1)*IF(Upgrades!$T$11="Stellar Coupling",POWER(Upgrades!$U$11,J377),1)*IF(Upgrades!$T$12="Stellar Coupling",POWER(Upgrades!$U$12,K377),1))*Parameters!$B$10*Parameters!$B$11/60/AI377,0)</f>
        <v>0.00452762415783776</v>
      </c>
      <c r="AV377" s="33" t="n">
        <f aca="false">IFERROR(Upgrades!$H$9*(POWER(Upgrades!$P$6,E377)*POWER(Upgrades!$P$7,F377)*POWER(Upgrades!$P$8,G377)*POWER(Upgrades!$P$9,H377)*POWER(Upgrades!$P$10,I377)*POWER(Upgrades!$P$11,J377)*POWER(Upgrades!$P$12,K377))*(IF(Upgrades!$T$6="Magnetosphere",POWER(Upgrades!$U$6,E377),1)*IF(Upgrades!$T$7="Magnetosphere",POWER(Upgrades!$U$7,F377),1)*IF(Upgrades!$T$8="Magnetosphere",POWER(Upgrades!$U$8,G377),1)*IF(Upgrades!$T$10="Magnetosphere",POWER(Upgrades!$U$10,I377),1)*IF(Upgrades!$T$11="Magnetosphere",POWER(Upgrades!$U$11,J377),1)*IF(Upgrades!$T$12="Magnetosphere",POWER(Upgrades!$U$12,K377),1))/AJ377,0)</f>
        <v>0</v>
      </c>
      <c r="AW377" s="33" t="n">
        <f aca="false">MAX(IF(I377&gt;0,0,IFERROR(0.25*N377/Upgrades!$C$10,0)),IF(J377&gt;0,0,IFERROR(0.5*((IF(G377=0,0,(Upgrades!$J$8+G377*Upgrades!$K$8)*POWER(Upgrades!$L$8,G377)))*(IF(Upgrades!$T$6="Stellar Coupling",POWER(Upgrades!$U$6,E377),1)*IF(Upgrades!$T$7="Stellar Coupling",POWER(Upgrades!$U$7,F377),1)*IF(Upgrades!$T$9="Stellar Coupling",POWER(Upgrades!$U$9,H377),1)*IF(Upgrades!$T$10="Stellar Coupling",POWER(Upgrades!$U$10,I377),1)*IF(Upgrades!$T$11="Stellar Coupling",POWER(Upgrades!$U$11,J377),1)*IF(Upgrades!$T$12="Stellar Coupling",POWER(Upgrades!$U$12,K377),1))*(POWER(Upgrades!$Q$6,E377)*POWER(Upgrades!$Q$7,F377)*POWER(Upgrades!$Q$8,G377)*POWER(Upgrades!$Q$9,H377)*POWER(Upgrades!$Q$10,I377)*POWER(Upgrades!$Q$11,J377)*POWER(Upgrades!$Q$12,K377))*Parameters!$B$10*Parameters!$B$11/60)/Upgrades!$C$11,0)),IF(K377&gt;0,0,IFERROR((1*(POWER(Upgrades!$P$6,E377)*POWER(Upgrades!$P$7,F377)*POWER(Upgrades!$P$8,G377)*POWER(Upgrades!$P$9,H377)*POWER(Upgrades!$P$10,I377)*POWER(Upgrades!$P$11,J377)*POWER(Upgrades!$P$12,K377))+0.2*M377*Parameters!$B$10*Parameters!$B$11/60)/Upgrades!$C$12,0)),IF(AND(ISNUMBER(AG377),AG377&gt;T377),AS377,0),IF(AND(ISNUMBER(AH377),AH377&gt;T377),AT377,0),IF(AND(ISNUMBER(AI377),AI377&gt;T377),AU377,0),IF(AND(ISNUMBER(AJ377),AJ377&gt;T377),AV377,0))</f>
        <v>0.00452762415783776</v>
      </c>
      <c r="AX377" s="29" t="str">
        <f aca="false">IF(AN377=1,"transition",IF(MIN(IF(AND(I377=0,ISNUMBER(AK377),AK377&lt;=T377),AK377,9000000000000000),IF(AND(J377=0,ISNUMBER(AL377),AL377&lt;=T377),AL377,9000000000000000),IF(AND(K377=0,ISNUMBER(AM377),AM377&lt;=T377),AM377,9000000000000000))&lt;9000000000000000,IF(AND(AND(I377=0,ISNUMBER(AK377),AK377&lt;=T377),AK377=MIN(IF(AND(I377=0,ISNUMBER(AK377),AK377&lt;=T377),AK377,9000000000000000),IF(AND(J377=0,ISNUMBER(AL377),AL377&lt;=T377),AL377,9000000000000000),IF(AND(K377=0,ISNUMBER(AM377),AM377&lt;=T377),AM377,9000000000000000))),"OR",IF(AND(AND(J377=0,ISNUMBER(AL377),AL377&lt;=T377),AL377=MIN(IF(AND(I377=0,ISNUMBER(AK377),AK377&lt;=T377),AK377,9000000000000000),IF(AND(J377=0,ISNUMBER(AL377),AL377&lt;=T377),AL377,9000000000000000),IF(AND(K377=0,ISNUMBER(AM377),AM377&lt;=T377),AM377,9000000000000000))),"HP","FP")),IF(AR377=TRUE(),"",IF(MAX(IF(AND(NOT(AND(AO377=1,AN377&lt;&gt;1)),ISNUMBER(AG377),AG377&lt;=T377),AS377,0),IF(AND(NOT(AND(AO377=1,AN377&lt;&gt;1)),ISNUMBER(AH377),AH377&lt;=T377),AT377,0),IF(AND(NOT(AND(AO377=1,AN377&lt;&gt;1)),ISNUMBER(AI377),AI377&lt;=T377),AU377,0),IF(AND(ISNUMBER(AJ377),AJ377&lt;=T377),AV377,0))&lt;=0,"",IF(AND(IF(AND(NOT(AND(AO377=1,AN377&lt;&gt;1)),ISNUMBER(AG377),AG377&lt;=T377),AS377,0)&gt;0,IF(AND(NOT(AND(AO377=1,AN377&lt;&gt;1)),ISNUMBER(AG377),AG377&lt;=T377),AS377,0)=MAX(IF(AND(NOT(AND(AO377=1,AN377&lt;&gt;1)),ISNUMBER(AG377),AG377&lt;=T377),AS377,0),IF(AND(NOT(AND(AO377=1,AN377&lt;&gt;1)),ISNUMBER(AH377),AH377&lt;=T377),AT377,0),IF(AND(NOT(AND(AO377=1,AN377&lt;&gt;1)),ISNUMBER(AI377),AI377&lt;=T377),AU377,0),IF(AND(ISNUMBER(AJ377),AJ377&lt;=T377),AV377,0))),"SW",IF(AND(IF(AND(NOT(AND(AO377=1,AN377&lt;&gt;1)),ISNUMBER(AH377),AH377&lt;=T377),AT377,0)&gt;0,IF(AND(NOT(AND(AO377=1,AN377&lt;&gt;1)),ISNUMBER(AH377),AH377&lt;=T377),AT377,0)=MAX(IF(AND(NOT(AND(AO377=1,AN377&lt;&gt;1)),ISNUMBER(AG377),AG377&lt;=T377),AS377,0),IF(AND(NOT(AND(AO377=1,AN377&lt;&gt;1)),ISNUMBER(AH377),AH377&lt;=T377),AT377,0),IF(AND(NOT(AND(AO377=1,AN377&lt;&gt;1)),ISNUMBER(AI377),AI377&lt;=T377),AU377,0),IF(AND(ISNUMBER(AJ377),AJ377&lt;=T377),AV377,0))),"AB",IF(AND(IF(AND(NOT(AND(AO377=1,AN377&lt;&gt;1)),ISNUMBER(AI377),AI377&lt;=T377),AU377,0)&gt;0,IF(AND(NOT(AND(AO377=1,AN377&lt;&gt;1)),ISNUMBER(AI377),AI377&lt;=T377),AU377,0)=MAX(IF(AND(NOT(AND(AO377=1,AN377&lt;&gt;1)),ISNUMBER(AG377),AG377&lt;=T377),AS377,0),IF(AND(NOT(AND(AO377=1,AN377&lt;&gt;1)),ISNUMBER(AH377),AH377&lt;=T377),AT377,0),IF(AND(NOT(AND(AO377=1,AN377&lt;&gt;1)),ISNUMBER(AI377),AI377&lt;=T377),AU377,0),IF(AND(ISNUMBER(AJ377),AJ377&lt;=T377),AV377,0))),"SC","Mag")))))))</f>
        <v/>
      </c>
    </row>
    <row r="378" customFormat="false" ht="15" hidden="false" customHeight="false" outlineLevel="0" collapsed="false">
      <c r="A378" s="26" t="n">
        <v>373</v>
      </c>
      <c r="B378" s="27" t="n">
        <f aca="false">A378*10/60</f>
        <v>62.1666666666667</v>
      </c>
      <c r="C378" s="21" t="n">
        <f aca="false">X377</f>
        <v>18.6730249835055</v>
      </c>
      <c r="D378" s="27" t="n">
        <f aca="false">D377+W377</f>
        <v>0</v>
      </c>
      <c r="E378" s="26" t="n">
        <f aca="false">E377+IF(U377="SW",1,0)</f>
        <v>12</v>
      </c>
      <c r="F378" s="26" t="n">
        <f aca="false">F377+IF(U377="AB",1,0)</f>
        <v>10</v>
      </c>
      <c r="G378" s="26" t="n">
        <f aca="false">G377+IF(U377="SC",1,0)</f>
        <v>7</v>
      </c>
      <c r="H378" s="26" t="n">
        <f aca="false">H377+IF(U377="Mag",1,0)</f>
        <v>5</v>
      </c>
      <c r="I378" s="26" t="n">
        <f aca="false">MAX(I377,IF(U377="OR",1,0))</f>
        <v>1</v>
      </c>
      <c r="J378" s="26" t="n">
        <f aca="false">MAX(J377,IF(U377="HP",1,0))</f>
        <v>1</v>
      </c>
      <c r="K378" s="26" t="n">
        <f aca="false">MAX(K377,IF(U377="FP",1,0))</f>
        <v>1</v>
      </c>
      <c r="L378" s="26" t="n">
        <f aca="false">MAX(L377,IF(U377="transition",1,0))</f>
        <v>1</v>
      </c>
      <c r="M378" s="28" t="n">
        <f aca="false">(Parameters!$B$9+(IF(E378=0,0,(Upgrades!$J$6+E378*Upgrades!$K$6)*POWER(Upgrades!$L$6,E378)))*(IF(Upgrades!$T$7="Solar Wind",POWER(Upgrades!$U$7,F378),1)*IF(Upgrades!$T$8="Solar Wind",POWER(Upgrades!$U$8,G378),1)*IF(Upgrades!$T$9="Solar Wind",POWER(Upgrades!$U$9,H378),1)*IF(Upgrades!$T$10="Solar Wind",POWER(Upgrades!$U$10,I378),1)*IF(Upgrades!$T$11="Solar Wind",POWER(Upgrades!$U$11,J378),1)*IF(Upgrades!$T$12="Solar Wind",POWER(Upgrades!$U$12,K378),1))+(IF(F378=0,0,(Upgrades!$J$7+F378*Upgrades!$K$7)*POWER(Upgrades!$L$7,F378)))*(IF(Upgrades!$T$6="Asteroid Belt",POWER(Upgrades!$U$6,E378),1)*IF(Upgrades!$T$8="Asteroid Belt",POWER(Upgrades!$U$8,G378),1)*IF(Upgrades!$T$9="Asteroid Belt",POWER(Upgrades!$U$9,H378),1)*IF(Upgrades!$T$10="Asteroid Belt",POWER(Upgrades!$U$10,I378),1)*IF(Upgrades!$T$11="Asteroid Belt",POWER(Upgrades!$U$11,J378),1)*IF(Upgrades!$T$12="Asteroid Belt",POWER(Upgrades!$U$12,K378),1))+(IF(G378=0,0,(Upgrades!$J$8+G378*Upgrades!$K$8)*POWER(Upgrades!$L$8,G378)))*(IF(Upgrades!$T$6="Stellar Coupling",POWER(Upgrades!$U$6,E378),1)*IF(Upgrades!$T$7="Stellar Coupling",POWER(Upgrades!$U$7,F378),1)*IF(Upgrades!$T$9="Stellar Coupling",POWER(Upgrades!$U$9,H378),1)*IF(Upgrades!$T$10="Stellar Coupling",POWER(Upgrades!$U$10,I378),1)*IF(Upgrades!$T$11="Stellar Coupling",POWER(Upgrades!$U$11,J378),1)*IF(Upgrades!$T$12="Stellar Coupling",POWER(Upgrades!$U$12,K378),1))+(IF(H378=0,0,(Upgrades!$J$9+H378*Upgrades!$K$9)*POWER(Upgrades!$L$9,H378)))*(IF(Upgrades!$T$6="Magnetosphere",POWER(Upgrades!$U$6,E378),1)*IF(Upgrades!$T$7="Magnetosphere",POWER(Upgrades!$U$7,F378),1)*IF(Upgrades!$T$8="Magnetosphere",POWER(Upgrades!$U$8,G378),1)*IF(Upgrades!$T$10="Magnetosphere",POWER(Upgrades!$U$10,I378),1)*IF(Upgrades!$T$11="Magnetosphere",POWER(Upgrades!$U$11,J378),1)*IF(Upgrades!$T$12="Magnetosphere",POWER(Upgrades!$U$12,K378),1))+(IF(I378=0,0,(Upgrades!$J$10+I378*Upgrades!$K$10)*POWER(Upgrades!$L$10,I378)))*(IF(Upgrades!$T$6="Orbital Resonance",POWER(Upgrades!$U$6,E378),1)*IF(Upgrades!$T$7="Orbital Resonance",POWER(Upgrades!$U$7,F378),1)*IF(Upgrades!$T$8="Orbital Resonance",POWER(Upgrades!$U$8,G378),1)*IF(Upgrades!$T$9="Orbital Resonance",POWER(Upgrades!$U$9,H378),1)*IF(Upgrades!$T$11="Orbital Resonance",POWER(Upgrades!$U$11,J378),1)*IF(Upgrades!$T$12="Orbital Resonance",POWER(Upgrades!$U$12,K378),1))+(IF(J378=0,0,(Upgrades!$J$11+J378*Upgrades!$K$11)*POWER(Upgrades!$L$11,J378)))*(IF(Upgrades!$T$6="Heliopause",POWER(Upgrades!$U$6,E378),1)*IF(Upgrades!$T$7="Heliopause",POWER(Upgrades!$U$7,F378),1)*IF(Upgrades!$T$8="Heliopause",POWER(Upgrades!$U$8,G378),1)*IF(Upgrades!$T$9="Heliopause",POWER(Upgrades!$U$9,H378),1)*IF(Upgrades!$T$10="Heliopause",POWER(Upgrades!$U$10,I378),1)*IF(Upgrades!$T$12="Heliopause",POWER(Upgrades!$U$12,K378),1))+(IF(K378=0,0,(Upgrades!$J$12+K378*Upgrades!$K$12)*POWER(Upgrades!$L$12,K378)))*(IF(Upgrades!$T$6="First Photons",POWER(Upgrades!$U$6,E378),1)*IF(Upgrades!$T$7="First Photons",POWER(Upgrades!$U$7,F378),1)*IF(Upgrades!$T$8="First Photons",POWER(Upgrades!$U$8,G378),1)*IF(Upgrades!$T$9="First Photons",POWER(Upgrades!$U$9,H378),1)*IF(Upgrades!$T$10="First Photons",POWER(Upgrades!$U$10,I378),1)*IF(Upgrades!$T$11="First Photons",POWER(Upgrades!$U$11,J378),1)))*POWER(Upgrades!$Q$6,E378)*POWER(Upgrades!$Q$7,F378)*POWER(Upgrades!$Q$8,G378)*POWER(Upgrades!$Q$9,H378)*POWER(Upgrades!$Q$10,I378)*POWER(Upgrades!$Q$11,J378)*POWER(Upgrades!$Q$12,K378)</f>
        <v>5.61</v>
      </c>
      <c r="N378" s="28" t="n">
        <f aca="false">((IF(E378=0,0,(Upgrades!$G$6+E378*Upgrades!$H$6)*POWER(Upgrades!$I$6,E378)))*(IF(Upgrades!$T$7="Solar Wind",POWER(Upgrades!$U$7,F378),1)*IF(Upgrades!$T$8="Solar Wind",POWER(Upgrades!$U$8,G378),1)*IF(Upgrades!$T$9="Solar Wind",POWER(Upgrades!$U$9,H378),1)*IF(Upgrades!$T$10="Solar Wind",POWER(Upgrades!$U$10,I378),1)*IF(Upgrades!$T$11="Solar Wind",POWER(Upgrades!$U$11,J378),1)*IF(Upgrades!$T$12="Solar Wind",POWER(Upgrades!$U$12,K378),1))+(IF(F378=0,0,(Upgrades!$G$7+F378*Upgrades!$H$7)*POWER(Upgrades!$I$7,F378)))*(IF(Upgrades!$T$6="Asteroid Belt",POWER(Upgrades!$U$6,E378),1)*IF(Upgrades!$T$8="Asteroid Belt",POWER(Upgrades!$U$8,G378),1)*IF(Upgrades!$T$9="Asteroid Belt",POWER(Upgrades!$U$9,H378),1)*IF(Upgrades!$T$10="Asteroid Belt",POWER(Upgrades!$U$10,I378),1)*IF(Upgrades!$T$11="Asteroid Belt",POWER(Upgrades!$U$11,J378),1)*IF(Upgrades!$T$12="Asteroid Belt",POWER(Upgrades!$U$12,K378),1))+(IF(G378=0,0,(Upgrades!$G$8+G378*Upgrades!$H$8)*POWER(Upgrades!$I$8,G378)))*(IF(Upgrades!$T$6="Stellar Coupling",POWER(Upgrades!$U$6,E378),1)*IF(Upgrades!$T$7="Stellar Coupling",POWER(Upgrades!$U$7,F378),1)*IF(Upgrades!$T$9="Stellar Coupling",POWER(Upgrades!$U$9,H378),1)*IF(Upgrades!$T$10="Stellar Coupling",POWER(Upgrades!$U$10,I378),1)*IF(Upgrades!$T$11="Stellar Coupling",POWER(Upgrades!$U$11,J378),1)*IF(Upgrades!$T$12="Stellar Coupling",POWER(Upgrades!$U$12,K378),1))+(IF(H378=0,0,(Upgrades!$G$9+H378*Upgrades!$H$9)*POWER(Upgrades!$I$9,H378)))*(IF(Upgrades!$T$6="Magnetosphere",POWER(Upgrades!$U$6,E378),1)*IF(Upgrades!$T$7="Magnetosphere",POWER(Upgrades!$U$7,F378),1)*IF(Upgrades!$T$8="Magnetosphere",POWER(Upgrades!$U$8,G378),1)*IF(Upgrades!$T$10="Magnetosphere",POWER(Upgrades!$U$10,I378),1)*IF(Upgrades!$T$11="Magnetosphere",POWER(Upgrades!$U$11,J378),1)*IF(Upgrades!$T$12="Magnetosphere",POWER(Upgrades!$U$12,K378),1))+(IF(I378=0,0,(Upgrades!$G$10+I378*Upgrades!$H$10)*POWER(Upgrades!$I$10,I378)))*(IF(Upgrades!$T$6="Orbital Resonance",POWER(Upgrades!$U$6,E378),1)*IF(Upgrades!$T$7="Orbital Resonance",POWER(Upgrades!$U$7,F378),1)*IF(Upgrades!$T$8="Orbital Resonance",POWER(Upgrades!$U$8,G378),1)*IF(Upgrades!$T$9="Orbital Resonance",POWER(Upgrades!$U$9,H378),1)*IF(Upgrades!$T$11="Orbital Resonance",POWER(Upgrades!$U$11,J378),1)*IF(Upgrades!$T$12="Orbital Resonance",POWER(Upgrades!$U$12,K378),1))+(IF(J378=0,0,(Upgrades!$G$11+J378*Upgrades!$H$11)*POWER(Upgrades!$I$11,J378)))*(IF(Upgrades!$T$6="Heliopause",POWER(Upgrades!$U$6,E378),1)*IF(Upgrades!$T$7="Heliopause",POWER(Upgrades!$U$7,F378),1)*IF(Upgrades!$T$8="Heliopause",POWER(Upgrades!$U$8,G378),1)*IF(Upgrades!$T$9="Heliopause",POWER(Upgrades!$U$9,H378),1)*IF(Upgrades!$T$10="Heliopause",POWER(Upgrades!$U$10,I378),1)*IF(Upgrades!$T$12="Heliopause",POWER(Upgrades!$U$12,K378),1))+(IF(K378=0,0,(Upgrades!$G$12+K378*Upgrades!$H$12)*POWER(Upgrades!$I$12,K378)))*(IF(Upgrades!$T$6="First Photons",POWER(Upgrades!$U$6,E378),1)*IF(Upgrades!$T$7="First Photons",POWER(Upgrades!$U$7,F378),1)*IF(Upgrades!$T$8="First Photons",POWER(Upgrades!$U$8,G378),1)*IF(Upgrades!$T$9="First Photons",POWER(Upgrades!$U$9,H378),1)*IF(Upgrades!$T$10="First Photons",POWER(Upgrades!$U$10,I378),1)*IF(Upgrades!$T$11="First Photons",POWER(Upgrades!$U$11,J378),1)))*POWER(Upgrades!$P$6,E378)*POWER(Upgrades!$P$7,F378)*POWER(Upgrades!$P$8,G378)*POWER(Upgrades!$P$9,H378)*POWER(Upgrades!$P$10,I378)*POWER(Upgrades!$P$11,J378)*POWER(Upgrades!$P$12,K378)</f>
        <v>11.2</v>
      </c>
      <c r="O378" s="28" t="n">
        <f aca="false">((IF(E378=0,0,(Upgrades!$M$6+E378*Upgrades!$N$6)*POWER(Upgrades!$O$6,E378)))*(IF(Upgrades!$T$7="Solar Wind",POWER(Upgrades!$U$7,F378),1)*IF(Upgrades!$T$8="Solar Wind",POWER(Upgrades!$U$8,G378),1)*IF(Upgrades!$T$9="Solar Wind",POWER(Upgrades!$U$9,H378),1)*IF(Upgrades!$T$10="Solar Wind",POWER(Upgrades!$U$10,I378),1)*IF(Upgrades!$T$11="Solar Wind",POWER(Upgrades!$U$11,J378),1)*IF(Upgrades!$T$12="Solar Wind",POWER(Upgrades!$U$12,K378),1))+(IF(F378=0,0,(Upgrades!$M$7+F378*Upgrades!$N$7)*POWER(Upgrades!$O$7,F378)))*(IF(Upgrades!$T$6="Asteroid Belt",POWER(Upgrades!$U$6,E378),1)*IF(Upgrades!$T$8="Asteroid Belt",POWER(Upgrades!$U$8,G378),1)*IF(Upgrades!$T$9="Asteroid Belt",POWER(Upgrades!$U$9,H378),1)*IF(Upgrades!$T$10="Asteroid Belt",POWER(Upgrades!$U$10,I378),1)*IF(Upgrades!$T$11="Asteroid Belt",POWER(Upgrades!$U$11,J378),1)*IF(Upgrades!$T$12="Asteroid Belt",POWER(Upgrades!$U$12,K378),1))+(IF(G378=0,0,(Upgrades!$M$8+G378*Upgrades!$N$8)*POWER(Upgrades!$O$8,G378)))*(IF(Upgrades!$T$6="Stellar Coupling",POWER(Upgrades!$U$6,E378),1)*IF(Upgrades!$T$7="Stellar Coupling",POWER(Upgrades!$U$7,F378),1)*IF(Upgrades!$T$9="Stellar Coupling",POWER(Upgrades!$U$9,H378),1)*IF(Upgrades!$T$10="Stellar Coupling",POWER(Upgrades!$U$10,I378),1)*IF(Upgrades!$T$11="Stellar Coupling",POWER(Upgrades!$U$11,J378),1)*IF(Upgrades!$T$12="Stellar Coupling",POWER(Upgrades!$U$12,K378),1))+(IF(H378=0,0,(Upgrades!$M$9+H378*Upgrades!$N$9)*POWER(Upgrades!$O$9,H378)))*(IF(Upgrades!$T$6="Magnetosphere",POWER(Upgrades!$U$6,E378),1)*IF(Upgrades!$T$7="Magnetosphere",POWER(Upgrades!$U$7,F378),1)*IF(Upgrades!$T$8="Magnetosphere",POWER(Upgrades!$U$8,G378),1)*IF(Upgrades!$T$10="Magnetosphere",POWER(Upgrades!$U$10,I378),1)*IF(Upgrades!$T$11="Magnetosphere",POWER(Upgrades!$U$11,J378),1)*IF(Upgrades!$T$12="Magnetosphere",POWER(Upgrades!$U$12,K378),1))+(IF(I378=0,0,(Upgrades!$M$10+I378*Upgrades!$N$10)*POWER(Upgrades!$O$10,I378)))*(IF(Upgrades!$T$6="Orbital Resonance",POWER(Upgrades!$U$6,E378),1)*IF(Upgrades!$T$7="Orbital Resonance",POWER(Upgrades!$U$7,F378),1)*IF(Upgrades!$T$8="Orbital Resonance",POWER(Upgrades!$U$8,G378),1)*IF(Upgrades!$T$9="Orbital Resonance",POWER(Upgrades!$U$9,H378),1)*IF(Upgrades!$T$11="Orbital Resonance",POWER(Upgrades!$U$11,J378),1)*IF(Upgrades!$T$12="Orbital Resonance",POWER(Upgrades!$U$12,K378),1))+(IF(J378=0,0,(Upgrades!$M$11+J378*Upgrades!$N$11)*POWER(Upgrades!$O$11,J378)))*(IF(Upgrades!$T$6="Heliopause",POWER(Upgrades!$U$6,E378),1)*IF(Upgrades!$T$7="Heliopause",POWER(Upgrades!$U$7,F378),1)*IF(Upgrades!$T$8="Heliopause",POWER(Upgrades!$U$8,G378),1)*IF(Upgrades!$T$9="Heliopause",POWER(Upgrades!$U$9,H378),1)*IF(Upgrades!$T$10="Heliopause",POWER(Upgrades!$U$10,I378),1)*IF(Upgrades!$T$12="Heliopause",POWER(Upgrades!$U$12,K378),1))+(IF(K378=0,0,(Upgrades!$M$12+K378*Upgrades!$N$12)*POWER(Upgrades!$O$12,K378)))*(IF(Upgrades!$T$6="First Photons",POWER(Upgrades!$U$6,E378),1)*IF(Upgrades!$T$7="First Photons",POWER(Upgrades!$U$7,F378),1)*IF(Upgrades!$T$8="First Photons",POWER(Upgrades!$U$8,G378),1)*IF(Upgrades!$T$9="First Photons",POWER(Upgrades!$U$9,H378),1)*IF(Upgrades!$T$10="First Photons",POWER(Upgrades!$U$10,I378),1)*IF(Upgrades!$T$11="First Photons",POWER(Upgrades!$U$11,J378),1)))*POWER(Upgrades!$R$6,E378)*POWER(Upgrades!$R$7,F378)*POWER(Upgrades!$R$8,G378)*POWER(Upgrades!$R$9,H378)*POWER(Upgrades!$R$10,I378)*POWER(Upgrades!$R$11,J378)*POWER(Upgrades!$R$12,K378)</f>
        <v>0</v>
      </c>
      <c r="P378" s="27" t="n">
        <f aca="false">IF(L378=1,0,M378*Parameters!$B$10/60*Parameters!$B$11*10)</f>
        <v>0</v>
      </c>
      <c r="Q378" s="27" t="n">
        <f aca="false">IF(L378=1,0,O378*M378*10)</f>
        <v>0</v>
      </c>
      <c r="R378" s="27" t="n">
        <f aca="false">IF(L378=1,0,N378*10)</f>
        <v>0</v>
      </c>
      <c r="S378" s="27" t="n">
        <f aca="false">P378+Q378+R378</f>
        <v>0</v>
      </c>
      <c r="T378" s="21" t="n">
        <f aca="false">C378+S378</f>
        <v>18.6730249835055</v>
      </c>
      <c r="U378" s="34" t="str">
        <f aca="false">AX378</f>
        <v/>
      </c>
      <c r="V378" s="21" t="n">
        <f aca="false">IF(U378="",0,IF(U378="transition",0,IF(U378="SW",AG378,IF(U378="AB",AH378,IF(U378="SC",AI378,IF(U378="Mag",AJ378,IF(U378="OR",AK378,IF(U378="HP",AL378,IF(U378="FP",AM378,0)))))))))</f>
        <v>0</v>
      </c>
      <c r="W378" s="27" t="n">
        <f aca="false">IF(U378="OR",Upgrades!$F$10,IF(U378="HP",Upgrades!$F$11,IF(U378="transition",-Parameters!$B$18,0)))</f>
        <v>0</v>
      </c>
      <c r="X378" s="21" t="n">
        <f aca="false">T378-V378</f>
        <v>18.6730249835055</v>
      </c>
      <c r="Y378" s="30" t="n">
        <f aca="false">M378*Parameters!$B$10/60*Parameters!$B$11+O378*M378+N378</f>
        <v>20.55</v>
      </c>
      <c r="Z378" s="35" t="str">
        <f aca="false">IF(U378="transition","→ Tier 2 (Stellar Neighborhood)",IF(U378="FP","First Photons — light begins, system quickens",IF(U378="HP","Heliopause acquired",IF(U378="OR","Orbital Resonance — passive multiplier active",IF(AND(AO378=1,L378=0,AN378&lt;&gt;1),"Cohesion ready (waiting on completionist upgrades)","")))))</f>
        <v/>
      </c>
      <c r="AA378" s="27" t="n">
        <f aca="false">(IF(E378=0,0,(Upgrades!$G$6+E378*Upgrades!$H$6)*POWER(Upgrades!$I$6,E378)))*(IF(Upgrades!$T$7="Solar Wind",POWER(Upgrades!$U$7,F378),1)*IF(Upgrades!$T$8="Solar Wind",POWER(Upgrades!$U$8,G378),1)*IF(Upgrades!$T$9="Solar Wind",POWER(Upgrades!$U$9,H378),1)*IF(Upgrades!$T$10="Solar Wind",POWER(Upgrades!$U$10,I378),1)*IF(Upgrades!$T$11="Solar Wind",POWER(Upgrades!$U$11,J378),1)*IF(Upgrades!$T$12="Solar Wind",POWER(Upgrades!$U$12,K378),1))*POWER(Upgrades!$P$6,E378)*POWER(Upgrades!$P$7,F378)*POWER(Upgrades!$P$8,G378)*POWER(Upgrades!$P$9,H378)*POWER(Upgrades!$P$10,I378)*POWER(Upgrades!$P$11,J378)*POWER(Upgrades!$P$12,K378)*60</f>
        <v>72</v>
      </c>
      <c r="AB378" s="27" t="n">
        <f aca="false">(IF(F378=0,0,(Upgrades!$G$7+F378*Upgrades!$H$7)*POWER(Upgrades!$I$7,F378)))*(IF(Upgrades!$T$6="Asteroid Belt",POWER(Upgrades!$U$6,E378),1)*IF(Upgrades!$T$8="Asteroid Belt",POWER(Upgrades!$U$8,G378),1)*IF(Upgrades!$T$9="Asteroid Belt",POWER(Upgrades!$U$9,H378),1)*IF(Upgrades!$T$10="Asteroid Belt",POWER(Upgrades!$U$10,I378),1)*IF(Upgrades!$T$11="Asteroid Belt",POWER(Upgrades!$U$11,J378),1)*IF(Upgrades!$T$12="Asteroid Belt",POWER(Upgrades!$U$12,K378),1))*POWER(Upgrades!$P$6,E378)*POWER(Upgrades!$P$7,F378)*POWER(Upgrades!$P$8,G378)*POWER(Upgrades!$P$9,H378)*POWER(Upgrades!$P$10,I378)*POWER(Upgrades!$P$11,J378)*POWER(Upgrades!$P$12,K378)*60</f>
        <v>150</v>
      </c>
      <c r="AC378" s="27" t="n">
        <f aca="false">(IF(G378=0,0,(Upgrades!$J$8+G378*Upgrades!$K$8)*POWER(Upgrades!$L$8,G378)))*(IF(Upgrades!$T$6="Stellar Coupling",POWER(Upgrades!$U$6,E378),1)*IF(Upgrades!$T$7="Stellar Coupling",POWER(Upgrades!$U$7,F378),1)*IF(Upgrades!$T$9="Stellar Coupling",POWER(Upgrades!$U$9,H378),1)*IF(Upgrades!$T$10="Stellar Coupling",POWER(Upgrades!$U$10,I378),1)*IF(Upgrades!$T$11="Stellar Coupling",POWER(Upgrades!$U$11,J378),1)*IF(Upgrades!$T$12="Stellar Coupling",POWER(Upgrades!$U$12,K378),1))*POWER(Upgrades!$Q$6,E378)*POWER(Upgrades!$Q$7,F378)*POWER(Upgrades!$Q$8,G378)*POWER(Upgrades!$Q$9,H378)*POWER(Upgrades!$Q$10,I378)*POWER(Upgrades!$Q$11,J378)*POWER(Upgrades!$Q$12,K378)*Parameters!$B$10*Parameters!$B$11</f>
        <v>441</v>
      </c>
      <c r="AD378" s="27" t="n">
        <f aca="false">(IF(H378=0,0,(Upgrades!$G$9+H378*Upgrades!$H$9)*POWER(Upgrades!$I$9,H378)))*(IF(Upgrades!$T$6="Magnetosphere",POWER(Upgrades!$U$6,E378),1)*IF(Upgrades!$T$7="Magnetosphere",POWER(Upgrades!$U$7,F378),1)*IF(Upgrades!$T$8="Magnetosphere",POWER(Upgrades!$U$8,G378),1)*IF(Upgrades!$T$10="Magnetosphere",POWER(Upgrades!$U$10,I378),1)*IF(Upgrades!$T$11="Magnetosphere",POWER(Upgrades!$U$11,J378),1)*IF(Upgrades!$T$12="Magnetosphere",POWER(Upgrades!$U$12,K378),1))*POWER(Upgrades!$P$6,E378)*POWER(Upgrades!$P$7,F378)*POWER(Upgrades!$P$8,G378)*POWER(Upgrades!$P$9,H378)*POWER(Upgrades!$P$10,I378)*POWER(Upgrades!$P$11,J378)*POWER(Upgrades!$P$12,K378)*60</f>
        <v>375</v>
      </c>
      <c r="AE378" s="27" t="n">
        <f aca="false">(IF(K378=0,0,(Upgrades!$G$12+K378*Upgrades!$H$12)*POWER(Upgrades!$I$12,K378)))*(IF(Upgrades!$T$6="First Photons",POWER(Upgrades!$U$6,E378),1)*IF(Upgrades!$T$7="First Photons",POWER(Upgrades!$U$7,F378),1)*IF(Upgrades!$T$8="First Photons",POWER(Upgrades!$U$8,G378),1)*IF(Upgrades!$T$9="First Photons",POWER(Upgrades!$U$9,H378),1)*IF(Upgrades!$T$10="First Photons",POWER(Upgrades!$U$10,I378),1)*IF(Upgrades!$T$11="First Photons",POWER(Upgrades!$U$11,J378),1))*POWER(Upgrades!$P$6,E378)*POWER(Upgrades!$P$7,F378)*POWER(Upgrades!$P$8,G378)*POWER(Upgrades!$P$9,H378)*POWER(Upgrades!$P$10,I378)*POWER(Upgrades!$P$11,J378)*POWER(Upgrades!$P$12,K378)*60</f>
        <v>75</v>
      </c>
      <c r="AF378" s="27" t="n">
        <f aca="false">Parameters!$B$9*POWER(Upgrades!$Q$6,E378)*POWER(Upgrades!$Q$7,F378)*POWER(Upgrades!$Q$8,G378)*POWER(Upgrades!$Q$9,H378)*POWER(Upgrades!$Q$10,I378)*POWER(Upgrades!$Q$11,J378)*POWER(Upgrades!$Q$12,K378)*(Parameters!$B$10*Parameters!$B$11+O378*60)</f>
        <v>120</v>
      </c>
      <c r="AG378" s="21" t="n">
        <f aca="false">IF(E378&gt;=Upgrades!$E$6,"",Upgrades!$C$6*POWER(Upgrades!$D$6,E378))</f>
        <v>37.4517507383159</v>
      </c>
      <c r="AH378" s="21" t="n">
        <f aca="false">IF(F378&gt;=Upgrades!$E$7,"",Upgrades!$C$7*POWER(Upgrades!$D$7,F378))</f>
        <v>80.9111547141581</v>
      </c>
      <c r="AI378" s="21" t="n">
        <f aca="false">IF(G378&gt;=Upgrades!$E$8,"",Upgrades!$C$8*POWER(Upgrades!$D$8,G378))</f>
        <v>231.9097088</v>
      </c>
      <c r="AJ378" s="21" t="str">
        <f aca="false">IF(H378&gt;=Upgrades!$E$9,"",Upgrades!$C$9*POWER(Upgrades!$D$9,H378))</f>
        <v/>
      </c>
      <c r="AK378" s="21" t="str">
        <f aca="false">IF(I378&gt;=Upgrades!$E$10,"",Upgrades!$C$10*POWER(Upgrades!$D$10,I378))</f>
        <v/>
      </c>
      <c r="AL378" s="21" t="str">
        <f aca="false">IF(J378&gt;=Upgrades!$E$11,"",Upgrades!$C$11*POWER(Upgrades!$D$11,J378))</f>
        <v/>
      </c>
      <c r="AM378" s="21" t="str">
        <f aca="false">IF(K378&gt;=Upgrades!$E$12,"",Upgrades!$C$12*POWER(Upgrades!$D$12,K378))</f>
        <v/>
      </c>
      <c r="AN378" s="26" t="str">
        <f aca="false">IF(AND(D378&gt;=Parameters!$B$18,(H378&gt;=Upgrades!$E$9)*(K378&gt;=Upgrades!$E$12)=1,L378=0),1,"")</f>
        <v/>
      </c>
      <c r="AO378" s="26" t="str">
        <f aca="false">IF(AND(D378&gt;=Parameters!$B$18,L378=0),1,"")</f>
        <v/>
      </c>
      <c r="AP378" s="21" t="n">
        <f aca="false">MIN(IF(ISNUMBER(AK378),AK378,9000000000000000),IF(ISNUMBER(AL378),AL378,9000000000000000),IF(ISNUMBER(AM378),AM378,9000000000000000))</f>
        <v>9000000000000000</v>
      </c>
      <c r="AQ378" s="21" t="n">
        <f aca="false">MIN(IF(ISNUMBER(AG378),AG378,9000000000000000),IF(ISNUMBER(AH378),AH378,9000000000000000),IF(ISNUMBER(AI378),AI378,9000000000000000),IF(ISNUMBER(AJ378),AJ378,9000000000000000))</f>
        <v>37.4517507383159</v>
      </c>
      <c r="AR378" s="32" t="b">
        <f aca="false">IF(AW378&gt;Parameters!$B$21*(MAX(IF(AND(NOT(AND(AO378=1,AN378&lt;&gt;1)),ISNUMBER(AG378),AG378&lt;=T378),AS378,0),IF(AND(NOT(AND(AO378=1,AN378&lt;&gt;1)),ISNUMBER(AH378),AH378&lt;=T378),AT378,0),IF(AND(NOT(AND(AO378=1,AN378&lt;&gt;1)),ISNUMBER(AI378),AI378&lt;=T378),AU378,0),IF(AND(ISNUMBER(AJ378),AJ378&lt;=T378),AV378,0))),TRUE(),FALSE())</f>
        <v>1</v>
      </c>
      <c r="AS378" s="33" t="n">
        <f aca="false">IFERROR(Upgrades!$H$6*(POWER(Upgrades!$P$6,E378)*POWER(Upgrades!$P$7,F378)*POWER(Upgrades!$P$8,G378)*POWER(Upgrades!$P$9,H378)*POWER(Upgrades!$P$10,I378)*POWER(Upgrades!$P$11,J378)*POWER(Upgrades!$P$12,K378))*(IF(Upgrades!$T$7="Solar Wind",POWER(Upgrades!$U$7,F378),1)*IF(Upgrades!$T$8="Solar Wind",POWER(Upgrades!$U$8,G378),1)*IF(Upgrades!$T$9="Solar Wind",POWER(Upgrades!$U$9,H378),1)*IF(Upgrades!$T$10="Solar Wind",POWER(Upgrades!$U$10,I378),1)*IF(Upgrades!$T$11="Solar Wind",POWER(Upgrades!$U$11,J378),1)*IF(Upgrades!$T$12="Solar Wind",POWER(Upgrades!$U$12,K378),1))/AG378,0)</f>
        <v>0.0026701021455238</v>
      </c>
      <c r="AT378" s="33" t="n">
        <f aca="false">IFERROR(Upgrades!$H$7*(POWER(Upgrades!$P$6,E378)*POWER(Upgrades!$P$7,F378)*POWER(Upgrades!$P$8,G378)*POWER(Upgrades!$P$9,H378)*POWER(Upgrades!$P$10,I378)*POWER(Upgrades!$P$11,J378)*POWER(Upgrades!$P$12,K378))*(IF(Upgrades!$T$6="Asteroid Belt",POWER(Upgrades!$U$6,E378),1)*IF(Upgrades!$T$8="Asteroid Belt",POWER(Upgrades!$U$8,G378),1)*IF(Upgrades!$T$9="Asteroid Belt",POWER(Upgrades!$U$9,H378),1)*IF(Upgrades!$T$10="Asteroid Belt",POWER(Upgrades!$U$10,I378),1)*IF(Upgrades!$T$11="Asteroid Belt",POWER(Upgrades!$U$11,J378),1)*IF(Upgrades!$T$12="Asteroid Belt",POWER(Upgrades!$U$12,K378),1))/AH378,0)</f>
        <v>0.00308980882652332</v>
      </c>
      <c r="AU378" s="33" t="n">
        <f aca="false">IFERROR(Upgrades!$K$8*(POWER(Upgrades!$Q$6,E378)*POWER(Upgrades!$Q$7,F378)*POWER(Upgrades!$Q$8,G378)*POWER(Upgrades!$Q$9,H378)*POWER(Upgrades!$Q$10,I378)*POWER(Upgrades!$Q$11,J378)*POWER(Upgrades!$Q$12,K378))*(IF(Upgrades!$T$6="Stellar Coupling",POWER(Upgrades!$U$6,E378),1)*IF(Upgrades!$T$7="Stellar Coupling",POWER(Upgrades!$U$7,F378),1)*IF(Upgrades!$T$9="Stellar Coupling",POWER(Upgrades!$U$9,H378),1)*IF(Upgrades!$T$10="Stellar Coupling",POWER(Upgrades!$U$10,I378),1)*IF(Upgrades!$T$11="Stellar Coupling",POWER(Upgrades!$U$11,J378),1)*IF(Upgrades!$T$12="Stellar Coupling",POWER(Upgrades!$U$12,K378),1))*Parameters!$B$10*Parameters!$B$11/60/AI378,0)</f>
        <v>0.00452762415783776</v>
      </c>
      <c r="AV378" s="33" t="n">
        <f aca="false">IFERROR(Upgrades!$H$9*(POWER(Upgrades!$P$6,E378)*POWER(Upgrades!$P$7,F378)*POWER(Upgrades!$P$8,G378)*POWER(Upgrades!$P$9,H378)*POWER(Upgrades!$P$10,I378)*POWER(Upgrades!$P$11,J378)*POWER(Upgrades!$P$12,K378))*(IF(Upgrades!$T$6="Magnetosphere",POWER(Upgrades!$U$6,E378),1)*IF(Upgrades!$T$7="Magnetosphere",POWER(Upgrades!$U$7,F378),1)*IF(Upgrades!$T$8="Magnetosphere",POWER(Upgrades!$U$8,G378),1)*IF(Upgrades!$T$10="Magnetosphere",POWER(Upgrades!$U$10,I378),1)*IF(Upgrades!$T$11="Magnetosphere",POWER(Upgrades!$U$11,J378),1)*IF(Upgrades!$T$12="Magnetosphere",POWER(Upgrades!$U$12,K378),1))/AJ378,0)</f>
        <v>0</v>
      </c>
      <c r="AW378" s="33" t="n">
        <f aca="false">MAX(IF(I378&gt;0,0,IFERROR(0.25*N378/Upgrades!$C$10,0)),IF(J378&gt;0,0,IFERROR(0.5*((IF(G378=0,0,(Upgrades!$J$8+G378*Upgrades!$K$8)*POWER(Upgrades!$L$8,G378)))*(IF(Upgrades!$T$6="Stellar Coupling",POWER(Upgrades!$U$6,E378),1)*IF(Upgrades!$T$7="Stellar Coupling",POWER(Upgrades!$U$7,F378),1)*IF(Upgrades!$T$9="Stellar Coupling",POWER(Upgrades!$U$9,H378),1)*IF(Upgrades!$T$10="Stellar Coupling",POWER(Upgrades!$U$10,I378),1)*IF(Upgrades!$T$11="Stellar Coupling",POWER(Upgrades!$U$11,J378),1)*IF(Upgrades!$T$12="Stellar Coupling",POWER(Upgrades!$U$12,K378),1))*(POWER(Upgrades!$Q$6,E378)*POWER(Upgrades!$Q$7,F378)*POWER(Upgrades!$Q$8,G378)*POWER(Upgrades!$Q$9,H378)*POWER(Upgrades!$Q$10,I378)*POWER(Upgrades!$Q$11,J378)*POWER(Upgrades!$Q$12,K378))*Parameters!$B$10*Parameters!$B$11/60)/Upgrades!$C$11,0)),IF(K378&gt;0,0,IFERROR((1*(POWER(Upgrades!$P$6,E378)*POWER(Upgrades!$P$7,F378)*POWER(Upgrades!$P$8,G378)*POWER(Upgrades!$P$9,H378)*POWER(Upgrades!$P$10,I378)*POWER(Upgrades!$P$11,J378)*POWER(Upgrades!$P$12,K378))+0.2*M378*Parameters!$B$10*Parameters!$B$11/60)/Upgrades!$C$12,0)),IF(AND(ISNUMBER(AG378),AG378&gt;T378),AS378,0),IF(AND(ISNUMBER(AH378),AH378&gt;T378),AT378,0),IF(AND(ISNUMBER(AI378),AI378&gt;T378),AU378,0),IF(AND(ISNUMBER(AJ378),AJ378&gt;T378),AV378,0))</f>
        <v>0.00452762415783776</v>
      </c>
      <c r="AX378" s="29" t="str">
        <f aca="false">IF(AN378=1,"transition",IF(MIN(IF(AND(I378=0,ISNUMBER(AK378),AK378&lt;=T378),AK378,9000000000000000),IF(AND(J378=0,ISNUMBER(AL378),AL378&lt;=T378),AL378,9000000000000000),IF(AND(K378=0,ISNUMBER(AM378),AM378&lt;=T378),AM378,9000000000000000))&lt;9000000000000000,IF(AND(AND(I378=0,ISNUMBER(AK378),AK378&lt;=T378),AK378=MIN(IF(AND(I378=0,ISNUMBER(AK378),AK378&lt;=T378),AK378,9000000000000000),IF(AND(J378=0,ISNUMBER(AL378),AL378&lt;=T378),AL378,9000000000000000),IF(AND(K378=0,ISNUMBER(AM378),AM378&lt;=T378),AM378,9000000000000000))),"OR",IF(AND(AND(J378=0,ISNUMBER(AL378),AL378&lt;=T378),AL378=MIN(IF(AND(I378=0,ISNUMBER(AK378),AK378&lt;=T378),AK378,9000000000000000),IF(AND(J378=0,ISNUMBER(AL378),AL378&lt;=T378),AL378,9000000000000000),IF(AND(K378=0,ISNUMBER(AM378),AM378&lt;=T378),AM378,9000000000000000))),"HP","FP")),IF(AR378=TRUE(),"",IF(MAX(IF(AND(NOT(AND(AO378=1,AN378&lt;&gt;1)),ISNUMBER(AG378),AG378&lt;=T378),AS378,0),IF(AND(NOT(AND(AO378=1,AN378&lt;&gt;1)),ISNUMBER(AH378),AH378&lt;=T378),AT378,0),IF(AND(NOT(AND(AO378=1,AN378&lt;&gt;1)),ISNUMBER(AI378),AI378&lt;=T378),AU378,0),IF(AND(ISNUMBER(AJ378),AJ378&lt;=T378),AV378,0))&lt;=0,"",IF(AND(IF(AND(NOT(AND(AO378=1,AN378&lt;&gt;1)),ISNUMBER(AG378),AG378&lt;=T378),AS378,0)&gt;0,IF(AND(NOT(AND(AO378=1,AN378&lt;&gt;1)),ISNUMBER(AG378),AG378&lt;=T378),AS378,0)=MAX(IF(AND(NOT(AND(AO378=1,AN378&lt;&gt;1)),ISNUMBER(AG378),AG378&lt;=T378),AS378,0),IF(AND(NOT(AND(AO378=1,AN378&lt;&gt;1)),ISNUMBER(AH378),AH378&lt;=T378),AT378,0),IF(AND(NOT(AND(AO378=1,AN378&lt;&gt;1)),ISNUMBER(AI378),AI378&lt;=T378),AU378,0),IF(AND(ISNUMBER(AJ378),AJ378&lt;=T378),AV378,0))),"SW",IF(AND(IF(AND(NOT(AND(AO378=1,AN378&lt;&gt;1)),ISNUMBER(AH378),AH378&lt;=T378),AT378,0)&gt;0,IF(AND(NOT(AND(AO378=1,AN378&lt;&gt;1)),ISNUMBER(AH378),AH378&lt;=T378),AT378,0)=MAX(IF(AND(NOT(AND(AO378=1,AN378&lt;&gt;1)),ISNUMBER(AG378),AG378&lt;=T378),AS378,0),IF(AND(NOT(AND(AO378=1,AN378&lt;&gt;1)),ISNUMBER(AH378),AH378&lt;=T378),AT378,0),IF(AND(NOT(AND(AO378=1,AN378&lt;&gt;1)),ISNUMBER(AI378),AI378&lt;=T378),AU378,0),IF(AND(ISNUMBER(AJ378),AJ378&lt;=T378),AV378,0))),"AB",IF(AND(IF(AND(NOT(AND(AO378=1,AN378&lt;&gt;1)),ISNUMBER(AI378),AI378&lt;=T378),AU378,0)&gt;0,IF(AND(NOT(AND(AO378=1,AN378&lt;&gt;1)),ISNUMBER(AI378),AI378&lt;=T378),AU378,0)=MAX(IF(AND(NOT(AND(AO378=1,AN378&lt;&gt;1)),ISNUMBER(AG378),AG378&lt;=T378),AS378,0),IF(AND(NOT(AND(AO378=1,AN378&lt;&gt;1)),ISNUMBER(AH378),AH378&lt;=T378),AT378,0),IF(AND(NOT(AND(AO378=1,AN378&lt;&gt;1)),ISNUMBER(AI378),AI378&lt;=T378),AU378,0),IF(AND(ISNUMBER(AJ378),AJ378&lt;=T378),AV378,0))),"SC","Mag")))))))</f>
        <v/>
      </c>
    </row>
    <row r="379" customFormat="false" ht="15" hidden="false" customHeight="false" outlineLevel="0" collapsed="false">
      <c r="A379" s="26" t="n">
        <v>374</v>
      </c>
      <c r="B379" s="27" t="n">
        <f aca="false">A379*10/60</f>
        <v>62.3333333333333</v>
      </c>
      <c r="C379" s="21" t="n">
        <f aca="false">X378</f>
        <v>18.6730249835055</v>
      </c>
      <c r="D379" s="27" t="n">
        <f aca="false">D378+W378</f>
        <v>0</v>
      </c>
      <c r="E379" s="26" t="n">
        <f aca="false">E378+IF(U378="SW",1,0)</f>
        <v>12</v>
      </c>
      <c r="F379" s="26" t="n">
        <f aca="false">F378+IF(U378="AB",1,0)</f>
        <v>10</v>
      </c>
      <c r="G379" s="26" t="n">
        <f aca="false">G378+IF(U378="SC",1,0)</f>
        <v>7</v>
      </c>
      <c r="H379" s="26" t="n">
        <f aca="false">H378+IF(U378="Mag",1,0)</f>
        <v>5</v>
      </c>
      <c r="I379" s="26" t="n">
        <f aca="false">MAX(I378,IF(U378="OR",1,0))</f>
        <v>1</v>
      </c>
      <c r="J379" s="26" t="n">
        <f aca="false">MAX(J378,IF(U378="HP",1,0))</f>
        <v>1</v>
      </c>
      <c r="K379" s="26" t="n">
        <f aca="false">MAX(K378,IF(U378="FP",1,0))</f>
        <v>1</v>
      </c>
      <c r="L379" s="26" t="n">
        <f aca="false">MAX(L378,IF(U378="transition",1,0))</f>
        <v>1</v>
      </c>
      <c r="M379" s="28" t="n">
        <f aca="false">(Parameters!$B$9+(IF(E379=0,0,(Upgrades!$J$6+E379*Upgrades!$K$6)*POWER(Upgrades!$L$6,E379)))*(IF(Upgrades!$T$7="Solar Wind",POWER(Upgrades!$U$7,F379),1)*IF(Upgrades!$T$8="Solar Wind",POWER(Upgrades!$U$8,G379),1)*IF(Upgrades!$T$9="Solar Wind",POWER(Upgrades!$U$9,H379),1)*IF(Upgrades!$T$10="Solar Wind",POWER(Upgrades!$U$10,I379),1)*IF(Upgrades!$T$11="Solar Wind",POWER(Upgrades!$U$11,J379),1)*IF(Upgrades!$T$12="Solar Wind",POWER(Upgrades!$U$12,K379),1))+(IF(F379=0,0,(Upgrades!$J$7+F379*Upgrades!$K$7)*POWER(Upgrades!$L$7,F379)))*(IF(Upgrades!$T$6="Asteroid Belt",POWER(Upgrades!$U$6,E379),1)*IF(Upgrades!$T$8="Asteroid Belt",POWER(Upgrades!$U$8,G379),1)*IF(Upgrades!$T$9="Asteroid Belt",POWER(Upgrades!$U$9,H379),1)*IF(Upgrades!$T$10="Asteroid Belt",POWER(Upgrades!$U$10,I379),1)*IF(Upgrades!$T$11="Asteroid Belt",POWER(Upgrades!$U$11,J379),1)*IF(Upgrades!$T$12="Asteroid Belt",POWER(Upgrades!$U$12,K379),1))+(IF(G379=0,0,(Upgrades!$J$8+G379*Upgrades!$K$8)*POWER(Upgrades!$L$8,G379)))*(IF(Upgrades!$T$6="Stellar Coupling",POWER(Upgrades!$U$6,E379),1)*IF(Upgrades!$T$7="Stellar Coupling",POWER(Upgrades!$U$7,F379),1)*IF(Upgrades!$T$9="Stellar Coupling",POWER(Upgrades!$U$9,H379),1)*IF(Upgrades!$T$10="Stellar Coupling",POWER(Upgrades!$U$10,I379),1)*IF(Upgrades!$T$11="Stellar Coupling",POWER(Upgrades!$U$11,J379),1)*IF(Upgrades!$T$12="Stellar Coupling",POWER(Upgrades!$U$12,K379),1))+(IF(H379=0,0,(Upgrades!$J$9+H379*Upgrades!$K$9)*POWER(Upgrades!$L$9,H379)))*(IF(Upgrades!$T$6="Magnetosphere",POWER(Upgrades!$U$6,E379),1)*IF(Upgrades!$T$7="Magnetosphere",POWER(Upgrades!$U$7,F379),1)*IF(Upgrades!$T$8="Magnetosphere",POWER(Upgrades!$U$8,G379),1)*IF(Upgrades!$T$10="Magnetosphere",POWER(Upgrades!$U$10,I379),1)*IF(Upgrades!$T$11="Magnetosphere",POWER(Upgrades!$U$11,J379),1)*IF(Upgrades!$T$12="Magnetosphere",POWER(Upgrades!$U$12,K379),1))+(IF(I379=0,0,(Upgrades!$J$10+I379*Upgrades!$K$10)*POWER(Upgrades!$L$10,I379)))*(IF(Upgrades!$T$6="Orbital Resonance",POWER(Upgrades!$U$6,E379),1)*IF(Upgrades!$T$7="Orbital Resonance",POWER(Upgrades!$U$7,F379),1)*IF(Upgrades!$T$8="Orbital Resonance",POWER(Upgrades!$U$8,G379),1)*IF(Upgrades!$T$9="Orbital Resonance",POWER(Upgrades!$U$9,H379),1)*IF(Upgrades!$T$11="Orbital Resonance",POWER(Upgrades!$U$11,J379),1)*IF(Upgrades!$T$12="Orbital Resonance",POWER(Upgrades!$U$12,K379),1))+(IF(J379=0,0,(Upgrades!$J$11+J379*Upgrades!$K$11)*POWER(Upgrades!$L$11,J379)))*(IF(Upgrades!$T$6="Heliopause",POWER(Upgrades!$U$6,E379),1)*IF(Upgrades!$T$7="Heliopause",POWER(Upgrades!$U$7,F379),1)*IF(Upgrades!$T$8="Heliopause",POWER(Upgrades!$U$8,G379),1)*IF(Upgrades!$T$9="Heliopause",POWER(Upgrades!$U$9,H379),1)*IF(Upgrades!$T$10="Heliopause",POWER(Upgrades!$U$10,I379),1)*IF(Upgrades!$T$12="Heliopause",POWER(Upgrades!$U$12,K379),1))+(IF(K379=0,0,(Upgrades!$J$12+K379*Upgrades!$K$12)*POWER(Upgrades!$L$12,K379)))*(IF(Upgrades!$T$6="First Photons",POWER(Upgrades!$U$6,E379),1)*IF(Upgrades!$T$7="First Photons",POWER(Upgrades!$U$7,F379),1)*IF(Upgrades!$T$8="First Photons",POWER(Upgrades!$U$8,G379),1)*IF(Upgrades!$T$9="First Photons",POWER(Upgrades!$U$9,H379),1)*IF(Upgrades!$T$10="First Photons",POWER(Upgrades!$U$10,I379),1)*IF(Upgrades!$T$11="First Photons",POWER(Upgrades!$U$11,J379),1)))*POWER(Upgrades!$Q$6,E379)*POWER(Upgrades!$Q$7,F379)*POWER(Upgrades!$Q$8,G379)*POWER(Upgrades!$Q$9,H379)*POWER(Upgrades!$Q$10,I379)*POWER(Upgrades!$Q$11,J379)*POWER(Upgrades!$Q$12,K379)</f>
        <v>5.61</v>
      </c>
      <c r="N379" s="28" t="n">
        <f aca="false">((IF(E379=0,0,(Upgrades!$G$6+E379*Upgrades!$H$6)*POWER(Upgrades!$I$6,E379)))*(IF(Upgrades!$T$7="Solar Wind",POWER(Upgrades!$U$7,F379),1)*IF(Upgrades!$T$8="Solar Wind",POWER(Upgrades!$U$8,G379),1)*IF(Upgrades!$T$9="Solar Wind",POWER(Upgrades!$U$9,H379),1)*IF(Upgrades!$T$10="Solar Wind",POWER(Upgrades!$U$10,I379),1)*IF(Upgrades!$T$11="Solar Wind",POWER(Upgrades!$U$11,J379),1)*IF(Upgrades!$T$12="Solar Wind",POWER(Upgrades!$U$12,K379),1))+(IF(F379=0,0,(Upgrades!$G$7+F379*Upgrades!$H$7)*POWER(Upgrades!$I$7,F379)))*(IF(Upgrades!$T$6="Asteroid Belt",POWER(Upgrades!$U$6,E379),1)*IF(Upgrades!$T$8="Asteroid Belt",POWER(Upgrades!$U$8,G379),1)*IF(Upgrades!$T$9="Asteroid Belt",POWER(Upgrades!$U$9,H379),1)*IF(Upgrades!$T$10="Asteroid Belt",POWER(Upgrades!$U$10,I379),1)*IF(Upgrades!$T$11="Asteroid Belt",POWER(Upgrades!$U$11,J379),1)*IF(Upgrades!$T$12="Asteroid Belt",POWER(Upgrades!$U$12,K379),1))+(IF(G379=0,0,(Upgrades!$G$8+G379*Upgrades!$H$8)*POWER(Upgrades!$I$8,G379)))*(IF(Upgrades!$T$6="Stellar Coupling",POWER(Upgrades!$U$6,E379),1)*IF(Upgrades!$T$7="Stellar Coupling",POWER(Upgrades!$U$7,F379),1)*IF(Upgrades!$T$9="Stellar Coupling",POWER(Upgrades!$U$9,H379),1)*IF(Upgrades!$T$10="Stellar Coupling",POWER(Upgrades!$U$10,I379),1)*IF(Upgrades!$T$11="Stellar Coupling",POWER(Upgrades!$U$11,J379),1)*IF(Upgrades!$T$12="Stellar Coupling",POWER(Upgrades!$U$12,K379),1))+(IF(H379=0,0,(Upgrades!$G$9+H379*Upgrades!$H$9)*POWER(Upgrades!$I$9,H379)))*(IF(Upgrades!$T$6="Magnetosphere",POWER(Upgrades!$U$6,E379),1)*IF(Upgrades!$T$7="Magnetosphere",POWER(Upgrades!$U$7,F379),1)*IF(Upgrades!$T$8="Magnetosphere",POWER(Upgrades!$U$8,G379),1)*IF(Upgrades!$T$10="Magnetosphere",POWER(Upgrades!$U$10,I379),1)*IF(Upgrades!$T$11="Magnetosphere",POWER(Upgrades!$U$11,J379),1)*IF(Upgrades!$T$12="Magnetosphere",POWER(Upgrades!$U$12,K379),1))+(IF(I379=0,0,(Upgrades!$G$10+I379*Upgrades!$H$10)*POWER(Upgrades!$I$10,I379)))*(IF(Upgrades!$T$6="Orbital Resonance",POWER(Upgrades!$U$6,E379),1)*IF(Upgrades!$T$7="Orbital Resonance",POWER(Upgrades!$U$7,F379),1)*IF(Upgrades!$T$8="Orbital Resonance",POWER(Upgrades!$U$8,G379),1)*IF(Upgrades!$T$9="Orbital Resonance",POWER(Upgrades!$U$9,H379),1)*IF(Upgrades!$T$11="Orbital Resonance",POWER(Upgrades!$U$11,J379),1)*IF(Upgrades!$T$12="Orbital Resonance",POWER(Upgrades!$U$12,K379),1))+(IF(J379=0,0,(Upgrades!$G$11+J379*Upgrades!$H$11)*POWER(Upgrades!$I$11,J379)))*(IF(Upgrades!$T$6="Heliopause",POWER(Upgrades!$U$6,E379),1)*IF(Upgrades!$T$7="Heliopause",POWER(Upgrades!$U$7,F379),1)*IF(Upgrades!$T$8="Heliopause",POWER(Upgrades!$U$8,G379),1)*IF(Upgrades!$T$9="Heliopause",POWER(Upgrades!$U$9,H379),1)*IF(Upgrades!$T$10="Heliopause",POWER(Upgrades!$U$10,I379),1)*IF(Upgrades!$T$12="Heliopause",POWER(Upgrades!$U$12,K379),1))+(IF(K379=0,0,(Upgrades!$G$12+K379*Upgrades!$H$12)*POWER(Upgrades!$I$12,K379)))*(IF(Upgrades!$T$6="First Photons",POWER(Upgrades!$U$6,E379),1)*IF(Upgrades!$T$7="First Photons",POWER(Upgrades!$U$7,F379),1)*IF(Upgrades!$T$8="First Photons",POWER(Upgrades!$U$8,G379),1)*IF(Upgrades!$T$9="First Photons",POWER(Upgrades!$U$9,H379),1)*IF(Upgrades!$T$10="First Photons",POWER(Upgrades!$U$10,I379),1)*IF(Upgrades!$T$11="First Photons",POWER(Upgrades!$U$11,J379),1)))*POWER(Upgrades!$P$6,E379)*POWER(Upgrades!$P$7,F379)*POWER(Upgrades!$P$8,G379)*POWER(Upgrades!$P$9,H379)*POWER(Upgrades!$P$10,I379)*POWER(Upgrades!$P$11,J379)*POWER(Upgrades!$P$12,K379)</f>
        <v>11.2</v>
      </c>
      <c r="O379" s="28" t="n">
        <f aca="false">((IF(E379=0,0,(Upgrades!$M$6+E379*Upgrades!$N$6)*POWER(Upgrades!$O$6,E379)))*(IF(Upgrades!$T$7="Solar Wind",POWER(Upgrades!$U$7,F379),1)*IF(Upgrades!$T$8="Solar Wind",POWER(Upgrades!$U$8,G379),1)*IF(Upgrades!$T$9="Solar Wind",POWER(Upgrades!$U$9,H379),1)*IF(Upgrades!$T$10="Solar Wind",POWER(Upgrades!$U$10,I379),1)*IF(Upgrades!$T$11="Solar Wind",POWER(Upgrades!$U$11,J379),1)*IF(Upgrades!$T$12="Solar Wind",POWER(Upgrades!$U$12,K379),1))+(IF(F379=0,0,(Upgrades!$M$7+F379*Upgrades!$N$7)*POWER(Upgrades!$O$7,F379)))*(IF(Upgrades!$T$6="Asteroid Belt",POWER(Upgrades!$U$6,E379),1)*IF(Upgrades!$T$8="Asteroid Belt",POWER(Upgrades!$U$8,G379),1)*IF(Upgrades!$T$9="Asteroid Belt",POWER(Upgrades!$U$9,H379),1)*IF(Upgrades!$T$10="Asteroid Belt",POWER(Upgrades!$U$10,I379),1)*IF(Upgrades!$T$11="Asteroid Belt",POWER(Upgrades!$U$11,J379),1)*IF(Upgrades!$T$12="Asteroid Belt",POWER(Upgrades!$U$12,K379),1))+(IF(G379=0,0,(Upgrades!$M$8+G379*Upgrades!$N$8)*POWER(Upgrades!$O$8,G379)))*(IF(Upgrades!$T$6="Stellar Coupling",POWER(Upgrades!$U$6,E379),1)*IF(Upgrades!$T$7="Stellar Coupling",POWER(Upgrades!$U$7,F379),1)*IF(Upgrades!$T$9="Stellar Coupling",POWER(Upgrades!$U$9,H379),1)*IF(Upgrades!$T$10="Stellar Coupling",POWER(Upgrades!$U$10,I379),1)*IF(Upgrades!$T$11="Stellar Coupling",POWER(Upgrades!$U$11,J379),1)*IF(Upgrades!$T$12="Stellar Coupling",POWER(Upgrades!$U$12,K379),1))+(IF(H379=0,0,(Upgrades!$M$9+H379*Upgrades!$N$9)*POWER(Upgrades!$O$9,H379)))*(IF(Upgrades!$T$6="Magnetosphere",POWER(Upgrades!$U$6,E379),1)*IF(Upgrades!$T$7="Magnetosphere",POWER(Upgrades!$U$7,F379),1)*IF(Upgrades!$T$8="Magnetosphere",POWER(Upgrades!$U$8,G379),1)*IF(Upgrades!$T$10="Magnetosphere",POWER(Upgrades!$U$10,I379),1)*IF(Upgrades!$T$11="Magnetosphere",POWER(Upgrades!$U$11,J379),1)*IF(Upgrades!$T$12="Magnetosphere",POWER(Upgrades!$U$12,K379),1))+(IF(I379=0,0,(Upgrades!$M$10+I379*Upgrades!$N$10)*POWER(Upgrades!$O$10,I379)))*(IF(Upgrades!$T$6="Orbital Resonance",POWER(Upgrades!$U$6,E379),1)*IF(Upgrades!$T$7="Orbital Resonance",POWER(Upgrades!$U$7,F379),1)*IF(Upgrades!$T$8="Orbital Resonance",POWER(Upgrades!$U$8,G379),1)*IF(Upgrades!$T$9="Orbital Resonance",POWER(Upgrades!$U$9,H379),1)*IF(Upgrades!$T$11="Orbital Resonance",POWER(Upgrades!$U$11,J379),1)*IF(Upgrades!$T$12="Orbital Resonance",POWER(Upgrades!$U$12,K379),1))+(IF(J379=0,0,(Upgrades!$M$11+J379*Upgrades!$N$11)*POWER(Upgrades!$O$11,J379)))*(IF(Upgrades!$T$6="Heliopause",POWER(Upgrades!$U$6,E379),1)*IF(Upgrades!$T$7="Heliopause",POWER(Upgrades!$U$7,F379),1)*IF(Upgrades!$T$8="Heliopause",POWER(Upgrades!$U$8,G379),1)*IF(Upgrades!$T$9="Heliopause",POWER(Upgrades!$U$9,H379),1)*IF(Upgrades!$T$10="Heliopause",POWER(Upgrades!$U$10,I379),1)*IF(Upgrades!$T$12="Heliopause",POWER(Upgrades!$U$12,K379),1))+(IF(K379=0,0,(Upgrades!$M$12+K379*Upgrades!$N$12)*POWER(Upgrades!$O$12,K379)))*(IF(Upgrades!$T$6="First Photons",POWER(Upgrades!$U$6,E379),1)*IF(Upgrades!$T$7="First Photons",POWER(Upgrades!$U$7,F379),1)*IF(Upgrades!$T$8="First Photons",POWER(Upgrades!$U$8,G379),1)*IF(Upgrades!$T$9="First Photons",POWER(Upgrades!$U$9,H379),1)*IF(Upgrades!$T$10="First Photons",POWER(Upgrades!$U$10,I379),1)*IF(Upgrades!$T$11="First Photons",POWER(Upgrades!$U$11,J379),1)))*POWER(Upgrades!$R$6,E379)*POWER(Upgrades!$R$7,F379)*POWER(Upgrades!$R$8,G379)*POWER(Upgrades!$R$9,H379)*POWER(Upgrades!$R$10,I379)*POWER(Upgrades!$R$11,J379)*POWER(Upgrades!$R$12,K379)</f>
        <v>0</v>
      </c>
      <c r="P379" s="27" t="n">
        <f aca="false">IF(L379=1,0,M379*Parameters!$B$10/60*Parameters!$B$11*10)</f>
        <v>0</v>
      </c>
      <c r="Q379" s="27" t="n">
        <f aca="false">IF(L379=1,0,O379*M379*10)</f>
        <v>0</v>
      </c>
      <c r="R379" s="27" t="n">
        <f aca="false">IF(L379=1,0,N379*10)</f>
        <v>0</v>
      </c>
      <c r="S379" s="27" t="n">
        <f aca="false">P379+Q379+R379</f>
        <v>0</v>
      </c>
      <c r="T379" s="21" t="n">
        <f aca="false">C379+S379</f>
        <v>18.6730249835055</v>
      </c>
      <c r="U379" s="34" t="str">
        <f aca="false">AX379</f>
        <v/>
      </c>
      <c r="V379" s="21" t="n">
        <f aca="false">IF(U379="",0,IF(U379="transition",0,IF(U379="SW",AG379,IF(U379="AB",AH379,IF(U379="SC",AI379,IF(U379="Mag",AJ379,IF(U379="OR",AK379,IF(U379="HP",AL379,IF(U379="FP",AM379,0)))))))))</f>
        <v>0</v>
      </c>
      <c r="W379" s="27" t="n">
        <f aca="false">IF(U379="OR",Upgrades!$F$10,IF(U379="HP",Upgrades!$F$11,IF(U379="transition",-Parameters!$B$18,0)))</f>
        <v>0</v>
      </c>
      <c r="X379" s="21" t="n">
        <f aca="false">T379-V379</f>
        <v>18.6730249835055</v>
      </c>
      <c r="Y379" s="30" t="n">
        <f aca="false">M379*Parameters!$B$10/60*Parameters!$B$11+O379*M379+N379</f>
        <v>20.55</v>
      </c>
      <c r="Z379" s="35" t="str">
        <f aca="false">IF(U379="transition","→ Tier 2 (Stellar Neighborhood)",IF(U379="FP","First Photons — light begins, system quickens",IF(U379="HP","Heliopause acquired",IF(U379="OR","Orbital Resonance — passive multiplier active",IF(AND(AO379=1,L379=0,AN379&lt;&gt;1),"Cohesion ready (waiting on completionist upgrades)","")))))</f>
        <v/>
      </c>
      <c r="AA379" s="27" t="n">
        <f aca="false">(IF(E379=0,0,(Upgrades!$G$6+E379*Upgrades!$H$6)*POWER(Upgrades!$I$6,E379)))*(IF(Upgrades!$T$7="Solar Wind",POWER(Upgrades!$U$7,F379),1)*IF(Upgrades!$T$8="Solar Wind",POWER(Upgrades!$U$8,G379),1)*IF(Upgrades!$T$9="Solar Wind",POWER(Upgrades!$U$9,H379),1)*IF(Upgrades!$T$10="Solar Wind",POWER(Upgrades!$U$10,I379),1)*IF(Upgrades!$T$11="Solar Wind",POWER(Upgrades!$U$11,J379),1)*IF(Upgrades!$T$12="Solar Wind",POWER(Upgrades!$U$12,K379),1))*POWER(Upgrades!$P$6,E379)*POWER(Upgrades!$P$7,F379)*POWER(Upgrades!$P$8,G379)*POWER(Upgrades!$P$9,H379)*POWER(Upgrades!$P$10,I379)*POWER(Upgrades!$P$11,J379)*POWER(Upgrades!$P$12,K379)*60</f>
        <v>72</v>
      </c>
      <c r="AB379" s="27" t="n">
        <f aca="false">(IF(F379=0,0,(Upgrades!$G$7+F379*Upgrades!$H$7)*POWER(Upgrades!$I$7,F379)))*(IF(Upgrades!$T$6="Asteroid Belt",POWER(Upgrades!$U$6,E379),1)*IF(Upgrades!$T$8="Asteroid Belt",POWER(Upgrades!$U$8,G379),1)*IF(Upgrades!$T$9="Asteroid Belt",POWER(Upgrades!$U$9,H379),1)*IF(Upgrades!$T$10="Asteroid Belt",POWER(Upgrades!$U$10,I379),1)*IF(Upgrades!$T$11="Asteroid Belt",POWER(Upgrades!$U$11,J379),1)*IF(Upgrades!$T$12="Asteroid Belt",POWER(Upgrades!$U$12,K379),1))*POWER(Upgrades!$P$6,E379)*POWER(Upgrades!$P$7,F379)*POWER(Upgrades!$P$8,G379)*POWER(Upgrades!$P$9,H379)*POWER(Upgrades!$P$10,I379)*POWER(Upgrades!$P$11,J379)*POWER(Upgrades!$P$12,K379)*60</f>
        <v>150</v>
      </c>
      <c r="AC379" s="27" t="n">
        <f aca="false">(IF(G379=0,0,(Upgrades!$J$8+G379*Upgrades!$K$8)*POWER(Upgrades!$L$8,G379)))*(IF(Upgrades!$T$6="Stellar Coupling",POWER(Upgrades!$U$6,E379),1)*IF(Upgrades!$T$7="Stellar Coupling",POWER(Upgrades!$U$7,F379),1)*IF(Upgrades!$T$9="Stellar Coupling",POWER(Upgrades!$U$9,H379),1)*IF(Upgrades!$T$10="Stellar Coupling",POWER(Upgrades!$U$10,I379),1)*IF(Upgrades!$T$11="Stellar Coupling",POWER(Upgrades!$U$11,J379),1)*IF(Upgrades!$T$12="Stellar Coupling",POWER(Upgrades!$U$12,K379),1))*POWER(Upgrades!$Q$6,E379)*POWER(Upgrades!$Q$7,F379)*POWER(Upgrades!$Q$8,G379)*POWER(Upgrades!$Q$9,H379)*POWER(Upgrades!$Q$10,I379)*POWER(Upgrades!$Q$11,J379)*POWER(Upgrades!$Q$12,K379)*Parameters!$B$10*Parameters!$B$11</f>
        <v>441</v>
      </c>
      <c r="AD379" s="27" t="n">
        <f aca="false">(IF(H379=0,0,(Upgrades!$G$9+H379*Upgrades!$H$9)*POWER(Upgrades!$I$9,H379)))*(IF(Upgrades!$T$6="Magnetosphere",POWER(Upgrades!$U$6,E379),1)*IF(Upgrades!$T$7="Magnetosphere",POWER(Upgrades!$U$7,F379),1)*IF(Upgrades!$T$8="Magnetosphere",POWER(Upgrades!$U$8,G379),1)*IF(Upgrades!$T$10="Magnetosphere",POWER(Upgrades!$U$10,I379),1)*IF(Upgrades!$T$11="Magnetosphere",POWER(Upgrades!$U$11,J379),1)*IF(Upgrades!$T$12="Magnetosphere",POWER(Upgrades!$U$12,K379),1))*POWER(Upgrades!$P$6,E379)*POWER(Upgrades!$P$7,F379)*POWER(Upgrades!$P$8,G379)*POWER(Upgrades!$P$9,H379)*POWER(Upgrades!$P$10,I379)*POWER(Upgrades!$P$11,J379)*POWER(Upgrades!$P$12,K379)*60</f>
        <v>375</v>
      </c>
      <c r="AE379" s="27" t="n">
        <f aca="false">(IF(K379=0,0,(Upgrades!$G$12+K379*Upgrades!$H$12)*POWER(Upgrades!$I$12,K379)))*(IF(Upgrades!$T$6="First Photons",POWER(Upgrades!$U$6,E379),1)*IF(Upgrades!$T$7="First Photons",POWER(Upgrades!$U$7,F379),1)*IF(Upgrades!$T$8="First Photons",POWER(Upgrades!$U$8,G379),1)*IF(Upgrades!$T$9="First Photons",POWER(Upgrades!$U$9,H379),1)*IF(Upgrades!$T$10="First Photons",POWER(Upgrades!$U$10,I379),1)*IF(Upgrades!$T$11="First Photons",POWER(Upgrades!$U$11,J379),1))*POWER(Upgrades!$P$6,E379)*POWER(Upgrades!$P$7,F379)*POWER(Upgrades!$P$8,G379)*POWER(Upgrades!$P$9,H379)*POWER(Upgrades!$P$10,I379)*POWER(Upgrades!$P$11,J379)*POWER(Upgrades!$P$12,K379)*60</f>
        <v>75</v>
      </c>
      <c r="AF379" s="27" t="n">
        <f aca="false">Parameters!$B$9*POWER(Upgrades!$Q$6,E379)*POWER(Upgrades!$Q$7,F379)*POWER(Upgrades!$Q$8,G379)*POWER(Upgrades!$Q$9,H379)*POWER(Upgrades!$Q$10,I379)*POWER(Upgrades!$Q$11,J379)*POWER(Upgrades!$Q$12,K379)*(Parameters!$B$10*Parameters!$B$11+O379*60)</f>
        <v>120</v>
      </c>
      <c r="AG379" s="21" t="n">
        <f aca="false">IF(E379&gt;=Upgrades!$E$6,"",Upgrades!$C$6*POWER(Upgrades!$D$6,E379))</f>
        <v>37.4517507383159</v>
      </c>
      <c r="AH379" s="21" t="n">
        <f aca="false">IF(F379&gt;=Upgrades!$E$7,"",Upgrades!$C$7*POWER(Upgrades!$D$7,F379))</f>
        <v>80.9111547141581</v>
      </c>
      <c r="AI379" s="21" t="n">
        <f aca="false">IF(G379&gt;=Upgrades!$E$8,"",Upgrades!$C$8*POWER(Upgrades!$D$8,G379))</f>
        <v>231.9097088</v>
      </c>
      <c r="AJ379" s="21" t="str">
        <f aca="false">IF(H379&gt;=Upgrades!$E$9,"",Upgrades!$C$9*POWER(Upgrades!$D$9,H379))</f>
        <v/>
      </c>
      <c r="AK379" s="21" t="str">
        <f aca="false">IF(I379&gt;=Upgrades!$E$10,"",Upgrades!$C$10*POWER(Upgrades!$D$10,I379))</f>
        <v/>
      </c>
      <c r="AL379" s="21" t="str">
        <f aca="false">IF(J379&gt;=Upgrades!$E$11,"",Upgrades!$C$11*POWER(Upgrades!$D$11,J379))</f>
        <v/>
      </c>
      <c r="AM379" s="21" t="str">
        <f aca="false">IF(K379&gt;=Upgrades!$E$12,"",Upgrades!$C$12*POWER(Upgrades!$D$12,K379))</f>
        <v/>
      </c>
      <c r="AN379" s="26" t="str">
        <f aca="false">IF(AND(D379&gt;=Parameters!$B$18,(H379&gt;=Upgrades!$E$9)*(K379&gt;=Upgrades!$E$12)=1,L379=0),1,"")</f>
        <v/>
      </c>
      <c r="AO379" s="26" t="str">
        <f aca="false">IF(AND(D379&gt;=Parameters!$B$18,L379=0),1,"")</f>
        <v/>
      </c>
      <c r="AP379" s="21" t="n">
        <f aca="false">MIN(IF(ISNUMBER(AK379),AK379,9000000000000000),IF(ISNUMBER(AL379),AL379,9000000000000000),IF(ISNUMBER(AM379),AM379,9000000000000000))</f>
        <v>9000000000000000</v>
      </c>
      <c r="AQ379" s="21" t="n">
        <f aca="false">MIN(IF(ISNUMBER(AG379),AG379,9000000000000000),IF(ISNUMBER(AH379),AH379,9000000000000000),IF(ISNUMBER(AI379),AI379,9000000000000000),IF(ISNUMBER(AJ379),AJ379,9000000000000000))</f>
        <v>37.4517507383159</v>
      </c>
      <c r="AR379" s="32" t="b">
        <f aca="false">IF(AW379&gt;Parameters!$B$21*(MAX(IF(AND(NOT(AND(AO379=1,AN379&lt;&gt;1)),ISNUMBER(AG379),AG379&lt;=T379),AS379,0),IF(AND(NOT(AND(AO379=1,AN379&lt;&gt;1)),ISNUMBER(AH379),AH379&lt;=T379),AT379,0),IF(AND(NOT(AND(AO379=1,AN379&lt;&gt;1)),ISNUMBER(AI379),AI379&lt;=T379),AU379,0),IF(AND(ISNUMBER(AJ379),AJ379&lt;=T379),AV379,0))),TRUE(),FALSE())</f>
        <v>1</v>
      </c>
      <c r="AS379" s="33" t="n">
        <f aca="false">IFERROR(Upgrades!$H$6*(POWER(Upgrades!$P$6,E379)*POWER(Upgrades!$P$7,F379)*POWER(Upgrades!$P$8,G379)*POWER(Upgrades!$P$9,H379)*POWER(Upgrades!$P$10,I379)*POWER(Upgrades!$P$11,J379)*POWER(Upgrades!$P$12,K379))*(IF(Upgrades!$T$7="Solar Wind",POWER(Upgrades!$U$7,F379),1)*IF(Upgrades!$T$8="Solar Wind",POWER(Upgrades!$U$8,G379),1)*IF(Upgrades!$T$9="Solar Wind",POWER(Upgrades!$U$9,H379),1)*IF(Upgrades!$T$10="Solar Wind",POWER(Upgrades!$U$10,I379),1)*IF(Upgrades!$T$11="Solar Wind",POWER(Upgrades!$U$11,J379),1)*IF(Upgrades!$T$12="Solar Wind",POWER(Upgrades!$U$12,K379),1))/AG379,0)</f>
        <v>0.0026701021455238</v>
      </c>
      <c r="AT379" s="33" t="n">
        <f aca="false">IFERROR(Upgrades!$H$7*(POWER(Upgrades!$P$6,E379)*POWER(Upgrades!$P$7,F379)*POWER(Upgrades!$P$8,G379)*POWER(Upgrades!$P$9,H379)*POWER(Upgrades!$P$10,I379)*POWER(Upgrades!$P$11,J379)*POWER(Upgrades!$P$12,K379))*(IF(Upgrades!$T$6="Asteroid Belt",POWER(Upgrades!$U$6,E379),1)*IF(Upgrades!$T$8="Asteroid Belt",POWER(Upgrades!$U$8,G379),1)*IF(Upgrades!$T$9="Asteroid Belt",POWER(Upgrades!$U$9,H379),1)*IF(Upgrades!$T$10="Asteroid Belt",POWER(Upgrades!$U$10,I379),1)*IF(Upgrades!$T$11="Asteroid Belt",POWER(Upgrades!$U$11,J379),1)*IF(Upgrades!$T$12="Asteroid Belt",POWER(Upgrades!$U$12,K379),1))/AH379,0)</f>
        <v>0.00308980882652332</v>
      </c>
      <c r="AU379" s="33" t="n">
        <f aca="false">IFERROR(Upgrades!$K$8*(POWER(Upgrades!$Q$6,E379)*POWER(Upgrades!$Q$7,F379)*POWER(Upgrades!$Q$8,G379)*POWER(Upgrades!$Q$9,H379)*POWER(Upgrades!$Q$10,I379)*POWER(Upgrades!$Q$11,J379)*POWER(Upgrades!$Q$12,K379))*(IF(Upgrades!$T$6="Stellar Coupling",POWER(Upgrades!$U$6,E379),1)*IF(Upgrades!$T$7="Stellar Coupling",POWER(Upgrades!$U$7,F379),1)*IF(Upgrades!$T$9="Stellar Coupling",POWER(Upgrades!$U$9,H379),1)*IF(Upgrades!$T$10="Stellar Coupling",POWER(Upgrades!$U$10,I379),1)*IF(Upgrades!$T$11="Stellar Coupling",POWER(Upgrades!$U$11,J379),1)*IF(Upgrades!$T$12="Stellar Coupling",POWER(Upgrades!$U$12,K379),1))*Parameters!$B$10*Parameters!$B$11/60/AI379,0)</f>
        <v>0.00452762415783776</v>
      </c>
      <c r="AV379" s="33" t="n">
        <f aca="false">IFERROR(Upgrades!$H$9*(POWER(Upgrades!$P$6,E379)*POWER(Upgrades!$P$7,F379)*POWER(Upgrades!$P$8,G379)*POWER(Upgrades!$P$9,H379)*POWER(Upgrades!$P$10,I379)*POWER(Upgrades!$P$11,J379)*POWER(Upgrades!$P$12,K379))*(IF(Upgrades!$T$6="Magnetosphere",POWER(Upgrades!$U$6,E379),1)*IF(Upgrades!$T$7="Magnetosphere",POWER(Upgrades!$U$7,F379),1)*IF(Upgrades!$T$8="Magnetosphere",POWER(Upgrades!$U$8,G379),1)*IF(Upgrades!$T$10="Magnetosphere",POWER(Upgrades!$U$10,I379),1)*IF(Upgrades!$T$11="Magnetosphere",POWER(Upgrades!$U$11,J379),1)*IF(Upgrades!$T$12="Magnetosphere",POWER(Upgrades!$U$12,K379),1))/AJ379,0)</f>
        <v>0</v>
      </c>
      <c r="AW379" s="33" t="n">
        <f aca="false">MAX(IF(I379&gt;0,0,IFERROR(0.25*N379/Upgrades!$C$10,0)),IF(J379&gt;0,0,IFERROR(0.5*((IF(G379=0,0,(Upgrades!$J$8+G379*Upgrades!$K$8)*POWER(Upgrades!$L$8,G379)))*(IF(Upgrades!$T$6="Stellar Coupling",POWER(Upgrades!$U$6,E379),1)*IF(Upgrades!$T$7="Stellar Coupling",POWER(Upgrades!$U$7,F379),1)*IF(Upgrades!$T$9="Stellar Coupling",POWER(Upgrades!$U$9,H379),1)*IF(Upgrades!$T$10="Stellar Coupling",POWER(Upgrades!$U$10,I379),1)*IF(Upgrades!$T$11="Stellar Coupling",POWER(Upgrades!$U$11,J379),1)*IF(Upgrades!$T$12="Stellar Coupling",POWER(Upgrades!$U$12,K379),1))*(POWER(Upgrades!$Q$6,E379)*POWER(Upgrades!$Q$7,F379)*POWER(Upgrades!$Q$8,G379)*POWER(Upgrades!$Q$9,H379)*POWER(Upgrades!$Q$10,I379)*POWER(Upgrades!$Q$11,J379)*POWER(Upgrades!$Q$12,K379))*Parameters!$B$10*Parameters!$B$11/60)/Upgrades!$C$11,0)),IF(K379&gt;0,0,IFERROR((1*(POWER(Upgrades!$P$6,E379)*POWER(Upgrades!$P$7,F379)*POWER(Upgrades!$P$8,G379)*POWER(Upgrades!$P$9,H379)*POWER(Upgrades!$P$10,I379)*POWER(Upgrades!$P$11,J379)*POWER(Upgrades!$P$12,K379))+0.2*M379*Parameters!$B$10*Parameters!$B$11/60)/Upgrades!$C$12,0)),IF(AND(ISNUMBER(AG379),AG379&gt;T379),AS379,0),IF(AND(ISNUMBER(AH379),AH379&gt;T379),AT379,0),IF(AND(ISNUMBER(AI379),AI379&gt;T379),AU379,0),IF(AND(ISNUMBER(AJ379),AJ379&gt;T379),AV379,0))</f>
        <v>0.00452762415783776</v>
      </c>
      <c r="AX379" s="29" t="str">
        <f aca="false">IF(AN379=1,"transition",IF(MIN(IF(AND(I379=0,ISNUMBER(AK379),AK379&lt;=T379),AK379,9000000000000000),IF(AND(J379=0,ISNUMBER(AL379),AL379&lt;=T379),AL379,9000000000000000),IF(AND(K379=0,ISNUMBER(AM379),AM379&lt;=T379),AM379,9000000000000000))&lt;9000000000000000,IF(AND(AND(I379=0,ISNUMBER(AK379),AK379&lt;=T379),AK379=MIN(IF(AND(I379=0,ISNUMBER(AK379),AK379&lt;=T379),AK379,9000000000000000),IF(AND(J379=0,ISNUMBER(AL379),AL379&lt;=T379),AL379,9000000000000000),IF(AND(K379=0,ISNUMBER(AM379),AM379&lt;=T379),AM379,9000000000000000))),"OR",IF(AND(AND(J379=0,ISNUMBER(AL379),AL379&lt;=T379),AL379=MIN(IF(AND(I379=0,ISNUMBER(AK379),AK379&lt;=T379),AK379,9000000000000000),IF(AND(J379=0,ISNUMBER(AL379),AL379&lt;=T379),AL379,9000000000000000),IF(AND(K379=0,ISNUMBER(AM379),AM379&lt;=T379),AM379,9000000000000000))),"HP","FP")),IF(AR379=TRUE(),"",IF(MAX(IF(AND(NOT(AND(AO379=1,AN379&lt;&gt;1)),ISNUMBER(AG379),AG379&lt;=T379),AS379,0),IF(AND(NOT(AND(AO379=1,AN379&lt;&gt;1)),ISNUMBER(AH379),AH379&lt;=T379),AT379,0),IF(AND(NOT(AND(AO379=1,AN379&lt;&gt;1)),ISNUMBER(AI379),AI379&lt;=T379),AU379,0),IF(AND(ISNUMBER(AJ379),AJ379&lt;=T379),AV379,0))&lt;=0,"",IF(AND(IF(AND(NOT(AND(AO379=1,AN379&lt;&gt;1)),ISNUMBER(AG379),AG379&lt;=T379),AS379,0)&gt;0,IF(AND(NOT(AND(AO379=1,AN379&lt;&gt;1)),ISNUMBER(AG379),AG379&lt;=T379),AS379,0)=MAX(IF(AND(NOT(AND(AO379=1,AN379&lt;&gt;1)),ISNUMBER(AG379),AG379&lt;=T379),AS379,0),IF(AND(NOT(AND(AO379=1,AN379&lt;&gt;1)),ISNUMBER(AH379),AH379&lt;=T379),AT379,0),IF(AND(NOT(AND(AO379=1,AN379&lt;&gt;1)),ISNUMBER(AI379),AI379&lt;=T379),AU379,0),IF(AND(ISNUMBER(AJ379),AJ379&lt;=T379),AV379,0))),"SW",IF(AND(IF(AND(NOT(AND(AO379=1,AN379&lt;&gt;1)),ISNUMBER(AH379),AH379&lt;=T379),AT379,0)&gt;0,IF(AND(NOT(AND(AO379=1,AN379&lt;&gt;1)),ISNUMBER(AH379),AH379&lt;=T379),AT379,0)=MAX(IF(AND(NOT(AND(AO379=1,AN379&lt;&gt;1)),ISNUMBER(AG379),AG379&lt;=T379),AS379,0),IF(AND(NOT(AND(AO379=1,AN379&lt;&gt;1)),ISNUMBER(AH379),AH379&lt;=T379),AT379,0),IF(AND(NOT(AND(AO379=1,AN379&lt;&gt;1)),ISNUMBER(AI379),AI379&lt;=T379),AU379,0),IF(AND(ISNUMBER(AJ379),AJ379&lt;=T379),AV379,0))),"AB",IF(AND(IF(AND(NOT(AND(AO379=1,AN379&lt;&gt;1)),ISNUMBER(AI379),AI379&lt;=T379),AU379,0)&gt;0,IF(AND(NOT(AND(AO379=1,AN379&lt;&gt;1)),ISNUMBER(AI379),AI379&lt;=T379),AU379,0)=MAX(IF(AND(NOT(AND(AO379=1,AN379&lt;&gt;1)),ISNUMBER(AG379),AG379&lt;=T379),AS379,0),IF(AND(NOT(AND(AO379=1,AN379&lt;&gt;1)),ISNUMBER(AH379),AH379&lt;=T379),AT379,0),IF(AND(NOT(AND(AO379=1,AN379&lt;&gt;1)),ISNUMBER(AI379),AI379&lt;=T379),AU379,0),IF(AND(ISNUMBER(AJ379),AJ379&lt;=T379),AV379,0))),"SC","Mag")))))))</f>
        <v/>
      </c>
    </row>
    <row r="380" customFormat="false" ht="15" hidden="false" customHeight="false" outlineLevel="0" collapsed="false">
      <c r="A380" s="26" t="n">
        <v>375</v>
      </c>
      <c r="B380" s="27" t="n">
        <f aca="false">A380*10/60</f>
        <v>62.5</v>
      </c>
      <c r="C380" s="21" t="n">
        <f aca="false">X379</f>
        <v>18.6730249835055</v>
      </c>
      <c r="D380" s="27" t="n">
        <f aca="false">D379+W379</f>
        <v>0</v>
      </c>
      <c r="E380" s="26" t="n">
        <f aca="false">E379+IF(U379="SW",1,0)</f>
        <v>12</v>
      </c>
      <c r="F380" s="26" t="n">
        <f aca="false">F379+IF(U379="AB",1,0)</f>
        <v>10</v>
      </c>
      <c r="G380" s="26" t="n">
        <f aca="false">G379+IF(U379="SC",1,0)</f>
        <v>7</v>
      </c>
      <c r="H380" s="26" t="n">
        <f aca="false">H379+IF(U379="Mag",1,0)</f>
        <v>5</v>
      </c>
      <c r="I380" s="26" t="n">
        <f aca="false">MAX(I379,IF(U379="OR",1,0))</f>
        <v>1</v>
      </c>
      <c r="J380" s="26" t="n">
        <f aca="false">MAX(J379,IF(U379="HP",1,0))</f>
        <v>1</v>
      </c>
      <c r="K380" s="26" t="n">
        <f aca="false">MAX(K379,IF(U379="FP",1,0))</f>
        <v>1</v>
      </c>
      <c r="L380" s="26" t="n">
        <f aca="false">MAX(L379,IF(U379="transition",1,0))</f>
        <v>1</v>
      </c>
      <c r="M380" s="28" t="n">
        <f aca="false">(Parameters!$B$9+(IF(E380=0,0,(Upgrades!$J$6+E380*Upgrades!$K$6)*POWER(Upgrades!$L$6,E380)))*(IF(Upgrades!$T$7="Solar Wind",POWER(Upgrades!$U$7,F380),1)*IF(Upgrades!$T$8="Solar Wind",POWER(Upgrades!$U$8,G380),1)*IF(Upgrades!$T$9="Solar Wind",POWER(Upgrades!$U$9,H380),1)*IF(Upgrades!$T$10="Solar Wind",POWER(Upgrades!$U$10,I380),1)*IF(Upgrades!$T$11="Solar Wind",POWER(Upgrades!$U$11,J380),1)*IF(Upgrades!$T$12="Solar Wind",POWER(Upgrades!$U$12,K380),1))+(IF(F380=0,0,(Upgrades!$J$7+F380*Upgrades!$K$7)*POWER(Upgrades!$L$7,F380)))*(IF(Upgrades!$T$6="Asteroid Belt",POWER(Upgrades!$U$6,E380),1)*IF(Upgrades!$T$8="Asteroid Belt",POWER(Upgrades!$U$8,G380),1)*IF(Upgrades!$T$9="Asteroid Belt",POWER(Upgrades!$U$9,H380),1)*IF(Upgrades!$T$10="Asteroid Belt",POWER(Upgrades!$U$10,I380),1)*IF(Upgrades!$T$11="Asteroid Belt",POWER(Upgrades!$U$11,J380),1)*IF(Upgrades!$T$12="Asteroid Belt",POWER(Upgrades!$U$12,K380),1))+(IF(G380=0,0,(Upgrades!$J$8+G380*Upgrades!$K$8)*POWER(Upgrades!$L$8,G380)))*(IF(Upgrades!$T$6="Stellar Coupling",POWER(Upgrades!$U$6,E380),1)*IF(Upgrades!$T$7="Stellar Coupling",POWER(Upgrades!$U$7,F380),1)*IF(Upgrades!$T$9="Stellar Coupling",POWER(Upgrades!$U$9,H380),1)*IF(Upgrades!$T$10="Stellar Coupling",POWER(Upgrades!$U$10,I380),1)*IF(Upgrades!$T$11="Stellar Coupling",POWER(Upgrades!$U$11,J380),1)*IF(Upgrades!$T$12="Stellar Coupling",POWER(Upgrades!$U$12,K380),1))+(IF(H380=0,0,(Upgrades!$J$9+H380*Upgrades!$K$9)*POWER(Upgrades!$L$9,H380)))*(IF(Upgrades!$T$6="Magnetosphere",POWER(Upgrades!$U$6,E380),1)*IF(Upgrades!$T$7="Magnetosphere",POWER(Upgrades!$U$7,F380),1)*IF(Upgrades!$T$8="Magnetosphere",POWER(Upgrades!$U$8,G380),1)*IF(Upgrades!$T$10="Magnetosphere",POWER(Upgrades!$U$10,I380),1)*IF(Upgrades!$T$11="Magnetosphere",POWER(Upgrades!$U$11,J380),1)*IF(Upgrades!$T$12="Magnetosphere",POWER(Upgrades!$U$12,K380),1))+(IF(I380=0,0,(Upgrades!$J$10+I380*Upgrades!$K$10)*POWER(Upgrades!$L$10,I380)))*(IF(Upgrades!$T$6="Orbital Resonance",POWER(Upgrades!$U$6,E380),1)*IF(Upgrades!$T$7="Orbital Resonance",POWER(Upgrades!$U$7,F380),1)*IF(Upgrades!$T$8="Orbital Resonance",POWER(Upgrades!$U$8,G380),1)*IF(Upgrades!$T$9="Orbital Resonance",POWER(Upgrades!$U$9,H380),1)*IF(Upgrades!$T$11="Orbital Resonance",POWER(Upgrades!$U$11,J380),1)*IF(Upgrades!$T$12="Orbital Resonance",POWER(Upgrades!$U$12,K380),1))+(IF(J380=0,0,(Upgrades!$J$11+J380*Upgrades!$K$11)*POWER(Upgrades!$L$11,J380)))*(IF(Upgrades!$T$6="Heliopause",POWER(Upgrades!$U$6,E380),1)*IF(Upgrades!$T$7="Heliopause",POWER(Upgrades!$U$7,F380),1)*IF(Upgrades!$T$8="Heliopause",POWER(Upgrades!$U$8,G380),1)*IF(Upgrades!$T$9="Heliopause",POWER(Upgrades!$U$9,H380),1)*IF(Upgrades!$T$10="Heliopause",POWER(Upgrades!$U$10,I380),1)*IF(Upgrades!$T$12="Heliopause",POWER(Upgrades!$U$12,K380),1))+(IF(K380=0,0,(Upgrades!$J$12+K380*Upgrades!$K$12)*POWER(Upgrades!$L$12,K380)))*(IF(Upgrades!$T$6="First Photons",POWER(Upgrades!$U$6,E380),1)*IF(Upgrades!$T$7="First Photons",POWER(Upgrades!$U$7,F380),1)*IF(Upgrades!$T$8="First Photons",POWER(Upgrades!$U$8,G380),1)*IF(Upgrades!$T$9="First Photons",POWER(Upgrades!$U$9,H380),1)*IF(Upgrades!$T$10="First Photons",POWER(Upgrades!$U$10,I380),1)*IF(Upgrades!$T$11="First Photons",POWER(Upgrades!$U$11,J380),1)))*POWER(Upgrades!$Q$6,E380)*POWER(Upgrades!$Q$7,F380)*POWER(Upgrades!$Q$8,G380)*POWER(Upgrades!$Q$9,H380)*POWER(Upgrades!$Q$10,I380)*POWER(Upgrades!$Q$11,J380)*POWER(Upgrades!$Q$12,K380)</f>
        <v>5.61</v>
      </c>
      <c r="N380" s="28" t="n">
        <f aca="false">((IF(E380=0,0,(Upgrades!$G$6+E380*Upgrades!$H$6)*POWER(Upgrades!$I$6,E380)))*(IF(Upgrades!$T$7="Solar Wind",POWER(Upgrades!$U$7,F380),1)*IF(Upgrades!$T$8="Solar Wind",POWER(Upgrades!$U$8,G380),1)*IF(Upgrades!$T$9="Solar Wind",POWER(Upgrades!$U$9,H380),1)*IF(Upgrades!$T$10="Solar Wind",POWER(Upgrades!$U$10,I380),1)*IF(Upgrades!$T$11="Solar Wind",POWER(Upgrades!$U$11,J380),1)*IF(Upgrades!$T$12="Solar Wind",POWER(Upgrades!$U$12,K380),1))+(IF(F380=0,0,(Upgrades!$G$7+F380*Upgrades!$H$7)*POWER(Upgrades!$I$7,F380)))*(IF(Upgrades!$T$6="Asteroid Belt",POWER(Upgrades!$U$6,E380),1)*IF(Upgrades!$T$8="Asteroid Belt",POWER(Upgrades!$U$8,G380),1)*IF(Upgrades!$T$9="Asteroid Belt",POWER(Upgrades!$U$9,H380),1)*IF(Upgrades!$T$10="Asteroid Belt",POWER(Upgrades!$U$10,I380),1)*IF(Upgrades!$T$11="Asteroid Belt",POWER(Upgrades!$U$11,J380),1)*IF(Upgrades!$T$12="Asteroid Belt",POWER(Upgrades!$U$12,K380),1))+(IF(G380=0,0,(Upgrades!$G$8+G380*Upgrades!$H$8)*POWER(Upgrades!$I$8,G380)))*(IF(Upgrades!$T$6="Stellar Coupling",POWER(Upgrades!$U$6,E380),1)*IF(Upgrades!$T$7="Stellar Coupling",POWER(Upgrades!$U$7,F380),1)*IF(Upgrades!$T$9="Stellar Coupling",POWER(Upgrades!$U$9,H380),1)*IF(Upgrades!$T$10="Stellar Coupling",POWER(Upgrades!$U$10,I380),1)*IF(Upgrades!$T$11="Stellar Coupling",POWER(Upgrades!$U$11,J380),1)*IF(Upgrades!$T$12="Stellar Coupling",POWER(Upgrades!$U$12,K380),1))+(IF(H380=0,0,(Upgrades!$G$9+H380*Upgrades!$H$9)*POWER(Upgrades!$I$9,H380)))*(IF(Upgrades!$T$6="Magnetosphere",POWER(Upgrades!$U$6,E380),1)*IF(Upgrades!$T$7="Magnetosphere",POWER(Upgrades!$U$7,F380),1)*IF(Upgrades!$T$8="Magnetosphere",POWER(Upgrades!$U$8,G380),1)*IF(Upgrades!$T$10="Magnetosphere",POWER(Upgrades!$U$10,I380),1)*IF(Upgrades!$T$11="Magnetosphere",POWER(Upgrades!$U$11,J380),1)*IF(Upgrades!$T$12="Magnetosphere",POWER(Upgrades!$U$12,K380),1))+(IF(I380=0,0,(Upgrades!$G$10+I380*Upgrades!$H$10)*POWER(Upgrades!$I$10,I380)))*(IF(Upgrades!$T$6="Orbital Resonance",POWER(Upgrades!$U$6,E380),1)*IF(Upgrades!$T$7="Orbital Resonance",POWER(Upgrades!$U$7,F380),1)*IF(Upgrades!$T$8="Orbital Resonance",POWER(Upgrades!$U$8,G380),1)*IF(Upgrades!$T$9="Orbital Resonance",POWER(Upgrades!$U$9,H380),1)*IF(Upgrades!$T$11="Orbital Resonance",POWER(Upgrades!$U$11,J380),1)*IF(Upgrades!$T$12="Orbital Resonance",POWER(Upgrades!$U$12,K380),1))+(IF(J380=0,0,(Upgrades!$G$11+J380*Upgrades!$H$11)*POWER(Upgrades!$I$11,J380)))*(IF(Upgrades!$T$6="Heliopause",POWER(Upgrades!$U$6,E380),1)*IF(Upgrades!$T$7="Heliopause",POWER(Upgrades!$U$7,F380),1)*IF(Upgrades!$T$8="Heliopause",POWER(Upgrades!$U$8,G380),1)*IF(Upgrades!$T$9="Heliopause",POWER(Upgrades!$U$9,H380),1)*IF(Upgrades!$T$10="Heliopause",POWER(Upgrades!$U$10,I380),1)*IF(Upgrades!$T$12="Heliopause",POWER(Upgrades!$U$12,K380),1))+(IF(K380=0,0,(Upgrades!$G$12+K380*Upgrades!$H$12)*POWER(Upgrades!$I$12,K380)))*(IF(Upgrades!$T$6="First Photons",POWER(Upgrades!$U$6,E380),1)*IF(Upgrades!$T$7="First Photons",POWER(Upgrades!$U$7,F380),1)*IF(Upgrades!$T$8="First Photons",POWER(Upgrades!$U$8,G380),1)*IF(Upgrades!$T$9="First Photons",POWER(Upgrades!$U$9,H380),1)*IF(Upgrades!$T$10="First Photons",POWER(Upgrades!$U$10,I380),1)*IF(Upgrades!$T$11="First Photons",POWER(Upgrades!$U$11,J380),1)))*POWER(Upgrades!$P$6,E380)*POWER(Upgrades!$P$7,F380)*POWER(Upgrades!$P$8,G380)*POWER(Upgrades!$P$9,H380)*POWER(Upgrades!$P$10,I380)*POWER(Upgrades!$P$11,J380)*POWER(Upgrades!$P$12,K380)</f>
        <v>11.2</v>
      </c>
      <c r="O380" s="28" t="n">
        <f aca="false">((IF(E380=0,0,(Upgrades!$M$6+E380*Upgrades!$N$6)*POWER(Upgrades!$O$6,E380)))*(IF(Upgrades!$T$7="Solar Wind",POWER(Upgrades!$U$7,F380),1)*IF(Upgrades!$T$8="Solar Wind",POWER(Upgrades!$U$8,G380),1)*IF(Upgrades!$T$9="Solar Wind",POWER(Upgrades!$U$9,H380),1)*IF(Upgrades!$T$10="Solar Wind",POWER(Upgrades!$U$10,I380),1)*IF(Upgrades!$T$11="Solar Wind",POWER(Upgrades!$U$11,J380),1)*IF(Upgrades!$T$12="Solar Wind",POWER(Upgrades!$U$12,K380),1))+(IF(F380=0,0,(Upgrades!$M$7+F380*Upgrades!$N$7)*POWER(Upgrades!$O$7,F380)))*(IF(Upgrades!$T$6="Asteroid Belt",POWER(Upgrades!$U$6,E380),1)*IF(Upgrades!$T$8="Asteroid Belt",POWER(Upgrades!$U$8,G380),1)*IF(Upgrades!$T$9="Asteroid Belt",POWER(Upgrades!$U$9,H380),1)*IF(Upgrades!$T$10="Asteroid Belt",POWER(Upgrades!$U$10,I380),1)*IF(Upgrades!$T$11="Asteroid Belt",POWER(Upgrades!$U$11,J380),1)*IF(Upgrades!$T$12="Asteroid Belt",POWER(Upgrades!$U$12,K380),1))+(IF(G380=0,0,(Upgrades!$M$8+G380*Upgrades!$N$8)*POWER(Upgrades!$O$8,G380)))*(IF(Upgrades!$T$6="Stellar Coupling",POWER(Upgrades!$U$6,E380),1)*IF(Upgrades!$T$7="Stellar Coupling",POWER(Upgrades!$U$7,F380),1)*IF(Upgrades!$T$9="Stellar Coupling",POWER(Upgrades!$U$9,H380),1)*IF(Upgrades!$T$10="Stellar Coupling",POWER(Upgrades!$U$10,I380),1)*IF(Upgrades!$T$11="Stellar Coupling",POWER(Upgrades!$U$11,J380),1)*IF(Upgrades!$T$12="Stellar Coupling",POWER(Upgrades!$U$12,K380),1))+(IF(H380=0,0,(Upgrades!$M$9+H380*Upgrades!$N$9)*POWER(Upgrades!$O$9,H380)))*(IF(Upgrades!$T$6="Magnetosphere",POWER(Upgrades!$U$6,E380),1)*IF(Upgrades!$T$7="Magnetosphere",POWER(Upgrades!$U$7,F380),1)*IF(Upgrades!$T$8="Magnetosphere",POWER(Upgrades!$U$8,G380),1)*IF(Upgrades!$T$10="Magnetosphere",POWER(Upgrades!$U$10,I380),1)*IF(Upgrades!$T$11="Magnetosphere",POWER(Upgrades!$U$11,J380),1)*IF(Upgrades!$T$12="Magnetosphere",POWER(Upgrades!$U$12,K380),1))+(IF(I380=0,0,(Upgrades!$M$10+I380*Upgrades!$N$10)*POWER(Upgrades!$O$10,I380)))*(IF(Upgrades!$T$6="Orbital Resonance",POWER(Upgrades!$U$6,E380),1)*IF(Upgrades!$T$7="Orbital Resonance",POWER(Upgrades!$U$7,F380),1)*IF(Upgrades!$T$8="Orbital Resonance",POWER(Upgrades!$U$8,G380),1)*IF(Upgrades!$T$9="Orbital Resonance",POWER(Upgrades!$U$9,H380),1)*IF(Upgrades!$T$11="Orbital Resonance",POWER(Upgrades!$U$11,J380),1)*IF(Upgrades!$T$12="Orbital Resonance",POWER(Upgrades!$U$12,K380),1))+(IF(J380=0,0,(Upgrades!$M$11+J380*Upgrades!$N$11)*POWER(Upgrades!$O$11,J380)))*(IF(Upgrades!$T$6="Heliopause",POWER(Upgrades!$U$6,E380),1)*IF(Upgrades!$T$7="Heliopause",POWER(Upgrades!$U$7,F380),1)*IF(Upgrades!$T$8="Heliopause",POWER(Upgrades!$U$8,G380),1)*IF(Upgrades!$T$9="Heliopause",POWER(Upgrades!$U$9,H380),1)*IF(Upgrades!$T$10="Heliopause",POWER(Upgrades!$U$10,I380),1)*IF(Upgrades!$T$12="Heliopause",POWER(Upgrades!$U$12,K380),1))+(IF(K380=0,0,(Upgrades!$M$12+K380*Upgrades!$N$12)*POWER(Upgrades!$O$12,K380)))*(IF(Upgrades!$T$6="First Photons",POWER(Upgrades!$U$6,E380),1)*IF(Upgrades!$T$7="First Photons",POWER(Upgrades!$U$7,F380),1)*IF(Upgrades!$T$8="First Photons",POWER(Upgrades!$U$8,G380),1)*IF(Upgrades!$T$9="First Photons",POWER(Upgrades!$U$9,H380),1)*IF(Upgrades!$T$10="First Photons",POWER(Upgrades!$U$10,I380),1)*IF(Upgrades!$T$11="First Photons",POWER(Upgrades!$U$11,J380),1)))*POWER(Upgrades!$R$6,E380)*POWER(Upgrades!$R$7,F380)*POWER(Upgrades!$R$8,G380)*POWER(Upgrades!$R$9,H380)*POWER(Upgrades!$R$10,I380)*POWER(Upgrades!$R$11,J380)*POWER(Upgrades!$R$12,K380)</f>
        <v>0</v>
      </c>
      <c r="P380" s="27" t="n">
        <f aca="false">IF(L380=1,0,M380*Parameters!$B$10/60*Parameters!$B$11*10)</f>
        <v>0</v>
      </c>
      <c r="Q380" s="27" t="n">
        <f aca="false">IF(L380=1,0,O380*M380*10)</f>
        <v>0</v>
      </c>
      <c r="R380" s="27" t="n">
        <f aca="false">IF(L380=1,0,N380*10)</f>
        <v>0</v>
      </c>
      <c r="S380" s="27" t="n">
        <f aca="false">P380+Q380+R380</f>
        <v>0</v>
      </c>
      <c r="T380" s="21" t="n">
        <f aca="false">C380+S380</f>
        <v>18.6730249835055</v>
      </c>
      <c r="U380" s="34" t="str">
        <f aca="false">AX380</f>
        <v/>
      </c>
      <c r="V380" s="21" t="n">
        <f aca="false">IF(U380="",0,IF(U380="transition",0,IF(U380="SW",AG380,IF(U380="AB",AH380,IF(U380="SC",AI380,IF(U380="Mag",AJ380,IF(U380="OR",AK380,IF(U380="HP",AL380,IF(U380="FP",AM380,0)))))))))</f>
        <v>0</v>
      </c>
      <c r="W380" s="27" t="n">
        <f aca="false">IF(U380="OR",Upgrades!$F$10,IF(U380="HP",Upgrades!$F$11,IF(U380="transition",-Parameters!$B$18,0)))</f>
        <v>0</v>
      </c>
      <c r="X380" s="21" t="n">
        <f aca="false">T380-V380</f>
        <v>18.6730249835055</v>
      </c>
      <c r="Y380" s="30" t="n">
        <f aca="false">M380*Parameters!$B$10/60*Parameters!$B$11+O380*M380+N380</f>
        <v>20.55</v>
      </c>
      <c r="Z380" s="35" t="str">
        <f aca="false">IF(U380="transition","→ Tier 2 (Stellar Neighborhood)",IF(U380="FP","First Photons — light begins, system quickens",IF(U380="HP","Heliopause acquired",IF(U380="OR","Orbital Resonance — passive multiplier active",IF(AND(AO380=1,L380=0,AN380&lt;&gt;1),"Cohesion ready (waiting on completionist upgrades)","")))))</f>
        <v/>
      </c>
      <c r="AA380" s="27" t="n">
        <f aca="false">(IF(E380=0,0,(Upgrades!$G$6+E380*Upgrades!$H$6)*POWER(Upgrades!$I$6,E380)))*(IF(Upgrades!$T$7="Solar Wind",POWER(Upgrades!$U$7,F380),1)*IF(Upgrades!$T$8="Solar Wind",POWER(Upgrades!$U$8,G380),1)*IF(Upgrades!$T$9="Solar Wind",POWER(Upgrades!$U$9,H380),1)*IF(Upgrades!$T$10="Solar Wind",POWER(Upgrades!$U$10,I380),1)*IF(Upgrades!$T$11="Solar Wind",POWER(Upgrades!$U$11,J380),1)*IF(Upgrades!$T$12="Solar Wind",POWER(Upgrades!$U$12,K380),1))*POWER(Upgrades!$P$6,E380)*POWER(Upgrades!$P$7,F380)*POWER(Upgrades!$P$8,G380)*POWER(Upgrades!$P$9,H380)*POWER(Upgrades!$P$10,I380)*POWER(Upgrades!$P$11,J380)*POWER(Upgrades!$P$12,K380)*60</f>
        <v>72</v>
      </c>
      <c r="AB380" s="27" t="n">
        <f aca="false">(IF(F380=0,0,(Upgrades!$G$7+F380*Upgrades!$H$7)*POWER(Upgrades!$I$7,F380)))*(IF(Upgrades!$T$6="Asteroid Belt",POWER(Upgrades!$U$6,E380),1)*IF(Upgrades!$T$8="Asteroid Belt",POWER(Upgrades!$U$8,G380),1)*IF(Upgrades!$T$9="Asteroid Belt",POWER(Upgrades!$U$9,H380),1)*IF(Upgrades!$T$10="Asteroid Belt",POWER(Upgrades!$U$10,I380),1)*IF(Upgrades!$T$11="Asteroid Belt",POWER(Upgrades!$U$11,J380),1)*IF(Upgrades!$T$12="Asteroid Belt",POWER(Upgrades!$U$12,K380),1))*POWER(Upgrades!$P$6,E380)*POWER(Upgrades!$P$7,F380)*POWER(Upgrades!$P$8,G380)*POWER(Upgrades!$P$9,H380)*POWER(Upgrades!$P$10,I380)*POWER(Upgrades!$P$11,J380)*POWER(Upgrades!$P$12,K380)*60</f>
        <v>150</v>
      </c>
      <c r="AC380" s="27" t="n">
        <f aca="false">(IF(G380=0,0,(Upgrades!$J$8+G380*Upgrades!$K$8)*POWER(Upgrades!$L$8,G380)))*(IF(Upgrades!$T$6="Stellar Coupling",POWER(Upgrades!$U$6,E380),1)*IF(Upgrades!$T$7="Stellar Coupling",POWER(Upgrades!$U$7,F380),1)*IF(Upgrades!$T$9="Stellar Coupling",POWER(Upgrades!$U$9,H380),1)*IF(Upgrades!$T$10="Stellar Coupling",POWER(Upgrades!$U$10,I380),1)*IF(Upgrades!$T$11="Stellar Coupling",POWER(Upgrades!$U$11,J380),1)*IF(Upgrades!$T$12="Stellar Coupling",POWER(Upgrades!$U$12,K380),1))*POWER(Upgrades!$Q$6,E380)*POWER(Upgrades!$Q$7,F380)*POWER(Upgrades!$Q$8,G380)*POWER(Upgrades!$Q$9,H380)*POWER(Upgrades!$Q$10,I380)*POWER(Upgrades!$Q$11,J380)*POWER(Upgrades!$Q$12,K380)*Parameters!$B$10*Parameters!$B$11</f>
        <v>441</v>
      </c>
      <c r="AD380" s="27" t="n">
        <f aca="false">(IF(H380=0,0,(Upgrades!$G$9+H380*Upgrades!$H$9)*POWER(Upgrades!$I$9,H380)))*(IF(Upgrades!$T$6="Magnetosphere",POWER(Upgrades!$U$6,E380),1)*IF(Upgrades!$T$7="Magnetosphere",POWER(Upgrades!$U$7,F380),1)*IF(Upgrades!$T$8="Magnetosphere",POWER(Upgrades!$U$8,G380),1)*IF(Upgrades!$T$10="Magnetosphere",POWER(Upgrades!$U$10,I380),1)*IF(Upgrades!$T$11="Magnetosphere",POWER(Upgrades!$U$11,J380),1)*IF(Upgrades!$T$12="Magnetosphere",POWER(Upgrades!$U$12,K380),1))*POWER(Upgrades!$P$6,E380)*POWER(Upgrades!$P$7,F380)*POWER(Upgrades!$P$8,G380)*POWER(Upgrades!$P$9,H380)*POWER(Upgrades!$P$10,I380)*POWER(Upgrades!$P$11,J380)*POWER(Upgrades!$P$12,K380)*60</f>
        <v>375</v>
      </c>
      <c r="AE380" s="27" t="n">
        <f aca="false">(IF(K380=0,0,(Upgrades!$G$12+K380*Upgrades!$H$12)*POWER(Upgrades!$I$12,K380)))*(IF(Upgrades!$T$6="First Photons",POWER(Upgrades!$U$6,E380),1)*IF(Upgrades!$T$7="First Photons",POWER(Upgrades!$U$7,F380),1)*IF(Upgrades!$T$8="First Photons",POWER(Upgrades!$U$8,G380),1)*IF(Upgrades!$T$9="First Photons",POWER(Upgrades!$U$9,H380),1)*IF(Upgrades!$T$10="First Photons",POWER(Upgrades!$U$10,I380),1)*IF(Upgrades!$T$11="First Photons",POWER(Upgrades!$U$11,J380),1))*POWER(Upgrades!$P$6,E380)*POWER(Upgrades!$P$7,F380)*POWER(Upgrades!$P$8,G380)*POWER(Upgrades!$P$9,H380)*POWER(Upgrades!$P$10,I380)*POWER(Upgrades!$P$11,J380)*POWER(Upgrades!$P$12,K380)*60</f>
        <v>75</v>
      </c>
      <c r="AF380" s="27" t="n">
        <f aca="false">Parameters!$B$9*POWER(Upgrades!$Q$6,E380)*POWER(Upgrades!$Q$7,F380)*POWER(Upgrades!$Q$8,G380)*POWER(Upgrades!$Q$9,H380)*POWER(Upgrades!$Q$10,I380)*POWER(Upgrades!$Q$11,J380)*POWER(Upgrades!$Q$12,K380)*(Parameters!$B$10*Parameters!$B$11+O380*60)</f>
        <v>120</v>
      </c>
      <c r="AG380" s="21" t="n">
        <f aca="false">IF(E380&gt;=Upgrades!$E$6,"",Upgrades!$C$6*POWER(Upgrades!$D$6,E380))</f>
        <v>37.4517507383159</v>
      </c>
      <c r="AH380" s="21" t="n">
        <f aca="false">IF(F380&gt;=Upgrades!$E$7,"",Upgrades!$C$7*POWER(Upgrades!$D$7,F380))</f>
        <v>80.9111547141581</v>
      </c>
      <c r="AI380" s="21" t="n">
        <f aca="false">IF(G380&gt;=Upgrades!$E$8,"",Upgrades!$C$8*POWER(Upgrades!$D$8,G380))</f>
        <v>231.9097088</v>
      </c>
      <c r="AJ380" s="21" t="str">
        <f aca="false">IF(H380&gt;=Upgrades!$E$9,"",Upgrades!$C$9*POWER(Upgrades!$D$9,H380))</f>
        <v/>
      </c>
      <c r="AK380" s="21" t="str">
        <f aca="false">IF(I380&gt;=Upgrades!$E$10,"",Upgrades!$C$10*POWER(Upgrades!$D$10,I380))</f>
        <v/>
      </c>
      <c r="AL380" s="21" t="str">
        <f aca="false">IF(J380&gt;=Upgrades!$E$11,"",Upgrades!$C$11*POWER(Upgrades!$D$11,J380))</f>
        <v/>
      </c>
      <c r="AM380" s="21" t="str">
        <f aca="false">IF(K380&gt;=Upgrades!$E$12,"",Upgrades!$C$12*POWER(Upgrades!$D$12,K380))</f>
        <v/>
      </c>
      <c r="AN380" s="26" t="str">
        <f aca="false">IF(AND(D380&gt;=Parameters!$B$18,(H380&gt;=Upgrades!$E$9)*(K380&gt;=Upgrades!$E$12)=1,L380=0),1,"")</f>
        <v/>
      </c>
      <c r="AO380" s="26" t="str">
        <f aca="false">IF(AND(D380&gt;=Parameters!$B$18,L380=0),1,"")</f>
        <v/>
      </c>
      <c r="AP380" s="21" t="n">
        <f aca="false">MIN(IF(ISNUMBER(AK380),AK380,9000000000000000),IF(ISNUMBER(AL380),AL380,9000000000000000),IF(ISNUMBER(AM380),AM380,9000000000000000))</f>
        <v>9000000000000000</v>
      </c>
      <c r="AQ380" s="21" t="n">
        <f aca="false">MIN(IF(ISNUMBER(AG380),AG380,9000000000000000),IF(ISNUMBER(AH380),AH380,9000000000000000),IF(ISNUMBER(AI380),AI380,9000000000000000),IF(ISNUMBER(AJ380),AJ380,9000000000000000))</f>
        <v>37.4517507383159</v>
      </c>
      <c r="AR380" s="32" t="b">
        <f aca="false">IF(AW380&gt;Parameters!$B$21*(MAX(IF(AND(NOT(AND(AO380=1,AN380&lt;&gt;1)),ISNUMBER(AG380),AG380&lt;=T380),AS380,0),IF(AND(NOT(AND(AO380=1,AN380&lt;&gt;1)),ISNUMBER(AH380),AH380&lt;=T380),AT380,0),IF(AND(NOT(AND(AO380=1,AN380&lt;&gt;1)),ISNUMBER(AI380),AI380&lt;=T380),AU380,0),IF(AND(ISNUMBER(AJ380),AJ380&lt;=T380),AV380,0))),TRUE(),FALSE())</f>
        <v>1</v>
      </c>
      <c r="AS380" s="33" t="n">
        <f aca="false">IFERROR(Upgrades!$H$6*(POWER(Upgrades!$P$6,E380)*POWER(Upgrades!$P$7,F380)*POWER(Upgrades!$P$8,G380)*POWER(Upgrades!$P$9,H380)*POWER(Upgrades!$P$10,I380)*POWER(Upgrades!$P$11,J380)*POWER(Upgrades!$P$12,K380))*(IF(Upgrades!$T$7="Solar Wind",POWER(Upgrades!$U$7,F380),1)*IF(Upgrades!$T$8="Solar Wind",POWER(Upgrades!$U$8,G380),1)*IF(Upgrades!$T$9="Solar Wind",POWER(Upgrades!$U$9,H380),1)*IF(Upgrades!$T$10="Solar Wind",POWER(Upgrades!$U$10,I380),1)*IF(Upgrades!$T$11="Solar Wind",POWER(Upgrades!$U$11,J380),1)*IF(Upgrades!$T$12="Solar Wind",POWER(Upgrades!$U$12,K380),1))/AG380,0)</f>
        <v>0.0026701021455238</v>
      </c>
      <c r="AT380" s="33" t="n">
        <f aca="false">IFERROR(Upgrades!$H$7*(POWER(Upgrades!$P$6,E380)*POWER(Upgrades!$P$7,F380)*POWER(Upgrades!$P$8,G380)*POWER(Upgrades!$P$9,H380)*POWER(Upgrades!$P$10,I380)*POWER(Upgrades!$P$11,J380)*POWER(Upgrades!$P$12,K380))*(IF(Upgrades!$T$6="Asteroid Belt",POWER(Upgrades!$U$6,E380),1)*IF(Upgrades!$T$8="Asteroid Belt",POWER(Upgrades!$U$8,G380),1)*IF(Upgrades!$T$9="Asteroid Belt",POWER(Upgrades!$U$9,H380),1)*IF(Upgrades!$T$10="Asteroid Belt",POWER(Upgrades!$U$10,I380),1)*IF(Upgrades!$T$11="Asteroid Belt",POWER(Upgrades!$U$11,J380),1)*IF(Upgrades!$T$12="Asteroid Belt",POWER(Upgrades!$U$12,K380),1))/AH380,0)</f>
        <v>0.00308980882652332</v>
      </c>
      <c r="AU380" s="33" t="n">
        <f aca="false">IFERROR(Upgrades!$K$8*(POWER(Upgrades!$Q$6,E380)*POWER(Upgrades!$Q$7,F380)*POWER(Upgrades!$Q$8,G380)*POWER(Upgrades!$Q$9,H380)*POWER(Upgrades!$Q$10,I380)*POWER(Upgrades!$Q$11,J380)*POWER(Upgrades!$Q$12,K380))*(IF(Upgrades!$T$6="Stellar Coupling",POWER(Upgrades!$U$6,E380),1)*IF(Upgrades!$T$7="Stellar Coupling",POWER(Upgrades!$U$7,F380),1)*IF(Upgrades!$T$9="Stellar Coupling",POWER(Upgrades!$U$9,H380),1)*IF(Upgrades!$T$10="Stellar Coupling",POWER(Upgrades!$U$10,I380),1)*IF(Upgrades!$T$11="Stellar Coupling",POWER(Upgrades!$U$11,J380),1)*IF(Upgrades!$T$12="Stellar Coupling",POWER(Upgrades!$U$12,K380),1))*Parameters!$B$10*Parameters!$B$11/60/AI380,0)</f>
        <v>0.00452762415783776</v>
      </c>
      <c r="AV380" s="33" t="n">
        <f aca="false">IFERROR(Upgrades!$H$9*(POWER(Upgrades!$P$6,E380)*POWER(Upgrades!$P$7,F380)*POWER(Upgrades!$P$8,G380)*POWER(Upgrades!$P$9,H380)*POWER(Upgrades!$P$10,I380)*POWER(Upgrades!$P$11,J380)*POWER(Upgrades!$P$12,K380))*(IF(Upgrades!$T$6="Magnetosphere",POWER(Upgrades!$U$6,E380),1)*IF(Upgrades!$T$7="Magnetosphere",POWER(Upgrades!$U$7,F380),1)*IF(Upgrades!$T$8="Magnetosphere",POWER(Upgrades!$U$8,G380),1)*IF(Upgrades!$T$10="Magnetosphere",POWER(Upgrades!$U$10,I380),1)*IF(Upgrades!$T$11="Magnetosphere",POWER(Upgrades!$U$11,J380),1)*IF(Upgrades!$T$12="Magnetosphere",POWER(Upgrades!$U$12,K380),1))/AJ380,0)</f>
        <v>0</v>
      </c>
      <c r="AW380" s="33" t="n">
        <f aca="false">MAX(IF(I380&gt;0,0,IFERROR(0.25*N380/Upgrades!$C$10,0)),IF(J380&gt;0,0,IFERROR(0.5*((IF(G380=0,0,(Upgrades!$J$8+G380*Upgrades!$K$8)*POWER(Upgrades!$L$8,G380)))*(IF(Upgrades!$T$6="Stellar Coupling",POWER(Upgrades!$U$6,E380),1)*IF(Upgrades!$T$7="Stellar Coupling",POWER(Upgrades!$U$7,F380),1)*IF(Upgrades!$T$9="Stellar Coupling",POWER(Upgrades!$U$9,H380),1)*IF(Upgrades!$T$10="Stellar Coupling",POWER(Upgrades!$U$10,I380),1)*IF(Upgrades!$T$11="Stellar Coupling",POWER(Upgrades!$U$11,J380),1)*IF(Upgrades!$T$12="Stellar Coupling",POWER(Upgrades!$U$12,K380),1))*(POWER(Upgrades!$Q$6,E380)*POWER(Upgrades!$Q$7,F380)*POWER(Upgrades!$Q$8,G380)*POWER(Upgrades!$Q$9,H380)*POWER(Upgrades!$Q$10,I380)*POWER(Upgrades!$Q$11,J380)*POWER(Upgrades!$Q$12,K380))*Parameters!$B$10*Parameters!$B$11/60)/Upgrades!$C$11,0)),IF(K380&gt;0,0,IFERROR((1*(POWER(Upgrades!$P$6,E380)*POWER(Upgrades!$P$7,F380)*POWER(Upgrades!$P$8,G380)*POWER(Upgrades!$P$9,H380)*POWER(Upgrades!$P$10,I380)*POWER(Upgrades!$P$11,J380)*POWER(Upgrades!$P$12,K380))+0.2*M380*Parameters!$B$10*Parameters!$B$11/60)/Upgrades!$C$12,0)),IF(AND(ISNUMBER(AG380),AG380&gt;T380),AS380,0),IF(AND(ISNUMBER(AH380),AH380&gt;T380),AT380,0),IF(AND(ISNUMBER(AI380),AI380&gt;T380),AU380,0),IF(AND(ISNUMBER(AJ380),AJ380&gt;T380),AV380,0))</f>
        <v>0.00452762415783776</v>
      </c>
      <c r="AX380" s="29" t="str">
        <f aca="false">IF(AN380=1,"transition",IF(MIN(IF(AND(I380=0,ISNUMBER(AK380),AK380&lt;=T380),AK380,9000000000000000),IF(AND(J380=0,ISNUMBER(AL380),AL380&lt;=T380),AL380,9000000000000000),IF(AND(K380=0,ISNUMBER(AM380),AM380&lt;=T380),AM380,9000000000000000))&lt;9000000000000000,IF(AND(AND(I380=0,ISNUMBER(AK380),AK380&lt;=T380),AK380=MIN(IF(AND(I380=0,ISNUMBER(AK380),AK380&lt;=T380),AK380,9000000000000000),IF(AND(J380=0,ISNUMBER(AL380),AL380&lt;=T380),AL380,9000000000000000),IF(AND(K380=0,ISNUMBER(AM380),AM380&lt;=T380),AM380,9000000000000000))),"OR",IF(AND(AND(J380=0,ISNUMBER(AL380),AL380&lt;=T380),AL380=MIN(IF(AND(I380=0,ISNUMBER(AK380),AK380&lt;=T380),AK380,9000000000000000),IF(AND(J380=0,ISNUMBER(AL380),AL380&lt;=T380),AL380,9000000000000000),IF(AND(K380=0,ISNUMBER(AM380),AM380&lt;=T380),AM380,9000000000000000))),"HP","FP")),IF(AR380=TRUE(),"",IF(MAX(IF(AND(NOT(AND(AO380=1,AN380&lt;&gt;1)),ISNUMBER(AG380),AG380&lt;=T380),AS380,0),IF(AND(NOT(AND(AO380=1,AN380&lt;&gt;1)),ISNUMBER(AH380),AH380&lt;=T380),AT380,0),IF(AND(NOT(AND(AO380=1,AN380&lt;&gt;1)),ISNUMBER(AI380),AI380&lt;=T380),AU380,0),IF(AND(ISNUMBER(AJ380),AJ380&lt;=T380),AV380,0))&lt;=0,"",IF(AND(IF(AND(NOT(AND(AO380=1,AN380&lt;&gt;1)),ISNUMBER(AG380),AG380&lt;=T380),AS380,0)&gt;0,IF(AND(NOT(AND(AO380=1,AN380&lt;&gt;1)),ISNUMBER(AG380),AG380&lt;=T380),AS380,0)=MAX(IF(AND(NOT(AND(AO380=1,AN380&lt;&gt;1)),ISNUMBER(AG380),AG380&lt;=T380),AS380,0),IF(AND(NOT(AND(AO380=1,AN380&lt;&gt;1)),ISNUMBER(AH380),AH380&lt;=T380),AT380,0),IF(AND(NOT(AND(AO380=1,AN380&lt;&gt;1)),ISNUMBER(AI380),AI380&lt;=T380),AU380,0),IF(AND(ISNUMBER(AJ380),AJ380&lt;=T380),AV380,0))),"SW",IF(AND(IF(AND(NOT(AND(AO380=1,AN380&lt;&gt;1)),ISNUMBER(AH380),AH380&lt;=T380),AT380,0)&gt;0,IF(AND(NOT(AND(AO380=1,AN380&lt;&gt;1)),ISNUMBER(AH380),AH380&lt;=T380),AT380,0)=MAX(IF(AND(NOT(AND(AO380=1,AN380&lt;&gt;1)),ISNUMBER(AG380),AG380&lt;=T380),AS380,0),IF(AND(NOT(AND(AO380=1,AN380&lt;&gt;1)),ISNUMBER(AH380),AH380&lt;=T380),AT380,0),IF(AND(NOT(AND(AO380=1,AN380&lt;&gt;1)),ISNUMBER(AI380),AI380&lt;=T380),AU380,0),IF(AND(ISNUMBER(AJ380),AJ380&lt;=T380),AV380,0))),"AB",IF(AND(IF(AND(NOT(AND(AO380=1,AN380&lt;&gt;1)),ISNUMBER(AI380),AI380&lt;=T380),AU380,0)&gt;0,IF(AND(NOT(AND(AO380=1,AN380&lt;&gt;1)),ISNUMBER(AI380),AI380&lt;=T380),AU380,0)=MAX(IF(AND(NOT(AND(AO380=1,AN380&lt;&gt;1)),ISNUMBER(AG380),AG380&lt;=T380),AS380,0),IF(AND(NOT(AND(AO380=1,AN380&lt;&gt;1)),ISNUMBER(AH380),AH380&lt;=T380),AT380,0),IF(AND(NOT(AND(AO380=1,AN380&lt;&gt;1)),ISNUMBER(AI380),AI380&lt;=T380),AU380,0),IF(AND(ISNUMBER(AJ380),AJ380&lt;=T380),AV380,0))),"SC","Mag")))))))</f>
        <v/>
      </c>
    </row>
    <row r="381" customFormat="false" ht="15" hidden="false" customHeight="false" outlineLevel="0" collapsed="false">
      <c r="A381" s="26" t="n">
        <v>376</v>
      </c>
      <c r="B381" s="27" t="n">
        <f aca="false">A381*10/60</f>
        <v>62.6666666666667</v>
      </c>
      <c r="C381" s="21" t="n">
        <f aca="false">X380</f>
        <v>18.6730249835055</v>
      </c>
      <c r="D381" s="27" t="n">
        <f aca="false">D380+W380</f>
        <v>0</v>
      </c>
      <c r="E381" s="26" t="n">
        <f aca="false">E380+IF(U380="SW",1,0)</f>
        <v>12</v>
      </c>
      <c r="F381" s="26" t="n">
        <f aca="false">F380+IF(U380="AB",1,0)</f>
        <v>10</v>
      </c>
      <c r="G381" s="26" t="n">
        <f aca="false">G380+IF(U380="SC",1,0)</f>
        <v>7</v>
      </c>
      <c r="H381" s="26" t="n">
        <f aca="false">H380+IF(U380="Mag",1,0)</f>
        <v>5</v>
      </c>
      <c r="I381" s="26" t="n">
        <f aca="false">MAX(I380,IF(U380="OR",1,0))</f>
        <v>1</v>
      </c>
      <c r="J381" s="26" t="n">
        <f aca="false">MAX(J380,IF(U380="HP",1,0))</f>
        <v>1</v>
      </c>
      <c r="K381" s="26" t="n">
        <f aca="false">MAX(K380,IF(U380="FP",1,0))</f>
        <v>1</v>
      </c>
      <c r="L381" s="26" t="n">
        <f aca="false">MAX(L380,IF(U380="transition",1,0))</f>
        <v>1</v>
      </c>
      <c r="M381" s="28" t="n">
        <f aca="false">(Parameters!$B$9+(IF(E381=0,0,(Upgrades!$J$6+E381*Upgrades!$K$6)*POWER(Upgrades!$L$6,E381)))*(IF(Upgrades!$T$7="Solar Wind",POWER(Upgrades!$U$7,F381),1)*IF(Upgrades!$T$8="Solar Wind",POWER(Upgrades!$U$8,G381),1)*IF(Upgrades!$T$9="Solar Wind",POWER(Upgrades!$U$9,H381),1)*IF(Upgrades!$T$10="Solar Wind",POWER(Upgrades!$U$10,I381),1)*IF(Upgrades!$T$11="Solar Wind",POWER(Upgrades!$U$11,J381),1)*IF(Upgrades!$T$12="Solar Wind",POWER(Upgrades!$U$12,K381),1))+(IF(F381=0,0,(Upgrades!$J$7+F381*Upgrades!$K$7)*POWER(Upgrades!$L$7,F381)))*(IF(Upgrades!$T$6="Asteroid Belt",POWER(Upgrades!$U$6,E381),1)*IF(Upgrades!$T$8="Asteroid Belt",POWER(Upgrades!$U$8,G381),1)*IF(Upgrades!$T$9="Asteroid Belt",POWER(Upgrades!$U$9,H381),1)*IF(Upgrades!$T$10="Asteroid Belt",POWER(Upgrades!$U$10,I381),1)*IF(Upgrades!$T$11="Asteroid Belt",POWER(Upgrades!$U$11,J381),1)*IF(Upgrades!$T$12="Asteroid Belt",POWER(Upgrades!$U$12,K381),1))+(IF(G381=0,0,(Upgrades!$J$8+G381*Upgrades!$K$8)*POWER(Upgrades!$L$8,G381)))*(IF(Upgrades!$T$6="Stellar Coupling",POWER(Upgrades!$U$6,E381),1)*IF(Upgrades!$T$7="Stellar Coupling",POWER(Upgrades!$U$7,F381),1)*IF(Upgrades!$T$9="Stellar Coupling",POWER(Upgrades!$U$9,H381),1)*IF(Upgrades!$T$10="Stellar Coupling",POWER(Upgrades!$U$10,I381),1)*IF(Upgrades!$T$11="Stellar Coupling",POWER(Upgrades!$U$11,J381),1)*IF(Upgrades!$T$12="Stellar Coupling",POWER(Upgrades!$U$12,K381),1))+(IF(H381=0,0,(Upgrades!$J$9+H381*Upgrades!$K$9)*POWER(Upgrades!$L$9,H381)))*(IF(Upgrades!$T$6="Magnetosphere",POWER(Upgrades!$U$6,E381),1)*IF(Upgrades!$T$7="Magnetosphere",POWER(Upgrades!$U$7,F381),1)*IF(Upgrades!$T$8="Magnetosphere",POWER(Upgrades!$U$8,G381),1)*IF(Upgrades!$T$10="Magnetosphere",POWER(Upgrades!$U$10,I381),1)*IF(Upgrades!$T$11="Magnetosphere",POWER(Upgrades!$U$11,J381),1)*IF(Upgrades!$T$12="Magnetosphere",POWER(Upgrades!$U$12,K381),1))+(IF(I381=0,0,(Upgrades!$J$10+I381*Upgrades!$K$10)*POWER(Upgrades!$L$10,I381)))*(IF(Upgrades!$T$6="Orbital Resonance",POWER(Upgrades!$U$6,E381),1)*IF(Upgrades!$T$7="Orbital Resonance",POWER(Upgrades!$U$7,F381),1)*IF(Upgrades!$T$8="Orbital Resonance",POWER(Upgrades!$U$8,G381),1)*IF(Upgrades!$T$9="Orbital Resonance",POWER(Upgrades!$U$9,H381),1)*IF(Upgrades!$T$11="Orbital Resonance",POWER(Upgrades!$U$11,J381),1)*IF(Upgrades!$T$12="Orbital Resonance",POWER(Upgrades!$U$12,K381),1))+(IF(J381=0,0,(Upgrades!$J$11+J381*Upgrades!$K$11)*POWER(Upgrades!$L$11,J381)))*(IF(Upgrades!$T$6="Heliopause",POWER(Upgrades!$U$6,E381),1)*IF(Upgrades!$T$7="Heliopause",POWER(Upgrades!$U$7,F381),1)*IF(Upgrades!$T$8="Heliopause",POWER(Upgrades!$U$8,G381),1)*IF(Upgrades!$T$9="Heliopause",POWER(Upgrades!$U$9,H381),1)*IF(Upgrades!$T$10="Heliopause",POWER(Upgrades!$U$10,I381),1)*IF(Upgrades!$T$12="Heliopause",POWER(Upgrades!$U$12,K381),1))+(IF(K381=0,0,(Upgrades!$J$12+K381*Upgrades!$K$12)*POWER(Upgrades!$L$12,K381)))*(IF(Upgrades!$T$6="First Photons",POWER(Upgrades!$U$6,E381),1)*IF(Upgrades!$T$7="First Photons",POWER(Upgrades!$U$7,F381),1)*IF(Upgrades!$T$8="First Photons",POWER(Upgrades!$U$8,G381),1)*IF(Upgrades!$T$9="First Photons",POWER(Upgrades!$U$9,H381),1)*IF(Upgrades!$T$10="First Photons",POWER(Upgrades!$U$10,I381),1)*IF(Upgrades!$T$11="First Photons",POWER(Upgrades!$U$11,J381),1)))*POWER(Upgrades!$Q$6,E381)*POWER(Upgrades!$Q$7,F381)*POWER(Upgrades!$Q$8,G381)*POWER(Upgrades!$Q$9,H381)*POWER(Upgrades!$Q$10,I381)*POWER(Upgrades!$Q$11,J381)*POWER(Upgrades!$Q$12,K381)</f>
        <v>5.61</v>
      </c>
      <c r="N381" s="28" t="n">
        <f aca="false">((IF(E381=0,0,(Upgrades!$G$6+E381*Upgrades!$H$6)*POWER(Upgrades!$I$6,E381)))*(IF(Upgrades!$T$7="Solar Wind",POWER(Upgrades!$U$7,F381),1)*IF(Upgrades!$T$8="Solar Wind",POWER(Upgrades!$U$8,G381),1)*IF(Upgrades!$T$9="Solar Wind",POWER(Upgrades!$U$9,H381),1)*IF(Upgrades!$T$10="Solar Wind",POWER(Upgrades!$U$10,I381),1)*IF(Upgrades!$T$11="Solar Wind",POWER(Upgrades!$U$11,J381),1)*IF(Upgrades!$T$12="Solar Wind",POWER(Upgrades!$U$12,K381),1))+(IF(F381=0,0,(Upgrades!$G$7+F381*Upgrades!$H$7)*POWER(Upgrades!$I$7,F381)))*(IF(Upgrades!$T$6="Asteroid Belt",POWER(Upgrades!$U$6,E381),1)*IF(Upgrades!$T$8="Asteroid Belt",POWER(Upgrades!$U$8,G381),1)*IF(Upgrades!$T$9="Asteroid Belt",POWER(Upgrades!$U$9,H381),1)*IF(Upgrades!$T$10="Asteroid Belt",POWER(Upgrades!$U$10,I381),1)*IF(Upgrades!$T$11="Asteroid Belt",POWER(Upgrades!$U$11,J381),1)*IF(Upgrades!$T$12="Asteroid Belt",POWER(Upgrades!$U$12,K381),1))+(IF(G381=0,0,(Upgrades!$G$8+G381*Upgrades!$H$8)*POWER(Upgrades!$I$8,G381)))*(IF(Upgrades!$T$6="Stellar Coupling",POWER(Upgrades!$U$6,E381),1)*IF(Upgrades!$T$7="Stellar Coupling",POWER(Upgrades!$U$7,F381),1)*IF(Upgrades!$T$9="Stellar Coupling",POWER(Upgrades!$U$9,H381),1)*IF(Upgrades!$T$10="Stellar Coupling",POWER(Upgrades!$U$10,I381),1)*IF(Upgrades!$T$11="Stellar Coupling",POWER(Upgrades!$U$11,J381),1)*IF(Upgrades!$T$12="Stellar Coupling",POWER(Upgrades!$U$12,K381),1))+(IF(H381=0,0,(Upgrades!$G$9+H381*Upgrades!$H$9)*POWER(Upgrades!$I$9,H381)))*(IF(Upgrades!$T$6="Magnetosphere",POWER(Upgrades!$U$6,E381),1)*IF(Upgrades!$T$7="Magnetosphere",POWER(Upgrades!$U$7,F381),1)*IF(Upgrades!$T$8="Magnetosphere",POWER(Upgrades!$U$8,G381),1)*IF(Upgrades!$T$10="Magnetosphere",POWER(Upgrades!$U$10,I381),1)*IF(Upgrades!$T$11="Magnetosphere",POWER(Upgrades!$U$11,J381),1)*IF(Upgrades!$T$12="Magnetosphere",POWER(Upgrades!$U$12,K381),1))+(IF(I381=0,0,(Upgrades!$G$10+I381*Upgrades!$H$10)*POWER(Upgrades!$I$10,I381)))*(IF(Upgrades!$T$6="Orbital Resonance",POWER(Upgrades!$U$6,E381),1)*IF(Upgrades!$T$7="Orbital Resonance",POWER(Upgrades!$U$7,F381),1)*IF(Upgrades!$T$8="Orbital Resonance",POWER(Upgrades!$U$8,G381),1)*IF(Upgrades!$T$9="Orbital Resonance",POWER(Upgrades!$U$9,H381),1)*IF(Upgrades!$T$11="Orbital Resonance",POWER(Upgrades!$U$11,J381),1)*IF(Upgrades!$T$12="Orbital Resonance",POWER(Upgrades!$U$12,K381),1))+(IF(J381=0,0,(Upgrades!$G$11+J381*Upgrades!$H$11)*POWER(Upgrades!$I$11,J381)))*(IF(Upgrades!$T$6="Heliopause",POWER(Upgrades!$U$6,E381),1)*IF(Upgrades!$T$7="Heliopause",POWER(Upgrades!$U$7,F381),1)*IF(Upgrades!$T$8="Heliopause",POWER(Upgrades!$U$8,G381),1)*IF(Upgrades!$T$9="Heliopause",POWER(Upgrades!$U$9,H381),1)*IF(Upgrades!$T$10="Heliopause",POWER(Upgrades!$U$10,I381),1)*IF(Upgrades!$T$12="Heliopause",POWER(Upgrades!$U$12,K381),1))+(IF(K381=0,0,(Upgrades!$G$12+K381*Upgrades!$H$12)*POWER(Upgrades!$I$12,K381)))*(IF(Upgrades!$T$6="First Photons",POWER(Upgrades!$U$6,E381),1)*IF(Upgrades!$T$7="First Photons",POWER(Upgrades!$U$7,F381),1)*IF(Upgrades!$T$8="First Photons",POWER(Upgrades!$U$8,G381),1)*IF(Upgrades!$T$9="First Photons",POWER(Upgrades!$U$9,H381),1)*IF(Upgrades!$T$10="First Photons",POWER(Upgrades!$U$10,I381),1)*IF(Upgrades!$T$11="First Photons",POWER(Upgrades!$U$11,J381),1)))*POWER(Upgrades!$P$6,E381)*POWER(Upgrades!$P$7,F381)*POWER(Upgrades!$P$8,G381)*POWER(Upgrades!$P$9,H381)*POWER(Upgrades!$P$10,I381)*POWER(Upgrades!$P$11,J381)*POWER(Upgrades!$P$12,K381)</f>
        <v>11.2</v>
      </c>
      <c r="O381" s="28" t="n">
        <f aca="false">((IF(E381=0,0,(Upgrades!$M$6+E381*Upgrades!$N$6)*POWER(Upgrades!$O$6,E381)))*(IF(Upgrades!$T$7="Solar Wind",POWER(Upgrades!$U$7,F381),1)*IF(Upgrades!$T$8="Solar Wind",POWER(Upgrades!$U$8,G381),1)*IF(Upgrades!$T$9="Solar Wind",POWER(Upgrades!$U$9,H381),1)*IF(Upgrades!$T$10="Solar Wind",POWER(Upgrades!$U$10,I381),1)*IF(Upgrades!$T$11="Solar Wind",POWER(Upgrades!$U$11,J381),1)*IF(Upgrades!$T$12="Solar Wind",POWER(Upgrades!$U$12,K381),1))+(IF(F381=0,0,(Upgrades!$M$7+F381*Upgrades!$N$7)*POWER(Upgrades!$O$7,F381)))*(IF(Upgrades!$T$6="Asteroid Belt",POWER(Upgrades!$U$6,E381),1)*IF(Upgrades!$T$8="Asteroid Belt",POWER(Upgrades!$U$8,G381),1)*IF(Upgrades!$T$9="Asteroid Belt",POWER(Upgrades!$U$9,H381),1)*IF(Upgrades!$T$10="Asteroid Belt",POWER(Upgrades!$U$10,I381),1)*IF(Upgrades!$T$11="Asteroid Belt",POWER(Upgrades!$U$11,J381),1)*IF(Upgrades!$T$12="Asteroid Belt",POWER(Upgrades!$U$12,K381),1))+(IF(G381=0,0,(Upgrades!$M$8+G381*Upgrades!$N$8)*POWER(Upgrades!$O$8,G381)))*(IF(Upgrades!$T$6="Stellar Coupling",POWER(Upgrades!$U$6,E381),1)*IF(Upgrades!$T$7="Stellar Coupling",POWER(Upgrades!$U$7,F381),1)*IF(Upgrades!$T$9="Stellar Coupling",POWER(Upgrades!$U$9,H381),1)*IF(Upgrades!$T$10="Stellar Coupling",POWER(Upgrades!$U$10,I381),1)*IF(Upgrades!$T$11="Stellar Coupling",POWER(Upgrades!$U$11,J381),1)*IF(Upgrades!$T$12="Stellar Coupling",POWER(Upgrades!$U$12,K381),1))+(IF(H381=0,0,(Upgrades!$M$9+H381*Upgrades!$N$9)*POWER(Upgrades!$O$9,H381)))*(IF(Upgrades!$T$6="Magnetosphere",POWER(Upgrades!$U$6,E381),1)*IF(Upgrades!$T$7="Magnetosphere",POWER(Upgrades!$U$7,F381),1)*IF(Upgrades!$T$8="Magnetosphere",POWER(Upgrades!$U$8,G381),1)*IF(Upgrades!$T$10="Magnetosphere",POWER(Upgrades!$U$10,I381),1)*IF(Upgrades!$T$11="Magnetosphere",POWER(Upgrades!$U$11,J381),1)*IF(Upgrades!$T$12="Magnetosphere",POWER(Upgrades!$U$12,K381),1))+(IF(I381=0,0,(Upgrades!$M$10+I381*Upgrades!$N$10)*POWER(Upgrades!$O$10,I381)))*(IF(Upgrades!$T$6="Orbital Resonance",POWER(Upgrades!$U$6,E381),1)*IF(Upgrades!$T$7="Orbital Resonance",POWER(Upgrades!$U$7,F381),1)*IF(Upgrades!$T$8="Orbital Resonance",POWER(Upgrades!$U$8,G381),1)*IF(Upgrades!$T$9="Orbital Resonance",POWER(Upgrades!$U$9,H381),1)*IF(Upgrades!$T$11="Orbital Resonance",POWER(Upgrades!$U$11,J381),1)*IF(Upgrades!$T$12="Orbital Resonance",POWER(Upgrades!$U$12,K381),1))+(IF(J381=0,0,(Upgrades!$M$11+J381*Upgrades!$N$11)*POWER(Upgrades!$O$11,J381)))*(IF(Upgrades!$T$6="Heliopause",POWER(Upgrades!$U$6,E381),1)*IF(Upgrades!$T$7="Heliopause",POWER(Upgrades!$U$7,F381),1)*IF(Upgrades!$T$8="Heliopause",POWER(Upgrades!$U$8,G381),1)*IF(Upgrades!$T$9="Heliopause",POWER(Upgrades!$U$9,H381),1)*IF(Upgrades!$T$10="Heliopause",POWER(Upgrades!$U$10,I381),1)*IF(Upgrades!$T$12="Heliopause",POWER(Upgrades!$U$12,K381),1))+(IF(K381=0,0,(Upgrades!$M$12+K381*Upgrades!$N$12)*POWER(Upgrades!$O$12,K381)))*(IF(Upgrades!$T$6="First Photons",POWER(Upgrades!$U$6,E381),1)*IF(Upgrades!$T$7="First Photons",POWER(Upgrades!$U$7,F381),1)*IF(Upgrades!$T$8="First Photons",POWER(Upgrades!$U$8,G381),1)*IF(Upgrades!$T$9="First Photons",POWER(Upgrades!$U$9,H381),1)*IF(Upgrades!$T$10="First Photons",POWER(Upgrades!$U$10,I381),1)*IF(Upgrades!$T$11="First Photons",POWER(Upgrades!$U$11,J381),1)))*POWER(Upgrades!$R$6,E381)*POWER(Upgrades!$R$7,F381)*POWER(Upgrades!$R$8,G381)*POWER(Upgrades!$R$9,H381)*POWER(Upgrades!$R$10,I381)*POWER(Upgrades!$R$11,J381)*POWER(Upgrades!$R$12,K381)</f>
        <v>0</v>
      </c>
      <c r="P381" s="27" t="n">
        <f aca="false">IF(L381=1,0,M381*Parameters!$B$10/60*Parameters!$B$11*10)</f>
        <v>0</v>
      </c>
      <c r="Q381" s="27" t="n">
        <f aca="false">IF(L381=1,0,O381*M381*10)</f>
        <v>0</v>
      </c>
      <c r="R381" s="27" t="n">
        <f aca="false">IF(L381=1,0,N381*10)</f>
        <v>0</v>
      </c>
      <c r="S381" s="27" t="n">
        <f aca="false">P381+Q381+R381</f>
        <v>0</v>
      </c>
      <c r="T381" s="21" t="n">
        <f aca="false">C381+S381</f>
        <v>18.6730249835055</v>
      </c>
      <c r="U381" s="34" t="str">
        <f aca="false">AX381</f>
        <v/>
      </c>
      <c r="V381" s="21" t="n">
        <f aca="false">IF(U381="",0,IF(U381="transition",0,IF(U381="SW",AG381,IF(U381="AB",AH381,IF(U381="SC",AI381,IF(U381="Mag",AJ381,IF(U381="OR",AK381,IF(U381="HP",AL381,IF(U381="FP",AM381,0)))))))))</f>
        <v>0</v>
      </c>
      <c r="W381" s="27" t="n">
        <f aca="false">IF(U381="OR",Upgrades!$F$10,IF(U381="HP",Upgrades!$F$11,IF(U381="transition",-Parameters!$B$18,0)))</f>
        <v>0</v>
      </c>
      <c r="X381" s="21" t="n">
        <f aca="false">T381-V381</f>
        <v>18.6730249835055</v>
      </c>
      <c r="Y381" s="30" t="n">
        <f aca="false">M381*Parameters!$B$10/60*Parameters!$B$11+O381*M381+N381</f>
        <v>20.55</v>
      </c>
      <c r="Z381" s="35" t="str">
        <f aca="false">IF(U381="transition","→ Tier 2 (Stellar Neighborhood)",IF(U381="FP","First Photons — light begins, system quickens",IF(U381="HP","Heliopause acquired",IF(U381="OR","Orbital Resonance — passive multiplier active",IF(AND(AO381=1,L381=0,AN381&lt;&gt;1),"Cohesion ready (waiting on completionist upgrades)","")))))</f>
        <v/>
      </c>
      <c r="AA381" s="27" t="n">
        <f aca="false">(IF(E381=0,0,(Upgrades!$G$6+E381*Upgrades!$H$6)*POWER(Upgrades!$I$6,E381)))*(IF(Upgrades!$T$7="Solar Wind",POWER(Upgrades!$U$7,F381),1)*IF(Upgrades!$T$8="Solar Wind",POWER(Upgrades!$U$8,G381),1)*IF(Upgrades!$T$9="Solar Wind",POWER(Upgrades!$U$9,H381),1)*IF(Upgrades!$T$10="Solar Wind",POWER(Upgrades!$U$10,I381),1)*IF(Upgrades!$T$11="Solar Wind",POWER(Upgrades!$U$11,J381),1)*IF(Upgrades!$T$12="Solar Wind",POWER(Upgrades!$U$12,K381),1))*POWER(Upgrades!$P$6,E381)*POWER(Upgrades!$P$7,F381)*POWER(Upgrades!$P$8,G381)*POWER(Upgrades!$P$9,H381)*POWER(Upgrades!$P$10,I381)*POWER(Upgrades!$P$11,J381)*POWER(Upgrades!$P$12,K381)*60</f>
        <v>72</v>
      </c>
      <c r="AB381" s="27" t="n">
        <f aca="false">(IF(F381=0,0,(Upgrades!$G$7+F381*Upgrades!$H$7)*POWER(Upgrades!$I$7,F381)))*(IF(Upgrades!$T$6="Asteroid Belt",POWER(Upgrades!$U$6,E381),1)*IF(Upgrades!$T$8="Asteroid Belt",POWER(Upgrades!$U$8,G381),1)*IF(Upgrades!$T$9="Asteroid Belt",POWER(Upgrades!$U$9,H381),1)*IF(Upgrades!$T$10="Asteroid Belt",POWER(Upgrades!$U$10,I381),1)*IF(Upgrades!$T$11="Asteroid Belt",POWER(Upgrades!$U$11,J381),1)*IF(Upgrades!$T$12="Asteroid Belt",POWER(Upgrades!$U$12,K381),1))*POWER(Upgrades!$P$6,E381)*POWER(Upgrades!$P$7,F381)*POWER(Upgrades!$P$8,G381)*POWER(Upgrades!$P$9,H381)*POWER(Upgrades!$P$10,I381)*POWER(Upgrades!$P$11,J381)*POWER(Upgrades!$P$12,K381)*60</f>
        <v>150</v>
      </c>
      <c r="AC381" s="27" t="n">
        <f aca="false">(IF(G381=0,0,(Upgrades!$J$8+G381*Upgrades!$K$8)*POWER(Upgrades!$L$8,G381)))*(IF(Upgrades!$T$6="Stellar Coupling",POWER(Upgrades!$U$6,E381),1)*IF(Upgrades!$T$7="Stellar Coupling",POWER(Upgrades!$U$7,F381),1)*IF(Upgrades!$T$9="Stellar Coupling",POWER(Upgrades!$U$9,H381),1)*IF(Upgrades!$T$10="Stellar Coupling",POWER(Upgrades!$U$10,I381),1)*IF(Upgrades!$T$11="Stellar Coupling",POWER(Upgrades!$U$11,J381),1)*IF(Upgrades!$T$12="Stellar Coupling",POWER(Upgrades!$U$12,K381),1))*POWER(Upgrades!$Q$6,E381)*POWER(Upgrades!$Q$7,F381)*POWER(Upgrades!$Q$8,G381)*POWER(Upgrades!$Q$9,H381)*POWER(Upgrades!$Q$10,I381)*POWER(Upgrades!$Q$11,J381)*POWER(Upgrades!$Q$12,K381)*Parameters!$B$10*Parameters!$B$11</f>
        <v>441</v>
      </c>
      <c r="AD381" s="27" t="n">
        <f aca="false">(IF(H381=0,0,(Upgrades!$G$9+H381*Upgrades!$H$9)*POWER(Upgrades!$I$9,H381)))*(IF(Upgrades!$T$6="Magnetosphere",POWER(Upgrades!$U$6,E381),1)*IF(Upgrades!$T$7="Magnetosphere",POWER(Upgrades!$U$7,F381),1)*IF(Upgrades!$T$8="Magnetosphere",POWER(Upgrades!$U$8,G381),1)*IF(Upgrades!$T$10="Magnetosphere",POWER(Upgrades!$U$10,I381),1)*IF(Upgrades!$T$11="Magnetosphere",POWER(Upgrades!$U$11,J381),1)*IF(Upgrades!$T$12="Magnetosphere",POWER(Upgrades!$U$12,K381),1))*POWER(Upgrades!$P$6,E381)*POWER(Upgrades!$P$7,F381)*POWER(Upgrades!$P$8,G381)*POWER(Upgrades!$P$9,H381)*POWER(Upgrades!$P$10,I381)*POWER(Upgrades!$P$11,J381)*POWER(Upgrades!$P$12,K381)*60</f>
        <v>375</v>
      </c>
      <c r="AE381" s="27" t="n">
        <f aca="false">(IF(K381=0,0,(Upgrades!$G$12+K381*Upgrades!$H$12)*POWER(Upgrades!$I$12,K381)))*(IF(Upgrades!$T$6="First Photons",POWER(Upgrades!$U$6,E381),1)*IF(Upgrades!$T$7="First Photons",POWER(Upgrades!$U$7,F381),1)*IF(Upgrades!$T$8="First Photons",POWER(Upgrades!$U$8,G381),1)*IF(Upgrades!$T$9="First Photons",POWER(Upgrades!$U$9,H381),1)*IF(Upgrades!$T$10="First Photons",POWER(Upgrades!$U$10,I381),1)*IF(Upgrades!$T$11="First Photons",POWER(Upgrades!$U$11,J381),1))*POWER(Upgrades!$P$6,E381)*POWER(Upgrades!$P$7,F381)*POWER(Upgrades!$P$8,G381)*POWER(Upgrades!$P$9,H381)*POWER(Upgrades!$P$10,I381)*POWER(Upgrades!$P$11,J381)*POWER(Upgrades!$P$12,K381)*60</f>
        <v>75</v>
      </c>
      <c r="AF381" s="27" t="n">
        <f aca="false">Parameters!$B$9*POWER(Upgrades!$Q$6,E381)*POWER(Upgrades!$Q$7,F381)*POWER(Upgrades!$Q$8,G381)*POWER(Upgrades!$Q$9,H381)*POWER(Upgrades!$Q$10,I381)*POWER(Upgrades!$Q$11,J381)*POWER(Upgrades!$Q$12,K381)*(Parameters!$B$10*Parameters!$B$11+O381*60)</f>
        <v>120</v>
      </c>
      <c r="AG381" s="21" t="n">
        <f aca="false">IF(E381&gt;=Upgrades!$E$6,"",Upgrades!$C$6*POWER(Upgrades!$D$6,E381))</f>
        <v>37.4517507383159</v>
      </c>
      <c r="AH381" s="21" t="n">
        <f aca="false">IF(F381&gt;=Upgrades!$E$7,"",Upgrades!$C$7*POWER(Upgrades!$D$7,F381))</f>
        <v>80.9111547141581</v>
      </c>
      <c r="AI381" s="21" t="n">
        <f aca="false">IF(G381&gt;=Upgrades!$E$8,"",Upgrades!$C$8*POWER(Upgrades!$D$8,G381))</f>
        <v>231.9097088</v>
      </c>
      <c r="AJ381" s="21" t="str">
        <f aca="false">IF(H381&gt;=Upgrades!$E$9,"",Upgrades!$C$9*POWER(Upgrades!$D$9,H381))</f>
        <v/>
      </c>
      <c r="AK381" s="21" t="str">
        <f aca="false">IF(I381&gt;=Upgrades!$E$10,"",Upgrades!$C$10*POWER(Upgrades!$D$10,I381))</f>
        <v/>
      </c>
      <c r="AL381" s="21" t="str">
        <f aca="false">IF(J381&gt;=Upgrades!$E$11,"",Upgrades!$C$11*POWER(Upgrades!$D$11,J381))</f>
        <v/>
      </c>
      <c r="AM381" s="21" t="str">
        <f aca="false">IF(K381&gt;=Upgrades!$E$12,"",Upgrades!$C$12*POWER(Upgrades!$D$12,K381))</f>
        <v/>
      </c>
      <c r="AN381" s="26" t="str">
        <f aca="false">IF(AND(D381&gt;=Parameters!$B$18,(H381&gt;=Upgrades!$E$9)*(K381&gt;=Upgrades!$E$12)=1,L381=0),1,"")</f>
        <v/>
      </c>
      <c r="AO381" s="26" t="str">
        <f aca="false">IF(AND(D381&gt;=Parameters!$B$18,L381=0),1,"")</f>
        <v/>
      </c>
      <c r="AP381" s="21" t="n">
        <f aca="false">MIN(IF(ISNUMBER(AK381),AK381,9000000000000000),IF(ISNUMBER(AL381),AL381,9000000000000000),IF(ISNUMBER(AM381),AM381,9000000000000000))</f>
        <v>9000000000000000</v>
      </c>
      <c r="AQ381" s="21" t="n">
        <f aca="false">MIN(IF(ISNUMBER(AG381),AG381,9000000000000000),IF(ISNUMBER(AH381),AH381,9000000000000000),IF(ISNUMBER(AI381),AI381,9000000000000000),IF(ISNUMBER(AJ381),AJ381,9000000000000000))</f>
        <v>37.4517507383159</v>
      </c>
      <c r="AR381" s="32" t="b">
        <f aca="false">IF(AW381&gt;Parameters!$B$21*(MAX(IF(AND(NOT(AND(AO381=1,AN381&lt;&gt;1)),ISNUMBER(AG381),AG381&lt;=T381),AS381,0),IF(AND(NOT(AND(AO381=1,AN381&lt;&gt;1)),ISNUMBER(AH381),AH381&lt;=T381),AT381,0),IF(AND(NOT(AND(AO381=1,AN381&lt;&gt;1)),ISNUMBER(AI381),AI381&lt;=T381),AU381,0),IF(AND(ISNUMBER(AJ381),AJ381&lt;=T381),AV381,0))),TRUE(),FALSE())</f>
        <v>1</v>
      </c>
      <c r="AS381" s="33" t="n">
        <f aca="false">IFERROR(Upgrades!$H$6*(POWER(Upgrades!$P$6,E381)*POWER(Upgrades!$P$7,F381)*POWER(Upgrades!$P$8,G381)*POWER(Upgrades!$P$9,H381)*POWER(Upgrades!$P$10,I381)*POWER(Upgrades!$P$11,J381)*POWER(Upgrades!$P$12,K381))*(IF(Upgrades!$T$7="Solar Wind",POWER(Upgrades!$U$7,F381),1)*IF(Upgrades!$T$8="Solar Wind",POWER(Upgrades!$U$8,G381),1)*IF(Upgrades!$T$9="Solar Wind",POWER(Upgrades!$U$9,H381),1)*IF(Upgrades!$T$10="Solar Wind",POWER(Upgrades!$U$10,I381),1)*IF(Upgrades!$T$11="Solar Wind",POWER(Upgrades!$U$11,J381),1)*IF(Upgrades!$T$12="Solar Wind",POWER(Upgrades!$U$12,K381),1))/AG381,0)</f>
        <v>0.0026701021455238</v>
      </c>
      <c r="AT381" s="33" t="n">
        <f aca="false">IFERROR(Upgrades!$H$7*(POWER(Upgrades!$P$6,E381)*POWER(Upgrades!$P$7,F381)*POWER(Upgrades!$P$8,G381)*POWER(Upgrades!$P$9,H381)*POWER(Upgrades!$P$10,I381)*POWER(Upgrades!$P$11,J381)*POWER(Upgrades!$P$12,K381))*(IF(Upgrades!$T$6="Asteroid Belt",POWER(Upgrades!$U$6,E381),1)*IF(Upgrades!$T$8="Asteroid Belt",POWER(Upgrades!$U$8,G381),1)*IF(Upgrades!$T$9="Asteroid Belt",POWER(Upgrades!$U$9,H381),1)*IF(Upgrades!$T$10="Asteroid Belt",POWER(Upgrades!$U$10,I381),1)*IF(Upgrades!$T$11="Asteroid Belt",POWER(Upgrades!$U$11,J381),1)*IF(Upgrades!$T$12="Asteroid Belt",POWER(Upgrades!$U$12,K381),1))/AH381,0)</f>
        <v>0.00308980882652332</v>
      </c>
      <c r="AU381" s="33" t="n">
        <f aca="false">IFERROR(Upgrades!$K$8*(POWER(Upgrades!$Q$6,E381)*POWER(Upgrades!$Q$7,F381)*POWER(Upgrades!$Q$8,G381)*POWER(Upgrades!$Q$9,H381)*POWER(Upgrades!$Q$10,I381)*POWER(Upgrades!$Q$11,J381)*POWER(Upgrades!$Q$12,K381))*(IF(Upgrades!$T$6="Stellar Coupling",POWER(Upgrades!$U$6,E381),1)*IF(Upgrades!$T$7="Stellar Coupling",POWER(Upgrades!$U$7,F381),1)*IF(Upgrades!$T$9="Stellar Coupling",POWER(Upgrades!$U$9,H381),1)*IF(Upgrades!$T$10="Stellar Coupling",POWER(Upgrades!$U$10,I381),1)*IF(Upgrades!$T$11="Stellar Coupling",POWER(Upgrades!$U$11,J381),1)*IF(Upgrades!$T$12="Stellar Coupling",POWER(Upgrades!$U$12,K381),1))*Parameters!$B$10*Parameters!$B$11/60/AI381,0)</f>
        <v>0.00452762415783776</v>
      </c>
      <c r="AV381" s="33" t="n">
        <f aca="false">IFERROR(Upgrades!$H$9*(POWER(Upgrades!$P$6,E381)*POWER(Upgrades!$P$7,F381)*POWER(Upgrades!$P$8,G381)*POWER(Upgrades!$P$9,H381)*POWER(Upgrades!$P$10,I381)*POWER(Upgrades!$P$11,J381)*POWER(Upgrades!$P$12,K381))*(IF(Upgrades!$T$6="Magnetosphere",POWER(Upgrades!$U$6,E381),1)*IF(Upgrades!$T$7="Magnetosphere",POWER(Upgrades!$U$7,F381),1)*IF(Upgrades!$T$8="Magnetosphere",POWER(Upgrades!$U$8,G381),1)*IF(Upgrades!$T$10="Magnetosphere",POWER(Upgrades!$U$10,I381),1)*IF(Upgrades!$T$11="Magnetosphere",POWER(Upgrades!$U$11,J381),1)*IF(Upgrades!$T$12="Magnetosphere",POWER(Upgrades!$U$12,K381),1))/AJ381,0)</f>
        <v>0</v>
      </c>
      <c r="AW381" s="33" t="n">
        <f aca="false">MAX(IF(I381&gt;0,0,IFERROR(0.25*N381/Upgrades!$C$10,0)),IF(J381&gt;0,0,IFERROR(0.5*((IF(G381=0,0,(Upgrades!$J$8+G381*Upgrades!$K$8)*POWER(Upgrades!$L$8,G381)))*(IF(Upgrades!$T$6="Stellar Coupling",POWER(Upgrades!$U$6,E381),1)*IF(Upgrades!$T$7="Stellar Coupling",POWER(Upgrades!$U$7,F381),1)*IF(Upgrades!$T$9="Stellar Coupling",POWER(Upgrades!$U$9,H381),1)*IF(Upgrades!$T$10="Stellar Coupling",POWER(Upgrades!$U$10,I381),1)*IF(Upgrades!$T$11="Stellar Coupling",POWER(Upgrades!$U$11,J381),1)*IF(Upgrades!$T$12="Stellar Coupling",POWER(Upgrades!$U$12,K381),1))*(POWER(Upgrades!$Q$6,E381)*POWER(Upgrades!$Q$7,F381)*POWER(Upgrades!$Q$8,G381)*POWER(Upgrades!$Q$9,H381)*POWER(Upgrades!$Q$10,I381)*POWER(Upgrades!$Q$11,J381)*POWER(Upgrades!$Q$12,K381))*Parameters!$B$10*Parameters!$B$11/60)/Upgrades!$C$11,0)),IF(K381&gt;0,0,IFERROR((1*(POWER(Upgrades!$P$6,E381)*POWER(Upgrades!$P$7,F381)*POWER(Upgrades!$P$8,G381)*POWER(Upgrades!$P$9,H381)*POWER(Upgrades!$P$10,I381)*POWER(Upgrades!$P$11,J381)*POWER(Upgrades!$P$12,K381))+0.2*M381*Parameters!$B$10*Parameters!$B$11/60)/Upgrades!$C$12,0)),IF(AND(ISNUMBER(AG381),AG381&gt;T381),AS381,0),IF(AND(ISNUMBER(AH381),AH381&gt;T381),AT381,0),IF(AND(ISNUMBER(AI381),AI381&gt;T381),AU381,0),IF(AND(ISNUMBER(AJ381),AJ381&gt;T381),AV381,0))</f>
        <v>0.00452762415783776</v>
      </c>
      <c r="AX381" s="29" t="str">
        <f aca="false">IF(AN381=1,"transition",IF(MIN(IF(AND(I381=0,ISNUMBER(AK381),AK381&lt;=T381),AK381,9000000000000000),IF(AND(J381=0,ISNUMBER(AL381),AL381&lt;=T381),AL381,9000000000000000),IF(AND(K381=0,ISNUMBER(AM381),AM381&lt;=T381),AM381,9000000000000000))&lt;9000000000000000,IF(AND(AND(I381=0,ISNUMBER(AK381),AK381&lt;=T381),AK381=MIN(IF(AND(I381=0,ISNUMBER(AK381),AK381&lt;=T381),AK381,9000000000000000),IF(AND(J381=0,ISNUMBER(AL381),AL381&lt;=T381),AL381,9000000000000000),IF(AND(K381=0,ISNUMBER(AM381),AM381&lt;=T381),AM381,9000000000000000))),"OR",IF(AND(AND(J381=0,ISNUMBER(AL381),AL381&lt;=T381),AL381=MIN(IF(AND(I381=0,ISNUMBER(AK381),AK381&lt;=T381),AK381,9000000000000000),IF(AND(J381=0,ISNUMBER(AL381),AL381&lt;=T381),AL381,9000000000000000),IF(AND(K381=0,ISNUMBER(AM381),AM381&lt;=T381),AM381,9000000000000000))),"HP","FP")),IF(AR381=TRUE(),"",IF(MAX(IF(AND(NOT(AND(AO381=1,AN381&lt;&gt;1)),ISNUMBER(AG381),AG381&lt;=T381),AS381,0),IF(AND(NOT(AND(AO381=1,AN381&lt;&gt;1)),ISNUMBER(AH381),AH381&lt;=T381),AT381,0),IF(AND(NOT(AND(AO381=1,AN381&lt;&gt;1)),ISNUMBER(AI381),AI381&lt;=T381),AU381,0),IF(AND(ISNUMBER(AJ381),AJ381&lt;=T381),AV381,0))&lt;=0,"",IF(AND(IF(AND(NOT(AND(AO381=1,AN381&lt;&gt;1)),ISNUMBER(AG381),AG381&lt;=T381),AS381,0)&gt;0,IF(AND(NOT(AND(AO381=1,AN381&lt;&gt;1)),ISNUMBER(AG381),AG381&lt;=T381),AS381,0)=MAX(IF(AND(NOT(AND(AO381=1,AN381&lt;&gt;1)),ISNUMBER(AG381),AG381&lt;=T381),AS381,0),IF(AND(NOT(AND(AO381=1,AN381&lt;&gt;1)),ISNUMBER(AH381),AH381&lt;=T381),AT381,0),IF(AND(NOT(AND(AO381=1,AN381&lt;&gt;1)),ISNUMBER(AI381),AI381&lt;=T381),AU381,0),IF(AND(ISNUMBER(AJ381),AJ381&lt;=T381),AV381,0))),"SW",IF(AND(IF(AND(NOT(AND(AO381=1,AN381&lt;&gt;1)),ISNUMBER(AH381),AH381&lt;=T381),AT381,0)&gt;0,IF(AND(NOT(AND(AO381=1,AN381&lt;&gt;1)),ISNUMBER(AH381),AH381&lt;=T381),AT381,0)=MAX(IF(AND(NOT(AND(AO381=1,AN381&lt;&gt;1)),ISNUMBER(AG381),AG381&lt;=T381),AS381,0),IF(AND(NOT(AND(AO381=1,AN381&lt;&gt;1)),ISNUMBER(AH381),AH381&lt;=T381),AT381,0),IF(AND(NOT(AND(AO381=1,AN381&lt;&gt;1)),ISNUMBER(AI381),AI381&lt;=T381),AU381,0),IF(AND(ISNUMBER(AJ381),AJ381&lt;=T381),AV381,0))),"AB",IF(AND(IF(AND(NOT(AND(AO381=1,AN381&lt;&gt;1)),ISNUMBER(AI381),AI381&lt;=T381),AU381,0)&gt;0,IF(AND(NOT(AND(AO381=1,AN381&lt;&gt;1)),ISNUMBER(AI381),AI381&lt;=T381),AU381,0)=MAX(IF(AND(NOT(AND(AO381=1,AN381&lt;&gt;1)),ISNUMBER(AG381),AG381&lt;=T381),AS381,0),IF(AND(NOT(AND(AO381=1,AN381&lt;&gt;1)),ISNUMBER(AH381),AH381&lt;=T381),AT381,0),IF(AND(NOT(AND(AO381=1,AN381&lt;&gt;1)),ISNUMBER(AI381),AI381&lt;=T381),AU381,0),IF(AND(ISNUMBER(AJ381),AJ381&lt;=T381),AV381,0))),"SC","Mag")))))))</f>
        <v/>
      </c>
    </row>
    <row r="382" customFormat="false" ht="15" hidden="false" customHeight="false" outlineLevel="0" collapsed="false">
      <c r="A382" s="26" t="n">
        <v>377</v>
      </c>
      <c r="B382" s="27" t="n">
        <f aca="false">A382*10/60</f>
        <v>62.8333333333333</v>
      </c>
      <c r="C382" s="21" t="n">
        <f aca="false">X381</f>
        <v>18.6730249835055</v>
      </c>
      <c r="D382" s="27" t="n">
        <f aca="false">D381+W381</f>
        <v>0</v>
      </c>
      <c r="E382" s="26" t="n">
        <f aca="false">E381+IF(U381="SW",1,0)</f>
        <v>12</v>
      </c>
      <c r="F382" s="26" t="n">
        <f aca="false">F381+IF(U381="AB",1,0)</f>
        <v>10</v>
      </c>
      <c r="G382" s="26" t="n">
        <f aca="false">G381+IF(U381="SC",1,0)</f>
        <v>7</v>
      </c>
      <c r="H382" s="26" t="n">
        <f aca="false">H381+IF(U381="Mag",1,0)</f>
        <v>5</v>
      </c>
      <c r="I382" s="26" t="n">
        <f aca="false">MAX(I381,IF(U381="OR",1,0))</f>
        <v>1</v>
      </c>
      <c r="J382" s="26" t="n">
        <f aca="false">MAX(J381,IF(U381="HP",1,0))</f>
        <v>1</v>
      </c>
      <c r="K382" s="26" t="n">
        <f aca="false">MAX(K381,IF(U381="FP",1,0))</f>
        <v>1</v>
      </c>
      <c r="L382" s="26" t="n">
        <f aca="false">MAX(L381,IF(U381="transition",1,0))</f>
        <v>1</v>
      </c>
      <c r="M382" s="28" t="n">
        <f aca="false">(Parameters!$B$9+(IF(E382=0,0,(Upgrades!$J$6+E382*Upgrades!$K$6)*POWER(Upgrades!$L$6,E382)))*(IF(Upgrades!$T$7="Solar Wind",POWER(Upgrades!$U$7,F382),1)*IF(Upgrades!$T$8="Solar Wind",POWER(Upgrades!$U$8,G382),1)*IF(Upgrades!$T$9="Solar Wind",POWER(Upgrades!$U$9,H382),1)*IF(Upgrades!$T$10="Solar Wind",POWER(Upgrades!$U$10,I382),1)*IF(Upgrades!$T$11="Solar Wind",POWER(Upgrades!$U$11,J382),1)*IF(Upgrades!$T$12="Solar Wind",POWER(Upgrades!$U$12,K382),1))+(IF(F382=0,0,(Upgrades!$J$7+F382*Upgrades!$K$7)*POWER(Upgrades!$L$7,F382)))*(IF(Upgrades!$T$6="Asteroid Belt",POWER(Upgrades!$U$6,E382),1)*IF(Upgrades!$T$8="Asteroid Belt",POWER(Upgrades!$U$8,G382),1)*IF(Upgrades!$T$9="Asteroid Belt",POWER(Upgrades!$U$9,H382),1)*IF(Upgrades!$T$10="Asteroid Belt",POWER(Upgrades!$U$10,I382),1)*IF(Upgrades!$T$11="Asteroid Belt",POWER(Upgrades!$U$11,J382),1)*IF(Upgrades!$T$12="Asteroid Belt",POWER(Upgrades!$U$12,K382),1))+(IF(G382=0,0,(Upgrades!$J$8+G382*Upgrades!$K$8)*POWER(Upgrades!$L$8,G382)))*(IF(Upgrades!$T$6="Stellar Coupling",POWER(Upgrades!$U$6,E382),1)*IF(Upgrades!$T$7="Stellar Coupling",POWER(Upgrades!$U$7,F382),1)*IF(Upgrades!$T$9="Stellar Coupling",POWER(Upgrades!$U$9,H382),1)*IF(Upgrades!$T$10="Stellar Coupling",POWER(Upgrades!$U$10,I382),1)*IF(Upgrades!$T$11="Stellar Coupling",POWER(Upgrades!$U$11,J382),1)*IF(Upgrades!$T$12="Stellar Coupling",POWER(Upgrades!$U$12,K382),1))+(IF(H382=0,0,(Upgrades!$J$9+H382*Upgrades!$K$9)*POWER(Upgrades!$L$9,H382)))*(IF(Upgrades!$T$6="Magnetosphere",POWER(Upgrades!$U$6,E382),1)*IF(Upgrades!$T$7="Magnetosphere",POWER(Upgrades!$U$7,F382),1)*IF(Upgrades!$T$8="Magnetosphere",POWER(Upgrades!$U$8,G382),1)*IF(Upgrades!$T$10="Magnetosphere",POWER(Upgrades!$U$10,I382),1)*IF(Upgrades!$T$11="Magnetosphere",POWER(Upgrades!$U$11,J382),1)*IF(Upgrades!$T$12="Magnetosphere",POWER(Upgrades!$U$12,K382),1))+(IF(I382=0,0,(Upgrades!$J$10+I382*Upgrades!$K$10)*POWER(Upgrades!$L$10,I382)))*(IF(Upgrades!$T$6="Orbital Resonance",POWER(Upgrades!$U$6,E382),1)*IF(Upgrades!$T$7="Orbital Resonance",POWER(Upgrades!$U$7,F382),1)*IF(Upgrades!$T$8="Orbital Resonance",POWER(Upgrades!$U$8,G382),1)*IF(Upgrades!$T$9="Orbital Resonance",POWER(Upgrades!$U$9,H382),1)*IF(Upgrades!$T$11="Orbital Resonance",POWER(Upgrades!$U$11,J382),1)*IF(Upgrades!$T$12="Orbital Resonance",POWER(Upgrades!$U$12,K382),1))+(IF(J382=0,0,(Upgrades!$J$11+J382*Upgrades!$K$11)*POWER(Upgrades!$L$11,J382)))*(IF(Upgrades!$T$6="Heliopause",POWER(Upgrades!$U$6,E382),1)*IF(Upgrades!$T$7="Heliopause",POWER(Upgrades!$U$7,F382),1)*IF(Upgrades!$T$8="Heliopause",POWER(Upgrades!$U$8,G382),1)*IF(Upgrades!$T$9="Heliopause",POWER(Upgrades!$U$9,H382),1)*IF(Upgrades!$T$10="Heliopause",POWER(Upgrades!$U$10,I382),1)*IF(Upgrades!$T$12="Heliopause",POWER(Upgrades!$U$12,K382),1))+(IF(K382=0,0,(Upgrades!$J$12+K382*Upgrades!$K$12)*POWER(Upgrades!$L$12,K382)))*(IF(Upgrades!$T$6="First Photons",POWER(Upgrades!$U$6,E382),1)*IF(Upgrades!$T$7="First Photons",POWER(Upgrades!$U$7,F382),1)*IF(Upgrades!$T$8="First Photons",POWER(Upgrades!$U$8,G382),1)*IF(Upgrades!$T$9="First Photons",POWER(Upgrades!$U$9,H382),1)*IF(Upgrades!$T$10="First Photons",POWER(Upgrades!$U$10,I382),1)*IF(Upgrades!$T$11="First Photons",POWER(Upgrades!$U$11,J382),1)))*POWER(Upgrades!$Q$6,E382)*POWER(Upgrades!$Q$7,F382)*POWER(Upgrades!$Q$8,G382)*POWER(Upgrades!$Q$9,H382)*POWER(Upgrades!$Q$10,I382)*POWER(Upgrades!$Q$11,J382)*POWER(Upgrades!$Q$12,K382)</f>
        <v>5.61</v>
      </c>
      <c r="N382" s="28" t="n">
        <f aca="false">((IF(E382=0,0,(Upgrades!$G$6+E382*Upgrades!$H$6)*POWER(Upgrades!$I$6,E382)))*(IF(Upgrades!$T$7="Solar Wind",POWER(Upgrades!$U$7,F382),1)*IF(Upgrades!$T$8="Solar Wind",POWER(Upgrades!$U$8,G382),1)*IF(Upgrades!$T$9="Solar Wind",POWER(Upgrades!$U$9,H382),1)*IF(Upgrades!$T$10="Solar Wind",POWER(Upgrades!$U$10,I382),1)*IF(Upgrades!$T$11="Solar Wind",POWER(Upgrades!$U$11,J382),1)*IF(Upgrades!$T$12="Solar Wind",POWER(Upgrades!$U$12,K382),1))+(IF(F382=0,0,(Upgrades!$G$7+F382*Upgrades!$H$7)*POWER(Upgrades!$I$7,F382)))*(IF(Upgrades!$T$6="Asteroid Belt",POWER(Upgrades!$U$6,E382),1)*IF(Upgrades!$T$8="Asteroid Belt",POWER(Upgrades!$U$8,G382),1)*IF(Upgrades!$T$9="Asteroid Belt",POWER(Upgrades!$U$9,H382),1)*IF(Upgrades!$T$10="Asteroid Belt",POWER(Upgrades!$U$10,I382),1)*IF(Upgrades!$T$11="Asteroid Belt",POWER(Upgrades!$U$11,J382),1)*IF(Upgrades!$T$12="Asteroid Belt",POWER(Upgrades!$U$12,K382),1))+(IF(G382=0,0,(Upgrades!$G$8+G382*Upgrades!$H$8)*POWER(Upgrades!$I$8,G382)))*(IF(Upgrades!$T$6="Stellar Coupling",POWER(Upgrades!$U$6,E382),1)*IF(Upgrades!$T$7="Stellar Coupling",POWER(Upgrades!$U$7,F382),1)*IF(Upgrades!$T$9="Stellar Coupling",POWER(Upgrades!$U$9,H382),1)*IF(Upgrades!$T$10="Stellar Coupling",POWER(Upgrades!$U$10,I382),1)*IF(Upgrades!$T$11="Stellar Coupling",POWER(Upgrades!$U$11,J382),1)*IF(Upgrades!$T$12="Stellar Coupling",POWER(Upgrades!$U$12,K382),1))+(IF(H382=0,0,(Upgrades!$G$9+H382*Upgrades!$H$9)*POWER(Upgrades!$I$9,H382)))*(IF(Upgrades!$T$6="Magnetosphere",POWER(Upgrades!$U$6,E382),1)*IF(Upgrades!$T$7="Magnetosphere",POWER(Upgrades!$U$7,F382),1)*IF(Upgrades!$T$8="Magnetosphere",POWER(Upgrades!$U$8,G382),1)*IF(Upgrades!$T$10="Magnetosphere",POWER(Upgrades!$U$10,I382),1)*IF(Upgrades!$T$11="Magnetosphere",POWER(Upgrades!$U$11,J382),1)*IF(Upgrades!$T$12="Magnetosphere",POWER(Upgrades!$U$12,K382),1))+(IF(I382=0,0,(Upgrades!$G$10+I382*Upgrades!$H$10)*POWER(Upgrades!$I$10,I382)))*(IF(Upgrades!$T$6="Orbital Resonance",POWER(Upgrades!$U$6,E382),1)*IF(Upgrades!$T$7="Orbital Resonance",POWER(Upgrades!$U$7,F382),1)*IF(Upgrades!$T$8="Orbital Resonance",POWER(Upgrades!$U$8,G382),1)*IF(Upgrades!$T$9="Orbital Resonance",POWER(Upgrades!$U$9,H382),1)*IF(Upgrades!$T$11="Orbital Resonance",POWER(Upgrades!$U$11,J382),1)*IF(Upgrades!$T$12="Orbital Resonance",POWER(Upgrades!$U$12,K382),1))+(IF(J382=0,0,(Upgrades!$G$11+J382*Upgrades!$H$11)*POWER(Upgrades!$I$11,J382)))*(IF(Upgrades!$T$6="Heliopause",POWER(Upgrades!$U$6,E382),1)*IF(Upgrades!$T$7="Heliopause",POWER(Upgrades!$U$7,F382),1)*IF(Upgrades!$T$8="Heliopause",POWER(Upgrades!$U$8,G382),1)*IF(Upgrades!$T$9="Heliopause",POWER(Upgrades!$U$9,H382),1)*IF(Upgrades!$T$10="Heliopause",POWER(Upgrades!$U$10,I382),1)*IF(Upgrades!$T$12="Heliopause",POWER(Upgrades!$U$12,K382),1))+(IF(K382=0,0,(Upgrades!$G$12+K382*Upgrades!$H$12)*POWER(Upgrades!$I$12,K382)))*(IF(Upgrades!$T$6="First Photons",POWER(Upgrades!$U$6,E382),1)*IF(Upgrades!$T$7="First Photons",POWER(Upgrades!$U$7,F382),1)*IF(Upgrades!$T$8="First Photons",POWER(Upgrades!$U$8,G382),1)*IF(Upgrades!$T$9="First Photons",POWER(Upgrades!$U$9,H382),1)*IF(Upgrades!$T$10="First Photons",POWER(Upgrades!$U$10,I382),1)*IF(Upgrades!$T$11="First Photons",POWER(Upgrades!$U$11,J382),1)))*POWER(Upgrades!$P$6,E382)*POWER(Upgrades!$P$7,F382)*POWER(Upgrades!$P$8,G382)*POWER(Upgrades!$P$9,H382)*POWER(Upgrades!$P$10,I382)*POWER(Upgrades!$P$11,J382)*POWER(Upgrades!$P$12,K382)</f>
        <v>11.2</v>
      </c>
      <c r="O382" s="28" t="n">
        <f aca="false">((IF(E382=0,0,(Upgrades!$M$6+E382*Upgrades!$N$6)*POWER(Upgrades!$O$6,E382)))*(IF(Upgrades!$T$7="Solar Wind",POWER(Upgrades!$U$7,F382),1)*IF(Upgrades!$T$8="Solar Wind",POWER(Upgrades!$U$8,G382),1)*IF(Upgrades!$T$9="Solar Wind",POWER(Upgrades!$U$9,H382),1)*IF(Upgrades!$T$10="Solar Wind",POWER(Upgrades!$U$10,I382),1)*IF(Upgrades!$T$11="Solar Wind",POWER(Upgrades!$U$11,J382),1)*IF(Upgrades!$T$12="Solar Wind",POWER(Upgrades!$U$12,K382),1))+(IF(F382=0,0,(Upgrades!$M$7+F382*Upgrades!$N$7)*POWER(Upgrades!$O$7,F382)))*(IF(Upgrades!$T$6="Asteroid Belt",POWER(Upgrades!$U$6,E382),1)*IF(Upgrades!$T$8="Asteroid Belt",POWER(Upgrades!$U$8,G382),1)*IF(Upgrades!$T$9="Asteroid Belt",POWER(Upgrades!$U$9,H382),1)*IF(Upgrades!$T$10="Asteroid Belt",POWER(Upgrades!$U$10,I382),1)*IF(Upgrades!$T$11="Asteroid Belt",POWER(Upgrades!$U$11,J382),1)*IF(Upgrades!$T$12="Asteroid Belt",POWER(Upgrades!$U$12,K382),1))+(IF(G382=0,0,(Upgrades!$M$8+G382*Upgrades!$N$8)*POWER(Upgrades!$O$8,G382)))*(IF(Upgrades!$T$6="Stellar Coupling",POWER(Upgrades!$U$6,E382),1)*IF(Upgrades!$T$7="Stellar Coupling",POWER(Upgrades!$U$7,F382),1)*IF(Upgrades!$T$9="Stellar Coupling",POWER(Upgrades!$U$9,H382),1)*IF(Upgrades!$T$10="Stellar Coupling",POWER(Upgrades!$U$10,I382),1)*IF(Upgrades!$T$11="Stellar Coupling",POWER(Upgrades!$U$11,J382),1)*IF(Upgrades!$T$12="Stellar Coupling",POWER(Upgrades!$U$12,K382),1))+(IF(H382=0,0,(Upgrades!$M$9+H382*Upgrades!$N$9)*POWER(Upgrades!$O$9,H382)))*(IF(Upgrades!$T$6="Magnetosphere",POWER(Upgrades!$U$6,E382),1)*IF(Upgrades!$T$7="Magnetosphere",POWER(Upgrades!$U$7,F382),1)*IF(Upgrades!$T$8="Magnetosphere",POWER(Upgrades!$U$8,G382),1)*IF(Upgrades!$T$10="Magnetosphere",POWER(Upgrades!$U$10,I382),1)*IF(Upgrades!$T$11="Magnetosphere",POWER(Upgrades!$U$11,J382),1)*IF(Upgrades!$T$12="Magnetosphere",POWER(Upgrades!$U$12,K382),1))+(IF(I382=0,0,(Upgrades!$M$10+I382*Upgrades!$N$10)*POWER(Upgrades!$O$10,I382)))*(IF(Upgrades!$T$6="Orbital Resonance",POWER(Upgrades!$U$6,E382),1)*IF(Upgrades!$T$7="Orbital Resonance",POWER(Upgrades!$U$7,F382),1)*IF(Upgrades!$T$8="Orbital Resonance",POWER(Upgrades!$U$8,G382),1)*IF(Upgrades!$T$9="Orbital Resonance",POWER(Upgrades!$U$9,H382),1)*IF(Upgrades!$T$11="Orbital Resonance",POWER(Upgrades!$U$11,J382),1)*IF(Upgrades!$T$12="Orbital Resonance",POWER(Upgrades!$U$12,K382),1))+(IF(J382=0,0,(Upgrades!$M$11+J382*Upgrades!$N$11)*POWER(Upgrades!$O$11,J382)))*(IF(Upgrades!$T$6="Heliopause",POWER(Upgrades!$U$6,E382),1)*IF(Upgrades!$T$7="Heliopause",POWER(Upgrades!$U$7,F382),1)*IF(Upgrades!$T$8="Heliopause",POWER(Upgrades!$U$8,G382),1)*IF(Upgrades!$T$9="Heliopause",POWER(Upgrades!$U$9,H382),1)*IF(Upgrades!$T$10="Heliopause",POWER(Upgrades!$U$10,I382),1)*IF(Upgrades!$T$12="Heliopause",POWER(Upgrades!$U$12,K382),1))+(IF(K382=0,0,(Upgrades!$M$12+K382*Upgrades!$N$12)*POWER(Upgrades!$O$12,K382)))*(IF(Upgrades!$T$6="First Photons",POWER(Upgrades!$U$6,E382),1)*IF(Upgrades!$T$7="First Photons",POWER(Upgrades!$U$7,F382),1)*IF(Upgrades!$T$8="First Photons",POWER(Upgrades!$U$8,G382),1)*IF(Upgrades!$T$9="First Photons",POWER(Upgrades!$U$9,H382),1)*IF(Upgrades!$T$10="First Photons",POWER(Upgrades!$U$10,I382),1)*IF(Upgrades!$T$11="First Photons",POWER(Upgrades!$U$11,J382),1)))*POWER(Upgrades!$R$6,E382)*POWER(Upgrades!$R$7,F382)*POWER(Upgrades!$R$8,G382)*POWER(Upgrades!$R$9,H382)*POWER(Upgrades!$R$10,I382)*POWER(Upgrades!$R$11,J382)*POWER(Upgrades!$R$12,K382)</f>
        <v>0</v>
      </c>
      <c r="P382" s="27" t="n">
        <f aca="false">IF(L382=1,0,M382*Parameters!$B$10/60*Parameters!$B$11*10)</f>
        <v>0</v>
      </c>
      <c r="Q382" s="27" t="n">
        <f aca="false">IF(L382=1,0,O382*M382*10)</f>
        <v>0</v>
      </c>
      <c r="R382" s="27" t="n">
        <f aca="false">IF(L382=1,0,N382*10)</f>
        <v>0</v>
      </c>
      <c r="S382" s="27" t="n">
        <f aca="false">P382+Q382+R382</f>
        <v>0</v>
      </c>
      <c r="T382" s="21" t="n">
        <f aca="false">C382+S382</f>
        <v>18.6730249835055</v>
      </c>
      <c r="U382" s="34" t="str">
        <f aca="false">AX382</f>
        <v/>
      </c>
      <c r="V382" s="21" t="n">
        <f aca="false">IF(U382="",0,IF(U382="transition",0,IF(U382="SW",AG382,IF(U382="AB",AH382,IF(U382="SC",AI382,IF(U382="Mag",AJ382,IF(U382="OR",AK382,IF(U382="HP",AL382,IF(U382="FP",AM382,0)))))))))</f>
        <v>0</v>
      </c>
      <c r="W382" s="27" t="n">
        <f aca="false">IF(U382="OR",Upgrades!$F$10,IF(U382="HP",Upgrades!$F$11,IF(U382="transition",-Parameters!$B$18,0)))</f>
        <v>0</v>
      </c>
      <c r="X382" s="21" t="n">
        <f aca="false">T382-V382</f>
        <v>18.6730249835055</v>
      </c>
      <c r="Y382" s="30" t="n">
        <f aca="false">M382*Parameters!$B$10/60*Parameters!$B$11+O382*M382+N382</f>
        <v>20.55</v>
      </c>
      <c r="Z382" s="35" t="str">
        <f aca="false">IF(U382="transition","→ Tier 2 (Stellar Neighborhood)",IF(U382="FP","First Photons — light begins, system quickens",IF(U382="HP","Heliopause acquired",IF(U382="OR","Orbital Resonance — passive multiplier active",IF(AND(AO382=1,L382=0,AN382&lt;&gt;1),"Cohesion ready (waiting on completionist upgrades)","")))))</f>
        <v/>
      </c>
      <c r="AA382" s="27" t="n">
        <f aca="false">(IF(E382=0,0,(Upgrades!$G$6+E382*Upgrades!$H$6)*POWER(Upgrades!$I$6,E382)))*(IF(Upgrades!$T$7="Solar Wind",POWER(Upgrades!$U$7,F382),1)*IF(Upgrades!$T$8="Solar Wind",POWER(Upgrades!$U$8,G382),1)*IF(Upgrades!$T$9="Solar Wind",POWER(Upgrades!$U$9,H382),1)*IF(Upgrades!$T$10="Solar Wind",POWER(Upgrades!$U$10,I382),1)*IF(Upgrades!$T$11="Solar Wind",POWER(Upgrades!$U$11,J382),1)*IF(Upgrades!$T$12="Solar Wind",POWER(Upgrades!$U$12,K382),1))*POWER(Upgrades!$P$6,E382)*POWER(Upgrades!$P$7,F382)*POWER(Upgrades!$P$8,G382)*POWER(Upgrades!$P$9,H382)*POWER(Upgrades!$P$10,I382)*POWER(Upgrades!$P$11,J382)*POWER(Upgrades!$P$12,K382)*60</f>
        <v>72</v>
      </c>
      <c r="AB382" s="27" t="n">
        <f aca="false">(IF(F382=0,0,(Upgrades!$G$7+F382*Upgrades!$H$7)*POWER(Upgrades!$I$7,F382)))*(IF(Upgrades!$T$6="Asteroid Belt",POWER(Upgrades!$U$6,E382),1)*IF(Upgrades!$T$8="Asteroid Belt",POWER(Upgrades!$U$8,G382),1)*IF(Upgrades!$T$9="Asteroid Belt",POWER(Upgrades!$U$9,H382),1)*IF(Upgrades!$T$10="Asteroid Belt",POWER(Upgrades!$U$10,I382),1)*IF(Upgrades!$T$11="Asteroid Belt",POWER(Upgrades!$U$11,J382),1)*IF(Upgrades!$T$12="Asteroid Belt",POWER(Upgrades!$U$12,K382),1))*POWER(Upgrades!$P$6,E382)*POWER(Upgrades!$P$7,F382)*POWER(Upgrades!$P$8,G382)*POWER(Upgrades!$P$9,H382)*POWER(Upgrades!$P$10,I382)*POWER(Upgrades!$P$11,J382)*POWER(Upgrades!$P$12,K382)*60</f>
        <v>150</v>
      </c>
      <c r="AC382" s="27" t="n">
        <f aca="false">(IF(G382=0,0,(Upgrades!$J$8+G382*Upgrades!$K$8)*POWER(Upgrades!$L$8,G382)))*(IF(Upgrades!$T$6="Stellar Coupling",POWER(Upgrades!$U$6,E382),1)*IF(Upgrades!$T$7="Stellar Coupling",POWER(Upgrades!$U$7,F382),1)*IF(Upgrades!$T$9="Stellar Coupling",POWER(Upgrades!$U$9,H382),1)*IF(Upgrades!$T$10="Stellar Coupling",POWER(Upgrades!$U$10,I382),1)*IF(Upgrades!$T$11="Stellar Coupling",POWER(Upgrades!$U$11,J382),1)*IF(Upgrades!$T$12="Stellar Coupling",POWER(Upgrades!$U$12,K382),1))*POWER(Upgrades!$Q$6,E382)*POWER(Upgrades!$Q$7,F382)*POWER(Upgrades!$Q$8,G382)*POWER(Upgrades!$Q$9,H382)*POWER(Upgrades!$Q$10,I382)*POWER(Upgrades!$Q$11,J382)*POWER(Upgrades!$Q$12,K382)*Parameters!$B$10*Parameters!$B$11</f>
        <v>441</v>
      </c>
      <c r="AD382" s="27" t="n">
        <f aca="false">(IF(H382=0,0,(Upgrades!$G$9+H382*Upgrades!$H$9)*POWER(Upgrades!$I$9,H382)))*(IF(Upgrades!$T$6="Magnetosphere",POWER(Upgrades!$U$6,E382),1)*IF(Upgrades!$T$7="Magnetosphere",POWER(Upgrades!$U$7,F382),1)*IF(Upgrades!$T$8="Magnetosphere",POWER(Upgrades!$U$8,G382),1)*IF(Upgrades!$T$10="Magnetosphere",POWER(Upgrades!$U$10,I382),1)*IF(Upgrades!$T$11="Magnetosphere",POWER(Upgrades!$U$11,J382),1)*IF(Upgrades!$T$12="Magnetosphere",POWER(Upgrades!$U$12,K382),1))*POWER(Upgrades!$P$6,E382)*POWER(Upgrades!$P$7,F382)*POWER(Upgrades!$P$8,G382)*POWER(Upgrades!$P$9,H382)*POWER(Upgrades!$P$10,I382)*POWER(Upgrades!$P$11,J382)*POWER(Upgrades!$P$12,K382)*60</f>
        <v>375</v>
      </c>
      <c r="AE382" s="27" t="n">
        <f aca="false">(IF(K382=0,0,(Upgrades!$G$12+K382*Upgrades!$H$12)*POWER(Upgrades!$I$12,K382)))*(IF(Upgrades!$T$6="First Photons",POWER(Upgrades!$U$6,E382),1)*IF(Upgrades!$T$7="First Photons",POWER(Upgrades!$U$7,F382),1)*IF(Upgrades!$T$8="First Photons",POWER(Upgrades!$U$8,G382),1)*IF(Upgrades!$T$9="First Photons",POWER(Upgrades!$U$9,H382),1)*IF(Upgrades!$T$10="First Photons",POWER(Upgrades!$U$10,I382),1)*IF(Upgrades!$T$11="First Photons",POWER(Upgrades!$U$11,J382),1))*POWER(Upgrades!$P$6,E382)*POWER(Upgrades!$P$7,F382)*POWER(Upgrades!$P$8,G382)*POWER(Upgrades!$P$9,H382)*POWER(Upgrades!$P$10,I382)*POWER(Upgrades!$P$11,J382)*POWER(Upgrades!$P$12,K382)*60</f>
        <v>75</v>
      </c>
      <c r="AF382" s="27" t="n">
        <f aca="false">Parameters!$B$9*POWER(Upgrades!$Q$6,E382)*POWER(Upgrades!$Q$7,F382)*POWER(Upgrades!$Q$8,G382)*POWER(Upgrades!$Q$9,H382)*POWER(Upgrades!$Q$10,I382)*POWER(Upgrades!$Q$11,J382)*POWER(Upgrades!$Q$12,K382)*(Parameters!$B$10*Parameters!$B$11+O382*60)</f>
        <v>120</v>
      </c>
      <c r="AG382" s="21" t="n">
        <f aca="false">IF(E382&gt;=Upgrades!$E$6,"",Upgrades!$C$6*POWER(Upgrades!$D$6,E382))</f>
        <v>37.4517507383159</v>
      </c>
      <c r="AH382" s="21" t="n">
        <f aca="false">IF(F382&gt;=Upgrades!$E$7,"",Upgrades!$C$7*POWER(Upgrades!$D$7,F382))</f>
        <v>80.9111547141581</v>
      </c>
      <c r="AI382" s="21" t="n">
        <f aca="false">IF(G382&gt;=Upgrades!$E$8,"",Upgrades!$C$8*POWER(Upgrades!$D$8,G382))</f>
        <v>231.9097088</v>
      </c>
      <c r="AJ382" s="21" t="str">
        <f aca="false">IF(H382&gt;=Upgrades!$E$9,"",Upgrades!$C$9*POWER(Upgrades!$D$9,H382))</f>
        <v/>
      </c>
      <c r="AK382" s="21" t="str">
        <f aca="false">IF(I382&gt;=Upgrades!$E$10,"",Upgrades!$C$10*POWER(Upgrades!$D$10,I382))</f>
        <v/>
      </c>
      <c r="AL382" s="21" t="str">
        <f aca="false">IF(J382&gt;=Upgrades!$E$11,"",Upgrades!$C$11*POWER(Upgrades!$D$11,J382))</f>
        <v/>
      </c>
      <c r="AM382" s="21" t="str">
        <f aca="false">IF(K382&gt;=Upgrades!$E$12,"",Upgrades!$C$12*POWER(Upgrades!$D$12,K382))</f>
        <v/>
      </c>
      <c r="AN382" s="26" t="str">
        <f aca="false">IF(AND(D382&gt;=Parameters!$B$18,(H382&gt;=Upgrades!$E$9)*(K382&gt;=Upgrades!$E$12)=1,L382=0),1,"")</f>
        <v/>
      </c>
      <c r="AO382" s="26" t="str">
        <f aca="false">IF(AND(D382&gt;=Parameters!$B$18,L382=0),1,"")</f>
        <v/>
      </c>
      <c r="AP382" s="21" t="n">
        <f aca="false">MIN(IF(ISNUMBER(AK382),AK382,9000000000000000),IF(ISNUMBER(AL382),AL382,9000000000000000),IF(ISNUMBER(AM382),AM382,9000000000000000))</f>
        <v>9000000000000000</v>
      </c>
      <c r="AQ382" s="21" t="n">
        <f aca="false">MIN(IF(ISNUMBER(AG382),AG382,9000000000000000),IF(ISNUMBER(AH382),AH382,9000000000000000),IF(ISNUMBER(AI382),AI382,9000000000000000),IF(ISNUMBER(AJ382),AJ382,9000000000000000))</f>
        <v>37.4517507383159</v>
      </c>
      <c r="AR382" s="32" t="b">
        <f aca="false">IF(AW382&gt;Parameters!$B$21*(MAX(IF(AND(NOT(AND(AO382=1,AN382&lt;&gt;1)),ISNUMBER(AG382),AG382&lt;=T382),AS382,0),IF(AND(NOT(AND(AO382=1,AN382&lt;&gt;1)),ISNUMBER(AH382),AH382&lt;=T382),AT382,0),IF(AND(NOT(AND(AO382=1,AN382&lt;&gt;1)),ISNUMBER(AI382),AI382&lt;=T382),AU382,0),IF(AND(ISNUMBER(AJ382),AJ382&lt;=T382),AV382,0))),TRUE(),FALSE())</f>
        <v>1</v>
      </c>
      <c r="AS382" s="33" t="n">
        <f aca="false">IFERROR(Upgrades!$H$6*(POWER(Upgrades!$P$6,E382)*POWER(Upgrades!$P$7,F382)*POWER(Upgrades!$P$8,G382)*POWER(Upgrades!$P$9,H382)*POWER(Upgrades!$P$10,I382)*POWER(Upgrades!$P$11,J382)*POWER(Upgrades!$P$12,K382))*(IF(Upgrades!$T$7="Solar Wind",POWER(Upgrades!$U$7,F382),1)*IF(Upgrades!$T$8="Solar Wind",POWER(Upgrades!$U$8,G382),1)*IF(Upgrades!$T$9="Solar Wind",POWER(Upgrades!$U$9,H382),1)*IF(Upgrades!$T$10="Solar Wind",POWER(Upgrades!$U$10,I382),1)*IF(Upgrades!$T$11="Solar Wind",POWER(Upgrades!$U$11,J382),1)*IF(Upgrades!$T$12="Solar Wind",POWER(Upgrades!$U$12,K382),1))/AG382,0)</f>
        <v>0.0026701021455238</v>
      </c>
      <c r="AT382" s="33" t="n">
        <f aca="false">IFERROR(Upgrades!$H$7*(POWER(Upgrades!$P$6,E382)*POWER(Upgrades!$P$7,F382)*POWER(Upgrades!$P$8,G382)*POWER(Upgrades!$P$9,H382)*POWER(Upgrades!$P$10,I382)*POWER(Upgrades!$P$11,J382)*POWER(Upgrades!$P$12,K382))*(IF(Upgrades!$T$6="Asteroid Belt",POWER(Upgrades!$U$6,E382),1)*IF(Upgrades!$T$8="Asteroid Belt",POWER(Upgrades!$U$8,G382),1)*IF(Upgrades!$T$9="Asteroid Belt",POWER(Upgrades!$U$9,H382),1)*IF(Upgrades!$T$10="Asteroid Belt",POWER(Upgrades!$U$10,I382),1)*IF(Upgrades!$T$11="Asteroid Belt",POWER(Upgrades!$U$11,J382),1)*IF(Upgrades!$T$12="Asteroid Belt",POWER(Upgrades!$U$12,K382),1))/AH382,0)</f>
        <v>0.00308980882652332</v>
      </c>
      <c r="AU382" s="33" t="n">
        <f aca="false">IFERROR(Upgrades!$K$8*(POWER(Upgrades!$Q$6,E382)*POWER(Upgrades!$Q$7,F382)*POWER(Upgrades!$Q$8,G382)*POWER(Upgrades!$Q$9,H382)*POWER(Upgrades!$Q$10,I382)*POWER(Upgrades!$Q$11,J382)*POWER(Upgrades!$Q$12,K382))*(IF(Upgrades!$T$6="Stellar Coupling",POWER(Upgrades!$U$6,E382),1)*IF(Upgrades!$T$7="Stellar Coupling",POWER(Upgrades!$U$7,F382),1)*IF(Upgrades!$T$9="Stellar Coupling",POWER(Upgrades!$U$9,H382),1)*IF(Upgrades!$T$10="Stellar Coupling",POWER(Upgrades!$U$10,I382),1)*IF(Upgrades!$T$11="Stellar Coupling",POWER(Upgrades!$U$11,J382),1)*IF(Upgrades!$T$12="Stellar Coupling",POWER(Upgrades!$U$12,K382),1))*Parameters!$B$10*Parameters!$B$11/60/AI382,0)</f>
        <v>0.00452762415783776</v>
      </c>
      <c r="AV382" s="33" t="n">
        <f aca="false">IFERROR(Upgrades!$H$9*(POWER(Upgrades!$P$6,E382)*POWER(Upgrades!$P$7,F382)*POWER(Upgrades!$P$8,G382)*POWER(Upgrades!$P$9,H382)*POWER(Upgrades!$P$10,I382)*POWER(Upgrades!$P$11,J382)*POWER(Upgrades!$P$12,K382))*(IF(Upgrades!$T$6="Magnetosphere",POWER(Upgrades!$U$6,E382),1)*IF(Upgrades!$T$7="Magnetosphere",POWER(Upgrades!$U$7,F382),1)*IF(Upgrades!$T$8="Magnetosphere",POWER(Upgrades!$U$8,G382),1)*IF(Upgrades!$T$10="Magnetosphere",POWER(Upgrades!$U$10,I382),1)*IF(Upgrades!$T$11="Magnetosphere",POWER(Upgrades!$U$11,J382),1)*IF(Upgrades!$T$12="Magnetosphere",POWER(Upgrades!$U$12,K382),1))/AJ382,0)</f>
        <v>0</v>
      </c>
      <c r="AW382" s="33" t="n">
        <f aca="false">MAX(IF(I382&gt;0,0,IFERROR(0.25*N382/Upgrades!$C$10,0)),IF(J382&gt;0,0,IFERROR(0.5*((IF(G382=0,0,(Upgrades!$J$8+G382*Upgrades!$K$8)*POWER(Upgrades!$L$8,G382)))*(IF(Upgrades!$T$6="Stellar Coupling",POWER(Upgrades!$U$6,E382),1)*IF(Upgrades!$T$7="Stellar Coupling",POWER(Upgrades!$U$7,F382),1)*IF(Upgrades!$T$9="Stellar Coupling",POWER(Upgrades!$U$9,H382),1)*IF(Upgrades!$T$10="Stellar Coupling",POWER(Upgrades!$U$10,I382),1)*IF(Upgrades!$T$11="Stellar Coupling",POWER(Upgrades!$U$11,J382),1)*IF(Upgrades!$T$12="Stellar Coupling",POWER(Upgrades!$U$12,K382),1))*(POWER(Upgrades!$Q$6,E382)*POWER(Upgrades!$Q$7,F382)*POWER(Upgrades!$Q$8,G382)*POWER(Upgrades!$Q$9,H382)*POWER(Upgrades!$Q$10,I382)*POWER(Upgrades!$Q$11,J382)*POWER(Upgrades!$Q$12,K382))*Parameters!$B$10*Parameters!$B$11/60)/Upgrades!$C$11,0)),IF(K382&gt;0,0,IFERROR((1*(POWER(Upgrades!$P$6,E382)*POWER(Upgrades!$P$7,F382)*POWER(Upgrades!$P$8,G382)*POWER(Upgrades!$P$9,H382)*POWER(Upgrades!$P$10,I382)*POWER(Upgrades!$P$11,J382)*POWER(Upgrades!$P$12,K382))+0.2*M382*Parameters!$B$10*Parameters!$B$11/60)/Upgrades!$C$12,0)),IF(AND(ISNUMBER(AG382),AG382&gt;T382),AS382,0),IF(AND(ISNUMBER(AH382),AH382&gt;T382),AT382,0),IF(AND(ISNUMBER(AI382),AI382&gt;T382),AU382,0),IF(AND(ISNUMBER(AJ382),AJ382&gt;T382),AV382,0))</f>
        <v>0.00452762415783776</v>
      </c>
      <c r="AX382" s="29" t="str">
        <f aca="false">IF(AN382=1,"transition",IF(MIN(IF(AND(I382=0,ISNUMBER(AK382),AK382&lt;=T382),AK382,9000000000000000),IF(AND(J382=0,ISNUMBER(AL382),AL382&lt;=T382),AL382,9000000000000000),IF(AND(K382=0,ISNUMBER(AM382),AM382&lt;=T382),AM382,9000000000000000))&lt;9000000000000000,IF(AND(AND(I382=0,ISNUMBER(AK382),AK382&lt;=T382),AK382=MIN(IF(AND(I382=0,ISNUMBER(AK382),AK382&lt;=T382),AK382,9000000000000000),IF(AND(J382=0,ISNUMBER(AL382),AL382&lt;=T382),AL382,9000000000000000),IF(AND(K382=0,ISNUMBER(AM382),AM382&lt;=T382),AM382,9000000000000000))),"OR",IF(AND(AND(J382=0,ISNUMBER(AL382),AL382&lt;=T382),AL382=MIN(IF(AND(I382=0,ISNUMBER(AK382),AK382&lt;=T382),AK382,9000000000000000),IF(AND(J382=0,ISNUMBER(AL382),AL382&lt;=T382),AL382,9000000000000000),IF(AND(K382=0,ISNUMBER(AM382),AM382&lt;=T382),AM382,9000000000000000))),"HP","FP")),IF(AR382=TRUE(),"",IF(MAX(IF(AND(NOT(AND(AO382=1,AN382&lt;&gt;1)),ISNUMBER(AG382),AG382&lt;=T382),AS382,0),IF(AND(NOT(AND(AO382=1,AN382&lt;&gt;1)),ISNUMBER(AH382),AH382&lt;=T382),AT382,0),IF(AND(NOT(AND(AO382=1,AN382&lt;&gt;1)),ISNUMBER(AI382),AI382&lt;=T382),AU382,0),IF(AND(ISNUMBER(AJ382),AJ382&lt;=T382),AV382,0))&lt;=0,"",IF(AND(IF(AND(NOT(AND(AO382=1,AN382&lt;&gt;1)),ISNUMBER(AG382),AG382&lt;=T382),AS382,0)&gt;0,IF(AND(NOT(AND(AO382=1,AN382&lt;&gt;1)),ISNUMBER(AG382),AG382&lt;=T382),AS382,0)=MAX(IF(AND(NOT(AND(AO382=1,AN382&lt;&gt;1)),ISNUMBER(AG382),AG382&lt;=T382),AS382,0),IF(AND(NOT(AND(AO382=1,AN382&lt;&gt;1)),ISNUMBER(AH382),AH382&lt;=T382),AT382,0),IF(AND(NOT(AND(AO382=1,AN382&lt;&gt;1)),ISNUMBER(AI382),AI382&lt;=T382),AU382,0),IF(AND(ISNUMBER(AJ382),AJ382&lt;=T382),AV382,0))),"SW",IF(AND(IF(AND(NOT(AND(AO382=1,AN382&lt;&gt;1)),ISNUMBER(AH382),AH382&lt;=T382),AT382,0)&gt;0,IF(AND(NOT(AND(AO382=1,AN382&lt;&gt;1)),ISNUMBER(AH382),AH382&lt;=T382),AT382,0)=MAX(IF(AND(NOT(AND(AO382=1,AN382&lt;&gt;1)),ISNUMBER(AG382),AG382&lt;=T382),AS382,0),IF(AND(NOT(AND(AO382=1,AN382&lt;&gt;1)),ISNUMBER(AH382),AH382&lt;=T382),AT382,0),IF(AND(NOT(AND(AO382=1,AN382&lt;&gt;1)),ISNUMBER(AI382),AI382&lt;=T382),AU382,0),IF(AND(ISNUMBER(AJ382),AJ382&lt;=T382),AV382,0))),"AB",IF(AND(IF(AND(NOT(AND(AO382=1,AN382&lt;&gt;1)),ISNUMBER(AI382),AI382&lt;=T382),AU382,0)&gt;0,IF(AND(NOT(AND(AO382=1,AN382&lt;&gt;1)),ISNUMBER(AI382),AI382&lt;=T382),AU382,0)=MAX(IF(AND(NOT(AND(AO382=1,AN382&lt;&gt;1)),ISNUMBER(AG382),AG382&lt;=T382),AS382,0),IF(AND(NOT(AND(AO382=1,AN382&lt;&gt;1)),ISNUMBER(AH382),AH382&lt;=T382),AT382,0),IF(AND(NOT(AND(AO382=1,AN382&lt;&gt;1)),ISNUMBER(AI382),AI382&lt;=T382),AU382,0),IF(AND(ISNUMBER(AJ382),AJ382&lt;=T382),AV382,0))),"SC","Mag")))))))</f>
        <v/>
      </c>
    </row>
    <row r="383" customFormat="false" ht="15" hidden="false" customHeight="false" outlineLevel="0" collapsed="false">
      <c r="A383" s="26" t="n">
        <v>378</v>
      </c>
      <c r="B383" s="27" t="n">
        <f aca="false">A383*10/60</f>
        <v>63</v>
      </c>
      <c r="C383" s="21" t="n">
        <f aca="false">X382</f>
        <v>18.6730249835055</v>
      </c>
      <c r="D383" s="27" t="n">
        <f aca="false">D382+W382</f>
        <v>0</v>
      </c>
      <c r="E383" s="26" t="n">
        <f aca="false">E382+IF(U382="SW",1,0)</f>
        <v>12</v>
      </c>
      <c r="F383" s="26" t="n">
        <f aca="false">F382+IF(U382="AB",1,0)</f>
        <v>10</v>
      </c>
      <c r="G383" s="26" t="n">
        <f aca="false">G382+IF(U382="SC",1,0)</f>
        <v>7</v>
      </c>
      <c r="H383" s="26" t="n">
        <f aca="false">H382+IF(U382="Mag",1,0)</f>
        <v>5</v>
      </c>
      <c r="I383" s="26" t="n">
        <f aca="false">MAX(I382,IF(U382="OR",1,0))</f>
        <v>1</v>
      </c>
      <c r="J383" s="26" t="n">
        <f aca="false">MAX(J382,IF(U382="HP",1,0))</f>
        <v>1</v>
      </c>
      <c r="K383" s="26" t="n">
        <f aca="false">MAX(K382,IF(U382="FP",1,0))</f>
        <v>1</v>
      </c>
      <c r="L383" s="26" t="n">
        <f aca="false">MAX(L382,IF(U382="transition",1,0))</f>
        <v>1</v>
      </c>
      <c r="M383" s="28" t="n">
        <f aca="false">(Parameters!$B$9+(IF(E383=0,0,(Upgrades!$J$6+E383*Upgrades!$K$6)*POWER(Upgrades!$L$6,E383)))*(IF(Upgrades!$T$7="Solar Wind",POWER(Upgrades!$U$7,F383),1)*IF(Upgrades!$T$8="Solar Wind",POWER(Upgrades!$U$8,G383),1)*IF(Upgrades!$T$9="Solar Wind",POWER(Upgrades!$U$9,H383),1)*IF(Upgrades!$T$10="Solar Wind",POWER(Upgrades!$U$10,I383),1)*IF(Upgrades!$T$11="Solar Wind",POWER(Upgrades!$U$11,J383),1)*IF(Upgrades!$T$12="Solar Wind",POWER(Upgrades!$U$12,K383),1))+(IF(F383=0,0,(Upgrades!$J$7+F383*Upgrades!$K$7)*POWER(Upgrades!$L$7,F383)))*(IF(Upgrades!$T$6="Asteroid Belt",POWER(Upgrades!$U$6,E383),1)*IF(Upgrades!$T$8="Asteroid Belt",POWER(Upgrades!$U$8,G383),1)*IF(Upgrades!$T$9="Asteroid Belt",POWER(Upgrades!$U$9,H383),1)*IF(Upgrades!$T$10="Asteroid Belt",POWER(Upgrades!$U$10,I383),1)*IF(Upgrades!$T$11="Asteroid Belt",POWER(Upgrades!$U$11,J383),1)*IF(Upgrades!$T$12="Asteroid Belt",POWER(Upgrades!$U$12,K383),1))+(IF(G383=0,0,(Upgrades!$J$8+G383*Upgrades!$K$8)*POWER(Upgrades!$L$8,G383)))*(IF(Upgrades!$T$6="Stellar Coupling",POWER(Upgrades!$U$6,E383),1)*IF(Upgrades!$T$7="Stellar Coupling",POWER(Upgrades!$U$7,F383),1)*IF(Upgrades!$T$9="Stellar Coupling",POWER(Upgrades!$U$9,H383),1)*IF(Upgrades!$T$10="Stellar Coupling",POWER(Upgrades!$U$10,I383),1)*IF(Upgrades!$T$11="Stellar Coupling",POWER(Upgrades!$U$11,J383),1)*IF(Upgrades!$T$12="Stellar Coupling",POWER(Upgrades!$U$12,K383),1))+(IF(H383=0,0,(Upgrades!$J$9+H383*Upgrades!$K$9)*POWER(Upgrades!$L$9,H383)))*(IF(Upgrades!$T$6="Magnetosphere",POWER(Upgrades!$U$6,E383),1)*IF(Upgrades!$T$7="Magnetosphere",POWER(Upgrades!$U$7,F383),1)*IF(Upgrades!$T$8="Magnetosphere",POWER(Upgrades!$U$8,G383),1)*IF(Upgrades!$T$10="Magnetosphere",POWER(Upgrades!$U$10,I383),1)*IF(Upgrades!$T$11="Magnetosphere",POWER(Upgrades!$U$11,J383),1)*IF(Upgrades!$T$12="Magnetosphere",POWER(Upgrades!$U$12,K383),1))+(IF(I383=0,0,(Upgrades!$J$10+I383*Upgrades!$K$10)*POWER(Upgrades!$L$10,I383)))*(IF(Upgrades!$T$6="Orbital Resonance",POWER(Upgrades!$U$6,E383),1)*IF(Upgrades!$T$7="Orbital Resonance",POWER(Upgrades!$U$7,F383),1)*IF(Upgrades!$T$8="Orbital Resonance",POWER(Upgrades!$U$8,G383),1)*IF(Upgrades!$T$9="Orbital Resonance",POWER(Upgrades!$U$9,H383),1)*IF(Upgrades!$T$11="Orbital Resonance",POWER(Upgrades!$U$11,J383),1)*IF(Upgrades!$T$12="Orbital Resonance",POWER(Upgrades!$U$12,K383),1))+(IF(J383=0,0,(Upgrades!$J$11+J383*Upgrades!$K$11)*POWER(Upgrades!$L$11,J383)))*(IF(Upgrades!$T$6="Heliopause",POWER(Upgrades!$U$6,E383),1)*IF(Upgrades!$T$7="Heliopause",POWER(Upgrades!$U$7,F383),1)*IF(Upgrades!$T$8="Heliopause",POWER(Upgrades!$U$8,G383),1)*IF(Upgrades!$T$9="Heliopause",POWER(Upgrades!$U$9,H383),1)*IF(Upgrades!$T$10="Heliopause",POWER(Upgrades!$U$10,I383),1)*IF(Upgrades!$T$12="Heliopause",POWER(Upgrades!$U$12,K383),1))+(IF(K383=0,0,(Upgrades!$J$12+K383*Upgrades!$K$12)*POWER(Upgrades!$L$12,K383)))*(IF(Upgrades!$T$6="First Photons",POWER(Upgrades!$U$6,E383),1)*IF(Upgrades!$T$7="First Photons",POWER(Upgrades!$U$7,F383),1)*IF(Upgrades!$T$8="First Photons",POWER(Upgrades!$U$8,G383),1)*IF(Upgrades!$T$9="First Photons",POWER(Upgrades!$U$9,H383),1)*IF(Upgrades!$T$10="First Photons",POWER(Upgrades!$U$10,I383),1)*IF(Upgrades!$T$11="First Photons",POWER(Upgrades!$U$11,J383),1)))*POWER(Upgrades!$Q$6,E383)*POWER(Upgrades!$Q$7,F383)*POWER(Upgrades!$Q$8,G383)*POWER(Upgrades!$Q$9,H383)*POWER(Upgrades!$Q$10,I383)*POWER(Upgrades!$Q$11,J383)*POWER(Upgrades!$Q$12,K383)</f>
        <v>5.61</v>
      </c>
      <c r="N383" s="28" t="n">
        <f aca="false">((IF(E383=0,0,(Upgrades!$G$6+E383*Upgrades!$H$6)*POWER(Upgrades!$I$6,E383)))*(IF(Upgrades!$T$7="Solar Wind",POWER(Upgrades!$U$7,F383),1)*IF(Upgrades!$T$8="Solar Wind",POWER(Upgrades!$U$8,G383),1)*IF(Upgrades!$T$9="Solar Wind",POWER(Upgrades!$U$9,H383),1)*IF(Upgrades!$T$10="Solar Wind",POWER(Upgrades!$U$10,I383),1)*IF(Upgrades!$T$11="Solar Wind",POWER(Upgrades!$U$11,J383),1)*IF(Upgrades!$T$12="Solar Wind",POWER(Upgrades!$U$12,K383),1))+(IF(F383=0,0,(Upgrades!$G$7+F383*Upgrades!$H$7)*POWER(Upgrades!$I$7,F383)))*(IF(Upgrades!$T$6="Asteroid Belt",POWER(Upgrades!$U$6,E383),1)*IF(Upgrades!$T$8="Asteroid Belt",POWER(Upgrades!$U$8,G383),1)*IF(Upgrades!$T$9="Asteroid Belt",POWER(Upgrades!$U$9,H383),1)*IF(Upgrades!$T$10="Asteroid Belt",POWER(Upgrades!$U$10,I383),1)*IF(Upgrades!$T$11="Asteroid Belt",POWER(Upgrades!$U$11,J383),1)*IF(Upgrades!$T$12="Asteroid Belt",POWER(Upgrades!$U$12,K383),1))+(IF(G383=0,0,(Upgrades!$G$8+G383*Upgrades!$H$8)*POWER(Upgrades!$I$8,G383)))*(IF(Upgrades!$T$6="Stellar Coupling",POWER(Upgrades!$U$6,E383),1)*IF(Upgrades!$T$7="Stellar Coupling",POWER(Upgrades!$U$7,F383),1)*IF(Upgrades!$T$9="Stellar Coupling",POWER(Upgrades!$U$9,H383),1)*IF(Upgrades!$T$10="Stellar Coupling",POWER(Upgrades!$U$10,I383),1)*IF(Upgrades!$T$11="Stellar Coupling",POWER(Upgrades!$U$11,J383),1)*IF(Upgrades!$T$12="Stellar Coupling",POWER(Upgrades!$U$12,K383),1))+(IF(H383=0,0,(Upgrades!$G$9+H383*Upgrades!$H$9)*POWER(Upgrades!$I$9,H383)))*(IF(Upgrades!$T$6="Magnetosphere",POWER(Upgrades!$U$6,E383),1)*IF(Upgrades!$T$7="Magnetosphere",POWER(Upgrades!$U$7,F383),1)*IF(Upgrades!$T$8="Magnetosphere",POWER(Upgrades!$U$8,G383),1)*IF(Upgrades!$T$10="Magnetosphere",POWER(Upgrades!$U$10,I383),1)*IF(Upgrades!$T$11="Magnetosphere",POWER(Upgrades!$U$11,J383),1)*IF(Upgrades!$T$12="Magnetosphere",POWER(Upgrades!$U$12,K383),1))+(IF(I383=0,0,(Upgrades!$G$10+I383*Upgrades!$H$10)*POWER(Upgrades!$I$10,I383)))*(IF(Upgrades!$T$6="Orbital Resonance",POWER(Upgrades!$U$6,E383),1)*IF(Upgrades!$T$7="Orbital Resonance",POWER(Upgrades!$U$7,F383),1)*IF(Upgrades!$T$8="Orbital Resonance",POWER(Upgrades!$U$8,G383),1)*IF(Upgrades!$T$9="Orbital Resonance",POWER(Upgrades!$U$9,H383),1)*IF(Upgrades!$T$11="Orbital Resonance",POWER(Upgrades!$U$11,J383),1)*IF(Upgrades!$T$12="Orbital Resonance",POWER(Upgrades!$U$12,K383),1))+(IF(J383=0,0,(Upgrades!$G$11+J383*Upgrades!$H$11)*POWER(Upgrades!$I$11,J383)))*(IF(Upgrades!$T$6="Heliopause",POWER(Upgrades!$U$6,E383),1)*IF(Upgrades!$T$7="Heliopause",POWER(Upgrades!$U$7,F383),1)*IF(Upgrades!$T$8="Heliopause",POWER(Upgrades!$U$8,G383),1)*IF(Upgrades!$T$9="Heliopause",POWER(Upgrades!$U$9,H383),1)*IF(Upgrades!$T$10="Heliopause",POWER(Upgrades!$U$10,I383),1)*IF(Upgrades!$T$12="Heliopause",POWER(Upgrades!$U$12,K383),1))+(IF(K383=0,0,(Upgrades!$G$12+K383*Upgrades!$H$12)*POWER(Upgrades!$I$12,K383)))*(IF(Upgrades!$T$6="First Photons",POWER(Upgrades!$U$6,E383),1)*IF(Upgrades!$T$7="First Photons",POWER(Upgrades!$U$7,F383),1)*IF(Upgrades!$T$8="First Photons",POWER(Upgrades!$U$8,G383),1)*IF(Upgrades!$T$9="First Photons",POWER(Upgrades!$U$9,H383),1)*IF(Upgrades!$T$10="First Photons",POWER(Upgrades!$U$10,I383),1)*IF(Upgrades!$T$11="First Photons",POWER(Upgrades!$U$11,J383),1)))*POWER(Upgrades!$P$6,E383)*POWER(Upgrades!$P$7,F383)*POWER(Upgrades!$P$8,G383)*POWER(Upgrades!$P$9,H383)*POWER(Upgrades!$P$10,I383)*POWER(Upgrades!$P$11,J383)*POWER(Upgrades!$P$12,K383)</f>
        <v>11.2</v>
      </c>
      <c r="O383" s="28" t="n">
        <f aca="false">((IF(E383=0,0,(Upgrades!$M$6+E383*Upgrades!$N$6)*POWER(Upgrades!$O$6,E383)))*(IF(Upgrades!$T$7="Solar Wind",POWER(Upgrades!$U$7,F383),1)*IF(Upgrades!$T$8="Solar Wind",POWER(Upgrades!$U$8,G383),1)*IF(Upgrades!$T$9="Solar Wind",POWER(Upgrades!$U$9,H383),1)*IF(Upgrades!$T$10="Solar Wind",POWER(Upgrades!$U$10,I383),1)*IF(Upgrades!$T$11="Solar Wind",POWER(Upgrades!$U$11,J383),1)*IF(Upgrades!$T$12="Solar Wind",POWER(Upgrades!$U$12,K383),1))+(IF(F383=0,0,(Upgrades!$M$7+F383*Upgrades!$N$7)*POWER(Upgrades!$O$7,F383)))*(IF(Upgrades!$T$6="Asteroid Belt",POWER(Upgrades!$U$6,E383),1)*IF(Upgrades!$T$8="Asteroid Belt",POWER(Upgrades!$U$8,G383),1)*IF(Upgrades!$T$9="Asteroid Belt",POWER(Upgrades!$U$9,H383),1)*IF(Upgrades!$T$10="Asteroid Belt",POWER(Upgrades!$U$10,I383),1)*IF(Upgrades!$T$11="Asteroid Belt",POWER(Upgrades!$U$11,J383),1)*IF(Upgrades!$T$12="Asteroid Belt",POWER(Upgrades!$U$12,K383),1))+(IF(G383=0,0,(Upgrades!$M$8+G383*Upgrades!$N$8)*POWER(Upgrades!$O$8,G383)))*(IF(Upgrades!$T$6="Stellar Coupling",POWER(Upgrades!$U$6,E383),1)*IF(Upgrades!$T$7="Stellar Coupling",POWER(Upgrades!$U$7,F383),1)*IF(Upgrades!$T$9="Stellar Coupling",POWER(Upgrades!$U$9,H383),1)*IF(Upgrades!$T$10="Stellar Coupling",POWER(Upgrades!$U$10,I383),1)*IF(Upgrades!$T$11="Stellar Coupling",POWER(Upgrades!$U$11,J383),1)*IF(Upgrades!$T$12="Stellar Coupling",POWER(Upgrades!$U$12,K383),1))+(IF(H383=0,0,(Upgrades!$M$9+H383*Upgrades!$N$9)*POWER(Upgrades!$O$9,H383)))*(IF(Upgrades!$T$6="Magnetosphere",POWER(Upgrades!$U$6,E383),1)*IF(Upgrades!$T$7="Magnetosphere",POWER(Upgrades!$U$7,F383),1)*IF(Upgrades!$T$8="Magnetosphere",POWER(Upgrades!$U$8,G383),1)*IF(Upgrades!$T$10="Magnetosphere",POWER(Upgrades!$U$10,I383),1)*IF(Upgrades!$T$11="Magnetosphere",POWER(Upgrades!$U$11,J383),1)*IF(Upgrades!$T$12="Magnetosphere",POWER(Upgrades!$U$12,K383),1))+(IF(I383=0,0,(Upgrades!$M$10+I383*Upgrades!$N$10)*POWER(Upgrades!$O$10,I383)))*(IF(Upgrades!$T$6="Orbital Resonance",POWER(Upgrades!$U$6,E383),1)*IF(Upgrades!$T$7="Orbital Resonance",POWER(Upgrades!$U$7,F383),1)*IF(Upgrades!$T$8="Orbital Resonance",POWER(Upgrades!$U$8,G383),1)*IF(Upgrades!$T$9="Orbital Resonance",POWER(Upgrades!$U$9,H383),1)*IF(Upgrades!$T$11="Orbital Resonance",POWER(Upgrades!$U$11,J383),1)*IF(Upgrades!$T$12="Orbital Resonance",POWER(Upgrades!$U$12,K383),1))+(IF(J383=0,0,(Upgrades!$M$11+J383*Upgrades!$N$11)*POWER(Upgrades!$O$11,J383)))*(IF(Upgrades!$T$6="Heliopause",POWER(Upgrades!$U$6,E383),1)*IF(Upgrades!$T$7="Heliopause",POWER(Upgrades!$U$7,F383),1)*IF(Upgrades!$T$8="Heliopause",POWER(Upgrades!$U$8,G383),1)*IF(Upgrades!$T$9="Heliopause",POWER(Upgrades!$U$9,H383),1)*IF(Upgrades!$T$10="Heliopause",POWER(Upgrades!$U$10,I383),1)*IF(Upgrades!$T$12="Heliopause",POWER(Upgrades!$U$12,K383),1))+(IF(K383=0,0,(Upgrades!$M$12+K383*Upgrades!$N$12)*POWER(Upgrades!$O$12,K383)))*(IF(Upgrades!$T$6="First Photons",POWER(Upgrades!$U$6,E383),1)*IF(Upgrades!$T$7="First Photons",POWER(Upgrades!$U$7,F383),1)*IF(Upgrades!$T$8="First Photons",POWER(Upgrades!$U$8,G383),1)*IF(Upgrades!$T$9="First Photons",POWER(Upgrades!$U$9,H383),1)*IF(Upgrades!$T$10="First Photons",POWER(Upgrades!$U$10,I383),1)*IF(Upgrades!$T$11="First Photons",POWER(Upgrades!$U$11,J383),1)))*POWER(Upgrades!$R$6,E383)*POWER(Upgrades!$R$7,F383)*POWER(Upgrades!$R$8,G383)*POWER(Upgrades!$R$9,H383)*POWER(Upgrades!$R$10,I383)*POWER(Upgrades!$R$11,J383)*POWER(Upgrades!$R$12,K383)</f>
        <v>0</v>
      </c>
      <c r="P383" s="27" t="n">
        <f aca="false">IF(L383=1,0,M383*Parameters!$B$10/60*Parameters!$B$11*10)</f>
        <v>0</v>
      </c>
      <c r="Q383" s="27" t="n">
        <f aca="false">IF(L383=1,0,O383*M383*10)</f>
        <v>0</v>
      </c>
      <c r="R383" s="27" t="n">
        <f aca="false">IF(L383=1,0,N383*10)</f>
        <v>0</v>
      </c>
      <c r="S383" s="27" t="n">
        <f aca="false">P383+Q383+R383</f>
        <v>0</v>
      </c>
      <c r="T383" s="21" t="n">
        <f aca="false">C383+S383</f>
        <v>18.6730249835055</v>
      </c>
      <c r="U383" s="34" t="str">
        <f aca="false">AX383</f>
        <v/>
      </c>
      <c r="V383" s="21" t="n">
        <f aca="false">IF(U383="",0,IF(U383="transition",0,IF(U383="SW",AG383,IF(U383="AB",AH383,IF(U383="SC",AI383,IF(U383="Mag",AJ383,IF(U383="OR",AK383,IF(U383="HP",AL383,IF(U383="FP",AM383,0)))))))))</f>
        <v>0</v>
      </c>
      <c r="W383" s="27" t="n">
        <f aca="false">IF(U383="OR",Upgrades!$F$10,IF(U383="HP",Upgrades!$F$11,IF(U383="transition",-Parameters!$B$18,0)))</f>
        <v>0</v>
      </c>
      <c r="X383" s="21" t="n">
        <f aca="false">T383-V383</f>
        <v>18.6730249835055</v>
      </c>
      <c r="Y383" s="30" t="n">
        <f aca="false">M383*Parameters!$B$10/60*Parameters!$B$11+O383*M383+N383</f>
        <v>20.55</v>
      </c>
      <c r="Z383" s="35" t="str">
        <f aca="false">IF(U383="transition","→ Tier 2 (Stellar Neighborhood)",IF(U383="FP","First Photons — light begins, system quickens",IF(U383="HP","Heliopause acquired",IF(U383="OR","Orbital Resonance — passive multiplier active",IF(AND(AO383=1,L383=0,AN383&lt;&gt;1),"Cohesion ready (waiting on completionist upgrades)","")))))</f>
        <v/>
      </c>
      <c r="AA383" s="27" t="n">
        <f aca="false">(IF(E383=0,0,(Upgrades!$G$6+E383*Upgrades!$H$6)*POWER(Upgrades!$I$6,E383)))*(IF(Upgrades!$T$7="Solar Wind",POWER(Upgrades!$U$7,F383),1)*IF(Upgrades!$T$8="Solar Wind",POWER(Upgrades!$U$8,G383),1)*IF(Upgrades!$T$9="Solar Wind",POWER(Upgrades!$U$9,H383),1)*IF(Upgrades!$T$10="Solar Wind",POWER(Upgrades!$U$10,I383),1)*IF(Upgrades!$T$11="Solar Wind",POWER(Upgrades!$U$11,J383),1)*IF(Upgrades!$T$12="Solar Wind",POWER(Upgrades!$U$12,K383),1))*POWER(Upgrades!$P$6,E383)*POWER(Upgrades!$P$7,F383)*POWER(Upgrades!$P$8,G383)*POWER(Upgrades!$P$9,H383)*POWER(Upgrades!$P$10,I383)*POWER(Upgrades!$P$11,J383)*POWER(Upgrades!$P$12,K383)*60</f>
        <v>72</v>
      </c>
      <c r="AB383" s="27" t="n">
        <f aca="false">(IF(F383=0,0,(Upgrades!$G$7+F383*Upgrades!$H$7)*POWER(Upgrades!$I$7,F383)))*(IF(Upgrades!$T$6="Asteroid Belt",POWER(Upgrades!$U$6,E383),1)*IF(Upgrades!$T$8="Asteroid Belt",POWER(Upgrades!$U$8,G383),1)*IF(Upgrades!$T$9="Asteroid Belt",POWER(Upgrades!$U$9,H383),1)*IF(Upgrades!$T$10="Asteroid Belt",POWER(Upgrades!$U$10,I383),1)*IF(Upgrades!$T$11="Asteroid Belt",POWER(Upgrades!$U$11,J383),1)*IF(Upgrades!$T$12="Asteroid Belt",POWER(Upgrades!$U$12,K383),1))*POWER(Upgrades!$P$6,E383)*POWER(Upgrades!$P$7,F383)*POWER(Upgrades!$P$8,G383)*POWER(Upgrades!$P$9,H383)*POWER(Upgrades!$P$10,I383)*POWER(Upgrades!$P$11,J383)*POWER(Upgrades!$P$12,K383)*60</f>
        <v>150</v>
      </c>
      <c r="AC383" s="27" t="n">
        <f aca="false">(IF(G383=0,0,(Upgrades!$J$8+G383*Upgrades!$K$8)*POWER(Upgrades!$L$8,G383)))*(IF(Upgrades!$T$6="Stellar Coupling",POWER(Upgrades!$U$6,E383),1)*IF(Upgrades!$T$7="Stellar Coupling",POWER(Upgrades!$U$7,F383),1)*IF(Upgrades!$T$9="Stellar Coupling",POWER(Upgrades!$U$9,H383),1)*IF(Upgrades!$T$10="Stellar Coupling",POWER(Upgrades!$U$10,I383),1)*IF(Upgrades!$T$11="Stellar Coupling",POWER(Upgrades!$U$11,J383),1)*IF(Upgrades!$T$12="Stellar Coupling",POWER(Upgrades!$U$12,K383),1))*POWER(Upgrades!$Q$6,E383)*POWER(Upgrades!$Q$7,F383)*POWER(Upgrades!$Q$8,G383)*POWER(Upgrades!$Q$9,H383)*POWER(Upgrades!$Q$10,I383)*POWER(Upgrades!$Q$11,J383)*POWER(Upgrades!$Q$12,K383)*Parameters!$B$10*Parameters!$B$11</f>
        <v>441</v>
      </c>
      <c r="AD383" s="27" t="n">
        <f aca="false">(IF(H383=0,0,(Upgrades!$G$9+H383*Upgrades!$H$9)*POWER(Upgrades!$I$9,H383)))*(IF(Upgrades!$T$6="Magnetosphere",POWER(Upgrades!$U$6,E383),1)*IF(Upgrades!$T$7="Magnetosphere",POWER(Upgrades!$U$7,F383),1)*IF(Upgrades!$T$8="Magnetosphere",POWER(Upgrades!$U$8,G383),1)*IF(Upgrades!$T$10="Magnetosphere",POWER(Upgrades!$U$10,I383),1)*IF(Upgrades!$T$11="Magnetosphere",POWER(Upgrades!$U$11,J383),1)*IF(Upgrades!$T$12="Magnetosphere",POWER(Upgrades!$U$12,K383),1))*POWER(Upgrades!$P$6,E383)*POWER(Upgrades!$P$7,F383)*POWER(Upgrades!$P$8,G383)*POWER(Upgrades!$P$9,H383)*POWER(Upgrades!$P$10,I383)*POWER(Upgrades!$P$11,J383)*POWER(Upgrades!$P$12,K383)*60</f>
        <v>375</v>
      </c>
      <c r="AE383" s="27" t="n">
        <f aca="false">(IF(K383=0,0,(Upgrades!$G$12+K383*Upgrades!$H$12)*POWER(Upgrades!$I$12,K383)))*(IF(Upgrades!$T$6="First Photons",POWER(Upgrades!$U$6,E383),1)*IF(Upgrades!$T$7="First Photons",POWER(Upgrades!$U$7,F383),1)*IF(Upgrades!$T$8="First Photons",POWER(Upgrades!$U$8,G383),1)*IF(Upgrades!$T$9="First Photons",POWER(Upgrades!$U$9,H383),1)*IF(Upgrades!$T$10="First Photons",POWER(Upgrades!$U$10,I383),1)*IF(Upgrades!$T$11="First Photons",POWER(Upgrades!$U$11,J383),1))*POWER(Upgrades!$P$6,E383)*POWER(Upgrades!$P$7,F383)*POWER(Upgrades!$P$8,G383)*POWER(Upgrades!$P$9,H383)*POWER(Upgrades!$P$10,I383)*POWER(Upgrades!$P$11,J383)*POWER(Upgrades!$P$12,K383)*60</f>
        <v>75</v>
      </c>
      <c r="AF383" s="27" t="n">
        <f aca="false">Parameters!$B$9*POWER(Upgrades!$Q$6,E383)*POWER(Upgrades!$Q$7,F383)*POWER(Upgrades!$Q$8,G383)*POWER(Upgrades!$Q$9,H383)*POWER(Upgrades!$Q$10,I383)*POWER(Upgrades!$Q$11,J383)*POWER(Upgrades!$Q$12,K383)*(Parameters!$B$10*Parameters!$B$11+O383*60)</f>
        <v>120</v>
      </c>
      <c r="AG383" s="21" t="n">
        <f aca="false">IF(E383&gt;=Upgrades!$E$6,"",Upgrades!$C$6*POWER(Upgrades!$D$6,E383))</f>
        <v>37.4517507383159</v>
      </c>
      <c r="AH383" s="21" t="n">
        <f aca="false">IF(F383&gt;=Upgrades!$E$7,"",Upgrades!$C$7*POWER(Upgrades!$D$7,F383))</f>
        <v>80.9111547141581</v>
      </c>
      <c r="AI383" s="21" t="n">
        <f aca="false">IF(G383&gt;=Upgrades!$E$8,"",Upgrades!$C$8*POWER(Upgrades!$D$8,G383))</f>
        <v>231.9097088</v>
      </c>
      <c r="AJ383" s="21" t="str">
        <f aca="false">IF(H383&gt;=Upgrades!$E$9,"",Upgrades!$C$9*POWER(Upgrades!$D$9,H383))</f>
        <v/>
      </c>
      <c r="AK383" s="21" t="str">
        <f aca="false">IF(I383&gt;=Upgrades!$E$10,"",Upgrades!$C$10*POWER(Upgrades!$D$10,I383))</f>
        <v/>
      </c>
      <c r="AL383" s="21" t="str">
        <f aca="false">IF(J383&gt;=Upgrades!$E$11,"",Upgrades!$C$11*POWER(Upgrades!$D$11,J383))</f>
        <v/>
      </c>
      <c r="AM383" s="21" t="str">
        <f aca="false">IF(K383&gt;=Upgrades!$E$12,"",Upgrades!$C$12*POWER(Upgrades!$D$12,K383))</f>
        <v/>
      </c>
      <c r="AN383" s="26" t="str">
        <f aca="false">IF(AND(D383&gt;=Parameters!$B$18,(H383&gt;=Upgrades!$E$9)*(K383&gt;=Upgrades!$E$12)=1,L383=0),1,"")</f>
        <v/>
      </c>
      <c r="AO383" s="26" t="str">
        <f aca="false">IF(AND(D383&gt;=Parameters!$B$18,L383=0),1,"")</f>
        <v/>
      </c>
      <c r="AP383" s="21" t="n">
        <f aca="false">MIN(IF(ISNUMBER(AK383),AK383,9000000000000000),IF(ISNUMBER(AL383),AL383,9000000000000000),IF(ISNUMBER(AM383),AM383,9000000000000000))</f>
        <v>9000000000000000</v>
      </c>
      <c r="AQ383" s="21" t="n">
        <f aca="false">MIN(IF(ISNUMBER(AG383),AG383,9000000000000000),IF(ISNUMBER(AH383),AH383,9000000000000000),IF(ISNUMBER(AI383),AI383,9000000000000000),IF(ISNUMBER(AJ383),AJ383,9000000000000000))</f>
        <v>37.4517507383159</v>
      </c>
      <c r="AR383" s="32" t="b">
        <f aca="false">IF(AW383&gt;Parameters!$B$21*(MAX(IF(AND(NOT(AND(AO383=1,AN383&lt;&gt;1)),ISNUMBER(AG383),AG383&lt;=T383),AS383,0),IF(AND(NOT(AND(AO383=1,AN383&lt;&gt;1)),ISNUMBER(AH383),AH383&lt;=T383),AT383,0),IF(AND(NOT(AND(AO383=1,AN383&lt;&gt;1)),ISNUMBER(AI383),AI383&lt;=T383),AU383,0),IF(AND(ISNUMBER(AJ383),AJ383&lt;=T383),AV383,0))),TRUE(),FALSE())</f>
        <v>1</v>
      </c>
      <c r="AS383" s="33" t="n">
        <f aca="false">IFERROR(Upgrades!$H$6*(POWER(Upgrades!$P$6,E383)*POWER(Upgrades!$P$7,F383)*POWER(Upgrades!$P$8,G383)*POWER(Upgrades!$P$9,H383)*POWER(Upgrades!$P$10,I383)*POWER(Upgrades!$P$11,J383)*POWER(Upgrades!$P$12,K383))*(IF(Upgrades!$T$7="Solar Wind",POWER(Upgrades!$U$7,F383),1)*IF(Upgrades!$T$8="Solar Wind",POWER(Upgrades!$U$8,G383),1)*IF(Upgrades!$T$9="Solar Wind",POWER(Upgrades!$U$9,H383),1)*IF(Upgrades!$T$10="Solar Wind",POWER(Upgrades!$U$10,I383),1)*IF(Upgrades!$T$11="Solar Wind",POWER(Upgrades!$U$11,J383),1)*IF(Upgrades!$T$12="Solar Wind",POWER(Upgrades!$U$12,K383),1))/AG383,0)</f>
        <v>0.0026701021455238</v>
      </c>
      <c r="AT383" s="33" t="n">
        <f aca="false">IFERROR(Upgrades!$H$7*(POWER(Upgrades!$P$6,E383)*POWER(Upgrades!$P$7,F383)*POWER(Upgrades!$P$8,G383)*POWER(Upgrades!$P$9,H383)*POWER(Upgrades!$P$10,I383)*POWER(Upgrades!$P$11,J383)*POWER(Upgrades!$P$12,K383))*(IF(Upgrades!$T$6="Asteroid Belt",POWER(Upgrades!$U$6,E383),1)*IF(Upgrades!$T$8="Asteroid Belt",POWER(Upgrades!$U$8,G383),1)*IF(Upgrades!$T$9="Asteroid Belt",POWER(Upgrades!$U$9,H383),1)*IF(Upgrades!$T$10="Asteroid Belt",POWER(Upgrades!$U$10,I383),1)*IF(Upgrades!$T$11="Asteroid Belt",POWER(Upgrades!$U$11,J383),1)*IF(Upgrades!$T$12="Asteroid Belt",POWER(Upgrades!$U$12,K383),1))/AH383,0)</f>
        <v>0.00308980882652332</v>
      </c>
      <c r="AU383" s="33" t="n">
        <f aca="false">IFERROR(Upgrades!$K$8*(POWER(Upgrades!$Q$6,E383)*POWER(Upgrades!$Q$7,F383)*POWER(Upgrades!$Q$8,G383)*POWER(Upgrades!$Q$9,H383)*POWER(Upgrades!$Q$10,I383)*POWER(Upgrades!$Q$11,J383)*POWER(Upgrades!$Q$12,K383))*(IF(Upgrades!$T$6="Stellar Coupling",POWER(Upgrades!$U$6,E383),1)*IF(Upgrades!$T$7="Stellar Coupling",POWER(Upgrades!$U$7,F383),1)*IF(Upgrades!$T$9="Stellar Coupling",POWER(Upgrades!$U$9,H383),1)*IF(Upgrades!$T$10="Stellar Coupling",POWER(Upgrades!$U$10,I383),1)*IF(Upgrades!$T$11="Stellar Coupling",POWER(Upgrades!$U$11,J383),1)*IF(Upgrades!$T$12="Stellar Coupling",POWER(Upgrades!$U$12,K383),1))*Parameters!$B$10*Parameters!$B$11/60/AI383,0)</f>
        <v>0.00452762415783776</v>
      </c>
      <c r="AV383" s="33" t="n">
        <f aca="false">IFERROR(Upgrades!$H$9*(POWER(Upgrades!$P$6,E383)*POWER(Upgrades!$P$7,F383)*POWER(Upgrades!$P$8,G383)*POWER(Upgrades!$P$9,H383)*POWER(Upgrades!$P$10,I383)*POWER(Upgrades!$P$11,J383)*POWER(Upgrades!$P$12,K383))*(IF(Upgrades!$T$6="Magnetosphere",POWER(Upgrades!$U$6,E383),1)*IF(Upgrades!$T$7="Magnetosphere",POWER(Upgrades!$U$7,F383),1)*IF(Upgrades!$T$8="Magnetosphere",POWER(Upgrades!$U$8,G383),1)*IF(Upgrades!$T$10="Magnetosphere",POWER(Upgrades!$U$10,I383),1)*IF(Upgrades!$T$11="Magnetosphere",POWER(Upgrades!$U$11,J383),1)*IF(Upgrades!$T$12="Magnetosphere",POWER(Upgrades!$U$12,K383),1))/AJ383,0)</f>
        <v>0</v>
      </c>
      <c r="AW383" s="33" t="n">
        <f aca="false">MAX(IF(I383&gt;0,0,IFERROR(0.25*N383/Upgrades!$C$10,0)),IF(J383&gt;0,0,IFERROR(0.5*((IF(G383=0,0,(Upgrades!$J$8+G383*Upgrades!$K$8)*POWER(Upgrades!$L$8,G383)))*(IF(Upgrades!$T$6="Stellar Coupling",POWER(Upgrades!$U$6,E383),1)*IF(Upgrades!$T$7="Stellar Coupling",POWER(Upgrades!$U$7,F383),1)*IF(Upgrades!$T$9="Stellar Coupling",POWER(Upgrades!$U$9,H383),1)*IF(Upgrades!$T$10="Stellar Coupling",POWER(Upgrades!$U$10,I383),1)*IF(Upgrades!$T$11="Stellar Coupling",POWER(Upgrades!$U$11,J383),1)*IF(Upgrades!$T$12="Stellar Coupling",POWER(Upgrades!$U$12,K383),1))*(POWER(Upgrades!$Q$6,E383)*POWER(Upgrades!$Q$7,F383)*POWER(Upgrades!$Q$8,G383)*POWER(Upgrades!$Q$9,H383)*POWER(Upgrades!$Q$10,I383)*POWER(Upgrades!$Q$11,J383)*POWER(Upgrades!$Q$12,K383))*Parameters!$B$10*Parameters!$B$11/60)/Upgrades!$C$11,0)),IF(K383&gt;0,0,IFERROR((1*(POWER(Upgrades!$P$6,E383)*POWER(Upgrades!$P$7,F383)*POWER(Upgrades!$P$8,G383)*POWER(Upgrades!$P$9,H383)*POWER(Upgrades!$P$10,I383)*POWER(Upgrades!$P$11,J383)*POWER(Upgrades!$P$12,K383))+0.2*M383*Parameters!$B$10*Parameters!$B$11/60)/Upgrades!$C$12,0)),IF(AND(ISNUMBER(AG383),AG383&gt;T383),AS383,0),IF(AND(ISNUMBER(AH383),AH383&gt;T383),AT383,0),IF(AND(ISNUMBER(AI383),AI383&gt;T383),AU383,0),IF(AND(ISNUMBER(AJ383),AJ383&gt;T383),AV383,0))</f>
        <v>0.00452762415783776</v>
      </c>
      <c r="AX383" s="29" t="str">
        <f aca="false">IF(AN383=1,"transition",IF(MIN(IF(AND(I383=0,ISNUMBER(AK383),AK383&lt;=T383),AK383,9000000000000000),IF(AND(J383=0,ISNUMBER(AL383),AL383&lt;=T383),AL383,9000000000000000),IF(AND(K383=0,ISNUMBER(AM383),AM383&lt;=T383),AM383,9000000000000000))&lt;9000000000000000,IF(AND(AND(I383=0,ISNUMBER(AK383),AK383&lt;=T383),AK383=MIN(IF(AND(I383=0,ISNUMBER(AK383),AK383&lt;=T383),AK383,9000000000000000),IF(AND(J383=0,ISNUMBER(AL383),AL383&lt;=T383),AL383,9000000000000000),IF(AND(K383=0,ISNUMBER(AM383),AM383&lt;=T383),AM383,9000000000000000))),"OR",IF(AND(AND(J383=0,ISNUMBER(AL383),AL383&lt;=T383),AL383=MIN(IF(AND(I383=0,ISNUMBER(AK383),AK383&lt;=T383),AK383,9000000000000000),IF(AND(J383=0,ISNUMBER(AL383),AL383&lt;=T383),AL383,9000000000000000),IF(AND(K383=0,ISNUMBER(AM383),AM383&lt;=T383),AM383,9000000000000000))),"HP","FP")),IF(AR383=TRUE(),"",IF(MAX(IF(AND(NOT(AND(AO383=1,AN383&lt;&gt;1)),ISNUMBER(AG383),AG383&lt;=T383),AS383,0),IF(AND(NOT(AND(AO383=1,AN383&lt;&gt;1)),ISNUMBER(AH383),AH383&lt;=T383),AT383,0),IF(AND(NOT(AND(AO383=1,AN383&lt;&gt;1)),ISNUMBER(AI383),AI383&lt;=T383),AU383,0),IF(AND(ISNUMBER(AJ383),AJ383&lt;=T383),AV383,0))&lt;=0,"",IF(AND(IF(AND(NOT(AND(AO383=1,AN383&lt;&gt;1)),ISNUMBER(AG383),AG383&lt;=T383),AS383,0)&gt;0,IF(AND(NOT(AND(AO383=1,AN383&lt;&gt;1)),ISNUMBER(AG383),AG383&lt;=T383),AS383,0)=MAX(IF(AND(NOT(AND(AO383=1,AN383&lt;&gt;1)),ISNUMBER(AG383),AG383&lt;=T383),AS383,0),IF(AND(NOT(AND(AO383=1,AN383&lt;&gt;1)),ISNUMBER(AH383),AH383&lt;=T383),AT383,0),IF(AND(NOT(AND(AO383=1,AN383&lt;&gt;1)),ISNUMBER(AI383),AI383&lt;=T383),AU383,0),IF(AND(ISNUMBER(AJ383),AJ383&lt;=T383),AV383,0))),"SW",IF(AND(IF(AND(NOT(AND(AO383=1,AN383&lt;&gt;1)),ISNUMBER(AH383),AH383&lt;=T383),AT383,0)&gt;0,IF(AND(NOT(AND(AO383=1,AN383&lt;&gt;1)),ISNUMBER(AH383),AH383&lt;=T383),AT383,0)=MAX(IF(AND(NOT(AND(AO383=1,AN383&lt;&gt;1)),ISNUMBER(AG383),AG383&lt;=T383),AS383,0),IF(AND(NOT(AND(AO383=1,AN383&lt;&gt;1)),ISNUMBER(AH383),AH383&lt;=T383),AT383,0),IF(AND(NOT(AND(AO383=1,AN383&lt;&gt;1)),ISNUMBER(AI383),AI383&lt;=T383),AU383,0),IF(AND(ISNUMBER(AJ383),AJ383&lt;=T383),AV383,0))),"AB",IF(AND(IF(AND(NOT(AND(AO383=1,AN383&lt;&gt;1)),ISNUMBER(AI383),AI383&lt;=T383),AU383,0)&gt;0,IF(AND(NOT(AND(AO383=1,AN383&lt;&gt;1)),ISNUMBER(AI383),AI383&lt;=T383),AU383,0)=MAX(IF(AND(NOT(AND(AO383=1,AN383&lt;&gt;1)),ISNUMBER(AG383),AG383&lt;=T383),AS383,0),IF(AND(NOT(AND(AO383=1,AN383&lt;&gt;1)),ISNUMBER(AH383),AH383&lt;=T383),AT383,0),IF(AND(NOT(AND(AO383=1,AN383&lt;&gt;1)),ISNUMBER(AI383),AI383&lt;=T383),AU383,0),IF(AND(ISNUMBER(AJ383),AJ383&lt;=T383),AV383,0))),"SC","Mag")))))))</f>
        <v/>
      </c>
    </row>
    <row r="384" customFormat="false" ht="15" hidden="false" customHeight="false" outlineLevel="0" collapsed="false">
      <c r="A384" s="26" t="n">
        <v>379</v>
      </c>
      <c r="B384" s="27" t="n">
        <f aca="false">A384*10/60</f>
        <v>63.1666666666667</v>
      </c>
      <c r="C384" s="21" t="n">
        <f aca="false">X383</f>
        <v>18.6730249835055</v>
      </c>
      <c r="D384" s="27" t="n">
        <f aca="false">D383+W383</f>
        <v>0</v>
      </c>
      <c r="E384" s="26" t="n">
        <f aca="false">E383+IF(U383="SW",1,0)</f>
        <v>12</v>
      </c>
      <c r="F384" s="26" t="n">
        <f aca="false">F383+IF(U383="AB",1,0)</f>
        <v>10</v>
      </c>
      <c r="G384" s="26" t="n">
        <f aca="false">G383+IF(U383="SC",1,0)</f>
        <v>7</v>
      </c>
      <c r="H384" s="26" t="n">
        <f aca="false">H383+IF(U383="Mag",1,0)</f>
        <v>5</v>
      </c>
      <c r="I384" s="26" t="n">
        <f aca="false">MAX(I383,IF(U383="OR",1,0))</f>
        <v>1</v>
      </c>
      <c r="J384" s="26" t="n">
        <f aca="false">MAX(J383,IF(U383="HP",1,0))</f>
        <v>1</v>
      </c>
      <c r="K384" s="26" t="n">
        <f aca="false">MAX(K383,IF(U383="FP",1,0))</f>
        <v>1</v>
      </c>
      <c r="L384" s="26" t="n">
        <f aca="false">MAX(L383,IF(U383="transition",1,0))</f>
        <v>1</v>
      </c>
      <c r="M384" s="28" t="n">
        <f aca="false">(Parameters!$B$9+(IF(E384=0,0,(Upgrades!$J$6+E384*Upgrades!$K$6)*POWER(Upgrades!$L$6,E384)))*(IF(Upgrades!$T$7="Solar Wind",POWER(Upgrades!$U$7,F384),1)*IF(Upgrades!$T$8="Solar Wind",POWER(Upgrades!$U$8,G384),1)*IF(Upgrades!$T$9="Solar Wind",POWER(Upgrades!$U$9,H384),1)*IF(Upgrades!$T$10="Solar Wind",POWER(Upgrades!$U$10,I384),1)*IF(Upgrades!$T$11="Solar Wind",POWER(Upgrades!$U$11,J384),1)*IF(Upgrades!$T$12="Solar Wind",POWER(Upgrades!$U$12,K384),1))+(IF(F384=0,0,(Upgrades!$J$7+F384*Upgrades!$K$7)*POWER(Upgrades!$L$7,F384)))*(IF(Upgrades!$T$6="Asteroid Belt",POWER(Upgrades!$U$6,E384),1)*IF(Upgrades!$T$8="Asteroid Belt",POWER(Upgrades!$U$8,G384),1)*IF(Upgrades!$T$9="Asteroid Belt",POWER(Upgrades!$U$9,H384),1)*IF(Upgrades!$T$10="Asteroid Belt",POWER(Upgrades!$U$10,I384),1)*IF(Upgrades!$T$11="Asteroid Belt",POWER(Upgrades!$U$11,J384),1)*IF(Upgrades!$T$12="Asteroid Belt",POWER(Upgrades!$U$12,K384),1))+(IF(G384=0,0,(Upgrades!$J$8+G384*Upgrades!$K$8)*POWER(Upgrades!$L$8,G384)))*(IF(Upgrades!$T$6="Stellar Coupling",POWER(Upgrades!$U$6,E384),1)*IF(Upgrades!$T$7="Stellar Coupling",POWER(Upgrades!$U$7,F384),1)*IF(Upgrades!$T$9="Stellar Coupling",POWER(Upgrades!$U$9,H384),1)*IF(Upgrades!$T$10="Stellar Coupling",POWER(Upgrades!$U$10,I384),1)*IF(Upgrades!$T$11="Stellar Coupling",POWER(Upgrades!$U$11,J384),1)*IF(Upgrades!$T$12="Stellar Coupling",POWER(Upgrades!$U$12,K384),1))+(IF(H384=0,0,(Upgrades!$J$9+H384*Upgrades!$K$9)*POWER(Upgrades!$L$9,H384)))*(IF(Upgrades!$T$6="Magnetosphere",POWER(Upgrades!$U$6,E384),1)*IF(Upgrades!$T$7="Magnetosphere",POWER(Upgrades!$U$7,F384),1)*IF(Upgrades!$T$8="Magnetosphere",POWER(Upgrades!$U$8,G384),1)*IF(Upgrades!$T$10="Magnetosphere",POWER(Upgrades!$U$10,I384),1)*IF(Upgrades!$T$11="Magnetosphere",POWER(Upgrades!$U$11,J384),1)*IF(Upgrades!$T$12="Magnetosphere",POWER(Upgrades!$U$12,K384),1))+(IF(I384=0,0,(Upgrades!$J$10+I384*Upgrades!$K$10)*POWER(Upgrades!$L$10,I384)))*(IF(Upgrades!$T$6="Orbital Resonance",POWER(Upgrades!$U$6,E384),1)*IF(Upgrades!$T$7="Orbital Resonance",POWER(Upgrades!$U$7,F384),1)*IF(Upgrades!$T$8="Orbital Resonance",POWER(Upgrades!$U$8,G384),1)*IF(Upgrades!$T$9="Orbital Resonance",POWER(Upgrades!$U$9,H384),1)*IF(Upgrades!$T$11="Orbital Resonance",POWER(Upgrades!$U$11,J384),1)*IF(Upgrades!$T$12="Orbital Resonance",POWER(Upgrades!$U$12,K384),1))+(IF(J384=0,0,(Upgrades!$J$11+J384*Upgrades!$K$11)*POWER(Upgrades!$L$11,J384)))*(IF(Upgrades!$T$6="Heliopause",POWER(Upgrades!$U$6,E384),1)*IF(Upgrades!$T$7="Heliopause",POWER(Upgrades!$U$7,F384),1)*IF(Upgrades!$T$8="Heliopause",POWER(Upgrades!$U$8,G384),1)*IF(Upgrades!$T$9="Heliopause",POWER(Upgrades!$U$9,H384),1)*IF(Upgrades!$T$10="Heliopause",POWER(Upgrades!$U$10,I384),1)*IF(Upgrades!$T$12="Heliopause",POWER(Upgrades!$U$12,K384),1))+(IF(K384=0,0,(Upgrades!$J$12+K384*Upgrades!$K$12)*POWER(Upgrades!$L$12,K384)))*(IF(Upgrades!$T$6="First Photons",POWER(Upgrades!$U$6,E384),1)*IF(Upgrades!$T$7="First Photons",POWER(Upgrades!$U$7,F384),1)*IF(Upgrades!$T$8="First Photons",POWER(Upgrades!$U$8,G384),1)*IF(Upgrades!$T$9="First Photons",POWER(Upgrades!$U$9,H384),1)*IF(Upgrades!$T$10="First Photons",POWER(Upgrades!$U$10,I384),1)*IF(Upgrades!$T$11="First Photons",POWER(Upgrades!$U$11,J384),1)))*POWER(Upgrades!$Q$6,E384)*POWER(Upgrades!$Q$7,F384)*POWER(Upgrades!$Q$8,G384)*POWER(Upgrades!$Q$9,H384)*POWER(Upgrades!$Q$10,I384)*POWER(Upgrades!$Q$11,J384)*POWER(Upgrades!$Q$12,K384)</f>
        <v>5.61</v>
      </c>
      <c r="N384" s="28" t="n">
        <f aca="false">((IF(E384=0,0,(Upgrades!$G$6+E384*Upgrades!$H$6)*POWER(Upgrades!$I$6,E384)))*(IF(Upgrades!$T$7="Solar Wind",POWER(Upgrades!$U$7,F384),1)*IF(Upgrades!$T$8="Solar Wind",POWER(Upgrades!$U$8,G384),1)*IF(Upgrades!$T$9="Solar Wind",POWER(Upgrades!$U$9,H384),1)*IF(Upgrades!$T$10="Solar Wind",POWER(Upgrades!$U$10,I384),1)*IF(Upgrades!$T$11="Solar Wind",POWER(Upgrades!$U$11,J384),1)*IF(Upgrades!$T$12="Solar Wind",POWER(Upgrades!$U$12,K384),1))+(IF(F384=0,0,(Upgrades!$G$7+F384*Upgrades!$H$7)*POWER(Upgrades!$I$7,F384)))*(IF(Upgrades!$T$6="Asteroid Belt",POWER(Upgrades!$U$6,E384),1)*IF(Upgrades!$T$8="Asteroid Belt",POWER(Upgrades!$U$8,G384),1)*IF(Upgrades!$T$9="Asteroid Belt",POWER(Upgrades!$U$9,H384),1)*IF(Upgrades!$T$10="Asteroid Belt",POWER(Upgrades!$U$10,I384),1)*IF(Upgrades!$T$11="Asteroid Belt",POWER(Upgrades!$U$11,J384),1)*IF(Upgrades!$T$12="Asteroid Belt",POWER(Upgrades!$U$12,K384),1))+(IF(G384=0,0,(Upgrades!$G$8+G384*Upgrades!$H$8)*POWER(Upgrades!$I$8,G384)))*(IF(Upgrades!$T$6="Stellar Coupling",POWER(Upgrades!$U$6,E384),1)*IF(Upgrades!$T$7="Stellar Coupling",POWER(Upgrades!$U$7,F384),1)*IF(Upgrades!$T$9="Stellar Coupling",POWER(Upgrades!$U$9,H384),1)*IF(Upgrades!$T$10="Stellar Coupling",POWER(Upgrades!$U$10,I384),1)*IF(Upgrades!$T$11="Stellar Coupling",POWER(Upgrades!$U$11,J384),1)*IF(Upgrades!$T$12="Stellar Coupling",POWER(Upgrades!$U$12,K384),1))+(IF(H384=0,0,(Upgrades!$G$9+H384*Upgrades!$H$9)*POWER(Upgrades!$I$9,H384)))*(IF(Upgrades!$T$6="Magnetosphere",POWER(Upgrades!$U$6,E384),1)*IF(Upgrades!$T$7="Magnetosphere",POWER(Upgrades!$U$7,F384),1)*IF(Upgrades!$T$8="Magnetosphere",POWER(Upgrades!$U$8,G384),1)*IF(Upgrades!$T$10="Magnetosphere",POWER(Upgrades!$U$10,I384),1)*IF(Upgrades!$T$11="Magnetosphere",POWER(Upgrades!$U$11,J384),1)*IF(Upgrades!$T$12="Magnetosphere",POWER(Upgrades!$U$12,K384),1))+(IF(I384=0,0,(Upgrades!$G$10+I384*Upgrades!$H$10)*POWER(Upgrades!$I$10,I384)))*(IF(Upgrades!$T$6="Orbital Resonance",POWER(Upgrades!$U$6,E384),1)*IF(Upgrades!$T$7="Orbital Resonance",POWER(Upgrades!$U$7,F384),1)*IF(Upgrades!$T$8="Orbital Resonance",POWER(Upgrades!$U$8,G384),1)*IF(Upgrades!$T$9="Orbital Resonance",POWER(Upgrades!$U$9,H384),1)*IF(Upgrades!$T$11="Orbital Resonance",POWER(Upgrades!$U$11,J384),1)*IF(Upgrades!$T$12="Orbital Resonance",POWER(Upgrades!$U$12,K384),1))+(IF(J384=0,0,(Upgrades!$G$11+J384*Upgrades!$H$11)*POWER(Upgrades!$I$11,J384)))*(IF(Upgrades!$T$6="Heliopause",POWER(Upgrades!$U$6,E384),1)*IF(Upgrades!$T$7="Heliopause",POWER(Upgrades!$U$7,F384),1)*IF(Upgrades!$T$8="Heliopause",POWER(Upgrades!$U$8,G384),1)*IF(Upgrades!$T$9="Heliopause",POWER(Upgrades!$U$9,H384),1)*IF(Upgrades!$T$10="Heliopause",POWER(Upgrades!$U$10,I384),1)*IF(Upgrades!$T$12="Heliopause",POWER(Upgrades!$U$12,K384),1))+(IF(K384=0,0,(Upgrades!$G$12+K384*Upgrades!$H$12)*POWER(Upgrades!$I$12,K384)))*(IF(Upgrades!$T$6="First Photons",POWER(Upgrades!$U$6,E384),1)*IF(Upgrades!$T$7="First Photons",POWER(Upgrades!$U$7,F384),1)*IF(Upgrades!$T$8="First Photons",POWER(Upgrades!$U$8,G384),1)*IF(Upgrades!$T$9="First Photons",POWER(Upgrades!$U$9,H384),1)*IF(Upgrades!$T$10="First Photons",POWER(Upgrades!$U$10,I384),1)*IF(Upgrades!$T$11="First Photons",POWER(Upgrades!$U$11,J384),1)))*POWER(Upgrades!$P$6,E384)*POWER(Upgrades!$P$7,F384)*POWER(Upgrades!$P$8,G384)*POWER(Upgrades!$P$9,H384)*POWER(Upgrades!$P$10,I384)*POWER(Upgrades!$P$11,J384)*POWER(Upgrades!$P$12,K384)</f>
        <v>11.2</v>
      </c>
      <c r="O384" s="28" t="n">
        <f aca="false">((IF(E384=0,0,(Upgrades!$M$6+E384*Upgrades!$N$6)*POWER(Upgrades!$O$6,E384)))*(IF(Upgrades!$T$7="Solar Wind",POWER(Upgrades!$U$7,F384),1)*IF(Upgrades!$T$8="Solar Wind",POWER(Upgrades!$U$8,G384),1)*IF(Upgrades!$T$9="Solar Wind",POWER(Upgrades!$U$9,H384),1)*IF(Upgrades!$T$10="Solar Wind",POWER(Upgrades!$U$10,I384),1)*IF(Upgrades!$T$11="Solar Wind",POWER(Upgrades!$U$11,J384),1)*IF(Upgrades!$T$12="Solar Wind",POWER(Upgrades!$U$12,K384),1))+(IF(F384=0,0,(Upgrades!$M$7+F384*Upgrades!$N$7)*POWER(Upgrades!$O$7,F384)))*(IF(Upgrades!$T$6="Asteroid Belt",POWER(Upgrades!$U$6,E384),1)*IF(Upgrades!$T$8="Asteroid Belt",POWER(Upgrades!$U$8,G384),1)*IF(Upgrades!$T$9="Asteroid Belt",POWER(Upgrades!$U$9,H384),1)*IF(Upgrades!$T$10="Asteroid Belt",POWER(Upgrades!$U$10,I384),1)*IF(Upgrades!$T$11="Asteroid Belt",POWER(Upgrades!$U$11,J384),1)*IF(Upgrades!$T$12="Asteroid Belt",POWER(Upgrades!$U$12,K384),1))+(IF(G384=0,0,(Upgrades!$M$8+G384*Upgrades!$N$8)*POWER(Upgrades!$O$8,G384)))*(IF(Upgrades!$T$6="Stellar Coupling",POWER(Upgrades!$U$6,E384),1)*IF(Upgrades!$T$7="Stellar Coupling",POWER(Upgrades!$U$7,F384),1)*IF(Upgrades!$T$9="Stellar Coupling",POWER(Upgrades!$U$9,H384),1)*IF(Upgrades!$T$10="Stellar Coupling",POWER(Upgrades!$U$10,I384),1)*IF(Upgrades!$T$11="Stellar Coupling",POWER(Upgrades!$U$11,J384),1)*IF(Upgrades!$T$12="Stellar Coupling",POWER(Upgrades!$U$12,K384),1))+(IF(H384=0,0,(Upgrades!$M$9+H384*Upgrades!$N$9)*POWER(Upgrades!$O$9,H384)))*(IF(Upgrades!$T$6="Magnetosphere",POWER(Upgrades!$U$6,E384),1)*IF(Upgrades!$T$7="Magnetosphere",POWER(Upgrades!$U$7,F384),1)*IF(Upgrades!$T$8="Magnetosphere",POWER(Upgrades!$U$8,G384),1)*IF(Upgrades!$T$10="Magnetosphere",POWER(Upgrades!$U$10,I384),1)*IF(Upgrades!$T$11="Magnetosphere",POWER(Upgrades!$U$11,J384),1)*IF(Upgrades!$T$12="Magnetosphere",POWER(Upgrades!$U$12,K384),1))+(IF(I384=0,0,(Upgrades!$M$10+I384*Upgrades!$N$10)*POWER(Upgrades!$O$10,I384)))*(IF(Upgrades!$T$6="Orbital Resonance",POWER(Upgrades!$U$6,E384),1)*IF(Upgrades!$T$7="Orbital Resonance",POWER(Upgrades!$U$7,F384),1)*IF(Upgrades!$T$8="Orbital Resonance",POWER(Upgrades!$U$8,G384),1)*IF(Upgrades!$T$9="Orbital Resonance",POWER(Upgrades!$U$9,H384),1)*IF(Upgrades!$T$11="Orbital Resonance",POWER(Upgrades!$U$11,J384),1)*IF(Upgrades!$T$12="Orbital Resonance",POWER(Upgrades!$U$12,K384),1))+(IF(J384=0,0,(Upgrades!$M$11+J384*Upgrades!$N$11)*POWER(Upgrades!$O$11,J384)))*(IF(Upgrades!$T$6="Heliopause",POWER(Upgrades!$U$6,E384),1)*IF(Upgrades!$T$7="Heliopause",POWER(Upgrades!$U$7,F384),1)*IF(Upgrades!$T$8="Heliopause",POWER(Upgrades!$U$8,G384),1)*IF(Upgrades!$T$9="Heliopause",POWER(Upgrades!$U$9,H384),1)*IF(Upgrades!$T$10="Heliopause",POWER(Upgrades!$U$10,I384),1)*IF(Upgrades!$T$12="Heliopause",POWER(Upgrades!$U$12,K384),1))+(IF(K384=0,0,(Upgrades!$M$12+K384*Upgrades!$N$12)*POWER(Upgrades!$O$12,K384)))*(IF(Upgrades!$T$6="First Photons",POWER(Upgrades!$U$6,E384),1)*IF(Upgrades!$T$7="First Photons",POWER(Upgrades!$U$7,F384),1)*IF(Upgrades!$T$8="First Photons",POWER(Upgrades!$U$8,G384),1)*IF(Upgrades!$T$9="First Photons",POWER(Upgrades!$U$9,H384),1)*IF(Upgrades!$T$10="First Photons",POWER(Upgrades!$U$10,I384),1)*IF(Upgrades!$T$11="First Photons",POWER(Upgrades!$U$11,J384),1)))*POWER(Upgrades!$R$6,E384)*POWER(Upgrades!$R$7,F384)*POWER(Upgrades!$R$8,G384)*POWER(Upgrades!$R$9,H384)*POWER(Upgrades!$R$10,I384)*POWER(Upgrades!$R$11,J384)*POWER(Upgrades!$R$12,K384)</f>
        <v>0</v>
      </c>
      <c r="P384" s="27" t="n">
        <f aca="false">IF(L384=1,0,M384*Parameters!$B$10/60*Parameters!$B$11*10)</f>
        <v>0</v>
      </c>
      <c r="Q384" s="27" t="n">
        <f aca="false">IF(L384=1,0,O384*M384*10)</f>
        <v>0</v>
      </c>
      <c r="R384" s="27" t="n">
        <f aca="false">IF(L384=1,0,N384*10)</f>
        <v>0</v>
      </c>
      <c r="S384" s="27" t="n">
        <f aca="false">P384+Q384+R384</f>
        <v>0</v>
      </c>
      <c r="T384" s="21" t="n">
        <f aca="false">C384+S384</f>
        <v>18.6730249835055</v>
      </c>
      <c r="U384" s="34" t="str">
        <f aca="false">AX384</f>
        <v/>
      </c>
      <c r="V384" s="21" t="n">
        <f aca="false">IF(U384="",0,IF(U384="transition",0,IF(U384="SW",AG384,IF(U384="AB",AH384,IF(U384="SC",AI384,IF(U384="Mag",AJ384,IF(U384="OR",AK384,IF(U384="HP",AL384,IF(U384="FP",AM384,0)))))))))</f>
        <v>0</v>
      </c>
      <c r="W384" s="27" t="n">
        <f aca="false">IF(U384="OR",Upgrades!$F$10,IF(U384="HP",Upgrades!$F$11,IF(U384="transition",-Parameters!$B$18,0)))</f>
        <v>0</v>
      </c>
      <c r="X384" s="21" t="n">
        <f aca="false">T384-V384</f>
        <v>18.6730249835055</v>
      </c>
      <c r="Y384" s="30" t="n">
        <f aca="false">M384*Parameters!$B$10/60*Parameters!$B$11+O384*M384+N384</f>
        <v>20.55</v>
      </c>
      <c r="Z384" s="35" t="str">
        <f aca="false">IF(U384="transition","→ Tier 2 (Stellar Neighborhood)",IF(U384="FP","First Photons — light begins, system quickens",IF(U384="HP","Heliopause acquired",IF(U384="OR","Orbital Resonance — passive multiplier active",IF(AND(AO384=1,L384=0,AN384&lt;&gt;1),"Cohesion ready (waiting on completionist upgrades)","")))))</f>
        <v/>
      </c>
      <c r="AA384" s="27" t="n">
        <f aca="false">(IF(E384=0,0,(Upgrades!$G$6+E384*Upgrades!$H$6)*POWER(Upgrades!$I$6,E384)))*(IF(Upgrades!$T$7="Solar Wind",POWER(Upgrades!$U$7,F384),1)*IF(Upgrades!$T$8="Solar Wind",POWER(Upgrades!$U$8,G384),1)*IF(Upgrades!$T$9="Solar Wind",POWER(Upgrades!$U$9,H384),1)*IF(Upgrades!$T$10="Solar Wind",POWER(Upgrades!$U$10,I384),1)*IF(Upgrades!$T$11="Solar Wind",POWER(Upgrades!$U$11,J384),1)*IF(Upgrades!$T$12="Solar Wind",POWER(Upgrades!$U$12,K384),1))*POWER(Upgrades!$P$6,E384)*POWER(Upgrades!$P$7,F384)*POWER(Upgrades!$P$8,G384)*POWER(Upgrades!$P$9,H384)*POWER(Upgrades!$P$10,I384)*POWER(Upgrades!$P$11,J384)*POWER(Upgrades!$P$12,K384)*60</f>
        <v>72</v>
      </c>
      <c r="AB384" s="27" t="n">
        <f aca="false">(IF(F384=0,0,(Upgrades!$G$7+F384*Upgrades!$H$7)*POWER(Upgrades!$I$7,F384)))*(IF(Upgrades!$T$6="Asteroid Belt",POWER(Upgrades!$U$6,E384),1)*IF(Upgrades!$T$8="Asteroid Belt",POWER(Upgrades!$U$8,G384),1)*IF(Upgrades!$T$9="Asteroid Belt",POWER(Upgrades!$U$9,H384),1)*IF(Upgrades!$T$10="Asteroid Belt",POWER(Upgrades!$U$10,I384),1)*IF(Upgrades!$T$11="Asteroid Belt",POWER(Upgrades!$U$11,J384),1)*IF(Upgrades!$T$12="Asteroid Belt",POWER(Upgrades!$U$12,K384),1))*POWER(Upgrades!$P$6,E384)*POWER(Upgrades!$P$7,F384)*POWER(Upgrades!$P$8,G384)*POWER(Upgrades!$P$9,H384)*POWER(Upgrades!$P$10,I384)*POWER(Upgrades!$P$11,J384)*POWER(Upgrades!$P$12,K384)*60</f>
        <v>150</v>
      </c>
      <c r="AC384" s="27" t="n">
        <f aca="false">(IF(G384=0,0,(Upgrades!$J$8+G384*Upgrades!$K$8)*POWER(Upgrades!$L$8,G384)))*(IF(Upgrades!$T$6="Stellar Coupling",POWER(Upgrades!$U$6,E384),1)*IF(Upgrades!$T$7="Stellar Coupling",POWER(Upgrades!$U$7,F384),1)*IF(Upgrades!$T$9="Stellar Coupling",POWER(Upgrades!$U$9,H384),1)*IF(Upgrades!$T$10="Stellar Coupling",POWER(Upgrades!$U$10,I384),1)*IF(Upgrades!$T$11="Stellar Coupling",POWER(Upgrades!$U$11,J384),1)*IF(Upgrades!$T$12="Stellar Coupling",POWER(Upgrades!$U$12,K384),1))*POWER(Upgrades!$Q$6,E384)*POWER(Upgrades!$Q$7,F384)*POWER(Upgrades!$Q$8,G384)*POWER(Upgrades!$Q$9,H384)*POWER(Upgrades!$Q$10,I384)*POWER(Upgrades!$Q$11,J384)*POWER(Upgrades!$Q$12,K384)*Parameters!$B$10*Parameters!$B$11</f>
        <v>441</v>
      </c>
      <c r="AD384" s="27" t="n">
        <f aca="false">(IF(H384=0,0,(Upgrades!$G$9+H384*Upgrades!$H$9)*POWER(Upgrades!$I$9,H384)))*(IF(Upgrades!$T$6="Magnetosphere",POWER(Upgrades!$U$6,E384),1)*IF(Upgrades!$T$7="Magnetosphere",POWER(Upgrades!$U$7,F384),1)*IF(Upgrades!$T$8="Magnetosphere",POWER(Upgrades!$U$8,G384),1)*IF(Upgrades!$T$10="Magnetosphere",POWER(Upgrades!$U$10,I384),1)*IF(Upgrades!$T$11="Magnetosphere",POWER(Upgrades!$U$11,J384),1)*IF(Upgrades!$T$12="Magnetosphere",POWER(Upgrades!$U$12,K384),1))*POWER(Upgrades!$P$6,E384)*POWER(Upgrades!$P$7,F384)*POWER(Upgrades!$P$8,G384)*POWER(Upgrades!$P$9,H384)*POWER(Upgrades!$P$10,I384)*POWER(Upgrades!$P$11,J384)*POWER(Upgrades!$P$12,K384)*60</f>
        <v>375</v>
      </c>
      <c r="AE384" s="27" t="n">
        <f aca="false">(IF(K384=0,0,(Upgrades!$G$12+K384*Upgrades!$H$12)*POWER(Upgrades!$I$12,K384)))*(IF(Upgrades!$T$6="First Photons",POWER(Upgrades!$U$6,E384),1)*IF(Upgrades!$T$7="First Photons",POWER(Upgrades!$U$7,F384),1)*IF(Upgrades!$T$8="First Photons",POWER(Upgrades!$U$8,G384),1)*IF(Upgrades!$T$9="First Photons",POWER(Upgrades!$U$9,H384),1)*IF(Upgrades!$T$10="First Photons",POWER(Upgrades!$U$10,I384),1)*IF(Upgrades!$T$11="First Photons",POWER(Upgrades!$U$11,J384),1))*POWER(Upgrades!$P$6,E384)*POWER(Upgrades!$P$7,F384)*POWER(Upgrades!$P$8,G384)*POWER(Upgrades!$P$9,H384)*POWER(Upgrades!$P$10,I384)*POWER(Upgrades!$P$11,J384)*POWER(Upgrades!$P$12,K384)*60</f>
        <v>75</v>
      </c>
      <c r="AF384" s="27" t="n">
        <f aca="false">Parameters!$B$9*POWER(Upgrades!$Q$6,E384)*POWER(Upgrades!$Q$7,F384)*POWER(Upgrades!$Q$8,G384)*POWER(Upgrades!$Q$9,H384)*POWER(Upgrades!$Q$10,I384)*POWER(Upgrades!$Q$11,J384)*POWER(Upgrades!$Q$12,K384)*(Parameters!$B$10*Parameters!$B$11+O384*60)</f>
        <v>120</v>
      </c>
      <c r="AG384" s="21" t="n">
        <f aca="false">IF(E384&gt;=Upgrades!$E$6,"",Upgrades!$C$6*POWER(Upgrades!$D$6,E384))</f>
        <v>37.4517507383159</v>
      </c>
      <c r="AH384" s="21" t="n">
        <f aca="false">IF(F384&gt;=Upgrades!$E$7,"",Upgrades!$C$7*POWER(Upgrades!$D$7,F384))</f>
        <v>80.9111547141581</v>
      </c>
      <c r="AI384" s="21" t="n">
        <f aca="false">IF(G384&gt;=Upgrades!$E$8,"",Upgrades!$C$8*POWER(Upgrades!$D$8,G384))</f>
        <v>231.9097088</v>
      </c>
      <c r="AJ384" s="21" t="str">
        <f aca="false">IF(H384&gt;=Upgrades!$E$9,"",Upgrades!$C$9*POWER(Upgrades!$D$9,H384))</f>
        <v/>
      </c>
      <c r="AK384" s="21" t="str">
        <f aca="false">IF(I384&gt;=Upgrades!$E$10,"",Upgrades!$C$10*POWER(Upgrades!$D$10,I384))</f>
        <v/>
      </c>
      <c r="AL384" s="21" t="str">
        <f aca="false">IF(J384&gt;=Upgrades!$E$11,"",Upgrades!$C$11*POWER(Upgrades!$D$11,J384))</f>
        <v/>
      </c>
      <c r="AM384" s="21" t="str">
        <f aca="false">IF(K384&gt;=Upgrades!$E$12,"",Upgrades!$C$12*POWER(Upgrades!$D$12,K384))</f>
        <v/>
      </c>
      <c r="AN384" s="26" t="str">
        <f aca="false">IF(AND(D384&gt;=Parameters!$B$18,(H384&gt;=Upgrades!$E$9)*(K384&gt;=Upgrades!$E$12)=1,L384=0),1,"")</f>
        <v/>
      </c>
      <c r="AO384" s="26" t="str">
        <f aca="false">IF(AND(D384&gt;=Parameters!$B$18,L384=0),1,"")</f>
        <v/>
      </c>
      <c r="AP384" s="21" t="n">
        <f aca="false">MIN(IF(ISNUMBER(AK384),AK384,9000000000000000),IF(ISNUMBER(AL384),AL384,9000000000000000),IF(ISNUMBER(AM384),AM384,9000000000000000))</f>
        <v>9000000000000000</v>
      </c>
      <c r="AQ384" s="21" t="n">
        <f aca="false">MIN(IF(ISNUMBER(AG384),AG384,9000000000000000),IF(ISNUMBER(AH384),AH384,9000000000000000),IF(ISNUMBER(AI384),AI384,9000000000000000),IF(ISNUMBER(AJ384),AJ384,9000000000000000))</f>
        <v>37.4517507383159</v>
      </c>
      <c r="AR384" s="32" t="b">
        <f aca="false">IF(AW384&gt;Parameters!$B$21*(MAX(IF(AND(NOT(AND(AO384=1,AN384&lt;&gt;1)),ISNUMBER(AG384),AG384&lt;=T384),AS384,0),IF(AND(NOT(AND(AO384=1,AN384&lt;&gt;1)),ISNUMBER(AH384),AH384&lt;=T384),AT384,0),IF(AND(NOT(AND(AO384=1,AN384&lt;&gt;1)),ISNUMBER(AI384),AI384&lt;=T384),AU384,0),IF(AND(ISNUMBER(AJ384),AJ384&lt;=T384),AV384,0))),TRUE(),FALSE())</f>
        <v>1</v>
      </c>
      <c r="AS384" s="33" t="n">
        <f aca="false">IFERROR(Upgrades!$H$6*(POWER(Upgrades!$P$6,E384)*POWER(Upgrades!$P$7,F384)*POWER(Upgrades!$P$8,G384)*POWER(Upgrades!$P$9,H384)*POWER(Upgrades!$P$10,I384)*POWER(Upgrades!$P$11,J384)*POWER(Upgrades!$P$12,K384))*(IF(Upgrades!$T$7="Solar Wind",POWER(Upgrades!$U$7,F384),1)*IF(Upgrades!$T$8="Solar Wind",POWER(Upgrades!$U$8,G384),1)*IF(Upgrades!$T$9="Solar Wind",POWER(Upgrades!$U$9,H384),1)*IF(Upgrades!$T$10="Solar Wind",POWER(Upgrades!$U$10,I384),1)*IF(Upgrades!$T$11="Solar Wind",POWER(Upgrades!$U$11,J384),1)*IF(Upgrades!$T$12="Solar Wind",POWER(Upgrades!$U$12,K384),1))/AG384,0)</f>
        <v>0.0026701021455238</v>
      </c>
      <c r="AT384" s="33" t="n">
        <f aca="false">IFERROR(Upgrades!$H$7*(POWER(Upgrades!$P$6,E384)*POWER(Upgrades!$P$7,F384)*POWER(Upgrades!$P$8,G384)*POWER(Upgrades!$P$9,H384)*POWER(Upgrades!$P$10,I384)*POWER(Upgrades!$P$11,J384)*POWER(Upgrades!$P$12,K384))*(IF(Upgrades!$T$6="Asteroid Belt",POWER(Upgrades!$U$6,E384),1)*IF(Upgrades!$T$8="Asteroid Belt",POWER(Upgrades!$U$8,G384),1)*IF(Upgrades!$T$9="Asteroid Belt",POWER(Upgrades!$U$9,H384),1)*IF(Upgrades!$T$10="Asteroid Belt",POWER(Upgrades!$U$10,I384),1)*IF(Upgrades!$T$11="Asteroid Belt",POWER(Upgrades!$U$11,J384),1)*IF(Upgrades!$T$12="Asteroid Belt",POWER(Upgrades!$U$12,K384),1))/AH384,0)</f>
        <v>0.00308980882652332</v>
      </c>
      <c r="AU384" s="33" t="n">
        <f aca="false">IFERROR(Upgrades!$K$8*(POWER(Upgrades!$Q$6,E384)*POWER(Upgrades!$Q$7,F384)*POWER(Upgrades!$Q$8,G384)*POWER(Upgrades!$Q$9,H384)*POWER(Upgrades!$Q$10,I384)*POWER(Upgrades!$Q$11,J384)*POWER(Upgrades!$Q$12,K384))*(IF(Upgrades!$T$6="Stellar Coupling",POWER(Upgrades!$U$6,E384),1)*IF(Upgrades!$T$7="Stellar Coupling",POWER(Upgrades!$U$7,F384),1)*IF(Upgrades!$T$9="Stellar Coupling",POWER(Upgrades!$U$9,H384),1)*IF(Upgrades!$T$10="Stellar Coupling",POWER(Upgrades!$U$10,I384),1)*IF(Upgrades!$T$11="Stellar Coupling",POWER(Upgrades!$U$11,J384),1)*IF(Upgrades!$T$12="Stellar Coupling",POWER(Upgrades!$U$12,K384),1))*Parameters!$B$10*Parameters!$B$11/60/AI384,0)</f>
        <v>0.00452762415783776</v>
      </c>
      <c r="AV384" s="33" t="n">
        <f aca="false">IFERROR(Upgrades!$H$9*(POWER(Upgrades!$P$6,E384)*POWER(Upgrades!$P$7,F384)*POWER(Upgrades!$P$8,G384)*POWER(Upgrades!$P$9,H384)*POWER(Upgrades!$P$10,I384)*POWER(Upgrades!$P$11,J384)*POWER(Upgrades!$P$12,K384))*(IF(Upgrades!$T$6="Magnetosphere",POWER(Upgrades!$U$6,E384),1)*IF(Upgrades!$T$7="Magnetosphere",POWER(Upgrades!$U$7,F384),1)*IF(Upgrades!$T$8="Magnetosphere",POWER(Upgrades!$U$8,G384),1)*IF(Upgrades!$T$10="Magnetosphere",POWER(Upgrades!$U$10,I384),1)*IF(Upgrades!$T$11="Magnetosphere",POWER(Upgrades!$U$11,J384),1)*IF(Upgrades!$T$12="Magnetosphere",POWER(Upgrades!$U$12,K384),1))/AJ384,0)</f>
        <v>0</v>
      </c>
      <c r="AW384" s="33" t="n">
        <f aca="false">MAX(IF(I384&gt;0,0,IFERROR(0.25*N384/Upgrades!$C$10,0)),IF(J384&gt;0,0,IFERROR(0.5*((IF(G384=0,0,(Upgrades!$J$8+G384*Upgrades!$K$8)*POWER(Upgrades!$L$8,G384)))*(IF(Upgrades!$T$6="Stellar Coupling",POWER(Upgrades!$U$6,E384),1)*IF(Upgrades!$T$7="Stellar Coupling",POWER(Upgrades!$U$7,F384),1)*IF(Upgrades!$T$9="Stellar Coupling",POWER(Upgrades!$U$9,H384),1)*IF(Upgrades!$T$10="Stellar Coupling",POWER(Upgrades!$U$10,I384),1)*IF(Upgrades!$T$11="Stellar Coupling",POWER(Upgrades!$U$11,J384),1)*IF(Upgrades!$T$12="Stellar Coupling",POWER(Upgrades!$U$12,K384),1))*(POWER(Upgrades!$Q$6,E384)*POWER(Upgrades!$Q$7,F384)*POWER(Upgrades!$Q$8,G384)*POWER(Upgrades!$Q$9,H384)*POWER(Upgrades!$Q$10,I384)*POWER(Upgrades!$Q$11,J384)*POWER(Upgrades!$Q$12,K384))*Parameters!$B$10*Parameters!$B$11/60)/Upgrades!$C$11,0)),IF(K384&gt;0,0,IFERROR((1*(POWER(Upgrades!$P$6,E384)*POWER(Upgrades!$P$7,F384)*POWER(Upgrades!$P$8,G384)*POWER(Upgrades!$P$9,H384)*POWER(Upgrades!$P$10,I384)*POWER(Upgrades!$P$11,J384)*POWER(Upgrades!$P$12,K384))+0.2*M384*Parameters!$B$10*Parameters!$B$11/60)/Upgrades!$C$12,0)),IF(AND(ISNUMBER(AG384),AG384&gt;T384),AS384,0),IF(AND(ISNUMBER(AH384),AH384&gt;T384),AT384,0),IF(AND(ISNUMBER(AI384),AI384&gt;T384),AU384,0),IF(AND(ISNUMBER(AJ384),AJ384&gt;T384),AV384,0))</f>
        <v>0.00452762415783776</v>
      </c>
      <c r="AX384" s="29" t="str">
        <f aca="false">IF(AN384=1,"transition",IF(MIN(IF(AND(I384=0,ISNUMBER(AK384),AK384&lt;=T384),AK384,9000000000000000),IF(AND(J384=0,ISNUMBER(AL384),AL384&lt;=T384),AL384,9000000000000000),IF(AND(K384=0,ISNUMBER(AM384),AM384&lt;=T384),AM384,9000000000000000))&lt;9000000000000000,IF(AND(AND(I384=0,ISNUMBER(AK384),AK384&lt;=T384),AK384=MIN(IF(AND(I384=0,ISNUMBER(AK384),AK384&lt;=T384),AK384,9000000000000000),IF(AND(J384=0,ISNUMBER(AL384),AL384&lt;=T384),AL384,9000000000000000),IF(AND(K384=0,ISNUMBER(AM384),AM384&lt;=T384),AM384,9000000000000000))),"OR",IF(AND(AND(J384=0,ISNUMBER(AL384),AL384&lt;=T384),AL384=MIN(IF(AND(I384=0,ISNUMBER(AK384),AK384&lt;=T384),AK384,9000000000000000),IF(AND(J384=0,ISNUMBER(AL384),AL384&lt;=T384),AL384,9000000000000000),IF(AND(K384=0,ISNUMBER(AM384),AM384&lt;=T384),AM384,9000000000000000))),"HP","FP")),IF(AR384=TRUE(),"",IF(MAX(IF(AND(NOT(AND(AO384=1,AN384&lt;&gt;1)),ISNUMBER(AG384),AG384&lt;=T384),AS384,0),IF(AND(NOT(AND(AO384=1,AN384&lt;&gt;1)),ISNUMBER(AH384),AH384&lt;=T384),AT384,0),IF(AND(NOT(AND(AO384=1,AN384&lt;&gt;1)),ISNUMBER(AI384),AI384&lt;=T384),AU384,0),IF(AND(ISNUMBER(AJ384),AJ384&lt;=T384),AV384,0))&lt;=0,"",IF(AND(IF(AND(NOT(AND(AO384=1,AN384&lt;&gt;1)),ISNUMBER(AG384),AG384&lt;=T384),AS384,0)&gt;0,IF(AND(NOT(AND(AO384=1,AN384&lt;&gt;1)),ISNUMBER(AG384),AG384&lt;=T384),AS384,0)=MAX(IF(AND(NOT(AND(AO384=1,AN384&lt;&gt;1)),ISNUMBER(AG384),AG384&lt;=T384),AS384,0),IF(AND(NOT(AND(AO384=1,AN384&lt;&gt;1)),ISNUMBER(AH384),AH384&lt;=T384),AT384,0),IF(AND(NOT(AND(AO384=1,AN384&lt;&gt;1)),ISNUMBER(AI384),AI384&lt;=T384),AU384,0),IF(AND(ISNUMBER(AJ384),AJ384&lt;=T384),AV384,0))),"SW",IF(AND(IF(AND(NOT(AND(AO384=1,AN384&lt;&gt;1)),ISNUMBER(AH384),AH384&lt;=T384),AT384,0)&gt;0,IF(AND(NOT(AND(AO384=1,AN384&lt;&gt;1)),ISNUMBER(AH384),AH384&lt;=T384),AT384,0)=MAX(IF(AND(NOT(AND(AO384=1,AN384&lt;&gt;1)),ISNUMBER(AG384),AG384&lt;=T384),AS384,0),IF(AND(NOT(AND(AO384=1,AN384&lt;&gt;1)),ISNUMBER(AH384),AH384&lt;=T384),AT384,0),IF(AND(NOT(AND(AO384=1,AN384&lt;&gt;1)),ISNUMBER(AI384),AI384&lt;=T384),AU384,0),IF(AND(ISNUMBER(AJ384),AJ384&lt;=T384),AV384,0))),"AB",IF(AND(IF(AND(NOT(AND(AO384=1,AN384&lt;&gt;1)),ISNUMBER(AI384),AI384&lt;=T384),AU384,0)&gt;0,IF(AND(NOT(AND(AO384=1,AN384&lt;&gt;1)),ISNUMBER(AI384),AI384&lt;=T384),AU384,0)=MAX(IF(AND(NOT(AND(AO384=1,AN384&lt;&gt;1)),ISNUMBER(AG384),AG384&lt;=T384),AS384,0),IF(AND(NOT(AND(AO384=1,AN384&lt;&gt;1)),ISNUMBER(AH384),AH384&lt;=T384),AT384,0),IF(AND(NOT(AND(AO384=1,AN384&lt;&gt;1)),ISNUMBER(AI384),AI384&lt;=T384),AU384,0),IF(AND(ISNUMBER(AJ384),AJ384&lt;=T384),AV384,0))),"SC","Mag")))))))</f>
        <v/>
      </c>
    </row>
    <row r="385" customFormat="false" ht="15" hidden="false" customHeight="false" outlineLevel="0" collapsed="false">
      <c r="A385" s="26" t="n">
        <v>380</v>
      </c>
      <c r="B385" s="27" t="n">
        <f aca="false">A385*10/60</f>
        <v>63.3333333333333</v>
      </c>
      <c r="C385" s="21" t="n">
        <f aca="false">X384</f>
        <v>18.6730249835055</v>
      </c>
      <c r="D385" s="27" t="n">
        <f aca="false">D384+W384</f>
        <v>0</v>
      </c>
      <c r="E385" s="26" t="n">
        <f aca="false">E384+IF(U384="SW",1,0)</f>
        <v>12</v>
      </c>
      <c r="F385" s="26" t="n">
        <f aca="false">F384+IF(U384="AB",1,0)</f>
        <v>10</v>
      </c>
      <c r="G385" s="26" t="n">
        <f aca="false">G384+IF(U384="SC",1,0)</f>
        <v>7</v>
      </c>
      <c r="H385" s="26" t="n">
        <f aca="false">H384+IF(U384="Mag",1,0)</f>
        <v>5</v>
      </c>
      <c r="I385" s="26" t="n">
        <f aca="false">MAX(I384,IF(U384="OR",1,0))</f>
        <v>1</v>
      </c>
      <c r="J385" s="26" t="n">
        <f aca="false">MAX(J384,IF(U384="HP",1,0))</f>
        <v>1</v>
      </c>
      <c r="K385" s="26" t="n">
        <f aca="false">MAX(K384,IF(U384="FP",1,0))</f>
        <v>1</v>
      </c>
      <c r="L385" s="26" t="n">
        <f aca="false">MAX(L384,IF(U384="transition",1,0))</f>
        <v>1</v>
      </c>
      <c r="M385" s="28" t="n">
        <f aca="false">(Parameters!$B$9+(IF(E385=0,0,(Upgrades!$J$6+E385*Upgrades!$K$6)*POWER(Upgrades!$L$6,E385)))*(IF(Upgrades!$T$7="Solar Wind",POWER(Upgrades!$U$7,F385),1)*IF(Upgrades!$T$8="Solar Wind",POWER(Upgrades!$U$8,G385),1)*IF(Upgrades!$T$9="Solar Wind",POWER(Upgrades!$U$9,H385),1)*IF(Upgrades!$T$10="Solar Wind",POWER(Upgrades!$U$10,I385),1)*IF(Upgrades!$T$11="Solar Wind",POWER(Upgrades!$U$11,J385),1)*IF(Upgrades!$T$12="Solar Wind",POWER(Upgrades!$U$12,K385),1))+(IF(F385=0,0,(Upgrades!$J$7+F385*Upgrades!$K$7)*POWER(Upgrades!$L$7,F385)))*(IF(Upgrades!$T$6="Asteroid Belt",POWER(Upgrades!$U$6,E385),1)*IF(Upgrades!$T$8="Asteroid Belt",POWER(Upgrades!$U$8,G385),1)*IF(Upgrades!$T$9="Asteroid Belt",POWER(Upgrades!$U$9,H385),1)*IF(Upgrades!$T$10="Asteroid Belt",POWER(Upgrades!$U$10,I385),1)*IF(Upgrades!$T$11="Asteroid Belt",POWER(Upgrades!$U$11,J385),1)*IF(Upgrades!$T$12="Asteroid Belt",POWER(Upgrades!$U$12,K385),1))+(IF(G385=0,0,(Upgrades!$J$8+G385*Upgrades!$K$8)*POWER(Upgrades!$L$8,G385)))*(IF(Upgrades!$T$6="Stellar Coupling",POWER(Upgrades!$U$6,E385),1)*IF(Upgrades!$T$7="Stellar Coupling",POWER(Upgrades!$U$7,F385),1)*IF(Upgrades!$T$9="Stellar Coupling",POWER(Upgrades!$U$9,H385),1)*IF(Upgrades!$T$10="Stellar Coupling",POWER(Upgrades!$U$10,I385),1)*IF(Upgrades!$T$11="Stellar Coupling",POWER(Upgrades!$U$11,J385),1)*IF(Upgrades!$T$12="Stellar Coupling",POWER(Upgrades!$U$12,K385),1))+(IF(H385=0,0,(Upgrades!$J$9+H385*Upgrades!$K$9)*POWER(Upgrades!$L$9,H385)))*(IF(Upgrades!$T$6="Magnetosphere",POWER(Upgrades!$U$6,E385),1)*IF(Upgrades!$T$7="Magnetosphere",POWER(Upgrades!$U$7,F385),1)*IF(Upgrades!$T$8="Magnetosphere",POWER(Upgrades!$U$8,G385),1)*IF(Upgrades!$T$10="Magnetosphere",POWER(Upgrades!$U$10,I385),1)*IF(Upgrades!$T$11="Magnetosphere",POWER(Upgrades!$U$11,J385),1)*IF(Upgrades!$T$12="Magnetosphere",POWER(Upgrades!$U$12,K385),1))+(IF(I385=0,0,(Upgrades!$J$10+I385*Upgrades!$K$10)*POWER(Upgrades!$L$10,I385)))*(IF(Upgrades!$T$6="Orbital Resonance",POWER(Upgrades!$U$6,E385),1)*IF(Upgrades!$T$7="Orbital Resonance",POWER(Upgrades!$U$7,F385),1)*IF(Upgrades!$T$8="Orbital Resonance",POWER(Upgrades!$U$8,G385),1)*IF(Upgrades!$T$9="Orbital Resonance",POWER(Upgrades!$U$9,H385),1)*IF(Upgrades!$T$11="Orbital Resonance",POWER(Upgrades!$U$11,J385),1)*IF(Upgrades!$T$12="Orbital Resonance",POWER(Upgrades!$U$12,K385),1))+(IF(J385=0,0,(Upgrades!$J$11+J385*Upgrades!$K$11)*POWER(Upgrades!$L$11,J385)))*(IF(Upgrades!$T$6="Heliopause",POWER(Upgrades!$U$6,E385),1)*IF(Upgrades!$T$7="Heliopause",POWER(Upgrades!$U$7,F385),1)*IF(Upgrades!$T$8="Heliopause",POWER(Upgrades!$U$8,G385),1)*IF(Upgrades!$T$9="Heliopause",POWER(Upgrades!$U$9,H385),1)*IF(Upgrades!$T$10="Heliopause",POWER(Upgrades!$U$10,I385),1)*IF(Upgrades!$T$12="Heliopause",POWER(Upgrades!$U$12,K385),1))+(IF(K385=0,0,(Upgrades!$J$12+K385*Upgrades!$K$12)*POWER(Upgrades!$L$12,K385)))*(IF(Upgrades!$T$6="First Photons",POWER(Upgrades!$U$6,E385),1)*IF(Upgrades!$T$7="First Photons",POWER(Upgrades!$U$7,F385),1)*IF(Upgrades!$T$8="First Photons",POWER(Upgrades!$U$8,G385),1)*IF(Upgrades!$T$9="First Photons",POWER(Upgrades!$U$9,H385),1)*IF(Upgrades!$T$10="First Photons",POWER(Upgrades!$U$10,I385),1)*IF(Upgrades!$T$11="First Photons",POWER(Upgrades!$U$11,J385),1)))*POWER(Upgrades!$Q$6,E385)*POWER(Upgrades!$Q$7,F385)*POWER(Upgrades!$Q$8,G385)*POWER(Upgrades!$Q$9,H385)*POWER(Upgrades!$Q$10,I385)*POWER(Upgrades!$Q$11,J385)*POWER(Upgrades!$Q$12,K385)</f>
        <v>5.61</v>
      </c>
      <c r="N385" s="28" t="n">
        <f aca="false">((IF(E385=0,0,(Upgrades!$G$6+E385*Upgrades!$H$6)*POWER(Upgrades!$I$6,E385)))*(IF(Upgrades!$T$7="Solar Wind",POWER(Upgrades!$U$7,F385),1)*IF(Upgrades!$T$8="Solar Wind",POWER(Upgrades!$U$8,G385),1)*IF(Upgrades!$T$9="Solar Wind",POWER(Upgrades!$U$9,H385),1)*IF(Upgrades!$T$10="Solar Wind",POWER(Upgrades!$U$10,I385),1)*IF(Upgrades!$T$11="Solar Wind",POWER(Upgrades!$U$11,J385),1)*IF(Upgrades!$T$12="Solar Wind",POWER(Upgrades!$U$12,K385),1))+(IF(F385=0,0,(Upgrades!$G$7+F385*Upgrades!$H$7)*POWER(Upgrades!$I$7,F385)))*(IF(Upgrades!$T$6="Asteroid Belt",POWER(Upgrades!$U$6,E385),1)*IF(Upgrades!$T$8="Asteroid Belt",POWER(Upgrades!$U$8,G385),1)*IF(Upgrades!$T$9="Asteroid Belt",POWER(Upgrades!$U$9,H385),1)*IF(Upgrades!$T$10="Asteroid Belt",POWER(Upgrades!$U$10,I385),1)*IF(Upgrades!$T$11="Asteroid Belt",POWER(Upgrades!$U$11,J385),1)*IF(Upgrades!$T$12="Asteroid Belt",POWER(Upgrades!$U$12,K385),1))+(IF(G385=0,0,(Upgrades!$G$8+G385*Upgrades!$H$8)*POWER(Upgrades!$I$8,G385)))*(IF(Upgrades!$T$6="Stellar Coupling",POWER(Upgrades!$U$6,E385),1)*IF(Upgrades!$T$7="Stellar Coupling",POWER(Upgrades!$U$7,F385),1)*IF(Upgrades!$T$9="Stellar Coupling",POWER(Upgrades!$U$9,H385),1)*IF(Upgrades!$T$10="Stellar Coupling",POWER(Upgrades!$U$10,I385),1)*IF(Upgrades!$T$11="Stellar Coupling",POWER(Upgrades!$U$11,J385),1)*IF(Upgrades!$T$12="Stellar Coupling",POWER(Upgrades!$U$12,K385),1))+(IF(H385=0,0,(Upgrades!$G$9+H385*Upgrades!$H$9)*POWER(Upgrades!$I$9,H385)))*(IF(Upgrades!$T$6="Magnetosphere",POWER(Upgrades!$U$6,E385),1)*IF(Upgrades!$T$7="Magnetosphere",POWER(Upgrades!$U$7,F385),1)*IF(Upgrades!$T$8="Magnetosphere",POWER(Upgrades!$U$8,G385),1)*IF(Upgrades!$T$10="Magnetosphere",POWER(Upgrades!$U$10,I385),1)*IF(Upgrades!$T$11="Magnetosphere",POWER(Upgrades!$U$11,J385),1)*IF(Upgrades!$T$12="Magnetosphere",POWER(Upgrades!$U$12,K385),1))+(IF(I385=0,0,(Upgrades!$G$10+I385*Upgrades!$H$10)*POWER(Upgrades!$I$10,I385)))*(IF(Upgrades!$T$6="Orbital Resonance",POWER(Upgrades!$U$6,E385),1)*IF(Upgrades!$T$7="Orbital Resonance",POWER(Upgrades!$U$7,F385),1)*IF(Upgrades!$T$8="Orbital Resonance",POWER(Upgrades!$U$8,G385),1)*IF(Upgrades!$T$9="Orbital Resonance",POWER(Upgrades!$U$9,H385),1)*IF(Upgrades!$T$11="Orbital Resonance",POWER(Upgrades!$U$11,J385),1)*IF(Upgrades!$T$12="Orbital Resonance",POWER(Upgrades!$U$12,K385),1))+(IF(J385=0,0,(Upgrades!$G$11+J385*Upgrades!$H$11)*POWER(Upgrades!$I$11,J385)))*(IF(Upgrades!$T$6="Heliopause",POWER(Upgrades!$U$6,E385),1)*IF(Upgrades!$T$7="Heliopause",POWER(Upgrades!$U$7,F385),1)*IF(Upgrades!$T$8="Heliopause",POWER(Upgrades!$U$8,G385),1)*IF(Upgrades!$T$9="Heliopause",POWER(Upgrades!$U$9,H385),1)*IF(Upgrades!$T$10="Heliopause",POWER(Upgrades!$U$10,I385),1)*IF(Upgrades!$T$12="Heliopause",POWER(Upgrades!$U$12,K385),1))+(IF(K385=0,0,(Upgrades!$G$12+K385*Upgrades!$H$12)*POWER(Upgrades!$I$12,K385)))*(IF(Upgrades!$T$6="First Photons",POWER(Upgrades!$U$6,E385),1)*IF(Upgrades!$T$7="First Photons",POWER(Upgrades!$U$7,F385),1)*IF(Upgrades!$T$8="First Photons",POWER(Upgrades!$U$8,G385),1)*IF(Upgrades!$T$9="First Photons",POWER(Upgrades!$U$9,H385),1)*IF(Upgrades!$T$10="First Photons",POWER(Upgrades!$U$10,I385),1)*IF(Upgrades!$T$11="First Photons",POWER(Upgrades!$U$11,J385),1)))*POWER(Upgrades!$P$6,E385)*POWER(Upgrades!$P$7,F385)*POWER(Upgrades!$P$8,G385)*POWER(Upgrades!$P$9,H385)*POWER(Upgrades!$P$10,I385)*POWER(Upgrades!$P$11,J385)*POWER(Upgrades!$P$12,K385)</f>
        <v>11.2</v>
      </c>
      <c r="O385" s="28" t="n">
        <f aca="false">((IF(E385=0,0,(Upgrades!$M$6+E385*Upgrades!$N$6)*POWER(Upgrades!$O$6,E385)))*(IF(Upgrades!$T$7="Solar Wind",POWER(Upgrades!$U$7,F385),1)*IF(Upgrades!$T$8="Solar Wind",POWER(Upgrades!$U$8,G385),1)*IF(Upgrades!$T$9="Solar Wind",POWER(Upgrades!$U$9,H385),1)*IF(Upgrades!$T$10="Solar Wind",POWER(Upgrades!$U$10,I385),1)*IF(Upgrades!$T$11="Solar Wind",POWER(Upgrades!$U$11,J385),1)*IF(Upgrades!$T$12="Solar Wind",POWER(Upgrades!$U$12,K385),1))+(IF(F385=0,0,(Upgrades!$M$7+F385*Upgrades!$N$7)*POWER(Upgrades!$O$7,F385)))*(IF(Upgrades!$T$6="Asteroid Belt",POWER(Upgrades!$U$6,E385),1)*IF(Upgrades!$T$8="Asteroid Belt",POWER(Upgrades!$U$8,G385),1)*IF(Upgrades!$T$9="Asteroid Belt",POWER(Upgrades!$U$9,H385),1)*IF(Upgrades!$T$10="Asteroid Belt",POWER(Upgrades!$U$10,I385),1)*IF(Upgrades!$T$11="Asteroid Belt",POWER(Upgrades!$U$11,J385),1)*IF(Upgrades!$T$12="Asteroid Belt",POWER(Upgrades!$U$12,K385),1))+(IF(G385=0,0,(Upgrades!$M$8+G385*Upgrades!$N$8)*POWER(Upgrades!$O$8,G385)))*(IF(Upgrades!$T$6="Stellar Coupling",POWER(Upgrades!$U$6,E385),1)*IF(Upgrades!$T$7="Stellar Coupling",POWER(Upgrades!$U$7,F385),1)*IF(Upgrades!$T$9="Stellar Coupling",POWER(Upgrades!$U$9,H385),1)*IF(Upgrades!$T$10="Stellar Coupling",POWER(Upgrades!$U$10,I385),1)*IF(Upgrades!$T$11="Stellar Coupling",POWER(Upgrades!$U$11,J385),1)*IF(Upgrades!$T$12="Stellar Coupling",POWER(Upgrades!$U$12,K385),1))+(IF(H385=0,0,(Upgrades!$M$9+H385*Upgrades!$N$9)*POWER(Upgrades!$O$9,H385)))*(IF(Upgrades!$T$6="Magnetosphere",POWER(Upgrades!$U$6,E385),1)*IF(Upgrades!$T$7="Magnetosphere",POWER(Upgrades!$U$7,F385),1)*IF(Upgrades!$T$8="Magnetosphere",POWER(Upgrades!$U$8,G385),1)*IF(Upgrades!$T$10="Magnetosphere",POWER(Upgrades!$U$10,I385),1)*IF(Upgrades!$T$11="Magnetosphere",POWER(Upgrades!$U$11,J385),1)*IF(Upgrades!$T$12="Magnetosphere",POWER(Upgrades!$U$12,K385),1))+(IF(I385=0,0,(Upgrades!$M$10+I385*Upgrades!$N$10)*POWER(Upgrades!$O$10,I385)))*(IF(Upgrades!$T$6="Orbital Resonance",POWER(Upgrades!$U$6,E385),1)*IF(Upgrades!$T$7="Orbital Resonance",POWER(Upgrades!$U$7,F385),1)*IF(Upgrades!$T$8="Orbital Resonance",POWER(Upgrades!$U$8,G385),1)*IF(Upgrades!$T$9="Orbital Resonance",POWER(Upgrades!$U$9,H385),1)*IF(Upgrades!$T$11="Orbital Resonance",POWER(Upgrades!$U$11,J385),1)*IF(Upgrades!$T$12="Orbital Resonance",POWER(Upgrades!$U$12,K385),1))+(IF(J385=0,0,(Upgrades!$M$11+J385*Upgrades!$N$11)*POWER(Upgrades!$O$11,J385)))*(IF(Upgrades!$T$6="Heliopause",POWER(Upgrades!$U$6,E385),1)*IF(Upgrades!$T$7="Heliopause",POWER(Upgrades!$U$7,F385),1)*IF(Upgrades!$T$8="Heliopause",POWER(Upgrades!$U$8,G385),1)*IF(Upgrades!$T$9="Heliopause",POWER(Upgrades!$U$9,H385),1)*IF(Upgrades!$T$10="Heliopause",POWER(Upgrades!$U$10,I385),1)*IF(Upgrades!$T$12="Heliopause",POWER(Upgrades!$U$12,K385),1))+(IF(K385=0,0,(Upgrades!$M$12+K385*Upgrades!$N$12)*POWER(Upgrades!$O$12,K385)))*(IF(Upgrades!$T$6="First Photons",POWER(Upgrades!$U$6,E385),1)*IF(Upgrades!$T$7="First Photons",POWER(Upgrades!$U$7,F385),1)*IF(Upgrades!$T$8="First Photons",POWER(Upgrades!$U$8,G385),1)*IF(Upgrades!$T$9="First Photons",POWER(Upgrades!$U$9,H385),1)*IF(Upgrades!$T$10="First Photons",POWER(Upgrades!$U$10,I385),1)*IF(Upgrades!$T$11="First Photons",POWER(Upgrades!$U$11,J385),1)))*POWER(Upgrades!$R$6,E385)*POWER(Upgrades!$R$7,F385)*POWER(Upgrades!$R$8,G385)*POWER(Upgrades!$R$9,H385)*POWER(Upgrades!$R$10,I385)*POWER(Upgrades!$R$11,J385)*POWER(Upgrades!$R$12,K385)</f>
        <v>0</v>
      </c>
      <c r="P385" s="27" t="n">
        <f aca="false">IF(L385=1,0,M385*Parameters!$B$10/60*Parameters!$B$11*10)</f>
        <v>0</v>
      </c>
      <c r="Q385" s="27" t="n">
        <f aca="false">IF(L385=1,0,O385*M385*10)</f>
        <v>0</v>
      </c>
      <c r="R385" s="27" t="n">
        <f aca="false">IF(L385=1,0,N385*10)</f>
        <v>0</v>
      </c>
      <c r="S385" s="27" t="n">
        <f aca="false">P385+Q385+R385</f>
        <v>0</v>
      </c>
      <c r="T385" s="21" t="n">
        <f aca="false">C385+S385</f>
        <v>18.6730249835055</v>
      </c>
      <c r="U385" s="34" t="str">
        <f aca="false">AX385</f>
        <v/>
      </c>
      <c r="V385" s="21" t="n">
        <f aca="false">IF(U385="",0,IF(U385="transition",0,IF(U385="SW",AG385,IF(U385="AB",AH385,IF(U385="SC",AI385,IF(U385="Mag",AJ385,IF(U385="OR",AK385,IF(U385="HP",AL385,IF(U385="FP",AM385,0)))))))))</f>
        <v>0</v>
      </c>
      <c r="W385" s="27" t="n">
        <f aca="false">IF(U385="OR",Upgrades!$F$10,IF(U385="HP",Upgrades!$F$11,IF(U385="transition",-Parameters!$B$18,0)))</f>
        <v>0</v>
      </c>
      <c r="X385" s="21" t="n">
        <f aca="false">T385-V385</f>
        <v>18.6730249835055</v>
      </c>
      <c r="Y385" s="30" t="n">
        <f aca="false">M385*Parameters!$B$10/60*Parameters!$B$11+O385*M385+N385</f>
        <v>20.55</v>
      </c>
      <c r="Z385" s="35" t="str">
        <f aca="false">IF(U385="transition","→ Tier 2 (Stellar Neighborhood)",IF(U385="FP","First Photons — light begins, system quickens",IF(U385="HP","Heliopause acquired",IF(U385="OR","Orbital Resonance — passive multiplier active",IF(AND(AO385=1,L385=0,AN385&lt;&gt;1),"Cohesion ready (waiting on completionist upgrades)","")))))</f>
        <v/>
      </c>
      <c r="AA385" s="27" t="n">
        <f aca="false">(IF(E385=0,0,(Upgrades!$G$6+E385*Upgrades!$H$6)*POWER(Upgrades!$I$6,E385)))*(IF(Upgrades!$T$7="Solar Wind",POWER(Upgrades!$U$7,F385),1)*IF(Upgrades!$T$8="Solar Wind",POWER(Upgrades!$U$8,G385),1)*IF(Upgrades!$T$9="Solar Wind",POWER(Upgrades!$U$9,H385),1)*IF(Upgrades!$T$10="Solar Wind",POWER(Upgrades!$U$10,I385),1)*IF(Upgrades!$T$11="Solar Wind",POWER(Upgrades!$U$11,J385),1)*IF(Upgrades!$T$12="Solar Wind",POWER(Upgrades!$U$12,K385),1))*POWER(Upgrades!$P$6,E385)*POWER(Upgrades!$P$7,F385)*POWER(Upgrades!$P$8,G385)*POWER(Upgrades!$P$9,H385)*POWER(Upgrades!$P$10,I385)*POWER(Upgrades!$P$11,J385)*POWER(Upgrades!$P$12,K385)*60</f>
        <v>72</v>
      </c>
      <c r="AB385" s="27" t="n">
        <f aca="false">(IF(F385=0,0,(Upgrades!$G$7+F385*Upgrades!$H$7)*POWER(Upgrades!$I$7,F385)))*(IF(Upgrades!$T$6="Asteroid Belt",POWER(Upgrades!$U$6,E385),1)*IF(Upgrades!$T$8="Asteroid Belt",POWER(Upgrades!$U$8,G385),1)*IF(Upgrades!$T$9="Asteroid Belt",POWER(Upgrades!$U$9,H385),1)*IF(Upgrades!$T$10="Asteroid Belt",POWER(Upgrades!$U$10,I385),1)*IF(Upgrades!$T$11="Asteroid Belt",POWER(Upgrades!$U$11,J385),1)*IF(Upgrades!$T$12="Asteroid Belt",POWER(Upgrades!$U$12,K385),1))*POWER(Upgrades!$P$6,E385)*POWER(Upgrades!$P$7,F385)*POWER(Upgrades!$P$8,G385)*POWER(Upgrades!$P$9,H385)*POWER(Upgrades!$P$10,I385)*POWER(Upgrades!$P$11,J385)*POWER(Upgrades!$P$12,K385)*60</f>
        <v>150</v>
      </c>
      <c r="AC385" s="27" t="n">
        <f aca="false">(IF(G385=0,0,(Upgrades!$J$8+G385*Upgrades!$K$8)*POWER(Upgrades!$L$8,G385)))*(IF(Upgrades!$T$6="Stellar Coupling",POWER(Upgrades!$U$6,E385),1)*IF(Upgrades!$T$7="Stellar Coupling",POWER(Upgrades!$U$7,F385),1)*IF(Upgrades!$T$9="Stellar Coupling",POWER(Upgrades!$U$9,H385),1)*IF(Upgrades!$T$10="Stellar Coupling",POWER(Upgrades!$U$10,I385),1)*IF(Upgrades!$T$11="Stellar Coupling",POWER(Upgrades!$U$11,J385),1)*IF(Upgrades!$T$12="Stellar Coupling",POWER(Upgrades!$U$12,K385),1))*POWER(Upgrades!$Q$6,E385)*POWER(Upgrades!$Q$7,F385)*POWER(Upgrades!$Q$8,G385)*POWER(Upgrades!$Q$9,H385)*POWER(Upgrades!$Q$10,I385)*POWER(Upgrades!$Q$11,J385)*POWER(Upgrades!$Q$12,K385)*Parameters!$B$10*Parameters!$B$11</f>
        <v>441</v>
      </c>
      <c r="AD385" s="27" t="n">
        <f aca="false">(IF(H385=0,0,(Upgrades!$G$9+H385*Upgrades!$H$9)*POWER(Upgrades!$I$9,H385)))*(IF(Upgrades!$T$6="Magnetosphere",POWER(Upgrades!$U$6,E385),1)*IF(Upgrades!$T$7="Magnetosphere",POWER(Upgrades!$U$7,F385),1)*IF(Upgrades!$T$8="Magnetosphere",POWER(Upgrades!$U$8,G385),1)*IF(Upgrades!$T$10="Magnetosphere",POWER(Upgrades!$U$10,I385),1)*IF(Upgrades!$T$11="Magnetosphere",POWER(Upgrades!$U$11,J385),1)*IF(Upgrades!$T$12="Magnetosphere",POWER(Upgrades!$U$12,K385),1))*POWER(Upgrades!$P$6,E385)*POWER(Upgrades!$P$7,F385)*POWER(Upgrades!$P$8,G385)*POWER(Upgrades!$P$9,H385)*POWER(Upgrades!$P$10,I385)*POWER(Upgrades!$P$11,J385)*POWER(Upgrades!$P$12,K385)*60</f>
        <v>375</v>
      </c>
      <c r="AE385" s="27" t="n">
        <f aca="false">(IF(K385=0,0,(Upgrades!$G$12+K385*Upgrades!$H$12)*POWER(Upgrades!$I$12,K385)))*(IF(Upgrades!$T$6="First Photons",POWER(Upgrades!$U$6,E385),1)*IF(Upgrades!$T$7="First Photons",POWER(Upgrades!$U$7,F385),1)*IF(Upgrades!$T$8="First Photons",POWER(Upgrades!$U$8,G385),1)*IF(Upgrades!$T$9="First Photons",POWER(Upgrades!$U$9,H385),1)*IF(Upgrades!$T$10="First Photons",POWER(Upgrades!$U$10,I385),1)*IF(Upgrades!$T$11="First Photons",POWER(Upgrades!$U$11,J385),1))*POWER(Upgrades!$P$6,E385)*POWER(Upgrades!$P$7,F385)*POWER(Upgrades!$P$8,G385)*POWER(Upgrades!$P$9,H385)*POWER(Upgrades!$P$10,I385)*POWER(Upgrades!$P$11,J385)*POWER(Upgrades!$P$12,K385)*60</f>
        <v>75</v>
      </c>
      <c r="AF385" s="27" t="n">
        <f aca="false">Parameters!$B$9*POWER(Upgrades!$Q$6,E385)*POWER(Upgrades!$Q$7,F385)*POWER(Upgrades!$Q$8,G385)*POWER(Upgrades!$Q$9,H385)*POWER(Upgrades!$Q$10,I385)*POWER(Upgrades!$Q$11,J385)*POWER(Upgrades!$Q$12,K385)*(Parameters!$B$10*Parameters!$B$11+O385*60)</f>
        <v>120</v>
      </c>
      <c r="AG385" s="21" t="n">
        <f aca="false">IF(E385&gt;=Upgrades!$E$6,"",Upgrades!$C$6*POWER(Upgrades!$D$6,E385))</f>
        <v>37.4517507383159</v>
      </c>
      <c r="AH385" s="21" t="n">
        <f aca="false">IF(F385&gt;=Upgrades!$E$7,"",Upgrades!$C$7*POWER(Upgrades!$D$7,F385))</f>
        <v>80.9111547141581</v>
      </c>
      <c r="AI385" s="21" t="n">
        <f aca="false">IF(G385&gt;=Upgrades!$E$8,"",Upgrades!$C$8*POWER(Upgrades!$D$8,G385))</f>
        <v>231.9097088</v>
      </c>
      <c r="AJ385" s="21" t="str">
        <f aca="false">IF(H385&gt;=Upgrades!$E$9,"",Upgrades!$C$9*POWER(Upgrades!$D$9,H385))</f>
        <v/>
      </c>
      <c r="AK385" s="21" t="str">
        <f aca="false">IF(I385&gt;=Upgrades!$E$10,"",Upgrades!$C$10*POWER(Upgrades!$D$10,I385))</f>
        <v/>
      </c>
      <c r="AL385" s="21" t="str">
        <f aca="false">IF(J385&gt;=Upgrades!$E$11,"",Upgrades!$C$11*POWER(Upgrades!$D$11,J385))</f>
        <v/>
      </c>
      <c r="AM385" s="21" t="str">
        <f aca="false">IF(K385&gt;=Upgrades!$E$12,"",Upgrades!$C$12*POWER(Upgrades!$D$12,K385))</f>
        <v/>
      </c>
      <c r="AN385" s="26" t="str">
        <f aca="false">IF(AND(D385&gt;=Parameters!$B$18,(H385&gt;=Upgrades!$E$9)*(K385&gt;=Upgrades!$E$12)=1,L385=0),1,"")</f>
        <v/>
      </c>
      <c r="AO385" s="26" t="str">
        <f aca="false">IF(AND(D385&gt;=Parameters!$B$18,L385=0),1,"")</f>
        <v/>
      </c>
      <c r="AP385" s="21" t="n">
        <f aca="false">MIN(IF(ISNUMBER(AK385),AK385,9000000000000000),IF(ISNUMBER(AL385),AL385,9000000000000000),IF(ISNUMBER(AM385),AM385,9000000000000000))</f>
        <v>9000000000000000</v>
      </c>
      <c r="AQ385" s="21" t="n">
        <f aca="false">MIN(IF(ISNUMBER(AG385),AG385,9000000000000000),IF(ISNUMBER(AH385),AH385,9000000000000000),IF(ISNUMBER(AI385),AI385,9000000000000000),IF(ISNUMBER(AJ385),AJ385,9000000000000000))</f>
        <v>37.4517507383159</v>
      </c>
      <c r="AR385" s="32" t="b">
        <f aca="false">IF(AW385&gt;Parameters!$B$21*(MAX(IF(AND(NOT(AND(AO385=1,AN385&lt;&gt;1)),ISNUMBER(AG385),AG385&lt;=T385),AS385,0),IF(AND(NOT(AND(AO385=1,AN385&lt;&gt;1)),ISNUMBER(AH385),AH385&lt;=T385),AT385,0),IF(AND(NOT(AND(AO385=1,AN385&lt;&gt;1)),ISNUMBER(AI385),AI385&lt;=T385),AU385,0),IF(AND(ISNUMBER(AJ385),AJ385&lt;=T385),AV385,0))),TRUE(),FALSE())</f>
        <v>1</v>
      </c>
      <c r="AS385" s="33" t="n">
        <f aca="false">IFERROR(Upgrades!$H$6*(POWER(Upgrades!$P$6,E385)*POWER(Upgrades!$P$7,F385)*POWER(Upgrades!$P$8,G385)*POWER(Upgrades!$P$9,H385)*POWER(Upgrades!$P$10,I385)*POWER(Upgrades!$P$11,J385)*POWER(Upgrades!$P$12,K385))*(IF(Upgrades!$T$7="Solar Wind",POWER(Upgrades!$U$7,F385),1)*IF(Upgrades!$T$8="Solar Wind",POWER(Upgrades!$U$8,G385),1)*IF(Upgrades!$T$9="Solar Wind",POWER(Upgrades!$U$9,H385),1)*IF(Upgrades!$T$10="Solar Wind",POWER(Upgrades!$U$10,I385),1)*IF(Upgrades!$T$11="Solar Wind",POWER(Upgrades!$U$11,J385),1)*IF(Upgrades!$T$12="Solar Wind",POWER(Upgrades!$U$12,K385),1))/AG385,0)</f>
        <v>0.0026701021455238</v>
      </c>
      <c r="AT385" s="33" t="n">
        <f aca="false">IFERROR(Upgrades!$H$7*(POWER(Upgrades!$P$6,E385)*POWER(Upgrades!$P$7,F385)*POWER(Upgrades!$P$8,G385)*POWER(Upgrades!$P$9,H385)*POWER(Upgrades!$P$10,I385)*POWER(Upgrades!$P$11,J385)*POWER(Upgrades!$P$12,K385))*(IF(Upgrades!$T$6="Asteroid Belt",POWER(Upgrades!$U$6,E385),1)*IF(Upgrades!$T$8="Asteroid Belt",POWER(Upgrades!$U$8,G385),1)*IF(Upgrades!$T$9="Asteroid Belt",POWER(Upgrades!$U$9,H385),1)*IF(Upgrades!$T$10="Asteroid Belt",POWER(Upgrades!$U$10,I385),1)*IF(Upgrades!$T$11="Asteroid Belt",POWER(Upgrades!$U$11,J385),1)*IF(Upgrades!$T$12="Asteroid Belt",POWER(Upgrades!$U$12,K385),1))/AH385,0)</f>
        <v>0.00308980882652332</v>
      </c>
      <c r="AU385" s="33" t="n">
        <f aca="false">IFERROR(Upgrades!$K$8*(POWER(Upgrades!$Q$6,E385)*POWER(Upgrades!$Q$7,F385)*POWER(Upgrades!$Q$8,G385)*POWER(Upgrades!$Q$9,H385)*POWER(Upgrades!$Q$10,I385)*POWER(Upgrades!$Q$11,J385)*POWER(Upgrades!$Q$12,K385))*(IF(Upgrades!$T$6="Stellar Coupling",POWER(Upgrades!$U$6,E385),1)*IF(Upgrades!$T$7="Stellar Coupling",POWER(Upgrades!$U$7,F385),1)*IF(Upgrades!$T$9="Stellar Coupling",POWER(Upgrades!$U$9,H385),1)*IF(Upgrades!$T$10="Stellar Coupling",POWER(Upgrades!$U$10,I385),1)*IF(Upgrades!$T$11="Stellar Coupling",POWER(Upgrades!$U$11,J385),1)*IF(Upgrades!$T$12="Stellar Coupling",POWER(Upgrades!$U$12,K385),1))*Parameters!$B$10*Parameters!$B$11/60/AI385,0)</f>
        <v>0.00452762415783776</v>
      </c>
      <c r="AV385" s="33" t="n">
        <f aca="false">IFERROR(Upgrades!$H$9*(POWER(Upgrades!$P$6,E385)*POWER(Upgrades!$P$7,F385)*POWER(Upgrades!$P$8,G385)*POWER(Upgrades!$P$9,H385)*POWER(Upgrades!$P$10,I385)*POWER(Upgrades!$P$11,J385)*POWER(Upgrades!$P$12,K385))*(IF(Upgrades!$T$6="Magnetosphere",POWER(Upgrades!$U$6,E385),1)*IF(Upgrades!$T$7="Magnetosphere",POWER(Upgrades!$U$7,F385),1)*IF(Upgrades!$T$8="Magnetosphere",POWER(Upgrades!$U$8,G385),1)*IF(Upgrades!$T$10="Magnetosphere",POWER(Upgrades!$U$10,I385),1)*IF(Upgrades!$T$11="Magnetosphere",POWER(Upgrades!$U$11,J385),1)*IF(Upgrades!$T$12="Magnetosphere",POWER(Upgrades!$U$12,K385),1))/AJ385,0)</f>
        <v>0</v>
      </c>
      <c r="AW385" s="33" t="n">
        <f aca="false">MAX(IF(I385&gt;0,0,IFERROR(0.25*N385/Upgrades!$C$10,0)),IF(J385&gt;0,0,IFERROR(0.5*((IF(G385=0,0,(Upgrades!$J$8+G385*Upgrades!$K$8)*POWER(Upgrades!$L$8,G385)))*(IF(Upgrades!$T$6="Stellar Coupling",POWER(Upgrades!$U$6,E385),1)*IF(Upgrades!$T$7="Stellar Coupling",POWER(Upgrades!$U$7,F385),1)*IF(Upgrades!$T$9="Stellar Coupling",POWER(Upgrades!$U$9,H385),1)*IF(Upgrades!$T$10="Stellar Coupling",POWER(Upgrades!$U$10,I385),1)*IF(Upgrades!$T$11="Stellar Coupling",POWER(Upgrades!$U$11,J385),1)*IF(Upgrades!$T$12="Stellar Coupling",POWER(Upgrades!$U$12,K385),1))*(POWER(Upgrades!$Q$6,E385)*POWER(Upgrades!$Q$7,F385)*POWER(Upgrades!$Q$8,G385)*POWER(Upgrades!$Q$9,H385)*POWER(Upgrades!$Q$10,I385)*POWER(Upgrades!$Q$11,J385)*POWER(Upgrades!$Q$12,K385))*Parameters!$B$10*Parameters!$B$11/60)/Upgrades!$C$11,0)),IF(K385&gt;0,0,IFERROR((1*(POWER(Upgrades!$P$6,E385)*POWER(Upgrades!$P$7,F385)*POWER(Upgrades!$P$8,G385)*POWER(Upgrades!$P$9,H385)*POWER(Upgrades!$P$10,I385)*POWER(Upgrades!$P$11,J385)*POWER(Upgrades!$P$12,K385))+0.2*M385*Parameters!$B$10*Parameters!$B$11/60)/Upgrades!$C$12,0)),IF(AND(ISNUMBER(AG385),AG385&gt;T385),AS385,0),IF(AND(ISNUMBER(AH385),AH385&gt;T385),AT385,0),IF(AND(ISNUMBER(AI385),AI385&gt;T385),AU385,0),IF(AND(ISNUMBER(AJ385),AJ385&gt;T385),AV385,0))</f>
        <v>0.00452762415783776</v>
      </c>
      <c r="AX385" s="29" t="str">
        <f aca="false">IF(AN385=1,"transition",IF(MIN(IF(AND(I385=0,ISNUMBER(AK385),AK385&lt;=T385),AK385,9000000000000000),IF(AND(J385=0,ISNUMBER(AL385),AL385&lt;=T385),AL385,9000000000000000),IF(AND(K385=0,ISNUMBER(AM385),AM385&lt;=T385),AM385,9000000000000000))&lt;9000000000000000,IF(AND(AND(I385=0,ISNUMBER(AK385),AK385&lt;=T385),AK385=MIN(IF(AND(I385=0,ISNUMBER(AK385),AK385&lt;=T385),AK385,9000000000000000),IF(AND(J385=0,ISNUMBER(AL385),AL385&lt;=T385),AL385,9000000000000000),IF(AND(K385=0,ISNUMBER(AM385),AM385&lt;=T385),AM385,9000000000000000))),"OR",IF(AND(AND(J385=0,ISNUMBER(AL385),AL385&lt;=T385),AL385=MIN(IF(AND(I385=0,ISNUMBER(AK385),AK385&lt;=T385),AK385,9000000000000000),IF(AND(J385=0,ISNUMBER(AL385),AL385&lt;=T385),AL385,9000000000000000),IF(AND(K385=0,ISNUMBER(AM385),AM385&lt;=T385),AM385,9000000000000000))),"HP","FP")),IF(AR385=TRUE(),"",IF(MAX(IF(AND(NOT(AND(AO385=1,AN385&lt;&gt;1)),ISNUMBER(AG385),AG385&lt;=T385),AS385,0),IF(AND(NOT(AND(AO385=1,AN385&lt;&gt;1)),ISNUMBER(AH385),AH385&lt;=T385),AT385,0),IF(AND(NOT(AND(AO385=1,AN385&lt;&gt;1)),ISNUMBER(AI385),AI385&lt;=T385),AU385,0),IF(AND(ISNUMBER(AJ385),AJ385&lt;=T385),AV385,0))&lt;=0,"",IF(AND(IF(AND(NOT(AND(AO385=1,AN385&lt;&gt;1)),ISNUMBER(AG385),AG385&lt;=T385),AS385,0)&gt;0,IF(AND(NOT(AND(AO385=1,AN385&lt;&gt;1)),ISNUMBER(AG385),AG385&lt;=T385),AS385,0)=MAX(IF(AND(NOT(AND(AO385=1,AN385&lt;&gt;1)),ISNUMBER(AG385),AG385&lt;=T385),AS385,0),IF(AND(NOT(AND(AO385=1,AN385&lt;&gt;1)),ISNUMBER(AH385),AH385&lt;=T385),AT385,0),IF(AND(NOT(AND(AO385=1,AN385&lt;&gt;1)),ISNUMBER(AI385),AI385&lt;=T385),AU385,0),IF(AND(ISNUMBER(AJ385),AJ385&lt;=T385),AV385,0))),"SW",IF(AND(IF(AND(NOT(AND(AO385=1,AN385&lt;&gt;1)),ISNUMBER(AH385),AH385&lt;=T385),AT385,0)&gt;0,IF(AND(NOT(AND(AO385=1,AN385&lt;&gt;1)),ISNUMBER(AH385),AH385&lt;=T385),AT385,0)=MAX(IF(AND(NOT(AND(AO385=1,AN385&lt;&gt;1)),ISNUMBER(AG385),AG385&lt;=T385),AS385,0),IF(AND(NOT(AND(AO385=1,AN385&lt;&gt;1)),ISNUMBER(AH385),AH385&lt;=T385),AT385,0),IF(AND(NOT(AND(AO385=1,AN385&lt;&gt;1)),ISNUMBER(AI385),AI385&lt;=T385),AU385,0),IF(AND(ISNUMBER(AJ385),AJ385&lt;=T385),AV385,0))),"AB",IF(AND(IF(AND(NOT(AND(AO385=1,AN385&lt;&gt;1)),ISNUMBER(AI385),AI385&lt;=T385),AU385,0)&gt;0,IF(AND(NOT(AND(AO385=1,AN385&lt;&gt;1)),ISNUMBER(AI385),AI385&lt;=T385),AU385,0)=MAX(IF(AND(NOT(AND(AO385=1,AN385&lt;&gt;1)),ISNUMBER(AG385),AG385&lt;=T385),AS385,0),IF(AND(NOT(AND(AO385=1,AN385&lt;&gt;1)),ISNUMBER(AH385),AH385&lt;=T385),AT385,0),IF(AND(NOT(AND(AO385=1,AN385&lt;&gt;1)),ISNUMBER(AI385),AI385&lt;=T385),AU385,0),IF(AND(ISNUMBER(AJ385),AJ385&lt;=T385),AV385,0))),"SC","Mag")))))))</f>
        <v/>
      </c>
    </row>
    <row r="386" customFormat="false" ht="15" hidden="false" customHeight="false" outlineLevel="0" collapsed="false">
      <c r="A386" s="26" t="n">
        <v>381</v>
      </c>
      <c r="B386" s="27" t="n">
        <f aca="false">A386*10/60</f>
        <v>63.5</v>
      </c>
      <c r="C386" s="21" t="n">
        <f aca="false">X385</f>
        <v>18.6730249835055</v>
      </c>
      <c r="D386" s="27" t="n">
        <f aca="false">D385+W385</f>
        <v>0</v>
      </c>
      <c r="E386" s="26" t="n">
        <f aca="false">E385+IF(U385="SW",1,0)</f>
        <v>12</v>
      </c>
      <c r="F386" s="26" t="n">
        <f aca="false">F385+IF(U385="AB",1,0)</f>
        <v>10</v>
      </c>
      <c r="G386" s="26" t="n">
        <f aca="false">G385+IF(U385="SC",1,0)</f>
        <v>7</v>
      </c>
      <c r="H386" s="26" t="n">
        <f aca="false">H385+IF(U385="Mag",1,0)</f>
        <v>5</v>
      </c>
      <c r="I386" s="26" t="n">
        <f aca="false">MAX(I385,IF(U385="OR",1,0))</f>
        <v>1</v>
      </c>
      <c r="J386" s="26" t="n">
        <f aca="false">MAX(J385,IF(U385="HP",1,0))</f>
        <v>1</v>
      </c>
      <c r="K386" s="26" t="n">
        <f aca="false">MAX(K385,IF(U385="FP",1,0))</f>
        <v>1</v>
      </c>
      <c r="L386" s="26" t="n">
        <f aca="false">MAX(L385,IF(U385="transition",1,0))</f>
        <v>1</v>
      </c>
      <c r="M386" s="28" t="n">
        <f aca="false">(Parameters!$B$9+(IF(E386=0,0,(Upgrades!$J$6+E386*Upgrades!$K$6)*POWER(Upgrades!$L$6,E386)))*(IF(Upgrades!$T$7="Solar Wind",POWER(Upgrades!$U$7,F386),1)*IF(Upgrades!$T$8="Solar Wind",POWER(Upgrades!$U$8,G386),1)*IF(Upgrades!$T$9="Solar Wind",POWER(Upgrades!$U$9,H386),1)*IF(Upgrades!$T$10="Solar Wind",POWER(Upgrades!$U$10,I386),1)*IF(Upgrades!$T$11="Solar Wind",POWER(Upgrades!$U$11,J386),1)*IF(Upgrades!$T$12="Solar Wind",POWER(Upgrades!$U$12,K386),1))+(IF(F386=0,0,(Upgrades!$J$7+F386*Upgrades!$K$7)*POWER(Upgrades!$L$7,F386)))*(IF(Upgrades!$T$6="Asteroid Belt",POWER(Upgrades!$U$6,E386),1)*IF(Upgrades!$T$8="Asteroid Belt",POWER(Upgrades!$U$8,G386),1)*IF(Upgrades!$T$9="Asteroid Belt",POWER(Upgrades!$U$9,H386),1)*IF(Upgrades!$T$10="Asteroid Belt",POWER(Upgrades!$U$10,I386),1)*IF(Upgrades!$T$11="Asteroid Belt",POWER(Upgrades!$U$11,J386),1)*IF(Upgrades!$T$12="Asteroid Belt",POWER(Upgrades!$U$12,K386),1))+(IF(G386=0,0,(Upgrades!$J$8+G386*Upgrades!$K$8)*POWER(Upgrades!$L$8,G386)))*(IF(Upgrades!$T$6="Stellar Coupling",POWER(Upgrades!$U$6,E386),1)*IF(Upgrades!$T$7="Stellar Coupling",POWER(Upgrades!$U$7,F386),1)*IF(Upgrades!$T$9="Stellar Coupling",POWER(Upgrades!$U$9,H386),1)*IF(Upgrades!$T$10="Stellar Coupling",POWER(Upgrades!$U$10,I386),1)*IF(Upgrades!$T$11="Stellar Coupling",POWER(Upgrades!$U$11,J386),1)*IF(Upgrades!$T$12="Stellar Coupling",POWER(Upgrades!$U$12,K386),1))+(IF(H386=0,0,(Upgrades!$J$9+H386*Upgrades!$K$9)*POWER(Upgrades!$L$9,H386)))*(IF(Upgrades!$T$6="Magnetosphere",POWER(Upgrades!$U$6,E386),1)*IF(Upgrades!$T$7="Magnetosphere",POWER(Upgrades!$U$7,F386),1)*IF(Upgrades!$T$8="Magnetosphere",POWER(Upgrades!$U$8,G386),1)*IF(Upgrades!$T$10="Magnetosphere",POWER(Upgrades!$U$10,I386),1)*IF(Upgrades!$T$11="Magnetosphere",POWER(Upgrades!$U$11,J386),1)*IF(Upgrades!$T$12="Magnetosphere",POWER(Upgrades!$U$12,K386),1))+(IF(I386=0,0,(Upgrades!$J$10+I386*Upgrades!$K$10)*POWER(Upgrades!$L$10,I386)))*(IF(Upgrades!$T$6="Orbital Resonance",POWER(Upgrades!$U$6,E386),1)*IF(Upgrades!$T$7="Orbital Resonance",POWER(Upgrades!$U$7,F386),1)*IF(Upgrades!$T$8="Orbital Resonance",POWER(Upgrades!$U$8,G386),1)*IF(Upgrades!$T$9="Orbital Resonance",POWER(Upgrades!$U$9,H386),1)*IF(Upgrades!$T$11="Orbital Resonance",POWER(Upgrades!$U$11,J386),1)*IF(Upgrades!$T$12="Orbital Resonance",POWER(Upgrades!$U$12,K386),1))+(IF(J386=0,0,(Upgrades!$J$11+J386*Upgrades!$K$11)*POWER(Upgrades!$L$11,J386)))*(IF(Upgrades!$T$6="Heliopause",POWER(Upgrades!$U$6,E386),1)*IF(Upgrades!$T$7="Heliopause",POWER(Upgrades!$U$7,F386),1)*IF(Upgrades!$T$8="Heliopause",POWER(Upgrades!$U$8,G386),1)*IF(Upgrades!$T$9="Heliopause",POWER(Upgrades!$U$9,H386),1)*IF(Upgrades!$T$10="Heliopause",POWER(Upgrades!$U$10,I386),1)*IF(Upgrades!$T$12="Heliopause",POWER(Upgrades!$U$12,K386),1))+(IF(K386=0,0,(Upgrades!$J$12+K386*Upgrades!$K$12)*POWER(Upgrades!$L$12,K386)))*(IF(Upgrades!$T$6="First Photons",POWER(Upgrades!$U$6,E386),1)*IF(Upgrades!$T$7="First Photons",POWER(Upgrades!$U$7,F386),1)*IF(Upgrades!$T$8="First Photons",POWER(Upgrades!$U$8,G386),1)*IF(Upgrades!$T$9="First Photons",POWER(Upgrades!$U$9,H386),1)*IF(Upgrades!$T$10="First Photons",POWER(Upgrades!$U$10,I386),1)*IF(Upgrades!$T$11="First Photons",POWER(Upgrades!$U$11,J386),1)))*POWER(Upgrades!$Q$6,E386)*POWER(Upgrades!$Q$7,F386)*POWER(Upgrades!$Q$8,G386)*POWER(Upgrades!$Q$9,H386)*POWER(Upgrades!$Q$10,I386)*POWER(Upgrades!$Q$11,J386)*POWER(Upgrades!$Q$12,K386)</f>
        <v>5.61</v>
      </c>
      <c r="N386" s="28" t="n">
        <f aca="false">((IF(E386=0,0,(Upgrades!$G$6+E386*Upgrades!$H$6)*POWER(Upgrades!$I$6,E386)))*(IF(Upgrades!$T$7="Solar Wind",POWER(Upgrades!$U$7,F386),1)*IF(Upgrades!$T$8="Solar Wind",POWER(Upgrades!$U$8,G386),1)*IF(Upgrades!$T$9="Solar Wind",POWER(Upgrades!$U$9,H386),1)*IF(Upgrades!$T$10="Solar Wind",POWER(Upgrades!$U$10,I386),1)*IF(Upgrades!$T$11="Solar Wind",POWER(Upgrades!$U$11,J386),1)*IF(Upgrades!$T$12="Solar Wind",POWER(Upgrades!$U$12,K386),1))+(IF(F386=0,0,(Upgrades!$G$7+F386*Upgrades!$H$7)*POWER(Upgrades!$I$7,F386)))*(IF(Upgrades!$T$6="Asteroid Belt",POWER(Upgrades!$U$6,E386),1)*IF(Upgrades!$T$8="Asteroid Belt",POWER(Upgrades!$U$8,G386),1)*IF(Upgrades!$T$9="Asteroid Belt",POWER(Upgrades!$U$9,H386),1)*IF(Upgrades!$T$10="Asteroid Belt",POWER(Upgrades!$U$10,I386),1)*IF(Upgrades!$T$11="Asteroid Belt",POWER(Upgrades!$U$11,J386),1)*IF(Upgrades!$T$12="Asteroid Belt",POWER(Upgrades!$U$12,K386),1))+(IF(G386=0,0,(Upgrades!$G$8+G386*Upgrades!$H$8)*POWER(Upgrades!$I$8,G386)))*(IF(Upgrades!$T$6="Stellar Coupling",POWER(Upgrades!$U$6,E386),1)*IF(Upgrades!$T$7="Stellar Coupling",POWER(Upgrades!$U$7,F386),1)*IF(Upgrades!$T$9="Stellar Coupling",POWER(Upgrades!$U$9,H386),1)*IF(Upgrades!$T$10="Stellar Coupling",POWER(Upgrades!$U$10,I386),1)*IF(Upgrades!$T$11="Stellar Coupling",POWER(Upgrades!$U$11,J386),1)*IF(Upgrades!$T$12="Stellar Coupling",POWER(Upgrades!$U$12,K386),1))+(IF(H386=0,0,(Upgrades!$G$9+H386*Upgrades!$H$9)*POWER(Upgrades!$I$9,H386)))*(IF(Upgrades!$T$6="Magnetosphere",POWER(Upgrades!$U$6,E386),1)*IF(Upgrades!$T$7="Magnetosphere",POWER(Upgrades!$U$7,F386),1)*IF(Upgrades!$T$8="Magnetosphere",POWER(Upgrades!$U$8,G386),1)*IF(Upgrades!$T$10="Magnetosphere",POWER(Upgrades!$U$10,I386),1)*IF(Upgrades!$T$11="Magnetosphere",POWER(Upgrades!$U$11,J386),1)*IF(Upgrades!$T$12="Magnetosphere",POWER(Upgrades!$U$12,K386),1))+(IF(I386=0,0,(Upgrades!$G$10+I386*Upgrades!$H$10)*POWER(Upgrades!$I$10,I386)))*(IF(Upgrades!$T$6="Orbital Resonance",POWER(Upgrades!$U$6,E386),1)*IF(Upgrades!$T$7="Orbital Resonance",POWER(Upgrades!$U$7,F386),1)*IF(Upgrades!$T$8="Orbital Resonance",POWER(Upgrades!$U$8,G386),1)*IF(Upgrades!$T$9="Orbital Resonance",POWER(Upgrades!$U$9,H386),1)*IF(Upgrades!$T$11="Orbital Resonance",POWER(Upgrades!$U$11,J386),1)*IF(Upgrades!$T$12="Orbital Resonance",POWER(Upgrades!$U$12,K386),1))+(IF(J386=0,0,(Upgrades!$G$11+J386*Upgrades!$H$11)*POWER(Upgrades!$I$11,J386)))*(IF(Upgrades!$T$6="Heliopause",POWER(Upgrades!$U$6,E386),1)*IF(Upgrades!$T$7="Heliopause",POWER(Upgrades!$U$7,F386),1)*IF(Upgrades!$T$8="Heliopause",POWER(Upgrades!$U$8,G386),1)*IF(Upgrades!$T$9="Heliopause",POWER(Upgrades!$U$9,H386),1)*IF(Upgrades!$T$10="Heliopause",POWER(Upgrades!$U$10,I386),1)*IF(Upgrades!$T$12="Heliopause",POWER(Upgrades!$U$12,K386),1))+(IF(K386=0,0,(Upgrades!$G$12+K386*Upgrades!$H$12)*POWER(Upgrades!$I$12,K386)))*(IF(Upgrades!$T$6="First Photons",POWER(Upgrades!$U$6,E386),1)*IF(Upgrades!$T$7="First Photons",POWER(Upgrades!$U$7,F386),1)*IF(Upgrades!$T$8="First Photons",POWER(Upgrades!$U$8,G386),1)*IF(Upgrades!$T$9="First Photons",POWER(Upgrades!$U$9,H386),1)*IF(Upgrades!$T$10="First Photons",POWER(Upgrades!$U$10,I386),1)*IF(Upgrades!$T$11="First Photons",POWER(Upgrades!$U$11,J386),1)))*POWER(Upgrades!$P$6,E386)*POWER(Upgrades!$P$7,F386)*POWER(Upgrades!$P$8,G386)*POWER(Upgrades!$P$9,H386)*POWER(Upgrades!$P$10,I386)*POWER(Upgrades!$P$11,J386)*POWER(Upgrades!$P$12,K386)</f>
        <v>11.2</v>
      </c>
      <c r="O386" s="28" t="n">
        <f aca="false">((IF(E386=0,0,(Upgrades!$M$6+E386*Upgrades!$N$6)*POWER(Upgrades!$O$6,E386)))*(IF(Upgrades!$T$7="Solar Wind",POWER(Upgrades!$U$7,F386),1)*IF(Upgrades!$T$8="Solar Wind",POWER(Upgrades!$U$8,G386),1)*IF(Upgrades!$T$9="Solar Wind",POWER(Upgrades!$U$9,H386),1)*IF(Upgrades!$T$10="Solar Wind",POWER(Upgrades!$U$10,I386),1)*IF(Upgrades!$T$11="Solar Wind",POWER(Upgrades!$U$11,J386),1)*IF(Upgrades!$T$12="Solar Wind",POWER(Upgrades!$U$12,K386),1))+(IF(F386=0,0,(Upgrades!$M$7+F386*Upgrades!$N$7)*POWER(Upgrades!$O$7,F386)))*(IF(Upgrades!$T$6="Asteroid Belt",POWER(Upgrades!$U$6,E386),1)*IF(Upgrades!$T$8="Asteroid Belt",POWER(Upgrades!$U$8,G386),1)*IF(Upgrades!$T$9="Asteroid Belt",POWER(Upgrades!$U$9,H386),1)*IF(Upgrades!$T$10="Asteroid Belt",POWER(Upgrades!$U$10,I386),1)*IF(Upgrades!$T$11="Asteroid Belt",POWER(Upgrades!$U$11,J386),1)*IF(Upgrades!$T$12="Asteroid Belt",POWER(Upgrades!$U$12,K386),1))+(IF(G386=0,0,(Upgrades!$M$8+G386*Upgrades!$N$8)*POWER(Upgrades!$O$8,G386)))*(IF(Upgrades!$T$6="Stellar Coupling",POWER(Upgrades!$U$6,E386),1)*IF(Upgrades!$T$7="Stellar Coupling",POWER(Upgrades!$U$7,F386),1)*IF(Upgrades!$T$9="Stellar Coupling",POWER(Upgrades!$U$9,H386),1)*IF(Upgrades!$T$10="Stellar Coupling",POWER(Upgrades!$U$10,I386),1)*IF(Upgrades!$T$11="Stellar Coupling",POWER(Upgrades!$U$11,J386),1)*IF(Upgrades!$T$12="Stellar Coupling",POWER(Upgrades!$U$12,K386),1))+(IF(H386=0,0,(Upgrades!$M$9+H386*Upgrades!$N$9)*POWER(Upgrades!$O$9,H386)))*(IF(Upgrades!$T$6="Magnetosphere",POWER(Upgrades!$U$6,E386),1)*IF(Upgrades!$T$7="Magnetosphere",POWER(Upgrades!$U$7,F386),1)*IF(Upgrades!$T$8="Magnetosphere",POWER(Upgrades!$U$8,G386),1)*IF(Upgrades!$T$10="Magnetosphere",POWER(Upgrades!$U$10,I386),1)*IF(Upgrades!$T$11="Magnetosphere",POWER(Upgrades!$U$11,J386),1)*IF(Upgrades!$T$12="Magnetosphere",POWER(Upgrades!$U$12,K386),1))+(IF(I386=0,0,(Upgrades!$M$10+I386*Upgrades!$N$10)*POWER(Upgrades!$O$10,I386)))*(IF(Upgrades!$T$6="Orbital Resonance",POWER(Upgrades!$U$6,E386),1)*IF(Upgrades!$T$7="Orbital Resonance",POWER(Upgrades!$U$7,F386),1)*IF(Upgrades!$T$8="Orbital Resonance",POWER(Upgrades!$U$8,G386),1)*IF(Upgrades!$T$9="Orbital Resonance",POWER(Upgrades!$U$9,H386),1)*IF(Upgrades!$T$11="Orbital Resonance",POWER(Upgrades!$U$11,J386),1)*IF(Upgrades!$T$12="Orbital Resonance",POWER(Upgrades!$U$12,K386),1))+(IF(J386=0,0,(Upgrades!$M$11+J386*Upgrades!$N$11)*POWER(Upgrades!$O$11,J386)))*(IF(Upgrades!$T$6="Heliopause",POWER(Upgrades!$U$6,E386),1)*IF(Upgrades!$T$7="Heliopause",POWER(Upgrades!$U$7,F386),1)*IF(Upgrades!$T$8="Heliopause",POWER(Upgrades!$U$8,G386),1)*IF(Upgrades!$T$9="Heliopause",POWER(Upgrades!$U$9,H386),1)*IF(Upgrades!$T$10="Heliopause",POWER(Upgrades!$U$10,I386),1)*IF(Upgrades!$T$12="Heliopause",POWER(Upgrades!$U$12,K386),1))+(IF(K386=0,0,(Upgrades!$M$12+K386*Upgrades!$N$12)*POWER(Upgrades!$O$12,K386)))*(IF(Upgrades!$T$6="First Photons",POWER(Upgrades!$U$6,E386),1)*IF(Upgrades!$T$7="First Photons",POWER(Upgrades!$U$7,F386),1)*IF(Upgrades!$T$8="First Photons",POWER(Upgrades!$U$8,G386),1)*IF(Upgrades!$T$9="First Photons",POWER(Upgrades!$U$9,H386),1)*IF(Upgrades!$T$10="First Photons",POWER(Upgrades!$U$10,I386),1)*IF(Upgrades!$T$11="First Photons",POWER(Upgrades!$U$11,J386),1)))*POWER(Upgrades!$R$6,E386)*POWER(Upgrades!$R$7,F386)*POWER(Upgrades!$R$8,G386)*POWER(Upgrades!$R$9,H386)*POWER(Upgrades!$R$10,I386)*POWER(Upgrades!$R$11,J386)*POWER(Upgrades!$R$12,K386)</f>
        <v>0</v>
      </c>
      <c r="P386" s="27" t="n">
        <f aca="false">IF(L386=1,0,M386*Parameters!$B$10/60*Parameters!$B$11*10)</f>
        <v>0</v>
      </c>
      <c r="Q386" s="27" t="n">
        <f aca="false">IF(L386=1,0,O386*M386*10)</f>
        <v>0</v>
      </c>
      <c r="R386" s="27" t="n">
        <f aca="false">IF(L386=1,0,N386*10)</f>
        <v>0</v>
      </c>
      <c r="S386" s="27" t="n">
        <f aca="false">P386+Q386+R386</f>
        <v>0</v>
      </c>
      <c r="T386" s="21" t="n">
        <f aca="false">C386+S386</f>
        <v>18.6730249835055</v>
      </c>
      <c r="U386" s="34" t="str">
        <f aca="false">AX386</f>
        <v/>
      </c>
      <c r="V386" s="21" t="n">
        <f aca="false">IF(U386="",0,IF(U386="transition",0,IF(U386="SW",AG386,IF(U386="AB",AH386,IF(U386="SC",AI386,IF(U386="Mag",AJ386,IF(U386="OR",AK386,IF(U386="HP",AL386,IF(U386="FP",AM386,0)))))))))</f>
        <v>0</v>
      </c>
      <c r="W386" s="27" t="n">
        <f aca="false">IF(U386="OR",Upgrades!$F$10,IF(U386="HP",Upgrades!$F$11,IF(U386="transition",-Parameters!$B$18,0)))</f>
        <v>0</v>
      </c>
      <c r="X386" s="21" t="n">
        <f aca="false">T386-V386</f>
        <v>18.6730249835055</v>
      </c>
      <c r="Y386" s="30" t="n">
        <f aca="false">M386*Parameters!$B$10/60*Parameters!$B$11+O386*M386+N386</f>
        <v>20.55</v>
      </c>
      <c r="Z386" s="35" t="str">
        <f aca="false">IF(U386="transition","→ Tier 2 (Stellar Neighborhood)",IF(U386="FP","First Photons — light begins, system quickens",IF(U386="HP","Heliopause acquired",IF(U386="OR","Orbital Resonance — passive multiplier active",IF(AND(AO386=1,L386=0,AN386&lt;&gt;1),"Cohesion ready (waiting on completionist upgrades)","")))))</f>
        <v/>
      </c>
      <c r="AA386" s="27" t="n">
        <f aca="false">(IF(E386=0,0,(Upgrades!$G$6+E386*Upgrades!$H$6)*POWER(Upgrades!$I$6,E386)))*(IF(Upgrades!$T$7="Solar Wind",POWER(Upgrades!$U$7,F386),1)*IF(Upgrades!$T$8="Solar Wind",POWER(Upgrades!$U$8,G386),1)*IF(Upgrades!$T$9="Solar Wind",POWER(Upgrades!$U$9,H386),1)*IF(Upgrades!$T$10="Solar Wind",POWER(Upgrades!$U$10,I386),1)*IF(Upgrades!$T$11="Solar Wind",POWER(Upgrades!$U$11,J386),1)*IF(Upgrades!$T$12="Solar Wind",POWER(Upgrades!$U$12,K386),1))*POWER(Upgrades!$P$6,E386)*POWER(Upgrades!$P$7,F386)*POWER(Upgrades!$P$8,G386)*POWER(Upgrades!$P$9,H386)*POWER(Upgrades!$P$10,I386)*POWER(Upgrades!$P$11,J386)*POWER(Upgrades!$P$12,K386)*60</f>
        <v>72</v>
      </c>
      <c r="AB386" s="27" t="n">
        <f aca="false">(IF(F386=0,0,(Upgrades!$G$7+F386*Upgrades!$H$7)*POWER(Upgrades!$I$7,F386)))*(IF(Upgrades!$T$6="Asteroid Belt",POWER(Upgrades!$U$6,E386),1)*IF(Upgrades!$T$8="Asteroid Belt",POWER(Upgrades!$U$8,G386),1)*IF(Upgrades!$T$9="Asteroid Belt",POWER(Upgrades!$U$9,H386),1)*IF(Upgrades!$T$10="Asteroid Belt",POWER(Upgrades!$U$10,I386),1)*IF(Upgrades!$T$11="Asteroid Belt",POWER(Upgrades!$U$11,J386),1)*IF(Upgrades!$T$12="Asteroid Belt",POWER(Upgrades!$U$12,K386),1))*POWER(Upgrades!$P$6,E386)*POWER(Upgrades!$P$7,F386)*POWER(Upgrades!$P$8,G386)*POWER(Upgrades!$P$9,H386)*POWER(Upgrades!$P$10,I386)*POWER(Upgrades!$P$11,J386)*POWER(Upgrades!$P$12,K386)*60</f>
        <v>150</v>
      </c>
      <c r="AC386" s="27" t="n">
        <f aca="false">(IF(G386=0,0,(Upgrades!$J$8+G386*Upgrades!$K$8)*POWER(Upgrades!$L$8,G386)))*(IF(Upgrades!$T$6="Stellar Coupling",POWER(Upgrades!$U$6,E386),1)*IF(Upgrades!$T$7="Stellar Coupling",POWER(Upgrades!$U$7,F386),1)*IF(Upgrades!$T$9="Stellar Coupling",POWER(Upgrades!$U$9,H386),1)*IF(Upgrades!$T$10="Stellar Coupling",POWER(Upgrades!$U$10,I386),1)*IF(Upgrades!$T$11="Stellar Coupling",POWER(Upgrades!$U$11,J386),1)*IF(Upgrades!$T$12="Stellar Coupling",POWER(Upgrades!$U$12,K386),1))*POWER(Upgrades!$Q$6,E386)*POWER(Upgrades!$Q$7,F386)*POWER(Upgrades!$Q$8,G386)*POWER(Upgrades!$Q$9,H386)*POWER(Upgrades!$Q$10,I386)*POWER(Upgrades!$Q$11,J386)*POWER(Upgrades!$Q$12,K386)*Parameters!$B$10*Parameters!$B$11</f>
        <v>441</v>
      </c>
      <c r="AD386" s="27" t="n">
        <f aca="false">(IF(H386=0,0,(Upgrades!$G$9+H386*Upgrades!$H$9)*POWER(Upgrades!$I$9,H386)))*(IF(Upgrades!$T$6="Magnetosphere",POWER(Upgrades!$U$6,E386),1)*IF(Upgrades!$T$7="Magnetosphere",POWER(Upgrades!$U$7,F386),1)*IF(Upgrades!$T$8="Magnetosphere",POWER(Upgrades!$U$8,G386),1)*IF(Upgrades!$T$10="Magnetosphere",POWER(Upgrades!$U$10,I386),1)*IF(Upgrades!$T$11="Magnetosphere",POWER(Upgrades!$U$11,J386),1)*IF(Upgrades!$T$12="Magnetosphere",POWER(Upgrades!$U$12,K386),1))*POWER(Upgrades!$P$6,E386)*POWER(Upgrades!$P$7,F386)*POWER(Upgrades!$P$8,G386)*POWER(Upgrades!$P$9,H386)*POWER(Upgrades!$P$10,I386)*POWER(Upgrades!$P$11,J386)*POWER(Upgrades!$P$12,K386)*60</f>
        <v>375</v>
      </c>
      <c r="AE386" s="27" t="n">
        <f aca="false">(IF(K386=0,0,(Upgrades!$G$12+K386*Upgrades!$H$12)*POWER(Upgrades!$I$12,K386)))*(IF(Upgrades!$T$6="First Photons",POWER(Upgrades!$U$6,E386),1)*IF(Upgrades!$T$7="First Photons",POWER(Upgrades!$U$7,F386),1)*IF(Upgrades!$T$8="First Photons",POWER(Upgrades!$U$8,G386),1)*IF(Upgrades!$T$9="First Photons",POWER(Upgrades!$U$9,H386),1)*IF(Upgrades!$T$10="First Photons",POWER(Upgrades!$U$10,I386),1)*IF(Upgrades!$T$11="First Photons",POWER(Upgrades!$U$11,J386),1))*POWER(Upgrades!$P$6,E386)*POWER(Upgrades!$P$7,F386)*POWER(Upgrades!$P$8,G386)*POWER(Upgrades!$P$9,H386)*POWER(Upgrades!$P$10,I386)*POWER(Upgrades!$P$11,J386)*POWER(Upgrades!$P$12,K386)*60</f>
        <v>75</v>
      </c>
      <c r="AF386" s="27" t="n">
        <f aca="false">Parameters!$B$9*POWER(Upgrades!$Q$6,E386)*POWER(Upgrades!$Q$7,F386)*POWER(Upgrades!$Q$8,G386)*POWER(Upgrades!$Q$9,H386)*POWER(Upgrades!$Q$10,I386)*POWER(Upgrades!$Q$11,J386)*POWER(Upgrades!$Q$12,K386)*(Parameters!$B$10*Parameters!$B$11+O386*60)</f>
        <v>120</v>
      </c>
      <c r="AG386" s="21" t="n">
        <f aca="false">IF(E386&gt;=Upgrades!$E$6,"",Upgrades!$C$6*POWER(Upgrades!$D$6,E386))</f>
        <v>37.4517507383159</v>
      </c>
      <c r="AH386" s="21" t="n">
        <f aca="false">IF(F386&gt;=Upgrades!$E$7,"",Upgrades!$C$7*POWER(Upgrades!$D$7,F386))</f>
        <v>80.9111547141581</v>
      </c>
      <c r="AI386" s="21" t="n">
        <f aca="false">IF(G386&gt;=Upgrades!$E$8,"",Upgrades!$C$8*POWER(Upgrades!$D$8,G386))</f>
        <v>231.9097088</v>
      </c>
      <c r="AJ386" s="21" t="str">
        <f aca="false">IF(H386&gt;=Upgrades!$E$9,"",Upgrades!$C$9*POWER(Upgrades!$D$9,H386))</f>
        <v/>
      </c>
      <c r="AK386" s="21" t="str">
        <f aca="false">IF(I386&gt;=Upgrades!$E$10,"",Upgrades!$C$10*POWER(Upgrades!$D$10,I386))</f>
        <v/>
      </c>
      <c r="AL386" s="21" t="str">
        <f aca="false">IF(J386&gt;=Upgrades!$E$11,"",Upgrades!$C$11*POWER(Upgrades!$D$11,J386))</f>
        <v/>
      </c>
      <c r="AM386" s="21" t="str">
        <f aca="false">IF(K386&gt;=Upgrades!$E$12,"",Upgrades!$C$12*POWER(Upgrades!$D$12,K386))</f>
        <v/>
      </c>
      <c r="AN386" s="26" t="str">
        <f aca="false">IF(AND(D386&gt;=Parameters!$B$18,(H386&gt;=Upgrades!$E$9)*(K386&gt;=Upgrades!$E$12)=1,L386=0),1,"")</f>
        <v/>
      </c>
      <c r="AO386" s="26" t="str">
        <f aca="false">IF(AND(D386&gt;=Parameters!$B$18,L386=0),1,"")</f>
        <v/>
      </c>
      <c r="AP386" s="21" t="n">
        <f aca="false">MIN(IF(ISNUMBER(AK386),AK386,9000000000000000),IF(ISNUMBER(AL386),AL386,9000000000000000),IF(ISNUMBER(AM386),AM386,9000000000000000))</f>
        <v>9000000000000000</v>
      </c>
      <c r="AQ386" s="21" t="n">
        <f aca="false">MIN(IF(ISNUMBER(AG386),AG386,9000000000000000),IF(ISNUMBER(AH386),AH386,9000000000000000),IF(ISNUMBER(AI386),AI386,9000000000000000),IF(ISNUMBER(AJ386),AJ386,9000000000000000))</f>
        <v>37.4517507383159</v>
      </c>
      <c r="AR386" s="32" t="b">
        <f aca="false">IF(AW386&gt;Parameters!$B$21*(MAX(IF(AND(NOT(AND(AO386=1,AN386&lt;&gt;1)),ISNUMBER(AG386),AG386&lt;=T386),AS386,0),IF(AND(NOT(AND(AO386=1,AN386&lt;&gt;1)),ISNUMBER(AH386),AH386&lt;=T386),AT386,0),IF(AND(NOT(AND(AO386=1,AN386&lt;&gt;1)),ISNUMBER(AI386),AI386&lt;=T386),AU386,0),IF(AND(ISNUMBER(AJ386),AJ386&lt;=T386),AV386,0))),TRUE(),FALSE())</f>
        <v>1</v>
      </c>
      <c r="AS386" s="33" t="n">
        <f aca="false">IFERROR(Upgrades!$H$6*(POWER(Upgrades!$P$6,E386)*POWER(Upgrades!$P$7,F386)*POWER(Upgrades!$P$8,G386)*POWER(Upgrades!$P$9,H386)*POWER(Upgrades!$P$10,I386)*POWER(Upgrades!$P$11,J386)*POWER(Upgrades!$P$12,K386))*(IF(Upgrades!$T$7="Solar Wind",POWER(Upgrades!$U$7,F386),1)*IF(Upgrades!$T$8="Solar Wind",POWER(Upgrades!$U$8,G386),1)*IF(Upgrades!$T$9="Solar Wind",POWER(Upgrades!$U$9,H386),1)*IF(Upgrades!$T$10="Solar Wind",POWER(Upgrades!$U$10,I386),1)*IF(Upgrades!$T$11="Solar Wind",POWER(Upgrades!$U$11,J386),1)*IF(Upgrades!$T$12="Solar Wind",POWER(Upgrades!$U$12,K386),1))/AG386,0)</f>
        <v>0.0026701021455238</v>
      </c>
      <c r="AT386" s="33" t="n">
        <f aca="false">IFERROR(Upgrades!$H$7*(POWER(Upgrades!$P$6,E386)*POWER(Upgrades!$P$7,F386)*POWER(Upgrades!$P$8,G386)*POWER(Upgrades!$P$9,H386)*POWER(Upgrades!$P$10,I386)*POWER(Upgrades!$P$11,J386)*POWER(Upgrades!$P$12,K386))*(IF(Upgrades!$T$6="Asteroid Belt",POWER(Upgrades!$U$6,E386),1)*IF(Upgrades!$T$8="Asteroid Belt",POWER(Upgrades!$U$8,G386),1)*IF(Upgrades!$T$9="Asteroid Belt",POWER(Upgrades!$U$9,H386),1)*IF(Upgrades!$T$10="Asteroid Belt",POWER(Upgrades!$U$10,I386),1)*IF(Upgrades!$T$11="Asteroid Belt",POWER(Upgrades!$U$11,J386),1)*IF(Upgrades!$T$12="Asteroid Belt",POWER(Upgrades!$U$12,K386),1))/AH386,0)</f>
        <v>0.00308980882652332</v>
      </c>
      <c r="AU386" s="33" t="n">
        <f aca="false">IFERROR(Upgrades!$K$8*(POWER(Upgrades!$Q$6,E386)*POWER(Upgrades!$Q$7,F386)*POWER(Upgrades!$Q$8,G386)*POWER(Upgrades!$Q$9,H386)*POWER(Upgrades!$Q$10,I386)*POWER(Upgrades!$Q$11,J386)*POWER(Upgrades!$Q$12,K386))*(IF(Upgrades!$T$6="Stellar Coupling",POWER(Upgrades!$U$6,E386),1)*IF(Upgrades!$T$7="Stellar Coupling",POWER(Upgrades!$U$7,F386),1)*IF(Upgrades!$T$9="Stellar Coupling",POWER(Upgrades!$U$9,H386),1)*IF(Upgrades!$T$10="Stellar Coupling",POWER(Upgrades!$U$10,I386),1)*IF(Upgrades!$T$11="Stellar Coupling",POWER(Upgrades!$U$11,J386),1)*IF(Upgrades!$T$12="Stellar Coupling",POWER(Upgrades!$U$12,K386),1))*Parameters!$B$10*Parameters!$B$11/60/AI386,0)</f>
        <v>0.00452762415783776</v>
      </c>
      <c r="AV386" s="33" t="n">
        <f aca="false">IFERROR(Upgrades!$H$9*(POWER(Upgrades!$P$6,E386)*POWER(Upgrades!$P$7,F386)*POWER(Upgrades!$P$8,G386)*POWER(Upgrades!$P$9,H386)*POWER(Upgrades!$P$10,I386)*POWER(Upgrades!$P$11,J386)*POWER(Upgrades!$P$12,K386))*(IF(Upgrades!$T$6="Magnetosphere",POWER(Upgrades!$U$6,E386),1)*IF(Upgrades!$T$7="Magnetosphere",POWER(Upgrades!$U$7,F386),1)*IF(Upgrades!$T$8="Magnetosphere",POWER(Upgrades!$U$8,G386),1)*IF(Upgrades!$T$10="Magnetosphere",POWER(Upgrades!$U$10,I386),1)*IF(Upgrades!$T$11="Magnetosphere",POWER(Upgrades!$U$11,J386),1)*IF(Upgrades!$T$12="Magnetosphere",POWER(Upgrades!$U$12,K386),1))/AJ386,0)</f>
        <v>0</v>
      </c>
      <c r="AW386" s="33" t="n">
        <f aca="false">MAX(IF(I386&gt;0,0,IFERROR(0.25*N386/Upgrades!$C$10,0)),IF(J386&gt;0,0,IFERROR(0.5*((IF(G386=0,0,(Upgrades!$J$8+G386*Upgrades!$K$8)*POWER(Upgrades!$L$8,G386)))*(IF(Upgrades!$T$6="Stellar Coupling",POWER(Upgrades!$U$6,E386),1)*IF(Upgrades!$T$7="Stellar Coupling",POWER(Upgrades!$U$7,F386),1)*IF(Upgrades!$T$9="Stellar Coupling",POWER(Upgrades!$U$9,H386),1)*IF(Upgrades!$T$10="Stellar Coupling",POWER(Upgrades!$U$10,I386),1)*IF(Upgrades!$T$11="Stellar Coupling",POWER(Upgrades!$U$11,J386),1)*IF(Upgrades!$T$12="Stellar Coupling",POWER(Upgrades!$U$12,K386),1))*(POWER(Upgrades!$Q$6,E386)*POWER(Upgrades!$Q$7,F386)*POWER(Upgrades!$Q$8,G386)*POWER(Upgrades!$Q$9,H386)*POWER(Upgrades!$Q$10,I386)*POWER(Upgrades!$Q$11,J386)*POWER(Upgrades!$Q$12,K386))*Parameters!$B$10*Parameters!$B$11/60)/Upgrades!$C$11,0)),IF(K386&gt;0,0,IFERROR((1*(POWER(Upgrades!$P$6,E386)*POWER(Upgrades!$P$7,F386)*POWER(Upgrades!$P$8,G386)*POWER(Upgrades!$P$9,H386)*POWER(Upgrades!$P$10,I386)*POWER(Upgrades!$P$11,J386)*POWER(Upgrades!$P$12,K386))+0.2*M386*Parameters!$B$10*Parameters!$B$11/60)/Upgrades!$C$12,0)),IF(AND(ISNUMBER(AG386),AG386&gt;T386),AS386,0),IF(AND(ISNUMBER(AH386),AH386&gt;T386),AT386,0),IF(AND(ISNUMBER(AI386),AI386&gt;T386),AU386,0),IF(AND(ISNUMBER(AJ386),AJ386&gt;T386),AV386,0))</f>
        <v>0.00452762415783776</v>
      </c>
      <c r="AX386" s="29" t="str">
        <f aca="false">IF(AN386=1,"transition",IF(MIN(IF(AND(I386=0,ISNUMBER(AK386),AK386&lt;=T386),AK386,9000000000000000),IF(AND(J386=0,ISNUMBER(AL386),AL386&lt;=T386),AL386,9000000000000000),IF(AND(K386=0,ISNUMBER(AM386),AM386&lt;=T386),AM386,9000000000000000))&lt;9000000000000000,IF(AND(AND(I386=0,ISNUMBER(AK386),AK386&lt;=T386),AK386=MIN(IF(AND(I386=0,ISNUMBER(AK386),AK386&lt;=T386),AK386,9000000000000000),IF(AND(J386=0,ISNUMBER(AL386),AL386&lt;=T386),AL386,9000000000000000),IF(AND(K386=0,ISNUMBER(AM386),AM386&lt;=T386),AM386,9000000000000000))),"OR",IF(AND(AND(J386=0,ISNUMBER(AL386),AL386&lt;=T386),AL386=MIN(IF(AND(I386=0,ISNUMBER(AK386),AK386&lt;=T386),AK386,9000000000000000),IF(AND(J386=0,ISNUMBER(AL386),AL386&lt;=T386),AL386,9000000000000000),IF(AND(K386=0,ISNUMBER(AM386),AM386&lt;=T386),AM386,9000000000000000))),"HP","FP")),IF(AR386=TRUE(),"",IF(MAX(IF(AND(NOT(AND(AO386=1,AN386&lt;&gt;1)),ISNUMBER(AG386),AG386&lt;=T386),AS386,0),IF(AND(NOT(AND(AO386=1,AN386&lt;&gt;1)),ISNUMBER(AH386),AH386&lt;=T386),AT386,0),IF(AND(NOT(AND(AO386=1,AN386&lt;&gt;1)),ISNUMBER(AI386),AI386&lt;=T386),AU386,0),IF(AND(ISNUMBER(AJ386),AJ386&lt;=T386),AV386,0))&lt;=0,"",IF(AND(IF(AND(NOT(AND(AO386=1,AN386&lt;&gt;1)),ISNUMBER(AG386),AG386&lt;=T386),AS386,0)&gt;0,IF(AND(NOT(AND(AO386=1,AN386&lt;&gt;1)),ISNUMBER(AG386),AG386&lt;=T386),AS386,0)=MAX(IF(AND(NOT(AND(AO386=1,AN386&lt;&gt;1)),ISNUMBER(AG386),AG386&lt;=T386),AS386,0),IF(AND(NOT(AND(AO386=1,AN386&lt;&gt;1)),ISNUMBER(AH386),AH386&lt;=T386),AT386,0),IF(AND(NOT(AND(AO386=1,AN386&lt;&gt;1)),ISNUMBER(AI386),AI386&lt;=T386),AU386,0),IF(AND(ISNUMBER(AJ386),AJ386&lt;=T386),AV386,0))),"SW",IF(AND(IF(AND(NOT(AND(AO386=1,AN386&lt;&gt;1)),ISNUMBER(AH386),AH386&lt;=T386),AT386,0)&gt;0,IF(AND(NOT(AND(AO386=1,AN386&lt;&gt;1)),ISNUMBER(AH386),AH386&lt;=T386),AT386,0)=MAX(IF(AND(NOT(AND(AO386=1,AN386&lt;&gt;1)),ISNUMBER(AG386),AG386&lt;=T386),AS386,0),IF(AND(NOT(AND(AO386=1,AN386&lt;&gt;1)),ISNUMBER(AH386),AH386&lt;=T386),AT386,0),IF(AND(NOT(AND(AO386=1,AN386&lt;&gt;1)),ISNUMBER(AI386),AI386&lt;=T386),AU386,0),IF(AND(ISNUMBER(AJ386),AJ386&lt;=T386),AV386,0))),"AB",IF(AND(IF(AND(NOT(AND(AO386=1,AN386&lt;&gt;1)),ISNUMBER(AI386),AI386&lt;=T386),AU386,0)&gt;0,IF(AND(NOT(AND(AO386=1,AN386&lt;&gt;1)),ISNUMBER(AI386),AI386&lt;=T386),AU386,0)=MAX(IF(AND(NOT(AND(AO386=1,AN386&lt;&gt;1)),ISNUMBER(AG386),AG386&lt;=T386),AS386,0),IF(AND(NOT(AND(AO386=1,AN386&lt;&gt;1)),ISNUMBER(AH386),AH386&lt;=T386),AT386,0),IF(AND(NOT(AND(AO386=1,AN386&lt;&gt;1)),ISNUMBER(AI386),AI386&lt;=T386),AU386,0),IF(AND(ISNUMBER(AJ386),AJ386&lt;=T386),AV386,0))),"SC","Mag")))))))</f>
        <v/>
      </c>
    </row>
    <row r="387" customFormat="false" ht="15" hidden="false" customHeight="false" outlineLevel="0" collapsed="false">
      <c r="A387" s="26" t="n">
        <v>382</v>
      </c>
      <c r="B387" s="27" t="n">
        <f aca="false">A387*10/60</f>
        <v>63.6666666666667</v>
      </c>
      <c r="C387" s="21" t="n">
        <f aca="false">X386</f>
        <v>18.6730249835055</v>
      </c>
      <c r="D387" s="27" t="n">
        <f aca="false">D386+W386</f>
        <v>0</v>
      </c>
      <c r="E387" s="26" t="n">
        <f aca="false">E386+IF(U386="SW",1,0)</f>
        <v>12</v>
      </c>
      <c r="F387" s="26" t="n">
        <f aca="false">F386+IF(U386="AB",1,0)</f>
        <v>10</v>
      </c>
      <c r="G387" s="26" t="n">
        <f aca="false">G386+IF(U386="SC",1,0)</f>
        <v>7</v>
      </c>
      <c r="H387" s="26" t="n">
        <f aca="false">H386+IF(U386="Mag",1,0)</f>
        <v>5</v>
      </c>
      <c r="I387" s="26" t="n">
        <f aca="false">MAX(I386,IF(U386="OR",1,0))</f>
        <v>1</v>
      </c>
      <c r="J387" s="26" t="n">
        <f aca="false">MAX(J386,IF(U386="HP",1,0))</f>
        <v>1</v>
      </c>
      <c r="K387" s="26" t="n">
        <f aca="false">MAX(K386,IF(U386="FP",1,0))</f>
        <v>1</v>
      </c>
      <c r="L387" s="26" t="n">
        <f aca="false">MAX(L386,IF(U386="transition",1,0))</f>
        <v>1</v>
      </c>
      <c r="M387" s="28" t="n">
        <f aca="false">(Parameters!$B$9+(IF(E387=0,0,(Upgrades!$J$6+E387*Upgrades!$K$6)*POWER(Upgrades!$L$6,E387)))*(IF(Upgrades!$T$7="Solar Wind",POWER(Upgrades!$U$7,F387),1)*IF(Upgrades!$T$8="Solar Wind",POWER(Upgrades!$U$8,G387),1)*IF(Upgrades!$T$9="Solar Wind",POWER(Upgrades!$U$9,H387),1)*IF(Upgrades!$T$10="Solar Wind",POWER(Upgrades!$U$10,I387),1)*IF(Upgrades!$T$11="Solar Wind",POWER(Upgrades!$U$11,J387),1)*IF(Upgrades!$T$12="Solar Wind",POWER(Upgrades!$U$12,K387),1))+(IF(F387=0,0,(Upgrades!$J$7+F387*Upgrades!$K$7)*POWER(Upgrades!$L$7,F387)))*(IF(Upgrades!$T$6="Asteroid Belt",POWER(Upgrades!$U$6,E387),1)*IF(Upgrades!$T$8="Asteroid Belt",POWER(Upgrades!$U$8,G387),1)*IF(Upgrades!$T$9="Asteroid Belt",POWER(Upgrades!$U$9,H387),1)*IF(Upgrades!$T$10="Asteroid Belt",POWER(Upgrades!$U$10,I387),1)*IF(Upgrades!$T$11="Asteroid Belt",POWER(Upgrades!$U$11,J387),1)*IF(Upgrades!$T$12="Asteroid Belt",POWER(Upgrades!$U$12,K387),1))+(IF(G387=0,0,(Upgrades!$J$8+G387*Upgrades!$K$8)*POWER(Upgrades!$L$8,G387)))*(IF(Upgrades!$T$6="Stellar Coupling",POWER(Upgrades!$U$6,E387),1)*IF(Upgrades!$T$7="Stellar Coupling",POWER(Upgrades!$U$7,F387),1)*IF(Upgrades!$T$9="Stellar Coupling",POWER(Upgrades!$U$9,H387),1)*IF(Upgrades!$T$10="Stellar Coupling",POWER(Upgrades!$U$10,I387),1)*IF(Upgrades!$T$11="Stellar Coupling",POWER(Upgrades!$U$11,J387),1)*IF(Upgrades!$T$12="Stellar Coupling",POWER(Upgrades!$U$12,K387),1))+(IF(H387=0,0,(Upgrades!$J$9+H387*Upgrades!$K$9)*POWER(Upgrades!$L$9,H387)))*(IF(Upgrades!$T$6="Magnetosphere",POWER(Upgrades!$U$6,E387),1)*IF(Upgrades!$T$7="Magnetosphere",POWER(Upgrades!$U$7,F387),1)*IF(Upgrades!$T$8="Magnetosphere",POWER(Upgrades!$U$8,G387),1)*IF(Upgrades!$T$10="Magnetosphere",POWER(Upgrades!$U$10,I387),1)*IF(Upgrades!$T$11="Magnetosphere",POWER(Upgrades!$U$11,J387),1)*IF(Upgrades!$T$12="Magnetosphere",POWER(Upgrades!$U$12,K387),1))+(IF(I387=0,0,(Upgrades!$J$10+I387*Upgrades!$K$10)*POWER(Upgrades!$L$10,I387)))*(IF(Upgrades!$T$6="Orbital Resonance",POWER(Upgrades!$U$6,E387),1)*IF(Upgrades!$T$7="Orbital Resonance",POWER(Upgrades!$U$7,F387),1)*IF(Upgrades!$T$8="Orbital Resonance",POWER(Upgrades!$U$8,G387),1)*IF(Upgrades!$T$9="Orbital Resonance",POWER(Upgrades!$U$9,H387),1)*IF(Upgrades!$T$11="Orbital Resonance",POWER(Upgrades!$U$11,J387),1)*IF(Upgrades!$T$12="Orbital Resonance",POWER(Upgrades!$U$12,K387),1))+(IF(J387=0,0,(Upgrades!$J$11+J387*Upgrades!$K$11)*POWER(Upgrades!$L$11,J387)))*(IF(Upgrades!$T$6="Heliopause",POWER(Upgrades!$U$6,E387),1)*IF(Upgrades!$T$7="Heliopause",POWER(Upgrades!$U$7,F387),1)*IF(Upgrades!$T$8="Heliopause",POWER(Upgrades!$U$8,G387),1)*IF(Upgrades!$T$9="Heliopause",POWER(Upgrades!$U$9,H387),1)*IF(Upgrades!$T$10="Heliopause",POWER(Upgrades!$U$10,I387),1)*IF(Upgrades!$T$12="Heliopause",POWER(Upgrades!$U$12,K387),1))+(IF(K387=0,0,(Upgrades!$J$12+K387*Upgrades!$K$12)*POWER(Upgrades!$L$12,K387)))*(IF(Upgrades!$T$6="First Photons",POWER(Upgrades!$U$6,E387),1)*IF(Upgrades!$T$7="First Photons",POWER(Upgrades!$U$7,F387),1)*IF(Upgrades!$T$8="First Photons",POWER(Upgrades!$U$8,G387),1)*IF(Upgrades!$T$9="First Photons",POWER(Upgrades!$U$9,H387),1)*IF(Upgrades!$T$10="First Photons",POWER(Upgrades!$U$10,I387),1)*IF(Upgrades!$T$11="First Photons",POWER(Upgrades!$U$11,J387),1)))*POWER(Upgrades!$Q$6,E387)*POWER(Upgrades!$Q$7,F387)*POWER(Upgrades!$Q$8,G387)*POWER(Upgrades!$Q$9,H387)*POWER(Upgrades!$Q$10,I387)*POWER(Upgrades!$Q$11,J387)*POWER(Upgrades!$Q$12,K387)</f>
        <v>5.61</v>
      </c>
      <c r="N387" s="28" t="n">
        <f aca="false">((IF(E387=0,0,(Upgrades!$G$6+E387*Upgrades!$H$6)*POWER(Upgrades!$I$6,E387)))*(IF(Upgrades!$T$7="Solar Wind",POWER(Upgrades!$U$7,F387),1)*IF(Upgrades!$T$8="Solar Wind",POWER(Upgrades!$U$8,G387),1)*IF(Upgrades!$T$9="Solar Wind",POWER(Upgrades!$U$9,H387),1)*IF(Upgrades!$T$10="Solar Wind",POWER(Upgrades!$U$10,I387),1)*IF(Upgrades!$T$11="Solar Wind",POWER(Upgrades!$U$11,J387),1)*IF(Upgrades!$T$12="Solar Wind",POWER(Upgrades!$U$12,K387),1))+(IF(F387=0,0,(Upgrades!$G$7+F387*Upgrades!$H$7)*POWER(Upgrades!$I$7,F387)))*(IF(Upgrades!$T$6="Asteroid Belt",POWER(Upgrades!$U$6,E387),1)*IF(Upgrades!$T$8="Asteroid Belt",POWER(Upgrades!$U$8,G387),1)*IF(Upgrades!$T$9="Asteroid Belt",POWER(Upgrades!$U$9,H387),1)*IF(Upgrades!$T$10="Asteroid Belt",POWER(Upgrades!$U$10,I387),1)*IF(Upgrades!$T$11="Asteroid Belt",POWER(Upgrades!$U$11,J387),1)*IF(Upgrades!$T$12="Asteroid Belt",POWER(Upgrades!$U$12,K387),1))+(IF(G387=0,0,(Upgrades!$G$8+G387*Upgrades!$H$8)*POWER(Upgrades!$I$8,G387)))*(IF(Upgrades!$T$6="Stellar Coupling",POWER(Upgrades!$U$6,E387),1)*IF(Upgrades!$T$7="Stellar Coupling",POWER(Upgrades!$U$7,F387),1)*IF(Upgrades!$T$9="Stellar Coupling",POWER(Upgrades!$U$9,H387),1)*IF(Upgrades!$T$10="Stellar Coupling",POWER(Upgrades!$U$10,I387),1)*IF(Upgrades!$T$11="Stellar Coupling",POWER(Upgrades!$U$11,J387),1)*IF(Upgrades!$T$12="Stellar Coupling",POWER(Upgrades!$U$12,K387),1))+(IF(H387=0,0,(Upgrades!$G$9+H387*Upgrades!$H$9)*POWER(Upgrades!$I$9,H387)))*(IF(Upgrades!$T$6="Magnetosphere",POWER(Upgrades!$U$6,E387),1)*IF(Upgrades!$T$7="Magnetosphere",POWER(Upgrades!$U$7,F387),1)*IF(Upgrades!$T$8="Magnetosphere",POWER(Upgrades!$U$8,G387),1)*IF(Upgrades!$T$10="Magnetosphere",POWER(Upgrades!$U$10,I387),1)*IF(Upgrades!$T$11="Magnetosphere",POWER(Upgrades!$U$11,J387),1)*IF(Upgrades!$T$12="Magnetosphere",POWER(Upgrades!$U$12,K387),1))+(IF(I387=0,0,(Upgrades!$G$10+I387*Upgrades!$H$10)*POWER(Upgrades!$I$10,I387)))*(IF(Upgrades!$T$6="Orbital Resonance",POWER(Upgrades!$U$6,E387),1)*IF(Upgrades!$T$7="Orbital Resonance",POWER(Upgrades!$U$7,F387),1)*IF(Upgrades!$T$8="Orbital Resonance",POWER(Upgrades!$U$8,G387),1)*IF(Upgrades!$T$9="Orbital Resonance",POWER(Upgrades!$U$9,H387),1)*IF(Upgrades!$T$11="Orbital Resonance",POWER(Upgrades!$U$11,J387),1)*IF(Upgrades!$T$12="Orbital Resonance",POWER(Upgrades!$U$12,K387),1))+(IF(J387=0,0,(Upgrades!$G$11+J387*Upgrades!$H$11)*POWER(Upgrades!$I$11,J387)))*(IF(Upgrades!$T$6="Heliopause",POWER(Upgrades!$U$6,E387),1)*IF(Upgrades!$T$7="Heliopause",POWER(Upgrades!$U$7,F387),1)*IF(Upgrades!$T$8="Heliopause",POWER(Upgrades!$U$8,G387),1)*IF(Upgrades!$T$9="Heliopause",POWER(Upgrades!$U$9,H387),1)*IF(Upgrades!$T$10="Heliopause",POWER(Upgrades!$U$10,I387),1)*IF(Upgrades!$T$12="Heliopause",POWER(Upgrades!$U$12,K387),1))+(IF(K387=0,0,(Upgrades!$G$12+K387*Upgrades!$H$12)*POWER(Upgrades!$I$12,K387)))*(IF(Upgrades!$T$6="First Photons",POWER(Upgrades!$U$6,E387),1)*IF(Upgrades!$T$7="First Photons",POWER(Upgrades!$U$7,F387),1)*IF(Upgrades!$T$8="First Photons",POWER(Upgrades!$U$8,G387),1)*IF(Upgrades!$T$9="First Photons",POWER(Upgrades!$U$9,H387),1)*IF(Upgrades!$T$10="First Photons",POWER(Upgrades!$U$10,I387),1)*IF(Upgrades!$T$11="First Photons",POWER(Upgrades!$U$11,J387),1)))*POWER(Upgrades!$P$6,E387)*POWER(Upgrades!$P$7,F387)*POWER(Upgrades!$P$8,G387)*POWER(Upgrades!$P$9,H387)*POWER(Upgrades!$P$10,I387)*POWER(Upgrades!$P$11,J387)*POWER(Upgrades!$P$12,K387)</f>
        <v>11.2</v>
      </c>
      <c r="O387" s="28" t="n">
        <f aca="false">((IF(E387=0,0,(Upgrades!$M$6+E387*Upgrades!$N$6)*POWER(Upgrades!$O$6,E387)))*(IF(Upgrades!$T$7="Solar Wind",POWER(Upgrades!$U$7,F387),1)*IF(Upgrades!$T$8="Solar Wind",POWER(Upgrades!$U$8,G387),1)*IF(Upgrades!$T$9="Solar Wind",POWER(Upgrades!$U$9,H387),1)*IF(Upgrades!$T$10="Solar Wind",POWER(Upgrades!$U$10,I387),1)*IF(Upgrades!$T$11="Solar Wind",POWER(Upgrades!$U$11,J387),1)*IF(Upgrades!$T$12="Solar Wind",POWER(Upgrades!$U$12,K387),1))+(IF(F387=0,0,(Upgrades!$M$7+F387*Upgrades!$N$7)*POWER(Upgrades!$O$7,F387)))*(IF(Upgrades!$T$6="Asteroid Belt",POWER(Upgrades!$U$6,E387),1)*IF(Upgrades!$T$8="Asteroid Belt",POWER(Upgrades!$U$8,G387),1)*IF(Upgrades!$T$9="Asteroid Belt",POWER(Upgrades!$U$9,H387),1)*IF(Upgrades!$T$10="Asteroid Belt",POWER(Upgrades!$U$10,I387),1)*IF(Upgrades!$T$11="Asteroid Belt",POWER(Upgrades!$U$11,J387),1)*IF(Upgrades!$T$12="Asteroid Belt",POWER(Upgrades!$U$12,K387),1))+(IF(G387=0,0,(Upgrades!$M$8+G387*Upgrades!$N$8)*POWER(Upgrades!$O$8,G387)))*(IF(Upgrades!$T$6="Stellar Coupling",POWER(Upgrades!$U$6,E387),1)*IF(Upgrades!$T$7="Stellar Coupling",POWER(Upgrades!$U$7,F387),1)*IF(Upgrades!$T$9="Stellar Coupling",POWER(Upgrades!$U$9,H387),1)*IF(Upgrades!$T$10="Stellar Coupling",POWER(Upgrades!$U$10,I387),1)*IF(Upgrades!$T$11="Stellar Coupling",POWER(Upgrades!$U$11,J387),1)*IF(Upgrades!$T$12="Stellar Coupling",POWER(Upgrades!$U$12,K387),1))+(IF(H387=0,0,(Upgrades!$M$9+H387*Upgrades!$N$9)*POWER(Upgrades!$O$9,H387)))*(IF(Upgrades!$T$6="Magnetosphere",POWER(Upgrades!$U$6,E387),1)*IF(Upgrades!$T$7="Magnetosphere",POWER(Upgrades!$U$7,F387),1)*IF(Upgrades!$T$8="Magnetosphere",POWER(Upgrades!$U$8,G387),1)*IF(Upgrades!$T$10="Magnetosphere",POWER(Upgrades!$U$10,I387),1)*IF(Upgrades!$T$11="Magnetosphere",POWER(Upgrades!$U$11,J387),1)*IF(Upgrades!$T$12="Magnetosphere",POWER(Upgrades!$U$12,K387),1))+(IF(I387=0,0,(Upgrades!$M$10+I387*Upgrades!$N$10)*POWER(Upgrades!$O$10,I387)))*(IF(Upgrades!$T$6="Orbital Resonance",POWER(Upgrades!$U$6,E387),1)*IF(Upgrades!$T$7="Orbital Resonance",POWER(Upgrades!$U$7,F387),1)*IF(Upgrades!$T$8="Orbital Resonance",POWER(Upgrades!$U$8,G387),1)*IF(Upgrades!$T$9="Orbital Resonance",POWER(Upgrades!$U$9,H387),1)*IF(Upgrades!$T$11="Orbital Resonance",POWER(Upgrades!$U$11,J387),1)*IF(Upgrades!$T$12="Orbital Resonance",POWER(Upgrades!$U$12,K387),1))+(IF(J387=0,0,(Upgrades!$M$11+J387*Upgrades!$N$11)*POWER(Upgrades!$O$11,J387)))*(IF(Upgrades!$T$6="Heliopause",POWER(Upgrades!$U$6,E387),1)*IF(Upgrades!$T$7="Heliopause",POWER(Upgrades!$U$7,F387),1)*IF(Upgrades!$T$8="Heliopause",POWER(Upgrades!$U$8,G387),1)*IF(Upgrades!$T$9="Heliopause",POWER(Upgrades!$U$9,H387),1)*IF(Upgrades!$T$10="Heliopause",POWER(Upgrades!$U$10,I387),1)*IF(Upgrades!$T$12="Heliopause",POWER(Upgrades!$U$12,K387),1))+(IF(K387=0,0,(Upgrades!$M$12+K387*Upgrades!$N$12)*POWER(Upgrades!$O$12,K387)))*(IF(Upgrades!$T$6="First Photons",POWER(Upgrades!$U$6,E387),1)*IF(Upgrades!$T$7="First Photons",POWER(Upgrades!$U$7,F387),1)*IF(Upgrades!$T$8="First Photons",POWER(Upgrades!$U$8,G387),1)*IF(Upgrades!$T$9="First Photons",POWER(Upgrades!$U$9,H387),1)*IF(Upgrades!$T$10="First Photons",POWER(Upgrades!$U$10,I387),1)*IF(Upgrades!$T$11="First Photons",POWER(Upgrades!$U$11,J387),1)))*POWER(Upgrades!$R$6,E387)*POWER(Upgrades!$R$7,F387)*POWER(Upgrades!$R$8,G387)*POWER(Upgrades!$R$9,H387)*POWER(Upgrades!$R$10,I387)*POWER(Upgrades!$R$11,J387)*POWER(Upgrades!$R$12,K387)</f>
        <v>0</v>
      </c>
      <c r="P387" s="27" t="n">
        <f aca="false">IF(L387=1,0,M387*Parameters!$B$10/60*Parameters!$B$11*10)</f>
        <v>0</v>
      </c>
      <c r="Q387" s="27" t="n">
        <f aca="false">IF(L387=1,0,O387*M387*10)</f>
        <v>0</v>
      </c>
      <c r="R387" s="27" t="n">
        <f aca="false">IF(L387=1,0,N387*10)</f>
        <v>0</v>
      </c>
      <c r="S387" s="27" t="n">
        <f aca="false">P387+Q387+R387</f>
        <v>0</v>
      </c>
      <c r="T387" s="21" t="n">
        <f aca="false">C387+S387</f>
        <v>18.6730249835055</v>
      </c>
      <c r="U387" s="34" t="str">
        <f aca="false">AX387</f>
        <v/>
      </c>
      <c r="V387" s="21" t="n">
        <f aca="false">IF(U387="",0,IF(U387="transition",0,IF(U387="SW",AG387,IF(U387="AB",AH387,IF(U387="SC",AI387,IF(U387="Mag",AJ387,IF(U387="OR",AK387,IF(U387="HP",AL387,IF(U387="FP",AM387,0)))))))))</f>
        <v>0</v>
      </c>
      <c r="W387" s="27" t="n">
        <f aca="false">IF(U387="OR",Upgrades!$F$10,IF(U387="HP",Upgrades!$F$11,IF(U387="transition",-Parameters!$B$18,0)))</f>
        <v>0</v>
      </c>
      <c r="X387" s="21" t="n">
        <f aca="false">T387-V387</f>
        <v>18.6730249835055</v>
      </c>
      <c r="Y387" s="30" t="n">
        <f aca="false">M387*Parameters!$B$10/60*Parameters!$B$11+O387*M387+N387</f>
        <v>20.55</v>
      </c>
      <c r="Z387" s="35" t="str">
        <f aca="false">IF(U387="transition","→ Tier 2 (Stellar Neighborhood)",IF(U387="FP","First Photons — light begins, system quickens",IF(U387="HP","Heliopause acquired",IF(U387="OR","Orbital Resonance — passive multiplier active",IF(AND(AO387=1,L387=0,AN387&lt;&gt;1),"Cohesion ready (waiting on completionist upgrades)","")))))</f>
        <v/>
      </c>
      <c r="AA387" s="27" t="n">
        <f aca="false">(IF(E387=0,0,(Upgrades!$G$6+E387*Upgrades!$H$6)*POWER(Upgrades!$I$6,E387)))*(IF(Upgrades!$T$7="Solar Wind",POWER(Upgrades!$U$7,F387),1)*IF(Upgrades!$T$8="Solar Wind",POWER(Upgrades!$U$8,G387),1)*IF(Upgrades!$T$9="Solar Wind",POWER(Upgrades!$U$9,H387),1)*IF(Upgrades!$T$10="Solar Wind",POWER(Upgrades!$U$10,I387),1)*IF(Upgrades!$T$11="Solar Wind",POWER(Upgrades!$U$11,J387),1)*IF(Upgrades!$T$12="Solar Wind",POWER(Upgrades!$U$12,K387),1))*POWER(Upgrades!$P$6,E387)*POWER(Upgrades!$P$7,F387)*POWER(Upgrades!$P$8,G387)*POWER(Upgrades!$P$9,H387)*POWER(Upgrades!$P$10,I387)*POWER(Upgrades!$P$11,J387)*POWER(Upgrades!$P$12,K387)*60</f>
        <v>72</v>
      </c>
      <c r="AB387" s="27" t="n">
        <f aca="false">(IF(F387=0,0,(Upgrades!$G$7+F387*Upgrades!$H$7)*POWER(Upgrades!$I$7,F387)))*(IF(Upgrades!$T$6="Asteroid Belt",POWER(Upgrades!$U$6,E387),1)*IF(Upgrades!$T$8="Asteroid Belt",POWER(Upgrades!$U$8,G387),1)*IF(Upgrades!$T$9="Asteroid Belt",POWER(Upgrades!$U$9,H387),1)*IF(Upgrades!$T$10="Asteroid Belt",POWER(Upgrades!$U$10,I387),1)*IF(Upgrades!$T$11="Asteroid Belt",POWER(Upgrades!$U$11,J387),1)*IF(Upgrades!$T$12="Asteroid Belt",POWER(Upgrades!$U$12,K387),1))*POWER(Upgrades!$P$6,E387)*POWER(Upgrades!$P$7,F387)*POWER(Upgrades!$P$8,G387)*POWER(Upgrades!$P$9,H387)*POWER(Upgrades!$P$10,I387)*POWER(Upgrades!$P$11,J387)*POWER(Upgrades!$P$12,K387)*60</f>
        <v>150</v>
      </c>
      <c r="AC387" s="27" t="n">
        <f aca="false">(IF(G387=0,0,(Upgrades!$J$8+G387*Upgrades!$K$8)*POWER(Upgrades!$L$8,G387)))*(IF(Upgrades!$T$6="Stellar Coupling",POWER(Upgrades!$U$6,E387),1)*IF(Upgrades!$T$7="Stellar Coupling",POWER(Upgrades!$U$7,F387),1)*IF(Upgrades!$T$9="Stellar Coupling",POWER(Upgrades!$U$9,H387),1)*IF(Upgrades!$T$10="Stellar Coupling",POWER(Upgrades!$U$10,I387),1)*IF(Upgrades!$T$11="Stellar Coupling",POWER(Upgrades!$U$11,J387),1)*IF(Upgrades!$T$12="Stellar Coupling",POWER(Upgrades!$U$12,K387),1))*POWER(Upgrades!$Q$6,E387)*POWER(Upgrades!$Q$7,F387)*POWER(Upgrades!$Q$8,G387)*POWER(Upgrades!$Q$9,H387)*POWER(Upgrades!$Q$10,I387)*POWER(Upgrades!$Q$11,J387)*POWER(Upgrades!$Q$12,K387)*Parameters!$B$10*Parameters!$B$11</f>
        <v>441</v>
      </c>
      <c r="AD387" s="27" t="n">
        <f aca="false">(IF(H387=0,0,(Upgrades!$G$9+H387*Upgrades!$H$9)*POWER(Upgrades!$I$9,H387)))*(IF(Upgrades!$T$6="Magnetosphere",POWER(Upgrades!$U$6,E387),1)*IF(Upgrades!$T$7="Magnetosphere",POWER(Upgrades!$U$7,F387),1)*IF(Upgrades!$T$8="Magnetosphere",POWER(Upgrades!$U$8,G387),1)*IF(Upgrades!$T$10="Magnetosphere",POWER(Upgrades!$U$10,I387),1)*IF(Upgrades!$T$11="Magnetosphere",POWER(Upgrades!$U$11,J387),1)*IF(Upgrades!$T$12="Magnetosphere",POWER(Upgrades!$U$12,K387),1))*POWER(Upgrades!$P$6,E387)*POWER(Upgrades!$P$7,F387)*POWER(Upgrades!$P$8,G387)*POWER(Upgrades!$P$9,H387)*POWER(Upgrades!$P$10,I387)*POWER(Upgrades!$P$11,J387)*POWER(Upgrades!$P$12,K387)*60</f>
        <v>375</v>
      </c>
      <c r="AE387" s="27" t="n">
        <f aca="false">(IF(K387=0,0,(Upgrades!$G$12+K387*Upgrades!$H$12)*POWER(Upgrades!$I$12,K387)))*(IF(Upgrades!$T$6="First Photons",POWER(Upgrades!$U$6,E387),1)*IF(Upgrades!$T$7="First Photons",POWER(Upgrades!$U$7,F387),1)*IF(Upgrades!$T$8="First Photons",POWER(Upgrades!$U$8,G387),1)*IF(Upgrades!$T$9="First Photons",POWER(Upgrades!$U$9,H387),1)*IF(Upgrades!$T$10="First Photons",POWER(Upgrades!$U$10,I387),1)*IF(Upgrades!$T$11="First Photons",POWER(Upgrades!$U$11,J387),1))*POWER(Upgrades!$P$6,E387)*POWER(Upgrades!$P$7,F387)*POWER(Upgrades!$P$8,G387)*POWER(Upgrades!$P$9,H387)*POWER(Upgrades!$P$10,I387)*POWER(Upgrades!$P$11,J387)*POWER(Upgrades!$P$12,K387)*60</f>
        <v>75</v>
      </c>
      <c r="AF387" s="27" t="n">
        <f aca="false">Parameters!$B$9*POWER(Upgrades!$Q$6,E387)*POWER(Upgrades!$Q$7,F387)*POWER(Upgrades!$Q$8,G387)*POWER(Upgrades!$Q$9,H387)*POWER(Upgrades!$Q$10,I387)*POWER(Upgrades!$Q$11,J387)*POWER(Upgrades!$Q$12,K387)*(Parameters!$B$10*Parameters!$B$11+O387*60)</f>
        <v>120</v>
      </c>
      <c r="AG387" s="21" t="n">
        <f aca="false">IF(E387&gt;=Upgrades!$E$6,"",Upgrades!$C$6*POWER(Upgrades!$D$6,E387))</f>
        <v>37.4517507383159</v>
      </c>
      <c r="AH387" s="21" t="n">
        <f aca="false">IF(F387&gt;=Upgrades!$E$7,"",Upgrades!$C$7*POWER(Upgrades!$D$7,F387))</f>
        <v>80.9111547141581</v>
      </c>
      <c r="AI387" s="21" t="n">
        <f aca="false">IF(G387&gt;=Upgrades!$E$8,"",Upgrades!$C$8*POWER(Upgrades!$D$8,G387))</f>
        <v>231.9097088</v>
      </c>
      <c r="AJ387" s="21" t="str">
        <f aca="false">IF(H387&gt;=Upgrades!$E$9,"",Upgrades!$C$9*POWER(Upgrades!$D$9,H387))</f>
        <v/>
      </c>
      <c r="AK387" s="21" t="str">
        <f aca="false">IF(I387&gt;=Upgrades!$E$10,"",Upgrades!$C$10*POWER(Upgrades!$D$10,I387))</f>
        <v/>
      </c>
      <c r="AL387" s="21" t="str">
        <f aca="false">IF(J387&gt;=Upgrades!$E$11,"",Upgrades!$C$11*POWER(Upgrades!$D$11,J387))</f>
        <v/>
      </c>
      <c r="AM387" s="21" t="str">
        <f aca="false">IF(K387&gt;=Upgrades!$E$12,"",Upgrades!$C$12*POWER(Upgrades!$D$12,K387))</f>
        <v/>
      </c>
      <c r="AN387" s="26" t="str">
        <f aca="false">IF(AND(D387&gt;=Parameters!$B$18,(H387&gt;=Upgrades!$E$9)*(K387&gt;=Upgrades!$E$12)=1,L387=0),1,"")</f>
        <v/>
      </c>
      <c r="AO387" s="26" t="str">
        <f aca="false">IF(AND(D387&gt;=Parameters!$B$18,L387=0),1,"")</f>
        <v/>
      </c>
      <c r="AP387" s="21" t="n">
        <f aca="false">MIN(IF(ISNUMBER(AK387),AK387,9000000000000000),IF(ISNUMBER(AL387),AL387,9000000000000000),IF(ISNUMBER(AM387),AM387,9000000000000000))</f>
        <v>9000000000000000</v>
      </c>
      <c r="AQ387" s="21" t="n">
        <f aca="false">MIN(IF(ISNUMBER(AG387),AG387,9000000000000000),IF(ISNUMBER(AH387),AH387,9000000000000000),IF(ISNUMBER(AI387),AI387,9000000000000000),IF(ISNUMBER(AJ387),AJ387,9000000000000000))</f>
        <v>37.4517507383159</v>
      </c>
      <c r="AR387" s="32" t="b">
        <f aca="false">IF(AW387&gt;Parameters!$B$21*(MAX(IF(AND(NOT(AND(AO387=1,AN387&lt;&gt;1)),ISNUMBER(AG387),AG387&lt;=T387),AS387,0),IF(AND(NOT(AND(AO387=1,AN387&lt;&gt;1)),ISNUMBER(AH387),AH387&lt;=T387),AT387,0),IF(AND(NOT(AND(AO387=1,AN387&lt;&gt;1)),ISNUMBER(AI387),AI387&lt;=T387),AU387,0),IF(AND(ISNUMBER(AJ387),AJ387&lt;=T387),AV387,0))),TRUE(),FALSE())</f>
        <v>1</v>
      </c>
      <c r="AS387" s="33" t="n">
        <f aca="false">IFERROR(Upgrades!$H$6*(POWER(Upgrades!$P$6,E387)*POWER(Upgrades!$P$7,F387)*POWER(Upgrades!$P$8,G387)*POWER(Upgrades!$P$9,H387)*POWER(Upgrades!$P$10,I387)*POWER(Upgrades!$P$11,J387)*POWER(Upgrades!$P$12,K387))*(IF(Upgrades!$T$7="Solar Wind",POWER(Upgrades!$U$7,F387),1)*IF(Upgrades!$T$8="Solar Wind",POWER(Upgrades!$U$8,G387),1)*IF(Upgrades!$T$9="Solar Wind",POWER(Upgrades!$U$9,H387),1)*IF(Upgrades!$T$10="Solar Wind",POWER(Upgrades!$U$10,I387),1)*IF(Upgrades!$T$11="Solar Wind",POWER(Upgrades!$U$11,J387),1)*IF(Upgrades!$T$12="Solar Wind",POWER(Upgrades!$U$12,K387),1))/AG387,0)</f>
        <v>0.0026701021455238</v>
      </c>
      <c r="AT387" s="33" t="n">
        <f aca="false">IFERROR(Upgrades!$H$7*(POWER(Upgrades!$P$6,E387)*POWER(Upgrades!$P$7,F387)*POWER(Upgrades!$P$8,G387)*POWER(Upgrades!$P$9,H387)*POWER(Upgrades!$P$10,I387)*POWER(Upgrades!$P$11,J387)*POWER(Upgrades!$P$12,K387))*(IF(Upgrades!$T$6="Asteroid Belt",POWER(Upgrades!$U$6,E387),1)*IF(Upgrades!$T$8="Asteroid Belt",POWER(Upgrades!$U$8,G387),1)*IF(Upgrades!$T$9="Asteroid Belt",POWER(Upgrades!$U$9,H387),1)*IF(Upgrades!$T$10="Asteroid Belt",POWER(Upgrades!$U$10,I387),1)*IF(Upgrades!$T$11="Asteroid Belt",POWER(Upgrades!$U$11,J387),1)*IF(Upgrades!$T$12="Asteroid Belt",POWER(Upgrades!$U$12,K387),1))/AH387,0)</f>
        <v>0.00308980882652332</v>
      </c>
      <c r="AU387" s="33" t="n">
        <f aca="false">IFERROR(Upgrades!$K$8*(POWER(Upgrades!$Q$6,E387)*POWER(Upgrades!$Q$7,F387)*POWER(Upgrades!$Q$8,G387)*POWER(Upgrades!$Q$9,H387)*POWER(Upgrades!$Q$10,I387)*POWER(Upgrades!$Q$11,J387)*POWER(Upgrades!$Q$12,K387))*(IF(Upgrades!$T$6="Stellar Coupling",POWER(Upgrades!$U$6,E387),1)*IF(Upgrades!$T$7="Stellar Coupling",POWER(Upgrades!$U$7,F387),1)*IF(Upgrades!$T$9="Stellar Coupling",POWER(Upgrades!$U$9,H387),1)*IF(Upgrades!$T$10="Stellar Coupling",POWER(Upgrades!$U$10,I387),1)*IF(Upgrades!$T$11="Stellar Coupling",POWER(Upgrades!$U$11,J387),1)*IF(Upgrades!$T$12="Stellar Coupling",POWER(Upgrades!$U$12,K387),1))*Parameters!$B$10*Parameters!$B$11/60/AI387,0)</f>
        <v>0.00452762415783776</v>
      </c>
      <c r="AV387" s="33" t="n">
        <f aca="false">IFERROR(Upgrades!$H$9*(POWER(Upgrades!$P$6,E387)*POWER(Upgrades!$P$7,F387)*POWER(Upgrades!$P$8,G387)*POWER(Upgrades!$P$9,H387)*POWER(Upgrades!$P$10,I387)*POWER(Upgrades!$P$11,J387)*POWER(Upgrades!$P$12,K387))*(IF(Upgrades!$T$6="Magnetosphere",POWER(Upgrades!$U$6,E387),1)*IF(Upgrades!$T$7="Magnetosphere",POWER(Upgrades!$U$7,F387),1)*IF(Upgrades!$T$8="Magnetosphere",POWER(Upgrades!$U$8,G387),1)*IF(Upgrades!$T$10="Magnetosphere",POWER(Upgrades!$U$10,I387),1)*IF(Upgrades!$T$11="Magnetosphere",POWER(Upgrades!$U$11,J387),1)*IF(Upgrades!$T$12="Magnetosphere",POWER(Upgrades!$U$12,K387),1))/AJ387,0)</f>
        <v>0</v>
      </c>
      <c r="AW387" s="33" t="n">
        <f aca="false">MAX(IF(I387&gt;0,0,IFERROR(0.25*N387/Upgrades!$C$10,0)),IF(J387&gt;0,0,IFERROR(0.5*((IF(G387=0,0,(Upgrades!$J$8+G387*Upgrades!$K$8)*POWER(Upgrades!$L$8,G387)))*(IF(Upgrades!$T$6="Stellar Coupling",POWER(Upgrades!$U$6,E387),1)*IF(Upgrades!$T$7="Stellar Coupling",POWER(Upgrades!$U$7,F387),1)*IF(Upgrades!$T$9="Stellar Coupling",POWER(Upgrades!$U$9,H387),1)*IF(Upgrades!$T$10="Stellar Coupling",POWER(Upgrades!$U$10,I387),1)*IF(Upgrades!$T$11="Stellar Coupling",POWER(Upgrades!$U$11,J387),1)*IF(Upgrades!$T$12="Stellar Coupling",POWER(Upgrades!$U$12,K387),1))*(POWER(Upgrades!$Q$6,E387)*POWER(Upgrades!$Q$7,F387)*POWER(Upgrades!$Q$8,G387)*POWER(Upgrades!$Q$9,H387)*POWER(Upgrades!$Q$10,I387)*POWER(Upgrades!$Q$11,J387)*POWER(Upgrades!$Q$12,K387))*Parameters!$B$10*Parameters!$B$11/60)/Upgrades!$C$11,0)),IF(K387&gt;0,0,IFERROR((1*(POWER(Upgrades!$P$6,E387)*POWER(Upgrades!$P$7,F387)*POWER(Upgrades!$P$8,G387)*POWER(Upgrades!$P$9,H387)*POWER(Upgrades!$P$10,I387)*POWER(Upgrades!$P$11,J387)*POWER(Upgrades!$P$12,K387))+0.2*M387*Parameters!$B$10*Parameters!$B$11/60)/Upgrades!$C$12,0)),IF(AND(ISNUMBER(AG387),AG387&gt;T387),AS387,0),IF(AND(ISNUMBER(AH387),AH387&gt;T387),AT387,0),IF(AND(ISNUMBER(AI387),AI387&gt;T387),AU387,0),IF(AND(ISNUMBER(AJ387),AJ387&gt;T387),AV387,0))</f>
        <v>0.00452762415783776</v>
      </c>
      <c r="AX387" s="29" t="str">
        <f aca="false">IF(AN387=1,"transition",IF(MIN(IF(AND(I387=0,ISNUMBER(AK387),AK387&lt;=T387),AK387,9000000000000000),IF(AND(J387=0,ISNUMBER(AL387),AL387&lt;=T387),AL387,9000000000000000),IF(AND(K387=0,ISNUMBER(AM387),AM387&lt;=T387),AM387,9000000000000000))&lt;9000000000000000,IF(AND(AND(I387=0,ISNUMBER(AK387),AK387&lt;=T387),AK387=MIN(IF(AND(I387=0,ISNUMBER(AK387),AK387&lt;=T387),AK387,9000000000000000),IF(AND(J387=0,ISNUMBER(AL387),AL387&lt;=T387),AL387,9000000000000000),IF(AND(K387=0,ISNUMBER(AM387),AM387&lt;=T387),AM387,9000000000000000))),"OR",IF(AND(AND(J387=0,ISNUMBER(AL387),AL387&lt;=T387),AL387=MIN(IF(AND(I387=0,ISNUMBER(AK387),AK387&lt;=T387),AK387,9000000000000000),IF(AND(J387=0,ISNUMBER(AL387),AL387&lt;=T387),AL387,9000000000000000),IF(AND(K387=0,ISNUMBER(AM387),AM387&lt;=T387),AM387,9000000000000000))),"HP","FP")),IF(AR387=TRUE(),"",IF(MAX(IF(AND(NOT(AND(AO387=1,AN387&lt;&gt;1)),ISNUMBER(AG387),AG387&lt;=T387),AS387,0),IF(AND(NOT(AND(AO387=1,AN387&lt;&gt;1)),ISNUMBER(AH387),AH387&lt;=T387),AT387,0),IF(AND(NOT(AND(AO387=1,AN387&lt;&gt;1)),ISNUMBER(AI387),AI387&lt;=T387),AU387,0),IF(AND(ISNUMBER(AJ387),AJ387&lt;=T387),AV387,0))&lt;=0,"",IF(AND(IF(AND(NOT(AND(AO387=1,AN387&lt;&gt;1)),ISNUMBER(AG387),AG387&lt;=T387),AS387,0)&gt;0,IF(AND(NOT(AND(AO387=1,AN387&lt;&gt;1)),ISNUMBER(AG387),AG387&lt;=T387),AS387,0)=MAX(IF(AND(NOT(AND(AO387=1,AN387&lt;&gt;1)),ISNUMBER(AG387),AG387&lt;=T387),AS387,0),IF(AND(NOT(AND(AO387=1,AN387&lt;&gt;1)),ISNUMBER(AH387),AH387&lt;=T387),AT387,0),IF(AND(NOT(AND(AO387=1,AN387&lt;&gt;1)),ISNUMBER(AI387),AI387&lt;=T387),AU387,0),IF(AND(ISNUMBER(AJ387),AJ387&lt;=T387),AV387,0))),"SW",IF(AND(IF(AND(NOT(AND(AO387=1,AN387&lt;&gt;1)),ISNUMBER(AH387),AH387&lt;=T387),AT387,0)&gt;0,IF(AND(NOT(AND(AO387=1,AN387&lt;&gt;1)),ISNUMBER(AH387),AH387&lt;=T387),AT387,0)=MAX(IF(AND(NOT(AND(AO387=1,AN387&lt;&gt;1)),ISNUMBER(AG387),AG387&lt;=T387),AS387,0),IF(AND(NOT(AND(AO387=1,AN387&lt;&gt;1)),ISNUMBER(AH387),AH387&lt;=T387),AT387,0),IF(AND(NOT(AND(AO387=1,AN387&lt;&gt;1)),ISNUMBER(AI387),AI387&lt;=T387),AU387,0),IF(AND(ISNUMBER(AJ387),AJ387&lt;=T387),AV387,0))),"AB",IF(AND(IF(AND(NOT(AND(AO387=1,AN387&lt;&gt;1)),ISNUMBER(AI387),AI387&lt;=T387),AU387,0)&gt;0,IF(AND(NOT(AND(AO387=1,AN387&lt;&gt;1)),ISNUMBER(AI387),AI387&lt;=T387),AU387,0)=MAX(IF(AND(NOT(AND(AO387=1,AN387&lt;&gt;1)),ISNUMBER(AG387),AG387&lt;=T387),AS387,0),IF(AND(NOT(AND(AO387=1,AN387&lt;&gt;1)),ISNUMBER(AH387),AH387&lt;=T387),AT387,0),IF(AND(NOT(AND(AO387=1,AN387&lt;&gt;1)),ISNUMBER(AI387),AI387&lt;=T387),AU387,0),IF(AND(ISNUMBER(AJ387),AJ387&lt;=T387),AV387,0))),"SC","Mag")))))))</f>
        <v/>
      </c>
    </row>
    <row r="388" customFormat="false" ht="15" hidden="false" customHeight="false" outlineLevel="0" collapsed="false">
      <c r="A388" s="26" t="n">
        <v>383</v>
      </c>
      <c r="B388" s="27" t="n">
        <f aca="false">A388*10/60</f>
        <v>63.8333333333333</v>
      </c>
      <c r="C388" s="21" t="n">
        <f aca="false">X387</f>
        <v>18.6730249835055</v>
      </c>
      <c r="D388" s="27" t="n">
        <f aca="false">D387+W387</f>
        <v>0</v>
      </c>
      <c r="E388" s="26" t="n">
        <f aca="false">E387+IF(U387="SW",1,0)</f>
        <v>12</v>
      </c>
      <c r="F388" s="26" t="n">
        <f aca="false">F387+IF(U387="AB",1,0)</f>
        <v>10</v>
      </c>
      <c r="G388" s="26" t="n">
        <f aca="false">G387+IF(U387="SC",1,0)</f>
        <v>7</v>
      </c>
      <c r="H388" s="26" t="n">
        <f aca="false">H387+IF(U387="Mag",1,0)</f>
        <v>5</v>
      </c>
      <c r="I388" s="26" t="n">
        <f aca="false">MAX(I387,IF(U387="OR",1,0))</f>
        <v>1</v>
      </c>
      <c r="J388" s="26" t="n">
        <f aca="false">MAX(J387,IF(U387="HP",1,0))</f>
        <v>1</v>
      </c>
      <c r="K388" s="26" t="n">
        <f aca="false">MAX(K387,IF(U387="FP",1,0))</f>
        <v>1</v>
      </c>
      <c r="L388" s="26" t="n">
        <f aca="false">MAX(L387,IF(U387="transition",1,0))</f>
        <v>1</v>
      </c>
      <c r="M388" s="28" t="n">
        <f aca="false">(Parameters!$B$9+(IF(E388=0,0,(Upgrades!$J$6+E388*Upgrades!$K$6)*POWER(Upgrades!$L$6,E388)))*(IF(Upgrades!$T$7="Solar Wind",POWER(Upgrades!$U$7,F388),1)*IF(Upgrades!$T$8="Solar Wind",POWER(Upgrades!$U$8,G388),1)*IF(Upgrades!$T$9="Solar Wind",POWER(Upgrades!$U$9,H388),1)*IF(Upgrades!$T$10="Solar Wind",POWER(Upgrades!$U$10,I388),1)*IF(Upgrades!$T$11="Solar Wind",POWER(Upgrades!$U$11,J388),1)*IF(Upgrades!$T$12="Solar Wind",POWER(Upgrades!$U$12,K388),1))+(IF(F388=0,0,(Upgrades!$J$7+F388*Upgrades!$K$7)*POWER(Upgrades!$L$7,F388)))*(IF(Upgrades!$T$6="Asteroid Belt",POWER(Upgrades!$U$6,E388),1)*IF(Upgrades!$T$8="Asteroid Belt",POWER(Upgrades!$U$8,G388),1)*IF(Upgrades!$T$9="Asteroid Belt",POWER(Upgrades!$U$9,H388),1)*IF(Upgrades!$T$10="Asteroid Belt",POWER(Upgrades!$U$10,I388),1)*IF(Upgrades!$T$11="Asteroid Belt",POWER(Upgrades!$U$11,J388),1)*IF(Upgrades!$T$12="Asteroid Belt",POWER(Upgrades!$U$12,K388),1))+(IF(G388=0,0,(Upgrades!$J$8+G388*Upgrades!$K$8)*POWER(Upgrades!$L$8,G388)))*(IF(Upgrades!$T$6="Stellar Coupling",POWER(Upgrades!$U$6,E388),1)*IF(Upgrades!$T$7="Stellar Coupling",POWER(Upgrades!$U$7,F388),1)*IF(Upgrades!$T$9="Stellar Coupling",POWER(Upgrades!$U$9,H388),1)*IF(Upgrades!$T$10="Stellar Coupling",POWER(Upgrades!$U$10,I388),1)*IF(Upgrades!$T$11="Stellar Coupling",POWER(Upgrades!$U$11,J388),1)*IF(Upgrades!$T$12="Stellar Coupling",POWER(Upgrades!$U$12,K388),1))+(IF(H388=0,0,(Upgrades!$J$9+H388*Upgrades!$K$9)*POWER(Upgrades!$L$9,H388)))*(IF(Upgrades!$T$6="Magnetosphere",POWER(Upgrades!$U$6,E388),1)*IF(Upgrades!$T$7="Magnetosphere",POWER(Upgrades!$U$7,F388),1)*IF(Upgrades!$T$8="Magnetosphere",POWER(Upgrades!$U$8,G388),1)*IF(Upgrades!$T$10="Magnetosphere",POWER(Upgrades!$U$10,I388),1)*IF(Upgrades!$T$11="Magnetosphere",POWER(Upgrades!$U$11,J388),1)*IF(Upgrades!$T$12="Magnetosphere",POWER(Upgrades!$U$12,K388),1))+(IF(I388=0,0,(Upgrades!$J$10+I388*Upgrades!$K$10)*POWER(Upgrades!$L$10,I388)))*(IF(Upgrades!$T$6="Orbital Resonance",POWER(Upgrades!$U$6,E388),1)*IF(Upgrades!$T$7="Orbital Resonance",POWER(Upgrades!$U$7,F388),1)*IF(Upgrades!$T$8="Orbital Resonance",POWER(Upgrades!$U$8,G388),1)*IF(Upgrades!$T$9="Orbital Resonance",POWER(Upgrades!$U$9,H388),1)*IF(Upgrades!$T$11="Orbital Resonance",POWER(Upgrades!$U$11,J388),1)*IF(Upgrades!$T$12="Orbital Resonance",POWER(Upgrades!$U$12,K388),1))+(IF(J388=0,0,(Upgrades!$J$11+J388*Upgrades!$K$11)*POWER(Upgrades!$L$11,J388)))*(IF(Upgrades!$T$6="Heliopause",POWER(Upgrades!$U$6,E388),1)*IF(Upgrades!$T$7="Heliopause",POWER(Upgrades!$U$7,F388),1)*IF(Upgrades!$T$8="Heliopause",POWER(Upgrades!$U$8,G388),1)*IF(Upgrades!$T$9="Heliopause",POWER(Upgrades!$U$9,H388),1)*IF(Upgrades!$T$10="Heliopause",POWER(Upgrades!$U$10,I388),1)*IF(Upgrades!$T$12="Heliopause",POWER(Upgrades!$U$12,K388),1))+(IF(K388=0,0,(Upgrades!$J$12+K388*Upgrades!$K$12)*POWER(Upgrades!$L$12,K388)))*(IF(Upgrades!$T$6="First Photons",POWER(Upgrades!$U$6,E388),1)*IF(Upgrades!$T$7="First Photons",POWER(Upgrades!$U$7,F388),1)*IF(Upgrades!$T$8="First Photons",POWER(Upgrades!$U$8,G388),1)*IF(Upgrades!$T$9="First Photons",POWER(Upgrades!$U$9,H388),1)*IF(Upgrades!$T$10="First Photons",POWER(Upgrades!$U$10,I388),1)*IF(Upgrades!$T$11="First Photons",POWER(Upgrades!$U$11,J388),1)))*POWER(Upgrades!$Q$6,E388)*POWER(Upgrades!$Q$7,F388)*POWER(Upgrades!$Q$8,G388)*POWER(Upgrades!$Q$9,H388)*POWER(Upgrades!$Q$10,I388)*POWER(Upgrades!$Q$11,J388)*POWER(Upgrades!$Q$12,K388)</f>
        <v>5.61</v>
      </c>
      <c r="N388" s="28" t="n">
        <f aca="false">((IF(E388=0,0,(Upgrades!$G$6+E388*Upgrades!$H$6)*POWER(Upgrades!$I$6,E388)))*(IF(Upgrades!$T$7="Solar Wind",POWER(Upgrades!$U$7,F388),1)*IF(Upgrades!$T$8="Solar Wind",POWER(Upgrades!$U$8,G388),1)*IF(Upgrades!$T$9="Solar Wind",POWER(Upgrades!$U$9,H388),1)*IF(Upgrades!$T$10="Solar Wind",POWER(Upgrades!$U$10,I388),1)*IF(Upgrades!$T$11="Solar Wind",POWER(Upgrades!$U$11,J388),1)*IF(Upgrades!$T$12="Solar Wind",POWER(Upgrades!$U$12,K388),1))+(IF(F388=0,0,(Upgrades!$G$7+F388*Upgrades!$H$7)*POWER(Upgrades!$I$7,F388)))*(IF(Upgrades!$T$6="Asteroid Belt",POWER(Upgrades!$U$6,E388),1)*IF(Upgrades!$T$8="Asteroid Belt",POWER(Upgrades!$U$8,G388),1)*IF(Upgrades!$T$9="Asteroid Belt",POWER(Upgrades!$U$9,H388),1)*IF(Upgrades!$T$10="Asteroid Belt",POWER(Upgrades!$U$10,I388),1)*IF(Upgrades!$T$11="Asteroid Belt",POWER(Upgrades!$U$11,J388),1)*IF(Upgrades!$T$12="Asteroid Belt",POWER(Upgrades!$U$12,K388),1))+(IF(G388=0,0,(Upgrades!$G$8+G388*Upgrades!$H$8)*POWER(Upgrades!$I$8,G388)))*(IF(Upgrades!$T$6="Stellar Coupling",POWER(Upgrades!$U$6,E388),1)*IF(Upgrades!$T$7="Stellar Coupling",POWER(Upgrades!$U$7,F388),1)*IF(Upgrades!$T$9="Stellar Coupling",POWER(Upgrades!$U$9,H388),1)*IF(Upgrades!$T$10="Stellar Coupling",POWER(Upgrades!$U$10,I388),1)*IF(Upgrades!$T$11="Stellar Coupling",POWER(Upgrades!$U$11,J388),1)*IF(Upgrades!$T$12="Stellar Coupling",POWER(Upgrades!$U$12,K388),1))+(IF(H388=0,0,(Upgrades!$G$9+H388*Upgrades!$H$9)*POWER(Upgrades!$I$9,H388)))*(IF(Upgrades!$T$6="Magnetosphere",POWER(Upgrades!$U$6,E388),1)*IF(Upgrades!$T$7="Magnetosphere",POWER(Upgrades!$U$7,F388),1)*IF(Upgrades!$T$8="Magnetosphere",POWER(Upgrades!$U$8,G388),1)*IF(Upgrades!$T$10="Magnetosphere",POWER(Upgrades!$U$10,I388),1)*IF(Upgrades!$T$11="Magnetosphere",POWER(Upgrades!$U$11,J388),1)*IF(Upgrades!$T$12="Magnetosphere",POWER(Upgrades!$U$12,K388),1))+(IF(I388=0,0,(Upgrades!$G$10+I388*Upgrades!$H$10)*POWER(Upgrades!$I$10,I388)))*(IF(Upgrades!$T$6="Orbital Resonance",POWER(Upgrades!$U$6,E388),1)*IF(Upgrades!$T$7="Orbital Resonance",POWER(Upgrades!$U$7,F388),1)*IF(Upgrades!$T$8="Orbital Resonance",POWER(Upgrades!$U$8,G388),1)*IF(Upgrades!$T$9="Orbital Resonance",POWER(Upgrades!$U$9,H388),1)*IF(Upgrades!$T$11="Orbital Resonance",POWER(Upgrades!$U$11,J388),1)*IF(Upgrades!$T$12="Orbital Resonance",POWER(Upgrades!$U$12,K388),1))+(IF(J388=0,0,(Upgrades!$G$11+J388*Upgrades!$H$11)*POWER(Upgrades!$I$11,J388)))*(IF(Upgrades!$T$6="Heliopause",POWER(Upgrades!$U$6,E388),1)*IF(Upgrades!$T$7="Heliopause",POWER(Upgrades!$U$7,F388),1)*IF(Upgrades!$T$8="Heliopause",POWER(Upgrades!$U$8,G388),1)*IF(Upgrades!$T$9="Heliopause",POWER(Upgrades!$U$9,H388),1)*IF(Upgrades!$T$10="Heliopause",POWER(Upgrades!$U$10,I388),1)*IF(Upgrades!$T$12="Heliopause",POWER(Upgrades!$U$12,K388),1))+(IF(K388=0,0,(Upgrades!$G$12+K388*Upgrades!$H$12)*POWER(Upgrades!$I$12,K388)))*(IF(Upgrades!$T$6="First Photons",POWER(Upgrades!$U$6,E388),1)*IF(Upgrades!$T$7="First Photons",POWER(Upgrades!$U$7,F388),1)*IF(Upgrades!$T$8="First Photons",POWER(Upgrades!$U$8,G388),1)*IF(Upgrades!$T$9="First Photons",POWER(Upgrades!$U$9,H388),1)*IF(Upgrades!$T$10="First Photons",POWER(Upgrades!$U$10,I388),1)*IF(Upgrades!$T$11="First Photons",POWER(Upgrades!$U$11,J388),1)))*POWER(Upgrades!$P$6,E388)*POWER(Upgrades!$P$7,F388)*POWER(Upgrades!$P$8,G388)*POWER(Upgrades!$P$9,H388)*POWER(Upgrades!$P$10,I388)*POWER(Upgrades!$P$11,J388)*POWER(Upgrades!$P$12,K388)</f>
        <v>11.2</v>
      </c>
      <c r="O388" s="28" t="n">
        <f aca="false">((IF(E388=0,0,(Upgrades!$M$6+E388*Upgrades!$N$6)*POWER(Upgrades!$O$6,E388)))*(IF(Upgrades!$T$7="Solar Wind",POWER(Upgrades!$U$7,F388),1)*IF(Upgrades!$T$8="Solar Wind",POWER(Upgrades!$U$8,G388),1)*IF(Upgrades!$T$9="Solar Wind",POWER(Upgrades!$U$9,H388),1)*IF(Upgrades!$T$10="Solar Wind",POWER(Upgrades!$U$10,I388),1)*IF(Upgrades!$T$11="Solar Wind",POWER(Upgrades!$U$11,J388),1)*IF(Upgrades!$T$12="Solar Wind",POWER(Upgrades!$U$12,K388),1))+(IF(F388=0,0,(Upgrades!$M$7+F388*Upgrades!$N$7)*POWER(Upgrades!$O$7,F388)))*(IF(Upgrades!$T$6="Asteroid Belt",POWER(Upgrades!$U$6,E388),1)*IF(Upgrades!$T$8="Asteroid Belt",POWER(Upgrades!$U$8,G388),1)*IF(Upgrades!$T$9="Asteroid Belt",POWER(Upgrades!$U$9,H388),1)*IF(Upgrades!$T$10="Asteroid Belt",POWER(Upgrades!$U$10,I388),1)*IF(Upgrades!$T$11="Asteroid Belt",POWER(Upgrades!$U$11,J388),1)*IF(Upgrades!$T$12="Asteroid Belt",POWER(Upgrades!$U$12,K388),1))+(IF(G388=0,0,(Upgrades!$M$8+G388*Upgrades!$N$8)*POWER(Upgrades!$O$8,G388)))*(IF(Upgrades!$T$6="Stellar Coupling",POWER(Upgrades!$U$6,E388),1)*IF(Upgrades!$T$7="Stellar Coupling",POWER(Upgrades!$U$7,F388),1)*IF(Upgrades!$T$9="Stellar Coupling",POWER(Upgrades!$U$9,H388),1)*IF(Upgrades!$T$10="Stellar Coupling",POWER(Upgrades!$U$10,I388),1)*IF(Upgrades!$T$11="Stellar Coupling",POWER(Upgrades!$U$11,J388),1)*IF(Upgrades!$T$12="Stellar Coupling",POWER(Upgrades!$U$12,K388),1))+(IF(H388=0,0,(Upgrades!$M$9+H388*Upgrades!$N$9)*POWER(Upgrades!$O$9,H388)))*(IF(Upgrades!$T$6="Magnetosphere",POWER(Upgrades!$U$6,E388),1)*IF(Upgrades!$T$7="Magnetosphere",POWER(Upgrades!$U$7,F388),1)*IF(Upgrades!$T$8="Magnetosphere",POWER(Upgrades!$U$8,G388),1)*IF(Upgrades!$T$10="Magnetosphere",POWER(Upgrades!$U$10,I388),1)*IF(Upgrades!$T$11="Magnetosphere",POWER(Upgrades!$U$11,J388),1)*IF(Upgrades!$T$12="Magnetosphere",POWER(Upgrades!$U$12,K388),1))+(IF(I388=0,0,(Upgrades!$M$10+I388*Upgrades!$N$10)*POWER(Upgrades!$O$10,I388)))*(IF(Upgrades!$T$6="Orbital Resonance",POWER(Upgrades!$U$6,E388),1)*IF(Upgrades!$T$7="Orbital Resonance",POWER(Upgrades!$U$7,F388),1)*IF(Upgrades!$T$8="Orbital Resonance",POWER(Upgrades!$U$8,G388),1)*IF(Upgrades!$T$9="Orbital Resonance",POWER(Upgrades!$U$9,H388),1)*IF(Upgrades!$T$11="Orbital Resonance",POWER(Upgrades!$U$11,J388),1)*IF(Upgrades!$T$12="Orbital Resonance",POWER(Upgrades!$U$12,K388),1))+(IF(J388=0,0,(Upgrades!$M$11+J388*Upgrades!$N$11)*POWER(Upgrades!$O$11,J388)))*(IF(Upgrades!$T$6="Heliopause",POWER(Upgrades!$U$6,E388),1)*IF(Upgrades!$T$7="Heliopause",POWER(Upgrades!$U$7,F388),1)*IF(Upgrades!$T$8="Heliopause",POWER(Upgrades!$U$8,G388),1)*IF(Upgrades!$T$9="Heliopause",POWER(Upgrades!$U$9,H388),1)*IF(Upgrades!$T$10="Heliopause",POWER(Upgrades!$U$10,I388),1)*IF(Upgrades!$T$12="Heliopause",POWER(Upgrades!$U$12,K388),1))+(IF(K388=0,0,(Upgrades!$M$12+K388*Upgrades!$N$12)*POWER(Upgrades!$O$12,K388)))*(IF(Upgrades!$T$6="First Photons",POWER(Upgrades!$U$6,E388),1)*IF(Upgrades!$T$7="First Photons",POWER(Upgrades!$U$7,F388),1)*IF(Upgrades!$T$8="First Photons",POWER(Upgrades!$U$8,G388),1)*IF(Upgrades!$T$9="First Photons",POWER(Upgrades!$U$9,H388),1)*IF(Upgrades!$T$10="First Photons",POWER(Upgrades!$U$10,I388),1)*IF(Upgrades!$T$11="First Photons",POWER(Upgrades!$U$11,J388),1)))*POWER(Upgrades!$R$6,E388)*POWER(Upgrades!$R$7,F388)*POWER(Upgrades!$R$8,G388)*POWER(Upgrades!$R$9,H388)*POWER(Upgrades!$R$10,I388)*POWER(Upgrades!$R$11,J388)*POWER(Upgrades!$R$12,K388)</f>
        <v>0</v>
      </c>
      <c r="P388" s="27" t="n">
        <f aca="false">IF(L388=1,0,M388*Parameters!$B$10/60*Parameters!$B$11*10)</f>
        <v>0</v>
      </c>
      <c r="Q388" s="27" t="n">
        <f aca="false">IF(L388=1,0,O388*M388*10)</f>
        <v>0</v>
      </c>
      <c r="R388" s="27" t="n">
        <f aca="false">IF(L388=1,0,N388*10)</f>
        <v>0</v>
      </c>
      <c r="S388" s="27" t="n">
        <f aca="false">P388+Q388+R388</f>
        <v>0</v>
      </c>
      <c r="T388" s="21" t="n">
        <f aca="false">C388+S388</f>
        <v>18.6730249835055</v>
      </c>
      <c r="U388" s="34" t="str">
        <f aca="false">AX388</f>
        <v/>
      </c>
      <c r="V388" s="21" t="n">
        <f aca="false">IF(U388="",0,IF(U388="transition",0,IF(U388="SW",AG388,IF(U388="AB",AH388,IF(U388="SC",AI388,IF(U388="Mag",AJ388,IF(U388="OR",AK388,IF(U388="HP",AL388,IF(U388="FP",AM388,0)))))))))</f>
        <v>0</v>
      </c>
      <c r="W388" s="27" t="n">
        <f aca="false">IF(U388="OR",Upgrades!$F$10,IF(U388="HP",Upgrades!$F$11,IF(U388="transition",-Parameters!$B$18,0)))</f>
        <v>0</v>
      </c>
      <c r="X388" s="21" t="n">
        <f aca="false">T388-V388</f>
        <v>18.6730249835055</v>
      </c>
      <c r="Y388" s="30" t="n">
        <f aca="false">M388*Parameters!$B$10/60*Parameters!$B$11+O388*M388+N388</f>
        <v>20.55</v>
      </c>
      <c r="Z388" s="35" t="str">
        <f aca="false">IF(U388="transition","→ Tier 2 (Stellar Neighborhood)",IF(U388="FP","First Photons — light begins, system quickens",IF(U388="HP","Heliopause acquired",IF(U388="OR","Orbital Resonance — passive multiplier active",IF(AND(AO388=1,L388=0,AN388&lt;&gt;1),"Cohesion ready (waiting on completionist upgrades)","")))))</f>
        <v/>
      </c>
      <c r="AA388" s="27" t="n">
        <f aca="false">(IF(E388=0,0,(Upgrades!$G$6+E388*Upgrades!$H$6)*POWER(Upgrades!$I$6,E388)))*(IF(Upgrades!$T$7="Solar Wind",POWER(Upgrades!$U$7,F388),1)*IF(Upgrades!$T$8="Solar Wind",POWER(Upgrades!$U$8,G388),1)*IF(Upgrades!$T$9="Solar Wind",POWER(Upgrades!$U$9,H388),1)*IF(Upgrades!$T$10="Solar Wind",POWER(Upgrades!$U$10,I388),1)*IF(Upgrades!$T$11="Solar Wind",POWER(Upgrades!$U$11,J388),1)*IF(Upgrades!$T$12="Solar Wind",POWER(Upgrades!$U$12,K388),1))*POWER(Upgrades!$P$6,E388)*POWER(Upgrades!$P$7,F388)*POWER(Upgrades!$P$8,G388)*POWER(Upgrades!$P$9,H388)*POWER(Upgrades!$P$10,I388)*POWER(Upgrades!$P$11,J388)*POWER(Upgrades!$P$12,K388)*60</f>
        <v>72</v>
      </c>
      <c r="AB388" s="27" t="n">
        <f aca="false">(IF(F388=0,0,(Upgrades!$G$7+F388*Upgrades!$H$7)*POWER(Upgrades!$I$7,F388)))*(IF(Upgrades!$T$6="Asteroid Belt",POWER(Upgrades!$U$6,E388),1)*IF(Upgrades!$T$8="Asteroid Belt",POWER(Upgrades!$U$8,G388),1)*IF(Upgrades!$T$9="Asteroid Belt",POWER(Upgrades!$U$9,H388),1)*IF(Upgrades!$T$10="Asteroid Belt",POWER(Upgrades!$U$10,I388),1)*IF(Upgrades!$T$11="Asteroid Belt",POWER(Upgrades!$U$11,J388),1)*IF(Upgrades!$T$12="Asteroid Belt",POWER(Upgrades!$U$12,K388),1))*POWER(Upgrades!$P$6,E388)*POWER(Upgrades!$P$7,F388)*POWER(Upgrades!$P$8,G388)*POWER(Upgrades!$P$9,H388)*POWER(Upgrades!$P$10,I388)*POWER(Upgrades!$P$11,J388)*POWER(Upgrades!$P$12,K388)*60</f>
        <v>150</v>
      </c>
      <c r="AC388" s="27" t="n">
        <f aca="false">(IF(G388=0,0,(Upgrades!$J$8+G388*Upgrades!$K$8)*POWER(Upgrades!$L$8,G388)))*(IF(Upgrades!$T$6="Stellar Coupling",POWER(Upgrades!$U$6,E388),1)*IF(Upgrades!$T$7="Stellar Coupling",POWER(Upgrades!$U$7,F388),1)*IF(Upgrades!$T$9="Stellar Coupling",POWER(Upgrades!$U$9,H388),1)*IF(Upgrades!$T$10="Stellar Coupling",POWER(Upgrades!$U$10,I388),1)*IF(Upgrades!$T$11="Stellar Coupling",POWER(Upgrades!$U$11,J388),1)*IF(Upgrades!$T$12="Stellar Coupling",POWER(Upgrades!$U$12,K388),1))*POWER(Upgrades!$Q$6,E388)*POWER(Upgrades!$Q$7,F388)*POWER(Upgrades!$Q$8,G388)*POWER(Upgrades!$Q$9,H388)*POWER(Upgrades!$Q$10,I388)*POWER(Upgrades!$Q$11,J388)*POWER(Upgrades!$Q$12,K388)*Parameters!$B$10*Parameters!$B$11</f>
        <v>441</v>
      </c>
      <c r="AD388" s="27" t="n">
        <f aca="false">(IF(H388=0,0,(Upgrades!$G$9+H388*Upgrades!$H$9)*POWER(Upgrades!$I$9,H388)))*(IF(Upgrades!$T$6="Magnetosphere",POWER(Upgrades!$U$6,E388),1)*IF(Upgrades!$T$7="Magnetosphere",POWER(Upgrades!$U$7,F388),1)*IF(Upgrades!$T$8="Magnetosphere",POWER(Upgrades!$U$8,G388),1)*IF(Upgrades!$T$10="Magnetosphere",POWER(Upgrades!$U$10,I388),1)*IF(Upgrades!$T$11="Magnetosphere",POWER(Upgrades!$U$11,J388),1)*IF(Upgrades!$T$12="Magnetosphere",POWER(Upgrades!$U$12,K388),1))*POWER(Upgrades!$P$6,E388)*POWER(Upgrades!$P$7,F388)*POWER(Upgrades!$P$8,G388)*POWER(Upgrades!$P$9,H388)*POWER(Upgrades!$P$10,I388)*POWER(Upgrades!$P$11,J388)*POWER(Upgrades!$P$12,K388)*60</f>
        <v>375</v>
      </c>
      <c r="AE388" s="27" t="n">
        <f aca="false">(IF(K388=0,0,(Upgrades!$G$12+K388*Upgrades!$H$12)*POWER(Upgrades!$I$12,K388)))*(IF(Upgrades!$T$6="First Photons",POWER(Upgrades!$U$6,E388),1)*IF(Upgrades!$T$7="First Photons",POWER(Upgrades!$U$7,F388),1)*IF(Upgrades!$T$8="First Photons",POWER(Upgrades!$U$8,G388),1)*IF(Upgrades!$T$9="First Photons",POWER(Upgrades!$U$9,H388),1)*IF(Upgrades!$T$10="First Photons",POWER(Upgrades!$U$10,I388),1)*IF(Upgrades!$T$11="First Photons",POWER(Upgrades!$U$11,J388),1))*POWER(Upgrades!$P$6,E388)*POWER(Upgrades!$P$7,F388)*POWER(Upgrades!$P$8,G388)*POWER(Upgrades!$P$9,H388)*POWER(Upgrades!$P$10,I388)*POWER(Upgrades!$P$11,J388)*POWER(Upgrades!$P$12,K388)*60</f>
        <v>75</v>
      </c>
      <c r="AF388" s="27" t="n">
        <f aca="false">Parameters!$B$9*POWER(Upgrades!$Q$6,E388)*POWER(Upgrades!$Q$7,F388)*POWER(Upgrades!$Q$8,G388)*POWER(Upgrades!$Q$9,H388)*POWER(Upgrades!$Q$10,I388)*POWER(Upgrades!$Q$11,J388)*POWER(Upgrades!$Q$12,K388)*(Parameters!$B$10*Parameters!$B$11+O388*60)</f>
        <v>120</v>
      </c>
      <c r="AG388" s="21" t="n">
        <f aca="false">IF(E388&gt;=Upgrades!$E$6,"",Upgrades!$C$6*POWER(Upgrades!$D$6,E388))</f>
        <v>37.4517507383159</v>
      </c>
      <c r="AH388" s="21" t="n">
        <f aca="false">IF(F388&gt;=Upgrades!$E$7,"",Upgrades!$C$7*POWER(Upgrades!$D$7,F388))</f>
        <v>80.9111547141581</v>
      </c>
      <c r="AI388" s="21" t="n">
        <f aca="false">IF(G388&gt;=Upgrades!$E$8,"",Upgrades!$C$8*POWER(Upgrades!$D$8,G388))</f>
        <v>231.9097088</v>
      </c>
      <c r="AJ388" s="21" t="str">
        <f aca="false">IF(H388&gt;=Upgrades!$E$9,"",Upgrades!$C$9*POWER(Upgrades!$D$9,H388))</f>
        <v/>
      </c>
      <c r="AK388" s="21" t="str">
        <f aca="false">IF(I388&gt;=Upgrades!$E$10,"",Upgrades!$C$10*POWER(Upgrades!$D$10,I388))</f>
        <v/>
      </c>
      <c r="AL388" s="21" t="str">
        <f aca="false">IF(J388&gt;=Upgrades!$E$11,"",Upgrades!$C$11*POWER(Upgrades!$D$11,J388))</f>
        <v/>
      </c>
      <c r="AM388" s="21" t="str">
        <f aca="false">IF(K388&gt;=Upgrades!$E$12,"",Upgrades!$C$12*POWER(Upgrades!$D$12,K388))</f>
        <v/>
      </c>
      <c r="AN388" s="26" t="str">
        <f aca="false">IF(AND(D388&gt;=Parameters!$B$18,(H388&gt;=Upgrades!$E$9)*(K388&gt;=Upgrades!$E$12)=1,L388=0),1,"")</f>
        <v/>
      </c>
      <c r="AO388" s="26" t="str">
        <f aca="false">IF(AND(D388&gt;=Parameters!$B$18,L388=0),1,"")</f>
        <v/>
      </c>
      <c r="AP388" s="21" t="n">
        <f aca="false">MIN(IF(ISNUMBER(AK388),AK388,9000000000000000),IF(ISNUMBER(AL388),AL388,9000000000000000),IF(ISNUMBER(AM388),AM388,9000000000000000))</f>
        <v>9000000000000000</v>
      </c>
      <c r="AQ388" s="21" t="n">
        <f aca="false">MIN(IF(ISNUMBER(AG388),AG388,9000000000000000),IF(ISNUMBER(AH388),AH388,9000000000000000),IF(ISNUMBER(AI388),AI388,9000000000000000),IF(ISNUMBER(AJ388),AJ388,9000000000000000))</f>
        <v>37.4517507383159</v>
      </c>
      <c r="AR388" s="32" t="b">
        <f aca="false">IF(AW388&gt;Parameters!$B$21*(MAX(IF(AND(NOT(AND(AO388=1,AN388&lt;&gt;1)),ISNUMBER(AG388),AG388&lt;=T388),AS388,0),IF(AND(NOT(AND(AO388=1,AN388&lt;&gt;1)),ISNUMBER(AH388),AH388&lt;=T388),AT388,0),IF(AND(NOT(AND(AO388=1,AN388&lt;&gt;1)),ISNUMBER(AI388),AI388&lt;=T388),AU388,0),IF(AND(ISNUMBER(AJ388),AJ388&lt;=T388),AV388,0))),TRUE(),FALSE())</f>
        <v>1</v>
      </c>
      <c r="AS388" s="33" t="n">
        <f aca="false">IFERROR(Upgrades!$H$6*(POWER(Upgrades!$P$6,E388)*POWER(Upgrades!$P$7,F388)*POWER(Upgrades!$P$8,G388)*POWER(Upgrades!$P$9,H388)*POWER(Upgrades!$P$10,I388)*POWER(Upgrades!$P$11,J388)*POWER(Upgrades!$P$12,K388))*(IF(Upgrades!$T$7="Solar Wind",POWER(Upgrades!$U$7,F388),1)*IF(Upgrades!$T$8="Solar Wind",POWER(Upgrades!$U$8,G388),1)*IF(Upgrades!$T$9="Solar Wind",POWER(Upgrades!$U$9,H388),1)*IF(Upgrades!$T$10="Solar Wind",POWER(Upgrades!$U$10,I388),1)*IF(Upgrades!$T$11="Solar Wind",POWER(Upgrades!$U$11,J388),1)*IF(Upgrades!$T$12="Solar Wind",POWER(Upgrades!$U$12,K388),1))/AG388,0)</f>
        <v>0.0026701021455238</v>
      </c>
      <c r="AT388" s="33" t="n">
        <f aca="false">IFERROR(Upgrades!$H$7*(POWER(Upgrades!$P$6,E388)*POWER(Upgrades!$P$7,F388)*POWER(Upgrades!$P$8,G388)*POWER(Upgrades!$P$9,H388)*POWER(Upgrades!$P$10,I388)*POWER(Upgrades!$P$11,J388)*POWER(Upgrades!$P$12,K388))*(IF(Upgrades!$T$6="Asteroid Belt",POWER(Upgrades!$U$6,E388),1)*IF(Upgrades!$T$8="Asteroid Belt",POWER(Upgrades!$U$8,G388),1)*IF(Upgrades!$T$9="Asteroid Belt",POWER(Upgrades!$U$9,H388),1)*IF(Upgrades!$T$10="Asteroid Belt",POWER(Upgrades!$U$10,I388),1)*IF(Upgrades!$T$11="Asteroid Belt",POWER(Upgrades!$U$11,J388),1)*IF(Upgrades!$T$12="Asteroid Belt",POWER(Upgrades!$U$12,K388),1))/AH388,0)</f>
        <v>0.00308980882652332</v>
      </c>
      <c r="AU388" s="33" t="n">
        <f aca="false">IFERROR(Upgrades!$K$8*(POWER(Upgrades!$Q$6,E388)*POWER(Upgrades!$Q$7,F388)*POWER(Upgrades!$Q$8,G388)*POWER(Upgrades!$Q$9,H388)*POWER(Upgrades!$Q$10,I388)*POWER(Upgrades!$Q$11,J388)*POWER(Upgrades!$Q$12,K388))*(IF(Upgrades!$T$6="Stellar Coupling",POWER(Upgrades!$U$6,E388),1)*IF(Upgrades!$T$7="Stellar Coupling",POWER(Upgrades!$U$7,F388),1)*IF(Upgrades!$T$9="Stellar Coupling",POWER(Upgrades!$U$9,H388),1)*IF(Upgrades!$T$10="Stellar Coupling",POWER(Upgrades!$U$10,I388),1)*IF(Upgrades!$T$11="Stellar Coupling",POWER(Upgrades!$U$11,J388),1)*IF(Upgrades!$T$12="Stellar Coupling",POWER(Upgrades!$U$12,K388),1))*Parameters!$B$10*Parameters!$B$11/60/AI388,0)</f>
        <v>0.00452762415783776</v>
      </c>
      <c r="AV388" s="33" t="n">
        <f aca="false">IFERROR(Upgrades!$H$9*(POWER(Upgrades!$P$6,E388)*POWER(Upgrades!$P$7,F388)*POWER(Upgrades!$P$8,G388)*POWER(Upgrades!$P$9,H388)*POWER(Upgrades!$P$10,I388)*POWER(Upgrades!$P$11,J388)*POWER(Upgrades!$P$12,K388))*(IF(Upgrades!$T$6="Magnetosphere",POWER(Upgrades!$U$6,E388),1)*IF(Upgrades!$T$7="Magnetosphere",POWER(Upgrades!$U$7,F388),1)*IF(Upgrades!$T$8="Magnetosphere",POWER(Upgrades!$U$8,G388),1)*IF(Upgrades!$T$10="Magnetosphere",POWER(Upgrades!$U$10,I388),1)*IF(Upgrades!$T$11="Magnetosphere",POWER(Upgrades!$U$11,J388),1)*IF(Upgrades!$T$12="Magnetosphere",POWER(Upgrades!$U$12,K388),1))/AJ388,0)</f>
        <v>0</v>
      </c>
      <c r="AW388" s="33" t="n">
        <f aca="false">MAX(IF(I388&gt;0,0,IFERROR(0.25*N388/Upgrades!$C$10,0)),IF(J388&gt;0,0,IFERROR(0.5*((IF(G388=0,0,(Upgrades!$J$8+G388*Upgrades!$K$8)*POWER(Upgrades!$L$8,G388)))*(IF(Upgrades!$T$6="Stellar Coupling",POWER(Upgrades!$U$6,E388),1)*IF(Upgrades!$T$7="Stellar Coupling",POWER(Upgrades!$U$7,F388),1)*IF(Upgrades!$T$9="Stellar Coupling",POWER(Upgrades!$U$9,H388),1)*IF(Upgrades!$T$10="Stellar Coupling",POWER(Upgrades!$U$10,I388),1)*IF(Upgrades!$T$11="Stellar Coupling",POWER(Upgrades!$U$11,J388),1)*IF(Upgrades!$T$12="Stellar Coupling",POWER(Upgrades!$U$12,K388),1))*(POWER(Upgrades!$Q$6,E388)*POWER(Upgrades!$Q$7,F388)*POWER(Upgrades!$Q$8,G388)*POWER(Upgrades!$Q$9,H388)*POWER(Upgrades!$Q$10,I388)*POWER(Upgrades!$Q$11,J388)*POWER(Upgrades!$Q$12,K388))*Parameters!$B$10*Parameters!$B$11/60)/Upgrades!$C$11,0)),IF(K388&gt;0,0,IFERROR((1*(POWER(Upgrades!$P$6,E388)*POWER(Upgrades!$P$7,F388)*POWER(Upgrades!$P$8,G388)*POWER(Upgrades!$P$9,H388)*POWER(Upgrades!$P$10,I388)*POWER(Upgrades!$P$11,J388)*POWER(Upgrades!$P$12,K388))+0.2*M388*Parameters!$B$10*Parameters!$B$11/60)/Upgrades!$C$12,0)),IF(AND(ISNUMBER(AG388),AG388&gt;T388),AS388,0),IF(AND(ISNUMBER(AH388),AH388&gt;T388),AT388,0),IF(AND(ISNUMBER(AI388),AI388&gt;T388),AU388,0),IF(AND(ISNUMBER(AJ388),AJ388&gt;T388),AV388,0))</f>
        <v>0.00452762415783776</v>
      </c>
      <c r="AX388" s="29" t="str">
        <f aca="false">IF(AN388=1,"transition",IF(MIN(IF(AND(I388=0,ISNUMBER(AK388),AK388&lt;=T388),AK388,9000000000000000),IF(AND(J388=0,ISNUMBER(AL388),AL388&lt;=T388),AL388,9000000000000000),IF(AND(K388=0,ISNUMBER(AM388),AM388&lt;=T388),AM388,9000000000000000))&lt;9000000000000000,IF(AND(AND(I388=0,ISNUMBER(AK388),AK388&lt;=T388),AK388=MIN(IF(AND(I388=0,ISNUMBER(AK388),AK388&lt;=T388),AK388,9000000000000000),IF(AND(J388=0,ISNUMBER(AL388),AL388&lt;=T388),AL388,9000000000000000),IF(AND(K388=0,ISNUMBER(AM388),AM388&lt;=T388),AM388,9000000000000000))),"OR",IF(AND(AND(J388=0,ISNUMBER(AL388),AL388&lt;=T388),AL388=MIN(IF(AND(I388=0,ISNUMBER(AK388),AK388&lt;=T388),AK388,9000000000000000),IF(AND(J388=0,ISNUMBER(AL388),AL388&lt;=T388),AL388,9000000000000000),IF(AND(K388=0,ISNUMBER(AM388),AM388&lt;=T388),AM388,9000000000000000))),"HP","FP")),IF(AR388=TRUE(),"",IF(MAX(IF(AND(NOT(AND(AO388=1,AN388&lt;&gt;1)),ISNUMBER(AG388),AG388&lt;=T388),AS388,0),IF(AND(NOT(AND(AO388=1,AN388&lt;&gt;1)),ISNUMBER(AH388),AH388&lt;=T388),AT388,0),IF(AND(NOT(AND(AO388=1,AN388&lt;&gt;1)),ISNUMBER(AI388),AI388&lt;=T388),AU388,0),IF(AND(ISNUMBER(AJ388),AJ388&lt;=T388),AV388,0))&lt;=0,"",IF(AND(IF(AND(NOT(AND(AO388=1,AN388&lt;&gt;1)),ISNUMBER(AG388),AG388&lt;=T388),AS388,0)&gt;0,IF(AND(NOT(AND(AO388=1,AN388&lt;&gt;1)),ISNUMBER(AG388),AG388&lt;=T388),AS388,0)=MAX(IF(AND(NOT(AND(AO388=1,AN388&lt;&gt;1)),ISNUMBER(AG388),AG388&lt;=T388),AS388,0),IF(AND(NOT(AND(AO388=1,AN388&lt;&gt;1)),ISNUMBER(AH388),AH388&lt;=T388),AT388,0),IF(AND(NOT(AND(AO388=1,AN388&lt;&gt;1)),ISNUMBER(AI388),AI388&lt;=T388),AU388,0),IF(AND(ISNUMBER(AJ388),AJ388&lt;=T388),AV388,0))),"SW",IF(AND(IF(AND(NOT(AND(AO388=1,AN388&lt;&gt;1)),ISNUMBER(AH388),AH388&lt;=T388),AT388,0)&gt;0,IF(AND(NOT(AND(AO388=1,AN388&lt;&gt;1)),ISNUMBER(AH388),AH388&lt;=T388),AT388,0)=MAX(IF(AND(NOT(AND(AO388=1,AN388&lt;&gt;1)),ISNUMBER(AG388),AG388&lt;=T388),AS388,0),IF(AND(NOT(AND(AO388=1,AN388&lt;&gt;1)),ISNUMBER(AH388),AH388&lt;=T388),AT388,0),IF(AND(NOT(AND(AO388=1,AN388&lt;&gt;1)),ISNUMBER(AI388),AI388&lt;=T388),AU388,0),IF(AND(ISNUMBER(AJ388),AJ388&lt;=T388),AV388,0))),"AB",IF(AND(IF(AND(NOT(AND(AO388=1,AN388&lt;&gt;1)),ISNUMBER(AI388),AI388&lt;=T388),AU388,0)&gt;0,IF(AND(NOT(AND(AO388=1,AN388&lt;&gt;1)),ISNUMBER(AI388),AI388&lt;=T388),AU388,0)=MAX(IF(AND(NOT(AND(AO388=1,AN388&lt;&gt;1)),ISNUMBER(AG388),AG388&lt;=T388),AS388,0),IF(AND(NOT(AND(AO388=1,AN388&lt;&gt;1)),ISNUMBER(AH388),AH388&lt;=T388),AT388,0),IF(AND(NOT(AND(AO388=1,AN388&lt;&gt;1)),ISNUMBER(AI388),AI388&lt;=T388),AU388,0),IF(AND(ISNUMBER(AJ388),AJ388&lt;=T388),AV388,0))),"SC","Mag")))))))</f>
        <v/>
      </c>
    </row>
    <row r="389" customFormat="false" ht="15" hidden="false" customHeight="false" outlineLevel="0" collapsed="false">
      <c r="A389" s="26" t="n">
        <v>384</v>
      </c>
      <c r="B389" s="27" t="n">
        <f aca="false">A389*10/60</f>
        <v>64</v>
      </c>
      <c r="C389" s="21" t="n">
        <f aca="false">X388</f>
        <v>18.6730249835055</v>
      </c>
      <c r="D389" s="27" t="n">
        <f aca="false">D388+W388</f>
        <v>0</v>
      </c>
      <c r="E389" s="26" t="n">
        <f aca="false">E388+IF(U388="SW",1,0)</f>
        <v>12</v>
      </c>
      <c r="F389" s="26" t="n">
        <f aca="false">F388+IF(U388="AB",1,0)</f>
        <v>10</v>
      </c>
      <c r="G389" s="26" t="n">
        <f aca="false">G388+IF(U388="SC",1,0)</f>
        <v>7</v>
      </c>
      <c r="H389" s="26" t="n">
        <f aca="false">H388+IF(U388="Mag",1,0)</f>
        <v>5</v>
      </c>
      <c r="I389" s="26" t="n">
        <f aca="false">MAX(I388,IF(U388="OR",1,0))</f>
        <v>1</v>
      </c>
      <c r="J389" s="26" t="n">
        <f aca="false">MAX(J388,IF(U388="HP",1,0))</f>
        <v>1</v>
      </c>
      <c r="K389" s="26" t="n">
        <f aca="false">MAX(K388,IF(U388="FP",1,0))</f>
        <v>1</v>
      </c>
      <c r="L389" s="26" t="n">
        <f aca="false">MAX(L388,IF(U388="transition",1,0))</f>
        <v>1</v>
      </c>
      <c r="M389" s="28" t="n">
        <f aca="false">(Parameters!$B$9+(IF(E389=0,0,(Upgrades!$J$6+E389*Upgrades!$K$6)*POWER(Upgrades!$L$6,E389)))*(IF(Upgrades!$T$7="Solar Wind",POWER(Upgrades!$U$7,F389),1)*IF(Upgrades!$T$8="Solar Wind",POWER(Upgrades!$U$8,G389),1)*IF(Upgrades!$T$9="Solar Wind",POWER(Upgrades!$U$9,H389),1)*IF(Upgrades!$T$10="Solar Wind",POWER(Upgrades!$U$10,I389),1)*IF(Upgrades!$T$11="Solar Wind",POWER(Upgrades!$U$11,J389),1)*IF(Upgrades!$T$12="Solar Wind",POWER(Upgrades!$U$12,K389),1))+(IF(F389=0,0,(Upgrades!$J$7+F389*Upgrades!$K$7)*POWER(Upgrades!$L$7,F389)))*(IF(Upgrades!$T$6="Asteroid Belt",POWER(Upgrades!$U$6,E389),1)*IF(Upgrades!$T$8="Asteroid Belt",POWER(Upgrades!$U$8,G389),1)*IF(Upgrades!$T$9="Asteroid Belt",POWER(Upgrades!$U$9,H389),1)*IF(Upgrades!$T$10="Asteroid Belt",POWER(Upgrades!$U$10,I389),1)*IF(Upgrades!$T$11="Asteroid Belt",POWER(Upgrades!$U$11,J389),1)*IF(Upgrades!$T$12="Asteroid Belt",POWER(Upgrades!$U$12,K389),1))+(IF(G389=0,0,(Upgrades!$J$8+G389*Upgrades!$K$8)*POWER(Upgrades!$L$8,G389)))*(IF(Upgrades!$T$6="Stellar Coupling",POWER(Upgrades!$U$6,E389),1)*IF(Upgrades!$T$7="Stellar Coupling",POWER(Upgrades!$U$7,F389),1)*IF(Upgrades!$T$9="Stellar Coupling",POWER(Upgrades!$U$9,H389),1)*IF(Upgrades!$T$10="Stellar Coupling",POWER(Upgrades!$U$10,I389),1)*IF(Upgrades!$T$11="Stellar Coupling",POWER(Upgrades!$U$11,J389),1)*IF(Upgrades!$T$12="Stellar Coupling",POWER(Upgrades!$U$12,K389),1))+(IF(H389=0,0,(Upgrades!$J$9+H389*Upgrades!$K$9)*POWER(Upgrades!$L$9,H389)))*(IF(Upgrades!$T$6="Magnetosphere",POWER(Upgrades!$U$6,E389),1)*IF(Upgrades!$T$7="Magnetosphere",POWER(Upgrades!$U$7,F389),1)*IF(Upgrades!$T$8="Magnetosphere",POWER(Upgrades!$U$8,G389),1)*IF(Upgrades!$T$10="Magnetosphere",POWER(Upgrades!$U$10,I389),1)*IF(Upgrades!$T$11="Magnetosphere",POWER(Upgrades!$U$11,J389),1)*IF(Upgrades!$T$12="Magnetosphere",POWER(Upgrades!$U$12,K389),1))+(IF(I389=0,0,(Upgrades!$J$10+I389*Upgrades!$K$10)*POWER(Upgrades!$L$10,I389)))*(IF(Upgrades!$T$6="Orbital Resonance",POWER(Upgrades!$U$6,E389),1)*IF(Upgrades!$T$7="Orbital Resonance",POWER(Upgrades!$U$7,F389),1)*IF(Upgrades!$T$8="Orbital Resonance",POWER(Upgrades!$U$8,G389),1)*IF(Upgrades!$T$9="Orbital Resonance",POWER(Upgrades!$U$9,H389),1)*IF(Upgrades!$T$11="Orbital Resonance",POWER(Upgrades!$U$11,J389),1)*IF(Upgrades!$T$12="Orbital Resonance",POWER(Upgrades!$U$12,K389),1))+(IF(J389=0,0,(Upgrades!$J$11+J389*Upgrades!$K$11)*POWER(Upgrades!$L$11,J389)))*(IF(Upgrades!$T$6="Heliopause",POWER(Upgrades!$U$6,E389),1)*IF(Upgrades!$T$7="Heliopause",POWER(Upgrades!$U$7,F389),1)*IF(Upgrades!$T$8="Heliopause",POWER(Upgrades!$U$8,G389),1)*IF(Upgrades!$T$9="Heliopause",POWER(Upgrades!$U$9,H389),1)*IF(Upgrades!$T$10="Heliopause",POWER(Upgrades!$U$10,I389),1)*IF(Upgrades!$T$12="Heliopause",POWER(Upgrades!$U$12,K389),1))+(IF(K389=0,0,(Upgrades!$J$12+K389*Upgrades!$K$12)*POWER(Upgrades!$L$12,K389)))*(IF(Upgrades!$T$6="First Photons",POWER(Upgrades!$U$6,E389),1)*IF(Upgrades!$T$7="First Photons",POWER(Upgrades!$U$7,F389),1)*IF(Upgrades!$T$8="First Photons",POWER(Upgrades!$U$8,G389),1)*IF(Upgrades!$T$9="First Photons",POWER(Upgrades!$U$9,H389),1)*IF(Upgrades!$T$10="First Photons",POWER(Upgrades!$U$10,I389),1)*IF(Upgrades!$T$11="First Photons",POWER(Upgrades!$U$11,J389),1)))*POWER(Upgrades!$Q$6,E389)*POWER(Upgrades!$Q$7,F389)*POWER(Upgrades!$Q$8,G389)*POWER(Upgrades!$Q$9,H389)*POWER(Upgrades!$Q$10,I389)*POWER(Upgrades!$Q$11,J389)*POWER(Upgrades!$Q$12,K389)</f>
        <v>5.61</v>
      </c>
      <c r="N389" s="28" t="n">
        <f aca="false">((IF(E389=0,0,(Upgrades!$G$6+E389*Upgrades!$H$6)*POWER(Upgrades!$I$6,E389)))*(IF(Upgrades!$T$7="Solar Wind",POWER(Upgrades!$U$7,F389),1)*IF(Upgrades!$T$8="Solar Wind",POWER(Upgrades!$U$8,G389),1)*IF(Upgrades!$T$9="Solar Wind",POWER(Upgrades!$U$9,H389),1)*IF(Upgrades!$T$10="Solar Wind",POWER(Upgrades!$U$10,I389),1)*IF(Upgrades!$T$11="Solar Wind",POWER(Upgrades!$U$11,J389),1)*IF(Upgrades!$T$12="Solar Wind",POWER(Upgrades!$U$12,K389),1))+(IF(F389=0,0,(Upgrades!$G$7+F389*Upgrades!$H$7)*POWER(Upgrades!$I$7,F389)))*(IF(Upgrades!$T$6="Asteroid Belt",POWER(Upgrades!$U$6,E389),1)*IF(Upgrades!$T$8="Asteroid Belt",POWER(Upgrades!$U$8,G389),1)*IF(Upgrades!$T$9="Asteroid Belt",POWER(Upgrades!$U$9,H389),1)*IF(Upgrades!$T$10="Asteroid Belt",POWER(Upgrades!$U$10,I389),1)*IF(Upgrades!$T$11="Asteroid Belt",POWER(Upgrades!$U$11,J389),1)*IF(Upgrades!$T$12="Asteroid Belt",POWER(Upgrades!$U$12,K389),1))+(IF(G389=0,0,(Upgrades!$G$8+G389*Upgrades!$H$8)*POWER(Upgrades!$I$8,G389)))*(IF(Upgrades!$T$6="Stellar Coupling",POWER(Upgrades!$U$6,E389),1)*IF(Upgrades!$T$7="Stellar Coupling",POWER(Upgrades!$U$7,F389),1)*IF(Upgrades!$T$9="Stellar Coupling",POWER(Upgrades!$U$9,H389),1)*IF(Upgrades!$T$10="Stellar Coupling",POWER(Upgrades!$U$10,I389),1)*IF(Upgrades!$T$11="Stellar Coupling",POWER(Upgrades!$U$11,J389),1)*IF(Upgrades!$T$12="Stellar Coupling",POWER(Upgrades!$U$12,K389),1))+(IF(H389=0,0,(Upgrades!$G$9+H389*Upgrades!$H$9)*POWER(Upgrades!$I$9,H389)))*(IF(Upgrades!$T$6="Magnetosphere",POWER(Upgrades!$U$6,E389),1)*IF(Upgrades!$T$7="Magnetosphere",POWER(Upgrades!$U$7,F389),1)*IF(Upgrades!$T$8="Magnetosphere",POWER(Upgrades!$U$8,G389),1)*IF(Upgrades!$T$10="Magnetosphere",POWER(Upgrades!$U$10,I389),1)*IF(Upgrades!$T$11="Magnetosphere",POWER(Upgrades!$U$11,J389),1)*IF(Upgrades!$T$12="Magnetosphere",POWER(Upgrades!$U$12,K389),1))+(IF(I389=0,0,(Upgrades!$G$10+I389*Upgrades!$H$10)*POWER(Upgrades!$I$10,I389)))*(IF(Upgrades!$T$6="Orbital Resonance",POWER(Upgrades!$U$6,E389),1)*IF(Upgrades!$T$7="Orbital Resonance",POWER(Upgrades!$U$7,F389),1)*IF(Upgrades!$T$8="Orbital Resonance",POWER(Upgrades!$U$8,G389),1)*IF(Upgrades!$T$9="Orbital Resonance",POWER(Upgrades!$U$9,H389),1)*IF(Upgrades!$T$11="Orbital Resonance",POWER(Upgrades!$U$11,J389),1)*IF(Upgrades!$T$12="Orbital Resonance",POWER(Upgrades!$U$12,K389),1))+(IF(J389=0,0,(Upgrades!$G$11+J389*Upgrades!$H$11)*POWER(Upgrades!$I$11,J389)))*(IF(Upgrades!$T$6="Heliopause",POWER(Upgrades!$U$6,E389),1)*IF(Upgrades!$T$7="Heliopause",POWER(Upgrades!$U$7,F389),1)*IF(Upgrades!$T$8="Heliopause",POWER(Upgrades!$U$8,G389),1)*IF(Upgrades!$T$9="Heliopause",POWER(Upgrades!$U$9,H389),1)*IF(Upgrades!$T$10="Heliopause",POWER(Upgrades!$U$10,I389),1)*IF(Upgrades!$T$12="Heliopause",POWER(Upgrades!$U$12,K389),1))+(IF(K389=0,0,(Upgrades!$G$12+K389*Upgrades!$H$12)*POWER(Upgrades!$I$12,K389)))*(IF(Upgrades!$T$6="First Photons",POWER(Upgrades!$U$6,E389),1)*IF(Upgrades!$T$7="First Photons",POWER(Upgrades!$U$7,F389),1)*IF(Upgrades!$T$8="First Photons",POWER(Upgrades!$U$8,G389),1)*IF(Upgrades!$T$9="First Photons",POWER(Upgrades!$U$9,H389),1)*IF(Upgrades!$T$10="First Photons",POWER(Upgrades!$U$10,I389),1)*IF(Upgrades!$T$11="First Photons",POWER(Upgrades!$U$11,J389),1)))*POWER(Upgrades!$P$6,E389)*POWER(Upgrades!$P$7,F389)*POWER(Upgrades!$P$8,G389)*POWER(Upgrades!$P$9,H389)*POWER(Upgrades!$P$10,I389)*POWER(Upgrades!$P$11,J389)*POWER(Upgrades!$P$12,K389)</f>
        <v>11.2</v>
      </c>
      <c r="O389" s="28" t="n">
        <f aca="false">((IF(E389=0,0,(Upgrades!$M$6+E389*Upgrades!$N$6)*POWER(Upgrades!$O$6,E389)))*(IF(Upgrades!$T$7="Solar Wind",POWER(Upgrades!$U$7,F389),1)*IF(Upgrades!$T$8="Solar Wind",POWER(Upgrades!$U$8,G389),1)*IF(Upgrades!$T$9="Solar Wind",POWER(Upgrades!$U$9,H389),1)*IF(Upgrades!$T$10="Solar Wind",POWER(Upgrades!$U$10,I389),1)*IF(Upgrades!$T$11="Solar Wind",POWER(Upgrades!$U$11,J389),1)*IF(Upgrades!$T$12="Solar Wind",POWER(Upgrades!$U$12,K389),1))+(IF(F389=0,0,(Upgrades!$M$7+F389*Upgrades!$N$7)*POWER(Upgrades!$O$7,F389)))*(IF(Upgrades!$T$6="Asteroid Belt",POWER(Upgrades!$U$6,E389),1)*IF(Upgrades!$T$8="Asteroid Belt",POWER(Upgrades!$U$8,G389),1)*IF(Upgrades!$T$9="Asteroid Belt",POWER(Upgrades!$U$9,H389),1)*IF(Upgrades!$T$10="Asteroid Belt",POWER(Upgrades!$U$10,I389),1)*IF(Upgrades!$T$11="Asteroid Belt",POWER(Upgrades!$U$11,J389),1)*IF(Upgrades!$T$12="Asteroid Belt",POWER(Upgrades!$U$12,K389),1))+(IF(G389=0,0,(Upgrades!$M$8+G389*Upgrades!$N$8)*POWER(Upgrades!$O$8,G389)))*(IF(Upgrades!$T$6="Stellar Coupling",POWER(Upgrades!$U$6,E389),1)*IF(Upgrades!$T$7="Stellar Coupling",POWER(Upgrades!$U$7,F389),1)*IF(Upgrades!$T$9="Stellar Coupling",POWER(Upgrades!$U$9,H389),1)*IF(Upgrades!$T$10="Stellar Coupling",POWER(Upgrades!$U$10,I389),1)*IF(Upgrades!$T$11="Stellar Coupling",POWER(Upgrades!$U$11,J389),1)*IF(Upgrades!$T$12="Stellar Coupling",POWER(Upgrades!$U$12,K389),1))+(IF(H389=0,0,(Upgrades!$M$9+H389*Upgrades!$N$9)*POWER(Upgrades!$O$9,H389)))*(IF(Upgrades!$T$6="Magnetosphere",POWER(Upgrades!$U$6,E389),1)*IF(Upgrades!$T$7="Magnetosphere",POWER(Upgrades!$U$7,F389),1)*IF(Upgrades!$T$8="Magnetosphere",POWER(Upgrades!$U$8,G389),1)*IF(Upgrades!$T$10="Magnetosphere",POWER(Upgrades!$U$10,I389),1)*IF(Upgrades!$T$11="Magnetosphere",POWER(Upgrades!$U$11,J389),1)*IF(Upgrades!$T$12="Magnetosphere",POWER(Upgrades!$U$12,K389),1))+(IF(I389=0,0,(Upgrades!$M$10+I389*Upgrades!$N$10)*POWER(Upgrades!$O$10,I389)))*(IF(Upgrades!$T$6="Orbital Resonance",POWER(Upgrades!$U$6,E389),1)*IF(Upgrades!$T$7="Orbital Resonance",POWER(Upgrades!$U$7,F389),1)*IF(Upgrades!$T$8="Orbital Resonance",POWER(Upgrades!$U$8,G389),1)*IF(Upgrades!$T$9="Orbital Resonance",POWER(Upgrades!$U$9,H389),1)*IF(Upgrades!$T$11="Orbital Resonance",POWER(Upgrades!$U$11,J389),1)*IF(Upgrades!$T$12="Orbital Resonance",POWER(Upgrades!$U$12,K389),1))+(IF(J389=0,0,(Upgrades!$M$11+J389*Upgrades!$N$11)*POWER(Upgrades!$O$11,J389)))*(IF(Upgrades!$T$6="Heliopause",POWER(Upgrades!$U$6,E389),1)*IF(Upgrades!$T$7="Heliopause",POWER(Upgrades!$U$7,F389),1)*IF(Upgrades!$T$8="Heliopause",POWER(Upgrades!$U$8,G389),1)*IF(Upgrades!$T$9="Heliopause",POWER(Upgrades!$U$9,H389),1)*IF(Upgrades!$T$10="Heliopause",POWER(Upgrades!$U$10,I389),1)*IF(Upgrades!$T$12="Heliopause",POWER(Upgrades!$U$12,K389),1))+(IF(K389=0,0,(Upgrades!$M$12+K389*Upgrades!$N$12)*POWER(Upgrades!$O$12,K389)))*(IF(Upgrades!$T$6="First Photons",POWER(Upgrades!$U$6,E389),1)*IF(Upgrades!$T$7="First Photons",POWER(Upgrades!$U$7,F389),1)*IF(Upgrades!$T$8="First Photons",POWER(Upgrades!$U$8,G389),1)*IF(Upgrades!$T$9="First Photons",POWER(Upgrades!$U$9,H389),1)*IF(Upgrades!$T$10="First Photons",POWER(Upgrades!$U$10,I389),1)*IF(Upgrades!$T$11="First Photons",POWER(Upgrades!$U$11,J389),1)))*POWER(Upgrades!$R$6,E389)*POWER(Upgrades!$R$7,F389)*POWER(Upgrades!$R$8,G389)*POWER(Upgrades!$R$9,H389)*POWER(Upgrades!$R$10,I389)*POWER(Upgrades!$R$11,J389)*POWER(Upgrades!$R$12,K389)</f>
        <v>0</v>
      </c>
      <c r="P389" s="27" t="n">
        <f aca="false">IF(L389=1,0,M389*Parameters!$B$10/60*Parameters!$B$11*10)</f>
        <v>0</v>
      </c>
      <c r="Q389" s="27" t="n">
        <f aca="false">IF(L389=1,0,O389*M389*10)</f>
        <v>0</v>
      </c>
      <c r="R389" s="27" t="n">
        <f aca="false">IF(L389=1,0,N389*10)</f>
        <v>0</v>
      </c>
      <c r="S389" s="27" t="n">
        <f aca="false">P389+Q389+R389</f>
        <v>0</v>
      </c>
      <c r="T389" s="21" t="n">
        <f aca="false">C389+S389</f>
        <v>18.6730249835055</v>
      </c>
      <c r="U389" s="34" t="str">
        <f aca="false">AX389</f>
        <v/>
      </c>
      <c r="V389" s="21" t="n">
        <f aca="false">IF(U389="",0,IF(U389="transition",0,IF(U389="SW",AG389,IF(U389="AB",AH389,IF(U389="SC",AI389,IF(U389="Mag",AJ389,IF(U389="OR",AK389,IF(U389="HP",AL389,IF(U389="FP",AM389,0)))))))))</f>
        <v>0</v>
      </c>
      <c r="W389" s="27" t="n">
        <f aca="false">IF(U389="OR",Upgrades!$F$10,IF(U389="HP",Upgrades!$F$11,IF(U389="transition",-Parameters!$B$18,0)))</f>
        <v>0</v>
      </c>
      <c r="X389" s="21" t="n">
        <f aca="false">T389-V389</f>
        <v>18.6730249835055</v>
      </c>
      <c r="Y389" s="30" t="n">
        <f aca="false">M389*Parameters!$B$10/60*Parameters!$B$11+O389*M389+N389</f>
        <v>20.55</v>
      </c>
      <c r="Z389" s="35" t="str">
        <f aca="false">IF(U389="transition","→ Tier 2 (Stellar Neighborhood)",IF(U389="FP","First Photons — light begins, system quickens",IF(U389="HP","Heliopause acquired",IF(U389="OR","Orbital Resonance — passive multiplier active",IF(AND(AO389=1,L389=0,AN389&lt;&gt;1),"Cohesion ready (waiting on completionist upgrades)","")))))</f>
        <v/>
      </c>
      <c r="AA389" s="27" t="n">
        <f aca="false">(IF(E389=0,0,(Upgrades!$G$6+E389*Upgrades!$H$6)*POWER(Upgrades!$I$6,E389)))*(IF(Upgrades!$T$7="Solar Wind",POWER(Upgrades!$U$7,F389),1)*IF(Upgrades!$T$8="Solar Wind",POWER(Upgrades!$U$8,G389),1)*IF(Upgrades!$T$9="Solar Wind",POWER(Upgrades!$U$9,H389),1)*IF(Upgrades!$T$10="Solar Wind",POWER(Upgrades!$U$10,I389),1)*IF(Upgrades!$T$11="Solar Wind",POWER(Upgrades!$U$11,J389),1)*IF(Upgrades!$T$12="Solar Wind",POWER(Upgrades!$U$12,K389),1))*POWER(Upgrades!$P$6,E389)*POWER(Upgrades!$P$7,F389)*POWER(Upgrades!$P$8,G389)*POWER(Upgrades!$P$9,H389)*POWER(Upgrades!$P$10,I389)*POWER(Upgrades!$P$11,J389)*POWER(Upgrades!$P$12,K389)*60</f>
        <v>72</v>
      </c>
      <c r="AB389" s="27" t="n">
        <f aca="false">(IF(F389=0,0,(Upgrades!$G$7+F389*Upgrades!$H$7)*POWER(Upgrades!$I$7,F389)))*(IF(Upgrades!$T$6="Asteroid Belt",POWER(Upgrades!$U$6,E389),1)*IF(Upgrades!$T$8="Asteroid Belt",POWER(Upgrades!$U$8,G389),1)*IF(Upgrades!$T$9="Asteroid Belt",POWER(Upgrades!$U$9,H389),1)*IF(Upgrades!$T$10="Asteroid Belt",POWER(Upgrades!$U$10,I389),1)*IF(Upgrades!$T$11="Asteroid Belt",POWER(Upgrades!$U$11,J389),1)*IF(Upgrades!$T$12="Asteroid Belt",POWER(Upgrades!$U$12,K389),1))*POWER(Upgrades!$P$6,E389)*POWER(Upgrades!$P$7,F389)*POWER(Upgrades!$P$8,G389)*POWER(Upgrades!$P$9,H389)*POWER(Upgrades!$P$10,I389)*POWER(Upgrades!$P$11,J389)*POWER(Upgrades!$P$12,K389)*60</f>
        <v>150</v>
      </c>
      <c r="AC389" s="27" t="n">
        <f aca="false">(IF(G389=0,0,(Upgrades!$J$8+G389*Upgrades!$K$8)*POWER(Upgrades!$L$8,G389)))*(IF(Upgrades!$T$6="Stellar Coupling",POWER(Upgrades!$U$6,E389),1)*IF(Upgrades!$T$7="Stellar Coupling",POWER(Upgrades!$U$7,F389),1)*IF(Upgrades!$T$9="Stellar Coupling",POWER(Upgrades!$U$9,H389),1)*IF(Upgrades!$T$10="Stellar Coupling",POWER(Upgrades!$U$10,I389),1)*IF(Upgrades!$T$11="Stellar Coupling",POWER(Upgrades!$U$11,J389),1)*IF(Upgrades!$T$12="Stellar Coupling",POWER(Upgrades!$U$12,K389),1))*POWER(Upgrades!$Q$6,E389)*POWER(Upgrades!$Q$7,F389)*POWER(Upgrades!$Q$8,G389)*POWER(Upgrades!$Q$9,H389)*POWER(Upgrades!$Q$10,I389)*POWER(Upgrades!$Q$11,J389)*POWER(Upgrades!$Q$12,K389)*Parameters!$B$10*Parameters!$B$11</f>
        <v>441</v>
      </c>
      <c r="AD389" s="27" t="n">
        <f aca="false">(IF(H389=0,0,(Upgrades!$G$9+H389*Upgrades!$H$9)*POWER(Upgrades!$I$9,H389)))*(IF(Upgrades!$T$6="Magnetosphere",POWER(Upgrades!$U$6,E389),1)*IF(Upgrades!$T$7="Magnetosphere",POWER(Upgrades!$U$7,F389),1)*IF(Upgrades!$T$8="Magnetosphere",POWER(Upgrades!$U$8,G389),1)*IF(Upgrades!$T$10="Magnetosphere",POWER(Upgrades!$U$10,I389),1)*IF(Upgrades!$T$11="Magnetosphere",POWER(Upgrades!$U$11,J389),1)*IF(Upgrades!$T$12="Magnetosphere",POWER(Upgrades!$U$12,K389),1))*POWER(Upgrades!$P$6,E389)*POWER(Upgrades!$P$7,F389)*POWER(Upgrades!$P$8,G389)*POWER(Upgrades!$P$9,H389)*POWER(Upgrades!$P$10,I389)*POWER(Upgrades!$P$11,J389)*POWER(Upgrades!$P$12,K389)*60</f>
        <v>375</v>
      </c>
      <c r="AE389" s="27" t="n">
        <f aca="false">(IF(K389=0,0,(Upgrades!$G$12+K389*Upgrades!$H$12)*POWER(Upgrades!$I$12,K389)))*(IF(Upgrades!$T$6="First Photons",POWER(Upgrades!$U$6,E389),1)*IF(Upgrades!$T$7="First Photons",POWER(Upgrades!$U$7,F389),1)*IF(Upgrades!$T$8="First Photons",POWER(Upgrades!$U$8,G389),1)*IF(Upgrades!$T$9="First Photons",POWER(Upgrades!$U$9,H389),1)*IF(Upgrades!$T$10="First Photons",POWER(Upgrades!$U$10,I389),1)*IF(Upgrades!$T$11="First Photons",POWER(Upgrades!$U$11,J389),1))*POWER(Upgrades!$P$6,E389)*POWER(Upgrades!$P$7,F389)*POWER(Upgrades!$P$8,G389)*POWER(Upgrades!$P$9,H389)*POWER(Upgrades!$P$10,I389)*POWER(Upgrades!$P$11,J389)*POWER(Upgrades!$P$12,K389)*60</f>
        <v>75</v>
      </c>
      <c r="AF389" s="27" t="n">
        <f aca="false">Parameters!$B$9*POWER(Upgrades!$Q$6,E389)*POWER(Upgrades!$Q$7,F389)*POWER(Upgrades!$Q$8,G389)*POWER(Upgrades!$Q$9,H389)*POWER(Upgrades!$Q$10,I389)*POWER(Upgrades!$Q$11,J389)*POWER(Upgrades!$Q$12,K389)*(Parameters!$B$10*Parameters!$B$11+O389*60)</f>
        <v>120</v>
      </c>
      <c r="AG389" s="21" t="n">
        <f aca="false">IF(E389&gt;=Upgrades!$E$6,"",Upgrades!$C$6*POWER(Upgrades!$D$6,E389))</f>
        <v>37.4517507383159</v>
      </c>
      <c r="AH389" s="21" t="n">
        <f aca="false">IF(F389&gt;=Upgrades!$E$7,"",Upgrades!$C$7*POWER(Upgrades!$D$7,F389))</f>
        <v>80.9111547141581</v>
      </c>
      <c r="AI389" s="21" t="n">
        <f aca="false">IF(G389&gt;=Upgrades!$E$8,"",Upgrades!$C$8*POWER(Upgrades!$D$8,G389))</f>
        <v>231.9097088</v>
      </c>
      <c r="AJ389" s="21" t="str">
        <f aca="false">IF(H389&gt;=Upgrades!$E$9,"",Upgrades!$C$9*POWER(Upgrades!$D$9,H389))</f>
        <v/>
      </c>
      <c r="AK389" s="21" t="str">
        <f aca="false">IF(I389&gt;=Upgrades!$E$10,"",Upgrades!$C$10*POWER(Upgrades!$D$10,I389))</f>
        <v/>
      </c>
      <c r="AL389" s="21" t="str">
        <f aca="false">IF(J389&gt;=Upgrades!$E$11,"",Upgrades!$C$11*POWER(Upgrades!$D$11,J389))</f>
        <v/>
      </c>
      <c r="AM389" s="21" t="str">
        <f aca="false">IF(K389&gt;=Upgrades!$E$12,"",Upgrades!$C$12*POWER(Upgrades!$D$12,K389))</f>
        <v/>
      </c>
      <c r="AN389" s="26" t="str">
        <f aca="false">IF(AND(D389&gt;=Parameters!$B$18,(H389&gt;=Upgrades!$E$9)*(K389&gt;=Upgrades!$E$12)=1,L389=0),1,"")</f>
        <v/>
      </c>
      <c r="AO389" s="26" t="str">
        <f aca="false">IF(AND(D389&gt;=Parameters!$B$18,L389=0),1,"")</f>
        <v/>
      </c>
      <c r="AP389" s="21" t="n">
        <f aca="false">MIN(IF(ISNUMBER(AK389),AK389,9000000000000000),IF(ISNUMBER(AL389),AL389,9000000000000000),IF(ISNUMBER(AM389),AM389,9000000000000000))</f>
        <v>9000000000000000</v>
      </c>
      <c r="AQ389" s="21" t="n">
        <f aca="false">MIN(IF(ISNUMBER(AG389),AG389,9000000000000000),IF(ISNUMBER(AH389),AH389,9000000000000000),IF(ISNUMBER(AI389),AI389,9000000000000000),IF(ISNUMBER(AJ389),AJ389,9000000000000000))</f>
        <v>37.4517507383159</v>
      </c>
      <c r="AR389" s="32" t="b">
        <f aca="false">IF(AW389&gt;Parameters!$B$21*(MAX(IF(AND(NOT(AND(AO389=1,AN389&lt;&gt;1)),ISNUMBER(AG389),AG389&lt;=T389),AS389,0),IF(AND(NOT(AND(AO389=1,AN389&lt;&gt;1)),ISNUMBER(AH389),AH389&lt;=T389),AT389,0),IF(AND(NOT(AND(AO389=1,AN389&lt;&gt;1)),ISNUMBER(AI389),AI389&lt;=T389),AU389,0),IF(AND(ISNUMBER(AJ389),AJ389&lt;=T389),AV389,0))),TRUE(),FALSE())</f>
        <v>1</v>
      </c>
      <c r="AS389" s="33" t="n">
        <f aca="false">IFERROR(Upgrades!$H$6*(POWER(Upgrades!$P$6,E389)*POWER(Upgrades!$P$7,F389)*POWER(Upgrades!$P$8,G389)*POWER(Upgrades!$P$9,H389)*POWER(Upgrades!$P$10,I389)*POWER(Upgrades!$P$11,J389)*POWER(Upgrades!$P$12,K389))*(IF(Upgrades!$T$7="Solar Wind",POWER(Upgrades!$U$7,F389),1)*IF(Upgrades!$T$8="Solar Wind",POWER(Upgrades!$U$8,G389),1)*IF(Upgrades!$T$9="Solar Wind",POWER(Upgrades!$U$9,H389),1)*IF(Upgrades!$T$10="Solar Wind",POWER(Upgrades!$U$10,I389),1)*IF(Upgrades!$T$11="Solar Wind",POWER(Upgrades!$U$11,J389),1)*IF(Upgrades!$T$12="Solar Wind",POWER(Upgrades!$U$12,K389),1))/AG389,0)</f>
        <v>0.0026701021455238</v>
      </c>
      <c r="AT389" s="33" t="n">
        <f aca="false">IFERROR(Upgrades!$H$7*(POWER(Upgrades!$P$6,E389)*POWER(Upgrades!$P$7,F389)*POWER(Upgrades!$P$8,G389)*POWER(Upgrades!$P$9,H389)*POWER(Upgrades!$P$10,I389)*POWER(Upgrades!$P$11,J389)*POWER(Upgrades!$P$12,K389))*(IF(Upgrades!$T$6="Asteroid Belt",POWER(Upgrades!$U$6,E389),1)*IF(Upgrades!$T$8="Asteroid Belt",POWER(Upgrades!$U$8,G389),1)*IF(Upgrades!$T$9="Asteroid Belt",POWER(Upgrades!$U$9,H389),1)*IF(Upgrades!$T$10="Asteroid Belt",POWER(Upgrades!$U$10,I389),1)*IF(Upgrades!$T$11="Asteroid Belt",POWER(Upgrades!$U$11,J389),1)*IF(Upgrades!$T$12="Asteroid Belt",POWER(Upgrades!$U$12,K389),1))/AH389,0)</f>
        <v>0.00308980882652332</v>
      </c>
      <c r="AU389" s="33" t="n">
        <f aca="false">IFERROR(Upgrades!$K$8*(POWER(Upgrades!$Q$6,E389)*POWER(Upgrades!$Q$7,F389)*POWER(Upgrades!$Q$8,G389)*POWER(Upgrades!$Q$9,H389)*POWER(Upgrades!$Q$10,I389)*POWER(Upgrades!$Q$11,J389)*POWER(Upgrades!$Q$12,K389))*(IF(Upgrades!$T$6="Stellar Coupling",POWER(Upgrades!$U$6,E389),1)*IF(Upgrades!$T$7="Stellar Coupling",POWER(Upgrades!$U$7,F389),1)*IF(Upgrades!$T$9="Stellar Coupling",POWER(Upgrades!$U$9,H389),1)*IF(Upgrades!$T$10="Stellar Coupling",POWER(Upgrades!$U$10,I389),1)*IF(Upgrades!$T$11="Stellar Coupling",POWER(Upgrades!$U$11,J389),1)*IF(Upgrades!$T$12="Stellar Coupling",POWER(Upgrades!$U$12,K389),1))*Parameters!$B$10*Parameters!$B$11/60/AI389,0)</f>
        <v>0.00452762415783776</v>
      </c>
      <c r="AV389" s="33" t="n">
        <f aca="false">IFERROR(Upgrades!$H$9*(POWER(Upgrades!$P$6,E389)*POWER(Upgrades!$P$7,F389)*POWER(Upgrades!$P$8,G389)*POWER(Upgrades!$P$9,H389)*POWER(Upgrades!$P$10,I389)*POWER(Upgrades!$P$11,J389)*POWER(Upgrades!$P$12,K389))*(IF(Upgrades!$T$6="Magnetosphere",POWER(Upgrades!$U$6,E389),1)*IF(Upgrades!$T$7="Magnetosphere",POWER(Upgrades!$U$7,F389),1)*IF(Upgrades!$T$8="Magnetosphere",POWER(Upgrades!$U$8,G389),1)*IF(Upgrades!$T$10="Magnetosphere",POWER(Upgrades!$U$10,I389),1)*IF(Upgrades!$T$11="Magnetosphere",POWER(Upgrades!$U$11,J389),1)*IF(Upgrades!$T$12="Magnetosphere",POWER(Upgrades!$U$12,K389),1))/AJ389,0)</f>
        <v>0</v>
      </c>
      <c r="AW389" s="33" t="n">
        <f aca="false">MAX(IF(I389&gt;0,0,IFERROR(0.25*N389/Upgrades!$C$10,0)),IF(J389&gt;0,0,IFERROR(0.5*((IF(G389=0,0,(Upgrades!$J$8+G389*Upgrades!$K$8)*POWER(Upgrades!$L$8,G389)))*(IF(Upgrades!$T$6="Stellar Coupling",POWER(Upgrades!$U$6,E389),1)*IF(Upgrades!$T$7="Stellar Coupling",POWER(Upgrades!$U$7,F389),1)*IF(Upgrades!$T$9="Stellar Coupling",POWER(Upgrades!$U$9,H389),1)*IF(Upgrades!$T$10="Stellar Coupling",POWER(Upgrades!$U$10,I389),1)*IF(Upgrades!$T$11="Stellar Coupling",POWER(Upgrades!$U$11,J389),1)*IF(Upgrades!$T$12="Stellar Coupling",POWER(Upgrades!$U$12,K389),1))*(POWER(Upgrades!$Q$6,E389)*POWER(Upgrades!$Q$7,F389)*POWER(Upgrades!$Q$8,G389)*POWER(Upgrades!$Q$9,H389)*POWER(Upgrades!$Q$10,I389)*POWER(Upgrades!$Q$11,J389)*POWER(Upgrades!$Q$12,K389))*Parameters!$B$10*Parameters!$B$11/60)/Upgrades!$C$11,0)),IF(K389&gt;0,0,IFERROR((1*(POWER(Upgrades!$P$6,E389)*POWER(Upgrades!$P$7,F389)*POWER(Upgrades!$P$8,G389)*POWER(Upgrades!$P$9,H389)*POWER(Upgrades!$P$10,I389)*POWER(Upgrades!$P$11,J389)*POWER(Upgrades!$P$12,K389))+0.2*M389*Parameters!$B$10*Parameters!$B$11/60)/Upgrades!$C$12,0)),IF(AND(ISNUMBER(AG389),AG389&gt;T389),AS389,0),IF(AND(ISNUMBER(AH389),AH389&gt;T389),AT389,0),IF(AND(ISNUMBER(AI389),AI389&gt;T389),AU389,0),IF(AND(ISNUMBER(AJ389),AJ389&gt;T389),AV389,0))</f>
        <v>0.00452762415783776</v>
      </c>
      <c r="AX389" s="29" t="str">
        <f aca="false">IF(AN389=1,"transition",IF(MIN(IF(AND(I389=0,ISNUMBER(AK389),AK389&lt;=T389),AK389,9000000000000000),IF(AND(J389=0,ISNUMBER(AL389),AL389&lt;=T389),AL389,9000000000000000),IF(AND(K389=0,ISNUMBER(AM389),AM389&lt;=T389),AM389,9000000000000000))&lt;9000000000000000,IF(AND(AND(I389=0,ISNUMBER(AK389),AK389&lt;=T389),AK389=MIN(IF(AND(I389=0,ISNUMBER(AK389),AK389&lt;=T389),AK389,9000000000000000),IF(AND(J389=0,ISNUMBER(AL389),AL389&lt;=T389),AL389,9000000000000000),IF(AND(K389=0,ISNUMBER(AM389),AM389&lt;=T389),AM389,9000000000000000))),"OR",IF(AND(AND(J389=0,ISNUMBER(AL389),AL389&lt;=T389),AL389=MIN(IF(AND(I389=0,ISNUMBER(AK389),AK389&lt;=T389),AK389,9000000000000000),IF(AND(J389=0,ISNUMBER(AL389),AL389&lt;=T389),AL389,9000000000000000),IF(AND(K389=0,ISNUMBER(AM389),AM389&lt;=T389),AM389,9000000000000000))),"HP","FP")),IF(AR389=TRUE(),"",IF(MAX(IF(AND(NOT(AND(AO389=1,AN389&lt;&gt;1)),ISNUMBER(AG389),AG389&lt;=T389),AS389,0),IF(AND(NOT(AND(AO389=1,AN389&lt;&gt;1)),ISNUMBER(AH389),AH389&lt;=T389),AT389,0),IF(AND(NOT(AND(AO389=1,AN389&lt;&gt;1)),ISNUMBER(AI389),AI389&lt;=T389),AU389,0),IF(AND(ISNUMBER(AJ389),AJ389&lt;=T389),AV389,0))&lt;=0,"",IF(AND(IF(AND(NOT(AND(AO389=1,AN389&lt;&gt;1)),ISNUMBER(AG389),AG389&lt;=T389),AS389,0)&gt;0,IF(AND(NOT(AND(AO389=1,AN389&lt;&gt;1)),ISNUMBER(AG389),AG389&lt;=T389),AS389,0)=MAX(IF(AND(NOT(AND(AO389=1,AN389&lt;&gt;1)),ISNUMBER(AG389),AG389&lt;=T389),AS389,0),IF(AND(NOT(AND(AO389=1,AN389&lt;&gt;1)),ISNUMBER(AH389),AH389&lt;=T389),AT389,0),IF(AND(NOT(AND(AO389=1,AN389&lt;&gt;1)),ISNUMBER(AI389),AI389&lt;=T389),AU389,0),IF(AND(ISNUMBER(AJ389),AJ389&lt;=T389),AV389,0))),"SW",IF(AND(IF(AND(NOT(AND(AO389=1,AN389&lt;&gt;1)),ISNUMBER(AH389),AH389&lt;=T389),AT389,0)&gt;0,IF(AND(NOT(AND(AO389=1,AN389&lt;&gt;1)),ISNUMBER(AH389),AH389&lt;=T389),AT389,0)=MAX(IF(AND(NOT(AND(AO389=1,AN389&lt;&gt;1)),ISNUMBER(AG389),AG389&lt;=T389),AS389,0),IF(AND(NOT(AND(AO389=1,AN389&lt;&gt;1)),ISNUMBER(AH389),AH389&lt;=T389),AT389,0),IF(AND(NOT(AND(AO389=1,AN389&lt;&gt;1)),ISNUMBER(AI389),AI389&lt;=T389),AU389,0),IF(AND(ISNUMBER(AJ389),AJ389&lt;=T389),AV389,0))),"AB",IF(AND(IF(AND(NOT(AND(AO389=1,AN389&lt;&gt;1)),ISNUMBER(AI389),AI389&lt;=T389),AU389,0)&gt;0,IF(AND(NOT(AND(AO389=1,AN389&lt;&gt;1)),ISNUMBER(AI389),AI389&lt;=T389),AU389,0)=MAX(IF(AND(NOT(AND(AO389=1,AN389&lt;&gt;1)),ISNUMBER(AG389),AG389&lt;=T389),AS389,0),IF(AND(NOT(AND(AO389=1,AN389&lt;&gt;1)),ISNUMBER(AH389),AH389&lt;=T389),AT389,0),IF(AND(NOT(AND(AO389=1,AN389&lt;&gt;1)),ISNUMBER(AI389),AI389&lt;=T389),AU389,0),IF(AND(ISNUMBER(AJ389),AJ389&lt;=T389),AV389,0))),"SC","Mag")))))))</f>
        <v/>
      </c>
    </row>
    <row r="390" customFormat="false" ht="15" hidden="false" customHeight="false" outlineLevel="0" collapsed="false">
      <c r="A390" s="26" t="n">
        <v>385</v>
      </c>
      <c r="B390" s="27" t="n">
        <f aca="false">A390*10/60</f>
        <v>64.1666666666667</v>
      </c>
      <c r="C390" s="21" t="n">
        <f aca="false">X389</f>
        <v>18.6730249835055</v>
      </c>
      <c r="D390" s="27" t="n">
        <f aca="false">D389+W389</f>
        <v>0</v>
      </c>
      <c r="E390" s="26" t="n">
        <f aca="false">E389+IF(U389="SW",1,0)</f>
        <v>12</v>
      </c>
      <c r="F390" s="26" t="n">
        <f aca="false">F389+IF(U389="AB",1,0)</f>
        <v>10</v>
      </c>
      <c r="G390" s="26" t="n">
        <f aca="false">G389+IF(U389="SC",1,0)</f>
        <v>7</v>
      </c>
      <c r="H390" s="26" t="n">
        <f aca="false">H389+IF(U389="Mag",1,0)</f>
        <v>5</v>
      </c>
      <c r="I390" s="26" t="n">
        <f aca="false">MAX(I389,IF(U389="OR",1,0))</f>
        <v>1</v>
      </c>
      <c r="J390" s="26" t="n">
        <f aca="false">MAX(J389,IF(U389="HP",1,0))</f>
        <v>1</v>
      </c>
      <c r="K390" s="26" t="n">
        <f aca="false">MAX(K389,IF(U389="FP",1,0))</f>
        <v>1</v>
      </c>
      <c r="L390" s="26" t="n">
        <f aca="false">MAX(L389,IF(U389="transition",1,0))</f>
        <v>1</v>
      </c>
      <c r="M390" s="28" t="n">
        <f aca="false">(Parameters!$B$9+(IF(E390=0,0,(Upgrades!$J$6+E390*Upgrades!$K$6)*POWER(Upgrades!$L$6,E390)))*(IF(Upgrades!$T$7="Solar Wind",POWER(Upgrades!$U$7,F390),1)*IF(Upgrades!$T$8="Solar Wind",POWER(Upgrades!$U$8,G390),1)*IF(Upgrades!$T$9="Solar Wind",POWER(Upgrades!$U$9,H390),1)*IF(Upgrades!$T$10="Solar Wind",POWER(Upgrades!$U$10,I390),1)*IF(Upgrades!$T$11="Solar Wind",POWER(Upgrades!$U$11,J390),1)*IF(Upgrades!$T$12="Solar Wind",POWER(Upgrades!$U$12,K390),1))+(IF(F390=0,0,(Upgrades!$J$7+F390*Upgrades!$K$7)*POWER(Upgrades!$L$7,F390)))*(IF(Upgrades!$T$6="Asteroid Belt",POWER(Upgrades!$U$6,E390),1)*IF(Upgrades!$T$8="Asteroid Belt",POWER(Upgrades!$U$8,G390),1)*IF(Upgrades!$T$9="Asteroid Belt",POWER(Upgrades!$U$9,H390),1)*IF(Upgrades!$T$10="Asteroid Belt",POWER(Upgrades!$U$10,I390),1)*IF(Upgrades!$T$11="Asteroid Belt",POWER(Upgrades!$U$11,J390),1)*IF(Upgrades!$T$12="Asteroid Belt",POWER(Upgrades!$U$12,K390),1))+(IF(G390=0,0,(Upgrades!$J$8+G390*Upgrades!$K$8)*POWER(Upgrades!$L$8,G390)))*(IF(Upgrades!$T$6="Stellar Coupling",POWER(Upgrades!$U$6,E390),1)*IF(Upgrades!$T$7="Stellar Coupling",POWER(Upgrades!$U$7,F390),1)*IF(Upgrades!$T$9="Stellar Coupling",POWER(Upgrades!$U$9,H390),1)*IF(Upgrades!$T$10="Stellar Coupling",POWER(Upgrades!$U$10,I390),1)*IF(Upgrades!$T$11="Stellar Coupling",POWER(Upgrades!$U$11,J390),1)*IF(Upgrades!$T$12="Stellar Coupling",POWER(Upgrades!$U$12,K390),1))+(IF(H390=0,0,(Upgrades!$J$9+H390*Upgrades!$K$9)*POWER(Upgrades!$L$9,H390)))*(IF(Upgrades!$T$6="Magnetosphere",POWER(Upgrades!$U$6,E390),1)*IF(Upgrades!$T$7="Magnetosphere",POWER(Upgrades!$U$7,F390),1)*IF(Upgrades!$T$8="Magnetosphere",POWER(Upgrades!$U$8,G390),1)*IF(Upgrades!$T$10="Magnetosphere",POWER(Upgrades!$U$10,I390),1)*IF(Upgrades!$T$11="Magnetosphere",POWER(Upgrades!$U$11,J390),1)*IF(Upgrades!$T$12="Magnetosphere",POWER(Upgrades!$U$12,K390),1))+(IF(I390=0,0,(Upgrades!$J$10+I390*Upgrades!$K$10)*POWER(Upgrades!$L$10,I390)))*(IF(Upgrades!$T$6="Orbital Resonance",POWER(Upgrades!$U$6,E390),1)*IF(Upgrades!$T$7="Orbital Resonance",POWER(Upgrades!$U$7,F390),1)*IF(Upgrades!$T$8="Orbital Resonance",POWER(Upgrades!$U$8,G390),1)*IF(Upgrades!$T$9="Orbital Resonance",POWER(Upgrades!$U$9,H390),1)*IF(Upgrades!$T$11="Orbital Resonance",POWER(Upgrades!$U$11,J390),1)*IF(Upgrades!$T$12="Orbital Resonance",POWER(Upgrades!$U$12,K390),1))+(IF(J390=0,0,(Upgrades!$J$11+J390*Upgrades!$K$11)*POWER(Upgrades!$L$11,J390)))*(IF(Upgrades!$T$6="Heliopause",POWER(Upgrades!$U$6,E390),1)*IF(Upgrades!$T$7="Heliopause",POWER(Upgrades!$U$7,F390),1)*IF(Upgrades!$T$8="Heliopause",POWER(Upgrades!$U$8,G390),1)*IF(Upgrades!$T$9="Heliopause",POWER(Upgrades!$U$9,H390),1)*IF(Upgrades!$T$10="Heliopause",POWER(Upgrades!$U$10,I390),1)*IF(Upgrades!$T$12="Heliopause",POWER(Upgrades!$U$12,K390),1))+(IF(K390=0,0,(Upgrades!$J$12+K390*Upgrades!$K$12)*POWER(Upgrades!$L$12,K390)))*(IF(Upgrades!$T$6="First Photons",POWER(Upgrades!$U$6,E390),1)*IF(Upgrades!$T$7="First Photons",POWER(Upgrades!$U$7,F390),1)*IF(Upgrades!$T$8="First Photons",POWER(Upgrades!$U$8,G390),1)*IF(Upgrades!$T$9="First Photons",POWER(Upgrades!$U$9,H390),1)*IF(Upgrades!$T$10="First Photons",POWER(Upgrades!$U$10,I390),1)*IF(Upgrades!$T$11="First Photons",POWER(Upgrades!$U$11,J390),1)))*POWER(Upgrades!$Q$6,E390)*POWER(Upgrades!$Q$7,F390)*POWER(Upgrades!$Q$8,G390)*POWER(Upgrades!$Q$9,H390)*POWER(Upgrades!$Q$10,I390)*POWER(Upgrades!$Q$11,J390)*POWER(Upgrades!$Q$12,K390)</f>
        <v>5.61</v>
      </c>
      <c r="N390" s="28" t="n">
        <f aca="false">((IF(E390=0,0,(Upgrades!$G$6+E390*Upgrades!$H$6)*POWER(Upgrades!$I$6,E390)))*(IF(Upgrades!$T$7="Solar Wind",POWER(Upgrades!$U$7,F390),1)*IF(Upgrades!$T$8="Solar Wind",POWER(Upgrades!$U$8,G390),1)*IF(Upgrades!$T$9="Solar Wind",POWER(Upgrades!$U$9,H390),1)*IF(Upgrades!$T$10="Solar Wind",POWER(Upgrades!$U$10,I390),1)*IF(Upgrades!$T$11="Solar Wind",POWER(Upgrades!$U$11,J390),1)*IF(Upgrades!$T$12="Solar Wind",POWER(Upgrades!$U$12,K390),1))+(IF(F390=0,0,(Upgrades!$G$7+F390*Upgrades!$H$7)*POWER(Upgrades!$I$7,F390)))*(IF(Upgrades!$T$6="Asteroid Belt",POWER(Upgrades!$U$6,E390),1)*IF(Upgrades!$T$8="Asteroid Belt",POWER(Upgrades!$U$8,G390),1)*IF(Upgrades!$T$9="Asteroid Belt",POWER(Upgrades!$U$9,H390),1)*IF(Upgrades!$T$10="Asteroid Belt",POWER(Upgrades!$U$10,I390),1)*IF(Upgrades!$T$11="Asteroid Belt",POWER(Upgrades!$U$11,J390),1)*IF(Upgrades!$T$12="Asteroid Belt",POWER(Upgrades!$U$12,K390),1))+(IF(G390=0,0,(Upgrades!$G$8+G390*Upgrades!$H$8)*POWER(Upgrades!$I$8,G390)))*(IF(Upgrades!$T$6="Stellar Coupling",POWER(Upgrades!$U$6,E390),1)*IF(Upgrades!$T$7="Stellar Coupling",POWER(Upgrades!$U$7,F390),1)*IF(Upgrades!$T$9="Stellar Coupling",POWER(Upgrades!$U$9,H390),1)*IF(Upgrades!$T$10="Stellar Coupling",POWER(Upgrades!$U$10,I390),1)*IF(Upgrades!$T$11="Stellar Coupling",POWER(Upgrades!$U$11,J390),1)*IF(Upgrades!$T$12="Stellar Coupling",POWER(Upgrades!$U$12,K390),1))+(IF(H390=0,0,(Upgrades!$G$9+H390*Upgrades!$H$9)*POWER(Upgrades!$I$9,H390)))*(IF(Upgrades!$T$6="Magnetosphere",POWER(Upgrades!$U$6,E390),1)*IF(Upgrades!$T$7="Magnetosphere",POWER(Upgrades!$U$7,F390),1)*IF(Upgrades!$T$8="Magnetosphere",POWER(Upgrades!$U$8,G390),1)*IF(Upgrades!$T$10="Magnetosphere",POWER(Upgrades!$U$10,I390),1)*IF(Upgrades!$T$11="Magnetosphere",POWER(Upgrades!$U$11,J390),1)*IF(Upgrades!$T$12="Magnetosphere",POWER(Upgrades!$U$12,K390),1))+(IF(I390=0,0,(Upgrades!$G$10+I390*Upgrades!$H$10)*POWER(Upgrades!$I$10,I390)))*(IF(Upgrades!$T$6="Orbital Resonance",POWER(Upgrades!$U$6,E390),1)*IF(Upgrades!$T$7="Orbital Resonance",POWER(Upgrades!$U$7,F390),1)*IF(Upgrades!$T$8="Orbital Resonance",POWER(Upgrades!$U$8,G390),1)*IF(Upgrades!$T$9="Orbital Resonance",POWER(Upgrades!$U$9,H390),1)*IF(Upgrades!$T$11="Orbital Resonance",POWER(Upgrades!$U$11,J390),1)*IF(Upgrades!$T$12="Orbital Resonance",POWER(Upgrades!$U$12,K390),1))+(IF(J390=0,0,(Upgrades!$G$11+J390*Upgrades!$H$11)*POWER(Upgrades!$I$11,J390)))*(IF(Upgrades!$T$6="Heliopause",POWER(Upgrades!$U$6,E390),1)*IF(Upgrades!$T$7="Heliopause",POWER(Upgrades!$U$7,F390),1)*IF(Upgrades!$T$8="Heliopause",POWER(Upgrades!$U$8,G390),1)*IF(Upgrades!$T$9="Heliopause",POWER(Upgrades!$U$9,H390),1)*IF(Upgrades!$T$10="Heliopause",POWER(Upgrades!$U$10,I390),1)*IF(Upgrades!$T$12="Heliopause",POWER(Upgrades!$U$12,K390),1))+(IF(K390=0,0,(Upgrades!$G$12+K390*Upgrades!$H$12)*POWER(Upgrades!$I$12,K390)))*(IF(Upgrades!$T$6="First Photons",POWER(Upgrades!$U$6,E390),1)*IF(Upgrades!$T$7="First Photons",POWER(Upgrades!$U$7,F390),1)*IF(Upgrades!$T$8="First Photons",POWER(Upgrades!$U$8,G390),1)*IF(Upgrades!$T$9="First Photons",POWER(Upgrades!$U$9,H390),1)*IF(Upgrades!$T$10="First Photons",POWER(Upgrades!$U$10,I390),1)*IF(Upgrades!$T$11="First Photons",POWER(Upgrades!$U$11,J390),1)))*POWER(Upgrades!$P$6,E390)*POWER(Upgrades!$P$7,F390)*POWER(Upgrades!$P$8,G390)*POWER(Upgrades!$P$9,H390)*POWER(Upgrades!$P$10,I390)*POWER(Upgrades!$P$11,J390)*POWER(Upgrades!$P$12,K390)</f>
        <v>11.2</v>
      </c>
      <c r="O390" s="28" t="n">
        <f aca="false">((IF(E390=0,0,(Upgrades!$M$6+E390*Upgrades!$N$6)*POWER(Upgrades!$O$6,E390)))*(IF(Upgrades!$T$7="Solar Wind",POWER(Upgrades!$U$7,F390),1)*IF(Upgrades!$T$8="Solar Wind",POWER(Upgrades!$U$8,G390),1)*IF(Upgrades!$T$9="Solar Wind",POWER(Upgrades!$U$9,H390),1)*IF(Upgrades!$T$10="Solar Wind",POWER(Upgrades!$U$10,I390),1)*IF(Upgrades!$T$11="Solar Wind",POWER(Upgrades!$U$11,J390),1)*IF(Upgrades!$T$12="Solar Wind",POWER(Upgrades!$U$12,K390),1))+(IF(F390=0,0,(Upgrades!$M$7+F390*Upgrades!$N$7)*POWER(Upgrades!$O$7,F390)))*(IF(Upgrades!$T$6="Asteroid Belt",POWER(Upgrades!$U$6,E390),1)*IF(Upgrades!$T$8="Asteroid Belt",POWER(Upgrades!$U$8,G390),1)*IF(Upgrades!$T$9="Asteroid Belt",POWER(Upgrades!$U$9,H390),1)*IF(Upgrades!$T$10="Asteroid Belt",POWER(Upgrades!$U$10,I390),1)*IF(Upgrades!$T$11="Asteroid Belt",POWER(Upgrades!$U$11,J390),1)*IF(Upgrades!$T$12="Asteroid Belt",POWER(Upgrades!$U$12,K390),1))+(IF(G390=0,0,(Upgrades!$M$8+G390*Upgrades!$N$8)*POWER(Upgrades!$O$8,G390)))*(IF(Upgrades!$T$6="Stellar Coupling",POWER(Upgrades!$U$6,E390),1)*IF(Upgrades!$T$7="Stellar Coupling",POWER(Upgrades!$U$7,F390),1)*IF(Upgrades!$T$9="Stellar Coupling",POWER(Upgrades!$U$9,H390),1)*IF(Upgrades!$T$10="Stellar Coupling",POWER(Upgrades!$U$10,I390),1)*IF(Upgrades!$T$11="Stellar Coupling",POWER(Upgrades!$U$11,J390),1)*IF(Upgrades!$T$12="Stellar Coupling",POWER(Upgrades!$U$12,K390),1))+(IF(H390=0,0,(Upgrades!$M$9+H390*Upgrades!$N$9)*POWER(Upgrades!$O$9,H390)))*(IF(Upgrades!$T$6="Magnetosphere",POWER(Upgrades!$U$6,E390),1)*IF(Upgrades!$T$7="Magnetosphere",POWER(Upgrades!$U$7,F390),1)*IF(Upgrades!$T$8="Magnetosphere",POWER(Upgrades!$U$8,G390),1)*IF(Upgrades!$T$10="Magnetosphere",POWER(Upgrades!$U$10,I390),1)*IF(Upgrades!$T$11="Magnetosphere",POWER(Upgrades!$U$11,J390),1)*IF(Upgrades!$T$12="Magnetosphere",POWER(Upgrades!$U$12,K390),1))+(IF(I390=0,0,(Upgrades!$M$10+I390*Upgrades!$N$10)*POWER(Upgrades!$O$10,I390)))*(IF(Upgrades!$T$6="Orbital Resonance",POWER(Upgrades!$U$6,E390),1)*IF(Upgrades!$T$7="Orbital Resonance",POWER(Upgrades!$U$7,F390),1)*IF(Upgrades!$T$8="Orbital Resonance",POWER(Upgrades!$U$8,G390),1)*IF(Upgrades!$T$9="Orbital Resonance",POWER(Upgrades!$U$9,H390),1)*IF(Upgrades!$T$11="Orbital Resonance",POWER(Upgrades!$U$11,J390),1)*IF(Upgrades!$T$12="Orbital Resonance",POWER(Upgrades!$U$12,K390),1))+(IF(J390=0,0,(Upgrades!$M$11+J390*Upgrades!$N$11)*POWER(Upgrades!$O$11,J390)))*(IF(Upgrades!$T$6="Heliopause",POWER(Upgrades!$U$6,E390),1)*IF(Upgrades!$T$7="Heliopause",POWER(Upgrades!$U$7,F390),1)*IF(Upgrades!$T$8="Heliopause",POWER(Upgrades!$U$8,G390),1)*IF(Upgrades!$T$9="Heliopause",POWER(Upgrades!$U$9,H390),1)*IF(Upgrades!$T$10="Heliopause",POWER(Upgrades!$U$10,I390),1)*IF(Upgrades!$T$12="Heliopause",POWER(Upgrades!$U$12,K390),1))+(IF(K390=0,0,(Upgrades!$M$12+K390*Upgrades!$N$12)*POWER(Upgrades!$O$12,K390)))*(IF(Upgrades!$T$6="First Photons",POWER(Upgrades!$U$6,E390),1)*IF(Upgrades!$T$7="First Photons",POWER(Upgrades!$U$7,F390),1)*IF(Upgrades!$T$8="First Photons",POWER(Upgrades!$U$8,G390),1)*IF(Upgrades!$T$9="First Photons",POWER(Upgrades!$U$9,H390),1)*IF(Upgrades!$T$10="First Photons",POWER(Upgrades!$U$10,I390),1)*IF(Upgrades!$T$11="First Photons",POWER(Upgrades!$U$11,J390),1)))*POWER(Upgrades!$R$6,E390)*POWER(Upgrades!$R$7,F390)*POWER(Upgrades!$R$8,G390)*POWER(Upgrades!$R$9,H390)*POWER(Upgrades!$R$10,I390)*POWER(Upgrades!$R$11,J390)*POWER(Upgrades!$R$12,K390)</f>
        <v>0</v>
      </c>
      <c r="P390" s="27" t="n">
        <f aca="false">IF(L390=1,0,M390*Parameters!$B$10/60*Parameters!$B$11*10)</f>
        <v>0</v>
      </c>
      <c r="Q390" s="27" t="n">
        <f aca="false">IF(L390=1,0,O390*M390*10)</f>
        <v>0</v>
      </c>
      <c r="R390" s="27" t="n">
        <f aca="false">IF(L390=1,0,N390*10)</f>
        <v>0</v>
      </c>
      <c r="S390" s="27" t="n">
        <f aca="false">P390+Q390+R390</f>
        <v>0</v>
      </c>
      <c r="T390" s="21" t="n">
        <f aca="false">C390+S390</f>
        <v>18.6730249835055</v>
      </c>
      <c r="U390" s="34" t="str">
        <f aca="false">AX390</f>
        <v/>
      </c>
      <c r="V390" s="21" t="n">
        <f aca="false">IF(U390="",0,IF(U390="transition",0,IF(U390="SW",AG390,IF(U390="AB",AH390,IF(U390="SC",AI390,IF(U390="Mag",AJ390,IF(U390="OR",AK390,IF(U390="HP",AL390,IF(U390="FP",AM390,0)))))))))</f>
        <v>0</v>
      </c>
      <c r="W390" s="27" t="n">
        <f aca="false">IF(U390="OR",Upgrades!$F$10,IF(U390="HP",Upgrades!$F$11,IF(U390="transition",-Parameters!$B$18,0)))</f>
        <v>0</v>
      </c>
      <c r="X390" s="21" t="n">
        <f aca="false">T390-V390</f>
        <v>18.6730249835055</v>
      </c>
      <c r="Y390" s="30" t="n">
        <f aca="false">M390*Parameters!$B$10/60*Parameters!$B$11+O390*M390+N390</f>
        <v>20.55</v>
      </c>
      <c r="Z390" s="35" t="str">
        <f aca="false">IF(U390="transition","→ Tier 2 (Stellar Neighborhood)",IF(U390="FP","First Photons — light begins, system quickens",IF(U390="HP","Heliopause acquired",IF(U390="OR","Orbital Resonance — passive multiplier active",IF(AND(AO390=1,L390=0,AN390&lt;&gt;1),"Cohesion ready (waiting on completionist upgrades)","")))))</f>
        <v/>
      </c>
      <c r="AA390" s="27" t="n">
        <f aca="false">(IF(E390=0,0,(Upgrades!$G$6+E390*Upgrades!$H$6)*POWER(Upgrades!$I$6,E390)))*(IF(Upgrades!$T$7="Solar Wind",POWER(Upgrades!$U$7,F390),1)*IF(Upgrades!$T$8="Solar Wind",POWER(Upgrades!$U$8,G390),1)*IF(Upgrades!$T$9="Solar Wind",POWER(Upgrades!$U$9,H390),1)*IF(Upgrades!$T$10="Solar Wind",POWER(Upgrades!$U$10,I390),1)*IF(Upgrades!$T$11="Solar Wind",POWER(Upgrades!$U$11,J390),1)*IF(Upgrades!$T$12="Solar Wind",POWER(Upgrades!$U$12,K390),1))*POWER(Upgrades!$P$6,E390)*POWER(Upgrades!$P$7,F390)*POWER(Upgrades!$P$8,G390)*POWER(Upgrades!$P$9,H390)*POWER(Upgrades!$P$10,I390)*POWER(Upgrades!$P$11,J390)*POWER(Upgrades!$P$12,K390)*60</f>
        <v>72</v>
      </c>
      <c r="AB390" s="27" t="n">
        <f aca="false">(IF(F390=0,0,(Upgrades!$G$7+F390*Upgrades!$H$7)*POWER(Upgrades!$I$7,F390)))*(IF(Upgrades!$T$6="Asteroid Belt",POWER(Upgrades!$U$6,E390),1)*IF(Upgrades!$T$8="Asteroid Belt",POWER(Upgrades!$U$8,G390),1)*IF(Upgrades!$T$9="Asteroid Belt",POWER(Upgrades!$U$9,H390),1)*IF(Upgrades!$T$10="Asteroid Belt",POWER(Upgrades!$U$10,I390),1)*IF(Upgrades!$T$11="Asteroid Belt",POWER(Upgrades!$U$11,J390),1)*IF(Upgrades!$T$12="Asteroid Belt",POWER(Upgrades!$U$12,K390),1))*POWER(Upgrades!$P$6,E390)*POWER(Upgrades!$P$7,F390)*POWER(Upgrades!$P$8,G390)*POWER(Upgrades!$P$9,H390)*POWER(Upgrades!$P$10,I390)*POWER(Upgrades!$P$11,J390)*POWER(Upgrades!$P$12,K390)*60</f>
        <v>150</v>
      </c>
      <c r="AC390" s="27" t="n">
        <f aca="false">(IF(G390=0,0,(Upgrades!$J$8+G390*Upgrades!$K$8)*POWER(Upgrades!$L$8,G390)))*(IF(Upgrades!$T$6="Stellar Coupling",POWER(Upgrades!$U$6,E390),1)*IF(Upgrades!$T$7="Stellar Coupling",POWER(Upgrades!$U$7,F390),1)*IF(Upgrades!$T$9="Stellar Coupling",POWER(Upgrades!$U$9,H390),1)*IF(Upgrades!$T$10="Stellar Coupling",POWER(Upgrades!$U$10,I390),1)*IF(Upgrades!$T$11="Stellar Coupling",POWER(Upgrades!$U$11,J390),1)*IF(Upgrades!$T$12="Stellar Coupling",POWER(Upgrades!$U$12,K390),1))*POWER(Upgrades!$Q$6,E390)*POWER(Upgrades!$Q$7,F390)*POWER(Upgrades!$Q$8,G390)*POWER(Upgrades!$Q$9,H390)*POWER(Upgrades!$Q$10,I390)*POWER(Upgrades!$Q$11,J390)*POWER(Upgrades!$Q$12,K390)*Parameters!$B$10*Parameters!$B$11</f>
        <v>441</v>
      </c>
      <c r="AD390" s="27" t="n">
        <f aca="false">(IF(H390=0,0,(Upgrades!$G$9+H390*Upgrades!$H$9)*POWER(Upgrades!$I$9,H390)))*(IF(Upgrades!$T$6="Magnetosphere",POWER(Upgrades!$U$6,E390),1)*IF(Upgrades!$T$7="Magnetosphere",POWER(Upgrades!$U$7,F390),1)*IF(Upgrades!$T$8="Magnetosphere",POWER(Upgrades!$U$8,G390),1)*IF(Upgrades!$T$10="Magnetosphere",POWER(Upgrades!$U$10,I390),1)*IF(Upgrades!$T$11="Magnetosphere",POWER(Upgrades!$U$11,J390),1)*IF(Upgrades!$T$12="Magnetosphere",POWER(Upgrades!$U$12,K390),1))*POWER(Upgrades!$P$6,E390)*POWER(Upgrades!$P$7,F390)*POWER(Upgrades!$P$8,G390)*POWER(Upgrades!$P$9,H390)*POWER(Upgrades!$P$10,I390)*POWER(Upgrades!$P$11,J390)*POWER(Upgrades!$P$12,K390)*60</f>
        <v>375</v>
      </c>
      <c r="AE390" s="27" t="n">
        <f aca="false">(IF(K390=0,0,(Upgrades!$G$12+K390*Upgrades!$H$12)*POWER(Upgrades!$I$12,K390)))*(IF(Upgrades!$T$6="First Photons",POWER(Upgrades!$U$6,E390),1)*IF(Upgrades!$T$7="First Photons",POWER(Upgrades!$U$7,F390),1)*IF(Upgrades!$T$8="First Photons",POWER(Upgrades!$U$8,G390),1)*IF(Upgrades!$T$9="First Photons",POWER(Upgrades!$U$9,H390),1)*IF(Upgrades!$T$10="First Photons",POWER(Upgrades!$U$10,I390),1)*IF(Upgrades!$T$11="First Photons",POWER(Upgrades!$U$11,J390),1))*POWER(Upgrades!$P$6,E390)*POWER(Upgrades!$P$7,F390)*POWER(Upgrades!$P$8,G390)*POWER(Upgrades!$P$9,H390)*POWER(Upgrades!$P$10,I390)*POWER(Upgrades!$P$11,J390)*POWER(Upgrades!$P$12,K390)*60</f>
        <v>75</v>
      </c>
      <c r="AF390" s="27" t="n">
        <f aca="false">Parameters!$B$9*POWER(Upgrades!$Q$6,E390)*POWER(Upgrades!$Q$7,F390)*POWER(Upgrades!$Q$8,G390)*POWER(Upgrades!$Q$9,H390)*POWER(Upgrades!$Q$10,I390)*POWER(Upgrades!$Q$11,J390)*POWER(Upgrades!$Q$12,K390)*(Parameters!$B$10*Parameters!$B$11+O390*60)</f>
        <v>120</v>
      </c>
      <c r="AG390" s="21" t="n">
        <f aca="false">IF(E390&gt;=Upgrades!$E$6,"",Upgrades!$C$6*POWER(Upgrades!$D$6,E390))</f>
        <v>37.4517507383159</v>
      </c>
      <c r="AH390" s="21" t="n">
        <f aca="false">IF(F390&gt;=Upgrades!$E$7,"",Upgrades!$C$7*POWER(Upgrades!$D$7,F390))</f>
        <v>80.9111547141581</v>
      </c>
      <c r="AI390" s="21" t="n">
        <f aca="false">IF(G390&gt;=Upgrades!$E$8,"",Upgrades!$C$8*POWER(Upgrades!$D$8,G390))</f>
        <v>231.9097088</v>
      </c>
      <c r="AJ390" s="21" t="str">
        <f aca="false">IF(H390&gt;=Upgrades!$E$9,"",Upgrades!$C$9*POWER(Upgrades!$D$9,H390))</f>
        <v/>
      </c>
      <c r="AK390" s="21" t="str">
        <f aca="false">IF(I390&gt;=Upgrades!$E$10,"",Upgrades!$C$10*POWER(Upgrades!$D$10,I390))</f>
        <v/>
      </c>
      <c r="AL390" s="21" t="str">
        <f aca="false">IF(J390&gt;=Upgrades!$E$11,"",Upgrades!$C$11*POWER(Upgrades!$D$11,J390))</f>
        <v/>
      </c>
      <c r="AM390" s="21" t="str">
        <f aca="false">IF(K390&gt;=Upgrades!$E$12,"",Upgrades!$C$12*POWER(Upgrades!$D$12,K390))</f>
        <v/>
      </c>
      <c r="AN390" s="26" t="str">
        <f aca="false">IF(AND(D390&gt;=Parameters!$B$18,(H390&gt;=Upgrades!$E$9)*(K390&gt;=Upgrades!$E$12)=1,L390=0),1,"")</f>
        <v/>
      </c>
      <c r="AO390" s="26" t="str">
        <f aca="false">IF(AND(D390&gt;=Parameters!$B$18,L390=0),1,"")</f>
        <v/>
      </c>
      <c r="AP390" s="21" t="n">
        <f aca="false">MIN(IF(ISNUMBER(AK390),AK390,9000000000000000),IF(ISNUMBER(AL390),AL390,9000000000000000),IF(ISNUMBER(AM390),AM390,9000000000000000))</f>
        <v>9000000000000000</v>
      </c>
      <c r="AQ390" s="21" t="n">
        <f aca="false">MIN(IF(ISNUMBER(AG390),AG390,9000000000000000),IF(ISNUMBER(AH390),AH390,9000000000000000),IF(ISNUMBER(AI390),AI390,9000000000000000),IF(ISNUMBER(AJ390),AJ390,9000000000000000))</f>
        <v>37.4517507383159</v>
      </c>
      <c r="AR390" s="32" t="b">
        <f aca="false">IF(AW390&gt;Parameters!$B$21*(MAX(IF(AND(NOT(AND(AO390=1,AN390&lt;&gt;1)),ISNUMBER(AG390),AG390&lt;=T390),AS390,0),IF(AND(NOT(AND(AO390=1,AN390&lt;&gt;1)),ISNUMBER(AH390),AH390&lt;=T390),AT390,0),IF(AND(NOT(AND(AO390=1,AN390&lt;&gt;1)),ISNUMBER(AI390),AI390&lt;=T390),AU390,0),IF(AND(ISNUMBER(AJ390),AJ390&lt;=T390),AV390,0))),TRUE(),FALSE())</f>
        <v>1</v>
      </c>
      <c r="AS390" s="33" t="n">
        <f aca="false">IFERROR(Upgrades!$H$6*(POWER(Upgrades!$P$6,E390)*POWER(Upgrades!$P$7,F390)*POWER(Upgrades!$P$8,G390)*POWER(Upgrades!$P$9,H390)*POWER(Upgrades!$P$10,I390)*POWER(Upgrades!$P$11,J390)*POWER(Upgrades!$P$12,K390))*(IF(Upgrades!$T$7="Solar Wind",POWER(Upgrades!$U$7,F390),1)*IF(Upgrades!$T$8="Solar Wind",POWER(Upgrades!$U$8,G390),1)*IF(Upgrades!$T$9="Solar Wind",POWER(Upgrades!$U$9,H390),1)*IF(Upgrades!$T$10="Solar Wind",POWER(Upgrades!$U$10,I390),1)*IF(Upgrades!$T$11="Solar Wind",POWER(Upgrades!$U$11,J390),1)*IF(Upgrades!$T$12="Solar Wind",POWER(Upgrades!$U$12,K390),1))/AG390,0)</f>
        <v>0.0026701021455238</v>
      </c>
      <c r="AT390" s="33" t="n">
        <f aca="false">IFERROR(Upgrades!$H$7*(POWER(Upgrades!$P$6,E390)*POWER(Upgrades!$P$7,F390)*POWER(Upgrades!$P$8,G390)*POWER(Upgrades!$P$9,H390)*POWER(Upgrades!$P$10,I390)*POWER(Upgrades!$P$11,J390)*POWER(Upgrades!$P$12,K390))*(IF(Upgrades!$T$6="Asteroid Belt",POWER(Upgrades!$U$6,E390),1)*IF(Upgrades!$T$8="Asteroid Belt",POWER(Upgrades!$U$8,G390),1)*IF(Upgrades!$T$9="Asteroid Belt",POWER(Upgrades!$U$9,H390),1)*IF(Upgrades!$T$10="Asteroid Belt",POWER(Upgrades!$U$10,I390),1)*IF(Upgrades!$T$11="Asteroid Belt",POWER(Upgrades!$U$11,J390),1)*IF(Upgrades!$T$12="Asteroid Belt",POWER(Upgrades!$U$12,K390),1))/AH390,0)</f>
        <v>0.00308980882652332</v>
      </c>
      <c r="AU390" s="33" t="n">
        <f aca="false">IFERROR(Upgrades!$K$8*(POWER(Upgrades!$Q$6,E390)*POWER(Upgrades!$Q$7,F390)*POWER(Upgrades!$Q$8,G390)*POWER(Upgrades!$Q$9,H390)*POWER(Upgrades!$Q$10,I390)*POWER(Upgrades!$Q$11,J390)*POWER(Upgrades!$Q$12,K390))*(IF(Upgrades!$T$6="Stellar Coupling",POWER(Upgrades!$U$6,E390),1)*IF(Upgrades!$T$7="Stellar Coupling",POWER(Upgrades!$U$7,F390),1)*IF(Upgrades!$T$9="Stellar Coupling",POWER(Upgrades!$U$9,H390),1)*IF(Upgrades!$T$10="Stellar Coupling",POWER(Upgrades!$U$10,I390),1)*IF(Upgrades!$T$11="Stellar Coupling",POWER(Upgrades!$U$11,J390),1)*IF(Upgrades!$T$12="Stellar Coupling",POWER(Upgrades!$U$12,K390),1))*Parameters!$B$10*Parameters!$B$11/60/AI390,0)</f>
        <v>0.00452762415783776</v>
      </c>
      <c r="AV390" s="33" t="n">
        <f aca="false">IFERROR(Upgrades!$H$9*(POWER(Upgrades!$P$6,E390)*POWER(Upgrades!$P$7,F390)*POWER(Upgrades!$P$8,G390)*POWER(Upgrades!$P$9,H390)*POWER(Upgrades!$P$10,I390)*POWER(Upgrades!$P$11,J390)*POWER(Upgrades!$P$12,K390))*(IF(Upgrades!$T$6="Magnetosphere",POWER(Upgrades!$U$6,E390),1)*IF(Upgrades!$T$7="Magnetosphere",POWER(Upgrades!$U$7,F390),1)*IF(Upgrades!$T$8="Magnetosphere",POWER(Upgrades!$U$8,G390),1)*IF(Upgrades!$T$10="Magnetosphere",POWER(Upgrades!$U$10,I390),1)*IF(Upgrades!$T$11="Magnetosphere",POWER(Upgrades!$U$11,J390),1)*IF(Upgrades!$T$12="Magnetosphere",POWER(Upgrades!$U$12,K390),1))/AJ390,0)</f>
        <v>0</v>
      </c>
      <c r="AW390" s="33" t="n">
        <f aca="false">MAX(IF(I390&gt;0,0,IFERROR(0.25*N390/Upgrades!$C$10,0)),IF(J390&gt;0,0,IFERROR(0.5*((IF(G390=0,0,(Upgrades!$J$8+G390*Upgrades!$K$8)*POWER(Upgrades!$L$8,G390)))*(IF(Upgrades!$T$6="Stellar Coupling",POWER(Upgrades!$U$6,E390),1)*IF(Upgrades!$T$7="Stellar Coupling",POWER(Upgrades!$U$7,F390),1)*IF(Upgrades!$T$9="Stellar Coupling",POWER(Upgrades!$U$9,H390),1)*IF(Upgrades!$T$10="Stellar Coupling",POWER(Upgrades!$U$10,I390),1)*IF(Upgrades!$T$11="Stellar Coupling",POWER(Upgrades!$U$11,J390),1)*IF(Upgrades!$T$12="Stellar Coupling",POWER(Upgrades!$U$12,K390),1))*(POWER(Upgrades!$Q$6,E390)*POWER(Upgrades!$Q$7,F390)*POWER(Upgrades!$Q$8,G390)*POWER(Upgrades!$Q$9,H390)*POWER(Upgrades!$Q$10,I390)*POWER(Upgrades!$Q$11,J390)*POWER(Upgrades!$Q$12,K390))*Parameters!$B$10*Parameters!$B$11/60)/Upgrades!$C$11,0)),IF(K390&gt;0,0,IFERROR((1*(POWER(Upgrades!$P$6,E390)*POWER(Upgrades!$P$7,F390)*POWER(Upgrades!$P$8,G390)*POWER(Upgrades!$P$9,H390)*POWER(Upgrades!$P$10,I390)*POWER(Upgrades!$P$11,J390)*POWER(Upgrades!$P$12,K390))+0.2*M390*Parameters!$B$10*Parameters!$B$11/60)/Upgrades!$C$12,0)),IF(AND(ISNUMBER(AG390),AG390&gt;T390),AS390,0),IF(AND(ISNUMBER(AH390),AH390&gt;T390),AT390,0),IF(AND(ISNUMBER(AI390),AI390&gt;T390),AU390,0),IF(AND(ISNUMBER(AJ390),AJ390&gt;T390),AV390,0))</f>
        <v>0.00452762415783776</v>
      </c>
      <c r="AX390" s="29" t="str">
        <f aca="false">IF(AN390=1,"transition",IF(MIN(IF(AND(I390=0,ISNUMBER(AK390),AK390&lt;=T390),AK390,9000000000000000),IF(AND(J390=0,ISNUMBER(AL390),AL390&lt;=T390),AL390,9000000000000000),IF(AND(K390=0,ISNUMBER(AM390),AM390&lt;=T390),AM390,9000000000000000))&lt;9000000000000000,IF(AND(AND(I390=0,ISNUMBER(AK390),AK390&lt;=T390),AK390=MIN(IF(AND(I390=0,ISNUMBER(AK390),AK390&lt;=T390),AK390,9000000000000000),IF(AND(J390=0,ISNUMBER(AL390),AL390&lt;=T390),AL390,9000000000000000),IF(AND(K390=0,ISNUMBER(AM390),AM390&lt;=T390),AM390,9000000000000000))),"OR",IF(AND(AND(J390=0,ISNUMBER(AL390),AL390&lt;=T390),AL390=MIN(IF(AND(I390=0,ISNUMBER(AK390),AK390&lt;=T390),AK390,9000000000000000),IF(AND(J390=0,ISNUMBER(AL390),AL390&lt;=T390),AL390,9000000000000000),IF(AND(K390=0,ISNUMBER(AM390),AM390&lt;=T390),AM390,9000000000000000))),"HP","FP")),IF(AR390=TRUE(),"",IF(MAX(IF(AND(NOT(AND(AO390=1,AN390&lt;&gt;1)),ISNUMBER(AG390),AG390&lt;=T390),AS390,0),IF(AND(NOT(AND(AO390=1,AN390&lt;&gt;1)),ISNUMBER(AH390),AH390&lt;=T390),AT390,0),IF(AND(NOT(AND(AO390=1,AN390&lt;&gt;1)),ISNUMBER(AI390),AI390&lt;=T390),AU390,0),IF(AND(ISNUMBER(AJ390),AJ390&lt;=T390),AV390,0))&lt;=0,"",IF(AND(IF(AND(NOT(AND(AO390=1,AN390&lt;&gt;1)),ISNUMBER(AG390),AG390&lt;=T390),AS390,0)&gt;0,IF(AND(NOT(AND(AO390=1,AN390&lt;&gt;1)),ISNUMBER(AG390),AG390&lt;=T390),AS390,0)=MAX(IF(AND(NOT(AND(AO390=1,AN390&lt;&gt;1)),ISNUMBER(AG390),AG390&lt;=T390),AS390,0),IF(AND(NOT(AND(AO390=1,AN390&lt;&gt;1)),ISNUMBER(AH390),AH390&lt;=T390),AT390,0),IF(AND(NOT(AND(AO390=1,AN390&lt;&gt;1)),ISNUMBER(AI390),AI390&lt;=T390),AU390,0),IF(AND(ISNUMBER(AJ390),AJ390&lt;=T390),AV390,0))),"SW",IF(AND(IF(AND(NOT(AND(AO390=1,AN390&lt;&gt;1)),ISNUMBER(AH390),AH390&lt;=T390),AT390,0)&gt;0,IF(AND(NOT(AND(AO390=1,AN390&lt;&gt;1)),ISNUMBER(AH390),AH390&lt;=T390),AT390,0)=MAX(IF(AND(NOT(AND(AO390=1,AN390&lt;&gt;1)),ISNUMBER(AG390),AG390&lt;=T390),AS390,0),IF(AND(NOT(AND(AO390=1,AN390&lt;&gt;1)),ISNUMBER(AH390),AH390&lt;=T390),AT390,0),IF(AND(NOT(AND(AO390=1,AN390&lt;&gt;1)),ISNUMBER(AI390),AI390&lt;=T390),AU390,0),IF(AND(ISNUMBER(AJ390),AJ390&lt;=T390),AV390,0))),"AB",IF(AND(IF(AND(NOT(AND(AO390=1,AN390&lt;&gt;1)),ISNUMBER(AI390),AI390&lt;=T390),AU390,0)&gt;0,IF(AND(NOT(AND(AO390=1,AN390&lt;&gt;1)),ISNUMBER(AI390),AI390&lt;=T390),AU390,0)=MAX(IF(AND(NOT(AND(AO390=1,AN390&lt;&gt;1)),ISNUMBER(AG390),AG390&lt;=T390),AS390,0),IF(AND(NOT(AND(AO390=1,AN390&lt;&gt;1)),ISNUMBER(AH390),AH390&lt;=T390),AT390,0),IF(AND(NOT(AND(AO390=1,AN390&lt;&gt;1)),ISNUMBER(AI390),AI390&lt;=T390),AU390,0),IF(AND(ISNUMBER(AJ390),AJ390&lt;=T390),AV390,0))),"SC","Mag")))))))</f>
        <v/>
      </c>
    </row>
    <row r="391" customFormat="false" ht="15" hidden="false" customHeight="false" outlineLevel="0" collapsed="false">
      <c r="A391" s="26" t="n">
        <v>386</v>
      </c>
      <c r="B391" s="27" t="n">
        <f aca="false">A391*10/60</f>
        <v>64.3333333333333</v>
      </c>
      <c r="C391" s="21" t="n">
        <f aca="false">X390</f>
        <v>18.6730249835055</v>
      </c>
      <c r="D391" s="27" t="n">
        <f aca="false">D390+W390</f>
        <v>0</v>
      </c>
      <c r="E391" s="26" t="n">
        <f aca="false">E390+IF(U390="SW",1,0)</f>
        <v>12</v>
      </c>
      <c r="F391" s="26" t="n">
        <f aca="false">F390+IF(U390="AB",1,0)</f>
        <v>10</v>
      </c>
      <c r="G391" s="26" t="n">
        <f aca="false">G390+IF(U390="SC",1,0)</f>
        <v>7</v>
      </c>
      <c r="H391" s="26" t="n">
        <f aca="false">H390+IF(U390="Mag",1,0)</f>
        <v>5</v>
      </c>
      <c r="I391" s="26" t="n">
        <f aca="false">MAX(I390,IF(U390="OR",1,0))</f>
        <v>1</v>
      </c>
      <c r="J391" s="26" t="n">
        <f aca="false">MAX(J390,IF(U390="HP",1,0))</f>
        <v>1</v>
      </c>
      <c r="K391" s="26" t="n">
        <f aca="false">MAX(K390,IF(U390="FP",1,0))</f>
        <v>1</v>
      </c>
      <c r="L391" s="26" t="n">
        <f aca="false">MAX(L390,IF(U390="transition",1,0))</f>
        <v>1</v>
      </c>
      <c r="M391" s="28" t="n">
        <f aca="false">(Parameters!$B$9+(IF(E391=0,0,(Upgrades!$J$6+E391*Upgrades!$K$6)*POWER(Upgrades!$L$6,E391)))*(IF(Upgrades!$T$7="Solar Wind",POWER(Upgrades!$U$7,F391),1)*IF(Upgrades!$T$8="Solar Wind",POWER(Upgrades!$U$8,G391),1)*IF(Upgrades!$T$9="Solar Wind",POWER(Upgrades!$U$9,H391),1)*IF(Upgrades!$T$10="Solar Wind",POWER(Upgrades!$U$10,I391),1)*IF(Upgrades!$T$11="Solar Wind",POWER(Upgrades!$U$11,J391),1)*IF(Upgrades!$T$12="Solar Wind",POWER(Upgrades!$U$12,K391),1))+(IF(F391=0,0,(Upgrades!$J$7+F391*Upgrades!$K$7)*POWER(Upgrades!$L$7,F391)))*(IF(Upgrades!$T$6="Asteroid Belt",POWER(Upgrades!$U$6,E391),1)*IF(Upgrades!$T$8="Asteroid Belt",POWER(Upgrades!$U$8,G391),1)*IF(Upgrades!$T$9="Asteroid Belt",POWER(Upgrades!$U$9,H391),1)*IF(Upgrades!$T$10="Asteroid Belt",POWER(Upgrades!$U$10,I391),1)*IF(Upgrades!$T$11="Asteroid Belt",POWER(Upgrades!$U$11,J391),1)*IF(Upgrades!$T$12="Asteroid Belt",POWER(Upgrades!$U$12,K391),1))+(IF(G391=0,0,(Upgrades!$J$8+G391*Upgrades!$K$8)*POWER(Upgrades!$L$8,G391)))*(IF(Upgrades!$T$6="Stellar Coupling",POWER(Upgrades!$U$6,E391),1)*IF(Upgrades!$T$7="Stellar Coupling",POWER(Upgrades!$U$7,F391),1)*IF(Upgrades!$T$9="Stellar Coupling",POWER(Upgrades!$U$9,H391),1)*IF(Upgrades!$T$10="Stellar Coupling",POWER(Upgrades!$U$10,I391),1)*IF(Upgrades!$T$11="Stellar Coupling",POWER(Upgrades!$U$11,J391),1)*IF(Upgrades!$T$12="Stellar Coupling",POWER(Upgrades!$U$12,K391),1))+(IF(H391=0,0,(Upgrades!$J$9+H391*Upgrades!$K$9)*POWER(Upgrades!$L$9,H391)))*(IF(Upgrades!$T$6="Magnetosphere",POWER(Upgrades!$U$6,E391),1)*IF(Upgrades!$T$7="Magnetosphere",POWER(Upgrades!$U$7,F391),1)*IF(Upgrades!$T$8="Magnetosphere",POWER(Upgrades!$U$8,G391),1)*IF(Upgrades!$T$10="Magnetosphere",POWER(Upgrades!$U$10,I391),1)*IF(Upgrades!$T$11="Magnetosphere",POWER(Upgrades!$U$11,J391),1)*IF(Upgrades!$T$12="Magnetosphere",POWER(Upgrades!$U$12,K391),1))+(IF(I391=0,0,(Upgrades!$J$10+I391*Upgrades!$K$10)*POWER(Upgrades!$L$10,I391)))*(IF(Upgrades!$T$6="Orbital Resonance",POWER(Upgrades!$U$6,E391),1)*IF(Upgrades!$T$7="Orbital Resonance",POWER(Upgrades!$U$7,F391),1)*IF(Upgrades!$T$8="Orbital Resonance",POWER(Upgrades!$U$8,G391),1)*IF(Upgrades!$T$9="Orbital Resonance",POWER(Upgrades!$U$9,H391),1)*IF(Upgrades!$T$11="Orbital Resonance",POWER(Upgrades!$U$11,J391),1)*IF(Upgrades!$T$12="Orbital Resonance",POWER(Upgrades!$U$12,K391),1))+(IF(J391=0,0,(Upgrades!$J$11+J391*Upgrades!$K$11)*POWER(Upgrades!$L$11,J391)))*(IF(Upgrades!$T$6="Heliopause",POWER(Upgrades!$U$6,E391),1)*IF(Upgrades!$T$7="Heliopause",POWER(Upgrades!$U$7,F391),1)*IF(Upgrades!$T$8="Heliopause",POWER(Upgrades!$U$8,G391),1)*IF(Upgrades!$T$9="Heliopause",POWER(Upgrades!$U$9,H391),1)*IF(Upgrades!$T$10="Heliopause",POWER(Upgrades!$U$10,I391),1)*IF(Upgrades!$T$12="Heliopause",POWER(Upgrades!$U$12,K391),1))+(IF(K391=0,0,(Upgrades!$J$12+K391*Upgrades!$K$12)*POWER(Upgrades!$L$12,K391)))*(IF(Upgrades!$T$6="First Photons",POWER(Upgrades!$U$6,E391),1)*IF(Upgrades!$T$7="First Photons",POWER(Upgrades!$U$7,F391),1)*IF(Upgrades!$T$8="First Photons",POWER(Upgrades!$U$8,G391),1)*IF(Upgrades!$T$9="First Photons",POWER(Upgrades!$U$9,H391),1)*IF(Upgrades!$T$10="First Photons",POWER(Upgrades!$U$10,I391),1)*IF(Upgrades!$T$11="First Photons",POWER(Upgrades!$U$11,J391),1)))*POWER(Upgrades!$Q$6,E391)*POWER(Upgrades!$Q$7,F391)*POWER(Upgrades!$Q$8,G391)*POWER(Upgrades!$Q$9,H391)*POWER(Upgrades!$Q$10,I391)*POWER(Upgrades!$Q$11,J391)*POWER(Upgrades!$Q$12,K391)</f>
        <v>5.61</v>
      </c>
      <c r="N391" s="28" t="n">
        <f aca="false">((IF(E391=0,0,(Upgrades!$G$6+E391*Upgrades!$H$6)*POWER(Upgrades!$I$6,E391)))*(IF(Upgrades!$T$7="Solar Wind",POWER(Upgrades!$U$7,F391),1)*IF(Upgrades!$T$8="Solar Wind",POWER(Upgrades!$U$8,G391),1)*IF(Upgrades!$T$9="Solar Wind",POWER(Upgrades!$U$9,H391),1)*IF(Upgrades!$T$10="Solar Wind",POWER(Upgrades!$U$10,I391),1)*IF(Upgrades!$T$11="Solar Wind",POWER(Upgrades!$U$11,J391),1)*IF(Upgrades!$T$12="Solar Wind",POWER(Upgrades!$U$12,K391),1))+(IF(F391=0,0,(Upgrades!$G$7+F391*Upgrades!$H$7)*POWER(Upgrades!$I$7,F391)))*(IF(Upgrades!$T$6="Asteroid Belt",POWER(Upgrades!$U$6,E391),1)*IF(Upgrades!$T$8="Asteroid Belt",POWER(Upgrades!$U$8,G391),1)*IF(Upgrades!$T$9="Asteroid Belt",POWER(Upgrades!$U$9,H391),1)*IF(Upgrades!$T$10="Asteroid Belt",POWER(Upgrades!$U$10,I391),1)*IF(Upgrades!$T$11="Asteroid Belt",POWER(Upgrades!$U$11,J391),1)*IF(Upgrades!$T$12="Asteroid Belt",POWER(Upgrades!$U$12,K391),1))+(IF(G391=0,0,(Upgrades!$G$8+G391*Upgrades!$H$8)*POWER(Upgrades!$I$8,G391)))*(IF(Upgrades!$T$6="Stellar Coupling",POWER(Upgrades!$U$6,E391),1)*IF(Upgrades!$T$7="Stellar Coupling",POWER(Upgrades!$U$7,F391),1)*IF(Upgrades!$T$9="Stellar Coupling",POWER(Upgrades!$U$9,H391),1)*IF(Upgrades!$T$10="Stellar Coupling",POWER(Upgrades!$U$10,I391),1)*IF(Upgrades!$T$11="Stellar Coupling",POWER(Upgrades!$U$11,J391),1)*IF(Upgrades!$T$12="Stellar Coupling",POWER(Upgrades!$U$12,K391),1))+(IF(H391=0,0,(Upgrades!$G$9+H391*Upgrades!$H$9)*POWER(Upgrades!$I$9,H391)))*(IF(Upgrades!$T$6="Magnetosphere",POWER(Upgrades!$U$6,E391),1)*IF(Upgrades!$T$7="Magnetosphere",POWER(Upgrades!$U$7,F391),1)*IF(Upgrades!$T$8="Magnetosphere",POWER(Upgrades!$U$8,G391),1)*IF(Upgrades!$T$10="Magnetosphere",POWER(Upgrades!$U$10,I391),1)*IF(Upgrades!$T$11="Magnetosphere",POWER(Upgrades!$U$11,J391),1)*IF(Upgrades!$T$12="Magnetosphere",POWER(Upgrades!$U$12,K391),1))+(IF(I391=0,0,(Upgrades!$G$10+I391*Upgrades!$H$10)*POWER(Upgrades!$I$10,I391)))*(IF(Upgrades!$T$6="Orbital Resonance",POWER(Upgrades!$U$6,E391),1)*IF(Upgrades!$T$7="Orbital Resonance",POWER(Upgrades!$U$7,F391),1)*IF(Upgrades!$T$8="Orbital Resonance",POWER(Upgrades!$U$8,G391),1)*IF(Upgrades!$T$9="Orbital Resonance",POWER(Upgrades!$U$9,H391),1)*IF(Upgrades!$T$11="Orbital Resonance",POWER(Upgrades!$U$11,J391),1)*IF(Upgrades!$T$12="Orbital Resonance",POWER(Upgrades!$U$12,K391),1))+(IF(J391=0,0,(Upgrades!$G$11+J391*Upgrades!$H$11)*POWER(Upgrades!$I$11,J391)))*(IF(Upgrades!$T$6="Heliopause",POWER(Upgrades!$U$6,E391),1)*IF(Upgrades!$T$7="Heliopause",POWER(Upgrades!$U$7,F391),1)*IF(Upgrades!$T$8="Heliopause",POWER(Upgrades!$U$8,G391),1)*IF(Upgrades!$T$9="Heliopause",POWER(Upgrades!$U$9,H391),1)*IF(Upgrades!$T$10="Heliopause",POWER(Upgrades!$U$10,I391),1)*IF(Upgrades!$T$12="Heliopause",POWER(Upgrades!$U$12,K391),1))+(IF(K391=0,0,(Upgrades!$G$12+K391*Upgrades!$H$12)*POWER(Upgrades!$I$12,K391)))*(IF(Upgrades!$T$6="First Photons",POWER(Upgrades!$U$6,E391),1)*IF(Upgrades!$T$7="First Photons",POWER(Upgrades!$U$7,F391),1)*IF(Upgrades!$T$8="First Photons",POWER(Upgrades!$U$8,G391),1)*IF(Upgrades!$T$9="First Photons",POWER(Upgrades!$U$9,H391),1)*IF(Upgrades!$T$10="First Photons",POWER(Upgrades!$U$10,I391),1)*IF(Upgrades!$T$11="First Photons",POWER(Upgrades!$U$11,J391),1)))*POWER(Upgrades!$P$6,E391)*POWER(Upgrades!$P$7,F391)*POWER(Upgrades!$P$8,G391)*POWER(Upgrades!$P$9,H391)*POWER(Upgrades!$P$10,I391)*POWER(Upgrades!$P$11,J391)*POWER(Upgrades!$P$12,K391)</f>
        <v>11.2</v>
      </c>
      <c r="O391" s="28" t="n">
        <f aca="false">((IF(E391=0,0,(Upgrades!$M$6+E391*Upgrades!$N$6)*POWER(Upgrades!$O$6,E391)))*(IF(Upgrades!$T$7="Solar Wind",POWER(Upgrades!$U$7,F391),1)*IF(Upgrades!$T$8="Solar Wind",POWER(Upgrades!$U$8,G391),1)*IF(Upgrades!$T$9="Solar Wind",POWER(Upgrades!$U$9,H391),1)*IF(Upgrades!$T$10="Solar Wind",POWER(Upgrades!$U$10,I391),1)*IF(Upgrades!$T$11="Solar Wind",POWER(Upgrades!$U$11,J391),1)*IF(Upgrades!$T$12="Solar Wind",POWER(Upgrades!$U$12,K391),1))+(IF(F391=0,0,(Upgrades!$M$7+F391*Upgrades!$N$7)*POWER(Upgrades!$O$7,F391)))*(IF(Upgrades!$T$6="Asteroid Belt",POWER(Upgrades!$U$6,E391),1)*IF(Upgrades!$T$8="Asteroid Belt",POWER(Upgrades!$U$8,G391),1)*IF(Upgrades!$T$9="Asteroid Belt",POWER(Upgrades!$U$9,H391),1)*IF(Upgrades!$T$10="Asteroid Belt",POWER(Upgrades!$U$10,I391),1)*IF(Upgrades!$T$11="Asteroid Belt",POWER(Upgrades!$U$11,J391),1)*IF(Upgrades!$T$12="Asteroid Belt",POWER(Upgrades!$U$12,K391),1))+(IF(G391=0,0,(Upgrades!$M$8+G391*Upgrades!$N$8)*POWER(Upgrades!$O$8,G391)))*(IF(Upgrades!$T$6="Stellar Coupling",POWER(Upgrades!$U$6,E391),1)*IF(Upgrades!$T$7="Stellar Coupling",POWER(Upgrades!$U$7,F391),1)*IF(Upgrades!$T$9="Stellar Coupling",POWER(Upgrades!$U$9,H391),1)*IF(Upgrades!$T$10="Stellar Coupling",POWER(Upgrades!$U$10,I391),1)*IF(Upgrades!$T$11="Stellar Coupling",POWER(Upgrades!$U$11,J391),1)*IF(Upgrades!$T$12="Stellar Coupling",POWER(Upgrades!$U$12,K391),1))+(IF(H391=0,0,(Upgrades!$M$9+H391*Upgrades!$N$9)*POWER(Upgrades!$O$9,H391)))*(IF(Upgrades!$T$6="Magnetosphere",POWER(Upgrades!$U$6,E391),1)*IF(Upgrades!$T$7="Magnetosphere",POWER(Upgrades!$U$7,F391),1)*IF(Upgrades!$T$8="Magnetosphere",POWER(Upgrades!$U$8,G391),1)*IF(Upgrades!$T$10="Magnetosphere",POWER(Upgrades!$U$10,I391),1)*IF(Upgrades!$T$11="Magnetosphere",POWER(Upgrades!$U$11,J391),1)*IF(Upgrades!$T$12="Magnetosphere",POWER(Upgrades!$U$12,K391),1))+(IF(I391=0,0,(Upgrades!$M$10+I391*Upgrades!$N$10)*POWER(Upgrades!$O$10,I391)))*(IF(Upgrades!$T$6="Orbital Resonance",POWER(Upgrades!$U$6,E391),1)*IF(Upgrades!$T$7="Orbital Resonance",POWER(Upgrades!$U$7,F391),1)*IF(Upgrades!$T$8="Orbital Resonance",POWER(Upgrades!$U$8,G391),1)*IF(Upgrades!$T$9="Orbital Resonance",POWER(Upgrades!$U$9,H391),1)*IF(Upgrades!$T$11="Orbital Resonance",POWER(Upgrades!$U$11,J391),1)*IF(Upgrades!$T$12="Orbital Resonance",POWER(Upgrades!$U$12,K391),1))+(IF(J391=0,0,(Upgrades!$M$11+J391*Upgrades!$N$11)*POWER(Upgrades!$O$11,J391)))*(IF(Upgrades!$T$6="Heliopause",POWER(Upgrades!$U$6,E391),1)*IF(Upgrades!$T$7="Heliopause",POWER(Upgrades!$U$7,F391),1)*IF(Upgrades!$T$8="Heliopause",POWER(Upgrades!$U$8,G391),1)*IF(Upgrades!$T$9="Heliopause",POWER(Upgrades!$U$9,H391),1)*IF(Upgrades!$T$10="Heliopause",POWER(Upgrades!$U$10,I391),1)*IF(Upgrades!$T$12="Heliopause",POWER(Upgrades!$U$12,K391),1))+(IF(K391=0,0,(Upgrades!$M$12+K391*Upgrades!$N$12)*POWER(Upgrades!$O$12,K391)))*(IF(Upgrades!$T$6="First Photons",POWER(Upgrades!$U$6,E391),1)*IF(Upgrades!$T$7="First Photons",POWER(Upgrades!$U$7,F391),1)*IF(Upgrades!$T$8="First Photons",POWER(Upgrades!$U$8,G391),1)*IF(Upgrades!$T$9="First Photons",POWER(Upgrades!$U$9,H391),1)*IF(Upgrades!$T$10="First Photons",POWER(Upgrades!$U$10,I391),1)*IF(Upgrades!$T$11="First Photons",POWER(Upgrades!$U$11,J391),1)))*POWER(Upgrades!$R$6,E391)*POWER(Upgrades!$R$7,F391)*POWER(Upgrades!$R$8,G391)*POWER(Upgrades!$R$9,H391)*POWER(Upgrades!$R$10,I391)*POWER(Upgrades!$R$11,J391)*POWER(Upgrades!$R$12,K391)</f>
        <v>0</v>
      </c>
      <c r="P391" s="27" t="n">
        <f aca="false">IF(L391=1,0,M391*Parameters!$B$10/60*Parameters!$B$11*10)</f>
        <v>0</v>
      </c>
      <c r="Q391" s="27" t="n">
        <f aca="false">IF(L391=1,0,O391*M391*10)</f>
        <v>0</v>
      </c>
      <c r="R391" s="27" t="n">
        <f aca="false">IF(L391=1,0,N391*10)</f>
        <v>0</v>
      </c>
      <c r="S391" s="27" t="n">
        <f aca="false">P391+Q391+R391</f>
        <v>0</v>
      </c>
      <c r="T391" s="21" t="n">
        <f aca="false">C391+S391</f>
        <v>18.6730249835055</v>
      </c>
      <c r="U391" s="34" t="str">
        <f aca="false">AX391</f>
        <v/>
      </c>
      <c r="V391" s="21" t="n">
        <f aca="false">IF(U391="",0,IF(U391="transition",0,IF(U391="SW",AG391,IF(U391="AB",AH391,IF(U391="SC",AI391,IF(U391="Mag",AJ391,IF(U391="OR",AK391,IF(U391="HP",AL391,IF(U391="FP",AM391,0)))))))))</f>
        <v>0</v>
      </c>
      <c r="W391" s="27" t="n">
        <f aca="false">IF(U391="OR",Upgrades!$F$10,IF(U391="HP",Upgrades!$F$11,IF(U391="transition",-Parameters!$B$18,0)))</f>
        <v>0</v>
      </c>
      <c r="X391" s="21" t="n">
        <f aca="false">T391-V391</f>
        <v>18.6730249835055</v>
      </c>
      <c r="Y391" s="30" t="n">
        <f aca="false">M391*Parameters!$B$10/60*Parameters!$B$11+O391*M391+N391</f>
        <v>20.55</v>
      </c>
      <c r="Z391" s="35" t="str">
        <f aca="false">IF(U391="transition","→ Tier 2 (Stellar Neighborhood)",IF(U391="FP","First Photons — light begins, system quickens",IF(U391="HP","Heliopause acquired",IF(U391="OR","Orbital Resonance — passive multiplier active",IF(AND(AO391=1,L391=0,AN391&lt;&gt;1),"Cohesion ready (waiting on completionist upgrades)","")))))</f>
        <v/>
      </c>
      <c r="AA391" s="27" t="n">
        <f aca="false">(IF(E391=0,0,(Upgrades!$G$6+E391*Upgrades!$H$6)*POWER(Upgrades!$I$6,E391)))*(IF(Upgrades!$T$7="Solar Wind",POWER(Upgrades!$U$7,F391),1)*IF(Upgrades!$T$8="Solar Wind",POWER(Upgrades!$U$8,G391),1)*IF(Upgrades!$T$9="Solar Wind",POWER(Upgrades!$U$9,H391),1)*IF(Upgrades!$T$10="Solar Wind",POWER(Upgrades!$U$10,I391),1)*IF(Upgrades!$T$11="Solar Wind",POWER(Upgrades!$U$11,J391),1)*IF(Upgrades!$T$12="Solar Wind",POWER(Upgrades!$U$12,K391),1))*POWER(Upgrades!$P$6,E391)*POWER(Upgrades!$P$7,F391)*POWER(Upgrades!$P$8,G391)*POWER(Upgrades!$P$9,H391)*POWER(Upgrades!$P$10,I391)*POWER(Upgrades!$P$11,J391)*POWER(Upgrades!$P$12,K391)*60</f>
        <v>72</v>
      </c>
      <c r="AB391" s="27" t="n">
        <f aca="false">(IF(F391=0,0,(Upgrades!$G$7+F391*Upgrades!$H$7)*POWER(Upgrades!$I$7,F391)))*(IF(Upgrades!$T$6="Asteroid Belt",POWER(Upgrades!$U$6,E391),1)*IF(Upgrades!$T$8="Asteroid Belt",POWER(Upgrades!$U$8,G391),1)*IF(Upgrades!$T$9="Asteroid Belt",POWER(Upgrades!$U$9,H391),1)*IF(Upgrades!$T$10="Asteroid Belt",POWER(Upgrades!$U$10,I391),1)*IF(Upgrades!$T$11="Asteroid Belt",POWER(Upgrades!$U$11,J391),1)*IF(Upgrades!$T$12="Asteroid Belt",POWER(Upgrades!$U$12,K391),1))*POWER(Upgrades!$P$6,E391)*POWER(Upgrades!$P$7,F391)*POWER(Upgrades!$P$8,G391)*POWER(Upgrades!$P$9,H391)*POWER(Upgrades!$P$10,I391)*POWER(Upgrades!$P$11,J391)*POWER(Upgrades!$P$12,K391)*60</f>
        <v>150</v>
      </c>
      <c r="AC391" s="27" t="n">
        <f aca="false">(IF(G391=0,0,(Upgrades!$J$8+G391*Upgrades!$K$8)*POWER(Upgrades!$L$8,G391)))*(IF(Upgrades!$T$6="Stellar Coupling",POWER(Upgrades!$U$6,E391),1)*IF(Upgrades!$T$7="Stellar Coupling",POWER(Upgrades!$U$7,F391),1)*IF(Upgrades!$T$9="Stellar Coupling",POWER(Upgrades!$U$9,H391),1)*IF(Upgrades!$T$10="Stellar Coupling",POWER(Upgrades!$U$10,I391),1)*IF(Upgrades!$T$11="Stellar Coupling",POWER(Upgrades!$U$11,J391),1)*IF(Upgrades!$T$12="Stellar Coupling",POWER(Upgrades!$U$12,K391),1))*POWER(Upgrades!$Q$6,E391)*POWER(Upgrades!$Q$7,F391)*POWER(Upgrades!$Q$8,G391)*POWER(Upgrades!$Q$9,H391)*POWER(Upgrades!$Q$10,I391)*POWER(Upgrades!$Q$11,J391)*POWER(Upgrades!$Q$12,K391)*Parameters!$B$10*Parameters!$B$11</f>
        <v>441</v>
      </c>
      <c r="AD391" s="27" t="n">
        <f aca="false">(IF(H391=0,0,(Upgrades!$G$9+H391*Upgrades!$H$9)*POWER(Upgrades!$I$9,H391)))*(IF(Upgrades!$T$6="Magnetosphere",POWER(Upgrades!$U$6,E391),1)*IF(Upgrades!$T$7="Magnetosphere",POWER(Upgrades!$U$7,F391),1)*IF(Upgrades!$T$8="Magnetosphere",POWER(Upgrades!$U$8,G391),1)*IF(Upgrades!$T$10="Magnetosphere",POWER(Upgrades!$U$10,I391),1)*IF(Upgrades!$T$11="Magnetosphere",POWER(Upgrades!$U$11,J391),1)*IF(Upgrades!$T$12="Magnetosphere",POWER(Upgrades!$U$12,K391),1))*POWER(Upgrades!$P$6,E391)*POWER(Upgrades!$P$7,F391)*POWER(Upgrades!$P$8,G391)*POWER(Upgrades!$P$9,H391)*POWER(Upgrades!$P$10,I391)*POWER(Upgrades!$P$11,J391)*POWER(Upgrades!$P$12,K391)*60</f>
        <v>375</v>
      </c>
      <c r="AE391" s="27" t="n">
        <f aca="false">(IF(K391=0,0,(Upgrades!$G$12+K391*Upgrades!$H$12)*POWER(Upgrades!$I$12,K391)))*(IF(Upgrades!$T$6="First Photons",POWER(Upgrades!$U$6,E391),1)*IF(Upgrades!$T$7="First Photons",POWER(Upgrades!$U$7,F391),1)*IF(Upgrades!$T$8="First Photons",POWER(Upgrades!$U$8,G391),1)*IF(Upgrades!$T$9="First Photons",POWER(Upgrades!$U$9,H391),1)*IF(Upgrades!$T$10="First Photons",POWER(Upgrades!$U$10,I391),1)*IF(Upgrades!$T$11="First Photons",POWER(Upgrades!$U$11,J391),1))*POWER(Upgrades!$P$6,E391)*POWER(Upgrades!$P$7,F391)*POWER(Upgrades!$P$8,G391)*POWER(Upgrades!$P$9,H391)*POWER(Upgrades!$P$10,I391)*POWER(Upgrades!$P$11,J391)*POWER(Upgrades!$P$12,K391)*60</f>
        <v>75</v>
      </c>
      <c r="AF391" s="27" t="n">
        <f aca="false">Parameters!$B$9*POWER(Upgrades!$Q$6,E391)*POWER(Upgrades!$Q$7,F391)*POWER(Upgrades!$Q$8,G391)*POWER(Upgrades!$Q$9,H391)*POWER(Upgrades!$Q$10,I391)*POWER(Upgrades!$Q$11,J391)*POWER(Upgrades!$Q$12,K391)*(Parameters!$B$10*Parameters!$B$11+O391*60)</f>
        <v>120</v>
      </c>
      <c r="AG391" s="21" t="n">
        <f aca="false">IF(E391&gt;=Upgrades!$E$6,"",Upgrades!$C$6*POWER(Upgrades!$D$6,E391))</f>
        <v>37.4517507383159</v>
      </c>
      <c r="AH391" s="21" t="n">
        <f aca="false">IF(F391&gt;=Upgrades!$E$7,"",Upgrades!$C$7*POWER(Upgrades!$D$7,F391))</f>
        <v>80.9111547141581</v>
      </c>
      <c r="AI391" s="21" t="n">
        <f aca="false">IF(G391&gt;=Upgrades!$E$8,"",Upgrades!$C$8*POWER(Upgrades!$D$8,G391))</f>
        <v>231.9097088</v>
      </c>
      <c r="AJ391" s="21" t="str">
        <f aca="false">IF(H391&gt;=Upgrades!$E$9,"",Upgrades!$C$9*POWER(Upgrades!$D$9,H391))</f>
        <v/>
      </c>
      <c r="AK391" s="21" t="str">
        <f aca="false">IF(I391&gt;=Upgrades!$E$10,"",Upgrades!$C$10*POWER(Upgrades!$D$10,I391))</f>
        <v/>
      </c>
      <c r="AL391" s="21" t="str">
        <f aca="false">IF(J391&gt;=Upgrades!$E$11,"",Upgrades!$C$11*POWER(Upgrades!$D$11,J391))</f>
        <v/>
      </c>
      <c r="AM391" s="21" t="str">
        <f aca="false">IF(K391&gt;=Upgrades!$E$12,"",Upgrades!$C$12*POWER(Upgrades!$D$12,K391))</f>
        <v/>
      </c>
      <c r="AN391" s="26" t="str">
        <f aca="false">IF(AND(D391&gt;=Parameters!$B$18,(H391&gt;=Upgrades!$E$9)*(K391&gt;=Upgrades!$E$12)=1,L391=0),1,"")</f>
        <v/>
      </c>
      <c r="AO391" s="26" t="str">
        <f aca="false">IF(AND(D391&gt;=Parameters!$B$18,L391=0),1,"")</f>
        <v/>
      </c>
      <c r="AP391" s="21" t="n">
        <f aca="false">MIN(IF(ISNUMBER(AK391),AK391,9000000000000000),IF(ISNUMBER(AL391),AL391,9000000000000000),IF(ISNUMBER(AM391),AM391,9000000000000000))</f>
        <v>9000000000000000</v>
      </c>
      <c r="AQ391" s="21" t="n">
        <f aca="false">MIN(IF(ISNUMBER(AG391),AG391,9000000000000000),IF(ISNUMBER(AH391),AH391,9000000000000000),IF(ISNUMBER(AI391),AI391,9000000000000000),IF(ISNUMBER(AJ391),AJ391,9000000000000000))</f>
        <v>37.4517507383159</v>
      </c>
      <c r="AR391" s="32" t="b">
        <f aca="false">IF(AW391&gt;Parameters!$B$21*(MAX(IF(AND(NOT(AND(AO391=1,AN391&lt;&gt;1)),ISNUMBER(AG391),AG391&lt;=T391),AS391,0),IF(AND(NOT(AND(AO391=1,AN391&lt;&gt;1)),ISNUMBER(AH391),AH391&lt;=T391),AT391,0),IF(AND(NOT(AND(AO391=1,AN391&lt;&gt;1)),ISNUMBER(AI391),AI391&lt;=T391),AU391,0),IF(AND(ISNUMBER(AJ391),AJ391&lt;=T391),AV391,0))),TRUE(),FALSE())</f>
        <v>1</v>
      </c>
      <c r="AS391" s="33" t="n">
        <f aca="false">IFERROR(Upgrades!$H$6*(POWER(Upgrades!$P$6,E391)*POWER(Upgrades!$P$7,F391)*POWER(Upgrades!$P$8,G391)*POWER(Upgrades!$P$9,H391)*POWER(Upgrades!$P$10,I391)*POWER(Upgrades!$P$11,J391)*POWER(Upgrades!$P$12,K391))*(IF(Upgrades!$T$7="Solar Wind",POWER(Upgrades!$U$7,F391),1)*IF(Upgrades!$T$8="Solar Wind",POWER(Upgrades!$U$8,G391),1)*IF(Upgrades!$T$9="Solar Wind",POWER(Upgrades!$U$9,H391),1)*IF(Upgrades!$T$10="Solar Wind",POWER(Upgrades!$U$10,I391),1)*IF(Upgrades!$T$11="Solar Wind",POWER(Upgrades!$U$11,J391),1)*IF(Upgrades!$T$12="Solar Wind",POWER(Upgrades!$U$12,K391),1))/AG391,0)</f>
        <v>0.0026701021455238</v>
      </c>
      <c r="AT391" s="33" t="n">
        <f aca="false">IFERROR(Upgrades!$H$7*(POWER(Upgrades!$P$6,E391)*POWER(Upgrades!$P$7,F391)*POWER(Upgrades!$P$8,G391)*POWER(Upgrades!$P$9,H391)*POWER(Upgrades!$P$10,I391)*POWER(Upgrades!$P$11,J391)*POWER(Upgrades!$P$12,K391))*(IF(Upgrades!$T$6="Asteroid Belt",POWER(Upgrades!$U$6,E391),1)*IF(Upgrades!$T$8="Asteroid Belt",POWER(Upgrades!$U$8,G391),1)*IF(Upgrades!$T$9="Asteroid Belt",POWER(Upgrades!$U$9,H391),1)*IF(Upgrades!$T$10="Asteroid Belt",POWER(Upgrades!$U$10,I391),1)*IF(Upgrades!$T$11="Asteroid Belt",POWER(Upgrades!$U$11,J391),1)*IF(Upgrades!$T$12="Asteroid Belt",POWER(Upgrades!$U$12,K391),1))/AH391,0)</f>
        <v>0.00308980882652332</v>
      </c>
      <c r="AU391" s="33" t="n">
        <f aca="false">IFERROR(Upgrades!$K$8*(POWER(Upgrades!$Q$6,E391)*POWER(Upgrades!$Q$7,F391)*POWER(Upgrades!$Q$8,G391)*POWER(Upgrades!$Q$9,H391)*POWER(Upgrades!$Q$10,I391)*POWER(Upgrades!$Q$11,J391)*POWER(Upgrades!$Q$12,K391))*(IF(Upgrades!$T$6="Stellar Coupling",POWER(Upgrades!$U$6,E391),1)*IF(Upgrades!$T$7="Stellar Coupling",POWER(Upgrades!$U$7,F391),1)*IF(Upgrades!$T$9="Stellar Coupling",POWER(Upgrades!$U$9,H391),1)*IF(Upgrades!$T$10="Stellar Coupling",POWER(Upgrades!$U$10,I391),1)*IF(Upgrades!$T$11="Stellar Coupling",POWER(Upgrades!$U$11,J391),1)*IF(Upgrades!$T$12="Stellar Coupling",POWER(Upgrades!$U$12,K391),1))*Parameters!$B$10*Parameters!$B$11/60/AI391,0)</f>
        <v>0.00452762415783776</v>
      </c>
      <c r="AV391" s="33" t="n">
        <f aca="false">IFERROR(Upgrades!$H$9*(POWER(Upgrades!$P$6,E391)*POWER(Upgrades!$P$7,F391)*POWER(Upgrades!$P$8,G391)*POWER(Upgrades!$P$9,H391)*POWER(Upgrades!$P$10,I391)*POWER(Upgrades!$P$11,J391)*POWER(Upgrades!$P$12,K391))*(IF(Upgrades!$T$6="Magnetosphere",POWER(Upgrades!$U$6,E391),1)*IF(Upgrades!$T$7="Magnetosphere",POWER(Upgrades!$U$7,F391),1)*IF(Upgrades!$T$8="Magnetosphere",POWER(Upgrades!$U$8,G391),1)*IF(Upgrades!$T$10="Magnetosphere",POWER(Upgrades!$U$10,I391),1)*IF(Upgrades!$T$11="Magnetosphere",POWER(Upgrades!$U$11,J391),1)*IF(Upgrades!$T$12="Magnetosphere",POWER(Upgrades!$U$12,K391),1))/AJ391,0)</f>
        <v>0</v>
      </c>
      <c r="AW391" s="33" t="n">
        <f aca="false">MAX(IF(I391&gt;0,0,IFERROR(0.25*N391/Upgrades!$C$10,0)),IF(J391&gt;0,0,IFERROR(0.5*((IF(G391=0,0,(Upgrades!$J$8+G391*Upgrades!$K$8)*POWER(Upgrades!$L$8,G391)))*(IF(Upgrades!$T$6="Stellar Coupling",POWER(Upgrades!$U$6,E391),1)*IF(Upgrades!$T$7="Stellar Coupling",POWER(Upgrades!$U$7,F391),1)*IF(Upgrades!$T$9="Stellar Coupling",POWER(Upgrades!$U$9,H391),1)*IF(Upgrades!$T$10="Stellar Coupling",POWER(Upgrades!$U$10,I391),1)*IF(Upgrades!$T$11="Stellar Coupling",POWER(Upgrades!$U$11,J391),1)*IF(Upgrades!$T$12="Stellar Coupling",POWER(Upgrades!$U$12,K391),1))*(POWER(Upgrades!$Q$6,E391)*POWER(Upgrades!$Q$7,F391)*POWER(Upgrades!$Q$8,G391)*POWER(Upgrades!$Q$9,H391)*POWER(Upgrades!$Q$10,I391)*POWER(Upgrades!$Q$11,J391)*POWER(Upgrades!$Q$12,K391))*Parameters!$B$10*Parameters!$B$11/60)/Upgrades!$C$11,0)),IF(K391&gt;0,0,IFERROR((1*(POWER(Upgrades!$P$6,E391)*POWER(Upgrades!$P$7,F391)*POWER(Upgrades!$P$8,G391)*POWER(Upgrades!$P$9,H391)*POWER(Upgrades!$P$10,I391)*POWER(Upgrades!$P$11,J391)*POWER(Upgrades!$P$12,K391))+0.2*M391*Parameters!$B$10*Parameters!$B$11/60)/Upgrades!$C$12,0)),IF(AND(ISNUMBER(AG391),AG391&gt;T391),AS391,0),IF(AND(ISNUMBER(AH391),AH391&gt;T391),AT391,0),IF(AND(ISNUMBER(AI391),AI391&gt;T391),AU391,0),IF(AND(ISNUMBER(AJ391),AJ391&gt;T391),AV391,0))</f>
        <v>0.00452762415783776</v>
      </c>
      <c r="AX391" s="29" t="str">
        <f aca="false">IF(AN391=1,"transition",IF(MIN(IF(AND(I391=0,ISNUMBER(AK391),AK391&lt;=T391),AK391,9000000000000000),IF(AND(J391=0,ISNUMBER(AL391),AL391&lt;=T391),AL391,9000000000000000),IF(AND(K391=0,ISNUMBER(AM391),AM391&lt;=T391),AM391,9000000000000000))&lt;9000000000000000,IF(AND(AND(I391=0,ISNUMBER(AK391),AK391&lt;=T391),AK391=MIN(IF(AND(I391=0,ISNUMBER(AK391),AK391&lt;=T391),AK391,9000000000000000),IF(AND(J391=0,ISNUMBER(AL391),AL391&lt;=T391),AL391,9000000000000000),IF(AND(K391=0,ISNUMBER(AM391),AM391&lt;=T391),AM391,9000000000000000))),"OR",IF(AND(AND(J391=0,ISNUMBER(AL391),AL391&lt;=T391),AL391=MIN(IF(AND(I391=0,ISNUMBER(AK391),AK391&lt;=T391),AK391,9000000000000000),IF(AND(J391=0,ISNUMBER(AL391),AL391&lt;=T391),AL391,9000000000000000),IF(AND(K391=0,ISNUMBER(AM391),AM391&lt;=T391),AM391,9000000000000000))),"HP","FP")),IF(AR391=TRUE(),"",IF(MAX(IF(AND(NOT(AND(AO391=1,AN391&lt;&gt;1)),ISNUMBER(AG391),AG391&lt;=T391),AS391,0),IF(AND(NOT(AND(AO391=1,AN391&lt;&gt;1)),ISNUMBER(AH391),AH391&lt;=T391),AT391,0),IF(AND(NOT(AND(AO391=1,AN391&lt;&gt;1)),ISNUMBER(AI391),AI391&lt;=T391),AU391,0),IF(AND(ISNUMBER(AJ391),AJ391&lt;=T391),AV391,0))&lt;=0,"",IF(AND(IF(AND(NOT(AND(AO391=1,AN391&lt;&gt;1)),ISNUMBER(AG391),AG391&lt;=T391),AS391,0)&gt;0,IF(AND(NOT(AND(AO391=1,AN391&lt;&gt;1)),ISNUMBER(AG391),AG391&lt;=T391),AS391,0)=MAX(IF(AND(NOT(AND(AO391=1,AN391&lt;&gt;1)),ISNUMBER(AG391),AG391&lt;=T391),AS391,0),IF(AND(NOT(AND(AO391=1,AN391&lt;&gt;1)),ISNUMBER(AH391),AH391&lt;=T391),AT391,0),IF(AND(NOT(AND(AO391=1,AN391&lt;&gt;1)),ISNUMBER(AI391),AI391&lt;=T391),AU391,0),IF(AND(ISNUMBER(AJ391),AJ391&lt;=T391),AV391,0))),"SW",IF(AND(IF(AND(NOT(AND(AO391=1,AN391&lt;&gt;1)),ISNUMBER(AH391),AH391&lt;=T391),AT391,0)&gt;0,IF(AND(NOT(AND(AO391=1,AN391&lt;&gt;1)),ISNUMBER(AH391),AH391&lt;=T391),AT391,0)=MAX(IF(AND(NOT(AND(AO391=1,AN391&lt;&gt;1)),ISNUMBER(AG391),AG391&lt;=T391),AS391,0),IF(AND(NOT(AND(AO391=1,AN391&lt;&gt;1)),ISNUMBER(AH391),AH391&lt;=T391),AT391,0),IF(AND(NOT(AND(AO391=1,AN391&lt;&gt;1)),ISNUMBER(AI391),AI391&lt;=T391),AU391,0),IF(AND(ISNUMBER(AJ391),AJ391&lt;=T391),AV391,0))),"AB",IF(AND(IF(AND(NOT(AND(AO391=1,AN391&lt;&gt;1)),ISNUMBER(AI391),AI391&lt;=T391),AU391,0)&gt;0,IF(AND(NOT(AND(AO391=1,AN391&lt;&gt;1)),ISNUMBER(AI391),AI391&lt;=T391),AU391,0)=MAX(IF(AND(NOT(AND(AO391=1,AN391&lt;&gt;1)),ISNUMBER(AG391),AG391&lt;=T391),AS391,0),IF(AND(NOT(AND(AO391=1,AN391&lt;&gt;1)),ISNUMBER(AH391),AH391&lt;=T391),AT391,0),IF(AND(NOT(AND(AO391=1,AN391&lt;&gt;1)),ISNUMBER(AI391),AI391&lt;=T391),AU391,0),IF(AND(ISNUMBER(AJ391),AJ391&lt;=T391),AV391,0))),"SC","Mag")))))))</f>
        <v/>
      </c>
    </row>
    <row r="392" customFormat="false" ht="15" hidden="false" customHeight="false" outlineLevel="0" collapsed="false">
      <c r="A392" s="26" t="n">
        <v>387</v>
      </c>
      <c r="B392" s="27" t="n">
        <f aca="false">A392*10/60</f>
        <v>64.5</v>
      </c>
      <c r="C392" s="21" t="n">
        <f aca="false">X391</f>
        <v>18.6730249835055</v>
      </c>
      <c r="D392" s="27" t="n">
        <f aca="false">D391+W391</f>
        <v>0</v>
      </c>
      <c r="E392" s="26" t="n">
        <f aca="false">E391+IF(U391="SW",1,0)</f>
        <v>12</v>
      </c>
      <c r="F392" s="26" t="n">
        <f aca="false">F391+IF(U391="AB",1,0)</f>
        <v>10</v>
      </c>
      <c r="G392" s="26" t="n">
        <f aca="false">G391+IF(U391="SC",1,0)</f>
        <v>7</v>
      </c>
      <c r="H392" s="26" t="n">
        <f aca="false">H391+IF(U391="Mag",1,0)</f>
        <v>5</v>
      </c>
      <c r="I392" s="26" t="n">
        <f aca="false">MAX(I391,IF(U391="OR",1,0))</f>
        <v>1</v>
      </c>
      <c r="J392" s="26" t="n">
        <f aca="false">MAX(J391,IF(U391="HP",1,0))</f>
        <v>1</v>
      </c>
      <c r="K392" s="26" t="n">
        <f aca="false">MAX(K391,IF(U391="FP",1,0))</f>
        <v>1</v>
      </c>
      <c r="L392" s="26" t="n">
        <f aca="false">MAX(L391,IF(U391="transition",1,0))</f>
        <v>1</v>
      </c>
      <c r="M392" s="28" t="n">
        <f aca="false">(Parameters!$B$9+(IF(E392=0,0,(Upgrades!$J$6+E392*Upgrades!$K$6)*POWER(Upgrades!$L$6,E392)))*(IF(Upgrades!$T$7="Solar Wind",POWER(Upgrades!$U$7,F392),1)*IF(Upgrades!$T$8="Solar Wind",POWER(Upgrades!$U$8,G392),1)*IF(Upgrades!$T$9="Solar Wind",POWER(Upgrades!$U$9,H392),1)*IF(Upgrades!$T$10="Solar Wind",POWER(Upgrades!$U$10,I392),1)*IF(Upgrades!$T$11="Solar Wind",POWER(Upgrades!$U$11,J392),1)*IF(Upgrades!$T$12="Solar Wind",POWER(Upgrades!$U$12,K392),1))+(IF(F392=0,0,(Upgrades!$J$7+F392*Upgrades!$K$7)*POWER(Upgrades!$L$7,F392)))*(IF(Upgrades!$T$6="Asteroid Belt",POWER(Upgrades!$U$6,E392),1)*IF(Upgrades!$T$8="Asteroid Belt",POWER(Upgrades!$U$8,G392),1)*IF(Upgrades!$T$9="Asteroid Belt",POWER(Upgrades!$U$9,H392),1)*IF(Upgrades!$T$10="Asteroid Belt",POWER(Upgrades!$U$10,I392),1)*IF(Upgrades!$T$11="Asteroid Belt",POWER(Upgrades!$U$11,J392),1)*IF(Upgrades!$T$12="Asteroid Belt",POWER(Upgrades!$U$12,K392),1))+(IF(G392=0,0,(Upgrades!$J$8+G392*Upgrades!$K$8)*POWER(Upgrades!$L$8,G392)))*(IF(Upgrades!$T$6="Stellar Coupling",POWER(Upgrades!$U$6,E392),1)*IF(Upgrades!$T$7="Stellar Coupling",POWER(Upgrades!$U$7,F392),1)*IF(Upgrades!$T$9="Stellar Coupling",POWER(Upgrades!$U$9,H392),1)*IF(Upgrades!$T$10="Stellar Coupling",POWER(Upgrades!$U$10,I392),1)*IF(Upgrades!$T$11="Stellar Coupling",POWER(Upgrades!$U$11,J392),1)*IF(Upgrades!$T$12="Stellar Coupling",POWER(Upgrades!$U$12,K392),1))+(IF(H392=0,0,(Upgrades!$J$9+H392*Upgrades!$K$9)*POWER(Upgrades!$L$9,H392)))*(IF(Upgrades!$T$6="Magnetosphere",POWER(Upgrades!$U$6,E392),1)*IF(Upgrades!$T$7="Magnetosphere",POWER(Upgrades!$U$7,F392),1)*IF(Upgrades!$T$8="Magnetosphere",POWER(Upgrades!$U$8,G392),1)*IF(Upgrades!$T$10="Magnetosphere",POWER(Upgrades!$U$10,I392),1)*IF(Upgrades!$T$11="Magnetosphere",POWER(Upgrades!$U$11,J392),1)*IF(Upgrades!$T$12="Magnetosphere",POWER(Upgrades!$U$12,K392),1))+(IF(I392=0,0,(Upgrades!$J$10+I392*Upgrades!$K$10)*POWER(Upgrades!$L$10,I392)))*(IF(Upgrades!$T$6="Orbital Resonance",POWER(Upgrades!$U$6,E392),1)*IF(Upgrades!$T$7="Orbital Resonance",POWER(Upgrades!$U$7,F392),1)*IF(Upgrades!$T$8="Orbital Resonance",POWER(Upgrades!$U$8,G392),1)*IF(Upgrades!$T$9="Orbital Resonance",POWER(Upgrades!$U$9,H392),1)*IF(Upgrades!$T$11="Orbital Resonance",POWER(Upgrades!$U$11,J392),1)*IF(Upgrades!$T$12="Orbital Resonance",POWER(Upgrades!$U$12,K392),1))+(IF(J392=0,0,(Upgrades!$J$11+J392*Upgrades!$K$11)*POWER(Upgrades!$L$11,J392)))*(IF(Upgrades!$T$6="Heliopause",POWER(Upgrades!$U$6,E392),1)*IF(Upgrades!$T$7="Heliopause",POWER(Upgrades!$U$7,F392),1)*IF(Upgrades!$T$8="Heliopause",POWER(Upgrades!$U$8,G392),1)*IF(Upgrades!$T$9="Heliopause",POWER(Upgrades!$U$9,H392),1)*IF(Upgrades!$T$10="Heliopause",POWER(Upgrades!$U$10,I392),1)*IF(Upgrades!$T$12="Heliopause",POWER(Upgrades!$U$12,K392),1))+(IF(K392=0,0,(Upgrades!$J$12+K392*Upgrades!$K$12)*POWER(Upgrades!$L$12,K392)))*(IF(Upgrades!$T$6="First Photons",POWER(Upgrades!$U$6,E392),1)*IF(Upgrades!$T$7="First Photons",POWER(Upgrades!$U$7,F392),1)*IF(Upgrades!$T$8="First Photons",POWER(Upgrades!$U$8,G392),1)*IF(Upgrades!$T$9="First Photons",POWER(Upgrades!$U$9,H392),1)*IF(Upgrades!$T$10="First Photons",POWER(Upgrades!$U$10,I392),1)*IF(Upgrades!$T$11="First Photons",POWER(Upgrades!$U$11,J392),1)))*POWER(Upgrades!$Q$6,E392)*POWER(Upgrades!$Q$7,F392)*POWER(Upgrades!$Q$8,G392)*POWER(Upgrades!$Q$9,H392)*POWER(Upgrades!$Q$10,I392)*POWER(Upgrades!$Q$11,J392)*POWER(Upgrades!$Q$12,K392)</f>
        <v>5.61</v>
      </c>
      <c r="N392" s="28" t="n">
        <f aca="false">((IF(E392=0,0,(Upgrades!$G$6+E392*Upgrades!$H$6)*POWER(Upgrades!$I$6,E392)))*(IF(Upgrades!$T$7="Solar Wind",POWER(Upgrades!$U$7,F392),1)*IF(Upgrades!$T$8="Solar Wind",POWER(Upgrades!$U$8,G392),1)*IF(Upgrades!$T$9="Solar Wind",POWER(Upgrades!$U$9,H392),1)*IF(Upgrades!$T$10="Solar Wind",POWER(Upgrades!$U$10,I392),1)*IF(Upgrades!$T$11="Solar Wind",POWER(Upgrades!$U$11,J392),1)*IF(Upgrades!$T$12="Solar Wind",POWER(Upgrades!$U$12,K392),1))+(IF(F392=0,0,(Upgrades!$G$7+F392*Upgrades!$H$7)*POWER(Upgrades!$I$7,F392)))*(IF(Upgrades!$T$6="Asteroid Belt",POWER(Upgrades!$U$6,E392),1)*IF(Upgrades!$T$8="Asteroid Belt",POWER(Upgrades!$U$8,G392),1)*IF(Upgrades!$T$9="Asteroid Belt",POWER(Upgrades!$U$9,H392),1)*IF(Upgrades!$T$10="Asteroid Belt",POWER(Upgrades!$U$10,I392),1)*IF(Upgrades!$T$11="Asteroid Belt",POWER(Upgrades!$U$11,J392),1)*IF(Upgrades!$T$12="Asteroid Belt",POWER(Upgrades!$U$12,K392),1))+(IF(G392=0,0,(Upgrades!$G$8+G392*Upgrades!$H$8)*POWER(Upgrades!$I$8,G392)))*(IF(Upgrades!$T$6="Stellar Coupling",POWER(Upgrades!$U$6,E392),1)*IF(Upgrades!$T$7="Stellar Coupling",POWER(Upgrades!$U$7,F392),1)*IF(Upgrades!$T$9="Stellar Coupling",POWER(Upgrades!$U$9,H392),1)*IF(Upgrades!$T$10="Stellar Coupling",POWER(Upgrades!$U$10,I392),1)*IF(Upgrades!$T$11="Stellar Coupling",POWER(Upgrades!$U$11,J392),1)*IF(Upgrades!$T$12="Stellar Coupling",POWER(Upgrades!$U$12,K392),1))+(IF(H392=0,0,(Upgrades!$G$9+H392*Upgrades!$H$9)*POWER(Upgrades!$I$9,H392)))*(IF(Upgrades!$T$6="Magnetosphere",POWER(Upgrades!$U$6,E392),1)*IF(Upgrades!$T$7="Magnetosphere",POWER(Upgrades!$U$7,F392),1)*IF(Upgrades!$T$8="Magnetosphere",POWER(Upgrades!$U$8,G392),1)*IF(Upgrades!$T$10="Magnetosphere",POWER(Upgrades!$U$10,I392),1)*IF(Upgrades!$T$11="Magnetosphere",POWER(Upgrades!$U$11,J392),1)*IF(Upgrades!$T$12="Magnetosphere",POWER(Upgrades!$U$12,K392),1))+(IF(I392=0,0,(Upgrades!$G$10+I392*Upgrades!$H$10)*POWER(Upgrades!$I$10,I392)))*(IF(Upgrades!$T$6="Orbital Resonance",POWER(Upgrades!$U$6,E392),1)*IF(Upgrades!$T$7="Orbital Resonance",POWER(Upgrades!$U$7,F392),1)*IF(Upgrades!$T$8="Orbital Resonance",POWER(Upgrades!$U$8,G392),1)*IF(Upgrades!$T$9="Orbital Resonance",POWER(Upgrades!$U$9,H392),1)*IF(Upgrades!$T$11="Orbital Resonance",POWER(Upgrades!$U$11,J392),1)*IF(Upgrades!$T$12="Orbital Resonance",POWER(Upgrades!$U$12,K392),1))+(IF(J392=0,0,(Upgrades!$G$11+J392*Upgrades!$H$11)*POWER(Upgrades!$I$11,J392)))*(IF(Upgrades!$T$6="Heliopause",POWER(Upgrades!$U$6,E392),1)*IF(Upgrades!$T$7="Heliopause",POWER(Upgrades!$U$7,F392),1)*IF(Upgrades!$T$8="Heliopause",POWER(Upgrades!$U$8,G392),1)*IF(Upgrades!$T$9="Heliopause",POWER(Upgrades!$U$9,H392),1)*IF(Upgrades!$T$10="Heliopause",POWER(Upgrades!$U$10,I392),1)*IF(Upgrades!$T$12="Heliopause",POWER(Upgrades!$U$12,K392),1))+(IF(K392=0,0,(Upgrades!$G$12+K392*Upgrades!$H$12)*POWER(Upgrades!$I$12,K392)))*(IF(Upgrades!$T$6="First Photons",POWER(Upgrades!$U$6,E392),1)*IF(Upgrades!$T$7="First Photons",POWER(Upgrades!$U$7,F392),1)*IF(Upgrades!$T$8="First Photons",POWER(Upgrades!$U$8,G392),1)*IF(Upgrades!$T$9="First Photons",POWER(Upgrades!$U$9,H392),1)*IF(Upgrades!$T$10="First Photons",POWER(Upgrades!$U$10,I392),1)*IF(Upgrades!$T$11="First Photons",POWER(Upgrades!$U$11,J392),1)))*POWER(Upgrades!$P$6,E392)*POWER(Upgrades!$P$7,F392)*POWER(Upgrades!$P$8,G392)*POWER(Upgrades!$P$9,H392)*POWER(Upgrades!$P$10,I392)*POWER(Upgrades!$P$11,J392)*POWER(Upgrades!$P$12,K392)</f>
        <v>11.2</v>
      </c>
      <c r="O392" s="28" t="n">
        <f aca="false">((IF(E392=0,0,(Upgrades!$M$6+E392*Upgrades!$N$6)*POWER(Upgrades!$O$6,E392)))*(IF(Upgrades!$T$7="Solar Wind",POWER(Upgrades!$U$7,F392),1)*IF(Upgrades!$T$8="Solar Wind",POWER(Upgrades!$U$8,G392),1)*IF(Upgrades!$T$9="Solar Wind",POWER(Upgrades!$U$9,H392),1)*IF(Upgrades!$T$10="Solar Wind",POWER(Upgrades!$U$10,I392),1)*IF(Upgrades!$T$11="Solar Wind",POWER(Upgrades!$U$11,J392),1)*IF(Upgrades!$T$12="Solar Wind",POWER(Upgrades!$U$12,K392),1))+(IF(F392=0,0,(Upgrades!$M$7+F392*Upgrades!$N$7)*POWER(Upgrades!$O$7,F392)))*(IF(Upgrades!$T$6="Asteroid Belt",POWER(Upgrades!$U$6,E392),1)*IF(Upgrades!$T$8="Asteroid Belt",POWER(Upgrades!$U$8,G392),1)*IF(Upgrades!$T$9="Asteroid Belt",POWER(Upgrades!$U$9,H392),1)*IF(Upgrades!$T$10="Asteroid Belt",POWER(Upgrades!$U$10,I392),1)*IF(Upgrades!$T$11="Asteroid Belt",POWER(Upgrades!$U$11,J392),1)*IF(Upgrades!$T$12="Asteroid Belt",POWER(Upgrades!$U$12,K392),1))+(IF(G392=0,0,(Upgrades!$M$8+G392*Upgrades!$N$8)*POWER(Upgrades!$O$8,G392)))*(IF(Upgrades!$T$6="Stellar Coupling",POWER(Upgrades!$U$6,E392),1)*IF(Upgrades!$T$7="Stellar Coupling",POWER(Upgrades!$U$7,F392),1)*IF(Upgrades!$T$9="Stellar Coupling",POWER(Upgrades!$U$9,H392),1)*IF(Upgrades!$T$10="Stellar Coupling",POWER(Upgrades!$U$10,I392),1)*IF(Upgrades!$T$11="Stellar Coupling",POWER(Upgrades!$U$11,J392),1)*IF(Upgrades!$T$12="Stellar Coupling",POWER(Upgrades!$U$12,K392),1))+(IF(H392=0,0,(Upgrades!$M$9+H392*Upgrades!$N$9)*POWER(Upgrades!$O$9,H392)))*(IF(Upgrades!$T$6="Magnetosphere",POWER(Upgrades!$U$6,E392),1)*IF(Upgrades!$T$7="Magnetosphere",POWER(Upgrades!$U$7,F392),1)*IF(Upgrades!$T$8="Magnetosphere",POWER(Upgrades!$U$8,G392),1)*IF(Upgrades!$T$10="Magnetosphere",POWER(Upgrades!$U$10,I392),1)*IF(Upgrades!$T$11="Magnetosphere",POWER(Upgrades!$U$11,J392),1)*IF(Upgrades!$T$12="Magnetosphere",POWER(Upgrades!$U$12,K392),1))+(IF(I392=0,0,(Upgrades!$M$10+I392*Upgrades!$N$10)*POWER(Upgrades!$O$10,I392)))*(IF(Upgrades!$T$6="Orbital Resonance",POWER(Upgrades!$U$6,E392),1)*IF(Upgrades!$T$7="Orbital Resonance",POWER(Upgrades!$U$7,F392),1)*IF(Upgrades!$T$8="Orbital Resonance",POWER(Upgrades!$U$8,G392),1)*IF(Upgrades!$T$9="Orbital Resonance",POWER(Upgrades!$U$9,H392),1)*IF(Upgrades!$T$11="Orbital Resonance",POWER(Upgrades!$U$11,J392),1)*IF(Upgrades!$T$12="Orbital Resonance",POWER(Upgrades!$U$12,K392),1))+(IF(J392=0,0,(Upgrades!$M$11+J392*Upgrades!$N$11)*POWER(Upgrades!$O$11,J392)))*(IF(Upgrades!$T$6="Heliopause",POWER(Upgrades!$U$6,E392),1)*IF(Upgrades!$T$7="Heliopause",POWER(Upgrades!$U$7,F392),1)*IF(Upgrades!$T$8="Heliopause",POWER(Upgrades!$U$8,G392),1)*IF(Upgrades!$T$9="Heliopause",POWER(Upgrades!$U$9,H392),1)*IF(Upgrades!$T$10="Heliopause",POWER(Upgrades!$U$10,I392),1)*IF(Upgrades!$T$12="Heliopause",POWER(Upgrades!$U$12,K392),1))+(IF(K392=0,0,(Upgrades!$M$12+K392*Upgrades!$N$12)*POWER(Upgrades!$O$12,K392)))*(IF(Upgrades!$T$6="First Photons",POWER(Upgrades!$U$6,E392),1)*IF(Upgrades!$T$7="First Photons",POWER(Upgrades!$U$7,F392),1)*IF(Upgrades!$T$8="First Photons",POWER(Upgrades!$U$8,G392),1)*IF(Upgrades!$T$9="First Photons",POWER(Upgrades!$U$9,H392),1)*IF(Upgrades!$T$10="First Photons",POWER(Upgrades!$U$10,I392),1)*IF(Upgrades!$T$11="First Photons",POWER(Upgrades!$U$11,J392),1)))*POWER(Upgrades!$R$6,E392)*POWER(Upgrades!$R$7,F392)*POWER(Upgrades!$R$8,G392)*POWER(Upgrades!$R$9,H392)*POWER(Upgrades!$R$10,I392)*POWER(Upgrades!$R$11,J392)*POWER(Upgrades!$R$12,K392)</f>
        <v>0</v>
      </c>
      <c r="P392" s="27" t="n">
        <f aca="false">IF(L392=1,0,M392*Parameters!$B$10/60*Parameters!$B$11*10)</f>
        <v>0</v>
      </c>
      <c r="Q392" s="27" t="n">
        <f aca="false">IF(L392=1,0,O392*M392*10)</f>
        <v>0</v>
      </c>
      <c r="R392" s="27" t="n">
        <f aca="false">IF(L392=1,0,N392*10)</f>
        <v>0</v>
      </c>
      <c r="S392" s="27" t="n">
        <f aca="false">P392+Q392+R392</f>
        <v>0</v>
      </c>
      <c r="T392" s="21" t="n">
        <f aca="false">C392+S392</f>
        <v>18.6730249835055</v>
      </c>
      <c r="U392" s="34" t="str">
        <f aca="false">AX392</f>
        <v/>
      </c>
      <c r="V392" s="21" t="n">
        <f aca="false">IF(U392="",0,IF(U392="transition",0,IF(U392="SW",AG392,IF(U392="AB",AH392,IF(U392="SC",AI392,IF(U392="Mag",AJ392,IF(U392="OR",AK392,IF(U392="HP",AL392,IF(U392="FP",AM392,0)))))))))</f>
        <v>0</v>
      </c>
      <c r="W392" s="27" t="n">
        <f aca="false">IF(U392="OR",Upgrades!$F$10,IF(U392="HP",Upgrades!$F$11,IF(U392="transition",-Parameters!$B$18,0)))</f>
        <v>0</v>
      </c>
      <c r="X392" s="21" t="n">
        <f aca="false">T392-V392</f>
        <v>18.6730249835055</v>
      </c>
      <c r="Y392" s="30" t="n">
        <f aca="false">M392*Parameters!$B$10/60*Parameters!$B$11+O392*M392+N392</f>
        <v>20.55</v>
      </c>
      <c r="Z392" s="35" t="str">
        <f aca="false">IF(U392="transition","→ Tier 2 (Stellar Neighborhood)",IF(U392="FP","First Photons — light begins, system quickens",IF(U392="HP","Heliopause acquired",IF(U392="OR","Orbital Resonance — passive multiplier active",IF(AND(AO392=1,L392=0,AN392&lt;&gt;1),"Cohesion ready (waiting on completionist upgrades)","")))))</f>
        <v/>
      </c>
      <c r="AA392" s="27" t="n">
        <f aca="false">(IF(E392=0,0,(Upgrades!$G$6+E392*Upgrades!$H$6)*POWER(Upgrades!$I$6,E392)))*(IF(Upgrades!$T$7="Solar Wind",POWER(Upgrades!$U$7,F392),1)*IF(Upgrades!$T$8="Solar Wind",POWER(Upgrades!$U$8,G392),1)*IF(Upgrades!$T$9="Solar Wind",POWER(Upgrades!$U$9,H392),1)*IF(Upgrades!$T$10="Solar Wind",POWER(Upgrades!$U$10,I392),1)*IF(Upgrades!$T$11="Solar Wind",POWER(Upgrades!$U$11,J392),1)*IF(Upgrades!$T$12="Solar Wind",POWER(Upgrades!$U$12,K392),1))*POWER(Upgrades!$P$6,E392)*POWER(Upgrades!$P$7,F392)*POWER(Upgrades!$P$8,G392)*POWER(Upgrades!$P$9,H392)*POWER(Upgrades!$P$10,I392)*POWER(Upgrades!$P$11,J392)*POWER(Upgrades!$P$12,K392)*60</f>
        <v>72</v>
      </c>
      <c r="AB392" s="27" t="n">
        <f aca="false">(IF(F392=0,0,(Upgrades!$G$7+F392*Upgrades!$H$7)*POWER(Upgrades!$I$7,F392)))*(IF(Upgrades!$T$6="Asteroid Belt",POWER(Upgrades!$U$6,E392),1)*IF(Upgrades!$T$8="Asteroid Belt",POWER(Upgrades!$U$8,G392),1)*IF(Upgrades!$T$9="Asteroid Belt",POWER(Upgrades!$U$9,H392),1)*IF(Upgrades!$T$10="Asteroid Belt",POWER(Upgrades!$U$10,I392),1)*IF(Upgrades!$T$11="Asteroid Belt",POWER(Upgrades!$U$11,J392),1)*IF(Upgrades!$T$12="Asteroid Belt",POWER(Upgrades!$U$12,K392),1))*POWER(Upgrades!$P$6,E392)*POWER(Upgrades!$P$7,F392)*POWER(Upgrades!$P$8,G392)*POWER(Upgrades!$P$9,H392)*POWER(Upgrades!$P$10,I392)*POWER(Upgrades!$P$11,J392)*POWER(Upgrades!$P$12,K392)*60</f>
        <v>150</v>
      </c>
      <c r="AC392" s="27" t="n">
        <f aca="false">(IF(G392=0,0,(Upgrades!$J$8+G392*Upgrades!$K$8)*POWER(Upgrades!$L$8,G392)))*(IF(Upgrades!$T$6="Stellar Coupling",POWER(Upgrades!$U$6,E392),1)*IF(Upgrades!$T$7="Stellar Coupling",POWER(Upgrades!$U$7,F392),1)*IF(Upgrades!$T$9="Stellar Coupling",POWER(Upgrades!$U$9,H392),1)*IF(Upgrades!$T$10="Stellar Coupling",POWER(Upgrades!$U$10,I392),1)*IF(Upgrades!$T$11="Stellar Coupling",POWER(Upgrades!$U$11,J392),1)*IF(Upgrades!$T$12="Stellar Coupling",POWER(Upgrades!$U$12,K392),1))*POWER(Upgrades!$Q$6,E392)*POWER(Upgrades!$Q$7,F392)*POWER(Upgrades!$Q$8,G392)*POWER(Upgrades!$Q$9,H392)*POWER(Upgrades!$Q$10,I392)*POWER(Upgrades!$Q$11,J392)*POWER(Upgrades!$Q$12,K392)*Parameters!$B$10*Parameters!$B$11</f>
        <v>441</v>
      </c>
      <c r="AD392" s="27" t="n">
        <f aca="false">(IF(H392=0,0,(Upgrades!$G$9+H392*Upgrades!$H$9)*POWER(Upgrades!$I$9,H392)))*(IF(Upgrades!$T$6="Magnetosphere",POWER(Upgrades!$U$6,E392),1)*IF(Upgrades!$T$7="Magnetosphere",POWER(Upgrades!$U$7,F392),1)*IF(Upgrades!$T$8="Magnetosphere",POWER(Upgrades!$U$8,G392),1)*IF(Upgrades!$T$10="Magnetosphere",POWER(Upgrades!$U$10,I392),1)*IF(Upgrades!$T$11="Magnetosphere",POWER(Upgrades!$U$11,J392),1)*IF(Upgrades!$T$12="Magnetosphere",POWER(Upgrades!$U$12,K392),1))*POWER(Upgrades!$P$6,E392)*POWER(Upgrades!$P$7,F392)*POWER(Upgrades!$P$8,G392)*POWER(Upgrades!$P$9,H392)*POWER(Upgrades!$P$10,I392)*POWER(Upgrades!$P$11,J392)*POWER(Upgrades!$P$12,K392)*60</f>
        <v>375</v>
      </c>
      <c r="AE392" s="27" t="n">
        <f aca="false">(IF(K392=0,0,(Upgrades!$G$12+K392*Upgrades!$H$12)*POWER(Upgrades!$I$12,K392)))*(IF(Upgrades!$T$6="First Photons",POWER(Upgrades!$U$6,E392),1)*IF(Upgrades!$T$7="First Photons",POWER(Upgrades!$U$7,F392),1)*IF(Upgrades!$T$8="First Photons",POWER(Upgrades!$U$8,G392),1)*IF(Upgrades!$T$9="First Photons",POWER(Upgrades!$U$9,H392),1)*IF(Upgrades!$T$10="First Photons",POWER(Upgrades!$U$10,I392),1)*IF(Upgrades!$T$11="First Photons",POWER(Upgrades!$U$11,J392),1))*POWER(Upgrades!$P$6,E392)*POWER(Upgrades!$P$7,F392)*POWER(Upgrades!$P$8,G392)*POWER(Upgrades!$P$9,H392)*POWER(Upgrades!$P$10,I392)*POWER(Upgrades!$P$11,J392)*POWER(Upgrades!$P$12,K392)*60</f>
        <v>75</v>
      </c>
      <c r="AF392" s="27" t="n">
        <f aca="false">Parameters!$B$9*POWER(Upgrades!$Q$6,E392)*POWER(Upgrades!$Q$7,F392)*POWER(Upgrades!$Q$8,G392)*POWER(Upgrades!$Q$9,H392)*POWER(Upgrades!$Q$10,I392)*POWER(Upgrades!$Q$11,J392)*POWER(Upgrades!$Q$12,K392)*(Parameters!$B$10*Parameters!$B$11+O392*60)</f>
        <v>120</v>
      </c>
      <c r="AG392" s="21" t="n">
        <f aca="false">IF(E392&gt;=Upgrades!$E$6,"",Upgrades!$C$6*POWER(Upgrades!$D$6,E392))</f>
        <v>37.4517507383159</v>
      </c>
      <c r="AH392" s="21" t="n">
        <f aca="false">IF(F392&gt;=Upgrades!$E$7,"",Upgrades!$C$7*POWER(Upgrades!$D$7,F392))</f>
        <v>80.9111547141581</v>
      </c>
      <c r="AI392" s="21" t="n">
        <f aca="false">IF(G392&gt;=Upgrades!$E$8,"",Upgrades!$C$8*POWER(Upgrades!$D$8,G392))</f>
        <v>231.9097088</v>
      </c>
      <c r="AJ392" s="21" t="str">
        <f aca="false">IF(H392&gt;=Upgrades!$E$9,"",Upgrades!$C$9*POWER(Upgrades!$D$9,H392))</f>
        <v/>
      </c>
      <c r="AK392" s="21" t="str">
        <f aca="false">IF(I392&gt;=Upgrades!$E$10,"",Upgrades!$C$10*POWER(Upgrades!$D$10,I392))</f>
        <v/>
      </c>
      <c r="AL392" s="21" t="str">
        <f aca="false">IF(J392&gt;=Upgrades!$E$11,"",Upgrades!$C$11*POWER(Upgrades!$D$11,J392))</f>
        <v/>
      </c>
      <c r="AM392" s="21" t="str">
        <f aca="false">IF(K392&gt;=Upgrades!$E$12,"",Upgrades!$C$12*POWER(Upgrades!$D$12,K392))</f>
        <v/>
      </c>
      <c r="AN392" s="26" t="str">
        <f aca="false">IF(AND(D392&gt;=Parameters!$B$18,(H392&gt;=Upgrades!$E$9)*(K392&gt;=Upgrades!$E$12)=1,L392=0),1,"")</f>
        <v/>
      </c>
      <c r="AO392" s="26" t="str">
        <f aca="false">IF(AND(D392&gt;=Parameters!$B$18,L392=0),1,"")</f>
        <v/>
      </c>
      <c r="AP392" s="21" t="n">
        <f aca="false">MIN(IF(ISNUMBER(AK392),AK392,9000000000000000),IF(ISNUMBER(AL392),AL392,9000000000000000),IF(ISNUMBER(AM392),AM392,9000000000000000))</f>
        <v>9000000000000000</v>
      </c>
      <c r="AQ392" s="21" t="n">
        <f aca="false">MIN(IF(ISNUMBER(AG392),AG392,9000000000000000),IF(ISNUMBER(AH392),AH392,9000000000000000),IF(ISNUMBER(AI392),AI392,9000000000000000),IF(ISNUMBER(AJ392),AJ392,9000000000000000))</f>
        <v>37.4517507383159</v>
      </c>
      <c r="AR392" s="32" t="b">
        <f aca="false">IF(AW392&gt;Parameters!$B$21*(MAX(IF(AND(NOT(AND(AO392=1,AN392&lt;&gt;1)),ISNUMBER(AG392),AG392&lt;=T392),AS392,0),IF(AND(NOT(AND(AO392=1,AN392&lt;&gt;1)),ISNUMBER(AH392),AH392&lt;=T392),AT392,0),IF(AND(NOT(AND(AO392=1,AN392&lt;&gt;1)),ISNUMBER(AI392),AI392&lt;=T392),AU392,0),IF(AND(ISNUMBER(AJ392),AJ392&lt;=T392),AV392,0))),TRUE(),FALSE())</f>
        <v>1</v>
      </c>
      <c r="AS392" s="33" t="n">
        <f aca="false">IFERROR(Upgrades!$H$6*(POWER(Upgrades!$P$6,E392)*POWER(Upgrades!$P$7,F392)*POWER(Upgrades!$P$8,G392)*POWER(Upgrades!$P$9,H392)*POWER(Upgrades!$P$10,I392)*POWER(Upgrades!$P$11,J392)*POWER(Upgrades!$P$12,K392))*(IF(Upgrades!$T$7="Solar Wind",POWER(Upgrades!$U$7,F392),1)*IF(Upgrades!$T$8="Solar Wind",POWER(Upgrades!$U$8,G392),1)*IF(Upgrades!$T$9="Solar Wind",POWER(Upgrades!$U$9,H392),1)*IF(Upgrades!$T$10="Solar Wind",POWER(Upgrades!$U$10,I392),1)*IF(Upgrades!$T$11="Solar Wind",POWER(Upgrades!$U$11,J392),1)*IF(Upgrades!$T$12="Solar Wind",POWER(Upgrades!$U$12,K392),1))/AG392,0)</f>
        <v>0.0026701021455238</v>
      </c>
      <c r="AT392" s="33" t="n">
        <f aca="false">IFERROR(Upgrades!$H$7*(POWER(Upgrades!$P$6,E392)*POWER(Upgrades!$P$7,F392)*POWER(Upgrades!$P$8,G392)*POWER(Upgrades!$P$9,H392)*POWER(Upgrades!$P$10,I392)*POWER(Upgrades!$P$11,J392)*POWER(Upgrades!$P$12,K392))*(IF(Upgrades!$T$6="Asteroid Belt",POWER(Upgrades!$U$6,E392),1)*IF(Upgrades!$T$8="Asteroid Belt",POWER(Upgrades!$U$8,G392),1)*IF(Upgrades!$T$9="Asteroid Belt",POWER(Upgrades!$U$9,H392),1)*IF(Upgrades!$T$10="Asteroid Belt",POWER(Upgrades!$U$10,I392),1)*IF(Upgrades!$T$11="Asteroid Belt",POWER(Upgrades!$U$11,J392),1)*IF(Upgrades!$T$12="Asteroid Belt",POWER(Upgrades!$U$12,K392),1))/AH392,0)</f>
        <v>0.00308980882652332</v>
      </c>
      <c r="AU392" s="33" t="n">
        <f aca="false">IFERROR(Upgrades!$K$8*(POWER(Upgrades!$Q$6,E392)*POWER(Upgrades!$Q$7,F392)*POWER(Upgrades!$Q$8,G392)*POWER(Upgrades!$Q$9,H392)*POWER(Upgrades!$Q$10,I392)*POWER(Upgrades!$Q$11,J392)*POWER(Upgrades!$Q$12,K392))*(IF(Upgrades!$T$6="Stellar Coupling",POWER(Upgrades!$U$6,E392),1)*IF(Upgrades!$T$7="Stellar Coupling",POWER(Upgrades!$U$7,F392),1)*IF(Upgrades!$T$9="Stellar Coupling",POWER(Upgrades!$U$9,H392),1)*IF(Upgrades!$T$10="Stellar Coupling",POWER(Upgrades!$U$10,I392),1)*IF(Upgrades!$T$11="Stellar Coupling",POWER(Upgrades!$U$11,J392),1)*IF(Upgrades!$T$12="Stellar Coupling",POWER(Upgrades!$U$12,K392),1))*Parameters!$B$10*Parameters!$B$11/60/AI392,0)</f>
        <v>0.00452762415783776</v>
      </c>
      <c r="AV392" s="33" t="n">
        <f aca="false">IFERROR(Upgrades!$H$9*(POWER(Upgrades!$P$6,E392)*POWER(Upgrades!$P$7,F392)*POWER(Upgrades!$P$8,G392)*POWER(Upgrades!$P$9,H392)*POWER(Upgrades!$P$10,I392)*POWER(Upgrades!$P$11,J392)*POWER(Upgrades!$P$12,K392))*(IF(Upgrades!$T$6="Magnetosphere",POWER(Upgrades!$U$6,E392),1)*IF(Upgrades!$T$7="Magnetosphere",POWER(Upgrades!$U$7,F392),1)*IF(Upgrades!$T$8="Magnetosphere",POWER(Upgrades!$U$8,G392),1)*IF(Upgrades!$T$10="Magnetosphere",POWER(Upgrades!$U$10,I392),1)*IF(Upgrades!$T$11="Magnetosphere",POWER(Upgrades!$U$11,J392),1)*IF(Upgrades!$T$12="Magnetosphere",POWER(Upgrades!$U$12,K392),1))/AJ392,0)</f>
        <v>0</v>
      </c>
      <c r="AW392" s="33" t="n">
        <f aca="false">MAX(IF(I392&gt;0,0,IFERROR(0.25*N392/Upgrades!$C$10,0)),IF(J392&gt;0,0,IFERROR(0.5*((IF(G392=0,0,(Upgrades!$J$8+G392*Upgrades!$K$8)*POWER(Upgrades!$L$8,G392)))*(IF(Upgrades!$T$6="Stellar Coupling",POWER(Upgrades!$U$6,E392),1)*IF(Upgrades!$T$7="Stellar Coupling",POWER(Upgrades!$U$7,F392),1)*IF(Upgrades!$T$9="Stellar Coupling",POWER(Upgrades!$U$9,H392),1)*IF(Upgrades!$T$10="Stellar Coupling",POWER(Upgrades!$U$10,I392),1)*IF(Upgrades!$T$11="Stellar Coupling",POWER(Upgrades!$U$11,J392),1)*IF(Upgrades!$T$12="Stellar Coupling",POWER(Upgrades!$U$12,K392),1))*(POWER(Upgrades!$Q$6,E392)*POWER(Upgrades!$Q$7,F392)*POWER(Upgrades!$Q$8,G392)*POWER(Upgrades!$Q$9,H392)*POWER(Upgrades!$Q$10,I392)*POWER(Upgrades!$Q$11,J392)*POWER(Upgrades!$Q$12,K392))*Parameters!$B$10*Parameters!$B$11/60)/Upgrades!$C$11,0)),IF(K392&gt;0,0,IFERROR((1*(POWER(Upgrades!$P$6,E392)*POWER(Upgrades!$P$7,F392)*POWER(Upgrades!$P$8,G392)*POWER(Upgrades!$P$9,H392)*POWER(Upgrades!$P$10,I392)*POWER(Upgrades!$P$11,J392)*POWER(Upgrades!$P$12,K392))+0.2*M392*Parameters!$B$10*Parameters!$B$11/60)/Upgrades!$C$12,0)),IF(AND(ISNUMBER(AG392),AG392&gt;T392),AS392,0),IF(AND(ISNUMBER(AH392),AH392&gt;T392),AT392,0),IF(AND(ISNUMBER(AI392),AI392&gt;T392),AU392,0),IF(AND(ISNUMBER(AJ392),AJ392&gt;T392),AV392,0))</f>
        <v>0.00452762415783776</v>
      </c>
      <c r="AX392" s="29" t="str">
        <f aca="false">IF(AN392=1,"transition",IF(MIN(IF(AND(I392=0,ISNUMBER(AK392),AK392&lt;=T392),AK392,9000000000000000),IF(AND(J392=0,ISNUMBER(AL392),AL392&lt;=T392),AL392,9000000000000000),IF(AND(K392=0,ISNUMBER(AM392),AM392&lt;=T392),AM392,9000000000000000))&lt;9000000000000000,IF(AND(AND(I392=0,ISNUMBER(AK392),AK392&lt;=T392),AK392=MIN(IF(AND(I392=0,ISNUMBER(AK392),AK392&lt;=T392),AK392,9000000000000000),IF(AND(J392=0,ISNUMBER(AL392),AL392&lt;=T392),AL392,9000000000000000),IF(AND(K392=0,ISNUMBER(AM392),AM392&lt;=T392),AM392,9000000000000000))),"OR",IF(AND(AND(J392=0,ISNUMBER(AL392),AL392&lt;=T392),AL392=MIN(IF(AND(I392=0,ISNUMBER(AK392),AK392&lt;=T392),AK392,9000000000000000),IF(AND(J392=0,ISNUMBER(AL392),AL392&lt;=T392),AL392,9000000000000000),IF(AND(K392=0,ISNUMBER(AM392),AM392&lt;=T392),AM392,9000000000000000))),"HP","FP")),IF(AR392=TRUE(),"",IF(MAX(IF(AND(NOT(AND(AO392=1,AN392&lt;&gt;1)),ISNUMBER(AG392),AG392&lt;=T392),AS392,0),IF(AND(NOT(AND(AO392=1,AN392&lt;&gt;1)),ISNUMBER(AH392),AH392&lt;=T392),AT392,0),IF(AND(NOT(AND(AO392=1,AN392&lt;&gt;1)),ISNUMBER(AI392),AI392&lt;=T392),AU392,0),IF(AND(ISNUMBER(AJ392),AJ392&lt;=T392),AV392,0))&lt;=0,"",IF(AND(IF(AND(NOT(AND(AO392=1,AN392&lt;&gt;1)),ISNUMBER(AG392),AG392&lt;=T392),AS392,0)&gt;0,IF(AND(NOT(AND(AO392=1,AN392&lt;&gt;1)),ISNUMBER(AG392),AG392&lt;=T392),AS392,0)=MAX(IF(AND(NOT(AND(AO392=1,AN392&lt;&gt;1)),ISNUMBER(AG392),AG392&lt;=T392),AS392,0),IF(AND(NOT(AND(AO392=1,AN392&lt;&gt;1)),ISNUMBER(AH392),AH392&lt;=T392),AT392,0),IF(AND(NOT(AND(AO392=1,AN392&lt;&gt;1)),ISNUMBER(AI392),AI392&lt;=T392),AU392,0),IF(AND(ISNUMBER(AJ392),AJ392&lt;=T392),AV392,0))),"SW",IF(AND(IF(AND(NOT(AND(AO392=1,AN392&lt;&gt;1)),ISNUMBER(AH392),AH392&lt;=T392),AT392,0)&gt;0,IF(AND(NOT(AND(AO392=1,AN392&lt;&gt;1)),ISNUMBER(AH392),AH392&lt;=T392),AT392,0)=MAX(IF(AND(NOT(AND(AO392=1,AN392&lt;&gt;1)),ISNUMBER(AG392),AG392&lt;=T392),AS392,0),IF(AND(NOT(AND(AO392=1,AN392&lt;&gt;1)),ISNUMBER(AH392),AH392&lt;=T392),AT392,0),IF(AND(NOT(AND(AO392=1,AN392&lt;&gt;1)),ISNUMBER(AI392),AI392&lt;=T392),AU392,0),IF(AND(ISNUMBER(AJ392),AJ392&lt;=T392),AV392,0))),"AB",IF(AND(IF(AND(NOT(AND(AO392=1,AN392&lt;&gt;1)),ISNUMBER(AI392),AI392&lt;=T392),AU392,0)&gt;0,IF(AND(NOT(AND(AO392=1,AN392&lt;&gt;1)),ISNUMBER(AI392),AI392&lt;=T392),AU392,0)=MAX(IF(AND(NOT(AND(AO392=1,AN392&lt;&gt;1)),ISNUMBER(AG392),AG392&lt;=T392),AS392,0),IF(AND(NOT(AND(AO392=1,AN392&lt;&gt;1)),ISNUMBER(AH392),AH392&lt;=T392),AT392,0),IF(AND(NOT(AND(AO392=1,AN392&lt;&gt;1)),ISNUMBER(AI392),AI392&lt;=T392),AU392,0),IF(AND(ISNUMBER(AJ392),AJ392&lt;=T392),AV392,0))),"SC","Mag")))))))</f>
        <v/>
      </c>
    </row>
    <row r="393" customFormat="false" ht="15" hidden="false" customHeight="false" outlineLevel="0" collapsed="false">
      <c r="A393" s="26" t="n">
        <v>388</v>
      </c>
      <c r="B393" s="27" t="n">
        <f aca="false">A393*10/60</f>
        <v>64.6666666666667</v>
      </c>
      <c r="C393" s="21" t="n">
        <f aca="false">X392</f>
        <v>18.6730249835055</v>
      </c>
      <c r="D393" s="27" t="n">
        <f aca="false">D392+W392</f>
        <v>0</v>
      </c>
      <c r="E393" s="26" t="n">
        <f aca="false">E392+IF(U392="SW",1,0)</f>
        <v>12</v>
      </c>
      <c r="F393" s="26" t="n">
        <f aca="false">F392+IF(U392="AB",1,0)</f>
        <v>10</v>
      </c>
      <c r="G393" s="26" t="n">
        <f aca="false">G392+IF(U392="SC",1,0)</f>
        <v>7</v>
      </c>
      <c r="H393" s="26" t="n">
        <f aca="false">H392+IF(U392="Mag",1,0)</f>
        <v>5</v>
      </c>
      <c r="I393" s="26" t="n">
        <f aca="false">MAX(I392,IF(U392="OR",1,0))</f>
        <v>1</v>
      </c>
      <c r="J393" s="26" t="n">
        <f aca="false">MAX(J392,IF(U392="HP",1,0))</f>
        <v>1</v>
      </c>
      <c r="K393" s="26" t="n">
        <f aca="false">MAX(K392,IF(U392="FP",1,0))</f>
        <v>1</v>
      </c>
      <c r="L393" s="26" t="n">
        <f aca="false">MAX(L392,IF(U392="transition",1,0))</f>
        <v>1</v>
      </c>
      <c r="M393" s="28" t="n">
        <f aca="false">(Parameters!$B$9+(IF(E393=0,0,(Upgrades!$J$6+E393*Upgrades!$K$6)*POWER(Upgrades!$L$6,E393)))*(IF(Upgrades!$T$7="Solar Wind",POWER(Upgrades!$U$7,F393),1)*IF(Upgrades!$T$8="Solar Wind",POWER(Upgrades!$U$8,G393),1)*IF(Upgrades!$T$9="Solar Wind",POWER(Upgrades!$U$9,H393),1)*IF(Upgrades!$T$10="Solar Wind",POWER(Upgrades!$U$10,I393),1)*IF(Upgrades!$T$11="Solar Wind",POWER(Upgrades!$U$11,J393),1)*IF(Upgrades!$T$12="Solar Wind",POWER(Upgrades!$U$12,K393),1))+(IF(F393=0,0,(Upgrades!$J$7+F393*Upgrades!$K$7)*POWER(Upgrades!$L$7,F393)))*(IF(Upgrades!$T$6="Asteroid Belt",POWER(Upgrades!$U$6,E393),1)*IF(Upgrades!$T$8="Asteroid Belt",POWER(Upgrades!$U$8,G393),1)*IF(Upgrades!$T$9="Asteroid Belt",POWER(Upgrades!$U$9,H393),1)*IF(Upgrades!$T$10="Asteroid Belt",POWER(Upgrades!$U$10,I393),1)*IF(Upgrades!$T$11="Asteroid Belt",POWER(Upgrades!$U$11,J393),1)*IF(Upgrades!$T$12="Asteroid Belt",POWER(Upgrades!$U$12,K393),1))+(IF(G393=0,0,(Upgrades!$J$8+G393*Upgrades!$K$8)*POWER(Upgrades!$L$8,G393)))*(IF(Upgrades!$T$6="Stellar Coupling",POWER(Upgrades!$U$6,E393),1)*IF(Upgrades!$T$7="Stellar Coupling",POWER(Upgrades!$U$7,F393),1)*IF(Upgrades!$T$9="Stellar Coupling",POWER(Upgrades!$U$9,H393),1)*IF(Upgrades!$T$10="Stellar Coupling",POWER(Upgrades!$U$10,I393),1)*IF(Upgrades!$T$11="Stellar Coupling",POWER(Upgrades!$U$11,J393),1)*IF(Upgrades!$T$12="Stellar Coupling",POWER(Upgrades!$U$12,K393),1))+(IF(H393=0,0,(Upgrades!$J$9+H393*Upgrades!$K$9)*POWER(Upgrades!$L$9,H393)))*(IF(Upgrades!$T$6="Magnetosphere",POWER(Upgrades!$U$6,E393),1)*IF(Upgrades!$T$7="Magnetosphere",POWER(Upgrades!$U$7,F393),1)*IF(Upgrades!$T$8="Magnetosphere",POWER(Upgrades!$U$8,G393),1)*IF(Upgrades!$T$10="Magnetosphere",POWER(Upgrades!$U$10,I393),1)*IF(Upgrades!$T$11="Magnetosphere",POWER(Upgrades!$U$11,J393),1)*IF(Upgrades!$T$12="Magnetosphere",POWER(Upgrades!$U$12,K393),1))+(IF(I393=0,0,(Upgrades!$J$10+I393*Upgrades!$K$10)*POWER(Upgrades!$L$10,I393)))*(IF(Upgrades!$T$6="Orbital Resonance",POWER(Upgrades!$U$6,E393),1)*IF(Upgrades!$T$7="Orbital Resonance",POWER(Upgrades!$U$7,F393),1)*IF(Upgrades!$T$8="Orbital Resonance",POWER(Upgrades!$U$8,G393),1)*IF(Upgrades!$T$9="Orbital Resonance",POWER(Upgrades!$U$9,H393),1)*IF(Upgrades!$T$11="Orbital Resonance",POWER(Upgrades!$U$11,J393),1)*IF(Upgrades!$T$12="Orbital Resonance",POWER(Upgrades!$U$12,K393),1))+(IF(J393=0,0,(Upgrades!$J$11+J393*Upgrades!$K$11)*POWER(Upgrades!$L$11,J393)))*(IF(Upgrades!$T$6="Heliopause",POWER(Upgrades!$U$6,E393),1)*IF(Upgrades!$T$7="Heliopause",POWER(Upgrades!$U$7,F393),1)*IF(Upgrades!$T$8="Heliopause",POWER(Upgrades!$U$8,G393),1)*IF(Upgrades!$T$9="Heliopause",POWER(Upgrades!$U$9,H393),1)*IF(Upgrades!$T$10="Heliopause",POWER(Upgrades!$U$10,I393),1)*IF(Upgrades!$T$12="Heliopause",POWER(Upgrades!$U$12,K393),1))+(IF(K393=0,0,(Upgrades!$J$12+K393*Upgrades!$K$12)*POWER(Upgrades!$L$12,K393)))*(IF(Upgrades!$T$6="First Photons",POWER(Upgrades!$U$6,E393),1)*IF(Upgrades!$T$7="First Photons",POWER(Upgrades!$U$7,F393),1)*IF(Upgrades!$T$8="First Photons",POWER(Upgrades!$U$8,G393),1)*IF(Upgrades!$T$9="First Photons",POWER(Upgrades!$U$9,H393),1)*IF(Upgrades!$T$10="First Photons",POWER(Upgrades!$U$10,I393),1)*IF(Upgrades!$T$11="First Photons",POWER(Upgrades!$U$11,J393),1)))*POWER(Upgrades!$Q$6,E393)*POWER(Upgrades!$Q$7,F393)*POWER(Upgrades!$Q$8,G393)*POWER(Upgrades!$Q$9,H393)*POWER(Upgrades!$Q$10,I393)*POWER(Upgrades!$Q$11,J393)*POWER(Upgrades!$Q$12,K393)</f>
        <v>5.61</v>
      </c>
      <c r="N393" s="28" t="n">
        <f aca="false">((IF(E393=0,0,(Upgrades!$G$6+E393*Upgrades!$H$6)*POWER(Upgrades!$I$6,E393)))*(IF(Upgrades!$T$7="Solar Wind",POWER(Upgrades!$U$7,F393),1)*IF(Upgrades!$T$8="Solar Wind",POWER(Upgrades!$U$8,G393),1)*IF(Upgrades!$T$9="Solar Wind",POWER(Upgrades!$U$9,H393),1)*IF(Upgrades!$T$10="Solar Wind",POWER(Upgrades!$U$10,I393),1)*IF(Upgrades!$T$11="Solar Wind",POWER(Upgrades!$U$11,J393),1)*IF(Upgrades!$T$12="Solar Wind",POWER(Upgrades!$U$12,K393),1))+(IF(F393=0,0,(Upgrades!$G$7+F393*Upgrades!$H$7)*POWER(Upgrades!$I$7,F393)))*(IF(Upgrades!$T$6="Asteroid Belt",POWER(Upgrades!$U$6,E393),1)*IF(Upgrades!$T$8="Asteroid Belt",POWER(Upgrades!$U$8,G393),1)*IF(Upgrades!$T$9="Asteroid Belt",POWER(Upgrades!$U$9,H393),1)*IF(Upgrades!$T$10="Asteroid Belt",POWER(Upgrades!$U$10,I393),1)*IF(Upgrades!$T$11="Asteroid Belt",POWER(Upgrades!$U$11,J393),1)*IF(Upgrades!$T$12="Asteroid Belt",POWER(Upgrades!$U$12,K393),1))+(IF(G393=0,0,(Upgrades!$G$8+G393*Upgrades!$H$8)*POWER(Upgrades!$I$8,G393)))*(IF(Upgrades!$T$6="Stellar Coupling",POWER(Upgrades!$U$6,E393),1)*IF(Upgrades!$T$7="Stellar Coupling",POWER(Upgrades!$U$7,F393),1)*IF(Upgrades!$T$9="Stellar Coupling",POWER(Upgrades!$U$9,H393),1)*IF(Upgrades!$T$10="Stellar Coupling",POWER(Upgrades!$U$10,I393),1)*IF(Upgrades!$T$11="Stellar Coupling",POWER(Upgrades!$U$11,J393),1)*IF(Upgrades!$T$12="Stellar Coupling",POWER(Upgrades!$U$12,K393),1))+(IF(H393=0,0,(Upgrades!$G$9+H393*Upgrades!$H$9)*POWER(Upgrades!$I$9,H393)))*(IF(Upgrades!$T$6="Magnetosphere",POWER(Upgrades!$U$6,E393),1)*IF(Upgrades!$T$7="Magnetosphere",POWER(Upgrades!$U$7,F393),1)*IF(Upgrades!$T$8="Magnetosphere",POWER(Upgrades!$U$8,G393),1)*IF(Upgrades!$T$10="Magnetosphere",POWER(Upgrades!$U$10,I393),1)*IF(Upgrades!$T$11="Magnetosphere",POWER(Upgrades!$U$11,J393),1)*IF(Upgrades!$T$12="Magnetosphere",POWER(Upgrades!$U$12,K393),1))+(IF(I393=0,0,(Upgrades!$G$10+I393*Upgrades!$H$10)*POWER(Upgrades!$I$10,I393)))*(IF(Upgrades!$T$6="Orbital Resonance",POWER(Upgrades!$U$6,E393),1)*IF(Upgrades!$T$7="Orbital Resonance",POWER(Upgrades!$U$7,F393),1)*IF(Upgrades!$T$8="Orbital Resonance",POWER(Upgrades!$U$8,G393),1)*IF(Upgrades!$T$9="Orbital Resonance",POWER(Upgrades!$U$9,H393),1)*IF(Upgrades!$T$11="Orbital Resonance",POWER(Upgrades!$U$11,J393),1)*IF(Upgrades!$T$12="Orbital Resonance",POWER(Upgrades!$U$12,K393),1))+(IF(J393=0,0,(Upgrades!$G$11+J393*Upgrades!$H$11)*POWER(Upgrades!$I$11,J393)))*(IF(Upgrades!$T$6="Heliopause",POWER(Upgrades!$U$6,E393),1)*IF(Upgrades!$T$7="Heliopause",POWER(Upgrades!$U$7,F393),1)*IF(Upgrades!$T$8="Heliopause",POWER(Upgrades!$U$8,G393),1)*IF(Upgrades!$T$9="Heliopause",POWER(Upgrades!$U$9,H393),1)*IF(Upgrades!$T$10="Heliopause",POWER(Upgrades!$U$10,I393),1)*IF(Upgrades!$T$12="Heliopause",POWER(Upgrades!$U$12,K393),1))+(IF(K393=0,0,(Upgrades!$G$12+K393*Upgrades!$H$12)*POWER(Upgrades!$I$12,K393)))*(IF(Upgrades!$T$6="First Photons",POWER(Upgrades!$U$6,E393),1)*IF(Upgrades!$T$7="First Photons",POWER(Upgrades!$U$7,F393),1)*IF(Upgrades!$T$8="First Photons",POWER(Upgrades!$U$8,G393),1)*IF(Upgrades!$T$9="First Photons",POWER(Upgrades!$U$9,H393),1)*IF(Upgrades!$T$10="First Photons",POWER(Upgrades!$U$10,I393),1)*IF(Upgrades!$T$11="First Photons",POWER(Upgrades!$U$11,J393),1)))*POWER(Upgrades!$P$6,E393)*POWER(Upgrades!$P$7,F393)*POWER(Upgrades!$P$8,G393)*POWER(Upgrades!$P$9,H393)*POWER(Upgrades!$P$10,I393)*POWER(Upgrades!$P$11,J393)*POWER(Upgrades!$P$12,K393)</f>
        <v>11.2</v>
      </c>
      <c r="O393" s="28" t="n">
        <f aca="false">((IF(E393=0,0,(Upgrades!$M$6+E393*Upgrades!$N$6)*POWER(Upgrades!$O$6,E393)))*(IF(Upgrades!$T$7="Solar Wind",POWER(Upgrades!$U$7,F393),1)*IF(Upgrades!$T$8="Solar Wind",POWER(Upgrades!$U$8,G393),1)*IF(Upgrades!$T$9="Solar Wind",POWER(Upgrades!$U$9,H393),1)*IF(Upgrades!$T$10="Solar Wind",POWER(Upgrades!$U$10,I393),1)*IF(Upgrades!$T$11="Solar Wind",POWER(Upgrades!$U$11,J393),1)*IF(Upgrades!$T$12="Solar Wind",POWER(Upgrades!$U$12,K393),1))+(IF(F393=0,0,(Upgrades!$M$7+F393*Upgrades!$N$7)*POWER(Upgrades!$O$7,F393)))*(IF(Upgrades!$T$6="Asteroid Belt",POWER(Upgrades!$U$6,E393),1)*IF(Upgrades!$T$8="Asteroid Belt",POWER(Upgrades!$U$8,G393),1)*IF(Upgrades!$T$9="Asteroid Belt",POWER(Upgrades!$U$9,H393),1)*IF(Upgrades!$T$10="Asteroid Belt",POWER(Upgrades!$U$10,I393),1)*IF(Upgrades!$T$11="Asteroid Belt",POWER(Upgrades!$U$11,J393),1)*IF(Upgrades!$T$12="Asteroid Belt",POWER(Upgrades!$U$12,K393),1))+(IF(G393=0,0,(Upgrades!$M$8+G393*Upgrades!$N$8)*POWER(Upgrades!$O$8,G393)))*(IF(Upgrades!$T$6="Stellar Coupling",POWER(Upgrades!$U$6,E393),1)*IF(Upgrades!$T$7="Stellar Coupling",POWER(Upgrades!$U$7,F393),1)*IF(Upgrades!$T$9="Stellar Coupling",POWER(Upgrades!$U$9,H393),1)*IF(Upgrades!$T$10="Stellar Coupling",POWER(Upgrades!$U$10,I393),1)*IF(Upgrades!$T$11="Stellar Coupling",POWER(Upgrades!$U$11,J393),1)*IF(Upgrades!$T$12="Stellar Coupling",POWER(Upgrades!$U$12,K393),1))+(IF(H393=0,0,(Upgrades!$M$9+H393*Upgrades!$N$9)*POWER(Upgrades!$O$9,H393)))*(IF(Upgrades!$T$6="Magnetosphere",POWER(Upgrades!$U$6,E393),1)*IF(Upgrades!$T$7="Magnetosphere",POWER(Upgrades!$U$7,F393),1)*IF(Upgrades!$T$8="Magnetosphere",POWER(Upgrades!$U$8,G393),1)*IF(Upgrades!$T$10="Magnetosphere",POWER(Upgrades!$U$10,I393),1)*IF(Upgrades!$T$11="Magnetosphere",POWER(Upgrades!$U$11,J393),1)*IF(Upgrades!$T$12="Magnetosphere",POWER(Upgrades!$U$12,K393),1))+(IF(I393=0,0,(Upgrades!$M$10+I393*Upgrades!$N$10)*POWER(Upgrades!$O$10,I393)))*(IF(Upgrades!$T$6="Orbital Resonance",POWER(Upgrades!$U$6,E393),1)*IF(Upgrades!$T$7="Orbital Resonance",POWER(Upgrades!$U$7,F393),1)*IF(Upgrades!$T$8="Orbital Resonance",POWER(Upgrades!$U$8,G393),1)*IF(Upgrades!$T$9="Orbital Resonance",POWER(Upgrades!$U$9,H393),1)*IF(Upgrades!$T$11="Orbital Resonance",POWER(Upgrades!$U$11,J393),1)*IF(Upgrades!$T$12="Orbital Resonance",POWER(Upgrades!$U$12,K393),1))+(IF(J393=0,0,(Upgrades!$M$11+J393*Upgrades!$N$11)*POWER(Upgrades!$O$11,J393)))*(IF(Upgrades!$T$6="Heliopause",POWER(Upgrades!$U$6,E393),1)*IF(Upgrades!$T$7="Heliopause",POWER(Upgrades!$U$7,F393),1)*IF(Upgrades!$T$8="Heliopause",POWER(Upgrades!$U$8,G393),1)*IF(Upgrades!$T$9="Heliopause",POWER(Upgrades!$U$9,H393),1)*IF(Upgrades!$T$10="Heliopause",POWER(Upgrades!$U$10,I393),1)*IF(Upgrades!$T$12="Heliopause",POWER(Upgrades!$U$12,K393),1))+(IF(K393=0,0,(Upgrades!$M$12+K393*Upgrades!$N$12)*POWER(Upgrades!$O$12,K393)))*(IF(Upgrades!$T$6="First Photons",POWER(Upgrades!$U$6,E393),1)*IF(Upgrades!$T$7="First Photons",POWER(Upgrades!$U$7,F393),1)*IF(Upgrades!$T$8="First Photons",POWER(Upgrades!$U$8,G393),1)*IF(Upgrades!$T$9="First Photons",POWER(Upgrades!$U$9,H393),1)*IF(Upgrades!$T$10="First Photons",POWER(Upgrades!$U$10,I393),1)*IF(Upgrades!$T$11="First Photons",POWER(Upgrades!$U$11,J393),1)))*POWER(Upgrades!$R$6,E393)*POWER(Upgrades!$R$7,F393)*POWER(Upgrades!$R$8,G393)*POWER(Upgrades!$R$9,H393)*POWER(Upgrades!$R$10,I393)*POWER(Upgrades!$R$11,J393)*POWER(Upgrades!$R$12,K393)</f>
        <v>0</v>
      </c>
      <c r="P393" s="27" t="n">
        <f aca="false">IF(L393=1,0,M393*Parameters!$B$10/60*Parameters!$B$11*10)</f>
        <v>0</v>
      </c>
      <c r="Q393" s="27" t="n">
        <f aca="false">IF(L393=1,0,O393*M393*10)</f>
        <v>0</v>
      </c>
      <c r="R393" s="27" t="n">
        <f aca="false">IF(L393=1,0,N393*10)</f>
        <v>0</v>
      </c>
      <c r="S393" s="27" t="n">
        <f aca="false">P393+Q393+R393</f>
        <v>0</v>
      </c>
      <c r="T393" s="21" t="n">
        <f aca="false">C393+S393</f>
        <v>18.6730249835055</v>
      </c>
      <c r="U393" s="34" t="str">
        <f aca="false">AX393</f>
        <v/>
      </c>
      <c r="V393" s="21" t="n">
        <f aca="false">IF(U393="",0,IF(U393="transition",0,IF(U393="SW",AG393,IF(U393="AB",AH393,IF(U393="SC",AI393,IF(U393="Mag",AJ393,IF(U393="OR",AK393,IF(U393="HP",AL393,IF(U393="FP",AM393,0)))))))))</f>
        <v>0</v>
      </c>
      <c r="W393" s="27" t="n">
        <f aca="false">IF(U393="OR",Upgrades!$F$10,IF(U393="HP",Upgrades!$F$11,IF(U393="transition",-Parameters!$B$18,0)))</f>
        <v>0</v>
      </c>
      <c r="X393" s="21" t="n">
        <f aca="false">T393-V393</f>
        <v>18.6730249835055</v>
      </c>
      <c r="Y393" s="30" t="n">
        <f aca="false">M393*Parameters!$B$10/60*Parameters!$B$11+O393*M393+N393</f>
        <v>20.55</v>
      </c>
      <c r="Z393" s="35" t="str">
        <f aca="false">IF(U393="transition","→ Tier 2 (Stellar Neighborhood)",IF(U393="FP","First Photons — light begins, system quickens",IF(U393="HP","Heliopause acquired",IF(U393="OR","Orbital Resonance — passive multiplier active",IF(AND(AO393=1,L393=0,AN393&lt;&gt;1),"Cohesion ready (waiting on completionist upgrades)","")))))</f>
        <v/>
      </c>
      <c r="AA393" s="27" t="n">
        <f aca="false">(IF(E393=0,0,(Upgrades!$G$6+E393*Upgrades!$H$6)*POWER(Upgrades!$I$6,E393)))*(IF(Upgrades!$T$7="Solar Wind",POWER(Upgrades!$U$7,F393),1)*IF(Upgrades!$T$8="Solar Wind",POWER(Upgrades!$U$8,G393),1)*IF(Upgrades!$T$9="Solar Wind",POWER(Upgrades!$U$9,H393),1)*IF(Upgrades!$T$10="Solar Wind",POWER(Upgrades!$U$10,I393),1)*IF(Upgrades!$T$11="Solar Wind",POWER(Upgrades!$U$11,J393),1)*IF(Upgrades!$T$12="Solar Wind",POWER(Upgrades!$U$12,K393),1))*POWER(Upgrades!$P$6,E393)*POWER(Upgrades!$P$7,F393)*POWER(Upgrades!$P$8,G393)*POWER(Upgrades!$P$9,H393)*POWER(Upgrades!$P$10,I393)*POWER(Upgrades!$P$11,J393)*POWER(Upgrades!$P$12,K393)*60</f>
        <v>72</v>
      </c>
      <c r="AB393" s="27" t="n">
        <f aca="false">(IF(F393=0,0,(Upgrades!$G$7+F393*Upgrades!$H$7)*POWER(Upgrades!$I$7,F393)))*(IF(Upgrades!$T$6="Asteroid Belt",POWER(Upgrades!$U$6,E393),1)*IF(Upgrades!$T$8="Asteroid Belt",POWER(Upgrades!$U$8,G393),1)*IF(Upgrades!$T$9="Asteroid Belt",POWER(Upgrades!$U$9,H393),1)*IF(Upgrades!$T$10="Asteroid Belt",POWER(Upgrades!$U$10,I393),1)*IF(Upgrades!$T$11="Asteroid Belt",POWER(Upgrades!$U$11,J393),1)*IF(Upgrades!$T$12="Asteroid Belt",POWER(Upgrades!$U$12,K393),1))*POWER(Upgrades!$P$6,E393)*POWER(Upgrades!$P$7,F393)*POWER(Upgrades!$P$8,G393)*POWER(Upgrades!$P$9,H393)*POWER(Upgrades!$P$10,I393)*POWER(Upgrades!$P$11,J393)*POWER(Upgrades!$P$12,K393)*60</f>
        <v>150</v>
      </c>
      <c r="AC393" s="27" t="n">
        <f aca="false">(IF(G393=0,0,(Upgrades!$J$8+G393*Upgrades!$K$8)*POWER(Upgrades!$L$8,G393)))*(IF(Upgrades!$T$6="Stellar Coupling",POWER(Upgrades!$U$6,E393),1)*IF(Upgrades!$T$7="Stellar Coupling",POWER(Upgrades!$U$7,F393),1)*IF(Upgrades!$T$9="Stellar Coupling",POWER(Upgrades!$U$9,H393),1)*IF(Upgrades!$T$10="Stellar Coupling",POWER(Upgrades!$U$10,I393),1)*IF(Upgrades!$T$11="Stellar Coupling",POWER(Upgrades!$U$11,J393),1)*IF(Upgrades!$T$12="Stellar Coupling",POWER(Upgrades!$U$12,K393),1))*POWER(Upgrades!$Q$6,E393)*POWER(Upgrades!$Q$7,F393)*POWER(Upgrades!$Q$8,G393)*POWER(Upgrades!$Q$9,H393)*POWER(Upgrades!$Q$10,I393)*POWER(Upgrades!$Q$11,J393)*POWER(Upgrades!$Q$12,K393)*Parameters!$B$10*Parameters!$B$11</f>
        <v>441</v>
      </c>
      <c r="AD393" s="27" t="n">
        <f aca="false">(IF(H393=0,0,(Upgrades!$G$9+H393*Upgrades!$H$9)*POWER(Upgrades!$I$9,H393)))*(IF(Upgrades!$T$6="Magnetosphere",POWER(Upgrades!$U$6,E393),1)*IF(Upgrades!$T$7="Magnetosphere",POWER(Upgrades!$U$7,F393),1)*IF(Upgrades!$T$8="Magnetosphere",POWER(Upgrades!$U$8,G393),1)*IF(Upgrades!$T$10="Magnetosphere",POWER(Upgrades!$U$10,I393),1)*IF(Upgrades!$T$11="Magnetosphere",POWER(Upgrades!$U$11,J393),1)*IF(Upgrades!$T$12="Magnetosphere",POWER(Upgrades!$U$12,K393),1))*POWER(Upgrades!$P$6,E393)*POWER(Upgrades!$P$7,F393)*POWER(Upgrades!$P$8,G393)*POWER(Upgrades!$P$9,H393)*POWER(Upgrades!$P$10,I393)*POWER(Upgrades!$P$11,J393)*POWER(Upgrades!$P$12,K393)*60</f>
        <v>375</v>
      </c>
      <c r="AE393" s="27" t="n">
        <f aca="false">(IF(K393=0,0,(Upgrades!$G$12+K393*Upgrades!$H$12)*POWER(Upgrades!$I$12,K393)))*(IF(Upgrades!$T$6="First Photons",POWER(Upgrades!$U$6,E393),1)*IF(Upgrades!$T$7="First Photons",POWER(Upgrades!$U$7,F393),1)*IF(Upgrades!$T$8="First Photons",POWER(Upgrades!$U$8,G393),1)*IF(Upgrades!$T$9="First Photons",POWER(Upgrades!$U$9,H393),1)*IF(Upgrades!$T$10="First Photons",POWER(Upgrades!$U$10,I393),1)*IF(Upgrades!$T$11="First Photons",POWER(Upgrades!$U$11,J393),1))*POWER(Upgrades!$P$6,E393)*POWER(Upgrades!$P$7,F393)*POWER(Upgrades!$P$8,G393)*POWER(Upgrades!$P$9,H393)*POWER(Upgrades!$P$10,I393)*POWER(Upgrades!$P$11,J393)*POWER(Upgrades!$P$12,K393)*60</f>
        <v>75</v>
      </c>
      <c r="AF393" s="27" t="n">
        <f aca="false">Parameters!$B$9*POWER(Upgrades!$Q$6,E393)*POWER(Upgrades!$Q$7,F393)*POWER(Upgrades!$Q$8,G393)*POWER(Upgrades!$Q$9,H393)*POWER(Upgrades!$Q$10,I393)*POWER(Upgrades!$Q$11,J393)*POWER(Upgrades!$Q$12,K393)*(Parameters!$B$10*Parameters!$B$11+O393*60)</f>
        <v>120</v>
      </c>
      <c r="AG393" s="21" t="n">
        <f aca="false">IF(E393&gt;=Upgrades!$E$6,"",Upgrades!$C$6*POWER(Upgrades!$D$6,E393))</f>
        <v>37.4517507383159</v>
      </c>
      <c r="AH393" s="21" t="n">
        <f aca="false">IF(F393&gt;=Upgrades!$E$7,"",Upgrades!$C$7*POWER(Upgrades!$D$7,F393))</f>
        <v>80.9111547141581</v>
      </c>
      <c r="AI393" s="21" t="n">
        <f aca="false">IF(G393&gt;=Upgrades!$E$8,"",Upgrades!$C$8*POWER(Upgrades!$D$8,G393))</f>
        <v>231.9097088</v>
      </c>
      <c r="AJ393" s="21" t="str">
        <f aca="false">IF(H393&gt;=Upgrades!$E$9,"",Upgrades!$C$9*POWER(Upgrades!$D$9,H393))</f>
        <v/>
      </c>
      <c r="AK393" s="21" t="str">
        <f aca="false">IF(I393&gt;=Upgrades!$E$10,"",Upgrades!$C$10*POWER(Upgrades!$D$10,I393))</f>
        <v/>
      </c>
      <c r="AL393" s="21" t="str">
        <f aca="false">IF(J393&gt;=Upgrades!$E$11,"",Upgrades!$C$11*POWER(Upgrades!$D$11,J393))</f>
        <v/>
      </c>
      <c r="AM393" s="21" t="str">
        <f aca="false">IF(K393&gt;=Upgrades!$E$12,"",Upgrades!$C$12*POWER(Upgrades!$D$12,K393))</f>
        <v/>
      </c>
      <c r="AN393" s="26" t="str">
        <f aca="false">IF(AND(D393&gt;=Parameters!$B$18,(H393&gt;=Upgrades!$E$9)*(K393&gt;=Upgrades!$E$12)=1,L393=0),1,"")</f>
        <v/>
      </c>
      <c r="AO393" s="26" t="str">
        <f aca="false">IF(AND(D393&gt;=Parameters!$B$18,L393=0),1,"")</f>
        <v/>
      </c>
      <c r="AP393" s="21" t="n">
        <f aca="false">MIN(IF(ISNUMBER(AK393),AK393,9000000000000000),IF(ISNUMBER(AL393),AL393,9000000000000000),IF(ISNUMBER(AM393),AM393,9000000000000000))</f>
        <v>9000000000000000</v>
      </c>
      <c r="AQ393" s="21" t="n">
        <f aca="false">MIN(IF(ISNUMBER(AG393),AG393,9000000000000000),IF(ISNUMBER(AH393),AH393,9000000000000000),IF(ISNUMBER(AI393),AI393,9000000000000000),IF(ISNUMBER(AJ393),AJ393,9000000000000000))</f>
        <v>37.4517507383159</v>
      </c>
      <c r="AR393" s="32" t="b">
        <f aca="false">IF(AW393&gt;Parameters!$B$21*(MAX(IF(AND(NOT(AND(AO393=1,AN393&lt;&gt;1)),ISNUMBER(AG393),AG393&lt;=T393),AS393,0),IF(AND(NOT(AND(AO393=1,AN393&lt;&gt;1)),ISNUMBER(AH393),AH393&lt;=T393),AT393,0),IF(AND(NOT(AND(AO393=1,AN393&lt;&gt;1)),ISNUMBER(AI393),AI393&lt;=T393),AU393,0),IF(AND(ISNUMBER(AJ393),AJ393&lt;=T393),AV393,0))),TRUE(),FALSE())</f>
        <v>1</v>
      </c>
      <c r="AS393" s="33" t="n">
        <f aca="false">IFERROR(Upgrades!$H$6*(POWER(Upgrades!$P$6,E393)*POWER(Upgrades!$P$7,F393)*POWER(Upgrades!$P$8,G393)*POWER(Upgrades!$P$9,H393)*POWER(Upgrades!$P$10,I393)*POWER(Upgrades!$P$11,J393)*POWER(Upgrades!$P$12,K393))*(IF(Upgrades!$T$7="Solar Wind",POWER(Upgrades!$U$7,F393),1)*IF(Upgrades!$T$8="Solar Wind",POWER(Upgrades!$U$8,G393),1)*IF(Upgrades!$T$9="Solar Wind",POWER(Upgrades!$U$9,H393),1)*IF(Upgrades!$T$10="Solar Wind",POWER(Upgrades!$U$10,I393),1)*IF(Upgrades!$T$11="Solar Wind",POWER(Upgrades!$U$11,J393),1)*IF(Upgrades!$T$12="Solar Wind",POWER(Upgrades!$U$12,K393),1))/AG393,0)</f>
        <v>0.0026701021455238</v>
      </c>
      <c r="AT393" s="33" t="n">
        <f aca="false">IFERROR(Upgrades!$H$7*(POWER(Upgrades!$P$6,E393)*POWER(Upgrades!$P$7,F393)*POWER(Upgrades!$P$8,G393)*POWER(Upgrades!$P$9,H393)*POWER(Upgrades!$P$10,I393)*POWER(Upgrades!$P$11,J393)*POWER(Upgrades!$P$12,K393))*(IF(Upgrades!$T$6="Asteroid Belt",POWER(Upgrades!$U$6,E393),1)*IF(Upgrades!$T$8="Asteroid Belt",POWER(Upgrades!$U$8,G393),1)*IF(Upgrades!$T$9="Asteroid Belt",POWER(Upgrades!$U$9,H393),1)*IF(Upgrades!$T$10="Asteroid Belt",POWER(Upgrades!$U$10,I393),1)*IF(Upgrades!$T$11="Asteroid Belt",POWER(Upgrades!$U$11,J393),1)*IF(Upgrades!$T$12="Asteroid Belt",POWER(Upgrades!$U$12,K393),1))/AH393,0)</f>
        <v>0.00308980882652332</v>
      </c>
      <c r="AU393" s="33" t="n">
        <f aca="false">IFERROR(Upgrades!$K$8*(POWER(Upgrades!$Q$6,E393)*POWER(Upgrades!$Q$7,F393)*POWER(Upgrades!$Q$8,G393)*POWER(Upgrades!$Q$9,H393)*POWER(Upgrades!$Q$10,I393)*POWER(Upgrades!$Q$11,J393)*POWER(Upgrades!$Q$12,K393))*(IF(Upgrades!$T$6="Stellar Coupling",POWER(Upgrades!$U$6,E393),1)*IF(Upgrades!$T$7="Stellar Coupling",POWER(Upgrades!$U$7,F393),1)*IF(Upgrades!$T$9="Stellar Coupling",POWER(Upgrades!$U$9,H393),1)*IF(Upgrades!$T$10="Stellar Coupling",POWER(Upgrades!$U$10,I393),1)*IF(Upgrades!$T$11="Stellar Coupling",POWER(Upgrades!$U$11,J393),1)*IF(Upgrades!$T$12="Stellar Coupling",POWER(Upgrades!$U$12,K393),1))*Parameters!$B$10*Parameters!$B$11/60/AI393,0)</f>
        <v>0.00452762415783776</v>
      </c>
      <c r="AV393" s="33" t="n">
        <f aca="false">IFERROR(Upgrades!$H$9*(POWER(Upgrades!$P$6,E393)*POWER(Upgrades!$P$7,F393)*POWER(Upgrades!$P$8,G393)*POWER(Upgrades!$P$9,H393)*POWER(Upgrades!$P$10,I393)*POWER(Upgrades!$P$11,J393)*POWER(Upgrades!$P$12,K393))*(IF(Upgrades!$T$6="Magnetosphere",POWER(Upgrades!$U$6,E393),1)*IF(Upgrades!$T$7="Magnetosphere",POWER(Upgrades!$U$7,F393),1)*IF(Upgrades!$T$8="Magnetosphere",POWER(Upgrades!$U$8,G393),1)*IF(Upgrades!$T$10="Magnetosphere",POWER(Upgrades!$U$10,I393),1)*IF(Upgrades!$T$11="Magnetosphere",POWER(Upgrades!$U$11,J393),1)*IF(Upgrades!$T$12="Magnetosphere",POWER(Upgrades!$U$12,K393),1))/AJ393,0)</f>
        <v>0</v>
      </c>
      <c r="AW393" s="33" t="n">
        <f aca="false">MAX(IF(I393&gt;0,0,IFERROR(0.25*N393/Upgrades!$C$10,0)),IF(J393&gt;0,0,IFERROR(0.5*((IF(G393=0,0,(Upgrades!$J$8+G393*Upgrades!$K$8)*POWER(Upgrades!$L$8,G393)))*(IF(Upgrades!$T$6="Stellar Coupling",POWER(Upgrades!$U$6,E393),1)*IF(Upgrades!$T$7="Stellar Coupling",POWER(Upgrades!$U$7,F393),1)*IF(Upgrades!$T$9="Stellar Coupling",POWER(Upgrades!$U$9,H393),1)*IF(Upgrades!$T$10="Stellar Coupling",POWER(Upgrades!$U$10,I393),1)*IF(Upgrades!$T$11="Stellar Coupling",POWER(Upgrades!$U$11,J393),1)*IF(Upgrades!$T$12="Stellar Coupling",POWER(Upgrades!$U$12,K393),1))*(POWER(Upgrades!$Q$6,E393)*POWER(Upgrades!$Q$7,F393)*POWER(Upgrades!$Q$8,G393)*POWER(Upgrades!$Q$9,H393)*POWER(Upgrades!$Q$10,I393)*POWER(Upgrades!$Q$11,J393)*POWER(Upgrades!$Q$12,K393))*Parameters!$B$10*Parameters!$B$11/60)/Upgrades!$C$11,0)),IF(K393&gt;0,0,IFERROR((1*(POWER(Upgrades!$P$6,E393)*POWER(Upgrades!$P$7,F393)*POWER(Upgrades!$P$8,G393)*POWER(Upgrades!$P$9,H393)*POWER(Upgrades!$P$10,I393)*POWER(Upgrades!$P$11,J393)*POWER(Upgrades!$P$12,K393))+0.2*M393*Parameters!$B$10*Parameters!$B$11/60)/Upgrades!$C$12,0)),IF(AND(ISNUMBER(AG393),AG393&gt;T393),AS393,0),IF(AND(ISNUMBER(AH393),AH393&gt;T393),AT393,0),IF(AND(ISNUMBER(AI393),AI393&gt;T393),AU393,0),IF(AND(ISNUMBER(AJ393),AJ393&gt;T393),AV393,0))</f>
        <v>0.00452762415783776</v>
      </c>
      <c r="AX393" s="29" t="str">
        <f aca="false">IF(AN393=1,"transition",IF(MIN(IF(AND(I393=0,ISNUMBER(AK393),AK393&lt;=T393),AK393,9000000000000000),IF(AND(J393=0,ISNUMBER(AL393),AL393&lt;=T393),AL393,9000000000000000),IF(AND(K393=0,ISNUMBER(AM393),AM393&lt;=T393),AM393,9000000000000000))&lt;9000000000000000,IF(AND(AND(I393=0,ISNUMBER(AK393),AK393&lt;=T393),AK393=MIN(IF(AND(I393=0,ISNUMBER(AK393),AK393&lt;=T393),AK393,9000000000000000),IF(AND(J393=0,ISNUMBER(AL393),AL393&lt;=T393),AL393,9000000000000000),IF(AND(K393=0,ISNUMBER(AM393),AM393&lt;=T393),AM393,9000000000000000))),"OR",IF(AND(AND(J393=0,ISNUMBER(AL393),AL393&lt;=T393),AL393=MIN(IF(AND(I393=0,ISNUMBER(AK393),AK393&lt;=T393),AK393,9000000000000000),IF(AND(J393=0,ISNUMBER(AL393),AL393&lt;=T393),AL393,9000000000000000),IF(AND(K393=0,ISNUMBER(AM393),AM393&lt;=T393),AM393,9000000000000000))),"HP","FP")),IF(AR393=TRUE(),"",IF(MAX(IF(AND(NOT(AND(AO393=1,AN393&lt;&gt;1)),ISNUMBER(AG393),AG393&lt;=T393),AS393,0),IF(AND(NOT(AND(AO393=1,AN393&lt;&gt;1)),ISNUMBER(AH393),AH393&lt;=T393),AT393,0),IF(AND(NOT(AND(AO393=1,AN393&lt;&gt;1)),ISNUMBER(AI393),AI393&lt;=T393),AU393,0),IF(AND(ISNUMBER(AJ393),AJ393&lt;=T393),AV393,0))&lt;=0,"",IF(AND(IF(AND(NOT(AND(AO393=1,AN393&lt;&gt;1)),ISNUMBER(AG393),AG393&lt;=T393),AS393,0)&gt;0,IF(AND(NOT(AND(AO393=1,AN393&lt;&gt;1)),ISNUMBER(AG393),AG393&lt;=T393),AS393,0)=MAX(IF(AND(NOT(AND(AO393=1,AN393&lt;&gt;1)),ISNUMBER(AG393),AG393&lt;=T393),AS393,0),IF(AND(NOT(AND(AO393=1,AN393&lt;&gt;1)),ISNUMBER(AH393),AH393&lt;=T393),AT393,0),IF(AND(NOT(AND(AO393=1,AN393&lt;&gt;1)),ISNUMBER(AI393),AI393&lt;=T393),AU393,0),IF(AND(ISNUMBER(AJ393),AJ393&lt;=T393),AV393,0))),"SW",IF(AND(IF(AND(NOT(AND(AO393=1,AN393&lt;&gt;1)),ISNUMBER(AH393),AH393&lt;=T393),AT393,0)&gt;0,IF(AND(NOT(AND(AO393=1,AN393&lt;&gt;1)),ISNUMBER(AH393),AH393&lt;=T393),AT393,0)=MAX(IF(AND(NOT(AND(AO393=1,AN393&lt;&gt;1)),ISNUMBER(AG393),AG393&lt;=T393),AS393,0),IF(AND(NOT(AND(AO393=1,AN393&lt;&gt;1)),ISNUMBER(AH393),AH393&lt;=T393),AT393,0),IF(AND(NOT(AND(AO393=1,AN393&lt;&gt;1)),ISNUMBER(AI393),AI393&lt;=T393),AU393,0),IF(AND(ISNUMBER(AJ393),AJ393&lt;=T393),AV393,0))),"AB",IF(AND(IF(AND(NOT(AND(AO393=1,AN393&lt;&gt;1)),ISNUMBER(AI393),AI393&lt;=T393),AU393,0)&gt;0,IF(AND(NOT(AND(AO393=1,AN393&lt;&gt;1)),ISNUMBER(AI393),AI393&lt;=T393),AU393,0)=MAX(IF(AND(NOT(AND(AO393=1,AN393&lt;&gt;1)),ISNUMBER(AG393),AG393&lt;=T393),AS393,0),IF(AND(NOT(AND(AO393=1,AN393&lt;&gt;1)),ISNUMBER(AH393),AH393&lt;=T393),AT393,0),IF(AND(NOT(AND(AO393=1,AN393&lt;&gt;1)),ISNUMBER(AI393),AI393&lt;=T393),AU393,0),IF(AND(ISNUMBER(AJ393),AJ393&lt;=T393),AV393,0))),"SC","Mag")))))))</f>
        <v/>
      </c>
    </row>
    <row r="394" customFormat="false" ht="15" hidden="false" customHeight="false" outlineLevel="0" collapsed="false">
      <c r="A394" s="26" t="n">
        <v>389</v>
      </c>
      <c r="B394" s="27" t="n">
        <f aca="false">A394*10/60</f>
        <v>64.8333333333333</v>
      </c>
      <c r="C394" s="21" t="n">
        <f aca="false">X393</f>
        <v>18.6730249835055</v>
      </c>
      <c r="D394" s="27" t="n">
        <f aca="false">D393+W393</f>
        <v>0</v>
      </c>
      <c r="E394" s="26" t="n">
        <f aca="false">E393+IF(U393="SW",1,0)</f>
        <v>12</v>
      </c>
      <c r="F394" s="26" t="n">
        <f aca="false">F393+IF(U393="AB",1,0)</f>
        <v>10</v>
      </c>
      <c r="G394" s="26" t="n">
        <f aca="false">G393+IF(U393="SC",1,0)</f>
        <v>7</v>
      </c>
      <c r="H394" s="26" t="n">
        <f aca="false">H393+IF(U393="Mag",1,0)</f>
        <v>5</v>
      </c>
      <c r="I394" s="26" t="n">
        <f aca="false">MAX(I393,IF(U393="OR",1,0))</f>
        <v>1</v>
      </c>
      <c r="J394" s="26" t="n">
        <f aca="false">MAX(J393,IF(U393="HP",1,0))</f>
        <v>1</v>
      </c>
      <c r="K394" s="26" t="n">
        <f aca="false">MAX(K393,IF(U393="FP",1,0))</f>
        <v>1</v>
      </c>
      <c r="L394" s="26" t="n">
        <f aca="false">MAX(L393,IF(U393="transition",1,0))</f>
        <v>1</v>
      </c>
      <c r="M394" s="28" t="n">
        <f aca="false">(Parameters!$B$9+(IF(E394=0,0,(Upgrades!$J$6+E394*Upgrades!$K$6)*POWER(Upgrades!$L$6,E394)))*(IF(Upgrades!$T$7="Solar Wind",POWER(Upgrades!$U$7,F394),1)*IF(Upgrades!$T$8="Solar Wind",POWER(Upgrades!$U$8,G394),1)*IF(Upgrades!$T$9="Solar Wind",POWER(Upgrades!$U$9,H394),1)*IF(Upgrades!$T$10="Solar Wind",POWER(Upgrades!$U$10,I394),1)*IF(Upgrades!$T$11="Solar Wind",POWER(Upgrades!$U$11,J394),1)*IF(Upgrades!$T$12="Solar Wind",POWER(Upgrades!$U$12,K394),1))+(IF(F394=0,0,(Upgrades!$J$7+F394*Upgrades!$K$7)*POWER(Upgrades!$L$7,F394)))*(IF(Upgrades!$T$6="Asteroid Belt",POWER(Upgrades!$U$6,E394),1)*IF(Upgrades!$T$8="Asteroid Belt",POWER(Upgrades!$U$8,G394),1)*IF(Upgrades!$T$9="Asteroid Belt",POWER(Upgrades!$U$9,H394),1)*IF(Upgrades!$T$10="Asteroid Belt",POWER(Upgrades!$U$10,I394),1)*IF(Upgrades!$T$11="Asteroid Belt",POWER(Upgrades!$U$11,J394),1)*IF(Upgrades!$T$12="Asteroid Belt",POWER(Upgrades!$U$12,K394),1))+(IF(G394=0,0,(Upgrades!$J$8+G394*Upgrades!$K$8)*POWER(Upgrades!$L$8,G394)))*(IF(Upgrades!$T$6="Stellar Coupling",POWER(Upgrades!$U$6,E394),1)*IF(Upgrades!$T$7="Stellar Coupling",POWER(Upgrades!$U$7,F394),1)*IF(Upgrades!$T$9="Stellar Coupling",POWER(Upgrades!$U$9,H394),1)*IF(Upgrades!$T$10="Stellar Coupling",POWER(Upgrades!$U$10,I394),1)*IF(Upgrades!$T$11="Stellar Coupling",POWER(Upgrades!$U$11,J394),1)*IF(Upgrades!$T$12="Stellar Coupling",POWER(Upgrades!$U$12,K394),1))+(IF(H394=0,0,(Upgrades!$J$9+H394*Upgrades!$K$9)*POWER(Upgrades!$L$9,H394)))*(IF(Upgrades!$T$6="Magnetosphere",POWER(Upgrades!$U$6,E394),1)*IF(Upgrades!$T$7="Magnetosphere",POWER(Upgrades!$U$7,F394),1)*IF(Upgrades!$T$8="Magnetosphere",POWER(Upgrades!$U$8,G394),1)*IF(Upgrades!$T$10="Magnetosphere",POWER(Upgrades!$U$10,I394),1)*IF(Upgrades!$T$11="Magnetosphere",POWER(Upgrades!$U$11,J394),1)*IF(Upgrades!$T$12="Magnetosphere",POWER(Upgrades!$U$12,K394),1))+(IF(I394=0,0,(Upgrades!$J$10+I394*Upgrades!$K$10)*POWER(Upgrades!$L$10,I394)))*(IF(Upgrades!$T$6="Orbital Resonance",POWER(Upgrades!$U$6,E394),1)*IF(Upgrades!$T$7="Orbital Resonance",POWER(Upgrades!$U$7,F394),1)*IF(Upgrades!$T$8="Orbital Resonance",POWER(Upgrades!$U$8,G394),1)*IF(Upgrades!$T$9="Orbital Resonance",POWER(Upgrades!$U$9,H394),1)*IF(Upgrades!$T$11="Orbital Resonance",POWER(Upgrades!$U$11,J394),1)*IF(Upgrades!$T$12="Orbital Resonance",POWER(Upgrades!$U$12,K394),1))+(IF(J394=0,0,(Upgrades!$J$11+J394*Upgrades!$K$11)*POWER(Upgrades!$L$11,J394)))*(IF(Upgrades!$T$6="Heliopause",POWER(Upgrades!$U$6,E394),1)*IF(Upgrades!$T$7="Heliopause",POWER(Upgrades!$U$7,F394),1)*IF(Upgrades!$T$8="Heliopause",POWER(Upgrades!$U$8,G394),1)*IF(Upgrades!$T$9="Heliopause",POWER(Upgrades!$U$9,H394),1)*IF(Upgrades!$T$10="Heliopause",POWER(Upgrades!$U$10,I394),1)*IF(Upgrades!$T$12="Heliopause",POWER(Upgrades!$U$12,K394),1))+(IF(K394=0,0,(Upgrades!$J$12+K394*Upgrades!$K$12)*POWER(Upgrades!$L$12,K394)))*(IF(Upgrades!$T$6="First Photons",POWER(Upgrades!$U$6,E394),1)*IF(Upgrades!$T$7="First Photons",POWER(Upgrades!$U$7,F394),1)*IF(Upgrades!$T$8="First Photons",POWER(Upgrades!$U$8,G394),1)*IF(Upgrades!$T$9="First Photons",POWER(Upgrades!$U$9,H394),1)*IF(Upgrades!$T$10="First Photons",POWER(Upgrades!$U$10,I394),1)*IF(Upgrades!$T$11="First Photons",POWER(Upgrades!$U$11,J394),1)))*POWER(Upgrades!$Q$6,E394)*POWER(Upgrades!$Q$7,F394)*POWER(Upgrades!$Q$8,G394)*POWER(Upgrades!$Q$9,H394)*POWER(Upgrades!$Q$10,I394)*POWER(Upgrades!$Q$11,J394)*POWER(Upgrades!$Q$12,K394)</f>
        <v>5.61</v>
      </c>
      <c r="N394" s="28" t="n">
        <f aca="false">((IF(E394=0,0,(Upgrades!$G$6+E394*Upgrades!$H$6)*POWER(Upgrades!$I$6,E394)))*(IF(Upgrades!$T$7="Solar Wind",POWER(Upgrades!$U$7,F394),1)*IF(Upgrades!$T$8="Solar Wind",POWER(Upgrades!$U$8,G394),1)*IF(Upgrades!$T$9="Solar Wind",POWER(Upgrades!$U$9,H394),1)*IF(Upgrades!$T$10="Solar Wind",POWER(Upgrades!$U$10,I394),1)*IF(Upgrades!$T$11="Solar Wind",POWER(Upgrades!$U$11,J394),1)*IF(Upgrades!$T$12="Solar Wind",POWER(Upgrades!$U$12,K394),1))+(IF(F394=0,0,(Upgrades!$G$7+F394*Upgrades!$H$7)*POWER(Upgrades!$I$7,F394)))*(IF(Upgrades!$T$6="Asteroid Belt",POWER(Upgrades!$U$6,E394),1)*IF(Upgrades!$T$8="Asteroid Belt",POWER(Upgrades!$U$8,G394),1)*IF(Upgrades!$T$9="Asteroid Belt",POWER(Upgrades!$U$9,H394),1)*IF(Upgrades!$T$10="Asteroid Belt",POWER(Upgrades!$U$10,I394),1)*IF(Upgrades!$T$11="Asteroid Belt",POWER(Upgrades!$U$11,J394),1)*IF(Upgrades!$T$12="Asteroid Belt",POWER(Upgrades!$U$12,K394),1))+(IF(G394=0,0,(Upgrades!$G$8+G394*Upgrades!$H$8)*POWER(Upgrades!$I$8,G394)))*(IF(Upgrades!$T$6="Stellar Coupling",POWER(Upgrades!$U$6,E394),1)*IF(Upgrades!$T$7="Stellar Coupling",POWER(Upgrades!$U$7,F394),1)*IF(Upgrades!$T$9="Stellar Coupling",POWER(Upgrades!$U$9,H394),1)*IF(Upgrades!$T$10="Stellar Coupling",POWER(Upgrades!$U$10,I394),1)*IF(Upgrades!$T$11="Stellar Coupling",POWER(Upgrades!$U$11,J394),1)*IF(Upgrades!$T$12="Stellar Coupling",POWER(Upgrades!$U$12,K394),1))+(IF(H394=0,0,(Upgrades!$G$9+H394*Upgrades!$H$9)*POWER(Upgrades!$I$9,H394)))*(IF(Upgrades!$T$6="Magnetosphere",POWER(Upgrades!$U$6,E394),1)*IF(Upgrades!$T$7="Magnetosphere",POWER(Upgrades!$U$7,F394),1)*IF(Upgrades!$T$8="Magnetosphere",POWER(Upgrades!$U$8,G394),1)*IF(Upgrades!$T$10="Magnetosphere",POWER(Upgrades!$U$10,I394),1)*IF(Upgrades!$T$11="Magnetosphere",POWER(Upgrades!$U$11,J394),1)*IF(Upgrades!$T$12="Magnetosphere",POWER(Upgrades!$U$12,K394),1))+(IF(I394=0,0,(Upgrades!$G$10+I394*Upgrades!$H$10)*POWER(Upgrades!$I$10,I394)))*(IF(Upgrades!$T$6="Orbital Resonance",POWER(Upgrades!$U$6,E394),1)*IF(Upgrades!$T$7="Orbital Resonance",POWER(Upgrades!$U$7,F394),1)*IF(Upgrades!$T$8="Orbital Resonance",POWER(Upgrades!$U$8,G394),1)*IF(Upgrades!$T$9="Orbital Resonance",POWER(Upgrades!$U$9,H394),1)*IF(Upgrades!$T$11="Orbital Resonance",POWER(Upgrades!$U$11,J394),1)*IF(Upgrades!$T$12="Orbital Resonance",POWER(Upgrades!$U$12,K394),1))+(IF(J394=0,0,(Upgrades!$G$11+J394*Upgrades!$H$11)*POWER(Upgrades!$I$11,J394)))*(IF(Upgrades!$T$6="Heliopause",POWER(Upgrades!$U$6,E394),1)*IF(Upgrades!$T$7="Heliopause",POWER(Upgrades!$U$7,F394),1)*IF(Upgrades!$T$8="Heliopause",POWER(Upgrades!$U$8,G394),1)*IF(Upgrades!$T$9="Heliopause",POWER(Upgrades!$U$9,H394),1)*IF(Upgrades!$T$10="Heliopause",POWER(Upgrades!$U$10,I394),1)*IF(Upgrades!$T$12="Heliopause",POWER(Upgrades!$U$12,K394),1))+(IF(K394=0,0,(Upgrades!$G$12+K394*Upgrades!$H$12)*POWER(Upgrades!$I$12,K394)))*(IF(Upgrades!$T$6="First Photons",POWER(Upgrades!$U$6,E394),1)*IF(Upgrades!$T$7="First Photons",POWER(Upgrades!$U$7,F394),1)*IF(Upgrades!$T$8="First Photons",POWER(Upgrades!$U$8,G394),1)*IF(Upgrades!$T$9="First Photons",POWER(Upgrades!$U$9,H394),1)*IF(Upgrades!$T$10="First Photons",POWER(Upgrades!$U$10,I394),1)*IF(Upgrades!$T$11="First Photons",POWER(Upgrades!$U$11,J394),1)))*POWER(Upgrades!$P$6,E394)*POWER(Upgrades!$P$7,F394)*POWER(Upgrades!$P$8,G394)*POWER(Upgrades!$P$9,H394)*POWER(Upgrades!$P$10,I394)*POWER(Upgrades!$P$11,J394)*POWER(Upgrades!$P$12,K394)</f>
        <v>11.2</v>
      </c>
      <c r="O394" s="28" t="n">
        <f aca="false">((IF(E394=0,0,(Upgrades!$M$6+E394*Upgrades!$N$6)*POWER(Upgrades!$O$6,E394)))*(IF(Upgrades!$T$7="Solar Wind",POWER(Upgrades!$U$7,F394),1)*IF(Upgrades!$T$8="Solar Wind",POWER(Upgrades!$U$8,G394),1)*IF(Upgrades!$T$9="Solar Wind",POWER(Upgrades!$U$9,H394),1)*IF(Upgrades!$T$10="Solar Wind",POWER(Upgrades!$U$10,I394),1)*IF(Upgrades!$T$11="Solar Wind",POWER(Upgrades!$U$11,J394),1)*IF(Upgrades!$T$12="Solar Wind",POWER(Upgrades!$U$12,K394),1))+(IF(F394=0,0,(Upgrades!$M$7+F394*Upgrades!$N$7)*POWER(Upgrades!$O$7,F394)))*(IF(Upgrades!$T$6="Asteroid Belt",POWER(Upgrades!$U$6,E394),1)*IF(Upgrades!$T$8="Asteroid Belt",POWER(Upgrades!$U$8,G394),1)*IF(Upgrades!$T$9="Asteroid Belt",POWER(Upgrades!$U$9,H394),1)*IF(Upgrades!$T$10="Asteroid Belt",POWER(Upgrades!$U$10,I394),1)*IF(Upgrades!$T$11="Asteroid Belt",POWER(Upgrades!$U$11,J394),1)*IF(Upgrades!$T$12="Asteroid Belt",POWER(Upgrades!$U$12,K394),1))+(IF(G394=0,0,(Upgrades!$M$8+G394*Upgrades!$N$8)*POWER(Upgrades!$O$8,G394)))*(IF(Upgrades!$T$6="Stellar Coupling",POWER(Upgrades!$U$6,E394),1)*IF(Upgrades!$T$7="Stellar Coupling",POWER(Upgrades!$U$7,F394),1)*IF(Upgrades!$T$9="Stellar Coupling",POWER(Upgrades!$U$9,H394),1)*IF(Upgrades!$T$10="Stellar Coupling",POWER(Upgrades!$U$10,I394),1)*IF(Upgrades!$T$11="Stellar Coupling",POWER(Upgrades!$U$11,J394),1)*IF(Upgrades!$T$12="Stellar Coupling",POWER(Upgrades!$U$12,K394),1))+(IF(H394=0,0,(Upgrades!$M$9+H394*Upgrades!$N$9)*POWER(Upgrades!$O$9,H394)))*(IF(Upgrades!$T$6="Magnetosphere",POWER(Upgrades!$U$6,E394),1)*IF(Upgrades!$T$7="Magnetosphere",POWER(Upgrades!$U$7,F394),1)*IF(Upgrades!$T$8="Magnetosphere",POWER(Upgrades!$U$8,G394),1)*IF(Upgrades!$T$10="Magnetosphere",POWER(Upgrades!$U$10,I394),1)*IF(Upgrades!$T$11="Magnetosphere",POWER(Upgrades!$U$11,J394),1)*IF(Upgrades!$T$12="Magnetosphere",POWER(Upgrades!$U$12,K394),1))+(IF(I394=0,0,(Upgrades!$M$10+I394*Upgrades!$N$10)*POWER(Upgrades!$O$10,I394)))*(IF(Upgrades!$T$6="Orbital Resonance",POWER(Upgrades!$U$6,E394),1)*IF(Upgrades!$T$7="Orbital Resonance",POWER(Upgrades!$U$7,F394),1)*IF(Upgrades!$T$8="Orbital Resonance",POWER(Upgrades!$U$8,G394),1)*IF(Upgrades!$T$9="Orbital Resonance",POWER(Upgrades!$U$9,H394),1)*IF(Upgrades!$T$11="Orbital Resonance",POWER(Upgrades!$U$11,J394),1)*IF(Upgrades!$T$12="Orbital Resonance",POWER(Upgrades!$U$12,K394),1))+(IF(J394=0,0,(Upgrades!$M$11+J394*Upgrades!$N$11)*POWER(Upgrades!$O$11,J394)))*(IF(Upgrades!$T$6="Heliopause",POWER(Upgrades!$U$6,E394),1)*IF(Upgrades!$T$7="Heliopause",POWER(Upgrades!$U$7,F394),1)*IF(Upgrades!$T$8="Heliopause",POWER(Upgrades!$U$8,G394),1)*IF(Upgrades!$T$9="Heliopause",POWER(Upgrades!$U$9,H394),1)*IF(Upgrades!$T$10="Heliopause",POWER(Upgrades!$U$10,I394),1)*IF(Upgrades!$T$12="Heliopause",POWER(Upgrades!$U$12,K394),1))+(IF(K394=0,0,(Upgrades!$M$12+K394*Upgrades!$N$12)*POWER(Upgrades!$O$12,K394)))*(IF(Upgrades!$T$6="First Photons",POWER(Upgrades!$U$6,E394),1)*IF(Upgrades!$T$7="First Photons",POWER(Upgrades!$U$7,F394),1)*IF(Upgrades!$T$8="First Photons",POWER(Upgrades!$U$8,G394),1)*IF(Upgrades!$T$9="First Photons",POWER(Upgrades!$U$9,H394),1)*IF(Upgrades!$T$10="First Photons",POWER(Upgrades!$U$10,I394),1)*IF(Upgrades!$T$11="First Photons",POWER(Upgrades!$U$11,J394),1)))*POWER(Upgrades!$R$6,E394)*POWER(Upgrades!$R$7,F394)*POWER(Upgrades!$R$8,G394)*POWER(Upgrades!$R$9,H394)*POWER(Upgrades!$R$10,I394)*POWER(Upgrades!$R$11,J394)*POWER(Upgrades!$R$12,K394)</f>
        <v>0</v>
      </c>
      <c r="P394" s="27" t="n">
        <f aca="false">IF(L394=1,0,M394*Parameters!$B$10/60*Parameters!$B$11*10)</f>
        <v>0</v>
      </c>
      <c r="Q394" s="27" t="n">
        <f aca="false">IF(L394=1,0,O394*M394*10)</f>
        <v>0</v>
      </c>
      <c r="R394" s="27" t="n">
        <f aca="false">IF(L394=1,0,N394*10)</f>
        <v>0</v>
      </c>
      <c r="S394" s="27" t="n">
        <f aca="false">P394+Q394+R394</f>
        <v>0</v>
      </c>
      <c r="T394" s="21" t="n">
        <f aca="false">C394+S394</f>
        <v>18.6730249835055</v>
      </c>
      <c r="U394" s="34" t="str">
        <f aca="false">AX394</f>
        <v/>
      </c>
      <c r="V394" s="21" t="n">
        <f aca="false">IF(U394="",0,IF(U394="transition",0,IF(U394="SW",AG394,IF(U394="AB",AH394,IF(U394="SC",AI394,IF(U394="Mag",AJ394,IF(U394="OR",AK394,IF(U394="HP",AL394,IF(U394="FP",AM394,0)))))))))</f>
        <v>0</v>
      </c>
      <c r="W394" s="27" t="n">
        <f aca="false">IF(U394="OR",Upgrades!$F$10,IF(U394="HP",Upgrades!$F$11,IF(U394="transition",-Parameters!$B$18,0)))</f>
        <v>0</v>
      </c>
      <c r="X394" s="21" t="n">
        <f aca="false">T394-V394</f>
        <v>18.6730249835055</v>
      </c>
      <c r="Y394" s="30" t="n">
        <f aca="false">M394*Parameters!$B$10/60*Parameters!$B$11+O394*M394+N394</f>
        <v>20.55</v>
      </c>
      <c r="Z394" s="35" t="str">
        <f aca="false">IF(U394="transition","→ Tier 2 (Stellar Neighborhood)",IF(U394="FP","First Photons — light begins, system quickens",IF(U394="HP","Heliopause acquired",IF(U394="OR","Orbital Resonance — passive multiplier active",IF(AND(AO394=1,L394=0,AN394&lt;&gt;1),"Cohesion ready (waiting on completionist upgrades)","")))))</f>
        <v/>
      </c>
      <c r="AA394" s="27" t="n">
        <f aca="false">(IF(E394=0,0,(Upgrades!$G$6+E394*Upgrades!$H$6)*POWER(Upgrades!$I$6,E394)))*(IF(Upgrades!$T$7="Solar Wind",POWER(Upgrades!$U$7,F394),1)*IF(Upgrades!$T$8="Solar Wind",POWER(Upgrades!$U$8,G394),1)*IF(Upgrades!$T$9="Solar Wind",POWER(Upgrades!$U$9,H394),1)*IF(Upgrades!$T$10="Solar Wind",POWER(Upgrades!$U$10,I394),1)*IF(Upgrades!$T$11="Solar Wind",POWER(Upgrades!$U$11,J394),1)*IF(Upgrades!$T$12="Solar Wind",POWER(Upgrades!$U$12,K394),1))*POWER(Upgrades!$P$6,E394)*POWER(Upgrades!$P$7,F394)*POWER(Upgrades!$P$8,G394)*POWER(Upgrades!$P$9,H394)*POWER(Upgrades!$P$10,I394)*POWER(Upgrades!$P$11,J394)*POWER(Upgrades!$P$12,K394)*60</f>
        <v>72</v>
      </c>
      <c r="AB394" s="27" t="n">
        <f aca="false">(IF(F394=0,0,(Upgrades!$G$7+F394*Upgrades!$H$7)*POWER(Upgrades!$I$7,F394)))*(IF(Upgrades!$T$6="Asteroid Belt",POWER(Upgrades!$U$6,E394),1)*IF(Upgrades!$T$8="Asteroid Belt",POWER(Upgrades!$U$8,G394),1)*IF(Upgrades!$T$9="Asteroid Belt",POWER(Upgrades!$U$9,H394),1)*IF(Upgrades!$T$10="Asteroid Belt",POWER(Upgrades!$U$10,I394),1)*IF(Upgrades!$T$11="Asteroid Belt",POWER(Upgrades!$U$11,J394),1)*IF(Upgrades!$T$12="Asteroid Belt",POWER(Upgrades!$U$12,K394),1))*POWER(Upgrades!$P$6,E394)*POWER(Upgrades!$P$7,F394)*POWER(Upgrades!$P$8,G394)*POWER(Upgrades!$P$9,H394)*POWER(Upgrades!$P$10,I394)*POWER(Upgrades!$P$11,J394)*POWER(Upgrades!$P$12,K394)*60</f>
        <v>150</v>
      </c>
      <c r="AC394" s="27" t="n">
        <f aca="false">(IF(G394=0,0,(Upgrades!$J$8+G394*Upgrades!$K$8)*POWER(Upgrades!$L$8,G394)))*(IF(Upgrades!$T$6="Stellar Coupling",POWER(Upgrades!$U$6,E394),1)*IF(Upgrades!$T$7="Stellar Coupling",POWER(Upgrades!$U$7,F394),1)*IF(Upgrades!$T$9="Stellar Coupling",POWER(Upgrades!$U$9,H394),1)*IF(Upgrades!$T$10="Stellar Coupling",POWER(Upgrades!$U$10,I394),1)*IF(Upgrades!$T$11="Stellar Coupling",POWER(Upgrades!$U$11,J394),1)*IF(Upgrades!$T$12="Stellar Coupling",POWER(Upgrades!$U$12,K394),1))*POWER(Upgrades!$Q$6,E394)*POWER(Upgrades!$Q$7,F394)*POWER(Upgrades!$Q$8,G394)*POWER(Upgrades!$Q$9,H394)*POWER(Upgrades!$Q$10,I394)*POWER(Upgrades!$Q$11,J394)*POWER(Upgrades!$Q$12,K394)*Parameters!$B$10*Parameters!$B$11</f>
        <v>441</v>
      </c>
      <c r="AD394" s="27" t="n">
        <f aca="false">(IF(H394=0,0,(Upgrades!$G$9+H394*Upgrades!$H$9)*POWER(Upgrades!$I$9,H394)))*(IF(Upgrades!$T$6="Magnetosphere",POWER(Upgrades!$U$6,E394),1)*IF(Upgrades!$T$7="Magnetosphere",POWER(Upgrades!$U$7,F394),1)*IF(Upgrades!$T$8="Magnetosphere",POWER(Upgrades!$U$8,G394),1)*IF(Upgrades!$T$10="Magnetosphere",POWER(Upgrades!$U$10,I394),1)*IF(Upgrades!$T$11="Magnetosphere",POWER(Upgrades!$U$11,J394),1)*IF(Upgrades!$T$12="Magnetosphere",POWER(Upgrades!$U$12,K394),1))*POWER(Upgrades!$P$6,E394)*POWER(Upgrades!$P$7,F394)*POWER(Upgrades!$P$8,G394)*POWER(Upgrades!$P$9,H394)*POWER(Upgrades!$P$10,I394)*POWER(Upgrades!$P$11,J394)*POWER(Upgrades!$P$12,K394)*60</f>
        <v>375</v>
      </c>
      <c r="AE394" s="27" t="n">
        <f aca="false">(IF(K394=0,0,(Upgrades!$G$12+K394*Upgrades!$H$12)*POWER(Upgrades!$I$12,K394)))*(IF(Upgrades!$T$6="First Photons",POWER(Upgrades!$U$6,E394),1)*IF(Upgrades!$T$7="First Photons",POWER(Upgrades!$U$7,F394),1)*IF(Upgrades!$T$8="First Photons",POWER(Upgrades!$U$8,G394),1)*IF(Upgrades!$T$9="First Photons",POWER(Upgrades!$U$9,H394),1)*IF(Upgrades!$T$10="First Photons",POWER(Upgrades!$U$10,I394),1)*IF(Upgrades!$T$11="First Photons",POWER(Upgrades!$U$11,J394),1))*POWER(Upgrades!$P$6,E394)*POWER(Upgrades!$P$7,F394)*POWER(Upgrades!$P$8,G394)*POWER(Upgrades!$P$9,H394)*POWER(Upgrades!$P$10,I394)*POWER(Upgrades!$P$11,J394)*POWER(Upgrades!$P$12,K394)*60</f>
        <v>75</v>
      </c>
      <c r="AF394" s="27" t="n">
        <f aca="false">Parameters!$B$9*POWER(Upgrades!$Q$6,E394)*POWER(Upgrades!$Q$7,F394)*POWER(Upgrades!$Q$8,G394)*POWER(Upgrades!$Q$9,H394)*POWER(Upgrades!$Q$10,I394)*POWER(Upgrades!$Q$11,J394)*POWER(Upgrades!$Q$12,K394)*(Parameters!$B$10*Parameters!$B$11+O394*60)</f>
        <v>120</v>
      </c>
      <c r="AG394" s="21" t="n">
        <f aca="false">IF(E394&gt;=Upgrades!$E$6,"",Upgrades!$C$6*POWER(Upgrades!$D$6,E394))</f>
        <v>37.4517507383159</v>
      </c>
      <c r="AH394" s="21" t="n">
        <f aca="false">IF(F394&gt;=Upgrades!$E$7,"",Upgrades!$C$7*POWER(Upgrades!$D$7,F394))</f>
        <v>80.9111547141581</v>
      </c>
      <c r="AI394" s="21" t="n">
        <f aca="false">IF(G394&gt;=Upgrades!$E$8,"",Upgrades!$C$8*POWER(Upgrades!$D$8,G394))</f>
        <v>231.9097088</v>
      </c>
      <c r="AJ394" s="21" t="str">
        <f aca="false">IF(H394&gt;=Upgrades!$E$9,"",Upgrades!$C$9*POWER(Upgrades!$D$9,H394))</f>
        <v/>
      </c>
      <c r="AK394" s="21" t="str">
        <f aca="false">IF(I394&gt;=Upgrades!$E$10,"",Upgrades!$C$10*POWER(Upgrades!$D$10,I394))</f>
        <v/>
      </c>
      <c r="AL394" s="21" t="str">
        <f aca="false">IF(J394&gt;=Upgrades!$E$11,"",Upgrades!$C$11*POWER(Upgrades!$D$11,J394))</f>
        <v/>
      </c>
      <c r="AM394" s="21" t="str">
        <f aca="false">IF(K394&gt;=Upgrades!$E$12,"",Upgrades!$C$12*POWER(Upgrades!$D$12,K394))</f>
        <v/>
      </c>
      <c r="AN394" s="26" t="str">
        <f aca="false">IF(AND(D394&gt;=Parameters!$B$18,(H394&gt;=Upgrades!$E$9)*(K394&gt;=Upgrades!$E$12)=1,L394=0),1,"")</f>
        <v/>
      </c>
      <c r="AO394" s="26" t="str">
        <f aca="false">IF(AND(D394&gt;=Parameters!$B$18,L394=0),1,"")</f>
        <v/>
      </c>
      <c r="AP394" s="21" t="n">
        <f aca="false">MIN(IF(ISNUMBER(AK394),AK394,9000000000000000),IF(ISNUMBER(AL394),AL394,9000000000000000),IF(ISNUMBER(AM394),AM394,9000000000000000))</f>
        <v>9000000000000000</v>
      </c>
      <c r="AQ394" s="21" t="n">
        <f aca="false">MIN(IF(ISNUMBER(AG394),AG394,9000000000000000),IF(ISNUMBER(AH394),AH394,9000000000000000),IF(ISNUMBER(AI394),AI394,9000000000000000),IF(ISNUMBER(AJ394),AJ394,9000000000000000))</f>
        <v>37.4517507383159</v>
      </c>
      <c r="AR394" s="32" t="b">
        <f aca="false">IF(AW394&gt;Parameters!$B$21*(MAX(IF(AND(NOT(AND(AO394=1,AN394&lt;&gt;1)),ISNUMBER(AG394),AG394&lt;=T394),AS394,0),IF(AND(NOT(AND(AO394=1,AN394&lt;&gt;1)),ISNUMBER(AH394),AH394&lt;=T394),AT394,0),IF(AND(NOT(AND(AO394=1,AN394&lt;&gt;1)),ISNUMBER(AI394),AI394&lt;=T394),AU394,0),IF(AND(ISNUMBER(AJ394),AJ394&lt;=T394),AV394,0))),TRUE(),FALSE())</f>
        <v>1</v>
      </c>
      <c r="AS394" s="33" t="n">
        <f aca="false">IFERROR(Upgrades!$H$6*(POWER(Upgrades!$P$6,E394)*POWER(Upgrades!$P$7,F394)*POWER(Upgrades!$P$8,G394)*POWER(Upgrades!$P$9,H394)*POWER(Upgrades!$P$10,I394)*POWER(Upgrades!$P$11,J394)*POWER(Upgrades!$P$12,K394))*(IF(Upgrades!$T$7="Solar Wind",POWER(Upgrades!$U$7,F394),1)*IF(Upgrades!$T$8="Solar Wind",POWER(Upgrades!$U$8,G394),1)*IF(Upgrades!$T$9="Solar Wind",POWER(Upgrades!$U$9,H394),1)*IF(Upgrades!$T$10="Solar Wind",POWER(Upgrades!$U$10,I394),1)*IF(Upgrades!$T$11="Solar Wind",POWER(Upgrades!$U$11,J394),1)*IF(Upgrades!$T$12="Solar Wind",POWER(Upgrades!$U$12,K394),1))/AG394,0)</f>
        <v>0.0026701021455238</v>
      </c>
      <c r="AT394" s="33" t="n">
        <f aca="false">IFERROR(Upgrades!$H$7*(POWER(Upgrades!$P$6,E394)*POWER(Upgrades!$P$7,F394)*POWER(Upgrades!$P$8,G394)*POWER(Upgrades!$P$9,H394)*POWER(Upgrades!$P$10,I394)*POWER(Upgrades!$P$11,J394)*POWER(Upgrades!$P$12,K394))*(IF(Upgrades!$T$6="Asteroid Belt",POWER(Upgrades!$U$6,E394),1)*IF(Upgrades!$T$8="Asteroid Belt",POWER(Upgrades!$U$8,G394),1)*IF(Upgrades!$T$9="Asteroid Belt",POWER(Upgrades!$U$9,H394),1)*IF(Upgrades!$T$10="Asteroid Belt",POWER(Upgrades!$U$10,I394),1)*IF(Upgrades!$T$11="Asteroid Belt",POWER(Upgrades!$U$11,J394),1)*IF(Upgrades!$T$12="Asteroid Belt",POWER(Upgrades!$U$12,K394),1))/AH394,0)</f>
        <v>0.00308980882652332</v>
      </c>
      <c r="AU394" s="33" t="n">
        <f aca="false">IFERROR(Upgrades!$K$8*(POWER(Upgrades!$Q$6,E394)*POWER(Upgrades!$Q$7,F394)*POWER(Upgrades!$Q$8,G394)*POWER(Upgrades!$Q$9,H394)*POWER(Upgrades!$Q$10,I394)*POWER(Upgrades!$Q$11,J394)*POWER(Upgrades!$Q$12,K394))*(IF(Upgrades!$T$6="Stellar Coupling",POWER(Upgrades!$U$6,E394),1)*IF(Upgrades!$T$7="Stellar Coupling",POWER(Upgrades!$U$7,F394),1)*IF(Upgrades!$T$9="Stellar Coupling",POWER(Upgrades!$U$9,H394),1)*IF(Upgrades!$T$10="Stellar Coupling",POWER(Upgrades!$U$10,I394),1)*IF(Upgrades!$T$11="Stellar Coupling",POWER(Upgrades!$U$11,J394),1)*IF(Upgrades!$T$12="Stellar Coupling",POWER(Upgrades!$U$12,K394),1))*Parameters!$B$10*Parameters!$B$11/60/AI394,0)</f>
        <v>0.00452762415783776</v>
      </c>
      <c r="AV394" s="33" t="n">
        <f aca="false">IFERROR(Upgrades!$H$9*(POWER(Upgrades!$P$6,E394)*POWER(Upgrades!$P$7,F394)*POWER(Upgrades!$P$8,G394)*POWER(Upgrades!$P$9,H394)*POWER(Upgrades!$P$10,I394)*POWER(Upgrades!$P$11,J394)*POWER(Upgrades!$P$12,K394))*(IF(Upgrades!$T$6="Magnetosphere",POWER(Upgrades!$U$6,E394),1)*IF(Upgrades!$T$7="Magnetosphere",POWER(Upgrades!$U$7,F394),1)*IF(Upgrades!$T$8="Magnetosphere",POWER(Upgrades!$U$8,G394),1)*IF(Upgrades!$T$10="Magnetosphere",POWER(Upgrades!$U$10,I394),1)*IF(Upgrades!$T$11="Magnetosphere",POWER(Upgrades!$U$11,J394),1)*IF(Upgrades!$T$12="Magnetosphere",POWER(Upgrades!$U$12,K394),1))/AJ394,0)</f>
        <v>0</v>
      </c>
      <c r="AW394" s="33" t="n">
        <f aca="false">MAX(IF(I394&gt;0,0,IFERROR(0.25*N394/Upgrades!$C$10,0)),IF(J394&gt;0,0,IFERROR(0.5*((IF(G394=0,0,(Upgrades!$J$8+G394*Upgrades!$K$8)*POWER(Upgrades!$L$8,G394)))*(IF(Upgrades!$T$6="Stellar Coupling",POWER(Upgrades!$U$6,E394),1)*IF(Upgrades!$T$7="Stellar Coupling",POWER(Upgrades!$U$7,F394),1)*IF(Upgrades!$T$9="Stellar Coupling",POWER(Upgrades!$U$9,H394),1)*IF(Upgrades!$T$10="Stellar Coupling",POWER(Upgrades!$U$10,I394),1)*IF(Upgrades!$T$11="Stellar Coupling",POWER(Upgrades!$U$11,J394),1)*IF(Upgrades!$T$12="Stellar Coupling",POWER(Upgrades!$U$12,K394),1))*(POWER(Upgrades!$Q$6,E394)*POWER(Upgrades!$Q$7,F394)*POWER(Upgrades!$Q$8,G394)*POWER(Upgrades!$Q$9,H394)*POWER(Upgrades!$Q$10,I394)*POWER(Upgrades!$Q$11,J394)*POWER(Upgrades!$Q$12,K394))*Parameters!$B$10*Parameters!$B$11/60)/Upgrades!$C$11,0)),IF(K394&gt;0,0,IFERROR((1*(POWER(Upgrades!$P$6,E394)*POWER(Upgrades!$P$7,F394)*POWER(Upgrades!$P$8,G394)*POWER(Upgrades!$P$9,H394)*POWER(Upgrades!$P$10,I394)*POWER(Upgrades!$P$11,J394)*POWER(Upgrades!$P$12,K394))+0.2*M394*Parameters!$B$10*Parameters!$B$11/60)/Upgrades!$C$12,0)),IF(AND(ISNUMBER(AG394),AG394&gt;T394),AS394,0),IF(AND(ISNUMBER(AH394),AH394&gt;T394),AT394,0),IF(AND(ISNUMBER(AI394),AI394&gt;T394),AU394,0),IF(AND(ISNUMBER(AJ394),AJ394&gt;T394),AV394,0))</f>
        <v>0.00452762415783776</v>
      </c>
      <c r="AX394" s="29" t="str">
        <f aca="false">IF(AN394=1,"transition",IF(MIN(IF(AND(I394=0,ISNUMBER(AK394),AK394&lt;=T394),AK394,9000000000000000),IF(AND(J394=0,ISNUMBER(AL394),AL394&lt;=T394),AL394,9000000000000000),IF(AND(K394=0,ISNUMBER(AM394),AM394&lt;=T394),AM394,9000000000000000))&lt;9000000000000000,IF(AND(AND(I394=0,ISNUMBER(AK394),AK394&lt;=T394),AK394=MIN(IF(AND(I394=0,ISNUMBER(AK394),AK394&lt;=T394),AK394,9000000000000000),IF(AND(J394=0,ISNUMBER(AL394),AL394&lt;=T394),AL394,9000000000000000),IF(AND(K394=0,ISNUMBER(AM394),AM394&lt;=T394),AM394,9000000000000000))),"OR",IF(AND(AND(J394=0,ISNUMBER(AL394),AL394&lt;=T394),AL394=MIN(IF(AND(I394=0,ISNUMBER(AK394),AK394&lt;=T394),AK394,9000000000000000),IF(AND(J394=0,ISNUMBER(AL394),AL394&lt;=T394),AL394,9000000000000000),IF(AND(K394=0,ISNUMBER(AM394),AM394&lt;=T394),AM394,9000000000000000))),"HP","FP")),IF(AR394=TRUE(),"",IF(MAX(IF(AND(NOT(AND(AO394=1,AN394&lt;&gt;1)),ISNUMBER(AG394),AG394&lt;=T394),AS394,0),IF(AND(NOT(AND(AO394=1,AN394&lt;&gt;1)),ISNUMBER(AH394),AH394&lt;=T394),AT394,0),IF(AND(NOT(AND(AO394=1,AN394&lt;&gt;1)),ISNUMBER(AI394),AI394&lt;=T394),AU394,0),IF(AND(ISNUMBER(AJ394),AJ394&lt;=T394),AV394,0))&lt;=0,"",IF(AND(IF(AND(NOT(AND(AO394=1,AN394&lt;&gt;1)),ISNUMBER(AG394),AG394&lt;=T394),AS394,0)&gt;0,IF(AND(NOT(AND(AO394=1,AN394&lt;&gt;1)),ISNUMBER(AG394),AG394&lt;=T394),AS394,0)=MAX(IF(AND(NOT(AND(AO394=1,AN394&lt;&gt;1)),ISNUMBER(AG394),AG394&lt;=T394),AS394,0),IF(AND(NOT(AND(AO394=1,AN394&lt;&gt;1)),ISNUMBER(AH394),AH394&lt;=T394),AT394,0),IF(AND(NOT(AND(AO394=1,AN394&lt;&gt;1)),ISNUMBER(AI394),AI394&lt;=T394),AU394,0),IF(AND(ISNUMBER(AJ394),AJ394&lt;=T394),AV394,0))),"SW",IF(AND(IF(AND(NOT(AND(AO394=1,AN394&lt;&gt;1)),ISNUMBER(AH394),AH394&lt;=T394),AT394,0)&gt;0,IF(AND(NOT(AND(AO394=1,AN394&lt;&gt;1)),ISNUMBER(AH394),AH394&lt;=T394),AT394,0)=MAX(IF(AND(NOT(AND(AO394=1,AN394&lt;&gt;1)),ISNUMBER(AG394),AG394&lt;=T394),AS394,0),IF(AND(NOT(AND(AO394=1,AN394&lt;&gt;1)),ISNUMBER(AH394),AH394&lt;=T394),AT394,0),IF(AND(NOT(AND(AO394=1,AN394&lt;&gt;1)),ISNUMBER(AI394),AI394&lt;=T394),AU394,0),IF(AND(ISNUMBER(AJ394),AJ394&lt;=T394),AV394,0))),"AB",IF(AND(IF(AND(NOT(AND(AO394=1,AN394&lt;&gt;1)),ISNUMBER(AI394),AI394&lt;=T394),AU394,0)&gt;0,IF(AND(NOT(AND(AO394=1,AN394&lt;&gt;1)),ISNUMBER(AI394),AI394&lt;=T394),AU394,0)=MAX(IF(AND(NOT(AND(AO394=1,AN394&lt;&gt;1)),ISNUMBER(AG394),AG394&lt;=T394),AS394,0),IF(AND(NOT(AND(AO394=1,AN394&lt;&gt;1)),ISNUMBER(AH394),AH394&lt;=T394),AT394,0),IF(AND(NOT(AND(AO394=1,AN394&lt;&gt;1)),ISNUMBER(AI394),AI394&lt;=T394),AU394,0),IF(AND(ISNUMBER(AJ394),AJ394&lt;=T394),AV394,0))),"SC","Mag")))))))</f>
        <v/>
      </c>
    </row>
    <row r="395" customFormat="false" ht="15" hidden="false" customHeight="false" outlineLevel="0" collapsed="false">
      <c r="A395" s="26" t="n">
        <v>390</v>
      </c>
      <c r="B395" s="27" t="n">
        <f aca="false">A395*10/60</f>
        <v>65</v>
      </c>
      <c r="C395" s="21" t="n">
        <f aca="false">X394</f>
        <v>18.6730249835055</v>
      </c>
      <c r="D395" s="27" t="n">
        <f aca="false">D394+W394</f>
        <v>0</v>
      </c>
      <c r="E395" s="26" t="n">
        <f aca="false">E394+IF(U394="SW",1,0)</f>
        <v>12</v>
      </c>
      <c r="F395" s="26" t="n">
        <f aca="false">F394+IF(U394="AB",1,0)</f>
        <v>10</v>
      </c>
      <c r="G395" s="26" t="n">
        <f aca="false">G394+IF(U394="SC",1,0)</f>
        <v>7</v>
      </c>
      <c r="H395" s="26" t="n">
        <f aca="false">H394+IF(U394="Mag",1,0)</f>
        <v>5</v>
      </c>
      <c r="I395" s="26" t="n">
        <f aca="false">MAX(I394,IF(U394="OR",1,0))</f>
        <v>1</v>
      </c>
      <c r="J395" s="26" t="n">
        <f aca="false">MAX(J394,IF(U394="HP",1,0))</f>
        <v>1</v>
      </c>
      <c r="K395" s="26" t="n">
        <f aca="false">MAX(K394,IF(U394="FP",1,0))</f>
        <v>1</v>
      </c>
      <c r="L395" s="26" t="n">
        <f aca="false">MAX(L394,IF(U394="transition",1,0))</f>
        <v>1</v>
      </c>
      <c r="M395" s="28" t="n">
        <f aca="false">(Parameters!$B$9+(IF(E395=0,0,(Upgrades!$J$6+E395*Upgrades!$K$6)*POWER(Upgrades!$L$6,E395)))*(IF(Upgrades!$T$7="Solar Wind",POWER(Upgrades!$U$7,F395),1)*IF(Upgrades!$T$8="Solar Wind",POWER(Upgrades!$U$8,G395),1)*IF(Upgrades!$T$9="Solar Wind",POWER(Upgrades!$U$9,H395),1)*IF(Upgrades!$T$10="Solar Wind",POWER(Upgrades!$U$10,I395),1)*IF(Upgrades!$T$11="Solar Wind",POWER(Upgrades!$U$11,J395),1)*IF(Upgrades!$T$12="Solar Wind",POWER(Upgrades!$U$12,K395),1))+(IF(F395=0,0,(Upgrades!$J$7+F395*Upgrades!$K$7)*POWER(Upgrades!$L$7,F395)))*(IF(Upgrades!$T$6="Asteroid Belt",POWER(Upgrades!$U$6,E395),1)*IF(Upgrades!$T$8="Asteroid Belt",POWER(Upgrades!$U$8,G395),1)*IF(Upgrades!$T$9="Asteroid Belt",POWER(Upgrades!$U$9,H395),1)*IF(Upgrades!$T$10="Asteroid Belt",POWER(Upgrades!$U$10,I395),1)*IF(Upgrades!$T$11="Asteroid Belt",POWER(Upgrades!$U$11,J395),1)*IF(Upgrades!$T$12="Asteroid Belt",POWER(Upgrades!$U$12,K395),1))+(IF(G395=0,0,(Upgrades!$J$8+G395*Upgrades!$K$8)*POWER(Upgrades!$L$8,G395)))*(IF(Upgrades!$T$6="Stellar Coupling",POWER(Upgrades!$U$6,E395),1)*IF(Upgrades!$T$7="Stellar Coupling",POWER(Upgrades!$U$7,F395),1)*IF(Upgrades!$T$9="Stellar Coupling",POWER(Upgrades!$U$9,H395),1)*IF(Upgrades!$T$10="Stellar Coupling",POWER(Upgrades!$U$10,I395),1)*IF(Upgrades!$T$11="Stellar Coupling",POWER(Upgrades!$U$11,J395),1)*IF(Upgrades!$T$12="Stellar Coupling",POWER(Upgrades!$U$12,K395),1))+(IF(H395=0,0,(Upgrades!$J$9+H395*Upgrades!$K$9)*POWER(Upgrades!$L$9,H395)))*(IF(Upgrades!$T$6="Magnetosphere",POWER(Upgrades!$U$6,E395),1)*IF(Upgrades!$T$7="Magnetosphere",POWER(Upgrades!$U$7,F395),1)*IF(Upgrades!$T$8="Magnetosphere",POWER(Upgrades!$U$8,G395),1)*IF(Upgrades!$T$10="Magnetosphere",POWER(Upgrades!$U$10,I395),1)*IF(Upgrades!$T$11="Magnetosphere",POWER(Upgrades!$U$11,J395),1)*IF(Upgrades!$T$12="Magnetosphere",POWER(Upgrades!$U$12,K395),1))+(IF(I395=0,0,(Upgrades!$J$10+I395*Upgrades!$K$10)*POWER(Upgrades!$L$10,I395)))*(IF(Upgrades!$T$6="Orbital Resonance",POWER(Upgrades!$U$6,E395),1)*IF(Upgrades!$T$7="Orbital Resonance",POWER(Upgrades!$U$7,F395),1)*IF(Upgrades!$T$8="Orbital Resonance",POWER(Upgrades!$U$8,G395),1)*IF(Upgrades!$T$9="Orbital Resonance",POWER(Upgrades!$U$9,H395),1)*IF(Upgrades!$T$11="Orbital Resonance",POWER(Upgrades!$U$11,J395),1)*IF(Upgrades!$T$12="Orbital Resonance",POWER(Upgrades!$U$12,K395),1))+(IF(J395=0,0,(Upgrades!$J$11+J395*Upgrades!$K$11)*POWER(Upgrades!$L$11,J395)))*(IF(Upgrades!$T$6="Heliopause",POWER(Upgrades!$U$6,E395),1)*IF(Upgrades!$T$7="Heliopause",POWER(Upgrades!$U$7,F395),1)*IF(Upgrades!$T$8="Heliopause",POWER(Upgrades!$U$8,G395),1)*IF(Upgrades!$T$9="Heliopause",POWER(Upgrades!$U$9,H395),1)*IF(Upgrades!$T$10="Heliopause",POWER(Upgrades!$U$10,I395),1)*IF(Upgrades!$T$12="Heliopause",POWER(Upgrades!$U$12,K395),1))+(IF(K395=0,0,(Upgrades!$J$12+K395*Upgrades!$K$12)*POWER(Upgrades!$L$12,K395)))*(IF(Upgrades!$T$6="First Photons",POWER(Upgrades!$U$6,E395),1)*IF(Upgrades!$T$7="First Photons",POWER(Upgrades!$U$7,F395),1)*IF(Upgrades!$T$8="First Photons",POWER(Upgrades!$U$8,G395),1)*IF(Upgrades!$T$9="First Photons",POWER(Upgrades!$U$9,H395),1)*IF(Upgrades!$T$10="First Photons",POWER(Upgrades!$U$10,I395),1)*IF(Upgrades!$T$11="First Photons",POWER(Upgrades!$U$11,J395),1)))*POWER(Upgrades!$Q$6,E395)*POWER(Upgrades!$Q$7,F395)*POWER(Upgrades!$Q$8,G395)*POWER(Upgrades!$Q$9,H395)*POWER(Upgrades!$Q$10,I395)*POWER(Upgrades!$Q$11,J395)*POWER(Upgrades!$Q$12,K395)</f>
        <v>5.61</v>
      </c>
      <c r="N395" s="28" t="n">
        <f aca="false">((IF(E395=0,0,(Upgrades!$G$6+E395*Upgrades!$H$6)*POWER(Upgrades!$I$6,E395)))*(IF(Upgrades!$T$7="Solar Wind",POWER(Upgrades!$U$7,F395),1)*IF(Upgrades!$T$8="Solar Wind",POWER(Upgrades!$U$8,G395),1)*IF(Upgrades!$T$9="Solar Wind",POWER(Upgrades!$U$9,H395),1)*IF(Upgrades!$T$10="Solar Wind",POWER(Upgrades!$U$10,I395),1)*IF(Upgrades!$T$11="Solar Wind",POWER(Upgrades!$U$11,J395),1)*IF(Upgrades!$T$12="Solar Wind",POWER(Upgrades!$U$12,K395),1))+(IF(F395=0,0,(Upgrades!$G$7+F395*Upgrades!$H$7)*POWER(Upgrades!$I$7,F395)))*(IF(Upgrades!$T$6="Asteroid Belt",POWER(Upgrades!$U$6,E395),1)*IF(Upgrades!$T$8="Asteroid Belt",POWER(Upgrades!$U$8,G395),1)*IF(Upgrades!$T$9="Asteroid Belt",POWER(Upgrades!$U$9,H395),1)*IF(Upgrades!$T$10="Asteroid Belt",POWER(Upgrades!$U$10,I395),1)*IF(Upgrades!$T$11="Asteroid Belt",POWER(Upgrades!$U$11,J395),1)*IF(Upgrades!$T$12="Asteroid Belt",POWER(Upgrades!$U$12,K395),1))+(IF(G395=0,0,(Upgrades!$G$8+G395*Upgrades!$H$8)*POWER(Upgrades!$I$8,G395)))*(IF(Upgrades!$T$6="Stellar Coupling",POWER(Upgrades!$U$6,E395),1)*IF(Upgrades!$T$7="Stellar Coupling",POWER(Upgrades!$U$7,F395),1)*IF(Upgrades!$T$9="Stellar Coupling",POWER(Upgrades!$U$9,H395),1)*IF(Upgrades!$T$10="Stellar Coupling",POWER(Upgrades!$U$10,I395),1)*IF(Upgrades!$T$11="Stellar Coupling",POWER(Upgrades!$U$11,J395),1)*IF(Upgrades!$T$12="Stellar Coupling",POWER(Upgrades!$U$12,K395),1))+(IF(H395=0,0,(Upgrades!$G$9+H395*Upgrades!$H$9)*POWER(Upgrades!$I$9,H395)))*(IF(Upgrades!$T$6="Magnetosphere",POWER(Upgrades!$U$6,E395),1)*IF(Upgrades!$T$7="Magnetosphere",POWER(Upgrades!$U$7,F395),1)*IF(Upgrades!$T$8="Magnetosphere",POWER(Upgrades!$U$8,G395),1)*IF(Upgrades!$T$10="Magnetosphere",POWER(Upgrades!$U$10,I395),1)*IF(Upgrades!$T$11="Magnetosphere",POWER(Upgrades!$U$11,J395),1)*IF(Upgrades!$T$12="Magnetosphere",POWER(Upgrades!$U$12,K395),1))+(IF(I395=0,0,(Upgrades!$G$10+I395*Upgrades!$H$10)*POWER(Upgrades!$I$10,I395)))*(IF(Upgrades!$T$6="Orbital Resonance",POWER(Upgrades!$U$6,E395),1)*IF(Upgrades!$T$7="Orbital Resonance",POWER(Upgrades!$U$7,F395),1)*IF(Upgrades!$T$8="Orbital Resonance",POWER(Upgrades!$U$8,G395),1)*IF(Upgrades!$T$9="Orbital Resonance",POWER(Upgrades!$U$9,H395),1)*IF(Upgrades!$T$11="Orbital Resonance",POWER(Upgrades!$U$11,J395),1)*IF(Upgrades!$T$12="Orbital Resonance",POWER(Upgrades!$U$12,K395),1))+(IF(J395=0,0,(Upgrades!$G$11+J395*Upgrades!$H$11)*POWER(Upgrades!$I$11,J395)))*(IF(Upgrades!$T$6="Heliopause",POWER(Upgrades!$U$6,E395),1)*IF(Upgrades!$T$7="Heliopause",POWER(Upgrades!$U$7,F395),1)*IF(Upgrades!$T$8="Heliopause",POWER(Upgrades!$U$8,G395),1)*IF(Upgrades!$T$9="Heliopause",POWER(Upgrades!$U$9,H395),1)*IF(Upgrades!$T$10="Heliopause",POWER(Upgrades!$U$10,I395),1)*IF(Upgrades!$T$12="Heliopause",POWER(Upgrades!$U$12,K395),1))+(IF(K395=0,0,(Upgrades!$G$12+K395*Upgrades!$H$12)*POWER(Upgrades!$I$12,K395)))*(IF(Upgrades!$T$6="First Photons",POWER(Upgrades!$U$6,E395),1)*IF(Upgrades!$T$7="First Photons",POWER(Upgrades!$U$7,F395),1)*IF(Upgrades!$T$8="First Photons",POWER(Upgrades!$U$8,G395),1)*IF(Upgrades!$T$9="First Photons",POWER(Upgrades!$U$9,H395),1)*IF(Upgrades!$T$10="First Photons",POWER(Upgrades!$U$10,I395),1)*IF(Upgrades!$T$11="First Photons",POWER(Upgrades!$U$11,J395),1)))*POWER(Upgrades!$P$6,E395)*POWER(Upgrades!$P$7,F395)*POWER(Upgrades!$P$8,G395)*POWER(Upgrades!$P$9,H395)*POWER(Upgrades!$P$10,I395)*POWER(Upgrades!$P$11,J395)*POWER(Upgrades!$P$12,K395)</f>
        <v>11.2</v>
      </c>
      <c r="O395" s="28" t="n">
        <f aca="false">((IF(E395=0,0,(Upgrades!$M$6+E395*Upgrades!$N$6)*POWER(Upgrades!$O$6,E395)))*(IF(Upgrades!$T$7="Solar Wind",POWER(Upgrades!$U$7,F395),1)*IF(Upgrades!$T$8="Solar Wind",POWER(Upgrades!$U$8,G395),1)*IF(Upgrades!$T$9="Solar Wind",POWER(Upgrades!$U$9,H395),1)*IF(Upgrades!$T$10="Solar Wind",POWER(Upgrades!$U$10,I395),1)*IF(Upgrades!$T$11="Solar Wind",POWER(Upgrades!$U$11,J395),1)*IF(Upgrades!$T$12="Solar Wind",POWER(Upgrades!$U$12,K395),1))+(IF(F395=0,0,(Upgrades!$M$7+F395*Upgrades!$N$7)*POWER(Upgrades!$O$7,F395)))*(IF(Upgrades!$T$6="Asteroid Belt",POWER(Upgrades!$U$6,E395),1)*IF(Upgrades!$T$8="Asteroid Belt",POWER(Upgrades!$U$8,G395),1)*IF(Upgrades!$T$9="Asteroid Belt",POWER(Upgrades!$U$9,H395),1)*IF(Upgrades!$T$10="Asteroid Belt",POWER(Upgrades!$U$10,I395),1)*IF(Upgrades!$T$11="Asteroid Belt",POWER(Upgrades!$U$11,J395),1)*IF(Upgrades!$T$12="Asteroid Belt",POWER(Upgrades!$U$12,K395),1))+(IF(G395=0,0,(Upgrades!$M$8+G395*Upgrades!$N$8)*POWER(Upgrades!$O$8,G395)))*(IF(Upgrades!$T$6="Stellar Coupling",POWER(Upgrades!$U$6,E395),1)*IF(Upgrades!$T$7="Stellar Coupling",POWER(Upgrades!$U$7,F395),1)*IF(Upgrades!$T$9="Stellar Coupling",POWER(Upgrades!$U$9,H395),1)*IF(Upgrades!$T$10="Stellar Coupling",POWER(Upgrades!$U$10,I395),1)*IF(Upgrades!$T$11="Stellar Coupling",POWER(Upgrades!$U$11,J395),1)*IF(Upgrades!$T$12="Stellar Coupling",POWER(Upgrades!$U$12,K395),1))+(IF(H395=0,0,(Upgrades!$M$9+H395*Upgrades!$N$9)*POWER(Upgrades!$O$9,H395)))*(IF(Upgrades!$T$6="Magnetosphere",POWER(Upgrades!$U$6,E395),1)*IF(Upgrades!$T$7="Magnetosphere",POWER(Upgrades!$U$7,F395),1)*IF(Upgrades!$T$8="Magnetosphere",POWER(Upgrades!$U$8,G395),1)*IF(Upgrades!$T$10="Magnetosphere",POWER(Upgrades!$U$10,I395),1)*IF(Upgrades!$T$11="Magnetosphere",POWER(Upgrades!$U$11,J395),1)*IF(Upgrades!$T$12="Magnetosphere",POWER(Upgrades!$U$12,K395),1))+(IF(I395=0,0,(Upgrades!$M$10+I395*Upgrades!$N$10)*POWER(Upgrades!$O$10,I395)))*(IF(Upgrades!$T$6="Orbital Resonance",POWER(Upgrades!$U$6,E395),1)*IF(Upgrades!$T$7="Orbital Resonance",POWER(Upgrades!$U$7,F395),1)*IF(Upgrades!$T$8="Orbital Resonance",POWER(Upgrades!$U$8,G395),1)*IF(Upgrades!$T$9="Orbital Resonance",POWER(Upgrades!$U$9,H395),1)*IF(Upgrades!$T$11="Orbital Resonance",POWER(Upgrades!$U$11,J395),1)*IF(Upgrades!$T$12="Orbital Resonance",POWER(Upgrades!$U$12,K395),1))+(IF(J395=0,0,(Upgrades!$M$11+J395*Upgrades!$N$11)*POWER(Upgrades!$O$11,J395)))*(IF(Upgrades!$T$6="Heliopause",POWER(Upgrades!$U$6,E395),1)*IF(Upgrades!$T$7="Heliopause",POWER(Upgrades!$U$7,F395),1)*IF(Upgrades!$T$8="Heliopause",POWER(Upgrades!$U$8,G395),1)*IF(Upgrades!$T$9="Heliopause",POWER(Upgrades!$U$9,H395),1)*IF(Upgrades!$T$10="Heliopause",POWER(Upgrades!$U$10,I395),1)*IF(Upgrades!$T$12="Heliopause",POWER(Upgrades!$U$12,K395),1))+(IF(K395=0,0,(Upgrades!$M$12+K395*Upgrades!$N$12)*POWER(Upgrades!$O$12,K395)))*(IF(Upgrades!$T$6="First Photons",POWER(Upgrades!$U$6,E395),1)*IF(Upgrades!$T$7="First Photons",POWER(Upgrades!$U$7,F395),1)*IF(Upgrades!$T$8="First Photons",POWER(Upgrades!$U$8,G395),1)*IF(Upgrades!$T$9="First Photons",POWER(Upgrades!$U$9,H395),1)*IF(Upgrades!$T$10="First Photons",POWER(Upgrades!$U$10,I395),1)*IF(Upgrades!$T$11="First Photons",POWER(Upgrades!$U$11,J395),1)))*POWER(Upgrades!$R$6,E395)*POWER(Upgrades!$R$7,F395)*POWER(Upgrades!$R$8,G395)*POWER(Upgrades!$R$9,H395)*POWER(Upgrades!$R$10,I395)*POWER(Upgrades!$R$11,J395)*POWER(Upgrades!$R$12,K395)</f>
        <v>0</v>
      </c>
      <c r="P395" s="27" t="n">
        <f aca="false">IF(L395=1,0,M395*Parameters!$B$10/60*Parameters!$B$11*10)</f>
        <v>0</v>
      </c>
      <c r="Q395" s="27" t="n">
        <f aca="false">IF(L395=1,0,O395*M395*10)</f>
        <v>0</v>
      </c>
      <c r="R395" s="27" t="n">
        <f aca="false">IF(L395=1,0,N395*10)</f>
        <v>0</v>
      </c>
      <c r="S395" s="27" t="n">
        <f aca="false">P395+Q395+R395</f>
        <v>0</v>
      </c>
      <c r="T395" s="21" t="n">
        <f aca="false">C395+S395</f>
        <v>18.6730249835055</v>
      </c>
      <c r="U395" s="34" t="str">
        <f aca="false">AX395</f>
        <v/>
      </c>
      <c r="V395" s="21" t="n">
        <f aca="false">IF(U395="",0,IF(U395="transition",0,IF(U395="SW",AG395,IF(U395="AB",AH395,IF(U395="SC",AI395,IF(U395="Mag",AJ395,IF(U395="OR",AK395,IF(U395="HP",AL395,IF(U395="FP",AM395,0)))))))))</f>
        <v>0</v>
      </c>
      <c r="W395" s="27" t="n">
        <f aca="false">IF(U395="OR",Upgrades!$F$10,IF(U395="HP",Upgrades!$F$11,IF(U395="transition",-Parameters!$B$18,0)))</f>
        <v>0</v>
      </c>
      <c r="X395" s="21" t="n">
        <f aca="false">T395-V395</f>
        <v>18.6730249835055</v>
      </c>
      <c r="Y395" s="30" t="n">
        <f aca="false">M395*Parameters!$B$10/60*Parameters!$B$11+O395*M395+N395</f>
        <v>20.55</v>
      </c>
      <c r="Z395" s="35" t="str">
        <f aca="false">IF(U395="transition","→ Tier 2 (Stellar Neighborhood)",IF(U395="FP","First Photons — light begins, system quickens",IF(U395="HP","Heliopause acquired",IF(U395="OR","Orbital Resonance — passive multiplier active",IF(AND(AO395=1,L395=0,AN395&lt;&gt;1),"Cohesion ready (waiting on completionist upgrades)","")))))</f>
        <v/>
      </c>
      <c r="AA395" s="27" t="n">
        <f aca="false">(IF(E395=0,0,(Upgrades!$G$6+E395*Upgrades!$H$6)*POWER(Upgrades!$I$6,E395)))*(IF(Upgrades!$T$7="Solar Wind",POWER(Upgrades!$U$7,F395),1)*IF(Upgrades!$T$8="Solar Wind",POWER(Upgrades!$U$8,G395),1)*IF(Upgrades!$T$9="Solar Wind",POWER(Upgrades!$U$9,H395),1)*IF(Upgrades!$T$10="Solar Wind",POWER(Upgrades!$U$10,I395),1)*IF(Upgrades!$T$11="Solar Wind",POWER(Upgrades!$U$11,J395),1)*IF(Upgrades!$T$12="Solar Wind",POWER(Upgrades!$U$12,K395),1))*POWER(Upgrades!$P$6,E395)*POWER(Upgrades!$P$7,F395)*POWER(Upgrades!$P$8,G395)*POWER(Upgrades!$P$9,H395)*POWER(Upgrades!$P$10,I395)*POWER(Upgrades!$P$11,J395)*POWER(Upgrades!$P$12,K395)*60</f>
        <v>72</v>
      </c>
      <c r="AB395" s="27" t="n">
        <f aca="false">(IF(F395=0,0,(Upgrades!$G$7+F395*Upgrades!$H$7)*POWER(Upgrades!$I$7,F395)))*(IF(Upgrades!$T$6="Asteroid Belt",POWER(Upgrades!$U$6,E395),1)*IF(Upgrades!$T$8="Asteroid Belt",POWER(Upgrades!$U$8,G395),1)*IF(Upgrades!$T$9="Asteroid Belt",POWER(Upgrades!$U$9,H395),1)*IF(Upgrades!$T$10="Asteroid Belt",POWER(Upgrades!$U$10,I395),1)*IF(Upgrades!$T$11="Asteroid Belt",POWER(Upgrades!$U$11,J395),1)*IF(Upgrades!$T$12="Asteroid Belt",POWER(Upgrades!$U$12,K395),1))*POWER(Upgrades!$P$6,E395)*POWER(Upgrades!$P$7,F395)*POWER(Upgrades!$P$8,G395)*POWER(Upgrades!$P$9,H395)*POWER(Upgrades!$P$10,I395)*POWER(Upgrades!$P$11,J395)*POWER(Upgrades!$P$12,K395)*60</f>
        <v>150</v>
      </c>
      <c r="AC395" s="27" t="n">
        <f aca="false">(IF(G395=0,0,(Upgrades!$J$8+G395*Upgrades!$K$8)*POWER(Upgrades!$L$8,G395)))*(IF(Upgrades!$T$6="Stellar Coupling",POWER(Upgrades!$U$6,E395),1)*IF(Upgrades!$T$7="Stellar Coupling",POWER(Upgrades!$U$7,F395),1)*IF(Upgrades!$T$9="Stellar Coupling",POWER(Upgrades!$U$9,H395),1)*IF(Upgrades!$T$10="Stellar Coupling",POWER(Upgrades!$U$10,I395),1)*IF(Upgrades!$T$11="Stellar Coupling",POWER(Upgrades!$U$11,J395),1)*IF(Upgrades!$T$12="Stellar Coupling",POWER(Upgrades!$U$12,K395),1))*POWER(Upgrades!$Q$6,E395)*POWER(Upgrades!$Q$7,F395)*POWER(Upgrades!$Q$8,G395)*POWER(Upgrades!$Q$9,H395)*POWER(Upgrades!$Q$10,I395)*POWER(Upgrades!$Q$11,J395)*POWER(Upgrades!$Q$12,K395)*Parameters!$B$10*Parameters!$B$11</f>
        <v>441</v>
      </c>
      <c r="AD395" s="27" t="n">
        <f aca="false">(IF(H395=0,0,(Upgrades!$G$9+H395*Upgrades!$H$9)*POWER(Upgrades!$I$9,H395)))*(IF(Upgrades!$T$6="Magnetosphere",POWER(Upgrades!$U$6,E395),1)*IF(Upgrades!$T$7="Magnetosphere",POWER(Upgrades!$U$7,F395),1)*IF(Upgrades!$T$8="Magnetosphere",POWER(Upgrades!$U$8,G395),1)*IF(Upgrades!$T$10="Magnetosphere",POWER(Upgrades!$U$10,I395),1)*IF(Upgrades!$T$11="Magnetosphere",POWER(Upgrades!$U$11,J395),1)*IF(Upgrades!$T$12="Magnetosphere",POWER(Upgrades!$U$12,K395),1))*POWER(Upgrades!$P$6,E395)*POWER(Upgrades!$P$7,F395)*POWER(Upgrades!$P$8,G395)*POWER(Upgrades!$P$9,H395)*POWER(Upgrades!$P$10,I395)*POWER(Upgrades!$P$11,J395)*POWER(Upgrades!$P$12,K395)*60</f>
        <v>375</v>
      </c>
      <c r="AE395" s="27" t="n">
        <f aca="false">(IF(K395=0,0,(Upgrades!$G$12+K395*Upgrades!$H$12)*POWER(Upgrades!$I$12,K395)))*(IF(Upgrades!$T$6="First Photons",POWER(Upgrades!$U$6,E395),1)*IF(Upgrades!$T$7="First Photons",POWER(Upgrades!$U$7,F395),1)*IF(Upgrades!$T$8="First Photons",POWER(Upgrades!$U$8,G395),1)*IF(Upgrades!$T$9="First Photons",POWER(Upgrades!$U$9,H395),1)*IF(Upgrades!$T$10="First Photons",POWER(Upgrades!$U$10,I395),1)*IF(Upgrades!$T$11="First Photons",POWER(Upgrades!$U$11,J395),1))*POWER(Upgrades!$P$6,E395)*POWER(Upgrades!$P$7,F395)*POWER(Upgrades!$P$8,G395)*POWER(Upgrades!$P$9,H395)*POWER(Upgrades!$P$10,I395)*POWER(Upgrades!$P$11,J395)*POWER(Upgrades!$P$12,K395)*60</f>
        <v>75</v>
      </c>
      <c r="AF395" s="27" t="n">
        <f aca="false">Parameters!$B$9*POWER(Upgrades!$Q$6,E395)*POWER(Upgrades!$Q$7,F395)*POWER(Upgrades!$Q$8,G395)*POWER(Upgrades!$Q$9,H395)*POWER(Upgrades!$Q$10,I395)*POWER(Upgrades!$Q$11,J395)*POWER(Upgrades!$Q$12,K395)*(Parameters!$B$10*Parameters!$B$11+O395*60)</f>
        <v>120</v>
      </c>
      <c r="AG395" s="21" t="n">
        <f aca="false">IF(E395&gt;=Upgrades!$E$6,"",Upgrades!$C$6*POWER(Upgrades!$D$6,E395))</f>
        <v>37.4517507383159</v>
      </c>
      <c r="AH395" s="21" t="n">
        <f aca="false">IF(F395&gt;=Upgrades!$E$7,"",Upgrades!$C$7*POWER(Upgrades!$D$7,F395))</f>
        <v>80.9111547141581</v>
      </c>
      <c r="AI395" s="21" t="n">
        <f aca="false">IF(G395&gt;=Upgrades!$E$8,"",Upgrades!$C$8*POWER(Upgrades!$D$8,G395))</f>
        <v>231.9097088</v>
      </c>
      <c r="AJ395" s="21" t="str">
        <f aca="false">IF(H395&gt;=Upgrades!$E$9,"",Upgrades!$C$9*POWER(Upgrades!$D$9,H395))</f>
        <v/>
      </c>
      <c r="AK395" s="21" t="str">
        <f aca="false">IF(I395&gt;=Upgrades!$E$10,"",Upgrades!$C$10*POWER(Upgrades!$D$10,I395))</f>
        <v/>
      </c>
      <c r="AL395" s="21" t="str">
        <f aca="false">IF(J395&gt;=Upgrades!$E$11,"",Upgrades!$C$11*POWER(Upgrades!$D$11,J395))</f>
        <v/>
      </c>
      <c r="AM395" s="21" t="str">
        <f aca="false">IF(K395&gt;=Upgrades!$E$12,"",Upgrades!$C$12*POWER(Upgrades!$D$12,K395))</f>
        <v/>
      </c>
      <c r="AN395" s="26" t="str">
        <f aca="false">IF(AND(D395&gt;=Parameters!$B$18,(H395&gt;=Upgrades!$E$9)*(K395&gt;=Upgrades!$E$12)=1,L395=0),1,"")</f>
        <v/>
      </c>
      <c r="AO395" s="26" t="str">
        <f aca="false">IF(AND(D395&gt;=Parameters!$B$18,L395=0),1,"")</f>
        <v/>
      </c>
      <c r="AP395" s="21" t="n">
        <f aca="false">MIN(IF(ISNUMBER(AK395),AK395,9000000000000000),IF(ISNUMBER(AL395),AL395,9000000000000000),IF(ISNUMBER(AM395),AM395,9000000000000000))</f>
        <v>9000000000000000</v>
      </c>
      <c r="AQ395" s="21" t="n">
        <f aca="false">MIN(IF(ISNUMBER(AG395),AG395,9000000000000000),IF(ISNUMBER(AH395),AH395,9000000000000000),IF(ISNUMBER(AI395),AI395,9000000000000000),IF(ISNUMBER(AJ395),AJ395,9000000000000000))</f>
        <v>37.4517507383159</v>
      </c>
      <c r="AR395" s="32" t="b">
        <f aca="false">IF(AW395&gt;Parameters!$B$21*(MAX(IF(AND(NOT(AND(AO395=1,AN395&lt;&gt;1)),ISNUMBER(AG395),AG395&lt;=T395),AS395,0),IF(AND(NOT(AND(AO395=1,AN395&lt;&gt;1)),ISNUMBER(AH395),AH395&lt;=T395),AT395,0),IF(AND(NOT(AND(AO395=1,AN395&lt;&gt;1)),ISNUMBER(AI395),AI395&lt;=T395),AU395,0),IF(AND(ISNUMBER(AJ395),AJ395&lt;=T395),AV395,0))),TRUE(),FALSE())</f>
        <v>1</v>
      </c>
      <c r="AS395" s="33" t="n">
        <f aca="false">IFERROR(Upgrades!$H$6*(POWER(Upgrades!$P$6,E395)*POWER(Upgrades!$P$7,F395)*POWER(Upgrades!$P$8,G395)*POWER(Upgrades!$P$9,H395)*POWER(Upgrades!$P$10,I395)*POWER(Upgrades!$P$11,J395)*POWER(Upgrades!$P$12,K395))*(IF(Upgrades!$T$7="Solar Wind",POWER(Upgrades!$U$7,F395),1)*IF(Upgrades!$T$8="Solar Wind",POWER(Upgrades!$U$8,G395),1)*IF(Upgrades!$T$9="Solar Wind",POWER(Upgrades!$U$9,H395),1)*IF(Upgrades!$T$10="Solar Wind",POWER(Upgrades!$U$10,I395),1)*IF(Upgrades!$T$11="Solar Wind",POWER(Upgrades!$U$11,J395),1)*IF(Upgrades!$T$12="Solar Wind",POWER(Upgrades!$U$12,K395),1))/AG395,0)</f>
        <v>0.0026701021455238</v>
      </c>
      <c r="AT395" s="33" t="n">
        <f aca="false">IFERROR(Upgrades!$H$7*(POWER(Upgrades!$P$6,E395)*POWER(Upgrades!$P$7,F395)*POWER(Upgrades!$P$8,G395)*POWER(Upgrades!$P$9,H395)*POWER(Upgrades!$P$10,I395)*POWER(Upgrades!$P$11,J395)*POWER(Upgrades!$P$12,K395))*(IF(Upgrades!$T$6="Asteroid Belt",POWER(Upgrades!$U$6,E395),1)*IF(Upgrades!$T$8="Asteroid Belt",POWER(Upgrades!$U$8,G395),1)*IF(Upgrades!$T$9="Asteroid Belt",POWER(Upgrades!$U$9,H395),1)*IF(Upgrades!$T$10="Asteroid Belt",POWER(Upgrades!$U$10,I395),1)*IF(Upgrades!$T$11="Asteroid Belt",POWER(Upgrades!$U$11,J395),1)*IF(Upgrades!$T$12="Asteroid Belt",POWER(Upgrades!$U$12,K395),1))/AH395,0)</f>
        <v>0.00308980882652332</v>
      </c>
      <c r="AU395" s="33" t="n">
        <f aca="false">IFERROR(Upgrades!$K$8*(POWER(Upgrades!$Q$6,E395)*POWER(Upgrades!$Q$7,F395)*POWER(Upgrades!$Q$8,G395)*POWER(Upgrades!$Q$9,H395)*POWER(Upgrades!$Q$10,I395)*POWER(Upgrades!$Q$11,J395)*POWER(Upgrades!$Q$12,K395))*(IF(Upgrades!$T$6="Stellar Coupling",POWER(Upgrades!$U$6,E395),1)*IF(Upgrades!$T$7="Stellar Coupling",POWER(Upgrades!$U$7,F395),1)*IF(Upgrades!$T$9="Stellar Coupling",POWER(Upgrades!$U$9,H395),1)*IF(Upgrades!$T$10="Stellar Coupling",POWER(Upgrades!$U$10,I395),1)*IF(Upgrades!$T$11="Stellar Coupling",POWER(Upgrades!$U$11,J395),1)*IF(Upgrades!$T$12="Stellar Coupling",POWER(Upgrades!$U$12,K395),1))*Parameters!$B$10*Parameters!$B$11/60/AI395,0)</f>
        <v>0.00452762415783776</v>
      </c>
      <c r="AV395" s="33" t="n">
        <f aca="false">IFERROR(Upgrades!$H$9*(POWER(Upgrades!$P$6,E395)*POWER(Upgrades!$P$7,F395)*POWER(Upgrades!$P$8,G395)*POWER(Upgrades!$P$9,H395)*POWER(Upgrades!$P$10,I395)*POWER(Upgrades!$P$11,J395)*POWER(Upgrades!$P$12,K395))*(IF(Upgrades!$T$6="Magnetosphere",POWER(Upgrades!$U$6,E395),1)*IF(Upgrades!$T$7="Magnetosphere",POWER(Upgrades!$U$7,F395),1)*IF(Upgrades!$T$8="Magnetosphere",POWER(Upgrades!$U$8,G395),1)*IF(Upgrades!$T$10="Magnetosphere",POWER(Upgrades!$U$10,I395),1)*IF(Upgrades!$T$11="Magnetosphere",POWER(Upgrades!$U$11,J395),1)*IF(Upgrades!$T$12="Magnetosphere",POWER(Upgrades!$U$12,K395),1))/AJ395,0)</f>
        <v>0</v>
      </c>
      <c r="AW395" s="33" t="n">
        <f aca="false">MAX(IF(I395&gt;0,0,IFERROR(0.25*N395/Upgrades!$C$10,0)),IF(J395&gt;0,0,IFERROR(0.5*((IF(G395=0,0,(Upgrades!$J$8+G395*Upgrades!$K$8)*POWER(Upgrades!$L$8,G395)))*(IF(Upgrades!$T$6="Stellar Coupling",POWER(Upgrades!$U$6,E395),1)*IF(Upgrades!$T$7="Stellar Coupling",POWER(Upgrades!$U$7,F395),1)*IF(Upgrades!$T$9="Stellar Coupling",POWER(Upgrades!$U$9,H395),1)*IF(Upgrades!$T$10="Stellar Coupling",POWER(Upgrades!$U$10,I395),1)*IF(Upgrades!$T$11="Stellar Coupling",POWER(Upgrades!$U$11,J395),1)*IF(Upgrades!$T$12="Stellar Coupling",POWER(Upgrades!$U$12,K395),1))*(POWER(Upgrades!$Q$6,E395)*POWER(Upgrades!$Q$7,F395)*POWER(Upgrades!$Q$8,G395)*POWER(Upgrades!$Q$9,H395)*POWER(Upgrades!$Q$10,I395)*POWER(Upgrades!$Q$11,J395)*POWER(Upgrades!$Q$12,K395))*Parameters!$B$10*Parameters!$B$11/60)/Upgrades!$C$11,0)),IF(K395&gt;0,0,IFERROR((1*(POWER(Upgrades!$P$6,E395)*POWER(Upgrades!$P$7,F395)*POWER(Upgrades!$P$8,G395)*POWER(Upgrades!$P$9,H395)*POWER(Upgrades!$P$10,I395)*POWER(Upgrades!$P$11,J395)*POWER(Upgrades!$P$12,K395))+0.2*M395*Parameters!$B$10*Parameters!$B$11/60)/Upgrades!$C$12,0)),IF(AND(ISNUMBER(AG395),AG395&gt;T395),AS395,0),IF(AND(ISNUMBER(AH395),AH395&gt;T395),AT395,0),IF(AND(ISNUMBER(AI395),AI395&gt;T395),AU395,0),IF(AND(ISNUMBER(AJ395),AJ395&gt;T395),AV395,0))</f>
        <v>0.00452762415783776</v>
      </c>
      <c r="AX395" s="29" t="str">
        <f aca="false">IF(AN395=1,"transition",IF(MIN(IF(AND(I395=0,ISNUMBER(AK395),AK395&lt;=T395),AK395,9000000000000000),IF(AND(J395=0,ISNUMBER(AL395),AL395&lt;=T395),AL395,9000000000000000),IF(AND(K395=0,ISNUMBER(AM395),AM395&lt;=T395),AM395,9000000000000000))&lt;9000000000000000,IF(AND(AND(I395=0,ISNUMBER(AK395),AK395&lt;=T395),AK395=MIN(IF(AND(I395=0,ISNUMBER(AK395),AK395&lt;=T395),AK395,9000000000000000),IF(AND(J395=0,ISNUMBER(AL395),AL395&lt;=T395),AL395,9000000000000000),IF(AND(K395=0,ISNUMBER(AM395),AM395&lt;=T395),AM395,9000000000000000))),"OR",IF(AND(AND(J395=0,ISNUMBER(AL395),AL395&lt;=T395),AL395=MIN(IF(AND(I395=0,ISNUMBER(AK395),AK395&lt;=T395),AK395,9000000000000000),IF(AND(J395=0,ISNUMBER(AL395),AL395&lt;=T395),AL395,9000000000000000),IF(AND(K395=0,ISNUMBER(AM395),AM395&lt;=T395),AM395,9000000000000000))),"HP","FP")),IF(AR395=TRUE(),"",IF(MAX(IF(AND(NOT(AND(AO395=1,AN395&lt;&gt;1)),ISNUMBER(AG395),AG395&lt;=T395),AS395,0),IF(AND(NOT(AND(AO395=1,AN395&lt;&gt;1)),ISNUMBER(AH395),AH395&lt;=T395),AT395,0),IF(AND(NOT(AND(AO395=1,AN395&lt;&gt;1)),ISNUMBER(AI395),AI395&lt;=T395),AU395,0),IF(AND(ISNUMBER(AJ395),AJ395&lt;=T395),AV395,0))&lt;=0,"",IF(AND(IF(AND(NOT(AND(AO395=1,AN395&lt;&gt;1)),ISNUMBER(AG395),AG395&lt;=T395),AS395,0)&gt;0,IF(AND(NOT(AND(AO395=1,AN395&lt;&gt;1)),ISNUMBER(AG395),AG395&lt;=T395),AS395,0)=MAX(IF(AND(NOT(AND(AO395=1,AN395&lt;&gt;1)),ISNUMBER(AG395),AG395&lt;=T395),AS395,0),IF(AND(NOT(AND(AO395=1,AN395&lt;&gt;1)),ISNUMBER(AH395),AH395&lt;=T395),AT395,0),IF(AND(NOT(AND(AO395=1,AN395&lt;&gt;1)),ISNUMBER(AI395),AI395&lt;=T395),AU395,0),IF(AND(ISNUMBER(AJ395),AJ395&lt;=T395),AV395,0))),"SW",IF(AND(IF(AND(NOT(AND(AO395=1,AN395&lt;&gt;1)),ISNUMBER(AH395),AH395&lt;=T395),AT395,0)&gt;0,IF(AND(NOT(AND(AO395=1,AN395&lt;&gt;1)),ISNUMBER(AH395),AH395&lt;=T395),AT395,0)=MAX(IF(AND(NOT(AND(AO395=1,AN395&lt;&gt;1)),ISNUMBER(AG395),AG395&lt;=T395),AS395,0),IF(AND(NOT(AND(AO395=1,AN395&lt;&gt;1)),ISNUMBER(AH395),AH395&lt;=T395),AT395,0),IF(AND(NOT(AND(AO395=1,AN395&lt;&gt;1)),ISNUMBER(AI395),AI395&lt;=T395),AU395,0),IF(AND(ISNUMBER(AJ395),AJ395&lt;=T395),AV395,0))),"AB",IF(AND(IF(AND(NOT(AND(AO395=1,AN395&lt;&gt;1)),ISNUMBER(AI395),AI395&lt;=T395),AU395,0)&gt;0,IF(AND(NOT(AND(AO395=1,AN395&lt;&gt;1)),ISNUMBER(AI395),AI395&lt;=T395),AU395,0)=MAX(IF(AND(NOT(AND(AO395=1,AN395&lt;&gt;1)),ISNUMBER(AG395),AG395&lt;=T395),AS395,0),IF(AND(NOT(AND(AO395=1,AN395&lt;&gt;1)),ISNUMBER(AH395),AH395&lt;=T395),AT395,0),IF(AND(NOT(AND(AO395=1,AN395&lt;&gt;1)),ISNUMBER(AI395),AI395&lt;=T395),AU395,0),IF(AND(ISNUMBER(AJ395),AJ395&lt;=T395),AV395,0))),"SC","Mag")))))))</f>
        <v/>
      </c>
    </row>
    <row r="396" customFormat="false" ht="15" hidden="false" customHeight="false" outlineLevel="0" collapsed="false">
      <c r="A396" s="26" t="n">
        <v>391</v>
      </c>
      <c r="B396" s="27" t="n">
        <f aca="false">A396*10/60</f>
        <v>65.1666666666667</v>
      </c>
      <c r="C396" s="21" t="n">
        <f aca="false">X395</f>
        <v>18.6730249835055</v>
      </c>
      <c r="D396" s="27" t="n">
        <f aca="false">D395+W395</f>
        <v>0</v>
      </c>
      <c r="E396" s="26" t="n">
        <f aca="false">E395+IF(U395="SW",1,0)</f>
        <v>12</v>
      </c>
      <c r="F396" s="26" t="n">
        <f aca="false">F395+IF(U395="AB",1,0)</f>
        <v>10</v>
      </c>
      <c r="G396" s="26" t="n">
        <f aca="false">G395+IF(U395="SC",1,0)</f>
        <v>7</v>
      </c>
      <c r="H396" s="26" t="n">
        <f aca="false">H395+IF(U395="Mag",1,0)</f>
        <v>5</v>
      </c>
      <c r="I396" s="26" t="n">
        <f aca="false">MAX(I395,IF(U395="OR",1,0))</f>
        <v>1</v>
      </c>
      <c r="J396" s="26" t="n">
        <f aca="false">MAX(J395,IF(U395="HP",1,0))</f>
        <v>1</v>
      </c>
      <c r="K396" s="26" t="n">
        <f aca="false">MAX(K395,IF(U395="FP",1,0))</f>
        <v>1</v>
      </c>
      <c r="L396" s="26" t="n">
        <f aca="false">MAX(L395,IF(U395="transition",1,0))</f>
        <v>1</v>
      </c>
      <c r="M396" s="28" t="n">
        <f aca="false">(Parameters!$B$9+(IF(E396=0,0,(Upgrades!$J$6+E396*Upgrades!$K$6)*POWER(Upgrades!$L$6,E396)))*(IF(Upgrades!$T$7="Solar Wind",POWER(Upgrades!$U$7,F396),1)*IF(Upgrades!$T$8="Solar Wind",POWER(Upgrades!$U$8,G396),1)*IF(Upgrades!$T$9="Solar Wind",POWER(Upgrades!$U$9,H396),1)*IF(Upgrades!$T$10="Solar Wind",POWER(Upgrades!$U$10,I396),1)*IF(Upgrades!$T$11="Solar Wind",POWER(Upgrades!$U$11,J396),1)*IF(Upgrades!$T$12="Solar Wind",POWER(Upgrades!$U$12,K396),1))+(IF(F396=0,0,(Upgrades!$J$7+F396*Upgrades!$K$7)*POWER(Upgrades!$L$7,F396)))*(IF(Upgrades!$T$6="Asteroid Belt",POWER(Upgrades!$U$6,E396),1)*IF(Upgrades!$T$8="Asteroid Belt",POWER(Upgrades!$U$8,G396),1)*IF(Upgrades!$T$9="Asteroid Belt",POWER(Upgrades!$U$9,H396),1)*IF(Upgrades!$T$10="Asteroid Belt",POWER(Upgrades!$U$10,I396),1)*IF(Upgrades!$T$11="Asteroid Belt",POWER(Upgrades!$U$11,J396),1)*IF(Upgrades!$T$12="Asteroid Belt",POWER(Upgrades!$U$12,K396),1))+(IF(G396=0,0,(Upgrades!$J$8+G396*Upgrades!$K$8)*POWER(Upgrades!$L$8,G396)))*(IF(Upgrades!$T$6="Stellar Coupling",POWER(Upgrades!$U$6,E396),1)*IF(Upgrades!$T$7="Stellar Coupling",POWER(Upgrades!$U$7,F396),1)*IF(Upgrades!$T$9="Stellar Coupling",POWER(Upgrades!$U$9,H396),1)*IF(Upgrades!$T$10="Stellar Coupling",POWER(Upgrades!$U$10,I396),1)*IF(Upgrades!$T$11="Stellar Coupling",POWER(Upgrades!$U$11,J396),1)*IF(Upgrades!$T$12="Stellar Coupling",POWER(Upgrades!$U$12,K396),1))+(IF(H396=0,0,(Upgrades!$J$9+H396*Upgrades!$K$9)*POWER(Upgrades!$L$9,H396)))*(IF(Upgrades!$T$6="Magnetosphere",POWER(Upgrades!$U$6,E396),1)*IF(Upgrades!$T$7="Magnetosphere",POWER(Upgrades!$U$7,F396),1)*IF(Upgrades!$T$8="Magnetosphere",POWER(Upgrades!$U$8,G396),1)*IF(Upgrades!$T$10="Magnetosphere",POWER(Upgrades!$U$10,I396),1)*IF(Upgrades!$T$11="Magnetosphere",POWER(Upgrades!$U$11,J396),1)*IF(Upgrades!$T$12="Magnetosphere",POWER(Upgrades!$U$12,K396),1))+(IF(I396=0,0,(Upgrades!$J$10+I396*Upgrades!$K$10)*POWER(Upgrades!$L$10,I396)))*(IF(Upgrades!$T$6="Orbital Resonance",POWER(Upgrades!$U$6,E396),1)*IF(Upgrades!$T$7="Orbital Resonance",POWER(Upgrades!$U$7,F396),1)*IF(Upgrades!$T$8="Orbital Resonance",POWER(Upgrades!$U$8,G396),1)*IF(Upgrades!$T$9="Orbital Resonance",POWER(Upgrades!$U$9,H396),1)*IF(Upgrades!$T$11="Orbital Resonance",POWER(Upgrades!$U$11,J396),1)*IF(Upgrades!$T$12="Orbital Resonance",POWER(Upgrades!$U$12,K396),1))+(IF(J396=0,0,(Upgrades!$J$11+J396*Upgrades!$K$11)*POWER(Upgrades!$L$11,J396)))*(IF(Upgrades!$T$6="Heliopause",POWER(Upgrades!$U$6,E396),1)*IF(Upgrades!$T$7="Heliopause",POWER(Upgrades!$U$7,F396),1)*IF(Upgrades!$T$8="Heliopause",POWER(Upgrades!$U$8,G396),1)*IF(Upgrades!$T$9="Heliopause",POWER(Upgrades!$U$9,H396),1)*IF(Upgrades!$T$10="Heliopause",POWER(Upgrades!$U$10,I396),1)*IF(Upgrades!$T$12="Heliopause",POWER(Upgrades!$U$12,K396),1))+(IF(K396=0,0,(Upgrades!$J$12+K396*Upgrades!$K$12)*POWER(Upgrades!$L$12,K396)))*(IF(Upgrades!$T$6="First Photons",POWER(Upgrades!$U$6,E396),1)*IF(Upgrades!$T$7="First Photons",POWER(Upgrades!$U$7,F396),1)*IF(Upgrades!$T$8="First Photons",POWER(Upgrades!$U$8,G396),1)*IF(Upgrades!$T$9="First Photons",POWER(Upgrades!$U$9,H396),1)*IF(Upgrades!$T$10="First Photons",POWER(Upgrades!$U$10,I396),1)*IF(Upgrades!$T$11="First Photons",POWER(Upgrades!$U$11,J396),1)))*POWER(Upgrades!$Q$6,E396)*POWER(Upgrades!$Q$7,F396)*POWER(Upgrades!$Q$8,G396)*POWER(Upgrades!$Q$9,H396)*POWER(Upgrades!$Q$10,I396)*POWER(Upgrades!$Q$11,J396)*POWER(Upgrades!$Q$12,K396)</f>
        <v>5.61</v>
      </c>
      <c r="N396" s="28" t="n">
        <f aca="false">((IF(E396=0,0,(Upgrades!$G$6+E396*Upgrades!$H$6)*POWER(Upgrades!$I$6,E396)))*(IF(Upgrades!$T$7="Solar Wind",POWER(Upgrades!$U$7,F396),1)*IF(Upgrades!$T$8="Solar Wind",POWER(Upgrades!$U$8,G396),1)*IF(Upgrades!$T$9="Solar Wind",POWER(Upgrades!$U$9,H396),1)*IF(Upgrades!$T$10="Solar Wind",POWER(Upgrades!$U$10,I396),1)*IF(Upgrades!$T$11="Solar Wind",POWER(Upgrades!$U$11,J396),1)*IF(Upgrades!$T$12="Solar Wind",POWER(Upgrades!$U$12,K396),1))+(IF(F396=0,0,(Upgrades!$G$7+F396*Upgrades!$H$7)*POWER(Upgrades!$I$7,F396)))*(IF(Upgrades!$T$6="Asteroid Belt",POWER(Upgrades!$U$6,E396),1)*IF(Upgrades!$T$8="Asteroid Belt",POWER(Upgrades!$U$8,G396),1)*IF(Upgrades!$T$9="Asteroid Belt",POWER(Upgrades!$U$9,H396),1)*IF(Upgrades!$T$10="Asteroid Belt",POWER(Upgrades!$U$10,I396),1)*IF(Upgrades!$T$11="Asteroid Belt",POWER(Upgrades!$U$11,J396),1)*IF(Upgrades!$T$12="Asteroid Belt",POWER(Upgrades!$U$12,K396),1))+(IF(G396=0,0,(Upgrades!$G$8+G396*Upgrades!$H$8)*POWER(Upgrades!$I$8,G396)))*(IF(Upgrades!$T$6="Stellar Coupling",POWER(Upgrades!$U$6,E396),1)*IF(Upgrades!$T$7="Stellar Coupling",POWER(Upgrades!$U$7,F396),1)*IF(Upgrades!$T$9="Stellar Coupling",POWER(Upgrades!$U$9,H396),1)*IF(Upgrades!$T$10="Stellar Coupling",POWER(Upgrades!$U$10,I396),1)*IF(Upgrades!$T$11="Stellar Coupling",POWER(Upgrades!$U$11,J396),1)*IF(Upgrades!$T$12="Stellar Coupling",POWER(Upgrades!$U$12,K396),1))+(IF(H396=0,0,(Upgrades!$G$9+H396*Upgrades!$H$9)*POWER(Upgrades!$I$9,H396)))*(IF(Upgrades!$T$6="Magnetosphere",POWER(Upgrades!$U$6,E396),1)*IF(Upgrades!$T$7="Magnetosphere",POWER(Upgrades!$U$7,F396),1)*IF(Upgrades!$T$8="Magnetosphere",POWER(Upgrades!$U$8,G396),1)*IF(Upgrades!$T$10="Magnetosphere",POWER(Upgrades!$U$10,I396),1)*IF(Upgrades!$T$11="Magnetosphere",POWER(Upgrades!$U$11,J396),1)*IF(Upgrades!$T$12="Magnetosphere",POWER(Upgrades!$U$12,K396),1))+(IF(I396=0,0,(Upgrades!$G$10+I396*Upgrades!$H$10)*POWER(Upgrades!$I$10,I396)))*(IF(Upgrades!$T$6="Orbital Resonance",POWER(Upgrades!$U$6,E396),1)*IF(Upgrades!$T$7="Orbital Resonance",POWER(Upgrades!$U$7,F396),1)*IF(Upgrades!$T$8="Orbital Resonance",POWER(Upgrades!$U$8,G396),1)*IF(Upgrades!$T$9="Orbital Resonance",POWER(Upgrades!$U$9,H396),1)*IF(Upgrades!$T$11="Orbital Resonance",POWER(Upgrades!$U$11,J396),1)*IF(Upgrades!$T$12="Orbital Resonance",POWER(Upgrades!$U$12,K396),1))+(IF(J396=0,0,(Upgrades!$G$11+J396*Upgrades!$H$11)*POWER(Upgrades!$I$11,J396)))*(IF(Upgrades!$T$6="Heliopause",POWER(Upgrades!$U$6,E396),1)*IF(Upgrades!$T$7="Heliopause",POWER(Upgrades!$U$7,F396),1)*IF(Upgrades!$T$8="Heliopause",POWER(Upgrades!$U$8,G396),1)*IF(Upgrades!$T$9="Heliopause",POWER(Upgrades!$U$9,H396),1)*IF(Upgrades!$T$10="Heliopause",POWER(Upgrades!$U$10,I396),1)*IF(Upgrades!$T$12="Heliopause",POWER(Upgrades!$U$12,K396),1))+(IF(K396=0,0,(Upgrades!$G$12+K396*Upgrades!$H$12)*POWER(Upgrades!$I$12,K396)))*(IF(Upgrades!$T$6="First Photons",POWER(Upgrades!$U$6,E396),1)*IF(Upgrades!$T$7="First Photons",POWER(Upgrades!$U$7,F396),1)*IF(Upgrades!$T$8="First Photons",POWER(Upgrades!$U$8,G396),1)*IF(Upgrades!$T$9="First Photons",POWER(Upgrades!$U$9,H396),1)*IF(Upgrades!$T$10="First Photons",POWER(Upgrades!$U$10,I396),1)*IF(Upgrades!$T$11="First Photons",POWER(Upgrades!$U$11,J396),1)))*POWER(Upgrades!$P$6,E396)*POWER(Upgrades!$P$7,F396)*POWER(Upgrades!$P$8,G396)*POWER(Upgrades!$P$9,H396)*POWER(Upgrades!$P$10,I396)*POWER(Upgrades!$P$11,J396)*POWER(Upgrades!$P$12,K396)</f>
        <v>11.2</v>
      </c>
      <c r="O396" s="28" t="n">
        <f aca="false">((IF(E396=0,0,(Upgrades!$M$6+E396*Upgrades!$N$6)*POWER(Upgrades!$O$6,E396)))*(IF(Upgrades!$T$7="Solar Wind",POWER(Upgrades!$U$7,F396),1)*IF(Upgrades!$T$8="Solar Wind",POWER(Upgrades!$U$8,G396),1)*IF(Upgrades!$T$9="Solar Wind",POWER(Upgrades!$U$9,H396),1)*IF(Upgrades!$T$10="Solar Wind",POWER(Upgrades!$U$10,I396),1)*IF(Upgrades!$T$11="Solar Wind",POWER(Upgrades!$U$11,J396),1)*IF(Upgrades!$T$12="Solar Wind",POWER(Upgrades!$U$12,K396),1))+(IF(F396=0,0,(Upgrades!$M$7+F396*Upgrades!$N$7)*POWER(Upgrades!$O$7,F396)))*(IF(Upgrades!$T$6="Asteroid Belt",POWER(Upgrades!$U$6,E396),1)*IF(Upgrades!$T$8="Asteroid Belt",POWER(Upgrades!$U$8,G396),1)*IF(Upgrades!$T$9="Asteroid Belt",POWER(Upgrades!$U$9,H396),1)*IF(Upgrades!$T$10="Asteroid Belt",POWER(Upgrades!$U$10,I396),1)*IF(Upgrades!$T$11="Asteroid Belt",POWER(Upgrades!$U$11,J396),1)*IF(Upgrades!$T$12="Asteroid Belt",POWER(Upgrades!$U$12,K396),1))+(IF(G396=0,0,(Upgrades!$M$8+G396*Upgrades!$N$8)*POWER(Upgrades!$O$8,G396)))*(IF(Upgrades!$T$6="Stellar Coupling",POWER(Upgrades!$U$6,E396),1)*IF(Upgrades!$T$7="Stellar Coupling",POWER(Upgrades!$U$7,F396),1)*IF(Upgrades!$T$9="Stellar Coupling",POWER(Upgrades!$U$9,H396),1)*IF(Upgrades!$T$10="Stellar Coupling",POWER(Upgrades!$U$10,I396),1)*IF(Upgrades!$T$11="Stellar Coupling",POWER(Upgrades!$U$11,J396),1)*IF(Upgrades!$T$12="Stellar Coupling",POWER(Upgrades!$U$12,K396),1))+(IF(H396=0,0,(Upgrades!$M$9+H396*Upgrades!$N$9)*POWER(Upgrades!$O$9,H396)))*(IF(Upgrades!$T$6="Magnetosphere",POWER(Upgrades!$U$6,E396),1)*IF(Upgrades!$T$7="Magnetosphere",POWER(Upgrades!$U$7,F396),1)*IF(Upgrades!$T$8="Magnetosphere",POWER(Upgrades!$U$8,G396),1)*IF(Upgrades!$T$10="Magnetosphere",POWER(Upgrades!$U$10,I396),1)*IF(Upgrades!$T$11="Magnetosphere",POWER(Upgrades!$U$11,J396),1)*IF(Upgrades!$T$12="Magnetosphere",POWER(Upgrades!$U$12,K396),1))+(IF(I396=0,0,(Upgrades!$M$10+I396*Upgrades!$N$10)*POWER(Upgrades!$O$10,I396)))*(IF(Upgrades!$T$6="Orbital Resonance",POWER(Upgrades!$U$6,E396),1)*IF(Upgrades!$T$7="Orbital Resonance",POWER(Upgrades!$U$7,F396),1)*IF(Upgrades!$T$8="Orbital Resonance",POWER(Upgrades!$U$8,G396),1)*IF(Upgrades!$T$9="Orbital Resonance",POWER(Upgrades!$U$9,H396),1)*IF(Upgrades!$T$11="Orbital Resonance",POWER(Upgrades!$U$11,J396),1)*IF(Upgrades!$T$12="Orbital Resonance",POWER(Upgrades!$U$12,K396),1))+(IF(J396=0,0,(Upgrades!$M$11+J396*Upgrades!$N$11)*POWER(Upgrades!$O$11,J396)))*(IF(Upgrades!$T$6="Heliopause",POWER(Upgrades!$U$6,E396),1)*IF(Upgrades!$T$7="Heliopause",POWER(Upgrades!$U$7,F396),1)*IF(Upgrades!$T$8="Heliopause",POWER(Upgrades!$U$8,G396),1)*IF(Upgrades!$T$9="Heliopause",POWER(Upgrades!$U$9,H396),1)*IF(Upgrades!$T$10="Heliopause",POWER(Upgrades!$U$10,I396),1)*IF(Upgrades!$T$12="Heliopause",POWER(Upgrades!$U$12,K396),1))+(IF(K396=0,0,(Upgrades!$M$12+K396*Upgrades!$N$12)*POWER(Upgrades!$O$12,K396)))*(IF(Upgrades!$T$6="First Photons",POWER(Upgrades!$U$6,E396),1)*IF(Upgrades!$T$7="First Photons",POWER(Upgrades!$U$7,F396),1)*IF(Upgrades!$T$8="First Photons",POWER(Upgrades!$U$8,G396),1)*IF(Upgrades!$T$9="First Photons",POWER(Upgrades!$U$9,H396),1)*IF(Upgrades!$T$10="First Photons",POWER(Upgrades!$U$10,I396),1)*IF(Upgrades!$T$11="First Photons",POWER(Upgrades!$U$11,J396),1)))*POWER(Upgrades!$R$6,E396)*POWER(Upgrades!$R$7,F396)*POWER(Upgrades!$R$8,G396)*POWER(Upgrades!$R$9,H396)*POWER(Upgrades!$R$10,I396)*POWER(Upgrades!$R$11,J396)*POWER(Upgrades!$R$12,K396)</f>
        <v>0</v>
      </c>
      <c r="P396" s="27" t="n">
        <f aca="false">IF(L396=1,0,M396*Parameters!$B$10/60*Parameters!$B$11*10)</f>
        <v>0</v>
      </c>
      <c r="Q396" s="27" t="n">
        <f aca="false">IF(L396=1,0,O396*M396*10)</f>
        <v>0</v>
      </c>
      <c r="R396" s="27" t="n">
        <f aca="false">IF(L396=1,0,N396*10)</f>
        <v>0</v>
      </c>
      <c r="S396" s="27" t="n">
        <f aca="false">P396+Q396+R396</f>
        <v>0</v>
      </c>
      <c r="T396" s="21" t="n">
        <f aca="false">C396+S396</f>
        <v>18.6730249835055</v>
      </c>
      <c r="U396" s="34" t="str">
        <f aca="false">AX396</f>
        <v/>
      </c>
      <c r="V396" s="21" t="n">
        <f aca="false">IF(U396="",0,IF(U396="transition",0,IF(U396="SW",AG396,IF(U396="AB",AH396,IF(U396="SC",AI396,IF(U396="Mag",AJ396,IF(U396="OR",AK396,IF(U396="HP",AL396,IF(U396="FP",AM396,0)))))))))</f>
        <v>0</v>
      </c>
      <c r="W396" s="27" t="n">
        <f aca="false">IF(U396="OR",Upgrades!$F$10,IF(U396="HP",Upgrades!$F$11,IF(U396="transition",-Parameters!$B$18,0)))</f>
        <v>0</v>
      </c>
      <c r="X396" s="21" t="n">
        <f aca="false">T396-V396</f>
        <v>18.6730249835055</v>
      </c>
      <c r="Y396" s="30" t="n">
        <f aca="false">M396*Parameters!$B$10/60*Parameters!$B$11+O396*M396+N396</f>
        <v>20.55</v>
      </c>
      <c r="Z396" s="35" t="str">
        <f aca="false">IF(U396="transition","→ Tier 2 (Stellar Neighborhood)",IF(U396="FP","First Photons — light begins, system quickens",IF(U396="HP","Heliopause acquired",IF(U396="OR","Orbital Resonance — passive multiplier active",IF(AND(AO396=1,L396=0,AN396&lt;&gt;1),"Cohesion ready (waiting on completionist upgrades)","")))))</f>
        <v/>
      </c>
      <c r="AA396" s="27" t="n">
        <f aca="false">(IF(E396=0,0,(Upgrades!$G$6+E396*Upgrades!$H$6)*POWER(Upgrades!$I$6,E396)))*(IF(Upgrades!$T$7="Solar Wind",POWER(Upgrades!$U$7,F396),1)*IF(Upgrades!$T$8="Solar Wind",POWER(Upgrades!$U$8,G396),1)*IF(Upgrades!$T$9="Solar Wind",POWER(Upgrades!$U$9,H396),1)*IF(Upgrades!$T$10="Solar Wind",POWER(Upgrades!$U$10,I396),1)*IF(Upgrades!$T$11="Solar Wind",POWER(Upgrades!$U$11,J396),1)*IF(Upgrades!$T$12="Solar Wind",POWER(Upgrades!$U$12,K396),1))*POWER(Upgrades!$P$6,E396)*POWER(Upgrades!$P$7,F396)*POWER(Upgrades!$P$8,G396)*POWER(Upgrades!$P$9,H396)*POWER(Upgrades!$P$10,I396)*POWER(Upgrades!$P$11,J396)*POWER(Upgrades!$P$12,K396)*60</f>
        <v>72</v>
      </c>
      <c r="AB396" s="27" t="n">
        <f aca="false">(IF(F396=0,0,(Upgrades!$G$7+F396*Upgrades!$H$7)*POWER(Upgrades!$I$7,F396)))*(IF(Upgrades!$T$6="Asteroid Belt",POWER(Upgrades!$U$6,E396),1)*IF(Upgrades!$T$8="Asteroid Belt",POWER(Upgrades!$U$8,G396),1)*IF(Upgrades!$T$9="Asteroid Belt",POWER(Upgrades!$U$9,H396),1)*IF(Upgrades!$T$10="Asteroid Belt",POWER(Upgrades!$U$10,I396),1)*IF(Upgrades!$T$11="Asteroid Belt",POWER(Upgrades!$U$11,J396),1)*IF(Upgrades!$T$12="Asteroid Belt",POWER(Upgrades!$U$12,K396),1))*POWER(Upgrades!$P$6,E396)*POWER(Upgrades!$P$7,F396)*POWER(Upgrades!$P$8,G396)*POWER(Upgrades!$P$9,H396)*POWER(Upgrades!$P$10,I396)*POWER(Upgrades!$P$11,J396)*POWER(Upgrades!$P$12,K396)*60</f>
        <v>150</v>
      </c>
      <c r="AC396" s="27" t="n">
        <f aca="false">(IF(G396=0,0,(Upgrades!$J$8+G396*Upgrades!$K$8)*POWER(Upgrades!$L$8,G396)))*(IF(Upgrades!$T$6="Stellar Coupling",POWER(Upgrades!$U$6,E396),1)*IF(Upgrades!$T$7="Stellar Coupling",POWER(Upgrades!$U$7,F396),1)*IF(Upgrades!$T$9="Stellar Coupling",POWER(Upgrades!$U$9,H396),1)*IF(Upgrades!$T$10="Stellar Coupling",POWER(Upgrades!$U$10,I396),1)*IF(Upgrades!$T$11="Stellar Coupling",POWER(Upgrades!$U$11,J396),1)*IF(Upgrades!$T$12="Stellar Coupling",POWER(Upgrades!$U$12,K396),1))*POWER(Upgrades!$Q$6,E396)*POWER(Upgrades!$Q$7,F396)*POWER(Upgrades!$Q$8,G396)*POWER(Upgrades!$Q$9,H396)*POWER(Upgrades!$Q$10,I396)*POWER(Upgrades!$Q$11,J396)*POWER(Upgrades!$Q$12,K396)*Parameters!$B$10*Parameters!$B$11</f>
        <v>441</v>
      </c>
      <c r="AD396" s="27" t="n">
        <f aca="false">(IF(H396=0,0,(Upgrades!$G$9+H396*Upgrades!$H$9)*POWER(Upgrades!$I$9,H396)))*(IF(Upgrades!$T$6="Magnetosphere",POWER(Upgrades!$U$6,E396),1)*IF(Upgrades!$T$7="Magnetosphere",POWER(Upgrades!$U$7,F396),1)*IF(Upgrades!$T$8="Magnetosphere",POWER(Upgrades!$U$8,G396),1)*IF(Upgrades!$T$10="Magnetosphere",POWER(Upgrades!$U$10,I396),1)*IF(Upgrades!$T$11="Magnetosphere",POWER(Upgrades!$U$11,J396),1)*IF(Upgrades!$T$12="Magnetosphere",POWER(Upgrades!$U$12,K396),1))*POWER(Upgrades!$P$6,E396)*POWER(Upgrades!$P$7,F396)*POWER(Upgrades!$P$8,G396)*POWER(Upgrades!$P$9,H396)*POWER(Upgrades!$P$10,I396)*POWER(Upgrades!$P$11,J396)*POWER(Upgrades!$P$12,K396)*60</f>
        <v>375</v>
      </c>
      <c r="AE396" s="27" t="n">
        <f aca="false">(IF(K396=0,0,(Upgrades!$G$12+K396*Upgrades!$H$12)*POWER(Upgrades!$I$12,K396)))*(IF(Upgrades!$T$6="First Photons",POWER(Upgrades!$U$6,E396),1)*IF(Upgrades!$T$7="First Photons",POWER(Upgrades!$U$7,F396),1)*IF(Upgrades!$T$8="First Photons",POWER(Upgrades!$U$8,G396),1)*IF(Upgrades!$T$9="First Photons",POWER(Upgrades!$U$9,H396),1)*IF(Upgrades!$T$10="First Photons",POWER(Upgrades!$U$10,I396),1)*IF(Upgrades!$T$11="First Photons",POWER(Upgrades!$U$11,J396),1))*POWER(Upgrades!$P$6,E396)*POWER(Upgrades!$P$7,F396)*POWER(Upgrades!$P$8,G396)*POWER(Upgrades!$P$9,H396)*POWER(Upgrades!$P$10,I396)*POWER(Upgrades!$P$11,J396)*POWER(Upgrades!$P$12,K396)*60</f>
        <v>75</v>
      </c>
      <c r="AF396" s="27" t="n">
        <f aca="false">Parameters!$B$9*POWER(Upgrades!$Q$6,E396)*POWER(Upgrades!$Q$7,F396)*POWER(Upgrades!$Q$8,G396)*POWER(Upgrades!$Q$9,H396)*POWER(Upgrades!$Q$10,I396)*POWER(Upgrades!$Q$11,J396)*POWER(Upgrades!$Q$12,K396)*(Parameters!$B$10*Parameters!$B$11+O396*60)</f>
        <v>120</v>
      </c>
      <c r="AG396" s="21" t="n">
        <f aca="false">IF(E396&gt;=Upgrades!$E$6,"",Upgrades!$C$6*POWER(Upgrades!$D$6,E396))</f>
        <v>37.4517507383159</v>
      </c>
      <c r="AH396" s="21" t="n">
        <f aca="false">IF(F396&gt;=Upgrades!$E$7,"",Upgrades!$C$7*POWER(Upgrades!$D$7,F396))</f>
        <v>80.9111547141581</v>
      </c>
      <c r="AI396" s="21" t="n">
        <f aca="false">IF(G396&gt;=Upgrades!$E$8,"",Upgrades!$C$8*POWER(Upgrades!$D$8,G396))</f>
        <v>231.9097088</v>
      </c>
      <c r="AJ396" s="21" t="str">
        <f aca="false">IF(H396&gt;=Upgrades!$E$9,"",Upgrades!$C$9*POWER(Upgrades!$D$9,H396))</f>
        <v/>
      </c>
      <c r="AK396" s="21" t="str">
        <f aca="false">IF(I396&gt;=Upgrades!$E$10,"",Upgrades!$C$10*POWER(Upgrades!$D$10,I396))</f>
        <v/>
      </c>
      <c r="AL396" s="21" t="str">
        <f aca="false">IF(J396&gt;=Upgrades!$E$11,"",Upgrades!$C$11*POWER(Upgrades!$D$11,J396))</f>
        <v/>
      </c>
      <c r="AM396" s="21" t="str">
        <f aca="false">IF(K396&gt;=Upgrades!$E$12,"",Upgrades!$C$12*POWER(Upgrades!$D$12,K396))</f>
        <v/>
      </c>
      <c r="AN396" s="26" t="str">
        <f aca="false">IF(AND(D396&gt;=Parameters!$B$18,(H396&gt;=Upgrades!$E$9)*(K396&gt;=Upgrades!$E$12)=1,L396=0),1,"")</f>
        <v/>
      </c>
      <c r="AO396" s="26" t="str">
        <f aca="false">IF(AND(D396&gt;=Parameters!$B$18,L396=0),1,"")</f>
        <v/>
      </c>
      <c r="AP396" s="21" t="n">
        <f aca="false">MIN(IF(ISNUMBER(AK396),AK396,9000000000000000),IF(ISNUMBER(AL396),AL396,9000000000000000),IF(ISNUMBER(AM396),AM396,9000000000000000))</f>
        <v>9000000000000000</v>
      </c>
      <c r="AQ396" s="21" t="n">
        <f aca="false">MIN(IF(ISNUMBER(AG396),AG396,9000000000000000),IF(ISNUMBER(AH396),AH396,9000000000000000),IF(ISNUMBER(AI396),AI396,9000000000000000),IF(ISNUMBER(AJ396),AJ396,9000000000000000))</f>
        <v>37.4517507383159</v>
      </c>
      <c r="AR396" s="32" t="b">
        <f aca="false">IF(AW396&gt;Parameters!$B$21*(MAX(IF(AND(NOT(AND(AO396=1,AN396&lt;&gt;1)),ISNUMBER(AG396),AG396&lt;=T396),AS396,0),IF(AND(NOT(AND(AO396=1,AN396&lt;&gt;1)),ISNUMBER(AH396),AH396&lt;=T396),AT396,0),IF(AND(NOT(AND(AO396=1,AN396&lt;&gt;1)),ISNUMBER(AI396),AI396&lt;=T396),AU396,0),IF(AND(ISNUMBER(AJ396),AJ396&lt;=T396),AV396,0))),TRUE(),FALSE())</f>
        <v>1</v>
      </c>
      <c r="AS396" s="33" t="n">
        <f aca="false">IFERROR(Upgrades!$H$6*(POWER(Upgrades!$P$6,E396)*POWER(Upgrades!$P$7,F396)*POWER(Upgrades!$P$8,G396)*POWER(Upgrades!$P$9,H396)*POWER(Upgrades!$P$10,I396)*POWER(Upgrades!$P$11,J396)*POWER(Upgrades!$P$12,K396))*(IF(Upgrades!$T$7="Solar Wind",POWER(Upgrades!$U$7,F396),1)*IF(Upgrades!$T$8="Solar Wind",POWER(Upgrades!$U$8,G396),1)*IF(Upgrades!$T$9="Solar Wind",POWER(Upgrades!$U$9,H396),1)*IF(Upgrades!$T$10="Solar Wind",POWER(Upgrades!$U$10,I396),1)*IF(Upgrades!$T$11="Solar Wind",POWER(Upgrades!$U$11,J396),1)*IF(Upgrades!$T$12="Solar Wind",POWER(Upgrades!$U$12,K396),1))/AG396,0)</f>
        <v>0.0026701021455238</v>
      </c>
      <c r="AT396" s="33" t="n">
        <f aca="false">IFERROR(Upgrades!$H$7*(POWER(Upgrades!$P$6,E396)*POWER(Upgrades!$P$7,F396)*POWER(Upgrades!$P$8,G396)*POWER(Upgrades!$P$9,H396)*POWER(Upgrades!$P$10,I396)*POWER(Upgrades!$P$11,J396)*POWER(Upgrades!$P$12,K396))*(IF(Upgrades!$T$6="Asteroid Belt",POWER(Upgrades!$U$6,E396),1)*IF(Upgrades!$T$8="Asteroid Belt",POWER(Upgrades!$U$8,G396),1)*IF(Upgrades!$T$9="Asteroid Belt",POWER(Upgrades!$U$9,H396),1)*IF(Upgrades!$T$10="Asteroid Belt",POWER(Upgrades!$U$10,I396),1)*IF(Upgrades!$T$11="Asteroid Belt",POWER(Upgrades!$U$11,J396),1)*IF(Upgrades!$T$12="Asteroid Belt",POWER(Upgrades!$U$12,K396),1))/AH396,0)</f>
        <v>0.00308980882652332</v>
      </c>
      <c r="AU396" s="33" t="n">
        <f aca="false">IFERROR(Upgrades!$K$8*(POWER(Upgrades!$Q$6,E396)*POWER(Upgrades!$Q$7,F396)*POWER(Upgrades!$Q$8,G396)*POWER(Upgrades!$Q$9,H396)*POWER(Upgrades!$Q$10,I396)*POWER(Upgrades!$Q$11,J396)*POWER(Upgrades!$Q$12,K396))*(IF(Upgrades!$T$6="Stellar Coupling",POWER(Upgrades!$U$6,E396),1)*IF(Upgrades!$T$7="Stellar Coupling",POWER(Upgrades!$U$7,F396),1)*IF(Upgrades!$T$9="Stellar Coupling",POWER(Upgrades!$U$9,H396),1)*IF(Upgrades!$T$10="Stellar Coupling",POWER(Upgrades!$U$10,I396),1)*IF(Upgrades!$T$11="Stellar Coupling",POWER(Upgrades!$U$11,J396),1)*IF(Upgrades!$T$12="Stellar Coupling",POWER(Upgrades!$U$12,K396),1))*Parameters!$B$10*Parameters!$B$11/60/AI396,0)</f>
        <v>0.00452762415783776</v>
      </c>
      <c r="AV396" s="33" t="n">
        <f aca="false">IFERROR(Upgrades!$H$9*(POWER(Upgrades!$P$6,E396)*POWER(Upgrades!$P$7,F396)*POWER(Upgrades!$P$8,G396)*POWER(Upgrades!$P$9,H396)*POWER(Upgrades!$P$10,I396)*POWER(Upgrades!$P$11,J396)*POWER(Upgrades!$P$12,K396))*(IF(Upgrades!$T$6="Magnetosphere",POWER(Upgrades!$U$6,E396),1)*IF(Upgrades!$T$7="Magnetosphere",POWER(Upgrades!$U$7,F396),1)*IF(Upgrades!$T$8="Magnetosphere",POWER(Upgrades!$U$8,G396),1)*IF(Upgrades!$T$10="Magnetosphere",POWER(Upgrades!$U$10,I396),1)*IF(Upgrades!$T$11="Magnetosphere",POWER(Upgrades!$U$11,J396),1)*IF(Upgrades!$T$12="Magnetosphere",POWER(Upgrades!$U$12,K396),1))/AJ396,0)</f>
        <v>0</v>
      </c>
      <c r="AW396" s="33" t="n">
        <f aca="false">MAX(IF(I396&gt;0,0,IFERROR(0.25*N396/Upgrades!$C$10,0)),IF(J396&gt;0,0,IFERROR(0.5*((IF(G396=0,0,(Upgrades!$J$8+G396*Upgrades!$K$8)*POWER(Upgrades!$L$8,G396)))*(IF(Upgrades!$T$6="Stellar Coupling",POWER(Upgrades!$U$6,E396),1)*IF(Upgrades!$T$7="Stellar Coupling",POWER(Upgrades!$U$7,F396),1)*IF(Upgrades!$T$9="Stellar Coupling",POWER(Upgrades!$U$9,H396),1)*IF(Upgrades!$T$10="Stellar Coupling",POWER(Upgrades!$U$10,I396),1)*IF(Upgrades!$T$11="Stellar Coupling",POWER(Upgrades!$U$11,J396),1)*IF(Upgrades!$T$12="Stellar Coupling",POWER(Upgrades!$U$12,K396),1))*(POWER(Upgrades!$Q$6,E396)*POWER(Upgrades!$Q$7,F396)*POWER(Upgrades!$Q$8,G396)*POWER(Upgrades!$Q$9,H396)*POWER(Upgrades!$Q$10,I396)*POWER(Upgrades!$Q$11,J396)*POWER(Upgrades!$Q$12,K396))*Parameters!$B$10*Parameters!$B$11/60)/Upgrades!$C$11,0)),IF(K396&gt;0,0,IFERROR((1*(POWER(Upgrades!$P$6,E396)*POWER(Upgrades!$P$7,F396)*POWER(Upgrades!$P$8,G396)*POWER(Upgrades!$P$9,H396)*POWER(Upgrades!$P$10,I396)*POWER(Upgrades!$P$11,J396)*POWER(Upgrades!$P$12,K396))+0.2*M396*Parameters!$B$10*Parameters!$B$11/60)/Upgrades!$C$12,0)),IF(AND(ISNUMBER(AG396),AG396&gt;T396),AS396,0),IF(AND(ISNUMBER(AH396),AH396&gt;T396),AT396,0),IF(AND(ISNUMBER(AI396),AI396&gt;T396),AU396,0),IF(AND(ISNUMBER(AJ396),AJ396&gt;T396),AV396,0))</f>
        <v>0.00452762415783776</v>
      </c>
      <c r="AX396" s="29" t="str">
        <f aca="false">IF(AN396=1,"transition",IF(MIN(IF(AND(I396=0,ISNUMBER(AK396),AK396&lt;=T396),AK396,9000000000000000),IF(AND(J396=0,ISNUMBER(AL396),AL396&lt;=T396),AL396,9000000000000000),IF(AND(K396=0,ISNUMBER(AM396),AM396&lt;=T396),AM396,9000000000000000))&lt;9000000000000000,IF(AND(AND(I396=0,ISNUMBER(AK396),AK396&lt;=T396),AK396=MIN(IF(AND(I396=0,ISNUMBER(AK396),AK396&lt;=T396),AK396,9000000000000000),IF(AND(J396=0,ISNUMBER(AL396),AL396&lt;=T396),AL396,9000000000000000),IF(AND(K396=0,ISNUMBER(AM396),AM396&lt;=T396),AM396,9000000000000000))),"OR",IF(AND(AND(J396=0,ISNUMBER(AL396),AL396&lt;=T396),AL396=MIN(IF(AND(I396=0,ISNUMBER(AK396),AK396&lt;=T396),AK396,9000000000000000),IF(AND(J396=0,ISNUMBER(AL396),AL396&lt;=T396),AL396,9000000000000000),IF(AND(K396=0,ISNUMBER(AM396),AM396&lt;=T396),AM396,9000000000000000))),"HP","FP")),IF(AR396=TRUE(),"",IF(MAX(IF(AND(NOT(AND(AO396=1,AN396&lt;&gt;1)),ISNUMBER(AG396),AG396&lt;=T396),AS396,0),IF(AND(NOT(AND(AO396=1,AN396&lt;&gt;1)),ISNUMBER(AH396),AH396&lt;=T396),AT396,0),IF(AND(NOT(AND(AO396=1,AN396&lt;&gt;1)),ISNUMBER(AI396),AI396&lt;=T396),AU396,0),IF(AND(ISNUMBER(AJ396),AJ396&lt;=T396),AV396,0))&lt;=0,"",IF(AND(IF(AND(NOT(AND(AO396=1,AN396&lt;&gt;1)),ISNUMBER(AG396),AG396&lt;=T396),AS396,0)&gt;0,IF(AND(NOT(AND(AO396=1,AN396&lt;&gt;1)),ISNUMBER(AG396),AG396&lt;=T396),AS396,0)=MAX(IF(AND(NOT(AND(AO396=1,AN396&lt;&gt;1)),ISNUMBER(AG396),AG396&lt;=T396),AS396,0),IF(AND(NOT(AND(AO396=1,AN396&lt;&gt;1)),ISNUMBER(AH396),AH396&lt;=T396),AT396,0),IF(AND(NOT(AND(AO396=1,AN396&lt;&gt;1)),ISNUMBER(AI396),AI396&lt;=T396),AU396,0),IF(AND(ISNUMBER(AJ396),AJ396&lt;=T396),AV396,0))),"SW",IF(AND(IF(AND(NOT(AND(AO396=1,AN396&lt;&gt;1)),ISNUMBER(AH396),AH396&lt;=T396),AT396,0)&gt;0,IF(AND(NOT(AND(AO396=1,AN396&lt;&gt;1)),ISNUMBER(AH396),AH396&lt;=T396),AT396,0)=MAX(IF(AND(NOT(AND(AO396=1,AN396&lt;&gt;1)),ISNUMBER(AG396),AG396&lt;=T396),AS396,0),IF(AND(NOT(AND(AO396=1,AN396&lt;&gt;1)),ISNUMBER(AH396),AH396&lt;=T396),AT396,0),IF(AND(NOT(AND(AO396=1,AN396&lt;&gt;1)),ISNUMBER(AI396),AI396&lt;=T396),AU396,0),IF(AND(ISNUMBER(AJ396),AJ396&lt;=T396),AV396,0))),"AB",IF(AND(IF(AND(NOT(AND(AO396=1,AN396&lt;&gt;1)),ISNUMBER(AI396),AI396&lt;=T396),AU396,0)&gt;0,IF(AND(NOT(AND(AO396=1,AN396&lt;&gt;1)),ISNUMBER(AI396),AI396&lt;=T396),AU396,0)=MAX(IF(AND(NOT(AND(AO396=1,AN396&lt;&gt;1)),ISNUMBER(AG396),AG396&lt;=T396),AS396,0),IF(AND(NOT(AND(AO396=1,AN396&lt;&gt;1)),ISNUMBER(AH396),AH396&lt;=T396),AT396,0),IF(AND(NOT(AND(AO396=1,AN396&lt;&gt;1)),ISNUMBER(AI396),AI396&lt;=T396),AU396,0),IF(AND(ISNUMBER(AJ396),AJ396&lt;=T396),AV396,0))),"SC","Mag")))))))</f>
        <v/>
      </c>
    </row>
    <row r="397" customFormat="false" ht="15" hidden="false" customHeight="false" outlineLevel="0" collapsed="false">
      <c r="A397" s="26" t="n">
        <v>392</v>
      </c>
      <c r="B397" s="27" t="n">
        <f aca="false">A397*10/60</f>
        <v>65.3333333333333</v>
      </c>
      <c r="C397" s="21" t="n">
        <f aca="false">X396</f>
        <v>18.6730249835055</v>
      </c>
      <c r="D397" s="27" t="n">
        <f aca="false">D396+W396</f>
        <v>0</v>
      </c>
      <c r="E397" s="26" t="n">
        <f aca="false">E396+IF(U396="SW",1,0)</f>
        <v>12</v>
      </c>
      <c r="F397" s="26" t="n">
        <f aca="false">F396+IF(U396="AB",1,0)</f>
        <v>10</v>
      </c>
      <c r="G397" s="26" t="n">
        <f aca="false">G396+IF(U396="SC",1,0)</f>
        <v>7</v>
      </c>
      <c r="H397" s="26" t="n">
        <f aca="false">H396+IF(U396="Mag",1,0)</f>
        <v>5</v>
      </c>
      <c r="I397" s="26" t="n">
        <f aca="false">MAX(I396,IF(U396="OR",1,0))</f>
        <v>1</v>
      </c>
      <c r="J397" s="26" t="n">
        <f aca="false">MAX(J396,IF(U396="HP",1,0))</f>
        <v>1</v>
      </c>
      <c r="K397" s="26" t="n">
        <f aca="false">MAX(K396,IF(U396="FP",1,0))</f>
        <v>1</v>
      </c>
      <c r="L397" s="26" t="n">
        <f aca="false">MAX(L396,IF(U396="transition",1,0))</f>
        <v>1</v>
      </c>
      <c r="M397" s="28" t="n">
        <f aca="false">(Parameters!$B$9+(IF(E397=0,0,(Upgrades!$J$6+E397*Upgrades!$K$6)*POWER(Upgrades!$L$6,E397)))*(IF(Upgrades!$T$7="Solar Wind",POWER(Upgrades!$U$7,F397),1)*IF(Upgrades!$T$8="Solar Wind",POWER(Upgrades!$U$8,G397),1)*IF(Upgrades!$T$9="Solar Wind",POWER(Upgrades!$U$9,H397),1)*IF(Upgrades!$T$10="Solar Wind",POWER(Upgrades!$U$10,I397),1)*IF(Upgrades!$T$11="Solar Wind",POWER(Upgrades!$U$11,J397),1)*IF(Upgrades!$T$12="Solar Wind",POWER(Upgrades!$U$12,K397),1))+(IF(F397=0,0,(Upgrades!$J$7+F397*Upgrades!$K$7)*POWER(Upgrades!$L$7,F397)))*(IF(Upgrades!$T$6="Asteroid Belt",POWER(Upgrades!$U$6,E397),1)*IF(Upgrades!$T$8="Asteroid Belt",POWER(Upgrades!$U$8,G397),1)*IF(Upgrades!$T$9="Asteroid Belt",POWER(Upgrades!$U$9,H397),1)*IF(Upgrades!$T$10="Asteroid Belt",POWER(Upgrades!$U$10,I397),1)*IF(Upgrades!$T$11="Asteroid Belt",POWER(Upgrades!$U$11,J397),1)*IF(Upgrades!$T$12="Asteroid Belt",POWER(Upgrades!$U$12,K397),1))+(IF(G397=0,0,(Upgrades!$J$8+G397*Upgrades!$K$8)*POWER(Upgrades!$L$8,G397)))*(IF(Upgrades!$T$6="Stellar Coupling",POWER(Upgrades!$U$6,E397),1)*IF(Upgrades!$T$7="Stellar Coupling",POWER(Upgrades!$U$7,F397),1)*IF(Upgrades!$T$9="Stellar Coupling",POWER(Upgrades!$U$9,H397),1)*IF(Upgrades!$T$10="Stellar Coupling",POWER(Upgrades!$U$10,I397),1)*IF(Upgrades!$T$11="Stellar Coupling",POWER(Upgrades!$U$11,J397),1)*IF(Upgrades!$T$12="Stellar Coupling",POWER(Upgrades!$U$12,K397),1))+(IF(H397=0,0,(Upgrades!$J$9+H397*Upgrades!$K$9)*POWER(Upgrades!$L$9,H397)))*(IF(Upgrades!$T$6="Magnetosphere",POWER(Upgrades!$U$6,E397),1)*IF(Upgrades!$T$7="Magnetosphere",POWER(Upgrades!$U$7,F397),1)*IF(Upgrades!$T$8="Magnetosphere",POWER(Upgrades!$U$8,G397),1)*IF(Upgrades!$T$10="Magnetosphere",POWER(Upgrades!$U$10,I397),1)*IF(Upgrades!$T$11="Magnetosphere",POWER(Upgrades!$U$11,J397),1)*IF(Upgrades!$T$12="Magnetosphere",POWER(Upgrades!$U$12,K397),1))+(IF(I397=0,0,(Upgrades!$J$10+I397*Upgrades!$K$10)*POWER(Upgrades!$L$10,I397)))*(IF(Upgrades!$T$6="Orbital Resonance",POWER(Upgrades!$U$6,E397),1)*IF(Upgrades!$T$7="Orbital Resonance",POWER(Upgrades!$U$7,F397),1)*IF(Upgrades!$T$8="Orbital Resonance",POWER(Upgrades!$U$8,G397),1)*IF(Upgrades!$T$9="Orbital Resonance",POWER(Upgrades!$U$9,H397),1)*IF(Upgrades!$T$11="Orbital Resonance",POWER(Upgrades!$U$11,J397),1)*IF(Upgrades!$T$12="Orbital Resonance",POWER(Upgrades!$U$12,K397),1))+(IF(J397=0,0,(Upgrades!$J$11+J397*Upgrades!$K$11)*POWER(Upgrades!$L$11,J397)))*(IF(Upgrades!$T$6="Heliopause",POWER(Upgrades!$U$6,E397),1)*IF(Upgrades!$T$7="Heliopause",POWER(Upgrades!$U$7,F397),1)*IF(Upgrades!$T$8="Heliopause",POWER(Upgrades!$U$8,G397),1)*IF(Upgrades!$T$9="Heliopause",POWER(Upgrades!$U$9,H397),1)*IF(Upgrades!$T$10="Heliopause",POWER(Upgrades!$U$10,I397),1)*IF(Upgrades!$T$12="Heliopause",POWER(Upgrades!$U$12,K397),1))+(IF(K397=0,0,(Upgrades!$J$12+K397*Upgrades!$K$12)*POWER(Upgrades!$L$12,K397)))*(IF(Upgrades!$T$6="First Photons",POWER(Upgrades!$U$6,E397),1)*IF(Upgrades!$T$7="First Photons",POWER(Upgrades!$U$7,F397),1)*IF(Upgrades!$T$8="First Photons",POWER(Upgrades!$U$8,G397),1)*IF(Upgrades!$T$9="First Photons",POWER(Upgrades!$U$9,H397),1)*IF(Upgrades!$T$10="First Photons",POWER(Upgrades!$U$10,I397),1)*IF(Upgrades!$T$11="First Photons",POWER(Upgrades!$U$11,J397),1)))*POWER(Upgrades!$Q$6,E397)*POWER(Upgrades!$Q$7,F397)*POWER(Upgrades!$Q$8,G397)*POWER(Upgrades!$Q$9,H397)*POWER(Upgrades!$Q$10,I397)*POWER(Upgrades!$Q$11,J397)*POWER(Upgrades!$Q$12,K397)</f>
        <v>5.61</v>
      </c>
      <c r="N397" s="28" t="n">
        <f aca="false">((IF(E397=0,0,(Upgrades!$G$6+E397*Upgrades!$H$6)*POWER(Upgrades!$I$6,E397)))*(IF(Upgrades!$T$7="Solar Wind",POWER(Upgrades!$U$7,F397),1)*IF(Upgrades!$T$8="Solar Wind",POWER(Upgrades!$U$8,G397),1)*IF(Upgrades!$T$9="Solar Wind",POWER(Upgrades!$U$9,H397),1)*IF(Upgrades!$T$10="Solar Wind",POWER(Upgrades!$U$10,I397),1)*IF(Upgrades!$T$11="Solar Wind",POWER(Upgrades!$U$11,J397),1)*IF(Upgrades!$T$12="Solar Wind",POWER(Upgrades!$U$12,K397),1))+(IF(F397=0,0,(Upgrades!$G$7+F397*Upgrades!$H$7)*POWER(Upgrades!$I$7,F397)))*(IF(Upgrades!$T$6="Asteroid Belt",POWER(Upgrades!$U$6,E397),1)*IF(Upgrades!$T$8="Asteroid Belt",POWER(Upgrades!$U$8,G397),1)*IF(Upgrades!$T$9="Asteroid Belt",POWER(Upgrades!$U$9,H397),1)*IF(Upgrades!$T$10="Asteroid Belt",POWER(Upgrades!$U$10,I397),1)*IF(Upgrades!$T$11="Asteroid Belt",POWER(Upgrades!$U$11,J397),1)*IF(Upgrades!$T$12="Asteroid Belt",POWER(Upgrades!$U$12,K397),1))+(IF(G397=0,0,(Upgrades!$G$8+G397*Upgrades!$H$8)*POWER(Upgrades!$I$8,G397)))*(IF(Upgrades!$T$6="Stellar Coupling",POWER(Upgrades!$U$6,E397),1)*IF(Upgrades!$T$7="Stellar Coupling",POWER(Upgrades!$U$7,F397),1)*IF(Upgrades!$T$9="Stellar Coupling",POWER(Upgrades!$U$9,H397),1)*IF(Upgrades!$T$10="Stellar Coupling",POWER(Upgrades!$U$10,I397),1)*IF(Upgrades!$T$11="Stellar Coupling",POWER(Upgrades!$U$11,J397),1)*IF(Upgrades!$T$12="Stellar Coupling",POWER(Upgrades!$U$12,K397),1))+(IF(H397=0,0,(Upgrades!$G$9+H397*Upgrades!$H$9)*POWER(Upgrades!$I$9,H397)))*(IF(Upgrades!$T$6="Magnetosphere",POWER(Upgrades!$U$6,E397),1)*IF(Upgrades!$T$7="Magnetosphere",POWER(Upgrades!$U$7,F397),1)*IF(Upgrades!$T$8="Magnetosphere",POWER(Upgrades!$U$8,G397),1)*IF(Upgrades!$T$10="Magnetosphere",POWER(Upgrades!$U$10,I397),1)*IF(Upgrades!$T$11="Magnetosphere",POWER(Upgrades!$U$11,J397),1)*IF(Upgrades!$T$12="Magnetosphere",POWER(Upgrades!$U$12,K397),1))+(IF(I397=0,0,(Upgrades!$G$10+I397*Upgrades!$H$10)*POWER(Upgrades!$I$10,I397)))*(IF(Upgrades!$T$6="Orbital Resonance",POWER(Upgrades!$U$6,E397),1)*IF(Upgrades!$T$7="Orbital Resonance",POWER(Upgrades!$U$7,F397),1)*IF(Upgrades!$T$8="Orbital Resonance",POWER(Upgrades!$U$8,G397),1)*IF(Upgrades!$T$9="Orbital Resonance",POWER(Upgrades!$U$9,H397),1)*IF(Upgrades!$T$11="Orbital Resonance",POWER(Upgrades!$U$11,J397),1)*IF(Upgrades!$T$12="Orbital Resonance",POWER(Upgrades!$U$12,K397),1))+(IF(J397=0,0,(Upgrades!$G$11+J397*Upgrades!$H$11)*POWER(Upgrades!$I$11,J397)))*(IF(Upgrades!$T$6="Heliopause",POWER(Upgrades!$U$6,E397),1)*IF(Upgrades!$T$7="Heliopause",POWER(Upgrades!$U$7,F397),1)*IF(Upgrades!$T$8="Heliopause",POWER(Upgrades!$U$8,G397),1)*IF(Upgrades!$T$9="Heliopause",POWER(Upgrades!$U$9,H397),1)*IF(Upgrades!$T$10="Heliopause",POWER(Upgrades!$U$10,I397),1)*IF(Upgrades!$T$12="Heliopause",POWER(Upgrades!$U$12,K397),1))+(IF(K397=0,0,(Upgrades!$G$12+K397*Upgrades!$H$12)*POWER(Upgrades!$I$12,K397)))*(IF(Upgrades!$T$6="First Photons",POWER(Upgrades!$U$6,E397),1)*IF(Upgrades!$T$7="First Photons",POWER(Upgrades!$U$7,F397),1)*IF(Upgrades!$T$8="First Photons",POWER(Upgrades!$U$8,G397),1)*IF(Upgrades!$T$9="First Photons",POWER(Upgrades!$U$9,H397),1)*IF(Upgrades!$T$10="First Photons",POWER(Upgrades!$U$10,I397),1)*IF(Upgrades!$T$11="First Photons",POWER(Upgrades!$U$11,J397),1)))*POWER(Upgrades!$P$6,E397)*POWER(Upgrades!$P$7,F397)*POWER(Upgrades!$P$8,G397)*POWER(Upgrades!$P$9,H397)*POWER(Upgrades!$P$10,I397)*POWER(Upgrades!$P$11,J397)*POWER(Upgrades!$P$12,K397)</f>
        <v>11.2</v>
      </c>
      <c r="O397" s="28" t="n">
        <f aca="false">((IF(E397=0,0,(Upgrades!$M$6+E397*Upgrades!$N$6)*POWER(Upgrades!$O$6,E397)))*(IF(Upgrades!$T$7="Solar Wind",POWER(Upgrades!$U$7,F397),1)*IF(Upgrades!$T$8="Solar Wind",POWER(Upgrades!$U$8,G397),1)*IF(Upgrades!$T$9="Solar Wind",POWER(Upgrades!$U$9,H397),1)*IF(Upgrades!$T$10="Solar Wind",POWER(Upgrades!$U$10,I397),1)*IF(Upgrades!$T$11="Solar Wind",POWER(Upgrades!$U$11,J397),1)*IF(Upgrades!$T$12="Solar Wind",POWER(Upgrades!$U$12,K397),1))+(IF(F397=0,0,(Upgrades!$M$7+F397*Upgrades!$N$7)*POWER(Upgrades!$O$7,F397)))*(IF(Upgrades!$T$6="Asteroid Belt",POWER(Upgrades!$U$6,E397),1)*IF(Upgrades!$T$8="Asteroid Belt",POWER(Upgrades!$U$8,G397),1)*IF(Upgrades!$T$9="Asteroid Belt",POWER(Upgrades!$U$9,H397),1)*IF(Upgrades!$T$10="Asteroid Belt",POWER(Upgrades!$U$10,I397),1)*IF(Upgrades!$T$11="Asteroid Belt",POWER(Upgrades!$U$11,J397),1)*IF(Upgrades!$T$12="Asteroid Belt",POWER(Upgrades!$U$12,K397),1))+(IF(G397=0,0,(Upgrades!$M$8+G397*Upgrades!$N$8)*POWER(Upgrades!$O$8,G397)))*(IF(Upgrades!$T$6="Stellar Coupling",POWER(Upgrades!$U$6,E397),1)*IF(Upgrades!$T$7="Stellar Coupling",POWER(Upgrades!$U$7,F397),1)*IF(Upgrades!$T$9="Stellar Coupling",POWER(Upgrades!$U$9,H397),1)*IF(Upgrades!$T$10="Stellar Coupling",POWER(Upgrades!$U$10,I397),1)*IF(Upgrades!$T$11="Stellar Coupling",POWER(Upgrades!$U$11,J397),1)*IF(Upgrades!$T$12="Stellar Coupling",POWER(Upgrades!$U$12,K397),1))+(IF(H397=0,0,(Upgrades!$M$9+H397*Upgrades!$N$9)*POWER(Upgrades!$O$9,H397)))*(IF(Upgrades!$T$6="Magnetosphere",POWER(Upgrades!$U$6,E397),1)*IF(Upgrades!$T$7="Magnetosphere",POWER(Upgrades!$U$7,F397),1)*IF(Upgrades!$T$8="Magnetosphere",POWER(Upgrades!$U$8,G397),1)*IF(Upgrades!$T$10="Magnetosphere",POWER(Upgrades!$U$10,I397),1)*IF(Upgrades!$T$11="Magnetosphere",POWER(Upgrades!$U$11,J397),1)*IF(Upgrades!$T$12="Magnetosphere",POWER(Upgrades!$U$12,K397),1))+(IF(I397=0,0,(Upgrades!$M$10+I397*Upgrades!$N$10)*POWER(Upgrades!$O$10,I397)))*(IF(Upgrades!$T$6="Orbital Resonance",POWER(Upgrades!$U$6,E397),1)*IF(Upgrades!$T$7="Orbital Resonance",POWER(Upgrades!$U$7,F397),1)*IF(Upgrades!$T$8="Orbital Resonance",POWER(Upgrades!$U$8,G397),1)*IF(Upgrades!$T$9="Orbital Resonance",POWER(Upgrades!$U$9,H397),1)*IF(Upgrades!$T$11="Orbital Resonance",POWER(Upgrades!$U$11,J397),1)*IF(Upgrades!$T$12="Orbital Resonance",POWER(Upgrades!$U$12,K397),1))+(IF(J397=0,0,(Upgrades!$M$11+J397*Upgrades!$N$11)*POWER(Upgrades!$O$11,J397)))*(IF(Upgrades!$T$6="Heliopause",POWER(Upgrades!$U$6,E397),1)*IF(Upgrades!$T$7="Heliopause",POWER(Upgrades!$U$7,F397),1)*IF(Upgrades!$T$8="Heliopause",POWER(Upgrades!$U$8,G397),1)*IF(Upgrades!$T$9="Heliopause",POWER(Upgrades!$U$9,H397),1)*IF(Upgrades!$T$10="Heliopause",POWER(Upgrades!$U$10,I397),1)*IF(Upgrades!$T$12="Heliopause",POWER(Upgrades!$U$12,K397),1))+(IF(K397=0,0,(Upgrades!$M$12+K397*Upgrades!$N$12)*POWER(Upgrades!$O$12,K397)))*(IF(Upgrades!$T$6="First Photons",POWER(Upgrades!$U$6,E397),1)*IF(Upgrades!$T$7="First Photons",POWER(Upgrades!$U$7,F397),1)*IF(Upgrades!$T$8="First Photons",POWER(Upgrades!$U$8,G397),1)*IF(Upgrades!$T$9="First Photons",POWER(Upgrades!$U$9,H397),1)*IF(Upgrades!$T$10="First Photons",POWER(Upgrades!$U$10,I397),1)*IF(Upgrades!$T$11="First Photons",POWER(Upgrades!$U$11,J397),1)))*POWER(Upgrades!$R$6,E397)*POWER(Upgrades!$R$7,F397)*POWER(Upgrades!$R$8,G397)*POWER(Upgrades!$R$9,H397)*POWER(Upgrades!$R$10,I397)*POWER(Upgrades!$R$11,J397)*POWER(Upgrades!$R$12,K397)</f>
        <v>0</v>
      </c>
      <c r="P397" s="27" t="n">
        <f aca="false">IF(L397=1,0,M397*Parameters!$B$10/60*Parameters!$B$11*10)</f>
        <v>0</v>
      </c>
      <c r="Q397" s="27" t="n">
        <f aca="false">IF(L397=1,0,O397*M397*10)</f>
        <v>0</v>
      </c>
      <c r="R397" s="27" t="n">
        <f aca="false">IF(L397=1,0,N397*10)</f>
        <v>0</v>
      </c>
      <c r="S397" s="27" t="n">
        <f aca="false">P397+Q397+R397</f>
        <v>0</v>
      </c>
      <c r="T397" s="21" t="n">
        <f aca="false">C397+S397</f>
        <v>18.6730249835055</v>
      </c>
      <c r="U397" s="34" t="str">
        <f aca="false">AX397</f>
        <v/>
      </c>
      <c r="V397" s="21" t="n">
        <f aca="false">IF(U397="",0,IF(U397="transition",0,IF(U397="SW",AG397,IF(U397="AB",AH397,IF(U397="SC",AI397,IF(U397="Mag",AJ397,IF(U397="OR",AK397,IF(U397="HP",AL397,IF(U397="FP",AM397,0)))))))))</f>
        <v>0</v>
      </c>
      <c r="W397" s="27" t="n">
        <f aca="false">IF(U397="OR",Upgrades!$F$10,IF(U397="HP",Upgrades!$F$11,IF(U397="transition",-Parameters!$B$18,0)))</f>
        <v>0</v>
      </c>
      <c r="X397" s="21" t="n">
        <f aca="false">T397-V397</f>
        <v>18.6730249835055</v>
      </c>
      <c r="Y397" s="30" t="n">
        <f aca="false">M397*Parameters!$B$10/60*Parameters!$B$11+O397*M397+N397</f>
        <v>20.55</v>
      </c>
      <c r="Z397" s="35" t="str">
        <f aca="false">IF(U397="transition","→ Tier 2 (Stellar Neighborhood)",IF(U397="FP","First Photons — light begins, system quickens",IF(U397="HP","Heliopause acquired",IF(U397="OR","Orbital Resonance — passive multiplier active",IF(AND(AO397=1,L397=0,AN397&lt;&gt;1),"Cohesion ready (waiting on completionist upgrades)","")))))</f>
        <v/>
      </c>
      <c r="AA397" s="27" t="n">
        <f aca="false">(IF(E397=0,0,(Upgrades!$G$6+E397*Upgrades!$H$6)*POWER(Upgrades!$I$6,E397)))*(IF(Upgrades!$T$7="Solar Wind",POWER(Upgrades!$U$7,F397),1)*IF(Upgrades!$T$8="Solar Wind",POWER(Upgrades!$U$8,G397),1)*IF(Upgrades!$T$9="Solar Wind",POWER(Upgrades!$U$9,H397),1)*IF(Upgrades!$T$10="Solar Wind",POWER(Upgrades!$U$10,I397),1)*IF(Upgrades!$T$11="Solar Wind",POWER(Upgrades!$U$11,J397),1)*IF(Upgrades!$T$12="Solar Wind",POWER(Upgrades!$U$12,K397),1))*POWER(Upgrades!$P$6,E397)*POWER(Upgrades!$P$7,F397)*POWER(Upgrades!$P$8,G397)*POWER(Upgrades!$P$9,H397)*POWER(Upgrades!$P$10,I397)*POWER(Upgrades!$P$11,J397)*POWER(Upgrades!$P$12,K397)*60</f>
        <v>72</v>
      </c>
      <c r="AB397" s="27" t="n">
        <f aca="false">(IF(F397=0,0,(Upgrades!$G$7+F397*Upgrades!$H$7)*POWER(Upgrades!$I$7,F397)))*(IF(Upgrades!$T$6="Asteroid Belt",POWER(Upgrades!$U$6,E397),1)*IF(Upgrades!$T$8="Asteroid Belt",POWER(Upgrades!$U$8,G397),1)*IF(Upgrades!$T$9="Asteroid Belt",POWER(Upgrades!$U$9,H397),1)*IF(Upgrades!$T$10="Asteroid Belt",POWER(Upgrades!$U$10,I397),1)*IF(Upgrades!$T$11="Asteroid Belt",POWER(Upgrades!$U$11,J397),1)*IF(Upgrades!$T$12="Asteroid Belt",POWER(Upgrades!$U$12,K397),1))*POWER(Upgrades!$P$6,E397)*POWER(Upgrades!$P$7,F397)*POWER(Upgrades!$P$8,G397)*POWER(Upgrades!$P$9,H397)*POWER(Upgrades!$P$10,I397)*POWER(Upgrades!$P$11,J397)*POWER(Upgrades!$P$12,K397)*60</f>
        <v>150</v>
      </c>
      <c r="AC397" s="27" t="n">
        <f aca="false">(IF(G397=0,0,(Upgrades!$J$8+G397*Upgrades!$K$8)*POWER(Upgrades!$L$8,G397)))*(IF(Upgrades!$T$6="Stellar Coupling",POWER(Upgrades!$U$6,E397),1)*IF(Upgrades!$T$7="Stellar Coupling",POWER(Upgrades!$U$7,F397),1)*IF(Upgrades!$T$9="Stellar Coupling",POWER(Upgrades!$U$9,H397),1)*IF(Upgrades!$T$10="Stellar Coupling",POWER(Upgrades!$U$10,I397),1)*IF(Upgrades!$T$11="Stellar Coupling",POWER(Upgrades!$U$11,J397),1)*IF(Upgrades!$T$12="Stellar Coupling",POWER(Upgrades!$U$12,K397),1))*POWER(Upgrades!$Q$6,E397)*POWER(Upgrades!$Q$7,F397)*POWER(Upgrades!$Q$8,G397)*POWER(Upgrades!$Q$9,H397)*POWER(Upgrades!$Q$10,I397)*POWER(Upgrades!$Q$11,J397)*POWER(Upgrades!$Q$12,K397)*Parameters!$B$10*Parameters!$B$11</f>
        <v>441</v>
      </c>
      <c r="AD397" s="27" t="n">
        <f aca="false">(IF(H397=0,0,(Upgrades!$G$9+H397*Upgrades!$H$9)*POWER(Upgrades!$I$9,H397)))*(IF(Upgrades!$T$6="Magnetosphere",POWER(Upgrades!$U$6,E397),1)*IF(Upgrades!$T$7="Magnetosphere",POWER(Upgrades!$U$7,F397),1)*IF(Upgrades!$T$8="Magnetosphere",POWER(Upgrades!$U$8,G397),1)*IF(Upgrades!$T$10="Magnetosphere",POWER(Upgrades!$U$10,I397),1)*IF(Upgrades!$T$11="Magnetosphere",POWER(Upgrades!$U$11,J397),1)*IF(Upgrades!$T$12="Magnetosphere",POWER(Upgrades!$U$12,K397),1))*POWER(Upgrades!$P$6,E397)*POWER(Upgrades!$P$7,F397)*POWER(Upgrades!$P$8,G397)*POWER(Upgrades!$P$9,H397)*POWER(Upgrades!$P$10,I397)*POWER(Upgrades!$P$11,J397)*POWER(Upgrades!$P$12,K397)*60</f>
        <v>375</v>
      </c>
      <c r="AE397" s="27" t="n">
        <f aca="false">(IF(K397=0,0,(Upgrades!$G$12+K397*Upgrades!$H$12)*POWER(Upgrades!$I$12,K397)))*(IF(Upgrades!$T$6="First Photons",POWER(Upgrades!$U$6,E397),1)*IF(Upgrades!$T$7="First Photons",POWER(Upgrades!$U$7,F397),1)*IF(Upgrades!$T$8="First Photons",POWER(Upgrades!$U$8,G397),1)*IF(Upgrades!$T$9="First Photons",POWER(Upgrades!$U$9,H397),1)*IF(Upgrades!$T$10="First Photons",POWER(Upgrades!$U$10,I397),1)*IF(Upgrades!$T$11="First Photons",POWER(Upgrades!$U$11,J397),1))*POWER(Upgrades!$P$6,E397)*POWER(Upgrades!$P$7,F397)*POWER(Upgrades!$P$8,G397)*POWER(Upgrades!$P$9,H397)*POWER(Upgrades!$P$10,I397)*POWER(Upgrades!$P$11,J397)*POWER(Upgrades!$P$12,K397)*60</f>
        <v>75</v>
      </c>
      <c r="AF397" s="27" t="n">
        <f aca="false">Parameters!$B$9*POWER(Upgrades!$Q$6,E397)*POWER(Upgrades!$Q$7,F397)*POWER(Upgrades!$Q$8,G397)*POWER(Upgrades!$Q$9,H397)*POWER(Upgrades!$Q$10,I397)*POWER(Upgrades!$Q$11,J397)*POWER(Upgrades!$Q$12,K397)*(Parameters!$B$10*Parameters!$B$11+O397*60)</f>
        <v>120</v>
      </c>
      <c r="AG397" s="21" t="n">
        <f aca="false">IF(E397&gt;=Upgrades!$E$6,"",Upgrades!$C$6*POWER(Upgrades!$D$6,E397))</f>
        <v>37.4517507383159</v>
      </c>
      <c r="AH397" s="21" t="n">
        <f aca="false">IF(F397&gt;=Upgrades!$E$7,"",Upgrades!$C$7*POWER(Upgrades!$D$7,F397))</f>
        <v>80.9111547141581</v>
      </c>
      <c r="AI397" s="21" t="n">
        <f aca="false">IF(G397&gt;=Upgrades!$E$8,"",Upgrades!$C$8*POWER(Upgrades!$D$8,G397))</f>
        <v>231.9097088</v>
      </c>
      <c r="AJ397" s="21" t="str">
        <f aca="false">IF(H397&gt;=Upgrades!$E$9,"",Upgrades!$C$9*POWER(Upgrades!$D$9,H397))</f>
        <v/>
      </c>
      <c r="AK397" s="21" t="str">
        <f aca="false">IF(I397&gt;=Upgrades!$E$10,"",Upgrades!$C$10*POWER(Upgrades!$D$10,I397))</f>
        <v/>
      </c>
      <c r="AL397" s="21" t="str">
        <f aca="false">IF(J397&gt;=Upgrades!$E$11,"",Upgrades!$C$11*POWER(Upgrades!$D$11,J397))</f>
        <v/>
      </c>
      <c r="AM397" s="21" t="str">
        <f aca="false">IF(K397&gt;=Upgrades!$E$12,"",Upgrades!$C$12*POWER(Upgrades!$D$12,K397))</f>
        <v/>
      </c>
      <c r="AN397" s="26" t="str">
        <f aca="false">IF(AND(D397&gt;=Parameters!$B$18,(H397&gt;=Upgrades!$E$9)*(K397&gt;=Upgrades!$E$12)=1,L397=0),1,"")</f>
        <v/>
      </c>
      <c r="AO397" s="26" t="str">
        <f aca="false">IF(AND(D397&gt;=Parameters!$B$18,L397=0),1,"")</f>
        <v/>
      </c>
      <c r="AP397" s="21" t="n">
        <f aca="false">MIN(IF(ISNUMBER(AK397),AK397,9000000000000000),IF(ISNUMBER(AL397),AL397,9000000000000000),IF(ISNUMBER(AM397),AM397,9000000000000000))</f>
        <v>9000000000000000</v>
      </c>
      <c r="AQ397" s="21" t="n">
        <f aca="false">MIN(IF(ISNUMBER(AG397),AG397,9000000000000000),IF(ISNUMBER(AH397),AH397,9000000000000000),IF(ISNUMBER(AI397),AI397,9000000000000000),IF(ISNUMBER(AJ397),AJ397,9000000000000000))</f>
        <v>37.4517507383159</v>
      </c>
      <c r="AR397" s="32" t="b">
        <f aca="false">IF(AW397&gt;Parameters!$B$21*(MAX(IF(AND(NOT(AND(AO397=1,AN397&lt;&gt;1)),ISNUMBER(AG397),AG397&lt;=T397),AS397,0),IF(AND(NOT(AND(AO397=1,AN397&lt;&gt;1)),ISNUMBER(AH397),AH397&lt;=T397),AT397,0),IF(AND(NOT(AND(AO397=1,AN397&lt;&gt;1)),ISNUMBER(AI397),AI397&lt;=T397),AU397,0),IF(AND(ISNUMBER(AJ397),AJ397&lt;=T397),AV397,0))),TRUE(),FALSE())</f>
        <v>1</v>
      </c>
      <c r="AS397" s="33" t="n">
        <f aca="false">IFERROR(Upgrades!$H$6*(POWER(Upgrades!$P$6,E397)*POWER(Upgrades!$P$7,F397)*POWER(Upgrades!$P$8,G397)*POWER(Upgrades!$P$9,H397)*POWER(Upgrades!$P$10,I397)*POWER(Upgrades!$P$11,J397)*POWER(Upgrades!$P$12,K397))*(IF(Upgrades!$T$7="Solar Wind",POWER(Upgrades!$U$7,F397),1)*IF(Upgrades!$T$8="Solar Wind",POWER(Upgrades!$U$8,G397),1)*IF(Upgrades!$T$9="Solar Wind",POWER(Upgrades!$U$9,H397),1)*IF(Upgrades!$T$10="Solar Wind",POWER(Upgrades!$U$10,I397),1)*IF(Upgrades!$T$11="Solar Wind",POWER(Upgrades!$U$11,J397),1)*IF(Upgrades!$T$12="Solar Wind",POWER(Upgrades!$U$12,K397),1))/AG397,0)</f>
        <v>0.0026701021455238</v>
      </c>
      <c r="AT397" s="33" t="n">
        <f aca="false">IFERROR(Upgrades!$H$7*(POWER(Upgrades!$P$6,E397)*POWER(Upgrades!$P$7,F397)*POWER(Upgrades!$P$8,G397)*POWER(Upgrades!$P$9,H397)*POWER(Upgrades!$P$10,I397)*POWER(Upgrades!$P$11,J397)*POWER(Upgrades!$P$12,K397))*(IF(Upgrades!$T$6="Asteroid Belt",POWER(Upgrades!$U$6,E397),1)*IF(Upgrades!$T$8="Asteroid Belt",POWER(Upgrades!$U$8,G397),1)*IF(Upgrades!$T$9="Asteroid Belt",POWER(Upgrades!$U$9,H397),1)*IF(Upgrades!$T$10="Asteroid Belt",POWER(Upgrades!$U$10,I397),1)*IF(Upgrades!$T$11="Asteroid Belt",POWER(Upgrades!$U$11,J397),1)*IF(Upgrades!$T$12="Asteroid Belt",POWER(Upgrades!$U$12,K397),1))/AH397,0)</f>
        <v>0.00308980882652332</v>
      </c>
      <c r="AU397" s="33" t="n">
        <f aca="false">IFERROR(Upgrades!$K$8*(POWER(Upgrades!$Q$6,E397)*POWER(Upgrades!$Q$7,F397)*POWER(Upgrades!$Q$8,G397)*POWER(Upgrades!$Q$9,H397)*POWER(Upgrades!$Q$10,I397)*POWER(Upgrades!$Q$11,J397)*POWER(Upgrades!$Q$12,K397))*(IF(Upgrades!$T$6="Stellar Coupling",POWER(Upgrades!$U$6,E397),1)*IF(Upgrades!$T$7="Stellar Coupling",POWER(Upgrades!$U$7,F397),1)*IF(Upgrades!$T$9="Stellar Coupling",POWER(Upgrades!$U$9,H397),1)*IF(Upgrades!$T$10="Stellar Coupling",POWER(Upgrades!$U$10,I397),1)*IF(Upgrades!$T$11="Stellar Coupling",POWER(Upgrades!$U$11,J397),1)*IF(Upgrades!$T$12="Stellar Coupling",POWER(Upgrades!$U$12,K397),1))*Parameters!$B$10*Parameters!$B$11/60/AI397,0)</f>
        <v>0.00452762415783776</v>
      </c>
      <c r="AV397" s="33" t="n">
        <f aca="false">IFERROR(Upgrades!$H$9*(POWER(Upgrades!$P$6,E397)*POWER(Upgrades!$P$7,F397)*POWER(Upgrades!$P$8,G397)*POWER(Upgrades!$P$9,H397)*POWER(Upgrades!$P$10,I397)*POWER(Upgrades!$P$11,J397)*POWER(Upgrades!$P$12,K397))*(IF(Upgrades!$T$6="Magnetosphere",POWER(Upgrades!$U$6,E397),1)*IF(Upgrades!$T$7="Magnetosphere",POWER(Upgrades!$U$7,F397),1)*IF(Upgrades!$T$8="Magnetosphere",POWER(Upgrades!$U$8,G397),1)*IF(Upgrades!$T$10="Magnetosphere",POWER(Upgrades!$U$10,I397),1)*IF(Upgrades!$T$11="Magnetosphere",POWER(Upgrades!$U$11,J397),1)*IF(Upgrades!$T$12="Magnetosphere",POWER(Upgrades!$U$12,K397),1))/AJ397,0)</f>
        <v>0</v>
      </c>
      <c r="AW397" s="33" t="n">
        <f aca="false">MAX(IF(I397&gt;0,0,IFERROR(0.25*N397/Upgrades!$C$10,0)),IF(J397&gt;0,0,IFERROR(0.5*((IF(G397=0,0,(Upgrades!$J$8+G397*Upgrades!$K$8)*POWER(Upgrades!$L$8,G397)))*(IF(Upgrades!$T$6="Stellar Coupling",POWER(Upgrades!$U$6,E397),1)*IF(Upgrades!$T$7="Stellar Coupling",POWER(Upgrades!$U$7,F397),1)*IF(Upgrades!$T$9="Stellar Coupling",POWER(Upgrades!$U$9,H397),1)*IF(Upgrades!$T$10="Stellar Coupling",POWER(Upgrades!$U$10,I397),1)*IF(Upgrades!$T$11="Stellar Coupling",POWER(Upgrades!$U$11,J397),1)*IF(Upgrades!$T$12="Stellar Coupling",POWER(Upgrades!$U$12,K397),1))*(POWER(Upgrades!$Q$6,E397)*POWER(Upgrades!$Q$7,F397)*POWER(Upgrades!$Q$8,G397)*POWER(Upgrades!$Q$9,H397)*POWER(Upgrades!$Q$10,I397)*POWER(Upgrades!$Q$11,J397)*POWER(Upgrades!$Q$12,K397))*Parameters!$B$10*Parameters!$B$11/60)/Upgrades!$C$11,0)),IF(K397&gt;0,0,IFERROR((1*(POWER(Upgrades!$P$6,E397)*POWER(Upgrades!$P$7,F397)*POWER(Upgrades!$P$8,G397)*POWER(Upgrades!$P$9,H397)*POWER(Upgrades!$P$10,I397)*POWER(Upgrades!$P$11,J397)*POWER(Upgrades!$P$12,K397))+0.2*M397*Parameters!$B$10*Parameters!$B$11/60)/Upgrades!$C$12,0)),IF(AND(ISNUMBER(AG397),AG397&gt;T397),AS397,0),IF(AND(ISNUMBER(AH397),AH397&gt;T397),AT397,0),IF(AND(ISNUMBER(AI397),AI397&gt;T397),AU397,0),IF(AND(ISNUMBER(AJ397),AJ397&gt;T397),AV397,0))</f>
        <v>0.00452762415783776</v>
      </c>
      <c r="AX397" s="29" t="str">
        <f aca="false">IF(AN397=1,"transition",IF(MIN(IF(AND(I397=0,ISNUMBER(AK397),AK397&lt;=T397),AK397,9000000000000000),IF(AND(J397=0,ISNUMBER(AL397),AL397&lt;=T397),AL397,9000000000000000),IF(AND(K397=0,ISNUMBER(AM397),AM397&lt;=T397),AM397,9000000000000000))&lt;9000000000000000,IF(AND(AND(I397=0,ISNUMBER(AK397),AK397&lt;=T397),AK397=MIN(IF(AND(I397=0,ISNUMBER(AK397),AK397&lt;=T397),AK397,9000000000000000),IF(AND(J397=0,ISNUMBER(AL397),AL397&lt;=T397),AL397,9000000000000000),IF(AND(K397=0,ISNUMBER(AM397),AM397&lt;=T397),AM397,9000000000000000))),"OR",IF(AND(AND(J397=0,ISNUMBER(AL397),AL397&lt;=T397),AL397=MIN(IF(AND(I397=0,ISNUMBER(AK397),AK397&lt;=T397),AK397,9000000000000000),IF(AND(J397=0,ISNUMBER(AL397),AL397&lt;=T397),AL397,9000000000000000),IF(AND(K397=0,ISNUMBER(AM397),AM397&lt;=T397),AM397,9000000000000000))),"HP","FP")),IF(AR397=TRUE(),"",IF(MAX(IF(AND(NOT(AND(AO397=1,AN397&lt;&gt;1)),ISNUMBER(AG397),AG397&lt;=T397),AS397,0),IF(AND(NOT(AND(AO397=1,AN397&lt;&gt;1)),ISNUMBER(AH397),AH397&lt;=T397),AT397,0),IF(AND(NOT(AND(AO397=1,AN397&lt;&gt;1)),ISNUMBER(AI397),AI397&lt;=T397),AU397,0),IF(AND(ISNUMBER(AJ397),AJ397&lt;=T397),AV397,0))&lt;=0,"",IF(AND(IF(AND(NOT(AND(AO397=1,AN397&lt;&gt;1)),ISNUMBER(AG397),AG397&lt;=T397),AS397,0)&gt;0,IF(AND(NOT(AND(AO397=1,AN397&lt;&gt;1)),ISNUMBER(AG397),AG397&lt;=T397),AS397,0)=MAX(IF(AND(NOT(AND(AO397=1,AN397&lt;&gt;1)),ISNUMBER(AG397),AG397&lt;=T397),AS397,0),IF(AND(NOT(AND(AO397=1,AN397&lt;&gt;1)),ISNUMBER(AH397),AH397&lt;=T397),AT397,0),IF(AND(NOT(AND(AO397=1,AN397&lt;&gt;1)),ISNUMBER(AI397),AI397&lt;=T397),AU397,0),IF(AND(ISNUMBER(AJ397),AJ397&lt;=T397),AV397,0))),"SW",IF(AND(IF(AND(NOT(AND(AO397=1,AN397&lt;&gt;1)),ISNUMBER(AH397),AH397&lt;=T397),AT397,0)&gt;0,IF(AND(NOT(AND(AO397=1,AN397&lt;&gt;1)),ISNUMBER(AH397),AH397&lt;=T397),AT397,0)=MAX(IF(AND(NOT(AND(AO397=1,AN397&lt;&gt;1)),ISNUMBER(AG397),AG397&lt;=T397),AS397,0),IF(AND(NOT(AND(AO397=1,AN397&lt;&gt;1)),ISNUMBER(AH397),AH397&lt;=T397),AT397,0),IF(AND(NOT(AND(AO397=1,AN397&lt;&gt;1)),ISNUMBER(AI397),AI397&lt;=T397),AU397,0),IF(AND(ISNUMBER(AJ397),AJ397&lt;=T397),AV397,0))),"AB",IF(AND(IF(AND(NOT(AND(AO397=1,AN397&lt;&gt;1)),ISNUMBER(AI397),AI397&lt;=T397),AU397,0)&gt;0,IF(AND(NOT(AND(AO397=1,AN397&lt;&gt;1)),ISNUMBER(AI397),AI397&lt;=T397),AU397,0)=MAX(IF(AND(NOT(AND(AO397=1,AN397&lt;&gt;1)),ISNUMBER(AG397),AG397&lt;=T397),AS397,0),IF(AND(NOT(AND(AO397=1,AN397&lt;&gt;1)),ISNUMBER(AH397),AH397&lt;=T397),AT397,0),IF(AND(NOT(AND(AO397=1,AN397&lt;&gt;1)),ISNUMBER(AI397),AI397&lt;=T397),AU397,0),IF(AND(ISNUMBER(AJ397),AJ397&lt;=T397),AV397,0))),"SC","Mag")))))))</f>
        <v/>
      </c>
    </row>
    <row r="398" customFormat="false" ht="15" hidden="false" customHeight="false" outlineLevel="0" collapsed="false">
      <c r="A398" s="26" t="n">
        <v>393</v>
      </c>
      <c r="B398" s="27" t="n">
        <f aca="false">A398*10/60</f>
        <v>65.5</v>
      </c>
      <c r="C398" s="21" t="n">
        <f aca="false">X397</f>
        <v>18.6730249835055</v>
      </c>
      <c r="D398" s="27" t="n">
        <f aca="false">D397+W397</f>
        <v>0</v>
      </c>
      <c r="E398" s="26" t="n">
        <f aca="false">E397+IF(U397="SW",1,0)</f>
        <v>12</v>
      </c>
      <c r="F398" s="26" t="n">
        <f aca="false">F397+IF(U397="AB",1,0)</f>
        <v>10</v>
      </c>
      <c r="G398" s="26" t="n">
        <f aca="false">G397+IF(U397="SC",1,0)</f>
        <v>7</v>
      </c>
      <c r="H398" s="26" t="n">
        <f aca="false">H397+IF(U397="Mag",1,0)</f>
        <v>5</v>
      </c>
      <c r="I398" s="26" t="n">
        <f aca="false">MAX(I397,IF(U397="OR",1,0))</f>
        <v>1</v>
      </c>
      <c r="J398" s="26" t="n">
        <f aca="false">MAX(J397,IF(U397="HP",1,0))</f>
        <v>1</v>
      </c>
      <c r="K398" s="26" t="n">
        <f aca="false">MAX(K397,IF(U397="FP",1,0))</f>
        <v>1</v>
      </c>
      <c r="L398" s="26" t="n">
        <f aca="false">MAX(L397,IF(U397="transition",1,0))</f>
        <v>1</v>
      </c>
      <c r="M398" s="28" t="n">
        <f aca="false">(Parameters!$B$9+(IF(E398=0,0,(Upgrades!$J$6+E398*Upgrades!$K$6)*POWER(Upgrades!$L$6,E398)))*(IF(Upgrades!$T$7="Solar Wind",POWER(Upgrades!$U$7,F398),1)*IF(Upgrades!$T$8="Solar Wind",POWER(Upgrades!$U$8,G398),1)*IF(Upgrades!$T$9="Solar Wind",POWER(Upgrades!$U$9,H398),1)*IF(Upgrades!$T$10="Solar Wind",POWER(Upgrades!$U$10,I398),1)*IF(Upgrades!$T$11="Solar Wind",POWER(Upgrades!$U$11,J398),1)*IF(Upgrades!$T$12="Solar Wind",POWER(Upgrades!$U$12,K398),1))+(IF(F398=0,0,(Upgrades!$J$7+F398*Upgrades!$K$7)*POWER(Upgrades!$L$7,F398)))*(IF(Upgrades!$T$6="Asteroid Belt",POWER(Upgrades!$U$6,E398),1)*IF(Upgrades!$T$8="Asteroid Belt",POWER(Upgrades!$U$8,G398),1)*IF(Upgrades!$T$9="Asteroid Belt",POWER(Upgrades!$U$9,H398),1)*IF(Upgrades!$T$10="Asteroid Belt",POWER(Upgrades!$U$10,I398),1)*IF(Upgrades!$T$11="Asteroid Belt",POWER(Upgrades!$U$11,J398),1)*IF(Upgrades!$T$12="Asteroid Belt",POWER(Upgrades!$U$12,K398),1))+(IF(G398=0,0,(Upgrades!$J$8+G398*Upgrades!$K$8)*POWER(Upgrades!$L$8,G398)))*(IF(Upgrades!$T$6="Stellar Coupling",POWER(Upgrades!$U$6,E398),1)*IF(Upgrades!$T$7="Stellar Coupling",POWER(Upgrades!$U$7,F398),1)*IF(Upgrades!$T$9="Stellar Coupling",POWER(Upgrades!$U$9,H398),1)*IF(Upgrades!$T$10="Stellar Coupling",POWER(Upgrades!$U$10,I398),1)*IF(Upgrades!$T$11="Stellar Coupling",POWER(Upgrades!$U$11,J398),1)*IF(Upgrades!$T$12="Stellar Coupling",POWER(Upgrades!$U$12,K398),1))+(IF(H398=0,0,(Upgrades!$J$9+H398*Upgrades!$K$9)*POWER(Upgrades!$L$9,H398)))*(IF(Upgrades!$T$6="Magnetosphere",POWER(Upgrades!$U$6,E398),1)*IF(Upgrades!$T$7="Magnetosphere",POWER(Upgrades!$U$7,F398),1)*IF(Upgrades!$T$8="Magnetosphere",POWER(Upgrades!$U$8,G398),1)*IF(Upgrades!$T$10="Magnetosphere",POWER(Upgrades!$U$10,I398),1)*IF(Upgrades!$T$11="Magnetosphere",POWER(Upgrades!$U$11,J398),1)*IF(Upgrades!$T$12="Magnetosphere",POWER(Upgrades!$U$12,K398),1))+(IF(I398=0,0,(Upgrades!$J$10+I398*Upgrades!$K$10)*POWER(Upgrades!$L$10,I398)))*(IF(Upgrades!$T$6="Orbital Resonance",POWER(Upgrades!$U$6,E398),1)*IF(Upgrades!$T$7="Orbital Resonance",POWER(Upgrades!$U$7,F398),1)*IF(Upgrades!$T$8="Orbital Resonance",POWER(Upgrades!$U$8,G398),1)*IF(Upgrades!$T$9="Orbital Resonance",POWER(Upgrades!$U$9,H398),1)*IF(Upgrades!$T$11="Orbital Resonance",POWER(Upgrades!$U$11,J398),1)*IF(Upgrades!$T$12="Orbital Resonance",POWER(Upgrades!$U$12,K398),1))+(IF(J398=0,0,(Upgrades!$J$11+J398*Upgrades!$K$11)*POWER(Upgrades!$L$11,J398)))*(IF(Upgrades!$T$6="Heliopause",POWER(Upgrades!$U$6,E398),1)*IF(Upgrades!$T$7="Heliopause",POWER(Upgrades!$U$7,F398),1)*IF(Upgrades!$T$8="Heliopause",POWER(Upgrades!$U$8,G398),1)*IF(Upgrades!$T$9="Heliopause",POWER(Upgrades!$U$9,H398),1)*IF(Upgrades!$T$10="Heliopause",POWER(Upgrades!$U$10,I398),1)*IF(Upgrades!$T$12="Heliopause",POWER(Upgrades!$U$12,K398),1))+(IF(K398=0,0,(Upgrades!$J$12+K398*Upgrades!$K$12)*POWER(Upgrades!$L$12,K398)))*(IF(Upgrades!$T$6="First Photons",POWER(Upgrades!$U$6,E398),1)*IF(Upgrades!$T$7="First Photons",POWER(Upgrades!$U$7,F398),1)*IF(Upgrades!$T$8="First Photons",POWER(Upgrades!$U$8,G398),1)*IF(Upgrades!$T$9="First Photons",POWER(Upgrades!$U$9,H398),1)*IF(Upgrades!$T$10="First Photons",POWER(Upgrades!$U$10,I398),1)*IF(Upgrades!$T$11="First Photons",POWER(Upgrades!$U$11,J398),1)))*POWER(Upgrades!$Q$6,E398)*POWER(Upgrades!$Q$7,F398)*POWER(Upgrades!$Q$8,G398)*POWER(Upgrades!$Q$9,H398)*POWER(Upgrades!$Q$10,I398)*POWER(Upgrades!$Q$11,J398)*POWER(Upgrades!$Q$12,K398)</f>
        <v>5.61</v>
      </c>
      <c r="N398" s="28" t="n">
        <f aca="false">((IF(E398=0,0,(Upgrades!$G$6+E398*Upgrades!$H$6)*POWER(Upgrades!$I$6,E398)))*(IF(Upgrades!$T$7="Solar Wind",POWER(Upgrades!$U$7,F398),1)*IF(Upgrades!$T$8="Solar Wind",POWER(Upgrades!$U$8,G398),1)*IF(Upgrades!$T$9="Solar Wind",POWER(Upgrades!$U$9,H398),1)*IF(Upgrades!$T$10="Solar Wind",POWER(Upgrades!$U$10,I398),1)*IF(Upgrades!$T$11="Solar Wind",POWER(Upgrades!$U$11,J398),1)*IF(Upgrades!$T$12="Solar Wind",POWER(Upgrades!$U$12,K398),1))+(IF(F398=0,0,(Upgrades!$G$7+F398*Upgrades!$H$7)*POWER(Upgrades!$I$7,F398)))*(IF(Upgrades!$T$6="Asteroid Belt",POWER(Upgrades!$U$6,E398),1)*IF(Upgrades!$T$8="Asteroid Belt",POWER(Upgrades!$U$8,G398),1)*IF(Upgrades!$T$9="Asteroid Belt",POWER(Upgrades!$U$9,H398),1)*IF(Upgrades!$T$10="Asteroid Belt",POWER(Upgrades!$U$10,I398),1)*IF(Upgrades!$T$11="Asteroid Belt",POWER(Upgrades!$U$11,J398),1)*IF(Upgrades!$T$12="Asteroid Belt",POWER(Upgrades!$U$12,K398),1))+(IF(G398=0,0,(Upgrades!$G$8+G398*Upgrades!$H$8)*POWER(Upgrades!$I$8,G398)))*(IF(Upgrades!$T$6="Stellar Coupling",POWER(Upgrades!$U$6,E398),1)*IF(Upgrades!$T$7="Stellar Coupling",POWER(Upgrades!$U$7,F398),1)*IF(Upgrades!$T$9="Stellar Coupling",POWER(Upgrades!$U$9,H398),1)*IF(Upgrades!$T$10="Stellar Coupling",POWER(Upgrades!$U$10,I398),1)*IF(Upgrades!$T$11="Stellar Coupling",POWER(Upgrades!$U$11,J398),1)*IF(Upgrades!$T$12="Stellar Coupling",POWER(Upgrades!$U$12,K398),1))+(IF(H398=0,0,(Upgrades!$G$9+H398*Upgrades!$H$9)*POWER(Upgrades!$I$9,H398)))*(IF(Upgrades!$T$6="Magnetosphere",POWER(Upgrades!$U$6,E398),1)*IF(Upgrades!$T$7="Magnetosphere",POWER(Upgrades!$U$7,F398),1)*IF(Upgrades!$T$8="Magnetosphere",POWER(Upgrades!$U$8,G398),1)*IF(Upgrades!$T$10="Magnetosphere",POWER(Upgrades!$U$10,I398),1)*IF(Upgrades!$T$11="Magnetosphere",POWER(Upgrades!$U$11,J398),1)*IF(Upgrades!$T$12="Magnetosphere",POWER(Upgrades!$U$12,K398),1))+(IF(I398=0,0,(Upgrades!$G$10+I398*Upgrades!$H$10)*POWER(Upgrades!$I$10,I398)))*(IF(Upgrades!$T$6="Orbital Resonance",POWER(Upgrades!$U$6,E398),1)*IF(Upgrades!$T$7="Orbital Resonance",POWER(Upgrades!$U$7,F398),1)*IF(Upgrades!$T$8="Orbital Resonance",POWER(Upgrades!$U$8,G398),1)*IF(Upgrades!$T$9="Orbital Resonance",POWER(Upgrades!$U$9,H398),1)*IF(Upgrades!$T$11="Orbital Resonance",POWER(Upgrades!$U$11,J398),1)*IF(Upgrades!$T$12="Orbital Resonance",POWER(Upgrades!$U$12,K398),1))+(IF(J398=0,0,(Upgrades!$G$11+J398*Upgrades!$H$11)*POWER(Upgrades!$I$11,J398)))*(IF(Upgrades!$T$6="Heliopause",POWER(Upgrades!$U$6,E398),1)*IF(Upgrades!$T$7="Heliopause",POWER(Upgrades!$U$7,F398),1)*IF(Upgrades!$T$8="Heliopause",POWER(Upgrades!$U$8,G398),1)*IF(Upgrades!$T$9="Heliopause",POWER(Upgrades!$U$9,H398),1)*IF(Upgrades!$T$10="Heliopause",POWER(Upgrades!$U$10,I398),1)*IF(Upgrades!$T$12="Heliopause",POWER(Upgrades!$U$12,K398),1))+(IF(K398=0,0,(Upgrades!$G$12+K398*Upgrades!$H$12)*POWER(Upgrades!$I$12,K398)))*(IF(Upgrades!$T$6="First Photons",POWER(Upgrades!$U$6,E398),1)*IF(Upgrades!$T$7="First Photons",POWER(Upgrades!$U$7,F398),1)*IF(Upgrades!$T$8="First Photons",POWER(Upgrades!$U$8,G398),1)*IF(Upgrades!$T$9="First Photons",POWER(Upgrades!$U$9,H398),1)*IF(Upgrades!$T$10="First Photons",POWER(Upgrades!$U$10,I398),1)*IF(Upgrades!$T$11="First Photons",POWER(Upgrades!$U$11,J398),1)))*POWER(Upgrades!$P$6,E398)*POWER(Upgrades!$P$7,F398)*POWER(Upgrades!$P$8,G398)*POWER(Upgrades!$P$9,H398)*POWER(Upgrades!$P$10,I398)*POWER(Upgrades!$P$11,J398)*POWER(Upgrades!$P$12,K398)</f>
        <v>11.2</v>
      </c>
      <c r="O398" s="28" t="n">
        <f aca="false">((IF(E398=0,0,(Upgrades!$M$6+E398*Upgrades!$N$6)*POWER(Upgrades!$O$6,E398)))*(IF(Upgrades!$T$7="Solar Wind",POWER(Upgrades!$U$7,F398),1)*IF(Upgrades!$T$8="Solar Wind",POWER(Upgrades!$U$8,G398),1)*IF(Upgrades!$T$9="Solar Wind",POWER(Upgrades!$U$9,H398),1)*IF(Upgrades!$T$10="Solar Wind",POWER(Upgrades!$U$10,I398),1)*IF(Upgrades!$T$11="Solar Wind",POWER(Upgrades!$U$11,J398),1)*IF(Upgrades!$T$12="Solar Wind",POWER(Upgrades!$U$12,K398),1))+(IF(F398=0,0,(Upgrades!$M$7+F398*Upgrades!$N$7)*POWER(Upgrades!$O$7,F398)))*(IF(Upgrades!$T$6="Asteroid Belt",POWER(Upgrades!$U$6,E398),1)*IF(Upgrades!$T$8="Asteroid Belt",POWER(Upgrades!$U$8,G398),1)*IF(Upgrades!$T$9="Asteroid Belt",POWER(Upgrades!$U$9,H398),1)*IF(Upgrades!$T$10="Asteroid Belt",POWER(Upgrades!$U$10,I398),1)*IF(Upgrades!$T$11="Asteroid Belt",POWER(Upgrades!$U$11,J398),1)*IF(Upgrades!$T$12="Asteroid Belt",POWER(Upgrades!$U$12,K398),1))+(IF(G398=0,0,(Upgrades!$M$8+G398*Upgrades!$N$8)*POWER(Upgrades!$O$8,G398)))*(IF(Upgrades!$T$6="Stellar Coupling",POWER(Upgrades!$U$6,E398),1)*IF(Upgrades!$T$7="Stellar Coupling",POWER(Upgrades!$U$7,F398),1)*IF(Upgrades!$T$9="Stellar Coupling",POWER(Upgrades!$U$9,H398),1)*IF(Upgrades!$T$10="Stellar Coupling",POWER(Upgrades!$U$10,I398),1)*IF(Upgrades!$T$11="Stellar Coupling",POWER(Upgrades!$U$11,J398),1)*IF(Upgrades!$T$12="Stellar Coupling",POWER(Upgrades!$U$12,K398),1))+(IF(H398=0,0,(Upgrades!$M$9+H398*Upgrades!$N$9)*POWER(Upgrades!$O$9,H398)))*(IF(Upgrades!$T$6="Magnetosphere",POWER(Upgrades!$U$6,E398),1)*IF(Upgrades!$T$7="Magnetosphere",POWER(Upgrades!$U$7,F398),1)*IF(Upgrades!$T$8="Magnetosphere",POWER(Upgrades!$U$8,G398),1)*IF(Upgrades!$T$10="Magnetosphere",POWER(Upgrades!$U$10,I398),1)*IF(Upgrades!$T$11="Magnetosphere",POWER(Upgrades!$U$11,J398),1)*IF(Upgrades!$T$12="Magnetosphere",POWER(Upgrades!$U$12,K398),1))+(IF(I398=0,0,(Upgrades!$M$10+I398*Upgrades!$N$10)*POWER(Upgrades!$O$10,I398)))*(IF(Upgrades!$T$6="Orbital Resonance",POWER(Upgrades!$U$6,E398),1)*IF(Upgrades!$T$7="Orbital Resonance",POWER(Upgrades!$U$7,F398),1)*IF(Upgrades!$T$8="Orbital Resonance",POWER(Upgrades!$U$8,G398),1)*IF(Upgrades!$T$9="Orbital Resonance",POWER(Upgrades!$U$9,H398),1)*IF(Upgrades!$T$11="Orbital Resonance",POWER(Upgrades!$U$11,J398),1)*IF(Upgrades!$T$12="Orbital Resonance",POWER(Upgrades!$U$12,K398),1))+(IF(J398=0,0,(Upgrades!$M$11+J398*Upgrades!$N$11)*POWER(Upgrades!$O$11,J398)))*(IF(Upgrades!$T$6="Heliopause",POWER(Upgrades!$U$6,E398),1)*IF(Upgrades!$T$7="Heliopause",POWER(Upgrades!$U$7,F398),1)*IF(Upgrades!$T$8="Heliopause",POWER(Upgrades!$U$8,G398),1)*IF(Upgrades!$T$9="Heliopause",POWER(Upgrades!$U$9,H398),1)*IF(Upgrades!$T$10="Heliopause",POWER(Upgrades!$U$10,I398),1)*IF(Upgrades!$T$12="Heliopause",POWER(Upgrades!$U$12,K398),1))+(IF(K398=0,0,(Upgrades!$M$12+K398*Upgrades!$N$12)*POWER(Upgrades!$O$12,K398)))*(IF(Upgrades!$T$6="First Photons",POWER(Upgrades!$U$6,E398),1)*IF(Upgrades!$T$7="First Photons",POWER(Upgrades!$U$7,F398),1)*IF(Upgrades!$T$8="First Photons",POWER(Upgrades!$U$8,G398),1)*IF(Upgrades!$T$9="First Photons",POWER(Upgrades!$U$9,H398),1)*IF(Upgrades!$T$10="First Photons",POWER(Upgrades!$U$10,I398),1)*IF(Upgrades!$T$11="First Photons",POWER(Upgrades!$U$11,J398),1)))*POWER(Upgrades!$R$6,E398)*POWER(Upgrades!$R$7,F398)*POWER(Upgrades!$R$8,G398)*POWER(Upgrades!$R$9,H398)*POWER(Upgrades!$R$10,I398)*POWER(Upgrades!$R$11,J398)*POWER(Upgrades!$R$12,K398)</f>
        <v>0</v>
      </c>
      <c r="P398" s="27" t="n">
        <f aca="false">IF(L398=1,0,M398*Parameters!$B$10/60*Parameters!$B$11*10)</f>
        <v>0</v>
      </c>
      <c r="Q398" s="27" t="n">
        <f aca="false">IF(L398=1,0,O398*M398*10)</f>
        <v>0</v>
      </c>
      <c r="R398" s="27" t="n">
        <f aca="false">IF(L398=1,0,N398*10)</f>
        <v>0</v>
      </c>
      <c r="S398" s="27" t="n">
        <f aca="false">P398+Q398+R398</f>
        <v>0</v>
      </c>
      <c r="T398" s="21" t="n">
        <f aca="false">C398+S398</f>
        <v>18.6730249835055</v>
      </c>
      <c r="U398" s="34" t="str">
        <f aca="false">AX398</f>
        <v/>
      </c>
      <c r="V398" s="21" t="n">
        <f aca="false">IF(U398="",0,IF(U398="transition",0,IF(U398="SW",AG398,IF(U398="AB",AH398,IF(U398="SC",AI398,IF(U398="Mag",AJ398,IF(U398="OR",AK398,IF(U398="HP",AL398,IF(U398="FP",AM398,0)))))))))</f>
        <v>0</v>
      </c>
      <c r="W398" s="27" t="n">
        <f aca="false">IF(U398="OR",Upgrades!$F$10,IF(U398="HP",Upgrades!$F$11,IF(U398="transition",-Parameters!$B$18,0)))</f>
        <v>0</v>
      </c>
      <c r="X398" s="21" t="n">
        <f aca="false">T398-V398</f>
        <v>18.6730249835055</v>
      </c>
      <c r="Y398" s="30" t="n">
        <f aca="false">M398*Parameters!$B$10/60*Parameters!$B$11+O398*M398+N398</f>
        <v>20.55</v>
      </c>
      <c r="Z398" s="35" t="str">
        <f aca="false">IF(U398="transition","→ Tier 2 (Stellar Neighborhood)",IF(U398="FP","First Photons — light begins, system quickens",IF(U398="HP","Heliopause acquired",IF(U398="OR","Orbital Resonance — passive multiplier active",IF(AND(AO398=1,L398=0,AN398&lt;&gt;1),"Cohesion ready (waiting on completionist upgrades)","")))))</f>
        <v/>
      </c>
      <c r="AA398" s="27" t="n">
        <f aca="false">(IF(E398=0,0,(Upgrades!$G$6+E398*Upgrades!$H$6)*POWER(Upgrades!$I$6,E398)))*(IF(Upgrades!$T$7="Solar Wind",POWER(Upgrades!$U$7,F398),1)*IF(Upgrades!$T$8="Solar Wind",POWER(Upgrades!$U$8,G398),1)*IF(Upgrades!$T$9="Solar Wind",POWER(Upgrades!$U$9,H398),1)*IF(Upgrades!$T$10="Solar Wind",POWER(Upgrades!$U$10,I398),1)*IF(Upgrades!$T$11="Solar Wind",POWER(Upgrades!$U$11,J398),1)*IF(Upgrades!$T$12="Solar Wind",POWER(Upgrades!$U$12,K398),1))*POWER(Upgrades!$P$6,E398)*POWER(Upgrades!$P$7,F398)*POWER(Upgrades!$P$8,G398)*POWER(Upgrades!$P$9,H398)*POWER(Upgrades!$P$10,I398)*POWER(Upgrades!$P$11,J398)*POWER(Upgrades!$P$12,K398)*60</f>
        <v>72</v>
      </c>
      <c r="AB398" s="27" t="n">
        <f aca="false">(IF(F398=0,0,(Upgrades!$G$7+F398*Upgrades!$H$7)*POWER(Upgrades!$I$7,F398)))*(IF(Upgrades!$T$6="Asteroid Belt",POWER(Upgrades!$U$6,E398),1)*IF(Upgrades!$T$8="Asteroid Belt",POWER(Upgrades!$U$8,G398),1)*IF(Upgrades!$T$9="Asteroid Belt",POWER(Upgrades!$U$9,H398),1)*IF(Upgrades!$T$10="Asteroid Belt",POWER(Upgrades!$U$10,I398),1)*IF(Upgrades!$T$11="Asteroid Belt",POWER(Upgrades!$U$11,J398),1)*IF(Upgrades!$T$12="Asteroid Belt",POWER(Upgrades!$U$12,K398),1))*POWER(Upgrades!$P$6,E398)*POWER(Upgrades!$P$7,F398)*POWER(Upgrades!$P$8,G398)*POWER(Upgrades!$P$9,H398)*POWER(Upgrades!$P$10,I398)*POWER(Upgrades!$P$11,J398)*POWER(Upgrades!$P$12,K398)*60</f>
        <v>150</v>
      </c>
      <c r="AC398" s="27" t="n">
        <f aca="false">(IF(G398=0,0,(Upgrades!$J$8+G398*Upgrades!$K$8)*POWER(Upgrades!$L$8,G398)))*(IF(Upgrades!$T$6="Stellar Coupling",POWER(Upgrades!$U$6,E398),1)*IF(Upgrades!$T$7="Stellar Coupling",POWER(Upgrades!$U$7,F398),1)*IF(Upgrades!$T$9="Stellar Coupling",POWER(Upgrades!$U$9,H398),1)*IF(Upgrades!$T$10="Stellar Coupling",POWER(Upgrades!$U$10,I398),1)*IF(Upgrades!$T$11="Stellar Coupling",POWER(Upgrades!$U$11,J398),1)*IF(Upgrades!$T$12="Stellar Coupling",POWER(Upgrades!$U$12,K398),1))*POWER(Upgrades!$Q$6,E398)*POWER(Upgrades!$Q$7,F398)*POWER(Upgrades!$Q$8,G398)*POWER(Upgrades!$Q$9,H398)*POWER(Upgrades!$Q$10,I398)*POWER(Upgrades!$Q$11,J398)*POWER(Upgrades!$Q$12,K398)*Parameters!$B$10*Parameters!$B$11</f>
        <v>441</v>
      </c>
      <c r="AD398" s="27" t="n">
        <f aca="false">(IF(H398=0,0,(Upgrades!$G$9+H398*Upgrades!$H$9)*POWER(Upgrades!$I$9,H398)))*(IF(Upgrades!$T$6="Magnetosphere",POWER(Upgrades!$U$6,E398),1)*IF(Upgrades!$T$7="Magnetosphere",POWER(Upgrades!$U$7,F398),1)*IF(Upgrades!$T$8="Magnetosphere",POWER(Upgrades!$U$8,G398),1)*IF(Upgrades!$T$10="Magnetosphere",POWER(Upgrades!$U$10,I398),1)*IF(Upgrades!$T$11="Magnetosphere",POWER(Upgrades!$U$11,J398),1)*IF(Upgrades!$T$12="Magnetosphere",POWER(Upgrades!$U$12,K398),1))*POWER(Upgrades!$P$6,E398)*POWER(Upgrades!$P$7,F398)*POWER(Upgrades!$P$8,G398)*POWER(Upgrades!$P$9,H398)*POWER(Upgrades!$P$10,I398)*POWER(Upgrades!$P$11,J398)*POWER(Upgrades!$P$12,K398)*60</f>
        <v>375</v>
      </c>
      <c r="AE398" s="27" t="n">
        <f aca="false">(IF(K398=0,0,(Upgrades!$G$12+K398*Upgrades!$H$12)*POWER(Upgrades!$I$12,K398)))*(IF(Upgrades!$T$6="First Photons",POWER(Upgrades!$U$6,E398),1)*IF(Upgrades!$T$7="First Photons",POWER(Upgrades!$U$7,F398),1)*IF(Upgrades!$T$8="First Photons",POWER(Upgrades!$U$8,G398),1)*IF(Upgrades!$T$9="First Photons",POWER(Upgrades!$U$9,H398),1)*IF(Upgrades!$T$10="First Photons",POWER(Upgrades!$U$10,I398),1)*IF(Upgrades!$T$11="First Photons",POWER(Upgrades!$U$11,J398),1))*POWER(Upgrades!$P$6,E398)*POWER(Upgrades!$P$7,F398)*POWER(Upgrades!$P$8,G398)*POWER(Upgrades!$P$9,H398)*POWER(Upgrades!$P$10,I398)*POWER(Upgrades!$P$11,J398)*POWER(Upgrades!$P$12,K398)*60</f>
        <v>75</v>
      </c>
      <c r="AF398" s="27" t="n">
        <f aca="false">Parameters!$B$9*POWER(Upgrades!$Q$6,E398)*POWER(Upgrades!$Q$7,F398)*POWER(Upgrades!$Q$8,G398)*POWER(Upgrades!$Q$9,H398)*POWER(Upgrades!$Q$10,I398)*POWER(Upgrades!$Q$11,J398)*POWER(Upgrades!$Q$12,K398)*(Parameters!$B$10*Parameters!$B$11+O398*60)</f>
        <v>120</v>
      </c>
      <c r="AG398" s="21" t="n">
        <f aca="false">IF(E398&gt;=Upgrades!$E$6,"",Upgrades!$C$6*POWER(Upgrades!$D$6,E398))</f>
        <v>37.4517507383159</v>
      </c>
      <c r="AH398" s="21" t="n">
        <f aca="false">IF(F398&gt;=Upgrades!$E$7,"",Upgrades!$C$7*POWER(Upgrades!$D$7,F398))</f>
        <v>80.9111547141581</v>
      </c>
      <c r="AI398" s="21" t="n">
        <f aca="false">IF(G398&gt;=Upgrades!$E$8,"",Upgrades!$C$8*POWER(Upgrades!$D$8,G398))</f>
        <v>231.9097088</v>
      </c>
      <c r="AJ398" s="21" t="str">
        <f aca="false">IF(H398&gt;=Upgrades!$E$9,"",Upgrades!$C$9*POWER(Upgrades!$D$9,H398))</f>
        <v/>
      </c>
      <c r="AK398" s="21" t="str">
        <f aca="false">IF(I398&gt;=Upgrades!$E$10,"",Upgrades!$C$10*POWER(Upgrades!$D$10,I398))</f>
        <v/>
      </c>
      <c r="AL398" s="21" t="str">
        <f aca="false">IF(J398&gt;=Upgrades!$E$11,"",Upgrades!$C$11*POWER(Upgrades!$D$11,J398))</f>
        <v/>
      </c>
      <c r="AM398" s="21" t="str">
        <f aca="false">IF(K398&gt;=Upgrades!$E$12,"",Upgrades!$C$12*POWER(Upgrades!$D$12,K398))</f>
        <v/>
      </c>
      <c r="AN398" s="26" t="str">
        <f aca="false">IF(AND(D398&gt;=Parameters!$B$18,(H398&gt;=Upgrades!$E$9)*(K398&gt;=Upgrades!$E$12)=1,L398=0),1,"")</f>
        <v/>
      </c>
      <c r="AO398" s="26" t="str">
        <f aca="false">IF(AND(D398&gt;=Parameters!$B$18,L398=0),1,"")</f>
        <v/>
      </c>
      <c r="AP398" s="21" t="n">
        <f aca="false">MIN(IF(ISNUMBER(AK398),AK398,9000000000000000),IF(ISNUMBER(AL398),AL398,9000000000000000),IF(ISNUMBER(AM398),AM398,9000000000000000))</f>
        <v>9000000000000000</v>
      </c>
      <c r="AQ398" s="21" t="n">
        <f aca="false">MIN(IF(ISNUMBER(AG398),AG398,9000000000000000),IF(ISNUMBER(AH398),AH398,9000000000000000),IF(ISNUMBER(AI398),AI398,9000000000000000),IF(ISNUMBER(AJ398),AJ398,9000000000000000))</f>
        <v>37.4517507383159</v>
      </c>
      <c r="AR398" s="32" t="b">
        <f aca="false">IF(AW398&gt;Parameters!$B$21*(MAX(IF(AND(NOT(AND(AO398=1,AN398&lt;&gt;1)),ISNUMBER(AG398),AG398&lt;=T398),AS398,0),IF(AND(NOT(AND(AO398=1,AN398&lt;&gt;1)),ISNUMBER(AH398),AH398&lt;=T398),AT398,0),IF(AND(NOT(AND(AO398=1,AN398&lt;&gt;1)),ISNUMBER(AI398),AI398&lt;=T398),AU398,0),IF(AND(ISNUMBER(AJ398),AJ398&lt;=T398),AV398,0))),TRUE(),FALSE())</f>
        <v>1</v>
      </c>
      <c r="AS398" s="33" t="n">
        <f aca="false">IFERROR(Upgrades!$H$6*(POWER(Upgrades!$P$6,E398)*POWER(Upgrades!$P$7,F398)*POWER(Upgrades!$P$8,G398)*POWER(Upgrades!$P$9,H398)*POWER(Upgrades!$P$10,I398)*POWER(Upgrades!$P$11,J398)*POWER(Upgrades!$P$12,K398))*(IF(Upgrades!$T$7="Solar Wind",POWER(Upgrades!$U$7,F398),1)*IF(Upgrades!$T$8="Solar Wind",POWER(Upgrades!$U$8,G398),1)*IF(Upgrades!$T$9="Solar Wind",POWER(Upgrades!$U$9,H398),1)*IF(Upgrades!$T$10="Solar Wind",POWER(Upgrades!$U$10,I398),1)*IF(Upgrades!$T$11="Solar Wind",POWER(Upgrades!$U$11,J398),1)*IF(Upgrades!$T$12="Solar Wind",POWER(Upgrades!$U$12,K398),1))/AG398,0)</f>
        <v>0.0026701021455238</v>
      </c>
      <c r="AT398" s="33" t="n">
        <f aca="false">IFERROR(Upgrades!$H$7*(POWER(Upgrades!$P$6,E398)*POWER(Upgrades!$P$7,F398)*POWER(Upgrades!$P$8,G398)*POWER(Upgrades!$P$9,H398)*POWER(Upgrades!$P$10,I398)*POWER(Upgrades!$P$11,J398)*POWER(Upgrades!$P$12,K398))*(IF(Upgrades!$T$6="Asteroid Belt",POWER(Upgrades!$U$6,E398),1)*IF(Upgrades!$T$8="Asteroid Belt",POWER(Upgrades!$U$8,G398),1)*IF(Upgrades!$T$9="Asteroid Belt",POWER(Upgrades!$U$9,H398),1)*IF(Upgrades!$T$10="Asteroid Belt",POWER(Upgrades!$U$10,I398),1)*IF(Upgrades!$T$11="Asteroid Belt",POWER(Upgrades!$U$11,J398),1)*IF(Upgrades!$T$12="Asteroid Belt",POWER(Upgrades!$U$12,K398),1))/AH398,0)</f>
        <v>0.00308980882652332</v>
      </c>
      <c r="AU398" s="33" t="n">
        <f aca="false">IFERROR(Upgrades!$K$8*(POWER(Upgrades!$Q$6,E398)*POWER(Upgrades!$Q$7,F398)*POWER(Upgrades!$Q$8,G398)*POWER(Upgrades!$Q$9,H398)*POWER(Upgrades!$Q$10,I398)*POWER(Upgrades!$Q$11,J398)*POWER(Upgrades!$Q$12,K398))*(IF(Upgrades!$T$6="Stellar Coupling",POWER(Upgrades!$U$6,E398),1)*IF(Upgrades!$T$7="Stellar Coupling",POWER(Upgrades!$U$7,F398),1)*IF(Upgrades!$T$9="Stellar Coupling",POWER(Upgrades!$U$9,H398),1)*IF(Upgrades!$T$10="Stellar Coupling",POWER(Upgrades!$U$10,I398),1)*IF(Upgrades!$T$11="Stellar Coupling",POWER(Upgrades!$U$11,J398),1)*IF(Upgrades!$T$12="Stellar Coupling",POWER(Upgrades!$U$12,K398),1))*Parameters!$B$10*Parameters!$B$11/60/AI398,0)</f>
        <v>0.00452762415783776</v>
      </c>
      <c r="AV398" s="33" t="n">
        <f aca="false">IFERROR(Upgrades!$H$9*(POWER(Upgrades!$P$6,E398)*POWER(Upgrades!$P$7,F398)*POWER(Upgrades!$P$8,G398)*POWER(Upgrades!$P$9,H398)*POWER(Upgrades!$P$10,I398)*POWER(Upgrades!$P$11,J398)*POWER(Upgrades!$P$12,K398))*(IF(Upgrades!$T$6="Magnetosphere",POWER(Upgrades!$U$6,E398),1)*IF(Upgrades!$T$7="Magnetosphere",POWER(Upgrades!$U$7,F398),1)*IF(Upgrades!$T$8="Magnetosphere",POWER(Upgrades!$U$8,G398),1)*IF(Upgrades!$T$10="Magnetosphere",POWER(Upgrades!$U$10,I398),1)*IF(Upgrades!$T$11="Magnetosphere",POWER(Upgrades!$U$11,J398),1)*IF(Upgrades!$T$12="Magnetosphere",POWER(Upgrades!$U$12,K398),1))/AJ398,0)</f>
        <v>0</v>
      </c>
      <c r="AW398" s="33" t="n">
        <f aca="false">MAX(IF(I398&gt;0,0,IFERROR(0.25*N398/Upgrades!$C$10,0)),IF(J398&gt;0,0,IFERROR(0.5*((IF(G398=0,0,(Upgrades!$J$8+G398*Upgrades!$K$8)*POWER(Upgrades!$L$8,G398)))*(IF(Upgrades!$T$6="Stellar Coupling",POWER(Upgrades!$U$6,E398),1)*IF(Upgrades!$T$7="Stellar Coupling",POWER(Upgrades!$U$7,F398),1)*IF(Upgrades!$T$9="Stellar Coupling",POWER(Upgrades!$U$9,H398),1)*IF(Upgrades!$T$10="Stellar Coupling",POWER(Upgrades!$U$10,I398),1)*IF(Upgrades!$T$11="Stellar Coupling",POWER(Upgrades!$U$11,J398),1)*IF(Upgrades!$T$12="Stellar Coupling",POWER(Upgrades!$U$12,K398),1))*(POWER(Upgrades!$Q$6,E398)*POWER(Upgrades!$Q$7,F398)*POWER(Upgrades!$Q$8,G398)*POWER(Upgrades!$Q$9,H398)*POWER(Upgrades!$Q$10,I398)*POWER(Upgrades!$Q$11,J398)*POWER(Upgrades!$Q$12,K398))*Parameters!$B$10*Parameters!$B$11/60)/Upgrades!$C$11,0)),IF(K398&gt;0,0,IFERROR((1*(POWER(Upgrades!$P$6,E398)*POWER(Upgrades!$P$7,F398)*POWER(Upgrades!$P$8,G398)*POWER(Upgrades!$P$9,H398)*POWER(Upgrades!$P$10,I398)*POWER(Upgrades!$P$11,J398)*POWER(Upgrades!$P$12,K398))+0.2*M398*Parameters!$B$10*Parameters!$B$11/60)/Upgrades!$C$12,0)),IF(AND(ISNUMBER(AG398),AG398&gt;T398),AS398,0),IF(AND(ISNUMBER(AH398),AH398&gt;T398),AT398,0),IF(AND(ISNUMBER(AI398),AI398&gt;T398),AU398,0),IF(AND(ISNUMBER(AJ398),AJ398&gt;T398),AV398,0))</f>
        <v>0.00452762415783776</v>
      </c>
      <c r="AX398" s="29" t="str">
        <f aca="false">IF(AN398=1,"transition",IF(MIN(IF(AND(I398=0,ISNUMBER(AK398),AK398&lt;=T398),AK398,9000000000000000),IF(AND(J398=0,ISNUMBER(AL398),AL398&lt;=T398),AL398,9000000000000000),IF(AND(K398=0,ISNUMBER(AM398),AM398&lt;=T398),AM398,9000000000000000))&lt;9000000000000000,IF(AND(AND(I398=0,ISNUMBER(AK398),AK398&lt;=T398),AK398=MIN(IF(AND(I398=0,ISNUMBER(AK398),AK398&lt;=T398),AK398,9000000000000000),IF(AND(J398=0,ISNUMBER(AL398),AL398&lt;=T398),AL398,9000000000000000),IF(AND(K398=0,ISNUMBER(AM398),AM398&lt;=T398),AM398,9000000000000000))),"OR",IF(AND(AND(J398=0,ISNUMBER(AL398),AL398&lt;=T398),AL398=MIN(IF(AND(I398=0,ISNUMBER(AK398),AK398&lt;=T398),AK398,9000000000000000),IF(AND(J398=0,ISNUMBER(AL398),AL398&lt;=T398),AL398,9000000000000000),IF(AND(K398=0,ISNUMBER(AM398),AM398&lt;=T398),AM398,9000000000000000))),"HP","FP")),IF(AR398=TRUE(),"",IF(MAX(IF(AND(NOT(AND(AO398=1,AN398&lt;&gt;1)),ISNUMBER(AG398),AG398&lt;=T398),AS398,0),IF(AND(NOT(AND(AO398=1,AN398&lt;&gt;1)),ISNUMBER(AH398),AH398&lt;=T398),AT398,0),IF(AND(NOT(AND(AO398=1,AN398&lt;&gt;1)),ISNUMBER(AI398),AI398&lt;=T398),AU398,0),IF(AND(ISNUMBER(AJ398),AJ398&lt;=T398),AV398,0))&lt;=0,"",IF(AND(IF(AND(NOT(AND(AO398=1,AN398&lt;&gt;1)),ISNUMBER(AG398),AG398&lt;=T398),AS398,0)&gt;0,IF(AND(NOT(AND(AO398=1,AN398&lt;&gt;1)),ISNUMBER(AG398),AG398&lt;=T398),AS398,0)=MAX(IF(AND(NOT(AND(AO398=1,AN398&lt;&gt;1)),ISNUMBER(AG398),AG398&lt;=T398),AS398,0),IF(AND(NOT(AND(AO398=1,AN398&lt;&gt;1)),ISNUMBER(AH398),AH398&lt;=T398),AT398,0),IF(AND(NOT(AND(AO398=1,AN398&lt;&gt;1)),ISNUMBER(AI398),AI398&lt;=T398),AU398,0),IF(AND(ISNUMBER(AJ398),AJ398&lt;=T398),AV398,0))),"SW",IF(AND(IF(AND(NOT(AND(AO398=1,AN398&lt;&gt;1)),ISNUMBER(AH398),AH398&lt;=T398),AT398,0)&gt;0,IF(AND(NOT(AND(AO398=1,AN398&lt;&gt;1)),ISNUMBER(AH398),AH398&lt;=T398),AT398,0)=MAX(IF(AND(NOT(AND(AO398=1,AN398&lt;&gt;1)),ISNUMBER(AG398),AG398&lt;=T398),AS398,0),IF(AND(NOT(AND(AO398=1,AN398&lt;&gt;1)),ISNUMBER(AH398),AH398&lt;=T398),AT398,0),IF(AND(NOT(AND(AO398=1,AN398&lt;&gt;1)),ISNUMBER(AI398),AI398&lt;=T398),AU398,0),IF(AND(ISNUMBER(AJ398),AJ398&lt;=T398),AV398,0))),"AB",IF(AND(IF(AND(NOT(AND(AO398=1,AN398&lt;&gt;1)),ISNUMBER(AI398),AI398&lt;=T398),AU398,0)&gt;0,IF(AND(NOT(AND(AO398=1,AN398&lt;&gt;1)),ISNUMBER(AI398),AI398&lt;=T398),AU398,0)=MAX(IF(AND(NOT(AND(AO398=1,AN398&lt;&gt;1)),ISNUMBER(AG398),AG398&lt;=T398),AS398,0),IF(AND(NOT(AND(AO398=1,AN398&lt;&gt;1)),ISNUMBER(AH398),AH398&lt;=T398),AT398,0),IF(AND(NOT(AND(AO398=1,AN398&lt;&gt;1)),ISNUMBER(AI398),AI398&lt;=T398),AU398,0),IF(AND(ISNUMBER(AJ398),AJ398&lt;=T398),AV398,0))),"SC","Mag")))))))</f>
        <v/>
      </c>
    </row>
    <row r="399" customFormat="false" ht="15" hidden="false" customHeight="false" outlineLevel="0" collapsed="false">
      <c r="A399" s="26" t="n">
        <v>394</v>
      </c>
      <c r="B399" s="27" t="n">
        <f aca="false">A399*10/60</f>
        <v>65.6666666666667</v>
      </c>
      <c r="C399" s="21" t="n">
        <f aca="false">X398</f>
        <v>18.6730249835055</v>
      </c>
      <c r="D399" s="27" t="n">
        <f aca="false">D398+W398</f>
        <v>0</v>
      </c>
      <c r="E399" s="26" t="n">
        <f aca="false">E398+IF(U398="SW",1,0)</f>
        <v>12</v>
      </c>
      <c r="F399" s="26" t="n">
        <f aca="false">F398+IF(U398="AB",1,0)</f>
        <v>10</v>
      </c>
      <c r="G399" s="26" t="n">
        <f aca="false">G398+IF(U398="SC",1,0)</f>
        <v>7</v>
      </c>
      <c r="H399" s="26" t="n">
        <f aca="false">H398+IF(U398="Mag",1,0)</f>
        <v>5</v>
      </c>
      <c r="I399" s="26" t="n">
        <f aca="false">MAX(I398,IF(U398="OR",1,0))</f>
        <v>1</v>
      </c>
      <c r="J399" s="26" t="n">
        <f aca="false">MAX(J398,IF(U398="HP",1,0))</f>
        <v>1</v>
      </c>
      <c r="K399" s="26" t="n">
        <f aca="false">MAX(K398,IF(U398="FP",1,0))</f>
        <v>1</v>
      </c>
      <c r="L399" s="26" t="n">
        <f aca="false">MAX(L398,IF(U398="transition",1,0))</f>
        <v>1</v>
      </c>
      <c r="M399" s="28" t="n">
        <f aca="false">(Parameters!$B$9+(IF(E399=0,0,(Upgrades!$J$6+E399*Upgrades!$K$6)*POWER(Upgrades!$L$6,E399)))*(IF(Upgrades!$T$7="Solar Wind",POWER(Upgrades!$U$7,F399),1)*IF(Upgrades!$T$8="Solar Wind",POWER(Upgrades!$U$8,G399),1)*IF(Upgrades!$T$9="Solar Wind",POWER(Upgrades!$U$9,H399),1)*IF(Upgrades!$T$10="Solar Wind",POWER(Upgrades!$U$10,I399),1)*IF(Upgrades!$T$11="Solar Wind",POWER(Upgrades!$U$11,J399),1)*IF(Upgrades!$T$12="Solar Wind",POWER(Upgrades!$U$12,K399),1))+(IF(F399=0,0,(Upgrades!$J$7+F399*Upgrades!$K$7)*POWER(Upgrades!$L$7,F399)))*(IF(Upgrades!$T$6="Asteroid Belt",POWER(Upgrades!$U$6,E399),1)*IF(Upgrades!$T$8="Asteroid Belt",POWER(Upgrades!$U$8,G399),1)*IF(Upgrades!$T$9="Asteroid Belt",POWER(Upgrades!$U$9,H399),1)*IF(Upgrades!$T$10="Asteroid Belt",POWER(Upgrades!$U$10,I399),1)*IF(Upgrades!$T$11="Asteroid Belt",POWER(Upgrades!$U$11,J399),1)*IF(Upgrades!$T$12="Asteroid Belt",POWER(Upgrades!$U$12,K399),1))+(IF(G399=0,0,(Upgrades!$J$8+G399*Upgrades!$K$8)*POWER(Upgrades!$L$8,G399)))*(IF(Upgrades!$T$6="Stellar Coupling",POWER(Upgrades!$U$6,E399),1)*IF(Upgrades!$T$7="Stellar Coupling",POWER(Upgrades!$U$7,F399),1)*IF(Upgrades!$T$9="Stellar Coupling",POWER(Upgrades!$U$9,H399),1)*IF(Upgrades!$T$10="Stellar Coupling",POWER(Upgrades!$U$10,I399),1)*IF(Upgrades!$T$11="Stellar Coupling",POWER(Upgrades!$U$11,J399),1)*IF(Upgrades!$T$12="Stellar Coupling",POWER(Upgrades!$U$12,K399),1))+(IF(H399=0,0,(Upgrades!$J$9+H399*Upgrades!$K$9)*POWER(Upgrades!$L$9,H399)))*(IF(Upgrades!$T$6="Magnetosphere",POWER(Upgrades!$U$6,E399),1)*IF(Upgrades!$T$7="Magnetosphere",POWER(Upgrades!$U$7,F399),1)*IF(Upgrades!$T$8="Magnetosphere",POWER(Upgrades!$U$8,G399),1)*IF(Upgrades!$T$10="Magnetosphere",POWER(Upgrades!$U$10,I399),1)*IF(Upgrades!$T$11="Magnetosphere",POWER(Upgrades!$U$11,J399),1)*IF(Upgrades!$T$12="Magnetosphere",POWER(Upgrades!$U$12,K399),1))+(IF(I399=0,0,(Upgrades!$J$10+I399*Upgrades!$K$10)*POWER(Upgrades!$L$10,I399)))*(IF(Upgrades!$T$6="Orbital Resonance",POWER(Upgrades!$U$6,E399),1)*IF(Upgrades!$T$7="Orbital Resonance",POWER(Upgrades!$U$7,F399),1)*IF(Upgrades!$T$8="Orbital Resonance",POWER(Upgrades!$U$8,G399),1)*IF(Upgrades!$T$9="Orbital Resonance",POWER(Upgrades!$U$9,H399),1)*IF(Upgrades!$T$11="Orbital Resonance",POWER(Upgrades!$U$11,J399),1)*IF(Upgrades!$T$12="Orbital Resonance",POWER(Upgrades!$U$12,K399),1))+(IF(J399=0,0,(Upgrades!$J$11+J399*Upgrades!$K$11)*POWER(Upgrades!$L$11,J399)))*(IF(Upgrades!$T$6="Heliopause",POWER(Upgrades!$U$6,E399),1)*IF(Upgrades!$T$7="Heliopause",POWER(Upgrades!$U$7,F399),1)*IF(Upgrades!$T$8="Heliopause",POWER(Upgrades!$U$8,G399),1)*IF(Upgrades!$T$9="Heliopause",POWER(Upgrades!$U$9,H399),1)*IF(Upgrades!$T$10="Heliopause",POWER(Upgrades!$U$10,I399),1)*IF(Upgrades!$T$12="Heliopause",POWER(Upgrades!$U$12,K399),1))+(IF(K399=0,0,(Upgrades!$J$12+K399*Upgrades!$K$12)*POWER(Upgrades!$L$12,K399)))*(IF(Upgrades!$T$6="First Photons",POWER(Upgrades!$U$6,E399),1)*IF(Upgrades!$T$7="First Photons",POWER(Upgrades!$U$7,F399),1)*IF(Upgrades!$T$8="First Photons",POWER(Upgrades!$U$8,G399),1)*IF(Upgrades!$T$9="First Photons",POWER(Upgrades!$U$9,H399),1)*IF(Upgrades!$T$10="First Photons",POWER(Upgrades!$U$10,I399),1)*IF(Upgrades!$T$11="First Photons",POWER(Upgrades!$U$11,J399),1)))*POWER(Upgrades!$Q$6,E399)*POWER(Upgrades!$Q$7,F399)*POWER(Upgrades!$Q$8,G399)*POWER(Upgrades!$Q$9,H399)*POWER(Upgrades!$Q$10,I399)*POWER(Upgrades!$Q$11,J399)*POWER(Upgrades!$Q$12,K399)</f>
        <v>5.61</v>
      </c>
      <c r="N399" s="28" t="n">
        <f aca="false">((IF(E399=0,0,(Upgrades!$G$6+E399*Upgrades!$H$6)*POWER(Upgrades!$I$6,E399)))*(IF(Upgrades!$T$7="Solar Wind",POWER(Upgrades!$U$7,F399),1)*IF(Upgrades!$T$8="Solar Wind",POWER(Upgrades!$U$8,G399),1)*IF(Upgrades!$T$9="Solar Wind",POWER(Upgrades!$U$9,H399),1)*IF(Upgrades!$T$10="Solar Wind",POWER(Upgrades!$U$10,I399),1)*IF(Upgrades!$T$11="Solar Wind",POWER(Upgrades!$U$11,J399),1)*IF(Upgrades!$T$12="Solar Wind",POWER(Upgrades!$U$12,K399),1))+(IF(F399=0,0,(Upgrades!$G$7+F399*Upgrades!$H$7)*POWER(Upgrades!$I$7,F399)))*(IF(Upgrades!$T$6="Asteroid Belt",POWER(Upgrades!$U$6,E399),1)*IF(Upgrades!$T$8="Asteroid Belt",POWER(Upgrades!$U$8,G399),1)*IF(Upgrades!$T$9="Asteroid Belt",POWER(Upgrades!$U$9,H399),1)*IF(Upgrades!$T$10="Asteroid Belt",POWER(Upgrades!$U$10,I399),1)*IF(Upgrades!$T$11="Asteroid Belt",POWER(Upgrades!$U$11,J399),1)*IF(Upgrades!$T$12="Asteroid Belt",POWER(Upgrades!$U$12,K399),1))+(IF(G399=0,0,(Upgrades!$G$8+G399*Upgrades!$H$8)*POWER(Upgrades!$I$8,G399)))*(IF(Upgrades!$T$6="Stellar Coupling",POWER(Upgrades!$U$6,E399),1)*IF(Upgrades!$T$7="Stellar Coupling",POWER(Upgrades!$U$7,F399),1)*IF(Upgrades!$T$9="Stellar Coupling",POWER(Upgrades!$U$9,H399),1)*IF(Upgrades!$T$10="Stellar Coupling",POWER(Upgrades!$U$10,I399),1)*IF(Upgrades!$T$11="Stellar Coupling",POWER(Upgrades!$U$11,J399),1)*IF(Upgrades!$T$12="Stellar Coupling",POWER(Upgrades!$U$12,K399),1))+(IF(H399=0,0,(Upgrades!$G$9+H399*Upgrades!$H$9)*POWER(Upgrades!$I$9,H399)))*(IF(Upgrades!$T$6="Magnetosphere",POWER(Upgrades!$U$6,E399),1)*IF(Upgrades!$T$7="Magnetosphere",POWER(Upgrades!$U$7,F399),1)*IF(Upgrades!$T$8="Magnetosphere",POWER(Upgrades!$U$8,G399),1)*IF(Upgrades!$T$10="Magnetosphere",POWER(Upgrades!$U$10,I399),1)*IF(Upgrades!$T$11="Magnetosphere",POWER(Upgrades!$U$11,J399),1)*IF(Upgrades!$T$12="Magnetosphere",POWER(Upgrades!$U$12,K399),1))+(IF(I399=0,0,(Upgrades!$G$10+I399*Upgrades!$H$10)*POWER(Upgrades!$I$10,I399)))*(IF(Upgrades!$T$6="Orbital Resonance",POWER(Upgrades!$U$6,E399),1)*IF(Upgrades!$T$7="Orbital Resonance",POWER(Upgrades!$U$7,F399),1)*IF(Upgrades!$T$8="Orbital Resonance",POWER(Upgrades!$U$8,G399),1)*IF(Upgrades!$T$9="Orbital Resonance",POWER(Upgrades!$U$9,H399),1)*IF(Upgrades!$T$11="Orbital Resonance",POWER(Upgrades!$U$11,J399),1)*IF(Upgrades!$T$12="Orbital Resonance",POWER(Upgrades!$U$12,K399),1))+(IF(J399=0,0,(Upgrades!$G$11+J399*Upgrades!$H$11)*POWER(Upgrades!$I$11,J399)))*(IF(Upgrades!$T$6="Heliopause",POWER(Upgrades!$U$6,E399),1)*IF(Upgrades!$T$7="Heliopause",POWER(Upgrades!$U$7,F399),1)*IF(Upgrades!$T$8="Heliopause",POWER(Upgrades!$U$8,G399),1)*IF(Upgrades!$T$9="Heliopause",POWER(Upgrades!$U$9,H399),1)*IF(Upgrades!$T$10="Heliopause",POWER(Upgrades!$U$10,I399),1)*IF(Upgrades!$T$12="Heliopause",POWER(Upgrades!$U$12,K399),1))+(IF(K399=0,0,(Upgrades!$G$12+K399*Upgrades!$H$12)*POWER(Upgrades!$I$12,K399)))*(IF(Upgrades!$T$6="First Photons",POWER(Upgrades!$U$6,E399),1)*IF(Upgrades!$T$7="First Photons",POWER(Upgrades!$U$7,F399),1)*IF(Upgrades!$T$8="First Photons",POWER(Upgrades!$U$8,G399),1)*IF(Upgrades!$T$9="First Photons",POWER(Upgrades!$U$9,H399),1)*IF(Upgrades!$T$10="First Photons",POWER(Upgrades!$U$10,I399),1)*IF(Upgrades!$T$11="First Photons",POWER(Upgrades!$U$11,J399),1)))*POWER(Upgrades!$P$6,E399)*POWER(Upgrades!$P$7,F399)*POWER(Upgrades!$P$8,G399)*POWER(Upgrades!$P$9,H399)*POWER(Upgrades!$P$10,I399)*POWER(Upgrades!$P$11,J399)*POWER(Upgrades!$P$12,K399)</f>
        <v>11.2</v>
      </c>
      <c r="O399" s="28" t="n">
        <f aca="false">((IF(E399=0,0,(Upgrades!$M$6+E399*Upgrades!$N$6)*POWER(Upgrades!$O$6,E399)))*(IF(Upgrades!$T$7="Solar Wind",POWER(Upgrades!$U$7,F399),1)*IF(Upgrades!$T$8="Solar Wind",POWER(Upgrades!$U$8,G399),1)*IF(Upgrades!$T$9="Solar Wind",POWER(Upgrades!$U$9,H399),1)*IF(Upgrades!$T$10="Solar Wind",POWER(Upgrades!$U$10,I399),1)*IF(Upgrades!$T$11="Solar Wind",POWER(Upgrades!$U$11,J399),1)*IF(Upgrades!$T$12="Solar Wind",POWER(Upgrades!$U$12,K399),1))+(IF(F399=0,0,(Upgrades!$M$7+F399*Upgrades!$N$7)*POWER(Upgrades!$O$7,F399)))*(IF(Upgrades!$T$6="Asteroid Belt",POWER(Upgrades!$U$6,E399),1)*IF(Upgrades!$T$8="Asteroid Belt",POWER(Upgrades!$U$8,G399),1)*IF(Upgrades!$T$9="Asteroid Belt",POWER(Upgrades!$U$9,H399),1)*IF(Upgrades!$T$10="Asteroid Belt",POWER(Upgrades!$U$10,I399),1)*IF(Upgrades!$T$11="Asteroid Belt",POWER(Upgrades!$U$11,J399),1)*IF(Upgrades!$T$12="Asteroid Belt",POWER(Upgrades!$U$12,K399),1))+(IF(G399=0,0,(Upgrades!$M$8+G399*Upgrades!$N$8)*POWER(Upgrades!$O$8,G399)))*(IF(Upgrades!$T$6="Stellar Coupling",POWER(Upgrades!$U$6,E399),1)*IF(Upgrades!$T$7="Stellar Coupling",POWER(Upgrades!$U$7,F399),1)*IF(Upgrades!$T$9="Stellar Coupling",POWER(Upgrades!$U$9,H399),1)*IF(Upgrades!$T$10="Stellar Coupling",POWER(Upgrades!$U$10,I399),1)*IF(Upgrades!$T$11="Stellar Coupling",POWER(Upgrades!$U$11,J399),1)*IF(Upgrades!$T$12="Stellar Coupling",POWER(Upgrades!$U$12,K399),1))+(IF(H399=0,0,(Upgrades!$M$9+H399*Upgrades!$N$9)*POWER(Upgrades!$O$9,H399)))*(IF(Upgrades!$T$6="Magnetosphere",POWER(Upgrades!$U$6,E399),1)*IF(Upgrades!$T$7="Magnetosphere",POWER(Upgrades!$U$7,F399),1)*IF(Upgrades!$T$8="Magnetosphere",POWER(Upgrades!$U$8,G399),1)*IF(Upgrades!$T$10="Magnetosphere",POWER(Upgrades!$U$10,I399),1)*IF(Upgrades!$T$11="Magnetosphere",POWER(Upgrades!$U$11,J399),1)*IF(Upgrades!$T$12="Magnetosphere",POWER(Upgrades!$U$12,K399),1))+(IF(I399=0,0,(Upgrades!$M$10+I399*Upgrades!$N$10)*POWER(Upgrades!$O$10,I399)))*(IF(Upgrades!$T$6="Orbital Resonance",POWER(Upgrades!$U$6,E399),1)*IF(Upgrades!$T$7="Orbital Resonance",POWER(Upgrades!$U$7,F399),1)*IF(Upgrades!$T$8="Orbital Resonance",POWER(Upgrades!$U$8,G399),1)*IF(Upgrades!$T$9="Orbital Resonance",POWER(Upgrades!$U$9,H399),1)*IF(Upgrades!$T$11="Orbital Resonance",POWER(Upgrades!$U$11,J399),1)*IF(Upgrades!$T$12="Orbital Resonance",POWER(Upgrades!$U$12,K399),1))+(IF(J399=0,0,(Upgrades!$M$11+J399*Upgrades!$N$11)*POWER(Upgrades!$O$11,J399)))*(IF(Upgrades!$T$6="Heliopause",POWER(Upgrades!$U$6,E399),1)*IF(Upgrades!$T$7="Heliopause",POWER(Upgrades!$U$7,F399),1)*IF(Upgrades!$T$8="Heliopause",POWER(Upgrades!$U$8,G399),1)*IF(Upgrades!$T$9="Heliopause",POWER(Upgrades!$U$9,H399),1)*IF(Upgrades!$T$10="Heliopause",POWER(Upgrades!$U$10,I399),1)*IF(Upgrades!$T$12="Heliopause",POWER(Upgrades!$U$12,K399),1))+(IF(K399=0,0,(Upgrades!$M$12+K399*Upgrades!$N$12)*POWER(Upgrades!$O$12,K399)))*(IF(Upgrades!$T$6="First Photons",POWER(Upgrades!$U$6,E399),1)*IF(Upgrades!$T$7="First Photons",POWER(Upgrades!$U$7,F399),1)*IF(Upgrades!$T$8="First Photons",POWER(Upgrades!$U$8,G399),1)*IF(Upgrades!$T$9="First Photons",POWER(Upgrades!$U$9,H399),1)*IF(Upgrades!$T$10="First Photons",POWER(Upgrades!$U$10,I399),1)*IF(Upgrades!$T$11="First Photons",POWER(Upgrades!$U$11,J399),1)))*POWER(Upgrades!$R$6,E399)*POWER(Upgrades!$R$7,F399)*POWER(Upgrades!$R$8,G399)*POWER(Upgrades!$R$9,H399)*POWER(Upgrades!$R$10,I399)*POWER(Upgrades!$R$11,J399)*POWER(Upgrades!$R$12,K399)</f>
        <v>0</v>
      </c>
      <c r="P399" s="27" t="n">
        <f aca="false">IF(L399=1,0,M399*Parameters!$B$10/60*Parameters!$B$11*10)</f>
        <v>0</v>
      </c>
      <c r="Q399" s="27" t="n">
        <f aca="false">IF(L399=1,0,O399*M399*10)</f>
        <v>0</v>
      </c>
      <c r="R399" s="27" t="n">
        <f aca="false">IF(L399=1,0,N399*10)</f>
        <v>0</v>
      </c>
      <c r="S399" s="27" t="n">
        <f aca="false">P399+Q399+R399</f>
        <v>0</v>
      </c>
      <c r="T399" s="21" t="n">
        <f aca="false">C399+S399</f>
        <v>18.6730249835055</v>
      </c>
      <c r="U399" s="34" t="str">
        <f aca="false">AX399</f>
        <v/>
      </c>
      <c r="V399" s="21" t="n">
        <f aca="false">IF(U399="",0,IF(U399="transition",0,IF(U399="SW",AG399,IF(U399="AB",AH399,IF(U399="SC",AI399,IF(U399="Mag",AJ399,IF(U399="OR",AK399,IF(U399="HP",AL399,IF(U399="FP",AM399,0)))))))))</f>
        <v>0</v>
      </c>
      <c r="W399" s="27" t="n">
        <f aca="false">IF(U399="OR",Upgrades!$F$10,IF(U399="HP",Upgrades!$F$11,IF(U399="transition",-Parameters!$B$18,0)))</f>
        <v>0</v>
      </c>
      <c r="X399" s="21" t="n">
        <f aca="false">T399-V399</f>
        <v>18.6730249835055</v>
      </c>
      <c r="Y399" s="30" t="n">
        <f aca="false">M399*Parameters!$B$10/60*Parameters!$B$11+O399*M399+N399</f>
        <v>20.55</v>
      </c>
      <c r="Z399" s="35" t="str">
        <f aca="false">IF(U399="transition","→ Tier 2 (Stellar Neighborhood)",IF(U399="FP","First Photons — light begins, system quickens",IF(U399="HP","Heliopause acquired",IF(U399="OR","Orbital Resonance — passive multiplier active",IF(AND(AO399=1,L399=0,AN399&lt;&gt;1),"Cohesion ready (waiting on completionist upgrades)","")))))</f>
        <v/>
      </c>
      <c r="AA399" s="27" t="n">
        <f aca="false">(IF(E399=0,0,(Upgrades!$G$6+E399*Upgrades!$H$6)*POWER(Upgrades!$I$6,E399)))*(IF(Upgrades!$T$7="Solar Wind",POWER(Upgrades!$U$7,F399),1)*IF(Upgrades!$T$8="Solar Wind",POWER(Upgrades!$U$8,G399),1)*IF(Upgrades!$T$9="Solar Wind",POWER(Upgrades!$U$9,H399),1)*IF(Upgrades!$T$10="Solar Wind",POWER(Upgrades!$U$10,I399),1)*IF(Upgrades!$T$11="Solar Wind",POWER(Upgrades!$U$11,J399),1)*IF(Upgrades!$T$12="Solar Wind",POWER(Upgrades!$U$12,K399),1))*POWER(Upgrades!$P$6,E399)*POWER(Upgrades!$P$7,F399)*POWER(Upgrades!$P$8,G399)*POWER(Upgrades!$P$9,H399)*POWER(Upgrades!$P$10,I399)*POWER(Upgrades!$P$11,J399)*POWER(Upgrades!$P$12,K399)*60</f>
        <v>72</v>
      </c>
      <c r="AB399" s="27" t="n">
        <f aca="false">(IF(F399=0,0,(Upgrades!$G$7+F399*Upgrades!$H$7)*POWER(Upgrades!$I$7,F399)))*(IF(Upgrades!$T$6="Asteroid Belt",POWER(Upgrades!$U$6,E399),1)*IF(Upgrades!$T$8="Asteroid Belt",POWER(Upgrades!$U$8,G399),1)*IF(Upgrades!$T$9="Asteroid Belt",POWER(Upgrades!$U$9,H399),1)*IF(Upgrades!$T$10="Asteroid Belt",POWER(Upgrades!$U$10,I399),1)*IF(Upgrades!$T$11="Asteroid Belt",POWER(Upgrades!$U$11,J399),1)*IF(Upgrades!$T$12="Asteroid Belt",POWER(Upgrades!$U$12,K399),1))*POWER(Upgrades!$P$6,E399)*POWER(Upgrades!$P$7,F399)*POWER(Upgrades!$P$8,G399)*POWER(Upgrades!$P$9,H399)*POWER(Upgrades!$P$10,I399)*POWER(Upgrades!$P$11,J399)*POWER(Upgrades!$P$12,K399)*60</f>
        <v>150</v>
      </c>
      <c r="AC399" s="27" t="n">
        <f aca="false">(IF(G399=0,0,(Upgrades!$J$8+G399*Upgrades!$K$8)*POWER(Upgrades!$L$8,G399)))*(IF(Upgrades!$T$6="Stellar Coupling",POWER(Upgrades!$U$6,E399),1)*IF(Upgrades!$T$7="Stellar Coupling",POWER(Upgrades!$U$7,F399),1)*IF(Upgrades!$T$9="Stellar Coupling",POWER(Upgrades!$U$9,H399),1)*IF(Upgrades!$T$10="Stellar Coupling",POWER(Upgrades!$U$10,I399),1)*IF(Upgrades!$T$11="Stellar Coupling",POWER(Upgrades!$U$11,J399),1)*IF(Upgrades!$T$12="Stellar Coupling",POWER(Upgrades!$U$12,K399),1))*POWER(Upgrades!$Q$6,E399)*POWER(Upgrades!$Q$7,F399)*POWER(Upgrades!$Q$8,G399)*POWER(Upgrades!$Q$9,H399)*POWER(Upgrades!$Q$10,I399)*POWER(Upgrades!$Q$11,J399)*POWER(Upgrades!$Q$12,K399)*Parameters!$B$10*Parameters!$B$11</f>
        <v>441</v>
      </c>
      <c r="AD399" s="27" t="n">
        <f aca="false">(IF(H399=0,0,(Upgrades!$G$9+H399*Upgrades!$H$9)*POWER(Upgrades!$I$9,H399)))*(IF(Upgrades!$T$6="Magnetosphere",POWER(Upgrades!$U$6,E399),1)*IF(Upgrades!$T$7="Magnetosphere",POWER(Upgrades!$U$7,F399),1)*IF(Upgrades!$T$8="Magnetosphere",POWER(Upgrades!$U$8,G399),1)*IF(Upgrades!$T$10="Magnetosphere",POWER(Upgrades!$U$10,I399),1)*IF(Upgrades!$T$11="Magnetosphere",POWER(Upgrades!$U$11,J399),1)*IF(Upgrades!$T$12="Magnetosphere",POWER(Upgrades!$U$12,K399),1))*POWER(Upgrades!$P$6,E399)*POWER(Upgrades!$P$7,F399)*POWER(Upgrades!$P$8,G399)*POWER(Upgrades!$P$9,H399)*POWER(Upgrades!$P$10,I399)*POWER(Upgrades!$P$11,J399)*POWER(Upgrades!$P$12,K399)*60</f>
        <v>375</v>
      </c>
      <c r="AE399" s="27" t="n">
        <f aca="false">(IF(K399=0,0,(Upgrades!$G$12+K399*Upgrades!$H$12)*POWER(Upgrades!$I$12,K399)))*(IF(Upgrades!$T$6="First Photons",POWER(Upgrades!$U$6,E399),1)*IF(Upgrades!$T$7="First Photons",POWER(Upgrades!$U$7,F399),1)*IF(Upgrades!$T$8="First Photons",POWER(Upgrades!$U$8,G399),1)*IF(Upgrades!$T$9="First Photons",POWER(Upgrades!$U$9,H399),1)*IF(Upgrades!$T$10="First Photons",POWER(Upgrades!$U$10,I399),1)*IF(Upgrades!$T$11="First Photons",POWER(Upgrades!$U$11,J399),1))*POWER(Upgrades!$P$6,E399)*POWER(Upgrades!$P$7,F399)*POWER(Upgrades!$P$8,G399)*POWER(Upgrades!$P$9,H399)*POWER(Upgrades!$P$10,I399)*POWER(Upgrades!$P$11,J399)*POWER(Upgrades!$P$12,K399)*60</f>
        <v>75</v>
      </c>
      <c r="AF399" s="27" t="n">
        <f aca="false">Parameters!$B$9*POWER(Upgrades!$Q$6,E399)*POWER(Upgrades!$Q$7,F399)*POWER(Upgrades!$Q$8,G399)*POWER(Upgrades!$Q$9,H399)*POWER(Upgrades!$Q$10,I399)*POWER(Upgrades!$Q$11,J399)*POWER(Upgrades!$Q$12,K399)*(Parameters!$B$10*Parameters!$B$11+O399*60)</f>
        <v>120</v>
      </c>
      <c r="AG399" s="21" t="n">
        <f aca="false">IF(E399&gt;=Upgrades!$E$6,"",Upgrades!$C$6*POWER(Upgrades!$D$6,E399))</f>
        <v>37.4517507383159</v>
      </c>
      <c r="AH399" s="21" t="n">
        <f aca="false">IF(F399&gt;=Upgrades!$E$7,"",Upgrades!$C$7*POWER(Upgrades!$D$7,F399))</f>
        <v>80.9111547141581</v>
      </c>
      <c r="AI399" s="21" t="n">
        <f aca="false">IF(G399&gt;=Upgrades!$E$8,"",Upgrades!$C$8*POWER(Upgrades!$D$8,G399))</f>
        <v>231.9097088</v>
      </c>
      <c r="AJ399" s="21" t="str">
        <f aca="false">IF(H399&gt;=Upgrades!$E$9,"",Upgrades!$C$9*POWER(Upgrades!$D$9,H399))</f>
        <v/>
      </c>
      <c r="AK399" s="21" t="str">
        <f aca="false">IF(I399&gt;=Upgrades!$E$10,"",Upgrades!$C$10*POWER(Upgrades!$D$10,I399))</f>
        <v/>
      </c>
      <c r="AL399" s="21" t="str">
        <f aca="false">IF(J399&gt;=Upgrades!$E$11,"",Upgrades!$C$11*POWER(Upgrades!$D$11,J399))</f>
        <v/>
      </c>
      <c r="AM399" s="21" t="str">
        <f aca="false">IF(K399&gt;=Upgrades!$E$12,"",Upgrades!$C$12*POWER(Upgrades!$D$12,K399))</f>
        <v/>
      </c>
      <c r="AN399" s="26" t="str">
        <f aca="false">IF(AND(D399&gt;=Parameters!$B$18,(H399&gt;=Upgrades!$E$9)*(K399&gt;=Upgrades!$E$12)=1,L399=0),1,"")</f>
        <v/>
      </c>
      <c r="AO399" s="26" t="str">
        <f aca="false">IF(AND(D399&gt;=Parameters!$B$18,L399=0),1,"")</f>
        <v/>
      </c>
      <c r="AP399" s="21" t="n">
        <f aca="false">MIN(IF(ISNUMBER(AK399),AK399,9000000000000000),IF(ISNUMBER(AL399),AL399,9000000000000000),IF(ISNUMBER(AM399),AM399,9000000000000000))</f>
        <v>9000000000000000</v>
      </c>
      <c r="AQ399" s="21" t="n">
        <f aca="false">MIN(IF(ISNUMBER(AG399),AG399,9000000000000000),IF(ISNUMBER(AH399),AH399,9000000000000000),IF(ISNUMBER(AI399),AI399,9000000000000000),IF(ISNUMBER(AJ399),AJ399,9000000000000000))</f>
        <v>37.4517507383159</v>
      </c>
      <c r="AR399" s="32" t="b">
        <f aca="false">IF(AW399&gt;Parameters!$B$21*(MAX(IF(AND(NOT(AND(AO399=1,AN399&lt;&gt;1)),ISNUMBER(AG399),AG399&lt;=T399),AS399,0),IF(AND(NOT(AND(AO399=1,AN399&lt;&gt;1)),ISNUMBER(AH399),AH399&lt;=T399),AT399,0),IF(AND(NOT(AND(AO399=1,AN399&lt;&gt;1)),ISNUMBER(AI399),AI399&lt;=T399),AU399,0),IF(AND(ISNUMBER(AJ399),AJ399&lt;=T399),AV399,0))),TRUE(),FALSE())</f>
        <v>1</v>
      </c>
      <c r="AS399" s="33" t="n">
        <f aca="false">IFERROR(Upgrades!$H$6*(POWER(Upgrades!$P$6,E399)*POWER(Upgrades!$P$7,F399)*POWER(Upgrades!$P$8,G399)*POWER(Upgrades!$P$9,H399)*POWER(Upgrades!$P$10,I399)*POWER(Upgrades!$P$11,J399)*POWER(Upgrades!$P$12,K399))*(IF(Upgrades!$T$7="Solar Wind",POWER(Upgrades!$U$7,F399),1)*IF(Upgrades!$T$8="Solar Wind",POWER(Upgrades!$U$8,G399),1)*IF(Upgrades!$T$9="Solar Wind",POWER(Upgrades!$U$9,H399),1)*IF(Upgrades!$T$10="Solar Wind",POWER(Upgrades!$U$10,I399),1)*IF(Upgrades!$T$11="Solar Wind",POWER(Upgrades!$U$11,J399),1)*IF(Upgrades!$T$12="Solar Wind",POWER(Upgrades!$U$12,K399),1))/AG399,0)</f>
        <v>0.0026701021455238</v>
      </c>
      <c r="AT399" s="33" t="n">
        <f aca="false">IFERROR(Upgrades!$H$7*(POWER(Upgrades!$P$6,E399)*POWER(Upgrades!$P$7,F399)*POWER(Upgrades!$P$8,G399)*POWER(Upgrades!$P$9,H399)*POWER(Upgrades!$P$10,I399)*POWER(Upgrades!$P$11,J399)*POWER(Upgrades!$P$12,K399))*(IF(Upgrades!$T$6="Asteroid Belt",POWER(Upgrades!$U$6,E399),1)*IF(Upgrades!$T$8="Asteroid Belt",POWER(Upgrades!$U$8,G399),1)*IF(Upgrades!$T$9="Asteroid Belt",POWER(Upgrades!$U$9,H399),1)*IF(Upgrades!$T$10="Asteroid Belt",POWER(Upgrades!$U$10,I399),1)*IF(Upgrades!$T$11="Asteroid Belt",POWER(Upgrades!$U$11,J399),1)*IF(Upgrades!$T$12="Asteroid Belt",POWER(Upgrades!$U$12,K399),1))/AH399,0)</f>
        <v>0.00308980882652332</v>
      </c>
      <c r="AU399" s="33" t="n">
        <f aca="false">IFERROR(Upgrades!$K$8*(POWER(Upgrades!$Q$6,E399)*POWER(Upgrades!$Q$7,F399)*POWER(Upgrades!$Q$8,G399)*POWER(Upgrades!$Q$9,H399)*POWER(Upgrades!$Q$10,I399)*POWER(Upgrades!$Q$11,J399)*POWER(Upgrades!$Q$12,K399))*(IF(Upgrades!$T$6="Stellar Coupling",POWER(Upgrades!$U$6,E399),1)*IF(Upgrades!$T$7="Stellar Coupling",POWER(Upgrades!$U$7,F399),1)*IF(Upgrades!$T$9="Stellar Coupling",POWER(Upgrades!$U$9,H399),1)*IF(Upgrades!$T$10="Stellar Coupling",POWER(Upgrades!$U$10,I399),1)*IF(Upgrades!$T$11="Stellar Coupling",POWER(Upgrades!$U$11,J399),1)*IF(Upgrades!$T$12="Stellar Coupling",POWER(Upgrades!$U$12,K399),1))*Parameters!$B$10*Parameters!$B$11/60/AI399,0)</f>
        <v>0.00452762415783776</v>
      </c>
      <c r="AV399" s="33" t="n">
        <f aca="false">IFERROR(Upgrades!$H$9*(POWER(Upgrades!$P$6,E399)*POWER(Upgrades!$P$7,F399)*POWER(Upgrades!$P$8,G399)*POWER(Upgrades!$P$9,H399)*POWER(Upgrades!$P$10,I399)*POWER(Upgrades!$P$11,J399)*POWER(Upgrades!$P$12,K399))*(IF(Upgrades!$T$6="Magnetosphere",POWER(Upgrades!$U$6,E399),1)*IF(Upgrades!$T$7="Magnetosphere",POWER(Upgrades!$U$7,F399),1)*IF(Upgrades!$T$8="Magnetosphere",POWER(Upgrades!$U$8,G399),1)*IF(Upgrades!$T$10="Magnetosphere",POWER(Upgrades!$U$10,I399),1)*IF(Upgrades!$T$11="Magnetosphere",POWER(Upgrades!$U$11,J399),1)*IF(Upgrades!$T$12="Magnetosphere",POWER(Upgrades!$U$12,K399),1))/AJ399,0)</f>
        <v>0</v>
      </c>
      <c r="AW399" s="33" t="n">
        <f aca="false">MAX(IF(I399&gt;0,0,IFERROR(0.25*N399/Upgrades!$C$10,0)),IF(J399&gt;0,0,IFERROR(0.5*((IF(G399=0,0,(Upgrades!$J$8+G399*Upgrades!$K$8)*POWER(Upgrades!$L$8,G399)))*(IF(Upgrades!$T$6="Stellar Coupling",POWER(Upgrades!$U$6,E399),1)*IF(Upgrades!$T$7="Stellar Coupling",POWER(Upgrades!$U$7,F399),1)*IF(Upgrades!$T$9="Stellar Coupling",POWER(Upgrades!$U$9,H399),1)*IF(Upgrades!$T$10="Stellar Coupling",POWER(Upgrades!$U$10,I399),1)*IF(Upgrades!$T$11="Stellar Coupling",POWER(Upgrades!$U$11,J399),1)*IF(Upgrades!$T$12="Stellar Coupling",POWER(Upgrades!$U$12,K399),1))*(POWER(Upgrades!$Q$6,E399)*POWER(Upgrades!$Q$7,F399)*POWER(Upgrades!$Q$8,G399)*POWER(Upgrades!$Q$9,H399)*POWER(Upgrades!$Q$10,I399)*POWER(Upgrades!$Q$11,J399)*POWER(Upgrades!$Q$12,K399))*Parameters!$B$10*Parameters!$B$11/60)/Upgrades!$C$11,0)),IF(K399&gt;0,0,IFERROR((1*(POWER(Upgrades!$P$6,E399)*POWER(Upgrades!$P$7,F399)*POWER(Upgrades!$P$8,G399)*POWER(Upgrades!$P$9,H399)*POWER(Upgrades!$P$10,I399)*POWER(Upgrades!$P$11,J399)*POWER(Upgrades!$P$12,K399))+0.2*M399*Parameters!$B$10*Parameters!$B$11/60)/Upgrades!$C$12,0)),IF(AND(ISNUMBER(AG399),AG399&gt;T399),AS399,0),IF(AND(ISNUMBER(AH399),AH399&gt;T399),AT399,0),IF(AND(ISNUMBER(AI399),AI399&gt;T399),AU399,0),IF(AND(ISNUMBER(AJ399),AJ399&gt;T399),AV399,0))</f>
        <v>0.00452762415783776</v>
      </c>
      <c r="AX399" s="29" t="str">
        <f aca="false">IF(AN399=1,"transition",IF(MIN(IF(AND(I399=0,ISNUMBER(AK399),AK399&lt;=T399),AK399,9000000000000000),IF(AND(J399=0,ISNUMBER(AL399),AL399&lt;=T399),AL399,9000000000000000),IF(AND(K399=0,ISNUMBER(AM399),AM399&lt;=T399),AM399,9000000000000000))&lt;9000000000000000,IF(AND(AND(I399=0,ISNUMBER(AK399),AK399&lt;=T399),AK399=MIN(IF(AND(I399=0,ISNUMBER(AK399),AK399&lt;=T399),AK399,9000000000000000),IF(AND(J399=0,ISNUMBER(AL399),AL399&lt;=T399),AL399,9000000000000000),IF(AND(K399=0,ISNUMBER(AM399),AM399&lt;=T399),AM399,9000000000000000))),"OR",IF(AND(AND(J399=0,ISNUMBER(AL399),AL399&lt;=T399),AL399=MIN(IF(AND(I399=0,ISNUMBER(AK399),AK399&lt;=T399),AK399,9000000000000000),IF(AND(J399=0,ISNUMBER(AL399),AL399&lt;=T399),AL399,9000000000000000),IF(AND(K399=0,ISNUMBER(AM399),AM399&lt;=T399),AM399,9000000000000000))),"HP","FP")),IF(AR399=TRUE(),"",IF(MAX(IF(AND(NOT(AND(AO399=1,AN399&lt;&gt;1)),ISNUMBER(AG399),AG399&lt;=T399),AS399,0),IF(AND(NOT(AND(AO399=1,AN399&lt;&gt;1)),ISNUMBER(AH399),AH399&lt;=T399),AT399,0),IF(AND(NOT(AND(AO399=1,AN399&lt;&gt;1)),ISNUMBER(AI399),AI399&lt;=T399),AU399,0),IF(AND(ISNUMBER(AJ399),AJ399&lt;=T399),AV399,0))&lt;=0,"",IF(AND(IF(AND(NOT(AND(AO399=1,AN399&lt;&gt;1)),ISNUMBER(AG399),AG399&lt;=T399),AS399,0)&gt;0,IF(AND(NOT(AND(AO399=1,AN399&lt;&gt;1)),ISNUMBER(AG399),AG399&lt;=T399),AS399,0)=MAX(IF(AND(NOT(AND(AO399=1,AN399&lt;&gt;1)),ISNUMBER(AG399),AG399&lt;=T399),AS399,0),IF(AND(NOT(AND(AO399=1,AN399&lt;&gt;1)),ISNUMBER(AH399),AH399&lt;=T399),AT399,0),IF(AND(NOT(AND(AO399=1,AN399&lt;&gt;1)),ISNUMBER(AI399),AI399&lt;=T399),AU399,0),IF(AND(ISNUMBER(AJ399),AJ399&lt;=T399),AV399,0))),"SW",IF(AND(IF(AND(NOT(AND(AO399=1,AN399&lt;&gt;1)),ISNUMBER(AH399),AH399&lt;=T399),AT399,0)&gt;0,IF(AND(NOT(AND(AO399=1,AN399&lt;&gt;1)),ISNUMBER(AH399),AH399&lt;=T399),AT399,0)=MAX(IF(AND(NOT(AND(AO399=1,AN399&lt;&gt;1)),ISNUMBER(AG399),AG399&lt;=T399),AS399,0),IF(AND(NOT(AND(AO399=1,AN399&lt;&gt;1)),ISNUMBER(AH399),AH399&lt;=T399),AT399,0),IF(AND(NOT(AND(AO399=1,AN399&lt;&gt;1)),ISNUMBER(AI399),AI399&lt;=T399),AU399,0),IF(AND(ISNUMBER(AJ399),AJ399&lt;=T399),AV399,0))),"AB",IF(AND(IF(AND(NOT(AND(AO399=1,AN399&lt;&gt;1)),ISNUMBER(AI399),AI399&lt;=T399),AU399,0)&gt;0,IF(AND(NOT(AND(AO399=1,AN399&lt;&gt;1)),ISNUMBER(AI399),AI399&lt;=T399),AU399,0)=MAX(IF(AND(NOT(AND(AO399=1,AN399&lt;&gt;1)),ISNUMBER(AG399),AG399&lt;=T399),AS399,0),IF(AND(NOT(AND(AO399=1,AN399&lt;&gt;1)),ISNUMBER(AH399),AH399&lt;=T399),AT399,0),IF(AND(NOT(AND(AO399=1,AN399&lt;&gt;1)),ISNUMBER(AI399),AI399&lt;=T399),AU399,0),IF(AND(ISNUMBER(AJ399),AJ399&lt;=T399),AV399,0))),"SC","Mag")))))))</f>
        <v/>
      </c>
    </row>
    <row r="400" customFormat="false" ht="15" hidden="false" customHeight="false" outlineLevel="0" collapsed="false">
      <c r="A400" s="26" t="n">
        <v>395</v>
      </c>
      <c r="B400" s="27" t="n">
        <f aca="false">A400*10/60</f>
        <v>65.8333333333333</v>
      </c>
      <c r="C400" s="21" t="n">
        <f aca="false">X399</f>
        <v>18.6730249835055</v>
      </c>
      <c r="D400" s="27" t="n">
        <f aca="false">D399+W399</f>
        <v>0</v>
      </c>
      <c r="E400" s="26" t="n">
        <f aca="false">E399+IF(U399="SW",1,0)</f>
        <v>12</v>
      </c>
      <c r="F400" s="26" t="n">
        <f aca="false">F399+IF(U399="AB",1,0)</f>
        <v>10</v>
      </c>
      <c r="G400" s="26" t="n">
        <f aca="false">G399+IF(U399="SC",1,0)</f>
        <v>7</v>
      </c>
      <c r="H400" s="26" t="n">
        <f aca="false">H399+IF(U399="Mag",1,0)</f>
        <v>5</v>
      </c>
      <c r="I400" s="26" t="n">
        <f aca="false">MAX(I399,IF(U399="OR",1,0))</f>
        <v>1</v>
      </c>
      <c r="J400" s="26" t="n">
        <f aca="false">MAX(J399,IF(U399="HP",1,0))</f>
        <v>1</v>
      </c>
      <c r="K400" s="26" t="n">
        <f aca="false">MAX(K399,IF(U399="FP",1,0))</f>
        <v>1</v>
      </c>
      <c r="L400" s="26" t="n">
        <f aca="false">MAX(L399,IF(U399="transition",1,0))</f>
        <v>1</v>
      </c>
      <c r="M400" s="28" t="n">
        <f aca="false">(Parameters!$B$9+(IF(E400=0,0,(Upgrades!$J$6+E400*Upgrades!$K$6)*POWER(Upgrades!$L$6,E400)))*(IF(Upgrades!$T$7="Solar Wind",POWER(Upgrades!$U$7,F400),1)*IF(Upgrades!$T$8="Solar Wind",POWER(Upgrades!$U$8,G400),1)*IF(Upgrades!$T$9="Solar Wind",POWER(Upgrades!$U$9,H400),1)*IF(Upgrades!$T$10="Solar Wind",POWER(Upgrades!$U$10,I400),1)*IF(Upgrades!$T$11="Solar Wind",POWER(Upgrades!$U$11,J400),1)*IF(Upgrades!$T$12="Solar Wind",POWER(Upgrades!$U$12,K400),1))+(IF(F400=0,0,(Upgrades!$J$7+F400*Upgrades!$K$7)*POWER(Upgrades!$L$7,F400)))*(IF(Upgrades!$T$6="Asteroid Belt",POWER(Upgrades!$U$6,E400),1)*IF(Upgrades!$T$8="Asteroid Belt",POWER(Upgrades!$U$8,G400),1)*IF(Upgrades!$T$9="Asteroid Belt",POWER(Upgrades!$U$9,H400),1)*IF(Upgrades!$T$10="Asteroid Belt",POWER(Upgrades!$U$10,I400),1)*IF(Upgrades!$T$11="Asteroid Belt",POWER(Upgrades!$U$11,J400),1)*IF(Upgrades!$T$12="Asteroid Belt",POWER(Upgrades!$U$12,K400),1))+(IF(G400=0,0,(Upgrades!$J$8+G400*Upgrades!$K$8)*POWER(Upgrades!$L$8,G400)))*(IF(Upgrades!$T$6="Stellar Coupling",POWER(Upgrades!$U$6,E400),1)*IF(Upgrades!$T$7="Stellar Coupling",POWER(Upgrades!$U$7,F400),1)*IF(Upgrades!$T$9="Stellar Coupling",POWER(Upgrades!$U$9,H400),1)*IF(Upgrades!$T$10="Stellar Coupling",POWER(Upgrades!$U$10,I400),1)*IF(Upgrades!$T$11="Stellar Coupling",POWER(Upgrades!$U$11,J400),1)*IF(Upgrades!$T$12="Stellar Coupling",POWER(Upgrades!$U$12,K400),1))+(IF(H400=0,0,(Upgrades!$J$9+H400*Upgrades!$K$9)*POWER(Upgrades!$L$9,H400)))*(IF(Upgrades!$T$6="Magnetosphere",POWER(Upgrades!$U$6,E400),1)*IF(Upgrades!$T$7="Magnetosphere",POWER(Upgrades!$U$7,F400),1)*IF(Upgrades!$T$8="Magnetosphere",POWER(Upgrades!$U$8,G400),1)*IF(Upgrades!$T$10="Magnetosphere",POWER(Upgrades!$U$10,I400),1)*IF(Upgrades!$T$11="Magnetosphere",POWER(Upgrades!$U$11,J400),1)*IF(Upgrades!$T$12="Magnetosphere",POWER(Upgrades!$U$12,K400),1))+(IF(I400=0,0,(Upgrades!$J$10+I400*Upgrades!$K$10)*POWER(Upgrades!$L$10,I400)))*(IF(Upgrades!$T$6="Orbital Resonance",POWER(Upgrades!$U$6,E400),1)*IF(Upgrades!$T$7="Orbital Resonance",POWER(Upgrades!$U$7,F400),1)*IF(Upgrades!$T$8="Orbital Resonance",POWER(Upgrades!$U$8,G400),1)*IF(Upgrades!$T$9="Orbital Resonance",POWER(Upgrades!$U$9,H400),1)*IF(Upgrades!$T$11="Orbital Resonance",POWER(Upgrades!$U$11,J400),1)*IF(Upgrades!$T$12="Orbital Resonance",POWER(Upgrades!$U$12,K400),1))+(IF(J400=0,0,(Upgrades!$J$11+J400*Upgrades!$K$11)*POWER(Upgrades!$L$11,J400)))*(IF(Upgrades!$T$6="Heliopause",POWER(Upgrades!$U$6,E400),1)*IF(Upgrades!$T$7="Heliopause",POWER(Upgrades!$U$7,F400),1)*IF(Upgrades!$T$8="Heliopause",POWER(Upgrades!$U$8,G400),1)*IF(Upgrades!$T$9="Heliopause",POWER(Upgrades!$U$9,H400),1)*IF(Upgrades!$T$10="Heliopause",POWER(Upgrades!$U$10,I400),1)*IF(Upgrades!$T$12="Heliopause",POWER(Upgrades!$U$12,K400),1))+(IF(K400=0,0,(Upgrades!$J$12+K400*Upgrades!$K$12)*POWER(Upgrades!$L$12,K400)))*(IF(Upgrades!$T$6="First Photons",POWER(Upgrades!$U$6,E400),1)*IF(Upgrades!$T$7="First Photons",POWER(Upgrades!$U$7,F400),1)*IF(Upgrades!$T$8="First Photons",POWER(Upgrades!$U$8,G400),1)*IF(Upgrades!$T$9="First Photons",POWER(Upgrades!$U$9,H400),1)*IF(Upgrades!$T$10="First Photons",POWER(Upgrades!$U$10,I400),1)*IF(Upgrades!$T$11="First Photons",POWER(Upgrades!$U$11,J400),1)))*POWER(Upgrades!$Q$6,E400)*POWER(Upgrades!$Q$7,F400)*POWER(Upgrades!$Q$8,G400)*POWER(Upgrades!$Q$9,H400)*POWER(Upgrades!$Q$10,I400)*POWER(Upgrades!$Q$11,J400)*POWER(Upgrades!$Q$12,K400)</f>
        <v>5.61</v>
      </c>
      <c r="N400" s="28" t="n">
        <f aca="false">((IF(E400=0,0,(Upgrades!$G$6+E400*Upgrades!$H$6)*POWER(Upgrades!$I$6,E400)))*(IF(Upgrades!$T$7="Solar Wind",POWER(Upgrades!$U$7,F400),1)*IF(Upgrades!$T$8="Solar Wind",POWER(Upgrades!$U$8,G400),1)*IF(Upgrades!$T$9="Solar Wind",POWER(Upgrades!$U$9,H400),1)*IF(Upgrades!$T$10="Solar Wind",POWER(Upgrades!$U$10,I400),1)*IF(Upgrades!$T$11="Solar Wind",POWER(Upgrades!$U$11,J400),1)*IF(Upgrades!$T$12="Solar Wind",POWER(Upgrades!$U$12,K400),1))+(IF(F400=0,0,(Upgrades!$G$7+F400*Upgrades!$H$7)*POWER(Upgrades!$I$7,F400)))*(IF(Upgrades!$T$6="Asteroid Belt",POWER(Upgrades!$U$6,E400),1)*IF(Upgrades!$T$8="Asteroid Belt",POWER(Upgrades!$U$8,G400),1)*IF(Upgrades!$T$9="Asteroid Belt",POWER(Upgrades!$U$9,H400),1)*IF(Upgrades!$T$10="Asteroid Belt",POWER(Upgrades!$U$10,I400),1)*IF(Upgrades!$T$11="Asteroid Belt",POWER(Upgrades!$U$11,J400),1)*IF(Upgrades!$T$12="Asteroid Belt",POWER(Upgrades!$U$12,K400),1))+(IF(G400=0,0,(Upgrades!$G$8+G400*Upgrades!$H$8)*POWER(Upgrades!$I$8,G400)))*(IF(Upgrades!$T$6="Stellar Coupling",POWER(Upgrades!$U$6,E400),1)*IF(Upgrades!$T$7="Stellar Coupling",POWER(Upgrades!$U$7,F400),1)*IF(Upgrades!$T$9="Stellar Coupling",POWER(Upgrades!$U$9,H400),1)*IF(Upgrades!$T$10="Stellar Coupling",POWER(Upgrades!$U$10,I400),1)*IF(Upgrades!$T$11="Stellar Coupling",POWER(Upgrades!$U$11,J400),1)*IF(Upgrades!$T$12="Stellar Coupling",POWER(Upgrades!$U$12,K400),1))+(IF(H400=0,0,(Upgrades!$G$9+H400*Upgrades!$H$9)*POWER(Upgrades!$I$9,H400)))*(IF(Upgrades!$T$6="Magnetosphere",POWER(Upgrades!$U$6,E400),1)*IF(Upgrades!$T$7="Magnetosphere",POWER(Upgrades!$U$7,F400),1)*IF(Upgrades!$T$8="Magnetosphere",POWER(Upgrades!$U$8,G400),1)*IF(Upgrades!$T$10="Magnetosphere",POWER(Upgrades!$U$10,I400),1)*IF(Upgrades!$T$11="Magnetosphere",POWER(Upgrades!$U$11,J400),1)*IF(Upgrades!$T$12="Magnetosphere",POWER(Upgrades!$U$12,K400),1))+(IF(I400=0,0,(Upgrades!$G$10+I400*Upgrades!$H$10)*POWER(Upgrades!$I$10,I400)))*(IF(Upgrades!$T$6="Orbital Resonance",POWER(Upgrades!$U$6,E400),1)*IF(Upgrades!$T$7="Orbital Resonance",POWER(Upgrades!$U$7,F400),1)*IF(Upgrades!$T$8="Orbital Resonance",POWER(Upgrades!$U$8,G400),1)*IF(Upgrades!$T$9="Orbital Resonance",POWER(Upgrades!$U$9,H400),1)*IF(Upgrades!$T$11="Orbital Resonance",POWER(Upgrades!$U$11,J400),1)*IF(Upgrades!$T$12="Orbital Resonance",POWER(Upgrades!$U$12,K400),1))+(IF(J400=0,0,(Upgrades!$G$11+J400*Upgrades!$H$11)*POWER(Upgrades!$I$11,J400)))*(IF(Upgrades!$T$6="Heliopause",POWER(Upgrades!$U$6,E400),1)*IF(Upgrades!$T$7="Heliopause",POWER(Upgrades!$U$7,F400),1)*IF(Upgrades!$T$8="Heliopause",POWER(Upgrades!$U$8,G400),1)*IF(Upgrades!$T$9="Heliopause",POWER(Upgrades!$U$9,H400),1)*IF(Upgrades!$T$10="Heliopause",POWER(Upgrades!$U$10,I400),1)*IF(Upgrades!$T$12="Heliopause",POWER(Upgrades!$U$12,K400),1))+(IF(K400=0,0,(Upgrades!$G$12+K400*Upgrades!$H$12)*POWER(Upgrades!$I$12,K400)))*(IF(Upgrades!$T$6="First Photons",POWER(Upgrades!$U$6,E400),1)*IF(Upgrades!$T$7="First Photons",POWER(Upgrades!$U$7,F400),1)*IF(Upgrades!$T$8="First Photons",POWER(Upgrades!$U$8,G400),1)*IF(Upgrades!$T$9="First Photons",POWER(Upgrades!$U$9,H400),1)*IF(Upgrades!$T$10="First Photons",POWER(Upgrades!$U$10,I400),1)*IF(Upgrades!$T$11="First Photons",POWER(Upgrades!$U$11,J400),1)))*POWER(Upgrades!$P$6,E400)*POWER(Upgrades!$P$7,F400)*POWER(Upgrades!$P$8,G400)*POWER(Upgrades!$P$9,H400)*POWER(Upgrades!$P$10,I400)*POWER(Upgrades!$P$11,J400)*POWER(Upgrades!$P$12,K400)</f>
        <v>11.2</v>
      </c>
      <c r="O400" s="28" t="n">
        <f aca="false">((IF(E400=0,0,(Upgrades!$M$6+E400*Upgrades!$N$6)*POWER(Upgrades!$O$6,E400)))*(IF(Upgrades!$T$7="Solar Wind",POWER(Upgrades!$U$7,F400),1)*IF(Upgrades!$T$8="Solar Wind",POWER(Upgrades!$U$8,G400),1)*IF(Upgrades!$T$9="Solar Wind",POWER(Upgrades!$U$9,H400),1)*IF(Upgrades!$T$10="Solar Wind",POWER(Upgrades!$U$10,I400),1)*IF(Upgrades!$T$11="Solar Wind",POWER(Upgrades!$U$11,J400),1)*IF(Upgrades!$T$12="Solar Wind",POWER(Upgrades!$U$12,K400),1))+(IF(F400=0,0,(Upgrades!$M$7+F400*Upgrades!$N$7)*POWER(Upgrades!$O$7,F400)))*(IF(Upgrades!$T$6="Asteroid Belt",POWER(Upgrades!$U$6,E400),1)*IF(Upgrades!$T$8="Asteroid Belt",POWER(Upgrades!$U$8,G400),1)*IF(Upgrades!$T$9="Asteroid Belt",POWER(Upgrades!$U$9,H400),1)*IF(Upgrades!$T$10="Asteroid Belt",POWER(Upgrades!$U$10,I400),1)*IF(Upgrades!$T$11="Asteroid Belt",POWER(Upgrades!$U$11,J400),1)*IF(Upgrades!$T$12="Asteroid Belt",POWER(Upgrades!$U$12,K400),1))+(IF(G400=0,0,(Upgrades!$M$8+G400*Upgrades!$N$8)*POWER(Upgrades!$O$8,G400)))*(IF(Upgrades!$T$6="Stellar Coupling",POWER(Upgrades!$U$6,E400),1)*IF(Upgrades!$T$7="Stellar Coupling",POWER(Upgrades!$U$7,F400),1)*IF(Upgrades!$T$9="Stellar Coupling",POWER(Upgrades!$U$9,H400),1)*IF(Upgrades!$T$10="Stellar Coupling",POWER(Upgrades!$U$10,I400),1)*IF(Upgrades!$T$11="Stellar Coupling",POWER(Upgrades!$U$11,J400),1)*IF(Upgrades!$T$12="Stellar Coupling",POWER(Upgrades!$U$12,K400),1))+(IF(H400=0,0,(Upgrades!$M$9+H400*Upgrades!$N$9)*POWER(Upgrades!$O$9,H400)))*(IF(Upgrades!$T$6="Magnetosphere",POWER(Upgrades!$U$6,E400),1)*IF(Upgrades!$T$7="Magnetosphere",POWER(Upgrades!$U$7,F400),1)*IF(Upgrades!$T$8="Magnetosphere",POWER(Upgrades!$U$8,G400),1)*IF(Upgrades!$T$10="Magnetosphere",POWER(Upgrades!$U$10,I400),1)*IF(Upgrades!$T$11="Magnetosphere",POWER(Upgrades!$U$11,J400),1)*IF(Upgrades!$T$12="Magnetosphere",POWER(Upgrades!$U$12,K400),1))+(IF(I400=0,0,(Upgrades!$M$10+I400*Upgrades!$N$10)*POWER(Upgrades!$O$10,I400)))*(IF(Upgrades!$T$6="Orbital Resonance",POWER(Upgrades!$U$6,E400),1)*IF(Upgrades!$T$7="Orbital Resonance",POWER(Upgrades!$U$7,F400),1)*IF(Upgrades!$T$8="Orbital Resonance",POWER(Upgrades!$U$8,G400),1)*IF(Upgrades!$T$9="Orbital Resonance",POWER(Upgrades!$U$9,H400),1)*IF(Upgrades!$T$11="Orbital Resonance",POWER(Upgrades!$U$11,J400),1)*IF(Upgrades!$T$12="Orbital Resonance",POWER(Upgrades!$U$12,K400),1))+(IF(J400=0,0,(Upgrades!$M$11+J400*Upgrades!$N$11)*POWER(Upgrades!$O$11,J400)))*(IF(Upgrades!$T$6="Heliopause",POWER(Upgrades!$U$6,E400),1)*IF(Upgrades!$T$7="Heliopause",POWER(Upgrades!$U$7,F400),1)*IF(Upgrades!$T$8="Heliopause",POWER(Upgrades!$U$8,G400),1)*IF(Upgrades!$T$9="Heliopause",POWER(Upgrades!$U$9,H400),1)*IF(Upgrades!$T$10="Heliopause",POWER(Upgrades!$U$10,I400),1)*IF(Upgrades!$T$12="Heliopause",POWER(Upgrades!$U$12,K400),1))+(IF(K400=0,0,(Upgrades!$M$12+K400*Upgrades!$N$12)*POWER(Upgrades!$O$12,K400)))*(IF(Upgrades!$T$6="First Photons",POWER(Upgrades!$U$6,E400),1)*IF(Upgrades!$T$7="First Photons",POWER(Upgrades!$U$7,F400),1)*IF(Upgrades!$T$8="First Photons",POWER(Upgrades!$U$8,G400),1)*IF(Upgrades!$T$9="First Photons",POWER(Upgrades!$U$9,H400),1)*IF(Upgrades!$T$10="First Photons",POWER(Upgrades!$U$10,I400),1)*IF(Upgrades!$T$11="First Photons",POWER(Upgrades!$U$11,J400),1)))*POWER(Upgrades!$R$6,E400)*POWER(Upgrades!$R$7,F400)*POWER(Upgrades!$R$8,G400)*POWER(Upgrades!$R$9,H400)*POWER(Upgrades!$R$10,I400)*POWER(Upgrades!$R$11,J400)*POWER(Upgrades!$R$12,K400)</f>
        <v>0</v>
      </c>
      <c r="P400" s="27" t="n">
        <f aca="false">IF(L400=1,0,M400*Parameters!$B$10/60*Parameters!$B$11*10)</f>
        <v>0</v>
      </c>
      <c r="Q400" s="27" t="n">
        <f aca="false">IF(L400=1,0,O400*M400*10)</f>
        <v>0</v>
      </c>
      <c r="R400" s="27" t="n">
        <f aca="false">IF(L400=1,0,N400*10)</f>
        <v>0</v>
      </c>
      <c r="S400" s="27" t="n">
        <f aca="false">P400+Q400+R400</f>
        <v>0</v>
      </c>
      <c r="T400" s="21" t="n">
        <f aca="false">C400+S400</f>
        <v>18.6730249835055</v>
      </c>
      <c r="U400" s="34" t="str">
        <f aca="false">AX400</f>
        <v/>
      </c>
      <c r="V400" s="21" t="n">
        <f aca="false">IF(U400="",0,IF(U400="transition",0,IF(U400="SW",AG400,IF(U400="AB",AH400,IF(U400="SC",AI400,IF(U400="Mag",AJ400,IF(U400="OR",AK400,IF(U400="HP",AL400,IF(U400="FP",AM400,0)))))))))</f>
        <v>0</v>
      </c>
      <c r="W400" s="27" t="n">
        <f aca="false">IF(U400="OR",Upgrades!$F$10,IF(U400="HP",Upgrades!$F$11,IF(U400="transition",-Parameters!$B$18,0)))</f>
        <v>0</v>
      </c>
      <c r="X400" s="21" t="n">
        <f aca="false">T400-V400</f>
        <v>18.6730249835055</v>
      </c>
      <c r="Y400" s="30" t="n">
        <f aca="false">M400*Parameters!$B$10/60*Parameters!$B$11+O400*M400+N400</f>
        <v>20.55</v>
      </c>
      <c r="Z400" s="35" t="str">
        <f aca="false">IF(U400="transition","→ Tier 2 (Stellar Neighborhood)",IF(U400="FP","First Photons — light begins, system quickens",IF(U400="HP","Heliopause acquired",IF(U400="OR","Orbital Resonance — passive multiplier active",IF(AND(AO400=1,L400=0,AN400&lt;&gt;1),"Cohesion ready (waiting on completionist upgrades)","")))))</f>
        <v/>
      </c>
      <c r="AA400" s="27" t="n">
        <f aca="false">(IF(E400=0,0,(Upgrades!$G$6+E400*Upgrades!$H$6)*POWER(Upgrades!$I$6,E400)))*(IF(Upgrades!$T$7="Solar Wind",POWER(Upgrades!$U$7,F400),1)*IF(Upgrades!$T$8="Solar Wind",POWER(Upgrades!$U$8,G400),1)*IF(Upgrades!$T$9="Solar Wind",POWER(Upgrades!$U$9,H400),1)*IF(Upgrades!$T$10="Solar Wind",POWER(Upgrades!$U$10,I400),1)*IF(Upgrades!$T$11="Solar Wind",POWER(Upgrades!$U$11,J400),1)*IF(Upgrades!$T$12="Solar Wind",POWER(Upgrades!$U$12,K400),1))*POWER(Upgrades!$P$6,E400)*POWER(Upgrades!$P$7,F400)*POWER(Upgrades!$P$8,G400)*POWER(Upgrades!$P$9,H400)*POWER(Upgrades!$P$10,I400)*POWER(Upgrades!$P$11,J400)*POWER(Upgrades!$P$12,K400)*60</f>
        <v>72</v>
      </c>
      <c r="AB400" s="27" t="n">
        <f aca="false">(IF(F400=0,0,(Upgrades!$G$7+F400*Upgrades!$H$7)*POWER(Upgrades!$I$7,F400)))*(IF(Upgrades!$T$6="Asteroid Belt",POWER(Upgrades!$U$6,E400),1)*IF(Upgrades!$T$8="Asteroid Belt",POWER(Upgrades!$U$8,G400),1)*IF(Upgrades!$T$9="Asteroid Belt",POWER(Upgrades!$U$9,H400),1)*IF(Upgrades!$T$10="Asteroid Belt",POWER(Upgrades!$U$10,I400),1)*IF(Upgrades!$T$11="Asteroid Belt",POWER(Upgrades!$U$11,J400),1)*IF(Upgrades!$T$12="Asteroid Belt",POWER(Upgrades!$U$12,K400),1))*POWER(Upgrades!$P$6,E400)*POWER(Upgrades!$P$7,F400)*POWER(Upgrades!$P$8,G400)*POWER(Upgrades!$P$9,H400)*POWER(Upgrades!$P$10,I400)*POWER(Upgrades!$P$11,J400)*POWER(Upgrades!$P$12,K400)*60</f>
        <v>150</v>
      </c>
      <c r="AC400" s="27" t="n">
        <f aca="false">(IF(G400=0,0,(Upgrades!$J$8+G400*Upgrades!$K$8)*POWER(Upgrades!$L$8,G400)))*(IF(Upgrades!$T$6="Stellar Coupling",POWER(Upgrades!$U$6,E400),1)*IF(Upgrades!$T$7="Stellar Coupling",POWER(Upgrades!$U$7,F400),1)*IF(Upgrades!$T$9="Stellar Coupling",POWER(Upgrades!$U$9,H400),1)*IF(Upgrades!$T$10="Stellar Coupling",POWER(Upgrades!$U$10,I400),1)*IF(Upgrades!$T$11="Stellar Coupling",POWER(Upgrades!$U$11,J400),1)*IF(Upgrades!$T$12="Stellar Coupling",POWER(Upgrades!$U$12,K400),1))*POWER(Upgrades!$Q$6,E400)*POWER(Upgrades!$Q$7,F400)*POWER(Upgrades!$Q$8,G400)*POWER(Upgrades!$Q$9,H400)*POWER(Upgrades!$Q$10,I400)*POWER(Upgrades!$Q$11,J400)*POWER(Upgrades!$Q$12,K400)*Parameters!$B$10*Parameters!$B$11</f>
        <v>441</v>
      </c>
      <c r="AD400" s="27" t="n">
        <f aca="false">(IF(H400=0,0,(Upgrades!$G$9+H400*Upgrades!$H$9)*POWER(Upgrades!$I$9,H400)))*(IF(Upgrades!$T$6="Magnetosphere",POWER(Upgrades!$U$6,E400),1)*IF(Upgrades!$T$7="Magnetosphere",POWER(Upgrades!$U$7,F400),1)*IF(Upgrades!$T$8="Magnetosphere",POWER(Upgrades!$U$8,G400),1)*IF(Upgrades!$T$10="Magnetosphere",POWER(Upgrades!$U$10,I400),1)*IF(Upgrades!$T$11="Magnetosphere",POWER(Upgrades!$U$11,J400),1)*IF(Upgrades!$T$12="Magnetosphere",POWER(Upgrades!$U$12,K400),1))*POWER(Upgrades!$P$6,E400)*POWER(Upgrades!$P$7,F400)*POWER(Upgrades!$P$8,G400)*POWER(Upgrades!$P$9,H400)*POWER(Upgrades!$P$10,I400)*POWER(Upgrades!$P$11,J400)*POWER(Upgrades!$P$12,K400)*60</f>
        <v>375</v>
      </c>
      <c r="AE400" s="27" t="n">
        <f aca="false">(IF(K400=0,0,(Upgrades!$G$12+K400*Upgrades!$H$12)*POWER(Upgrades!$I$12,K400)))*(IF(Upgrades!$T$6="First Photons",POWER(Upgrades!$U$6,E400),1)*IF(Upgrades!$T$7="First Photons",POWER(Upgrades!$U$7,F400),1)*IF(Upgrades!$T$8="First Photons",POWER(Upgrades!$U$8,G400),1)*IF(Upgrades!$T$9="First Photons",POWER(Upgrades!$U$9,H400),1)*IF(Upgrades!$T$10="First Photons",POWER(Upgrades!$U$10,I400),1)*IF(Upgrades!$T$11="First Photons",POWER(Upgrades!$U$11,J400),1))*POWER(Upgrades!$P$6,E400)*POWER(Upgrades!$P$7,F400)*POWER(Upgrades!$P$8,G400)*POWER(Upgrades!$P$9,H400)*POWER(Upgrades!$P$10,I400)*POWER(Upgrades!$P$11,J400)*POWER(Upgrades!$P$12,K400)*60</f>
        <v>75</v>
      </c>
      <c r="AF400" s="27" t="n">
        <f aca="false">Parameters!$B$9*POWER(Upgrades!$Q$6,E400)*POWER(Upgrades!$Q$7,F400)*POWER(Upgrades!$Q$8,G400)*POWER(Upgrades!$Q$9,H400)*POWER(Upgrades!$Q$10,I400)*POWER(Upgrades!$Q$11,J400)*POWER(Upgrades!$Q$12,K400)*(Parameters!$B$10*Parameters!$B$11+O400*60)</f>
        <v>120</v>
      </c>
      <c r="AG400" s="21" t="n">
        <f aca="false">IF(E400&gt;=Upgrades!$E$6,"",Upgrades!$C$6*POWER(Upgrades!$D$6,E400))</f>
        <v>37.4517507383159</v>
      </c>
      <c r="AH400" s="21" t="n">
        <f aca="false">IF(F400&gt;=Upgrades!$E$7,"",Upgrades!$C$7*POWER(Upgrades!$D$7,F400))</f>
        <v>80.9111547141581</v>
      </c>
      <c r="AI400" s="21" t="n">
        <f aca="false">IF(G400&gt;=Upgrades!$E$8,"",Upgrades!$C$8*POWER(Upgrades!$D$8,G400))</f>
        <v>231.9097088</v>
      </c>
      <c r="AJ400" s="21" t="str">
        <f aca="false">IF(H400&gt;=Upgrades!$E$9,"",Upgrades!$C$9*POWER(Upgrades!$D$9,H400))</f>
        <v/>
      </c>
      <c r="AK400" s="21" t="str">
        <f aca="false">IF(I400&gt;=Upgrades!$E$10,"",Upgrades!$C$10*POWER(Upgrades!$D$10,I400))</f>
        <v/>
      </c>
      <c r="AL400" s="21" t="str">
        <f aca="false">IF(J400&gt;=Upgrades!$E$11,"",Upgrades!$C$11*POWER(Upgrades!$D$11,J400))</f>
        <v/>
      </c>
      <c r="AM400" s="21" t="str">
        <f aca="false">IF(K400&gt;=Upgrades!$E$12,"",Upgrades!$C$12*POWER(Upgrades!$D$12,K400))</f>
        <v/>
      </c>
      <c r="AN400" s="26" t="str">
        <f aca="false">IF(AND(D400&gt;=Parameters!$B$18,(H400&gt;=Upgrades!$E$9)*(K400&gt;=Upgrades!$E$12)=1,L400=0),1,"")</f>
        <v/>
      </c>
      <c r="AO400" s="26" t="str">
        <f aca="false">IF(AND(D400&gt;=Parameters!$B$18,L400=0),1,"")</f>
        <v/>
      </c>
      <c r="AP400" s="21" t="n">
        <f aca="false">MIN(IF(ISNUMBER(AK400),AK400,9000000000000000),IF(ISNUMBER(AL400),AL400,9000000000000000),IF(ISNUMBER(AM400),AM400,9000000000000000))</f>
        <v>9000000000000000</v>
      </c>
      <c r="AQ400" s="21" t="n">
        <f aca="false">MIN(IF(ISNUMBER(AG400),AG400,9000000000000000),IF(ISNUMBER(AH400),AH400,9000000000000000),IF(ISNUMBER(AI400),AI400,9000000000000000),IF(ISNUMBER(AJ400),AJ400,9000000000000000))</f>
        <v>37.4517507383159</v>
      </c>
      <c r="AR400" s="32" t="b">
        <f aca="false">IF(AW400&gt;Parameters!$B$21*(MAX(IF(AND(NOT(AND(AO400=1,AN400&lt;&gt;1)),ISNUMBER(AG400),AG400&lt;=T400),AS400,0),IF(AND(NOT(AND(AO400=1,AN400&lt;&gt;1)),ISNUMBER(AH400),AH400&lt;=T400),AT400,0),IF(AND(NOT(AND(AO400=1,AN400&lt;&gt;1)),ISNUMBER(AI400),AI400&lt;=T400),AU400,0),IF(AND(ISNUMBER(AJ400),AJ400&lt;=T400),AV400,0))),TRUE(),FALSE())</f>
        <v>1</v>
      </c>
      <c r="AS400" s="33" t="n">
        <f aca="false">IFERROR(Upgrades!$H$6*(POWER(Upgrades!$P$6,E400)*POWER(Upgrades!$P$7,F400)*POWER(Upgrades!$P$8,G400)*POWER(Upgrades!$P$9,H400)*POWER(Upgrades!$P$10,I400)*POWER(Upgrades!$P$11,J400)*POWER(Upgrades!$P$12,K400))*(IF(Upgrades!$T$7="Solar Wind",POWER(Upgrades!$U$7,F400),1)*IF(Upgrades!$T$8="Solar Wind",POWER(Upgrades!$U$8,G400),1)*IF(Upgrades!$T$9="Solar Wind",POWER(Upgrades!$U$9,H400),1)*IF(Upgrades!$T$10="Solar Wind",POWER(Upgrades!$U$10,I400),1)*IF(Upgrades!$T$11="Solar Wind",POWER(Upgrades!$U$11,J400),1)*IF(Upgrades!$T$12="Solar Wind",POWER(Upgrades!$U$12,K400),1))/AG400,0)</f>
        <v>0.0026701021455238</v>
      </c>
      <c r="AT400" s="33" t="n">
        <f aca="false">IFERROR(Upgrades!$H$7*(POWER(Upgrades!$P$6,E400)*POWER(Upgrades!$P$7,F400)*POWER(Upgrades!$P$8,G400)*POWER(Upgrades!$P$9,H400)*POWER(Upgrades!$P$10,I400)*POWER(Upgrades!$P$11,J400)*POWER(Upgrades!$P$12,K400))*(IF(Upgrades!$T$6="Asteroid Belt",POWER(Upgrades!$U$6,E400),1)*IF(Upgrades!$T$8="Asteroid Belt",POWER(Upgrades!$U$8,G400),1)*IF(Upgrades!$T$9="Asteroid Belt",POWER(Upgrades!$U$9,H400),1)*IF(Upgrades!$T$10="Asteroid Belt",POWER(Upgrades!$U$10,I400),1)*IF(Upgrades!$T$11="Asteroid Belt",POWER(Upgrades!$U$11,J400),1)*IF(Upgrades!$T$12="Asteroid Belt",POWER(Upgrades!$U$12,K400),1))/AH400,0)</f>
        <v>0.00308980882652332</v>
      </c>
      <c r="AU400" s="33" t="n">
        <f aca="false">IFERROR(Upgrades!$K$8*(POWER(Upgrades!$Q$6,E400)*POWER(Upgrades!$Q$7,F400)*POWER(Upgrades!$Q$8,G400)*POWER(Upgrades!$Q$9,H400)*POWER(Upgrades!$Q$10,I400)*POWER(Upgrades!$Q$11,J400)*POWER(Upgrades!$Q$12,K400))*(IF(Upgrades!$T$6="Stellar Coupling",POWER(Upgrades!$U$6,E400),1)*IF(Upgrades!$T$7="Stellar Coupling",POWER(Upgrades!$U$7,F400),1)*IF(Upgrades!$T$9="Stellar Coupling",POWER(Upgrades!$U$9,H400),1)*IF(Upgrades!$T$10="Stellar Coupling",POWER(Upgrades!$U$10,I400),1)*IF(Upgrades!$T$11="Stellar Coupling",POWER(Upgrades!$U$11,J400),1)*IF(Upgrades!$T$12="Stellar Coupling",POWER(Upgrades!$U$12,K400),1))*Parameters!$B$10*Parameters!$B$11/60/AI400,0)</f>
        <v>0.00452762415783776</v>
      </c>
      <c r="AV400" s="33" t="n">
        <f aca="false">IFERROR(Upgrades!$H$9*(POWER(Upgrades!$P$6,E400)*POWER(Upgrades!$P$7,F400)*POWER(Upgrades!$P$8,G400)*POWER(Upgrades!$P$9,H400)*POWER(Upgrades!$P$10,I400)*POWER(Upgrades!$P$11,J400)*POWER(Upgrades!$P$12,K400))*(IF(Upgrades!$T$6="Magnetosphere",POWER(Upgrades!$U$6,E400),1)*IF(Upgrades!$T$7="Magnetosphere",POWER(Upgrades!$U$7,F400),1)*IF(Upgrades!$T$8="Magnetosphere",POWER(Upgrades!$U$8,G400),1)*IF(Upgrades!$T$10="Magnetosphere",POWER(Upgrades!$U$10,I400),1)*IF(Upgrades!$T$11="Magnetosphere",POWER(Upgrades!$U$11,J400),1)*IF(Upgrades!$T$12="Magnetosphere",POWER(Upgrades!$U$12,K400),1))/AJ400,0)</f>
        <v>0</v>
      </c>
      <c r="AW400" s="33" t="n">
        <f aca="false">MAX(IF(I400&gt;0,0,IFERROR(0.25*N400/Upgrades!$C$10,0)),IF(J400&gt;0,0,IFERROR(0.5*((IF(G400=0,0,(Upgrades!$J$8+G400*Upgrades!$K$8)*POWER(Upgrades!$L$8,G400)))*(IF(Upgrades!$T$6="Stellar Coupling",POWER(Upgrades!$U$6,E400),1)*IF(Upgrades!$T$7="Stellar Coupling",POWER(Upgrades!$U$7,F400),1)*IF(Upgrades!$T$9="Stellar Coupling",POWER(Upgrades!$U$9,H400),1)*IF(Upgrades!$T$10="Stellar Coupling",POWER(Upgrades!$U$10,I400),1)*IF(Upgrades!$T$11="Stellar Coupling",POWER(Upgrades!$U$11,J400),1)*IF(Upgrades!$T$12="Stellar Coupling",POWER(Upgrades!$U$12,K400),1))*(POWER(Upgrades!$Q$6,E400)*POWER(Upgrades!$Q$7,F400)*POWER(Upgrades!$Q$8,G400)*POWER(Upgrades!$Q$9,H400)*POWER(Upgrades!$Q$10,I400)*POWER(Upgrades!$Q$11,J400)*POWER(Upgrades!$Q$12,K400))*Parameters!$B$10*Parameters!$B$11/60)/Upgrades!$C$11,0)),IF(K400&gt;0,0,IFERROR((1*(POWER(Upgrades!$P$6,E400)*POWER(Upgrades!$P$7,F400)*POWER(Upgrades!$P$8,G400)*POWER(Upgrades!$P$9,H400)*POWER(Upgrades!$P$10,I400)*POWER(Upgrades!$P$11,J400)*POWER(Upgrades!$P$12,K400))+0.2*M400*Parameters!$B$10*Parameters!$B$11/60)/Upgrades!$C$12,0)),IF(AND(ISNUMBER(AG400),AG400&gt;T400),AS400,0),IF(AND(ISNUMBER(AH400),AH400&gt;T400),AT400,0),IF(AND(ISNUMBER(AI400),AI400&gt;T400),AU400,0),IF(AND(ISNUMBER(AJ400),AJ400&gt;T400),AV400,0))</f>
        <v>0.00452762415783776</v>
      </c>
      <c r="AX400" s="29" t="str">
        <f aca="false">IF(AN400=1,"transition",IF(MIN(IF(AND(I400=0,ISNUMBER(AK400),AK400&lt;=T400),AK400,9000000000000000),IF(AND(J400=0,ISNUMBER(AL400),AL400&lt;=T400),AL400,9000000000000000),IF(AND(K400=0,ISNUMBER(AM400),AM400&lt;=T400),AM400,9000000000000000))&lt;9000000000000000,IF(AND(AND(I400=0,ISNUMBER(AK400),AK400&lt;=T400),AK400=MIN(IF(AND(I400=0,ISNUMBER(AK400),AK400&lt;=T400),AK400,9000000000000000),IF(AND(J400=0,ISNUMBER(AL400),AL400&lt;=T400),AL400,9000000000000000),IF(AND(K400=0,ISNUMBER(AM400),AM400&lt;=T400),AM400,9000000000000000))),"OR",IF(AND(AND(J400=0,ISNUMBER(AL400),AL400&lt;=T400),AL400=MIN(IF(AND(I400=0,ISNUMBER(AK400),AK400&lt;=T400),AK400,9000000000000000),IF(AND(J400=0,ISNUMBER(AL400),AL400&lt;=T400),AL400,9000000000000000),IF(AND(K400=0,ISNUMBER(AM400),AM400&lt;=T400),AM400,9000000000000000))),"HP","FP")),IF(AR400=TRUE(),"",IF(MAX(IF(AND(NOT(AND(AO400=1,AN400&lt;&gt;1)),ISNUMBER(AG400),AG400&lt;=T400),AS400,0),IF(AND(NOT(AND(AO400=1,AN400&lt;&gt;1)),ISNUMBER(AH400),AH400&lt;=T400),AT400,0),IF(AND(NOT(AND(AO400=1,AN400&lt;&gt;1)),ISNUMBER(AI400),AI400&lt;=T400),AU400,0),IF(AND(ISNUMBER(AJ400),AJ400&lt;=T400),AV400,0))&lt;=0,"",IF(AND(IF(AND(NOT(AND(AO400=1,AN400&lt;&gt;1)),ISNUMBER(AG400),AG400&lt;=T400),AS400,0)&gt;0,IF(AND(NOT(AND(AO400=1,AN400&lt;&gt;1)),ISNUMBER(AG400),AG400&lt;=T400),AS400,0)=MAX(IF(AND(NOT(AND(AO400=1,AN400&lt;&gt;1)),ISNUMBER(AG400),AG400&lt;=T400),AS400,0),IF(AND(NOT(AND(AO400=1,AN400&lt;&gt;1)),ISNUMBER(AH400),AH400&lt;=T400),AT400,0),IF(AND(NOT(AND(AO400=1,AN400&lt;&gt;1)),ISNUMBER(AI400),AI400&lt;=T400),AU400,0),IF(AND(ISNUMBER(AJ400),AJ400&lt;=T400),AV400,0))),"SW",IF(AND(IF(AND(NOT(AND(AO400=1,AN400&lt;&gt;1)),ISNUMBER(AH400),AH400&lt;=T400),AT400,0)&gt;0,IF(AND(NOT(AND(AO400=1,AN400&lt;&gt;1)),ISNUMBER(AH400),AH400&lt;=T400),AT400,0)=MAX(IF(AND(NOT(AND(AO400=1,AN400&lt;&gt;1)),ISNUMBER(AG400),AG400&lt;=T400),AS400,0),IF(AND(NOT(AND(AO400=1,AN400&lt;&gt;1)),ISNUMBER(AH400),AH400&lt;=T400),AT400,0),IF(AND(NOT(AND(AO400=1,AN400&lt;&gt;1)),ISNUMBER(AI400),AI400&lt;=T400),AU400,0),IF(AND(ISNUMBER(AJ400),AJ400&lt;=T400),AV400,0))),"AB",IF(AND(IF(AND(NOT(AND(AO400=1,AN400&lt;&gt;1)),ISNUMBER(AI400),AI400&lt;=T400),AU400,0)&gt;0,IF(AND(NOT(AND(AO400=1,AN400&lt;&gt;1)),ISNUMBER(AI400),AI400&lt;=T400),AU400,0)=MAX(IF(AND(NOT(AND(AO400=1,AN400&lt;&gt;1)),ISNUMBER(AG400),AG400&lt;=T400),AS400,0),IF(AND(NOT(AND(AO400=1,AN400&lt;&gt;1)),ISNUMBER(AH400),AH400&lt;=T400),AT400,0),IF(AND(NOT(AND(AO400=1,AN400&lt;&gt;1)),ISNUMBER(AI400),AI400&lt;=T400),AU400,0),IF(AND(ISNUMBER(AJ400),AJ400&lt;=T400),AV400,0))),"SC","Mag")))))))</f>
        <v/>
      </c>
    </row>
    <row r="401" customFormat="false" ht="15" hidden="false" customHeight="false" outlineLevel="0" collapsed="false">
      <c r="A401" s="26" t="n">
        <v>396</v>
      </c>
      <c r="B401" s="27" t="n">
        <f aca="false">A401*10/60</f>
        <v>66</v>
      </c>
      <c r="C401" s="21" t="n">
        <f aca="false">X400</f>
        <v>18.6730249835055</v>
      </c>
      <c r="D401" s="27" t="n">
        <f aca="false">D400+W400</f>
        <v>0</v>
      </c>
      <c r="E401" s="26" t="n">
        <f aca="false">E400+IF(U400="SW",1,0)</f>
        <v>12</v>
      </c>
      <c r="F401" s="26" t="n">
        <f aca="false">F400+IF(U400="AB",1,0)</f>
        <v>10</v>
      </c>
      <c r="G401" s="26" t="n">
        <f aca="false">G400+IF(U400="SC",1,0)</f>
        <v>7</v>
      </c>
      <c r="H401" s="26" t="n">
        <f aca="false">H400+IF(U400="Mag",1,0)</f>
        <v>5</v>
      </c>
      <c r="I401" s="26" t="n">
        <f aca="false">MAX(I400,IF(U400="OR",1,0))</f>
        <v>1</v>
      </c>
      <c r="J401" s="26" t="n">
        <f aca="false">MAX(J400,IF(U400="HP",1,0))</f>
        <v>1</v>
      </c>
      <c r="K401" s="26" t="n">
        <f aca="false">MAX(K400,IF(U400="FP",1,0))</f>
        <v>1</v>
      </c>
      <c r="L401" s="26" t="n">
        <f aca="false">MAX(L400,IF(U400="transition",1,0))</f>
        <v>1</v>
      </c>
      <c r="M401" s="28" t="n">
        <f aca="false">(Parameters!$B$9+(IF(E401=0,0,(Upgrades!$J$6+E401*Upgrades!$K$6)*POWER(Upgrades!$L$6,E401)))*(IF(Upgrades!$T$7="Solar Wind",POWER(Upgrades!$U$7,F401),1)*IF(Upgrades!$T$8="Solar Wind",POWER(Upgrades!$U$8,G401),1)*IF(Upgrades!$T$9="Solar Wind",POWER(Upgrades!$U$9,H401),1)*IF(Upgrades!$T$10="Solar Wind",POWER(Upgrades!$U$10,I401),1)*IF(Upgrades!$T$11="Solar Wind",POWER(Upgrades!$U$11,J401),1)*IF(Upgrades!$T$12="Solar Wind",POWER(Upgrades!$U$12,K401),1))+(IF(F401=0,0,(Upgrades!$J$7+F401*Upgrades!$K$7)*POWER(Upgrades!$L$7,F401)))*(IF(Upgrades!$T$6="Asteroid Belt",POWER(Upgrades!$U$6,E401),1)*IF(Upgrades!$T$8="Asteroid Belt",POWER(Upgrades!$U$8,G401),1)*IF(Upgrades!$T$9="Asteroid Belt",POWER(Upgrades!$U$9,H401),1)*IF(Upgrades!$T$10="Asteroid Belt",POWER(Upgrades!$U$10,I401),1)*IF(Upgrades!$T$11="Asteroid Belt",POWER(Upgrades!$U$11,J401),1)*IF(Upgrades!$T$12="Asteroid Belt",POWER(Upgrades!$U$12,K401),1))+(IF(G401=0,0,(Upgrades!$J$8+G401*Upgrades!$K$8)*POWER(Upgrades!$L$8,G401)))*(IF(Upgrades!$T$6="Stellar Coupling",POWER(Upgrades!$U$6,E401),1)*IF(Upgrades!$T$7="Stellar Coupling",POWER(Upgrades!$U$7,F401),1)*IF(Upgrades!$T$9="Stellar Coupling",POWER(Upgrades!$U$9,H401),1)*IF(Upgrades!$T$10="Stellar Coupling",POWER(Upgrades!$U$10,I401),1)*IF(Upgrades!$T$11="Stellar Coupling",POWER(Upgrades!$U$11,J401),1)*IF(Upgrades!$T$12="Stellar Coupling",POWER(Upgrades!$U$12,K401),1))+(IF(H401=0,0,(Upgrades!$J$9+H401*Upgrades!$K$9)*POWER(Upgrades!$L$9,H401)))*(IF(Upgrades!$T$6="Magnetosphere",POWER(Upgrades!$U$6,E401),1)*IF(Upgrades!$T$7="Magnetosphere",POWER(Upgrades!$U$7,F401),1)*IF(Upgrades!$T$8="Magnetosphere",POWER(Upgrades!$U$8,G401),1)*IF(Upgrades!$T$10="Magnetosphere",POWER(Upgrades!$U$10,I401),1)*IF(Upgrades!$T$11="Magnetosphere",POWER(Upgrades!$U$11,J401),1)*IF(Upgrades!$T$12="Magnetosphere",POWER(Upgrades!$U$12,K401),1))+(IF(I401=0,0,(Upgrades!$J$10+I401*Upgrades!$K$10)*POWER(Upgrades!$L$10,I401)))*(IF(Upgrades!$T$6="Orbital Resonance",POWER(Upgrades!$U$6,E401),1)*IF(Upgrades!$T$7="Orbital Resonance",POWER(Upgrades!$U$7,F401),1)*IF(Upgrades!$T$8="Orbital Resonance",POWER(Upgrades!$U$8,G401),1)*IF(Upgrades!$T$9="Orbital Resonance",POWER(Upgrades!$U$9,H401),1)*IF(Upgrades!$T$11="Orbital Resonance",POWER(Upgrades!$U$11,J401),1)*IF(Upgrades!$T$12="Orbital Resonance",POWER(Upgrades!$U$12,K401),1))+(IF(J401=0,0,(Upgrades!$J$11+J401*Upgrades!$K$11)*POWER(Upgrades!$L$11,J401)))*(IF(Upgrades!$T$6="Heliopause",POWER(Upgrades!$U$6,E401),1)*IF(Upgrades!$T$7="Heliopause",POWER(Upgrades!$U$7,F401),1)*IF(Upgrades!$T$8="Heliopause",POWER(Upgrades!$U$8,G401),1)*IF(Upgrades!$T$9="Heliopause",POWER(Upgrades!$U$9,H401),1)*IF(Upgrades!$T$10="Heliopause",POWER(Upgrades!$U$10,I401),1)*IF(Upgrades!$T$12="Heliopause",POWER(Upgrades!$U$12,K401),1))+(IF(K401=0,0,(Upgrades!$J$12+K401*Upgrades!$K$12)*POWER(Upgrades!$L$12,K401)))*(IF(Upgrades!$T$6="First Photons",POWER(Upgrades!$U$6,E401),1)*IF(Upgrades!$T$7="First Photons",POWER(Upgrades!$U$7,F401),1)*IF(Upgrades!$T$8="First Photons",POWER(Upgrades!$U$8,G401),1)*IF(Upgrades!$T$9="First Photons",POWER(Upgrades!$U$9,H401),1)*IF(Upgrades!$T$10="First Photons",POWER(Upgrades!$U$10,I401),1)*IF(Upgrades!$T$11="First Photons",POWER(Upgrades!$U$11,J401),1)))*POWER(Upgrades!$Q$6,E401)*POWER(Upgrades!$Q$7,F401)*POWER(Upgrades!$Q$8,G401)*POWER(Upgrades!$Q$9,H401)*POWER(Upgrades!$Q$10,I401)*POWER(Upgrades!$Q$11,J401)*POWER(Upgrades!$Q$12,K401)</f>
        <v>5.61</v>
      </c>
      <c r="N401" s="28" t="n">
        <f aca="false">((IF(E401=0,0,(Upgrades!$G$6+E401*Upgrades!$H$6)*POWER(Upgrades!$I$6,E401)))*(IF(Upgrades!$T$7="Solar Wind",POWER(Upgrades!$U$7,F401),1)*IF(Upgrades!$T$8="Solar Wind",POWER(Upgrades!$U$8,G401),1)*IF(Upgrades!$T$9="Solar Wind",POWER(Upgrades!$U$9,H401),1)*IF(Upgrades!$T$10="Solar Wind",POWER(Upgrades!$U$10,I401),1)*IF(Upgrades!$T$11="Solar Wind",POWER(Upgrades!$U$11,J401),1)*IF(Upgrades!$T$12="Solar Wind",POWER(Upgrades!$U$12,K401),1))+(IF(F401=0,0,(Upgrades!$G$7+F401*Upgrades!$H$7)*POWER(Upgrades!$I$7,F401)))*(IF(Upgrades!$T$6="Asteroid Belt",POWER(Upgrades!$U$6,E401),1)*IF(Upgrades!$T$8="Asteroid Belt",POWER(Upgrades!$U$8,G401),1)*IF(Upgrades!$T$9="Asteroid Belt",POWER(Upgrades!$U$9,H401),1)*IF(Upgrades!$T$10="Asteroid Belt",POWER(Upgrades!$U$10,I401),1)*IF(Upgrades!$T$11="Asteroid Belt",POWER(Upgrades!$U$11,J401),1)*IF(Upgrades!$T$12="Asteroid Belt",POWER(Upgrades!$U$12,K401),1))+(IF(G401=0,0,(Upgrades!$G$8+G401*Upgrades!$H$8)*POWER(Upgrades!$I$8,G401)))*(IF(Upgrades!$T$6="Stellar Coupling",POWER(Upgrades!$U$6,E401),1)*IF(Upgrades!$T$7="Stellar Coupling",POWER(Upgrades!$U$7,F401),1)*IF(Upgrades!$T$9="Stellar Coupling",POWER(Upgrades!$U$9,H401),1)*IF(Upgrades!$T$10="Stellar Coupling",POWER(Upgrades!$U$10,I401),1)*IF(Upgrades!$T$11="Stellar Coupling",POWER(Upgrades!$U$11,J401),1)*IF(Upgrades!$T$12="Stellar Coupling",POWER(Upgrades!$U$12,K401),1))+(IF(H401=0,0,(Upgrades!$G$9+H401*Upgrades!$H$9)*POWER(Upgrades!$I$9,H401)))*(IF(Upgrades!$T$6="Magnetosphere",POWER(Upgrades!$U$6,E401),1)*IF(Upgrades!$T$7="Magnetosphere",POWER(Upgrades!$U$7,F401),1)*IF(Upgrades!$T$8="Magnetosphere",POWER(Upgrades!$U$8,G401),1)*IF(Upgrades!$T$10="Magnetosphere",POWER(Upgrades!$U$10,I401),1)*IF(Upgrades!$T$11="Magnetosphere",POWER(Upgrades!$U$11,J401),1)*IF(Upgrades!$T$12="Magnetosphere",POWER(Upgrades!$U$12,K401),1))+(IF(I401=0,0,(Upgrades!$G$10+I401*Upgrades!$H$10)*POWER(Upgrades!$I$10,I401)))*(IF(Upgrades!$T$6="Orbital Resonance",POWER(Upgrades!$U$6,E401),1)*IF(Upgrades!$T$7="Orbital Resonance",POWER(Upgrades!$U$7,F401),1)*IF(Upgrades!$T$8="Orbital Resonance",POWER(Upgrades!$U$8,G401),1)*IF(Upgrades!$T$9="Orbital Resonance",POWER(Upgrades!$U$9,H401),1)*IF(Upgrades!$T$11="Orbital Resonance",POWER(Upgrades!$U$11,J401),1)*IF(Upgrades!$T$12="Orbital Resonance",POWER(Upgrades!$U$12,K401),1))+(IF(J401=0,0,(Upgrades!$G$11+J401*Upgrades!$H$11)*POWER(Upgrades!$I$11,J401)))*(IF(Upgrades!$T$6="Heliopause",POWER(Upgrades!$U$6,E401),1)*IF(Upgrades!$T$7="Heliopause",POWER(Upgrades!$U$7,F401),1)*IF(Upgrades!$T$8="Heliopause",POWER(Upgrades!$U$8,G401),1)*IF(Upgrades!$T$9="Heliopause",POWER(Upgrades!$U$9,H401),1)*IF(Upgrades!$T$10="Heliopause",POWER(Upgrades!$U$10,I401),1)*IF(Upgrades!$T$12="Heliopause",POWER(Upgrades!$U$12,K401),1))+(IF(K401=0,0,(Upgrades!$G$12+K401*Upgrades!$H$12)*POWER(Upgrades!$I$12,K401)))*(IF(Upgrades!$T$6="First Photons",POWER(Upgrades!$U$6,E401),1)*IF(Upgrades!$T$7="First Photons",POWER(Upgrades!$U$7,F401),1)*IF(Upgrades!$T$8="First Photons",POWER(Upgrades!$U$8,G401),1)*IF(Upgrades!$T$9="First Photons",POWER(Upgrades!$U$9,H401),1)*IF(Upgrades!$T$10="First Photons",POWER(Upgrades!$U$10,I401),1)*IF(Upgrades!$T$11="First Photons",POWER(Upgrades!$U$11,J401),1)))*POWER(Upgrades!$P$6,E401)*POWER(Upgrades!$P$7,F401)*POWER(Upgrades!$P$8,G401)*POWER(Upgrades!$P$9,H401)*POWER(Upgrades!$P$10,I401)*POWER(Upgrades!$P$11,J401)*POWER(Upgrades!$P$12,K401)</f>
        <v>11.2</v>
      </c>
      <c r="O401" s="28" t="n">
        <f aca="false">((IF(E401=0,0,(Upgrades!$M$6+E401*Upgrades!$N$6)*POWER(Upgrades!$O$6,E401)))*(IF(Upgrades!$T$7="Solar Wind",POWER(Upgrades!$U$7,F401),1)*IF(Upgrades!$T$8="Solar Wind",POWER(Upgrades!$U$8,G401),1)*IF(Upgrades!$T$9="Solar Wind",POWER(Upgrades!$U$9,H401),1)*IF(Upgrades!$T$10="Solar Wind",POWER(Upgrades!$U$10,I401),1)*IF(Upgrades!$T$11="Solar Wind",POWER(Upgrades!$U$11,J401),1)*IF(Upgrades!$T$12="Solar Wind",POWER(Upgrades!$U$12,K401),1))+(IF(F401=0,0,(Upgrades!$M$7+F401*Upgrades!$N$7)*POWER(Upgrades!$O$7,F401)))*(IF(Upgrades!$T$6="Asteroid Belt",POWER(Upgrades!$U$6,E401),1)*IF(Upgrades!$T$8="Asteroid Belt",POWER(Upgrades!$U$8,G401),1)*IF(Upgrades!$T$9="Asteroid Belt",POWER(Upgrades!$U$9,H401),1)*IF(Upgrades!$T$10="Asteroid Belt",POWER(Upgrades!$U$10,I401),1)*IF(Upgrades!$T$11="Asteroid Belt",POWER(Upgrades!$U$11,J401),1)*IF(Upgrades!$T$12="Asteroid Belt",POWER(Upgrades!$U$12,K401),1))+(IF(G401=0,0,(Upgrades!$M$8+G401*Upgrades!$N$8)*POWER(Upgrades!$O$8,G401)))*(IF(Upgrades!$T$6="Stellar Coupling",POWER(Upgrades!$U$6,E401),1)*IF(Upgrades!$T$7="Stellar Coupling",POWER(Upgrades!$U$7,F401),1)*IF(Upgrades!$T$9="Stellar Coupling",POWER(Upgrades!$U$9,H401),1)*IF(Upgrades!$T$10="Stellar Coupling",POWER(Upgrades!$U$10,I401),1)*IF(Upgrades!$T$11="Stellar Coupling",POWER(Upgrades!$U$11,J401),1)*IF(Upgrades!$T$12="Stellar Coupling",POWER(Upgrades!$U$12,K401),1))+(IF(H401=0,0,(Upgrades!$M$9+H401*Upgrades!$N$9)*POWER(Upgrades!$O$9,H401)))*(IF(Upgrades!$T$6="Magnetosphere",POWER(Upgrades!$U$6,E401),1)*IF(Upgrades!$T$7="Magnetosphere",POWER(Upgrades!$U$7,F401),1)*IF(Upgrades!$T$8="Magnetosphere",POWER(Upgrades!$U$8,G401),1)*IF(Upgrades!$T$10="Magnetosphere",POWER(Upgrades!$U$10,I401),1)*IF(Upgrades!$T$11="Magnetosphere",POWER(Upgrades!$U$11,J401),1)*IF(Upgrades!$T$12="Magnetosphere",POWER(Upgrades!$U$12,K401),1))+(IF(I401=0,0,(Upgrades!$M$10+I401*Upgrades!$N$10)*POWER(Upgrades!$O$10,I401)))*(IF(Upgrades!$T$6="Orbital Resonance",POWER(Upgrades!$U$6,E401),1)*IF(Upgrades!$T$7="Orbital Resonance",POWER(Upgrades!$U$7,F401),1)*IF(Upgrades!$T$8="Orbital Resonance",POWER(Upgrades!$U$8,G401),1)*IF(Upgrades!$T$9="Orbital Resonance",POWER(Upgrades!$U$9,H401),1)*IF(Upgrades!$T$11="Orbital Resonance",POWER(Upgrades!$U$11,J401),1)*IF(Upgrades!$T$12="Orbital Resonance",POWER(Upgrades!$U$12,K401),1))+(IF(J401=0,0,(Upgrades!$M$11+J401*Upgrades!$N$11)*POWER(Upgrades!$O$11,J401)))*(IF(Upgrades!$T$6="Heliopause",POWER(Upgrades!$U$6,E401),1)*IF(Upgrades!$T$7="Heliopause",POWER(Upgrades!$U$7,F401),1)*IF(Upgrades!$T$8="Heliopause",POWER(Upgrades!$U$8,G401),1)*IF(Upgrades!$T$9="Heliopause",POWER(Upgrades!$U$9,H401),1)*IF(Upgrades!$T$10="Heliopause",POWER(Upgrades!$U$10,I401),1)*IF(Upgrades!$T$12="Heliopause",POWER(Upgrades!$U$12,K401),1))+(IF(K401=0,0,(Upgrades!$M$12+K401*Upgrades!$N$12)*POWER(Upgrades!$O$12,K401)))*(IF(Upgrades!$T$6="First Photons",POWER(Upgrades!$U$6,E401),1)*IF(Upgrades!$T$7="First Photons",POWER(Upgrades!$U$7,F401),1)*IF(Upgrades!$T$8="First Photons",POWER(Upgrades!$U$8,G401),1)*IF(Upgrades!$T$9="First Photons",POWER(Upgrades!$U$9,H401),1)*IF(Upgrades!$T$10="First Photons",POWER(Upgrades!$U$10,I401),1)*IF(Upgrades!$T$11="First Photons",POWER(Upgrades!$U$11,J401),1)))*POWER(Upgrades!$R$6,E401)*POWER(Upgrades!$R$7,F401)*POWER(Upgrades!$R$8,G401)*POWER(Upgrades!$R$9,H401)*POWER(Upgrades!$R$10,I401)*POWER(Upgrades!$R$11,J401)*POWER(Upgrades!$R$12,K401)</f>
        <v>0</v>
      </c>
      <c r="P401" s="27" t="n">
        <f aca="false">IF(L401=1,0,M401*Parameters!$B$10/60*Parameters!$B$11*10)</f>
        <v>0</v>
      </c>
      <c r="Q401" s="27" t="n">
        <f aca="false">IF(L401=1,0,O401*M401*10)</f>
        <v>0</v>
      </c>
      <c r="R401" s="27" t="n">
        <f aca="false">IF(L401=1,0,N401*10)</f>
        <v>0</v>
      </c>
      <c r="S401" s="27" t="n">
        <f aca="false">P401+Q401+R401</f>
        <v>0</v>
      </c>
      <c r="T401" s="21" t="n">
        <f aca="false">C401+S401</f>
        <v>18.6730249835055</v>
      </c>
      <c r="U401" s="34" t="str">
        <f aca="false">AX401</f>
        <v/>
      </c>
      <c r="V401" s="21" t="n">
        <f aca="false">IF(U401="",0,IF(U401="transition",0,IF(U401="SW",AG401,IF(U401="AB",AH401,IF(U401="SC",AI401,IF(U401="Mag",AJ401,IF(U401="OR",AK401,IF(U401="HP",AL401,IF(U401="FP",AM401,0)))))))))</f>
        <v>0</v>
      </c>
      <c r="W401" s="27" t="n">
        <f aca="false">IF(U401="OR",Upgrades!$F$10,IF(U401="HP",Upgrades!$F$11,IF(U401="transition",-Parameters!$B$18,0)))</f>
        <v>0</v>
      </c>
      <c r="X401" s="21" t="n">
        <f aca="false">T401-V401</f>
        <v>18.6730249835055</v>
      </c>
      <c r="Y401" s="30" t="n">
        <f aca="false">M401*Parameters!$B$10/60*Parameters!$B$11+O401*M401+N401</f>
        <v>20.55</v>
      </c>
      <c r="Z401" s="35" t="str">
        <f aca="false">IF(U401="transition","→ Tier 2 (Stellar Neighborhood)",IF(U401="FP","First Photons — light begins, system quickens",IF(U401="HP","Heliopause acquired",IF(U401="OR","Orbital Resonance — passive multiplier active",IF(AND(AO401=1,L401=0,AN401&lt;&gt;1),"Cohesion ready (waiting on completionist upgrades)","")))))</f>
        <v/>
      </c>
      <c r="AA401" s="27" t="n">
        <f aca="false">(IF(E401=0,0,(Upgrades!$G$6+E401*Upgrades!$H$6)*POWER(Upgrades!$I$6,E401)))*(IF(Upgrades!$T$7="Solar Wind",POWER(Upgrades!$U$7,F401),1)*IF(Upgrades!$T$8="Solar Wind",POWER(Upgrades!$U$8,G401),1)*IF(Upgrades!$T$9="Solar Wind",POWER(Upgrades!$U$9,H401),1)*IF(Upgrades!$T$10="Solar Wind",POWER(Upgrades!$U$10,I401),1)*IF(Upgrades!$T$11="Solar Wind",POWER(Upgrades!$U$11,J401),1)*IF(Upgrades!$T$12="Solar Wind",POWER(Upgrades!$U$12,K401),1))*POWER(Upgrades!$P$6,E401)*POWER(Upgrades!$P$7,F401)*POWER(Upgrades!$P$8,G401)*POWER(Upgrades!$P$9,H401)*POWER(Upgrades!$P$10,I401)*POWER(Upgrades!$P$11,J401)*POWER(Upgrades!$P$12,K401)*60</f>
        <v>72</v>
      </c>
      <c r="AB401" s="27" t="n">
        <f aca="false">(IF(F401=0,0,(Upgrades!$G$7+F401*Upgrades!$H$7)*POWER(Upgrades!$I$7,F401)))*(IF(Upgrades!$T$6="Asteroid Belt",POWER(Upgrades!$U$6,E401),1)*IF(Upgrades!$T$8="Asteroid Belt",POWER(Upgrades!$U$8,G401),1)*IF(Upgrades!$T$9="Asteroid Belt",POWER(Upgrades!$U$9,H401),1)*IF(Upgrades!$T$10="Asteroid Belt",POWER(Upgrades!$U$10,I401),1)*IF(Upgrades!$T$11="Asteroid Belt",POWER(Upgrades!$U$11,J401),1)*IF(Upgrades!$T$12="Asteroid Belt",POWER(Upgrades!$U$12,K401),1))*POWER(Upgrades!$P$6,E401)*POWER(Upgrades!$P$7,F401)*POWER(Upgrades!$P$8,G401)*POWER(Upgrades!$P$9,H401)*POWER(Upgrades!$P$10,I401)*POWER(Upgrades!$P$11,J401)*POWER(Upgrades!$P$12,K401)*60</f>
        <v>150</v>
      </c>
      <c r="AC401" s="27" t="n">
        <f aca="false">(IF(G401=0,0,(Upgrades!$J$8+G401*Upgrades!$K$8)*POWER(Upgrades!$L$8,G401)))*(IF(Upgrades!$T$6="Stellar Coupling",POWER(Upgrades!$U$6,E401),1)*IF(Upgrades!$T$7="Stellar Coupling",POWER(Upgrades!$U$7,F401),1)*IF(Upgrades!$T$9="Stellar Coupling",POWER(Upgrades!$U$9,H401),1)*IF(Upgrades!$T$10="Stellar Coupling",POWER(Upgrades!$U$10,I401),1)*IF(Upgrades!$T$11="Stellar Coupling",POWER(Upgrades!$U$11,J401),1)*IF(Upgrades!$T$12="Stellar Coupling",POWER(Upgrades!$U$12,K401),1))*POWER(Upgrades!$Q$6,E401)*POWER(Upgrades!$Q$7,F401)*POWER(Upgrades!$Q$8,G401)*POWER(Upgrades!$Q$9,H401)*POWER(Upgrades!$Q$10,I401)*POWER(Upgrades!$Q$11,J401)*POWER(Upgrades!$Q$12,K401)*Parameters!$B$10*Parameters!$B$11</f>
        <v>441</v>
      </c>
      <c r="AD401" s="27" t="n">
        <f aca="false">(IF(H401=0,0,(Upgrades!$G$9+H401*Upgrades!$H$9)*POWER(Upgrades!$I$9,H401)))*(IF(Upgrades!$T$6="Magnetosphere",POWER(Upgrades!$U$6,E401),1)*IF(Upgrades!$T$7="Magnetosphere",POWER(Upgrades!$U$7,F401),1)*IF(Upgrades!$T$8="Magnetosphere",POWER(Upgrades!$U$8,G401),1)*IF(Upgrades!$T$10="Magnetosphere",POWER(Upgrades!$U$10,I401),1)*IF(Upgrades!$T$11="Magnetosphere",POWER(Upgrades!$U$11,J401),1)*IF(Upgrades!$T$12="Magnetosphere",POWER(Upgrades!$U$12,K401),1))*POWER(Upgrades!$P$6,E401)*POWER(Upgrades!$P$7,F401)*POWER(Upgrades!$P$8,G401)*POWER(Upgrades!$P$9,H401)*POWER(Upgrades!$P$10,I401)*POWER(Upgrades!$P$11,J401)*POWER(Upgrades!$P$12,K401)*60</f>
        <v>375</v>
      </c>
      <c r="AE401" s="27" t="n">
        <f aca="false">(IF(K401=0,0,(Upgrades!$G$12+K401*Upgrades!$H$12)*POWER(Upgrades!$I$12,K401)))*(IF(Upgrades!$T$6="First Photons",POWER(Upgrades!$U$6,E401),1)*IF(Upgrades!$T$7="First Photons",POWER(Upgrades!$U$7,F401),1)*IF(Upgrades!$T$8="First Photons",POWER(Upgrades!$U$8,G401),1)*IF(Upgrades!$T$9="First Photons",POWER(Upgrades!$U$9,H401),1)*IF(Upgrades!$T$10="First Photons",POWER(Upgrades!$U$10,I401),1)*IF(Upgrades!$T$11="First Photons",POWER(Upgrades!$U$11,J401),1))*POWER(Upgrades!$P$6,E401)*POWER(Upgrades!$P$7,F401)*POWER(Upgrades!$P$8,G401)*POWER(Upgrades!$P$9,H401)*POWER(Upgrades!$P$10,I401)*POWER(Upgrades!$P$11,J401)*POWER(Upgrades!$P$12,K401)*60</f>
        <v>75</v>
      </c>
      <c r="AF401" s="27" t="n">
        <f aca="false">Parameters!$B$9*POWER(Upgrades!$Q$6,E401)*POWER(Upgrades!$Q$7,F401)*POWER(Upgrades!$Q$8,G401)*POWER(Upgrades!$Q$9,H401)*POWER(Upgrades!$Q$10,I401)*POWER(Upgrades!$Q$11,J401)*POWER(Upgrades!$Q$12,K401)*(Parameters!$B$10*Parameters!$B$11+O401*60)</f>
        <v>120</v>
      </c>
      <c r="AG401" s="21" t="n">
        <f aca="false">IF(E401&gt;=Upgrades!$E$6,"",Upgrades!$C$6*POWER(Upgrades!$D$6,E401))</f>
        <v>37.4517507383159</v>
      </c>
      <c r="AH401" s="21" t="n">
        <f aca="false">IF(F401&gt;=Upgrades!$E$7,"",Upgrades!$C$7*POWER(Upgrades!$D$7,F401))</f>
        <v>80.9111547141581</v>
      </c>
      <c r="AI401" s="21" t="n">
        <f aca="false">IF(G401&gt;=Upgrades!$E$8,"",Upgrades!$C$8*POWER(Upgrades!$D$8,G401))</f>
        <v>231.9097088</v>
      </c>
      <c r="AJ401" s="21" t="str">
        <f aca="false">IF(H401&gt;=Upgrades!$E$9,"",Upgrades!$C$9*POWER(Upgrades!$D$9,H401))</f>
        <v/>
      </c>
      <c r="AK401" s="21" t="str">
        <f aca="false">IF(I401&gt;=Upgrades!$E$10,"",Upgrades!$C$10*POWER(Upgrades!$D$10,I401))</f>
        <v/>
      </c>
      <c r="AL401" s="21" t="str">
        <f aca="false">IF(J401&gt;=Upgrades!$E$11,"",Upgrades!$C$11*POWER(Upgrades!$D$11,J401))</f>
        <v/>
      </c>
      <c r="AM401" s="21" t="str">
        <f aca="false">IF(K401&gt;=Upgrades!$E$12,"",Upgrades!$C$12*POWER(Upgrades!$D$12,K401))</f>
        <v/>
      </c>
      <c r="AN401" s="26" t="str">
        <f aca="false">IF(AND(D401&gt;=Parameters!$B$18,(H401&gt;=Upgrades!$E$9)*(K401&gt;=Upgrades!$E$12)=1,L401=0),1,"")</f>
        <v/>
      </c>
      <c r="AO401" s="26" t="str">
        <f aca="false">IF(AND(D401&gt;=Parameters!$B$18,L401=0),1,"")</f>
        <v/>
      </c>
      <c r="AP401" s="21" t="n">
        <f aca="false">MIN(IF(ISNUMBER(AK401),AK401,9000000000000000),IF(ISNUMBER(AL401),AL401,9000000000000000),IF(ISNUMBER(AM401),AM401,9000000000000000))</f>
        <v>9000000000000000</v>
      </c>
      <c r="AQ401" s="21" t="n">
        <f aca="false">MIN(IF(ISNUMBER(AG401),AG401,9000000000000000),IF(ISNUMBER(AH401),AH401,9000000000000000),IF(ISNUMBER(AI401),AI401,9000000000000000),IF(ISNUMBER(AJ401),AJ401,9000000000000000))</f>
        <v>37.4517507383159</v>
      </c>
      <c r="AR401" s="32" t="b">
        <f aca="false">IF(AW401&gt;Parameters!$B$21*(MAX(IF(AND(NOT(AND(AO401=1,AN401&lt;&gt;1)),ISNUMBER(AG401),AG401&lt;=T401),AS401,0),IF(AND(NOT(AND(AO401=1,AN401&lt;&gt;1)),ISNUMBER(AH401),AH401&lt;=T401),AT401,0),IF(AND(NOT(AND(AO401=1,AN401&lt;&gt;1)),ISNUMBER(AI401),AI401&lt;=T401),AU401,0),IF(AND(ISNUMBER(AJ401),AJ401&lt;=T401),AV401,0))),TRUE(),FALSE())</f>
        <v>1</v>
      </c>
      <c r="AS401" s="33" t="n">
        <f aca="false">IFERROR(Upgrades!$H$6*(POWER(Upgrades!$P$6,E401)*POWER(Upgrades!$P$7,F401)*POWER(Upgrades!$P$8,G401)*POWER(Upgrades!$P$9,H401)*POWER(Upgrades!$P$10,I401)*POWER(Upgrades!$P$11,J401)*POWER(Upgrades!$P$12,K401))*(IF(Upgrades!$T$7="Solar Wind",POWER(Upgrades!$U$7,F401),1)*IF(Upgrades!$T$8="Solar Wind",POWER(Upgrades!$U$8,G401),1)*IF(Upgrades!$T$9="Solar Wind",POWER(Upgrades!$U$9,H401),1)*IF(Upgrades!$T$10="Solar Wind",POWER(Upgrades!$U$10,I401),1)*IF(Upgrades!$T$11="Solar Wind",POWER(Upgrades!$U$11,J401),1)*IF(Upgrades!$T$12="Solar Wind",POWER(Upgrades!$U$12,K401),1))/AG401,0)</f>
        <v>0.0026701021455238</v>
      </c>
      <c r="AT401" s="33" t="n">
        <f aca="false">IFERROR(Upgrades!$H$7*(POWER(Upgrades!$P$6,E401)*POWER(Upgrades!$P$7,F401)*POWER(Upgrades!$P$8,G401)*POWER(Upgrades!$P$9,H401)*POWER(Upgrades!$P$10,I401)*POWER(Upgrades!$P$11,J401)*POWER(Upgrades!$P$12,K401))*(IF(Upgrades!$T$6="Asteroid Belt",POWER(Upgrades!$U$6,E401),1)*IF(Upgrades!$T$8="Asteroid Belt",POWER(Upgrades!$U$8,G401),1)*IF(Upgrades!$T$9="Asteroid Belt",POWER(Upgrades!$U$9,H401),1)*IF(Upgrades!$T$10="Asteroid Belt",POWER(Upgrades!$U$10,I401),1)*IF(Upgrades!$T$11="Asteroid Belt",POWER(Upgrades!$U$11,J401),1)*IF(Upgrades!$T$12="Asteroid Belt",POWER(Upgrades!$U$12,K401),1))/AH401,0)</f>
        <v>0.00308980882652332</v>
      </c>
      <c r="AU401" s="33" t="n">
        <f aca="false">IFERROR(Upgrades!$K$8*(POWER(Upgrades!$Q$6,E401)*POWER(Upgrades!$Q$7,F401)*POWER(Upgrades!$Q$8,G401)*POWER(Upgrades!$Q$9,H401)*POWER(Upgrades!$Q$10,I401)*POWER(Upgrades!$Q$11,J401)*POWER(Upgrades!$Q$12,K401))*(IF(Upgrades!$T$6="Stellar Coupling",POWER(Upgrades!$U$6,E401),1)*IF(Upgrades!$T$7="Stellar Coupling",POWER(Upgrades!$U$7,F401),1)*IF(Upgrades!$T$9="Stellar Coupling",POWER(Upgrades!$U$9,H401),1)*IF(Upgrades!$T$10="Stellar Coupling",POWER(Upgrades!$U$10,I401),1)*IF(Upgrades!$T$11="Stellar Coupling",POWER(Upgrades!$U$11,J401),1)*IF(Upgrades!$T$12="Stellar Coupling",POWER(Upgrades!$U$12,K401),1))*Parameters!$B$10*Parameters!$B$11/60/AI401,0)</f>
        <v>0.00452762415783776</v>
      </c>
      <c r="AV401" s="33" t="n">
        <f aca="false">IFERROR(Upgrades!$H$9*(POWER(Upgrades!$P$6,E401)*POWER(Upgrades!$P$7,F401)*POWER(Upgrades!$P$8,G401)*POWER(Upgrades!$P$9,H401)*POWER(Upgrades!$P$10,I401)*POWER(Upgrades!$P$11,J401)*POWER(Upgrades!$P$12,K401))*(IF(Upgrades!$T$6="Magnetosphere",POWER(Upgrades!$U$6,E401),1)*IF(Upgrades!$T$7="Magnetosphere",POWER(Upgrades!$U$7,F401),1)*IF(Upgrades!$T$8="Magnetosphere",POWER(Upgrades!$U$8,G401),1)*IF(Upgrades!$T$10="Magnetosphere",POWER(Upgrades!$U$10,I401),1)*IF(Upgrades!$T$11="Magnetosphere",POWER(Upgrades!$U$11,J401),1)*IF(Upgrades!$T$12="Magnetosphere",POWER(Upgrades!$U$12,K401),1))/AJ401,0)</f>
        <v>0</v>
      </c>
      <c r="AW401" s="33" t="n">
        <f aca="false">MAX(IF(I401&gt;0,0,IFERROR(0.25*N401/Upgrades!$C$10,0)),IF(J401&gt;0,0,IFERROR(0.5*((IF(G401=0,0,(Upgrades!$J$8+G401*Upgrades!$K$8)*POWER(Upgrades!$L$8,G401)))*(IF(Upgrades!$T$6="Stellar Coupling",POWER(Upgrades!$U$6,E401),1)*IF(Upgrades!$T$7="Stellar Coupling",POWER(Upgrades!$U$7,F401),1)*IF(Upgrades!$T$9="Stellar Coupling",POWER(Upgrades!$U$9,H401),1)*IF(Upgrades!$T$10="Stellar Coupling",POWER(Upgrades!$U$10,I401),1)*IF(Upgrades!$T$11="Stellar Coupling",POWER(Upgrades!$U$11,J401),1)*IF(Upgrades!$T$12="Stellar Coupling",POWER(Upgrades!$U$12,K401),1))*(POWER(Upgrades!$Q$6,E401)*POWER(Upgrades!$Q$7,F401)*POWER(Upgrades!$Q$8,G401)*POWER(Upgrades!$Q$9,H401)*POWER(Upgrades!$Q$10,I401)*POWER(Upgrades!$Q$11,J401)*POWER(Upgrades!$Q$12,K401))*Parameters!$B$10*Parameters!$B$11/60)/Upgrades!$C$11,0)),IF(K401&gt;0,0,IFERROR((1*(POWER(Upgrades!$P$6,E401)*POWER(Upgrades!$P$7,F401)*POWER(Upgrades!$P$8,G401)*POWER(Upgrades!$P$9,H401)*POWER(Upgrades!$P$10,I401)*POWER(Upgrades!$P$11,J401)*POWER(Upgrades!$P$12,K401))+0.2*M401*Parameters!$B$10*Parameters!$B$11/60)/Upgrades!$C$12,0)),IF(AND(ISNUMBER(AG401),AG401&gt;T401),AS401,0),IF(AND(ISNUMBER(AH401),AH401&gt;T401),AT401,0),IF(AND(ISNUMBER(AI401),AI401&gt;T401),AU401,0),IF(AND(ISNUMBER(AJ401),AJ401&gt;T401),AV401,0))</f>
        <v>0.00452762415783776</v>
      </c>
      <c r="AX401" s="29" t="str">
        <f aca="false">IF(AN401=1,"transition",IF(MIN(IF(AND(I401=0,ISNUMBER(AK401),AK401&lt;=T401),AK401,9000000000000000),IF(AND(J401=0,ISNUMBER(AL401),AL401&lt;=T401),AL401,9000000000000000),IF(AND(K401=0,ISNUMBER(AM401),AM401&lt;=T401),AM401,9000000000000000))&lt;9000000000000000,IF(AND(AND(I401=0,ISNUMBER(AK401),AK401&lt;=T401),AK401=MIN(IF(AND(I401=0,ISNUMBER(AK401),AK401&lt;=T401),AK401,9000000000000000),IF(AND(J401=0,ISNUMBER(AL401),AL401&lt;=T401),AL401,9000000000000000),IF(AND(K401=0,ISNUMBER(AM401),AM401&lt;=T401),AM401,9000000000000000))),"OR",IF(AND(AND(J401=0,ISNUMBER(AL401),AL401&lt;=T401),AL401=MIN(IF(AND(I401=0,ISNUMBER(AK401),AK401&lt;=T401),AK401,9000000000000000),IF(AND(J401=0,ISNUMBER(AL401),AL401&lt;=T401),AL401,9000000000000000),IF(AND(K401=0,ISNUMBER(AM401),AM401&lt;=T401),AM401,9000000000000000))),"HP","FP")),IF(AR401=TRUE(),"",IF(MAX(IF(AND(NOT(AND(AO401=1,AN401&lt;&gt;1)),ISNUMBER(AG401),AG401&lt;=T401),AS401,0),IF(AND(NOT(AND(AO401=1,AN401&lt;&gt;1)),ISNUMBER(AH401),AH401&lt;=T401),AT401,0),IF(AND(NOT(AND(AO401=1,AN401&lt;&gt;1)),ISNUMBER(AI401),AI401&lt;=T401),AU401,0),IF(AND(ISNUMBER(AJ401),AJ401&lt;=T401),AV401,0))&lt;=0,"",IF(AND(IF(AND(NOT(AND(AO401=1,AN401&lt;&gt;1)),ISNUMBER(AG401),AG401&lt;=T401),AS401,0)&gt;0,IF(AND(NOT(AND(AO401=1,AN401&lt;&gt;1)),ISNUMBER(AG401),AG401&lt;=T401),AS401,0)=MAX(IF(AND(NOT(AND(AO401=1,AN401&lt;&gt;1)),ISNUMBER(AG401),AG401&lt;=T401),AS401,0),IF(AND(NOT(AND(AO401=1,AN401&lt;&gt;1)),ISNUMBER(AH401),AH401&lt;=T401),AT401,0),IF(AND(NOT(AND(AO401=1,AN401&lt;&gt;1)),ISNUMBER(AI401),AI401&lt;=T401),AU401,0),IF(AND(ISNUMBER(AJ401),AJ401&lt;=T401),AV401,0))),"SW",IF(AND(IF(AND(NOT(AND(AO401=1,AN401&lt;&gt;1)),ISNUMBER(AH401),AH401&lt;=T401),AT401,0)&gt;0,IF(AND(NOT(AND(AO401=1,AN401&lt;&gt;1)),ISNUMBER(AH401),AH401&lt;=T401),AT401,0)=MAX(IF(AND(NOT(AND(AO401=1,AN401&lt;&gt;1)),ISNUMBER(AG401),AG401&lt;=T401),AS401,0),IF(AND(NOT(AND(AO401=1,AN401&lt;&gt;1)),ISNUMBER(AH401),AH401&lt;=T401),AT401,0),IF(AND(NOT(AND(AO401=1,AN401&lt;&gt;1)),ISNUMBER(AI401),AI401&lt;=T401),AU401,0),IF(AND(ISNUMBER(AJ401),AJ401&lt;=T401),AV401,0))),"AB",IF(AND(IF(AND(NOT(AND(AO401=1,AN401&lt;&gt;1)),ISNUMBER(AI401),AI401&lt;=T401),AU401,0)&gt;0,IF(AND(NOT(AND(AO401=1,AN401&lt;&gt;1)),ISNUMBER(AI401),AI401&lt;=T401),AU401,0)=MAX(IF(AND(NOT(AND(AO401=1,AN401&lt;&gt;1)),ISNUMBER(AG401),AG401&lt;=T401),AS401,0),IF(AND(NOT(AND(AO401=1,AN401&lt;&gt;1)),ISNUMBER(AH401),AH401&lt;=T401),AT401,0),IF(AND(NOT(AND(AO401=1,AN401&lt;&gt;1)),ISNUMBER(AI401),AI401&lt;=T401),AU401,0),IF(AND(ISNUMBER(AJ401),AJ401&lt;=T401),AV401,0))),"SC","Mag")))))))</f>
        <v/>
      </c>
    </row>
    <row r="402" customFormat="false" ht="15" hidden="false" customHeight="false" outlineLevel="0" collapsed="false">
      <c r="A402" s="26" t="n">
        <v>397</v>
      </c>
      <c r="B402" s="27" t="n">
        <f aca="false">A402*10/60</f>
        <v>66.1666666666667</v>
      </c>
      <c r="C402" s="21" t="n">
        <f aca="false">X401</f>
        <v>18.6730249835055</v>
      </c>
      <c r="D402" s="27" t="n">
        <f aca="false">D401+W401</f>
        <v>0</v>
      </c>
      <c r="E402" s="26" t="n">
        <f aca="false">E401+IF(U401="SW",1,0)</f>
        <v>12</v>
      </c>
      <c r="F402" s="26" t="n">
        <f aca="false">F401+IF(U401="AB",1,0)</f>
        <v>10</v>
      </c>
      <c r="G402" s="26" t="n">
        <f aca="false">G401+IF(U401="SC",1,0)</f>
        <v>7</v>
      </c>
      <c r="H402" s="26" t="n">
        <f aca="false">H401+IF(U401="Mag",1,0)</f>
        <v>5</v>
      </c>
      <c r="I402" s="26" t="n">
        <f aca="false">MAX(I401,IF(U401="OR",1,0))</f>
        <v>1</v>
      </c>
      <c r="J402" s="26" t="n">
        <f aca="false">MAX(J401,IF(U401="HP",1,0))</f>
        <v>1</v>
      </c>
      <c r="K402" s="26" t="n">
        <f aca="false">MAX(K401,IF(U401="FP",1,0))</f>
        <v>1</v>
      </c>
      <c r="L402" s="26" t="n">
        <f aca="false">MAX(L401,IF(U401="transition",1,0))</f>
        <v>1</v>
      </c>
      <c r="M402" s="28" t="n">
        <f aca="false">(Parameters!$B$9+(IF(E402=0,0,(Upgrades!$J$6+E402*Upgrades!$K$6)*POWER(Upgrades!$L$6,E402)))*(IF(Upgrades!$T$7="Solar Wind",POWER(Upgrades!$U$7,F402),1)*IF(Upgrades!$T$8="Solar Wind",POWER(Upgrades!$U$8,G402),1)*IF(Upgrades!$T$9="Solar Wind",POWER(Upgrades!$U$9,H402),1)*IF(Upgrades!$T$10="Solar Wind",POWER(Upgrades!$U$10,I402),1)*IF(Upgrades!$T$11="Solar Wind",POWER(Upgrades!$U$11,J402),1)*IF(Upgrades!$T$12="Solar Wind",POWER(Upgrades!$U$12,K402),1))+(IF(F402=0,0,(Upgrades!$J$7+F402*Upgrades!$K$7)*POWER(Upgrades!$L$7,F402)))*(IF(Upgrades!$T$6="Asteroid Belt",POWER(Upgrades!$U$6,E402),1)*IF(Upgrades!$T$8="Asteroid Belt",POWER(Upgrades!$U$8,G402),1)*IF(Upgrades!$T$9="Asteroid Belt",POWER(Upgrades!$U$9,H402),1)*IF(Upgrades!$T$10="Asteroid Belt",POWER(Upgrades!$U$10,I402),1)*IF(Upgrades!$T$11="Asteroid Belt",POWER(Upgrades!$U$11,J402),1)*IF(Upgrades!$T$12="Asteroid Belt",POWER(Upgrades!$U$12,K402),1))+(IF(G402=0,0,(Upgrades!$J$8+G402*Upgrades!$K$8)*POWER(Upgrades!$L$8,G402)))*(IF(Upgrades!$T$6="Stellar Coupling",POWER(Upgrades!$U$6,E402),1)*IF(Upgrades!$T$7="Stellar Coupling",POWER(Upgrades!$U$7,F402),1)*IF(Upgrades!$T$9="Stellar Coupling",POWER(Upgrades!$U$9,H402),1)*IF(Upgrades!$T$10="Stellar Coupling",POWER(Upgrades!$U$10,I402),1)*IF(Upgrades!$T$11="Stellar Coupling",POWER(Upgrades!$U$11,J402),1)*IF(Upgrades!$T$12="Stellar Coupling",POWER(Upgrades!$U$12,K402),1))+(IF(H402=0,0,(Upgrades!$J$9+H402*Upgrades!$K$9)*POWER(Upgrades!$L$9,H402)))*(IF(Upgrades!$T$6="Magnetosphere",POWER(Upgrades!$U$6,E402),1)*IF(Upgrades!$T$7="Magnetosphere",POWER(Upgrades!$U$7,F402),1)*IF(Upgrades!$T$8="Magnetosphere",POWER(Upgrades!$U$8,G402),1)*IF(Upgrades!$T$10="Magnetosphere",POWER(Upgrades!$U$10,I402),1)*IF(Upgrades!$T$11="Magnetosphere",POWER(Upgrades!$U$11,J402),1)*IF(Upgrades!$T$12="Magnetosphere",POWER(Upgrades!$U$12,K402),1))+(IF(I402=0,0,(Upgrades!$J$10+I402*Upgrades!$K$10)*POWER(Upgrades!$L$10,I402)))*(IF(Upgrades!$T$6="Orbital Resonance",POWER(Upgrades!$U$6,E402),1)*IF(Upgrades!$T$7="Orbital Resonance",POWER(Upgrades!$U$7,F402),1)*IF(Upgrades!$T$8="Orbital Resonance",POWER(Upgrades!$U$8,G402),1)*IF(Upgrades!$T$9="Orbital Resonance",POWER(Upgrades!$U$9,H402),1)*IF(Upgrades!$T$11="Orbital Resonance",POWER(Upgrades!$U$11,J402),1)*IF(Upgrades!$T$12="Orbital Resonance",POWER(Upgrades!$U$12,K402),1))+(IF(J402=0,0,(Upgrades!$J$11+J402*Upgrades!$K$11)*POWER(Upgrades!$L$11,J402)))*(IF(Upgrades!$T$6="Heliopause",POWER(Upgrades!$U$6,E402),1)*IF(Upgrades!$T$7="Heliopause",POWER(Upgrades!$U$7,F402),1)*IF(Upgrades!$T$8="Heliopause",POWER(Upgrades!$U$8,G402),1)*IF(Upgrades!$T$9="Heliopause",POWER(Upgrades!$U$9,H402),1)*IF(Upgrades!$T$10="Heliopause",POWER(Upgrades!$U$10,I402),1)*IF(Upgrades!$T$12="Heliopause",POWER(Upgrades!$U$12,K402),1))+(IF(K402=0,0,(Upgrades!$J$12+K402*Upgrades!$K$12)*POWER(Upgrades!$L$12,K402)))*(IF(Upgrades!$T$6="First Photons",POWER(Upgrades!$U$6,E402),1)*IF(Upgrades!$T$7="First Photons",POWER(Upgrades!$U$7,F402),1)*IF(Upgrades!$T$8="First Photons",POWER(Upgrades!$U$8,G402),1)*IF(Upgrades!$T$9="First Photons",POWER(Upgrades!$U$9,H402),1)*IF(Upgrades!$T$10="First Photons",POWER(Upgrades!$U$10,I402),1)*IF(Upgrades!$T$11="First Photons",POWER(Upgrades!$U$11,J402),1)))*POWER(Upgrades!$Q$6,E402)*POWER(Upgrades!$Q$7,F402)*POWER(Upgrades!$Q$8,G402)*POWER(Upgrades!$Q$9,H402)*POWER(Upgrades!$Q$10,I402)*POWER(Upgrades!$Q$11,J402)*POWER(Upgrades!$Q$12,K402)</f>
        <v>5.61</v>
      </c>
      <c r="N402" s="28" t="n">
        <f aca="false">((IF(E402=0,0,(Upgrades!$G$6+E402*Upgrades!$H$6)*POWER(Upgrades!$I$6,E402)))*(IF(Upgrades!$T$7="Solar Wind",POWER(Upgrades!$U$7,F402),1)*IF(Upgrades!$T$8="Solar Wind",POWER(Upgrades!$U$8,G402),1)*IF(Upgrades!$T$9="Solar Wind",POWER(Upgrades!$U$9,H402),1)*IF(Upgrades!$T$10="Solar Wind",POWER(Upgrades!$U$10,I402),1)*IF(Upgrades!$T$11="Solar Wind",POWER(Upgrades!$U$11,J402),1)*IF(Upgrades!$T$12="Solar Wind",POWER(Upgrades!$U$12,K402),1))+(IF(F402=0,0,(Upgrades!$G$7+F402*Upgrades!$H$7)*POWER(Upgrades!$I$7,F402)))*(IF(Upgrades!$T$6="Asteroid Belt",POWER(Upgrades!$U$6,E402),1)*IF(Upgrades!$T$8="Asteroid Belt",POWER(Upgrades!$U$8,G402),1)*IF(Upgrades!$T$9="Asteroid Belt",POWER(Upgrades!$U$9,H402),1)*IF(Upgrades!$T$10="Asteroid Belt",POWER(Upgrades!$U$10,I402),1)*IF(Upgrades!$T$11="Asteroid Belt",POWER(Upgrades!$U$11,J402),1)*IF(Upgrades!$T$12="Asteroid Belt",POWER(Upgrades!$U$12,K402),1))+(IF(G402=0,0,(Upgrades!$G$8+G402*Upgrades!$H$8)*POWER(Upgrades!$I$8,G402)))*(IF(Upgrades!$T$6="Stellar Coupling",POWER(Upgrades!$U$6,E402),1)*IF(Upgrades!$T$7="Stellar Coupling",POWER(Upgrades!$U$7,F402),1)*IF(Upgrades!$T$9="Stellar Coupling",POWER(Upgrades!$U$9,H402),1)*IF(Upgrades!$T$10="Stellar Coupling",POWER(Upgrades!$U$10,I402),1)*IF(Upgrades!$T$11="Stellar Coupling",POWER(Upgrades!$U$11,J402),1)*IF(Upgrades!$T$12="Stellar Coupling",POWER(Upgrades!$U$12,K402),1))+(IF(H402=0,0,(Upgrades!$G$9+H402*Upgrades!$H$9)*POWER(Upgrades!$I$9,H402)))*(IF(Upgrades!$T$6="Magnetosphere",POWER(Upgrades!$U$6,E402),1)*IF(Upgrades!$T$7="Magnetosphere",POWER(Upgrades!$U$7,F402),1)*IF(Upgrades!$T$8="Magnetosphere",POWER(Upgrades!$U$8,G402),1)*IF(Upgrades!$T$10="Magnetosphere",POWER(Upgrades!$U$10,I402),1)*IF(Upgrades!$T$11="Magnetosphere",POWER(Upgrades!$U$11,J402),1)*IF(Upgrades!$T$12="Magnetosphere",POWER(Upgrades!$U$12,K402),1))+(IF(I402=0,0,(Upgrades!$G$10+I402*Upgrades!$H$10)*POWER(Upgrades!$I$10,I402)))*(IF(Upgrades!$T$6="Orbital Resonance",POWER(Upgrades!$U$6,E402),1)*IF(Upgrades!$T$7="Orbital Resonance",POWER(Upgrades!$U$7,F402),1)*IF(Upgrades!$T$8="Orbital Resonance",POWER(Upgrades!$U$8,G402),1)*IF(Upgrades!$T$9="Orbital Resonance",POWER(Upgrades!$U$9,H402),1)*IF(Upgrades!$T$11="Orbital Resonance",POWER(Upgrades!$U$11,J402),1)*IF(Upgrades!$T$12="Orbital Resonance",POWER(Upgrades!$U$12,K402),1))+(IF(J402=0,0,(Upgrades!$G$11+J402*Upgrades!$H$11)*POWER(Upgrades!$I$11,J402)))*(IF(Upgrades!$T$6="Heliopause",POWER(Upgrades!$U$6,E402),1)*IF(Upgrades!$T$7="Heliopause",POWER(Upgrades!$U$7,F402),1)*IF(Upgrades!$T$8="Heliopause",POWER(Upgrades!$U$8,G402),1)*IF(Upgrades!$T$9="Heliopause",POWER(Upgrades!$U$9,H402),1)*IF(Upgrades!$T$10="Heliopause",POWER(Upgrades!$U$10,I402),1)*IF(Upgrades!$T$12="Heliopause",POWER(Upgrades!$U$12,K402),1))+(IF(K402=0,0,(Upgrades!$G$12+K402*Upgrades!$H$12)*POWER(Upgrades!$I$12,K402)))*(IF(Upgrades!$T$6="First Photons",POWER(Upgrades!$U$6,E402),1)*IF(Upgrades!$T$7="First Photons",POWER(Upgrades!$U$7,F402),1)*IF(Upgrades!$T$8="First Photons",POWER(Upgrades!$U$8,G402),1)*IF(Upgrades!$T$9="First Photons",POWER(Upgrades!$U$9,H402),1)*IF(Upgrades!$T$10="First Photons",POWER(Upgrades!$U$10,I402),1)*IF(Upgrades!$T$11="First Photons",POWER(Upgrades!$U$11,J402),1)))*POWER(Upgrades!$P$6,E402)*POWER(Upgrades!$P$7,F402)*POWER(Upgrades!$P$8,G402)*POWER(Upgrades!$P$9,H402)*POWER(Upgrades!$P$10,I402)*POWER(Upgrades!$P$11,J402)*POWER(Upgrades!$P$12,K402)</f>
        <v>11.2</v>
      </c>
      <c r="O402" s="28" t="n">
        <f aca="false">((IF(E402=0,0,(Upgrades!$M$6+E402*Upgrades!$N$6)*POWER(Upgrades!$O$6,E402)))*(IF(Upgrades!$T$7="Solar Wind",POWER(Upgrades!$U$7,F402),1)*IF(Upgrades!$T$8="Solar Wind",POWER(Upgrades!$U$8,G402),1)*IF(Upgrades!$T$9="Solar Wind",POWER(Upgrades!$U$9,H402),1)*IF(Upgrades!$T$10="Solar Wind",POWER(Upgrades!$U$10,I402),1)*IF(Upgrades!$T$11="Solar Wind",POWER(Upgrades!$U$11,J402),1)*IF(Upgrades!$T$12="Solar Wind",POWER(Upgrades!$U$12,K402),1))+(IF(F402=0,0,(Upgrades!$M$7+F402*Upgrades!$N$7)*POWER(Upgrades!$O$7,F402)))*(IF(Upgrades!$T$6="Asteroid Belt",POWER(Upgrades!$U$6,E402),1)*IF(Upgrades!$T$8="Asteroid Belt",POWER(Upgrades!$U$8,G402),1)*IF(Upgrades!$T$9="Asteroid Belt",POWER(Upgrades!$U$9,H402),1)*IF(Upgrades!$T$10="Asteroid Belt",POWER(Upgrades!$U$10,I402),1)*IF(Upgrades!$T$11="Asteroid Belt",POWER(Upgrades!$U$11,J402),1)*IF(Upgrades!$T$12="Asteroid Belt",POWER(Upgrades!$U$12,K402),1))+(IF(G402=0,0,(Upgrades!$M$8+G402*Upgrades!$N$8)*POWER(Upgrades!$O$8,G402)))*(IF(Upgrades!$T$6="Stellar Coupling",POWER(Upgrades!$U$6,E402),1)*IF(Upgrades!$T$7="Stellar Coupling",POWER(Upgrades!$U$7,F402),1)*IF(Upgrades!$T$9="Stellar Coupling",POWER(Upgrades!$U$9,H402),1)*IF(Upgrades!$T$10="Stellar Coupling",POWER(Upgrades!$U$10,I402),1)*IF(Upgrades!$T$11="Stellar Coupling",POWER(Upgrades!$U$11,J402),1)*IF(Upgrades!$T$12="Stellar Coupling",POWER(Upgrades!$U$12,K402),1))+(IF(H402=0,0,(Upgrades!$M$9+H402*Upgrades!$N$9)*POWER(Upgrades!$O$9,H402)))*(IF(Upgrades!$T$6="Magnetosphere",POWER(Upgrades!$U$6,E402),1)*IF(Upgrades!$T$7="Magnetosphere",POWER(Upgrades!$U$7,F402),1)*IF(Upgrades!$T$8="Magnetosphere",POWER(Upgrades!$U$8,G402),1)*IF(Upgrades!$T$10="Magnetosphere",POWER(Upgrades!$U$10,I402),1)*IF(Upgrades!$T$11="Magnetosphere",POWER(Upgrades!$U$11,J402),1)*IF(Upgrades!$T$12="Magnetosphere",POWER(Upgrades!$U$12,K402),1))+(IF(I402=0,0,(Upgrades!$M$10+I402*Upgrades!$N$10)*POWER(Upgrades!$O$10,I402)))*(IF(Upgrades!$T$6="Orbital Resonance",POWER(Upgrades!$U$6,E402),1)*IF(Upgrades!$T$7="Orbital Resonance",POWER(Upgrades!$U$7,F402),1)*IF(Upgrades!$T$8="Orbital Resonance",POWER(Upgrades!$U$8,G402),1)*IF(Upgrades!$T$9="Orbital Resonance",POWER(Upgrades!$U$9,H402),1)*IF(Upgrades!$T$11="Orbital Resonance",POWER(Upgrades!$U$11,J402),1)*IF(Upgrades!$T$12="Orbital Resonance",POWER(Upgrades!$U$12,K402),1))+(IF(J402=0,0,(Upgrades!$M$11+J402*Upgrades!$N$11)*POWER(Upgrades!$O$11,J402)))*(IF(Upgrades!$T$6="Heliopause",POWER(Upgrades!$U$6,E402),1)*IF(Upgrades!$T$7="Heliopause",POWER(Upgrades!$U$7,F402),1)*IF(Upgrades!$T$8="Heliopause",POWER(Upgrades!$U$8,G402),1)*IF(Upgrades!$T$9="Heliopause",POWER(Upgrades!$U$9,H402),1)*IF(Upgrades!$T$10="Heliopause",POWER(Upgrades!$U$10,I402),1)*IF(Upgrades!$T$12="Heliopause",POWER(Upgrades!$U$12,K402),1))+(IF(K402=0,0,(Upgrades!$M$12+K402*Upgrades!$N$12)*POWER(Upgrades!$O$12,K402)))*(IF(Upgrades!$T$6="First Photons",POWER(Upgrades!$U$6,E402),1)*IF(Upgrades!$T$7="First Photons",POWER(Upgrades!$U$7,F402),1)*IF(Upgrades!$T$8="First Photons",POWER(Upgrades!$U$8,G402),1)*IF(Upgrades!$T$9="First Photons",POWER(Upgrades!$U$9,H402),1)*IF(Upgrades!$T$10="First Photons",POWER(Upgrades!$U$10,I402),1)*IF(Upgrades!$T$11="First Photons",POWER(Upgrades!$U$11,J402),1)))*POWER(Upgrades!$R$6,E402)*POWER(Upgrades!$R$7,F402)*POWER(Upgrades!$R$8,G402)*POWER(Upgrades!$R$9,H402)*POWER(Upgrades!$R$10,I402)*POWER(Upgrades!$R$11,J402)*POWER(Upgrades!$R$12,K402)</f>
        <v>0</v>
      </c>
      <c r="P402" s="27" t="n">
        <f aca="false">IF(L402=1,0,M402*Parameters!$B$10/60*Parameters!$B$11*10)</f>
        <v>0</v>
      </c>
      <c r="Q402" s="27" t="n">
        <f aca="false">IF(L402=1,0,O402*M402*10)</f>
        <v>0</v>
      </c>
      <c r="R402" s="27" t="n">
        <f aca="false">IF(L402=1,0,N402*10)</f>
        <v>0</v>
      </c>
      <c r="S402" s="27" t="n">
        <f aca="false">P402+Q402+R402</f>
        <v>0</v>
      </c>
      <c r="T402" s="21" t="n">
        <f aca="false">C402+S402</f>
        <v>18.6730249835055</v>
      </c>
      <c r="U402" s="34" t="str">
        <f aca="false">AX402</f>
        <v/>
      </c>
      <c r="V402" s="21" t="n">
        <f aca="false">IF(U402="",0,IF(U402="transition",0,IF(U402="SW",AG402,IF(U402="AB",AH402,IF(U402="SC",AI402,IF(U402="Mag",AJ402,IF(U402="OR",AK402,IF(U402="HP",AL402,IF(U402="FP",AM402,0)))))))))</f>
        <v>0</v>
      </c>
      <c r="W402" s="27" t="n">
        <f aca="false">IF(U402="OR",Upgrades!$F$10,IF(U402="HP",Upgrades!$F$11,IF(U402="transition",-Parameters!$B$18,0)))</f>
        <v>0</v>
      </c>
      <c r="X402" s="21" t="n">
        <f aca="false">T402-V402</f>
        <v>18.6730249835055</v>
      </c>
      <c r="Y402" s="30" t="n">
        <f aca="false">M402*Parameters!$B$10/60*Parameters!$B$11+O402*M402+N402</f>
        <v>20.55</v>
      </c>
      <c r="Z402" s="35" t="str">
        <f aca="false">IF(U402="transition","→ Tier 2 (Stellar Neighborhood)",IF(U402="FP","First Photons — light begins, system quickens",IF(U402="HP","Heliopause acquired",IF(U402="OR","Orbital Resonance — passive multiplier active",IF(AND(AO402=1,L402=0,AN402&lt;&gt;1),"Cohesion ready (waiting on completionist upgrades)","")))))</f>
        <v/>
      </c>
      <c r="AA402" s="27" t="n">
        <f aca="false">(IF(E402=0,0,(Upgrades!$G$6+E402*Upgrades!$H$6)*POWER(Upgrades!$I$6,E402)))*(IF(Upgrades!$T$7="Solar Wind",POWER(Upgrades!$U$7,F402),1)*IF(Upgrades!$T$8="Solar Wind",POWER(Upgrades!$U$8,G402),1)*IF(Upgrades!$T$9="Solar Wind",POWER(Upgrades!$U$9,H402),1)*IF(Upgrades!$T$10="Solar Wind",POWER(Upgrades!$U$10,I402),1)*IF(Upgrades!$T$11="Solar Wind",POWER(Upgrades!$U$11,J402),1)*IF(Upgrades!$T$12="Solar Wind",POWER(Upgrades!$U$12,K402),1))*POWER(Upgrades!$P$6,E402)*POWER(Upgrades!$P$7,F402)*POWER(Upgrades!$P$8,G402)*POWER(Upgrades!$P$9,H402)*POWER(Upgrades!$P$10,I402)*POWER(Upgrades!$P$11,J402)*POWER(Upgrades!$P$12,K402)*60</f>
        <v>72</v>
      </c>
      <c r="AB402" s="27" t="n">
        <f aca="false">(IF(F402=0,0,(Upgrades!$G$7+F402*Upgrades!$H$7)*POWER(Upgrades!$I$7,F402)))*(IF(Upgrades!$T$6="Asteroid Belt",POWER(Upgrades!$U$6,E402),1)*IF(Upgrades!$T$8="Asteroid Belt",POWER(Upgrades!$U$8,G402),1)*IF(Upgrades!$T$9="Asteroid Belt",POWER(Upgrades!$U$9,H402),1)*IF(Upgrades!$T$10="Asteroid Belt",POWER(Upgrades!$U$10,I402),1)*IF(Upgrades!$T$11="Asteroid Belt",POWER(Upgrades!$U$11,J402),1)*IF(Upgrades!$T$12="Asteroid Belt",POWER(Upgrades!$U$12,K402),1))*POWER(Upgrades!$P$6,E402)*POWER(Upgrades!$P$7,F402)*POWER(Upgrades!$P$8,G402)*POWER(Upgrades!$P$9,H402)*POWER(Upgrades!$P$10,I402)*POWER(Upgrades!$P$11,J402)*POWER(Upgrades!$P$12,K402)*60</f>
        <v>150</v>
      </c>
      <c r="AC402" s="27" t="n">
        <f aca="false">(IF(G402=0,0,(Upgrades!$J$8+G402*Upgrades!$K$8)*POWER(Upgrades!$L$8,G402)))*(IF(Upgrades!$T$6="Stellar Coupling",POWER(Upgrades!$U$6,E402),1)*IF(Upgrades!$T$7="Stellar Coupling",POWER(Upgrades!$U$7,F402),1)*IF(Upgrades!$T$9="Stellar Coupling",POWER(Upgrades!$U$9,H402),1)*IF(Upgrades!$T$10="Stellar Coupling",POWER(Upgrades!$U$10,I402),1)*IF(Upgrades!$T$11="Stellar Coupling",POWER(Upgrades!$U$11,J402),1)*IF(Upgrades!$T$12="Stellar Coupling",POWER(Upgrades!$U$12,K402),1))*POWER(Upgrades!$Q$6,E402)*POWER(Upgrades!$Q$7,F402)*POWER(Upgrades!$Q$8,G402)*POWER(Upgrades!$Q$9,H402)*POWER(Upgrades!$Q$10,I402)*POWER(Upgrades!$Q$11,J402)*POWER(Upgrades!$Q$12,K402)*Parameters!$B$10*Parameters!$B$11</f>
        <v>441</v>
      </c>
      <c r="AD402" s="27" t="n">
        <f aca="false">(IF(H402=0,0,(Upgrades!$G$9+H402*Upgrades!$H$9)*POWER(Upgrades!$I$9,H402)))*(IF(Upgrades!$T$6="Magnetosphere",POWER(Upgrades!$U$6,E402),1)*IF(Upgrades!$T$7="Magnetosphere",POWER(Upgrades!$U$7,F402),1)*IF(Upgrades!$T$8="Magnetosphere",POWER(Upgrades!$U$8,G402),1)*IF(Upgrades!$T$10="Magnetosphere",POWER(Upgrades!$U$10,I402),1)*IF(Upgrades!$T$11="Magnetosphere",POWER(Upgrades!$U$11,J402),1)*IF(Upgrades!$T$12="Magnetosphere",POWER(Upgrades!$U$12,K402),1))*POWER(Upgrades!$P$6,E402)*POWER(Upgrades!$P$7,F402)*POWER(Upgrades!$P$8,G402)*POWER(Upgrades!$P$9,H402)*POWER(Upgrades!$P$10,I402)*POWER(Upgrades!$P$11,J402)*POWER(Upgrades!$P$12,K402)*60</f>
        <v>375</v>
      </c>
      <c r="AE402" s="27" t="n">
        <f aca="false">(IF(K402=0,0,(Upgrades!$G$12+K402*Upgrades!$H$12)*POWER(Upgrades!$I$12,K402)))*(IF(Upgrades!$T$6="First Photons",POWER(Upgrades!$U$6,E402),1)*IF(Upgrades!$T$7="First Photons",POWER(Upgrades!$U$7,F402),1)*IF(Upgrades!$T$8="First Photons",POWER(Upgrades!$U$8,G402),1)*IF(Upgrades!$T$9="First Photons",POWER(Upgrades!$U$9,H402),1)*IF(Upgrades!$T$10="First Photons",POWER(Upgrades!$U$10,I402),1)*IF(Upgrades!$T$11="First Photons",POWER(Upgrades!$U$11,J402),1))*POWER(Upgrades!$P$6,E402)*POWER(Upgrades!$P$7,F402)*POWER(Upgrades!$P$8,G402)*POWER(Upgrades!$P$9,H402)*POWER(Upgrades!$P$10,I402)*POWER(Upgrades!$P$11,J402)*POWER(Upgrades!$P$12,K402)*60</f>
        <v>75</v>
      </c>
      <c r="AF402" s="27" t="n">
        <f aca="false">Parameters!$B$9*POWER(Upgrades!$Q$6,E402)*POWER(Upgrades!$Q$7,F402)*POWER(Upgrades!$Q$8,G402)*POWER(Upgrades!$Q$9,H402)*POWER(Upgrades!$Q$10,I402)*POWER(Upgrades!$Q$11,J402)*POWER(Upgrades!$Q$12,K402)*(Parameters!$B$10*Parameters!$B$11+O402*60)</f>
        <v>120</v>
      </c>
      <c r="AG402" s="21" t="n">
        <f aca="false">IF(E402&gt;=Upgrades!$E$6,"",Upgrades!$C$6*POWER(Upgrades!$D$6,E402))</f>
        <v>37.4517507383159</v>
      </c>
      <c r="AH402" s="21" t="n">
        <f aca="false">IF(F402&gt;=Upgrades!$E$7,"",Upgrades!$C$7*POWER(Upgrades!$D$7,F402))</f>
        <v>80.9111547141581</v>
      </c>
      <c r="AI402" s="21" t="n">
        <f aca="false">IF(G402&gt;=Upgrades!$E$8,"",Upgrades!$C$8*POWER(Upgrades!$D$8,G402))</f>
        <v>231.9097088</v>
      </c>
      <c r="AJ402" s="21" t="str">
        <f aca="false">IF(H402&gt;=Upgrades!$E$9,"",Upgrades!$C$9*POWER(Upgrades!$D$9,H402))</f>
        <v/>
      </c>
      <c r="AK402" s="21" t="str">
        <f aca="false">IF(I402&gt;=Upgrades!$E$10,"",Upgrades!$C$10*POWER(Upgrades!$D$10,I402))</f>
        <v/>
      </c>
      <c r="AL402" s="21" t="str">
        <f aca="false">IF(J402&gt;=Upgrades!$E$11,"",Upgrades!$C$11*POWER(Upgrades!$D$11,J402))</f>
        <v/>
      </c>
      <c r="AM402" s="21" t="str">
        <f aca="false">IF(K402&gt;=Upgrades!$E$12,"",Upgrades!$C$12*POWER(Upgrades!$D$12,K402))</f>
        <v/>
      </c>
      <c r="AN402" s="26" t="str">
        <f aca="false">IF(AND(D402&gt;=Parameters!$B$18,(H402&gt;=Upgrades!$E$9)*(K402&gt;=Upgrades!$E$12)=1,L402=0),1,"")</f>
        <v/>
      </c>
      <c r="AO402" s="26" t="str">
        <f aca="false">IF(AND(D402&gt;=Parameters!$B$18,L402=0),1,"")</f>
        <v/>
      </c>
      <c r="AP402" s="21" t="n">
        <f aca="false">MIN(IF(ISNUMBER(AK402),AK402,9000000000000000),IF(ISNUMBER(AL402),AL402,9000000000000000),IF(ISNUMBER(AM402),AM402,9000000000000000))</f>
        <v>9000000000000000</v>
      </c>
      <c r="AQ402" s="21" t="n">
        <f aca="false">MIN(IF(ISNUMBER(AG402),AG402,9000000000000000),IF(ISNUMBER(AH402),AH402,9000000000000000),IF(ISNUMBER(AI402),AI402,9000000000000000),IF(ISNUMBER(AJ402),AJ402,9000000000000000))</f>
        <v>37.4517507383159</v>
      </c>
      <c r="AR402" s="32" t="b">
        <f aca="false">IF(AW402&gt;Parameters!$B$21*(MAX(IF(AND(NOT(AND(AO402=1,AN402&lt;&gt;1)),ISNUMBER(AG402),AG402&lt;=T402),AS402,0),IF(AND(NOT(AND(AO402=1,AN402&lt;&gt;1)),ISNUMBER(AH402),AH402&lt;=T402),AT402,0),IF(AND(NOT(AND(AO402=1,AN402&lt;&gt;1)),ISNUMBER(AI402),AI402&lt;=T402),AU402,0),IF(AND(ISNUMBER(AJ402),AJ402&lt;=T402),AV402,0))),TRUE(),FALSE())</f>
        <v>1</v>
      </c>
      <c r="AS402" s="33" t="n">
        <f aca="false">IFERROR(Upgrades!$H$6*(POWER(Upgrades!$P$6,E402)*POWER(Upgrades!$P$7,F402)*POWER(Upgrades!$P$8,G402)*POWER(Upgrades!$P$9,H402)*POWER(Upgrades!$P$10,I402)*POWER(Upgrades!$P$11,J402)*POWER(Upgrades!$P$12,K402))*(IF(Upgrades!$T$7="Solar Wind",POWER(Upgrades!$U$7,F402),1)*IF(Upgrades!$T$8="Solar Wind",POWER(Upgrades!$U$8,G402),1)*IF(Upgrades!$T$9="Solar Wind",POWER(Upgrades!$U$9,H402),1)*IF(Upgrades!$T$10="Solar Wind",POWER(Upgrades!$U$10,I402),1)*IF(Upgrades!$T$11="Solar Wind",POWER(Upgrades!$U$11,J402),1)*IF(Upgrades!$T$12="Solar Wind",POWER(Upgrades!$U$12,K402),1))/AG402,0)</f>
        <v>0.0026701021455238</v>
      </c>
      <c r="AT402" s="33" t="n">
        <f aca="false">IFERROR(Upgrades!$H$7*(POWER(Upgrades!$P$6,E402)*POWER(Upgrades!$P$7,F402)*POWER(Upgrades!$P$8,G402)*POWER(Upgrades!$P$9,H402)*POWER(Upgrades!$P$10,I402)*POWER(Upgrades!$P$11,J402)*POWER(Upgrades!$P$12,K402))*(IF(Upgrades!$T$6="Asteroid Belt",POWER(Upgrades!$U$6,E402),1)*IF(Upgrades!$T$8="Asteroid Belt",POWER(Upgrades!$U$8,G402),1)*IF(Upgrades!$T$9="Asteroid Belt",POWER(Upgrades!$U$9,H402),1)*IF(Upgrades!$T$10="Asteroid Belt",POWER(Upgrades!$U$10,I402),1)*IF(Upgrades!$T$11="Asteroid Belt",POWER(Upgrades!$U$11,J402),1)*IF(Upgrades!$T$12="Asteroid Belt",POWER(Upgrades!$U$12,K402),1))/AH402,0)</f>
        <v>0.00308980882652332</v>
      </c>
      <c r="AU402" s="33" t="n">
        <f aca="false">IFERROR(Upgrades!$K$8*(POWER(Upgrades!$Q$6,E402)*POWER(Upgrades!$Q$7,F402)*POWER(Upgrades!$Q$8,G402)*POWER(Upgrades!$Q$9,H402)*POWER(Upgrades!$Q$10,I402)*POWER(Upgrades!$Q$11,J402)*POWER(Upgrades!$Q$12,K402))*(IF(Upgrades!$T$6="Stellar Coupling",POWER(Upgrades!$U$6,E402),1)*IF(Upgrades!$T$7="Stellar Coupling",POWER(Upgrades!$U$7,F402),1)*IF(Upgrades!$T$9="Stellar Coupling",POWER(Upgrades!$U$9,H402),1)*IF(Upgrades!$T$10="Stellar Coupling",POWER(Upgrades!$U$10,I402),1)*IF(Upgrades!$T$11="Stellar Coupling",POWER(Upgrades!$U$11,J402),1)*IF(Upgrades!$T$12="Stellar Coupling",POWER(Upgrades!$U$12,K402),1))*Parameters!$B$10*Parameters!$B$11/60/AI402,0)</f>
        <v>0.00452762415783776</v>
      </c>
      <c r="AV402" s="33" t="n">
        <f aca="false">IFERROR(Upgrades!$H$9*(POWER(Upgrades!$P$6,E402)*POWER(Upgrades!$P$7,F402)*POWER(Upgrades!$P$8,G402)*POWER(Upgrades!$P$9,H402)*POWER(Upgrades!$P$10,I402)*POWER(Upgrades!$P$11,J402)*POWER(Upgrades!$P$12,K402))*(IF(Upgrades!$T$6="Magnetosphere",POWER(Upgrades!$U$6,E402),1)*IF(Upgrades!$T$7="Magnetosphere",POWER(Upgrades!$U$7,F402),1)*IF(Upgrades!$T$8="Magnetosphere",POWER(Upgrades!$U$8,G402),1)*IF(Upgrades!$T$10="Magnetosphere",POWER(Upgrades!$U$10,I402),1)*IF(Upgrades!$T$11="Magnetosphere",POWER(Upgrades!$U$11,J402),1)*IF(Upgrades!$T$12="Magnetosphere",POWER(Upgrades!$U$12,K402),1))/AJ402,0)</f>
        <v>0</v>
      </c>
      <c r="AW402" s="33" t="n">
        <f aca="false">MAX(IF(I402&gt;0,0,IFERROR(0.25*N402/Upgrades!$C$10,0)),IF(J402&gt;0,0,IFERROR(0.5*((IF(G402=0,0,(Upgrades!$J$8+G402*Upgrades!$K$8)*POWER(Upgrades!$L$8,G402)))*(IF(Upgrades!$T$6="Stellar Coupling",POWER(Upgrades!$U$6,E402),1)*IF(Upgrades!$T$7="Stellar Coupling",POWER(Upgrades!$U$7,F402),1)*IF(Upgrades!$T$9="Stellar Coupling",POWER(Upgrades!$U$9,H402),1)*IF(Upgrades!$T$10="Stellar Coupling",POWER(Upgrades!$U$10,I402),1)*IF(Upgrades!$T$11="Stellar Coupling",POWER(Upgrades!$U$11,J402),1)*IF(Upgrades!$T$12="Stellar Coupling",POWER(Upgrades!$U$12,K402),1))*(POWER(Upgrades!$Q$6,E402)*POWER(Upgrades!$Q$7,F402)*POWER(Upgrades!$Q$8,G402)*POWER(Upgrades!$Q$9,H402)*POWER(Upgrades!$Q$10,I402)*POWER(Upgrades!$Q$11,J402)*POWER(Upgrades!$Q$12,K402))*Parameters!$B$10*Parameters!$B$11/60)/Upgrades!$C$11,0)),IF(K402&gt;0,0,IFERROR((1*(POWER(Upgrades!$P$6,E402)*POWER(Upgrades!$P$7,F402)*POWER(Upgrades!$P$8,G402)*POWER(Upgrades!$P$9,H402)*POWER(Upgrades!$P$10,I402)*POWER(Upgrades!$P$11,J402)*POWER(Upgrades!$P$12,K402))+0.2*M402*Parameters!$B$10*Parameters!$B$11/60)/Upgrades!$C$12,0)),IF(AND(ISNUMBER(AG402),AG402&gt;T402),AS402,0),IF(AND(ISNUMBER(AH402),AH402&gt;T402),AT402,0),IF(AND(ISNUMBER(AI402),AI402&gt;T402),AU402,0),IF(AND(ISNUMBER(AJ402),AJ402&gt;T402),AV402,0))</f>
        <v>0.00452762415783776</v>
      </c>
      <c r="AX402" s="29" t="str">
        <f aca="false">IF(AN402=1,"transition",IF(MIN(IF(AND(I402=0,ISNUMBER(AK402),AK402&lt;=T402),AK402,9000000000000000),IF(AND(J402=0,ISNUMBER(AL402),AL402&lt;=T402),AL402,9000000000000000),IF(AND(K402=0,ISNUMBER(AM402),AM402&lt;=T402),AM402,9000000000000000))&lt;9000000000000000,IF(AND(AND(I402=0,ISNUMBER(AK402),AK402&lt;=T402),AK402=MIN(IF(AND(I402=0,ISNUMBER(AK402),AK402&lt;=T402),AK402,9000000000000000),IF(AND(J402=0,ISNUMBER(AL402),AL402&lt;=T402),AL402,9000000000000000),IF(AND(K402=0,ISNUMBER(AM402),AM402&lt;=T402),AM402,9000000000000000))),"OR",IF(AND(AND(J402=0,ISNUMBER(AL402),AL402&lt;=T402),AL402=MIN(IF(AND(I402=0,ISNUMBER(AK402),AK402&lt;=T402),AK402,9000000000000000),IF(AND(J402=0,ISNUMBER(AL402),AL402&lt;=T402),AL402,9000000000000000),IF(AND(K402=0,ISNUMBER(AM402),AM402&lt;=T402),AM402,9000000000000000))),"HP","FP")),IF(AR402=TRUE(),"",IF(MAX(IF(AND(NOT(AND(AO402=1,AN402&lt;&gt;1)),ISNUMBER(AG402),AG402&lt;=T402),AS402,0),IF(AND(NOT(AND(AO402=1,AN402&lt;&gt;1)),ISNUMBER(AH402),AH402&lt;=T402),AT402,0),IF(AND(NOT(AND(AO402=1,AN402&lt;&gt;1)),ISNUMBER(AI402),AI402&lt;=T402),AU402,0),IF(AND(ISNUMBER(AJ402),AJ402&lt;=T402),AV402,0))&lt;=0,"",IF(AND(IF(AND(NOT(AND(AO402=1,AN402&lt;&gt;1)),ISNUMBER(AG402),AG402&lt;=T402),AS402,0)&gt;0,IF(AND(NOT(AND(AO402=1,AN402&lt;&gt;1)),ISNUMBER(AG402),AG402&lt;=T402),AS402,0)=MAX(IF(AND(NOT(AND(AO402=1,AN402&lt;&gt;1)),ISNUMBER(AG402),AG402&lt;=T402),AS402,0),IF(AND(NOT(AND(AO402=1,AN402&lt;&gt;1)),ISNUMBER(AH402),AH402&lt;=T402),AT402,0),IF(AND(NOT(AND(AO402=1,AN402&lt;&gt;1)),ISNUMBER(AI402),AI402&lt;=T402),AU402,0),IF(AND(ISNUMBER(AJ402),AJ402&lt;=T402),AV402,0))),"SW",IF(AND(IF(AND(NOT(AND(AO402=1,AN402&lt;&gt;1)),ISNUMBER(AH402),AH402&lt;=T402),AT402,0)&gt;0,IF(AND(NOT(AND(AO402=1,AN402&lt;&gt;1)),ISNUMBER(AH402),AH402&lt;=T402),AT402,0)=MAX(IF(AND(NOT(AND(AO402=1,AN402&lt;&gt;1)),ISNUMBER(AG402),AG402&lt;=T402),AS402,0),IF(AND(NOT(AND(AO402=1,AN402&lt;&gt;1)),ISNUMBER(AH402),AH402&lt;=T402),AT402,0),IF(AND(NOT(AND(AO402=1,AN402&lt;&gt;1)),ISNUMBER(AI402),AI402&lt;=T402),AU402,0),IF(AND(ISNUMBER(AJ402),AJ402&lt;=T402),AV402,0))),"AB",IF(AND(IF(AND(NOT(AND(AO402=1,AN402&lt;&gt;1)),ISNUMBER(AI402),AI402&lt;=T402),AU402,0)&gt;0,IF(AND(NOT(AND(AO402=1,AN402&lt;&gt;1)),ISNUMBER(AI402),AI402&lt;=T402),AU402,0)=MAX(IF(AND(NOT(AND(AO402=1,AN402&lt;&gt;1)),ISNUMBER(AG402),AG402&lt;=T402),AS402,0),IF(AND(NOT(AND(AO402=1,AN402&lt;&gt;1)),ISNUMBER(AH402),AH402&lt;=T402),AT402,0),IF(AND(NOT(AND(AO402=1,AN402&lt;&gt;1)),ISNUMBER(AI402),AI402&lt;=T402),AU402,0),IF(AND(ISNUMBER(AJ402),AJ402&lt;=T402),AV402,0))),"SC","Mag")))))))</f>
        <v/>
      </c>
    </row>
    <row r="403" customFormat="false" ht="15" hidden="false" customHeight="false" outlineLevel="0" collapsed="false">
      <c r="A403" s="26" t="n">
        <v>398</v>
      </c>
      <c r="B403" s="27" t="n">
        <f aca="false">A403*10/60</f>
        <v>66.3333333333333</v>
      </c>
      <c r="C403" s="21" t="n">
        <f aca="false">X402</f>
        <v>18.6730249835055</v>
      </c>
      <c r="D403" s="27" t="n">
        <f aca="false">D402+W402</f>
        <v>0</v>
      </c>
      <c r="E403" s="26" t="n">
        <f aca="false">E402+IF(U402="SW",1,0)</f>
        <v>12</v>
      </c>
      <c r="F403" s="26" t="n">
        <f aca="false">F402+IF(U402="AB",1,0)</f>
        <v>10</v>
      </c>
      <c r="G403" s="26" t="n">
        <f aca="false">G402+IF(U402="SC",1,0)</f>
        <v>7</v>
      </c>
      <c r="H403" s="26" t="n">
        <f aca="false">H402+IF(U402="Mag",1,0)</f>
        <v>5</v>
      </c>
      <c r="I403" s="26" t="n">
        <f aca="false">MAX(I402,IF(U402="OR",1,0))</f>
        <v>1</v>
      </c>
      <c r="J403" s="26" t="n">
        <f aca="false">MAX(J402,IF(U402="HP",1,0))</f>
        <v>1</v>
      </c>
      <c r="K403" s="26" t="n">
        <f aca="false">MAX(K402,IF(U402="FP",1,0))</f>
        <v>1</v>
      </c>
      <c r="L403" s="26" t="n">
        <f aca="false">MAX(L402,IF(U402="transition",1,0))</f>
        <v>1</v>
      </c>
      <c r="M403" s="28" t="n">
        <f aca="false">(Parameters!$B$9+(IF(E403=0,0,(Upgrades!$J$6+E403*Upgrades!$K$6)*POWER(Upgrades!$L$6,E403)))*(IF(Upgrades!$T$7="Solar Wind",POWER(Upgrades!$U$7,F403),1)*IF(Upgrades!$T$8="Solar Wind",POWER(Upgrades!$U$8,G403),1)*IF(Upgrades!$T$9="Solar Wind",POWER(Upgrades!$U$9,H403),1)*IF(Upgrades!$T$10="Solar Wind",POWER(Upgrades!$U$10,I403),1)*IF(Upgrades!$T$11="Solar Wind",POWER(Upgrades!$U$11,J403),1)*IF(Upgrades!$T$12="Solar Wind",POWER(Upgrades!$U$12,K403),1))+(IF(F403=0,0,(Upgrades!$J$7+F403*Upgrades!$K$7)*POWER(Upgrades!$L$7,F403)))*(IF(Upgrades!$T$6="Asteroid Belt",POWER(Upgrades!$U$6,E403),1)*IF(Upgrades!$T$8="Asteroid Belt",POWER(Upgrades!$U$8,G403),1)*IF(Upgrades!$T$9="Asteroid Belt",POWER(Upgrades!$U$9,H403),1)*IF(Upgrades!$T$10="Asteroid Belt",POWER(Upgrades!$U$10,I403),1)*IF(Upgrades!$T$11="Asteroid Belt",POWER(Upgrades!$U$11,J403),1)*IF(Upgrades!$T$12="Asteroid Belt",POWER(Upgrades!$U$12,K403),1))+(IF(G403=0,0,(Upgrades!$J$8+G403*Upgrades!$K$8)*POWER(Upgrades!$L$8,G403)))*(IF(Upgrades!$T$6="Stellar Coupling",POWER(Upgrades!$U$6,E403),1)*IF(Upgrades!$T$7="Stellar Coupling",POWER(Upgrades!$U$7,F403),1)*IF(Upgrades!$T$9="Stellar Coupling",POWER(Upgrades!$U$9,H403),1)*IF(Upgrades!$T$10="Stellar Coupling",POWER(Upgrades!$U$10,I403),1)*IF(Upgrades!$T$11="Stellar Coupling",POWER(Upgrades!$U$11,J403),1)*IF(Upgrades!$T$12="Stellar Coupling",POWER(Upgrades!$U$12,K403),1))+(IF(H403=0,0,(Upgrades!$J$9+H403*Upgrades!$K$9)*POWER(Upgrades!$L$9,H403)))*(IF(Upgrades!$T$6="Magnetosphere",POWER(Upgrades!$U$6,E403),1)*IF(Upgrades!$T$7="Magnetosphere",POWER(Upgrades!$U$7,F403),1)*IF(Upgrades!$T$8="Magnetosphere",POWER(Upgrades!$U$8,G403),1)*IF(Upgrades!$T$10="Magnetosphere",POWER(Upgrades!$U$10,I403),1)*IF(Upgrades!$T$11="Magnetosphere",POWER(Upgrades!$U$11,J403),1)*IF(Upgrades!$T$12="Magnetosphere",POWER(Upgrades!$U$12,K403),1))+(IF(I403=0,0,(Upgrades!$J$10+I403*Upgrades!$K$10)*POWER(Upgrades!$L$10,I403)))*(IF(Upgrades!$T$6="Orbital Resonance",POWER(Upgrades!$U$6,E403),1)*IF(Upgrades!$T$7="Orbital Resonance",POWER(Upgrades!$U$7,F403),1)*IF(Upgrades!$T$8="Orbital Resonance",POWER(Upgrades!$U$8,G403),1)*IF(Upgrades!$T$9="Orbital Resonance",POWER(Upgrades!$U$9,H403),1)*IF(Upgrades!$T$11="Orbital Resonance",POWER(Upgrades!$U$11,J403),1)*IF(Upgrades!$T$12="Orbital Resonance",POWER(Upgrades!$U$12,K403),1))+(IF(J403=0,0,(Upgrades!$J$11+J403*Upgrades!$K$11)*POWER(Upgrades!$L$11,J403)))*(IF(Upgrades!$T$6="Heliopause",POWER(Upgrades!$U$6,E403),1)*IF(Upgrades!$T$7="Heliopause",POWER(Upgrades!$U$7,F403),1)*IF(Upgrades!$T$8="Heliopause",POWER(Upgrades!$U$8,G403),1)*IF(Upgrades!$T$9="Heliopause",POWER(Upgrades!$U$9,H403),1)*IF(Upgrades!$T$10="Heliopause",POWER(Upgrades!$U$10,I403),1)*IF(Upgrades!$T$12="Heliopause",POWER(Upgrades!$U$12,K403),1))+(IF(K403=0,0,(Upgrades!$J$12+K403*Upgrades!$K$12)*POWER(Upgrades!$L$12,K403)))*(IF(Upgrades!$T$6="First Photons",POWER(Upgrades!$U$6,E403),1)*IF(Upgrades!$T$7="First Photons",POWER(Upgrades!$U$7,F403),1)*IF(Upgrades!$T$8="First Photons",POWER(Upgrades!$U$8,G403),1)*IF(Upgrades!$T$9="First Photons",POWER(Upgrades!$U$9,H403),1)*IF(Upgrades!$T$10="First Photons",POWER(Upgrades!$U$10,I403),1)*IF(Upgrades!$T$11="First Photons",POWER(Upgrades!$U$11,J403),1)))*POWER(Upgrades!$Q$6,E403)*POWER(Upgrades!$Q$7,F403)*POWER(Upgrades!$Q$8,G403)*POWER(Upgrades!$Q$9,H403)*POWER(Upgrades!$Q$10,I403)*POWER(Upgrades!$Q$11,J403)*POWER(Upgrades!$Q$12,K403)</f>
        <v>5.61</v>
      </c>
      <c r="N403" s="28" t="n">
        <f aca="false">((IF(E403=0,0,(Upgrades!$G$6+E403*Upgrades!$H$6)*POWER(Upgrades!$I$6,E403)))*(IF(Upgrades!$T$7="Solar Wind",POWER(Upgrades!$U$7,F403),1)*IF(Upgrades!$T$8="Solar Wind",POWER(Upgrades!$U$8,G403),1)*IF(Upgrades!$T$9="Solar Wind",POWER(Upgrades!$U$9,H403),1)*IF(Upgrades!$T$10="Solar Wind",POWER(Upgrades!$U$10,I403),1)*IF(Upgrades!$T$11="Solar Wind",POWER(Upgrades!$U$11,J403),1)*IF(Upgrades!$T$12="Solar Wind",POWER(Upgrades!$U$12,K403),1))+(IF(F403=0,0,(Upgrades!$G$7+F403*Upgrades!$H$7)*POWER(Upgrades!$I$7,F403)))*(IF(Upgrades!$T$6="Asteroid Belt",POWER(Upgrades!$U$6,E403),1)*IF(Upgrades!$T$8="Asteroid Belt",POWER(Upgrades!$U$8,G403),1)*IF(Upgrades!$T$9="Asteroid Belt",POWER(Upgrades!$U$9,H403),1)*IF(Upgrades!$T$10="Asteroid Belt",POWER(Upgrades!$U$10,I403),1)*IF(Upgrades!$T$11="Asteroid Belt",POWER(Upgrades!$U$11,J403),1)*IF(Upgrades!$T$12="Asteroid Belt",POWER(Upgrades!$U$12,K403),1))+(IF(G403=0,0,(Upgrades!$G$8+G403*Upgrades!$H$8)*POWER(Upgrades!$I$8,G403)))*(IF(Upgrades!$T$6="Stellar Coupling",POWER(Upgrades!$U$6,E403),1)*IF(Upgrades!$T$7="Stellar Coupling",POWER(Upgrades!$U$7,F403),1)*IF(Upgrades!$T$9="Stellar Coupling",POWER(Upgrades!$U$9,H403),1)*IF(Upgrades!$T$10="Stellar Coupling",POWER(Upgrades!$U$10,I403),1)*IF(Upgrades!$T$11="Stellar Coupling",POWER(Upgrades!$U$11,J403),1)*IF(Upgrades!$T$12="Stellar Coupling",POWER(Upgrades!$U$12,K403),1))+(IF(H403=0,0,(Upgrades!$G$9+H403*Upgrades!$H$9)*POWER(Upgrades!$I$9,H403)))*(IF(Upgrades!$T$6="Magnetosphere",POWER(Upgrades!$U$6,E403),1)*IF(Upgrades!$T$7="Magnetosphere",POWER(Upgrades!$U$7,F403),1)*IF(Upgrades!$T$8="Magnetosphere",POWER(Upgrades!$U$8,G403),1)*IF(Upgrades!$T$10="Magnetosphere",POWER(Upgrades!$U$10,I403),1)*IF(Upgrades!$T$11="Magnetosphere",POWER(Upgrades!$U$11,J403),1)*IF(Upgrades!$T$12="Magnetosphere",POWER(Upgrades!$U$12,K403),1))+(IF(I403=0,0,(Upgrades!$G$10+I403*Upgrades!$H$10)*POWER(Upgrades!$I$10,I403)))*(IF(Upgrades!$T$6="Orbital Resonance",POWER(Upgrades!$U$6,E403),1)*IF(Upgrades!$T$7="Orbital Resonance",POWER(Upgrades!$U$7,F403),1)*IF(Upgrades!$T$8="Orbital Resonance",POWER(Upgrades!$U$8,G403),1)*IF(Upgrades!$T$9="Orbital Resonance",POWER(Upgrades!$U$9,H403),1)*IF(Upgrades!$T$11="Orbital Resonance",POWER(Upgrades!$U$11,J403),1)*IF(Upgrades!$T$12="Orbital Resonance",POWER(Upgrades!$U$12,K403),1))+(IF(J403=0,0,(Upgrades!$G$11+J403*Upgrades!$H$11)*POWER(Upgrades!$I$11,J403)))*(IF(Upgrades!$T$6="Heliopause",POWER(Upgrades!$U$6,E403),1)*IF(Upgrades!$T$7="Heliopause",POWER(Upgrades!$U$7,F403),1)*IF(Upgrades!$T$8="Heliopause",POWER(Upgrades!$U$8,G403),1)*IF(Upgrades!$T$9="Heliopause",POWER(Upgrades!$U$9,H403),1)*IF(Upgrades!$T$10="Heliopause",POWER(Upgrades!$U$10,I403),1)*IF(Upgrades!$T$12="Heliopause",POWER(Upgrades!$U$12,K403),1))+(IF(K403=0,0,(Upgrades!$G$12+K403*Upgrades!$H$12)*POWER(Upgrades!$I$12,K403)))*(IF(Upgrades!$T$6="First Photons",POWER(Upgrades!$U$6,E403),1)*IF(Upgrades!$T$7="First Photons",POWER(Upgrades!$U$7,F403),1)*IF(Upgrades!$T$8="First Photons",POWER(Upgrades!$U$8,G403),1)*IF(Upgrades!$T$9="First Photons",POWER(Upgrades!$U$9,H403),1)*IF(Upgrades!$T$10="First Photons",POWER(Upgrades!$U$10,I403),1)*IF(Upgrades!$T$11="First Photons",POWER(Upgrades!$U$11,J403),1)))*POWER(Upgrades!$P$6,E403)*POWER(Upgrades!$P$7,F403)*POWER(Upgrades!$P$8,G403)*POWER(Upgrades!$P$9,H403)*POWER(Upgrades!$P$10,I403)*POWER(Upgrades!$P$11,J403)*POWER(Upgrades!$P$12,K403)</f>
        <v>11.2</v>
      </c>
      <c r="O403" s="28" t="n">
        <f aca="false">((IF(E403=0,0,(Upgrades!$M$6+E403*Upgrades!$N$6)*POWER(Upgrades!$O$6,E403)))*(IF(Upgrades!$T$7="Solar Wind",POWER(Upgrades!$U$7,F403),1)*IF(Upgrades!$T$8="Solar Wind",POWER(Upgrades!$U$8,G403),1)*IF(Upgrades!$T$9="Solar Wind",POWER(Upgrades!$U$9,H403),1)*IF(Upgrades!$T$10="Solar Wind",POWER(Upgrades!$U$10,I403),1)*IF(Upgrades!$T$11="Solar Wind",POWER(Upgrades!$U$11,J403),1)*IF(Upgrades!$T$12="Solar Wind",POWER(Upgrades!$U$12,K403),1))+(IF(F403=0,0,(Upgrades!$M$7+F403*Upgrades!$N$7)*POWER(Upgrades!$O$7,F403)))*(IF(Upgrades!$T$6="Asteroid Belt",POWER(Upgrades!$U$6,E403),1)*IF(Upgrades!$T$8="Asteroid Belt",POWER(Upgrades!$U$8,G403),1)*IF(Upgrades!$T$9="Asteroid Belt",POWER(Upgrades!$U$9,H403),1)*IF(Upgrades!$T$10="Asteroid Belt",POWER(Upgrades!$U$10,I403),1)*IF(Upgrades!$T$11="Asteroid Belt",POWER(Upgrades!$U$11,J403),1)*IF(Upgrades!$T$12="Asteroid Belt",POWER(Upgrades!$U$12,K403),1))+(IF(G403=0,0,(Upgrades!$M$8+G403*Upgrades!$N$8)*POWER(Upgrades!$O$8,G403)))*(IF(Upgrades!$T$6="Stellar Coupling",POWER(Upgrades!$U$6,E403),1)*IF(Upgrades!$T$7="Stellar Coupling",POWER(Upgrades!$U$7,F403),1)*IF(Upgrades!$T$9="Stellar Coupling",POWER(Upgrades!$U$9,H403),1)*IF(Upgrades!$T$10="Stellar Coupling",POWER(Upgrades!$U$10,I403),1)*IF(Upgrades!$T$11="Stellar Coupling",POWER(Upgrades!$U$11,J403),1)*IF(Upgrades!$T$12="Stellar Coupling",POWER(Upgrades!$U$12,K403),1))+(IF(H403=0,0,(Upgrades!$M$9+H403*Upgrades!$N$9)*POWER(Upgrades!$O$9,H403)))*(IF(Upgrades!$T$6="Magnetosphere",POWER(Upgrades!$U$6,E403),1)*IF(Upgrades!$T$7="Magnetosphere",POWER(Upgrades!$U$7,F403),1)*IF(Upgrades!$T$8="Magnetosphere",POWER(Upgrades!$U$8,G403),1)*IF(Upgrades!$T$10="Magnetosphere",POWER(Upgrades!$U$10,I403),1)*IF(Upgrades!$T$11="Magnetosphere",POWER(Upgrades!$U$11,J403),1)*IF(Upgrades!$T$12="Magnetosphere",POWER(Upgrades!$U$12,K403),1))+(IF(I403=0,0,(Upgrades!$M$10+I403*Upgrades!$N$10)*POWER(Upgrades!$O$10,I403)))*(IF(Upgrades!$T$6="Orbital Resonance",POWER(Upgrades!$U$6,E403),1)*IF(Upgrades!$T$7="Orbital Resonance",POWER(Upgrades!$U$7,F403),1)*IF(Upgrades!$T$8="Orbital Resonance",POWER(Upgrades!$U$8,G403),1)*IF(Upgrades!$T$9="Orbital Resonance",POWER(Upgrades!$U$9,H403),1)*IF(Upgrades!$T$11="Orbital Resonance",POWER(Upgrades!$U$11,J403),1)*IF(Upgrades!$T$12="Orbital Resonance",POWER(Upgrades!$U$12,K403),1))+(IF(J403=0,0,(Upgrades!$M$11+J403*Upgrades!$N$11)*POWER(Upgrades!$O$11,J403)))*(IF(Upgrades!$T$6="Heliopause",POWER(Upgrades!$U$6,E403),1)*IF(Upgrades!$T$7="Heliopause",POWER(Upgrades!$U$7,F403),1)*IF(Upgrades!$T$8="Heliopause",POWER(Upgrades!$U$8,G403),1)*IF(Upgrades!$T$9="Heliopause",POWER(Upgrades!$U$9,H403),1)*IF(Upgrades!$T$10="Heliopause",POWER(Upgrades!$U$10,I403),1)*IF(Upgrades!$T$12="Heliopause",POWER(Upgrades!$U$12,K403),1))+(IF(K403=0,0,(Upgrades!$M$12+K403*Upgrades!$N$12)*POWER(Upgrades!$O$12,K403)))*(IF(Upgrades!$T$6="First Photons",POWER(Upgrades!$U$6,E403),1)*IF(Upgrades!$T$7="First Photons",POWER(Upgrades!$U$7,F403),1)*IF(Upgrades!$T$8="First Photons",POWER(Upgrades!$U$8,G403),1)*IF(Upgrades!$T$9="First Photons",POWER(Upgrades!$U$9,H403),1)*IF(Upgrades!$T$10="First Photons",POWER(Upgrades!$U$10,I403),1)*IF(Upgrades!$T$11="First Photons",POWER(Upgrades!$U$11,J403),1)))*POWER(Upgrades!$R$6,E403)*POWER(Upgrades!$R$7,F403)*POWER(Upgrades!$R$8,G403)*POWER(Upgrades!$R$9,H403)*POWER(Upgrades!$R$10,I403)*POWER(Upgrades!$R$11,J403)*POWER(Upgrades!$R$12,K403)</f>
        <v>0</v>
      </c>
      <c r="P403" s="27" t="n">
        <f aca="false">IF(L403=1,0,M403*Parameters!$B$10/60*Parameters!$B$11*10)</f>
        <v>0</v>
      </c>
      <c r="Q403" s="27" t="n">
        <f aca="false">IF(L403=1,0,O403*M403*10)</f>
        <v>0</v>
      </c>
      <c r="R403" s="27" t="n">
        <f aca="false">IF(L403=1,0,N403*10)</f>
        <v>0</v>
      </c>
      <c r="S403" s="27" t="n">
        <f aca="false">P403+Q403+R403</f>
        <v>0</v>
      </c>
      <c r="T403" s="21" t="n">
        <f aca="false">C403+S403</f>
        <v>18.6730249835055</v>
      </c>
      <c r="U403" s="34" t="str">
        <f aca="false">AX403</f>
        <v/>
      </c>
      <c r="V403" s="21" t="n">
        <f aca="false">IF(U403="",0,IF(U403="transition",0,IF(U403="SW",AG403,IF(U403="AB",AH403,IF(U403="SC",AI403,IF(U403="Mag",AJ403,IF(U403="OR",AK403,IF(U403="HP",AL403,IF(U403="FP",AM403,0)))))))))</f>
        <v>0</v>
      </c>
      <c r="W403" s="27" t="n">
        <f aca="false">IF(U403="OR",Upgrades!$F$10,IF(U403="HP",Upgrades!$F$11,IF(U403="transition",-Parameters!$B$18,0)))</f>
        <v>0</v>
      </c>
      <c r="X403" s="21" t="n">
        <f aca="false">T403-V403</f>
        <v>18.6730249835055</v>
      </c>
      <c r="Y403" s="30" t="n">
        <f aca="false">M403*Parameters!$B$10/60*Parameters!$B$11+O403*M403+N403</f>
        <v>20.55</v>
      </c>
      <c r="Z403" s="35" t="str">
        <f aca="false">IF(U403="transition","→ Tier 2 (Stellar Neighborhood)",IF(U403="FP","First Photons — light begins, system quickens",IF(U403="HP","Heliopause acquired",IF(U403="OR","Orbital Resonance — passive multiplier active",IF(AND(AO403=1,L403=0,AN403&lt;&gt;1),"Cohesion ready (waiting on completionist upgrades)","")))))</f>
        <v/>
      </c>
      <c r="AA403" s="27" t="n">
        <f aca="false">(IF(E403=0,0,(Upgrades!$G$6+E403*Upgrades!$H$6)*POWER(Upgrades!$I$6,E403)))*(IF(Upgrades!$T$7="Solar Wind",POWER(Upgrades!$U$7,F403),1)*IF(Upgrades!$T$8="Solar Wind",POWER(Upgrades!$U$8,G403),1)*IF(Upgrades!$T$9="Solar Wind",POWER(Upgrades!$U$9,H403),1)*IF(Upgrades!$T$10="Solar Wind",POWER(Upgrades!$U$10,I403),1)*IF(Upgrades!$T$11="Solar Wind",POWER(Upgrades!$U$11,J403),1)*IF(Upgrades!$T$12="Solar Wind",POWER(Upgrades!$U$12,K403),1))*POWER(Upgrades!$P$6,E403)*POWER(Upgrades!$P$7,F403)*POWER(Upgrades!$P$8,G403)*POWER(Upgrades!$P$9,H403)*POWER(Upgrades!$P$10,I403)*POWER(Upgrades!$P$11,J403)*POWER(Upgrades!$P$12,K403)*60</f>
        <v>72</v>
      </c>
      <c r="AB403" s="27" t="n">
        <f aca="false">(IF(F403=0,0,(Upgrades!$G$7+F403*Upgrades!$H$7)*POWER(Upgrades!$I$7,F403)))*(IF(Upgrades!$T$6="Asteroid Belt",POWER(Upgrades!$U$6,E403),1)*IF(Upgrades!$T$8="Asteroid Belt",POWER(Upgrades!$U$8,G403),1)*IF(Upgrades!$T$9="Asteroid Belt",POWER(Upgrades!$U$9,H403),1)*IF(Upgrades!$T$10="Asteroid Belt",POWER(Upgrades!$U$10,I403),1)*IF(Upgrades!$T$11="Asteroid Belt",POWER(Upgrades!$U$11,J403),1)*IF(Upgrades!$T$12="Asteroid Belt",POWER(Upgrades!$U$12,K403),1))*POWER(Upgrades!$P$6,E403)*POWER(Upgrades!$P$7,F403)*POWER(Upgrades!$P$8,G403)*POWER(Upgrades!$P$9,H403)*POWER(Upgrades!$P$10,I403)*POWER(Upgrades!$P$11,J403)*POWER(Upgrades!$P$12,K403)*60</f>
        <v>150</v>
      </c>
      <c r="AC403" s="27" t="n">
        <f aca="false">(IF(G403=0,0,(Upgrades!$J$8+G403*Upgrades!$K$8)*POWER(Upgrades!$L$8,G403)))*(IF(Upgrades!$T$6="Stellar Coupling",POWER(Upgrades!$U$6,E403),1)*IF(Upgrades!$T$7="Stellar Coupling",POWER(Upgrades!$U$7,F403),1)*IF(Upgrades!$T$9="Stellar Coupling",POWER(Upgrades!$U$9,H403),1)*IF(Upgrades!$T$10="Stellar Coupling",POWER(Upgrades!$U$10,I403),1)*IF(Upgrades!$T$11="Stellar Coupling",POWER(Upgrades!$U$11,J403),1)*IF(Upgrades!$T$12="Stellar Coupling",POWER(Upgrades!$U$12,K403),1))*POWER(Upgrades!$Q$6,E403)*POWER(Upgrades!$Q$7,F403)*POWER(Upgrades!$Q$8,G403)*POWER(Upgrades!$Q$9,H403)*POWER(Upgrades!$Q$10,I403)*POWER(Upgrades!$Q$11,J403)*POWER(Upgrades!$Q$12,K403)*Parameters!$B$10*Parameters!$B$11</f>
        <v>441</v>
      </c>
      <c r="AD403" s="27" t="n">
        <f aca="false">(IF(H403=0,0,(Upgrades!$G$9+H403*Upgrades!$H$9)*POWER(Upgrades!$I$9,H403)))*(IF(Upgrades!$T$6="Magnetosphere",POWER(Upgrades!$U$6,E403),1)*IF(Upgrades!$T$7="Magnetosphere",POWER(Upgrades!$U$7,F403),1)*IF(Upgrades!$T$8="Magnetosphere",POWER(Upgrades!$U$8,G403),1)*IF(Upgrades!$T$10="Magnetosphere",POWER(Upgrades!$U$10,I403),1)*IF(Upgrades!$T$11="Magnetosphere",POWER(Upgrades!$U$11,J403),1)*IF(Upgrades!$T$12="Magnetosphere",POWER(Upgrades!$U$12,K403),1))*POWER(Upgrades!$P$6,E403)*POWER(Upgrades!$P$7,F403)*POWER(Upgrades!$P$8,G403)*POWER(Upgrades!$P$9,H403)*POWER(Upgrades!$P$10,I403)*POWER(Upgrades!$P$11,J403)*POWER(Upgrades!$P$12,K403)*60</f>
        <v>375</v>
      </c>
      <c r="AE403" s="27" t="n">
        <f aca="false">(IF(K403=0,0,(Upgrades!$G$12+K403*Upgrades!$H$12)*POWER(Upgrades!$I$12,K403)))*(IF(Upgrades!$T$6="First Photons",POWER(Upgrades!$U$6,E403),1)*IF(Upgrades!$T$7="First Photons",POWER(Upgrades!$U$7,F403),1)*IF(Upgrades!$T$8="First Photons",POWER(Upgrades!$U$8,G403),1)*IF(Upgrades!$T$9="First Photons",POWER(Upgrades!$U$9,H403),1)*IF(Upgrades!$T$10="First Photons",POWER(Upgrades!$U$10,I403),1)*IF(Upgrades!$T$11="First Photons",POWER(Upgrades!$U$11,J403),1))*POWER(Upgrades!$P$6,E403)*POWER(Upgrades!$P$7,F403)*POWER(Upgrades!$P$8,G403)*POWER(Upgrades!$P$9,H403)*POWER(Upgrades!$P$10,I403)*POWER(Upgrades!$P$11,J403)*POWER(Upgrades!$P$12,K403)*60</f>
        <v>75</v>
      </c>
      <c r="AF403" s="27" t="n">
        <f aca="false">Parameters!$B$9*POWER(Upgrades!$Q$6,E403)*POWER(Upgrades!$Q$7,F403)*POWER(Upgrades!$Q$8,G403)*POWER(Upgrades!$Q$9,H403)*POWER(Upgrades!$Q$10,I403)*POWER(Upgrades!$Q$11,J403)*POWER(Upgrades!$Q$12,K403)*(Parameters!$B$10*Parameters!$B$11+O403*60)</f>
        <v>120</v>
      </c>
      <c r="AG403" s="21" t="n">
        <f aca="false">IF(E403&gt;=Upgrades!$E$6,"",Upgrades!$C$6*POWER(Upgrades!$D$6,E403))</f>
        <v>37.4517507383159</v>
      </c>
      <c r="AH403" s="21" t="n">
        <f aca="false">IF(F403&gt;=Upgrades!$E$7,"",Upgrades!$C$7*POWER(Upgrades!$D$7,F403))</f>
        <v>80.9111547141581</v>
      </c>
      <c r="AI403" s="21" t="n">
        <f aca="false">IF(G403&gt;=Upgrades!$E$8,"",Upgrades!$C$8*POWER(Upgrades!$D$8,G403))</f>
        <v>231.9097088</v>
      </c>
      <c r="AJ403" s="21" t="str">
        <f aca="false">IF(H403&gt;=Upgrades!$E$9,"",Upgrades!$C$9*POWER(Upgrades!$D$9,H403))</f>
        <v/>
      </c>
      <c r="AK403" s="21" t="str">
        <f aca="false">IF(I403&gt;=Upgrades!$E$10,"",Upgrades!$C$10*POWER(Upgrades!$D$10,I403))</f>
        <v/>
      </c>
      <c r="AL403" s="21" t="str">
        <f aca="false">IF(J403&gt;=Upgrades!$E$11,"",Upgrades!$C$11*POWER(Upgrades!$D$11,J403))</f>
        <v/>
      </c>
      <c r="AM403" s="21" t="str">
        <f aca="false">IF(K403&gt;=Upgrades!$E$12,"",Upgrades!$C$12*POWER(Upgrades!$D$12,K403))</f>
        <v/>
      </c>
      <c r="AN403" s="26" t="str">
        <f aca="false">IF(AND(D403&gt;=Parameters!$B$18,(H403&gt;=Upgrades!$E$9)*(K403&gt;=Upgrades!$E$12)=1,L403=0),1,"")</f>
        <v/>
      </c>
      <c r="AO403" s="26" t="str">
        <f aca="false">IF(AND(D403&gt;=Parameters!$B$18,L403=0),1,"")</f>
        <v/>
      </c>
      <c r="AP403" s="21" t="n">
        <f aca="false">MIN(IF(ISNUMBER(AK403),AK403,9000000000000000),IF(ISNUMBER(AL403),AL403,9000000000000000),IF(ISNUMBER(AM403),AM403,9000000000000000))</f>
        <v>9000000000000000</v>
      </c>
      <c r="AQ403" s="21" t="n">
        <f aca="false">MIN(IF(ISNUMBER(AG403),AG403,9000000000000000),IF(ISNUMBER(AH403),AH403,9000000000000000),IF(ISNUMBER(AI403),AI403,9000000000000000),IF(ISNUMBER(AJ403),AJ403,9000000000000000))</f>
        <v>37.4517507383159</v>
      </c>
      <c r="AR403" s="32" t="b">
        <f aca="false">IF(AW403&gt;Parameters!$B$21*(MAX(IF(AND(NOT(AND(AO403=1,AN403&lt;&gt;1)),ISNUMBER(AG403),AG403&lt;=T403),AS403,0),IF(AND(NOT(AND(AO403=1,AN403&lt;&gt;1)),ISNUMBER(AH403),AH403&lt;=T403),AT403,0),IF(AND(NOT(AND(AO403=1,AN403&lt;&gt;1)),ISNUMBER(AI403),AI403&lt;=T403),AU403,0),IF(AND(ISNUMBER(AJ403),AJ403&lt;=T403),AV403,0))),TRUE(),FALSE())</f>
        <v>1</v>
      </c>
      <c r="AS403" s="33" t="n">
        <f aca="false">IFERROR(Upgrades!$H$6*(POWER(Upgrades!$P$6,E403)*POWER(Upgrades!$P$7,F403)*POWER(Upgrades!$P$8,G403)*POWER(Upgrades!$P$9,H403)*POWER(Upgrades!$P$10,I403)*POWER(Upgrades!$P$11,J403)*POWER(Upgrades!$P$12,K403))*(IF(Upgrades!$T$7="Solar Wind",POWER(Upgrades!$U$7,F403),1)*IF(Upgrades!$T$8="Solar Wind",POWER(Upgrades!$U$8,G403),1)*IF(Upgrades!$T$9="Solar Wind",POWER(Upgrades!$U$9,H403),1)*IF(Upgrades!$T$10="Solar Wind",POWER(Upgrades!$U$10,I403),1)*IF(Upgrades!$T$11="Solar Wind",POWER(Upgrades!$U$11,J403),1)*IF(Upgrades!$T$12="Solar Wind",POWER(Upgrades!$U$12,K403),1))/AG403,0)</f>
        <v>0.0026701021455238</v>
      </c>
      <c r="AT403" s="33" t="n">
        <f aca="false">IFERROR(Upgrades!$H$7*(POWER(Upgrades!$P$6,E403)*POWER(Upgrades!$P$7,F403)*POWER(Upgrades!$P$8,G403)*POWER(Upgrades!$P$9,H403)*POWER(Upgrades!$P$10,I403)*POWER(Upgrades!$P$11,J403)*POWER(Upgrades!$P$12,K403))*(IF(Upgrades!$T$6="Asteroid Belt",POWER(Upgrades!$U$6,E403),1)*IF(Upgrades!$T$8="Asteroid Belt",POWER(Upgrades!$U$8,G403),1)*IF(Upgrades!$T$9="Asteroid Belt",POWER(Upgrades!$U$9,H403),1)*IF(Upgrades!$T$10="Asteroid Belt",POWER(Upgrades!$U$10,I403),1)*IF(Upgrades!$T$11="Asteroid Belt",POWER(Upgrades!$U$11,J403),1)*IF(Upgrades!$T$12="Asteroid Belt",POWER(Upgrades!$U$12,K403),1))/AH403,0)</f>
        <v>0.00308980882652332</v>
      </c>
      <c r="AU403" s="33" t="n">
        <f aca="false">IFERROR(Upgrades!$K$8*(POWER(Upgrades!$Q$6,E403)*POWER(Upgrades!$Q$7,F403)*POWER(Upgrades!$Q$8,G403)*POWER(Upgrades!$Q$9,H403)*POWER(Upgrades!$Q$10,I403)*POWER(Upgrades!$Q$11,J403)*POWER(Upgrades!$Q$12,K403))*(IF(Upgrades!$T$6="Stellar Coupling",POWER(Upgrades!$U$6,E403),1)*IF(Upgrades!$T$7="Stellar Coupling",POWER(Upgrades!$U$7,F403),1)*IF(Upgrades!$T$9="Stellar Coupling",POWER(Upgrades!$U$9,H403),1)*IF(Upgrades!$T$10="Stellar Coupling",POWER(Upgrades!$U$10,I403),1)*IF(Upgrades!$T$11="Stellar Coupling",POWER(Upgrades!$U$11,J403),1)*IF(Upgrades!$T$12="Stellar Coupling",POWER(Upgrades!$U$12,K403),1))*Parameters!$B$10*Parameters!$B$11/60/AI403,0)</f>
        <v>0.00452762415783776</v>
      </c>
      <c r="AV403" s="33" t="n">
        <f aca="false">IFERROR(Upgrades!$H$9*(POWER(Upgrades!$P$6,E403)*POWER(Upgrades!$P$7,F403)*POWER(Upgrades!$P$8,G403)*POWER(Upgrades!$P$9,H403)*POWER(Upgrades!$P$10,I403)*POWER(Upgrades!$P$11,J403)*POWER(Upgrades!$P$12,K403))*(IF(Upgrades!$T$6="Magnetosphere",POWER(Upgrades!$U$6,E403),1)*IF(Upgrades!$T$7="Magnetosphere",POWER(Upgrades!$U$7,F403),1)*IF(Upgrades!$T$8="Magnetosphere",POWER(Upgrades!$U$8,G403),1)*IF(Upgrades!$T$10="Magnetosphere",POWER(Upgrades!$U$10,I403),1)*IF(Upgrades!$T$11="Magnetosphere",POWER(Upgrades!$U$11,J403),1)*IF(Upgrades!$T$12="Magnetosphere",POWER(Upgrades!$U$12,K403),1))/AJ403,0)</f>
        <v>0</v>
      </c>
      <c r="AW403" s="33" t="n">
        <f aca="false">MAX(IF(I403&gt;0,0,IFERROR(0.25*N403/Upgrades!$C$10,0)),IF(J403&gt;0,0,IFERROR(0.5*((IF(G403=0,0,(Upgrades!$J$8+G403*Upgrades!$K$8)*POWER(Upgrades!$L$8,G403)))*(IF(Upgrades!$T$6="Stellar Coupling",POWER(Upgrades!$U$6,E403),1)*IF(Upgrades!$T$7="Stellar Coupling",POWER(Upgrades!$U$7,F403),1)*IF(Upgrades!$T$9="Stellar Coupling",POWER(Upgrades!$U$9,H403),1)*IF(Upgrades!$T$10="Stellar Coupling",POWER(Upgrades!$U$10,I403),1)*IF(Upgrades!$T$11="Stellar Coupling",POWER(Upgrades!$U$11,J403),1)*IF(Upgrades!$T$12="Stellar Coupling",POWER(Upgrades!$U$12,K403),1))*(POWER(Upgrades!$Q$6,E403)*POWER(Upgrades!$Q$7,F403)*POWER(Upgrades!$Q$8,G403)*POWER(Upgrades!$Q$9,H403)*POWER(Upgrades!$Q$10,I403)*POWER(Upgrades!$Q$11,J403)*POWER(Upgrades!$Q$12,K403))*Parameters!$B$10*Parameters!$B$11/60)/Upgrades!$C$11,0)),IF(K403&gt;0,0,IFERROR((1*(POWER(Upgrades!$P$6,E403)*POWER(Upgrades!$P$7,F403)*POWER(Upgrades!$P$8,G403)*POWER(Upgrades!$P$9,H403)*POWER(Upgrades!$P$10,I403)*POWER(Upgrades!$P$11,J403)*POWER(Upgrades!$P$12,K403))+0.2*M403*Parameters!$B$10*Parameters!$B$11/60)/Upgrades!$C$12,0)),IF(AND(ISNUMBER(AG403),AG403&gt;T403),AS403,0),IF(AND(ISNUMBER(AH403),AH403&gt;T403),AT403,0),IF(AND(ISNUMBER(AI403),AI403&gt;T403),AU403,0),IF(AND(ISNUMBER(AJ403),AJ403&gt;T403),AV403,0))</f>
        <v>0.00452762415783776</v>
      </c>
      <c r="AX403" s="29" t="str">
        <f aca="false">IF(AN403=1,"transition",IF(MIN(IF(AND(I403=0,ISNUMBER(AK403),AK403&lt;=T403),AK403,9000000000000000),IF(AND(J403=0,ISNUMBER(AL403),AL403&lt;=T403),AL403,9000000000000000),IF(AND(K403=0,ISNUMBER(AM403),AM403&lt;=T403),AM403,9000000000000000))&lt;9000000000000000,IF(AND(AND(I403=0,ISNUMBER(AK403),AK403&lt;=T403),AK403=MIN(IF(AND(I403=0,ISNUMBER(AK403),AK403&lt;=T403),AK403,9000000000000000),IF(AND(J403=0,ISNUMBER(AL403),AL403&lt;=T403),AL403,9000000000000000),IF(AND(K403=0,ISNUMBER(AM403),AM403&lt;=T403),AM403,9000000000000000))),"OR",IF(AND(AND(J403=0,ISNUMBER(AL403),AL403&lt;=T403),AL403=MIN(IF(AND(I403=0,ISNUMBER(AK403),AK403&lt;=T403),AK403,9000000000000000),IF(AND(J403=0,ISNUMBER(AL403),AL403&lt;=T403),AL403,9000000000000000),IF(AND(K403=0,ISNUMBER(AM403),AM403&lt;=T403),AM403,9000000000000000))),"HP","FP")),IF(AR403=TRUE(),"",IF(MAX(IF(AND(NOT(AND(AO403=1,AN403&lt;&gt;1)),ISNUMBER(AG403),AG403&lt;=T403),AS403,0),IF(AND(NOT(AND(AO403=1,AN403&lt;&gt;1)),ISNUMBER(AH403),AH403&lt;=T403),AT403,0),IF(AND(NOT(AND(AO403=1,AN403&lt;&gt;1)),ISNUMBER(AI403),AI403&lt;=T403),AU403,0),IF(AND(ISNUMBER(AJ403),AJ403&lt;=T403),AV403,0))&lt;=0,"",IF(AND(IF(AND(NOT(AND(AO403=1,AN403&lt;&gt;1)),ISNUMBER(AG403),AG403&lt;=T403),AS403,0)&gt;0,IF(AND(NOT(AND(AO403=1,AN403&lt;&gt;1)),ISNUMBER(AG403),AG403&lt;=T403),AS403,0)=MAX(IF(AND(NOT(AND(AO403=1,AN403&lt;&gt;1)),ISNUMBER(AG403),AG403&lt;=T403),AS403,0),IF(AND(NOT(AND(AO403=1,AN403&lt;&gt;1)),ISNUMBER(AH403),AH403&lt;=T403),AT403,0),IF(AND(NOT(AND(AO403=1,AN403&lt;&gt;1)),ISNUMBER(AI403),AI403&lt;=T403),AU403,0),IF(AND(ISNUMBER(AJ403),AJ403&lt;=T403),AV403,0))),"SW",IF(AND(IF(AND(NOT(AND(AO403=1,AN403&lt;&gt;1)),ISNUMBER(AH403),AH403&lt;=T403),AT403,0)&gt;0,IF(AND(NOT(AND(AO403=1,AN403&lt;&gt;1)),ISNUMBER(AH403),AH403&lt;=T403),AT403,0)=MAX(IF(AND(NOT(AND(AO403=1,AN403&lt;&gt;1)),ISNUMBER(AG403),AG403&lt;=T403),AS403,0),IF(AND(NOT(AND(AO403=1,AN403&lt;&gt;1)),ISNUMBER(AH403),AH403&lt;=T403),AT403,0),IF(AND(NOT(AND(AO403=1,AN403&lt;&gt;1)),ISNUMBER(AI403),AI403&lt;=T403),AU403,0),IF(AND(ISNUMBER(AJ403),AJ403&lt;=T403),AV403,0))),"AB",IF(AND(IF(AND(NOT(AND(AO403=1,AN403&lt;&gt;1)),ISNUMBER(AI403),AI403&lt;=T403),AU403,0)&gt;0,IF(AND(NOT(AND(AO403=1,AN403&lt;&gt;1)),ISNUMBER(AI403),AI403&lt;=T403),AU403,0)=MAX(IF(AND(NOT(AND(AO403=1,AN403&lt;&gt;1)),ISNUMBER(AG403),AG403&lt;=T403),AS403,0),IF(AND(NOT(AND(AO403=1,AN403&lt;&gt;1)),ISNUMBER(AH403),AH403&lt;=T403),AT403,0),IF(AND(NOT(AND(AO403=1,AN403&lt;&gt;1)),ISNUMBER(AI403),AI403&lt;=T403),AU403,0),IF(AND(ISNUMBER(AJ403),AJ403&lt;=T403),AV403,0))),"SC","Mag")))))))</f>
        <v/>
      </c>
    </row>
    <row r="404" customFormat="false" ht="15" hidden="false" customHeight="false" outlineLevel="0" collapsed="false">
      <c r="A404" s="26" t="n">
        <v>399</v>
      </c>
      <c r="B404" s="27" t="n">
        <f aca="false">A404*10/60</f>
        <v>66.5</v>
      </c>
      <c r="C404" s="21" t="n">
        <f aca="false">X403</f>
        <v>18.6730249835055</v>
      </c>
      <c r="D404" s="27" t="n">
        <f aca="false">D403+W403</f>
        <v>0</v>
      </c>
      <c r="E404" s="26" t="n">
        <f aca="false">E403+IF(U403="SW",1,0)</f>
        <v>12</v>
      </c>
      <c r="F404" s="26" t="n">
        <f aca="false">F403+IF(U403="AB",1,0)</f>
        <v>10</v>
      </c>
      <c r="G404" s="26" t="n">
        <f aca="false">G403+IF(U403="SC",1,0)</f>
        <v>7</v>
      </c>
      <c r="H404" s="26" t="n">
        <f aca="false">H403+IF(U403="Mag",1,0)</f>
        <v>5</v>
      </c>
      <c r="I404" s="26" t="n">
        <f aca="false">MAX(I403,IF(U403="OR",1,0))</f>
        <v>1</v>
      </c>
      <c r="J404" s="26" t="n">
        <f aca="false">MAX(J403,IF(U403="HP",1,0))</f>
        <v>1</v>
      </c>
      <c r="K404" s="26" t="n">
        <f aca="false">MAX(K403,IF(U403="FP",1,0))</f>
        <v>1</v>
      </c>
      <c r="L404" s="26" t="n">
        <f aca="false">MAX(L403,IF(U403="transition",1,0))</f>
        <v>1</v>
      </c>
      <c r="M404" s="28" t="n">
        <f aca="false">(Parameters!$B$9+(IF(E404=0,0,(Upgrades!$J$6+E404*Upgrades!$K$6)*POWER(Upgrades!$L$6,E404)))*(IF(Upgrades!$T$7="Solar Wind",POWER(Upgrades!$U$7,F404),1)*IF(Upgrades!$T$8="Solar Wind",POWER(Upgrades!$U$8,G404),1)*IF(Upgrades!$T$9="Solar Wind",POWER(Upgrades!$U$9,H404),1)*IF(Upgrades!$T$10="Solar Wind",POWER(Upgrades!$U$10,I404),1)*IF(Upgrades!$T$11="Solar Wind",POWER(Upgrades!$U$11,J404),1)*IF(Upgrades!$T$12="Solar Wind",POWER(Upgrades!$U$12,K404),1))+(IF(F404=0,0,(Upgrades!$J$7+F404*Upgrades!$K$7)*POWER(Upgrades!$L$7,F404)))*(IF(Upgrades!$T$6="Asteroid Belt",POWER(Upgrades!$U$6,E404),1)*IF(Upgrades!$T$8="Asteroid Belt",POWER(Upgrades!$U$8,G404),1)*IF(Upgrades!$T$9="Asteroid Belt",POWER(Upgrades!$U$9,H404),1)*IF(Upgrades!$T$10="Asteroid Belt",POWER(Upgrades!$U$10,I404),1)*IF(Upgrades!$T$11="Asteroid Belt",POWER(Upgrades!$U$11,J404),1)*IF(Upgrades!$T$12="Asteroid Belt",POWER(Upgrades!$U$12,K404),1))+(IF(G404=0,0,(Upgrades!$J$8+G404*Upgrades!$K$8)*POWER(Upgrades!$L$8,G404)))*(IF(Upgrades!$T$6="Stellar Coupling",POWER(Upgrades!$U$6,E404),1)*IF(Upgrades!$T$7="Stellar Coupling",POWER(Upgrades!$U$7,F404),1)*IF(Upgrades!$T$9="Stellar Coupling",POWER(Upgrades!$U$9,H404),1)*IF(Upgrades!$T$10="Stellar Coupling",POWER(Upgrades!$U$10,I404),1)*IF(Upgrades!$T$11="Stellar Coupling",POWER(Upgrades!$U$11,J404),1)*IF(Upgrades!$T$12="Stellar Coupling",POWER(Upgrades!$U$12,K404),1))+(IF(H404=0,0,(Upgrades!$J$9+H404*Upgrades!$K$9)*POWER(Upgrades!$L$9,H404)))*(IF(Upgrades!$T$6="Magnetosphere",POWER(Upgrades!$U$6,E404),1)*IF(Upgrades!$T$7="Magnetosphere",POWER(Upgrades!$U$7,F404),1)*IF(Upgrades!$T$8="Magnetosphere",POWER(Upgrades!$U$8,G404),1)*IF(Upgrades!$T$10="Magnetosphere",POWER(Upgrades!$U$10,I404),1)*IF(Upgrades!$T$11="Magnetosphere",POWER(Upgrades!$U$11,J404),1)*IF(Upgrades!$T$12="Magnetosphere",POWER(Upgrades!$U$12,K404),1))+(IF(I404=0,0,(Upgrades!$J$10+I404*Upgrades!$K$10)*POWER(Upgrades!$L$10,I404)))*(IF(Upgrades!$T$6="Orbital Resonance",POWER(Upgrades!$U$6,E404),1)*IF(Upgrades!$T$7="Orbital Resonance",POWER(Upgrades!$U$7,F404),1)*IF(Upgrades!$T$8="Orbital Resonance",POWER(Upgrades!$U$8,G404),1)*IF(Upgrades!$T$9="Orbital Resonance",POWER(Upgrades!$U$9,H404),1)*IF(Upgrades!$T$11="Orbital Resonance",POWER(Upgrades!$U$11,J404),1)*IF(Upgrades!$T$12="Orbital Resonance",POWER(Upgrades!$U$12,K404),1))+(IF(J404=0,0,(Upgrades!$J$11+J404*Upgrades!$K$11)*POWER(Upgrades!$L$11,J404)))*(IF(Upgrades!$T$6="Heliopause",POWER(Upgrades!$U$6,E404),1)*IF(Upgrades!$T$7="Heliopause",POWER(Upgrades!$U$7,F404),1)*IF(Upgrades!$T$8="Heliopause",POWER(Upgrades!$U$8,G404),1)*IF(Upgrades!$T$9="Heliopause",POWER(Upgrades!$U$9,H404),1)*IF(Upgrades!$T$10="Heliopause",POWER(Upgrades!$U$10,I404),1)*IF(Upgrades!$T$12="Heliopause",POWER(Upgrades!$U$12,K404),1))+(IF(K404=0,0,(Upgrades!$J$12+K404*Upgrades!$K$12)*POWER(Upgrades!$L$12,K404)))*(IF(Upgrades!$T$6="First Photons",POWER(Upgrades!$U$6,E404),1)*IF(Upgrades!$T$7="First Photons",POWER(Upgrades!$U$7,F404),1)*IF(Upgrades!$T$8="First Photons",POWER(Upgrades!$U$8,G404),1)*IF(Upgrades!$T$9="First Photons",POWER(Upgrades!$U$9,H404),1)*IF(Upgrades!$T$10="First Photons",POWER(Upgrades!$U$10,I404),1)*IF(Upgrades!$T$11="First Photons",POWER(Upgrades!$U$11,J404),1)))*POWER(Upgrades!$Q$6,E404)*POWER(Upgrades!$Q$7,F404)*POWER(Upgrades!$Q$8,G404)*POWER(Upgrades!$Q$9,H404)*POWER(Upgrades!$Q$10,I404)*POWER(Upgrades!$Q$11,J404)*POWER(Upgrades!$Q$12,K404)</f>
        <v>5.61</v>
      </c>
      <c r="N404" s="28" t="n">
        <f aca="false">((IF(E404=0,0,(Upgrades!$G$6+E404*Upgrades!$H$6)*POWER(Upgrades!$I$6,E404)))*(IF(Upgrades!$T$7="Solar Wind",POWER(Upgrades!$U$7,F404),1)*IF(Upgrades!$T$8="Solar Wind",POWER(Upgrades!$U$8,G404),1)*IF(Upgrades!$T$9="Solar Wind",POWER(Upgrades!$U$9,H404),1)*IF(Upgrades!$T$10="Solar Wind",POWER(Upgrades!$U$10,I404),1)*IF(Upgrades!$T$11="Solar Wind",POWER(Upgrades!$U$11,J404),1)*IF(Upgrades!$T$12="Solar Wind",POWER(Upgrades!$U$12,K404),1))+(IF(F404=0,0,(Upgrades!$G$7+F404*Upgrades!$H$7)*POWER(Upgrades!$I$7,F404)))*(IF(Upgrades!$T$6="Asteroid Belt",POWER(Upgrades!$U$6,E404),1)*IF(Upgrades!$T$8="Asteroid Belt",POWER(Upgrades!$U$8,G404),1)*IF(Upgrades!$T$9="Asteroid Belt",POWER(Upgrades!$U$9,H404),1)*IF(Upgrades!$T$10="Asteroid Belt",POWER(Upgrades!$U$10,I404),1)*IF(Upgrades!$T$11="Asteroid Belt",POWER(Upgrades!$U$11,J404),1)*IF(Upgrades!$T$12="Asteroid Belt",POWER(Upgrades!$U$12,K404),1))+(IF(G404=0,0,(Upgrades!$G$8+G404*Upgrades!$H$8)*POWER(Upgrades!$I$8,G404)))*(IF(Upgrades!$T$6="Stellar Coupling",POWER(Upgrades!$U$6,E404),1)*IF(Upgrades!$T$7="Stellar Coupling",POWER(Upgrades!$U$7,F404),1)*IF(Upgrades!$T$9="Stellar Coupling",POWER(Upgrades!$U$9,H404),1)*IF(Upgrades!$T$10="Stellar Coupling",POWER(Upgrades!$U$10,I404),1)*IF(Upgrades!$T$11="Stellar Coupling",POWER(Upgrades!$U$11,J404),1)*IF(Upgrades!$T$12="Stellar Coupling",POWER(Upgrades!$U$12,K404),1))+(IF(H404=0,0,(Upgrades!$G$9+H404*Upgrades!$H$9)*POWER(Upgrades!$I$9,H404)))*(IF(Upgrades!$T$6="Magnetosphere",POWER(Upgrades!$U$6,E404),1)*IF(Upgrades!$T$7="Magnetosphere",POWER(Upgrades!$U$7,F404),1)*IF(Upgrades!$T$8="Magnetosphere",POWER(Upgrades!$U$8,G404),1)*IF(Upgrades!$T$10="Magnetosphere",POWER(Upgrades!$U$10,I404),1)*IF(Upgrades!$T$11="Magnetosphere",POWER(Upgrades!$U$11,J404),1)*IF(Upgrades!$T$12="Magnetosphere",POWER(Upgrades!$U$12,K404),1))+(IF(I404=0,0,(Upgrades!$G$10+I404*Upgrades!$H$10)*POWER(Upgrades!$I$10,I404)))*(IF(Upgrades!$T$6="Orbital Resonance",POWER(Upgrades!$U$6,E404),1)*IF(Upgrades!$T$7="Orbital Resonance",POWER(Upgrades!$U$7,F404),1)*IF(Upgrades!$T$8="Orbital Resonance",POWER(Upgrades!$U$8,G404),1)*IF(Upgrades!$T$9="Orbital Resonance",POWER(Upgrades!$U$9,H404),1)*IF(Upgrades!$T$11="Orbital Resonance",POWER(Upgrades!$U$11,J404),1)*IF(Upgrades!$T$12="Orbital Resonance",POWER(Upgrades!$U$12,K404),1))+(IF(J404=0,0,(Upgrades!$G$11+J404*Upgrades!$H$11)*POWER(Upgrades!$I$11,J404)))*(IF(Upgrades!$T$6="Heliopause",POWER(Upgrades!$U$6,E404),1)*IF(Upgrades!$T$7="Heliopause",POWER(Upgrades!$U$7,F404),1)*IF(Upgrades!$T$8="Heliopause",POWER(Upgrades!$U$8,G404),1)*IF(Upgrades!$T$9="Heliopause",POWER(Upgrades!$U$9,H404),1)*IF(Upgrades!$T$10="Heliopause",POWER(Upgrades!$U$10,I404),1)*IF(Upgrades!$T$12="Heliopause",POWER(Upgrades!$U$12,K404),1))+(IF(K404=0,0,(Upgrades!$G$12+K404*Upgrades!$H$12)*POWER(Upgrades!$I$12,K404)))*(IF(Upgrades!$T$6="First Photons",POWER(Upgrades!$U$6,E404),1)*IF(Upgrades!$T$7="First Photons",POWER(Upgrades!$U$7,F404),1)*IF(Upgrades!$T$8="First Photons",POWER(Upgrades!$U$8,G404),1)*IF(Upgrades!$T$9="First Photons",POWER(Upgrades!$U$9,H404),1)*IF(Upgrades!$T$10="First Photons",POWER(Upgrades!$U$10,I404),1)*IF(Upgrades!$T$11="First Photons",POWER(Upgrades!$U$11,J404),1)))*POWER(Upgrades!$P$6,E404)*POWER(Upgrades!$P$7,F404)*POWER(Upgrades!$P$8,G404)*POWER(Upgrades!$P$9,H404)*POWER(Upgrades!$P$10,I404)*POWER(Upgrades!$P$11,J404)*POWER(Upgrades!$P$12,K404)</f>
        <v>11.2</v>
      </c>
      <c r="O404" s="28" t="n">
        <f aca="false">((IF(E404=0,0,(Upgrades!$M$6+E404*Upgrades!$N$6)*POWER(Upgrades!$O$6,E404)))*(IF(Upgrades!$T$7="Solar Wind",POWER(Upgrades!$U$7,F404),1)*IF(Upgrades!$T$8="Solar Wind",POWER(Upgrades!$U$8,G404),1)*IF(Upgrades!$T$9="Solar Wind",POWER(Upgrades!$U$9,H404),1)*IF(Upgrades!$T$10="Solar Wind",POWER(Upgrades!$U$10,I404),1)*IF(Upgrades!$T$11="Solar Wind",POWER(Upgrades!$U$11,J404),1)*IF(Upgrades!$T$12="Solar Wind",POWER(Upgrades!$U$12,K404),1))+(IF(F404=0,0,(Upgrades!$M$7+F404*Upgrades!$N$7)*POWER(Upgrades!$O$7,F404)))*(IF(Upgrades!$T$6="Asteroid Belt",POWER(Upgrades!$U$6,E404),1)*IF(Upgrades!$T$8="Asteroid Belt",POWER(Upgrades!$U$8,G404),1)*IF(Upgrades!$T$9="Asteroid Belt",POWER(Upgrades!$U$9,H404),1)*IF(Upgrades!$T$10="Asteroid Belt",POWER(Upgrades!$U$10,I404),1)*IF(Upgrades!$T$11="Asteroid Belt",POWER(Upgrades!$U$11,J404),1)*IF(Upgrades!$T$12="Asteroid Belt",POWER(Upgrades!$U$12,K404),1))+(IF(G404=0,0,(Upgrades!$M$8+G404*Upgrades!$N$8)*POWER(Upgrades!$O$8,G404)))*(IF(Upgrades!$T$6="Stellar Coupling",POWER(Upgrades!$U$6,E404),1)*IF(Upgrades!$T$7="Stellar Coupling",POWER(Upgrades!$U$7,F404),1)*IF(Upgrades!$T$9="Stellar Coupling",POWER(Upgrades!$U$9,H404),1)*IF(Upgrades!$T$10="Stellar Coupling",POWER(Upgrades!$U$10,I404),1)*IF(Upgrades!$T$11="Stellar Coupling",POWER(Upgrades!$U$11,J404),1)*IF(Upgrades!$T$12="Stellar Coupling",POWER(Upgrades!$U$12,K404),1))+(IF(H404=0,0,(Upgrades!$M$9+H404*Upgrades!$N$9)*POWER(Upgrades!$O$9,H404)))*(IF(Upgrades!$T$6="Magnetosphere",POWER(Upgrades!$U$6,E404),1)*IF(Upgrades!$T$7="Magnetosphere",POWER(Upgrades!$U$7,F404),1)*IF(Upgrades!$T$8="Magnetosphere",POWER(Upgrades!$U$8,G404),1)*IF(Upgrades!$T$10="Magnetosphere",POWER(Upgrades!$U$10,I404),1)*IF(Upgrades!$T$11="Magnetosphere",POWER(Upgrades!$U$11,J404),1)*IF(Upgrades!$T$12="Magnetosphere",POWER(Upgrades!$U$12,K404),1))+(IF(I404=0,0,(Upgrades!$M$10+I404*Upgrades!$N$10)*POWER(Upgrades!$O$10,I404)))*(IF(Upgrades!$T$6="Orbital Resonance",POWER(Upgrades!$U$6,E404),1)*IF(Upgrades!$T$7="Orbital Resonance",POWER(Upgrades!$U$7,F404),1)*IF(Upgrades!$T$8="Orbital Resonance",POWER(Upgrades!$U$8,G404),1)*IF(Upgrades!$T$9="Orbital Resonance",POWER(Upgrades!$U$9,H404),1)*IF(Upgrades!$T$11="Orbital Resonance",POWER(Upgrades!$U$11,J404),1)*IF(Upgrades!$T$12="Orbital Resonance",POWER(Upgrades!$U$12,K404),1))+(IF(J404=0,0,(Upgrades!$M$11+J404*Upgrades!$N$11)*POWER(Upgrades!$O$11,J404)))*(IF(Upgrades!$T$6="Heliopause",POWER(Upgrades!$U$6,E404),1)*IF(Upgrades!$T$7="Heliopause",POWER(Upgrades!$U$7,F404),1)*IF(Upgrades!$T$8="Heliopause",POWER(Upgrades!$U$8,G404),1)*IF(Upgrades!$T$9="Heliopause",POWER(Upgrades!$U$9,H404),1)*IF(Upgrades!$T$10="Heliopause",POWER(Upgrades!$U$10,I404),1)*IF(Upgrades!$T$12="Heliopause",POWER(Upgrades!$U$12,K404),1))+(IF(K404=0,0,(Upgrades!$M$12+K404*Upgrades!$N$12)*POWER(Upgrades!$O$12,K404)))*(IF(Upgrades!$T$6="First Photons",POWER(Upgrades!$U$6,E404),1)*IF(Upgrades!$T$7="First Photons",POWER(Upgrades!$U$7,F404),1)*IF(Upgrades!$T$8="First Photons",POWER(Upgrades!$U$8,G404),1)*IF(Upgrades!$T$9="First Photons",POWER(Upgrades!$U$9,H404),1)*IF(Upgrades!$T$10="First Photons",POWER(Upgrades!$U$10,I404),1)*IF(Upgrades!$T$11="First Photons",POWER(Upgrades!$U$11,J404),1)))*POWER(Upgrades!$R$6,E404)*POWER(Upgrades!$R$7,F404)*POWER(Upgrades!$R$8,G404)*POWER(Upgrades!$R$9,H404)*POWER(Upgrades!$R$10,I404)*POWER(Upgrades!$R$11,J404)*POWER(Upgrades!$R$12,K404)</f>
        <v>0</v>
      </c>
      <c r="P404" s="27" t="n">
        <f aca="false">IF(L404=1,0,M404*Parameters!$B$10/60*Parameters!$B$11*10)</f>
        <v>0</v>
      </c>
      <c r="Q404" s="27" t="n">
        <f aca="false">IF(L404=1,0,O404*M404*10)</f>
        <v>0</v>
      </c>
      <c r="R404" s="27" t="n">
        <f aca="false">IF(L404=1,0,N404*10)</f>
        <v>0</v>
      </c>
      <c r="S404" s="27" t="n">
        <f aca="false">P404+Q404+R404</f>
        <v>0</v>
      </c>
      <c r="T404" s="21" t="n">
        <f aca="false">C404+S404</f>
        <v>18.6730249835055</v>
      </c>
      <c r="U404" s="34" t="str">
        <f aca="false">AX404</f>
        <v/>
      </c>
      <c r="V404" s="21" t="n">
        <f aca="false">IF(U404="",0,IF(U404="transition",0,IF(U404="SW",AG404,IF(U404="AB",AH404,IF(U404="SC",AI404,IF(U404="Mag",AJ404,IF(U404="OR",AK404,IF(U404="HP",AL404,IF(U404="FP",AM404,0)))))))))</f>
        <v>0</v>
      </c>
      <c r="W404" s="27" t="n">
        <f aca="false">IF(U404="OR",Upgrades!$F$10,IF(U404="HP",Upgrades!$F$11,IF(U404="transition",-Parameters!$B$18,0)))</f>
        <v>0</v>
      </c>
      <c r="X404" s="21" t="n">
        <f aca="false">T404-V404</f>
        <v>18.6730249835055</v>
      </c>
      <c r="Y404" s="30" t="n">
        <f aca="false">M404*Parameters!$B$10/60*Parameters!$B$11+O404*M404+N404</f>
        <v>20.55</v>
      </c>
      <c r="Z404" s="35" t="str">
        <f aca="false">IF(U404="transition","→ Tier 2 (Stellar Neighborhood)",IF(U404="FP","First Photons — light begins, system quickens",IF(U404="HP","Heliopause acquired",IF(U404="OR","Orbital Resonance — passive multiplier active",IF(AND(AO404=1,L404=0,AN404&lt;&gt;1),"Cohesion ready (waiting on completionist upgrades)","")))))</f>
        <v/>
      </c>
      <c r="AA404" s="27" t="n">
        <f aca="false">(IF(E404=0,0,(Upgrades!$G$6+E404*Upgrades!$H$6)*POWER(Upgrades!$I$6,E404)))*(IF(Upgrades!$T$7="Solar Wind",POWER(Upgrades!$U$7,F404),1)*IF(Upgrades!$T$8="Solar Wind",POWER(Upgrades!$U$8,G404),1)*IF(Upgrades!$T$9="Solar Wind",POWER(Upgrades!$U$9,H404),1)*IF(Upgrades!$T$10="Solar Wind",POWER(Upgrades!$U$10,I404),1)*IF(Upgrades!$T$11="Solar Wind",POWER(Upgrades!$U$11,J404),1)*IF(Upgrades!$T$12="Solar Wind",POWER(Upgrades!$U$12,K404),1))*POWER(Upgrades!$P$6,E404)*POWER(Upgrades!$P$7,F404)*POWER(Upgrades!$P$8,G404)*POWER(Upgrades!$P$9,H404)*POWER(Upgrades!$P$10,I404)*POWER(Upgrades!$P$11,J404)*POWER(Upgrades!$P$12,K404)*60</f>
        <v>72</v>
      </c>
      <c r="AB404" s="27" t="n">
        <f aca="false">(IF(F404=0,0,(Upgrades!$G$7+F404*Upgrades!$H$7)*POWER(Upgrades!$I$7,F404)))*(IF(Upgrades!$T$6="Asteroid Belt",POWER(Upgrades!$U$6,E404),1)*IF(Upgrades!$T$8="Asteroid Belt",POWER(Upgrades!$U$8,G404),1)*IF(Upgrades!$T$9="Asteroid Belt",POWER(Upgrades!$U$9,H404),1)*IF(Upgrades!$T$10="Asteroid Belt",POWER(Upgrades!$U$10,I404),1)*IF(Upgrades!$T$11="Asteroid Belt",POWER(Upgrades!$U$11,J404),1)*IF(Upgrades!$T$12="Asteroid Belt",POWER(Upgrades!$U$12,K404),1))*POWER(Upgrades!$P$6,E404)*POWER(Upgrades!$P$7,F404)*POWER(Upgrades!$P$8,G404)*POWER(Upgrades!$P$9,H404)*POWER(Upgrades!$P$10,I404)*POWER(Upgrades!$P$11,J404)*POWER(Upgrades!$P$12,K404)*60</f>
        <v>150</v>
      </c>
      <c r="AC404" s="27" t="n">
        <f aca="false">(IF(G404=0,0,(Upgrades!$J$8+G404*Upgrades!$K$8)*POWER(Upgrades!$L$8,G404)))*(IF(Upgrades!$T$6="Stellar Coupling",POWER(Upgrades!$U$6,E404),1)*IF(Upgrades!$T$7="Stellar Coupling",POWER(Upgrades!$U$7,F404),1)*IF(Upgrades!$T$9="Stellar Coupling",POWER(Upgrades!$U$9,H404),1)*IF(Upgrades!$T$10="Stellar Coupling",POWER(Upgrades!$U$10,I404),1)*IF(Upgrades!$T$11="Stellar Coupling",POWER(Upgrades!$U$11,J404),1)*IF(Upgrades!$T$12="Stellar Coupling",POWER(Upgrades!$U$12,K404),1))*POWER(Upgrades!$Q$6,E404)*POWER(Upgrades!$Q$7,F404)*POWER(Upgrades!$Q$8,G404)*POWER(Upgrades!$Q$9,H404)*POWER(Upgrades!$Q$10,I404)*POWER(Upgrades!$Q$11,J404)*POWER(Upgrades!$Q$12,K404)*Parameters!$B$10*Parameters!$B$11</f>
        <v>441</v>
      </c>
      <c r="AD404" s="27" t="n">
        <f aca="false">(IF(H404=0,0,(Upgrades!$G$9+H404*Upgrades!$H$9)*POWER(Upgrades!$I$9,H404)))*(IF(Upgrades!$T$6="Magnetosphere",POWER(Upgrades!$U$6,E404),1)*IF(Upgrades!$T$7="Magnetosphere",POWER(Upgrades!$U$7,F404),1)*IF(Upgrades!$T$8="Magnetosphere",POWER(Upgrades!$U$8,G404),1)*IF(Upgrades!$T$10="Magnetosphere",POWER(Upgrades!$U$10,I404),1)*IF(Upgrades!$T$11="Magnetosphere",POWER(Upgrades!$U$11,J404),1)*IF(Upgrades!$T$12="Magnetosphere",POWER(Upgrades!$U$12,K404),1))*POWER(Upgrades!$P$6,E404)*POWER(Upgrades!$P$7,F404)*POWER(Upgrades!$P$8,G404)*POWER(Upgrades!$P$9,H404)*POWER(Upgrades!$P$10,I404)*POWER(Upgrades!$P$11,J404)*POWER(Upgrades!$P$12,K404)*60</f>
        <v>375</v>
      </c>
      <c r="AE404" s="27" t="n">
        <f aca="false">(IF(K404=0,0,(Upgrades!$G$12+K404*Upgrades!$H$12)*POWER(Upgrades!$I$12,K404)))*(IF(Upgrades!$T$6="First Photons",POWER(Upgrades!$U$6,E404),1)*IF(Upgrades!$T$7="First Photons",POWER(Upgrades!$U$7,F404),1)*IF(Upgrades!$T$8="First Photons",POWER(Upgrades!$U$8,G404),1)*IF(Upgrades!$T$9="First Photons",POWER(Upgrades!$U$9,H404),1)*IF(Upgrades!$T$10="First Photons",POWER(Upgrades!$U$10,I404),1)*IF(Upgrades!$T$11="First Photons",POWER(Upgrades!$U$11,J404),1))*POWER(Upgrades!$P$6,E404)*POWER(Upgrades!$P$7,F404)*POWER(Upgrades!$P$8,G404)*POWER(Upgrades!$P$9,H404)*POWER(Upgrades!$P$10,I404)*POWER(Upgrades!$P$11,J404)*POWER(Upgrades!$P$12,K404)*60</f>
        <v>75</v>
      </c>
      <c r="AF404" s="27" t="n">
        <f aca="false">Parameters!$B$9*POWER(Upgrades!$Q$6,E404)*POWER(Upgrades!$Q$7,F404)*POWER(Upgrades!$Q$8,G404)*POWER(Upgrades!$Q$9,H404)*POWER(Upgrades!$Q$10,I404)*POWER(Upgrades!$Q$11,J404)*POWER(Upgrades!$Q$12,K404)*(Parameters!$B$10*Parameters!$B$11+O404*60)</f>
        <v>120</v>
      </c>
      <c r="AG404" s="21" t="n">
        <f aca="false">IF(E404&gt;=Upgrades!$E$6,"",Upgrades!$C$6*POWER(Upgrades!$D$6,E404))</f>
        <v>37.4517507383159</v>
      </c>
      <c r="AH404" s="21" t="n">
        <f aca="false">IF(F404&gt;=Upgrades!$E$7,"",Upgrades!$C$7*POWER(Upgrades!$D$7,F404))</f>
        <v>80.9111547141581</v>
      </c>
      <c r="AI404" s="21" t="n">
        <f aca="false">IF(G404&gt;=Upgrades!$E$8,"",Upgrades!$C$8*POWER(Upgrades!$D$8,G404))</f>
        <v>231.9097088</v>
      </c>
      <c r="AJ404" s="21" t="str">
        <f aca="false">IF(H404&gt;=Upgrades!$E$9,"",Upgrades!$C$9*POWER(Upgrades!$D$9,H404))</f>
        <v/>
      </c>
      <c r="AK404" s="21" t="str">
        <f aca="false">IF(I404&gt;=Upgrades!$E$10,"",Upgrades!$C$10*POWER(Upgrades!$D$10,I404))</f>
        <v/>
      </c>
      <c r="AL404" s="21" t="str">
        <f aca="false">IF(J404&gt;=Upgrades!$E$11,"",Upgrades!$C$11*POWER(Upgrades!$D$11,J404))</f>
        <v/>
      </c>
      <c r="AM404" s="21" t="str">
        <f aca="false">IF(K404&gt;=Upgrades!$E$12,"",Upgrades!$C$12*POWER(Upgrades!$D$12,K404))</f>
        <v/>
      </c>
      <c r="AN404" s="26" t="str">
        <f aca="false">IF(AND(D404&gt;=Parameters!$B$18,(H404&gt;=Upgrades!$E$9)*(K404&gt;=Upgrades!$E$12)=1,L404=0),1,"")</f>
        <v/>
      </c>
      <c r="AO404" s="26" t="str">
        <f aca="false">IF(AND(D404&gt;=Parameters!$B$18,L404=0),1,"")</f>
        <v/>
      </c>
      <c r="AP404" s="21" t="n">
        <f aca="false">MIN(IF(ISNUMBER(AK404),AK404,9000000000000000),IF(ISNUMBER(AL404),AL404,9000000000000000),IF(ISNUMBER(AM404),AM404,9000000000000000))</f>
        <v>9000000000000000</v>
      </c>
      <c r="AQ404" s="21" t="n">
        <f aca="false">MIN(IF(ISNUMBER(AG404),AG404,9000000000000000),IF(ISNUMBER(AH404),AH404,9000000000000000),IF(ISNUMBER(AI404),AI404,9000000000000000),IF(ISNUMBER(AJ404),AJ404,9000000000000000))</f>
        <v>37.4517507383159</v>
      </c>
      <c r="AR404" s="32" t="b">
        <f aca="false">IF(AW404&gt;Parameters!$B$21*(MAX(IF(AND(NOT(AND(AO404=1,AN404&lt;&gt;1)),ISNUMBER(AG404),AG404&lt;=T404),AS404,0),IF(AND(NOT(AND(AO404=1,AN404&lt;&gt;1)),ISNUMBER(AH404),AH404&lt;=T404),AT404,0),IF(AND(NOT(AND(AO404=1,AN404&lt;&gt;1)),ISNUMBER(AI404),AI404&lt;=T404),AU404,0),IF(AND(ISNUMBER(AJ404),AJ404&lt;=T404),AV404,0))),TRUE(),FALSE())</f>
        <v>1</v>
      </c>
      <c r="AS404" s="33" t="n">
        <f aca="false">IFERROR(Upgrades!$H$6*(POWER(Upgrades!$P$6,E404)*POWER(Upgrades!$P$7,F404)*POWER(Upgrades!$P$8,G404)*POWER(Upgrades!$P$9,H404)*POWER(Upgrades!$P$10,I404)*POWER(Upgrades!$P$11,J404)*POWER(Upgrades!$P$12,K404))*(IF(Upgrades!$T$7="Solar Wind",POWER(Upgrades!$U$7,F404),1)*IF(Upgrades!$T$8="Solar Wind",POWER(Upgrades!$U$8,G404),1)*IF(Upgrades!$T$9="Solar Wind",POWER(Upgrades!$U$9,H404),1)*IF(Upgrades!$T$10="Solar Wind",POWER(Upgrades!$U$10,I404),1)*IF(Upgrades!$T$11="Solar Wind",POWER(Upgrades!$U$11,J404),1)*IF(Upgrades!$T$12="Solar Wind",POWER(Upgrades!$U$12,K404),1))/AG404,0)</f>
        <v>0.0026701021455238</v>
      </c>
      <c r="AT404" s="33" t="n">
        <f aca="false">IFERROR(Upgrades!$H$7*(POWER(Upgrades!$P$6,E404)*POWER(Upgrades!$P$7,F404)*POWER(Upgrades!$P$8,G404)*POWER(Upgrades!$P$9,H404)*POWER(Upgrades!$P$10,I404)*POWER(Upgrades!$P$11,J404)*POWER(Upgrades!$P$12,K404))*(IF(Upgrades!$T$6="Asteroid Belt",POWER(Upgrades!$U$6,E404),1)*IF(Upgrades!$T$8="Asteroid Belt",POWER(Upgrades!$U$8,G404),1)*IF(Upgrades!$T$9="Asteroid Belt",POWER(Upgrades!$U$9,H404),1)*IF(Upgrades!$T$10="Asteroid Belt",POWER(Upgrades!$U$10,I404),1)*IF(Upgrades!$T$11="Asteroid Belt",POWER(Upgrades!$U$11,J404),1)*IF(Upgrades!$T$12="Asteroid Belt",POWER(Upgrades!$U$12,K404),1))/AH404,0)</f>
        <v>0.00308980882652332</v>
      </c>
      <c r="AU404" s="33" t="n">
        <f aca="false">IFERROR(Upgrades!$K$8*(POWER(Upgrades!$Q$6,E404)*POWER(Upgrades!$Q$7,F404)*POWER(Upgrades!$Q$8,G404)*POWER(Upgrades!$Q$9,H404)*POWER(Upgrades!$Q$10,I404)*POWER(Upgrades!$Q$11,J404)*POWER(Upgrades!$Q$12,K404))*(IF(Upgrades!$T$6="Stellar Coupling",POWER(Upgrades!$U$6,E404),1)*IF(Upgrades!$T$7="Stellar Coupling",POWER(Upgrades!$U$7,F404),1)*IF(Upgrades!$T$9="Stellar Coupling",POWER(Upgrades!$U$9,H404),1)*IF(Upgrades!$T$10="Stellar Coupling",POWER(Upgrades!$U$10,I404),1)*IF(Upgrades!$T$11="Stellar Coupling",POWER(Upgrades!$U$11,J404),1)*IF(Upgrades!$T$12="Stellar Coupling",POWER(Upgrades!$U$12,K404),1))*Parameters!$B$10*Parameters!$B$11/60/AI404,0)</f>
        <v>0.00452762415783776</v>
      </c>
      <c r="AV404" s="33" t="n">
        <f aca="false">IFERROR(Upgrades!$H$9*(POWER(Upgrades!$P$6,E404)*POWER(Upgrades!$P$7,F404)*POWER(Upgrades!$P$8,G404)*POWER(Upgrades!$P$9,H404)*POWER(Upgrades!$P$10,I404)*POWER(Upgrades!$P$11,J404)*POWER(Upgrades!$P$12,K404))*(IF(Upgrades!$T$6="Magnetosphere",POWER(Upgrades!$U$6,E404),1)*IF(Upgrades!$T$7="Magnetosphere",POWER(Upgrades!$U$7,F404),1)*IF(Upgrades!$T$8="Magnetosphere",POWER(Upgrades!$U$8,G404),1)*IF(Upgrades!$T$10="Magnetosphere",POWER(Upgrades!$U$10,I404),1)*IF(Upgrades!$T$11="Magnetosphere",POWER(Upgrades!$U$11,J404),1)*IF(Upgrades!$T$12="Magnetosphere",POWER(Upgrades!$U$12,K404),1))/AJ404,0)</f>
        <v>0</v>
      </c>
      <c r="AW404" s="33" t="n">
        <f aca="false">MAX(IF(I404&gt;0,0,IFERROR(0.25*N404/Upgrades!$C$10,0)),IF(J404&gt;0,0,IFERROR(0.5*((IF(G404=0,0,(Upgrades!$J$8+G404*Upgrades!$K$8)*POWER(Upgrades!$L$8,G404)))*(IF(Upgrades!$T$6="Stellar Coupling",POWER(Upgrades!$U$6,E404),1)*IF(Upgrades!$T$7="Stellar Coupling",POWER(Upgrades!$U$7,F404),1)*IF(Upgrades!$T$9="Stellar Coupling",POWER(Upgrades!$U$9,H404),1)*IF(Upgrades!$T$10="Stellar Coupling",POWER(Upgrades!$U$10,I404),1)*IF(Upgrades!$T$11="Stellar Coupling",POWER(Upgrades!$U$11,J404),1)*IF(Upgrades!$T$12="Stellar Coupling",POWER(Upgrades!$U$12,K404),1))*(POWER(Upgrades!$Q$6,E404)*POWER(Upgrades!$Q$7,F404)*POWER(Upgrades!$Q$8,G404)*POWER(Upgrades!$Q$9,H404)*POWER(Upgrades!$Q$10,I404)*POWER(Upgrades!$Q$11,J404)*POWER(Upgrades!$Q$12,K404))*Parameters!$B$10*Parameters!$B$11/60)/Upgrades!$C$11,0)),IF(K404&gt;0,0,IFERROR((1*(POWER(Upgrades!$P$6,E404)*POWER(Upgrades!$P$7,F404)*POWER(Upgrades!$P$8,G404)*POWER(Upgrades!$P$9,H404)*POWER(Upgrades!$P$10,I404)*POWER(Upgrades!$P$11,J404)*POWER(Upgrades!$P$12,K404))+0.2*M404*Parameters!$B$10*Parameters!$B$11/60)/Upgrades!$C$12,0)),IF(AND(ISNUMBER(AG404),AG404&gt;T404),AS404,0),IF(AND(ISNUMBER(AH404),AH404&gt;T404),AT404,0),IF(AND(ISNUMBER(AI404),AI404&gt;T404),AU404,0),IF(AND(ISNUMBER(AJ404),AJ404&gt;T404),AV404,0))</f>
        <v>0.00452762415783776</v>
      </c>
      <c r="AX404" s="29" t="str">
        <f aca="false">IF(AN404=1,"transition",IF(MIN(IF(AND(I404=0,ISNUMBER(AK404),AK404&lt;=T404),AK404,9000000000000000),IF(AND(J404=0,ISNUMBER(AL404),AL404&lt;=T404),AL404,9000000000000000),IF(AND(K404=0,ISNUMBER(AM404),AM404&lt;=T404),AM404,9000000000000000))&lt;9000000000000000,IF(AND(AND(I404=0,ISNUMBER(AK404),AK404&lt;=T404),AK404=MIN(IF(AND(I404=0,ISNUMBER(AK404),AK404&lt;=T404),AK404,9000000000000000),IF(AND(J404=0,ISNUMBER(AL404),AL404&lt;=T404),AL404,9000000000000000),IF(AND(K404=0,ISNUMBER(AM404),AM404&lt;=T404),AM404,9000000000000000))),"OR",IF(AND(AND(J404=0,ISNUMBER(AL404),AL404&lt;=T404),AL404=MIN(IF(AND(I404=0,ISNUMBER(AK404),AK404&lt;=T404),AK404,9000000000000000),IF(AND(J404=0,ISNUMBER(AL404),AL404&lt;=T404),AL404,9000000000000000),IF(AND(K404=0,ISNUMBER(AM404),AM404&lt;=T404),AM404,9000000000000000))),"HP","FP")),IF(AR404=TRUE(),"",IF(MAX(IF(AND(NOT(AND(AO404=1,AN404&lt;&gt;1)),ISNUMBER(AG404),AG404&lt;=T404),AS404,0),IF(AND(NOT(AND(AO404=1,AN404&lt;&gt;1)),ISNUMBER(AH404),AH404&lt;=T404),AT404,0),IF(AND(NOT(AND(AO404=1,AN404&lt;&gt;1)),ISNUMBER(AI404),AI404&lt;=T404),AU404,0),IF(AND(ISNUMBER(AJ404),AJ404&lt;=T404),AV404,0))&lt;=0,"",IF(AND(IF(AND(NOT(AND(AO404=1,AN404&lt;&gt;1)),ISNUMBER(AG404),AG404&lt;=T404),AS404,0)&gt;0,IF(AND(NOT(AND(AO404=1,AN404&lt;&gt;1)),ISNUMBER(AG404),AG404&lt;=T404),AS404,0)=MAX(IF(AND(NOT(AND(AO404=1,AN404&lt;&gt;1)),ISNUMBER(AG404),AG404&lt;=T404),AS404,0),IF(AND(NOT(AND(AO404=1,AN404&lt;&gt;1)),ISNUMBER(AH404),AH404&lt;=T404),AT404,0),IF(AND(NOT(AND(AO404=1,AN404&lt;&gt;1)),ISNUMBER(AI404),AI404&lt;=T404),AU404,0),IF(AND(ISNUMBER(AJ404),AJ404&lt;=T404),AV404,0))),"SW",IF(AND(IF(AND(NOT(AND(AO404=1,AN404&lt;&gt;1)),ISNUMBER(AH404),AH404&lt;=T404),AT404,0)&gt;0,IF(AND(NOT(AND(AO404=1,AN404&lt;&gt;1)),ISNUMBER(AH404),AH404&lt;=T404),AT404,0)=MAX(IF(AND(NOT(AND(AO404=1,AN404&lt;&gt;1)),ISNUMBER(AG404),AG404&lt;=T404),AS404,0),IF(AND(NOT(AND(AO404=1,AN404&lt;&gt;1)),ISNUMBER(AH404),AH404&lt;=T404),AT404,0),IF(AND(NOT(AND(AO404=1,AN404&lt;&gt;1)),ISNUMBER(AI404),AI404&lt;=T404),AU404,0),IF(AND(ISNUMBER(AJ404),AJ404&lt;=T404),AV404,0))),"AB",IF(AND(IF(AND(NOT(AND(AO404=1,AN404&lt;&gt;1)),ISNUMBER(AI404),AI404&lt;=T404),AU404,0)&gt;0,IF(AND(NOT(AND(AO404=1,AN404&lt;&gt;1)),ISNUMBER(AI404),AI404&lt;=T404),AU404,0)=MAX(IF(AND(NOT(AND(AO404=1,AN404&lt;&gt;1)),ISNUMBER(AG404),AG404&lt;=T404),AS404,0),IF(AND(NOT(AND(AO404=1,AN404&lt;&gt;1)),ISNUMBER(AH404),AH404&lt;=T404),AT404,0),IF(AND(NOT(AND(AO404=1,AN404&lt;&gt;1)),ISNUMBER(AI404),AI404&lt;=T404),AU404,0),IF(AND(ISNUMBER(AJ404),AJ404&lt;=T404),AV404,0))),"SC","Mag")))))))</f>
        <v/>
      </c>
    </row>
    <row r="405" customFormat="false" ht="15" hidden="false" customHeight="false" outlineLevel="0" collapsed="false">
      <c r="A405" s="26" t="n">
        <v>400</v>
      </c>
      <c r="B405" s="27" t="n">
        <f aca="false">A405*10/60</f>
        <v>66.6666666666667</v>
      </c>
      <c r="C405" s="21" t="n">
        <f aca="false">X404</f>
        <v>18.6730249835055</v>
      </c>
      <c r="D405" s="27" t="n">
        <f aca="false">D404+W404</f>
        <v>0</v>
      </c>
      <c r="E405" s="26" t="n">
        <f aca="false">E404+IF(U404="SW",1,0)</f>
        <v>12</v>
      </c>
      <c r="F405" s="26" t="n">
        <f aca="false">F404+IF(U404="AB",1,0)</f>
        <v>10</v>
      </c>
      <c r="G405" s="26" t="n">
        <f aca="false">G404+IF(U404="SC",1,0)</f>
        <v>7</v>
      </c>
      <c r="H405" s="26" t="n">
        <f aca="false">H404+IF(U404="Mag",1,0)</f>
        <v>5</v>
      </c>
      <c r="I405" s="26" t="n">
        <f aca="false">MAX(I404,IF(U404="OR",1,0))</f>
        <v>1</v>
      </c>
      <c r="J405" s="26" t="n">
        <f aca="false">MAX(J404,IF(U404="HP",1,0))</f>
        <v>1</v>
      </c>
      <c r="K405" s="26" t="n">
        <f aca="false">MAX(K404,IF(U404="FP",1,0))</f>
        <v>1</v>
      </c>
      <c r="L405" s="26" t="n">
        <f aca="false">MAX(L404,IF(U404="transition",1,0))</f>
        <v>1</v>
      </c>
      <c r="M405" s="28" t="n">
        <f aca="false">(Parameters!$B$9+(IF(E405=0,0,(Upgrades!$J$6+E405*Upgrades!$K$6)*POWER(Upgrades!$L$6,E405)))*(IF(Upgrades!$T$7="Solar Wind",POWER(Upgrades!$U$7,F405),1)*IF(Upgrades!$T$8="Solar Wind",POWER(Upgrades!$U$8,G405),1)*IF(Upgrades!$T$9="Solar Wind",POWER(Upgrades!$U$9,H405),1)*IF(Upgrades!$T$10="Solar Wind",POWER(Upgrades!$U$10,I405),1)*IF(Upgrades!$T$11="Solar Wind",POWER(Upgrades!$U$11,J405),1)*IF(Upgrades!$T$12="Solar Wind",POWER(Upgrades!$U$12,K405),1))+(IF(F405=0,0,(Upgrades!$J$7+F405*Upgrades!$K$7)*POWER(Upgrades!$L$7,F405)))*(IF(Upgrades!$T$6="Asteroid Belt",POWER(Upgrades!$U$6,E405),1)*IF(Upgrades!$T$8="Asteroid Belt",POWER(Upgrades!$U$8,G405),1)*IF(Upgrades!$T$9="Asteroid Belt",POWER(Upgrades!$U$9,H405),1)*IF(Upgrades!$T$10="Asteroid Belt",POWER(Upgrades!$U$10,I405),1)*IF(Upgrades!$T$11="Asteroid Belt",POWER(Upgrades!$U$11,J405),1)*IF(Upgrades!$T$12="Asteroid Belt",POWER(Upgrades!$U$12,K405),1))+(IF(G405=0,0,(Upgrades!$J$8+G405*Upgrades!$K$8)*POWER(Upgrades!$L$8,G405)))*(IF(Upgrades!$T$6="Stellar Coupling",POWER(Upgrades!$U$6,E405),1)*IF(Upgrades!$T$7="Stellar Coupling",POWER(Upgrades!$U$7,F405),1)*IF(Upgrades!$T$9="Stellar Coupling",POWER(Upgrades!$U$9,H405),1)*IF(Upgrades!$T$10="Stellar Coupling",POWER(Upgrades!$U$10,I405),1)*IF(Upgrades!$T$11="Stellar Coupling",POWER(Upgrades!$U$11,J405),1)*IF(Upgrades!$T$12="Stellar Coupling",POWER(Upgrades!$U$12,K405),1))+(IF(H405=0,0,(Upgrades!$J$9+H405*Upgrades!$K$9)*POWER(Upgrades!$L$9,H405)))*(IF(Upgrades!$T$6="Magnetosphere",POWER(Upgrades!$U$6,E405),1)*IF(Upgrades!$T$7="Magnetosphere",POWER(Upgrades!$U$7,F405),1)*IF(Upgrades!$T$8="Magnetosphere",POWER(Upgrades!$U$8,G405),1)*IF(Upgrades!$T$10="Magnetosphere",POWER(Upgrades!$U$10,I405),1)*IF(Upgrades!$T$11="Magnetosphere",POWER(Upgrades!$U$11,J405),1)*IF(Upgrades!$T$12="Magnetosphere",POWER(Upgrades!$U$12,K405),1))+(IF(I405=0,0,(Upgrades!$J$10+I405*Upgrades!$K$10)*POWER(Upgrades!$L$10,I405)))*(IF(Upgrades!$T$6="Orbital Resonance",POWER(Upgrades!$U$6,E405),1)*IF(Upgrades!$T$7="Orbital Resonance",POWER(Upgrades!$U$7,F405),1)*IF(Upgrades!$T$8="Orbital Resonance",POWER(Upgrades!$U$8,G405),1)*IF(Upgrades!$T$9="Orbital Resonance",POWER(Upgrades!$U$9,H405),1)*IF(Upgrades!$T$11="Orbital Resonance",POWER(Upgrades!$U$11,J405),1)*IF(Upgrades!$T$12="Orbital Resonance",POWER(Upgrades!$U$12,K405),1))+(IF(J405=0,0,(Upgrades!$J$11+J405*Upgrades!$K$11)*POWER(Upgrades!$L$11,J405)))*(IF(Upgrades!$T$6="Heliopause",POWER(Upgrades!$U$6,E405),1)*IF(Upgrades!$T$7="Heliopause",POWER(Upgrades!$U$7,F405),1)*IF(Upgrades!$T$8="Heliopause",POWER(Upgrades!$U$8,G405),1)*IF(Upgrades!$T$9="Heliopause",POWER(Upgrades!$U$9,H405),1)*IF(Upgrades!$T$10="Heliopause",POWER(Upgrades!$U$10,I405),1)*IF(Upgrades!$T$12="Heliopause",POWER(Upgrades!$U$12,K405),1))+(IF(K405=0,0,(Upgrades!$J$12+K405*Upgrades!$K$12)*POWER(Upgrades!$L$12,K405)))*(IF(Upgrades!$T$6="First Photons",POWER(Upgrades!$U$6,E405),1)*IF(Upgrades!$T$7="First Photons",POWER(Upgrades!$U$7,F405),1)*IF(Upgrades!$T$8="First Photons",POWER(Upgrades!$U$8,G405),1)*IF(Upgrades!$T$9="First Photons",POWER(Upgrades!$U$9,H405),1)*IF(Upgrades!$T$10="First Photons",POWER(Upgrades!$U$10,I405),1)*IF(Upgrades!$T$11="First Photons",POWER(Upgrades!$U$11,J405),1)))*POWER(Upgrades!$Q$6,E405)*POWER(Upgrades!$Q$7,F405)*POWER(Upgrades!$Q$8,G405)*POWER(Upgrades!$Q$9,H405)*POWER(Upgrades!$Q$10,I405)*POWER(Upgrades!$Q$11,J405)*POWER(Upgrades!$Q$12,K405)</f>
        <v>5.61</v>
      </c>
      <c r="N405" s="28" t="n">
        <f aca="false">((IF(E405=0,0,(Upgrades!$G$6+E405*Upgrades!$H$6)*POWER(Upgrades!$I$6,E405)))*(IF(Upgrades!$T$7="Solar Wind",POWER(Upgrades!$U$7,F405),1)*IF(Upgrades!$T$8="Solar Wind",POWER(Upgrades!$U$8,G405),1)*IF(Upgrades!$T$9="Solar Wind",POWER(Upgrades!$U$9,H405),1)*IF(Upgrades!$T$10="Solar Wind",POWER(Upgrades!$U$10,I405),1)*IF(Upgrades!$T$11="Solar Wind",POWER(Upgrades!$U$11,J405),1)*IF(Upgrades!$T$12="Solar Wind",POWER(Upgrades!$U$12,K405),1))+(IF(F405=0,0,(Upgrades!$G$7+F405*Upgrades!$H$7)*POWER(Upgrades!$I$7,F405)))*(IF(Upgrades!$T$6="Asteroid Belt",POWER(Upgrades!$U$6,E405),1)*IF(Upgrades!$T$8="Asteroid Belt",POWER(Upgrades!$U$8,G405),1)*IF(Upgrades!$T$9="Asteroid Belt",POWER(Upgrades!$U$9,H405),1)*IF(Upgrades!$T$10="Asteroid Belt",POWER(Upgrades!$U$10,I405),1)*IF(Upgrades!$T$11="Asteroid Belt",POWER(Upgrades!$U$11,J405),1)*IF(Upgrades!$T$12="Asteroid Belt",POWER(Upgrades!$U$12,K405),1))+(IF(G405=0,0,(Upgrades!$G$8+G405*Upgrades!$H$8)*POWER(Upgrades!$I$8,G405)))*(IF(Upgrades!$T$6="Stellar Coupling",POWER(Upgrades!$U$6,E405),1)*IF(Upgrades!$T$7="Stellar Coupling",POWER(Upgrades!$U$7,F405),1)*IF(Upgrades!$T$9="Stellar Coupling",POWER(Upgrades!$U$9,H405),1)*IF(Upgrades!$T$10="Stellar Coupling",POWER(Upgrades!$U$10,I405),1)*IF(Upgrades!$T$11="Stellar Coupling",POWER(Upgrades!$U$11,J405),1)*IF(Upgrades!$T$12="Stellar Coupling",POWER(Upgrades!$U$12,K405),1))+(IF(H405=0,0,(Upgrades!$G$9+H405*Upgrades!$H$9)*POWER(Upgrades!$I$9,H405)))*(IF(Upgrades!$T$6="Magnetosphere",POWER(Upgrades!$U$6,E405),1)*IF(Upgrades!$T$7="Magnetosphere",POWER(Upgrades!$U$7,F405),1)*IF(Upgrades!$T$8="Magnetosphere",POWER(Upgrades!$U$8,G405),1)*IF(Upgrades!$T$10="Magnetosphere",POWER(Upgrades!$U$10,I405),1)*IF(Upgrades!$T$11="Magnetosphere",POWER(Upgrades!$U$11,J405),1)*IF(Upgrades!$T$12="Magnetosphere",POWER(Upgrades!$U$12,K405),1))+(IF(I405=0,0,(Upgrades!$G$10+I405*Upgrades!$H$10)*POWER(Upgrades!$I$10,I405)))*(IF(Upgrades!$T$6="Orbital Resonance",POWER(Upgrades!$U$6,E405),1)*IF(Upgrades!$T$7="Orbital Resonance",POWER(Upgrades!$U$7,F405),1)*IF(Upgrades!$T$8="Orbital Resonance",POWER(Upgrades!$U$8,G405),1)*IF(Upgrades!$T$9="Orbital Resonance",POWER(Upgrades!$U$9,H405),1)*IF(Upgrades!$T$11="Orbital Resonance",POWER(Upgrades!$U$11,J405),1)*IF(Upgrades!$T$12="Orbital Resonance",POWER(Upgrades!$U$12,K405),1))+(IF(J405=0,0,(Upgrades!$G$11+J405*Upgrades!$H$11)*POWER(Upgrades!$I$11,J405)))*(IF(Upgrades!$T$6="Heliopause",POWER(Upgrades!$U$6,E405),1)*IF(Upgrades!$T$7="Heliopause",POWER(Upgrades!$U$7,F405),1)*IF(Upgrades!$T$8="Heliopause",POWER(Upgrades!$U$8,G405),1)*IF(Upgrades!$T$9="Heliopause",POWER(Upgrades!$U$9,H405),1)*IF(Upgrades!$T$10="Heliopause",POWER(Upgrades!$U$10,I405),1)*IF(Upgrades!$T$12="Heliopause",POWER(Upgrades!$U$12,K405),1))+(IF(K405=0,0,(Upgrades!$G$12+K405*Upgrades!$H$12)*POWER(Upgrades!$I$12,K405)))*(IF(Upgrades!$T$6="First Photons",POWER(Upgrades!$U$6,E405),1)*IF(Upgrades!$T$7="First Photons",POWER(Upgrades!$U$7,F405),1)*IF(Upgrades!$T$8="First Photons",POWER(Upgrades!$U$8,G405),1)*IF(Upgrades!$T$9="First Photons",POWER(Upgrades!$U$9,H405),1)*IF(Upgrades!$T$10="First Photons",POWER(Upgrades!$U$10,I405),1)*IF(Upgrades!$T$11="First Photons",POWER(Upgrades!$U$11,J405),1)))*POWER(Upgrades!$P$6,E405)*POWER(Upgrades!$P$7,F405)*POWER(Upgrades!$P$8,G405)*POWER(Upgrades!$P$9,H405)*POWER(Upgrades!$P$10,I405)*POWER(Upgrades!$P$11,J405)*POWER(Upgrades!$P$12,K405)</f>
        <v>11.2</v>
      </c>
      <c r="O405" s="28" t="n">
        <f aca="false">((IF(E405=0,0,(Upgrades!$M$6+E405*Upgrades!$N$6)*POWER(Upgrades!$O$6,E405)))*(IF(Upgrades!$T$7="Solar Wind",POWER(Upgrades!$U$7,F405),1)*IF(Upgrades!$T$8="Solar Wind",POWER(Upgrades!$U$8,G405),1)*IF(Upgrades!$T$9="Solar Wind",POWER(Upgrades!$U$9,H405),1)*IF(Upgrades!$T$10="Solar Wind",POWER(Upgrades!$U$10,I405),1)*IF(Upgrades!$T$11="Solar Wind",POWER(Upgrades!$U$11,J405),1)*IF(Upgrades!$T$12="Solar Wind",POWER(Upgrades!$U$12,K405),1))+(IF(F405=0,0,(Upgrades!$M$7+F405*Upgrades!$N$7)*POWER(Upgrades!$O$7,F405)))*(IF(Upgrades!$T$6="Asteroid Belt",POWER(Upgrades!$U$6,E405),1)*IF(Upgrades!$T$8="Asteroid Belt",POWER(Upgrades!$U$8,G405),1)*IF(Upgrades!$T$9="Asteroid Belt",POWER(Upgrades!$U$9,H405),1)*IF(Upgrades!$T$10="Asteroid Belt",POWER(Upgrades!$U$10,I405),1)*IF(Upgrades!$T$11="Asteroid Belt",POWER(Upgrades!$U$11,J405),1)*IF(Upgrades!$T$12="Asteroid Belt",POWER(Upgrades!$U$12,K405),1))+(IF(G405=0,0,(Upgrades!$M$8+G405*Upgrades!$N$8)*POWER(Upgrades!$O$8,G405)))*(IF(Upgrades!$T$6="Stellar Coupling",POWER(Upgrades!$U$6,E405),1)*IF(Upgrades!$T$7="Stellar Coupling",POWER(Upgrades!$U$7,F405),1)*IF(Upgrades!$T$9="Stellar Coupling",POWER(Upgrades!$U$9,H405),1)*IF(Upgrades!$T$10="Stellar Coupling",POWER(Upgrades!$U$10,I405),1)*IF(Upgrades!$T$11="Stellar Coupling",POWER(Upgrades!$U$11,J405),1)*IF(Upgrades!$T$12="Stellar Coupling",POWER(Upgrades!$U$12,K405),1))+(IF(H405=0,0,(Upgrades!$M$9+H405*Upgrades!$N$9)*POWER(Upgrades!$O$9,H405)))*(IF(Upgrades!$T$6="Magnetosphere",POWER(Upgrades!$U$6,E405),1)*IF(Upgrades!$T$7="Magnetosphere",POWER(Upgrades!$U$7,F405),1)*IF(Upgrades!$T$8="Magnetosphere",POWER(Upgrades!$U$8,G405),1)*IF(Upgrades!$T$10="Magnetosphere",POWER(Upgrades!$U$10,I405),1)*IF(Upgrades!$T$11="Magnetosphere",POWER(Upgrades!$U$11,J405),1)*IF(Upgrades!$T$12="Magnetosphere",POWER(Upgrades!$U$12,K405),1))+(IF(I405=0,0,(Upgrades!$M$10+I405*Upgrades!$N$10)*POWER(Upgrades!$O$10,I405)))*(IF(Upgrades!$T$6="Orbital Resonance",POWER(Upgrades!$U$6,E405),1)*IF(Upgrades!$T$7="Orbital Resonance",POWER(Upgrades!$U$7,F405),1)*IF(Upgrades!$T$8="Orbital Resonance",POWER(Upgrades!$U$8,G405),1)*IF(Upgrades!$T$9="Orbital Resonance",POWER(Upgrades!$U$9,H405),1)*IF(Upgrades!$T$11="Orbital Resonance",POWER(Upgrades!$U$11,J405),1)*IF(Upgrades!$T$12="Orbital Resonance",POWER(Upgrades!$U$12,K405),1))+(IF(J405=0,0,(Upgrades!$M$11+J405*Upgrades!$N$11)*POWER(Upgrades!$O$11,J405)))*(IF(Upgrades!$T$6="Heliopause",POWER(Upgrades!$U$6,E405),1)*IF(Upgrades!$T$7="Heliopause",POWER(Upgrades!$U$7,F405),1)*IF(Upgrades!$T$8="Heliopause",POWER(Upgrades!$U$8,G405),1)*IF(Upgrades!$T$9="Heliopause",POWER(Upgrades!$U$9,H405),1)*IF(Upgrades!$T$10="Heliopause",POWER(Upgrades!$U$10,I405),1)*IF(Upgrades!$T$12="Heliopause",POWER(Upgrades!$U$12,K405),1))+(IF(K405=0,0,(Upgrades!$M$12+K405*Upgrades!$N$12)*POWER(Upgrades!$O$12,K405)))*(IF(Upgrades!$T$6="First Photons",POWER(Upgrades!$U$6,E405),1)*IF(Upgrades!$T$7="First Photons",POWER(Upgrades!$U$7,F405),1)*IF(Upgrades!$T$8="First Photons",POWER(Upgrades!$U$8,G405),1)*IF(Upgrades!$T$9="First Photons",POWER(Upgrades!$U$9,H405),1)*IF(Upgrades!$T$10="First Photons",POWER(Upgrades!$U$10,I405),1)*IF(Upgrades!$T$11="First Photons",POWER(Upgrades!$U$11,J405),1)))*POWER(Upgrades!$R$6,E405)*POWER(Upgrades!$R$7,F405)*POWER(Upgrades!$R$8,G405)*POWER(Upgrades!$R$9,H405)*POWER(Upgrades!$R$10,I405)*POWER(Upgrades!$R$11,J405)*POWER(Upgrades!$R$12,K405)</f>
        <v>0</v>
      </c>
      <c r="P405" s="27" t="n">
        <f aca="false">IF(L405=1,0,M405*Parameters!$B$10/60*Parameters!$B$11*10)</f>
        <v>0</v>
      </c>
      <c r="Q405" s="27" t="n">
        <f aca="false">IF(L405=1,0,O405*M405*10)</f>
        <v>0</v>
      </c>
      <c r="R405" s="27" t="n">
        <f aca="false">IF(L405=1,0,N405*10)</f>
        <v>0</v>
      </c>
      <c r="S405" s="27" t="n">
        <f aca="false">P405+Q405+R405</f>
        <v>0</v>
      </c>
      <c r="T405" s="21" t="n">
        <f aca="false">C405+S405</f>
        <v>18.6730249835055</v>
      </c>
      <c r="U405" s="34" t="str">
        <f aca="false">AX405</f>
        <v/>
      </c>
      <c r="V405" s="21" t="n">
        <f aca="false">IF(U405="",0,IF(U405="transition",0,IF(U405="SW",AG405,IF(U405="AB",AH405,IF(U405="SC",AI405,IF(U405="Mag",AJ405,IF(U405="OR",AK405,IF(U405="HP",AL405,IF(U405="FP",AM405,0)))))))))</f>
        <v>0</v>
      </c>
      <c r="W405" s="27" t="n">
        <f aca="false">IF(U405="OR",Upgrades!$F$10,IF(U405="HP",Upgrades!$F$11,IF(U405="transition",-Parameters!$B$18,0)))</f>
        <v>0</v>
      </c>
      <c r="X405" s="21" t="n">
        <f aca="false">T405-V405</f>
        <v>18.6730249835055</v>
      </c>
      <c r="Y405" s="30" t="n">
        <f aca="false">M405*Parameters!$B$10/60*Parameters!$B$11+O405*M405+N405</f>
        <v>20.55</v>
      </c>
      <c r="Z405" s="35" t="str">
        <f aca="false">IF(U405="transition","→ Tier 2 (Stellar Neighborhood)",IF(U405="FP","First Photons — light begins, system quickens",IF(U405="HP","Heliopause acquired",IF(U405="OR","Orbital Resonance — passive multiplier active",IF(AND(AO405=1,L405=0,AN405&lt;&gt;1),"Cohesion ready (waiting on completionist upgrades)","")))))</f>
        <v/>
      </c>
      <c r="AA405" s="27" t="n">
        <f aca="false">(IF(E405=0,0,(Upgrades!$G$6+E405*Upgrades!$H$6)*POWER(Upgrades!$I$6,E405)))*(IF(Upgrades!$T$7="Solar Wind",POWER(Upgrades!$U$7,F405),1)*IF(Upgrades!$T$8="Solar Wind",POWER(Upgrades!$U$8,G405),1)*IF(Upgrades!$T$9="Solar Wind",POWER(Upgrades!$U$9,H405),1)*IF(Upgrades!$T$10="Solar Wind",POWER(Upgrades!$U$10,I405),1)*IF(Upgrades!$T$11="Solar Wind",POWER(Upgrades!$U$11,J405),1)*IF(Upgrades!$T$12="Solar Wind",POWER(Upgrades!$U$12,K405),1))*POWER(Upgrades!$P$6,E405)*POWER(Upgrades!$P$7,F405)*POWER(Upgrades!$P$8,G405)*POWER(Upgrades!$P$9,H405)*POWER(Upgrades!$P$10,I405)*POWER(Upgrades!$P$11,J405)*POWER(Upgrades!$P$12,K405)*60</f>
        <v>72</v>
      </c>
      <c r="AB405" s="27" t="n">
        <f aca="false">(IF(F405=0,0,(Upgrades!$G$7+F405*Upgrades!$H$7)*POWER(Upgrades!$I$7,F405)))*(IF(Upgrades!$T$6="Asteroid Belt",POWER(Upgrades!$U$6,E405),1)*IF(Upgrades!$T$8="Asteroid Belt",POWER(Upgrades!$U$8,G405),1)*IF(Upgrades!$T$9="Asteroid Belt",POWER(Upgrades!$U$9,H405),1)*IF(Upgrades!$T$10="Asteroid Belt",POWER(Upgrades!$U$10,I405),1)*IF(Upgrades!$T$11="Asteroid Belt",POWER(Upgrades!$U$11,J405),1)*IF(Upgrades!$T$12="Asteroid Belt",POWER(Upgrades!$U$12,K405),1))*POWER(Upgrades!$P$6,E405)*POWER(Upgrades!$P$7,F405)*POWER(Upgrades!$P$8,G405)*POWER(Upgrades!$P$9,H405)*POWER(Upgrades!$P$10,I405)*POWER(Upgrades!$P$11,J405)*POWER(Upgrades!$P$12,K405)*60</f>
        <v>150</v>
      </c>
      <c r="AC405" s="27" t="n">
        <f aca="false">(IF(G405=0,0,(Upgrades!$J$8+G405*Upgrades!$K$8)*POWER(Upgrades!$L$8,G405)))*(IF(Upgrades!$T$6="Stellar Coupling",POWER(Upgrades!$U$6,E405),1)*IF(Upgrades!$T$7="Stellar Coupling",POWER(Upgrades!$U$7,F405),1)*IF(Upgrades!$T$9="Stellar Coupling",POWER(Upgrades!$U$9,H405),1)*IF(Upgrades!$T$10="Stellar Coupling",POWER(Upgrades!$U$10,I405),1)*IF(Upgrades!$T$11="Stellar Coupling",POWER(Upgrades!$U$11,J405),1)*IF(Upgrades!$T$12="Stellar Coupling",POWER(Upgrades!$U$12,K405),1))*POWER(Upgrades!$Q$6,E405)*POWER(Upgrades!$Q$7,F405)*POWER(Upgrades!$Q$8,G405)*POWER(Upgrades!$Q$9,H405)*POWER(Upgrades!$Q$10,I405)*POWER(Upgrades!$Q$11,J405)*POWER(Upgrades!$Q$12,K405)*Parameters!$B$10*Parameters!$B$11</f>
        <v>441</v>
      </c>
      <c r="AD405" s="27" t="n">
        <f aca="false">(IF(H405=0,0,(Upgrades!$G$9+H405*Upgrades!$H$9)*POWER(Upgrades!$I$9,H405)))*(IF(Upgrades!$T$6="Magnetosphere",POWER(Upgrades!$U$6,E405),1)*IF(Upgrades!$T$7="Magnetosphere",POWER(Upgrades!$U$7,F405),1)*IF(Upgrades!$T$8="Magnetosphere",POWER(Upgrades!$U$8,G405),1)*IF(Upgrades!$T$10="Magnetosphere",POWER(Upgrades!$U$10,I405),1)*IF(Upgrades!$T$11="Magnetosphere",POWER(Upgrades!$U$11,J405),1)*IF(Upgrades!$T$12="Magnetosphere",POWER(Upgrades!$U$12,K405),1))*POWER(Upgrades!$P$6,E405)*POWER(Upgrades!$P$7,F405)*POWER(Upgrades!$P$8,G405)*POWER(Upgrades!$P$9,H405)*POWER(Upgrades!$P$10,I405)*POWER(Upgrades!$P$11,J405)*POWER(Upgrades!$P$12,K405)*60</f>
        <v>375</v>
      </c>
      <c r="AE405" s="27" t="n">
        <f aca="false">(IF(K405=0,0,(Upgrades!$G$12+K405*Upgrades!$H$12)*POWER(Upgrades!$I$12,K405)))*(IF(Upgrades!$T$6="First Photons",POWER(Upgrades!$U$6,E405),1)*IF(Upgrades!$T$7="First Photons",POWER(Upgrades!$U$7,F405),1)*IF(Upgrades!$T$8="First Photons",POWER(Upgrades!$U$8,G405),1)*IF(Upgrades!$T$9="First Photons",POWER(Upgrades!$U$9,H405),1)*IF(Upgrades!$T$10="First Photons",POWER(Upgrades!$U$10,I405),1)*IF(Upgrades!$T$11="First Photons",POWER(Upgrades!$U$11,J405),1))*POWER(Upgrades!$P$6,E405)*POWER(Upgrades!$P$7,F405)*POWER(Upgrades!$P$8,G405)*POWER(Upgrades!$P$9,H405)*POWER(Upgrades!$P$10,I405)*POWER(Upgrades!$P$11,J405)*POWER(Upgrades!$P$12,K405)*60</f>
        <v>75</v>
      </c>
      <c r="AF405" s="27" t="n">
        <f aca="false">Parameters!$B$9*POWER(Upgrades!$Q$6,E405)*POWER(Upgrades!$Q$7,F405)*POWER(Upgrades!$Q$8,G405)*POWER(Upgrades!$Q$9,H405)*POWER(Upgrades!$Q$10,I405)*POWER(Upgrades!$Q$11,J405)*POWER(Upgrades!$Q$12,K405)*(Parameters!$B$10*Parameters!$B$11+O405*60)</f>
        <v>120</v>
      </c>
      <c r="AG405" s="21" t="n">
        <f aca="false">IF(E405&gt;=Upgrades!$E$6,"",Upgrades!$C$6*POWER(Upgrades!$D$6,E405))</f>
        <v>37.4517507383159</v>
      </c>
      <c r="AH405" s="21" t="n">
        <f aca="false">IF(F405&gt;=Upgrades!$E$7,"",Upgrades!$C$7*POWER(Upgrades!$D$7,F405))</f>
        <v>80.9111547141581</v>
      </c>
      <c r="AI405" s="21" t="n">
        <f aca="false">IF(G405&gt;=Upgrades!$E$8,"",Upgrades!$C$8*POWER(Upgrades!$D$8,G405))</f>
        <v>231.9097088</v>
      </c>
      <c r="AJ405" s="21" t="str">
        <f aca="false">IF(H405&gt;=Upgrades!$E$9,"",Upgrades!$C$9*POWER(Upgrades!$D$9,H405))</f>
        <v/>
      </c>
      <c r="AK405" s="21" t="str">
        <f aca="false">IF(I405&gt;=Upgrades!$E$10,"",Upgrades!$C$10*POWER(Upgrades!$D$10,I405))</f>
        <v/>
      </c>
      <c r="AL405" s="21" t="str">
        <f aca="false">IF(J405&gt;=Upgrades!$E$11,"",Upgrades!$C$11*POWER(Upgrades!$D$11,J405))</f>
        <v/>
      </c>
      <c r="AM405" s="21" t="str">
        <f aca="false">IF(K405&gt;=Upgrades!$E$12,"",Upgrades!$C$12*POWER(Upgrades!$D$12,K405))</f>
        <v/>
      </c>
      <c r="AN405" s="26" t="str">
        <f aca="false">IF(AND(D405&gt;=Parameters!$B$18,(H405&gt;=Upgrades!$E$9)*(K405&gt;=Upgrades!$E$12)=1,L405=0),1,"")</f>
        <v/>
      </c>
      <c r="AO405" s="26" t="str">
        <f aca="false">IF(AND(D405&gt;=Parameters!$B$18,L405=0),1,"")</f>
        <v/>
      </c>
      <c r="AP405" s="21" t="n">
        <f aca="false">MIN(IF(ISNUMBER(AK405),AK405,9000000000000000),IF(ISNUMBER(AL405),AL405,9000000000000000),IF(ISNUMBER(AM405),AM405,9000000000000000))</f>
        <v>9000000000000000</v>
      </c>
      <c r="AQ405" s="21" t="n">
        <f aca="false">MIN(IF(ISNUMBER(AG405),AG405,9000000000000000),IF(ISNUMBER(AH405),AH405,9000000000000000),IF(ISNUMBER(AI405),AI405,9000000000000000),IF(ISNUMBER(AJ405),AJ405,9000000000000000))</f>
        <v>37.4517507383159</v>
      </c>
      <c r="AR405" s="32" t="b">
        <f aca="false">IF(AW405&gt;Parameters!$B$21*(MAX(IF(AND(NOT(AND(AO405=1,AN405&lt;&gt;1)),ISNUMBER(AG405),AG405&lt;=T405),AS405,0),IF(AND(NOT(AND(AO405=1,AN405&lt;&gt;1)),ISNUMBER(AH405),AH405&lt;=T405),AT405,0),IF(AND(NOT(AND(AO405=1,AN405&lt;&gt;1)),ISNUMBER(AI405),AI405&lt;=T405),AU405,0),IF(AND(ISNUMBER(AJ405),AJ405&lt;=T405),AV405,0))),TRUE(),FALSE())</f>
        <v>1</v>
      </c>
      <c r="AS405" s="33" t="n">
        <f aca="false">IFERROR(Upgrades!$H$6*(POWER(Upgrades!$P$6,E405)*POWER(Upgrades!$P$7,F405)*POWER(Upgrades!$P$8,G405)*POWER(Upgrades!$P$9,H405)*POWER(Upgrades!$P$10,I405)*POWER(Upgrades!$P$11,J405)*POWER(Upgrades!$P$12,K405))*(IF(Upgrades!$T$7="Solar Wind",POWER(Upgrades!$U$7,F405),1)*IF(Upgrades!$T$8="Solar Wind",POWER(Upgrades!$U$8,G405),1)*IF(Upgrades!$T$9="Solar Wind",POWER(Upgrades!$U$9,H405),1)*IF(Upgrades!$T$10="Solar Wind",POWER(Upgrades!$U$10,I405),1)*IF(Upgrades!$T$11="Solar Wind",POWER(Upgrades!$U$11,J405),1)*IF(Upgrades!$T$12="Solar Wind",POWER(Upgrades!$U$12,K405),1))/AG405,0)</f>
        <v>0.0026701021455238</v>
      </c>
      <c r="AT405" s="33" t="n">
        <f aca="false">IFERROR(Upgrades!$H$7*(POWER(Upgrades!$P$6,E405)*POWER(Upgrades!$P$7,F405)*POWER(Upgrades!$P$8,G405)*POWER(Upgrades!$P$9,H405)*POWER(Upgrades!$P$10,I405)*POWER(Upgrades!$P$11,J405)*POWER(Upgrades!$P$12,K405))*(IF(Upgrades!$T$6="Asteroid Belt",POWER(Upgrades!$U$6,E405),1)*IF(Upgrades!$T$8="Asteroid Belt",POWER(Upgrades!$U$8,G405),1)*IF(Upgrades!$T$9="Asteroid Belt",POWER(Upgrades!$U$9,H405),1)*IF(Upgrades!$T$10="Asteroid Belt",POWER(Upgrades!$U$10,I405),1)*IF(Upgrades!$T$11="Asteroid Belt",POWER(Upgrades!$U$11,J405),1)*IF(Upgrades!$T$12="Asteroid Belt",POWER(Upgrades!$U$12,K405),1))/AH405,0)</f>
        <v>0.00308980882652332</v>
      </c>
      <c r="AU405" s="33" t="n">
        <f aca="false">IFERROR(Upgrades!$K$8*(POWER(Upgrades!$Q$6,E405)*POWER(Upgrades!$Q$7,F405)*POWER(Upgrades!$Q$8,G405)*POWER(Upgrades!$Q$9,H405)*POWER(Upgrades!$Q$10,I405)*POWER(Upgrades!$Q$11,J405)*POWER(Upgrades!$Q$12,K405))*(IF(Upgrades!$T$6="Stellar Coupling",POWER(Upgrades!$U$6,E405),1)*IF(Upgrades!$T$7="Stellar Coupling",POWER(Upgrades!$U$7,F405),1)*IF(Upgrades!$T$9="Stellar Coupling",POWER(Upgrades!$U$9,H405),1)*IF(Upgrades!$T$10="Stellar Coupling",POWER(Upgrades!$U$10,I405),1)*IF(Upgrades!$T$11="Stellar Coupling",POWER(Upgrades!$U$11,J405),1)*IF(Upgrades!$T$12="Stellar Coupling",POWER(Upgrades!$U$12,K405),1))*Parameters!$B$10*Parameters!$B$11/60/AI405,0)</f>
        <v>0.00452762415783776</v>
      </c>
      <c r="AV405" s="33" t="n">
        <f aca="false">IFERROR(Upgrades!$H$9*(POWER(Upgrades!$P$6,E405)*POWER(Upgrades!$P$7,F405)*POWER(Upgrades!$P$8,G405)*POWER(Upgrades!$P$9,H405)*POWER(Upgrades!$P$10,I405)*POWER(Upgrades!$P$11,J405)*POWER(Upgrades!$P$12,K405))*(IF(Upgrades!$T$6="Magnetosphere",POWER(Upgrades!$U$6,E405),1)*IF(Upgrades!$T$7="Magnetosphere",POWER(Upgrades!$U$7,F405),1)*IF(Upgrades!$T$8="Magnetosphere",POWER(Upgrades!$U$8,G405),1)*IF(Upgrades!$T$10="Magnetosphere",POWER(Upgrades!$U$10,I405),1)*IF(Upgrades!$T$11="Magnetosphere",POWER(Upgrades!$U$11,J405),1)*IF(Upgrades!$T$12="Magnetosphere",POWER(Upgrades!$U$12,K405),1))/AJ405,0)</f>
        <v>0</v>
      </c>
      <c r="AW405" s="33" t="n">
        <f aca="false">MAX(IF(I405&gt;0,0,IFERROR(0.25*N405/Upgrades!$C$10,0)),IF(J405&gt;0,0,IFERROR(0.5*((IF(G405=0,0,(Upgrades!$J$8+G405*Upgrades!$K$8)*POWER(Upgrades!$L$8,G405)))*(IF(Upgrades!$T$6="Stellar Coupling",POWER(Upgrades!$U$6,E405),1)*IF(Upgrades!$T$7="Stellar Coupling",POWER(Upgrades!$U$7,F405),1)*IF(Upgrades!$T$9="Stellar Coupling",POWER(Upgrades!$U$9,H405),1)*IF(Upgrades!$T$10="Stellar Coupling",POWER(Upgrades!$U$10,I405),1)*IF(Upgrades!$T$11="Stellar Coupling",POWER(Upgrades!$U$11,J405),1)*IF(Upgrades!$T$12="Stellar Coupling",POWER(Upgrades!$U$12,K405),1))*(POWER(Upgrades!$Q$6,E405)*POWER(Upgrades!$Q$7,F405)*POWER(Upgrades!$Q$8,G405)*POWER(Upgrades!$Q$9,H405)*POWER(Upgrades!$Q$10,I405)*POWER(Upgrades!$Q$11,J405)*POWER(Upgrades!$Q$12,K405))*Parameters!$B$10*Parameters!$B$11/60)/Upgrades!$C$11,0)),IF(K405&gt;0,0,IFERROR((1*(POWER(Upgrades!$P$6,E405)*POWER(Upgrades!$P$7,F405)*POWER(Upgrades!$P$8,G405)*POWER(Upgrades!$P$9,H405)*POWER(Upgrades!$P$10,I405)*POWER(Upgrades!$P$11,J405)*POWER(Upgrades!$P$12,K405))+0.2*M405*Parameters!$B$10*Parameters!$B$11/60)/Upgrades!$C$12,0)),IF(AND(ISNUMBER(AG405),AG405&gt;T405),AS405,0),IF(AND(ISNUMBER(AH405),AH405&gt;T405),AT405,0),IF(AND(ISNUMBER(AI405),AI405&gt;T405),AU405,0),IF(AND(ISNUMBER(AJ405),AJ405&gt;T405),AV405,0))</f>
        <v>0.00452762415783776</v>
      </c>
      <c r="AX405" s="29" t="str">
        <f aca="false">IF(AN405=1,"transition",IF(MIN(IF(AND(I405=0,ISNUMBER(AK405),AK405&lt;=T405),AK405,9000000000000000),IF(AND(J405=0,ISNUMBER(AL405),AL405&lt;=T405),AL405,9000000000000000),IF(AND(K405=0,ISNUMBER(AM405),AM405&lt;=T405),AM405,9000000000000000))&lt;9000000000000000,IF(AND(AND(I405=0,ISNUMBER(AK405),AK405&lt;=T405),AK405=MIN(IF(AND(I405=0,ISNUMBER(AK405),AK405&lt;=T405),AK405,9000000000000000),IF(AND(J405=0,ISNUMBER(AL405),AL405&lt;=T405),AL405,9000000000000000),IF(AND(K405=0,ISNUMBER(AM405),AM405&lt;=T405),AM405,9000000000000000))),"OR",IF(AND(AND(J405=0,ISNUMBER(AL405),AL405&lt;=T405),AL405=MIN(IF(AND(I405=0,ISNUMBER(AK405),AK405&lt;=T405),AK405,9000000000000000),IF(AND(J405=0,ISNUMBER(AL405),AL405&lt;=T405),AL405,9000000000000000),IF(AND(K405=0,ISNUMBER(AM405),AM405&lt;=T405),AM405,9000000000000000))),"HP","FP")),IF(AR405=TRUE(),"",IF(MAX(IF(AND(NOT(AND(AO405=1,AN405&lt;&gt;1)),ISNUMBER(AG405),AG405&lt;=T405),AS405,0),IF(AND(NOT(AND(AO405=1,AN405&lt;&gt;1)),ISNUMBER(AH405),AH405&lt;=T405),AT405,0),IF(AND(NOT(AND(AO405=1,AN405&lt;&gt;1)),ISNUMBER(AI405),AI405&lt;=T405),AU405,0),IF(AND(ISNUMBER(AJ405),AJ405&lt;=T405),AV405,0))&lt;=0,"",IF(AND(IF(AND(NOT(AND(AO405=1,AN405&lt;&gt;1)),ISNUMBER(AG405),AG405&lt;=T405),AS405,0)&gt;0,IF(AND(NOT(AND(AO405=1,AN405&lt;&gt;1)),ISNUMBER(AG405),AG405&lt;=T405),AS405,0)=MAX(IF(AND(NOT(AND(AO405=1,AN405&lt;&gt;1)),ISNUMBER(AG405),AG405&lt;=T405),AS405,0),IF(AND(NOT(AND(AO405=1,AN405&lt;&gt;1)),ISNUMBER(AH405),AH405&lt;=T405),AT405,0),IF(AND(NOT(AND(AO405=1,AN405&lt;&gt;1)),ISNUMBER(AI405),AI405&lt;=T405),AU405,0),IF(AND(ISNUMBER(AJ405),AJ405&lt;=T405),AV405,0))),"SW",IF(AND(IF(AND(NOT(AND(AO405=1,AN405&lt;&gt;1)),ISNUMBER(AH405),AH405&lt;=T405),AT405,0)&gt;0,IF(AND(NOT(AND(AO405=1,AN405&lt;&gt;1)),ISNUMBER(AH405),AH405&lt;=T405),AT405,0)=MAX(IF(AND(NOT(AND(AO405=1,AN405&lt;&gt;1)),ISNUMBER(AG405),AG405&lt;=T405),AS405,0),IF(AND(NOT(AND(AO405=1,AN405&lt;&gt;1)),ISNUMBER(AH405),AH405&lt;=T405),AT405,0),IF(AND(NOT(AND(AO405=1,AN405&lt;&gt;1)),ISNUMBER(AI405),AI405&lt;=T405),AU405,0),IF(AND(ISNUMBER(AJ405),AJ405&lt;=T405),AV405,0))),"AB",IF(AND(IF(AND(NOT(AND(AO405=1,AN405&lt;&gt;1)),ISNUMBER(AI405),AI405&lt;=T405),AU405,0)&gt;0,IF(AND(NOT(AND(AO405=1,AN405&lt;&gt;1)),ISNUMBER(AI405),AI405&lt;=T405),AU405,0)=MAX(IF(AND(NOT(AND(AO405=1,AN405&lt;&gt;1)),ISNUMBER(AG405),AG405&lt;=T405),AS405,0),IF(AND(NOT(AND(AO405=1,AN405&lt;&gt;1)),ISNUMBER(AH405),AH405&lt;=T405),AT405,0),IF(AND(NOT(AND(AO405=1,AN405&lt;&gt;1)),ISNUMBER(AI405),AI405&lt;=T405),AU405,0),IF(AND(ISNUMBER(AJ405),AJ405&lt;=T405),AV405,0))),"SC","Mag")))))))</f>
        <v/>
      </c>
    </row>
  </sheetData>
  <mergeCells count="2">
    <mergeCell ref="A3:D3"/>
    <mergeCell ref="H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5" min="3" style="0" width="14"/>
  </cols>
  <sheetData>
    <row r="1" customFormat="false" ht="19.7" hidden="false" customHeight="false" outlineLevel="0" collapsed="false">
      <c r="A1" s="1" t="s">
        <v>218</v>
      </c>
    </row>
    <row r="2" customFormat="false" ht="15" hidden="false" customHeight="false" outlineLevel="0" collapsed="false">
      <c r="A2" s="2" t="s">
        <v>219</v>
      </c>
    </row>
    <row r="4" customFormat="false" ht="15" hidden="false" customHeight="false" outlineLevel="0" collapsed="false">
      <c r="A4" s="16" t="s">
        <v>220</v>
      </c>
      <c r="B4" s="16" t="s">
        <v>221</v>
      </c>
      <c r="C4" s="16" t="s">
        <v>222</v>
      </c>
      <c r="D4" s="16" t="s">
        <v>223</v>
      </c>
      <c r="E4" s="16" t="s">
        <v>224</v>
      </c>
    </row>
    <row r="5" customFormat="false" ht="15" hidden="false" customHeight="false" outlineLevel="0" collapsed="false">
      <c r="A5" s="36" t="n">
        <v>0</v>
      </c>
      <c r="B5" s="36" t="n">
        <f aca="false">COUNTIFS(UpgradeSim!$B$5:$B$405,"&gt;="&amp;0,UpgradeSim!$B$5:$B$405,"&lt;"&amp;1,UpgradeSim!$U$5:$U$405,"?*")</f>
        <v>4</v>
      </c>
      <c r="C5" s="36" t="n">
        <f aca="false">SUM(B$5:B5)</f>
        <v>4</v>
      </c>
      <c r="D5" s="37" t="n">
        <f aca="false">IFERROR(INDEX(UpgradeSim!$P$5:$P$405,MATCH(1,UpgradeSim!$B$5:$B$405,1))/(INDEX(UpgradeSim!$S$5:$S$405,MATCH(1,UpgradeSim!$B$5:$B$405,1))),0)</f>
        <v>0.977121067683508</v>
      </c>
      <c r="E5" s="37" t="n">
        <f aca="false">Parameters!$B$13</f>
        <v>0.6</v>
      </c>
    </row>
    <row r="6" customFormat="false" ht="15" hidden="false" customHeight="false" outlineLevel="0" collapsed="false">
      <c r="A6" s="36" t="n">
        <v>1</v>
      </c>
      <c r="B6" s="36" t="n">
        <f aca="false">COUNTIFS(UpgradeSim!$B$5:$B$405,"&gt;="&amp;1,UpgradeSim!$B$5:$B$405,"&lt;"&amp;2,UpgradeSim!$U$5:$U$405,"?*")</f>
        <v>6</v>
      </c>
      <c r="C6" s="36" t="n">
        <f aca="false">SUM(B$5:B6)</f>
        <v>10</v>
      </c>
      <c r="D6" s="37" t="n">
        <f aca="false">IFERROR(INDEX(UpgradeSim!$P$5:$P$405,MATCH(2,UpgradeSim!$B$5:$B$405,1))/(INDEX(UpgradeSim!$S$5:$S$405,MATCH(2,UpgradeSim!$B$5:$B$405,1))),0)</f>
        <v>0.709219858156028</v>
      </c>
      <c r="E6" s="37" t="n">
        <f aca="false">Parameters!$B$13</f>
        <v>0.6</v>
      </c>
    </row>
    <row r="7" customFormat="false" ht="15" hidden="false" customHeight="false" outlineLevel="0" collapsed="false">
      <c r="A7" s="36" t="n">
        <v>2</v>
      </c>
      <c r="B7" s="36" t="n">
        <f aca="false">COUNTIFS(UpgradeSim!$B$5:$B$405,"&gt;="&amp;2,UpgradeSim!$B$5:$B$405,"&lt;"&amp;3,UpgradeSim!$U$5:$U$405,"?*")</f>
        <v>6</v>
      </c>
      <c r="C7" s="36" t="n">
        <f aca="false">SUM(B$5:B7)</f>
        <v>16</v>
      </c>
      <c r="D7" s="37" t="n">
        <f aca="false">IFERROR(INDEX(UpgradeSim!$P$5:$P$405,MATCH(3,UpgradeSim!$B$5:$B$405,1))/(INDEX(UpgradeSim!$S$5:$S$405,MATCH(3,UpgradeSim!$B$5:$B$405,1))),0)</f>
        <v>0.625</v>
      </c>
      <c r="E7" s="37" t="n">
        <f aca="false">Parameters!$B$13</f>
        <v>0.6</v>
      </c>
    </row>
    <row r="8" customFormat="false" ht="15" hidden="false" customHeight="false" outlineLevel="0" collapsed="false">
      <c r="A8" s="36" t="n">
        <v>3</v>
      </c>
      <c r="B8" s="36" t="n">
        <f aca="false">COUNTIFS(UpgradeSim!$B$5:$B$405,"&gt;="&amp;3,UpgradeSim!$B$5:$B$405,"&lt;"&amp;4,UpgradeSim!$U$5:$U$405,"?*")</f>
        <v>6</v>
      </c>
      <c r="C8" s="36" t="n">
        <f aca="false">SUM(B$5:B8)</f>
        <v>22</v>
      </c>
      <c r="D8" s="37" t="n">
        <f aca="false">IFERROR(INDEX(UpgradeSim!$P$5:$P$405,MATCH(4,UpgradeSim!$B$5:$B$405,1))/(INDEX(UpgradeSim!$S$5:$S$405,MATCH(4,UpgradeSim!$B$5:$B$405,1))),0)</f>
        <v>0.480769230769231</v>
      </c>
      <c r="E8" s="37" t="n">
        <f aca="false">Parameters!$B$13</f>
        <v>0.6</v>
      </c>
    </row>
    <row r="9" customFormat="false" ht="15" hidden="false" customHeight="false" outlineLevel="0" collapsed="false">
      <c r="A9" s="36" t="n">
        <v>4</v>
      </c>
      <c r="B9" s="36" t="n">
        <f aca="false">COUNTIFS(UpgradeSim!$B$5:$B$405,"&gt;="&amp;4,UpgradeSim!$B$5:$B$405,"&lt;"&amp;5,UpgradeSim!$U$5:$U$405,"?*")</f>
        <v>6</v>
      </c>
      <c r="C9" s="36" t="n">
        <f aca="false">SUM(B$5:B9)</f>
        <v>28</v>
      </c>
      <c r="D9" s="37" t="n">
        <f aca="false">IFERROR(INDEX(UpgradeSim!$P$5:$P$405,MATCH(5,UpgradeSim!$B$5:$B$405,1))/(INDEX(UpgradeSim!$S$5:$S$405,MATCH(5,UpgradeSim!$B$5:$B$405,1))),0)</f>
        <v>0.473282442748092</v>
      </c>
      <c r="E9" s="37" t="n">
        <f aca="false">Parameters!$B$13</f>
        <v>0.6</v>
      </c>
    </row>
    <row r="10" customFormat="false" ht="15" hidden="false" customHeight="false" outlineLevel="0" collapsed="false">
      <c r="A10" s="36" t="n">
        <v>5</v>
      </c>
      <c r="B10" s="36" t="n">
        <f aca="false">COUNTIFS(UpgradeSim!$B$5:$B$405,"&gt;="&amp;5,UpgradeSim!$B$5:$B$405,"&lt;"&amp;6,UpgradeSim!$U$5:$U$405,"?*")</f>
        <v>2</v>
      </c>
      <c r="C10" s="36" t="n">
        <f aca="false">SUM(B$5:B10)</f>
        <v>30</v>
      </c>
      <c r="D10" s="37" t="n">
        <f aca="false">IFERROR(INDEX(UpgradeSim!$P$5:$P$405,MATCH(6,UpgradeSim!$B$5:$B$405,1))/(INDEX(UpgradeSim!$S$5:$S$405,MATCH(6,UpgradeSim!$B$5:$B$405,1))),0)</f>
        <v>0.497005988023952</v>
      </c>
      <c r="E10" s="37" t="n">
        <f aca="false">Parameters!$B$13</f>
        <v>0.6</v>
      </c>
    </row>
    <row r="11" customFormat="false" ht="15" hidden="false" customHeight="false" outlineLevel="0" collapsed="false">
      <c r="A11" s="36" t="n">
        <v>6</v>
      </c>
      <c r="B11" s="36" t="n">
        <f aca="false">COUNTIFS(UpgradeSim!$B$5:$B$405,"&gt;="&amp;6,UpgradeSim!$B$5:$B$405,"&lt;"&amp;7,UpgradeSim!$U$5:$U$405,"?*")</f>
        <v>1</v>
      </c>
      <c r="C11" s="36" t="n">
        <f aca="false">SUM(B$5:B11)</f>
        <v>31</v>
      </c>
      <c r="D11" s="37" t="n">
        <f aca="false">IFERROR(INDEX(UpgradeSim!$P$5:$P$405,MATCH(7,UpgradeSim!$B$5:$B$405,1))/(INDEX(UpgradeSim!$S$5:$S$405,MATCH(7,UpgradeSim!$B$5:$B$405,1))),0)</f>
        <v>0.501510574018127</v>
      </c>
      <c r="E11" s="37" t="n">
        <f aca="false">Parameters!$B$13</f>
        <v>0.6</v>
      </c>
    </row>
    <row r="12" customFormat="false" ht="15" hidden="false" customHeight="false" outlineLevel="0" collapsed="false">
      <c r="A12" s="36" t="n">
        <v>7</v>
      </c>
      <c r="B12" s="36" t="n">
        <f aca="false">COUNTIFS(UpgradeSim!$B$5:$B$405,"&gt;="&amp;7,UpgradeSim!$B$5:$B$405,"&lt;"&amp;8,UpgradeSim!$U$5:$U$405,"?*")</f>
        <v>1</v>
      </c>
      <c r="C12" s="36" t="n">
        <f aca="false">SUM(B$5:B12)</f>
        <v>32</v>
      </c>
      <c r="D12" s="37" t="n">
        <f aca="false">IFERROR(INDEX(UpgradeSim!$P$5:$P$405,MATCH(8,UpgradeSim!$B$5:$B$405,1))/(INDEX(UpgradeSim!$S$5:$S$405,MATCH(8,UpgradeSim!$B$5:$B$405,1))),0)</f>
        <v>0.466292134831461</v>
      </c>
      <c r="E12" s="37" t="n">
        <f aca="false">Parameters!$B$13</f>
        <v>0.6</v>
      </c>
    </row>
    <row r="13" customFormat="false" ht="15" hidden="false" customHeight="false" outlineLevel="0" collapsed="false">
      <c r="A13" s="36" t="n">
        <v>8</v>
      </c>
      <c r="B13" s="36" t="n">
        <f aca="false">COUNTIFS(UpgradeSim!$B$5:$B$405,"&gt;="&amp;8,UpgradeSim!$B$5:$B$405,"&lt;"&amp;9,UpgradeSim!$U$5:$U$405,"?*")</f>
        <v>4</v>
      </c>
      <c r="C13" s="36" t="n">
        <f aca="false">SUM(B$5:B13)</f>
        <v>36</v>
      </c>
      <c r="D13" s="37" t="n">
        <f aca="false">IFERROR(INDEX(UpgradeSim!$P$5:$P$405,MATCH(9,UpgradeSim!$B$5:$B$405,1))/(INDEX(UpgradeSim!$S$5:$S$405,MATCH(9,UpgradeSim!$B$5:$B$405,1))),0)</f>
        <v>0</v>
      </c>
      <c r="E13" s="37" t="n">
        <f aca="false">Parameters!$B$13</f>
        <v>0.6</v>
      </c>
    </row>
    <row r="14" customFormat="false" ht="15" hidden="false" customHeight="false" outlineLevel="0" collapsed="false">
      <c r="A14" s="36" t="n">
        <v>9</v>
      </c>
      <c r="B14" s="36" t="n">
        <f aca="false">COUNTIFS(UpgradeSim!$B$5:$B$405,"&gt;="&amp;9,UpgradeSim!$B$5:$B$405,"&lt;"&amp;10,UpgradeSim!$U$5:$U$405,"?*")</f>
        <v>2</v>
      </c>
      <c r="C14" s="36" t="n">
        <f aca="false">SUM(B$5:B14)</f>
        <v>38</v>
      </c>
      <c r="D14" s="37" t="n">
        <f aca="false">IFERROR(INDEX(UpgradeSim!$P$5:$P$405,MATCH(10,UpgradeSim!$B$5:$B$405,1))/(INDEX(UpgradeSim!$S$5:$S$405,MATCH(10,UpgradeSim!$B$5:$B$405,1))),0)</f>
        <v>0</v>
      </c>
      <c r="E14" s="37" t="n">
        <f aca="false">Parameters!$B$13</f>
        <v>0.6</v>
      </c>
    </row>
    <row r="15" customFormat="false" ht="15" hidden="false" customHeight="false" outlineLevel="0" collapsed="false">
      <c r="A15" s="36" t="n">
        <v>10</v>
      </c>
      <c r="B15" s="36" t="n">
        <f aca="false">COUNTIFS(UpgradeSim!$B$5:$B$405,"&gt;="&amp;10,UpgradeSim!$B$5:$B$405,"&lt;"&amp;11,UpgradeSim!$U$5:$U$405,"?*")</f>
        <v>0</v>
      </c>
      <c r="C15" s="36" t="n">
        <f aca="false">SUM(B$5:B15)</f>
        <v>38</v>
      </c>
      <c r="D15" s="37" t="n">
        <f aca="false">IFERROR(INDEX(UpgradeSim!$P$5:$P$405,MATCH(11,UpgradeSim!$B$5:$B$405,1))/(INDEX(UpgradeSim!$S$5:$S$405,MATCH(11,UpgradeSim!$B$5:$B$405,1))),0)</f>
        <v>0</v>
      </c>
      <c r="E15" s="37" t="n">
        <f aca="false">Parameters!$B$13</f>
        <v>0.6</v>
      </c>
    </row>
    <row r="16" customFormat="false" ht="15" hidden="false" customHeight="false" outlineLevel="0" collapsed="false">
      <c r="A16" s="36" t="n">
        <v>11</v>
      </c>
      <c r="B16" s="36" t="n">
        <f aca="false">COUNTIFS(UpgradeSim!$B$5:$B$405,"&gt;="&amp;11,UpgradeSim!$B$5:$B$405,"&lt;"&amp;12,UpgradeSim!$U$5:$U$405,"?*")</f>
        <v>0</v>
      </c>
      <c r="C16" s="36" t="n">
        <f aca="false">SUM(B$5:B16)</f>
        <v>38</v>
      </c>
      <c r="D16" s="37" t="n">
        <f aca="false">IFERROR(INDEX(UpgradeSim!$P$5:$P$405,MATCH(12,UpgradeSim!$B$5:$B$405,1))/(INDEX(UpgradeSim!$S$5:$S$405,MATCH(12,UpgradeSim!$B$5:$B$405,1))),0)</f>
        <v>0</v>
      </c>
      <c r="E16" s="37" t="n">
        <f aca="false">Parameters!$B$13</f>
        <v>0.6</v>
      </c>
    </row>
    <row r="17" customFormat="false" ht="15" hidden="false" customHeight="false" outlineLevel="0" collapsed="false">
      <c r="A17" s="36" t="n">
        <v>12</v>
      </c>
      <c r="B17" s="36" t="n">
        <f aca="false">COUNTIFS(UpgradeSim!$B$5:$B$405,"&gt;="&amp;12,UpgradeSim!$B$5:$B$405,"&lt;"&amp;13,UpgradeSim!$U$5:$U$405,"?*")</f>
        <v>0</v>
      </c>
      <c r="C17" s="36" t="n">
        <f aca="false">SUM(B$5:B17)</f>
        <v>38</v>
      </c>
      <c r="D17" s="37" t="n">
        <f aca="false">IFERROR(INDEX(UpgradeSim!$P$5:$P$405,MATCH(13,UpgradeSim!$B$5:$B$405,1))/(INDEX(UpgradeSim!$S$5:$S$405,MATCH(13,UpgradeSim!$B$5:$B$405,1))),0)</f>
        <v>0</v>
      </c>
      <c r="E17" s="37" t="n">
        <f aca="false">Parameters!$B$13</f>
        <v>0.6</v>
      </c>
    </row>
    <row r="18" customFormat="false" ht="15" hidden="false" customHeight="false" outlineLevel="0" collapsed="false">
      <c r="A18" s="36" t="n">
        <v>13</v>
      </c>
      <c r="B18" s="36" t="n">
        <f aca="false">COUNTIFS(UpgradeSim!$B$5:$B$405,"&gt;="&amp;13,UpgradeSim!$B$5:$B$405,"&lt;"&amp;14,UpgradeSim!$U$5:$U$405,"?*")</f>
        <v>0</v>
      </c>
      <c r="C18" s="36" t="n">
        <f aca="false">SUM(B$5:B18)</f>
        <v>38</v>
      </c>
      <c r="D18" s="37" t="n">
        <f aca="false">IFERROR(INDEX(UpgradeSim!$P$5:$P$405,MATCH(14,UpgradeSim!$B$5:$B$405,1))/(INDEX(UpgradeSim!$S$5:$S$405,MATCH(14,UpgradeSim!$B$5:$B$405,1))),0)</f>
        <v>0</v>
      </c>
      <c r="E18" s="37" t="n">
        <f aca="false">Parameters!$B$13</f>
        <v>0.6</v>
      </c>
    </row>
    <row r="19" customFormat="false" ht="15" hidden="false" customHeight="false" outlineLevel="0" collapsed="false">
      <c r="A19" s="36" t="n">
        <v>14</v>
      </c>
      <c r="B19" s="36" t="n">
        <f aca="false">COUNTIFS(UpgradeSim!$B$5:$B$405,"&gt;="&amp;14,UpgradeSim!$B$5:$B$405,"&lt;"&amp;15,UpgradeSim!$U$5:$U$405,"?*")</f>
        <v>0</v>
      </c>
      <c r="C19" s="36" t="n">
        <f aca="false">SUM(B$5:B19)</f>
        <v>38</v>
      </c>
      <c r="D19" s="37" t="n">
        <f aca="false">IFERROR(INDEX(UpgradeSim!$P$5:$P$405,MATCH(15,UpgradeSim!$B$5:$B$405,1))/(INDEX(UpgradeSim!$S$5:$S$405,MATCH(15,UpgradeSim!$B$5:$B$405,1))),0)</f>
        <v>0</v>
      </c>
      <c r="E19" s="37" t="n">
        <f aca="false">Parameters!$B$13</f>
        <v>0.6</v>
      </c>
    </row>
    <row r="20" customFormat="false" ht="15" hidden="false" customHeight="false" outlineLevel="0" collapsed="false">
      <c r="A20" s="36" t="n">
        <v>15</v>
      </c>
      <c r="B20" s="36" t="n">
        <f aca="false">COUNTIFS(UpgradeSim!$B$5:$B$405,"&gt;="&amp;15,UpgradeSim!$B$5:$B$405,"&lt;"&amp;16,UpgradeSim!$U$5:$U$405,"?*")</f>
        <v>0</v>
      </c>
      <c r="C20" s="36" t="n">
        <f aca="false">SUM(B$5:B20)</f>
        <v>38</v>
      </c>
      <c r="D20" s="37" t="n">
        <f aca="false">IFERROR(INDEX(UpgradeSim!$P$5:$P$405,MATCH(16,UpgradeSim!$B$5:$B$405,1))/(INDEX(UpgradeSim!$S$5:$S$405,MATCH(16,UpgradeSim!$B$5:$B$405,1))),0)</f>
        <v>0</v>
      </c>
      <c r="E20" s="37" t="n">
        <f aca="false">Parameters!$B$13</f>
        <v>0.6</v>
      </c>
    </row>
    <row r="21" customFormat="false" ht="15" hidden="false" customHeight="false" outlineLevel="0" collapsed="false">
      <c r="A21" s="36" t="n">
        <v>16</v>
      </c>
      <c r="B21" s="36" t="n">
        <f aca="false">COUNTIFS(UpgradeSim!$B$5:$B$405,"&gt;="&amp;16,UpgradeSim!$B$5:$B$405,"&lt;"&amp;17,UpgradeSim!$U$5:$U$405,"?*")</f>
        <v>0</v>
      </c>
      <c r="C21" s="36" t="n">
        <f aca="false">SUM(B$5:B21)</f>
        <v>38</v>
      </c>
      <c r="D21" s="37" t="n">
        <f aca="false">IFERROR(INDEX(UpgradeSim!$P$5:$P$405,MATCH(17,UpgradeSim!$B$5:$B$405,1))/(INDEX(UpgradeSim!$S$5:$S$405,MATCH(17,UpgradeSim!$B$5:$B$405,1))),0)</f>
        <v>0</v>
      </c>
      <c r="E21" s="37" t="n">
        <f aca="false">Parameters!$B$13</f>
        <v>0.6</v>
      </c>
    </row>
    <row r="22" customFormat="false" ht="15" hidden="false" customHeight="false" outlineLevel="0" collapsed="false">
      <c r="A22" s="36" t="n">
        <v>17</v>
      </c>
      <c r="B22" s="36" t="n">
        <f aca="false">COUNTIFS(UpgradeSim!$B$5:$B$405,"&gt;="&amp;17,UpgradeSim!$B$5:$B$405,"&lt;"&amp;18,UpgradeSim!$U$5:$U$405,"?*")</f>
        <v>0</v>
      </c>
      <c r="C22" s="36" t="n">
        <f aca="false">SUM(B$5:B22)</f>
        <v>38</v>
      </c>
      <c r="D22" s="37" t="n">
        <f aca="false">IFERROR(INDEX(UpgradeSim!$P$5:$P$405,MATCH(18,UpgradeSim!$B$5:$B$405,1))/(INDEX(UpgradeSim!$S$5:$S$405,MATCH(18,UpgradeSim!$B$5:$B$405,1))),0)</f>
        <v>0</v>
      </c>
      <c r="E22" s="37" t="n">
        <f aca="false">Parameters!$B$13</f>
        <v>0.6</v>
      </c>
    </row>
    <row r="23" customFormat="false" ht="15" hidden="false" customHeight="false" outlineLevel="0" collapsed="false">
      <c r="A23" s="36" t="n">
        <v>18</v>
      </c>
      <c r="B23" s="36" t="n">
        <f aca="false">COUNTIFS(UpgradeSim!$B$5:$B$405,"&gt;="&amp;18,UpgradeSim!$B$5:$B$405,"&lt;"&amp;19,UpgradeSim!$U$5:$U$405,"?*")</f>
        <v>0</v>
      </c>
      <c r="C23" s="36" t="n">
        <f aca="false">SUM(B$5:B23)</f>
        <v>38</v>
      </c>
      <c r="D23" s="37" t="n">
        <f aca="false">IFERROR(INDEX(UpgradeSim!$P$5:$P$405,MATCH(19,UpgradeSim!$B$5:$B$405,1))/(INDEX(UpgradeSim!$S$5:$S$405,MATCH(19,UpgradeSim!$B$5:$B$405,1))),0)</f>
        <v>0</v>
      </c>
      <c r="E23" s="37" t="n">
        <f aca="false">Parameters!$B$13</f>
        <v>0.6</v>
      </c>
    </row>
    <row r="24" customFormat="false" ht="15" hidden="false" customHeight="false" outlineLevel="0" collapsed="false">
      <c r="A24" s="36" t="n">
        <v>19</v>
      </c>
      <c r="B24" s="36" t="n">
        <f aca="false">COUNTIFS(UpgradeSim!$B$5:$B$405,"&gt;="&amp;19,UpgradeSim!$B$5:$B$405,"&lt;"&amp;20,UpgradeSim!$U$5:$U$405,"?*")</f>
        <v>0</v>
      </c>
      <c r="C24" s="36" t="n">
        <f aca="false">SUM(B$5:B24)</f>
        <v>38</v>
      </c>
      <c r="D24" s="37" t="n">
        <f aca="false">IFERROR(INDEX(UpgradeSim!$P$5:$P$405,MATCH(20,UpgradeSim!$B$5:$B$405,1))/(INDEX(UpgradeSim!$S$5:$S$405,MATCH(20,UpgradeSim!$B$5:$B$405,1))),0)</f>
        <v>0</v>
      </c>
      <c r="E24" s="37" t="n">
        <f aca="false">Parameters!$B$13</f>
        <v>0.6</v>
      </c>
    </row>
    <row r="25" customFormat="false" ht="15" hidden="false" customHeight="false" outlineLevel="0" collapsed="false">
      <c r="A25" s="36" t="n">
        <v>20</v>
      </c>
      <c r="B25" s="36" t="n">
        <f aca="false">COUNTIFS(UpgradeSim!$B$5:$B$405,"&gt;="&amp;20,UpgradeSim!$B$5:$B$405,"&lt;"&amp;21,UpgradeSim!$U$5:$U$405,"?*")</f>
        <v>0</v>
      </c>
      <c r="C25" s="36" t="n">
        <f aca="false">SUM(B$5:B25)</f>
        <v>38</v>
      </c>
      <c r="D25" s="37" t="n">
        <f aca="false">IFERROR(INDEX(UpgradeSim!$P$5:$P$405,MATCH(21,UpgradeSim!$B$5:$B$405,1))/(INDEX(UpgradeSim!$S$5:$S$405,MATCH(21,UpgradeSim!$B$5:$B$405,1))),0)</f>
        <v>0</v>
      </c>
      <c r="E25" s="37" t="n">
        <f aca="false">Parameters!$B$13</f>
        <v>0.6</v>
      </c>
    </row>
    <row r="26" customFormat="false" ht="15" hidden="false" customHeight="false" outlineLevel="0" collapsed="false">
      <c r="A26" s="36" t="n">
        <v>21</v>
      </c>
      <c r="B26" s="36" t="n">
        <f aca="false">COUNTIFS(UpgradeSim!$B$5:$B$405,"&gt;="&amp;21,UpgradeSim!$B$5:$B$405,"&lt;"&amp;22,UpgradeSim!$U$5:$U$405,"?*")</f>
        <v>0</v>
      </c>
      <c r="C26" s="36" t="n">
        <f aca="false">SUM(B$5:B26)</f>
        <v>38</v>
      </c>
      <c r="D26" s="37" t="n">
        <f aca="false">IFERROR(INDEX(UpgradeSim!$P$5:$P$405,MATCH(22,UpgradeSim!$B$5:$B$405,1))/(INDEX(UpgradeSim!$S$5:$S$405,MATCH(22,UpgradeSim!$B$5:$B$405,1))),0)</f>
        <v>0</v>
      </c>
      <c r="E26" s="37" t="n">
        <f aca="false">Parameters!$B$13</f>
        <v>0.6</v>
      </c>
    </row>
    <row r="27" customFormat="false" ht="15" hidden="false" customHeight="false" outlineLevel="0" collapsed="false">
      <c r="A27" s="36" t="n">
        <v>22</v>
      </c>
      <c r="B27" s="36" t="n">
        <f aca="false">COUNTIFS(UpgradeSim!$B$5:$B$405,"&gt;="&amp;22,UpgradeSim!$B$5:$B$405,"&lt;"&amp;23,UpgradeSim!$U$5:$U$405,"?*")</f>
        <v>0</v>
      </c>
      <c r="C27" s="36" t="n">
        <f aca="false">SUM(B$5:B27)</f>
        <v>38</v>
      </c>
      <c r="D27" s="37" t="n">
        <f aca="false">IFERROR(INDEX(UpgradeSim!$P$5:$P$405,MATCH(23,UpgradeSim!$B$5:$B$405,1))/(INDEX(UpgradeSim!$S$5:$S$405,MATCH(23,UpgradeSim!$B$5:$B$405,1))),0)</f>
        <v>0</v>
      </c>
      <c r="E27" s="37" t="n">
        <f aca="false">Parameters!$B$13</f>
        <v>0.6</v>
      </c>
    </row>
    <row r="28" customFormat="false" ht="15" hidden="false" customHeight="false" outlineLevel="0" collapsed="false">
      <c r="A28" s="36" t="n">
        <v>23</v>
      </c>
      <c r="B28" s="36" t="n">
        <f aca="false">COUNTIFS(UpgradeSim!$B$5:$B$405,"&gt;="&amp;23,UpgradeSim!$B$5:$B$405,"&lt;"&amp;24,UpgradeSim!$U$5:$U$405,"?*")</f>
        <v>0</v>
      </c>
      <c r="C28" s="36" t="n">
        <f aca="false">SUM(B$5:B28)</f>
        <v>38</v>
      </c>
      <c r="D28" s="37" t="n">
        <f aca="false">IFERROR(INDEX(UpgradeSim!$P$5:$P$405,MATCH(24,UpgradeSim!$B$5:$B$405,1))/(INDEX(UpgradeSim!$S$5:$S$405,MATCH(24,UpgradeSim!$B$5:$B$405,1))),0)</f>
        <v>0</v>
      </c>
      <c r="E28" s="37" t="n">
        <f aca="false">Parameters!$B$13</f>
        <v>0.6</v>
      </c>
    </row>
    <row r="29" customFormat="false" ht="15" hidden="false" customHeight="false" outlineLevel="0" collapsed="false">
      <c r="A29" s="36" t="n">
        <v>24</v>
      </c>
      <c r="B29" s="36" t="n">
        <f aca="false">COUNTIFS(UpgradeSim!$B$5:$B$405,"&gt;="&amp;24,UpgradeSim!$B$5:$B$405,"&lt;"&amp;25,UpgradeSim!$U$5:$U$405,"?*")</f>
        <v>0</v>
      </c>
      <c r="C29" s="36" t="n">
        <f aca="false">SUM(B$5:B29)</f>
        <v>38</v>
      </c>
      <c r="D29" s="37" t="n">
        <f aca="false">IFERROR(INDEX(UpgradeSim!$P$5:$P$405,MATCH(25,UpgradeSim!$B$5:$B$405,1))/(INDEX(UpgradeSim!$S$5:$S$405,MATCH(25,UpgradeSim!$B$5:$B$405,1))),0)</f>
        <v>0</v>
      </c>
      <c r="E29" s="37" t="n">
        <f aca="false">Parameters!$B$13</f>
        <v>0.6</v>
      </c>
    </row>
    <row r="30" customFormat="false" ht="15" hidden="false" customHeight="false" outlineLevel="0" collapsed="false">
      <c r="A30" s="36" t="n">
        <v>25</v>
      </c>
      <c r="B30" s="36" t="n">
        <f aca="false">COUNTIFS(UpgradeSim!$B$5:$B$405,"&gt;="&amp;25,UpgradeSim!$B$5:$B$405,"&lt;"&amp;26,UpgradeSim!$U$5:$U$405,"?*")</f>
        <v>0</v>
      </c>
      <c r="C30" s="36" t="n">
        <f aca="false">SUM(B$5:B30)</f>
        <v>38</v>
      </c>
      <c r="D30" s="37" t="n">
        <f aca="false">IFERROR(INDEX(UpgradeSim!$P$5:$P$405,MATCH(26,UpgradeSim!$B$5:$B$405,1))/(INDEX(UpgradeSim!$S$5:$S$405,MATCH(26,UpgradeSim!$B$5:$B$405,1))),0)</f>
        <v>0</v>
      </c>
      <c r="E30" s="37" t="n">
        <f aca="false">Parameters!$B$13</f>
        <v>0.6</v>
      </c>
    </row>
    <row r="31" customFormat="false" ht="15" hidden="false" customHeight="false" outlineLevel="0" collapsed="false">
      <c r="A31" s="36" t="n">
        <v>26</v>
      </c>
      <c r="B31" s="36" t="n">
        <f aca="false">COUNTIFS(UpgradeSim!$B$5:$B$405,"&gt;="&amp;26,UpgradeSim!$B$5:$B$405,"&lt;"&amp;27,UpgradeSim!$U$5:$U$405,"?*")</f>
        <v>0</v>
      </c>
      <c r="C31" s="36" t="n">
        <f aca="false">SUM(B$5:B31)</f>
        <v>38</v>
      </c>
      <c r="D31" s="37" t="n">
        <f aca="false">IFERROR(INDEX(UpgradeSim!$P$5:$P$405,MATCH(27,UpgradeSim!$B$5:$B$405,1))/(INDEX(UpgradeSim!$S$5:$S$405,MATCH(27,UpgradeSim!$B$5:$B$405,1))),0)</f>
        <v>0</v>
      </c>
      <c r="E31" s="37" t="n">
        <f aca="false">Parameters!$B$13</f>
        <v>0.6</v>
      </c>
    </row>
    <row r="32" customFormat="false" ht="15" hidden="false" customHeight="false" outlineLevel="0" collapsed="false">
      <c r="A32" s="36" t="n">
        <v>27</v>
      </c>
      <c r="B32" s="36" t="n">
        <f aca="false">COUNTIFS(UpgradeSim!$B$5:$B$405,"&gt;="&amp;27,UpgradeSim!$B$5:$B$405,"&lt;"&amp;28,UpgradeSim!$U$5:$U$405,"?*")</f>
        <v>0</v>
      </c>
      <c r="C32" s="36" t="n">
        <f aca="false">SUM(B$5:B32)</f>
        <v>38</v>
      </c>
      <c r="D32" s="37" t="n">
        <f aca="false">IFERROR(INDEX(UpgradeSim!$P$5:$P$405,MATCH(28,UpgradeSim!$B$5:$B$405,1))/(INDEX(UpgradeSim!$S$5:$S$405,MATCH(28,UpgradeSim!$B$5:$B$405,1))),0)</f>
        <v>0</v>
      </c>
      <c r="E32" s="37" t="n">
        <f aca="false">Parameters!$B$13</f>
        <v>0.6</v>
      </c>
    </row>
    <row r="33" customFormat="false" ht="15" hidden="false" customHeight="false" outlineLevel="0" collapsed="false">
      <c r="A33" s="36" t="n">
        <v>28</v>
      </c>
      <c r="B33" s="36" t="n">
        <f aca="false">COUNTIFS(UpgradeSim!$B$5:$B$405,"&gt;="&amp;28,UpgradeSim!$B$5:$B$405,"&lt;"&amp;29,UpgradeSim!$U$5:$U$405,"?*")</f>
        <v>0</v>
      </c>
      <c r="C33" s="36" t="n">
        <f aca="false">SUM(B$5:B33)</f>
        <v>38</v>
      </c>
      <c r="D33" s="37" t="n">
        <f aca="false">IFERROR(INDEX(UpgradeSim!$P$5:$P$405,MATCH(29,UpgradeSim!$B$5:$B$405,1))/(INDEX(UpgradeSim!$S$5:$S$405,MATCH(29,UpgradeSim!$B$5:$B$405,1))),0)</f>
        <v>0</v>
      </c>
      <c r="E33" s="37" t="n">
        <f aca="false">Parameters!$B$13</f>
        <v>0.6</v>
      </c>
    </row>
    <row r="34" customFormat="false" ht="15" hidden="false" customHeight="false" outlineLevel="0" collapsed="false">
      <c r="A34" s="36" t="n">
        <v>29</v>
      </c>
      <c r="B34" s="36" t="n">
        <f aca="false">COUNTIFS(UpgradeSim!$B$5:$B$405,"&gt;="&amp;29,UpgradeSim!$B$5:$B$405,"&lt;"&amp;30,UpgradeSim!$U$5:$U$405,"?*")</f>
        <v>0</v>
      </c>
      <c r="C34" s="36" t="n">
        <f aca="false">SUM(B$5:B34)</f>
        <v>38</v>
      </c>
      <c r="D34" s="37" t="n">
        <f aca="false">IFERROR(INDEX(UpgradeSim!$P$5:$P$405,MATCH(30,UpgradeSim!$B$5:$B$405,1))/(INDEX(UpgradeSim!$S$5:$S$405,MATCH(30,UpgradeSim!$B$5:$B$405,1))),0)</f>
        <v>0</v>
      </c>
      <c r="E34" s="37" t="n">
        <f aca="false">Parameters!$B$13</f>
        <v>0.6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2026-05-07T11:40:53Z</dcterms:created>
  <dc:creator>openpyxl</dc:creator>
  <dc:description/>
  <dc:language>en-US</dc:language>
  <cp:lastModifiedBy/>
  <dcterms:modified xsi:type="dcterms:W3CDTF">2026-05-07T11:41:00Z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